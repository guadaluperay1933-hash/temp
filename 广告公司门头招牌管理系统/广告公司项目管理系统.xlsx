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基础资料" sheetId="2" state="visible" r:id="rId2"/>
    <sheet name="项目台账" sheetId="3" state="visible" r:id="rId3"/>
    <sheet name="订单明细" sheetId="4" state="visible" r:id="rId4"/>
    <sheet name="采购单" sheetId="5" state="visible" r:id="rId5"/>
    <sheet name="生产安装" sheetId="6" state="visible" r:id="rId6"/>
    <sheet name="资金日记账" sheetId="7" state="visible" r:id="rId7"/>
    <sheet name="账户余额" sheetId="8" state="visible" r:id="rId8"/>
    <sheet name="项目核算" sheetId="9" state="visible" r:id="rId9"/>
    <sheet name="利润表" sheetId="10" state="visible" r:id="rId10"/>
    <sheet name="供应商对账" sheetId="11" state="visible" r:id="rId11"/>
    <sheet name="客户应收" sheetId="12" state="visible" r:id="rId12"/>
  </sheets>
  <definedNames>
    <definedName name="账户表">基础资料!$A$4:$A$13</definedName>
    <definedName name="账户期初">基础资料!$A$4:$B$13</definedName>
    <definedName name="客户表">基础资料!$E$4:$E$253</definedName>
    <definedName name="供应商表">基础资料!$G$4:$G$153</definedName>
    <definedName name="类别表">基础资料!$I$4:$I$83</definedName>
    <definedName name="类别归属">基础资料!$I$4:$J$83</definedName>
    <definedName name="归属表">基础资料!$L$4:$L$23</definedName>
    <definedName name="人员表">基础资料!$N$4:$N$53</definedName>
    <definedName name="项目类型表">基础资料!$P$4:$P$15</definedName>
    <definedName name="材料类别表">基础资料!$R$4:$R$15</definedName>
    <definedName name="材料归属">基础资料!$R$4:$S$15</definedName>
    <definedName name="工作类型表">基础资料!$U$4:$U$17</definedName>
    <definedName name="工作归属">基础资料!$U$4:$V$17</definedName>
    <definedName name="单位表">基础资料!$X$4:$X$33</definedName>
    <definedName name="往来单位表">基础资料!$Z$4:$Z$403</definedName>
    <definedName name="收支表">基础资料!$AB$4:$AB$7</definedName>
    <definedName name="外叫表">基础资料!$AD$4:$AD$7</definedName>
    <definedName name="项目名表">项目台账!$B$4:$B$403</definedName>
    <definedName name="_xlnm.Print_Titles" localSheetId="1">'基础资料'!$3:$3</definedName>
    <definedName name="_xlnm._FilterDatabase" localSheetId="2" hidden="1">'项目台账'!$A$3:$S$403</definedName>
    <definedName name="_xlnm.Print_Titles" localSheetId="2">'项目台账'!$3:$3</definedName>
    <definedName name="_xlnm._FilterDatabase" localSheetId="3" hidden="1">'订单明细'!$A$3:$K$1503</definedName>
    <definedName name="_xlnm.Print_Titles" localSheetId="3">'订单明细'!$3:$3</definedName>
    <definedName name="_xlnm._FilterDatabase" localSheetId="4" hidden="1">'采购单'!$A$3:$N$2003</definedName>
    <definedName name="_xlnm.Print_Titles" localSheetId="4">'采购单'!$3:$3</definedName>
    <definedName name="_xlnm._FilterDatabase" localSheetId="5" hidden="1">'生产安装'!$A$3:$M$1203</definedName>
    <definedName name="_xlnm.Print_Titles" localSheetId="5">'生产安装'!$3:$3</definedName>
    <definedName name="_xlnm._FilterDatabase" localSheetId="6" hidden="1">'资金日记账'!$A$3:$P$2503</definedName>
    <definedName name="_xlnm.Print_Titles" localSheetId="6">'资金日记账'!$3:$3</definedName>
    <definedName name="_xlnm._FilterDatabase" localSheetId="8" hidden="1">'项目核算'!$A$3:$U$404</definedName>
    <definedName name="_xlnm.Print_Titles" localSheetId="8">'项目核算'!$3:$3</definedName>
    <definedName name="_xlnm._FilterDatabase" localSheetId="10" hidden="1">'供应商对账'!$A$3:$J$154</definedName>
    <definedName name="_xlnm.Print_Titles" localSheetId="10">'供应商对账'!$3:$3</definedName>
    <definedName name="_xlnm._FilterDatabase" localSheetId="11" hidden="1">'客户应收'!$A$3:$H$254</definedName>
    <definedName name="_xlnm.Print_Titles" localSheetId="11">'客户应收'!$3:$3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0%"/>
  </numFmts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8B5E00"/>
      <sz val="9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color rgb="00808080"/>
      <sz val="9"/>
    </font>
    <font>
      <name val="微软雅黑"/>
      <b val="1"/>
      <color rgb="001F3864"/>
      <sz val="11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color rgb="007F7F7F"/>
      <sz val="10"/>
    </font>
    <font>
      <name val="微软雅黑"/>
      <b val="1"/>
      <color rgb="00C00000"/>
      <sz val="10"/>
    </font>
    <font>
      <name val="微软雅黑"/>
      <b val="1"/>
      <color rgb="00FFFFFF"/>
      <sz val="11"/>
    </font>
    <font>
      <name val="微软雅黑"/>
      <b val="1"/>
      <color rgb="00C00000"/>
      <sz val="12"/>
    </font>
    <font>
      <name val="微软雅黑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2F5597"/>
      </patternFill>
    </fill>
    <fill>
      <patternFill patternType="solid">
        <fgColor rgb="00806000"/>
      </patternFill>
    </fill>
    <fill>
      <patternFill patternType="solid">
        <fgColor rgb="00FFFBEA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1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4" fontId="11" fillId="7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4" fontId="12" fillId="9" borderId="1" applyAlignment="1" pivotButton="0" quotePrefix="0" xfId="0">
      <alignment horizontal="center" vertical="center" wrapText="1"/>
    </xf>
    <xf numFmtId="1" fontId="12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/>
    </xf>
    <xf numFmtId="4" fontId="4" fillId="7" borderId="1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horizontal="center" vertical="center" wrapText="1"/>
    </xf>
    <xf numFmtId="166" fontId="11" fillId="7" borderId="1" applyAlignment="1" pivotButton="0" quotePrefix="0" xfId="0">
      <alignment horizontal="center" vertical="center" wrapText="1"/>
    </xf>
    <xf numFmtId="1" fontId="14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/>
    </xf>
    <xf numFmtId="4" fontId="15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4" fontId="6" fillId="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6" fontId="12" fillId="0" borderId="1" applyAlignment="1" pivotButton="0" quotePrefix="0" xfId="0">
      <alignment horizontal="center" vertical="center" wrapText="1"/>
    </xf>
    <xf numFmtId="1" fontId="1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4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00C00000"/>
      </font>
      <fill>
        <patternFill patternType="solid">
          <fgColor rgb="00FFD7D7"/>
        </patternFill>
      </fill>
    </dxf>
    <dxf>
      <font>
        <b val="1"/>
        <color rgb="00006100"/>
      </font>
    </dxf>
    <dxf>
      <font>
        <color rgb="009C0006"/>
      </font>
    </dxf>
    <dxf>
      <font>
        <b val="1"/>
        <color rgb="00C00000"/>
      </font>
    </dxf>
    <dxf>
      <font>
        <b val="1"/>
        <color rgb="00BF8F00"/>
      </font>
    </dxf>
    <dxf>
      <font>
        <b val="1"/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51"/>
  <sheetViews>
    <sheetView tabSelected="1"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46" customWidth="1" min="3" max="3"/>
    <col width="30" customWidth="1" min="4" max="4"/>
    <col width="16" customWidth="1" min="5" max="5"/>
    <col width="16" customWidth="1" min="6" max="6"/>
  </cols>
  <sheetData>
    <row r="1" ht="30" customHeight="1">
      <c r="A1" s="1" t="inlineStr">
        <is>
          <t>广告公司项目管理系统 · 使用说明</t>
        </is>
      </c>
    </row>
    <row r="2" ht="22" customHeight="1">
      <c r="A2" s="2" t="inlineStr">
        <is>
          <t>全公司一个文件。各人只管自己那张录入表，绿色标签的核算表全是公式，不用填也别删。</t>
        </is>
      </c>
    </row>
    <row r="3" ht="24" customHeight="1">
      <c r="A3" s="3" t="inlineStr">
        <is>
          <t>一、谁填哪一张表</t>
        </is>
      </c>
    </row>
    <row r="4">
      <c r="A4" s="4" t="inlineStr">
        <is>
          <t>岗位</t>
        </is>
      </c>
      <c r="B4" s="4" t="inlineStr">
        <is>
          <t>表名</t>
        </is>
      </c>
      <c r="C4" s="5" t="inlineStr">
        <is>
          <t>填什么</t>
        </is>
      </c>
    </row>
    <row r="5">
      <c r="A5" s="6" t="inlineStr">
        <is>
          <t>业务 / 下单</t>
        </is>
      </c>
      <c r="B5" s="6" t="inlineStr">
        <is>
          <t>项目台账</t>
        </is>
      </c>
      <c r="C5" s="5" t="inlineStr">
        <is>
          <t>接到单就开一行：项目名、客户、合同额、下单日期。做完了把「完工日期」填上——利润表就是按这个日期确认收入的。</t>
        </is>
      </c>
    </row>
    <row r="6">
      <c r="A6" s="6" t="inlineStr">
        <is>
          <t>设计 / 下单</t>
        </is>
      </c>
      <c r="B6" s="6" t="inlineStr">
        <is>
          <t>订单明细</t>
        </is>
      </c>
      <c r="C6" s="5" t="inlineStr">
        <is>
          <t>按件报价的客户（一次几十个标牌那种）在这里逐项登记，金额自动汇总进项目台账。整单包死的项目不用填这张。</t>
        </is>
      </c>
    </row>
    <row r="7">
      <c r="A7" s="6" t="inlineStr">
        <is>
          <t>采购</t>
        </is>
      </c>
      <c r="B7" s="6" t="inlineStr">
        <is>
          <t>采购单</t>
        </is>
      </c>
      <c r="C7" s="5" t="inlineStr">
        <is>
          <t>买的每一笔材料：供应商、项目、主材还是辅材、数量单价。金额自动算。</t>
        </is>
      </c>
    </row>
    <row r="8">
      <c r="A8" s="6" t="inlineStr">
        <is>
          <t>设计 / 制作 / 安装</t>
        </is>
      </c>
      <c r="B8" s="6" t="inlineStr">
        <is>
          <t>生产安装</t>
        </is>
      </c>
      <c r="C8" s="5" t="inlineStr">
        <is>
          <t>设计费、制作工时、安装工时、加班、外叫小工、吊车租车，按项目登记。</t>
        </is>
      </c>
    </row>
    <row r="9">
      <c r="A9" s="6" t="inlineStr">
        <is>
          <t>财务 / 出纳</t>
        </is>
      </c>
      <c r="B9" s="6" t="inlineStr">
        <is>
          <t>资金日记账</t>
        </is>
      </c>
      <c r="C9" s="5" t="inlineStr">
        <is>
          <t>五个账户（支付宝、平安银行、中信银行、微信1、微信2）所有进出都记这一张，右边自动结出该账户的即时余额。</t>
        </is>
      </c>
    </row>
    <row r="11" ht="24" customHeight="1">
      <c r="A11" s="3" t="inlineStr">
        <is>
          <t>二、三条规则，记住就不会乱</t>
        </is>
      </c>
    </row>
    <row r="12">
      <c r="A12" s="6" t="inlineStr">
        <is>
          <t>规则 1</t>
        </is>
      </c>
      <c r="B12" s="6" t="inlineStr">
        <is>
          <t>成本从哪来</t>
        </is>
      </c>
      <c r="C12" s="5" t="inlineStr">
        <is>
          <t>项目成本 = 采购单 + 生产安装 + 日记账里选了成本类别的支出。三个来源相加，所以同一笔钱只能记在其中一个地方。</t>
        </is>
      </c>
    </row>
    <row r="13">
      <c r="A13" s="6" t="inlineStr">
        <is>
          <t>规则 2</t>
        </is>
      </c>
      <c r="B13" s="6" t="inlineStr">
        <is>
          <t>别把一笔钱记两次</t>
        </is>
      </c>
      <c r="C13" s="5" t="inlineStr">
        <is>
          <t>登过采购单的料，出纳付钱时「费用类别」要选『付供应商货款』（它不计成本）；没登采购单的零星开支（配送费、运费、餐费），出纳直接选成本类别即可，不用再补采购单。</t>
        </is>
      </c>
    </row>
    <row r="14">
      <c r="A14" s="6" t="inlineStr">
        <is>
          <t>规则 3</t>
        </is>
      </c>
      <c r="B14" s="6" t="inlineStr">
        <is>
          <t>收入按完工确认</t>
        </is>
      </c>
      <c r="C14" s="5" t="inlineStr">
        <is>
          <t>利润表的营业收入 = 当月填了「完工日期」的项目合同额，成本也跟着那个月走，这样毛利才配得上。没完工的项目算「在制」，不进利润表。长期客户（比如东尼电子）建议按月建一个项目，月底填完工日期。</t>
        </is>
      </c>
    </row>
    <row r="15">
      <c r="A15" s="6" t="inlineStr">
        <is>
          <t>账户互转</t>
        </is>
      </c>
      <c r="B15" s="6" t="inlineStr">
        <is>
          <t>记两行</t>
        </is>
      </c>
      <c r="C15" s="5" t="inlineStr">
        <is>
          <t>从支付宝转到平安银行：支付宝记一行支出、平安银行记一行收入，两行的费用类别都选『账户互转』，它不进利润表。</t>
        </is>
      </c>
    </row>
    <row r="17" ht="24" customHeight="1">
      <c r="A17" s="3" t="inlineStr">
        <is>
          <t>三、颜色和符号</t>
        </is>
      </c>
    </row>
    <row r="18">
      <c r="A18" s="6" t="inlineStr">
        <is>
          <t>淡黄色格子</t>
        </is>
      </c>
      <c r="B18" s="6" t="inlineStr">
        <is>
          <t>请填写</t>
        </is>
      </c>
      <c r="C18" s="5" t="inlineStr">
        <is>
          <t>这是要人填的。</t>
        </is>
      </c>
    </row>
    <row r="19">
      <c r="A19" s="6" t="inlineStr">
        <is>
          <t>灰色格子</t>
        </is>
      </c>
      <c r="B19" s="6" t="inlineStr">
        <is>
          <t>公式自动算</t>
        </is>
      </c>
      <c r="C19" s="5" t="inlineStr">
        <is>
          <t>别手动改，改了就断了。整列往下都有公式，新增数据直接往下填即可。</t>
        </is>
      </c>
    </row>
    <row r="20">
      <c r="A20" s="6" t="inlineStr">
        <is>
          <t>※ 开头的红字</t>
        </is>
      </c>
      <c r="B20" s="6" t="inlineStr">
        <is>
          <t>有问题</t>
        </is>
      </c>
      <c r="C20" s="5" t="inlineStr">
        <is>
          <t>「核对」列会自己挑毛病：项目不在台账、类别没选、收支金额对不上、可能和采购单重复。看到红的就去改。</t>
        </is>
      </c>
    </row>
    <row r="22" ht="24" customHeight="1">
      <c r="A22" s="3" t="inlineStr">
        <is>
          <t>四、录入体检（活的，随时看这里）</t>
        </is>
      </c>
    </row>
    <row r="23">
      <c r="A23" s="4" t="inlineStr">
        <is>
          <t>检查项</t>
        </is>
      </c>
      <c r="B23" s="4" t="inlineStr">
        <is>
          <t>数值</t>
        </is>
      </c>
      <c r="C23" s="5" t="inlineStr">
        <is>
          <t>说明</t>
        </is>
      </c>
    </row>
    <row r="24">
      <c r="A24" s="6" t="inlineStr">
        <is>
          <t>日记账还没分类的笔数</t>
        </is>
      </c>
      <c r="C24" s="7">
        <f>COUNTIF(资金日记账!$E:$E,"待分类")</f>
        <v/>
      </c>
      <c r="D24" s="8" t="inlineStr">
        <is>
          <t>这些笔的费用类别请挑一个，否则不进利润表</t>
        </is>
      </c>
    </row>
    <row r="25">
      <c r="A25" s="6" t="inlineStr">
        <is>
          <t xml:space="preserve">　　对应金额（收+支）</t>
        </is>
      </c>
      <c r="C25" s="9">
        <f>ROUND(SUMIF(资金日记账!$E:$E,"待分类",资金日记账!$J:$J)+SUMIF(资金日记账!$E:$E,"待分类",资金日记账!$K:$K),2)</f>
        <v/>
      </c>
      <c r="D25" s="8" t="inlineStr"/>
    </row>
    <row r="26">
      <c r="A26" s="6" t="inlineStr">
        <is>
          <t>成本类支出没填项目的笔数</t>
        </is>
      </c>
      <c r="C26" s="7">
        <f>COUNTIF(资金日记账!$P:$P,"※成本类支出没填项目")</f>
        <v/>
      </c>
      <c r="D26" s="8" t="inlineStr">
        <is>
          <t>补上项目名，这些钱就能进对应项目的成本，利润表也就准了</t>
        </is>
      </c>
    </row>
    <row r="27">
      <c r="A27" s="6" t="inlineStr">
        <is>
          <t xml:space="preserve">　　对应金额</t>
        </is>
      </c>
      <c r="C27" s="9">
        <f>ROUND(SUMIFS(资金日记账!$K:$K,资金日记账!$P:$P,"※成本类支出没填项目"),2)</f>
        <v/>
      </c>
      <c r="D27" s="8" t="inlineStr"/>
    </row>
    <row r="28">
      <c r="A28" s="6" t="inlineStr">
        <is>
          <t>还没填完工日期的项目数</t>
        </is>
      </c>
      <c r="C28" s="7">
        <f>COUNTIFS(项目台账!$B$4:$B$403,"&lt;&gt;",项目台账!$J$4:$J$403,"")</f>
        <v/>
      </c>
      <c r="D28" s="8" t="inlineStr">
        <is>
          <t>这些项目的收入和成本都还没进利润表</t>
        </is>
      </c>
    </row>
    <row r="29">
      <c r="A29" s="6" t="inlineStr">
        <is>
          <t xml:space="preserve">　　这些项目的合同额</t>
        </is>
      </c>
      <c r="C29" s="9">
        <f>ROUND(SUMIFS(项目台账!$M$4:$M$403,项目台账!$B$4:$B$403,"&lt;&gt;",项目台账!$J$4:$J$403,""),2)</f>
        <v/>
      </c>
      <c r="D29" s="8" t="inlineStr"/>
    </row>
    <row r="30">
      <c r="A30" s="6" t="inlineStr">
        <is>
          <t>日记账其它红字提示笔数</t>
        </is>
      </c>
      <c r="C30" s="7">
        <f>COUNTIF(资金日记账!$P:$P,"※*")-COUNTIF(资金日记账!$P:$P,"※成本类支出没填项目")</f>
        <v/>
      </c>
      <c r="D30" s="8" t="inlineStr">
        <is>
          <t>去【资金日记账】最后一列看</t>
        </is>
      </c>
    </row>
    <row r="31">
      <c r="A31" s="6" t="inlineStr">
        <is>
          <t>采购单有红字提示的笔数</t>
        </is>
      </c>
      <c r="C31" s="7">
        <f>COUNTIF(采购单!$N:$N,"※*")</f>
        <v/>
      </c>
      <c r="D31" s="8" t="inlineStr"/>
    </row>
    <row r="32">
      <c r="A32" s="6" t="inlineStr">
        <is>
          <t>生产安装有红字提示的笔数</t>
        </is>
      </c>
      <c r="C32" s="7">
        <f>COUNTIF(生产安装!$M:$M,"※*")</f>
        <v/>
      </c>
      <c r="D32" s="8" t="inlineStr"/>
    </row>
    <row r="33">
      <c r="A33" s="6" t="inlineStr">
        <is>
          <t>项目台账有红字提示的条数</t>
        </is>
      </c>
      <c r="C33" s="7">
        <f>COUNTIF(项目台账!$S:$S,"※*")</f>
        <v/>
      </c>
      <c r="D33" s="8" t="inlineStr"/>
    </row>
    <row r="34">
      <c r="A34" s="6" t="inlineStr">
        <is>
          <t>订单明细项目对不上的条数</t>
        </is>
      </c>
      <c r="C34" s="7">
        <f>COUNTIF(订单明细!$J:$J,"※*")</f>
        <v/>
      </c>
      <c r="D34" s="8" t="inlineStr"/>
    </row>
    <row r="36" ht="24" customHeight="1">
      <c r="A36" s="3" t="inlineStr">
        <is>
          <t>五、一眼看家底</t>
        </is>
      </c>
    </row>
    <row r="37">
      <c r="A37" s="6" t="inlineStr">
        <is>
          <t>五个账户余额合计</t>
        </is>
      </c>
      <c r="C37" s="10">
        <f>账户余额!$E$14</f>
        <v/>
      </c>
    </row>
    <row r="38">
      <c r="A38" s="6" t="inlineStr">
        <is>
          <t>客户还欠我们（应收）</t>
        </is>
      </c>
      <c r="C38" s="10">
        <f>项目核算!$K$4</f>
        <v/>
      </c>
    </row>
    <row r="39">
      <c r="A39" s="6" t="inlineStr">
        <is>
          <t>我们还欠供应商（应付）</t>
        </is>
      </c>
      <c r="C39" s="10">
        <f>供应商对账!$F$4</f>
        <v/>
      </c>
    </row>
    <row r="40">
      <c r="A40" s="6" t="inlineStr">
        <is>
          <t>在制项目已投入成本</t>
        </is>
      </c>
      <c r="C40" s="10">
        <f>利润表!$B$34</f>
        <v/>
      </c>
    </row>
    <row r="41">
      <c r="A41" s="6" t="inlineStr">
        <is>
          <t>本年累计毛利</t>
        </is>
      </c>
      <c r="C41" s="10">
        <f>利润表!$N$17</f>
        <v/>
      </c>
    </row>
    <row r="42">
      <c r="A42" s="6" t="inlineStr">
        <is>
          <t>本年累计净利</t>
        </is>
      </c>
      <c r="C42" s="10">
        <f>利润表!$N$27</f>
        <v/>
      </c>
    </row>
    <row r="44" ht="24" customHeight="1">
      <c r="A44" s="3" t="inlineStr">
        <is>
          <t>六、这份表是怎么从旧表搬过来的</t>
        </is>
      </c>
    </row>
    <row r="45">
      <c r="A45" s="11" t="inlineStr">
        <is>
          <t>· 旧文件 22 张表全部取过来了：940 行日记帐、17 张项目表、东尼电子和 Sheet1 两张制作清单、综合汇总表。</t>
        </is>
      </c>
    </row>
    <row r="46">
      <c r="A46" s="11" t="inlineStr">
        <is>
          <t>· 17 张项目表的成本一分不差地拆进了【采购单】和【生产安装】，逐张核对过（详见 说明.md）。</t>
        </is>
      </c>
    </row>
    <row r="47">
      <c r="A47" s="11" t="inlineStr">
        <is>
          <t>· 日记帐前半段（3~4 月）原来手工分过类，照搬；后半段是微信账单原样粘贴，只有摘要，</t>
        </is>
      </c>
    </row>
    <row r="48">
      <c r="A48" s="11" t="inlineStr">
        <is>
          <t xml:space="preserve">　按关键字能认出来的自动归了类，认不出的一律标「待分类」，没有瞎猜。请按上面「体检」里的笔数去补。</t>
        </is>
      </c>
    </row>
    <row r="49">
      <c r="A49" s="11" t="inlineStr">
        <is>
          <t>· 项目名做了归并：兰溪牛肉面=兰溪手擀面、津华钢铁=德清津华钢铁、巴比贝克=芭比贝克…… 完整对照表在 说明.md。</t>
        </is>
      </c>
    </row>
    <row r="50">
      <c r="A50" s="11" t="inlineStr">
        <is>
          <t>· 「织里店-炳秀」这类写法拆成了 项目=织里店、往来单位=炳秀。</t>
        </is>
      </c>
    </row>
    <row r="51">
      <c r="A51" s="11" t="inlineStr">
        <is>
          <t>· 完工日期只给「钱已经收齐」的项目补了，其余留空，请自己填——它直接决定利润表哪个月确认收入。</t>
        </is>
      </c>
    </row>
  </sheetData>
  <mergeCells count="55">
    <mergeCell ref="A24:B24"/>
    <mergeCell ref="A30:B30"/>
    <mergeCell ref="C23:F23"/>
    <mergeCell ref="D27:F27"/>
    <mergeCell ref="A46:F46"/>
    <mergeCell ref="C8:F8"/>
    <mergeCell ref="D32:F32"/>
    <mergeCell ref="C7:F7"/>
    <mergeCell ref="A50:F50"/>
    <mergeCell ref="A3:F3"/>
    <mergeCell ref="C19:F19"/>
    <mergeCell ref="C13:F13"/>
    <mergeCell ref="C18:F18"/>
    <mergeCell ref="D28:F28"/>
    <mergeCell ref="A47:F47"/>
    <mergeCell ref="A25:B25"/>
    <mergeCell ref="A41:B41"/>
    <mergeCell ref="C6:F6"/>
    <mergeCell ref="A37:B37"/>
    <mergeCell ref="A22:F22"/>
    <mergeCell ref="C15:F15"/>
    <mergeCell ref="A17:F17"/>
    <mergeCell ref="D30:F30"/>
    <mergeCell ref="C5:F5"/>
    <mergeCell ref="D25:F25"/>
    <mergeCell ref="A27:B27"/>
    <mergeCell ref="D33:F33"/>
    <mergeCell ref="C14:F14"/>
    <mergeCell ref="D24:F24"/>
    <mergeCell ref="A26:B26"/>
    <mergeCell ref="D29:F29"/>
    <mergeCell ref="C4:F4"/>
    <mergeCell ref="A33:B33"/>
    <mergeCell ref="C20:F20"/>
    <mergeCell ref="A44:F44"/>
    <mergeCell ref="A42:B42"/>
    <mergeCell ref="A32:B32"/>
    <mergeCell ref="D26:F26"/>
    <mergeCell ref="A48:F48"/>
    <mergeCell ref="D34:F34"/>
    <mergeCell ref="C9:F9"/>
    <mergeCell ref="A11:F11"/>
    <mergeCell ref="A38:B38"/>
    <mergeCell ref="A49:F49"/>
    <mergeCell ref="A29:B29"/>
    <mergeCell ref="A51:F51"/>
    <mergeCell ref="A36:F36"/>
    <mergeCell ref="D31:F31"/>
    <mergeCell ref="A45:F45"/>
    <mergeCell ref="C12:F12"/>
    <mergeCell ref="A28:B28"/>
    <mergeCell ref="A40:B40"/>
    <mergeCell ref="A31:B31"/>
    <mergeCell ref="A39:B39"/>
    <mergeCell ref="A34:B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AD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5" max="5"/>
    <col width="22" customWidth="1" min="7" max="7"/>
    <col width="20" customWidth="1" min="9" max="9"/>
    <col width="16" customWidth="1" min="10" max="10"/>
    <col width="18" customWidth="1" min="12" max="12"/>
    <col width="14" customWidth="1" min="14" max="14"/>
    <col width="16" customWidth="1" min="16" max="16"/>
    <col width="14" customWidth="1" min="18" max="18"/>
    <col width="14" customWidth="1" min="19" max="19"/>
    <col width="14" customWidth="1" min="21" max="21"/>
    <col width="14" customWidth="1" min="22" max="22"/>
    <col width="12" customWidth="1" min="24" max="24"/>
    <col width="24" customWidth="1" min="26" max="26"/>
    <col width="12" customWidth="1" min="28" max="28"/>
    <col width="12" customWidth="1" min="30" max="30"/>
  </cols>
  <sheetData>
    <row r="1" ht="30" customHeight="1">
      <c r="A1" s="1" t="inlineStr">
        <is>
          <t>基础资料 · 所有下拉菜单的来源</t>
        </is>
      </c>
    </row>
    <row r="2" ht="22" customHeight="1">
      <c r="A2" s="2" t="inlineStr">
        <is>
          <t>要加客户、加供应商、加人，就在这里往下接着写，别留空行。改了这里，所有表的下拉菜单立刻跟着变。</t>
        </is>
      </c>
    </row>
    <row r="3">
      <c r="A3" s="12" t="inlineStr">
        <is>
          <t>资金账户</t>
        </is>
      </c>
      <c r="B3" s="12" t="inlineStr">
        <is>
          <t>期初余额</t>
        </is>
      </c>
      <c r="E3" s="12" t="inlineStr">
        <is>
          <t>客户名称</t>
        </is>
      </c>
      <c r="G3" s="12" t="inlineStr">
        <is>
          <t>供应商名称</t>
        </is>
      </c>
      <c r="I3" s="12" t="inlineStr">
        <is>
          <t>费用类别</t>
        </is>
      </c>
      <c r="J3" s="12" t="inlineStr">
        <is>
          <t>归属大类</t>
        </is>
      </c>
      <c r="L3" s="12" t="inlineStr">
        <is>
          <t>归属大类清单</t>
        </is>
      </c>
      <c r="N3" s="12" t="inlineStr">
        <is>
          <t>人员</t>
        </is>
      </c>
      <c r="P3" s="12" t="inlineStr">
        <is>
          <t>项目类型</t>
        </is>
      </c>
      <c r="R3" s="12" t="inlineStr">
        <is>
          <t>材料类别</t>
        </is>
      </c>
      <c r="S3" s="12" t="inlineStr">
        <is>
          <t>成本归属</t>
        </is>
      </c>
      <c r="U3" s="12" t="inlineStr">
        <is>
          <t>工作类型</t>
        </is>
      </c>
      <c r="V3" s="12" t="inlineStr">
        <is>
          <t>成本归属</t>
        </is>
      </c>
      <c r="X3" s="12" t="inlineStr">
        <is>
          <t>计量单位</t>
        </is>
      </c>
      <c r="Z3" s="12" t="inlineStr">
        <is>
          <t>往来单位(自动合并)</t>
        </is>
      </c>
      <c r="AB3" s="12" t="inlineStr">
        <is>
          <t>收支方向</t>
        </is>
      </c>
      <c r="AD3" s="12" t="inlineStr">
        <is>
          <t>是否外叫</t>
        </is>
      </c>
    </row>
    <row r="4">
      <c r="A4" s="13" t="inlineStr">
        <is>
          <t>支付宝</t>
        </is>
      </c>
      <c r="B4" s="14" t="n">
        <v>0</v>
      </c>
      <c r="E4" s="13" t="inlineStr">
        <is>
          <t>南浔美食城</t>
        </is>
      </c>
      <c r="G4" s="13" t="inlineStr">
        <is>
          <t>炳秀</t>
        </is>
      </c>
      <c r="I4" s="13" t="inlineStr">
        <is>
          <t>项目收款</t>
        </is>
      </c>
      <c r="J4" s="13" t="inlineStr">
        <is>
          <t>收款-项目</t>
        </is>
      </c>
      <c r="L4" s="13" t="inlineStr">
        <is>
          <t>收款-项目</t>
        </is>
      </c>
      <c r="N4" s="13" t="inlineStr">
        <is>
          <t>杨德</t>
        </is>
      </c>
      <c r="P4" s="13" t="inlineStr">
        <is>
          <t>门头招牌</t>
        </is>
      </c>
      <c r="R4" s="13" t="inlineStr">
        <is>
          <t>主材</t>
        </is>
      </c>
      <c r="S4" s="13" t="inlineStr">
        <is>
          <t>成本-主材</t>
        </is>
      </c>
      <c r="U4" s="13" t="inlineStr">
        <is>
          <t>设计费</t>
        </is>
      </c>
      <c r="V4" s="13" t="inlineStr">
        <is>
          <t>成本-人工</t>
        </is>
      </c>
      <c r="X4" s="13" t="inlineStr">
        <is>
          <t>个</t>
        </is>
      </c>
      <c r="Z4" s="15">
        <f>IF(ROW()-3&lt;=COUNTA($E$4:$E$253),INDEX($E$4:$E$253,ROW()-3),IF(ROW()-3-COUNTA($E$4:$E$253)&lt;=COUNTA($G$4:$G$153),INDEX($G$4:$G$153,ROW()-3-COUNTA($E$4:$E$253)),""))</f>
        <v/>
      </c>
      <c r="AB4" s="13" t="inlineStr">
        <is>
          <t>收入</t>
        </is>
      </c>
      <c r="AD4" s="13" t="inlineStr">
        <is>
          <t>自有员工</t>
        </is>
      </c>
    </row>
    <row r="5">
      <c r="A5" s="13" t="inlineStr">
        <is>
          <t>平安银行</t>
        </is>
      </c>
      <c r="B5" s="14" t="n">
        <v>0</v>
      </c>
      <c r="E5" s="13" t="inlineStr">
        <is>
          <t>德清津华钢铁</t>
        </is>
      </c>
      <c r="G5" s="13" t="inlineStr">
        <is>
          <t>付久华</t>
        </is>
      </c>
      <c r="I5" s="13" t="inlineStr">
        <is>
          <t>预收定金</t>
        </is>
      </c>
      <c r="J5" s="13" t="inlineStr">
        <is>
          <t>收款-项目</t>
        </is>
      </c>
      <c r="L5" s="13" t="inlineStr">
        <is>
          <t>收入-其他</t>
        </is>
      </c>
      <c r="N5" s="13" t="inlineStr">
        <is>
          <t>凌宇</t>
        </is>
      </c>
      <c r="P5" s="13" t="inlineStr">
        <is>
          <t>发光字/灯箱</t>
        </is>
      </c>
      <c r="R5" s="13" t="inlineStr">
        <is>
          <t>外发加工</t>
        </is>
      </c>
      <c r="S5" s="13" t="inlineStr">
        <is>
          <t>成本-主材</t>
        </is>
      </c>
      <c r="U5" s="13" t="inlineStr">
        <is>
          <t>制作工时</t>
        </is>
      </c>
      <c r="V5" s="13" t="inlineStr">
        <is>
          <t>成本-人工</t>
        </is>
      </c>
      <c r="X5" s="13" t="inlineStr">
        <is>
          <t>套</t>
        </is>
      </c>
      <c r="Z5" s="15">
        <f>IF(ROW()-3&lt;=COUNTA($E$4:$E$253),INDEX($E$4:$E$253,ROW()-3),IF(ROW()-3-COUNTA($E$4:$E$253)&lt;=COUNTA($G$4:$G$153),INDEX($G$4:$G$153,ROW()-3-COUNTA($E$4:$E$253)),""))</f>
        <v/>
      </c>
      <c r="AB5" s="13" t="inlineStr">
        <is>
          <t>支出</t>
        </is>
      </c>
      <c r="AD5" s="13" t="inlineStr">
        <is>
          <t>外叫</t>
        </is>
      </c>
    </row>
    <row r="6">
      <c r="A6" s="13" t="inlineStr">
        <is>
          <t>中信银行</t>
        </is>
      </c>
      <c r="B6" s="14" t="n">
        <v>0</v>
      </c>
      <c r="E6" s="13" t="inlineStr">
        <is>
          <t>兰溪手擀面</t>
        </is>
      </c>
      <c r="G6" s="13" t="inlineStr">
        <is>
          <t>货拉拉</t>
        </is>
      </c>
      <c r="I6" s="13" t="inlineStr">
        <is>
          <t>退还客户款</t>
        </is>
      </c>
      <c r="J6" s="13" t="inlineStr">
        <is>
          <t>收款-项目</t>
        </is>
      </c>
      <c r="L6" s="13" t="inlineStr">
        <is>
          <t>成本-主材</t>
        </is>
      </c>
      <c r="N6" s="13" t="inlineStr">
        <is>
          <t>章凡</t>
        </is>
      </c>
      <c r="P6" s="13" t="inlineStr">
        <is>
          <t>亮化工程</t>
        </is>
      </c>
      <c r="R6" s="13" t="inlineStr">
        <is>
          <t>辅材</t>
        </is>
      </c>
      <c r="S6" s="13" t="inlineStr">
        <is>
          <t>成本-辅材</t>
        </is>
      </c>
      <c r="U6" s="13" t="inlineStr">
        <is>
          <t>安装工时</t>
        </is>
      </c>
      <c r="V6" s="13" t="inlineStr">
        <is>
          <t>成本-人工</t>
        </is>
      </c>
      <c r="X6" s="13" t="inlineStr">
        <is>
          <t>块</t>
        </is>
      </c>
      <c r="Z6" s="15">
        <f>IF(ROW()-3&lt;=COUNTA($E$4:$E$253),INDEX($E$4:$E$253,ROW()-3),IF(ROW()-3-COUNTA($E$4:$E$253)&lt;=COUNTA($G$4:$G$153),INDEX($G$4:$G$153,ROW()-3-COUNTA($E$4:$E$253)),""))</f>
        <v/>
      </c>
      <c r="AB6" s="13" t="n"/>
      <c r="AD6" s="13" t="n"/>
    </row>
    <row r="7">
      <c r="A7" s="13" t="inlineStr">
        <is>
          <t>微信1</t>
        </is>
      </c>
      <c r="B7" s="14" t="n">
        <v>0</v>
      </c>
      <c r="E7" s="13" t="inlineStr">
        <is>
          <t>莫盾服饰</t>
        </is>
      </c>
      <c r="G7" s="13" t="inlineStr">
        <is>
          <t>拼多多</t>
        </is>
      </c>
      <c r="I7" s="13" t="inlineStr">
        <is>
          <t>零星物料销售</t>
        </is>
      </c>
      <c r="J7" s="13" t="inlineStr">
        <is>
          <t>收入-其他</t>
        </is>
      </c>
      <c r="L7" s="13" t="inlineStr">
        <is>
          <t>成本-辅材</t>
        </is>
      </c>
      <c r="N7" s="13" t="inlineStr">
        <is>
          <t>徐可欣</t>
        </is>
      </c>
      <c r="P7" s="13" t="inlineStr">
        <is>
          <t>室内标识</t>
        </is>
      </c>
      <c r="R7" s="13" t="inlineStr">
        <is>
          <t>五金耗材</t>
        </is>
      </c>
      <c r="S7" s="13" t="inlineStr">
        <is>
          <t>成本-辅材</t>
        </is>
      </c>
      <c r="U7" s="13" t="inlineStr">
        <is>
          <t>加班费</t>
        </is>
      </c>
      <c r="V7" s="13" t="inlineStr">
        <is>
          <t>成本-人工</t>
        </is>
      </c>
      <c r="X7" s="13" t="inlineStr">
        <is>
          <t>张</t>
        </is>
      </c>
      <c r="Z7" s="15">
        <f>IF(ROW()-3&lt;=COUNTA($E$4:$E$253),INDEX($E$4:$E$253,ROW()-3),IF(ROW()-3-COUNTA($E$4:$E$253)&lt;=COUNTA($G$4:$G$153),INDEX($G$4:$G$153,ROW()-3-COUNTA($E$4:$E$253)),""))</f>
        <v/>
      </c>
      <c r="AB7" s="13" t="n"/>
      <c r="AD7" s="13" t="n"/>
    </row>
    <row r="8">
      <c r="A8" s="13" t="inlineStr">
        <is>
          <t>微信2</t>
        </is>
      </c>
      <c r="B8" s="14" t="n">
        <v>0</v>
      </c>
      <c r="E8" s="13" t="inlineStr">
        <is>
          <t>君澜服饰</t>
        </is>
      </c>
      <c r="G8" s="13" t="inlineStr">
        <is>
          <t>顺丰速运</t>
        </is>
      </c>
      <c r="I8" s="13" t="inlineStr">
        <is>
          <t>设计费收入</t>
        </is>
      </c>
      <c r="J8" s="13" t="inlineStr">
        <is>
          <t>收入-其他</t>
        </is>
      </c>
      <c r="L8" s="13" t="inlineStr">
        <is>
          <t>成本-人工</t>
        </is>
      </c>
      <c r="N8" s="13" t="inlineStr">
        <is>
          <t>老姚</t>
        </is>
      </c>
      <c r="P8" s="13" t="inlineStr">
        <is>
          <t>广告物料</t>
        </is>
      </c>
      <c r="R8" s="13" t="inlineStr">
        <is>
          <t>其他材料</t>
        </is>
      </c>
      <c r="S8" s="13" t="inlineStr">
        <is>
          <t>成本-其他</t>
        </is>
      </c>
      <c r="U8" s="13" t="inlineStr">
        <is>
          <t>外叫小工</t>
        </is>
      </c>
      <c r="V8" s="13" t="inlineStr">
        <is>
          <t>成本-人工</t>
        </is>
      </c>
      <c r="X8" s="13" t="inlineStr">
        <is>
          <t>米</t>
        </is>
      </c>
      <c r="Z8" s="15">
        <f>IF(ROW()-3&lt;=COUNTA($E$4:$E$253),INDEX($E$4:$E$253,ROW()-3),IF(ROW()-3-COUNTA($E$4:$E$253)&lt;=COUNTA($G$4:$G$153),INDEX($G$4:$G$153,ROW()-3-COUNTA($E$4:$E$253)),""))</f>
        <v/>
      </c>
    </row>
    <row r="9">
      <c r="A9" s="13" t="inlineStr">
        <is>
          <t>现金</t>
        </is>
      </c>
      <c r="B9" s="14" t="n">
        <v>0</v>
      </c>
      <c r="E9" s="13" t="inlineStr">
        <is>
          <t>芭比贝克</t>
        </is>
      </c>
      <c r="G9" s="13" t="inlineStr">
        <is>
          <t>盛世大瑞</t>
        </is>
      </c>
      <c r="I9" s="13" t="inlineStr">
        <is>
          <t>其他收入</t>
        </is>
      </c>
      <c r="J9" s="13" t="inlineStr">
        <is>
          <t>收入-其他</t>
        </is>
      </c>
      <c r="L9" s="13" t="inlineStr">
        <is>
          <t>成本-车运</t>
        </is>
      </c>
      <c r="N9" s="13" t="inlineStr">
        <is>
          <t>小章</t>
        </is>
      </c>
      <c r="P9" s="13" t="inlineStr">
        <is>
          <t>车贴喷绘</t>
        </is>
      </c>
      <c r="R9" s="13" t="n"/>
      <c r="S9" s="13" t="n"/>
      <c r="U9" s="13" t="inlineStr">
        <is>
          <t>其他人工</t>
        </is>
      </c>
      <c r="V9" s="13" t="inlineStr">
        <is>
          <t>成本-人工</t>
        </is>
      </c>
      <c r="X9" s="13" t="inlineStr">
        <is>
          <t>平方</t>
        </is>
      </c>
      <c r="Z9" s="15">
        <f>IF(ROW()-3&lt;=COUNTA($E$4:$E$253),INDEX($E$4:$E$253,ROW()-3),IF(ROW()-3-COUNTA($E$4:$E$253)&lt;=COUNTA($G$4:$G$153),INDEX($G$4:$G$153,ROW()-3-COUNTA($E$4:$E$253)),""))</f>
        <v/>
      </c>
    </row>
    <row r="10">
      <c r="A10" s="13" t="n"/>
      <c r="B10" s="14" t="n"/>
      <c r="E10" s="13" t="inlineStr">
        <is>
          <t>铁柱烧烤店</t>
        </is>
      </c>
      <c r="G10" s="13" t="inlineStr">
        <is>
          <t>淘宝</t>
        </is>
      </c>
      <c r="I10" s="13" t="inlineStr">
        <is>
          <t>主材采购</t>
        </is>
      </c>
      <c r="J10" s="13" t="inlineStr">
        <is>
          <t>成本-主材</t>
        </is>
      </c>
      <c r="L10" s="13" t="inlineStr">
        <is>
          <t>成本-其他</t>
        </is>
      </c>
      <c r="N10" s="13" t="inlineStr">
        <is>
          <t>小姜</t>
        </is>
      </c>
      <c r="P10" s="13" t="inlineStr">
        <is>
          <t>维修保养</t>
        </is>
      </c>
      <c r="R10" s="13" t="n"/>
      <c r="S10" s="13" t="n"/>
      <c r="U10" s="13" t="inlineStr">
        <is>
          <t>吊车/租车</t>
        </is>
      </c>
      <c r="V10" s="13" t="inlineStr">
        <is>
          <t>成本-车运</t>
        </is>
      </c>
      <c r="X10" s="13" t="inlineStr">
        <is>
          <t>根</t>
        </is>
      </c>
      <c r="Z10" s="15">
        <f>IF(ROW()-3&lt;=COUNTA($E$4:$E$253),INDEX($E$4:$E$253,ROW()-3),IF(ROW()-3-COUNTA($E$4:$E$253)&lt;=COUNTA($G$4:$G$153),INDEX($G$4:$G$153,ROW()-3-COUNTA($E$4:$E$253)),""))</f>
        <v/>
      </c>
    </row>
    <row r="11">
      <c r="A11" s="13" t="n"/>
      <c r="B11" s="14" t="n"/>
      <c r="E11" s="13" t="inlineStr">
        <is>
          <t>钟管熟食店</t>
        </is>
      </c>
      <c r="G11" s="13" t="inlineStr">
        <is>
          <t>安吉鑫龙</t>
        </is>
      </c>
      <c r="I11" s="13" t="inlineStr">
        <is>
          <t>外发加工</t>
        </is>
      </c>
      <c r="J11" s="13" t="inlineStr">
        <is>
          <t>成本-主材</t>
        </is>
      </c>
      <c r="L11" s="13" t="inlineStr">
        <is>
          <t>费用-管理</t>
        </is>
      </c>
      <c r="N11" s="13" t="n"/>
      <c r="P11" s="13" t="inlineStr">
        <is>
          <t>其他</t>
        </is>
      </c>
      <c r="R11" s="13" t="n"/>
      <c r="S11" s="13" t="n"/>
      <c r="U11" s="13" t="inlineStr">
        <is>
          <t>运费/搬运</t>
        </is>
      </c>
      <c r="V11" s="13" t="inlineStr">
        <is>
          <t>成本-车运</t>
        </is>
      </c>
      <c r="X11" s="13" t="inlineStr">
        <is>
          <t>条</t>
        </is>
      </c>
      <c r="Z11" s="15">
        <f>IF(ROW()-3&lt;=COUNTA($E$4:$E$253),INDEX($E$4:$E$253,ROW()-3),IF(ROW()-3-COUNTA($E$4:$E$253)&lt;=COUNTA($G$4:$G$153),INDEX($G$4:$G$153,ROW()-3-COUNTA($E$4:$E$253)),""))</f>
        <v/>
      </c>
    </row>
    <row r="12">
      <c r="A12" s="13" t="n"/>
      <c r="B12" s="14" t="n"/>
      <c r="E12" s="13" t="inlineStr">
        <is>
          <t>螺有名灯箱门头</t>
        </is>
      </c>
      <c r="G12" s="13" t="inlineStr">
        <is>
          <t>章凡</t>
        </is>
      </c>
      <c r="I12" s="13" t="inlineStr">
        <is>
          <t>辅材采购</t>
        </is>
      </c>
      <c r="J12" s="13" t="inlineStr">
        <is>
          <t>成本-辅材</t>
        </is>
      </c>
      <c r="L12" s="13" t="inlineStr">
        <is>
          <t>费用-销售</t>
        </is>
      </c>
      <c r="N12" s="13" t="n"/>
      <c r="P12" s="13" t="n"/>
      <c r="R12" s="13" t="n"/>
      <c r="S12" s="13" t="n"/>
      <c r="U12" s="13" t="n"/>
      <c r="V12" s="13" t="n"/>
      <c r="X12" s="13" t="inlineStr">
        <is>
          <t>箱</t>
        </is>
      </c>
      <c r="Z12" s="15">
        <f>IF(ROW()-3&lt;=COUNTA($E$4:$E$253),INDEX($E$4:$E$253,ROW()-3),IF(ROW()-3-COUNTA($E$4:$E$253)&lt;=COUNTA($G$4:$G$153),INDEX($G$4:$G$153,ROW()-3-COUNTA($E$4:$E$253)),""))</f>
        <v/>
      </c>
    </row>
    <row r="13">
      <c r="A13" s="13" t="n"/>
      <c r="B13" s="14" t="n"/>
      <c r="E13" s="13" t="inlineStr">
        <is>
          <t>汕味杏花室内项目</t>
        </is>
      </c>
      <c r="G13" s="13" t="inlineStr">
        <is>
          <t>浩智蚀刻标识标牌</t>
        </is>
      </c>
      <c r="I13" s="13" t="inlineStr">
        <is>
          <t>网购材料耗材</t>
        </is>
      </c>
      <c r="J13" s="13" t="inlineStr">
        <is>
          <t>成本-辅材</t>
        </is>
      </c>
      <c r="L13" s="13" t="inlineStr">
        <is>
          <t>费用-财务</t>
        </is>
      </c>
      <c r="N13" s="13" t="n"/>
      <c r="P13" s="13" t="n"/>
      <c r="R13" s="13" t="n"/>
      <c r="S13" s="13" t="n"/>
      <c r="U13" s="13" t="n"/>
      <c r="V13" s="13" t="n"/>
      <c r="X13" s="13" t="inlineStr">
        <is>
          <t>桶</t>
        </is>
      </c>
      <c r="Z13" s="15">
        <f>IF(ROW()-3&lt;=COUNTA($E$4:$E$253),INDEX($E$4:$E$253,ROW()-3),IF(ROW()-3-COUNTA($E$4:$E$253)&lt;=COUNTA($G$4:$G$153),INDEX($G$4:$G$153,ROW()-3-COUNTA($E$4:$E$253)),""))</f>
        <v/>
      </c>
    </row>
    <row r="14">
      <c r="E14" s="13" t="inlineStr">
        <is>
          <t>双林面馆-滨河路</t>
        </is>
      </c>
      <c r="G14" s="13" t="inlineStr">
        <is>
          <t>天津货拉拉科技有限</t>
        </is>
      </c>
      <c r="I14" s="13" t="inlineStr">
        <is>
          <t>五金耗材</t>
        </is>
      </c>
      <c r="J14" s="13" t="inlineStr">
        <is>
          <t>成本-辅材</t>
        </is>
      </c>
      <c r="L14" s="13" t="inlineStr">
        <is>
          <t>其他-营业外收入</t>
        </is>
      </c>
      <c r="N14" s="13" t="n"/>
      <c r="P14" s="13" t="n"/>
      <c r="R14" s="13" t="n"/>
      <c r="S14" s="13" t="n"/>
      <c r="U14" s="13" t="n"/>
      <c r="V14" s="13" t="n"/>
      <c r="X14" s="13" t="inlineStr">
        <is>
          <t>支</t>
        </is>
      </c>
      <c r="Z14" s="15">
        <f>IF(ROW()-3&lt;=COUNTA($E$4:$E$253),INDEX($E$4:$E$253,ROW()-3),IF(ROW()-3-COUNTA($E$4:$E$253)&lt;=COUNTA($G$4:$G$153),INDEX($G$4:$G$153,ROW()-3-COUNTA($E$4:$E$253)),""))</f>
        <v/>
      </c>
    </row>
    <row r="15">
      <c r="E15" s="13" t="inlineStr">
        <is>
          <t>梓灿软装</t>
        </is>
      </c>
      <c r="G15" s="13" t="inlineStr">
        <is>
          <t>一利钢材</t>
        </is>
      </c>
      <c r="I15" s="13" t="inlineStr">
        <is>
          <t>设计费</t>
        </is>
      </c>
      <c r="J15" s="13" t="inlineStr">
        <is>
          <t>成本-人工</t>
        </is>
      </c>
      <c r="L15" s="13" t="inlineStr">
        <is>
          <t>其他-营业外支出</t>
        </is>
      </c>
      <c r="N15" s="13" t="n"/>
      <c r="P15" s="13" t="n"/>
      <c r="R15" s="13" t="n"/>
      <c r="S15" s="13" t="n"/>
      <c r="U15" s="13" t="n"/>
      <c r="V15" s="13" t="n"/>
      <c r="X15" s="13" t="inlineStr">
        <is>
          <t>卷</t>
        </is>
      </c>
      <c r="Z15" s="15">
        <f>IF(ROW()-3&lt;=COUNTA($E$4:$E$253),INDEX($E$4:$E$253,ROW()-3),IF(ROW()-3-COUNTA($E$4:$E$253)&lt;=COUNTA($G$4:$G$153),INDEX($G$4:$G$153,ROW()-3-COUNTA($E$4:$E$253)),""))</f>
        <v/>
      </c>
    </row>
    <row r="16">
      <c r="E16" s="13" t="inlineStr">
        <is>
          <t>长颈鹿庄园</t>
        </is>
      </c>
      <c r="G16" s="13" t="inlineStr">
        <is>
          <t>小王加工厂</t>
        </is>
      </c>
      <c r="I16" s="13" t="inlineStr">
        <is>
          <t>制作工资</t>
        </is>
      </c>
      <c r="J16" s="13" t="inlineStr">
        <is>
          <t>成本-人工</t>
        </is>
      </c>
      <c r="L16" s="13" t="inlineStr">
        <is>
          <t>往来-货款</t>
        </is>
      </c>
      <c r="N16" s="13" t="n"/>
      <c r="U16" s="13" t="n"/>
      <c r="V16" s="13" t="n"/>
      <c r="X16" s="13" t="inlineStr">
        <is>
          <t>工</t>
        </is>
      </c>
      <c r="Z16" s="15">
        <f>IF(ROW()-3&lt;=COUNTA($E$4:$E$253),INDEX($E$4:$E$253,ROW()-3),IF(ROW()-3-COUNTA($E$4:$E$253)&lt;=COUNTA($G$4:$G$153),INDEX($G$4:$G$153,ROW()-3-COUNTA($E$4:$E$253)),""))</f>
        <v/>
      </c>
    </row>
    <row r="17">
      <c r="E17" s="13" t="inlineStr">
        <is>
          <t>国智校服</t>
        </is>
      </c>
      <c r="G17" s="13" t="inlineStr">
        <is>
          <t>甄铭</t>
        </is>
      </c>
      <c r="I17" s="13" t="inlineStr">
        <is>
          <t>安装工资</t>
        </is>
      </c>
      <c r="J17" s="13" t="inlineStr">
        <is>
          <t>成本-人工</t>
        </is>
      </c>
      <c r="L17" s="13" t="inlineStr">
        <is>
          <t>往来-借贷</t>
        </is>
      </c>
      <c r="N17" s="13" t="n"/>
      <c r="U17" s="13" t="n"/>
      <c r="V17" s="13" t="n"/>
      <c r="X17" s="13" t="inlineStr">
        <is>
          <t>天</t>
        </is>
      </c>
      <c r="Z17" s="15">
        <f>IF(ROW()-3&lt;=COUNTA($E$4:$E$253),INDEX($E$4:$E$253,ROW()-3),IF(ROW()-3-COUNTA($E$4:$E$253)&lt;=COUNTA($G$4:$G$153),INDEX($G$4:$G$153,ROW()-3-COUNTA($E$4:$E$253)),""))</f>
        <v/>
      </c>
    </row>
    <row r="18">
      <c r="E18" s="13" t="inlineStr">
        <is>
          <t>民盛生鲜店</t>
        </is>
      </c>
      <c r="G18" s="13" t="inlineStr">
        <is>
          <t>小王</t>
        </is>
      </c>
      <c r="I18" s="13" t="inlineStr">
        <is>
          <t>加班费</t>
        </is>
      </c>
      <c r="J18" s="13" t="inlineStr">
        <is>
          <t>成本-人工</t>
        </is>
      </c>
      <c r="L18" s="13" t="inlineStr">
        <is>
          <t>内部转账</t>
        </is>
      </c>
      <c r="N18" s="13" t="n"/>
      <c r="X18" s="13" t="inlineStr">
        <is>
          <t>次</t>
        </is>
      </c>
      <c r="Z18" s="15">
        <f>IF(ROW()-3&lt;=COUNTA($E$4:$E$253),INDEX($E$4:$E$253,ROW()-3),IF(ROW()-3-COUNTA($E$4:$E$253)&lt;=COUNTA($G$4:$G$153),INDEX($G$4:$G$153,ROW()-3-COUNTA($E$4:$E$253)),""))</f>
        <v/>
      </c>
    </row>
    <row r="19">
      <c r="E19" s="13" t="inlineStr">
        <is>
          <t>饺子店</t>
        </is>
      </c>
      <c r="G19" s="13" t="inlineStr">
        <is>
          <t>水尚</t>
        </is>
      </c>
      <c r="I19" s="13" t="inlineStr">
        <is>
          <t>外叫小工</t>
        </is>
      </c>
      <c r="J19" s="13" t="inlineStr">
        <is>
          <t>成本-人工</t>
        </is>
      </c>
      <c r="L19" s="13" t="n"/>
      <c r="N19" s="13" t="n"/>
      <c r="X19" s="13" t="inlineStr">
        <is>
          <t>趟</t>
        </is>
      </c>
      <c r="Z19" s="15">
        <f>IF(ROW()-3&lt;=COUNTA($E$4:$E$253),INDEX($E$4:$E$253,ROW()-3),IF(ROW()-3-COUNTA($E$4:$E$253)&lt;=COUNTA($G$4:$G$153),INDEX($G$4:$G$153,ROW()-3-COUNTA($E$4:$E$253)),""))</f>
        <v/>
      </c>
    </row>
    <row r="20">
      <c r="E20" s="13" t="inlineStr">
        <is>
          <t>睿芯行</t>
        </is>
      </c>
      <c r="G20" s="13" t="inlineStr">
        <is>
          <t>杭州杜邦软膜</t>
        </is>
      </c>
      <c r="I20" s="13" t="inlineStr">
        <is>
          <t>运费/快递费</t>
        </is>
      </c>
      <c r="J20" s="13" t="inlineStr">
        <is>
          <t>成本-车运</t>
        </is>
      </c>
      <c r="L20" s="13" t="n"/>
      <c r="N20" s="13" t="n"/>
      <c r="X20" s="13" t="inlineStr">
        <is>
          <t>项</t>
        </is>
      </c>
      <c r="Z20" s="15">
        <f>IF(ROW()-3&lt;=COUNTA($E$4:$E$253),INDEX($E$4:$E$253,ROW()-3),IF(ROW()-3-COUNTA($E$4:$E$253)&lt;=COUNTA($G$4:$G$153),INDEX($G$4:$G$153,ROW()-3-COUNTA($E$4:$E$253)),""))</f>
        <v/>
      </c>
    </row>
    <row r="21">
      <c r="E21" s="13" t="inlineStr">
        <is>
          <t>东尼新能源</t>
        </is>
      </c>
      <c r="G21" s="13" t="inlineStr">
        <is>
          <t>浙江孚泰</t>
        </is>
      </c>
      <c r="I21" s="13" t="inlineStr">
        <is>
          <t>车费/油费/过路费</t>
        </is>
      </c>
      <c r="J21" s="13" t="inlineStr">
        <is>
          <t>成本-车运</t>
        </is>
      </c>
      <c r="L21" s="13" t="n"/>
      <c r="N21" s="13" t="n"/>
      <c r="X21" s="13" t="inlineStr">
        <is>
          <t>批</t>
        </is>
      </c>
      <c r="Z21" s="15">
        <f>IF(ROW()-3&lt;=COUNTA($E$4:$E$253),INDEX($E$4:$E$253,ROW()-3),IF(ROW()-3-COUNTA($E$4:$E$253)&lt;=COUNTA($G$4:$G$153),INDEX($G$4:$G$153,ROW()-3-COUNTA($E$4:$E$253)),""))</f>
        <v/>
      </c>
    </row>
    <row r="22">
      <c r="E22" s="13" t="inlineStr">
        <is>
          <t>盛昊篷车</t>
        </is>
      </c>
      <c r="G22" s="13" t="inlineStr">
        <is>
          <t>吉祥铝板吴玲芳</t>
        </is>
      </c>
      <c r="I22" s="13" t="inlineStr">
        <is>
          <t>吊车/租车费</t>
        </is>
      </c>
      <c r="J22" s="13" t="inlineStr">
        <is>
          <t>成本-车运</t>
        </is>
      </c>
      <c r="L22" s="13" t="n"/>
      <c r="N22" s="13" t="n"/>
      <c r="X22" s="13" t="inlineStr">
        <is>
          <t>台</t>
        </is>
      </c>
      <c r="Z22" s="15">
        <f>IF(ROW()-3&lt;=COUNTA($E$4:$E$253),INDEX($E$4:$E$253,ROW()-3),IF(ROW()-3-COUNTA($E$4:$E$253)&lt;=COUNTA($G$4:$G$153),INDEX($G$4:$G$153,ROW()-3-COUNTA($E$4:$E$253)),""))</f>
        <v/>
      </c>
    </row>
    <row r="23">
      <c r="E23" s="13" t="inlineStr">
        <is>
          <t>付炳秀配送</t>
        </is>
      </c>
      <c r="G23" s="13" t="inlineStr">
        <is>
          <t>上达铝板</t>
        </is>
      </c>
      <c r="I23" s="13" t="inlineStr">
        <is>
          <t>项目餐费补助</t>
        </is>
      </c>
      <c r="J23" s="13" t="inlineStr">
        <is>
          <t>成本-其他</t>
        </is>
      </c>
      <c r="L23" s="13" t="n"/>
      <c r="N23" s="13" t="n"/>
      <c r="X23" s="13" t="inlineStr">
        <is>
          <t>组</t>
        </is>
      </c>
      <c r="Z23" s="15">
        <f>IF(ROW()-3&lt;=COUNTA($E$4:$E$253),INDEX($E$4:$E$253,ROW()-3),IF(ROW()-3-COUNTA($E$4:$E$253)&lt;=COUNTA($G$4:$G$153),INDEX($G$4:$G$153,ROW()-3-COUNTA($E$4:$E$253)),""))</f>
        <v/>
      </c>
    </row>
    <row r="24">
      <c r="E24" s="13" t="inlineStr">
        <is>
          <t>万达kvv</t>
        </is>
      </c>
      <c r="G24" s="13" t="inlineStr">
        <is>
          <t>北京京邦达贸易有限</t>
        </is>
      </c>
      <c r="I24" s="13" t="inlineStr">
        <is>
          <t>其他直接费用</t>
        </is>
      </c>
      <c r="J24" s="13" t="inlineStr">
        <is>
          <t>成本-其他</t>
        </is>
      </c>
      <c r="N24" s="13" t="n"/>
      <c r="X24" s="13" t="inlineStr">
        <is>
          <t>m²</t>
        </is>
      </c>
      <c r="Z24" s="15">
        <f>IF(ROW()-3&lt;=COUNTA($E$4:$E$253),INDEX($E$4:$E$253,ROW()-3),IF(ROW()-3-COUNTA($E$4:$E$253)&lt;=COUNTA($G$4:$G$153),INDEX($G$4:$G$153,ROW()-3-COUNTA($E$4:$E$253)),""))</f>
        <v/>
      </c>
    </row>
    <row r="25">
      <c r="E25" s="13" t="inlineStr">
        <is>
          <t>织里店</t>
        </is>
      </c>
      <c r="G25" s="13" t="inlineStr">
        <is>
          <t>外叫租赁</t>
        </is>
      </c>
      <c r="I25" s="13" t="inlineStr">
        <is>
          <t>员工工资</t>
        </is>
      </c>
      <c r="J25" s="13" t="inlineStr">
        <is>
          <t>费用-管理</t>
        </is>
      </c>
      <c r="N25" s="13" t="n"/>
      <c r="X25" s="13" t="inlineStr">
        <is>
          <t>千克</t>
        </is>
      </c>
      <c r="Z25" s="15">
        <f>IF(ROW()-3&lt;=COUNTA($E$4:$E$253),INDEX($E$4:$E$253,ROW()-3),IF(ROW()-3-COUNTA($E$4:$E$253)&lt;=COUNTA($G$4:$G$153),INDEX($G$4:$G$153,ROW()-3-COUNTA($E$4:$E$253)),""))</f>
        <v/>
      </c>
    </row>
    <row r="26">
      <c r="E26" s="13" t="inlineStr">
        <is>
          <t>高恒荣熟食店</t>
        </is>
      </c>
      <c r="G26" s="13" t="inlineStr">
        <is>
          <t>匠心</t>
        </is>
      </c>
      <c r="I26" s="13" t="inlineStr">
        <is>
          <t>社保公积金</t>
        </is>
      </c>
      <c r="J26" s="13" t="inlineStr">
        <is>
          <t>费用-管理</t>
        </is>
      </c>
      <c r="N26" s="13" t="n"/>
      <c r="X26" s="13" t="n"/>
      <c r="Z26" s="15">
        <f>IF(ROW()-3&lt;=COUNTA($E$4:$E$253),INDEX($E$4:$E$253,ROW()-3),IF(ROW()-3-COUNTA($E$4:$E$253)&lt;=COUNTA($G$4:$G$153),INDEX($G$4:$G$153,ROW()-3-COUNTA($E$4:$E$253)),""))</f>
        <v/>
      </c>
    </row>
    <row r="27">
      <c r="E27" s="13" t="inlineStr">
        <is>
          <t>卓越桌球</t>
        </is>
      </c>
      <c r="G27" s="13" t="inlineStr">
        <is>
          <t>杭州水尚装饰</t>
        </is>
      </c>
      <c r="I27" s="13" t="inlineStr">
        <is>
          <t>房租水电</t>
        </is>
      </c>
      <c r="J27" s="13" t="inlineStr">
        <is>
          <t>费用-管理</t>
        </is>
      </c>
      <c r="N27" s="13" t="n"/>
      <c r="X27" s="13" t="n"/>
      <c r="Z27" s="15">
        <f>IF(ROW()-3&lt;=COUNTA($E$4:$E$253),INDEX($E$4:$E$253,ROW()-3),IF(ROW()-3-COUNTA($E$4:$E$253)&lt;=COUNTA($G$4:$G$153),INDEX($G$4:$G$153,ROW()-3-COUNTA($E$4:$E$253)),""))</f>
        <v/>
      </c>
    </row>
    <row r="28">
      <c r="E28" s="13" t="inlineStr">
        <is>
          <t>东尼电子</t>
        </is>
      </c>
      <c r="G28" s="13" t="inlineStr">
        <is>
          <t>点工</t>
        </is>
      </c>
      <c r="I28" s="13" t="inlineStr">
        <is>
          <t>办公用品</t>
        </is>
      </c>
      <c r="J28" s="13" t="inlineStr">
        <is>
          <t>费用-管理</t>
        </is>
      </c>
      <c r="N28" s="13" t="n"/>
      <c r="X28" s="13" t="n"/>
      <c r="Z28" s="15">
        <f>IF(ROW()-3&lt;=COUNTA($E$4:$E$253),INDEX($E$4:$E$253,ROW()-3),IF(ROW()-3-COUNTA($E$4:$E$253)&lt;=COUNTA($G$4:$G$153),INDEX($G$4:$G$153,ROW()-3-COUNTA($E$4:$E$253)),""))</f>
        <v/>
      </c>
    </row>
    <row r="29">
      <c r="E29" s="13" t="inlineStr">
        <is>
          <t>犇腾牛排</t>
        </is>
      </c>
      <c r="G29" s="13" t="inlineStr">
        <is>
          <t>灯箱哥</t>
        </is>
      </c>
      <c r="I29" s="13" t="inlineStr">
        <is>
          <t>通讯费</t>
        </is>
      </c>
      <c r="J29" s="13" t="inlineStr">
        <is>
          <t>费用-管理</t>
        </is>
      </c>
      <c r="N29" s="13" t="n"/>
      <c r="X29" s="13" t="n"/>
      <c r="Z29" s="15">
        <f>IF(ROW()-3&lt;=COUNTA($E$4:$E$253),INDEX($E$4:$E$253,ROW()-3),IF(ROW()-3-COUNTA($E$4:$E$253)&lt;=COUNTA($G$4:$G$153),INDEX($G$4:$G$153,ROW()-3-COUNTA($E$4:$E$253)),""))</f>
        <v/>
      </c>
    </row>
    <row r="30">
      <c r="E30" s="13" t="inlineStr">
        <is>
          <t>校服基地</t>
        </is>
      </c>
      <c r="G30" s="13" t="inlineStr">
        <is>
          <t>1.71*5.61</t>
        </is>
      </c>
      <c r="I30" s="13" t="inlineStr">
        <is>
          <t>差旅费</t>
        </is>
      </c>
      <c r="J30" s="13" t="inlineStr">
        <is>
          <t>费用-管理</t>
        </is>
      </c>
      <c r="N30" s="13" t="n"/>
      <c r="X30" s="13" t="n"/>
      <c r="Z30" s="15">
        <f>IF(ROW()-3&lt;=COUNTA($E$4:$E$253),INDEX($E$4:$E$253,ROW()-3),IF(ROW()-3-COUNTA($E$4:$E$253)&lt;=COUNTA($G$4:$G$153),INDEX($G$4:$G$153,ROW()-3-COUNTA($E$4:$E$253)),""))</f>
        <v/>
      </c>
    </row>
    <row r="31">
      <c r="E31" s="13" t="inlineStr">
        <is>
          <t>德清钟管菜市场</t>
        </is>
      </c>
      <c r="G31" s="13" t="inlineStr">
        <is>
          <t>武帝</t>
        </is>
      </c>
      <c r="I31" s="13" t="inlineStr">
        <is>
          <t>业务招待/餐费</t>
        </is>
      </c>
      <c r="J31" s="13" t="inlineStr">
        <is>
          <t>费用-管理</t>
        </is>
      </c>
      <c r="N31" s="13" t="n"/>
      <c r="X31" s="13" t="n"/>
      <c r="Z31" s="15">
        <f>IF(ROW()-3&lt;=COUNTA($E$4:$E$253),INDEX($E$4:$E$253,ROW()-3),IF(ROW()-3-COUNTA($E$4:$E$253)&lt;=COUNTA($G$4:$G$153),INDEX($G$4:$G$153,ROW()-3-COUNTA($E$4:$E$253)),""))</f>
        <v/>
      </c>
    </row>
    <row r="32">
      <c r="E32" s="13" t="inlineStr">
        <is>
          <t>中交</t>
        </is>
      </c>
      <c r="G32" s="13" t="inlineStr">
        <is>
          <t>泰发五金</t>
        </is>
      </c>
      <c r="I32" s="13" t="inlineStr">
        <is>
          <t>团建费</t>
        </is>
      </c>
      <c r="J32" s="13" t="inlineStr">
        <is>
          <t>费用-管理</t>
        </is>
      </c>
      <c r="N32" s="13" t="n"/>
      <c r="X32" s="13" t="n"/>
      <c r="Z32" s="15">
        <f>IF(ROW()-3&lt;=COUNTA($E$4:$E$253),INDEX($E$4:$E$253,ROW()-3),IF(ROW()-3-COUNTA($E$4:$E$253)&lt;=COUNTA($G$4:$G$153),INDEX($G$4:$G$153,ROW()-3-COUNTA($E$4:$E$253)),""))</f>
        <v/>
      </c>
    </row>
    <row r="33">
      <c r="E33" s="13" t="inlineStr">
        <is>
          <t>vip宠物乐园</t>
        </is>
      </c>
      <c r="G33" s="13" t="inlineStr">
        <is>
          <t>周学峰</t>
        </is>
      </c>
      <c r="I33" s="13" t="inlineStr">
        <is>
          <t>车辆费用(非项目)</t>
        </is>
      </c>
      <c r="J33" s="13" t="inlineStr">
        <is>
          <t>费用-管理</t>
        </is>
      </c>
      <c r="N33" s="13" t="n"/>
      <c r="X33" s="13" t="n"/>
      <c r="Z33" s="15">
        <f>IF(ROW()-3&lt;=COUNTA($E$4:$E$253),INDEX($E$4:$E$253,ROW()-3),IF(ROW()-3-COUNTA($E$4:$E$253)&lt;=COUNTA($G$4:$G$153),INDEX($G$4:$G$153,ROW()-3-COUNTA($E$4:$E$253)),""))</f>
        <v/>
      </c>
    </row>
    <row r="34">
      <c r="E34" s="13" t="inlineStr">
        <is>
          <t>安吉车贴项目</t>
        </is>
      </c>
      <c r="G34" s="13" t="inlineStr">
        <is>
          <t>顺丰快递费</t>
        </is>
      </c>
      <c r="I34" s="13" t="inlineStr">
        <is>
          <t>税金</t>
        </is>
      </c>
      <c r="J34" s="13" t="inlineStr">
        <is>
          <t>费用-管理</t>
        </is>
      </c>
      <c r="N34" s="13" t="n"/>
      <c r="Z34" s="15">
        <f>IF(ROW()-3&lt;=COUNTA($E$4:$E$253),INDEX($E$4:$E$253,ROW()-3),IF(ROW()-3-COUNTA($E$4:$E$253)&lt;=COUNTA($G$4:$G$153),INDEX($G$4:$G$153,ROW()-3-COUNTA($E$4:$E$253)),""))</f>
        <v/>
      </c>
    </row>
    <row r="35">
      <c r="E35" s="13" t="inlineStr">
        <is>
          <t>最爱潘多拉ktv</t>
        </is>
      </c>
      <c r="G35" s="13" t="inlineStr">
        <is>
          <t>吴玲芳</t>
        </is>
      </c>
      <c r="I35" s="13" t="inlineStr">
        <is>
          <t>其他管理费用</t>
        </is>
      </c>
      <c r="J35" s="13" t="inlineStr">
        <is>
          <t>费用-管理</t>
        </is>
      </c>
      <c r="N35" s="13" t="n"/>
      <c r="Z35" s="15">
        <f>IF(ROW()-3&lt;=COUNTA($E$4:$E$253),INDEX($E$4:$E$253,ROW()-3),IF(ROW()-3-COUNTA($E$4:$E$253)&lt;=COUNTA($G$4:$G$153),INDEX($G$4:$G$153,ROW()-3-COUNTA($E$4:$E$253)),""))</f>
        <v/>
      </c>
    </row>
    <row r="36">
      <c r="E36" s="13" t="inlineStr">
        <is>
          <t>小谷姐姐</t>
        </is>
      </c>
      <c r="G36" s="13" t="inlineStr">
        <is>
          <t>津华钢铁张总</t>
        </is>
      </c>
      <c r="I36" s="13" t="inlineStr">
        <is>
          <t>广告推广</t>
        </is>
      </c>
      <c r="J36" s="13" t="inlineStr">
        <is>
          <t>费用-销售</t>
        </is>
      </c>
      <c r="N36" s="13" t="n"/>
      <c r="Z36" s="15">
        <f>IF(ROW()-3&lt;=COUNTA($E$4:$E$253),INDEX($E$4:$E$253,ROW()-3),IF(ROW()-3-COUNTA($E$4:$E$253)&lt;=COUNTA($G$4:$G$153),INDEX($G$4:$G$153,ROW()-3-COUNTA($E$4:$E$253)),""))</f>
        <v/>
      </c>
    </row>
    <row r="37">
      <c r="E37" s="13" t="inlineStr">
        <is>
          <t>每甜</t>
        </is>
      </c>
      <c r="G37" s="13" t="inlineStr">
        <is>
          <t>220V不防水区块65</t>
        </is>
      </c>
      <c r="I37" s="13" t="inlineStr">
        <is>
          <t>平台服务费</t>
        </is>
      </c>
      <c r="J37" s="13" t="inlineStr">
        <is>
          <t>费用-销售</t>
        </is>
      </c>
      <c r="N37" s="13" t="n"/>
      <c r="Z37" s="15">
        <f>IF(ROW()-3&lt;=COUNTA($E$4:$E$253),INDEX($E$4:$E$253,ROW()-3),IF(ROW()-3-COUNTA($E$4:$E$253)&lt;=COUNTA($G$4:$G$153),INDEX($G$4:$G$153,ROW()-3-COUNTA($E$4:$E$253)),""))</f>
        <v/>
      </c>
    </row>
    <row r="38">
      <c r="E38" s="13" t="inlineStr">
        <is>
          <t>芒屿</t>
        </is>
      </c>
      <c r="G38" s="13" t="inlineStr">
        <is>
          <t>国智校服发光字背板</t>
        </is>
      </c>
      <c r="I38" s="13" t="inlineStr">
        <is>
          <t>业务提成</t>
        </is>
      </c>
      <c r="J38" s="13" t="inlineStr">
        <is>
          <t>费用-销售</t>
        </is>
      </c>
      <c r="N38" s="13" t="n"/>
      <c r="Z38" s="15">
        <f>IF(ROW()-3&lt;=COUNTA($E$4:$E$253),INDEX($E$4:$E$253,ROW()-3),IF(ROW()-3-COUNTA($E$4:$E$253)&lt;=COUNTA($G$4:$G$153),INDEX($G$4:$G$153,ROW()-3-COUNTA($E$4:$E$253)),""))</f>
        <v/>
      </c>
    </row>
    <row r="39">
      <c r="E39" s="13" t="inlineStr">
        <is>
          <t>小西街</t>
        </is>
      </c>
      <c r="G39" s="13" t="inlineStr">
        <is>
          <t>铝塑板</t>
        </is>
      </c>
      <c r="I39" s="13" t="inlineStr">
        <is>
          <t>银行手续费</t>
        </is>
      </c>
      <c r="J39" s="13" t="inlineStr">
        <is>
          <t>费用-财务</t>
        </is>
      </c>
      <c r="N39" s="13" t="n"/>
      <c r="Z39" s="15">
        <f>IF(ROW()-3&lt;=COUNTA($E$4:$E$253),INDEX($E$4:$E$253,ROW()-3),IF(ROW()-3-COUNTA($E$4:$E$253)&lt;=COUNTA($G$4:$G$153),INDEX($G$4:$G$153,ROW()-3-COUNTA($E$4:$E$253)),""))</f>
        <v/>
      </c>
    </row>
    <row r="40">
      <c r="E40" s="13" t="inlineStr">
        <is>
          <t>梦回唐朝</t>
        </is>
      </c>
      <c r="G40" s="13" t="inlineStr">
        <is>
          <t>亿优门牌</t>
        </is>
      </c>
      <c r="I40" s="13" t="inlineStr">
        <is>
          <t>利息支出</t>
        </is>
      </c>
      <c r="J40" s="13" t="inlineStr">
        <is>
          <t>费用-财务</t>
        </is>
      </c>
      <c r="N40" s="13" t="n"/>
      <c r="Z40" s="15">
        <f>IF(ROW()-3&lt;=COUNTA($E$4:$E$253),INDEX($E$4:$E$253,ROW()-3),IF(ROW()-3-COUNTA($E$4:$E$253)&lt;=COUNTA($G$4:$G$153),INDEX($G$4:$G$153,ROW()-3-COUNTA($E$4:$E$253)),""))</f>
        <v/>
      </c>
    </row>
    <row r="41">
      <c r="E41" s="13" t="inlineStr">
        <is>
          <t>kkv 犇腾牛排 朴太院</t>
        </is>
      </c>
      <c r="G41" s="13" t="inlineStr">
        <is>
          <t>定金</t>
        </is>
      </c>
      <c r="I41" s="13" t="inlineStr">
        <is>
          <t>利息收入</t>
        </is>
      </c>
      <c r="J41" s="13" t="inlineStr">
        <is>
          <t>费用-财务</t>
        </is>
      </c>
      <c r="N41" s="13" t="n"/>
      <c r="Z41" s="15">
        <f>IF(ROW()-3&lt;=COUNTA($E$4:$E$253),INDEX($E$4:$E$253,ROW()-3),IF(ROW()-3-COUNTA($E$4:$E$253)&lt;=COUNTA($G$4:$G$153),INDEX($G$4:$G$153,ROW()-3-COUNTA($E$4:$E$253)),""))</f>
        <v/>
      </c>
    </row>
    <row r="42">
      <c r="E42" s="13" t="inlineStr">
        <is>
          <t>定金-叶勇宾</t>
        </is>
      </c>
      <c r="G42" s="13" t="inlineStr">
        <is>
          <t>吉祥铝板</t>
        </is>
      </c>
      <c r="I42" s="13" t="inlineStr">
        <is>
          <t>付供应商货款</t>
        </is>
      </c>
      <c r="J42" s="13" t="inlineStr">
        <is>
          <t>往来-货款</t>
        </is>
      </c>
      <c r="N42" s="13" t="n"/>
      <c r="Z42" s="15">
        <f>IF(ROW()-3&lt;=COUNTA($E$4:$E$253),INDEX($E$4:$E$253,ROW()-3),IF(ROW()-3-COUNTA($E$4:$E$253)&lt;=COUNTA($G$4:$G$153),INDEX($G$4:$G$153,ROW()-3-COUNTA($E$4:$E$253)),""))</f>
        <v/>
      </c>
    </row>
    <row r="43">
      <c r="E43" s="13" t="inlineStr">
        <is>
          <t>盐池滩羊</t>
        </is>
      </c>
      <c r="G43" s="13" t="inlineStr">
        <is>
          <t>壹米滴答快递费</t>
        </is>
      </c>
      <c r="I43" s="13" t="inlineStr">
        <is>
          <t>代收代付</t>
        </is>
      </c>
      <c r="J43" s="13" t="inlineStr">
        <is>
          <t>往来-货款</t>
        </is>
      </c>
      <c r="N43" s="13" t="n"/>
      <c r="Z43" s="15">
        <f>IF(ROW()-3&lt;=COUNTA($E$4:$E$253),INDEX($E$4:$E$253,ROW()-3),IF(ROW()-3-COUNTA($E$4:$E$253)&lt;=COUNTA($G$4:$G$153),INDEX($G$4:$G$153,ROW()-3-COUNTA($E$4:$E$253)),""))</f>
        <v/>
      </c>
    </row>
    <row r="44">
      <c r="E44" s="13" t="inlineStr">
        <is>
          <t>织里水果店</t>
        </is>
      </c>
      <c r="G44" s="13" t="inlineStr">
        <is>
          <t>浙江星蓝思光电科技</t>
        </is>
      </c>
      <c r="I44" s="13" t="inlineStr">
        <is>
          <t>借出款</t>
        </is>
      </c>
      <c r="J44" s="13" t="inlineStr">
        <is>
          <t>往来-借贷</t>
        </is>
      </c>
      <c r="N44" s="13" t="n"/>
      <c r="Z44" s="15">
        <f>IF(ROW()-3&lt;=COUNTA($E$4:$E$253),INDEX($E$4:$E$253,ROW()-3),IF(ROW()-3-COUNTA($E$4:$E$253)&lt;=COUNTA($G$4:$G$153),INDEX($G$4:$G$153,ROW()-3-COUNTA($E$4:$E$253)),""))</f>
        <v/>
      </c>
    </row>
    <row r="45">
      <c r="E45" s="13" t="inlineStr">
        <is>
          <t>牛羊肉门头维修</t>
        </is>
      </c>
      <c r="G45" s="13" t="inlineStr">
        <is>
          <t>千里马</t>
        </is>
      </c>
      <c r="I45" s="13" t="inlineStr">
        <is>
          <t>收回借出款</t>
        </is>
      </c>
      <c r="J45" s="13" t="inlineStr">
        <is>
          <t>往来-借贷</t>
        </is>
      </c>
      <c r="N45" s="13" t="n"/>
      <c r="Z45" s="15">
        <f>IF(ROW()-3&lt;=COUNTA($E$4:$E$253),INDEX($E$4:$E$253,ROW()-3),IF(ROW()-3-COUNTA($E$4:$E$253)&lt;=COUNTA($G$4:$G$153),INDEX($G$4:$G$153,ROW()-3-COUNTA($E$4:$E$253)),""))</f>
        <v/>
      </c>
    </row>
    <row r="46">
      <c r="E46" s="13" t="inlineStr">
        <is>
          <t>朴太院</t>
        </is>
      </c>
      <c r="G46" s="13" t="inlineStr">
        <is>
          <t>凌宇报销车费用</t>
        </is>
      </c>
      <c r="I46" s="13" t="inlineStr">
        <is>
          <t>借入款</t>
        </is>
      </c>
      <c r="J46" s="13" t="inlineStr">
        <is>
          <t>往来-借贷</t>
        </is>
      </c>
      <c r="N46" s="13" t="n"/>
      <c r="Z46" s="15">
        <f>IF(ROW()-3&lt;=COUNTA($E$4:$E$253),INDEX($E$4:$E$253,ROW()-3),IF(ROW()-3-COUNTA($E$4:$E$253)&lt;=COUNTA($G$4:$G$153),INDEX($G$4:$G$153,ROW()-3-COUNTA($E$4:$E$253)),""))</f>
        <v/>
      </c>
    </row>
    <row r="47">
      <c r="E47" s="13" t="inlineStr">
        <is>
          <t>中医院</t>
        </is>
      </c>
      <c r="G47" s="13" t="inlineStr">
        <is>
          <t>新鸿业</t>
        </is>
      </c>
      <c r="I47" s="13" t="inlineStr">
        <is>
          <t>归还借入款</t>
        </is>
      </c>
      <c r="J47" s="13" t="inlineStr">
        <is>
          <t>往来-借贷</t>
        </is>
      </c>
      <c r="N47" s="13" t="n"/>
      <c r="Z47" s="15">
        <f>IF(ROW()-3&lt;=COUNTA($E$4:$E$253),INDEX($E$4:$E$253,ROW()-3),IF(ROW()-3-COUNTA($E$4:$E$253)&lt;=COUNTA($G$4:$G$153),INDEX($G$4:$G$153,ROW()-3-COUNTA($E$4:$E$253)),""))</f>
        <v/>
      </c>
    </row>
    <row r="48">
      <c r="E48" s="13" t="inlineStr">
        <is>
          <t>小刀电动车</t>
        </is>
      </c>
      <c r="G48" s="13" t="inlineStr">
        <is>
          <t>临沂方正</t>
        </is>
      </c>
      <c r="I48" s="13" t="inlineStr">
        <is>
          <t>股东投入</t>
        </is>
      </c>
      <c r="J48" s="13" t="inlineStr">
        <is>
          <t>往来-借贷</t>
        </is>
      </c>
      <c r="N48" s="13" t="n"/>
      <c r="Z48" s="15">
        <f>IF(ROW()-3&lt;=COUNTA($E$4:$E$253),INDEX($E$4:$E$253,ROW()-3),IF(ROW()-3-COUNTA($E$4:$E$253)&lt;=COUNTA($G$4:$G$153),INDEX($G$4:$G$153,ROW()-3-COUNTA($E$4:$E$253)),""))</f>
        <v/>
      </c>
    </row>
    <row r="49">
      <c r="E49" s="13" t="inlineStr">
        <is>
          <t>治盛科技</t>
        </is>
      </c>
      <c r="G49" s="13" t="inlineStr">
        <is>
          <t>浙江星蓝光电科技</t>
        </is>
      </c>
      <c r="I49" s="13" t="inlineStr">
        <is>
          <t>股东取款</t>
        </is>
      </c>
      <c r="J49" s="13" t="inlineStr">
        <is>
          <t>往来-借贷</t>
        </is>
      </c>
      <c r="N49" s="13" t="n"/>
      <c r="Z49" s="15">
        <f>IF(ROW()-3&lt;=COUNTA($E$4:$E$253),INDEX($E$4:$E$253,ROW()-3),IF(ROW()-3-COUNTA($E$4:$E$253)&lt;=COUNTA($G$4:$G$153),INDEX($G$4:$G$153,ROW()-3-COUNTA($E$4:$E$253)),""))</f>
        <v/>
      </c>
    </row>
    <row r="50">
      <c r="E50" s="13" t="inlineStr">
        <is>
          <t>tk桌球</t>
        </is>
      </c>
      <c r="G50" s="13" t="inlineStr">
        <is>
          <t>临沂匠心</t>
        </is>
      </c>
      <c r="I50" s="13" t="inlineStr">
        <is>
          <t>员工借支</t>
        </is>
      </c>
      <c r="J50" s="13" t="inlineStr">
        <is>
          <t>往来-借贷</t>
        </is>
      </c>
      <c r="N50" s="13" t="n"/>
      <c r="Z50" s="15">
        <f>IF(ROW()-3&lt;=COUNTA($E$4:$E$253),INDEX($E$4:$E$253,ROW()-3),IF(ROW()-3-COUNTA($E$4:$E$253)&lt;=COUNTA($G$4:$G$153),INDEX($G$4:$G$153,ROW()-3-COUNTA($E$4:$E$253)),""))</f>
        <v/>
      </c>
    </row>
    <row r="51">
      <c r="E51" s="13" t="inlineStr">
        <is>
          <t>范博嘉超市</t>
        </is>
      </c>
      <c r="G51" s="13" t="inlineStr">
        <is>
          <t>正利金属</t>
        </is>
      </c>
      <c r="I51" s="13" t="inlineStr">
        <is>
          <t>收回员工借支</t>
        </is>
      </c>
      <c r="J51" s="13" t="inlineStr">
        <is>
          <t>往来-借贷</t>
        </is>
      </c>
      <c r="N51" s="13" t="n"/>
      <c r="Z51" s="15">
        <f>IF(ROW()-3&lt;=COUNTA($E$4:$E$253),INDEX($E$4:$E$253,ROW()-3),IF(ROW()-3-COUNTA($E$4:$E$253)&lt;=COUNTA($G$4:$G$153),INDEX($G$4:$G$153,ROW()-3-COUNTA($E$4:$E$253)),""))</f>
        <v/>
      </c>
    </row>
    <row r="52">
      <c r="E52" s="13" t="inlineStr">
        <is>
          <t>如意茶馆</t>
        </is>
      </c>
      <c r="G52" s="13" t="inlineStr">
        <is>
          <t>LED显示屏</t>
        </is>
      </c>
      <c r="I52" s="13" t="inlineStr">
        <is>
          <t>账户互转</t>
        </is>
      </c>
      <c r="J52" s="13" t="inlineStr">
        <is>
          <t>内部转账</t>
        </is>
      </c>
      <c r="N52" s="13" t="n"/>
      <c r="Z52" s="15">
        <f>IF(ROW()-3&lt;=COUNTA($E$4:$E$253),INDEX($E$4:$E$253,ROW()-3),IF(ROW()-3-COUNTA($E$4:$E$253)&lt;=COUNTA($G$4:$G$153),INDEX($G$4:$G$153,ROW()-3-COUNTA($E$4:$E$253)),""))</f>
        <v/>
      </c>
    </row>
    <row r="53">
      <c r="E53" s="13" t="inlineStr">
        <is>
          <t>九熠装饰</t>
        </is>
      </c>
      <c r="G53" s="13" t="inlineStr">
        <is>
          <t>广迅UV雕刻文化墙展厅</t>
        </is>
      </c>
      <c r="I53" s="13" t="inlineStr">
        <is>
          <t>营业外收入</t>
        </is>
      </c>
      <c r="J53" s="13" t="inlineStr">
        <is>
          <t>其他-营业外收入</t>
        </is>
      </c>
      <c r="N53" s="13" t="n"/>
      <c r="Z53" s="15">
        <f>IF(ROW()-3&lt;=COUNTA($E$4:$E$253),INDEX($E$4:$E$253,ROW()-3),IF(ROW()-3-COUNTA($E$4:$E$253)&lt;=COUNTA($G$4:$G$153),INDEX($G$4:$G$153,ROW()-3-COUNTA($E$4:$E$253)),""))</f>
        <v/>
      </c>
    </row>
    <row r="54">
      <c r="E54" s="13" t="inlineStr">
        <is>
          <t>凤姐早餐店</t>
        </is>
      </c>
      <c r="G54" s="13" t="inlineStr">
        <is>
          <t>货拉拉运费</t>
        </is>
      </c>
      <c r="I54" s="13" t="inlineStr">
        <is>
          <t>营业外支出</t>
        </is>
      </c>
      <c r="J54" s="13" t="inlineStr">
        <is>
          <t>其他-营业外支出</t>
        </is>
      </c>
      <c r="Z54" s="15">
        <f>IF(ROW()-3&lt;=COUNTA($E$4:$E$253),INDEX($E$4:$E$253,ROW()-3),IF(ROW()-3-COUNTA($E$4:$E$253)&lt;=COUNTA($G$4:$G$153),INDEX($G$4:$G$153,ROW()-3-COUNTA($E$4:$E$253)),""))</f>
        <v/>
      </c>
    </row>
    <row r="55">
      <c r="E55" s="13" t="inlineStr">
        <is>
          <t>焰燃烧烤</t>
        </is>
      </c>
      <c r="G55" s="13" t="inlineStr">
        <is>
          <t>温州五金</t>
        </is>
      </c>
      <c r="I55" s="13" t="inlineStr">
        <is>
          <t>待分类</t>
        </is>
      </c>
      <c r="J55" s="13" t="inlineStr"/>
      <c r="Z55" s="15">
        <f>IF(ROW()-3&lt;=COUNTA($E$4:$E$253),INDEX($E$4:$E$253,ROW()-3),IF(ROW()-3-COUNTA($E$4:$E$253)&lt;=COUNTA($G$4:$G$153),INDEX($G$4:$G$153,ROW()-3-COUNTA($E$4:$E$253)),""))</f>
        <v/>
      </c>
    </row>
    <row r="56">
      <c r="E56" s="13" t="inlineStr">
        <is>
          <t>湖岸漫食</t>
        </is>
      </c>
      <c r="G56" s="13" t="inlineStr">
        <is>
          <t>京东货拉拉运费</t>
        </is>
      </c>
      <c r="I56" s="13" t="n"/>
      <c r="J56" s="13" t="n"/>
      <c r="Z56" s="15">
        <f>IF(ROW()-3&lt;=COUNTA($E$4:$E$253),INDEX($E$4:$E$253,ROW()-3),IF(ROW()-3-COUNTA($E$4:$E$253)&lt;=COUNTA($G$4:$G$153),INDEX($G$4:$G$153,ROW()-3-COUNTA($E$4:$E$253)),""))</f>
        <v/>
      </c>
    </row>
    <row r="57">
      <c r="E57" s="13" t="inlineStr">
        <is>
          <t>万达荣泰</t>
        </is>
      </c>
      <c r="G57" s="13" t="inlineStr">
        <is>
          <t>铝板运费</t>
        </is>
      </c>
      <c r="I57" s="13" t="n"/>
      <c r="J57" s="13" t="n"/>
      <c r="Z57" s="15">
        <f>IF(ROW()-3&lt;=COUNTA($E$4:$E$253),INDEX($E$4:$E$253,ROW()-3),IF(ROW()-3-COUNTA($E$4:$E$253)&lt;=COUNTA($G$4:$G$153),INDEX($G$4:$G$153,ROW()-3-COUNTA($E$4:$E$253)),""))</f>
        <v/>
      </c>
    </row>
    <row r="58">
      <c r="E58" s="13" t="inlineStr">
        <is>
          <t>玖味卤味</t>
        </is>
      </c>
      <c r="G58" s="13" t="inlineStr">
        <is>
          <t>万马不锈钢牌</t>
        </is>
      </c>
      <c r="I58" s="13" t="n"/>
      <c r="J58" s="13" t="n"/>
      <c r="Z58" s="15">
        <f>IF(ROW()-3&lt;=COUNTA($E$4:$E$253),INDEX($E$4:$E$253,ROW()-3),IF(ROW()-3-COUNTA($E$4:$E$253)&lt;=COUNTA($G$4:$G$153),INDEX($G$4:$G$153,ROW()-3-COUNTA($E$4:$E$253)),""))</f>
        <v/>
      </c>
    </row>
    <row r="59">
      <c r="E59" s="13" t="inlineStr">
        <is>
          <t>焰燃烧烤店</t>
        </is>
      </c>
      <c r="G59" s="13" t="inlineStr">
        <is>
          <t>永康五金百货</t>
        </is>
      </c>
      <c r="I59" s="13" t="n"/>
      <c r="J59" s="13" t="n"/>
      <c r="Z59" s="15">
        <f>IF(ROW()-3&lt;=COUNTA($E$4:$E$253),INDEX($E$4:$E$253,ROW()-3),IF(ROW()-3-COUNTA($E$4:$E$253)&lt;=COUNTA($G$4:$G$153),INDEX($G$4:$G$153,ROW()-3-COUNTA($E$4:$E$253)),""))</f>
        <v/>
      </c>
    </row>
    <row r="60">
      <c r="E60" s="13" t="inlineStr">
        <is>
          <t>东北烧烤大转盘店</t>
        </is>
      </c>
      <c r="G60" s="13" t="inlineStr">
        <is>
          <t>杭州炳秀德清配送王赛辉</t>
        </is>
      </c>
      <c r="I60" s="13" t="n"/>
      <c r="J60" s="13" t="n"/>
      <c r="Z60" s="15">
        <f>IF(ROW()-3&lt;=COUNTA($E$4:$E$253),INDEX($E$4:$E$253,ROW()-3),IF(ROW()-3-COUNTA($E$4:$E$253)&lt;=COUNTA($G$4:$G$153),INDEX($G$4:$G$153,ROW()-3-COUNTA($E$4:$E$253)),""))</f>
        <v/>
      </c>
    </row>
    <row r="61">
      <c r="E61" s="13" t="inlineStr">
        <is>
          <t>创艺装饰</t>
        </is>
      </c>
      <c r="G61" s="13" t="n"/>
      <c r="I61" s="13" t="n"/>
      <c r="J61" s="13" t="n"/>
      <c r="Z61" s="15">
        <f>IF(ROW()-3&lt;=COUNTA($E$4:$E$253),INDEX($E$4:$E$253,ROW()-3),IF(ROW()-3-COUNTA($E$4:$E$253)&lt;=COUNTA($G$4:$G$153),INDEX($G$4:$G$153,ROW()-3-COUNTA($E$4:$E$253)),""))</f>
        <v/>
      </c>
    </row>
    <row r="62">
      <c r="E62" s="13" t="inlineStr">
        <is>
          <t>坚蛋健身</t>
        </is>
      </c>
      <c r="G62" s="13" t="n"/>
      <c r="I62" s="13" t="n"/>
      <c r="J62" s="13" t="n"/>
      <c r="Z62" s="15">
        <f>IF(ROW()-3&lt;=COUNTA($E$4:$E$253),INDEX($E$4:$E$253,ROW()-3),IF(ROW()-3-COUNTA($E$4:$E$253)&lt;=COUNTA($G$4:$G$153),INDEX($G$4:$G$153,ROW()-3-COUNTA($E$4:$E$253)),""))</f>
        <v/>
      </c>
    </row>
    <row r="63">
      <c r="E63" s="13" t="inlineStr">
        <is>
          <t>许多多超市</t>
        </is>
      </c>
      <c r="G63" s="13" t="n"/>
      <c r="I63" s="13" t="n"/>
      <c r="J63" s="13" t="n"/>
      <c r="Z63" s="15">
        <f>IF(ROW()-3&lt;=COUNTA($E$4:$E$253),INDEX($E$4:$E$253,ROW()-3),IF(ROW()-3-COUNTA($E$4:$E$253)&lt;=COUNTA($G$4:$G$153),INDEX($G$4:$G$153,ROW()-3-COUNTA($E$4:$E$253)),""))</f>
        <v/>
      </c>
    </row>
    <row r="64">
      <c r="E64" s="13" t="inlineStr">
        <is>
          <t>圣薇依儿</t>
        </is>
      </c>
      <c r="G64" s="13" t="n"/>
      <c r="I64" s="13" t="n"/>
      <c r="J64" s="13" t="n"/>
      <c r="Z64" s="15">
        <f>IF(ROW()-3&lt;=COUNTA($E$4:$E$253),INDEX($E$4:$E$253,ROW()-3),IF(ROW()-3-COUNTA($E$4:$E$253)&lt;=COUNTA($G$4:$G$153),INDEX($G$4:$G$153,ROW()-3-COUNTA($E$4:$E$253)),""))</f>
        <v/>
      </c>
    </row>
    <row r="65">
      <c r="E65" s="13" t="inlineStr">
        <is>
          <t>浙江戴纳</t>
        </is>
      </c>
      <c r="G65" s="13" t="n"/>
      <c r="I65" s="13" t="n"/>
      <c r="J65" s="13" t="n"/>
      <c r="Z65" s="15">
        <f>IF(ROW()-3&lt;=COUNTA($E$4:$E$253),INDEX($E$4:$E$253,ROW()-3),IF(ROW()-3-COUNTA($E$4:$E$253)&lt;=COUNTA($G$4:$G$153),INDEX($G$4:$G$153,ROW()-3-COUNTA($E$4:$E$253)),""))</f>
        <v/>
      </c>
    </row>
    <row r="66">
      <c r="E66" s="13" t="inlineStr">
        <is>
          <t>纳载智能</t>
        </is>
      </c>
      <c r="G66" s="13" t="n"/>
      <c r="I66" s="13" t="n"/>
      <c r="J66" s="13" t="n"/>
      <c r="Z66" s="15">
        <f>IF(ROW()-3&lt;=COUNTA($E$4:$E$253),INDEX($E$4:$E$253,ROW()-3),IF(ROW()-3-COUNTA($E$4:$E$253)&lt;=COUNTA($G$4:$G$153),INDEX($G$4:$G$153,ROW()-3-COUNTA($E$4:$E$253)),""))</f>
        <v/>
      </c>
    </row>
    <row r="67">
      <c r="E67" s="13" t="inlineStr">
        <is>
          <t>瑞佳装饰</t>
        </is>
      </c>
      <c r="G67" s="13" t="n"/>
      <c r="I67" s="13" t="n"/>
      <c r="J67" s="13" t="n"/>
      <c r="Z67" s="15">
        <f>IF(ROW()-3&lt;=COUNTA($E$4:$E$253),INDEX($E$4:$E$253,ROW()-3),IF(ROW()-3-COUNTA($E$4:$E$253)&lt;=COUNTA($G$4:$G$153),INDEX($G$4:$G$153,ROW()-3-COUNTA($E$4:$E$253)),""))</f>
        <v/>
      </c>
    </row>
    <row r="68">
      <c r="E68" s="13" t="inlineStr">
        <is>
          <t>启航烟酒</t>
        </is>
      </c>
      <c r="G68" s="13" t="n"/>
      <c r="I68" s="13" t="n"/>
      <c r="J68" s="13" t="n"/>
      <c r="Z68" s="15">
        <f>IF(ROW()-3&lt;=COUNTA($E$4:$E$253),INDEX($E$4:$E$253,ROW()-3),IF(ROW()-3-COUNTA($E$4:$E$253)&lt;=COUNTA($G$4:$G$153),INDEX($G$4:$G$153,ROW()-3-COUNTA($E$4:$E$253)),""))</f>
        <v/>
      </c>
    </row>
    <row r="69">
      <c r="E69" s="13" t="inlineStr">
        <is>
          <t>全球购</t>
        </is>
      </c>
      <c r="G69" s="13" t="n"/>
      <c r="I69" s="13" t="n"/>
      <c r="J69" s="13" t="n"/>
      <c r="Z69" s="15">
        <f>IF(ROW()-3&lt;=COUNTA($E$4:$E$253),INDEX($E$4:$E$253,ROW()-3),IF(ROW()-3-COUNTA($E$4:$E$253)&lt;=COUNTA($G$4:$G$153),INDEX($G$4:$G$153,ROW()-3-COUNTA($E$4:$E$253)),""))</f>
        <v/>
      </c>
    </row>
    <row r="70">
      <c r="E70" s="13" t="inlineStr">
        <is>
          <t>安格斯烤串</t>
        </is>
      </c>
      <c r="G70" s="13" t="n"/>
      <c r="I70" s="13" t="n"/>
      <c r="J70" s="13" t="n"/>
      <c r="Z70" s="15">
        <f>IF(ROW()-3&lt;=COUNTA($E$4:$E$253),INDEX($E$4:$E$253,ROW()-3),IF(ROW()-3-COUNTA($E$4:$E$253)&lt;=COUNTA($G$4:$G$153),INDEX($G$4:$G$153,ROW()-3-COUNTA($E$4:$E$253)),""))</f>
        <v/>
      </c>
    </row>
    <row r="71">
      <c r="E71" s="13" t="inlineStr">
        <is>
          <t>行一文化</t>
        </is>
      </c>
      <c r="G71" s="13" t="n"/>
      <c r="I71" s="13" t="n"/>
      <c r="J71" s="13" t="n"/>
      <c r="Z71" s="15">
        <f>IF(ROW()-3&lt;=COUNTA($E$4:$E$253),INDEX($E$4:$E$253,ROW()-3),IF(ROW()-3-COUNTA($E$4:$E$253)&lt;=COUNTA($G$4:$G$153),INDEX($G$4:$G$153,ROW()-3-COUNTA($E$4:$E$253)),""))</f>
        <v/>
      </c>
    </row>
    <row r="72">
      <c r="E72" s="13" t="inlineStr">
        <is>
          <t>安格斯牛肉串</t>
        </is>
      </c>
      <c r="G72" s="13" t="n"/>
      <c r="I72" s="13" t="n"/>
      <c r="J72" s="13" t="n"/>
      <c r="Z72" s="15">
        <f>IF(ROW()-3&lt;=COUNTA($E$4:$E$253),INDEX($E$4:$E$253,ROW()-3),IF(ROW()-3-COUNTA($E$4:$E$253)&lt;=COUNTA($G$4:$G$153),INDEX($G$4:$G$153,ROW()-3-COUNTA($E$4:$E$253)),""))</f>
        <v/>
      </c>
    </row>
    <row r="73">
      <c r="E73" s="13" t="inlineStr">
        <is>
          <t>旺牛鲜牛鱼火锅</t>
        </is>
      </c>
      <c r="G73" s="13" t="n"/>
      <c r="I73" s="13" t="n"/>
      <c r="J73" s="13" t="n"/>
      <c r="Z73" s="15">
        <f>IF(ROW()-3&lt;=COUNTA($E$4:$E$253),INDEX($E$4:$E$253,ROW()-3),IF(ROW()-3-COUNTA($E$4:$E$253)&lt;=COUNTA($G$4:$G$153),INDEX($G$4:$G$153,ROW()-3-COUNTA($E$4:$E$253)),""))</f>
        <v/>
      </c>
    </row>
    <row r="74">
      <c r="E74" s="13" t="inlineStr">
        <is>
          <t>沁心境界</t>
        </is>
      </c>
      <c r="G74" s="13" t="n"/>
      <c r="I74" s="13" t="n"/>
      <c r="J74" s="13" t="n"/>
      <c r="Z74" s="15">
        <f>IF(ROW()-3&lt;=COUNTA($E$4:$E$253),INDEX($E$4:$E$253,ROW()-3),IF(ROW()-3-COUNTA($E$4:$E$253)&lt;=COUNTA($G$4:$G$153),INDEX($G$4:$G$153,ROW()-3-COUNTA($E$4:$E$253)),""))</f>
        <v/>
      </c>
    </row>
    <row r="75">
      <c r="E75" s="13" t="inlineStr">
        <is>
          <t>七欣天</t>
        </is>
      </c>
      <c r="G75" s="13" t="n"/>
      <c r="I75" s="13" t="n"/>
      <c r="J75" s="13" t="n"/>
      <c r="Z75" s="15">
        <f>IF(ROW()-3&lt;=COUNTA($E$4:$E$253),INDEX($E$4:$E$253,ROW()-3),IF(ROW()-3-COUNTA($E$4:$E$253)&lt;=COUNTA($G$4:$G$153),INDEX($G$4:$G$153,ROW()-3-COUNTA($E$4:$E$253)),""))</f>
        <v/>
      </c>
    </row>
    <row r="76">
      <c r="E76" s="13" t="inlineStr">
        <is>
          <t>贵州烙锅</t>
        </is>
      </c>
      <c r="G76" s="13" t="n"/>
      <c r="I76" s="13" t="n"/>
      <c r="J76" s="13" t="n"/>
      <c r="Z76" s="15">
        <f>IF(ROW()-3&lt;=COUNTA($E$4:$E$253),INDEX($E$4:$E$253,ROW()-3),IF(ROW()-3-COUNTA($E$4:$E$253)&lt;=COUNTA($G$4:$G$153),INDEX($G$4:$G$153,ROW()-3-COUNTA($E$4:$E$253)),""))</f>
        <v/>
      </c>
    </row>
    <row r="77">
      <c r="E77" s="13" t="inlineStr">
        <is>
          <t>顺丰月结</t>
        </is>
      </c>
      <c r="G77" s="13" t="n"/>
      <c r="I77" s="13" t="n"/>
      <c r="J77" s="13" t="n"/>
      <c r="Z77" s="15">
        <f>IF(ROW()-3&lt;=COUNTA($E$4:$E$253),INDEX($E$4:$E$253,ROW()-3),IF(ROW()-3-COUNTA($E$4:$E$253)&lt;=COUNTA($G$4:$G$153),INDEX($G$4:$G$153,ROW()-3-COUNTA($E$4:$E$253)),""))</f>
        <v/>
      </c>
    </row>
    <row r="78">
      <c r="E78" s="13" t="inlineStr">
        <is>
          <t>兴成公寓</t>
        </is>
      </c>
      <c r="G78" s="13" t="n"/>
      <c r="I78" s="13" t="n"/>
      <c r="J78" s="13" t="n"/>
      <c r="Z78" s="15">
        <f>IF(ROW()-3&lt;=COUNTA($E$4:$E$253),INDEX($E$4:$E$253,ROW()-3),IF(ROW()-3-COUNTA($E$4:$E$253)&lt;=COUNTA($G$4:$G$153),INDEX($G$4:$G$153,ROW()-3-COUNTA($E$4:$E$253)),""))</f>
        <v/>
      </c>
    </row>
    <row r="79">
      <c r="E79" s="13" t="inlineStr">
        <is>
          <t>丰汇新材料</t>
        </is>
      </c>
      <c r="G79" s="13" t="n"/>
      <c r="I79" s="13" t="n"/>
      <c r="J79" s="13" t="n"/>
      <c r="Z79" s="15">
        <f>IF(ROW()-3&lt;=COUNTA($E$4:$E$253),INDEX($E$4:$E$253,ROW()-3),IF(ROW()-3-COUNTA($E$4:$E$253)&lt;=COUNTA($G$4:$G$153),INDEX($G$4:$G$153,ROW()-3-COUNTA($E$4:$E$253)),""))</f>
        <v/>
      </c>
    </row>
    <row r="80">
      <c r="E80" s="13" t="inlineStr">
        <is>
          <t>容研秀</t>
        </is>
      </c>
      <c r="G80" s="13" t="n"/>
      <c r="I80" s="13" t="n"/>
      <c r="J80" s="13" t="n"/>
      <c r="Z80" s="15">
        <f>IF(ROW()-3&lt;=COUNTA($E$4:$E$253),INDEX($E$4:$E$253,ROW()-3),IF(ROW()-3-COUNTA($E$4:$E$253)&lt;=COUNTA($G$4:$G$153),INDEX($G$4:$G$153,ROW()-3-COUNTA($E$4:$E$253)),""))</f>
        <v/>
      </c>
    </row>
    <row r="81">
      <c r="E81" s="13" t="inlineStr">
        <is>
          <t>泰纳水果店</t>
        </is>
      </c>
      <c r="G81" s="13" t="n"/>
      <c r="I81" s="13" t="n"/>
      <c r="J81" s="13" t="n"/>
      <c r="Z81" s="15">
        <f>IF(ROW()-3&lt;=COUNTA($E$4:$E$253),INDEX($E$4:$E$253,ROW()-3),IF(ROW()-3-COUNTA($E$4:$E$253)&lt;=COUNTA($G$4:$G$153),INDEX($G$4:$G$153,ROW()-3-COUNTA($E$4:$E$253)),""))</f>
        <v/>
      </c>
    </row>
    <row r="82">
      <c r="E82" s="13" t="inlineStr">
        <is>
          <t>本哺未来</t>
        </is>
      </c>
      <c r="G82" s="13" t="n"/>
      <c r="I82" s="13" t="n"/>
      <c r="J82" s="13" t="n"/>
      <c r="Z82" s="15">
        <f>IF(ROW()-3&lt;=COUNTA($E$4:$E$253),INDEX($E$4:$E$253,ROW()-3),IF(ROW()-3-COUNTA($E$4:$E$253)&lt;=COUNTA($G$4:$G$153),INDEX($G$4:$G$153,ROW()-3-COUNTA($E$4:$E$253)),""))</f>
        <v/>
      </c>
    </row>
    <row r="83">
      <c r="E83" s="13" t="inlineStr">
        <is>
          <t>乔兴装饰</t>
        </is>
      </c>
      <c r="G83" s="13" t="n"/>
      <c r="I83" s="13" t="n"/>
      <c r="J83" s="13" t="n"/>
      <c r="Z83" s="15">
        <f>IF(ROW()-3&lt;=COUNTA($E$4:$E$253),INDEX($E$4:$E$253,ROW()-3),IF(ROW()-3-COUNTA($E$4:$E$253)&lt;=COUNTA($G$4:$G$153),INDEX($G$4:$G$153,ROW()-3-COUNTA($E$4:$E$253)),""))</f>
        <v/>
      </c>
    </row>
    <row r="84">
      <c r="E84" s="13" t="inlineStr">
        <is>
          <t>春风十里</t>
        </is>
      </c>
      <c r="G84" s="13" t="n"/>
      <c r="Z84" s="15">
        <f>IF(ROW()-3&lt;=COUNTA($E$4:$E$253),INDEX($E$4:$E$253,ROW()-3),IF(ROW()-3-COUNTA($E$4:$E$253)&lt;=COUNTA($G$4:$G$153),INDEX($G$4:$G$153,ROW()-3-COUNTA($E$4:$E$253)),""))</f>
        <v/>
      </c>
    </row>
    <row r="85">
      <c r="E85" s="13" t="inlineStr">
        <is>
          <t>荣创达</t>
        </is>
      </c>
      <c r="G85" s="13" t="n"/>
      <c r="Z85" s="15">
        <f>IF(ROW()-3&lt;=COUNTA($E$4:$E$253),INDEX($E$4:$E$253,ROW()-3),IF(ROW()-3-COUNTA($E$4:$E$253)&lt;=COUNTA($G$4:$G$153),INDEX($G$4:$G$153,ROW()-3-COUNTA($E$4:$E$253)),""))</f>
        <v/>
      </c>
    </row>
    <row r="86">
      <c r="E86" s="13" t="inlineStr">
        <is>
          <t>赛港文化</t>
        </is>
      </c>
      <c r="G86" s="13" t="n"/>
      <c r="Z86" s="15">
        <f>IF(ROW()-3&lt;=COUNTA($E$4:$E$253),INDEX($E$4:$E$253,ROW()-3),IF(ROW()-3-COUNTA($E$4:$E$253)&lt;=COUNTA($G$4:$G$153),INDEX($G$4:$G$153,ROW()-3-COUNTA($E$4:$E$253)),""))</f>
        <v/>
      </c>
    </row>
    <row r="87">
      <c r="E87" s="13" t="inlineStr">
        <is>
          <t>nook咖啡店</t>
        </is>
      </c>
      <c r="G87" s="13" t="n"/>
      <c r="Z87" s="15">
        <f>IF(ROW()-3&lt;=COUNTA($E$4:$E$253),INDEX($E$4:$E$253,ROW()-3),IF(ROW()-3-COUNTA($E$4:$E$253)&lt;=COUNTA($G$4:$G$153),INDEX($G$4:$G$153,ROW()-3-COUNTA($E$4:$E$253)),""))</f>
        <v/>
      </c>
    </row>
    <row r="88">
      <c r="E88" s="13" t="n"/>
      <c r="G88" s="13" t="n"/>
      <c r="Z88" s="15">
        <f>IF(ROW()-3&lt;=COUNTA($E$4:$E$253),INDEX($E$4:$E$253,ROW()-3),IF(ROW()-3-COUNTA($E$4:$E$253)&lt;=COUNTA($G$4:$G$153),INDEX($G$4:$G$153,ROW()-3-COUNTA($E$4:$E$253)),""))</f>
        <v/>
      </c>
    </row>
    <row r="89">
      <c r="E89" s="13" t="n"/>
      <c r="G89" s="13" t="n"/>
      <c r="Z89" s="15">
        <f>IF(ROW()-3&lt;=COUNTA($E$4:$E$253),INDEX($E$4:$E$253,ROW()-3),IF(ROW()-3-COUNTA($E$4:$E$253)&lt;=COUNTA($G$4:$G$153),INDEX($G$4:$G$153,ROW()-3-COUNTA($E$4:$E$253)),""))</f>
        <v/>
      </c>
    </row>
    <row r="90">
      <c r="E90" s="13" t="n"/>
      <c r="G90" s="13" t="n"/>
      <c r="Z90" s="15">
        <f>IF(ROW()-3&lt;=COUNTA($E$4:$E$253),INDEX($E$4:$E$253,ROW()-3),IF(ROW()-3-COUNTA($E$4:$E$253)&lt;=COUNTA($G$4:$G$153),INDEX($G$4:$G$153,ROW()-3-COUNTA($E$4:$E$253)),""))</f>
        <v/>
      </c>
    </row>
    <row r="91">
      <c r="E91" s="13" t="n"/>
      <c r="G91" s="13" t="n"/>
      <c r="Z91" s="15">
        <f>IF(ROW()-3&lt;=COUNTA($E$4:$E$253),INDEX($E$4:$E$253,ROW()-3),IF(ROW()-3-COUNTA($E$4:$E$253)&lt;=COUNTA($G$4:$G$153),INDEX($G$4:$G$153,ROW()-3-COUNTA($E$4:$E$253)),""))</f>
        <v/>
      </c>
    </row>
    <row r="92">
      <c r="E92" s="13" t="n"/>
      <c r="G92" s="13" t="n"/>
      <c r="Z92" s="15">
        <f>IF(ROW()-3&lt;=COUNTA($E$4:$E$253),INDEX($E$4:$E$253,ROW()-3),IF(ROW()-3-COUNTA($E$4:$E$253)&lt;=COUNTA($G$4:$G$153),INDEX($G$4:$G$153,ROW()-3-COUNTA($E$4:$E$253)),""))</f>
        <v/>
      </c>
    </row>
    <row r="93">
      <c r="E93" s="13" t="n"/>
      <c r="G93" s="13" t="n"/>
      <c r="Z93" s="15">
        <f>IF(ROW()-3&lt;=COUNTA($E$4:$E$253),INDEX($E$4:$E$253,ROW()-3),IF(ROW()-3-COUNTA($E$4:$E$253)&lt;=COUNTA($G$4:$G$153),INDEX($G$4:$G$153,ROW()-3-COUNTA($E$4:$E$253)),""))</f>
        <v/>
      </c>
    </row>
    <row r="94">
      <c r="E94" s="13" t="n"/>
      <c r="G94" s="13" t="n"/>
      <c r="Z94" s="15">
        <f>IF(ROW()-3&lt;=COUNTA($E$4:$E$253),INDEX($E$4:$E$253,ROW()-3),IF(ROW()-3-COUNTA($E$4:$E$253)&lt;=COUNTA($G$4:$G$153),INDEX($G$4:$G$153,ROW()-3-COUNTA($E$4:$E$253)),""))</f>
        <v/>
      </c>
    </row>
    <row r="95">
      <c r="E95" s="13" t="n"/>
      <c r="G95" s="13" t="n"/>
      <c r="Z95" s="15">
        <f>IF(ROW()-3&lt;=COUNTA($E$4:$E$253),INDEX($E$4:$E$253,ROW()-3),IF(ROW()-3-COUNTA($E$4:$E$253)&lt;=COUNTA($G$4:$G$153),INDEX($G$4:$G$153,ROW()-3-COUNTA($E$4:$E$253)),""))</f>
        <v/>
      </c>
    </row>
    <row r="96">
      <c r="E96" s="13" t="n"/>
      <c r="G96" s="13" t="n"/>
      <c r="Z96" s="15">
        <f>IF(ROW()-3&lt;=COUNTA($E$4:$E$253),INDEX($E$4:$E$253,ROW()-3),IF(ROW()-3-COUNTA($E$4:$E$253)&lt;=COUNTA($G$4:$G$153),INDEX($G$4:$G$153,ROW()-3-COUNTA($E$4:$E$253)),""))</f>
        <v/>
      </c>
    </row>
    <row r="97">
      <c r="E97" s="13" t="n"/>
      <c r="G97" s="13" t="n"/>
      <c r="Z97" s="15">
        <f>IF(ROW()-3&lt;=COUNTA($E$4:$E$253),INDEX($E$4:$E$253,ROW()-3),IF(ROW()-3-COUNTA($E$4:$E$253)&lt;=COUNTA($G$4:$G$153),INDEX($G$4:$G$153,ROW()-3-COUNTA($E$4:$E$253)),""))</f>
        <v/>
      </c>
    </row>
    <row r="98">
      <c r="E98" s="13" t="n"/>
      <c r="G98" s="13" t="n"/>
      <c r="Z98" s="15">
        <f>IF(ROW()-3&lt;=COUNTA($E$4:$E$253),INDEX($E$4:$E$253,ROW()-3),IF(ROW()-3-COUNTA($E$4:$E$253)&lt;=COUNTA($G$4:$G$153),INDEX($G$4:$G$153,ROW()-3-COUNTA($E$4:$E$253)),""))</f>
        <v/>
      </c>
    </row>
    <row r="99">
      <c r="E99" s="13" t="n"/>
      <c r="G99" s="13" t="n"/>
      <c r="Z99" s="15">
        <f>IF(ROW()-3&lt;=COUNTA($E$4:$E$253),INDEX($E$4:$E$253,ROW()-3),IF(ROW()-3-COUNTA($E$4:$E$253)&lt;=COUNTA($G$4:$G$153),INDEX($G$4:$G$153,ROW()-3-COUNTA($E$4:$E$253)),""))</f>
        <v/>
      </c>
    </row>
    <row r="100">
      <c r="E100" s="13" t="n"/>
      <c r="G100" s="13" t="n"/>
      <c r="Z100" s="15">
        <f>IF(ROW()-3&lt;=COUNTA($E$4:$E$253),INDEX($E$4:$E$253,ROW()-3),IF(ROW()-3-COUNTA($E$4:$E$253)&lt;=COUNTA($G$4:$G$153),INDEX($G$4:$G$153,ROW()-3-COUNTA($E$4:$E$253)),""))</f>
        <v/>
      </c>
    </row>
    <row r="101">
      <c r="E101" s="13" t="n"/>
      <c r="G101" s="13" t="n"/>
      <c r="Z101" s="15">
        <f>IF(ROW()-3&lt;=COUNTA($E$4:$E$253),INDEX($E$4:$E$253,ROW()-3),IF(ROW()-3-COUNTA($E$4:$E$253)&lt;=COUNTA($G$4:$G$153),INDEX($G$4:$G$153,ROW()-3-COUNTA($E$4:$E$253)),""))</f>
        <v/>
      </c>
    </row>
    <row r="102">
      <c r="E102" s="13" t="n"/>
      <c r="G102" s="13" t="n"/>
      <c r="Z102" s="15">
        <f>IF(ROW()-3&lt;=COUNTA($E$4:$E$253),INDEX($E$4:$E$253,ROW()-3),IF(ROW()-3-COUNTA($E$4:$E$253)&lt;=COUNTA($G$4:$G$153),INDEX($G$4:$G$153,ROW()-3-COUNTA($E$4:$E$253)),""))</f>
        <v/>
      </c>
    </row>
    <row r="103">
      <c r="E103" s="13" t="n"/>
      <c r="G103" s="13" t="n"/>
      <c r="Z103" s="15">
        <f>IF(ROW()-3&lt;=COUNTA($E$4:$E$253),INDEX($E$4:$E$253,ROW()-3),IF(ROW()-3-COUNTA($E$4:$E$253)&lt;=COUNTA($G$4:$G$153),INDEX($G$4:$G$153,ROW()-3-COUNTA($E$4:$E$253)),""))</f>
        <v/>
      </c>
    </row>
    <row r="104">
      <c r="E104" s="13" t="n"/>
      <c r="G104" s="13" t="n"/>
      <c r="Z104" s="15">
        <f>IF(ROW()-3&lt;=COUNTA($E$4:$E$253),INDEX($E$4:$E$253,ROW()-3),IF(ROW()-3-COUNTA($E$4:$E$253)&lt;=COUNTA($G$4:$G$153),INDEX($G$4:$G$153,ROW()-3-COUNTA($E$4:$E$253)),""))</f>
        <v/>
      </c>
    </row>
    <row r="105">
      <c r="E105" s="13" t="n"/>
      <c r="G105" s="13" t="n"/>
      <c r="Z105" s="15">
        <f>IF(ROW()-3&lt;=COUNTA($E$4:$E$253),INDEX($E$4:$E$253,ROW()-3),IF(ROW()-3-COUNTA($E$4:$E$253)&lt;=COUNTA($G$4:$G$153),INDEX($G$4:$G$153,ROW()-3-COUNTA($E$4:$E$253)),""))</f>
        <v/>
      </c>
    </row>
    <row r="106">
      <c r="E106" s="13" t="n"/>
      <c r="G106" s="13" t="n"/>
      <c r="Z106" s="15">
        <f>IF(ROW()-3&lt;=COUNTA($E$4:$E$253),INDEX($E$4:$E$253,ROW()-3),IF(ROW()-3-COUNTA($E$4:$E$253)&lt;=COUNTA($G$4:$G$153),INDEX($G$4:$G$153,ROW()-3-COUNTA($E$4:$E$253)),""))</f>
        <v/>
      </c>
    </row>
    <row r="107">
      <c r="E107" s="13" t="n"/>
      <c r="G107" s="13" t="n"/>
      <c r="Z107" s="15">
        <f>IF(ROW()-3&lt;=COUNTA($E$4:$E$253),INDEX($E$4:$E$253,ROW()-3),IF(ROW()-3-COUNTA($E$4:$E$253)&lt;=COUNTA($G$4:$G$153),INDEX($G$4:$G$153,ROW()-3-COUNTA($E$4:$E$253)),""))</f>
        <v/>
      </c>
    </row>
    <row r="108">
      <c r="E108" s="13" t="n"/>
      <c r="G108" s="13" t="n"/>
      <c r="Z108" s="15">
        <f>IF(ROW()-3&lt;=COUNTA($E$4:$E$253),INDEX($E$4:$E$253,ROW()-3),IF(ROW()-3-COUNTA($E$4:$E$253)&lt;=COUNTA($G$4:$G$153),INDEX($G$4:$G$153,ROW()-3-COUNTA($E$4:$E$253)),""))</f>
        <v/>
      </c>
    </row>
    <row r="109">
      <c r="E109" s="13" t="n"/>
      <c r="G109" s="13" t="n"/>
      <c r="Z109" s="15">
        <f>IF(ROW()-3&lt;=COUNTA($E$4:$E$253),INDEX($E$4:$E$253,ROW()-3),IF(ROW()-3-COUNTA($E$4:$E$253)&lt;=COUNTA($G$4:$G$153),INDEX($G$4:$G$153,ROW()-3-COUNTA($E$4:$E$253)),""))</f>
        <v/>
      </c>
    </row>
    <row r="110">
      <c r="E110" s="13" t="n"/>
      <c r="G110" s="13" t="n"/>
      <c r="Z110" s="15">
        <f>IF(ROW()-3&lt;=COUNTA($E$4:$E$253),INDEX($E$4:$E$253,ROW()-3),IF(ROW()-3-COUNTA($E$4:$E$253)&lt;=COUNTA($G$4:$G$153),INDEX($G$4:$G$153,ROW()-3-COUNTA($E$4:$E$253)),""))</f>
        <v/>
      </c>
    </row>
    <row r="111">
      <c r="E111" s="13" t="n"/>
      <c r="G111" s="13" t="n"/>
      <c r="Z111" s="15">
        <f>IF(ROW()-3&lt;=COUNTA($E$4:$E$253),INDEX($E$4:$E$253,ROW()-3),IF(ROW()-3-COUNTA($E$4:$E$253)&lt;=COUNTA($G$4:$G$153),INDEX($G$4:$G$153,ROW()-3-COUNTA($E$4:$E$253)),""))</f>
        <v/>
      </c>
    </row>
    <row r="112">
      <c r="E112" s="13" t="n"/>
      <c r="G112" s="13" t="n"/>
      <c r="Z112" s="15">
        <f>IF(ROW()-3&lt;=COUNTA($E$4:$E$253),INDEX($E$4:$E$253,ROW()-3),IF(ROW()-3-COUNTA($E$4:$E$253)&lt;=COUNTA($G$4:$G$153),INDEX($G$4:$G$153,ROW()-3-COUNTA($E$4:$E$253)),""))</f>
        <v/>
      </c>
    </row>
    <row r="113">
      <c r="E113" s="13" t="n"/>
      <c r="G113" s="13" t="n"/>
      <c r="Z113" s="15">
        <f>IF(ROW()-3&lt;=COUNTA($E$4:$E$253),INDEX($E$4:$E$253,ROW()-3),IF(ROW()-3-COUNTA($E$4:$E$253)&lt;=COUNTA($G$4:$G$153),INDEX($G$4:$G$153,ROW()-3-COUNTA($E$4:$E$253)),""))</f>
        <v/>
      </c>
    </row>
    <row r="114">
      <c r="E114" s="13" t="n"/>
      <c r="G114" s="13" t="n"/>
      <c r="Z114" s="15">
        <f>IF(ROW()-3&lt;=COUNTA($E$4:$E$253),INDEX($E$4:$E$253,ROW()-3),IF(ROW()-3-COUNTA($E$4:$E$253)&lt;=COUNTA($G$4:$G$153),INDEX($G$4:$G$153,ROW()-3-COUNTA($E$4:$E$253)),""))</f>
        <v/>
      </c>
    </row>
    <row r="115">
      <c r="E115" s="13" t="n"/>
      <c r="G115" s="13" t="n"/>
      <c r="Z115" s="15">
        <f>IF(ROW()-3&lt;=COUNTA($E$4:$E$253),INDEX($E$4:$E$253,ROW()-3),IF(ROW()-3-COUNTA($E$4:$E$253)&lt;=COUNTA($G$4:$G$153),INDEX($G$4:$G$153,ROW()-3-COUNTA($E$4:$E$253)),""))</f>
        <v/>
      </c>
    </row>
    <row r="116">
      <c r="E116" s="13" t="n"/>
      <c r="G116" s="13" t="n"/>
      <c r="Z116" s="15">
        <f>IF(ROW()-3&lt;=COUNTA($E$4:$E$253),INDEX($E$4:$E$253,ROW()-3),IF(ROW()-3-COUNTA($E$4:$E$253)&lt;=COUNTA($G$4:$G$153),INDEX($G$4:$G$153,ROW()-3-COUNTA($E$4:$E$253)),""))</f>
        <v/>
      </c>
    </row>
    <row r="117">
      <c r="E117" s="13" t="n"/>
      <c r="G117" s="13" t="n"/>
      <c r="Z117" s="15">
        <f>IF(ROW()-3&lt;=COUNTA($E$4:$E$253),INDEX($E$4:$E$253,ROW()-3),IF(ROW()-3-COUNTA($E$4:$E$253)&lt;=COUNTA($G$4:$G$153),INDEX($G$4:$G$153,ROW()-3-COUNTA($E$4:$E$253)),""))</f>
        <v/>
      </c>
    </row>
    <row r="118">
      <c r="E118" s="13" t="n"/>
      <c r="G118" s="13" t="n"/>
      <c r="Z118" s="15">
        <f>IF(ROW()-3&lt;=COUNTA($E$4:$E$253),INDEX($E$4:$E$253,ROW()-3),IF(ROW()-3-COUNTA($E$4:$E$253)&lt;=COUNTA($G$4:$G$153),INDEX($G$4:$G$153,ROW()-3-COUNTA($E$4:$E$253)),""))</f>
        <v/>
      </c>
    </row>
    <row r="119">
      <c r="E119" s="13" t="n"/>
      <c r="G119" s="13" t="n"/>
      <c r="Z119" s="15">
        <f>IF(ROW()-3&lt;=COUNTA($E$4:$E$253),INDEX($E$4:$E$253,ROW()-3),IF(ROW()-3-COUNTA($E$4:$E$253)&lt;=COUNTA($G$4:$G$153),INDEX($G$4:$G$153,ROW()-3-COUNTA($E$4:$E$253)),""))</f>
        <v/>
      </c>
    </row>
    <row r="120">
      <c r="E120" s="13" t="n"/>
      <c r="G120" s="13" t="n"/>
      <c r="Z120" s="15">
        <f>IF(ROW()-3&lt;=COUNTA($E$4:$E$253),INDEX($E$4:$E$253,ROW()-3),IF(ROW()-3-COUNTA($E$4:$E$253)&lt;=COUNTA($G$4:$G$153),INDEX($G$4:$G$153,ROW()-3-COUNTA($E$4:$E$253)),""))</f>
        <v/>
      </c>
    </row>
    <row r="121">
      <c r="E121" s="13" t="n"/>
      <c r="G121" s="13" t="n"/>
      <c r="Z121" s="15">
        <f>IF(ROW()-3&lt;=COUNTA($E$4:$E$253),INDEX($E$4:$E$253,ROW()-3),IF(ROW()-3-COUNTA($E$4:$E$253)&lt;=COUNTA($G$4:$G$153),INDEX($G$4:$G$153,ROW()-3-COUNTA($E$4:$E$253)),""))</f>
        <v/>
      </c>
    </row>
    <row r="122">
      <c r="E122" s="13" t="n"/>
      <c r="G122" s="13" t="n"/>
      <c r="Z122" s="15">
        <f>IF(ROW()-3&lt;=COUNTA($E$4:$E$253),INDEX($E$4:$E$253,ROW()-3),IF(ROW()-3-COUNTA($E$4:$E$253)&lt;=COUNTA($G$4:$G$153),INDEX($G$4:$G$153,ROW()-3-COUNTA($E$4:$E$253)),""))</f>
        <v/>
      </c>
    </row>
    <row r="123">
      <c r="E123" s="13" t="n"/>
      <c r="G123" s="13" t="n"/>
      <c r="Z123" s="15">
        <f>IF(ROW()-3&lt;=COUNTA($E$4:$E$253),INDEX($E$4:$E$253,ROW()-3),IF(ROW()-3-COUNTA($E$4:$E$253)&lt;=COUNTA($G$4:$G$153),INDEX($G$4:$G$153,ROW()-3-COUNTA($E$4:$E$253)),""))</f>
        <v/>
      </c>
    </row>
    <row r="124">
      <c r="E124" s="13" t="n"/>
      <c r="G124" s="13" t="n"/>
      <c r="Z124" s="15">
        <f>IF(ROW()-3&lt;=COUNTA($E$4:$E$253),INDEX($E$4:$E$253,ROW()-3),IF(ROW()-3-COUNTA($E$4:$E$253)&lt;=COUNTA($G$4:$G$153),INDEX($G$4:$G$153,ROW()-3-COUNTA($E$4:$E$253)),""))</f>
        <v/>
      </c>
    </row>
    <row r="125">
      <c r="E125" s="13" t="n"/>
      <c r="G125" s="13" t="n"/>
      <c r="Z125" s="15">
        <f>IF(ROW()-3&lt;=COUNTA($E$4:$E$253),INDEX($E$4:$E$253,ROW()-3),IF(ROW()-3-COUNTA($E$4:$E$253)&lt;=COUNTA($G$4:$G$153),INDEX($G$4:$G$153,ROW()-3-COUNTA($E$4:$E$253)),""))</f>
        <v/>
      </c>
    </row>
    <row r="126">
      <c r="E126" s="13" t="n"/>
      <c r="G126" s="13" t="n"/>
      <c r="Z126" s="15">
        <f>IF(ROW()-3&lt;=COUNTA($E$4:$E$253),INDEX($E$4:$E$253,ROW()-3),IF(ROW()-3-COUNTA($E$4:$E$253)&lt;=COUNTA($G$4:$G$153),INDEX($G$4:$G$153,ROW()-3-COUNTA($E$4:$E$253)),""))</f>
        <v/>
      </c>
    </row>
    <row r="127">
      <c r="E127" s="13" t="n"/>
      <c r="G127" s="13" t="n"/>
      <c r="Z127" s="15">
        <f>IF(ROW()-3&lt;=COUNTA($E$4:$E$253),INDEX($E$4:$E$253,ROW()-3),IF(ROW()-3-COUNTA($E$4:$E$253)&lt;=COUNTA($G$4:$G$153),INDEX($G$4:$G$153,ROW()-3-COUNTA($E$4:$E$253)),""))</f>
        <v/>
      </c>
    </row>
    <row r="128">
      <c r="E128" s="13" t="n"/>
      <c r="G128" s="13" t="n"/>
      <c r="Z128" s="15">
        <f>IF(ROW()-3&lt;=COUNTA($E$4:$E$253),INDEX($E$4:$E$253,ROW()-3),IF(ROW()-3-COUNTA($E$4:$E$253)&lt;=COUNTA($G$4:$G$153),INDEX($G$4:$G$153,ROW()-3-COUNTA($E$4:$E$253)),""))</f>
        <v/>
      </c>
    </row>
    <row r="129">
      <c r="E129" s="13" t="n"/>
      <c r="G129" s="13" t="n"/>
      <c r="Z129" s="15">
        <f>IF(ROW()-3&lt;=COUNTA($E$4:$E$253),INDEX($E$4:$E$253,ROW()-3),IF(ROW()-3-COUNTA($E$4:$E$253)&lt;=COUNTA($G$4:$G$153),INDEX($G$4:$G$153,ROW()-3-COUNTA($E$4:$E$253)),""))</f>
        <v/>
      </c>
    </row>
    <row r="130">
      <c r="E130" s="13" t="n"/>
      <c r="G130" s="13" t="n"/>
      <c r="Z130" s="15">
        <f>IF(ROW()-3&lt;=COUNTA($E$4:$E$253),INDEX($E$4:$E$253,ROW()-3),IF(ROW()-3-COUNTA($E$4:$E$253)&lt;=COUNTA($G$4:$G$153),INDEX($G$4:$G$153,ROW()-3-COUNTA($E$4:$E$253)),""))</f>
        <v/>
      </c>
    </row>
    <row r="131">
      <c r="E131" s="13" t="n"/>
      <c r="G131" s="13" t="n"/>
      <c r="Z131" s="15">
        <f>IF(ROW()-3&lt;=COUNTA($E$4:$E$253),INDEX($E$4:$E$253,ROW()-3),IF(ROW()-3-COUNTA($E$4:$E$253)&lt;=COUNTA($G$4:$G$153),INDEX($G$4:$G$153,ROW()-3-COUNTA($E$4:$E$253)),""))</f>
        <v/>
      </c>
    </row>
    <row r="132">
      <c r="E132" s="13" t="n"/>
      <c r="G132" s="13" t="n"/>
      <c r="Z132" s="15">
        <f>IF(ROW()-3&lt;=COUNTA($E$4:$E$253),INDEX($E$4:$E$253,ROW()-3),IF(ROW()-3-COUNTA($E$4:$E$253)&lt;=COUNTA($G$4:$G$153),INDEX($G$4:$G$153,ROW()-3-COUNTA($E$4:$E$253)),""))</f>
        <v/>
      </c>
    </row>
    <row r="133">
      <c r="E133" s="13" t="n"/>
      <c r="G133" s="13" t="n"/>
      <c r="Z133" s="15">
        <f>IF(ROW()-3&lt;=COUNTA($E$4:$E$253),INDEX($E$4:$E$253,ROW()-3),IF(ROW()-3-COUNTA($E$4:$E$253)&lt;=COUNTA($G$4:$G$153),INDEX($G$4:$G$153,ROW()-3-COUNTA($E$4:$E$253)),""))</f>
        <v/>
      </c>
    </row>
    <row r="134">
      <c r="E134" s="13" t="n"/>
      <c r="G134" s="13" t="n"/>
      <c r="Z134" s="15">
        <f>IF(ROW()-3&lt;=COUNTA($E$4:$E$253),INDEX($E$4:$E$253,ROW()-3),IF(ROW()-3-COUNTA($E$4:$E$253)&lt;=COUNTA($G$4:$G$153),INDEX($G$4:$G$153,ROW()-3-COUNTA($E$4:$E$253)),""))</f>
        <v/>
      </c>
    </row>
    <row r="135">
      <c r="E135" s="13" t="n"/>
      <c r="G135" s="13" t="n"/>
      <c r="Z135" s="15">
        <f>IF(ROW()-3&lt;=COUNTA($E$4:$E$253),INDEX($E$4:$E$253,ROW()-3),IF(ROW()-3-COUNTA($E$4:$E$253)&lt;=COUNTA($G$4:$G$153),INDEX($G$4:$G$153,ROW()-3-COUNTA($E$4:$E$253)),""))</f>
        <v/>
      </c>
    </row>
    <row r="136">
      <c r="E136" s="13" t="n"/>
      <c r="G136" s="13" t="n"/>
      <c r="Z136" s="15">
        <f>IF(ROW()-3&lt;=COUNTA($E$4:$E$253),INDEX($E$4:$E$253,ROW()-3),IF(ROW()-3-COUNTA($E$4:$E$253)&lt;=COUNTA($G$4:$G$153),INDEX($G$4:$G$153,ROW()-3-COUNTA($E$4:$E$253)),""))</f>
        <v/>
      </c>
    </row>
    <row r="137">
      <c r="E137" s="13" t="n"/>
      <c r="G137" s="13" t="n"/>
      <c r="Z137" s="15">
        <f>IF(ROW()-3&lt;=COUNTA($E$4:$E$253),INDEX($E$4:$E$253,ROW()-3),IF(ROW()-3-COUNTA($E$4:$E$253)&lt;=COUNTA($G$4:$G$153),INDEX($G$4:$G$153,ROW()-3-COUNTA($E$4:$E$253)),""))</f>
        <v/>
      </c>
    </row>
    <row r="138">
      <c r="E138" s="13" t="n"/>
      <c r="G138" s="13" t="n"/>
      <c r="Z138" s="15">
        <f>IF(ROW()-3&lt;=COUNTA($E$4:$E$253),INDEX($E$4:$E$253,ROW()-3),IF(ROW()-3-COUNTA($E$4:$E$253)&lt;=COUNTA($G$4:$G$153),INDEX($G$4:$G$153,ROW()-3-COUNTA($E$4:$E$253)),""))</f>
        <v/>
      </c>
    </row>
    <row r="139">
      <c r="E139" s="13" t="n"/>
      <c r="G139" s="13" t="n"/>
      <c r="Z139" s="15">
        <f>IF(ROW()-3&lt;=COUNTA($E$4:$E$253),INDEX($E$4:$E$253,ROW()-3),IF(ROW()-3-COUNTA($E$4:$E$253)&lt;=COUNTA($G$4:$G$153),INDEX($G$4:$G$153,ROW()-3-COUNTA($E$4:$E$253)),""))</f>
        <v/>
      </c>
    </row>
    <row r="140">
      <c r="E140" s="13" t="n"/>
      <c r="G140" s="13" t="n"/>
      <c r="Z140" s="15">
        <f>IF(ROW()-3&lt;=COUNTA($E$4:$E$253),INDEX($E$4:$E$253,ROW()-3),IF(ROW()-3-COUNTA($E$4:$E$253)&lt;=COUNTA($G$4:$G$153),INDEX($G$4:$G$153,ROW()-3-COUNTA($E$4:$E$253)),""))</f>
        <v/>
      </c>
    </row>
    <row r="141">
      <c r="E141" s="13" t="n"/>
      <c r="G141" s="13" t="n"/>
      <c r="Z141" s="15">
        <f>IF(ROW()-3&lt;=COUNTA($E$4:$E$253),INDEX($E$4:$E$253,ROW()-3),IF(ROW()-3-COUNTA($E$4:$E$253)&lt;=COUNTA($G$4:$G$153),INDEX($G$4:$G$153,ROW()-3-COUNTA($E$4:$E$253)),""))</f>
        <v/>
      </c>
    </row>
    <row r="142">
      <c r="E142" s="13" t="n"/>
      <c r="G142" s="13" t="n"/>
      <c r="Z142" s="15">
        <f>IF(ROW()-3&lt;=COUNTA($E$4:$E$253),INDEX($E$4:$E$253,ROW()-3),IF(ROW()-3-COUNTA($E$4:$E$253)&lt;=COUNTA($G$4:$G$153),INDEX($G$4:$G$153,ROW()-3-COUNTA($E$4:$E$253)),""))</f>
        <v/>
      </c>
    </row>
    <row r="143">
      <c r="E143" s="13" t="n"/>
      <c r="G143" s="13" t="n"/>
      <c r="Z143" s="15">
        <f>IF(ROW()-3&lt;=COUNTA($E$4:$E$253),INDEX($E$4:$E$253,ROW()-3),IF(ROW()-3-COUNTA($E$4:$E$253)&lt;=COUNTA($G$4:$G$153),INDEX($G$4:$G$153,ROW()-3-COUNTA($E$4:$E$253)),""))</f>
        <v/>
      </c>
    </row>
    <row r="144">
      <c r="E144" s="13" t="n"/>
      <c r="G144" s="13" t="n"/>
      <c r="Z144" s="15">
        <f>IF(ROW()-3&lt;=COUNTA($E$4:$E$253),INDEX($E$4:$E$253,ROW()-3),IF(ROW()-3-COUNTA($E$4:$E$253)&lt;=COUNTA($G$4:$G$153),INDEX($G$4:$G$153,ROW()-3-COUNTA($E$4:$E$253)),""))</f>
        <v/>
      </c>
    </row>
    <row r="145">
      <c r="E145" s="13" t="n"/>
      <c r="G145" s="13" t="n"/>
      <c r="Z145" s="15">
        <f>IF(ROW()-3&lt;=COUNTA($E$4:$E$253),INDEX($E$4:$E$253,ROW()-3),IF(ROW()-3-COUNTA($E$4:$E$253)&lt;=COUNTA($G$4:$G$153),INDEX($G$4:$G$153,ROW()-3-COUNTA($E$4:$E$253)),""))</f>
        <v/>
      </c>
    </row>
    <row r="146">
      <c r="E146" s="13" t="n"/>
      <c r="G146" s="13" t="n"/>
      <c r="Z146" s="15">
        <f>IF(ROW()-3&lt;=COUNTA($E$4:$E$253),INDEX($E$4:$E$253,ROW()-3),IF(ROW()-3-COUNTA($E$4:$E$253)&lt;=COUNTA($G$4:$G$153),INDEX($G$4:$G$153,ROW()-3-COUNTA($E$4:$E$253)),""))</f>
        <v/>
      </c>
    </row>
    <row r="147">
      <c r="E147" s="13" t="n"/>
      <c r="G147" s="13" t="n"/>
      <c r="Z147" s="15">
        <f>IF(ROW()-3&lt;=COUNTA($E$4:$E$253),INDEX($E$4:$E$253,ROW()-3),IF(ROW()-3-COUNTA($E$4:$E$253)&lt;=COUNTA($G$4:$G$153),INDEX($G$4:$G$153,ROW()-3-COUNTA($E$4:$E$253)),""))</f>
        <v/>
      </c>
    </row>
    <row r="148">
      <c r="E148" s="13" t="n"/>
      <c r="G148" s="13" t="n"/>
      <c r="Z148" s="15">
        <f>IF(ROW()-3&lt;=COUNTA($E$4:$E$253),INDEX($E$4:$E$253,ROW()-3),IF(ROW()-3-COUNTA($E$4:$E$253)&lt;=COUNTA($G$4:$G$153),INDEX($G$4:$G$153,ROW()-3-COUNTA($E$4:$E$253)),""))</f>
        <v/>
      </c>
    </row>
    <row r="149">
      <c r="E149" s="13" t="n"/>
      <c r="G149" s="13" t="n"/>
      <c r="Z149" s="15">
        <f>IF(ROW()-3&lt;=COUNTA($E$4:$E$253),INDEX($E$4:$E$253,ROW()-3),IF(ROW()-3-COUNTA($E$4:$E$253)&lt;=COUNTA($G$4:$G$153),INDEX($G$4:$G$153,ROW()-3-COUNTA($E$4:$E$253)),""))</f>
        <v/>
      </c>
    </row>
    <row r="150">
      <c r="E150" s="13" t="n"/>
      <c r="G150" s="13" t="n"/>
      <c r="Z150" s="15">
        <f>IF(ROW()-3&lt;=COUNTA($E$4:$E$253),INDEX($E$4:$E$253,ROW()-3),IF(ROW()-3-COUNTA($E$4:$E$253)&lt;=COUNTA($G$4:$G$153),INDEX($G$4:$G$153,ROW()-3-COUNTA($E$4:$E$253)),""))</f>
        <v/>
      </c>
    </row>
    <row r="151">
      <c r="E151" s="13" t="n"/>
      <c r="G151" s="13" t="n"/>
      <c r="Z151" s="15">
        <f>IF(ROW()-3&lt;=COUNTA($E$4:$E$253),INDEX($E$4:$E$253,ROW()-3),IF(ROW()-3-COUNTA($E$4:$E$253)&lt;=COUNTA($G$4:$G$153),INDEX($G$4:$G$153,ROW()-3-COUNTA($E$4:$E$253)),""))</f>
        <v/>
      </c>
    </row>
    <row r="152">
      <c r="E152" s="13" t="n"/>
      <c r="G152" s="13" t="n"/>
      <c r="Z152" s="15">
        <f>IF(ROW()-3&lt;=COUNTA($E$4:$E$253),INDEX($E$4:$E$253,ROW()-3),IF(ROW()-3-COUNTA($E$4:$E$253)&lt;=COUNTA($G$4:$G$153),INDEX($G$4:$G$153,ROW()-3-COUNTA($E$4:$E$253)),""))</f>
        <v/>
      </c>
    </row>
    <row r="153">
      <c r="E153" s="13" t="n"/>
      <c r="G153" s="13" t="n"/>
      <c r="Z153" s="15">
        <f>IF(ROW()-3&lt;=COUNTA($E$4:$E$253),INDEX($E$4:$E$253,ROW()-3),IF(ROW()-3-COUNTA($E$4:$E$253)&lt;=COUNTA($G$4:$G$153),INDEX($G$4:$G$153,ROW()-3-COUNTA($E$4:$E$253)),""))</f>
        <v/>
      </c>
    </row>
    <row r="154">
      <c r="E154" s="13" t="n"/>
      <c r="Z154" s="15">
        <f>IF(ROW()-3&lt;=COUNTA($E$4:$E$253),INDEX($E$4:$E$253,ROW()-3),IF(ROW()-3-COUNTA($E$4:$E$253)&lt;=COUNTA($G$4:$G$153),INDEX($G$4:$G$153,ROW()-3-COUNTA($E$4:$E$253)),""))</f>
        <v/>
      </c>
    </row>
    <row r="155">
      <c r="E155" s="13" t="n"/>
      <c r="Z155" s="15">
        <f>IF(ROW()-3&lt;=COUNTA($E$4:$E$253),INDEX($E$4:$E$253,ROW()-3),IF(ROW()-3-COUNTA($E$4:$E$253)&lt;=COUNTA($G$4:$G$153),INDEX($G$4:$G$153,ROW()-3-COUNTA($E$4:$E$253)),""))</f>
        <v/>
      </c>
    </row>
    <row r="156">
      <c r="E156" s="13" t="n"/>
      <c r="Z156" s="15">
        <f>IF(ROW()-3&lt;=COUNTA($E$4:$E$253),INDEX($E$4:$E$253,ROW()-3),IF(ROW()-3-COUNTA($E$4:$E$253)&lt;=COUNTA($G$4:$G$153),INDEX($G$4:$G$153,ROW()-3-COUNTA($E$4:$E$253)),""))</f>
        <v/>
      </c>
    </row>
    <row r="157">
      <c r="E157" s="13" t="n"/>
      <c r="Z157" s="15">
        <f>IF(ROW()-3&lt;=COUNTA($E$4:$E$253),INDEX($E$4:$E$253,ROW()-3),IF(ROW()-3-COUNTA($E$4:$E$253)&lt;=COUNTA($G$4:$G$153),INDEX($G$4:$G$153,ROW()-3-COUNTA($E$4:$E$253)),""))</f>
        <v/>
      </c>
    </row>
    <row r="158">
      <c r="E158" s="13" t="n"/>
      <c r="Z158" s="15">
        <f>IF(ROW()-3&lt;=COUNTA($E$4:$E$253),INDEX($E$4:$E$253,ROW()-3),IF(ROW()-3-COUNTA($E$4:$E$253)&lt;=COUNTA($G$4:$G$153),INDEX($G$4:$G$153,ROW()-3-COUNTA($E$4:$E$253)),""))</f>
        <v/>
      </c>
    </row>
    <row r="159">
      <c r="E159" s="13" t="n"/>
      <c r="Z159" s="15">
        <f>IF(ROW()-3&lt;=COUNTA($E$4:$E$253),INDEX($E$4:$E$253,ROW()-3),IF(ROW()-3-COUNTA($E$4:$E$253)&lt;=COUNTA($G$4:$G$153),INDEX($G$4:$G$153,ROW()-3-COUNTA($E$4:$E$253)),""))</f>
        <v/>
      </c>
    </row>
    <row r="160">
      <c r="E160" s="13" t="n"/>
      <c r="Z160" s="15">
        <f>IF(ROW()-3&lt;=COUNTA($E$4:$E$253),INDEX($E$4:$E$253,ROW()-3),IF(ROW()-3-COUNTA($E$4:$E$253)&lt;=COUNTA($G$4:$G$153),INDEX($G$4:$G$153,ROW()-3-COUNTA($E$4:$E$253)),""))</f>
        <v/>
      </c>
    </row>
    <row r="161">
      <c r="E161" s="13" t="n"/>
      <c r="Z161" s="15">
        <f>IF(ROW()-3&lt;=COUNTA($E$4:$E$253),INDEX($E$4:$E$253,ROW()-3),IF(ROW()-3-COUNTA($E$4:$E$253)&lt;=COUNTA($G$4:$G$153),INDEX($G$4:$G$153,ROW()-3-COUNTA($E$4:$E$253)),""))</f>
        <v/>
      </c>
    </row>
    <row r="162">
      <c r="E162" s="13" t="n"/>
      <c r="Z162" s="15">
        <f>IF(ROW()-3&lt;=COUNTA($E$4:$E$253),INDEX($E$4:$E$253,ROW()-3),IF(ROW()-3-COUNTA($E$4:$E$253)&lt;=COUNTA($G$4:$G$153),INDEX($G$4:$G$153,ROW()-3-COUNTA($E$4:$E$253)),""))</f>
        <v/>
      </c>
    </row>
    <row r="163">
      <c r="E163" s="13" t="n"/>
      <c r="Z163" s="15">
        <f>IF(ROW()-3&lt;=COUNTA($E$4:$E$253),INDEX($E$4:$E$253,ROW()-3),IF(ROW()-3-COUNTA($E$4:$E$253)&lt;=COUNTA($G$4:$G$153),INDEX($G$4:$G$153,ROW()-3-COUNTA($E$4:$E$253)),""))</f>
        <v/>
      </c>
    </row>
    <row r="164">
      <c r="E164" s="13" t="n"/>
      <c r="Z164" s="15">
        <f>IF(ROW()-3&lt;=COUNTA($E$4:$E$253),INDEX($E$4:$E$253,ROW()-3),IF(ROW()-3-COUNTA($E$4:$E$253)&lt;=COUNTA($G$4:$G$153),INDEX($G$4:$G$153,ROW()-3-COUNTA($E$4:$E$253)),""))</f>
        <v/>
      </c>
    </row>
    <row r="165">
      <c r="E165" s="13" t="n"/>
      <c r="Z165" s="15">
        <f>IF(ROW()-3&lt;=COUNTA($E$4:$E$253),INDEX($E$4:$E$253,ROW()-3),IF(ROW()-3-COUNTA($E$4:$E$253)&lt;=COUNTA($G$4:$G$153),INDEX($G$4:$G$153,ROW()-3-COUNTA($E$4:$E$253)),""))</f>
        <v/>
      </c>
    </row>
    <row r="166">
      <c r="E166" s="13" t="n"/>
      <c r="Z166" s="15">
        <f>IF(ROW()-3&lt;=COUNTA($E$4:$E$253),INDEX($E$4:$E$253,ROW()-3),IF(ROW()-3-COUNTA($E$4:$E$253)&lt;=COUNTA($G$4:$G$153),INDEX($G$4:$G$153,ROW()-3-COUNTA($E$4:$E$253)),""))</f>
        <v/>
      </c>
    </row>
    <row r="167">
      <c r="E167" s="13" t="n"/>
      <c r="Z167" s="15">
        <f>IF(ROW()-3&lt;=COUNTA($E$4:$E$253),INDEX($E$4:$E$253,ROW()-3),IF(ROW()-3-COUNTA($E$4:$E$253)&lt;=COUNTA($G$4:$G$153),INDEX($G$4:$G$153,ROW()-3-COUNTA($E$4:$E$253)),""))</f>
        <v/>
      </c>
    </row>
    <row r="168">
      <c r="E168" s="13" t="n"/>
      <c r="Z168" s="15">
        <f>IF(ROW()-3&lt;=COUNTA($E$4:$E$253),INDEX($E$4:$E$253,ROW()-3),IF(ROW()-3-COUNTA($E$4:$E$253)&lt;=COUNTA($G$4:$G$153),INDEX($G$4:$G$153,ROW()-3-COUNTA($E$4:$E$253)),""))</f>
        <v/>
      </c>
    </row>
    <row r="169">
      <c r="E169" s="13" t="n"/>
      <c r="Z169" s="15">
        <f>IF(ROW()-3&lt;=COUNTA($E$4:$E$253),INDEX($E$4:$E$253,ROW()-3),IF(ROW()-3-COUNTA($E$4:$E$253)&lt;=COUNTA($G$4:$G$153),INDEX($G$4:$G$153,ROW()-3-COUNTA($E$4:$E$253)),""))</f>
        <v/>
      </c>
    </row>
    <row r="170">
      <c r="E170" s="13" t="n"/>
      <c r="Z170" s="15">
        <f>IF(ROW()-3&lt;=COUNTA($E$4:$E$253),INDEX($E$4:$E$253,ROW()-3),IF(ROW()-3-COUNTA($E$4:$E$253)&lt;=COUNTA($G$4:$G$153),INDEX($G$4:$G$153,ROW()-3-COUNTA($E$4:$E$253)),""))</f>
        <v/>
      </c>
    </row>
    <row r="171">
      <c r="E171" s="13" t="n"/>
      <c r="Z171" s="15">
        <f>IF(ROW()-3&lt;=COUNTA($E$4:$E$253),INDEX($E$4:$E$253,ROW()-3),IF(ROW()-3-COUNTA($E$4:$E$253)&lt;=COUNTA($G$4:$G$153),INDEX($G$4:$G$153,ROW()-3-COUNTA($E$4:$E$253)),""))</f>
        <v/>
      </c>
    </row>
    <row r="172">
      <c r="E172" s="13" t="n"/>
      <c r="Z172" s="15">
        <f>IF(ROW()-3&lt;=COUNTA($E$4:$E$253),INDEX($E$4:$E$253,ROW()-3),IF(ROW()-3-COUNTA($E$4:$E$253)&lt;=COUNTA($G$4:$G$153),INDEX($G$4:$G$153,ROW()-3-COUNTA($E$4:$E$253)),""))</f>
        <v/>
      </c>
    </row>
    <row r="173">
      <c r="E173" s="13" t="n"/>
      <c r="Z173" s="15">
        <f>IF(ROW()-3&lt;=COUNTA($E$4:$E$253),INDEX($E$4:$E$253,ROW()-3),IF(ROW()-3-COUNTA($E$4:$E$253)&lt;=COUNTA($G$4:$G$153),INDEX($G$4:$G$153,ROW()-3-COUNTA($E$4:$E$253)),""))</f>
        <v/>
      </c>
    </row>
    <row r="174">
      <c r="E174" s="13" t="n"/>
      <c r="Z174" s="15">
        <f>IF(ROW()-3&lt;=COUNTA($E$4:$E$253),INDEX($E$4:$E$253,ROW()-3),IF(ROW()-3-COUNTA($E$4:$E$253)&lt;=COUNTA($G$4:$G$153),INDEX($G$4:$G$153,ROW()-3-COUNTA($E$4:$E$253)),""))</f>
        <v/>
      </c>
    </row>
    <row r="175">
      <c r="E175" s="13" t="n"/>
      <c r="Z175" s="15">
        <f>IF(ROW()-3&lt;=COUNTA($E$4:$E$253),INDEX($E$4:$E$253,ROW()-3),IF(ROW()-3-COUNTA($E$4:$E$253)&lt;=COUNTA($G$4:$G$153),INDEX($G$4:$G$153,ROW()-3-COUNTA($E$4:$E$253)),""))</f>
        <v/>
      </c>
    </row>
    <row r="176">
      <c r="E176" s="13" t="n"/>
      <c r="Z176" s="15">
        <f>IF(ROW()-3&lt;=COUNTA($E$4:$E$253),INDEX($E$4:$E$253,ROW()-3),IF(ROW()-3-COUNTA($E$4:$E$253)&lt;=COUNTA($G$4:$G$153),INDEX($G$4:$G$153,ROW()-3-COUNTA($E$4:$E$253)),""))</f>
        <v/>
      </c>
    </row>
    <row r="177">
      <c r="E177" s="13" t="n"/>
      <c r="Z177" s="15">
        <f>IF(ROW()-3&lt;=COUNTA($E$4:$E$253),INDEX($E$4:$E$253,ROW()-3),IF(ROW()-3-COUNTA($E$4:$E$253)&lt;=COUNTA($G$4:$G$153),INDEX($G$4:$G$153,ROW()-3-COUNTA($E$4:$E$253)),""))</f>
        <v/>
      </c>
    </row>
    <row r="178">
      <c r="E178" s="13" t="n"/>
      <c r="Z178" s="15">
        <f>IF(ROW()-3&lt;=COUNTA($E$4:$E$253),INDEX($E$4:$E$253,ROW()-3),IF(ROW()-3-COUNTA($E$4:$E$253)&lt;=COUNTA($G$4:$G$153),INDEX($G$4:$G$153,ROW()-3-COUNTA($E$4:$E$253)),""))</f>
        <v/>
      </c>
    </row>
    <row r="179">
      <c r="E179" s="13" t="n"/>
      <c r="Z179" s="15">
        <f>IF(ROW()-3&lt;=COUNTA($E$4:$E$253),INDEX($E$4:$E$253,ROW()-3),IF(ROW()-3-COUNTA($E$4:$E$253)&lt;=COUNTA($G$4:$G$153),INDEX($G$4:$G$153,ROW()-3-COUNTA($E$4:$E$253)),""))</f>
        <v/>
      </c>
    </row>
    <row r="180">
      <c r="E180" s="13" t="n"/>
      <c r="Z180" s="15">
        <f>IF(ROW()-3&lt;=COUNTA($E$4:$E$253),INDEX($E$4:$E$253,ROW()-3),IF(ROW()-3-COUNTA($E$4:$E$253)&lt;=COUNTA($G$4:$G$153),INDEX($G$4:$G$153,ROW()-3-COUNTA($E$4:$E$253)),""))</f>
        <v/>
      </c>
    </row>
    <row r="181">
      <c r="E181" s="13" t="n"/>
      <c r="Z181" s="15">
        <f>IF(ROW()-3&lt;=COUNTA($E$4:$E$253),INDEX($E$4:$E$253,ROW()-3),IF(ROW()-3-COUNTA($E$4:$E$253)&lt;=COUNTA($G$4:$G$153),INDEX($G$4:$G$153,ROW()-3-COUNTA($E$4:$E$253)),""))</f>
        <v/>
      </c>
    </row>
    <row r="182">
      <c r="E182" s="13" t="n"/>
      <c r="Z182" s="15">
        <f>IF(ROW()-3&lt;=COUNTA($E$4:$E$253),INDEX($E$4:$E$253,ROW()-3),IF(ROW()-3-COUNTA($E$4:$E$253)&lt;=COUNTA($G$4:$G$153),INDEX($G$4:$G$153,ROW()-3-COUNTA($E$4:$E$253)),""))</f>
        <v/>
      </c>
    </row>
    <row r="183">
      <c r="E183" s="13" t="n"/>
      <c r="Z183" s="15">
        <f>IF(ROW()-3&lt;=COUNTA($E$4:$E$253),INDEX($E$4:$E$253,ROW()-3),IF(ROW()-3-COUNTA($E$4:$E$253)&lt;=COUNTA($G$4:$G$153),INDEX($G$4:$G$153,ROW()-3-COUNTA($E$4:$E$253)),""))</f>
        <v/>
      </c>
    </row>
    <row r="184">
      <c r="E184" s="13" t="n"/>
      <c r="Z184" s="15">
        <f>IF(ROW()-3&lt;=COUNTA($E$4:$E$253),INDEX($E$4:$E$253,ROW()-3),IF(ROW()-3-COUNTA($E$4:$E$253)&lt;=COUNTA($G$4:$G$153),INDEX($G$4:$G$153,ROW()-3-COUNTA($E$4:$E$253)),""))</f>
        <v/>
      </c>
    </row>
    <row r="185">
      <c r="E185" s="13" t="n"/>
      <c r="Z185" s="15">
        <f>IF(ROW()-3&lt;=COUNTA($E$4:$E$253),INDEX($E$4:$E$253,ROW()-3),IF(ROW()-3-COUNTA($E$4:$E$253)&lt;=COUNTA($G$4:$G$153),INDEX($G$4:$G$153,ROW()-3-COUNTA($E$4:$E$253)),""))</f>
        <v/>
      </c>
    </row>
    <row r="186">
      <c r="E186" s="13" t="n"/>
      <c r="Z186" s="15">
        <f>IF(ROW()-3&lt;=COUNTA($E$4:$E$253),INDEX($E$4:$E$253,ROW()-3),IF(ROW()-3-COUNTA($E$4:$E$253)&lt;=COUNTA($G$4:$G$153),INDEX($G$4:$G$153,ROW()-3-COUNTA($E$4:$E$253)),""))</f>
        <v/>
      </c>
    </row>
    <row r="187">
      <c r="E187" s="13" t="n"/>
      <c r="Z187" s="15">
        <f>IF(ROW()-3&lt;=COUNTA($E$4:$E$253),INDEX($E$4:$E$253,ROW()-3),IF(ROW()-3-COUNTA($E$4:$E$253)&lt;=COUNTA($G$4:$G$153),INDEX($G$4:$G$153,ROW()-3-COUNTA($E$4:$E$253)),""))</f>
        <v/>
      </c>
    </row>
    <row r="188">
      <c r="E188" s="13" t="n"/>
      <c r="Z188" s="15">
        <f>IF(ROW()-3&lt;=COUNTA($E$4:$E$253),INDEX($E$4:$E$253,ROW()-3),IF(ROW()-3-COUNTA($E$4:$E$253)&lt;=COUNTA($G$4:$G$153),INDEX($G$4:$G$153,ROW()-3-COUNTA($E$4:$E$253)),""))</f>
        <v/>
      </c>
    </row>
    <row r="189">
      <c r="E189" s="13" t="n"/>
      <c r="Z189" s="15">
        <f>IF(ROW()-3&lt;=COUNTA($E$4:$E$253),INDEX($E$4:$E$253,ROW()-3),IF(ROW()-3-COUNTA($E$4:$E$253)&lt;=COUNTA($G$4:$G$153),INDEX($G$4:$G$153,ROW()-3-COUNTA($E$4:$E$253)),""))</f>
        <v/>
      </c>
    </row>
    <row r="190">
      <c r="E190" s="13" t="n"/>
      <c r="Z190" s="15">
        <f>IF(ROW()-3&lt;=COUNTA($E$4:$E$253),INDEX($E$4:$E$253,ROW()-3),IF(ROW()-3-COUNTA($E$4:$E$253)&lt;=COUNTA($G$4:$G$153),INDEX($G$4:$G$153,ROW()-3-COUNTA($E$4:$E$253)),""))</f>
        <v/>
      </c>
    </row>
    <row r="191">
      <c r="E191" s="13" t="n"/>
      <c r="Z191" s="15">
        <f>IF(ROW()-3&lt;=COUNTA($E$4:$E$253),INDEX($E$4:$E$253,ROW()-3),IF(ROW()-3-COUNTA($E$4:$E$253)&lt;=COUNTA($G$4:$G$153),INDEX($G$4:$G$153,ROW()-3-COUNTA($E$4:$E$253)),""))</f>
        <v/>
      </c>
    </row>
    <row r="192">
      <c r="E192" s="13" t="n"/>
      <c r="Z192" s="15">
        <f>IF(ROW()-3&lt;=COUNTA($E$4:$E$253),INDEX($E$4:$E$253,ROW()-3),IF(ROW()-3-COUNTA($E$4:$E$253)&lt;=COUNTA($G$4:$G$153),INDEX($G$4:$G$153,ROW()-3-COUNTA($E$4:$E$253)),""))</f>
        <v/>
      </c>
    </row>
    <row r="193">
      <c r="E193" s="13" t="n"/>
      <c r="Z193" s="15">
        <f>IF(ROW()-3&lt;=COUNTA($E$4:$E$253),INDEX($E$4:$E$253,ROW()-3),IF(ROW()-3-COUNTA($E$4:$E$253)&lt;=COUNTA($G$4:$G$153),INDEX($G$4:$G$153,ROW()-3-COUNTA($E$4:$E$253)),""))</f>
        <v/>
      </c>
    </row>
    <row r="194">
      <c r="E194" s="13" t="n"/>
      <c r="Z194" s="15">
        <f>IF(ROW()-3&lt;=COUNTA($E$4:$E$253),INDEX($E$4:$E$253,ROW()-3),IF(ROW()-3-COUNTA($E$4:$E$253)&lt;=COUNTA($G$4:$G$153),INDEX($G$4:$G$153,ROW()-3-COUNTA($E$4:$E$253)),""))</f>
        <v/>
      </c>
    </row>
    <row r="195">
      <c r="E195" s="13" t="n"/>
      <c r="Z195" s="15">
        <f>IF(ROW()-3&lt;=COUNTA($E$4:$E$253),INDEX($E$4:$E$253,ROW()-3),IF(ROW()-3-COUNTA($E$4:$E$253)&lt;=COUNTA($G$4:$G$153),INDEX($G$4:$G$153,ROW()-3-COUNTA($E$4:$E$253)),""))</f>
        <v/>
      </c>
    </row>
    <row r="196">
      <c r="E196" s="13" t="n"/>
      <c r="Z196" s="15">
        <f>IF(ROW()-3&lt;=COUNTA($E$4:$E$253),INDEX($E$4:$E$253,ROW()-3),IF(ROW()-3-COUNTA($E$4:$E$253)&lt;=COUNTA($G$4:$G$153),INDEX($G$4:$G$153,ROW()-3-COUNTA($E$4:$E$253)),""))</f>
        <v/>
      </c>
    </row>
    <row r="197">
      <c r="E197" s="13" t="n"/>
      <c r="Z197" s="15">
        <f>IF(ROW()-3&lt;=COUNTA($E$4:$E$253),INDEX($E$4:$E$253,ROW()-3),IF(ROW()-3-COUNTA($E$4:$E$253)&lt;=COUNTA($G$4:$G$153),INDEX($G$4:$G$153,ROW()-3-COUNTA($E$4:$E$253)),""))</f>
        <v/>
      </c>
    </row>
    <row r="198">
      <c r="E198" s="13" t="n"/>
      <c r="Z198" s="15">
        <f>IF(ROW()-3&lt;=COUNTA($E$4:$E$253),INDEX($E$4:$E$253,ROW()-3),IF(ROW()-3-COUNTA($E$4:$E$253)&lt;=COUNTA($G$4:$G$153),INDEX($G$4:$G$153,ROW()-3-COUNTA($E$4:$E$253)),""))</f>
        <v/>
      </c>
    </row>
    <row r="199">
      <c r="E199" s="13" t="n"/>
      <c r="Z199" s="15">
        <f>IF(ROW()-3&lt;=COUNTA($E$4:$E$253),INDEX($E$4:$E$253,ROW()-3),IF(ROW()-3-COUNTA($E$4:$E$253)&lt;=COUNTA($G$4:$G$153),INDEX($G$4:$G$153,ROW()-3-COUNTA($E$4:$E$253)),""))</f>
        <v/>
      </c>
    </row>
    <row r="200">
      <c r="E200" s="13" t="n"/>
      <c r="Z200" s="15">
        <f>IF(ROW()-3&lt;=COUNTA($E$4:$E$253),INDEX($E$4:$E$253,ROW()-3),IF(ROW()-3-COUNTA($E$4:$E$253)&lt;=COUNTA($G$4:$G$153),INDEX($G$4:$G$153,ROW()-3-COUNTA($E$4:$E$253)),""))</f>
        <v/>
      </c>
    </row>
    <row r="201">
      <c r="E201" s="13" t="n"/>
      <c r="Z201" s="15">
        <f>IF(ROW()-3&lt;=COUNTA($E$4:$E$253),INDEX($E$4:$E$253,ROW()-3),IF(ROW()-3-COUNTA($E$4:$E$253)&lt;=COUNTA($G$4:$G$153),INDEX($G$4:$G$153,ROW()-3-COUNTA($E$4:$E$253)),""))</f>
        <v/>
      </c>
    </row>
    <row r="202">
      <c r="E202" s="13" t="n"/>
      <c r="Z202" s="15">
        <f>IF(ROW()-3&lt;=COUNTA($E$4:$E$253),INDEX($E$4:$E$253,ROW()-3),IF(ROW()-3-COUNTA($E$4:$E$253)&lt;=COUNTA($G$4:$G$153),INDEX($G$4:$G$153,ROW()-3-COUNTA($E$4:$E$253)),""))</f>
        <v/>
      </c>
    </row>
    <row r="203">
      <c r="E203" s="13" t="n"/>
      <c r="Z203" s="15">
        <f>IF(ROW()-3&lt;=COUNTA($E$4:$E$253),INDEX($E$4:$E$253,ROW()-3),IF(ROW()-3-COUNTA($E$4:$E$253)&lt;=COUNTA($G$4:$G$153),INDEX($G$4:$G$153,ROW()-3-COUNTA($E$4:$E$253)),""))</f>
        <v/>
      </c>
    </row>
    <row r="204">
      <c r="E204" s="13" t="n"/>
      <c r="Z204" s="15">
        <f>IF(ROW()-3&lt;=COUNTA($E$4:$E$253),INDEX($E$4:$E$253,ROW()-3),IF(ROW()-3-COUNTA($E$4:$E$253)&lt;=COUNTA($G$4:$G$153),INDEX($G$4:$G$153,ROW()-3-COUNTA($E$4:$E$253)),""))</f>
        <v/>
      </c>
    </row>
    <row r="205">
      <c r="E205" s="13" t="n"/>
      <c r="Z205" s="15">
        <f>IF(ROW()-3&lt;=COUNTA($E$4:$E$253),INDEX($E$4:$E$253,ROW()-3),IF(ROW()-3-COUNTA($E$4:$E$253)&lt;=COUNTA($G$4:$G$153),INDEX($G$4:$G$153,ROW()-3-COUNTA($E$4:$E$253)),""))</f>
        <v/>
      </c>
    </row>
    <row r="206">
      <c r="E206" s="13" t="n"/>
      <c r="Z206" s="15">
        <f>IF(ROW()-3&lt;=COUNTA($E$4:$E$253),INDEX($E$4:$E$253,ROW()-3),IF(ROW()-3-COUNTA($E$4:$E$253)&lt;=COUNTA($G$4:$G$153),INDEX($G$4:$G$153,ROW()-3-COUNTA($E$4:$E$253)),""))</f>
        <v/>
      </c>
    </row>
    <row r="207">
      <c r="E207" s="13" t="n"/>
      <c r="Z207" s="15">
        <f>IF(ROW()-3&lt;=COUNTA($E$4:$E$253),INDEX($E$4:$E$253,ROW()-3),IF(ROW()-3-COUNTA($E$4:$E$253)&lt;=COUNTA($G$4:$G$153),INDEX($G$4:$G$153,ROW()-3-COUNTA($E$4:$E$253)),""))</f>
        <v/>
      </c>
    </row>
    <row r="208">
      <c r="E208" s="13" t="n"/>
      <c r="Z208" s="15">
        <f>IF(ROW()-3&lt;=COUNTA($E$4:$E$253),INDEX($E$4:$E$253,ROW()-3),IF(ROW()-3-COUNTA($E$4:$E$253)&lt;=COUNTA($G$4:$G$153),INDEX($G$4:$G$153,ROW()-3-COUNTA($E$4:$E$253)),""))</f>
        <v/>
      </c>
    </row>
    <row r="209">
      <c r="E209" s="13" t="n"/>
      <c r="Z209" s="15">
        <f>IF(ROW()-3&lt;=COUNTA($E$4:$E$253),INDEX($E$4:$E$253,ROW()-3),IF(ROW()-3-COUNTA($E$4:$E$253)&lt;=COUNTA($G$4:$G$153),INDEX($G$4:$G$153,ROW()-3-COUNTA($E$4:$E$253)),""))</f>
        <v/>
      </c>
    </row>
    <row r="210">
      <c r="E210" s="13" t="n"/>
      <c r="Z210" s="15">
        <f>IF(ROW()-3&lt;=COUNTA($E$4:$E$253),INDEX($E$4:$E$253,ROW()-3),IF(ROW()-3-COUNTA($E$4:$E$253)&lt;=COUNTA($G$4:$G$153),INDEX($G$4:$G$153,ROW()-3-COUNTA($E$4:$E$253)),""))</f>
        <v/>
      </c>
    </row>
    <row r="211">
      <c r="E211" s="13" t="n"/>
      <c r="Z211" s="15">
        <f>IF(ROW()-3&lt;=COUNTA($E$4:$E$253),INDEX($E$4:$E$253,ROW()-3),IF(ROW()-3-COUNTA($E$4:$E$253)&lt;=COUNTA($G$4:$G$153),INDEX($G$4:$G$153,ROW()-3-COUNTA($E$4:$E$253)),""))</f>
        <v/>
      </c>
    </row>
    <row r="212">
      <c r="E212" s="13" t="n"/>
      <c r="Z212" s="15">
        <f>IF(ROW()-3&lt;=COUNTA($E$4:$E$253),INDEX($E$4:$E$253,ROW()-3),IF(ROW()-3-COUNTA($E$4:$E$253)&lt;=COUNTA($G$4:$G$153),INDEX($G$4:$G$153,ROW()-3-COUNTA($E$4:$E$253)),""))</f>
        <v/>
      </c>
    </row>
    <row r="213">
      <c r="E213" s="13" t="n"/>
      <c r="Z213" s="15">
        <f>IF(ROW()-3&lt;=COUNTA($E$4:$E$253),INDEX($E$4:$E$253,ROW()-3),IF(ROW()-3-COUNTA($E$4:$E$253)&lt;=COUNTA($G$4:$G$153),INDEX($G$4:$G$153,ROW()-3-COUNTA($E$4:$E$253)),""))</f>
        <v/>
      </c>
    </row>
    <row r="214">
      <c r="E214" s="13" t="n"/>
      <c r="Z214" s="15">
        <f>IF(ROW()-3&lt;=COUNTA($E$4:$E$253),INDEX($E$4:$E$253,ROW()-3),IF(ROW()-3-COUNTA($E$4:$E$253)&lt;=COUNTA($G$4:$G$153),INDEX($G$4:$G$153,ROW()-3-COUNTA($E$4:$E$253)),""))</f>
        <v/>
      </c>
    </row>
    <row r="215">
      <c r="E215" s="13" t="n"/>
      <c r="Z215" s="15">
        <f>IF(ROW()-3&lt;=COUNTA($E$4:$E$253),INDEX($E$4:$E$253,ROW()-3),IF(ROW()-3-COUNTA($E$4:$E$253)&lt;=COUNTA($G$4:$G$153),INDEX($G$4:$G$153,ROW()-3-COUNTA($E$4:$E$253)),""))</f>
        <v/>
      </c>
    </row>
    <row r="216">
      <c r="E216" s="13" t="n"/>
      <c r="Z216" s="15">
        <f>IF(ROW()-3&lt;=COUNTA($E$4:$E$253),INDEX($E$4:$E$253,ROW()-3),IF(ROW()-3-COUNTA($E$4:$E$253)&lt;=COUNTA($G$4:$G$153),INDEX($G$4:$G$153,ROW()-3-COUNTA($E$4:$E$253)),""))</f>
        <v/>
      </c>
    </row>
    <row r="217">
      <c r="E217" s="13" t="n"/>
      <c r="Z217" s="15">
        <f>IF(ROW()-3&lt;=COUNTA($E$4:$E$253),INDEX($E$4:$E$253,ROW()-3),IF(ROW()-3-COUNTA($E$4:$E$253)&lt;=COUNTA($G$4:$G$153),INDEX($G$4:$G$153,ROW()-3-COUNTA($E$4:$E$253)),""))</f>
        <v/>
      </c>
    </row>
    <row r="218">
      <c r="E218" s="13" t="n"/>
      <c r="Z218" s="15">
        <f>IF(ROW()-3&lt;=COUNTA($E$4:$E$253),INDEX($E$4:$E$253,ROW()-3),IF(ROW()-3-COUNTA($E$4:$E$253)&lt;=COUNTA($G$4:$G$153),INDEX($G$4:$G$153,ROW()-3-COUNTA($E$4:$E$253)),""))</f>
        <v/>
      </c>
    </row>
    <row r="219">
      <c r="E219" s="13" t="n"/>
      <c r="Z219" s="15">
        <f>IF(ROW()-3&lt;=COUNTA($E$4:$E$253),INDEX($E$4:$E$253,ROW()-3),IF(ROW()-3-COUNTA($E$4:$E$253)&lt;=COUNTA($G$4:$G$153),INDEX($G$4:$G$153,ROW()-3-COUNTA($E$4:$E$253)),""))</f>
        <v/>
      </c>
    </row>
    <row r="220">
      <c r="E220" s="13" t="n"/>
      <c r="Z220" s="15">
        <f>IF(ROW()-3&lt;=COUNTA($E$4:$E$253),INDEX($E$4:$E$253,ROW()-3),IF(ROW()-3-COUNTA($E$4:$E$253)&lt;=COUNTA($G$4:$G$153),INDEX($G$4:$G$153,ROW()-3-COUNTA($E$4:$E$253)),""))</f>
        <v/>
      </c>
    </row>
    <row r="221">
      <c r="E221" s="13" t="n"/>
      <c r="Z221" s="15">
        <f>IF(ROW()-3&lt;=COUNTA($E$4:$E$253),INDEX($E$4:$E$253,ROW()-3),IF(ROW()-3-COUNTA($E$4:$E$253)&lt;=COUNTA($G$4:$G$153),INDEX($G$4:$G$153,ROW()-3-COUNTA($E$4:$E$253)),""))</f>
        <v/>
      </c>
    </row>
    <row r="222">
      <c r="E222" s="13" t="n"/>
      <c r="Z222" s="15">
        <f>IF(ROW()-3&lt;=COUNTA($E$4:$E$253),INDEX($E$4:$E$253,ROW()-3),IF(ROW()-3-COUNTA($E$4:$E$253)&lt;=COUNTA($G$4:$G$153),INDEX($G$4:$G$153,ROW()-3-COUNTA($E$4:$E$253)),""))</f>
        <v/>
      </c>
    </row>
    <row r="223">
      <c r="E223" s="13" t="n"/>
      <c r="Z223" s="15">
        <f>IF(ROW()-3&lt;=COUNTA($E$4:$E$253),INDEX($E$4:$E$253,ROW()-3),IF(ROW()-3-COUNTA($E$4:$E$253)&lt;=COUNTA($G$4:$G$153),INDEX($G$4:$G$153,ROW()-3-COUNTA($E$4:$E$253)),""))</f>
        <v/>
      </c>
    </row>
    <row r="224">
      <c r="E224" s="13" t="n"/>
      <c r="Z224" s="15">
        <f>IF(ROW()-3&lt;=COUNTA($E$4:$E$253),INDEX($E$4:$E$253,ROW()-3),IF(ROW()-3-COUNTA($E$4:$E$253)&lt;=COUNTA($G$4:$G$153),INDEX($G$4:$G$153,ROW()-3-COUNTA($E$4:$E$253)),""))</f>
        <v/>
      </c>
    </row>
    <row r="225">
      <c r="E225" s="13" t="n"/>
      <c r="Z225" s="15">
        <f>IF(ROW()-3&lt;=COUNTA($E$4:$E$253),INDEX($E$4:$E$253,ROW()-3),IF(ROW()-3-COUNTA($E$4:$E$253)&lt;=COUNTA($G$4:$G$153),INDEX($G$4:$G$153,ROW()-3-COUNTA($E$4:$E$253)),""))</f>
        <v/>
      </c>
    </row>
    <row r="226">
      <c r="E226" s="13" t="n"/>
      <c r="Z226" s="15">
        <f>IF(ROW()-3&lt;=COUNTA($E$4:$E$253),INDEX($E$4:$E$253,ROW()-3),IF(ROW()-3-COUNTA($E$4:$E$253)&lt;=COUNTA($G$4:$G$153),INDEX($G$4:$G$153,ROW()-3-COUNTA($E$4:$E$253)),""))</f>
        <v/>
      </c>
    </row>
    <row r="227">
      <c r="E227" s="13" t="n"/>
      <c r="Z227" s="15">
        <f>IF(ROW()-3&lt;=COUNTA($E$4:$E$253),INDEX($E$4:$E$253,ROW()-3),IF(ROW()-3-COUNTA($E$4:$E$253)&lt;=COUNTA($G$4:$G$153),INDEX($G$4:$G$153,ROW()-3-COUNTA($E$4:$E$253)),""))</f>
        <v/>
      </c>
    </row>
    <row r="228">
      <c r="E228" s="13" t="n"/>
      <c r="Z228" s="15">
        <f>IF(ROW()-3&lt;=COUNTA($E$4:$E$253),INDEX($E$4:$E$253,ROW()-3),IF(ROW()-3-COUNTA($E$4:$E$253)&lt;=COUNTA($G$4:$G$153),INDEX($G$4:$G$153,ROW()-3-COUNTA($E$4:$E$253)),""))</f>
        <v/>
      </c>
    </row>
    <row r="229">
      <c r="E229" s="13" t="n"/>
      <c r="Z229" s="15">
        <f>IF(ROW()-3&lt;=COUNTA($E$4:$E$253),INDEX($E$4:$E$253,ROW()-3),IF(ROW()-3-COUNTA($E$4:$E$253)&lt;=COUNTA($G$4:$G$153),INDEX($G$4:$G$153,ROW()-3-COUNTA($E$4:$E$253)),""))</f>
        <v/>
      </c>
    </row>
    <row r="230">
      <c r="E230" s="13" t="n"/>
      <c r="Z230" s="15">
        <f>IF(ROW()-3&lt;=COUNTA($E$4:$E$253),INDEX($E$4:$E$253,ROW()-3),IF(ROW()-3-COUNTA($E$4:$E$253)&lt;=COUNTA($G$4:$G$153),INDEX($G$4:$G$153,ROW()-3-COUNTA($E$4:$E$253)),""))</f>
        <v/>
      </c>
    </row>
    <row r="231">
      <c r="E231" s="13" t="n"/>
      <c r="Z231" s="15">
        <f>IF(ROW()-3&lt;=COUNTA($E$4:$E$253),INDEX($E$4:$E$253,ROW()-3),IF(ROW()-3-COUNTA($E$4:$E$253)&lt;=COUNTA($G$4:$G$153),INDEX($G$4:$G$153,ROW()-3-COUNTA($E$4:$E$253)),""))</f>
        <v/>
      </c>
    </row>
    <row r="232">
      <c r="E232" s="13" t="n"/>
      <c r="Z232" s="15">
        <f>IF(ROW()-3&lt;=COUNTA($E$4:$E$253),INDEX($E$4:$E$253,ROW()-3),IF(ROW()-3-COUNTA($E$4:$E$253)&lt;=COUNTA($G$4:$G$153),INDEX($G$4:$G$153,ROW()-3-COUNTA($E$4:$E$253)),""))</f>
        <v/>
      </c>
    </row>
    <row r="233">
      <c r="E233" s="13" t="n"/>
      <c r="Z233" s="15">
        <f>IF(ROW()-3&lt;=COUNTA($E$4:$E$253),INDEX($E$4:$E$253,ROW()-3),IF(ROW()-3-COUNTA($E$4:$E$253)&lt;=COUNTA($G$4:$G$153),INDEX($G$4:$G$153,ROW()-3-COUNTA($E$4:$E$253)),""))</f>
        <v/>
      </c>
    </row>
    <row r="234">
      <c r="E234" s="13" t="n"/>
      <c r="Z234" s="15">
        <f>IF(ROW()-3&lt;=COUNTA($E$4:$E$253),INDEX($E$4:$E$253,ROW()-3),IF(ROW()-3-COUNTA($E$4:$E$253)&lt;=COUNTA($G$4:$G$153),INDEX($G$4:$G$153,ROW()-3-COUNTA($E$4:$E$253)),""))</f>
        <v/>
      </c>
    </row>
    <row r="235">
      <c r="E235" s="13" t="n"/>
      <c r="Z235" s="15">
        <f>IF(ROW()-3&lt;=COUNTA($E$4:$E$253),INDEX($E$4:$E$253,ROW()-3),IF(ROW()-3-COUNTA($E$4:$E$253)&lt;=COUNTA($G$4:$G$153),INDEX($G$4:$G$153,ROW()-3-COUNTA($E$4:$E$253)),""))</f>
        <v/>
      </c>
    </row>
    <row r="236">
      <c r="E236" s="13" t="n"/>
      <c r="Z236" s="15">
        <f>IF(ROW()-3&lt;=COUNTA($E$4:$E$253),INDEX($E$4:$E$253,ROW()-3),IF(ROW()-3-COUNTA($E$4:$E$253)&lt;=COUNTA($G$4:$G$153),INDEX($G$4:$G$153,ROW()-3-COUNTA($E$4:$E$253)),""))</f>
        <v/>
      </c>
    </row>
    <row r="237">
      <c r="E237" s="13" t="n"/>
      <c r="Z237" s="15">
        <f>IF(ROW()-3&lt;=COUNTA($E$4:$E$253),INDEX($E$4:$E$253,ROW()-3),IF(ROW()-3-COUNTA($E$4:$E$253)&lt;=COUNTA($G$4:$G$153),INDEX($G$4:$G$153,ROW()-3-COUNTA($E$4:$E$253)),""))</f>
        <v/>
      </c>
    </row>
    <row r="238">
      <c r="E238" s="13" t="n"/>
      <c r="Z238" s="15">
        <f>IF(ROW()-3&lt;=COUNTA($E$4:$E$253),INDEX($E$4:$E$253,ROW()-3),IF(ROW()-3-COUNTA($E$4:$E$253)&lt;=COUNTA($G$4:$G$153),INDEX($G$4:$G$153,ROW()-3-COUNTA($E$4:$E$253)),""))</f>
        <v/>
      </c>
    </row>
    <row r="239">
      <c r="E239" s="13" t="n"/>
      <c r="Z239" s="15">
        <f>IF(ROW()-3&lt;=COUNTA($E$4:$E$253),INDEX($E$4:$E$253,ROW()-3),IF(ROW()-3-COUNTA($E$4:$E$253)&lt;=COUNTA($G$4:$G$153),INDEX($G$4:$G$153,ROW()-3-COUNTA($E$4:$E$253)),""))</f>
        <v/>
      </c>
    </row>
    <row r="240">
      <c r="E240" s="13" t="n"/>
      <c r="Z240" s="15">
        <f>IF(ROW()-3&lt;=COUNTA($E$4:$E$253),INDEX($E$4:$E$253,ROW()-3),IF(ROW()-3-COUNTA($E$4:$E$253)&lt;=COUNTA($G$4:$G$153),INDEX($G$4:$G$153,ROW()-3-COUNTA($E$4:$E$253)),""))</f>
        <v/>
      </c>
    </row>
    <row r="241">
      <c r="E241" s="13" t="n"/>
      <c r="Z241" s="15">
        <f>IF(ROW()-3&lt;=COUNTA($E$4:$E$253),INDEX($E$4:$E$253,ROW()-3),IF(ROW()-3-COUNTA($E$4:$E$253)&lt;=COUNTA($G$4:$G$153),INDEX($G$4:$G$153,ROW()-3-COUNTA($E$4:$E$253)),""))</f>
        <v/>
      </c>
    </row>
    <row r="242">
      <c r="E242" s="13" t="n"/>
      <c r="Z242" s="15">
        <f>IF(ROW()-3&lt;=COUNTA($E$4:$E$253),INDEX($E$4:$E$253,ROW()-3),IF(ROW()-3-COUNTA($E$4:$E$253)&lt;=COUNTA($G$4:$G$153),INDEX($G$4:$G$153,ROW()-3-COUNTA($E$4:$E$253)),""))</f>
        <v/>
      </c>
    </row>
    <row r="243">
      <c r="E243" s="13" t="n"/>
      <c r="Z243" s="15">
        <f>IF(ROW()-3&lt;=COUNTA($E$4:$E$253),INDEX($E$4:$E$253,ROW()-3),IF(ROW()-3-COUNTA($E$4:$E$253)&lt;=COUNTA($G$4:$G$153),INDEX($G$4:$G$153,ROW()-3-COUNTA($E$4:$E$253)),""))</f>
        <v/>
      </c>
    </row>
    <row r="244">
      <c r="E244" s="13" t="n"/>
      <c r="Z244" s="15">
        <f>IF(ROW()-3&lt;=COUNTA($E$4:$E$253),INDEX($E$4:$E$253,ROW()-3),IF(ROW()-3-COUNTA($E$4:$E$253)&lt;=COUNTA($G$4:$G$153),INDEX($G$4:$G$153,ROW()-3-COUNTA($E$4:$E$253)),""))</f>
        <v/>
      </c>
    </row>
    <row r="245">
      <c r="E245" s="13" t="n"/>
      <c r="Z245" s="15">
        <f>IF(ROW()-3&lt;=COUNTA($E$4:$E$253),INDEX($E$4:$E$253,ROW()-3),IF(ROW()-3-COUNTA($E$4:$E$253)&lt;=COUNTA($G$4:$G$153),INDEX($G$4:$G$153,ROW()-3-COUNTA($E$4:$E$253)),""))</f>
        <v/>
      </c>
    </row>
    <row r="246">
      <c r="E246" s="13" t="n"/>
      <c r="Z246" s="15">
        <f>IF(ROW()-3&lt;=COUNTA($E$4:$E$253),INDEX($E$4:$E$253,ROW()-3),IF(ROW()-3-COUNTA($E$4:$E$253)&lt;=COUNTA($G$4:$G$153),INDEX($G$4:$G$153,ROW()-3-COUNTA($E$4:$E$253)),""))</f>
        <v/>
      </c>
    </row>
    <row r="247">
      <c r="E247" s="13" t="n"/>
      <c r="Z247" s="15">
        <f>IF(ROW()-3&lt;=COUNTA($E$4:$E$253),INDEX($E$4:$E$253,ROW()-3),IF(ROW()-3-COUNTA($E$4:$E$253)&lt;=COUNTA($G$4:$G$153),INDEX($G$4:$G$153,ROW()-3-COUNTA($E$4:$E$253)),""))</f>
        <v/>
      </c>
    </row>
    <row r="248">
      <c r="E248" s="13" t="n"/>
      <c r="Z248" s="15">
        <f>IF(ROW()-3&lt;=COUNTA($E$4:$E$253),INDEX($E$4:$E$253,ROW()-3),IF(ROW()-3-COUNTA($E$4:$E$253)&lt;=COUNTA($G$4:$G$153),INDEX($G$4:$G$153,ROW()-3-COUNTA($E$4:$E$253)),""))</f>
        <v/>
      </c>
    </row>
    <row r="249">
      <c r="E249" s="13" t="n"/>
      <c r="Z249" s="15">
        <f>IF(ROW()-3&lt;=COUNTA($E$4:$E$253),INDEX($E$4:$E$253,ROW()-3),IF(ROW()-3-COUNTA($E$4:$E$253)&lt;=COUNTA($G$4:$G$153),INDEX($G$4:$G$153,ROW()-3-COUNTA($E$4:$E$253)),""))</f>
        <v/>
      </c>
    </row>
    <row r="250">
      <c r="E250" s="13" t="n"/>
      <c r="Z250" s="15">
        <f>IF(ROW()-3&lt;=COUNTA($E$4:$E$253),INDEX($E$4:$E$253,ROW()-3),IF(ROW()-3-COUNTA($E$4:$E$253)&lt;=COUNTA($G$4:$G$153),INDEX($G$4:$G$153,ROW()-3-COUNTA($E$4:$E$253)),""))</f>
        <v/>
      </c>
    </row>
    <row r="251">
      <c r="E251" s="13" t="n"/>
      <c r="Z251" s="15">
        <f>IF(ROW()-3&lt;=COUNTA($E$4:$E$253),INDEX($E$4:$E$253,ROW()-3),IF(ROW()-3-COUNTA($E$4:$E$253)&lt;=COUNTA($G$4:$G$153),INDEX($G$4:$G$153,ROW()-3-COUNTA($E$4:$E$253)),""))</f>
        <v/>
      </c>
    </row>
    <row r="252">
      <c r="E252" s="13" t="n"/>
      <c r="Z252" s="15">
        <f>IF(ROW()-3&lt;=COUNTA($E$4:$E$253),INDEX($E$4:$E$253,ROW()-3),IF(ROW()-3-COUNTA($E$4:$E$253)&lt;=COUNTA($G$4:$G$153),INDEX($G$4:$G$153,ROW()-3-COUNTA($E$4:$E$253)),""))</f>
        <v/>
      </c>
    </row>
    <row r="253">
      <c r="E253" s="13" t="n"/>
      <c r="Z253" s="15">
        <f>IF(ROW()-3&lt;=COUNTA($E$4:$E$253),INDEX($E$4:$E$253,ROW()-3),IF(ROW()-3-COUNTA($E$4:$E$253)&lt;=COUNTA($G$4:$G$153),INDEX($G$4:$G$153,ROW()-3-COUNTA($E$4:$E$253)),""))</f>
        <v/>
      </c>
    </row>
    <row r="254">
      <c r="Z254" s="15">
        <f>IF(ROW()-3&lt;=COUNTA($E$4:$E$253),INDEX($E$4:$E$253,ROW()-3),IF(ROW()-3-COUNTA($E$4:$E$253)&lt;=COUNTA($G$4:$G$153),INDEX($G$4:$G$153,ROW()-3-COUNTA($E$4:$E$253)),""))</f>
        <v/>
      </c>
    </row>
    <row r="255">
      <c r="Z255" s="15">
        <f>IF(ROW()-3&lt;=COUNTA($E$4:$E$253),INDEX($E$4:$E$253,ROW()-3),IF(ROW()-3-COUNTA($E$4:$E$253)&lt;=COUNTA($G$4:$G$153),INDEX($G$4:$G$153,ROW()-3-COUNTA($E$4:$E$253)),""))</f>
        <v/>
      </c>
    </row>
    <row r="256">
      <c r="Z256" s="15">
        <f>IF(ROW()-3&lt;=COUNTA($E$4:$E$253),INDEX($E$4:$E$253,ROW()-3),IF(ROW()-3-COUNTA($E$4:$E$253)&lt;=COUNTA($G$4:$G$153),INDEX($G$4:$G$153,ROW()-3-COUNTA($E$4:$E$253)),""))</f>
        <v/>
      </c>
    </row>
    <row r="257">
      <c r="Z257" s="15">
        <f>IF(ROW()-3&lt;=COUNTA($E$4:$E$253),INDEX($E$4:$E$253,ROW()-3),IF(ROW()-3-COUNTA($E$4:$E$253)&lt;=COUNTA($G$4:$G$153),INDEX($G$4:$G$153,ROW()-3-COUNTA($E$4:$E$253)),""))</f>
        <v/>
      </c>
    </row>
    <row r="258">
      <c r="Z258" s="15">
        <f>IF(ROW()-3&lt;=COUNTA($E$4:$E$253),INDEX($E$4:$E$253,ROW()-3),IF(ROW()-3-COUNTA($E$4:$E$253)&lt;=COUNTA($G$4:$G$153),INDEX($G$4:$G$153,ROW()-3-COUNTA($E$4:$E$253)),""))</f>
        <v/>
      </c>
    </row>
    <row r="259">
      <c r="Z259" s="15">
        <f>IF(ROW()-3&lt;=COUNTA($E$4:$E$253),INDEX($E$4:$E$253,ROW()-3),IF(ROW()-3-COUNTA($E$4:$E$253)&lt;=COUNTA($G$4:$G$153),INDEX($G$4:$G$153,ROW()-3-COUNTA($E$4:$E$253)),""))</f>
        <v/>
      </c>
    </row>
    <row r="260">
      <c r="Z260" s="15">
        <f>IF(ROW()-3&lt;=COUNTA($E$4:$E$253),INDEX($E$4:$E$253,ROW()-3),IF(ROW()-3-COUNTA($E$4:$E$253)&lt;=COUNTA($G$4:$G$153),INDEX($G$4:$G$153,ROW()-3-COUNTA($E$4:$E$253)),""))</f>
        <v/>
      </c>
    </row>
    <row r="261">
      <c r="Z261" s="15">
        <f>IF(ROW()-3&lt;=COUNTA($E$4:$E$253),INDEX($E$4:$E$253,ROW()-3),IF(ROW()-3-COUNTA($E$4:$E$253)&lt;=COUNTA($G$4:$G$153),INDEX($G$4:$G$153,ROW()-3-COUNTA($E$4:$E$253)),""))</f>
        <v/>
      </c>
    </row>
    <row r="262">
      <c r="Z262" s="15">
        <f>IF(ROW()-3&lt;=COUNTA($E$4:$E$253),INDEX($E$4:$E$253,ROW()-3),IF(ROW()-3-COUNTA($E$4:$E$253)&lt;=COUNTA($G$4:$G$153),INDEX($G$4:$G$153,ROW()-3-COUNTA($E$4:$E$253)),""))</f>
        <v/>
      </c>
    </row>
    <row r="263">
      <c r="Z263" s="15">
        <f>IF(ROW()-3&lt;=COUNTA($E$4:$E$253),INDEX($E$4:$E$253,ROW()-3),IF(ROW()-3-COUNTA($E$4:$E$253)&lt;=COUNTA($G$4:$G$153),INDEX($G$4:$G$153,ROW()-3-COUNTA($E$4:$E$253)),""))</f>
        <v/>
      </c>
    </row>
    <row r="264">
      <c r="Z264" s="15">
        <f>IF(ROW()-3&lt;=COUNTA($E$4:$E$253),INDEX($E$4:$E$253,ROW()-3),IF(ROW()-3-COUNTA($E$4:$E$253)&lt;=COUNTA($G$4:$G$153),INDEX($G$4:$G$153,ROW()-3-COUNTA($E$4:$E$253)),""))</f>
        <v/>
      </c>
    </row>
    <row r="265">
      <c r="Z265" s="15">
        <f>IF(ROW()-3&lt;=COUNTA($E$4:$E$253),INDEX($E$4:$E$253,ROW()-3),IF(ROW()-3-COUNTA($E$4:$E$253)&lt;=COUNTA($G$4:$G$153),INDEX($G$4:$G$153,ROW()-3-COUNTA($E$4:$E$253)),""))</f>
        <v/>
      </c>
    </row>
    <row r="266">
      <c r="Z266" s="15">
        <f>IF(ROW()-3&lt;=COUNTA($E$4:$E$253),INDEX($E$4:$E$253,ROW()-3),IF(ROW()-3-COUNTA($E$4:$E$253)&lt;=COUNTA($G$4:$G$153),INDEX($G$4:$G$153,ROW()-3-COUNTA($E$4:$E$253)),""))</f>
        <v/>
      </c>
    </row>
    <row r="267">
      <c r="Z267" s="15">
        <f>IF(ROW()-3&lt;=COUNTA($E$4:$E$253),INDEX($E$4:$E$253,ROW()-3),IF(ROW()-3-COUNTA($E$4:$E$253)&lt;=COUNTA($G$4:$G$153),INDEX($G$4:$G$153,ROW()-3-COUNTA($E$4:$E$253)),""))</f>
        <v/>
      </c>
    </row>
    <row r="268">
      <c r="Z268" s="15">
        <f>IF(ROW()-3&lt;=COUNTA($E$4:$E$253),INDEX($E$4:$E$253,ROW()-3),IF(ROW()-3-COUNTA($E$4:$E$253)&lt;=COUNTA($G$4:$G$153),INDEX($G$4:$G$153,ROW()-3-COUNTA($E$4:$E$253)),""))</f>
        <v/>
      </c>
    </row>
    <row r="269">
      <c r="Z269" s="15">
        <f>IF(ROW()-3&lt;=COUNTA($E$4:$E$253),INDEX($E$4:$E$253,ROW()-3),IF(ROW()-3-COUNTA($E$4:$E$253)&lt;=COUNTA($G$4:$G$153),INDEX($G$4:$G$153,ROW()-3-COUNTA($E$4:$E$253)),""))</f>
        <v/>
      </c>
    </row>
    <row r="270">
      <c r="Z270" s="15">
        <f>IF(ROW()-3&lt;=COUNTA($E$4:$E$253),INDEX($E$4:$E$253,ROW()-3),IF(ROW()-3-COUNTA($E$4:$E$253)&lt;=COUNTA($G$4:$G$153),INDEX($G$4:$G$153,ROW()-3-COUNTA($E$4:$E$253)),""))</f>
        <v/>
      </c>
    </row>
    <row r="271">
      <c r="Z271" s="15">
        <f>IF(ROW()-3&lt;=COUNTA($E$4:$E$253),INDEX($E$4:$E$253,ROW()-3),IF(ROW()-3-COUNTA($E$4:$E$253)&lt;=COUNTA($G$4:$G$153),INDEX($G$4:$G$153,ROW()-3-COUNTA($E$4:$E$253)),""))</f>
        <v/>
      </c>
    </row>
    <row r="272">
      <c r="Z272" s="15">
        <f>IF(ROW()-3&lt;=COUNTA($E$4:$E$253),INDEX($E$4:$E$253,ROW()-3),IF(ROW()-3-COUNTA($E$4:$E$253)&lt;=COUNTA($G$4:$G$153),INDEX($G$4:$G$153,ROW()-3-COUNTA($E$4:$E$253)),""))</f>
        <v/>
      </c>
    </row>
    <row r="273">
      <c r="Z273" s="15">
        <f>IF(ROW()-3&lt;=COUNTA($E$4:$E$253),INDEX($E$4:$E$253,ROW()-3),IF(ROW()-3-COUNTA($E$4:$E$253)&lt;=COUNTA($G$4:$G$153),INDEX($G$4:$G$153,ROW()-3-COUNTA($E$4:$E$253)),""))</f>
        <v/>
      </c>
    </row>
    <row r="274">
      <c r="Z274" s="15">
        <f>IF(ROW()-3&lt;=COUNTA($E$4:$E$253),INDEX($E$4:$E$253,ROW()-3),IF(ROW()-3-COUNTA($E$4:$E$253)&lt;=COUNTA($G$4:$G$153),INDEX($G$4:$G$153,ROW()-3-COUNTA($E$4:$E$253)),""))</f>
        <v/>
      </c>
    </row>
    <row r="275">
      <c r="Z275" s="15">
        <f>IF(ROW()-3&lt;=COUNTA($E$4:$E$253),INDEX($E$4:$E$253,ROW()-3),IF(ROW()-3-COUNTA($E$4:$E$253)&lt;=COUNTA($G$4:$G$153),INDEX($G$4:$G$153,ROW()-3-COUNTA($E$4:$E$253)),""))</f>
        <v/>
      </c>
    </row>
    <row r="276">
      <c r="Z276" s="15">
        <f>IF(ROW()-3&lt;=COUNTA($E$4:$E$253),INDEX($E$4:$E$253,ROW()-3),IF(ROW()-3-COUNTA($E$4:$E$253)&lt;=COUNTA($G$4:$G$153),INDEX($G$4:$G$153,ROW()-3-COUNTA($E$4:$E$253)),""))</f>
        <v/>
      </c>
    </row>
    <row r="277">
      <c r="Z277" s="15">
        <f>IF(ROW()-3&lt;=COUNTA($E$4:$E$253),INDEX($E$4:$E$253,ROW()-3),IF(ROW()-3-COUNTA($E$4:$E$253)&lt;=COUNTA($G$4:$G$153),INDEX($G$4:$G$153,ROW()-3-COUNTA($E$4:$E$253)),""))</f>
        <v/>
      </c>
    </row>
    <row r="278">
      <c r="Z278" s="15">
        <f>IF(ROW()-3&lt;=COUNTA($E$4:$E$253),INDEX($E$4:$E$253,ROW()-3),IF(ROW()-3-COUNTA($E$4:$E$253)&lt;=COUNTA($G$4:$G$153),INDEX($G$4:$G$153,ROW()-3-COUNTA($E$4:$E$253)),""))</f>
        <v/>
      </c>
    </row>
    <row r="279">
      <c r="Z279" s="15">
        <f>IF(ROW()-3&lt;=COUNTA($E$4:$E$253),INDEX($E$4:$E$253,ROW()-3),IF(ROW()-3-COUNTA($E$4:$E$253)&lt;=COUNTA($G$4:$G$153),INDEX($G$4:$G$153,ROW()-3-COUNTA($E$4:$E$253)),""))</f>
        <v/>
      </c>
    </row>
    <row r="280">
      <c r="Z280" s="15">
        <f>IF(ROW()-3&lt;=COUNTA($E$4:$E$253),INDEX($E$4:$E$253,ROW()-3),IF(ROW()-3-COUNTA($E$4:$E$253)&lt;=COUNTA($G$4:$G$153),INDEX($G$4:$G$153,ROW()-3-COUNTA($E$4:$E$253)),""))</f>
        <v/>
      </c>
    </row>
    <row r="281">
      <c r="Z281" s="15">
        <f>IF(ROW()-3&lt;=COUNTA($E$4:$E$253),INDEX($E$4:$E$253,ROW()-3),IF(ROW()-3-COUNTA($E$4:$E$253)&lt;=COUNTA($G$4:$G$153),INDEX($G$4:$G$153,ROW()-3-COUNTA($E$4:$E$253)),""))</f>
        <v/>
      </c>
    </row>
    <row r="282">
      <c r="Z282" s="15">
        <f>IF(ROW()-3&lt;=COUNTA($E$4:$E$253),INDEX($E$4:$E$253,ROW()-3),IF(ROW()-3-COUNTA($E$4:$E$253)&lt;=COUNTA($G$4:$G$153),INDEX($G$4:$G$153,ROW()-3-COUNTA($E$4:$E$253)),""))</f>
        <v/>
      </c>
    </row>
    <row r="283">
      <c r="Z283" s="15">
        <f>IF(ROW()-3&lt;=COUNTA($E$4:$E$253),INDEX($E$4:$E$253,ROW()-3),IF(ROW()-3-COUNTA($E$4:$E$253)&lt;=COUNTA($G$4:$G$153),INDEX($G$4:$G$153,ROW()-3-COUNTA($E$4:$E$253)),""))</f>
        <v/>
      </c>
    </row>
    <row r="284">
      <c r="Z284" s="15">
        <f>IF(ROW()-3&lt;=COUNTA($E$4:$E$253),INDEX($E$4:$E$253,ROW()-3),IF(ROW()-3-COUNTA($E$4:$E$253)&lt;=COUNTA($G$4:$G$153),INDEX($G$4:$G$153,ROW()-3-COUNTA($E$4:$E$253)),""))</f>
        <v/>
      </c>
    </row>
    <row r="285">
      <c r="Z285" s="15">
        <f>IF(ROW()-3&lt;=COUNTA($E$4:$E$253),INDEX($E$4:$E$253,ROW()-3),IF(ROW()-3-COUNTA($E$4:$E$253)&lt;=COUNTA($G$4:$G$153),INDEX($G$4:$G$153,ROW()-3-COUNTA($E$4:$E$253)),""))</f>
        <v/>
      </c>
    </row>
    <row r="286">
      <c r="Z286" s="15">
        <f>IF(ROW()-3&lt;=COUNTA($E$4:$E$253),INDEX($E$4:$E$253,ROW()-3),IF(ROW()-3-COUNTA($E$4:$E$253)&lt;=COUNTA($G$4:$G$153),INDEX($G$4:$G$153,ROW()-3-COUNTA($E$4:$E$253)),""))</f>
        <v/>
      </c>
    </row>
    <row r="287">
      <c r="Z287" s="15">
        <f>IF(ROW()-3&lt;=COUNTA($E$4:$E$253),INDEX($E$4:$E$253,ROW()-3),IF(ROW()-3-COUNTA($E$4:$E$253)&lt;=COUNTA($G$4:$G$153),INDEX($G$4:$G$153,ROW()-3-COUNTA($E$4:$E$253)),""))</f>
        <v/>
      </c>
    </row>
    <row r="288">
      <c r="Z288" s="15">
        <f>IF(ROW()-3&lt;=COUNTA($E$4:$E$253),INDEX($E$4:$E$253,ROW()-3),IF(ROW()-3-COUNTA($E$4:$E$253)&lt;=COUNTA($G$4:$G$153),INDEX($G$4:$G$153,ROW()-3-COUNTA($E$4:$E$253)),""))</f>
        <v/>
      </c>
    </row>
    <row r="289">
      <c r="Z289" s="15">
        <f>IF(ROW()-3&lt;=COUNTA($E$4:$E$253),INDEX($E$4:$E$253,ROW()-3),IF(ROW()-3-COUNTA($E$4:$E$253)&lt;=COUNTA($G$4:$G$153),INDEX($G$4:$G$153,ROW()-3-COUNTA($E$4:$E$253)),""))</f>
        <v/>
      </c>
    </row>
    <row r="290">
      <c r="Z290" s="15">
        <f>IF(ROW()-3&lt;=COUNTA($E$4:$E$253),INDEX($E$4:$E$253,ROW()-3),IF(ROW()-3-COUNTA($E$4:$E$253)&lt;=COUNTA($G$4:$G$153),INDEX($G$4:$G$153,ROW()-3-COUNTA($E$4:$E$253)),""))</f>
        <v/>
      </c>
    </row>
    <row r="291">
      <c r="Z291" s="15">
        <f>IF(ROW()-3&lt;=COUNTA($E$4:$E$253),INDEX($E$4:$E$253,ROW()-3),IF(ROW()-3-COUNTA($E$4:$E$253)&lt;=COUNTA($G$4:$G$153),INDEX($G$4:$G$153,ROW()-3-COUNTA($E$4:$E$253)),""))</f>
        <v/>
      </c>
    </row>
    <row r="292">
      <c r="Z292" s="15">
        <f>IF(ROW()-3&lt;=COUNTA($E$4:$E$253),INDEX($E$4:$E$253,ROW()-3),IF(ROW()-3-COUNTA($E$4:$E$253)&lt;=COUNTA($G$4:$G$153),INDEX($G$4:$G$153,ROW()-3-COUNTA($E$4:$E$253)),""))</f>
        <v/>
      </c>
    </row>
    <row r="293">
      <c r="Z293" s="15">
        <f>IF(ROW()-3&lt;=COUNTA($E$4:$E$253),INDEX($E$4:$E$253,ROW()-3),IF(ROW()-3-COUNTA($E$4:$E$253)&lt;=COUNTA($G$4:$G$153),INDEX($G$4:$G$153,ROW()-3-COUNTA($E$4:$E$253)),""))</f>
        <v/>
      </c>
    </row>
    <row r="294">
      <c r="Z294" s="15">
        <f>IF(ROW()-3&lt;=COUNTA($E$4:$E$253),INDEX($E$4:$E$253,ROW()-3),IF(ROW()-3-COUNTA($E$4:$E$253)&lt;=COUNTA($G$4:$G$153),INDEX($G$4:$G$153,ROW()-3-COUNTA($E$4:$E$253)),""))</f>
        <v/>
      </c>
    </row>
    <row r="295">
      <c r="Z295" s="15">
        <f>IF(ROW()-3&lt;=COUNTA($E$4:$E$253),INDEX($E$4:$E$253,ROW()-3),IF(ROW()-3-COUNTA($E$4:$E$253)&lt;=COUNTA($G$4:$G$153),INDEX($G$4:$G$153,ROW()-3-COUNTA($E$4:$E$253)),""))</f>
        <v/>
      </c>
    </row>
    <row r="296">
      <c r="Z296" s="15">
        <f>IF(ROW()-3&lt;=COUNTA($E$4:$E$253),INDEX($E$4:$E$253,ROW()-3),IF(ROW()-3-COUNTA($E$4:$E$253)&lt;=COUNTA($G$4:$G$153),INDEX($G$4:$G$153,ROW()-3-COUNTA($E$4:$E$253)),""))</f>
        <v/>
      </c>
    </row>
    <row r="297">
      <c r="Z297" s="15">
        <f>IF(ROW()-3&lt;=COUNTA($E$4:$E$253),INDEX($E$4:$E$253,ROW()-3),IF(ROW()-3-COUNTA($E$4:$E$253)&lt;=COUNTA($G$4:$G$153),INDEX($G$4:$G$153,ROW()-3-COUNTA($E$4:$E$253)),""))</f>
        <v/>
      </c>
    </row>
    <row r="298">
      <c r="Z298" s="15">
        <f>IF(ROW()-3&lt;=COUNTA($E$4:$E$253),INDEX($E$4:$E$253,ROW()-3),IF(ROW()-3-COUNTA($E$4:$E$253)&lt;=COUNTA($G$4:$G$153),INDEX($G$4:$G$153,ROW()-3-COUNTA($E$4:$E$253)),""))</f>
        <v/>
      </c>
    </row>
    <row r="299">
      <c r="Z299" s="15">
        <f>IF(ROW()-3&lt;=COUNTA($E$4:$E$253),INDEX($E$4:$E$253,ROW()-3),IF(ROW()-3-COUNTA($E$4:$E$253)&lt;=COUNTA($G$4:$G$153),INDEX($G$4:$G$153,ROW()-3-COUNTA($E$4:$E$253)),""))</f>
        <v/>
      </c>
    </row>
    <row r="300">
      <c r="Z300" s="15">
        <f>IF(ROW()-3&lt;=COUNTA($E$4:$E$253),INDEX($E$4:$E$253,ROW()-3),IF(ROW()-3-COUNTA($E$4:$E$253)&lt;=COUNTA($G$4:$G$153),INDEX($G$4:$G$153,ROW()-3-COUNTA($E$4:$E$253)),""))</f>
        <v/>
      </c>
    </row>
    <row r="301">
      <c r="Z301" s="15">
        <f>IF(ROW()-3&lt;=COUNTA($E$4:$E$253),INDEX($E$4:$E$253,ROW()-3),IF(ROW()-3-COUNTA($E$4:$E$253)&lt;=COUNTA($G$4:$G$153),INDEX($G$4:$G$153,ROW()-3-COUNTA($E$4:$E$253)),""))</f>
        <v/>
      </c>
    </row>
    <row r="302">
      <c r="Z302" s="15">
        <f>IF(ROW()-3&lt;=COUNTA($E$4:$E$253),INDEX($E$4:$E$253,ROW()-3),IF(ROW()-3-COUNTA($E$4:$E$253)&lt;=COUNTA($G$4:$G$153),INDEX($G$4:$G$153,ROW()-3-COUNTA($E$4:$E$253)),""))</f>
        <v/>
      </c>
    </row>
    <row r="303">
      <c r="Z303" s="15">
        <f>IF(ROW()-3&lt;=COUNTA($E$4:$E$253),INDEX($E$4:$E$253,ROW()-3),IF(ROW()-3-COUNTA($E$4:$E$253)&lt;=COUNTA($G$4:$G$153),INDEX($G$4:$G$153,ROW()-3-COUNTA($E$4:$E$253)),""))</f>
        <v/>
      </c>
    </row>
    <row r="304">
      <c r="Z304" s="15">
        <f>IF(ROW()-3&lt;=COUNTA($E$4:$E$253),INDEX($E$4:$E$253,ROW()-3),IF(ROW()-3-COUNTA($E$4:$E$253)&lt;=COUNTA($G$4:$G$153),INDEX($G$4:$G$153,ROW()-3-COUNTA($E$4:$E$253)),""))</f>
        <v/>
      </c>
    </row>
    <row r="305">
      <c r="Z305" s="15">
        <f>IF(ROW()-3&lt;=COUNTA($E$4:$E$253),INDEX($E$4:$E$253,ROW()-3),IF(ROW()-3-COUNTA($E$4:$E$253)&lt;=COUNTA($G$4:$G$153),INDEX($G$4:$G$153,ROW()-3-COUNTA($E$4:$E$253)),""))</f>
        <v/>
      </c>
    </row>
    <row r="306">
      <c r="Z306" s="15">
        <f>IF(ROW()-3&lt;=COUNTA($E$4:$E$253),INDEX($E$4:$E$253,ROW()-3),IF(ROW()-3-COUNTA($E$4:$E$253)&lt;=COUNTA($G$4:$G$153),INDEX($G$4:$G$153,ROW()-3-COUNTA($E$4:$E$253)),""))</f>
        <v/>
      </c>
    </row>
    <row r="307">
      <c r="Z307" s="15">
        <f>IF(ROW()-3&lt;=COUNTA($E$4:$E$253),INDEX($E$4:$E$253,ROW()-3),IF(ROW()-3-COUNTA($E$4:$E$253)&lt;=COUNTA($G$4:$G$153),INDEX($G$4:$G$153,ROW()-3-COUNTA($E$4:$E$253)),""))</f>
        <v/>
      </c>
    </row>
    <row r="308">
      <c r="Z308" s="15">
        <f>IF(ROW()-3&lt;=COUNTA($E$4:$E$253),INDEX($E$4:$E$253,ROW()-3),IF(ROW()-3-COUNTA($E$4:$E$253)&lt;=COUNTA($G$4:$G$153),INDEX($G$4:$G$153,ROW()-3-COUNTA($E$4:$E$253)),""))</f>
        <v/>
      </c>
    </row>
    <row r="309">
      <c r="Z309" s="15">
        <f>IF(ROW()-3&lt;=COUNTA($E$4:$E$253),INDEX($E$4:$E$253,ROW()-3),IF(ROW()-3-COUNTA($E$4:$E$253)&lt;=COUNTA($G$4:$G$153),INDEX($G$4:$G$153,ROW()-3-COUNTA($E$4:$E$253)),""))</f>
        <v/>
      </c>
    </row>
    <row r="310">
      <c r="Z310" s="15">
        <f>IF(ROW()-3&lt;=COUNTA($E$4:$E$253),INDEX($E$4:$E$253,ROW()-3),IF(ROW()-3-COUNTA($E$4:$E$253)&lt;=COUNTA($G$4:$G$153),INDEX($G$4:$G$153,ROW()-3-COUNTA($E$4:$E$253)),""))</f>
        <v/>
      </c>
    </row>
    <row r="311">
      <c r="Z311" s="15">
        <f>IF(ROW()-3&lt;=COUNTA($E$4:$E$253),INDEX($E$4:$E$253,ROW()-3),IF(ROW()-3-COUNTA($E$4:$E$253)&lt;=COUNTA($G$4:$G$153),INDEX($G$4:$G$153,ROW()-3-COUNTA($E$4:$E$253)),""))</f>
        <v/>
      </c>
    </row>
    <row r="312">
      <c r="Z312" s="15">
        <f>IF(ROW()-3&lt;=COUNTA($E$4:$E$253),INDEX($E$4:$E$253,ROW()-3),IF(ROW()-3-COUNTA($E$4:$E$253)&lt;=COUNTA($G$4:$G$153),INDEX($G$4:$G$153,ROW()-3-COUNTA($E$4:$E$253)),""))</f>
        <v/>
      </c>
    </row>
    <row r="313">
      <c r="Z313" s="15">
        <f>IF(ROW()-3&lt;=COUNTA($E$4:$E$253),INDEX($E$4:$E$253,ROW()-3),IF(ROW()-3-COUNTA($E$4:$E$253)&lt;=COUNTA($G$4:$G$153),INDEX($G$4:$G$153,ROW()-3-COUNTA($E$4:$E$253)),""))</f>
        <v/>
      </c>
    </row>
    <row r="314">
      <c r="Z314" s="15">
        <f>IF(ROW()-3&lt;=COUNTA($E$4:$E$253),INDEX($E$4:$E$253,ROW()-3),IF(ROW()-3-COUNTA($E$4:$E$253)&lt;=COUNTA($G$4:$G$153),INDEX($G$4:$G$153,ROW()-3-COUNTA($E$4:$E$253)),""))</f>
        <v/>
      </c>
    </row>
    <row r="315">
      <c r="Z315" s="15">
        <f>IF(ROW()-3&lt;=COUNTA($E$4:$E$253),INDEX($E$4:$E$253,ROW()-3),IF(ROW()-3-COUNTA($E$4:$E$253)&lt;=COUNTA($G$4:$G$153),INDEX($G$4:$G$153,ROW()-3-COUNTA($E$4:$E$253)),""))</f>
        <v/>
      </c>
    </row>
    <row r="316">
      <c r="Z316" s="15">
        <f>IF(ROW()-3&lt;=COUNTA($E$4:$E$253),INDEX($E$4:$E$253,ROW()-3),IF(ROW()-3-COUNTA($E$4:$E$253)&lt;=COUNTA($G$4:$G$153),INDEX($G$4:$G$153,ROW()-3-COUNTA($E$4:$E$253)),""))</f>
        <v/>
      </c>
    </row>
    <row r="317">
      <c r="Z317" s="15">
        <f>IF(ROW()-3&lt;=COUNTA($E$4:$E$253),INDEX($E$4:$E$253,ROW()-3),IF(ROW()-3-COUNTA($E$4:$E$253)&lt;=COUNTA($G$4:$G$153),INDEX($G$4:$G$153,ROW()-3-COUNTA($E$4:$E$253)),""))</f>
        <v/>
      </c>
    </row>
    <row r="318">
      <c r="Z318" s="15">
        <f>IF(ROW()-3&lt;=COUNTA($E$4:$E$253),INDEX($E$4:$E$253,ROW()-3),IF(ROW()-3-COUNTA($E$4:$E$253)&lt;=COUNTA($G$4:$G$153),INDEX($G$4:$G$153,ROW()-3-COUNTA($E$4:$E$253)),""))</f>
        <v/>
      </c>
    </row>
    <row r="319">
      <c r="Z319" s="15">
        <f>IF(ROW()-3&lt;=COUNTA($E$4:$E$253),INDEX($E$4:$E$253,ROW()-3),IF(ROW()-3-COUNTA($E$4:$E$253)&lt;=COUNTA($G$4:$G$153),INDEX($G$4:$G$153,ROW()-3-COUNTA($E$4:$E$253)),""))</f>
        <v/>
      </c>
    </row>
    <row r="320">
      <c r="Z320" s="15">
        <f>IF(ROW()-3&lt;=COUNTA($E$4:$E$253),INDEX($E$4:$E$253,ROW()-3),IF(ROW()-3-COUNTA($E$4:$E$253)&lt;=COUNTA($G$4:$G$153),INDEX($G$4:$G$153,ROW()-3-COUNTA($E$4:$E$253)),""))</f>
        <v/>
      </c>
    </row>
    <row r="321">
      <c r="Z321" s="15">
        <f>IF(ROW()-3&lt;=COUNTA($E$4:$E$253),INDEX($E$4:$E$253,ROW()-3),IF(ROW()-3-COUNTA($E$4:$E$253)&lt;=COUNTA($G$4:$G$153),INDEX($G$4:$G$153,ROW()-3-COUNTA($E$4:$E$253)),""))</f>
        <v/>
      </c>
    </row>
    <row r="322">
      <c r="Z322" s="15">
        <f>IF(ROW()-3&lt;=COUNTA($E$4:$E$253),INDEX($E$4:$E$253,ROW()-3),IF(ROW()-3-COUNTA($E$4:$E$253)&lt;=COUNTA($G$4:$G$153),INDEX($G$4:$G$153,ROW()-3-COUNTA($E$4:$E$253)),""))</f>
        <v/>
      </c>
    </row>
    <row r="323">
      <c r="Z323" s="15">
        <f>IF(ROW()-3&lt;=COUNTA($E$4:$E$253),INDEX($E$4:$E$253,ROW()-3),IF(ROW()-3-COUNTA($E$4:$E$253)&lt;=COUNTA($G$4:$G$153),INDEX($G$4:$G$153,ROW()-3-COUNTA($E$4:$E$253)),""))</f>
        <v/>
      </c>
    </row>
    <row r="324">
      <c r="Z324" s="15">
        <f>IF(ROW()-3&lt;=COUNTA($E$4:$E$253),INDEX($E$4:$E$253,ROW()-3),IF(ROW()-3-COUNTA($E$4:$E$253)&lt;=COUNTA($G$4:$G$153),INDEX($G$4:$G$153,ROW()-3-COUNTA($E$4:$E$253)),""))</f>
        <v/>
      </c>
    </row>
    <row r="325">
      <c r="Z325" s="15">
        <f>IF(ROW()-3&lt;=COUNTA($E$4:$E$253),INDEX($E$4:$E$253,ROW()-3),IF(ROW()-3-COUNTA($E$4:$E$253)&lt;=COUNTA($G$4:$G$153),INDEX($G$4:$G$153,ROW()-3-COUNTA($E$4:$E$253)),""))</f>
        <v/>
      </c>
    </row>
    <row r="326">
      <c r="Z326" s="15">
        <f>IF(ROW()-3&lt;=COUNTA($E$4:$E$253),INDEX($E$4:$E$253,ROW()-3),IF(ROW()-3-COUNTA($E$4:$E$253)&lt;=COUNTA($G$4:$G$153),INDEX($G$4:$G$153,ROW()-3-COUNTA($E$4:$E$253)),""))</f>
        <v/>
      </c>
    </row>
    <row r="327">
      <c r="Z327" s="15">
        <f>IF(ROW()-3&lt;=COUNTA($E$4:$E$253),INDEX($E$4:$E$253,ROW()-3),IF(ROW()-3-COUNTA($E$4:$E$253)&lt;=COUNTA($G$4:$G$153),INDEX($G$4:$G$153,ROW()-3-COUNTA($E$4:$E$253)),""))</f>
        <v/>
      </c>
    </row>
    <row r="328">
      <c r="Z328" s="15">
        <f>IF(ROW()-3&lt;=COUNTA($E$4:$E$253),INDEX($E$4:$E$253,ROW()-3),IF(ROW()-3-COUNTA($E$4:$E$253)&lt;=COUNTA($G$4:$G$153),INDEX($G$4:$G$153,ROW()-3-COUNTA($E$4:$E$253)),""))</f>
        <v/>
      </c>
    </row>
    <row r="329">
      <c r="Z329" s="15">
        <f>IF(ROW()-3&lt;=COUNTA($E$4:$E$253),INDEX($E$4:$E$253,ROW()-3),IF(ROW()-3-COUNTA($E$4:$E$253)&lt;=COUNTA($G$4:$G$153),INDEX($G$4:$G$153,ROW()-3-COUNTA($E$4:$E$253)),""))</f>
        <v/>
      </c>
    </row>
    <row r="330">
      <c r="Z330" s="15">
        <f>IF(ROW()-3&lt;=COUNTA($E$4:$E$253),INDEX($E$4:$E$253,ROW()-3),IF(ROW()-3-COUNTA($E$4:$E$253)&lt;=COUNTA($G$4:$G$153),INDEX($G$4:$G$153,ROW()-3-COUNTA($E$4:$E$253)),""))</f>
        <v/>
      </c>
    </row>
    <row r="331">
      <c r="Z331" s="15">
        <f>IF(ROW()-3&lt;=COUNTA($E$4:$E$253),INDEX($E$4:$E$253,ROW()-3),IF(ROW()-3-COUNTA($E$4:$E$253)&lt;=COUNTA($G$4:$G$153),INDEX($G$4:$G$153,ROW()-3-COUNTA($E$4:$E$253)),""))</f>
        <v/>
      </c>
    </row>
    <row r="332">
      <c r="Z332" s="15">
        <f>IF(ROW()-3&lt;=COUNTA($E$4:$E$253),INDEX($E$4:$E$253,ROW()-3),IF(ROW()-3-COUNTA($E$4:$E$253)&lt;=COUNTA($G$4:$G$153),INDEX($G$4:$G$153,ROW()-3-COUNTA($E$4:$E$253)),""))</f>
        <v/>
      </c>
    </row>
    <row r="333">
      <c r="Z333" s="15">
        <f>IF(ROW()-3&lt;=COUNTA($E$4:$E$253),INDEX($E$4:$E$253,ROW()-3),IF(ROW()-3-COUNTA($E$4:$E$253)&lt;=COUNTA($G$4:$G$153),INDEX($G$4:$G$153,ROW()-3-COUNTA($E$4:$E$253)),""))</f>
        <v/>
      </c>
    </row>
    <row r="334">
      <c r="Z334" s="15">
        <f>IF(ROW()-3&lt;=COUNTA($E$4:$E$253),INDEX($E$4:$E$253,ROW()-3),IF(ROW()-3-COUNTA($E$4:$E$253)&lt;=COUNTA($G$4:$G$153),INDEX($G$4:$G$153,ROW()-3-COUNTA($E$4:$E$253)),""))</f>
        <v/>
      </c>
    </row>
    <row r="335">
      <c r="Z335" s="15">
        <f>IF(ROW()-3&lt;=COUNTA($E$4:$E$253),INDEX($E$4:$E$253,ROW()-3),IF(ROW()-3-COUNTA($E$4:$E$253)&lt;=COUNTA($G$4:$G$153),INDEX($G$4:$G$153,ROW()-3-COUNTA($E$4:$E$253)),""))</f>
        <v/>
      </c>
    </row>
    <row r="336">
      <c r="Z336" s="15">
        <f>IF(ROW()-3&lt;=COUNTA($E$4:$E$253),INDEX($E$4:$E$253,ROW()-3),IF(ROW()-3-COUNTA($E$4:$E$253)&lt;=COUNTA($G$4:$G$153),INDEX($G$4:$G$153,ROW()-3-COUNTA($E$4:$E$253)),""))</f>
        <v/>
      </c>
    </row>
    <row r="337">
      <c r="Z337" s="15">
        <f>IF(ROW()-3&lt;=COUNTA($E$4:$E$253),INDEX($E$4:$E$253,ROW()-3),IF(ROW()-3-COUNTA($E$4:$E$253)&lt;=COUNTA($G$4:$G$153),INDEX($G$4:$G$153,ROW()-3-COUNTA($E$4:$E$253)),""))</f>
        <v/>
      </c>
    </row>
    <row r="338">
      <c r="Z338" s="15">
        <f>IF(ROW()-3&lt;=COUNTA($E$4:$E$253),INDEX($E$4:$E$253,ROW()-3),IF(ROW()-3-COUNTA($E$4:$E$253)&lt;=COUNTA($G$4:$G$153),INDEX($G$4:$G$153,ROW()-3-COUNTA($E$4:$E$253)),""))</f>
        <v/>
      </c>
    </row>
    <row r="339">
      <c r="Z339" s="15">
        <f>IF(ROW()-3&lt;=COUNTA($E$4:$E$253),INDEX($E$4:$E$253,ROW()-3),IF(ROW()-3-COUNTA($E$4:$E$253)&lt;=COUNTA($G$4:$G$153),INDEX($G$4:$G$153,ROW()-3-COUNTA($E$4:$E$253)),""))</f>
        <v/>
      </c>
    </row>
    <row r="340">
      <c r="Z340" s="15">
        <f>IF(ROW()-3&lt;=COUNTA($E$4:$E$253),INDEX($E$4:$E$253,ROW()-3),IF(ROW()-3-COUNTA($E$4:$E$253)&lt;=COUNTA($G$4:$G$153),INDEX($G$4:$G$153,ROW()-3-COUNTA($E$4:$E$253)),""))</f>
        <v/>
      </c>
    </row>
    <row r="341">
      <c r="Z341" s="15">
        <f>IF(ROW()-3&lt;=COUNTA($E$4:$E$253),INDEX($E$4:$E$253,ROW()-3),IF(ROW()-3-COUNTA($E$4:$E$253)&lt;=COUNTA($G$4:$G$153),INDEX($G$4:$G$153,ROW()-3-COUNTA($E$4:$E$253)),""))</f>
        <v/>
      </c>
    </row>
    <row r="342">
      <c r="Z342" s="15">
        <f>IF(ROW()-3&lt;=COUNTA($E$4:$E$253),INDEX($E$4:$E$253,ROW()-3),IF(ROW()-3-COUNTA($E$4:$E$253)&lt;=COUNTA($G$4:$G$153),INDEX($G$4:$G$153,ROW()-3-COUNTA($E$4:$E$253)),""))</f>
        <v/>
      </c>
    </row>
    <row r="343">
      <c r="Z343" s="15">
        <f>IF(ROW()-3&lt;=COUNTA($E$4:$E$253),INDEX($E$4:$E$253,ROW()-3),IF(ROW()-3-COUNTA($E$4:$E$253)&lt;=COUNTA($G$4:$G$153),INDEX($G$4:$G$153,ROW()-3-COUNTA($E$4:$E$253)),""))</f>
        <v/>
      </c>
    </row>
    <row r="344">
      <c r="Z344" s="15">
        <f>IF(ROW()-3&lt;=COUNTA($E$4:$E$253),INDEX($E$4:$E$253,ROW()-3),IF(ROW()-3-COUNTA($E$4:$E$253)&lt;=COUNTA($G$4:$G$153),INDEX($G$4:$G$153,ROW()-3-COUNTA($E$4:$E$253)),""))</f>
        <v/>
      </c>
    </row>
    <row r="345">
      <c r="Z345" s="15">
        <f>IF(ROW()-3&lt;=COUNTA($E$4:$E$253),INDEX($E$4:$E$253,ROW()-3),IF(ROW()-3-COUNTA($E$4:$E$253)&lt;=COUNTA($G$4:$G$153),INDEX($G$4:$G$153,ROW()-3-COUNTA($E$4:$E$253)),""))</f>
        <v/>
      </c>
    </row>
    <row r="346">
      <c r="Z346" s="15">
        <f>IF(ROW()-3&lt;=COUNTA($E$4:$E$253),INDEX($E$4:$E$253,ROW()-3),IF(ROW()-3-COUNTA($E$4:$E$253)&lt;=COUNTA($G$4:$G$153),INDEX($G$4:$G$153,ROW()-3-COUNTA($E$4:$E$253)),""))</f>
        <v/>
      </c>
    </row>
    <row r="347">
      <c r="Z347" s="15">
        <f>IF(ROW()-3&lt;=COUNTA($E$4:$E$253),INDEX($E$4:$E$253,ROW()-3),IF(ROW()-3-COUNTA($E$4:$E$253)&lt;=COUNTA($G$4:$G$153),INDEX($G$4:$G$153,ROW()-3-COUNTA($E$4:$E$253)),""))</f>
        <v/>
      </c>
    </row>
    <row r="348">
      <c r="Z348" s="15">
        <f>IF(ROW()-3&lt;=COUNTA($E$4:$E$253),INDEX($E$4:$E$253,ROW()-3),IF(ROW()-3-COUNTA($E$4:$E$253)&lt;=COUNTA($G$4:$G$153),INDEX($G$4:$G$153,ROW()-3-COUNTA($E$4:$E$253)),""))</f>
        <v/>
      </c>
    </row>
    <row r="349">
      <c r="Z349" s="15">
        <f>IF(ROW()-3&lt;=COUNTA($E$4:$E$253),INDEX($E$4:$E$253,ROW()-3),IF(ROW()-3-COUNTA($E$4:$E$253)&lt;=COUNTA($G$4:$G$153),INDEX($G$4:$G$153,ROW()-3-COUNTA($E$4:$E$253)),""))</f>
        <v/>
      </c>
    </row>
    <row r="350">
      <c r="Z350" s="15">
        <f>IF(ROW()-3&lt;=COUNTA($E$4:$E$253),INDEX($E$4:$E$253,ROW()-3),IF(ROW()-3-COUNTA($E$4:$E$253)&lt;=COUNTA($G$4:$G$153),INDEX($G$4:$G$153,ROW()-3-COUNTA($E$4:$E$253)),""))</f>
        <v/>
      </c>
    </row>
    <row r="351">
      <c r="Z351" s="15">
        <f>IF(ROW()-3&lt;=COUNTA($E$4:$E$253),INDEX($E$4:$E$253,ROW()-3),IF(ROW()-3-COUNTA($E$4:$E$253)&lt;=COUNTA($G$4:$G$153),INDEX($G$4:$G$153,ROW()-3-COUNTA($E$4:$E$253)),""))</f>
        <v/>
      </c>
    </row>
    <row r="352">
      <c r="Z352" s="15">
        <f>IF(ROW()-3&lt;=COUNTA($E$4:$E$253),INDEX($E$4:$E$253,ROW()-3),IF(ROW()-3-COUNTA($E$4:$E$253)&lt;=COUNTA($G$4:$G$153),INDEX($G$4:$G$153,ROW()-3-COUNTA($E$4:$E$253)),""))</f>
        <v/>
      </c>
    </row>
    <row r="353">
      <c r="Z353" s="15">
        <f>IF(ROW()-3&lt;=COUNTA($E$4:$E$253),INDEX($E$4:$E$253,ROW()-3),IF(ROW()-3-COUNTA($E$4:$E$253)&lt;=COUNTA($G$4:$G$153),INDEX($G$4:$G$153,ROW()-3-COUNTA($E$4:$E$253)),""))</f>
        <v/>
      </c>
    </row>
    <row r="354">
      <c r="Z354" s="15">
        <f>IF(ROW()-3&lt;=COUNTA($E$4:$E$253),INDEX($E$4:$E$253,ROW()-3),IF(ROW()-3-COUNTA($E$4:$E$253)&lt;=COUNTA($G$4:$G$153),INDEX($G$4:$G$153,ROW()-3-COUNTA($E$4:$E$253)),""))</f>
        <v/>
      </c>
    </row>
    <row r="355">
      <c r="Z355" s="15">
        <f>IF(ROW()-3&lt;=COUNTA($E$4:$E$253),INDEX($E$4:$E$253,ROW()-3),IF(ROW()-3-COUNTA($E$4:$E$253)&lt;=COUNTA($G$4:$G$153),INDEX($G$4:$G$153,ROW()-3-COUNTA($E$4:$E$253)),""))</f>
        <v/>
      </c>
    </row>
    <row r="356">
      <c r="Z356" s="15">
        <f>IF(ROW()-3&lt;=COUNTA($E$4:$E$253),INDEX($E$4:$E$253,ROW()-3),IF(ROW()-3-COUNTA($E$4:$E$253)&lt;=COUNTA($G$4:$G$153),INDEX($G$4:$G$153,ROW()-3-COUNTA($E$4:$E$253)),""))</f>
        <v/>
      </c>
    </row>
    <row r="357">
      <c r="Z357" s="15">
        <f>IF(ROW()-3&lt;=COUNTA($E$4:$E$253),INDEX($E$4:$E$253,ROW()-3),IF(ROW()-3-COUNTA($E$4:$E$253)&lt;=COUNTA($G$4:$G$153),INDEX($G$4:$G$153,ROW()-3-COUNTA($E$4:$E$253)),""))</f>
        <v/>
      </c>
    </row>
    <row r="358">
      <c r="Z358" s="15">
        <f>IF(ROW()-3&lt;=COUNTA($E$4:$E$253),INDEX($E$4:$E$253,ROW()-3),IF(ROW()-3-COUNTA($E$4:$E$253)&lt;=COUNTA($G$4:$G$153),INDEX($G$4:$G$153,ROW()-3-COUNTA($E$4:$E$253)),""))</f>
        <v/>
      </c>
    </row>
    <row r="359">
      <c r="Z359" s="15">
        <f>IF(ROW()-3&lt;=COUNTA($E$4:$E$253),INDEX($E$4:$E$253,ROW()-3),IF(ROW()-3-COUNTA($E$4:$E$253)&lt;=COUNTA($G$4:$G$153),INDEX($G$4:$G$153,ROW()-3-COUNTA($E$4:$E$253)),""))</f>
        <v/>
      </c>
    </row>
    <row r="360">
      <c r="Z360" s="15">
        <f>IF(ROW()-3&lt;=COUNTA($E$4:$E$253),INDEX($E$4:$E$253,ROW()-3),IF(ROW()-3-COUNTA($E$4:$E$253)&lt;=COUNTA($G$4:$G$153),INDEX($G$4:$G$153,ROW()-3-COUNTA($E$4:$E$253)),""))</f>
        <v/>
      </c>
    </row>
    <row r="361">
      <c r="Z361" s="15">
        <f>IF(ROW()-3&lt;=COUNTA($E$4:$E$253),INDEX($E$4:$E$253,ROW()-3),IF(ROW()-3-COUNTA($E$4:$E$253)&lt;=COUNTA($G$4:$G$153),INDEX($G$4:$G$153,ROW()-3-COUNTA($E$4:$E$253)),""))</f>
        <v/>
      </c>
    </row>
    <row r="362">
      <c r="Z362" s="15">
        <f>IF(ROW()-3&lt;=COUNTA($E$4:$E$253),INDEX($E$4:$E$253,ROW()-3),IF(ROW()-3-COUNTA($E$4:$E$253)&lt;=COUNTA($G$4:$G$153),INDEX($G$4:$G$153,ROW()-3-COUNTA($E$4:$E$253)),""))</f>
        <v/>
      </c>
    </row>
    <row r="363">
      <c r="Z363" s="15">
        <f>IF(ROW()-3&lt;=COUNTA($E$4:$E$253),INDEX($E$4:$E$253,ROW()-3),IF(ROW()-3-COUNTA($E$4:$E$253)&lt;=COUNTA($G$4:$G$153),INDEX($G$4:$G$153,ROW()-3-COUNTA($E$4:$E$253)),""))</f>
        <v/>
      </c>
    </row>
    <row r="364">
      <c r="Z364" s="15">
        <f>IF(ROW()-3&lt;=COUNTA($E$4:$E$253),INDEX($E$4:$E$253,ROW()-3),IF(ROW()-3-COUNTA($E$4:$E$253)&lt;=COUNTA($G$4:$G$153),INDEX($G$4:$G$153,ROW()-3-COUNTA($E$4:$E$253)),""))</f>
        <v/>
      </c>
    </row>
    <row r="365">
      <c r="Z365" s="15">
        <f>IF(ROW()-3&lt;=COUNTA($E$4:$E$253),INDEX($E$4:$E$253,ROW()-3),IF(ROW()-3-COUNTA($E$4:$E$253)&lt;=COUNTA($G$4:$G$153),INDEX($G$4:$G$153,ROW()-3-COUNTA($E$4:$E$253)),""))</f>
        <v/>
      </c>
    </row>
    <row r="366">
      <c r="Z366" s="15">
        <f>IF(ROW()-3&lt;=COUNTA($E$4:$E$253),INDEX($E$4:$E$253,ROW()-3),IF(ROW()-3-COUNTA($E$4:$E$253)&lt;=COUNTA($G$4:$G$153),INDEX($G$4:$G$153,ROW()-3-COUNTA($E$4:$E$253)),""))</f>
        <v/>
      </c>
    </row>
    <row r="367">
      <c r="Z367" s="15">
        <f>IF(ROW()-3&lt;=COUNTA($E$4:$E$253),INDEX($E$4:$E$253,ROW()-3),IF(ROW()-3-COUNTA($E$4:$E$253)&lt;=COUNTA($G$4:$G$153),INDEX($G$4:$G$153,ROW()-3-COUNTA($E$4:$E$253)),""))</f>
        <v/>
      </c>
    </row>
    <row r="368">
      <c r="Z368" s="15">
        <f>IF(ROW()-3&lt;=COUNTA($E$4:$E$253),INDEX($E$4:$E$253,ROW()-3),IF(ROW()-3-COUNTA($E$4:$E$253)&lt;=COUNTA($G$4:$G$153),INDEX($G$4:$G$153,ROW()-3-COUNTA($E$4:$E$253)),""))</f>
        <v/>
      </c>
    </row>
    <row r="369">
      <c r="Z369" s="15">
        <f>IF(ROW()-3&lt;=COUNTA($E$4:$E$253),INDEX($E$4:$E$253,ROW()-3),IF(ROW()-3-COUNTA($E$4:$E$253)&lt;=COUNTA($G$4:$G$153),INDEX($G$4:$G$153,ROW()-3-COUNTA($E$4:$E$253)),""))</f>
        <v/>
      </c>
    </row>
    <row r="370">
      <c r="Z370" s="15">
        <f>IF(ROW()-3&lt;=COUNTA($E$4:$E$253),INDEX($E$4:$E$253,ROW()-3),IF(ROW()-3-COUNTA($E$4:$E$253)&lt;=COUNTA($G$4:$G$153),INDEX($G$4:$G$153,ROW()-3-COUNTA($E$4:$E$253)),""))</f>
        <v/>
      </c>
    </row>
    <row r="371">
      <c r="Z371" s="15">
        <f>IF(ROW()-3&lt;=COUNTA($E$4:$E$253),INDEX($E$4:$E$253,ROW()-3),IF(ROW()-3-COUNTA($E$4:$E$253)&lt;=COUNTA($G$4:$G$153),INDEX($G$4:$G$153,ROW()-3-COUNTA($E$4:$E$253)),""))</f>
        <v/>
      </c>
    </row>
    <row r="372">
      <c r="Z372" s="15">
        <f>IF(ROW()-3&lt;=COUNTA($E$4:$E$253),INDEX($E$4:$E$253,ROW()-3),IF(ROW()-3-COUNTA($E$4:$E$253)&lt;=COUNTA($G$4:$G$153),INDEX($G$4:$G$153,ROW()-3-COUNTA($E$4:$E$253)),""))</f>
        <v/>
      </c>
    </row>
    <row r="373">
      <c r="Z373" s="15">
        <f>IF(ROW()-3&lt;=COUNTA($E$4:$E$253),INDEX($E$4:$E$253,ROW()-3),IF(ROW()-3-COUNTA($E$4:$E$253)&lt;=COUNTA($G$4:$G$153),INDEX($G$4:$G$153,ROW()-3-COUNTA($E$4:$E$253)),""))</f>
        <v/>
      </c>
    </row>
    <row r="374">
      <c r="Z374" s="15">
        <f>IF(ROW()-3&lt;=COUNTA($E$4:$E$253),INDEX($E$4:$E$253,ROW()-3),IF(ROW()-3-COUNTA($E$4:$E$253)&lt;=COUNTA($G$4:$G$153),INDEX($G$4:$G$153,ROW()-3-COUNTA($E$4:$E$253)),""))</f>
        <v/>
      </c>
    </row>
    <row r="375">
      <c r="Z375" s="15">
        <f>IF(ROW()-3&lt;=COUNTA($E$4:$E$253),INDEX($E$4:$E$253,ROW()-3),IF(ROW()-3-COUNTA($E$4:$E$253)&lt;=COUNTA($G$4:$G$153),INDEX($G$4:$G$153,ROW()-3-COUNTA($E$4:$E$253)),""))</f>
        <v/>
      </c>
    </row>
    <row r="376">
      <c r="Z376" s="15">
        <f>IF(ROW()-3&lt;=COUNTA($E$4:$E$253),INDEX($E$4:$E$253,ROW()-3),IF(ROW()-3-COUNTA($E$4:$E$253)&lt;=COUNTA($G$4:$G$153),INDEX($G$4:$G$153,ROW()-3-COUNTA($E$4:$E$253)),""))</f>
        <v/>
      </c>
    </row>
    <row r="377">
      <c r="Z377" s="15">
        <f>IF(ROW()-3&lt;=COUNTA($E$4:$E$253),INDEX($E$4:$E$253,ROW()-3),IF(ROW()-3-COUNTA($E$4:$E$253)&lt;=COUNTA($G$4:$G$153),INDEX($G$4:$G$153,ROW()-3-COUNTA($E$4:$E$253)),""))</f>
        <v/>
      </c>
    </row>
    <row r="378">
      <c r="Z378" s="15">
        <f>IF(ROW()-3&lt;=COUNTA($E$4:$E$253),INDEX($E$4:$E$253,ROW()-3),IF(ROW()-3-COUNTA($E$4:$E$253)&lt;=COUNTA($G$4:$G$153),INDEX($G$4:$G$153,ROW()-3-COUNTA($E$4:$E$253)),""))</f>
        <v/>
      </c>
    </row>
    <row r="379">
      <c r="Z379" s="15">
        <f>IF(ROW()-3&lt;=COUNTA($E$4:$E$253),INDEX($E$4:$E$253,ROW()-3),IF(ROW()-3-COUNTA($E$4:$E$253)&lt;=COUNTA($G$4:$G$153),INDEX($G$4:$G$153,ROW()-3-COUNTA($E$4:$E$253)),""))</f>
        <v/>
      </c>
    </row>
    <row r="380">
      <c r="Z380" s="15">
        <f>IF(ROW()-3&lt;=COUNTA($E$4:$E$253),INDEX($E$4:$E$253,ROW()-3),IF(ROW()-3-COUNTA($E$4:$E$253)&lt;=COUNTA($G$4:$G$153),INDEX($G$4:$G$153,ROW()-3-COUNTA($E$4:$E$253)),""))</f>
        <v/>
      </c>
    </row>
    <row r="381">
      <c r="Z381" s="15">
        <f>IF(ROW()-3&lt;=COUNTA($E$4:$E$253),INDEX($E$4:$E$253,ROW()-3),IF(ROW()-3-COUNTA($E$4:$E$253)&lt;=COUNTA($G$4:$G$153),INDEX($G$4:$G$153,ROW()-3-COUNTA($E$4:$E$253)),""))</f>
        <v/>
      </c>
    </row>
    <row r="382">
      <c r="Z382" s="15">
        <f>IF(ROW()-3&lt;=COUNTA($E$4:$E$253),INDEX($E$4:$E$253,ROW()-3),IF(ROW()-3-COUNTA($E$4:$E$253)&lt;=COUNTA($G$4:$G$153),INDEX($G$4:$G$153,ROW()-3-COUNTA($E$4:$E$253)),""))</f>
        <v/>
      </c>
    </row>
    <row r="383">
      <c r="Z383" s="15">
        <f>IF(ROW()-3&lt;=COUNTA($E$4:$E$253),INDEX($E$4:$E$253,ROW()-3),IF(ROW()-3-COUNTA($E$4:$E$253)&lt;=COUNTA($G$4:$G$153),INDEX($G$4:$G$153,ROW()-3-COUNTA($E$4:$E$253)),""))</f>
        <v/>
      </c>
    </row>
    <row r="384">
      <c r="Z384" s="15">
        <f>IF(ROW()-3&lt;=COUNTA($E$4:$E$253),INDEX($E$4:$E$253,ROW()-3),IF(ROW()-3-COUNTA($E$4:$E$253)&lt;=COUNTA($G$4:$G$153),INDEX($G$4:$G$153,ROW()-3-COUNTA($E$4:$E$253)),""))</f>
        <v/>
      </c>
    </row>
    <row r="385">
      <c r="Z385" s="15">
        <f>IF(ROW()-3&lt;=COUNTA($E$4:$E$253),INDEX($E$4:$E$253,ROW()-3),IF(ROW()-3-COUNTA($E$4:$E$253)&lt;=COUNTA($G$4:$G$153),INDEX($G$4:$G$153,ROW()-3-COUNTA($E$4:$E$253)),""))</f>
        <v/>
      </c>
    </row>
    <row r="386">
      <c r="Z386" s="15">
        <f>IF(ROW()-3&lt;=COUNTA($E$4:$E$253),INDEX($E$4:$E$253,ROW()-3),IF(ROW()-3-COUNTA($E$4:$E$253)&lt;=COUNTA($G$4:$G$153),INDEX($G$4:$G$153,ROW()-3-COUNTA($E$4:$E$253)),""))</f>
        <v/>
      </c>
    </row>
    <row r="387">
      <c r="Z387" s="15">
        <f>IF(ROW()-3&lt;=COUNTA($E$4:$E$253),INDEX($E$4:$E$253,ROW()-3),IF(ROW()-3-COUNTA($E$4:$E$253)&lt;=COUNTA($G$4:$G$153),INDEX($G$4:$G$153,ROW()-3-COUNTA($E$4:$E$253)),""))</f>
        <v/>
      </c>
    </row>
    <row r="388">
      <c r="Z388" s="15">
        <f>IF(ROW()-3&lt;=COUNTA($E$4:$E$253),INDEX($E$4:$E$253,ROW()-3),IF(ROW()-3-COUNTA($E$4:$E$253)&lt;=COUNTA($G$4:$G$153),INDEX($G$4:$G$153,ROW()-3-COUNTA($E$4:$E$253)),""))</f>
        <v/>
      </c>
    </row>
    <row r="389">
      <c r="Z389" s="15">
        <f>IF(ROW()-3&lt;=COUNTA($E$4:$E$253),INDEX($E$4:$E$253,ROW()-3),IF(ROW()-3-COUNTA($E$4:$E$253)&lt;=COUNTA($G$4:$G$153),INDEX($G$4:$G$153,ROW()-3-COUNTA($E$4:$E$253)),""))</f>
        <v/>
      </c>
    </row>
    <row r="390">
      <c r="Z390" s="15">
        <f>IF(ROW()-3&lt;=COUNTA($E$4:$E$253),INDEX($E$4:$E$253,ROW()-3),IF(ROW()-3-COUNTA($E$4:$E$253)&lt;=COUNTA($G$4:$G$153),INDEX($G$4:$G$153,ROW()-3-COUNTA($E$4:$E$253)),""))</f>
        <v/>
      </c>
    </row>
    <row r="391">
      <c r="Z391" s="15">
        <f>IF(ROW()-3&lt;=COUNTA($E$4:$E$253),INDEX($E$4:$E$253,ROW()-3),IF(ROW()-3-COUNTA($E$4:$E$253)&lt;=COUNTA($G$4:$G$153),INDEX($G$4:$G$153,ROW()-3-COUNTA($E$4:$E$253)),""))</f>
        <v/>
      </c>
    </row>
    <row r="392">
      <c r="Z392" s="15">
        <f>IF(ROW()-3&lt;=COUNTA($E$4:$E$253),INDEX($E$4:$E$253,ROW()-3),IF(ROW()-3-COUNTA($E$4:$E$253)&lt;=COUNTA($G$4:$G$153),INDEX($G$4:$G$153,ROW()-3-COUNTA($E$4:$E$253)),""))</f>
        <v/>
      </c>
    </row>
    <row r="393">
      <c r="Z393" s="15">
        <f>IF(ROW()-3&lt;=COUNTA($E$4:$E$253),INDEX($E$4:$E$253,ROW()-3),IF(ROW()-3-COUNTA($E$4:$E$253)&lt;=COUNTA($G$4:$G$153),INDEX($G$4:$G$153,ROW()-3-COUNTA($E$4:$E$253)),""))</f>
        <v/>
      </c>
    </row>
    <row r="394">
      <c r="Z394" s="15">
        <f>IF(ROW()-3&lt;=COUNTA($E$4:$E$253),INDEX($E$4:$E$253,ROW()-3),IF(ROW()-3-COUNTA($E$4:$E$253)&lt;=COUNTA($G$4:$G$153),INDEX($G$4:$G$153,ROW()-3-COUNTA($E$4:$E$253)),""))</f>
        <v/>
      </c>
    </row>
    <row r="395">
      <c r="Z395" s="15">
        <f>IF(ROW()-3&lt;=COUNTA($E$4:$E$253),INDEX($E$4:$E$253,ROW()-3),IF(ROW()-3-COUNTA($E$4:$E$253)&lt;=COUNTA($G$4:$G$153),INDEX($G$4:$G$153,ROW()-3-COUNTA($E$4:$E$253)),""))</f>
        <v/>
      </c>
    </row>
    <row r="396">
      <c r="Z396" s="15">
        <f>IF(ROW()-3&lt;=COUNTA($E$4:$E$253),INDEX($E$4:$E$253,ROW()-3),IF(ROW()-3-COUNTA($E$4:$E$253)&lt;=COUNTA($G$4:$G$153),INDEX($G$4:$G$153,ROW()-3-COUNTA($E$4:$E$253)),""))</f>
        <v/>
      </c>
    </row>
    <row r="397">
      <c r="Z397" s="15">
        <f>IF(ROW()-3&lt;=COUNTA($E$4:$E$253),INDEX($E$4:$E$253,ROW()-3),IF(ROW()-3-COUNTA($E$4:$E$253)&lt;=COUNTA($G$4:$G$153),INDEX($G$4:$G$153,ROW()-3-COUNTA($E$4:$E$253)),""))</f>
        <v/>
      </c>
    </row>
    <row r="398">
      <c r="Z398" s="15">
        <f>IF(ROW()-3&lt;=COUNTA($E$4:$E$253),INDEX($E$4:$E$253,ROW()-3),IF(ROW()-3-COUNTA($E$4:$E$253)&lt;=COUNTA($G$4:$G$153),INDEX($G$4:$G$153,ROW()-3-COUNTA($E$4:$E$253)),""))</f>
        <v/>
      </c>
    </row>
    <row r="399">
      <c r="Z399" s="15">
        <f>IF(ROW()-3&lt;=COUNTA($E$4:$E$253),INDEX($E$4:$E$253,ROW()-3),IF(ROW()-3-COUNTA($E$4:$E$253)&lt;=COUNTA($G$4:$G$153),INDEX($G$4:$G$153,ROW()-3-COUNTA($E$4:$E$253)),""))</f>
        <v/>
      </c>
    </row>
    <row r="400">
      <c r="Z400" s="15">
        <f>IF(ROW()-3&lt;=COUNTA($E$4:$E$253),INDEX($E$4:$E$253,ROW()-3),IF(ROW()-3-COUNTA($E$4:$E$253)&lt;=COUNTA($G$4:$G$153),INDEX($G$4:$G$153,ROW()-3-COUNTA($E$4:$E$253)),""))</f>
        <v/>
      </c>
    </row>
    <row r="401">
      <c r="Z401" s="15">
        <f>IF(ROW()-3&lt;=COUNTA($E$4:$E$253),INDEX($E$4:$E$253,ROW()-3),IF(ROW()-3-COUNTA($E$4:$E$253)&lt;=COUNTA($G$4:$G$153),INDEX($G$4:$G$153,ROW()-3-COUNTA($E$4:$E$253)),""))</f>
        <v/>
      </c>
    </row>
    <row r="402">
      <c r="Z402" s="15">
        <f>IF(ROW()-3&lt;=COUNTA($E$4:$E$253),INDEX($E$4:$E$253,ROW()-3),IF(ROW()-3-COUNTA($E$4:$E$253)&lt;=COUNTA($G$4:$G$153),INDEX($G$4:$G$153,ROW()-3-COUNTA($E$4:$E$253)),""))</f>
        <v/>
      </c>
    </row>
    <row r="403">
      <c r="Z403" s="15">
        <f>IF(ROW()-3&lt;=COUNTA($E$4:$E$253),INDEX($E$4:$E$253,ROW()-3),IF(ROW()-3-COUNTA($E$4:$E$253)&lt;=COUNTA($G$4:$G$153),INDEX($G$4:$G$153,ROW()-3-COUNTA($E$4:$E$253)),""))</f>
        <v/>
      </c>
    </row>
  </sheetData>
  <mergeCells count="2">
    <mergeCell ref="A2:AD2"/>
    <mergeCell ref="A1:AD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S4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0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22" customWidth="1" min="18" max="18"/>
    <col width="22" customWidth="1" min="19" max="19"/>
  </cols>
  <sheetData>
    <row r="1" ht="30" customHeight="1">
      <c r="A1" s="1" t="inlineStr">
        <is>
          <t>项目台账 · 业务 / 下单岗位填</t>
        </is>
      </c>
    </row>
    <row r="2" ht="22" customHeight="1">
      <c r="A2" s="2" t="inlineStr">
        <is>
          <t>接到单就开一行。做完了一定要填「完工日期」——利润表就是按这个日期把收入和成本算进当月的。</t>
        </is>
      </c>
    </row>
    <row r="3" ht="34" customHeight="1">
      <c r="A3" s="16" t="inlineStr">
        <is>
          <t>项目编号</t>
        </is>
      </c>
      <c r="B3" s="16" t="inlineStr">
        <is>
          <t>项目名称 ★</t>
        </is>
      </c>
      <c r="C3" s="16" t="inlineStr">
        <is>
          <t>客户名称 ★</t>
        </is>
      </c>
      <c r="D3" s="16" t="inlineStr">
        <is>
          <t>项目类型</t>
        </is>
      </c>
      <c r="E3" s="16" t="inlineStr">
        <is>
          <t>负责人</t>
        </is>
      </c>
      <c r="F3" s="16" t="inlineStr">
        <is>
          <t>下单日期 ★</t>
        </is>
      </c>
      <c r="G3" s="16" t="inlineStr">
        <is>
          <t>设计完成</t>
        </is>
      </c>
      <c r="H3" s="16" t="inlineStr">
        <is>
          <t>制作完成</t>
        </is>
      </c>
      <c r="I3" s="16" t="inlineStr">
        <is>
          <t>安装完成</t>
        </is>
      </c>
      <c r="J3" s="16" t="inlineStr">
        <is>
          <t>完工日期 ★
(确认收入)</t>
        </is>
      </c>
      <c r="K3" s="16" t="inlineStr">
        <is>
          <t>合同额
(整单包死)</t>
        </is>
      </c>
      <c r="L3" s="16" t="inlineStr">
        <is>
          <t>订单明细额
(自动)</t>
        </is>
      </c>
      <c r="M3" s="16" t="inlineStr">
        <is>
          <t>合同总额</t>
        </is>
      </c>
      <c r="N3" s="16" t="inlineStr">
        <is>
          <t>期初已收
(导入用)</t>
        </is>
      </c>
      <c r="O3" s="16" t="inlineStr">
        <is>
          <t>已收款</t>
        </is>
      </c>
      <c r="P3" s="16" t="inlineStr">
        <is>
          <t>未收款</t>
        </is>
      </c>
      <c r="Q3" s="16" t="inlineStr">
        <is>
          <t>状态</t>
        </is>
      </c>
      <c r="R3" s="16" t="inlineStr">
        <is>
          <t>备注</t>
        </is>
      </c>
      <c r="S3" s="16" t="inlineStr">
        <is>
          <t>核对</t>
        </is>
      </c>
    </row>
    <row r="4">
      <c r="A4" s="17">
        <f>IF($B4="","","P"&amp;TEXT(ROW()-3,"000"))</f>
        <v/>
      </c>
      <c r="B4" s="13" t="inlineStr">
        <is>
          <t>南浔美食城</t>
        </is>
      </c>
      <c r="C4" s="13" t="inlineStr">
        <is>
          <t>南浔美食城</t>
        </is>
      </c>
      <c r="D4" s="13" t="inlineStr">
        <is>
          <t>门头招牌</t>
        </is>
      </c>
      <c r="E4" s="13" t="n"/>
      <c r="F4" s="18" t="n">
        <v>46043</v>
      </c>
      <c r="G4" s="18" t="n"/>
      <c r="H4" s="18" t="n"/>
      <c r="I4" s="18" t="n"/>
      <c r="J4" s="18" t="n"/>
      <c r="K4" s="14" t="n">
        <v>42294</v>
      </c>
      <c r="L4" s="19">
        <f>IF($B4="","",ROUND(SUMIF(订单明细!$C:$C,$B4,订单明细!$I:$I),2))</f>
        <v/>
      </c>
      <c r="M4" s="19">
        <f>IF($B4="","",ROUND(N($K4)+N($L4),2))</f>
        <v/>
      </c>
      <c r="N4" s="14" t="n">
        <v>20000</v>
      </c>
      <c r="O4" s="19">
        <f>IF($B4="","",ROUND(N($N4)+SUMIFS(资金日记账!$J$4:$J$2503,资金日记账!$G$4:$G$2503,$B4,资金日记账!$F$4:$F$2503,"收款-项目")-SUMIFS(资金日记账!$K$4:$K$2503,资金日记账!$G$4:$G$2503,$B4,资金日记账!$F$4:$F$2503,"收款-项目"),2))</f>
        <v/>
      </c>
      <c r="P4" s="19">
        <f>IF($B4="","",ROUND($M4-$O4,2))</f>
        <v/>
      </c>
      <c r="Q4" s="17">
        <f>IF($B4="","",IF(AND($J4&lt;&gt;"",ROUND($P4,2)&lt;=0),"已完工·已结清",IF($J4&lt;&gt;"","已完工·还有尾款",IF($I4&lt;&gt;"","已安装",IF($H4&lt;&gt;"","已制作",IF($G4&lt;&gt;"","设计完成","已下单"))))))</f>
        <v/>
      </c>
      <c r="R4" s="13" t="inlineStr">
        <is>
          <t>来源：1-南浔美食城</t>
        </is>
      </c>
      <c r="S4" s="17">
        <f>IF($B4="","",IF(COUNTIF($B$4:$B$403,$B4)&gt;1,"※项目名重复了",IF(AND($C4&lt;&gt;"",ISNA(MATCH($C4,客户表,0))),"※客户不在基础资料里",IF(AND($J4&lt;&gt;"",$F4&lt;&gt;"",$J4&lt;$F4),"※完工日期早于下单日期",""))))</f>
        <v/>
      </c>
    </row>
    <row r="5">
      <c r="A5" s="17">
        <f>IF($B5="","","P"&amp;TEXT(ROW()-3,"000"))</f>
        <v/>
      </c>
      <c r="B5" s="13" t="inlineStr">
        <is>
          <t>德清津华钢铁</t>
        </is>
      </c>
      <c r="C5" s="13" t="inlineStr">
        <is>
          <t>德清津华钢铁</t>
        </is>
      </c>
      <c r="D5" s="13" t="inlineStr">
        <is>
          <t>门头招牌</t>
        </is>
      </c>
      <c r="E5" s="13" t="n"/>
      <c r="F5" s="18" t="n">
        <v>46060</v>
      </c>
      <c r="G5" s="18" t="n"/>
      <c r="H5" s="18" t="n"/>
      <c r="I5" s="18" t="n"/>
      <c r="J5" s="18" t="n">
        <v>46082</v>
      </c>
      <c r="K5" s="14" t="n">
        <v>11000</v>
      </c>
      <c r="L5" s="19">
        <f>IF($B5="","",ROUND(SUMIF(订单明细!$C:$C,$B5,订单明细!$I:$I),2))</f>
        <v/>
      </c>
      <c r="M5" s="19">
        <f>IF($B5="","",ROUND(N($K5)+N($L5),2))</f>
        <v/>
      </c>
      <c r="N5" s="14" t="n">
        <v>11000</v>
      </c>
      <c r="O5" s="19">
        <f>IF($B5="","",ROUND(N($N5)+SUMIFS(资金日记账!$J$4:$J$2503,资金日记账!$G$4:$G$2503,$B5,资金日记账!$F$4:$F$2503,"收款-项目")-SUMIFS(资金日记账!$K$4:$K$2503,资金日记账!$G$4:$G$2503,$B5,资金日记账!$F$4:$F$2503,"收款-项目"),2))</f>
        <v/>
      </c>
      <c r="P5" s="19">
        <f>IF($B5="","",ROUND($M5-$O5,2))</f>
        <v/>
      </c>
      <c r="Q5" s="17">
        <f>IF($B5="","",IF(AND($J5&lt;&gt;"",ROUND($P5,2)&lt;=0),"已完工·已结清",IF($J5&lt;&gt;"","已完工·还有尾款",IF($I5&lt;&gt;"","已安装",IF($H5&lt;&gt;"","已制作",IF($G5&lt;&gt;"","设计完成","已下单"))))))</f>
        <v/>
      </c>
      <c r="R5" s="13" t="inlineStr">
        <is>
          <t>来源：2-德清津华钢铁</t>
        </is>
      </c>
      <c r="S5" s="17">
        <f>IF($B5="","",IF(COUNTIF($B$4:$B$403,$B5)&gt;1,"※项目名重复了",IF(AND($C5&lt;&gt;"",ISNA(MATCH($C5,客户表,0))),"※客户不在基础资料里",IF(AND($J5&lt;&gt;"",$F5&lt;&gt;"",$J5&lt;$F5),"※完工日期早于下单日期",""))))</f>
        <v/>
      </c>
    </row>
    <row r="6">
      <c r="A6" s="17">
        <f>IF($B6="","","P"&amp;TEXT(ROW()-3,"000"))</f>
        <v/>
      </c>
      <c r="B6" s="13" t="inlineStr">
        <is>
          <t>兰溪手擀面</t>
        </is>
      </c>
      <c r="C6" s="13" t="inlineStr">
        <is>
          <t>兰溪手擀面</t>
        </is>
      </c>
      <c r="D6" s="13" t="inlineStr">
        <is>
          <t>门头招牌</t>
        </is>
      </c>
      <c r="E6" s="13" t="n"/>
      <c r="F6" s="18" t="n">
        <v>46083</v>
      </c>
      <c r="G6" s="18" t="n"/>
      <c r="H6" s="18" t="n"/>
      <c r="I6" s="18" t="n"/>
      <c r="J6" s="18" t="n">
        <v>46083</v>
      </c>
      <c r="K6" s="14" t="n">
        <v>1400</v>
      </c>
      <c r="L6" s="19">
        <f>IF($B6="","",ROUND(SUMIF(订单明细!$C:$C,$B6,订单明细!$I:$I),2))</f>
        <v/>
      </c>
      <c r="M6" s="19">
        <f>IF($B6="","",ROUND(N($K6)+N($L6),2))</f>
        <v/>
      </c>
      <c r="N6" s="14" t="n"/>
      <c r="O6" s="19">
        <f>IF($B6="","",ROUND(N($N6)+SUMIFS(资金日记账!$J$4:$J$2503,资金日记账!$G$4:$G$2503,$B6,资金日记账!$F$4:$F$2503,"收款-项目")-SUMIFS(资金日记账!$K$4:$K$2503,资金日记账!$G$4:$G$2503,$B6,资金日记账!$F$4:$F$2503,"收款-项目"),2))</f>
        <v/>
      </c>
      <c r="P6" s="19">
        <f>IF($B6="","",ROUND($M6-$O6,2))</f>
        <v/>
      </c>
      <c r="Q6" s="17">
        <f>IF($B6="","",IF(AND($J6&lt;&gt;"",ROUND($P6,2)&lt;=0),"已完工·已结清",IF($J6&lt;&gt;"","已完工·还有尾款",IF($I6&lt;&gt;"","已安装",IF($H6&lt;&gt;"","已制作",IF($G6&lt;&gt;"","设计完成","已下单"))))))</f>
        <v/>
      </c>
      <c r="R6" s="13" t="inlineStr">
        <is>
          <t>来源：3-兰溪手擀面</t>
        </is>
      </c>
      <c r="S6" s="17">
        <f>IF($B6="","",IF(COUNTIF($B$4:$B$403,$B6)&gt;1,"※项目名重复了",IF(AND($C6&lt;&gt;"",ISNA(MATCH($C6,客户表,0))),"※客户不在基础资料里",IF(AND($J6&lt;&gt;"",$F6&lt;&gt;"",$J6&lt;$F6),"※完工日期早于下单日期",""))))</f>
        <v/>
      </c>
    </row>
    <row r="7">
      <c r="A7" s="17">
        <f>IF($B7="","","P"&amp;TEXT(ROW()-3,"000"))</f>
        <v/>
      </c>
      <c r="B7" s="13" t="inlineStr">
        <is>
          <t>莫盾服饰</t>
        </is>
      </c>
      <c r="C7" s="13" t="inlineStr">
        <is>
          <t>莫盾服饰</t>
        </is>
      </c>
      <c r="D7" s="13" t="inlineStr">
        <is>
          <t>门头招牌</t>
        </is>
      </c>
      <c r="E7" s="13" t="n"/>
      <c r="F7" s="18" t="n"/>
      <c r="G7" s="18" t="n"/>
      <c r="H7" s="18" t="n"/>
      <c r="I7" s="18" t="n"/>
      <c r="J7" s="18" t="n"/>
      <c r="K7" s="14" t="n">
        <v>12623</v>
      </c>
      <c r="L7" s="19">
        <f>IF($B7="","",ROUND(SUMIF(订单明细!$C:$C,$B7,订单明细!$I:$I),2))</f>
        <v/>
      </c>
      <c r="M7" s="19">
        <f>IF($B7="","",ROUND(N($K7)+N($L7),2))</f>
        <v/>
      </c>
      <c r="N7" s="14" t="n"/>
      <c r="O7" s="19">
        <f>IF($B7="","",ROUND(N($N7)+SUMIFS(资金日记账!$J$4:$J$2503,资金日记账!$G$4:$G$2503,$B7,资金日记账!$F$4:$F$2503,"收款-项目")-SUMIFS(资金日记账!$K$4:$K$2503,资金日记账!$G$4:$G$2503,$B7,资金日记账!$F$4:$F$2503,"收款-项目"),2))</f>
        <v/>
      </c>
      <c r="P7" s="19">
        <f>IF($B7="","",ROUND($M7-$O7,2))</f>
        <v/>
      </c>
      <c r="Q7" s="17">
        <f>IF($B7="","",IF(AND($J7&lt;&gt;"",ROUND($P7,2)&lt;=0),"已完工·已结清",IF($J7&lt;&gt;"","已完工·还有尾款",IF($I7&lt;&gt;"","已安装",IF($H7&lt;&gt;"","已制作",IF($G7&lt;&gt;"","设计完成","已下单"))))))</f>
        <v/>
      </c>
      <c r="R7" s="13" t="inlineStr">
        <is>
          <t>来源：4-莫盾服饰</t>
        </is>
      </c>
      <c r="S7" s="17">
        <f>IF($B7="","",IF(COUNTIF($B$4:$B$403,$B7)&gt;1,"※项目名重复了",IF(AND($C7&lt;&gt;"",ISNA(MATCH($C7,客户表,0))),"※客户不在基础资料里",IF(AND($J7&lt;&gt;"",$F7&lt;&gt;"",$J7&lt;$F7),"※完工日期早于下单日期",""))))</f>
        <v/>
      </c>
    </row>
    <row r="8">
      <c r="A8" s="17">
        <f>IF($B8="","","P"&amp;TEXT(ROW()-3,"000"))</f>
        <v/>
      </c>
      <c r="B8" s="13" t="inlineStr">
        <is>
          <t>君澜服饰</t>
        </is>
      </c>
      <c r="C8" s="13" t="inlineStr">
        <is>
          <t>君澜服饰</t>
        </is>
      </c>
      <c r="D8" s="13" t="inlineStr">
        <is>
          <t>门头招牌</t>
        </is>
      </c>
      <c r="E8" s="13" t="n"/>
      <c r="F8" s="18" t="n">
        <v>46106</v>
      </c>
      <c r="G8" s="18" t="n"/>
      <c r="H8" s="18" t="n"/>
      <c r="I8" s="18" t="n"/>
      <c r="J8" s="18" t="n"/>
      <c r="K8" s="14" t="n">
        <v>9350</v>
      </c>
      <c r="L8" s="19">
        <f>IF($B8="","",ROUND(SUMIF(订单明细!$C:$C,$B8,订单明细!$I:$I),2))</f>
        <v/>
      </c>
      <c r="M8" s="19">
        <f>IF($B8="","",ROUND(N($K8)+N($L8),2))</f>
        <v/>
      </c>
      <c r="N8" s="14" t="n"/>
      <c r="O8" s="19">
        <f>IF($B8="","",ROUND(N($N8)+SUMIFS(资金日记账!$J$4:$J$2503,资金日记账!$G$4:$G$2503,$B8,资金日记账!$F$4:$F$2503,"收款-项目")-SUMIFS(资金日记账!$K$4:$K$2503,资金日记账!$G$4:$G$2503,$B8,资金日记账!$F$4:$F$2503,"收款-项目"),2))</f>
        <v/>
      </c>
      <c r="P8" s="19">
        <f>IF($B8="","",ROUND($M8-$O8,2))</f>
        <v/>
      </c>
      <c r="Q8" s="17">
        <f>IF($B8="","",IF(AND($J8&lt;&gt;"",ROUND($P8,2)&lt;=0),"已完工·已结清",IF($J8&lt;&gt;"","已完工·还有尾款",IF($I8&lt;&gt;"","已安装",IF($H8&lt;&gt;"","已制作",IF($G8&lt;&gt;"","设计完成","已下单"))))))</f>
        <v/>
      </c>
      <c r="R8" s="13" t="inlineStr">
        <is>
          <t>来源：5-君澜服饰</t>
        </is>
      </c>
      <c r="S8" s="17">
        <f>IF($B8="","",IF(COUNTIF($B$4:$B$403,$B8)&gt;1,"※项目名重复了",IF(AND($C8&lt;&gt;"",ISNA(MATCH($C8,客户表,0))),"※客户不在基础资料里",IF(AND($J8&lt;&gt;"",$F8&lt;&gt;"",$J8&lt;$F8),"※完工日期早于下单日期",""))))</f>
        <v/>
      </c>
    </row>
    <row r="9">
      <c r="A9" s="17">
        <f>IF($B9="","","P"&amp;TEXT(ROW()-3,"000"))</f>
        <v/>
      </c>
      <c r="B9" s="13" t="inlineStr">
        <is>
          <t>芭比贝克</t>
        </is>
      </c>
      <c r="C9" s="13" t="inlineStr">
        <is>
          <t>芭比贝克</t>
        </is>
      </c>
      <c r="D9" s="13" t="inlineStr">
        <is>
          <t>门头招牌</t>
        </is>
      </c>
      <c r="E9" s="13" t="n"/>
      <c r="F9" s="18" t="n">
        <v>46082</v>
      </c>
      <c r="G9" s="18" t="n"/>
      <c r="H9" s="18" t="n"/>
      <c r="I9" s="18" t="n"/>
      <c r="J9" s="18" t="n">
        <v>46128</v>
      </c>
      <c r="K9" s="14" t="n">
        <v>820</v>
      </c>
      <c r="L9" s="19">
        <f>IF($B9="","",ROUND(SUMIF(订单明细!$C:$C,$B9,订单明细!$I:$I),2))</f>
        <v/>
      </c>
      <c r="M9" s="19">
        <f>IF($B9="","",ROUND(N($K9)+N($L9),2))</f>
        <v/>
      </c>
      <c r="N9" s="14" t="n"/>
      <c r="O9" s="19">
        <f>IF($B9="","",ROUND(N($N9)+SUMIFS(资金日记账!$J$4:$J$2503,资金日记账!$G$4:$G$2503,$B9,资金日记账!$F$4:$F$2503,"收款-项目")-SUMIFS(资金日记账!$K$4:$K$2503,资金日记账!$G$4:$G$2503,$B9,资金日记账!$F$4:$F$2503,"收款-项目"),2))</f>
        <v/>
      </c>
      <c r="P9" s="19">
        <f>IF($B9="","",ROUND($M9-$O9,2))</f>
        <v/>
      </c>
      <c r="Q9" s="17">
        <f>IF($B9="","",IF(AND($J9&lt;&gt;"",ROUND($P9,2)&lt;=0),"已完工·已结清",IF($J9&lt;&gt;"","已完工·还有尾款",IF($I9&lt;&gt;"","已安装",IF($H9&lt;&gt;"","已制作",IF($G9&lt;&gt;"","设计完成","已下单"))))))</f>
        <v/>
      </c>
      <c r="R9" s="13" t="inlineStr">
        <is>
          <t>来源：6-芭比贝克1</t>
        </is>
      </c>
      <c r="S9" s="17">
        <f>IF($B9="","",IF(COUNTIF($B$4:$B$403,$B9)&gt;1,"※项目名重复了",IF(AND($C9&lt;&gt;"",ISNA(MATCH($C9,客户表,0))),"※客户不在基础资料里",IF(AND($J9&lt;&gt;"",$F9&lt;&gt;"",$J9&lt;$F9),"※完工日期早于下单日期",""))))</f>
        <v/>
      </c>
    </row>
    <row r="10">
      <c r="A10" s="17">
        <f>IF($B10="","","P"&amp;TEXT(ROW()-3,"000"))</f>
        <v/>
      </c>
      <c r="B10" s="13" t="inlineStr">
        <is>
          <t>铁柱烧烤店</t>
        </is>
      </c>
      <c r="C10" s="13" t="inlineStr">
        <is>
          <t>铁柱烧烤店</t>
        </is>
      </c>
      <c r="D10" s="13" t="inlineStr">
        <is>
          <t>门头招牌</t>
        </is>
      </c>
      <c r="E10" s="13" t="n"/>
      <c r="F10" s="18" t="n">
        <v>46100</v>
      </c>
      <c r="G10" s="18" t="n"/>
      <c r="H10" s="18" t="n"/>
      <c r="I10" s="18" t="n"/>
      <c r="J10" s="18" t="n">
        <v>46139</v>
      </c>
      <c r="K10" s="14" t="n">
        <v>7800</v>
      </c>
      <c r="L10" s="19">
        <f>IF($B10="","",ROUND(SUMIF(订单明细!$C:$C,$B10,订单明细!$I:$I),2))</f>
        <v/>
      </c>
      <c r="M10" s="19">
        <f>IF($B10="","",ROUND(N($K10)+N($L10),2))</f>
        <v/>
      </c>
      <c r="N10" s="14" t="n"/>
      <c r="O10" s="19">
        <f>IF($B10="","",ROUND(N($N10)+SUMIFS(资金日记账!$J$4:$J$2503,资金日记账!$G$4:$G$2503,$B10,资金日记账!$F$4:$F$2503,"收款-项目")-SUMIFS(资金日记账!$K$4:$K$2503,资金日记账!$G$4:$G$2503,$B10,资金日记账!$F$4:$F$2503,"收款-项目"),2))</f>
        <v/>
      </c>
      <c r="P10" s="19">
        <f>IF($B10="","",ROUND($M10-$O10,2))</f>
        <v/>
      </c>
      <c r="Q10" s="17">
        <f>IF($B10="","",IF(AND($J10&lt;&gt;"",ROUND($P10,2)&lt;=0),"已完工·已结清",IF($J10&lt;&gt;"","已完工·还有尾款",IF($I10&lt;&gt;"","已安装",IF($H10&lt;&gt;"","已制作",IF($G10&lt;&gt;"","设计完成","已下单"))))))</f>
        <v/>
      </c>
      <c r="R10" s="13" t="inlineStr">
        <is>
          <t>来源：7-铁柱烧烤店</t>
        </is>
      </c>
      <c r="S10" s="17">
        <f>IF($B10="","",IF(COUNTIF($B$4:$B$403,$B10)&gt;1,"※项目名重复了",IF(AND($C10&lt;&gt;"",ISNA(MATCH($C10,客户表,0))),"※客户不在基础资料里",IF(AND($J10&lt;&gt;"",$F10&lt;&gt;"",$J10&lt;$F10),"※完工日期早于下单日期",""))))</f>
        <v/>
      </c>
    </row>
    <row r="11">
      <c r="A11" s="17">
        <f>IF($B11="","","P"&amp;TEXT(ROW()-3,"000"))</f>
        <v/>
      </c>
      <c r="B11" s="13" t="inlineStr">
        <is>
          <t>钟管熟食店</t>
        </is>
      </c>
      <c r="C11" s="13" t="inlineStr">
        <is>
          <t>钟管熟食店</t>
        </is>
      </c>
      <c r="D11" s="13" t="inlineStr">
        <is>
          <t>门头招牌</t>
        </is>
      </c>
      <c r="E11" s="13" t="n"/>
      <c r="F11" s="18" t="n">
        <v>46084</v>
      </c>
      <c r="G11" s="18" t="n"/>
      <c r="H11" s="18" t="n"/>
      <c r="I11" s="18" t="n"/>
      <c r="J11" s="18" t="n">
        <v>46084</v>
      </c>
      <c r="K11" s="14" t="n">
        <v>24000</v>
      </c>
      <c r="L11" s="19">
        <f>IF($B11="","",ROUND(SUMIF(订单明细!$C:$C,$B11,订单明细!$I:$I),2))</f>
        <v/>
      </c>
      <c r="M11" s="19">
        <f>IF($B11="","",ROUND(N($K11)+N($L11),2))</f>
        <v/>
      </c>
      <c r="N11" s="14" t="n">
        <v>24000</v>
      </c>
      <c r="O11" s="19">
        <f>IF($B11="","",ROUND(N($N11)+SUMIFS(资金日记账!$J$4:$J$2503,资金日记账!$G$4:$G$2503,$B11,资金日记账!$F$4:$F$2503,"收款-项目")-SUMIFS(资金日记账!$K$4:$K$2503,资金日记账!$G$4:$G$2503,$B11,资金日记账!$F$4:$F$2503,"收款-项目"),2))</f>
        <v/>
      </c>
      <c r="P11" s="19">
        <f>IF($B11="","",ROUND($M11-$O11,2))</f>
        <v/>
      </c>
      <c r="Q11" s="17">
        <f>IF($B11="","",IF(AND($J11&lt;&gt;"",ROUND($P11,2)&lt;=0),"已完工·已结清",IF($J11&lt;&gt;"","已完工·还有尾款",IF($I11&lt;&gt;"","已安装",IF($H11&lt;&gt;"","已制作",IF($G11&lt;&gt;"","设计完成","已下单"))))))</f>
        <v/>
      </c>
      <c r="R11" s="13" t="inlineStr">
        <is>
          <t>来源：8-钟管熟食店</t>
        </is>
      </c>
      <c r="S11" s="17">
        <f>IF($B11="","",IF(COUNTIF($B$4:$B$403,$B11)&gt;1,"※项目名重复了",IF(AND($C11&lt;&gt;"",ISNA(MATCH($C11,客户表,0))),"※客户不在基础资料里",IF(AND($J11&lt;&gt;"",$F11&lt;&gt;"",$J11&lt;$F11),"※完工日期早于下单日期",""))))</f>
        <v/>
      </c>
    </row>
    <row r="12">
      <c r="A12" s="17">
        <f>IF($B12="","","P"&amp;TEXT(ROW()-3,"000"))</f>
        <v/>
      </c>
      <c r="B12" s="13" t="inlineStr">
        <is>
          <t>螺有名灯箱门头</t>
        </is>
      </c>
      <c r="C12" s="13" t="inlineStr">
        <is>
          <t>螺有名灯箱门头</t>
        </is>
      </c>
      <c r="D12" s="13" t="inlineStr">
        <is>
          <t>门头招牌</t>
        </is>
      </c>
      <c r="E12" s="13" t="n"/>
      <c r="F12" s="18" t="n">
        <v>46100</v>
      </c>
      <c r="G12" s="18" t="n"/>
      <c r="H12" s="18" t="n"/>
      <c r="I12" s="18" t="n"/>
      <c r="J12" s="18" t="n">
        <v>46100</v>
      </c>
      <c r="K12" s="14" t="n">
        <v>1314</v>
      </c>
      <c r="L12" s="19">
        <f>IF($B12="","",ROUND(SUMIF(订单明细!$C:$C,$B12,订单明细!$I:$I),2))</f>
        <v/>
      </c>
      <c r="M12" s="19">
        <f>IF($B12="","",ROUND(N($K12)+N($L12),2))</f>
        <v/>
      </c>
      <c r="N12" s="14" t="n">
        <v>1314</v>
      </c>
      <c r="O12" s="19">
        <f>IF($B12="","",ROUND(N($N12)+SUMIFS(资金日记账!$J$4:$J$2503,资金日记账!$G$4:$G$2503,$B12,资金日记账!$F$4:$F$2503,"收款-项目")-SUMIFS(资金日记账!$K$4:$K$2503,资金日记账!$G$4:$G$2503,$B12,资金日记账!$F$4:$F$2503,"收款-项目"),2))</f>
        <v/>
      </c>
      <c r="P12" s="19">
        <f>IF($B12="","",ROUND($M12-$O12,2))</f>
        <v/>
      </c>
      <c r="Q12" s="17">
        <f>IF($B12="","",IF(AND($J12&lt;&gt;"",ROUND($P12,2)&lt;=0),"已完工·已结清",IF($J12&lt;&gt;"","已完工·还有尾款",IF($I12&lt;&gt;"","已安装",IF($H12&lt;&gt;"","已制作",IF($G12&lt;&gt;"","设计完成","已下单"))))))</f>
        <v/>
      </c>
      <c r="R12" s="13" t="inlineStr">
        <is>
          <t>来源：9-螺有名灯箱门头</t>
        </is>
      </c>
      <c r="S12" s="17">
        <f>IF($B12="","",IF(COUNTIF($B$4:$B$403,$B12)&gt;1,"※项目名重复了",IF(AND($C12&lt;&gt;"",ISNA(MATCH($C12,客户表,0))),"※客户不在基础资料里",IF(AND($J12&lt;&gt;"",$F12&lt;&gt;"",$J12&lt;$F12),"※完工日期早于下单日期",""))))</f>
        <v/>
      </c>
    </row>
    <row r="13">
      <c r="A13" s="17">
        <f>IF($B13="","","P"&amp;TEXT(ROW()-3,"000"))</f>
        <v/>
      </c>
      <c r="B13" s="13" t="inlineStr">
        <is>
          <t>汕味杏花室内项目</t>
        </is>
      </c>
      <c r="C13" s="13" t="inlineStr">
        <is>
          <t>汕味杏花室内项目</t>
        </is>
      </c>
      <c r="D13" s="13" t="inlineStr">
        <is>
          <t>门头招牌</t>
        </is>
      </c>
      <c r="E13" s="13" t="n"/>
      <c r="F13" s="18" t="n">
        <v>46102</v>
      </c>
      <c r="G13" s="18" t="n"/>
      <c r="H13" s="18" t="n"/>
      <c r="I13" s="18" t="n"/>
      <c r="J13" s="18" t="n">
        <v>46120</v>
      </c>
      <c r="K13" s="14" t="n">
        <v>5665.5</v>
      </c>
      <c r="L13" s="19">
        <f>IF($B13="","",ROUND(SUMIF(订单明细!$C:$C,$B13,订单明细!$I:$I),2))</f>
        <v/>
      </c>
      <c r="M13" s="19">
        <f>IF($B13="","",ROUND(N($K13)+N($L13),2))</f>
        <v/>
      </c>
      <c r="N13" s="14" t="n">
        <v>3000</v>
      </c>
      <c r="O13" s="19">
        <f>IF($B13="","",ROUND(N($N13)+SUMIFS(资金日记账!$J$4:$J$2503,资金日记账!$G$4:$G$2503,$B13,资金日记账!$F$4:$F$2503,"收款-项目")-SUMIFS(资金日记账!$K$4:$K$2503,资金日记账!$G$4:$G$2503,$B13,资金日记账!$F$4:$F$2503,"收款-项目"),2))</f>
        <v/>
      </c>
      <c r="P13" s="19">
        <f>IF($B13="","",ROUND($M13-$O13,2))</f>
        <v/>
      </c>
      <c r="Q13" s="17">
        <f>IF($B13="","",IF(AND($J13&lt;&gt;"",ROUND($P13,2)&lt;=0),"已完工·已结清",IF($J13&lt;&gt;"","已完工·还有尾款",IF($I13&lt;&gt;"","已安装",IF($H13&lt;&gt;"","已制作",IF($G13&lt;&gt;"","设计完成","已下单"))))))</f>
        <v/>
      </c>
      <c r="R13" s="13" t="inlineStr">
        <is>
          <t>来源：10-汕味杏花室内项目</t>
        </is>
      </c>
      <c r="S13" s="17">
        <f>IF($B13="","",IF(COUNTIF($B$4:$B$403,$B13)&gt;1,"※项目名重复了",IF(AND($C13&lt;&gt;"",ISNA(MATCH($C13,客户表,0))),"※客户不在基础资料里",IF(AND($J13&lt;&gt;"",$F13&lt;&gt;"",$J13&lt;$F13),"※完工日期早于下单日期",""))))</f>
        <v/>
      </c>
    </row>
    <row r="14">
      <c r="A14" s="17">
        <f>IF($B14="","","P"&amp;TEXT(ROW()-3,"000"))</f>
        <v/>
      </c>
      <c r="B14" s="13" t="inlineStr">
        <is>
          <t>双林面馆-滨河路</t>
        </is>
      </c>
      <c r="C14" s="13" t="inlineStr">
        <is>
          <t>双林面馆-滨河路</t>
        </is>
      </c>
      <c r="D14" s="13" t="inlineStr">
        <is>
          <t>门头招牌</t>
        </is>
      </c>
      <c r="E14" s="13" t="n"/>
      <c r="F14" s="18" t="n">
        <v>46086</v>
      </c>
      <c r="G14" s="18" t="n"/>
      <c r="H14" s="18" t="n"/>
      <c r="I14" s="18" t="n"/>
      <c r="J14" s="18" t="n"/>
      <c r="K14" s="14" t="n">
        <v>4400</v>
      </c>
      <c r="L14" s="19">
        <f>IF($B14="","",ROUND(SUMIF(订单明细!$C:$C,$B14,订单明细!$I:$I),2))</f>
        <v/>
      </c>
      <c r="M14" s="19">
        <f>IF($B14="","",ROUND(N($K14)+N($L14),2))</f>
        <v/>
      </c>
      <c r="N14" s="14" t="n">
        <v>1700</v>
      </c>
      <c r="O14" s="19">
        <f>IF($B14="","",ROUND(N($N14)+SUMIFS(资金日记账!$J$4:$J$2503,资金日记账!$G$4:$G$2503,$B14,资金日记账!$F$4:$F$2503,"收款-项目")-SUMIFS(资金日记账!$K$4:$K$2503,资金日记账!$G$4:$G$2503,$B14,资金日记账!$F$4:$F$2503,"收款-项目"),2))</f>
        <v/>
      </c>
      <c r="P14" s="19">
        <f>IF($B14="","",ROUND($M14-$O14,2))</f>
        <v/>
      </c>
      <c r="Q14" s="17">
        <f>IF($B14="","",IF(AND($J14&lt;&gt;"",ROUND($P14,2)&lt;=0),"已完工·已结清",IF($J14&lt;&gt;"","已完工·还有尾款",IF($I14&lt;&gt;"","已安装",IF($H14&lt;&gt;"","已制作",IF($G14&lt;&gt;"","设计完成","已下单"))))))</f>
        <v/>
      </c>
      <c r="R14" s="13" t="inlineStr">
        <is>
          <t>来源：11-双林面馆-滨河路</t>
        </is>
      </c>
      <c r="S14" s="17">
        <f>IF($B14="","",IF(COUNTIF($B$4:$B$403,$B14)&gt;1,"※项目名重复了",IF(AND($C14&lt;&gt;"",ISNA(MATCH($C14,客户表,0))),"※客户不在基础资料里",IF(AND($J14&lt;&gt;"",$F14&lt;&gt;"",$J14&lt;$F14),"※完工日期早于下单日期",""))))</f>
        <v/>
      </c>
    </row>
    <row r="15">
      <c r="A15" s="17">
        <f>IF($B15="","","P"&amp;TEXT(ROW()-3,"000"))</f>
        <v/>
      </c>
      <c r="B15" s="13" t="inlineStr">
        <is>
          <t>梓灿软装</t>
        </is>
      </c>
      <c r="C15" s="13" t="inlineStr">
        <is>
          <t>梓灿软装</t>
        </is>
      </c>
      <c r="D15" s="13" t="inlineStr">
        <is>
          <t>门头招牌</t>
        </is>
      </c>
      <c r="E15" s="13" t="n"/>
      <c r="F15" s="18" t="n">
        <v>46102</v>
      </c>
      <c r="G15" s="18" t="n"/>
      <c r="H15" s="18" t="n"/>
      <c r="I15" s="18" t="n"/>
      <c r="J15" s="18" t="n"/>
      <c r="K15" s="14" t="n">
        <v>3400</v>
      </c>
      <c r="L15" s="19">
        <f>IF($B15="","",ROUND(SUMIF(订单明细!$C:$C,$B15,订单明细!$I:$I),2))</f>
        <v/>
      </c>
      <c r="M15" s="19">
        <f>IF($B15="","",ROUND(N($K15)+N($L15),2))</f>
        <v/>
      </c>
      <c r="N15" s="14" t="n"/>
      <c r="O15" s="19">
        <f>IF($B15="","",ROUND(N($N15)+SUMIFS(资金日记账!$J$4:$J$2503,资金日记账!$G$4:$G$2503,$B15,资金日记账!$F$4:$F$2503,"收款-项目")-SUMIFS(资金日记账!$K$4:$K$2503,资金日记账!$G$4:$G$2503,$B15,资金日记账!$F$4:$F$2503,"收款-项目"),2))</f>
        <v/>
      </c>
      <c r="P15" s="19">
        <f>IF($B15="","",ROUND($M15-$O15,2))</f>
        <v/>
      </c>
      <c r="Q15" s="17">
        <f>IF($B15="","",IF(AND($J15&lt;&gt;"",ROUND($P15,2)&lt;=0),"已完工·已结清",IF($J15&lt;&gt;"","已完工·还有尾款",IF($I15&lt;&gt;"","已安装",IF($H15&lt;&gt;"","已制作",IF($G15&lt;&gt;"","设计完成","已下单"))))))</f>
        <v/>
      </c>
      <c r="R15" s="13" t="inlineStr">
        <is>
          <t>来源：12-梓灿软装</t>
        </is>
      </c>
      <c r="S15" s="17">
        <f>IF($B15="","",IF(COUNTIF($B$4:$B$403,$B15)&gt;1,"※项目名重复了",IF(AND($C15&lt;&gt;"",ISNA(MATCH($C15,客户表,0))),"※客户不在基础资料里",IF(AND($J15&lt;&gt;"",$F15&lt;&gt;"",$J15&lt;$F15),"※完工日期早于下单日期",""))))</f>
        <v/>
      </c>
    </row>
    <row r="16">
      <c r="A16" s="17">
        <f>IF($B16="","","P"&amp;TEXT(ROW()-3,"000"))</f>
        <v/>
      </c>
      <c r="B16" s="13" t="inlineStr">
        <is>
          <t>长颈鹿庄园</t>
        </is>
      </c>
      <c r="C16" s="13" t="inlineStr">
        <is>
          <t>长颈鹿庄园</t>
        </is>
      </c>
      <c r="D16" s="13" t="inlineStr">
        <is>
          <t>门头招牌</t>
        </is>
      </c>
      <c r="E16" s="13" t="n"/>
      <c r="F16" s="18" t="n">
        <v>46083</v>
      </c>
      <c r="G16" s="18" t="n"/>
      <c r="H16" s="18" t="n"/>
      <c r="I16" s="18" t="n"/>
      <c r="J16" s="18" t="n">
        <v>46112</v>
      </c>
      <c r="K16" s="14" t="n">
        <v>4050</v>
      </c>
      <c r="L16" s="19">
        <f>IF($B16="","",ROUND(SUMIF(订单明细!$C:$C,$B16,订单明细!$I:$I),2))</f>
        <v/>
      </c>
      <c r="M16" s="19">
        <f>IF($B16="","",ROUND(N($K16)+N($L16),2))</f>
        <v/>
      </c>
      <c r="N16" s="14" t="n"/>
      <c r="O16" s="19">
        <f>IF($B16="","",ROUND(N($N16)+SUMIFS(资金日记账!$J$4:$J$2503,资金日记账!$G$4:$G$2503,$B16,资金日记账!$F$4:$F$2503,"收款-项目")-SUMIFS(资金日记账!$K$4:$K$2503,资金日记账!$G$4:$G$2503,$B16,资金日记账!$F$4:$F$2503,"收款-项目"),2))</f>
        <v/>
      </c>
      <c r="P16" s="19">
        <f>IF($B16="","",ROUND($M16-$O16,2))</f>
        <v/>
      </c>
      <c r="Q16" s="17">
        <f>IF($B16="","",IF(AND($J16&lt;&gt;"",ROUND($P16,2)&lt;=0),"已完工·已结清",IF($J16&lt;&gt;"","已完工·还有尾款",IF($I16&lt;&gt;"","已安装",IF($H16&lt;&gt;"","已制作",IF($G16&lt;&gt;"","设计完成","已下单"))))))</f>
        <v/>
      </c>
      <c r="R16" s="13" t="inlineStr">
        <is>
          <t>来源：13-长颈鹿庄园</t>
        </is>
      </c>
      <c r="S16" s="17">
        <f>IF($B16="","",IF(COUNTIF($B$4:$B$403,$B16)&gt;1,"※项目名重复了",IF(AND($C16&lt;&gt;"",ISNA(MATCH($C16,客户表,0))),"※客户不在基础资料里",IF(AND($J16&lt;&gt;"",$F16&lt;&gt;"",$J16&lt;$F16),"※完工日期早于下单日期",""))))</f>
        <v/>
      </c>
    </row>
    <row r="17">
      <c r="A17" s="17">
        <f>IF($B17="","","P"&amp;TEXT(ROW()-3,"000"))</f>
        <v/>
      </c>
      <c r="B17" s="13" t="inlineStr">
        <is>
          <t>国智校服</t>
        </is>
      </c>
      <c r="C17" s="13" t="inlineStr">
        <is>
          <t>国智校服</t>
        </is>
      </c>
      <c r="D17" s="13" t="inlineStr">
        <is>
          <t>门头招牌</t>
        </is>
      </c>
      <c r="E17" s="13" t="n"/>
      <c r="F17" s="18" t="n">
        <v>46083</v>
      </c>
      <c r="G17" s="18" t="n"/>
      <c r="H17" s="18" t="n"/>
      <c r="I17" s="18" t="n"/>
      <c r="J17" s="18" t="n"/>
      <c r="K17" s="14" t="n">
        <v>4904.2</v>
      </c>
      <c r="L17" s="19">
        <f>IF($B17="","",ROUND(SUMIF(订单明细!$C:$C,$B17,订单明细!$I:$I),2))</f>
        <v/>
      </c>
      <c r="M17" s="19">
        <f>IF($B17="","",ROUND(N($K17)+N($L17),2))</f>
        <v/>
      </c>
      <c r="N17" s="14" t="n"/>
      <c r="O17" s="19">
        <f>IF($B17="","",ROUND(N($N17)+SUMIFS(资金日记账!$J$4:$J$2503,资金日记账!$G$4:$G$2503,$B17,资金日记账!$F$4:$F$2503,"收款-项目")-SUMIFS(资金日记账!$K$4:$K$2503,资金日记账!$G$4:$G$2503,$B17,资金日记账!$F$4:$F$2503,"收款-项目"),2))</f>
        <v/>
      </c>
      <c r="P17" s="19">
        <f>IF($B17="","",ROUND($M17-$O17,2))</f>
        <v/>
      </c>
      <c r="Q17" s="17">
        <f>IF($B17="","",IF(AND($J17&lt;&gt;"",ROUND($P17,2)&lt;=0),"已完工·已结清",IF($J17&lt;&gt;"","已完工·还有尾款",IF($I17&lt;&gt;"","已安装",IF($H17&lt;&gt;"","已制作",IF($G17&lt;&gt;"","设计完成","已下单"))))))</f>
        <v/>
      </c>
      <c r="R17" s="13" t="inlineStr">
        <is>
          <t>来源：14-国智校服</t>
        </is>
      </c>
      <c r="S17" s="17">
        <f>IF($B17="","",IF(COUNTIF($B$4:$B$403,$B17)&gt;1,"※项目名重复了",IF(AND($C17&lt;&gt;"",ISNA(MATCH($C17,客户表,0))),"※客户不在基础资料里",IF(AND($J17&lt;&gt;"",$F17&lt;&gt;"",$J17&lt;$F17),"※完工日期早于下单日期",""))))</f>
        <v/>
      </c>
    </row>
    <row r="18">
      <c r="A18" s="17">
        <f>IF($B18="","","P"&amp;TEXT(ROW()-3,"000"))</f>
        <v/>
      </c>
      <c r="B18" s="13" t="inlineStr">
        <is>
          <t>民盛生鲜店</t>
        </is>
      </c>
      <c r="C18" s="13" t="inlineStr">
        <is>
          <t>民盛生鲜店</t>
        </is>
      </c>
      <c r="D18" s="13" t="inlineStr">
        <is>
          <t>门头招牌</t>
        </is>
      </c>
      <c r="E18" s="13" t="n"/>
      <c r="F18" s="18" t="n">
        <v>46107</v>
      </c>
      <c r="G18" s="18" t="n"/>
      <c r="H18" s="18" t="n"/>
      <c r="I18" s="18" t="n"/>
      <c r="J18" s="18" t="n">
        <v>46129</v>
      </c>
      <c r="K18" s="14" t="n">
        <v>2000</v>
      </c>
      <c r="L18" s="19">
        <f>IF($B18="","",ROUND(SUMIF(订单明细!$C:$C,$B18,订单明细!$I:$I),2))</f>
        <v/>
      </c>
      <c r="M18" s="19">
        <f>IF($B18="","",ROUND(N($K18)+N($L18),2))</f>
        <v/>
      </c>
      <c r="N18" s="14" t="n"/>
      <c r="O18" s="19">
        <f>IF($B18="","",ROUND(N($N18)+SUMIFS(资金日记账!$J$4:$J$2503,资金日记账!$G$4:$G$2503,$B18,资金日记账!$F$4:$F$2503,"收款-项目")-SUMIFS(资金日记账!$K$4:$K$2503,资金日记账!$G$4:$G$2503,$B18,资金日记账!$F$4:$F$2503,"收款-项目"),2))</f>
        <v/>
      </c>
      <c r="P18" s="19">
        <f>IF($B18="","",ROUND($M18-$O18,2))</f>
        <v/>
      </c>
      <c r="Q18" s="17">
        <f>IF($B18="","",IF(AND($J18&lt;&gt;"",ROUND($P18,2)&lt;=0),"已完工·已结清",IF($J18&lt;&gt;"","已完工·还有尾款",IF($I18&lt;&gt;"","已安装",IF($H18&lt;&gt;"","已制作",IF($G18&lt;&gt;"","设计完成","已下单"))))))</f>
        <v/>
      </c>
      <c r="R18" s="13" t="inlineStr">
        <is>
          <t>来源：15-民盛生鲜店</t>
        </is>
      </c>
      <c r="S18" s="17">
        <f>IF($B18="","",IF(COUNTIF($B$4:$B$403,$B18)&gt;1,"※项目名重复了",IF(AND($C18&lt;&gt;"",ISNA(MATCH($C18,客户表,0))),"※客户不在基础资料里",IF(AND($J18&lt;&gt;"",$F18&lt;&gt;"",$J18&lt;$F18),"※完工日期早于下单日期",""))))</f>
        <v/>
      </c>
    </row>
    <row r="19">
      <c r="A19" s="17">
        <f>IF($B19="","","P"&amp;TEXT(ROW()-3,"000"))</f>
        <v/>
      </c>
      <c r="B19" s="13" t="inlineStr">
        <is>
          <t>饺子店</t>
        </is>
      </c>
      <c r="C19" s="13" t="inlineStr">
        <is>
          <t>饺子店</t>
        </is>
      </c>
      <c r="D19" s="13" t="inlineStr">
        <is>
          <t>门头招牌</t>
        </is>
      </c>
      <c r="E19" s="13" t="n"/>
      <c r="F19" s="18" t="n">
        <v>46108</v>
      </c>
      <c r="G19" s="18" t="n"/>
      <c r="H19" s="18" t="n"/>
      <c r="I19" s="18" t="n"/>
      <c r="J19" s="18" t="n">
        <v>46119</v>
      </c>
      <c r="K19" s="14" t="n">
        <v>1928</v>
      </c>
      <c r="L19" s="19">
        <f>IF($B19="","",ROUND(SUMIF(订单明细!$C:$C,$B19,订单明细!$I:$I),2))</f>
        <v/>
      </c>
      <c r="M19" s="19">
        <f>IF($B19="","",ROUND(N($K19)+N($L19),2))</f>
        <v/>
      </c>
      <c r="N19" s="14" t="n"/>
      <c r="O19" s="19">
        <f>IF($B19="","",ROUND(N($N19)+SUMIFS(资金日记账!$J$4:$J$2503,资金日记账!$G$4:$G$2503,$B19,资金日记账!$F$4:$F$2503,"收款-项目")-SUMIFS(资金日记账!$K$4:$K$2503,资金日记账!$G$4:$G$2503,$B19,资金日记账!$F$4:$F$2503,"收款-项目"),2))</f>
        <v/>
      </c>
      <c r="P19" s="19">
        <f>IF($B19="","",ROUND($M19-$O19,2))</f>
        <v/>
      </c>
      <c r="Q19" s="17">
        <f>IF($B19="","",IF(AND($J19&lt;&gt;"",ROUND($P19,2)&lt;=0),"已完工·已结清",IF($J19&lt;&gt;"","已完工·还有尾款",IF($I19&lt;&gt;"","已安装",IF($H19&lt;&gt;"","已制作",IF($G19&lt;&gt;"","设计完成","已下单"))))))</f>
        <v/>
      </c>
      <c r="R19" s="13" t="inlineStr">
        <is>
          <t>来源：16-饺子店</t>
        </is>
      </c>
      <c r="S19" s="17">
        <f>IF($B19="","",IF(COUNTIF($B$4:$B$403,$B19)&gt;1,"※项目名重复了",IF(AND($C19&lt;&gt;"",ISNA(MATCH($C19,客户表,0))),"※客户不在基础资料里",IF(AND($J19&lt;&gt;"",$F19&lt;&gt;"",$J19&lt;$F19),"※完工日期早于下单日期",""))))</f>
        <v/>
      </c>
    </row>
    <row r="20">
      <c r="A20" s="17">
        <f>IF($B20="","","P"&amp;TEXT(ROW()-3,"000"))</f>
        <v/>
      </c>
      <c r="B20" s="13" t="inlineStr">
        <is>
          <t>睿芯行</t>
        </is>
      </c>
      <c r="C20" s="13" t="inlineStr">
        <is>
          <t>睿芯行</t>
        </is>
      </c>
      <c r="D20" s="13" t="inlineStr">
        <is>
          <t>门头招牌</t>
        </is>
      </c>
      <c r="E20" s="13" t="n"/>
      <c r="F20" s="18" t="n">
        <v>46108</v>
      </c>
      <c r="G20" s="18" t="n"/>
      <c r="H20" s="18" t="n"/>
      <c r="I20" s="18" t="n"/>
      <c r="J20" s="18" t="n"/>
      <c r="K20" s="14" t="n">
        <v>39800</v>
      </c>
      <c r="L20" s="19">
        <f>IF($B20="","",ROUND(SUMIF(订单明细!$C:$C,$B20,订单明细!$I:$I),2))</f>
        <v/>
      </c>
      <c r="M20" s="19">
        <f>IF($B20="","",ROUND(N($K20)+N($L20),2))</f>
        <v/>
      </c>
      <c r="N20" s="14" t="n">
        <v>19800</v>
      </c>
      <c r="O20" s="19">
        <f>IF($B20="","",ROUND(N($N20)+SUMIFS(资金日记账!$J$4:$J$2503,资金日记账!$G$4:$G$2503,$B20,资金日记账!$F$4:$F$2503,"收款-项目")-SUMIFS(资金日记账!$K$4:$K$2503,资金日记账!$G$4:$G$2503,$B20,资金日记账!$F$4:$F$2503,"收款-项目"),2))</f>
        <v/>
      </c>
      <c r="P20" s="19">
        <f>IF($B20="","",ROUND($M20-$O20,2))</f>
        <v/>
      </c>
      <c r="Q20" s="17">
        <f>IF($B20="","",IF(AND($J20&lt;&gt;"",ROUND($P20,2)&lt;=0),"已完工·已结清",IF($J20&lt;&gt;"","已完工·还有尾款",IF($I20&lt;&gt;"","已安装",IF($H20&lt;&gt;"","已制作",IF($G20&lt;&gt;"","设计完成","已下单"))))))</f>
        <v/>
      </c>
      <c r="R20" s="13" t="inlineStr">
        <is>
          <t>来源：17-睿芯行</t>
        </is>
      </c>
      <c r="S20" s="17">
        <f>IF($B20="","",IF(COUNTIF($B$4:$B$403,$B20)&gt;1,"※项目名重复了",IF(AND($C20&lt;&gt;"",ISNA(MATCH($C20,客户表,0))),"※客户不在基础资料里",IF(AND($J20&lt;&gt;"",$F20&lt;&gt;"",$J20&lt;$F20),"※完工日期早于下单日期",""))))</f>
        <v/>
      </c>
    </row>
    <row r="21">
      <c r="A21" s="17">
        <f>IF($B21="","","P"&amp;TEXT(ROW()-3,"000"))</f>
        <v/>
      </c>
      <c r="B21" s="13" t="inlineStr">
        <is>
          <t>东尼电子26.3-4</t>
        </is>
      </c>
      <c r="C21" s="13" t="inlineStr">
        <is>
          <t>东尼新能源</t>
        </is>
      </c>
      <c r="D21" s="13" t="inlineStr">
        <is>
          <t>门头招牌</t>
        </is>
      </c>
      <c r="E21" s="13" t="n"/>
      <c r="F21" s="18" t="n">
        <v>46087</v>
      </c>
      <c r="G21" s="18" t="n"/>
      <c r="H21" s="18" t="n"/>
      <c r="I21" s="18" t="n"/>
      <c r="J21" s="18" t="n">
        <v>46106</v>
      </c>
      <c r="K21" s="14" t="n"/>
      <c r="L21" s="19">
        <f>IF($B21="","",ROUND(SUMIF(订单明细!$C:$C,$B21,订单明细!$I:$I),2))</f>
        <v/>
      </c>
      <c r="M21" s="19">
        <f>IF($B21="","",ROUND(N($K21)+N($L21),2))</f>
        <v/>
      </c>
      <c r="N21" s="14" t="n"/>
      <c r="O21" s="19">
        <f>IF($B21="","",ROUND(N($N21)+SUMIFS(资金日记账!$J$4:$J$2503,资金日记账!$G$4:$G$2503,$B21,资金日记账!$F$4:$F$2503,"收款-项目")-SUMIFS(资金日记账!$K$4:$K$2503,资金日记账!$G$4:$G$2503,$B21,资金日记账!$F$4:$F$2503,"收款-项目"),2))</f>
        <v/>
      </c>
      <c r="P21" s="19">
        <f>IF($B21="","",ROUND($M21-$O21,2))</f>
        <v/>
      </c>
      <c r="Q21" s="17">
        <f>IF($B21="","",IF(AND($J21&lt;&gt;"",ROUND($P21,2)&lt;=0),"已完工·已结清",IF($J21&lt;&gt;"","已完工·还有尾款",IF($I21&lt;&gt;"","已安装",IF($H21&lt;&gt;"","已制作",IF($G21&lt;&gt;"","设计完成","已下单"))))))</f>
        <v/>
      </c>
      <c r="R21" s="13" t="inlineStr">
        <is>
          <t>原「东尼电子」制作清单</t>
        </is>
      </c>
      <c r="S21" s="17">
        <f>IF($B21="","",IF(COUNTIF($B$4:$B$403,$B21)&gt;1,"※项目名重复了",IF(AND($C21&lt;&gt;"",ISNA(MATCH($C21,客户表,0))),"※客户不在基础资料里",IF(AND($J21&lt;&gt;"",$F21&lt;&gt;"",$J21&lt;$F21),"※完工日期早于下单日期",""))))</f>
        <v/>
      </c>
    </row>
    <row r="22">
      <c r="A22" s="17">
        <f>IF($B22="","","P"&amp;TEXT(ROW()-3,"000"))</f>
        <v/>
      </c>
      <c r="B22" s="13" t="inlineStr">
        <is>
          <t>东尼电子26.5</t>
        </is>
      </c>
      <c r="C22" s="13" t="inlineStr">
        <is>
          <t>东尼新能源</t>
        </is>
      </c>
      <c r="D22" s="13" t="inlineStr">
        <is>
          <t>门头招牌</t>
        </is>
      </c>
      <c r="E22" s="13" t="n"/>
      <c r="F22" s="18" t="n">
        <v>46148</v>
      </c>
      <c r="G22" s="18" t="n"/>
      <c r="H22" s="18" t="n"/>
      <c r="I22" s="18" t="n"/>
      <c r="J22" s="18" t="n">
        <v>46169</v>
      </c>
      <c r="K22" s="14" t="n"/>
      <c r="L22" s="19">
        <f>IF($B22="","",ROUND(SUMIF(订单明细!$C:$C,$B22,订单明细!$I:$I),2))</f>
        <v/>
      </c>
      <c r="M22" s="19">
        <f>IF($B22="","",ROUND(N($K22)+N($L22),2))</f>
        <v/>
      </c>
      <c r="N22" s="14" t="n"/>
      <c r="O22" s="19">
        <f>IF($B22="","",ROUND(N($N22)+SUMIFS(资金日记账!$J$4:$J$2503,资金日记账!$G$4:$G$2503,$B22,资金日记账!$F$4:$F$2503,"收款-项目")-SUMIFS(资金日记账!$K$4:$K$2503,资金日记账!$G$4:$G$2503,$B22,资金日记账!$F$4:$F$2503,"收款-项目"),2))</f>
        <v/>
      </c>
      <c r="P22" s="19">
        <f>IF($B22="","",ROUND($M22-$O22,2))</f>
        <v/>
      </c>
      <c r="Q22" s="17">
        <f>IF($B22="","",IF(AND($J22&lt;&gt;"",ROUND($P22,2)&lt;=0),"已完工·已结清",IF($J22&lt;&gt;"","已完工·还有尾款",IF($I22&lt;&gt;"","已安装",IF($H22&lt;&gt;"","已制作",IF($G22&lt;&gt;"","设计完成","已下单"))))))</f>
        <v/>
      </c>
      <c r="R22" s="13" t="inlineStr">
        <is>
          <t>原「Sheet1」制作清单</t>
        </is>
      </c>
      <c r="S22" s="17">
        <f>IF($B22="","",IF(COUNTIF($B$4:$B$403,$B22)&gt;1,"※项目名重复了",IF(AND($C22&lt;&gt;"",ISNA(MATCH($C22,客户表,0))),"※客户不在基础资料里",IF(AND($J22&lt;&gt;"",$F22&lt;&gt;"",$J22&lt;$F22),"※完工日期早于下单日期",""))))</f>
        <v/>
      </c>
    </row>
    <row r="23">
      <c r="A23" s="17">
        <f>IF($B23="","","P"&amp;TEXT(ROW()-3,"000"))</f>
        <v/>
      </c>
      <c r="B23" s="13" t="inlineStr">
        <is>
          <t>盛昊篷车</t>
        </is>
      </c>
      <c r="C23" s="13" t="inlineStr">
        <is>
          <t>盛昊篷车</t>
        </is>
      </c>
      <c r="D23" s="13" t="inlineStr">
        <is>
          <t>门头招牌</t>
        </is>
      </c>
      <c r="E23" s="13" t="n"/>
      <c r="F23" s="18" t="n">
        <v>46079</v>
      </c>
      <c r="G23" s="18" t="n"/>
      <c r="H23" s="18" t="n"/>
      <c r="I23" s="18" t="n"/>
      <c r="J23" s="18" t="n"/>
      <c r="K23" s="14" t="n"/>
      <c r="L23" s="19">
        <f>IF($B23="","",ROUND(SUMIF(订单明细!$C:$C,$B23,订单明细!$I:$I),2))</f>
        <v/>
      </c>
      <c r="M23" s="19">
        <f>IF($B23="","",ROUND(N($K23)+N($L23),2))</f>
        <v/>
      </c>
      <c r="N23" s="14" t="n"/>
      <c r="O23" s="19">
        <f>IF($B23="","",ROUND(N($N23)+SUMIFS(资金日记账!$J$4:$J$2503,资金日记账!$G$4:$G$2503,$B23,资金日记账!$F$4:$F$2503,"收款-项目")-SUMIFS(资金日记账!$K$4:$K$2503,资金日记账!$G$4:$G$2503,$B23,资金日记账!$F$4:$F$2503,"收款-项目"),2))</f>
        <v/>
      </c>
      <c r="P23" s="19">
        <f>IF($B23="","",ROUND($M23-$O23,2))</f>
        <v/>
      </c>
      <c r="Q23" s="17">
        <f>IF($B23="","",IF(AND($J23&lt;&gt;"",ROUND($P23,2)&lt;=0),"已完工·已结清",IF($J23&lt;&gt;"","已完工·还有尾款",IF($I23&lt;&gt;"","已安装",IF($H23&lt;&gt;"","已制作",IF($G23&lt;&gt;"","设计完成","已下单"))))))</f>
        <v/>
      </c>
      <c r="R23" s="13" t="n"/>
      <c r="S23" s="17">
        <f>IF($B23="","",IF(COUNTIF($B$4:$B$403,$B23)&gt;1,"※项目名重复了",IF(AND($C23&lt;&gt;"",ISNA(MATCH($C23,客户表,0))),"※客户不在基础资料里",IF(AND($J23&lt;&gt;"",$F23&lt;&gt;"",$J23&lt;$F23),"※完工日期早于下单日期",""))))</f>
        <v/>
      </c>
    </row>
    <row r="24">
      <c r="A24" s="17">
        <f>IF($B24="","","P"&amp;TEXT(ROW()-3,"000"))</f>
        <v/>
      </c>
      <c r="B24" s="13" t="inlineStr">
        <is>
          <t>付炳秀配送</t>
        </is>
      </c>
      <c r="C24" s="13" t="inlineStr">
        <is>
          <t>付炳秀配送</t>
        </is>
      </c>
      <c r="D24" s="13" t="inlineStr">
        <is>
          <t>门头招牌</t>
        </is>
      </c>
      <c r="E24" s="13" t="n"/>
      <c r="F24" s="18" t="n">
        <v>46080</v>
      </c>
      <c r="G24" s="18" t="n"/>
      <c r="H24" s="18" t="n"/>
      <c r="I24" s="18" t="n"/>
      <c r="J24" s="18" t="n"/>
      <c r="K24" s="14" t="n"/>
      <c r="L24" s="19">
        <f>IF($B24="","",ROUND(SUMIF(订单明细!$C:$C,$B24,订单明细!$I:$I),2))</f>
        <v/>
      </c>
      <c r="M24" s="19">
        <f>IF($B24="","",ROUND(N($K24)+N($L24),2))</f>
        <v/>
      </c>
      <c r="N24" s="14" t="n"/>
      <c r="O24" s="19">
        <f>IF($B24="","",ROUND(N($N24)+SUMIFS(资金日记账!$J$4:$J$2503,资金日记账!$G$4:$G$2503,$B24,资金日记账!$F$4:$F$2503,"收款-项目")-SUMIFS(资金日记账!$K$4:$K$2503,资金日记账!$G$4:$G$2503,$B24,资金日记账!$F$4:$F$2503,"收款-项目"),2))</f>
        <v/>
      </c>
      <c r="P24" s="19">
        <f>IF($B24="","",ROUND($M24-$O24,2))</f>
        <v/>
      </c>
      <c r="Q24" s="17">
        <f>IF($B24="","",IF(AND($J24&lt;&gt;"",ROUND($P24,2)&lt;=0),"已完工·已结清",IF($J24&lt;&gt;"","已完工·还有尾款",IF($I24&lt;&gt;"","已安装",IF($H24&lt;&gt;"","已制作",IF($G24&lt;&gt;"","设计完成","已下单"))))))</f>
        <v/>
      </c>
      <c r="R24" s="13" t="n"/>
      <c r="S24" s="17">
        <f>IF($B24="","",IF(COUNTIF($B$4:$B$403,$B24)&gt;1,"※项目名重复了",IF(AND($C24&lt;&gt;"",ISNA(MATCH($C24,客户表,0))),"※客户不在基础资料里",IF(AND($J24&lt;&gt;"",$F24&lt;&gt;"",$J24&lt;$F24),"※完工日期早于下单日期",""))))</f>
        <v/>
      </c>
    </row>
    <row r="25">
      <c r="A25" s="17">
        <f>IF($B25="","","P"&amp;TEXT(ROW()-3,"000"))</f>
        <v/>
      </c>
      <c r="B25" s="13" t="inlineStr">
        <is>
          <t>万达kvv</t>
        </is>
      </c>
      <c r="C25" s="13" t="inlineStr">
        <is>
          <t>万达kvv</t>
        </is>
      </c>
      <c r="D25" s="13" t="inlineStr">
        <is>
          <t>门头招牌</t>
        </is>
      </c>
      <c r="E25" s="13" t="n"/>
      <c r="F25" s="18" t="n">
        <v>46083</v>
      </c>
      <c r="G25" s="18" t="n"/>
      <c r="H25" s="18" t="n"/>
      <c r="I25" s="18" t="n"/>
      <c r="J25" s="18" t="n"/>
      <c r="K25" s="14" t="n"/>
      <c r="L25" s="19">
        <f>IF($B25="","",ROUND(SUMIF(订单明细!$C:$C,$B25,订单明细!$I:$I),2))</f>
        <v/>
      </c>
      <c r="M25" s="19">
        <f>IF($B25="","",ROUND(N($K25)+N($L25),2))</f>
        <v/>
      </c>
      <c r="N25" s="14" t="n"/>
      <c r="O25" s="19">
        <f>IF($B25="","",ROUND(N($N25)+SUMIFS(资金日记账!$J$4:$J$2503,资金日记账!$G$4:$G$2503,$B25,资金日记账!$F$4:$F$2503,"收款-项目")-SUMIFS(资金日记账!$K$4:$K$2503,资金日记账!$G$4:$G$2503,$B25,资金日记账!$F$4:$F$2503,"收款-项目"),2))</f>
        <v/>
      </c>
      <c r="P25" s="19">
        <f>IF($B25="","",ROUND($M25-$O25,2))</f>
        <v/>
      </c>
      <c r="Q25" s="17">
        <f>IF($B25="","",IF(AND($J25&lt;&gt;"",ROUND($P25,2)&lt;=0),"已完工·已结清",IF($J25&lt;&gt;"","已完工·还有尾款",IF($I25&lt;&gt;"","已安装",IF($H25&lt;&gt;"","已制作",IF($G25&lt;&gt;"","设计完成","已下单"))))))</f>
        <v/>
      </c>
      <c r="R25" s="13" t="n"/>
      <c r="S25" s="17">
        <f>IF($B25="","",IF(COUNTIF($B$4:$B$403,$B25)&gt;1,"※项目名重复了",IF(AND($C25&lt;&gt;"",ISNA(MATCH($C25,客户表,0))),"※客户不在基础资料里",IF(AND($J25&lt;&gt;"",$F25&lt;&gt;"",$J25&lt;$F25),"※完工日期早于下单日期",""))))</f>
        <v/>
      </c>
    </row>
    <row r="26">
      <c r="A26" s="17">
        <f>IF($B26="","","P"&amp;TEXT(ROW()-3,"000"))</f>
        <v/>
      </c>
      <c r="B26" s="13" t="inlineStr">
        <is>
          <t>织里店</t>
        </is>
      </c>
      <c r="C26" s="13" t="inlineStr">
        <is>
          <t>织里店</t>
        </is>
      </c>
      <c r="D26" s="13" t="inlineStr">
        <is>
          <t>门头招牌</t>
        </is>
      </c>
      <c r="E26" s="13" t="n"/>
      <c r="F26" s="18" t="n">
        <v>46084</v>
      </c>
      <c r="G26" s="18" t="n"/>
      <c r="H26" s="18" t="n"/>
      <c r="I26" s="18" t="n"/>
      <c r="J26" s="18" t="n"/>
      <c r="K26" s="14" t="n"/>
      <c r="L26" s="19">
        <f>IF($B26="","",ROUND(SUMIF(订单明细!$C:$C,$B26,订单明细!$I:$I),2))</f>
        <v/>
      </c>
      <c r="M26" s="19">
        <f>IF($B26="","",ROUND(N($K26)+N($L26),2))</f>
        <v/>
      </c>
      <c r="N26" s="14" t="n"/>
      <c r="O26" s="19">
        <f>IF($B26="","",ROUND(N($N26)+SUMIFS(资金日记账!$J$4:$J$2503,资金日记账!$G$4:$G$2503,$B26,资金日记账!$F$4:$F$2503,"收款-项目")-SUMIFS(资金日记账!$K$4:$K$2503,资金日记账!$G$4:$G$2503,$B26,资金日记账!$F$4:$F$2503,"收款-项目"),2))</f>
        <v/>
      </c>
      <c r="P26" s="19">
        <f>IF($B26="","",ROUND($M26-$O26,2))</f>
        <v/>
      </c>
      <c r="Q26" s="17">
        <f>IF($B26="","",IF(AND($J26&lt;&gt;"",ROUND($P26,2)&lt;=0),"已完工·已结清",IF($J26&lt;&gt;"","已完工·还有尾款",IF($I26&lt;&gt;"","已安装",IF($H26&lt;&gt;"","已制作",IF($G26&lt;&gt;"","设计完成","已下单"))))))</f>
        <v/>
      </c>
      <c r="R26" s="13" t="n"/>
      <c r="S26" s="17">
        <f>IF($B26="","",IF(COUNTIF($B$4:$B$403,$B26)&gt;1,"※项目名重复了",IF(AND($C26&lt;&gt;"",ISNA(MATCH($C26,客户表,0))),"※客户不在基础资料里",IF(AND($J26&lt;&gt;"",$F26&lt;&gt;"",$J26&lt;$F26),"※完工日期早于下单日期",""))))</f>
        <v/>
      </c>
    </row>
    <row r="27">
      <c r="A27" s="17">
        <f>IF($B27="","","P"&amp;TEXT(ROW()-3,"000"))</f>
        <v/>
      </c>
      <c r="B27" s="13" t="inlineStr">
        <is>
          <t>高恒荣熟食店</t>
        </is>
      </c>
      <c r="C27" s="13" t="inlineStr">
        <is>
          <t>高恒荣熟食店</t>
        </is>
      </c>
      <c r="D27" s="13" t="inlineStr">
        <is>
          <t>门头招牌</t>
        </is>
      </c>
      <c r="E27" s="13" t="n"/>
      <c r="F27" s="18" t="n">
        <v>46084</v>
      </c>
      <c r="G27" s="18" t="n"/>
      <c r="H27" s="18" t="n"/>
      <c r="I27" s="18" t="n"/>
      <c r="J27" s="18" t="n"/>
      <c r="K27" s="14" t="n"/>
      <c r="L27" s="19">
        <f>IF($B27="","",ROUND(SUMIF(订单明细!$C:$C,$B27,订单明细!$I:$I),2))</f>
        <v/>
      </c>
      <c r="M27" s="19">
        <f>IF($B27="","",ROUND(N($K27)+N($L27),2))</f>
        <v/>
      </c>
      <c r="N27" s="14" t="n"/>
      <c r="O27" s="19">
        <f>IF($B27="","",ROUND(N($N27)+SUMIFS(资金日记账!$J$4:$J$2503,资金日记账!$G$4:$G$2503,$B27,资金日记账!$F$4:$F$2503,"收款-项目")-SUMIFS(资金日记账!$K$4:$K$2503,资金日记账!$G$4:$G$2503,$B27,资金日记账!$F$4:$F$2503,"收款-项目"),2))</f>
        <v/>
      </c>
      <c r="P27" s="19">
        <f>IF($B27="","",ROUND($M27-$O27,2))</f>
        <v/>
      </c>
      <c r="Q27" s="17">
        <f>IF($B27="","",IF(AND($J27&lt;&gt;"",ROUND($P27,2)&lt;=0),"已完工·已结清",IF($J27&lt;&gt;"","已完工·还有尾款",IF($I27&lt;&gt;"","已安装",IF($H27&lt;&gt;"","已制作",IF($G27&lt;&gt;"","设计完成","已下单"))))))</f>
        <v/>
      </c>
      <c r="R27" s="13" t="n"/>
      <c r="S27" s="17">
        <f>IF($B27="","",IF(COUNTIF($B$4:$B$403,$B27)&gt;1,"※项目名重复了",IF(AND($C27&lt;&gt;"",ISNA(MATCH($C27,客户表,0))),"※客户不在基础资料里",IF(AND($J27&lt;&gt;"",$F27&lt;&gt;"",$J27&lt;$F27),"※完工日期早于下单日期",""))))</f>
        <v/>
      </c>
    </row>
    <row r="28">
      <c r="A28" s="17">
        <f>IF($B28="","","P"&amp;TEXT(ROW()-3,"000"))</f>
        <v/>
      </c>
      <c r="B28" s="13" t="inlineStr">
        <is>
          <t>卓越桌球</t>
        </is>
      </c>
      <c r="C28" s="13" t="inlineStr">
        <is>
          <t>卓越桌球</t>
        </is>
      </c>
      <c r="D28" s="13" t="inlineStr">
        <is>
          <t>门头招牌</t>
        </is>
      </c>
      <c r="E28" s="13" t="n"/>
      <c r="F28" s="18" t="n">
        <v>46085</v>
      </c>
      <c r="G28" s="18" t="n"/>
      <c r="H28" s="18" t="n"/>
      <c r="I28" s="18" t="n"/>
      <c r="J28" s="18" t="n"/>
      <c r="K28" s="14" t="n"/>
      <c r="L28" s="19">
        <f>IF($B28="","",ROUND(SUMIF(订单明细!$C:$C,$B28,订单明细!$I:$I),2))</f>
        <v/>
      </c>
      <c r="M28" s="19">
        <f>IF($B28="","",ROUND(N($K28)+N($L28),2))</f>
        <v/>
      </c>
      <c r="N28" s="14" t="n"/>
      <c r="O28" s="19">
        <f>IF($B28="","",ROUND(N($N28)+SUMIFS(资金日记账!$J$4:$J$2503,资金日记账!$G$4:$G$2503,$B28,资金日记账!$F$4:$F$2503,"收款-项目")-SUMIFS(资金日记账!$K$4:$K$2503,资金日记账!$G$4:$G$2503,$B28,资金日记账!$F$4:$F$2503,"收款-项目"),2))</f>
        <v/>
      </c>
      <c r="P28" s="19">
        <f>IF($B28="","",ROUND($M28-$O28,2))</f>
        <v/>
      </c>
      <c r="Q28" s="17">
        <f>IF($B28="","",IF(AND($J28&lt;&gt;"",ROUND($P28,2)&lt;=0),"已完工·已结清",IF($J28&lt;&gt;"","已完工·还有尾款",IF($I28&lt;&gt;"","已安装",IF($H28&lt;&gt;"","已制作",IF($G28&lt;&gt;"","设计完成","已下单"))))))</f>
        <v/>
      </c>
      <c r="R28" s="13" t="n"/>
      <c r="S28" s="17">
        <f>IF($B28="","",IF(COUNTIF($B$4:$B$403,$B28)&gt;1,"※项目名重复了",IF(AND($C28&lt;&gt;"",ISNA(MATCH($C28,客户表,0))),"※客户不在基础资料里",IF(AND($J28&lt;&gt;"",$F28&lt;&gt;"",$J28&lt;$F28),"※完工日期早于下单日期",""))))</f>
        <v/>
      </c>
    </row>
    <row r="29">
      <c r="A29" s="17">
        <f>IF($B29="","","P"&amp;TEXT(ROW()-3,"000"))</f>
        <v/>
      </c>
      <c r="B29" s="13" t="inlineStr">
        <is>
          <t>东尼电子</t>
        </is>
      </c>
      <c r="C29" s="13" t="inlineStr">
        <is>
          <t>东尼电子</t>
        </is>
      </c>
      <c r="D29" s="13" t="inlineStr">
        <is>
          <t>门头招牌</t>
        </is>
      </c>
      <c r="E29" s="13" t="n"/>
      <c r="F29" s="18" t="n">
        <v>46085</v>
      </c>
      <c r="G29" s="18" t="n"/>
      <c r="H29" s="18" t="n"/>
      <c r="I29" s="18" t="n"/>
      <c r="J29" s="18" t="n"/>
      <c r="K29" s="14" t="n"/>
      <c r="L29" s="19">
        <f>IF($B29="","",ROUND(SUMIF(订单明细!$C:$C,$B29,订单明细!$I:$I),2))</f>
        <v/>
      </c>
      <c r="M29" s="19">
        <f>IF($B29="","",ROUND(N($K29)+N($L29),2))</f>
        <v/>
      </c>
      <c r="N29" s="14" t="n"/>
      <c r="O29" s="19">
        <f>IF($B29="","",ROUND(N($N29)+SUMIFS(资金日记账!$J$4:$J$2503,资金日记账!$G$4:$G$2503,$B29,资金日记账!$F$4:$F$2503,"收款-项目")-SUMIFS(资金日记账!$K$4:$K$2503,资金日记账!$G$4:$G$2503,$B29,资金日记账!$F$4:$F$2503,"收款-项目"),2))</f>
        <v/>
      </c>
      <c r="P29" s="19">
        <f>IF($B29="","",ROUND($M29-$O29,2))</f>
        <v/>
      </c>
      <c r="Q29" s="17">
        <f>IF($B29="","",IF(AND($J29&lt;&gt;"",ROUND($P29,2)&lt;=0),"已完工·已结清",IF($J29&lt;&gt;"","已完工·还有尾款",IF($I29&lt;&gt;"","已安装",IF($H29&lt;&gt;"","已制作",IF($G29&lt;&gt;"","设计完成","已下单"))))))</f>
        <v/>
      </c>
      <c r="R29" s="13" t="n"/>
      <c r="S29" s="17">
        <f>IF($B29="","",IF(COUNTIF($B$4:$B$403,$B29)&gt;1,"※项目名重复了",IF(AND($C29&lt;&gt;"",ISNA(MATCH($C29,客户表,0))),"※客户不在基础资料里",IF(AND($J29&lt;&gt;"",$F29&lt;&gt;"",$J29&lt;$F29),"※完工日期早于下单日期",""))))</f>
        <v/>
      </c>
    </row>
    <row r="30">
      <c r="A30" s="17">
        <f>IF($B30="","","P"&amp;TEXT(ROW()-3,"000"))</f>
        <v/>
      </c>
      <c r="B30" s="13" t="inlineStr">
        <is>
          <t>犇腾牛排</t>
        </is>
      </c>
      <c r="C30" s="13" t="inlineStr">
        <is>
          <t>犇腾牛排</t>
        </is>
      </c>
      <c r="D30" s="13" t="inlineStr">
        <is>
          <t>门头招牌</t>
        </is>
      </c>
      <c r="E30" s="13" t="n"/>
      <c r="F30" s="18" t="n">
        <v>46088</v>
      </c>
      <c r="G30" s="18" t="n"/>
      <c r="H30" s="18" t="n"/>
      <c r="I30" s="18" t="n"/>
      <c r="J30" s="18" t="n"/>
      <c r="K30" s="14" t="n"/>
      <c r="L30" s="19">
        <f>IF($B30="","",ROUND(SUMIF(订单明细!$C:$C,$B30,订单明细!$I:$I),2))</f>
        <v/>
      </c>
      <c r="M30" s="19">
        <f>IF($B30="","",ROUND(N($K30)+N($L30),2))</f>
        <v/>
      </c>
      <c r="N30" s="14" t="n"/>
      <c r="O30" s="19">
        <f>IF($B30="","",ROUND(N($N30)+SUMIFS(资金日记账!$J$4:$J$2503,资金日记账!$G$4:$G$2503,$B30,资金日记账!$F$4:$F$2503,"收款-项目")-SUMIFS(资金日记账!$K$4:$K$2503,资金日记账!$G$4:$G$2503,$B30,资金日记账!$F$4:$F$2503,"收款-项目"),2))</f>
        <v/>
      </c>
      <c r="P30" s="19">
        <f>IF($B30="","",ROUND($M30-$O30,2))</f>
        <v/>
      </c>
      <c r="Q30" s="17">
        <f>IF($B30="","",IF(AND($J30&lt;&gt;"",ROUND($P30,2)&lt;=0),"已完工·已结清",IF($J30&lt;&gt;"","已完工·还有尾款",IF($I30&lt;&gt;"","已安装",IF($H30&lt;&gt;"","已制作",IF($G30&lt;&gt;"","设计完成","已下单"))))))</f>
        <v/>
      </c>
      <c r="R30" s="13" t="n"/>
      <c r="S30" s="17">
        <f>IF($B30="","",IF(COUNTIF($B$4:$B$403,$B30)&gt;1,"※项目名重复了",IF(AND($C30&lt;&gt;"",ISNA(MATCH($C30,客户表,0))),"※客户不在基础资料里",IF(AND($J30&lt;&gt;"",$F30&lt;&gt;"",$J30&lt;$F30),"※完工日期早于下单日期",""))))</f>
        <v/>
      </c>
    </row>
    <row r="31">
      <c r="A31" s="17">
        <f>IF($B31="","","P"&amp;TEXT(ROW()-3,"000"))</f>
        <v/>
      </c>
      <c r="B31" s="13" t="inlineStr">
        <is>
          <t>校服基地</t>
        </is>
      </c>
      <c r="C31" s="13" t="inlineStr">
        <is>
          <t>校服基地</t>
        </is>
      </c>
      <c r="D31" s="13" t="inlineStr">
        <is>
          <t>门头招牌</t>
        </is>
      </c>
      <c r="E31" s="13" t="n"/>
      <c r="F31" s="18" t="n">
        <v>46090</v>
      </c>
      <c r="G31" s="18" t="n"/>
      <c r="H31" s="18" t="n"/>
      <c r="I31" s="18" t="n"/>
      <c r="J31" s="18" t="n"/>
      <c r="K31" s="14" t="n"/>
      <c r="L31" s="19">
        <f>IF($B31="","",ROUND(SUMIF(订单明细!$C:$C,$B31,订单明细!$I:$I),2))</f>
        <v/>
      </c>
      <c r="M31" s="19">
        <f>IF($B31="","",ROUND(N($K31)+N($L31),2))</f>
        <v/>
      </c>
      <c r="N31" s="14" t="n"/>
      <c r="O31" s="19">
        <f>IF($B31="","",ROUND(N($N31)+SUMIFS(资金日记账!$J$4:$J$2503,资金日记账!$G$4:$G$2503,$B31,资金日记账!$F$4:$F$2503,"收款-项目")-SUMIFS(资金日记账!$K$4:$K$2503,资金日记账!$G$4:$G$2503,$B31,资金日记账!$F$4:$F$2503,"收款-项目"),2))</f>
        <v/>
      </c>
      <c r="P31" s="19">
        <f>IF($B31="","",ROUND($M31-$O31,2))</f>
        <v/>
      </c>
      <c r="Q31" s="17">
        <f>IF($B31="","",IF(AND($J31&lt;&gt;"",ROUND($P31,2)&lt;=0),"已完工·已结清",IF($J31&lt;&gt;"","已完工·还有尾款",IF($I31&lt;&gt;"","已安装",IF($H31&lt;&gt;"","已制作",IF($G31&lt;&gt;"","设计完成","已下单"))))))</f>
        <v/>
      </c>
      <c r="R31" s="13" t="n"/>
      <c r="S31" s="17">
        <f>IF($B31="","",IF(COUNTIF($B$4:$B$403,$B31)&gt;1,"※项目名重复了",IF(AND($C31&lt;&gt;"",ISNA(MATCH($C31,客户表,0))),"※客户不在基础资料里",IF(AND($J31&lt;&gt;"",$F31&lt;&gt;"",$J31&lt;$F31),"※完工日期早于下单日期",""))))</f>
        <v/>
      </c>
    </row>
    <row r="32">
      <c r="A32" s="17">
        <f>IF($B32="","","P"&amp;TEXT(ROW()-3,"000"))</f>
        <v/>
      </c>
      <c r="B32" s="13" t="inlineStr">
        <is>
          <t>德清钟管菜市场</t>
        </is>
      </c>
      <c r="C32" s="13" t="inlineStr">
        <is>
          <t>德清钟管菜市场</t>
        </is>
      </c>
      <c r="D32" s="13" t="inlineStr">
        <is>
          <t>门头招牌</t>
        </is>
      </c>
      <c r="E32" s="13" t="n"/>
      <c r="F32" s="18" t="n">
        <v>46090</v>
      </c>
      <c r="G32" s="18" t="n"/>
      <c r="H32" s="18" t="n"/>
      <c r="I32" s="18" t="n"/>
      <c r="J32" s="18" t="n"/>
      <c r="K32" s="14" t="n"/>
      <c r="L32" s="19">
        <f>IF($B32="","",ROUND(SUMIF(订单明细!$C:$C,$B32,订单明细!$I:$I),2))</f>
        <v/>
      </c>
      <c r="M32" s="19">
        <f>IF($B32="","",ROUND(N($K32)+N($L32),2))</f>
        <v/>
      </c>
      <c r="N32" s="14" t="n"/>
      <c r="O32" s="19">
        <f>IF($B32="","",ROUND(N($N32)+SUMIFS(资金日记账!$J$4:$J$2503,资金日记账!$G$4:$G$2503,$B32,资金日记账!$F$4:$F$2503,"收款-项目")-SUMIFS(资金日记账!$K$4:$K$2503,资金日记账!$G$4:$G$2503,$B32,资金日记账!$F$4:$F$2503,"收款-项目"),2))</f>
        <v/>
      </c>
      <c r="P32" s="19">
        <f>IF($B32="","",ROUND($M32-$O32,2))</f>
        <v/>
      </c>
      <c r="Q32" s="17">
        <f>IF($B32="","",IF(AND($J32&lt;&gt;"",ROUND($P32,2)&lt;=0),"已完工·已结清",IF($J32&lt;&gt;"","已完工·还有尾款",IF($I32&lt;&gt;"","已安装",IF($H32&lt;&gt;"","已制作",IF($G32&lt;&gt;"","设计完成","已下单"))))))</f>
        <v/>
      </c>
      <c r="R32" s="13" t="n"/>
      <c r="S32" s="17">
        <f>IF($B32="","",IF(COUNTIF($B$4:$B$403,$B32)&gt;1,"※项目名重复了",IF(AND($C32&lt;&gt;"",ISNA(MATCH($C32,客户表,0))),"※客户不在基础资料里",IF(AND($J32&lt;&gt;"",$F32&lt;&gt;"",$J32&lt;$F32),"※完工日期早于下单日期",""))))</f>
        <v/>
      </c>
    </row>
    <row r="33">
      <c r="A33" s="17">
        <f>IF($B33="","","P"&amp;TEXT(ROW()-3,"000"))</f>
        <v/>
      </c>
      <c r="B33" s="13" t="inlineStr">
        <is>
          <t>中交</t>
        </is>
      </c>
      <c r="C33" s="13" t="inlineStr">
        <is>
          <t>中交</t>
        </is>
      </c>
      <c r="D33" s="13" t="inlineStr">
        <is>
          <t>门头招牌</t>
        </is>
      </c>
      <c r="E33" s="13" t="n"/>
      <c r="F33" s="18" t="n">
        <v>46092</v>
      </c>
      <c r="G33" s="18" t="n"/>
      <c r="H33" s="18" t="n"/>
      <c r="I33" s="18" t="n"/>
      <c r="J33" s="18" t="n"/>
      <c r="K33" s="14" t="n"/>
      <c r="L33" s="19">
        <f>IF($B33="","",ROUND(SUMIF(订单明细!$C:$C,$B33,订单明细!$I:$I),2))</f>
        <v/>
      </c>
      <c r="M33" s="19">
        <f>IF($B33="","",ROUND(N($K33)+N($L33),2))</f>
        <v/>
      </c>
      <c r="N33" s="14" t="n"/>
      <c r="O33" s="19">
        <f>IF($B33="","",ROUND(N($N33)+SUMIFS(资金日记账!$J$4:$J$2503,资金日记账!$G$4:$G$2503,$B33,资金日记账!$F$4:$F$2503,"收款-项目")-SUMIFS(资金日记账!$K$4:$K$2503,资金日记账!$G$4:$G$2503,$B33,资金日记账!$F$4:$F$2503,"收款-项目"),2))</f>
        <v/>
      </c>
      <c r="P33" s="19">
        <f>IF($B33="","",ROUND($M33-$O33,2))</f>
        <v/>
      </c>
      <c r="Q33" s="17">
        <f>IF($B33="","",IF(AND($J33&lt;&gt;"",ROUND($P33,2)&lt;=0),"已完工·已结清",IF($J33&lt;&gt;"","已完工·还有尾款",IF($I33&lt;&gt;"","已安装",IF($H33&lt;&gt;"","已制作",IF($G33&lt;&gt;"","设计完成","已下单"))))))</f>
        <v/>
      </c>
      <c r="R33" s="13" t="n"/>
      <c r="S33" s="17">
        <f>IF($B33="","",IF(COUNTIF($B$4:$B$403,$B33)&gt;1,"※项目名重复了",IF(AND($C33&lt;&gt;"",ISNA(MATCH($C33,客户表,0))),"※客户不在基础资料里",IF(AND($J33&lt;&gt;"",$F33&lt;&gt;"",$J33&lt;$F33),"※完工日期早于下单日期",""))))</f>
        <v/>
      </c>
    </row>
    <row r="34">
      <c r="A34" s="17">
        <f>IF($B34="","","P"&amp;TEXT(ROW()-3,"000"))</f>
        <v/>
      </c>
      <c r="B34" s="13" t="inlineStr">
        <is>
          <t>vip宠物乐园</t>
        </is>
      </c>
      <c r="C34" s="13" t="inlineStr">
        <is>
          <t>vip宠物乐园</t>
        </is>
      </c>
      <c r="D34" s="13" t="inlineStr">
        <is>
          <t>门头招牌</t>
        </is>
      </c>
      <c r="E34" s="13" t="n"/>
      <c r="F34" s="18" t="n">
        <v>46093</v>
      </c>
      <c r="G34" s="18" t="n"/>
      <c r="H34" s="18" t="n"/>
      <c r="I34" s="18" t="n"/>
      <c r="J34" s="18" t="n"/>
      <c r="K34" s="14" t="n"/>
      <c r="L34" s="19">
        <f>IF($B34="","",ROUND(SUMIF(订单明细!$C:$C,$B34,订单明细!$I:$I),2))</f>
        <v/>
      </c>
      <c r="M34" s="19">
        <f>IF($B34="","",ROUND(N($K34)+N($L34),2))</f>
        <v/>
      </c>
      <c r="N34" s="14" t="n"/>
      <c r="O34" s="19">
        <f>IF($B34="","",ROUND(N($N34)+SUMIFS(资金日记账!$J$4:$J$2503,资金日记账!$G$4:$G$2503,$B34,资金日记账!$F$4:$F$2503,"收款-项目")-SUMIFS(资金日记账!$K$4:$K$2503,资金日记账!$G$4:$G$2503,$B34,资金日记账!$F$4:$F$2503,"收款-项目"),2))</f>
        <v/>
      </c>
      <c r="P34" s="19">
        <f>IF($B34="","",ROUND($M34-$O34,2))</f>
        <v/>
      </c>
      <c r="Q34" s="17">
        <f>IF($B34="","",IF(AND($J34&lt;&gt;"",ROUND($P34,2)&lt;=0),"已完工·已结清",IF($J34&lt;&gt;"","已完工·还有尾款",IF($I34&lt;&gt;"","已安装",IF($H34&lt;&gt;"","已制作",IF($G34&lt;&gt;"","设计完成","已下单"))))))</f>
        <v/>
      </c>
      <c r="R34" s="13" t="n"/>
      <c r="S34" s="17">
        <f>IF($B34="","",IF(COUNTIF($B$4:$B$403,$B34)&gt;1,"※项目名重复了",IF(AND($C34&lt;&gt;"",ISNA(MATCH($C34,客户表,0))),"※客户不在基础资料里",IF(AND($J34&lt;&gt;"",$F34&lt;&gt;"",$J34&lt;$F34),"※完工日期早于下单日期",""))))</f>
        <v/>
      </c>
    </row>
    <row r="35">
      <c r="A35" s="17">
        <f>IF($B35="","","P"&amp;TEXT(ROW()-3,"000"))</f>
        <v/>
      </c>
      <c r="B35" s="13" t="inlineStr">
        <is>
          <t>安吉车贴项目</t>
        </is>
      </c>
      <c r="C35" s="13" t="inlineStr">
        <is>
          <t>安吉车贴项目</t>
        </is>
      </c>
      <c r="D35" s="13" t="inlineStr">
        <is>
          <t>门头招牌</t>
        </is>
      </c>
      <c r="E35" s="13" t="n"/>
      <c r="F35" s="18" t="n">
        <v>46095</v>
      </c>
      <c r="G35" s="18" t="n"/>
      <c r="H35" s="18" t="n"/>
      <c r="I35" s="18" t="n"/>
      <c r="J35" s="18" t="n"/>
      <c r="K35" s="14" t="n"/>
      <c r="L35" s="19">
        <f>IF($B35="","",ROUND(SUMIF(订单明细!$C:$C,$B35,订单明细!$I:$I),2))</f>
        <v/>
      </c>
      <c r="M35" s="19">
        <f>IF($B35="","",ROUND(N($K35)+N($L35),2))</f>
        <v/>
      </c>
      <c r="N35" s="14" t="n"/>
      <c r="O35" s="19">
        <f>IF($B35="","",ROUND(N($N35)+SUMIFS(资金日记账!$J$4:$J$2503,资金日记账!$G$4:$G$2503,$B35,资金日记账!$F$4:$F$2503,"收款-项目")-SUMIFS(资金日记账!$K$4:$K$2503,资金日记账!$G$4:$G$2503,$B35,资金日记账!$F$4:$F$2503,"收款-项目"),2))</f>
        <v/>
      </c>
      <c r="P35" s="19">
        <f>IF($B35="","",ROUND($M35-$O35,2))</f>
        <v/>
      </c>
      <c r="Q35" s="17">
        <f>IF($B35="","",IF(AND($J35&lt;&gt;"",ROUND($P35,2)&lt;=0),"已完工·已结清",IF($J35&lt;&gt;"","已完工·还有尾款",IF($I35&lt;&gt;"","已安装",IF($H35&lt;&gt;"","已制作",IF($G35&lt;&gt;"","设计完成","已下单"))))))</f>
        <v/>
      </c>
      <c r="R35" s="13" t="n"/>
      <c r="S35" s="17">
        <f>IF($B35="","",IF(COUNTIF($B$4:$B$403,$B35)&gt;1,"※项目名重复了",IF(AND($C35&lt;&gt;"",ISNA(MATCH($C35,客户表,0))),"※客户不在基础资料里",IF(AND($J35&lt;&gt;"",$F35&lt;&gt;"",$J35&lt;$F35),"※完工日期早于下单日期",""))))</f>
        <v/>
      </c>
    </row>
    <row r="36">
      <c r="A36" s="17">
        <f>IF($B36="","","P"&amp;TEXT(ROW()-3,"000"))</f>
        <v/>
      </c>
      <c r="B36" s="13" t="inlineStr">
        <is>
          <t>最爱潘多拉ktv</t>
        </is>
      </c>
      <c r="C36" s="13" t="inlineStr">
        <is>
          <t>最爱潘多拉ktv</t>
        </is>
      </c>
      <c r="D36" s="13" t="inlineStr">
        <is>
          <t>门头招牌</t>
        </is>
      </c>
      <c r="E36" s="13" t="n"/>
      <c r="F36" s="18" t="n">
        <v>46098</v>
      </c>
      <c r="G36" s="18" t="n"/>
      <c r="H36" s="18" t="n"/>
      <c r="I36" s="18" t="n"/>
      <c r="J36" s="18" t="n"/>
      <c r="K36" s="14" t="n"/>
      <c r="L36" s="19">
        <f>IF($B36="","",ROUND(SUMIF(订单明细!$C:$C,$B36,订单明细!$I:$I),2))</f>
        <v/>
      </c>
      <c r="M36" s="19">
        <f>IF($B36="","",ROUND(N($K36)+N($L36),2))</f>
        <v/>
      </c>
      <c r="N36" s="14" t="n"/>
      <c r="O36" s="19">
        <f>IF($B36="","",ROUND(N($N36)+SUMIFS(资金日记账!$J$4:$J$2503,资金日记账!$G$4:$G$2503,$B36,资金日记账!$F$4:$F$2503,"收款-项目")-SUMIFS(资金日记账!$K$4:$K$2503,资金日记账!$G$4:$G$2503,$B36,资金日记账!$F$4:$F$2503,"收款-项目"),2))</f>
        <v/>
      </c>
      <c r="P36" s="19">
        <f>IF($B36="","",ROUND($M36-$O36,2))</f>
        <v/>
      </c>
      <c r="Q36" s="17">
        <f>IF($B36="","",IF(AND($J36&lt;&gt;"",ROUND($P36,2)&lt;=0),"已完工·已结清",IF($J36&lt;&gt;"","已完工·还有尾款",IF($I36&lt;&gt;"","已安装",IF($H36&lt;&gt;"","已制作",IF($G36&lt;&gt;"","设计完成","已下单"))))))</f>
        <v/>
      </c>
      <c r="R36" s="13" t="n"/>
      <c r="S36" s="17">
        <f>IF($B36="","",IF(COUNTIF($B$4:$B$403,$B36)&gt;1,"※项目名重复了",IF(AND($C36&lt;&gt;"",ISNA(MATCH($C36,客户表,0))),"※客户不在基础资料里",IF(AND($J36&lt;&gt;"",$F36&lt;&gt;"",$J36&lt;$F36),"※完工日期早于下单日期",""))))</f>
        <v/>
      </c>
    </row>
    <row r="37">
      <c r="A37" s="17">
        <f>IF($B37="","","P"&amp;TEXT(ROW()-3,"000"))</f>
        <v/>
      </c>
      <c r="B37" s="13" t="inlineStr">
        <is>
          <t>小谷姐姐</t>
        </is>
      </c>
      <c r="C37" s="13" t="inlineStr">
        <is>
          <t>小谷姐姐</t>
        </is>
      </c>
      <c r="D37" s="13" t="inlineStr">
        <is>
          <t>门头招牌</t>
        </is>
      </c>
      <c r="E37" s="13" t="n"/>
      <c r="F37" s="18" t="n">
        <v>46097</v>
      </c>
      <c r="G37" s="18" t="n"/>
      <c r="H37" s="18" t="n"/>
      <c r="I37" s="18" t="n"/>
      <c r="J37" s="18" t="n"/>
      <c r="K37" s="14" t="n"/>
      <c r="L37" s="19">
        <f>IF($B37="","",ROUND(SUMIF(订单明细!$C:$C,$B37,订单明细!$I:$I),2))</f>
        <v/>
      </c>
      <c r="M37" s="19">
        <f>IF($B37="","",ROUND(N($K37)+N($L37),2))</f>
        <v/>
      </c>
      <c r="N37" s="14" t="n"/>
      <c r="O37" s="19">
        <f>IF($B37="","",ROUND(N($N37)+SUMIFS(资金日记账!$J$4:$J$2503,资金日记账!$G$4:$G$2503,$B37,资金日记账!$F$4:$F$2503,"收款-项目")-SUMIFS(资金日记账!$K$4:$K$2503,资金日记账!$G$4:$G$2503,$B37,资金日记账!$F$4:$F$2503,"收款-项目"),2))</f>
        <v/>
      </c>
      <c r="P37" s="19">
        <f>IF($B37="","",ROUND($M37-$O37,2))</f>
        <v/>
      </c>
      <c r="Q37" s="17">
        <f>IF($B37="","",IF(AND($J37&lt;&gt;"",ROUND($P37,2)&lt;=0),"已完工·已结清",IF($J37&lt;&gt;"","已完工·还有尾款",IF($I37&lt;&gt;"","已安装",IF($H37&lt;&gt;"","已制作",IF($G37&lt;&gt;"","设计完成","已下单"))))))</f>
        <v/>
      </c>
      <c r="R37" s="13" t="n"/>
      <c r="S37" s="17">
        <f>IF($B37="","",IF(COUNTIF($B$4:$B$403,$B37)&gt;1,"※项目名重复了",IF(AND($C37&lt;&gt;"",ISNA(MATCH($C37,客户表,0))),"※客户不在基础资料里",IF(AND($J37&lt;&gt;"",$F37&lt;&gt;"",$J37&lt;$F37),"※完工日期早于下单日期",""))))</f>
        <v/>
      </c>
    </row>
    <row r="38">
      <c r="A38" s="17">
        <f>IF($B38="","","P"&amp;TEXT(ROW()-3,"000"))</f>
        <v/>
      </c>
      <c r="B38" s="13" t="inlineStr">
        <is>
          <t>每甜</t>
        </is>
      </c>
      <c r="C38" s="13" t="inlineStr">
        <is>
          <t>每甜</t>
        </is>
      </c>
      <c r="D38" s="13" t="inlineStr">
        <is>
          <t>门头招牌</t>
        </is>
      </c>
      <c r="E38" s="13" t="n"/>
      <c r="F38" s="18" t="n">
        <v>46099</v>
      </c>
      <c r="G38" s="18" t="n"/>
      <c r="H38" s="18" t="n"/>
      <c r="I38" s="18" t="n"/>
      <c r="J38" s="18" t="n"/>
      <c r="K38" s="14" t="n"/>
      <c r="L38" s="19">
        <f>IF($B38="","",ROUND(SUMIF(订单明细!$C:$C,$B38,订单明细!$I:$I),2))</f>
        <v/>
      </c>
      <c r="M38" s="19">
        <f>IF($B38="","",ROUND(N($K38)+N($L38),2))</f>
        <v/>
      </c>
      <c r="N38" s="14" t="n"/>
      <c r="O38" s="19">
        <f>IF($B38="","",ROUND(N($N38)+SUMIFS(资金日记账!$J$4:$J$2503,资金日记账!$G$4:$G$2503,$B38,资金日记账!$F$4:$F$2503,"收款-项目")-SUMIFS(资金日记账!$K$4:$K$2503,资金日记账!$G$4:$G$2503,$B38,资金日记账!$F$4:$F$2503,"收款-项目"),2))</f>
        <v/>
      </c>
      <c r="P38" s="19">
        <f>IF($B38="","",ROUND($M38-$O38,2))</f>
        <v/>
      </c>
      <c r="Q38" s="17">
        <f>IF($B38="","",IF(AND($J38&lt;&gt;"",ROUND($P38,2)&lt;=0),"已完工·已结清",IF($J38&lt;&gt;"","已完工·还有尾款",IF($I38&lt;&gt;"","已安装",IF($H38&lt;&gt;"","已制作",IF($G38&lt;&gt;"","设计完成","已下单"))))))</f>
        <v/>
      </c>
      <c r="R38" s="13" t="n"/>
      <c r="S38" s="17">
        <f>IF($B38="","",IF(COUNTIF($B$4:$B$403,$B38)&gt;1,"※项目名重复了",IF(AND($C38&lt;&gt;"",ISNA(MATCH($C38,客户表,0))),"※客户不在基础资料里",IF(AND($J38&lt;&gt;"",$F38&lt;&gt;"",$J38&lt;$F38),"※完工日期早于下单日期",""))))</f>
        <v/>
      </c>
    </row>
    <row r="39">
      <c r="A39" s="17">
        <f>IF($B39="","","P"&amp;TEXT(ROW()-3,"000"))</f>
        <v/>
      </c>
      <c r="B39" s="13" t="inlineStr">
        <is>
          <t>芒屿</t>
        </is>
      </c>
      <c r="C39" s="13" t="inlineStr">
        <is>
          <t>芒屿</t>
        </is>
      </c>
      <c r="D39" s="13" t="inlineStr">
        <is>
          <t>门头招牌</t>
        </is>
      </c>
      <c r="E39" s="13" t="n"/>
      <c r="F39" s="18" t="n">
        <v>46100</v>
      </c>
      <c r="G39" s="18" t="n"/>
      <c r="H39" s="18" t="n"/>
      <c r="I39" s="18" t="n"/>
      <c r="J39" s="18" t="n"/>
      <c r="K39" s="14" t="n"/>
      <c r="L39" s="19">
        <f>IF($B39="","",ROUND(SUMIF(订单明细!$C:$C,$B39,订单明细!$I:$I),2))</f>
        <v/>
      </c>
      <c r="M39" s="19">
        <f>IF($B39="","",ROUND(N($K39)+N($L39),2))</f>
        <v/>
      </c>
      <c r="N39" s="14" t="n"/>
      <c r="O39" s="19">
        <f>IF($B39="","",ROUND(N($N39)+SUMIFS(资金日记账!$J$4:$J$2503,资金日记账!$G$4:$G$2503,$B39,资金日记账!$F$4:$F$2503,"收款-项目")-SUMIFS(资金日记账!$K$4:$K$2503,资金日记账!$G$4:$G$2503,$B39,资金日记账!$F$4:$F$2503,"收款-项目"),2))</f>
        <v/>
      </c>
      <c r="P39" s="19">
        <f>IF($B39="","",ROUND($M39-$O39,2))</f>
        <v/>
      </c>
      <c r="Q39" s="17">
        <f>IF($B39="","",IF(AND($J39&lt;&gt;"",ROUND($P39,2)&lt;=0),"已完工·已结清",IF($J39&lt;&gt;"","已完工·还有尾款",IF($I39&lt;&gt;"","已安装",IF($H39&lt;&gt;"","已制作",IF($G39&lt;&gt;"","设计完成","已下单"))))))</f>
        <v/>
      </c>
      <c r="R39" s="13" t="n"/>
      <c r="S39" s="17">
        <f>IF($B39="","",IF(COUNTIF($B$4:$B$403,$B39)&gt;1,"※项目名重复了",IF(AND($C39&lt;&gt;"",ISNA(MATCH($C39,客户表,0))),"※客户不在基础资料里",IF(AND($J39&lt;&gt;"",$F39&lt;&gt;"",$J39&lt;$F39),"※完工日期早于下单日期",""))))</f>
        <v/>
      </c>
    </row>
    <row r="40">
      <c r="A40" s="17">
        <f>IF($B40="","","P"&amp;TEXT(ROW()-3,"000"))</f>
        <v/>
      </c>
      <c r="B40" s="13" t="inlineStr">
        <is>
          <t>小西街</t>
        </is>
      </c>
      <c r="C40" s="13" t="inlineStr">
        <is>
          <t>小西街</t>
        </is>
      </c>
      <c r="D40" s="13" t="inlineStr">
        <is>
          <t>门头招牌</t>
        </is>
      </c>
      <c r="E40" s="13" t="n"/>
      <c r="F40" s="18" t="n">
        <v>46100</v>
      </c>
      <c r="G40" s="18" t="n"/>
      <c r="H40" s="18" t="n"/>
      <c r="I40" s="18" t="n"/>
      <c r="J40" s="18" t="n"/>
      <c r="K40" s="14" t="n"/>
      <c r="L40" s="19">
        <f>IF($B40="","",ROUND(SUMIF(订单明细!$C:$C,$B40,订单明细!$I:$I),2))</f>
        <v/>
      </c>
      <c r="M40" s="19">
        <f>IF($B40="","",ROUND(N($K40)+N($L40),2))</f>
        <v/>
      </c>
      <c r="N40" s="14" t="n"/>
      <c r="O40" s="19">
        <f>IF($B40="","",ROUND(N($N40)+SUMIFS(资金日记账!$J$4:$J$2503,资金日记账!$G$4:$G$2503,$B40,资金日记账!$F$4:$F$2503,"收款-项目")-SUMIFS(资金日记账!$K$4:$K$2503,资金日记账!$G$4:$G$2503,$B40,资金日记账!$F$4:$F$2503,"收款-项目"),2))</f>
        <v/>
      </c>
      <c r="P40" s="19">
        <f>IF($B40="","",ROUND($M40-$O40,2))</f>
        <v/>
      </c>
      <c r="Q40" s="17">
        <f>IF($B40="","",IF(AND($J40&lt;&gt;"",ROUND($P40,2)&lt;=0),"已完工·已结清",IF($J40&lt;&gt;"","已完工·还有尾款",IF($I40&lt;&gt;"","已安装",IF($H40&lt;&gt;"","已制作",IF($G40&lt;&gt;"","设计完成","已下单"))))))</f>
        <v/>
      </c>
      <c r="R40" s="13" t="n"/>
      <c r="S40" s="17">
        <f>IF($B40="","",IF(COUNTIF($B$4:$B$403,$B40)&gt;1,"※项目名重复了",IF(AND($C40&lt;&gt;"",ISNA(MATCH($C40,客户表,0))),"※客户不在基础资料里",IF(AND($J40&lt;&gt;"",$F40&lt;&gt;"",$J40&lt;$F40),"※完工日期早于下单日期",""))))</f>
        <v/>
      </c>
    </row>
    <row r="41">
      <c r="A41" s="17">
        <f>IF($B41="","","P"&amp;TEXT(ROW()-3,"000"))</f>
        <v/>
      </c>
      <c r="B41" s="13" t="inlineStr">
        <is>
          <t>梦回唐朝</t>
        </is>
      </c>
      <c r="C41" s="13" t="inlineStr">
        <is>
          <t>梦回唐朝</t>
        </is>
      </c>
      <c r="D41" s="13" t="inlineStr">
        <is>
          <t>门头招牌</t>
        </is>
      </c>
      <c r="E41" s="13" t="n"/>
      <c r="F41" s="18" t="n">
        <v>46102</v>
      </c>
      <c r="G41" s="18" t="n"/>
      <c r="H41" s="18" t="n"/>
      <c r="I41" s="18" t="n"/>
      <c r="J41" s="18" t="n"/>
      <c r="K41" s="14" t="n"/>
      <c r="L41" s="19">
        <f>IF($B41="","",ROUND(SUMIF(订单明细!$C:$C,$B41,订单明细!$I:$I),2))</f>
        <v/>
      </c>
      <c r="M41" s="19">
        <f>IF($B41="","",ROUND(N($K41)+N($L41),2))</f>
        <v/>
      </c>
      <c r="N41" s="14" t="n"/>
      <c r="O41" s="19">
        <f>IF($B41="","",ROUND(N($N41)+SUMIFS(资金日记账!$J$4:$J$2503,资金日记账!$G$4:$G$2503,$B41,资金日记账!$F$4:$F$2503,"收款-项目")-SUMIFS(资金日记账!$K$4:$K$2503,资金日记账!$G$4:$G$2503,$B41,资金日记账!$F$4:$F$2503,"收款-项目"),2))</f>
        <v/>
      </c>
      <c r="P41" s="19">
        <f>IF($B41="","",ROUND($M41-$O41,2))</f>
        <v/>
      </c>
      <c r="Q41" s="17">
        <f>IF($B41="","",IF(AND($J41&lt;&gt;"",ROUND($P41,2)&lt;=0),"已完工·已结清",IF($J41&lt;&gt;"","已完工·还有尾款",IF($I41&lt;&gt;"","已安装",IF($H41&lt;&gt;"","已制作",IF($G41&lt;&gt;"","设计完成","已下单"))))))</f>
        <v/>
      </c>
      <c r="R41" s="13" t="n"/>
      <c r="S41" s="17">
        <f>IF($B41="","",IF(COUNTIF($B$4:$B$403,$B41)&gt;1,"※项目名重复了",IF(AND($C41&lt;&gt;"",ISNA(MATCH($C41,客户表,0))),"※客户不在基础资料里",IF(AND($J41&lt;&gt;"",$F41&lt;&gt;"",$J41&lt;$F41),"※完工日期早于下单日期",""))))</f>
        <v/>
      </c>
    </row>
    <row r="42">
      <c r="A42" s="17">
        <f>IF($B42="","","P"&amp;TEXT(ROW()-3,"000"))</f>
        <v/>
      </c>
      <c r="B42" s="13" t="inlineStr">
        <is>
          <t>kkv 犇腾牛排 朴太院</t>
        </is>
      </c>
      <c r="C42" s="13" t="inlineStr">
        <is>
          <t>kkv 犇腾牛排 朴太院</t>
        </is>
      </c>
      <c r="D42" s="13" t="inlineStr">
        <is>
          <t>门头招牌</t>
        </is>
      </c>
      <c r="E42" s="13" t="n"/>
      <c r="F42" s="18" t="n">
        <v>46102</v>
      </c>
      <c r="G42" s="18" t="n"/>
      <c r="H42" s="18" t="n"/>
      <c r="I42" s="18" t="n"/>
      <c r="J42" s="18" t="n"/>
      <c r="K42" s="14" t="n"/>
      <c r="L42" s="19">
        <f>IF($B42="","",ROUND(SUMIF(订单明细!$C:$C,$B42,订单明细!$I:$I),2))</f>
        <v/>
      </c>
      <c r="M42" s="19">
        <f>IF($B42="","",ROUND(N($K42)+N($L42),2))</f>
        <v/>
      </c>
      <c r="N42" s="14" t="n"/>
      <c r="O42" s="19">
        <f>IF($B42="","",ROUND(N($N42)+SUMIFS(资金日记账!$J$4:$J$2503,资金日记账!$G$4:$G$2503,$B42,资金日记账!$F$4:$F$2503,"收款-项目")-SUMIFS(资金日记账!$K$4:$K$2503,资金日记账!$G$4:$G$2503,$B42,资金日记账!$F$4:$F$2503,"收款-项目"),2))</f>
        <v/>
      </c>
      <c r="P42" s="19">
        <f>IF($B42="","",ROUND($M42-$O42,2))</f>
        <v/>
      </c>
      <c r="Q42" s="17">
        <f>IF($B42="","",IF(AND($J42&lt;&gt;"",ROUND($P42,2)&lt;=0),"已完工·已结清",IF($J42&lt;&gt;"","已完工·还有尾款",IF($I42&lt;&gt;"","已安装",IF($H42&lt;&gt;"","已制作",IF($G42&lt;&gt;"","设计完成","已下单"))))))</f>
        <v/>
      </c>
      <c r="R42" s="13" t="n"/>
      <c r="S42" s="17">
        <f>IF($B42="","",IF(COUNTIF($B$4:$B$403,$B42)&gt;1,"※项目名重复了",IF(AND($C42&lt;&gt;"",ISNA(MATCH($C42,客户表,0))),"※客户不在基础资料里",IF(AND($J42&lt;&gt;"",$F42&lt;&gt;"",$J42&lt;$F42),"※完工日期早于下单日期",""))))</f>
        <v/>
      </c>
    </row>
    <row r="43">
      <c r="A43" s="17">
        <f>IF($B43="","","P"&amp;TEXT(ROW()-3,"000"))</f>
        <v/>
      </c>
      <c r="B43" s="13" t="inlineStr">
        <is>
          <t>定金-叶勇宾</t>
        </is>
      </c>
      <c r="C43" s="13" t="inlineStr">
        <is>
          <t>定金-叶勇宾</t>
        </is>
      </c>
      <c r="D43" s="13" t="inlineStr">
        <is>
          <t>门头招牌</t>
        </is>
      </c>
      <c r="E43" s="13" t="n"/>
      <c r="F43" s="18" t="n">
        <v>46102</v>
      </c>
      <c r="G43" s="18" t="n"/>
      <c r="H43" s="18" t="n"/>
      <c r="I43" s="18" t="n"/>
      <c r="J43" s="18" t="n"/>
      <c r="K43" s="14" t="n"/>
      <c r="L43" s="19">
        <f>IF($B43="","",ROUND(SUMIF(订单明细!$C:$C,$B43,订单明细!$I:$I),2))</f>
        <v/>
      </c>
      <c r="M43" s="19">
        <f>IF($B43="","",ROUND(N($K43)+N($L43),2))</f>
        <v/>
      </c>
      <c r="N43" s="14" t="n"/>
      <c r="O43" s="19">
        <f>IF($B43="","",ROUND(N($N43)+SUMIFS(资金日记账!$J$4:$J$2503,资金日记账!$G$4:$G$2503,$B43,资金日记账!$F$4:$F$2503,"收款-项目")-SUMIFS(资金日记账!$K$4:$K$2503,资金日记账!$G$4:$G$2503,$B43,资金日记账!$F$4:$F$2503,"收款-项目"),2))</f>
        <v/>
      </c>
      <c r="P43" s="19">
        <f>IF($B43="","",ROUND($M43-$O43,2))</f>
        <v/>
      </c>
      <c r="Q43" s="17">
        <f>IF($B43="","",IF(AND($J43&lt;&gt;"",ROUND($P43,2)&lt;=0),"已完工·已结清",IF($J43&lt;&gt;"","已完工·还有尾款",IF($I43&lt;&gt;"","已安装",IF($H43&lt;&gt;"","已制作",IF($G43&lt;&gt;"","设计完成","已下单"))))))</f>
        <v/>
      </c>
      <c r="R43" s="13" t="n"/>
      <c r="S43" s="17">
        <f>IF($B43="","",IF(COUNTIF($B$4:$B$403,$B43)&gt;1,"※项目名重复了",IF(AND($C43&lt;&gt;"",ISNA(MATCH($C43,客户表,0))),"※客户不在基础资料里",IF(AND($J43&lt;&gt;"",$F43&lt;&gt;"",$J43&lt;$F43),"※完工日期早于下单日期",""))))</f>
        <v/>
      </c>
    </row>
    <row r="44">
      <c r="A44" s="17">
        <f>IF($B44="","","P"&amp;TEXT(ROW()-3,"000"))</f>
        <v/>
      </c>
      <c r="B44" s="13" t="inlineStr">
        <is>
          <t>盐池滩羊</t>
        </is>
      </c>
      <c r="C44" s="13" t="inlineStr">
        <is>
          <t>盐池滩羊</t>
        </is>
      </c>
      <c r="D44" s="13" t="inlineStr">
        <is>
          <t>门头招牌</t>
        </is>
      </c>
      <c r="E44" s="13" t="n"/>
      <c r="F44" s="18" t="n">
        <v>46105</v>
      </c>
      <c r="G44" s="18" t="n"/>
      <c r="H44" s="18" t="n"/>
      <c r="I44" s="18" t="n"/>
      <c r="J44" s="18" t="n"/>
      <c r="K44" s="14" t="n"/>
      <c r="L44" s="19">
        <f>IF($B44="","",ROUND(SUMIF(订单明细!$C:$C,$B44,订单明细!$I:$I),2))</f>
        <v/>
      </c>
      <c r="M44" s="19">
        <f>IF($B44="","",ROUND(N($K44)+N($L44),2))</f>
        <v/>
      </c>
      <c r="N44" s="14" t="n"/>
      <c r="O44" s="19">
        <f>IF($B44="","",ROUND(N($N44)+SUMIFS(资金日记账!$J$4:$J$2503,资金日记账!$G$4:$G$2503,$B44,资金日记账!$F$4:$F$2503,"收款-项目")-SUMIFS(资金日记账!$K$4:$K$2503,资金日记账!$G$4:$G$2503,$B44,资金日记账!$F$4:$F$2503,"收款-项目"),2))</f>
        <v/>
      </c>
      <c r="P44" s="19">
        <f>IF($B44="","",ROUND($M44-$O44,2))</f>
        <v/>
      </c>
      <c r="Q44" s="17">
        <f>IF($B44="","",IF(AND($J44&lt;&gt;"",ROUND($P44,2)&lt;=0),"已完工·已结清",IF($J44&lt;&gt;"","已完工·还有尾款",IF($I44&lt;&gt;"","已安装",IF($H44&lt;&gt;"","已制作",IF($G44&lt;&gt;"","设计完成","已下单"))))))</f>
        <v/>
      </c>
      <c r="R44" s="13" t="n"/>
      <c r="S44" s="17">
        <f>IF($B44="","",IF(COUNTIF($B$4:$B$403,$B44)&gt;1,"※项目名重复了",IF(AND($C44&lt;&gt;"",ISNA(MATCH($C44,客户表,0))),"※客户不在基础资料里",IF(AND($J44&lt;&gt;"",$F44&lt;&gt;"",$J44&lt;$F44),"※完工日期早于下单日期",""))))</f>
        <v/>
      </c>
    </row>
    <row r="45">
      <c r="A45" s="17">
        <f>IF($B45="","","P"&amp;TEXT(ROW()-3,"000"))</f>
        <v/>
      </c>
      <c r="B45" s="13" t="inlineStr">
        <is>
          <t>织里水果店</t>
        </is>
      </c>
      <c r="C45" s="13" t="inlineStr">
        <is>
          <t>织里水果店</t>
        </is>
      </c>
      <c r="D45" s="13" t="inlineStr">
        <is>
          <t>门头招牌</t>
        </is>
      </c>
      <c r="E45" s="13" t="n"/>
      <c r="F45" s="18" t="n">
        <v>46084</v>
      </c>
      <c r="G45" s="18" t="n"/>
      <c r="H45" s="18" t="n"/>
      <c r="I45" s="18" t="n"/>
      <c r="J45" s="18" t="n"/>
      <c r="K45" s="14" t="n"/>
      <c r="L45" s="19">
        <f>IF($B45="","",ROUND(SUMIF(订单明细!$C:$C,$B45,订单明细!$I:$I),2))</f>
        <v/>
      </c>
      <c r="M45" s="19">
        <f>IF($B45="","",ROUND(N($K45)+N($L45),2))</f>
        <v/>
      </c>
      <c r="N45" s="14" t="n"/>
      <c r="O45" s="19">
        <f>IF($B45="","",ROUND(N($N45)+SUMIFS(资金日记账!$J$4:$J$2503,资金日记账!$G$4:$G$2503,$B45,资金日记账!$F$4:$F$2503,"收款-项目")-SUMIFS(资金日记账!$K$4:$K$2503,资金日记账!$G$4:$G$2503,$B45,资金日记账!$F$4:$F$2503,"收款-项目"),2))</f>
        <v/>
      </c>
      <c r="P45" s="19">
        <f>IF($B45="","",ROUND($M45-$O45,2))</f>
        <v/>
      </c>
      <c r="Q45" s="17">
        <f>IF($B45="","",IF(AND($J45&lt;&gt;"",ROUND($P45,2)&lt;=0),"已完工·已结清",IF($J45&lt;&gt;"","已完工·还有尾款",IF($I45&lt;&gt;"","已安装",IF($H45&lt;&gt;"","已制作",IF($G45&lt;&gt;"","设计完成","已下单"))))))</f>
        <v/>
      </c>
      <c r="R45" s="13" t="n"/>
      <c r="S45" s="17">
        <f>IF($B45="","",IF(COUNTIF($B$4:$B$403,$B45)&gt;1,"※项目名重复了",IF(AND($C45&lt;&gt;"",ISNA(MATCH($C45,客户表,0))),"※客户不在基础资料里",IF(AND($J45&lt;&gt;"",$F45&lt;&gt;"",$J45&lt;$F45),"※完工日期早于下单日期",""))))</f>
        <v/>
      </c>
    </row>
    <row r="46">
      <c r="A46" s="17">
        <f>IF($B46="","","P"&amp;TEXT(ROW()-3,"000"))</f>
        <v/>
      </c>
      <c r="B46" s="13" t="inlineStr">
        <is>
          <t>牛羊肉门头维修</t>
        </is>
      </c>
      <c r="C46" s="13" t="inlineStr">
        <is>
          <t>牛羊肉门头维修</t>
        </is>
      </c>
      <c r="D46" s="13" t="inlineStr">
        <is>
          <t>门头招牌</t>
        </is>
      </c>
      <c r="E46" s="13" t="n"/>
      <c r="F46" s="18" t="n">
        <v>46084</v>
      </c>
      <c r="G46" s="18" t="n"/>
      <c r="H46" s="18" t="n"/>
      <c r="I46" s="18" t="n"/>
      <c r="J46" s="18" t="n"/>
      <c r="K46" s="14" t="n"/>
      <c r="L46" s="19">
        <f>IF($B46="","",ROUND(SUMIF(订单明细!$C:$C,$B46,订单明细!$I:$I),2))</f>
        <v/>
      </c>
      <c r="M46" s="19">
        <f>IF($B46="","",ROUND(N($K46)+N($L46),2))</f>
        <v/>
      </c>
      <c r="N46" s="14" t="n"/>
      <c r="O46" s="19">
        <f>IF($B46="","",ROUND(N($N46)+SUMIFS(资金日记账!$J$4:$J$2503,资金日记账!$G$4:$G$2503,$B46,资金日记账!$F$4:$F$2503,"收款-项目")-SUMIFS(资金日记账!$K$4:$K$2503,资金日记账!$G$4:$G$2503,$B46,资金日记账!$F$4:$F$2503,"收款-项目"),2))</f>
        <v/>
      </c>
      <c r="P46" s="19">
        <f>IF($B46="","",ROUND($M46-$O46,2))</f>
        <v/>
      </c>
      <c r="Q46" s="17">
        <f>IF($B46="","",IF(AND($J46&lt;&gt;"",ROUND($P46,2)&lt;=0),"已完工·已结清",IF($J46&lt;&gt;"","已完工·还有尾款",IF($I46&lt;&gt;"","已安装",IF($H46&lt;&gt;"","已制作",IF($G46&lt;&gt;"","设计完成","已下单"))))))</f>
        <v/>
      </c>
      <c r="R46" s="13" t="n"/>
      <c r="S46" s="17">
        <f>IF($B46="","",IF(COUNTIF($B$4:$B$403,$B46)&gt;1,"※项目名重复了",IF(AND($C46&lt;&gt;"",ISNA(MATCH($C46,客户表,0))),"※客户不在基础资料里",IF(AND($J46&lt;&gt;"",$F46&lt;&gt;"",$J46&lt;$F46),"※完工日期早于下单日期",""))))</f>
        <v/>
      </c>
    </row>
    <row r="47">
      <c r="A47" s="17">
        <f>IF($B47="","","P"&amp;TEXT(ROW()-3,"000"))</f>
        <v/>
      </c>
      <c r="B47" s="13" t="inlineStr">
        <is>
          <t>朴太院</t>
        </is>
      </c>
      <c r="C47" s="13" t="inlineStr">
        <is>
          <t>朴太院</t>
        </is>
      </c>
      <c r="D47" s="13" t="inlineStr">
        <is>
          <t>门头招牌</t>
        </is>
      </c>
      <c r="E47" s="13" t="n"/>
      <c r="F47" s="18" t="n">
        <v>46113</v>
      </c>
      <c r="G47" s="18" t="n"/>
      <c r="H47" s="18" t="n"/>
      <c r="I47" s="18" t="n"/>
      <c r="J47" s="18" t="n"/>
      <c r="K47" s="14" t="n"/>
      <c r="L47" s="19">
        <f>IF($B47="","",ROUND(SUMIF(订单明细!$C:$C,$B47,订单明细!$I:$I),2))</f>
        <v/>
      </c>
      <c r="M47" s="19">
        <f>IF($B47="","",ROUND(N($K47)+N($L47),2))</f>
        <v/>
      </c>
      <c r="N47" s="14" t="n"/>
      <c r="O47" s="19">
        <f>IF($B47="","",ROUND(N($N47)+SUMIFS(资金日记账!$J$4:$J$2503,资金日记账!$G$4:$G$2503,$B47,资金日记账!$F$4:$F$2503,"收款-项目")-SUMIFS(资金日记账!$K$4:$K$2503,资金日记账!$G$4:$G$2503,$B47,资金日记账!$F$4:$F$2503,"收款-项目"),2))</f>
        <v/>
      </c>
      <c r="P47" s="19">
        <f>IF($B47="","",ROUND($M47-$O47,2))</f>
        <v/>
      </c>
      <c r="Q47" s="17">
        <f>IF($B47="","",IF(AND($J47&lt;&gt;"",ROUND($P47,2)&lt;=0),"已完工·已结清",IF($J47&lt;&gt;"","已完工·还有尾款",IF($I47&lt;&gt;"","已安装",IF($H47&lt;&gt;"","已制作",IF($G47&lt;&gt;"","设计完成","已下单"))))))</f>
        <v/>
      </c>
      <c r="R47" s="13" t="n"/>
      <c r="S47" s="17">
        <f>IF($B47="","",IF(COUNTIF($B$4:$B$403,$B47)&gt;1,"※项目名重复了",IF(AND($C47&lt;&gt;"",ISNA(MATCH($C47,客户表,0))),"※客户不在基础资料里",IF(AND($J47&lt;&gt;"",$F47&lt;&gt;"",$J47&lt;$F47),"※完工日期早于下单日期",""))))</f>
        <v/>
      </c>
    </row>
    <row r="48">
      <c r="A48" s="17">
        <f>IF($B48="","","P"&amp;TEXT(ROW()-3,"000"))</f>
        <v/>
      </c>
      <c r="B48" s="13" t="inlineStr">
        <is>
          <t>中医院</t>
        </is>
      </c>
      <c r="C48" s="13" t="inlineStr">
        <is>
          <t>中医院</t>
        </is>
      </c>
      <c r="D48" s="13" t="inlineStr">
        <is>
          <t>门头招牌</t>
        </is>
      </c>
      <c r="E48" s="13" t="n"/>
      <c r="F48" s="18" t="n">
        <v>46116</v>
      </c>
      <c r="G48" s="18" t="n"/>
      <c r="H48" s="18" t="n"/>
      <c r="I48" s="18" t="n"/>
      <c r="J48" s="18" t="n"/>
      <c r="K48" s="14" t="n"/>
      <c r="L48" s="19">
        <f>IF($B48="","",ROUND(SUMIF(订单明细!$C:$C,$B48,订单明细!$I:$I),2))</f>
        <v/>
      </c>
      <c r="M48" s="19">
        <f>IF($B48="","",ROUND(N($K48)+N($L48),2))</f>
        <v/>
      </c>
      <c r="N48" s="14" t="n"/>
      <c r="O48" s="19">
        <f>IF($B48="","",ROUND(N($N48)+SUMIFS(资金日记账!$J$4:$J$2503,资金日记账!$G$4:$G$2503,$B48,资金日记账!$F$4:$F$2503,"收款-项目")-SUMIFS(资金日记账!$K$4:$K$2503,资金日记账!$G$4:$G$2503,$B48,资金日记账!$F$4:$F$2503,"收款-项目"),2))</f>
        <v/>
      </c>
      <c r="P48" s="19">
        <f>IF($B48="","",ROUND($M48-$O48,2))</f>
        <v/>
      </c>
      <c r="Q48" s="17">
        <f>IF($B48="","",IF(AND($J48&lt;&gt;"",ROUND($P48,2)&lt;=0),"已完工·已结清",IF($J48&lt;&gt;"","已完工·还有尾款",IF($I48&lt;&gt;"","已安装",IF($H48&lt;&gt;"","已制作",IF($G48&lt;&gt;"","设计完成","已下单"))))))</f>
        <v/>
      </c>
      <c r="R48" s="13" t="n"/>
      <c r="S48" s="17">
        <f>IF($B48="","",IF(COUNTIF($B$4:$B$403,$B48)&gt;1,"※项目名重复了",IF(AND($C48&lt;&gt;"",ISNA(MATCH($C48,客户表,0))),"※客户不在基础资料里",IF(AND($J48&lt;&gt;"",$F48&lt;&gt;"",$J48&lt;$F48),"※完工日期早于下单日期",""))))</f>
        <v/>
      </c>
    </row>
    <row r="49">
      <c r="A49" s="17">
        <f>IF($B49="","","P"&amp;TEXT(ROW()-3,"000"))</f>
        <v/>
      </c>
      <c r="B49" s="13" t="inlineStr">
        <is>
          <t>小刀电动车</t>
        </is>
      </c>
      <c r="C49" s="13" t="inlineStr">
        <is>
          <t>小刀电动车</t>
        </is>
      </c>
      <c r="D49" s="13" t="inlineStr">
        <is>
          <t>门头招牌</t>
        </is>
      </c>
      <c r="E49" s="13" t="n"/>
      <c r="F49" s="18" t="n">
        <v>46121</v>
      </c>
      <c r="G49" s="18" t="n"/>
      <c r="H49" s="18" t="n"/>
      <c r="I49" s="18" t="n"/>
      <c r="J49" s="18" t="n"/>
      <c r="K49" s="14" t="n"/>
      <c r="L49" s="19">
        <f>IF($B49="","",ROUND(SUMIF(订单明细!$C:$C,$B49,订单明细!$I:$I),2))</f>
        <v/>
      </c>
      <c r="M49" s="19">
        <f>IF($B49="","",ROUND(N($K49)+N($L49),2))</f>
        <v/>
      </c>
      <c r="N49" s="14" t="n"/>
      <c r="O49" s="19">
        <f>IF($B49="","",ROUND(N($N49)+SUMIFS(资金日记账!$J$4:$J$2503,资金日记账!$G$4:$G$2503,$B49,资金日记账!$F$4:$F$2503,"收款-项目")-SUMIFS(资金日记账!$K$4:$K$2503,资金日记账!$G$4:$G$2503,$B49,资金日记账!$F$4:$F$2503,"收款-项目"),2))</f>
        <v/>
      </c>
      <c r="P49" s="19">
        <f>IF($B49="","",ROUND($M49-$O49,2))</f>
        <v/>
      </c>
      <c r="Q49" s="17">
        <f>IF($B49="","",IF(AND($J49&lt;&gt;"",ROUND($P49,2)&lt;=0),"已完工·已结清",IF($J49&lt;&gt;"","已完工·还有尾款",IF($I49&lt;&gt;"","已安装",IF($H49&lt;&gt;"","已制作",IF($G49&lt;&gt;"","设计完成","已下单"))))))</f>
        <v/>
      </c>
      <c r="R49" s="13" t="n"/>
      <c r="S49" s="17">
        <f>IF($B49="","",IF(COUNTIF($B$4:$B$403,$B49)&gt;1,"※项目名重复了",IF(AND($C49&lt;&gt;"",ISNA(MATCH($C49,客户表,0))),"※客户不在基础资料里",IF(AND($J49&lt;&gt;"",$F49&lt;&gt;"",$J49&lt;$F49),"※完工日期早于下单日期",""))))</f>
        <v/>
      </c>
    </row>
    <row r="50">
      <c r="A50" s="17">
        <f>IF($B50="","","P"&amp;TEXT(ROW()-3,"000"))</f>
        <v/>
      </c>
      <c r="B50" s="13" t="inlineStr">
        <is>
          <t>治盛科技</t>
        </is>
      </c>
      <c r="C50" s="13" t="inlineStr">
        <is>
          <t>治盛科技</t>
        </is>
      </c>
      <c r="D50" s="13" t="inlineStr">
        <is>
          <t>门头招牌</t>
        </is>
      </c>
      <c r="E50" s="13" t="n"/>
      <c r="F50" s="18" t="n">
        <v>46113</v>
      </c>
      <c r="G50" s="18" t="n"/>
      <c r="H50" s="18" t="n"/>
      <c r="I50" s="18" t="n"/>
      <c r="J50" s="18" t="n"/>
      <c r="K50" s="14" t="n"/>
      <c r="L50" s="19">
        <f>IF($B50="","",ROUND(SUMIF(订单明细!$C:$C,$B50,订单明细!$I:$I),2))</f>
        <v/>
      </c>
      <c r="M50" s="19">
        <f>IF($B50="","",ROUND(N($K50)+N($L50),2))</f>
        <v/>
      </c>
      <c r="N50" s="14" t="n"/>
      <c r="O50" s="19">
        <f>IF($B50="","",ROUND(N($N50)+SUMIFS(资金日记账!$J$4:$J$2503,资金日记账!$G$4:$G$2503,$B50,资金日记账!$F$4:$F$2503,"收款-项目")-SUMIFS(资金日记账!$K$4:$K$2503,资金日记账!$G$4:$G$2503,$B50,资金日记账!$F$4:$F$2503,"收款-项目"),2))</f>
        <v/>
      </c>
      <c r="P50" s="19">
        <f>IF($B50="","",ROUND($M50-$O50,2))</f>
        <v/>
      </c>
      <c r="Q50" s="17">
        <f>IF($B50="","",IF(AND($J50&lt;&gt;"",ROUND($P50,2)&lt;=0),"已完工·已结清",IF($J50&lt;&gt;"","已完工·还有尾款",IF($I50&lt;&gt;"","已安装",IF($H50&lt;&gt;"","已制作",IF($G50&lt;&gt;"","设计完成","已下单"))))))</f>
        <v/>
      </c>
      <c r="R50" s="13" t="n"/>
      <c r="S50" s="17">
        <f>IF($B50="","",IF(COUNTIF($B$4:$B$403,$B50)&gt;1,"※项目名重复了",IF(AND($C50&lt;&gt;"",ISNA(MATCH($C50,客户表,0))),"※客户不在基础资料里",IF(AND($J50&lt;&gt;"",$F50&lt;&gt;"",$J50&lt;$F50),"※完工日期早于下单日期",""))))</f>
        <v/>
      </c>
    </row>
    <row r="51">
      <c r="A51" s="17">
        <f>IF($B51="","","P"&amp;TEXT(ROW()-3,"000"))</f>
        <v/>
      </c>
      <c r="B51" s="13" t="inlineStr">
        <is>
          <t>tk桌球</t>
        </is>
      </c>
      <c r="C51" s="13" t="inlineStr">
        <is>
          <t>tk桌球</t>
        </is>
      </c>
      <c r="D51" s="13" t="inlineStr">
        <is>
          <t>门头招牌</t>
        </is>
      </c>
      <c r="E51" s="13" t="n"/>
      <c r="F51" s="18" t="n">
        <v>46124</v>
      </c>
      <c r="G51" s="18" t="n"/>
      <c r="H51" s="18" t="n"/>
      <c r="I51" s="18" t="n"/>
      <c r="J51" s="18" t="n"/>
      <c r="K51" s="14" t="n"/>
      <c r="L51" s="19">
        <f>IF($B51="","",ROUND(SUMIF(订单明细!$C:$C,$B51,订单明细!$I:$I),2))</f>
        <v/>
      </c>
      <c r="M51" s="19">
        <f>IF($B51="","",ROUND(N($K51)+N($L51),2))</f>
        <v/>
      </c>
      <c r="N51" s="14" t="n"/>
      <c r="O51" s="19">
        <f>IF($B51="","",ROUND(N($N51)+SUMIFS(资金日记账!$J$4:$J$2503,资金日记账!$G$4:$G$2503,$B51,资金日记账!$F$4:$F$2503,"收款-项目")-SUMIFS(资金日记账!$K$4:$K$2503,资金日记账!$G$4:$G$2503,$B51,资金日记账!$F$4:$F$2503,"收款-项目"),2))</f>
        <v/>
      </c>
      <c r="P51" s="19">
        <f>IF($B51="","",ROUND($M51-$O51,2))</f>
        <v/>
      </c>
      <c r="Q51" s="17">
        <f>IF($B51="","",IF(AND($J51&lt;&gt;"",ROUND($P51,2)&lt;=0),"已完工·已结清",IF($J51&lt;&gt;"","已完工·还有尾款",IF($I51&lt;&gt;"","已安装",IF($H51&lt;&gt;"","已制作",IF($G51&lt;&gt;"","设计完成","已下单"))))))</f>
        <v/>
      </c>
      <c r="R51" s="13" t="n"/>
      <c r="S51" s="17">
        <f>IF($B51="","",IF(COUNTIF($B$4:$B$403,$B51)&gt;1,"※项目名重复了",IF(AND($C51&lt;&gt;"",ISNA(MATCH($C51,客户表,0))),"※客户不在基础资料里",IF(AND($J51&lt;&gt;"",$F51&lt;&gt;"",$J51&lt;$F51),"※完工日期早于下单日期",""))))</f>
        <v/>
      </c>
    </row>
    <row r="52">
      <c r="A52" s="17">
        <f>IF($B52="","","P"&amp;TEXT(ROW()-3,"000"))</f>
        <v/>
      </c>
      <c r="B52" s="13" t="inlineStr">
        <is>
          <t>范博嘉超市</t>
        </is>
      </c>
      <c r="C52" s="13" t="inlineStr">
        <is>
          <t>范博嘉超市</t>
        </is>
      </c>
      <c r="D52" s="13" t="inlineStr">
        <is>
          <t>门头招牌</t>
        </is>
      </c>
      <c r="E52" s="13" t="n"/>
      <c r="F52" s="18" t="n">
        <v>46127</v>
      </c>
      <c r="G52" s="18" t="n"/>
      <c r="H52" s="18" t="n"/>
      <c r="I52" s="18" t="n"/>
      <c r="J52" s="18" t="n"/>
      <c r="K52" s="14" t="n"/>
      <c r="L52" s="19">
        <f>IF($B52="","",ROUND(SUMIF(订单明细!$C:$C,$B52,订单明细!$I:$I),2))</f>
        <v/>
      </c>
      <c r="M52" s="19">
        <f>IF($B52="","",ROUND(N($K52)+N($L52),2))</f>
        <v/>
      </c>
      <c r="N52" s="14" t="n"/>
      <c r="O52" s="19">
        <f>IF($B52="","",ROUND(N($N52)+SUMIFS(资金日记账!$J$4:$J$2503,资金日记账!$G$4:$G$2503,$B52,资金日记账!$F$4:$F$2503,"收款-项目")-SUMIFS(资金日记账!$K$4:$K$2503,资金日记账!$G$4:$G$2503,$B52,资金日记账!$F$4:$F$2503,"收款-项目"),2))</f>
        <v/>
      </c>
      <c r="P52" s="19">
        <f>IF($B52="","",ROUND($M52-$O52,2))</f>
        <v/>
      </c>
      <c r="Q52" s="17">
        <f>IF($B52="","",IF(AND($J52&lt;&gt;"",ROUND($P52,2)&lt;=0),"已完工·已结清",IF($J52&lt;&gt;"","已完工·还有尾款",IF($I52&lt;&gt;"","已安装",IF($H52&lt;&gt;"","已制作",IF($G52&lt;&gt;"","设计完成","已下单"))))))</f>
        <v/>
      </c>
      <c r="R52" s="13" t="n"/>
      <c r="S52" s="17">
        <f>IF($B52="","",IF(COUNTIF($B$4:$B$403,$B52)&gt;1,"※项目名重复了",IF(AND($C52&lt;&gt;"",ISNA(MATCH($C52,客户表,0))),"※客户不在基础资料里",IF(AND($J52&lt;&gt;"",$F52&lt;&gt;"",$J52&lt;$F52),"※完工日期早于下单日期",""))))</f>
        <v/>
      </c>
    </row>
    <row r="53">
      <c r="A53" s="17">
        <f>IF($B53="","","P"&amp;TEXT(ROW()-3,"000"))</f>
        <v/>
      </c>
      <c r="B53" s="13" t="inlineStr">
        <is>
          <t>如意茶馆</t>
        </is>
      </c>
      <c r="C53" s="13" t="inlineStr">
        <is>
          <t>如意茶馆</t>
        </is>
      </c>
      <c r="D53" s="13" t="inlineStr">
        <is>
          <t>门头招牌</t>
        </is>
      </c>
      <c r="E53" s="13" t="n"/>
      <c r="F53" s="18" t="n">
        <v>46131</v>
      </c>
      <c r="G53" s="18" t="n"/>
      <c r="H53" s="18" t="n"/>
      <c r="I53" s="18" t="n"/>
      <c r="J53" s="18" t="n"/>
      <c r="K53" s="14" t="n"/>
      <c r="L53" s="19">
        <f>IF($B53="","",ROUND(SUMIF(订单明细!$C:$C,$B53,订单明细!$I:$I),2))</f>
        <v/>
      </c>
      <c r="M53" s="19">
        <f>IF($B53="","",ROUND(N($K53)+N($L53),2))</f>
        <v/>
      </c>
      <c r="N53" s="14" t="n"/>
      <c r="O53" s="19">
        <f>IF($B53="","",ROUND(N($N53)+SUMIFS(资金日记账!$J$4:$J$2503,资金日记账!$G$4:$G$2503,$B53,资金日记账!$F$4:$F$2503,"收款-项目")-SUMIFS(资金日记账!$K$4:$K$2503,资金日记账!$G$4:$G$2503,$B53,资金日记账!$F$4:$F$2503,"收款-项目"),2))</f>
        <v/>
      </c>
      <c r="P53" s="19">
        <f>IF($B53="","",ROUND($M53-$O53,2))</f>
        <v/>
      </c>
      <c r="Q53" s="17">
        <f>IF($B53="","",IF(AND($J53&lt;&gt;"",ROUND($P53,2)&lt;=0),"已完工·已结清",IF($J53&lt;&gt;"","已完工·还有尾款",IF($I53&lt;&gt;"","已安装",IF($H53&lt;&gt;"","已制作",IF($G53&lt;&gt;"","设计完成","已下单"))))))</f>
        <v/>
      </c>
      <c r="R53" s="13" t="n"/>
      <c r="S53" s="17">
        <f>IF($B53="","",IF(COUNTIF($B$4:$B$403,$B53)&gt;1,"※项目名重复了",IF(AND($C53&lt;&gt;"",ISNA(MATCH($C53,客户表,0))),"※客户不在基础资料里",IF(AND($J53&lt;&gt;"",$F53&lt;&gt;"",$J53&lt;$F53),"※完工日期早于下单日期",""))))</f>
        <v/>
      </c>
    </row>
    <row r="54">
      <c r="A54" s="17">
        <f>IF($B54="","","P"&amp;TEXT(ROW()-3,"000"))</f>
        <v/>
      </c>
      <c r="B54" s="13" t="inlineStr">
        <is>
          <t>九熠装饰</t>
        </is>
      </c>
      <c r="C54" s="13" t="inlineStr">
        <is>
          <t>九熠装饰</t>
        </is>
      </c>
      <c r="D54" s="13" t="inlineStr">
        <is>
          <t>门头招牌</t>
        </is>
      </c>
      <c r="E54" s="13" t="n"/>
      <c r="F54" s="18" t="n">
        <v>46131</v>
      </c>
      <c r="G54" s="18" t="n"/>
      <c r="H54" s="18" t="n"/>
      <c r="I54" s="18" t="n"/>
      <c r="J54" s="18" t="n"/>
      <c r="K54" s="14" t="n"/>
      <c r="L54" s="19">
        <f>IF($B54="","",ROUND(SUMIF(订单明细!$C:$C,$B54,订单明细!$I:$I),2))</f>
        <v/>
      </c>
      <c r="M54" s="19">
        <f>IF($B54="","",ROUND(N($K54)+N($L54),2))</f>
        <v/>
      </c>
      <c r="N54" s="14" t="n"/>
      <c r="O54" s="19">
        <f>IF($B54="","",ROUND(N($N54)+SUMIFS(资金日记账!$J$4:$J$2503,资金日记账!$G$4:$G$2503,$B54,资金日记账!$F$4:$F$2503,"收款-项目")-SUMIFS(资金日记账!$K$4:$K$2503,资金日记账!$G$4:$G$2503,$B54,资金日记账!$F$4:$F$2503,"收款-项目"),2))</f>
        <v/>
      </c>
      <c r="P54" s="19">
        <f>IF($B54="","",ROUND($M54-$O54,2))</f>
        <v/>
      </c>
      <c r="Q54" s="17">
        <f>IF($B54="","",IF(AND($J54&lt;&gt;"",ROUND($P54,2)&lt;=0),"已完工·已结清",IF($J54&lt;&gt;"","已完工·还有尾款",IF($I54&lt;&gt;"","已安装",IF($H54&lt;&gt;"","已制作",IF($G54&lt;&gt;"","设计完成","已下单"))))))</f>
        <v/>
      </c>
      <c r="R54" s="13" t="n"/>
      <c r="S54" s="17">
        <f>IF($B54="","",IF(COUNTIF($B$4:$B$403,$B54)&gt;1,"※项目名重复了",IF(AND($C54&lt;&gt;"",ISNA(MATCH($C54,客户表,0))),"※客户不在基础资料里",IF(AND($J54&lt;&gt;"",$F54&lt;&gt;"",$J54&lt;$F54),"※完工日期早于下单日期",""))))</f>
        <v/>
      </c>
    </row>
    <row r="55">
      <c r="A55" s="17">
        <f>IF($B55="","","P"&amp;TEXT(ROW()-3,"000"))</f>
        <v/>
      </c>
      <c r="B55" s="13" t="inlineStr">
        <is>
          <t>凤姐早餐店</t>
        </is>
      </c>
      <c r="C55" s="13" t="inlineStr">
        <is>
          <t>凤姐早餐店</t>
        </is>
      </c>
      <c r="D55" s="13" t="inlineStr">
        <is>
          <t>门头招牌</t>
        </is>
      </c>
      <c r="E55" s="13" t="n"/>
      <c r="F55" s="18" t="n">
        <v>46133</v>
      </c>
      <c r="G55" s="18" t="n"/>
      <c r="H55" s="18" t="n"/>
      <c r="I55" s="18" t="n"/>
      <c r="J55" s="18" t="n"/>
      <c r="K55" s="14" t="n"/>
      <c r="L55" s="19">
        <f>IF($B55="","",ROUND(SUMIF(订单明细!$C:$C,$B55,订单明细!$I:$I),2))</f>
        <v/>
      </c>
      <c r="M55" s="19">
        <f>IF($B55="","",ROUND(N($K55)+N($L55),2))</f>
        <v/>
      </c>
      <c r="N55" s="14" t="n"/>
      <c r="O55" s="19">
        <f>IF($B55="","",ROUND(N($N55)+SUMIFS(资金日记账!$J$4:$J$2503,资金日记账!$G$4:$G$2503,$B55,资金日记账!$F$4:$F$2503,"收款-项目")-SUMIFS(资金日记账!$K$4:$K$2503,资金日记账!$G$4:$G$2503,$B55,资金日记账!$F$4:$F$2503,"收款-项目"),2))</f>
        <v/>
      </c>
      <c r="P55" s="19">
        <f>IF($B55="","",ROUND($M55-$O55,2))</f>
        <v/>
      </c>
      <c r="Q55" s="17">
        <f>IF($B55="","",IF(AND($J55&lt;&gt;"",ROUND($P55,2)&lt;=0),"已完工·已结清",IF($J55&lt;&gt;"","已完工·还有尾款",IF($I55&lt;&gt;"","已安装",IF($H55&lt;&gt;"","已制作",IF($G55&lt;&gt;"","设计完成","已下单"))))))</f>
        <v/>
      </c>
      <c r="R55" s="13" t="n"/>
      <c r="S55" s="17">
        <f>IF($B55="","",IF(COUNTIF($B$4:$B$403,$B55)&gt;1,"※项目名重复了",IF(AND($C55&lt;&gt;"",ISNA(MATCH($C55,客户表,0))),"※客户不在基础资料里",IF(AND($J55&lt;&gt;"",$F55&lt;&gt;"",$J55&lt;$F55),"※完工日期早于下单日期",""))))</f>
        <v/>
      </c>
    </row>
    <row r="56">
      <c r="A56" s="17">
        <f>IF($B56="","","P"&amp;TEXT(ROW()-3,"000"))</f>
        <v/>
      </c>
      <c r="B56" s="13" t="inlineStr">
        <is>
          <t>焰燃烧烤</t>
        </is>
      </c>
      <c r="C56" s="13" t="inlineStr">
        <is>
          <t>焰燃烧烤</t>
        </is>
      </c>
      <c r="D56" s="13" t="inlineStr">
        <is>
          <t>门头招牌</t>
        </is>
      </c>
      <c r="E56" s="13" t="n"/>
      <c r="F56" s="18" t="n">
        <v>46133</v>
      </c>
      <c r="G56" s="18" t="n"/>
      <c r="H56" s="18" t="n"/>
      <c r="I56" s="18" t="n"/>
      <c r="J56" s="18" t="n"/>
      <c r="K56" s="14" t="n"/>
      <c r="L56" s="19">
        <f>IF($B56="","",ROUND(SUMIF(订单明细!$C:$C,$B56,订单明细!$I:$I),2))</f>
        <v/>
      </c>
      <c r="M56" s="19">
        <f>IF($B56="","",ROUND(N($K56)+N($L56),2))</f>
        <v/>
      </c>
      <c r="N56" s="14" t="n"/>
      <c r="O56" s="19">
        <f>IF($B56="","",ROUND(N($N56)+SUMIFS(资金日记账!$J$4:$J$2503,资金日记账!$G$4:$G$2503,$B56,资金日记账!$F$4:$F$2503,"收款-项目")-SUMIFS(资金日记账!$K$4:$K$2503,资金日记账!$G$4:$G$2503,$B56,资金日记账!$F$4:$F$2503,"收款-项目"),2))</f>
        <v/>
      </c>
      <c r="P56" s="19">
        <f>IF($B56="","",ROUND($M56-$O56,2))</f>
        <v/>
      </c>
      <c r="Q56" s="17">
        <f>IF($B56="","",IF(AND($J56&lt;&gt;"",ROUND($P56,2)&lt;=0),"已完工·已结清",IF($J56&lt;&gt;"","已完工·还有尾款",IF($I56&lt;&gt;"","已安装",IF($H56&lt;&gt;"","已制作",IF($G56&lt;&gt;"","设计完成","已下单"))))))</f>
        <v/>
      </c>
      <c r="R56" s="13" t="n"/>
      <c r="S56" s="17">
        <f>IF($B56="","",IF(COUNTIF($B$4:$B$403,$B56)&gt;1,"※项目名重复了",IF(AND($C56&lt;&gt;"",ISNA(MATCH($C56,客户表,0))),"※客户不在基础资料里",IF(AND($J56&lt;&gt;"",$F56&lt;&gt;"",$J56&lt;$F56),"※完工日期早于下单日期",""))))</f>
        <v/>
      </c>
    </row>
    <row r="57">
      <c r="A57" s="17">
        <f>IF($B57="","","P"&amp;TEXT(ROW()-3,"000"))</f>
        <v/>
      </c>
      <c r="B57" s="13" t="inlineStr">
        <is>
          <t>湖岸漫食</t>
        </is>
      </c>
      <c r="C57" s="13" t="inlineStr">
        <is>
          <t>湖岸漫食</t>
        </is>
      </c>
      <c r="D57" s="13" t="inlineStr">
        <is>
          <t>门头招牌</t>
        </is>
      </c>
      <c r="E57" s="13" t="n"/>
      <c r="F57" s="18" t="n">
        <v>46153</v>
      </c>
      <c r="G57" s="18" t="n"/>
      <c r="H57" s="18" t="n"/>
      <c r="I57" s="18" t="n"/>
      <c r="J57" s="18" t="n"/>
      <c r="K57" s="14" t="n"/>
      <c r="L57" s="19">
        <f>IF($B57="","",ROUND(SUMIF(订单明细!$C:$C,$B57,订单明细!$I:$I),2))</f>
        <v/>
      </c>
      <c r="M57" s="19">
        <f>IF($B57="","",ROUND(N($K57)+N($L57),2))</f>
        <v/>
      </c>
      <c r="N57" s="14" t="n"/>
      <c r="O57" s="19">
        <f>IF($B57="","",ROUND(N($N57)+SUMIFS(资金日记账!$J$4:$J$2503,资金日记账!$G$4:$G$2503,$B57,资金日记账!$F$4:$F$2503,"收款-项目")-SUMIFS(资金日记账!$K$4:$K$2503,资金日记账!$G$4:$G$2503,$B57,资金日记账!$F$4:$F$2503,"收款-项目"),2))</f>
        <v/>
      </c>
      <c r="P57" s="19">
        <f>IF($B57="","",ROUND($M57-$O57,2))</f>
        <v/>
      </c>
      <c r="Q57" s="17">
        <f>IF($B57="","",IF(AND($J57&lt;&gt;"",ROUND($P57,2)&lt;=0),"已完工·已结清",IF($J57&lt;&gt;"","已完工·还有尾款",IF($I57&lt;&gt;"","已安装",IF($H57&lt;&gt;"","已制作",IF($G57&lt;&gt;"","设计完成","已下单"))))))</f>
        <v/>
      </c>
      <c r="R57" s="13" t="n"/>
      <c r="S57" s="17">
        <f>IF($B57="","",IF(COUNTIF($B$4:$B$403,$B57)&gt;1,"※项目名重复了",IF(AND($C57&lt;&gt;"",ISNA(MATCH($C57,客户表,0))),"※客户不在基础资料里",IF(AND($J57&lt;&gt;"",$F57&lt;&gt;"",$J57&lt;$F57),"※完工日期早于下单日期",""))))</f>
        <v/>
      </c>
    </row>
    <row r="58">
      <c r="A58" s="17">
        <f>IF($B58="","","P"&amp;TEXT(ROW()-3,"000"))</f>
        <v/>
      </c>
      <c r="B58" s="13" t="inlineStr">
        <is>
          <t>万达荣泰</t>
        </is>
      </c>
      <c r="C58" s="13" t="inlineStr">
        <is>
          <t>万达荣泰</t>
        </is>
      </c>
      <c r="D58" s="13" t="inlineStr">
        <is>
          <t>门头招牌</t>
        </is>
      </c>
      <c r="E58" s="13" t="n"/>
      <c r="F58" s="18" t="n">
        <v>46135</v>
      </c>
      <c r="G58" s="18" t="n"/>
      <c r="H58" s="18" t="n"/>
      <c r="I58" s="18" t="n"/>
      <c r="J58" s="18" t="n"/>
      <c r="K58" s="14" t="n"/>
      <c r="L58" s="19">
        <f>IF($B58="","",ROUND(SUMIF(订单明细!$C:$C,$B58,订单明细!$I:$I),2))</f>
        <v/>
      </c>
      <c r="M58" s="19">
        <f>IF($B58="","",ROUND(N($K58)+N($L58),2))</f>
        <v/>
      </c>
      <c r="N58" s="14" t="n"/>
      <c r="O58" s="19">
        <f>IF($B58="","",ROUND(N($N58)+SUMIFS(资金日记账!$J$4:$J$2503,资金日记账!$G$4:$G$2503,$B58,资金日记账!$F$4:$F$2503,"收款-项目")-SUMIFS(资金日记账!$K$4:$K$2503,资金日记账!$G$4:$G$2503,$B58,资金日记账!$F$4:$F$2503,"收款-项目"),2))</f>
        <v/>
      </c>
      <c r="P58" s="19">
        <f>IF($B58="","",ROUND($M58-$O58,2))</f>
        <v/>
      </c>
      <c r="Q58" s="17">
        <f>IF($B58="","",IF(AND($J58&lt;&gt;"",ROUND($P58,2)&lt;=0),"已完工·已结清",IF($J58&lt;&gt;"","已完工·还有尾款",IF($I58&lt;&gt;"","已安装",IF($H58&lt;&gt;"","已制作",IF($G58&lt;&gt;"","设计完成","已下单"))))))</f>
        <v/>
      </c>
      <c r="R58" s="13" t="n"/>
      <c r="S58" s="17">
        <f>IF($B58="","",IF(COUNTIF($B$4:$B$403,$B58)&gt;1,"※项目名重复了",IF(AND($C58&lt;&gt;"",ISNA(MATCH($C58,客户表,0))),"※客户不在基础资料里",IF(AND($J58&lt;&gt;"",$F58&lt;&gt;"",$J58&lt;$F58),"※完工日期早于下单日期",""))))</f>
        <v/>
      </c>
    </row>
    <row r="59">
      <c r="A59" s="17">
        <f>IF($B59="","","P"&amp;TEXT(ROW()-3,"000"))</f>
        <v/>
      </c>
      <c r="B59" s="13" t="inlineStr">
        <is>
          <t>玖味卤味</t>
        </is>
      </c>
      <c r="C59" s="13" t="inlineStr">
        <is>
          <t>玖味卤味</t>
        </is>
      </c>
      <c r="D59" s="13" t="inlineStr">
        <is>
          <t>门头招牌</t>
        </is>
      </c>
      <c r="E59" s="13" t="n"/>
      <c r="F59" s="18" t="n">
        <v>46137</v>
      </c>
      <c r="G59" s="18" t="n"/>
      <c r="H59" s="18" t="n"/>
      <c r="I59" s="18" t="n"/>
      <c r="J59" s="18" t="n"/>
      <c r="K59" s="14" t="n"/>
      <c r="L59" s="19">
        <f>IF($B59="","",ROUND(SUMIF(订单明细!$C:$C,$B59,订单明细!$I:$I),2))</f>
        <v/>
      </c>
      <c r="M59" s="19">
        <f>IF($B59="","",ROUND(N($K59)+N($L59),2))</f>
        <v/>
      </c>
      <c r="N59" s="14" t="n"/>
      <c r="O59" s="19">
        <f>IF($B59="","",ROUND(N($N59)+SUMIFS(资金日记账!$J$4:$J$2503,资金日记账!$G$4:$G$2503,$B59,资金日记账!$F$4:$F$2503,"收款-项目")-SUMIFS(资金日记账!$K$4:$K$2503,资金日记账!$G$4:$G$2503,$B59,资金日记账!$F$4:$F$2503,"收款-项目"),2))</f>
        <v/>
      </c>
      <c r="P59" s="19">
        <f>IF($B59="","",ROUND($M59-$O59,2))</f>
        <v/>
      </c>
      <c r="Q59" s="17">
        <f>IF($B59="","",IF(AND($J59&lt;&gt;"",ROUND($P59,2)&lt;=0),"已完工·已结清",IF($J59&lt;&gt;"","已完工·还有尾款",IF($I59&lt;&gt;"","已安装",IF($H59&lt;&gt;"","已制作",IF($G59&lt;&gt;"","设计完成","已下单"))))))</f>
        <v/>
      </c>
      <c r="R59" s="13" t="n"/>
      <c r="S59" s="17">
        <f>IF($B59="","",IF(COUNTIF($B$4:$B$403,$B59)&gt;1,"※项目名重复了",IF(AND($C59&lt;&gt;"",ISNA(MATCH($C59,客户表,0))),"※客户不在基础资料里",IF(AND($J59&lt;&gt;"",$F59&lt;&gt;"",$J59&lt;$F59),"※完工日期早于下单日期",""))))</f>
        <v/>
      </c>
    </row>
    <row r="60">
      <c r="A60" s="17">
        <f>IF($B60="","","P"&amp;TEXT(ROW()-3,"000"))</f>
        <v/>
      </c>
      <c r="B60" s="13" t="inlineStr">
        <is>
          <t>焰燃烧烤店</t>
        </is>
      </c>
      <c r="C60" s="13" t="inlineStr">
        <is>
          <t>焰燃烧烤店</t>
        </is>
      </c>
      <c r="D60" s="13" t="inlineStr">
        <is>
          <t>门头招牌</t>
        </is>
      </c>
      <c r="E60" s="13" t="n"/>
      <c r="F60" s="18" t="n">
        <v>46137</v>
      </c>
      <c r="G60" s="18" t="n"/>
      <c r="H60" s="18" t="n"/>
      <c r="I60" s="18" t="n"/>
      <c r="J60" s="18" t="n"/>
      <c r="K60" s="14" t="n"/>
      <c r="L60" s="19">
        <f>IF($B60="","",ROUND(SUMIF(订单明细!$C:$C,$B60,订单明细!$I:$I),2))</f>
        <v/>
      </c>
      <c r="M60" s="19">
        <f>IF($B60="","",ROUND(N($K60)+N($L60),2))</f>
        <v/>
      </c>
      <c r="N60" s="14" t="n"/>
      <c r="O60" s="19">
        <f>IF($B60="","",ROUND(N($N60)+SUMIFS(资金日记账!$J$4:$J$2503,资金日记账!$G$4:$G$2503,$B60,资金日记账!$F$4:$F$2503,"收款-项目")-SUMIFS(资金日记账!$K$4:$K$2503,资金日记账!$G$4:$G$2503,$B60,资金日记账!$F$4:$F$2503,"收款-项目"),2))</f>
        <v/>
      </c>
      <c r="P60" s="19">
        <f>IF($B60="","",ROUND($M60-$O60,2))</f>
        <v/>
      </c>
      <c r="Q60" s="17">
        <f>IF($B60="","",IF(AND($J60&lt;&gt;"",ROUND($P60,2)&lt;=0),"已完工·已结清",IF($J60&lt;&gt;"","已完工·还有尾款",IF($I60&lt;&gt;"","已安装",IF($H60&lt;&gt;"","已制作",IF($G60&lt;&gt;"","设计完成","已下单"))))))</f>
        <v/>
      </c>
      <c r="R60" s="13" t="n"/>
      <c r="S60" s="17">
        <f>IF($B60="","",IF(COUNTIF($B$4:$B$403,$B60)&gt;1,"※项目名重复了",IF(AND($C60&lt;&gt;"",ISNA(MATCH($C60,客户表,0))),"※客户不在基础资料里",IF(AND($J60&lt;&gt;"",$F60&lt;&gt;"",$J60&lt;$F60),"※完工日期早于下单日期",""))))</f>
        <v/>
      </c>
    </row>
    <row r="61">
      <c r="A61" s="17">
        <f>IF($B61="","","P"&amp;TEXT(ROW()-3,"000"))</f>
        <v/>
      </c>
      <c r="B61" s="13" t="inlineStr">
        <is>
          <t>东北烧烤大转盘店</t>
        </is>
      </c>
      <c r="C61" s="13" t="inlineStr">
        <is>
          <t>东北烧烤大转盘店</t>
        </is>
      </c>
      <c r="D61" s="13" t="inlineStr">
        <is>
          <t>门头招牌</t>
        </is>
      </c>
      <c r="E61" s="13" t="n"/>
      <c r="F61" s="18" t="n">
        <v>46140</v>
      </c>
      <c r="G61" s="18" t="n"/>
      <c r="H61" s="18" t="n"/>
      <c r="I61" s="18" t="n"/>
      <c r="J61" s="18" t="n"/>
      <c r="K61" s="14" t="n"/>
      <c r="L61" s="19">
        <f>IF($B61="","",ROUND(SUMIF(订单明细!$C:$C,$B61,订单明细!$I:$I),2))</f>
        <v/>
      </c>
      <c r="M61" s="19">
        <f>IF($B61="","",ROUND(N($K61)+N($L61),2))</f>
        <v/>
      </c>
      <c r="N61" s="14" t="n"/>
      <c r="O61" s="19">
        <f>IF($B61="","",ROUND(N($N61)+SUMIFS(资金日记账!$J$4:$J$2503,资金日记账!$G$4:$G$2503,$B61,资金日记账!$F$4:$F$2503,"收款-项目")-SUMIFS(资金日记账!$K$4:$K$2503,资金日记账!$G$4:$G$2503,$B61,资金日记账!$F$4:$F$2503,"收款-项目"),2))</f>
        <v/>
      </c>
      <c r="P61" s="19">
        <f>IF($B61="","",ROUND($M61-$O61,2))</f>
        <v/>
      </c>
      <c r="Q61" s="17">
        <f>IF($B61="","",IF(AND($J61&lt;&gt;"",ROUND($P61,2)&lt;=0),"已完工·已结清",IF($J61&lt;&gt;"","已完工·还有尾款",IF($I61&lt;&gt;"","已安装",IF($H61&lt;&gt;"","已制作",IF($G61&lt;&gt;"","设计完成","已下单"))))))</f>
        <v/>
      </c>
      <c r="R61" s="13" t="n"/>
      <c r="S61" s="17">
        <f>IF($B61="","",IF(COUNTIF($B$4:$B$403,$B61)&gt;1,"※项目名重复了",IF(AND($C61&lt;&gt;"",ISNA(MATCH($C61,客户表,0))),"※客户不在基础资料里",IF(AND($J61&lt;&gt;"",$F61&lt;&gt;"",$J61&lt;$F61),"※完工日期早于下单日期",""))))</f>
        <v/>
      </c>
    </row>
    <row r="62">
      <c r="A62" s="17">
        <f>IF($B62="","","P"&amp;TEXT(ROW()-3,"000"))</f>
        <v/>
      </c>
      <c r="B62" s="13" t="inlineStr">
        <is>
          <t>创艺装饰</t>
        </is>
      </c>
      <c r="C62" s="13" t="inlineStr">
        <is>
          <t>创艺装饰</t>
        </is>
      </c>
      <c r="D62" s="13" t="inlineStr">
        <is>
          <t>门头招牌</t>
        </is>
      </c>
      <c r="E62" s="13" t="n"/>
      <c r="F62" s="18" t="n">
        <v>46140</v>
      </c>
      <c r="G62" s="18" t="n"/>
      <c r="H62" s="18" t="n"/>
      <c r="I62" s="18" t="n"/>
      <c r="J62" s="18" t="n"/>
      <c r="K62" s="14" t="n"/>
      <c r="L62" s="19">
        <f>IF($B62="","",ROUND(SUMIF(订单明细!$C:$C,$B62,订单明细!$I:$I),2))</f>
        <v/>
      </c>
      <c r="M62" s="19">
        <f>IF($B62="","",ROUND(N($K62)+N($L62),2))</f>
        <v/>
      </c>
      <c r="N62" s="14" t="n"/>
      <c r="O62" s="19">
        <f>IF($B62="","",ROUND(N($N62)+SUMIFS(资金日记账!$J$4:$J$2503,资金日记账!$G$4:$G$2503,$B62,资金日记账!$F$4:$F$2503,"收款-项目")-SUMIFS(资金日记账!$K$4:$K$2503,资金日记账!$G$4:$G$2503,$B62,资金日记账!$F$4:$F$2503,"收款-项目"),2))</f>
        <v/>
      </c>
      <c r="P62" s="19">
        <f>IF($B62="","",ROUND($M62-$O62,2))</f>
        <v/>
      </c>
      <c r="Q62" s="17">
        <f>IF($B62="","",IF(AND($J62&lt;&gt;"",ROUND($P62,2)&lt;=0),"已完工·已结清",IF($J62&lt;&gt;"","已完工·还有尾款",IF($I62&lt;&gt;"","已安装",IF($H62&lt;&gt;"","已制作",IF($G62&lt;&gt;"","设计完成","已下单"))))))</f>
        <v/>
      </c>
      <c r="R62" s="13" t="n"/>
      <c r="S62" s="17">
        <f>IF($B62="","",IF(COUNTIF($B$4:$B$403,$B62)&gt;1,"※项目名重复了",IF(AND($C62&lt;&gt;"",ISNA(MATCH($C62,客户表,0))),"※客户不在基础资料里",IF(AND($J62&lt;&gt;"",$F62&lt;&gt;"",$J62&lt;$F62),"※完工日期早于下单日期",""))))</f>
        <v/>
      </c>
    </row>
    <row r="63">
      <c r="A63" s="17">
        <f>IF($B63="","","P"&amp;TEXT(ROW()-3,"000"))</f>
        <v/>
      </c>
      <c r="B63" s="13" t="inlineStr">
        <is>
          <t>坚蛋健身</t>
        </is>
      </c>
      <c r="C63" s="13" t="inlineStr">
        <is>
          <t>坚蛋健身</t>
        </is>
      </c>
      <c r="D63" s="13" t="inlineStr">
        <is>
          <t>门头招牌</t>
        </is>
      </c>
      <c r="E63" s="13" t="n"/>
      <c r="F63" s="18" t="n">
        <v>46148</v>
      </c>
      <c r="G63" s="18" t="n"/>
      <c r="H63" s="18" t="n"/>
      <c r="I63" s="18" t="n"/>
      <c r="J63" s="18" t="n"/>
      <c r="K63" s="14" t="n"/>
      <c r="L63" s="19">
        <f>IF($B63="","",ROUND(SUMIF(订单明细!$C:$C,$B63,订单明细!$I:$I),2))</f>
        <v/>
      </c>
      <c r="M63" s="19">
        <f>IF($B63="","",ROUND(N($K63)+N($L63),2))</f>
        <v/>
      </c>
      <c r="N63" s="14" t="n"/>
      <c r="O63" s="19">
        <f>IF($B63="","",ROUND(N($N63)+SUMIFS(资金日记账!$J$4:$J$2503,资金日记账!$G$4:$G$2503,$B63,资金日记账!$F$4:$F$2503,"收款-项目")-SUMIFS(资金日记账!$K$4:$K$2503,资金日记账!$G$4:$G$2503,$B63,资金日记账!$F$4:$F$2503,"收款-项目"),2))</f>
        <v/>
      </c>
      <c r="P63" s="19">
        <f>IF($B63="","",ROUND($M63-$O63,2))</f>
        <v/>
      </c>
      <c r="Q63" s="17">
        <f>IF($B63="","",IF(AND($J63&lt;&gt;"",ROUND($P63,2)&lt;=0),"已完工·已结清",IF($J63&lt;&gt;"","已完工·还有尾款",IF($I63&lt;&gt;"","已安装",IF($H63&lt;&gt;"","已制作",IF($G63&lt;&gt;"","设计完成","已下单"))))))</f>
        <v/>
      </c>
      <c r="R63" s="13" t="n"/>
      <c r="S63" s="17">
        <f>IF($B63="","",IF(COUNTIF($B$4:$B$403,$B63)&gt;1,"※项目名重复了",IF(AND($C63&lt;&gt;"",ISNA(MATCH($C63,客户表,0))),"※客户不在基础资料里",IF(AND($J63&lt;&gt;"",$F63&lt;&gt;"",$J63&lt;$F63),"※完工日期早于下单日期",""))))</f>
        <v/>
      </c>
    </row>
    <row r="64">
      <c r="A64" s="17">
        <f>IF($B64="","","P"&amp;TEXT(ROW()-3,"000"))</f>
        <v/>
      </c>
      <c r="B64" s="13" t="inlineStr">
        <is>
          <t>许多多超市</t>
        </is>
      </c>
      <c r="C64" s="13" t="inlineStr">
        <is>
          <t>许多多超市</t>
        </is>
      </c>
      <c r="D64" s="13" t="inlineStr">
        <is>
          <t>门头招牌</t>
        </is>
      </c>
      <c r="E64" s="13" t="n"/>
      <c r="F64" s="18" t="n">
        <v>46150</v>
      </c>
      <c r="G64" s="18" t="n"/>
      <c r="H64" s="18" t="n"/>
      <c r="I64" s="18" t="n"/>
      <c r="J64" s="18" t="n"/>
      <c r="K64" s="14" t="n"/>
      <c r="L64" s="19">
        <f>IF($B64="","",ROUND(SUMIF(订单明细!$C:$C,$B64,订单明细!$I:$I),2))</f>
        <v/>
      </c>
      <c r="M64" s="19">
        <f>IF($B64="","",ROUND(N($K64)+N($L64),2))</f>
        <v/>
      </c>
      <c r="N64" s="14" t="n"/>
      <c r="O64" s="19">
        <f>IF($B64="","",ROUND(N($N64)+SUMIFS(资金日记账!$J$4:$J$2503,资金日记账!$G$4:$G$2503,$B64,资金日记账!$F$4:$F$2503,"收款-项目")-SUMIFS(资金日记账!$K$4:$K$2503,资金日记账!$G$4:$G$2503,$B64,资金日记账!$F$4:$F$2503,"收款-项目"),2))</f>
        <v/>
      </c>
      <c r="P64" s="19">
        <f>IF($B64="","",ROUND($M64-$O64,2))</f>
        <v/>
      </c>
      <c r="Q64" s="17">
        <f>IF($B64="","",IF(AND($J64&lt;&gt;"",ROUND($P64,2)&lt;=0),"已完工·已结清",IF($J64&lt;&gt;"","已完工·还有尾款",IF($I64&lt;&gt;"","已安装",IF($H64&lt;&gt;"","已制作",IF($G64&lt;&gt;"","设计完成","已下单"))))))</f>
        <v/>
      </c>
      <c r="R64" s="13" t="n"/>
      <c r="S64" s="17">
        <f>IF($B64="","",IF(COUNTIF($B$4:$B$403,$B64)&gt;1,"※项目名重复了",IF(AND($C64&lt;&gt;"",ISNA(MATCH($C64,客户表,0))),"※客户不在基础资料里",IF(AND($J64&lt;&gt;"",$F64&lt;&gt;"",$J64&lt;$F64),"※完工日期早于下单日期",""))))</f>
        <v/>
      </c>
    </row>
    <row r="65">
      <c r="A65" s="17">
        <f>IF($B65="","","P"&amp;TEXT(ROW()-3,"000"))</f>
        <v/>
      </c>
      <c r="B65" s="13" t="inlineStr">
        <is>
          <t>圣薇依儿</t>
        </is>
      </c>
      <c r="C65" s="13" t="inlineStr">
        <is>
          <t>圣薇依儿</t>
        </is>
      </c>
      <c r="D65" s="13" t="inlineStr">
        <is>
          <t>门头招牌</t>
        </is>
      </c>
      <c r="E65" s="13" t="n"/>
      <c r="F65" s="18" t="n">
        <v>46151</v>
      </c>
      <c r="G65" s="18" t="n"/>
      <c r="H65" s="18" t="n"/>
      <c r="I65" s="18" t="n"/>
      <c r="J65" s="18" t="n"/>
      <c r="K65" s="14" t="n"/>
      <c r="L65" s="19">
        <f>IF($B65="","",ROUND(SUMIF(订单明细!$C:$C,$B65,订单明细!$I:$I),2))</f>
        <v/>
      </c>
      <c r="M65" s="19">
        <f>IF($B65="","",ROUND(N($K65)+N($L65),2))</f>
        <v/>
      </c>
      <c r="N65" s="14" t="n"/>
      <c r="O65" s="19">
        <f>IF($B65="","",ROUND(N($N65)+SUMIFS(资金日记账!$J$4:$J$2503,资金日记账!$G$4:$G$2503,$B65,资金日记账!$F$4:$F$2503,"收款-项目")-SUMIFS(资金日记账!$K$4:$K$2503,资金日记账!$G$4:$G$2503,$B65,资金日记账!$F$4:$F$2503,"收款-项目"),2))</f>
        <v/>
      </c>
      <c r="P65" s="19">
        <f>IF($B65="","",ROUND($M65-$O65,2))</f>
        <v/>
      </c>
      <c r="Q65" s="17">
        <f>IF($B65="","",IF(AND($J65&lt;&gt;"",ROUND($P65,2)&lt;=0),"已完工·已结清",IF($J65&lt;&gt;"","已完工·还有尾款",IF($I65&lt;&gt;"","已安装",IF($H65&lt;&gt;"","已制作",IF($G65&lt;&gt;"","设计完成","已下单"))))))</f>
        <v/>
      </c>
      <c r="R65" s="13" t="n"/>
      <c r="S65" s="17">
        <f>IF($B65="","",IF(COUNTIF($B$4:$B$403,$B65)&gt;1,"※项目名重复了",IF(AND($C65&lt;&gt;"",ISNA(MATCH($C65,客户表,0))),"※客户不在基础资料里",IF(AND($J65&lt;&gt;"",$F65&lt;&gt;"",$J65&lt;$F65),"※完工日期早于下单日期",""))))</f>
        <v/>
      </c>
    </row>
    <row r="66">
      <c r="A66" s="17">
        <f>IF($B66="","","P"&amp;TEXT(ROW()-3,"000"))</f>
        <v/>
      </c>
      <c r="B66" s="13" t="inlineStr">
        <is>
          <t>浙江戴纳</t>
        </is>
      </c>
      <c r="C66" s="13" t="inlineStr">
        <is>
          <t>浙江戴纳</t>
        </is>
      </c>
      <c r="D66" s="13" t="inlineStr">
        <is>
          <t>门头招牌</t>
        </is>
      </c>
      <c r="E66" s="13" t="n"/>
      <c r="F66" s="18" t="n">
        <v>46151</v>
      </c>
      <c r="G66" s="18" t="n"/>
      <c r="H66" s="18" t="n"/>
      <c r="I66" s="18" t="n"/>
      <c r="J66" s="18" t="n"/>
      <c r="K66" s="14" t="n"/>
      <c r="L66" s="19">
        <f>IF($B66="","",ROUND(SUMIF(订单明细!$C:$C,$B66,订单明细!$I:$I),2))</f>
        <v/>
      </c>
      <c r="M66" s="19">
        <f>IF($B66="","",ROUND(N($K66)+N($L66),2))</f>
        <v/>
      </c>
      <c r="N66" s="14" t="n"/>
      <c r="O66" s="19">
        <f>IF($B66="","",ROUND(N($N66)+SUMIFS(资金日记账!$J$4:$J$2503,资金日记账!$G$4:$G$2503,$B66,资金日记账!$F$4:$F$2503,"收款-项目")-SUMIFS(资金日记账!$K$4:$K$2503,资金日记账!$G$4:$G$2503,$B66,资金日记账!$F$4:$F$2503,"收款-项目"),2))</f>
        <v/>
      </c>
      <c r="P66" s="19">
        <f>IF($B66="","",ROUND($M66-$O66,2))</f>
        <v/>
      </c>
      <c r="Q66" s="17">
        <f>IF($B66="","",IF(AND($J66&lt;&gt;"",ROUND($P66,2)&lt;=0),"已完工·已结清",IF($J66&lt;&gt;"","已完工·还有尾款",IF($I66&lt;&gt;"","已安装",IF($H66&lt;&gt;"","已制作",IF($G66&lt;&gt;"","设计完成","已下单"))))))</f>
        <v/>
      </c>
      <c r="R66" s="13" t="n"/>
      <c r="S66" s="17">
        <f>IF($B66="","",IF(COUNTIF($B$4:$B$403,$B66)&gt;1,"※项目名重复了",IF(AND($C66&lt;&gt;"",ISNA(MATCH($C66,客户表,0))),"※客户不在基础资料里",IF(AND($J66&lt;&gt;"",$F66&lt;&gt;"",$J66&lt;$F66),"※完工日期早于下单日期",""))))</f>
        <v/>
      </c>
    </row>
    <row r="67">
      <c r="A67" s="17">
        <f>IF($B67="","","P"&amp;TEXT(ROW()-3,"000"))</f>
        <v/>
      </c>
      <c r="B67" s="13" t="inlineStr">
        <is>
          <t>纳载智能</t>
        </is>
      </c>
      <c r="C67" s="13" t="inlineStr">
        <is>
          <t>纳载智能</t>
        </is>
      </c>
      <c r="D67" s="13" t="inlineStr">
        <is>
          <t>门头招牌</t>
        </is>
      </c>
      <c r="E67" s="13" t="n"/>
      <c r="F67" s="18" t="n">
        <v>46152</v>
      </c>
      <c r="G67" s="18" t="n"/>
      <c r="H67" s="18" t="n"/>
      <c r="I67" s="18" t="n"/>
      <c r="J67" s="18" t="n"/>
      <c r="K67" s="14" t="n"/>
      <c r="L67" s="19">
        <f>IF($B67="","",ROUND(SUMIF(订单明细!$C:$C,$B67,订单明细!$I:$I),2))</f>
        <v/>
      </c>
      <c r="M67" s="19">
        <f>IF($B67="","",ROUND(N($K67)+N($L67),2))</f>
        <v/>
      </c>
      <c r="N67" s="14" t="n"/>
      <c r="O67" s="19">
        <f>IF($B67="","",ROUND(N($N67)+SUMIFS(资金日记账!$J$4:$J$2503,资金日记账!$G$4:$G$2503,$B67,资金日记账!$F$4:$F$2503,"收款-项目")-SUMIFS(资金日记账!$K$4:$K$2503,资金日记账!$G$4:$G$2503,$B67,资金日记账!$F$4:$F$2503,"收款-项目"),2))</f>
        <v/>
      </c>
      <c r="P67" s="19">
        <f>IF($B67="","",ROUND($M67-$O67,2))</f>
        <v/>
      </c>
      <c r="Q67" s="17">
        <f>IF($B67="","",IF(AND($J67&lt;&gt;"",ROUND($P67,2)&lt;=0),"已完工·已结清",IF($J67&lt;&gt;"","已完工·还有尾款",IF($I67&lt;&gt;"","已安装",IF($H67&lt;&gt;"","已制作",IF($G67&lt;&gt;"","设计完成","已下单"))))))</f>
        <v/>
      </c>
      <c r="R67" s="13" t="n"/>
      <c r="S67" s="17">
        <f>IF($B67="","",IF(COUNTIF($B$4:$B$403,$B67)&gt;1,"※项目名重复了",IF(AND($C67&lt;&gt;"",ISNA(MATCH($C67,客户表,0))),"※客户不在基础资料里",IF(AND($J67&lt;&gt;"",$F67&lt;&gt;"",$J67&lt;$F67),"※完工日期早于下单日期",""))))</f>
        <v/>
      </c>
    </row>
    <row r="68">
      <c r="A68" s="17">
        <f>IF($B68="","","P"&amp;TEXT(ROW()-3,"000"))</f>
        <v/>
      </c>
      <c r="B68" s="13" t="inlineStr">
        <is>
          <t>瑞佳装饰</t>
        </is>
      </c>
      <c r="C68" s="13" t="inlineStr">
        <is>
          <t>瑞佳装饰</t>
        </is>
      </c>
      <c r="D68" s="13" t="inlineStr">
        <is>
          <t>门头招牌</t>
        </is>
      </c>
      <c r="E68" s="13" t="n"/>
      <c r="F68" s="18" t="n">
        <v>46154</v>
      </c>
      <c r="G68" s="18" t="n"/>
      <c r="H68" s="18" t="n"/>
      <c r="I68" s="18" t="n"/>
      <c r="J68" s="18" t="n"/>
      <c r="K68" s="14" t="n"/>
      <c r="L68" s="19">
        <f>IF($B68="","",ROUND(SUMIF(订单明细!$C:$C,$B68,订单明细!$I:$I),2))</f>
        <v/>
      </c>
      <c r="M68" s="19">
        <f>IF($B68="","",ROUND(N($K68)+N($L68),2))</f>
        <v/>
      </c>
      <c r="N68" s="14" t="n"/>
      <c r="O68" s="19">
        <f>IF($B68="","",ROUND(N($N68)+SUMIFS(资金日记账!$J$4:$J$2503,资金日记账!$G$4:$G$2503,$B68,资金日记账!$F$4:$F$2503,"收款-项目")-SUMIFS(资金日记账!$K$4:$K$2503,资金日记账!$G$4:$G$2503,$B68,资金日记账!$F$4:$F$2503,"收款-项目"),2))</f>
        <v/>
      </c>
      <c r="P68" s="19">
        <f>IF($B68="","",ROUND($M68-$O68,2))</f>
        <v/>
      </c>
      <c r="Q68" s="17">
        <f>IF($B68="","",IF(AND($J68&lt;&gt;"",ROUND($P68,2)&lt;=0),"已完工·已结清",IF($J68&lt;&gt;"","已完工·还有尾款",IF($I68&lt;&gt;"","已安装",IF($H68&lt;&gt;"","已制作",IF($G68&lt;&gt;"","设计完成","已下单"))))))</f>
        <v/>
      </c>
      <c r="R68" s="13" t="n"/>
      <c r="S68" s="17">
        <f>IF($B68="","",IF(COUNTIF($B$4:$B$403,$B68)&gt;1,"※项目名重复了",IF(AND($C68&lt;&gt;"",ISNA(MATCH($C68,客户表,0))),"※客户不在基础资料里",IF(AND($J68&lt;&gt;"",$F68&lt;&gt;"",$J68&lt;$F68),"※完工日期早于下单日期",""))))</f>
        <v/>
      </c>
    </row>
    <row r="69">
      <c r="A69" s="17">
        <f>IF($B69="","","P"&amp;TEXT(ROW()-3,"000"))</f>
        <v/>
      </c>
      <c r="B69" s="13" t="inlineStr">
        <is>
          <t>启航烟酒</t>
        </is>
      </c>
      <c r="C69" s="13" t="inlineStr">
        <is>
          <t>启航烟酒</t>
        </is>
      </c>
      <c r="D69" s="13" t="inlineStr">
        <is>
          <t>门头招牌</t>
        </is>
      </c>
      <c r="E69" s="13" t="n"/>
      <c r="F69" s="18" t="n">
        <v>46154</v>
      </c>
      <c r="G69" s="18" t="n"/>
      <c r="H69" s="18" t="n"/>
      <c r="I69" s="18" t="n"/>
      <c r="J69" s="18" t="n"/>
      <c r="K69" s="14" t="n"/>
      <c r="L69" s="19">
        <f>IF($B69="","",ROUND(SUMIF(订单明细!$C:$C,$B69,订单明细!$I:$I),2))</f>
        <v/>
      </c>
      <c r="M69" s="19">
        <f>IF($B69="","",ROUND(N($K69)+N($L69),2))</f>
        <v/>
      </c>
      <c r="N69" s="14" t="n"/>
      <c r="O69" s="19">
        <f>IF($B69="","",ROUND(N($N69)+SUMIFS(资金日记账!$J$4:$J$2503,资金日记账!$G$4:$G$2503,$B69,资金日记账!$F$4:$F$2503,"收款-项目")-SUMIFS(资金日记账!$K$4:$K$2503,资金日记账!$G$4:$G$2503,$B69,资金日记账!$F$4:$F$2503,"收款-项目"),2))</f>
        <v/>
      </c>
      <c r="P69" s="19">
        <f>IF($B69="","",ROUND($M69-$O69,2))</f>
        <v/>
      </c>
      <c r="Q69" s="17">
        <f>IF($B69="","",IF(AND($J69&lt;&gt;"",ROUND($P69,2)&lt;=0),"已完工·已结清",IF($J69&lt;&gt;"","已完工·还有尾款",IF($I69&lt;&gt;"","已安装",IF($H69&lt;&gt;"","已制作",IF($G69&lt;&gt;"","设计完成","已下单"))))))</f>
        <v/>
      </c>
      <c r="R69" s="13" t="n"/>
      <c r="S69" s="17">
        <f>IF($B69="","",IF(COUNTIF($B$4:$B$403,$B69)&gt;1,"※项目名重复了",IF(AND($C69&lt;&gt;"",ISNA(MATCH($C69,客户表,0))),"※客户不在基础资料里",IF(AND($J69&lt;&gt;"",$F69&lt;&gt;"",$J69&lt;$F69),"※完工日期早于下单日期",""))))</f>
        <v/>
      </c>
    </row>
    <row r="70">
      <c r="A70" s="17">
        <f>IF($B70="","","P"&amp;TEXT(ROW()-3,"000"))</f>
        <v/>
      </c>
      <c r="B70" s="13" t="inlineStr">
        <is>
          <t>全球购</t>
        </is>
      </c>
      <c r="C70" s="13" t="inlineStr">
        <is>
          <t>全球购</t>
        </is>
      </c>
      <c r="D70" s="13" t="inlineStr">
        <is>
          <t>门头招牌</t>
        </is>
      </c>
      <c r="E70" s="13" t="n"/>
      <c r="F70" s="18" t="n">
        <v>46154</v>
      </c>
      <c r="G70" s="18" t="n"/>
      <c r="H70" s="18" t="n"/>
      <c r="I70" s="18" t="n"/>
      <c r="J70" s="18" t="n"/>
      <c r="K70" s="14" t="n"/>
      <c r="L70" s="19">
        <f>IF($B70="","",ROUND(SUMIF(订单明细!$C:$C,$B70,订单明细!$I:$I),2))</f>
        <v/>
      </c>
      <c r="M70" s="19">
        <f>IF($B70="","",ROUND(N($K70)+N($L70),2))</f>
        <v/>
      </c>
      <c r="N70" s="14" t="n"/>
      <c r="O70" s="19">
        <f>IF($B70="","",ROUND(N($N70)+SUMIFS(资金日记账!$J$4:$J$2503,资金日记账!$G$4:$G$2503,$B70,资金日记账!$F$4:$F$2503,"收款-项目")-SUMIFS(资金日记账!$K$4:$K$2503,资金日记账!$G$4:$G$2503,$B70,资金日记账!$F$4:$F$2503,"收款-项目"),2))</f>
        <v/>
      </c>
      <c r="P70" s="19">
        <f>IF($B70="","",ROUND($M70-$O70,2))</f>
        <v/>
      </c>
      <c r="Q70" s="17">
        <f>IF($B70="","",IF(AND($J70&lt;&gt;"",ROUND($P70,2)&lt;=0),"已完工·已结清",IF($J70&lt;&gt;"","已完工·还有尾款",IF($I70&lt;&gt;"","已安装",IF($H70&lt;&gt;"","已制作",IF($G70&lt;&gt;"","设计完成","已下单"))))))</f>
        <v/>
      </c>
      <c r="R70" s="13" t="n"/>
      <c r="S70" s="17">
        <f>IF($B70="","",IF(COUNTIF($B$4:$B$403,$B70)&gt;1,"※项目名重复了",IF(AND($C70&lt;&gt;"",ISNA(MATCH($C70,客户表,0))),"※客户不在基础资料里",IF(AND($J70&lt;&gt;"",$F70&lt;&gt;"",$J70&lt;$F70),"※完工日期早于下单日期",""))))</f>
        <v/>
      </c>
    </row>
    <row r="71">
      <c r="A71" s="17">
        <f>IF($B71="","","P"&amp;TEXT(ROW()-3,"000"))</f>
        <v/>
      </c>
      <c r="B71" s="13" t="inlineStr">
        <is>
          <t>安格斯烤串</t>
        </is>
      </c>
      <c r="C71" s="13" t="inlineStr">
        <is>
          <t>安格斯烤串</t>
        </is>
      </c>
      <c r="D71" s="13" t="inlineStr">
        <is>
          <t>门头招牌</t>
        </is>
      </c>
      <c r="E71" s="13" t="n"/>
      <c r="F71" s="18" t="n">
        <v>46154</v>
      </c>
      <c r="G71" s="18" t="n"/>
      <c r="H71" s="18" t="n"/>
      <c r="I71" s="18" t="n"/>
      <c r="J71" s="18" t="n"/>
      <c r="K71" s="14" t="n"/>
      <c r="L71" s="19">
        <f>IF($B71="","",ROUND(SUMIF(订单明细!$C:$C,$B71,订单明细!$I:$I),2))</f>
        <v/>
      </c>
      <c r="M71" s="19">
        <f>IF($B71="","",ROUND(N($K71)+N($L71),2))</f>
        <v/>
      </c>
      <c r="N71" s="14" t="n"/>
      <c r="O71" s="19">
        <f>IF($B71="","",ROUND(N($N71)+SUMIFS(资金日记账!$J$4:$J$2503,资金日记账!$G$4:$G$2503,$B71,资金日记账!$F$4:$F$2503,"收款-项目")-SUMIFS(资金日记账!$K$4:$K$2503,资金日记账!$G$4:$G$2503,$B71,资金日记账!$F$4:$F$2503,"收款-项目"),2))</f>
        <v/>
      </c>
      <c r="P71" s="19">
        <f>IF($B71="","",ROUND($M71-$O71,2))</f>
        <v/>
      </c>
      <c r="Q71" s="17">
        <f>IF($B71="","",IF(AND($J71&lt;&gt;"",ROUND($P71,2)&lt;=0),"已完工·已结清",IF($J71&lt;&gt;"","已完工·还有尾款",IF($I71&lt;&gt;"","已安装",IF($H71&lt;&gt;"","已制作",IF($G71&lt;&gt;"","设计完成","已下单"))))))</f>
        <v/>
      </c>
      <c r="R71" s="13" t="n"/>
      <c r="S71" s="17">
        <f>IF($B71="","",IF(COUNTIF($B$4:$B$403,$B71)&gt;1,"※项目名重复了",IF(AND($C71&lt;&gt;"",ISNA(MATCH($C71,客户表,0))),"※客户不在基础资料里",IF(AND($J71&lt;&gt;"",$F71&lt;&gt;"",$J71&lt;$F71),"※完工日期早于下单日期",""))))</f>
        <v/>
      </c>
    </row>
    <row r="72">
      <c r="A72" s="17">
        <f>IF($B72="","","P"&amp;TEXT(ROW()-3,"000"))</f>
        <v/>
      </c>
      <c r="B72" s="13" t="inlineStr">
        <is>
          <t>行一文化</t>
        </is>
      </c>
      <c r="C72" s="13" t="inlineStr">
        <is>
          <t>行一文化</t>
        </is>
      </c>
      <c r="D72" s="13" t="inlineStr">
        <is>
          <t>门头招牌</t>
        </is>
      </c>
      <c r="E72" s="13" t="n"/>
      <c r="F72" s="18" t="n">
        <v>46156</v>
      </c>
      <c r="G72" s="18" t="n"/>
      <c r="H72" s="18" t="n"/>
      <c r="I72" s="18" t="n"/>
      <c r="J72" s="18" t="n"/>
      <c r="K72" s="14" t="n"/>
      <c r="L72" s="19">
        <f>IF($B72="","",ROUND(SUMIF(订单明细!$C:$C,$B72,订单明细!$I:$I),2))</f>
        <v/>
      </c>
      <c r="M72" s="19">
        <f>IF($B72="","",ROUND(N($K72)+N($L72),2))</f>
        <v/>
      </c>
      <c r="N72" s="14" t="n"/>
      <c r="O72" s="19">
        <f>IF($B72="","",ROUND(N($N72)+SUMIFS(资金日记账!$J$4:$J$2503,资金日记账!$G$4:$G$2503,$B72,资金日记账!$F$4:$F$2503,"收款-项目")-SUMIFS(资金日记账!$K$4:$K$2503,资金日记账!$G$4:$G$2503,$B72,资金日记账!$F$4:$F$2503,"收款-项目"),2))</f>
        <v/>
      </c>
      <c r="P72" s="19">
        <f>IF($B72="","",ROUND($M72-$O72,2))</f>
        <v/>
      </c>
      <c r="Q72" s="17">
        <f>IF($B72="","",IF(AND($J72&lt;&gt;"",ROUND($P72,2)&lt;=0),"已完工·已结清",IF($J72&lt;&gt;"","已完工·还有尾款",IF($I72&lt;&gt;"","已安装",IF($H72&lt;&gt;"","已制作",IF($G72&lt;&gt;"","设计完成","已下单"))))))</f>
        <v/>
      </c>
      <c r="R72" s="13" t="n"/>
      <c r="S72" s="17">
        <f>IF($B72="","",IF(COUNTIF($B$4:$B$403,$B72)&gt;1,"※项目名重复了",IF(AND($C72&lt;&gt;"",ISNA(MATCH($C72,客户表,0))),"※客户不在基础资料里",IF(AND($J72&lt;&gt;"",$F72&lt;&gt;"",$J72&lt;$F72),"※完工日期早于下单日期",""))))</f>
        <v/>
      </c>
    </row>
    <row r="73">
      <c r="A73" s="17">
        <f>IF($B73="","","P"&amp;TEXT(ROW()-3,"000"))</f>
        <v/>
      </c>
      <c r="B73" s="13" t="inlineStr">
        <is>
          <t>安格斯牛肉串</t>
        </is>
      </c>
      <c r="C73" s="13" t="inlineStr">
        <is>
          <t>安格斯牛肉串</t>
        </is>
      </c>
      <c r="D73" s="13" t="inlineStr">
        <is>
          <t>门头招牌</t>
        </is>
      </c>
      <c r="E73" s="13" t="n"/>
      <c r="F73" s="18" t="n">
        <v>46157</v>
      </c>
      <c r="G73" s="18" t="n"/>
      <c r="H73" s="18" t="n"/>
      <c r="I73" s="18" t="n"/>
      <c r="J73" s="18" t="n"/>
      <c r="K73" s="14" t="n"/>
      <c r="L73" s="19">
        <f>IF($B73="","",ROUND(SUMIF(订单明细!$C:$C,$B73,订单明细!$I:$I),2))</f>
        <v/>
      </c>
      <c r="M73" s="19">
        <f>IF($B73="","",ROUND(N($K73)+N($L73),2))</f>
        <v/>
      </c>
      <c r="N73" s="14" t="n"/>
      <c r="O73" s="19">
        <f>IF($B73="","",ROUND(N($N73)+SUMIFS(资金日记账!$J$4:$J$2503,资金日记账!$G$4:$G$2503,$B73,资金日记账!$F$4:$F$2503,"收款-项目")-SUMIFS(资金日记账!$K$4:$K$2503,资金日记账!$G$4:$G$2503,$B73,资金日记账!$F$4:$F$2503,"收款-项目"),2))</f>
        <v/>
      </c>
      <c r="P73" s="19">
        <f>IF($B73="","",ROUND($M73-$O73,2))</f>
        <v/>
      </c>
      <c r="Q73" s="17">
        <f>IF($B73="","",IF(AND($J73&lt;&gt;"",ROUND($P73,2)&lt;=0),"已完工·已结清",IF($J73&lt;&gt;"","已完工·还有尾款",IF($I73&lt;&gt;"","已安装",IF($H73&lt;&gt;"","已制作",IF($G73&lt;&gt;"","设计完成","已下单"))))))</f>
        <v/>
      </c>
      <c r="R73" s="13" t="n"/>
      <c r="S73" s="17">
        <f>IF($B73="","",IF(COUNTIF($B$4:$B$403,$B73)&gt;1,"※项目名重复了",IF(AND($C73&lt;&gt;"",ISNA(MATCH($C73,客户表,0))),"※客户不在基础资料里",IF(AND($J73&lt;&gt;"",$F73&lt;&gt;"",$J73&lt;$F73),"※完工日期早于下单日期",""))))</f>
        <v/>
      </c>
    </row>
    <row r="74">
      <c r="A74" s="17">
        <f>IF($B74="","","P"&amp;TEXT(ROW()-3,"000"))</f>
        <v/>
      </c>
      <c r="B74" s="13" t="inlineStr">
        <is>
          <t>旺牛鲜牛鱼火锅</t>
        </is>
      </c>
      <c r="C74" s="13" t="inlineStr">
        <is>
          <t>旺牛鲜牛鱼火锅</t>
        </is>
      </c>
      <c r="D74" s="13" t="inlineStr">
        <is>
          <t>门头招牌</t>
        </is>
      </c>
      <c r="E74" s="13" t="n"/>
      <c r="F74" s="18" t="n">
        <v>46164</v>
      </c>
      <c r="G74" s="18" t="n"/>
      <c r="H74" s="18" t="n"/>
      <c r="I74" s="18" t="n"/>
      <c r="J74" s="18" t="n"/>
      <c r="K74" s="14" t="n"/>
      <c r="L74" s="19">
        <f>IF($B74="","",ROUND(SUMIF(订单明细!$C:$C,$B74,订单明细!$I:$I),2))</f>
        <v/>
      </c>
      <c r="M74" s="19">
        <f>IF($B74="","",ROUND(N($K74)+N($L74),2))</f>
        <v/>
      </c>
      <c r="N74" s="14" t="n"/>
      <c r="O74" s="19">
        <f>IF($B74="","",ROUND(N($N74)+SUMIFS(资金日记账!$J$4:$J$2503,资金日记账!$G$4:$G$2503,$B74,资金日记账!$F$4:$F$2503,"收款-项目")-SUMIFS(资金日记账!$K$4:$K$2503,资金日记账!$G$4:$G$2503,$B74,资金日记账!$F$4:$F$2503,"收款-项目"),2))</f>
        <v/>
      </c>
      <c r="P74" s="19">
        <f>IF($B74="","",ROUND($M74-$O74,2))</f>
        <v/>
      </c>
      <c r="Q74" s="17">
        <f>IF($B74="","",IF(AND($J74&lt;&gt;"",ROUND($P74,2)&lt;=0),"已完工·已结清",IF($J74&lt;&gt;"","已完工·还有尾款",IF($I74&lt;&gt;"","已安装",IF($H74&lt;&gt;"","已制作",IF($G74&lt;&gt;"","设计完成","已下单"))))))</f>
        <v/>
      </c>
      <c r="R74" s="13" t="n"/>
      <c r="S74" s="17">
        <f>IF($B74="","",IF(COUNTIF($B$4:$B$403,$B74)&gt;1,"※项目名重复了",IF(AND($C74&lt;&gt;"",ISNA(MATCH($C74,客户表,0))),"※客户不在基础资料里",IF(AND($J74&lt;&gt;"",$F74&lt;&gt;"",$J74&lt;$F74),"※完工日期早于下单日期",""))))</f>
        <v/>
      </c>
    </row>
    <row r="75">
      <c r="A75" s="17">
        <f>IF($B75="","","P"&amp;TEXT(ROW()-3,"000"))</f>
        <v/>
      </c>
      <c r="B75" s="13" t="inlineStr">
        <is>
          <t>沁心境界</t>
        </is>
      </c>
      <c r="C75" s="13" t="inlineStr">
        <is>
          <t>沁心境界</t>
        </is>
      </c>
      <c r="D75" s="13" t="inlineStr">
        <is>
          <t>门头招牌</t>
        </is>
      </c>
      <c r="E75" s="13" t="n"/>
      <c r="F75" s="18" t="n">
        <v>46165</v>
      </c>
      <c r="G75" s="18" t="n"/>
      <c r="H75" s="18" t="n"/>
      <c r="I75" s="18" t="n"/>
      <c r="J75" s="18" t="n"/>
      <c r="K75" s="14" t="n"/>
      <c r="L75" s="19">
        <f>IF($B75="","",ROUND(SUMIF(订单明细!$C:$C,$B75,订单明细!$I:$I),2))</f>
        <v/>
      </c>
      <c r="M75" s="19">
        <f>IF($B75="","",ROUND(N($K75)+N($L75),2))</f>
        <v/>
      </c>
      <c r="N75" s="14" t="n"/>
      <c r="O75" s="19">
        <f>IF($B75="","",ROUND(N($N75)+SUMIFS(资金日记账!$J$4:$J$2503,资金日记账!$G$4:$G$2503,$B75,资金日记账!$F$4:$F$2503,"收款-项目")-SUMIFS(资金日记账!$K$4:$K$2503,资金日记账!$G$4:$G$2503,$B75,资金日记账!$F$4:$F$2503,"收款-项目"),2))</f>
        <v/>
      </c>
      <c r="P75" s="19">
        <f>IF($B75="","",ROUND($M75-$O75,2))</f>
        <v/>
      </c>
      <c r="Q75" s="17">
        <f>IF($B75="","",IF(AND($J75&lt;&gt;"",ROUND($P75,2)&lt;=0),"已完工·已结清",IF($J75&lt;&gt;"","已完工·还有尾款",IF($I75&lt;&gt;"","已安装",IF($H75&lt;&gt;"","已制作",IF($G75&lt;&gt;"","设计完成","已下单"))))))</f>
        <v/>
      </c>
      <c r="R75" s="13" t="n"/>
      <c r="S75" s="17">
        <f>IF($B75="","",IF(COUNTIF($B$4:$B$403,$B75)&gt;1,"※项目名重复了",IF(AND($C75&lt;&gt;"",ISNA(MATCH($C75,客户表,0))),"※客户不在基础资料里",IF(AND($J75&lt;&gt;"",$F75&lt;&gt;"",$J75&lt;$F75),"※完工日期早于下单日期",""))))</f>
        <v/>
      </c>
    </row>
    <row r="76">
      <c r="A76" s="17">
        <f>IF($B76="","","P"&amp;TEXT(ROW()-3,"000"))</f>
        <v/>
      </c>
      <c r="B76" s="13" t="inlineStr">
        <is>
          <t>七欣天</t>
        </is>
      </c>
      <c r="C76" s="13" t="inlineStr">
        <is>
          <t>七欣天</t>
        </is>
      </c>
      <c r="D76" s="13" t="inlineStr">
        <is>
          <t>门头招牌</t>
        </is>
      </c>
      <c r="E76" s="13" t="n"/>
      <c r="F76" s="18" t="n">
        <v>46165</v>
      </c>
      <c r="G76" s="18" t="n"/>
      <c r="H76" s="18" t="n"/>
      <c r="I76" s="18" t="n"/>
      <c r="J76" s="18" t="n"/>
      <c r="K76" s="14" t="n"/>
      <c r="L76" s="19">
        <f>IF($B76="","",ROUND(SUMIF(订单明细!$C:$C,$B76,订单明细!$I:$I),2))</f>
        <v/>
      </c>
      <c r="M76" s="19">
        <f>IF($B76="","",ROUND(N($K76)+N($L76),2))</f>
        <v/>
      </c>
      <c r="N76" s="14" t="n"/>
      <c r="O76" s="19">
        <f>IF($B76="","",ROUND(N($N76)+SUMIFS(资金日记账!$J$4:$J$2503,资金日记账!$G$4:$G$2503,$B76,资金日记账!$F$4:$F$2503,"收款-项目")-SUMIFS(资金日记账!$K$4:$K$2503,资金日记账!$G$4:$G$2503,$B76,资金日记账!$F$4:$F$2503,"收款-项目"),2))</f>
        <v/>
      </c>
      <c r="P76" s="19">
        <f>IF($B76="","",ROUND($M76-$O76,2))</f>
        <v/>
      </c>
      <c r="Q76" s="17">
        <f>IF($B76="","",IF(AND($J76&lt;&gt;"",ROUND($P76,2)&lt;=0),"已完工·已结清",IF($J76&lt;&gt;"","已完工·还有尾款",IF($I76&lt;&gt;"","已安装",IF($H76&lt;&gt;"","已制作",IF($G76&lt;&gt;"","设计完成","已下单"))))))</f>
        <v/>
      </c>
      <c r="R76" s="13" t="n"/>
      <c r="S76" s="17">
        <f>IF($B76="","",IF(COUNTIF($B$4:$B$403,$B76)&gt;1,"※项目名重复了",IF(AND($C76&lt;&gt;"",ISNA(MATCH($C76,客户表,0))),"※客户不在基础资料里",IF(AND($J76&lt;&gt;"",$F76&lt;&gt;"",$J76&lt;$F76),"※完工日期早于下单日期",""))))</f>
        <v/>
      </c>
    </row>
    <row r="77">
      <c r="A77" s="17">
        <f>IF($B77="","","P"&amp;TEXT(ROW()-3,"000"))</f>
        <v/>
      </c>
      <c r="B77" s="13" t="inlineStr">
        <is>
          <t>贵州烙锅</t>
        </is>
      </c>
      <c r="C77" s="13" t="inlineStr">
        <is>
          <t>贵州烙锅</t>
        </is>
      </c>
      <c r="D77" s="13" t="inlineStr">
        <is>
          <t>门头招牌</t>
        </is>
      </c>
      <c r="E77" s="13" t="n"/>
      <c r="F77" s="18" t="n">
        <v>46165</v>
      </c>
      <c r="G77" s="18" t="n"/>
      <c r="H77" s="18" t="n"/>
      <c r="I77" s="18" t="n"/>
      <c r="J77" s="18" t="n"/>
      <c r="K77" s="14" t="n"/>
      <c r="L77" s="19">
        <f>IF($B77="","",ROUND(SUMIF(订单明细!$C:$C,$B77,订单明细!$I:$I),2))</f>
        <v/>
      </c>
      <c r="M77" s="19">
        <f>IF($B77="","",ROUND(N($K77)+N($L77),2))</f>
        <v/>
      </c>
      <c r="N77" s="14" t="n"/>
      <c r="O77" s="19">
        <f>IF($B77="","",ROUND(N($N77)+SUMIFS(资金日记账!$J$4:$J$2503,资金日记账!$G$4:$G$2503,$B77,资金日记账!$F$4:$F$2503,"收款-项目")-SUMIFS(资金日记账!$K$4:$K$2503,资金日记账!$G$4:$G$2503,$B77,资金日记账!$F$4:$F$2503,"收款-项目"),2))</f>
        <v/>
      </c>
      <c r="P77" s="19">
        <f>IF($B77="","",ROUND($M77-$O77,2))</f>
        <v/>
      </c>
      <c r="Q77" s="17">
        <f>IF($B77="","",IF(AND($J77&lt;&gt;"",ROUND($P77,2)&lt;=0),"已完工·已结清",IF($J77&lt;&gt;"","已完工·还有尾款",IF($I77&lt;&gt;"","已安装",IF($H77&lt;&gt;"","已制作",IF($G77&lt;&gt;"","设计完成","已下单"))))))</f>
        <v/>
      </c>
      <c r="R77" s="13" t="n"/>
      <c r="S77" s="17">
        <f>IF($B77="","",IF(COUNTIF($B$4:$B$403,$B77)&gt;1,"※项目名重复了",IF(AND($C77&lt;&gt;"",ISNA(MATCH($C77,客户表,0))),"※客户不在基础资料里",IF(AND($J77&lt;&gt;"",$F77&lt;&gt;"",$J77&lt;$F77),"※完工日期早于下单日期",""))))</f>
        <v/>
      </c>
    </row>
    <row r="78">
      <c r="A78" s="17">
        <f>IF($B78="","","P"&amp;TEXT(ROW()-3,"000"))</f>
        <v/>
      </c>
      <c r="B78" s="13" t="inlineStr">
        <is>
          <t>顺丰月结</t>
        </is>
      </c>
      <c r="C78" s="13" t="inlineStr">
        <is>
          <t>顺丰月结</t>
        </is>
      </c>
      <c r="D78" s="13" t="inlineStr">
        <is>
          <t>门头招牌</t>
        </is>
      </c>
      <c r="E78" s="13" t="n"/>
      <c r="F78" s="18" t="n">
        <v>46169</v>
      </c>
      <c r="G78" s="18" t="n"/>
      <c r="H78" s="18" t="n"/>
      <c r="I78" s="18" t="n"/>
      <c r="J78" s="18" t="n"/>
      <c r="K78" s="14" t="n"/>
      <c r="L78" s="19">
        <f>IF($B78="","",ROUND(SUMIF(订单明细!$C:$C,$B78,订单明细!$I:$I),2))</f>
        <v/>
      </c>
      <c r="M78" s="19">
        <f>IF($B78="","",ROUND(N($K78)+N($L78),2))</f>
        <v/>
      </c>
      <c r="N78" s="14" t="n"/>
      <c r="O78" s="19">
        <f>IF($B78="","",ROUND(N($N78)+SUMIFS(资金日记账!$J$4:$J$2503,资金日记账!$G$4:$G$2503,$B78,资金日记账!$F$4:$F$2503,"收款-项目")-SUMIFS(资金日记账!$K$4:$K$2503,资金日记账!$G$4:$G$2503,$B78,资金日记账!$F$4:$F$2503,"收款-项目"),2))</f>
        <v/>
      </c>
      <c r="P78" s="19">
        <f>IF($B78="","",ROUND($M78-$O78,2))</f>
        <v/>
      </c>
      <c r="Q78" s="17">
        <f>IF($B78="","",IF(AND($J78&lt;&gt;"",ROUND($P78,2)&lt;=0),"已完工·已结清",IF($J78&lt;&gt;"","已完工·还有尾款",IF($I78&lt;&gt;"","已安装",IF($H78&lt;&gt;"","已制作",IF($G78&lt;&gt;"","设计完成","已下单"))))))</f>
        <v/>
      </c>
      <c r="R78" s="13" t="n"/>
      <c r="S78" s="17">
        <f>IF($B78="","",IF(COUNTIF($B$4:$B$403,$B78)&gt;1,"※项目名重复了",IF(AND($C78&lt;&gt;"",ISNA(MATCH($C78,客户表,0))),"※客户不在基础资料里",IF(AND($J78&lt;&gt;"",$F78&lt;&gt;"",$J78&lt;$F78),"※完工日期早于下单日期",""))))</f>
        <v/>
      </c>
    </row>
    <row r="79">
      <c r="A79" s="17">
        <f>IF($B79="","","P"&amp;TEXT(ROW()-3,"000"))</f>
        <v/>
      </c>
      <c r="B79" s="13" t="inlineStr">
        <is>
          <t>兴成公寓</t>
        </is>
      </c>
      <c r="C79" s="13" t="inlineStr">
        <is>
          <t>兴成公寓</t>
        </is>
      </c>
      <c r="D79" s="13" t="inlineStr">
        <is>
          <t>门头招牌</t>
        </is>
      </c>
      <c r="E79" s="13" t="n"/>
      <c r="F79" s="18" t="n">
        <v>46172</v>
      </c>
      <c r="G79" s="18" t="n"/>
      <c r="H79" s="18" t="n"/>
      <c r="I79" s="18" t="n"/>
      <c r="J79" s="18" t="n"/>
      <c r="K79" s="14" t="n"/>
      <c r="L79" s="19">
        <f>IF($B79="","",ROUND(SUMIF(订单明细!$C:$C,$B79,订单明细!$I:$I),2))</f>
        <v/>
      </c>
      <c r="M79" s="19">
        <f>IF($B79="","",ROUND(N($K79)+N($L79),2))</f>
        <v/>
      </c>
      <c r="N79" s="14" t="n"/>
      <c r="O79" s="19">
        <f>IF($B79="","",ROUND(N($N79)+SUMIFS(资金日记账!$J$4:$J$2503,资金日记账!$G$4:$G$2503,$B79,资金日记账!$F$4:$F$2503,"收款-项目")-SUMIFS(资金日记账!$K$4:$K$2503,资金日记账!$G$4:$G$2503,$B79,资金日记账!$F$4:$F$2503,"收款-项目"),2))</f>
        <v/>
      </c>
      <c r="P79" s="19">
        <f>IF($B79="","",ROUND($M79-$O79,2))</f>
        <v/>
      </c>
      <c r="Q79" s="17">
        <f>IF($B79="","",IF(AND($J79&lt;&gt;"",ROUND($P79,2)&lt;=0),"已完工·已结清",IF($J79&lt;&gt;"","已完工·还有尾款",IF($I79&lt;&gt;"","已安装",IF($H79&lt;&gt;"","已制作",IF($G79&lt;&gt;"","设计完成","已下单"))))))</f>
        <v/>
      </c>
      <c r="R79" s="13" t="n"/>
      <c r="S79" s="17">
        <f>IF($B79="","",IF(COUNTIF($B$4:$B$403,$B79)&gt;1,"※项目名重复了",IF(AND($C79&lt;&gt;"",ISNA(MATCH($C79,客户表,0))),"※客户不在基础资料里",IF(AND($J79&lt;&gt;"",$F79&lt;&gt;"",$J79&lt;$F79),"※完工日期早于下单日期",""))))</f>
        <v/>
      </c>
    </row>
    <row r="80">
      <c r="A80" s="17">
        <f>IF($B80="","","P"&amp;TEXT(ROW()-3,"000"))</f>
        <v/>
      </c>
      <c r="B80" s="13" t="inlineStr">
        <is>
          <t>丰汇新材料</t>
        </is>
      </c>
      <c r="C80" s="13" t="inlineStr">
        <is>
          <t>丰汇新材料</t>
        </is>
      </c>
      <c r="D80" s="13" t="inlineStr">
        <is>
          <t>门头招牌</t>
        </is>
      </c>
      <c r="E80" s="13" t="n"/>
      <c r="F80" s="18" t="n">
        <v>46172</v>
      </c>
      <c r="G80" s="18" t="n"/>
      <c r="H80" s="18" t="n"/>
      <c r="I80" s="18" t="n"/>
      <c r="J80" s="18" t="n"/>
      <c r="K80" s="14" t="n"/>
      <c r="L80" s="19">
        <f>IF($B80="","",ROUND(SUMIF(订单明细!$C:$C,$B80,订单明细!$I:$I),2))</f>
        <v/>
      </c>
      <c r="M80" s="19">
        <f>IF($B80="","",ROUND(N($K80)+N($L80),2))</f>
        <v/>
      </c>
      <c r="N80" s="14" t="n"/>
      <c r="O80" s="19">
        <f>IF($B80="","",ROUND(N($N80)+SUMIFS(资金日记账!$J$4:$J$2503,资金日记账!$G$4:$G$2503,$B80,资金日记账!$F$4:$F$2503,"收款-项目")-SUMIFS(资金日记账!$K$4:$K$2503,资金日记账!$G$4:$G$2503,$B80,资金日记账!$F$4:$F$2503,"收款-项目"),2))</f>
        <v/>
      </c>
      <c r="P80" s="19">
        <f>IF($B80="","",ROUND($M80-$O80,2))</f>
        <v/>
      </c>
      <c r="Q80" s="17">
        <f>IF($B80="","",IF(AND($J80&lt;&gt;"",ROUND($P80,2)&lt;=0),"已完工·已结清",IF($J80&lt;&gt;"","已完工·还有尾款",IF($I80&lt;&gt;"","已安装",IF($H80&lt;&gt;"","已制作",IF($G80&lt;&gt;"","设计完成","已下单"))))))</f>
        <v/>
      </c>
      <c r="R80" s="13" t="n"/>
      <c r="S80" s="17">
        <f>IF($B80="","",IF(COUNTIF($B$4:$B$403,$B80)&gt;1,"※项目名重复了",IF(AND($C80&lt;&gt;"",ISNA(MATCH($C80,客户表,0))),"※客户不在基础资料里",IF(AND($J80&lt;&gt;"",$F80&lt;&gt;"",$J80&lt;$F80),"※完工日期早于下单日期",""))))</f>
        <v/>
      </c>
    </row>
    <row r="81">
      <c r="A81" s="17">
        <f>IF($B81="","","P"&amp;TEXT(ROW()-3,"000"))</f>
        <v/>
      </c>
      <c r="B81" s="13" t="inlineStr">
        <is>
          <t>容研秀</t>
        </is>
      </c>
      <c r="C81" s="13" t="inlineStr">
        <is>
          <t>容研秀</t>
        </is>
      </c>
      <c r="D81" s="13" t="inlineStr">
        <is>
          <t>门头招牌</t>
        </is>
      </c>
      <c r="E81" s="13" t="n"/>
      <c r="F81" s="18" t="n">
        <v>46174</v>
      </c>
      <c r="G81" s="18" t="n"/>
      <c r="H81" s="18" t="n"/>
      <c r="I81" s="18" t="n"/>
      <c r="J81" s="18" t="n"/>
      <c r="K81" s="14" t="n"/>
      <c r="L81" s="19">
        <f>IF($B81="","",ROUND(SUMIF(订单明细!$C:$C,$B81,订单明细!$I:$I),2))</f>
        <v/>
      </c>
      <c r="M81" s="19">
        <f>IF($B81="","",ROUND(N($K81)+N($L81),2))</f>
        <v/>
      </c>
      <c r="N81" s="14" t="n"/>
      <c r="O81" s="19">
        <f>IF($B81="","",ROUND(N($N81)+SUMIFS(资金日记账!$J$4:$J$2503,资金日记账!$G$4:$G$2503,$B81,资金日记账!$F$4:$F$2503,"收款-项目")-SUMIFS(资金日记账!$K$4:$K$2503,资金日记账!$G$4:$G$2503,$B81,资金日记账!$F$4:$F$2503,"收款-项目"),2))</f>
        <v/>
      </c>
      <c r="P81" s="19">
        <f>IF($B81="","",ROUND($M81-$O81,2))</f>
        <v/>
      </c>
      <c r="Q81" s="17">
        <f>IF($B81="","",IF(AND($J81&lt;&gt;"",ROUND($P81,2)&lt;=0),"已完工·已结清",IF($J81&lt;&gt;"","已完工·还有尾款",IF($I81&lt;&gt;"","已安装",IF($H81&lt;&gt;"","已制作",IF($G81&lt;&gt;"","设计完成","已下单"))))))</f>
        <v/>
      </c>
      <c r="R81" s="13" t="n"/>
      <c r="S81" s="17">
        <f>IF($B81="","",IF(COUNTIF($B$4:$B$403,$B81)&gt;1,"※项目名重复了",IF(AND($C81&lt;&gt;"",ISNA(MATCH($C81,客户表,0))),"※客户不在基础资料里",IF(AND($J81&lt;&gt;"",$F81&lt;&gt;"",$J81&lt;$F81),"※完工日期早于下单日期",""))))</f>
        <v/>
      </c>
    </row>
    <row r="82">
      <c r="A82" s="17">
        <f>IF($B82="","","P"&amp;TEXT(ROW()-3,"000"))</f>
        <v/>
      </c>
      <c r="B82" s="13" t="inlineStr">
        <is>
          <t>泰纳水果店</t>
        </is>
      </c>
      <c r="C82" s="13" t="inlineStr">
        <is>
          <t>泰纳水果店</t>
        </is>
      </c>
      <c r="D82" s="13" t="inlineStr">
        <is>
          <t>门头招牌</t>
        </is>
      </c>
      <c r="E82" s="13" t="n"/>
      <c r="F82" s="18" t="n">
        <v>46174</v>
      </c>
      <c r="G82" s="18" t="n"/>
      <c r="H82" s="18" t="n"/>
      <c r="I82" s="18" t="n"/>
      <c r="J82" s="18" t="n"/>
      <c r="K82" s="14" t="n"/>
      <c r="L82" s="19">
        <f>IF($B82="","",ROUND(SUMIF(订单明细!$C:$C,$B82,订单明细!$I:$I),2))</f>
        <v/>
      </c>
      <c r="M82" s="19">
        <f>IF($B82="","",ROUND(N($K82)+N($L82),2))</f>
        <v/>
      </c>
      <c r="N82" s="14" t="n"/>
      <c r="O82" s="19">
        <f>IF($B82="","",ROUND(N($N82)+SUMIFS(资金日记账!$J$4:$J$2503,资金日记账!$G$4:$G$2503,$B82,资金日记账!$F$4:$F$2503,"收款-项目")-SUMIFS(资金日记账!$K$4:$K$2503,资金日记账!$G$4:$G$2503,$B82,资金日记账!$F$4:$F$2503,"收款-项目"),2))</f>
        <v/>
      </c>
      <c r="P82" s="19">
        <f>IF($B82="","",ROUND($M82-$O82,2))</f>
        <v/>
      </c>
      <c r="Q82" s="17">
        <f>IF($B82="","",IF(AND($J82&lt;&gt;"",ROUND($P82,2)&lt;=0),"已完工·已结清",IF($J82&lt;&gt;"","已完工·还有尾款",IF($I82&lt;&gt;"","已安装",IF($H82&lt;&gt;"","已制作",IF($G82&lt;&gt;"","设计完成","已下单"))))))</f>
        <v/>
      </c>
      <c r="R82" s="13" t="n"/>
      <c r="S82" s="17">
        <f>IF($B82="","",IF(COUNTIF($B$4:$B$403,$B82)&gt;1,"※项目名重复了",IF(AND($C82&lt;&gt;"",ISNA(MATCH($C82,客户表,0))),"※客户不在基础资料里",IF(AND($J82&lt;&gt;"",$F82&lt;&gt;"",$J82&lt;$F82),"※完工日期早于下单日期",""))))</f>
        <v/>
      </c>
    </row>
    <row r="83">
      <c r="A83" s="17">
        <f>IF($B83="","","P"&amp;TEXT(ROW()-3,"000"))</f>
        <v/>
      </c>
      <c r="B83" s="13" t="inlineStr">
        <is>
          <t>本哺未来</t>
        </is>
      </c>
      <c r="C83" s="13" t="inlineStr">
        <is>
          <t>本哺未来</t>
        </is>
      </c>
      <c r="D83" s="13" t="inlineStr">
        <is>
          <t>门头招牌</t>
        </is>
      </c>
      <c r="E83" s="13" t="n"/>
      <c r="F83" s="18" t="n">
        <v>46175</v>
      </c>
      <c r="G83" s="18" t="n"/>
      <c r="H83" s="18" t="n"/>
      <c r="I83" s="18" t="n"/>
      <c r="J83" s="18" t="n"/>
      <c r="K83" s="14" t="n"/>
      <c r="L83" s="19">
        <f>IF($B83="","",ROUND(SUMIF(订单明细!$C:$C,$B83,订单明细!$I:$I),2))</f>
        <v/>
      </c>
      <c r="M83" s="19">
        <f>IF($B83="","",ROUND(N($K83)+N($L83),2))</f>
        <v/>
      </c>
      <c r="N83" s="14" t="n"/>
      <c r="O83" s="19">
        <f>IF($B83="","",ROUND(N($N83)+SUMIFS(资金日记账!$J$4:$J$2503,资金日记账!$G$4:$G$2503,$B83,资金日记账!$F$4:$F$2503,"收款-项目")-SUMIFS(资金日记账!$K$4:$K$2503,资金日记账!$G$4:$G$2503,$B83,资金日记账!$F$4:$F$2503,"收款-项目"),2))</f>
        <v/>
      </c>
      <c r="P83" s="19">
        <f>IF($B83="","",ROUND($M83-$O83,2))</f>
        <v/>
      </c>
      <c r="Q83" s="17">
        <f>IF($B83="","",IF(AND($J83&lt;&gt;"",ROUND($P83,2)&lt;=0),"已完工·已结清",IF($J83&lt;&gt;"","已完工·还有尾款",IF($I83&lt;&gt;"","已安装",IF($H83&lt;&gt;"","已制作",IF($G83&lt;&gt;"","设计完成","已下单"))))))</f>
        <v/>
      </c>
      <c r="R83" s="13" t="n"/>
      <c r="S83" s="17">
        <f>IF($B83="","",IF(COUNTIF($B$4:$B$403,$B83)&gt;1,"※项目名重复了",IF(AND($C83&lt;&gt;"",ISNA(MATCH($C83,客户表,0))),"※客户不在基础资料里",IF(AND($J83&lt;&gt;"",$F83&lt;&gt;"",$J83&lt;$F83),"※完工日期早于下单日期",""))))</f>
        <v/>
      </c>
    </row>
    <row r="84">
      <c r="A84" s="17">
        <f>IF($B84="","","P"&amp;TEXT(ROW()-3,"000"))</f>
        <v/>
      </c>
      <c r="B84" s="13" t="inlineStr">
        <is>
          <t>乔兴装饰</t>
        </is>
      </c>
      <c r="C84" s="13" t="inlineStr">
        <is>
          <t>乔兴装饰</t>
        </is>
      </c>
      <c r="D84" s="13" t="inlineStr">
        <is>
          <t>门头招牌</t>
        </is>
      </c>
      <c r="E84" s="13" t="n"/>
      <c r="F84" s="18" t="n">
        <v>46177</v>
      </c>
      <c r="G84" s="18" t="n"/>
      <c r="H84" s="18" t="n"/>
      <c r="I84" s="18" t="n"/>
      <c r="J84" s="18" t="n"/>
      <c r="K84" s="14" t="n"/>
      <c r="L84" s="19">
        <f>IF($B84="","",ROUND(SUMIF(订单明细!$C:$C,$B84,订单明细!$I:$I),2))</f>
        <v/>
      </c>
      <c r="M84" s="19">
        <f>IF($B84="","",ROUND(N($K84)+N($L84),2))</f>
        <v/>
      </c>
      <c r="N84" s="14" t="n"/>
      <c r="O84" s="19">
        <f>IF($B84="","",ROUND(N($N84)+SUMIFS(资金日记账!$J$4:$J$2503,资金日记账!$G$4:$G$2503,$B84,资金日记账!$F$4:$F$2503,"收款-项目")-SUMIFS(资金日记账!$K$4:$K$2503,资金日记账!$G$4:$G$2503,$B84,资金日记账!$F$4:$F$2503,"收款-项目"),2))</f>
        <v/>
      </c>
      <c r="P84" s="19">
        <f>IF($B84="","",ROUND($M84-$O84,2))</f>
        <v/>
      </c>
      <c r="Q84" s="17">
        <f>IF($B84="","",IF(AND($J84&lt;&gt;"",ROUND($P84,2)&lt;=0),"已完工·已结清",IF($J84&lt;&gt;"","已完工·还有尾款",IF($I84&lt;&gt;"","已安装",IF($H84&lt;&gt;"","已制作",IF($G84&lt;&gt;"","设计完成","已下单"))))))</f>
        <v/>
      </c>
      <c r="R84" s="13" t="n"/>
      <c r="S84" s="17">
        <f>IF($B84="","",IF(COUNTIF($B$4:$B$403,$B84)&gt;1,"※项目名重复了",IF(AND($C84&lt;&gt;"",ISNA(MATCH($C84,客户表,0))),"※客户不在基础资料里",IF(AND($J84&lt;&gt;"",$F84&lt;&gt;"",$J84&lt;$F84),"※完工日期早于下单日期",""))))</f>
        <v/>
      </c>
    </row>
    <row r="85">
      <c r="A85" s="17">
        <f>IF($B85="","","P"&amp;TEXT(ROW()-3,"000"))</f>
        <v/>
      </c>
      <c r="B85" s="13" t="inlineStr">
        <is>
          <t>春风十里</t>
        </is>
      </c>
      <c r="C85" s="13" t="inlineStr">
        <is>
          <t>春风十里</t>
        </is>
      </c>
      <c r="D85" s="13" t="inlineStr">
        <is>
          <t>门头招牌</t>
        </is>
      </c>
      <c r="E85" s="13" t="n"/>
      <c r="F85" s="18" t="n">
        <v>46177</v>
      </c>
      <c r="G85" s="18" t="n"/>
      <c r="H85" s="18" t="n"/>
      <c r="I85" s="18" t="n"/>
      <c r="J85" s="18" t="n"/>
      <c r="K85" s="14" t="n"/>
      <c r="L85" s="19">
        <f>IF($B85="","",ROUND(SUMIF(订单明细!$C:$C,$B85,订单明细!$I:$I),2))</f>
        <v/>
      </c>
      <c r="M85" s="19">
        <f>IF($B85="","",ROUND(N($K85)+N($L85),2))</f>
        <v/>
      </c>
      <c r="N85" s="14" t="n"/>
      <c r="O85" s="19">
        <f>IF($B85="","",ROUND(N($N85)+SUMIFS(资金日记账!$J$4:$J$2503,资金日记账!$G$4:$G$2503,$B85,资金日记账!$F$4:$F$2503,"收款-项目")-SUMIFS(资金日记账!$K$4:$K$2503,资金日记账!$G$4:$G$2503,$B85,资金日记账!$F$4:$F$2503,"收款-项目"),2))</f>
        <v/>
      </c>
      <c r="P85" s="19">
        <f>IF($B85="","",ROUND($M85-$O85,2))</f>
        <v/>
      </c>
      <c r="Q85" s="17">
        <f>IF($B85="","",IF(AND($J85&lt;&gt;"",ROUND($P85,2)&lt;=0),"已完工·已结清",IF($J85&lt;&gt;"","已完工·还有尾款",IF($I85&lt;&gt;"","已安装",IF($H85&lt;&gt;"","已制作",IF($G85&lt;&gt;"","设计完成","已下单"))))))</f>
        <v/>
      </c>
      <c r="R85" s="13" t="n"/>
      <c r="S85" s="17">
        <f>IF($B85="","",IF(COUNTIF($B$4:$B$403,$B85)&gt;1,"※项目名重复了",IF(AND($C85&lt;&gt;"",ISNA(MATCH($C85,客户表,0))),"※客户不在基础资料里",IF(AND($J85&lt;&gt;"",$F85&lt;&gt;"",$J85&lt;$F85),"※完工日期早于下单日期",""))))</f>
        <v/>
      </c>
    </row>
    <row r="86">
      <c r="A86" s="17">
        <f>IF($B86="","","P"&amp;TEXT(ROW()-3,"000"))</f>
        <v/>
      </c>
      <c r="B86" s="13" t="inlineStr">
        <is>
          <t>荣创达</t>
        </is>
      </c>
      <c r="C86" s="13" t="inlineStr">
        <is>
          <t>荣创达</t>
        </is>
      </c>
      <c r="D86" s="13" t="inlineStr">
        <is>
          <t>门头招牌</t>
        </is>
      </c>
      <c r="E86" s="13" t="n"/>
      <c r="F86" s="18" t="n">
        <v>46184</v>
      </c>
      <c r="G86" s="18" t="n"/>
      <c r="H86" s="18" t="n"/>
      <c r="I86" s="18" t="n"/>
      <c r="J86" s="18" t="n"/>
      <c r="K86" s="14" t="n"/>
      <c r="L86" s="19">
        <f>IF($B86="","",ROUND(SUMIF(订单明细!$C:$C,$B86,订单明细!$I:$I),2))</f>
        <v/>
      </c>
      <c r="M86" s="19">
        <f>IF($B86="","",ROUND(N($K86)+N($L86),2))</f>
        <v/>
      </c>
      <c r="N86" s="14" t="n"/>
      <c r="O86" s="19">
        <f>IF($B86="","",ROUND(N($N86)+SUMIFS(资金日记账!$J$4:$J$2503,资金日记账!$G$4:$G$2503,$B86,资金日记账!$F$4:$F$2503,"收款-项目")-SUMIFS(资金日记账!$K$4:$K$2503,资金日记账!$G$4:$G$2503,$B86,资金日记账!$F$4:$F$2503,"收款-项目"),2))</f>
        <v/>
      </c>
      <c r="P86" s="19">
        <f>IF($B86="","",ROUND($M86-$O86,2))</f>
        <v/>
      </c>
      <c r="Q86" s="17">
        <f>IF($B86="","",IF(AND($J86&lt;&gt;"",ROUND($P86,2)&lt;=0),"已完工·已结清",IF($J86&lt;&gt;"","已完工·还有尾款",IF($I86&lt;&gt;"","已安装",IF($H86&lt;&gt;"","已制作",IF($G86&lt;&gt;"","设计完成","已下单"))))))</f>
        <v/>
      </c>
      <c r="R86" s="13" t="n"/>
      <c r="S86" s="17">
        <f>IF($B86="","",IF(COUNTIF($B$4:$B$403,$B86)&gt;1,"※项目名重复了",IF(AND($C86&lt;&gt;"",ISNA(MATCH($C86,客户表,0))),"※客户不在基础资料里",IF(AND($J86&lt;&gt;"",$F86&lt;&gt;"",$J86&lt;$F86),"※完工日期早于下单日期",""))))</f>
        <v/>
      </c>
    </row>
    <row r="87">
      <c r="A87" s="17">
        <f>IF($B87="","","P"&amp;TEXT(ROW()-3,"000"))</f>
        <v/>
      </c>
      <c r="B87" s="13" t="inlineStr">
        <is>
          <t>赛港文化</t>
        </is>
      </c>
      <c r="C87" s="13" t="inlineStr">
        <is>
          <t>赛港文化</t>
        </is>
      </c>
      <c r="D87" s="13" t="inlineStr">
        <is>
          <t>门头招牌</t>
        </is>
      </c>
      <c r="E87" s="13" t="n"/>
      <c r="F87" s="18" t="n">
        <v>46185</v>
      </c>
      <c r="G87" s="18" t="n"/>
      <c r="H87" s="18" t="n"/>
      <c r="I87" s="18" t="n"/>
      <c r="J87" s="18" t="n"/>
      <c r="K87" s="14" t="n"/>
      <c r="L87" s="19">
        <f>IF($B87="","",ROUND(SUMIF(订单明细!$C:$C,$B87,订单明细!$I:$I),2))</f>
        <v/>
      </c>
      <c r="M87" s="19">
        <f>IF($B87="","",ROUND(N($K87)+N($L87),2))</f>
        <v/>
      </c>
      <c r="N87" s="14" t="n"/>
      <c r="O87" s="19">
        <f>IF($B87="","",ROUND(N($N87)+SUMIFS(资金日记账!$J$4:$J$2503,资金日记账!$G$4:$G$2503,$B87,资金日记账!$F$4:$F$2503,"收款-项目")-SUMIFS(资金日记账!$K$4:$K$2503,资金日记账!$G$4:$G$2503,$B87,资金日记账!$F$4:$F$2503,"收款-项目"),2))</f>
        <v/>
      </c>
      <c r="P87" s="19">
        <f>IF($B87="","",ROUND($M87-$O87,2))</f>
        <v/>
      </c>
      <c r="Q87" s="17">
        <f>IF($B87="","",IF(AND($J87&lt;&gt;"",ROUND($P87,2)&lt;=0),"已完工·已结清",IF($J87&lt;&gt;"","已完工·还有尾款",IF($I87&lt;&gt;"","已安装",IF($H87&lt;&gt;"","已制作",IF($G87&lt;&gt;"","设计完成","已下单"))))))</f>
        <v/>
      </c>
      <c r="R87" s="13" t="n"/>
      <c r="S87" s="17">
        <f>IF($B87="","",IF(COUNTIF($B$4:$B$403,$B87)&gt;1,"※项目名重复了",IF(AND($C87&lt;&gt;"",ISNA(MATCH($C87,客户表,0))),"※客户不在基础资料里",IF(AND($J87&lt;&gt;"",$F87&lt;&gt;"",$J87&lt;$F87),"※完工日期早于下单日期",""))))</f>
        <v/>
      </c>
    </row>
    <row r="88">
      <c r="A88" s="17">
        <f>IF($B88="","","P"&amp;TEXT(ROW()-3,"000"))</f>
        <v/>
      </c>
      <c r="B88" s="13" t="inlineStr">
        <is>
          <t>nook咖啡店</t>
        </is>
      </c>
      <c r="C88" s="13" t="inlineStr">
        <is>
          <t>nook咖啡店</t>
        </is>
      </c>
      <c r="D88" s="13" t="inlineStr">
        <is>
          <t>门头招牌</t>
        </is>
      </c>
      <c r="E88" s="13" t="n"/>
      <c r="F88" s="18" t="n">
        <v>46186</v>
      </c>
      <c r="G88" s="18" t="n"/>
      <c r="H88" s="18" t="n"/>
      <c r="I88" s="18" t="n"/>
      <c r="J88" s="18" t="n"/>
      <c r="K88" s="14" t="n"/>
      <c r="L88" s="19">
        <f>IF($B88="","",ROUND(SUMIF(订单明细!$C:$C,$B88,订单明细!$I:$I),2))</f>
        <v/>
      </c>
      <c r="M88" s="19">
        <f>IF($B88="","",ROUND(N($K88)+N($L88),2))</f>
        <v/>
      </c>
      <c r="N88" s="14" t="n"/>
      <c r="O88" s="19">
        <f>IF($B88="","",ROUND(N($N88)+SUMIFS(资金日记账!$J$4:$J$2503,资金日记账!$G$4:$G$2503,$B88,资金日记账!$F$4:$F$2503,"收款-项目")-SUMIFS(资金日记账!$K$4:$K$2503,资金日记账!$G$4:$G$2503,$B88,资金日记账!$F$4:$F$2503,"收款-项目"),2))</f>
        <v/>
      </c>
      <c r="P88" s="19">
        <f>IF($B88="","",ROUND($M88-$O88,2))</f>
        <v/>
      </c>
      <c r="Q88" s="17">
        <f>IF($B88="","",IF(AND($J88&lt;&gt;"",ROUND($P88,2)&lt;=0),"已完工·已结清",IF($J88&lt;&gt;"","已完工·还有尾款",IF($I88&lt;&gt;"","已安装",IF($H88&lt;&gt;"","已制作",IF($G88&lt;&gt;"","设计完成","已下单"))))))</f>
        <v/>
      </c>
      <c r="R88" s="13" t="n"/>
      <c r="S88" s="17">
        <f>IF($B88="","",IF(COUNTIF($B$4:$B$403,$B88)&gt;1,"※项目名重复了",IF(AND($C88&lt;&gt;"",ISNA(MATCH($C88,客户表,0))),"※客户不在基础资料里",IF(AND($J88&lt;&gt;"",$F88&lt;&gt;"",$J88&lt;$F88),"※完工日期早于下单日期",""))))</f>
        <v/>
      </c>
    </row>
    <row r="89">
      <c r="A89" s="17">
        <f>IF($B89="","","P"&amp;TEXT(ROW()-3,"000"))</f>
        <v/>
      </c>
      <c r="B89" s="13" t="n"/>
      <c r="C89" s="13" t="n"/>
      <c r="D89" s="13" t="n"/>
      <c r="E89" s="13" t="n"/>
      <c r="F89" s="18" t="n"/>
      <c r="G89" s="18" t="n"/>
      <c r="H89" s="18" t="n"/>
      <c r="I89" s="18" t="n"/>
      <c r="J89" s="18" t="n"/>
      <c r="K89" s="14" t="n"/>
      <c r="L89" s="19">
        <f>IF($B89="","",ROUND(SUMIF(订单明细!$C:$C,$B89,订单明细!$I:$I),2))</f>
        <v/>
      </c>
      <c r="M89" s="19">
        <f>IF($B89="","",ROUND(N($K89)+N($L89),2))</f>
        <v/>
      </c>
      <c r="N89" s="14" t="n"/>
      <c r="O89" s="19">
        <f>IF($B89="","",ROUND(N($N89)+SUMIFS(资金日记账!$J$4:$J$2503,资金日记账!$G$4:$G$2503,$B89,资金日记账!$F$4:$F$2503,"收款-项目")-SUMIFS(资金日记账!$K$4:$K$2503,资金日记账!$G$4:$G$2503,$B89,资金日记账!$F$4:$F$2503,"收款-项目"),2))</f>
        <v/>
      </c>
      <c r="P89" s="19">
        <f>IF($B89="","",ROUND($M89-$O89,2))</f>
        <v/>
      </c>
      <c r="Q89" s="17">
        <f>IF($B89="","",IF(AND($J89&lt;&gt;"",ROUND($P89,2)&lt;=0),"已完工·已结清",IF($J89&lt;&gt;"","已完工·还有尾款",IF($I89&lt;&gt;"","已安装",IF($H89&lt;&gt;"","已制作",IF($G89&lt;&gt;"","设计完成","已下单"))))))</f>
        <v/>
      </c>
      <c r="R89" s="13" t="n"/>
      <c r="S89" s="17">
        <f>IF($B89="","",IF(COUNTIF($B$4:$B$403,$B89)&gt;1,"※项目名重复了",IF(AND($C89&lt;&gt;"",ISNA(MATCH($C89,客户表,0))),"※客户不在基础资料里",IF(AND($J89&lt;&gt;"",$F89&lt;&gt;"",$J89&lt;$F89),"※完工日期早于下单日期",""))))</f>
        <v/>
      </c>
    </row>
    <row r="90">
      <c r="A90" s="17">
        <f>IF($B90="","","P"&amp;TEXT(ROW()-3,"000"))</f>
        <v/>
      </c>
      <c r="B90" s="13" t="n"/>
      <c r="C90" s="13" t="n"/>
      <c r="D90" s="13" t="n"/>
      <c r="E90" s="13" t="n"/>
      <c r="F90" s="18" t="n"/>
      <c r="G90" s="18" t="n"/>
      <c r="H90" s="18" t="n"/>
      <c r="I90" s="18" t="n"/>
      <c r="J90" s="18" t="n"/>
      <c r="K90" s="14" t="n"/>
      <c r="L90" s="19">
        <f>IF($B90="","",ROUND(SUMIF(订单明细!$C:$C,$B90,订单明细!$I:$I),2))</f>
        <v/>
      </c>
      <c r="M90" s="19">
        <f>IF($B90="","",ROUND(N($K90)+N($L90),2))</f>
        <v/>
      </c>
      <c r="N90" s="14" t="n"/>
      <c r="O90" s="19">
        <f>IF($B90="","",ROUND(N($N90)+SUMIFS(资金日记账!$J$4:$J$2503,资金日记账!$G$4:$G$2503,$B90,资金日记账!$F$4:$F$2503,"收款-项目")-SUMIFS(资金日记账!$K$4:$K$2503,资金日记账!$G$4:$G$2503,$B90,资金日记账!$F$4:$F$2503,"收款-项目"),2))</f>
        <v/>
      </c>
      <c r="P90" s="19">
        <f>IF($B90="","",ROUND($M90-$O90,2))</f>
        <v/>
      </c>
      <c r="Q90" s="17">
        <f>IF($B90="","",IF(AND($J90&lt;&gt;"",ROUND($P90,2)&lt;=0),"已完工·已结清",IF($J90&lt;&gt;"","已完工·还有尾款",IF($I90&lt;&gt;"","已安装",IF($H90&lt;&gt;"","已制作",IF($G90&lt;&gt;"","设计完成","已下单"))))))</f>
        <v/>
      </c>
      <c r="R90" s="13" t="n"/>
      <c r="S90" s="17">
        <f>IF($B90="","",IF(COUNTIF($B$4:$B$403,$B90)&gt;1,"※项目名重复了",IF(AND($C90&lt;&gt;"",ISNA(MATCH($C90,客户表,0))),"※客户不在基础资料里",IF(AND($J90&lt;&gt;"",$F90&lt;&gt;"",$J90&lt;$F90),"※完工日期早于下单日期",""))))</f>
        <v/>
      </c>
    </row>
    <row r="91">
      <c r="A91" s="17">
        <f>IF($B91="","","P"&amp;TEXT(ROW()-3,"000"))</f>
        <v/>
      </c>
      <c r="B91" s="13" t="n"/>
      <c r="C91" s="13" t="n"/>
      <c r="D91" s="13" t="n"/>
      <c r="E91" s="13" t="n"/>
      <c r="F91" s="18" t="n"/>
      <c r="G91" s="18" t="n"/>
      <c r="H91" s="18" t="n"/>
      <c r="I91" s="18" t="n"/>
      <c r="J91" s="18" t="n"/>
      <c r="K91" s="14" t="n"/>
      <c r="L91" s="19">
        <f>IF($B91="","",ROUND(SUMIF(订单明细!$C:$C,$B91,订单明细!$I:$I),2))</f>
        <v/>
      </c>
      <c r="M91" s="19">
        <f>IF($B91="","",ROUND(N($K91)+N($L91),2))</f>
        <v/>
      </c>
      <c r="N91" s="14" t="n"/>
      <c r="O91" s="19">
        <f>IF($B91="","",ROUND(N($N91)+SUMIFS(资金日记账!$J$4:$J$2503,资金日记账!$G$4:$G$2503,$B91,资金日记账!$F$4:$F$2503,"收款-项目")-SUMIFS(资金日记账!$K$4:$K$2503,资金日记账!$G$4:$G$2503,$B91,资金日记账!$F$4:$F$2503,"收款-项目"),2))</f>
        <v/>
      </c>
      <c r="P91" s="19">
        <f>IF($B91="","",ROUND($M91-$O91,2))</f>
        <v/>
      </c>
      <c r="Q91" s="17">
        <f>IF($B91="","",IF(AND($J91&lt;&gt;"",ROUND($P91,2)&lt;=0),"已完工·已结清",IF($J91&lt;&gt;"","已完工·还有尾款",IF($I91&lt;&gt;"","已安装",IF($H91&lt;&gt;"","已制作",IF($G91&lt;&gt;"","设计完成","已下单"))))))</f>
        <v/>
      </c>
      <c r="R91" s="13" t="n"/>
      <c r="S91" s="17">
        <f>IF($B91="","",IF(COUNTIF($B$4:$B$403,$B91)&gt;1,"※项目名重复了",IF(AND($C91&lt;&gt;"",ISNA(MATCH($C91,客户表,0))),"※客户不在基础资料里",IF(AND($J91&lt;&gt;"",$F91&lt;&gt;"",$J91&lt;$F91),"※完工日期早于下单日期",""))))</f>
        <v/>
      </c>
    </row>
    <row r="92">
      <c r="A92" s="17">
        <f>IF($B92="","","P"&amp;TEXT(ROW()-3,"000"))</f>
        <v/>
      </c>
      <c r="B92" s="13" t="n"/>
      <c r="C92" s="13" t="n"/>
      <c r="D92" s="13" t="n"/>
      <c r="E92" s="13" t="n"/>
      <c r="F92" s="18" t="n"/>
      <c r="G92" s="18" t="n"/>
      <c r="H92" s="18" t="n"/>
      <c r="I92" s="18" t="n"/>
      <c r="J92" s="18" t="n"/>
      <c r="K92" s="14" t="n"/>
      <c r="L92" s="19">
        <f>IF($B92="","",ROUND(SUMIF(订单明细!$C:$C,$B92,订单明细!$I:$I),2))</f>
        <v/>
      </c>
      <c r="M92" s="19">
        <f>IF($B92="","",ROUND(N($K92)+N($L92),2))</f>
        <v/>
      </c>
      <c r="N92" s="14" t="n"/>
      <c r="O92" s="19">
        <f>IF($B92="","",ROUND(N($N92)+SUMIFS(资金日记账!$J$4:$J$2503,资金日记账!$G$4:$G$2503,$B92,资金日记账!$F$4:$F$2503,"收款-项目")-SUMIFS(资金日记账!$K$4:$K$2503,资金日记账!$G$4:$G$2503,$B92,资金日记账!$F$4:$F$2503,"收款-项目"),2))</f>
        <v/>
      </c>
      <c r="P92" s="19">
        <f>IF($B92="","",ROUND($M92-$O92,2))</f>
        <v/>
      </c>
      <c r="Q92" s="17">
        <f>IF($B92="","",IF(AND($J92&lt;&gt;"",ROUND($P92,2)&lt;=0),"已完工·已结清",IF($J92&lt;&gt;"","已完工·还有尾款",IF($I92&lt;&gt;"","已安装",IF($H92&lt;&gt;"","已制作",IF($G92&lt;&gt;"","设计完成","已下单"))))))</f>
        <v/>
      </c>
      <c r="R92" s="13" t="n"/>
      <c r="S92" s="17">
        <f>IF($B92="","",IF(COUNTIF($B$4:$B$403,$B92)&gt;1,"※项目名重复了",IF(AND($C92&lt;&gt;"",ISNA(MATCH($C92,客户表,0))),"※客户不在基础资料里",IF(AND($J92&lt;&gt;"",$F92&lt;&gt;"",$J92&lt;$F92),"※完工日期早于下单日期",""))))</f>
        <v/>
      </c>
    </row>
    <row r="93">
      <c r="A93" s="17">
        <f>IF($B93="","","P"&amp;TEXT(ROW()-3,"000"))</f>
        <v/>
      </c>
      <c r="B93" s="13" t="n"/>
      <c r="C93" s="13" t="n"/>
      <c r="D93" s="13" t="n"/>
      <c r="E93" s="13" t="n"/>
      <c r="F93" s="18" t="n"/>
      <c r="G93" s="18" t="n"/>
      <c r="H93" s="18" t="n"/>
      <c r="I93" s="18" t="n"/>
      <c r="J93" s="18" t="n"/>
      <c r="K93" s="14" t="n"/>
      <c r="L93" s="19">
        <f>IF($B93="","",ROUND(SUMIF(订单明细!$C:$C,$B93,订单明细!$I:$I),2))</f>
        <v/>
      </c>
      <c r="M93" s="19">
        <f>IF($B93="","",ROUND(N($K93)+N($L93),2))</f>
        <v/>
      </c>
      <c r="N93" s="14" t="n"/>
      <c r="O93" s="19">
        <f>IF($B93="","",ROUND(N($N93)+SUMIFS(资金日记账!$J$4:$J$2503,资金日记账!$G$4:$G$2503,$B93,资金日记账!$F$4:$F$2503,"收款-项目")-SUMIFS(资金日记账!$K$4:$K$2503,资金日记账!$G$4:$G$2503,$B93,资金日记账!$F$4:$F$2503,"收款-项目"),2))</f>
        <v/>
      </c>
      <c r="P93" s="19">
        <f>IF($B93="","",ROUND($M93-$O93,2))</f>
        <v/>
      </c>
      <c r="Q93" s="17">
        <f>IF($B93="","",IF(AND($J93&lt;&gt;"",ROUND($P93,2)&lt;=0),"已完工·已结清",IF($J93&lt;&gt;"","已完工·还有尾款",IF($I93&lt;&gt;"","已安装",IF($H93&lt;&gt;"","已制作",IF($G93&lt;&gt;"","设计完成","已下单"))))))</f>
        <v/>
      </c>
      <c r="R93" s="13" t="n"/>
      <c r="S93" s="17">
        <f>IF($B93="","",IF(COUNTIF($B$4:$B$403,$B93)&gt;1,"※项目名重复了",IF(AND($C93&lt;&gt;"",ISNA(MATCH($C93,客户表,0))),"※客户不在基础资料里",IF(AND($J93&lt;&gt;"",$F93&lt;&gt;"",$J93&lt;$F93),"※完工日期早于下单日期",""))))</f>
        <v/>
      </c>
    </row>
    <row r="94">
      <c r="A94" s="17">
        <f>IF($B94="","","P"&amp;TEXT(ROW()-3,"000"))</f>
        <v/>
      </c>
      <c r="B94" s="13" t="n"/>
      <c r="C94" s="13" t="n"/>
      <c r="D94" s="13" t="n"/>
      <c r="E94" s="13" t="n"/>
      <c r="F94" s="18" t="n"/>
      <c r="G94" s="18" t="n"/>
      <c r="H94" s="18" t="n"/>
      <c r="I94" s="18" t="n"/>
      <c r="J94" s="18" t="n"/>
      <c r="K94" s="14" t="n"/>
      <c r="L94" s="19">
        <f>IF($B94="","",ROUND(SUMIF(订单明细!$C:$C,$B94,订单明细!$I:$I),2))</f>
        <v/>
      </c>
      <c r="M94" s="19">
        <f>IF($B94="","",ROUND(N($K94)+N($L94),2))</f>
        <v/>
      </c>
      <c r="N94" s="14" t="n"/>
      <c r="O94" s="19">
        <f>IF($B94="","",ROUND(N($N94)+SUMIFS(资金日记账!$J$4:$J$2503,资金日记账!$G$4:$G$2503,$B94,资金日记账!$F$4:$F$2503,"收款-项目")-SUMIFS(资金日记账!$K$4:$K$2503,资金日记账!$G$4:$G$2503,$B94,资金日记账!$F$4:$F$2503,"收款-项目"),2))</f>
        <v/>
      </c>
      <c r="P94" s="19">
        <f>IF($B94="","",ROUND($M94-$O94,2))</f>
        <v/>
      </c>
      <c r="Q94" s="17">
        <f>IF($B94="","",IF(AND($J94&lt;&gt;"",ROUND($P94,2)&lt;=0),"已完工·已结清",IF($J94&lt;&gt;"","已完工·还有尾款",IF($I94&lt;&gt;"","已安装",IF($H94&lt;&gt;"","已制作",IF($G94&lt;&gt;"","设计完成","已下单"))))))</f>
        <v/>
      </c>
      <c r="R94" s="13" t="n"/>
      <c r="S94" s="17">
        <f>IF($B94="","",IF(COUNTIF($B$4:$B$403,$B94)&gt;1,"※项目名重复了",IF(AND($C94&lt;&gt;"",ISNA(MATCH($C94,客户表,0))),"※客户不在基础资料里",IF(AND($J94&lt;&gt;"",$F94&lt;&gt;"",$J94&lt;$F94),"※完工日期早于下单日期",""))))</f>
        <v/>
      </c>
    </row>
    <row r="95">
      <c r="A95" s="17">
        <f>IF($B95="","","P"&amp;TEXT(ROW()-3,"000"))</f>
        <v/>
      </c>
      <c r="B95" s="13" t="n"/>
      <c r="C95" s="13" t="n"/>
      <c r="D95" s="13" t="n"/>
      <c r="E95" s="13" t="n"/>
      <c r="F95" s="18" t="n"/>
      <c r="G95" s="18" t="n"/>
      <c r="H95" s="18" t="n"/>
      <c r="I95" s="18" t="n"/>
      <c r="J95" s="18" t="n"/>
      <c r="K95" s="14" t="n"/>
      <c r="L95" s="19">
        <f>IF($B95="","",ROUND(SUMIF(订单明细!$C:$C,$B95,订单明细!$I:$I),2))</f>
        <v/>
      </c>
      <c r="M95" s="19">
        <f>IF($B95="","",ROUND(N($K95)+N($L95),2))</f>
        <v/>
      </c>
      <c r="N95" s="14" t="n"/>
      <c r="O95" s="19">
        <f>IF($B95="","",ROUND(N($N95)+SUMIFS(资金日记账!$J$4:$J$2503,资金日记账!$G$4:$G$2503,$B95,资金日记账!$F$4:$F$2503,"收款-项目")-SUMIFS(资金日记账!$K$4:$K$2503,资金日记账!$G$4:$G$2503,$B95,资金日记账!$F$4:$F$2503,"收款-项目"),2))</f>
        <v/>
      </c>
      <c r="P95" s="19">
        <f>IF($B95="","",ROUND($M95-$O95,2))</f>
        <v/>
      </c>
      <c r="Q95" s="17">
        <f>IF($B95="","",IF(AND($J95&lt;&gt;"",ROUND($P95,2)&lt;=0),"已完工·已结清",IF($J95&lt;&gt;"","已完工·还有尾款",IF($I95&lt;&gt;"","已安装",IF($H95&lt;&gt;"","已制作",IF($G95&lt;&gt;"","设计完成","已下单"))))))</f>
        <v/>
      </c>
      <c r="R95" s="13" t="n"/>
      <c r="S95" s="17">
        <f>IF($B95="","",IF(COUNTIF($B$4:$B$403,$B95)&gt;1,"※项目名重复了",IF(AND($C95&lt;&gt;"",ISNA(MATCH($C95,客户表,0))),"※客户不在基础资料里",IF(AND($J95&lt;&gt;"",$F95&lt;&gt;"",$J95&lt;$F95),"※完工日期早于下单日期",""))))</f>
        <v/>
      </c>
    </row>
    <row r="96">
      <c r="A96" s="17">
        <f>IF($B96="","","P"&amp;TEXT(ROW()-3,"000"))</f>
        <v/>
      </c>
      <c r="B96" s="13" t="n"/>
      <c r="C96" s="13" t="n"/>
      <c r="D96" s="13" t="n"/>
      <c r="E96" s="13" t="n"/>
      <c r="F96" s="18" t="n"/>
      <c r="G96" s="18" t="n"/>
      <c r="H96" s="18" t="n"/>
      <c r="I96" s="18" t="n"/>
      <c r="J96" s="18" t="n"/>
      <c r="K96" s="14" t="n"/>
      <c r="L96" s="19">
        <f>IF($B96="","",ROUND(SUMIF(订单明细!$C:$C,$B96,订单明细!$I:$I),2))</f>
        <v/>
      </c>
      <c r="M96" s="19">
        <f>IF($B96="","",ROUND(N($K96)+N($L96),2))</f>
        <v/>
      </c>
      <c r="N96" s="14" t="n"/>
      <c r="O96" s="19">
        <f>IF($B96="","",ROUND(N($N96)+SUMIFS(资金日记账!$J$4:$J$2503,资金日记账!$G$4:$G$2503,$B96,资金日记账!$F$4:$F$2503,"收款-项目")-SUMIFS(资金日记账!$K$4:$K$2503,资金日记账!$G$4:$G$2503,$B96,资金日记账!$F$4:$F$2503,"收款-项目"),2))</f>
        <v/>
      </c>
      <c r="P96" s="19">
        <f>IF($B96="","",ROUND($M96-$O96,2))</f>
        <v/>
      </c>
      <c r="Q96" s="17">
        <f>IF($B96="","",IF(AND($J96&lt;&gt;"",ROUND($P96,2)&lt;=0),"已完工·已结清",IF($J96&lt;&gt;"","已完工·还有尾款",IF($I96&lt;&gt;"","已安装",IF($H96&lt;&gt;"","已制作",IF($G96&lt;&gt;"","设计完成","已下单"))))))</f>
        <v/>
      </c>
      <c r="R96" s="13" t="n"/>
      <c r="S96" s="17">
        <f>IF($B96="","",IF(COUNTIF($B$4:$B$403,$B96)&gt;1,"※项目名重复了",IF(AND($C96&lt;&gt;"",ISNA(MATCH($C96,客户表,0))),"※客户不在基础资料里",IF(AND($J96&lt;&gt;"",$F96&lt;&gt;"",$J96&lt;$F96),"※完工日期早于下单日期",""))))</f>
        <v/>
      </c>
    </row>
    <row r="97">
      <c r="A97" s="17">
        <f>IF($B97="","","P"&amp;TEXT(ROW()-3,"000"))</f>
        <v/>
      </c>
      <c r="B97" s="13" t="n"/>
      <c r="C97" s="13" t="n"/>
      <c r="D97" s="13" t="n"/>
      <c r="E97" s="13" t="n"/>
      <c r="F97" s="18" t="n"/>
      <c r="G97" s="18" t="n"/>
      <c r="H97" s="18" t="n"/>
      <c r="I97" s="18" t="n"/>
      <c r="J97" s="18" t="n"/>
      <c r="K97" s="14" t="n"/>
      <c r="L97" s="19">
        <f>IF($B97="","",ROUND(SUMIF(订单明细!$C:$C,$B97,订单明细!$I:$I),2))</f>
        <v/>
      </c>
      <c r="M97" s="19">
        <f>IF($B97="","",ROUND(N($K97)+N($L97),2))</f>
        <v/>
      </c>
      <c r="N97" s="14" t="n"/>
      <c r="O97" s="19">
        <f>IF($B97="","",ROUND(N($N97)+SUMIFS(资金日记账!$J$4:$J$2503,资金日记账!$G$4:$G$2503,$B97,资金日记账!$F$4:$F$2503,"收款-项目")-SUMIFS(资金日记账!$K$4:$K$2503,资金日记账!$G$4:$G$2503,$B97,资金日记账!$F$4:$F$2503,"收款-项目"),2))</f>
        <v/>
      </c>
      <c r="P97" s="19">
        <f>IF($B97="","",ROUND($M97-$O97,2))</f>
        <v/>
      </c>
      <c r="Q97" s="17">
        <f>IF($B97="","",IF(AND($J97&lt;&gt;"",ROUND($P97,2)&lt;=0),"已完工·已结清",IF($J97&lt;&gt;"","已完工·还有尾款",IF($I97&lt;&gt;"","已安装",IF($H97&lt;&gt;"","已制作",IF($G97&lt;&gt;"","设计完成","已下单"))))))</f>
        <v/>
      </c>
      <c r="R97" s="13" t="n"/>
      <c r="S97" s="17">
        <f>IF($B97="","",IF(COUNTIF($B$4:$B$403,$B97)&gt;1,"※项目名重复了",IF(AND($C97&lt;&gt;"",ISNA(MATCH($C97,客户表,0))),"※客户不在基础资料里",IF(AND($J97&lt;&gt;"",$F97&lt;&gt;"",$J97&lt;$F97),"※完工日期早于下单日期",""))))</f>
        <v/>
      </c>
    </row>
    <row r="98">
      <c r="A98" s="17">
        <f>IF($B98="","","P"&amp;TEXT(ROW()-3,"000"))</f>
        <v/>
      </c>
      <c r="B98" s="13" t="n"/>
      <c r="C98" s="13" t="n"/>
      <c r="D98" s="13" t="n"/>
      <c r="E98" s="13" t="n"/>
      <c r="F98" s="18" t="n"/>
      <c r="G98" s="18" t="n"/>
      <c r="H98" s="18" t="n"/>
      <c r="I98" s="18" t="n"/>
      <c r="J98" s="18" t="n"/>
      <c r="K98" s="14" t="n"/>
      <c r="L98" s="19">
        <f>IF($B98="","",ROUND(SUMIF(订单明细!$C:$C,$B98,订单明细!$I:$I),2))</f>
        <v/>
      </c>
      <c r="M98" s="19">
        <f>IF($B98="","",ROUND(N($K98)+N($L98),2))</f>
        <v/>
      </c>
      <c r="N98" s="14" t="n"/>
      <c r="O98" s="19">
        <f>IF($B98="","",ROUND(N($N98)+SUMIFS(资金日记账!$J$4:$J$2503,资金日记账!$G$4:$G$2503,$B98,资金日记账!$F$4:$F$2503,"收款-项目")-SUMIFS(资金日记账!$K$4:$K$2503,资金日记账!$G$4:$G$2503,$B98,资金日记账!$F$4:$F$2503,"收款-项目"),2))</f>
        <v/>
      </c>
      <c r="P98" s="19">
        <f>IF($B98="","",ROUND($M98-$O98,2))</f>
        <v/>
      </c>
      <c r="Q98" s="17">
        <f>IF($B98="","",IF(AND($J98&lt;&gt;"",ROUND($P98,2)&lt;=0),"已完工·已结清",IF($J98&lt;&gt;"","已完工·还有尾款",IF($I98&lt;&gt;"","已安装",IF($H98&lt;&gt;"","已制作",IF($G98&lt;&gt;"","设计完成","已下单"))))))</f>
        <v/>
      </c>
      <c r="R98" s="13" t="n"/>
      <c r="S98" s="17">
        <f>IF($B98="","",IF(COUNTIF($B$4:$B$403,$B98)&gt;1,"※项目名重复了",IF(AND($C98&lt;&gt;"",ISNA(MATCH($C98,客户表,0))),"※客户不在基础资料里",IF(AND($J98&lt;&gt;"",$F98&lt;&gt;"",$J98&lt;$F98),"※完工日期早于下单日期",""))))</f>
        <v/>
      </c>
    </row>
    <row r="99">
      <c r="A99" s="17">
        <f>IF($B99="","","P"&amp;TEXT(ROW()-3,"000"))</f>
        <v/>
      </c>
      <c r="B99" s="13" t="n"/>
      <c r="C99" s="13" t="n"/>
      <c r="D99" s="13" t="n"/>
      <c r="E99" s="13" t="n"/>
      <c r="F99" s="18" t="n"/>
      <c r="G99" s="18" t="n"/>
      <c r="H99" s="18" t="n"/>
      <c r="I99" s="18" t="n"/>
      <c r="J99" s="18" t="n"/>
      <c r="K99" s="14" t="n"/>
      <c r="L99" s="19">
        <f>IF($B99="","",ROUND(SUMIF(订单明细!$C:$C,$B99,订单明细!$I:$I),2))</f>
        <v/>
      </c>
      <c r="M99" s="19">
        <f>IF($B99="","",ROUND(N($K99)+N($L99),2))</f>
        <v/>
      </c>
      <c r="N99" s="14" t="n"/>
      <c r="O99" s="19">
        <f>IF($B99="","",ROUND(N($N99)+SUMIFS(资金日记账!$J$4:$J$2503,资金日记账!$G$4:$G$2503,$B99,资金日记账!$F$4:$F$2503,"收款-项目")-SUMIFS(资金日记账!$K$4:$K$2503,资金日记账!$G$4:$G$2503,$B99,资金日记账!$F$4:$F$2503,"收款-项目"),2))</f>
        <v/>
      </c>
      <c r="P99" s="19">
        <f>IF($B99="","",ROUND($M99-$O99,2))</f>
        <v/>
      </c>
      <c r="Q99" s="17">
        <f>IF($B99="","",IF(AND($J99&lt;&gt;"",ROUND($P99,2)&lt;=0),"已完工·已结清",IF($J99&lt;&gt;"","已完工·还有尾款",IF($I99&lt;&gt;"","已安装",IF($H99&lt;&gt;"","已制作",IF($G99&lt;&gt;"","设计完成","已下单"))))))</f>
        <v/>
      </c>
      <c r="R99" s="13" t="n"/>
      <c r="S99" s="17">
        <f>IF($B99="","",IF(COUNTIF($B$4:$B$403,$B99)&gt;1,"※项目名重复了",IF(AND($C99&lt;&gt;"",ISNA(MATCH($C99,客户表,0))),"※客户不在基础资料里",IF(AND($J99&lt;&gt;"",$F99&lt;&gt;"",$J99&lt;$F99),"※完工日期早于下单日期",""))))</f>
        <v/>
      </c>
    </row>
    <row r="100">
      <c r="A100" s="17">
        <f>IF($B100="","","P"&amp;TEXT(ROW()-3,"000"))</f>
        <v/>
      </c>
      <c r="B100" s="13" t="n"/>
      <c r="C100" s="13" t="n"/>
      <c r="D100" s="13" t="n"/>
      <c r="E100" s="13" t="n"/>
      <c r="F100" s="18" t="n"/>
      <c r="G100" s="18" t="n"/>
      <c r="H100" s="18" t="n"/>
      <c r="I100" s="18" t="n"/>
      <c r="J100" s="18" t="n"/>
      <c r="K100" s="14" t="n"/>
      <c r="L100" s="19">
        <f>IF($B100="","",ROUND(SUMIF(订单明细!$C:$C,$B100,订单明细!$I:$I),2))</f>
        <v/>
      </c>
      <c r="M100" s="19">
        <f>IF($B100="","",ROUND(N($K100)+N($L100),2))</f>
        <v/>
      </c>
      <c r="N100" s="14" t="n"/>
      <c r="O100" s="19">
        <f>IF($B100="","",ROUND(N($N100)+SUMIFS(资金日记账!$J$4:$J$2503,资金日记账!$G$4:$G$2503,$B100,资金日记账!$F$4:$F$2503,"收款-项目")-SUMIFS(资金日记账!$K$4:$K$2503,资金日记账!$G$4:$G$2503,$B100,资金日记账!$F$4:$F$2503,"收款-项目"),2))</f>
        <v/>
      </c>
      <c r="P100" s="19">
        <f>IF($B100="","",ROUND($M100-$O100,2))</f>
        <v/>
      </c>
      <c r="Q100" s="17">
        <f>IF($B100="","",IF(AND($J100&lt;&gt;"",ROUND($P100,2)&lt;=0),"已完工·已结清",IF($J100&lt;&gt;"","已完工·还有尾款",IF($I100&lt;&gt;"","已安装",IF($H100&lt;&gt;"","已制作",IF($G100&lt;&gt;"","设计完成","已下单"))))))</f>
        <v/>
      </c>
      <c r="R100" s="13" t="n"/>
      <c r="S100" s="17">
        <f>IF($B100="","",IF(COUNTIF($B$4:$B$403,$B100)&gt;1,"※项目名重复了",IF(AND($C100&lt;&gt;"",ISNA(MATCH($C100,客户表,0))),"※客户不在基础资料里",IF(AND($J100&lt;&gt;"",$F100&lt;&gt;"",$J100&lt;$F100),"※完工日期早于下单日期",""))))</f>
        <v/>
      </c>
    </row>
    <row r="101">
      <c r="A101" s="17">
        <f>IF($B101="","","P"&amp;TEXT(ROW()-3,"000"))</f>
        <v/>
      </c>
      <c r="B101" s="13" t="n"/>
      <c r="C101" s="13" t="n"/>
      <c r="D101" s="13" t="n"/>
      <c r="E101" s="13" t="n"/>
      <c r="F101" s="18" t="n"/>
      <c r="G101" s="18" t="n"/>
      <c r="H101" s="18" t="n"/>
      <c r="I101" s="18" t="n"/>
      <c r="J101" s="18" t="n"/>
      <c r="K101" s="14" t="n"/>
      <c r="L101" s="19">
        <f>IF($B101="","",ROUND(SUMIF(订单明细!$C:$C,$B101,订单明细!$I:$I),2))</f>
        <v/>
      </c>
      <c r="M101" s="19">
        <f>IF($B101="","",ROUND(N($K101)+N($L101),2))</f>
        <v/>
      </c>
      <c r="N101" s="14" t="n"/>
      <c r="O101" s="19">
        <f>IF($B101="","",ROUND(N($N101)+SUMIFS(资金日记账!$J$4:$J$2503,资金日记账!$G$4:$G$2503,$B101,资金日记账!$F$4:$F$2503,"收款-项目")-SUMIFS(资金日记账!$K$4:$K$2503,资金日记账!$G$4:$G$2503,$B101,资金日记账!$F$4:$F$2503,"收款-项目"),2))</f>
        <v/>
      </c>
      <c r="P101" s="19">
        <f>IF($B101="","",ROUND($M101-$O101,2))</f>
        <v/>
      </c>
      <c r="Q101" s="17">
        <f>IF($B101="","",IF(AND($J101&lt;&gt;"",ROUND($P101,2)&lt;=0),"已完工·已结清",IF($J101&lt;&gt;"","已完工·还有尾款",IF($I101&lt;&gt;"","已安装",IF($H101&lt;&gt;"","已制作",IF($G101&lt;&gt;"","设计完成","已下单"))))))</f>
        <v/>
      </c>
      <c r="R101" s="13" t="n"/>
      <c r="S101" s="17">
        <f>IF($B101="","",IF(COUNTIF($B$4:$B$403,$B101)&gt;1,"※项目名重复了",IF(AND($C101&lt;&gt;"",ISNA(MATCH($C101,客户表,0))),"※客户不在基础资料里",IF(AND($J101&lt;&gt;"",$F101&lt;&gt;"",$J101&lt;$F101),"※完工日期早于下单日期",""))))</f>
        <v/>
      </c>
    </row>
    <row r="102">
      <c r="A102" s="17">
        <f>IF($B102="","","P"&amp;TEXT(ROW()-3,"000"))</f>
        <v/>
      </c>
      <c r="B102" s="13" t="n"/>
      <c r="C102" s="13" t="n"/>
      <c r="D102" s="13" t="n"/>
      <c r="E102" s="13" t="n"/>
      <c r="F102" s="18" t="n"/>
      <c r="G102" s="18" t="n"/>
      <c r="H102" s="18" t="n"/>
      <c r="I102" s="18" t="n"/>
      <c r="J102" s="18" t="n"/>
      <c r="K102" s="14" t="n"/>
      <c r="L102" s="19">
        <f>IF($B102="","",ROUND(SUMIF(订单明细!$C:$C,$B102,订单明细!$I:$I),2))</f>
        <v/>
      </c>
      <c r="M102" s="19">
        <f>IF($B102="","",ROUND(N($K102)+N($L102),2))</f>
        <v/>
      </c>
      <c r="N102" s="14" t="n"/>
      <c r="O102" s="19">
        <f>IF($B102="","",ROUND(N($N102)+SUMIFS(资金日记账!$J$4:$J$2503,资金日记账!$G$4:$G$2503,$B102,资金日记账!$F$4:$F$2503,"收款-项目")-SUMIFS(资金日记账!$K$4:$K$2503,资金日记账!$G$4:$G$2503,$B102,资金日记账!$F$4:$F$2503,"收款-项目"),2))</f>
        <v/>
      </c>
      <c r="P102" s="19">
        <f>IF($B102="","",ROUND($M102-$O102,2))</f>
        <v/>
      </c>
      <c r="Q102" s="17">
        <f>IF($B102="","",IF(AND($J102&lt;&gt;"",ROUND($P102,2)&lt;=0),"已完工·已结清",IF($J102&lt;&gt;"","已完工·还有尾款",IF($I102&lt;&gt;"","已安装",IF($H102&lt;&gt;"","已制作",IF($G102&lt;&gt;"","设计完成","已下单"))))))</f>
        <v/>
      </c>
      <c r="R102" s="13" t="n"/>
      <c r="S102" s="17">
        <f>IF($B102="","",IF(COUNTIF($B$4:$B$403,$B102)&gt;1,"※项目名重复了",IF(AND($C102&lt;&gt;"",ISNA(MATCH($C102,客户表,0))),"※客户不在基础资料里",IF(AND($J102&lt;&gt;"",$F102&lt;&gt;"",$J102&lt;$F102),"※完工日期早于下单日期",""))))</f>
        <v/>
      </c>
    </row>
    <row r="103">
      <c r="A103" s="17">
        <f>IF($B103="","","P"&amp;TEXT(ROW()-3,"000"))</f>
        <v/>
      </c>
      <c r="B103" s="13" t="n"/>
      <c r="C103" s="13" t="n"/>
      <c r="D103" s="13" t="n"/>
      <c r="E103" s="13" t="n"/>
      <c r="F103" s="18" t="n"/>
      <c r="G103" s="18" t="n"/>
      <c r="H103" s="18" t="n"/>
      <c r="I103" s="18" t="n"/>
      <c r="J103" s="18" t="n"/>
      <c r="K103" s="14" t="n"/>
      <c r="L103" s="19">
        <f>IF($B103="","",ROUND(SUMIF(订单明细!$C:$C,$B103,订单明细!$I:$I),2))</f>
        <v/>
      </c>
      <c r="M103" s="19">
        <f>IF($B103="","",ROUND(N($K103)+N($L103),2))</f>
        <v/>
      </c>
      <c r="N103" s="14" t="n"/>
      <c r="O103" s="19">
        <f>IF($B103="","",ROUND(N($N103)+SUMIFS(资金日记账!$J$4:$J$2503,资金日记账!$G$4:$G$2503,$B103,资金日记账!$F$4:$F$2503,"收款-项目")-SUMIFS(资金日记账!$K$4:$K$2503,资金日记账!$G$4:$G$2503,$B103,资金日记账!$F$4:$F$2503,"收款-项目"),2))</f>
        <v/>
      </c>
      <c r="P103" s="19">
        <f>IF($B103="","",ROUND($M103-$O103,2))</f>
        <v/>
      </c>
      <c r="Q103" s="17">
        <f>IF($B103="","",IF(AND($J103&lt;&gt;"",ROUND($P103,2)&lt;=0),"已完工·已结清",IF($J103&lt;&gt;"","已完工·还有尾款",IF($I103&lt;&gt;"","已安装",IF($H103&lt;&gt;"","已制作",IF($G103&lt;&gt;"","设计完成","已下单"))))))</f>
        <v/>
      </c>
      <c r="R103" s="13" t="n"/>
      <c r="S103" s="17">
        <f>IF($B103="","",IF(COUNTIF($B$4:$B$403,$B103)&gt;1,"※项目名重复了",IF(AND($C103&lt;&gt;"",ISNA(MATCH($C103,客户表,0))),"※客户不在基础资料里",IF(AND($J103&lt;&gt;"",$F103&lt;&gt;"",$J103&lt;$F103),"※完工日期早于下单日期",""))))</f>
        <v/>
      </c>
    </row>
    <row r="104">
      <c r="A104" s="17">
        <f>IF($B104="","","P"&amp;TEXT(ROW()-3,"000"))</f>
        <v/>
      </c>
      <c r="B104" s="13" t="n"/>
      <c r="C104" s="13" t="n"/>
      <c r="D104" s="13" t="n"/>
      <c r="E104" s="13" t="n"/>
      <c r="F104" s="18" t="n"/>
      <c r="G104" s="18" t="n"/>
      <c r="H104" s="18" t="n"/>
      <c r="I104" s="18" t="n"/>
      <c r="J104" s="18" t="n"/>
      <c r="K104" s="14" t="n"/>
      <c r="L104" s="19">
        <f>IF($B104="","",ROUND(SUMIF(订单明细!$C:$C,$B104,订单明细!$I:$I),2))</f>
        <v/>
      </c>
      <c r="M104" s="19">
        <f>IF($B104="","",ROUND(N($K104)+N($L104),2))</f>
        <v/>
      </c>
      <c r="N104" s="14" t="n"/>
      <c r="O104" s="19">
        <f>IF($B104="","",ROUND(N($N104)+SUMIFS(资金日记账!$J$4:$J$2503,资金日记账!$G$4:$G$2503,$B104,资金日记账!$F$4:$F$2503,"收款-项目")-SUMIFS(资金日记账!$K$4:$K$2503,资金日记账!$G$4:$G$2503,$B104,资金日记账!$F$4:$F$2503,"收款-项目"),2))</f>
        <v/>
      </c>
      <c r="P104" s="19">
        <f>IF($B104="","",ROUND($M104-$O104,2))</f>
        <v/>
      </c>
      <c r="Q104" s="17">
        <f>IF($B104="","",IF(AND($J104&lt;&gt;"",ROUND($P104,2)&lt;=0),"已完工·已结清",IF($J104&lt;&gt;"","已完工·还有尾款",IF($I104&lt;&gt;"","已安装",IF($H104&lt;&gt;"","已制作",IF($G104&lt;&gt;"","设计完成","已下单"))))))</f>
        <v/>
      </c>
      <c r="R104" s="13" t="n"/>
      <c r="S104" s="17">
        <f>IF($B104="","",IF(COUNTIF($B$4:$B$403,$B104)&gt;1,"※项目名重复了",IF(AND($C104&lt;&gt;"",ISNA(MATCH($C104,客户表,0))),"※客户不在基础资料里",IF(AND($J104&lt;&gt;"",$F104&lt;&gt;"",$J104&lt;$F104),"※完工日期早于下单日期",""))))</f>
        <v/>
      </c>
    </row>
    <row r="105">
      <c r="A105" s="17">
        <f>IF($B105="","","P"&amp;TEXT(ROW()-3,"000"))</f>
        <v/>
      </c>
      <c r="B105" s="13" t="n"/>
      <c r="C105" s="13" t="n"/>
      <c r="D105" s="13" t="n"/>
      <c r="E105" s="13" t="n"/>
      <c r="F105" s="18" t="n"/>
      <c r="G105" s="18" t="n"/>
      <c r="H105" s="18" t="n"/>
      <c r="I105" s="18" t="n"/>
      <c r="J105" s="18" t="n"/>
      <c r="K105" s="14" t="n"/>
      <c r="L105" s="19">
        <f>IF($B105="","",ROUND(SUMIF(订单明细!$C:$C,$B105,订单明细!$I:$I),2))</f>
        <v/>
      </c>
      <c r="M105" s="19">
        <f>IF($B105="","",ROUND(N($K105)+N($L105),2))</f>
        <v/>
      </c>
      <c r="N105" s="14" t="n"/>
      <c r="O105" s="19">
        <f>IF($B105="","",ROUND(N($N105)+SUMIFS(资金日记账!$J$4:$J$2503,资金日记账!$G$4:$G$2503,$B105,资金日记账!$F$4:$F$2503,"收款-项目")-SUMIFS(资金日记账!$K$4:$K$2503,资金日记账!$G$4:$G$2503,$B105,资金日记账!$F$4:$F$2503,"收款-项目"),2))</f>
        <v/>
      </c>
      <c r="P105" s="19">
        <f>IF($B105="","",ROUND($M105-$O105,2))</f>
        <v/>
      </c>
      <c r="Q105" s="17">
        <f>IF($B105="","",IF(AND($J105&lt;&gt;"",ROUND($P105,2)&lt;=0),"已完工·已结清",IF($J105&lt;&gt;"","已完工·还有尾款",IF($I105&lt;&gt;"","已安装",IF($H105&lt;&gt;"","已制作",IF($G105&lt;&gt;"","设计完成","已下单"))))))</f>
        <v/>
      </c>
      <c r="R105" s="13" t="n"/>
      <c r="S105" s="17">
        <f>IF($B105="","",IF(COUNTIF($B$4:$B$403,$B105)&gt;1,"※项目名重复了",IF(AND($C105&lt;&gt;"",ISNA(MATCH($C105,客户表,0))),"※客户不在基础资料里",IF(AND($J105&lt;&gt;"",$F105&lt;&gt;"",$J105&lt;$F105),"※完工日期早于下单日期",""))))</f>
        <v/>
      </c>
    </row>
    <row r="106">
      <c r="A106" s="17">
        <f>IF($B106="","","P"&amp;TEXT(ROW()-3,"000"))</f>
        <v/>
      </c>
      <c r="B106" s="13" t="n"/>
      <c r="C106" s="13" t="n"/>
      <c r="D106" s="13" t="n"/>
      <c r="E106" s="13" t="n"/>
      <c r="F106" s="18" t="n"/>
      <c r="G106" s="18" t="n"/>
      <c r="H106" s="18" t="n"/>
      <c r="I106" s="18" t="n"/>
      <c r="J106" s="18" t="n"/>
      <c r="K106" s="14" t="n"/>
      <c r="L106" s="19">
        <f>IF($B106="","",ROUND(SUMIF(订单明细!$C:$C,$B106,订单明细!$I:$I),2))</f>
        <v/>
      </c>
      <c r="M106" s="19">
        <f>IF($B106="","",ROUND(N($K106)+N($L106),2))</f>
        <v/>
      </c>
      <c r="N106" s="14" t="n"/>
      <c r="O106" s="19">
        <f>IF($B106="","",ROUND(N($N106)+SUMIFS(资金日记账!$J$4:$J$2503,资金日记账!$G$4:$G$2503,$B106,资金日记账!$F$4:$F$2503,"收款-项目")-SUMIFS(资金日记账!$K$4:$K$2503,资金日记账!$G$4:$G$2503,$B106,资金日记账!$F$4:$F$2503,"收款-项目"),2))</f>
        <v/>
      </c>
      <c r="P106" s="19">
        <f>IF($B106="","",ROUND($M106-$O106,2))</f>
        <v/>
      </c>
      <c r="Q106" s="17">
        <f>IF($B106="","",IF(AND($J106&lt;&gt;"",ROUND($P106,2)&lt;=0),"已完工·已结清",IF($J106&lt;&gt;"","已完工·还有尾款",IF($I106&lt;&gt;"","已安装",IF($H106&lt;&gt;"","已制作",IF($G106&lt;&gt;"","设计完成","已下单"))))))</f>
        <v/>
      </c>
      <c r="R106" s="13" t="n"/>
      <c r="S106" s="17">
        <f>IF($B106="","",IF(COUNTIF($B$4:$B$403,$B106)&gt;1,"※项目名重复了",IF(AND($C106&lt;&gt;"",ISNA(MATCH($C106,客户表,0))),"※客户不在基础资料里",IF(AND($J106&lt;&gt;"",$F106&lt;&gt;"",$J106&lt;$F106),"※完工日期早于下单日期",""))))</f>
        <v/>
      </c>
    </row>
    <row r="107">
      <c r="A107" s="17">
        <f>IF($B107="","","P"&amp;TEXT(ROW()-3,"000"))</f>
        <v/>
      </c>
      <c r="B107" s="13" t="n"/>
      <c r="C107" s="13" t="n"/>
      <c r="D107" s="13" t="n"/>
      <c r="E107" s="13" t="n"/>
      <c r="F107" s="18" t="n"/>
      <c r="G107" s="18" t="n"/>
      <c r="H107" s="18" t="n"/>
      <c r="I107" s="18" t="n"/>
      <c r="J107" s="18" t="n"/>
      <c r="K107" s="14" t="n"/>
      <c r="L107" s="19">
        <f>IF($B107="","",ROUND(SUMIF(订单明细!$C:$C,$B107,订单明细!$I:$I),2))</f>
        <v/>
      </c>
      <c r="M107" s="19">
        <f>IF($B107="","",ROUND(N($K107)+N($L107),2))</f>
        <v/>
      </c>
      <c r="N107" s="14" t="n"/>
      <c r="O107" s="19">
        <f>IF($B107="","",ROUND(N($N107)+SUMIFS(资金日记账!$J$4:$J$2503,资金日记账!$G$4:$G$2503,$B107,资金日记账!$F$4:$F$2503,"收款-项目")-SUMIFS(资金日记账!$K$4:$K$2503,资金日记账!$G$4:$G$2503,$B107,资金日记账!$F$4:$F$2503,"收款-项目"),2))</f>
        <v/>
      </c>
      <c r="P107" s="19">
        <f>IF($B107="","",ROUND($M107-$O107,2))</f>
        <v/>
      </c>
      <c r="Q107" s="17">
        <f>IF($B107="","",IF(AND($J107&lt;&gt;"",ROUND($P107,2)&lt;=0),"已完工·已结清",IF($J107&lt;&gt;"","已完工·还有尾款",IF($I107&lt;&gt;"","已安装",IF($H107&lt;&gt;"","已制作",IF($G107&lt;&gt;"","设计完成","已下单"))))))</f>
        <v/>
      </c>
      <c r="R107" s="13" t="n"/>
      <c r="S107" s="17">
        <f>IF($B107="","",IF(COUNTIF($B$4:$B$403,$B107)&gt;1,"※项目名重复了",IF(AND($C107&lt;&gt;"",ISNA(MATCH($C107,客户表,0))),"※客户不在基础资料里",IF(AND($J107&lt;&gt;"",$F107&lt;&gt;"",$J107&lt;$F107),"※完工日期早于下单日期",""))))</f>
        <v/>
      </c>
    </row>
    <row r="108">
      <c r="A108" s="17">
        <f>IF($B108="","","P"&amp;TEXT(ROW()-3,"000"))</f>
        <v/>
      </c>
      <c r="B108" s="13" t="n"/>
      <c r="C108" s="13" t="n"/>
      <c r="D108" s="13" t="n"/>
      <c r="E108" s="13" t="n"/>
      <c r="F108" s="18" t="n"/>
      <c r="G108" s="18" t="n"/>
      <c r="H108" s="18" t="n"/>
      <c r="I108" s="18" t="n"/>
      <c r="J108" s="18" t="n"/>
      <c r="K108" s="14" t="n"/>
      <c r="L108" s="19">
        <f>IF($B108="","",ROUND(SUMIF(订单明细!$C:$C,$B108,订单明细!$I:$I),2))</f>
        <v/>
      </c>
      <c r="M108" s="19">
        <f>IF($B108="","",ROUND(N($K108)+N($L108),2))</f>
        <v/>
      </c>
      <c r="N108" s="14" t="n"/>
      <c r="O108" s="19">
        <f>IF($B108="","",ROUND(N($N108)+SUMIFS(资金日记账!$J$4:$J$2503,资金日记账!$G$4:$G$2503,$B108,资金日记账!$F$4:$F$2503,"收款-项目")-SUMIFS(资金日记账!$K$4:$K$2503,资金日记账!$G$4:$G$2503,$B108,资金日记账!$F$4:$F$2503,"收款-项目"),2))</f>
        <v/>
      </c>
      <c r="P108" s="19">
        <f>IF($B108="","",ROUND($M108-$O108,2))</f>
        <v/>
      </c>
      <c r="Q108" s="17">
        <f>IF($B108="","",IF(AND($J108&lt;&gt;"",ROUND($P108,2)&lt;=0),"已完工·已结清",IF($J108&lt;&gt;"","已完工·还有尾款",IF($I108&lt;&gt;"","已安装",IF($H108&lt;&gt;"","已制作",IF($G108&lt;&gt;"","设计完成","已下单"))))))</f>
        <v/>
      </c>
      <c r="R108" s="13" t="n"/>
      <c r="S108" s="17">
        <f>IF($B108="","",IF(COUNTIF($B$4:$B$403,$B108)&gt;1,"※项目名重复了",IF(AND($C108&lt;&gt;"",ISNA(MATCH($C108,客户表,0))),"※客户不在基础资料里",IF(AND($J108&lt;&gt;"",$F108&lt;&gt;"",$J108&lt;$F108),"※完工日期早于下单日期",""))))</f>
        <v/>
      </c>
    </row>
    <row r="109">
      <c r="A109" s="17">
        <f>IF($B109="","","P"&amp;TEXT(ROW()-3,"000"))</f>
        <v/>
      </c>
      <c r="B109" s="13" t="n"/>
      <c r="C109" s="13" t="n"/>
      <c r="D109" s="13" t="n"/>
      <c r="E109" s="13" t="n"/>
      <c r="F109" s="18" t="n"/>
      <c r="G109" s="18" t="n"/>
      <c r="H109" s="18" t="n"/>
      <c r="I109" s="18" t="n"/>
      <c r="J109" s="18" t="n"/>
      <c r="K109" s="14" t="n"/>
      <c r="L109" s="19">
        <f>IF($B109="","",ROUND(SUMIF(订单明细!$C:$C,$B109,订单明细!$I:$I),2))</f>
        <v/>
      </c>
      <c r="M109" s="19">
        <f>IF($B109="","",ROUND(N($K109)+N($L109),2))</f>
        <v/>
      </c>
      <c r="N109" s="14" t="n"/>
      <c r="O109" s="19">
        <f>IF($B109="","",ROUND(N($N109)+SUMIFS(资金日记账!$J$4:$J$2503,资金日记账!$G$4:$G$2503,$B109,资金日记账!$F$4:$F$2503,"收款-项目")-SUMIFS(资金日记账!$K$4:$K$2503,资金日记账!$G$4:$G$2503,$B109,资金日记账!$F$4:$F$2503,"收款-项目"),2))</f>
        <v/>
      </c>
      <c r="P109" s="19">
        <f>IF($B109="","",ROUND($M109-$O109,2))</f>
        <v/>
      </c>
      <c r="Q109" s="17">
        <f>IF($B109="","",IF(AND($J109&lt;&gt;"",ROUND($P109,2)&lt;=0),"已完工·已结清",IF($J109&lt;&gt;"","已完工·还有尾款",IF($I109&lt;&gt;"","已安装",IF($H109&lt;&gt;"","已制作",IF($G109&lt;&gt;"","设计完成","已下单"))))))</f>
        <v/>
      </c>
      <c r="R109" s="13" t="n"/>
      <c r="S109" s="17">
        <f>IF($B109="","",IF(COUNTIF($B$4:$B$403,$B109)&gt;1,"※项目名重复了",IF(AND($C109&lt;&gt;"",ISNA(MATCH($C109,客户表,0))),"※客户不在基础资料里",IF(AND($J109&lt;&gt;"",$F109&lt;&gt;"",$J109&lt;$F109),"※完工日期早于下单日期",""))))</f>
        <v/>
      </c>
    </row>
    <row r="110">
      <c r="A110" s="17">
        <f>IF($B110="","","P"&amp;TEXT(ROW()-3,"000"))</f>
        <v/>
      </c>
      <c r="B110" s="13" t="n"/>
      <c r="C110" s="13" t="n"/>
      <c r="D110" s="13" t="n"/>
      <c r="E110" s="13" t="n"/>
      <c r="F110" s="18" t="n"/>
      <c r="G110" s="18" t="n"/>
      <c r="H110" s="18" t="n"/>
      <c r="I110" s="18" t="n"/>
      <c r="J110" s="18" t="n"/>
      <c r="K110" s="14" t="n"/>
      <c r="L110" s="19">
        <f>IF($B110="","",ROUND(SUMIF(订单明细!$C:$C,$B110,订单明细!$I:$I),2))</f>
        <v/>
      </c>
      <c r="M110" s="19">
        <f>IF($B110="","",ROUND(N($K110)+N($L110),2))</f>
        <v/>
      </c>
      <c r="N110" s="14" t="n"/>
      <c r="O110" s="19">
        <f>IF($B110="","",ROUND(N($N110)+SUMIFS(资金日记账!$J$4:$J$2503,资金日记账!$G$4:$G$2503,$B110,资金日记账!$F$4:$F$2503,"收款-项目")-SUMIFS(资金日记账!$K$4:$K$2503,资金日记账!$G$4:$G$2503,$B110,资金日记账!$F$4:$F$2503,"收款-项目"),2))</f>
        <v/>
      </c>
      <c r="P110" s="19">
        <f>IF($B110="","",ROUND($M110-$O110,2))</f>
        <v/>
      </c>
      <c r="Q110" s="17">
        <f>IF($B110="","",IF(AND($J110&lt;&gt;"",ROUND($P110,2)&lt;=0),"已完工·已结清",IF($J110&lt;&gt;"","已完工·还有尾款",IF($I110&lt;&gt;"","已安装",IF($H110&lt;&gt;"","已制作",IF($G110&lt;&gt;"","设计完成","已下单"))))))</f>
        <v/>
      </c>
      <c r="R110" s="13" t="n"/>
      <c r="S110" s="17">
        <f>IF($B110="","",IF(COUNTIF($B$4:$B$403,$B110)&gt;1,"※项目名重复了",IF(AND($C110&lt;&gt;"",ISNA(MATCH($C110,客户表,0))),"※客户不在基础资料里",IF(AND($J110&lt;&gt;"",$F110&lt;&gt;"",$J110&lt;$F110),"※完工日期早于下单日期",""))))</f>
        <v/>
      </c>
    </row>
    <row r="111">
      <c r="A111" s="17">
        <f>IF($B111="","","P"&amp;TEXT(ROW()-3,"000"))</f>
        <v/>
      </c>
      <c r="B111" s="13" t="n"/>
      <c r="C111" s="13" t="n"/>
      <c r="D111" s="13" t="n"/>
      <c r="E111" s="13" t="n"/>
      <c r="F111" s="18" t="n"/>
      <c r="G111" s="18" t="n"/>
      <c r="H111" s="18" t="n"/>
      <c r="I111" s="18" t="n"/>
      <c r="J111" s="18" t="n"/>
      <c r="K111" s="14" t="n"/>
      <c r="L111" s="19">
        <f>IF($B111="","",ROUND(SUMIF(订单明细!$C:$C,$B111,订单明细!$I:$I),2))</f>
        <v/>
      </c>
      <c r="M111" s="19">
        <f>IF($B111="","",ROUND(N($K111)+N($L111),2))</f>
        <v/>
      </c>
      <c r="N111" s="14" t="n"/>
      <c r="O111" s="19">
        <f>IF($B111="","",ROUND(N($N111)+SUMIFS(资金日记账!$J$4:$J$2503,资金日记账!$G$4:$G$2503,$B111,资金日记账!$F$4:$F$2503,"收款-项目")-SUMIFS(资金日记账!$K$4:$K$2503,资金日记账!$G$4:$G$2503,$B111,资金日记账!$F$4:$F$2503,"收款-项目"),2))</f>
        <v/>
      </c>
      <c r="P111" s="19">
        <f>IF($B111="","",ROUND($M111-$O111,2))</f>
        <v/>
      </c>
      <c r="Q111" s="17">
        <f>IF($B111="","",IF(AND($J111&lt;&gt;"",ROUND($P111,2)&lt;=0),"已完工·已结清",IF($J111&lt;&gt;"","已完工·还有尾款",IF($I111&lt;&gt;"","已安装",IF($H111&lt;&gt;"","已制作",IF($G111&lt;&gt;"","设计完成","已下单"))))))</f>
        <v/>
      </c>
      <c r="R111" s="13" t="n"/>
      <c r="S111" s="17">
        <f>IF($B111="","",IF(COUNTIF($B$4:$B$403,$B111)&gt;1,"※项目名重复了",IF(AND($C111&lt;&gt;"",ISNA(MATCH($C111,客户表,0))),"※客户不在基础资料里",IF(AND($J111&lt;&gt;"",$F111&lt;&gt;"",$J111&lt;$F111),"※完工日期早于下单日期",""))))</f>
        <v/>
      </c>
    </row>
    <row r="112">
      <c r="A112" s="17">
        <f>IF($B112="","","P"&amp;TEXT(ROW()-3,"000"))</f>
        <v/>
      </c>
      <c r="B112" s="13" t="n"/>
      <c r="C112" s="13" t="n"/>
      <c r="D112" s="13" t="n"/>
      <c r="E112" s="13" t="n"/>
      <c r="F112" s="18" t="n"/>
      <c r="G112" s="18" t="n"/>
      <c r="H112" s="18" t="n"/>
      <c r="I112" s="18" t="n"/>
      <c r="J112" s="18" t="n"/>
      <c r="K112" s="14" t="n"/>
      <c r="L112" s="19">
        <f>IF($B112="","",ROUND(SUMIF(订单明细!$C:$C,$B112,订单明细!$I:$I),2))</f>
        <v/>
      </c>
      <c r="M112" s="19">
        <f>IF($B112="","",ROUND(N($K112)+N($L112),2))</f>
        <v/>
      </c>
      <c r="N112" s="14" t="n"/>
      <c r="O112" s="19">
        <f>IF($B112="","",ROUND(N($N112)+SUMIFS(资金日记账!$J$4:$J$2503,资金日记账!$G$4:$G$2503,$B112,资金日记账!$F$4:$F$2503,"收款-项目")-SUMIFS(资金日记账!$K$4:$K$2503,资金日记账!$G$4:$G$2503,$B112,资金日记账!$F$4:$F$2503,"收款-项目"),2))</f>
        <v/>
      </c>
      <c r="P112" s="19">
        <f>IF($B112="","",ROUND($M112-$O112,2))</f>
        <v/>
      </c>
      <c r="Q112" s="17">
        <f>IF($B112="","",IF(AND($J112&lt;&gt;"",ROUND($P112,2)&lt;=0),"已完工·已结清",IF($J112&lt;&gt;"","已完工·还有尾款",IF($I112&lt;&gt;"","已安装",IF($H112&lt;&gt;"","已制作",IF($G112&lt;&gt;"","设计完成","已下单"))))))</f>
        <v/>
      </c>
      <c r="R112" s="13" t="n"/>
      <c r="S112" s="17">
        <f>IF($B112="","",IF(COUNTIF($B$4:$B$403,$B112)&gt;1,"※项目名重复了",IF(AND($C112&lt;&gt;"",ISNA(MATCH($C112,客户表,0))),"※客户不在基础资料里",IF(AND($J112&lt;&gt;"",$F112&lt;&gt;"",$J112&lt;$F112),"※完工日期早于下单日期",""))))</f>
        <v/>
      </c>
    </row>
    <row r="113">
      <c r="A113" s="17">
        <f>IF($B113="","","P"&amp;TEXT(ROW()-3,"000"))</f>
        <v/>
      </c>
      <c r="B113" s="13" t="n"/>
      <c r="C113" s="13" t="n"/>
      <c r="D113" s="13" t="n"/>
      <c r="E113" s="13" t="n"/>
      <c r="F113" s="18" t="n"/>
      <c r="G113" s="18" t="n"/>
      <c r="H113" s="18" t="n"/>
      <c r="I113" s="18" t="n"/>
      <c r="J113" s="18" t="n"/>
      <c r="K113" s="14" t="n"/>
      <c r="L113" s="19">
        <f>IF($B113="","",ROUND(SUMIF(订单明细!$C:$C,$B113,订单明细!$I:$I),2))</f>
        <v/>
      </c>
      <c r="M113" s="19">
        <f>IF($B113="","",ROUND(N($K113)+N($L113),2))</f>
        <v/>
      </c>
      <c r="N113" s="14" t="n"/>
      <c r="O113" s="19">
        <f>IF($B113="","",ROUND(N($N113)+SUMIFS(资金日记账!$J$4:$J$2503,资金日记账!$G$4:$G$2503,$B113,资金日记账!$F$4:$F$2503,"收款-项目")-SUMIFS(资金日记账!$K$4:$K$2503,资金日记账!$G$4:$G$2503,$B113,资金日记账!$F$4:$F$2503,"收款-项目"),2))</f>
        <v/>
      </c>
      <c r="P113" s="19">
        <f>IF($B113="","",ROUND($M113-$O113,2))</f>
        <v/>
      </c>
      <c r="Q113" s="17">
        <f>IF($B113="","",IF(AND($J113&lt;&gt;"",ROUND($P113,2)&lt;=0),"已完工·已结清",IF($J113&lt;&gt;"","已完工·还有尾款",IF($I113&lt;&gt;"","已安装",IF($H113&lt;&gt;"","已制作",IF($G113&lt;&gt;"","设计完成","已下单"))))))</f>
        <v/>
      </c>
      <c r="R113" s="13" t="n"/>
      <c r="S113" s="17">
        <f>IF($B113="","",IF(COUNTIF($B$4:$B$403,$B113)&gt;1,"※项目名重复了",IF(AND($C113&lt;&gt;"",ISNA(MATCH($C113,客户表,0))),"※客户不在基础资料里",IF(AND($J113&lt;&gt;"",$F113&lt;&gt;"",$J113&lt;$F113),"※完工日期早于下单日期",""))))</f>
        <v/>
      </c>
    </row>
    <row r="114">
      <c r="A114" s="17">
        <f>IF($B114="","","P"&amp;TEXT(ROW()-3,"000"))</f>
        <v/>
      </c>
      <c r="B114" s="13" t="n"/>
      <c r="C114" s="13" t="n"/>
      <c r="D114" s="13" t="n"/>
      <c r="E114" s="13" t="n"/>
      <c r="F114" s="18" t="n"/>
      <c r="G114" s="18" t="n"/>
      <c r="H114" s="18" t="n"/>
      <c r="I114" s="18" t="n"/>
      <c r="J114" s="18" t="n"/>
      <c r="K114" s="14" t="n"/>
      <c r="L114" s="19">
        <f>IF($B114="","",ROUND(SUMIF(订单明细!$C:$C,$B114,订单明细!$I:$I),2))</f>
        <v/>
      </c>
      <c r="M114" s="19">
        <f>IF($B114="","",ROUND(N($K114)+N($L114),2))</f>
        <v/>
      </c>
      <c r="N114" s="14" t="n"/>
      <c r="O114" s="19">
        <f>IF($B114="","",ROUND(N($N114)+SUMIFS(资金日记账!$J$4:$J$2503,资金日记账!$G$4:$G$2503,$B114,资金日记账!$F$4:$F$2503,"收款-项目")-SUMIFS(资金日记账!$K$4:$K$2503,资金日记账!$G$4:$G$2503,$B114,资金日记账!$F$4:$F$2503,"收款-项目"),2))</f>
        <v/>
      </c>
      <c r="P114" s="19">
        <f>IF($B114="","",ROUND($M114-$O114,2))</f>
        <v/>
      </c>
      <c r="Q114" s="17">
        <f>IF($B114="","",IF(AND($J114&lt;&gt;"",ROUND($P114,2)&lt;=0),"已完工·已结清",IF($J114&lt;&gt;"","已完工·还有尾款",IF($I114&lt;&gt;"","已安装",IF($H114&lt;&gt;"","已制作",IF($G114&lt;&gt;"","设计完成","已下单"))))))</f>
        <v/>
      </c>
      <c r="R114" s="13" t="n"/>
      <c r="S114" s="17">
        <f>IF($B114="","",IF(COUNTIF($B$4:$B$403,$B114)&gt;1,"※项目名重复了",IF(AND($C114&lt;&gt;"",ISNA(MATCH($C114,客户表,0))),"※客户不在基础资料里",IF(AND($J114&lt;&gt;"",$F114&lt;&gt;"",$J114&lt;$F114),"※完工日期早于下单日期",""))))</f>
        <v/>
      </c>
    </row>
    <row r="115">
      <c r="A115" s="17">
        <f>IF($B115="","","P"&amp;TEXT(ROW()-3,"000"))</f>
        <v/>
      </c>
      <c r="B115" s="13" t="n"/>
      <c r="C115" s="13" t="n"/>
      <c r="D115" s="13" t="n"/>
      <c r="E115" s="13" t="n"/>
      <c r="F115" s="18" t="n"/>
      <c r="G115" s="18" t="n"/>
      <c r="H115" s="18" t="n"/>
      <c r="I115" s="18" t="n"/>
      <c r="J115" s="18" t="n"/>
      <c r="K115" s="14" t="n"/>
      <c r="L115" s="19">
        <f>IF($B115="","",ROUND(SUMIF(订单明细!$C:$C,$B115,订单明细!$I:$I),2))</f>
        <v/>
      </c>
      <c r="M115" s="19">
        <f>IF($B115="","",ROUND(N($K115)+N($L115),2))</f>
        <v/>
      </c>
      <c r="N115" s="14" t="n"/>
      <c r="O115" s="19">
        <f>IF($B115="","",ROUND(N($N115)+SUMIFS(资金日记账!$J$4:$J$2503,资金日记账!$G$4:$G$2503,$B115,资金日记账!$F$4:$F$2503,"收款-项目")-SUMIFS(资金日记账!$K$4:$K$2503,资金日记账!$G$4:$G$2503,$B115,资金日记账!$F$4:$F$2503,"收款-项目"),2))</f>
        <v/>
      </c>
      <c r="P115" s="19">
        <f>IF($B115="","",ROUND($M115-$O115,2))</f>
        <v/>
      </c>
      <c r="Q115" s="17">
        <f>IF($B115="","",IF(AND($J115&lt;&gt;"",ROUND($P115,2)&lt;=0),"已完工·已结清",IF($J115&lt;&gt;"","已完工·还有尾款",IF($I115&lt;&gt;"","已安装",IF($H115&lt;&gt;"","已制作",IF($G115&lt;&gt;"","设计完成","已下单"))))))</f>
        <v/>
      </c>
      <c r="R115" s="13" t="n"/>
      <c r="S115" s="17">
        <f>IF($B115="","",IF(COUNTIF($B$4:$B$403,$B115)&gt;1,"※项目名重复了",IF(AND($C115&lt;&gt;"",ISNA(MATCH($C115,客户表,0))),"※客户不在基础资料里",IF(AND($J115&lt;&gt;"",$F115&lt;&gt;"",$J115&lt;$F115),"※完工日期早于下单日期",""))))</f>
        <v/>
      </c>
    </row>
    <row r="116">
      <c r="A116" s="17">
        <f>IF($B116="","","P"&amp;TEXT(ROW()-3,"000"))</f>
        <v/>
      </c>
      <c r="B116" s="13" t="n"/>
      <c r="C116" s="13" t="n"/>
      <c r="D116" s="13" t="n"/>
      <c r="E116" s="13" t="n"/>
      <c r="F116" s="18" t="n"/>
      <c r="G116" s="18" t="n"/>
      <c r="H116" s="18" t="n"/>
      <c r="I116" s="18" t="n"/>
      <c r="J116" s="18" t="n"/>
      <c r="K116" s="14" t="n"/>
      <c r="L116" s="19">
        <f>IF($B116="","",ROUND(SUMIF(订单明细!$C:$C,$B116,订单明细!$I:$I),2))</f>
        <v/>
      </c>
      <c r="M116" s="19">
        <f>IF($B116="","",ROUND(N($K116)+N($L116),2))</f>
        <v/>
      </c>
      <c r="N116" s="14" t="n"/>
      <c r="O116" s="19">
        <f>IF($B116="","",ROUND(N($N116)+SUMIFS(资金日记账!$J$4:$J$2503,资金日记账!$G$4:$G$2503,$B116,资金日记账!$F$4:$F$2503,"收款-项目")-SUMIFS(资金日记账!$K$4:$K$2503,资金日记账!$G$4:$G$2503,$B116,资金日记账!$F$4:$F$2503,"收款-项目"),2))</f>
        <v/>
      </c>
      <c r="P116" s="19">
        <f>IF($B116="","",ROUND($M116-$O116,2))</f>
        <v/>
      </c>
      <c r="Q116" s="17">
        <f>IF($B116="","",IF(AND($J116&lt;&gt;"",ROUND($P116,2)&lt;=0),"已完工·已结清",IF($J116&lt;&gt;"","已完工·还有尾款",IF($I116&lt;&gt;"","已安装",IF($H116&lt;&gt;"","已制作",IF($G116&lt;&gt;"","设计完成","已下单"))))))</f>
        <v/>
      </c>
      <c r="R116" s="13" t="n"/>
      <c r="S116" s="17">
        <f>IF($B116="","",IF(COUNTIF($B$4:$B$403,$B116)&gt;1,"※项目名重复了",IF(AND($C116&lt;&gt;"",ISNA(MATCH($C116,客户表,0))),"※客户不在基础资料里",IF(AND($J116&lt;&gt;"",$F116&lt;&gt;"",$J116&lt;$F116),"※完工日期早于下单日期",""))))</f>
        <v/>
      </c>
    </row>
    <row r="117">
      <c r="A117" s="17">
        <f>IF($B117="","","P"&amp;TEXT(ROW()-3,"000"))</f>
        <v/>
      </c>
      <c r="B117" s="13" t="n"/>
      <c r="C117" s="13" t="n"/>
      <c r="D117" s="13" t="n"/>
      <c r="E117" s="13" t="n"/>
      <c r="F117" s="18" t="n"/>
      <c r="G117" s="18" t="n"/>
      <c r="H117" s="18" t="n"/>
      <c r="I117" s="18" t="n"/>
      <c r="J117" s="18" t="n"/>
      <c r="K117" s="14" t="n"/>
      <c r="L117" s="19">
        <f>IF($B117="","",ROUND(SUMIF(订单明细!$C:$C,$B117,订单明细!$I:$I),2))</f>
        <v/>
      </c>
      <c r="M117" s="19">
        <f>IF($B117="","",ROUND(N($K117)+N($L117),2))</f>
        <v/>
      </c>
      <c r="N117" s="14" t="n"/>
      <c r="O117" s="19">
        <f>IF($B117="","",ROUND(N($N117)+SUMIFS(资金日记账!$J$4:$J$2503,资金日记账!$G$4:$G$2503,$B117,资金日记账!$F$4:$F$2503,"收款-项目")-SUMIFS(资金日记账!$K$4:$K$2503,资金日记账!$G$4:$G$2503,$B117,资金日记账!$F$4:$F$2503,"收款-项目"),2))</f>
        <v/>
      </c>
      <c r="P117" s="19">
        <f>IF($B117="","",ROUND($M117-$O117,2))</f>
        <v/>
      </c>
      <c r="Q117" s="17">
        <f>IF($B117="","",IF(AND($J117&lt;&gt;"",ROUND($P117,2)&lt;=0),"已完工·已结清",IF($J117&lt;&gt;"","已完工·还有尾款",IF($I117&lt;&gt;"","已安装",IF($H117&lt;&gt;"","已制作",IF($G117&lt;&gt;"","设计完成","已下单"))))))</f>
        <v/>
      </c>
      <c r="R117" s="13" t="n"/>
      <c r="S117" s="17">
        <f>IF($B117="","",IF(COUNTIF($B$4:$B$403,$B117)&gt;1,"※项目名重复了",IF(AND($C117&lt;&gt;"",ISNA(MATCH($C117,客户表,0))),"※客户不在基础资料里",IF(AND($J117&lt;&gt;"",$F117&lt;&gt;"",$J117&lt;$F117),"※完工日期早于下单日期",""))))</f>
        <v/>
      </c>
    </row>
    <row r="118">
      <c r="A118" s="17">
        <f>IF($B118="","","P"&amp;TEXT(ROW()-3,"000"))</f>
        <v/>
      </c>
      <c r="B118" s="13" t="n"/>
      <c r="C118" s="13" t="n"/>
      <c r="D118" s="13" t="n"/>
      <c r="E118" s="13" t="n"/>
      <c r="F118" s="18" t="n"/>
      <c r="G118" s="18" t="n"/>
      <c r="H118" s="18" t="n"/>
      <c r="I118" s="18" t="n"/>
      <c r="J118" s="18" t="n"/>
      <c r="K118" s="14" t="n"/>
      <c r="L118" s="19">
        <f>IF($B118="","",ROUND(SUMIF(订单明细!$C:$C,$B118,订单明细!$I:$I),2))</f>
        <v/>
      </c>
      <c r="M118" s="19">
        <f>IF($B118="","",ROUND(N($K118)+N($L118),2))</f>
        <v/>
      </c>
      <c r="N118" s="14" t="n"/>
      <c r="O118" s="19">
        <f>IF($B118="","",ROUND(N($N118)+SUMIFS(资金日记账!$J$4:$J$2503,资金日记账!$G$4:$G$2503,$B118,资金日记账!$F$4:$F$2503,"收款-项目")-SUMIFS(资金日记账!$K$4:$K$2503,资金日记账!$G$4:$G$2503,$B118,资金日记账!$F$4:$F$2503,"收款-项目"),2))</f>
        <v/>
      </c>
      <c r="P118" s="19">
        <f>IF($B118="","",ROUND($M118-$O118,2))</f>
        <v/>
      </c>
      <c r="Q118" s="17">
        <f>IF($B118="","",IF(AND($J118&lt;&gt;"",ROUND($P118,2)&lt;=0),"已完工·已结清",IF($J118&lt;&gt;"","已完工·还有尾款",IF($I118&lt;&gt;"","已安装",IF($H118&lt;&gt;"","已制作",IF($G118&lt;&gt;"","设计完成","已下单"))))))</f>
        <v/>
      </c>
      <c r="R118" s="13" t="n"/>
      <c r="S118" s="17">
        <f>IF($B118="","",IF(COUNTIF($B$4:$B$403,$B118)&gt;1,"※项目名重复了",IF(AND($C118&lt;&gt;"",ISNA(MATCH($C118,客户表,0))),"※客户不在基础资料里",IF(AND($J118&lt;&gt;"",$F118&lt;&gt;"",$J118&lt;$F118),"※完工日期早于下单日期",""))))</f>
        <v/>
      </c>
    </row>
    <row r="119">
      <c r="A119" s="17">
        <f>IF($B119="","","P"&amp;TEXT(ROW()-3,"000"))</f>
        <v/>
      </c>
      <c r="B119" s="13" t="n"/>
      <c r="C119" s="13" t="n"/>
      <c r="D119" s="13" t="n"/>
      <c r="E119" s="13" t="n"/>
      <c r="F119" s="18" t="n"/>
      <c r="G119" s="18" t="n"/>
      <c r="H119" s="18" t="n"/>
      <c r="I119" s="18" t="n"/>
      <c r="J119" s="18" t="n"/>
      <c r="K119" s="14" t="n"/>
      <c r="L119" s="19">
        <f>IF($B119="","",ROUND(SUMIF(订单明细!$C:$C,$B119,订单明细!$I:$I),2))</f>
        <v/>
      </c>
      <c r="M119" s="19">
        <f>IF($B119="","",ROUND(N($K119)+N($L119),2))</f>
        <v/>
      </c>
      <c r="N119" s="14" t="n"/>
      <c r="O119" s="19">
        <f>IF($B119="","",ROUND(N($N119)+SUMIFS(资金日记账!$J$4:$J$2503,资金日记账!$G$4:$G$2503,$B119,资金日记账!$F$4:$F$2503,"收款-项目")-SUMIFS(资金日记账!$K$4:$K$2503,资金日记账!$G$4:$G$2503,$B119,资金日记账!$F$4:$F$2503,"收款-项目"),2))</f>
        <v/>
      </c>
      <c r="P119" s="19">
        <f>IF($B119="","",ROUND($M119-$O119,2))</f>
        <v/>
      </c>
      <c r="Q119" s="17">
        <f>IF($B119="","",IF(AND($J119&lt;&gt;"",ROUND($P119,2)&lt;=0),"已完工·已结清",IF($J119&lt;&gt;"","已完工·还有尾款",IF($I119&lt;&gt;"","已安装",IF($H119&lt;&gt;"","已制作",IF($G119&lt;&gt;"","设计完成","已下单"))))))</f>
        <v/>
      </c>
      <c r="R119" s="13" t="n"/>
      <c r="S119" s="17">
        <f>IF($B119="","",IF(COUNTIF($B$4:$B$403,$B119)&gt;1,"※项目名重复了",IF(AND($C119&lt;&gt;"",ISNA(MATCH($C119,客户表,0))),"※客户不在基础资料里",IF(AND($J119&lt;&gt;"",$F119&lt;&gt;"",$J119&lt;$F119),"※完工日期早于下单日期",""))))</f>
        <v/>
      </c>
    </row>
    <row r="120">
      <c r="A120" s="17">
        <f>IF($B120="","","P"&amp;TEXT(ROW()-3,"000"))</f>
        <v/>
      </c>
      <c r="B120" s="13" t="n"/>
      <c r="C120" s="13" t="n"/>
      <c r="D120" s="13" t="n"/>
      <c r="E120" s="13" t="n"/>
      <c r="F120" s="18" t="n"/>
      <c r="G120" s="18" t="n"/>
      <c r="H120" s="18" t="n"/>
      <c r="I120" s="18" t="n"/>
      <c r="J120" s="18" t="n"/>
      <c r="K120" s="14" t="n"/>
      <c r="L120" s="19">
        <f>IF($B120="","",ROUND(SUMIF(订单明细!$C:$C,$B120,订单明细!$I:$I),2))</f>
        <v/>
      </c>
      <c r="M120" s="19">
        <f>IF($B120="","",ROUND(N($K120)+N($L120),2))</f>
        <v/>
      </c>
      <c r="N120" s="14" t="n"/>
      <c r="O120" s="19">
        <f>IF($B120="","",ROUND(N($N120)+SUMIFS(资金日记账!$J$4:$J$2503,资金日记账!$G$4:$G$2503,$B120,资金日记账!$F$4:$F$2503,"收款-项目")-SUMIFS(资金日记账!$K$4:$K$2503,资金日记账!$G$4:$G$2503,$B120,资金日记账!$F$4:$F$2503,"收款-项目"),2))</f>
        <v/>
      </c>
      <c r="P120" s="19">
        <f>IF($B120="","",ROUND($M120-$O120,2))</f>
        <v/>
      </c>
      <c r="Q120" s="17">
        <f>IF($B120="","",IF(AND($J120&lt;&gt;"",ROUND($P120,2)&lt;=0),"已完工·已结清",IF($J120&lt;&gt;"","已完工·还有尾款",IF($I120&lt;&gt;"","已安装",IF($H120&lt;&gt;"","已制作",IF($G120&lt;&gt;"","设计完成","已下单"))))))</f>
        <v/>
      </c>
      <c r="R120" s="13" t="n"/>
      <c r="S120" s="17">
        <f>IF($B120="","",IF(COUNTIF($B$4:$B$403,$B120)&gt;1,"※项目名重复了",IF(AND($C120&lt;&gt;"",ISNA(MATCH($C120,客户表,0))),"※客户不在基础资料里",IF(AND($J120&lt;&gt;"",$F120&lt;&gt;"",$J120&lt;$F120),"※完工日期早于下单日期",""))))</f>
        <v/>
      </c>
    </row>
    <row r="121">
      <c r="A121" s="17">
        <f>IF($B121="","","P"&amp;TEXT(ROW()-3,"000"))</f>
        <v/>
      </c>
      <c r="B121" s="13" t="n"/>
      <c r="C121" s="13" t="n"/>
      <c r="D121" s="13" t="n"/>
      <c r="E121" s="13" t="n"/>
      <c r="F121" s="18" t="n"/>
      <c r="G121" s="18" t="n"/>
      <c r="H121" s="18" t="n"/>
      <c r="I121" s="18" t="n"/>
      <c r="J121" s="18" t="n"/>
      <c r="K121" s="14" t="n"/>
      <c r="L121" s="19">
        <f>IF($B121="","",ROUND(SUMIF(订单明细!$C:$C,$B121,订单明细!$I:$I),2))</f>
        <v/>
      </c>
      <c r="M121" s="19">
        <f>IF($B121="","",ROUND(N($K121)+N($L121),2))</f>
        <v/>
      </c>
      <c r="N121" s="14" t="n"/>
      <c r="O121" s="19">
        <f>IF($B121="","",ROUND(N($N121)+SUMIFS(资金日记账!$J$4:$J$2503,资金日记账!$G$4:$G$2503,$B121,资金日记账!$F$4:$F$2503,"收款-项目")-SUMIFS(资金日记账!$K$4:$K$2503,资金日记账!$G$4:$G$2503,$B121,资金日记账!$F$4:$F$2503,"收款-项目"),2))</f>
        <v/>
      </c>
      <c r="P121" s="19">
        <f>IF($B121="","",ROUND($M121-$O121,2))</f>
        <v/>
      </c>
      <c r="Q121" s="17">
        <f>IF($B121="","",IF(AND($J121&lt;&gt;"",ROUND($P121,2)&lt;=0),"已完工·已结清",IF($J121&lt;&gt;"","已完工·还有尾款",IF($I121&lt;&gt;"","已安装",IF($H121&lt;&gt;"","已制作",IF($G121&lt;&gt;"","设计完成","已下单"))))))</f>
        <v/>
      </c>
      <c r="R121" s="13" t="n"/>
      <c r="S121" s="17">
        <f>IF($B121="","",IF(COUNTIF($B$4:$B$403,$B121)&gt;1,"※项目名重复了",IF(AND($C121&lt;&gt;"",ISNA(MATCH($C121,客户表,0))),"※客户不在基础资料里",IF(AND($J121&lt;&gt;"",$F121&lt;&gt;"",$J121&lt;$F121),"※完工日期早于下单日期",""))))</f>
        <v/>
      </c>
    </row>
    <row r="122">
      <c r="A122" s="17">
        <f>IF($B122="","","P"&amp;TEXT(ROW()-3,"000"))</f>
        <v/>
      </c>
      <c r="B122" s="13" t="n"/>
      <c r="C122" s="13" t="n"/>
      <c r="D122" s="13" t="n"/>
      <c r="E122" s="13" t="n"/>
      <c r="F122" s="18" t="n"/>
      <c r="G122" s="18" t="n"/>
      <c r="H122" s="18" t="n"/>
      <c r="I122" s="18" t="n"/>
      <c r="J122" s="18" t="n"/>
      <c r="K122" s="14" t="n"/>
      <c r="L122" s="19">
        <f>IF($B122="","",ROUND(SUMIF(订单明细!$C:$C,$B122,订单明细!$I:$I),2))</f>
        <v/>
      </c>
      <c r="M122" s="19">
        <f>IF($B122="","",ROUND(N($K122)+N($L122),2))</f>
        <v/>
      </c>
      <c r="N122" s="14" t="n"/>
      <c r="O122" s="19">
        <f>IF($B122="","",ROUND(N($N122)+SUMIFS(资金日记账!$J$4:$J$2503,资金日记账!$G$4:$G$2503,$B122,资金日记账!$F$4:$F$2503,"收款-项目")-SUMIFS(资金日记账!$K$4:$K$2503,资金日记账!$G$4:$G$2503,$B122,资金日记账!$F$4:$F$2503,"收款-项目"),2))</f>
        <v/>
      </c>
      <c r="P122" s="19">
        <f>IF($B122="","",ROUND($M122-$O122,2))</f>
        <v/>
      </c>
      <c r="Q122" s="17">
        <f>IF($B122="","",IF(AND($J122&lt;&gt;"",ROUND($P122,2)&lt;=0),"已完工·已结清",IF($J122&lt;&gt;"","已完工·还有尾款",IF($I122&lt;&gt;"","已安装",IF($H122&lt;&gt;"","已制作",IF($G122&lt;&gt;"","设计完成","已下单"))))))</f>
        <v/>
      </c>
      <c r="R122" s="13" t="n"/>
      <c r="S122" s="17">
        <f>IF($B122="","",IF(COUNTIF($B$4:$B$403,$B122)&gt;1,"※项目名重复了",IF(AND($C122&lt;&gt;"",ISNA(MATCH($C122,客户表,0))),"※客户不在基础资料里",IF(AND($J122&lt;&gt;"",$F122&lt;&gt;"",$J122&lt;$F122),"※完工日期早于下单日期",""))))</f>
        <v/>
      </c>
    </row>
    <row r="123">
      <c r="A123" s="17">
        <f>IF($B123="","","P"&amp;TEXT(ROW()-3,"000"))</f>
        <v/>
      </c>
      <c r="B123" s="13" t="n"/>
      <c r="C123" s="13" t="n"/>
      <c r="D123" s="13" t="n"/>
      <c r="E123" s="13" t="n"/>
      <c r="F123" s="18" t="n"/>
      <c r="G123" s="18" t="n"/>
      <c r="H123" s="18" t="n"/>
      <c r="I123" s="18" t="n"/>
      <c r="J123" s="18" t="n"/>
      <c r="K123" s="14" t="n"/>
      <c r="L123" s="19">
        <f>IF($B123="","",ROUND(SUMIF(订单明细!$C:$C,$B123,订单明细!$I:$I),2))</f>
        <v/>
      </c>
      <c r="M123" s="19">
        <f>IF($B123="","",ROUND(N($K123)+N($L123),2))</f>
        <v/>
      </c>
      <c r="N123" s="14" t="n"/>
      <c r="O123" s="19">
        <f>IF($B123="","",ROUND(N($N123)+SUMIFS(资金日记账!$J$4:$J$2503,资金日记账!$G$4:$G$2503,$B123,资金日记账!$F$4:$F$2503,"收款-项目")-SUMIFS(资金日记账!$K$4:$K$2503,资金日记账!$G$4:$G$2503,$B123,资金日记账!$F$4:$F$2503,"收款-项目"),2))</f>
        <v/>
      </c>
      <c r="P123" s="19">
        <f>IF($B123="","",ROUND($M123-$O123,2))</f>
        <v/>
      </c>
      <c r="Q123" s="17">
        <f>IF($B123="","",IF(AND($J123&lt;&gt;"",ROUND($P123,2)&lt;=0),"已完工·已结清",IF($J123&lt;&gt;"","已完工·还有尾款",IF($I123&lt;&gt;"","已安装",IF($H123&lt;&gt;"","已制作",IF($G123&lt;&gt;"","设计完成","已下单"))))))</f>
        <v/>
      </c>
      <c r="R123" s="13" t="n"/>
      <c r="S123" s="17">
        <f>IF($B123="","",IF(COUNTIF($B$4:$B$403,$B123)&gt;1,"※项目名重复了",IF(AND($C123&lt;&gt;"",ISNA(MATCH($C123,客户表,0))),"※客户不在基础资料里",IF(AND($J123&lt;&gt;"",$F123&lt;&gt;"",$J123&lt;$F123),"※完工日期早于下单日期",""))))</f>
        <v/>
      </c>
    </row>
    <row r="124">
      <c r="A124" s="17">
        <f>IF($B124="","","P"&amp;TEXT(ROW()-3,"000"))</f>
        <v/>
      </c>
      <c r="B124" s="13" t="n"/>
      <c r="C124" s="13" t="n"/>
      <c r="D124" s="13" t="n"/>
      <c r="E124" s="13" t="n"/>
      <c r="F124" s="18" t="n"/>
      <c r="G124" s="18" t="n"/>
      <c r="H124" s="18" t="n"/>
      <c r="I124" s="18" t="n"/>
      <c r="J124" s="18" t="n"/>
      <c r="K124" s="14" t="n"/>
      <c r="L124" s="19">
        <f>IF($B124="","",ROUND(SUMIF(订单明细!$C:$C,$B124,订单明细!$I:$I),2))</f>
        <v/>
      </c>
      <c r="M124" s="19">
        <f>IF($B124="","",ROUND(N($K124)+N($L124),2))</f>
        <v/>
      </c>
      <c r="N124" s="14" t="n"/>
      <c r="O124" s="19">
        <f>IF($B124="","",ROUND(N($N124)+SUMIFS(资金日记账!$J$4:$J$2503,资金日记账!$G$4:$G$2503,$B124,资金日记账!$F$4:$F$2503,"收款-项目")-SUMIFS(资金日记账!$K$4:$K$2503,资金日记账!$G$4:$G$2503,$B124,资金日记账!$F$4:$F$2503,"收款-项目"),2))</f>
        <v/>
      </c>
      <c r="P124" s="19">
        <f>IF($B124="","",ROUND($M124-$O124,2))</f>
        <v/>
      </c>
      <c r="Q124" s="17">
        <f>IF($B124="","",IF(AND($J124&lt;&gt;"",ROUND($P124,2)&lt;=0),"已完工·已结清",IF($J124&lt;&gt;"","已完工·还有尾款",IF($I124&lt;&gt;"","已安装",IF($H124&lt;&gt;"","已制作",IF($G124&lt;&gt;"","设计完成","已下单"))))))</f>
        <v/>
      </c>
      <c r="R124" s="13" t="n"/>
      <c r="S124" s="17">
        <f>IF($B124="","",IF(COUNTIF($B$4:$B$403,$B124)&gt;1,"※项目名重复了",IF(AND($C124&lt;&gt;"",ISNA(MATCH($C124,客户表,0))),"※客户不在基础资料里",IF(AND($J124&lt;&gt;"",$F124&lt;&gt;"",$J124&lt;$F124),"※完工日期早于下单日期",""))))</f>
        <v/>
      </c>
    </row>
    <row r="125">
      <c r="A125" s="17">
        <f>IF($B125="","","P"&amp;TEXT(ROW()-3,"000"))</f>
        <v/>
      </c>
      <c r="B125" s="13" t="n"/>
      <c r="C125" s="13" t="n"/>
      <c r="D125" s="13" t="n"/>
      <c r="E125" s="13" t="n"/>
      <c r="F125" s="18" t="n"/>
      <c r="G125" s="18" t="n"/>
      <c r="H125" s="18" t="n"/>
      <c r="I125" s="18" t="n"/>
      <c r="J125" s="18" t="n"/>
      <c r="K125" s="14" t="n"/>
      <c r="L125" s="19">
        <f>IF($B125="","",ROUND(SUMIF(订单明细!$C:$C,$B125,订单明细!$I:$I),2))</f>
        <v/>
      </c>
      <c r="M125" s="19">
        <f>IF($B125="","",ROUND(N($K125)+N($L125),2))</f>
        <v/>
      </c>
      <c r="N125" s="14" t="n"/>
      <c r="O125" s="19">
        <f>IF($B125="","",ROUND(N($N125)+SUMIFS(资金日记账!$J$4:$J$2503,资金日记账!$G$4:$G$2503,$B125,资金日记账!$F$4:$F$2503,"收款-项目")-SUMIFS(资金日记账!$K$4:$K$2503,资金日记账!$G$4:$G$2503,$B125,资金日记账!$F$4:$F$2503,"收款-项目"),2))</f>
        <v/>
      </c>
      <c r="P125" s="19">
        <f>IF($B125="","",ROUND($M125-$O125,2))</f>
        <v/>
      </c>
      <c r="Q125" s="17">
        <f>IF($B125="","",IF(AND($J125&lt;&gt;"",ROUND($P125,2)&lt;=0),"已完工·已结清",IF($J125&lt;&gt;"","已完工·还有尾款",IF($I125&lt;&gt;"","已安装",IF($H125&lt;&gt;"","已制作",IF($G125&lt;&gt;"","设计完成","已下单"))))))</f>
        <v/>
      </c>
      <c r="R125" s="13" t="n"/>
      <c r="S125" s="17">
        <f>IF($B125="","",IF(COUNTIF($B$4:$B$403,$B125)&gt;1,"※项目名重复了",IF(AND($C125&lt;&gt;"",ISNA(MATCH($C125,客户表,0))),"※客户不在基础资料里",IF(AND($J125&lt;&gt;"",$F125&lt;&gt;"",$J125&lt;$F125),"※完工日期早于下单日期",""))))</f>
        <v/>
      </c>
    </row>
    <row r="126">
      <c r="A126" s="17">
        <f>IF($B126="","","P"&amp;TEXT(ROW()-3,"000"))</f>
        <v/>
      </c>
      <c r="B126" s="13" t="n"/>
      <c r="C126" s="13" t="n"/>
      <c r="D126" s="13" t="n"/>
      <c r="E126" s="13" t="n"/>
      <c r="F126" s="18" t="n"/>
      <c r="G126" s="18" t="n"/>
      <c r="H126" s="18" t="n"/>
      <c r="I126" s="18" t="n"/>
      <c r="J126" s="18" t="n"/>
      <c r="K126" s="14" t="n"/>
      <c r="L126" s="19">
        <f>IF($B126="","",ROUND(SUMIF(订单明细!$C:$C,$B126,订单明细!$I:$I),2))</f>
        <v/>
      </c>
      <c r="M126" s="19">
        <f>IF($B126="","",ROUND(N($K126)+N($L126),2))</f>
        <v/>
      </c>
      <c r="N126" s="14" t="n"/>
      <c r="O126" s="19">
        <f>IF($B126="","",ROUND(N($N126)+SUMIFS(资金日记账!$J$4:$J$2503,资金日记账!$G$4:$G$2503,$B126,资金日记账!$F$4:$F$2503,"收款-项目")-SUMIFS(资金日记账!$K$4:$K$2503,资金日记账!$G$4:$G$2503,$B126,资金日记账!$F$4:$F$2503,"收款-项目"),2))</f>
        <v/>
      </c>
      <c r="P126" s="19">
        <f>IF($B126="","",ROUND($M126-$O126,2))</f>
        <v/>
      </c>
      <c r="Q126" s="17">
        <f>IF($B126="","",IF(AND($J126&lt;&gt;"",ROUND($P126,2)&lt;=0),"已完工·已结清",IF($J126&lt;&gt;"","已完工·还有尾款",IF($I126&lt;&gt;"","已安装",IF($H126&lt;&gt;"","已制作",IF($G126&lt;&gt;"","设计完成","已下单"))))))</f>
        <v/>
      </c>
      <c r="R126" s="13" t="n"/>
      <c r="S126" s="17">
        <f>IF($B126="","",IF(COUNTIF($B$4:$B$403,$B126)&gt;1,"※项目名重复了",IF(AND($C126&lt;&gt;"",ISNA(MATCH($C126,客户表,0))),"※客户不在基础资料里",IF(AND($J126&lt;&gt;"",$F126&lt;&gt;"",$J126&lt;$F126),"※完工日期早于下单日期",""))))</f>
        <v/>
      </c>
    </row>
    <row r="127">
      <c r="A127" s="17">
        <f>IF($B127="","","P"&amp;TEXT(ROW()-3,"000"))</f>
        <v/>
      </c>
      <c r="B127" s="13" t="n"/>
      <c r="C127" s="13" t="n"/>
      <c r="D127" s="13" t="n"/>
      <c r="E127" s="13" t="n"/>
      <c r="F127" s="18" t="n"/>
      <c r="G127" s="18" t="n"/>
      <c r="H127" s="18" t="n"/>
      <c r="I127" s="18" t="n"/>
      <c r="J127" s="18" t="n"/>
      <c r="K127" s="14" t="n"/>
      <c r="L127" s="19">
        <f>IF($B127="","",ROUND(SUMIF(订单明细!$C:$C,$B127,订单明细!$I:$I),2))</f>
        <v/>
      </c>
      <c r="M127" s="19">
        <f>IF($B127="","",ROUND(N($K127)+N($L127),2))</f>
        <v/>
      </c>
      <c r="N127" s="14" t="n"/>
      <c r="O127" s="19">
        <f>IF($B127="","",ROUND(N($N127)+SUMIFS(资金日记账!$J$4:$J$2503,资金日记账!$G$4:$G$2503,$B127,资金日记账!$F$4:$F$2503,"收款-项目")-SUMIFS(资金日记账!$K$4:$K$2503,资金日记账!$G$4:$G$2503,$B127,资金日记账!$F$4:$F$2503,"收款-项目"),2))</f>
        <v/>
      </c>
      <c r="P127" s="19">
        <f>IF($B127="","",ROUND($M127-$O127,2))</f>
        <v/>
      </c>
      <c r="Q127" s="17">
        <f>IF($B127="","",IF(AND($J127&lt;&gt;"",ROUND($P127,2)&lt;=0),"已完工·已结清",IF($J127&lt;&gt;"","已完工·还有尾款",IF($I127&lt;&gt;"","已安装",IF($H127&lt;&gt;"","已制作",IF($G127&lt;&gt;"","设计完成","已下单"))))))</f>
        <v/>
      </c>
      <c r="R127" s="13" t="n"/>
      <c r="S127" s="17">
        <f>IF($B127="","",IF(COUNTIF($B$4:$B$403,$B127)&gt;1,"※项目名重复了",IF(AND($C127&lt;&gt;"",ISNA(MATCH($C127,客户表,0))),"※客户不在基础资料里",IF(AND($J127&lt;&gt;"",$F127&lt;&gt;"",$J127&lt;$F127),"※完工日期早于下单日期",""))))</f>
        <v/>
      </c>
    </row>
    <row r="128">
      <c r="A128" s="17">
        <f>IF($B128="","","P"&amp;TEXT(ROW()-3,"000"))</f>
        <v/>
      </c>
      <c r="B128" s="13" t="n"/>
      <c r="C128" s="13" t="n"/>
      <c r="D128" s="13" t="n"/>
      <c r="E128" s="13" t="n"/>
      <c r="F128" s="18" t="n"/>
      <c r="G128" s="18" t="n"/>
      <c r="H128" s="18" t="n"/>
      <c r="I128" s="18" t="n"/>
      <c r="J128" s="18" t="n"/>
      <c r="K128" s="14" t="n"/>
      <c r="L128" s="19">
        <f>IF($B128="","",ROUND(SUMIF(订单明细!$C:$C,$B128,订单明细!$I:$I),2))</f>
        <v/>
      </c>
      <c r="M128" s="19">
        <f>IF($B128="","",ROUND(N($K128)+N($L128),2))</f>
        <v/>
      </c>
      <c r="N128" s="14" t="n"/>
      <c r="O128" s="19">
        <f>IF($B128="","",ROUND(N($N128)+SUMIFS(资金日记账!$J$4:$J$2503,资金日记账!$G$4:$G$2503,$B128,资金日记账!$F$4:$F$2503,"收款-项目")-SUMIFS(资金日记账!$K$4:$K$2503,资金日记账!$G$4:$G$2503,$B128,资金日记账!$F$4:$F$2503,"收款-项目"),2))</f>
        <v/>
      </c>
      <c r="P128" s="19">
        <f>IF($B128="","",ROUND($M128-$O128,2))</f>
        <v/>
      </c>
      <c r="Q128" s="17">
        <f>IF($B128="","",IF(AND($J128&lt;&gt;"",ROUND($P128,2)&lt;=0),"已完工·已结清",IF($J128&lt;&gt;"","已完工·还有尾款",IF($I128&lt;&gt;"","已安装",IF($H128&lt;&gt;"","已制作",IF($G128&lt;&gt;"","设计完成","已下单"))))))</f>
        <v/>
      </c>
      <c r="R128" s="13" t="n"/>
      <c r="S128" s="17">
        <f>IF($B128="","",IF(COUNTIF($B$4:$B$403,$B128)&gt;1,"※项目名重复了",IF(AND($C128&lt;&gt;"",ISNA(MATCH($C128,客户表,0))),"※客户不在基础资料里",IF(AND($J128&lt;&gt;"",$F128&lt;&gt;"",$J128&lt;$F128),"※完工日期早于下单日期",""))))</f>
        <v/>
      </c>
    </row>
    <row r="129">
      <c r="A129" s="17">
        <f>IF($B129="","","P"&amp;TEXT(ROW()-3,"000"))</f>
        <v/>
      </c>
      <c r="B129" s="13" t="n"/>
      <c r="C129" s="13" t="n"/>
      <c r="D129" s="13" t="n"/>
      <c r="E129" s="13" t="n"/>
      <c r="F129" s="18" t="n"/>
      <c r="G129" s="18" t="n"/>
      <c r="H129" s="18" t="n"/>
      <c r="I129" s="18" t="n"/>
      <c r="J129" s="18" t="n"/>
      <c r="K129" s="14" t="n"/>
      <c r="L129" s="19">
        <f>IF($B129="","",ROUND(SUMIF(订单明细!$C:$C,$B129,订单明细!$I:$I),2))</f>
        <v/>
      </c>
      <c r="M129" s="19">
        <f>IF($B129="","",ROUND(N($K129)+N($L129),2))</f>
        <v/>
      </c>
      <c r="N129" s="14" t="n"/>
      <c r="O129" s="19">
        <f>IF($B129="","",ROUND(N($N129)+SUMIFS(资金日记账!$J$4:$J$2503,资金日记账!$G$4:$G$2503,$B129,资金日记账!$F$4:$F$2503,"收款-项目")-SUMIFS(资金日记账!$K$4:$K$2503,资金日记账!$G$4:$G$2503,$B129,资金日记账!$F$4:$F$2503,"收款-项目"),2))</f>
        <v/>
      </c>
      <c r="P129" s="19">
        <f>IF($B129="","",ROUND($M129-$O129,2))</f>
        <v/>
      </c>
      <c r="Q129" s="17">
        <f>IF($B129="","",IF(AND($J129&lt;&gt;"",ROUND($P129,2)&lt;=0),"已完工·已结清",IF($J129&lt;&gt;"","已完工·还有尾款",IF($I129&lt;&gt;"","已安装",IF($H129&lt;&gt;"","已制作",IF($G129&lt;&gt;"","设计完成","已下单"))))))</f>
        <v/>
      </c>
      <c r="R129" s="13" t="n"/>
      <c r="S129" s="17">
        <f>IF($B129="","",IF(COUNTIF($B$4:$B$403,$B129)&gt;1,"※项目名重复了",IF(AND($C129&lt;&gt;"",ISNA(MATCH($C129,客户表,0))),"※客户不在基础资料里",IF(AND($J129&lt;&gt;"",$F129&lt;&gt;"",$J129&lt;$F129),"※完工日期早于下单日期",""))))</f>
        <v/>
      </c>
    </row>
    <row r="130">
      <c r="A130" s="17">
        <f>IF($B130="","","P"&amp;TEXT(ROW()-3,"000"))</f>
        <v/>
      </c>
      <c r="B130" s="13" t="n"/>
      <c r="C130" s="13" t="n"/>
      <c r="D130" s="13" t="n"/>
      <c r="E130" s="13" t="n"/>
      <c r="F130" s="18" t="n"/>
      <c r="G130" s="18" t="n"/>
      <c r="H130" s="18" t="n"/>
      <c r="I130" s="18" t="n"/>
      <c r="J130" s="18" t="n"/>
      <c r="K130" s="14" t="n"/>
      <c r="L130" s="19">
        <f>IF($B130="","",ROUND(SUMIF(订单明细!$C:$C,$B130,订单明细!$I:$I),2))</f>
        <v/>
      </c>
      <c r="M130" s="19">
        <f>IF($B130="","",ROUND(N($K130)+N($L130),2))</f>
        <v/>
      </c>
      <c r="N130" s="14" t="n"/>
      <c r="O130" s="19">
        <f>IF($B130="","",ROUND(N($N130)+SUMIFS(资金日记账!$J$4:$J$2503,资金日记账!$G$4:$G$2503,$B130,资金日记账!$F$4:$F$2503,"收款-项目")-SUMIFS(资金日记账!$K$4:$K$2503,资金日记账!$G$4:$G$2503,$B130,资金日记账!$F$4:$F$2503,"收款-项目"),2))</f>
        <v/>
      </c>
      <c r="P130" s="19">
        <f>IF($B130="","",ROUND($M130-$O130,2))</f>
        <v/>
      </c>
      <c r="Q130" s="17">
        <f>IF($B130="","",IF(AND($J130&lt;&gt;"",ROUND($P130,2)&lt;=0),"已完工·已结清",IF($J130&lt;&gt;"","已完工·还有尾款",IF($I130&lt;&gt;"","已安装",IF($H130&lt;&gt;"","已制作",IF($G130&lt;&gt;"","设计完成","已下单"))))))</f>
        <v/>
      </c>
      <c r="R130" s="13" t="n"/>
      <c r="S130" s="17">
        <f>IF($B130="","",IF(COUNTIF($B$4:$B$403,$B130)&gt;1,"※项目名重复了",IF(AND($C130&lt;&gt;"",ISNA(MATCH($C130,客户表,0))),"※客户不在基础资料里",IF(AND($J130&lt;&gt;"",$F130&lt;&gt;"",$J130&lt;$F130),"※完工日期早于下单日期",""))))</f>
        <v/>
      </c>
    </row>
    <row r="131">
      <c r="A131" s="17">
        <f>IF($B131="","","P"&amp;TEXT(ROW()-3,"000"))</f>
        <v/>
      </c>
      <c r="B131" s="13" t="n"/>
      <c r="C131" s="13" t="n"/>
      <c r="D131" s="13" t="n"/>
      <c r="E131" s="13" t="n"/>
      <c r="F131" s="18" t="n"/>
      <c r="G131" s="18" t="n"/>
      <c r="H131" s="18" t="n"/>
      <c r="I131" s="18" t="n"/>
      <c r="J131" s="18" t="n"/>
      <c r="K131" s="14" t="n"/>
      <c r="L131" s="19">
        <f>IF($B131="","",ROUND(SUMIF(订单明细!$C:$C,$B131,订单明细!$I:$I),2))</f>
        <v/>
      </c>
      <c r="M131" s="19">
        <f>IF($B131="","",ROUND(N($K131)+N($L131),2))</f>
        <v/>
      </c>
      <c r="N131" s="14" t="n"/>
      <c r="O131" s="19">
        <f>IF($B131="","",ROUND(N($N131)+SUMIFS(资金日记账!$J$4:$J$2503,资金日记账!$G$4:$G$2503,$B131,资金日记账!$F$4:$F$2503,"收款-项目")-SUMIFS(资金日记账!$K$4:$K$2503,资金日记账!$G$4:$G$2503,$B131,资金日记账!$F$4:$F$2503,"收款-项目"),2))</f>
        <v/>
      </c>
      <c r="P131" s="19">
        <f>IF($B131="","",ROUND($M131-$O131,2))</f>
        <v/>
      </c>
      <c r="Q131" s="17">
        <f>IF($B131="","",IF(AND($J131&lt;&gt;"",ROUND($P131,2)&lt;=0),"已完工·已结清",IF($J131&lt;&gt;"","已完工·还有尾款",IF($I131&lt;&gt;"","已安装",IF($H131&lt;&gt;"","已制作",IF($G131&lt;&gt;"","设计完成","已下单"))))))</f>
        <v/>
      </c>
      <c r="R131" s="13" t="n"/>
      <c r="S131" s="17">
        <f>IF($B131="","",IF(COUNTIF($B$4:$B$403,$B131)&gt;1,"※项目名重复了",IF(AND($C131&lt;&gt;"",ISNA(MATCH($C131,客户表,0))),"※客户不在基础资料里",IF(AND($J131&lt;&gt;"",$F131&lt;&gt;"",$J131&lt;$F131),"※完工日期早于下单日期",""))))</f>
        <v/>
      </c>
    </row>
    <row r="132">
      <c r="A132" s="17">
        <f>IF($B132="","","P"&amp;TEXT(ROW()-3,"000"))</f>
        <v/>
      </c>
      <c r="B132" s="13" t="n"/>
      <c r="C132" s="13" t="n"/>
      <c r="D132" s="13" t="n"/>
      <c r="E132" s="13" t="n"/>
      <c r="F132" s="18" t="n"/>
      <c r="G132" s="18" t="n"/>
      <c r="H132" s="18" t="n"/>
      <c r="I132" s="18" t="n"/>
      <c r="J132" s="18" t="n"/>
      <c r="K132" s="14" t="n"/>
      <c r="L132" s="19">
        <f>IF($B132="","",ROUND(SUMIF(订单明细!$C:$C,$B132,订单明细!$I:$I),2))</f>
        <v/>
      </c>
      <c r="M132" s="19">
        <f>IF($B132="","",ROUND(N($K132)+N($L132),2))</f>
        <v/>
      </c>
      <c r="N132" s="14" t="n"/>
      <c r="O132" s="19">
        <f>IF($B132="","",ROUND(N($N132)+SUMIFS(资金日记账!$J$4:$J$2503,资金日记账!$G$4:$G$2503,$B132,资金日记账!$F$4:$F$2503,"收款-项目")-SUMIFS(资金日记账!$K$4:$K$2503,资金日记账!$G$4:$G$2503,$B132,资金日记账!$F$4:$F$2503,"收款-项目"),2))</f>
        <v/>
      </c>
      <c r="P132" s="19">
        <f>IF($B132="","",ROUND($M132-$O132,2))</f>
        <v/>
      </c>
      <c r="Q132" s="17">
        <f>IF($B132="","",IF(AND($J132&lt;&gt;"",ROUND($P132,2)&lt;=0),"已完工·已结清",IF($J132&lt;&gt;"","已完工·还有尾款",IF($I132&lt;&gt;"","已安装",IF($H132&lt;&gt;"","已制作",IF($G132&lt;&gt;"","设计完成","已下单"))))))</f>
        <v/>
      </c>
      <c r="R132" s="13" t="n"/>
      <c r="S132" s="17">
        <f>IF($B132="","",IF(COUNTIF($B$4:$B$403,$B132)&gt;1,"※项目名重复了",IF(AND($C132&lt;&gt;"",ISNA(MATCH($C132,客户表,0))),"※客户不在基础资料里",IF(AND($J132&lt;&gt;"",$F132&lt;&gt;"",$J132&lt;$F132),"※完工日期早于下单日期",""))))</f>
        <v/>
      </c>
    </row>
    <row r="133">
      <c r="A133" s="17">
        <f>IF($B133="","","P"&amp;TEXT(ROW()-3,"000"))</f>
        <v/>
      </c>
      <c r="B133" s="13" t="n"/>
      <c r="C133" s="13" t="n"/>
      <c r="D133" s="13" t="n"/>
      <c r="E133" s="13" t="n"/>
      <c r="F133" s="18" t="n"/>
      <c r="G133" s="18" t="n"/>
      <c r="H133" s="18" t="n"/>
      <c r="I133" s="18" t="n"/>
      <c r="J133" s="18" t="n"/>
      <c r="K133" s="14" t="n"/>
      <c r="L133" s="19">
        <f>IF($B133="","",ROUND(SUMIF(订单明细!$C:$C,$B133,订单明细!$I:$I),2))</f>
        <v/>
      </c>
      <c r="M133" s="19">
        <f>IF($B133="","",ROUND(N($K133)+N($L133),2))</f>
        <v/>
      </c>
      <c r="N133" s="14" t="n"/>
      <c r="O133" s="19">
        <f>IF($B133="","",ROUND(N($N133)+SUMIFS(资金日记账!$J$4:$J$2503,资金日记账!$G$4:$G$2503,$B133,资金日记账!$F$4:$F$2503,"收款-项目")-SUMIFS(资金日记账!$K$4:$K$2503,资金日记账!$G$4:$G$2503,$B133,资金日记账!$F$4:$F$2503,"收款-项目"),2))</f>
        <v/>
      </c>
      <c r="P133" s="19">
        <f>IF($B133="","",ROUND($M133-$O133,2))</f>
        <v/>
      </c>
      <c r="Q133" s="17">
        <f>IF($B133="","",IF(AND($J133&lt;&gt;"",ROUND($P133,2)&lt;=0),"已完工·已结清",IF($J133&lt;&gt;"","已完工·还有尾款",IF($I133&lt;&gt;"","已安装",IF($H133&lt;&gt;"","已制作",IF($G133&lt;&gt;"","设计完成","已下单"))))))</f>
        <v/>
      </c>
      <c r="R133" s="13" t="n"/>
      <c r="S133" s="17">
        <f>IF($B133="","",IF(COUNTIF($B$4:$B$403,$B133)&gt;1,"※项目名重复了",IF(AND($C133&lt;&gt;"",ISNA(MATCH($C133,客户表,0))),"※客户不在基础资料里",IF(AND($J133&lt;&gt;"",$F133&lt;&gt;"",$J133&lt;$F133),"※完工日期早于下单日期",""))))</f>
        <v/>
      </c>
    </row>
    <row r="134">
      <c r="A134" s="17">
        <f>IF($B134="","","P"&amp;TEXT(ROW()-3,"000"))</f>
        <v/>
      </c>
      <c r="B134" s="13" t="n"/>
      <c r="C134" s="13" t="n"/>
      <c r="D134" s="13" t="n"/>
      <c r="E134" s="13" t="n"/>
      <c r="F134" s="18" t="n"/>
      <c r="G134" s="18" t="n"/>
      <c r="H134" s="18" t="n"/>
      <c r="I134" s="18" t="n"/>
      <c r="J134" s="18" t="n"/>
      <c r="K134" s="14" t="n"/>
      <c r="L134" s="19">
        <f>IF($B134="","",ROUND(SUMIF(订单明细!$C:$C,$B134,订单明细!$I:$I),2))</f>
        <v/>
      </c>
      <c r="M134" s="19">
        <f>IF($B134="","",ROUND(N($K134)+N($L134),2))</f>
        <v/>
      </c>
      <c r="N134" s="14" t="n"/>
      <c r="O134" s="19">
        <f>IF($B134="","",ROUND(N($N134)+SUMIFS(资金日记账!$J$4:$J$2503,资金日记账!$G$4:$G$2503,$B134,资金日记账!$F$4:$F$2503,"收款-项目")-SUMIFS(资金日记账!$K$4:$K$2503,资金日记账!$G$4:$G$2503,$B134,资金日记账!$F$4:$F$2503,"收款-项目"),2))</f>
        <v/>
      </c>
      <c r="P134" s="19">
        <f>IF($B134="","",ROUND($M134-$O134,2))</f>
        <v/>
      </c>
      <c r="Q134" s="17">
        <f>IF($B134="","",IF(AND($J134&lt;&gt;"",ROUND($P134,2)&lt;=0),"已完工·已结清",IF($J134&lt;&gt;"","已完工·还有尾款",IF($I134&lt;&gt;"","已安装",IF($H134&lt;&gt;"","已制作",IF($G134&lt;&gt;"","设计完成","已下单"))))))</f>
        <v/>
      </c>
      <c r="R134" s="13" t="n"/>
      <c r="S134" s="17">
        <f>IF($B134="","",IF(COUNTIF($B$4:$B$403,$B134)&gt;1,"※项目名重复了",IF(AND($C134&lt;&gt;"",ISNA(MATCH($C134,客户表,0))),"※客户不在基础资料里",IF(AND($J134&lt;&gt;"",$F134&lt;&gt;"",$J134&lt;$F134),"※完工日期早于下单日期",""))))</f>
        <v/>
      </c>
    </row>
    <row r="135">
      <c r="A135" s="17">
        <f>IF($B135="","","P"&amp;TEXT(ROW()-3,"000"))</f>
        <v/>
      </c>
      <c r="B135" s="13" t="n"/>
      <c r="C135" s="13" t="n"/>
      <c r="D135" s="13" t="n"/>
      <c r="E135" s="13" t="n"/>
      <c r="F135" s="18" t="n"/>
      <c r="G135" s="18" t="n"/>
      <c r="H135" s="18" t="n"/>
      <c r="I135" s="18" t="n"/>
      <c r="J135" s="18" t="n"/>
      <c r="K135" s="14" t="n"/>
      <c r="L135" s="19">
        <f>IF($B135="","",ROUND(SUMIF(订单明细!$C:$C,$B135,订单明细!$I:$I),2))</f>
        <v/>
      </c>
      <c r="M135" s="19">
        <f>IF($B135="","",ROUND(N($K135)+N($L135),2))</f>
        <v/>
      </c>
      <c r="N135" s="14" t="n"/>
      <c r="O135" s="19">
        <f>IF($B135="","",ROUND(N($N135)+SUMIFS(资金日记账!$J$4:$J$2503,资金日记账!$G$4:$G$2503,$B135,资金日记账!$F$4:$F$2503,"收款-项目")-SUMIFS(资金日记账!$K$4:$K$2503,资金日记账!$G$4:$G$2503,$B135,资金日记账!$F$4:$F$2503,"收款-项目"),2))</f>
        <v/>
      </c>
      <c r="P135" s="19">
        <f>IF($B135="","",ROUND($M135-$O135,2))</f>
        <v/>
      </c>
      <c r="Q135" s="17">
        <f>IF($B135="","",IF(AND($J135&lt;&gt;"",ROUND($P135,2)&lt;=0),"已完工·已结清",IF($J135&lt;&gt;"","已完工·还有尾款",IF($I135&lt;&gt;"","已安装",IF($H135&lt;&gt;"","已制作",IF($G135&lt;&gt;"","设计完成","已下单"))))))</f>
        <v/>
      </c>
      <c r="R135" s="13" t="n"/>
      <c r="S135" s="17">
        <f>IF($B135="","",IF(COUNTIF($B$4:$B$403,$B135)&gt;1,"※项目名重复了",IF(AND($C135&lt;&gt;"",ISNA(MATCH($C135,客户表,0))),"※客户不在基础资料里",IF(AND($J135&lt;&gt;"",$F135&lt;&gt;"",$J135&lt;$F135),"※完工日期早于下单日期",""))))</f>
        <v/>
      </c>
    </row>
    <row r="136">
      <c r="A136" s="17">
        <f>IF($B136="","","P"&amp;TEXT(ROW()-3,"000"))</f>
        <v/>
      </c>
      <c r="B136" s="13" t="n"/>
      <c r="C136" s="13" t="n"/>
      <c r="D136" s="13" t="n"/>
      <c r="E136" s="13" t="n"/>
      <c r="F136" s="18" t="n"/>
      <c r="G136" s="18" t="n"/>
      <c r="H136" s="18" t="n"/>
      <c r="I136" s="18" t="n"/>
      <c r="J136" s="18" t="n"/>
      <c r="K136" s="14" t="n"/>
      <c r="L136" s="19">
        <f>IF($B136="","",ROUND(SUMIF(订单明细!$C:$C,$B136,订单明细!$I:$I),2))</f>
        <v/>
      </c>
      <c r="M136" s="19">
        <f>IF($B136="","",ROUND(N($K136)+N($L136),2))</f>
        <v/>
      </c>
      <c r="N136" s="14" t="n"/>
      <c r="O136" s="19">
        <f>IF($B136="","",ROUND(N($N136)+SUMIFS(资金日记账!$J$4:$J$2503,资金日记账!$G$4:$G$2503,$B136,资金日记账!$F$4:$F$2503,"收款-项目")-SUMIFS(资金日记账!$K$4:$K$2503,资金日记账!$G$4:$G$2503,$B136,资金日记账!$F$4:$F$2503,"收款-项目"),2))</f>
        <v/>
      </c>
      <c r="P136" s="19">
        <f>IF($B136="","",ROUND($M136-$O136,2))</f>
        <v/>
      </c>
      <c r="Q136" s="17">
        <f>IF($B136="","",IF(AND($J136&lt;&gt;"",ROUND($P136,2)&lt;=0),"已完工·已结清",IF($J136&lt;&gt;"","已完工·还有尾款",IF($I136&lt;&gt;"","已安装",IF($H136&lt;&gt;"","已制作",IF($G136&lt;&gt;"","设计完成","已下单"))))))</f>
        <v/>
      </c>
      <c r="R136" s="13" t="n"/>
      <c r="S136" s="17">
        <f>IF($B136="","",IF(COUNTIF($B$4:$B$403,$B136)&gt;1,"※项目名重复了",IF(AND($C136&lt;&gt;"",ISNA(MATCH($C136,客户表,0))),"※客户不在基础资料里",IF(AND($J136&lt;&gt;"",$F136&lt;&gt;"",$J136&lt;$F136),"※完工日期早于下单日期",""))))</f>
        <v/>
      </c>
    </row>
    <row r="137">
      <c r="A137" s="17">
        <f>IF($B137="","","P"&amp;TEXT(ROW()-3,"000"))</f>
        <v/>
      </c>
      <c r="B137" s="13" t="n"/>
      <c r="C137" s="13" t="n"/>
      <c r="D137" s="13" t="n"/>
      <c r="E137" s="13" t="n"/>
      <c r="F137" s="18" t="n"/>
      <c r="G137" s="18" t="n"/>
      <c r="H137" s="18" t="n"/>
      <c r="I137" s="18" t="n"/>
      <c r="J137" s="18" t="n"/>
      <c r="K137" s="14" t="n"/>
      <c r="L137" s="19">
        <f>IF($B137="","",ROUND(SUMIF(订单明细!$C:$C,$B137,订单明细!$I:$I),2))</f>
        <v/>
      </c>
      <c r="M137" s="19">
        <f>IF($B137="","",ROUND(N($K137)+N($L137),2))</f>
        <v/>
      </c>
      <c r="N137" s="14" t="n"/>
      <c r="O137" s="19">
        <f>IF($B137="","",ROUND(N($N137)+SUMIFS(资金日记账!$J$4:$J$2503,资金日记账!$G$4:$G$2503,$B137,资金日记账!$F$4:$F$2503,"收款-项目")-SUMIFS(资金日记账!$K$4:$K$2503,资金日记账!$G$4:$G$2503,$B137,资金日记账!$F$4:$F$2503,"收款-项目"),2))</f>
        <v/>
      </c>
      <c r="P137" s="19">
        <f>IF($B137="","",ROUND($M137-$O137,2))</f>
        <v/>
      </c>
      <c r="Q137" s="17">
        <f>IF($B137="","",IF(AND($J137&lt;&gt;"",ROUND($P137,2)&lt;=0),"已完工·已结清",IF($J137&lt;&gt;"","已完工·还有尾款",IF($I137&lt;&gt;"","已安装",IF($H137&lt;&gt;"","已制作",IF($G137&lt;&gt;"","设计完成","已下单"))))))</f>
        <v/>
      </c>
      <c r="R137" s="13" t="n"/>
      <c r="S137" s="17">
        <f>IF($B137="","",IF(COUNTIF($B$4:$B$403,$B137)&gt;1,"※项目名重复了",IF(AND($C137&lt;&gt;"",ISNA(MATCH($C137,客户表,0))),"※客户不在基础资料里",IF(AND($J137&lt;&gt;"",$F137&lt;&gt;"",$J137&lt;$F137),"※完工日期早于下单日期",""))))</f>
        <v/>
      </c>
    </row>
    <row r="138">
      <c r="A138" s="17">
        <f>IF($B138="","","P"&amp;TEXT(ROW()-3,"000"))</f>
        <v/>
      </c>
      <c r="B138" s="13" t="n"/>
      <c r="C138" s="13" t="n"/>
      <c r="D138" s="13" t="n"/>
      <c r="E138" s="13" t="n"/>
      <c r="F138" s="18" t="n"/>
      <c r="G138" s="18" t="n"/>
      <c r="H138" s="18" t="n"/>
      <c r="I138" s="18" t="n"/>
      <c r="J138" s="18" t="n"/>
      <c r="K138" s="14" t="n"/>
      <c r="L138" s="19">
        <f>IF($B138="","",ROUND(SUMIF(订单明细!$C:$C,$B138,订单明细!$I:$I),2))</f>
        <v/>
      </c>
      <c r="M138" s="19">
        <f>IF($B138="","",ROUND(N($K138)+N($L138),2))</f>
        <v/>
      </c>
      <c r="N138" s="14" t="n"/>
      <c r="O138" s="19">
        <f>IF($B138="","",ROUND(N($N138)+SUMIFS(资金日记账!$J$4:$J$2503,资金日记账!$G$4:$G$2503,$B138,资金日记账!$F$4:$F$2503,"收款-项目")-SUMIFS(资金日记账!$K$4:$K$2503,资金日记账!$G$4:$G$2503,$B138,资金日记账!$F$4:$F$2503,"收款-项目"),2))</f>
        <v/>
      </c>
      <c r="P138" s="19">
        <f>IF($B138="","",ROUND($M138-$O138,2))</f>
        <v/>
      </c>
      <c r="Q138" s="17">
        <f>IF($B138="","",IF(AND($J138&lt;&gt;"",ROUND($P138,2)&lt;=0),"已完工·已结清",IF($J138&lt;&gt;"","已完工·还有尾款",IF($I138&lt;&gt;"","已安装",IF($H138&lt;&gt;"","已制作",IF($G138&lt;&gt;"","设计完成","已下单"))))))</f>
        <v/>
      </c>
      <c r="R138" s="13" t="n"/>
      <c r="S138" s="17">
        <f>IF($B138="","",IF(COUNTIF($B$4:$B$403,$B138)&gt;1,"※项目名重复了",IF(AND($C138&lt;&gt;"",ISNA(MATCH($C138,客户表,0))),"※客户不在基础资料里",IF(AND($J138&lt;&gt;"",$F138&lt;&gt;"",$J138&lt;$F138),"※完工日期早于下单日期",""))))</f>
        <v/>
      </c>
    </row>
    <row r="139">
      <c r="A139" s="17">
        <f>IF($B139="","","P"&amp;TEXT(ROW()-3,"000"))</f>
        <v/>
      </c>
      <c r="B139" s="13" t="n"/>
      <c r="C139" s="13" t="n"/>
      <c r="D139" s="13" t="n"/>
      <c r="E139" s="13" t="n"/>
      <c r="F139" s="18" t="n"/>
      <c r="G139" s="18" t="n"/>
      <c r="H139" s="18" t="n"/>
      <c r="I139" s="18" t="n"/>
      <c r="J139" s="18" t="n"/>
      <c r="K139" s="14" t="n"/>
      <c r="L139" s="19">
        <f>IF($B139="","",ROUND(SUMIF(订单明细!$C:$C,$B139,订单明细!$I:$I),2))</f>
        <v/>
      </c>
      <c r="M139" s="19">
        <f>IF($B139="","",ROUND(N($K139)+N($L139),2))</f>
        <v/>
      </c>
      <c r="N139" s="14" t="n"/>
      <c r="O139" s="19">
        <f>IF($B139="","",ROUND(N($N139)+SUMIFS(资金日记账!$J$4:$J$2503,资金日记账!$G$4:$G$2503,$B139,资金日记账!$F$4:$F$2503,"收款-项目")-SUMIFS(资金日记账!$K$4:$K$2503,资金日记账!$G$4:$G$2503,$B139,资金日记账!$F$4:$F$2503,"收款-项目"),2))</f>
        <v/>
      </c>
      <c r="P139" s="19">
        <f>IF($B139="","",ROUND($M139-$O139,2))</f>
        <v/>
      </c>
      <c r="Q139" s="17">
        <f>IF($B139="","",IF(AND($J139&lt;&gt;"",ROUND($P139,2)&lt;=0),"已完工·已结清",IF($J139&lt;&gt;"","已完工·还有尾款",IF($I139&lt;&gt;"","已安装",IF($H139&lt;&gt;"","已制作",IF($G139&lt;&gt;"","设计完成","已下单"))))))</f>
        <v/>
      </c>
      <c r="R139" s="13" t="n"/>
      <c r="S139" s="17">
        <f>IF($B139="","",IF(COUNTIF($B$4:$B$403,$B139)&gt;1,"※项目名重复了",IF(AND($C139&lt;&gt;"",ISNA(MATCH($C139,客户表,0))),"※客户不在基础资料里",IF(AND($J139&lt;&gt;"",$F139&lt;&gt;"",$J139&lt;$F139),"※完工日期早于下单日期",""))))</f>
        <v/>
      </c>
    </row>
    <row r="140">
      <c r="A140" s="17">
        <f>IF($B140="","","P"&amp;TEXT(ROW()-3,"000"))</f>
        <v/>
      </c>
      <c r="B140" s="13" t="n"/>
      <c r="C140" s="13" t="n"/>
      <c r="D140" s="13" t="n"/>
      <c r="E140" s="13" t="n"/>
      <c r="F140" s="18" t="n"/>
      <c r="G140" s="18" t="n"/>
      <c r="H140" s="18" t="n"/>
      <c r="I140" s="18" t="n"/>
      <c r="J140" s="18" t="n"/>
      <c r="K140" s="14" t="n"/>
      <c r="L140" s="19">
        <f>IF($B140="","",ROUND(SUMIF(订单明细!$C:$C,$B140,订单明细!$I:$I),2))</f>
        <v/>
      </c>
      <c r="M140" s="19">
        <f>IF($B140="","",ROUND(N($K140)+N($L140),2))</f>
        <v/>
      </c>
      <c r="N140" s="14" t="n"/>
      <c r="O140" s="19">
        <f>IF($B140="","",ROUND(N($N140)+SUMIFS(资金日记账!$J$4:$J$2503,资金日记账!$G$4:$G$2503,$B140,资金日记账!$F$4:$F$2503,"收款-项目")-SUMIFS(资金日记账!$K$4:$K$2503,资金日记账!$G$4:$G$2503,$B140,资金日记账!$F$4:$F$2503,"收款-项目"),2))</f>
        <v/>
      </c>
      <c r="P140" s="19">
        <f>IF($B140="","",ROUND($M140-$O140,2))</f>
        <v/>
      </c>
      <c r="Q140" s="17">
        <f>IF($B140="","",IF(AND($J140&lt;&gt;"",ROUND($P140,2)&lt;=0),"已完工·已结清",IF($J140&lt;&gt;"","已完工·还有尾款",IF($I140&lt;&gt;"","已安装",IF($H140&lt;&gt;"","已制作",IF($G140&lt;&gt;"","设计完成","已下单"))))))</f>
        <v/>
      </c>
      <c r="R140" s="13" t="n"/>
      <c r="S140" s="17">
        <f>IF($B140="","",IF(COUNTIF($B$4:$B$403,$B140)&gt;1,"※项目名重复了",IF(AND($C140&lt;&gt;"",ISNA(MATCH($C140,客户表,0))),"※客户不在基础资料里",IF(AND($J140&lt;&gt;"",$F140&lt;&gt;"",$J140&lt;$F140),"※完工日期早于下单日期",""))))</f>
        <v/>
      </c>
    </row>
    <row r="141">
      <c r="A141" s="17">
        <f>IF($B141="","","P"&amp;TEXT(ROW()-3,"000"))</f>
        <v/>
      </c>
      <c r="B141" s="13" t="n"/>
      <c r="C141" s="13" t="n"/>
      <c r="D141" s="13" t="n"/>
      <c r="E141" s="13" t="n"/>
      <c r="F141" s="18" t="n"/>
      <c r="G141" s="18" t="n"/>
      <c r="H141" s="18" t="n"/>
      <c r="I141" s="18" t="n"/>
      <c r="J141" s="18" t="n"/>
      <c r="K141" s="14" t="n"/>
      <c r="L141" s="19">
        <f>IF($B141="","",ROUND(SUMIF(订单明细!$C:$C,$B141,订单明细!$I:$I),2))</f>
        <v/>
      </c>
      <c r="M141" s="19">
        <f>IF($B141="","",ROUND(N($K141)+N($L141),2))</f>
        <v/>
      </c>
      <c r="N141" s="14" t="n"/>
      <c r="O141" s="19">
        <f>IF($B141="","",ROUND(N($N141)+SUMIFS(资金日记账!$J$4:$J$2503,资金日记账!$G$4:$G$2503,$B141,资金日记账!$F$4:$F$2503,"收款-项目")-SUMIFS(资金日记账!$K$4:$K$2503,资金日记账!$G$4:$G$2503,$B141,资金日记账!$F$4:$F$2503,"收款-项目"),2))</f>
        <v/>
      </c>
      <c r="P141" s="19">
        <f>IF($B141="","",ROUND($M141-$O141,2))</f>
        <v/>
      </c>
      <c r="Q141" s="17">
        <f>IF($B141="","",IF(AND($J141&lt;&gt;"",ROUND($P141,2)&lt;=0),"已完工·已结清",IF($J141&lt;&gt;"","已完工·还有尾款",IF($I141&lt;&gt;"","已安装",IF($H141&lt;&gt;"","已制作",IF($G141&lt;&gt;"","设计完成","已下单"))))))</f>
        <v/>
      </c>
      <c r="R141" s="13" t="n"/>
      <c r="S141" s="17">
        <f>IF($B141="","",IF(COUNTIF($B$4:$B$403,$B141)&gt;1,"※项目名重复了",IF(AND($C141&lt;&gt;"",ISNA(MATCH($C141,客户表,0))),"※客户不在基础资料里",IF(AND($J141&lt;&gt;"",$F141&lt;&gt;"",$J141&lt;$F141),"※完工日期早于下单日期",""))))</f>
        <v/>
      </c>
    </row>
    <row r="142">
      <c r="A142" s="17">
        <f>IF($B142="","","P"&amp;TEXT(ROW()-3,"000"))</f>
        <v/>
      </c>
      <c r="B142" s="13" t="n"/>
      <c r="C142" s="13" t="n"/>
      <c r="D142" s="13" t="n"/>
      <c r="E142" s="13" t="n"/>
      <c r="F142" s="18" t="n"/>
      <c r="G142" s="18" t="n"/>
      <c r="H142" s="18" t="n"/>
      <c r="I142" s="18" t="n"/>
      <c r="J142" s="18" t="n"/>
      <c r="K142" s="14" t="n"/>
      <c r="L142" s="19">
        <f>IF($B142="","",ROUND(SUMIF(订单明细!$C:$C,$B142,订单明细!$I:$I),2))</f>
        <v/>
      </c>
      <c r="M142" s="19">
        <f>IF($B142="","",ROUND(N($K142)+N($L142),2))</f>
        <v/>
      </c>
      <c r="N142" s="14" t="n"/>
      <c r="O142" s="19">
        <f>IF($B142="","",ROUND(N($N142)+SUMIFS(资金日记账!$J$4:$J$2503,资金日记账!$G$4:$G$2503,$B142,资金日记账!$F$4:$F$2503,"收款-项目")-SUMIFS(资金日记账!$K$4:$K$2503,资金日记账!$G$4:$G$2503,$B142,资金日记账!$F$4:$F$2503,"收款-项目"),2))</f>
        <v/>
      </c>
      <c r="P142" s="19">
        <f>IF($B142="","",ROUND($M142-$O142,2))</f>
        <v/>
      </c>
      <c r="Q142" s="17">
        <f>IF($B142="","",IF(AND($J142&lt;&gt;"",ROUND($P142,2)&lt;=0),"已完工·已结清",IF($J142&lt;&gt;"","已完工·还有尾款",IF($I142&lt;&gt;"","已安装",IF($H142&lt;&gt;"","已制作",IF($G142&lt;&gt;"","设计完成","已下单"))))))</f>
        <v/>
      </c>
      <c r="R142" s="13" t="n"/>
      <c r="S142" s="17">
        <f>IF($B142="","",IF(COUNTIF($B$4:$B$403,$B142)&gt;1,"※项目名重复了",IF(AND($C142&lt;&gt;"",ISNA(MATCH($C142,客户表,0))),"※客户不在基础资料里",IF(AND($J142&lt;&gt;"",$F142&lt;&gt;"",$J142&lt;$F142),"※完工日期早于下单日期",""))))</f>
        <v/>
      </c>
    </row>
    <row r="143">
      <c r="A143" s="17">
        <f>IF($B143="","","P"&amp;TEXT(ROW()-3,"000"))</f>
        <v/>
      </c>
      <c r="B143" s="13" t="n"/>
      <c r="C143" s="13" t="n"/>
      <c r="D143" s="13" t="n"/>
      <c r="E143" s="13" t="n"/>
      <c r="F143" s="18" t="n"/>
      <c r="G143" s="18" t="n"/>
      <c r="H143" s="18" t="n"/>
      <c r="I143" s="18" t="n"/>
      <c r="J143" s="18" t="n"/>
      <c r="K143" s="14" t="n"/>
      <c r="L143" s="19">
        <f>IF($B143="","",ROUND(SUMIF(订单明细!$C:$C,$B143,订单明细!$I:$I),2))</f>
        <v/>
      </c>
      <c r="M143" s="19">
        <f>IF($B143="","",ROUND(N($K143)+N($L143),2))</f>
        <v/>
      </c>
      <c r="N143" s="14" t="n"/>
      <c r="O143" s="19">
        <f>IF($B143="","",ROUND(N($N143)+SUMIFS(资金日记账!$J$4:$J$2503,资金日记账!$G$4:$G$2503,$B143,资金日记账!$F$4:$F$2503,"收款-项目")-SUMIFS(资金日记账!$K$4:$K$2503,资金日记账!$G$4:$G$2503,$B143,资金日记账!$F$4:$F$2503,"收款-项目"),2))</f>
        <v/>
      </c>
      <c r="P143" s="19">
        <f>IF($B143="","",ROUND($M143-$O143,2))</f>
        <v/>
      </c>
      <c r="Q143" s="17">
        <f>IF($B143="","",IF(AND($J143&lt;&gt;"",ROUND($P143,2)&lt;=0),"已完工·已结清",IF($J143&lt;&gt;"","已完工·还有尾款",IF($I143&lt;&gt;"","已安装",IF($H143&lt;&gt;"","已制作",IF($G143&lt;&gt;"","设计完成","已下单"))))))</f>
        <v/>
      </c>
      <c r="R143" s="13" t="n"/>
      <c r="S143" s="17">
        <f>IF($B143="","",IF(COUNTIF($B$4:$B$403,$B143)&gt;1,"※项目名重复了",IF(AND($C143&lt;&gt;"",ISNA(MATCH($C143,客户表,0))),"※客户不在基础资料里",IF(AND($J143&lt;&gt;"",$F143&lt;&gt;"",$J143&lt;$F143),"※完工日期早于下单日期",""))))</f>
        <v/>
      </c>
    </row>
    <row r="144">
      <c r="A144" s="17">
        <f>IF($B144="","","P"&amp;TEXT(ROW()-3,"000"))</f>
        <v/>
      </c>
      <c r="B144" s="13" t="n"/>
      <c r="C144" s="13" t="n"/>
      <c r="D144" s="13" t="n"/>
      <c r="E144" s="13" t="n"/>
      <c r="F144" s="18" t="n"/>
      <c r="G144" s="18" t="n"/>
      <c r="H144" s="18" t="n"/>
      <c r="I144" s="18" t="n"/>
      <c r="J144" s="18" t="n"/>
      <c r="K144" s="14" t="n"/>
      <c r="L144" s="19">
        <f>IF($B144="","",ROUND(SUMIF(订单明细!$C:$C,$B144,订单明细!$I:$I),2))</f>
        <v/>
      </c>
      <c r="M144" s="19">
        <f>IF($B144="","",ROUND(N($K144)+N($L144),2))</f>
        <v/>
      </c>
      <c r="N144" s="14" t="n"/>
      <c r="O144" s="19">
        <f>IF($B144="","",ROUND(N($N144)+SUMIFS(资金日记账!$J$4:$J$2503,资金日记账!$G$4:$G$2503,$B144,资金日记账!$F$4:$F$2503,"收款-项目")-SUMIFS(资金日记账!$K$4:$K$2503,资金日记账!$G$4:$G$2503,$B144,资金日记账!$F$4:$F$2503,"收款-项目"),2))</f>
        <v/>
      </c>
      <c r="P144" s="19">
        <f>IF($B144="","",ROUND($M144-$O144,2))</f>
        <v/>
      </c>
      <c r="Q144" s="17">
        <f>IF($B144="","",IF(AND($J144&lt;&gt;"",ROUND($P144,2)&lt;=0),"已完工·已结清",IF($J144&lt;&gt;"","已完工·还有尾款",IF($I144&lt;&gt;"","已安装",IF($H144&lt;&gt;"","已制作",IF($G144&lt;&gt;"","设计完成","已下单"))))))</f>
        <v/>
      </c>
      <c r="R144" s="13" t="n"/>
      <c r="S144" s="17">
        <f>IF($B144="","",IF(COUNTIF($B$4:$B$403,$B144)&gt;1,"※项目名重复了",IF(AND($C144&lt;&gt;"",ISNA(MATCH($C144,客户表,0))),"※客户不在基础资料里",IF(AND($J144&lt;&gt;"",$F144&lt;&gt;"",$J144&lt;$F144),"※完工日期早于下单日期",""))))</f>
        <v/>
      </c>
    </row>
    <row r="145">
      <c r="A145" s="17">
        <f>IF($B145="","","P"&amp;TEXT(ROW()-3,"000"))</f>
        <v/>
      </c>
      <c r="B145" s="13" t="n"/>
      <c r="C145" s="13" t="n"/>
      <c r="D145" s="13" t="n"/>
      <c r="E145" s="13" t="n"/>
      <c r="F145" s="18" t="n"/>
      <c r="G145" s="18" t="n"/>
      <c r="H145" s="18" t="n"/>
      <c r="I145" s="18" t="n"/>
      <c r="J145" s="18" t="n"/>
      <c r="K145" s="14" t="n"/>
      <c r="L145" s="19">
        <f>IF($B145="","",ROUND(SUMIF(订单明细!$C:$C,$B145,订单明细!$I:$I),2))</f>
        <v/>
      </c>
      <c r="M145" s="19">
        <f>IF($B145="","",ROUND(N($K145)+N($L145),2))</f>
        <v/>
      </c>
      <c r="N145" s="14" t="n"/>
      <c r="O145" s="19">
        <f>IF($B145="","",ROUND(N($N145)+SUMIFS(资金日记账!$J$4:$J$2503,资金日记账!$G$4:$G$2503,$B145,资金日记账!$F$4:$F$2503,"收款-项目")-SUMIFS(资金日记账!$K$4:$K$2503,资金日记账!$G$4:$G$2503,$B145,资金日记账!$F$4:$F$2503,"收款-项目"),2))</f>
        <v/>
      </c>
      <c r="P145" s="19">
        <f>IF($B145="","",ROUND($M145-$O145,2))</f>
        <v/>
      </c>
      <c r="Q145" s="17">
        <f>IF($B145="","",IF(AND($J145&lt;&gt;"",ROUND($P145,2)&lt;=0),"已完工·已结清",IF($J145&lt;&gt;"","已完工·还有尾款",IF($I145&lt;&gt;"","已安装",IF($H145&lt;&gt;"","已制作",IF($G145&lt;&gt;"","设计完成","已下单"))))))</f>
        <v/>
      </c>
      <c r="R145" s="13" t="n"/>
      <c r="S145" s="17">
        <f>IF($B145="","",IF(COUNTIF($B$4:$B$403,$B145)&gt;1,"※项目名重复了",IF(AND($C145&lt;&gt;"",ISNA(MATCH($C145,客户表,0))),"※客户不在基础资料里",IF(AND($J145&lt;&gt;"",$F145&lt;&gt;"",$J145&lt;$F145),"※完工日期早于下单日期",""))))</f>
        <v/>
      </c>
    </row>
    <row r="146">
      <c r="A146" s="17">
        <f>IF($B146="","","P"&amp;TEXT(ROW()-3,"000"))</f>
        <v/>
      </c>
      <c r="B146" s="13" t="n"/>
      <c r="C146" s="13" t="n"/>
      <c r="D146" s="13" t="n"/>
      <c r="E146" s="13" t="n"/>
      <c r="F146" s="18" t="n"/>
      <c r="G146" s="18" t="n"/>
      <c r="H146" s="18" t="n"/>
      <c r="I146" s="18" t="n"/>
      <c r="J146" s="18" t="n"/>
      <c r="K146" s="14" t="n"/>
      <c r="L146" s="19">
        <f>IF($B146="","",ROUND(SUMIF(订单明细!$C:$C,$B146,订单明细!$I:$I),2))</f>
        <v/>
      </c>
      <c r="M146" s="19">
        <f>IF($B146="","",ROUND(N($K146)+N($L146),2))</f>
        <v/>
      </c>
      <c r="N146" s="14" t="n"/>
      <c r="O146" s="19">
        <f>IF($B146="","",ROUND(N($N146)+SUMIFS(资金日记账!$J$4:$J$2503,资金日记账!$G$4:$G$2503,$B146,资金日记账!$F$4:$F$2503,"收款-项目")-SUMIFS(资金日记账!$K$4:$K$2503,资金日记账!$G$4:$G$2503,$B146,资金日记账!$F$4:$F$2503,"收款-项目"),2))</f>
        <v/>
      </c>
      <c r="P146" s="19">
        <f>IF($B146="","",ROUND($M146-$O146,2))</f>
        <v/>
      </c>
      <c r="Q146" s="17">
        <f>IF($B146="","",IF(AND($J146&lt;&gt;"",ROUND($P146,2)&lt;=0),"已完工·已结清",IF($J146&lt;&gt;"","已完工·还有尾款",IF($I146&lt;&gt;"","已安装",IF($H146&lt;&gt;"","已制作",IF($G146&lt;&gt;"","设计完成","已下单"))))))</f>
        <v/>
      </c>
      <c r="R146" s="13" t="n"/>
      <c r="S146" s="17">
        <f>IF($B146="","",IF(COUNTIF($B$4:$B$403,$B146)&gt;1,"※项目名重复了",IF(AND($C146&lt;&gt;"",ISNA(MATCH($C146,客户表,0))),"※客户不在基础资料里",IF(AND($J146&lt;&gt;"",$F146&lt;&gt;"",$J146&lt;$F146),"※完工日期早于下单日期",""))))</f>
        <v/>
      </c>
    </row>
    <row r="147">
      <c r="A147" s="17">
        <f>IF($B147="","","P"&amp;TEXT(ROW()-3,"000"))</f>
        <v/>
      </c>
      <c r="B147" s="13" t="n"/>
      <c r="C147" s="13" t="n"/>
      <c r="D147" s="13" t="n"/>
      <c r="E147" s="13" t="n"/>
      <c r="F147" s="18" t="n"/>
      <c r="G147" s="18" t="n"/>
      <c r="H147" s="18" t="n"/>
      <c r="I147" s="18" t="n"/>
      <c r="J147" s="18" t="n"/>
      <c r="K147" s="14" t="n"/>
      <c r="L147" s="19">
        <f>IF($B147="","",ROUND(SUMIF(订单明细!$C:$C,$B147,订单明细!$I:$I),2))</f>
        <v/>
      </c>
      <c r="M147" s="19">
        <f>IF($B147="","",ROUND(N($K147)+N($L147),2))</f>
        <v/>
      </c>
      <c r="N147" s="14" t="n"/>
      <c r="O147" s="19">
        <f>IF($B147="","",ROUND(N($N147)+SUMIFS(资金日记账!$J$4:$J$2503,资金日记账!$G$4:$G$2503,$B147,资金日记账!$F$4:$F$2503,"收款-项目")-SUMIFS(资金日记账!$K$4:$K$2503,资金日记账!$G$4:$G$2503,$B147,资金日记账!$F$4:$F$2503,"收款-项目"),2))</f>
        <v/>
      </c>
      <c r="P147" s="19">
        <f>IF($B147="","",ROUND($M147-$O147,2))</f>
        <v/>
      </c>
      <c r="Q147" s="17">
        <f>IF($B147="","",IF(AND($J147&lt;&gt;"",ROUND($P147,2)&lt;=0),"已完工·已结清",IF($J147&lt;&gt;"","已完工·还有尾款",IF($I147&lt;&gt;"","已安装",IF($H147&lt;&gt;"","已制作",IF($G147&lt;&gt;"","设计完成","已下单"))))))</f>
        <v/>
      </c>
      <c r="R147" s="13" t="n"/>
      <c r="S147" s="17">
        <f>IF($B147="","",IF(COUNTIF($B$4:$B$403,$B147)&gt;1,"※项目名重复了",IF(AND($C147&lt;&gt;"",ISNA(MATCH($C147,客户表,0))),"※客户不在基础资料里",IF(AND($J147&lt;&gt;"",$F147&lt;&gt;"",$J147&lt;$F147),"※完工日期早于下单日期",""))))</f>
        <v/>
      </c>
    </row>
    <row r="148">
      <c r="A148" s="17">
        <f>IF($B148="","","P"&amp;TEXT(ROW()-3,"000"))</f>
        <v/>
      </c>
      <c r="B148" s="13" t="n"/>
      <c r="C148" s="13" t="n"/>
      <c r="D148" s="13" t="n"/>
      <c r="E148" s="13" t="n"/>
      <c r="F148" s="18" t="n"/>
      <c r="G148" s="18" t="n"/>
      <c r="H148" s="18" t="n"/>
      <c r="I148" s="18" t="n"/>
      <c r="J148" s="18" t="n"/>
      <c r="K148" s="14" t="n"/>
      <c r="L148" s="19">
        <f>IF($B148="","",ROUND(SUMIF(订单明细!$C:$C,$B148,订单明细!$I:$I),2))</f>
        <v/>
      </c>
      <c r="M148" s="19">
        <f>IF($B148="","",ROUND(N($K148)+N($L148),2))</f>
        <v/>
      </c>
      <c r="N148" s="14" t="n"/>
      <c r="O148" s="19">
        <f>IF($B148="","",ROUND(N($N148)+SUMIFS(资金日记账!$J$4:$J$2503,资金日记账!$G$4:$G$2503,$B148,资金日记账!$F$4:$F$2503,"收款-项目")-SUMIFS(资金日记账!$K$4:$K$2503,资金日记账!$G$4:$G$2503,$B148,资金日记账!$F$4:$F$2503,"收款-项目"),2))</f>
        <v/>
      </c>
      <c r="P148" s="19">
        <f>IF($B148="","",ROUND($M148-$O148,2))</f>
        <v/>
      </c>
      <c r="Q148" s="17">
        <f>IF($B148="","",IF(AND($J148&lt;&gt;"",ROUND($P148,2)&lt;=0),"已完工·已结清",IF($J148&lt;&gt;"","已完工·还有尾款",IF($I148&lt;&gt;"","已安装",IF($H148&lt;&gt;"","已制作",IF($G148&lt;&gt;"","设计完成","已下单"))))))</f>
        <v/>
      </c>
      <c r="R148" s="13" t="n"/>
      <c r="S148" s="17">
        <f>IF($B148="","",IF(COUNTIF($B$4:$B$403,$B148)&gt;1,"※项目名重复了",IF(AND($C148&lt;&gt;"",ISNA(MATCH($C148,客户表,0))),"※客户不在基础资料里",IF(AND($J148&lt;&gt;"",$F148&lt;&gt;"",$J148&lt;$F148),"※完工日期早于下单日期",""))))</f>
        <v/>
      </c>
    </row>
    <row r="149">
      <c r="A149" s="17">
        <f>IF($B149="","","P"&amp;TEXT(ROW()-3,"000"))</f>
        <v/>
      </c>
      <c r="B149" s="13" t="n"/>
      <c r="C149" s="13" t="n"/>
      <c r="D149" s="13" t="n"/>
      <c r="E149" s="13" t="n"/>
      <c r="F149" s="18" t="n"/>
      <c r="G149" s="18" t="n"/>
      <c r="H149" s="18" t="n"/>
      <c r="I149" s="18" t="n"/>
      <c r="J149" s="18" t="n"/>
      <c r="K149" s="14" t="n"/>
      <c r="L149" s="19">
        <f>IF($B149="","",ROUND(SUMIF(订单明细!$C:$C,$B149,订单明细!$I:$I),2))</f>
        <v/>
      </c>
      <c r="M149" s="19">
        <f>IF($B149="","",ROUND(N($K149)+N($L149),2))</f>
        <v/>
      </c>
      <c r="N149" s="14" t="n"/>
      <c r="O149" s="19">
        <f>IF($B149="","",ROUND(N($N149)+SUMIFS(资金日记账!$J$4:$J$2503,资金日记账!$G$4:$G$2503,$B149,资金日记账!$F$4:$F$2503,"收款-项目")-SUMIFS(资金日记账!$K$4:$K$2503,资金日记账!$G$4:$G$2503,$B149,资金日记账!$F$4:$F$2503,"收款-项目"),2))</f>
        <v/>
      </c>
      <c r="P149" s="19">
        <f>IF($B149="","",ROUND($M149-$O149,2))</f>
        <v/>
      </c>
      <c r="Q149" s="17">
        <f>IF($B149="","",IF(AND($J149&lt;&gt;"",ROUND($P149,2)&lt;=0),"已完工·已结清",IF($J149&lt;&gt;"","已完工·还有尾款",IF($I149&lt;&gt;"","已安装",IF($H149&lt;&gt;"","已制作",IF($G149&lt;&gt;"","设计完成","已下单"))))))</f>
        <v/>
      </c>
      <c r="R149" s="13" t="n"/>
      <c r="S149" s="17">
        <f>IF($B149="","",IF(COUNTIF($B$4:$B$403,$B149)&gt;1,"※项目名重复了",IF(AND($C149&lt;&gt;"",ISNA(MATCH($C149,客户表,0))),"※客户不在基础资料里",IF(AND($J149&lt;&gt;"",$F149&lt;&gt;"",$J149&lt;$F149),"※完工日期早于下单日期",""))))</f>
        <v/>
      </c>
    </row>
    <row r="150">
      <c r="A150" s="17">
        <f>IF($B150="","","P"&amp;TEXT(ROW()-3,"000"))</f>
        <v/>
      </c>
      <c r="B150" s="13" t="n"/>
      <c r="C150" s="13" t="n"/>
      <c r="D150" s="13" t="n"/>
      <c r="E150" s="13" t="n"/>
      <c r="F150" s="18" t="n"/>
      <c r="G150" s="18" t="n"/>
      <c r="H150" s="18" t="n"/>
      <c r="I150" s="18" t="n"/>
      <c r="J150" s="18" t="n"/>
      <c r="K150" s="14" t="n"/>
      <c r="L150" s="19">
        <f>IF($B150="","",ROUND(SUMIF(订单明细!$C:$C,$B150,订单明细!$I:$I),2))</f>
        <v/>
      </c>
      <c r="M150" s="19">
        <f>IF($B150="","",ROUND(N($K150)+N($L150),2))</f>
        <v/>
      </c>
      <c r="N150" s="14" t="n"/>
      <c r="O150" s="19">
        <f>IF($B150="","",ROUND(N($N150)+SUMIFS(资金日记账!$J$4:$J$2503,资金日记账!$G$4:$G$2503,$B150,资金日记账!$F$4:$F$2503,"收款-项目")-SUMIFS(资金日记账!$K$4:$K$2503,资金日记账!$G$4:$G$2503,$B150,资金日记账!$F$4:$F$2503,"收款-项目"),2))</f>
        <v/>
      </c>
      <c r="P150" s="19">
        <f>IF($B150="","",ROUND($M150-$O150,2))</f>
        <v/>
      </c>
      <c r="Q150" s="17">
        <f>IF($B150="","",IF(AND($J150&lt;&gt;"",ROUND($P150,2)&lt;=0),"已完工·已结清",IF($J150&lt;&gt;"","已完工·还有尾款",IF($I150&lt;&gt;"","已安装",IF($H150&lt;&gt;"","已制作",IF($G150&lt;&gt;"","设计完成","已下单"))))))</f>
        <v/>
      </c>
      <c r="R150" s="13" t="n"/>
      <c r="S150" s="17">
        <f>IF($B150="","",IF(COUNTIF($B$4:$B$403,$B150)&gt;1,"※项目名重复了",IF(AND($C150&lt;&gt;"",ISNA(MATCH($C150,客户表,0))),"※客户不在基础资料里",IF(AND($J150&lt;&gt;"",$F150&lt;&gt;"",$J150&lt;$F150),"※完工日期早于下单日期",""))))</f>
        <v/>
      </c>
    </row>
    <row r="151">
      <c r="A151" s="17">
        <f>IF($B151="","","P"&amp;TEXT(ROW()-3,"000"))</f>
        <v/>
      </c>
      <c r="B151" s="13" t="n"/>
      <c r="C151" s="13" t="n"/>
      <c r="D151" s="13" t="n"/>
      <c r="E151" s="13" t="n"/>
      <c r="F151" s="18" t="n"/>
      <c r="G151" s="18" t="n"/>
      <c r="H151" s="18" t="n"/>
      <c r="I151" s="18" t="n"/>
      <c r="J151" s="18" t="n"/>
      <c r="K151" s="14" t="n"/>
      <c r="L151" s="19">
        <f>IF($B151="","",ROUND(SUMIF(订单明细!$C:$C,$B151,订单明细!$I:$I),2))</f>
        <v/>
      </c>
      <c r="M151" s="19">
        <f>IF($B151="","",ROUND(N($K151)+N($L151),2))</f>
        <v/>
      </c>
      <c r="N151" s="14" t="n"/>
      <c r="O151" s="19">
        <f>IF($B151="","",ROUND(N($N151)+SUMIFS(资金日记账!$J$4:$J$2503,资金日记账!$G$4:$G$2503,$B151,资金日记账!$F$4:$F$2503,"收款-项目")-SUMIFS(资金日记账!$K$4:$K$2503,资金日记账!$G$4:$G$2503,$B151,资金日记账!$F$4:$F$2503,"收款-项目"),2))</f>
        <v/>
      </c>
      <c r="P151" s="19">
        <f>IF($B151="","",ROUND($M151-$O151,2))</f>
        <v/>
      </c>
      <c r="Q151" s="17">
        <f>IF($B151="","",IF(AND($J151&lt;&gt;"",ROUND($P151,2)&lt;=0),"已完工·已结清",IF($J151&lt;&gt;"","已完工·还有尾款",IF($I151&lt;&gt;"","已安装",IF($H151&lt;&gt;"","已制作",IF($G151&lt;&gt;"","设计完成","已下单"))))))</f>
        <v/>
      </c>
      <c r="R151" s="13" t="n"/>
      <c r="S151" s="17">
        <f>IF($B151="","",IF(COUNTIF($B$4:$B$403,$B151)&gt;1,"※项目名重复了",IF(AND($C151&lt;&gt;"",ISNA(MATCH($C151,客户表,0))),"※客户不在基础资料里",IF(AND($J151&lt;&gt;"",$F151&lt;&gt;"",$J151&lt;$F151),"※完工日期早于下单日期",""))))</f>
        <v/>
      </c>
    </row>
    <row r="152">
      <c r="A152" s="17">
        <f>IF($B152="","","P"&amp;TEXT(ROW()-3,"000"))</f>
        <v/>
      </c>
      <c r="B152" s="13" t="n"/>
      <c r="C152" s="13" t="n"/>
      <c r="D152" s="13" t="n"/>
      <c r="E152" s="13" t="n"/>
      <c r="F152" s="18" t="n"/>
      <c r="G152" s="18" t="n"/>
      <c r="H152" s="18" t="n"/>
      <c r="I152" s="18" t="n"/>
      <c r="J152" s="18" t="n"/>
      <c r="K152" s="14" t="n"/>
      <c r="L152" s="19">
        <f>IF($B152="","",ROUND(SUMIF(订单明细!$C:$C,$B152,订单明细!$I:$I),2))</f>
        <v/>
      </c>
      <c r="M152" s="19">
        <f>IF($B152="","",ROUND(N($K152)+N($L152),2))</f>
        <v/>
      </c>
      <c r="N152" s="14" t="n"/>
      <c r="O152" s="19">
        <f>IF($B152="","",ROUND(N($N152)+SUMIFS(资金日记账!$J$4:$J$2503,资金日记账!$G$4:$G$2503,$B152,资金日记账!$F$4:$F$2503,"收款-项目")-SUMIFS(资金日记账!$K$4:$K$2503,资金日记账!$G$4:$G$2503,$B152,资金日记账!$F$4:$F$2503,"收款-项目"),2))</f>
        <v/>
      </c>
      <c r="P152" s="19">
        <f>IF($B152="","",ROUND($M152-$O152,2))</f>
        <v/>
      </c>
      <c r="Q152" s="17">
        <f>IF($B152="","",IF(AND($J152&lt;&gt;"",ROUND($P152,2)&lt;=0),"已完工·已结清",IF($J152&lt;&gt;"","已完工·还有尾款",IF($I152&lt;&gt;"","已安装",IF($H152&lt;&gt;"","已制作",IF($G152&lt;&gt;"","设计完成","已下单"))))))</f>
        <v/>
      </c>
      <c r="R152" s="13" t="n"/>
      <c r="S152" s="17">
        <f>IF($B152="","",IF(COUNTIF($B$4:$B$403,$B152)&gt;1,"※项目名重复了",IF(AND($C152&lt;&gt;"",ISNA(MATCH($C152,客户表,0))),"※客户不在基础资料里",IF(AND($J152&lt;&gt;"",$F152&lt;&gt;"",$J152&lt;$F152),"※完工日期早于下单日期",""))))</f>
        <v/>
      </c>
    </row>
    <row r="153">
      <c r="A153" s="17">
        <f>IF($B153="","","P"&amp;TEXT(ROW()-3,"000"))</f>
        <v/>
      </c>
      <c r="B153" s="13" t="n"/>
      <c r="C153" s="13" t="n"/>
      <c r="D153" s="13" t="n"/>
      <c r="E153" s="13" t="n"/>
      <c r="F153" s="18" t="n"/>
      <c r="G153" s="18" t="n"/>
      <c r="H153" s="18" t="n"/>
      <c r="I153" s="18" t="n"/>
      <c r="J153" s="18" t="n"/>
      <c r="K153" s="14" t="n"/>
      <c r="L153" s="19">
        <f>IF($B153="","",ROUND(SUMIF(订单明细!$C:$C,$B153,订单明细!$I:$I),2))</f>
        <v/>
      </c>
      <c r="M153" s="19">
        <f>IF($B153="","",ROUND(N($K153)+N($L153),2))</f>
        <v/>
      </c>
      <c r="N153" s="14" t="n"/>
      <c r="O153" s="19">
        <f>IF($B153="","",ROUND(N($N153)+SUMIFS(资金日记账!$J$4:$J$2503,资金日记账!$G$4:$G$2503,$B153,资金日记账!$F$4:$F$2503,"收款-项目")-SUMIFS(资金日记账!$K$4:$K$2503,资金日记账!$G$4:$G$2503,$B153,资金日记账!$F$4:$F$2503,"收款-项目"),2))</f>
        <v/>
      </c>
      <c r="P153" s="19">
        <f>IF($B153="","",ROUND($M153-$O153,2))</f>
        <v/>
      </c>
      <c r="Q153" s="17">
        <f>IF($B153="","",IF(AND($J153&lt;&gt;"",ROUND($P153,2)&lt;=0),"已完工·已结清",IF($J153&lt;&gt;"","已完工·还有尾款",IF($I153&lt;&gt;"","已安装",IF($H153&lt;&gt;"","已制作",IF($G153&lt;&gt;"","设计完成","已下单"))))))</f>
        <v/>
      </c>
      <c r="R153" s="13" t="n"/>
      <c r="S153" s="17">
        <f>IF($B153="","",IF(COUNTIF($B$4:$B$403,$B153)&gt;1,"※项目名重复了",IF(AND($C153&lt;&gt;"",ISNA(MATCH($C153,客户表,0))),"※客户不在基础资料里",IF(AND($J153&lt;&gt;"",$F153&lt;&gt;"",$J153&lt;$F153),"※完工日期早于下单日期",""))))</f>
        <v/>
      </c>
    </row>
    <row r="154">
      <c r="A154" s="17">
        <f>IF($B154="","","P"&amp;TEXT(ROW()-3,"000"))</f>
        <v/>
      </c>
      <c r="B154" s="13" t="n"/>
      <c r="C154" s="13" t="n"/>
      <c r="D154" s="13" t="n"/>
      <c r="E154" s="13" t="n"/>
      <c r="F154" s="18" t="n"/>
      <c r="G154" s="18" t="n"/>
      <c r="H154" s="18" t="n"/>
      <c r="I154" s="18" t="n"/>
      <c r="J154" s="18" t="n"/>
      <c r="K154" s="14" t="n"/>
      <c r="L154" s="19">
        <f>IF($B154="","",ROUND(SUMIF(订单明细!$C:$C,$B154,订单明细!$I:$I),2))</f>
        <v/>
      </c>
      <c r="M154" s="19">
        <f>IF($B154="","",ROUND(N($K154)+N($L154),2))</f>
        <v/>
      </c>
      <c r="N154" s="14" t="n"/>
      <c r="O154" s="19">
        <f>IF($B154="","",ROUND(N($N154)+SUMIFS(资金日记账!$J$4:$J$2503,资金日记账!$G$4:$G$2503,$B154,资金日记账!$F$4:$F$2503,"收款-项目")-SUMIFS(资金日记账!$K$4:$K$2503,资金日记账!$G$4:$G$2503,$B154,资金日记账!$F$4:$F$2503,"收款-项目"),2))</f>
        <v/>
      </c>
      <c r="P154" s="19">
        <f>IF($B154="","",ROUND($M154-$O154,2))</f>
        <v/>
      </c>
      <c r="Q154" s="17">
        <f>IF($B154="","",IF(AND($J154&lt;&gt;"",ROUND($P154,2)&lt;=0),"已完工·已结清",IF($J154&lt;&gt;"","已完工·还有尾款",IF($I154&lt;&gt;"","已安装",IF($H154&lt;&gt;"","已制作",IF($G154&lt;&gt;"","设计完成","已下单"))))))</f>
        <v/>
      </c>
      <c r="R154" s="13" t="n"/>
      <c r="S154" s="17">
        <f>IF($B154="","",IF(COUNTIF($B$4:$B$403,$B154)&gt;1,"※项目名重复了",IF(AND($C154&lt;&gt;"",ISNA(MATCH($C154,客户表,0))),"※客户不在基础资料里",IF(AND($J154&lt;&gt;"",$F154&lt;&gt;"",$J154&lt;$F154),"※完工日期早于下单日期",""))))</f>
        <v/>
      </c>
    </row>
    <row r="155">
      <c r="A155" s="17">
        <f>IF($B155="","","P"&amp;TEXT(ROW()-3,"000"))</f>
        <v/>
      </c>
      <c r="B155" s="13" t="n"/>
      <c r="C155" s="13" t="n"/>
      <c r="D155" s="13" t="n"/>
      <c r="E155" s="13" t="n"/>
      <c r="F155" s="18" t="n"/>
      <c r="G155" s="18" t="n"/>
      <c r="H155" s="18" t="n"/>
      <c r="I155" s="18" t="n"/>
      <c r="J155" s="18" t="n"/>
      <c r="K155" s="14" t="n"/>
      <c r="L155" s="19">
        <f>IF($B155="","",ROUND(SUMIF(订单明细!$C:$C,$B155,订单明细!$I:$I),2))</f>
        <v/>
      </c>
      <c r="M155" s="19">
        <f>IF($B155="","",ROUND(N($K155)+N($L155),2))</f>
        <v/>
      </c>
      <c r="N155" s="14" t="n"/>
      <c r="O155" s="19">
        <f>IF($B155="","",ROUND(N($N155)+SUMIFS(资金日记账!$J$4:$J$2503,资金日记账!$G$4:$G$2503,$B155,资金日记账!$F$4:$F$2503,"收款-项目")-SUMIFS(资金日记账!$K$4:$K$2503,资金日记账!$G$4:$G$2503,$B155,资金日记账!$F$4:$F$2503,"收款-项目"),2))</f>
        <v/>
      </c>
      <c r="P155" s="19">
        <f>IF($B155="","",ROUND($M155-$O155,2))</f>
        <v/>
      </c>
      <c r="Q155" s="17">
        <f>IF($B155="","",IF(AND($J155&lt;&gt;"",ROUND($P155,2)&lt;=0),"已完工·已结清",IF($J155&lt;&gt;"","已完工·还有尾款",IF($I155&lt;&gt;"","已安装",IF($H155&lt;&gt;"","已制作",IF($G155&lt;&gt;"","设计完成","已下单"))))))</f>
        <v/>
      </c>
      <c r="R155" s="13" t="n"/>
      <c r="S155" s="17">
        <f>IF($B155="","",IF(COUNTIF($B$4:$B$403,$B155)&gt;1,"※项目名重复了",IF(AND($C155&lt;&gt;"",ISNA(MATCH($C155,客户表,0))),"※客户不在基础资料里",IF(AND($J155&lt;&gt;"",$F155&lt;&gt;"",$J155&lt;$F155),"※完工日期早于下单日期",""))))</f>
        <v/>
      </c>
    </row>
    <row r="156">
      <c r="A156" s="17">
        <f>IF($B156="","","P"&amp;TEXT(ROW()-3,"000"))</f>
        <v/>
      </c>
      <c r="B156" s="13" t="n"/>
      <c r="C156" s="13" t="n"/>
      <c r="D156" s="13" t="n"/>
      <c r="E156" s="13" t="n"/>
      <c r="F156" s="18" t="n"/>
      <c r="G156" s="18" t="n"/>
      <c r="H156" s="18" t="n"/>
      <c r="I156" s="18" t="n"/>
      <c r="J156" s="18" t="n"/>
      <c r="K156" s="14" t="n"/>
      <c r="L156" s="19">
        <f>IF($B156="","",ROUND(SUMIF(订单明细!$C:$C,$B156,订单明细!$I:$I),2))</f>
        <v/>
      </c>
      <c r="M156" s="19">
        <f>IF($B156="","",ROUND(N($K156)+N($L156),2))</f>
        <v/>
      </c>
      <c r="N156" s="14" t="n"/>
      <c r="O156" s="19">
        <f>IF($B156="","",ROUND(N($N156)+SUMIFS(资金日记账!$J$4:$J$2503,资金日记账!$G$4:$G$2503,$B156,资金日记账!$F$4:$F$2503,"收款-项目")-SUMIFS(资金日记账!$K$4:$K$2503,资金日记账!$G$4:$G$2503,$B156,资金日记账!$F$4:$F$2503,"收款-项目"),2))</f>
        <v/>
      </c>
      <c r="P156" s="19">
        <f>IF($B156="","",ROUND($M156-$O156,2))</f>
        <v/>
      </c>
      <c r="Q156" s="17">
        <f>IF($B156="","",IF(AND($J156&lt;&gt;"",ROUND($P156,2)&lt;=0),"已完工·已结清",IF($J156&lt;&gt;"","已完工·还有尾款",IF($I156&lt;&gt;"","已安装",IF($H156&lt;&gt;"","已制作",IF($G156&lt;&gt;"","设计完成","已下单"))))))</f>
        <v/>
      </c>
      <c r="R156" s="13" t="n"/>
      <c r="S156" s="17">
        <f>IF($B156="","",IF(COUNTIF($B$4:$B$403,$B156)&gt;1,"※项目名重复了",IF(AND($C156&lt;&gt;"",ISNA(MATCH($C156,客户表,0))),"※客户不在基础资料里",IF(AND($J156&lt;&gt;"",$F156&lt;&gt;"",$J156&lt;$F156),"※完工日期早于下单日期",""))))</f>
        <v/>
      </c>
    </row>
    <row r="157">
      <c r="A157" s="17">
        <f>IF($B157="","","P"&amp;TEXT(ROW()-3,"000"))</f>
        <v/>
      </c>
      <c r="B157" s="13" t="n"/>
      <c r="C157" s="13" t="n"/>
      <c r="D157" s="13" t="n"/>
      <c r="E157" s="13" t="n"/>
      <c r="F157" s="18" t="n"/>
      <c r="G157" s="18" t="n"/>
      <c r="H157" s="18" t="n"/>
      <c r="I157" s="18" t="n"/>
      <c r="J157" s="18" t="n"/>
      <c r="K157" s="14" t="n"/>
      <c r="L157" s="19">
        <f>IF($B157="","",ROUND(SUMIF(订单明细!$C:$C,$B157,订单明细!$I:$I),2))</f>
        <v/>
      </c>
      <c r="M157" s="19">
        <f>IF($B157="","",ROUND(N($K157)+N($L157),2))</f>
        <v/>
      </c>
      <c r="N157" s="14" t="n"/>
      <c r="O157" s="19">
        <f>IF($B157="","",ROUND(N($N157)+SUMIFS(资金日记账!$J$4:$J$2503,资金日记账!$G$4:$G$2503,$B157,资金日记账!$F$4:$F$2503,"收款-项目")-SUMIFS(资金日记账!$K$4:$K$2503,资金日记账!$G$4:$G$2503,$B157,资金日记账!$F$4:$F$2503,"收款-项目"),2))</f>
        <v/>
      </c>
      <c r="P157" s="19">
        <f>IF($B157="","",ROUND($M157-$O157,2))</f>
        <v/>
      </c>
      <c r="Q157" s="17">
        <f>IF($B157="","",IF(AND($J157&lt;&gt;"",ROUND($P157,2)&lt;=0),"已完工·已结清",IF($J157&lt;&gt;"","已完工·还有尾款",IF($I157&lt;&gt;"","已安装",IF($H157&lt;&gt;"","已制作",IF($G157&lt;&gt;"","设计完成","已下单"))))))</f>
        <v/>
      </c>
      <c r="R157" s="13" t="n"/>
      <c r="S157" s="17">
        <f>IF($B157="","",IF(COUNTIF($B$4:$B$403,$B157)&gt;1,"※项目名重复了",IF(AND($C157&lt;&gt;"",ISNA(MATCH($C157,客户表,0))),"※客户不在基础资料里",IF(AND($J157&lt;&gt;"",$F157&lt;&gt;"",$J157&lt;$F157),"※完工日期早于下单日期",""))))</f>
        <v/>
      </c>
    </row>
    <row r="158">
      <c r="A158" s="17">
        <f>IF($B158="","","P"&amp;TEXT(ROW()-3,"000"))</f>
        <v/>
      </c>
      <c r="B158" s="13" t="n"/>
      <c r="C158" s="13" t="n"/>
      <c r="D158" s="13" t="n"/>
      <c r="E158" s="13" t="n"/>
      <c r="F158" s="18" t="n"/>
      <c r="G158" s="18" t="n"/>
      <c r="H158" s="18" t="n"/>
      <c r="I158" s="18" t="n"/>
      <c r="J158" s="18" t="n"/>
      <c r="K158" s="14" t="n"/>
      <c r="L158" s="19">
        <f>IF($B158="","",ROUND(SUMIF(订单明细!$C:$C,$B158,订单明细!$I:$I),2))</f>
        <v/>
      </c>
      <c r="M158" s="19">
        <f>IF($B158="","",ROUND(N($K158)+N($L158),2))</f>
        <v/>
      </c>
      <c r="N158" s="14" t="n"/>
      <c r="O158" s="19">
        <f>IF($B158="","",ROUND(N($N158)+SUMIFS(资金日记账!$J$4:$J$2503,资金日记账!$G$4:$G$2503,$B158,资金日记账!$F$4:$F$2503,"收款-项目")-SUMIFS(资金日记账!$K$4:$K$2503,资金日记账!$G$4:$G$2503,$B158,资金日记账!$F$4:$F$2503,"收款-项目"),2))</f>
        <v/>
      </c>
      <c r="P158" s="19">
        <f>IF($B158="","",ROUND($M158-$O158,2))</f>
        <v/>
      </c>
      <c r="Q158" s="17">
        <f>IF($B158="","",IF(AND($J158&lt;&gt;"",ROUND($P158,2)&lt;=0),"已完工·已结清",IF($J158&lt;&gt;"","已完工·还有尾款",IF($I158&lt;&gt;"","已安装",IF($H158&lt;&gt;"","已制作",IF($G158&lt;&gt;"","设计完成","已下单"))))))</f>
        <v/>
      </c>
      <c r="R158" s="13" t="n"/>
      <c r="S158" s="17">
        <f>IF($B158="","",IF(COUNTIF($B$4:$B$403,$B158)&gt;1,"※项目名重复了",IF(AND($C158&lt;&gt;"",ISNA(MATCH($C158,客户表,0))),"※客户不在基础资料里",IF(AND($J158&lt;&gt;"",$F158&lt;&gt;"",$J158&lt;$F158),"※完工日期早于下单日期",""))))</f>
        <v/>
      </c>
    </row>
    <row r="159">
      <c r="A159" s="17">
        <f>IF($B159="","","P"&amp;TEXT(ROW()-3,"000"))</f>
        <v/>
      </c>
      <c r="B159" s="13" t="n"/>
      <c r="C159" s="13" t="n"/>
      <c r="D159" s="13" t="n"/>
      <c r="E159" s="13" t="n"/>
      <c r="F159" s="18" t="n"/>
      <c r="G159" s="18" t="n"/>
      <c r="H159" s="18" t="n"/>
      <c r="I159" s="18" t="n"/>
      <c r="J159" s="18" t="n"/>
      <c r="K159" s="14" t="n"/>
      <c r="L159" s="19">
        <f>IF($B159="","",ROUND(SUMIF(订单明细!$C:$C,$B159,订单明细!$I:$I),2))</f>
        <v/>
      </c>
      <c r="M159" s="19">
        <f>IF($B159="","",ROUND(N($K159)+N($L159),2))</f>
        <v/>
      </c>
      <c r="N159" s="14" t="n"/>
      <c r="O159" s="19">
        <f>IF($B159="","",ROUND(N($N159)+SUMIFS(资金日记账!$J$4:$J$2503,资金日记账!$G$4:$G$2503,$B159,资金日记账!$F$4:$F$2503,"收款-项目")-SUMIFS(资金日记账!$K$4:$K$2503,资金日记账!$G$4:$G$2503,$B159,资金日记账!$F$4:$F$2503,"收款-项目"),2))</f>
        <v/>
      </c>
      <c r="P159" s="19">
        <f>IF($B159="","",ROUND($M159-$O159,2))</f>
        <v/>
      </c>
      <c r="Q159" s="17">
        <f>IF($B159="","",IF(AND($J159&lt;&gt;"",ROUND($P159,2)&lt;=0),"已完工·已结清",IF($J159&lt;&gt;"","已完工·还有尾款",IF($I159&lt;&gt;"","已安装",IF($H159&lt;&gt;"","已制作",IF($G159&lt;&gt;"","设计完成","已下单"))))))</f>
        <v/>
      </c>
      <c r="R159" s="13" t="n"/>
      <c r="S159" s="17">
        <f>IF($B159="","",IF(COUNTIF($B$4:$B$403,$B159)&gt;1,"※项目名重复了",IF(AND($C159&lt;&gt;"",ISNA(MATCH($C159,客户表,0))),"※客户不在基础资料里",IF(AND($J159&lt;&gt;"",$F159&lt;&gt;"",$J159&lt;$F159),"※完工日期早于下单日期",""))))</f>
        <v/>
      </c>
    </row>
    <row r="160">
      <c r="A160" s="17">
        <f>IF($B160="","","P"&amp;TEXT(ROW()-3,"000"))</f>
        <v/>
      </c>
      <c r="B160" s="13" t="n"/>
      <c r="C160" s="13" t="n"/>
      <c r="D160" s="13" t="n"/>
      <c r="E160" s="13" t="n"/>
      <c r="F160" s="18" t="n"/>
      <c r="G160" s="18" t="n"/>
      <c r="H160" s="18" t="n"/>
      <c r="I160" s="18" t="n"/>
      <c r="J160" s="18" t="n"/>
      <c r="K160" s="14" t="n"/>
      <c r="L160" s="19">
        <f>IF($B160="","",ROUND(SUMIF(订单明细!$C:$C,$B160,订单明细!$I:$I),2))</f>
        <v/>
      </c>
      <c r="M160" s="19">
        <f>IF($B160="","",ROUND(N($K160)+N($L160),2))</f>
        <v/>
      </c>
      <c r="N160" s="14" t="n"/>
      <c r="O160" s="19">
        <f>IF($B160="","",ROUND(N($N160)+SUMIFS(资金日记账!$J$4:$J$2503,资金日记账!$G$4:$G$2503,$B160,资金日记账!$F$4:$F$2503,"收款-项目")-SUMIFS(资金日记账!$K$4:$K$2503,资金日记账!$G$4:$G$2503,$B160,资金日记账!$F$4:$F$2503,"收款-项目"),2))</f>
        <v/>
      </c>
      <c r="P160" s="19">
        <f>IF($B160="","",ROUND($M160-$O160,2))</f>
        <v/>
      </c>
      <c r="Q160" s="17">
        <f>IF($B160="","",IF(AND($J160&lt;&gt;"",ROUND($P160,2)&lt;=0),"已完工·已结清",IF($J160&lt;&gt;"","已完工·还有尾款",IF($I160&lt;&gt;"","已安装",IF($H160&lt;&gt;"","已制作",IF($G160&lt;&gt;"","设计完成","已下单"))))))</f>
        <v/>
      </c>
      <c r="R160" s="13" t="n"/>
      <c r="S160" s="17">
        <f>IF($B160="","",IF(COUNTIF($B$4:$B$403,$B160)&gt;1,"※项目名重复了",IF(AND($C160&lt;&gt;"",ISNA(MATCH($C160,客户表,0))),"※客户不在基础资料里",IF(AND($J160&lt;&gt;"",$F160&lt;&gt;"",$J160&lt;$F160),"※完工日期早于下单日期",""))))</f>
        <v/>
      </c>
    </row>
    <row r="161">
      <c r="A161" s="17">
        <f>IF($B161="","","P"&amp;TEXT(ROW()-3,"000"))</f>
        <v/>
      </c>
      <c r="B161" s="13" t="n"/>
      <c r="C161" s="13" t="n"/>
      <c r="D161" s="13" t="n"/>
      <c r="E161" s="13" t="n"/>
      <c r="F161" s="18" t="n"/>
      <c r="G161" s="18" t="n"/>
      <c r="H161" s="18" t="n"/>
      <c r="I161" s="18" t="n"/>
      <c r="J161" s="18" t="n"/>
      <c r="K161" s="14" t="n"/>
      <c r="L161" s="19">
        <f>IF($B161="","",ROUND(SUMIF(订单明细!$C:$C,$B161,订单明细!$I:$I),2))</f>
        <v/>
      </c>
      <c r="M161" s="19">
        <f>IF($B161="","",ROUND(N($K161)+N($L161),2))</f>
        <v/>
      </c>
      <c r="N161" s="14" t="n"/>
      <c r="O161" s="19">
        <f>IF($B161="","",ROUND(N($N161)+SUMIFS(资金日记账!$J$4:$J$2503,资金日记账!$G$4:$G$2503,$B161,资金日记账!$F$4:$F$2503,"收款-项目")-SUMIFS(资金日记账!$K$4:$K$2503,资金日记账!$G$4:$G$2503,$B161,资金日记账!$F$4:$F$2503,"收款-项目"),2))</f>
        <v/>
      </c>
      <c r="P161" s="19">
        <f>IF($B161="","",ROUND($M161-$O161,2))</f>
        <v/>
      </c>
      <c r="Q161" s="17">
        <f>IF($B161="","",IF(AND($J161&lt;&gt;"",ROUND($P161,2)&lt;=0),"已完工·已结清",IF($J161&lt;&gt;"","已完工·还有尾款",IF($I161&lt;&gt;"","已安装",IF($H161&lt;&gt;"","已制作",IF($G161&lt;&gt;"","设计完成","已下单"))))))</f>
        <v/>
      </c>
      <c r="R161" s="13" t="n"/>
      <c r="S161" s="17">
        <f>IF($B161="","",IF(COUNTIF($B$4:$B$403,$B161)&gt;1,"※项目名重复了",IF(AND($C161&lt;&gt;"",ISNA(MATCH($C161,客户表,0))),"※客户不在基础资料里",IF(AND($J161&lt;&gt;"",$F161&lt;&gt;"",$J161&lt;$F161),"※完工日期早于下单日期",""))))</f>
        <v/>
      </c>
    </row>
    <row r="162">
      <c r="A162" s="17">
        <f>IF($B162="","","P"&amp;TEXT(ROW()-3,"000"))</f>
        <v/>
      </c>
      <c r="B162" s="13" t="n"/>
      <c r="C162" s="13" t="n"/>
      <c r="D162" s="13" t="n"/>
      <c r="E162" s="13" t="n"/>
      <c r="F162" s="18" t="n"/>
      <c r="G162" s="18" t="n"/>
      <c r="H162" s="18" t="n"/>
      <c r="I162" s="18" t="n"/>
      <c r="J162" s="18" t="n"/>
      <c r="K162" s="14" t="n"/>
      <c r="L162" s="19">
        <f>IF($B162="","",ROUND(SUMIF(订单明细!$C:$C,$B162,订单明细!$I:$I),2))</f>
        <v/>
      </c>
      <c r="M162" s="19">
        <f>IF($B162="","",ROUND(N($K162)+N($L162),2))</f>
        <v/>
      </c>
      <c r="N162" s="14" t="n"/>
      <c r="O162" s="19">
        <f>IF($B162="","",ROUND(N($N162)+SUMIFS(资金日记账!$J$4:$J$2503,资金日记账!$G$4:$G$2503,$B162,资金日记账!$F$4:$F$2503,"收款-项目")-SUMIFS(资金日记账!$K$4:$K$2503,资金日记账!$G$4:$G$2503,$B162,资金日记账!$F$4:$F$2503,"收款-项目"),2))</f>
        <v/>
      </c>
      <c r="P162" s="19">
        <f>IF($B162="","",ROUND($M162-$O162,2))</f>
        <v/>
      </c>
      <c r="Q162" s="17">
        <f>IF($B162="","",IF(AND($J162&lt;&gt;"",ROUND($P162,2)&lt;=0),"已完工·已结清",IF($J162&lt;&gt;"","已完工·还有尾款",IF($I162&lt;&gt;"","已安装",IF($H162&lt;&gt;"","已制作",IF($G162&lt;&gt;"","设计完成","已下单"))))))</f>
        <v/>
      </c>
      <c r="R162" s="13" t="n"/>
      <c r="S162" s="17">
        <f>IF($B162="","",IF(COUNTIF($B$4:$B$403,$B162)&gt;1,"※项目名重复了",IF(AND($C162&lt;&gt;"",ISNA(MATCH($C162,客户表,0))),"※客户不在基础资料里",IF(AND($J162&lt;&gt;"",$F162&lt;&gt;"",$J162&lt;$F162),"※完工日期早于下单日期",""))))</f>
        <v/>
      </c>
    </row>
    <row r="163">
      <c r="A163" s="17">
        <f>IF($B163="","","P"&amp;TEXT(ROW()-3,"000"))</f>
        <v/>
      </c>
      <c r="B163" s="13" t="n"/>
      <c r="C163" s="13" t="n"/>
      <c r="D163" s="13" t="n"/>
      <c r="E163" s="13" t="n"/>
      <c r="F163" s="18" t="n"/>
      <c r="G163" s="18" t="n"/>
      <c r="H163" s="18" t="n"/>
      <c r="I163" s="18" t="n"/>
      <c r="J163" s="18" t="n"/>
      <c r="K163" s="14" t="n"/>
      <c r="L163" s="19">
        <f>IF($B163="","",ROUND(SUMIF(订单明细!$C:$C,$B163,订单明细!$I:$I),2))</f>
        <v/>
      </c>
      <c r="M163" s="19">
        <f>IF($B163="","",ROUND(N($K163)+N($L163),2))</f>
        <v/>
      </c>
      <c r="N163" s="14" t="n"/>
      <c r="O163" s="19">
        <f>IF($B163="","",ROUND(N($N163)+SUMIFS(资金日记账!$J$4:$J$2503,资金日记账!$G$4:$G$2503,$B163,资金日记账!$F$4:$F$2503,"收款-项目")-SUMIFS(资金日记账!$K$4:$K$2503,资金日记账!$G$4:$G$2503,$B163,资金日记账!$F$4:$F$2503,"收款-项目"),2))</f>
        <v/>
      </c>
      <c r="P163" s="19">
        <f>IF($B163="","",ROUND($M163-$O163,2))</f>
        <v/>
      </c>
      <c r="Q163" s="17">
        <f>IF($B163="","",IF(AND($J163&lt;&gt;"",ROUND($P163,2)&lt;=0),"已完工·已结清",IF($J163&lt;&gt;"","已完工·还有尾款",IF($I163&lt;&gt;"","已安装",IF($H163&lt;&gt;"","已制作",IF($G163&lt;&gt;"","设计完成","已下单"))))))</f>
        <v/>
      </c>
      <c r="R163" s="13" t="n"/>
      <c r="S163" s="17">
        <f>IF($B163="","",IF(COUNTIF($B$4:$B$403,$B163)&gt;1,"※项目名重复了",IF(AND($C163&lt;&gt;"",ISNA(MATCH($C163,客户表,0))),"※客户不在基础资料里",IF(AND($J163&lt;&gt;"",$F163&lt;&gt;"",$J163&lt;$F163),"※完工日期早于下单日期",""))))</f>
        <v/>
      </c>
    </row>
    <row r="164">
      <c r="A164" s="17">
        <f>IF($B164="","","P"&amp;TEXT(ROW()-3,"000"))</f>
        <v/>
      </c>
      <c r="B164" s="13" t="n"/>
      <c r="C164" s="13" t="n"/>
      <c r="D164" s="13" t="n"/>
      <c r="E164" s="13" t="n"/>
      <c r="F164" s="18" t="n"/>
      <c r="G164" s="18" t="n"/>
      <c r="H164" s="18" t="n"/>
      <c r="I164" s="18" t="n"/>
      <c r="J164" s="18" t="n"/>
      <c r="K164" s="14" t="n"/>
      <c r="L164" s="19">
        <f>IF($B164="","",ROUND(SUMIF(订单明细!$C:$C,$B164,订单明细!$I:$I),2))</f>
        <v/>
      </c>
      <c r="M164" s="19">
        <f>IF($B164="","",ROUND(N($K164)+N($L164),2))</f>
        <v/>
      </c>
      <c r="N164" s="14" t="n"/>
      <c r="O164" s="19">
        <f>IF($B164="","",ROUND(N($N164)+SUMIFS(资金日记账!$J$4:$J$2503,资金日记账!$G$4:$G$2503,$B164,资金日记账!$F$4:$F$2503,"收款-项目")-SUMIFS(资金日记账!$K$4:$K$2503,资金日记账!$G$4:$G$2503,$B164,资金日记账!$F$4:$F$2503,"收款-项目"),2))</f>
        <v/>
      </c>
      <c r="P164" s="19">
        <f>IF($B164="","",ROUND($M164-$O164,2))</f>
        <v/>
      </c>
      <c r="Q164" s="17">
        <f>IF($B164="","",IF(AND($J164&lt;&gt;"",ROUND($P164,2)&lt;=0),"已完工·已结清",IF($J164&lt;&gt;"","已完工·还有尾款",IF($I164&lt;&gt;"","已安装",IF($H164&lt;&gt;"","已制作",IF($G164&lt;&gt;"","设计完成","已下单"))))))</f>
        <v/>
      </c>
      <c r="R164" s="13" t="n"/>
      <c r="S164" s="17">
        <f>IF($B164="","",IF(COUNTIF($B$4:$B$403,$B164)&gt;1,"※项目名重复了",IF(AND($C164&lt;&gt;"",ISNA(MATCH($C164,客户表,0))),"※客户不在基础资料里",IF(AND($J164&lt;&gt;"",$F164&lt;&gt;"",$J164&lt;$F164),"※完工日期早于下单日期",""))))</f>
        <v/>
      </c>
    </row>
    <row r="165">
      <c r="A165" s="17">
        <f>IF($B165="","","P"&amp;TEXT(ROW()-3,"000"))</f>
        <v/>
      </c>
      <c r="B165" s="13" t="n"/>
      <c r="C165" s="13" t="n"/>
      <c r="D165" s="13" t="n"/>
      <c r="E165" s="13" t="n"/>
      <c r="F165" s="18" t="n"/>
      <c r="G165" s="18" t="n"/>
      <c r="H165" s="18" t="n"/>
      <c r="I165" s="18" t="n"/>
      <c r="J165" s="18" t="n"/>
      <c r="K165" s="14" t="n"/>
      <c r="L165" s="19">
        <f>IF($B165="","",ROUND(SUMIF(订单明细!$C:$C,$B165,订单明细!$I:$I),2))</f>
        <v/>
      </c>
      <c r="M165" s="19">
        <f>IF($B165="","",ROUND(N($K165)+N($L165),2))</f>
        <v/>
      </c>
      <c r="N165" s="14" t="n"/>
      <c r="O165" s="19">
        <f>IF($B165="","",ROUND(N($N165)+SUMIFS(资金日记账!$J$4:$J$2503,资金日记账!$G$4:$G$2503,$B165,资金日记账!$F$4:$F$2503,"收款-项目")-SUMIFS(资金日记账!$K$4:$K$2503,资金日记账!$G$4:$G$2503,$B165,资金日记账!$F$4:$F$2503,"收款-项目"),2))</f>
        <v/>
      </c>
      <c r="P165" s="19">
        <f>IF($B165="","",ROUND($M165-$O165,2))</f>
        <v/>
      </c>
      <c r="Q165" s="17">
        <f>IF($B165="","",IF(AND($J165&lt;&gt;"",ROUND($P165,2)&lt;=0),"已完工·已结清",IF($J165&lt;&gt;"","已完工·还有尾款",IF($I165&lt;&gt;"","已安装",IF($H165&lt;&gt;"","已制作",IF($G165&lt;&gt;"","设计完成","已下单"))))))</f>
        <v/>
      </c>
      <c r="R165" s="13" t="n"/>
      <c r="S165" s="17">
        <f>IF($B165="","",IF(COUNTIF($B$4:$B$403,$B165)&gt;1,"※项目名重复了",IF(AND($C165&lt;&gt;"",ISNA(MATCH($C165,客户表,0))),"※客户不在基础资料里",IF(AND($J165&lt;&gt;"",$F165&lt;&gt;"",$J165&lt;$F165),"※完工日期早于下单日期",""))))</f>
        <v/>
      </c>
    </row>
    <row r="166">
      <c r="A166" s="17">
        <f>IF($B166="","","P"&amp;TEXT(ROW()-3,"000"))</f>
        <v/>
      </c>
      <c r="B166" s="13" t="n"/>
      <c r="C166" s="13" t="n"/>
      <c r="D166" s="13" t="n"/>
      <c r="E166" s="13" t="n"/>
      <c r="F166" s="18" t="n"/>
      <c r="G166" s="18" t="n"/>
      <c r="H166" s="18" t="n"/>
      <c r="I166" s="18" t="n"/>
      <c r="J166" s="18" t="n"/>
      <c r="K166" s="14" t="n"/>
      <c r="L166" s="19">
        <f>IF($B166="","",ROUND(SUMIF(订单明细!$C:$C,$B166,订单明细!$I:$I),2))</f>
        <v/>
      </c>
      <c r="M166" s="19">
        <f>IF($B166="","",ROUND(N($K166)+N($L166),2))</f>
        <v/>
      </c>
      <c r="N166" s="14" t="n"/>
      <c r="O166" s="19">
        <f>IF($B166="","",ROUND(N($N166)+SUMIFS(资金日记账!$J$4:$J$2503,资金日记账!$G$4:$G$2503,$B166,资金日记账!$F$4:$F$2503,"收款-项目")-SUMIFS(资金日记账!$K$4:$K$2503,资金日记账!$G$4:$G$2503,$B166,资金日记账!$F$4:$F$2503,"收款-项目"),2))</f>
        <v/>
      </c>
      <c r="P166" s="19">
        <f>IF($B166="","",ROUND($M166-$O166,2))</f>
        <v/>
      </c>
      <c r="Q166" s="17">
        <f>IF($B166="","",IF(AND($J166&lt;&gt;"",ROUND($P166,2)&lt;=0),"已完工·已结清",IF($J166&lt;&gt;"","已完工·还有尾款",IF($I166&lt;&gt;"","已安装",IF($H166&lt;&gt;"","已制作",IF($G166&lt;&gt;"","设计完成","已下单"))))))</f>
        <v/>
      </c>
      <c r="R166" s="13" t="n"/>
      <c r="S166" s="17">
        <f>IF($B166="","",IF(COUNTIF($B$4:$B$403,$B166)&gt;1,"※项目名重复了",IF(AND($C166&lt;&gt;"",ISNA(MATCH($C166,客户表,0))),"※客户不在基础资料里",IF(AND($J166&lt;&gt;"",$F166&lt;&gt;"",$J166&lt;$F166),"※完工日期早于下单日期",""))))</f>
        <v/>
      </c>
    </row>
    <row r="167">
      <c r="A167" s="17">
        <f>IF($B167="","","P"&amp;TEXT(ROW()-3,"000"))</f>
        <v/>
      </c>
      <c r="B167" s="13" t="n"/>
      <c r="C167" s="13" t="n"/>
      <c r="D167" s="13" t="n"/>
      <c r="E167" s="13" t="n"/>
      <c r="F167" s="18" t="n"/>
      <c r="G167" s="18" t="n"/>
      <c r="H167" s="18" t="n"/>
      <c r="I167" s="18" t="n"/>
      <c r="J167" s="18" t="n"/>
      <c r="K167" s="14" t="n"/>
      <c r="L167" s="19">
        <f>IF($B167="","",ROUND(SUMIF(订单明细!$C:$C,$B167,订单明细!$I:$I),2))</f>
        <v/>
      </c>
      <c r="M167" s="19">
        <f>IF($B167="","",ROUND(N($K167)+N($L167),2))</f>
        <v/>
      </c>
      <c r="N167" s="14" t="n"/>
      <c r="O167" s="19">
        <f>IF($B167="","",ROUND(N($N167)+SUMIFS(资金日记账!$J$4:$J$2503,资金日记账!$G$4:$G$2503,$B167,资金日记账!$F$4:$F$2503,"收款-项目")-SUMIFS(资金日记账!$K$4:$K$2503,资金日记账!$G$4:$G$2503,$B167,资金日记账!$F$4:$F$2503,"收款-项目"),2))</f>
        <v/>
      </c>
      <c r="P167" s="19">
        <f>IF($B167="","",ROUND($M167-$O167,2))</f>
        <v/>
      </c>
      <c r="Q167" s="17">
        <f>IF($B167="","",IF(AND($J167&lt;&gt;"",ROUND($P167,2)&lt;=0),"已完工·已结清",IF($J167&lt;&gt;"","已完工·还有尾款",IF($I167&lt;&gt;"","已安装",IF($H167&lt;&gt;"","已制作",IF($G167&lt;&gt;"","设计完成","已下单"))))))</f>
        <v/>
      </c>
      <c r="R167" s="13" t="n"/>
      <c r="S167" s="17">
        <f>IF($B167="","",IF(COUNTIF($B$4:$B$403,$B167)&gt;1,"※项目名重复了",IF(AND($C167&lt;&gt;"",ISNA(MATCH($C167,客户表,0))),"※客户不在基础资料里",IF(AND($J167&lt;&gt;"",$F167&lt;&gt;"",$J167&lt;$F167),"※完工日期早于下单日期",""))))</f>
        <v/>
      </c>
    </row>
    <row r="168">
      <c r="A168" s="17">
        <f>IF($B168="","","P"&amp;TEXT(ROW()-3,"000"))</f>
        <v/>
      </c>
      <c r="B168" s="13" t="n"/>
      <c r="C168" s="13" t="n"/>
      <c r="D168" s="13" t="n"/>
      <c r="E168" s="13" t="n"/>
      <c r="F168" s="18" t="n"/>
      <c r="G168" s="18" t="n"/>
      <c r="H168" s="18" t="n"/>
      <c r="I168" s="18" t="n"/>
      <c r="J168" s="18" t="n"/>
      <c r="K168" s="14" t="n"/>
      <c r="L168" s="19">
        <f>IF($B168="","",ROUND(SUMIF(订单明细!$C:$C,$B168,订单明细!$I:$I),2))</f>
        <v/>
      </c>
      <c r="M168" s="19">
        <f>IF($B168="","",ROUND(N($K168)+N($L168),2))</f>
        <v/>
      </c>
      <c r="N168" s="14" t="n"/>
      <c r="O168" s="19">
        <f>IF($B168="","",ROUND(N($N168)+SUMIFS(资金日记账!$J$4:$J$2503,资金日记账!$G$4:$G$2503,$B168,资金日记账!$F$4:$F$2503,"收款-项目")-SUMIFS(资金日记账!$K$4:$K$2503,资金日记账!$G$4:$G$2503,$B168,资金日记账!$F$4:$F$2503,"收款-项目"),2))</f>
        <v/>
      </c>
      <c r="P168" s="19">
        <f>IF($B168="","",ROUND($M168-$O168,2))</f>
        <v/>
      </c>
      <c r="Q168" s="17">
        <f>IF($B168="","",IF(AND($J168&lt;&gt;"",ROUND($P168,2)&lt;=0),"已完工·已结清",IF($J168&lt;&gt;"","已完工·还有尾款",IF($I168&lt;&gt;"","已安装",IF($H168&lt;&gt;"","已制作",IF($G168&lt;&gt;"","设计完成","已下单"))))))</f>
        <v/>
      </c>
      <c r="R168" s="13" t="n"/>
      <c r="S168" s="17">
        <f>IF($B168="","",IF(COUNTIF($B$4:$B$403,$B168)&gt;1,"※项目名重复了",IF(AND($C168&lt;&gt;"",ISNA(MATCH($C168,客户表,0))),"※客户不在基础资料里",IF(AND($J168&lt;&gt;"",$F168&lt;&gt;"",$J168&lt;$F168),"※完工日期早于下单日期",""))))</f>
        <v/>
      </c>
    </row>
    <row r="169">
      <c r="A169" s="17">
        <f>IF($B169="","","P"&amp;TEXT(ROW()-3,"000"))</f>
        <v/>
      </c>
      <c r="B169" s="13" t="n"/>
      <c r="C169" s="13" t="n"/>
      <c r="D169" s="13" t="n"/>
      <c r="E169" s="13" t="n"/>
      <c r="F169" s="18" t="n"/>
      <c r="G169" s="18" t="n"/>
      <c r="H169" s="18" t="n"/>
      <c r="I169" s="18" t="n"/>
      <c r="J169" s="18" t="n"/>
      <c r="K169" s="14" t="n"/>
      <c r="L169" s="19">
        <f>IF($B169="","",ROUND(SUMIF(订单明细!$C:$C,$B169,订单明细!$I:$I),2))</f>
        <v/>
      </c>
      <c r="M169" s="19">
        <f>IF($B169="","",ROUND(N($K169)+N($L169),2))</f>
        <v/>
      </c>
      <c r="N169" s="14" t="n"/>
      <c r="O169" s="19">
        <f>IF($B169="","",ROUND(N($N169)+SUMIFS(资金日记账!$J$4:$J$2503,资金日记账!$G$4:$G$2503,$B169,资金日记账!$F$4:$F$2503,"收款-项目")-SUMIFS(资金日记账!$K$4:$K$2503,资金日记账!$G$4:$G$2503,$B169,资金日记账!$F$4:$F$2503,"收款-项目"),2))</f>
        <v/>
      </c>
      <c r="P169" s="19">
        <f>IF($B169="","",ROUND($M169-$O169,2))</f>
        <v/>
      </c>
      <c r="Q169" s="17">
        <f>IF($B169="","",IF(AND($J169&lt;&gt;"",ROUND($P169,2)&lt;=0),"已完工·已结清",IF($J169&lt;&gt;"","已完工·还有尾款",IF($I169&lt;&gt;"","已安装",IF($H169&lt;&gt;"","已制作",IF($G169&lt;&gt;"","设计完成","已下单"))))))</f>
        <v/>
      </c>
      <c r="R169" s="13" t="n"/>
      <c r="S169" s="17">
        <f>IF($B169="","",IF(COUNTIF($B$4:$B$403,$B169)&gt;1,"※项目名重复了",IF(AND($C169&lt;&gt;"",ISNA(MATCH($C169,客户表,0))),"※客户不在基础资料里",IF(AND($J169&lt;&gt;"",$F169&lt;&gt;"",$J169&lt;$F169),"※完工日期早于下单日期",""))))</f>
        <v/>
      </c>
    </row>
    <row r="170">
      <c r="A170" s="17">
        <f>IF($B170="","","P"&amp;TEXT(ROW()-3,"000"))</f>
        <v/>
      </c>
      <c r="B170" s="13" t="n"/>
      <c r="C170" s="13" t="n"/>
      <c r="D170" s="13" t="n"/>
      <c r="E170" s="13" t="n"/>
      <c r="F170" s="18" t="n"/>
      <c r="G170" s="18" t="n"/>
      <c r="H170" s="18" t="n"/>
      <c r="I170" s="18" t="n"/>
      <c r="J170" s="18" t="n"/>
      <c r="K170" s="14" t="n"/>
      <c r="L170" s="19">
        <f>IF($B170="","",ROUND(SUMIF(订单明细!$C:$C,$B170,订单明细!$I:$I),2))</f>
        <v/>
      </c>
      <c r="M170" s="19">
        <f>IF($B170="","",ROUND(N($K170)+N($L170),2))</f>
        <v/>
      </c>
      <c r="N170" s="14" t="n"/>
      <c r="O170" s="19">
        <f>IF($B170="","",ROUND(N($N170)+SUMIFS(资金日记账!$J$4:$J$2503,资金日记账!$G$4:$G$2503,$B170,资金日记账!$F$4:$F$2503,"收款-项目")-SUMIFS(资金日记账!$K$4:$K$2503,资金日记账!$G$4:$G$2503,$B170,资金日记账!$F$4:$F$2503,"收款-项目"),2))</f>
        <v/>
      </c>
      <c r="P170" s="19">
        <f>IF($B170="","",ROUND($M170-$O170,2))</f>
        <v/>
      </c>
      <c r="Q170" s="17">
        <f>IF($B170="","",IF(AND($J170&lt;&gt;"",ROUND($P170,2)&lt;=0),"已完工·已结清",IF($J170&lt;&gt;"","已完工·还有尾款",IF($I170&lt;&gt;"","已安装",IF($H170&lt;&gt;"","已制作",IF($G170&lt;&gt;"","设计完成","已下单"))))))</f>
        <v/>
      </c>
      <c r="R170" s="13" t="n"/>
      <c r="S170" s="17">
        <f>IF($B170="","",IF(COUNTIF($B$4:$B$403,$B170)&gt;1,"※项目名重复了",IF(AND($C170&lt;&gt;"",ISNA(MATCH($C170,客户表,0))),"※客户不在基础资料里",IF(AND($J170&lt;&gt;"",$F170&lt;&gt;"",$J170&lt;$F170),"※完工日期早于下单日期",""))))</f>
        <v/>
      </c>
    </row>
    <row r="171">
      <c r="A171" s="17">
        <f>IF($B171="","","P"&amp;TEXT(ROW()-3,"000"))</f>
        <v/>
      </c>
      <c r="B171" s="13" t="n"/>
      <c r="C171" s="13" t="n"/>
      <c r="D171" s="13" t="n"/>
      <c r="E171" s="13" t="n"/>
      <c r="F171" s="18" t="n"/>
      <c r="G171" s="18" t="n"/>
      <c r="H171" s="18" t="n"/>
      <c r="I171" s="18" t="n"/>
      <c r="J171" s="18" t="n"/>
      <c r="K171" s="14" t="n"/>
      <c r="L171" s="19">
        <f>IF($B171="","",ROUND(SUMIF(订单明细!$C:$C,$B171,订单明细!$I:$I),2))</f>
        <v/>
      </c>
      <c r="M171" s="19">
        <f>IF($B171="","",ROUND(N($K171)+N($L171),2))</f>
        <v/>
      </c>
      <c r="N171" s="14" t="n"/>
      <c r="O171" s="19">
        <f>IF($B171="","",ROUND(N($N171)+SUMIFS(资金日记账!$J$4:$J$2503,资金日记账!$G$4:$G$2503,$B171,资金日记账!$F$4:$F$2503,"收款-项目")-SUMIFS(资金日记账!$K$4:$K$2503,资金日记账!$G$4:$G$2503,$B171,资金日记账!$F$4:$F$2503,"收款-项目"),2))</f>
        <v/>
      </c>
      <c r="P171" s="19">
        <f>IF($B171="","",ROUND($M171-$O171,2))</f>
        <v/>
      </c>
      <c r="Q171" s="17">
        <f>IF($B171="","",IF(AND($J171&lt;&gt;"",ROUND($P171,2)&lt;=0),"已完工·已结清",IF($J171&lt;&gt;"","已完工·还有尾款",IF($I171&lt;&gt;"","已安装",IF($H171&lt;&gt;"","已制作",IF($G171&lt;&gt;"","设计完成","已下单"))))))</f>
        <v/>
      </c>
      <c r="R171" s="13" t="n"/>
      <c r="S171" s="17">
        <f>IF($B171="","",IF(COUNTIF($B$4:$B$403,$B171)&gt;1,"※项目名重复了",IF(AND($C171&lt;&gt;"",ISNA(MATCH($C171,客户表,0))),"※客户不在基础资料里",IF(AND($J171&lt;&gt;"",$F171&lt;&gt;"",$J171&lt;$F171),"※完工日期早于下单日期",""))))</f>
        <v/>
      </c>
    </row>
    <row r="172">
      <c r="A172" s="17">
        <f>IF($B172="","","P"&amp;TEXT(ROW()-3,"000"))</f>
        <v/>
      </c>
      <c r="B172" s="13" t="n"/>
      <c r="C172" s="13" t="n"/>
      <c r="D172" s="13" t="n"/>
      <c r="E172" s="13" t="n"/>
      <c r="F172" s="18" t="n"/>
      <c r="G172" s="18" t="n"/>
      <c r="H172" s="18" t="n"/>
      <c r="I172" s="18" t="n"/>
      <c r="J172" s="18" t="n"/>
      <c r="K172" s="14" t="n"/>
      <c r="L172" s="19">
        <f>IF($B172="","",ROUND(SUMIF(订单明细!$C:$C,$B172,订单明细!$I:$I),2))</f>
        <v/>
      </c>
      <c r="M172" s="19">
        <f>IF($B172="","",ROUND(N($K172)+N($L172),2))</f>
        <v/>
      </c>
      <c r="N172" s="14" t="n"/>
      <c r="O172" s="19">
        <f>IF($B172="","",ROUND(N($N172)+SUMIFS(资金日记账!$J$4:$J$2503,资金日记账!$G$4:$G$2503,$B172,资金日记账!$F$4:$F$2503,"收款-项目")-SUMIFS(资金日记账!$K$4:$K$2503,资金日记账!$G$4:$G$2503,$B172,资金日记账!$F$4:$F$2503,"收款-项目"),2))</f>
        <v/>
      </c>
      <c r="P172" s="19">
        <f>IF($B172="","",ROUND($M172-$O172,2))</f>
        <v/>
      </c>
      <c r="Q172" s="17">
        <f>IF($B172="","",IF(AND($J172&lt;&gt;"",ROUND($P172,2)&lt;=0),"已完工·已结清",IF($J172&lt;&gt;"","已完工·还有尾款",IF($I172&lt;&gt;"","已安装",IF($H172&lt;&gt;"","已制作",IF($G172&lt;&gt;"","设计完成","已下单"))))))</f>
        <v/>
      </c>
      <c r="R172" s="13" t="n"/>
      <c r="S172" s="17">
        <f>IF($B172="","",IF(COUNTIF($B$4:$B$403,$B172)&gt;1,"※项目名重复了",IF(AND($C172&lt;&gt;"",ISNA(MATCH($C172,客户表,0))),"※客户不在基础资料里",IF(AND($J172&lt;&gt;"",$F172&lt;&gt;"",$J172&lt;$F172),"※完工日期早于下单日期",""))))</f>
        <v/>
      </c>
    </row>
    <row r="173">
      <c r="A173" s="17">
        <f>IF($B173="","","P"&amp;TEXT(ROW()-3,"000"))</f>
        <v/>
      </c>
      <c r="B173" s="13" t="n"/>
      <c r="C173" s="13" t="n"/>
      <c r="D173" s="13" t="n"/>
      <c r="E173" s="13" t="n"/>
      <c r="F173" s="18" t="n"/>
      <c r="G173" s="18" t="n"/>
      <c r="H173" s="18" t="n"/>
      <c r="I173" s="18" t="n"/>
      <c r="J173" s="18" t="n"/>
      <c r="K173" s="14" t="n"/>
      <c r="L173" s="19">
        <f>IF($B173="","",ROUND(SUMIF(订单明细!$C:$C,$B173,订单明细!$I:$I),2))</f>
        <v/>
      </c>
      <c r="M173" s="19">
        <f>IF($B173="","",ROUND(N($K173)+N($L173),2))</f>
        <v/>
      </c>
      <c r="N173" s="14" t="n"/>
      <c r="O173" s="19">
        <f>IF($B173="","",ROUND(N($N173)+SUMIFS(资金日记账!$J$4:$J$2503,资金日记账!$G$4:$G$2503,$B173,资金日记账!$F$4:$F$2503,"收款-项目")-SUMIFS(资金日记账!$K$4:$K$2503,资金日记账!$G$4:$G$2503,$B173,资金日记账!$F$4:$F$2503,"收款-项目"),2))</f>
        <v/>
      </c>
      <c r="P173" s="19">
        <f>IF($B173="","",ROUND($M173-$O173,2))</f>
        <v/>
      </c>
      <c r="Q173" s="17">
        <f>IF($B173="","",IF(AND($J173&lt;&gt;"",ROUND($P173,2)&lt;=0),"已完工·已结清",IF($J173&lt;&gt;"","已完工·还有尾款",IF($I173&lt;&gt;"","已安装",IF($H173&lt;&gt;"","已制作",IF($G173&lt;&gt;"","设计完成","已下单"))))))</f>
        <v/>
      </c>
      <c r="R173" s="13" t="n"/>
      <c r="S173" s="17">
        <f>IF($B173="","",IF(COUNTIF($B$4:$B$403,$B173)&gt;1,"※项目名重复了",IF(AND($C173&lt;&gt;"",ISNA(MATCH($C173,客户表,0))),"※客户不在基础资料里",IF(AND($J173&lt;&gt;"",$F173&lt;&gt;"",$J173&lt;$F173),"※完工日期早于下单日期",""))))</f>
        <v/>
      </c>
    </row>
    <row r="174">
      <c r="A174" s="17">
        <f>IF($B174="","","P"&amp;TEXT(ROW()-3,"000"))</f>
        <v/>
      </c>
      <c r="B174" s="13" t="n"/>
      <c r="C174" s="13" t="n"/>
      <c r="D174" s="13" t="n"/>
      <c r="E174" s="13" t="n"/>
      <c r="F174" s="18" t="n"/>
      <c r="G174" s="18" t="n"/>
      <c r="H174" s="18" t="n"/>
      <c r="I174" s="18" t="n"/>
      <c r="J174" s="18" t="n"/>
      <c r="K174" s="14" t="n"/>
      <c r="L174" s="19">
        <f>IF($B174="","",ROUND(SUMIF(订单明细!$C:$C,$B174,订单明细!$I:$I),2))</f>
        <v/>
      </c>
      <c r="M174" s="19">
        <f>IF($B174="","",ROUND(N($K174)+N($L174),2))</f>
        <v/>
      </c>
      <c r="N174" s="14" t="n"/>
      <c r="O174" s="19">
        <f>IF($B174="","",ROUND(N($N174)+SUMIFS(资金日记账!$J$4:$J$2503,资金日记账!$G$4:$G$2503,$B174,资金日记账!$F$4:$F$2503,"收款-项目")-SUMIFS(资金日记账!$K$4:$K$2503,资金日记账!$G$4:$G$2503,$B174,资金日记账!$F$4:$F$2503,"收款-项目"),2))</f>
        <v/>
      </c>
      <c r="P174" s="19">
        <f>IF($B174="","",ROUND($M174-$O174,2))</f>
        <v/>
      </c>
      <c r="Q174" s="17">
        <f>IF($B174="","",IF(AND($J174&lt;&gt;"",ROUND($P174,2)&lt;=0),"已完工·已结清",IF($J174&lt;&gt;"","已完工·还有尾款",IF($I174&lt;&gt;"","已安装",IF($H174&lt;&gt;"","已制作",IF($G174&lt;&gt;"","设计完成","已下单"))))))</f>
        <v/>
      </c>
      <c r="R174" s="13" t="n"/>
      <c r="S174" s="17">
        <f>IF($B174="","",IF(COUNTIF($B$4:$B$403,$B174)&gt;1,"※项目名重复了",IF(AND($C174&lt;&gt;"",ISNA(MATCH($C174,客户表,0))),"※客户不在基础资料里",IF(AND($J174&lt;&gt;"",$F174&lt;&gt;"",$J174&lt;$F174),"※完工日期早于下单日期",""))))</f>
        <v/>
      </c>
    </row>
    <row r="175">
      <c r="A175" s="17">
        <f>IF($B175="","","P"&amp;TEXT(ROW()-3,"000"))</f>
        <v/>
      </c>
      <c r="B175" s="13" t="n"/>
      <c r="C175" s="13" t="n"/>
      <c r="D175" s="13" t="n"/>
      <c r="E175" s="13" t="n"/>
      <c r="F175" s="18" t="n"/>
      <c r="G175" s="18" t="n"/>
      <c r="H175" s="18" t="n"/>
      <c r="I175" s="18" t="n"/>
      <c r="J175" s="18" t="n"/>
      <c r="K175" s="14" t="n"/>
      <c r="L175" s="19">
        <f>IF($B175="","",ROUND(SUMIF(订单明细!$C:$C,$B175,订单明细!$I:$I),2))</f>
        <v/>
      </c>
      <c r="M175" s="19">
        <f>IF($B175="","",ROUND(N($K175)+N($L175),2))</f>
        <v/>
      </c>
      <c r="N175" s="14" t="n"/>
      <c r="O175" s="19">
        <f>IF($B175="","",ROUND(N($N175)+SUMIFS(资金日记账!$J$4:$J$2503,资金日记账!$G$4:$G$2503,$B175,资金日记账!$F$4:$F$2503,"收款-项目")-SUMIFS(资金日记账!$K$4:$K$2503,资金日记账!$G$4:$G$2503,$B175,资金日记账!$F$4:$F$2503,"收款-项目"),2))</f>
        <v/>
      </c>
      <c r="P175" s="19">
        <f>IF($B175="","",ROUND($M175-$O175,2))</f>
        <v/>
      </c>
      <c r="Q175" s="17">
        <f>IF($B175="","",IF(AND($J175&lt;&gt;"",ROUND($P175,2)&lt;=0),"已完工·已结清",IF($J175&lt;&gt;"","已完工·还有尾款",IF($I175&lt;&gt;"","已安装",IF($H175&lt;&gt;"","已制作",IF($G175&lt;&gt;"","设计完成","已下单"))))))</f>
        <v/>
      </c>
      <c r="R175" s="13" t="n"/>
      <c r="S175" s="17">
        <f>IF($B175="","",IF(COUNTIF($B$4:$B$403,$B175)&gt;1,"※项目名重复了",IF(AND($C175&lt;&gt;"",ISNA(MATCH($C175,客户表,0))),"※客户不在基础资料里",IF(AND($J175&lt;&gt;"",$F175&lt;&gt;"",$J175&lt;$F175),"※完工日期早于下单日期",""))))</f>
        <v/>
      </c>
    </row>
    <row r="176">
      <c r="A176" s="17">
        <f>IF($B176="","","P"&amp;TEXT(ROW()-3,"000"))</f>
        <v/>
      </c>
      <c r="B176" s="13" t="n"/>
      <c r="C176" s="13" t="n"/>
      <c r="D176" s="13" t="n"/>
      <c r="E176" s="13" t="n"/>
      <c r="F176" s="18" t="n"/>
      <c r="G176" s="18" t="n"/>
      <c r="H176" s="18" t="n"/>
      <c r="I176" s="18" t="n"/>
      <c r="J176" s="18" t="n"/>
      <c r="K176" s="14" t="n"/>
      <c r="L176" s="19">
        <f>IF($B176="","",ROUND(SUMIF(订单明细!$C:$C,$B176,订单明细!$I:$I),2))</f>
        <v/>
      </c>
      <c r="M176" s="19">
        <f>IF($B176="","",ROUND(N($K176)+N($L176),2))</f>
        <v/>
      </c>
      <c r="N176" s="14" t="n"/>
      <c r="O176" s="19">
        <f>IF($B176="","",ROUND(N($N176)+SUMIFS(资金日记账!$J$4:$J$2503,资金日记账!$G$4:$G$2503,$B176,资金日记账!$F$4:$F$2503,"收款-项目")-SUMIFS(资金日记账!$K$4:$K$2503,资金日记账!$G$4:$G$2503,$B176,资金日记账!$F$4:$F$2503,"收款-项目"),2))</f>
        <v/>
      </c>
      <c r="P176" s="19">
        <f>IF($B176="","",ROUND($M176-$O176,2))</f>
        <v/>
      </c>
      <c r="Q176" s="17">
        <f>IF($B176="","",IF(AND($J176&lt;&gt;"",ROUND($P176,2)&lt;=0),"已完工·已结清",IF($J176&lt;&gt;"","已完工·还有尾款",IF($I176&lt;&gt;"","已安装",IF($H176&lt;&gt;"","已制作",IF($G176&lt;&gt;"","设计完成","已下单"))))))</f>
        <v/>
      </c>
      <c r="R176" s="13" t="n"/>
      <c r="S176" s="17">
        <f>IF($B176="","",IF(COUNTIF($B$4:$B$403,$B176)&gt;1,"※项目名重复了",IF(AND($C176&lt;&gt;"",ISNA(MATCH($C176,客户表,0))),"※客户不在基础资料里",IF(AND($J176&lt;&gt;"",$F176&lt;&gt;"",$J176&lt;$F176),"※完工日期早于下单日期",""))))</f>
        <v/>
      </c>
    </row>
    <row r="177">
      <c r="A177" s="17">
        <f>IF($B177="","","P"&amp;TEXT(ROW()-3,"000"))</f>
        <v/>
      </c>
      <c r="B177" s="13" t="n"/>
      <c r="C177" s="13" t="n"/>
      <c r="D177" s="13" t="n"/>
      <c r="E177" s="13" t="n"/>
      <c r="F177" s="18" t="n"/>
      <c r="G177" s="18" t="n"/>
      <c r="H177" s="18" t="n"/>
      <c r="I177" s="18" t="n"/>
      <c r="J177" s="18" t="n"/>
      <c r="K177" s="14" t="n"/>
      <c r="L177" s="19">
        <f>IF($B177="","",ROUND(SUMIF(订单明细!$C:$C,$B177,订单明细!$I:$I),2))</f>
        <v/>
      </c>
      <c r="M177" s="19">
        <f>IF($B177="","",ROUND(N($K177)+N($L177),2))</f>
        <v/>
      </c>
      <c r="N177" s="14" t="n"/>
      <c r="O177" s="19">
        <f>IF($B177="","",ROUND(N($N177)+SUMIFS(资金日记账!$J$4:$J$2503,资金日记账!$G$4:$G$2503,$B177,资金日记账!$F$4:$F$2503,"收款-项目")-SUMIFS(资金日记账!$K$4:$K$2503,资金日记账!$G$4:$G$2503,$B177,资金日记账!$F$4:$F$2503,"收款-项目"),2))</f>
        <v/>
      </c>
      <c r="P177" s="19">
        <f>IF($B177="","",ROUND($M177-$O177,2))</f>
        <v/>
      </c>
      <c r="Q177" s="17">
        <f>IF($B177="","",IF(AND($J177&lt;&gt;"",ROUND($P177,2)&lt;=0),"已完工·已结清",IF($J177&lt;&gt;"","已完工·还有尾款",IF($I177&lt;&gt;"","已安装",IF($H177&lt;&gt;"","已制作",IF($G177&lt;&gt;"","设计完成","已下单"))))))</f>
        <v/>
      </c>
      <c r="R177" s="13" t="n"/>
      <c r="S177" s="17">
        <f>IF($B177="","",IF(COUNTIF($B$4:$B$403,$B177)&gt;1,"※项目名重复了",IF(AND($C177&lt;&gt;"",ISNA(MATCH($C177,客户表,0))),"※客户不在基础资料里",IF(AND($J177&lt;&gt;"",$F177&lt;&gt;"",$J177&lt;$F177),"※完工日期早于下单日期",""))))</f>
        <v/>
      </c>
    </row>
    <row r="178">
      <c r="A178" s="17">
        <f>IF($B178="","","P"&amp;TEXT(ROW()-3,"000"))</f>
        <v/>
      </c>
      <c r="B178" s="13" t="n"/>
      <c r="C178" s="13" t="n"/>
      <c r="D178" s="13" t="n"/>
      <c r="E178" s="13" t="n"/>
      <c r="F178" s="18" t="n"/>
      <c r="G178" s="18" t="n"/>
      <c r="H178" s="18" t="n"/>
      <c r="I178" s="18" t="n"/>
      <c r="J178" s="18" t="n"/>
      <c r="K178" s="14" t="n"/>
      <c r="L178" s="19">
        <f>IF($B178="","",ROUND(SUMIF(订单明细!$C:$C,$B178,订单明细!$I:$I),2))</f>
        <v/>
      </c>
      <c r="M178" s="19">
        <f>IF($B178="","",ROUND(N($K178)+N($L178),2))</f>
        <v/>
      </c>
      <c r="N178" s="14" t="n"/>
      <c r="O178" s="19">
        <f>IF($B178="","",ROUND(N($N178)+SUMIFS(资金日记账!$J$4:$J$2503,资金日记账!$G$4:$G$2503,$B178,资金日记账!$F$4:$F$2503,"收款-项目")-SUMIFS(资金日记账!$K$4:$K$2503,资金日记账!$G$4:$G$2503,$B178,资金日记账!$F$4:$F$2503,"收款-项目"),2))</f>
        <v/>
      </c>
      <c r="P178" s="19">
        <f>IF($B178="","",ROUND($M178-$O178,2))</f>
        <v/>
      </c>
      <c r="Q178" s="17">
        <f>IF($B178="","",IF(AND($J178&lt;&gt;"",ROUND($P178,2)&lt;=0),"已完工·已结清",IF($J178&lt;&gt;"","已完工·还有尾款",IF($I178&lt;&gt;"","已安装",IF($H178&lt;&gt;"","已制作",IF($G178&lt;&gt;"","设计完成","已下单"))))))</f>
        <v/>
      </c>
      <c r="R178" s="13" t="n"/>
      <c r="S178" s="17">
        <f>IF($B178="","",IF(COUNTIF($B$4:$B$403,$B178)&gt;1,"※项目名重复了",IF(AND($C178&lt;&gt;"",ISNA(MATCH($C178,客户表,0))),"※客户不在基础资料里",IF(AND($J178&lt;&gt;"",$F178&lt;&gt;"",$J178&lt;$F178),"※完工日期早于下单日期",""))))</f>
        <v/>
      </c>
    </row>
    <row r="179">
      <c r="A179" s="17">
        <f>IF($B179="","","P"&amp;TEXT(ROW()-3,"000"))</f>
        <v/>
      </c>
      <c r="B179" s="13" t="n"/>
      <c r="C179" s="13" t="n"/>
      <c r="D179" s="13" t="n"/>
      <c r="E179" s="13" t="n"/>
      <c r="F179" s="18" t="n"/>
      <c r="G179" s="18" t="n"/>
      <c r="H179" s="18" t="n"/>
      <c r="I179" s="18" t="n"/>
      <c r="J179" s="18" t="n"/>
      <c r="K179" s="14" t="n"/>
      <c r="L179" s="19">
        <f>IF($B179="","",ROUND(SUMIF(订单明细!$C:$C,$B179,订单明细!$I:$I),2))</f>
        <v/>
      </c>
      <c r="M179" s="19">
        <f>IF($B179="","",ROUND(N($K179)+N($L179),2))</f>
        <v/>
      </c>
      <c r="N179" s="14" t="n"/>
      <c r="O179" s="19">
        <f>IF($B179="","",ROUND(N($N179)+SUMIFS(资金日记账!$J$4:$J$2503,资金日记账!$G$4:$G$2503,$B179,资金日记账!$F$4:$F$2503,"收款-项目")-SUMIFS(资金日记账!$K$4:$K$2503,资金日记账!$G$4:$G$2503,$B179,资金日记账!$F$4:$F$2503,"收款-项目"),2))</f>
        <v/>
      </c>
      <c r="P179" s="19">
        <f>IF($B179="","",ROUND($M179-$O179,2))</f>
        <v/>
      </c>
      <c r="Q179" s="17">
        <f>IF($B179="","",IF(AND($J179&lt;&gt;"",ROUND($P179,2)&lt;=0),"已完工·已结清",IF($J179&lt;&gt;"","已完工·还有尾款",IF($I179&lt;&gt;"","已安装",IF($H179&lt;&gt;"","已制作",IF($G179&lt;&gt;"","设计完成","已下单"))))))</f>
        <v/>
      </c>
      <c r="R179" s="13" t="n"/>
      <c r="S179" s="17">
        <f>IF($B179="","",IF(COUNTIF($B$4:$B$403,$B179)&gt;1,"※项目名重复了",IF(AND($C179&lt;&gt;"",ISNA(MATCH($C179,客户表,0))),"※客户不在基础资料里",IF(AND($J179&lt;&gt;"",$F179&lt;&gt;"",$J179&lt;$F179),"※完工日期早于下单日期",""))))</f>
        <v/>
      </c>
    </row>
    <row r="180">
      <c r="A180" s="17">
        <f>IF($B180="","","P"&amp;TEXT(ROW()-3,"000"))</f>
        <v/>
      </c>
      <c r="B180" s="13" t="n"/>
      <c r="C180" s="13" t="n"/>
      <c r="D180" s="13" t="n"/>
      <c r="E180" s="13" t="n"/>
      <c r="F180" s="18" t="n"/>
      <c r="G180" s="18" t="n"/>
      <c r="H180" s="18" t="n"/>
      <c r="I180" s="18" t="n"/>
      <c r="J180" s="18" t="n"/>
      <c r="K180" s="14" t="n"/>
      <c r="L180" s="19">
        <f>IF($B180="","",ROUND(SUMIF(订单明细!$C:$C,$B180,订单明细!$I:$I),2))</f>
        <v/>
      </c>
      <c r="M180" s="19">
        <f>IF($B180="","",ROUND(N($K180)+N($L180),2))</f>
        <v/>
      </c>
      <c r="N180" s="14" t="n"/>
      <c r="O180" s="19">
        <f>IF($B180="","",ROUND(N($N180)+SUMIFS(资金日记账!$J$4:$J$2503,资金日记账!$G$4:$G$2503,$B180,资金日记账!$F$4:$F$2503,"收款-项目")-SUMIFS(资金日记账!$K$4:$K$2503,资金日记账!$G$4:$G$2503,$B180,资金日记账!$F$4:$F$2503,"收款-项目"),2))</f>
        <v/>
      </c>
      <c r="P180" s="19">
        <f>IF($B180="","",ROUND($M180-$O180,2))</f>
        <v/>
      </c>
      <c r="Q180" s="17">
        <f>IF($B180="","",IF(AND($J180&lt;&gt;"",ROUND($P180,2)&lt;=0),"已完工·已结清",IF($J180&lt;&gt;"","已完工·还有尾款",IF($I180&lt;&gt;"","已安装",IF($H180&lt;&gt;"","已制作",IF($G180&lt;&gt;"","设计完成","已下单"))))))</f>
        <v/>
      </c>
      <c r="R180" s="13" t="n"/>
      <c r="S180" s="17">
        <f>IF($B180="","",IF(COUNTIF($B$4:$B$403,$B180)&gt;1,"※项目名重复了",IF(AND($C180&lt;&gt;"",ISNA(MATCH($C180,客户表,0))),"※客户不在基础资料里",IF(AND($J180&lt;&gt;"",$F180&lt;&gt;"",$J180&lt;$F180),"※完工日期早于下单日期",""))))</f>
        <v/>
      </c>
    </row>
    <row r="181">
      <c r="A181" s="17">
        <f>IF($B181="","","P"&amp;TEXT(ROW()-3,"000"))</f>
        <v/>
      </c>
      <c r="B181" s="13" t="n"/>
      <c r="C181" s="13" t="n"/>
      <c r="D181" s="13" t="n"/>
      <c r="E181" s="13" t="n"/>
      <c r="F181" s="18" t="n"/>
      <c r="G181" s="18" t="n"/>
      <c r="H181" s="18" t="n"/>
      <c r="I181" s="18" t="n"/>
      <c r="J181" s="18" t="n"/>
      <c r="K181" s="14" t="n"/>
      <c r="L181" s="19">
        <f>IF($B181="","",ROUND(SUMIF(订单明细!$C:$C,$B181,订单明细!$I:$I),2))</f>
        <v/>
      </c>
      <c r="M181" s="19">
        <f>IF($B181="","",ROUND(N($K181)+N($L181),2))</f>
        <v/>
      </c>
      <c r="N181" s="14" t="n"/>
      <c r="O181" s="19">
        <f>IF($B181="","",ROUND(N($N181)+SUMIFS(资金日记账!$J$4:$J$2503,资金日记账!$G$4:$G$2503,$B181,资金日记账!$F$4:$F$2503,"收款-项目")-SUMIFS(资金日记账!$K$4:$K$2503,资金日记账!$G$4:$G$2503,$B181,资金日记账!$F$4:$F$2503,"收款-项目"),2))</f>
        <v/>
      </c>
      <c r="P181" s="19">
        <f>IF($B181="","",ROUND($M181-$O181,2))</f>
        <v/>
      </c>
      <c r="Q181" s="17">
        <f>IF($B181="","",IF(AND($J181&lt;&gt;"",ROUND($P181,2)&lt;=0),"已完工·已结清",IF($J181&lt;&gt;"","已完工·还有尾款",IF($I181&lt;&gt;"","已安装",IF($H181&lt;&gt;"","已制作",IF($G181&lt;&gt;"","设计完成","已下单"))))))</f>
        <v/>
      </c>
      <c r="R181" s="13" t="n"/>
      <c r="S181" s="17">
        <f>IF($B181="","",IF(COUNTIF($B$4:$B$403,$B181)&gt;1,"※项目名重复了",IF(AND($C181&lt;&gt;"",ISNA(MATCH($C181,客户表,0))),"※客户不在基础资料里",IF(AND($J181&lt;&gt;"",$F181&lt;&gt;"",$J181&lt;$F181),"※完工日期早于下单日期",""))))</f>
        <v/>
      </c>
    </row>
    <row r="182">
      <c r="A182" s="17">
        <f>IF($B182="","","P"&amp;TEXT(ROW()-3,"000"))</f>
        <v/>
      </c>
      <c r="B182" s="13" t="n"/>
      <c r="C182" s="13" t="n"/>
      <c r="D182" s="13" t="n"/>
      <c r="E182" s="13" t="n"/>
      <c r="F182" s="18" t="n"/>
      <c r="G182" s="18" t="n"/>
      <c r="H182" s="18" t="n"/>
      <c r="I182" s="18" t="n"/>
      <c r="J182" s="18" t="n"/>
      <c r="K182" s="14" t="n"/>
      <c r="L182" s="19">
        <f>IF($B182="","",ROUND(SUMIF(订单明细!$C:$C,$B182,订单明细!$I:$I),2))</f>
        <v/>
      </c>
      <c r="M182" s="19">
        <f>IF($B182="","",ROUND(N($K182)+N($L182),2))</f>
        <v/>
      </c>
      <c r="N182" s="14" t="n"/>
      <c r="O182" s="19">
        <f>IF($B182="","",ROUND(N($N182)+SUMIFS(资金日记账!$J$4:$J$2503,资金日记账!$G$4:$G$2503,$B182,资金日记账!$F$4:$F$2503,"收款-项目")-SUMIFS(资金日记账!$K$4:$K$2503,资金日记账!$G$4:$G$2503,$B182,资金日记账!$F$4:$F$2503,"收款-项目"),2))</f>
        <v/>
      </c>
      <c r="P182" s="19">
        <f>IF($B182="","",ROUND($M182-$O182,2))</f>
        <v/>
      </c>
      <c r="Q182" s="17">
        <f>IF($B182="","",IF(AND($J182&lt;&gt;"",ROUND($P182,2)&lt;=0),"已完工·已结清",IF($J182&lt;&gt;"","已完工·还有尾款",IF($I182&lt;&gt;"","已安装",IF($H182&lt;&gt;"","已制作",IF($G182&lt;&gt;"","设计完成","已下单"))))))</f>
        <v/>
      </c>
      <c r="R182" s="13" t="n"/>
      <c r="S182" s="17">
        <f>IF($B182="","",IF(COUNTIF($B$4:$B$403,$B182)&gt;1,"※项目名重复了",IF(AND($C182&lt;&gt;"",ISNA(MATCH($C182,客户表,0))),"※客户不在基础资料里",IF(AND($J182&lt;&gt;"",$F182&lt;&gt;"",$J182&lt;$F182),"※完工日期早于下单日期",""))))</f>
        <v/>
      </c>
    </row>
    <row r="183">
      <c r="A183" s="17">
        <f>IF($B183="","","P"&amp;TEXT(ROW()-3,"000"))</f>
        <v/>
      </c>
      <c r="B183" s="13" t="n"/>
      <c r="C183" s="13" t="n"/>
      <c r="D183" s="13" t="n"/>
      <c r="E183" s="13" t="n"/>
      <c r="F183" s="18" t="n"/>
      <c r="G183" s="18" t="n"/>
      <c r="H183" s="18" t="n"/>
      <c r="I183" s="18" t="n"/>
      <c r="J183" s="18" t="n"/>
      <c r="K183" s="14" t="n"/>
      <c r="L183" s="19">
        <f>IF($B183="","",ROUND(SUMIF(订单明细!$C:$C,$B183,订单明细!$I:$I),2))</f>
        <v/>
      </c>
      <c r="M183" s="19">
        <f>IF($B183="","",ROUND(N($K183)+N($L183),2))</f>
        <v/>
      </c>
      <c r="N183" s="14" t="n"/>
      <c r="O183" s="19">
        <f>IF($B183="","",ROUND(N($N183)+SUMIFS(资金日记账!$J$4:$J$2503,资金日记账!$G$4:$G$2503,$B183,资金日记账!$F$4:$F$2503,"收款-项目")-SUMIFS(资金日记账!$K$4:$K$2503,资金日记账!$G$4:$G$2503,$B183,资金日记账!$F$4:$F$2503,"收款-项目"),2))</f>
        <v/>
      </c>
      <c r="P183" s="19">
        <f>IF($B183="","",ROUND($M183-$O183,2))</f>
        <v/>
      </c>
      <c r="Q183" s="17">
        <f>IF($B183="","",IF(AND($J183&lt;&gt;"",ROUND($P183,2)&lt;=0),"已完工·已结清",IF($J183&lt;&gt;"","已完工·还有尾款",IF($I183&lt;&gt;"","已安装",IF($H183&lt;&gt;"","已制作",IF($G183&lt;&gt;"","设计完成","已下单"))))))</f>
        <v/>
      </c>
      <c r="R183" s="13" t="n"/>
      <c r="S183" s="17">
        <f>IF($B183="","",IF(COUNTIF($B$4:$B$403,$B183)&gt;1,"※项目名重复了",IF(AND($C183&lt;&gt;"",ISNA(MATCH($C183,客户表,0))),"※客户不在基础资料里",IF(AND($J183&lt;&gt;"",$F183&lt;&gt;"",$J183&lt;$F183),"※完工日期早于下单日期",""))))</f>
        <v/>
      </c>
    </row>
    <row r="184">
      <c r="A184" s="17">
        <f>IF($B184="","","P"&amp;TEXT(ROW()-3,"000"))</f>
        <v/>
      </c>
      <c r="B184" s="13" t="n"/>
      <c r="C184" s="13" t="n"/>
      <c r="D184" s="13" t="n"/>
      <c r="E184" s="13" t="n"/>
      <c r="F184" s="18" t="n"/>
      <c r="G184" s="18" t="n"/>
      <c r="H184" s="18" t="n"/>
      <c r="I184" s="18" t="n"/>
      <c r="J184" s="18" t="n"/>
      <c r="K184" s="14" t="n"/>
      <c r="L184" s="19">
        <f>IF($B184="","",ROUND(SUMIF(订单明细!$C:$C,$B184,订单明细!$I:$I),2))</f>
        <v/>
      </c>
      <c r="M184" s="19">
        <f>IF($B184="","",ROUND(N($K184)+N($L184),2))</f>
        <v/>
      </c>
      <c r="N184" s="14" t="n"/>
      <c r="O184" s="19">
        <f>IF($B184="","",ROUND(N($N184)+SUMIFS(资金日记账!$J$4:$J$2503,资金日记账!$G$4:$G$2503,$B184,资金日记账!$F$4:$F$2503,"收款-项目")-SUMIFS(资金日记账!$K$4:$K$2503,资金日记账!$G$4:$G$2503,$B184,资金日记账!$F$4:$F$2503,"收款-项目"),2))</f>
        <v/>
      </c>
      <c r="P184" s="19">
        <f>IF($B184="","",ROUND($M184-$O184,2))</f>
        <v/>
      </c>
      <c r="Q184" s="17">
        <f>IF($B184="","",IF(AND($J184&lt;&gt;"",ROUND($P184,2)&lt;=0),"已完工·已结清",IF($J184&lt;&gt;"","已完工·还有尾款",IF($I184&lt;&gt;"","已安装",IF($H184&lt;&gt;"","已制作",IF($G184&lt;&gt;"","设计完成","已下单"))))))</f>
        <v/>
      </c>
      <c r="R184" s="13" t="n"/>
      <c r="S184" s="17">
        <f>IF($B184="","",IF(COUNTIF($B$4:$B$403,$B184)&gt;1,"※项目名重复了",IF(AND($C184&lt;&gt;"",ISNA(MATCH($C184,客户表,0))),"※客户不在基础资料里",IF(AND($J184&lt;&gt;"",$F184&lt;&gt;"",$J184&lt;$F184),"※完工日期早于下单日期",""))))</f>
        <v/>
      </c>
    </row>
    <row r="185">
      <c r="A185" s="17">
        <f>IF($B185="","","P"&amp;TEXT(ROW()-3,"000"))</f>
        <v/>
      </c>
      <c r="B185" s="13" t="n"/>
      <c r="C185" s="13" t="n"/>
      <c r="D185" s="13" t="n"/>
      <c r="E185" s="13" t="n"/>
      <c r="F185" s="18" t="n"/>
      <c r="G185" s="18" t="n"/>
      <c r="H185" s="18" t="n"/>
      <c r="I185" s="18" t="n"/>
      <c r="J185" s="18" t="n"/>
      <c r="K185" s="14" t="n"/>
      <c r="L185" s="19">
        <f>IF($B185="","",ROUND(SUMIF(订单明细!$C:$C,$B185,订单明细!$I:$I),2))</f>
        <v/>
      </c>
      <c r="M185" s="19">
        <f>IF($B185="","",ROUND(N($K185)+N($L185),2))</f>
        <v/>
      </c>
      <c r="N185" s="14" t="n"/>
      <c r="O185" s="19">
        <f>IF($B185="","",ROUND(N($N185)+SUMIFS(资金日记账!$J$4:$J$2503,资金日记账!$G$4:$G$2503,$B185,资金日记账!$F$4:$F$2503,"收款-项目")-SUMIFS(资金日记账!$K$4:$K$2503,资金日记账!$G$4:$G$2503,$B185,资金日记账!$F$4:$F$2503,"收款-项目"),2))</f>
        <v/>
      </c>
      <c r="P185" s="19">
        <f>IF($B185="","",ROUND($M185-$O185,2))</f>
        <v/>
      </c>
      <c r="Q185" s="17">
        <f>IF($B185="","",IF(AND($J185&lt;&gt;"",ROUND($P185,2)&lt;=0),"已完工·已结清",IF($J185&lt;&gt;"","已完工·还有尾款",IF($I185&lt;&gt;"","已安装",IF($H185&lt;&gt;"","已制作",IF($G185&lt;&gt;"","设计完成","已下单"))))))</f>
        <v/>
      </c>
      <c r="R185" s="13" t="n"/>
      <c r="S185" s="17">
        <f>IF($B185="","",IF(COUNTIF($B$4:$B$403,$B185)&gt;1,"※项目名重复了",IF(AND($C185&lt;&gt;"",ISNA(MATCH($C185,客户表,0))),"※客户不在基础资料里",IF(AND($J185&lt;&gt;"",$F185&lt;&gt;"",$J185&lt;$F185),"※完工日期早于下单日期",""))))</f>
        <v/>
      </c>
    </row>
    <row r="186">
      <c r="A186" s="17">
        <f>IF($B186="","","P"&amp;TEXT(ROW()-3,"000"))</f>
        <v/>
      </c>
      <c r="B186" s="13" t="n"/>
      <c r="C186" s="13" t="n"/>
      <c r="D186" s="13" t="n"/>
      <c r="E186" s="13" t="n"/>
      <c r="F186" s="18" t="n"/>
      <c r="G186" s="18" t="n"/>
      <c r="H186" s="18" t="n"/>
      <c r="I186" s="18" t="n"/>
      <c r="J186" s="18" t="n"/>
      <c r="K186" s="14" t="n"/>
      <c r="L186" s="19">
        <f>IF($B186="","",ROUND(SUMIF(订单明细!$C:$C,$B186,订单明细!$I:$I),2))</f>
        <v/>
      </c>
      <c r="M186" s="19">
        <f>IF($B186="","",ROUND(N($K186)+N($L186),2))</f>
        <v/>
      </c>
      <c r="N186" s="14" t="n"/>
      <c r="O186" s="19">
        <f>IF($B186="","",ROUND(N($N186)+SUMIFS(资金日记账!$J$4:$J$2503,资金日记账!$G$4:$G$2503,$B186,资金日记账!$F$4:$F$2503,"收款-项目")-SUMIFS(资金日记账!$K$4:$K$2503,资金日记账!$G$4:$G$2503,$B186,资金日记账!$F$4:$F$2503,"收款-项目"),2))</f>
        <v/>
      </c>
      <c r="P186" s="19">
        <f>IF($B186="","",ROUND($M186-$O186,2))</f>
        <v/>
      </c>
      <c r="Q186" s="17">
        <f>IF($B186="","",IF(AND($J186&lt;&gt;"",ROUND($P186,2)&lt;=0),"已完工·已结清",IF($J186&lt;&gt;"","已完工·还有尾款",IF($I186&lt;&gt;"","已安装",IF($H186&lt;&gt;"","已制作",IF($G186&lt;&gt;"","设计完成","已下单"))))))</f>
        <v/>
      </c>
      <c r="R186" s="13" t="n"/>
      <c r="S186" s="17">
        <f>IF($B186="","",IF(COUNTIF($B$4:$B$403,$B186)&gt;1,"※项目名重复了",IF(AND($C186&lt;&gt;"",ISNA(MATCH($C186,客户表,0))),"※客户不在基础资料里",IF(AND($J186&lt;&gt;"",$F186&lt;&gt;"",$J186&lt;$F186),"※完工日期早于下单日期",""))))</f>
        <v/>
      </c>
    </row>
    <row r="187">
      <c r="A187" s="17">
        <f>IF($B187="","","P"&amp;TEXT(ROW()-3,"000"))</f>
        <v/>
      </c>
      <c r="B187" s="13" t="n"/>
      <c r="C187" s="13" t="n"/>
      <c r="D187" s="13" t="n"/>
      <c r="E187" s="13" t="n"/>
      <c r="F187" s="18" t="n"/>
      <c r="G187" s="18" t="n"/>
      <c r="H187" s="18" t="n"/>
      <c r="I187" s="18" t="n"/>
      <c r="J187" s="18" t="n"/>
      <c r="K187" s="14" t="n"/>
      <c r="L187" s="19">
        <f>IF($B187="","",ROUND(SUMIF(订单明细!$C:$C,$B187,订单明细!$I:$I),2))</f>
        <v/>
      </c>
      <c r="M187" s="19">
        <f>IF($B187="","",ROUND(N($K187)+N($L187),2))</f>
        <v/>
      </c>
      <c r="N187" s="14" t="n"/>
      <c r="O187" s="19">
        <f>IF($B187="","",ROUND(N($N187)+SUMIFS(资金日记账!$J$4:$J$2503,资金日记账!$G$4:$G$2503,$B187,资金日记账!$F$4:$F$2503,"收款-项目")-SUMIFS(资金日记账!$K$4:$K$2503,资金日记账!$G$4:$G$2503,$B187,资金日记账!$F$4:$F$2503,"收款-项目"),2))</f>
        <v/>
      </c>
      <c r="P187" s="19">
        <f>IF($B187="","",ROUND($M187-$O187,2))</f>
        <v/>
      </c>
      <c r="Q187" s="17">
        <f>IF($B187="","",IF(AND($J187&lt;&gt;"",ROUND($P187,2)&lt;=0),"已完工·已结清",IF($J187&lt;&gt;"","已完工·还有尾款",IF($I187&lt;&gt;"","已安装",IF($H187&lt;&gt;"","已制作",IF($G187&lt;&gt;"","设计完成","已下单"))))))</f>
        <v/>
      </c>
      <c r="R187" s="13" t="n"/>
      <c r="S187" s="17">
        <f>IF($B187="","",IF(COUNTIF($B$4:$B$403,$B187)&gt;1,"※项目名重复了",IF(AND($C187&lt;&gt;"",ISNA(MATCH($C187,客户表,0))),"※客户不在基础资料里",IF(AND($J187&lt;&gt;"",$F187&lt;&gt;"",$J187&lt;$F187),"※完工日期早于下单日期",""))))</f>
        <v/>
      </c>
    </row>
    <row r="188">
      <c r="A188" s="17">
        <f>IF($B188="","","P"&amp;TEXT(ROW()-3,"000"))</f>
        <v/>
      </c>
      <c r="B188" s="13" t="n"/>
      <c r="C188" s="13" t="n"/>
      <c r="D188" s="13" t="n"/>
      <c r="E188" s="13" t="n"/>
      <c r="F188" s="18" t="n"/>
      <c r="G188" s="18" t="n"/>
      <c r="H188" s="18" t="n"/>
      <c r="I188" s="18" t="n"/>
      <c r="J188" s="18" t="n"/>
      <c r="K188" s="14" t="n"/>
      <c r="L188" s="19">
        <f>IF($B188="","",ROUND(SUMIF(订单明细!$C:$C,$B188,订单明细!$I:$I),2))</f>
        <v/>
      </c>
      <c r="M188" s="19">
        <f>IF($B188="","",ROUND(N($K188)+N($L188),2))</f>
        <v/>
      </c>
      <c r="N188" s="14" t="n"/>
      <c r="O188" s="19">
        <f>IF($B188="","",ROUND(N($N188)+SUMIFS(资金日记账!$J$4:$J$2503,资金日记账!$G$4:$G$2503,$B188,资金日记账!$F$4:$F$2503,"收款-项目")-SUMIFS(资金日记账!$K$4:$K$2503,资金日记账!$G$4:$G$2503,$B188,资金日记账!$F$4:$F$2503,"收款-项目"),2))</f>
        <v/>
      </c>
      <c r="P188" s="19">
        <f>IF($B188="","",ROUND($M188-$O188,2))</f>
        <v/>
      </c>
      <c r="Q188" s="17">
        <f>IF($B188="","",IF(AND($J188&lt;&gt;"",ROUND($P188,2)&lt;=0),"已完工·已结清",IF($J188&lt;&gt;"","已完工·还有尾款",IF($I188&lt;&gt;"","已安装",IF($H188&lt;&gt;"","已制作",IF($G188&lt;&gt;"","设计完成","已下单"))))))</f>
        <v/>
      </c>
      <c r="R188" s="13" t="n"/>
      <c r="S188" s="17">
        <f>IF($B188="","",IF(COUNTIF($B$4:$B$403,$B188)&gt;1,"※项目名重复了",IF(AND($C188&lt;&gt;"",ISNA(MATCH($C188,客户表,0))),"※客户不在基础资料里",IF(AND($J188&lt;&gt;"",$F188&lt;&gt;"",$J188&lt;$F188),"※完工日期早于下单日期",""))))</f>
        <v/>
      </c>
    </row>
    <row r="189">
      <c r="A189" s="17">
        <f>IF($B189="","","P"&amp;TEXT(ROW()-3,"000"))</f>
        <v/>
      </c>
      <c r="B189" s="13" t="n"/>
      <c r="C189" s="13" t="n"/>
      <c r="D189" s="13" t="n"/>
      <c r="E189" s="13" t="n"/>
      <c r="F189" s="18" t="n"/>
      <c r="G189" s="18" t="n"/>
      <c r="H189" s="18" t="n"/>
      <c r="I189" s="18" t="n"/>
      <c r="J189" s="18" t="n"/>
      <c r="K189" s="14" t="n"/>
      <c r="L189" s="19">
        <f>IF($B189="","",ROUND(SUMIF(订单明细!$C:$C,$B189,订单明细!$I:$I),2))</f>
        <v/>
      </c>
      <c r="M189" s="19">
        <f>IF($B189="","",ROUND(N($K189)+N($L189),2))</f>
        <v/>
      </c>
      <c r="N189" s="14" t="n"/>
      <c r="O189" s="19">
        <f>IF($B189="","",ROUND(N($N189)+SUMIFS(资金日记账!$J$4:$J$2503,资金日记账!$G$4:$G$2503,$B189,资金日记账!$F$4:$F$2503,"收款-项目")-SUMIFS(资金日记账!$K$4:$K$2503,资金日记账!$G$4:$G$2503,$B189,资金日记账!$F$4:$F$2503,"收款-项目"),2))</f>
        <v/>
      </c>
      <c r="P189" s="19">
        <f>IF($B189="","",ROUND($M189-$O189,2))</f>
        <v/>
      </c>
      <c r="Q189" s="17">
        <f>IF($B189="","",IF(AND($J189&lt;&gt;"",ROUND($P189,2)&lt;=0),"已完工·已结清",IF($J189&lt;&gt;"","已完工·还有尾款",IF($I189&lt;&gt;"","已安装",IF($H189&lt;&gt;"","已制作",IF($G189&lt;&gt;"","设计完成","已下单"))))))</f>
        <v/>
      </c>
      <c r="R189" s="13" t="n"/>
      <c r="S189" s="17">
        <f>IF($B189="","",IF(COUNTIF($B$4:$B$403,$B189)&gt;1,"※项目名重复了",IF(AND($C189&lt;&gt;"",ISNA(MATCH($C189,客户表,0))),"※客户不在基础资料里",IF(AND($J189&lt;&gt;"",$F189&lt;&gt;"",$J189&lt;$F189),"※完工日期早于下单日期",""))))</f>
        <v/>
      </c>
    </row>
    <row r="190">
      <c r="A190" s="17">
        <f>IF($B190="","","P"&amp;TEXT(ROW()-3,"000"))</f>
        <v/>
      </c>
      <c r="B190" s="13" t="n"/>
      <c r="C190" s="13" t="n"/>
      <c r="D190" s="13" t="n"/>
      <c r="E190" s="13" t="n"/>
      <c r="F190" s="18" t="n"/>
      <c r="G190" s="18" t="n"/>
      <c r="H190" s="18" t="n"/>
      <c r="I190" s="18" t="n"/>
      <c r="J190" s="18" t="n"/>
      <c r="K190" s="14" t="n"/>
      <c r="L190" s="19">
        <f>IF($B190="","",ROUND(SUMIF(订单明细!$C:$C,$B190,订单明细!$I:$I),2))</f>
        <v/>
      </c>
      <c r="M190" s="19">
        <f>IF($B190="","",ROUND(N($K190)+N($L190),2))</f>
        <v/>
      </c>
      <c r="N190" s="14" t="n"/>
      <c r="O190" s="19">
        <f>IF($B190="","",ROUND(N($N190)+SUMIFS(资金日记账!$J$4:$J$2503,资金日记账!$G$4:$G$2503,$B190,资金日记账!$F$4:$F$2503,"收款-项目")-SUMIFS(资金日记账!$K$4:$K$2503,资金日记账!$G$4:$G$2503,$B190,资金日记账!$F$4:$F$2503,"收款-项目"),2))</f>
        <v/>
      </c>
      <c r="P190" s="19">
        <f>IF($B190="","",ROUND($M190-$O190,2))</f>
        <v/>
      </c>
      <c r="Q190" s="17">
        <f>IF($B190="","",IF(AND($J190&lt;&gt;"",ROUND($P190,2)&lt;=0),"已完工·已结清",IF($J190&lt;&gt;"","已完工·还有尾款",IF($I190&lt;&gt;"","已安装",IF($H190&lt;&gt;"","已制作",IF($G190&lt;&gt;"","设计完成","已下单"))))))</f>
        <v/>
      </c>
      <c r="R190" s="13" t="n"/>
      <c r="S190" s="17">
        <f>IF($B190="","",IF(COUNTIF($B$4:$B$403,$B190)&gt;1,"※项目名重复了",IF(AND($C190&lt;&gt;"",ISNA(MATCH($C190,客户表,0))),"※客户不在基础资料里",IF(AND($J190&lt;&gt;"",$F190&lt;&gt;"",$J190&lt;$F190),"※完工日期早于下单日期",""))))</f>
        <v/>
      </c>
    </row>
    <row r="191">
      <c r="A191" s="17">
        <f>IF($B191="","","P"&amp;TEXT(ROW()-3,"000"))</f>
        <v/>
      </c>
      <c r="B191" s="13" t="n"/>
      <c r="C191" s="13" t="n"/>
      <c r="D191" s="13" t="n"/>
      <c r="E191" s="13" t="n"/>
      <c r="F191" s="18" t="n"/>
      <c r="G191" s="18" t="n"/>
      <c r="H191" s="18" t="n"/>
      <c r="I191" s="18" t="n"/>
      <c r="J191" s="18" t="n"/>
      <c r="K191" s="14" t="n"/>
      <c r="L191" s="19">
        <f>IF($B191="","",ROUND(SUMIF(订单明细!$C:$C,$B191,订单明细!$I:$I),2))</f>
        <v/>
      </c>
      <c r="M191" s="19">
        <f>IF($B191="","",ROUND(N($K191)+N($L191),2))</f>
        <v/>
      </c>
      <c r="N191" s="14" t="n"/>
      <c r="O191" s="19">
        <f>IF($B191="","",ROUND(N($N191)+SUMIFS(资金日记账!$J$4:$J$2503,资金日记账!$G$4:$G$2503,$B191,资金日记账!$F$4:$F$2503,"收款-项目")-SUMIFS(资金日记账!$K$4:$K$2503,资金日记账!$G$4:$G$2503,$B191,资金日记账!$F$4:$F$2503,"收款-项目"),2))</f>
        <v/>
      </c>
      <c r="P191" s="19">
        <f>IF($B191="","",ROUND($M191-$O191,2))</f>
        <v/>
      </c>
      <c r="Q191" s="17">
        <f>IF($B191="","",IF(AND($J191&lt;&gt;"",ROUND($P191,2)&lt;=0),"已完工·已结清",IF($J191&lt;&gt;"","已完工·还有尾款",IF($I191&lt;&gt;"","已安装",IF($H191&lt;&gt;"","已制作",IF($G191&lt;&gt;"","设计完成","已下单"))))))</f>
        <v/>
      </c>
      <c r="R191" s="13" t="n"/>
      <c r="S191" s="17">
        <f>IF($B191="","",IF(COUNTIF($B$4:$B$403,$B191)&gt;1,"※项目名重复了",IF(AND($C191&lt;&gt;"",ISNA(MATCH($C191,客户表,0))),"※客户不在基础资料里",IF(AND($J191&lt;&gt;"",$F191&lt;&gt;"",$J191&lt;$F191),"※完工日期早于下单日期",""))))</f>
        <v/>
      </c>
    </row>
    <row r="192">
      <c r="A192" s="17">
        <f>IF($B192="","","P"&amp;TEXT(ROW()-3,"000"))</f>
        <v/>
      </c>
      <c r="B192" s="13" t="n"/>
      <c r="C192" s="13" t="n"/>
      <c r="D192" s="13" t="n"/>
      <c r="E192" s="13" t="n"/>
      <c r="F192" s="18" t="n"/>
      <c r="G192" s="18" t="n"/>
      <c r="H192" s="18" t="n"/>
      <c r="I192" s="18" t="n"/>
      <c r="J192" s="18" t="n"/>
      <c r="K192" s="14" t="n"/>
      <c r="L192" s="19">
        <f>IF($B192="","",ROUND(SUMIF(订单明细!$C:$C,$B192,订单明细!$I:$I),2))</f>
        <v/>
      </c>
      <c r="M192" s="19">
        <f>IF($B192="","",ROUND(N($K192)+N($L192),2))</f>
        <v/>
      </c>
      <c r="N192" s="14" t="n"/>
      <c r="O192" s="19">
        <f>IF($B192="","",ROUND(N($N192)+SUMIFS(资金日记账!$J$4:$J$2503,资金日记账!$G$4:$G$2503,$B192,资金日记账!$F$4:$F$2503,"收款-项目")-SUMIFS(资金日记账!$K$4:$K$2503,资金日记账!$G$4:$G$2503,$B192,资金日记账!$F$4:$F$2503,"收款-项目"),2))</f>
        <v/>
      </c>
      <c r="P192" s="19">
        <f>IF($B192="","",ROUND($M192-$O192,2))</f>
        <v/>
      </c>
      <c r="Q192" s="17">
        <f>IF($B192="","",IF(AND($J192&lt;&gt;"",ROUND($P192,2)&lt;=0),"已完工·已结清",IF($J192&lt;&gt;"","已完工·还有尾款",IF($I192&lt;&gt;"","已安装",IF($H192&lt;&gt;"","已制作",IF($G192&lt;&gt;"","设计完成","已下单"))))))</f>
        <v/>
      </c>
      <c r="R192" s="13" t="n"/>
      <c r="S192" s="17">
        <f>IF($B192="","",IF(COUNTIF($B$4:$B$403,$B192)&gt;1,"※项目名重复了",IF(AND($C192&lt;&gt;"",ISNA(MATCH($C192,客户表,0))),"※客户不在基础资料里",IF(AND($J192&lt;&gt;"",$F192&lt;&gt;"",$J192&lt;$F192),"※完工日期早于下单日期",""))))</f>
        <v/>
      </c>
    </row>
    <row r="193">
      <c r="A193" s="17">
        <f>IF($B193="","","P"&amp;TEXT(ROW()-3,"000"))</f>
        <v/>
      </c>
      <c r="B193" s="13" t="n"/>
      <c r="C193" s="13" t="n"/>
      <c r="D193" s="13" t="n"/>
      <c r="E193" s="13" t="n"/>
      <c r="F193" s="18" t="n"/>
      <c r="G193" s="18" t="n"/>
      <c r="H193" s="18" t="n"/>
      <c r="I193" s="18" t="n"/>
      <c r="J193" s="18" t="n"/>
      <c r="K193" s="14" t="n"/>
      <c r="L193" s="19">
        <f>IF($B193="","",ROUND(SUMIF(订单明细!$C:$C,$B193,订单明细!$I:$I),2))</f>
        <v/>
      </c>
      <c r="M193" s="19">
        <f>IF($B193="","",ROUND(N($K193)+N($L193),2))</f>
        <v/>
      </c>
      <c r="N193" s="14" t="n"/>
      <c r="O193" s="19">
        <f>IF($B193="","",ROUND(N($N193)+SUMIFS(资金日记账!$J$4:$J$2503,资金日记账!$G$4:$G$2503,$B193,资金日记账!$F$4:$F$2503,"收款-项目")-SUMIFS(资金日记账!$K$4:$K$2503,资金日记账!$G$4:$G$2503,$B193,资金日记账!$F$4:$F$2503,"收款-项目"),2))</f>
        <v/>
      </c>
      <c r="P193" s="19">
        <f>IF($B193="","",ROUND($M193-$O193,2))</f>
        <v/>
      </c>
      <c r="Q193" s="17">
        <f>IF($B193="","",IF(AND($J193&lt;&gt;"",ROUND($P193,2)&lt;=0),"已完工·已结清",IF($J193&lt;&gt;"","已完工·还有尾款",IF($I193&lt;&gt;"","已安装",IF($H193&lt;&gt;"","已制作",IF($G193&lt;&gt;"","设计完成","已下单"))))))</f>
        <v/>
      </c>
      <c r="R193" s="13" t="n"/>
      <c r="S193" s="17">
        <f>IF($B193="","",IF(COUNTIF($B$4:$B$403,$B193)&gt;1,"※项目名重复了",IF(AND($C193&lt;&gt;"",ISNA(MATCH($C193,客户表,0))),"※客户不在基础资料里",IF(AND($J193&lt;&gt;"",$F193&lt;&gt;"",$J193&lt;$F193),"※完工日期早于下单日期",""))))</f>
        <v/>
      </c>
    </row>
    <row r="194">
      <c r="A194" s="17">
        <f>IF($B194="","","P"&amp;TEXT(ROW()-3,"000"))</f>
        <v/>
      </c>
      <c r="B194" s="13" t="n"/>
      <c r="C194" s="13" t="n"/>
      <c r="D194" s="13" t="n"/>
      <c r="E194" s="13" t="n"/>
      <c r="F194" s="18" t="n"/>
      <c r="G194" s="18" t="n"/>
      <c r="H194" s="18" t="n"/>
      <c r="I194" s="18" t="n"/>
      <c r="J194" s="18" t="n"/>
      <c r="K194" s="14" t="n"/>
      <c r="L194" s="19">
        <f>IF($B194="","",ROUND(SUMIF(订单明细!$C:$C,$B194,订单明细!$I:$I),2))</f>
        <v/>
      </c>
      <c r="M194" s="19">
        <f>IF($B194="","",ROUND(N($K194)+N($L194),2))</f>
        <v/>
      </c>
      <c r="N194" s="14" t="n"/>
      <c r="O194" s="19">
        <f>IF($B194="","",ROUND(N($N194)+SUMIFS(资金日记账!$J$4:$J$2503,资金日记账!$G$4:$G$2503,$B194,资金日记账!$F$4:$F$2503,"收款-项目")-SUMIFS(资金日记账!$K$4:$K$2503,资金日记账!$G$4:$G$2503,$B194,资金日记账!$F$4:$F$2503,"收款-项目"),2))</f>
        <v/>
      </c>
      <c r="P194" s="19">
        <f>IF($B194="","",ROUND($M194-$O194,2))</f>
        <v/>
      </c>
      <c r="Q194" s="17">
        <f>IF($B194="","",IF(AND($J194&lt;&gt;"",ROUND($P194,2)&lt;=0),"已完工·已结清",IF($J194&lt;&gt;"","已完工·还有尾款",IF($I194&lt;&gt;"","已安装",IF($H194&lt;&gt;"","已制作",IF($G194&lt;&gt;"","设计完成","已下单"))))))</f>
        <v/>
      </c>
      <c r="R194" s="13" t="n"/>
      <c r="S194" s="17">
        <f>IF($B194="","",IF(COUNTIF($B$4:$B$403,$B194)&gt;1,"※项目名重复了",IF(AND($C194&lt;&gt;"",ISNA(MATCH($C194,客户表,0))),"※客户不在基础资料里",IF(AND($J194&lt;&gt;"",$F194&lt;&gt;"",$J194&lt;$F194),"※完工日期早于下单日期",""))))</f>
        <v/>
      </c>
    </row>
    <row r="195">
      <c r="A195" s="17">
        <f>IF($B195="","","P"&amp;TEXT(ROW()-3,"000"))</f>
        <v/>
      </c>
      <c r="B195" s="13" t="n"/>
      <c r="C195" s="13" t="n"/>
      <c r="D195" s="13" t="n"/>
      <c r="E195" s="13" t="n"/>
      <c r="F195" s="18" t="n"/>
      <c r="G195" s="18" t="n"/>
      <c r="H195" s="18" t="n"/>
      <c r="I195" s="18" t="n"/>
      <c r="J195" s="18" t="n"/>
      <c r="K195" s="14" t="n"/>
      <c r="L195" s="19">
        <f>IF($B195="","",ROUND(SUMIF(订单明细!$C:$C,$B195,订单明细!$I:$I),2))</f>
        <v/>
      </c>
      <c r="M195" s="19">
        <f>IF($B195="","",ROUND(N($K195)+N($L195),2))</f>
        <v/>
      </c>
      <c r="N195" s="14" t="n"/>
      <c r="O195" s="19">
        <f>IF($B195="","",ROUND(N($N195)+SUMIFS(资金日记账!$J$4:$J$2503,资金日记账!$G$4:$G$2503,$B195,资金日记账!$F$4:$F$2503,"收款-项目")-SUMIFS(资金日记账!$K$4:$K$2503,资金日记账!$G$4:$G$2503,$B195,资金日记账!$F$4:$F$2503,"收款-项目"),2))</f>
        <v/>
      </c>
      <c r="P195" s="19">
        <f>IF($B195="","",ROUND($M195-$O195,2))</f>
        <v/>
      </c>
      <c r="Q195" s="17">
        <f>IF($B195="","",IF(AND($J195&lt;&gt;"",ROUND($P195,2)&lt;=0),"已完工·已结清",IF($J195&lt;&gt;"","已完工·还有尾款",IF($I195&lt;&gt;"","已安装",IF($H195&lt;&gt;"","已制作",IF($G195&lt;&gt;"","设计完成","已下单"))))))</f>
        <v/>
      </c>
      <c r="R195" s="13" t="n"/>
      <c r="S195" s="17">
        <f>IF($B195="","",IF(COUNTIF($B$4:$B$403,$B195)&gt;1,"※项目名重复了",IF(AND($C195&lt;&gt;"",ISNA(MATCH($C195,客户表,0))),"※客户不在基础资料里",IF(AND($J195&lt;&gt;"",$F195&lt;&gt;"",$J195&lt;$F195),"※完工日期早于下单日期",""))))</f>
        <v/>
      </c>
    </row>
    <row r="196">
      <c r="A196" s="17">
        <f>IF($B196="","","P"&amp;TEXT(ROW()-3,"000"))</f>
        <v/>
      </c>
      <c r="B196" s="13" t="n"/>
      <c r="C196" s="13" t="n"/>
      <c r="D196" s="13" t="n"/>
      <c r="E196" s="13" t="n"/>
      <c r="F196" s="18" t="n"/>
      <c r="G196" s="18" t="n"/>
      <c r="H196" s="18" t="n"/>
      <c r="I196" s="18" t="n"/>
      <c r="J196" s="18" t="n"/>
      <c r="K196" s="14" t="n"/>
      <c r="L196" s="19">
        <f>IF($B196="","",ROUND(SUMIF(订单明细!$C:$C,$B196,订单明细!$I:$I),2))</f>
        <v/>
      </c>
      <c r="M196" s="19">
        <f>IF($B196="","",ROUND(N($K196)+N($L196),2))</f>
        <v/>
      </c>
      <c r="N196" s="14" t="n"/>
      <c r="O196" s="19">
        <f>IF($B196="","",ROUND(N($N196)+SUMIFS(资金日记账!$J$4:$J$2503,资金日记账!$G$4:$G$2503,$B196,资金日记账!$F$4:$F$2503,"收款-项目")-SUMIFS(资金日记账!$K$4:$K$2503,资金日记账!$G$4:$G$2503,$B196,资金日记账!$F$4:$F$2503,"收款-项目"),2))</f>
        <v/>
      </c>
      <c r="P196" s="19">
        <f>IF($B196="","",ROUND($M196-$O196,2))</f>
        <v/>
      </c>
      <c r="Q196" s="17">
        <f>IF($B196="","",IF(AND($J196&lt;&gt;"",ROUND($P196,2)&lt;=0),"已完工·已结清",IF($J196&lt;&gt;"","已完工·还有尾款",IF($I196&lt;&gt;"","已安装",IF($H196&lt;&gt;"","已制作",IF($G196&lt;&gt;"","设计完成","已下单"))))))</f>
        <v/>
      </c>
      <c r="R196" s="13" t="n"/>
      <c r="S196" s="17">
        <f>IF($B196="","",IF(COUNTIF($B$4:$B$403,$B196)&gt;1,"※项目名重复了",IF(AND($C196&lt;&gt;"",ISNA(MATCH($C196,客户表,0))),"※客户不在基础资料里",IF(AND($J196&lt;&gt;"",$F196&lt;&gt;"",$J196&lt;$F196),"※完工日期早于下单日期",""))))</f>
        <v/>
      </c>
    </row>
    <row r="197">
      <c r="A197" s="17">
        <f>IF($B197="","","P"&amp;TEXT(ROW()-3,"000"))</f>
        <v/>
      </c>
      <c r="B197" s="13" t="n"/>
      <c r="C197" s="13" t="n"/>
      <c r="D197" s="13" t="n"/>
      <c r="E197" s="13" t="n"/>
      <c r="F197" s="18" t="n"/>
      <c r="G197" s="18" t="n"/>
      <c r="H197" s="18" t="n"/>
      <c r="I197" s="18" t="n"/>
      <c r="J197" s="18" t="n"/>
      <c r="K197" s="14" t="n"/>
      <c r="L197" s="19">
        <f>IF($B197="","",ROUND(SUMIF(订单明细!$C:$C,$B197,订单明细!$I:$I),2))</f>
        <v/>
      </c>
      <c r="M197" s="19">
        <f>IF($B197="","",ROUND(N($K197)+N($L197),2))</f>
        <v/>
      </c>
      <c r="N197" s="14" t="n"/>
      <c r="O197" s="19">
        <f>IF($B197="","",ROUND(N($N197)+SUMIFS(资金日记账!$J$4:$J$2503,资金日记账!$G$4:$G$2503,$B197,资金日记账!$F$4:$F$2503,"收款-项目")-SUMIFS(资金日记账!$K$4:$K$2503,资金日记账!$G$4:$G$2503,$B197,资金日记账!$F$4:$F$2503,"收款-项目"),2))</f>
        <v/>
      </c>
      <c r="P197" s="19">
        <f>IF($B197="","",ROUND($M197-$O197,2))</f>
        <v/>
      </c>
      <c r="Q197" s="17">
        <f>IF($B197="","",IF(AND($J197&lt;&gt;"",ROUND($P197,2)&lt;=0),"已完工·已结清",IF($J197&lt;&gt;"","已完工·还有尾款",IF($I197&lt;&gt;"","已安装",IF($H197&lt;&gt;"","已制作",IF($G197&lt;&gt;"","设计完成","已下单"))))))</f>
        <v/>
      </c>
      <c r="R197" s="13" t="n"/>
      <c r="S197" s="17">
        <f>IF($B197="","",IF(COUNTIF($B$4:$B$403,$B197)&gt;1,"※项目名重复了",IF(AND($C197&lt;&gt;"",ISNA(MATCH($C197,客户表,0))),"※客户不在基础资料里",IF(AND($J197&lt;&gt;"",$F197&lt;&gt;"",$J197&lt;$F197),"※完工日期早于下单日期",""))))</f>
        <v/>
      </c>
    </row>
    <row r="198">
      <c r="A198" s="17">
        <f>IF($B198="","","P"&amp;TEXT(ROW()-3,"000"))</f>
        <v/>
      </c>
      <c r="B198" s="13" t="n"/>
      <c r="C198" s="13" t="n"/>
      <c r="D198" s="13" t="n"/>
      <c r="E198" s="13" t="n"/>
      <c r="F198" s="18" t="n"/>
      <c r="G198" s="18" t="n"/>
      <c r="H198" s="18" t="n"/>
      <c r="I198" s="18" t="n"/>
      <c r="J198" s="18" t="n"/>
      <c r="K198" s="14" t="n"/>
      <c r="L198" s="19">
        <f>IF($B198="","",ROUND(SUMIF(订单明细!$C:$C,$B198,订单明细!$I:$I),2))</f>
        <v/>
      </c>
      <c r="M198" s="19">
        <f>IF($B198="","",ROUND(N($K198)+N($L198),2))</f>
        <v/>
      </c>
      <c r="N198" s="14" t="n"/>
      <c r="O198" s="19">
        <f>IF($B198="","",ROUND(N($N198)+SUMIFS(资金日记账!$J$4:$J$2503,资金日记账!$G$4:$G$2503,$B198,资金日记账!$F$4:$F$2503,"收款-项目")-SUMIFS(资金日记账!$K$4:$K$2503,资金日记账!$G$4:$G$2503,$B198,资金日记账!$F$4:$F$2503,"收款-项目"),2))</f>
        <v/>
      </c>
      <c r="P198" s="19">
        <f>IF($B198="","",ROUND($M198-$O198,2))</f>
        <v/>
      </c>
      <c r="Q198" s="17">
        <f>IF($B198="","",IF(AND($J198&lt;&gt;"",ROUND($P198,2)&lt;=0),"已完工·已结清",IF($J198&lt;&gt;"","已完工·还有尾款",IF($I198&lt;&gt;"","已安装",IF($H198&lt;&gt;"","已制作",IF($G198&lt;&gt;"","设计完成","已下单"))))))</f>
        <v/>
      </c>
      <c r="R198" s="13" t="n"/>
      <c r="S198" s="17">
        <f>IF($B198="","",IF(COUNTIF($B$4:$B$403,$B198)&gt;1,"※项目名重复了",IF(AND($C198&lt;&gt;"",ISNA(MATCH($C198,客户表,0))),"※客户不在基础资料里",IF(AND($J198&lt;&gt;"",$F198&lt;&gt;"",$J198&lt;$F198),"※完工日期早于下单日期",""))))</f>
        <v/>
      </c>
    </row>
    <row r="199">
      <c r="A199" s="17">
        <f>IF($B199="","","P"&amp;TEXT(ROW()-3,"000"))</f>
        <v/>
      </c>
      <c r="B199" s="13" t="n"/>
      <c r="C199" s="13" t="n"/>
      <c r="D199" s="13" t="n"/>
      <c r="E199" s="13" t="n"/>
      <c r="F199" s="18" t="n"/>
      <c r="G199" s="18" t="n"/>
      <c r="H199" s="18" t="n"/>
      <c r="I199" s="18" t="n"/>
      <c r="J199" s="18" t="n"/>
      <c r="K199" s="14" t="n"/>
      <c r="L199" s="19">
        <f>IF($B199="","",ROUND(SUMIF(订单明细!$C:$C,$B199,订单明细!$I:$I),2))</f>
        <v/>
      </c>
      <c r="M199" s="19">
        <f>IF($B199="","",ROUND(N($K199)+N($L199),2))</f>
        <v/>
      </c>
      <c r="N199" s="14" t="n"/>
      <c r="O199" s="19">
        <f>IF($B199="","",ROUND(N($N199)+SUMIFS(资金日记账!$J$4:$J$2503,资金日记账!$G$4:$G$2503,$B199,资金日记账!$F$4:$F$2503,"收款-项目")-SUMIFS(资金日记账!$K$4:$K$2503,资金日记账!$G$4:$G$2503,$B199,资金日记账!$F$4:$F$2503,"收款-项目"),2))</f>
        <v/>
      </c>
      <c r="P199" s="19">
        <f>IF($B199="","",ROUND($M199-$O199,2))</f>
        <v/>
      </c>
      <c r="Q199" s="17">
        <f>IF($B199="","",IF(AND($J199&lt;&gt;"",ROUND($P199,2)&lt;=0),"已完工·已结清",IF($J199&lt;&gt;"","已完工·还有尾款",IF($I199&lt;&gt;"","已安装",IF($H199&lt;&gt;"","已制作",IF($G199&lt;&gt;"","设计完成","已下单"))))))</f>
        <v/>
      </c>
      <c r="R199" s="13" t="n"/>
      <c r="S199" s="17">
        <f>IF($B199="","",IF(COUNTIF($B$4:$B$403,$B199)&gt;1,"※项目名重复了",IF(AND($C199&lt;&gt;"",ISNA(MATCH($C199,客户表,0))),"※客户不在基础资料里",IF(AND($J199&lt;&gt;"",$F199&lt;&gt;"",$J199&lt;$F199),"※完工日期早于下单日期",""))))</f>
        <v/>
      </c>
    </row>
    <row r="200">
      <c r="A200" s="17">
        <f>IF($B200="","","P"&amp;TEXT(ROW()-3,"000"))</f>
        <v/>
      </c>
      <c r="B200" s="13" t="n"/>
      <c r="C200" s="13" t="n"/>
      <c r="D200" s="13" t="n"/>
      <c r="E200" s="13" t="n"/>
      <c r="F200" s="18" t="n"/>
      <c r="G200" s="18" t="n"/>
      <c r="H200" s="18" t="n"/>
      <c r="I200" s="18" t="n"/>
      <c r="J200" s="18" t="n"/>
      <c r="K200" s="14" t="n"/>
      <c r="L200" s="19">
        <f>IF($B200="","",ROUND(SUMIF(订单明细!$C:$C,$B200,订单明细!$I:$I),2))</f>
        <v/>
      </c>
      <c r="M200" s="19">
        <f>IF($B200="","",ROUND(N($K200)+N($L200),2))</f>
        <v/>
      </c>
      <c r="N200" s="14" t="n"/>
      <c r="O200" s="19">
        <f>IF($B200="","",ROUND(N($N200)+SUMIFS(资金日记账!$J$4:$J$2503,资金日记账!$G$4:$G$2503,$B200,资金日记账!$F$4:$F$2503,"收款-项目")-SUMIFS(资金日记账!$K$4:$K$2503,资金日记账!$G$4:$G$2503,$B200,资金日记账!$F$4:$F$2503,"收款-项目"),2))</f>
        <v/>
      </c>
      <c r="P200" s="19">
        <f>IF($B200="","",ROUND($M200-$O200,2))</f>
        <v/>
      </c>
      <c r="Q200" s="17">
        <f>IF($B200="","",IF(AND($J200&lt;&gt;"",ROUND($P200,2)&lt;=0),"已完工·已结清",IF($J200&lt;&gt;"","已完工·还有尾款",IF($I200&lt;&gt;"","已安装",IF($H200&lt;&gt;"","已制作",IF($G200&lt;&gt;"","设计完成","已下单"))))))</f>
        <v/>
      </c>
      <c r="R200" s="13" t="n"/>
      <c r="S200" s="17">
        <f>IF($B200="","",IF(COUNTIF($B$4:$B$403,$B200)&gt;1,"※项目名重复了",IF(AND($C200&lt;&gt;"",ISNA(MATCH($C200,客户表,0))),"※客户不在基础资料里",IF(AND($J200&lt;&gt;"",$F200&lt;&gt;"",$J200&lt;$F200),"※完工日期早于下单日期",""))))</f>
        <v/>
      </c>
    </row>
    <row r="201">
      <c r="A201" s="17">
        <f>IF($B201="","","P"&amp;TEXT(ROW()-3,"000"))</f>
        <v/>
      </c>
      <c r="B201" s="13" t="n"/>
      <c r="C201" s="13" t="n"/>
      <c r="D201" s="13" t="n"/>
      <c r="E201" s="13" t="n"/>
      <c r="F201" s="18" t="n"/>
      <c r="G201" s="18" t="n"/>
      <c r="H201" s="18" t="n"/>
      <c r="I201" s="18" t="n"/>
      <c r="J201" s="18" t="n"/>
      <c r="K201" s="14" t="n"/>
      <c r="L201" s="19">
        <f>IF($B201="","",ROUND(SUMIF(订单明细!$C:$C,$B201,订单明细!$I:$I),2))</f>
        <v/>
      </c>
      <c r="M201" s="19">
        <f>IF($B201="","",ROUND(N($K201)+N($L201),2))</f>
        <v/>
      </c>
      <c r="N201" s="14" t="n"/>
      <c r="O201" s="19">
        <f>IF($B201="","",ROUND(N($N201)+SUMIFS(资金日记账!$J$4:$J$2503,资金日记账!$G$4:$G$2503,$B201,资金日记账!$F$4:$F$2503,"收款-项目")-SUMIFS(资金日记账!$K$4:$K$2503,资金日记账!$G$4:$G$2503,$B201,资金日记账!$F$4:$F$2503,"收款-项目"),2))</f>
        <v/>
      </c>
      <c r="P201" s="19">
        <f>IF($B201="","",ROUND($M201-$O201,2))</f>
        <v/>
      </c>
      <c r="Q201" s="17">
        <f>IF($B201="","",IF(AND($J201&lt;&gt;"",ROUND($P201,2)&lt;=0),"已完工·已结清",IF($J201&lt;&gt;"","已完工·还有尾款",IF($I201&lt;&gt;"","已安装",IF($H201&lt;&gt;"","已制作",IF($G201&lt;&gt;"","设计完成","已下单"))))))</f>
        <v/>
      </c>
      <c r="R201" s="13" t="n"/>
      <c r="S201" s="17">
        <f>IF($B201="","",IF(COUNTIF($B$4:$B$403,$B201)&gt;1,"※项目名重复了",IF(AND($C201&lt;&gt;"",ISNA(MATCH($C201,客户表,0))),"※客户不在基础资料里",IF(AND($J201&lt;&gt;"",$F201&lt;&gt;"",$J201&lt;$F201),"※完工日期早于下单日期",""))))</f>
        <v/>
      </c>
    </row>
    <row r="202">
      <c r="A202" s="17">
        <f>IF($B202="","","P"&amp;TEXT(ROW()-3,"000"))</f>
        <v/>
      </c>
      <c r="B202" s="13" t="n"/>
      <c r="C202" s="13" t="n"/>
      <c r="D202" s="13" t="n"/>
      <c r="E202" s="13" t="n"/>
      <c r="F202" s="18" t="n"/>
      <c r="G202" s="18" t="n"/>
      <c r="H202" s="18" t="n"/>
      <c r="I202" s="18" t="n"/>
      <c r="J202" s="18" t="n"/>
      <c r="K202" s="14" t="n"/>
      <c r="L202" s="19">
        <f>IF($B202="","",ROUND(SUMIF(订单明细!$C:$C,$B202,订单明细!$I:$I),2))</f>
        <v/>
      </c>
      <c r="M202" s="19">
        <f>IF($B202="","",ROUND(N($K202)+N($L202),2))</f>
        <v/>
      </c>
      <c r="N202" s="14" t="n"/>
      <c r="O202" s="19">
        <f>IF($B202="","",ROUND(N($N202)+SUMIFS(资金日记账!$J$4:$J$2503,资金日记账!$G$4:$G$2503,$B202,资金日记账!$F$4:$F$2503,"收款-项目")-SUMIFS(资金日记账!$K$4:$K$2503,资金日记账!$G$4:$G$2503,$B202,资金日记账!$F$4:$F$2503,"收款-项目"),2))</f>
        <v/>
      </c>
      <c r="P202" s="19">
        <f>IF($B202="","",ROUND($M202-$O202,2))</f>
        <v/>
      </c>
      <c r="Q202" s="17">
        <f>IF($B202="","",IF(AND($J202&lt;&gt;"",ROUND($P202,2)&lt;=0),"已完工·已结清",IF($J202&lt;&gt;"","已完工·还有尾款",IF($I202&lt;&gt;"","已安装",IF($H202&lt;&gt;"","已制作",IF($G202&lt;&gt;"","设计完成","已下单"))))))</f>
        <v/>
      </c>
      <c r="R202" s="13" t="n"/>
      <c r="S202" s="17">
        <f>IF($B202="","",IF(COUNTIF($B$4:$B$403,$B202)&gt;1,"※项目名重复了",IF(AND($C202&lt;&gt;"",ISNA(MATCH($C202,客户表,0))),"※客户不在基础资料里",IF(AND($J202&lt;&gt;"",$F202&lt;&gt;"",$J202&lt;$F202),"※完工日期早于下单日期",""))))</f>
        <v/>
      </c>
    </row>
    <row r="203">
      <c r="A203" s="17">
        <f>IF($B203="","","P"&amp;TEXT(ROW()-3,"000"))</f>
        <v/>
      </c>
      <c r="B203" s="13" t="n"/>
      <c r="C203" s="13" t="n"/>
      <c r="D203" s="13" t="n"/>
      <c r="E203" s="13" t="n"/>
      <c r="F203" s="18" t="n"/>
      <c r="G203" s="18" t="n"/>
      <c r="H203" s="18" t="n"/>
      <c r="I203" s="18" t="n"/>
      <c r="J203" s="18" t="n"/>
      <c r="K203" s="14" t="n"/>
      <c r="L203" s="19">
        <f>IF($B203="","",ROUND(SUMIF(订单明细!$C:$C,$B203,订单明细!$I:$I),2))</f>
        <v/>
      </c>
      <c r="M203" s="19">
        <f>IF($B203="","",ROUND(N($K203)+N($L203),2))</f>
        <v/>
      </c>
      <c r="N203" s="14" t="n"/>
      <c r="O203" s="19">
        <f>IF($B203="","",ROUND(N($N203)+SUMIFS(资金日记账!$J$4:$J$2503,资金日记账!$G$4:$G$2503,$B203,资金日记账!$F$4:$F$2503,"收款-项目")-SUMIFS(资金日记账!$K$4:$K$2503,资金日记账!$G$4:$G$2503,$B203,资金日记账!$F$4:$F$2503,"收款-项目"),2))</f>
        <v/>
      </c>
      <c r="P203" s="19">
        <f>IF($B203="","",ROUND($M203-$O203,2))</f>
        <v/>
      </c>
      <c r="Q203" s="17">
        <f>IF($B203="","",IF(AND($J203&lt;&gt;"",ROUND($P203,2)&lt;=0),"已完工·已结清",IF($J203&lt;&gt;"","已完工·还有尾款",IF($I203&lt;&gt;"","已安装",IF($H203&lt;&gt;"","已制作",IF($G203&lt;&gt;"","设计完成","已下单"))))))</f>
        <v/>
      </c>
      <c r="R203" s="13" t="n"/>
      <c r="S203" s="17">
        <f>IF($B203="","",IF(COUNTIF($B$4:$B$403,$B203)&gt;1,"※项目名重复了",IF(AND($C203&lt;&gt;"",ISNA(MATCH($C203,客户表,0))),"※客户不在基础资料里",IF(AND($J203&lt;&gt;"",$F203&lt;&gt;"",$J203&lt;$F203),"※完工日期早于下单日期",""))))</f>
        <v/>
      </c>
    </row>
    <row r="204">
      <c r="A204" s="17">
        <f>IF($B204="","","P"&amp;TEXT(ROW()-3,"000"))</f>
        <v/>
      </c>
      <c r="B204" s="13" t="n"/>
      <c r="C204" s="13" t="n"/>
      <c r="D204" s="13" t="n"/>
      <c r="E204" s="13" t="n"/>
      <c r="F204" s="18" t="n"/>
      <c r="G204" s="18" t="n"/>
      <c r="H204" s="18" t="n"/>
      <c r="I204" s="18" t="n"/>
      <c r="J204" s="18" t="n"/>
      <c r="K204" s="14" t="n"/>
      <c r="L204" s="19">
        <f>IF($B204="","",ROUND(SUMIF(订单明细!$C:$C,$B204,订单明细!$I:$I),2))</f>
        <v/>
      </c>
      <c r="M204" s="19">
        <f>IF($B204="","",ROUND(N($K204)+N($L204),2))</f>
        <v/>
      </c>
      <c r="N204" s="14" t="n"/>
      <c r="O204" s="19">
        <f>IF($B204="","",ROUND(N($N204)+SUMIFS(资金日记账!$J$4:$J$2503,资金日记账!$G$4:$G$2503,$B204,资金日记账!$F$4:$F$2503,"收款-项目")-SUMIFS(资金日记账!$K$4:$K$2503,资金日记账!$G$4:$G$2503,$B204,资金日记账!$F$4:$F$2503,"收款-项目"),2))</f>
        <v/>
      </c>
      <c r="P204" s="19">
        <f>IF($B204="","",ROUND($M204-$O204,2))</f>
        <v/>
      </c>
      <c r="Q204" s="17">
        <f>IF($B204="","",IF(AND($J204&lt;&gt;"",ROUND($P204,2)&lt;=0),"已完工·已结清",IF($J204&lt;&gt;"","已完工·还有尾款",IF($I204&lt;&gt;"","已安装",IF($H204&lt;&gt;"","已制作",IF($G204&lt;&gt;"","设计完成","已下单"))))))</f>
        <v/>
      </c>
      <c r="R204" s="13" t="n"/>
      <c r="S204" s="17">
        <f>IF($B204="","",IF(COUNTIF($B$4:$B$403,$B204)&gt;1,"※项目名重复了",IF(AND($C204&lt;&gt;"",ISNA(MATCH($C204,客户表,0))),"※客户不在基础资料里",IF(AND($J204&lt;&gt;"",$F204&lt;&gt;"",$J204&lt;$F204),"※完工日期早于下单日期",""))))</f>
        <v/>
      </c>
    </row>
    <row r="205">
      <c r="A205" s="17">
        <f>IF($B205="","","P"&amp;TEXT(ROW()-3,"000"))</f>
        <v/>
      </c>
      <c r="B205" s="13" t="n"/>
      <c r="C205" s="13" t="n"/>
      <c r="D205" s="13" t="n"/>
      <c r="E205" s="13" t="n"/>
      <c r="F205" s="18" t="n"/>
      <c r="G205" s="18" t="n"/>
      <c r="H205" s="18" t="n"/>
      <c r="I205" s="18" t="n"/>
      <c r="J205" s="18" t="n"/>
      <c r="K205" s="14" t="n"/>
      <c r="L205" s="19">
        <f>IF($B205="","",ROUND(SUMIF(订单明细!$C:$C,$B205,订单明细!$I:$I),2))</f>
        <v/>
      </c>
      <c r="M205" s="19">
        <f>IF($B205="","",ROUND(N($K205)+N($L205),2))</f>
        <v/>
      </c>
      <c r="N205" s="14" t="n"/>
      <c r="O205" s="19">
        <f>IF($B205="","",ROUND(N($N205)+SUMIFS(资金日记账!$J$4:$J$2503,资金日记账!$G$4:$G$2503,$B205,资金日记账!$F$4:$F$2503,"收款-项目")-SUMIFS(资金日记账!$K$4:$K$2503,资金日记账!$G$4:$G$2503,$B205,资金日记账!$F$4:$F$2503,"收款-项目"),2))</f>
        <v/>
      </c>
      <c r="P205" s="19">
        <f>IF($B205="","",ROUND($M205-$O205,2))</f>
        <v/>
      </c>
      <c r="Q205" s="17">
        <f>IF($B205="","",IF(AND($J205&lt;&gt;"",ROUND($P205,2)&lt;=0),"已完工·已结清",IF($J205&lt;&gt;"","已完工·还有尾款",IF($I205&lt;&gt;"","已安装",IF($H205&lt;&gt;"","已制作",IF($G205&lt;&gt;"","设计完成","已下单"))))))</f>
        <v/>
      </c>
      <c r="R205" s="13" t="n"/>
      <c r="S205" s="17">
        <f>IF($B205="","",IF(COUNTIF($B$4:$B$403,$B205)&gt;1,"※项目名重复了",IF(AND($C205&lt;&gt;"",ISNA(MATCH($C205,客户表,0))),"※客户不在基础资料里",IF(AND($J205&lt;&gt;"",$F205&lt;&gt;"",$J205&lt;$F205),"※完工日期早于下单日期",""))))</f>
        <v/>
      </c>
    </row>
    <row r="206">
      <c r="A206" s="17">
        <f>IF($B206="","","P"&amp;TEXT(ROW()-3,"000"))</f>
        <v/>
      </c>
      <c r="B206" s="13" t="n"/>
      <c r="C206" s="13" t="n"/>
      <c r="D206" s="13" t="n"/>
      <c r="E206" s="13" t="n"/>
      <c r="F206" s="18" t="n"/>
      <c r="G206" s="18" t="n"/>
      <c r="H206" s="18" t="n"/>
      <c r="I206" s="18" t="n"/>
      <c r="J206" s="18" t="n"/>
      <c r="K206" s="14" t="n"/>
      <c r="L206" s="19">
        <f>IF($B206="","",ROUND(SUMIF(订单明细!$C:$C,$B206,订单明细!$I:$I),2))</f>
        <v/>
      </c>
      <c r="M206" s="19">
        <f>IF($B206="","",ROUND(N($K206)+N($L206),2))</f>
        <v/>
      </c>
      <c r="N206" s="14" t="n"/>
      <c r="O206" s="19">
        <f>IF($B206="","",ROUND(N($N206)+SUMIFS(资金日记账!$J$4:$J$2503,资金日记账!$G$4:$G$2503,$B206,资金日记账!$F$4:$F$2503,"收款-项目")-SUMIFS(资金日记账!$K$4:$K$2503,资金日记账!$G$4:$G$2503,$B206,资金日记账!$F$4:$F$2503,"收款-项目"),2))</f>
        <v/>
      </c>
      <c r="P206" s="19">
        <f>IF($B206="","",ROUND($M206-$O206,2))</f>
        <v/>
      </c>
      <c r="Q206" s="17">
        <f>IF($B206="","",IF(AND($J206&lt;&gt;"",ROUND($P206,2)&lt;=0),"已完工·已结清",IF($J206&lt;&gt;"","已完工·还有尾款",IF($I206&lt;&gt;"","已安装",IF($H206&lt;&gt;"","已制作",IF($G206&lt;&gt;"","设计完成","已下单"))))))</f>
        <v/>
      </c>
      <c r="R206" s="13" t="n"/>
      <c r="S206" s="17">
        <f>IF($B206="","",IF(COUNTIF($B$4:$B$403,$B206)&gt;1,"※项目名重复了",IF(AND($C206&lt;&gt;"",ISNA(MATCH($C206,客户表,0))),"※客户不在基础资料里",IF(AND($J206&lt;&gt;"",$F206&lt;&gt;"",$J206&lt;$F206),"※完工日期早于下单日期",""))))</f>
        <v/>
      </c>
    </row>
    <row r="207">
      <c r="A207" s="17">
        <f>IF($B207="","","P"&amp;TEXT(ROW()-3,"000"))</f>
        <v/>
      </c>
      <c r="B207" s="13" t="n"/>
      <c r="C207" s="13" t="n"/>
      <c r="D207" s="13" t="n"/>
      <c r="E207" s="13" t="n"/>
      <c r="F207" s="18" t="n"/>
      <c r="G207" s="18" t="n"/>
      <c r="H207" s="18" t="n"/>
      <c r="I207" s="18" t="n"/>
      <c r="J207" s="18" t="n"/>
      <c r="K207" s="14" t="n"/>
      <c r="L207" s="19">
        <f>IF($B207="","",ROUND(SUMIF(订单明细!$C:$C,$B207,订单明细!$I:$I),2))</f>
        <v/>
      </c>
      <c r="M207" s="19">
        <f>IF($B207="","",ROUND(N($K207)+N($L207),2))</f>
        <v/>
      </c>
      <c r="N207" s="14" t="n"/>
      <c r="O207" s="19">
        <f>IF($B207="","",ROUND(N($N207)+SUMIFS(资金日记账!$J$4:$J$2503,资金日记账!$G$4:$G$2503,$B207,资金日记账!$F$4:$F$2503,"收款-项目")-SUMIFS(资金日记账!$K$4:$K$2503,资金日记账!$G$4:$G$2503,$B207,资金日记账!$F$4:$F$2503,"收款-项目"),2))</f>
        <v/>
      </c>
      <c r="P207" s="19">
        <f>IF($B207="","",ROUND($M207-$O207,2))</f>
        <v/>
      </c>
      <c r="Q207" s="17">
        <f>IF($B207="","",IF(AND($J207&lt;&gt;"",ROUND($P207,2)&lt;=0),"已完工·已结清",IF($J207&lt;&gt;"","已完工·还有尾款",IF($I207&lt;&gt;"","已安装",IF($H207&lt;&gt;"","已制作",IF($G207&lt;&gt;"","设计完成","已下单"))))))</f>
        <v/>
      </c>
      <c r="R207" s="13" t="n"/>
      <c r="S207" s="17">
        <f>IF($B207="","",IF(COUNTIF($B$4:$B$403,$B207)&gt;1,"※项目名重复了",IF(AND($C207&lt;&gt;"",ISNA(MATCH($C207,客户表,0))),"※客户不在基础资料里",IF(AND($J207&lt;&gt;"",$F207&lt;&gt;"",$J207&lt;$F207),"※完工日期早于下单日期",""))))</f>
        <v/>
      </c>
    </row>
    <row r="208">
      <c r="A208" s="17">
        <f>IF($B208="","","P"&amp;TEXT(ROW()-3,"000"))</f>
        <v/>
      </c>
      <c r="B208" s="13" t="n"/>
      <c r="C208" s="13" t="n"/>
      <c r="D208" s="13" t="n"/>
      <c r="E208" s="13" t="n"/>
      <c r="F208" s="18" t="n"/>
      <c r="G208" s="18" t="n"/>
      <c r="H208" s="18" t="n"/>
      <c r="I208" s="18" t="n"/>
      <c r="J208" s="18" t="n"/>
      <c r="K208" s="14" t="n"/>
      <c r="L208" s="19">
        <f>IF($B208="","",ROUND(SUMIF(订单明细!$C:$C,$B208,订单明细!$I:$I),2))</f>
        <v/>
      </c>
      <c r="M208" s="19">
        <f>IF($B208="","",ROUND(N($K208)+N($L208),2))</f>
        <v/>
      </c>
      <c r="N208" s="14" t="n"/>
      <c r="O208" s="19">
        <f>IF($B208="","",ROUND(N($N208)+SUMIFS(资金日记账!$J$4:$J$2503,资金日记账!$G$4:$G$2503,$B208,资金日记账!$F$4:$F$2503,"收款-项目")-SUMIFS(资金日记账!$K$4:$K$2503,资金日记账!$G$4:$G$2503,$B208,资金日记账!$F$4:$F$2503,"收款-项目"),2))</f>
        <v/>
      </c>
      <c r="P208" s="19">
        <f>IF($B208="","",ROUND($M208-$O208,2))</f>
        <v/>
      </c>
      <c r="Q208" s="17">
        <f>IF($B208="","",IF(AND($J208&lt;&gt;"",ROUND($P208,2)&lt;=0),"已完工·已结清",IF($J208&lt;&gt;"","已完工·还有尾款",IF($I208&lt;&gt;"","已安装",IF($H208&lt;&gt;"","已制作",IF($G208&lt;&gt;"","设计完成","已下单"))))))</f>
        <v/>
      </c>
      <c r="R208" s="13" t="n"/>
      <c r="S208" s="17">
        <f>IF($B208="","",IF(COUNTIF($B$4:$B$403,$B208)&gt;1,"※项目名重复了",IF(AND($C208&lt;&gt;"",ISNA(MATCH($C208,客户表,0))),"※客户不在基础资料里",IF(AND($J208&lt;&gt;"",$F208&lt;&gt;"",$J208&lt;$F208),"※完工日期早于下单日期",""))))</f>
        <v/>
      </c>
    </row>
    <row r="209">
      <c r="A209" s="17">
        <f>IF($B209="","","P"&amp;TEXT(ROW()-3,"000"))</f>
        <v/>
      </c>
      <c r="B209" s="13" t="n"/>
      <c r="C209" s="13" t="n"/>
      <c r="D209" s="13" t="n"/>
      <c r="E209" s="13" t="n"/>
      <c r="F209" s="18" t="n"/>
      <c r="G209" s="18" t="n"/>
      <c r="H209" s="18" t="n"/>
      <c r="I209" s="18" t="n"/>
      <c r="J209" s="18" t="n"/>
      <c r="K209" s="14" t="n"/>
      <c r="L209" s="19">
        <f>IF($B209="","",ROUND(SUMIF(订单明细!$C:$C,$B209,订单明细!$I:$I),2))</f>
        <v/>
      </c>
      <c r="M209" s="19">
        <f>IF($B209="","",ROUND(N($K209)+N($L209),2))</f>
        <v/>
      </c>
      <c r="N209" s="14" t="n"/>
      <c r="O209" s="19">
        <f>IF($B209="","",ROUND(N($N209)+SUMIFS(资金日记账!$J$4:$J$2503,资金日记账!$G$4:$G$2503,$B209,资金日记账!$F$4:$F$2503,"收款-项目")-SUMIFS(资金日记账!$K$4:$K$2503,资金日记账!$G$4:$G$2503,$B209,资金日记账!$F$4:$F$2503,"收款-项目"),2))</f>
        <v/>
      </c>
      <c r="P209" s="19">
        <f>IF($B209="","",ROUND($M209-$O209,2))</f>
        <v/>
      </c>
      <c r="Q209" s="17">
        <f>IF($B209="","",IF(AND($J209&lt;&gt;"",ROUND($P209,2)&lt;=0),"已完工·已结清",IF($J209&lt;&gt;"","已完工·还有尾款",IF($I209&lt;&gt;"","已安装",IF($H209&lt;&gt;"","已制作",IF($G209&lt;&gt;"","设计完成","已下单"))))))</f>
        <v/>
      </c>
      <c r="R209" s="13" t="n"/>
      <c r="S209" s="17">
        <f>IF($B209="","",IF(COUNTIF($B$4:$B$403,$B209)&gt;1,"※项目名重复了",IF(AND($C209&lt;&gt;"",ISNA(MATCH($C209,客户表,0))),"※客户不在基础资料里",IF(AND($J209&lt;&gt;"",$F209&lt;&gt;"",$J209&lt;$F209),"※完工日期早于下单日期",""))))</f>
        <v/>
      </c>
    </row>
    <row r="210">
      <c r="A210" s="17">
        <f>IF($B210="","","P"&amp;TEXT(ROW()-3,"000"))</f>
        <v/>
      </c>
      <c r="B210" s="13" t="n"/>
      <c r="C210" s="13" t="n"/>
      <c r="D210" s="13" t="n"/>
      <c r="E210" s="13" t="n"/>
      <c r="F210" s="18" t="n"/>
      <c r="G210" s="18" t="n"/>
      <c r="H210" s="18" t="n"/>
      <c r="I210" s="18" t="n"/>
      <c r="J210" s="18" t="n"/>
      <c r="K210" s="14" t="n"/>
      <c r="L210" s="19">
        <f>IF($B210="","",ROUND(SUMIF(订单明细!$C:$C,$B210,订单明细!$I:$I),2))</f>
        <v/>
      </c>
      <c r="M210" s="19">
        <f>IF($B210="","",ROUND(N($K210)+N($L210),2))</f>
        <v/>
      </c>
      <c r="N210" s="14" t="n"/>
      <c r="O210" s="19">
        <f>IF($B210="","",ROUND(N($N210)+SUMIFS(资金日记账!$J$4:$J$2503,资金日记账!$G$4:$G$2503,$B210,资金日记账!$F$4:$F$2503,"收款-项目")-SUMIFS(资金日记账!$K$4:$K$2503,资金日记账!$G$4:$G$2503,$B210,资金日记账!$F$4:$F$2503,"收款-项目"),2))</f>
        <v/>
      </c>
      <c r="P210" s="19">
        <f>IF($B210="","",ROUND($M210-$O210,2))</f>
        <v/>
      </c>
      <c r="Q210" s="17">
        <f>IF($B210="","",IF(AND($J210&lt;&gt;"",ROUND($P210,2)&lt;=0),"已完工·已结清",IF($J210&lt;&gt;"","已完工·还有尾款",IF($I210&lt;&gt;"","已安装",IF($H210&lt;&gt;"","已制作",IF($G210&lt;&gt;"","设计完成","已下单"))))))</f>
        <v/>
      </c>
      <c r="R210" s="13" t="n"/>
      <c r="S210" s="17">
        <f>IF($B210="","",IF(COUNTIF($B$4:$B$403,$B210)&gt;1,"※项目名重复了",IF(AND($C210&lt;&gt;"",ISNA(MATCH($C210,客户表,0))),"※客户不在基础资料里",IF(AND($J210&lt;&gt;"",$F210&lt;&gt;"",$J210&lt;$F210),"※完工日期早于下单日期",""))))</f>
        <v/>
      </c>
    </row>
    <row r="211">
      <c r="A211" s="17">
        <f>IF($B211="","","P"&amp;TEXT(ROW()-3,"000"))</f>
        <v/>
      </c>
      <c r="B211" s="13" t="n"/>
      <c r="C211" s="13" t="n"/>
      <c r="D211" s="13" t="n"/>
      <c r="E211" s="13" t="n"/>
      <c r="F211" s="18" t="n"/>
      <c r="G211" s="18" t="n"/>
      <c r="H211" s="18" t="n"/>
      <c r="I211" s="18" t="n"/>
      <c r="J211" s="18" t="n"/>
      <c r="K211" s="14" t="n"/>
      <c r="L211" s="19">
        <f>IF($B211="","",ROUND(SUMIF(订单明细!$C:$C,$B211,订单明细!$I:$I),2))</f>
        <v/>
      </c>
      <c r="M211" s="19">
        <f>IF($B211="","",ROUND(N($K211)+N($L211),2))</f>
        <v/>
      </c>
      <c r="N211" s="14" t="n"/>
      <c r="O211" s="19">
        <f>IF($B211="","",ROUND(N($N211)+SUMIFS(资金日记账!$J$4:$J$2503,资金日记账!$G$4:$G$2503,$B211,资金日记账!$F$4:$F$2503,"收款-项目")-SUMIFS(资金日记账!$K$4:$K$2503,资金日记账!$G$4:$G$2503,$B211,资金日记账!$F$4:$F$2503,"收款-项目"),2))</f>
        <v/>
      </c>
      <c r="P211" s="19">
        <f>IF($B211="","",ROUND($M211-$O211,2))</f>
        <v/>
      </c>
      <c r="Q211" s="17">
        <f>IF($B211="","",IF(AND($J211&lt;&gt;"",ROUND($P211,2)&lt;=0),"已完工·已结清",IF($J211&lt;&gt;"","已完工·还有尾款",IF($I211&lt;&gt;"","已安装",IF($H211&lt;&gt;"","已制作",IF($G211&lt;&gt;"","设计完成","已下单"))))))</f>
        <v/>
      </c>
      <c r="R211" s="13" t="n"/>
      <c r="S211" s="17">
        <f>IF($B211="","",IF(COUNTIF($B$4:$B$403,$B211)&gt;1,"※项目名重复了",IF(AND($C211&lt;&gt;"",ISNA(MATCH($C211,客户表,0))),"※客户不在基础资料里",IF(AND($J211&lt;&gt;"",$F211&lt;&gt;"",$J211&lt;$F211),"※完工日期早于下单日期",""))))</f>
        <v/>
      </c>
    </row>
    <row r="212">
      <c r="A212" s="17">
        <f>IF($B212="","","P"&amp;TEXT(ROW()-3,"000"))</f>
        <v/>
      </c>
      <c r="B212" s="13" t="n"/>
      <c r="C212" s="13" t="n"/>
      <c r="D212" s="13" t="n"/>
      <c r="E212" s="13" t="n"/>
      <c r="F212" s="18" t="n"/>
      <c r="G212" s="18" t="n"/>
      <c r="H212" s="18" t="n"/>
      <c r="I212" s="18" t="n"/>
      <c r="J212" s="18" t="n"/>
      <c r="K212" s="14" t="n"/>
      <c r="L212" s="19">
        <f>IF($B212="","",ROUND(SUMIF(订单明细!$C:$C,$B212,订单明细!$I:$I),2))</f>
        <v/>
      </c>
      <c r="M212" s="19">
        <f>IF($B212="","",ROUND(N($K212)+N($L212),2))</f>
        <v/>
      </c>
      <c r="N212" s="14" t="n"/>
      <c r="O212" s="19">
        <f>IF($B212="","",ROUND(N($N212)+SUMIFS(资金日记账!$J$4:$J$2503,资金日记账!$G$4:$G$2503,$B212,资金日记账!$F$4:$F$2503,"收款-项目")-SUMIFS(资金日记账!$K$4:$K$2503,资金日记账!$G$4:$G$2503,$B212,资金日记账!$F$4:$F$2503,"收款-项目"),2))</f>
        <v/>
      </c>
      <c r="P212" s="19">
        <f>IF($B212="","",ROUND($M212-$O212,2))</f>
        <v/>
      </c>
      <c r="Q212" s="17">
        <f>IF($B212="","",IF(AND($J212&lt;&gt;"",ROUND($P212,2)&lt;=0),"已完工·已结清",IF($J212&lt;&gt;"","已完工·还有尾款",IF($I212&lt;&gt;"","已安装",IF($H212&lt;&gt;"","已制作",IF($G212&lt;&gt;"","设计完成","已下单"))))))</f>
        <v/>
      </c>
      <c r="R212" s="13" t="n"/>
      <c r="S212" s="17">
        <f>IF($B212="","",IF(COUNTIF($B$4:$B$403,$B212)&gt;1,"※项目名重复了",IF(AND($C212&lt;&gt;"",ISNA(MATCH($C212,客户表,0))),"※客户不在基础资料里",IF(AND($J212&lt;&gt;"",$F212&lt;&gt;"",$J212&lt;$F212),"※完工日期早于下单日期",""))))</f>
        <v/>
      </c>
    </row>
    <row r="213">
      <c r="A213" s="17">
        <f>IF($B213="","","P"&amp;TEXT(ROW()-3,"000"))</f>
        <v/>
      </c>
      <c r="B213" s="13" t="n"/>
      <c r="C213" s="13" t="n"/>
      <c r="D213" s="13" t="n"/>
      <c r="E213" s="13" t="n"/>
      <c r="F213" s="18" t="n"/>
      <c r="G213" s="18" t="n"/>
      <c r="H213" s="18" t="n"/>
      <c r="I213" s="18" t="n"/>
      <c r="J213" s="18" t="n"/>
      <c r="K213" s="14" t="n"/>
      <c r="L213" s="19">
        <f>IF($B213="","",ROUND(SUMIF(订单明细!$C:$C,$B213,订单明细!$I:$I),2))</f>
        <v/>
      </c>
      <c r="M213" s="19">
        <f>IF($B213="","",ROUND(N($K213)+N($L213),2))</f>
        <v/>
      </c>
      <c r="N213" s="14" t="n"/>
      <c r="O213" s="19">
        <f>IF($B213="","",ROUND(N($N213)+SUMIFS(资金日记账!$J$4:$J$2503,资金日记账!$G$4:$G$2503,$B213,资金日记账!$F$4:$F$2503,"收款-项目")-SUMIFS(资金日记账!$K$4:$K$2503,资金日记账!$G$4:$G$2503,$B213,资金日记账!$F$4:$F$2503,"收款-项目"),2))</f>
        <v/>
      </c>
      <c r="P213" s="19">
        <f>IF($B213="","",ROUND($M213-$O213,2))</f>
        <v/>
      </c>
      <c r="Q213" s="17">
        <f>IF($B213="","",IF(AND($J213&lt;&gt;"",ROUND($P213,2)&lt;=0),"已完工·已结清",IF($J213&lt;&gt;"","已完工·还有尾款",IF($I213&lt;&gt;"","已安装",IF($H213&lt;&gt;"","已制作",IF($G213&lt;&gt;"","设计完成","已下单"))))))</f>
        <v/>
      </c>
      <c r="R213" s="13" t="n"/>
      <c r="S213" s="17">
        <f>IF($B213="","",IF(COUNTIF($B$4:$B$403,$B213)&gt;1,"※项目名重复了",IF(AND($C213&lt;&gt;"",ISNA(MATCH($C213,客户表,0))),"※客户不在基础资料里",IF(AND($J213&lt;&gt;"",$F213&lt;&gt;"",$J213&lt;$F213),"※完工日期早于下单日期",""))))</f>
        <v/>
      </c>
    </row>
    <row r="214">
      <c r="A214" s="17">
        <f>IF($B214="","","P"&amp;TEXT(ROW()-3,"000"))</f>
        <v/>
      </c>
      <c r="B214" s="13" t="n"/>
      <c r="C214" s="13" t="n"/>
      <c r="D214" s="13" t="n"/>
      <c r="E214" s="13" t="n"/>
      <c r="F214" s="18" t="n"/>
      <c r="G214" s="18" t="n"/>
      <c r="H214" s="18" t="n"/>
      <c r="I214" s="18" t="n"/>
      <c r="J214" s="18" t="n"/>
      <c r="K214" s="14" t="n"/>
      <c r="L214" s="19">
        <f>IF($B214="","",ROUND(SUMIF(订单明细!$C:$C,$B214,订单明细!$I:$I),2))</f>
        <v/>
      </c>
      <c r="M214" s="19">
        <f>IF($B214="","",ROUND(N($K214)+N($L214),2))</f>
        <v/>
      </c>
      <c r="N214" s="14" t="n"/>
      <c r="O214" s="19">
        <f>IF($B214="","",ROUND(N($N214)+SUMIFS(资金日记账!$J$4:$J$2503,资金日记账!$G$4:$G$2503,$B214,资金日记账!$F$4:$F$2503,"收款-项目")-SUMIFS(资金日记账!$K$4:$K$2503,资金日记账!$G$4:$G$2503,$B214,资金日记账!$F$4:$F$2503,"收款-项目"),2))</f>
        <v/>
      </c>
      <c r="P214" s="19">
        <f>IF($B214="","",ROUND($M214-$O214,2))</f>
        <v/>
      </c>
      <c r="Q214" s="17">
        <f>IF($B214="","",IF(AND($J214&lt;&gt;"",ROUND($P214,2)&lt;=0),"已完工·已结清",IF($J214&lt;&gt;"","已完工·还有尾款",IF($I214&lt;&gt;"","已安装",IF($H214&lt;&gt;"","已制作",IF($G214&lt;&gt;"","设计完成","已下单"))))))</f>
        <v/>
      </c>
      <c r="R214" s="13" t="n"/>
      <c r="S214" s="17">
        <f>IF($B214="","",IF(COUNTIF($B$4:$B$403,$B214)&gt;1,"※项目名重复了",IF(AND($C214&lt;&gt;"",ISNA(MATCH($C214,客户表,0))),"※客户不在基础资料里",IF(AND($J214&lt;&gt;"",$F214&lt;&gt;"",$J214&lt;$F214),"※完工日期早于下单日期",""))))</f>
        <v/>
      </c>
    </row>
    <row r="215">
      <c r="A215" s="17">
        <f>IF($B215="","","P"&amp;TEXT(ROW()-3,"000"))</f>
        <v/>
      </c>
      <c r="B215" s="13" t="n"/>
      <c r="C215" s="13" t="n"/>
      <c r="D215" s="13" t="n"/>
      <c r="E215" s="13" t="n"/>
      <c r="F215" s="18" t="n"/>
      <c r="G215" s="18" t="n"/>
      <c r="H215" s="18" t="n"/>
      <c r="I215" s="18" t="n"/>
      <c r="J215" s="18" t="n"/>
      <c r="K215" s="14" t="n"/>
      <c r="L215" s="19">
        <f>IF($B215="","",ROUND(SUMIF(订单明细!$C:$C,$B215,订单明细!$I:$I),2))</f>
        <v/>
      </c>
      <c r="M215" s="19">
        <f>IF($B215="","",ROUND(N($K215)+N($L215),2))</f>
        <v/>
      </c>
      <c r="N215" s="14" t="n"/>
      <c r="O215" s="19">
        <f>IF($B215="","",ROUND(N($N215)+SUMIFS(资金日记账!$J$4:$J$2503,资金日记账!$G$4:$G$2503,$B215,资金日记账!$F$4:$F$2503,"收款-项目")-SUMIFS(资金日记账!$K$4:$K$2503,资金日记账!$G$4:$G$2503,$B215,资金日记账!$F$4:$F$2503,"收款-项目"),2))</f>
        <v/>
      </c>
      <c r="P215" s="19">
        <f>IF($B215="","",ROUND($M215-$O215,2))</f>
        <v/>
      </c>
      <c r="Q215" s="17">
        <f>IF($B215="","",IF(AND($J215&lt;&gt;"",ROUND($P215,2)&lt;=0),"已完工·已结清",IF($J215&lt;&gt;"","已完工·还有尾款",IF($I215&lt;&gt;"","已安装",IF($H215&lt;&gt;"","已制作",IF($G215&lt;&gt;"","设计完成","已下单"))))))</f>
        <v/>
      </c>
      <c r="R215" s="13" t="n"/>
      <c r="S215" s="17">
        <f>IF($B215="","",IF(COUNTIF($B$4:$B$403,$B215)&gt;1,"※项目名重复了",IF(AND($C215&lt;&gt;"",ISNA(MATCH($C215,客户表,0))),"※客户不在基础资料里",IF(AND($J215&lt;&gt;"",$F215&lt;&gt;"",$J215&lt;$F215),"※完工日期早于下单日期",""))))</f>
        <v/>
      </c>
    </row>
    <row r="216">
      <c r="A216" s="17">
        <f>IF($B216="","","P"&amp;TEXT(ROW()-3,"000"))</f>
        <v/>
      </c>
      <c r="B216" s="13" t="n"/>
      <c r="C216" s="13" t="n"/>
      <c r="D216" s="13" t="n"/>
      <c r="E216" s="13" t="n"/>
      <c r="F216" s="18" t="n"/>
      <c r="G216" s="18" t="n"/>
      <c r="H216" s="18" t="n"/>
      <c r="I216" s="18" t="n"/>
      <c r="J216" s="18" t="n"/>
      <c r="K216" s="14" t="n"/>
      <c r="L216" s="19">
        <f>IF($B216="","",ROUND(SUMIF(订单明细!$C:$C,$B216,订单明细!$I:$I),2))</f>
        <v/>
      </c>
      <c r="M216" s="19">
        <f>IF($B216="","",ROUND(N($K216)+N($L216),2))</f>
        <v/>
      </c>
      <c r="N216" s="14" t="n"/>
      <c r="O216" s="19">
        <f>IF($B216="","",ROUND(N($N216)+SUMIFS(资金日记账!$J$4:$J$2503,资金日记账!$G$4:$G$2503,$B216,资金日记账!$F$4:$F$2503,"收款-项目")-SUMIFS(资金日记账!$K$4:$K$2503,资金日记账!$G$4:$G$2503,$B216,资金日记账!$F$4:$F$2503,"收款-项目"),2))</f>
        <v/>
      </c>
      <c r="P216" s="19">
        <f>IF($B216="","",ROUND($M216-$O216,2))</f>
        <v/>
      </c>
      <c r="Q216" s="17">
        <f>IF($B216="","",IF(AND($J216&lt;&gt;"",ROUND($P216,2)&lt;=0),"已完工·已结清",IF($J216&lt;&gt;"","已完工·还有尾款",IF($I216&lt;&gt;"","已安装",IF($H216&lt;&gt;"","已制作",IF($G216&lt;&gt;"","设计完成","已下单"))))))</f>
        <v/>
      </c>
      <c r="R216" s="13" t="n"/>
      <c r="S216" s="17">
        <f>IF($B216="","",IF(COUNTIF($B$4:$B$403,$B216)&gt;1,"※项目名重复了",IF(AND($C216&lt;&gt;"",ISNA(MATCH($C216,客户表,0))),"※客户不在基础资料里",IF(AND($J216&lt;&gt;"",$F216&lt;&gt;"",$J216&lt;$F216),"※完工日期早于下单日期",""))))</f>
        <v/>
      </c>
    </row>
    <row r="217">
      <c r="A217" s="17">
        <f>IF($B217="","","P"&amp;TEXT(ROW()-3,"000"))</f>
        <v/>
      </c>
      <c r="B217" s="13" t="n"/>
      <c r="C217" s="13" t="n"/>
      <c r="D217" s="13" t="n"/>
      <c r="E217" s="13" t="n"/>
      <c r="F217" s="18" t="n"/>
      <c r="G217" s="18" t="n"/>
      <c r="H217" s="18" t="n"/>
      <c r="I217" s="18" t="n"/>
      <c r="J217" s="18" t="n"/>
      <c r="K217" s="14" t="n"/>
      <c r="L217" s="19">
        <f>IF($B217="","",ROUND(SUMIF(订单明细!$C:$C,$B217,订单明细!$I:$I),2))</f>
        <v/>
      </c>
      <c r="M217" s="19">
        <f>IF($B217="","",ROUND(N($K217)+N($L217),2))</f>
        <v/>
      </c>
      <c r="N217" s="14" t="n"/>
      <c r="O217" s="19">
        <f>IF($B217="","",ROUND(N($N217)+SUMIFS(资金日记账!$J$4:$J$2503,资金日记账!$G$4:$G$2503,$B217,资金日记账!$F$4:$F$2503,"收款-项目")-SUMIFS(资金日记账!$K$4:$K$2503,资金日记账!$G$4:$G$2503,$B217,资金日记账!$F$4:$F$2503,"收款-项目"),2))</f>
        <v/>
      </c>
      <c r="P217" s="19">
        <f>IF($B217="","",ROUND($M217-$O217,2))</f>
        <v/>
      </c>
      <c r="Q217" s="17">
        <f>IF($B217="","",IF(AND($J217&lt;&gt;"",ROUND($P217,2)&lt;=0),"已完工·已结清",IF($J217&lt;&gt;"","已完工·还有尾款",IF($I217&lt;&gt;"","已安装",IF($H217&lt;&gt;"","已制作",IF($G217&lt;&gt;"","设计完成","已下单"))))))</f>
        <v/>
      </c>
      <c r="R217" s="13" t="n"/>
      <c r="S217" s="17">
        <f>IF($B217="","",IF(COUNTIF($B$4:$B$403,$B217)&gt;1,"※项目名重复了",IF(AND($C217&lt;&gt;"",ISNA(MATCH($C217,客户表,0))),"※客户不在基础资料里",IF(AND($J217&lt;&gt;"",$F217&lt;&gt;"",$J217&lt;$F217),"※完工日期早于下单日期",""))))</f>
        <v/>
      </c>
    </row>
    <row r="218">
      <c r="A218" s="17">
        <f>IF($B218="","","P"&amp;TEXT(ROW()-3,"000"))</f>
        <v/>
      </c>
      <c r="B218" s="13" t="n"/>
      <c r="C218" s="13" t="n"/>
      <c r="D218" s="13" t="n"/>
      <c r="E218" s="13" t="n"/>
      <c r="F218" s="18" t="n"/>
      <c r="G218" s="18" t="n"/>
      <c r="H218" s="18" t="n"/>
      <c r="I218" s="18" t="n"/>
      <c r="J218" s="18" t="n"/>
      <c r="K218" s="14" t="n"/>
      <c r="L218" s="19">
        <f>IF($B218="","",ROUND(SUMIF(订单明细!$C:$C,$B218,订单明细!$I:$I),2))</f>
        <v/>
      </c>
      <c r="M218" s="19">
        <f>IF($B218="","",ROUND(N($K218)+N($L218),2))</f>
        <v/>
      </c>
      <c r="N218" s="14" t="n"/>
      <c r="O218" s="19">
        <f>IF($B218="","",ROUND(N($N218)+SUMIFS(资金日记账!$J$4:$J$2503,资金日记账!$G$4:$G$2503,$B218,资金日记账!$F$4:$F$2503,"收款-项目")-SUMIFS(资金日记账!$K$4:$K$2503,资金日记账!$G$4:$G$2503,$B218,资金日记账!$F$4:$F$2503,"收款-项目"),2))</f>
        <v/>
      </c>
      <c r="P218" s="19">
        <f>IF($B218="","",ROUND($M218-$O218,2))</f>
        <v/>
      </c>
      <c r="Q218" s="17">
        <f>IF($B218="","",IF(AND($J218&lt;&gt;"",ROUND($P218,2)&lt;=0),"已完工·已结清",IF($J218&lt;&gt;"","已完工·还有尾款",IF($I218&lt;&gt;"","已安装",IF($H218&lt;&gt;"","已制作",IF($G218&lt;&gt;"","设计完成","已下单"))))))</f>
        <v/>
      </c>
      <c r="R218" s="13" t="n"/>
      <c r="S218" s="17">
        <f>IF($B218="","",IF(COUNTIF($B$4:$B$403,$B218)&gt;1,"※项目名重复了",IF(AND($C218&lt;&gt;"",ISNA(MATCH($C218,客户表,0))),"※客户不在基础资料里",IF(AND($J218&lt;&gt;"",$F218&lt;&gt;"",$J218&lt;$F218),"※完工日期早于下单日期",""))))</f>
        <v/>
      </c>
    </row>
    <row r="219">
      <c r="A219" s="17">
        <f>IF($B219="","","P"&amp;TEXT(ROW()-3,"000"))</f>
        <v/>
      </c>
      <c r="B219" s="13" t="n"/>
      <c r="C219" s="13" t="n"/>
      <c r="D219" s="13" t="n"/>
      <c r="E219" s="13" t="n"/>
      <c r="F219" s="18" t="n"/>
      <c r="G219" s="18" t="n"/>
      <c r="H219" s="18" t="n"/>
      <c r="I219" s="18" t="n"/>
      <c r="J219" s="18" t="n"/>
      <c r="K219" s="14" t="n"/>
      <c r="L219" s="19">
        <f>IF($B219="","",ROUND(SUMIF(订单明细!$C:$C,$B219,订单明细!$I:$I),2))</f>
        <v/>
      </c>
      <c r="M219" s="19">
        <f>IF($B219="","",ROUND(N($K219)+N($L219),2))</f>
        <v/>
      </c>
      <c r="N219" s="14" t="n"/>
      <c r="O219" s="19">
        <f>IF($B219="","",ROUND(N($N219)+SUMIFS(资金日记账!$J$4:$J$2503,资金日记账!$G$4:$G$2503,$B219,资金日记账!$F$4:$F$2503,"收款-项目")-SUMIFS(资金日记账!$K$4:$K$2503,资金日记账!$G$4:$G$2503,$B219,资金日记账!$F$4:$F$2503,"收款-项目"),2))</f>
        <v/>
      </c>
      <c r="P219" s="19">
        <f>IF($B219="","",ROUND($M219-$O219,2))</f>
        <v/>
      </c>
      <c r="Q219" s="17">
        <f>IF($B219="","",IF(AND($J219&lt;&gt;"",ROUND($P219,2)&lt;=0),"已完工·已结清",IF($J219&lt;&gt;"","已完工·还有尾款",IF($I219&lt;&gt;"","已安装",IF($H219&lt;&gt;"","已制作",IF($G219&lt;&gt;"","设计完成","已下单"))))))</f>
        <v/>
      </c>
      <c r="R219" s="13" t="n"/>
      <c r="S219" s="17">
        <f>IF($B219="","",IF(COUNTIF($B$4:$B$403,$B219)&gt;1,"※项目名重复了",IF(AND($C219&lt;&gt;"",ISNA(MATCH($C219,客户表,0))),"※客户不在基础资料里",IF(AND($J219&lt;&gt;"",$F219&lt;&gt;"",$J219&lt;$F219),"※完工日期早于下单日期",""))))</f>
        <v/>
      </c>
    </row>
    <row r="220">
      <c r="A220" s="17">
        <f>IF($B220="","","P"&amp;TEXT(ROW()-3,"000"))</f>
        <v/>
      </c>
      <c r="B220" s="13" t="n"/>
      <c r="C220" s="13" t="n"/>
      <c r="D220" s="13" t="n"/>
      <c r="E220" s="13" t="n"/>
      <c r="F220" s="18" t="n"/>
      <c r="G220" s="18" t="n"/>
      <c r="H220" s="18" t="n"/>
      <c r="I220" s="18" t="n"/>
      <c r="J220" s="18" t="n"/>
      <c r="K220" s="14" t="n"/>
      <c r="L220" s="19">
        <f>IF($B220="","",ROUND(SUMIF(订单明细!$C:$C,$B220,订单明细!$I:$I),2))</f>
        <v/>
      </c>
      <c r="M220" s="19">
        <f>IF($B220="","",ROUND(N($K220)+N($L220),2))</f>
        <v/>
      </c>
      <c r="N220" s="14" t="n"/>
      <c r="O220" s="19">
        <f>IF($B220="","",ROUND(N($N220)+SUMIFS(资金日记账!$J$4:$J$2503,资金日记账!$G$4:$G$2503,$B220,资金日记账!$F$4:$F$2503,"收款-项目")-SUMIFS(资金日记账!$K$4:$K$2503,资金日记账!$G$4:$G$2503,$B220,资金日记账!$F$4:$F$2503,"收款-项目"),2))</f>
        <v/>
      </c>
      <c r="P220" s="19">
        <f>IF($B220="","",ROUND($M220-$O220,2))</f>
        <v/>
      </c>
      <c r="Q220" s="17">
        <f>IF($B220="","",IF(AND($J220&lt;&gt;"",ROUND($P220,2)&lt;=0),"已完工·已结清",IF($J220&lt;&gt;"","已完工·还有尾款",IF($I220&lt;&gt;"","已安装",IF($H220&lt;&gt;"","已制作",IF($G220&lt;&gt;"","设计完成","已下单"))))))</f>
        <v/>
      </c>
      <c r="R220" s="13" t="n"/>
      <c r="S220" s="17">
        <f>IF($B220="","",IF(COUNTIF($B$4:$B$403,$B220)&gt;1,"※项目名重复了",IF(AND($C220&lt;&gt;"",ISNA(MATCH($C220,客户表,0))),"※客户不在基础资料里",IF(AND($J220&lt;&gt;"",$F220&lt;&gt;"",$J220&lt;$F220),"※完工日期早于下单日期",""))))</f>
        <v/>
      </c>
    </row>
    <row r="221">
      <c r="A221" s="17">
        <f>IF($B221="","","P"&amp;TEXT(ROW()-3,"000"))</f>
        <v/>
      </c>
      <c r="B221" s="13" t="n"/>
      <c r="C221" s="13" t="n"/>
      <c r="D221" s="13" t="n"/>
      <c r="E221" s="13" t="n"/>
      <c r="F221" s="18" t="n"/>
      <c r="G221" s="18" t="n"/>
      <c r="H221" s="18" t="n"/>
      <c r="I221" s="18" t="n"/>
      <c r="J221" s="18" t="n"/>
      <c r="K221" s="14" t="n"/>
      <c r="L221" s="19">
        <f>IF($B221="","",ROUND(SUMIF(订单明细!$C:$C,$B221,订单明细!$I:$I),2))</f>
        <v/>
      </c>
      <c r="M221" s="19">
        <f>IF($B221="","",ROUND(N($K221)+N($L221),2))</f>
        <v/>
      </c>
      <c r="N221" s="14" t="n"/>
      <c r="O221" s="19">
        <f>IF($B221="","",ROUND(N($N221)+SUMIFS(资金日记账!$J$4:$J$2503,资金日记账!$G$4:$G$2503,$B221,资金日记账!$F$4:$F$2503,"收款-项目")-SUMIFS(资金日记账!$K$4:$K$2503,资金日记账!$G$4:$G$2503,$B221,资金日记账!$F$4:$F$2503,"收款-项目"),2))</f>
        <v/>
      </c>
      <c r="P221" s="19">
        <f>IF($B221="","",ROUND($M221-$O221,2))</f>
        <v/>
      </c>
      <c r="Q221" s="17">
        <f>IF($B221="","",IF(AND($J221&lt;&gt;"",ROUND($P221,2)&lt;=0),"已完工·已结清",IF($J221&lt;&gt;"","已完工·还有尾款",IF($I221&lt;&gt;"","已安装",IF($H221&lt;&gt;"","已制作",IF($G221&lt;&gt;"","设计完成","已下单"))))))</f>
        <v/>
      </c>
      <c r="R221" s="13" t="n"/>
      <c r="S221" s="17">
        <f>IF($B221="","",IF(COUNTIF($B$4:$B$403,$B221)&gt;1,"※项目名重复了",IF(AND($C221&lt;&gt;"",ISNA(MATCH($C221,客户表,0))),"※客户不在基础资料里",IF(AND($J221&lt;&gt;"",$F221&lt;&gt;"",$J221&lt;$F221),"※完工日期早于下单日期",""))))</f>
        <v/>
      </c>
    </row>
    <row r="222">
      <c r="A222" s="17">
        <f>IF($B222="","","P"&amp;TEXT(ROW()-3,"000"))</f>
        <v/>
      </c>
      <c r="B222" s="13" t="n"/>
      <c r="C222" s="13" t="n"/>
      <c r="D222" s="13" t="n"/>
      <c r="E222" s="13" t="n"/>
      <c r="F222" s="18" t="n"/>
      <c r="G222" s="18" t="n"/>
      <c r="H222" s="18" t="n"/>
      <c r="I222" s="18" t="n"/>
      <c r="J222" s="18" t="n"/>
      <c r="K222" s="14" t="n"/>
      <c r="L222" s="19">
        <f>IF($B222="","",ROUND(SUMIF(订单明细!$C:$C,$B222,订单明细!$I:$I),2))</f>
        <v/>
      </c>
      <c r="M222" s="19">
        <f>IF($B222="","",ROUND(N($K222)+N($L222),2))</f>
        <v/>
      </c>
      <c r="N222" s="14" t="n"/>
      <c r="O222" s="19">
        <f>IF($B222="","",ROUND(N($N222)+SUMIFS(资金日记账!$J$4:$J$2503,资金日记账!$G$4:$G$2503,$B222,资金日记账!$F$4:$F$2503,"收款-项目")-SUMIFS(资金日记账!$K$4:$K$2503,资金日记账!$G$4:$G$2503,$B222,资金日记账!$F$4:$F$2503,"收款-项目"),2))</f>
        <v/>
      </c>
      <c r="P222" s="19">
        <f>IF($B222="","",ROUND($M222-$O222,2))</f>
        <v/>
      </c>
      <c r="Q222" s="17">
        <f>IF($B222="","",IF(AND($J222&lt;&gt;"",ROUND($P222,2)&lt;=0),"已完工·已结清",IF($J222&lt;&gt;"","已完工·还有尾款",IF($I222&lt;&gt;"","已安装",IF($H222&lt;&gt;"","已制作",IF($G222&lt;&gt;"","设计完成","已下单"))))))</f>
        <v/>
      </c>
      <c r="R222" s="13" t="n"/>
      <c r="S222" s="17">
        <f>IF($B222="","",IF(COUNTIF($B$4:$B$403,$B222)&gt;1,"※项目名重复了",IF(AND($C222&lt;&gt;"",ISNA(MATCH($C222,客户表,0))),"※客户不在基础资料里",IF(AND($J222&lt;&gt;"",$F222&lt;&gt;"",$J222&lt;$F222),"※完工日期早于下单日期",""))))</f>
        <v/>
      </c>
    </row>
    <row r="223">
      <c r="A223" s="17">
        <f>IF($B223="","","P"&amp;TEXT(ROW()-3,"000"))</f>
        <v/>
      </c>
      <c r="B223" s="13" t="n"/>
      <c r="C223" s="13" t="n"/>
      <c r="D223" s="13" t="n"/>
      <c r="E223" s="13" t="n"/>
      <c r="F223" s="18" t="n"/>
      <c r="G223" s="18" t="n"/>
      <c r="H223" s="18" t="n"/>
      <c r="I223" s="18" t="n"/>
      <c r="J223" s="18" t="n"/>
      <c r="K223" s="14" t="n"/>
      <c r="L223" s="19">
        <f>IF($B223="","",ROUND(SUMIF(订单明细!$C:$C,$B223,订单明细!$I:$I),2))</f>
        <v/>
      </c>
      <c r="M223" s="19">
        <f>IF($B223="","",ROUND(N($K223)+N($L223),2))</f>
        <v/>
      </c>
      <c r="N223" s="14" t="n"/>
      <c r="O223" s="19">
        <f>IF($B223="","",ROUND(N($N223)+SUMIFS(资金日记账!$J$4:$J$2503,资金日记账!$G$4:$G$2503,$B223,资金日记账!$F$4:$F$2503,"收款-项目")-SUMIFS(资金日记账!$K$4:$K$2503,资金日记账!$G$4:$G$2503,$B223,资金日记账!$F$4:$F$2503,"收款-项目"),2))</f>
        <v/>
      </c>
      <c r="P223" s="19">
        <f>IF($B223="","",ROUND($M223-$O223,2))</f>
        <v/>
      </c>
      <c r="Q223" s="17">
        <f>IF($B223="","",IF(AND($J223&lt;&gt;"",ROUND($P223,2)&lt;=0),"已完工·已结清",IF($J223&lt;&gt;"","已完工·还有尾款",IF($I223&lt;&gt;"","已安装",IF($H223&lt;&gt;"","已制作",IF($G223&lt;&gt;"","设计完成","已下单"))))))</f>
        <v/>
      </c>
      <c r="R223" s="13" t="n"/>
      <c r="S223" s="17">
        <f>IF($B223="","",IF(COUNTIF($B$4:$B$403,$B223)&gt;1,"※项目名重复了",IF(AND($C223&lt;&gt;"",ISNA(MATCH($C223,客户表,0))),"※客户不在基础资料里",IF(AND($J223&lt;&gt;"",$F223&lt;&gt;"",$J223&lt;$F223),"※完工日期早于下单日期",""))))</f>
        <v/>
      </c>
    </row>
    <row r="224">
      <c r="A224" s="17">
        <f>IF($B224="","","P"&amp;TEXT(ROW()-3,"000"))</f>
        <v/>
      </c>
      <c r="B224" s="13" t="n"/>
      <c r="C224" s="13" t="n"/>
      <c r="D224" s="13" t="n"/>
      <c r="E224" s="13" t="n"/>
      <c r="F224" s="18" t="n"/>
      <c r="G224" s="18" t="n"/>
      <c r="H224" s="18" t="n"/>
      <c r="I224" s="18" t="n"/>
      <c r="J224" s="18" t="n"/>
      <c r="K224" s="14" t="n"/>
      <c r="L224" s="19">
        <f>IF($B224="","",ROUND(SUMIF(订单明细!$C:$C,$B224,订单明细!$I:$I),2))</f>
        <v/>
      </c>
      <c r="M224" s="19">
        <f>IF($B224="","",ROUND(N($K224)+N($L224),2))</f>
        <v/>
      </c>
      <c r="N224" s="14" t="n"/>
      <c r="O224" s="19">
        <f>IF($B224="","",ROUND(N($N224)+SUMIFS(资金日记账!$J$4:$J$2503,资金日记账!$G$4:$G$2503,$B224,资金日记账!$F$4:$F$2503,"收款-项目")-SUMIFS(资金日记账!$K$4:$K$2503,资金日记账!$G$4:$G$2503,$B224,资金日记账!$F$4:$F$2503,"收款-项目"),2))</f>
        <v/>
      </c>
      <c r="P224" s="19">
        <f>IF($B224="","",ROUND($M224-$O224,2))</f>
        <v/>
      </c>
      <c r="Q224" s="17">
        <f>IF($B224="","",IF(AND($J224&lt;&gt;"",ROUND($P224,2)&lt;=0),"已完工·已结清",IF($J224&lt;&gt;"","已完工·还有尾款",IF($I224&lt;&gt;"","已安装",IF($H224&lt;&gt;"","已制作",IF($G224&lt;&gt;"","设计完成","已下单"))))))</f>
        <v/>
      </c>
      <c r="R224" s="13" t="n"/>
      <c r="S224" s="17">
        <f>IF($B224="","",IF(COUNTIF($B$4:$B$403,$B224)&gt;1,"※项目名重复了",IF(AND($C224&lt;&gt;"",ISNA(MATCH($C224,客户表,0))),"※客户不在基础资料里",IF(AND($J224&lt;&gt;"",$F224&lt;&gt;"",$J224&lt;$F224),"※完工日期早于下单日期",""))))</f>
        <v/>
      </c>
    </row>
    <row r="225">
      <c r="A225" s="17">
        <f>IF($B225="","","P"&amp;TEXT(ROW()-3,"000"))</f>
        <v/>
      </c>
      <c r="B225" s="13" t="n"/>
      <c r="C225" s="13" t="n"/>
      <c r="D225" s="13" t="n"/>
      <c r="E225" s="13" t="n"/>
      <c r="F225" s="18" t="n"/>
      <c r="G225" s="18" t="n"/>
      <c r="H225" s="18" t="n"/>
      <c r="I225" s="18" t="n"/>
      <c r="J225" s="18" t="n"/>
      <c r="K225" s="14" t="n"/>
      <c r="L225" s="19">
        <f>IF($B225="","",ROUND(SUMIF(订单明细!$C:$C,$B225,订单明细!$I:$I),2))</f>
        <v/>
      </c>
      <c r="M225" s="19">
        <f>IF($B225="","",ROUND(N($K225)+N($L225),2))</f>
        <v/>
      </c>
      <c r="N225" s="14" t="n"/>
      <c r="O225" s="19">
        <f>IF($B225="","",ROUND(N($N225)+SUMIFS(资金日记账!$J$4:$J$2503,资金日记账!$G$4:$G$2503,$B225,资金日记账!$F$4:$F$2503,"收款-项目")-SUMIFS(资金日记账!$K$4:$K$2503,资金日记账!$G$4:$G$2503,$B225,资金日记账!$F$4:$F$2503,"收款-项目"),2))</f>
        <v/>
      </c>
      <c r="P225" s="19">
        <f>IF($B225="","",ROUND($M225-$O225,2))</f>
        <v/>
      </c>
      <c r="Q225" s="17">
        <f>IF($B225="","",IF(AND($J225&lt;&gt;"",ROUND($P225,2)&lt;=0),"已完工·已结清",IF($J225&lt;&gt;"","已完工·还有尾款",IF($I225&lt;&gt;"","已安装",IF($H225&lt;&gt;"","已制作",IF($G225&lt;&gt;"","设计完成","已下单"))))))</f>
        <v/>
      </c>
      <c r="R225" s="13" t="n"/>
      <c r="S225" s="17">
        <f>IF($B225="","",IF(COUNTIF($B$4:$B$403,$B225)&gt;1,"※项目名重复了",IF(AND($C225&lt;&gt;"",ISNA(MATCH($C225,客户表,0))),"※客户不在基础资料里",IF(AND($J225&lt;&gt;"",$F225&lt;&gt;"",$J225&lt;$F225),"※完工日期早于下单日期",""))))</f>
        <v/>
      </c>
    </row>
    <row r="226">
      <c r="A226" s="17">
        <f>IF($B226="","","P"&amp;TEXT(ROW()-3,"000"))</f>
        <v/>
      </c>
      <c r="B226" s="13" t="n"/>
      <c r="C226" s="13" t="n"/>
      <c r="D226" s="13" t="n"/>
      <c r="E226" s="13" t="n"/>
      <c r="F226" s="18" t="n"/>
      <c r="G226" s="18" t="n"/>
      <c r="H226" s="18" t="n"/>
      <c r="I226" s="18" t="n"/>
      <c r="J226" s="18" t="n"/>
      <c r="K226" s="14" t="n"/>
      <c r="L226" s="19">
        <f>IF($B226="","",ROUND(SUMIF(订单明细!$C:$C,$B226,订单明细!$I:$I),2))</f>
        <v/>
      </c>
      <c r="M226" s="19">
        <f>IF($B226="","",ROUND(N($K226)+N($L226),2))</f>
        <v/>
      </c>
      <c r="N226" s="14" t="n"/>
      <c r="O226" s="19">
        <f>IF($B226="","",ROUND(N($N226)+SUMIFS(资金日记账!$J$4:$J$2503,资金日记账!$G$4:$G$2503,$B226,资金日记账!$F$4:$F$2503,"收款-项目")-SUMIFS(资金日记账!$K$4:$K$2503,资金日记账!$G$4:$G$2503,$B226,资金日记账!$F$4:$F$2503,"收款-项目"),2))</f>
        <v/>
      </c>
      <c r="P226" s="19">
        <f>IF($B226="","",ROUND($M226-$O226,2))</f>
        <v/>
      </c>
      <c r="Q226" s="17">
        <f>IF($B226="","",IF(AND($J226&lt;&gt;"",ROUND($P226,2)&lt;=0),"已完工·已结清",IF($J226&lt;&gt;"","已完工·还有尾款",IF($I226&lt;&gt;"","已安装",IF($H226&lt;&gt;"","已制作",IF($G226&lt;&gt;"","设计完成","已下单"))))))</f>
        <v/>
      </c>
      <c r="R226" s="13" t="n"/>
      <c r="S226" s="17">
        <f>IF($B226="","",IF(COUNTIF($B$4:$B$403,$B226)&gt;1,"※项目名重复了",IF(AND($C226&lt;&gt;"",ISNA(MATCH($C226,客户表,0))),"※客户不在基础资料里",IF(AND($J226&lt;&gt;"",$F226&lt;&gt;"",$J226&lt;$F226),"※完工日期早于下单日期",""))))</f>
        <v/>
      </c>
    </row>
    <row r="227">
      <c r="A227" s="17">
        <f>IF($B227="","","P"&amp;TEXT(ROW()-3,"000"))</f>
        <v/>
      </c>
      <c r="B227" s="13" t="n"/>
      <c r="C227" s="13" t="n"/>
      <c r="D227" s="13" t="n"/>
      <c r="E227" s="13" t="n"/>
      <c r="F227" s="18" t="n"/>
      <c r="G227" s="18" t="n"/>
      <c r="H227" s="18" t="n"/>
      <c r="I227" s="18" t="n"/>
      <c r="J227" s="18" t="n"/>
      <c r="K227" s="14" t="n"/>
      <c r="L227" s="19">
        <f>IF($B227="","",ROUND(SUMIF(订单明细!$C:$C,$B227,订单明细!$I:$I),2))</f>
        <v/>
      </c>
      <c r="M227" s="19">
        <f>IF($B227="","",ROUND(N($K227)+N($L227),2))</f>
        <v/>
      </c>
      <c r="N227" s="14" t="n"/>
      <c r="O227" s="19">
        <f>IF($B227="","",ROUND(N($N227)+SUMIFS(资金日记账!$J$4:$J$2503,资金日记账!$G$4:$G$2503,$B227,资金日记账!$F$4:$F$2503,"收款-项目")-SUMIFS(资金日记账!$K$4:$K$2503,资金日记账!$G$4:$G$2503,$B227,资金日记账!$F$4:$F$2503,"收款-项目"),2))</f>
        <v/>
      </c>
      <c r="P227" s="19">
        <f>IF($B227="","",ROUND($M227-$O227,2))</f>
        <v/>
      </c>
      <c r="Q227" s="17">
        <f>IF($B227="","",IF(AND($J227&lt;&gt;"",ROUND($P227,2)&lt;=0),"已完工·已结清",IF($J227&lt;&gt;"","已完工·还有尾款",IF($I227&lt;&gt;"","已安装",IF($H227&lt;&gt;"","已制作",IF($G227&lt;&gt;"","设计完成","已下单"))))))</f>
        <v/>
      </c>
      <c r="R227" s="13" t="n"/>
      <c r="S227" s="17">
        <f>IF($B227="","",IF(COUNTIF($B$4:$B$403,$B227)&gt;1,"※项目名重复了",IF(AND($C227&lt;&gt;"",ISNA(MATCH($C227,客户表,0))),"※客户不在基础资料里",IF(AND($J227&lt;&gt;"",$F227&lt;&gt;"",$J227&lt;$F227),"※完工日期早于下单日期",""))))</f>
        <v/>
      </c>
    </row>
    <row r="228">
      <c r="A228" s="17">
        <f>IF($B228="","","P"&amp;TEXT(ROW()-3,"000"))</f>
        <v/>
      </c>
      <c r="B228" s="13" t="n"/>
      <c r="C228" s="13" t="n"/>
      <c r="D228" s="13" t="n"/>
      <c r="E228" s="13" t="n"/>
      <c r="F228" s="18" t="n"/>
      <c r="G228" s="18" t="n"/>
      <c r="H228" s="18" t="n"/>
      <c r="I228" s="18" t="n"/>
      <c r="J228" s="18" t="n"/>
      <c r="K228" s="14" t="n"/>
      <c r="L228" s="19">
        <f>IF($B228="","",ROUND(SUMIF(订单明细!$C:$C,$B228,订单明细!$I:$I),2))</f>
        <v/>
      </c>
      <c r="M228" s="19">
        <f>IF($B228="","",ROUND(N($K228)+N($L228),2))</f>
        <v/>
      </c>
      <c r="N228" s="14" t="n"/>
      <c r="O228" s="19">
        <f>IF($B228="","",ROUND(N($N228)+SUMIFS(资金日记账!$J$4:$J$2503,资金日记账!$G$4:$G$2503,$B228,资金日记账!$F$4:$F$2503,"收款-项目")-SUMIFS(资金日记账!$K$4:$K$2503,资金日记账!$G$4:$G$2503,$B228,资金日记账!$F$4:$F$2503,"收款-项目"),2))</f>
        <v/>
      </c>
      <c r="P228" s="19">
        <f>IF($B228="","",ROUND($M228-$O228,2))</f>
        <v/>
      </c>
      <c r="Q228" s="17">
        <f>IF($B228="","",IF(AND($J228&lt;&gt;"",ROUND($P228,2)&lt;=0),"已完工·已结清",IF($J228&lt;&gt;"","已完工·还有尾款",IF($I228&lt;&gt;"","已安装",IF($H228&lt;&gt;"","已制作",IF($G228&lt;&gt;"","设计完成","已下单"))))))</f>
        <v/>
      </c>
      <c r="R228" s="13" t="n"/>
      <c r="S228" s="17">
        <f>IF($B228="","",IF(COUNTIF($B$4:$B$403,$B228)&gt;1,"※项目名重复了",IF(AND($C228&lt;&gt;"",ISNA(MATCH($C228,客户表,0))),"※客户不在基础资料里",IF(AND($J228&lt;&gt;"",$F228&lt;&gt;"",$J228&lt;$F228),"※完工日期早于下单日期",""))))</f>
        <v/>
      </c>
    </row>
    <row r="229">
      <c r="A229" s="17">
        <f>IF($B229="","","P"&amp;TEXT(ROW()-3,"000"))</f>
        <v/>
      </c>
      <c r="B229" s="13" t="n"/>
      <c r="C229" s="13" t="n"/>
      <c r="D229" s="13" t="n"/>
      <c r="E229" s="13" t="n"/>
      <c r="F229" s="18" t="n"/>
      <c r="G229" s="18" t="n"/>
      <c r="H229" s="18" t="n"/>
      <c r="I229" s="18" t="n"/>
      <c r="J229" s="18" t="n"/>
      <c r="K229" s="14" t="n"/>
      <c r="L229" s="19">
        <f>IF($B229="","",ROUND(SUMIF(订单明细!$C:$C,$B229,订单明细!$I:$I),2))</f>
        <v/>
      </c>
      <c r="M229" s="19">
        <f>IF($B229="","",ROUND(N($K229)+N($L229),2))</f>
        <v/>
      </c>
      <c r="N229" s="14" t="n"/>
      <c r="O229" s="19">
        <f>IF($B229="","",ROUND(N($N229)+SUMIFS(资金日记账!$J$4:$J$2503,资金日记账!$G$4:$G$2503,$B229,资金日记账!$F$4:$F$2503,"收款-项目")-SUMIFS(资金日记账!$K$4:$K$2503,资金日记账!$G$4:$G$2503,$B229,资金日记账!$F$4:$F$2503,"收款-项目"),2))</f>
        <v/>
      </c>
      <c r="P229" s="19">
        <f>IF($B229="","",ROUND($M229-$O229,2))</f>
        <v/>
      </c>
      <c r="Q229" s="17">
        <f>IF($B229="","",IF(AND($J229&lt;&gt;"",ROUND($P229,2)&lt;=0),"已完工·已结清",IF($J229&lt;&gt;"","已完工·还有尾款",IF($I229&lt;&gt;"","已安装",IF($H229&lt;&gt;"","已制作",IF($G229&lt;&gt;"","设计完成","已下单"))))))</f>
        <v/>
      </c>
      <c r="R229" s="13" t="n"/>
      <c r="S229" s="17">
        <f>IF($B229="","",IF(COUNTIF($B$4:$B$403,$B229)&gt;1,"※项目名重复了",IF(AND($C229&lt;&gt;"",ISNA(MATCH($C229,客户表,0))),"※客户不在基础资料里",IF(AND($J229&lt;&gt;"",$F229&lt;&gt;"",$J229&lt;$F229),"※完工日期早于下单日期",""))))</f>
        <v/>
      </c>
    </row>
    <row r="230">
      <c r="A230" s="17">
        <f>IF($B230="","","P"&amp;TEXT(ROW()-3,"000"))</f>
        <v/>
      </c>
      <c r="B230" s="13" t="n"/>
      <c r="C230" s="13" t="n"/>
      <c r="D230" s="13" t="n"/>
      <c r="E230" s="13" t="n"/>
      <c r="F230" s="18" t="n"/>
      <c r="G230" s="18" t="n"/>
      <c r="H230" s="18" t="n"/>
      <c r="I230" s="18" t="n"/>
      <c r="J230" s="18" t="n"/>
      <c r="K230" s="14" t="n"/>
      <c r="L230" s="19">
        <f>IF($B230="","",ROUND(SUMIF(订单明细!$C:$C,$B230,订单明细!$I:$I),2))</f>
        <v/>
      </c>
      <c r="M230" s="19">
        <f>IF($B230="","",ROUND(N($K230)+N($L230),2))</f>
        <v/>
      </c>
      <c r="N230" s="14" t="n"/>
      <c r="O230" s="19">
        <f>IF($B230="","",ROUND(N($N230)+SUMIFS(资金日记账!$J$4:$J$2503,资金日记账!$G$4:$G$2503,$B230,资金日记账!$F$4:$F$2503,"收款-项目")-SUMIFS(资金日记账!$K$4:$K$2503,资金日记账!$G$4:$G$2503,$B230,资金日记账!$F$4:$F$2503,"收款-项目"),2))</f>
        <v/>
      </c>
      <c r="P230" s="19">
        <f>IF($B230="","",ROUND($M230-$O230,2))</f>
        <v/>
      </c>
      <c r="Q230" s="17">
        <f>IF($B230="","",IF(AND($J230&lt;&gt;"",ROUND($P230,2)&lt;=0),"已完工·已结清",IF($J230&lt;&gt;"","已完工·还有尾款",IF($I230&lt;&gt;"","已安装",IF($H230&lt;&gt;"","已制作",IF($G230&lt;&gt;"","设计完成","已下单"))))))</f>
        <v/>
      </c>
      <c r="R230" s="13" t="n"/>
      <c r="S230" s="17">
        <f>IF($B230="","",IF(COUNTIF($B$4:$B$403,$B230)&gt;1,"※项目名重复了",IF(AND($C230&lt;&gt;"",ISNA(MATCH($C230,客户表,0))),"※客户不在基础资料里",IF(AND($J230&lt;&gt;"",$F230&lt;&gt;"",$J230&lt;$F230),"※完工日期早于下单日期",""))))</f>
        <v/>
      </c>
    </row>
    <row r="231">
      <c r="A231" s="17">
        <f>IF($B231="","","P"&amp;TEXT(ROW()-3,"000"))</f>
        <v/>
      </c>
      <c r="B231" s="13" t="n"/>
      <c r="C231" s="13" t="n"/>
      <c r="D231" s="13" t="n"/>
      <c r="E231" s="13" t="n"/>
      <c r="F231" s="18" t="n"/>
      <c r="G231" s="18" t="n"/>
      <c r="H231" s="18" t="n"/>
      <c r="I231" s="18" t="n"/>
      <c r="J231" s="18" t="n"/>
      <c r="K231" s="14" t="n"/>
      <c r="L231" s="19">
        <f>IF($B231="","",ROUND(SUMIF(订单明细!$C:$C,$B231,订单明细!$I:$I),2))</f>
        <v/>
      </c>
      <c r="M231" s="19">
        <f>IF($B231="","",ROUND(N($K231)+N($L231),2))</f>
        <v/>
      </c>
      <c r="N231" s="14" t="n"/>
      <c r="O231" s="19">
        <f>IF($B231="","",ROUND(N($N231)+SUMIFS(资金日记账!$J$4:$J$2503,资金日记账!$G$4:$G$2503,$B231,资金日记账!$F$4:$F$2503,"收款-项目")-SUMIFS(资金日记账!$K$4:$K$2503,资金日记账!$G$4:$G$2503,$B231,资金日记账!$F$4:$F$2503,"收款-项目"),2))</f>
        <v/>
      </c>
      <c r="P231" s="19">
        <f>IF($B231="","",ROUND($M231-$O231,2))</f>
        <v/>
      </c>
      <c r="Q231" s="17">
        <f>IF($B231="","",IF(AND($J231&lt;&gt;"",ROUND($P231,2)&lt;=0),"已完工·已结清",IF($J231&lt;&gt;"","已完工·还有尾款",IF($I231&lt;&gt;"","已安装",IF($H231&lt;&gt;"","已制作",IF($G231&lt;&gt;"","设计完成","已下单"))))))</f>
        <v/>
      </c>
      <c r="R231" s="13" t="n"/>
      <c r="S231" s="17">
        <f>IF($B231="","",IF(COUNTIF($B$4:$B$403,$B231)&gt;1,"※项目名重复了",IF(AND($C231&lt;&gt;"",ISNA(MATCH($C231,客户表,0))),"※客户不在基础资料里",IF(AND($J231&lt;&gt;"",$F231&lt;&gt;"",$J231&lt;$F231),"※完工日期早于下单日期",""))))</f>
        <v/>
      </c>
    </row>
    <row r="232">
      <c r="A232" s="17">
        <f>IF($B232="","","P"&amp;TEXT(ROW()-3,"000"))</f>
        <v/>
      </c>
      <c r="B232" s="13" t="n"/>
      <c r="C232" s="13" t="n"/>
      <c r="D232" s="13" t="n"/>
      <c r="E232" s="13" t="n"/>
      <c r="F232" s="18" t="n"/>
      <c r="G232" s="18" t="n"/>
      <c r="H232" s="18" t="n"/>
      <c r="I232" s="18" t="n"/>
      <c r="J232" s="18" t="n"/>
      <c r="K232" s="14" t="n"/>
      <c r="L232" s="19">
        <f>IF($B232="","",ROUND(SUMIF(订单明细!$C:$C,$B232,订单明细!$I:$I),2))</f>
        <v/>
      </c>
      <c r="M232" s="19">
        <f>IF($B232="","",ROUND(N($K232)+N($L232),2))</f>
        <v/>
      </c>
      <c r="N232" s="14" t="n"/>
      <c r="O232" s="19">
        <f>IF($B232="","",ROUND(N($N232)+SUMIFS(资金日记账!$J$4:$J$2503,资金日记账!$G$4:$G$2503,$B232,资金日记账!$F$4:$F$2503,"收款-项目")-SUMIFS(资金日记账!$K$4:$K$2503,资金日记账!$G$4:$G$2503,$B232,资金日记账!$F$4:$F$2503,"收款-项目"),2))</f>
        <v/>
      </c>
      <c r="P232" s="19">
        <f>IF($B232="","",ROUND($M232-$O232,2))</f>
        <v/>
      </c>
      <c r="Q232" s="17">
        <f>IF($B232="","",IF(AND($J232&lt;&gt;"",ROUND($P232,2)&lt;=0),"已完工·已结清",IF($J232&lt;&gt;"","已完工·还有尾款",IF($I232&lt;&gt;"","已安装",IF($H232&lt;&gt;"","已制作",IF($G232&lt;&gt;"","设计完成","已下单"))))))</f>
        <v/>
      </c>
      <c r="R232" s="13" t="n"/>
      <c r="S232" s="17">
        <f>IF($B232="","",IF(COUNTIF($B$4:$B$403,$B232)&gt;1,"※项目名重复了",IF(AND($C232&lt;&gt;"",ISNA(MATCH($C232,客户表,0))),"※客户不在基础资料里",IF(AND($J232&lt;&gt;"",$F232&lt;&gt;"",$J232&lt;$F232),"※完工日期早于下单日期",""))))</f>
        <v/>
      </c>
    </row>
    <row r="233">
      <c r="A233" s="17">
        <f>IF($B233="","","P"&amp;TEXT(ROW()-3,"000"))</f>
        <v/>
      </c>
      <c r="B233" s="13" t="n"/>
      <c r="C233" s="13" t="n"/>
      <c r="D233" s="13" t="n"/>
      <c r="E233" s="13" t="n"/>
      <c r="F233" s="18" t="n"/>
      <c r="G233" s="18" t="n"/>
      <c r="H233" s="18" t="n"/>
      <c r="I233" s="18" t="n"/>
      <c r="J233" s="18" t="n"/>
      <c r="K233" s="14" t="n"/>
      <c r="L233" s="19">
        <f>IF($B233="","",ROUND(SUMIF(订单明细!$C:$C,$B233,订单明细!$I:$I),2))</f>
        <v/>
      </c>
      <c r="M233" s="19">
        <f>IF($B233="","",ROUND(N($K233)+N($L233),2))</f>
        <v/>
      </c>
      <c r="N233" s="14" t="n"/>
      <c r="O233" s="19">
        <f>IF($B233="","",ROUND(N($N233)+SUMIFS(资金日记账!$J$4:$J$2503,资金日记账!$G$4:$G$2503,$B233,资金日记账!$F$4:$F$2503,"收款-项目")-SUMIFS(资金日记账!$K$4:$K$2503,资金日记账!$G$4:$G$2503,$B233,资金日记账!$F$4:$F$2503,"收款-项目"),2))</f>
        <v/>
      </c>
      <c r="P233" s="19">
        <f>IF($B233="","",ROUND($M233-$O233,2))</f>
        <v/>
      </c>
      <c r="Q233" s="17">
        <f>IF($B233="","",IF(AND($J233&lt;&gt;"",ROUND($P233,2)&lt;=0),"已完工·已结清",IF($J233&lt;&gt;"","已完工·还有尾款",IF($I233&lt;&gt;"","已安装",IF($H233&lt;&gt;"","已制作",IF($G233&lt;&gt;"","设计完成","已下单"))))))</f>
        <v/>
      </c>
      <c r="R233" s="13" t="n"/>
      <c r="S233" s="17">
        <f>IF($B233="","",IF(COUNTIF($B$4:$B$403,$B233)&gt;1,"※项目名重复了",IF(AND($C233&lt;&gt;"",ISNA(MATCH($C233,客户表,0))),"※客户不在基础资料里",IF(AND($J233&lt;&gt;"",$F233&lt;&gt;"",$J233&lt;$F233),"※完工日期早于下单日期",""))))</f>
        <v/>
      </c>
    </row>
    <row r="234">
      <c r="A234" s="17">
        <f>IF($B234="","","P"&amp;TEXT(ROW()-3,"000"))</f>
        <v/>
      </c>
      <c r="B234" s="13" t="n"/>
      <c r="C234" s="13" t="n"/>
      <c r="D234" s="13" t="n"/>
      <c r="E234" s="13" t="n"/>
      <c r="F234" s="18" t="n"/>
      <c r="G234" s="18" t="n"/>
      <c r="H234" s="18" t="n"/>
      <c r="I234" s="18" t="n"/>
      <c r="J234" s="18" t="n"/>
      <c r="K234" s="14" t="n"/>
      <c r="L234" s="19">
        <f>IF($B234="","",ROUND(SUMIF(订单明细!$C:$C,$B234,订单明细!$I:$I),2))</f>
        <v/>
      </c>
      <c r="M234" s="19">
        <f>IF($B234="","",ROUND(N($K234)+N($L234),2))</f>
        <v/>
      </c>
      <c r="N234" s="14" t="n"/>
      <c r="O234" s="19">
        <f>IF($B234="","",ROUND(N($N234)+SUMIFS(资金日记账!$J$4:$J$2503,资金日记账!$G$4:$G$2503,$B234,资金日记账!$F$4:$F$2503,"收款-项目")-SUMIFS(资金日记账!$K$4:$K$2503,资金日记账!$G$4:$G$2503,$B234,资金日记账!$F$4:$F$2503,"收款-项目"),2))</f>
        <v/>
      </c>
      <c r="P234" s="19">
        <f>IF($B234="","",ROUND($M234-$O234,2))</f>
        <v/>
      </c>
      <c r="Q234" s="17">
        <f>IF($B234="","",IF(AND($J234&lt;&gt;"",ROUND($P234,2)&lt;=0),"已完工·已结清",IF($J234&lt;&gt;"","已完工·还有尾款",IF($I234&lt;&gt;"","已安装",IF($H234&lt;&gt;"","已制作",IF($G234&lt;&gt;"","设计完成","已下单"))))))</f>
        <v/>
      </c>
      <c r="R234" s="13" t="n"/>
      <c r="S234" s="17">
        <f>IF($B234="","",IF(COUNTIF($B$4:$B$403,$B234)&gt;1,"※项目名重复了",IF(AND($C234&lt;&gt;"",ISNA(MATCH($C234,客户表,0))),"※客户不在基础资料里",IF(AND($J234&lt;&gt;"",$F234&lt;&gt;"",$J234&lt;$F234),"※完工日期早于下单日期",""))))</f>
        <v/>
      </c>
    </row>
    <row r="235">
      <c r="A235" s="17">
        <f>IF($B235="","","P"&amp;TEXT(ROW()-3,"000"))</f>
        <v/>
      </c>
      <c r="B235" s="13" t="n"/>
      <c r="C235" s="13" t="n"/>
      <c r="D235" s="13" t="n"/>
      <c r="E235" s="13" t="n"/>
      <c r="F235" s="18" t="n"/>
      <c r="G235" s="18" t="n"/>
      <c r="H235" s="18" t="n"/>
      <c r="I235" s="18" t="n"/>
      <c r="J235" s="18" t="n"/>
      <c r="K235" s="14" t="n"/>
      <c r="L235" s="19">
        <f>IF($B235="","",ROUND(SUMIF(订单明细!$C:$C,$B235,订单明细!$I:$I),2))</f>
        <v/>
      </c>
      <c r="M235" s="19">
        <f>IF($B235="","",ROUND(N($K235)+N($L235),2))</f>
        <v/>
      </c>
      <c r="N235" s="14" t="n"/>
      <c r="O235" s="19">
        <f>IF($B235="","",ROUND(N($N235)+SUMIFS(资金日记账!$J$4:$J$2503,资金日记账!$G$4:$G$2503,$B235,资金日记账!$F$4:$F$2503,"收款-项目")-SUMIFS(资金日记账!$K$4:$K$2503,资金日记账!$G$4:$G$2503,$B235,资金日记账!$F$4:$F$2503,"收款-项目"),2))</f>
        <v/>
      </c>
      <c r="P235" s="19">
        <f>IF($B235="","",ROUND($M235-$O235,2))</f>
        <v/>
      </c>
      <c r="Q235" s="17">
        <f>IF($B235="","",IF(AND($J235&lt;&gt;"",ROUND($P235,2)&lt;=0),"已完工·已结清",IF($J235&lt;&gt;"","已完工·还有尾款",IF($I235&lt;&gt;"","已安装",IF($H235&lt;&gt;"","已制作",IF($G235&lt;&gt;"","设计完成","已下单"))))))</f>
        <v/>
      </c>
      <c r="R235" s="13" t="n"/>
      <c r="S235" s="17">
        <f>IF($B235="","",IF(COUNTIF($B$4:$B$403,$B235)&gt;1,"※项目名重复了",IF(AND($C235&lt;&gt;"",ISNA(MATCH($C235,客户表,0))),"※客户不在基础资料里",IF(AND($J235&lt;&gt;"",$F235&lt;&gt;"",$J235&lt;$F235),"※完工日期早于下单日期",""))))</f>
        <v/>
      </c>
    </row>
    <row r="236">
      <c r="A236" s="17">
        <f>IF($B236="","","P"&amp;TEXT(ROW()-3,"000"))</f>
        <v/>
      </c>
      <c r="B236" s="13" t="n"/>
      <c r="C236" s="13" t="n"/>
      <c r="D236" s="13" t="n"/>
      <c r="E236" s="13" t="n"/>
      <c r="F236" s="18" t="n"/>
      <c r="G236" s="18" t="n"/>
      <c r="H236" s="18" t="n"/>
      <c r="I236" s="18" t="n"/>
      <c r="J236" s="18" t="n"/>
      <c r="K236" s="14" t="n"/>
      <c r="L236" s="19">
        <f>IF($B236="","",ROUND(SUMIF(订单明细!$C:$C,$B236,订单明细!$I:$I),2))</f>
        <v/>
      </c>
      <c r="M236" s="19">
        <f>IF($B236="","",ROUND(N($K236)+N($L236),2))</f>
        <v/>
      </c>
      <c r="N236" s="14" t="n"/>
      <c r="O236" s="19">
        <f>IF($B236="","",ROUND(N($N236)+SUMIFS(资金日记账!$J$4:$J$2503,资金日记账!$G$4:$G$2503,$B236,资金日记账!$F$4:$F$2503,"收款-项目")-SUMIFS(资金日记账!$K$4:$K$2503,资金日记账!$G$4:$G$2503,$B236,资金日记账!$F$4:$F$2503,"收款-项目"),2))</f>
        <v/>
      </c>
      <c r="P236" s="19">
        <f>IF($B236="","",ROUND($M236-$O236,2))</f>
        <v/>
      </c>
      <c r="Q236" s="17">
        <f>IF($B236="","",IF(AND($J236&lt;&gt;"",ROUND($P236,2)&lt;=0),"已完工·已结清",IF($J236&lt;&gt;"","已完工·还有尾款",IF($I236&lt;&gt;"","已安装",IF($H236&lt;&gt;"","已制作",IF($G236&lt;&gt;"","设计完成","已下单"))))))</f>
        <v/>
      </c>
      <c r="R236" s="13" t="n"/>
      <c r="S236" s="17">
        <f>IF($B236="","",IF(COUNTIF($B$4:$B$403,$B236)&gt;1,"※项目名重复了",IF(AND($C236&lt;&gt;"",ISNA(MATCH($C236,客户表,0))),"※客户不在基础资料里",IF(AND($J236&lt;&gt;"",$F236&lt;&gt;"",$J236&lt;$F236),"※完工日期早于下单日期",""))))</f>
        <v/>
      </c>
    </row>
    <row r="237">
      <c r="A237" s="17">
        <f>IF($B237="","","P"&amp;TEXT(ROW()-3,"000"))</f>
        <v/>
      </c>
      <c r="B237" s="13" t="n"/>
      <c r="C237" s="13" t="n"/>
      <c r="D237" s="13" t="n"/>
      <c r="E237" s="13" t="n"/>
      <c r="F237" s="18" t="n"/>
      <c r="G237" s="18" t="n"/>
      <c r="H237" s="18" t="n"/>
      <c r="I237" s="18" t="n"/>
      <c r="J237" s="18" t="n"/>
      <c r="K237" s="14" t="n"/>
      <c r="L237" s="19">
        <f>IF($B237="","",ROUND(SUMIF(订单明细!$C:$C,$B237,订单明细!$I:$I),2))</f>
        <v/>
      </c>
      <c r="M237" s="19">
        <f>IF($B237="","",ROUND(N($K237)+N($L237),2))</f>
        <v/>
      </c>
      <c r="N237" s="14" t="n"/>
      <c r="O237" s="19">
        <f>IF($B237="","",ROUND(N($N237)+SUMIFS(资金日记账!$J$4:$J$2503,资金日记账!$G$4:$G$2503,$B237,资金日记账!$F$4:$F$2503,"收款-项目")-SUMIFS(资金日记账!$K$4:$K$2503,资金日记账!$G$4:$G$2503,$B237,资金日记账!$F$4:$F$2503,"收款-项目"),2))</f>
        <v/>
      </c>
      <c r="P237" s="19">
        <f>IF($B237="","",ROUND($M237-$O237,2))</f>
        <v/>
      </c>
      <c r="Q237" s="17">
        <f>IF($B237="","",IF(AND($J237&lt;&gt;"",ROUND($P237,2)&lt;=0),"已完工·已结清",IF($J237&lt;&gt;"","已完工·还有尾款",IF($I237&lt;&gt;"","已安装",IF($H237&lt;&gt;"","已制作",IF($G237&lt;&gt;"","设计完成","已下单"))))))</f>
        <v/>
      </c>
      <c r="R237" s="13" t="n"/>
      <c r="S237" s="17">
        <f>IF($B237="","",IF(COUNTIF($B$4:$B$403,$B237)&gt;1,"※项目名重复了",IF(AND($C237&lt;&gt;"",ISNA(MATCH($C237,客户表,0))),"※客户不在基础资料里",IF(AND($J237&lt;&gt;"",$F237&lt;&gt;"",$J237&lt;$F237),"※完工日期早于下单日期",""))))</f>
        <v/>
      </c>
    </row>
    <row r="238">
      <c r="A238" s="17">
        <f>IF($B238="","","P"&amp;TEXT(ROW()-3,"000"))</f>
        <v/>
      </c>
      <c r="B238" s="13" t="n"/>
      <c r="C238" s="13" t="n"/>
      <c r="D238" s="13" t="n"/>
      <c r="E238" s="13" t="n"/>
      <c r="F238" s="18" t="n"/>
      <c r="G238" s="18" t="n"/>
      <c r="H238" s="18" t="n"/>
      <c r="I238" s="18" t="n"/>
      <c r="J238" s="18" t="n"/>
      <c r="K238" s="14" t="n"/>
      <c r="L238" s="19">
        <f>IF($B238="","",ROUND(SUMIF(订单明细!$C:$C,$B238,订单明细!$I:$I),2))</f>
        <v/>
      </c>
      <c r="M238" s="19">
        <f>IF($B238="","",ROUND(N($K238)+N($L238),2))</f>
        <v/>
      </c>
      <c r="N238" s="14" t="n"/>
      <c r="O238" s="19">
        <f>IF($B238="","",ROUND(N($N238)+SUMIFS(资金日记账!$J$4:$J$2503,资金日记账!$G$4:$G$2503,$B238,资金日记账!$F$4:$F$2503,"收款-项目")-SUMIFS(资金日记账!$K$4:$K$2503,资金日记账!$G$4:$G$2503,$B238,资金日记账!$F$4:$F$2503,"收款-项目"),2))</f>
        <v/>
      </c>
      <c r="P238" s="19">
        <f>IF($B238="","",ROUND($M238-$O238,2))</f>
        <v/>
      </c>
      <c r="Q238" s="17">
        <f>IF($B238="","",IF(AND($J238&lt;&gt;"",ROUND($P238,2)&lt;=0),"已完工·已结清",IF($J238&lt;&gt;"","已完工·还有尾款",IF($I238&lt;&gt;"","已安装",IF($H238&lt;&gt;"","已制作",IF($G238&lt;&gt;"","设计完成","已下单"))))))</f>
        <v/>
      </c>
      <c r="R238" s="13" t="n"/>
      <c r="S238" s="17">
        <f>IF($B238="","",IF(COUNTIF($B$4:$B$403,$B238)&gt;1,"※项目名重复了",IF(AND($C238&lt;&gt;"",ISNA(MATCH($C238,客户表,0))),"※客户不在基础资料里",IF(AND($J238&lt;&gt;"",$F238&lt;&gt;"",$J238&lt;$F238),"※完工日期早于下单日期",""))))</f>
        <v/>
      </c>
    </row>
    <row r="239">
      <c r="A239" s="17">
        <f>IF($B239="","","P"&amp;TEXT(ROW()-3,"000"))</f>
        <v/>
      </c>
      <c r="B239" s="13" t="n"/>
      <c r="C239" s="13" t="n"/>
      <c r="D239" s="13" t="n"/>
      <c r="E239" s="13" t="n"/>
      <c r="F239" s="18" t="n"/>
      <c r="G239" s="18" t="n"/>
      <c r="H239" s="18" t="n"/>
      <c r="I239" s="18" t="n"/>
      <c r="J239" s="18" t="n"/>
      <c r="K239" s="14" t="n"/>
      <c r="L239" s="19">
        <f>IF($B239="","",ROUND(SUMIF(订单明细!$C:$C,$B239,订单明细!$I:$I),2))</f>
        <v/>
      </c>
      <c r="M239" s="19">
        <f>IF($B239="","",ROUND(N($K239)+N($L239),2))</f>
        <v/>
      </c>
      <c r="N239" s="14" t="n"/>
      <c r="O239" s="19">
        <f>IF($B239="","",ROUND(N($N239)+SUMIFS(资金日记账!$J$4:$J$2503,资金日记账!$G$4:$G$2503,$B239,资金日记账!$F$4:$F$2503,"收款-项目")-SUMIFS(资金日记账!$K$4:$K$2503,资金日记账!$G$4:$G$2503,$B239,资金日记账!$F$4:$F$2503,"收款-项目"),2))</f>
        <v/>
      </c>
      <c r="P239" s="19">
        <f>IF($B239="","",ROUND($M239-$O239,2))</f>
        <v/>
      </c>
      <c r="Q239" s="17">
        <f>IF($B239="","",IF(AND($J239&lt;&gt;"",ROUND($P239,2)&lt;=0),"已完工·已结清",IF($J239&lt;&gt;"","已完工·还有尾款",IF($I239&lt;&gt;"","已安装",IF($H239&lt;&gt;"","已制作",IF($G239&lt;&gt;"","设计完成","已下单"))))))</f>
        <v/>
      </c>
      <c r="R239" s="13" t="n"/>
      <c r="S239" s="17">
        <f>IF($B239="","",IF(COUNTIF($B$4:$B$403,$B239)&gt;1,"※项目名重复了",IF(AND($C239&lt;&gt;"",ISNA(MATCH($C239,客户表,0))),"※客户不在基础资料里",IF(AND($J239&lt;&gt;"",$F239&lt;&gt;"",$J239&lt;$F239),"※完工日期早于下单日期",""))))</f>
        <v/>
      </c>
    </row>
    <row r="240">
      <c r="A240" s="17">
        <f>IF($B240="","","P"&amp;TEXT(ROW()-3,"000"))</f>
        <v/>
      </c>
      <c r="B240" s="13" t="n"/>
      <c r="C240" s="13" t="n"/>
      <c r="D240" s="13" t="n"/>
      <c r="E240" s="13" t="n"/>
      <c r="F240" s="18" t="n"/>
      <c r="G240" s="18" t="n"/>
      <c r="H240" s="18" t="n"/>
      <c r="I240" s="18" t="n"/>
      <c r="J240" s="18" t="n"/>
      <c r="K240" s="14" t="n"/>
      <c r="L240" s="19">
        <f>IF($B240="","",ROUND(SUMIF(订单明细!$C:$C,$B240,订单明细!$I:$I),2))</f>
        <v/>
      </c>
      <c r="M240" s="19">
        <f>IF($B240="","",ROUND(N($K240)+N($L240),2))</f>
        <v/>
      </c>
      <c r="N240" s="14" t="n"/>
      <c r="O240" s="19">
        <f>IF($B240="","",ROUND(N($N240)+SUMIFS(资金日记账!$J$4:$J$2503,资金日记账!$G$4:$G$2503,$B240,资金日记账!$F$4:$F$2503,"收款-项目")-SUMIFS(资金日记账!$K$4:$K$2503,资金日记账!$G$4:$G$2503,$B240,资金日记账!$F$4:$F$2503,"收款-项目"),2))</f>
        <v/>
      </c>
      <c r="P240" s="19">
        <f>IF($B240="","",ROUND($M240-$O240,2))</f>
        <v/>
      </c>
      <c r="Q240" s="17">
        <f>IF($B240="","",IF(AND($J240&lt;&gt;"",ROUND($P240,2)&lt;=0),"已完工·已结清",IF($J240&lt;&gt;"","已完工·还有尾款",IF($I240&lt;&gt;"","已安装",IF($H240&lt;&gt;"","已制作",IF($G240&lt;&gt;"","设计完成","已下单"))))))</f>
        <v/>
      </c>
      <c r="R240" s="13" t="n"/>
      <c r="S240" s="17">
        <f>IF($B240="","",IF(COUNTIF($B$4:$B$403,$B240)&gt;1,"※项目名重复了",IF(AND($C240&lt;&gt;"",ISNA(MATCH($C240,客户表,0))),"※客户不在基础资料里",IF(AND($J240&lt;&gt;"",$F240&lt;&gt;"",$J240&lt;$F240),"※完工日期早于下单日期",""))))</f>
        <v/>
      </c>
    </row>
    <row r="241">
      <c r="A241" s="17">
        <f>IF($B241="","","P"&amp;TEXT(ROW()-3,"000"))</f>
        <v/>
      </c>
      <c r="B241" s="13" t="n"/>
      <c r="C241" s="13" t="n"/>
      <c r="D241" s="13" t="n"/>
      <c r="E241" s="13" t="n"/>
      <c r="F241" s="18" t="n"/>
      <c r="G241" s="18" t="n"/>
      <c r="H241" s="18" t="n"/>
      <c r="I241" s="18" t="n"/>
      <c r="J241" s="18" t="n"/>
      <c r="K241" s="14" t="n"/>
      <c r="L241" s="19">
        <f>IF($B241="","",ROUND(SUMIF(订单明细!$C:$C,$B241,订单明细!$I:$I),2))</f>
        <v/>
      </c>
      <c r="M241" s="19">
        <f>IF($B241="","",ROUND(N($K241)+N($L241),2))</f>
        <v/>
      </c>
      <c r="N241" s="14" t="n"/>
      <c r="O241" s="19">
        <f>IF($B241="","",ROUND(N($N241)+SUMIFS(资金日记账!$J$4:$J$2503,资金日记账!$G$4:$G$2503,$B241,资金日记账!$F$4:$F$2503,"收款-项目")-SUMIFS(资金日记账!$K$4:$K$2503,资金日记账!$G$4:$G$2503,$B241,资金日记账!$F$4:$F$2503,"收款-项目"),2))</f>
        <v/>
      </c>
      <c r="P241" s="19">
        <f>IF($B241="","",ROUND($M241-$O241,2))</f>
        <v/>
      </c>
      <c r="Q241" s="17">
        <f>IF($B241="","",IF(AND($J241&lt;&gt;"",ROUND($P241,2)&lt;=0),"已完工·已结清",IF($J241&lt;&gt;"","已完工·还有尾款",IF($I241&lt;&gt;"","已安装",IF($H241&lt;&gt;"","已制作",IF($G241&lt;&gt;"","设计完成","已下单"))))))</f>
        <v/>
      </c>
      <c r="R241" s="13" t="n"/>
      <c r="S241" s="17">
        <f>IF($B241="","",IF(COUNTIF($B$4:$B$403,$B241)&gt;1,"※项目名重复了",IF(AND($C241&lt;&gt;"",ISNA(MATCH($C241,客户表,0))),"※客户不在基础资料里",IF(AND($J241&lt;&gt;"",$F241&lt;&gt;"",$J241&lt;$F241),"※完工日期早于下单日期",""))))</f>
        <v/>
      </c>
    </row>
    <row r="242">
      <c r="A242" s="17">
        <f>IF($B242="","","P"&amp;TEXT(ROW()-3,"000"))</f>
        <v/>
      </c>
      <c r="B242" s="13" t="n"/>
      <c r="C242" s="13" t="n"/>
      <c r="D242" s="13" t="n"/>
      <c r="E242" s="13" t="n"/>
      <c r="F242" s="18" t="n"/>
      <c r="G242" s="18" t="n"/>
      <c r="H242" s="18" t="n"/>
      <c r="I242" s="18" t="n"/>
      <c r="J242" s="18" t="n"/>
      <c r="K242" s="14" t="n"/>
      <c r="L242" s="19">
        <f>IF($B242="","",ROUND(SUMIF(订单明细!$C:$C,$B242,订单明细!$I:$I),2))</f>
        <v/>
      </c>
      <c r="M242" s="19">
        <f>IF($B242="","",ROUND(N($K242)+N($L242),2))</f>
        <v/>
      </c>
      <c r="N242" s="14" t="n"/>
      <c r="O242" s="19">
        <f>IF($B242="","",ROUND(N($N242)+SUMIFS(资金日记账!$J$4:$J$2503,资金日记账!$G$4:$G$2503,$B242,资金日记账!$F$4:$F$2503,"收款-项目")-SUMIFS(资金日记账!$K$4:$K$2503,资金日记账!$G$4:$G$2503,$B242,资金日记账!$F$4:$F$2503,"收款-项目"),2))</f>
        <v/>
      </c>
      <c r="P242" s="19">
        <f>IF($B242="","",ROUND($M242-$O242,2))</f>
        <v/>
      </c>
      <c r="Q242" s="17">
        <f>IF($B242="","",IF(AND($J242&lt;&gt;"",ROUND($P242,2)&lt;=0),"已完工·已结清",IF($J242&lt;&gt;"","已完工·还有尾款",IF($I242&lt;&gt;"","已安装",IF($H242&lt;&gt;"","已制作",IF($G242&lt;&gt;"","设计完成","已下单"))))))</f>
        <v/>
      </c>
      <c r="R242" s="13" t="n"/>
      <c r="S242" s="17">
        <f>IF($B242="","",IF(COUNTIF($B$4:$B$403,$B242)&gt;1,"※项目名重复了",IF(AND($C242&lt;&gt;"",ISNA(MATCH($C242,客户表,0))),"※客户不在基础资料里",IF(AND($J242&lt;&gt;"",$F242&lt;&gt;"",$J242&lt;$F242),"※完工日期早于下单日期",""))))</f>
        <v/>
      </c>
    </row>
    <row r="243">
      <c r="A243" s="17">
        <f>IF($B243="","","P"&amp;TEXT(ROW()-3,"000"))</f>
        <v/>
      </c>
      <c r="B243" s="13" t="n"/>
      <c r="C243" s="13" t="n"/>
      <c r="D243" s="13" t="n"/>
      <c r="E243" s="13" t="n"/>
      <c r="F243" s="18" t="n"/>
      <c r="G243" s="18" t="n"/>
      <c r="H243" s="18" t="n"/>
      <c r="I243" s="18" t="n"/>
      <c r="J243" s="18" t="n"/>
      <c r="K243" s="14" t="n"/>
      <c r="L243" s="19">
        <f>IF($B243="","",ROUND(SUMIF(订单明细!$C:$C,$B243,订单明细!$I:$I),2))</f>
        <v/>
      </c>
      <c r="M243" s="19">
        <f>IF($B243="","",ROUND(N($K243)+N($L243),2))</f>
        <v/>
      </c>
      <c r="N243" s="14" t="n"/>
      <c r="O243" s="19">
        <f>IF($B243="","",ROUND(N($N243)+SUMIFS(资金日记账!$J$4:$J$2503,资金日记账!$G$4:$G$2503,$B243,资金日记账!$F$4:$F$2503,"收款-项目")-SUMIFS(资金日记账!$K$4:$K$2503,资金日记账!$G$4:$G$2503,$B243,资金日记账!$F$4:$F$2503,"收款-项目"),2))</f>
        <v/>
      </c>
      <c r="P243" s="19">
        <f>IF($B243="","",ROUND($M243-$O243,2))</f>
        <v/>
      </c>
      <c r="Q243" s="17">
        <f>IF($B243="","",IF(AND($J243&lt;&gt;"",ROUND($P243,2)&lt;=0),"已完工·已结清",IF($J243&lt;&gt;"","已完工·还有尾款",IF($I243&lt;&gt;"","已安装",IF($H243&lt;&gt;"","已制作",IF($G243&lt;&gt;"","设计完成","已下单"))))))</f>
        <v/>
      </c>
      <c r="R243" s="13" t="n"/>
      <c r="S243" s="17">
        <f>IF($B243="","",IF(COUNTIF($B$4:$B$403,$B243)&gt;1,"※项目名重复了",IF(AND($C243&lt;&gt;"",ISNA(MATCH($C243,客户表,0))),"※客户不在基础资料里",IF(AND($J243&lt;&gt;"",$F243&lt;&gt;"",$J243&lt;$F243),"※完工日期早于下单日期",""))))</f>
        <v/>
      </c>
    </row>
    <row r="244">
      <c r="A244" s="17">
        <f>IF($B244="","","P"&amp;TEXT(ROW()-3,"000"))</f>
        <v/>
      </c>
      <c r="B244" s="13" t="n"/>
      <c r="C244" s="13" t="n"/>
      <c r="D244" s="13" t="n"/>
      <c r="E244" s="13" t="n"/>
      <c r="F244" s="18" t="n"/>
      <c r="G244" s="18" t="n"/>
      <c r="H244" s="18" t="n"/>
      <c r="I244" s="18" t="n"/>
      <c r="J244" s="18" t="n"/>
      <c r="K244" s="14" t="n"/>
      <c r="L244" s="19">
        <f>IF($B244="","",ROUND(SUMIF(订单明细!$C:$C,$B244,订单明细!$I:$I),2))</f>
        <v/>
      </c>
      <c r="M244" s="19">
        <f>IF($B244="","",ROUND(N($K244)+N($L244),2))</f>
        <v/>
      </c>
      <c r="N244" s="14" t="n"/>
      <c r="O244" s="19">
        <f>IF($B244="","",ROUND(N($N244)+SUMIFS(资金日记账!$J$4:$J$2503,资金日记账!$G$4:$G$2503,$B244,资金日记账!$F$4:$F$2503,"收款-项目")-SUMIFS(资金日记账!$K$4:$K$2503,资金日记账!$G$4:$G$2503,$B244,资金日记账!$F$4:$F$2503,"收款-项目"),2))</f>
        <v/>
      </c>
      <c r="P244" s="19">
        <f>IF($B244="","",ROUND($M244-$O244,2))</f>
        <v/>
      </c>
      <c r="Q244" s="17">
        <f>IF($B244="","",IF(AND($J244&lt;&gt;"",ROUND($P244,2)&lt;=0),"已完工·已结清",IF($J244&lt;&gt;"","已完工·还有尾款",IF($I244&lt;&gt;"","已安装",IF($H244&lt;&gt;"","已制作",IF($G244&lt;&gt;"","设计完成","已下单"))))))</f>
        <v/>
      </c>
      <c r="R244" s="13" t="n"/>
      <c r="S244" s="17">
        <f>IF($B244="","",IF(COUNTIF($B$4:$B$403,$B244)&gt;1,"※项目名重复了",IF(AND($C244&lt;&gt;"",ISNA(MATCH($C244,客户表,0))),"※客户不在基础资料里",IF(AND($J244&lt;&gt;"",$F244&lt;&gt;"",$J244&lt;$F244),"※完工日期早于下单日期",""))))</f>
        <v/>
      </c>
    </row>
    <row r="245">
      <c r="A245" s="17">
        <f>IF($B245="","","P"&amp;TEXT(ROW()-3,"000"))</f>
        <v/>
      </c>
      <c r="B245" s="13" t="n"/>
      <c r="C245" s="13" t="n"/>
      <c r="D245" s="13" t="n"/>
      <c r="E245" s="13" t="n"/>
      <c r="F245" s="18" t="n"/>
      <c r="G245" s="18" t="n"/>
      <c r="H245" s="18" t="n"/>
      <c r="I245" s="18" t="n"/>
      <c r="J245" s="18" t="n"/>
      <c r="K245" s="14" t="n"/>
      <c r="L245" s="19">
        <f>IF($B245="","",ROUND(SUMIF(订单明细!$C:$C,$B245,订单明细!$I:$I),2))</f>
        <v/>
      </c>
      <c r="M245" s="19">
        <f>IF($B245="","",ROUND(N($K245)+N($L245),2))</f>
        <v/>
      </c>
      <c r="N245" s="14" t="n"/>
      <c r="O245" s="19">
        <f>IF($B245="","",ROUND(N($N245)+SUMIFS(资金日记账!$J$4:$J$2503,资金日记账!$G$4:$G$2503,$B245,资金日记账!$F$4:$F$2503,"收款-项目")-SUMIFS(资金日记账!$K$4:$K$2503,资金日记账!$G$4:$G$2503,$B245,资金日记账!$F$4:$F$2503,"收款-项目"),2))</f>
        <v/>
      </c>
      <c r="P245" s="19">
        <f>IF($B245="","",ROUND($M245-$O245,2))</f>
        <v/>
      </c>
      <c r="Q245" s="17">
        <f>IF($B245="","",IF(AND($J245&lt;&gt;"",ROUND($P245,2)&lt;=0),"已完工·已结清",IF($J245&lt;&gt;"","已完工·还有尾款",IF($I245&lt;&gt;"","已安装",IF($H245&lt;&gt;"","已制作",IF($G245&lt;&gt;"","设计完成","已下单"))))))</f>
        <v/>
      </c>
      <c r="R245" s="13" t="n"/>
      <c r="S245" s="17">
        <f>IF($B245="","",IF(COUNTIF($B$4:$B$403,$B245)&gt;1,"※项目名重复了",IF(AND($C245&lt;&gt;"",ISNA(MATCH($C245,客户表,0))),"※客户不在基础资料里",IF(AND($J245&lt;&gt;"",$F245&lt;&gt;"",$J245&lt;$F245),"※完工日期早于下单日期",""))))</f>
        <v/>
      </c>
    </row>
    <row r="246">
      <c r="A246" s="17">
        <f>IF($B246="","","P"&amp;TEXT(ROW()-3,"000"))</f>
        <v/>
      </c>
      <c r="B246" s="13" t="n"/>
      <c r="C246" s="13" t="n"/>
      <c r="D246" s="13" t="n"/>
      <c r="E246" s="13" t="n"/>
      <c r="F246" s="18" t="n"/>
      <c r="G246" s="18" t="n"/>
      <c r="H246" s="18" t="n"/>
      <c r="I246" s="18" t="n"/>
      <c r="J246" s="18" t="n"/>
      <c r="K246" s="14" t="n"/>
      <c r="L246" s="19">
        <f>IF($B246="","",ROUND(SUMIF(订单明细!$C:$C,$B246,订单明细!$I:$I),2))</f>
        <v/>
      </c>
      <c r="M246" s="19">
        <f>IF($B246="","",ROUND(N($K246)+N($L246),2))</f>
        <v/>
      </c>
      <c r="N246" s="14" t="n"/>
      <c r="O246" s="19">
        <f>IF($B246="","",ROUND(N($N246)+SUMIFS(资金日记账!$J$4:$J$2503,资金日记账!$G$4:$G$2503,$B246,资金日记账!$F$4:$F$2503,"收款-项目")-SUMIFS(资金日记账!$K$4:$K$2503,资金日记账!$G$4:$G$2503,$B246,资金日记账!$F$4:$F$2503,"收款-项目"),2))</f>
        <v/>
      </c>
      <c r="P246" s="19">
        <f>IF($B246="","",ROUND($M246-$O246,2))</f>
        <v/>
      </c>
      <c r="Q246" s="17">
        <f>IF($B246="","",IF(AND($J246&lt;&gt;"",ROUND($P246,2)&lt;=0),"已完工·已结清",IF($J246&lt;&gt;"","已完工·还有尾款",IF($I246&lt;&gt;"","已安装",IF($H246&lt;&gt;"","已制作",IF($G246&lt;&gt;"","设计完成","已下单"))))))</f>
        <v/>
      </c>
      <c r="R246" s="13" t="n"/>
      <c r="S246" s="17">
        <f>IF($B246="","",IF(COUNTIF($B$4:$B$403,$B246)&gt;1,"※项目名重复了",IF(AND($C246&lt;&gt;"",ISNA(MATCH($C246,客户表,0))),"※客户不在基础资料里",IF(AND($J246&lt;&gt;"",$F246&lt;&gt;"",$J246&lt;$F246),"※完工日期早于下单日期",""))))</f>
        <v/>
      </c>
    </row>
    <row r="247">
      <c r="A247" s="17">
        <f>IF($B247="","","P"&amp;TEXT(ROW()-3,"000"))</f>
        <v/>
      </c>
      <c r="B247" s="13" t="n"/>
      <c r="C247" s="13" t="n"/>
      <c r="D247" s="13" t="n"/>
      <c r="E247" s="13" t="n"/>
      <c r="F247" s="18" t="n"/>
      <c r="G247" s="18" t="n"/>
      <c r="H247" s="18" t="n"/>
      <c r="I247" s="18" t="n"/>
      <c r="J247" s="18" t="n"/>
      <c r="K247" s="14" t="n"/>
      <c r="L247" s="19">
        <f>IF($B247="","",ROUND(SUMIF(订单明细!$C:$C,$B247,订单明细!$I:$I),2))</f>
        <v/>
      </c>
      <c r="M247" s="19">
        <f>IF($B247="","",ROUND(N($K247)+N($L247),2))</f>
        <v/>
      </c>
      <c r="N247" s="14" t="n"/>
      <c r="O247" s="19">
        <f>IF($B247="","",ROUND(N($N247)+SUMIFS(资金日记账!$J$4:$J$2503,资金日记账!$G$4:$G$2503,$B247,资金日记账!$F$4:$F$2503,"收款-项目")-SUMIFS(资金日记账!$K$4:$K$2503,资金日记账!$G$4:$G$2503,$B247,资金日记账!$F$4:$F$2503,"收款-项目"),2))</f>
        <v/>
      </c>
      <c r="P247" s="19">
        <f>IF($B247="","",ROUND($M247-$O247,2))</f>
        <v/>
      </c>
      <c r="Q247" s="17">
        <f>IF($B247="","",IF(AND($J247&lt;&gt;"",ROUND($P247,2)&lt;=0),"已完工·已结清",IF($J247&lt;&gt;"","已完工·还有尾款",IF($I247&lt;&gt;"","已安装",IF($H247&lt;&gt;"","已制作",IF($G247&lt;&gt;"","设计完成","已下单"))))))</f>
        <v/>
      </c>
      <c r="R247" s="13" t="n"/>
      <c r="S247" s="17">
        <f>IF($B247="","",IF(COUNTIF($B$4:$B$403,$B247)&gt;1,"※项目名重复了",IF(AND($C247&lt;&gt;"",ISNA(MATCH($C247,客户表,0))),"※客户不在基础资料里",IF(AND($J247&lt;&gt;"",$F247&lt;&gt;"",$J247&lt;$F247),"※完工日期早于下单日期",""))))</f>
        <v/>
      </c>
    </row>
    <row r="248">
      <c r="A248" s="17">
        <f>IF($B248="","","P"&amp;TEXT(ROW()-3,"000"))</f>
        <v/>
      </c>
      <c r="B248" s="13" t="n"/>
      <c r="C248" s="13" t="n"/>
      <c r="D248" s="13" t="n"/>
      <c r="E248" s="13" t="n"/>
      <c r="F248" s="18" t="n"/>
      <c r="G248" s="18" t="n"/>
      <c r="H248" s="18" t="n"/>
      <c r="I248" s="18" t="n"/>
      <c r="J248" s="18" t="n"/>
      <c r="K248" s="14" t="n"/>
      <c r="L248" s="19">
        <f>IF($B248="","",ROUND(SUMIF(订单明细!$C:$C,$B248,订单明细!$I:$I),2))</f>
        <v/>
      </c>
      <c r="M248" s="19">
        <f>IF($B248="","",ROUND(N($K248)+N($L248),2))</f>
        <v/>
      </c>
      <c r="N248" s="14" t="n"/>
      <c r="O248" s="19">
        <f>IF($B248="","",ROUND(N($N248)+SUMIFS(资金日记账!$J$4:$J$2503,资金日记账!$G$4:$G$2503,$B248,资金日记账!$F$4:$F$2503,"收款-项目")-SUMIFS(资金日记账!$K$4:$K$2503,资金日记账!$G$4:$G$2503,$B248,资金日记账!$F$4:$F$2503,"收款-项目"),2))</f>
        <v/>
      </c>
      <c r="P248" s="19">
        <f>IF($B248="","",ROUND($M248-$O248,2))</f>
        <v/>
      </c>
      <c r="Q248" s="17">
        <f>IF($B248="","",IF(AND($J248&lt;&gt;"",ROUND($P248,2)&lt;=0),"已完工·已结清",IF($J248&lt;&gt;"","已完工·还有尾款",IF($I248&lt;&gt;"","已安装",IF($H248&lt;&gt;"","已制作",IF($G248&lt;&gt;"","设计完成","已下单"))))))</f>
        <v/>
      </c>
      <c r="R248" s="13" t="n"/>
      <c r="S248" s="17">
        <f>IF($B248="","",IF(COUNTIF($B$4:$B$403,$B248)&gt;1,"※项目名重复了",IF(AND($C248&lt;&gt;"",ISNA(MATCH($C248,客户表,0))),"※客户不在基础资料里",IF(AND($J248&lt;&gt;"",$F248&lt;&gt;"",$J248&lt;$F248),"※完工日期早于下单日期",""))))</f>
        <v/>
      </c>
    </row>
    <row r="249">
      <c r="A249" s="17">
        <f>IF($B249="","","P"&amp;TEXT(ROW()-3,"000"))</f>
        <v/>
      </c>
      <c r="B249" s="13" t="n"/>
      <c r="C249" s="13" t="n"/>
      <c r="D249" s="13" t="n"/>
      <c r="E249" s="13" t="n"/>
      <c r="F249" s="18" t="n"/>
      <c r="G249" s="18" t="n"/>
      <c r="H249" s="18" t="n"/>
      <c r="I249" s="18" t="n"/>
      <c r="J249" s="18" t="n"/>
      <c r="K249" s="14" t="n"/>
      <c r="L249" s="19">
        <f>IF($B249="","",ROUND(SUMIF(订单明细!$C:$C,$B249,订单明细!$I:$I),2))</f>
        <v/>
      </c>
      <c r="M249" s="19">
        <f>IF($B249="","",ROUND(N($K249)+N($L249),2))</f>
        <v/>
      </c>
      <c r="N249" s="14" t="n"/>
      <c r="O249" s="19">
        <f>IF($B249="","",ROUND(N($N249)+SUMIFS(资金日记账!$J$4:$J$2503,资金日记账!$G$4:$G$2503,$B249,资金日记账!$F$4:$F$2503,"收款-项目")-SUMIFS(资金日记账!$K$4:$K$2503,资金日记账!$G$4:$G$2503,$B249,资金日记账!$F$4:$F$2503,"收款-项目"),2))</f>
        <v/>
      </c>
      <c r="P249" s="19">
        <f>IF($B249="","",ROUND($M249-$O249,2))</f>
        <v/>
      </c>
      <c r="Q249" s="17">
        <f>IF($B249="","",IF(AND($J249&lt;&gt;"",ROUND($P249,2)&lt;=0),"已完工·已结清",IF($J249&lt;&gt;"","已完工·还有尾款",IF($I249&lt;&gt;"","已安装",IF($H249&lt;&gt;"","已制作",IF($G249&lt;&gt;"","设计完成","已下单"))))))</f>
        <v/>
      </c>
      <c r="R249" s="13" t="n"/>
      <c r="S249" s="17">
        <f>IF($B249="","",IF(COUNTIF($B$4:$B$403,$B249)&gt;1,"※项目名重复了",IF(AND($C249&lt;&gt;"",ISNA(MATCH($C249,客户表,0))),"※客户不在基础资料里",IF(AND($J249&lt;&gt;"",$F249&lt;&gt;"",$J249&lt;$F249),"※完工日期早于下单日期",""))))</f>
        <v/>
      </c>
    </row>
    <row r="250">
      <c r="A250" s="17">
        <f>IF($B250="","","P"&amp;TEXT(ROW()-3,"000"))</f>
        <v/>
      </c>
      <c r="B250" s="13" t="n"/>
      <c r="C250" s="13" t="n"/>
      <c r="D250" s="13" t="n"/>
      <c r="E250" s="13" t="n"/>
      <c r="F250" s="18" t="n"/>
      <c r="G250" s="18" t="n"/>
      <c r="H250" s="18" t="n"/>
      <c r="I250" s="18" t="n"/>
      <c r="J250" s="18" t="n"/>
      <c r="K250" s="14" t="n"/>
      <c r="L250" s="19">
        <f>IF($B250="","",ROUND(SUMIF(订单明细!$C:$C,$B250,订单明细!$I:$I),2))</f>
        <v/>
      </c>
      <c r="M250" s="19">
        <f>IF($B250="","",ROUND(N($K250)+N($L250),2))</f>
        <v/>
      </c>
      <c r="N250" s="14" t="n"/>
      <c r="O250" s="19">
        <f>IF($B250="","",ROUND(N($N250)+SUMIFS(资金日记账!$J$4:$J$2503,资金日记账!$G$4:$G$2503,$B250,资金日记账!$F$4:$F$2503,"收款-项目")-SUMIFS(资金日记账!$K$4:$K$2503,资金日记账!$G$4:$G$2503,$B250,资金日记账!$F$4:$F$2503,"收款-项目"),2))</f>
        <v/>
      </c>
      <c r="P250" s="19">
        <f>IF($B250="","",ROUND($M250-$O250,2))</f>
        <v/>
      </c>
      <c r="Q250" s="17">
        <f>IF($B250="","",IF(AND($J250&lt;&gt;"",ROUND($P250,2)&lt;=0),"已完工·已结清",IF($J250&lt;&gt;"","已完工·还有尾款",IF($I250&lt;&gt;"","已安装",IF($H250&lt;&gt;"","已制作",IF($G250&lt;&gt;"","设计完成","已下单"))))))</f>
        <v/>
      </c>
      <c r="R250" s="13" t="n"/>
      <c r="S250" s="17">
        <f>IF($B250="","",IF(COUNTIF($B$4:$B$403,$B250)&gt;1,"※项目名重复了",IF(AND($C250&lt;&gt;"",ISNA(MATCH($C250,客户表,0))),"※客户不在基础资料里",IF(AND($J250&lt;&gt;"",$F250&lt;&gt;"",$J250&lt;$F250),"※完工日期早于下单日期",""))))</f>
        <v/>
      </c>
    </row>
    <row r="251">
      <c r="A251" s="17">
        <f>IF($B251="","","P"&amp;TEXT(ROW()-3,"000"))</f>
        <v/>
      </c>
      <c r="B251" s="13" t="n"/>
      <c r="C251" s="13" t="n"/>
      <c r="D251" s="13" t="n"/>
      <c r="E251" s="13" t="n"/>
      <c r="F251" s="18" t="n"/>
      <c r="G251" s="18" t="n"/>
      <c r="H251" s="18" t="n"/>
      <c r="I251" s="18" t="n"/>
      <c r="J251" s="18" t="n"/>
      <c r="K251" s="14" t="n"/>
      <c r="L251" s="19">
        <f>IF($B251="","",ROUND(SUMIF(订单明细!$C:$C,$B251,订单明细!$I:$I),2))</f>
        <v/>
      </c>
      <c r="M251" s="19">
        <f>IF($B251="","",ROUND(N($K251)+N($L251),2))</f>
        <v/>
      </c>
      <c r="N251" s="14" t="n"/>
      <c r="O251" s="19">
        <f>IF($B251="","",ROUND(N($N251)+SUMIFS(资金日记账!$J$4:$J$2503,资金日记账!$G$4:$G$2503,$B251,资金日记账!$F$4:$F$2503,"收款-项目")-SUMIFS(资金日记账!$K$4:$K$2503,资金日记账!$G$4:$G$2503,$B251,资金日记账!$F$4:$F$2503,"收款-项目"),2))</f>
        <v/>
      </c>
      <c r="P251" s="19">
        <f>IF($B251="","",ROUND($M251-$O251,2))</f>
        <v/>
      </c>
      <c r="Q251" s="17">
        <f>IF($B251="","",IF(AND($J251&lt;&gt;"",ROUND($P251,2)&lt;=0),"已完工·已结清",IF($J251&lt;&gt;"","已完工·还有尾款",IF($I251&lt;&gt;"","已安装",IF($H251&lt;&gt;"","已制作",IF($G251&lt;&gt;"","设计完成","已下单"))))))</f>
        <v/>
      </c>
      <c r="R251" s="13" t="n"/>
      <c r="S251" s="17">
        <f>IF($B251="","",IF(COUNTIF($B$4:$B$403,$B251)&gt;1,"※项目名重复了",IF(AND($C251&lt;&gt;"",ISNA(MATCH($C251,客户表,0))),"※客户不在基础资料里",IF(AND($J251&lt;&gt;"",$F251&lt;&gt;"",$J251&lt;$F251),"※完工日期早于下单日期",""))))</f>
        <v/>
      </c>
    </row>
    <row r="252">
      <c r="A252" s="17">
        <f>IF($B252="","","P"&amp;TEXT(ROW()-3,"000"))</f>
        <v/>
      </c>
      <c r="B252" s="13" t="n"/>
      <c r="C252" s="13" t="n"/>
      <c r="D252" s="13" t="n"/>
      <c r="E252" s="13" t="n"/>
      <c r="F252" s="18" t="n"/>
      <c r="G252" s="18" t="n"/>
      <c r="H252" s="18" t="n"/>
      <c r="I252" s="18" t="n"/>
      <c r="J252" s="18" t="n"/>
      <c r="K252" s="14" t="n"/>
      <c r="L252" s="19">
        <f>IF($B252="","",ROUND(SUMIF(订单明细!$C:$C,$B252,订单明细!$I:$I),2))</f>
        <v/>
      </c>
      <c r="M252" s="19">
        <f>IF($B252="","",ROUND(N($K252)+N($L252),2))</f>
        <v/>
      </c>
      <c r="N252" s="14" t="n"/>
      <c r="O252" s="19">
        <f>IF($B252="","",ROUND(N($N252)+SUMIFS(资金日记账!$J$4:$J$2503,资金日记账!$G$4:$G$2503,$B252,资金日记账!$F$4:$F$2503,"收款-项目")-SUMIFS(资金日记账!$K$4:$K$2503,资金日记账!$G$4:$G$2503,$B252,资金日记账!$F$4:$F$2503,"收款-项目"),2))</f>
        <v/>
      </c>
      <c r="P252" s="19">
        <f>IF($B252="","",ROUND($M252-$O252,2))</f>
        <v/>
      </c>
      <c r="Q252" s="17">
        <f>IF($B252="","",IF(AND($J252&lt;&gt;"",ROUND($P252,2)&lt;=0),"已完工·已结清",IF($J252&lt;&gt;"","已完工·还有尾款",IF($I252&lt;&gt;"","已安装",IF($H252&lt;&gt;"","已制作",IF($G252&lt;&gt;"","设计完成","已下单"))))))</f>
        <v/>
      </c>
      <c r="R252" s="13" t="n"/>
      <c r="S252" s="17">
        <f>IF($B252="","",IF(COUNTIF($B$4:$B$403,$B252)&gt;1,"※项目名重复了",IF(AND($C252&lt;&gt;"",ISNA(MATCH($C252,客户表,0))),"※客户不在基础资料里",IF(AND($J252&lt;&gt;"",$F252&lt;&gt;"",$J252&lt;$F252),"※完工日期早于下单日期",""))))</f>
        <v/>
      </c>
    </row>
    <row r="253">
      <c r="A253" s="17">
        <f>IF($B253="","","P"&amp;TEXT(ROW()-3,"000"))</f>
        <v/>
      </c>
      <c r="B253" s="13" t="n"/>
      <c r="C253" s="13" t="n"/>
      <c r="D253" s="13" t="n"/>
      <c r="E253" s="13" t="n"/>
      <c r="F253" s="18" t="n"/>
      <c r="G253" s="18" t="n"/>
      <c r="H253" s="18" t="n"/>
      <c r="I253" s="18" t="n"/>
      <c r="J253" s="18" t="n"/>
      <c r="K253" s="14" t="n"/>
      <c r="L253" s="19">
        <f>IF($B253="","",ROUND(SUMIF(订单明细!$C:$C,$B253,订单明细!$I:$I),2))</f>
        <v/>
      </c>
      <c r="M253" s="19">
        <f>IF($B253="","",ROUND(N($K253)+N($L253),2))</f>
        <v/>
      </c>
      <c r="N253" s="14" t="n"/>
      <c r="O253" s="19">
        <f>IF($B253="","",ROUND(N($N253)+SUMIFS(资金日记账!$J$4:$J$2503,资金日记账!$G$4:$G$2503,$B253,资金日记账!$F$4:$F$2503,"收款-项目")-SUMIFS(资金日记账!$K$4:$K$2503,资金日记账!$G$4:$G$2503,$B253,资金日记账!$F$4:$F$2503,"收款-项目"),2))</f>
        <v/>
      </c>
      <c r="P253" s="19">
        <f>IF($B253="","",ROUND($M253-$O253,2))</f>
        <v/>
      </c>
      <c r="Q253" s="17">
        <f>IF($B253="","",IF(AND($J253&lt;&gt;"",ROUND($P253,2)&lt;=0),"已完工·已结清",IF($J253&lt;&gt;"","已完工·还有尾款",IF($I253&lt;&gt;"","已安装",IF($H253&lt;&gt;"","已制作",IF($G253&lt;&gt;"","设计完成","已下单"))))))</f>
        <v/>
      </c>
      <c r="R253" s="13" t="n"/>
      <c r="S253" s="17">
        <f>IF($B253="","",IF(COUNTIF($B$4:$B$403,$B253)&gt;1,"※项目名重复了",IF(AND($C253&lt;&gt;"",ISNA(MATCH($C253,客户表,0))),"※客户不在基础资料里",IF(AND($J253&lt;&gt;"",$F253&lt;&gt;"",$J253&lt;$F253),"※完工日期早于下单日期",""))))</f>
        <v/>
      </c>
    </row>
    <row r="254">
      <c r="A254" s="17">
        <f>IF($B254="","","P"&amp;TEXT(ROW()-3,"000"))</f>
        <v/>
      </c>
      <c r="B254" s="13" t="n"/>
      <c r="C254" s="13" t="n"/>
      <c r="D254" s="13" t="n"/>
      <c r="E254" s="13" t="n"/>
      <c r="F254" s="18" t="n"/>
      <c r="G254" s="18" t="n"/>
      <c r="H254" s="18" t="n"/>
      <c r="I254" s="18" t="n"/>
      <c r="J254" s="18" t="n"/>
      <c r="K254" s="14" t="n"/>
      <c r="L254" s="19">
        <f>IF($B254="","",ROUND(SUMIF(订单明细!$C:$C,$B254,订单明细!$I:$I),2))</f>
        <v/>
      </c>
      <c r="M254" s="19">
        <f>IF($B254="","",ROUND(N($K254)+N($L254),2))</f>
        <v/>
      </c>
      <c r="N254" s="14" t="n"/>
      <c r="O254" s="19">
        <f>IF($B254="","",ROUND(N($N254)+SUMIFS(资金日记账!$J$4:$J$2503,资金日记账!$G$4:$G$2503,$B254,资金日记账!$F$4:$F$2503,"收款-项目")-SUMIFS(资金日记账!$K$4:$K$2503,资金日记账!$G$4:$G$2503,$B254,资金日记账!$F$4:$F$2503,"收款-项目"),2))</f>
        <v/>
      </c>
      <c r="P254" s="19">
        <f>IF($B254="","",ROUND($M254-$O254,2))</f>
        <v/>
      </c>
      <c r="Q254" s="17">
        <f>IF($B254="","",IF(AND($J254&lt;&gt;"",ROUND($P254,2)&lt;=0),"已完工·已结清",IF($J254&lt;&gt;"","已完工·还有尾款",IF($I254&lt;&gt;"","已安装",IF($H254&lt;&gt;"","已制作",IF($G254&lt;&gt;"","设计完成","已下单"))))))</f>
        <v/>
      </c>
      <c r="R254" s="13" t="n"/>
      <c r="S254" s="17">
        <f>IF($B254="","",IF(COUNTIF($B$4:$B$403,$B254)&gt;1,"※项目名重复了",IF(AND($C254&lt;&gt;"",ISNA(MATCH($C254,客户表,0))),"※客户不在基础资料里",IF(AND($J254&lt;&gt;"",$F254&lt;&gt;"",$J254&lt;$F254),"※完工日期早于下单日期",""))))</f>
        <v/>
      </c>
    </row>
    <row r="255">
      <c r="A255" s="17">
        <f>IF($B255="","","P"&amp;TEXT(ROW()-3,"000"))</f>
        <v/>
      </c>
      <c r="B255" s="13" t="n"/>
      <c r="C255" s="13" t="n"/>
      <c r="D255" s="13" t="n"/>
      <c r="E255" s="13" t="n"/>
      <c r="F255" s="18" t="n"/>
      <c r="G255" s="18" t="n"/>
      <c r="H255" s="18" t="n"/>
      <c r="I255" s="18" t="n"/>
      <c r="J255" s="18" t="n"/>
      <c r="K255" s="14" t="n"/>
      <c r="L255" s="19">
        <f>IF($B255="","",ROUND(SUMIF(订单明细!$C:$C,$B255,订单明细!$I:$I),2))</f>
        <v/>
      </c>
      <c r="M255" s="19">
        <f>IF($B255="","",ROUND(N($K255)+N($L255),2))</f>
        <v/>
      </c>
      <c r="N255" s="14" t="n"/>
      <c r="O255" s="19">
        <f>IF($B255="","",ROUND(N($N255)+SUMIFS(资金日记账!$J$4:$J$2503,资金日记账!$G$4:$G$2503,$B255,资金日记账!$F$4:$F$2503,"收款-项目")-SUMIFS(资金日记账!$K$4:$K$2503,资金日记账!$G$4:$G$2503,$B255,资金日记账!$F$4:$F$2503,"收款-项目"),2))</f>
        <v/>
      </c>
      <c r="P255" s="19">
        <f>IF($B255="","",ROUND($M255-$O255,2))</f>
        <v/>
      </c>
      <c r="Q255" s="17">
        <f>IF($B255="","",IF(AND($J255&lt;&gt;"",ROUND($P255,2)&lt;=0),"已完工·已结清",IF($J255&lt;&gt;"","已完工·还有尾款",IF($I255&lt;&gt;"","已安装",IF($H255&lt;&gt;"","已制作",IF($G255&lt;&gt;"","设计完成","已下单"))))))</f>
        <v/>
      </c>
      <c r="R255" s="13" t="n"/>
      <c r="S255" s="17">
        <f>IF($B255="","",IF(COUNTIF($B$4:$B$403,$B255)&gt;1,"※项目名重复了",IF(AND($C255&lt;&gt;"",ISNA(MATCH($C255,客户表,0))),"※客户不在基础资料里",IF(AND($J255&lt;&gt;"",$F255&lt;&gt;"",$J255&lt;$F255),"※完工日期早于下单日期",""))))</f>
        <v/>
      </c>
    </row>
    <row r="256">
      <c r="A256" s="17">
        <f>IF($B256="","","P"&amp;TEXT(ROW()-3,"000"))</f>
        <v/>
      </c>
      <c r="B256" s="13" t="n"/>
      <c r="C256" s="13" t="n"/>
      <c r="D256" s="13" t="n"/>
      <c r="E256" s="13" t="n"/>
      <c r="F256" s="18" t="n"/>
      <c r="G256" s="18" t="n"/>
      <c r="H256" s="18" t="n"/>
      <c r="I256" s="18" t="n"/>
      <c r="J256" s="18" t="n"/>
      <c r="K256" s="14" t="n"/>
      <c r="L256" s="19">
        <f>IF($B256="","",ROUND(SUMIF(订单明细!$C:$C,$B256,订单明细!$I:$I),2))</f>
        <v/>
      </c>
      <c r="M256" s="19">
        <f>IF($B256="","",ROUND(N($K256)+N($L256),2))</f>
        <v/>
      </c>
      <c r="N256" s="14" t="n"/>
      <c r="O256" s="19">
        <f>IF($B256="","",ROUND(N($N256)+SUMIFS(资金日记账!$J$4:$J$2503,资金日记账!$G$4:$G$2503,$B256,资金日记账!$F$4:$F$2503,"收款-项目")-SUMIFS(资金日记账!$K$4:$K$2503,资金日记账!$G$4:$G$2503,$B256,资金日记账!$F$4:$F$2503,"收款-项目"),2))</f>
        <v/>
      </c>
      <c r="P256" s="19">
        <f>IF($B256="","",ROUND($M256-$O256,2))</f>
        <v/>
      </c>
      <c r="Q256" s="17">
        <f>IF($B256="","",IF(AND($J256&lt;&gt;"",ROUND($P256,2)&lt;=0),"已完工·已结清",IF($J256&lt;&gt;"","已完工·还有尾款",IF($I256&lt;&gt;"","已安装",IF($H256&lt;&gt;"","已制作",IF($G256&lt;&gt;"","设计完成","已下单"))))))</f>
        <v/>
      </c>
      <c r="R256" s="13" t="n"/>
      <c r="S256" s="17">
        <f>IF($B256="","",IF(COUNTIF($B$4:$B$403,$B256)&gt;1,"※项目名重复了",IF(AND($C256&lt;&gt;"",ISNA(MATCH($C256,客户表,0))),"※客户不在基础资料里",IF(AND($J256&lt;&gt;"",$F256&lt;&gt;"",$J256&lt;$F256),"※完工日期早于下单日期",""))))</f>
        <v/>
      </c>
    </row>
    <row r="257">
      <c r="A257" s="17">
        <f>IF($B257="","","P"&amp;TEXT(ROW()-3,"000"))</f>
        <v/>
      </c>
      <c r="B257" s="13" t="n"/>
      <c r="C257" s="13" t="n"/>
      <c r="D257" s="13" t="n"/>
      <c r="E257" s="13" t="n"/>
      <c r="F257" s="18" t="n"/>
      <c r="G257" s="18" t="n"/>
      <c r="H257" s="18" t="n"/>
      <c r="I257" s="18" t="n"/>
      <c r="J257" s="18" t="n"/>
      <c r="K257" s="14" t="n"/>
      <c r="L257" s="19">
        <f>IF($B257="","",ROUND(SUMIF(订单明细!$C:$C,$B257,订单明细!$I:$I),2))</f>
        <v/>
      </c>
      <c r="M257" s="19">
        <f>IF($B257="","",ROUND(N($K257)+N($L257),2))</f>
        <v/>
      </c>
      <c r="N257" s="14" t="n"/>
      <c r="O257" s="19">
        <f>IF($B257="","",ROUND(N($N257)+SUMIFS(资金日记账!$J$4:$J$2503,资金日记账!$G$4:$G$2503,$B257,资金日记账!$F$4:$F$2503,"收款-项目")-SUMIFS(资金日记账!$K$4:$K$2503,资金日记账!$G$4:$G$2503,$B257,资金日记账!$F$4:$F$2503,"收款-项目"),2))</f>
        <v/>
      </c>
      <c r="P257" s="19">
        <f>IF($B257="","",ROUND($M257-$O257,2))</f>
        <v/>
      </c>
      <c r="Q257" s="17">
        <f>IF($B257="","",IF(AND($J257&lt;&gt;"",ROUND($P257,2)&lt;=0),"已完工·已结清",IF($J257&lt;&gt;"","已完工·还有尾款",IF($I257&lt;&gt;"","已安装",IF($H257&lt;&gt;"","已制作",IF($G257&lt;&gt;"","设计完成","已下单"))))))</f>
        <v/>
      </c>
      <c r="R257" s="13" t="n"/>
      <c r="S257" s="17">
        <f>IF($B257="","",IF(COUNTIF($B$4:$B$403,$B257)&gt;1,"※项目名重复了",IF(AND($C257&lt;&gt;"",ISNA(MATCH($C257,客户表,0))),"※客户不在基础资料里",IF(AND($J257&lt;&gt;"",$F257&lt;&gt;"",$J257&lt;$F257),"※完工日期早于下单日期",""))))</f>
        <v/>
      </c>
    </row>
    <row r="258">
      <c r="A258" s="17">
        <f>IF($B258="","","P"&amp;TEXT(ROW()-3,"000"))</f>
        <v/>
      </c>
      <c r="B258" s="13" t="n"/>
      <c r="C258" s="13" t="n"/>
      <c r="D258" s="13" t="n"/>
      <c r="E258" s="13" t="n"/>
      <c r="F258" s="18" t="n"/>
      <c r="G258" s="18" t="n"/>
      <c r="H258" s="18" t="n"/>
      <c r="I258" s="18" t="n"/>
      <c r="J258" s="18" t="n"/>
      <c r="K258" s="14" t="n"/>
      <c r="L258" s="19">
        <f>IF($B258="","",ROUND(SUMIF(订单明细!$C:$C,$B258,订单明细!$I:$I),2))</f>
        <v/>
      </c>
      <c r="M258" s="19">
        <f>IF($B258="","",ROUND(N($K258)+N($L258),2))</f>
        <v/>
      </c>
      <c r="N258" s="14" t="n"/>
      <c r="O258" s="19">
        <f>IF($B258="","",ROUND(N($N258)+SUMIFS(资金日记账!$J$4:$J$2503,资金日记账!$G$4:$G$2503,$B258,资金日记账!$F$4:$F$2503,"收款-项目")-SUMIFS(资金日记账!$K$4:$K$2503,资金日记账!$G$4:$G$2503,$B258,资金日记账!$F$4:$F$2503,"收款-项目"),2))</f>
        <v/>
      </c>
      <c r="P258" s="19">
        <f>IF($B258="","",ROUND($M258-$O258,2))</f>
        <v/>
      </c>
      <c r="Q258" s="17">
        <f>IF($B258="","",IF(AND($J258&lt;&gt;"",ROUND($P258,2)&lt;=0),"已完工·已结清",IF($J258&lt;&gt;"","已完工·还有尾款",IF($I258&lt;&gt;"","已安装",IF($H258&lt;&gt;"","已制作",IF($G258&lt;&gt;"","设计完成","已下单"))))))</f>
        <v/>
      </c>
      <c r="R258" s="13" t="n"/>
      <c r="S258" s="17">
        <f>IF($B258="","",IF(COUNTIF($B$4:$B$403,$B258)&gt;1,"※项目名重复了",IF(AND($C258&lt;&gt;"",ISNA(MATCH($C258,客户表,0))),"※客户不在基础资料里",IF(AND($J258&lt;&gt;"",$F258&lt;&gt;"",$J258&lt;$F258),"※完工日期早于下单日期",""))))</f>
        <v/>
      </c>
    </row>
    <row r="259">
      <c r="A259" s="17">
        <f>IF($B259="","","P"&amp;TEXT(ROW()-3,"000"))</f>
        <v/>
      </c>
      <c r="B259" s="13" t="n"/>
      <c r="C259" s="13" t="n"/>
      <c r="D259" s="13" t="n"/>
      <c r="E259" s="13" t="n"/>
      <c r="F259" s="18" t="n"/>
      <c r="G259" s="18" t="n"/>
      <c r="H259" s="18" t="n"/>
      <c r="I259" s="18" t="n"/>
      <c r="J259" s="18" t="n"/>
      <c r="K259" s="14" t="n"/>
      <c r="L259" s="19">
        <f>IF($B259="","",ROUND(SUMIF(订单明细!$C:$C,$B259,订单明细!$I:$I),2))</f>
        <v/>
      </c>
      <c r="M259" s="19">
        <f>IF($B259="","",ROUND(N($K259)+N($L259),2))</f>
        <v/>
      </c>
      <c r="N259" s="14" t="n"/>
      <c r="O259" s="19">
        <f>IF($B259="","",ROUND(N($N259)+SUMIFS(资金日记账!$J$4:$J$2503,资金日记账!$G$4:$G$2503,$B259,资金日记账!$F$4:$F$2503,"收款-项目")-SUMIFS(资金日记账!$K$4:$K$2503,资金日记账!$G$4:$G$2503,$B259,资金日记账!$F$4:$F$2503,"收款-项目"),2))</f>
        <v/>
      </c>
      <c r="P259" s="19">
        <f>IF($B259="","",ROUND($M259-$O259,2))</f>
        <v/>
      </c>
      <c r="Q259" s="17">
        <f>IF($B259="","",IF(AND($J259&lt;&gt;"",ROUND($P259,2)&lt;=0),"已完工·已结清",IF($J259&lt;&gt;"","已完工·还有尾款",IF($I259&lt;&gt;"","已安装",IF($H259&lt;&gt;"","已制作",IF($G259&lt;&gt;"","设计完成","已下单"))))))</f>
        <v/>
      </c>
      <c r="R259" s="13" t="n"/>
      <c r="S259" s="17">
        <f>IF($B259="","",IF(COUNTIF($B$4:$B$403,$B259)&gt;1,"※项目名重复了",IF(AND($C259&lt;&gt;"",ISNA(MATCH($C259,客户表,0))),"※客户不在基础资料里",IF(AND($J259&lt;&gt;"",$F259&lt;&gt;"",$J259&lt;$F259),"※完工日期早于下单日期",""))))</f>
        <v/>
      </c>
    </row>
    <row r="260">
      <c r="A260" s="17">
        <f>IF($B260="","","P"&amp;TEXT(ROW()-3,"000"))</f>
        <v/>
      </c>
      <c r="B260" s="13" t="n"/>
      <c r="C260" s="13" t="n"/>
      <c r="D260" s="13" t="n"/>
      <c r="E260" s="13" t="n"/>
      <c r="F260" s="18" t="n"/>
      <c r="G260" s="18" t="n"/>
      <c r="H260" s="18" t="n"/>
      <c r="I260" s="18" t="n"/>
      <c r="J260" s="18" t="n"/>
      <c r="K260" s="14" t="n"/>
      <c r="L260" s="19">
        <f>IF($B260="","",ROUND(SUMIF(订单明细!$C:$C,$B260,订单明细!$I:$I),2))</f>
        <v/>
      </c>
      <c r="M260" s="19">
        <f>IF($B260="","",ROUND(N($K260)+N($L260),2))</f>
        <v/>
      </c>
      <c r="N260" s="14" t="n"/>
      <c r="O260" s="19">
        <f>IF($B260="","",ROUND(N($N260)+SUMIFS(资金日记账!$J$4:$J$2503,资金日记账!$G$4:$G$2503,$B260,资金日记账!$F$4:$F$2503,"收款-项目")-SUMIFS(资金日记账!$K$4:$K$2503,资金日记账!$G$4:$G$2503,$B260,资金日记账!$F$4:$F$2503,"收款-项目"),2))</f>
        <v/>
      </c>
      <c r="P260" s="19">
        <f>IF($B260="","",ROUND($M260-$O260,2))</f>
        <v/>
      </c>
      <c r="Q260" s="17">
        <f>IF($B260="","",IF(AND($J260&lt;&gt;"",ROUND($P260,2)&lt;=0),"已完工·已结清",IF($J260&lt;&gt;"","已完工·还有尾款",IF($I260&lt;&gt;"","已安装",IF($H260&lt;&gt;"","已制作",IF($G260&lt;&gt;"","设计完成","已下单"))))))</f>
        <v/>
      </c>
      <c r="R260" s="13" t="n"/>
      <c r="S260" s="17">
        <f>IF($B260="","",IF(COUNTIF($B$4:$B$403,$B260)&gt;1,"※项目名重复了",IF(AND($C260&lt;&gt;"",ISNA(MATCH($C260,客户表,0))),"※客户不在基础资料里",IF(AND($J260&lt;&gt;"",$F260&lt;&gt;"",$J260&lt;$F260),"※完工日期早于下单日期",""))))</f>
        <v/>
      </c>
    </row>
    <row r="261">
      <c r="A261" s="17">
        <f>IF($B261="","","P"&amp;TEXT(ROW()-3,"000"))</f>
        <v/>
      </c>
      <c r="B261" s="13" t="n"/>
      <c r="C261" s="13" t="n"/>
      <c r="D261" s="13" t="n"/>
      <c r="E261" s="13" t="n"/>
      <c r="F261" s="18" t="n"/>
      <c r="G261" s="18" t="n"/>
      <c r="H261" s="18" t="n"/>
      <c r="I261" s="18" t="n"/>
      <c r="J261" s="18" t="n"/>
      <c r="K261" s="14" t="n"/>
      <c r="L261" s="19">
        <f>IF($B261="","",ROUND(SUMIF(订单明细!$C:$C,$B261,订单明细!$I:$I),2))</f>
        <v/>
      </c>
      <c r="M261" s="19">
        <f>IF($B261="","",ROUND(N($K261)+N($L261),2))</f>
        <v/>
      </c>
      <c r="N261" s="14" t="n"/>
      <c r="O261" s="19">
        <f>IF($B261="","",ROUND(N($N261)+SUMIFS(资金日记账!$J$4:$J$2503,资金日记账!$G$4:$G$2503,$B261,资金日记账!$F$4:$F$2503,"收款-项目")-SUMIFS(资金日记账!$K$4:$K$2503,资金日记账!$G$4:$G$2503,$B261,资金日记账!$F$4:$F$2503,"收款-项目"),2))</f>
        <v/>
      </c>
      <c r="P261" s="19">
        <f>IF($B261="","",ROUND($M261-$O261,2))</f>
        <v/>
      </c>
      <c r="Q261" s="17">
        <f>IF($B261="","",IF(AND($J261&lt;&gt;"",ROUND($P261,2)&lt;=0),"已完工·已结清",IF($J261&lt;&gt;"","已完工·还有尾款",IF($I261&lt;&gt;"","已安装",IF($H261&lt;&gt;"","已制作",IF($G261&lt;&gt;"","设计完成","已下单"))))))</f>
        <v/>
      </c>
      <c r="R261" s="13" t="n"/>
      <c r="S261" s="17">
        <f>IF($B261="","",IF(COUNTIF($B$4:$B$403,$B261)&gt;1,"※项目名重复了",IF(AND($C261&lt;&gt;"",ISNA(MATCH($C261,客户表,0))),"※客户不在基础资料里",IF(AND($J261&lt;&gt;"",$F261&lt;&gt;"",$J261&lt;$F261),"※完工日期早于下单日期",""))))</f>
        <v/>
      </c>
    </row>
    <row r="262">
      <c r="A262" s="17">
        <f>IF($B262="","","P"&amp;TEXT(ROW()-3,"000"))</f>
        <v/>
      </c>
      <c r="B262" s="13" t="n"/>
      <c r="C262" s="13" t="n"/>
      <c r="D262" s="13" t="n"/>
      <c r="E262" s="13" t="n"/>
      <c r="F262" s="18" t="n"/>
      <c r="G262" s="18" t="n"/>
      <c r="H262" s="18" t="n"/>
      <c r="I262" s="18" t="n"/>
      <c r="J262" s="18" t="n"/>
      <c r="K262" s="14" t="n"/>
      <c r="L262" s="19">
        <f>IF($B262="","",ROUND(SUMIF(订单明细!$C:$C,$B262,订单明细!$I:$I),2))</f>
        <v/>
      </c>
      <c r="M262" s="19">
        <f>IF($B262="","",ROUND(N($K262)+N($L262),2))</f>
        <v/>
      </c>
      <c r="N262" s="14" t="n"/>
      <c r="O262" s="19">
        <f>IF($B262="","",ROUND(N($N262)+SUMIFS(资金日记账!$J$4:$J$2503,资金日记账!$G$4:$G$2503,$B262,资金日记账!$F$4:$F$2503,"收款-项目")-SUMIFS(资金日记账!$K$4:$K$2503,资金日记账!$G$4:$G$2503,$B262,资金日记账!$F$4:$F$2503,"收款-项目"),2))</f>
        <v/>
      </c>
      <c r="P262" s="19">
        <f>IF($B262="","",ROUND($M262-$O262,2))</f>
        <v/>
      </c>
      <c r="Q262" s="17">
        <f>IF($B262="","",IF(AND($J262&lt;&gt;"",ROUND($P262,2)&lt;=0),"已完工·已结清",IF($J262&lt;&gt;"","已完工·还有尾款",IF($I262&lt;&gt;"","已安装",IF($H262&lt;&gt;"","已制作",IF($G262&lt;&gt;"","设计完成","已下单"))))))</f>
        <v/>
      </c>
      <c r="R262" s="13" t="n"/>
      <c r="S262" s="17">
        <f>IF($B262="","",IF(COUNTIF($B$4:$B$403,$B262)&gt;1,"※项目名重复了",IF(AND($C262&lt;&gt;"",ISNA(MATCH($C262,客户表,0))),"※客户不在基础资料里",IF(AND($J262&lt;&gt;"",$F262&lt;&gt;"",$J262&lt;$F262),"※完工日期早于下单日期",""))))</f>
        <v/>
      </c>
    </row>
    <row r="263">
      <c r="A263" s="17">
        <f>IF($B263="","","P"&amp;TEXT(ROW()-3,"000"))</f>
        <v/>
      </c>
      <c r="B263" s="13" t="n"/>
      <c r="C263" s="13" t="n"/>
      <c r="D263" s="13" t="n"/>
      <c r="E263" s="13" t="n"/>
      <c r="F263" s="18" t="n"/>
      <c r="G263" s="18" t="n"/>
      <c r="H263" s="18" t="n"/>
      <c r="I263" s="18" t="n"/>
      <c r="J263" s="18" t="n"/>
      <c r="K263" s="14" t="n"/>
      <c r="L263" s="19">
        <f>IF($B263="","",ROUND(SUMIF(订单明细!$C:$C,$B263,订单明细!$I:$I),2))</f>
        <v/>
      </c>
      <c r="M263" s="19">
        <f>IF($B263="","",ROUND(N($K263)+N($L263),2))</f>
        <v/>
      </c>
      <c r="N263" s="14" t="n"/>
      <c r="O263" s="19">
        <f>IF($B263="","",ROUND(N($N263)+SUMIFS(资金日记账!$J$4:$J$2503,资金日记账!$G$4:$G$2503,$B263,资金日记账!$F$4:$F$2503,"收款-项目")-SUMIFS(资金日记账!$K$4:$K$2503,资金日记账!$G$4:$G$2503,$B263,资金日记账!$F$4:$F$2503,"收款-项目"),2))</f>
        <v/>
      </c>
      <c r="P263" s="19">
        <f>IF($B263="","",ROUND($M263-$O263,2))</f>
        <v/>
      </c>
      <c r="Q263" s="17">
        <f>IF($B263="","",IF(AND($J263&lt;&gt;"",ROUND($P263,2)&lt;=0),"已完工·已结清",IF($J263&lt;&gt;"","已完工·还有尾款",IF($I263&lt;&gt;"","已安装",IF($H263&lt;&gt;"","已制作",IF($G263&lt;&gt;"","设计完成","已下单"))))))</f>
        <v/>
      </c>
      <c r="R263" s="13" t="n"/>
      <c r="S263" s="17">
        <f>IF($B263="","",IF(COUNTIF($B$4:$B$403,$B263)&gt;1,"※项目名重复了",IF(AND($C263&lt;&gt;"",ISNA(MATCH($C263,客户表,0))),"※客户不在基础资料里",IF(AND($J263&lt;&gt;"",$F263&lt;&gt;"",$J263&lt;$F263),"※完工日期早于下单日期",""))))</f>
        <v/>
      </c>
    </row>
    <row r="264">
      <c r="A264" s="17">
        <f>IF($B264="","","P"&amp;TEXT(ROW()-3,"000"))</f>
        <v/>
      </c>
      <c r="B264" s="13" t="n"/>
      <c r="C264" s="13" t="n"/>
      <c r="D264" s="13" t="n"/>
      <c r="E264" s="13" t="n"/>
      <c r="F264" s="18" t="n"/>
      <c r="G264" s="18" t="n"/>
      <c r="H264" s="18" t="n"/>
      <c r="I264" s="18" t="n"/>
      <c r="J264" s="18" t="n"/>
      <c r="K264" s="14" t="n"/>
      <c r="L264" s="19">
        <f>IF($B264="","",ROUND(SUMIF(订单明细!$C:$C,$B264,订单明细!$I:$I),2))</f>
        <v/>
      </c>
      <c r="M264" s="19">
        <f>IF($B264="","",ROUND(N($K264)+N($L264),2))</f>
        <v/>
      </c>
      <c r="N264" s="14" t="n"/>
      <c r="O264" s="19">
        <f>IF($B264="","",ROUND(N($N264)+SUMIFS(资金日记账!$J$4:$J$2503,资金日记账!$G$4:$G$2503,$B264,资金日记账!$F$4:$F$2503,"收款-项目")-SUMIFS(资金日记账!$K$4:$K$2503,资金日记账!$G$4:$G$2503,$B264,资金日记账!$F$4:$F$2503,"收款-项目"),2))</f>
        <v/>
      </c>
      <c r="P264" s="19">
        <f>IF($B264="","",ROUND($M264-$O264,2))</f>
        <v/>
      </c>
      <c r="Q264" s="17">
        <f>IF($B264="","",IF(AND($J264&lt;&gt;"",ROUND($P264,2)&lt;=0),"已完工·已结清",IF($J264&lt;&gt;"","已完工·还有尾款",IF($I264&lt;&gt;"","已安装",IF($H264&lt;&gt;"","已制作",IF($G264&lt;&gt;"","设计完成","已下单"))))))</f>
        <v/>
      </c>
      <c r="R264" s="13" t="n"/>
      <c r="S264" s="17">
        <f>IF($B264="","",IF(COUNTIF($B$4:$B$403,$B264)&gt;1,"※项目名重复了",IF(AND($C264&lt;&gt;"",ISNA(MATCH($C264,客户表,0))),"※客户不在基础资料里",IF(AND($J264&lt;&gt;"",$F264&lt;&gt;"",$J264&lt;$F264),"※完工日期早于下单日期",""))))</f>
        <v/>
      </c>
    </row>
    <row r="265">
      <c r="A265" s="17">
        <f>IF($B265="","","P"&amp;TEXT(ROW()-3,"000"))</f>
        <v/>
      </c>
      <c r="B265" s="13" t="n"/>
      <c r="C265" s="13" t="n"/>
      <c r="D265" s="13" t="n"/>
      <c r="E265" s="13" t="n"/>
      <c r="F265" s="18" t="n"/>
      <c r="G265" s="18" t="n"/>
      <c r="H265" s="18" t="n"/>
      <c r="I265" s="18" t="n"/>
      <c r="J265" s="18" t="n"/>
      <c r="K265" s="14" t="n"/>
      <c r="L265" s="19">
        <f>IF($B265="","",ROUND(SUMIF(订单明细!$C:$C,$B265,订单明细!$I:$I),2))</f>
        <v/>
      </c>
      <c r="M265" s="19">
        <f>IF($B265="","",ROUND(N($K265)+N($L265),2))</f>
        <v/>
      </c>
      <c r="N265" s="14" t="n"/>
      <c r="O265" s="19">
        <f>IF($B265="","",ROUND(N($N265)+SUMIFS(资金日记账!$J$4:$J$2503,资金日记账!$G$4:$G$2503,$B265,资金日记账!$F$4:$F$2503,"收款-项目")-SUMIFS(资金日记账!$K$4:$K$2503,资金日记账!$G$4:$G$2503,$B265,资金日记账!$F$4:$F$2503,"收款-项目"),2))</f>
        <v/>
      </c>
      <c r="P265" s="19">
        <f>IF($B265="","",ROUND($M265-$O265,2))</f>
        <v/>
      </c>
      <c r="Q265" s="17">
        <f>IF($B265="","",IF(AND($J265&lt;&gt;"",ROUND($P265,2)&lt;=0),"已完工·已结清",IF($J265&lt;&gt;"","已完工·还有尾款",IF($I265&lt;&gt;"","已安装",IF($H265&lt;&gt;"","已制作",IF($G265&lt;&gt;"","设计完成","已下单"))))))</f>
        <v/>
      </c>
      <c r="R265" s="13" t="n"/>
      <c r="S265" s="17">
        <f>IF($B265="","",IF(COUNTIF($B$4:$B$403,$B265)&gt;1,"※项目名重复了",IF(AND($C265&lt;&gt;"",ISNA(MATCH($C265,客户表,0))),"※客户不在基础资料里",IF(AND($J265&lt;&gt;"",$F265&lt;&gt;"",$J265&lt;$F265),"※完工日期早于下单日期",""))))</f>
        <v/>
      </c>
    </row>
    <row r="266">
      <c r="A266" s="17">
        <f>IF($B266="","","P"&amp;TEXT(ROW()-3,"000"))</f>
        <v/>
      </c>
      <c r="B266" s="13" t="n"/>
      <c r="C266" s="13" t="n"/>
      <c r="D266" s="13" t="n"/>
      <c r="E266" s="13" t="n"/>
      <c r="F266" s="18" t="n"/>
      <c r="G266" s="18" t="n"/>
      <c r="H266" s="18" t="n"/>
      <c r="I266" s="18" t="n"/>
      <c r="J266" s="18" t="n"/>
      <c r="K266" s="14" t="n"/>
      <c r="L266" s="19">
        <f>IF($B266="","",ROUND(SUMIF(订单明细!$C:$C,$B266,订单明细!$I:$I),2))</f>
        <v/>
      </c>
      <c r="M266" s="19">
        <f>IF($B266="","",ROUND(N($K266)+N($L266),2))</f>
        <v/>
      </c>
      <c r="N266" s="14" t="n"/>
      <c r="O266" s="19">
        <f>IF($B266="","",ROUND(N($N266)+SUMIFS(资金日记账!$J$4:$J$2503,资金日记账!$G$4:$G$2503,$B266,资金日记账!$F$4:$F$2503,"收款-项目")-SUMIFS(资金日记账!$K$4:$K$2503,资金日记账!$G$4:$G$2503,$B266,资金日记账!$F$4:$F$2503,"收款-项目"),2))</f>
        <v/>
      </c>
      <c r="P266" s="19">
        <f>IF($B266="","",ROUND($M266-$O266,2))</f>
        <v/>
      </c>
      <c r="Q266" s="17">
        <f>IF($B266="","",IF(AND($J266&lt;&gt;"",ROUND($P266,2)&lt;=0),"已完工·已结清",IF($J266&lt;&gt;"","已完工·还有尾款",IF($I266&lt;&gt;"","已安装",IF($H266&lt;&gt;"","已制作",IF($G266&lt;&gt;"","设计完成","已下单"))))))</f>
        <v/>
      </c>
      <c r="R266" s="13" t="n"/>
      <c r="S266" s="17">
        <f>IF($B266="","",IF(COUNTIF($B$4:$B$403,$B266)&gt;1,"※项目名重复了",IF(AND($C266&lt;&gt;"",ISNA(MATCH($C266,客户表,0))),"※客户不在基础资料里",IF(AND($J266&lt;&gt;"",$F266&lt;&gt;"",$J266&lt;$F266),"※完工日期早于下单日期",""))))</f>
        <v/>
      </c>
    </row>
    <row r="267">
      <c r="A267" s="17">
        <f>IF($B267="","","P"&amp;TEXT(ROW()-3,"000"))</f>
        <v/>
      </c>
      <c r="B267" s="13" t="n"/>
      <c r="C267" s="13" t="n"/>
      <c r="D267" s="13" t="n"/>
      <c r="E267" s="13" t="n"/>
      <c r="F267" s="18" t="n"/>
      <c r="G267" s="18" t="n"/>
      <c r="H267" s="18" t="n"/>
      <c r="I267" s="18" t="n"/>
      <c r="J267" s="18" t="n"/>
      <c r="K267" s="14" t="n"/>
      <c r="L267" s="19">
        <f>IF($B267="","",ROUND(SUMIF(订单明细!$C:$C,$B267,订单明细!$I:$I),2))</f>
        <v/>
      </c>
      <c r="M267" s="19">
        <f>IF($B267="","",ROUND(N($K267)+N($L267),2))</f>
        <v/>
      </c>
      <c r="N267" s="14" t="n"/>
      <c r="O267" s="19">
        <f>IF($B267="","",ROUND(N($N267)+SUMIFS(资金日记账!$J$4:$J$2503,资金日记账!$G$4:$G$2503,$B267,资金日记账!$F$4:$F$2503,"收款-项目")-SUMIFS(资金日记账!$K$4:$K$2503,资金日记账!$G$4:$G$2503,$B267,资金日记账!$F$4:$F$2503,"收款-项目"),2))</f>
        <v/>
      </c>
      <c r="P267" s="19">
        <f>IF($B267="","",ROUND($M267-$O267,2))</f>
        <v/>
      </c>
      <c r="Q267" s="17">
        <f>IF($B267="","",IF(AND($J267&lt;&gt;"",ROUND($P267,2)&lt;=0),"已完工·已结清",IF($J267&lt;&gt;"","已完工·还有尾款",IF($I267&lt;&gt;"","已安装",IF($H267&lt;&gt;"","已制作",IF($G267&lt;&gt;"","设计完成","已下单"))))))</f>
        <v/>
      </c>
      <c r="R267" s="13" t="n"/>
      <c r="S267" s="17">
        <f>IF($B267="","",IF(COUNTIF($B$4:$B$403,$B267)&gt;1,"※项目名重复了",IF(AND($C267&lt;&gt;"",ISNA(MATCH($C267,客户表,0))),"※客户不在基础资料里",IF(AND($J267&lt;&gt;"",$F267&lt;&gt;"",$J267&lt;$F267),"※完工日期早于下单日期",""))))</f>
        <v/>
      </c>
    </row>
    <row r="268">
      <c r="A268" s="17">
        <f>IF($B268="","","P"&amp;TEXT(ROW()-3,"000"))</f>
        <v/>
      </c>
      <c r="B268" s="13" t="n"/>
      <c r="C268" s="13" t="n"/>
      <c r="D268" s="13" t="n"/>
      <c r="E268" s="13" t="n"/>
      <c r="F268" s="18" t="n"/>
      <c r="G268" s="18" t="n"/>
      <c r="H268" s="18" t="n"/>
      <c r="I268" s="18" t="n"/>
      <c r="J268" s="18" t="n"/>
      <c r="K268" s="14" t="n"/>
      <c r="L268" s="19">
        <f>IF($B268="","",ROUND(SUMIF(订单明细!$C:$C,$B268,订单明细!$I:$I),2))</f>
        <v/>
      </c>
      <c r="M268" s="19">
        <f>IF($B268="","",ROUND(N($K268)+N($L268),2))</f>
        <v/>
      </c>
      <c r="N268" s="14" t="n"/>
      <c r="O268" s="19">
        <f>IF($B268="","",ROUND(N($N268)+SUMIFS(资金日记账!$J$4:$J$2503,资金日记账!$G$4:$G$2503,$B268,资金日记账!$F$4:$F$2503,"收款-项目")-SUMIFS(资金日记账!$K$4:$K$2503,资金日记账!$G$4:$G$2503,$B268,资金日记账!$F$4:$F$2503,"收款-项目"),2))</f>
        <v/>
      </c>
      <c r="P268" s="19">
        <f>IF($B268="","",ROUND($M268-$O268,2))</f>
        <v/>
      </c>
      <c r="Q268" s="17">
        <f>IF($B268="","",IF(AND($J268&lt;&gt;"",ROUND($P268,2)&lt;=0),"已完工·已结清",IF($J268&lt;&gt;"","已完工·还有尾款",IF($I268&lt;&gt;"","已安装",IF($H268&lt;&gt;"","已制作",IF($G268&lt;&gt;"","设计完成","已下单"))))))</f>
        <v/>
      </c>
      <c r="R268" s="13" t="n"/>
      <c r="S268" s="17">
        <f>IF($B268="","",IF(COUNTIF($B$4:$B$403,$B268)&gt;1,"※项目名重复了",IF(AND($C268&lt;&gt;"",ISNA(MATCH($C268,客户表,0))),"※客户不在基础资料里",IF(AND($J268&lt;&gt;"",$F268&lt;&gt;"",$J268&lt;$F268),"※完工日期早于下单日期",""))))</f>
        <v/>
      </c>
    </row>
    <row r="269">
      <c r="A269" s="17">
        <f>IF($B269="","","P"&amp;TEXT(ROW()-3,"000"))</f>
        <v/>
      </c>
      <c r="B269" s="13" t="n"/>
      <c r="C269" s="13" t="n"/>
      <c r="D269" s="13" t="n"/>
      <c r="E269" s="13" t="n"/>
      <c r="F269" s="18" t="n"/>
      <c r="G269" s="18" t="n"/>
      <c r="H269" s="18" t="n"/>
      <c r="I269" s="18" t="n"/>
      <c r="J269" s="18" t="n"/>
      <c r="K269" s="14" t="n"/>
      <c r="L269" s="19">
        <f>IF($B269="","",ROUND(SUMIF(订单明细!$C:$C,$B269,订单明细!$I:$I),2))</f>
        <v/>
      </c>
      <c r="M269" s="19">
        <f>IF($B269="","",ROUND(N($K269)+N($L269),2))</f>
        <v/>
      </c>
      <c r="N269" s="14" t="n"/>
      <c r="O269" s="19">
        <f>IF($B269="","",ROUND(N($N269)+SUMIFS(资金日记账!$J$4:$J$2503,资金日记账!$G$4:$G$2503,$B269,资金日记账!$F$4:$F$2503,"收款-项目")-SUMIFS(资金日记账!$K$4:$K$2503,资金日记账!$G$4:$G$2503,$B269,资金日记账!$F$4:$F$2503,"收款-项目"),2))</f>
        <v/>
      </c>
      <c r="P269" s="19">
        <f>IF($B269="","",ROUND($M269-$O269,2))</f>
        <v/>
      </c>
      <c r="Q269" s="17">
        <f>IF($B269="","",IF(AND($J269&lt;&gt;"",ROUND($P269,2)&lt;=0),"已完工·已结清",IF($J269&lt;&gt;"","已完工·还有尾款",IF($I269&lt;&gt;"","已安装",IF($H269&lt;&gt;"","已制作",IF($G269&lt;&gt;"","设计完成","已下单"))))))</f>
        <v/>
      </c>
      <c r="R269" s="13" t="n"/>
      <c r="S269" s="17">
        <f>IF($B269="","",IF(COUNTIF($B$4:$B$403,$B269)&gt;1,"※项目名重复了",IF(AND($C269&lt;&gt;"",ISNA(MATCH($C269,客户表,0))),"※客户不在基础资料里",IF(AND($J269&lt;&gt;"",$F269&lt;&gt;"",$J269&lt;$F269),"※完工日期早于下单日期",""))))</f>
        <v/>
      </c>
    </row>
    <row r="270">
      <c r="A270" s="17">
        <f>IF($B270="","","P"&amp;TEXT(ROW()-3,"000"))</f>
        <v/>
      </c>
      <c r="B270" s="13" t="n"/>
      <c r="C270" s="13" t="n"/>
      <c r="D270" s="13" t="n"/>
      <c r="E270" s="13" t="n"/>
      <c r="F270" s="18" t="n"/>
      <c r="G270" s="18" t="n"/>
      <c r="H270" s="18" t="n"/>
      <c r="I270" s="18" t="n"/>
      <c r="J270" s="18" t="n"/>
      <c r="K270" s="14" t="n"/>
      <c r="L270" s="19">
        <f>IF($B270="","",ROUND(SUMIF(订单明细!$C:$C,$B270,订单明细!$I:$I),2))</f>
        <v/>
      </c>
      <c r="M270" s="19">
        <f>IF($B270="","",ROUND(N($K270)+N($L270),2))</f>
        <v/>
      </c>
      <c r="N270" s="14" t="n"/>
      <c r="O270" s="19">
        <f>IF($B270="","",ROUND(N($N270)+SUMIFS(资金日记账!$J$4:$J$2503,资金日记账!$G$4:$G$2503,$B270,资金日记账!$F$4:$F$2503,"收款-项目")-SUMIFS(资金日记账!$K$4:$K$2503,资金日记账!$G$4:$G$2503,$B270,资金日记账!$F$4:$F$2503,"收款-项目"),2))</f>
        <v/>
      </c>
      <c r="P270" s="19">
        <f>IF($B270="","",ROUND($M270-$O270,2))</f>
        <v/>
      </c>
      <c r="Q270" s="17">
        <f>IF($B270="","",IF(AND($J270&lt;&gt;"",ROUND($P270,2)&lt;=0),"已完工·已结清",IF($J270&lt;&gt;"","已完工·还有尾款",IF($I270&lt;&gt;"","已安装",IF($H270&lt;&gt;"","已制作",IF($G270&lt;&gt;"","设计完成","已下单"))))))</f>
        <v/>
      </c>
      <c r="R270" s="13" t="n"/>
      <c r="S270" s="17">
        <f>IF($B270="","",IF(COUNTIF($B$4:$B$403,$B270)&gt;1,"※项目名重复了",IF(AND($C270&lt;&gt;"",ISNA(MATCH($C270,客户表,0))),"※客户不在基础资料里",IF(AND($J270&lt;&gt;"",$F270&lt;&gt;"",$J270&lt;$F270),"※完工日期早于下单日期",""))))</f>
        <v/>
      </c>
    </row>
    <row r="271">
      <c r="A271" s="17">
        <f>IF($B271="","","P"&amp;TEXT(ROW()-3,"000"))</f>
        <v/>
      </c>
      <c r="B271" s="13" t="n"/>
      <c r="C271" s="13" t="n"/>
      <c r="D271" s="13" t="n"/>
      <c r="E271" s="13" t="n"/>
      <c r="F271" s="18" t="n"/>
      <c r="G271" s="18" t="n"/>
      <c r="H271" s="18" t="n"/>
      <c r="I271" s="18" t="n"/>
      <c r="J271" s="18" t="n"/>
      <c r="K271" s="14" t="n"/>
      <c r="L271" s="19">
        <f>IF($B271="","",ROUND(SUMIF(订单明细!$C:$C,$B271,订单明细!$I:$I),2))</f>
        <v/>
      </c>
      <c r="M271" s="19">
        <f>IF($B271="","",ROUND(N($K271)+N($L271),2))</f>
        <v/>
      </c>
      <c r="N271" s="14" t="n"/>
      <c r="O271" s="19">
        <f>IF($B271="","",ROUND(N($N271)+SUMIFS(资金日记账!$J$4:$J$2503,资金日记账!$G$4:$G$2503,$B271,资金日记账!$F$4:$F$2503,"收款-项目")-SUMIFS(资金日记账!$K$4:$K$2503,资金日记账!$G$4:$G$2503,$B271,资金日记账!$F$4:$F$2503,"收款-项目"),2))</f>
        <v/>
      </c>
      <c r="P271" s="19">
        <f>IF($B271="","",ROUND($M271-$O271,2))</f>
        <v/>
      </c>
      <c r="Q271" s="17">
        <f>IF($B271="","",IF(AND($J271&lt;&gt;"",ROUND($P271,2)&lt;=0),"已完工·已结清",IF($J271&lt;&gt;"","已完工·还有尾款",IF($I271&lt;&gt;"","已安装",IF($H271&lt;&gt;"","已制作",IF($G271&lt;&gt;"","设计完成","已下单"))))))</f>
        <v/>
      </c>
      <c r="R271" s="13" t="n"/>
      <c r="S271" s="17">
        <f>IF($B271="","",IF(COUNTIF($B$4:$B$403,$B271)&gt;1,"※项目名重复了",IF(AND($C271&lt;&gt;"",ISNA(MATCH($C271,客户表,0))),"※客户不在基础资料里",IF(AND($J271&lt;&gt;"",$F271&lt;&gt;"",$J271&lt;$F271),"※完工日期早于下单日期",""))))</f>
        <v/>
      </c>
    </row>
    <row r="272">
      <c r="A272" s="17">
        <f>IF($B272="","","P"&amp;TEXT(ROW()-3,"000"))</f>
        <v/>
      </c>
      <c r="B272" s="13" t="n"/>
      <c r="C272" s="13" t="n"/>
      <c r="D272" s="13" t="n"/>
      <c r="E272" s="13" t="n"/>
      <c r="F272" s="18" t="n"/>
      <c r="G272" s="18" t="n"/>
      <c r="H272" s="18" t="n"/>
      <c r="I272" s="18" t="n"/>
      <c r="J272" s="18" t="n"/>
      <c r="K272" s="14" t="n"/>
      <c r="L272" s="19">
        <f>IF($B272="","",ROUND(SUMIF(订单明细!$C:$C,$B272,订单明细!$I:$I),2))</f>
        <v/>
      </c>
      <c r="M272" s="19">
        <f>IF($B272="","",ROUND(N($K272)+N($L272),2))</f>
        <v/>
      </c>
      <c r="N272" s="14" t="n"/>
      <c r="O272" s="19">
        <f>IF($B272="","",ROUND(N($N272)+SUMIFS(资金日记账!$J$4:$J$2503,资金日记账!$G$4:$G$2503,$B272,资金日记账!$F$4:$F$2503,"收款-项目")-SUMIFS(资金日记账!$K$4:$K$2503,资金日记账!$G$4:$G$2503,$B272,资金日记账!$F$4:$F$2503,"收款-项目"),2))</f>
        <v/>
      </c>
      <c r="P272" s="19">
        <f>IF($B272="","",ROUND($M272-$O272,2))</f>
        <v/>
      </c>
      <c r="Q272" s="17">
        <f>IF($B272="","",IF(AND($J272&lt;&gt;"",ROUND($P272,2)&lt;=0),"已完工·已结清",IF($J272&lt;&gt;"","已完工·还有尾款",IF($I272&lt;&gt;"","已安装",IF($H272&lt;&gt;"","已制作",IF($G272&lt;&gt;"","设计完成","已下单"))))))</f>
        <v/>
      </c>
      <c r="R272" s="13" t="n"/>
      <c r="S272" s="17">
        <f>IF($B272="","",IF(COUNTIF($B$4:$B$403,$B272)&gt;1,"※项目名重复了",IF(AND($C272&lt;&gt;"",ISNA(MATCH($C272,客户表,0))),"※客户不在基础资料里",IF(AND($J272&lt;&gt;"",$F272&lt;&gt;"",$J272&lt;$F272),"※完工日期早于下单日期",""))))</f>
        <v/>
      </c>
    </row>
    <row r="273">
      <c r="A273" s="17">
        <f>IF($B273="","","P"&amp;TEXT(ROW()-3,"000"))</f>
        <v/>
      </c>
      <c r="B273" s="13" t="n"/>
      <c r="C273" s="13" t="n"/>
      <c r="D273" s="13" t="n"/>
      <c r="E273" s="13" t="n"/>
      <c r="F273" s="18" t="n"/>
      <c r="G273" s="18" t="n"/>
      <c r="H273" s="18" t="n"/>
      <c r="I273" s="18" t="n"/>
      <c r="J273" s="18" t="n"/>
      <c r="K273" s="14" t="n"/>
      <c r="L273" s="19">
        <f>IF($B273="","",ROUND(SUMIF(订单明细!$C:$C,$B273,订单明细!$I:$I),2))</f>
        <v/>
      </c>
      <c r="M273" s="19">
        <f>IF($B273="","",ROUND(N($K273)+N($L273),2))</f>
        <v/>
      </c>
      <c r="N273" s="14" t="n"/>
      <c r="O273" s="19">
        <f>IF($B273="","",ROUND(N($N273)+SUMIFS(资金日记账!$J$4:$J$2503,资金日记账!$G$4:$G$2503,$B273,资金日记账!$F$4:$F$2503,"收款-项目")-SUMIFS(资金日记账!$K$4:$K$2503,资金日记账!$G$4:$G$2503,$B273,资金日记账!$F$4:$F$2503,"收款-项目"),2))</f>
        <v/>
      </c>
      <c r="P273" s="19">
        <f>IF($B273="","",ROUND($M273-$O273,2))</f>
        <v/>
      </c>
      <c r="Q273" s="17">
        <f>IF($B273="","",IF(AND($J273&lt;&gt;"",ROUND($P273,2)&lt;=0),"已完工·已结清",IF($J273&lt;&gt;"","已完工·还有尾款",IF($I273&lt;&gt;"","已安装",IF($H273&lt;&gt;"","已制作",IF($G273&lt;&gt;"","设计完成","已下单"))))))</f>
        <v/>
      </c>
      <c r="R273" s="13" t="n"/>
      <c r="S273" s="17">
        <f>IF($B273="","",IF(COUNTIF($B$4:$B$403,$B273)&gt;1,"※项目名重复了",IF(AND($C273&lt;&gt;"",ISNA(MATCH($C273,客户表,0))),"※客户不在基础资料里",IF(AND($J273&lt;&gt;"",$F273&lt;&gt;"",$J273&lt;$F273),"※完工日期早于下单日期",""))))</f>
        <v/>
      </c>
    </row>
    <row r="274">
      <c r="A274" s="17">
        <f>IF($B274="","","P"&amp;TEXT(ROW()-3,"000"))</f>
        <v/>
      </c>
      <c r="B274" s="13" t="n"/>
      <c r="C274" s="13" t="n"/>
      <c r="D274" s="13" t="n"/>
      <c r="E274" s="13" t="n"/>
      <c r="F274" s="18" t="n"/>
      <c r="G274" s="18" t="n"/>
      <c r="H274" s="18" t="n"/>
      <c r="I274" s="18" t="n"/>
      <c r="J274" s="18" t="n"/>
      <c r="K274" s="14" t="n"/>
      <c r="L274" s="19">
        <f>IF($B274="","",ROUND(SUMIF(订单明细!$C:$C,$B274,订单明细!$I:$I),2))</f>
        <v/>
      </c>
      <c r="M274" s="19">
        <f>IF($B274="","",ROUND(N($K274)+N($L274),2))</f>
        <v/>
      </c>
      <c r="N274" s="14" t="n"/>
      <c r="O274" s="19">
        <f>IF($B274="","",ROUND(N($N274)+SUMIFS(资金日记账!$J$4:$J$2503,资金日记账!$G$4:$G$2503,$B274,资金日记账!$F$4:$F$2503,"收款-项目")-SUMIFS(资金日记账!$K$4:$K$2503,资金日记账!$G$4:$G$2503,$B274,资金日记账!$F$4:$F$2503,"收款-项目"),2))</f>
        <v/>
      </c>
      <c r="P274" s="19">
        <f>IF($B274="","",ROUND($M274-$O274,2))</f>
        <v/>
      </c>
      <c r="Q274" s="17">
        <f>IF($B274="","",IF(AND($J274&lt;&gt;"",ROUND($P274,2)&lt;=0),"已完工·已结清",IF($J274&lt;&gt;"","已完工·还有尾款",IF($I274&lt;&gt;"","已安装",IF($H274&lt;&gt;"","已制作",IF($G274&lt;&gt;"","设计完成","已下单"))))))</f>
        <v/>
      </c>
      <c r="R274" s="13" t="n"/>
      <c r="S274" s="17">
        <f>IF($B274="","",IF(COUNTIF($B$4:$B$403,$B274)&gt;1,"※项目名重复了",IF(AND($C274&lt;&gt;"",ISNA(MATCH($C274,客户表,0))),"※客户不在基础资料里",IF(AND($J274&lt;&gt;"",$F274&lt;&gt;"",$J274&lt;$F274),"※完工日期早于下单日期",""))))</f>
        <v/>
      </c>
    </row>
    <row r="275">
      <c r="A275" s="17">
        <f>IF($B275="","","P"&amp;TEXT(ROW()-3,"000"))</f>
        <v/>
      </c>
      <c r="B275" s="13" t="n"/>
      <c r="C275" s="13" t="n"/>
      <c r="D275" s="13" t="n"/>
      <c r="E275" s="13" t="n"/>
      <c r="F275" s="18" t="n"/>
      <c r="G275" s="18" t="n"/>
      <c r="H275" s="18" t="n"/>
      <c r="I275" s="18" t="n"/>
      <c r="J275" s="18" t="n"/>
      <c r="K275" s="14" t="n"/>
      <c r="L275" s="19">
        <f>IF($B275="","",ROUND(SUMIF(订单明细!$C:$C,$B275,订单明细!$I:$I),2))</f>
        <v/>
      </c>
      <c r="M275" s="19">
        <f>IF($B275="","",ROUND(N($K275)+N($L275),2))</f>
        <v/>
      </c>
      <c r="N275" s="14" t="n"/>
      <c r="O275" s="19">
        <f>IF($B275="","",ROUND(N($N275)+SUMIFS(资金日记账!$J$4:$J$2503,资金日记账!$G$4:$G$2503,$B275,资金日记账!$F$4:$F$2503,"收款-项目")-SUMIFS(资金日记账!$K$4:$K$2503,资金日记账!$G$4:$G$2503,$B275,资金日记账!$F$4:$F$2503,"收款-项目"),2))</f>
        <v/>
      </c>
      <c r="P275" s="19">
        <f>IF($B275="","",ROUND($M275-$O275,2))</f>
        <v/>
      </c>
      <c r="Q275" s="17">
        <f>IF($B275="","",IF(AND($J275&lt;&gt;"",ROUND($P275,2)&lt;=0),"已完工·已结清",IF($J275&lt;&gt;"","已完工·还有尾款",IF($I275&lt;&gt;"","已安装",IF($H275&lt;&gt;"","已制作",IF($G275&lt;&gt;"","设计完成","已下单"))))))</f>
        <v/>
      </c>
      <c r="R275" s="13" t="n"/>
      <c r="S275" s="17">
        <f>IF($B275="","",IF(COUNTIF($B$4:$B$403,$B275)&gt;1,"※项目名重复了",IF(AND($C275&lt;&gt;"",ISNA(MATCH($C275,客户表,0))),"※客户不在基础资料里",IF(AND($J275&lt;&gt;"",$F275&lt;&gt;"",$J275&lt;$F275),"※完工日期早于下单日期",""))))</f>
        <v/>
      </c>
    </row>
    <row r="276">
      <c r="A276" s="17">
        <f>IF($B276="","","P"&amp;TEXT(ROW()-3,"000"))</f>
        <v/>
      </c>
      <c r="B276" s="13" t="n"/>
      <c r="C276" s="13" t="n"/>
      <c r="D276" s="13" t="n"/>
      <c r="E276" s="13" t="n"/>
      <c r="F276" s="18" t="n"/>
      <c r="G276" s="18" t="n"/>
      <c r="H276" s="18" t="n"/>
      <c r="I276" s="18" t="n"/>
      <c r="J276" s="18" t="n"/>
      <c r="K276" s="14" t="n"/>
      <c r="L276" s="19">
        <f>IF($B276="","",ROUND(SUMIF(订单明细!$C:$C,$B276,订单明细!$I:$I),2))</f>
        <v/>
      </c>
      <c r="M276" s="19">
        <f>IF($B276="","",ROUND(N($K276)+N($L276),2))</f>
        <v/>
      </c>
      <c r="N276" s="14" t="n"/>
      <c r="O276" s="19">
        <f>IF($B276="","",ROUND(N($N276)+SUMIFS(资金日记账!$J$4:$J$2503,资金日记账!$G$4:$G$2503,$B276,资金日记账!$F$4:$F$2503,"收款-项目")-SUMIFS(资金日记账!$K$4:$K$2503,资金日记账!$G$4:$G$2503,$B276,资金日记账!$F$4:$F$2503,"收款-项目"),2))</f>
        <v/>
      </c>
      <c r="P276" s="19">
        <f>IF($B276="","",ROUND($M276-$O276,2))</f>
        <v/>
      </c>
      <c r="Q276" s="17">
        <f>IF($B276="","",IF(AND($J276&lt;&gt;"",ROUND($P276,2)&lt;=0),"已完工·已结清",IF($J276&lt;&gt;"","已完工·还有尾款",IF($I276&lt;&gt;"","已安装",IF($H276&lt;&gt;"","已制作",IF($G276&lt;&gt;"","设计完成","已下单"))))))</f>
        <v/>
      </c>
      <c r="R276" s="13" t="n"/>
      <c r="S276" s="17">
        <f>IF($B276="","",IF(COUNTIF($B$4:$B$403,$B276)&gt;1,"※项目名重复了",IF(AND($C276&lt;&gt;"",ISNA(MATCH($C276,客户表,0))),"※客户不在基础资料里",IF(AND($J276&lt;&gt;"",$F276&lt;&gt;"",$J276&lt;$F276),"※完工日期早于下单日期",""))))</f>
        <v/>
      </c>
    </row>
    <row r="277">
      <c r="A277" s="17">
        <f>IF($B277="","","P"&amp;TEXT(ROW()-3,"000"))</f>
        <v/>
      </c>
      <c r="B277" s="13" t="n"/>
      <c r="C277" s="13" t="n"/>
      <c r="D277" s="13" t="n"/>
      <c r="E277" s="13" t="n"/>
      <c r="F277" s="18" t="n"/>
      <c r="G277" s="18" t="n"/>
      <c r="H277" s="18" t="n"/>
      <c r="I277" s="18" t="n"/>
      <c r="J277" s="18" t="n"/>
      <c r="K277" s="14" t="n"/>
      <c r="L277" s="19">
        <f>IF($B277="","",ROUND(SUMIF(订单明细!$C:$C,$B277,订单明细!$I:$I),2))</f>
        <v/>
      </c>
      <c r="M277" s="19">
        <f>IF($B277="","",ROUND(N($K277)+N($L277),2))</f>
        <v/>
      </c>
      <c r="N277" s="14" t="n"/>
      <c r="O277" s="19">
        <f>IF($B277="","",ROUND(N($N277)+SUMIFS(资金日记账!$J$4:$J$2503,资金日记账!$G$4:$G$2503,$B277,资金日记账!$F$4:$F$2503,"收款-项目")-SUMIFS(资金日记账!$K$4:$K$2503,资金日记账!$G$4:$G$2503,$B277,资金日记账!$F$4:$F$2503,"收款-项目"),2))</f>
        <v/>
      </c>
      <c r="P277" s="19">
        <f>IF($B277="","",ROUND($M277-$O277,2))</f>
        <v/>
      </c>
      <c r="Q277" s="17">
        <f>IF($B277="","",IF(AND($J277&lt;&gt;"",ROUND($P277,2)&lt;=0),"已完工·已结清",IF($J277&lt;&gt;"","已完工·还有尾款",IF($I277&lt;&gt;"","已安装",IF($H277&lt;&gt;"","已制作",IF($G277&lt;&gt;"","设计完成","已下单"))))))</f>
        <v/>
      </c>
      <c r="R277" s="13" t="n"/>
      <c r="S277" s="17">
        <f>IF($B277="","",IF(COUNTIF($B$4:$B$403,$B277)&gt;1,"※项目名重复了",IF(AND($C277&lt;&gt;"",ISNA(MATCH($C277,客户表,0))),"※客户不在基础资料里",IF(AND($J277&lt;&gt;"",$F277&lt;&gt;"",$J277&lt;$F277),"※完工日期早于下单日期",""))))</f>
        <v/>
      </c>
    </row>
    <row r="278">
      <c r="A278" s="17">
        <f>IF($B278="","","P"&amp;TEXT(ROW()-3,"000"))</f>
        <v/>
      </c>
      <c r="B278" s="13" t="n"/>
      <c r="C278" s="13" t="n"/>
      <c r="D278" s="13" t="n"/>
      <c r="E278" s="13" t="n"/>
      <c r="F278" s="18" t="n"/>
      <c r="G278" s="18" t="n"/>
      <c r="H278" s="18" t="n"/>
      <c r="I278" s="18" t="n"/>
      <c r="J278" s="18" t="n"/>
      <c r="K278" s="14" t="n"/>
      <c r="L278" s="19">
        <f>IF($B278="","",ROUND(SUMIF(订单明细!$C:$C,$B278,订单明细!$I:$I),2))</f>
        <v/>
      </c>
      <c r="M278" s="19">
        <f>IF($B278="","",ROUND(N($K278)+N($L278),2))</f>
        <v/>
      </c>
      <c r="N278" s="14" t="n"/>
      <c r="O278" s="19">
        <f>IF($B278="","",ROUND(N($N278)+SUMIFS(资金日记账!$J$4:$J$2503,资金日记账!$G$4:$G$2503,$B278,资金日记账!$F$4:$F$2503,"收款-项目")-SUMIFS(资金日记账!$K$4:$K$2503,资金日记账!$G$4:$G$2503,$B278,资金日记账!$F$4:$F$2503,"收款-项目"),2))</f>
        <v/>
      </c>
      <c r="P278" s="19">
        <f>IF($B278="","",ROUND($M278-$O278,2))</f>
        <v/>
      </c>
      <c r="Q278" s="17">
        <f>IF($B278="","",IF(AND($J278&lt;&gt;"",ROUND($P278,2)&lt;=0),"已完工·已结清",IF($J278&lt;&gt;"","已完工·还有尾款",IF($I278&lt;&gt;"","已安装",IF($H278&lt;&gt;"","已制作",IF($G278&lt;&gt;"","设计完成","已下单"))))))</f>
        <v/>
      </c>
      <c r="R278" s="13" t="n"/>
      <c r="S278" s="17">
        <f>IF($B278="","",IF(COUNTIF($B$4:$B$403,$B278)&gt;1,"※项目名重复了",IF(AND($C278&lt;&gt;"",ISNA(MATCH($C278,客户表,0))),"※客户不在基础资料里",IF(AND($J278&lt;&gt;"",$F278&lt;&gt;"",$J278&lt;$F278),"※完工日期早于下单日期",""))))</f>
        <v/>
      </c>
    </row>
    <row r="279">
      <c r="A279" s="17">
        <f>IF($B279="","","P"&amp;TEXT(ROW()-3,"000"))</f>
        <v/>
      </c>
      <c r="B279" s="13" t="n"/>
      <c r="C279" s="13" t="n"/>
      <c r="D279" s="13" t="n"/>
      <c r="E279" s="13" t="n"/>
      <c r="F279" s="18" t="n"/>
      <c r="G279" s="18" t="n"/>
      <c r="H279" s="18" t="n"/>
      <c r="I279" s="18" t="n"/>
      <c r="J279" s="18" t="n"/>
      <c r="K279" s="14" t="n"/>
      <c r="L279" s="19">
        <f>IF($B279="","",ROUND(SUMIF(订单明细!$C:$C,$B279,订单明细!$I:$I),2))</f>
        <v/>
      </c>
      <c r="M279" s="19">
        <f>IF($B279="","",ROUND(N($K279)+N($L279),2))</f>
        <v/>
      </c>
      <c r="N279" s="14" t="n"/>
      <c r="O279" s="19">
        <f>IF($B279="","",ROUND(N($N279)+SUMIFS(资金日记账!$J$4:$J$2503,资金日记账!$G$4:$G$2503,$B279,资金日记账!$F$4:$F$2503,"收款-项目")-SUMIFS(资金日记账!$K$4:$K$2503,资金日记账!$G$4:$G$2503,$B279,资金日记账!$F$4:$F$2503,"收款-项目"),2))</f>
        <v/>
      </c>
      <c r="P279" s="19">
        <f>IF($B279="","",ROUND($M279-$O279,2))</f>
        <v/>
      </c>
      <c r="Q279" s="17">
        <f>IF($B279="","",IF(AND($J279&lt;&gt;"",ROUND($P279,2)&lt;=0),"已完工·已结清",IF($J279&lt;&gt;"","已完工·还有尾款",IF($I279&lt;&gt;"","已安装",IF($H279&lt;&gt;"","已制作",IF($G279&lt;&gt;"","设计完成","已下单"))))))</f>
        <v/>
      </c>
      <c r="R279" s="13" t="n"/>
      <c r="S279" s="17">
        <f>IF($B279="","",IF(COUNTIF($B$4:$B$403,$B279)&gt;1,"※项目名重复了",IF(AND($C279&lt;&gt;"",ISNA(MATCH($C279,客户表,0))),"※客户不在基础资料里",IF(AND($J279&lt;&gt;"",$F279&lt;&gt;"",$J279&lt;$F279),"※完工日期早于下单日期",""))))</f>
        <v/>
      </c>
    </row>
    <row r="280">
      <c r="A280" s="17">
        <f>IF($B280="","","P"&amp;TEXT(ROW()-3,"000"))</f>
        <v/>
      </c>
      <c r="B280" s="13" t="n"/>
      <c r="C280" s="13" t="n"/>
      <c r="D280" s="13" t="n"/>
      <c r="E280" s="13" t="n"/>
      <c r="F280" s="18" t="n"/>
      <c r="G280" s="18" t="n"/>
      <c r="H280" s="18" t="n"/>
      <c r="I280" s="18" t="n"/>
      <c r="J280" s="18" t="n"/>
      <c r="K280" s="14" t="n"/>
      <c r="L280" s="19">
        <f>IF($B280="","",ROUND(SUMIF(订单明细!$C:$C,$B280,订单明细!$I:$I),2))</f>
        <v/>
      </c>
      <c r="M280" s="19">
        <f>IF($B280="","",ROUND(N($K280)+N($L280),2))</f>
        <v/>
      </c>
      <c r="N280" s="14" t="n"/>
      <c r="O280" s="19">
        <f>IF($B280="","",ROUND(N($N280)+SUMIFS(资金日记账!$J$4:$J$2503,资金日记账!$G$4:$G$2503,$B280,资金日记账!$F$4:$F$2503,"收款-项目")-SUMIFS(资金日记账!$K$4:$K$2503,资金日记账!$G$4:$G$2503,$B280,资金日记账!$F$4:$F$2503,"收款-项目"),2))</f>
        <v/>
      </c>
      <c r="P280" s="19">
        <f>IF($B280="","",ROUND($M280-$O280,2))</f>
        <v/>
      </c>
      <c r="Q280" s="17">
        <f>IF($B280="","",IF(AND($J280&lt;&gt;"",ROUND($P280,2)&lt;=0),"已完工·已结清",IF($J280&lt;&gt;"","已完工·还有尾款",IF($I280&lt;&gt;"","已安装",IF($H280&lt;&gt;"","已制作",IF($G280&lt;&gt;"","设计完成","已下单"))))))</f>
        <v/>
      </c>
      <c r="R280" s="13" t="n"/>
      <c r="S280" s="17">
        <f>IF($B280="","",IF(COUNTIF($B$4:$B$403,$B280)&gt;1,"※项目名重复了",IF(AND($C280&lt;&gt;"",ISNA(MATCH($C280,客户表,0))),"※客户不在基础资料里",IF(AND($J280&lt;&gt;"",$F280&lt;&gt;"",$J280&lt;$F280),"※完工日期早于下单日期",""))))</f>
        <v/>
      </c>
    </row>
    <row r="281">
      <c r="A281" s="17">
        <f>IF($B281="","","P"&amp;TEXT(ROW()-3,"000"))</f>
        <v/>
      </c>
      <c r="B281" s="13" t="n"/>
      <c r="C281" s="13" t="n"/>
      <c r="D281" s="13" t="n"/>
      <c r="E281" s="13" t="n"/>
      <c r="F281" s="18" t="n"/>
      <c r="G281" s="18" t="n"/>
      <c r="H281" s="18" t="n"/>
      <c r="I281" s="18" t="n"/>
      <c r="J281" s="18" t="n"/>
      <c r="K281" s="14" t="n"/>
      <c r="L281" s="19">
        <f>IF($B281="","",ROUND(SUMIF(订单明细!$C:$C,$B281,订单明细!$I:$I),2))</f>
        <v/>
      </c>
      <c r="M281" s="19">
        <f>IF($B281="","",ROUND(N($K281)+N($L281),2))</f>
        <v/>
      </c>
      <c r="N281" s="14" t="n"/>
      <c r="O281" s="19">
        <f>IF($B281="","",ROUND(N($N281)+SUMIFS(资金日记账!$J$4:$J$2503,资金日记账!$G$4:$G$2503,$B281,资金日记账!$F$4:$F$2503,"收款-项目")-SUMIFS(资金日记账!$K$4:$K$2503,资金日记账!$G$4:$G$2503,$B281,资金日记账!$F$4:$F$2503,"收款-项目"),2))</f>
        <v/>
      </c>
      <c r="P281" s="19">
        <f>IF($B281="","",ROUND($M281-$O281,2))</f>
        <v/>
      </c>
      <c r="Q281" s="17">
        <f>IF($B281="","",IF(AND($J281&lt;&gt;"",ROUND($P281,2)&lt;=0),"已完工·已结清",IF($J281&lt;&gt;"","已完工·还有尾款",IF($I281&lt;&gt;"","已安装",IF($H281&lt;&gt;"","已制作",IF($G281&lt;&gt;"","设计完成","已下单"))))))</f>
        <v/>
      </c>
      <c r="R281" s="13" t="n"/>
      <c r="S281" s="17">
        <f>IF($B281="","",IF(COUNTIF($B$4:$B$403,$B281)&gt;1,"※项目名重复了",IF(AND($C281&lt;&gt;"",ISNA(MATCH($C281,客户表,0))),"※客户不在基础资料里",IF(AND($J281&lt;&gt;"",$F281&lt;&gt;"",$J281&lt;$F281),"※完工日期早于下单日期",""))))</f>
        <v/>
      </c>
    </row>
    <row r="282">
      <c r="A282" s="17">
        <f>IF($B282="","","P"&amp;TEXT(ROW()-3,"000"))</f>
        <v/>
      </c>
      <c r="B282" s="13" t="n"/>
      <c r="C282" s="13" t="n"/>
      <c r="D282" s="13" t="n"/>
      <c r="E282" s="13" t="n"/>
      <c r="F282" s="18" t="n"/>
      <c r="G282" s="18" t="n"/>
      <c r="H282" s="18" t="n"/>
      <c r="I282" s="18" t="n"/>
      <c r="J282" s="18" t="n"/>
      <c r="K282" s="14" t="n"/>
      <c r="L282" s="19">
        <f>IF($B282="","",ROUND(SUMIF(订单明细!$C:$C,$B282,订单明细!$I:$I),2))</f>
        <v/>
      </c>
      <c r="M282" s="19">
        <f>IF($B282="","",ROUND(N($K282)+N($L282),2))</f>
        <v/>
      </c>
      <c r="N282" s="14" t="n"/>
      <c r="O282" s="19">
        <f>IF($B282="","",ROUND(N($N282)+SUMIFS(资金日记账!$J$4:$J$2503,资金日记账!$G$4:$G$2503,$B282,资金日记账!$F$4:$F$2503,"收款-项目")-SUMIFS(资金日记账!$K$4:$K$2503,资金日记账!$G$4:$G$2503,$B282,资金日记账!$F$4:$F$2503,"收款-项目"),2))</f>
        <v/>
      </c>
      <c r="P282" s="19">
        <f>IF($B282="","",ROUND($M282-$O282,2))</f>
        <v/>
      </c>
      <c r="Q282" s="17">
        <f>IF($B282="","",IF(AND($J282&lt;&gt;"",ROUND($P282,2)&lt;=0),"已完工·已结清",IF($J282&lt;&gt;"","已完工·还有尾款",IF($I282&lt;&gt;"","已安装",IF($H282&lt;&gt;"","已制作",IF($G282&lt;&gt;"","设计完成","已下单"))))))</f>
        <v/>
      </c>
      <c r="R282" s="13" t="n"/>
      <c r="S282" s="17">
        <f>IF($B282="","",IF(COUNTIF($B$4:$B$403,$B282)&gt;1,"※项目名重复了",IF(AND($C282&lt;&gt;"",ISNA(MATCH($C282,客户表,0))),"※客户不在基础资料里",IF(AND($J282&lt;&gt;"",$F282&lt;&gt;"",$J282&lt;$F282),"※完工日期早于下单日期",""))))</f>
        <v/>
      </c>
    </row>
    <row r="283">
      <c r="A283" s="17">
        <f>IF($B283="","","P"&amp;TEXT(ROW()-3,"000"))</f>
        <v/>
      </c>
      <c r="B283" s="13" t="n"/>
      <c r="C283" s="13" t="n"/>
      <c r="D283" s="13" t="n"/>
      <c r="E283" s="13" t="n"/>
      <c r="F283" s="18" t="n"/>
      <c r="G283" s="18" t="n"/>
      <c r="H283" s="18" t="n"/>
      <c r="I283" s="18" t="n"/>
      <c r="J283" s="18" t="n"/>
      <c r="K283" s="14" t="n"/>
      <c r="L283" s="19">
        <f>IF($B283="","",ROUND(SUMIF(订单明细!$C:$C,$B283,订单明细!$I:$I),2))</f>
        <v/>
      </c>
      <c r="M283" s="19">
        <f>IF($B283="","",ROUND(N($K283)+N($L283),2))</f>
        <v/>
      </c>
      <c r="N283" s="14" t="n"/>
      <c r="O283" s="19">
        <f>IF($B283="","",ROUND(N($N283)+SUMIFS(资金日记账!$J$4:$J$2503,资金日记账!$G$4:$G$2503,$B283,资金日记账!$F$4:$F$2503,"收款-项目")-SUMIFS(资金日记账!$K$4:$K$2503,资金日记账!$G$4:$G$2503,$B283,资金日记账!$F$4:$F$2503,"收款-项目"),2))</f>
        <v/>
      </c>
      <c r="P283" s="19">
        <f>IF($B283="","",ROUND($M283-$O283,2))</f>
        <v/>
      </c>
      <c r="Q283" s="17">
        <f>IF($B283="","",IF(AND($J283&lt;&gt;"",ROUND($P283,2)&lt;=0),"已完工·已结清",IF($J283&lt;&gt;"","已完工·还有尾款",IF($I283&lt;&gt;"","已安装",IF($H283&lt;&gt;"","已制作",IF($G283&lt;&gt;"","设计完成","已下单"))))))</f>
        <v/>
      </c>
      <c r="R283" s="13" t="n"/>
      <c r="S283" s="17">
        <f>IF($B283="","",IF(COUNTIF($B$4:$B$403,$B283)&gt;1,"※项目名重复了",IF(AND($C283&lt;&gt;"",ISNA(MATCH($C283,客户表,0))),"※客户不在基础资料里",IF(AND($J283&lt;&gt;"",$F283&lt;&gt;"",$J283&lt;$F283),"※完工日期早于下单日期",""))))</f>
        <v/>
      </c>
    </row>
    <row r="284">
      <c r="A284" s="17">
        <f>IF($B284="","","P"&amp;TEXT(ROW()-3,"000"))</f>
        <v/>
      </c>
      <c r="B284" s="13" t="n"/>
      <c r="C284" s="13" t="n"/>
      <c r="D284" s="13" t="n"/>
      <c r="E284" s="13" t="n"/>
      <c r="F284" s="18" t="n"/>
      <c r="G284" s="18" t="n"/>
      <c r="H284" s="18" t="n"/>
      <c r="I284" s="18" t="n"/>
      <c r="J284" s="18" t="n"/>
      <c r="K284" s="14" t="n"/>
      <c r="L284" s="19">
        <f>IF($B284="","",ROUND(SUMIF(订单明细!$C:$C,$B284,订单明细!$I:$I),2))</f>
        <v/>
      </c>
      <c r="M284" s="19">
        <f>IF($B284="","",ROUND(N($K284)+N($L284),2))</f>
        <v/>
      </c>
      <c r="N284" s="14" t="n"/>
      <c r="O284" s="19">
        <f>IF($B284="","",ROUND(N($N284)+SUMIFS(资金日记账!$J$4:$J$2503,资金日记账!$G$4:$G$2503,$B284,资金日记账!$F$4:$F$2503,"收款-项目")-SUMIFS(资金日记账!$K$4:$K$2503,资金日记账!$G$4:$G$2503,$B284,资金日记账!$F$4:$F$2503,"收款-项目"),2))</f>
        <v/>
      </c>
      <c r="P284" s="19">
        <f>IF($B284="","",ROUND($M284-$O284,2))</f>
        <v/>
      </c>
      <c r="Q284" s="17">
        <f>IF($B284="","",IF(AND($J284&lt;&gt;"",ROUND($P284,2)&lt;=0),"已完工·已结清",IF($J284&lt;&gt;"","已完工·还有尾款",IF($I284&lt;&gt;"","已安装",IF($H284&lt;&gt;"","已制作",IF($G284&lt;&gt;"","设计完成","已下单"))))))</f>
        <v/>
      </c>
      <c r="R284" s="13" t="n"/>
      <c r="S284" s="17">
        <f>IF($B284="","",IF(COUNTIF($B$4:$B$403,$B284)&gt;1,"※项目名重复了",IF(AND($C284&lt;&gt;"",ISNA(MATCH($C284,客户表,0))),"※客户不在基础资料里",IF(AND($J284&lt;&gt;"",$F284&lt;&gt;"",$J284&lt;$F284),"※完工日期早于下单日期",""))))</f>
        <v/>
      </c>
    </row>
    <row r="285">
      <c r="A285" s="17">
        <f>IF($B285="","","P"&amp;TEXT(ROW()-3,"000"))</f>
        <v/>
      </c>
      <c r="B285" s="13" t="n"/>
      <c r="C285" s="13" t="n"/>
      <c r="D285" s="13" t="n"/>
      <c r="E285" s="13" t="n"/>
      <c r="F285" s="18" t="n"/>
      <c r="G285" s="18" t="n"/>
      <c r="H285" s="18" t="n"/>
      <c r="I285" s="18" t="n"/>
      <c r="J285" s="18" t="n"/>
      <c r="K285" s="14" t="n"/>
      <c r="L285" s="19">
        <f>IF($B285="","",ROUND(SUMIF(订单明细!$C:$C,$B285,订单明细!$I:$I),2))</f>
        <v/>
      </c>
      <c r="M285" s="19">
        <f>IF($B285="","",ROUND(N($K285)+N($L285),2))</f>
        <v/>
      </c>
      <c r="N285" s="14" t="n"/>
      <c r="O285" s="19">
        <f>IF($B285="","",ROUND(N($N285)+SUMIFS(资金日记账!$J$4:$J$2503,资金日记账!$G$4:$G$2503,$B285,资金日记账!$F$4:$F$2503,"收款-项目")-SUMIFS(资金日记账!$K$4:$K$2503,资金日记账!$G$4:$G$2503,$B285,资金日记账!$F$4:$F$2503,"收款-项目"),2))</f>
        <v/>
      </c>
      <c r="P285" s="19">
        <f>IF($B285="","",ROUND($M285-$O285,2))</f>
        <v/>
      </c>
      <c r="Q285" s="17">
        <f>IF($B285="","",IF(AND($J285&lt;&gt;"",ROUND($P285,2)&lt;=0),"已完工·已结清",IF($J285&lt;&gt;"","已完工·还有尾款",IF($I285&lt;&gt;"","已安装",IF($H285&lt;&gt;"","已制作",IF($G285&lt;&gt;"","设计完成","已下单"))))))</f>
        <v/>
      </c>
      <c r="R285" s="13" t="n"/>
      <c r="S285" s="17">
        <f>IF($B285="","",IF(COUNTIF($B$4:$B$403,$B285)&gt;1,"※项目名重复了",IF(AND($C285&lt;&gt;"",ISNA(MATCH($C285,客户表,0))),"※客户不在基础资料里",IF(AND($J285&lt;&gt;"",$F285&lt;&gt;"",$J285&lt;$F285),"※完工日期早于下单日期",""))))</f>
        <v/>
      </c>
    </row>
    <row r="286">
      <c r="A286" s="17">
        <f>IF($B286="","","P"&amp;TEXT(ROW()-3,"000"))</f>
        <v/>
      </c>
      <c r="B286" s="13" t="n"/>
      <c r="C286" s="13" t="n"/>
      <c r="D286" s="13" t="n"/>
      <c r="E286" s="13" t="n"/>
      <c r="F286" s="18" t="n"/>
      <c r="G286" s="18" t="n"/>
      <c r="H286" s="18" t="n"/>
      <c r="I286" s="18" t="n"/>
      <c r="J286" s="18" t="n"/>
      <c r="K286" s="14" t="n"/>
      <c r="L286" s="19">
        <f>IF($B286="","",ROUND(SUMIF(订单明细!$C:$C,$B286,订单明细!$I:$I),2))</f>
        <v/>
      </c>
      <c r="M286" s="19">
        <f>IF($B286="","",ROUND(N($K286)+N($L286),2))</f>
        <v/>
      </c>
      <c r="N286" s="14" t="n"/>
      <c r="O286" s="19">
        <f>IF($B286="","",ROUND(N($N286)+SUMIFS(资金日记账!$J$4:$J$2503,资金日记账!$G$4:$G$2503,$B286,资金日记账!$F$4:$F$2503,"收款-项目")-SUMIFS(资金日记账!$K$4:$K$2503,资金日记账!$G$4:$G$2503,$B286,资金日记账!$F$4:$F$2503,"收款-项目"),2))</f>
        <v/>
      </c>
      <c r="P286" s="19">
        <f>IF($B286="","",ROUND($M286-$O286,2))</f>
        <v/>
      </c>
      <c r="Q286" s="17">
        <f>IF($B286="","",IF(AND($J286&lt;&gt;"",ROUND($P286,2)&lt;=0),"已完工·已结清",IF($J286&lt;&gt;"","已完工·还有尾款",IF($I286&lt;&gt;"","已安装",IF($H286&lt;&gt;"","已制作",IF($G286&lt;&gt;"","设计完成","已下单"))))))</f>
        <v/>
      </c>
      <c r="R286" s="13" t="n"/>
      <c r="S286" s="17">
        <f>IF($B286="","",IF(COUNTIF($B$4:$B$403,$B286)&gt;1,"※项目名重复了",IF(AND($C286&lt;&gt;"",ISNA(MATCH($C286,客户表,0))),"※客户不在基础资料里",IF(AND($J286&lt;&gt;"",$F286&lt;&gt;"",$J286&lt;$F286),"※完工日期早于下单日期",""))))</f>
        <v/>
      </c>
    </row>
    <row r="287">
      <c r="A287" s="17">
        <f>IF($B287="","","P"&amp;TEXT(ROW()-3,"000"))</f>
        <v/>
      </c>
      <c r="B287" s="13" t="n"/>
      <c r="C287" s="13" t="n"/>
      <c r="D287" s="13" t="n"/>
      <c r="E287" s="13" t="n"/>
      <c r="F287" s="18" t="n"/>
      <c r="G287" s="18" t="n"/>
      <c r="H287" s="18" t="n"/>
      <c r="I287" s="18" t="n"/>
      <c r="J287" s="18" t="n"/>
      <c r="K287" s="14" t="n"/>
      <c r="L287" s="19">
        <f>IF($B287="","",ROUND(SUMIF(订单明细!$C:$C,$B287,订单明细!$I:$I),2))</f>
        <v/>
      </c>
      <c r="M287" s="19">
        <f>IF($B287="","",ROUND(N($K287)+N($L287),2))</f>
        <v/>
      </c>
      <c r="N287" s="14" t="n"/>
      <c r="O287" s="19">
        <f>IF($B287="","",ROUND(N($N287)+SUMIFS(资金日记账!$J$4:$J$2503,资金日记账!$G$4:$G$2503,$B287,资金日记账!$F$4:$F$2503,"收款-项目")-SUMIFS(资金日记账!$K$4:$K$2503,资金日记账!$G$4:$G$2503,$B287,资金日记账!$F$4:$F$2503,"收款-项目"),2))</f>
        <v/>
      </c>
      <c r="P287" s="19">
        <f>IF($B287="","",ROUND($M287-$O287,2))</f>
        <v/>
      </c>
      <c r="Q287" s="17">
        <f>IF($B287="","",IF(AND($J287&lt;&gt;"",ROUND($P287,2)&lt;=0),"已完工·已结清",IF($J287&lt;&gt;"","已完工·还有尾款",IF($I287&lt;&gt;"","已安装",IF($H287&lt;&gt;"","已制作",IF($G287&lt;&gt;"","设计完成","已下单"))))))</f>
        <v/>
      </c>
      <c r="R287" s="13" t="n"/>
      <c r="S287" s="17">
        <f>IF($B287="","",IF(COUNTIF($B$4:$B$403,$B287)&gt;1,"※项目名重复了",IF(AND($C287&lt;&gt;"",ISNA(MATCH($C287,客户表,0))),"※客户不在基础资料里",IF(AND($J287&lt;&gt;"",$F287&lt;&gt;"",$J287&lt;$F287),"※完工日期早于下单日期",""))))</f>
        <v/>
      </c>
    </row>
    <row r="288">
      <c r="A288" s="17">
        <f>IF($B288="","","P"&amp;TEXT(ROW()-3,"000"))</f>
        <v/>
      </c>
      <c r="B288" s="13" t="n"/>
      <c r="C288" s="13" t="n"/>
      <c r="D288" s="13" t="n"/>
      <c r="E288" s="13" t="n"/>
      <c r="F288" s="18" t="n"/>
      <c r="G288" s="18" t="n"/>
      <c r="H288" s="18" t="n"/>
      <c r="I288" s="18" t="n"/>
      <c r="J288" s="18" t="n"/>
      <c r="K288" s="14" t="n"/>
      <c r="L288" s="19">
        <f>IF($B288="","",ROUND(SUMIF(订单明细!$C:$C,$B288,订单明细!$I:$I),2))</f>
        <v/>
      </c>
      <c r="M288" s="19">
        <f>IF($B288="","",ROUND(N($K288)+N($L288),2))</f>
        <v/>
      </c>
      <c r="N288" s="14" t="n"/>
      <c r="O288" s="19">
        <f>IF($B288="","",ROUND(N($N288)+SUMIFS(资金日记账!$J$4:$J$2503,资金日记账!$G$4:$G$2503,$B288,资金日记账!$F$4:$F$2503,"收款-项目")-SUMIFS(资金日记账!$K$4:$K$2503,资金日记账!$G$4:$G$2503,$B288,资金日记账!$F$4:$F$2503,"收款-项目"),2))</f>
        <v/>
      </c>
      <c r="P288" s="19">
        <f>IF($B288="","",ROUND($M288-$O288,2))</f>
        <v/>
      </c>
      <c r="Q288" s="17">
        <f>IF($B288="","",IF(AND($J288&lt;&gt;"",ROUND($P288,2)&lt;=0),"已完工·已结清",IF($J288&lt;&gt;"","已完工·还有尾款",IF($I288&lt;&gt;"","已安装",IF($H288&lt;&gt;"","已制作",IF($G288&lt;&gt;"","设计完成","已下单"))))))</f>
        <v/>
      </c>
      <c r="R288" s="13" t="n"/>
      <c r="S288" s="17">
        <f>IF($B288="","",IF(COUNTIF($B$4:$B$403,$B288)&gt;1,"※项目名重复了",IF(AND($C288&lt;&gt;"",ISNA(MATCH($C288,客户表,0))),"※客户不在基础资料里",IF(AND($J288&lt;&gt;"",$F288&lt;&gt;"",$J288&lt;$F288),"※完工日期早于下单日期",""))))</f>
        <v/>
      </c>
    </row>
    <row r="289">
      <c r="A289" s="17">
        <f>IF($B289="","","P"&amp;TEXT(ROW()-3,"000"))</f>
        <v/>
      </c>
      <c r="B289" s="13" t="n"/>
      <c r="C289" s="13" t="n"/>
      <c r="D289" s="13" t="n"/>
      <c r="E289" s="13" t="n"/>
      <c r="F289" s="18" t="n"/>
      <c r="G289" s="18" t="n"/>
      <c r="H289" s="18" t="n"/>
      <c r="I289" s="18" t="n"/>
      <c r="J289" s="18" t="n"/>
      <c r="K289" s="14" t="n"/>
      <c r="L289" s="19">
        <f>IF($B289="","",ROUND(SUMIF(订单明细!$C:$C,$B289,订单明细!$I:$I),2))</f>
        <v/>
      </c>
      <c r="M289" s="19">
        <f>IF($B289="","",ROUND(N($K289)+N($L289),2))</f>
        <v/>
      </c>
      <c r="N289" s="14" t="n"/>
      <c r="O289" s="19">
        <f>IF($B289="","",ROUND(N($N289)+SUMIFS(资金日记账!$J$4:$J$2503,资金日记账!$G$4:$G$2503,$B289,资金日记账!$F$4:$F$2503,"收款-项目")-SUMIFS(资金日记账!$K$4:$K$2503,资金日记账!$G$4:$G$2503,$B289,资金日记账!$F$4:$F$2503,"收款-项目"),2))</f>
        <v/>
      </c>
      <c r="P289" s="19">
        <f>IF($B289="","",ROUND($M289-$O289,2))</f>
        <v/>
      </c>
      <c r="Q289" s="17">
        <f>IF($B289="","",IF(AND($J289&lt;&gt;"",ROUND($P289,2)&lt;=0),"已完工·已结清",IF($J289&lt;&gt;"","已完工·还有尾款",IF($I289&lt;&gt;"","已安装",IF($H289&lt;&gt;"","已制作",IF($G289&lt;&gt;"","设计完成","已下单"))))))</f>
        <v/>
      </c>
      <c r="R289" s="13" t="n"/>
      <c r="S289" s="17">
        <f>IF($B289="","",IF(COUNTIF($B$4:$B$403,$B289)&gt;1,"※项目名重复了",IF(AND($C289&lt;&gt;"",ISNA(MATCH($C289,客户表,0))),"※客户不在基础资料里",IF(AND($J289&lt;&gt;"",$F289&lt;&gt;"",$J289&lt;$F289),"※完工日期早于下单日期",""))))</f>
        <v/>
      </c>
    </row>
    <row r="290">
      <c r="A290" s="17">
        <f>IF($B290="","","P"&amp;TEXT(ROW()-3,"000"))</f>
        <v/>
      </c>
      <c r="B290" s="13" t="n"/>
      <c r="C290" s="13" t="n"/>
      <c r="D290" s="13" t="n"/>
      <c r="E290" s="13" t="n"/>
      <c r="F290" s="18" t="n"/>
      <c r="G290" s="18" t="n"/>
      <c r="H290" s="18" t="n"/>
      <c r="I290" s="18" t="n"/>
      <c r="J290" s="18" t="n"/>
      <c r="K290" s="14" t="n"/>
      <c r="L290" s="19">
        <f>IF($B290="","",ROUND(SUMIF(订单明细!$C:$C,$B290,订单明细!$I:$I),2))</f>
        <v/>
      </c>
      <c r="M290" s="19">
        <f>IF($B290="","",ROUND(N($K290)+N($L290),2))</f>
        <v/>
      </c>
      <c r="N290" s="14" t="n"/>
      <c r="O290" s="19">
        <f>IF($B290="","",ROUND(N($N290)+SUMIFS(资金日记账!$J$4:$J$2503,资金日记账!$G$4:$G$2503,$B290,资金日记账!$F$4:$F$2503,"收款-项目")-SUMIFS(资金日记账!$K$4:$K$2503,资金日记账!$G$4:$G$2503,$B290,资金日记账!$F$4:$F$2503,"收款-项目"),2))</f>
        <v/>
      </c>
      <c r="P290" s="19">
        <f>IF($B290="","",ROUND($M290-$O290,2))</f>
        <v/>
      </c>
      <c r="Q290" s="17">
        <f>IF($B290="","",IF(AND($J290&lt;&gt;"",ROUND($P290,2)&lt;=0),"已完工·已结清",IF($J290&lt;&gt;"","已完工·还有尾款",IF($I290&lt;&gt;"","已安装",IF($H290&lt;&gt;"","已制作",IF($G290&lt;&gt;"","设计完成","已下单"))))))</f>
        <v/>
      </c>
      <c r="R290" s="13" t="n"/>
      <c r="S290" s="17">
        <f>IF($B290="","",IF(COUNTIF($B$4:$B$403,$B290)&gt;1,"※项目名重复了",IF(AND($C290&lt;&gt;"",ISNA(MATCH($C290,客户表,0))),"※客户不在基础资料里",IF(AND($J290&lt;&gt;"",$F290&lt;&gt;"",$J290&lt;$F290),"※完工日期早于下单日期",""))))</f>
        <v/>
      </c>
    </row>
    <row r="291">
      <c r="A291" s="17">
        <f>IF($B291="","","P"&amp;TEXT(ROW()-3,"000"))</f>
        <v/>
      </c>
      <c r="B291" s="13" t="n"/>
      <c r="C291" s="13" t="n"/>
      <c r="D291" s="13" t="n"/>
      <c r="E291" s="13" t="n"/>
      <c r="F291" s="18" t="n"/>
      <c r="G291" s="18" t="n"/>
      <c r="H291" s="18" t="n"/>
      <c r="I291" s="18" t="n"/>
      <c r="J291" s="18" t="n"/>
      <c r="K291" s="14" t="n"/>
      <c r="L291" s="19">
        <f>IF($B291="","",ROUND(SUMIF(订单明细!$C:$C,$B291,订单明细!$I:$I),2))</f>
        <v/>
      </c>
      <c r="M291" s="19">
        <f>IF($B291="","",ROUND(N($K291)+N($L291),2))</f>
        <v/>
      </c>
      <c r="N291" s="14" t="n"/>
      <c r="O291" s="19">
        <f>IF($B291="","",ROUND(N($N291)+SUMIFS(资金日记账!$J$4:$J$2503,资金日记账!$G$4:$G$2503,$B291,资金日记账!$F$4:$F$2503,"收款-项目")-SUMIFS(资金日记账!$K$4:$K$2503,资金日记账!$G$4:$G$2503,$B291,资金日记账!$F$4:$F$2503,"收款-项目"),2))</f>
        <v/>
      </c>
      <c r="P291" s="19">
        <f>IF($B291="","",ROUND($M291-$O291,2))</f>
        <v/>
      </c>
      <c r="Q291" s="17">
        <f>IF($B291="","",IF(AND($J291&lt;&gt;"",ROUND($P291,2)&lt;=0),"已完工·已结清",IF($J291&lt;&gt;"","已完工·还有尾款",IF($I291&lt;&gt;"","已安装",IF($H291&lt;&gt;"","已制作",IF($G291&lt;&gt;"","设计完成","已下单"))))))</f>
        <v/>
      </c>
      <c r="R291" s="13" t="n"/>
      <c r="S291" s="17">
        <f>IF($B291="","",IF(COUNTIF($B$4:$B$403,$B291)&gt;1,"※项目名重复了",IF(AND($C291&lt;&gt;"",ISNA(MATCH($C291,客户表,0))),"※客户不在基础资料里",IF(AND($J291&lt;&gt;"",$F291&lt;&gt;"",$J291&lt;$F291),"※完工日期早于下单日期",""))))</f>
        <v/>
      </c>
    </row>
    <row r="292">
      <c r="A292" s="17">
        <f>IF($B292="","","P"&amp;TEXT(ROW()-3,"000"))</f>
        <v/>
      </c>
      <c r="B292" s="13" t="n"/>
      <c r="C292" s="13" t="n"/>
      <c r="D292" s="13" t="n"/>
      <c r="E292" s="13" t="n"/>
      <c r="F292" s="18" t="n"/>
      <c r="G292" s="18" t="n"/>
      <c r="H292" s="18" t="n"/>
      <c r="I292" s="18" t="n"/>
      <c r="J292" s="18" t="n"/>
      <c r="K292" s="14" t="n"/>
      <c r="L292" s="19">
        <f>IF($B292="","",ROUND(SUMIF(订单明细!$C:$C,$B292,订单明细!$I:$I),2))</f>
        <v/>
      </c>
      <c r="M292" s="19">
        <f>IF($B292="","",ROUND(N($K292)+N($L292),2))</f>
        <v/>
      </c>
      <c r="N292" s="14" t="n"/>
      <c r="O292" s="19">
        <f>IF($B292="","",ROUND(N($N292)+SUMIFS(资金日记账!$J$4:$J$2503,资金日记账!$G$4:$G$2503,$B292,资金日记账!$F$4:$F$2503,"收款-项目")-SUMIFS(资金日记账!$K$4:$K$2503,资金日记账!$G$4:$G$2503,$B292,资金日记账!$F$4:$F$2503,"收款-项目"),2))</f>
        <v/>
      </c>
      <c r="P292" s="19">
        <f>IF($B292="","",ROUND($M292-$O292,2))</f>
        <v/>
      </c>
      <c r="Q292" s="17">
        <f>IF($B292="","",IF(AND($J292&lt;&gt;"",ROUND($P292,2)&lt;=0),"已完工·已结清",IF($J292&lt;&gt;"","已完工·还有尾款",IF($I292&lt;&gt;"","已安装",IF($H292&lt;&gt;"","已制作",IF($G292&lt;&gt;"","设计完成","已下单"))))))</f>
        <v/>
      </c>
      <c r="R292" s="13" t="n"/>
      <c r="S292" s="17">
        <f>IF($B292="","",IF(COUNTIF($B$4:$B$403,$B292)&gt;1,"※项目名重复了",IF(AND($C292&lt;&gt;"",ISNA(MATCH($C292,客户表,0))),"※客户不在基础资料里",IF(AND($J292&lt;&gt;"",$F292&lt;&gt;"",$J292&lt;$F292),"※完工日期早于下单日期",""))))</f>
        <v/>
      </c>
    </row>
    <row r="293">
      <c r="A293" s="17">
        <f>IF($B293="","","P"&amp;TEXT(ROW()-3,"000"))</f>
        <v/>
      </c>
      <c r="B293" s="13" t="n"/>
      <c r="C293" s="13" t="n"/>
      <c r="D293" s="13" t="n"/>
      <c r="E293" s="13" t="n"/>
      <c r="F293" s="18" t="n"/>
      <c r="G293" s="18" t="n"/>
      <c r="H293" s="18" t="n"/>
      <c r="I293" s="18" t="n"/>
      <c r="J293" s="18" t="n"/>
      <c r="K293" s="14" t="n"/>
      <c r="L293" s="19">
        <f>IF($B293="","",ROUND(SUMIF(订单明细!$C:$C,$B293,订单明细!$I:$I),2))</f>
        <v/>
      </c>
      <c r="M293" s="19">
        <f>IF($B293="","",ROUND(N($K293)+N($L293),2))</f>
        <v/>
      </c>
      <c r="N293" s="14" t="n"/>
      <c r="O293" s="19">
        <f>IF($B293="","",ROUND(N($N293)+SUMIFS(资金日记账!$J$4:$J$2503,资金日记账!$G$4:$G$2503,$B293,资金日记账!$F$4:$F$2503,"收款-项目")-SUMIFS(资金日记账!$K$4:$K$2503,资金日记账!$G$4:$G$2503,$B293,资金日记账!$F$4:$F$2503,"收款-项目"),2))</f>
        <v/>
      </c>
      <c r="P293" s="19">
        <f>IF($B293="","",ROUND($M293-$O293,2))</f>
        <v/>
      </c>
      <c r="Q293" s="17">
        <f>IF($B293="","",IF(AND($J293&lt;&gt;"",ROUND($P293,2)&lt;=0),"已完工·已结清",IF($J293&lt;&gt;"","已完工·还有尾款",IF($I293&lt;&gt;"","已安装",IF($H293&lt;&gt;"","已制作",IF($G293&lt;&gt;"","设计完成","已下单"))))))</f>
        <v/>
      </c>
      <c r="R293" s="13" t="n"/>
      <c r="S293" s="17">
        <f>IF($B293="","",IF(COUNTIF($B$4:$B$403,$B293)&gt;1,"※项目名重复了",IF(AND($C293&lt;&gt;"",ISNA(MATCH($C293,客户表,0))),"※客户不在基础资料里",IF(AND($J293&lt;&gt;"",$F293&lt;&gt;"",$J293&lt;$F293),"※完工日期早于下单日期",""))))</f>
        <v/>
      </c>
    </row>
    <row r="294">
      <c r="A294" s="17">
        <f>IF($B294="","","P"&amp;TEXT(ROW()-3,"000"))</f>
        <v/>
      </c>
      <c r="B294" s="13" t="n"/>
      <c r="C294" s="13" t="n"/>
      <c r="D294" s="13" t="n"/>
      <c r="E294" s="13" t="n"/>
      <c r="F294" s="18" t="n"/>
      <c r="G294" s="18" t="n"/>
      <c r="H294" s="18" t="n"/>
      <c r="I294" s="18" t="n"/>
      <c r="J294" s="18" t="n"/>
      <c r="K294" s="14" t="n"/>
      <c r="L294" s="19">
        <f>IF($B294="","",ROUND(SUMIF(订单明细!$C:$C,$B294,订单明细!$I:$I),2))</f>
        <v/>
      </c>
      <c r="M294" s="19">
        <f>IF($B294="","",ROUND(N($K294)+N($L294),2))</f>
        <v/>
      </c>
      <c r="N294" s="14" t="n"/>
      <c r="O294" s="19">
        <f>IF($B294="","",ROUND(N($N294)+SUMIFS(资金日记账!$J$4:$J$2503,资金日记账!$G$4:$G$2503,$B294,资金日记账!$F$4:$F$2503,"收款-项目")-SUMIFS(资金日记账!$K$4:$K$2503,资金日记账!$G$4:$G$2503,$B294,资金日记账!$F$4:$F$2503,"收款-项目"),2))</f>
        <v/>
      </c>
      <c r="P294" s="19">
        <f>IF($B294="","",ROUND($M294-$O294,2))</f>
        <v/>
      </c>
      <c r="Q294" s="17">
        <f>IF($B294="","",IF(AND($J294&lt;&gt;"",ROUND($P294,2)&lt;=0),"已完工·已结清",IF($J294&lt;&gt;"","已完工·还有尾款",IF($I294&lt;&gt;"","已安装",IF($H294&lt;&gt;"","已制作",IF($G294&lt;&gt;"","设计完成","已下单"))))))</f>
        <v/>
      </c>
      <c r="R294" s="13" t="n"/>
      <c r="S294" s="17">
        <f>IF($B294="","",IF(COUNTIF($B$4:$B$403,$B294)&gt;1,"※项目名重复了",IF(AND($C294&lt;&gt;"",ISNA(MATCH($C294,客户表,0))),"※客户不在基础资料里",IF(AND($J294&lt;&gt;"",$F294&lt;&gt;"",$J294&lt;$F294),"※完工日期早于下单日期",""))))</f>
        <v/>
      </c>
    </row>
    <row r="295">
      <c r="A295" s="17">
        <f>IF($B295="","","P"&amp;TEXT(ROW()-3,"000"))</f>
        <v/>
      </c>
      <c r="B295" s="13" t="n"/>
      <c r="C295" s="13" t="n"/>
      <c r="D295" s="13" t="n"/>
      <c r="E295" s="13" t="n"/>
      <c r="F295" s="18" t="n"/>
      <c r="G295" s="18" t="n"/>
      <c r="H295" s="18" t="n"/>
      <c r="I295" s="18" t="n"/>
      <c r="J295" s="18" t="n"/>
      <c r="K295" s="14" t="n"/>
      <c r="L295" s="19">
        <f>IF($B295="","",ROUND(SUMIF(订单明细!$C:$C,$B295,订单明细!$I:$I),2))</f>
        <v/>
      </c>
      <c r="M295" s="19">
        <f>IF($B295="","",ROUND(N($K295)+N($L295),2))</f>
        <v/>
      </c>
      <c r="N295" s="14" t="n"/>
      <c r="O295" s="19">
        <f>IF($B295="","",ROUND(N($N295)+SUMIFS(资金日记账!$J$4:$J$2503,资金日记账!$G$4:$G$2503,$B295,资金日记账!$F$4:$F$2503,"收款-项目")-SUMIFS(资金日记账!$K$4:$K$2503,资金日记账!$G$4:$G$2503,$B295,资金日记账!$F$4:$F$2503,"收款-项目"),2))</f>
        <v/>
      </c>
      <c r="P295" s="19">
        <f>IF($B295="","",ROUND($M295-$O295,2))</f>
        <v/>
      </c>
      <c r="Q295" s="17">
        <f>IF($B295="","",IF(AND($J295&lt;&gt;"",ROUND($P295,2)&lt;=0),"已完工·已结清",IF($J295&lt;&gt;"","已完工·还有尾款",IF($I295&lt;&gt;"","已安装",IF($H295&lt;&gt;"","已制作",IF($G295&lt;&gt;"","设计完成","已下单"))))))</f>
        <v/>
      </c>
      <c r="R295" s="13" t="n"/>
      <c r="S295" s="17">
        <f>IF($B295="","",IF(COUNTIF($B$4:$B$403,$B295)&gt;1,"※项目名重复了",IF(AND($C295&lt;&gt;"",ISNA(MATCH($C295,客户表,0))),"※客户不在基础资料里",IF(AND($J295&lt;&gt;"",$F295&lt;&gt;"",$J295&lt;$F295),"※完工日期早于下单日期",""))))</f>
        <v/>
      </c>
    </row>
    <row r="296">
      <c r="A296" s="17">
        <f>IF($B296="","","P"&amp;TEXT(ROW()-3,"000"))</f>
        <v/>
      </c>
      <c r="B296" s="13" t="n"/>
      <c r="C296" s="13" t="n"/>
      <c r="D296" s="13" t="n"/>
      <c r="E296" s="13" t="n"/>
      <c r="F296" s="18" t="n"/>
      <c r="G296" s="18" t="n"/>
      <c r="H296" s="18" t="n"/>
      <c r="I296" s="18" t="n"/>
      <c r="J296" s="18" t="n"/>
      <c r="K296" s="14" t="n"/>
      <c r="L296" s="19">
        <f>IF($B296="","",ROUND(SUMIF(订单明细!$C:$C,$B296,订单明细!$I:$I),2))</f>
        <v/>
      </c>
      <c r="M296" s="19">
        <f>IF($B296="","",ROUND(N($K296)+N($L296),2))</f>
        <v/>
      </c>
      <c r="N296" s="14" t="n"/>
      <c r="O296" s="19">
        <f>IF($B296="","",ROUND(N($N296)+SUMIFS(资金日记账!$J$4:$J$2503,资金日记账!$G$4:$G$2503,$B296,资金日记账!$F$4:$F$2503,"收款-项目")-SUMIFS(资金日记账!$K$4:$K$2503,资金日记账!$G$4:$G$2503,$B296,资金日记账!$F$4:$F$2503,"收款-项目"),2))</f>
        <v/>
      </c>
      <c r="P296" s="19">
        <f>IF($B296="","",ROUND($M296-$O296,2))</f>
        <v/>
      </c>
      <c r="Q296" s="17">
        <f>IF($B296="","",IF(AND($J296&lt;&gt;"",ROUND($P296,2)&lt;=0),"已完工·已结清",IF($J296&lt;&gt;"","已完工·还有尾款",IF($I296&lt;&gt;"","已安装",IF($H296&lt;&gt;"","已制作",IF($G296&lt;&gt;"","设计完成","已下单"))))))</f>
        <v/>
      </c>
      <c r="R296" s="13" t="n"/>
      <c r="S296" s="17">
        <f>IF($B296="","",IF(COUNTIF($B$4:$B$403,$B296)&gt;1,"※项目名重复了",IF(AND($C296&lt;&gt;"",ISNA(MATCH($C296,客户表,0))),"※客户不在基础资料里",IF(AND($J296&lt;&gt;"",$F296&lt;&gt;"",$J296&lt;$F296),"※完工日期早于下单日期",""))))</f>
        <v/>
      </c>
    </row>
    <row r="297">
      <c r="A297" s="17">
        <f>IF($B297="","","P"&amp;TEXT(ROW()-3,"000"))</f>
        <v/>
      </c>
      <c r="B297" s="13" t="n"/>
      <c r="C297" s="13" t="n"/>
      <c r="D297" s="13" t="n"/>
      <c r="E297" s="13" t="n"/>
      <c r="F297" s="18" t="n"/>
      <c r="G297" s="18" t="n"/>
      <c r="H297" s="18" t="n"/>
      <c r="I297" s="18" t="n"/>
      <c r="J297" s="18" t="n"/>
      <c r="K297" s="14" t="n"/>
      <c r="L297" s="19">
        <f>IF($B297="","",ROUND(SUMIF(订单明细!$C:$C,$B297,订单明细!$I:$I),2))</f>
        <v/>
      </c>
      <c r="M297" s="19">
        <f>IF($B297="","",ROUND(N($K297)+N($L297),2))</f>
        <v/>
      </c>
      <c r="N297" s="14" t="n"/>
      <c r="O297" s="19">
        <f>IF($B297="","",ROUND(N($N297)+SUMIFS(资金日记账!$J$4:$J$2503,资金日记账!$G$4:$G$2503,$B297,资金日记账!$F$4:$F$2503,"收款-项目")-SUMIFS(资金日记账!$K$4:$K$2503,资金日记账!$G$4:$G$2503,$B297,资金日记账!$F$4:$F$2503,"收款-项目"),2))</f>
        <v/>
      </c>
      <c r="P297" s="19">
        <f>IF($B297="","",ROUND($M297-$O297,2))</f>
        <v/>
      </c>
      <c r="Q297" s="17">
        <f>IF($B297="","",IF(AND($J297&lt;&gt;"",ROUND($P297,2)&lt;=0),"已完工·已结清",IF($J297&lt;&gt;"","已完工·还有尾款",IF($I297&lt;&gt;"","已安装",IF($H297&lt;&gt;"","已制作",IF($G297&lt;&gt;"","设计完成","已下单"))))))</f>
        <v/>
      </c>
      <c r="R297" s="13" t="n"/>
      <c r="S297" s="17">
        <f>IF($B297="","",IF(COUNTIF($B$4:$B$403,$B297)&gt;1,"※项目名重复了",IF(AND($C297&lt;&gt;"",ISNA(MATCH($C297,客户表,0))),"※客户不在基础资料里",IF(AND($J297&lt;&gt;"",$F297&lt;&gt;"",$J297&lt;$F297),"※完工日期早于下单日期",""))))</f>
        <v/>
      </c>
    </row>
    <row r="298">
      <c r="A298" s="17">
        <f>IF($B298="","","P"&amp;TEXT(ROW()-3,"000"))</f>
        <v/>
      </c>
      <c r="B298" s="13" t="n"/>
      <c r="C298" s="13" t="n"/>
      <c r="D298" s="13" t="n"/>
      <c r="E298" s="13" t="n"/>
      <c r="F298" s="18" t="n"/>
      <c r="G298" s="18" t="n"/>
      <c r="H298" s="18" t="n"/>
      <c r="I298" s="18" t="n"/>
      <c r="J298" s="18" t="n"/>
      <c r="K298" s="14" t="n"/>
      <c r="L298" s="19">
        <f>IF($B298="","",ROUND(SUMIF(订单明细!$C:$C,$B298,订单明细!$I:$I),2))</f>
        <v/>
      </c>
      <c r="M298" s="19">
        <f>IF($B298="","",ROUND(N($K298)+N($L298),2))</f>
        <v/>
      </c>
      <c r="N298" s="14" t="n"/>
      <c r="O298" s="19">
        <f>IF($B298="","",ROUND(N($N298)+SUMIFS(资金日记账!$J$4:$J$2503,资金日记账!$G$4:$G$2503,$B298,资金日记账!$F$4:$F$2503,"收款-项目")-SUMIFS(资金日记账!$K$4:$K$2503,资金日记账!$G$4:$G$2503,$B298,资金日记账!$F$4:$F$2503,"收款-项目"),2))</f>
        <v/>
      </c>
      <c r="P298" s="19">
        <f>IF($B298="","",ROUND($M298-$O298,2))</f>
        <v/>
      </c>
      <c r="Q298" s="17">
        <f>IF($B298="","",IF(AND($J298&lt;&gt;"",ROUND($P298,2)&lt;=0),"已完工·已结清",IF($J298&lt;&gt;"","已完工·还有尾款",IF($I298&lt;&gt;"","已安装",IF($H298&lt;&gt;"","已制作",IF($G298&lt;&gt;"","设计完成","已下单"))))))</f>
        <v/>
      </c>
      <c r="R298" s="13" t="n"/>
      <c r="S298" s="17">
        <f>IF($B298="","",IF(COUNTIF($B$4:$B$403,$B298)&gt;1,"※项目名重复了",IF(AND($C298&lt;&gt;"",ISNA(MATCH($C298,客户表,0))),"※客户不在基础资料里",IF(AND($J298&lt;&gt;"",$F298&lt;&gt;"",$J298&lt;$F298),"※完工日期早于下单日期",""))))</f>
        <v/>
      </c>
    </row>
    <row r="299">
      <c r="A299" s="17">
        <f>IF($B299="","","P"&amp;TEXT(ROW()-3,"000"))</f>
        <v/>
      </c>
      <c r="B299" s="13" t="n"/>
      <c r="C299" s="13" t="n"/>
      <c r="D299" s="13" t="n"/>
      <c r="E299" s="13" t="n"/>
      <c r="F299" s="18" t="n"/>
      <c r="G299" s="18" t="n"/>
      <c r="H299" s="18" t="n"/>
      <c r="I299" s="18" t="n"/>
      <c r="J299" s="18" t="n"/>
      <c r="K299" s="14" t="n"/>
      <c r="L299" s="19">
        <f>IF($B299="","",ROUND(SUMIF(订单明细!$C:$C,$B299,订单明细!$I:$I),2))</f>
        <v/>
      </c>
      <c r="M299" s="19">
        <f>IF($B299="","",ROUND(N($K299)+N($L299),2))</f>
        <v/>
      </c>
      <c r="N299" s="14" t="n"/>
      <c r="O299" s="19">
        <f>IF($B299="","",ROUND(N($N299)+SUMIFS(资金日记账!$J$4:$J$2503,资金日记账!$G$4:$G$2503,$B299,资金日记账!$F$4:$F$2503,"收款-项目")-SUMIFS(资金日记账!$K$4:$K$2503,资金日记账!$G$4:$G$2503,$B299,资金日记账!$F$4:$F$2503,"收款-项目"),2))</f>
        <v/>
      </c>
      <c r="P299" s="19">
        <f>IF($B299="","",ROUND($M299-$O299,2))</f>
        <v/>
      </c>
      <c r="Q299" s="17">
        <f>IF($B299="","",IF(AND($J299&lt;&gt;"",ROUND($P299,2)&lt;=0),"已完工·已结清",IF($J299&lt;&gt;"","已完工·还有尾款",IF($I299&lt;&gt;"","已安装",IF($H299&lt;&gt;"","已制作",IF($G299&lt;&gt;"","设计完成","已下单"))))))</f>
        <v/>
      </c>
      <c r="R299" s="13" t="n"/>
      <c r="S299" s="17">
        <f>IF($B299="","",IF(COUNTIF($B$4:$B$403,$B299)&gt;1,"※项目名重复了",IF(AND($C299&lt;&gt;"",ISNA(MATCH($C299,客户表,0))),"※客户不在基础资料里",IF(AND($J299&lt;&gt;"",$F299&lt;&gt;"",$J299&lt;$F299),"※完工日期早于下单日期",""))))</f>
        <v/>
      </c>
    </row>
    <row r="300">
      <c r="A300" s="17">
        <f>IF($B300="","","P"&amp;TEXT(ROW()-3,"000"))</f>
        <v/>
      </c>
      <c r="B300" s="13" t="n"/>
      <c r="C300" s="13" t="n"/>
      <c r="D300" s="13" t="n"/>
      <c r="E300" s="13" t="n"/>
      <c r="F300" s="18" t="n"/>
      <c r="G300" s="18" t="n"/>
      <c r="H300" s="18" t="n"/>
      <c r="I300" s="18" t="n"/>
      <c r="J300" s="18" t="n"/>
      <c r="K300" s="14" t="n"/>
      <c r="L300" s="19">
        <f>IF($B300="","",ROUND(SUMIF(订单明细!$C:$C,$B300,订单明细!$I:$I),2))</f>
        <v/>
      </c>
      <c r="M300" s="19">
        <f>IF($B300="","",ROUND(N($K300)+N($L300),2))</f>
        <v/>
      </c>
      <c r="N300" s="14" t="n"/>
      <c r="O300" s="19">
        <f>IF($B300="","",ROUND(N($N300)+SUMIFS(资金日记账!$J$4:$J$2503,资金日记账!$G$4:$G$2503,$B300,资金日记账!$F$4:$F$2503,"收款-项目")-SUMIFS(资金日记账!$K$4:$K$2503,资金日记账!$G$4:$G$2503,$B300,资金日记账!$F$4:$F$2503,"收款-项目"),2))</f>
        <v/>
      </c>
      <c r="P300" s="19">
        <f>IF($B300="","",ROUND($M300-$O300,2))</f>
        <v/>
      </c>
      <c r="Q300" s="17">
        <f>IF($B300="","",IF(AND($J300&lt;&gt;"",ROUND($P300,2)&lt;=0),"已完工·已结清",IF($J300&lt;&gt;"","已完工·还有尾款",IF($I300&lt;&gt;"","已安装",IF($H300&lt;&gt;"","已制作",IF($G300&lt;&gt;"","设计完成","已下单"))))))</f>
        <v/>
      </c>
      <c r="R300" s="13" t="n"/>
      <c r="S300" s="17">
        <f>IF($B300="","",IF(COUNTIF($B$4:$B$403,$B300)&gt;1,"※项目名重复了",IF(AND($C300&lt;&gt;"",ISNA(MATCH($C300,客户表,0))),"※客户不在基础资料里",IF(AND($J300&lt;&gt;"",$F300&lt;&gt;"",$J300&lt;$F300),"※完工日期早于下单日期",""))))</f>
        <v/>
      </c>
    </row>
    <row r="301">
      <c r="A301" s="17">
        <f>IF($B301="","","P"&amp;TEXT(ROW()-3,"000"))</f>
        <v/>
      </c>
      <c r="B301" s="13" t="n"/>
      <c r="C301" s="13" t="n"/>
      <c r="D301" s="13" t="n"/>
      <c r="E301" s="13" t="n"/>
      <c r="F301" s="18" t="n"/>
      <c r="G301" s="18" t="n"/>
      <c r="H301" s="18" t="n"/>
      <c r="I301" s="18" t="n"/>
      <c r="J301" s="18" t="n"/>
      <c r="K301" s="14" t="n"/>
      <c r="L301" s="19">
        <f>IF($B301="","",ROUND(SUMIF(订单明细!$C:$C,$B301,订单明细!$I:$I),2))</f>
        <v/>
      </c>
      <c r="M301" s="19">
        <f>IF($B301="","",ROUND(N($K301)+N($L301),2))</f>
        <v/>
      </c>
      <c r="N301" s="14" t="n"/>
      <c r="O301" s="19">
        <f>IF($B301="","",ROUND(N($N301)+SUMIFS(资金日记账!$J$4:$J$2503,资金日记账!$G$4:$G$2503,$B301,资金日记账!$F$4:$F$2503,"收款-项目")-SUMIFS(资金日记账!$K$4:$K$2503,资金日记账!$G$4:$G$2503,$B301,资金日记账!$F$4:$F$2503,"收款-项目"),2))</f>
        <v/>
      </c>
      <c r="P301" s="19">
        <f>IF($B301="","",ROUND($M301-$O301,2))</f>
        <v/>
      </c>
      <c r="Q301" s="17">
        <f>IF($B301="","",IF(AND($J301&lt;&gt;"",ROUND($P301,2)&lt;=0),"已完工·已结清",IF($J301&lt;&gt;"","已完工·还有尾款",IF($I301&lt;&gt;"","已安装",IF($H301&lt;&gt;"","已制作",IF($G301&lt;&gt;"","设计完成","已下单"))))))</f>
        <v/>
      </c>
      <c r="R301" s="13" t="n"/>
      <c r="S301" s="17">
        <f>IF($B301="","",IF(COUNTIF($B$4:$B$403,$B301)&gt;1,"※项目名重复了",IF(AND($C301&lt;&gt;"",ISNA(MATCH($C301,客户表,0))),"※客户不在基础资料里",IF(AND($J301&lt;&gt;"",$F301&lt;&gt;"",$J301&lt;$F301),"※完工日期早于下单日期",""))))</f>
        <v/>
      </c>
    </row>
    <row r="302">
      <c r="A302" s="17">
        <f>IF($B302="","","P"&amp;TEXT(ROW()-3,"000"))</f>
        <v/>
      </c>
      <c r="B302" s="13" t="n"/>
      <c r="C302" s="13" t="n"/>
      <c r="D302" s="13" t="n"/>
      <c r="E302" s="13" t="n"/>
      <c r="F302" s="18" t="n"/>
      <c r="G302" s="18" t="n"/>
      <c r="H302" s="18" t="n"/>
      <c r="I302" s="18" t="n"/>
      <c r="J302" s="18" t="n"/>
      <c r="K302" s="14" t="n"/>
      <c r="L302" s="19">
        <f>IF($B302="","",ROUND(SUMIF(订单明细!$C:$C,$B302,订单明细!$I:$I),2))</f>
        <v/>
      </c>
      <c r="M302" s="19">
        <f>IF($B302="","",ROUND(N($K302)+N($L302),2))</f>
        <v/>
      </c>
      <c r="N302" s="14" t="n"/>
      <c r="O302" s="19">
        <f>IF($B302="","",ROUND(N($N302)+SUMIFS(资金日记账!$J$4:$J$2503,资金日记账!$G$4:$G$2503,$B302,资金日记账!$F$4:$F$2503,"收款-项目")-SUMIFS(资金日记账!$K$4:$K$2503,资金日记账!$G$4:$G$2503,$B302,资金日记账!$F$4:$F$2503,"收款-项目"),2))</f>
        <v/>
      </c>
      <c r="P302" s="19">
        <f>IF($B302="","",ROUND($M302-$O302,2))</f>
        <v/>
      </c>
      <c r="Q302" s="17">
        <f>IF($B302="","",IF(AND($J302&lt;&gt;"",ROUND($P302,2)&lt;=0),"已完工·已结清",IF($J302&lt;&gt;"","已完工·还有尾款",IF($I302&lt;&gt;"","已安装",IF($H302&lt;&gt;"","已制作",IF($G302&lt;&gt;"","设计完成","已下单"))))))</f>
        <v/>
      </c>
      <c r="R302" s="13" t="n"/>
      <c r="S302" s="17">
        <f>IF($B302="","",IF(COUNTIF($B$4:$B$403,$B302)&gt;1,"※项目名重复了",IF(AND($C302&lt;&gt;"",ISNA(MATCH($C302,客户表,0))),"※客户不在基础资料里",IF(AND($J302&lt;&gt;"",$F302&lt;&gt;"",$J302&lt;$F302),"※完工日期早于下单日期",""))))</f>
        <v/>
      </c>
    </row>
    <row r="303">
      <c r="A303" s="17">
        <f>IF($B303="","","P"&amp;TEXT(ROW()-3,"000"))</f>
        <v/>
      </c>
      <c r="B303" s="13" t="n"/>
      <c r="C303" s="13" t="n"/>
      <c r="D303" s="13" t="n"/>
      <c r="E303" s="13" t="n"/>
      <c r="F303" s="18" t="n"/>
      <c r="G303" s="18" t="n"/>
      <c r="H303" s="18" t="n"/>
      <c r="I303" s="18" t="n"/>
      <c r="J303" s="18" t="n"/>
      <c r="K303" s="14" t="n"/>
      <c r="L303" s="19">
        <f>IF($B303="","",ROUND(SUMIF(订单明细!$C:$C,$B303,订单明细!$I:$I),2))</f>
        <v/>
      </c>
      <c r="M303" s="19">
        <f>IF($B303="","",ROUND(N($K303)+N($L303),2))</f>
        <v/>
      </c>
      <c r="N303" s="14" t="n"/>
      <c r="O303" s="19">
        <f>IF($B303="","",ROUND(N($N303)+SUMIFS(资金日记账!$J$4:$J$2503,资金日记账!$G$4:$G$2503,$B303,资金日记账!$F$4:$F$2503,"收款-项目")-SUMIFS(资金日记账!$K$4:$K$2503,资金日记账!$G$4:$G$2503,$B303,资金日记账!$F$4:$F$2503,"收款-项目"),2))</f>
        <v/>
      </c>
      <c r="P303" s="19">
        <f>IF($B303="","",ROUND($M303-$O303,2))</f>
        <v/>
      </c>
      <c r="Q303" s="17">
        <f>IF($B303="","",IF(AND($J303&lt;&gt;"",ROUND($P303,2)&lt;=0),"已完工·已结清",IF($J303&lt;&gt;"","已完工·还有尾款",IF($I303&lt;&gt;"","已安装",IF($H303&lt;&gt;"","已制作",IF($G303&lt;&gt;"","设计完成","已下单"))))))</f>
        <v/>
      </c>
      <c r="R303" s="13" t="n"/>
      <c r="S303" s="17">
        <f>IF($B303="","",IF(COUNTIF($B$4:$B$403,$B303)&gt;1,"※项目名重复了",IF(AND($C303&lt;&gt;"",ISNA(MATCH($C303,客户表,0))),"※客户不在基础资料里",IF(AND($J303&lt;&gt;"",$F303&lt;&gt;"",$J303&lt;$F303),"※完工日期早于下单日期",""))))</f>
        <v/>
      </c>
    </row>
    <row r="304">
      <c r="A304" s="17">
        <f>IF($B304="","","P"&amp;TEXT(ROW()-3,"000"))</f>
        <v/>
      </c>
      <c r="B304" s="13" t="n"/>
      <c r="C304" s="13" t="n"/>
      <c r="D304" s="13" t="n"/>
      <c r="E304" s="13" t="n"/>
      <c r="F304" s="18" t="n"/>
      <c r="G304" s="18" t="n"/>
      <c r="H304" s="18" t="n"/>
      <c r="I304" s="18" t="n"/>
      <c r="J304" s="18" t="n"/>
      <c r="K304" s="14" t="n"/>
      <c r="L304" s="19">
        <f>IF($B304="","",ROUND(SUMIF(订单明细!$C:$C,$B304,订单明细!$I:$I),2))</f>
        <v/>
      </c>
      <c r="M304" s="19">
        <f>IF($B304="","",ROUND(N($K304)+N($L304),2))</f>
        <v/>
      </c>
      <c r="N304" s="14" t="n"/>
      <c r="O304" s="19">
        <f>IF($B304="","",ROUND(N($N304)+SUMIFS(资金日记账!$J$4:$J$2503,资金日记账!$G$4:$G$2503,$B304,资金日记账!$F$4:$F$2503,"收款-项目")-SUMIFS(资金日记账!$K$4:$K$2503,资金日记账!$G$4:$G$2503,$B304,资金日记账!$F$4:$F$2503,"收款-项目"),2))</f>
        <v/>
      </c>
      <c r="P304" s="19">
        <f>IF($B304="","",ROUND($M304-$O304,2))</f>
        <v/>
      </c>
      <c r="Q304" s="17">
        <f>IF($B304="","",IF(AND($J304&lt;&gt;"",ROUND($P304,2)&lt;=0),"已完工·已结清",IF($J304&lt;&gt;"","已完工·还有尾款",IF($I304&lt;&gt;"","已安装",IF($H304&lt;&gt;"","已制作",IF($G304&lt;&gt;"","设计完成","已下单"))))))</f>
        <v/>
      </c>
      <c r="R304" s="13" t="n"/>
      <c r="S304" s="17">
        <f>IF($B304="","",IF(COUNTIF($B$4:$B$403,$B304)&gt;1,"※项目名重复了",IF(AND($C304&lt;&gt;"",ISNA(MATCH($C304,客户表,0))),"※客户不在基础资料里",IF(AND($J304&lt;&gt;"",$F304&lt;&gt;"",$J304&lt;$F304),"※完工日期早于下单日期",""))))</f>
        <v/>
      </c>
    </row>
    <row r="305">
      <c r="A305" s="17">
        <f>IF($B305="","","P"&amp;TEXT(ROW()-3,"000"))</f>
        <v/>
      </c>
      <c r="B305" s="13" t="n"/>
      <c r="C305" s="13" t="n"/>
      <c r="D305" s="13" t="n"/>
      <c r="E305" s="13" t="n"/>
      <c r="F305" s="18" t="n"/>
      <c r="G305" s="18" t="n"/>
      <c r="H305" s="18" t="n"/>
      <c r="I305" s="18" t="n"/>
      <c r="J305" s="18" t="n"/>
      <c r="K305" s="14" t="n"/>
      <c r="L305" s="19">
        <f>IF($B305="","",ROUND(SUMIF(订单明细!$C:$C,$B305,订单明细!$I:$I),2))</f>
        <v/>
      </c>
      <c r="M305" s="19">
        <f>IF($B305="","",ROUND(N($K305)+N($L305),2))</f>
        <v/>
      </c>
      <c r="N305" s="14" t="n"/>
      <c r="O305" s="19">
        <f>IF($B305="","",ROUND(N($N305)+SUMIFS(资金日记账!$J$4:$J$2503,资金日记账!$G$4:$G$2503,$B305,资金日记账!$F$4:$F$2503,"收款-项目")-SUMIFS(资金日记账!$K$4:$K$2503,资金日记账!$G$4:$G$2503,$B305,资金日记账!$F$4:$F$2503,"收款-项目"),2))</f>
        <v/>
      </c>
      <c r="P305" s="19">
        <f>IF($B305="","",ROUND($M305-$O305,2))</f>
        <v/>
      </c>
      <c r="Q305" s="17">
        <f>IF($B305="","",IF(AND($J305&lt;&gt;"",ROUND($P305,2)&lt;=0),"已完工·已结清",IF($J305&lt;&gt;"","已完工·还有尾款",IF($I305&lt;&gt;"","已安装",IF($H305&lt;&gt;"","已制作",IF($G305&lt;&gt;"","设计完成","已下单"))))))</f>
        <v/>
      </c>
      <c r="R305" s="13" t="n"/>
      <c r="S305" s="17">
        <f>IF($B305="","",IF(COUNTIF($B$4:$B$403,$B305)&gt;1,"※项目名重复了",IF(AND($C305&lt;&gt;"",ISNA(MATCH($C305,客户表,0))),"※客户不在基础资料里",IF(AND($J305&lt;&gt;"",$F305&lt;&gt;"",$J305&lt;$F305),"※完工日期早于下单日期",""))))</f>
        <v/>
      </c>
    </row>
    <row r="306">
      <c r="A306" s="17">
        <f>IF($B306="","","P"&amp;TEXT(ROW()-3,"000"))</f>
        <v/>
      </c>
      <c r="B306" s="13" t="n"/>
      <c r="C306" s="13" t="n"/>
      <c r="D306" s="13" t="n"/>
      <c r="E306" s="13" t="n"/>
      <c r="F306" s="18" t="n"/>
      <c r="G306" s="18" t="n"/>
      <c r="H306" s="18" t="n"/>
      <c r="I306" s="18" t="n"/>
      <c r="J306" s="18" t="n"/>
      <c r="K306" s="14" t="n"/>
      <c r="L306" s="19">
        <f>IF($B306="","",ROUND(SUMIF(订单明细!$C:$C,$B306,订单明细!$I:$I),2))</f>
        <v/>
      </c>
      <c r="M306" s="19">
        <f>IF($B306="","",ROUND(N($K306)+N($L306),2))</f>
        <v/>
      </c>
      <c r="N306" s="14" t="n"/>
      <c r="O306" s="19">
        <f>IF($B306="","",ROUND(N($N306)+SUMIFS(资金日记账!$J$4:$J$2503,资金日记账!$G$4:$G$2503,$B306,资金日记账!$F$4:$F$2503,"收款-项目")-SUMIFS(资金日记账!$K$4:$K$2503,资金日记账!$G$4:$G$2503,$B306,资金日记账!$F$4:$F$2503,"收款-项目"),2))</f>
        <v/>
      </c>
      <c r="P306" s="19">
        <f>IF($B306="","",ROUND($M306-$O306,2))</f>
        <v/>
      </c>
      <c r="Q306" s="17">
        <f>IF($B306="","",IF(AND($J306&lt;&gt;"",ROUND($P306,2)&lt;=0),"已完工·已结清",IF($J306&lt;&gt;"","已完工·还有尾款",IF($I306&lt;&gt;"","已安装",IF($H306&lt;&gt;"","已制作",IF($G306&lt;&gt;"","设计完成","已下单"))))))</f>
        <v/>
      </c>
      <c r="R306" s="13" t="n"/>
      <c r="S306" s="17">
        <f>IF($B306="","",IF(COUNTIF($B$4:$B$403,$B306)&gt;1,"※项目名重复了",IF(AND($C306&lt;&gt;"",ISNA(MATCH($C306,客户表,0))),"※客户不在基础资料里",IF(AND($J306&lt;&gt;"",$F306&lt;&gt;"",$J306&lt;$F306),"※完工日期早于下单日期",""))))</f>
        <v/>
      </c>
    </row>
    <row r="307">
      <c r="A307" s="17">
        <f>IF($B307="","","P"&amp;TEXT(ROW()-3,"000"))</f>
        <v/>
      </c>
      <c r="B307" s="13" t="n"/>
      <c r="C307" s="13" t="n"/>
      <c r="D307" s="13" t="n"/>
      <c r="E307" s="13" t="n"/>
      <c r="F307" s="18" t="n"/>
      <c r="G307" s="18" t="n"/>
      <c r="H307" s="18" t="n"/>
      <c r="I307" s="18" t="n"/>
      <c r="J307" s="18" t="n"/>
      <c r="K307" s="14" t="n"/>
      <c r="L307" s="19">
        <f>IF($B307="","",ROUND(SUMIF(订单明细!$C:$C,$B307,订单明细!$I:$I),2))</f>
        <v/>
      </c>
      <c r="M307" s="19">
        <f>IF($B307="","",ROUND(N($K307)+N($L307),2))</f>
        <v/>
      </c>
      <c r="N307" s="14" t="n"/>
      <c r="O307" s="19">
        <f>IF($B307="","",ROUND(N($N307)+SUMIFS(资金日记账!$J$4:$J$2503,资金日记账!$G$4:$G$2503,$B307,资金日记账!$F$4:$F$2503,"收款-项目")-SUMIFS(资金日记账!$K$4:$K$2503,资金日记账!$G$4:$G$2503,$B307,资金日记账!$F$4:$F$2503,"收款-项目"),2))</f>
        <v/>
      </c>
      <c r="P307" s="19">
        <f>IF($B307="","",ROUND($M307-$O307,2))</f>
        <v/>
      </c>
      <c r="Q307" s="17">
        <f>IF($B307="","",IF(AND($J307&lt;&gt;"",ROUND($P307,2)&lt;=0),"已完工·已结清",IF($J307&lt;&gt;"","已完工·还有尾款",IF($I307&lt;&gt;"","已安装",IF($H307&lt;&gt;"","已制作",IF($G307&lt;&gt;"","设计完成","已下单"))))))</f>
        <v/>
      </c>
      <c r="R307" s="13" t="n"/>
      <c r="S307" s="17">
        <f>IF($B307="","",IF(COUNTIF($B$4:$B$403,$B307)&gt;1,"※项目名重复了",IF(AND($C307&lt;&gt;"",ISNA(MATCH($C307,客户表,0))),"※客户不在基础资料里",IF(AND($J307&lt;&gt;"",$F307&lt;&gt;"",$J307&lt;$F307),"※完工日期早于下单日期",""))))</f>
        <v/>
      </c>
    </row>
    <row r="308">
      <c r="A308" s="17">
        <f>IF($B308="","","P"&amp;TEXT(ROW()-3,"000"))</f>
        <v/>
      </c>
      <c r="B308" s="13" t="n"/>
      <c r="C308" s="13" t="n"/>
      <c r="D308" s="13" t="n"/>
      <c r="E308" s="13" t="n"/>
      <c r="F308" s="18" t="n"/>
      <c r="G308" s="18" t="n"/>
      <c r="H308" s="18" t="n"/>
      <c r="I308" s="18" t="n"/>
      <c r="J308" s="18" t="n"/>
      <c r="K308" s="14" t="n"/>
      <c r="L308" s="19">
        <f>IF($B308="","",ROUND(SUMIF(订单明细!$C:$C,$B308,订单明细!$I:$I),2))</f>
        <v/>
      </c>
      <c r="M308" s="19">
        <f>IF($B308="","",ROUND(N($K308)+N($L308),2))</f>
        <v/>
      </c>
      <c r="N308" s="14" t="n"/>
      <c r="O308" s="19">
        <f>IF($B308="","",ROUND(N($N308)+SUMIFS(资金日记账!$J$4:$J$2503,资金日记账!$G$4:$G$2503,$B308,资金日记账!$F$4:$F$2503,"收款-项目")-SUMIFS(资金日记账!$K$4:$K$2503,资金日记账!$G$4:$G$2503,$B308,资金日记账!$F$4:$F$2503,"收款-项目"),2))</f>
        <v/>
      </c>
      <c r="P308" s="19">
        <f>IF($B308="","",ROUND($M308-$O308,2))</f>
        <v/>
      </c>
      <c r="Q308" s="17">
        <f>IF($B308="","",IF(AND($J308&lt;&gt;"",ROUND($P308,2)&lt;=0),"已完工·已结清",IF($J308&lt;&gt;"","已完工·还有尾款",IF($I308&lt;&gt;"","已安装",IF($H308&lt;&gt;"","已制作",IF($G308&lt;&gt;"","设计完成","已下单"))))))</f>
        <v/>
      </c>
      <c r="R308" s="13" t="n"/>
      <c r="S308" s="17">
        <f>IF($B308="","",IF(COUNTIF($B$4:$B$403,$B308)&gt;1,"※项目名重复了",IF(AND($C308&lt;&gt;"",ISNA(MATCH($C308,客户表,0))),"※客户不在基础资料里",IF(AND($J308&lt;&gt;"",$F308&lt;&gt;"",$J308&lt;$F308),"※完工日期早于下单日期",""))))</f>
        <v/>
      </c>
    </row>
    <row r="309">
      <c r="A309" s="17">
        <f>IF($B309="","","P"&amp;TEXT(ROW()-3,"000"))</f>
        <v/>
      </c>
      <c r="B309" s="13" t="n"/>
      <c r="C309" s="13" t="n"/>
      <c r="D309" s="13" t="n"/>
      <c r="E309" s="13" t="n"/>
      <c r="F309" s="18" t="n"/>
      <c r="G309" s="18" t="n"/>
      <c r="H309" s="18" t="n"/>
      <c r="I309" s="18" t="n"/>
      <c r="J309" s="18" t="n"/>
      <c r="K309" s="14" t="n"/>
      <c r="L309" s="19">
        <f>IF($B309="","",ROUND(SUMIF(订单明细!$C:$C,$B309,订单明细!$I:$I),2))</f>
        <v/>
      </c>
      <c r="M309" s="19">
        <f>IF($B309="","",ROUND(N($K309)+N($L309),2))</f>
        <v/>
      </c>
      <c r="N309" s="14" t="n"/>
      <c r="O309" s="19">
        <f>IF($B309="","",ROUND(N($N309)+SUMIFS(资金日记账!$J$4:$J$2503,资金日记账!$G$4:$G$2503,$B309,资金日记账!$F$4:$F$2503,"收款-项目")-SUMIFS(资金日记账!$K$4:$K$2503,资金日记账!$G$4:$G$2503,$B309,资金日记账!$F$4:$F$2503,"收款-项目"),2))</f>
        <v/>
      </c>
      <c r="P309" s="19">
        <f>IF($B309="","",ROUND($M309-$O309,2))</f>
        <v/>
      </c>
      <c r="Q309" s="17">
        <f>IF($B309="","",IF(AND($J309&lt;&gt;"",ROUND($P309,2)&lt;=0),"已完工·已结清",IF($J309&lt;&gt;"","已完工·还有尾款",IF($I309&lt;&gt;"","已安装",IF($H309&lt;&gt;"","已制作",IF($G309&lt;&gt;"","设计完成","已下单"))))))</f>
        <v/>
      </c>
      <c r="R309" s="13" t="n"/>
      <c r="S309" s="17">
        <f>IF($B309="","",IF(COUNTIF($B$4:$B$403,$B309)&gt;1,"※项目名重复了",IF(AND($C309&lt;&gt;"",ISNA(MATCH($C309,客户表,0))),"※客户不在基础资料里",IF(AND($J309&lt;&gt;"",$F309&lt;&gt;"",$J309&lt;$F309),"※完工日期早于下单日期",""))))</f>
        <v/>
      </c>
    </row>
    <row r="310">
      <c r="A310" s="17">
        <f>IF($B310="","","P"&amp;TEXT(ROW()-3,"000"))</f>
        <v/>
      </c>
      <c r="B310" s="13" t="n"/>
      <c r="C310" s="13" t="n"/>
      <c r="D310" s="13" t="n"/>
      <c r="E310" s="13" t="n"/>
      <c r="F310" s="18" t="n"/>
      <c r="G310" s="18" t="n"/>
      <c r="H310" s="18" t="n"/>
      <c r="I310" s="18" t="n"/>
      <c r="J310" s="18" t="n"/>
      <c r="K310" s="14" t="n"/>
      <c r="L310" s="19">
        <f>IF($B310="","",ROUND(SUMIF(订单明细!$C:$C,$B310,订单明细!$I:$I),2))</f>
        <v/>
      </c>
      <c r="M310" s="19">
        <f>IF($B310="","",ROUND(N($K310)+N($L310),2))</f>
        <v/>
      </c>
      <c r="N310" s="14" t="n"/>
      <c r="O310" s="19">
        <f>IF($B310="","",ROUND(N($N310)+SUMIFS(资金日记账!$J$4:$J$2503,资金日记账!$G$4:$G$2503,$B310,资金日记账!$F$4:$F$2503,"收款-项目")-SUMIFS(资金日记账!$K$4:$K$2503,资金日记账!$G$4:$G$2503,$B310,资金日记账!$F$4:$F$2503,"收款-项目"),2))</f>
        <v/>
      </c>
      <c r="P310" s="19">
        <f>IF($B310="","",ROUND($M310-$O310,2))</f>
        <v/>
      </c>
      <c r="Q310" s="17">
        <f>IF($B310="","",IF(AND($J310&lt;&gt;"",ROUND($P310,2)&lt;=0),"已完工·已结清",IF($J310&lt;&gt;"","已完工·还有尾款",IF($I310&lt;&gt;"","已安装",IF($H310&lt;&gt;"","已制作",IF($G310&lt;&gt;"","设计完成","已下单"))))))</f>
        <v/>
      </c>
      <c r="R310" s="13" t="n"/>
      <c r="S310" s="17">
        <f>IF($B310="","",IF(COUNTIF($B$4:$B$403,$B310)&gt;1,"※项目名重复了",IF(AND($C310&lt;&gt;"",ISNA(MATCH($C310,客户表,0))),"※客户不在基础资料里",IF(AND($J310&lt;&gt;"",$F310&lt;&gt;"",$J310&lt;$F310),"※完工日期早于下单日期",""))))</f>
        <v/>
      </c>
    </row>
    <row r="311">
      <c r="A311" s="17">
        <f>IF($B311="","","P"&amp;TEXT(ROW()-3,"000"))</f>
        <v/>
      </c>
      <c r="B311" s="13" t="n"/>
      <c r="C311" s="13" t="n"/>
      <c r="D311" s="13" t="n"/>
      <c r="E311" s="13" t="n"/>
      <c r="F311" s="18" t="n"/>
      <c r="G311" s="18" t="n"/>
      <c r="H311" s="18" t="n"/>
      <c r="I311" s="18" t="n"/>
      <c r="J311" s="18" t="n"/>
      <c r="K311" s="14" t="n"/>
      <c r="L311" s="19">
        <f>IF($B311="","",ROUND(SUMIF(订单明细!$C:$C,$B311,订单明细!$I:$I),2))</f>
        <v/>
      </c>
      <c r="M311" s="19">
        <f>IF($B311="","",ROUND(N($K311)+N($L311),2))</f>
        <v/>
      </c>
      <c r="N311" s="14" t="n"/>
      <c r="O311" s="19">
        <f>IF($B311="","",ROUND(N($N311)+SUMIFS(资金日记账!$J$4:$J$2503,资金日记账!$G$4:$G$2503,$B311,资金日记账!$F$4:$F$2503,"收款-项目")-SUMIFS(资金日记账!$K$4:$K$2503,资金日记账!$G$4:$G$2503,$B311,资金日记账!$F$4:$F$2503,"收款-项目"),2))</f>
        <v/>
      </c>
      <c r="P311" s="19">
        <f>IF($B311="","",ROUND($M311-$O311,2))</f>
        <v/>
      </c>
      <c r="Q311" s="17">
        <f>IF($B311="","",IF(AND($J311&lt;&gt;"",ROUND($P311,2)&lt;=0),"已完工·已结清",IF($J311&lt;&gt;"","已完工·还有尾款",IF($I311&lt;&gt;"","已安装",IF($H311&lt;&gt;"","已制作",IF($G311&lt;&gt;"","设计完成","已下单"))))))</f>
        <v/>
      </c>
      <c r="R311" s="13" t="n"/>
      <c r="S311" s="17">
        <f>IF($B311="","",IF(COUNTIF($B$4:$B$403,$B311)&gt;1,"※项目名重复了",IF(AND($C311&lt;&gt;"",ISNA(MATCH($C311,客户表,0))),"※客户不在基础资料里",IF(AND($J311&lt;&gt;"",$F311&lt;&gt;"",$J311&lt;$F311),"※完工日期早于下单日期",""))))</f>
        <v/>
      </c>
    </row>
    <row r="312">
      <c r="A312" s="17">
        <f>IF($B312="","","P"&amp;TEXT(ROW()-3,"000"))</f>
        <v/>
      </c>
      <c r="B312" s="13" t="n"/>
      <c r="C312" s="13" t="n"/>
      <c r="D312" s="13" t="n"/>
      <c r="E312" s="13" t="n"/>
      <c r="F312" s="18" t="n"/>
      <c r="G312" s="18" t="n"/>
      <c r="H312" s="18" t="n"/>
      <c r="I312" s="18" t="n"/>
      <c r="J312" s="18" t="n"/>
      <c r="K312" s="14" t="n"/>
      <c r="L312" s="19">
        <f>IF($B312="","",ROUND(SUMIF(订单明细!$C:$C,$B312,订单明细!$I:$I),2))</f>
        <v/>
      </c>
      <c r="M312" s="19">
        <f>IF($B312="","",ROUND(N($K312)+N($L312),2))</f>
        <v/>
      </c>
      <c r="N312" s="14" t="n"/>
      <c r="O312" s="19">
        <f>IF($B312="","",ROUND(N($N312)+SUMIFS(资金日记账!$J$4:$J$2503,资金日记账!$G$4:$G$2503,$B312,资金日记账!$F$4:$F$2503,"收款-项目")-SUMIFS(资金日记账!$K$4:$K$2503,资金日记账!$G$4:$G$2503,$B312,资金日记账!$F$4:$F$2503,"收款-项目"),2))</f>
        <v/>
      </c>
      <c r="P312" s="19">
        <f>IF($B312="","",ROUND($M312-$O312,2))</f>
        <v/>
      </c>
      <c r="Q312" s="17">
        <f>IF($B312="","",IF(AND($J312&lt;&gt;"",ROUND($P312,2)&lt;=0),"已完工·已结清",IF($J312&lt;&gt;"","已完工·还有尾款",IF($I312&lt;&gt;"","已安装",IF($H312&lt;&gt;"","已制作",IF($G312&lt;&gt;"","设计完成","已下单"))))))</f>
        <v/>
      </c>
      <c r="R312" s="13" t="n"/>
      <c r="S312" s="17">
        <f>IF($B312="","",IF(COUNTIF($B$4:$B$403,$B312)&gt;1,"※项目名重复了",IF(AND($C312&lt;&gt;"",ISNA(MATCH($C312,客户表,0))),"※客户不在基础资料里",IF(AND($J312&lt;&gt;"",$F312&lt;&gt;"",$J312&lt;$F312),"※完工日期早于下单日期",""))))</f>
        <v/>
      </c>
    </row>
    <row r="313">
      <c r="A313" s="17">
        <f>IF($B313="","","P"&amp;TEXT(ROW()-3,"000"))</f>
        <v/>
      </c>
      <c r="B313" s="13" t="n"/>
      <c r="C313" s="13" t="n"/>
      <c r="D313" s="13" t="n"/>
      <c r="E313" s="13" t="n"/>
      <c r="F313" s="18" t="n"/>
      <c r="G313" s="18" t="n"/>
      <c r="H313" s="18" t="n"/>
      <c r="I313" s="18" t="n"/>
      <c r="J313" s="18" t="n"/>
      <c r="K313" s="14" t="n"/>
      <c r="L313" s="19">
        <f>IF($B313="","",ROUND(SUMIF(订单明细!$C:$C,$B313,订单明细!$I:$I),2))</f>
        <v/>
      </c>
      <c r="M313" s="19">
        <f>IF($B313="","",ROUND(N($K313)+N($L313),2))</f>
        <v/>
      </c>
      <c r="N313" s="14" t="n"/>
      <c r="O313" s="19">
        <f>IF($B313="","",ROUND(N($N313)+SUMIFS(资金日记账!$J$4:$J$2503,资金日记账!$G$4:$G$2503,$B313,资金日记账!$F$4:$F$2503,"收款-项目")-SUMIFS(资金日记账!$K$4:$K$2503,资金日记账!$G$4:$G$2503,$B313,资金日记账!$F$4:$F$2503,"收款-项目"),2))</f>
        <v/>
      </c>
      <c r="P313" s="19">
        <f>IF($B313="","",ROUND($M313-$O313,2))</f>
        <v/>
      </c>
      <c r="Q313" s="17">
        <f>IF($B313="","",IF(AND($J313&lt;&gt;"",ROUND($P313,2)&lt;=0),"已完工·已结清",IF($J313&lt;&gt;"","已完工·还有尾款",IF($I313&lt;&gt;"","已安装",IF($H313&lt;&gt;"","已制作",IF($G313&lt;&gt;"","设计完成","已下单"))))))</f>
        <v/>
      </c>
      <c r="R313" s="13" t="n"/>
      <c r="S313" s="17">
        <f>IF($B313="","",IF(COUNTIF($B$4:$B$403,$B313)&gt;1,"※项目名重复了",IF(AND($C313&lt;&gt;"",ISNA(MATCH($C313,客户表,0))),"※客户不在基础资料里",IF(AND($J313&lt;&gt;"",$F313&lt;&gt;"",$J313&lt;$F313),"※完工日期早于下单日期",""))))</f>
        <v/>
      </c>
    </row>
    <row r="314">
      <c r="A314" s="17">
        <f>IF($B314="","","P"&amp;TEXT(ROW()-3,"000"))</f>
        <v/>
      </c>
      <c r="B314" s="13" t="n"/>
      <c r="C314" s="13" t="n"/>
      <c r="D314" s="13" t="n"/>
      <c r="E314" s="13" t="n"/>
      <c r="F314" s="18" t="n"/>
      <c r="G314" s="18" t="n"/>
      <c r="H314" s="18" t="n"/>
      <c r="I314" s="18" t="n"/>
      <c r="J314" s="18" t="n"/>
      <c r="K314" s="14" t="n"/>
      <c r="L314" s="19">
        <f>IF($B314="","",ROUND(SUMIF(订单明细!$C:$C,$B314,订单明细!$I:$I),2))</f>
        <v/>
      </c>
      <c r="M314" s="19">
        <f>IF($B314="","",ROUND(N($K314)+N($L314),2))</f>
        <v/>
      </c>
      <c r="N314" s="14" t="n"/>
      <c r="O314" s="19">
        <f>IF($B314="","",ROUND(N($N314)+SUMIFS(资金日记账!$J$4:$J$2503,资金日记账!$G$4:$G$2503,$B314,资金日记账!$F$4:$F$2503,"收款-项目")-SUMIFS(资金日记账!$K$4:$K$2503,资金日记账!$G$4:$G$2503,$B314,资金日记账!$F$4:$F$2503,"收款-项目"),2))</f>
        <v/>
      </c>
      <c r="P314" s="19">
        <f>IF($B314="","",ROUND($M314-$O314,2))</f>
        <v/>
      </c>
      <c r="Q314" s="17">
        <f>IF($B314="","",IF(AND($J314&lt;&gt;"",ROUND($P314,2)&lt;=0),"已完工·已结清",IF($J314&lt;&gt;"","已完工·还有尾款",IF($I314&lt;&gt;"","已安装",IF($H314&lt;&gt;"","已制作",IF($G314&lt;&gt;"","设计完成","已下单"))))))</f>
        <v/>
      </c>
      <c r="R314" s="13" t="n"/>
      <c r="S314" s="17">
        <f>IF($B314="","",IF(COUNTIF($B$4:$B$403,$B314)&gt;1,"※项目名重复了",IF(AND($C314&lt;&gt;"",ISNA(MATCH($C314,客户表,0))),"※客户不在基础资料里",IF(AND($J314&lt;&gt;"",$F314&lt;&gt;"",$J314&lt;$F314),"※完工日期早于下单日期",""))))</f>
        <v/>
      </c>
    </row>
    <row r="315">
      <c r="A315" s="17">
        <f>IF($B315="","","P"&amp;TEXT(ROW()-3,"000"))</f>
        <v/>
      </c>
      <c r="B315" s="13" t="n"/>
      <c r="C315" s="13" t="n"/>
      <c r="D315" s="13" t="n"/>
      <c r="E315" s="13" t="n"/>
      <c r="F315" s="18" t="n"/>
      <c r="G315" s="18" t="n"/>
      <c r="H315" s="18" t="n"/>
      <c r="I315" s="18" t="n"/>
      <c r="J315" s="18" t="n"/>
      <c r="K315" s="14" t="n"/>
      <c r="L315" s="19">
        <f>IF($B315="","",ROUND(SUMIF(订单明细!$C:$C,$B315,订单明细!$I:$I),2))</f>
        <v/>
      </c>
      <c r="M315" s="19">
        <f>IF($B315="","",ROUND(N($K315)+N($L315),2))</f>
        <v/>
      </c>
      <c r="N315" s="14" t="n"/>
      <c r="O315" s="19">
        <f>IF($B315="","",ROUND(N($N315)+SUMIFS(资金日记账!$J$4:$J$2503,资金日记账!$G$4:$G$2503,$B315,资金日记账!$F$4:$F$2503,"收款-项目")-SUMIFS(资金日记账!$K$4:$K$2503,资金日记账!$G$4:$G$2503,$B315,资金日记账!$F$4:$F$2503,"收款-项目"),2))</f>
        <v/>
      </c>
      <c r="P315" s="19">
        <f>IF($B315="","",ROUND($M315-$O315,2))</f>
        <v/>
      </c>
      <c r="Q315" s="17">
        <f>IF($B315="","",IF(AND($J315&lt;&gt;"",ROUND($P315,2)&lt;=0),"已完工·已结清",IF($J315&lt;&gt;"","已完工·还有尾款",IF($I315&lt;&gt;"","已安装",IF($H315&lt;&gt;"","已制作",IF($G315&lt;&gt;"","设计完成","已下单"))))))</f>
        <v/>
      </c>
      <c r="R315" s="13" t="n"/>
      <c r="S315" s="17">
        <f>IF($B315="","",IF(COUNTIF($B$4:$B$403,$B315)&gt;1,"※项目名重复了",IF(AND($C315&lt;&gt;"",ISNA(MATCH($C315,客户表,0))),"※客户不在基础资料里",IF(AND($J315&lt;&gt;"",$F315&lt;&gt;"",$J315&lt;$F315),"※完工日期早于下单日期",""))))</f>
        <v/>
      </c>
    </row>
    <row r="316">
      <c r="A316" s="17">
        <f>IF($B316="","","P"&amp;TEXT(ROW()-3,"000"))</f>
        <v/>
      </c>
      <c r="B316" s="13" t="n"/>
      <c r="C316" s="13" t="n"/>
      <c r="D316" s="13" t="n"/>
      <c r="E316" s="13" t="n"/>
      <c r="F316" s="18" t="n"/>
      <c r="G316" s="18" t="n"/>
      <c r="H316" s="18" t="n"/>
      <c r="I316" s="18" t="n"/>
      <c r="J316" s="18" t="n"/>
      <c r="K316" s="14" t="n"/>
      <c r="L316" s="19">
        <f>IF($B316="","",ROUND(SUMIF(订单明细!$C:$C,$B316,订单明细!$I:$I),2))</f>
        <v/>
      </c>
      <c r="M316" s="19">
        <f>IF($B316="","",ROUND(N($K316)+N($L316),2))</f>
        <v/>
      </c>
      <c r="N316" s="14" t="n"/>
      <c r="O316" s="19">
        <f>IF($B316="","",ROUND(N($N316)+SUMIFS(资金日记账!$J$4:$J$2503,资金日记账!$G$4:$G$2503,$B316,资金日记账!$F$4:$F$2503,"收款-项目")-SUMIFS(资金日记账!$K$4:$K$2503,资金日记账!$G$4:$G$2503,$B316,资金日记账!$F$4:$F$2503,"收款-项目"),2))</f>
        <v/>
      </c>
      <c r="P316" s="19">
        <f>IF($B316="","",ROUND($M316-$O316,2))</f>
        <v/>
      </c>
      <c r="Q316" s="17">
        <f>IF($B316="","",IF(AND($J316&lt;&gt;"",ROUND($P316,2)&lt;=0),"已完工·已结清",IF($J316&lt;&gt;"","已完工·还有尾款",IF($I316&lt;&gt;"","已安装",IF($H316&lt;&gt;"","已制作",IF($G316&lt;&gt;"","设计完成","已下单"))))))</f>
        <v/>
      </c>
      <c r="R316" s="13" t="n"/>
      <c r="S316" s="17">
        <f>IF($B316="","",IF(COUNTIF($B$4:$B$403,$B316)&gt;1,"※项目名重复了",IF(AND($C316&lt;&gt;"",ISNA(MATCH($C316,客户表,0))),"※客户不在基础资料里",IF(AND($J316&lt;&gt;"",$F316&lt;&gt;"",$J316&lt;$F316),"※完工日期早于下单日期",""))))</f>
        <v/>
      </c>
    </row>
    <row r="317">
      <c r="A317" s="17">
        <f>IF($B317="","","P"&amp;TEXT(ROW()-3,"000"))</f>
        <v/>
      </c>
      <c r="B317" s="13" t="n"/>
      <c r="C317" s="13" t="n"/>
      <c r="D317" s="13" t="n"/>
      <c r="E317" s="13" t="n"/>
      <c r="F317" s="18" t="n"/>
      <c r="G317" s="18" t="n"/>
      <c r="H317" s="18" t="n"/>
      <c r="I317" s="18" t="n"/>
      <c r="J317" s="18" t="n"/>
      <c r="K317" s="14" t="n"/>
      <c r="L317" s="19">
        <f>IF($B317="","",ROUND(SUMIF(订单明细!$C:$C,$B317,订单明细!$I:$I),2))</f>
        <v/>
      </c>
      <c r="M317" s="19">
        <f>IF($B317="","",ROUND(N($K317)+N($L317),2))</f>
        <v/>
      </c>
      <c r="N317" s="14" t="n"/>
      <c r="O317" s="19">
        <f>IF($B317="","",ROUND(N($N317)+SUMIFS(资金日记账!$J$4:$J$2503,资金日记账!$G$4:$G$2503,$B317,资金日记账!$F$4:$F$2503,"收款-项目")-SUMIFS(资金日记账!$K$4:$K$2503,资金日记账!$G$4:$G$2503,$B317,资金日记账!$F$4:$F$2503,"收款-项目"),2))</f>
        <v/>
      </c>
      <c r="P317" s="19">
        <f>IF($B317="","",ROUND($M317-$O317,2))</f>
        <v/>
      </c>
      <c r="Q317" s="17">
        <f>IF($B317="","",IF(AND($J317&lt;&gt;"",ROUND($P317,2)&lt;=0),"已完工·已结清",IF($J317&lt;&gt;"","已完工·还有尾款",IF($I317&lt;&gt;"","已安装",IF($H317&lt;&gt;"","已制作",IF($G317&lt;&gt;"","设计完成","已下单"))))))</f>
        <v/>
      </c>
      <c r="R317" s="13" t="n"/>
      <c r="S317" s="17">
        <f>IF($B317="","",IF(COUNTIF($B$4:$B$403,$B317)&gt;1,"※项目名重复了",IF(AND($C317&lt;&gt;"",ISNA(MATCH($C317,客户表,0))),"※客户不在基础资料里",IF(AND($J317&lt;&gt;"",$F317&lt;&gt;"",$J317&lt;$F317),"※完工日期早于下单日期",""))))</f>
        <v/>
      </c>
    </row>
    <row r="318">
      <c r="A318" s="17">
        <f>IF($B318="","","P"&amp;TEXT(ROW()-3,"000"))</f>
        <v/>
      </c>
      <c r="B318" s="13" t="n"/>
      <c r="C318" s="13" t="n"/>
      <c r="D318" s="13" t="n"/>
      <c r="E318" s="13" t="n"/>
      <c r="F318" s="18" t="n"/>
      <c r="G318" s="18" t="n"/>
      <c r="H318" s="18" t="n"/>
      <c r="I318" s="18" t="n"/>
      <c r="J318" s="18" t="n"/>
      <c r="K318" s="14" t="n"/>
      <c r="L318" s="19">
        <f>IF($B318="","",ROUND(SUMIF(订单明细!$C:$C,$B318,订单明细!$I:$I),2))</f>
        <v/>
      </c>
      <c r="M318" s="19">
        <f>IF($B318="","",ROUND(N($K318)+N($L318),2))</f>
        <v/>
      </c>
      <c r="N318" s="14" t="n"/>
      <c r="O318" s="19">
        <f>IF($B318="","",ROUND(N($N318)+SUMIFS(资金日记账!$J$4:$J$2503,资金日记账!$G$4:$G$2503,$B318,资金日记账!$F$4:$F$2503,"收款-项目")-SUMIFS(资金日记账!$K$4:$K$2503,资金日记账!$G$4:$G$2503,$B318,资金日记账!$F$4:$F$2503,"收款-项目"),2))</f>
        <v/>
      </c>
      <c r="P318" s="19">
        <f>IF($B318="","",ROUND($M318-$O318,2))</f>
        <v/>
      </c>
      <c r="Q318" s="17">
        <f>IF($B318="","",IF(AND($J318&lt;&gt;"",ROUND($P318,2)&lt;=0),"已完工·已结清",IF($J318&lt;&gt;"","已完工·还有尾款",IF($I318&lt;&gt;"","已安装",IF($H318&lt;&gt;"","已制作",IF($G318&lt;&gt;"","设计完成","已下单"))))))</f>
        <v/>
      </c>
      <c r="R318" s="13" t="n"/>
      <c r="S318" s="17">
        <f>IF($B318="","",IF(COUNTIF($B$4:$B$403,$B318)&gt;1,"※项目名重复了",IF(AND($C318&lt;&gt;"",ISNA(MATCH($C318,客户表,0))),"※客户不在基础资料里",IF(AND($J318&lt;&gt;"",$F318&lt;&gt;"",$J318&lt;$F318),"※完工日期早于下单日期",""))))</f>
        <v/>
      </c>
    </row>
    <row r="319">
      <c r="A319" s="17">
        <f>IF($B319="","","P"&amp;TEXT(ROW()-3,"000"))</f>
        <v/>
      </c>
      <c r="B319" s="13" t="n"/>
      <c r="C319" s="13" t="n"/>
      <c r="D319" s="13" t="n"/>
      <c r="E319" s="13" t="n"/>
      <c r="F319" s="18" t="n"/>
      <c r="G319" s="18" t="n"/>
      <c r="H319" s="18" t="n"/>
      <c r="I319" s="18" t="n"/>
      <c r="J319" s="18" t="n"/>
      <c r="K319" s="14" t="n"/>
      <c r="L319" s="19">
        <f>IF($B319="","",ROUND(SUMIF(订单明细!$C:$C,$B319,订单明细!$I:$I),2))</f>
        <v/>
      </c>
      <c r="M319" s="19">
        <f>IF($B319="","",ROUND(N($K319)+N($L319),2))</f>
        <v/>
      </c>
      <c r="N319" s="14" t="n"/>
      <c r="O319" s="19">
        <f>IF($B319="","",ROUND(N($N319)+SUMIFS(资金日记账!$J$4:$J$2503,资金日记账!$G$4:$G$2503,$B319,资金日记账!$F$4:$F$2503,"收款-项目")-SUMIFS(资金日记账!$K$4:$K$2503,资金日记账!$G$4:$G$2503,$B319,资金日记账!$F$4:$F$2503,"收款-项目"),2))</f>
        <v/>
      </c>
      <c r="P319" s="19">
        <f>IF($B319="","",ROUND($M319-$O319,2))</f>
        <v/>
      </c>
      <c r="Q319" s="17">
        <f>IF($B319="","",IF(AND($J319&lt;&gt;"",ROUND($P319,2)&lt;=0),"已完工·已结清",IF($J319&lt;&gt;"","已完工·还有尾款",IF($I319&lt;&gt;"","已安装",IF($H319&lt;&gt;"","已制作",IF($G319&lt;&gt;"","设计完成","已下单"))))))</f>
        <v/>
      </c>
      <c r="R319" s="13" t="n"/>
      <c r="S319" s="17">
        <f>IF($B319="","",IF(COUNTIF($B$4:$B$403,$B319)&gt;1,"※项目名重复了",IF(AND($C319&lt;&gt;"",ISNA(MATCH($C319,客户表,0))),"※客户不在基础资料里",IF(AND($J319&lt;&gt;"",$F319&lt;&gt;"",$J319&lt;$F319),"※完工日期早于下单日期",""))))</f>
        <v/>
      </c>
    </row>
    <row r="320">
      <c r="A320" s="17">
        <f>IF($B320="","","P"&amp;TEXT(ROW()-3,"000"))</f>
        <v/>
      </c>
      <c r="B320" s="13" t="n"/>
      <c r="C320" s="13" t="n"/>
      <c r="D320" s="13" t="n"/>
      <c r="E320" s="13" t="n"/>
      <c r="F320" s="18" t="n"/>
      <c r="G320" s="18" t="n"/>
      <c r="H320" s="18" t="n"/>
      <c r="I320" s="18" t="n"/>
      <c r="J320" s="18" t="n"/>
      <c r="K320" s="14" t="n"/>
      <c r="L320" s="19">
        <f>IF($B320="","",ROUND(SUMIF(订单明细!$C:$C,$B320,订单明细!$I:$I),2))</f>
        <v/>
      </c>
      <c r="M320" s="19">
        <f>IF($B320="","",ROUND(N($K320)+N($L320),2))</f>
        <v/>
      </c>
      <c r="N320" s="14" t="n"/>
      <c r="O320" s="19">
        <f>IF($B320="","",ROUND(N($N320)+SUMIFS(资金日记账!$J$4:$J$2503,资金日记账!$G$4:$G$2503,$B320,资金日记账!$F$4:$F$2503,"收款-项目")-SUMIFS(资金日记账!$K$4:$K$2503,资金日记账!$G$4:$G$2503,$B320,资金日记账!$F$4:$F$2503,"收款-项目"),2))</f>
        <v/>
      </c>
      <c r="P320" s="19">
        <f>IF($B320="","",ROUND($M320-$O320,2))</f>
        <v/>
      </c>
      <c r="Q320" s="17">
        <f>IF($B320="","",IF(AND($J320&lt;&gt;"",ROUND($P320,2)&lt;=0),"已完工·已结清",IF($J320&lt;&gt;"","已完工·还有尾款",IF($I320&lt;&gt;"","已安装",IF($H320&lt;&gt;"","已制作",IF($G320&lt;&gt;"","设计完成","已下单"))))))</f>
        <v/>
      </c>
      <c r="R320" s="13" t="n"/>
      <c r="S320" s="17">
        <f>IF($B320="","",IF(COUNTIF($B$4:$B$403,$B320)&gt;1,"※项目名重复了",IF(AND($C320&lt;&gt;"",ISNA(MATCH($C320,客户表,0))),"※客户不在基础资料里",IF(AND($J320&lt;&gt;"",$F320&lt;&gt;"",$J320&lt;$F320),"※完工日期早于下单日期",""))))</f>
        <v/>
      </c>
    </row>
    <row r="321">
      <c r="A321" s="17">
        <f>IF($B321="","","P"&amp;TEXT(ROW()-3,"000"))</f>
        <v/>
      </c>
      <c r="B321" s="13" t="n"/>
      <c r="C321" s="13" t="n"/>
      <c r="D321" s="13" t="n"/>
      <c r="E321" s="13" t="n"/>
      <c r="F321" s="18" t="n"/>
      <c r="G321" s="18" t="n"/>
      <c r="H321" s="18" t="n"/>
      <c r="I321" s="18" t="n"/>
      <c r="J321" s="18" t="n"/>
      <c r="K321" s="14" t="n"/>
      <c r="L321" s="19">
        <f>IF($B321="","",ROUND(SUMIF(订单明细!$C:$C,$B321,订单明细!$I:$I),2))</f>
        <v/>
      </c>
      <c r="M321" s="19">
        <f>IF($B321="","",ROUND(N($K321)+N($L321),2))</f>
        <v/>
      </c>
      <c r="N321" s="14" t="n"/>
      <c r="O321" s="19">
        <f>IF($B321="","",ROUND(N($N321)+SUMIFS(资金日记账!$J$4:$J$2503,资金日记账!$G$4:$G$2503,$B321,资金日记账!$F$4:$F$2503,"收款-项目")-SUMIFS(资金日记账!$K$4:$K$2503,资金日记账!$G$4:$G$2503,$B321,资金日记账!$F$4:$F$2503,"收款-项目"),2))</f>
        <v/>
      </c>
      <c r="P321" s="19">
        <f>IF($B321="","",ROUND($M321-$O321,2))</f>
        <v/>
      </c>
      <c r="Q321" s="17">
        <f>IF($B321="","",IF(AND($J321&lt;&gt;"",ROUND($P321,2)&lt;=0),"已完工·已结清",IF($J321&lt;&gt;"","已完工·还有尾款",IF($I321&lt;&gt;"","已安装",IF($H321&lt;&gt;"","已制作",IF($G321&lt;&gt;"","设计完成","已下单"))))))</f>
        <v/>
      </c>
      <c r="R321" s="13" t="n"/>
      <c r="S321" s="17">
        <f>IF($B321="","",IF(COUNTIF($B$4:$B$403,$B321)&gt;1,"※项目名重复了",IF(AND($C321&lt;&gt;"",ISNA(MATCH($C321,客户表,0))),"※客户不在基础资料里",IF(AND($J321&lt;&gt;"",$F321&lt;&gt;"",$J321&lt;$F321),"※完工日期早于下单日期",""))))</f>
        <v/>
      </c>
    </row>
    <row r="322">
      <c r="A322" s="17">
        <f>IF($B322="","","P"&amp;TEXT(ROW()-3,"000"))</f>
        <v/>
      </c>
      <c r="B322" s="13" t="n"/>
      <c r="C322" s="13" t="n"/>
      <c r="D322" s="13" t="n"/>
      <c r="E322" s="13" t="n"/>
      <c r="F322" s="18" t="n"/>
      <c r="G322" s="18" t="n"/>
      <c r="H322" s="18" t="n"/>
      <c r="I322" s="18" t="n"/>
      <c r="J322" s="18" t="n"/>
      <c r="K322" s="14" t="n"/>
      <c r="L322" s="19">
        <f>IF($B322="","",ROUND(SUMIF(订单明细!$C:$C,$B322,订单明细!$I:$I),2))</f>
        <v/>
      </c>
      <c r="M322" s="19">
        <f>IF($B322="","",ROUND(N($K322)+N($L322),2))</f>
        <v/>
      </c>
      <c r="N322" s="14" t="n"/>
      <c r="O322" s="19">
        <f>IF($B322="","",ROUND(N($N322)+SUMIFS(资金日记账!$J$4:$J$2503,资金日记账!$G$4:$G$2503,$B322,资金日记账!$F$4:$F$2503,"收款-项目")-SUMIFS(资金日记账!$K$4:$K$2503,资金日记账!$G$4:$G$2503,$B322,资金日记账!$F$4:$F$2503,"收款-项目"),2))</f>
        <v/>
      </c>
      <c r="P322" s="19">
        <f>IF($B322="","",ROUND($M322-$O322,2))</f>
        <v/>
      </c>
      <c r="Q322" s="17">
        <f>IF($B322="","",IF(AND($J322&lt;&gt;"",ROUND($P322,2)&lt;=0),"已完工·已结清",IF($J322&lt;&gt;"","已完工·还有尾款",IF($I322&lt;&gt;"","已安装",IF($H322&lt;&gt;"","已制作",IF($G322&lt;&gt;"","设计完成","已下单"))))))</f>
        <v/>
      </c>
      <c r="R322" s="13" t="n"/>
      <c r="S322" s="17">
        <f>IF($B322="","",IF(COUNTIF($B$4:$B$403,$B322)&gt;1,"※项目名重复了",IF(AND($C322&lt;&gt;"",ISNA(MATCH($C322,客户表,0))),"※客户不在基础资料里",IF(AND($J322&lt;&gt;"",$F322&lt;&gt;"",$J322&lt;$F322),"※完工日期早于下单日期",""))))</f>
        <v/>
      </c>
    </row>
    <row r="323">
      <c r="A323" s="17">
        <f>IF($B323="","","P"&amp;TEXT(ROW()-3,"000"))</f>
        <v/>
      </c>
      <c r="B323" s="13" t="n"/>
      <c r="C323" s="13" t="n"/>
      <c r="D323" s="13" t="n"/>
      <c r="E323" s="13" t="n"/>
      <c r="F323" s="18" t="n"/>
      <c r="G323" s="18" t="n"/>
      <c r="H323" s="18" t="n"/>
      <c r="I323" s="18" t="n"/>
      <c r="J323" s="18" t="n"/>
      <c r="K323" s="14" t="n"/>
      <c r="L323" s="19">
        <f>IF($B323="","",ROUND(SUMIF(订单明细!$C:$C,$B323,订单明细!$I:$I),2))</f>
        <v/>
      </c>
      <c r="M323" s="19">
        <f>IF($B323="","",ROUND(N($K323)+N($L323),2))</f>
        <v/>
      </c>
      <c r="N323" s="14" t="n"/>
      <c r="O323" s="19">
        <f>IF($B323="","",ROUND(N($N323)+SUMIFS(资金日记账!$J$4:$J$2503,资金日记账!$G$4:$G$2503,$B323,资金日记账!$F$4:$F$2503,"收款-项目")-SUMIFS(资金日记账!$K$4:$K$2503,资金日记账!$G$4:$G$2503,$B323,资金日记账!$F$4:$F$2503,"收款-项目"),2))</f>
        <v/>
      </c>
      <c r="P323" s="19">
        <f>IF($B323="","",ROUND($M323-$O323,2))</f>
        <v/>
      </c>
      <c r="Q323" s="17">
        <f>IF($B323="","",IF(AND($J323&lt;&gt;"",ROUND($P323,2)&lt;=0),"已完工·已结清",IF($J323&lt;&gt;"","已完工·还有尾款",IF($I323&lt;&gt;"","已安装",IF($H323&lt;&gt;"","已制作",IF($G323&lt;&gt;"","设计完成","已下单"))))))</f>
        <v/>
      </c>
      <c r="R323" s="13" t="n"/>
      <c r="S323" s="17">
        <f>IF($B323="","",IF(COUNTIF($B$4:$B$403,$B323)&gt;1,"※项目名重复了",IF(AND($C323&lt;&gt;"",ISNA(MATCH($C323,客户表,0))),"※客户不在基础资料里",IF(AND($J323&lt;&gt;"",$F323&lt;&gt;"",$J323&lt;$F323),"※完工日期早于下单日期",""))))</f>
        <v/>
      </c>
    </row>
    <row r="324">
      <c r="A324" s="17">
        <f>IF($B324="","","P"&amp;TEXT(ROW()-3,"000"))</f>
        <v/>
      </c>
      <c r="B324" s="13" t="n"/>
      <c r="C324" s="13" t="n"/>
      <c r="D324" s="13" t="n"/>
      <c r="E324" s="13" t="n"/>
      <c r="F324" s="18" t="n"/>
      <c r="G324" s="18" t="n"/>
      <c r="H324" s="18" t="n"/>
      <c r="I324" s="18" t="n"/>
      <c r="J324" s="18" t="n"/>
      <c r="K324" s="14" t="n"/>
      <c r="L324" s="19">
        <f>IF($B324="","",ROUND(SUMIF(订单明细!$C:$C,$B324,订单明细!$I:$I),2))</f>
        <v/>
      </c>
      <c r="M324" s="19">
        <f>IF($B324="","",ROUND(N($K324)+N($L324),2))</f>
        <v/>
      </c>
      <c r="N324" s="14" t="n"/>
      <c r="O324" s="19">
        <f>IF($B324="","",ROUND(N($N324)+SUMIFS(资金日记账!$J$4:$J$2503,资金日记账!$G$4:$G$2503,$B324,资金日记账!$F$4:$F$2503,"收款-项目")-SUMIFS(资金日记账!$K$4:$K$2503,资金日记账!$G$4:$G$2503,$B324,资金日记账!$F$4:$F$2503,"收款-项目"),2))</f>
        <v/>
      </c>
      <c r="P324" s="19">
        <f>IF($B324="","",ROUND($M324-$O324,2))</f>
        <v/>
      </c>
      <c r="Q324" s="17">
        <f>IF($B324="","",IF(AND($J324&lt;&gt;"",ROUND($P324,2)&lt;=0),"已完工·已结清",IF($J324&lt;&gt;"","已完工·还有尾款",IF($I324&lt;&gt;"","已安装",IF($H324&lt;&gt;"","已制作",IF($G324&lt;&gt;"","设计完成","已下单"))))))</f>
        <v/>
      </c>
      <c r="R324" s="13" t="n"/>
      <c r="S324" s="17">
        <f>IF($B324="","",IF(COUNTIF($B$4:$B$403,$B324)&gt;1,"※项目名重复了",IF(AND($C324&lt;&gt;"",ISNA(MATCH($C324,客户表,0))),"※客户不在基础资料里",IF(AND($J324&lt;&gt;"",$F324&lt;&gt;"",$J324&lt;$F324),"※完工日期早于下单日期",""))))</f>
        <v/>
      </c>
    </row>
    <row r="325">
      <c r="A325" s="17">
        <f>IF($B325="","","P"&amp;TEXT(ROW()-3,"000"))</f>
        <v/>
      </c>
      <c r="B325" s="13" t="n"/>
      <c r="C325" s="13" t="n"/>
      <c r="D325" s="13" t="n"/>
      <c r="E325" s="13" t="n"/>
      <c r="F325" s="18" t="n"/>
      <c r="G325" s="18" t="n"/>
      <c r="H325" s="18" t="n"/>
      <c r="I325" s="18" t="n"/>
      <c r="J325" s="18" t="n"/>
      <c r="K325" s="14" t="n"/>
      <c r="L325" s="19">
        <f>IF($B325="","",ROUND(SUMIF(订单明细!$C:$C,$B325,订单明细!$I:$I),2))</f>
        <v/>
      </c>
      <c r="M325" s="19">
        <f>IF($B325="","",ROUND(N($K325)+N($L325),2))</f>
        <v/>
      </c>
      <c r="N325" s="14" t="n"/>
      <c r="O325" s="19">
        <f>IF($B325="","",ROUND(N($N325)+SUMIFS(资金日记账!$J$4:$J$2503,资金日记账!$G$4:$G$2503,$B325,资金日记账!$F$4:$F$2503,"收款-项目")-SUMIFS(资金日记账!$K$4:$K$2503,资金日记账!$G$4:$G$2503,$B325,资金日记账!$F$4:$F$2503,"收款-项目"),2))</f>
        <v/>
      </c>
      <c r="P325" s="19">
        <f>IF($B325="","",ROUND($M325-$O325,2))</f>
        <v/>
      </c>
      <c r="Q325" s="17">
        <f>IF($B325="","",IF(AND($J325&lt;&gt;"",ROUND($P325,2)&lt;=0),"已完工·已结清",IF($J325&lt;&gt;"","已完工·还有尾款",IF($I325&lt;&gt;"","已安装",IF($H325&lt;&gt;"","已制作",IF($G325&lt;&gt;"","设计完成","已下单"))))))</f>
        <v/>
      </c>
      <c r="R325" s="13" t="n"/>
      <c r="S325" s="17">
        <f>IF($B325="","",IF(COUNTIF($B$4:$B$403,$B325)&gt;1,"※项目名重复了",IF(AND($C325&lt;&gt;"",ISNA(MATCH($C325,客户表,0))),"※客户不在基础资料里",IF(AND($J325&lt;&gt;"",$F325&lt;&gt;"",$J325&lt;$F325),"※完工日期早于下单日期",""))))</f>
        <v/>
      </c>
    </row>
    <row r="326">
      <c r="A326" s="17">
        <f>IF($B326="","","P"&amp;TEXT(ROW()-3,"000"))</f>
        <v/>
      </c>
      <c r="B326" s="13" t="n"/>
      <c r="C326" s="13" t="n"/>
      <c r="D326" s="13" t="n"/>
      <c r="E326" s="13" t="n"/>
      <c r="F326" s="18" t="n"/>
      <c r="G326" s="18" t="n"/>
      <c r="H326" s="18" t="n"/>
      <c r="I326" s="18" t="n"/>
      <c r="J326" s="18" t="n"/>
      <c r="K326" s="14" t="n"/>
      <c r="L326" s="19">
        <f>IF($B326="","",ROUND(SUMIF(订单明细!$C:$C,$B326,订单明细!$I:$I),2))</f>
        <v/>
      </c>
      <c r="M326" s="19">
        <f>IF($B326="","",ROUND(N($K326)+N($L326),2))</f>
        <v/>
      </c>
      <c r="N326" s="14" t="n"/>
      <c r="O326" s="19">
        <f>IF($B326="","",ROUND(N($N326)+SUMIFS(资金日记账!$J$4:$J$2503,资金日记账!$G$4:$G$2503,$B326,资金日记账!$F$4:$F$2503,"收款-项目")-SUMIFS(资金日记账!$K$4:$K$2503,资金日记账!$G$4:$G$2503,$B326,资金日记账!$F$4:$F$2503,"收款-项目"),2))</f>
        <v/>
      </c>
      <c r="P326" s="19">
        <f>IF($B326="","",ROUND($M326-$O326,2))</f>
        <v/>
      </c>
      <c r="Q326" s="17">
        <f>IF($B326="","",IF(AND($J326&lt;&gt;"",ROUND($P326,2)&lt;=0),"已完工·已结清",IF($J326&lt;&gt;"","已完工·还有尾款",IF($I326&lt;&gt;"","已安装",IF($H326&lt;&gt;"","已制作",IF($G326&lt;&gt;"","设计完成","已下单"))))))</f>
        <v/>
      </c>
      <c r="R326" s="13" t="n"/>
      <c r="S326" s="17">
        <f>IF($B326="","",IF(COUNTIF($B$4:$B$403,$B326)&gt;1,"※项目名重复了",IF(AND($C326&lt;&gt;"",ISNA(MATCH($C326,客户表,0))),"※客户不在基础资料里",IF(AND($J326&lt;&gt;"",$F326&lt;&gt;"",$J326&lt;$F326),"※完工日期早于下单日期",""))))</f>
        <v/>
      </c>
    </row>
    <row r="327">
      <c r="A327" s="17">
        <f>IF($B327="","","P"&amp;TEXT(ROW()-3,"000"))</f>
        <v/>
      </c>
      <c r="B327" s="13" t="n"/>
      <c r="C327" s="13" t="n"/>
      <c r="D327" s="13" t="n"/>
      <c r="E327" s="13" t="n"/>
      <c r="F327" s="18" t="n"/>
      <c r="G327" s="18" t="n"/>
      <c r="H327" s="18" t="n"/>
      <c r="I327" s="18" t="n"/>
      <c r="J327" s="18" t="n"/>
      <c r="K327" s="14" t="n"/>
      <c r="L327" s="19">
        <f>IF($B327="","",ROUND(SUMIF(订单明细!$C:$C,$B327,订单明细!$I:$I),2))</f>
        <v/>
      </c>
      <c r="M327" s="19">
        <f>IF($B327="","",ROUND(N($K327)+N($L327),2))</f>
        <v/>
      </c>
      <c r="N327" s="14" t="n"/>
      <c r="O327" s="19">
        <f>IF($B327="","",ROUND(N($N327)+SUMIFS(资金日记账!$J$4:$J$2503,资金日记账!$G$4:$G$2503,$B327,资金日记账!$F$4:$F$2503,"收款-项目")-SUMIFS(资金日记账!$K$4:$K$2503,资金日记账!$G$4:$G$2503,$B327,资金日记账!$F$4:$F$2503,"收款-项目"),2))</f>
        <v/>
      </c>
      <c r="P327" s="19">
        <f>IF($B327="","",ROUND($M327-$O327,2))</f>
        <v/>
      </c>
      <c r="Q327" s="17">
        <f>IF($B327="","",IF(AND($J327&lt;&gt;"",ROUND($P327,2)&lt;=0),"已完工·已结清",IF($J327&lt;&gt;"","已完工·还有尾款",IF($I327&lt;&gt;"","已安装",IF($H327&lt;&gt;"","已制作",IF($G327&lt;&gt;"","设计完成","已下单"))))))</f>
        <v/>
      </c>
      <c r="R327" s="13" t="n"/>
      <c r="S327" s="17">
        <f>IF($B327="","",IF(COUNTIF($B$4:$B$403,$B327)&gt;1,"※项目名重复了",IF(AND($C327&lt;&gt;"",ISNA(MATCH($C327,客户表,0))),"※客户不在基础资料里",IF(AND($J327&lt;&gt;"",$F327&lt;&gt;"",$J327&lt;$F327),"※完工日期早于下单日期",""))))</f>
        <v/>
      </c>
    </row>
    <row r="328">
      <c r="A328" s="17">
        <f>IF($B328="","","P"&amp;TEXT(ROW()-3,"000"))</f>
        <v/>
      </c>
      <c r="B328" s="13" t="n"/>
      <c r="C328" s="13" t="n"/>
      <c r="D328" s="13" t="n"/>
      <c r="E328" s="13" t="n"/>
      <c r="F328" s="18" t="n"/>
      <c r="G328" s="18" t="n"/>
      <c r="H328" s="18" t="n"/>
      <c r="I328" s="18" t="n"/>
      <c r="J328" s="18" t="n"/>
      <c r="K328" s="14" t="n"/>
      <c r="L328" s="19">
        <f>IF($B328="","",ROUND(SUMIF(订单明细!$C:$C,$B328,订单明细!$I:$I),2))</f>
        <v/>
      </c>
      <c r="M328" s="19">
        <f>IF($B328="","",ROUND(N($K328)+N($L328),2))</f>
        <v/>
      </c>
      <c r="N328" s="14" t="n"/>
      <c r="O328" s="19">
        <f>IF($B328="","",ROUND(N($N328)+SUMIFS(资金日记账!$J$4:$J$2503,资金日记账!$G$4:$G$2503,$B328,资金日记账!$F$4:$F$2503,"收款-项目")-SUMIFS(资金日记账!$K$4:$K$2503,资金日记账!$G$4:$G$2503,$B328,资金日记账!$F$4:$F$2503,"收款-项目"),2))</f>
        <v/>
      </c>
      <c r="P328" s="19">
        <f>IF($B328="","",ROUND($M328-$O328,2))</f>
        <v/>
      </c>
      <c r="Q328" s="17">
        <f>IF($B328="","",IF(AND($J328&lt;&gt;"",ROUND($P328,2)&lt;=0),"已完工·已结清",IF($J328&lt;&gt;"","已完工·还有尾款",IF($I328&lt;&gt;"","已安装",IF($H328&lt;&gt;"","已制作",IF($G328&lt;&gt;"","设计完成","已下单"))))))</f>
        <v/>
      </c>
      <c r="R328" s="13" t="n"/>
      <c r="S328" s="17">
        <f>IF($B328="","",IF(COUNTIF($B$4:$B$403,$B328)&gt;1,"※项目名重复了",IF(AND($C328&lt;&gt;"",ISNA(MATCH($C328,客户表,0))),"※客户不在基础资料里",IF(AND($J328&lt;&gt;"",$F328&lt;&gt;"",$J328&lt;$F328),"※完工日期早于下单日期",""))))</f>
        <v/>
      </c>
    </row>
    <row r="329">
      <c r="A329" s="17">
        <f>IF($B329="","","P"&amp;TEXT(ROW()-3,"000"))</f>
        <v/>
      </c>
      <c r="B329" s="13" t="n"/>
      <c r="C329" s="13" t="n"/>
      <c r="D329" s="13" t="n"/>
      <c r="E329" s="13" t="n"/>
      <c r="F329" s="18" t="n"/>
      <c r="G329" s="18" t="n"/>
      <c r="H329" s="18" t="n"/>
      <c r="I329" s="18" t="n"/>
      <c r="J329" s="18" t="n"/>
      <c r="K329" s="14" t="n"/>
      <c r="L329" s="19">
        <f>IF($B329="","",ROUND(SUMIF(订单明细!$C:$C,$B329,订单明细!$I:$I),2))</f>
        <v/>
      </c>
      <c r="M329" s="19">
        <f>IF($B329="","",ROUND(N($K329)+N($L329),2))</f>
        <v/>
      </c>
      <c r="N329" s="14" t="n"/>
      <c r="O329" s="19">
        <f>IF($B329="","",ROUND(N($N329)+SUMIFS(资金日记账!$J$4:$J$2503,资金日记账!$G$4:$G$2503,$B329,资金日记账!$F$4:$F$2503,"收款-项目")-SUMIFS(资金日记账!$K$4:$K$2503,资金日记账!$G$4:$G$2503,$B329,资金日记账!$F$4:$F$2503,"收款-项目"),2))</f>
        <v/>
      </c>
      <c r="P329" s="19">
        <f>IF($B329="","",ROUND($M329-$O329,2))</f>
        <v/>
      </c>
      <c r="Q329" s="17">
        <f>IF($B329="","",IF(AND($J329&lt;&gt;"",ROUND($P329,2)&lt;=0),"已完工·已结清",IF($J329&lt;&gt;"","已完工·还有尾款",IF($I329&lt;&gt;"","已安装",IF($H329&lt;&gt;"","已制作",IF($G329&lt;&gt;"","设计完成","已下单"))))))</f>
        <v/>
      </c>
      <c r="R329" s="13" t="n"/>
      <c r="S329" s="17">
        <f>IF($B329="","",IF(COUNTIF($B$4:$B$403,$B329)&gt;1,"※项目名重复了",IF(AND($C329&lt;&gt;"",ISNA(MATCH($C329,客户表,0))),"※客户不在基础资料里",IF(AND($J329&lt;&gt;"",$F329&lt;&gt;"",$J329&lt;$F329),"※完工日期早于下单日期",""))))</f>
        <v/>
      </c>
    </row>
    <row r="330">
      <c r="A330" s="17">
        <f>IF($B330="","","P"&amp;TEXT(ROW()-3,"000"))</f>
        <v/>
      </c>
      <c r="B330" s="13" t="n"/>
      <c r="C330" s="13" t="n"/>
      <c r="D330" s="13" t="n"/>
      <c r="E330" s="13" t="n"/>
      <c r="F330" s="18" t="n"/>
      <c r="G330" s="18" t="n"/>
      <c r="H330" s="18" t="n"/>
      <c r="I330" s="18" t="n"/>
      <c r="J330" s="18" t="n"/>
      <c r="K330" s="14" t="n"/>
      <c r="L330" s="19">
        <f>IF($B330="","",ROUND(SUMIF(订单明细!$C:$C,$B330,订单明细!$I:$I),2))</f>
        <v/>
      </c>
      <c r="M330" s="19">
        <f>IF($B330="","",ROUND(N($K330)+N($L330),2))</f>
        <v/>
      </c>
      <c r="N330" s="14" t="n"/>
      <c r="O330" s="19">
        <f>IF($B330="","",ROUND(N($N330)+SUMIFS(资金日记账!$J$4:$J$2503,资金日记账!$G$4:$G$2503,$B330,资金日记账!$F$4:$F$2503,"收款-项目")-SUMIFS(资金日记账!$K$4:$K$2503,资金日记账!$G$4:$G$2503,$B330,资金日记账!$F$4:$F$2503,"收款-项目"),2))</f>
        <v/>
      </c>
      <c r="P330" s="19">
        <f>IF($B330="","",ROUND($M330-$O330,2))</f>
        <v/>
      </c>
      <c r="Q330" s="17">
        <f>IF($B330="","",IF(AND($J330&lt;&gt;"",ROUND($P330,2)&lt;=0),"已完工·已结清",IF($J330&lt;&gt;"","已完工·还有尾款",IF($I330&lt;&gt;"","已安装",IF($H330&lt;&gt;"","已制作",IF($G330&lt;&gt;"","设计完成","已下单"))))))</f>
        <v/>
      </c>
      <c r="R330" s="13" t="n"/>
      <c r="S330" s="17">
        <f>IF($B330="","",IF(COUNTIF($B$4:$B$403,$B330)&gt;1,"※项目名重复了",IF(AND($C330&lt;&gt;"",ISNA(MATCH($C330,客户表,0))),"※客户不在基础资料里",IF(AND($J330&lt;&gt;"",$F330&lt;&gt;"",$J330&lt;$F330),"※完工日期早于下单日期",""))))</f>
        <v/>
      </c>
    </row>
    <row r="331">
      <c r="A331" s="17">
        <f>IF($B331="","","P"&amp;TEXT(ROW()-3,"000"))</f>
        <v/>
      </c>
      <c r="B331" s="13" t="n"/>
      <c r="C331" s="13" t="n"/>
      <c r="D331" s="13" t="n"/>
      <c r="E331" s="13" t="n"/>
      <c r="F331" s="18" t="n"/>
      <c r="G331" s="18" t="n"/>
      <c r="H331" s="18" t="n"/>
      <c r="I331" s="18" t="n"/>
      <c r="J331" s="18" t="n"/>
      <c r="K331" s="14" t="n"/>
      <c r="L331" s="19">
        <f>IF($B331="","",ROUND(SUMIF(订单明细!$C:$C,$B331,订单明细!$I:$I),2))</f>
        <v/>
      </c>
      <c r="M331" s="19">
        <f>IF($B331="","",ROUND(N($K331)+N($L331),2))</f>
        <v/>
      </c>
      <c r="N331" s="14" t="n"/>
      <c r="O331" s="19">
        <f>IF($B331="","",ROUND(N($N331)+SUMIFS(资金日记账!$J$4:$J$2503,资金日记账!$G$4:$G$2503,$B331,资金日记账!$F$4:$F$2503,"收款-项目")-SUMIFS(资金日记账!$K$4:$K$2503,资金日记账!$G$4:$G$2503,$B331,资金日记账!$F$4:$F$2503,"收款-项目"),2))</f>
        <v/>
      </c>
      <c r="P331" s="19">
        <f>IF($B331="","",ROUND($M331-$O331,2))</f>
        <v/>
      </c>
      <c r="Q331" s="17">
        <f>IF($B331="","",IF(AND($J331&lt;&gt;"",ROUND($P331,2)&lt;=0),"已完工·已结清",IF($J331&lt;&gt;"","已完工·还有尾款",IF($I331&lt;&gt;"","已安装",IF($H331&lt;&gt;"","已制作",IF($G331&lt;&gt;"","设计完成","已下单"))))))</f>
        <v/>
      </c>
      <c r="R331" s="13" t="n"/>
      <c r="S331" s="17">
        <f>IF($B331="","",IF(COUNTIF($B$4:$B$403,$B331)&gt;1,"※项目名重复了",IF(AND($C331&lt;&gt;"",ISNA(MATCH($C331,客户表,0))),"※客户不在基础资料里",IF(AND($J331&lt;&gt;"",$F331&lt;&gt;"",$J331&lt;$F331),"※完工日期早于下单日期",""))))</f>
        <v/>
      </c>
    </row>
    <row r="332">
      <c r="A332" s="17">
        <f>IF($B332="","","P"&amp;TEXT(ROW()-3,"000"))</f>
        <v/>
      </c>
      <c r="B332" s="13" t="n"/>
      <c r="C332" s="13" t="n"/>
      <c r="D332" s="13" t="n"/>
      <c r="E332" s="13" t="n"/>
      <c r="F332" s="18" t="n"/>
      <c r="G332" s="18" t="n"/>
      <c r="H332" s="18" t="n"/>
      <c r="I332" s="18" t="n"/>
      <c r="J332" s="18" t="n"/>
      <c r="K332" s="14" t="n"/>
      <c r="L332" s="19">
        <f>IF($B332="","",ROUND(SUMIF(订单明细!$C:$C,$B332,订单明细!$I:$I),2))</f>
        <v/>
      </c>
      <c r="M332" s="19">
        <f>IF($B332="","",ROUND(N($K332)+N($L332),2))</f>
        <v/>
      </c>
      <c r="N332" s="14" t="n"/>
      <c r="O332" s="19">
        <f>IF($B332="","",ROUND(N($N332)+SUMIFS(资金日记账!$J$4:$J$2503,资金日记账!$G$4:$G$2503,$B332,资金日记账!$F$4:$F$2503,"收款-项目")-SUMIFS(资金日记账!$K$4:$K$2503,资金日记账!$G$4:$G$2503,$B332,资金日记账!$F$4:$F$2503,"收款-项目"),2))</f>
        <v/>
      </c>
      <c r="P332" s="19">
        <f>IF($B332="","",ROUND($M332-$O332,2))</f>
        <v/>
      </c>
      <c r="Q332" s="17">
        <f>IF($B332="","",IF(AND($J332&lt;&gt;"",ROUND($P332,2)&lt;=0),"已完工·已结清",IF($J332&lt;&gt;"","已完工·还有尾款",IF($I332&lt;&gt;"","已安装",IF($H332&lt;&gt;"","已制作",IF($G332&lt;&gt;"","设计完成","已下单"))))))</f>
        <v/>
      </c>
      <c r="R332" s="13" t="n"/>
      <c r="S332" s="17">
        <f>IF($B332="","",IF(COUNTIF($B$4:$B$403,$B332)&gt;1,"※项目名重复了",IF(AND($C332&lt;&gt;"",ISNA(MATCH($C332,客户表,0))),"※客户不在基础资料里",IF(AND($J332&lt;&gt;"",$F332&lt;&gt;"",$J332&lt;$F332),"※完工日期早于下单日期",""))))</f>
        <v/>
      </c>
    </row>
    <row r="333">
      <c r="A333" s="17">
        <f>IF($B333="","","P"&amp;TEXT(ROW()-3,"000"))</f>
        <v/>
      </c>
      <c r="B333" s="13" t="n"/>
      <c r="C333" s="13" t="n"/>
      <c r="D333" s="13" t="n"/>
      <c r="E333" s="13" t="n"/>
      <c r="F333" s="18" t="n"/>
      <c r="G333" s="18" t="n"/>
      <c r="H333" s="18" t="n"/>
      <c r="I333" s="18" t="n"/>
      <c r="J333" s="18" t="n"/>
      <c r="K333" s="14" t="n"/>
      <c r="L333" s="19">
        <f>IF($B333="","",ROUND(SUMIF(订单明细!$C:$C,$B333,订单明细!$I:$I),2))</f>
        <v/>
      </c>
      <c r="M333" s="19">
        <f>IF($B333="","",ROUND(N($K333)+N($L333),2))</f>
        <v/>
      </c>
      <c r="N333" s="14" t="n"/>
      <c r="O333" s="19">
        <f>IF($B333="","",ROUND(N($N333)+SUMIFS(资金日记账!$J$4:$J$2503,资金日记账!$G$4:$G$2503,$B333,资金日记账!$F$4:$F$2503,"收款-项目")-SUMIFS(资金日记账!$K$4:$K$2503,资金日记账!$G$4:$G$2503,$B333,资金日记账!$F$4:$F$2503,"收款-项目"),2))</f>
        <v/>
      </c>
      <c r="P333" s="19">
        <f>IF($B333="","",ROUND($M333-$O333,2))</f>
        <v/>
      </c>
      <c r="Q333" s="17">
        <f>IF($B333="","",IF(AND($J333&lt;&gt;"",ROUND($P333,2)&lt;=0),"已完工·已结清",IF($J333&lt;&gt;"","已完工·还有尾款",IF($I333&lt;&gt;"","已安装",IF($H333&lt;&gt;"","已制作",IF($G333&lt;&gt;"","设计完成","已下单"))))))</f>
        <v/>
      </c>
      <c r="R333" s="13" t="n"/>
      <c r="S333" s="17">
        <f>IF($B333="","",IF(COUNTIF($B$4:$B$403,$B333)&gt;1,"※项目名重复了",IF(AND($C333&lt;&gt;"",ISNA(MATCH($C333,客户表,0))),"※客户不在基础资料里",IF(AND($J333&lt;&gt;"",$F333&lt;&gt;"",$J333&lt;$F333),"※完工日期早于下单日期",""))))</f>
        <v/>
      </c>
    </row>
    <row r="334">
      <c r="A334" s="17">
        <f>IF($B334="","","P"&amp;TEXT(ROW()-3,"000"))</f>
        <v/>
      </c>
      <c r="B334" s="13" t="n"/>
      <c r="C334" s="13" t="n"/>
      <c r="D334" s="13" t="n"/>
      <c r="E334" s="13" t="n"/>
      <c r="F334" s="18" t="n"/>
      <c r="G334" s="18" t="n"/>
      <c r="H334" s="18" t="n"/>
      <c r="I334" s="18" t="n"/>
      <c r="J334" s="18" t="n"/>
      <c r="K334" s="14" t="n"/>
      <c r="L334" s="19">
        <f>IF($B334="","",ROUND(SUMIF(订单明细!$C:$C,$B334,订单明细!$I:$I),2))</f>
        <v/>
      </c>
      <c r="M334" s="19">
        <f>IF($B334="","",ROUND(N($K334)+N($L334),2))</f>
        <v/>
      </c>
      <c r="N334" s="14" t="n"/>
      <c r="O334" s="19">
        <f>IF($B334="","",ROUND(N($N334)+SUMIFS(资金日记账!$J$4:$J$2503,资金日记账!$G$4:$G$2503,$B334,资金日记账!$F$4:$F$2503,"收款-项目")-SUMIFS(资金日记账!$K$4:$K$2503,资金日记账!$G$4:$G$2503,$B334,资金日记账!$F$4:$F$2503,"收款-项目"),2))</f>
        <v/>
      </c>
      <c r="P334" s="19">
        <f>IF($B334="","",ROUND($M334-$O334,2))</f>
        <v/>
      </c>
      <c r="Q334" s="17">
        <f>IF($B334="","",IF(AND($J334&lt;&gt;"",ROUND($P334,2)&lt;=0),"已完工·已结清",IF($J334&lt;&gt;"","已完工·还有尾款",IF($I334&lt;&gt;"","已安装",IF($H334&lt;&gt;"","已制作",IF($G334&lt;&gt;"","设计完成","已下单"))))))</f>
        <v/>
      </c>
      <c r="R334" s="13" t="n"/>
      <c r="S334" s="17">
        <f>IF($B334="","",IF(COUNTIF($B$4:$B$403,$B334)&gt;1,"※项目名重复了",IF(AND($C334&lt;&gt;"",ISNA(MATCH($C334,客户表,0))),"※客户不在基础资料里",IF(AND($J334&lt;&gt;"",$F334&lt;&gt;"",$J334&lt;$F334),"※完工日期早于下单日期",""))))</f>
        <v/>
      </c>
    </row>
    <row r="335">
      <c r="A335" s="17">
        <f>IF($B335="","","P"&amp;TEXT(ROW()-3,"000"))</f>
        <v/>
      </c>
      <c r="B335" s="13" t="n"/>
      <c r="C335" s="13" t="n"/>
      <c r="D335" s="13" t="n"/>
      <c r="E335" s="13" t="n"/>
      <c r="F335" s="18" t="n"/>
      <c r="G335" s="18" t="n"/>
      <c r="H335" s="18" t="n"/>
      <c r="I335" s="18" t="n"/>
      <c r="J335" s="18" t="n"/>
      <c r="K335" s="14" t="n"/>
      <c r="L335" s="19">
        <f>IF($B335="","",ROUND(SUMIF(订单明细!$C:$C,$B335,订单明细!$I:$I),2))</f>
        <v/>
      </c>
      <c r="M335" s="19">
        <f>IF($B335="","",ROUND(N($K335)+N($L335),2))</f>
        <v/>
      </c>
      <c r="N335" s="14" t="n"/>
      <c r="O335" s="19">
        <f>IF($B335="","",ROUND(N($N335)+SUMIFS(资金日记账!$J$4:$J$2503,资金日记账!$G$4:$G$2503,$B335,资金日记账!$F$4:$F$2503,"收款-项目")-SUMIFS(资金日记账!$K$4:$K$2503,资金日记账!$G$4:$G$2503,$B335,资金日记账!$F$4:$F$2503,"收款-项目"),2))</f>
        <v/>
      </c>
      <c r="P335" s="19">
        <f>IF($B335="","",ROUND($M335-$O335,2))</f>
        <v/>
      </c>
      <c r="Q335" s="17">
        <f>IF($B335="","",IF(AND($J335&lt;&gt;"",ROUND($P335,2)&lt;=0),"已完工·已结清",IF($J335&lt;&gt;"","已完工·还有尾款",IF($I335&lt;&gt;"","已安装",IF($H335&lt;&gt;"","已制作",IF($G335&lt;&gt;"","设计完成","已下单"))))))</f>
        <v/>
      </c>
      <c r="R335" s="13" t="n"/>
      <c r="S335" s="17">
        <f>IF($B335="","",IF(COUNTIF($B$4:$B$403,$B335)&gt;1,"※项目名重复了",IF(AND($C335&lt;&gt;"",ISNA(MATCH($C335,客户表,0))),"※客户不在基础资料里",IF(AND($J335&lt;&gt;"",$F335&lt;&gt;"",$J335&lt;$F335),"※完工日期早于下单日期",""))))</f>
        <v/>
      </c>
    </row>
    <row r="336">
      <c r="A336" s="17">
        <f>IF($B336="","","P"&amp;TEXT(ROW()-3,"000"))</f>
        <v/>
      </c>
      <c r="B336" s="13" t="n"/>
      <c r="C336" s="13" t="n"/>
      <c r="D336" s="13" t="n"/>
      <c r="E336" s="13" t="n"/>
      <c r="F336" s="18" t="n"/>
      <c r="G336" s="18" t="n"/>
      <c r="H336" s="18" t="n"/>
      <c r="I336" s="18" t="n"/>
      <c r="J336" s="18" t="n"/>
      <c r="K336" s="14" t="n"/>
      <c r="L336" s="19">
        <f>IF($B336="","",ROUND(SUMIF(订单明细!$C:$C,$B336,订单明细!$I:$I),2))</f>
        <v/>
      </c>
      <c r="M336" s="19">
        <f>IF($B336="","",ROUND(N($K336)+N($L336),2))</f>
        <v/>
      </c>
      <c r="N336" s="14" t="n"/>
      <c r="O336" s="19">
        <f>IF($B336="","",ROUND(N($N336)+SUMIFS(资金日记账!$J$4:$J$2503,资金日记账!$G$4:$G$2503,$B336,资金日记账!$F$4:$F$2503,"收款-项目")-SUMIFS(资金日记账!$K$4:$K$2503,资金日记账!$G$4:$G$2503,$B336,资金日记账!$F$4:$F$2503,"收款-项目"),2))</f>
        <v/>
      </c>
      <c r="P336" s="19">
        <f>IF($B336="","",ROUND($M336-$O336,2))</f>
        <v/>
      </c>
      <c r="Q336" s="17">
        <f>IF($B336="","",IF(AND($J336&lt;&gt;"",ROUND($P336,2)&lt;=0),"已完工·已结清",IF($J336&lt;&gt;"","已完工·还有尾款",IF($I336&lt;&gt;"","已安装",IF($H336&lt;&gt;"","已制作",IF($G336&lt;&gt;"","设计完成","已下单"))))))</f>
        <v/>
      </c>
      <c r="R336" s="13" t="n"/>
      <c r="S336" s="17">
        <f>IF($B336="","",IF(COUNTIF($B$4:$B$403,$B336)&gt;1,"※项目名重复了",IF(AND($C336&lt;&gt;"",ISNA(MATCH($C336,客户表,0))),"※客户不在基础资料里",IF(AND($J336&lt;&gt;"",$F336&lt;&gt;"",$J336&lt;$F336),"※完工日期早于下单日期",""))))</f>
        <v/>
      </c>
    </row>
    <row r="337">
      <c r="A337" s="17">
        <f>IF($B337="","","P"&amp;TEXT(ROW()-3,"000"))</f>
        <v/>
      </c>
      <c r="B337" s="13" t="n"/>
      <c r="C337" s="13" t="n"/>
      <c r="D337" s="13" t="n"/>
      <c r="E337" s="13" t="n"/>
      <c r="F337" s="18" t="n"/>
      <c r="G337" s="18" t="n"/>
      <c r="H337" s="18" t="n"/>
      <c r="I337" s="18" t="n"/>
      <c r="J337" s="18" t="n"/>
      <c r="K337" s="14" t="n"/>
      <c r="L337" s="19">
        <f>IF($B337="","",ROUND(SUMIF(订单明细!$C:$C,$B337,订单明细!$I:$I),2))</f>
        <v/>
      </c>
      <c r="M337" s="19">
        <f>IF($B337="","",ROUND(N($K337)+N($L337),2))</f>
        <v/>
      </c>
      <c r="N337" s="14" t="n"/>
      <c r="O337" s="19">
        <f>IF($B337="","",ROUND(N($N337)+SUMIFS(资金日记账!$J$4:$J$2503,资金日记账!$G$4:$G$2503,$B337,资金日记账!$F$4:$F$2503,"收款-项目")-SUMIFS(资金日记账!$K$4:$K$2503,资金日记账!$G$4:$G$2503,$B337,资金日记账!$F$4:$F$2503,"收款-项目"),2))</f>
        <v/>
      </c>
      <c r="P337" s="19">
        <f>IF($B337="","",ROUND($M337-$O337,2))</f>
        <v/>
      </c>
      <c r="Q337" s="17">
        <f>IF($B337="","",IF(AND($J337&lt;&gt;"",ROUND($P337,2)&lt;=0),"已完工·已结清",IF($J337&lt;&gt;"","已完工·还有尾款",IF($I337&lt;&gt;"","已安装",IF($H337&lt;&gt;"","已制作",IF($G337&lt;&gt;"","设计完成","已下单"))))))</f>
        <v/>
      </c>
      <c r="R337" s="13" t="n"/>
      <c r="S337" s="17">
        <f>IF($B337="","",IF(COUNTIF($B$4:$B$403,$B337)&gt;1,"※项目名重复了",IF(AND($C337&lt;&gt;"",ISNA(MATCH($C337,客户表,0))),"※客户不在基础资料里",IF(AND($J337&lt;&gt;"",$F337&lt;&gt;"",$J337&lt;$F337),"※完工日期早于下单日期",""))))</f>
        <v/>
      </c>
    </row>
    <row r="338">
      <c r="A338" s="17">
        <f>IF($B338="","","P"&amp;TEXT(ROW()-3,"000"))</f>
        <v/>
      </c>
      <c r="B338" s="13" t="n"/>
      <c r="C338" s="13" t="n"/>
      <c r="D338" s="13" t="n"/>
      <c r="E338" s="13" t="n"/>
      <c r="F338" s="18" t="n"/>
      <c r="G338" s="18" t="n"/>
      <c r="H338" s="18" t="n"/>
      <c r="I338" s="18" t="n"/>
      <c r="J338" s="18" t="n"/>
      <c r="K338" s="14" t="n"/>
      <c r="L338" s="19">
        <f>IF($B338="","",ROUND(SUMIF(订单明细!$C:$C,$B338,订单明细!$I:$I),2))</f>
        <v/>
      </c>
      <c r="M338" s="19">
        <f>IF($B338="","",ROUND(N($K338)+N($L338),2))</f>
        <v/>
      </c>
      <c r="N338" s="14" t="n"/>
      <c r="O338" s="19">
        <f>IF($B338="","",ROUND(N($N338)+SUMIFS(资金日记账!$J$4:$J$2503,资金日记账!$G$4:$G$2503,$B338,资金日记账!$F$4:$F$2503,"收款-项目")-SUMIFS(资金日记账!$K$4:$K$2503,资金日记账!$G$4:$G$2503,$B338,资金日记账!$F$4:$F$2503,"收款-项目"),2))</f>
        <v/>
      </c>
      <c r="P338" s="19">
        <f>IF($B338="","",ROUND($M338-$O338,2))</f>
        <v/>
      </c>
      <c r="Q338" s="17">
        <f>IF($B338="","",IF(AND($J338&lt;&gt;"",ROUND($P338,2)&lt;=0),"已完工·已结清",IF($J338&lt;&gt;"","已完工·还有尾款",IF($I338&lt;&gt;"","已安装",IF($H338&lt;&gt;"","已制作",IF($G338&lt;&gt;"","设计完成","已下单"))))))</f>
        <v/>
      </c>
      <c r="R338" s="13" t="n"/>
      <c r="S338" s="17">
        <f>IF($B338="","",IF(COUNTIF($B$4:$B$403,$B338)&gt;1,"※项目名重复了",IF(AND($C338&lt;&gt;"",ISNA(MATCH($C338,客户表,0))),"※客户不在基础资料里",IF(AND($J338&lt;&gt;"",$F338&lt;&gt;"",$J338&lt;$F338),"※完工日期早于下单日期",""))))</f>
        <v/>
      </c>
    </row>
    <row r="339">
      <c r="A339" s="17">
        <f>IF($B339="","","P"&amp;TEXT(ROW()-3,"000"))</f>
        <v/>
      </c>
      <c r="B339" s="13" t="n"/>
      <c r="C339" s="13" t="n"/>
      <c r="D339" s="13" t="n"/>
      <c r="E339" s="13" t="n"/>
      <c r="F339" s="18" t="n"/>
      <c r="G339" s="18" t="n"/>
      <c r="H339" s="18" t="n"/>
      <c r="I339" s="18" t="n"/>
      <c r="J339" s="18" t="n"/>
      <c r="K339" s="14" t="n"/>
      <c r="L339" s="19">
        <f>IF($B339="","",ROUND(SUMIF(订单明细!$C:$C,$B339,订单明细!$I:$I),2))</f>
        <v/>
      </c>
      <c r="M339" s="19">
        <f>IF($B339="","",ROUND(N($K339)+N($L339),2))</f>
        <v/>
      </c>
      <c r="N339" s="14" t="n"/>
      <c r="O339" s="19">
        <f>IF($B339="","",ROUND(N($N339)+SUMIFS(资金日记账!$J$4:$J$2503,资金日记账!$G$4:$G$2503,$B339,资金日记账!$F$4:$F$2503,"收款-项目")-SUMIFS(资金日记账!$K$4:$K$2503,资金日记账!$G$4:$G$2503,$B339,资金日记账!$F$4:$F$2503,"收款-项目"),2))</f>
        <v/>
      </c>
      <c r="P339" s="19">
        <f>IF($B339="","",ROUND($M339-$O339,2))</f>
        <v/>
      </c>
      <c r="Q339" s="17">
        <f>IF($B339="","",IF(AND($J339&lt;&gt;"",ROUND($P339,2)&lt;=0),"已完工·已结清",IF($J339&lt;&gt;"","已完工·还有尾款",IF($I339&lt;&gt;"","已安装",IF($H339&lt;&gt;"","已制作",IF($G339&lt;&gt;"","设计完成","已下单"))))))</f>
        <v/>
      </c>
      <c r="R339" s="13" t="n"/>
      <c r="S339" s="17">
        <f>IF($B339="","",IF(COUNTIF($B$4:$B$403,$B339)&gt;1,"※项目名重复了",IF(AND($C339&lt;&gt;"",ISNA(MATCH($C339,客户表,0))),"※客户不在基础资料里",IF(AND($J339&lt;&gt;"",$F339&lt;&gt;"",$J339&lt;$F339),"※完工日期早于下单日期",""))))</f>
        <v/>
      </c>
    </row>
    <row r="340">
      <c r="A340" s="17">
        <f>IF($B340="","","P"&amp;TEXT(ROW()-3,"000"))</f>
        <v/>
      </c>
      <c r="B340" s="13" t="n"/>
      <c r="C340" s="13" t="n"/>
      <c r="D340" s="13" t="n"/>
      <c r="E340" s="13" t="n"/>
      <c r="F340" s="18" t="n"/>
      <c r="G340" s="18" t="n"/>
      <c r="H340" s="18" t="n"/>
      <c r="I340" s="18" t="n"/>
      <c r="J340" s="18" t="n"/>
      <c r="K340" s="14" t="n"/>
      <c r="L340" s="19">
        <f>IF($B340="","",ROUND(SUMIF(订单明细!$C:$C,$B340,订单明细!$I:$I),2))</f>
        <v/>
      </c>
      <c r="M340" s="19">
        <f>IF($B340="","",ROUND(N($K340)+N($L340),2))</f>
        <v/>
      </c>
      <c r="N340" s="14" t="n"/>
      <c r="O340" s="19">
        <f>IF($B340="","",ROUND(N($N340)+SUMIFS(资金日记账!$J$4:$J$2503,资金日记账!$G$4:$G$2503,$B340,资金日记账!$F$4:$F$2503,"收款-项目")-SUMIFS(资金日记账!$K$4:$K$2503,资金日记账!$G$4:$G$2503,$B340,资金日记账!$F$4:$F$2503,"收款-项目"),2))</f>
        <v/>
      </c>
      <c r="P340" s="19">
        <f>IF($B340="","",ROUND($M340-$O340,2))</f>
        <v/>
      </c>
      <c r="Q340" s="17">
        <f>IF($B340="","",IF(AND($J340&lt;&gt;"",ROUND($P340,2)&lt;=0),"已完工·已结清",IF($J340&lt;&gt;"","已完工·还有尾款",IF($I340&lt;&gt;"","已安装",IF($H340&lt;&gt;"","已制作",IF($G340&lt;&gt;"","设计完成","已下单"))))))</f>
        <v/>
      </c>
      <c r="R340" s="13" t="n"/>
      <c r="S340" s="17">
        <f>IF($B340="","",IF(COUNTIF($B$4:$B$403,$B340)&gt;1,"※项目名重复了",IF(AND($C340&lt;&gt;"",ISNA(MATCH($C340,客户表,0))),"※客户不在基础资料里",IF(AND($J340&lt;&gt;"",$F340&lt;&gt;"",$J340&lt;$F340),"※完工日期早于下单日期",""))))</f>
        <v/>
      </c>
    </row>
    <row r="341">
      <c r="A341" s="17">
        <f>IF($B341="","","P"&amp;TEXT(ROW()-3,"000"))</f>
        <v/>
      </c>
      <c r="B341" s="13" t="n"/>
      <c r="C341" s="13" t="n"/>
      <c r="D341" s="13" t="n"/>
      <c r="E341" s="13" t="n"/>
      <c r="F341" s="18" t="n"/>
      <c r="G341" s="18" t="n"/>
      <c r="H341" s="18" t="n"/>
      <c r="I341" s="18" t="n"/>
      <c r="J341" s="18" t="n"/>
      <c r="K341" s="14" t="n"/>
      <c r="L341" s="19">
        <f>IF($B341="","",ROUND(SUMIF(订单明细!$C:$C,$B341,订单明细!$I:$I),2))</f>
        <v/>
      </c>
      <c r="M341" s="19">
        <f>IF($B341="","",ROUND(N($K341)+N($L341),2))</f>
        <v/>
      </c>
      <c r="N341" s="14" t="n"/>
      <c r="O341" s="19">
        <f>IF($B341="","",ROUND(N($N341)+SUMIFS(资金日记账!$J$4:$J$2503,资金日记账!$G$4:$G$2503,$B341,资金日记账!$F$4:$F$2503,"收款-项目")-SUMIFS(资金日记账!$K$4:$K$2503,资金日记账!$G$4:$G$2503,$B341,资金日记账!$F$4:$F$2503,"收款-项目"),2))</f>
        <v/>
      </c>
      <c r="P341" s="19">
        <f>IF($B341="","",ROUND($M341-$O341,2))</f>
        <v/>
      </c>
      <c r="Q341" s="17">
        <f>IF($B341="","",IF(AND($J341&lt;&gt;"",ROUND($P341,2)&lt;=0),"已完工·已结清",IF($J341&lt;&gt;"","已完工·还有尾款",IF($I341&lt;&gt;"","已安装",IF($H341&lt;&gt;"","已制作",IF($G341&lt;&gt;"","设计完成","已下单"))))))</f>
        <v/>
      </c>
      <c r="R341" s="13" t="n"/>
      <c r="S341" s="17">
        <f>IF($B341="","",IF(COUNTIF($B$4:$B$403,$B341)&gt;1,"※项目名重复了",IF(AND($C341&lt;&gt;"",ISNA(MATCH($C341,客户表,0))),"※客户不在基础资料里",IF(AND($J341&lt;&gt;"",$F341&lt;&gt;"",$J341&lt;$F341),"※完工日期早于下单日期",""))))</f>
        <v/>
      </c>
    </row>
    <row r="342">
      <c r="A342" s="17">
        <f>IF($B342="","","P"&amp;TEXT(ROW()-3,"000"))</f>
        <v/>
      </c>
      <c r="B342" s="13" t="n"/>
      <c r="C342" s="13" t="n"/>
      <c r="D342" s="13" t="n"/>
      <c r="E342" s="13" t="n"/>
      <c r="F342" s="18" t="n"/>
      <c r="G342" s="18" t="n"/>
      <c r="H342" s="18" t="n"/>
      <c r="I342" s="18" t="n"/>
      <c r="J342" s="18" t="n"/>
      <c r="K342" s="14" t="n"/>
      <c r="L342" s="19">
        <f>IF($B342="","",ROUND(SUMIF(订单明细!$C:$C,$B342,订单明细!$I:$I),2))</f>
        <v/>
      </c>
      <c r="M342" s="19">
        <f>IF($B342="","",ROUND(N($K342)+N($L342),2))</f>
        <v/>
      </c>
      <c r="N342" s="14" t="n"/>
      <c r="O342" s="19">
        <f>IF($B342="","",ROUND(N($N342)+SUMIFS(资金日记账!$J$4:$J$2503,资金日记账!$G$4:$G$2503,$B342,资金日记账!$F$4:$F$2503,"收款-项目")-SUMIFS(资金日记账!$K$4:$K$2503,资金日记账!$G$4:$G$2503,$B342,资金日记账!$F$4:$F$2503,"收款-项目"),2))</f>
        <v/>
      </c>
      <c r="P342" s="19">
        <f>IF($B342="","",ROUND($M342-$O342,2))</f>
        <v/>
      </c>
      <c r="Q342" s="17">
        <f>IF($B342="","",IF(AND($J342&lt;&gt;"",ROUND($P342,2)&lt;=0),"已完工·已结清",IF($J342&lt;&gt;"","已完工·还有尾款",IF($I342&lt;&gt;"","已安装",IF($H342&lt;&gt;"","已制作",IF($G342&lt;&gt;"","设计完成","已下单"))))))</f>
        <v/>
      </c>
      <c r="R342" s="13" t="n"/>
      <c r="S342" s="17">
        <f>IF($B342="","",IF(COUNTIF($B$4:$B$403,$B342)&gt;1,"※项目名重复了",IF(AND($C342&lt;&gt;"",ISNA(MATCH($C342,客户表,0))),"※客户不在基础资料里",IF(AND($J342&lt;&gt;"",$F342&lt;&gt;"",$J342&lt;$F342),"※完工日期早于下单日期",""))))</f>
        <v/>
      </c>
    </row>
    <row r="343">
      <c r="A343" s="17">
        <f>IF($B343="","","P"&amp;TEXT(ROW()-3,"000"))</f>
        <v/>
      </c>
      <c r="B343" s="13" t="n"/>
      <c r="C343" s="13" t="n"/>
      <c r="D343" s="13" t="n"/>
      <c r="E343" s="13" t="n"/>
      <c r="F343" s="18" t="n"/>
      <c r="G343" s="18" t="n"/>
      <c r="H343" s="18" t="n"/>
      <c r="I343" s="18" t="n"/>
      <c r="J343" s="18" t="n"/>
      <c r="K343" s="14" t="n"/>
      <c r="L343" s="19">
        <f>IF($B343="","",ROUND(SUMIF(订单明细!$C:$C,$B343,订单明细!$I:$I),2))</f>
        <v/>
      </c>
      <c r="M343" s="19">
        <f>IF($B343="","",ROUND(N($K343)+N($L343),2))</f>
        <v/>
      </c>
      <c r="N343" s="14" t="n"/>
      <c r="O343" s="19">
        <f>IF($B343="","",ROUND(N($N343)+SUMIFS(资金日记账!$J$4:$J$2503,资金日记账!$G$4:$G$2503,$B343,资金日记账!$F$4:$F$2503,"收款-项目")-SUMIFS(资金日记账!$K$4:$K$2503,资金日记账!$G$4:$G$2503,$B343,资金日记账!$F$4:$F$2503,"收款-项目"),2))</f>
        <v/>
      </c>
      <c r="P343" s="19">
        <f>IF($B343="","",ROUND($M343-$O343,2))</f>
        <v/>
      </c>
      <c r="Q343" s="17">
        <f>IF($B343="","",IF(AND($J343&lt;&gt;"",ROUND($P343,2)&lt;=0),"已完工·已结清",IF($J343&lt;&gt;"","已完工·还有尾款",IF($I343&lt;&gt;"","已安装",IF($H343&lt;&gt;"","已制作",IF($G343&lt;&gt;"","设计完成","已下单"))))))</f>
        <v/>
      </c>
      <c r="R343" s="13" t="n"/>
      <c r="S343" s="17">
        <f>IF($B343="","",IF(COUNTIF($B$4:$B$403,$B343)&gt;1,"※项目名重复了",IF(AND($C343&lt;&gt;"",ISNA(MATCH($C343,客户表,0))),"※客户不在基础资料里",IF(AND($J343&lt;&gt;"",$F343&lt;&gt;"",$J343&lt;$F343),"※完工日期早于下单日期",""))))</f>
        <v/>
      </c>
    </row>
    <row r="344">
      <c r="A344" s="17">
        <f>IF($B344="","","P"&amp;TEXT(ROW()-3,"000"))</f>
        <v/>
      </c>
      <c r="B344" s="13" t="n"/>
      <c r="C344" s="13" t="n"/>
      <c r="D344" s="13" t="n"/>
      <c r="E344" s="13" t="n"/>
      <c r="F344" s="18" t="n"/>
      <c r="G344" s="18" t="n"/>
      <c r="H344" s="18" t="n"/>
      <c r="I344" s="18" t="n"/>
      <c r="J344" s="18" t="n"/>
      <c r="K344" s="14" t="n"/>
      <c r="L344" s="19">
        <f>IF($B344="","",ROUND(SUMIF(订单明细!$C:$C,$B344,订单明细!$I:$I),2))</f>
        <v/>
      </c>
      <c r="M344" s="19">
        <f>IF($B344="","",ROUND(N($K344)+N($L344),2))</f>
        <v/>
      </c>
      <c r="N344" s="14" t="n"/>
      <c r="O344" s="19">
        <f>IF($B344="","",ROUND(N($N344)+SUMIFS(资金日记账!$J$4:$J$2503,资金日记账!$G$4:$G$2503,$B344,资金日记账!$F$4:$F$2503,"收款-项目")-SUMIFS(资金日记账!$K$4:$K$2503,资金日记账!$G$4:$G$2503,$B344,资金日记账!$F$4:$F$2503,"收款-项目"),2))</f>
        <v/>
      </c>
      <c r="P344" s="19">
        <f>IF($B344="","",ROUND($M344-$O344,2))</f>
        <v/>
      </c>
      <c r="Q344" s="17">
        <f>IF($B344="","",IF(AND($J344&lt;&gt;"",ROUND($P344,2)&lt;=0),"已完工·已结清",IF($J344&lt;&gt;"","已完工·还有尾款",IF($I344&lt;&gt;"","已安装",IF($H344&lt;&gt;"","已制作",IF($G344&lt;&gt;"","设计完成","已下单"))))))</f>
        <v/>
      </c>
      <c r="R344" s="13" t="n"/>
      <c r="S344" s="17">
        <f>IF($B344="","",IF(COUNTIF($B$4:$B$403,$B344)&gt;1,"※项目名重复了",IF(AND($C344&lt;&gt;"",ISNA(MATCH($C344,客户表,0))),"※客户不在基础资料里",IF(AND($J344&lt;&gt;"",$F344&lt;&gt;"",$J344&lt;$F344),"※完工日期早于下单日期",""))))</f>
        <v/>
      </c>
    </row>
    <row r="345">
      <c r="A345" s="17">
        <f>IF($B345="","","P"&amp;TEXT(ROW()-3,"000"))</f>
        <v/>
      </c>
      <c r="B345" s="13" t="n"/>
      <c r="C345" s="13" t="n"/>
      <c r="D345" s="13" t="n"/>
      <c r="E345" s="13" t="n"/>
      <c r="F345" s="18" t="n"/>
      <c r="G345" s="18" t="n"/>
      <c r="H345" s="18" t="n"/>
      <c r="I345" s="18" t="n"/>
      <c r="J345" s="18" t="n"/>
      <c r="K345" s="14" t="n"/>
      <c r="L345" s="19">
        <f>IF($B345="","",ROUND(SUMIF(订单明细!$C:$C,$B345,订单明细!$I:$I),2))</f>
        <v/>
      </c>
      <c r="M345" s="19">
        <f>IF($B345="","",ROUND(N($K345)+N($L345),2))</f>
        <v/>
      </c>
      <c r="N345" s="14" t="n"/>
      <c r="O345" s="19">
        <f>IF($B345="","",ROUND(N($N345)+SUMIFS(资金日记账!$J$4:$J$2503,资金日记账!$G$4:$G$2503,$B345,资金日记账!$F$4:$F$2503,"收款-项目")-SUMIFS(资金日记账!$K$4:$K$2503,资金日记账!$G$4:$G$2503,$B345,资金日记账!$F$4:$F$2503,"收款-项目"),2))</f>
        <v/>
      </c>
      <c r="P345" s="19">
        <f>IF($B345="","",ROUND($M345-$O345,2))</f>
        <v/>
      </c>
      <c r="Q345" s="17">
        <f>IF($B345="","",IF(AND($J345&lt;&gt;"",ROUND($P345,2)&lt;=0),"已完工·已结清",IF($J345&lt;&gt;"","已完工·还有尾款",IF($I345&lt;&gt;"","已安装",IF($H345&lt;&gt;"","已制作",IF($G345&lt;&gt;"","设计完成","已下单"))))))</f>
        <v/>
      </c>
      <c r="R345" s="13" t="n"/>
      <c r="S345" s="17">
        <f>IF($B345="","",IF(COUNTIF($B$4:$B$403,$B345)&gt;1,"※项目名重复了",IF(AND($C345&lt;&gt;"",ISNA(MATCH($C345,客户表,0))),"※客户不在基础资料里",IF(AND($J345&lt;&gt;"",$F345&lt;&gt;"",$J345&lt;$F345),"※完工日期早于下单日期",""))))</f>
        <v/>
      </c>
    </row>
    <row r="346">
      <c r="A346" s="17">
        <f>IF($B346="","","P"&amp;TEXT(ROW()-3,"000"))</f>
        <v/>
      </c>
      <c r="B346" s="13" t="n"/>
      <c r="C346" s="13" t="n"/>
      <c r="D346" s="13" t="n"/>
      <c r="E346" s="13" t="n"/>
      <c r="F346" s="18" t="n"/>
      <c r="G346" s="18" t="n"/>
      <c r="H346" s="18" t="n"/>
      <c r="I346" s="18" t="n"/>
      <c r="J346" s="18" t="n"/>
      <c r="K346" s="14" t="n"/>
      <c r="L346" s="19">
        <f>IF($B346="","",ROUND(SUMIF(订单明细!$C:$C,$B346,订单明细!$I:$I),2))</f>
        <v/>
      </c>
      <c r="M346" s="19">
        <f>IF($B346="","",ROUND(N($K346)+N($L346),2))</f>
        <v/>
      </c>
      <c r="N346" s="14" t="n"/>
      <c r="O346" s="19">
        <f>IF($B346="","",ROUND(N($N346)+SUMIFS(资金日记账!$J$4:$J$2503,资金日记账!$G$4:$G$2503,$B346,资金日记账!$F$4:$F$2503,"收款-项目")-SUMIFS(资金日记账!$K$4:$K$2503,资金日记账!$G$4:$G$2503,$B346,资金日记账!$F$4:$F$2503,"收款-项目"),2))</f>
        <v/>
      </c>
      <c r="P346" s="19">
        <f>IF($B346="","",ROUND($M346-$O346,2))</f>
        <v/>
      </c>
      <c r="Q346" s="17">
        <f>IF($B346="","",IF(AND($J346&lt;&gt;"",ROUND($P346,2)&lt;=0),"已完工·已结清",IF($J346&lt;&gt;"","已完工·还有尾款",IF($I346&lt;&gt;"","已安装",IF($H346&lt;&gt;"","已制作",IF($G346&lt;&gt;"","设计完成","已下单"))))))</f>
        <v/>
      </c>
      <c r="R346" s="13" t="n"/>
      <c r="S346" s="17">
        <f>IF($B346="","",IF(COUNTIF($B$4:$B$403,$B346)&gt;1,"※项目名重复了",IF(AND($C346&lt;&gt;"",ISNA(MATCH($C346,客户表,0))),"※客户不在基础资料里",IF(AND($J346&lt;&gt;"",$F346&lt;&gt;"",$J346&lt;$F346),"※完工日期早于下单日期",""))))</f>
        <v/>
      </c>
    </row>
    <row r="347">
      <c r="A347" s="17">
        <f>IF($B347="","","P"&amp;TEXT(ROW()-3,"000"))</f>
        <v/>
      </c>
      <c r="B347" s="13" t="n"/>
      <c r="C347" s="13" t="n"/>
      <c r="D347" s="13" t="n"/>
      <c r="E347" s="13" t="n"/>
      <c r="F347" s="18" t="n"/>
      <c r="G347" s="18" t="n"/>
      <c r="H347" s="18" t="n"/>
      <c r="I347" s="18" t="n"/>
      <c r="J347" s="18" t="n"/>
      <c r="K347" s="14" t="n"/>
      <c r="L347" s="19">
        <f>IF($B347="","",ROUND(SUMIF(订单明细!$C:$C,$B347,订单明细!$I:$I),2))</f>
        <v/>
      </c>
      <c r="M347" s="19">
        <f>IF($B347="","",ROUND(N($K347)+N($L347),2))</f>
        <v/>
      </c>
      <c r="N347" s="14" t="n"/>
      <c r="O347" s="19">
        <f>IF($B347="","",ROUND(N($N347)+SUMIFS(资金日记账!$J$4:$J$2503,资金日记账!$G$4:$G$2503,$B347,资金日记账!$F$4:$F$2503,"收款-项目")-SUMIFS(资金日记账!$K$4:$K$2503,资金日记账!$G$4:$G$2503,$B347,资金日记账!$F$4:$F$2503,"收款-项目"),2))</f>
        <v/>
      </c>
      <c r="P347" s="19">
        <f>IF($B347="","",ROUND($M347-$O347,2))</f>
        <v/>
      </c>
      <c r="Q347" s="17">
        <f>IF($B347="","",IF(AND($J347&lt;&gt;"",ROUND($P347,2)&lt;=0),"已完工·已结清",IF($J347&lt;&gt;"","已完工·还有尾款",IF($I347&lt;&gt;"","已安装",IF($H347&lt;&gt;"","已制作",IF($G347&lt;&gt;"","设计完成","已下单"))))))</f>
        <v/>
      </c>
      <c r="R347" s="13" t="n"/>
      <c r="S347" s="17">
        <f>IF($B347="","",IF(COUNTIF($B$4:$B$403,$B347)&gt;1,"※项目名重复了",IF(AND($C347&lt;&gt;"",ISNA(MATCH($C347,客户表,0))),"※客户不在基础资料里",IF(AND($J347&lt;&gt;"",$F347&lt;&gt;"",$J347&lt;$F347),"※完工日期早于下单日期",""))))</f>
        <v/>
      </c>
    </row>
    <row r="348">
      <c r="A348" s="17">
        <f>IF($B348="","","P"&amp;TEXT(ROW()-3,"000"))</f>
        <v/>
      </c>
      <c r="B348" s="13" t="n"/>
      <c r="C348" s="13" t="n"/>
      <c r="D348" s="13" t="n"/>
      <c r="E348" s="13" t="n"/>
      <c r="F348" s="18" t="n"/>
      <c r="G348" s="18" t="n"/>
      <c r="H348" s="18" t="n"/>
      <c r="I348" s="18" t="n"/>
      <c r="J348" s="18" t="n"/>
      <c r="K348" s="14" t="n"/>
      <c r="L348" s="19">
        <f>IF($B348="","",ROUND(SUMIF(订单明细!$C:$C,$B348,订单明细!$I:$I),2))</f>
        <v/>
      </c>
      <c r="M348" s="19">
        <f>IF($B348="","",ROUND(N($K348)+N($L348),2))</f>
        <v/>
      </c>
      <c r="N348" s="14" t="n"/>
      <c r="O348" s="19">
        <f>IF($B348="","",ROUND(N($N348)+SUMIFS(资金日记账!$J$4:$J$2503,资金日记账!$G$4:$G$2503,$B348,资金日记账!$F$4:$F$2503,"收款-项目")-SUMIFS(资金日记账!$K$4:$K$2503,资金日记账!$G$4:$G$2503,$B348,资金日记账!$F$4:$F$2503,"收款-项目"),2))</f>
        <v/>
      </c>
      <c r="P348" s="19">
        <f>IF($B348="","",ROUND($M348-$O348,2))</f>
        <v/>
      </c>
      <c r="Q348" s="17">
        <f>IF($B348="","",IF(AND($J348&lt;&gt;"",ROUND($P348,2)&lt;=0),"已完工·已结清",IF($J348&lt;&gt;"","已完工·还有尾款",IF($I348&lt;&gt;"","已安装",IF($H348&lt;&gt;"","已制作",IF($G348&lt;&gt;"","设计完成","已下单"))))))</f>
        <v/>
      </c>
      <c r="R348" s="13" t="n"/>
      <c r="S348" s="17">
        <f>IF($B348="","",IF(COUNTIF($B$4:$B$403,$B348)&gt;1,"※项目名重复了",IF(AND($C348&lt;&gt;"",ISNA(MATCH($C348,客户表,0))),"※客户不在基础资料里",IF(AND($J348&lt;&gt;"",$F348&lt;&gt;"",$J348&lt;$F348),"※完工日期早于下单日期",""))))</f>
        <v/>
      </c>
    </row>
    <row r="349">
      <c r="A349" s="17">
        <f>IF($B349="","","P"&amp;TEXT(ROW()-3,"000"))</f>
        <v/>
      </c>
      <c r="B349" s="13" t="n"/>
      <c r="C349" s="13" t="n"/>
      <c r="D349" s="13" t="n"/>
      <c r="E349" s="13" t="n"/>
      <c r="F349" s="18" t="n"/>
      <c r="G349" s="18" t="n"/>
      <c r="H349" s="18" t="n"/>
      <c r="I349" s="18" t="n"/>
      <c r="J349" s="18" t="n"/>
      <c r="K349" s="14" t="n"/>
      <c r="L349" s="19">
        <f>IF($B349="","",ROUND(SUMIF(订单明细!$C:$C,$B349,订单明细!$I:$I),2))</f>
        <v/>
      </c>
      <c r="M349" s="19">
        <f>IF($B349="","",ROUND(N($K349)+N($L349),2))</f>
        <v/>
      </c>
      <c r="N349" s="14" t="n"/>
      <c r="O349" s="19">
        <f>IF($B349="","",ROUND(N($N349)+SUMIFS(资金日记账!$J$4:$J$2503,资金日记账!$G$4:$G$2503,$B349,资金日记账!$F$4:$F$2503,"收款-项目")-SUMIFS(资金日记账!$K$4:$K$2503,资金日记账!$G$4:$G$2503,$B349,资金日记账!$F$4:$F$2503,"收款-项目"),2))</f>
        <v/>
      </c>
      <c r="P349" s="19">
        <f>IF($B349="","",ROUND($M349-$O349,2))</f>
        <v/>
      </c>
      <c r="Q349" s="17">
        <f>IF($B349="","",IF(AND($J349&lt;&gt;"",ROUND($P349,2)&lt;=0),"已完工·已结清",IF($J349&lt;&gt;"","已完工·还有尾款",IF($I349&lt;&gt;"","已安装",IF($H349&lt;&gt;"","已制作",IF($G349&lt;&gt;"","设计完成","已下单"))))))</f>
        <v/>
      </c>
      <c r="R349" s="13" t="n"/>
      <c r="S349" s="17">
        <f>IF($B349="","",IF(COUNTIF($B$4:$B$403,$B349)&gt;1,"※项目名重复了",IF(AND($C349&lt;&gt;"",ISNA(MATCH($C349,客户表,0))),"※客户不在基础资料里",IF(AND($J349&lt;&gt;"",$F349&lt;&gt;"",$J349&lt;$F349),"※完工日期早于下单日期",""))))</f>
        <v/>
      </c>
    </row>
    <row r="350">
      <c r="A350" s="17">
        <f>IF($B350="","","P"&amp;TEXT(ROW()-3,"000"))</f>
        <v/>
      </c>
      <c r="B350" s="13" t="n"/>
      <c r="C350" s="13" t="n"/>
      <c r="D350" s="13" t="n"/>
      <c r="E350" s="13" t="n"/>
      <c r="F350" s="18" t="n"/>
      <c r="G350" s="18" t="n"/>
      <c r="H350" s="18" t="n"/>
      <c r="I350" s="18" t="n"/>
      <c r="J350" s="18" t="n"/>
      <c r="K350" s="14" t="n"/>
      <c r="L350" s="19">
        <f>IF($B350="","",ROUND(SUMIF(订单明细!$C:$C,$B350,订单明细!$I:$I),2))</f>
        <v/>
      </c>
      <c r="M350" s="19">
        <f>IF($B350="","",ROUND(N($K350)+N($L350),2))</f>
        <v/>
      </c>
      <c r="N350" s="14" t="n"/>
      <c r="O350" s="19">
        <f>IF($B350="","",ROUND(N($N350)+SUMIFS(资金日记账!$J$4:$J$2503,资金日记账!$G$4:$G$2503,$B350,资金日记账!$F$4:$F$2503,"收款-项目")-SUMIFS(资金日记账!$K$4:$K$2503,资金日记账!$G$4:$G$2503,$B350,资金日记账!$F$4:$F$2503,"收款-项目"),2))</f>
        <v/>
      </c>
      <c r="P350" s="19">
        <f>IF($B350="","",ROUND($M350-$O350,2))</f>
        <v/>
      </c>
      <c r="Q350" s="17">
        <f>IF($B350="","",IF(AND($J350&lt;&gt;"",ROUND($P350,2)&lt;=0),"已完工·已结清",IF($J350&lt;&gt;"","已完工·还有尾款",IF($I350&lt;&gt;"","已安装",IF($H350&lt;&gt;"","已制作",IF($G350&lt;&gt;"","设计完成","已下单"))))))</f>
        <v/>
      </c>
      <c r="R350" s="13" t="n"/>
      <c r="S350" s="17">
        <f>IF($B350="","",IF(COUNTIF($B$4:$B$403,$B350)&gt;1,"※项目名重复了",IF(AND($C350&lt;&gt;"",ISNA(MATCH($C350,客户表,0))),"※客户不在基础资料里",IF(AND($J350&lt;&gt;"",$F350&lt;&gt;"",$J350&lt;$F350),"※完工日期早于下单日期",""))))</f>
        <v/>
      </c>
    </row>
    <row r="351">
      <c r="A351" s="17">
        <f>IF($B351="","","P"&amp;TEXT(ROW()-3,"000"))</f>
        <v/>
      </c>
      <c r="B351" s="13" t="n"/>
      <c r="C351" s="13" t="n"/>
      <c r="D351" s="13" t="n"/>
      <c r="E351" s="13" t="n"/>
      <c r="F351" s="18" t="n"/>
      <c r="G351" s="18" t="n"/>
      <c r="H351" s="18" t="n"/>
      <c r="I351" s="18" t="n"/>
      <c r="J351" s="18" t="n"/>
      <c r="K351" s="14" t="n"/>
      <c r="L351" s="19">
        <f>IF($B351="","",ROUND(SUMIF(订单明细!$C:$C,$B351,订单明细!$I:$I),2))</f>
        <v/>
      </c>
      <c r="M351" s="19">
        <f>IF($B351="","",ROUND(N($K351)+N($L351),2))</f>
        <v/>
      </c>
      <c r="N351" s="14" t="n"/>
      <c r="O351" s="19">
        <f>IF($B351="","",ROUND(N($N351)+SUMIFS(资金日记账!$J$4:$J$2503,资金日记账!$G$4:$G$2503,$B351,资金日记账!$F$4:$F$2503,"收款-项目")-SUMIFS(资金日记账!$K$4:$K$2503,资金日记账!$G$4:$G$2503,$B351,资金日记账!$F$4:$F$2503,"收款-项目"),2))</f>
        <v/>
      </c>
      <c r="P351" s="19">
        <f>IF($B351="","",ROUND($M351-$O351,2))</f>
        <v/>
      </c>
      <c r="Q351" s="17">
        <f>IF($B351="","",IF(AND($J351&lt;&gt;"",ROUND($P351,2)&lt;=0),"已完工·已结清",IF($J351&lt;&gt;"","已完工·还有尾款",IF($I351&lt;&gt;"","已安装",IF($H351&lt;&gt;"","已制作",IF($G351&lt;&gt;"","设计完成","已下单"))))))</f>
        <v/>
      </c>
      <c r="R351" s="13" t="n"/>
      <c r="S351" s="17">
        <f>IF($B351="","",IF(COUNTIF($B$4:$B$403,$B351)&gt;1,"※项目名重复了",IF(AND($C351&lt;&gt;"",ISNA(MATCH($C351,客户表,0))),"※客户不在基础资料里",IF(AND($J351&lt;&gt;"",$F351&lt;&gt;"",$J351&lt;$F351),"※完工日期早于下单日期",""))))</f>
        <v/>
      </c>
    </row>
    <row r="352">
      <c r="A352" s="17">
        <f>IF($B352="","","P"&amp;TEXT(ROW()-3,"000"))</f>
        <v/>
      </c>
      <c r="B352" s="13" t="n"/>
      <c r="C352" s="13" t="n"/>
      <c r="D352" s="13" t="n"/>
      <c r="E352" s="13" t="n"/>
      <c r="F352" s="18" t="n"/>
      <c r="G352" s="18" t="n"/>
      <c r="H352" s="18" t="n"/>
      <c r="I352" s="18" t="n"/>
      <c r="J352" s="18" t="n"/>
      <c r="K352" s="14" t="n"/>
      <c r="L352" s="19">
        <f>IF($B352="","",ROUND(SUMIF(订单明细!$C:$C,$B352,订单明细!$I:$I),2))</f>
        <v/>
      </c>
      <c r="M352" s="19">
        <f>IF($B352="","",ROUND(N($K352)+N($L352),2))</f>
        <v/>
      </c>
      <c r="N352" s="14" t="n"/>
      <c r="O352" s="19">
        <f>IF($B352="","",ROUND(N($N352)+SUMIFS(资金日记账!$J$4:$J$2503,资金日记账!$G$4:$G$2503,$B352,资金日记账!$F$4:$F$2503,"收款-项目")-SUMIFS(资金日记账!$K$4:$K$2503,资金日记账!$G$4:$G$2503,$B352,资金日记账!$F$4:$F$2503,"收款-项目"),2))</f>
        <v/>
      </c>
      <c r="P352" s="19">
        <f>IF($B352="","",ROUND($M352-$O352,2))</f>
        <v/>
      </c>
      <c r="Q352" s="17">
        <f>IF($B352="","",IF(AND($J352&lt;&gt;"",ROUND($P352,2)&lt;=0),"已完工·已结清",IF($J352&lt;&gt;"","已完工·还有尾款",IF($I352&lt;&gt;"","已安装",IF($H352&lt;&gt;"","已制作",IF($G352&lt;&gt;"","设计完成","已下单"))))))</f>
        <v/>
      </c>
      <c r="R352" s="13" t="n"/>
      <c r="S352" s="17">
        <f>IF($B352="","",IF(COUNTIF($B$4:$B$403,$B352)&gt;1,"※项目名重复了",IF(AND($C352&lt;&gt;"",ISNA(MATCH($C352,客户表,0))),"※客户不在基础资料里",IF(AND($J352&lt;&gt;"",$F352&lt;&gt;"",$J352&lt;$F352),"※完工日期早于下单日期",""))))</f>
        <v/>
      </c>
    </row>
    <row r="353">
      <c r="A353" s="17">
        <f>IF($B353="","","P"&amp;TEXT(ROW()-3,"000"))</f>
        <v/>
      </c>
      <c r="B353" s="13" t="n"/>
      <c r="C353" s="13" t="n"/>
      <c r="D353" s="13" t="n"/>
      <c r="E353" s="13" t="n"/>
      <c r="F353" s="18" t="n"/>
      <c r="G353" s="18" t="n"/>
      <c r="H353" s="18" t="n"/>
      <c r="I353" s="18" t="n"/>
      <c r="J353" s="18" t="n"/>
      <c r="K353" s="14" t="n"/>
      <c r="L353" s="19">
        <f>IF($B353="","",ROUND(SUMIF(订单明细!$C:$C,$B353,订单明细!$I:$I),2))</f>
        <v/>
      </c>
      <c r="M353" s="19">
        <f>IF($B353="","",ROUND(N($K353)+N($L353),2))</f>
        <v/>
      </c>
      <c r="N353" s="14" t="n"/>
      <c r="O353" s="19">
        <f>IF($B353="","",ROUND(N($N353)+SUMIFS(资金日记账!$J$4:$J$2503,资金日记账!$G$4:$G$2503,$B353,资金日记账!$F$4:$F$2503,"收款-项目")-SUMIFS(资金日记账!$K$4:$K$2503,资金日记账!$G$4:$G$2503,$B353,资金日记账!$F$4:$F$2503,"收款-项目"),2))</f>
        <v/>
      </c>
      <c r="P353" s="19">
        <f>IF($B353="","",ROUND($M353-$O353,2))</f>
        <v/>
      </c>
      <c r="Q353" s="17">
        <f>IF($B353="","",IF(AND($J353&lt;&gt;"",ROUND($P353,2)&lt;=0),"已完工·已结清",IF($J353&lt;&gt;"","已完工·还有尾款",IF($I353&lt;&gt;"","已安装",IF($H353&lt;&gt;"","已制作",IF($G353&lt;&gt;"","设计完成","已下单"))))))</f>
        <v/>
      </c>
      <c r="R353" s="13" t="n"/>
      <c r="S353" s="17">
        <f>IF($B353="","",IF(COUNTIF($B$4:$B$403,$B353)&gt;1,"※项目名重复了",IF(AND($C353&lt;&gt;"",ISNA(MATCH($C353,客户表,0))),"※客户不在基础资料里",IF(AND($J353&lt;&gt;"",$F353&lt;&gt;"",$J353&lt;$F353),"※完工日期早于下单日期",""))))</f>
        <v/>
      </c>
    </row>
    <row r="354">
      <c r="A354" s="17">
        <f>IF($B354="","","P"&amp;TEXT(ROW()-3,"000"))</f>
        <v/>
      </c>
      <c r="B354" s="13" t="n"/>
      <c r="C354" s="13" t="n"/>
      <c r="D354" s="13" t="n"/>
      <c r="E354" s="13" t="n"/>
      <c r="F354" s="18" t="n"/>
      <c r="G354" s="18" t="n"/>
      <c r="H354" s="18" t="n"/>
      <c r="I354" s="18" t="n"/>
      <c r="J354" s="18" t="n"/>
      <c r="K354" s="14" t="n"/>
      <c r="L354" s="19">
        <f>IF($B354="","",ROUND(SUMIF(订单明细!$C:$C,$B354,订单明细!$I:$I),2))</f>
        <v/>
      </c>
      <c r="M354" s="19">
        <f>IF($B354="","",ROUND(N($K354)+N($L354),2))</f>
        <v/>
      </c>
      <c r="N354" s="14" t="n"/>
      <c r="O354" s="19">
        <f>IF($B354="","",ROUND(N($N354)+SUMIFS(资金日记账!$J$4:$J$2503,资金日记账!$G$4:$G$2503,$B354,资金日记账!$F$4:$F$2503,"收款-项目")-SUMIFS(资金日记账!$K$4:$K$2503,资金日记账!$G$4:$G$2503,$B354,资金日记账!$F$4:$F$2503,"收款-项目"),2))</f>
        <v/>
      </c>
      <c r="P354" s="19">
        <f>IF($B354="","",ROUND($M354-$O354,2))</f>
        <v/>
      </c>
      <c r="Q354" s="17">
        <f>IF($B354="","",IF(AND($J354&lt;&gt;"",ROUND($P354,2)&lt;=0),"已完工·已结清",IF($J354&lt;&gt;"","已完工·还有尾款",IF($I354&lt;&gt;"","已安装",IF($H354&lt;&gt;"","已制作",IF($G354&lt;&gt;"","设计完成","已下单"))))))</f>
        <v/>
      </c>
      <c r="R354" s="13" t="n"/>
      <c r="S354" s="17">
        <f>IF($B354="","",IF(COUNTIF($B$4:$B$403,$B354)&gt;1,"※项目名重复了",IF(AND($C354&lt;&gt;"",ISNA(MATCH($C354,客户表,0))),"※客户不在基础资料里",IF(AND($J354&lt;&gt;"",$F354&lt;&gt;"",$J354&lt;$F354),"※完工日期早于下单日期",""))))</f>
        <v/>
      </c>
    </row>
    <row r="355">
      <c r="A355" s="17">
        <f>IF($B355="","","P"&amp;TEXT(ROW()-3,"000"))</f>
        <v/>
      </c>
      <c r="B355" s="13" t="n"/>
      <c r="C355" s="13" t="n"/>
      <c r="D355" s="13" t="n"/>
      <c r="E355" s="13" t="n"/>
      <c r="F355" s="18" t="n"/>
      <c r="G355" s="18" t="n"/>
      <c r="H355" s="18" t="n"/>
      <c r="I355" s="18" t="n"/>
      <c r="J355" s="18" t="n"/>
      <c r="K355" s="14" t="n"/>
      <c r="L355" s="19">
        <f>IF($B355="","",ROUND(SUMIF(订单明细!$C:$C,$B355,订单明细!$I:$I),2))</f>
        <v/>
      </c>
      <c r="M355" s="19">
        <f>IF($B355="","",ROUND(N($K355)+N($L355),2))</f>
        <v/>
      </c>
      <c r="N355" s="14" t="n"/>
      <c r="O355" s="19">
        <f>IF($B355="","",ROUND(N($N355)+SUMIFS(资金日记账!$J$4:$J$2503,资金日记账!$G$4:$G$2503,$B355,资金日记账!$F$4:$F$2503,"收款-项目")-SUMIFS(资金日记账!$K$4:$K$2503,资金日记账!$G$4:$G$2503,$B355,资金日记账!$F$4:$F$2503,"收款-项目"),2))</f>
        <v/>
      </c>
      <c r="P355" s="19">
        <f>IF($B355="","",ROUND($M355-$O355,2))</f>
        <v/>
      </c>
      <c r="Q355" s="17">
        <f>IF($B355="","",IF(AND($J355&lt;&gt;"",ROUND($P355,2)&lt;=0),"已完工·已结清",IF($J355&lt;&gt;"","已完工·还有尾款",IF($I355&lt;&gt;"","已安装",IF($H355&lt;&gt;"","已制作",IF($G355&lt;&gt;"","设计完成","已下单"))))))</f>
        <v/>
      </c>
      <c r="R355" s="13" t="n"/>
      <c r="S355" s="17">
        <f>IF($B355="","",IF(COUNTIF($B$4:$B$403,$B355)&gt;1,"※项目名重复了",IF(AND($C355&lt;&gt;"",ISNA(MATCH($C355,客户表,0))),"※客户不在基础资料里",IF(AND($J355&lt;&gt;"",$F355&lt;&gt;"",$J355&lt;$F355),"※完工日期早于下单日期",""))))</f>
        <v/>
      </c>
    </row>
    <row r="356">
      <c r="A356" s="17">
        <f>IF($B356="","","P"&amp;TEXT(ROW()-3,"000"))</f>
        <v/>
      </c>
      <c r="B356" s="13" t="n"/>
      <c r="C356" s="13" t="n"/>
      <c r="D356" s="13" t="n"/>
      <c r="E356" s="13" t="n"/>
      <c r="F356" s="18" t="n"/>
      <c r="G356" s="18" t="n"/>
      <c r="H356" s="18" t="n"/>
      <c r="I356" s="18" t="n"/>
      <c r="J356" s="18" t="n"/>
      <c r="K356" s="14" t="n"/>
      <c r="L356" s="19">
        <f>IF($B356="","",ROUND(SUMIF(订单明细!$C:$C,$B356,订单明细!$I:$I),2))</f>
        <v/>
      </c>
      <c r="M356" s="19">
        <f>IF($B356="","",ROUND(N($K356)+N($L356),2))</f>
        <v/>
      </c>
      <c r="N356" s="14" t="n"/>
      <c r="O356" s="19">
        <f>IF($B356="","",ROUND(N($N356)+SUMIFS(资金日记账!$J$4:$J$2503,资金日记账!$G$4:$G$2503,$B356,资金日记账!$F$4:$F$2503,"收款-项目")-SUMIFS(资金日记账!$K$4:$K$2503,资金日记账!$G$4:$G$2503,$B356,资金日记账!$F$4:$F$2503,"收款-项目"),2))</f>
        <v/>
      </c>
      <c r="P356" s="19">
        <f>IF($B356="","",ROUND($M356-$O356,2))</f>
        <v/>
      </c>
      <c r="Q356" s="17">
        <f>IF($B356="","",IF(AND($J356&lt;&gt;"",ROUND($P356,2)&lt;=0),"已完工·已结清",IF($J356&lt;&gt;"","已完工·还有尾款",IF($I356&lt;&gt;"","已安装",IF($H356&lt;&gt;"","已制作",IF($G356&lt;&gt;"","设计完成","已下单"))))))</f>
        <v/>
      </c>
      <c r="R356" s="13" t="n"/>
      <c r="S356" s="17">
        <f>IF($B356="","",IF(COUNTIF($B$4:$B$403,$B356)&gt;1,"※项目名重复了",IF(AND($C356&lt;&gt;"",ISNA(MATCH($C356,客户表,0))),"※客户不在基础资料里",IF(AND($J356&lt;&gt;"",$F356&lt;&gt;"",$J356&lt;$F356),"※完工日期早于下单日期",""))))</f>
        <v/>
      </c>
    </row>
    <row r="357">
      <c r="A357" s="17">
        <f>IF($B357="","","P"&amp;TEXT(ROW()-3,"000"))</f>
        <v/>
      </c>
      <c r="B357" s="13" t="n"/>
      <c r="C357" s="13" t="n"/>
      <c r="D357" s="13" t="n"/>
      <c r="E357" s="13" t="n"/>
      <c r="F357" s="18" t="n"/>
      <c r="G357" s="18" t="n"/>
      <c r="H357" s="18" t="n"/>
      <c r="I357" s="18" t="n"/>
      <c r="J357" s="18" t="n"/>
      <c r="K357" s="14" t="n"/>
      <c r="L357" s="19">
        <f>IF($B357="","",ROUND(SUMIF(订单明细!$C:$C,$B357,订单明细!$I:$I),2))</f>
        <v/>
      </c>
      <c r="M357" s="19">
        <f>IF($B357="","",ROUND(N($K357)+N($L357),2))</f>
        <v/>
      </c>
      <c r="N357" s="14" t="n"/>
      <c r="O357" s="19">
        <f>IF($B357="","",ROUND(N($N357)+SUMIFS(资金日记账!$J$4:$J$2503,资金日记账!$G$4:$G$2503,$B357,资金日记账!$F$4:$F$2503,"收款-项目")-SUMIFS(资金日记账!$K$4:$K$2503,资金日记账!$G$4:$G$2503,$B357,资金日记账!$F$4:$F$2503,"收款-项目"),2))</f>
        <v/>
      </c>
      <c r="P357" s="19">
        <f>IF($B357="","",ROUND($M357-$O357,2))</f>
        <v/>
      </c>
      <c r="Q357" s="17">
        <f>IF($B357="","",IF(AND($J357&lt;&gt;"",ROUND($P357,2)&lt;=0),"已完工·已结清",IF($J357&lt;&gt;"","已完工·还有尾款",IF($I357&lt;&gt;"","已安装",IF($H357&lt;&gt;"","已制作",IF($G357&lt;&gt;"","设计完成","已下单"))))))</f>
        <v/>
      </c>
      <c r="R357" s="13" t="n"/>
      <c r="S357" s="17">
        <f>IF($B357="","",IF(COUNTIF($B$4:$B$403,$B357)&gt;1,"※项目名重复了",IF(AND($C357&lt;&gt;"",ISNA(MATCH($C357,客户表,0))),"※客户不在基础资料里",IF(AND($J357&lt;&gt;"",$F357&lt;&gt;"",$J357&lt;$F357),"※完工日期早于下单日期",""))))</f>
        <v/>
      </c>
    </row>
    <row r="358">
      <c r="A358" s="17">
        <f>IF($B358="","","P"&amp;TEXT(ROW()-3,"000"))</f>
        <v/>
      </c>
      <c r="B358" s="13" t="n"/>
      <c r="C358" s="13" t="n"/>
      <c r="D358" s="13" t="n"/>
      <c r="E358" s="13" t="n"/>
      <c r="F358" s="18" t="n"/>
      <c r="G358" s="18" t="n"/>
      <c r="H358" s="18" t="n"/>
      <c r="I358" s="18" t="n"/>
      <c r="J358" s="18" t="n"/>
      <c r="K358" s="14" t="n"/>
      <c r="L358" s="19">
        <f>IF($B358="","",ROUND(SUMIF(订单明细!$C:$C,$B358,订单明细!$I:$I),2))</f>
        <v/>
      </c>
      <c r="M358" s="19">
        <f>IF($B358="","",ROUND(N($K358)+N($L358),2))</f>
        <v/>
      </c>
      <c r="N358" s="14" t="n"/>
      <c r="O358" s="19">
        <f>IF($B358="","",ROUND(N($N358)+SUMIFS(资金日记账!$J$4:$J$2503,资金日记账!$G$4:$G$2503,$B358,资金日记账!$F$4:$F$2503,"收款-项目")-SUMIFS(资金日记账!$K$4:$K$2503,资金日记账!$G$4:$G$2503,$B358,资金日记账!$F$4:$F$2503,"收款-项目"),2))</f>
        <v/>
      </c>
      <c r="P358" s="19">
        <f>IF($B358="","",ROUND($M358-$O358,2))</f>
        <v/>
      </c>
      <c r="Q358" s="17">
        <f>IF($B358="","",IF(AND($J358&lt;&gt;"",ROUND($P358,2)&lt;=0),"已完工·已结清",IF($J358&lt;&gt;"","已完工·还有尾款",IF($I358&lt;&gt;"","已安装",IF($H358&lt;&gt;"","已制作",IF($G358&lt;&gt;"","设计完成","已下单"))))))</f>
        <v/>
      </c>
      <c r="R358" s="13" t="n"/>
      <c r="S358" s="17">
        <f>IF($B358="","",IF(COUNTIF($B$4:$B$403,$B358)&gt;1,"※项目名重复了",IF(AND($C358&lt;&gt;"",ISNA(MATCH($C358,客户表,0))),"※客户不在基础资料里",IF(AND($J358&lt;&gt;"",$F358&lt;&gt;"",$J358&lt;$F358),"※完工日期早于下单日期",""))))</f>
        <v/>
      </c>
    </row>
    <row r="359">
      <c r="A359" s="17">
        <f>IF($B359="","","P"&amp;TEXT(ROW()-3,"000"))</f>
        <v/>
      </c>
      <c r="B359" s="13" t="n"/>
      <c r="C359" s="13" t="n"/>
      <c r="D359" s="13" t="n"/>
      <c r="E359" s="13" t="n"/>
      <c r="F359" s="18" t="n"/>
      <c r="G359" s="18" t="n"/>
      <c r="H359" s="18" t="n"/>
      <c r="I359" s="18" t="n"/>
      <c r="J359" s="18" t="n"/>
      <c r="K359" s="14" t="n"/>
      <c r="L359" s="19">
        <f>IF($B359="","",ROUND(SUMIF(订单明细!$C:$C,$B359,订单明细!$I:$I),2))</f>
        <v/>
      </c>
      <c r="M359" s="19">
        <f>IF($B359="","",ROUND(N($K359)+N($L359),2))</f>
        <v/>
      </c>
      <c r="N359" s="14" t="n"/>
      <c r="O359" s="19">
        <f>IF($B359="","",ROUND(N($N359)+SUMIFS(资金日记账!$J$4:$J$2503,资金日记账!$G$4:$G$2503,$B359,资金日记账!$F$4:$F$2503,"收款-项目")-SUMIFS(资金日记账!$K$4:$K$2503,资金日记账!$G$4:$G$2503,$B359,资金日记账!$F$4:$F$2503,"收款-项目"),2))</f>
        <v/>
      </c>
      <c r="P359" s="19">
        <f>IF($B359="","",ROUND($M359-$O359,2))</f>
        <v/>
      </c>
      <c r="Q359" s="17">
        <f>IF($B359="","",IF(AND($J359&lt;&gt;"",ROUND($P359,2)&lt;=0),"已完工·已结清",IF($J359&lt;&gt;"","已完工·还有尾款",IF($I359&lt;&gt;"","已安装",IF($H359&lt;&gt;"","已制作",IF($G359&lt;&gt;"","设计完成","已下单"))))))</f>
        <v/>
      </c>
      <c r="R359" s="13" t="n"/>
      <c r="S359" s="17">
        <f>IF($B359="","",IF(COUNTIF($B$4:$B$403,$B359)&gt;1,"※项目名重复了",IF(AND($C359&lt;&gt;"",ISNA(MATCH($C359,客户表,0))),"※客户不在基础资料里",IF(AND($J359&lt;&gt;"",$F359&lt;&gt;"",$J359&lt;$F359),"※完工日期早于下单日期",""))))</f>
        <v/>
      </c>
    </row>
    <row r="360">
      <c r="A360" s="17">
        <f>IF($B360="","","P"&amp;TEXT(ROW()-3,"000"))</f>
        <v/>
      </c>
      <c r="B360" s="13" t="n"/>
      <c r="C360" s="13" t="n"/>
      <c r="D360" s="13" t="n"/>
      <c r="E360" s="13" t="n"/>
      <c r="F360" s="18" t="n"/>
      <c r="G360" s="18" t="n"/>
      <c r="H360" s="18" t="n"/>
      <c r="I360" s="18" t="n"/>
      <c r="J360" s="18" t="n"/>
      <c r="K360" s="14" t="n"/>
      <c r="L360" s="19">
        <f>IF($B360="","",ROUND(SUMIF(订单明细!$C:$C,$B360,订单明细!$I:$I),2))</f>
        <v/>
      </c>
      <c r="M360" s="19">
        <f>IF($B360="","",ROUND(N($K360)+N($L360),2))</f>
        <v/>
      </c>
      <c r="N360" s="14" t="n"/>
      <c r="O360" s="19">
        <f>IF($B360="","",ROUND(N($N360)+SUMIFS(资金日记账!$J$4:$J$2503,资金日记账!$G$4:$G$2503,$B360,资金日记账!$F$4:$F$2503,"收款-项目")-SUMIFS(资金日记账!$K$4:$K$2503,资金日记账!$G$4:$G$2503,$B360,资金日记账!$F$4:$F$2503,"收款-项目"),2))</f>
        <v/>
      </c>
      <c r="P360" s="19">
        <f>IF($B360="","",ROUND($M360-$O360,2))</f>
        <v/>
      </c>
      <c r="Q360" s="17">
        <f>IF($B360="","",IF(AND($J360&lt;&gt;"",ROUND($P360,2)&lt;=0),"已完工·已结清",IF($J360&lt;&gt;"","已完工·还有尾款",IF($I360&lt;&gt;"","已安装",IF($H360&lt;&gt;"","已制作",IF($G360&lt;&gt;"","设计完成","已下单"))))))</f>
        <v/>
      </c>
      <c r="R360" s="13" t="n"/>
      <c r="S360" s="17">
        <f>IF($B360="","",IF(COUNTIF($B$4:$B$403,$B360)&gt;1,"※项目名重复了",IF(AND($C360&lt;&gt;"",ISNA(MATCH($C360,客户表,0))),"※客户不在基础资料里",IF(AND($J360&lt;&gt;"",$F360&lt;&gt;"",$J360&lt;$F360),"※完工日期早于下单日期",""))))</f>
        <v/>
      </c>
    </row>
    <row r="361">
      <c r="A361" s="17">
        <f>IF($B361="","","P"&amp;TEXT(ROW()-3,"000"))</f>
        <v/>
      </c>
      <c r="B361" s="13" t="n"/>
      <c r="C361" s="13" t="n"/>
      <c r="D361" s="13" t="n"/>
      <c r="E361" s="13" t="n"/>
      <c r="F361" s="18" t="n"/>
      <c r="G361" s="18" t="n"/>
      <c r="H361" s="18" t="n"/>
      <c r="I361" s="18" t="n"/>
      <c r="J361" s="18" t="n"/>
      <c r="K361" s="14" t="n"/>
      <c r="L361" s="19">
        <f>IF($B361="","",ROUND(SUMIF(订单明细!$C:$C,$B361,订单明细!$I:$I),2))</f>
        <v/>
      </c>
      <c r="M361" s="19">
        <f>IF($B361="","",ROUND(N($K361)+N($L361),2))</f>
        <v/>
      </c>
      <c r="N361" s="14" t="n"/>
      <c r="O361" s="19">
        <f>IF($B361="","",ROUND(N($N361)+SUMIFS(资金日记账!$J$4:$J$2503,资金日记账!$G$4:$G$2503,$B361,资金日记账!$F$4:$F$2503,"收款-项目")-SUMIFS(资金日记账!$K$4:$K$2503,资金日记账!$G$4:$G$2503,$B361,资金日记账!$F$4:$F$2503,"收款-项目"),2))</f>
        <v/>
      </c>
      <c r="P361" s="19">
        <f>IF($B361="","",ROUND($M361-$O361,2))</f>
        <v/>
      </c>
      <c r="Q361" s="17">
        <f>IF($B361="","",IF(AND($J361&lt;&gt;"",ROUND($P361,2)&lt;=0),"已完工·已结清",IF($J361&lt;&gt;"","已完工·还有尾款",IF($I361&lt;&gt;"","已安装",IF($H361&lt;&gt;"","已制作",IF($G361&lt;&gt;"","设计完成","已下单"))))))</f>
        <v/>
      </c>
      <c r="R361" s="13" t="n"/>
      <c r="S361" s="17">
        <f>IF($B361="","",IF(COUNTIF($B$4:$B$403,$B361)&gt;1,"※项目名重复了",IF(AND($C361&lt;&gt;"",ISNA(MATCH($C361,客户表,0))),"※客户不在基础资料里",IF(AND($J361&lt;&gt;"",$F361&lt;&gt;"",$J361&lt;$F361),"※完工日期早于下单日期",""))))</f>
        <v/>
      </c>
    </row>
    <row r="362">
      <c r="A362" s="17">
        <f>IF($B362="","","P"&amp;TEXT(ROW()-3,"000"))</f>
        <v/>
      </c>
      <c r="B362" s="13" t="n"/>
      <c r="C362" s="13" t="n"/>
      <c r="D362" s="13" t="n"/>
      <c r="E362" s="13" t="n"/>
      <c r="F362" s="18" t="n"/>
      <c r="G362" s="18" t="n"/>
      <c r="H362" s="18" t="n"/>
      <c r="I362" s="18" t="n"/>
      <c r="J362" s="18" t="n"/>
      <c r="K362" s="14" t="n"/>
      <c r="L362" s="19">
        <f>IF($B362="","",ROUND(SUMIF(订单明细!$C:$C,$B362,订单明细!$I:$I),2))</f>
        <v/>
      </c>
      <c r="M362" s="19">
        <f>IF($B362="","",ROUND(N($K362)+N($L362),2))</f>
        <v/>
      </c>
      <c r="N362" s="14" t="n"/>
      <c r="O362" s="19">
        <f>IF($B362="","",ROUND(N($N362)+SUMIFS(资金日记账!$J$4:$J$2503,资金日记账!$G$4:$G$2503,$B362,资金日记账!$F$4:$F$2503,"收款-项目")-SUMIFS(资金日记账!$K$4:$K$2503,资金日记账!$G$4:$G$2503,$B362,资金日记账!$F$4:$F$2503,"收款-项目"),2))</f>
        <v/>
      </c>
      <c r="P362" s="19">
        <f>IF($B362="","",ROUND($M362-$O362,2))</f>
        <v/>
      </c>
      <c r="Q362" s="17">
        <f>IF($B362="","",IF(AND($J362&lt;&gt;"",ROUND($P362,2)&lt;=0),"已完工·已结清",IF($J362&lt;&gt;"","已完工·还有尾款",IF($I362&lt;&gt;"","已安装",IF($H362&lt;&gt;"","已制作",IF($G362&lt;&gt;"","设计完成","已下单"))))))</f>
        <v/>
      </c>
      <c r="R362" s="13" t="n"/>
      <c r="S362" s="17">
        <f>IF($B362="","",IF(COUNTIF($B$4:$B$403,$B362)&gt;1,"※项目名重复了",IF(AND($C362&lt;&gt;"",ISNA(MATCH($C362,客户表,0))),"※客户不在基础资料里",IF(AND($J362&lt;&gt;"",$F362&lt;&gt;"",$J362&lt;$F362),"※完工日期早于下单日期",""))))</f>
        <v/>
      </c>
    </row>
    <row r="363">
      <c r="A363" s="17">
        <f>IF($B363="","","P"&amp;TEXT(ROW()-3,"000"))</f>
        <v/>
      </c>
      <c r="B363" s="13" t="n"/>
      <c r="C363" s="13" t="n"/>
      <c r="D363" s="13" t="n"/>
      <c r="E363" s="13" t="n"/>
      <c r="F363" s="18" t="n"/>
      <c r="G363" s="18" t="n"/>
      <c r="H363" s="18" t="n"/>
      <c r="I363" s="18" t="n"/>
      <c r="J363" s="18" t="n"/>
      <c r="K363" s="14" t="n"/>
      <c r="L363" s="19">
        <f>IF($B363="","",ROUND(SUMIF(订单明细!$C:$C,$B363,订单明细!$I:$I),2))</f>
        <v/>
      </c>
      <c r="M363" s="19">
        <f>IF($B363="","",ROUND(N($K363)+N($L363),2))</f>
        <v/>
      </c>
      <c r="N363" s="14" t="n"/>
      <c r="O363" s="19">
        <f>IF($B363="","",ROUND(N($N363)+SUMIFS(资金日记账!$J$4:$J$2503,资金日记账!$G$4:$G$2503,$B363,资金日记账!$F$4:$F$2503,"收款-项目")-SUMIFS(资金日记账!$K$4:$K$2503,资金日记账!$G$4:$G$2503,$B363,资金日记账!$F$4:$F$2503,"收款-项目"),2))</f>
        <v/>
      </c>
      <c r="P363" s="19">
        <f>IF($B363="","",ROUND($M363-$O363,2))</f>
        <v/>
      </c>
      <c r="Q363" s="17">
        <f>IF($B363="","",IF(AND($J363&lt;&gt;"",ROUND($P363,2)&lt;=0),"已完工·已结清",IF($J363&lt;&gt;"","已完工·还有尾款",IF($I363&lt;&gt;"","已安装",IF($H363&lt;&gt;"","已制作",IF($G363&lt;&gt;"","设计完成","已下单"))))))</f>
        <v/>
      </c>
      <c r="R363" s="13" t="n"/>
      <c r="S363" s="17">
        <f>IF($B363="","",IF(COUNTIF($B$4:$B$403,$B363)&gt;1,"※项目名重复了",IF(AND($C363&lt;&gt;"",ISNA(MATCH($C363,客户表,0))),"※客户不在基础资料里",IF(AND($J363&lt;&gt;"",$F363&lt;&gt;"",$J363&lt;$F363),"※完工日期早于下单日期",""))))</f>
        <v/>
      </c>
    </row>
    <row r="364">
      <c r="A364" s="17">
        <f>IF($B364="","","P"&amp;TEXT(ROW()-3,"000"))</f>
        <v/>
      </c>
      <c r="B364" s="13" t="n"/>
      <c r="C364" s="13" t="n"/>
      <c r="D364" s="13" t="n"/>
      <c r="E364" s="13" t="n"/>
      <c r="F364" s="18" t="n"/>
      <c r="G364" s="18" t="n"/>
      <c r="H364" s="18" t="n"/>
      <c r="I364" s="18" t="n"/>
      <c r="J364" s="18" t="n"/>
      <c r="K364" s="14" t="n"/>
      <c r="L364" s="19">
        <f>IF($B364="","",ROUND(SUMIF(订单明细!$C:$C,$B364,订单明细!$I:$I),2))</f>
        <v/>
      </c>
      <c r="M364" s="19">
        <f>IF($B364="","",ROUND(N($K364)+N($L364),2))</f>
        <v/>
      </c>
      <c r="N364" s="14" t="n"/>
      <c r="O364" s="19">
        <f>IF($B364="","",ROUND(N($N364)+SUMIFS(资金日记账!$J$4:$J$2503,资金日记账!$G$4:$G$2503,$B364,资金日记账!$F$4:$F$2503,"收款-项目")-SUMIFS(资金日记账!$K$4:$K$2503,资金日记账!$G$4:$G$2503,$B364,资金日记账!$F$4:$F$2503,"收款-项目"),2))</f>
        <v/>
      </c>
      <c r="P364" s="19">
        <f>IF($B364="","",ROUND($M364-$O364,2))</f>
        <v/>
      </c>
      <c r="Q364" s="17">
        <f>IF($B364="","",IF(AND($J364&lt;&gt;"",ROUND($P364,2)&lt;=0),"已完工·已结清",IF($J364&lt;&gt;"","已完工·还有尾款",IF($I364&lt;&gt;"","已安装",IF($H364&lt;&gt;"","已制作",IF($G364&lt;&gt;"","设计完成","已下单"))))))</f>
        <v/>
      </c>
      <c r="R364" s="13" t="n"/>
      <c r="S364" s="17">
        <f>IF($B364="","",IF(COUNTIF($B$4:$B$403,$B364)&gt;1,"※项目名重复了",IF(AND($C364&lt;&gt;"",ISNA(MATCH($C364,客户表,0))),"※客户不在基础资料里",IF(AND($J364&lt;&gt;"",$F364&lt;&gt;"",$J364&lt;$F364),"※完工日期早于下单日期",""))))</f>
        <v/>
      </c>
    </row>
    <row r="365">
      <c r="A365" s="17">
        <f>IF($B365="","","P"&amp;TEXT(ROW()-3,"000"))</f>
        <v/>
      </c>
      <c r="B365" s="13" t="n"/>
      <c r="C365" s="13" t="n"/>
      <c r="D365" s="13" t="n"/>
      <c r="E365" s="13" t="n"/>
      <c r="F365" s="18" t="n"/>
      <c r="G365" s="18" t="n"/>
      <c r="H365" s="18" t="n"/>
      <c r="I365" s="18" t="n"/>
      <c r="J365" s="18" t="n"/>
      <c r="K365" s="14" t="n"/>
      <c r="L365" s="19">
        <f>IF($B365="","",ROUND(SUMIF(订单明细!$C:$C,$B365,订单明细!$I:$I),2))</f>
        <v/>
      </c>
      <c r="M365" s="19">
        <f>IF($B365="","",ROUND(N($K365)+N($L365),2))</f>
        <v/>
      </c>
      <c r="N365" s="14" t="n"/>
      <c r="O365" s="19">
        <f>IF($B365="","",ROUND(N($N365)+SUMIFS(资金日记账!$J$4:$J$2503,资金日记账!$G$4:$G$2503,$B365,资金日记账!$F$4:$F$2503,"收款-项目")-SUMIFS(资金日记账!$K$4:$K$2503,资金日记账!$G$4:$G$2503,$B365,资金日记账!$F$4:$F$2503,"收款-项目"),2))</f>
        <v/>
      </c>
      <c r="P365" s="19">
        <f>IF($B365="","",ROUND($M365-$O365,2))</f>
        <v/>
      </c>
      <c r="Q365" s="17">
        <f>IF($B365="","",IF(AND($J365&lt;&gt;"",ROUND($P365,2)&lt;=0),"已完工·已结清",IF($J365&lt;&gt;"","已完工·还有尾款",IF($I365&lt;&gt;"","已安装",IF($H365&lt;&gt;"","已制作",IF($G365&lt;&gt;"","设计完成","已下单"))))))</f>
        <v/>
      </c>
      <c r="R365" s="13" t="n"/>
      <c r="S365" s="17">
        <f>IF($B365="","",IF(COUNTIF($B$4:$B$403,$B365)&gt;1,"※项目名重复了",IF(AND($C365&lt;&gt;"",ISNA(MATCH($C365,客户表,0))),"※客户不在基础资料里",IF(AND($J365&lt;&gt;"",$F365&lt;&gt;"",$J365&lt;$F365),"※完工日期早于下单日期",""))))</f>
        <v/>
      </c>
    </row>
    <row r="366">
      <c r="A366" s="17">
        <f>IF($B366="","","P"&amp;TEXT(ROW()-3,"000"))</f>
        <v/>
      </c>
      <c r="B366" s="13" t="n"/>
      <c r="C366" s="13" t="n"/>
      <c r="D366" s="13" t="n"/>
      <c r="E366" s="13" t="n"/>
      <c r="F366" s="18" t="n"/>
      <c r="G366" s="18" t="n"/>
      <c r="H366" s="18" t="n"/>
      <c r="I366" s="18" t="n"/>
      <c r="J366" s="18" t="n"/>
      <c r="K366" s="14" t="n"/>
      <c r="L366" s="19">
        <f>IF($B366="","",ROUND(SUMIF(订单明细!$C:$C,$B366,订单明细!$I:$I),2))</f>
        <v/>
      </c>
      <c r="M366" s="19">
        <f>IF($B366="","",ROUND(N($K366)+N($L366),2))</f>
        <v/>
      </c>
      <c r="N366" s="14" t="n"/>
      <c r="O366" s="19">
        <f>IF($B366="","",ROUND(N($N366)+SUMIFS(资金日记账!$J$4:$J$2503,资金日记账!$G$4:$G$2503,$B366,资金日记账!$F$4:$F$2503,"收款-项目")-SUMIFS(资金日记账!$K$4:$K$2503,资金日记账!$G$4:$G$2503,$B366,资金日记账!$F$4:$F$2503,"收款-项目"),2))</f>
        <v/>
      </c>
      <c r="P366" s="19">
        <f>IF($B366="","",ROUND($M366-$O366,2))</f>
        <v/>
      </c>
      <c r="Q366" s="17">
        <f>IF($B366="","",IF(AND($J366&lt;&gt;"",ROUND($P366,2)&lt;=0),"已完工·已结清",IF($J366&lt;&gt;"","已完工·还有尾款",IF($I366&lt;&gt;"","已安装",IF($H366&lt;&gt;"","已制作",IF($G366&lt;&gt;"","设计完成","已下单"))))))</f>
        <v/>
      </c>
      <c r="R366" s="13" t="n"/>
      <c r="S366" s="17">
        <f>IF($B366="","",IF(COUNTIF($B$4:$B$403,$B366)&gt;1,"※项目名重复了",IF(AND($C366&lt;&gt;"",ISNA(MATCH($C366,客户表,0))),"※客户不在基础资料里",IF(AND($J366&lt;&gt;"",$F366&lt;&gt;"",$J366&lt;$F366),"※完工日期早于下单日期",""))))</f>
        <v/>
      </c>
    </row>
    <row r="367">
      <c r="A367" s="17">
        <f>IF($B367="","","P"&amp;TEXT(ROW()-3,"000"))</f>
        <v/>
      </c>
      <c r="B367" s="13" t="n"/>
      <c r="C367" s="13" t="n"/>
      <c r="D367" s="13" t="n"/>
      <c r="E367" s="13" t="n"/>
      <c r="F367" s="18" t="n"/>
      <c r="G367" s="18" t="n"/>
      <c r="H367" s="18" t="n"/>
      <c r="I367" s="18" t="n"/>
      <c r="J367" s="18" t="n"/>
      <c r="K367" s="14" t="n"/>
      <c r="L367" s="19">
        <f>IF($B367="","",ROUND(SUMIF(订单明细!$C:$C,$B367,订单明细!$I:$I),2))</f>
        <v/>
      </c>
      <c r="M367" s="19">
        <f>IF($B367="","",ROUND(N($K367)+N($L367),2))</f>
        <v/>
      </c>
      <c r="N367" s="14" t="n"/>
      <c r="O367" s="19">
        <f>IF($B367="","",ROUND(N($N367)+SUMIFS(资金日记账!$J$4:$J$2503,资金日记账!$G$4:$G$2503,$B367,资金日记账!$F$4:$F$2503,"收款-项目")-SUMIFS(资金日记账!$K$4:$K$2503,资金日记账!$G$4:$G$2503,$B367,资金日记账!$F$4:$F$2503,"收款-项目"),2))</f>
        <v/>
      </c>
      <c r="P367" s="19">
        <f>IF($B367="","",ROUND($M367-$O367,2))</f>
        <v/>
      </c>
      <c r="Q367" s="17">
        <f>IF($B367="","",IF(AND($J367&lt;&gt;"",ROUND($P367,2)&lt;=0),"已完工·已结清",IF($J367&lt;&gt;"","已完工·还有尾款",IF($I367&lt;&gt;"","已安装",IF($H367&lt;&gt;"","已制作",IF($G367&lt;&gt;"","设计完成","已下单"))))))</f>
        <v/>
      </c>
      <c r="R367" s="13" t="n"/>
      <c r="S367" s="17">
        <f>IF($B367="","",IF(COUNTIF($B$4:$B$403,$B367)&gt;1,"※项目名重复了",IF(AND($C367&lt;&gt;"",ISNA(MATCH($C367,客户表,0))),"※客户不在基础资料里",IF(AND($J367&lt;&gt;"",$F367&lt;&gt;"",$J367&lt;$F367),"※完工日期早于下单日期",""))))</f>
        <v/>
      </c>
    </row>
    <row r="368">
      <c r="A368" s="17">
        <f>IF($B368="","","P"&amp;TEXT(ROW()-3,"000"))</f>
        <v/>
      </c>
      <c r="B368" s="13" t="n"/>
      <c r="C368" s="13" t="n"/>
      <c r="D368" s="13" t="n"/>
      <c r="E368" s="13" t="n"/>
      <c r="F368" s="18" t="n"/>
      <c r="G368" s="18" t="n"/>
      <c r="H368" s="18" t="n"/>
      <c r="I368" s="18" t="n"/>
      <c r="J368" s="18" t="n"/>
      <c r="K368" s="14" t="n"/>
      <c r="L368" s="19">
        <f>IF($B368="","",ROUND(SUMIF(订单明细!$C:$C,$B368,订单明细!$I:$I),2))</f>
        <v/>
      </c>
      <c r="M368" s="19">
        <f>IF($B368="","",ROUND(N($K368)+N($L368),2))</f>
        <v/>
      </c>
      <c r="N368" s="14" t="n"/>
      <c r="O368" s="19">
        <f>IF($B368="","",ROUND(N($N368)+SUMIFS(资金日记账!$J$4:$J$2503,资金日记账!$G$4:$G$2503,$B368,资金日记账!$F$4:$F$2503,"收款-项目")-SUMIFS(资金日记账!$K$4:$K$2503,资金日记账!$G$4:$G$2503,$B368,资金日记账!$F$4:$F$2503,"收款-项目"),2))</f>
        <v/>
      </c>
      <c r="P368" s="19">
        <f>IF($B368="","",ROUND($M368-$O368,2))</f>
        <v/>
      </c>
      <c r="Q368" s="17">
        <f>IF($B368="","",IF(AND($J368&lt;&gt;"",ROUND($P368,2)&lt;=0),"已完工·已结清",IF($J368&lt;&gt;"","已完工·还有尾款",IF($I368&lt;&gt;"","已安装",IF($H368&lt;&gt;"","已制作",IF($G368&lt;&gt;"","设计完成","已下单"))))))</f>
        <v/>
      </c>
      <c r="R368" s="13" t="n"/>
      <c r="S368" s="17">
        <f>IF($B368="","",IF(COUNTIF($B$4:$B$403,$B368)&gt;1,"※项目名重复了",IF(AND($C368&lt;&gt;"",ISNA(MATCH($C368,客户表,0))),"※客户不在基础资料里",IF(AND($J368&lt;&gt;"",$F368&lt;&gt;"",$J368&lt;$F368),"※完工日期早于下单日期",""))))</f>
        <v/>
      </c>
    </row>
    <row r="369">
      <c r="A369" s="17">
        <f>IF($B369="","","P"&amp;TEXT(ROW()-3,"000"))</f>
        <v/>
      </c>
      <c r="B369" s="13" t="n"/>
      <c r="C369" s="13" t="n"/>
      <c r="D369" s="13" t="n"/>
      <c r="E369" s="13" t="n"/>
      <c r="F369" s="18" t="n"/>
      <c r="G369" s="18" t="n"/>
      <c r="H369" s="18" t="n"/>
      <c r="I369" s="18" t="n"/>
      <c r="J369" s="18" t="n"/>
      <c r="K369" s="14" t="n"/>
      <c r="L369" s="19">
        <f>IF($B369="","",ROUND(SUMIF(订单明细!$C:$C,$B369,订单明细!$I:$I),2))</f>
        <v/>
      </c>
      <c r="M369" s="19">
        <f>IF($B369="","",ROUND(N($K369)+N($L369),2))</f>
        <v/>
      </c>
      <c r="N369" s="14" t="n"/>
      <c r="O369" s="19">
        <f>IF($B369="","",ROUND(N($N369)+SUMIFS(资金日记账!$J$4:$J$2503,资金日记账!$G$4:$G$2503,$B369,资金日记账!$F$4:$F$2503,"收款-项目")-SUMIFS(资金日记账!$K$4:$K$2503,资金日记账!$G$4:$G$2503,$B369,资金日记账!$F$4:$F$2503,"收款-项目"),2))</f>
        <v/>
      </c>
      <c r="P369" s="19">
        <f>IF($B369="","",ROUND($M369-$O369,2))</f>
        <v/>
      </c>
      <c r="Q369" s="17">
        <f>IF($B369="","",IF(AND($J369&lt;&gt;"",ROUND($P369,2)&lt;=0),"已完工·已结清",IF($J369&lt;&gt;"","已完工·还有尾款",IF($I369&lt;&gt;"","已安装",IF($H369&lt;&gt;"","已制作",IF($G369&lt;&gt;"","设计完成","已下单"))))))</f>
        <v/>
      </c>
      <c r="R369" s="13" t="n"/>
      <c r="S369" s="17">
        <f>IF($B369="","",IF(COUNTIF($B$4:$B$403,$B369)&gt;1,"※项目名重复了",IF(AND($C369&lt;&gt;"",ISNA(MATCH($C369,客户表,0))),"※客户不在基础资料里",IF(AND($J369&lt;&gt;"",$F369&lt;&gt;"",$J369&lt;$F369),"※完工日期早于下单日期",""))))</f>
        <v/>
      </c>
    </row>
    <row r="370">
      <c r="A370" s="17">
        <f>IF($B370="","","P"&amp;TEXT(ROW()-3,"000"))</f>
        <v/>
      </c>
      <c r="B370" s="13" t="n"/>
      <c r="C370" s="13" t="n"/>
      <c r="D370" s="13" t="n"/>
      <c r="E370" s="13" t="n"/>
      <c r="F370" s="18" t="n"/>
      <c r="G370" s="18" t="n"/>
      <c r="H370" s="18" t="n"/>
      <c r="I370" s="18" t="n"/>
      <c r="J370" s="18" t="n"/>
      <c r="K370" s="14" t="n"/>
      <c r="L370" s="19">
        <f>IF($B370="","",ROUND(SUMIF(订单明细!$C:$C,$B370,订单明细!$I:$I),2))</f>
        <v/>
      </c>
      <c r="M370" s="19">
        <f>IF($B370="","",ROUND(N($K370)+N($L370),2))</f>
        <v/>
      </c>
      <c r="N370" s="14" t="n"/>
      <c r="O370" s="19">
        <f>IF($B370="","",ROUND(N($N370)+SUMIFS(资金日记账!$J$4:$J$2503,资金日记账!$G$4:$G$2503,$B370,资金日记账!$F$4:$F$2503,"收款-项目")-SUMIFS(资金日记账!$K$4:$K$2503,资金日记账!$G$4:$G$2503,$B370,资金日记账!$F$4:$F$2503,"收款-项目"),2))</f>
        <v/>
      </c>
      <c r="P370" s="19">
        <f>IF($B370="","",ROUND($M370-$O370,2))</f>
        <v/>
      </c>
      <c r="Q370" s="17">
        <f>IF($B370="","",IF(AND($J370&lt;&gt;"",ROUND($P370,2)&lt;=0),"已完工·已结清",IF($J370&lt;&gt;"","已完工·还有尾款",IF($I370&lt;&gt;"","已安装",IF($H370&lt;&gt;"","已制作",IF($G370&lt;&gt;"","设计完成","已下单"))))))</f>
        <v/>
      </c>
      <c r="R370" s="13" t="n"/>
      <c r="S370" s="17">
        <f>IF($B370="","",IF(COUNTIF($B$4:$B$403,$B370)&gt;1,"※项目名重复了",IF(AND($C370&lt;&gt;"",ISNA(MATCH($C370,客户表,0))),"※客户不在基础资料里",IF(AND($J370&lt;&gt;"",$F370&lt;&gt;"",$J370&lt;$F370),"※完工日期早于下单日期",""))))</f>
        <v/>
      </c>
    </row>
    <row r="371">
      <c r="A371" s="17">
        <f>IF($B371="","","P"&amp;TEXT(ROW()-3,"000"))</f>
        <v/>
      </c>
      <c r="B371" s="13" t="n"/>
      <c r="C371" s="13" t="n"/>
      <c r="D371" s="13" t="n"/>
      <c r="E371" s="13" t="n"/>
      <c r="F371" s="18" t="n"/>
      <c r="G371" s="18" t="n"/>
      <c r="H371" s="18" t="n"/>
      <c r="I371" s="18" t="n"/>
      <c r="J371" s="18" t="n"/>
      <c r="K371" s="14" t="n"/>
      <c r="L371" s="19">
        <f>IF($B371="","",ROUND(SUMIF(订单明细!$C:$C,$B371,订单明细!$I:$I),2))</f>
        <v/>
      </c>
      <c r="M371" s="19">
        <f>IF($B371="","",ROUND(N($K371)+N($L371),2))</f>
        <v/>
      </c>
      <c r="N371" s="14" t="n"/>
      <c r="O371" s="19">
        <f>IF($B371="","",ROUND(N($N371)+SUMIFS(资金日记账!$J$4:$J$2503,资金日记账!$G$4:$G$2503,$B371,资金日记账!$F$4:$F$2503,"收款-项目")-SUMIFS(资金日记账!$K$4:$K$2503,资金日记账!$G$4:$G$2503,$B371,资金日记账!$F$4:$F$2503,"收款-项目"),2))</f>
        <v/>
      </c>
      <c r="P371" s="19">
        <f>IF($B371="","",ROUND($M371-$O371,2))</f>
        <v/>
      </c>
      <c r="Q371" s="17">
        <f>IF($B371="","",IF(AND($J371&lt;&gt;"",ROUND($P371,2)&lt;=0),"已完工·已结清",IF($J371&lt;&gt;"","已完工·还有尾款",IF($I371&lt;&gt;"","已安装",IF($H371&lt;&gt;"","已制作",IF($G371&lt;&gt;"","设计完成","已下单"))))))</f>
        <v/>
      </c>
      <c r="R371" s="13" t="n"/>
      <c r="S371" s="17">
        <f>IF($B371="","",IF(COUNTIF($B$4:$B$403,$B371)&gt;1,"※项目名重复了",IF(AND($C371&lt;&gt;"",ISNA(MATCH($C371,客户表,0))),"※客户不在基础资料里",IF(AND($J371&lt;&gt;"",$F371&lt;&gt;"",$J371&lt;$F371),"※完工日期早于下单日期",""))))</f>
        <v/>
      </c>
    </row>
    <row r="372">
      <c r="A372" s="17">
        <f>IF($B372="","","P"&amp;TEXT(ROW()-3,"000"))</f>
        <v/>
      </c>
      <c r="B372" s="13" t="n"/>
      <c r="C372" s="13" t="n"/>
      <c r="D372" s="13" t="n"/>
      <c r="E372" s="13" t="n"/>
      <c r="F372" s="18" t="n"/>
      <c r="G372" s="18" t="n"/>
      <c r="H372" s="18" t="n"/>
      <c r="I372" s="18" t="n"/>
      <c r="J372" s="18" t="n"/>
      <c r="K372" s="14" t="n"/>
      <c r="L372" s="19">
        <f>IF($B372="","",ROUND(SUMIF(订单明细!$C:$C,$B372,订单明细!$I:$I),2))</f>
        <v/>
      </c>
      <c r="M372" s="19">
        <f>IF($B372="","",ROUND(N($K372)+N($L372),2))</f>
        <v/>
      </c>
      <c r="N372" s="14" t="n"/>
      <c r="O372" s="19">
        <f>IF($B372="","",ROUND(N($N372)+SUMIFS(资金日记账!$J$4:$J$2503,资金日记账!$G$4:$G$2503,$B372,资金日记账!$F$4:$F$2503,"收款-项目")-SUMIFS(资金日记账!$K$4:$K$2503,资金日记账!$G$4:$G$2503,$B372,资金日记账!$F$4:$F$2503,"收款-项目"),2))</f>
        <v/>
      </c>
      <c r="P372" s="19">
        <f>IF($B372="","",ROUND($M372-$O372,2))</f>
        <v/>
      </c>
      <c r="Q372" s="17">
        <f>IF($B372="","",IF(AND($J372&lt;&gt;"",ROUND($P372,2)&lt;=0),"已完工·已结清",IF($J372&lt;&gt;"","已完工·还有尾款",IF($I372&lt;&gt;"","已安装",IF($H372&lt;&gt;"","已制作",IF($G372&lt;&gt;"","设计完成","已下单"))))))</f>
        <v/>
      </c>
      <c r="R372" s="13" t="n"/>
      <c r="S372" s="17">
        <f>IF($B372="","",IF(COUNTIF($B$4:$B$403,$B372)&gt;1,"※项目名重复了",IF(AND($C372&lt;&gt;"",ISNA(MATCH($C372,客户表,0))),"※客户不在基础资料里",IF(AND($J372&lt;&gt;"",$F372&lt;&gt;"",$J372&lt;$F372),"※完工日期早于下单日期",""))))</f>
        <v/>
      </c>
    </row>
    <row r="373">
      <c r="A373" s="17">
        <f>IF($B373="","","P"&amp;TEXT(ROW()-3,"000"))</f>
        <v/>
      </c>
      <c r="B373" s="13" t="n"/>
      <c r="C373" s="13" t="n"/>
      <c r="D373" s="13" t="n"/>
      <c r="E373" s="13" t="n"/>
      <c r="F373" s="18" t="n"/>
      <c r="G373" s="18" t="n"/>
      <c r="H373" s="18" t="n"/>
      <c r="I373" s="18" t="n"/>
      <c r="J373" s="18" t="n"/>
      <c r="K373" s="14" t="n"/>
      <c r="L373" s="19">
        <f>IF($B373="","",ROUND(SUMIF(订单明细!$C:$C,$B373,订单明细!$I:$I),2))</f>
        <v/>
      </c>
      <c r="M373" s="19">
        <f>IF($B373="","",ROUND(N($K373)+N($L373),2))</f>
        <v/>
      </c>
      <c r="N373" s="14" t="n"/>
      <c r="O373" s="19">
        <f>IF($B373="","",ROUND(N($N373)+SUMIFS(资金日记账!$J$4:$J$2503,资金日记账!$G$4:$G$2503,$B373,资金日记账!$F$4:$F$2503,"收款-项目")-SUMIFS(资金日记账!$K$4:$K$2503,资金日记账!$G$4:$G$2503,$B373,资金日记账!$F$4:$F$2503,"收款-项目"),2))</f>
        <v/>
      </c>
      <c r="P373" s="19">
        <f>IF($B373="","",ROUND($M373-$O373,2))</f>
        <v/>
      </c>
      <c r="Q373" s="17">
        <f>IF($B373="","",IF(AND($J373&lt;&gt;"",ROUND($P373,2)&lt;=0),"已完工·已结清",IF($J373&lt;&gt;"","已完工·还有尾款",IF($I373&lt;&gt;"","已安装",IF($H373&lt;&gt;"","已制作",IF($G373&lt;&gt;"","设计完成","已下单"))))))</f>
        <v/>
      </c>
      <c r="R373" s="13" t="n"/>
      <c r="S373" s="17">
        <f>IF($B373="","",IF(COUNTIF($B$4:$B$403,$B373)&gt;1,"※项目名重复了",IF(AND($C373&lt;&gt;"",ISNA(MATCH($C373,客户表,0))),"※客户不在基础资料里",IF(AND($J373&lt;&gt;"",$F373&lt;&gt;"",$J373&lt;$F373),"※完工日期早于下单日期",""))))</f>
        <v/>
      </c>
    </row>
    <row r="374">
      <c r="A374" s="17">
        <f>IF($B374="","","P"&amp;TEXT(ROW()-3,"000"))</f>
        <v/>
      </c>
      <c r="B374" s="13" t="n"/>
      <c r="C374" s="13" t="n"/>
      <c r="D374" s="13" t="n"/>
      <c r="E374" s="13" t="n"/>
      <c r="F374" s="18" t="n"/>
      <c r="G374" s="18" t="n"/>
      <c r="H374" s="18" t="n"/>
      <c r="I374" s="18" t="n"/>
      <c r="J374" s="18" t="n"/>
      <c r="K374" s="14" t="n"/>
      <c r="L374" s="19">
        <f>IF($B374="","",ROUND(SUMIF(订单明细!$C:$C,$B374,订单明细!$I:$I),2))</f>
        <v/>
      </c>
      <c r="M374" s="19">
        <f>IF($B374="","",ROUND(N($K374)+N($L374),2))</f>
        <v/>
      </c>
      <c r="N374" s="14" t="n"/>
      <c r="O374" s="19">
        <f>IF($B374="","",ROUND(N($N374)+SUMIFS(资金日记账!$J$4:$J$2503,资金日记账!$G$4:$G$2503,$B374,资金日记账!$F$4:$F$2503,"收款-项目")-SUMIFS(资金日记账!$K$4:$K$2503,资金日记账!$G$4:$G$2503,$B374,资金日记账!$F$4:$F$2503,"收款-项目"),2))</f>
        <v/>
      </c>
      <c r="P374" s="19">
        <f>IF($B374="","",ROUND($M374-$O374,2))</f>
        <v/>
      </c>
      <c r="Q374" s="17">
        <f>IF($B374="","",IF(AND($J374&lt;&gt;"",ROUND($P374,2)&lt;=0),"已完工·已结清",IF($J374&lt;&gt;"","已完工·还有尾款",IF($I374&lt;&gt;"","已安装",IF($H374&lt;&gt;"","已制作",IF($G374&lt;&gt;"","设计完成","已下单"))))))</f>
        <v/>
      </c>
      <c r="R374" s="13" t="n"/>
      <c r="S374" s="17">
        <f>IF($B374="","",IF(COUNTIF($B$4:$B$403,$B374)&gt;1,"※项目名重复了",IF(AND($C374&lt;&gt;"",ISNA(MATCH($C374,客户表,0))),"※客户不在基础资料里",IF(AND($J374&lt;&gt;"",$F374&lt;&gt;"",$J374&lt;$F374),"※完工日期早于下单日期",""))))</f>
        <v/>
      </c>
    </row>
    <row r="375">
      <c r="A375" s="17">
        <f>IF($B375="","","P"&amp;TEXT(ROW()-3,"000"))</f>
        <v/>
      </c>
      <c r="B375" s="13" t="n"/>
      <c r="C375" s="13" t="n"/>
      <c r="D375" s="13" t="n"/>
      <c r="E375" s="13" t="n"/>
      <c r="F375" s="18" t="n"/>
      <c r="G375" s="18" t="n"/>
      <c r="H375" s="18" t="n"/>
      <c r="I375" s="18" t="n"/>
      <c r="J375" s="18" t="n"/>
      <c r="K375" s="14" t="n"/>
      <c r="L375" s="19">
        <f>IF($B375="","",ROUND(SUMIF(订单明细!$C:$C,$B375,订单明细!$I:$I),2))</f>
        <v/>
      </c>
      <c r="M375" s="19">
        <f>IF($B375="","",ROUND(N($K375)+N($L375),2))</f>
        <v/>
      </c>
      <c r="N375" s="14" t="n"/>
      <c r="O375" s="19">
        <f>IF($B375="","",ROUND(N($N375)+SUMIFS(资金日记账!$J$4:$J$2503,资金日记账!$G$4:$G$2503,$B375,资金日记账!$F$4:$F$2503,"收款-项目")-SUMIFS(资金日记账!$K$4:$K$2503,资金日记账!$G$4:$G$2503,$B375,资金日记账!$F$4:$F$2503,"收款-项目"),2))</f>
        <v/>
      </c>
      <c r="P375" s="19">
        <f>IF($B375="","",ROUND($M375-$O375,2))</f>
        <v/>
      </c>
      <c r="Q375" s="17">
        <f>IF($B375="","",IF(AND($J375&lt;&gt;"",ROUND($P375,2)&lt;=0),"已完工·已结清",IF($J375&lt;&gt;"","已完工·还有尾款",IF($I375&lt;&gt;"","已安装",IF($H375&lt;&gt;"","已制作",IF($G375&lt;&gt;"","设计完成","已下单"))))))</f>
        <v/>
      </c>
      <c r="R375" s="13" t="n"/>
      <c r="S375" s="17">
        <f>IF($B375="","",IF(COUNTIF($B$4:$B$403,$B375)&gt;1,"※项目名重复了",IF(AND($C375&lt;&gt;"",ISNA(MATCH($C375,客户表,0))),"※客户不在基础资料里",IF(AND($J375&lt;&gt;"",$F375&lt;&gt;"",$J375&lt;$F375),"※完工日期早于下单日期",""))))</f>
        <v/>
      </c>
    </row>
    <row r="376">
      <c r="A376" s="17">
        <f>IF($B376="","","P"&amp;TEXT(ROW()-3,"000"))</f>
        <v/>
      </c>
      <c r="B376" s="13" t="n"/>
      <c r="C376" s="13" t="n"/>
      <c r="D376" s="13" t="n"/>
      <c r="E376" s="13" t="n"/>
      <c r="F376" s="18" t="n"/>
      <c r="G376" s="18" t="n"/>
      <c r="H376" s="18" t="n"/>
      <c r="I376" s="18" t="n"/>
      <c r="J376" s="18" t="n"/>
      <c r="K376" s="14" t="n"/>
      <c r="L376" s="19">
        <f>IF($B376="","",ROUND(SUMIF(订单明细!$C:$C,$B376,订单明细!$I:$I),2))</f>
        <v/>
      </c>
      <c r="M376" s="19">
        <f>IF($B376="","",ROUND(N($K376)+N($L376),2))</f>
        <v/>
      </c>
      <c r="N376" s="14" t="n"/>
      <c r="O376" s="19">
        <f>IF($B376="","",ROUND(N($N376)+SUMIFS(资金日记账!$J$4:$J$2503,资金日记账!$G$4:$G$2503,$B376,资金日记账!$F$4:$F$2503,"收款-项目")-SUMIFS(资金日记账!$K$4:$K$2503,资金日记账!$G$4:$G$2503,$B376,资金日记账!$F$4:$F$2503,"收款-项目"),2))</f>
        <v/>
      </c>
      <c r="P376" s="19">
        <f>IF($B376="","",ROUND($M376-$O376,2))</f>
        <v/>
      </c>
      <c r="Q376" s="17">
        <f>IF($B376="","",IF(AND($J376&lt;&gt;"",ROUND($P376,2)&lt;=0),"已完工·已结清",IF($J376&lt;&gt;"","已完工·还有尾款",IF($I376&lt;&gt;"","已安装",IF($H376&lt;&gt;"","已制作",IF($G376&lt;&gt;"","设计完成","已下单"))))))</f>
        <v/>
      </c>
      <c r="R376" s="13" t="n"/>
      <c r="S376" s="17">
        <f>IF($B376="","",IF(COUNTIF($B$4:$B$403,$B376)&gt;1,"※项目名重复了",IF(AND($C376&lt;&gt;"",ISNA(MATCH($C376,客户表,0))),"※客户不在基础资料里",IF(AND($J376&lt;&gt;"",$F376&lt;&gt;"",$J376&lt;$F376),"※完工日期早于下单日期",""))))</f>
        <v/>
      </c>
    </row>
    <row r="377">
      <c r="A377" s="17">
        <f>IF($B377="","","P"&amp;TEXT(ROW()-3,"000"))</f>
        <v/>
      </c>
      <c r="B377" s="13" t="n"/>
      <c r="C377" s="13" t="n"/>
      <c r="D377" s="13" t="n"/>
      <c r="E377" s="13" t="n"/>
      <c r="F377" s="18" t="n"/>
      <c r="G377" s="18" t="n"/>
      <c r="H377" s="18" t="n"/>
      <c r="I377" s="18" t="n"/>
      <c r="J377" s="18" t="n"/>
      <c r="K377" s="14" t="n"/>
      <c r="L377" s="19">
        <f>IF($B377="","",ROUND(SUMIF(订单明细!$C:$C,$B377,订单明细!$I:$I),2))</f>
        <v/>
      </c>
      <c r="M377" s="19">
        <f>IF($B377="","",ROUND(N($K377)+N($L377),2))</f>
        <v/>
      </c>
      <c r="N377" s="14" t="n"/>
      <c r="O377" s="19">
        <f>IF($B377="","",ROUND(N($N377)+SUMIFS(资金日记账!$J$4:$J$2503,资金日记账!$G$4:$G$2503,$B377,资金日记账!$F$4:$F$2503,"收款-项目")-SUMIFS(资金日记账!$K$4:$K$2503,资金日记账!$G$4:$G$2503,$B377,资金日记账!$F$4:$F$2503,"收款-项目"),2))</f>
        <v/>
      </c>
      <c r="P377" s="19">
        <f>IF($B377="","",ROUND($M377-$O377,2))</f>
        <v/>
      </c>
      <c r="Q377" s="17">
        <f>IF($B377="","",IF(AND($J377&lt;&gt;"",ROUND($P377,2)&lt;=0),"已完工·已结清",IF($J377&lt;&gt;"","已完工·还有尾款",IF($I377&lt;&gt;"","已安装",IF($H377&lt;&gt;"","已制作",IF($G377&lt;&gt;"","设计完成","已下单"))))))</f>
        <v/>
      </c>
      <c r="R377" s="13" t="n"/>
      <c r="S377" s="17">
        <f>IF($B377="","",IF(COUNTIF($B$4:$B$403,$B377)&gt;1,"※项目名重复了",IF(AND($C377&lt;&gt;"",ISNA(MATCH($C377,客户表,0))),"※客户不在基础资料里",IF(AND($J377&lt;&gt;"",$F377&lt;&gt;"",$J377&lt;$F377),"※完工日期早于下单日期",""))))</f>
        <v/>
      </c>
    </row>
    <row r="378">
      <c r="A378" s="17">
        <f>IF($B378="","","P"&amp;TEXT(ROW()-3,"000"))</f>
        <v/>
      </c>
      <c r="B378" s="13" t="n"/>
      <c r="C378" s="13" t="n"/>
      <c r="D378" s="13" t="n"/>
      <c r="E378" s="13" t="n"/>
      <c r="F378" s="18" t="n"/>
      <c r="G378" s="18" t="n"/>
      <c r="H378" s="18" t="n"/>
      <c r="I378" s="18" t="n"/>
      <c r="J378" s="18" t="n"/>
      <c r="K378" s="14" t="n"/>
      <c r="L378" s="19">
        <f>IF($B378="","",ROUND(SUMIF(订单明细!$C:$C,$B378,订单明细!$I:$I),2))</f>
        <v/>
      </c>
      <c r="M378" s="19">
        <f>IF($B378="","",ROUND(N($K378)+N($L378),2))</f>
        <v/>
      </c>
      <c r="N378" s="14" t="n"/>
      <c r="O378" s="19">
        <f>IF($B378="","",ROUND(N($N378)+SUMIFS(资金日记账!$J$4:$J$2503,资金日记账!$G$4:$G$2503,$B378,资金日记账!$F$4:$F$2503,"收款-项目")-SUMIFS(资金日记账!$K$4:$K$2503,资金日记账!$G$4:$G$2503,$B378,资金日记账!$F$4:$F$2503,"收款-项目"),2))</f>
        <v/>
      </c>
      <c r="P378" s="19">
        <f>IF($B378="","",ROUND($M378-$O378,2))</f>
        <v/>
      </c>
      <c r="Q378" s="17">
        <f>IF($B378="","",IF(AND($J378&lt;&gt;"",ROUND($P378,2)&lt;=0),"已完工·已结清",IF($J378&lt;&gt;"","已完工·还有尾款",IF($I378&lt;&gt;"","已安装",IF($H378&lt;&gt;"","已制作",IF($G378&lt;&gt;"","设计完成","已下单"))))))</f>
        <v/>
      </c>
      <c r="R378" s="13" t="n"/>
      <c r="S378" s="17">
        <f>IF($B378="","",IF(COUNTIF($B$4:$B$403,$B378)&gt;1,"※项目名重复了",IF(AND($C378&lt;&gt;"",ISNA(MATCH($C378,客户表,0))),"※客户不在基础资料里",IF(AND($J378&lt;&gt;"",$F378&lt;&gt;"",$J378&lt;$F378),"※完工日期早于下单日期",""))))</f>
        <v/>
      </c>
    </row>
    <row r="379">
      <c r="A379" s="17">
        <f>IF($B379="","","P"&amp;TEXT(ROW()-3,"000"))</f>
        <v/>
      </c>
      <c r="B379" s="13" t="n"/>
      <c r="C379" s="13" t="n"/>
      <c r="D379" s="13" t="n"/>
      <c r="E379" s="13" t="n"/>
      <c r="F379" s="18" t="n"/>
      <c r="G379" s="18" t="n"/>
      <c r="H379" s="18" t="n"/>
      <c r="I379" s="18" t="n"/>
      <c r="J379" s="18" t="n"/>
      <c r="K379" s="14" t="n"/>
      <c r="L379" s="19">
        <f>IF($B379="","",ROUND(SUMIF(订单明细!$C:$C,$B379,订单明细!$I:$I),2))</f>
        <v/>
      </c>
      <c r="M379" s="19">
        <f>IF($B379="","",ROUND(N($K379)+N($L379),2))</f>
        <v/>
      </c>
      <c r="N379" s="14" t="n"/>
      <c r="O379" s="19">
        <f>IF($B379="","",ROUND(N($N379)+SUMIFS(资金日记账!$J$4:$J$2503,资金日记账!$G$4:$G$2503,$B379,资金日记账!$F$4:$F$2503,"收款-项目")-SUMIFS(资金日记账!$K$4:$K$2503,资金日记账!$G$4:$G$2503,$B379,资金日记账!$F$4:$F$2503,"收款-项目"),2))</f>
        <v/>
      </c>
      <c r="P379" s="19">
        <f>IF($B379="","",ROUND($M379-$O379,2))</f>
        <v/>
      </c>
      <c r="Q379" s="17">
        <f>IF($B379="","",IF(AND($J379&lt;&gt;"",ROUND($P379,2)&lt;=0),"已完工·已结清",IF($J379&lt;&gt;"","已完工·还有尾款",IF($I379&lt;&gt;"","已安装",IF($H379&lt;&gt;"","已制作",IF($G379&lt;&gt;"","设计完成","已下单"))))))</f>
        <v/>
      </c>
      <c r="R379" s="13" t="n"/>
      <c r="S379" s="17">
        <f>IF($B379="","",IF(COUNTIF($B$4:$B$403,$B379)&gt;1,"※项目名重复了",IF(AND($C379&lt;&gt;"",ISNA(MATCH($C379,客户表,0))),"※客户不在基础资料里",IF(AND($J379&lt;&gt;"",$F379&lt;&gt;"",$J379&lt;$F379),"※完工日期早于下单日期",""))))</f>
        <v/>
      </c>
    </row>
    <row r="380">
      <c r="A380" s="17">
        <f>IF($B380="","","P"&amp;TEXT(ROW()-3,"000"))</f>
        <v/>
      </c>
      <c r="B380" s="13" t="n"/>
      <c r="C380" s="13" t="n"/>
      <c r="D380" s="13" t="n"/>
      <c r="E380" s="13" t="n"/>
      <c r="F380" s="18" t="n"/>
      <c r="G380" s="18" t="n"/>
      <c r="H380" s="18" t="n"/>
      <c r="I380" s="18" t="n"/>
      <c r="J380" s="18" t="n"/>
      <c r="K380" s="14" t="n"/>
      <c r="L380" s="19">
        <f>IF($B380="","",ROUND(SUMIF(订单明细!$C:$C,$B380,订单明细!$I:$I),2))</f>
        <v/>
      </c>
      <c r="M380" s="19">
        <f>IF($B380="","",ROUND(N($K380)+N($L380),2))</f>
        <v/>
      </c>
      <c r="N380" s="14" t="n"/>
      <c r="O380" s="19">
        <f>IF($B380="","",ROUND(N($N380)+SUMIFS(资金日记账!$J$4:$J$2503,资金日记账!$G$4:$G$2503,$B380,资金日记账!$F$4:$F$2503,"收款-项目")-SUMIFS(资金日记账!$K$4:$K$2503,资金日记账!$G$4:$G$2503,$B380,资金日记账!$F$4:$F$2503,"收款-项目"),2))</f>
        <v/>
      </c>
      <c r="P380" s="19">
        <f>IF($B380="","",ROUND($M380-$O380,2))</f>
        <v/>
      </c>
      <c r="Q380" s="17">
        <f>IF($B380="","",IF(AND($J380&lt;&gt;"",ROUND($P380,2)&lt;=0),"已完工·已结清",IF($J380&lt;&gt;"","已完工·还有尾款",IF($I380&lt;&gt;"","已安装",IF($H380&lt;&gt;"","已制作",IF($G380&lt;&gt;"","设计完成","已下单"))))))</f>
        <v/>
      </c>
      <c r="R380" s="13" t="n"/>
      <c r="S380" s="17">
        <f>IF($B380="","",IF(COUNTIF($B$4:$B$403,$B380)&gt;1,"※项目名重复了",IF(AND($C380&lt;&gt;"",ISNA(MATCH($C380,客户表,0))),"※客户不在基础资料里",IF(AND($J380&lt;&gt;"",$F380&lt;&gt;"",$J380&lt;$F380),"※完工日期早于下单日期",""))))</f>
        <v/>
      </c>
    </row>
    <row r="381">
      <c r="A381" s="17">
        <f>IF($B381="","","P"&amp;TEXT(ROW()-3,"000"))</f>
        <v/>
      </c>
      <c r="B381" s="13" t="n"/>
      <c r="C381" s="13" t="n"/>
      <c r="D381" s="13" t="n"/>
      <c r="E381" s="13" t="n"/>
      <c r="F381" s="18" t="n"/>
      <c r="G381" s="18" t="n"/>
      <c r="H381" s="18" t="n"/>
      <c r="I381" s="18" t="n"/>
      <c r="J381" s="18" t="n"/>
      <c r="K381" s="14" t="n"/>
      <c r="L381" s="19">
        <f>IF($B381="","",ROUND(SUMIF(订单明细!$C:$C,$B381,订单明细!$I:$I),2))</f>
        <v/>
      </c>
      <c r="M381" s="19">
        <f>IF($B381="","",ROUND(N($K381)+N($L381),2))</f>
        <v/>
      </c>
      <c r="N381" s="14" t="n"/>
      <c r="O381" s="19">
        <f>IF($B381="","",ROUND(N($N381)+SUMIFS(资金日记账!$J$4:$J$2503,资金日记账!$G$4:$G$2503,$B381,资金日记账!$F$4:$F$2503,"收款-项目")-SUMIFS(资金日记账!$K$4:$K$2503,资金日记账!$G$4:$G$2503,$B381,资金日记账!$F$4:$F$2503,"收款-项目"),2))</f>
        <v/>
      </c>
      <c r="P381" s="19">
        <f>IF($B381="","",ROUND($M381-$O381,2))</f>
        <v/>
      </c>
      <c r="Q381" s="17">
        <f>IF($B381="","",IF(AND($J381&lt;&gt;"",ROUND($P381,2)&lt;=0),"已完工·已结清",IF($J381&lt;&gt;"","已完工·还有尾款",IF($I381&lt;&gt;"","已安装",IF($H381&lt;&gt;"","已制作",IF($G381&lt;&gt;"","设计完成","已下单"))))))</f>
        <v/>
      </c>
      <c r="R381" s="13" t="n"/>
      <c r="S381" s="17">
        <f>IF($B381="","",IF(COUNTIF($B$4:$B$403,$B381)&gt;1,"※项目名重复了",IF(AND($C381&lt;&gt;"",ISNA(MATCH($C381,客户表,0))),"※客户不在基础资料里",IF(AND($J381&lt;&gt;"",$F381&lt;&gt;"",$J381&lt;$F381),"※完工日期早于下单日期",""))))</f>
        <v/>
      </c>
    </row>
    <row r="382">
      <c r="A382" s="17">
        <f>IF($B382="","","P"&amp;TEXT(ROW()-3,"000"))</f>
        <v/>
      </c>
      <c r="B382" s="13" t="n"/>
      <c r="C382" s="13" t="n"/>
      <c r="D382" s="13" t="n"/>
      <c r="E382" s="13" t="n"/>
      <c r="F382" s="18" t="n"/>
      <c r="G382" s="18" t="n"/>
      <c r="H382" s="18" t="n"/>
      <c r="I382" s="18" t="n"/>
      <c r="J382" s="18" t="n"/>
      <c r="K382" s="14" t="n"/>
      <c r="L382" s="19">
        <f>IF($B382="","",ROUND(SUMIF(订单明细!$C:$C,$B382,订单明细!$I:$I),2))</f>
        <v/>
      </c>
      <c r="M382" s="19">
        <f>IF($B382="","",ROUND(N($K382)+N($L382),2))</f>
        <v/>
      </c>
      <c r="N382" s="14" t="n"/>
      <c r="O382" s="19">
        <f>IF($B382="","",ROUND(N($N382)+SUMIFS(资金日记账!$J$4:$J$2503,资金日记账!$G$4:$G$2503,$B382,资金日记账!$F$4:$F$2503,"收款-项目")-SUMIFS(资金日记账!$K$4:$K$2503,资金日记账!$G$4:$G$2503,$B382,资金日记账!$F$4:$F$2503,"收款-项目"),2))</f>
        <v/>
      </c>
      <c r="P382" s="19">
        <f>IF($B382="","",ROUND($M382-$O382,2))</f>
        <v/>
      </c>
      <c r="Q382" s="17">
        <f>IF($B382="","",IF(AND($J382&lt;&gt;"",ROUND($P382,2)&lt;=0),"已完工·已结清",IF($J382&lt;&gt;"","已完工·还有尾款",IF($I382&lt;&gt;"","已安装",IF($H382&lt;&gt;"","已制作",IF($G382&lt;&gt;"","设计完成","已下单"))))))</f>
        <v/>
      </c>
      <c r="R382" s="13" t="n"/>
      <c r="S382" s="17">
        <f>IF($B382="","",IF(COUNTIF($B$4:$B$403,$B382)&gt;1,"※项目名重复了",IF(AND($C382&lt;&gt;"",ISNA(MATCH($C382,客户表,0))),"※客户不在基础资料里",IF(AND($J382&lt;&gt;"",$F382&lt;&gt;"",$J382&lt;$F382),"※完工日期早于下单日期",""))))</f>
        <v/>
      </c>
    </row>
    <row r="383">
      <c r="A383" s="17">
        <f>IF($B383="","","P"&amp;TEXT(ROW()-3,"000"))</f>
        <v/>
      </c>
      <c r="B383" s="13" t="n"/>
      <c r="C383" s="13" t="n"/>
      <c r="D383" s="13" t="n"/>
      <c r="E383" s="13" t="n"/>
      <c r="F383" s="18" t="n"/>
      <c r="G383" s="18" t="n"/>
      <c r="H383" s="18" t="n"/>
      <c r="I383" s="18" t="n"/>
      <c r="J383" s="18" t="n"/>
      <c r="K383" s="14" t="n"/>
      <c r="L383" s="19">
        <f>IF($B383="","",ROUND(SUMIF(订单明细!$C:$C,$B383,订单明细!$I:$I),2))</f>
        <v/>
      </c>
      <c r="M383" s="19">
        <f>IF($B383="","",ROUND(N($K383)+N($L383),2))</f>
        <v/>
      </c>
      <c r="N383" s="14" t="n"/>
      <c r="O383" s="19">
        <f>IF($B383="","",ROUND(N($N383)+SUMIFS(资金日记账!$J$4:$J$2503,资金日记账!$G$4:$G$2503,$B383,资金日记账!$F$4:$F$2503,"收款-项目")-SUMIFS(资金日记账!$K$4:$K$2503,资金日记账!$G$4:$G$2503,$B383,资金日记账!$F$4:$F$2503,"收款-项目"),2))</f>
        <v/>
      </c>
      <c r="P383" s="19">
        <f>IF($B383="","",ROUND($M383-$O383,2))</f>
        <v/>
      </c>
      <c r="Q383" s="17">
        <f>IF($B383="","",IF(AND($J383&lt;&gt;"",ROUND($P383,2)&lt;=0),"已完工·已结清",IF($J383&lt;&gt;"","已完工·还有尾款",IF($I383&lt;&gt;"","已安装",IF($H383&lt;&gt;"","已制作",IF($G383&lt;&gt;"","设计完成","已下单"))))))</f>
        <v/>
      </c>
      <c r="R383" s="13" t="n"/>
      <c r="S383" s="17">
        <f>IF($B383="","",IF(COUNTIF($B$4:$B$403,$B383)&gt;1,"※项目名重复了",IF(AND($C383&lt;&gt;"",ISNA(MATCH($C383,客户表,0))),"※客户不在基础资料里",IF(AND($J383&lt;&gt;"",$F383&lt;&gt;"",$J383&lt;$F383),"※完工日期早于下单日期",""))))</f>
        <v/>
      </c>
    </row>
    <row r="384">
      <c r="A384" s="17">
        <f>IF($B384="","","P"&amp;TEXT(ROW()-3,"000"))</f>
        <v/>
      </c>
      <c r="B384" s="13" t="n"/>
      <c r="C384" s="13" t="n"/>
      <c r="D384" s="13" t="n"/>
      <c r="E384" s="13" t="n"/>
      <c r="F384" s="18" t="n"/>
      <c r="G384" s="18" t="n"/>
      <c r="H384" s="18" t="n"/>
      <c r="I384" s="18" t="n"/>
      <c r="J384" s="18" t="n"/>
      <c r="K384" s="14" t="n"/>
      <c r="L384" s="19">
        <f>IF($B384="","",ROUND(SUMIF(订单明细!$C:$C,$B384,订单明细!$I:$I),2))</f>
        <v/>
      </c>
      <c r="M384" s="19">
        <f>IF($B384="","",ROUND(N($K384)+N($L384),2))</f>
        <v/>
      </c>
      <c r="N384" s="14" t="n"/>
      <c r="O384" s="19">
        <f>IF($B384="","",ROUND(N($N384)+SUMIFS(资金日记账!$J$4:$J$2503,资金日记账!$G$4:$G$2503,$B384,资金日记账!$F$4:$F$2503,"收款-项目")-SUMIFS(资金日记账!$K$4:$K$2503,资金日记账!$G$4:$G$2503,$B384,资金日记账!$F$4:$F$2503,"收款-项目"),2))</f>
        <v/>
      </c>
      <c r="P384" s="19">
        <f>IF($B384="","",ROUND($M384-$O384,2))</f>
        <v/>
      </c>
      <c r="Q384" s="17">
        <f>IF($B384="","",IF(AND($J384&lt;&gt;"",ROUND($P384,2)&lt;=0),"已完工·已结清",IF($J384&lt;&gt;"","已完工·还有尾款",IF($I384&lt;&gt;"","已安装",IF($H384&lt;&gt;"","已制作",IF($G384&lt;&gt;"","设计完成","已下单"))))))</f>
        <v/>
      </c>
      <c r="R384" s="13" t="n"/>
      <c r="S384" s="17">
        <f>IF($B384="","",IF(COUNTIF($B$4:$B$403,$B384)&gt;1,"※项目名重复了",IF(AND($C384&lt;&gt;"",ISNA(MATCH($C384,客户表,0))),"※客户不在基础资料里",IF(AND($J384&lt;&gt;"",$F384&lt;&gt;"",$J384&lt;$F384),"※完工日期早于下单日期",""))))</f>
        <v/>
      </c>
    </row>
    <row r="385">
      <c r="A385" s="17">
        <f>IF($B385="","","P"&amp;TEXT(ROW()-3,"000"))</f>
        <v/>
      </c>
      <c r="B385" s="13" t="n"/>
      <c r="C385" s="13" t="n"/>
      <c r="D385" s="13" t="n"/>
      <c r="E385" s="13" t="n"/>
      <c r="F385" s="18" t="n"/>
      <c r="G385" s="18" t="n"/>
      <c r="H385" s="18" t="n"/>
      <c r="I385" s="18" t="n"/>
      <c r="J385" s="18" t="n"/>
      <c r="K385" s="14" t="n"/>
      <c r="L385" s="19">
        <f>IF($B385="","",ROUND(SUMIF(订单明细!$C:$C,$B385,订单明细!$I:$I),2))</f>
        <v/>
      </c>
      <c r="M385" s="19">
        <f>IF($B385="","",ROUND(N($K385)+N($L385),2))</f>
        <v/>
      </c>
      <c r="N385" s="14" t="n"/>
      <c r="O385" s="19">
        <f>IF($B385="","",ROUND(N($N385)+SUMIFS(资金日记账!$J$4:$J$2503,资金日记账!$G$4:$G$2503,$B385,资金日记账!$F$4:$F$2503,"收款-项目")-SUMIFS(资金日记账!$K$4:$K$2503,资金日记账!$G$4:$G$2503,$B385,资金日记账!$F$4:$F$2503,"收款-项目"),2))</f>
        <v/>
      </c>
      <c r="P385" s="19">
        <f>IF($B385="","",ROUND($M385-$O385,2))</f>
        <v/>
      </c>
      <c r="Q385" s="17">
        <f>IF($B385="","",IF(AND($J385&lt;&gt;"",ROUND($P385,2)&lt;=0),"已完工·已结清",IF($J385&lt;&gt;"","已完工·还有尾款",IF($I385&lt;&gt;"","已安装",IF($H385&lt;&gt;"","已制作",IF($G385&lt;&gt;"","设计完成","已下单"))))))</f>
        <v/>
      </c>
      <c r="R385" s="13" t="n"/>
      <c r="S385" s="17">
        <f>IF($B385="","",IF(COUNTIF($B$4:$B$403,$B385)&gt;1,"※项目名重复了",IF(AND($C385&lt;&gt;"",ISNA(MATCH($C385,客户表,0))),"※客户不在基础资料里",IF(AND($J385&lt;&gt;"",$F385&lt;&gt;"",$J385&lt;$F385),"※完工日期早于下单日期",""))))</f>
        <v/>
      </c>
    </row>
    <row r="386">
      <c r="A386" s="17">
        <f>IF($B386="","","P"&amp;TEXT(ROW()-3,"000"))</f>
        <v/>
      </c>
      <c r="B386" s="13" t="n"/>
      <c r="C386" s="13" t="n"/>
      <c r="D386" s="13" t="n"/>
      <c r="E386" s="13" t="n"/>
      <c r="F386" s="18" t="n"/>
      <c r="G386" s="18" t="n"/>
      <c r="H386" s="18" t="n"/>
      <c r="I386" s="18" t="n"/>
      <c r="J386" s="18" t="n"/>
      <c r="K386" s="14" t="n"/>
      <c r="L386" s="19">
        <f>IF($B386="","",ROUND(SUMIF(订单明细!$C:$C,$B386,订单明细!$I:$I),2))</f>
        <v/>
      </c>
      <c r="M386" s="19">
        <f>IF($B386="","",ROUND(N($K386)+N($L386),2))</f>
        <v/>
      </c>
      <c r="N386" s="14" t="n"/>
      <c r="O386" s="19">
        <f>IF($B386="","",ROUND(N($N386)+SUMIFS(资金日记账!$J$4:$J$2503,资金日记账!$G$4:$G$2503,$B386,资金日记账!$F$4:$F$2503,"收款-项目")-SUMIFS(资金日记账!$K$4:$K$2503,资金日记账!$G$4:$G$2503,$B386,资金日记账!$F$4:$F$2503,"收款-项目"),2))</f>
        <v/>
      </c>
      <c r="P386" s="19">
        <f>IF($B386="","",ROUND($M386-$O386,2))</f>
        <v/>
      </c>
      <c r="Q386" s="17">
        <f>IF($B386="","",IF(AND($J386&lt;&gt;"",ROUND($P386,2)&lt;=0),"已完工·已结清",IF($J386&lt;&gt;"","已完工·还有尾款",IF($I386&lt;&gt;"","已安装",IF($H386&lt;&gt;"","已制作",IF($G386&lt;&gt;"","设计完成","已下单"))))))</f>
        <v/>
      </c>
      <c r="R386" s="13" t="n"/>
      <c r="S386" s="17">
        <f>IF($B386="","",IF(COUNTIF($B$4:$B$403,$B386)&gt;1,"※项目名重复了",IF(AND($C386&lt;&gt;"",ISNA(MATCH($C386,客户表,0))),"※客户不在基础资料里",IF(AND($J386&lt;&gt;"",$F386&lt;&gt;"",$J386&lt;$F386),"※完工日期早于下单日期",""))))</f>
        <v/>
      </c>
    </row>
    <row r="387">
      <c r="A387" s="17">
        <f>IF($B387="","","P"&amp;TEXT(ROW()-3,"000"))</f>
        <v/>
      </c>
      <c r="B387" s="13" t="n"/>
      <c r="C387" s="13" t="n"/>
      <c r="D387" s="13" t="n"/>
      <c r="E387" s="13" t="n"/>
      <c r="F387" s="18" t="n"/>
      <c r="G387" s="18" t="n"/>
      <c r="H387" s="18" t="n"/>
      <c r="I387" s="18" t="n"/>
      <c r="J387" s="18" t="n"/>
      <c r="K387" s="14" t="n"/>
      <c r="L387" s="19">
        <f>IF($B387="","",ROUND(SUMIF(订单明细!$C:$C,$B387,订单明细!$I:$I),2))</f>
        <v/>
      </c>
      <c r="M387" s="19">
        <f>IF($B387="","",ROUND(N($K387)+N($L387),2))</f>
        <v/>
      </c>
      <c r="N387" s="14" t="n"/>
      <c r="O387" s="19">
        <f>IF($B387="","",ROUND(N($N387)+SUMIFS(资金日记账!$J$4:$J$2503,资金日记账!$G$4:$G$2503,$B387,资金日记账!$F$4:$F$2503,"收款-项目")-SUMIFS(资金日记账!$K$4:$K$2503,资金日记账!$G$4:$G$2503,$B387,资金日记账!$F$4:$F$2503,"收款-项目"),2))</f>
        <v/>
      </c>
      <c r="P387" s="19">
        <f>IF($B387="","",ROUND($M387-$O387,2))</f>
        <v/>
      </c>
      <c r="Q387" s="17">
        <f>IF($B387="","",IF(AND($J387&lt;&gt;"",ROUND($P387,2)&lt;=0),"已完工·已结清",IF($J387&lt;&gt;"","已完工·还有尾款",IF($I387&lt;&gt;"","已安装",IF($H387&lt;&gt;"","已制作",IF($G387&lt;&gt;"","设计完成","已下单"))))))</f>
        <v/>
      </c>
      <c r="R387" s="13" t="n"/>
      <c r="S387" s="17">
        <f>IF($B387="","",IF(COUNTIF($B$4:$B$403,$B387)&gt;1,"※项目名重复了",IF(AND($C387&lt;&gt;"",ISNA(MATCH($C387,客户表,0))),"※客户不在基础资料里",IF(AND($J387&lt;&gt;"",$F387&lt;&gt;"",$J387&lt;$F387),"※完工日期早于下单日期",""))))</f>
        <v/>
      </c>
    </row>
    <row r="388">
      <c r="A388" s="17">
        <f>IF($B388="","","P"&amp;TEXT(ROW()-3,"000"))</f>
        <v/>
      </c>
      <c r="B388" s="13" t="n"/>
      <c r="C388" s="13" t="n"/>
      <c r="D388" s="13" t="n"/>
      <c r="E388" s="13" t="n"/>
      <c r="F388" s="18" t="n"/>
      <c r="G388" s="18" t="n"/>
      <c r="H388" s="18" t="n"/>
      <c r="I388" s="18" t="n"/>
      <c r="J388" s="18" t="n"/>
      <c r="K388" s="14" t="n"/>
      <c r="L388" s="19">
        <f>IF($B388="","",ROUND(SUMIF(订单明细!$C:$C,$B388,订单明细!$I:$I),2))</f>
        <v/>
      </c>
      <c r="M388" s="19">
        <f>IF($B388="","",ROUND(N($K388)+N($L388),2))</f>
        <v/>
      </c>
      <c r="N388" s="14" t="n"/>
      <c r="O388" s="19">
        <f>IF($B388="","",ROUND(N($N388)+SUMIFS(资金日记账!$J$4:$J$2503,资金日记账!$G$4:$G$2503,$B388,资金日记账!$F$4:$F$2503,"收款-项目")-SUMIFS(资金日记账!$K$4:$K$2503,资金日记账!$G$4:$G$2503,$B388,资金日记账!$F$4:$F$2503,"收款-项目"),2))</f>
        <v/>
      </c>
      <c r="P388" s="19">
        <f>IF($B388="","",ROUND($M388-$O388,2))</f>
        <v/>
      </c>
      <c r="Q388" s="17">
        <f>IF($B388="","",IF(AND($J388&lt;&gt;"",ROUND($P388,2)&lt;=0),"已完工·已结清",IF($J388&lt;&gt;"","已完工·还有尾款",IF($I388&lt;&gt;"","已安装",IF($H388&lt;&gt;"","已制作",IF($G388&lt;&gt;"","设计完成","已下单"))))))</f>
        <v/>
      </c>
      <c r="R388" s="13" t="n"/>
      <c r="S388" s="17">
        <f>IF($B388="","",IF(COUNTIF($B$4:$B$403,$B388)&gt;1,"※项目名重复了",IF(AND($C388&lt;&gt;"",ISNA(MATCH($C388,客户表,0))),"※客户不在基础资料里",IF(AND($J388&lt;&gt;"",$F388&lt;&gt;"",$J388&lt;$F388),"※完工日期早于下单日期",""))))</f>
        <v/>
      </c>
    </row>
    <row r="389">
      <c r="A389" s="17">
        <f>IF($B389="","","P"&amp;TEXT(ROW()-3,"000"))</f>
        <v/>
      </c>
      <c r="B389" s="13" t="n"/>
      <c r="C389" s="13" t="n"/>
      <c r="D389" s="13" t="n"/>
      <c r="E389" s="13" t="n"/>
      <c r="F389" s="18" t="n"/>
      <c r="G389" s="18" t="n"/>
      <c r="H389" s="18" t="n"/>
      <c r="I389" s="18" t="n"/>
      <c r="J389" s="18" t="n"/>
      <c r="K389" s="14" t="n"/>
      <c r="L389" s="19">
        <f>IF($B389="","",ROUND(SUMIF(订单明细!$C:$C,$B389,订单明细!$I:$I),2))</f>
        <v/>
      </c>
      <c r="M389" s="19">
        <f>IF($B389="","",ROUND(N($K389)+N($L389),2))</f>
        <v/>
      </c>
      <c r="N389" s="14" t="n"/>
      <c r="O389" s="19">
        <f>IF($B389="","",ROUND(N($N389)+SUMIFS(资金日记账!$J$4:$J$2503,资金日记账!$G$4:$G$2503,$B389,资金日记账!$F$4:$F$2503,"收款-项目")-SUMIFS(资金日记账!$K$4:$K$2503,资金日记账!$G$4:$G$2503,$B389,资金日记账!$F$4:$F$2503,"收款-项目"),2))</f>
        <v/>
      </c>
      <c r="P389" s="19">
        <f>IF($B389="","",ROUND($M389-$O389,2))</f>
        <v/>
      </c>
      <c r="Q389" s="17">
        <f>IF($B389="","",IF(AND($J389&lt;&gt;"",ROUND($P389,2)&lt;=0),"已完工·已结清",IF($J389&lt;&gt;"","已完工·还有尾款",IF($I389&lt;&gt;"","已安装",IF($H389&lt;&gt;"","已制作",IF($G389&lt;&gt;"","设计完成","已下单"))))))</f>
        <v/>
      </c>
      <c r="R389" s="13" t="n"/>
      <c r="S389" s="17">
        <f>IF($B389="","",IF(COUNTIF($B$4:$B$403,$B389)&gt;1,"※项目名重复了",IF(AND($C389&lt;&gt;"",ISNA(MATCH($C389,客户表,0))),"※客户不在基础资料里",IF(AND($J389&lt;&gt;"",$F389&lt;&gt;"",$J389&lt;$F389),"※完工日期早于下单日期",""))))</f>
        <v/>
      </c>
    </row>
    <row r="390">
      <c r="A390" s="17">
        <f>IF($B390="","","P"&amp;TEXT(ROW()-3,"000"))</f>
        <v/>
      </c>
      <c r="B390" s="13" t="n"/>
      <c r="C390" s="13" t="n"/>
      <c r="D390" s="13" t="n"/>
      <c r="E390" s="13" t="n"/>
      <c r="F390" s="18" t="n"/>
      <c r="G390" s="18" t="n"/>
      <c r="H390" s="18" t="n"/>
      <c r="I390" s="18" t="n"/>
      <c r="J390" s="18" t="n"/>
      <c r="K390" s="14" t="n"/>
      <c r="L390" s="19">
        <f>IF($B390="","",ROUND(SUMIF(订单明细!$C:$C,$B390,订单明细!$I:$I),2))</f>
        <v/>
      </c>
      <c r="M390" s="19">
        <f>IF($B390="","",ROUND(N($K390)+N($L390),2))</f>
        <v/>
      </c>
      <c r="N390" s="14" t="n"/>
      <c r="O390" s="19">
        <f>IF($B390="","",ROUND(N($N390)+SUMIFS(资金日记账!$J$4:$J$2503,资金日记账!$G$4:$G$2503,$B390,资金日记账!$F$4:$F$2503,"收款-项目")-SUMIFS(资金日记账!$K$4:$K$2503,资金日记账!$G$4:$G$2503,$B390,资金日记账!$F$4:$F$2503,"收款-项目"),2))</f>
        <v/>
      </c>
      <c r="P390" s="19">
        <f>IF($B390="","",ROUND($M390-$O390,2))</f>
        <v/>
      </c>
      <c r="Q390" s="17">
        <f>IF($B390="","",IF(AND($J390&lt;&gt;"",ROUND($P390,2)&lt;=0),"已完工·已结清",IF($J390&lt;&gt;"","已完工·还有尾款",IF($I390&lt;&gt;"","已安装",IF($H390&lt;&gt;"","已制作",IF($G390&lt;&gt;"","设计完成","已下单"))))))</f>
        <v/>
      </c>
      <c r="R390" s="13" t="n"/>
      <c r="S390" s="17">
        <f>IF($B390="","",IF(COUNTIF($B$4:$B$403,$B390)&gt;1,"※项目名重复了",IF(AND($C390&lt;&gt;"",ISNA(MATCH($C390,客户表,0))),"※客户不在基础资料里",IF(AND($J390&lt;&gt;"",$F390&lt;&gt;"",$J390&lt;$F390),"※完工日期早于下单日期",""))))</f>
        <v/>
      </c>
    </row>
    <row r="391">
      <c r="A391" s="17">
        <f>IF($B391="","","P"&amp;TEXT(ROW()-3,"000"))</f>
        <v/>
      </c>
      <c r="B391" s="13" t="n"/>
      <c r="C391" s="13" t="n"/>
      <c r="D391" s="13" t="n"/>
      <c r="E391" s="13" t="n"/>
      <c r="F391" s="18" t="n"/>
      <c r="G391" s="18" t="n"/>
      <c r="H391" s="18" t="n"/>
      <c r="I391" s="18" t="n"/>
      <c r="J391" s="18" t="n"/>
      <c r="K391" s="14" t="n"/>
      <c r="L391" s="19">
        <f>IF($B391="","",ROUND(SUMIF(订单明细!$C:$C,$B391,订单明细!$I:$I),2))</f>
        <v/>
      </c>
      <c r="M391" s="19">
        <f>IF($B391="","",ROUND(N($K391)+N($L391),2))</f>
        <v/>
      </c>
      <c r="N391" s="14" t="n"/>
      <c r="O391" s="19">
        <f>IF($B391="","",ROUND(N($N391)+SUMIFS(资金日记账!$J$4:$J$2503,资金日记账!$G$4:$G$2503,$B391,资金日记账!$F$4:$F$2503,"收款-项目")-SUMIFS(资金日记账!$K$4:$K$2503,资金日记账!$G$4:$G$2503,$B391,资金日记账!$F$4:$F$2503,"收款-项目"),2))</f>
        <v/>
      </c>
      <c r="P391" s="19">
        <f>IF($B391="","",ROUND($M391-$O391,2))</f>
        <v/>
      </c>
      <c r="Q391" s="17">
        <f>IF($B391="","",IF(AND($J391&lt;&gt;"",ROUND($P391,2)&lt;=0),"已完工·已结清",IF($J391&lt;&gt;"","已完工·还有尾款",IF($I391&lt;&gt;"","已安装",IF($H391&lt;&gt;"","已制作",IF($G391&lt;&gt;"","设计完成","已下单"))))))</f>
        <v/>
      </c>
      <c r="R391" s="13" t="n"/>
      <c r="S391" s="17">
        <f>IF($B391="","",IF(COUNTIF($B$4:$B$403,$B391)&gt;1,"※项目名重复了",IF(AND($C391&lt;&gt;"",ISNA(MATCH($C391,客户表,0))),"※客户不在基础资料里",IF(AND($J391&lt;&gt;"",$F391&lt;&gt;"",$J391&lt;$F391),"※完工日期早于下单日期",""))))</f>
        <v/>
      </c>
    </row>
    <row r="392">
      <c r="A392" s="17">
        <f>IF($B392="","","P"&amp;TEXT(ROW()-3,"000"))</f>
        <v/>
      </c>
      <c r="B392" s="13" t="n"/>
      <c r="C392" s="13" t="n"/>
      <c r="D392" s="13" t="n"/>
      <c r="E392" s="13" t="n"/>
      <c r="F392" s="18" t="n"/>
      <c r="G392" s="18" t="n"/>
      <c r="H392" s="18" t="n"/>
      <c r="I392" s="18" t="n"/>
      <c r="J392" s="18" t="n"/>
      <c r="K392" s="14" t="n"/>
      <c r="L392" s="19">
        <f>IF($B392="","",ROUND(SUMIF(订单明细!$C:$C,$B392,订单明细!$I:$I),2))</f>
        <v/>
      </c>
      <c r="M392" s="19">
        <f>IF($B392="","",ROUND(N($K392)+N($L392),2))</f>
        <v/>
      </c>
      <c r="N392" s="14" t="n"/>
      <c r="O392" s="19">
        <f>IF($B392="","",ROUND(N($N392)+SUMIFS(资金日记账!$J$4:$J$2503,资金日记账!$G$4:$G$2503,$B392,资金日记账!$F$4:$F$2503,"收款-项目")-SUMIFS(资金日记账!$K$4:$K$2503,资金日记账!$G$4:$G$2503,$B392,资金日记账!$F$4:$F$2503,"收款-项目"),2))</f>
        <v/>
      </c>
      <c r="P392" s="19">
        <f>IF($B392="","",ROUND($M392-$O392,2))</f>
        <v/>
      </c>
      <c r="Q392" s="17">
        <f>IF($B392="","",IF(AND($J392&lt;&gt;"",ROUND($P392,2)&lt;=0),"已完工·已结清",IF($J392&lt;&gt;"","已完工·还有尾款",IF($I392&lt;&gt;"","已安装",IF($H392&lt;&gt;"","已制作",IF($G392&lt;&gt;"","设计完成","已下单"))))))</f>
        <v/>
      </c>
      <c r="R392" s="13" t="n"/>
      <c r="S392" s="17">
        <f>IF($B392="","",IF(COUNTIF($B$4:$B$403,$B392)&gt;1,"※项目名重复了",IF(AND($C392&lt;&gt;"",ISNA(MATCH($C392,客户表,0))),"※客户不在基础资料里",IF(AND($J392&lt;&gt;"",$F392&lt;&gt;"",$J392&lt;$F392),"※完工日期早于下单日期",""))))</f>
        <v/>
      </c>
    </row>
    <row r="393">
      <c r="A393" s="17">
        <f>IF($B393="","","P"&amp;TEXT(ROW()-3,"000"))</f>
        <v/>
      </c>
      <c r="B393" s="13" t="n"/>
      <c r="C393" s="13" t="n"/>
      <c r="D393" s="13" t="n"/>
      <c r="E393" s="13" t="n"/>
      <c r="F393" s="18" t="n"/>
      <c r="G393" s="18" t="n"/>
      <c r="H393" s="18" t="n"/>
      <c r="I393" s="18" t="n"/>
      <c r="J393" s="18" t="n"/>
      <c r="K393" s="14" t="n"/>
      <c r="L393" s="19">
        <f>IF($B393="","",ROUND(SUMIF(订单明细!$C:$C,$B393,订单明细!$I:$I),2))</f>
        <v/>
      </c>
      <c r="M393" s="19">
        <f>IF($B393="","",ROUND(N($K393)+N($L393),2))</f>
        <v/>
      </c>
      <c r="N393" s="14" t="n"/>
      <c r="O393" s="19">
        <f>IF($B393="","",ROUND(N($N393)+SUMIFS(资金日记账!$J$4:$J$2503,资金日记账!$G$4:$G$2503,$B393,资金日记账!$F$4:$F$2503,"收款-项目")-SUMIFS(资金日记账!$K$4:$K$2503,资金日记账!$G$4:$G$2503,$B393,资金日记账!$F$4:$F$2503,"收款-项目"),2))</f>
        <v/>
      </c>
      <c r="P393" s="19">
        <f>IF($B393="","",ROUND($M393-$O393,2))</f>
        <v/>
      </c>
      <c r="Q393" s="17">
        <f>IF($B393="","",IF(AND($J393&lt;&gt;"",ROUND($P393,2)&lt;=0),"已完工·已结清",IF($J393&lt;&gt;"","已完工·还有尾款",IF($I393&lt;&gt;"","已安装",IF($H393&lt;&gt;"","已制作",IF($G393&lt;&gt;"","设计完成","已下单"))))))</f>
        <v/>
      </c>
      <c r="R393" s="13" t="n"/>
      <c r="S393" s="17">
        <f>IF($B393="","",IF(COUNTIF($B$4:$B$403,$B393)&gt;1,"※项目名重复了",IF(AND($C393&lt;&gt;"",ISNA(MATCH($C393,客户表,0))),"※客户不在基础资料里",IF(AND($J393&lt;&gt;"",$F393&lt;&gt;"",$J393&lt;$F393),"※完工日期早于下单日期",""))))</f>
        <v/>
      </c>
    </row>
    <row r="394">
      <c r="A394" s="17">
        <f>IF($B394="","","P"&amp;TEXT(ROW()-3,"000"))</f>
        <v/>
      </c>
      <c r="B394" s="13" t="n"/>
      <c r="C394" s="13" t="n"/>
      <c r="D394" s="13" t="n"/>
      <c r="E394" s="13" t="n"/>
      <c r="F394" s="18" t="n"/>
      <c r="G394" s="18" t="n"/>
      <c r="H394" s="18" t="n"/>
      <c r="I394" s="18" t="n"/>
      <c r="J394" s="18" t="n"/>
      <c r="K394" s="14" t="n"/>
      <c r="L394" s="19">
        <f>IF($B394="","",ROUND(SUMIF(订单明细!$C:$C,$B394,订单明细!$I:$I),2))</f>
        <v/>
      </c>
      <c r="M394" s="19">
        <f>IF($B394="","",ROUND(N($K394)+N($L394),2))</f>
        <v/>
      </c>
      <c r="N394" s="14" t="n"/>
      <c r="O394" s="19">
        <f>IF($B394="","",ROUND(N($N394)+SUMIFS(资金日记账!$J$4:$J$2503,资金日记账!$G$4:$G$2503,$B394,资金日记账!$F$4:$F$2503,"收款-项目")-SUMIFS(资金日记账!$K$4:$K$2503,资金日记账!$G$4:$G$2503,$B394,资金日记账!$F$4:$F$2503,"收款-项目"),2))</f>
        <v/>
      </c>
      <c r="P394" s="19">
        <f>IF($B394="","",ROUND($M394-$O394,2))</f>
        <v/>
      </c>
      <c r="Q394" s="17">
        <f>IF($B394="","",IF(AND($J394&lt;&gt;"",ROUND($P394,2)&lt;=0),"已完工·已结清",IF($J394&lt;&gt;"","已完工·还有尾款",IF($I394&lt;&gt;"","已安装",IF($H394&lt;&gt;"","已制作",IF($G394&lt;&gt;"","设计完成","已下单"))))))</f>
        <v/>
      </c>
      <c r="R394" s="13" t="n"/>
      <c r="S394" s="17">
        <f>IF($B394="","",IF(COUNTIF($B$4:$B$403,$B394)&gt;1,"※项目名重复了",IF(AND($C394&lt;&gt;"",ISNA(MATCH($C394,客户表,0))),"※客户不在基础资料里",IF(AND($J394&lt;&gt;"",$F394&lt;&gt;"",$J394&lt;$F394),"※完工日期早于下单日期",""))))</f>
        <v/>
      </c>
    </row>
    <row r="395">
      <c r="A395" s="17">
        <f>IF($B395="","","P"&amp;TEXT(ROW()-3,"000"))</f>
        <v/>
      </c>
      <c r="B395" s="13" t="n"/>
      <c r="C395" s="13" t="n"/>
      <c r="D395" s="13" t="n"/>
      <c r="E395" s="13" t="n"/>
      <c r="F395" s="18" t="n"/>
      <c r="G395" s="18" t="n"/>
      <c r="H395" s="18" t="n"/>
      <c r="I395" s="18" t="n"/>
      <c r="J395" s="18" t="n"/>
      <c r="K395" s="14" t="n"/>
      <c r="L395" s="19">
        <f>IF($B395="","",ROUND(SUMIF(订单明细!$C:$C,$B395,订单明细!$I:$I),2))</f>
        <v/>
      </c>
      <c r="M395" s="19">
        <f>IF($B395="","",ROUND(N($K395)+N($L395),2))</f>
        <v/>
      </c>
      <c r="N395" s="14" t="n"/>
      <c r="O395" s="19">
        <f>IF($B395="","",ROUND(N($N395)+SUMIFS(资金日记账!$J$4:$J$2503,资金日记账!$G$4:$G$2503,$B395,资金日记账!$F$4:$F$2503,"收款-项目")-SUMIFS(资金日记账!$K$4:$K$2503,资金日记账!$G$4:$G$2503,$B395,资金日记账!$F$4:$F$2503,"收款-项目"),2))</f>
        <v/>
      </c>
      <c r="P395" s="19">
        <f>IF($B395="","",ROUND($M395-$O395,2))</f>
        <v/>
      </c>
      <c r="Q395" s="17">
        <f>IF($B395="","",IF(AND($J395&lt;&gt;"",ROUND($P395,2)&lt;=0),"已完工·已结清",IF($J395&lt;&gt;"","已完工·还有尾款",IF($I395&lt;&gt;"","已安装",IF($H395&lt;&gt;"","已制作",IF($G395&lt;&gt;"","设计完成","已下单"))))))</f>
        <v/>
      </c>
      <c r="R395" s="13" t="n"/>
      <c r="S395" s="17">
        <f>IF($B395="","",IF(COUNTIF($B$4:$B$403,$B395)&gt;1,"※项目名重复了",IF(AND($C395&lt;&gt;"",ISNA(MATCH($C395,客户表,0))),"※客户不在基础资料里",IF(AND($J395&lt;&gt;"",$F395&lt;&gt;"",$J395&lt;$F395),"※完工日期早于下单日期",""))))</f>
        <v/>
      </c>
    </row>
    <row r="396">
      <c r="A396" s="17">
        <f>IF($B396="","","P"&amp;TEXT(ROW()-3,"000"))</f>
        <v/>
      </c>
      <c r="B396" s="13" t="n"/>
      <c r="C396" s="13" t="n"/>
      <c r="D396" s="13" t="n"/>
      <c r="E396" s="13" t="n"/>
      <c r="F396" s="18" t="n"/>
      <c r="G396" s="18" t="n"/>
      <c r="H396" s="18" t="n"/>
      <c r="I396" s="18" t="n"/>
      <c r="J396" s="18" t="n"/>
      <c r="K396" s="14" t="n"/>
      <c r="L396" s="19">
        <f>IF($B396="","",ROUND(SUMIF(订单明细!$C:$C,$B396,订单明细!$I:$I),2))</f>
        <v/>
      </c>
      <c r="M396" s="19">
        <f>IF($B396="","",ROUND(N($K396)+N($L396),2))</f>
        <v/>
      </c>
      <c r="N396" s="14" t="n"/>
      <c r="O396" s="19">
        <f>IF($B396="","",ROUND(N($N396)+SUMIFS(资金日记账!$J$4:$J$2503,资金日记账!$G$4:$G$2503,$B396,资金日记账!$F$4:$F$2503,"收款-项目")-SUMIFS(资金日记账!$K$4:$K$2503,资金日记账!$G$4:$G$2503,$B396,资金日记账!$F$4:$F$2503,"收款-项目"),2))</f>
        <v/>
      </c>
      <c r="P396" s="19">
        <f>IF($B396="","",ROUND($M396-$O396,2))</f>
        <v/>
      </c>
      <c r="Q396" s="17">
        <f>IF($B396="","",IF(AND($J396&lt;&gt;"",ROUND($P396,2)&lt;=0),"已完工·已结清",IF($J396&lt;&gt;"","已完工·还有尾款",IF($I396&lt;&gt;"","已安装",IF($H396&lt;&gt;"","已制作",IF($G396&lt;&gt;"","设计完成","已下单"))))))</f>
        <v/>
      </c>
      <c r="R396" s="13" t="n"/>
      <c r="S396" s="17">
        <f>IF($B396="","",IF(COUNTIF($B$4:$B$403,$B396)&gt;1,"※项目名重复了",IF(AND($C396&lt;&gt;"",ISNA(MATCH($C396,客户表,0))),"※客户不在基础资料里",IF(AND($J396&lt;&gt;"",$F396&lt;&gt;"",$J396&lt;$F396),"※完工日期早于下单日期",""))))</f>
        <v/>
      </c>
    </row>
    <row r="397">
      <c r="A397" s="17">
        <f>IF($B397="","","P"&amp;TEXT(ROW()-3,"000"))</f>
        <v/>
      </c>
      <c r="B397" s="13" t="n"/>
      <c r="C397" s="13" t="n"/>
      <c r="D397" s="13" t="n"/>
      <c r="E397" s="13" t="n"/>
      <c r="F397" s="18" t="n"/>
      <c r="G397" s="18" t="n"/>
      <c r="H397" s="18" t="n"/>
      <c r="I397" s="18" t="n"/>
      <c r="J397" s="18" t="n"/>
      <c r="K397" s="14" t="n"/>
      <c r="L397" s="19">
        <f>IF($B397="","",ROUND(SUMIF(订单明细!$C:$C,$B397,订单明细!$I:$I),2))</f>
        <v/>
      </c>
      <c r="M397" s="19">
        <f>IF($B397="","",ROUND(N($K397)+N($L397),2))</f>
        <v/>
      </c>
      <c r="N397" s="14" t="n"/>
      <c r="O397" s="19">
        <f>IF($B397="","",ROUND(N($N397)+SUMIFS(资金日记账!$J$4:$J$2503,资金日记账!$G$4:$G$2503,$B397,资金日记账!$F$4:$F$2503,"收款-项目")-SUMIFS(资金日记账!$K$4:$K$2503,资金日记账!$G$4:$G$2503,$B397,资金日记账!$F$4:$F$2503,"收款-项目"),2))</f>
        <v/>
      </c>
      <c r="P397" s="19">
        <f>IF($B397="","",ROUND($M397-$O397,2))</f>
        <v/>
      </c>
      <c r="Q397" s="17">
        <f>IF($B397="","",IF(AND($J397&lt;&gt;"",ROUND($P397,2)&lt;=0),"已完工·已结清",IF($J397&lt;&gt;"","已完工·还有尾款",IF($I397&lt;&gt;"","已安装",IF($H397&lt;&gt;"","已制作",IF($G397&lt;&gt;"","设计完成","已下单"))))))</f>
        <v/>
      </c>
      <c r="R397" s="13" t="n"/>
      <c r="S397" s="17">
        <f>IF($B397="","",IF(COUNTIF($B$4:$B$403,$B397)&gt;1,"※项目名重复了",IF(AND($C397&lt;&gt;"",ISNA(MATCH($C397,客户表,0))),"※客户不在基础资料里",IF(AND($J397&lt;&gt;"",$F397&lt;&gt;"",$J397&lt;$F397),"※完工日期早于下单日期",""))))</f>
        <v/>
      </c>
    </row>
    <row r="398">
      <c r="A398" s="17">
        <f>IF($B398="","","P"&amp;TEXT(ROW()-3,"000"))</f>
        <v/>
      </c>
      <c r="B398" s="13" t="n"/>
      <c r="C398" s="13" t="n"/>
      <c r="D398" s="13" t="n"/>
      <c r="E398" s="13" t="n"/>
      <c r="F398" s="18" t="n"/>
      <c r="G398" s="18" t="n"/>
      <c r="H398" s="18" t="n"/>
      <c r="I398" s="18" t="n"/>
      <c r="J398" s="18" t="n"/>
      <c r="K398" s="14" t="n"/>
      <c r="L398" s="19">
        <f>IF($B398="","",ROUND(SUMIF(订单明细!$C:$C,$B398,订单明细!$I:$I),2))</f>
        <v/>
      </c>
      <c r="M398" s="19">
        <f>IF($B398="","",ROUND(N($K398)+N($L398),2))</f>
        <v/>
      </c>
      <c r="N398" s="14" t="n"/>
      <c r="O398" s="19">
        <f>IF($B398="","",ROUND(N($N398)+SUMIFS(资金日记账!$J$4:$J$2503,资金日记账!$G$4:$G$2503,$B398,资金日记账!$F$4:$F$2503,"收款-项目")-SUMIFS(资金日记账!$K$4:$K$2503,资金日记账!$G$4:$G$2503,$B398,资金日记账!$F$4:$F$2503,"收款-项目"),2))</f>
        <v/>
      </c>
      <c r="P398" s="19">
        <f>IF($B398="","",ROUND($M398-$O398,2))</f>
        <v/>
      </c>
      <c r="Q398" s="17">
        <f>IF($B398="","",IF(AND($J398&lt;&gt;"",ROUND($P398,2)&lt;=0),"已完工·已结清",IF($J398&lt;&gt;"","已完工·还有尾款",IF($I398&lt;&gt;"","已安装",IF($H398&lt;&gt;"","已制作",IF($G398&lt;&gt;"","设计完成","已下单"))))))</f>
        <v/>
      </c>
      <c r="R398" s="13" t="n"/>
      <c r="S398" s="17">
        <f>IF($B398="","",IF(COUNTIF($B$4:$B$403,$B398)&gt;1,"※项目名重复了",IF(AND($C398&lt;&gt;"",ISNA(MATCH($C398,客户表,0))),"※客户不在基础资料里",IF(AND($J398&lt;&gt;"",$F398&lt;&gt;"",$J398&lt;$F398),"※完工日期早于下单日期",""))))</f>
        <v/>
      </c>
    </row>
    <row r="399">
      <c r="A399" s="17">
        <f>IF($B399="","","P"&amp;TEXT(ROW()-3,"000"))</f>
        <v/>
      </c>
      <c r="B399" s="13" t="n"/>
      <c r="C399" s="13" t="n"/>
      <c r="D399" s="13" t="n"/>
      <c r="E399" s="13" t="n"/>
      <c r="F399" s="18" t="n"/>
      <c r="G399" s="18" t="n"/>
      <c r="H399" s="18" t="n"/>
      <c r="I399" s="18" t="n"/>
      <c r="J399" s="18" t="n"/>
      <c r="K399" s="14" t="n"/>
      <c r="L399" s="19">
        <f>IF($B399="","",ROUND(SUMIF(订单明细!$C:$C,$B399,订单明细!$I:$I),2))</f>
        <v/>
      </c>
      <c r="M399" s="19">
        <f>IF($B399="","",ROUND(N($K399)+N($L399),2))</f>
        <v/>
      </c>
      <c r="N399" s="14" t="n"/>
      <c r="O399" s="19">
        <f>IF($B399="","",ROUND(N($N399)+SUMIFS(资金日记账!$J$4:$J$2503,资金日记账!$G$4:$G$2503,$B399,资金日记账!$F$4:$F$2503,"收款-项目")-SUMIFS(资金日记账!$K$4:$K$2503,资金日记账!$G$4:$G$2503,$B399,资金日记账!$F$4:$F$2503,"收款-项目"),2))</f>
        <v/>
      </c>
      <c r="P399" s="19">
        <f>IF($B399="","",ROUND($M399-$O399,2))</f>
        <v/>
      </c>
      <c r="Q399" s="17">
        <f>IF($B399="","",IF(AND($J399&lt;&gt;"",ROUND($P399,2)&lt;=0),"已完工·已结清",IF($J399&lt;&gt;"","已完工·还有尾款",IF($I399&lt;&gt;"","已安装",IF($H399&lt;&gt;"","已制作",IF($G399&lt;&gt;"","设计完成","已下单"))))))</f>
        <v/>
      </c>
      <c r="R399" s="13" t="n"/>
      <c r="S399" s="17">
        <f>IF($B399="","",IF(COUNTIF($B$4:$B$403,$B399)&gt;1,"※项目名重复了",IF(AND($C399&lt;&gt;"",ISNA(MATCH($C399,客户表,0))),"※客户不在基础资料里",IF(AND($J399&lt;&gt;"",$F399&lt;&gt;"",$J399&lt;$F399),"※完工日期早于下单日期",""))))</f>
        <v/>
      </c>
    </row>
    <row r="400">
      <c r="A400" s="17">
        <f>IF($B400="","","P"&amp;TEXT(ROW()-3,"000"))</f>
        <v/>
      </c>
      <c r="B400" s="13" t="n"/>
      <c r="C400" s="13" t="n"/>
      <c r="D400" s="13" t="n"/>
      <c r="E400" s="13" t="n"/>
      <c r="F400" s="18" t="n"/>
      <c r="G400" s="18" t="n"/>
      <c r="H400" s="18" t="n"/>
      <c r="I400" s="18" t="n"/>
      <c r="J400" s="18" t="n"/>
      <c r="K400" s="14" t="n"/>
      <c r="L400" s="19">
        <f>IF($B400="","",ROUND(SUMIF(订单明细!$C:$C,$B400,订单明细!$I:$I),2))</f>
        <v/>
      </c>
      <c r="M400" s="19">
        <f>IF($B400="","",ROUND(N($K400)+N($L400),2))</f>
        <v/>
      </c>
      <c r="N400" s="14" t="n"/>
      <c r="O400" s="19">
        <f>IF($B400="","",ROUND(N($N400)+SUMIFS(资金日记账!$J$4:$J$2503,资金日记账!$G$4:$G$2503,$B400,资金日记账!$F$4:$F$2503,"收款-项目")-SUMIFS(资金日记账!$K$4:$K$2503,资金日记账!$G$4:$G$2503,$B400,资金日记账!$F$4:$F$2503,"收款-项目"),2))</f>
        <v/>
      </c>
      <c r="P400" s="19">
        <f>IF($B400="","",ROUND($M400-$O400,2))</f>
        <v/>
      </c>
      <c r="Q400" s="17">
        <f>IF($B400="","",IF(AND($J400&lt;&gt;"",ROUND($P400,2)&lt;=0),"已完工·已结清",IF($J400&lt;&gt;"","已完工·还有尾款",IF($I400&lt;&gt;"","已安装",IF($H400&lt;&gt;"","已制作",IF($G400&lt;&gt;"","设计完成","已下单"))))))</f>
        <v/>
      </c>
      <c r="R400" s="13" t="n"/>
      <c r="S400" s="17">
        <f>IF($B400="","",IF(COUNTIF($B$4:$B$403,$B400)&gt;1,"※项目名重复了",IF(AND($C400&lt;&gt;"",ISNA(MATCH($C400,客户表,0))),"※客户不在基础资料里",IF(AND($J400&lt;&gt;"",$F400&lt;&gt;"",$J400&lt;$F400),"※完工日期早于下单日期",""))))</f>
        <v/>
      </c>
    </row>
    <row r="401">
      <c r="A401" s="17">
        <f>IF($B401="","","P"&amp;TEXT(ROW()-3,"000"))</f>
        <v/>
      </c>
      <c r="B401" s="13" t="n"/>
      <c r="C401" s="13" t="n"/>
      <c r="D401" s="13" t="n"/>
      <c r="E401" s="13" t="n"/>
      <c r="F401" s="18" t="n"/>
      <c r="G401" s="18" t="n"/>
      <c r="H401" s="18" t="n"/>
      <c r="I401" s="18" t="n"/>
      <c r="J401" s="18" t="n"/>
      <c r="K401" s="14" t="n"/>
      <c r="L401" s="19">
        <f>IF($B401="","",ROUND(SUMIF(订单明细!$C:$C,$B401,订单明细!$I:$I),2))</f>
        <v/>
      </c>
      <c r="M401" s="19">
        <f>IF($B401="","",ROUND(N($K401)+N($L401),2))</f>
        <v/>
      </c>
      <c r="N401" s="14" t="n"/>
      <c r="O401" s="19">
        <f>IF($B401="","",ROUND(N($N401)+SUMIFS(资金日记账!$J$4:$J$2503,资金日记账!$G$4:$G$2503,$B401,资金日记账!$F$4:$F$2503,"收款-项目")-SUMIFS(资金日记账!$K$4:$K$2503,资金日记账!$G$4:$G$2503,$B401,资金日记账!$F$4:$F$2503,"收款-项目"),2))</f>
        <v/>
      </c>
      <c r="P401" s="19">
        <f>IF($B401="","",ROUND($M401-$O401,2))</f>
        <v/>
      </c>
      <c r="Q401" s="17">
        <f>IF($B401="","",IF(AND($J401&lt;&gt;"",ROUND($P401,2)&lt;=0),"已完工·已结清",IF($J401&lt;&gt;"","已完工·还有尾款",IF($I401&lt;&gt;"","已安装",IF($H401&lt;&gt;"","已制作",IF($G401&lt;&gt;"","设计完成","已下单"))))))</f>
        <v/>
      </c>
      <c r="R401" s="13" t="n"/>
      <c r="S401" s="17">
        <f>IF($B401="","",IF(COUNTIF($B$4:$B$403,$B401)&gt;1,"※项目名重复了",IF(AND($C401&lt;&gt;"",ISNA(MATCH($C401,客户表,0))),"※客户不在基础资料里",IF(AND($J401&lt;&gt;"",$F401&lt;&gt;"",$J401&lt;$F401),"※完工日期早于下单日期",""))))</f>
        <v/>
      </c>
    </row>
    <row r="402">
      <c r="A402" s="17">
        <f>IF($B402="","","P"&amp;TEXT(ROW()-3,"000"))</f>
        <v/>
      </c>
      <c r="B402" s="13" t="n"/>
      <c r="C402" s="13" t="n"/>
      <c r="D402" s="13" t="n"/>
      <c r="E402" s="13" t="n"/>
      <c r="F402" s="18" t="n"/>
      <c r="G402" s="18" t="n"/>
      <c r="H402" s="18" t="n"/>
      <c r="I402" s="18" t="n"/>
      <c r="J402" s="18" t="n"/>
      <c r="K402" s="14" t="n"/>
      <c r="L402" s="19">
        <f>IF($B402="","",ROUND(SUMIF(订单明细!$C:$C,$B402,订单明细!$I:$I),2))</f>
        <v/>
      </c>
      <c r="M402" s="19">
        <f>IF($B402="","",ROUND(N($K402)+N($L402),2))</f>
        <v/>
      </c>
      <c r="N402" s="14" t="n"/>
      <c r="O402" s="19">
        <f>IF($B402="","",ROUND(N($N402)+SUMIFS(资金日记账!$J$4:$J$2503,资金日记账!$G$4:$G$2503,$B402,资金日记账!$F$4:$F$2503,"收款-项目")-SUMIFS(资金日记账!$K$4:$K$2503,资金日记账!$G$4:$G$2503,$B402,资金日记账!$F$4:$F$2503,"收款-项目"),2))</f>
        <v/>
      </c>
      <c r="P402" s="19">
        <f>IF($B402="","",ROUND($M402-$O402,2))</f>
        <v/>
      </c>
      <c r="Q402" s="17">
        <f>IF($B402="","",IF(AND($J402&lt;&gt;"",ROUND($P402,2)&lt;=0),"已完工·已结清",IF($J402&lt;&gt;"","已完工·还有尾款",IF($I402&lt;&gt;"","已安装",IF($H402&lt;&gt;"","已制作",IF($G402&lt;&gt;"","设计完成","已下单"))))))</f>
        <v/>
      </c>
      <c r="R402" s="13" t="n"/>
      <c r="S402" s="17">
        <f>IF($B402="","",IF(COUNTIF($B$4:$B$403,$B402)&gt;1,"※项目名重复了",IF(AND($C402&lt;&gt;"",ISNA(MATCH($C402,客户表,0))),"※客户不在基础资料里",IF(AND($J402&lt;&gt;"",$F402&lt;&gt;"",$J402&lt;$F402),"※完工日期早于下单日期",""))))</f>
        <v/>
      </c>
    </row>
    <row r="403">
      <c r="A403" s="17">
        <f>IF($B403="","","P"&amp;TEXT(ROW()-3,"000"))</f>
        <v/>
      </c>
      <c r="B403" s="13" t="n"/>
      <c r="C403" s="13" t="n"/>
      <c r="D403" s="13" t="n"/>
      <c r="E403" s="13" t="n"/>
      <c r="F403" s="18" t="n"/>
      <c r="G403" s="18" t="n"/>
      <c r="H403" s="18" t="n"/>
      <c r="I403" s="18" t="n"/>
      <c r="J403" s="18" t="n"/>
      <c r="K403" s="14" t="n"/>
      <c r="L403" s="19">
        <f>IF($B403="","",ROUND(SUMIF(订单明细!$C:$C,$B403,订单明细!$I:$I),2))</f>
        <v/>
      </c>
      <c r="M403" s="19">
        <f>IF($B403="","",ROUND(N($K403)+N($L403),2))</f>
        <v/>
      </c>
      <c r="N403" s="14" t="n"/>
      <c r="O403" s="19">
        <f>IF($B403="","",ROUND(N($N403)+SUMIFS(资金日记账!$J$4:$J$2503,资金日记账!$G$4:$G$2503,$B403,资金日记账!$F$4:$F$2503,"收款-项目")-SUMIFS(资金日记账!$K$4:$K$2503,资金日记账!$G$4:$G$2503,$B403,资金日记账!$F$4:$F$2503,"收款-项目"),2))</f>
        <v/>
      </c>
      <c r="P403" s="19">
        <f>IF($B403="","",ROUND($M403-$O403,2))</f>
        <v/>
      </c>
      <c r="Q403" s="17">
        <f>IF($B403="","",IF(AND($J403&lt;&gt;"",ROUND($P403,2)&lt;=0),"已完工·已结清",IF($J403&lt;&gt;"","已完工·还有尾款",IF($I403&lt;&gt;"","已安装",IF($H403&lt;&gt;"","已制作",IF($G403&lt;&gt;"","设计完成","已下单"))))))</f>
        <v/>
      </c>
      <c r="R403" s="13" t="n"/>
      <c r="S403" s="17">
        <f>IF($B403="","",IF(COUNTIF($B$4:$B$403,$B403)&gt;1,"※项目名重复了",IF(AND($C403&lt;&gt;"",ISNA(MATCH($C403,客户表,0))),"※客户不在基础资料里",IF(AND($J403&lt;&gt;"",$F403&lt;&gt;"",$J403&lt;$F403),"※完工日期早于下单日期",""))))</f>
        <v/>
      </c>
    </row>
  </sheetData>
  <autoFilter ref="A3:S403"/>
  <mergeCells count="2">
    <mergeCell ref="A2:S2"/>
    <mergeCell ref="A1:S1"/>
  </mergeCells>
  <conditionalFormatting sqref="S4:S403">
    <cfRule type="expression" priority="1" dxfId="0">
      <formula>LEFT(S4,1)="※"</formula>
    </cfRule>
  </conditionalFormatting>
  <dataValidations count="3">
    <dataValidation sqref="C4:C403" showDropDown="0" showInputMessage="0" showErrorMessage="1" allowBlank="1" errorTitle="这一项没在名单里" error="不在名单里。先去【基础资料】把它加上，或者直接选一个已有的。" type="list" errorStyle="warning">
      <formula1>=客户表</formula1>
    </dataValidation>
    <dataValidation sqref="D4:D403" showDropDown="0" showInputMessage="0" showErrorMessage="1" allowBlank="1" errorTitle="这一项没在名单里" error="不在名单里。先去【基础资料】把它加上，或者直接选一个已有的。" type="list" errorStyle="stop">
      <formula1>=项目类型表</formula1>
    </dataValidation>
    <dataValidation sqref="E4:E403" showDropDown="0" showInputMessage="0" showErrorMessage="1" allowBlank="1" errorTitle="这一项没在名单里" error="不在名单里。先去【基础资料】把它加上，或者直接选一个已有的。" type="list" errorStyle="warning">
      <formula1>=人员表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15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26" customWidth="1" min="4" max="4"/>
    <col width="20" customWidth="1" min="5" max="5"/>
    <col width="8" customWidth="1" min="6" max="6"/>
    <col width="10" customWidth="1" min="7" max="7"/>
    <col width="10" customWidth="1" min="8" max="8"/>
    <col width="13" customWidth="1" min="9" max="9"/>
    <col width="16" customWidth="1" min="10" max="10"/>
    <col width="24" customWidth="1" min="11" max="11"/>
  </cols>
  <sheetData>
    <row r="1" ht="30" customHeight="1">
      <c r="A1" s="1" t="inlineStr">
        <is>
          <t>订单明细 · 按件报价的客户用（下单 / 设计岗位填）</t>
        </is>
      </c>
    </row>
    <row r="2" ht="22" customHeight="1">
      <c r="A2" s="2" t="inlineStr">
        <is>
          <t>一次几十个标牌那种客户在这里逐项登记，金额会自动加进【项目台账】的「订单明细额」。整单包死的项目不用填这张表。</t>
        </is>
      </c>
    </row>
    <row r="3" ht="34" customHeight="1">
      <c r="A3" s="16" t="inlineStr">
        <is>
          <t>序号</t>
        </is>
      </c>
      <c r="B3" s="16" t="inlineStr">
        <is>
          <t>下单日期 ★</t>
        </is>
      </c>
      <c r="C3" s="16" t="inlineStr">
        <is>
          <t>项目名称 ★</t>
        </is>
      </c>
      <c r="D3" s="16" t="inlineStr">
        <is>
          <t>品名 ★</t>
        </is>
      </c>
      <c r="E3" s="16" t="inlineStr">
        <is>
          <t>规格</t>
        </is>
      </c>
      <c r="F3" s="16" t="inlineStr">
        <is>
          <t>单位</t>
        </is>
      </c>
      <c r="G3" s="16" t="inlineStr">
        <is>
          <t>数量</t>
        </is>
      </c>
      <c r="H3" s="16" t="inlineStr">
        <is>
          <t>单价</t>
        </is>
      </c>
      <c r="I3" s="16" t="inlineStr">
        <is>
          <t>金额</t>
        </is>
      </c>
      <c r="J3" s="16" t="inlineStr">
        <is>
          <t>客户</t>
        </is>
      </c>
      <c r="K3" s="16" t="inlineStr">
        <is>
          <t>备注</t>
        </is>
      </c>
    </row>
    <row r="4">
      <c r="A4" s="17">
        <f>IF($C4="","",ROW()-3)</f>
        <v/>
      </c>
      <c r="B4" s="18" t="n">
        <v>46087</v>
      </c>
      <c r="C4" s="13" t="inlineStr">
        <is>
          <t>东尼电子26.3-4</t>
        </is>
      </c>
      <c r="D4" s="13" t="inlineStr">
        <is>
          <t>作业表单放置处</t>
        </is>
      </c>
      <c r="E4" s="13" t="inlineStr">
        <is>
          <t>15*3cm</t>
        </is>
      </c>
      <c r="F4" s="13" t="inlineStr">
        <is>
          <t>张</t>
        </is>
      </c>
      <c r="G4" s="20" t="n">
        <v>50</v>
      </c>
      <c r="H4" s="14" t="n">
        <v>1</v>
      </c>
      <c r="I4" s="19">
        <f>IF($C4="","",ROUND(IF($G4="",1,$G4)*N($H4),2))</f>
        <v/>
      </c>
      <c r="J4" s="17">
        <f>IF($C4="","",IFERROR(VLOOKUP($C4,项目台账!$B:$C,2,0),"※项目不在项目台账里"))</f>
        <v/>
      </c>
      <c r="K4" s="13" t="n"/>
    </row>
    <row r="5">
      <c r="A5" s="17">
        <f>IF($C5="","",ROW()-3)</f>
        <v/>
      </c>
      <c r="B5" s="18" t="n">
        <v>46087</v>
      </c>
      <c r="C5" s="13" t="inlineStr">
        <is>
          <t>东尼电子26.3-4</t>
        </is>
      </c>
      <c r="D5" s="13" t="inlineStr">
        <is>
          <t>准文件放置处</t>
        </is>
      </c>
      <c r="E5" s="13" t="inlineStr">
        <is>
          <t>15*3cm</t>
        </is>
      </c>
      <c r="F5" s="13" t="inlineStr">
        <is>
          <t>张</t>
        </is>
      </c>
      <c r="G5" s="20" t="n">
        <v>50</v>
      </c>
      <c r="H5" s="14" t="n">
        <v>1</v>
      </c>
      <c r="I5" s="19">
        <f>IF($C5="","",ROUND(IF($G5="",1,$G5)*N($H5),2))</f>
        <v/>
      </c>
      <c r="J5" s="17">
        <f>IF($C5="","",IFERROR(VLOOKUP($C5,项目台账!$B:$C,2,0),"※项目不在项目台账里"))</f>
        <v/>
      </c>
      <c r="K5" s="13" t="n"/>
    </row>
    <row r="6">
      <c r="A6" s="17">
        <f>IF($C6="","",ROW()-3)</f>
        <v/>
      </c>
      <c r="B6" s="18" t="n">
        <v>46087</v>
      </c>
      <c r="C6" s="13" t="inlineStr">
        <is>
          <t>东尼电子26.3-4</t>
        </is>
      </c>
      <c r="D6" s="13" t="inlineStr">
        <is>
          <t>标识牌（物料专用通道）</t>
        </is>
      </c>
      <c r="E6" s="13" t="inlineStr">
        <is>
          <t>40*80</t>
        </is>
      </c>
      <c r="F6" s="13" t="inlineStr">
        <is>
          <t>块</t>
        </is>
      </c>
      <c r="G6" s="20" t="n">
        <v>4</v>
      </c>
      <c r="H6" s="14" t="n">
        <v>40</v>
      </c>
      <c r="I6" s="19">
        <f>IF($C6="","",ROUND(IF($G6="",1,$G6)*N($H6),2))</f>
        <v/>
      </c>
      <c r="J6" s="17">
        <f>IF($C6="","",IFERROR(VLOOKUP($C6,项目台账!$B:$C,2,0),"※项目不在项目台账里"))</f>
        <v/>
      </c>
      <c r="K6" s="13" t="n"/>
    </row>
    <row r="7">
      <c r="A7" s="17">
        <f>IF($C7="","",ROW()-3)</f>
        <v/>
      </c>
      <c r="B7" s="18" t="n">
        <v>46095</v>
      </c>
      <c r="C7" s="13" t="inlineStr">
        <is>
          <t>东尼电子26.3-4</t>
        </is>
      </c>
      <c r="D7" s="13" t="inlineStr">
        <is>
          <t>玻璃磨砂膜</t>
        </is>
      </c>
      <c r="E7" s="13" t="inlineStr">
        <is>
          <t>指定尺寸</t>
        </is>
      </c>
      <c r="F7" s="13" t="inlineStr">
        <is>
          <t>平方</t>
        </is>
      </c>
      <c r="G7" s="20" t="n">
        <v>51.705</v>
      </c>
      <c r="H7" s="14" t="n">
        <v>35</v>
      </c>
      <c r="I7" s="19">
        <f>IF($C7="","",ROUND(IF($G7="",1,$G7)*N($H7),2))</f>
        <v/>
      </c>
      <c r="J7" s="17">
        <f>IF($C7="","",IFERROR(VLOOKUP($C7,项目台账!$B:$C,2,0),"※项目不在项目台账里"))</f>
        <v/>
      </c>
      <c r="K7" s="13" t="n"/>
    </row>
    <row r="8">
      <c r="A8" s="17">
        <f>IF($C8="","",ROW()-3)</f>
        <v/>
      </c>
      <c r="B8" s="18" t="n">
        <v>46095</v>
      </c>
      <c r="C8" s="13" t="inlineStr">
        <is>
          <t>东尼电子26.3-4</t>
        </is>
      </c>
      <c r="D8" s="13" t="inlineStr">
        <is>
          <t>安装费</t>
        </is>
      </c>
      <c r="E8" s="13" t="inlineStr">
        <is>
          <t>-</t>
        </is>
      </c>
      <c r="F8" s="13" t="inlineStr">
        <is>
          <t>次</t>
        </is>
      </c>
      <c r="G8" s="20" t="n">
        <v>1</v>
      </c>
      <c r="H8" s="14" t="n">
        <v>600</v>
      </c>
      <c r="I8" s="19">
        <f>IF($C8="","",ROUND(IF($G8="",1,$G8)*N($H8),2))</f>
        <v/>
      </c>
      <c r="J8" s="17">
        <f>IF($C8="","",IFERROR(VLOOKUP($C8,项目台账!$B:$C,2,0),"※项目不在项目台账里"))</f>
        <v/>
      </c>
      <c r="K8" s="13" t="n"/>
    </row>
    <row r="9">
      <c r="A9" s="17">
        <f>IF($C9="","",ROW()-3)</f>
        <v/>
      </c>
      <c r="B9" s="18" t="n">
        <v>46095</v>
      </c>
      <c r="C9" s="13" t="inlineStr">
        <is>
          <t>东尼电子26.3-4</t>
        </is>
      </c>
      <c r="D9" s="13" t="inlineStr">
        <is>
          <t>告示牌（道路施工）</t>
        </is>
      </c>
      <c r="E9" s="13" t="inlineStr">
        <is>
          <t>40cm*80cm</t>
        </is>
      </c>
      <c r="F9" s="13" t="inlineStr">
        <is>
          <t>块</t>
        </is>
      </c>
      <c r="G9" s="20" t="n">
        <v>2</v>
      </c>
      <c r="H9" s="14" t="n">
        <v>20</v>
      </c>
      <c r="I9" s="19">
        <f>IF($C9="","",ROUND(IF($G9="",1,$G9)*N($H9),2))</f>
        <v/>
      </c>
      <c r="J9" s="17">
        <f>IF($C9="","",IFERROR(VLOOKUP($C9,项目台账!$B:$C,2,0),"※项目不在项目台账里"))</f>
        <v/>
      </c>
      <c r="K9" s="13" t="n"/>
    </row>
    <row r="10">
      <c r="A10" s="17">
        <f>IF($C10="","",ROW()-3)</f>
        <v/>
      </c>
      <c r="B10" s="18" t="n">
        <v>46099</v>
      </c>
      <c r="C10" s="13" t="inlineStr">
        <is>
          <t>东尼电子26.3-4</t>
        </is>
      </c>
      <c r="D10" s="13" t="inlineStr">
        <is>
          <t>斜纹贴（点检表放置处</t>
        </is>
      </c>
      <c r="E10" s="13" t="inlineStr">
        <is>
          <t>:20*5cm</t>
        </is>
      </c>
      <c r="F10" s="13" t="inlineStr">
        <is>
          <t>张</t>
        </is>
      </c>
      <c r="G10" s="20" t="n">
        <v>100</v>
      </c>
      <c r="H10" s="14" t="n">
        <v>2</v>
      </c>
      <c r="I10" s="19">
        <f>IF($C10="","",ROUND(IF($G10="",1,$G10)*N($H10),2))</f>
        <v/>
      </c>
      <c r="J10" s="17">
        <f>IF($C10="","",IFERROR(VLOOKUP($C10,项目台账!$B:$C,2,0),"※项目不在项目台账里"))</f>
        <v/>
      </c>
      <c r="K10" s="13" t="n"/>
    </row>
    <row r="11">
      <c r="A11" s="17">
        <f>IF($C11="","",ROW()-3)</f>
        <v/>
      </c>
      <c r="B11" s="18" t="n">
        <v>46099</v>
      </c>
      <c r="C11" s="13" t="inlineStr">
        <is>
          <t>东尼电子26.3-4</t>
        </is>
      </c>
      <c r="D11" s="13" t="inlineStr">
        <is>
          <t>斜纹贴（SOP作业指导书放置处）</t>
        </is>
      </c>
      <c r="E11" s="13" t="inlineStr">
        <is>
          <t>20*5cm</t>
        </is>
      </c>
      <c r="F11" s="13" t="inlineStr">
        <is>
          <t>张</t>
        </is>
      </c>
      <c r="G11" s="20" t="n">
        <v>80</v>
      </c>
      <c r="H11" s="14" t="n">
        <v>2</v>
      </c>
      <c r="I11" s="19">
        <f>IF($C11="","",ROUND(IF($G11="",1,$G11)*N($H11),2))</f>
        <v/>
      </c>
      <c r="J11" s="17">
        <f>IF($C11="","",IFERROR(VLOOKUP($C11,项目台账!$B:$C,2,0),"※项目不在项目台账里"))</f>
        <v/>
      </c>
      <c r="K11" s="13" t="n"/>
    </row>
    <row r="12">
      <c r="A12" s="17">
        <f>IF($C12="","",ROW()-3)</f>
        <v/>
      </c>
      <c r="B12" s="18" t="n">
        <v>46104</v>
      </c>
      <c r="C12" s="13" t="inlineStr">
        <is>
          <t>东尼电子26.3-4</t>
        </is>
      </c>
      <c r="D12" s="13" t="inlineStr">
        <is>
          <t>斜纹贴（点检表放置处）</t>
        </is>
      </c>
      <c r="E12" s="13" t="inlineStr">
        <is>
          <t>20*3cm</t>
        </is>
      </c>
      <c r="F12" s="13" t="inlineStr">
        <is>
          <t>张</t>
        </is>
      </c>
      <c r="G12" s="20" t="n">
        <v>100</v>
      </c>
      <c r="H12" s="14" t="n">
        <v>2</v>
      </c>
      <c r="I12" s="19">
        <f>IF($C12="","",ROUND(IF($G12="",1,$G12)*N($H12),2))</f>
        <v/>
      </c>
      <c r="J12" s="17">
        <f>IF($C12="","",IFERROR(VLOOKUP($C12,项目台账!$B:$C,2,0),"※项目不在项目台账里"))</f>
        <v/>
      </c>
      <c r="K12" s="13" t="n"/>
    </row>
    <row r="13">
      <c r="A13" s="17">
        <f>IF($C13="","",ROW()-3)</f>
        <v/>
      </c>
      <c r="B13" s="18" t="n">
        <v>46104</v>
      </c>
      <c r="C13" s="13" t="inlineStr">
        <is>
          <t>东尼电子26.3-4</t>
        </is>
      </c>
      <c r="D13" s="13" t="inlineStr">
        <is>
          <t>斜纹贴（SOP作业指导书放置处）</t>
        </is>
      </c>
      <c r="E13" s="13" t="inlineStr">
        <is>
          <t>20*3cm</t>
        </is>
      </c>
      <c r="F13" s="13" t="inlineStr">
        <is>
          <t>张</t>
        </is>
      </c>
      <c r="G13" s="20" t="n">
        <v>100</v>
      </c>
      <c r="H13" s="14" t="n">
        <v>2</v>
      </c>
      <c r="I13" s="19">
        <f>IF($C13="","",ROUND(IF($G13="",1,$G13)*N($H13),2))</f>
        <v/>
      </c>
      <c r="J13" s="17">
        <f>IF($C13="","",IFERROR(VLOOKUP($C13,项目台账!$B:$C,2,0),"※项目不在项目台账里"))</f>
        <v/>
      </c>
      <c r="K13" s="13" t="n"/>
    </row>
    <row r="14">
      <c r="A14" s="17">
        <f>IF($C14="","",ROW()-3)</f>
        <v/>
      </c>
      <c r="B14" s="18" t="n">
        <v>46104</v>
      </c>
      <c r="C14" s="13" t="inlineStr">
        <is>
          <t>东尼电子26.3-4</t>
        </is>
      </c>
      <c r="D14" s="13" t="inlineStr">
        <is>
          <t>当心夹手</t>
        </is>
      </c>
      <c r="E14" s="13" t="inlineStr">
        <is>
          <t>10*6cm</t>
        </is>
      </c>
      <c r="F14" s="13" t="inlineStr">
        <is>
          <t>张</t>
        </is>
      </c>
      <c r="G14" s="20" t="n">
        <v>50</v>
      </c>
      <c r="H14" s="14" t="n">
        <v>2</v>
      </c>
      <c r="I14" s="19">
        <f>IF($C14="","",ROUND(IF($G14="",1,$G14)*N($H14),2))</f>
        <v/>
      </c>
      <c r="J14" s="17">
        <f>IF($C14="","",IFERROR(VLOOKUP($C14,项目台账!$B:$C,2,0),"※项目不在项目台账里"))</f>
        <v/>
      </c>
      <c r="K14" s="13" t="n"/>
    </row>
    <row r="15">
      <c r="A15" s="17">
        <f>IF($C15="","",ROW()-3)</f>
        <v/>
      </c>
      <c r="B15" s="18" t="n">
        <v>46104</v>
      </c>
      <c r="C15" s="13" t="inlineStr">
        <is>
          <t>东尼电子26.3-4</t>
        </is>
      </c>
      <c r="D15" s="13" t="inlineStr">
        <is>
          <t>机器运转时禁止开门</t>
        </is>
      </c>
      <c r="E15" s="13" t="inlineStr">
        <is>
          <t>10*6cm</t>
        </is>
      </c>
      <c r="F15" s="13" t="inlineStr">
        <is>
          <t>张</t>
        </is>
      </c>
      <c r="G15" s="20" t="n">
        <v>50</v>
      </c>
      <c r="H15" s="14" t="n">
        <v>2</v>
      </c>
      <c r="I15" s="19">
        <f>IF($C15="","",ROUND(IF($G15="",1,$G15)*N($H15),2))</f>
        <v/>
      </c>
      <c r="J15" s="17">
        <f>IF($C15="","",IFERROR(VLOOKUP($C15,项目台账!$B:$C,2,0),"※项目不在项目台账里"))</f>
        <v/>
      </c>
      <c r="K15" s="13" t="n"/>
    </row>
    <row r="16">
      <c r="A16" s="17">
        <f>IF($C16="","",ROW()-3)</f>
        <v/>
      </c>
      <c r="B16" s="18" t="n">
        <v>46104</v>
      </c>
      <c r="C16" s="13" t="inlineStr">
        <is>
          <t>东尼电子26.3-4</t>
        </is>
      </c>
      <c r="D16" s="13" t="inlineStr">
        <is>
          <t>注意安全</t>
        </is>
      </c>
      <c r="E16" s="13" t="inlineStr">
        <is>
          <t>3*3.3cm</t>
        </is>
      </c>
      <c r="F16" s="13" t="inlineStr">
        <is>
          <t>张</t>
        </is>
      </c>
      <c r="G16" s="20" t="n">
        <v>30</v>
      </c>
      <c r="H16" s="14" t="n">
        <v>1</v>
      </c>
      <c r="I16" s="19">
        <f>IF($C16="","",ROUND(IF($G16="",1,$G16)*N($H16),2))</f>
        <v/>
      </c>
      <c r="J16" s="17">
        <f>IF($C16="","",IFERROR(VLOOKUP($C16,项目台账!$B:$C,2,0),"※项目不在项目台账里"))</f>
        <v/>
      </c>
      <c r="K16" s="13" t="n"/>
    </row>
    <row r="17">
      <c r="A17" s="17">
        <f>IF($C17="","",ROW()-3)</f>
        <v/>
      </c>
      <c r="B17" s="18" t="n">
        <v>46104</v>
      </c>
      <c r="C17" s="13" t="inlineStr">
        <is>
          <t>东尼电子26.3-4</t>
        </is>
      </c>
      <c r="D17" s="13" t="inlineStr">
        <is>
          <t>斜纹贴（酒精瓶放置处）</t>
        </is>
      </c>
      <c r="E17" s="13" t="inlineStr">
        <is>
          <t>2*5cm</t>
        </is>
      </c>
      <c r="F17" s="13" t="inlineStr">
        <is>
          <t>张</t>
        </is>
      </c>
      <c r="G17" s="20" t="n">
        <v>30</v>
      </c>
      <c r="H17" s="14" t="n">
        <v>0.5</v>
      </c>
      <c r="I17" s="19">
        <f>IF($C17="","",ROUND(IF($G17="",1,$G17)*N($H17),2))</f>
        <v/>
      </c>
      <c r="J17" s="17">
        <f>IF($C17="","",IFERROR(VLOOKUP($C17,项目台账!$B:$C,2,0),"※项目不在项目台账里"))</f>
        <v/>
      </c>
      <c r="K17" s="13" t="n"/>
    </row>
    <row r="18">
      <c r="A18" s="17">
        <f>IF($C18="","",ROW()-3)</f>
        <v/>
      </c>
      <c r="B18" s="18" t="n">
        <v>46104</v>
      </c>
      <c r="C18" s="13" t="inlineStr">
        <is>
          <t>东尼电子26.3-4</t>
        </is>
      </c>
      <c r="D18" s="13" t="inlineStr">
        <is>
          <t>斜纹贴（待确认品放置处）</t>
        </is>
      </c>
      <c r="E18" s="13" t="inlineStr">
        <is>
          <t>20*3cm</t>
        </is>
      </c>
      <c r="F18" s="13" t="inlineStr">
        <is>
          <t>张</t>
        </is>
      </c>
      <c r="G18" s="20" t="n">
        <v>30</v>
      </c>
      <c r="H18" s="14" t="n">
        <v>2</v>
      </c>
      <c r="I18" s="19">
        <f>IF($C18="","",ROUND(IF($G18="",1,$G18)*N($H18),2))</f>
        <v/>
      </c>
      <c r="J18" s="17">
        <f>IF($C18="","",IFERROR(VLOOKUP($C18,项目台账!$B:$C,2,0),"※项目不在项目台账里"))</f>
        <v/>
      </c>
      <c r="K18" s="13" t="n"/>
    </row>
    <row r="19">
      <c r="A19" s="17">
        <f>IF($C19="","",ROW()-3)</f>
        <v/>
      </c>
      <c r="B19" s="18" t="n">
        <v>46104</v>
      </c>
      <c r="C19" s="13" t="inlineStr">
        <is>
          <t>东尼电子26.3-4</t>
        </is>
      </c>
      <c r="D19" s="13" t="inlineStr">
        <is>
          <t>斜纹贴（X-ray挑战件放置处）</t>
        </is>
      </c>
      <c r="E19" s="13" t="inlineStr">
        <is>
          <t>20*3cm</t>
        </is>
      </c>
      <c r="F19" s="13" t="inlineStr">
        <is>
          <t>张</t>
        </is>
      </c>
      <c r="G19" s="20" t="n">
        <v>30</v>
      </c>
      <c r="H19" s="14" t="n">
        <v>2</v>
      </c>
      <c r="I19" s="19">
        <f>IF($C19="","",ROUND(IF($G19="",1,$G19)*N($H19),2))</f>
        <v/>
      </c>
      <c r="J19" s="17">
        <f>IF($C19="","",IFERROR(VLOOKUP($C19,项目台账!$B:$C,2,0),"※项目不在项目台账里"))</f>
        <v/>
      </c>
      <c r="K19" s="13" t="n"/>
    </row>
    <row r="20">
      <c r="A20" s="17">
        <f>IF($C20="","",ROW()-3)</f>
        <v/>
      </c>
      <c r="B20" s="18" t="n">
        <v>46104</v>
      </c>
      <c r="C20" s="13" t="inlineStr">
        <is>
          <t>东尼电子26.3-4</t>
        </is>
      </c>
      <c r="D20" s="13" t="inlineStr">
        <is>
          <t>斜纹贴（包装盘放置处）</t>
        </is>
      </c>
      <c r="E20" s="13" t="inlineStr">
        <is>
          <t>20*3cm</t>
        </is>
      </c>
      <c r="F20" s="13" t="inlineStr">
        <is>
          <t>张</t>
        </is>
      </c>
      <c r="G20" s="20" t="n">
        <v>30</v>
      </c>
      <c r="H20" s="14" t="n">
        <v>2</v>
      </c>
      <c r="I20" s="19">
        <f>IF($C20="","",ROUND(IF($G20="",1,$G20)*N($H20),2))</f>
        <v/>
      </c>
      <c r="J20" s="17">
        <f>IF($C20="","",IFERROR(VLOOKUP($C20,项目台账!$B:$C,2,0),"※项目不在项目台账里"))</f>
        <v/>
      </c>
      <c r="K20" s="13" t="n"/>
    </row>
    <row r="21">
      <c r="A21" s="17">
        <f>IF($C21="","",ROW()-3)</f>
        <v/>
      </c>
      <c r="B21" s="18" t="n">
        <v>46104</v>
      </c>
      <c r="C21" s="13" t="inlineStr">
        <is>
          <t>东尼电子26.3-4</t>
        </is>
      </c>
      <c r="D21" s="13" t="inlineStr">
        <is>
          <t>斜纹贴（物料放置处）</t>
        </is>
      </c>
      <c r="E21" s="13" t="inlineStr">
        <is>
          <t>20*3cm</t>
        </is>
      </c>
      <c r="F21" s="13" t="inlineStr">
        <is>
          <t>张</t>
        </is>
      </c>
      <c r="G21" s="20" t="n">
        <v>30</v>
      </c>
      <c r="H21" s="14" t="n">
        <v>2</v>
      </c>
      <c r="I21" s="19">
        <f>IF($C21="","",ROUND(IF($G21="",1,$G21)*N($H21),2))</f>
        <v/>
      </c>
      <c r="J21" s="17">
        <f>IF($C21="","",IFERROR(VLOOKUP($C21,项目台账!$B:$C,2,0),"※项目不在项目台账里"))</f>
        <v/>
      </c>
      <c r="K21" s="13" t="n"/>
    </row>
    <row r="22">
      <c r="A22" s="17">
        <f>IF($C22="","",ROW()-3)</f>
        <v/>
      </c>
      <c r="B22" s="18" t="n">
        <v>46104</v>
      </c>
      <c r="C22" s="13" t="inlineStr">
        <is>
          <t>东尼电子26.3-4</t>
        </is>
      </c>
      <c r="D22" s="13" t="inlineStr">
        <is>
          <t>斜纹贴（AOI挑战件放置处）</t>
        </is>
      </c>
      <c r="E22" s="13" t="inlineStr">
        <is>
          <t>20*3cm</t>
        </is>
      </c>
      <c r="F22" s="13" t="inlineStr">
        <is>
          <t>张</t>
        </is>
      </c>
      <c r="G22" s="20" t="n">
        <v>30</v>
      </c>
      <c r="H22" s="14" t="n">
        <v>2</v>
      </c>
      <c r="I22" s="19">
        <f>IF($C22="","",ROUND(IF($G22="",1,$G22)*N($H22),2))</f>
        <v/>
      </c>
      <c r="J22" s="17">
        <f>IF($C22="","",IFERROR(VLOOKUP($C22,项目台账!$B:$C,2,0),"※项目不在项目台账里"))</f>
        <v/>
      </c>
      <c r="K22" s="13" t="n"/>
    </row>
    <row r="23">
      <c r="A23" s="17">
        <f>IF($C23="","",ROW()-3)</f>
        <v/>
      </c>
      <c r="B23" s="18" t="n">
        <v>46104</v>
      </c>
      <c r="C23" s="13" t="inlineStr">
        <is>
          <t>东尼电子26.3-4</t>
        </is>
      </c>
      <c r="D23" s="13" t="inlineStr">
        <is>
          <t>禁止员工取板</t>
        </is>
      </c>
      <c r="E23" s="13" t="inlineStr">
        <is>
          <t>13*7cm</t>
        </is>
      </c>
      <c r="F23" s="13" t="inlineStr">
        <is>
          <t>张</t>
        </is>
      </c>
      <c r="G23" s="20" t="n">
        <v>30</v>
      </c>
      <c r="H23" s="14" t="n">
        <v>2</v>
      </c>
      <c r="I23" s="19">
        <f>IF($C23="","",ROUND(IF($G23="",1,$G23)*N($H23),2))</f>
        <v/>
      </c>
      <c r="J23" s="17">
        <f>IF($C23="","",IFERROR(VLOOKUP($C23,项目台账!$B:$C,2,0),"※项目不在项目台账里"))</f>
        <v/>
      </c>
      <c r="K23" s="13" t="n"/>
    </row>
    <row r="24">
      <c r="A24" s="17">
        <f>IF($C24="","",ROW()-3)</f>
        <v/>
      </c>
      <c r="B24" s="18" t="n">
        <v>46104</v>
      </c>
      <c r="C24" s="13" t="inlineStr">
        <is>
          <t>东尼电子26.3-4</t>
        </is>
      </c>
      <c r="D24" s="13" t="inlineStr">
        <is>
          <t>非指定人员禁止操作</t>
        </is>
      </c>
      <c r="E24" s="13" t="inlineStr">
        <is>
          <t>14*8cm</t>
        </is>
      </c>
      <c r="F24" s="13" t="inlineStr">
        <is>
          <t>张</t>
        </is>
      </c>
      <c r="G24" s="20" t="n">
        <v>30</v>
      </c>
      <c r="H24" s="14" t="n">
        <v>2</v>
      </c>
      <c r="I24" s="19">
        <f>IF($C24="","",ROUND(IF($G24="",1,$G24)*N($H24),2))</f>
        <v/>
      </c>
      <c r="J24" s="17">
        <f>IF($C24="","",IFERROR(VLOOKUP($C24,项目台账!$B:$C,2,0),"※项目不在项目台账里"))</f>
        <v/>
      </c>
      <c r="K24" s="13" t="n"/>
    </row>
    <row r="25">
      <c r="A25" s="17">
        <f>IF($C25="","",ROW()-3)</f>
        <v/>
      </c>
      <c r="B25" s="18" t="n">
        <v>46104</v>
      </c>
      <c r="C25" s="13" t="inlineStr">
        <is>
          <t>东尼电子26.3-4</t>
        </is>
      </c>
      <c r="D25" s="13" t="inlineStr">
        <is>
          <t>固化提醒</t>
        </is>
      </c>
      <c r="E25" s="13" t="inlineStr">
        <is>
          <t>17*22cm</t>
        </is>
      </c>
      <c r="F25" s="13" t="inlineStr">
        <is>
          <t>张</t>
        </is>
      </c>
      <c r="G25" s="20" t="n">
        <v>30</v>
      </c>
      <c r="H25" s="14" t="n">
        <v>3</v>
      </c>
      <c r="I25" s="19">
        <f>IF($C25="","",ROUND(IF($G25="",1,$G25)*N($H25),2))</f>
        <v/>
      </c>
      <c r="J25" s="17">
        <f>IF($C25="","",IFERROR(VLOOKUP($C25,项目台账!$B:$C,2,0),"※项目不在项目台账里"))</f>
        <v/>
      </c>
      <c r="K25" s="13" t="n"/>
    </row>
    <row r="26">
      <c r="A26" s="17">
        <f>IF($C26="","",ROW()-3)</f>
        <v/>
      </c>
      <c r="B26" s="18" t="n">
        <v>46104</v>
      </c>
      <c r="C26" s="13" t="inlineStr">
        <is>
          <t>东尼电子26.3-4</t>
        </is>
      </c>
      <c r="D26" s="13" t="inlineStr">
        <is>
          <t>异常反馈时机</t>
        </is>
      </c>
      <c r="E26" s="13" t="inlineStr">
        <is>
          <t>29*5cm</t>
        </is>
      </c>
      <c r="F26" s="13" t="inlineStr">
        <is>
          <t>张</t>
        </is>
      </c>
      <c r="G26" s="20" t="n">
        <v>20</v>
      </c>
      <c r="H26" s="14" t="n">
        <v>3</v>
      </c>
      <c r="I26" s="19">
        <f>IF($C26="","",ROUND(IF($G26="",1,$G26)*N($H26),2))</f>
        <v/>
      </c>
      <c r="J26" s="17">
        <f>IF($C26="","",IFERROR(VLOOKUP($C26,项目台账!$B:$C,2,0),"※项目不在项目台账里"))</f>
        <v/>
      </c>
      <c r="K26" s="13" t="n"/>
    </row>
    <row r="27">
      <c r="A27" s="17">
        <f>IF($C27="","",ROW()-3)</f>
        <v/>
      </c>
      <c r="B27" s="18" t="n">
        <v>46104</v>
      </c>
      <c r="C27" s="13" t="inlineStr">
        <is>
          <t>东尼电子26.3-4</t>
        </is>
      </c>
      <c r="D27" s="13" t="inlineStr">
        <is>
          <t>产品拿取要求</t>
        </is>
      </c>
      <c r="E27" s="13" t="inlineStr">
        <is>
          <t>29*5cm</t>
        </is>
      </c>
      <c r="F27" s="13" t="inlineStr">
        <is>
          <t>张</t>
        </is>
      </c>
      <c r="G27" s="20" t="n">
        <v>20</v>
      </c>
      <c r="H27" s="14" t="n">
        <v>3</v>
      </c>
      <c r="I27" s="19">
        <f>IF($C27="","",ROUND(IF($G27="",1,$G27)*N($H27),2))</f>
        <v/>
      </c>
      <c r="J27" s="17">
        <f>IF($C27="","",IFERROR(VLOOKUP($C27,项目台账!$B:$C,2,0),"※项目不在项目台账里"))</f>
        <v/>
      </c>
      <c r="K27" s="13" t="n"/>
    </row>
    <row r="28">
      <c r="A28" s="17">
        <f>IF($C28="","",ROW()-3)</f>
        <v/>
      </c>
      <c r="B28" s="18" t="n">
        <v>46104</v>
      </c>
      <c r="C28" s="13" t="inlineStr">
        <is>
          <t>东尼电子26.3-4</t>
        </is>
      </c>
      <c r="D28" s="13" t="inlineStr">
        <is>
          <t>禁止徒手触摸产品</t>
        </is>
      </c>
      <c r="E28" s="13" t="inlineStr">
        <is>
          <t>20*8cm</t>
        </is>
      </c>
      <c r="F28" s="13" t="inlineStr">
        <is>
          <t>张</t>
        </is>
      </c>
      <c r="G28" s="20" t="n">
        <v>50</v>
      </c>
      <c r="H28" s="14" t="n">
        <v>2</v>
      </c>
      <c r="I28" s="19">
        <f>IF($C28="","",ROUND(IF($G28="",1,$G28)*N($H28),2))</f>
        <v/>
      </c>
      <c r="J28" s="17">
        <f>IF($C28="","",IFERROR(VLOOKUP($C28,项目台账!$B:$C,2,0),"※项目不在项目台账里"))</f>
        <v/>
      </c>
      <c r="K28" s="13" t="n"/>
    </row>
    <row r="29">
      <c r="A29" s="17">
        <f>IF($C29="","",ROW()-3)</f>
        <v/>
      </c>
      <c r="B29" s="18" t="n">
        <v>46104</v>
      </c>
      <c r="C29" s="13" t="inlineStr">
        <is>
          <t>东尼电子26.3-4</t>
        </is>
      </c>
      <c r="D29" s="13" t="inlineStr">
        <is>
          <t>细心点检</t>
        </is>
      </c>
      <c r="E29" s="13" t="inlineStr">
        <is>
          <t>14X3cm</t>
        </is>
      </c>
      <c r="F29" s="13" t="inlineStr">
        <is>
          <t>张</t>
        </is>
      </c>
      <c r="G29" s="20" t="n">
        <v>50</v>
      </c>
      <c r="H29" s="14" t="n">
        <v>1</v>
      </c>
      <c r="I29" s="19">
        <f>IF($C29="","",ROUND(IF($G29="",1,$G29)*N($H29),2))</f>
        <v/>
      </c>
      <c r="J29" s="17">
        <f>IF($C29="","",IFERROR(VLOOKUP($C29,项目台账!$B:$C,2,0),"※项目不在项目台账里"))</f>
        <v/>
      </c>
      <c r="K29" s="13" t="n"/>
    </row>
    <row r="30">
      <c r="A30" s="17">
        <f>IF($C30="","",ROW()-3)</f>
        <v/>
      </c>
      <c r="B30" s="18" t="n">
        <v>46104</v>
      </c>
      <c r="C30" s="13" t="inlineStr">
        <is>
          <t>东尼电子26.3-4</t>
        </is>
      </c>
      <c r="D30" s="13" t="inlineStr">
        <is>
          <t>斜纹贴（不合格品放置处）</t>
        </is>
      </c>
      <c r="E30" s="13" t="inlineStr">
        <is>
          <t>20*3cm</t>
        </is>
      </c>
      <c r="F30" s="13" t="inlineStr">
        <is>
          <t>张</t>
        </is>
      </c>
      <c r="G30" s="20" t="n">
        <v>50</v>
      </c>
      <c r="H30" s="14" t="n">
        <v>2</v>
      </c>
      <c r="I30" s="19">
        <f>IF($C30="","",ROUND(IF($G30="",1,$G30)*N($H30),2))</f>
        <v/>
      </c>
      <c r="J30" s="17">
        <f>IF($C30="","",IFERROR(VLOOKUP($C30,项目台账!$B:$C,2,0),"※项目不在项目台账里"))</f>
        <v/>
      </c>
      <c r="K30" s="13" t="n"/>
    </row>
    <row r="31">
      <c r="A31" s="17">
        <f>IF($C31="","",ROW()-3)</f>
        <v/>
      </c>
      <c r="B31" s="18" t="n">
        <v>46104</v>
      </c>
      <c r="C31" s="13" t="inlineStr">
        <is>
          <t>东尼电子26.3-4</t>
        </is>
      </c>
      <c r="D31" s="13" t="inlineStr">
        <is>
          <t>斜纹贴（电测挑战件放置区）</t>
        </is>
      </c>
      <c r="E31" s="13" t="inlineStr">
        <is>
          <t>20*3cm</t>
        </is>
      </c>
      <c r="F31" s="13" t="inlineStr">
        <is>
          <t>张</t>
        </is>
      </c>
      <c r="G31" s="20" t="n">
        <v>30</v>
      </c>
      <c r="H31" s="14" t="n">
        <v>2</v>
      </c>
      <c r="I31" s="19">
        <f>IF($C31="","",ROUND(IF($G31="",1,$G31)*N($H31),2))</f>
        <v/>
      </c>
      <c r="J31" s="17">
        <f>IF($C31="","",IFERROR(VLOOKUP($C31,项目台账!$B:$C,2,0),"※项目不在项目台账里"))</f>
        <v/>
      </c>
      <c r="K31" s="13" t="n"/>
    </row>
    <row r="32">
      <c r="A32" s="17">
        <f>IF($C32="","",ROW()-3)</f>
        <v/>
      </c>
      <c r="B32" s="18" t="n">
        <v>46104</v>
      </c>
      <c r="C32" s="13" t="inlineStr">
        <is>
          <t>东尼电子26.3-4</t>
        </is>
      </c>
      <c r="D32" s="13" t="inlineStr">
        <is>
          <t>禁止拍照</t>
        </is>
      </c>
      <c r="E32" s="13" t="inlineStr">
        <is>
          <t>17*10cm  亚克力厚度2.2mm
带背胶带圆角</t>
        </is>
      </c>
      <c r="F32" s="13" t="inlineStr">
        <is>
          <t>个</t>
        </is>
      </c>
      <c r="G32" s="20" t="n">
        <v>20</v>
      </c>
      <c r="H32" s="14" t="n">
        <v>6</v>
      </c>
      <c r="I32" s="19">
        <f>IF($C32="","",ROUND(IF($G32="",1,$G32)*N($H32),2))</f>
        <v/>
      </c>
      <c r="J32" s="17">
        <f>IF($C32="","",IFERROR(VLOOKUP($C32,项目台账!$B:$C,2,0),"※项目不在项目台账里"))</f>
        <v/>
      </c>
      <c r="K32" s="13" t="n"/>
    </row>
    <row r="33">
      <c r="A33" s="17">
        <f>IF($C33="","",ROW()-3)</f>
        <v/>
      </c>
      <c r="B33" s="18" t="n">
        <v>46104</v>
      </c>
      <c r="C33" s="13" t="inlineStr">
        <is>
          <t>东尼电子26.3-4</t>
        </is>
      </c>
      <c r="D33" s="13" t="inlineStr">
        <is>
          <t>斜纹贴（标准文件放置处）</t>
        </is>
      </c>
      <c r="E33" s="13" t="inlineStr">
        <is>
          <t>20*3cm</t>
        </is>
      </c>
      <c r="F33" s="13" t="inlineStr">
        <is>
          <t>张</t>
        </is>
      </c>
      <c r="G33" s="20" t="n">
        <v>50</v>
      </c>
      <c r="H33" s="14" t="n">
        <v>2</v>
      </c>
      <c r="I33" s="19">
        <f>IF($C33="","",ROUND(IF($G33="",1,$G33)*N($H33),2))</f>
        <v/>
      </c>
      <c r="J33" s="17">
        <f>IF($C33="","",IFERROR(VLOOKUP($C33,项目台账!$B:$C,2,0),"※项目不在项目台账里"))</f>
        <v/>
      </c>
      <c r="K33" s="13" t="n"/>
    </row>
    <row r="34">
      <c r="A34" s="17">
        <f>IF($C34="","",ROW()-3)</f>
        <v/>
      </c>
      <c r="B34" s="18" t="n">
        <v>46104</v>
      </c>
      <c r="C34" s="13" t="inlineStr">
        <is>
          <t>东尼电子26.3-4</t>
        </is>
      </c>
      <c r="D34" s="13" t="inlineStr">
        <is>
          <t>斜纹贴(作业表单放置处)</t>
        </is>
      </c>
      <c r="E34" s="13" t="inlineStr">
        <is>
          <t>20*3cm</t>
        </is>
      </c>
      <c r="F34" s="13" t="inlineStr">
        <is>
          <t>张</t>
        </is>
      </c>
      <c r="G34" s="20" t="n">
        <v>50</v>
      </c>
      <c r="H34" s="14" t="n">
        <v>2</v>
      </c>
      <c r="I34" s="19">
        <f>IF($C34="","",ROUND(IF($G34="",1,$G34)*N($H34),2))</f>
        <v/>
      </c>
      <c r="J34" s="17">
        <f>IF($C34="","",IFERROR(VLOOKUP($C34,项目台账!$B:$C,2,0),"※项目不在项目台账里"))</f>
        <v/>
      </c>
      <c r="K34" s="13" t="n"/>
    </row>
    <row r="35">
      <c r="A35" s="17">
        <f>IF($C35="","",ROW()-3)</f>
        <v/>
      </c>
      <c r="B35" s="18" t="n">
        <v>46104</v>
      </c>
      <c r="C35" s="13" t="inlineStr">
        <is>
          <t>东尼电子26.3-4</t>
        </is>
      </c>
      <c r="D35" s="13" t="inlineStr">
        <is>
          <t>常闭门
禁止长时间打开</t>
        </is>
      </c>
      <c r="E35" s="13" t="inlineStr">
        <is>
          <t>20*5cm</t>
        </is>
      </c>
      <c r="F35" s="13" t="inlineStr">
        <is>
          <t>张</t>
        </is>
      </c>
      <c r="G35" s="20" t="n">
        <v>20</v>
      </c>
      <c r="H35" s="14" t="n">
        <v>2</v>
      </c>
      <c r="I35" s="19">
        <f>IF($C35="","",ROUND(IF($G35="",1,$G35)*N($H35),2))</f>
        <v/>
      </c>
      <c r="J35" s="17">
        <f>IF($C35="","",IFERROR(VLOOKUP($C35,项目台账!$B:$C,2,0),"※项目不在项目台账里"))</f>
        <v/>
      </c>
      <c r="K35" s="13" t="n"/>
    </row>
    <row r="36">
      <c r="A36" s="17">
        <f>IF($C36="","",ROW()-3)</f>
        <v/>
      </c>
      <c r="B36" s="18" t="n">
        <v>46104</v>
      </c>
      <c r="C36" s="13" t="inlineStr">
        <is>
          <t>东尼电子26.3-4</t>
        </is>
      </c>
      <c r="D36" s="13" t="inlineStr">
        <is>
          <t>NPM上料禁止“A"刷"B"一旦发现直接开除</t>
        </is>
      </c>
      <c r="E36" s="13" t="inlineStr">
        <is>
          <t>20*5cm</t>
        </is>
      </c>
      <c r="F36" s="13" t="inlineStr">
        <is>
          <t>张</t>
        </is>
      </c>
      <c r="G36" s="20" t="n">
        <v>20</v>
      </c>
      <c r="H36" s="14" t="n">
        <v>2</v>
      </c>
      <c r="I36" s="19">
        <f>IF($C36="","",ROUND(IF($G36="",1,$G36)*N($H36),2))</f>
        <v/>
      </c>
      <c r="J36" s="17">
        <f>IF($C36="","",IFERROR(VLOOKUP($C36,项目台账!$B:$C,2,0),"※项目不在项目台账里"))</f>
        <v/>
      </c>
      <c r="K36" s="13" t="n"/>
    </row>
    <row r="37">
      <c r="A37" s="17">
        <f>IF($C37="","",ROW()-3)</f>
        <v/>
      </c>
      <c r="B37" s="18" t="n">
        <v>46104</v>
      </c>
      <c r="C37" s="13" t="inlineStr">
        <is>
          <t>东尼电子26.3-4</t>
        </is>
      </c>
      <c r="D37" s="13" t="inlineStr">
        <is>
          <t>端子压接禁止”A“打”B"</t>
        </is>
      </c>
      <c r="E37" s="13" t="inlineStr">
        <is>
          <t>20*5cm</t>
        </is>
      </c>
      <c r="F37" s="13" t="inlineStr">
        <is>
          <t>张</t>
        </is>
      </c>
      <c r="G37" s="20" t="n">
        <v>20</v>
      </c>
      <c r="H37" s="14" t="n">
        <v>2</v>
      </c>
      <c r="I37" s="19">
        <f>IF($C37="","",ROUND(IF($G37="",1,$G37)*N($H37),2))</f>
        <v/>
      </c>
      <c r="J37" s="17">
        <f>IF($C37="","",IFERROR(VLOOKUP($C37,项目台账!$B:$C,2,0),"※项目不在项目台账里"))</f>
        <v/>
      </c>
      <c r="K37" s="13" t="n"/>
    </row>
    <row r="38">
      <c r="A38" s="17">
        <f>IF($C38="","",ROW()-3)</f>
        <v/>
      </c>
      <c r="B38" s="18" t="n">
        <v>46104</v>
      </c>
      <c r="C38" s="13" t="inlineStr">
        <is>
          <t>东尼电子26.3-4</t>
        </is>
      </c>
      <c r="D38" s="13" t="inlineStr">
        <is>
          <t>注意压接面向</t>
        </is>
      </c>
      <c r="E38" s="13" t="inlineStr">
        <is>
          <t>10*6cm</t>
        </is>
      </c>
      <c r="F38" s="13" t="inlineStr">
        <is>
          <t>张</t>
        </is>
      </c>
      <c r="G38" s="20" t="n">
        <v>20</v>
      </c>
      <c r="H38" s="14" t="n">
        <v>2</v>
      </c>
      <c r="I38" s="19">
        <f>IF($C38="","",ROUND(IF($G38="",1,$G38)*N($H38),2))</f>
        <v/>
      </c>
      <c r="J38" s="17">
        <f>IF($C38="","",IFERROR(VLOOKUP($C38,项目台账!$B:$C,2,0),"※项目不在项目台账里"))</f>
        <v/>
      </c>
      <c r="K38" s="13" t="n"/>
    </row>
    <row r="39">
      <c r="A39" s="17">
        <f>IF($C39="","",ROW()-3)</f>
        <v/>
      </c>
      <c r="B39" s="18" t="n">
        <v>46106</v>
      </c>
      <c r="C39" s="13" t="inlineStr">
        <is>
          <t>东尼电子26.3-4</t>
        </is>
      </c>
      <c r="D39" s="13" t="inlineStr">
        <is>
          <t>号码牌</t>
        </is>
      </c>
      <c r="E39" s="13" t="inlineStr">
        <is>
          <t>-</t>
        </is>
      </c>
      <c r="F39" s="13" t="inlineStr">
        <is>
          <t>张</t>
        </is>
      </c>
      <c r="G39" s="20" t="n">
        <v>190</v>
      </c>
      <c r="H39" s="14" t="n">
        <v>1.85</v>
      </c>
      <c r="I39" s="19">
        <f>IF($C39="","",ROUND(IF($G39="",1,$G39)*N($H39),2))</f>
        <v/>
      </c>
      <c r="J39" s="17">
        <f>IF($C39="","",IFERROR(VLOOKUP($C39,项目台账!$B:$C,2,0),"※项目不在项目台账里"))</f>
        <v/>
      </c>
      <c r="K39" s="13" t="inlineStr">
        <is>
          <t>待打拔产品放置处*30
待专检产品放置处*30
打拔毕产品放置处*30
待包装产品放置处*30</t>
        </is>
      </c>
    </row>
    <row r="40">
      <c r="A40" s="17">
        <f>IF($C40="","",ROW()-3)</f>
        <v/>
      </c>
      <c r="B40" s="18" t="n">
        <v>46106</v>
      </c>
      <c r="C40" s="13" t="inlineStr">
        <is>
          <t>东尼电子26.3-4</t>
        </is>
      </c>
      <c r="D40" s="13" t="inlineStr">
        <is>
          <t>斜纹贴纸（待专检产品放置处、</t>
        </is>
      </c>
      <c r="E40" s="13" t="inlineStr">
        <is>
          <t>28*5cm</t>
        </is>
      </c>
      <c r="F40" s="13" t="inlineStr">
        <is>
          <t>张</t>
        </is>
      </c>
      <c r="G40" s="20" t="n">
        <v>120</v>
      </c>
      <c r="H40" s="14" t="n">
        <v>2</v>
      </c>
      <c r="I40" s="19">
        <f>IF($C40="","",ROUND(IF($G40="",1,$G40)*N($H40),2))</f>
        <v/>
      </c>
      <c r="J40" s="17">
        <f>IF($C40="","",IFERROR(VLOOKUP($C40,项目台账!$B:$C,2,0),"※项目不在项目台账里"))</f>
        <v/>
      </c>
      <c r="K40" s="13" t="n"/>
    </row>
    <row r="41">
      <c r="A41" s="17">
        <f>IF($C41="","",ROW()-3)</f>
        <v/>
      </c>
      <c r="B41" s="18" t="n">
        <v>46106</v>
      </c>
      <c r="C41" s="13" t="inlineStr">
        <is>
          <t>东尼电子26.3-4</t>
        </is>
      </c>
      <c r="D41" s="13" t="inlineStr">
        <is>
          <t>标识牌（阀体保养室）</t>
        </is>
      </c>
      <c r="E41" s="13" t="inlineStr">
        <is>
          <t>42*30cm</t>
        </is>
      </c>
      <c r="F41" s="13" t="inlineStr">
        <is>
          <t>块</t>
        </is>
      </c>
      <c r="G41" s="20" t="n">
        <v>1</v>
      </c>
      <c r="H41" s="14" t="n">
        <v>20</v>
      </c>
      <c r="I41" s="19">
        <f>IF($C41="","",ROUND(IF($G41="",1,$G41)*N($H41),2))</f>
        <v/>
      </c>
      <c r="J41" s="17">
        <f>IF($C41="","",IFERROR(VLOOKUP($C41,项目台账!$B:$C,2,0),"※项目不在项目台账里"))</f>
        <v/>
      </c>
      <c r="K41" s="13" t="n"/>
    </row>
    <row r="42">
      <c r="A42" s="17">
        <f>IF($C42="","",ROW()-3)</f>
        <v/>
      </c>
      <c r="B42" s="18" t="n">
        <v>46148</v>
      </c>
      <c r="C42" s="13" t="inlineStr">
        <is>
          <t>东尼电子26.5</t>
        </is>
      </c>
      <c r="D42" s="13" t="inlineStr">
        <is>
          <t>贴纸（宿舍值日表)</t>
        </is>
      </c>
      <c r="E42" s="13" t="inlineStr">
        <is>
          <t>A4户外防水贴纸</t>
        </is>
      </c>
      <c r="F42" s="13" t="inlineStr">
        <is>
          <t>张</t>
        </is>
      </c>
      <c r="G42" s="20" t="n">
        <v>330</v>
      </c>
      <c r="H42" s="14" t="n">
        <v>3</v>
      </c>
      <c r="I42" s="19">
        <f>IF($C42="","",ROUND(IF($G42="",1,$G42)*N($H42),2))</f>
        <v/>
      </c>
      <c r="J42" s="17">
        <f>IF($C42="","",IFERROR(VLOOKUP($C42,项目台账!$B:$C,2,0),"※项目不在项目台账里"))</f>
        <v/>
      </c>
      <c r="K42" s="13" t="n"/>
    </row>
    <row r="43">
      <c r="A43" s="17">
        <f>IF($C43="","",ROW()-3)</f>
        <v/>
      </c>
      <c r="B43" s="18" t="n">
        <v>46148</v>
      </c>
      <c r="C43" s="13" t="inlineStr">
        <is>
          <t>东尼电子26.5</t>
        </is>
      </c>
      <c r="D43" s="13" t="inlineStr">
        <is>
          <t>超透彩白彩</t>
        </is>
      </c>
      <c r="E43" s="13" t="inlineStr">
        <is>
          <t>高50CM 宽70CM</t>
        </is>
      </c>
      <c r="F43" s="13" t="inlineStr">
        <is>
          <t>张</t>
        </is>
      </c>
      <c r="G43" s="20" t="n">
        <v>2</v>
      </c>
      <c r="H43" s="14" t="n">
        <v>16</v>
      </c>
      <c r="I43" s="19">
        <f>IF($C43="","",ROUND(IF($G43="",1,$G43)*N($H43),2))</f>
        <v/>
      </c>
      <c r="J43" s="17">
        <f>IF($C43="","",IFERROR(VLOOKUP($C43,项目台账!$B:$C,2,0),"※项目不在项目台账里"))</f>
        <v/>
      </c>
      <c r="K43" s="13" t="n"/>
    </row>
    <row r="44">
      <c r="A44" s="17">
        <f>IF($C44="","",ROW()-3)</f>
        <v/>
      </c>
      <c r="B44" s="18" t="n">
        <v>46150</v>
      </c>
      <c r="C44" s="13" t="inlineStr">
        <is>
          <t>东尼电子26.5</t>
        </is>
      </c>
      <c r="D44" s="13" t="inlineStr">
        <is>
          <t>标识牌（固定车位、请勿占用）</t>
        </is>
      </c>
      <c r="E44" s="13" t="inlineStr">
        <is>
          <t>不锈钢 10*70</t>
        </is>
      </c>
      <c r="F44" s="13" t="inlineStr">
        <is>
          <t>块</t>
        </is>
      </c>
      <c r="G44" s="20" t="n">
        <v>17</v>
      </c>
      <c r="H44" s="14" t="n"/>
      <c r="I44" s="19">
        <f>IF($C44="","",ROUND(IF($G44="",1,$G44)*N($H44),2))</f>
        <v/>
      </c>
      <c r="J44" s="17">
        <f>IF($C44="","",IFERROR(VLOOKUP($C44,项目台账!$B:$C,2,0),"※项目不在项目台账里"))</f>
        <v/>
      </c>
      <c r="K44" s="13" t="n"/>
    </row>
    <row r="45">
      <c r="A45" s="17">
        <f>IF($C45="","",ROW()-3)</f>
        <v/>
      </c>
      <c r="B45" s="18" t="n">
        <v>46150</v>
      </c>
      <c r="C45" s="13" t="inlineStr">
        <is>
          <t>东尼电子26.5</t>
        </is>
      </c>
      <c r="D45" s="13" t="inlineStr">
        <is>
          <t>斜纹贴纸（通风口 禁止遮挡）</t>
        </is>
      </c>
      <c r="E45" s="13" t="inlineStr">
        <is>
          <t>210*150mm</t>
        </is>
      </c>
      <c r="F45" s="13" t="inlineStr">
        <is>
          <t>张</t>
        </is>
      </c>
      <c r="G45" s="20" t="n">
        <v>50</v>
      </c>
      <c r="H45" s="14" t="n">
        <v>3</v>
      </c>
      <c r="I45" s="19">
        <f>IF($C45="","",ROUND(IF($G45="",1,$G45)*N($H45),2))</f>
        <v/>
      </c>
      <c r="J45" s="17">
        <f>IF($C45="","",IFERROR(VLOOKUP($C45,项目台账!$B:$C,2,0),"※项目不在项目台账里"))</f>
        <v/>
      </c>
      <c r="K45" s="13" t="n"/>
    </row>
    <row r="46">
      <c r="A46" s="17">
        <f>IF($C46="","",ROW()-3)</f>
        <v/>
      </c>
      <c r="B46" s="18" t="n">
        <v>46154</v>
      </c>
      <c r="C46" s="13" t="inlineStr">
        <is>
          <t>东尼电子26.5</t>
        </is>
      </c>
      <c r="D46" s="13" t="inlineStr">
        <is>
          <t>标识牌（异常反馈机制）</t>
        </is>
      </c>
      <c r="E46" s="13" t="inlineStr">
        <is>
          <t>29cmX5cm
1mm亚克力+背胶</t>
        </is>
      </c>
      <c r="F46" s="13" t="inlineStr">
        <is>
          <t>张</t>
        </is>
      </c>
      <c r="G46" s="20" t="n">
        <v>30</v>
      </c>
      <c r="H46" s="14" t="n">
        <v>4.2</v>
      </c>
      <c r="I46" s="19">
        <f>IF($C46="","",ROUND(IF($G46="",1,$G46)*N($H46),2))</f>
        <v/>
      </c>
      <c r="J46" s="17">
        <f>IF($C46="","",IFERROR(VLOOKUP($C46,项目台账!$B:$C,2,0),"※项目不在项目台账里"))</f>
        <v/>
      </c>
      <c r="K46" s="13" t="n"/>
    </row>
    <row r="47">
      <c r="A47" s="17">
        <f>IF($C47="","",ROW()-3)</f>
        <v/>
      </c>
      <c r="B47" s="18" t="n">
        <v>46154</v>
      </c>
      <c r="C47" s="13" t="inlineStr">
        <is>
          <t>东尼电子26.5</t>
        </is>
      </c>
      <c r="D47" s="13" t="inlineStr">
        <is>
          <t>标识牌（细心点检）</t>
        </is>
      </c>
      <c r="E47" s="13" t="inlineStr">
        <is>
          <t>:14cmX3cm
1mm亚克力+背胶</t>
        </is>
      </c>
      <c r="F47" s="13" t="inlineStr">
        <is>
          <t>张</t>
        </is>
      </c>
      <c r="G47" s="20" t="n">
        <v>30</v>
      </c>
      <c r="H47" s="14" t="n">
        <v>1.5</v>
      </c>
      <c r="I47" s="19">
        <f>IF($C47="","",ROUND(IF($G47="",1,$G47)*N($H47),2))</f>
        <v/>
      </c>
      <c r="J47" s="17">
        <f>IF($C47="","",IFERROR(VLOOKUP($C47,项目台账!$B:$C,2,0),"※项目不在项目台账里"))</f>
        <v/>
      </c>
      <c r="K47" s="13" t="n"/>
    </row>
    <row r="48">
      <c r="A48" s="17">
        <f>IF($C48="","",ROW()-3)</f>
        <v/>
      </c>
      <c r="B48" s="18" t="n">
        <v>46154</v>
      </c>
      <c r="C48" s="13" t="inlineStr">
        <is>
          <t>东尼电子26.5</t>
        </is>
      </c>
      <c r="D48" s="13" t="inlineStr">
        <is>
          <t>标识（卷帘门下严禁站人和堆物）</t>
        </is>
      </c>
      <c r="E48" s="13" t="inlineStr">
        <is>
          <t>宽20cm*高80cm
2mm亚克力+背胶</t>
        </is>
      </c>
      <c r="F48" s="13" t="inlineStr">
        <is>
          <t>张</t>
        </is>
      </c>
      <c r="G48" s="20" t="n">
        <v>3</v>
      </c>
      <c r="H48" s="14" t="n">
        <v>60</v>
      </c>
      <c r="I48" s="19">
        <f>IF($C48="","",ROUND(IF($G48="",1,$G48)*N($H48),2))</f>
        <v/>
      </c>
      <c r="J48" s="17">
        <f>IF($C48="","",IFERROR(VLOOKUP($C48,项目台账!$B:$C,2,0),"※项目不在项目台账里"))</f>
        <v/>
      </c>
      <c r="K48" s="13" t="n"/>
    </row>
    <row r="49">
      <c r="A49" s="17">
        <f>IF($C49="","",ROW()-3)</f>
        <v/>
      </c>
      <c r="B49" s="18" t="n">
        <v>46160</v>
      </c>
      <c r="C49" s="13" t="inlineStr">
        <is>
          <t>东尼电子26.5</t>
        </is>
      </c>
      <c r="D49" s="13" t="inlineStr">
        <is>
          <t>设备编码标签</t>
        </is>
      </c>
      <c r="E49" s="13" t="inlineStr">
        <is>
          <t>65*30mm
2mm亚克力+背胶</t>
        </is>
      </c>
      <c r="F49" s="13" t="inlineStr">
        <is>
          <t>张</t>
        </is>
      </c>
      <c r="G49" s="20" t="n">
        <v>6</v>
      </c>
      <c r="H49" s="14" t="n">
        <v>1.5</v>
      </c>
      <c r="I49" s="19">
        <f>IF($C49="","",ROUND(IF($G49="",1,$G49)*N($H49),2))</f>
        <v/>
      </c>
      <c r="J49" s="17">
        <f>IF($C49="","",IFERROR(VLOOKUP($C49,项目台账!$B:$C,2,0),"※项目不在项目台账里"))</f>
        <v/>
      </c>
      <c r="K49" s="13" t="n"/>
    </row>
    <row r="50">
      <c r="A50" s="17">
        <f>IF($C50="","",ROW()-3)</f>
        <v/>
      </c>
      <c r="B50" s="18" t="n">
        <v>46160</v>
      </c>
      <c r="C50" s="13" t="inlineStr">
        <is>
          <t>东尼电子26.5</t>
        </is>
      </c>
      <c r="D50" s="13" t="inlineStr">
        <is>
          <t>设备验收合格标签</t>
        </is>
      </c>
      <c r="E50" s="13" t="inlineStr">
        <is>
          <t>75*23mm
2mm亚克力+背胶</t>
        </is>
      </c>
      <c r="F50" s="13" t="inlineStr">
        <is>
          <t>张</t>
        </is>
      </c>
      <c r="G50" s="20" t="n">
        <v>6</v>
      </c>
      <c r="H50" s="14" t="n">
        <v>1.5</v>
      </c>
      <c r="I50" s="19">
        <f>IF($C50="","",ROUND(IF($G50="",1,$G50)*N($H50),2))</f>
        <v/>
      </c>
      <c r="J50" s="17">
        <f>IF($C50="","",IFERROR(VLOOKUP($C50,项目台账!$B:$C,2,0),"※项目不在项目台账里"))</f>
        <v/>
      </c>
      <c r="K50" s="13" t="n"/>
    </row>
    <row r="51">
      <c r="A51" s="17">
        <f>IF($C51="","",ROW()-3)</f>
        <v/>
      </c>
      <c r="B51" s="18" t="n">
        <v>46160</v>
      </c>
      <c r="C51" s="13" t="inlineStr">
        <is>
          <t>东尼电子26.5</t>
        </is>
      </c>
      <c r="D51" s="13" t="inlineStr">
        <is>
          <t>背胶贴膜</t>
        </is>
      </c>
      <c r="E51" s="13" t="inlineStr">
        <is>
          <t>30*40cm</t>
        </is>
      </c>
      <c r="F51" s="13" t="inlineStr">
        <is>
          <t>块</t>
        </is>
      </c>
      <c r="G51" s="20" t="n">
        <v>12</v>
      </c>
      <c r="H51" s="14" t="n">
        <v>6</v>
      </c>
      <c r="I51" s="19">
        <f>IF($C51="","",ROUND(IF($G51="",1,$G51)*N($H51),2))</f>
        <v/>
      </c>
      <c r="J51" s="17">
        <f>IF($C51="","",IFERROR(VLOOKUP($C51,项目台账!$B:$C,2,0),"※项目不在项目台账里"))</f>
        <v/>
      </c>
      <c r="K51" s="13" t="n"/>
    </row>
    <row r="52">
      <c r="A52" s="17">
        <f>IF($C52="","",ROW()-3)</f>
        <v/>
      </c>
      <c r="B52" s="18" t="n">
        <v>46161</v>
      </c>
      <c r="C52" s="13" t="inlineStr">
        <is>
          <t>东尼电子26.5</t>
        </is>
      </c>
      <c r="D52" s="13" t="inlineStr">
        <is>
          <t>标识牌（FPCA-课线边物料仓）</t>
        </is>
      </c>
      <c r="E52" s="13" t="inlineStr">
        <is>
          <t>42*30cm</t>
        </is>
      </c>
      <c r="F52" s="13" t="inlineStr">
        <is>
          <t>块</t>
        </is>
      </c>
      <c r="G52" s="20" t="n">
        <v>1</v>
      </c>
      <c r="H52" s="14" t="n">
        <v>20</v>
      </c>
      <c r="I52" s="19">
        <f>IF($C52="","",ROUND(IF($G52="",1,$G52)*N($H52),2))</f>
        <v/>
      </c>
      <c r="J52" s="17">
        <f>IF($C52="","",IFERROR(VLOOKUP($C52,项目台账!$B:$C,2,0),"※项目不在项目台账里"))</f>
        <v/>
      </c>
      <c r="K52" s="13" t="n"/>
    </row>
    <row r="53">
      <c r="A53" s="17">
        <f>IF($C53="","",ROW()-3)</f>
        <v/>
      </c>
      <c r="B53" s="18" t="n">
        <v>46162</v>
      </c>
      <c r="C53" s="13" t="inlineStr">
        <is>
          <t>东尼电子26.5</t>
        </is>
      </c>
      <c r="D53" s="13" t="inlineStr">
        <is>
          <t>标识牌（专注做事）</t>
        </is>
      </c>
      <c r="E53" s="13" t="inlineStr">
        <is>
          <t>110X200cm 5mm雪弗板覆钢化膜
包安装</t>
        </is>
      </c>
      <c r="F53" s="13" t="inlineStr">
        <is>
          <t>块</t>
        </is>
      </c>
      <c r="G53" s="20" t="n">
        <v>1</v>
      </c>
      <c r="H53" s="14" t="n">
        <v>540</v>
      </c>
      <c r="I53" s="19">
        <f>IF($C53="","",ROUND(IF($G53="",1,$G53)*N($H53),2))</f>
        <v/>
      </c>
      <c r="J53" s="17">
        <f>IF($C53="","",IFERROR(VLOOKUP($C53,项目台账!$B:$C,2,0),"※项目不在项目台账里"))</f>
        <v/>
      </c>
      <c r="K53" s="13" t="n"/>
    </row>
    <row r="54">
      <c r="A54" s="17">
        <f>IF($C54="","",ROW()-3)</f>
        <v/>
      </c>
      <c r="B54" s="18" t="n">
        <v>46163</v>
      </c>
      <c r="C54" s="13" t="inlineStr">
        <is>
          <t>东尼电子26.5</t>
        </is>
      </c>
      <c r="D54" s="13" t="inlineStr">
        <is>
          <t>标识牌（连廊通行须知）</t>
        </is>
      </c>
      <c r="E54" s="13" t="inlineStr">
        <is>
          <t>8mmpvc板 0.6*0.9m</t>
        </is>
      </c>
      <c r="F54" s="13" t="inlineStr">
        <is>
          <t>块</t>
        </is>
      </c>
      <c r="G54" s="20" t="n">
        <v>2</v>
      </c>
      <c r="H54" s="14" t="n">
        <v>60</v>
      </c>
      <c r="I54" s="19">
        <f>IF($C54="","",ROUND(IF($G54="",1,$G54)*N($H54),2))</f>
        <v/>
      </c>
      <c r="J54" s="17">
        <f>IF($C54="","",IFERROR(VLOOKUP($C54,项目台账!$B:$C,2,0),"※项目不在项目台账里"))</f>
        <v/>
      </c>
      <c r="K54" s="13" t="n"/>
    </row>
    <row r="55">
      <c r="A55" s="17">
        <f>IF($C55="","",ROW()-3)</f>
        <v/>
      </c>
      <c r="B55" s="18" t="n">
        <v>46167</v>
      </c>
      <c r="C55" s="13" t="inlineStr">
        <is>
          <t>东尼电子26.5</t>
        </is>
      </c>
      <c r="D55" s="13" t="inlineStr">
        <is>
          <t>斜纹背胶贴（人行通道、推车通道）</t>
        </is>
      </c>
      <c r="E55" s="13" t="inlineStr">
        <is>
          <t>239*30cm</t>
        </is>
      </c>
      <c r="F55" s="13" t="inlineStr">
        <is>
          <t>张</t>
        </is>
      </c>
      <c r="G55" s="20" t="n">
        <v>2</v>
      </c>
      <c r="H55" s="14" t="n">
        <v>20</v>
      </c>
      <c r="I55" s="19">
        <f>IF($C55="","",ROUND(IF($G55="",1,$G55)*N($H55),2))</f>
        <v/>
      </c>
      <c r="J55" s="17">
        <f>IF($C55="","",IFERROR(VLOOKUP($C55,项目台账!$B:$C,2,0),"※项目不在项目台账里"))</f>
        <v/>
      </c>
      <c r="K55" s="13" t="n"/>
    </row>
    <row r="56">
      <c r="A56" s="17">
        <f>IF($C56="","",ROW()-3)</f>
        <v/>
      </c>
      <c r="B56" s="18" t="n">
        <v>46169</v>
      </c>
      <c r="C56" s="13" t="inlineStr">
        <is>
          <t>东尼电子26.5</t>
        </is>
      </c>
      <c r="D56" s="13" t="inlineStr">
        <is>
          <t>横幅</t>
        </is>
      </c>
      <c r="E56" s="13" t="inlineStr">
        <is>
          <t>220*50cm</t>
        </is>
      </c>
      <c r="F56" s="13" t="inlineStr">
        <is>
          <t>条</t>
        </is>
      </c>
      <c r="G56" s="20" t="n">
        <v>1</v>
      </c>
      <c r="H56" s="14" t="n">
        <v>15</v>
      </c>
      <c r="I56" s="19">
        <f>IF($C56="","",ROUND(IF($G56="",1,$G56)*N($H56),2))</f>
        <v/>
      </c>
      <c r="J56" s="17">
        <f>IF($C56="","",IFERROR(VLOOKUP($C56,项目台账!$B:$C,2,0),"※项目不在项目台账里"))</f>
        <v/>
      </c>
      <c r="K56" s="13" t="n"/>
    </row>
    <row r="57">
      <c r="A57" s="17">
        <f>IF($C57="","",ROW()-3)</f>
        <v/>
      </c>
      <c r="B57" s="18" t="n">
        <v>46169</v>
      </c>
      <c r="C57" s="13" t="inlineStr">
        <is>
          <t>东尼电子26.5</t>
        </is>
      </c>
      <c r="D57" s="13" t="inlineStr">
        <is>
          <t>标识牌（连廊通行须知）</t>
        </is>
      </c>
      <c r="E57" s="13" t="inlineStr">
        <is>
          <t>8mmpvc板 0.6*0.9m</t>
        </is>
      </c>
      <c r="F57" s="13" t="inlineStr">
        <is>
          <t>块</t>
        </is>
      </c>
      <c r="G57" s="20" t="n">
        <v>2</v>
      </c>
      <c r="H57" s="14" t="n">
        <v>60</v>
      </c>
      <c r="I57" s="19">
        <f>IF($C57="","",ROUND(IF($G57="",1,$G57)*N($H57),2))</f>
        <v/>
      </c>
      <c r="J57" s="17">
        <f>IF($C57="","",IFERROR(VLOOKUP($C57,项目台账!$B:$C,2,0),"※项目不在项目台账里"))</f>
        <v/>
      </c>
      <c r="K57" s="13" t="n"/>
    </row>
    <row r="58">
      <c r="A58" s="17">
        <f>IF($C58="","",ROW()-3)</f>
        <v/>
      </c>
      <c r="B58" s="18" t="n">
        <v>46169</v>
      </c>
      <c r="C58" s="13" t="inlineStr">
        <is>
          <t>东尼电子26.5</t>
        </is>
      </c>
      <c r="D58" s="13" t="inlineStr">
        <is>
          <t>斜纹背胶贴（人行通道、推车通道）</t>
        </is>
      </c>
      <c r="E58" s="13" t="inlineStr">
        <is>
          <t>239*30cm</t>
        </is>
      </c>
      <c r="F58" s="13" t="inlineStr">
        <is>
          <t>张</t>
        </is>
      </c>
      <c r="G58" s="20" t="n">
        <v>2</v>
      </c>
      <c r="H58" s="14" t="n">
        <v>20</v>
      </c>
      <c r="I58" s="19">
        <f>IF($C58="","",ROUND(IF($G58="",1,$G58)*N($H58),2))</f>
        <v/>
      </c>
      <c r="J58" s="17">
        <f>IF($C58="","",IFERROR(VLOOKUP($C58,项目台账!$B:$C,2,0),"※项目不在项目台账里"))</f>
        <v/>
      </c>
      <c r="K58" s="13" t="n"/>
    </row>
    <row r="59">
      <c r="A59" s="17">
        <f>IF($C59="","",ROW()-3)</f>
        <v/>
      </c>
      <c r="B59" s="18" t="n"/>
      <c r="C59" s="13" t="n"/>
      <c r="D59" s="13" t="n"/>
      <c r="E59" s="13" t="n"/>
      <c r="F59" s="13" t="n"/>
      <c r="G59" s="20" t="n"/>
      <c r="H59" s="14" t="n"/>
      <c r="I59" s="19">
        <f>IF($C59="","",ROUND(IF($G59="",1,$G59)*N($H59),2))</f>
        <v/>
      </c>
      <c r="J59" s="17">
        <f>IF($C59="","",IFERROR(VLOOKUP($C59,项目台账!$B:$C,2,0),"※项目不在项目台账里"))</f>
        <v/>
      </c>
      <c r="K59" s="13" t="n"/>
    </row>
    <row r="60">
      <c r="A60" s="17">
        <f>IF($C60="","",ROW()-3)</f>
        <v/>
      </c>
      <c r="B60" s="18" t="n"/>
      <c r="C60" s="13" t="n"/>
      <c r="D60" s="13" t="n"/>
      <c r="E60" s="13" t="n"/>
      <c r="F60" s="13" t="n"/>
      <c r="G60" s="20" t="n"/>
      <c r="H60" s="14" t="n"/>
      <c r="I60" s="19">
        <f>IF($C60="","",ROUND(IF($G60="",1,$G60)*N($H60),2))</f>
        <v/>
      </c>
      <c r="J60" s="17">
        <f>IF($C60="","",IFERROR(VLOOKUP($C60,项目台账!$B:$C,2,0),"※项目不在项目台账里"))</f>
        <v/>
      </c>
      <c r="K60" s="13" t="n"/>
    </row>
    <row r="61">
      <c r="A61" s="17">
        <f>IF($C61="","",ROW()-3)</f>
        <v/>
      </c>
      <c r="B61" s="18" t="n"/>
      <c r="C61" s="13" t="n"/>
      <c r="D61" s="13" t="n"/>
      <c r="E61" s="13" t="n"/>
      <c r="F61" s="13" t="n"/>
      <c r="G61" s="20" t="n"/>
      <c r="H61" s="14" t="n"/>
      <c r="I61" s="19">
        <f>IF($C61="","",ROUND(IF($G61="",1,$G61)*N($H61),2))</f>
        <v/>
      </c>
      <c r="J61" s="17">
        <f>IF($C61="","",IFERROR(VLOOKUP($C61,项目台账!$B:$C,2,0),"※项目不在项目台账里"))</f>
        <v/>
      </c>
      <c r="K61" s="13" t="n"/>
    </row>
    <row r="62">
      <c r="A62" s="17">
        <f>IF($C62="","",ROW()-3)</f>
        <v/>
      </c>
      <c r="B62" s="18" t="n"/>
      <c r="C62" s="13" t="n"/>
      <c r="D62" s="13" t="n"/>
      <c r="E62" s="13" t="n"/>
      <c r="F62" s="13" t="n"/>
      <c r="G62" s="20" t="n"/>
      <c r="H62" s="14" t="n"/>
      <c r="I62" s="19">
        <f>IF($C62="","",ROUND(IF($G62="",1,$G62)*N($H62),2))</f>
        <v/>
      </c>
      <c r="J62" s="17">
        <f>IF($C62="","",IFERROR(VLOOKUP($C62,项目台账!$B:$C,2,0),"※项目不在项目台账里"))</f>
        <v/>
      </c>
      <c r="K62" s="13" t="n"/>
    </row>
    <row r="63">
      <c r="A63" s="17">
        <f>IF($C63="","",ROW()-3)</f>
        <v/>
      </c>
      <c r="B63" s="18" t="n"/>
      <c r="C63" s="13" t="n"/>
      <c r="D63" s="13" t="n"/>
      <c r="E63" s="13" t="n"/>
      <c r="F63" s="13" t="n"/>
      <c r="G63" s="20" t="n"/>
      <c r="H63" s="14" t="n"/>
      <c r="I63" s="19">
        <f>IF($C63="","",ROUND(IF($G63="",1,$G63)*N($H63),2))</f>
        <v/>
      </c>
      <c r="J63" s="17">
        <f>IF($C63="","",IFERROR(VLOOKUP($C63,项目台账!$B:$C,2,0),"※项目不在项目台账里"))</f>
        <v/>
      </c>
      <c r="K63" s="13" t="n"/>
    </row>
    <row r="64">
      <c r="A64" s="17">
        <f>IF($C64="","",ROW()-3)</f>
        <v/>
      </c>
      <c r="B64" s="18" t="n"/>
      <c r="C64" s="13" t="n"/>
      <c r="D64" s="13" t="n"/>
      <c r="E64" s="13" t="n"/>
      <c r="F64" s="13" t="n"/>
      <c r="G64" s="20" t="n"/>
      <c r="H64" s="14" t="n"/>
      <c r="I64" s="19">
        <f>IF($C64="","",ROUND(IF($G64="",1,$G64)*N($H64),2))</f>
        <v/>
      </c>
      <c r="J64" s="17">
        <f>IF($C64="","",IFERROR(VLOOKUP($C64,项目台账!$B:$C,2,0),"※项目不在项目台账里"))</f>
        <v/>
      </c>
      <c r="K64" s="13" t="n"/>
    </row>
    <row r="65">
      <c r="A65" s="17">
        <f>IF($C65="","",ROW()-3)</f>
        <v/>
      </c>
      <c r="B65" s="18" t="n"/>
      <c r="C65" s="13" t="n"/>
      <c r="D65" s="13" t="n"/>
      <c r="E65" s="13" t="n"/>
      <c r="F65" s="13" t="n"/>
      <c r="G65" s="20" t="n"/>
      <c r="H65" s="14" t="n"/>
      <c r="I65" s="19">
        <f>IF($C65="","",ROUND(IF($G65="",1,$G65)*N($H65),2))</f>
        <v/>
      </c>
      <c r="J65" s="17">
        <f>IF($C65="","",IFERROR(VLOOKUP($C65,项目台账!$B:$C,2,0),"※项目不在项目台账里"))</f>
        <v/>
      </c>
      <c r="K65" s="13" t="n"/>
    </row>
    <row r="66">
      <c r="A66" s="17">
        <f>IF($C66="","",ROW()-3)</f>
        <v/>
      </c>
      <c r="B66" s="18" t="n"/>
      <c r="C66" s="13" t="n"/>
      <c r="D66" s="13" t="n"/>
      <c r="E66" s="13" t="n"/>
      <c r="F66" s="13" t="n"/>
      <c r="G66" s="20" t="n"/>
      <c r="H66" s="14" t="n"/>
      <c r="I66" s="19">
        <f>IF($C66="","",ROUND(IF($G66="",1,$G66)*N($H66),2))</f>
        <v/>
      </c>
      <c r="J66" s="17">
        <f>IF($C66="","",IFERROR(VLOOKUP($C66,项目台账!$B:$C,2,0),"※项目不在项目台账里"))</f>
        <v/>
      </c>
      <c r="K66" s="13" t="n"/>
    </row>
    <row r="67">
      <c r="A67" s="17">
        <f>IF($C67="","",ROW()-3)</f>
        <v/>
      </c>
      <c r="B67" s="18" t="n"/>
      <c r="C67" s="13" t="n"/>
      <c r="D67" s="13" t="n"/>
      <c r="E67" s="13" t="n"/>
      <c r="F67" s="13" t="n"/>
      <c r="G67" s="20" t="n"/>
      <c r="H67" s="14" t="n"/>
      <c r="I67" s="19">
        <f>IF($C67="","",ROUND(IF($G67="",1,$G67)*N($H67),2))</f>
        <v/>
      </c>
      <c r="J67" s="17">
        <f>IF($C67="","",IFERROR(VLOOKUP($C67,项目台账!$B:$C,2,0),"※项目不在项目台账里"))</f>
        <v/>
      </c>
      <c r="K67" s="13" t="n"/>
    </row>
    <row r="68">
      <c r="A68" s="17">
        <f>IF($C68="","",ROW()-3)</f>
        <v/>
      </c>
      <c r="B68" s="18" t="n"/>
      <c r="C68" s="13" t="n"/>
      <c r="D68" s="13" t="n"/>
      <c r="E68" s="13" t="n"/>
      <c r="F68" s="13" t="n"/>
      <c r="G68" s="20" t="n"/>
      <c r="H68" s="14" t="n"/>
      <c r="I68" s="19">
        <f>IF($C68="","",ROUND(IF($G68="",1,$G68)*N($H68),2))</f>
        <v/>
      </c>
      <c r="J68" s="17">
        <f>IF($C68="","",IFERROR(VLOOKUP($C68,项目台账!$B:$C,2,0),"※项目不在项目台账里"))</f>
        <v/>
      </c>
      <c r="K68" s="13" t="n"/>
    </row>
    <row r="69">
      <c r="A69" s="17">
        <f>IF($C69="","",ROW()-3)</f>
        <v/>
      </c>
      <c r="B69" s="18" t="n"/>
      <c r="C69" s="13" t="n"/>
      <c r="D69" s="13" t="n"/>
      <c r="E69" s="13" t="n"/>
      <c r="F69" s="13" t="n"/>
      <c r="G69" s="20" t="n"/>
      <c r="H69" s="14" t="n"/>
      <c r="I69" s="19">
        <f>IF($C69="","",ROUND(IF($G69="",1,$G69)*N($H69),2))</f>
        <v/>
      </c>
      <c r="J69" s="17">
        <f>IF($C69="","",IFERROR(VLOOKUP($C69,项目台账!$B:$C,2,0),"※项目不在项目台账里"))</f>
        <v/>
      </c>
      <c r="K69" s="13" t="n"/>
    </row>
    <row r="70">
      <c r="A70" s="17">
        <f>IF($C70="","",ROW()-3)</f>
        <v/>
      </c>
      <c r="B70" s="18" t="n"/>
      <c r="C70" s="13" t="n"/>
      <c r="D70" s="13" t="n"/>
      <c r="E70" s="13" t="n"/>
      <c r="F70" s="13" t="n"/>
      <c r="G70" s="20" t="n"/>
      <c r="H70" s="14" t="n"/>
      <c r="I70" s="19">
        <f>IF($C70="","",ROUND(IF($G70="",1,$G70)*N($H70),2))</f>
        <v/>
      </c>
      <c r="J70" s="17">
        <f>IF($C70="","",IFERROR(VLOOKUP($C70,项目台账!$B:$C,2,0),"※项目不在项目台账里"))</f>
        <v/>
      </c>
      <c r="K70" s="13" t="n"/>
    </row>
    <row r="71">
      <c r="A71" s="17">
        <f>IF($C71="","",ROW()-3)</f>
        <v/>
      </c>
      <c r="B71" s="18" t="n"/>
      <c r="C71" s="13" t="n"/>
      <c r="D71" s="13" t="n"/>
      <c r="E71" s="13" t="n"/>
      <c r="F71" s="13" t="n"/>
      <c r="G71" s="20" t="n"/>
      <c r="H71" s="14" t="n"/>
      <c r="I71" s="19">
        <f>IF($C71="","",ROUND(IF($G71="",1,$G71)*N($H71),2))</f>
        <v/>
      </c>
      <c r="J71" s="17">
        <f>IF($C71="","",IFERROR(VLOOKUP($C71,项目台账!$B:$C,2,0),"※项目不在项目台账里"))</f>
        <v/>
      </c>
      <c r="K71" s="13" t="n"/>
    </row>
    <row r="72">
      <c r="A72" s="17">
        <f>IF($C72="","",ROW()-3)</f>
        <v/>
      </c>
      <c r="B72" s="18" t="n"/>
      <c r="C72" s="13" t="n"/>
      <c r="D72" s="13" t="n"/>
      <c r="E72" s="13" t="n"/>
      <c r="F72" s="13" t="n"/>
      <c r="G72" s="20" t="n"/>
      <c r="H72" s="14" t="n"/>
      <c r="I72" s="19">
        <f>IF($C72="","",ROUND(IF($G72="",1,$G72)*N($H72),2))</f>
        <v/>
      </c>
      <c r="J72" s="17">
        <f>IF($C72="","",IFERROR(VLOOKUP($C72,项目台账!$B:$C,2,0),"※项目不在项目台账里"))</f>
        <v/>
      </c>
      <c r="K72" s="13" t="n"/>
    </row>
    <row r="73">
      <c r="A73" s="17">
        <f>IF($C73="","",ROW()-3)</f>
        <v/>
      </c>
      <c r="B73" s="18" t="n"/>
      <c r="C73" s="13" t="n"/>
      <c r="D73" s="13" t="n"/>
      <c r="E73" s="13" t="n"/>
      <c r="F73" s="13" t="n"/>
      <c r="G73" s="20" t="n"/>
      <c r="H73" s="14" t="n"/>
      <c r="I73" s="19">
        <f>IF($C73="","",ROUND(IF($G73="",1,$G73)*N($H73),2))</f>
        <v/>
      </c>
      <c r="J73" s="17">
        <f>IF($C73="","",IFERROR(VLOOKUP($C73,项目台账!$B:$C,2,0),"※项目不在项目台账里"))</f>
        <v/>
      </c>
      <c r="K73" s="13" t="n"/>
    </row>
    <row r="74">
      <c r="A74" s="17">
        <f>IF($C74="","",ROW()-3)</f>
        <v/>
      </c>
      <c r="B74" s="18" t="n"/>
      <c r="C74" s="13" t="n"/>
      <c r="D74" s="13" t="n"/>
      <c r="E74" s="13" t="n"/>
      <c r="F74" s="13" t="n"/>
      <c r="G74" s="20" t="n"/>
      <c r="H74" s="14" t="n"/>
      <c r="I74" s="19">
        <f>IF($C74="","",ROUND(IF($G74="",1,$G74)*N($H74),2))</f>
        <v/>
      </c>
      <c r="J74" s="17">
        <f>IF($C74="","",IFERROR(VLOOKUP($C74,项目台账!$B:$C,2,0),"※项目不在项目台账里"))</f>
        <v/>
      </c>
      <c r="K74" s="13" t="n"/>
    </row>
    <row r="75">
      <c r="A75" s="17">
        <f>IF($C75="","",ROW()-3)</f>
        <v/>
      </c>
      <c r="B75" s="18" t="n"/>
      <c r="C75" s="13" t="n"/>
      <c r="D75" s="13" t="n"/>
      <c r="E75" s="13" t="n"/>
      <c r="F75" s="13" t="n"/>
      <c r="G75" s="20" t="n"/>
      <c r="H75" s="14" t="n"/>
      <c r="I75" s="19">
        <f>IF($C75="","",ROUND(IF($G75="",1,$G75)*N($H75),2))</f>
        <v/>
      </c>
      <c r="J75" s="17">
        <f>IF($C75="","",IFERROR(VLOOKUP($C75,项目台账!$B:$C,2,0),"※项目不在项目台账里"))</f>
        <v/>
      </c>
      <c r="K75" s="13" t="n"/>
    </row>
    <row r="76">
      <c r="A76" s="17">
        <f>IF($C76="","",ROW()-3)</f>
        <v/>
      </c>
      <c r="B76" s="18" t="n"/>
      <c r="C76" s="13" t="n"/>
      <c r="D76" s="13" t="n"/>
      <c r="E76" s="13" t="n"/>
      <c r="F76" s="13" t="n"/>
      <c r="G76" s="20" t="n"/>
      <c r="H76" s="14" t="n"/>
      <c r="I76" s="19">
        <f>IF($C76="","",ROUND(IF($G76="",1,$G76)*N($H76),2))</f>
        <v/>
      </c>
      <c r="J76" s="17">
        <f>IF($C76="","",IFERROR(VLOOKUP($C76,项目台账!$B:$C,2,0),"※项目不在项目台账里"))</f>
        <v/>
      </c>
      <c r="K76" s="13" t="n"/>
    </row>
    <row r="77">
      <c r="A77" s="17">
        <f>IF($C77="","",ROW()-3)</f>
        <v/>
      </c>
      <c r="B77" s="18" t="n"/>
      <c r="C77" s="13" t="n"/>
      <c r="D77" s="13" t="n"/>
      <c r="E77" s="13" t="n"/>
      <c r="F77" s="13" t="n"/>
      <c r="G77" s="20" t="n"/>
      <c r="H77" s="14" t="n"/>
      <c r="I77" s="19">
        <f>IF($C77="","",ROUND(IF($G77="",1,$G77)*N($H77),2))</f>
        <v/>
      </c>
      <c r="J77" s="17">
        <f>IF($C77="","",IFERROR(VLOOKUP($C77,项目台账!$B:$C,2,0),"※项目不在项目台账里"))</f>
        <v/>
      </c>
      <c r="K77" s="13" t="n"/>
    </row>
    <row r="78">
      <c r="A78" s="17">
        <f>IF($C78="","",ROW()-3)</f>
        <v/>
      </c>
      <c r="B78" s="18" t="n"/>
      <c r="C78" s="13" t="n"/>
      <c r="D78" s="13" t="n"/>
      <c r="E78" s="13" t="n"/>
      <c r="F78" s="13" t="n"/>
      <c r="G78" s="20" t="n"/>
      <c r="H78" s="14" t="n"/>
      <c r="I78" s="19">
        <f>IF($C78="","",ROUND(IF($G78="",1,$G78)*N($H78),2))</f>
        <v/>
      </c>
      <c r="J78" s="17">
        <f>IF($C78="","",IFERROR(VLOOKUP($C78,项目台账!$B:$C,2,0),"※项目不在项目台账里"))</f>
        <v/>
      </c>
      <c r="K78" s="13" t="n"/>
    </row>
    <row r="79">
      <c r="A79" s="17">
        <f>IF($C79="","",ROW()-3)</f>
        <v/>
      </c>
      <c r="B79" s="18" t="n"/>
      <c r="C79" s="13" t="n"/>
      <c r="D79" s="13" t="n"/>
      <c r="E79" s="13" t="n"/>
      <c r="F79" s="13" t="n"/>
      <c r="G79" s="20" t="n"/>
      <c r="H79" s="14" t="n"/>
      <c r="I79" s="19">
        <f>IF($C79="","",ROUND(IF($G79="",1,$G79)*N($H79),2))</f>
        <v/>
      </c>
      <c r="J79" s="17">
        <f>IF($C79="","",IFERROR(VLOOKUP($C79,项目台账!$B:$C,2,0),"※项目不在项目台账里"))</f>
        <v/>
      </c>
      <c r="K79" s="13" t="n"/>
    </row>
    <row r="80">
      <c r="A80" s="17">
        <f>IF($C80="","",ROW()-3)</f>
        <v/>
      </c>
      <c r="B80" s="18" t="n"/>
      <c r="C80" s="13" t="n"/>
      <c r="D80" s="13" t="n"/>
      <c r="E80" s="13" t="n"/>
      <c r="F80" s="13" t="n"/>
      <c r="G80" s="20" t="n"/>
      <c r="H80" s="14" t="n"/>
      <c r="I80" s="19">
        <f>IF($C80="","",ROUND(IF($G80="",1,$G80)*N($H80),2))</f>
        <v/>
      </c>
      <c r="J80" s="17">
        <f>IF($C80="","",IFERROR(VLOOKUP($C80,项目台账!$B:$C,2,0),"※项目不在项目台账里"))</f>
        <v/>
      </c>
      <c r="K80" s="13" t="n"/>
    </row>
    <row r="81">
      <c r="A81" s="17">
        <f>IF($C81="","",ROW()-3)</f>
        <v/>
      </c>
      <c r="B81" s="18" t="n"/>
      <c r="C81" s="13" t="n"/>
      <c r="D81" s="13" t="n"/>
      <c r="E81" s="13" t="n"/>
      <c r="F81" s="13" t="n"/>
      <c r="G81" s="20" t="n"/>
      <c r="H81" s="14" t="n"/>
      <c r="I81" s="19">
        <f>IF($C81="","",ROUND(IF($G81="",1,$G81)*N($H81),2))</f>
        <v/>
      </c>
      <c r="J81" s="17">
        <f>IF($C81="","",IFERROR(VLOOKUP($C81,项目台账!$B:$C,2,0),"※项目不在项目台账里"))</f>
        <v/>
      </c>
      <c r="K81" s="13" t="n"/>
    </row>
    <row r="82">
      <c r="A82" s="17">
        <f>IF($C82="","",ROW()-3)</f>
        <v/>
      </c>
      <c r="B82" s="18" t="n"/>
      <c r="C82" s="13" t="n"/>
      <c r="D82" s="13" t="n"/>
      <c r="E82" s="13" t="n"/>
      <c r="F82" s="13" t="n"/>
      <c r="G82" s="20" t="n"/>
      <c r="H82" s="14" t="n"/>
      <c r="I82" s="19">
        <f>IF($C82="","",ROUND(IF($G82="",1,$G82)*N($H82),2))</f>
        <v/>
      </c>
      <c r="J82" s="17">
        <f>IF($C82="","",IFERROR(VLOOKUP($C82,项目台账!$B:$C,2,0),"※项目不在项目台账里"))</f>
        <v/>
      </c>
      <c r="K82" s="13" t="n"/>
    </row>
    <row r="83">
      <c r="A83" s="17">
        <f>IF($C83="","",ROW()-3)</f>
        <v/>
      </c>
      <c r="B83" s="18" t="n"/>
      <c r="C83" s="13" t="n"/>
      <c r="D83" s="13" t="n"/>
      <c r="E83" s="13" t="n"/>
      <c r="F83" s="13" t="n"/>
      <c r="G83" s="20" t="n"/>
      <c r="H83" s="14" t="n"/>
      <c r="I83" s="19">
        <f>IF($C83="","",ROUND(IF($G83="",1,$G83)*N($H83),2))</f>
        <v/>
      </c>
      <c r="J83" s="17">
        <f>IF($C83="","",IFERROR(VLOOKUP($C83,项目台账!$B:$C,2,0),"※项目不在项目台账里"))</f>
        <v/>
      </c>
      <c r="K83" s="13" t="n"/>
    </row>
    <row r="84">
      <c r="A84" s="17">
        <f>IF($C84="","",ROW()-3)</f>
        <v/>
      </c>
      <c r="B84" s="18" t="n"/>
      <c r="C84" s="13" t="n"/>
      <c r="D84" s="13" t="n"/>
      <c r="E84" s="13" t="n"/>
      <c r="F84" s="13" t="n"/>
      <c r="G84" s="20" t="n"/>
      <c r="H84" s="14" t="n"/>
      <c r="I84" s="19">
        <f>IF($C84="","",ROUND(IF($G84="",1,$G84)*N($H84),2))</f>
        <v/>
      </c>
      <c r="J84" s="17">
        <f>IF($C84="","",IFERROR(VLOOKUP($C84,项目台账!$B:$C,2,0),"※项目不在项目台账里"))</f>
        <v/>
      </c>
      <c r="K84" s="13" t="n"/>
    </row>
    <row r="85">
      <c r="A85" s="17">
        <f>IF($C85="","",ROW()-3)</f>
        <v/>
      </c>
      <c r="B85" s="18" t="n"/>
      <c r="C85" s="13" t="n"/>
      <c r="D85" s="13" t="n"/>
      <c r="E85" s="13" t="n"/>
      <c r="F85" s="13" t="n"/>
      <c r="G85" s="20" t="n"/>
      <c r="H85" s="14" t="n"/>
      <c r="I85" s="19">
        <f>IF($C85="","",ROUND(IF($G85="",1,$G85)*N($H85),2))</f>
        <v/>
      </c>
      <c r="J85" s="17">
        <f>IF($C85="","",IFERROR(VLOOKUP($C85,项目台账!$B:$C,2,0),"※项目不在项目台账里"))</f>
        <v/>
      </c>
      <c r="K85" s="13" t="n"/>
    </row>
    <row r="86">
      <c r="A86" s="17">
        <f>IF($C86="","",ROW()-3)</f>
        <v/>
      </c>
      <c r="B86" s="18" t="n"/>
      <c r="C86" s="13" t="n"/>
      <c r="D86" s="13" t="n"/>
      <c r="E86" s="13" t="n"/>
      <c r="F86" s="13" t="n"/>
      <c r="G86" s="20" t="n"/>
      <c r="H86" s="14" t="n"/>
      <c r="I86" s="19">
        <f>IF($C86="","",ROUND(IF($G86="",1,$G86)*N($H86),2))</f>
        <v/>
      </c>
      <c r="J86" s="17">
        <f>IF($C86="","",IFERROR(VLOOKUP($C86,项目台账!$B:$C,2,0),"※项目不在项目台账里"))</f>
        <v/>
      </c>
      <c r="K86" s="13" t="n"/>
    </row>
    <row r="87">
      <c r="A87" s="17">
        <f>IF($C87="","",ROW()-3)</f>
        <v/>
      </c>
      <c r="B87" s="18" t="n"/>
      <c r="C87" s="13" t="n"/>
      <c r="D87" s="13" t="n"/>
      <c r="E87" s="13" t="n"/>
      <c r="F87" s="13" t="n"/>
      <c r="G87" s="20" t="n"/>
      <c r="H87" s="14" t="n"/>
      <c r="I87" s="19">
        <f>IF($C87="","",ROUND(IF($G87="",1,$G87)*N($H87),2))</f>
        <v/>
      </c>
      <c r="J87" s="17">
        <f>IF($C87="","",IFERROR(VLOOKUP($C87,项目台账!$B:$C,2,0),"※项目不在项目台账里"))</f>
        <v/>
      </c>
      <c r="K87" s="13" t="n"/>
    </row>
    <row r="88">
      <c r="A88" s="17">
        <f>IF($C88="","",ROW()-3)</f>
        <v/>
      </c>
      <c r="B88" s="18" t="n"/>
      <c r="C88" s="13" t="n"/>
      <c r="D88" s="13" t="n"/>
      <c r="E88" s="13" t="n"/>
      <c r="F88" s="13" t="n"/>
      <c r="G88" s="20" t="n"/>
      <c r="H88" s="14" t="n"/>
      <c r="I88" s="19">
        <f>IF($C88="","",ROUND(IF($G88="",1,$G88)*N($H88),2))</f>
        <v/>
      </c>
      <c r="J88" s="17">
        <f>IF($C88="","",IFERROR(VLOOKUP($C88,项目台账!$B:$C,2,0),"※项目不在项目台账里"))</f>
        <v/>
      </c>
      <c r="K88" s="13" t="n"/>
    </row>
    <row r="89">
      <c r="A89" s="17">
        <f>IF($C89="","",ROW()-3)</f>
        <v/>
      </c>
      <c r="B89" s="18" t="n"/>
      <c r="C89" s="13" t="n"/>
      <c r="D89" s="13" t="n"/>
      <c r="E89" s="13" t="n"/>
      <c r="F89" s="13" t="n"/>
      <c r="G89" s="20" t="n"/>
      <c r="H89" s="14" t="n"/>
      <c r="I89" s="19">
        <f>IF($C89="","",ROUND(IF($G89="",1,$G89)*N($H89),2))</f>
        <v/>
      </c>
      <c r="J89" s="17">
        <f>IF($C89="","",IFERROR(VLOOKUP($C89,项目台账!$B:$C,2,0),"※项目不在项目台账里"))</f>
        <v/>
      </c>
      <c r="K89" s="13" t="n"/>
    </row>
    <row r="90">
      <c r="A90" s="17">
        <f>IF($C90="","",ROW()-3)</f>
        <v/>
      </c>
      <c r="B90" s="18" t="n"/>
      <c r="C90" s="13" t="n"/>
      <c r="D90" s="13" t="n"/>
      <c r="E90" s="13" t="n"/>
      <c r="F90" s="13" t="n"/>
      <c r="G90" s="20" t="n"/>
      <c r="H90" s="14" t="n"/>
      <c r="I90" s="19">
        <f>IF($C90="","",ROUND(IF($G90="",1,$G90)*N($H90),2))</f>
        <v/>
      </c>
      <c r="J90" s="17">
        <f>IF($C90="","",IFERROR(VLOOKUP($C90,项目台账!$B:$C,2,0),"※项目不在项目台账里"))</f>
        <v/>
      </c>
      <c r="K90" s="13" t="n"/>
    </row>
    <row r="91">
      <c r="A91" s="17">
        <f>IF($C91="","",ROW()-3)</f>
        <v/>
      </c>
      <c r="B91" s="18" t="n"/>
      <c r="C91" s="13" t="n"/>
      <c r="D91" s="13" t="n"/>
      <c r="E91" s="13" t="n"/>
      <c r="F91" s="13" t="n"/>
      <c r="G91" s="20" t="n"/>
      <c r="H91" s="14" t="n"/>
      <c r="I91" s="19">
        <f>IF($C91="","",ROUND(IF($G91="",1,$G91)*N($H91),2))</f>
        <v/>
      </c>
      <c r="J91" s="17">
        <f>IF($C91="","",IFERROR(VLOOKUP($C91,项目台账!$B:$C,2,0),"※项目不在项目台账里"))</f>
        <v/>
      </c>
      <c r="K91" s="13" t="n"/>
    </row>
    <row r="92">
      <c r="A92" s="17">
        <f>IF($C92="","",ROW()-3)</f>
        <v/>
      </c>
      <c r="B92" s="18" t="n"/>
      <c r="C92" s="13" t="n"/>
      <c r="D92" s="13" t="n"/>
      <c r="E92" s="13" t="n"/>
      <c r="F92" s="13" t="n"/>
      <c r="G92" s="20" t="n"/>
      <c r="H92" s="14" t="n"/>
      <c r="I92" s="19">
        <f>IF($C92="","",ROUND(IF($G92="",1,$G92)*N($H92),2))</f>
        <v/>
      </c>
      <c r="J92" s="17">
        <f>IF($C92="","",IFERROR(VLOOKUP($C92,项目台账!$B:$C,2,0),"※项目不在项目台账里"))</f>
        <v/>
      </c>
      <c r="K92" s="13" t="n"/>
    </row>
    <row r="93">
      <c r="A93" s="17">
        <f>IF($C93="","",ROW()-3)</f>
        <v/>
      </c>
      <c r="B93" s="18" t="n"/>
      <c r="C93" s="13" t="n"/>
      <c r="D93" s="13" t="n"/>
      <c r="E93" s="13" t="n"/>
      <c r="F93" s="13" t="n"/>
      <c r="G93" s="20" t="n"/>
      <c r="H93" s="14" t="n"/>
      <c r="I93" s="19">
        <f>IF($C93="","",ROUND(IF($G93="",1,$G93)*N($H93),2))</f>
        <v/>
      </c>
      <c r="J93" s="17">
        <f>IF($C93="","",IFERROR(VLOOKUP($C93,项目台账!$B:$C,2,0),"※项目不在项目台账里"))</f>
        <v/>
      </c>
      <c r="K93" s="13" t="n"/>
    </row>
    <row r="94">
      <c r="A94" s="17">
        <f>IF($C94="","",ROW()-3)</f>
        <v/>
      </c>
      <c r="B94" s="18" t="n"/>
      <c r="C94" s="13" t="n"/>
      <c r="D94" s="13" t="n"/>
      <c r="E94" s="13" t="n"/>
      <c r="F94" s="13" t="n"/>
      <c r="G94" s="20" t="n"/>
      <c r="H94" s="14" t="n"/>
      <c r="I94" s="19">
        <f>IF($C94="","",ROUND(IF($G94="",1,$G94)*N($H94),2))</f>
        <v/>
      </c>
      <c r="J94" s="17">
        <f>IF($C94="","",IFERROR(VLOOKUP($C94,项目台账!$B:$C,2,0),"※项目不在项目台账里"))</f>
        <v/>
      </c>
      <c r="K94" s="13" t="n"/>
    </row>
    <row r="95">
      <c r="A95" s="17">
        <f>IF($C95="","",ROW()-3)</f>
        <v/>
      </c>
      <c r="B95" s="18" t="n"/>
      <c r="C95" s="13" t="n"/>
      <c r="D95" s="13" t="n"/>
      <c r="E95" s="13" t="n"/>
      <c r="F95" s="13" t="n"/>
      <c r="G95" s="20" t="n"/>
      <c r="H95" s="14" t="n"/>
      <c r="I95" s="19">
        <f>IF($C95="","",ROUND(IF($G95="",1,$G95)*N($H95),2))</f>
        <v/>
      </c>
      <c r="J95" s="17">
        <f>IF($C95="","",IFERROR(VLOOKUP($C95,项目台账!$B:$C,2,0),"※项目不在项目台账里"))</f>
        <v/>
      </c>
      <c r="K95" s="13" t="n"/>
    </row>
    <row r="96">
      <c r="A96" s="17">
        <f>IF($C96="","",ROW()-3)</f>
        <v/>
      </c>
      <c r="B96" s="18" t="n"/>
      <c r="C96" s="13" t="n"/>
      <c r="D96" s="13" t="n"/>
      <c r="E96" s="13" t="n"/>
      <c r="F96" s="13" t="n"/>
      <c r="G96" s="20" t="n"/>
      <c r="H96" s="14" t="n"/>
      <c r="I96" s="19">
        <f>IF($C96="","",ROUND(IF($G96="",1,$G96)*N($H96),2))</f>
        <v/>
      </c>
      <c r="J96" s="17">
        <f>IF($C96="","",IFERROR(VLOOKUP($C96,项目台账!$B:$C,2,0),"※项目不在项目台账里"))</f>
        <v/>
      </c>
      <c r="K96" s="13" t="n"/>
    </row>
    <row r="97">
      <c r="A97" s="17">
        <f>IF($C97="","",ROW()-3)</f>
        <v/>
      </c>
      <c r="B97" s="18" t="n"/>
      <c r="C97" s="13" t="n"/>
      <c r="D97" s="13" t="n"/>
      <c r="E97" s="13" t="n"/>
      <c r="F97" s="13" t="n"/>
      <c r="G97" s="20" t="n"/>
      <c r="H97" s="14" t="n"/>
      <c r="I97" s="19">
        <f>IF($C97="","",ROUND(IF($G97="",1,$G97)*N($H97),2))</f>
        <v/>
      </c>
      <c r="J97" s="17">
        <f>IF($C97="","",IFERROR(VLOOKUP($C97,项目台账!$B:$C,2,0),"※项目不在项目台账里"))</f>
        <v/>
      </c>
      <c r="K97" s="13" t="n"/>
    </row>
    <row r="98">
      <c r="A98" s="17">
        <f>IF($C98="","",ROW()-3)</f>
        <v/>
      </c>
      <c r="B98" s="18" t="n"/>
      <c r="C98" s="13" t="n"/>
      <c r="D98" s="13" t="n"/>
      <c r="E98" s="13" t="n"/>
      <c r="F98" s="13" t="n"/>
      <c r="G98" s="20" t="n"/>
      <c r="H98" s="14" t="n"/>
      <c r="I98" s="19">
        <f>IF($C98="","",ROUND(IF($G98="",1,$G98)*N($H98),2))</f>
        <v/>
      </c>
      <c r="J98" s="17">
        <f>IF($C98="","",IFERROR(VLOOKUP($C98,项目台账!$B:$C,2,0),"※项目不在项目台账里"))</f>
        <v/>
      </c>
      <c r="K98" s="13" t="n"/>
    </row>
    <row r="99">
      <c r="A99" s="17">
        <f>IF($C99="","",ROW()-3)</f>
        <v/>
      </c>
      <c r="B99" s="18" t="n"/>
      <c r="C99" s="13" t="n"/>
      <c r="D99" s="13" t="n"/>
      <c r="E99" s="13" t="n"/>
      <c r="F99" s="13" t="n"/>
      <c r="G99" s="20" t="n"/>
      <c r="H99" s="14" t="n"/>
      <c r="I99" s="19">
        <f>IF($C99="","",ROUND(IF($G99="",1,$G99)*N($H99),2))</f>
        <v/>
      </c>
      <c r="J99" s="17">
        <f>IF($C99="","",IFERROR(VLOOKUP($C99,项目台账!$B:$C,2,0),"※项目不在项目台账里"))</f>
        <v/>
      </c>
      <c r="K99" s="13" t="n"/>
    </row>
    <row r="100">
      <c r="A100" s="17">
        <f>IF($C100="","",ROW()-3)</f>
        <v/>
      </c>
      <c r="B100" s="18" t="n"/>
      <c r="C100" s="13" t="n"/>
      <c r="D100" s="13" t="n"/>
      <c r="E100" s="13" t="n"/>
      <c r="F100" s="13" t="n"/>
      <c r="G100" s="20" t="n"/>
      <c r="H100" s="14" t="n"/>
      <c r="I100" s="19">
        <f>IF($C100="","",ROUND(IF($G100="",1,$G100)*N($H100),2))</f>
        <v/>
      </c>
      <c r="J100" s="17">
        <f>IF($C100="","",IFERROR(VLOOKUP($C100,项目台账!$B:$C,2,0),"※项目不在项目台账里"))</f>
        <v/>
      </c>
      <c r="K100" s="13" t="n"/>
    </row>
    <row r="101">
      <c r="A101" s="17">
        <f>IF($C101="","",ROW()-3)</f>
        <v/>
      </c>
      <c r="B101" s="18" t="n"/>
      <c r="C101" s="13" t="n"/>
      <c r="D101" s="13" t="n"/>
      <c r="E101" s="13" t="n"/>
      <c r="F101" s="13" t="n"/>
      <c r="G101" s="20" t="n"/>
      <c r="H101" s="14" t="n"/>
      <c r="I101" s="19">
        <f>IF($C101="","",ROUND(IF($G101="",1,$G101)*N($H101),2))</f>
        <v/>
      </c>
      <c r="J101" s="17">
        <f>IF($C101="","",IFERROR(VLOOKUP($C101,项目台账!$B:$C,2,0),"※项目不在项目台账里"))</f>
        <v/>
      </c>
      <c r="K101" s="13" t="n"/>
    </row>
    <row r="102">
      <c r="A102" s="17">
        <f>IF($C102="","",ROW()-3)</f>
        <v/>
      </c>
      <c r="B102" s="18" t="n"/>
      <c r="C102" s="13" t="n"/>
      <c r="D102" s="13" t="n"/>
      <c r="E102" s="13" t="n"/>
      <c r="F102" s="13" t="n"/>
      <c r="G102" s="20" t="n"/>
      <c r="H102" s="14" t="n"/>
      <c r="I102" s="19">
        <f>IF($C102="","",ROUND(IF($G102="",1,$G102)*N($H102),2))</f>
        <v/>
      </c>
      <c r="J102" s="17">
        <f>IF($C102="","",IFERROR(VLOOKUP($C102,项目台账!$B:$C,2,0),"※项目不在项目台账里"))</f>
        <v/>
      </c>
      <c r="K102" s="13" t="n"/>
    </row>
    <row r="103">
      <c r="A103" s="17">
        <f>IF($C103="","",ROW()-3)</f>
        <v/>
      </c>
      <c r="B103" s="18" t="n"/>
      <c r="C103" s="13" t="n"/>
      <c r="D103" s="13" t="n"/>
      <c r="E103" s="13" t="n"/>
      <c r="F103" s="13" t="n"/>
      <c r="G103" s="20" t="n"/>
      <c r="H103" s="14" t="n"/>
      <c r="I103" s="19">
        <f>IF($C103="","",ROUND(IF($G103="",1,$G103)*N($H103),2))</f>
        <v/>
      </c>
      <c r="J103" s="17">
        <f>IF($C103="","",IFERROR(VLOOKUP($C103,项目台账!$B:$C,2,0),"※项目不在项目台账里"))</f>
        <v/>
      </c>
      <c r="K103" s="13" t="n"/>
    </row>
    <row r="104">
      <c r="A104" s="17">
        <f>IF($C104="","",ROW()-3)</f>
        <v/>
      </c>
      <c r="B104" s="18" t="n"/>
      <c r="C104" s="13" t="n"/>
      <c r="D104" s="13" t="n"/>
      <c r="E104" s="13" t="n"/>
      <c r="F104" s="13" t="n"/>
      <c r="G104" s="20" t="n"/>
      <c r="H104" s="14" t="n"/>
      <c r="I104" s="19">
        <f>IF($C104="","",ROUND(IF($G104="",1,$G104)*N($H104),2))</f>
        <v/>
      </c>
      <c r="J104" s="17">
        <f>IF($C104="","",IFERROR(VLOOKUP($C104,项目台账!$B:$C,2,0),"※项目不在项目台账里"))</f>
        <v/>
      </c>
      <c r="K104" s="13" t="n"/>
    </row>
    <row r="105">
      <c r="A105" s="17">
        <f>IF($C105="","",ROW()-3)</f>
        <v/>
      </c>
      <c r="B105" s="18" t="n"/>
      <c r="C105" s="13" t="n"/>
      <c r="D105" s="13" t="n"/>
      <c r="E105" s="13" t="n"/>
      <c r="F105" s="13" t="n"/>
      <c r="G105" s="20" t="n"/>
      <c r="H105" s="14" t="n"/>
      <c r="I105" s="19">
        <f>IF($C105="","",ROUND(IF($G105="",1,$G105)*N($H105),2))</f>
        <v/>
      </c>
      <c r="J105" s="17">
        <f>IF($C105="","",IFERROR(VLOOKUP($C105,项目台账!$B:$C,2,0),"※项目不在项目台账里"))</f>
        <v/>
      </c>
      <c r="K105" s="13" t="n"/>
    </row>
    <row r="106">
      <c r="A106" s="17">
        <f>IF($C106="","",ROW()-3)</f>
        <v/>
      </c>
      <c r="B106" s="18" t="n"/>
      <c r="C106" s="13" t="n"/>
      <c r="D106" s="13" t="n"/>
      <c r="E106" s="13" t="n"/>
      <c r="F106" s="13" t="n"/>
      <c r="G106" s="20" t="n"/>
      <c r="H106" s="14" t="n"/>
      <c r="I106" s="19">
        <f>IF($C106="","",ROUND(IF($G106="",1,$G106)*N($H106),2))</f>
        <v/>
      </c>
      <c r="J106" s="17">
        <f>IF($C106="","",IFERROR(VLOOKUP($C106,项目台账!$B:$C,2,0),"※项目不在项目台账里"))</f>
        <v/>
      </c>
      <c r="K106" s="13" t="n"/>
    </row>
    <row r="107">
      <c r="A107" s="17">
        <f>IF($C107="","",ROW()-3)</f>
        <v/>
      </c>
      <c r="B107" s="18" t="n"/>
      <c r="C107" s="13" t="n"/>
      <c r="D107" s="13" t="n"/>
      <c r="E107" s="13" t="n"/>
      <c r="F107" s="13" t="n"/>
      <c r="G107" s="20" t="n"/>
      <c r="H107" s="14" t="n"/>
      <c r="I107" s="19">
        <f>IF($C107="","",ROUND(IF($G107="",1,$G107)*N($H107),2))</f>
        <v/>
      </c>
      <c r="J107" s="17">
        <f>IF($C107="","",IFERROR(VLOOKUP($C107,项目台账!$B:$C,2,0),"※项目不在项目台账里"))</f>
        <v/>
      </c>
      <c r="K107" s="13" t="n"/>
    </row>
    <row r="108">
      <c r="A108" s="17">
        <f>IF($C108="","",ROW()-3)</f>
        <v/>
      </c>
      <c r="B108" s="18" t="n"/>
      <c r="C108" s="13" t="n"/>
      <c r="D108" s="13" t="n"/>
      <c r="E108" s="13" t="n"/>
      <c r="F108" s="13" t="n"/>
      <c r="G108" s="20" t="n"/>
      <c r="H108" s="14" t="n"/>
      <c r="I108" s="19">
        <f>IF($C108="","",ROUND(IF($G108="",1,$G108)*N($H108),2))</f>
        <v/>
      </c>
      <c r="J108" s="17">
        <f>IF($C108="","",IFERROR(VLOOKUP($C108,项目台账!$B:$C,2,0),"※项目不在项目台账里"))</f>
        <v/>
      </c>
      <c r="K108" s="13" t="n"/>
    </row>
    <row r="109">
      <c r="A109" s="17">
        <f>IF($C109="","",ROW()-3)</f>
        <v/>
      </c>
      <c r="B109" s="18" t="n"/>
      <c r="C109" s="13" t="n"/>
      <c r="D109" s="13" t="n"/>
      <c r="E109" s="13" t="n"/>
      <c r="F109" s="13" t="n"/>
      <c r="G109" s="20" t="n"/>
      <c r="H109" s="14" t="n"/>
      <c r="I109" s="19">
        <f>IF($C109="","",ROUND(IF($G109="",1,$G109)*N($H109),2))</f>
        <v/>
      </c>
      <c r="J109" s="17">
        <f>IF($C109="","",IFERROR(VLOOKUP($C109,项目台账!$B:$C,2,0),"※项目不在项目台账里"))</f>
        <v/>
      </c>
      <c r="K109" s="13" t="n"/>
    </row>
    <row r="110">
      <c r="A110" s="17">
        <f>IF($C110="","",ROW()-3)</f>
        <v/>
      </c>
      <c r="B110" s="18" t="n"/>
      <c r="C110" s="13" t="n"/>
      <c r="D110" s="13" t="n"/>
      <c r="E110" s="13" t="n"/>
      <c r="F110" s="13" t="n"/>
      <c r="G110" s="20" t="n"/>
      <c r="H110" s="14" t="n"/>
      <c r="I110" s="19">
        <f>IF($C110="","",ROUND(IF($G110="",1,$G110)*N($H110),2))</f>
        <v/>
      </c>
      <c r="J110" s="17">
        <f>IF($C110="","",IFERROR(VLOOKUP($C110,项目台账!$B:$C,2,0),"※项目不在项目台账里"))</f>
        <v/>
      </c>
      <c r="K110" s="13" t="n"/>
    </row>
    <row r="111">
      <c r="A111" s="17">
        <f>IF($C111="","",ROW()-3)</f>
        <v/>
      </c>
      <c r="B111" s="18" t="n"/>
      <c r="C111" s="13" t="n"/>
      <c r="D111" s="13" t="n"/>
      <c r="E111" s="13" t="n"/>
      <c r="F111" s="13" t="n"/>
      <c r="G111" s="20" t="n"/>
      <c r="H111" s="14" t="n"/>
      <c r="I111" s="19">
        <f>IF($C111="","",ROUND(IF($G111="",1,$G111)*N($H111),2))</f>
        <v/>
      </c>
      <c r="J111" s="17">
        <f>IF($C111="","",IFERROR(VLOOKUP($C111,项目台账!$B:$C,2,0),"※项目不在项目台账里"))</f>
        <v/>
      </c>
      <c r="K111" s="13" t="n"/>
    </row>
    <row r="112">
      <c r="A112" s="17">
        <f>IF($C112="","",ROW()-3)</f>
        <v/>
      </c>
      <c r="B112" s="18" t="n"/>
      <c r="C112" s="13" t="n"/>
      <c r="D112" s="13" t="n"/>
      <c r="E112" s="13" t="n"/>
      <c r="F112" s="13" t="n"/>
      <c r="G112" s="20" t="n"/>
      <c r="H112" s="14" t="n"/>
      <c r="I112" s="19">
        <f>IF($C112="","",ROUND(IF($G112="",1,$G112)*N($H112),2))</f>
        <v/>
      </c>
      <c r="J112" s="17">
        <f>IF($C112="","",IFERROR(VLOOKUP($C112,项目台账!$B:$C,2,0),"※项目不在项目台账里"))</f>
        <v/>
      </c>
      <c r="K112" s="13" t="n"/>
    </row>
    <row r="113">
      <c r="A113" s="17">
        <f>IF($C113="","",ROW()-3)</f>
        <v/>
      </c>
      <c r="B113" s="18" t="n"/>
      <c r="C113" s="13" t="n"/>
      <c r="D113" s="13" t="n"/>
      <c r="E113" s="13" t="n"/>
      <c r="F113" s="13" t="n"/>
      <c r="G113" s="20" t="n"/>
      <c r="H113" s="14" t="n"/>
      <c r="I113" s="19">
        <f>IF($C113="","",ROUND(IF($G113="",1,$G113)*N($H113),2))</f>
        <v/>
      </c>
      <c r="J113" s="17">
        <f>IF($C113="","",IFERROR(VLOOKUP($C113,项目台账!$B:$C,2,0),"※项目不在项目台账里"))</f>
        <v/>
      </c>
      <c r="K113" s="13" t="n"/>
    </row>
    <row r="114">
      <c r="A114" s="17">
        <f>IF($C114="","",ROW()-3)</f>
        <v/>
      </c>
      <c r="B114" s="18" t="n"/>
      <c r="C114" s="13" t="n"/>
      <c r="D114" s="13" t="n"/>
      <c r="E114" s="13" t="n"/>
      <c r="F114" s="13" t="n"/>
      <c r="G114" s="20" t="n"/>
      <c r="H114" s="14" t="n"/>
      <c r="I114" s="19">
        <f>IF($C114="","",ROUND(IF($G114="",1,$G114)*N($H114),2))</f>
        <v/>
      </c>
      <c r="J114" s="17">
        <f>IF($C114="","",IFERROR(VLOOKUP($C114,项目台账!$B:$C,2,0),"※项目不在项目台账里"))</f>
        <v/>
      </c>
      <c r="K114" s="13" t="n"/>
    </row>
    <row r="115">
      <c r="A115" s="17">
        <f>IF($C115="","",ROW()-3)</f>
        <v/>
      </c>
      <c r="B115" s="18" t="n"/>
      <c r="C115" s="13" t="n"/>
      <c r="D115" s="13" t="n"/>
      <c r="E115" s="13" t="n"/>
      <c r="F115" s="13" t="n"/>
      <c r="G115" s="20" t="n"/>
      <c r="H115" s="14" t="n"/>
      <c r="I115" s="19">
        <f>IF($C115="","",ROUND(IF($G115="",1,$G115)*N($H115),2))</f>
        <v/>
      </c>
      <c r="J115" s="17">
        <f>IF($C115="","",IFERROR(VLOOKUP($C115,项目台账!$B:$C,2,0),"※项目不在项目台账里"))</f>
        <v/>
      </c>
      <c r="K115" s="13" t="n"/>
    </row>
    <row r="116">
      <c r="A116" s="17">
        <f>IF($C116="","",ROW()-3)</f>
        <v/>
      </c>
      <c r="B116" s="18" t="n"/>
      <c r="C116" s="13" t="n"/>
      <c r="D116" s="13" t="n"/>
      <c r="E116" s="13" t="n"/>
      <c r="F116" s="13" t="n"/>
      <c r="G116" s="20" t="n"/>
      <c r="H116" s="14" t="n"/>
      <c r="I116" s="19">
        <f>IF($C116="","",ROUND(IF($G116="",1,$G116)*N($H116),2))</f>
        <v/>
      </c>
      <c r="J116" s="17">
        <f>IF($C116="","",IFERROR(VLOOKUP($C116,项目台账!$B:$C,2,0),"※项目不在项目台账里"))</f>
        <v/>
      </c>
      <c r="K116" s="13" t="n"/>
    </row>
    <row r="117">
      <c r="A117" s="17">
        <f>IF($C117="","",ROW()-3)</f>
        <v/>
      </c>
      <c r="B117" s="18" t="n"/>
      <c r="C117" s="13" t="n"/>
      <c r="D117" s="13" t="n"/>
      <c r="E117" s="13" t="n"/>
      <c r="F117" s="13" t="n"/>
      <c r="G117" s="20" t="n"/>
      <c r="H117" s="14" t="n"/>
      <c r="I117" s="19">
        <f>IF($C117="","",ROUND(IF($G117="",1,$G117)*N($H117),2))</f>
        <v/>
      </c>
      <c r="J117" s="17">
        <f>IF($C117="","",IFERROR(VLOOKUP($C117,项目台账!$B:$C,2,0),"※项目不在项目台账里"))</f>
        <v/>
      </c>
      <c r="K117" s="13" t="n"/>
    </row>
    <row r="118">
      <c r="A118" s="17">
        <f>IF($C118="","",ROW()-3)</f>
        <v/>
      </c>
      <c r="B118" s="18" t="n"/>
      <c r="C118" s="13" t="n"/>
      <c r="D118" s="13" t="n"/>
      <c r="E118" s="13" t="n"/>
      <c r="F118" s="13" t="n"/>
      <c r="G118" s="20" t="n"/>
      <c r="H118" s="14" t="n"/>
      <c r="I118" s="19">
        <f>IF($C118="","",ROUND(IF($G118="",1,$G118)*N($H118),2))</f>
        <v/>
      </c>
      <c r="J118" s="17">
        <f>IF($C118="","",IFERROR(VLOOKUP($C118,项目台账!$B:$C,2,0),"※项目不在项目台账里"))</f>
        <v/>
      </c>
      <c r="K118" s="13" t="n"/>
    </row>
    <row r="119">
      <c r="A119" s="17">
        <f>IF($C119="","",ROW()-3)</f>
        <v/>
      </c>
      <c r="B119" s="18" t="n"/>
      <c r="C119" s="13" t="n"/>
      <c r="D119" s="13" t="n"/>
      <c r="E119" s="13" t="n"/>
      <c r="F119" s="13" t="n"/>
      <c r="G119" s="20" t="n"/>
      <c r="H119" s="14" t="n"/>
      <c r="I119" s="19">
        <f>IF($C119="","",ROUND(IF($G119="",1,$G119)*N($H119),2))</f>
        <v/>
      </c>
      <c r="J119" s="17">
        <f>IF($C119="","",IFERROR(VLOOKUP($C119,项目台账!$B:$C,2,0),"※项目不在项目台账里"))</f>
        <v/>
      </c>
      <c r="K119" s="13" t="n"/>
    </row>
    <row r="120">
      <c r="A120" s="17">
        <f>IF($C120="","",ROW()-3)</f>
        <v/>
      </c>
      <c r="B120" s="18" t="n"/>
      <c r="C120" s="13" t="n"/>
      <c r="D120" s="13" t="n"/>
      <c r="E120" s="13" t="n"/>
      <c r="F120" s="13" t="n"/>
      <c r="G120" s="20" t="n"/>
      <c r="H120" s="14" t="n"/>
      <c r="I120" s="19">
        <f>IF($C120="","",ROUND(IF($G120="",1,$G120)*N($H120),2))</f>
        <v/>
      </c>
      <c r="J120" s="17">
        <f>IF($C120="","",IFERROR(VLOOKUP($C120,项目台账!$B:$C,2,0),"※项目不在项目台账里"))</f>
        <v/>
      </c>
      <c r="K120" s="13" t="n"/>
    </row>
    <row r="121">
      <c r="A121" s="17">
        <f>IF($C121="","",ROW()-3)</f>
        <v/>
      </c>
      <c r="B121" s="18" t="n"/>
      <c r="C121" s="13" t="n"/>
      <c r="D121" s="13" t="n"/>
      <c r="E121" s="13" t="n"/>
      <c r="F121" s="13" t="n"/>
      <c r="G121" s="20" t="n"/>
      <c r="H121" s="14" t="n"/>
      <c r="I121" s="19">
        <f>IF($C121="","",ROUND(IF($G121="",1,$G121)*N($H121),2))</f>
        <v/>
      </c>
      <c r="J121" s="17">
        <f>IF($C121="","",IFERROR(VLOOKUP($C121,项目台账!$B:$C,2,0),"※项目不在项目台账里"))</f>
        <v/>
      </c>
      <c r="K121" s="13" t="n"/>
    </row>
    <row r="122">
      <c r="A122" s="17">
        <f>IF($C122="","",ROW()-3)</f>
        <v/>
      </c>
      <c r="B122" s="18" t="n"/>
      <c r="C122" s="13" t="n"/>
      <c r="D122" s="13" t="n"/>
      <c r="E122" s="13" t="n"/>
      <c r="F122" s="13" t="n"/>
      <c r="G122" s="20" t="n"/>
      <c r="H122" s="14" t="n"/>
      <c r="I122" s="19">
        <f>IF($C122="","",ROUND(IF($G122="",1,$G122)*N($H122),2))</f>
        <v/>
      </c>
      <c r="J122" s="17">
        <f>IF($C122="","",IFERROR(VLOOKUP($C122,项目台账!$B:$C,2,0),"※项目不在项目台账里"))</f>
        <v/>
      </c>
      <c r="K122" s="13" t="n"/>
    </row>
    <row r="123">
      <c r="A123" s="17">
        <f>IF($C123="","",ROW()-3)</f>
        <v/>
      </c>
      <c r="B123" s="18" t="n"/>
      <c r="C123" s="13" t="n"/>
      <c r="D123" s="13" t="n"/>
      <c r="E123" s="13" t="n"/>
      <c r="F123" s="13" t="n"/>
      <c r="G123" s="20" t="n"/>
      <c r="H123" s="14" t="n"/>
      <c r="I123" s="19">
        <f>IF($C123="","",ROUND(IF($G123="",1,$G123)*N($H123),2))</f>
        <v/>
      </c>
      <c r="J123" s="17">
        <f>IF($C123="","",IFERROR(VLOOKUP($C123,项目台账!$B:$C,2,0),"※项目不在项目台账里"))</f>
        <v/>
      </c>
      <c r="K123" s="13" t="n"/>
    </row>
    <row r="124">
      <c r="A124" s="17">
        <f>IF($C124="","",ROW()-3)</f>
        <v/>
      </c>
      <c r="B124" s="18" t="n"/>
      <c r="C124" s="13" t="n"/>
      <c r="D124" s="13" t="n"/>
      <c r="E124" s="13" t="n"/>
      <c r="F124" s="13" t="n"/>
      <c r="G124" s="20" t="n"/>
      <c r="H124" s="14" t="n"/>
      <c r="I124" s="19">
        <f>IF($C124="","",ROUND(IF($G124="",1,$G124)*N($H124),2))</f>
        <v/>
      </c>
      <c r="J124" s="17">
        <f>IF($C124="","",IFERROR(VLOOKUP($C124,项目台账!$B:$C,2,0),"※项目不在项目台账里"))</f>
        <v/>
      </c>
      <c r="K124" s="13" t="n"/>
    </row>
    <row r="125">
      <c r="A125" s="17">
        <f>IF($C125="","",ROW()-3)</f>
        <v/>
      </c>
      <c r="B125" s="18" t="n"/>
      <c r="C125" s="13" t="n"/>
      <c r="D125" s="13" t="n"/>
      <c r="E125" s="13" t="n"/>
      <c r="F125" s="13" t="n"/>
      <c r="G125" s="20" t="n"/>
      <c r="H125" s="14" t="n"/>
      <c r="I125" s="19">
        <f>IF($C125="","",ROUND(IF($G125="",1,$G125)*N($H125),2))</f>
        <v/>
      </c>
      <c r="J125" s="17">
        <f>IF($C125="","",IFERROR(VLOOKUP($C125,项目台账!$B:$C,2,0),"※项目不在项目台账里"))</f>
        <v/>
      </c>
      <c r="K125" s="13" t="n"/>
    </row>
    <row r="126">
      <c r="A126" s="17">
        <f>IF($C126="","",ROW()-3)</f>
        <v/>
      </c>
      <c r="B126" s="18" t="n"/>
      <c r="C126" s="13" t="n"/>
      <c r="D126" s="13" t="n"/>
      <c r="E126" s="13" t="n"/>
      <c r="F126" s="13" t="n"/>
      <c r="G126" s="20" t="n"/>
      <c r="H126" s="14" t="n"/>
      <c r="I126" s="19">
        <f>IF($C126="","",ROUND(IF($G126="",1,$G126)*N($H126),2))</f>
        <v/>
      </c>
      <c r="J126" s="17">
        <f>IF($C126="","",IFERROR(VLOOKUP($C126,项目台账!$B:$C,2,0),"※项目不在项目台账里"))</f>
        <v/>
      </c>
      <c r="K126" s="13" t="n"/>
    </row>
    <row r="127">
      <c r="A127" s="17">
        <f>IF($C127="","",ROW()-3)</f>
        <v/>
      </c>
      <c r="B127" s="18" t="n"/>
      <c r="C127" s="13" t="n"/>
      <c r="D127" s="13" t="n"/>
      <c r="E127" s="13" t="n"/>
      <c r="F127" s="13" t="n"/>
      <c r="G127" s="20" t="n"/>
      <c r="H127" s="14" t="n"/>
      <c r="I127" s="19">
        <f>IF($C127="","",ROUND(IF($G127="",1,$G127)*N($H127),2))</f>
        <v/>
      </c>
      <c r="J127" s="17">
        <f>IF($C127="","",IFERROR(VLOOKUP($C127,项目台账!$B:$C,2,0),"※项目不在项目台账里"))</f>
        <v/>
      </c>
      <c r="K127" s="13" t="n"/>
    </row>
    <row r="128">
      <c r="A128" s="17">
        <f>IF($C128="","",ROW()-3)</f>
        <v/>
      </c>
      <c r="B128" s="18" t="n"/>
      <c r="C128" s="13" t="n"/>
      <c r="D128" s="13" t="n"/>
      <c r="E128" s="13" t="n"/>
      <c r="F128" s="13" t="n"/>
      <c r="G128" s="20" t="n"/>
      <c r="H128" s="14" t="n"/>
      <c r="I128" s="19">
        <f>IF($C128="","",ROUND(IF($G128="",1,$G128)*N($H128),2))</f>
        <v/>
      </c>
      <c r="J128" s="17">
        <f>IF($C128="","",IFERROR(VLOOKUP($C128,项目台账!$B:$C,2,0),"※项目不在项目台账里"))</f>
        <v/>
      </c>
      <c r="K128" s="13" t="n"/>
    </row>
    <row r="129">
      <c r="A129" s="17">
        <f>IF($C129="","",ROW()-3)</f>
        <v/>
      </c>
      <c r="B129" s="18" t="n"/>
      <c r="C129" s="13" t="n"/>
      <c r="D129" s="13" t="n"/>
      <c r="E129" s="13" t="n"/>
      <c r="F129" s="13" t="n"/>
      <c r="G129" s="20" t="n"/>
      <c r="H129" s="14" t="n"/>
      <c r="I129" s="19">
        <f>IF($C129="","",ROUND(IF($G129="",1,$G129)*N($H129),2))</f>
        <v/>
      </c>
      <c r="J129" s="17">
        <f>IF($C129="","",IFERROR(VLOOKUP($C129,项目台账!$B:$C,2,0),"※项目不在项目台账里"))</f>
        <v/>
      </c>
      <c r="K129" s="13" t="n"/>
    </row>
    <row r="130">
      <c r="A130" s="17">
        <f>IF($C130="","",ROW()-3)</f>
        <v/>
      </c>
      <c r="B130" s="18" t="n"/>
      <c r="C130" s="13" t="n"/>
      <c r="D130" s="13" t="n"/>
      <c r="E130" s="13" t="n"/>
      <c r="F130" s="13" t="n"/>
      <c r="G130" s="20" t="n"/>
      <c r="H130" s="14" t="n"/>
      <c r="I130" s="19">
        <f>IF($C130="","",ROUND(IF($G130="",1,$G130)*N($H130),2))</f>
        <v/>
      </c>
      <c r="J130" s="17">
        <f>IF($C130="","",IFERROR(VLOOKUP($C130,项目台账!$B:$C,2,0),"※项目不在项目台账里"))</f>
        <v/>
      </c>
      <c r="K130" s="13" t="n"/>
    </row>
    <row r="131">
      <c r="A131" s="17">
        <f>IF($C131="","",ROW()-3)</f>
        <v/>
      </c>
      <c r="B131" s="18" t="n"/>
      <c r="C131" s="13" t="n"/>
      <c r="D131" s="13" t="n"/>
      <c r="E131" s="13" t="n"/>
      <c r="F131" s="13" t="n"/>
      <c r="G131" s="20" t="n"/>
      <c r="H131" s="14" t="n"/>
      <c r="I131" s="19">
        <f>IF($C131="","",ROUND(IF($G131="",1,$G131)*N($H131),2))</f>
        <v/>
      </c>
      <c r="J131" s="17">
        <f>IF($C131="","",IFERROR(VLOOKUP($C131,项目台账!$B:$C,2,0),"※项目不在项目台账里"))</f>
        <v/>
      </c>
      <c r="K131" s="13" t="n"/>
    </row>
    <row r="132">
      <c r="A132" s="17">
        <f>IF($C132="","",ROW()-3)</f>
        <v/>
      </c>
      <c r="B132" s="18" t="n"/>
      <c r="C132" s="13" t="n"/>
      <c r="D132" s="13" t="n"/>
      <c r="E132" s="13" t="n"/>
      <c r="F132" s="13" t="n"/>
      <c r="G132" s="20" t="n"/>
      <c r="H132" s="14" t="n"/>
      <c r="I132" s="19">
        <f>IF($C132="","",ROUND(IF($G132="",1,$G132)*N($H132),2))</f>
        <v/>
      </c>
      <c r="J132" s="17">
        <f>IF($C132="","",IFERROR(VLOOKUP($C132,项目台账!$B:$C,2,0),"※项目不在项目台账里"))</f>
        <v/>
      </c>
      <c r="K132" s="13" t="n"/>
    </row>
    <row r="133">
      <c r="A133" s="17">
        <f>IF($C133="","",ROW()-3)</f>
        <v/>
      </c>
      <c r="B133" s="18" t="n"/>
      <c r="C133" s="13" t="n"/>
      <c r="D133" s="13" t="n"/>
      <c r="E133" s="13" t="n"/>
      <c r="F133" s="13" t="n"/>
      <c r="G133" s="20" t="n"/>
      <c r="H133" s="14" t="n"/>
      <c r="I133" s="19">
        <f>IF($C133="","",ROUND(IF($G133="",1,$G133)*N($H133),2))</f>
        <v/>
      </c>
      <c r="J133" s="17">
        <f>IF($C133="","",IFERROR(VLOOKUP($C133,项目台账!$B:$C,2,0),"※项目不在项目台账里"))</f>
        <v/>
      </c>
      <c r="K133" s="13" t="n"/>
    </row>
    <row r="134">
      <c r="A134" s="17">
        <f>IF($C134="","",ROW()-3)</f>
        <v/>
      </c>
      <c r="B134" s="18" t="n"/>
      <c r="C134" s="13" t="n"/>
      <c r="D134" s="13" t="n"/>
      <c r="E134" s="13" t="n"/>
      <c r="F134" s="13" t="n"/>
      <c r="G134" s="20" t="n"/>
      <c r="H134" s="14" t="n"/>
      <c r="I134" s="19">
        <f>IF($C134="","",ROUND(IF($G134="",1,$G134)*N($H134),2))</f>
        <v/>
      </c>
      <c r="J134" s="17">
        <f>IF($C134="","",IFERROR(VLOOKUP($C134,项目台账!$B:$C,2,0),"※项目不在项目台账里"))</f>
        <v/>
      </c>
      <c r="K134" s="13" t="n"/>
    </row>
    <row r="135">
      <c r="A135" s="17">
        <f>IF($C135="","",ROW()-3)</f>
        <v/>
      </c>
      <c r="B135" s="18" t="n"/>
      <c r="C135" s="13" t="n"/>
      <c r="D135" s="13" t="n"/>
      <c r="E135" s="13" t="n"/>
      <c r="F135" s="13" t="n"/>
      <c r="G135" s="20" t="n"/>
      <c r="H135" s="14" t="n"/>
      <c r="I135" s="19">
        <f>IF($C135="","",ROUND(IF($G135="",1,$G135)*N($H135),2))</f>
        <v/>
      </c>
      <c r="J135" s="17">
        <f>IF($C135="","",IFERROR(VLOOKUP($C135,项目台账!$B:$C,2,0),"※项目不在项目台账里"))</f>
        <v/>
      </c>
      <c r="K135" s="13" t="n"/>
    </row>
    <row r="136">
      <c r="A136" s="17">
        <f>IF($C136="","",ROW()-3)</f>
        <v/>
      </c>
      <c r="B136" s="18" t="n"/>
      <c r="C136" s="13" t="n"/>
      <c r="D136" s="13" t="n"/>
      <c r="E136" s="13" t="n"/>
      <c r="F136" s="13" t="n"/>
      <c r="G136" s="20" t="n"/>
      <c r="H136" s="14" t="n"/>
      <c r="I136" s="19">
        <f>IF($C136="","",ROUND(IF($G136="",1,$G136)*N($H136),2))</f>
        <v/>
      </c>
      <c r="J136" s="17">
        <f>IF($C136="","",IFERROR(VLOOKUP($C136,项目台账!$B:$C,2,0),"※项目不在项目台账里"))</f>
        <v/>
      </c>
      <c r="K136" s="13" t="n"/>
    </row>
    <row r="137">
      <c r="A137" s="17">
        <f>IF($C137="","",ROW()-3)</f>
        <v/>
      </c>
      <c r="B137" s="18" t="n"/>
      <c r="C137" s="13" t="n"/>
      <c r="D137" s="13" t="n"/>
      <c r="E137" s="13" t="n"/>
      <c r="F137" s="13" t="n"/>
      <c r="G137" s="20" t="n"/>
      <c r="H137" s="14" t="n"/>
      <c r="I137" s="19">
        <f>IF($C137="","",ROUND(IF($G137="",1,$G137)*N($H137),2))</f>
        <v/>
      </c>
      <c r="J137" s="17">
        <f>IF($C137="","",IFERROR(VLOOKUP($C137,项目台账!$B:$C,2,0),"※项目不在项目台账里"))</f>
        <v/>
      </c>
      <c r="K137" s="13" t="n"/>
    </row>
    <row r="138">
      <c r="A138" s="17">
        <f>IF($C138="","",ROW()-3)</f>
        <v/>
      </c>
      <c r="B138" s="18" t="n"/>
      <c r="C138" s="13" t="n"/>
      <c r="D138" s="13" t="n"/>
      <c r="E138" s="13" t="n"/>
      <c r="F138" s="13" t="n"/>
      <c r="G138" s="20" t="n"/>
      <c r="H138" s="14" t="n"/>
      <c r="I138" s="19">
        <f>IF($C138="","",ROUND(IF($G138="",1,$G138)*N($H138),2))</f>
        <v/>
      </c>
      <c r="J138" s="17">
        <f>IF($C138="","",IFERROR(VLOOKUP($C138,项目台账!$B:$C,2,0),"※项目不在项目台账里"))</f>
        <v/>
      </c>
      <c r="K138" s="13" t="n"/>
    </row>
    <row r="139">
      <c r="A139" s="17">
        <f>IF($C139="","",ROW()-3)</f>
        <v/>
      </c>
      <c r="B139" s="18" t="n"/>
      <c r="C139" s="13" t="n"/>
      <c r="D139" s="13" t="n"/>
      <c r="E139" s="13" t="n"/>
      <c r="F139" s="13" t="n"/>
      <c r="G139" s="20" t="n"/>
      <c r="H139" s="14" t="n"/>
      <c r="I139" s="19">
        <f>IF($C139="","",ROUND(IF($G139="",1,$G139)*N($H139),2))</f>
        <v/>
      </c>
      <c r="J139" s="17">
        <f>IF($C139="","",IFERROR(VLOOKUP($C139,项目台账!$B:$C,2,0),"※项目不在项目台账里"))</f>
        <v/>
      </c>
      <c r="K139" s="13" t="n"/>
    </row>
    <row r="140">
      <c r="A140" s="17">
        <f>IF($C140="","",ROW()-3)</f>
        <v/>
      </c>
      <c r="B140" s="18" t="n"/>
      <c r="C140" s="13" t="n"/>
      <c r="D140" s="13" t="n"/>
      <c r="E140" s="13" t="n"/>
      <c r="F140" s="13" t="n"/>
      <c r="G140" s="20" t="n"/>
      <c r="H140" s="14" t="n"/>
      <c r="I140" s="19">
        <f>IF($C140="","",ROUND(IF($G140="",1,$G140)*N($H140),2))</f>
        <v/>
      </c>
      <c r="J140" s="17">
        <f>IF($C140="","",IFERROR(VLOOKUP($C140,项目台账!$B:$C,2,0),"※项目不在项目台账里"))</f>
        <v/>
      </c>
      <c r="K140" s="13" t="n"/>
    </row>
    <row r="141">
      <c r="A141" s="17">
        <f>IF($C141="","",ROW()-3)</f>
        <v/>
      </c>
      <c r="B141" s="18" t="n"/>
      <c r="C141" s="13" t="n"/>
      <c r="D141" s="13" t="n"/>
      <c r="E141" s="13" t="n"/>
      <c r="F141" s="13" t="n"/>
      <c r="G141" s="20" t="n"/>
      <c r="H141" s="14" t="n"/>
      <c r="I141" s="19">
        <f>IF($C141="","",ROUND(IF($G141="",1,$G141)*N($H141),2))</f>
        <v/>
      </c>
      <c r="J141" s="17">
        <f>IF($C141="","",IFERROR(VLOOKUP($C141,项目台账!$B:$C,2,0),"※项目不在项目台账里"))</f>
        <v/>
      </c>
      <c r="K141" s="13" t="n"/>
    </row>
    <row r="142">
      <c r="A142" s="17">
        <f>IF($C142="","",ROW()-3)</f>
        <v/>
      </c>
      <c r="B142" s="18" t="n"/>
      <c r="C142" s="13" t="n"/>
      <c r="D142" s="13" t="n"/>
      <c r="E142" s="13" t="n"/>
      <c r="F142" s="13" t="n"/>
      <c r="G142" s="20" t="n"/>
      <c r="H142" s="14" t="n"/>
      <c r="I142" s="19">
        <f>IF($C142="","",ROUND(IF($G142="",1,$G142)*N($H142),2))</f>
        <v/>
      </c>
      <c r="J142" s="17">
        <f>IF($C142="","",IFERROR(VLOOKUP($C142,项目台账!$B:$C,2,0),"※项目不在项目台账里"))</f>
        <v/>
      </c>
      <c r="K142" s="13" t="n"/>
    </row>
    <row r="143">
      <c r="A143" s="17">
        <f>IF($C143="","",ROW()-3)</f>
        <v/>
      </c>
      <c r="B143" s="18" t="n"/>
      <c r="C143" s="13" t="n"/>
      <c r="D143" s="13" t="n"/>
      <c r="E143" s="13" t="n"/>
      <c r="F143" s="13" t="n"/>
      <c r="G143" s="20" t="n"/>
      <c r="H143" s="14" t="n"/>
      <c r="I143" s="19">
        <f>IF($C143="","",ROUND(IF($G143="",1,$G143)*N($H143),2))</f>
        <v/>
      </c>
      <c r="J143" s="17">
        <f>IF($C143="","",IFERROR(VLOOKUP($C143,项目台账!$B:$C,2,0),"※项目不在项目台账里"))</f>
        <v/>
      </c>
      <c r="K143" s="13" t="n"/>
    </row>
    <row r="144">
      <c r="A144" s="17">
        <f>IF($C144="","",ROW()-3)</f>
        <v/>
      </c>
      <c r="B144" s="18" t="n"/>
      <c r="C144" s="13" t="n"/>
      <c r="D144" s="13" t="n"/>
      <c r="E144" s="13" t="n"/>
      <c r="F144" s="13" t="n"/>
      <c r="G144" s="20" t="n"/>
      <c r="H144" s="14" t="n"/>
      <c r="I144" s="19">
        <f>IF($C144="","",ROUND(IF($G144="",1,$G144)*N($H144),2))</f>
        <v/>
      </c>
      <c r="J144" s="17">
        <f>IF($C144="","",IFERROR(VLOOKUP($C144,项目台账!$B:$C,2,0),"※项目不在项目台账里"))</f>
        <v/>
      </c>
      <c r="K144" s="13" t="n"/>
    </row>
    <row r="145">
      <c r="A145" s="17">
        <f>IF($C145="","",ROW()-3)</f>
        <v/>
      </c>
      <c r="B145" s="18" t="n"/>
      <c r="C145" s="13" t="n"/>
      <c r="D145" s="13" t="n"/>
      <c r="E145" s="13" t="n"/>
      <c r="F145" s="13" t="n"/>
      <c r="G145" s="20" t="n"/>
      <c r="H145" s="14" t="n"/>
      <c r="I145" s="19">
        <f>IF($C145="","",ROUND(IF($G145="",1,$G145)*N($H145),2))</f>
        <v/>
      </c>
      <c r="J145" s="17">
        <f>IF($C145="","",IFERROR(VLOOKUP($C145,项目台账!$B:$C,2,0),"※项目不在项目台账里"))</f>
        <v/>
      </c>
      <c r="K145" s="13" t="n"/>
    </row>
    <row r="146">
      <c r="A146" s="17">
        <f>IF($C146="","",ROW()-3)</f>
        <v/>
      </c>
      <c r="B146" s="18" t="n"/>
      <c r="C146" s="13" t="n"/>
      <c r="D146" s="13" t="n"/>
      <c r="E146" s="13" t="n"/>
      <c r="F146" s="13" t="n"/>
      <c r="G146" s="20" t="n"/>
      <c r="H146" s="14" t="n"/>
      <c r="I146" s="19">
        <f>IF($C146="","",ROUND(IF($G146="",1,$G146)*N($H146),2))</f>
        <v/>
      </c>
      <c r="J146" s="17">
        <f>IF($C146="","",IFERROR(VLOOKUP($C146,项目台账!$B:$C,2,0),"※项目不在项目台账里"))</f>
        <v/>
      </c>
      <c r="K146" s="13" t="n"/>
    </row>
    <row r="147">
      <c r="A147" s="17">
        <f>IF($C147="","",ROW()-3)</f>
        <v/>
      </c>
      <c r="B147" s="18" t="n"/>
      <c r="C147" s="13" t="n"/>
      <c r="D147" s="13" t="n"/>
      <c r="E147" s="13" t="n"/>
      <c r="F147" s="13" t="n"/>
      <c r="G147" s="20" t="n"/>
      <c r="H147" s="14" t="n"/>
      <c r="I147" s="19">
        <f>IF($C147="","",ROUND(IF($G147="",1,$G147)*N($H147),2))</f>
        <v/>
      </c>
      <c r="J147" s="17">
        <f>IF($C147="","",IFERROR(VLOOKUP($C147,项目台账!$B:$C,2,0),"※项目不在项目台账里"))</f>
        <v/>
      </c>
      <c r="K147" s="13" t="n"/>
    </row>
    <row r="148">
      <c r="A148" s="17">
        <f>IF($C148="","",ROW()-3)</f>
        <v/>
      </c>
      <c r="B148" s="18" t="n"/>
      <c r="C148" s="13" t="n"/>
      <c r="D148" s="13" t="n"/>
      <c r="E148" s="13" t="n"/>
      <c r="F148" s="13" t="n"/>
      <c r="G148" s="20" t="n"/>
      <c r="H148" s="14" t="n"/>
      <c r="I148" s="19">
        <f>IF($C148="","",ROUND(IF($G148="",1,$G148)*N($H148),2))</f>
        <v/>
      </c>
      <c r="J148" s="17">
        <f>IF($C148="","",IFERROR(VLOOKUP($C148,项目台账!$B:$C,2,0),"※项目不在项目台账里"))</f>
        <v/>
      </c>
      <c r="K148" s="13" t="n"/>
    </row>
    <row r="149">
      <c r="A149" s="17">
        <f>IF($C149="","",ROW()-3)</f>
        <v/>
      </c>
      <c r="B149" s="18" t="n"/>
      <c r="C149" s="13" t="n"/>
      <c r="D149" s="13" t="n"/>
      <c r="E149" s="13" t="n"/>
      <c r="F149" s="13" t="n"/>
      <c r="G149" s="20" t="n"/>
      <c r="H149" s="14" t="n"/>
      <c r="I149" s="19">
        <f>IF($C149="","",ROUND(IF($G149="",1,$G149)*N($H149),2))</f>
        <v/>
      </c>
      <c r="J149" s="17">
        <f>IF($C149="","",IFERROR(VLOOKUP($C149,项目台账!$B:$C,2,0),"※项目不在项目台账里"))</f>
        <v/>
      </c>
      <c r="K149" s="13" t="n"/>
    </row>
    <row r="150">
      <c r="A150" s="17">
        <f>IF($C150="","",ROW()-3)</f>
        <v/>
      </c>
      <c r="B150" s="18" t="n"/>
      <c r="C150" s="13" t="n"/>
      <c r="D150" s="13" t="n"/>
      <c r="E150" s="13" t="n"/>
      <c r="F150" s="13" t="n"/>
      <c r="G150" s="20" t="n"/>
      <c r="H150" s="14" t="n"/>
      <c r="I150" s="19">
        <f>IF($C150="","",ROUND(IF($G150="",1,$G150)*N($H150),2))</f>
        <v/>
      </c>
      <c r="J150" s="17">
        <f>IF($C150="","",IFERROR(VLOOKUP($C150,项目台账!$B:$C,2,0),"※项目不在项目台账里"))</f>
        <v/>
      </c>
      <c r="K150" s="13" t="n"/>
    </row>
    <row r="151">
      <c r="A151" s="17">
        <f>IF($C151="","",ROW()-3)</f>
        <v/>
      </c>
      <c r="B151" s="18" t="n"/>
      <c r="C151" s="13" t="n"/>
      <c r="D151" s="13" t="n"/>
      <c r="E151" s="13" t="n"/>
      <c r="F151" s="13" t="n"/>
      <c r="G151" s="20" t="n"/>
      <c r="H151" s="14" t="n"/>
      <c r="I151" s="19">
        <f>IF($C151="","",ROUND(IF($G151="",1,$G151)*N($H151),2))</f>
        <v/>
      </c>
      <c r="J151" s="17">
        <f>IF($C151="","",IFERROR(VLOOKUP($C151,项目台账!$B:$C,2,0),"※项目不在项目台账里"))</f>
        <v/>
      </c>
      <c r="K151" s="13" t="n"/>
    </row>
    <row r="152">
      <c r="A152" s="17">
        <f>IF($C152="","",ROW()-3)</f>
        <v/>
      </c>
      <c r="B152" s="18" t="n"/>
      <c r="C152" s="13" t="n"/>
      <c r="D152" s="13" t="n"/>
      <c r="E152" s="13" t="n"/>
      <c r="F152" s="13" t="n"/>
      <c r="G152" s="20" t="n"/>
      <c r="H152" s="14" t="n"/>
      <c r="I152" s="19">
        <f>IF($C152="","",ROUND(IF($G152="",1,$G152)*N($H152),2))</f>
        <v/>
      </c>
      <c r="J152" s="17">
        <f>IF($C152="","",IFERROR(VLOOKUP($C152,项目台账!$B:$C,2,0),"※项目不在项目台账里"))</f>
        <v/>
      </c>
      <c r="K152" s="13" t="n"/>
    </row>
    <row r="153">
      <c r="A153" s="17">
        <f>IF($C153="","",ROW()-3)</f>
        <v/>
      </c>
      <c r="B153" s="18" t="n"/>
      <c r="C153" s="13" t="n"/>
      <c r="D153" s="13" t="n"/>
      <c r="E153" s="13" t="n"/>
      <c r="F153" s="13" t="n"/>
      <c r="G153" s="20" t="n"/>
      <c r="H153" s="14" t="n"/>
      <c r="I153" s="19">
        <f>IF($C153="","",ROUND(IF($G153="",1,$G153)*N($H153),2))</f>
        <v/>
      </c>
      <c r="J153" s="17">
        <f>IF($C153="","",IFERROR(VLOOKUP($C153,项目台账!$B:$C,2,0),"※项目不在项目台账里"))</f>
        <v/>
      </c>
      <c r="K153" s="13" t="n"/>
    </row>
    <row r="154">
      <c r="A154" s="17">
        <f>IF($C154="","",ROW()-3)</f>
        <v/>
      </c>
      <c r="B154" s="18" t="n"/>
      <c r="C154" s="13" t="n"/>
      <c r="D154" s="13" t="n"/>
      <c r="E154" s="13" t="n"/>
      <c r="F154" s="13" t="n"/>
      <c r="G154" s="20" t="n"/>
      <c r="H154" s="14" t="n"/>
      <c r="I154" s="19">
        <f>IF($C154="","",ROUND(IF($G154="",1,$G154)*N($H154),2))</f>
        <v/>
      </c>
      <c r="J154" s="17">
        <f>IF($C154="","",IFERROR(VLOOKUP($C154,项目台账!$B:$C,2,0),"※项目不在项目台账里"))</f>
        <v/>
      </c>
      <c r="K154" s="13" t="n"/>
    </row>
    <row r="155">
      <c r="A155" s="17">
        <f>IF($C155="","",ROW()-3)</f>
        <v/>
      </c>
      <c r="B155" s="18" t="n"/>
      <c r="C155" s="13" t="n"/>
      <c r="D155" s="13" t="n"/>
      <c r="E155" s="13" t="n"/>
      <c r="F155" s="13" t="n"/>
      <c r="G155" s="20" t="n"/>
      <c r="H155" s="14" t="n"/>
      <c r="I155" s="19">
        <f>IF($C155="","",ROUND(IF($G155="",1,$G155)*N($H155),2))</f>
        <v/>
      </c>
      <c r="J155" s="17">
        <f>IF($C155="","",IFERROR(VLOOKUP($C155,项目台账!$B:$C,2,0),"※项目不在项目台账里"))</f>
        <v/>
      </c>
      <c r="K155" s="13" t="n"/>
    </row>
    <row r="156">
      <c r="A156" s="17">
        <f>IF($C156="","",ROW()-3)</f>
        <v/>
      </c>
      <c r="B156" s="18" t="n"/>
      <c r="C156" s="13" t="n"/>
      <c r="D156" s="13" t="n"/>
      <c r="E156" s="13" t="n"/>
      <c r="F156" s="13" t="n"/>
      <c r="G156" s="20" t="n"/>
      <c r="H156" s="14" t="n"/>
      <c r="I156" s="19">
        <f>IF($C156="","",ROUND(IF($G156="",1,$G156)*N($H156),2))</f>
        <v/>
      </c>
      <c r="J156" s="17">
        <f>IF($C156="","",IFERROR(VLOOKUP($C156,项目台账!$B:$C,2,0),"※项目不在项目台账里"))</f>
        <v/>
      </c>
      <c r="K156" s="13" t="n"/>
    </row>
    <row r="157">
      <c r="A157" s="17">
        <f>IF($C157="","",ROW()-3)</f>
        <v/>
      </c>
      <c r="B157" s="18" t="n"/>
      <c r="C157" s="13" t="n"/>
      <c r="D157" s="13" t="n"/>
      <c r="E157" s="13" t="n"/>
      <c r="F157" s="13" t="n"/>
      <c r="G157" s="20" t="n"/>
      <c r="H157" s="14" t="n"/>
      <c r="I157" s="19">
        <f>IF($C157="","",ROUND(IF($G157="",1,$G157)*N($H157),2))</f>
        <v/>
      </c>
      <c r="J157" s="17">
        <f>IF($C157="","",IFERROR(VLOOKUP($C157,项目台账!$B:$C,2,0),"※项目不在项目台账里"))</f>
        <v/>
      </c>
      <c r="K157" s="13" t="n"/>
    </row>
    <row r="158">
      <c r="A158" s="17">
        <f>IF($C158="","",ROW()-3)</f>
        <v/>
      </c>
      <c r="B158" s="18" t="n"/>
      <c r="C158" s="13" t="n"/>
      <c r="D158" s="13" t="n"/>
      <c r="E158" s="13" t="n"/>
      <c r="F158" s="13" t="n"/>
      <c r="G158" s="20" t="n"/>
      <c r="H158" s="14" t="n"/>
      <c r="I158" s="19">
        <f>IF($C158="","",ROUND(IF($G158="",1,$G158)*N($H158),2))</f>
        <v/>
      </c>
      <c r="J158" s="17">
        <f>IF($C158="","",IFERROR(VLOOKUP($C158,项目台账!$B:$C,2,0),"※项目不在项目台账里"))</f>
        <v/>
      </c>
      <c r="K158" s="13" t="n"/>
    </row>
    <row r="159">
      <c r="A159" s="17">
        <f>IF($C159="","",ROW()-3)</f>
        <v/>
      </c>
      <c r="B159" s="18" t="n"/>
      <c r="C159" s="13" t="n"/>
      <c r="D159" s="13" t="n"/>
      <c r="E159" s="13" t="n"/>
      <c r="F159" s="13" t="n"/>
      <c r="G159" s="20" t="n"/>
      <c r="H159" s="14" t="n"/>
      <c r="I159" s="19">
        <f>IF($C159="","",ROUND(IF($G159="",1,$G159)*N($H159),2))</f>
        <v/>
      </c>
      <c r="J159" s="17">
        <f>IF($C159="","",IFERROR(VLOOKUP($C159,项目台账!$B:$C,2,0),"※项目不在项目台账里"))</f>
        <v/>
      </c>
      <c r="K159" s="13" t="n"/>
    </row>
    <row r="160">
      <c r="A160" s="17">
        <f>IF($C160="","",ROW()-3)</f>
        <v/>
      </c>
      <c r="B160" s="18" t="n"/>
      <c r="C160" s="13" t="n"/>
      <c r="D160" s="13" t="n"/>
      <c r="E160" s="13" t="n"/>
      <c r="F160" s="13" t="n"/>
      <c r="G160" s="20" t="n"/>
      <c r="H160" s="14" t="n"/>
      <c r="I160" s="19">
        <f>IF($C160="","",ROUND(IF($G160="",1,$G160)*N($H160),2))</f>
        <v/>
      </c>
      <c r="J160" s="17">
        <f>IF($C160="","",IFERROR(VLOOKUP($C160,项目台账!$B:$C,2,0),"※项目不在项目台账里"))</f>
        <v/>
      </c>
      <c r="K160" s="13" t="n"/>
    </row>
    <row r="161">
      <c r="A161" s="17">
        <f>IF($C161="","",ROW()-3)</f>
        <v/>
      </c>
      <c r="B161" s="18" t="n"/>
      <c r="C161" s="13" t="n"/>
      <c r="D161" s="13" t="n"/>
      <c r="E161" s="13" t="n"/>
      <c r="F161" s="13" t="n"/>
      <c r="G161" s="20" t="n"/>
      <c r="H161" s="14" t="n"/>
      <c r="I161" s="19">
        <f>IF($C161="","",ROUND(IF($G161="",1,$G161)*N($H161),2))</f>
        <v/>
      </c>
      <c r="J161" s="17">
        <f>IF($C161="","",IFERROR(VLOOKUP($C161,项目台账!$B:$C,2,0),"※项目不在项目台账里"))</f>
        <v/>
      </c>
      <c r="K161" s="13" t="n"/>
    </row>
    <row r="162">
      <c r="A162" s="17">
        <f>IF($C162="","",ROW()-3)</f>
        <v/>
      </c>
      <c r="B162" s="18" t="n"/>
      <c r="C162" s="13" t="n"/>
      <c r="D162" s="13" t="n"/>
      <c r="E162" s="13" t="n"/>
      <c r="F162" s="13" t="n"/>
      <c r="G162" s="20" t="n"/>
      <c r="H162" s="14" t="n"/>
      <c r="I162" s="19">
        <f>IF($C162="","",ROUND(IF($G162="",1,$G162)*N($H162),2))</f>
        <v/>
      </c>
      <c r="J162" s="17">
        <f>IF($C162="","",IFERROR(VLOOKUP($C162,项目台账!$B:$C,2,0),"※项目不在项目台账里"))</f>
        <v/>
      </c>
      <c r="K162" s="13" t="n"/>
    </row>
    <row r="163">
      <c r="A163" s="17">
        <f>IF($C163="","",ROW()-3)</f>
        <v/>
      </c>
      <c r="B163" s="18" t="n"/>
      <c r="C163" s="13" t="n"/>
      <c r="D163" s="13" t="n"/>
      <c r="E163" s="13" t="n"/>
      <c r="F163" s="13" t="n"/>
      <c r="G163" s="20" t="n"/>
      <c r="H163" s="14" t="n"/>
      <c r="I163" s="19">
        <f>IF($C163="","",ROUND(IF($G163="",1,$G163)*N($H163),2))</f>
        <v/>
      </c>
      <c r="J163" s="17">
        <f>IF($C163="","",IFERROR(VLOOKUP($C163,项目台账!$B:$C,2,0),"※项目不在项目台账里"))</f>
        <v/>
      </c>
      <c r="K163" s="13" t="n"/>
    </row>
    <row r="164">
      <c r="A164" s="17">
        <f>IF($C164="","",ROW()-3)</f>
        <v/>
      </c>
      <c r="B164" s="18" t="n"/>
      <c r="C164" s="13" t="n"/>
      <c r="D164" s="13" t="n"/>
      <c r="E164" s="13" t="n"/>
      <c r="F164" s="13" t="n"/>
      <c r="G164" s="20" t="n"/>
      <c r="H164" s="14" t="n"/>
      <c r="I164" s="19">
        <f>IF($C164="","",ROUND(IF($G164="",1,$G164)*N($H164),2))</f>
        <v/>
      </c>
      <c r="J164" s="17">
        <f>IF($C164="","",IFERROR(VLOOKUP($C164,项目台账!$B:$C,2,0),"※项目不在项目台账里"))</f>
        <v/>
      </c>
      <c r="K164" s="13" t="n"/>
    </row>
    <row r="165">
      <c r="A165" s="17">
        <f>IF($C165="","",ROW()-3)</f>
        <v/>
      </c>
      <c r="B165" s="18" t="n"/>
      <c r="C165" s="13" t="n"/>
      <c r="D165" s="13" t="n"/>
      <c r="E165" s="13" t="n"/>
      <c r="F165" s="13" t="n"/>
      <c r="G165" s="20" t="n"/>
      <c r="H165" s="14" t="n"/>
      <c r="I165" s="19">
        <f>IF($C165="","",ROUND(IF($G165="",1,$G165)*N($H165),2))</f>
        <v/>
      </c>
      <c r="J165" s="17">
        <f>IF($C165="","",IFERROR(VLOOKUP($C165,项目台账!$B:$C,2,0),"※项目不在项目台账里"))</f>
        <v/>
      </c>
      <c r="K165" s="13" t="n"/>
    </row>
    <row r="166">
      <c r="A166" s="17">
        <f>IF($C166="","",ROW()-3)</f>
        <v/>
      </c>
      <c r="B166" s="18" t="n"/>
      <c r="C166" s="13" t="n"/>
      <c r="D166" s="13" t="n"/>
      <c r="E166" s="13" t="n"/>
      <c r="F166" s="13" t="n"/>
      <c r="G166" s="20" t="n"/>
      <c r="H166" s="14" t="n"/>
      <c r="I166" s="19">
        <f>IF($C166="","",ROUND(IF($G166="",1,$G166)*N($H166),2))</f>
        <v/>
      </c>
      <c r="J166" s="17">
        <f>IF($C166="","",IFERROR(VLOOKUP($C166,项目台账!$B:$C,2,0),"※项目不在项目台账里"))</f>
        <v/>
      </c>
      <c r="K166" s="13" t="n"/>
    </row>
    <row r="167">
      <c r="A167" s="17">
        <f>IF($C167="","",ROW()-3)</f>
        <v/>
      </c>
      <c r="B167" s="18" t="n"/>
      <c r="C167" s="13" t="n"/>
      <c r="D167" s="13" t="n"/>
      <c r="E167" s="13" t="n"/>
      <c r="F167" s="13" t="n"/>
      <c r="G167" s="20" t="n"/>
      <c r="H167" s="14" t="n"/>
      <c r="I167" s="19">
        <f>IF($C167="","",ROUND(IF($G167="",1,$G167)*N($H167),2))</f>
        <v/>
      </c>
      <c r="J167" s="17">
        <f>IF($C167="","",IFERROR(VLOOKUP($C167,项目台账!$B:$C,2,0),"※项目不在项目台账里"))</f>
        <v/>
      </c>
      <c r="K167" s="13" t="n"/>
    </row>
    <row r="168">
      <c r="A168" s="17">
        <f>IF($C168="","",ROW()-3)</f>
        <v/>
      </c>
      <c r="B168" s="18" t="n"/>
      <c r="C168" s="13" t="n"/>
      <c r="D168" s="13" t="n"/>
      <c r="E168" s="13" t="n"/>
      <c r="F168" s="13" t="n"/>
      <c r="G168" s="20" t="n"/>
      <c r="H168" s="14" t="n"/>
      <c r="I168" s="19">
        <f>IF($C168="","",ROUND(IF($G168="",1,$G168)*N($H168),2))</f>
        <v/>
      </c>
      <c r="J168" s="17">
        <f>IF($C168="","",IFERROR(VLOOKUP($C168,项目台账!$B:$C,2,0),"※项目不在项目台账里"))</f>
        <v/>
      </c>
      <c r="K168" s="13" t="n"/>
    </row>
    <row r="169">
      <c r="A169" s="17">
        <f>IF($C169="","",ROW()-3)</f>
        <v/>
      </c>
      <c r="B169" s="18" t="n"/>
      <c r="C169" s="13" t="n"/>
      <c r="D169" s="13" t="n"/>
      <c r="E169" s="13" t="n"/>
      <c r="F169" s="13" t="n"/>
      <c r="G169" s="20" t="n"/>
      <c r="H169" s="14" t="n"/>
      <c r="I169" s="19">
        <f>IF($C169="","",ROUND(IF($G169="",1,$G169)*N($H169),2))</f>
        <v/>
      </c>
      <c r="J169" s="17">
        <f>IF($C169="","",IFERROR(VLOOKUP($C169,项目台账!$B:$C,2,0),"※项目不在项目台账里"))</f>
        <v/>
      </c>
      <c r="K169" s="13" t="n"/>
    </row>
    <row r="170">
      <c r="A170" s="17">
        <f>IF($C170="","",ROW()-3)</f>
        <v/>
      </c>
      <c r="B170" s="18" t="n"/>
      <c r="C170" s="13" t="n"/>
      <c r="D170" s="13" t="n"/>
      <c r="E170" s="13" t="n"/>
      <c r="F170" s="13" t="n"/>
      <c r="G170" s="20" t="n"/>
      <c r="H170" s="14" t="n"/>
      <c r="I170" s="19">
        <f>IF($C170="","",ROUND(IF($G170="",1,$G170)*N($H170),2))</f>
        <v/>
      </c>
      <c r="J170" s="17">
        <f>IF($C170="","",IFERROR(VLOOKUP($C170,项目台账!$B:$C,2,0),"※项目不在项目台账里"))</f>
        <v/>
      </c>
      <c r="K170" s="13" t="n"/>
    </row>
    <row r="171">
      <c r="A171" s="17">
        <f>IF($C171="","",ROW()-3)</f>
        <v/>
      </c>
      <c r="B171" s="18" t="n"/>
      <c r="C171" s="13" t="n"/>
      <c r="D171" s="13" t="n"/>
      <c r="E171" s="13" t="n"/>
      <c r="F171" s="13" t="n"/>
      <c r="G171" s="20" t="n"/>
      <c r="H171" s="14" t="n"/>
      <c r="I171" s="19">
        <f>IF($C171="","",ROUND(IF($G171="",1,$G171)*N($H171),2))</f>
        <v/>
      </c>
      <c r="J171" s="17">
        <f>IF($C171="","",IFERROR(VLOOKUP($C171,项目台账!$B:$C,2,0),"※项目不在项目台账里"))</f>
        <v/>
      </c>
      <c r="K171" s="13" t="n"/>
    </row>
    <row r="172">
      <c r="A172" s="17">
        <f>IF($C172="","",ROW()-3)</f>
        <v/>
      </c>
      <c r="B172" s="18" t="n"/>
      <c r="C172" s="13" t="n"/>
      <c r="D172" s="13" t="n"/>
      <c r="E172" s="13" t="n"/>
      <c r="F172" s="13" t="n"/>
      <c r="G172" s="20" t="n"/>
      <c r="H172" s="14" t="n"/>
      <c r="I172" s="19">
        <f>IF($C172="","",ROUND(IF($G172="",1,$G172)*N($H172),2))</f>
        <v/>
      </c>
      <c r="J172" s="17">
        <f>IF($C172="","",IFERROR(VLOOKUP($C172,项目台账!$B:$C,2,0),"※项目不在项目台账里"))</f>
        <v/>
      </c>
      <c r="K172" s="13" t="n"/>
    </row>
    <row r="173">
      <c r="A173" s="17">
        <f>IF($C173="","",ROW()-3)</f>
        <v/>
      </c>
      <c r="B173" s="18" t="n"/>
      <c r="C173" s="13" t="n"/>
      <c r="D173" s="13" t="n"/>
      <c r="E173" s="13" t="n"/>
      <c r="F173" s="13" t="n"/>
      <c r="G173" s="20" t="n"/>
      <c r="H173" s="14" t="n"/>
      <c r="I173" s="19">
        <f>IF($C173="","",ROUND(IF($G173="",1,$G173)*N($H173),2))</f>
        <v/>
      </c>
      <c r="J173" s="17">
        <f>IF($C173="","",IFERROR(VLOOKUP($C173,项目台账!$B:$C,2,0),"※项目不在项目台账里"))</f>
        <v/>
      </c>
      <c r="K173" s="13" t="n"/>
    </row>
    <row r="174">
      <c r="A174" s="17">
        <f>IF($C174="","",ROW()-3)</f>
        <v/>
      </c>
      <c r="B174" s="18" t="n"/>
      <c r="C174" s="13" t="n"/>
      <c r="D174" s="13" t="n"/>
      <c r="E174" s="13" t="n"/>
      <c r="F174" s="13" t="n"/>
      <c r="G174" s="20" t="n"/>
      <c r="H174" s="14" t="n"/>
      <c r="I174" s="19">
        <f>IF($C174="","",ROUND(IF($G174="",1,$G174)*N($H174),2))</f>
        <v/>
      </c>
      <c r="J174" s="17">
        <f>IF($C174="","",IFERROR(VLOOKUP($C174,项目台账!$B:$C,2,0),"※项目不在项目台账里"))</f>
        <v/>
      </c>
      <c r="K174" s="13" t="n"/>
    </row>
    <row r="175">
      <c r="A175" s="17">
        <f>IF($C175="","",ROW()-3)</f>
        <v/>
      </c>
      <c r="B175" s="18" t="n"/>
      <c r="C175" s="13" t="n"/>
      <c r="D175" s="13" t="n"/>
      <c r="E175" s="13" t="n"/>
      <c r="F175" s="13" t="n"/>
      <c r="G175" s="20" t="n"/>
      <c r="H175" s="14" t="n"/>
      <c r="I175" s="19">
        <f>IF($C175="","",ROUND(IF($G175="",1,$G175)*N($H175),2))</f>
        <v/>
      </c>
      <c r="J175" s="17">
        <f>IF($C175="","",IFERROR(VLOOKUP($C175,项目台账!$B:$C,2,0),"※项目不在项目台账里"))</f>
        <v/>
      </c>
      <c r="K175" s="13" t="n"/>
    </row>
    <row r="176">
      <c r="A176" s="17">
        <f>IF($C176="","",ROW()-3)</f>
        <v/>
      </c>
      <c r="B176" s="18" t="n"/>
      <c r="C176" s="13" t="n"/>
      <c r="D176" s="13" t="n"/>
      <c r="E176" s="13" t="n"/>
      <c r="F176" s="13" t="n"/>
      <c r="G176" s="20" t="n"/>
      <c r="H176" s="14" t="n"/>
      <c r="I176" s="19">
        <f>IF($C176="","",ROUND(IF($G176="",1,$G176)*N($H176),2))</f>
        <v/>
      </c>
      <c r="J176" s="17">
        <f>IF($C176="","",IFERROR(VLOOKUP($C176,项目台账!$B:$C,2,0),"※项目不在项目台账里"))</f>
        <v/>
      </c>
      <c r="K176" s="13" t="n"/>
    </row>
    <row r="177">
      <c r="A177" s="17">
        <f>IF($C177="","",ROW()-3)</f>
        <v/>
      </c>
      <c r="B177" s="18" t="n"/>
      <c r="C177" s="13" t="n"/>
      <c r="D177" s="13" t="n"/>
      <c r="E177" s="13" t="n"/>
      <c r="F177" s="13" t="n"/>
      <c r="G177" s="20" t="n"/>
      <c r="H177" s="14" t="n"/>
      <c r="I177" s="19">
        <f>IF($C177="","",ROUND(IF($G177="",1,$G177)*N($H177),2))</f>
        <v/>
      </c>
      <c r="J177" s="17">
        <f>IF($C177="","",IFERROR(VLOOKUP($C177,项目台账!$B:$C,2,0),"※项目不在项目台账里"))</f>
        <v/>
      </c>
      <c r="K177" s="13" t="n"/>
    </row>
    <row r="178">
      <c r="A178" s="17">
        <f>IF($C178="","",ROW()-3)</f>
        <v/>
      </c>
      <c r="B178" s="18" t="n"/>
      <c r="C178" s="13" t="n"/>
      <c r="D178" s="13" t="n"/>
      <c r="E178" s="13" t="n"/>
      <c r="F178" s="13" t="n"/>
      <c r="G178" s="20" t="n"/>
      <c r="H178" s="14" t="n"/>
      <c r="I178" s="19">
        <f>IF($C178="","",ROUND(IF($G178="",1,$G178)*N($H178),2))</f>
        <v/>
      </c>
      <c r="J178" s="17">
        <f>IF($C178="","",IFERROR(VLOOKUP($C178,项目台账!$B:$C,2,0),"※项目不在项目台账里"))</f>
        <v/>
      </c>
      <c r="K178" s="13" t="n"/>
    </row>
    <row r="179">
      <c r="A179" s="17">
        <f>IF($C179="","",ROW()-3)</f>
        <v/>
      </c>
      <c r="B179" s="18" t="n"/>
      <c r="C179" s="13" t="n"/>
      <c r="D179" s="13" t="n"/>
      <c r="E179" s="13" t="n"/>
      <c r="F179" s="13" t="n"/>
      <c r="G179" s="20" t="n"/>
      <c r="H179" s="14" t="n"/>
      <c r="I179" s="19">
        <f>IF($C179="","",ROUND(IF($G179="",1,$G179)*N($H179),2))</f>
        <v/>
      </c>
      <c r="J179" s="17">
        <f>IF($C179="","",IFERROR(VLOOKUP($C179,项目台账!$B:$C,2,0),"※项目不在项目台账里"))</f>
        <v/>
      </c>
      <c r="K179" s="13" t="n"/>
    </row>
    <row r="180">
      <c r="A180" s="17">
        <f>IF($C180="","",ROW()-3)</f>
        <v/>
      </c>
      <c r="B180" s="18" t="n"/>
      <c r="C180" s="13" t="n"/>
      <c r="D180" s="13" t="n"/>
      <c r="E180" s="13" t="n"/>
      <c r="F180" s="13" t="n"/>
      <c r="G180" s="20" t="n"/>
      <c r="H180" s="14" t="n"/>
      <c r="I180" s="19">
        <f>IF($C180="","",ROUND(IF($G180="",1,$G180)*N($H180),2))</f>
        <v/>
      </c>
      <c r="J180" s="17">
        <f>IF($C180="","",IFERROR(VLOOKUP($C180,项目台账!$B:$C,2,0),"※项目不在项目台账里"))</f>
        <v/>
      </c>
      <c r="K180" s="13" t="n"/>
    </row>
    <row r="181">
      <c r="A181" s="17">
        <f>IF($C181="","",ROW()-3)</f>
        <v/>
      </c>
      <c r="B181" s="18" t="n"/>
      <c r="C181" s="13" t="n"/>
      <c r="D181" s="13" t="n"/>
      <c r="E181" s="13" t="n"/>
      <c r="F181" s="13" t="n"/>
      <c r="G181" s="20" t="n"/>
      <c r="H181" s="14" t="n"/>
      <c r="I181" s="19">
        <f>IF($C181="","",ROUND(IF($G181="",1,$G181)*N($H181),2))</f>
        <v/>
      </c>
      <c r="J181" s="17">
        <f>IF($C181="","",IFERROR(VLOOKUP($C181,项目台账!$B:$C,2,0),"※项目不在项目台账里"))</f>
        <v/>
      </c>
      <c r="K181" s="13" t="n"/>
    </row>
    <row r="182">
      <c r="A182" s="17">
        <f>IF($C182="","",ROW()-3)</f>
        <v/>
      </c>
      <c r="B182" s="18" t="n"/>
      <c r="C182" s="13" t="n"/>
      <c r="D182" s="13" t="n"/>
      <c r="E182" s="13" t="n"/>
      <c r="F182" s="13" t="n"/>
      <c r="G182" s="20" t="n"/>
      <c r="H182" s="14" t="n"/>
      <c r="I182" s="19">
        <f>IF($C182="","",ROUND(IF($G182="",1,$G182)*N($H182),2))</f>
        <v/>
      </c>
      <c r="J182" s="17">
        <f>IF($C182="","",IFERROR(VLOOKUP($C182,项目台账!$B:$C,2,0),"※项目不在项目台账里"))</f>
        <v/>
      </c>
      <c r="K182" s="13" t="n"/>
    </row>
    <row r="183">
      <c r="A183" s="17">
        <f>IF($C183="","",ROW()-3)</f>
        <v/>
      </c>
      <c r="B183" s="18" t="n"/>
      <c r="C183" s="13" t="n"/>
      <c r="D183" s="13" t="n"/>
      <c r="E183" s="13" t="n"/>
      <c r="F183" s="13" t="n"/>
      <c r="G183" s="20" t="n"/>
      <c r="H183" s="14" t="n"/>
      <c r="I183" s="19">
        <f>IF($C183="","",ROUND(IF($G183="",1,$G183)*N($H183),2))</f>
        <v/>
      </c>
      <c r="J183" s="17">
        <f>IF($C183="","",IFERROR(VLOOKUP($C183,项目台账!$B:$C,2,0),"※项目不在项目台账里"))</f>
        <v/>
      </c>
      <c r="K183" s="13" t="n"/>
    </row>
    <row r="184">
      <c r="A184" s="17">
        <f>IF($C184="","",ROW()-3)</f>
        <v/>
      </c>
      <c r="B184" s="18" t="n"/>
      <c r="C184" s="13" t="n"/>
      <c r="D184" s="13" t="n"/>
      <c r="E184" s="13" t="n"/>
      <c r="F184" s="13" t="n"/>
      <c r="G184" s="20" t="n"/>
      <c r="H184" s="14" t="n"/>
      <c r="I184" s="19">
        <f>IF($C184="","",ROUND(IF($G184="",1,$G184)*N($H184),2))</f>
        <v/>
      </c>
      <c r="J184" s="17">
        <f>IF($C184="","",IFERROR(VLOOKUP($C184,项目台账!$B:$C,2,0),"※项目不在项目台账里"))</f>
        <v/>
      </c>
      <c r="K184" s="13" t="n"/>
    </row>
    <row r="185">
      <c r="A185" s="17">
        <f>IF($C185="","",ROW()-3)</f>
        <v/>
      </c>
      <c r="B185" s="18" t="n"/>
      <c r="C185" s="13" t="n"/>
      <c r="D185" s="13" t="n"/>
      <c r="E185" s="13" t="n"/>
      <c r="F185" s="13" t="n"/>
      <c r="G185" s="20" t="n"/>
      <c r="H185" s="14" t="n"/>
      <c r="I185" s="19">
        <f>IF($C185="","",ROUND(IF($G185="",1,$G185)*N($H185),2))</f>
        <v/>
      </c>
      <c r="J185" s="17">
        <f>IF($C185="","",IFERROR(VLOOKUP($C185,项目台账!$B:$C,2,0),"※项目不在项目台账里"))</f>
        <v/>
      </c>
      <c r="K185" s="13" t="n"/>
    </row>
    <row r="186">
      <c r="A186" s="17">
        <f>IF($C186="","",ROW()-3)</f>
        <v/>
      </c>
      <c r="B186" s="18" t="n"/>
      <c r="C186" s="13" t="n"/>
      <c r="D186" s="13" t="n"/>
      <c r="E186" s="13" t="n"/>
      <c r="F186" s="13" t="n"/>
      <c r="G186" s="20" t="n"/>
      <c r="H186" s="14" t="n"/>
      <c r="I186" s="19">
        <f>IF($C186="","",ROUND(IF($G186="",1,$G186)*N($H186),2))</f>
        <v/>
      </c>
      <c r="J186" s="17">
        <f>IF($C186="","",IFERROR(VLOOKUP($C186,项目台账!$B:$C,2,0),"※项目不在项目台账里"))</f>
        <v/>
      </c>
      <c r="K186" s="13" t="n"/>
    </row>
    <row r="187">
      <c r="A187" s="17">
        <f>IF($C187="","",ROW()-3)</f>
        <v/>
      </c>
      <c r="B187" s="18" t="n"/>
      <c r="C187" s="13" t="n"/>
      <c r="D187" s="13" t="n"/>
      <c r="E187" s="13" t="n"/>
      <c r="F187" s="13" t="n"/>
      <c r="G187" s="20" t="n"/>
      <c r="H187" s="14" t="n"/>
      <c r="I187" s="19">
        <f>IF($C187="","",ROUND(IF($G187="",1,$G187)*N($H187),2))</f>
        <v/>
      </c>
      <c r="J187" s="17">
        <f>IF($C187="","",IFERROR(VLOOKUP($C187,项目台账!$B:$C,2,0),"※项目不在项目台账里"))</f>
        <v/>
      </c>
      <c r="K187" s="13" t="n"/>
    </row>
    <row r="188">
      <c r="A188" s="17">
        <f>IF($C188="","",ROW()-3)</f>
        <v/>
      </c>
      <c r="B188" s="18" t="n"/>
      <c r="C188" s="13" t="n"/>
      <c r="D188" s="13" t="n"/>
      <c r="E188" s="13" t="n"/>
      <c r="F188" s="13" t="n"/>
      <c r="G188" s="20" t="n"/>
      <c r="H188" s="14" t="n"/>
      <c r="I188" s="19">
        <f>IF($C188="","",ROUND(IF($G188="",1,$G188)*N($H188),2))</f>
        <v/>
      </c>
      <c r="J188" s="17">
        <f>IF($C188="","",IFERROR(VLOOKUP($C188,项目台账!$B:$C,2,0),"※项目不在项目台账里"))</f>
        <v/>
      </c>
      <c r="K188" s="13" t="n"/>
    </row>
    <row r="189">
      <c r="A189" s="17">
        <f>IF($C189="","",ROW()-3)</f>
        <v/>
      </c>
      <c r="B189" s="18" t="n"/>
      <c r="C189" s="13" t="n"/>
      <c r="D189" s="13" t="n"/>
      <c r="E189" s="13" t="n"/>
      <c r="F189" s="13" t="n"/>
      <c r="G189" s="20" t="n"/>
      <c r="H189" s="14" t="n"/>
      <c r="I189" s="19">
        <f>IF($C189="","",ROUND(IF($G189="",1,$G189)*N($H189),2))</f>
        <v/>
      </c>
      <c r="J189" s="17">
        <f>IF($C189="","",IFERROR(VLOOKUP($C189,项目台账!$B:$C,2,0),"※项目不在项目台账里"))</f>
        <v/>
      </c>
      <c r="K189" s="13" t="n"/>
    </row>
    <row r="190">
      <c r="A190" s="17">
        <f>IF($C190="","",ROW()-3)</f>
        <v/>
      </c>
      <c r="B190" s="18" t="n"/>
      <c r="C190" s="13" t="n"/>
      <c r="D190" s="13" t="n"/>
      <c r="E190" s="13" t="n"/>
      <c r="F190" s="13" t="n"/>
      <c r="G190" s="20" t="n"/>
      <c r="H190" s="14" t="n"/>
      <c r="I190" s="19">
        <f>IF($C190="","",ROUND(IF($G190="",1,$G190)*N($H190),2))</f>
        <v/>
      </c>
      <c r="J190" s="17">
        <f>IF($C190="","",IFERROR(VLOOKUP($C190,项目台账!$B:$C,2,0),"※项目不在项目台账里"))</f>
        <v/>
      </c>
      <c r="K190" s="13" t="n"/>
    </row>
    <row r="191">
      <c r="A191" s="17">
        <f>IF($C191="","",ROW()-3)</f>
        <v/>
      </c>
      <c r="B191" s="18" t="n"/>
      <c r="C191" s="13" t="n"/>
      <c r="D191" s="13" t="n"/>
      <c r="E191" s="13" t="n"/>
      <c r="F191" s="13" t="n"/>
      <c r="G191" s="20" t="n"/>
      <c r="H191" s="14" t="n"/>
      <c r="I191" s="19">
        <f>IF($C191="","",ROUND(IF($G191="",1,$G191)*N($H191),2))</f>
        <v/>
      </c>
      <c r="J191" s="17">
        <f>IF($C191="","",IFERROR(VLOOKUP($C191,项目台账!$B:$C,2,0),"※项目不在项目台账里"))</f>
        <v/>
      </c>
      <c r="K191" s="13" t="n"/>
    </row>
    <row r="192">
      <c r="A192" s="17">
        <f>IF($C192="","",ROW()-3)</f>
        <v/>
      </c>
      <c r="B192" s="18" t="n"/>
      <c r="C192" s="13" t="n"/>
      <c r="D192" s="13" t="n"/>
      <c r="E192" s="13" t="n"/>
      <c r="F192" s="13" t="n"/>
      <c r="G192" s="20" t="n"/>
      <c r="H192" s="14" t="n"/>
      <c r="I192" s="19">
        <f>IF($C192="","",ROUND(IF($G192="",1,$G192)*N($H192),2))</f>
        <v/>
      </c>
      <c r="J192" s="17">
        <f>IF($C192="","",IFERROR(VLOOKUP($C192,项目台账!$B:$C,2,0),"※项目不在项目台账里"))</f>
        <v/>
      </c>
      <c r="K192" s="13" t="n"/>
    </row>
    <row r="193">
      <c r="A193" s="17">
        <f>IF($C193="","",ROW()-3)</f>
        <v/>
      </c>
      <c r="B193" s="18" t="n"/>
      <c r="C193" s="13" t="n"/>
      <c r="D193" s="13" t="n"/>
      <c r="E193" s="13" t="n"/>
      <c r="F193" s="13" t="n"/>
      <c r="G193" s="20" t="n"/>
      <c r="H193" s="14" t="n"/>
      <c r="I193" s="19">
        <f>IF($C193="","",ROUND(IF($G193="",1,$G193)*N($H193),2))</f>
        <v/>
      </c>
      <c r="J193" s="17">
        <f>IF($C193="","",IFERROR(VLOOKUP($C193,项目台账!$B:$C,2,0),"※项目不在项目台账里"))</f>
        <v/>
      </c>
      <c r="K193" s="13" t="n"/>
    </row>
    <row r="194">
      <c r="A194" s="17">
        <f>IF($C194="","",ROW()-3)</f>
        <v/>
      </c>
      <c r="B194" s="18" t="n"/>
      <c r="C194" s="13" t="n"/>
      <c r="D194" s="13" t="n"/>
      <c r="E194" s="13" t="n"/>
      <c r="F194" s="13" t="n"/>
      <c r="G194" s="20" t="n"/>
      <c r="H194" s="14" t="n"/>
      <c r="I194" s="19">
        <f>IF($C194="","",ROUND(IF($G194="",1,$G194)*N($H194),2))</f>
        <v/>
      </c>
      <c r="J194" s="17">
        <f>IF($C194="","",IFERROR(VLOOKUP($C194,项目台账!$B:$C,2,0),"※项目不在项目台账里"))</f>
        <v/>
      </c>
      <c r="K194" s="13" t="n"/>
    </row>
    <row r="195">
      <c r="A195" s="17">
        <f>IF($C195="","",ROW()-3)</f>
        <v/>
      </c>
      <c r="B195" s="18" t="n"/>
      <c r="C195" s="13" t="n"/>
      <c r="D195" s="13" t="n"/>
      <c r="E195" s="13" t="n"/>
      <c r="F195" s="13" t="n"/>
      <c r="G195" s="20" t="n"/>
      <c r="H195" s="14" t="n"/>
      <c r="I195" s="19">
        <f>IF($C195="","",ROUND(IF($G195="",1,$G195)*N($H195),2))</f>
        <v/>
      </c>
      <c r="J195" s="17">
        <f>IF($C195="","",IFERROR(VLOOKUP($C195,项目台账!$B:$C,2,0),"※项目不在项目台账里"))</f>
        <v/>
      </c>
      <c r="K195" s="13" t="n"/>
    </row>
    <row r="196">
      <c r="A196" s="17">
        <f>IF($C196="","",ROW()-3)</f>
        <v/>
      </c>
      <c r="B196" s="18" t="n"/>
      <c r="C196" s="13" t="n"/>
      <c r="D196" s="13" t="n"/>
      <c r="E196" s="13" t="n"/>
      <c r="F196" s="13" t="n"/>
      <c r="G196" s="20" t="n"/>
      <c r="H196" s="14" t="n"/>
      <c r="I196" s="19">
        <f>IF($C196="","",ROUND(IF($G196="",1,$G196)*N($H196),2))</f>
        <v/>
      </c>
      <c r="J196" s="17">
        <f>IF($C196="","",IFERROR(VLOOKUP($C196,项目台账!$B:$C,2,0),"※项目不在项目台账里"))</f>
        <v/>
      </c>
      <c r="K196" s="13" t="n"/>
    </row>
    <row r="197">
      <c r="A197" s="17">
        <f>IF($C197="","",ROW()-3)</f>
        <v/>
      </c>
      <c r="B197" s="18" t="n"/>
      <c r="C197" s="13" t="n"/>
      <c r="D197" s="13" t="n"/>
      <c r="E197" s="13" t="n"/>
      <c r="F197" s="13" t="n"/>
      <c r="G197" s="20" t="n"/>
      <c r="H197" s="14" t="n"/>
      <c r="I197" s="19">
        <f>IF($C197="","",ROUND(IF($G197="",1,$G197)*N($H197),2))</f>
        <v/>
      </c>
      <c r="J197" s="17">
        <f>IF($C197="","",IFERROR(VLOOKUP($C197,项目台账!$B:$C,2,0),"※项目不在项目台账里"))</f>
        <v/>
      </c>
      <c r="K197" s="13" t="n"/>
    </row>
    <row r="198">
      <c r="A198" s="17">
        <f>IF($C198="","",ROW()-3)</f>
        <v/>
      </c>
      <c r="B198" s="18" t="n"/>
      <c r="C198" s="13" t="n"/>
      <c r="D198" s="13" t="n"/>
      <c r="E198" s="13" t="n"/>
      <c r="F198" s="13" t="n"/>
      <c r="G198" s="20" t="n"/>
      <c r="H198" s="14" t="n"/>
      <c r="I198" s="19">
        <f>IF($C198="","",ROUND(IF($G198="",1,$G198)*N($H198),2))</f>
        <v/>
      </c>
      <c r="J198" s="17">
        <f>IF($C198="","",IFERROR(VLOOKUP($C198,项目台账!$B:$C,2,0),"※项目不在项目台账里"))</f>
        <v/>
      </c>
      <c r="K198" s="13" t="n"/>
    </row>
    <row r="199">
      <c r="A199" s="17">
        <f>IF($C199="","",ROW()-3)</f>
        <v/>
      </c>
      <c r="B199" s="18" t="n"/>
      <c r="C199" s="13" t="n"/>
      <c r="D199" s="13" t="n"/>
      <c r="E199" s="13" t="n"/>
      <c r="F199" s="13" t="n"/>
      <c r="G199" s="20" t="n"/>
      <c r="H199" s="14" t="n"/>
      <c r="I199" s="19">
        <f>IF($C199="","",ROUND(IF($G199="",1,$G199)*N($H199),2))</f>
        <v/>
      </c>
      <c r="J199" s="17">
        <f>IF($C199="","",IFERROR(VLOOKUP($C199,项目台账!$B:$C,2,0),"※项目不在项目台账里"))</f>
        <v/>
      </c>
      <c r="K199" s="13" t="n"/>
    </row>
    <row r="200">
      <c r="A200" s="17">
        <f>IF($C200="","",ROW()-3)</f>
        <v/>
      </c>
      <c r="B200" s="18" t="n"/>
      <c r="C200" s="13" t="n"/>
      <c r="D200" s="13" t="n"/>
      <c r="E200" s="13" t="n"/>
      <c r="F200" s="13" t="n"/>
      <c r="G200" s="20" t="n"/>
      <c r="H200" s="14" t="n"/>
      <c r="I200" s="19">
        <f>IF($C200="","",ROUND(IF($G200="",1,$G200)*N($H200),2))</f>
        <v/>
      </c>
      <c r="J200" s="17">
        <f>IF($C200="","",IFERROR(VLOOKUP($C200,项目台账!$B:$C,2,0),"※项目不在项目台账里"))</f>
        <v/>
      </c>
      <c r="K200" s="13" t="n"/>
    </row>
    <row r="201">
      <c r="A201" s="17">
        <f>IF($C201="","",ROW()-3)</f>
        <v/>
      </c>
      <c r="B201" s="18" t="n"/>
      <c r="C201" s="13" t="n"/>
      <c r="D201" s="13" t="n"/>
      <c r="E201" s="13" t="n"/>
      <c r="F201" s="13" t="n"/>
      <c r="G201" s="20" t="n"/>
      <c r="H201" s="14" t="n"/>
      <c r="I201" s="19">
        <f>IF($C201="","",ROUND(IF($G201="",1,$G201)*N($H201),2))</f>
        <v/>
      </c>
      <c r="J201" s="17">
        <f>IF($C201="","",IFERROR(VLOOKUP($C201,项目台账!$B:$C,2,0),"※项目不在项目台账里"))</f>
        <v/>
      </c>
      <c r="K201" s="13" t="n"/>
    </row>
    <row r="202">
      <c r="A202" s="17">
        <f>IF($C202="","",ROW()-3)</f>
        <v/>
      </c>
      <c r="B202" s="18" t="n"/>
      <c r="C202" s="13" t="n"/>
      <c r="D202" s="13" t="n"/>
      <c r="E202" s="13" t="n"/>
      <c r="F202" s="13" t="n"/>
      <c r="G202" s="20" t="n"/>
      <c r="H202" s="14" t="n"/>
      <c r="I202" s="19">
        <f>IF($C202="","",ROUND(IF($G202="",1,$G202)*N($H202),2))</f>
        <v/>
      </c>
      <c r="J202" s="17">
        <f>IF($C202="","",IFERROR(VLOOKUP($C202,项目台账!$B:$C,2,0),"※项目不在项目台账里"))</f>
        <v/>
      </c>
      <c r="K202" s="13" t="n"/>
    </row>
    <row r="203">
      <c r="A203" s="17">
        <f>IF($C203="","",ROW()-3)</f>
        <v/>
      </c>
      <c r="B203" s="18" t="n"/>
      <c r="C203" s="13" t="n"/>
      <c r="D203" s="13" t="n"/>
      <c r="E203" s="13" t="n"/>
      <c r="F203" s="13" t="n"/>
      <c r="G203" s="20" t="n"/>
      <c r="H203" s="14" t="n"/>
      <c r="I203" s="19">
        <f>IF($C203="","",ROUND(IF($G203="",1,$G203)*N($H203),2))</f>
        <v/>
      </c>
      <c r="J203" s="17">
        <f>IF($C203="","",IFERROR(VLOOKUP($C203,项目台账!$B:$C,2,0),"※项目不在项目台账里"))</f>
        <v/>
      </c>
      <c r="K203" s="13" t="n"/>
    </row>
    <row r="204">
      <c r="A204" s="17">
        <f>IF($C204="","",ROW()-3)</f>
        <v/>
      </c>
      <c r="B204" s="18" t="n"/>
      <c r="C204" s="13" t="n"/>
      <c r="D204" s="13" t="n"/>
      <c r="E204" s="13" t="n"/>
      <c r="F204" s="13" t="n"/>
      <c r="G204" s="20" t="n"/>
      <c r="H204" s="14" t="n"/>
      <c r="I204" s="19">
        <f>IF($C204="","",ROUND(IF($G204="",1,$G204)*N($H204),2))</f>
        <v/>
      </c>
      <c r="J204" s="17">
        <f>IF($C204="","",IFERROR(VLOOKUP($C204,项目台账!$B:$C,2,0),"※项目不在项目台账里"))</f>
        <v/>
      </c>
      <c r="K204" s="13" t="n"/>
    </row>
    <row r="205">
      <c r="A205" s="17">
        <f>IF($C205="","",ROW()-3)</f>
        <v/>
      </c>
      <c r="B205" s="18" t="n"/>
      <c r="C205" s="13" t="n"/>
      <c r="D205" s="13" t="n"/>
      <c r="E205" s="13" t="n"/>
      <c r="F205" s="13" t="n"/>
      <c r="G205" s="20" t="n"/>
      <c r="H205" s="14" t="n"/>
      <c r="I205" s="19">
        <f>IF($C205="","",ROUND(IF($G205="",1,$G205)*N($H205),2))</f>
        <v/>
      </c>
      <c r="J205" s="17">
        <f>IF($C205="","",IFERROR(VLOOKUP($C205,项目台账!$B:$C,2,0),"※项目不在项目台账里"))</f>
        <v/>
      </c>
      <c r="K205" s="13" t="n"/>
    </row>
    <row r="206">
      <c r="A206" s="17">
        <f>IF($C206="","",ROW()-3)</f>
        <v/>
      </c>
      <c r="B206" s="18" t="n"/>
      <c r="C206" s="13" t="n"/>
      <c r="D206" s="13" t="n"/>
      <c r="E206" s="13" t="n"/>
      <c r="F206" s="13" t="n"/>
      <c r="G206" s="20" t="n"/>
      <c r="H206" s="14" t="n"/>
      <c r="I206" s="19">
        <f>IF($C206="","",ROUND(IF($G206="",1,$G206)*N($H206),2))</f>
        <v/>
      </c>
      <c r="J206" s="17">
        <f>IF($C206="","",IFERROR(VLOOKUP($C206,项目台账!$B:$C,2,0),"※项目不在项目台账里"))</f>
        <v/>
      </c>
      <c r="K206" s="13" t="n"/>
    </row>
    <row r="207">
      <c r="A207" s="17">
        <f>IF($C207="","",ROW()-3)</f>
        <v/>
      </c>
      <c r="B207" s="18" t="n"/>
      <c r="C207" s="13" t="n"/>
      <c r="D207" s="13" t="n"/>
      <c r="E207" s="13" t="n"/>
      <c r="F207" s="13" t="n"/>
      <c r="G207" s="20" t="n"/>
      <c r="H207" s="14" t="n"/>
      <c r="I207" s="19">
        <f>IF($C207="","",ROUND(IF($G207="",1,$G207)*N($H207),2))</f>
        <v/>
      </c>
      <c r="J207" s="17">
        <f>IF($C207="","",IFERROR(VLOOKUP($C207,项目台账!$B:$C,2,0),"※项目不在项目台账里"))</f>
        <v/>
      </c>
      <c r="K207" s="13" t="n"/>
    </row>
    <row r="208">
      <c r="A208" s="17">
        <f>IF($C208="","",ROW()-3)</f>
        <v/>
      </c>
      <c r="B208" s="18" t="n"/>
      <c r="C208" s="13" t="n"/>
      <c r="D208" s="13" t="n"/>
      <c r="E208" s="13" t="n"/>
      <c r="F208" s="13" t="n"/>
      <c r="G208" s="20" t="n"/>
      <c r="H208" s="14" t="n"/>
      <c r="I208" s="19">
        <f>IF($C208="","",ROUND(IF($G208="",1,$G208)*N($H208),2))</f>
        <v/>
      </c>
      <c r="J208" s="17">
        <f>IF($C208="","",IFERROR(VLOOKUP($C208,项目台账!$B:$C,2,0),"※项目不在项目台账里"))</f>
        <v/>
      </c>
      <c r="K208" s="13" t="n"/>
    </row>
    <row r="209">
      <c r="A209" s="17">
        <f>IF($C209="","",ROW()-3)</f>
        <v/>
      </c>
      <c r="B209" s="18" t="n"/>
      <c r="C209" s="13" t="n"/>
      <c r="D209" s="13" t="n"/>
      <c r="E209" s="13" t="n"/>
      <c r="F209" s="13" t="n"/>
      <c r="G209" s="20" t="n"/>
      <c r="H209" s="14" t="n"/>
      <c r="I209" s="19">
        <f>IF($C209="","",ROUND(IF($G209="",1,$G209)*N($H209),2))</f>
        <v/>
      </c>
      <c r="J209" s="17">
        <f>IF($C209="","",IFERROR(VLOOKUP($C209,项目台账!$B:$C,2,0),"※项目不在项目台账里"))</f>
        <v/>
      </c>
      <c r="K209" s="13" t="n"/>
    </row>
    <row r="210">
      <c r="A210" s="17">
        <f>IF($C210="","",ROW()-3)</f>
        <v/>
      </c>
      <c r="B210" s="18" t="n"/>
      <c r="C210" s="13" t="n"/>
      <c r="D210" s="13" t="n"/>
      <c r="E210" s="13" t="n"/>
      <c r="F210" s="13" t="n"/>
      <c r="G210" s="20" t="n"/>
      <c r="H210" s="14" t="n"/>
      <c r="I210" s="19">
        <f>IF($C210="","",ROUND(IF($G210="",1,$G210)*N($H210),2))</f>
        <v/>
      </c>
      <c r="J210" s="17">
        <f>IF($C210="","",IFERROR(VLOOKUP($C210,项目台账!$B:$C,2,0),"※项目不在项目台账里"))</f>
        <v/>
      </c>
      <c r="K210" s="13" t="n"/>
    </row>
    <row r="211">
      <c r="A211" s="17">
        <f>IF($C211="","",ROW()-3)</f>
        <v/>
      </c>
      <c r="B211" s="18" t="n"/>
      <c r="C211" s="13" t="n"/>
      <c r="D211" s="13" t="n"/>
      <c r="E211" s="13" t="n"/>
      <c r="F211" s="13" t="n"/>
      <c r="G211" s="20" t="n"/>
      <c r="H211" s="14" t="n"/>
      <c r="I211" s="19">
        <f>IF($C211="","",ROUND(IF($G211="",1,$G211)*N($H211),2))</f>
        <v/>
      </c>
      <c r="J211" s="17">
        <f>IF($C211="","",IFERROR(VLOOKUP($C211,项目台账!$B:$C,2,0),"※项目不在项目台账里"))</f>
        <v/>
      </c>
      <c r="K211" s="13" t="n"/>
    </row>
    <row r="212">
      <c r="A212" s="17">
        <f>IF($C212="","",ROW()-3)</f>
        <v/>
      </c>
      <c r="B212" s="18" t="n"/>
      <c r="C212" s="13" t="n"/>
      <c r="D212" s="13" t="n"/>
      <c r="E212" s="13" t="n"/>
      <c r="F212" s="13" t="n"/>
      <c r="G212" s="20" t="n"/>
      <c r="H212" s="14" t="n"/>
      <c r="I212" s="19">
        <f>IF($C212="","",ROUND(IF($G212="",1,$G212)*N($H212),2))</f>
        <v/>
      </c>
      <c r="J212" s="17">
        <f>IF($C212="","",IFERROR(VLOOKUP($C212,项目台账!$B:$C,2,0),"※项目不在项目台账里"))</f>
        <v/>
      </c>
      <c r="K212" s="13" t="n"/>
    </row>
    <row r="213">
      <c r="A213" s="17">
        <f>IF($C213="","",ROW()-3)</f>
        <v/>
      </c>
      <c r="B213" s="18" t="n"/>
      <c r="C213" s="13" t="n"/>
      <c r="D213" s="13" t="n"/>
      <c r="E213" s="13" t="n"/>
      <c r="F213" s="13" t="n"/>
      <c r="G213" s="20" t="n"/>
      <c r="H213" s="14" t="n"/>
      <c r="I213" s="19">
        <f>IF($C213="","",ROUND(IF($G213="",1,$G213)*N($H213),2))</f>
        <v/>
      </c>
      <c r="J213" s="17">
        <f>IF($C213="","",IFERROR(VLOOKUP($C213,项目台账!$B:$C,2,0),"※项目不在项目台账里"))</f>
        <v/>
      </c>
      <c r="K213" s="13" t="n"/>
    </row>
    <row r="214">
      <c r="A214" s="17">
        <f>IF($C214="","",ROW()-3)</f>
        <v/>
      </c>
      <c r="B214" s="18" t="n"/>
      <c r="C214" s="13" t="n"/>
      <c r="D214" s="13" t="n"/>
      <c r="E214" s="13" t="n"/>
      <c r="F214" s="13" t="n"/>
      <c r="G214" s="20" t="n"/>
      <c r="H214" s="14" t="n"/>
      <c r="I214" s="19">
        <f>IF($C214="","",ROUND(IF($G214="",1,$G214)*N($H214),2))</f>
        <v/>
      </c>
      <c r="J214" s="17">
        <f>IF($C214="","",IFERROR(VLOOKUP($C214,项目台账!$B:$C,2,0),"※项目不在项目台账里"))</f>
        <v/>
      </c>
      <c r="K214" s="13" t="n"/>
    </row>
    <row r="215">
      <c r="A215" s="17">
        <f>IF($C215="","",ROW()-3)</f>
        <v/>
      </c>
      <c r="B215" s="18" t="n"/>
      <c r="C215" s="13" t="n"/>
      <c r="D215" s="13" t="n"/>
      <c r="E215" s="13" t="n"/>
      <c r="F215" s="13" t="n"/>
      <c r="G215" s="20" t="n"/>
      <c r="H215" s="14" t="n"/>
      <c r="I215" s="19">
        <f>IF($C215="","",ROUND(IF($G215="",1,$G215)*N($H215),2))</f>
        <v/>
      </c>
      <c r="J215" s="17">
        <f>IF($C215="","",IFERROR(VLOOKUP($C215,项目台账!$B:$C,2,0),"※项目不在项目台账里"))</f>
        <v/>
      </c>
      <c r="K215" s="13" t="n"/>
    </row>
    <row r="216">
      <c r="A216" s="17">
        <f>IF($C216="","",ROW()-3)</f>
        <v/>
      </c>
      <c r="B216" s="18" t="n"/>
      <c r="C216" s="13" t="n"/>
      <c r="D216" s="13" t="n"/>
      <c r="E216" s="13" t="n"/>
      <c r="F216" s="13" t="n"/>
      <c r="G216" s="20" t="n"/>
      <c r="H216" s="14" t="n"/>
      <c r="I216" s="19">
        <f>IF($C216="","",ROUND(IF($G216="",1,$G216)*N($H216),2))</f>
        <v/>
      </c>
      <c r="J216" s="17">
        <f>IF($C216="","",IFERROR(VLOOKUP($C216,项目台账!$B:$C,2,0),"※项目不在项目台账里"))</f>
        <v/>
      </c>
      <c r="K216" s="13" t="n"/>
    </row>
    <row r="217">
      <c r="A217" s="17">
        <f>IF($C217="","",ROW()-3)</f>
        <v/>
      </c>
      <c r="B217" s="18" t="n"/>
      <c r="C217" s="13" t="n"/>
      <c r="D217" s="13" t="n"/>
      <c r="E217" s="13" t="n"/>
      <c r="F217" s="13" t="n"/>
      <c r="G217" s="20" t="n"/>
      <c r="H217" s="14" t="n"/>
      <c r="I217" s="19">
        <f>IF($C217="","",ROUND(IF($G217="",1,$G217)*N($H217),2))</f>
        <v/>
      </c>
      <c r="J217" s="17">
        <f>IF($C217="","",IFERROR(VLOOKUP($C217,项目台账!$B:$C,2,0),"※项目不在项目台账里"))</f>
        <v/>
      </c>
      <c r="K217" s="13" t="n"/>
    </row>
    <row r="218">
      <c r="A218" s="17">
        <f>IF($C218="","",ROW()-3)</f>
        <v/>
      </c>
      <c r="B218" s="18" t="n"/>
      <c r="C218" s="13" t="n"/>
      <c r="D218" s="13" t="n"/>
      <c r="E218" s="13" t="n"/>
      <c r="F218" s="13" t="n"/>
      <c r="G218" s="20" t="n"/>
      <c r="H218" s="14" t="n"/>
      <c r="I218" s="19">
        <f>IF($C218="","",ROUND(IF($G218="",1,$G218)*N($H218),2))</f>
        <v/>
      </c>
      <c r="J218" s="17">
        <f>IF($C218="","",IFERROR(VLOOKUP($C218,项目台账!$B:$C,2,0),"※项目不在项目台账里"))</f>
        <v/>
      </c>
      <c r="K218" s="13" t="n"/>
    </row>
    <row r="219">
      <c r="A219" s="17">
        <f>IF($C219="","",ROW()-3)</f>
        <v/>
      </c>
      <c r="B219" s="18" t="n"/>
      <c r="C219" s="13" t="n"/>
      <c r="D219" s="13" t="n"/>
      <c r="E219" s="13" t="n"/>
      <c r="F219" s="13" t="n"/>
      <c r="G219" s="20" t="n"/>
      <c r="H219" s="14" t="n"/>
      <c r="I219" s="19">
        <f>IF($C219="","",ROUND(IF($G219="",1,$G219)*N($H219),2))</f>
        <v/>
      </c>
      <c r="J219" s="17">
        <f>IF($C219="","",IFERROR(VLOOKUP($C219,项目台账!$B:$C,2,0),"※项目不在项目台账里"))</f>
        <v/>
      </c>
      <c r="K219" s="13" t="n"/>
    </row>
    <row r="220">
      <c r="A220" s="17">
        <f>IF($C220="","",ROW()-3)</f>
        <v/>
      </c>
      <c r="B220" s="18" t="n"/>
      <c r="C220" s="13" t="n"/>
      <c r="D220" s="13" t="n"/>
      <c r="E220" s="13" t="n"/>
      <c r="F220" s="13" t="n"/>
      <c r="G220" s="20" t="n"/>
      <c r="H220" s="14" t="n"/>
      <c r="I220" s="19">
        <f>IF($C220="","",ROUND(IF($G220="",1,$G220)*N($H220),2))</f>
        <v/>
      </c>
      <c r="J220" s="17">
        <f>IF($C220="","",IFERROR(VLOOKUP($C220,项目台账!$B:$C,2,0),"※项目不在项目台账里"))</f>
        <v/>
      </c>
      <c r="K220" s="13" t="n"/>
    </row>
    <row r="221">
      <c r="A221" s="17">
        <f>IF($C221="","",ROW()-3)</f>
        <v/>
      </c>
      <c r="B221" s="18" t="n"/>
      <c r="C221" s="13" t="n"/>
      <c r="D221" s="13" t="n"/>
      <c r="E221" s="13" t="n"/>
      <c r="F221" s="13" t="n"/>
      <c r="G221" s="20" t="n"/>
      <c r="H221" s="14" t="n"/>
      <c r="I221" s="19">
        <f>IF($C221="","",ROUND(IF($G221="",1,$G221)*N($H221),2))</f>
        <v/>
      </c>
      <c r="J221" s="17">
        <f>IF($C221="","",IFERROR(VLOOKUP($C221,项目台账!$B:$C,2,0),"※项目不在项目台账里"))</f>
        <v/>
      </c>
      <c r="K221" s="13" t="n"/>
    </row>
    <row r="222">
      <c r="A222" s="17">
        <f>IF($C222="","",ROW()-3)</f>
        <v/>
      </c>
      <c r="B222" s="18" t="n"/>
      <c r="C222" s="13" t="n"/>
      <c r="D222" s="13" t="n"/>
      <c r="E222" s="13" t="n"/>
      <c r="F222" s="13" t="n"/>
      <c r="G222" s="20" t="n"/>
      <c r="H222" s="14" t="n"/>
      <c r="I222" s="19">
        <f>IF($C222="","",ROUND(IF($G222="",1,$G222)*N($H222),2))</f>
        <v/>
      </c>
      <c r="J222" s="17">
        <f>IF($C222="","",IFERROR(VLOOKUP($C222,项目台账!$B:$C,2,0),"※项目不在项目台账里"))</f>
        <v/>
      </c>
      <c r="K222" s="13" t="n"/>
    </row>
    <row r="223">
      <c r="A223" s="17">
        <f>IF($C223="","",ROW()-3)</f>
        <v/>
      </c>
      <c r="B223" s="18" t="n"/>
      <c r="C223" s="13" t="n"/>
      <c r="D223" s="13" t="n"/>
      <c r="E223" s="13" t="n"/>
      <c r="F223" s="13" t="n"/>
      <c r="G223" s="20" t="n"/>
      <c r="H223" s="14" t="n"/>
      <c r="I223" s="19">
        <f>IF($C223="","",ROUND(IF($G223="",1,$G223)*N($H223),2))</f>
        <v/>
      </c>
      <c r="J223" s="17">
        <f>IF($C223="","",IFERROR(VLOOKUP($C223,项目台账!$B:$C,2,0),"※项目不在项目台账里"))</f>
        <v/>
      </c>
      <c r="K223" s="13" t="n"/>
    </row>
    <row r="224">
      <c r="A224" s="17">
        <f>IF($C224="","",ROW()-3)</f>
        <v/>
      </c>
      <c r="B224" s="18" t="n"/>
      <c r="C224" s="13" t="n"/>
      <c r="D224" s="13" t="n"/>
      <c r="E224" s="13" t="n"/>
      <c r="F224" s="13" t="n"/>
      <c r="G224" s="20" t="n"/>
      <c r="H224" s="14" t="n"/>
      <c r="I224" s="19">
        <f>IF($C224="","",ROUND(IF($G224="",1,$G224)*N($H224),2))</f>
        <v/>
      </c>
      <c r="J224" s="17">
        <f>IF($C224="","",IFERROR(VLOOKUP($C224,项目台账!$B:$C,2,0),"※项目不在项目台账里"))</f>
        <v/>
      </c>
      <c r="K224" s="13" t="n"/>
    </row>
    <row r="225">
      <c r="A225" s="17">
        <f>IF($C225="","",ROW()-3)</f>
        <v/>
      </c>
      <c r="B225" s="18" t="n"/>
      <c r="C225" s="13" t="n"/>
      <c r="D225" s="13" t="n"/>
      <c r="E225" s="13" t="n"/>
      <c r="F225" s="13" t="n"/>
      <c r="G225" s="20" t="n"/>
      <c r="H225" s="14" t="n"/>
      <c r="I225" s="19">
        <f>IF($C225="","",ROUND(IF($G225="",1,$G225)*N($H225),2))</f>
        <v/>
      </c>
      <c r="J225" s="17">
        <f>IF($C225="","",IFERROR(VLOOKUP($C225,项目台账!$B:$C,2,0),"※项目不在项目台账里"))</f>
        <v/>
      </c>
      <c r="K225" s="13" t="n"/>
    </row>
    <row r="226">
      <c r="A226" s="17">
        <f>IF($C226="","",ROW()-3)</f>
        <v/>
      </c>
      <c r="B226" s="18" t="n"/>
      <c r="C226" s="13" t="n"/>
      <c r="D226" s="13" t="n"/>
      <c r="E226" s="13" t="n"/>
      <c r="F226" s="13" t="n"/>
      <c r="G226" s="20" t="n"/>
      <c r="H226" s="14" t="n"/>
      <c r="I226" s="19">
        <f>IF($C226="","",ROUND(IF($G226="",1,$G226)*N($H226),2))</f>
        <v/>
      </c>
      <c r="J226" s="17">
        <f>IF($C226="","",IFERROR(VLOOKUP($C226,项目台账!$B:$C,2,0),"※项目不在项目台账里"))</f>
        <v/>
      </c>
      <c r="K226" s="13" t="n"/>
    </row>
    <row r="227">
      <c r="A227" s="17">
        <f>IF($C227="","",ROW()-3)</f>
        <v/>
      </c>
      <c r="B227" s="18" t="n"/>
      <c r="C227" s="13" t="n"/>
      <c r="D227" s="13" t="n"/>
      <c r="E227" s="13" t="n"/>
      <c r="F227" s="13" t="n"/>
      <c r="G227" s="20" t="n"/>
      <c r="H227" s="14" t="n"/>
      <c r="I227" s="19">
        <f>IF($C227="","",ROUND(IF($G227="",1,$G227)*N($H227),2))</f>
        <v/>
      </c>
      <c r="J227" s="17">
        <f>IF($C227="","",IFERROR(VLOOKUP($C227,项目台账!$B:$C,2,0),"※项目不在项目台账里"))</f>
        <v/>
      </c>
      <c r="K227" s="13" t="n"/>
    </row>
    <row r="228">
      <c r="A228" s="17">
        <f>IF($C228="","",ROW()-3)</f>
        <v/>
      </c>
      <c r="B228" s="18" t="n"/>
      <c r="C228" s="13" t="n"/>
      <c r="D228" s="13" t="n"/>
      <c r="E228" s="13" t="n"/>
      <c r="F228" s="13" t="n"/>
      <c r="G228" s="20" t="n"/>
      <c r="H228" s="14" t="n"/>
      <c r="I228" s="19">
        <f>IF($C228="","",ROUND(IF($G228="",1,$G228)*N($H228),2))</f>
        <v/>
      </c>
      <c r="J228" s="17">
        <f>IF($C228="","",IFERROR(VLOOKUP($C228,项目台账!$B:$C,2,0),"※项目不在项目台账里"))</f>
        <v/>
      </c>
      <c r="K228" s="13" t="n"/>
    </row>
    <row r="229">
      <c r="A229" s="17">
        <f>IF($C229="","",ROW()-3)</f>
        <v/>
      </c>
      <c r="B229" s="18" t="n"/>
      <c r="C229" s="13" t="n"/>
      <c r="D229" s="13" t="n"/>
      <c r="E229" s="13" t="n"/>
      <c r="F229" s="13" t="n"/>
      <c r="G229" s="20" t="n"/>
      <c r="H229" s="14" t="n"/>
      <c r="I229" s="19">
        <f>IF($C229="","",ROUND(IF($G229="",1,$G229)*N($H229),2))</f>
        <v/>
      </c>
      <c r="J229" s="17">
        <f>IF($C229="","",IFERROR(VLOOKUP($C229,项目台账!$B:$C,2,0),"※项目不在项目台账里"))</f>
        <v/>
      </c>
      <c r="K229" s="13" t="n"/>
    </row>
    <row r="230">
      <c r="A230" s="17">
        <f>IF($C230="","",ROW()-3)</f>
        <v/>
      </c>
      <c r="B230" s="18" t="n"/>
      <c r="C230" s="13" t="n"/>
      <c r="D230" s="13" t="n"/>
      <c r="E230" s="13" t="n"/>
      <c r="F230" s="13" t="n"/>
      <c r="G230" s="20" t="n"/>
      <c r="H230" s="14" t="n"/>
      <c r="I230" s="19">
        <f>IF($C230="","",ROUND(IF($G230="",1,$G230)*N($H230),2))</f>
        <v/>
      </c>
      <c r="J230" s="17">
        <f>IF($C230="","",IFERROR(VLOOKUP($C230,项目台账!$B:$C,2,0),"※项目不在项目台账里"))</f>
        <v/>
      </c>
      <c r="K230" s="13" t="n"/>
    </row>
    <row r="231">
      <c r="A231" s="17">
        <f>IF($C231="","",ROW()-3)</f>
        <v/>
      </c>
      <c r="B231" s="18" t="n"/>
      <c r="C231" s="13" t="n"/>
      <c r="D231" s="13" t="n"/>
      <c r="E231" s="13" t="n"/>
      <c r="F231" s="13" t="n"/>
      <c r="G231" s="20" t="n"/>
      <c r="H231" s="14" t="n"/>
      <c r="I231" s="19">
        <f>IF($C231="","",ROUND(IF($G231="",1,$G231)*N($H231),2))</f>
        <v/>
      </c>
      <c r="J231" s="17">
        <f>IF($C231="","",IFERROR(VLOOKUP($C231,项目台账!$B:$C,2,0),"※项目不在项目台账里"))</f>
        <v/>
      </c>
      <c r="K231" s="13" t="n"/>
    </row>
    <row r="232">
      <c r="A232" s="17">
        <f>IF($C232="","",ROW()-3)</f>
        <v/>
      </c>
      <c r="B232" s="18" t="n"/>
      <c r="C232" s="13" t="n"/>
      <c r="D232" s="13" t="n"/>
      <c r="E232" s="13" t="n"/>
      <c r="F232" s="13" t="n"/>
      <c r="G232" s="20" t="n"/>
      <c r="H232" s="14" t="n"/>
      <c r="I232" s="19">
        <f>IF($C232="","",ROUND(IF($G232="",1,$G232)*N($H232),2))</f>
        <v/>
      </c>
      <c r="J232" s="17">
        <f>IF($C232="","",IFERROR(VLOOKUP($C232,项目台账!$B:$C,2,0),"※项目不在项目台账里"))</f>
        <v/>
      </c>
      <c r="K232" s="13" t="n"/>
    </row>
    <row r="233">
      <c r="A233" s="17">
        <f>IF($C233="","",ROW()-3)</f>
        <v/>
      </c>
      <c r="B233" s="18" t="n"/>
      <c r="C233" s="13" t="n"/>
      <c r="D233" s="13" t="n"/>
      <c r="E233" s="13" t="n"/>
      <c r="F233" s="13" t="n"/>
      <c r="G233" s="20" t="n"/>
      <c r="H233" s="14" t="n"/>
      <c r="I233" s="19">
        <f>IF($C233="","",ROUND(IF($G233="",1,$G233)*N($H233),2))</f>
        <v/>
      </c>
      <c r="J233" s="17">
        <f>IF($C233="","",IFERROR(VLOOKUP($C233,项目台账!$B:$C,2,0),"※项目不在项目台账里"))</f>
        <v/>
      </c>
      <c r="K233" s="13" t="n"/>
    </row>
    <row r="234">
      <c r="A234" s="17">
        <f>IF($C234="","",ROW()-3)</f>
        <v/>
      </c>
      <c r="B234" s="18" t="n"/>
      <c r="C234" s="13" t="n"/>
      <c r="D234" s="13" t="n"/>
      <c r="E234" s="13" t="n"/>
      <c r="F234" s="13" t="n"/>
      <c r="G234" s="20" t="n"/>
      <c r="H234" s="14" t="n"/>
      <c r="I234" s="19">
        <f>IF($C234="","",ROUND(IF($G234="",1,$G234)*N($H234),2))</f>
        <v/>
      </c>
      <c r="J234" s="17">
        <f>IF($C234="","",IFERROR(VLOOKUP($C234,项目台账!$B:$C,2,0),"※项目不在项目台账里"))</f>
        <v/>
      </c>
      <c r="K234" s="13" t="n"/>
    </row>
    <row r="235">
      <c r="A235" s="17">
        <f>IF($C235="","",ROW()-3)</f>
        <v/>
      </c>
      <c r="B235" s="18" t="n"/>
      <c r="C235" s="13" t="n"/>
      <c r="D235" s="13" t="n"/>
      <c r="E235" s="13" t="n"/>
      <c r="F235" s="13" t="n"/>
      <c r="G235" s="20" t="n"/>
      <c r="H235" s="14" t="n"/>
      <c r="I235" s="19">
        <f>IF($C235="","",ROUND(IF($G235="",1,$G235)*N($H235),2))</f>
        <v/>
      </c>
      <c r="J235" s="17">
        <f>IF($C235="","",IFERROR(VLOOKUP($C235,项目台账!$B:$C,2,0),"※项目不在项目台账里"))</f>
        <v/>
      </c>
      <c r="K235" s="13" t="n"/>
    </row>
    <row r="236">
      <c r="A236" s="17">
        <f>IF($C236="","",ROW()-3)</f>
        <v/>
      </c>
      <c r="B236" s="18" t="n"/>
      <c r="C236" s="13" t="n"/>
      <c r="D236" s="13" t="n"/>
      <c r="E236" s="13" t="n"/>
      <c r="F236" s="13" t="n"/>
      <c r="G236" s="20" t="n"/>
      <c r="H236" s="14" t="n"/>
      <c r="I236" s="19">
        <f>IF($C236="","",ROUND(IF($G236="",1,$G236)*N($H236),2))</f>
        <v/>
      </c>
      <c r="J236" s="17">
        <f>IF($C236="","",IFERROR(VLOOKUP($C236,项目台账!$B:$C,2,0),"※项目不在项目台账里"))</f>
        <v/>
      </c>
      <c r="K236" s="13" t="n"/>
    </row>
    <row r="237">
      <c r="A237" s="17">
        <f>IF($C237="","",ROW()-3)</f>
        <v/>
      </c>
      <c r="B237" s="18" t="n"/>
      <c r="C237" s="13" t="n"/>
      <c r="D237" s="13" t="n"/>
      <c r="E237" s="13" t="n"/>
      <c r="F237" s="13" t="n"/>
      <c r="G237" s="20" t="n"/>
      <c r="H237" s="14" t="n"/>
      <c r="I237" s="19">
        <f>IF($C237="","",ROUND(IF($G237="",1,$G237)*N($H237),2))</f>
        <v/>
      </c>
      <c r="J237" s="17">
        <f>IF($C237="","",IFERROR(VLOOKUP($C237,项目台账!$B:$C,2,0),"※项目不在项目台账里"))</f>
        <v/>
      </c>
      <c r="K237" s="13" t="n"/>
    </row>
    <row r="238">
      <c r="A238" s="17">
        <f>IF($C238="","",ROW()-3)</f>
        <v/>
      </c>
      <c r="B238" s="18" t="n"/>
      <c r="C238" s="13" t="n"/>
      <c r="D238" s="13" t="n"/>
      <c r="E238" s="13" t="n"/>
      <c r="F238" s="13" t="n"/>
      <c r="G238" s="20" t="n"/>
      <c r="H238" s="14" t="n"/>
      <c r="I238" s="19">
        <f>IF($C238="","",ROUND(IF($G238="",1,$G238)*N($H238),2))</f>
        <v/>
      </c>
      <c r="J238" s="17">
        <f>IF($C238="","",IFERROR(VLOOKUP($C238,项目台账!$B:$C,2,0),"※项目不在项目台账里"))</f>
        <v/>
      </c>
      <c r="K238" s="13" t="n"/>
    </row>
    <row r="239">
      <c r="A239" s="17">
        <f>IF($C239="","",ROW()-3)</f>
        <v/>
      </c>
      <c r="B239" s="18" t="n"/>
      <c r="C239" s="13" t="n"/>
      <c r="D239" s="13" t="n"/>
      <c r="E239" s="13" t="n"/>
      <c r="F239" s="13" t="n"/>
      <c r="G239" s="20" t="n"/>
      <c r="H239" s="14" t="n"/>
      <c r="I239" s="19">
        <f>IF($C239="","",ROUND(IF($G239="",1,$G239)*N($H239),2))</f>
        <v/>
      </c>
      <c r="J239" s="17">
        <f>IF($C239="","",IFERROR(VLOOKUP($C239,项目台账!$B:$C,2,0),"※项目不在项目台账里"))</f>
        <v/>
      </c>
      <c r="K239" s="13" t="n"/>
    </row>
    <row r="240">
      <c r="A240" s="17">
        <f>IF($C240="","",ROW()-3)</f>
        <v/>
      </c>
      <c r="B240" s="18" t="n"/>
      <c r="C240" s="13" t="n"/>
      <c r="D240" s="13" t="n"/>
      <c r="E240" s="13" t="n"/>
      <c r="F240" s="13" t="n"/>
      <c r="G240" s="20" t="n"/>
      <c r="H240" s="14" t="n"/>
      <c r="I240" s="19">
        <f>IF($C240="","",ROUND(IF($G240="",1,$G240)*N($H240),2))</f>
        <v/>
      </c>
      <c r="J240" s="17">
        <f>IF($C240="","",IFERROR(VLOOKUP($C240,项目台账!$B:$C,2,0),"※项目不在项目台账里"))</f>
        <v/>
      </c>
      <c r="K240" s="13" t="n"/>
    </row>
    <row r="241">
      <c r="A241" s="17">
        <f>IF($C241="","",ROW()-3)</f>
        <v/>
      </c>
      <c r="B241" s="18" t="n"/>
      <c r="C241" s="13" t="n"/>
      <c r="D241" s="13" t="n"/>
      <c r="E241" s="13" t="n"/>
      <c r="F241" s="13" t="n"/>
      <c r="G241" s="20" t="n"/>
      <c r="H241" s="14" t="n"/>
      <c r="I241" s="19">
        <f>IF($C241="","",ROUND(IF($G241="",1,$G241)*N($H241),2))</f>
        <v/>
      </c>
      <c r="J241" s="17">
        <f>IF($C241="","",IFERROR(VLOOKUP($C241,项目台账!$B:$C,2,0),"※项目不在项目台账里"))</f>
        <v/>
      </c>
      <c r="K241" s="13" t="n"/>
    </row>
    <row r="242">
      <c r="A242" s="17">
        <f>IF($C242="","",ROW()-3)</f>
        <v/>
      </c>
      <c r="B242" s="18" t="n"/>
      <c r="C242" s="13" t="n"/>
      <c r="D242" s="13" t="n"/>
      <c r="E242" s="13" t="n"/>
      <c r="F242" s="13" t="n"/>
      <c r="G242" s="20" t="n"/>
      <c r="H242" s="14" t="n"/>
      <c r="I242" s="19">
        <f>IF($C242="","",ROUND(IF($G242="",1,$G242)*N($H242),2))</f>
        <v/>
      </c>
      <c r="J242" s="17">
        <f>IF($C242="","",IFERROR(VLOOKUP($C242,项目台账!$B:$C,2,0),"※项目不在项目台账里"))</f>
        <v/>
      </c>
      <c r="K242" s="13" t="n"/>
    </row>
    <row r="243">
      <c r="A243" s="17">
        <f>IF($C243="","",ROW()-3)</f>
        <v/>
      </c>
      <c r="B243" s="18" t="n"/>
      <c r="C243" s="13" t="n"/>
      <c r="D243" s="13" t="n"/>
      <c r="E243" s="13" t="n"/>
      <c r="F243" s="13" t="n"/>
      <c r="G243" s="20" t="n"/>
      <c r="H243" s="14" t="n"/>
      <c r="I243" s="19">
        <f>IF($C243="","",ROUND(IF($G243="",1,$G243)*N($H243),2))</f>
        <v/>
      </c>
      <c r="J243" s="17">
        <f>IF($C243="","",IFERROR(VLOOKUP($C243,项目台账!$B:$C,2,0),"※项目不在项目台账里"))</f>
        <v/>
      </c>
      <c r="K243" s="13" t="n"/>
    </row>
    <row r="244">
      <c r="A244" s="17">
        <f>IF($C244="","",ROW()-3)</f>
        <v/>
      </c>
      <c r="B244" s="18" t="n"/>
      <c r="C244" s="13" t="n"/>
      <c r="D244" s="13" t="n"/>
      <c r="E244" s="13" t="n"/>
      <c r="F244" s="13" t="n"/>
      <c r="G244" s="20" t="n"/>
      <c r="H244" s="14" t="n"/>
      <c r="I244" s="19">
        <f>IF($C244="","",ROUND(IF($G244="",1,$G244)*N($H244),2))</f>
        <v/>
      </c>
      <c r="J244" s="17">
        <f>IF($C244="","",IFERROR(VLOOKUP($C244,项目台账!$B:$C,2,0),"※项目不在项目台账里"))</f>
        <v/>
      </c>
      <c r="K244" s="13" t="n"/>
    </row>
    <row r="245">
      <c r="A245" s="17">
        <f>IF($C245="","",ROW()-3)</f>
        <v/>
      </c>
      <c r="B245" s="18" t="n"/>
      <c r="C245" s="13" t="n"/>
      <c r="D245" s="13" t="n"/>
      <c r="E245" s="13" t="n"/>
      <c r="F245" s="13" t="n"/>
      <c r="G245" s="20" t="n"/>
      <c r="H245" s="14" t="n"/>
      <c r="I245" s="19">
        <f>IF($C245="","",ROUND(IF($G245="",1,$G245)*N($H245),2))</f>
        <v/>
      </c>
      <c r="J245" s="17">
        <f>IF($C245="","",IFERROR(VLOOKUP($C245,项目台账!$B:$C,2,0),"※项目不在项目台账里"))</f>
        <v/>
      </c>
      <c r="K245" s="13" t="n"/>
    </row>
    <row r="246">
      <c r="A246" s="17">
        <f>IF($C246="","",ROW()-3)</f>
        <v/>
      </c>
      <c r="B246" s="18" t="n"/>
      <c r="C246" s="13" t="n"/>
      <c r="D246" s="13" t="n"/>
      <c r="E246" s="13" t="n"/>
      <c r="F246" s="13" t="n"/>
      <c r="G246" s="20" t="n"/>
      <c r="H246" s="14" t="n"/>
      <c r="I246" s="19">
        <f>IF($C246="","",ROUND(IF($G246="",1,$G246)*N($H246),2))</f>
        <v/>
      </c>
      <c r="J246" s="17">
        <f>IF($C246="","",IFERROR(VLOOKUP($C246,项目台账!$B:$C,2,0),"※项目不在项目台账里"))</f>
        <v/>
      </c>
      <c r="K246" s="13" t="n"/>
    </row>
    <row r="247">
      <c r="A247" s="17">
        <f>IF($C247="","",ROW()-3)</f>
        <v/>
      </c>
      <c r="B247" s="18" t="n"/>
      <c r="C247" s="13" t="n"/>
      <c r="D247" s="13" t="n"/>
      <c r="E247" s="13" t="n"/>
      <c r="F247" s="13" t="n"/>
      <c r="G247" s="20" t="n"/>
      <c r="H247" s="14" t="n"/>
      <c r="I247" s="19">
        <f>IF($C247="","",ROUND(IF($G247="",1,$G247)*N($H247),2))</f>
        <v/>
      </c>
      <c r="J247" s="17">
        <f>IF($C247="","",IFERROR(VLOOKUP($C247,项目台账!$B:$C,2,0),"※项目不在项目台账里"))</f>
        <v/>
      </c>
      <c r="K247" s="13" t="n"/>
    </row>
    <row r="248">
      <c r="A248" s="17">
        <f>IF($C248="","",ROW()-3)</f>
        <v/>
      </c>
      <c r="B248" s="18" t="n"/>
      <c r="C248" s="13" t="n"/>
      <c r="D248" s="13" t="n"/>
      <c r="E248" s="13" t="n"/>
      <c r="F248" s="13" t="n"/>
      <c r="G248" s="20" t="n"/>
      <c r="H248" s="14" t="n"/>
      <c r="I248" s="19">
        <f>IF($C248="","",ROUND(IF($G248="",1,$G248)*N($H248),2))</f>
        <v/>
      </c>
      <c r="J248" s="17">
        <f>IF($C248="","",IFERROR(VLOOKUP($C248,项目台账!$B:$C,2,0),"※项目不在项目台账里"))</f>
        <v/>
      </c>
      <c r="K248" s="13" t="n"/>
    </row>
    <row r="249">
      <c r="A249" s="17">
        <f>IF($C249="","",ROW()-3)</f>
        <v/>
      </c>
      <c r="B249" s="18" t="n"/>
      <c r="C249" s="13" t="n"/>
      <c r="D249" s="13" t="n"/>
      <c r="E249" s="13" t="n"/>
      <c r="F249" s="13" t="n"/>
      <c r="G249" s="20" t="n"/>
      <c r="H249" s="14" t="n"/>
      <c r="I249" s="19">
        <f>IF($C249="","",ROUND(IF($G249="",1,$G249)*N($H249),2))</f>
        <v/>
      </c>
      <c r="J249" s="17">
        <f>IF($C249="","",IFERROR(VLOOKUP($C249,项目台账!$B:$C,2,0),"※项目不在项目台账里"))</f>
        <v/>
      </c>
      <c r="K249" s="13" t="n"/>
    </row>
    <row r="250">
      <c r="A250" s="17">
        <f>IF($C250="","",ROW()-3)</f>
        <v/>
      </c>
      <c r="B250" s="18" t="n"/>
      <c r="C250" s="13" t="n"/>
      <c r="D250" s="13" t="n"/>
      <c r="E250" s="13" t="n"/>
      <c r="F250" s="13" t="n"/>
      <c r="G250" s="20" t="n"/>
      <c r="H250" s="14" t="n"/>
      <c r="I250" s="19">
        <f>IF($C250="","",ROUND(IF($G250="",1,$G250)*N($H250),2))</f>
        <v/>
      </c>
      <c r="J250" s="17">
        <f>IF($C250="","",IFERROR(VLOOKUP($C250,项目台账!$B:$C,2,0),"※项目不在项目台账里"))</f>
        <v/>
      </c>
      <c r="K250" s="13" t="n"/>
    </row>
    <row r="251">
      <c r="A251" s="17">
        <f>IF($C251="","",ROW()-3)</f>
        <v/>
      </c>
      <c r="B251" s="18" t="n"/>
      <c r="C251" s="13" t="n"/>
      <c r="D251" s="13" t="n"/>
      <c r="E251" s="13" t="n"/>
      <c r="F251" s="13" t="n"/>
      <c r="G251" s="20" t="n"/>
      <c r="H251" s="14" t="n"/>
      <c r="I251" s="19">
        <f>IF($C251="","",ROUND(IF($G251="",1,$G251)*N($H251),2))</f>
        <v/>
      </c>
      <c r="J251" s="17">
        <f>IF($C251="","",IFERROR(VLOOKUP($C251,项目台账!$B:$C,2,0),"※项目不在项目台账里"))</f>
        <v/>
      </c>
      <c r="K251" s="13" t="n"/>
    </row>
    <row r="252">
      <c r="A252" s="17">
        <f>IF($C252="","",ROW()-3)</f>
        <v/>
      </c>
      <c r="B252" s="18" t="n"/>
      <c r="C252" s="13" t="n"/>
      <c r="D252" s="13" t="n"/>
      <c r="E252" s="13" t="n"/>
      <c r="F252" s="13" t="n"/>
      <c r="G252" s="20" t="n"/>
      <c r="H252" s="14" t="n"/>
      <c r="I252" s="19">
        <f>IF($C252="","",ROUND(IF($G252="",1,$G252)*N($H252),2))</f>
        <v/>
      </c>
      <c r="J252" s="17">
        <f>IF($C252="","",IFERROR(VLOOKUP($C252,项目台账!$B:$C,2,0),"※项目不在项目台账里"))</f>
        <v/>
      </c>
      <c r="K252" s="13" t="n"/>
    </row>
    <row r="253">
      <c r="A253" s="17">
        <f>IF($C253="","",ROW()-3)</f>
        <v/>
      </c>
      <c r="B253" s="18" t="n"/>
      <c r="C253" s="13" t="n"/>
      <c r="D253" s="13" t="n"/>
      <c r="E253" s="13" t="n"/>
      <c r="F253" s="13" t="n"/>
      <c r="G253" s="20" t="n"/>
      <c r="H253" s="14" t="n"/>
      <c r="I253" s="19">
        <f>IF($C253="","",ROUND(IF($G253="",1,$G253)*N($H253),2))</f>
        <v/>
      </c>
      <c r="J253" s="17">
        <f>IF($C253="","",IFERROR(VLOOKUP($C253,项目台账!$B:$C,2,0),"※项目不在项目台账里"))</f>
        <v/>
      </c>
      <c r="K253" s="13" t="n"/>
    </row>
    <row r="254">
      <c r="A254" s="17">
        <f>IF($C254="","",ROW()-3)</f>
        <v/>
      </c>
      <c r="B254" s="18" t="n"/>
      <c r="C254" s="13" t="n"/>
      <c r="D254" s="13" t="n"/>
      <c r="E254" s="13" t="n"/>
      <c r="F254" s="13" t="n"/>
      <c r="G254" s="20" t="n"/>
      <c r="H254" s="14" t="n"/>
      <c r="I254" s="19">
        <f>IF($C254="","",ROUND(IF($G254="",1,$G254)*N($H254),2))</f>
        <v/>
      </c>
      <c r="J254" s="17">
        <f>IF($C254="","",IFERROR(VLOOKUP($C254,项目台账!$B:$C,2,0),"※项目不在项目台账里"))</f>
        <v/>
      </c>
      <c r="K254" s="13" t="n"/>
    </row>
    <row r="255">
      <c r="A255" s="17">
        <f>IF($C255="","",ROW()-3)</f>
        <v/>
      </c>
      <c r="B255" s="18" t="n"/>
      <c r="C255" s="13" t="n"/>
      <c r="D255" s="13" t="n"/>
      <c r="E255" s="13" t="n"/>
      <c r="F255" s="13" t="n"/>
      <c r="G255" s="20" t="n"/>
      <c r="H255" s="14" t="n"/>
      <c r="I255" s="19">
        <f>IF($C255="","",ROUND(IF($G255="",1,$G255)*N($H255),2))</f>
        <v/>
      </c>
      <c r="J255" s="17">
        <f>IF($C255="","",IFERROR(VLOOKUP($C255,项目台账!$B:$C,2,0),"※项目不在项目台账里"))</f>
        <v/>
      </c>
      <c r="K255" s="13" t="n"/>
    </row>
    <row r="256">
      <c r="A256" s="17">
        <f>IF($C256="","",ROW()-3)</f>
        <v/>
      </c>
      <c r="B256" s="18" t="n"/>
      <c r="C256" s="13" t="n"/>
      <c r="D256" s="13" t="n"/>
      <c r="E256" s="13" t="n"/>
      <c r="F256" s="13" t="n"/>
      <c r="G256" s="20" t="n"/>
      <c r="H256" s="14" t="n"/>
      <c r="I256" s="19">
        <f>IF($C256="","",ROUND(IF($G256="",1,$G256)*N($H256),2))</f>
        <v/>
      </c>
      <c r="J256" s="17">
        <f>IF($C256="","",IFERROR(VLOOKUP($C256,项目台账!$B:$C,2,0),"※项目不在项目台账里"))</f>
        <v/>
      </c>
      <c r="K256" s="13" t="n"/>
    </row>
    <row r="257">
      <c r="A257" s="17">
        <f>IF($C257="","",ROW()-3)</f>
        <v/>
      </c>
      <c r="B257" s="18" t="n"/>
      <c r="C257" s="13" t="n"/>
      <c r="D257" s="13" t="n"/>
      <c r="E257" s="13" t="n"/>
      <c r="F257" s="13" t="n"/>
      <c r="G257" s="20" t="n"/>
      <c r="H257" s="14" t="n"/>
      <c r="I257" s="19">
        <f>IF($C257="","",ROUND(IF($G257="",1,$G257)*N($H257),2))</f>
        <v/>
      </c>
      <c r="J257" s="17">
        <f>IF($C257="","",IFERROR(VLOOKUP($C257,项目台账!$B:$C,2,0),"※项目不在项目台账里"))</f>
        <v/>
      </c>
      <c r="K257" s="13" t="n"/>
    </row>
    <row r="258">
      <c r="A258" s="17">
        <f>IF($C258="","",ROW()-3)</f>
        <v/>
      </c>
      <c r="B258" s="18" t="n"/>
      <c r="C258" s="13" t="n"/>
      <c r="D258" s="13" t="n"/>
      <c r="E258" s="13" t="n"/>
      <c r="F258" s="13" t="n"/>
      <c r="G258" s="20" t="n"/>
      <c r="H258" s="14" t="n"/>
      <c r="I258" s="19">
        <f>IF($C258="","",ROUND(IF($G258="",1,$G258)*N($H258),2))</f>
        <v/>
      </c>
      <c r="J258" s="17">
        <f>IF($C258="","",IFERROR(VLOOKUP($C258,项目台账!$B:$C,2,0),"※项目不在项目台账里"))</f>
        <v/>
      </c>
      <c r="K258" s="13" t="n"/>
    </row>
    <row r="259">
      <c r="A259" s="17">
        <f>IF($C259="","",ROW()-3)</f>
        <v/>
      </c>
      <c r="B259" s="18" t="n"/>
      <c r="C259" s="13" t="n"/>
      <c r="D259" s="13" t="n"/>
      <c r="E259" s="13" t="n"/>
      <c r="F259" s="13" t="n"/>
      <c r="G259" s="20" t="n"/>
      <c r="H259" s="14" t="n"/>
      <c r="I259" s="19">
        <f>IF($C259="","",ROUND(IF($G259="",1,$G259)*N($H259),2))</f>
        <v/>
      </c>
      <c r="J259" s="17">
        <f>IF($C259="","",IFERROR(VLOOKUP($C259,项目台账!$B:$C,2,0),"※项目不在项目台账里"))</f>
        <v/>
      </c>
      <c r="K259" s="13" t="n"/>
    </row>
    <row r="260">
      <c r="A260" s="17">
        <f>IF($C260="","",ROW()-3)</f>
        <v/>
      </c>
      <c r="B260" s="18" t="n"/>
      <c r="C260" s="13" t="n"/>
      <c r="D260" s="13" t="n"/>
      <c r="E260" s="13" t="n"/>
      <c r="F260" s="13" t="n"/>
      <c r="G260" s="20" t="n"/>
      <c r="H260" s="14" t="n"/>
      <c r="I260" s="19">
        <f>IF($C260="","",ROUND(IF($G260="",1,$G260)*N($H260),2))</f>
        <v/>
      </c>
      <c r="J260" s="17">
        <f>IF($C260="","",IFERROR(VLOOKUP($C260,项目台账!$B:$C,2,0),"※项目不在项目台账里"))</f>
        <v/>
      </c>
      <c r="K260" s="13" t="n"/>
    </row>
    <row r="261">
      <c r="A261" s="17">
        <f>IF($C261="","",ROW()-3)</f>
        <v/>
      </c>
      <c r="B261" s="18" t="n"/>
      <c r="C261" s="13" t="n"/>
      <c r="D261" s="13" t="n"/>
      <c r="E261" s="13" t="n"/>
      <c r="F261" s="13" t="n"/>
      <c r="G261" s="20" t="n"/>
      <c r="H261" s="14" t="n"/>
      <c r="I261" s="19">
        <f>IF($C261="","",ROUND(IF($G261="",1,$G261)*N($H261),2))</f>
        <v/>
      </c>
      <c r="J261" s="17">
        <f>IF($C261="","",IFERROR(VLOOKUP($C261,项目台账!$B:$C,2,0),"※项目不在项目台账里"))</f>
        <v/>
      </c>
      <c r="K261" s="13" t="n"/>
    </row>
    <row r="262">
      <c r="A262" s="17">
        <f>IF($C262="","",ROW()-3)</f>
        <v/>
      </c>
      <c r="B262" s="18" t="n"/>
      <c r="C262" s="13" t="n"/>
      <c r="D262" s="13" t="n"/>
      <c r="E262" s="13" t="n"/>
      <c r="F262" s="13" t="n"/>
      <c r="G262" s="20" t="n"/>
      <c r="H262" s="14" t="n"/>
      <c r="I262" s="19">
        <f>IF($C262="","",ROUND(IF($G262="",1,$G262)*N($H262),2))</f>
        <v/>
      </c>
      <c r="J262" s="17">
        <f>IF($C262="","",IFERROR(VLOOKUP($C262,项目台账!$B:$C,2,0),"※项目不在项目台账里"))</f>
        <v/>
      </c>
      <c r="K262" s="13" t="n"/>
    </row>
    <row r="263">
      <c r="A263" s="17">
        <f>IF($C263="","",ROW()-3)</f>
        <v/>
      </c>
      <c r="B263" s="18" t="n"/>
      <c r="C263" s="13" t="n"/>
      <c r="D263" s="13" t="n"/>
      <c r="E263" s="13" t="n"/>
      <c r="F263" s="13" t="n"/>
      <c r="G263" s="20" t="n"/>
      <c r="H263" s="14" t="n"/>
      <c r="I263" s="19">
        <f>IF($C263="","",ROUND(IF($G263="",1,$G263)*N($H263),2))</f>
        <v/>
      </c>
      <c r="J263" s="17">
        <f>IF($C263="","",IFERROR(VLOOKUP($C263,项目台账!$B:$C,2,0),"※项目不在项目台账里"))</f>
        <v/>
      </c>
      <c r="K263" s="13" t="n"/>
    </row>
    <row r="264">
      <c r="A264" s="17">
        <f>IF($C264="","",ROW()-3)</f>
        <v/>
      </c>
      <c r="B264" s="18" t="n"/>
      <c r="C264" s="13" t="n"/>
      <c r="D264" s="13" t="n"/>
      <c r="E264" s="13" t="n"/>
      <c r="F264" s="13" t="n"/>
      <c r="G264" s="20" t="n"/>
      <c r="H264" s="14" t="n"/>
      <c r="I264" s="19">
        <f>IF($C264="","",ROUND(IF($G264="",1,$G264)*N($H264),2))</f>
        <v/>
      </c>
      <c r="J264" s="17">
        <f>IF($C264="","",IFERROR(VLOOKUP($C264,项目台账!$B:$C,2,0),"※项目不在项目台账里"))</f>
        <v/>
      </c>
      <c r="K264" s="13" t="n"/>
    </row>
    <row r="265">
      <c r="A265" s="17">
        <f>IF($C265="","",ROW()-3)</f>
        <v/>
      </c>
      <c r="B265" s="18" t="n"/>
      <c r="C265" s="13" t="n"/>
      <c r="D265" s="13" t="n"/>
      <c r="E265" s="13" t="n"/>
      <c r="F265" s="13" t="n"/>
      <c r="G265" s="20" t="n"/>
      <c r="H265" s="14" t="n"/>
      <c r="I265" s="19">
        <f>IF($C265="","",ROUND(IF($G265="",1,$G265)*N($H265),2))</f>
        <v/>
      </c>
      <c r="J265" s="17">
        <f>IF($C265="","",IFERROR(VLOOKUP($C265,项目台账!$B:$C,2,0),"※项目不在项目台账里"))</f>
        <v/>
      </c>
      <c r="K265" s="13" t="n"/>
    </row>
    <row r="266">
      <c r="A266" s="17">
        <f>IF($C266="","",ROW()-3)</f>
        <v/>
      </c>
      <c r="B266" s="18" t="n"/>
      <c r="C266" s="13" t="n"/>
      <c r="D266" s="13" t="n"/>
      <c r="E266" s="13" t="n"/>
      <c r="F266" s="13" t="n"/>
      <c r="G266" s="20" t="n"/>
      <c r="H266" s="14" t="n"/>
      <c r="I266" s="19">
        <f>IF($C266="","",ROUND(IF($G266="",1,$G266)*N($H266),2))</f>
        <v/>
      </c>
      <c r="J266" s="17">
        <f>IF($C266="","",IFERROR(VLOOKUP($C266,项目台账!$B:$C,2,0),"※项目不在项目台账里"))</f>
        <v/>
      </c>
      <c r="K266" s="13" t="n"/>
    </row>
    <row r="267">
      <c r="A267" s="17">
        <f>IF($C267="","",ROW()-3)</f>
        <v/>
      </c>
      <c r="B267" s="18" t="n"/>
      <c r="C267" s="13" t="n"/>
      <c r="D267" s="13" t="n"/>
      <c r="E267" s="13" t="n"/>
      <c r="F267" s="13" t="n"/>
      <c r="G267" s="20" t="n"/>
      <c r="H267" s="14" t="n"/>
      <c r="I267" s="19">
        <f>IF($C267="","",ROUND(IF($G267="",1,$G267)*N($H267),2))</f>
        <v/>
      </c>
      <c r="J267" s="17">
        <f>IF($C267="","",IFERROR(VLOOKUP($C267,项目台账!$B:$C,2,0),"※项目不在项目台账里"))</f>
        <v/>
      </c>
      <c r="K267" s="13" t="n"/>
    </row>
    <row r="268">
      <c r="A268" s="17">
        <f>IF($C268="","",ROW()-3)</f>
        <v/>
      </c>
      <c r="B268" s="18" t="n"/>
      <c r="C268" s="13" t="n"/>
      <c r="D268" s="13" t="n"/>
      <c r="E268" s="13" t="n"/>
      <c r="F268" s="13" t="n"/>
      <c r="G268" s="20" t="n"/>
      <c r="H268" s="14" t="n"/>
      <c r="I268" s="19">
        <f>IF($C268="","",ROUND(IF($G268="",1,$G268)*N($H268),2))</f>
        <v/>
      </c>
      <c r="J268" s="17">
        <f>IF($C268="","",IFERROR(VLOOKUP($C268,项目台账!$B:$C,2,0),"※项目不在项目台账里"))</f>
        <v/>
      </c>
      <c r="K268" s="13" t="n"/>
    </row>
    <row r="269">
      <c r="A269" s="17">
        <f>IF($C269="","",ROW()-3)</f>
        <v/>
      </c>
      <c r="B269" s="18" t="n"/>
      <c r="C269" s="13" t="n"/>
      <c r="D269" s="13" t="n"/>
      <c r="E269" s="13" t="n"/>
      <c r="F269" s="13" t="n"/>
      <c r="G269" s="20" t="n"/>
      <c r="H269" s="14" t="n"/>
      <c r="I269" s="19">
        <f>IF($C269="","",ROUND(IF($G269="",1,$G269)*N($H269),2))</f>
        <v/>
      </c>
      <c r="J269" s="17">
        <f>IF($C269="","",IFERROR(VLOOKUP($C269,项目台账!$B:$C,2,0),"※项目不在项目台账里"))</f>
        <v/>
      </c>
      <c r="K269" s="13" t="n"/>
    </row>
    <row r="270">
      <c r="A270" s="17">
        <f>IF($C270="","",ROW()-3)</f>
        <v/>
      </c>
      <c r="B270" s="18" t="n"/>
      <c r="C270" s="13" t="n"/>
      <c r="D270" s="13" t="n"/>
      <c r="E270" s="13" t="n"/>
      <c r="F270" s="13" t="n"/>
      <c r="G270" s="20" t="n"/>
      <c r="H270" s="14" t="n"/>
      <c r="I270" s="19">
        <f>IF($C270="","",ROUND(IF($G270="",1,$G270)*N($H270),2))</f>
        <v/>
      </c>
      <c r="J270" s="17">
        <f>IF($C270="","",IFERROR(VLOOKUP($C270,项目台账!$B:$C,2,0),"※项目不在项目台账里"))</f>
        <v/>
      </c>
      <c r="K270" s="13" t="n"/>
    </row>
    <row r="271">
      <c r="A271" s="17">
        <f>IF($C271="","",ROW()-3)</f>
        <v/>
      </c>
      <c r="B271" s="18" t="n"/>
      <c r="C271" s="13" t="n"/>
      <c r="D271" s="13" t="n"/>
      <c r="E271" s="13" t="n"/>
      <c r="F271" s="13" t="n"/>
      <c r="G271" s="20" t="n"/>
      <c r="H271" s="14" t="n"/>
      <c r="I271" s="19">
        <f>IF($C271="","",ROUND(IF($G271="",1,$G271)*N($H271),2))</f>
        <v/>
      </c>
      <c r="J271" s="17">
        <f>IF($C271="","",IFERROR(VLOOKUP($C271,项目台账!$B:$C,2,0),"※项目不在项目台账里"))</f>
        <v/>
      </c>
      <c r="K271" s="13" t="n"/>
    </row>
    <row r="272">
      <c r="A272" s="17">
        <f>IF($C272="","",ROW()-3)</f>
        <v/>
      </c>
      <c r="B272" s="18" t="n"/>
      <c r="C272" s="13" t="n"/>
      <c r="D272" s="13" t="n"/>
      <c r="E272" s="13" t="n"/>
      <c r="F272" s="13" t="n"/>
      <c r="G272" s="20" t="n"/>
      <c r="H272" s="14" t="n"/>
      <c r="I272" s="19">
        <f>IF($C272="","",ROUND(IF($G272="",1,$G272)*N($H272),2))</f>
        <v/>
      </c>
      <c r="J272" s="17">
        <f>IF($C272="","",IFERROR(VLOOKUP($C272,项目台账!$B:$C,2,0),"※项目不在项目台账里"))</f>
        <v/>
      </c>
      <c r="K272" s="13" t="n"/>
    </row>
    <row r="273">
      <c r="A273" s="17">
        <f>IF($C273="","",ROW()-3)</f>
        <v/>
      </c>
      <c r="B273" s="18" t="n"/>
      <c r="C273" s="13" t="n"/>
      <c r="D273" s="13" t="n"/>
      <c r="E273" s="13" t="n"/>
      <c r="F273" s="13" t="n"/>
      <c r="G273" s="20" t="n"/>
      <c r="H273" s="14" t="n"/>
      <c r="I273" s="19">
        <f>IF($C273="","",ROUND(IF($G273="",1,$G273)*N($H273),2))</f>
        <v/>
      </c>
      <c r="J273" s="17">
        <f>IF($C273="","",IFERROR(VLOOKUP($C273,项目台账!$B:$C,2,0),"※项目不在项目台账里"))</f>
        <v/>
      </c>
      <c r="K273" s="13" t="n"/>
    </row>
    <row r="274">
      <c r="A274" s="17">
        <f>IF($C274="","",ROW()-3)</f>
        <v/>
      </c>
      <c r="B274" s="18" t="n"/>
      <c r="C274" s="13" t="n"/>
      <c r="D274" s="13" t="n"/>
      <c r="E274" s="13" t="n"/>
      <c r="F274" s="13" t="n"/>
      <c r="G274" s="20" t="n"/>
      <c r="H274" s="14" t="n"/>
      <c r="I274" s="19">
        <f>IF($C274="","",ROUND(IF($G274="",1,$G274)*N($H274),2))</f>
        <v/>
      </c>
      <c r="J274" s="17">
        <f>IF($C274="","",IFERROR(VLOOKUP($C274,项目台账!$B:$C,2,0),"※项目不在项目台账里"))</f>
        <v/>
      </c>
      <c r="K274" s="13" t="n"/>
    </row>
    <row r="275">
      <c r="A275" s="17">
        <f>IF($C275="","",ROW()-3)</f>
        <v/>
      </c>
      <c r="B275" s="18" t="n"/>
      <c r="C275" s="13" t="n"/>
      <c r="D275" s="13" t="n"/>
      <c r="E275" s="13" t="n"/>
      <c r="F275" s="13" t="n"/>
      <c r="G275" s="20" t="n"/>
      <c r="H275" s="14" t="n"/>
      <c r="I275" s="19">
        <f>IF($C275="","",ROUND(IF($G275="",1,$G275)*N($H275),2))</f>
        <v/>
      </c>
      <c r="J275" s="17">
        <f>IF($C275="","",IFERROR(VLOOKUP($C275,项目台账!$B:$C,2,0),"※项目不在项目台账里"))</f>
        <v/>
      </c>
      <c r="K275" s="13" t="n"/>
    </row>
    <row r="276">
      <c r="A276" s="17">
        <f>IF($C276="","",ROW()-3)</f>
        <v/>
      </c>
      <c r="B276" s="18" t="n"/>
      <c r="C276" s="13" t="n"/>
      <c r="D276" s="13" t="n"/>
      <c r="E276" s="13" t="n"/>
      <c r="F276" s="13" t="n"/>
      <c r="G276" s="20" t="n"/>
      <c r="H276" s="14" t="n"/>
      <c r="I276" s="19">
        <f>IF($C276="","",ROUND(IF($G276="",1,$G276)*N($H276),2))</f>
        <v/>
      </c>
      <c r="J276" s="17">
        <f>IF($C276="","",IFERROR(VLOOKUP($C276,项目台账!$B:$C,2,0),"※项目不在项目台账里"))</f>
        <v/>
      </c>
      <c r="K276" s="13" t="n"/>
    </row>
    <row r="277">
      <c r="A277" s="17">
        <f>IF($C277="","",ROW()-3)</f>
        <v/>
      </c>
      <c r="B277" s="18" t="n"/>
      <c r="C277" s="13" t="n"/>
      <c r="D277" s="13" t="n"/>
      <c r="E277" s="13" t="n"/>
      <c r="F277" s="13" t="n"/>
      <c r="G277" s="20" t="n"/>
      <c r="H277" s="14" t="n"/>
      <c r="I277" s="19">
        <f>IF($C277="","",ROUND(IF($G277="",1,$G277)*N($H277),2))</f>
        <v/>
      </c>
      <c r="J277" s="17">
        <f>IF($C277="","",IFERROR(VLOOKUP($C277,项目台账!$B:$C,2,0),"※项目不在项目台账里"))</f>
        <v/>
      </c>
      <c r="K277" s="13" t="n"/>
    </row>
    <row r="278">
      <c r="A278" s="17">
        <f>IF($C278="","",ROW()-3)</f>
        <v/>
      </c>
      <c r="B278" s="18" t="n"/>
      <c r="C278" s="13" t="n"/>
      <c r="D278" s="13" t="n"/>
      <c r="E278" s="13" t="n"/>
      <c r="F278" s="13" t="n"/>
      <c r="G278" s="20" t="n"/>
      <c r="H278" s="14" t="n"/>
      <c r="I278" s="19">
        <f>IF($C278="","",ROUND(IF($G278="",1,$G278)*N($H278),2))</f>
        <v/>
      </c>
      <c r="J278" s="17">
        <f>IF($C278="","",IFERROR(VLOOKUP($C278,项目台账!$B:$C,2,0),"※项目不在项目台账里"))</f>
        <v/>
      </c>
      <c r="K278" s="13" t="n"/>
    </row>
    <row r="279">
      <c r="A279" s="17">
        <f>IF($C279="","",ROW()-3)</f>
        <v/>
      </c>
      <c r="B279" s="18" t="n"/>
      <c r="C279" s="13" t="n"/>
      <c r="D279" s="13" t="n"/>
      <c r="E279" s="13" t="n"/>
      <c r="F279" s="13" t="n"/>
      <c r="G279" s="20" t="n"/>
      <c r="H279" s="14" t="n"/>
      <c r="I279" s="19">
        <f>IF($C279="","",ROUND(IF($G279="",1,$G279)*N($H279),2))</f>
        <v/>
      </c>
      <c r="J279" s="17">
        <f>IF($C279="","",IFERROR(VLOOKUP($C279,项目台账!$B:$C,2,0),"※项目不在项目台账里"))</f>
        <v/>
      </c>
      <c r="K279" s="13" t="n"/>
    </row>
    <row r="280">
      <c r="A280" s="17">
        <f>IF($C280="","",ROW()-3)</f>
        <v/>
      </c>
      <c r="B280" s="18" t="n"/>
      <c r="C280" s="13" t="n"/>
      <c r="D280" s="13" t="n"/>
      <c r="E280" s="13" t="n"/>
      <c r="F280" s="13" t="n"/>
      <c r="G280" s="20" t="n"/>
      <c r="H280" s="14" t="n"/>
      <c r="I280" s="19">
        <f>IF($C280="","",ROUND(IF($G280="",1,$G280)*N($H280),2))</f>
        <v/>
      </c>
      <c r="J280" s="17">
        <f>IF($C280="","",IFERROR(VLOOKUP($C280,项目台账!$B:$C,2,0),"※项目不在项目台账里"))</f>
        <v/>
      </c>
      <c r="K280" s="13" t="n"/>
    </row>
    <row r="281">
      <c r="A281" s="17">
        <f>IF($C281="","",ROW()-3)</f>
        <v/>
      </c>
      <c r="B281" s="18" t="n"/>
      <c r="C281" s="13" t="n"/>
      <c r="D281" s="13" t="n"/>
      <c r="E281" s="13" t="n"/>
      <c r="F281" s="13" t="n"/>
      <c r="G281" s="20" t="n"/>
      <c r="H281" s="14" t="n"/>
      <c r="I281" s="19">
        <f>IF($C281="","",ROUND(IF($G281="",1,$G281)*N($H281),2))</f>
        <v/>
      </c>
      <c r="J281" s="17">
        <f>IF($C281="","",IFERROR(VLOOKUP($C281,项目台账!$B:$C,2,0),"※项目不在项目台账里"))</f>
        <v/>
      </c>
      <c r="K281" s="13" t="n"/>
    </row>
    <row r="282">
      <c r="A282" s="17">
        <f>IF($C282="","",ROW()-3)</f>
        <v/>
      </c>
      <c r="B282" s="18" t="n"/>
      <c r="C282" s="13" t="n"/>
      <c r="D282" s="13" t="n"/>
      <c r="E282" s="13" t="n"/>
      <c r="F282" s="13" t="n"/>
      <c r="G282" s="20" t="n"/>
      <c r="H282" s="14" t="n"/>
      <c r="I282" s="19">
        <f>IF($C282="","",ROUND(IF($G282="",1,$G282)*N($H282),2))</f>
        <v/>
      </c>
      <c r="J282" s="17">
        <f>IF($C282="","",IFERROR(VLOOKUP($C282,项目台账!$B:$C,2,0),"※项目不在项目台账里"))</f>
        <v/>
      </c>
      <c r="K282" s="13" t="n"/>
    </row>
    <row r="283">
      <c r="A283" s="17">
        <f>IF($C283="","",ROW()-3)</f>
        <v/>
      </c>
      <c r="B283" s="18" t="n"/>
      <c r="C283" s="13" t="n"/>
      <c r="D283" s="13" t="n"/>
      <c r="E283" s="13" t="n"/>
      <c r="F283" s="13" t="n"/>
      <c r="G283" s="20" t="n"/>
      <c r="H283" s="14" t="n"/>
      <c r="I283" s="19">
        <f>IF($C283="","",ROUND(IF($G283="",1,$G283)*N($H283),2))</f>
        <v/>
      </c>
      <c r="J283" s="17">
        <f>IF($C283="","",IFERROR(VLOOKUP($C283,项目台账!$B:$C,2,0),"※项目不在项目台账里"))</f>
        <v/>
      </c>
      <c r="K283" s="13" t="n"/>
    </row>
    <row r="284">
      <c r="A284" s="17">
        <f>IF($C284="","",ROW()-3)</f>
        <v/>
      </c>
      <c r="B284" s="18" t="n"/>
      <c r="C284" s="13" t="n"/>
      <c r="D284" s="13" t="n"/>
      <c r="E284" s="13" t="n"/>
      <c r="F284" s="13" t="n"/>
      <c r="G284" s="20" t="n"/>
      <c r="H284" s="14" t="n"/>
      <c r="I284" s="19">
        <f>IF($C284="","",ROUND(IF($G284="",1,$G284)*N($H284),2))</f>
        <v/>
      </c>
      <c r="J284" s="17">
        <f>IF($C284="","",IFERROR(VLOOKUP($C284,项目台账!$B:$C,2,0),"※项目不在项目台账里"))</f>
        <v/>
      </c>
      <c r="K284" s="13" t="n"/>
    </row>
    <row r="285">
      <c r="A285" s="17">
        <f>IF($C285="","",ROW()-3)</f>
        <v/>
      </c>
      <c r="B285" s="18" t="n"/>
      <c r="C285" s="13" t="n"/>
      <c r="D285" s="13" t="n"/>
      <c r="E285" s="13" t="n"/>
      <c r="F285" s="13" t="n"/>
      <c r="G285" s="20" t="n"/>
      <c r="H285" s="14" t="n"/>
      <c r="I285" s="19">
        <f>IF($C285="","",ROUND(IF($G285="",1,$G285)*N($H285),2))</f>
        <v/>
      </c>
      <c r="J285" s="17">
        <f>IF($C285="","",IFERROR(VLOOKUP($C285,项目台账!$B:$C,2,0),"※项目不在项目台账里"))</f>
        <v/>
      </c>
      <c r="K285" s="13" t="n"/>
    </row>
    <row r="286">
      <c r="A286" s="17">
        <f>IF($C286="","",ROW()-3)</f>
        <v/>
      </c>
      <c r="B286" s="18" t="n"/>
      <c r="C286" s="13" t="n"/>
      <c r="D286" s="13" t="n"/>
      <c r="E286" s="13" t="n"/>
      <c r="F286" s="13" t="n"/>
      <c r="G286" s="20" t="n"/>
      <c r="H286" s="14" t="n"/>
      <c r="I286" s="19">
        <f>IF($C286="","",ROUND(IF($G286="",1,$G286)*N($H286),2))</f>
        <v/>
      </c>
      <c r="J286" s="17">
        <f>IF($C286="","",IFERROR(VLOOKUP($C286,项目台账!$B:$C,2,0),"※项目不在项目台账里"))</f>
        <v/>
      </c>
      <c r="K286" s="13" t="n"/>
    </row>
    <row r="287">
      <c r="A287" s="17">
        <f>IF($C287="","",ROW()-3)</f>
        <v/>
      </c>
      <c r="B287" s="18" t="n"/>
      <c r="C287" s="13" t="n"/>
      <c r="D287" s="13" t="n"/>
      <c r="E287" s="13" t="n"/>
      <c r="F287" s="13" t="n"/>
      <c r="G287" s="20" t="n"/>
      <c r="H287" s="14" t="n"/>
      <c r="I287" s="19">
        <f>IF($C287="","",ROUND(IF($G287="",1,$G287)*N($H287),2))</f>
        <v/>
      </c>
      <c r="J287" s="17">
        <f>IF($C287="","",IFERROR(VLOOKUP($C287,项目台账!$B:$C,2,0),"※项目不在项目台账里"))</f>
        <v/>
      </c>
      <c r="K287" s="13" t="n"/>
    </row>
    <row r="288">
      <c r="A288" s="17">
        <f>IF($C288="","",ROW()-3)</f>
        <v/>
      </c>
      <c r="B288" s="18" t="n"/>
      <c r="C288" s="13" t="n"/>
      <c r="D288" s="13" t="n"/>
      <c r="E288" s="13" t="n"/>
      <c r="F288" s="13" t="n"/>
      <c r="G288" s="20" t="n"/>
      <c r="H288" s="14" t="n"/>
      <c r="I288" s="19">
        <f>IF($C288="","",ROUND(IF($G288="",1,$G288)*N($H288),2))</f>
        <v/>
      </c>
      <c r="J288" s="17">
        <f>IF($C288="","",IFERROR(VLOOKUP($C288,项目台账!$B:$C,2,0),"※项目不在项目台账里"))</f>
        <v/>
      </c>
      <c r="K288" s="13" t="n"/>
    </row>
    <row r="289">
      <c r="A289" s="17">
        <f>IF($C289="","",ROW()-3)</f>
        <v/>
      </c>
      <c r="B289" s="18" t="n"/>
      <c r="C289" s="13" t="n"/>
      <c r="D289" s="13" t="n"/>
      <c r="E289" s="13" t="n"/>
      <c r="F289" s="13" t="n"/>
      <c r="G289" s="20" t="n"/>
      <c r="H289" s="14" t="n"/>
      <c r="I289" s="19">
        <f>IF($C289="","",ROUND(IF($G289="",1,$G289)*N($H289),2))</f>
        <v/>
      </c>
      <c r="J289" s="17">
        <f>IF($C289="","",IFERROR(VLOOKUP($C289,项目台账!$B:$C,2,0),"※项目不在项目台账里"))</f>
        <v/>
      </c>
      <c r="K289" s="13" t="n"/>
    </row>
    <row r="290">
      <c r="A290" s="17">
        <f>IF($C290="","",ROW()-3)</f>
        <v/>
      </c>
      <c r="B290" s="18" t="n"/>
      <c r="C290" s="13" t="n"/>
      <c r="D290" s="13" t="n"/>
      <c r="E290" s="13" t="n"/>
      <c r="F290" s="13" t="n"/>
      <c r="G290" s="20" t="n"/>
      <c r="H290" s="14" t="n"/>
      <c r="I290" s="19">
        <f>IF($C290="","",ROUND(IF($G290="",1,$G290)*N($H290),2))</f>
        <v/>
      </c>
      <c r="J290" s="17">
        <f>IF($C290="","",IFERROR(VLOOKUP($C290,项目台账!$B:$C,2,0),"※项目不在项目台账里"))</f>
        <v/>
      </c>
      <c r="K290" s="13" t="n"/>
    </row>
    <row r="291">
      <c r="A291" s="17">
        <f>IF($C291="","",ROW()-3)</f>
        <v/>
      </c>
      <c r="B291" s="18" t="n"/>
      <c r="C291" s="13" t="n"/>
      <c r="D291" s="13" t="n"/>
      <c r="E291" s="13" t="n"/>
      <c r="F291" s="13" t="n"/>
      <c r="G291" s="20" t="n"/>
      <c r="H291" s="14" t="n"/>
      <c r="I291" s="19">
        <f>IF($C291="","",ROUND(IF($G291="",1,$G291)*N($H291),2))</f>
        <v/>
      </c>
      <c r="J291" s="17">
        <f>IF($C291="","",IFERROR(VLOOKUP($C291,项目台账!$B:$C,2,0),"※项目不在项目台账里"))</f>
        <v/>
      </c>
      <c r="K291" s="13" t="n"/>
    </row>
    <row r="292">
      <c r="A292" s="17">
        <f>IF($C292="","",ROW()-3)</f>
        <v/>
      </c>
      <c r="B292" s="18" t="n"/>
      <c r="C292" s="13" t="n"/>
      <c r="D292" s="13" t="n"/>
      <c r="E292" s="13" t="n"/>
      <c r="F292" s="13" t="n"/>
      <c r="G292" s="20" t="n"/>
      <c r="H292" s="14" t="n"/>
      <c r="I292" s="19">
        <f>IF($C292="","",ROUND(IF($G292="",1,$G292)*N($H292),2))</f>
        <v/>
      </c>
      <c r="J292" s="17">
        <f>IF($C292="","",IFERROR(VLOOKUP($C292,项目台账!$B:$C,2,0),"※项目不在项目台账里"))</f>
        <v/>
      </c>
      <c r="K292" s="13" t="n"/>
    </row>
    <row r="293">
      <c r="A293" s="17">
        <f>IF($C293="","",ROW()-3)</f>
        <v/>
      </c>
      <c r="B293" s="18" t="n"/>
      <c r="C293" s="13" t="n"/>
      <c r="D293" s="13" t="n"/>
      <c r="E293" s="13" t="n"/>
      <c r="F293" s="13" t="n"/>
      <c r="G293" s="20" t="n"/>
      <c r="H293" s="14" t="n"/>
      <c r="I293" s="19">
        <f>IF($C293="","",ROUND(IF($G293="",1,$G293)*N($H293),2))</f>
        <v/>
      </c>
      <c r="J293" s="17">
        <f>IF($C293="","",IFERROR(VLOOKUP($C293,项目台账!$B:$C,2,0),"※项目不在项目台账里"))</f>
        <v/>
      </c>
      <c r="K293" s="13" t="n"/>
    </row>
    <row r="294">
      <c r="A294" s="17">
        <f>IF($C294="","",ROW()-3)</f>
        <v/>
      </c>
      <c r="B294" s="18" t="n"/>
      <c r="C294" s="13" t="n"/>
      <c r="D294" s="13" t="n"/>
      <c r="E294" s="13" t="n"/>
      <c r="F294" s="13" t="n"/>
      <c r="G294" s="20" t="n"/>
      <c r="H294" s="14" t="n"/>
      <c r="I294" s="19">
        <f>IF($C294="","",ROUND(IF($G294="",1,$G294)*N($H294),2))</f>
        <v/>
      </c>
      <c r="J294" s="17">
        <f>IF($C294="","",IFERROR(VLOOKUP($C294,项目台账!$B:$C,2,0),"※项目不在项目台账里"))</f>
        <v/>
      </c>
      <c r="K294" s="13" t="n"/>
    </row>
    <row r="295">
      <c r="A295" s="17">
        <f>IF($C295="","",ROW()-3)</f>
        <v/>
      </c>
      <c r="B295" s="18" t="n"/>
      <c r="C295" s="13" t="n"/>
      <c r="D295" s="13" t="n"/>
      <c r="E295" s="13" t="n"/>
      <c r="F295" s="13" t="n"/>
      <c r="G295" s="20" t="n"/>
      <c r="H295" s="14" t="n"/>
      <c r="I295" s="19">
        <f>IF($C295="","",ROUND(IF($G295="",1,$G295)*N($H295),2))</f>
        <v/>
      </c>
      <c r="J295" s="17">
        <f>IF($C295="","",IFERROR(VLOOKUP($C295,项目台账!$B:$C,2,0),"※项目不在项目台账里"))</f>
        <v/>
      </c>
      <c r="K295" s="13" t="n"/>
    </row>
    <row r="296">
      <c r="A296" s="17">
        <f>IF($C296="","",ROW()-3)</f>
        <v/>
      </c>
      <c r="B296" s="18" t="n"/>
      <c r="C296" s="13" t="n"/>
      <c r="D296" s="13" t="n"/>
      <c r="E296" s="13" t="n"/>
      <c r="F296" s="13" t="n"/>
      <c r="G296" s="20" t="n"/>
      <c r="H296" s="14" t="n"/>
      <c r="I296" s="19">
        <f>IF($C296="","",ROUND(IF($G296="",1,$G296)*N($H296),2))</f>
        <v/>
      </c>
      <c r="J296" s="17">
        <f>IF($C296="","",IFERROR(VLOOKUP($C296,项目台账!$B:$C,2,0),"※项目不在项目台账里"))</f>
        <v/>
      </c>
      <c r="K296" s="13" t="n"/>
    </row>
    <row r="297">
      <c r="A297" s="17">
        <f>IF($C297="","",ROW()-3)</f>
        <v/>
      </c>
      <c r="B297" s="18" t="n"/>
      <c r="C297" s="13" t="n"/>
      <c r="D297" s="13" t="n"/>
      <c r="E297" s="13" t="n"/>
      <c r="F297" s="13" t="n"/>
      <c r="G297" s="20" t="n"/>
      <c r="H297" s="14" t="n"/>
      <c r="I297" s="19">
        <f>IF($C297="","",ROUND(IF($G297="",1,$G297)*N($H297),2))</f>
        <v/>
      </c>
      <c r="J297" s="17">
        <f>IF($C297="","",IFERROR(VLOOKUP($C297,项目台账!$B:$C,2,0),"※项目不在项目台账里"))</f>
        <v/>
      </c>
      <c r="K297" s="13" t="n"/>
    </row>
    <row r="298">
      <c r="A298" s="17">
        <f>IF($C298="","",ROW()-3)</f>
        <v/>
      </c>
      <c r="B298" s="18" t="n"/>
      <c r="C298" s="13" t="n"/>
      <c r="D298" s="13" t="n"/>
      <c r="E298" s="13" t="n"/>
      <c r="F298" s="13" t="n"/>
      <c r="G298" s="20" t="n"/>
      <c r="H298" s="14" t="n"/>
      <c r="I298" s="19">
        <f>IF($C298="","",ROUND(IF($G298="",1,$G298)*N($H298),2))</f>
        <v/>
      </c>
      <c r="J298" s="17">
        <f>IF($C298="","",IFERROR(VLOOKUP($C298,项目台账!$B:$C,2,0),"※项目不在项目台账里"))</f>
        <v/>
      </c>
      <c r="K298" s="13" t="n"/>
    </row>
    <row r="299">
      <c r="A299" s="17">
        <f>IF($C299="","",ROW()-3)</f>
        <v/>
      </c>
      <c r="B299" s="18" t="n"/>
      <c r="C299" s="13" t="n"/>
      <c r="D299" s="13" t="n"/>
      <c r="E299" s="13" t="n"/>
      <c r="F299" s="13" t="n"/>
      <c r="G299" s="20" t="n"/>
      <c r="H299" s="14" t="n"/>
      <c r="I299" s="19">
        <f>IF($C299="","",ROUND(IF($G299="",1,$G299)*N($H299),2))</f>
        <v/>
      </c>
      <c r="J299" s="17">
        <f>IF($C299="","",IFERROR(VLOOKUP($C299,项目台账!$B:$C,2,0),"※项目不在项目台账里"))</f>
        <v/>
      </c>
      <c r="K299" s="13" t="n"/>
    </row>
    <row r="300">
      <c r="A300" s="17">
        <f>IF($C300="","",ROW()-3)</f>
        <v/>
      </c>
      <c r="B300" s="18" t="n"/>
      <c r="C300" s="13" t="n"/>
      <c r="D300" s="13" t="n"/>
      <c r="E300" s="13" t="n"/>
      <c r="F300" s="13" t="n"/>
      <c r="G300" s="20" t="n"/>
      <c r="H300" s="14" t="n"/>
      <c r="I300" s="19">
        <f>IF($C300="","",ROUND(IF($G300="",1,$G300)*N($H300),2))</f>
        <v/>
      </c>
      <c r="J300" s="17">
        <f>IF($C300="","",IFERROR(VLOOKUP($C300,项目台账!$B:$C,2,0),"※项目不在项目台账里"))</f>
        <v/>
      </c>
      <c r="K300" s="13" t="n"/>
    </row>
    <row r="301">
      <c r="A301" s="17">
        <f>IF($C301="","",ROW()-3)</f>
        <v/>
      </c>
      <c r="B301" s="18" t="n"/>
      <c r="C301" s="13" t="n"/>
      <c r="D301" s="13" t="n"/>
      <c r="E301" s="13" t="n"/>
      <c r="F301" s="13" t="n"/>
      <c r="G301" s="20" t="n"/>
      <c r="H301" s="14" t="n"/>
      <c r="I301" s="19">
        <f>IF($C301="","",ROUND(IF($G301="",1,$G301)*N($H301),2))</f>
        <v/>
      </c>
      <c r="J301" s="17">
        <f>IF($C301="","",IFERROR(VLOOKUP($C301,项目台账!$B:$C,2,0),"※项目不在项目台账里"))</f>
        <v/>
      </c>
      <c r="K301" s="13" t="n"/>
    </row>
    <row r="302">
      <c r="A302" s="17">
        <f>IF($C302="","",ROW()-3)</f>
        <v/>
      </c>
      <c r="B302" s="18" t="n"/>
      <c r="C302" s="13" t="n"/>
      <c r="D302" s="13" t="n"/>
      <c r="E302" s="13" t="n"/>
      <c r="F302" s="13" t="n"/>
      <c r="G302" s="20" t="n"/>
      <c r="H302" s="14" t="n"/>
      <c r="I302" s="19">
        <f>IF($C302="","",ROUND(IF($G302="",1,$G302)*N($H302),2))</f>
        <v/>
      </c>
      <c r="J302" s="17">
        <f>IF($C302="","",IFERROR(VLOOKUP($C302,项目台账!$B:$C,2,0),"※项目不在项目台账里"))</f>
        <v/>
      </c>
      <c r="K302" s="13" t="n"/>
    </row>
    <row r="303">
      <c r="A303" s="17">
        <f>IF($C303="","",ROW()-3)</f>
        <v/>
      </c>
      <c r="B303" s="18" t="n"/>
      <c r="C303" s="13" t="n"/>
      <c r="D303" s="13" t="n"/>
      <c r="E303" s="13" t="n"/>
      <c r="F303" s="13" t="n"/>
      <c r="G303" s="20" t="n"/>
      <c r="H303" s="14" t="n"/>
      <c r="I303" s="19">
        <f>IF($C303="","",ROUND(IF($G303="",1,$G303)*N($H303),2))</f>
        <v/>
      </c>
      <c r="J303" s="17">
        <f>IF($C303="","",IFERROR(VLOOKUP($C303,项目台账!$B:$C,2,0),"※项目不在项目台账里"))</f>
        <v/>
      </c>
      <c r="K303" s="13" t="n"/>
    </row>
    <row r="304">
      <c r="A304" s="17">
        <f>IF($C304="","",ROW()-3)</f>
        <v/>
      </c>
      <c r="B304" s="18" t="n"/>
      <c r="C304" s="13" t="n"/>
      <c r="D304" s="13" t="n"/>
      <c r="E304" s="13" t="n"/>
      <c r="F304" s="13" t="n"/>
      <c r="G304" s="20" t="n"/>
      <c r="H304" s="14" t="n"/>
      <c r="I304" s="19">
        <f>IF($C304="","",ROUND(IF($G304="",1,$G304)*N($H304),2))</f>
        <v/>
      </c>
      <c r="J304" s="17">
        <f>IF($C304="","",IFERROR(VLOOKUP($C304,项目台账!$B:$C,2,0),"※项目不在项目台账里"))</f>
        <v/>
      </c>
      <c r="K304" s="13" t="n"/>
    </row>
    <row r="305">
      <c r="A305" s="17">
        <f>IF($C305="","",ROW()-3)</f>
        <v/>
      </c>
      <c r="B305" s="18" t="n"/>
      <c r="C305" s="13" t="n"/>
      <c r="D305" s="13" t="n"/>
      <c r="E305" s="13" t="n"/>
      <c r="F305" s="13" t="n"/>
      <c r="G305" s="20" t="n"/>
      <c r="H305" s="14" t="n"/>
      <c r="I305" s="19">
        <f>IF($C305="","",ROUND(IF($G305="",1,$G305)*N($H305),2))</f>
        <v/>
      </c>
      <c r="J305" s="17">
        <f>IF($C305="","",IFERROR(VLOOKUP($C305,项目台账!$B:$C,2,0),"※项目不在项目台账里"))</f>
        <v/>
      </c>
      <c r="K305" s="13" t="n"/>
    </row>
    <row r="306">
      <c r="A306" s="17">
        <f>IF($C306="","",ROW()-3)</f>
        <v/>
      </c>
      <c r="B306" s="18" t="n"/>
      <c r="C306" s="13" t="n"/>
      <c r="D306" s="13" t="n"/>
      <c r="E306" s="13" t="n"/>
      <c r="F306" s="13" t="n"/>
      <c r="G306" s="20" t="n"/>
      <c r="H306" s="14" t="n"/>
      <c r="I306" s="19">
        <f>IF($C306="","",ROUND(IF($G306="",1,$G306)*N($H306),2))</f>
        <v/>
      </c>
      <c r="J306" s="17">
        <f>IF($C306="","",IFERROR(VLOOKUP($C306,项目台账!$B:$C,2,0),"※项目不在项目台账里"))</f>
        <v/>
      </c>
      <c r="K306" s="13" t="n"/>
    </row>
    <row r="307">
      <c r="A307" s="17">
        <f>IF($C307="","",ROW()-3)</f>
        <v/>
      </c>
      <c r="B307" s="18" t="n"/>
      <c r="C307" s="13" t="n"/>
      <c r="D307" s="13" t="n"/>
      <c r="E307" s="13" t="n"/>
      <c r="F307" s="13" t="n"/>
      <c r="G307" s="20" t="n"/>
      <c r="H307" s="14" t="n"/>
      <c r="I307" s="19">
        <f>IF($C307="","",ROUND(IF($G307="",1,$G307)*N($H307),2))</f>
        <v/>
      </c>
      <c r="J307" s="17">
        <f>IF($C307="","",IFERROR(VLOOKUP($C307,项目台账!$B:$C,2,0),"※项目不在项目台账里"))</f>
        <v/>
      </c>
      <c r="K307" s="13" t="n"/>
    </row>
    <row r="308">
      <c r="A308" s="17">
        <f>IF($C308="","",ROW()-3)</f>
        <v/>
      </c>
      <c r="B308" s="18" t="n"/>
      <c r="C308" s="13" t="n"/>
      <c r="D308" s="13" t="n"/>
      <c r="E308" s="13" t="n"/>
      <c r="F308" s="13" t="n"/>
      <c r="G308" s="20" t="n"/>
      <c r="H308" s="14" t="n"/>
      <c r="I308" s="19">
        <f>IF($C308="","",ROUND(IF($G308="",1,$G308)*N($H308),2))</f>
        <v/>
      </c>
      <c r="J308" s="17">
        <f>IF($C308="","",IFERROR(VLOOKUP($C308,项目台账!$B:$C,2,0),"※项目不在项目台账里"))</f>
        <v/>
      </c>
      <c r="K308" s="13" t="n"/>
    </row>
    <row r="309">
      <c r="A309" s="17">
        <f>IF($C309="","",ROW()-3)</f>
        <v/>
      </c>
      <c r="B309" s="18" t="n"/>
      <c r="C309" s="13" t="n"/>
      <c r="D309" s="13" t="n"/>
      <c r="E309" s="13" t="n"/>
      <c r="F309" s="13" t="n"/>
      <c r="G309" s="20" t="n"/>
      <c r="H309" s="14" t="n"/>
      <c r="I309" s="19">
        <f>IF($C309="","",ROUND(IF($G309="",1,$G309)*N($H309),2))</f>
        <v/>
      </c>
      <c r="J309" s="17">
        <f>IF($C309="","",IFERROR(VLOOKUP($C309,项目台账!$B:$C,2,0),"※项目不在项目台账里"))</f>
        <v/>
      </c>
      <c r="K309" s="13" t="n"/>
    </row>
    <row r="310">
      <c r="A310" s="17">
        <f>IF($C310="","",ROW()-3)</f>
        <v/>
      </c>
      <c r="B310" s="18" t="n"/>
      <c r="C310" s="13" t="n"/>
      <c r="D310" s="13" t="n"/>
      <c r="E310" s="13" t="n"/>
      <c r="F310" s="13" t="n"/>
      <c r="G310" s="20" t="n"/>
      <c r="H310" s="14" t="n"/>
      <c r="I310" s="19">
        <f>IF($C310="","",ROUND(IF($G310="",1,$G310)*N($H310),2))</f>
        <v/>
      </c>
      <c r="J310" s="17">
        <f>IF($C310="","",IFERROR(VLOOKUP($C310,项目台账!$B:$C,2,0),"※项目不在项目台账里"))</f>
        <v/>
      </c>
      <c r="K310" s="13" t="n"/>
    </row>
    <row r="311">
      <c r="A311" s="17">
        <f>IF($C311="","",ROW()-3)</f>
        <v/>
      </c>
      <c r="B311" s="18" t="n"/>
      <c r="C311" s="13" t="n"/>
      <c r="D311" s="13" t="n"/>
      <c r="E311" s="13" t="n"/>
      <c r="F311" s="13" t="n"/>
      <c r="G311" s="20" t="n"/>
      <c r="H311" s="14" t="n"/>
      <c r="I311" s="19">
        <f>IF($C311="","",ROUND(IF($G311="",1,$G311)*N($H311),2))</f>
        <v/>
      </c>
      <c r="J311" s="17">
        <f>IF($C311="","",IFERROR(VLOOKUP($C311,项目台账!$B:$C,2,0),"※项目不在项目台账里"))</f>
        <v/>
      </c>
      <c r="K311" s="13" t="n"/>
    </row>
    <row r="312">
      <c r="A312" s="17">
        <f>IF($C312="","",ROW()-3)</f>
        <v/>
      </c>
      <c r="B312" s="18" t="n"/>
      <c r="C312" s="13" t="n"/>
      <c r="D312" s="13" t="n"/>
      <c r="E312" s="13" t="n"/>
      <c r="F312" s="13" t="n"/>
      <c r="G312" s="20" t="n"/>
      <c r="H312" s="14" t="n"/>
      <c r="I312" s="19">
        <f>IF($C312="","",ROUND(IF($G312="",1,$G312)*N($H312),2))</f>
        <v/>
      </c>
      <c r="J312" s="17">
        <f>IF($C312="","",IFERROR(VLOOKUP($C312,项目台账!$B:$C,2,0),"※项目不在项目台账里"))</f>
        <v/>
      </c>
      <c r="K312" s="13" t="n"/>
    </row>
    <row r="313">
      <c r="A313" s="17">
        <f>IF($C313="","",ROW()-3)</f>
        <v/>
      </c>
      <c r="B313" s="18" t="n"/>
      <c r="C313" s="13" t="n"/>
      <c r="D313" s="13" t="n"/>
      <c r="E313" s="13" t="n"/>
      <c r="F313" s="13" t="n"/>
      <c r="G313" s="20" t="n"/>
      <c r="H313" s="14" t="n"/>
      <c r="I313" s="19">
        <f>IF($C313="","",ROUND(IF($G313="",1,$G313)*N($H313),2))</f>
        <v/>
      </c>
      <c r="J313" s="17">
        <f>IF($C313="","",IFERROR(VLOOKUP($C313,项目台账!$B:$C,2,0),"※项目不在项目台账里"))</f>
        <v/>
      </c>
      <c r="K313" s="13" t="n"/>
    </row>
    <row r="314">
      <c r="A314" s="17">
        <f>IF($C314="","",ROW()-3)</f>
        <v/>
      </c>
      <c r="B314" s="18" t="n"/>
      <c r="C314" s="13" t="n"/>
      <c r="D314" s="13" t="n"/>
      <c r="E314" s="13" t="n"/>
      <c r="F314" s="13" t="n"/>
      <c r="G314" s="20" t="n"/>
      <c r="H314" s="14" t="n"/>
      <c r="I314" s="19">
        <f>IF($C314="","",ROUND(IF($G314="",1,$G314)*N($H314),2))</f>
        <v/>
      </c>
      <c r="J314" s="17">
        <f>IF($C314="","",IFERROR(VLOOKUP($C314,项目台账!$B:$C,2,0),"※项目不在项目台账里"))</f>
        <v/>
      </c>
      <c r="K314" s="13" t="n"/>
    </row>
    <row r="315">
      <c r="A315" s="17">
        <f>IF($C315="","",ROW()-3)</f>
        <v/>
      </c>
      <c r="B315" s="18" t="n"/>
      <c r="C315" s="13" t="n"/>
      <c r="D315" s="13" t="n"/>
      <c r="E315" s="13" t="n"/>
      <c r="F315" s="13" t="n"/>
      <c r="G315" s="20" t="n"/>
      <c r="H315" s="14" t="n"/>
      <c r="I315" s="19">
        <f>IF($C315="","",ROUND(IF($G315="",1,$G315)*N($H315),2))</f>
        <v/>
      </c>
      <c r="J315" s="17">
        <f>IF($C315="","",IFERROR(VLOOKUP($C315,项目台账!$B:$C,2,0),"※项目不在项目台账里"))</f>
        <v/>
      </c>
      <c r="K315" s="13" t="n"/>
    </row>
    <row r="316">
      <c r="A316" s="17">
        <f>IF($C316="","",ROW()-3)</f>
        <v/>
      </c>
      <c r="B316" s="18" t="n"/>
      <c r="C316" s="13" t="n"/>
      <c r="D316" s="13" t="n"/>
      <c r="E316" s="13" t="n"/>
      <c r="F316" s="13" t="n"/>
      <c r="G316" s="20" t="n"/>
      <c r="H316" s="14" t="n"/>
      <c r="I316" s="19">
        <f>IF($C316="","",ROUND(IF($G316="",1,$G316)*N($H316),2))</f>
        <v/>
      </c>
      <c r="J316" s="17">
        <f>IF($C316="","",IFERROR(VLOOKUP($C316,项目台账!$B:$C,2,0),"※项目不在项目台账里"))</f>
        <v/>
      </c>
      <c r="K316" s="13" t="n"/>
    </row>
    <row r="317">
      <c r="A317" s="17">
        <f>IF($C317="","",ROW()-3)</f>
        <v/>
      </c>
      <c r="B317" s="18" t="n"/>
      <c r="C317" s="13" t="n"/>
      <c r="D317" s="13" t="n"/>
      <c r="E317" s="13" t="n"/>
      <c r="F317" s="13" t="n"/>
      <c r="G317" s="20" t="n"/>
      <c r="H317" s="14" t="n"/>
      <c r="I317" s="19">
        <f>IF($C317="","",ROUND(IF($G317="",1,$G317)*N($H317),2))</f>
        <v/>
      </c>
      <c r="J317" s="17">
        <f>IF($C317="","",IFERROR(VLOOKUP($C317,项目台账!$B:$C,2,0),"※项目不在项目台账里"))</f>
        <v/>
      </c>
      <c r="K317" s="13" t="n"/>
    </row>
    <row r="318">
      <c r="A318" s="17">
        <f>IF($C318="","",ROW()-3)</f>
        <v/>
      </c>
      <c r="B318" s="18" t="n"/>
      <c r="C318" s="13" t="n"/>
      <c r="D318" s="13" t="n"/>
      <c r="E318" s="13" t="n"/>
      <c r="F318" s="13" t="n"/>
      <c r="G318" s="20" t="n"/>
      <c r="H318" s="14" t="n"/>
      <c r="I318" s="19">
        <f>IF($C318="","",ROUND(IF($G318="",1,$G318)*N($H318),2))</f>
        <v/>
      </c>
      <c r="J318" s="17">
        <f>IF($C318="","",IFERROR(VLOOKUP($C318,项目台账!$B:$C,2,0),"※项目不在项目台账里"))</f>
        <v/>
      </c>
      <c r="K318" s="13" t="n"/>
    </row>
    <row r="319">
      <c r="A319" s="17">
        <f>IF($C319="","",ROW()-3)</f>
        <v/>
      </c>
      <c r="B319" s="18" t="n"/>
      <c r="C319" s="13" t="n"/>
      <c r="D319" s="13" t="n"/>
      <c r="E319" s="13" t="n"/>
      <c r="F319" s="13" t="n"/>
      <c r="G319" s="20" t="n"/>
      <c r="H319" s="14" t="n"/>
      <c r="I319" s="19">
        <f>IF($C319="","",ROUND(IF($G319="",1,$G319)*N($H319),2))</f>
        <v/>
      </c>
      <c r="J319" s="17">
        <f>IF($C319="","",IFERROR(VLOOKUP($C319,项目台账!$B:$C,2,0),"※项目不在项目台账里"))</f>
        <v/>
      </c>
      <c r="K319" s="13" t="n"/>
    </row>
    <row r="320">
      <c r="A320" s="17">
        <f>IF($C320="","",ROW()-3)</f>
        <v/>
      </c>
      <c r="B320" s="18" t="n"/>
      <c r="C320" s="13" t="n"/>
      <c r="D320" s="13" t="n"/>
      <c r="E320" s="13" t="n"/>
      <c r="F320" s="13" t="n"/>
      <c r="G320" s="20" t="n"/>
      <c r="H320" s="14" t="n"/>
      <c r="I320" s="19">
        <f>IF($C320="","",ROUND(IF($G320="",1,$G320)*N($H320),2))</f>
        <v/>
      </c>
      <c r="J320" s="17">
        <f>IF($C320="","",IFERROR(VLOOKUP($C320,项目台账!$B:$C,2,0),"※项目不在项目台账里"))</f>
        <v/>
      </c>
      <c r="K320" s="13" t="n"/>
    </row>
    <row r="321">
      <c r="A321" s="17">
        <f>IF($C321="","",ROW()-3)</f>
        <v/>
      </c>
      <c r="B321" s="18" t="n"/>
      <c r="C321" s="13" t="n"/>
      <c r="D321" s="13" t="n"/>
      <c r="E321" s="13" t="n"/>
      <c r="F321" s="13" t="n"/>
      <c r="G321" s="20" t="n"/>
      <c r="H321" s="14" t="n"/>
      <c r="I321" s="19">
        <f>IF($C321="","",ROUND(IF($G321="",1,$G321)*N($H321),2))</f>
        <v/>
      </c>
      <c r="J321" s="17">
        <f>IF($C321="","",IFERROR(VLOOKUP($C321,项目台账!$B:$C,2,0),"※项目不在项目台账里"))</f>
        <v/>
      </c>
      <c r="K321" s="13" t="n"/>
    </row>
    <row r="322">
      <c r="A322" s="17">
        <f>IF($C322="","",ROW()-3)</f>
        <v/>
      </c>
      <c r="B322" s="18" t="n"/>
      <c r="C322" s="13" t="n"/>
      <c r="D322" s="13" t="n"/>
      <c r="E322" s="13" t="n"/>
      <c r="F322" s="13" t="n"/>
      <c r="G322" s="20" t="n"/>
      <c r="H322" s="14" t="n"/>
      <c r="I322" s="19">
        <f>IF($C322="","",ROUND(IF($G322="",1,$G322)*N($H322),2))</f>
        <v/>
      </c>
      <c r="J322" s="17">
        <f>IF($C322="","",IFERROR(VLOOKUP($C322,项目台账!$B:$C,2,0),"※项目不在项目台账里"))</f>
        <v/>
      </c>
      <c r="K322" s="13" t="n"/>
    </row>
    <row r="323">
      <c r="A323" s="17">
        <f>IF($C323="","",ROW()-3)</f>
        <v/>
      </c>
      <c r="B323" s="18" t="n"/>
      <c r="C323" s="13" t="n"/>
      <c r="D323" s="13" t="n"/>
      <c r="E323" s="13" t="n"/>
      <c r="F323" s="13" t="n"/>
      <c r="G323" s="20" t="n"/>
      <c r="H323" s="14" t="n"/>
      <c r="I323" s="19">
        <f>IF($C323="","",ROUND(IF($G323="",1,$G323)*N($H323),2))</f>
        <v/>
      </c>
      <c r="J323" s="17">
        <f>IF($C323="","",IFERROR(VLOOKUP($C323,项目台账!$B:$C,2,0),"※项目不在项目台账里"))</f>
        <v/>
      </c>
      <c r="K323" s="13" t="n"/>
    </row>
    <row r="324">
      <c r="A324" s="17">
        <f>IF($C324="","",ROW()-3)</f>
        <v/>
      </c>
      <c r="B324" s="18" t="n"/>
      <c r="C324" s="13" t="n"/>
      <c r="D324" s="13" t="n"/>
      <c r="E324" s="13" t="n"/>
      <c r="F324" s="13" t="n"/>
      <c r="G324" s="20" t="n"/>
      <c r="H324" s="14" t="n"/>
      <c r="I324" s="19">
        <f>IF($C324="","",ROUND(IF($G324="",1,$G324)*N($H324),2))</f>
        <v/>
      </c>
      <c r="J324" s="17">
        <f>IF($C324="","",IFERROR(VLOOKUP($C324,项目台账!$B:$C,2,0),"※项目不在项目台账里"))</f>
        <v/>
      </c>
      <c r="K324" s="13" t="n"/>
    </row>
    <row r="325">
      <c r="A325" s="17">
        <f>IF($C325="","",ROW()-3)</f>
        <v/>
      </c>
      <c r="B325" s="18" t="n"/>
      <c r="C325" s="13" t="n"/>
      <c r="D325" s="13" t="n"/>
      <c r="E325" s="13" t="n"/>
      <c r="F325" s="13" t="n"/>
      <c r="G325" s="20" t="n"/>
      <c r="H325" s="14" t="n"/>
      <c r="I325" s="19">
        <f>IF($C325="","",ROUND(IF($G325="",1,$G325)*N($H325),2))</f>
        <v/>
      </c>
      <c r="J325" s="17">
        <f>IF($C325="","",IFERROR(VLOOKUP($C325,项目台账!$B:$C,2,0),"※项目不在项目台账里"))</f>
        <v/>
      </c>
      <c r="K325" s="13" t="n"/>
    </row>
    <row r="326">
      <c r="A326" s="17">
        <f>IF($C326="","",ROW()-3)</f>
        <v/>
      </c>
      <c r="B326" s="18" t="n"/>
      <c r="C326" s="13" t="n"/>
      <c r="D326" s="13" t="n"/>
      <c r="E326" s="13" t="n"/>
      <c r="F326" s="13" t="n"/>
      <c r="G326" s="20" t="n"/>
      <c r="H326" s="14" t="n"/>
      <c r="I326" s="19">
        <f>IF($C326="","",ROUND(IF($G326="",1,$G326)*N($H326),2))</f>
        <v/>
      </c>
      <c r="J326" s="17">
        <f>IF($C326="","",IFERROR(VLOOKUP($C326,项目台账!$B:$C,2,0),"※项目不在项目台账里"))</f>
        <v/>
      </c>
      <c r="K326" s="13" t="n"/>
    </row>
    <row r="327">
      <c r="A327" s="17">
        <f>IF($C327="","",ROW()-3)</f>
        <v/>
      </c>
      <c r="B327" s="18" t="n"/>
      <c r="C327" s="13" t="n"/>
      <c r="D327" s="13" t="n"/>
      <c r="E327" s="13" t="n"/>
      <c r="F327" s="13" t="n"/>
      <c r="G327" s="20" t="n"/>
      <c r="H327" s="14" t="n"/>
      <c r="I327" s="19">
        <f>IF($C327="","",ROUND(IF($G327="",1,$G327)*N($H327),2))</f>
        <v/>
      </c>
      <c r="J327" s="17">
        <f>IF($C327="","",IFERROR(VLOOKUP($C327,项目台账!$B:$C,2,0),"※项目不在项目台账里"))</f>
        <v/>
      </c>
      <c r="K327" s="13" t="n"/>
    </row>
    <row r="328">
      <c r="A328" s="17">
        <f>IF($C328="","",ROW()-3)</f>
        <v/>
      </c>
      <c r="B328" s="18" t="n"/>
      <c r="C328" s="13" t="n"/>
      <c r="D328" s="13" t="n"/>
      <c r="E328" s="13" t="n"/>
      <c r="F328" s="13" t="n"/>
      <c r="G328" s="20" t="n"/>
      <c r="H328" s="14" t="n"/>
      <c r="I328" s="19">
        <f>IF($C328="","",ROUND(IF($G328="",1,$G328)*N($H328),2))</f>
        <v/>
      </c>
      <c r="J328" s="17">
        <f>IF($C328="","",IFERROR(VLOOKUP($C328,项目台账!$B:$C,2,0),"※项目不在项目台账里"))</f>
        <v/>
      </c>
      <c r="K328" s="13" t="n"/>
    </row>
    <row r="329">
      <c r="A329" s="17">
        <f>IF($C329="","",ROW()-3)</f>
        <v/>
      </c>
      <c r="B329" s="18" t="n"/>
      <c r="C329" s="13" t="n"/>
      <c r="D329" s="13" t="n"/>
      <c r="E329" s="13" t="n"/>
      <c r="F329" s="13" t="n"/>
      <c r="G329" s="20" t="n"/>
      <c r="H329" s="14" t="n"/>
      <c r="I329" s="19">
        <f>IF($C329="","",ROUND(IF($G329="",1,$G329)*N($H329),2))</f>
        <v/>
      </c>
      <c r="J329" s="17">
        <f>IF($C329="","",IFERROR(VLOOKUP($C329,项目台账!$B:$C,2,0),"※项目不在项目台账里"))</f>
        <v/>
      </c>
      <c r="K329" s="13" t="n"/>
    </row>
    <row r="330">
      <c r="A330" s="17">
        <f>IF($C330="","",ROW()-3)</f>
        <v/>
      </c>
      <c r="B330" s="18" t="n"/>
      <c r="C330" s="13" t="n"/>
      <c r="D330" s="13" t="n"/>
      <c r="E330" s="13" t="n"/>
      <c r="F330" s="13" t="n"/>
      <c r="G330" s="20" t="n"/>
      <c r="H330" s="14" t="n"/>
      <c r="I330" s="19">
        <f>IF($C330="","",ROUND(IF($G330="",1,$G330)*N($H330),2))</f>
        <v/>
      </c>
      <c r="J330" s="17">
        <f>IF($C330="","",IFERROR(VLOOKUP($C330,项目台账!$B:$C,2,0),"※项目不在项目台账里"))</f>
        <v/>
      </c>
      <c r="K330" s="13" t="n"/>
    </row>
    <row r="331">
      <c r="A331" s="17">
        <f>IF($C331="","",ROW()-3)</f>
        <v/>
      </c>
      <c r="B331" s="18" t="n"/>
      <c r="C331" s="13" t="n"/>
      <c r="D331" s="13" t="n"/>
      <c r="E331" s="13" t="n"/>
      <c r="F331" s="13" t="n"/>
      <c r="G331" s="20" t="n"/>
      <c r="H331" s="14" t="n"/>
      <c r="I331" s="19">
        <f>IF($C331="","",ROUND(IF($G331="",1,$G331)*N($H331),2))</f>
        <v/>
      </c>
      <c r="J331" s="17">
        <f>IF($C331="","",IFERROR(VLOOKUP($C331,项目台账!$B:$C,2,0),"※项目不在项目台账里"))</f>
        <v/>
      </c>
      <c r="K331" s="13" t="n"/>
    </row>
    <row r="332">
      <c r="A332" s="17">
        <f>IF($C332="","",ROW()-3)</f>
        <v/>
      </c>
      <c r="B332" s="18" t="n"/>
      <c r="C332" s="13" t="n"/>
      <c r="D332" s="13" t="n"/>
      <c r="E332" s="13" t="n"/>
      <c r="F332" s="13" t="n"/>
      <c r="G332" s="20" t="n"/>
      <c r="H332" s="14" t="n"/>
      <c r="I332" s="19">
        <f>IF($C332="","",ROUND(IF($G332="",1,$G332)*N($H332),2))</f>
        <v/>
      </c>
      <c r="J332" s="17">
        <f>IF($C332="","",IFERROR(VLOOKUP($C332,项目台账!$B:$C,2,0),"※项目不在项目台账里"))</f>
        <v/>
      </c>
      <c r="K332" s="13" t="n"/>
    </row>
    <row r="333">
      <c r="A333" s="17">
        <f>IF($C333="","",ROW()-3)</f>
        <v/>
      </c>
      <c r="B333" s="18" t="n"/>
      <c r="C333" s="13" t="n"/>
      <c r="D333" s="13" t="n"/>
      <c r="E333" s="13" t="n"/>
      <c r="F333" s="13" t="n"/>
      <c r="G333" s="20" t="n"/>
      <c r="H333" s="14" t="n"/>
      <c r="I333" s="19">
        <f>IF($C333="","",ROUND(IF($G333="",1,$G333)*N($H333),2))</f>
        <v/>
      </c>
      <c r="J333" s="17">
        <f>IF($C333="","",IFERROR(VLOOKUP($C333,项目台账!$B:$C,2,0),"※项目不在项目台账里"))</f>
        <v/>
      </c>
      <c r="K333" s="13" t="n"/>
    </row>
    <row r="334">
      <c r="A334" s="17">
        <f>IF($C334="","",ROW()-3)</f>
        <v/>
      </c>
      <c r="B334" s="18" t="n"/>
      <c r="C334" s="13" t="n"/>
      <c r="D334" s="13" t="n"/>
      <c r="E334" s="13" t="n"/>
      <c r="F334" s="13" t="n"/>
      <c r="G334" s="20" t="n"/>
      <c r="H334" s="14" t="n"/>
      <c r="I334" s="19">
        <f>IF($C334="","",ROUND(IF($G334="",1,$G334)*N($H334),2))</f>
        <v/>
      </c>
      <c r="J334" s="17">
        <f>IF($C334="","",IFERROR(VLOOKUP($C334,项目台账!$B:$C,2,0),"※项目不在项目台账里"))</f>
        <v/>
      </c>
      <c r="K334" s="13" t="n"/>
    </row>
    <row r="335">
      <c r="A335" s="17">
        <f>IF($C335="","",ROW()-3)</f>
        <v/>
      </c>
      <c r="B335" s="18" t="n"/>
      <c r="C335" s="13" t="n"/>
      <c r="D335" s="13" t="n"/>
      <c r="E335" s="13" t="n"/>
      <c r="F335" s="13" t="n"/>
      <c r="G335" s="20" t="n"/>
      <c r="H335" s="14" t="n"/>
      <c r="I335" s="19">
        <f>IF($C335="","",ROUND(IF($G335="",1,$G335)*N($H335),2))</f>
        <v/>
      </c>
      <c r="J335" s="17">
        <f>IF($C335="","",IFERROR(VLOOKUP($C335,项目台账!$B:$C,2,0),"※项目不在项目台账里"))</f>
        <v/>
      </c>
      <c r="K335" s="13" t="n"/>
    </row>
    <row r="336">
      <c r="A336" s="17">
        <f>IF($C336="","",ROW()-3)</f>
        <v/>
      </c>
      <c r="B336" s="18" t="n"/>
      <c r="C336" s="13" t="n"/>
      <c r="D336" s="13" t="n"/>
      <c r="E336" s="13" t="n"/>
      <c r="F336" s="13" t="n"/>
      <c r="G336" s="20" t="n"/>
      <c r="H336" s="14" t="n"/>
      <c r="I336" s="19">
        <f>IF($C336="","",ROUND(IF($G336="",1,$G336)*N($H336),2))</f>
        <v/>
      </c>
      <c r="J336" s="17">
        <f>IF($C336="","",IFERROR(VLOOKUP($C336,项目台账!$B:$C,2,0),"※项目不在项目台账里"))</f>
        <v/>
      </c>
      <c r="K336" s="13" t="n"/>
    </row>
    <row r="337">
      <c r="A337" s="17">
        <f>IF($C337="","",ROW()-3)</f>
        <v/>
      </c>
      <c r="B337" s="18" t="n"/>
      <c r="C337" s="13" t="n"/>
      <c r="D337" s="13" t="n"/>
      <c r="E337" s="13" t="n"/>
      <c r="F337" s="13" t="n"/>
      <c r="G337" s="20" t="n"/>
      <c r="H337" s="14" t="n"/>
      <c r="I337" s="19">
        <f>IF($C337="","",ROUND(IF($G337="",1,$G337)*N($H337),2))</f>
        <v/>
      </c>
      <c r="J337" s="17">
        <f>IF($C337="","",IFERROR(VLOOKUP($C337,项目台账!$B:$C,2,0),"※项目不在项目台账里"))</f>
        <v/>
      </c>
      <c r="K337" s="13" t="n"/>
    </row>
    <row r="338">
      <c r="A338" s="17">
        <f>IF($C338="","",ROW()-3)</f>
        <v/>
      </c>
      <c r="B338" s="18" t="n"/>
      <c r="C338" s="13" t="n"/>
      <c r="D338" s="13" t="n"/>
      <c r="E338" s="13" t="n"/>
      <c r="F338" s="13" t="n"/>
      <c r="G338" s="20" t="n"/>
      <c r="H338" s="14" t="n"/>
      <c r="I338" s="19">
        <f>IF($C338="","",ROUND(IF($G338="",1,$G338)*N($H338),2))</f>
        <v/>
      </c>
      <c r="J338" s="17">
        <f>IF($C338="","",IFERROR(VLOOKUP($C338,项目台账!$B:$C,2,0),"※项目不在项目台账里"))</f>
        <v/>
      </c>
      <c r="K338" s="13" t="n"/>
    </row>
    <row r="339">
      <c r="A339" s="17">
        <f>IF($C339="","",ROW()-3)</f>
        <v/>
      </c>
      <c r="B339" s="18" t="n"/>
      <c r="C339" s="13" t="n"/>
      <c r="D339" s="13" t="n"/>
      <c r="E339" s="13" t="n"/>
      <c r="F339" s="13" t="n"/>
      <c r="G339" s="20" t="n"/>
      <c r="H339" s="14" t="n"/>
      <c r="I339" s="19">
        <f>IF($C339="","",ROUND(IF($G339="",1,$G339)*N($H339),2))</f>
        <v/>
      </c>
      <c r="J339" s="17">
        <f>IF($C339="","",IFERROR(VLOOKUP($C339,项目台账!$B:$C,2,0),"※项目不在项目台账里"))</f>
        <v/>
      </c>
      <c r="K339" s="13" t="n"/>
    </row>
    <row r="340">
      <c r="A340" s="17">
        <f>IF($C340="","",ROW()-3)</f>
        <v/>
      </c>
      <c r="B340" s="18" t="n"/>
      <c r="C340" s="13" t="n"/>
      <c r="D340" s="13" t="n"/>
      <c r="E340" s="13" t="n"/>
      <c r="F340" s="13" t="n"/>
      <c r="G340" s="20" t="n"/>
      <c r="H340" s="14" t="n"/>
      <c r="I340" s="19">
        <f>IF($C340="","",ROUND(IF($G340="",1,$G340)*N($H340),2))</f>
        <v/>
      </c>
      <c r="J340" s="17">
        <f>IF($C340="","",IFERROR(VLOOKUP($C340,项目台账!$B:$C,2,0),"※项目不在项目台账里"))</f>
        <v/>
      </c>
      <c r="K340" s="13" t="n"/>
    </row>
    <row r="341">
      <c r="A341" s="17">
        <f>IF($C341="","",ROW()-3)</f>
        <v/>
      </c>
      <c r="B341" s="18" t="n"/>
      <c r="C341" s="13" t="n"/>
      <c r="D341" s="13" t="n"/>
      <c r="E341" s="13" t="n"/>
      <c r="F341" s="13" t="n"/>
      <c r="G341" s="20" t="n"/>
      <c r="H341" s="14" t="n"/>
      <c r="I341" s="19">
        <f>IF($C341="","",ROUND(IF($G341="",1,$G341)*N($H341),2))</f>
        <v/>
      </c>
      <c r="J341" s="17">
        <f>IF($C341="","",IFERROR(VLOOKUP($C341,项目台账!$B:$C,2,0),"※项目不在项目台账里"))</f>
        <v/>
      </c>
      <c r="K341" s="13" t="n"/>
    </row>
    <row r="342">
      <c r="A342" s="17">
        <f>IF($C342="","",ROW()-3)</f>
        <v/>
      </c>
      <c r="B342" s="18" t="n"/>
      <c r="C342" s="13" t="n"/>
      <c r="D342" s="13" t="n"/>
      <c r="E342" s="13" t="n"/>
      <c r="F342" s="13" t="n"/>
      <c r="G342" s="20" t="n"/>
      <c r="H342" s="14" t="n"/>
      <c r="I342" s="19">
        <f>IF($C342="","",ROUND(IF($G342="",1,$G342)*N($H342),2))</f>
        <v/>
      </c>
      <c r="J342" s="17">
        <f>IF($C342="","",IFERROR(VLOOKUP($C342,项目台账!$B:$C,2,0),"※项目不在项目台账里"))</f>
        <v/>
      </c>
      <c r="K342" s="13" t="n"/>
    </row>
    <row r="343">
      <c r="A343" s="17">
        <f>IF($C343="","",ROW()-3)</f>
        <v/>
      </c>
      <c r="B343" s="18" t="n"/>
      <c r="C343" s="13" t="n"/>
      <c r="D343" s="13" t="n"/>
      <c r="E343" s="13" t="n"/>
      <c r="F343" s="13" t="n"/>
      <c r="G343" s="20" t="n"/>
      <c r="H343" s="14" t="n"/>
      <c r="I343" s="19">
        <f>IF($C343="","",ROUND(IF($G343="",1,$G343)*N($H343),2))</f>
        <v/>
      </c>
      <c r="J343" s="17">
        <f>IF($C343="","",IFERROR(VLOOKUP($C343,项目台账!$B:$C,2,0),"※项目不在项目台账里"))</f>
        <v/>
      </c>
      <c r="K343" s="13" t="n"/>
    </row>
    <row r="344">
      <c r="A344" s="17">
        <f>IF($C344="","",ROW()-3)</f>
        <v/>
      </c>
      <c r="B344" s="18" t="n"/>
      <c r="C344" s="13" t="n"/>
      <c r="D344" s="13" t="n"/>
      <c r="E344" s="13" t="n"/>
      <c r="F344" s="13" t="n"/>
      <c r="G344" s="20" t="n"/>
      <c r="H344" s="14" t="n"/>
      <c r="I344" s="19">
        <f>IF($C344="","",ROUND(IF($G344="",1,$G344)*N($H344),2))</f>
        <v/>
      </c>
      <c r="J344" s="17">
        <f>IF($C344="","",IFERROR(VLOOKUP($C344,项目台账!$B:$C,2,0),"※项目不在项目台账里"))</f>
        <v/>
      </c>
      <c r="K344" s="13" t="n"/>
    </row>
    <row r="345">
      <c r="A345" s="17">
        <f>IF($C345="","",ROW()-3)</f>
        <v/>
      </c>
      <c r="B345" s="18" t="n"/>
      <c r="C345" s="13" t="n"/>
      <c r="D345" s="13" t="n"/>
      <c r="E345" s="13" t="n"/>
      <c r="F345" s="13" t="n"/>
      <c r="G345" s="20" t="n"/>
      <c r="H345" s="14" t="n"/>
      <c r="I345" s="19">
        <f>IF($C345="","",ROUND(IF($G345="",1,$G345)*N($H345),2))</f>
        <v/>
      </c>
      <c r="J345" s="17">
        <f>IF($C345="","",IFERROR(VLOOKUP($C345,项目台账!$B:$C,2,0),"※项目不在项目台账里"))</f>
        <v/>
      </c>
      <c r="K345" s="13" t="n"/>
    </row>
    <row r="346">
      <c r="A346" s="17">
        <f>IF($C346="","",ROW()-3)</f>
        <v/>
      </c>
      <c r="B346" s="18" t="n"/>
      <c r="C346" s="13" t="n"/>
      <c r="D346" s="13" t="n"/>
      <c r="E346" s="13" t="n"/>
      <c r="F346" s="13" t="n"/>
      <c r="G346" s="20" t="n"/>
      <c r="H346" s="14" t="n"/>
      <c r="I346" s="19">
        <f>IF($C346="","",ROUND(IF($G346="",1,$G346)*N($H346),2))</f>
        <v/>
      </c>
      <c r="J346" s="17">
        <f>IF($C346="","",IFERROR(VLOOKUP($C346,项目台账!$B:$C,2,0),"※项目不在项目台账里"))</f>
        <v/>
      </c>
      <c r="K346" s="13" t="n"/>
    </row>
    <row r="347">
      <c r="A347" s="17">
        <f>IF($C347="","",ROW()-3)</f>
        <v/>
      </c>
      <c r="B347" s="18" t="n"/>
      <c r="C347" s="13" t="n"/>
      <c r="D347" s="13" t="n"/>
      <c r="E347" s="13" t="n"/>
      <c r="F347" s="13" t="n"/>
      <c r="G347" s="20" t="n"/>
      <c r="H347" s="14" t="n"/>
      <c r="I347" s="19">
        <f>IF($C347="","",ROUND(IF($G347="",1,$G347)*N($H347),2))</f>
        <v/>
      </c>
      <c r="J347" s="17">
        <f>IF($C347="","",IFERROR(VLOOKUP($C347,项目台账!$B:$C,2,0),"※项目不在项目台账里"))</f>
        <v/>
      </c>
      <c r="K347" s="13" t="n"/>
    </row>
    <row r="348">
      <c r="A348" s="17">
        <f>IF($C348="","",ROW()-3)</f>
        <v/>
      </c>
      <c r="B348" s="18" t="n"/>
      <c r="C348" s="13" t="n"/>
      <c r="D348" s="13" t="n"/>
      <c r="E348" s="13" t="n"/>
      <c r="F348" s="13" t="n"/>
      <c r="G348" s="20" t="n"/>
      <c r="H348" s="14" t="n"/>
      <c r="I348" s="19">
        <f>IF($C348="","",ROUND(IF($G348="",1,$G348)*N($H348),2))</f>
        <v/>
      </c>
      <c r="J348" s="17">
        <f>IF($C348="","",IFERROR(VLOOKUP($C348,项目台账!$B:$C,2,0),"※项目不在项目台账里"))</f>
        <v/>
      </c>
      <c r="K348" s="13" t="n"/>
    </row>
    <row r="349">
      <c r="A349" s="17">
        <f>IF($C349="","",ROW()-3)</f>
        <v/>
      </c>
      <c r="B349" s="18" t="n"/>
      <c r="C349" s="13" t="n"/>
      <c r="D349" s="13" t="n"/>
      <c r="E349" s="13" t="n"/>
      <c r="F349" s="13" t="n"/>
      <c r="G349" s="20" t="n"/>
      <c r="H349" s="14" t="n"/>
      <c r="I349" s="19">
        <f>IF($C349="","",ROUND(IF($G349="",1,$G349)*N($H349),2))</f>
        <v/>
      </c>
      <c r="J349" s="17">
        <f>IF($C349="","",IFERROR(VLOOKUP($C349,项目台账!$B:$C,2,0),"※项目不在项目台账里"))</f>
        <v/>
      </c>
      <c r="K349" s="13" t="n"/>
    </row>
    <row r="350">
      <c r="A350" s="17">
        <f>IF($C350="","",ROW()-3)</f>
        <v/>
      </c>
      <c r="B350" s="18" t="n"/>
      <c r="C350" s="13" t="n"/>
      <c r="D350" s="13" t="n"/>
      <c r="E350" s="13" t="n"/>
      <c r="F350" s="13" t="n"/>
      <c r="G350" s="20" t="n"/>
      <c r="H350" s="14" t="n"/>
      <c r="I350" s="19">
        <f>IF($C350="","",ROUND(IF($G350="",1,$G350)*N($H350),2))</f>
        <v/>
      </c>
      <c r="J350" s="17">
        <f>IF($C350="","",IFERROR(VLOOKUP($C350,项目台账!$B:$C,2,0),"※项目不在项目台账里"))</f>
        <v/>
      </c>
      <c r="K350" s="13" t="n"/>
    </row>
    <row r="351">
      <c r="A351" s="17">
        <f>IF($C351="","",ROW()-3)</f>
        <v/>
      </c>
      <c r="B351" s="18" t="n"/>
      <c r="C351" s="13" t="n"/>
      <c r="D351" s="13" t="n"/>
      <c r="E351" s="13" t="n"/>
      <c r="F351" s="13" t="n"/>
      <c r="G351" s="20" t="n"/>
      <c r="H351" s="14" t="n"/>
      <c r="I351" s="19">
        <f>IF($C351="","",ROUND(IF($G351="",1,$G351)*N($H351),2))</f>
        <v/>
      </c>
      <c r="J351" s="17">
        <f>IF($C351="","",IFERROR(VLOOKUP($C351,项目台账!$B:$C,2,0),"※项目不在项目台账里"))</f>
        <v/>
      </c>
      <c r="K351" s="13" t="n"/>
    </row>
    <row r="352">
      <c r="A352" s="17">
        <f>IF($C352="","",ROW()-3)</f>
        <v/>
      </c>
      <c r="B352" s="18" t="n"/>
      <c r="C352" s="13" t="n"/>
      <c r="D352" s="13" t="n"/>
      <c r="E352" s="13" t="n"/>
      <c r="F352" s="13" t="n"/>
      <c r="G352" s="20" t="n"/>
      <c r="H352" s="14" t="n"/>
      <c r="I352" s="19">
        <f>IF($C352="","",ROUND(IF($G352="",1,$G352)*N($H352),2))</f>
        <v/>
      </c>
      <c r="J352" s="17">
        <f>IF($C352="","",IFERROR(VLOOKUP($C352,项目台账!$B:$C,2,0),"※项目不在项目台账里"))</f>
        <v/>
      </c>
      <c r="K352" s="13" t="n"/>
    </row>
    <row r="353">
      <c r="A353" s="17">
        <f>IF($C353="","",ROW()-3)</f>
        <v/>
      </c>
      <c r="B353" s="18" t="n"/>
      <c r="C353" s="13" t="n"/>
      <c r="D353" s="13" t="n"/>
      <c r="E353" s="13" t="n"/>
      <c r="F353" s="13" t="n"/>
      <c r="G353" s="20" t="n"/>
      <c r="H353" s="14" t="n"/>
      <c r="I353" s="19">
        <f>IF($C353="","",ROUND(IF($G353="",1,$G353)*N($H353),2))</f>
        <v/>
      </c>
      <c r="J353" s="17">
        <f>IF($C353="","",IFERROR(VLOOKUP($C353,项目台账!$B:$C,2,0),"※项目不在项目台账里"))</f>
        <v/>
      </c>
      <c r="K353" s="13" t="n"/>
    </row>
    <row r="354">
      <c r="A354" s="17">
        <f>IF($C354="","",ROW()-3)</f>
        <v/>
      </c>
      <c r="B354" s="18" t="n"/>
      <c r="C354" s="13" t="n"/>
      <c r="D354" s="13" t="n"/>
      <c r="E354" s="13" t="n"/>
      <c r="F354" s="13" t="n"/>
      <c r="G354" s="20" t="n"/>
      <c r="H354" s="14" t="n"/>
      <c r="I354" s="19">
        <f>IF($C354="","",ROUND(IF($G354="",1,$G354)*N($H354),2))</f>
        <v/>
      </c>
      <c r="J354" s="17">
        <f>IF($C354="","",IFERROR(VLOOKUP($C354,项目台账!$B:$C,2,0),"※项目不在项目台账里"))</f>
        <v/>
      </c>
      <c r="K354" s="13" t="n"/>
    </row>
    <row r="355">
      <c r="A355" s="17">
        <f>IF($C355="","",ROW()-3)</f>
        <v/>
      </c>
      <c r="B355" s="18" t="n"/>
      <c r="C355" s="13" t="n"/>
      <c r="D355" s="13" t="n"/>
      <c r="E355" s="13" t="n"/>
      <c r="F355" s="13" t="n"/>
      <c r="G355" s="20" t="n"/>
      <c r="H355" s="14" t="n"/>
      <c r="I355" s="19">
        <f>IF($C355="","",ROUND(IF($G355="",1,$G355)*N($H355),2))</f>
        <v/>
      </c>
      <c r="J355" s="17">
        <f>IF($C355="","",IFERROR(VLOOKUP($C355,项目台账!$B:$C,2,0),"※项目不在项目台账里"))</f>
        <v/>
      </c>
      <c r="K355" s="13" t="n"/>
    </row>
    <row r="356">
      <c r="A356" s="17">
        <f>IF($C356="","",ROW()-3)</f>
        <v/>
      </c>
      <c r="B356" s="18" t="n"/>
      <c r="C356" s="13" t="n"/>
      <c r="D356" s="13" t="n"/>
      <c r="E356" s="13" t="n"/>
      <c r="F356" s="13" t="n"/>
      <c r="G356" s="20" t="n"/>
      <c r="H356" s="14" t="n"/>
      <c r="I356" s="19">
        <f>IF($C356="","",ROUND(IF($G356="",1,$G356)*N($H356),2))</f>
        <v/>
      </c>
      <c r="J356" s="17">
        <f>IF($C356="","",IFERROR(VLOOKUP($C356,项目台账!$B:$C,2,0),"※项目不在项目台账里"))</f>
        <v/>
      </c>
      <c r="K356" s="13" t="n"/>
    </row>
    <row r="357">
      <c r="A357" s="17">
        <f>IF($C357="","",ROW()-3)</f>
        <v/>
      </c>
      <c r="B357" s="18" t="n"/>
      <c r="C357" s="13" t="n"/>
      <c r="D357" s="13" t="n"/>
      <c r="E357" s="13" t="n"/>
      <c r="F357" s="13" t="n"/>
      <c r="G357" s="20" t="n"/>
      <c r="H357" s="14" t="n"/>
      <c r="I357" s="19">
        <f>IF($C357="","",ROUND(IF($G357="",1,$G357)*N($H357),2))</f>
        <v/>
      </c>
      <c r="J357" s="17">
        <f>IF($C357="","",IFERROR(VLOOKUP($C357,项目台账!$B:$C,2,0),"※项目不在项目台账里"))</f>
        <v/>
      </c>
      <c r="K357" s="13" t="n"/>
    </row>
    <row r="358">
      <c r="A358" s="17">
        <f>IF($C358="","",ROW()-3)</f>
        <v/>
      </c>
      <c r="B358" s="18" t="n"/>
      <c r="C358" s="13" t="n"/>
      <c r="D358" s="13" t="n"/>
      <c r="E358" s="13" t="n"/>
      <c r="F358" s="13" t="n"/>
      <c r="G358" s="20" t="n"/>
      <c r="H358" s="14" t="n"/>
      <c r="I358" s="19">
        <f>IF($C358="","",ROUND(IF($G358="",1,$G358)*N($H358),2))</f>
        <v/>
      </c>
      <c r="J358" s="17">
        <f>IF($C358="","",IFERROR(VLOOKUP($C358,项目台账!$B:$C,2,0),"※项目不在项目台账里"))</f>
        <v/>
      </c>
      <c r="K358" s="13" t="n"/>
    </row>
    <row r="359">
      <c r="A359" s="17">
        <f>IF($C359="","",ROW()-3)</f>
        <v/>
      </c>
      <c r="B359" s="18" t="n"/>
      <c r="C359" s="13" t="n"/>
      <c r="D359" s="13" t="n"/>
      <c r="E359" s="13" t="n"/>
      <c r="F359" s="13" t="n"/>
      <c r="G359" s="20" t="n"/>
      <c r="H359" s="14" t="n"/>
      <c r="I359" s="19">
        <f>IF($C359="","",ROUND(IF($G359="",1,$G359)*N($H359),2))</f>
        <v/>
      </c>
      <c r="J359" s="17">
        <f>IF($C359="","",IFERROR(VLOOKUP($C359,项目台账!$B:$C,2,0),"※项目不在项目台账里"))</f>
        <v/>
      </c>
      <c r="K359" s="13" t="n"/>
    </row>
    <row r="360">
      <c r="A360" s="17">
        <f>IF($C360="","",ROW()-3)</f>
        <v/>
      </c>
      <c r="B360" s="18" t="n"/>
      <c r="C360" s="13" t="n"/>
      <c r="D360" s="13" t="n"/>
      <c r="E360" s="13" t="n"/>
      <c r="F360" s="13" t="n"/>
      <c r="G360" s="20" t="n"/>
      <c r="H360" s="14" t="n"/>
      <c r="I360" s="19">
        <f>IF($C360="","",ROUND(IF($G360="",1,$G360)*N($H360),2))</f>
        <v/>
      </c>
      <c r="J360" s="17">
        <f>IF($C360="","",IFERROR(VLOOKUP($C360,项目台账!$B:$C,2,0),"※项目不在项目台账里"))</f>
        <v/>
      </c>
      <c r="K360" s="13" t="n"/>
    </row>
    <row r="361">
      <c r="A361" s="17">
        <f>IF($C361="","",ROW()-3)</f>
        <v/>
      </c>
      <c r="B361" s="18" t="n"/>
      <c r="C361" s="13" t="n"/>
      <c r="D361" s="13" t="n"/>
      <c r="E361" s="13" t="n"/>
      <c r="F361" s="13" t="n"/>
      <c r="G361" s="20" t="n"/>
      <c r="H361" s="14" t="n"/>
      <c r="I361" s="19">
        <f>IF($C361="","",ROUND(IF($G361="",1,$G361)*N($H361),2))</f>
        <v/>
      </c>
      <c r="J361" s="17">
        <f>IF($C361="","",IFERROR(VLOOKUP($C361,项目台账!$B:$C,2,0),"※项目不在项目台账里"))</f>
        <v/>
      </c>
      <c r="K361" s="13" t="n"/>
    </row>
    <row r="362">
      <c r="A362" s="17">
        <f>IF($C362="","",ROW()-3)</f>
        <v/>
      </c>
      <c r="B362" s="18" t="n"/>
      <c r="C362" s="13" t="n"/>
      <c r="D362" s="13" t="n"/>
      <c r="E362" s="13" t="n"/>
      <c r="F362" s="13" t="n"/>
      <c r="G362" s="20" t="n"/>
      <c r="H362" s="14" t="n"/>
      <c r="I362" s="19">
        <f>IF($C362="","",ROUND(IF($G362="",1,$G362)*N($H362),2))</f>
        <v/>
      </c>
      <c r="J362" s="17">
        <f>IF($C362="","",IFERROR(VLOOKUP($C362,项目台账!$B:$C,2,0),"※项目不在项目台账里"))</f>
        <v/>
      </c>
      <c r="K362" s="13" t="n"/>
    </row>
    <row r="363">
      <c r="A363" s="17">
        <f>IF($C363="","",ROW()-3)</f>
        <v/>
      </c>
      <c r="B363" s="18" t="n"/>
      <c r="C363" s="13" t="n"/>
      <c r="D363" s="13" t="n"/>
      <c r="E363" s="13" t="n"/>
      <c r="F363" s="13" t="n"/>
      <c r="G363" s="20" t="n"/>
      <c r="H363" s="14" t="n"/>
      <c r="I363" s="19">
        <f>IF($C363="","",ROUND(IF($G363="",1,$G363)*N($H363),2))</f>
        <v/>
      </c>
      <c r="J363" s="17">
        <f>IF($C363="","",IFERROR(VLOOKUP($C363,项目台账!$B:$C,2,0),"※项目不在项目台账里"))</f>
        <v/>
      </c>
      <c r="K363" s="13" t="n"/>
    </row>
    <row r="364">
      <c r="A364" s="17">
        <f>IF($C364="","",ROW()-3)</f>
        <v/>
      </c>
      <c r="B364" s="18" t="n"/>
      <c r="C364" s="13" t="n"/>
      <c r="D364" s="13" t="n"/>
      <c r="E364" s="13" t="n"/>
      <c r="F364" s="13" t="n"/>
      <c r="G364" s="20" t="n"/>
      <c r="H364" s="14" t="n"/>
      <c r="I364" s="19">
        <f>IF($C364="","",ROUND(IF($G364="",1,$G364)*N($H364),2))</f>
        <v/>
      </c>
      <c r="J364" s="17">
        <f>IF($C364="","",IFERROR(VLOOKUP($C364,项目台账!$B:$C,2,0),"※项目不在项目台账里"))</f>
        <v/>
      </c>
      <c r="K364" s="13" t="n"/>
    </row>
    <row r="365">
      <c r="A365" s="17">
        <f>IF($C365="","",ROW()-3)</f>
        <v/>
      </c>
      <c r="B365" s="18" t="n"/>
      <c r="C365" s="13" t="n"/>
      <c r="D365" s="13" t="n"/>
      <c r="E365" s="13" t="n"/>
      <c r="F365" s="13" t="n"/>
      <c r="G365" s="20" t="n"/>
      <c r="H365" s="14" t="n"/>
      <c r="I365" s="19">
        <f>IF($C365="","",ROUND(IF($G365="",1,$G365)*N($H365),2))</f>
        <v/>
      </c>
      <c r="J365" s="17">
        <f>IF($C365="","",IFERROR(VLOOKUP($C365,项目台账!$B:$C,2,0),"※项目不在项目台账里"))</f>
        <v/>
      </c>
      <c r="K365" s="13" t="n"/>
    </row>
    <row r="366">
      <c r="A366" s="17">
        <f>IF($C366="","",ROW()-3)</f>
        <v/>
      </c>
      <c r="B366" s="18" t="n"/>
      <c r="C366" s="13" t="n"/>
      <c r="D366" s="13" t="n"/>
      <c r="E366" s="13" t="n"/>
      <c r="F366" s="13" t="n"/>
      <c r="G366" s="20" t="n"/>
      <c r="H366" s="14" t="n"/>
      <c r="I366" s="19">
        <f>IF($C366="","",ROUND(IF($G366="",1,$G366)*N($H366),2))</f>
        <v/>
      </c>
      <c r="J366" s="17">
        <f>IF($C366="","",IFERROR(VLOOKUP($C366,项目台账!$B:$C,2,0),"※项目不在项目台账里"))</f>
        <v/>
      </c>
      <c r="K366" s="13" t="n"/>
    </row>
    <row r="367">
      <c r="A367" s="17">
        <f>IF($C367="","",ROW()-3)</f>
        <v/>
      </c>
      <c r="B367" s="18" t="n"/>
      <c r="C367" s="13" t="n"/>
      <c r="D367" s="13" t="n"/>
      <c r="E367" s="13" t="n"/>
      <c r="F367" s="13" t="n"/>
      <c r="G367" s="20" t="n"/>
      <c r="H367" s="14" t="n"/>
      <c r="I367" s="19">
        <f>IF($C367="","",ROUND(IF($G367="",1,$G367)*N($H367),2))</f>
        <v/>
      </c>
      <c r="J367" s="17">
        <f>IF($C367="","",IFERROR(VLOOKUP($C367,项目台账!$B:$C,2,0),"※项目不在项目台账里"))</f>
        <v/>
      </c>
      <c r="K367" s="13" t="n"/>
    </row>
    <row r="368">
      <c r="A368" s="17">
        <f>IF($C368="","",ROW()-3)</f>
        <v/>
      </c>
      <c r="B368" s="18" t="n"/>
      <c r="C368" s="13" t="n"/>
      <c r="D368" s="13" t="n"/>
      <c r="E368" s="13" t="n"/>
      <c r="F368" s="13" t="n"/>
      <c r="G368" s="20" t="n"/>
      <c r="H368" s="14" t="n"/>
      <c r="I368" s="19">
        <f>IF($C368="","",ROUND(IF($G368="",1,$G368)*N($H368),2))</f>
        <v/>
      </c>
      <c r="J368" s="17">
        <f>IF($C368="","",IFERROR(VLOOKUP($C368,项目台账!$B:$C,2,0),"※项目不在项目台账里"))</f>
        <v/>
      </c>
      <c r="K368" s="13" t="n"/>
    </row>
    <row r="369">
      <c r="A369" s="17">
        <f>IF($C369="","",ROW()-3)</f>
        <v/>
      </c>
      <c r="B369" s="18" t="n"/>
      <c r="C369" s="13" t="n"/>
      <c r="D369" s="13" t="n"/>
      <c r="E369" s="13" t="n"/>
      <c r="F369" s="13" t="n"/>
      <c r="G369" s="20" t="n"/>
      <c r="H369" s="14" t="n"/>
      <c r="I369" s="19">
        <f>IF($C369="","",ROUND(IF($G369="",1,$G369)*N($H369),2))</f>
        <v/>
      </c>
      <c r="J369" s="17">
        <f>IF($C369="","",IFERROR(VLOOKUP($C369,项目台账!$B:$C,2,0),"※项目不在项目台账里"))</f>
        <v/>
      </c>
      <c r="K369" s="13" t="n"/>
    </row>
    <row r="370">
      <c r="A370" s="17">
        <f>IF($C370="","",ROW()-3)</f>
        <v/>
      </c>
      <c r="B370" s="18" t="n"/>
      <c r="C370" s="13" t="n"/>
      <c r="D370" s="13" t="n"/>
      <c r="E370" s="13" t="n"/>
      <c r="F370" s="13" t="n"/>
      <c r="G370" s="20" t="n"/>
      <c r="H370" s="14" t="n"/>
      <c r="I370" s="19">
        <f>IF($C370="","",ROUND(IF($G370="",1,$G370)*N($H370),2))</f>
        <v/>
      </c>
      <c r="J370" s="17">
        <f>IF($C370="","",IFERROR(VLOOKUP($C370,项目台账!$B:$C,2,0),"※项目不在项目台账里"))</f>
        <v/>
      </c>
      <c r="K370" s="13" t="n"/>
    </row>
    <row r="371">
      <c r="A371" s="17">
        <f>IF($C371="","",ROW()-3)</f>
        <v/>
      </c>
      <c r="B371" s="18" t="n"/>
      <c r="C371" s="13" t="n"/>
      <c r="D371" s="13" t="n"/>
      <c r="E371" s="13" t="n"/>
      <c r="F371" s="13" t="n"/>
      <c r="G371" s="20" t="n"/>
      <c r="H371" s="14" t="n"/>
      <c r="I371" s="19">
        <f>IF($C371="","",ROUND(IF($G371="",1,$G371)*N($H371),2))</f>
        <v/>
      </c>
      <c r="J371" s="17">
        <f>IF($C371="","",IFERROR(VLOOKUP($C371,项目台账!$B:$C,2,0),"※项目不在项目台账里"))</f>
        <v/>
      </c>
      <c r="K371" s="13" t="n"/>
    </row>
    <row r="372">
      <c r="A372" s="17">
        <f>IF($C372="","",ROW()-3)</f>
        <v/>
      </c>
      <c r="B372" s="18" t="n"/>
      <c r="C372" s="13" t="n"/>
      <c r="D372" s="13" t="n"/>
      <c r="E372" s="13" t="n"/>
      <c r="F372" s="13" t="n"/>
      <c r="G372" s="20" t="n"/>
      <c r="H372" s="14" t="n"/>
      <c r="I372" s="19">
        <f>IF($C372="","",ROUND(IF($G372="",1,$G372)*N($H372),2))</f>
        <v/>
      </c>
      <c r="J372" s="17">
        <f>IF($C372="","",IFERROR(VLOOKUP($C372,项目台账!$B:$C,2,0),"※项目不在项目台账里"))</f>
        <v/>
      </c>
      <c r="K372" s="13" t="n"/>
    </row>
    <row r="373">
      <c r="A373" s="17">
        <f>IF($C373="","",ROW()-3)</f>
        <v/>
      </c>
      <c r="B373" s="18" t="n"/>
      <c r="C373" s="13" t="n"/>
      <c r="D373" s="13" t="n"/>
      <c r="E373" s="13" t="n"/>
      <c r="F373" s="13" t="n"/>
      <c r="G373" s="20" t="n"/>
      <c r="H373" s="14" t="n"/>
      <c r="I373" s="19">
        <f>IF($C373="","",ROUND(IF($G373="",1,$G373)*N($H373),2))</f>
        <v/>
      </c>
      <c r="J373" s="17">
        <f>IF($C373="","",IFERROR(VLOOKUP($C373,项目台账!$B:$C,2,0),"※项目不在项目台账里"))</f>
        <v/>
      </c>
      <c r="K373" s="13" t="n"/>
    </row>
    <row r="374">
      <c r="A374" s="17">
        <f>IF($C374="","",ROW()-3)</f>
        <v/>
      </c>
      <c r="B374" s="18" t="n"/>
      <c r="C374" s="13" t="n"/>
      <c r="D374" s="13" t="n"/>
      <c r="E374" s="13" t="n"/>
      <c r="F374" s="13" t="n"/>
      <c r="G374" s="20" t="n"/>
      <c r="H374" s="14" t="n"/>
      <c r="I374" s="19">
        <f>IF($C374="","",ROUND(IF($G374="",1,$G374)*N($H374),2))</f>
        <v/>
      </c>
      <c r="J374" s="17">
        <f>IF($C374="","",IFERROR(VLOOKUP($C374,项目台账!$B:$C,2,0),"※项目不在项目台账里"))</f>
        <v/>
      </c>
      <c r="K374" s="13" t="n"/>
    </row>
    <row r="375">
      <c r="A375" s="17">
        <f>IF($C375="","",ROW()-3)</f>
        <v/>
      </c>
      <c r="B375" s="18" t="n"/>
      <c r="C375" s="13" t="n"/>
      <c r="D375" s="13" t="n"/>
      <c r="E375" s="13" t="n"/>
      <c r="F375" s="13" t="n"/>
      <c r="G375" s="20" t="n"/>
      <c r="H375" s="14" t="n"/>
      <c r="I375" s="19">
        <f>IF($C375="","",ROUND(IF($G375="",1,$G375)*N($H375),2))</f>
        <v/>
      </c>
      <c r="J375" s="17">
        <f>IF($C375="","",IFERROR(VLOOKUP($C375,项目台账!$B:$C,2,0),"※项目不在项目台账里"))</f>
        <v/>
      </c>
      <c r="K375" s="13" t="n"/>
    </row>
    <row r="376">
      <c r="A376" s="17">
        <f>IF($C376="","",ROW()-3)</f>
        <v/>
      </c>
      <c r="B376" s="18" t="n"/>
      <c r="C376" s="13" t="n"/>
      <c r="D376" s="13" t="n"/>
      <c r="E376" s="13" t="n"/>
      <c r="F376" s="13" t="n"/>
      <c r="G376" s="20" t="n"/>
      <c r="H376" s="14" t="n"/>
      <c r="I376" s="19">
        <f>IF($C376="","",ROUND(IF($G376="",1,$G376)*N($H376),2))</f>
        <v/>
      </c>
      <c r="J376" s="17">
        <f>IF($C376="","",IFERROR(VLOOKUP($C376,项目台账!$B:$C,2,0),"※项目不在项目台账里"))</f>
        <v/>
      </c>
      <c r="K376" s="13" t="n"/>
    </row>
    <row r="377">
      <c r="A377" s="17">
        <f>IF($C377="","",ROW()-3)</f>
        <v/>
      </c>
      <c r="B377" s="18" t="n"/>
      <c r="C377" s="13" t="n"/>
      <c r="D377" s="13" t="n"/>
      <c r="E377" s="13" t="n"/>
      <c r="F377" s="13" t="n"/>
      <c r="G377" s="20" t="n"/>
      <c r="H377" s="14" t="n"/>
      <c r="I377" s="19">
        <f>IF($C377="","",ROUND(IF($G377="",1,$G377)*N($H377),2))</f>
        <v/>
      </c>
      <c r="J377" s="17">
        <f>IF($C377="","",IFERROR(VLOOKUP($C377,项目台账!$B:$C,2,0),"※项目不在项目台账里"))</f>
        <v/>
      </c>
      <c r="K377" s="13" t="n"/>
    </row>
    <row r="378">
      <c r="A378" s="17">
        <f>IF($C378="","",ROW()-3)</f>
        <v/>
      </c>
      <c r="B378" s="18" t="n"/>
      <c r="C378" s="13" t="n"/>
      <c r="D378" s="13" t="n"/>
      <c r="E378" s="13" t="n"/>
      <c r="F378" s="13" t="n"/>
      <c r="G378" s="20" t="n"/>
      <c r="H378" s="14" t="n"/>
      <c r="I378" s="19">
        <f>IF($C378="","",ROUND(IF($G378="",1,$G378)*N($H378),2))</f>
        <v/>
      </c>
      <c r="J378" s="17">
        <f>IF($C378="","",IFERROR(VLOOKUP($C378,项目台账!$B:$C,2,0),"※项目不在项目台账里"))</f>
        <v/>
      </c>
      <c r="K378" s="13" t="n"/>
    </row>
    <row r="379">
      <c r="A379" s="17">
        <f>IF($C379="","",ROW()-3)</f>
        <v/>
      </c>
      <c r="B379" s="18" t="n"/>
      <c r="C379" s="13" t="n"/>
      <c r="D379" s="13" t="n"/>
      <c r="E379" s="13" t="n"/>
      <c r="F379" s="13" t="n"/>
      <c r="G379" s="20" t="n"/>
      <c r="H379" s="14" t="n"/>
      <c r="I379" s="19">
        <f>IF($C379="","",ROUND(IF($G379="",1,$G379)*N($H379),2))</f>
        <v/>
      </c>
      <c r="J379" s="17">
        <f>IF($C379="","",IFERROR(VLOOKUP($C379,项目台账!$B:$C,2,0),"※项目不在项目台账里"))</f>
        <v/>
      </c>
      <c r="K379" s="13" t="n"/>
    </row>
    <row r="380">
      <c r="A380" s="17">
        <f>IF($C380="","",ROW()-3)</f>
        <v/>
      </c>
      <c r="B380" s="18" t="n"/>
      <c r="C380" s="13" t="n"/>
      <c r="D380" s="13" t="n"/>
      <c r="E380" s="13" t="n"/>
      <c r="F380" s="13" t="n"/>
      <c r="G380" s="20" t="n"/>
      <c r="H380" s="14" t="n"/>
      <c r="I380" s="19">
        <f>IF($C380="","",ROUND(IF($G380="",1,$G380)*N($H380),2))</f>
        <v/>
      </c>
      <c r="J380" s="17">
        <f>IF($C380="","",IFERROR(VLOOKUP($C380,项目台账!$B:$C,2,0),"※项目不在项目台账里"))</f>
        <v/>
      </c>
      <c r="K380" s="13" t="n"/>
    </row>
    <row r="381">
      <c r="A381" s="17">
        <f>IF($C381="","",ROW()-3)</f>
        <v/>
      </c>
      <c r="B381" s="18" t="n"/>
      <c r="C381" s="13" t="n"/>
      <c r="D381" s="13" t="n"/>
      <c r="E381" s="13" t="n"/>
      <c r="F381" s="13" t="n"/>
      <c r="G381" s="20" t="n"/>
      <c r="H381" s="14" t="n"/>
      <c r="I381" s="19">
        <f>IF($C381="","",ROUND(IF($G381="",1,$G381)*N($H381),2))</f>
        <v/>
      </c>
      <c r="J381" s="17">
        <f>IF($C381="","",IFERROR(VLOOKUP($C381,项目台账!$B:$C,2,0),"※项目不在项目台账里"))</f>
        <v/>
      </c>
      <c r="K381" s="13" t="n"/>
    </row>
    <row r="382">
      <c r="A382" s="17">
        <f>IF($C382="","",ROW()-3)</f>
        <v/>
      </c>
      <c r="B382" s="18" t="n"/>
      <c r="C382" s="13" t="n"/>
      <c r="D382" s="13" t="n"/>
      <c r="E382" s="13" t="n"/>
      <c r="F382" s="13" t="n"/>
      <c r="G382" s="20" t="n"/>
      <c r="H382" s="14" t="n"/>
      <c r="I382" s="19">
        <f>IF($C382="","",ROUND(IF($G382="",1,$G382)*N($H382),2))</f>
        <v/>
      </c>
      <c r="J382" s="17">
        <f>IF($C382="","",IFERROR(VLOOKUP($C382,项目台账!$B:$C,2,0),"※项目不在项目台账里"))</f>
        <v/>
      </c>
      <c r="K382" s="13" t="n"/>
    </row>
    <row r="383">
      <c r="A383" s="17">
        <f>IF($C383="","",ROW()-3)</f>
        <v/>
      </c>
      <c r="B383" s="18" t="n"/>
      <c r="C383" s="13" t="n"/>
      <c r="D383" s="13" t="n"/>
      <c r="E383" s="13" t="n"/>
      <c r="F383" s="13" t="n"/>
      <c r="G383" s="20" t="n"/>
      <c r="H383" s="14" t="n"/>
      <c r="I383" s="19">
        <f>IF($C383="","",ROUND(IF($G383="",1,$G383)*N($H383),2))</f>
        <v/>
      </c>
      <c r="J383" s="17">
        <f>IF($C383="","",IFERROR(VLOOKUP($C383,项目台账!$B:$C,2,0),"※项目不在项目台账里"))</f>
        <v/>
      </c>
      <c r="K383" s="13" t="n"/>
    </row>
    <row r="384">
      <c r="A384" s="17">
        <f>IF($C384="","",ROW()-3)</f>
        <v/>
      </c>
      <c r="B384" s="18" t="n"/>
      <c r="C384" s="13" t="n"/>
      <c r="D384" s="13" t="n"/>
      <c r="E384" s="13" t="n"/>
      <c r="F384" s="13" t="n"/>
      <c r="G384" s="20" t="n"/>
      <c r="H384" s="14" t="n"/>
      <c r="I384" s="19">
        <f>IF($C384="","",ROUND(IF($G384="",1,$G384)*N($H384),2))</f>
        <v/>
      </c>
      <c r="J384" s="17">
        <f>IF($C384="","",IFERROR(VLOOKUP($C384,项目台账!$B:$C,2,0),"※项目不在项目台账里"))</f>
        <v/>
      </c>
      <c r="K384" s="13" t="n"/>
    </row>
    <row r="385">
      <c r="A385" s="17">
        <f>IF($C385="","",ROW()-3)</f>
        <v/>
      </c>
      <c r="B385" s="18" t="n"/>
      <c r="C385" s="13" t="n"/>
      <c r="D385" s="13" t="n"/>
      <c r="E385" s="13" t="n"/>
      <c r="F385" s="13" t="n"/>
      <c r="G385" s="20" t="n"/>
      <c r="H385" s="14" t="n"/>
      <c r="I385" s="19">
        <f>IF($C385="","",ROUND(IF($G385="",1,$G385)*N($H385),2))</f>
        <v/>
      </c>
      <c r="J385" s="17">
        <f>IF($C385="","",IFERROR(VLOOKUP($C385,项目台账!$B:$C,2,0),"※项目不在项目台账里"))</f>
        <v/>
      </c>
      <c r="K385" s="13" t="n"/>
    </row>
    <row r="386">
      <c r="A386" s="17">
        <f>IF($C386="","",ROW()-3)</f>
        <v/>
      </c>
      <c r="B386" s="18" t="n"/>
      <c r="C386" s="13" t="n"/>
      <c r="D386" s="13" t="n"/>
      <c r="E386" s="13" t="n"/>
      <c r="F386" s="13" t="n"/>
      <c r="G386" s="20" t="n"/>
      <c r="H386" s="14" t="n"/>
      <c r="I386" s="19">
        <f>IF($C386="","",ROUND(IF($G386="",1,$G386)*N($H386),2))</f>
        <v/>
      </c>
      <c r="J386" s="17">
        <f>IF($C386="","",IFERROR(VLOOKUP($C386,项目台账!$B:$C,2,0),"※项目不在项目台账里"))</f>
        <v/>
      </c>
      <c r="K386" s="13" t="n"/>
    </row>
    <row r="387">
      <c r="A387" s="17">
        <f>IF($C387="","",ROW()-3)</f>
        <v/>
      </c>
      <c r="B387" s="18" t="n"/>
      <c r="C387" s="13" t="n"/>
      <c r="D387" s="13" t="n"/>
      <c r="E387" s="13" t="n"/>
      <c r="F387" s="13" t="n"/>
      <c r="G387" s="20" t="n"/>
      <c r="H387" s="14" t="n"/>
      <c r="I387" s="19">
        <f>IF($C387="","",ROUND(IF($G387="",1,$G387)*N($H387),2))</f>
        <v/>
      </c>
      <c r="J387" s="17">
        <f>IF($C387="","",IFERROR(VLOOKUP($C387,项目台账!$B:$C,2,0),"※项目不在项目台账里"))</f>
        <v/>
      </c>
      <c r="K387" s="13" t="n"/>
    </row>
    <row r="388">
      <c r="A388" s="17">
        <f>IF($C388="","",ROW()-3)</f>
        <v/>
      </c>
      <c r="B388" s="18" t="n"/>
      <c r="C388" s="13" t="n"/>
      <c r="D388" s="13" t="n"/>
      <c r="E388" s="13" t="n"/>
      <c r="F388" s="13" t="n"/>
      <c r="G388" s="20" t="n"/>
      <c r="H388" s="14" t="n"/>
      <c r="I388" s="19">
        <f>IF($C388="","",ROUND(IF($G388="",1,$G388)*N($H388),2))</f>
        <v/>
      </c>
      <c r="J388" s="17">
        <f>IF($C388="","",IFERROR(VLOOKUP($C388,项目台账!$B:$C,2,0),"※项目不在项目台账里"))</f>
        <v/>
      </c>
      <c r="K388" s="13" t="n"/>
    </row>
    <row r="389">
      <c r="A389" s="17">
        <f>IF($C389="","",ROW()-3)</f>
        <v/>
      </c>
      <c r="B389" s="18" t="n"/>
      <c r="C389" s="13" t="n"/>
      <c r="D389" s="13" t="n"/>
      <c r="E389" s="13" t="n"/>
      <c r="F389" s="13" t="n"/>
      <c r="G389" s="20" t="n"/>
      <c r="H389" s="14" t="n"/>
      <c r="I389" s="19">
        <f>IF($C389="","",ROUND(IF($G389="",1,$G389)*N($H389),2))</f>
        <v/>
      </c>
      <c r="J389" s="17">
        <f>IF($C389="","",IFERROR(VLOOKUP($C389,项目台账!$B:$C,2,0),"※项目不在项目台账里"))</f>
        <v/>
      </c>
      <c r="K389" s="13" t="n"/>
    </row>
    <row r="390">
      <c r="A390" s="17">
        <f>IF($C390="","",ROW()-3)</f>
        <v/>
      </c>
      <c r="B390" s="18" t="n"/>
      <c r="C390" s="13" t="n"/>
      <c r="D390" s="13" t="n"/>
      <c r="E390" s="13" t="n"/>
      <c r="F390" s="13" t="n"/>
      <c r="G390" s="20" t="n"/>
      <c r="H390" s="14" t="n"/>
      <c r="I390" s="19">
        <f>IF($C390="","",ROUND(IF($G390="",1,$G390)*N($H390),2))</f>
        <v/>
      </c>
      <c r="J390" s="17">
        <f>IF($C390="","",IFERROR(VLOOKUP($C390,项目台账!$B:$C,2,0),"※项目不在项目台账里"))</f>
        <v/>
      </c>
      <c r="K390" s="13" t="n"/>
    </row>
    <row r="391">
      <c r="A391" s="17">
        <f>IF($C391="","",ROW()-3)</f>
        <v/>
      </c>
      <c r="B391" s="18" t="n"/>
      <c r="C391" s="13" t="n"/>
      <c r="D391" s="13" t="n"/>
      <c r="E391" s="13" t="n"/>
      <c r="F391" s="13" t="n"/>
      <c r="G391" s="20" t="n"/>
      <c r="H391" s="14" t="n"/>
      <c r="I391" s="19">
        <f>IF($C391="","",ROUND(IF($G391="",1,$G391)*N($H391),2))</f>
        <v/>
      </c>
      <c r="J391" s="17">
        <f>IF($C391="","",IFERROR(VLOOKUP($C391,项目台账!$B:$C,2,0),"※项目不在项目台账里"))</f>
        <v/>
      </c>
      <c r="K391" s="13" t="n"/>
    </row>
    <row r="392">
      <c r="A392" s="17">
        <f>IF($C392="","",ROW()-3)</f>
        <v/>
      </c>
      <c r="B392" s="18" t="n"/>
      <c r="C392" s="13" t="n"/>
      <c r="D392" s="13" t="n"/>
      <c r="E392" s="13" t="n"/>
      <c r="F392" s="13" t="n"/>
      <c r="G392" s="20" t="n"/>
      <c r="H392" s="14" t="n"/>
      <c r="I392" s="19">
        <f>IF($C392="","",ROUND(IF($G392="",1,$G392)*N($H392),2))</f>
        <v/>
      </c>
      <c r="J392" s="17">
        <f>IF($C392="","",IFERROR(VLOOKUP($C392,项目台账!$B:$C,2,0),"※项目不在项目台账里"))</f>
        <v/>
      </c>
      <c r="K392" s="13" t="n"/>
    </row>
    <row r="393">
      <c r="A393" s="17">
        <f>IF($C393="","",ROW()-3)</f>
        <v/>
      </c>
      <c r="B393" s="18" t="n"/>
      <c r="C393" s="13" t="n"/>
      <c r="D393" s="13" t="n"/>
      <c r="E393" s="13" t="n"/>
      <c r="F393" s="13" t="n"/>
      <c r="G393" s="20" t="n"/>
      <c r="H393" s="14" t="n"/>
      <c r="I393" s="19">
        <f>IF($C393="","",ROUND(IF($G393="",1,$G393)*N($H393),2))</f>
        <v/>
      </c>
      <c r="J393" s="17">
        <f>IF($C393="","",IFERROR(VLOOKUP($C393,项目台账!$B:$C,2,0),"※项目不在项目台账里"))</f>
        <v/>
      </c>
      <c r="K393" s="13" t="n"/>
    </row>
    <row r="394">
      <c r="A394" s="17">
        <f>IF($C394="","",ROW()-3)</f>
        <v/>
      </c>
      <c r="B394" s="18" t="n"/>
      <c r="C394" s="13" t="n"/>
      <c r="D394" s="13" t="n"/>
      <c r="E394" s="13" t="n"/>
      <c r="F394" s="13" t="n"/>
      <c r="G394" s="20" t="n"/>
      <c r="H394" s="14" t="n"/>
      <c r="I394" s="19">
        <f>IF($C394="","",ROUND(IF($G394="",1,$G394)*N($H394),2))</f>
        <v/>
      </c>
      <c r="J394" s="17">
        <f>IF($C394="","",IFERROR(VLOOKUP($C394,项目台账!$B:$C,2,0),"※项目不在项目台账里"))</f>
        <v/>
      </c>
      <c r="K394" s="13" t="n"/>
    </row>
    <row r="395">
      <c r="A395" s="17">
        <f>IF($C395="","",ROW()-3)</f>
        <v/>
      </c>
      <c r="B395" s="18" t="n"/>
      <c r="C395" s="13" t="n"/>
      <c r="D395" s="13" t="n"/>
      <c r="E395" s="13" t="n"/>
      <c r="F395" s="13" t="n"/>
      <c r="G395" s="20" t="n"/>
      <c r="H395" s="14" t="n"/>
      <c r="I395" s="19">
        <f>IF($C395="","",ROUND(IF($G395="",1,$G395)*N($H395),2))</f>
        <v/>
      </c>
      <c r="J395" s="17">
        <f>IF($C395="","",IFERROR(VLOOKUP($C395,项目台账!$B:$C,2,0),"※项目不在项目台账里"))</f>
        <v/>
      </c>
      <c r="K395" s="13" t="n"/>
    </row>
    <row r="396">
      <c r="A396" s="17">
        <f>IF($C396="","",ROW()-3)</f>
        <v/>
      </c>
      <c r="B396" s="18" t="n"/>
      <c r="C396" s="13" t="n"/>
      <c r="D396" s="13" t="n"/>
      <c r="E396" s="13" t="n"/>
      <c r="F396" s="13" t="n"/>
      <c r="G396" s="20" t="n"/>
      <c r="H396" s="14" t="n"/>
      <c r="I396" s="19">
        <f>IF($C396="","",ROUND(IF($G396="",1,$G396)*N($H396),2))</f>
        <v/>
      </c>
      <c r="J396" s="17">
        <f>IF($C396="","",IFERROR(VLOOKUP($C396,项目台账!$B:$C,2,0),"※项目不在项目台账里"))</f>
        <v/>
      </c>
      <c r="K396" s="13" t="n"/>
    </row>
    <row r="397">
      <c r="A397" s="17">
        <f>IF($C397="","",ROW()-3)</f>
        <v/>
      </c>
      <c r="B397" s="18" t="n"/>
      <c r="C397" s="13" t="n"/>
      <c r="D397" s="13" t="n"/>
      <c r="E397" s="13" t="n"/>
      <c r="F397" s="13" t="n"/>
      <c r="G397" s="20" t="n"/>
      <c r="H397" s="14" t="n"/>
      <c r="I397" s="19">
        <f>IF($C397="","",ROUND(IF($G397="",1,$G397)*N($H397),2))</f>
        <v/>
      </c>
      <c r="J397" s="17">
        <f>IF($C397="","",IFERROR(VLOOKUP($C397,项目台账!$B:$C,2,0),"※项目不在项目台账里"))</f>
        <v/>
      </c>
      <c r="K397" s="13" t="n"/>
    </row>
    <row r="398">
      <c r="A398" s="17">
        <f>IF($C398="","",ROW()-3)</f>
        <v/>
      </c>
      <c r="B398" s="18" t="n"/>
      <c r="C398" s="13" t="n"/>
      <c r="D398" s="13" t="n"/>
      <c r="E398" s="13" t="n"/>
      <c r="F398" s="13" t="n"/>
      <c r="G398" s="20" t="n"/>
      <c r="H398" s="14" t="n"/>
      <c r="I398" s="19">
        <f>IF($C398="","",ROUND(IF($G398="",1,$G398)*N($H398),2))</f>
        <v/>
      </c>
      <c r="J398" s="17">
        <f>IF($C398="","",IFERROR(VLOOKUP($C398,项目台账!$B:$C,2,0),"※项目不在项目台账里"))</f>
        <v/>
      </c>
      <c r="K398" s="13" t="n"/>
    </row>
    <row r="399">
      <c r="A399" s="17">
        <f>IF($C399="","",ROW()-3)</f>
        <v/>
      </c>
      <c r="B399" s="18" t="n"/>
      <c r="C399" s="13" t="n"/>
      <c r="D399" s="13" t="n"/>
      <c r="E399" s="13" t="n"/>
      <c r="F399" s="13" t="n"/>
      <c r="G399" s="20" t="n"/>
      <c r="H399" s="14" t="n"/>
      <c r="I399" s="19">
        <f>IF($C399="","",ROUND(IF($G399="",1,$G399)*N($H399),2))</f>
        <v/>
      </c>
      <c r="J399" s="17">
        <f>IF($C399="","",IFERROR(VLOOKUP($C399,项目台账!$B:$C,2,0),"※项目不在项目台账里"))</f>
        <v/>
      </c>
      <c r="K399" s="13" t="n"/>
    </row>
    <row r="400">
      <c r="A400" s="17">
        <f>IF($C400="","",ROW()-3)</f>
        <v/>
      </c>
      <c r="B400" s="18" t="n"/>
      <c r="C400" s="13" t="n"/>
      <c r="D400" s="13" t="n"/>
      <c r="E400" s="13" t="n"/>
      <c r="F400" s="13" t="n"/>
      <c r="G400" s="20" t="n"/>
      <c r="H400" s="14" t="n"/>
      <c r="I400" s="19">
        <f>IF($C400="","",ROUND(IF($G400="",1,$G400)*N($H400),2))</f>
        <v/>
      </c>
      <c r="J400" s="17">
        <f>IF($C400="","",IFERROR(VLOOKUP($C400,项目台账!$B:$C,2,0),"※项目不在项目台账里"))</f>
        <v/>
      </c>
      <c r="K400" s="13" t="n"/>
    </row>
    <row r="401">
      <c r="A401" s="17">
        <f>IF($C401="","",ROW()-3)</f>
        <v/>
      </c>
      <c r="B401" s="18" t="n"/>
      <c r="C401" s="13" t="n"/>
      <c r="D401" s="13" t="n"/>
      <c r="E401" s="13" t="n"/>
      <c r="F401" s="13" t="n"/>
      <c r="G401" s="20" t="n"/>
      <c r="H401" s="14" t="n"/>
      <c r="I401" s="19">
        <f>IF($C401="","",ROUND(IF($G401="",1,$G401)*N($H401),2))</f>
        <v/>
      </c>
      <c r="J401" s="17">
        <f>IF($C401="","",IFERROR(VLOOKUP($C401,项目台账!$B:$C,2,0),"※项目不在项目台账里"))</f>
        <v/>
      </c>
      <c r="K401" s="13" t="n"/>
    </row>
    <row r="402">
      <c r="A402" s="17">
        <f>IF($C402="","",ROW()-3)</f>
        <v/>
      </c>
      <c r="B402" s="18" t="n"/>
      <c r="C402" s="13" t="n"/>
      <c r="D402" s="13" t="n"/>
      <c r="E402" s="13" t="n"/>
      <c r="F402" s="13" t="n"/>
      <c r="G402" s="20" t="n"/>
      <c r="H402" s="14" t="n"/>
      <c r="I402" s="19">
        <f>IF($C402="","",ROUND(IF($G402="",1,$G402)*N($H402),2))</f>
        <v/>
      </c>
      <c r="J402" s="17">
        <f>IF($C402="","",IFERROR(VLOOKUP($C402,项目台账!$B:$C,2,0),"※项目不在项目台账里"))</f>
        <v/>
      </c>
      <c r="K402" s="13" t="n"/>
    </row>
    <row r="403">
      <c r="A403" s="17">
        <f>IF($C403="","",ROW()-3)</f>
        <v/>
      </c>
      <c r="B403" s="18" t="n"/>
      <c r="C403" s="13" t="n"/>
      <c r="D403" s="13" t="n"/>
      <c r="E403" s="13" t="n"/>
      <c r="F403" s="13" t="n"/>
      <c r="G403" s="20" t="n"/>
      <c r="H403" s="14" t="n"/>
      <c r="I403" s="19">
        <f>IF($C403="","",ROUND(IF($G403="",1,$G403)*N($H403),2))</f>
        <v/>
      </c>
      <c r="J403" s="17">
        <f>IF($C403="","",IFERROR(VLOOKUP($C403,项目台账!$B:$C,2,0),"※项目不在项目台账里"))</f>
        <v/>
      </c>
      <c r="K403" s="13" t="n"/>
    </row>
    <row r="404">
      <c r="A404" s="17">
        <f>IF($C404="","",ROW()-3)</f>
        <v/>
      </c>
      <c r="B404" s="18" t="n"/>
      <c r="C404" s="13" t="n"/>
      <c r="D404" s="13" t="n"/>
      <c r="E404" s="13" t="n"/>
      <c r="F404" s="13" t="n"/>
      <c r="G404" s="20" t="n"/>
      <c r="H404" s="14" t="n"/>
      <c r="I404" s="19">
        <f>IF($C404="","",ROUND(IF($G404="",1,$G404)*N($H404),2))</f>
        <v/>
      </c>
      <c r="J404" s="17">
        <f>IF($C404="","",IFERROR(VLOOKUP($C404,项目台账!$B:$C,2,0),"※项目不在项目台账里"))</f>
        <v/>
      </c>
      <c r="K404" s="13" t="n"/>
    </row>
    <row r="405">
      <c r="A405" s="17">
        <f>IF($C405="","",ROW()-3)</f>
        <v/>
      </c>
      <c r="B405" s="18" t="n"/>
      <c r="C405" s="13" t="n"/>
      <c r="D405" s="13" t="n"/>
      <c r="E405" s="13" t="n"/>
      <c r="F405" s="13" t="n"/>
      <c r="G405" s="20" t="n"/>
      <c r="H405" s="14" t="n"/>
      <c r="I405" s="19">
        <f>IF($C405="","",ROUND(IF($G405="",1,$G405)*N($H405),2))</f>
        <v/>
      </c>
      <c r="J405" s="17">
        <f>IF($C405="","",IFERROR(VLOOKUP($C405,项目台账!$B:$C,2,0),"※项目不在项目台账里"))</f>
        <v/>
      </c>
      <c r="K405" s="13" t="n"/>
    </row>
    <row r="406">
      <c r="A406" s="17">
        <f>IF($C406="","",ROW()-3)</f>
        <v/>
      </c>
      <c r="B406" s="18" t="n"/>
      <c r="C406" s="13" t="n"/>
      <c r="D406" s="13" t="n"/>
      <c r="E406" s="13" t="n"/>
      <c r="F406" s="13" t="n"/>
      <c r="G406" s="20" t="n"/>
      <c r="H406" s="14" t="n"/>
      <c r="I406" s="19">
        <f>IF($C406="","",ROUND(IF($G406="",1,$G406)*N($H406),2))</f>
        <v/>
      </c>
      <c r="J406" s="17">
        <f>IF($C406="","",IFERROR(VLOOKUP($C406,项目台账!$B:$C,2,0),"※项目不在项目台账里"))</f>
        <v/>
      </c>
      <c r="K406" s="13" t="n"/>
    </row>
    <row r="407">
      <c r="A407" s="17">
        <f>IF($C407="","",ROW()-3)</f>
        <v/>
      </c>
      <c r="B407" s="18" t="n"/>
      <c r="C407" s="13" t="n"/>
      <c r="D407" s="13" t="n"/>
      <c r="E407" s="13" t="n"/>
      <c r="F407" s="13" t="n"/>
      <c r="G407" s="20" t="n"/>
      <c r="H407" s="14" t="n"/>
      <c r="I407" s="19">
        <f>IF($C407="","",ROUND(IF($G407="",1,$G407)*N($H407),2))</f>
        <v/>
      </c>
      <c r="J407" s="17">
        <f>IF($C407="","",IFERROR(VLOOKUP($C407,项目台账!$B:$C,2,0),"※项目不在项目台账里"))</f>
        <v/>
      </c>
      <c r="K407" s="13" t="n"/>
    </row>
    <row r="408">
      <c r="A408" s="17">
        <f>IF($C408="","",ROW()-3)</f>
        <v/>
      </c>
      <c r="B408" s="18" t="n"/>
      <c r="C408" s="13" t="n"/>
      <c r="D408" s="13" t="n"/>
      <c r="E408" s="13" t="n"/>
      <c r="F408" s="13" t="n"/>
      <c r="G408" s="20" t="n"/>
      <c r="H408" s="14" t="n"/>
      <c r="I408" s="19">
        <f>IF($C408="","",ROUND(IF($G408="",1,$G408)*N($H408),2))</f>
        <v/>
      </c>
      <c r="J408" s="17">
        <f>IF($C408="","",IFERROR(VLOOKUP($C408,项目台账!$B:$C,2,0),"※项目不在项目台账里"))</f>
        <v/>
      </c>
      <c r="K408" s="13" t="n"/>
    </row>
    <row r="409">
      <c r="A409" s="17">
        <f>IF($C409="","",ROW()-3)</f>
        <v/>
      </c>
      <c r="B409" s="18" t="n"/>
      <c r="C409" s="13" t="n"/>
      <c r="D409" s="13" t="n"/>
      <c r="E409" s="13" t="n"/>
      <c r="F409" s="13" t="n"/>
      <c r="G409" s="20" t="n"/>
      <c r="H409" s="14" t="n"/>
      <c r="I409" s="19">
        <f>IF($C409="","",ROUND(IF($G409="",1,$G409)*N($H409),2))</f>
        <v/>
      </c>
      <c r="J409" s="17">
        <f>IF($C409="","",IFERROR(VLOOKUP($C409,项目台账!$B:$C,2,0),"※项目不在项目台账里"))</f>
        <v/>
      </c>
      <c r="K409" s="13" t="n"/>
    </row>
    <row r="410">
      <c r="A410" s="17">
        <f>IF($C410="","",ROW()-3)</f>
        <v/>
      </c>
      <c r="B410" s="18" t="n"/>
      <c r="C410" s="13" t="n"/>
      <c r="D410" s="13" t="n"/>
      <c r="E410" s="13" t="n"/>
      <c r="F410" s="13" t="n"/>
      <c r="G410" s="20" t="n"/>
      <c r="H410" s="14" t="n"/>
      <c r="I410" s="19">
        <f>IF($C410="","",ROUND(IF($G410="",1,$G410)*N($H410),2))</f>
        <v/>
      </c>
      <c r="J410" s="17">
        <f>IF($C410="","",IFERROR(VLOOKUP($C410,项目台账!$B:$C,2,0),"※项目不在项目台账里"))</f>
        <v/>
      </c>
      <c r="K410" s="13" t="n"/>
    </row>
    <row r="411">
      <c r="A411" s="17">
        <f>IF($C411="","",ROW()-3)</f>
        <v/>
      </c>
      <c r="B411" s="18" t="n"/>
      <c r="C411" s="13" t="n"/>
      <c r="D411" s="13" t="n"/>
      <c r="E411" s="13" t="n"/>
      <c r="F411" s="13" t="n"/>
      <c r="G411" s="20" t="n"/>
      <c r="H411" s="14" t="n"/>
      <c r="I411" s="19">
        <f>IF($C411="","",ROUND(IF($G411="",1,$G411)*N($H411),2))</f>
        <v/>
      </c>
      <c r="J411" s="17">
        <f>IF($C411="","",IFERROR(VLOOKUP($C411,项目台账!$B:$C,2,0),"※项目不在项目台账里"))</f>
        <v/>
      </c>
      <c r="K411" s="13" t="n"/>
    </row>
    <row r="412">
      <c r="A412" s="17">
        <f>IF($C412="","",ROW()-3)</f>
        <v/>
      </c>
      <c r="B412" s="18" t="n"/>
      <c r="C412" s="13" t="n"/>
      <c r="D412" s="13" t="n"/>
      <c r="E412" s="13" t="n"/>
      <c r="F412" s="13" t="n"/>
      <c r="G412" s="20" t="n"/>
      <c r="H412" s="14" t="n"/>
      <c r="I412" s="19">
        <f>IF($C412="","",ROUND(IF($G412="",1,$G412)*N($H412),2))</f>
        <v/>
      </c>
      <c r="J412" s="17">
        <f>IF($C412="","",IFERROR(VLOOKUP($C412,项目台账!$B:$C,2,0),"※项目不在项目台账里"))</f>
        <v/>
      </c>
      <c r="K412" s="13" t="n"/>
    </row>
    <row r="413">
      <c r="A413" s="17">
        <f>IF($C413="","",ROW()-3)</f>
        <v/>
      </c>
      <c r="B413" s="18" t="n"/>
      <c r="C413" s="13" t="n"/>
      <c r="D413" s="13" t="n"/>
      <c r="E413" s="13" t="n"/>
      <c r="F413" s="13" t="n"/>
      <c r="G413" s="20" t="n"/>
      <c r="H413" s="14" t="n"/>
      <c r="I413" s="19">
        <f>IF($C413="","",ROUND(IF($G413="",1,$G413)*N($H413),2))</f>
        <v/>
      </c>
      <c r="J413" s="17">
        <f>IF($C413="","",IFERROR(VLOOKUP($C413,项目台账!$B:$C,2,0),"※项目不在项目台账里"))</f>
        <v/>
      </c>
      <c r="K413" s="13" t="n"/>
    </row>
    <row r="414">
      <c r="A414" s="17">
        <f>IF($C414="","",ROW()-3)</f>
        <v/>
      </c>
      <c r="B414" s="18" t="n"/>
      <c r="C414" s="13" t="n"/>
      <c r="D414" s="13" t="n"/>
      <c r="E414" s="13" t="n"/>
      <c r="F414" s="13" t="n"/>
      <c r="G414" s="20" t="n"/>
      <c r="H414" s="14" t="n"/>
      <c r="I414" s="19">
        <f>IF($C414="","",ROUND(IF($G414="",1,$G414)*N($H414),2))</f>
        <v/>
      </c>
      <c r="J414" s="17">
        <f>IF($C414="","",IFERROR(VLOOKUP($C414,项目台账!$B:$C,2,0),"※项目不在项目台账里"))</f>
        <v/>
      </c>
      <c r="K414" s="13" t="n"/>
    </row>
    <row r="415">
      <c r="A415" s="17">
        <f>IF($C415="","",ROW()-3)</f>
        <v/>
      </c>
      <c r="B415" s="18" t="n"/>
      <c r="C415" s="13" t="n"/>
      <c r="D415" s="13" t="n"/>
      <c r="E415" s="13" t="n"/>
      <c r="F415" s="13" t="n"/>
      <c r="G415" s="20" t="n"/>
      <c r="H415" s="14" t="n"/>
      <c r="I415" s="19">
        <f>IF($C415="","",ROUND(IF($G415="",1,$G415)*N($H415),2))</f>
        <v/>
      </c>
      <c r="J415" s="17">
        <f>IF($C415="","",IFERROR(VLOOKUP($C415,项目台账!$B:$C,2,0),"※项目不在项目台账里"))</f>
        <v/>
      </c>
      <c r="K415" s="13" t="n"/>
    </row>
    <row r="416">
      <c r="A416" s="17">
        <f>IF($C416="","",ROW()-3)</f>
        <v/>
      </c>
      <c r="B416" s="18" t="n"/>
      <c r="C416" s="13" t="n"/>
      <c r="D416" s="13" t="n"/>
      <c r="E416" s="13" t="n"/>
      <c r="F416" s="13" t="n"/>
      <c r="G416" s="20" t="n"/>
      <c r="H416" s="14" t="n"/>
      <c r="I416" s="19">
        <f>IF($C416="","",ROUND(IF($G416="",1,$G416)*N($H416),2))</f>
        <v/>
      </c>
      <c r="J416" s="17">
        <f>IF($C416="","",IFERROR(VLOOKUP($C416,项目台账!$B:$C,2,0),"※项目不在项目台账里"))</f>
        <v/>
      </c>
      <c r="K416" s="13" t="n"/>
    </row>
    <row r="417">
      <c r="A417" s="17">
        <f>IF($C417="","",ROW()-3)</f>
        <v/>
      </c>
      <c r="B417" s="18" t="n"/>
      <c r="C417" s="13" t="n"/>
      <c r="D417" s="13" t="n"/>
      <c r="E417" s="13" t="n"/>
      <c r="F417" s="13" t="n"/>
      <c r="G417" s="20" t="n"/>
      <c r="H417" s="14" t="n"/>
      <c r="I417" s="19">
        <f>IF($C417="","",ROUND(IF($G417="",1,$G417)*N($H417),2))</f>
        <v/>
      </c>
      <c r="J417" s="17">
        <f>IF($C417="","",IFERROR(VLOOKUP($C417,项目台账!$B:$C,2,0),"※项目不在项目台账里"))</f>
        <v/>
      </c>
      <c r="K417" s="13" t="n"/>
    </row>
    <row r="418">
      <c r="A418" s="17">
        <f>IF($C418="","",ROW()-3)</f>
        <v/>
      </c>
      <c r="B418" s="18" t="n"/>
      <c r="C418" s="13" t="n"/>
      <c r="D418" s="13" t="n"/>
      <c r="E418" s="13" t="n"/>
      <c r="F418" s="13" t="n"/>
      <c r="G418" s="20" t="n"/>
      <c r="H418" s="14" t="n"/>
      <c r="I418" s="19">
        <f>IF($C418="","",ROUND(IF($G418="",1,$G418)*N($H418),2))</f>
        <v/>
      </c>
      <c r="J418" s="17">
        <f>IF($C418="","",IFERROR(VLOOKUP($C418,项目台账!$B:$C,2,0),"※项目不在项目台账里"))</f>
        <v/>
      </c>
      <c r="K418" s="13" t="n"/>
    </row>
    <row r="419">
      <c r="A419" s="17">
        <f>IF($C419="","",ROW()-3)</f>
        <v/>
      </c>
      <c r="B419" s="18" t="n"/>
      <c r="C419" s="13" t="n"/>
      <c r="D419" s="13" t="n"/>
      <c r="E419" s="13" t="n"/>
      <c r="F419" s="13" t="n"/>
      <c r="G419" s="20" t="n"/>
      <c r="H419" s="14" t="n"/>
      <c r="I419" s="19">
        <f>IF($C419="","",ROUND(IF($G419="",1,$G419)*N($H419),2))</f>
        <v/>
      </c>
      <c r="J419" s="17">
        <f>IF($C419="","",IFERROR(VLOOKUP($C419,项目台账!$B:$C,2,0),"※项目不在项目台账里"))</f>
        <v/>
      </c>
      <c r="K419" s="13" t="n"/>
    </row>
    <row r="420">
      <c r="A420" s="17">
        <f>IF($C420="","",ROW()-3)</f>
        <v/>
      </c>
      <c r="B420" s="18" t="n"/>
      <c r="C420" s="13" t="n"/>
      <c r="D420" s="13" t="n"/>
      <c r="E420" s="13" t="n"/>
      <c r="F420" s="13" t="n"/>
      <c r="G420" s="20" t="n"/>
      <c r="H420" s="14" t="n"/>
      <c r="I420" s="19">
        <f>IF($C420="","",ROUND(IF($G420="",1,$G420)*N($H420),2))</f>
        <v/>
      </c>
      <c r="J420" s="17">
        <f>IF($C420="","",IFERROR(VLOOKUP($C420,项目台账!$B:$C,2,0),"※项目不在项目台账里"))</f>
        <v/>
      </c>
      <c r="K420" s="13" t="n"/>
    </row>
    <row r="421">
      <c r="A421" s="17">
        <f>IF($C421="","",ROW()-3)</f>
        <v/>
      </c>
      <c r="B421" s="18" t="n"/>
      <c r="C421" s="13" t="n"/>
      <c r="D421" s="13" t="n"/>
      <c r="E421" s="13" t="n"/>
      <c r="F421" s="13" t="n"/>
      <c r="G421" s="20" t="n"/>
      <c r="H421" s="14" t="n"/>
      <c r="I421" s="19">
        <f>IF($C421="","",ROUND(IF($G421="",1,$G421)*N($H421),2))</f>
        <v/>
      </c>
      <c r="J421" s="17">
        <f>IF($C421="","",IFERROR(VLOOKUP($C421,项目台账!$B:$C,2,0),"※项目不在项目台账里"))</f>
        <v/>
      </c>
      <c r="K421" s="13" t="n"/>
    </row>
    <row r="422">
      <c r="A422" s="17">
        <f>IF($C422="","",ROW()-3)</f>
        <v/>
      </c>
      <c r="B422" s="18" t="n"/>
      <c r="C422" s="13" t="n"/>
      <c r="D422" s="13" t="n"/>
      <c r="E422" s="13" t="n"/>
      <c r="F422" s="13" t="n"/>
      <c r="G422" s="20" t="n"/>
      <c r="H422" s="14" t="n"/>
      <c r="I422" s="19">
        <f>IF($C422="","",ROUND(IF($G422="",1,$G422)*N($H422),2))</f>
        <v/>
      </c>
      <c r="J422" s="17">
        <f>IF($C422="","",IFERROR(VLOOKUP($C422,项目台账!$B:$C,2,0),"※项目不在项目台账里"))</f>
        <v/>
      </c>
      <c r="K422" s="13" t="n"/>
    </row>
    <row r="423">
      <c r="A423" s="17">
        <f>IF($C423="","",ROW()-3)</f>
        <v/>
      </c>
      <c r="B423" s="18" t="n"/>
      <c r="C423" s="13" t="n"/>
      <c r="D423" s="13" t="n"/>
      <c r="E423" s="13" t="n"/>
      <c r="F423" s="13" t="n"/>
      <c r="G423" s="20" t="n"/>
      <c r="H423" s="14" t="n"/>
      <c r="I423" s="19">
        <f>IF($C423="","",ROUND(IF($G423="",1,$G423)*N($H423),2))</f>
        <v/>
      </c>
      <c r="J423" s="17">
        <f>IF($C423="","",IFERROR(VLOOKUP($C423,项目台账!$B:$C,2,0),"※项目不在项目台账里"))</f>
        <v/>
      </c>
      <c r="K423" s="13" t="n"/>
    </row>
    <row r="424">
      <c r="A424" s="17">
        <f>IF($C424="","",ROW()-3)</f>
        <v/>
      </c>
      <c r="B424" s="18" t="n"/>
      <c r="C424" s="13" t="n"/>
      <c r="D424" s="13" t="n"/>
      <c r="E424" s="13" t="n"/>
      <c r="F424" s="13" t="n"/>
      <c r="G424" s="20" t="n"/>
      <c r="H424" s="14" t="n"/>
      <c r="I424" s="19">
        <f>IF($C424="","",ROUND(IF($G424="",1,$G424)*N($H424),2))</f>
        <v/>
      </c>
      <c r="J424" s="17">
        <f>IF($C424="","",IFERROR(VLOOKUP($C424,项目台账!$B:$C,2,0),"※项目不在项目台账里"))</f>
        <v/>
      </c>
      <c r="K424" s="13" t="n"/>
    </row>
    <row r="425">
      <c r="A425" s="17">
        <f>IF($C425="","",ROW()-3)</f>
        <v/>
      </c>
      <c r="B425" s="18" t="n"/>
      <c r="C425" s="13" t="n"/>
      <c r="D425" s="13" t="n"/>
      <c r="E425" s="13" t="n"/>
      <c r="F425" s="13" t="n"/>
      <c r="G425" s="20" t="n"/>
      <c r="H425" s="14" t="n"/>
      <c r="I425" s="19">
        <f>IF($C425="","",ROUND(IF($G425="",1,$G425)*N($H425),2))</f>
        <v/>
      </c>
      <c r="J425" s="17">
        <f>IF($C425="","",IFERROR(VLOOKUP($C425,项目台账!$B:$C,2,0),"※项目不在项目台账里"))</f>
        <v/>
      </c>
      <c r="K425" s="13" t="n"/>
    </row>
    <row r="426">
      <c r="A426" s="17">
        <f>IF($C426="","",ROW()-3)</f>
        <v/>
      </c>
      <c r="B426" s="18" t="n"/>
      <c r="C426" s="13" t="n"/>
      <c r="D426" s="13" t="n"/>
      <c r="E426" s="13" t="n"/>
      <c r="F426" s="13" t="n"/>
      <c r="G426" s="20" t="n"/>
      <c r="H426" s="14" t="n"/>
      <c r="I426" s="19">
        <f>IF($C426="","",ROUND(IF($G426="",1,$G426)*N($H426),2))</f>
        <v/>
      </c>
      <c r="J426" s="17">
        <f>IF($C426="","",IFERROR(VLOOKUP($C426,项目台账!$B:$C,2,0),"※项目不在项目台账里"))</f>
        <v/>
      </c>
      <c r="K426" s="13" t="n"/>
    </row>
    <row r="427">
      <c r="A427" s="17">
        <f>IF($C427="","",ROW()-3)</f>
        <v/>
      </c>
      <c r="B427" s="18" t="n"/>
      <c r="C427" s="13" t="n"/>
      <c r="D427" s="13" t="n"/>
      <c r="E427" s="13" t="n"/>
      <c r="F427" s="13" t="n"/>
      <c r="G427" s="20" t="n"/>
      <c r="H427" s="14" t="n"/>
      <c r="I427" s="19">
        <f>IF($C427="","",ROUND(IF($G427="",1,$G427)*N($H427),2))</f>
        <v/>
      </c>
      <c r="J427" s="17">
        <f>IF($C427="","",IFERROR(VLOOKUP($C427,项目台账!$B:$C,2,0),"※项目不在项目台账里"))</f>
        <v/>
      </c>
      <c r="K427" s="13" t="n"/>
    </row>
    <row r="428">
      <c r="A428" s="17">
        <f>IF($C428="","",ROW()-3)</f>
        <v/>
      </c>
      <c r="B428" s="18" t="n"/>
      <c r="C428" s="13" t="n"/>
      <c r="D428" s="13" t="n"/>
      <c r="E428" s="13" t="n"/>
      <c r="F428" s="13" t="n"/>
      <c r="G428" s="20" t="n"/>
      <c r="H428" s="14" t="n"/>
      <c r="I428" s="19">
        <f>IF($C428="","",ROUND(IF($G428="",1,$G428)*N($H428),2))</f>
        <v/>
      </c>
      <c r="J428" s="17">
        <f>IF($C428="","",IFERROR(VLOOKUP($C428,项目台账!$B:$C,2,0),"※项目不在项目台账里"))</f>
        <v/>
      </c>
      <c r="K428" s="13" t="n"/>
    </row>
    <row r="429">
      <c r="A429" s="17">
        <f>IF($C429="","",ROW()-3)</f>
        <v/>
      </c>
      <c r="B429" s="18" t="n"/>
      <c r="C429" s="13" t="n"/>
      <c r="D429" s="13" t="n"/>
      <c r="E429" s="13" t="n"/>
      <c r="F429" s="13" t="n"/>
      <c r="G429" s="20" t="n"/>
      <c r="H429" s="14" t="n"/>
      <c r="I429" s="19">
        <f>IF($C429="","",ROUND(IF($G429="",1,$G429)*N($H429),2))</f>
        <v/>
      </c>
      <c r="J429" s="17">
        <f>IF($C429="","",IFERROR(VLOOKUP($C429,项目台账!$B:$C,2,0),"※项目不在项目台账里"))</f>
        <v/>
      </c>
      <c r="K429" s="13" t="n"/>
    </row>
    <row r="430">
      <c r="A430" s="17">
        <f>IF($C430="","",ROW()-3)</f>
        <v/>
      </c>
      <c r="B430" s="18" t="n"/>
      <c r="C430" s="13" t="n"/>
      <c r="D430" s="13" t="n"/>
      <c r="E430" s="13" t="n"/>
      <c r="F430" s="13" t="n"/>
      <c r="G430" s="20" t="n"/>
      <c r="H430" s="14" t="n"/>
      <c r="I430" s="19">
        <f>IF($C430="","",ROUND(IF($G430="",1,$G430)*N($H430),2))</f>
        <v/>
      </c>
      <c r="J430" s="17">
        <f>IF($C430="","",IFERROR(VLOOKUP($C430,项目台账!$B:$C,2,0),"※项目不在项目台账里"))</f>
        <v/>
      </c>
      <c r="K430" s="13" t="n"/>
    </row>
    <row r="431">
      <c r="A431" s="17">
        <f>IF($C431="","",ROW()-3)</f>
        <v/>
      </c>
      <c r="B431" s="18" t="n"/>
      <c r="C431" s="13" t="n"/>
      <c r="D431" s="13" t="n"/>
      <c r="E431" s="13" t="n"/>
      <c r="F431" s="13" t="n"/>
      <c r="G431" s="20" t="n"/>
      <c r="H431" s="14" t="n"/>
      <c r="I431" s="19">
        <f>IF($C431="","",ROUND(IF($G431="",1,$G431)*N($H431),2))</f>
        <v/>
      </c>
      <c r="J431" s="17">
        <f>IF($C431="","",IFERROR(VLOOKUP($C431,项目台账!$B:$C,2,0),"※项目不在项目台账里"))</f>
        <v/>
      </c>
      <c r="K431" s="13" t="n"/>
    </row>
    <row r="432">
      <c r="A432" s="17">
        <f>IF($C432="","",ROW()-3)</f>
        <v/>
      </c>
      <c r="B432" s="18" t="n"/>
      <c r="C432" s="13" t="n"/>
      <c r="D432" s="13" t="n"/>
      <c r="E432" s="13" t="n"/>
      <c r="F432" s="13" t="n"/>
      <c r="G432" s="20" t="n"/>
      <c r="H432" s="14" t="n"/>
      <c r="I432" s="19">
        <f>IF($C432="","",ROUND(IF($G432="",1,$G432)*N($H432),2))</f>
        <v/>
      </c>
      <c r="J432" s="17">
        <f>IF($C432="","",IFERROR(VLOOKUP($C432,项目台账!$B:$C,2,0),"※项目不在项目台账里"))</f>
        <v/>
      </c>
      <c r="K432" s="13" t="n"/>
    </row>
    <row r="433">
      <c r="A433" s="17">
        <f>IF($C433="","",ROW()-3)</f>
        <v/>
      </c>
      <c r="B433" s="18" t="n"/>
      <c r="C433" s="13" t="n"/>
      <c r="D433" s="13" t="n"/>
      <c r="E433" s="13" t="n"/>
      <c r="F433" s="13" t="n"/>
      <c r="G433" s="20" t="n"/>
      <c r="H433" s="14" t="n"/>
      <c r="I433" s="19">
        <f>IF($C433="","",ROUND(IF($G433="",1,$G433)*N($H433),2))</f>
        <v/>
      </c>
      <c r="J433" s="17">
        <f>IF($C433="","",IFERROR(VLOOKUP($C433,项目台账!$B:$C,2,0),"※项目不在项目台账里"))</f>
        <v/>
      </c>
      <c r="K433" s="13" t="n"/>
    </row>
    <row r="434">
      <c r="A434" s="17">
        <f>IF($C434="","",ROW()-3)</f>
        <v/>
      </c>
      <c r="B434" s="18" t="n"/>
      <c r="C434" s="13" t="n"/>
      <c r="D434" s="13" t="n"/>
      <c r="E434" s="13" t="n"/>
      <c r="F434" s="13" t="n"/>
      <c r="G434" s="20" t="n"/>
      <c r="H434" s="14" t="n"/>
      <c r="I434" s="19">
        <f>IF($C434="","",ROUND(IF($G434="",1,$G434)*N($H434),2))</f>
        <v/>
      </c>
      <c r="J434" s="17">
        <f>IF($C434="","",IFERROR(VLOOKUP($C434,项目台账!$B:$C,2,0),"※项目不在项目台账里"))</f>
        <v/>
      </c>
      <c r="K434" s="13" t="n"/>
    </row>
    <row r="435">
      <c r="A435" s="17">
        <f>IF($C435="","",ROW()-3)</f>
        <v/>
      </c>
      <c r="B435" s="18" t="n"/>
      <c r="C435" s="13" t="n"/>
      <c r="D435" s="13" t="n"/>
      <c r="E435" s="13" t="n"/>
      <c r="F435" s="13" t="n"/>
      <c r="G435" s="20" t="n"/>
      <c r="H435" s="14" t="n"/>
      <c r="I435" s="19">
        <f>IF($C435="","",ROUND(IF($G435="",1,$G435)*N($H435),2))</f>
        <v/>
      </c>
      <c r="J435" s="17">
        <f>IF($C435="","",IFERROR(VLOOKUP($C435,项目台账!$B:$C,2,0),"※项目不在项目台账里"))</f>
        <v/>
      </c>
      <c r="K435" s="13" t="n"/>
    </row>
    <row r="436">
      <c r="A436" s="17">
        <f>IF($C436="","",ROW()-3)</f>
        <v/>
      </c>
      <c r="B436" s="18" t="n"/>
      <c r="C436" s="13" t="n"/>
      <c r="D436" s="13" t="n"/>
      <c r="E436" s="13" t="n"/>
      <c r="F436" s="13" t="n"/>
      <c r="G436" s="20" t="n"/>
      <c r="H436" s="14" t="n"/>
      <c r="I436" s="19">
        <f>IF($C436="","",ROUND(IF($G436="",1,$G436)*N($H436),2))</f>
        <v/>
      </c>
      <c r="J436" s="17">
        <f>IF($C436="","",IFERROR(VLOOKUP($C436,项目台账!$B:$C,2,0),"※项目不在项目台账里"))</f>
        <v/>
      </c>
      <c r="K436" s="13" t="n"/>
    </row>
    <row r="437">
      <c r="A437" s="17">
        <f>IF($C437="","",ROW()-3)</f>
        <v/>
      </c>
      <c r="B437" s="18" t="n"/>
      <c r="C437" s="13" t="n"/>
      <c r="D437" s="13" t="n"/>
      <c r="E437" s="13" t="n"/>
      <c r="F437" s="13" t="n"/>
      <c r="G437" s="20" t="n"/>
      <c r="H437" s="14" t="n"/>
      <c r="I437" s="19">
        <f>IF($C437="","",ROUND(IF($G437="",1,$G437)*N($H437),2))</f>
        <v/>
      </c>
      <c r="J437" s="17">
        <f>IF($C437="","",IFERROR(VLOOKUP($C437,项目台账!$B:$C,2,0),"※项目不在项目台账里"))</f>
        <v/>
      </c>
      <c r="K437" s="13" t="n"/>
    </row>
    <row r="438">
      <c r="A438" s="17">
        <f>IF($C438="","",ROW()-3)</f>
        <v/>
      </c>
      <c r="B438" s="18" t="n"/>
      <c r="C438" s="13" t="n"/>
      <c r="D438" s="13" t="n"/>
      <c r="E438" s="13" t="n"/>
      <c r="F438" s="13" t="n"/>
      <c r="G438" s="20" t="n"/>
      <c r="H438" s="14" t="n"/>
      <c r="I438" s="19">
        <f>IF($C438="","",ROUND(IF($G438="",1,$G438)*N($H438),2))</f>
        <v/>
      </c>
      <c r="J438" s="17">
        <f>IF($C438="","",IFERROR(VLOOKUP($C438,项目台账!$B:$C,2,0),"※项目不在项目台账里"))</f>
        <v/>
      </c>
      <c r="K438" s="13" t="n"/>
    </row>
    <row r="439">
      <c r="A439" s="17">
        <f>IF($C439="","",ROW()-3)</f>
        <v/>
      </c>
      <c r="B439" s="18" t="n"/>
      <c r="C439" s="13" t="n"/>
      <c r="D439" s="13" t="n"/>
      <c r="E439" s="13" t="n"/>
      <c r="F439" s="13" t="n"/>
      <c r="G439" s="20" t="n"/>
      <c r="H439" s="14" t="n"/>
      <c r="I439" s="19">
        <f>IF($C439="","",ROUND(IF($G439="",1,$G439)*N($H439),2))</f>
        <v/>
      </c>
      <c r="J439" s="17">
        <f>IF($C439="","",IFERROR(VLOOKUP($C439,项目台账!$B:$C,2,0),"※项目不在项目台账里"))</f>
        <v/>
      </c>
      <c r="K439" s="13" t="n"/>
    </row>
    <row r="440">
      <c r="A440" s="17">
        <f>IF($C440="","",ROW()-3)</f>
        <v/>
      </c>
      <c r="B440" s="18" t="n"/>
      <c r="C440" s="13" t="n"/>
      <c r="D440" s="13" t="n"/>
      <c r="E440" s="13" t="n"/>
      <c r="F440" s="13" t="n"/>
      <c r="G440" s="20" t="n"/>
      <c r="H440" s="14" t="n"/>
      <c r="I440" s="19">
        <f>IF($C440="","",ROUND(IF($G440="",1,$G440)*N($H440),2))</f>
        <v/>
      </c>
      <c r="J440" s="17">
        <f>IF($C440="","",IFERROR(VLOOKUP($C440,项目台账!$B:$C,2,0),"※项目不在项目台账里"))</f>
        <v/>
      </c>
      <c r="K440" s="13" t="n"/>
    </row>
    <row r="441">
      <c r="A441" s="17">
        <f>IF($C441="","",ROW()-3)</f>
        <v/>
      </c>
      <c r="B441" s="18" t="n"/>
      <c r="C441" s="13" t="n"/>
      <c r="D441" s="13" t="n"/>
      <c r="E441" s="13" t="n"/>
      <c r="F441" s="13" t="n"/>
      <c r="G441" s="20" t="n"/>
      <c r="H441" s="14" t="n"/>
      <c r="I441" s="19">
        <f>IF($C441="","",ROUND(IF($G441="",1,$G441)*N($H441),2))</f>
        <v/>
      </c>
      <c r="J441" s="17">
        <f>IF($C441="","",IFERROR(VLOOKUP($C441,项目台账!$B:$C,2,0),"※项目不在项目台账里"))</f>
        <v/>
      </c>
      <c r="K441" s="13" t="n"/>
    </row>
    <row r="442">
      <c r="A442" s="17">
        <f>IF($C442="","",ROW()-3)</f>
        <v/>
      </c>
      <c r="B442" s="18" t="n"/>
      <c r="C442" s="13" t="n"/>
      <c r="D442" s="13" t="n"/>
      <c r="E442" s="13" t="n"/>
      <c r="F442" s="13" t="n"/>
      <c r="G442" s="20" t="n"/>
      <c r="H442" s="14" t="n"/>
      <c r="I442" s="19">
        <f>IF($C442="","",ROUND(IF($G442="",1,$G442)*N($H442),2))</f>
        <v/>
      </c>
      <c r="J442" s="17">
        <f>IF($C442="","",IFERROR(VLOOKUP($C442,项目台账!$B:$C,2,0),"※项目不在项目台账里"))</f>
        <v/>
      </c>
      <c r="K442" s="13" t="n"/>
    </row>
    <row r="443">
      <c r="A443" s="17">
        <f>IF($C443="","",ROW()-3)</f>
        <v/>
      </c>
      <c r="B443" s="18" t="n"/>
      <c r="C443" s="13" t="n"/>
      <c r="D443" s="13" t="n"/>
      <c r="E443" s="13" t="n"/>
      <c r="F443" s="13" t="n"/>
      <c r="G443" s="20" t="n"/>
      <c r="H443" s="14" t="n"/>
      <c r="I443" s="19">
        <f>IF($C443="","",ROUND(IF($G443="",1,$G443)*N($H443),2))</f>
        <v/>
      </c>
      <c r="J443" s="17">
        <f>IF($C443="","",IFERROR(VLOOKUP($C443,项目台账!$B:$C,2,0),"※项目不在项目台账里"))</f>
        <v/>
      </c>
      <c r="K443" s="13" t="n"/>
    </row>
    <row r="444">
      <c r="A444" s="17">
        <f>IF($C444="","",ROW()-3)</f>
        <v/>
      </c>
      <c r="B444" s="18" t="n"/>
      <c r="C444" s="13" t="n"/>
      <c r="D444" s="13" t="n"/>
      <c r="E444" s="13" t="n"/>
      <c r="F444" s="13" t="n"/>
      <c r="G444" s="20" t="n"/>
      <c r="H444" s="14" t="n"/>
      <c r="I444" s="19">
        <f>IF($C444="","",ROUND(IF($G444="",1,$G444)*N($H444),2))</f>
        <v/>
      </c>
      <c r="J444" s="17">
        <f>IF($C444="","",IFERROR(VLOOKUP($C444,项目台账!$B:$C,2,0),"※项目不在项目台账里"))</f>
        <v/>
      </c>
      <c r="K444" s="13" t="n"/>
    </row>
    <row r="445">
      <c r="A445" s="17">
        <f>IF($C445="","",ROW()-3)</f>
        <v/>
      </c>
      <c r="B445" s="18" t="n"/>
      <c r="C445" s="13" t="n"/>
      <c r="D445" s="13" t="n"/>
      <c r="E445" s="13" t="n"/>
      <c r="F445" s="13" t="n"/>
      <c r="G445" s="20" t="n"/>
      <c r="H445" s="14" t="n"/>
      <c r="I445" s="19">
        <f>IF($C445="","",ROUND(IF($G445="",1,$G445)*N($H445),2))</f>
        <v/>
      </c>
      <c r="J445" s="17">
        <f>IF($C445="","",IFERROR(VLOOKUP($C445,项目台账!$B:$C,2,0),"※项目不在项目台账里"))</f>
        <v/>
      </c>
      <c r="K445" s="13" t="n"/>
    </row>
    <row r="446">
      <c r="A446" s="17">
        <f>IF($C446="","",ROW()-3)</f>
        <v/>
      </c>
      <c r="B446" s="18" t="n"/>
      <c r="C446" s="13" t="n"/>
      <c r="D446" s="13" t="n"/>
      <c r="E446" s="13" t="n"/>
      <c r="F446" s="13" t="n"/>
      <c r="G446" s="20" t="n"/>
      <c r="H446" s="14" t="n"/>
      <c r="I446" s="19">
        <f>IF($C446="","",ROUND(IF($G446="",1,$G446)*N($H446),2))</f>
        <v/>
      </c>
      <c r="J446" s="17">
        <f>IF($C446="","",IFERROR(VLOOKUP($C446,项目台账!$B:$C,2,0),"※项目不在项目台账里"))</f>
        <v/>
      </c>
      <c r="K446" s="13" t="n"/>
    </row>
    <row r="447">
      <c r="A447" s="17">
        <f>IF($C447="","",ROW()-3)</f>
        <v/>
      </c>
      <c r="B447" s="18" t="n"/>
      <c r="C447" s="13" t="n"/>
      <c r="D447" s="13" t="n"/>
      <c r="E447" s="13" t="n"/>
      <c r="F447" s="13" t="n"/>
      <c r="G447" s="20" t="n"/>
      <c r="H447" s="14" t="n"/>
      <c r="I447" s="19">
        <f>IF($C447="","",ROUND(IF($G447="",1,$G447)*N($H447),2))</f>
        <v/>
      </c>
      <c r="J447" s="17">
        <f>IF($C447="","",IFERROR(VLOOKUP($C447,项目台账!$B:$C,2,0),"※项目不在项目台账里"))</f>
        <v/>
      </c>
      <c r="K447" s="13" t="n"/>
    </row>
    <row r="448">
      <c r="A448" s="17">
        <f>IF($C448="","",ROW()-3)</f>
        <v/>
      </c>
      <c r="B448" s="18" t="n"/>
      <c r="C448" s="13" t="n"/>
      <c r="D448" s="13" t="n"/>
      <c r="E448" s="13" t="n"/>
      <c r="F448" s="13" t="n"/>
      <c r="G448" s="20" t="n"/>
      <c r="H448" s="14" t="n"/>
      <c r="I448" s="19">
        <f>IF($C448="","",ROUND(IF($G448="",1,$G448)*N($H448),2))</f>
        <v/>
      </c>
      <c r="J448" s="17">
        <f>IF($C448="","",IFERROR(VLOOKUP($C448,项目台账!$B:$C,2,0),"※项目不在项目台账里"))</f>
        <v/>
      </c>
      <c r="K448" s="13" t="n"/>
    </row>
    <row r="449">
      <c r="A449" s="17">
        <f>IF($C449="","",ROW()-3)</f>
        <v/>
      </c>
      <c r="B449" s="18" t="n"/>
      <c r="C449" s="13" t="n"/>
      <c r="D449" s="13" t="n"/>
      <c r="E449" s="13" t="n"/>
      <c r="F449" s="13" t="n"/>
      <c r="G449" s="20" t="n"/>
      <c r="H449" s="14" t="n"/>
      <c r="I449" s="19">
        <f>IF($C449="","",ROUND(IF($G449="",1,$G449)*N($H449),2))</f>
        <v/>
      </c>
      <c r="J449" s="17">
        <f>IF($C449="","",IFERROR(VLOOKUP($C449,项目台账!$B:$C,2,0),"※项目不在项目台账里"))</f>
        <v/>
      </c>
      <c r="K449" s="13" t="n"/>
    </row>
    <row r="450">
      <c r="A450" s="17">
        <f>IF($C450="","",ROW()-3)</f>
        <v/>
      </c>
      <c r="B450" s="18" t="n"/>
      <c r="C450" s="13" t="n"/>
      <c r="D450" s="13" t="n"/>
      <c r="E450" s="13" t="n"/>
      <c r="F450" s="13" t="n"/>
      <c r="G450" s="20" t="n"/>
      <c r="H450" s="14" t="n"/>
      <c r="I450" s="19">
        <f>IF($C450="","",ROUND(IF($G450="",1,$G450)*N($H450),2))</f>
        <v/>
      </c>
      <c r="J450" s="17">
        <f>IF($C450="","",IFERROR(VLOOKUP($C450,项目台账!$B:$C,2,0),"※项目不在项目台账里"))</f>
        <v/>
      </c>
      <c r="K450" s="13" t="n"/>
    </row>
    <row r="451">
      <c r="A451" s="17">
        <f>IF($C451="","",ROW()-3)</f>
        <v/>
      </c>
      <c r="B451" s="18" t="n"/>
      <c r="C451" s="13" t="n"/>
      <c r="D451" s="13" t="n"/>
      <c r="E451" s="13" t="n"/>
      <c r="F451" s="13" t="n"/>
      <c r="G451" s="20" t="n"/>
      <c r="H451" s="14" t="n"/>
      <c r="I451" s="19">
        <f>IF($C451="","",ROUND(IF($G451="",1,$G451)*N($H451),2))</f>
        <v/>
      </c>
      <c r="J451" s="17">
        <f>IF($C451="","",IFERROR(VLOOKUP($C451,项目台账!$B:$C,2,0),"※项目不在项目台账里"))</f>
        <v/>
      </c>
      <c r="K451" s="13" t="n"/>
    </row>
    <row r="452">
      <c r="A452" s="17">
        <f>IF($C452="","",ROW()-3)</f>
        <v/>
      </c>
      <c r="B452" s="18" t="n"/>
      <c r="C452" s="13" t="n"/>
      <c r="D452" s="13" t="n"/>
      <c r="E452" s="13" t="n"/>
      <c r="F452" s="13" t="n"/>
      <c r="G452" s="20" t="n"/>
      <c r="H452" s="14" t="n"/>
      <c r="I452" s="19">
        <f>IF($C452="","",ROUND(IF($G452="",1,$G452)*N($H452),2))</f>
        <v/>
      </c>
      <c r="J452" s="17">
        <f>IF($C452="","",IFERROR(VLOOKUP($C452,项目台账!$B:$C,2,0),"※项目不在项目台账里"))</f>
        <v/>
      </c>
      <c r="K452" s="13" t="n"/>
    </row>
    <row r="453">
      <c r="A453" s="17">
        <f>IF($C453="","",ROW()-3)</f>
        <v/>
      </c>
      <c r="B453" s="18" t="n"/>
      <c r="C453" s="13" t="n"/>
      <c r="D453" s="13" t="n"/>
      <c r="E453" s="13" t="n"/>
      <c r="F453" s="13" t="n"/>
      <c r="G453" s="20" t="n"/>
      <c r="H453" s="14" t="n"/>
      <c r="I453" s="19">
        <f>IF($C453="","",ROUND(IF($G453="",1,$G453)*N($H453),2))</f>
        <v/>
      </c>
      <c r="J453" s="17">
        <f>IF($C453="","",IFERROR(VLOOKUP($C453,项目台账!$B:$C,2,0),"※项目不在项目台账里"))</f>
        <v/>
      </c>
      <c r="K453" s="13" t="n"/>
    </row>
    <row r="454">
      <c r="A454" s="17">
        <f>IF($C454="","",ROW()-3)</f>
        <v/>
      </c>
      <c r="B454" s="18" t="n"/>
      <c r="C454" s="13" t="n"/>
      <c r="D454" s="13" t="n"/>
      <c r="E454" s="13" t="n"/>
      <c r="F454" s="13" t="n"/>
      <c r="G454" s="20" t="n"/>
      <c r="H454" s="14" t="n"/>
      <c r="I454" s="19">
        <f>IF($C454="","",ROUND(IF($G454="",1,$G454)*N($H454),2))</f>
        <v/>
      </c>
      <c r="J454" s="17">
        <f>IF($C454="","",IFERROR(VLOOKUP($C454,项目台账!$B:$C,2,0),"※项目不在项目台账里"))</f>
        <v/>
      </c>
      <c r="K454" s="13" t="n"/>
    </row>
    <row r="455">
      <c r="A455" s="17">
        <f>IF($C455="","",ROW()-3)</f>
        <v/>
      </c>
      <c r="B455" s="18" t="n"/>
      <c r="C455" s="13" t="n"/>
      <c r="D455" s="13" t="n"/>
      <c r="E455" s="13" t="n"/>
      <c r="F455" s="13" t="n"/>
      <c r="G455" s="20" t="n"/>
      <c r="H455" s="14" t="n"/>
      <c r="I455" s="19">
        <f>IF($C455="","",ROUND(IF($G455="",1,$G455)*N($H455),2))</f>
        <v/>
      </c>
      <c r="J455" s="17">
        <f>IF($C455="","",IFERROR(VLOOKUP($C455,项目台账!$B:$C,2,0),"※项目不在项目台账里"))</f>
        <v/>
      </c>
      <c r="K455" s="13" t="n"/>
    </row>
    <row r="456">
      <c r="A456" s="17">
        <f>IF($C456="","",ROW()-3)</f>
        <v/>
      </c>
      <c r="B456" s="18" t="n"/>
      <c r="C456" s="13" t="n"/>
      <c r="D456" s="13" t="n"/>
      <c r="E456" s="13" t="n"/>
      <c r="F456" s="13" t="n"/>
      <c r="G456" s="20" t="n"/>
      <c r="H456" s="14" t="n"/>
      <c r="I456" s="19">
        <f>IF($C456="","",ROUND(IF($G456="",1,$G456)*N($H456),2))</f>
        <v/>
      </c>
      <c r="J456" s="17">
        <f>IF($C456="","",IFERROR(VLOOKUP($C456,项目台账!$B:$C,2,0),"※项目不在项目台账里"))</f>
        <v/>
      </c>
      <c r="K456" s="13" t="n"/>
    </row>
    <row r="457">
      <c r="A457" s="17">
        <f>IF($C457="","",ROW()-3)</f>
        <v/>
      </c>
      <c r="B457" s="18" t="n"/>
      <c r="C457" s="13" t="n"/>
      <c r="D457" s="13" t="n"/>
      <c r="E457" s="13" t="n"/>
      <c r="F457" s="13" t="n"/>
      <c r="G457" s="20" t="n"/>
      <c r="H457" s="14" t="n"/>
      <c r="I457" s="19">
        <f>IF($C457="","",ROUND(IF($G457="",1,$G457)*N($H457),2))</f>
        <v/>
      </c>
      <c r="J457" s="17">
        <f>IF($C457="","",IFERROR(VLOOKUP($C457,项目台账!$B:$C,2,0),"※项目不在项目台账里"))</f>
        <v/>
      </c>
      <c r="K457" s="13" t="n"/>
    </row>
    <row r="458">
      <c r="A458" s="17">
        <f>IF($C458="","",ROW()-3)</f>
        <v/>
      </c>
      <c r="B458" s="18" t="n"/>
      <c r="C458" s="13" t="n"/>
      <c r="D458" s="13" t="n"/>
      <c r="E458" s="13" t="n"/>
      <c r="F458" s="13" t="n"/>
      <c r="G458" s="20" t="n"/>
      <c r="H458" s="14" t="n"/>
      <c r="I458" s="19">
        <f>IF($C458="","",ROUND(IF($G458="",1,$G458)*N($H458),2))</f>
        <v/>
      </c>
      <c r="J458" s="17">
        <f>IF($C458="","",IFERROR(VLOOKUP($C458,项目台账!$B:$C,2,0),"※项目不在项目台账里"))</f>
        <v/>
      </c>
      <c r="K458" s="13" t="n"/>
    </row>
    <row r="459">
      <c r="A459" s="17">
        <f>IF($C459="","",ROW()-3)</f>
        <v/>
      </c>
      <c r="B459" s="18" t="n"/>
      <c r="C459" s="13" t="n"/>
      <c r="D459" s="13" t="n"/>
      <c r="E459" s="13" t="n"/>
      <c r="F459" s="13" t="n"/>
      <c r="G459" s="20" t="n"/>
      <c r="H459" s="14" t="n"/>
      <c r="I459" s="19">
        <f>IF($C459="","",ROUND(IF($G459="",1,$G459)*N($H459),2))</f>
        <v/>
      </c>
      <c r="J459" s="17">
        <f>IF($C459="","",IFERROR(VLOOKUP($C459,项目台账!$B:$C,2,0),"※项目不在项目台账里"))</f>
        <v/>
      </c>
      <c r="K459" s="13" t="n"/>
    </row>
    <row r="460">
      <c r="A460" s="17">
        <f>IF($C460="","",ROW()-3)</f>
        <v/>
      </c>
      <c r="B460" s="18" t="n"/>
      <c r="C460" s="13" t="n"/>
      <c r="D460" s="13" t="n"/>
      <c r="E460" s="13" t="n"/>
      <c r="F460" s="13" t="n"/>
      <c r="G460" s="20" t="n"/>
      <c r="H460" s="14" t="n"/>
      <c r="I460" s="19">
        <f>IF($C460="","",ROUND(IF($G460="",1,$G460)*N($H460),2))</f>
        <v/>
      </c>
      <c r="J460" s="17">
        <f>IF($C460="","",IFERROR(VLOOKUP($C460,项目台账!$B:$C,2,0),"※项目不在项目台账里"))</f>
        <v/>
      </c>
      <c r="K460" s="13" t="n"/>
    </row>
    <row r="461">
      <c r="A461" s="17">
        <f>IF($C461="","",ROW()-3)</f>
        <v/>
      </c>
      <c r="B461" s="18" t="n"/>
      <c r="C461" s="13" t="n"/>
      <c r="D461" s="13" t="n"/>
      <c r="E461" s="13" t="n"/>
      <c r="F461" s="13" t="n"/>
      <c r="G461" s="20" t="n"/>
      <c r="H461" s="14" t="n"/>
      <c r="I461" s="19">
        <f>IF($C461="","",ROUND(IF($G461="",1,$G461)*N($H461),2))</f>
        <v/>
      </c>
      <c r="J461" s="17">
        <f>IF($C461="","",IFERROR(VLOOKUP($C461,项目台账!$B:$C,2,0),"※项目不在项目台账里"))</f>
        <v/>
      </c>
      <c r="K461" s="13" t="n"/>
    </row>
    <row r="462">
      <c r="A462" s="17">
        <f>IF($C462="","",ROW()-3)</f>
        <v/>
      </c>
      <c r="B462" s="18" t="n"/>
      <c r="C462" s="13" t="n"/>
      <c r="D462" s="13" t="n"/>
      <c r="E462" s="13" t="n"/>
      <c r="F462" s="13" t="n"/>
      <c r="G462" s="20" t="n"/>
      <c r="H462" s="14" t="n"/>
      <c r="I462" s="19">
        <f>IF($C462="","",ROUND(IF($G462="",1,$G462)*N($H462),2))</f>
        <v/>
      </c>
      <c r="J462" s="17">
        <f>IF($C462="","",IFERROR(VLOOKUP($C462,项目台账!$B:$C,2,0),"※项目不在项目台账里"))</f>
        <v/>
      </c>
      <c r="K462" s="13" t="n"/>
    </row>
    <row r="463">
      <c r="A463" s="17">
        <f>IF($C463="","",ROW()-3)</f>
        <v/>
      </c>
      <c r="B463" s="18" t="n"/>
      <c r="C463" s="13" t="n"/>
      <c r="D463" s="13" t="n"/>
      <c r="E463" s="13" t="n"/>
      <c r="F463" s="13" t="n"/>
      <c r="G463" s="20" t="n"/>
      <c r="H463" s="14" t="n"/>
      <c r="I463" s="19">
        <f>IF($C463="","",ROUND(IF($G463="",1,$G463)*N($H463),2))</f>
        <v/>
      </c>
      <c r="J463" s="17">
        <f>IF($C463="","",IFERROR(VLOOKUP($C463,项目台账!$B:$C,2,0),"※项目不在项目台账里"))</f>
        <v/>
      </c>
      <c r="K463" s="13" t="n"/>
    </row>
    <row r="464">
      <c r="A464" s="17">
        <f>IF($C464="","",ROW()-3)</f>
        <v/>
      </c>
      <c r="B464" s="18" t="n"/>
      <c r="C464" s="13" t="n"/>
      <c r="D464" s="13" t="n"/>
      <c r="E464" s="13" t="n"/>
      <c r="F464" s="13" t="n"/>
      <c r="G464" s="20" t="n"/>
      <c r="H464" s="14" t="n"/>
      <c r="I464" s="19">
        <f>IF($C464="","",ROUND(IF($G464="",1,$G464)*N($H464),2))</f>
        <v/>
      </c>
      <c r="J464" s="17">
        <f>IF($C464="","",IFERROR(VLOOKUP($C464,项目台账!$B:$C,2,0),"※项目不在项目台账里"))</f>
        <v/>
      </c>
      <c r="K464" s="13" t="n"/>
    </row>
    <row r="465">
      <c r="A465" s="17">
        <f>IF($C465="","",ROW()-3)</f>
        <v/>
      </c>
      <c r="B465" s="18" t="n"/>
      <c r="C465" s="13" t="n"/>
      <c r="D465" s="13" t="n"/>
      <c r="E465" s="13" t="n"/>
      <c r="F465" s="13" t="n"/>
      <c r="G465" s="20" t="n"/>
      <c r="H465" s="14" t="n"/>
      <c r="I465" s="19">
        <f>IF($C465="","",ROUND(IF($G465="",1,$G465)*N($H465),2))</f>
        <v/>
      </c>
      <c r="J465" s="17">
        <f>IF($C465="","",IFERROR(VLOOKUP($C465,项目台账!$B:$C,2,0),"※项目不在项目台账里"))</f>
        <v/>
      </c>
      <c r="K465" s="13" t="n"/>
    </row>
    <row r="466">
      <c r="A466" s="17">
        <f>IF($C466="","",ROW()-3)</f>
        <v/>
      </c>
      <c r="B466" s="18" t="n"/>
      <c r="C466" s="13" t="n"/>
      <c r="D466" s="13" t="n"/>
      <c r="E466" s="13" t="n"/>
      <c r="F466" s="13" t="n"/>
      <c r="G466" s="20" t="n"/>
      <c r="H466" s="14" t="n"/>
      <c r="I466" s="19">
        <f>IF($C466="","",ROUND(IF($G466="",1,$G466)*N($H466),2))</f>
        <v/>
      </c>
      <c r="J466" s="17">
        <f>IF($C466="","",IFERROR(VLOOKUP($C466,项目台账!$B:$C,2,0),"※项目不在项目台账里"))</f>
        <v/>
      </c>
      <c r="K466" s="13" t="n"/>
    </row>
    <row r="467">
      <c r="A467" s="17">
        <f>IF($C467="","",ROW()-3)</f>
        <v/>
      </c>
      <c r="B467" s="18" t="n"/>
      <c r="C467" s="13" t="n"/>
      <c r="D467" s="13" t="n"/>
      <c r="E467" s="13" t="n"/>
      <c r="F467" s="13" t="n"/>
      <c r="G467" s="20" t="n"/>
      <c r="H467" s="14" t="n"/>
      <c r="I467" s="19">
        <f>IF($C467="","",ROUND(IF($G467="",1,$G467)*N($H467),2))</f>
        <v/>
      </c>
      <c r="J467" s="17">
        <f>IF($C467="","",IFERROR(VLOOKUP($C467,项目台账!$B:$C,2,0),"※项目不在项目台账里"))</f>
        <v/>
      </c>
      <c r="K467" s="13" t="n"/>
    </row>
    <row r="468">
      <c r="A468" s="17">
        <f>IF($C468="","",ROW()-3)</f>
        <v/>
      </c>
      <c r="B468" s="18" t="n"/>
      <c r="C468" s="13" t="n"/>
      <c r="D468" s="13" t="n"/>
      <c r="E468" s="13" t="n"/>
      <c r="F468" s="13" t="n"/>
      <c r="G468" s="20" t="n"/>
      <c r="H468" s="14" t="n"/>
      <c r="I468" s="19">
        <f>IF($C468="","",ROUND(IF($G468="",1,$G468)*N($H468),2))</f>
        <v/>
      </c>
      <c r="J468" s="17">
        <f>IF($C468="","",IFERROR(VLOOKUP($C468,项目台账!$B:$C,2,0),"※项目不在项目台账里"))</f>
        <v/>
      </c>
      <c r="K468" s="13" t="n"/>
    </row>
    <row r="469">
      <c r="A469" s="17">
        <f>IF($C469="","",ROW()-3)</f>
        <v/>
      </c>
      <c r="B469" s="18" t="n"/>
      <c r="C469" s="13" t="n"/>
      <c r="D469" s="13" t="n"/>
      <c r="E469" s="13" t="n"/>
      <c r="F469" s="13" t="n"/>
      <c r="G469" s="20" t="n"/>
      <c r="H469" s="14" t="n"/>
      <c r="I469" s="19">
        <f>IF($C469="","",ROUND(IF($G469="",1,$G469)*N($H469),2))</f>
        <v/>
      </c>
      <c r="J469" s="17">
        <f>IF($C469="","",IFERROR(VLOOKUP($C469,项目台账!$B:$C,2,0),"※项目不在项目台账里"))</f>
        <v/>
      </c>
      <c r="K469" s="13" t="n"/>
    </row>
    <row r="470">
      <c r="A470" s="17">
        <f>IF($C470="","",ROW()-3)</f>
        <v/>
      </c>
      <c r="B470" s="18" t="n"/>
      <c r="C470" s="13" t="n"/>
      <c r="D470" s="13" t="n"/>
      <c r="E470" s="13" t="n"/>
      <c r="F470" s="13" t="n"/>
      <c r="G470" s="20" t="n"/>
      <c r="H470" s="14" t="n"/>
      <c r="I470" s="19">
        <f>IF($C470="","",ROUND(IF($G470="",1,$G470)*N($H470),2))</f>
        <v/>
      </c>
      <c r="J470" s="17">
        <f>IF($C470="","",IFERROR(VLOOKUP($C470,项目台账!$B:$C,2,0),"※项目不在项目台账里"))</f>
        <v/>
      </c>
      <c r="K470" s="13" t="n"/>
    </row>
    <row r="471">
      <c r="A471" s="17">
        <f>IF($C471="","",ROW()-3)</f>
        <v/>
      </c>
      <c r="B471" s="18" t="n"/>
      <c r="C471" s="13" t="n"/>
      <c r="D471" s="13" t="n"/>
      <c r="E471" s="13" t="n"/>
      <c r="F471" s="13" t="n"/>
      <c r="G471" s="20" t="n"/>
      <c r="H471" s="14" t="n"/>
      <c r="I471" s="19">
        <f>IF($C471="","",ROUND(IF($G471="",1,$G471)*N($H471),2))</f>
        <v/>
      </c>
      <c r="J471" s="17">
        <f>IF($C471="","",IFERROR(VLOOKUP($C471,项目台账!$B:$C,2,0),"※项目不在项目台账里"))</f>
        <v/>
      </c>
      <c r="K471" s="13" t="n"/>
    </row>
    <row r="472">
      <c r="A472" s="17">
        <f>IF($C472="","",ROW()-3)</f>
        <v/>
      </c>
      <c r="B472" s="18" t="n"/>
      <c r="C472" s="13" t="n"/>
      <c r="D472" s="13" t="n"/>
      <c r="E472" s="13" t="n"/>
      <c r="F472" s="13" t="n"/>
      <c r="G472" s="20" t="n"/>
      <c r="H472" s="14" t="n"/>
      <c r="I472" s="19">
        <f>IF($C472="","",ROUND(IF($G472="",1,$G472)*N($H472),2))</f>
        <v/>
      </c>
      <c r="J472" s="17">
        <f>IF($C472="","",IFERROR(VLOOKUP($C472,项目台账!$B:$C,2,0),"※项目不在项目台账里"))</f>
        <v/>
      </c>
      <c r="K472" s="13" t="n"/>
    </row>
    <row r="473">
      <c r="A473" s="17">
        <f>IF($C473="","",ROW()-3)</f>
        <v/>
      </c>
      <c r="B473" s="18" t="n"/>
      <c r="C473" s="13" t="n"/>
      <c r="D473" s="13" t="n"/>
      <c r="E473" s="13" t="n"/>
      <c r="F473" s="13" t="n"/>
      <c r="G473" s="20" t="n"/>
      <c r="H473" s="14" t="n"/>
      <c r="I473" s="19">
        <f>IF($C473="","",ROUND(IF($G473="",1,$G473)*N($H473),2))</f>
        <v/>
      </c>
      <c r="J473" s="17">
        <f>IF($C473="","",IFERROR(VLOOKUP($C473,项目台账!$B:$C,2,0),"※项目不在项目台账里"))</f>
        <v/>
      </c>
      <c r="K473" s="13" t="n"/>
    </row>
    <row r="474">
      <c r="A474" s="17">
        <f>IF($C474="","",ROW()-3)</f>
        <v/>
      </c>
      <c r="B474" s="18" t="n"/>
      <c r="C474" s="13" t="n"/>
      <c r="D474" s="13" t="n"/>
      <c r="E474" s="13" t="n"/>
      <c r="F474" s="13" t="n"/>
      <c r="G474" s="20" t="n"/>
      <c r="H474" s="14" t="n"/>
      <c r="I474" s="19">
        <f>IF($C474="","",ROUND(IF($G474="",1,$G474)*N($H474),2))</f>
        <v/>
      </c>
      <c r="J474" s="17">
        <f>IF($C474="","",IFERROR(VLOOKUP($C474,项目台账!$B:$C,2,0),"※项目不在项目台账里"))</f>
        <v/>
      </c>
      <c r="K474" s="13" t="n"/>
    </row>
    <row r="475">
      <c r="A475" s="17">
        <f>IF($C475="","",ROW()-3)</f>
        <v/>
      </c>
      <c r="B475" s="18" t="n"/>
      <c r="C475" s="13" t="n"/>
      <c r="D475" s="13" t="n"/>
      <c r="E475" s="13" t="n"/>
      <c r="F475" s="13" t="n"/>
      <c r="G475" s="20" t="n"/>
      <c r="H475" s="14" t="n"/>
      <c r="I475" s="19">
        <f>IF($C475="","",ROUND(IF($G475="",1,$G475)*N($H475),2))</f>
        <v/>
      </c>
      <c r="J475" s="17">
        <f>IF($C475="","",IFERROR(VLOOKUP($C475,项目台账!$B:$C,2,0),"※项目不在项目台账里"))</f>
        <v/>
      </c>
      <c r="K475" s="13" t="n"/>
    </row>
    <row r="476">
      <c r="A476" s="17">
        <f>IF($C476="","",ROW()-3)</f>
        <v/>
      </c>
      <c r="B476" s="18" t="n"/>
      <c r="C476" s="13" t="n"/>
      <c r="D476" s="13" t="n"/>
      <c r="E476" s="13" t="n"/>
      <c r="F476" s="13" t="n"/>
      <c r="G476" s="20" t="n"/>
      <c r="H476" s="14" t="n"/>
      <c r="I476" s="19">
        <f>IF($C476="","",ROUND(IF($G476="",1,$G476)*N($H476),2))</f>
        <v/>
      </c>
      <c r="J476" s="17">
        <f>IF($C476="","",IFERROR(VLOOKUP($C476,项目台账!$B:$C,2,0),"※项目不在项目台账里"))</f>
        <v/>
      </c>
      <c r="K476" s="13" t="n"/>
    </row>
    <row r="477">
      <c r="A477" s="17">
        <f>IF($C477="","",ROW()-3)</f>
        <v/>
      </c>
      <c r="B477" s="18" t="n"/>
      <c r="C477" s="13" t="n"/>
      <c r="D477" s="13" t="n"/>
      <c r="E477" s="13" t="n"/>
      <c r="F477" s="13" t="n"/>
      <c r="G477" s="20" t="n"/>
      <c r="H477" s="14" t="n"/>
      <c r="I477" s="19">
        <f>IF($C477="","",ROUND(IF($G477="",1,$G477)*N($H477),2))</f>
        <v/>
      </c>
      <c r="J477" s="17">
        <f>IF($C477="","",IFERROR(VLOOKUP($C477,项目台账!$B:$C,2,0),"※项目不在项目台账里"))</f>
        <v/>
      </c>
      <c r="K477" s="13" t="n"/>
    </row>
    <row r="478">
      <c r="A478" s="17">
        <f>IF($C478="","",ROW()-3)</f>
        <v/>
      </c>
      <c r="B478" s="18" t="n"/>
      <c r="C478" s="13" t="n"/>
      <c r="D478" s="13" t="n"/>
      <c r="E478" s="13" t="n"/>
      <c r="F478" s="13" t="n"/>
      <c r="G478" s="20" t="n"/>
      <c r="H478" s="14" t="n"/>
      <c r="I478" s="19">
        <f>IF($C478="","",ROUND(IF($G478="",1,$G478)*N($H478),2))</f>
        <v/>
      </c>
      <c r="J478" s="17">
        <f>IF($C478="","",IFERROR(VLOOKUP($C478,项目台账!$B:$C,2,0),"※项目不在项目台账里"))</f>
        <v/>
      </c>
      <c r="K478" s="13" t="n"/>
    </row>
    <row r="479">
      <c r="A479" s="17">
        <f>IF($C479="","",ROW()-3)</f>
        <v/>
      </c>
      <c r="B479" s="18" t="n"/>
      <c r="C479" s="13" t="n"/>
      <c r="D479" s="13" t="n"/>
      <c r="E479" s="13" t="n"/>
      <c r="F479" s="13" t="n"/>
      <c r="G479" s="20" t="n"/>
      <c r="H479" s="14" t="n"/>
      <c r="I479" s="19">
        <f>IF($C479="","",ROUND(IF($G479="",1,$G479)*N($H479),2))</f>
        <v/>
      </c>
      <c r="J479" s="17">
        <f>IF($C479="","",IFERROR(VLOOKUP($C479,项目台账!$B:$C,2,0),"※项目不在项目台账里"))</f>
        <v/>
      </c>
      <c r="K479" s="13" t="n"/>
    </row>
    <row r="480">
      <c r="A480" s="17">
        <f>IF($C480="","",ROW()-3)</f>
        <v/>
      </c>
      <c r="B480" s="18" t="n"/>
      <c r="C480" s="13" t="n"/>
      <c r="D480" s="13" t="n"/>
      <c r="E480" s="13" t="n"/>
      <c r="F480" s="13" t="n"/>
      <c r="G480" s="20" t="n"/>
      <c r="H480" s="14" t="n"/>
      <c r="I480" s="19">
        <f>IF($C480="","",ROUND(IF($G480="",1,$G480)*N($H480),2))</f>
        <v/>
      </c>
      <c r="J480" s="17">
        <f>IF($C480="","",IFERROR(VLOOKUP($C480,项目台账!$B:$C,2,0),"※项目不在项目台账里"))</f>
        <v/>
      </c>
      <c r="K480" s="13" t="n"/>
    </row>
    <row r="481">
      <c r="A481" s="17">
        <f>IF($C481="","",ROW()-3)</f>
        <v/>
      </c>
      <c r="B481" s="18" t="n"/>
      <c r="C481" s="13" t="n"/>
      <c r="D481" s="13" t="n"/>
      <c r="E481" s="13" t="n"/>
      <c r="F481" s="13" t="n"/>
      <c r="G481" s="20" t="n"/>
      <c r="H481" s="14" t="n"/>
      <c r="I481" s="19">
        <f>IF($C481="","",ROUND(IF($G481="",1,$G481)*N($H481),2))</f>
        <v/>
      </c>
      <c r="J481" s="17">
        <f>IF($C481="","",IFERROR(VLOOKUP($C481,项目台账!$B:$C,2,0),"※项目不在项目台账里"))</f>
        <v/>
      </c>
      <c r="K481" s="13" t="n"/>
    </row>
    <row r="482">
      <c r="A482" s="17">
        <f>IF($C482="","",ROW()-3)</f>
        <v/>
      </c>
      <c r="B482" s="18" t="n"/>
      <c r="C482" s="13" t="n"/>
      <c r="D482" s="13" t="n"/>
      <c r="E482" s="13" t="n"/>
      <c r="F482" s="13" t="n"/>
      <c r="G482" s="20" t="n"/>
      <c r="H482" s="14" t="n"/>
      <c r="I482" s="19">
        <f>IF($C482="","",ROUND(IF($G482="",1,$G482)*N($H482),2))</f>
        <v/>
      </c>
      <c r="J482" s="17">
        <f>IF($C482="","",IFERROR(VLOOKUP($C482,项目台账!$B:$C,2,0),"※项目不在项目台账里"))</f>
        <v/>
      </c>
      <c r="K482" s="13" t="n"/>
    </row>
    <row r="483">
      <c r="A483" s="17">
        <f>IF($C483="","",ROW()-3)</f>
        <v/>
      </c>
      <c r="B483" s="18" t="n"/>
      <c r="C483" s="13" t="n"/>
      <c r="D483" s="13" t="n"/>
      <c r="E483" s="13" t="n"/>
      <c r="F483" s="13" t="n"/>
      <c r="G483" s="20" t="n"/>
      <c r="H483" s="14" t="n"/>
      <c r="I483" s="19">
        <f>IF($C483="","",ROUND(IF($G483="",1,$G483)*N($H483),2))</f>
        <v/>
      </c>
      <c r="J483" s="17">
        <f>IF($C483="","",IFERROR(VLOOKUP($C483,项目台账!$B:$C,2,0),"※项目不在项目台账里"))</f>
        <v/>
      </c>
      <c r="K483" s="13" t="n"/>
    </row>
    <row r="484">
      <c r="A484" s="17">
        <f>IF($C484="","",ROW()-3)</f>
        <v/>
      </c>
      <c r="B484" s="18" t="n"/>
      <c r="C484" s="13" t="n"/>
      <c r="D484" s="13" t="n"/>
      <c r="E484" s="13" t="n"/>
      <c r="F484" s="13" t="n"/>
      <c r="G484" s="20" t="n"/>
      <c r="H484" s="14" t="n"/>
      <c r="I484" s="19">
        <f>IF($C484="","",ROUND(IF($G484="",1,$G484)*N($H484),2))</f>
        <v/>
      </c>
      <c r="J484" s="17">
        <f>IF($C484="","",IFERROR(VLOOKUP($C484,项目台账!$B:$C,2,0),"※项目不在项目台账里"))</f>
        <v/>
      </c>
      <c r="K484" s="13" t="n"/>
    </row>
    <row r="485">
      <c r="A485" s="17">
        <f>IF($C485="","",ROW()-3)</f>
        <v/>
      </c>
      <c r="B485" s="18" t="n"/>
      <c r="C485" s="13" t="n"/>
      <c r="D485" s="13" t="n"/>
      <c r="E485" s="13" t="n"/>
      <c r="F485" s="13" t="n"/>
      <c r="G485" s="20" t="n"/>
      <c r="H485" s="14" t="n"/>
      <c r="I485" s="19">
        <f>IF($C485="","",ROUND(IF($G485="",1,$G485)*N($H485),2))</f>
        <v/>
      </c>
      <c r="J485" s="17">
        <f>IF($C485="","",IFERROR(VLOOKUP($C485,项目台账!$B:$C,2,0),"※项目不在项目台账里"))</f>
        <v/>
      </c>
      <c r="K485" s="13" t="n"/>
    </row>
    <row r="486">
      <c r="A486" s="17">
        <f>IF($C486="","",ROW()-3)</f>
        <v/>
      </c>
      <c r="B486" s="18" t="n"/>
      <c r="C486" s="13" t="n"/>
      <c r="D486" s="13" t="n"/>
      <c r="E486" s="13" t="n"/>
      <c r="F486" s="13" t="n"/>
      <c r="G486" s="20" t="n"/>
      <c r="H486" s="14" t="n"/>
      <c r="I486" s="19">
        <f>IF($C486="","",ROUND(IF($G486="",1,$G486)*N($H486),2))</f>
        <v/>
      </c>
      <c r="J486" s="17">
        <f>IF($C486="","",IFERROR(VLOOKUP($C486,项目台账!$B:$C,2,0),"※项目不在项目台账里"))</f>
        <v/>
      </c>
      <c r="K486" s="13" t="n"/>
    </row>
    <row r="487">
      <c r="A487" s="17">
        <f>IF($C487="","",ROW()-3)</f>
        <v/>
      </c>
      <c r="B487" s="18" t="n"/>
      <c r="C487" s="13" t="n"/>
      <c r="D487" s="13" t="n"/>
      <c r="E487" s="13" t="n"/>
      <c r="F487" s="13" t="n"/>
      <c r="G487" s="20" t="n"/>
      <c r="H487" s="14" t="n"/>
      <c r="I487" s="19">
        <f>IF($C487="","",ROUND(IF($G487="",1,$G487)*N($H487),2))</f>
        <v/>
      </c>
      <c r="J487" s="17">
        <f>IF($C487="","",IFERROR(VLOOKUP($C487,项目台账!$B:$C,2,0),"※项目不在项目台账里"))</f>
        <v/>
      </c>
      <c r="K487" s="13" t="n"/>
    </row>
    <row r="488">
      <c r="A488" s="17">
        <f>IF($C488="","",ROW()-3)</f>
        <v/>
      </c>
      <c r="B488" s="18" t="n"/>
      <c r="C488" s="13" t="n"/>
      <c r="D488" s="13" t="n"/>
      <c r="E488" s="13" t="n"/>
      <c r="F488" s="13" t="n"/>
      <c r="G488" s="20" t="n"/>
      <c r="H488" s="14" t="n"/>
      <c r="I488" s="19">
        <f>IF($C488="","",ROUND(IF($G488="",1,$G488)*N($H488),2))</f>
        <v/>
      </c>
      <c r="J488" s="17">
        <f>IF($C488="","",IFERROR(VLOOKUP($C488,项目台账!$B:$C,2,0),"※项目不在项目台账里"))</f>
        <v/>
      </c>
      <c r="K488" s="13" t="n"/>
    </row>
    <row r="489">
      <c r="A489" s="17">
        <f>IF($C489="","",ROW()-3)</f>
        <v/>
      </c>
      <c r="B489" s="18" t="n"/>
      <c r="C489" s="13" t="n"/>
      <c r="D489" s="13" t="n"/>
      <c r="E489" s="13" t="n"/>
      <c r="F489" s="13" t="n"/>
      <c r="G489" s="20" t="n"/>
      <c r="H489" s="14" t="n"/>
      <c r="I489" s="19">
        <f>IF($C489="","",ROUND(IF($G489="",1,$G489)*N($H489),2))</f>
        <v/>
      </c>
      <c r="J489" s="17">
        <f>IF($C489="","",IFERROR(VLOOKUP($C489,项目台账!$B:$C,2,0),"※项目不在项目台账里"))</f>
        <v/>
      </c>
      <c r="K489" s="13" t="n"/>
    </row>
    <row r="490">
      <c r="A490" s="17">
        <f>IF($C490="","",ROW()-3)</f>
        <v/>
      </c>
      <c r="B490" s="18" t="n"/>
      <c r="C490" s="13" t="n"/>
      <c r="D490" s="13" t="n"/>
      <c r="E490" s="13" t="n"/>
      <c r="F490" s="13" t="n"/>
      <c r="G490" s="20" t="n"/>
      <c r="H490" s="14" t="n"/>
      <c r="I490" s="19">
        <f>IF($C490="","",ROUND(IF($G490="",1,$G490)*N($H490),2))</f>
        <v/>
      </c>
      <c r="J490" s="17">
        <f>IF($C490="","",IFERROR(VLOOKUP($C490,项目台账!$B:$C,2,0),"※项目不在项目台账里"))</f>
        <v/>
      </c>
      <c r="K490" s="13" t="n"/>
    </row>
    <row r="491">
      <c r="A491" s="17">
        <f>IF($C491="","",ROW()-3)</f>
        <v/>
      </c>
      <c r="B491" s="18" t="n"/>
      <c r="C491" s="13" t="n"/>
      <c r="D491" s="13" t="n"/>
      <c r="E491" s="13" t="n"/>
      <c r="F491" s="13" t="n"/>
      <c r="G491" s="20" t="n"/>
      <c r="H491" s="14" t="n"/>
      <c r="I491" s="19">
        <f>IF($C491="","",ROUND(IF($G491="",1,$G491)*N($H491),2))</f>
        <v/>
      </c>
      <c r="J491" s="17">
        <f>IF($C491="","",IFERROR(VLOOKUP($C491,项目台账!$B:$C,2,0),"※项目不在项目台账里"))</f>
        <v/>
      </c>
      <c r="K491" s="13" t="n"/>
    </row>
    <row r="492">
      <c r="A492" s="17">
        <f>IF($C492="","",ROW()-3)</f>
        <v/>
      </c>
      <c r="B492" s="18" t="n"/>
      <c r="C492" s="13" t="n"/>
      <c r="D492" s="13" t="n"/>
      <c r="E492" s="13" t="n"/>
      <c r="F492" s="13" t="n"/>
      <c r="G492" s="20" t="n"/>
      <c r="H492" s="14" t="n"/>
      <c r="I492" s="19">
        <f>IF($C492="","",ROUND(IF($G492="",1,$G492)*N($H492),2))</f>
        <v/>
      </c>
      <c r="J492" s="17">
        <f>IF($C492="","",IFERROR(VLOOKUP($C492,项目台账!$B:$C,2,0),"※项目不在项目台账里"))</f>
        <v/>
      </c>
      <c r="K492" s="13" t="n"/>
    </row>
    <row r="493">
      <c r="A493" s="17">
        <f>IF($C493="","",ROW()-3)</f>
        <v/>
      </c>
      <c r="B493" s="18" t="n"/>
      <c r="C493" s="13" t="n"/>
      <c r="D493" s="13" t="n"/>
      <c r="E493" s="13" t="n"/>
      <c r="F493" s="13" t="n"/>
      <c r="G493" s="20" t="n"/>
      <c r="H493" s="14" t="n"/>
      <c r="I493" s="19">
        <f>IF($C493="","",ROUND(IF($G493="",1,$G493)*N($H493),2))</f>
        <v/>
      </c>
      <c r="J493" s="17">
        <f>IF($C493="","",IFERROR(VLOOKUP($C493,项目台账!$B:$C,2,0),"※项目不在项目台账里"))</f>
        <v/>
      </c>
      <c r="K493" s="13" t="n"/>
    </row>
    <row r="494">
      <c r="A494" s="17">
        <f>IF($C494="","",ROW()-3)</f>
        <v/>
      </c>
      <c r="B494" s="18" t="n"/>
      <c r="C494" s="13" t="n"/>
      <c r="D494" s="13" t="n"/>
      <c r="E494" s="13" t="n"/>
      <c r="F494" s="13" t="n"/>
      <c r="G494" s="20" t="n"/>
      <c r="H494" s="14" t="n"/>
      <c r="I494" s="19">
        <f>IF($C494="","",ROUND(IF($G494="",1,$G494)*N($H494),2))</f>
        <v/>
      </c>
      <c r="J494" s="17">
        <f>IF($C494="","",IFERROR(VLOOKUP($C494,项目台账!$B:$C,2,0),"※项目不在项目台账里"))</f>
        <v/>
      </c>
      <c r="K494" s="13" t="n"/>
    </row>
    <row r="495">
      <c r="A495" s="17">
        <f>IF($C495="","",ROW()-3)</f>
        <v/>
      </c>
      <c r="B495" s="18" t="n"/>
      <c r="C495" s="13" t="n"/>
      <c r="D495" s="13" t="n"/>
      <c r="E495" s="13" t="n"/>
      <c r="F495" s="13" t="n"/>
      <c r="G495" s="20" t="n"/>
      <c r="H495" s="14" t="n"/>
      <c r="I495" s="19">
        <f>IF($C495="","",ROUND(IF($G495="",1,$G495)*N($H495),2))</f>
        <v/>
      </c>
      <c r="J495" s="17">
        <f>IF($C495="","",IFERROR(VLOOKUP($C495,项目台账!$B:$C,2,0),"※项目不在项目台账里"))</f>
        <v/>
      </c>
      <c r="K495" s="13" t="n"/>
    </row>
    <row r="496">
      <c r="A496" s="17">
        <f>IF($C496="","",ROW()-3)</f>
        <v/>
      </c>
      <c r="B496" s="18" t="n"/>
      <c r="C496" s="13" t="n"/>
      <c r="D496" s="13" t="n"/>
      <c r="E496" s="13" t="n"/>
      <c r="F496" s="13" t="n"/>
      <c r="G496" s="20" t="n"/>
      <c r="H496" s="14" t="n"/>
      <c r="I496" s="19">
        <f>IF($C496="","",ROUND(IF($G496="",1,$G496)*N($H496),2))</f>
        <v/>
      </c>
      <c r="J496" s="17">
        <f>IF($C496="","",IFERROR(VLOOKUP($C496,项目台账!$B:$C,2,0),"※项目不在项目台账里"))</f>
        <v/>
      </c>
      <c r="K496" s="13" t="n"/>
    </row>
    <row r="497">
      <c r="A497" s="17">
        <f>IF($C497="","",ROW()-3)</f>
        <v/>
      </c>
      <c r="B497" s="18" t="n"/>
      <c r="C497" s="13" t="n"/>
      <c r="D497" s="13" t="n"/>
      <c r="E497" s="13" t="n"/>
      <c r="F497" s="13" t="n"/>
      <c r="G497" s="20" t="n"/>
      <c r="H497" s="14" t="n"/>
      <c r="I497" s="19">
        <f>IF($C497="","",ROUND(IF($G497="",1,$G497)*N($H497),2))</f>
        <v/>
      </c>
      <c r="J497" s="17">
        <f>IF($C497="","",IFERROR(VLOOKUP($C497,项目台账!$B:$C,2,0),"※项目不在项目台账里"))</f>
        <v/>
      </c>
      <c r="K497" s="13" t="n"/>
    </row>
    <row r="498">
      <c r="A498" s="17">
        <f>IF($C498="","",ROW()-3)</f>
        <v/>
      </c>
      <c r="B498" s="18" t="n"/>
      <c r="C498" s="13" t="n"/>
      <c r="D498" s="13" t="n"/>
      <c r="E498" s="13" t="n"/>
      <c r="F498" s="13" t="n"/>
      <c r="G498" s="20" t="n"/>
      <c r="H498" s="14" t="n"/>
      <c r="I498" s="19">
        <f>IF($C498="","",ROUND(IF($G498="",1,$G498)*N($H498),2))</f>
        <v/>
      </c>
      <c r="J498" s="17">
        <f>IF($C498="","",IFERROR(VLOOKUP($C498,项目台账!$B:$C,2,0),"※项目不在项目台账里"))</f>
        <v/>
      </c>
      <c r="K498" s="13" t="n"/>
    </row>
    <row r="499">
      <c r="A499" s="17">
        <f>IF($C499="","",ROW()-3)</f>
        <v/>
      </c>
      <c r="B499" s="18" t="n"/>
      <c r="C499" s="13" t="n"/>
      <c r="D499" s="13" t="n"/>
      <c r="E499" s="13" t="n"/>
      <c r="F499" s="13" t="n"/>
      <c r="G499" s="20" t="n"/>
      <c r="H499" s="14" t="n"/>
      <c r="I499" s="19">
        <f>IF($C499="","",ROUND(IF($G499="",1,$G499)*N($H499),2))</f>
        <v/>
      </c>
      <c r="J499" s="17">
        <f>IF($C499="","",IFERROR(VLOOKUP($C499,项目台账!$B:$C,2,0),"※项目不在项目台账里"))</f>
        <v/>
      </c>
      <c r="K499" s="13" t="n"/>
    </row>
    <row r="500">
      <c r="A500" s="17">
        <f>IF($C500="","",ROW()-3)</f>
        <v/>
      </c>
      <c r="B500" s="18" t="n"/>
      <c r="C500" s="13" t="n"/>
      <c r="D500" s="13" t="n"/>
      <c r="E500" s="13" t="n"/>
      <c r="F500" s="13" t="n"/>
      <c r="G500" s="20" t="n"/>
      <c r="H500" s="14" t="n"/>
      <c r="I500" s="19">
        <f>IF($C500="","",ROUND(IF($G500="",1,$G500)*N($H500),2))</f>
        <v/>
      </c>
      <c r="J500" s="17">
        <f>IF($C500="","",IFERROR(VLOOKUP($C500,项目台账!$B:$C,2,0),"※项目不在项目台账里"))</f>
        <v/>
      </c>
      <c r="K500" s="13" t="n"/>
    </row>
    <row r="501">
      <c r="A501" s="17">
        <f>IF($C501="","",ROW()-3)</f>
        <v/>
      </c>
      <c r="B501" s="18" t="n"/>
      <c r="C501" s="13" t="n"/>
      <c r="D501" s="13" t="n"/>
      <c r="E501" s="13" t="n"/>
      <c r="F501" s="13" t="n"/>
      <c r="G501" s="20" t="n"/>
      <c r="H501" s="14" t="n"/>
      <c r="I501" s="19">
        <f>IF($C501="","",ROUND(IF($G501="",1,$G501)*N($H501),2))</f>
        <v/>
      </c>
      <c r="J501" s="17">
        <f>IF($C501="","",IFERROR(VLOOKUP($C501,项目台账!$B:$C,2,0),"※项目不在项目台账里"))</f>
        <v/>
      </c>
      <c r="K501" s="13" t="n"/>
    </row>
    <row r="502">
      <c r="A502" s="17">
        <f>IF($C502="","",ROW()-3)</f>
        <v/>
      </c>
      <c r="B502" s="18" t="n"/>
      <c r="C502" s="13" t="n"/>
      <c r="D502" s="13" t="n"/>
      <c r="E502" s="13" t="n"/>
      <c r="F502" s="13" t="n"/>
      <c r="G502" s="20" t="n"/>
      <c r="H502" s="14" t="n"/>
      <c r="I502" s="19">
        <f>IF($C502="","",ROUND(IF($G502="",1,$G502)*N($H502),2))</f>
        <v/>
      </c>
      <c r="J502" s="17">
        <f>IF($C502="","",IFERROR(VLOOKUP($C502,项目台账!$B:$C,2,0),"※项目不在项目台账里"))</f>
        <v/>
      </c>
      <c r="K502" s="13" t="n"/>
    </row>
    <row r="503">
      <c r="A503" s="17">
        <f>IF($C503="","",ROW()-3)</f>
        <v/>
      </c>
      <c r="B503" s="18" t="n"/>
      <c r="C503" s="13" t="n"/>
      <c r="D503" s="13" t="n"/>
      <c r="E503" s="13" t="n"/>
      <c r="F503" s="13" t="n"/>
      <c r="G503" s="20" t="n"/>
      <c r="H503" s="14" t="n"/>
      <c r="I503" s="19">
        <f>IF($C503="","",ROUND(IF($G503="",1,$G503)*N($H503),2))</f>
        <v/>
      </c>
      <c r="J503" s="17">
        <f>IF($C503="","",IFERROR(VLOOKUP($C503,项目台账!$B:$C,2,0),"※项目不在项目台账里"))</f>
        <v/>
      </c>
      <c r="K503" s="13" t="n"/>
    </row>
    <row r="504">
      <c r="A504" s="17">
        <f>IF($C504="","",ROW()-3)</f>
        <v/>
      </c>
      <c r="B504" s="18" t="n"/>
      <c r="C504" s="13" t="n"/>
      <c r="D504" s="13" t="n"/>
      <c r="E504" s="13" t="n"/>
      <c r="F504" s="13" t="n"/>
      <c r="G504" s="20" t="n"/>
      <c r="H504" s="14" t="n"/>
      <c r="I504" s="19">
        <f>IF($C504="","",ROUND(IF($G504="",1,$G504)*N($H504),2))</f>
        <v/>
      </c>
      <c r="J504" s="17">
        <f>IF($C504="","",IFERROR(VLOOKUP($C504,项目台账!$B:$C,2,0),"※项目不在项目台账里"))</f>
        <v/>
      </c>
      <c r="K504" s="13" t="n"/>
    </row>
    <row r="505">
      <c r="A505" s="17">
        <f>IF($C505="","",ROW()-3)</f>
        <v/>
      </c>
      <c r="B505" s="18" t="n"/>
      <c r="C505" s="13" t="n"/>
      <c r="D505" s="13" t="n"/>
      <c r="E505" s="13" t="n"/>
      <c r="F505" s="13" t="n"/>
      <c r="G505" s="20" t="n"/>
      <c r="H505" s="14" t="n"/>
      <c r="I505" s="19">
        <f>IF($C505="","",ROUND(IF($G505="",1,$G505)*N($H505),2))</f>
        <v/>
      </c>
      <c r="J505" s="17">
        <f>IF($C505="","",IFERROR(VLOOKUP($C505,项目台账!$B:$C,2,0),"※项目不在项目台账里"))</f>
        <v/>
      </c>
      <c r="K505" s="13" t="n"/>
    </row>
    <row r="506">
      <c r="A506" s="17">
        <f>IF($C506="","",ROW()-3)</f>
        <v/>
      </c>
      <c r="B506" s="18" t="n"/>
      <c r="C506" s="13" t="n"/>
      <c r="D506" s="13" t="n"/>
      <c r="E506" s="13" t="n"/>
      <c r="F506" s="13" t="n"/>
      <c r="G506" s="20" t="n"/>
      <c r="H506" s="14" t="n"/>
      <c r="I506" s="19">
        <f>IF($C506="","",ROUND(IF($G506="",1,$G506)*N($H506),2))</f>
        <v/>
      </c>
      <c r="J506" s="17">
        <f>IF($C506="","",IFERROR(VLOOKUP($C506,项目台账!$B:$C,2,0),"※项目不在项目台账里"))</f>
        <v/>
      </c>
      <c r="K506" s="13" t="n"/>
    </row>
    <row r="507">
      <c r="A507" s="17">
        <f>IF($C507="","",ROW()-3)</f>
        <v/>
      </c>
      <c r="B507" s="18" t="n"/>
      <c r="C507" s="13" t="n"/>
      <c r="D507" s="13" t="n"/>
      <c r="E507" s="13" t="n"/>
      <c r="F507" s="13" t="n"/>
      <c r="G507" s="20" t="n"/>
      <c r="H507" s="14" t="n"/>
      <c r="I507" s="19">
        <f>IF($C507="","",ROUND(IF($G507="",1,$G507)*N($H507),2))</f>
        <v/>
      </c>
      <c r="J507" s="17">
        <f>IF($C507="","",IFERROR(VLOOKUP($C507,项目台账!$B:$C,2,0),"※项目不在项目台账里"))</f>
        <v/>
      </c>
      <c r="K507" s="13" t="n"/>
    </row>
    <row r="508">
      <c r="A508" s="17">
        <f>IF($C508="","",ROW()-3)</f>
        <v/>
      </c>
      <c r="B508" s="18" t="n"/>
      <c r="C508" s="13" t="n"/>
      <c r="D508" s="13" t="n"/>
      <c r="E508" s="13" t="n"/>
      <c r="F508" s="13" t="n"/>
      <c r="G508" s="20" t="n"/>
      <c r="H508" s="14" t="n"/>
      <c r="I508" s="19">
        <f>IF($C508="","",ROUND(IF($G508="",1,$G508)*N($H508),2))</f>
        <v/>
      </c>
      <c r="J508" s="17">
        <f>IF($C508="","",IFERROR(VLOOKUP($C508,项目台账!$B:$C,2,0),"※项目不在项目台账里"))</f>
        <v/>
      </c>
      <c r="K508" s="13" t="n"/>
    </row>
    <row r="509">
      <c r="A509" s="17">
        <f>IF($C509="","",ROW()-3)</f>
        <v/>
      </c>
      <c r="B509" s="18" t="n"/>
      <c r="C509" s="13" t="n"/>
      <c r="D509" s="13" t="n"/>
      <c r="E509" s="13" t="n"/>
      <c r="F509" s="13" t="n"/>
      <c r="G509" s="20" t="n"/>
      <c r="H509" s="14" t="n"/>
      <c r="I509" s="19">
        <f>IF($C509="","",ROUND(IF($G509="",1,$G509)*N($H509),2))</f>
        <v/>
      </c>
      <c r="J509" s="17">
        <f>IF($C509="","",IFERROR(VLOOKUP($C509,项目台账!$B:$C,2,0),"※项目不在项目台账里"))</f>
        <v/>
      </c>
      <c r="K509" s="13" t="n"/>
    </row>
    <row r="510">
      <c r="A510" s="17">
        <f>IF($C510="","",ROW()-3)</f>
        <v/>
      </c>
      <c r="B510" s="18" t="n"/>
      <c r="C510" s="13" t="n"/>
      <c r="D510" s="13" t="n"/>
      <c r="E510" s="13" t="n"/>
      <c r="F510" s="13" t="n"/>
      <c r="G510" s="20" t="n"/>
      <c r="H510" s="14" t="n"/>
      <c r="I510" s="19">
        <f>IF($C510="","",ROUND(IF($G510="",1,$G510)*N($H510),2))</f>
        <v/>
      </c>
      <c r="J510" s="17">
        <f>IF($C510="","",IFERROR(VLOOKUP($C510,项目台账!$B:$C,2,0),"※项目不在项目台账里"))</f>
        <v/>
      </c>
      <c r="K510" s="13" t="n"/>
    </row>
    <row r="511">
      <c r="A511" s="17">
        <f>IF($C511="","",ROW()-3)</f>
        <v/>
      </c>
      <c r="B511" s="18" t="n"/>
      <c r="C511" s="13" t="n"/>
      <c r="D511" s="13" t="n"/>
      <c r="E511" s="13" t="n"/>
      <c r="F511" s="13" t="n"/>
      <c r="G511" s="20" t="n"/>
      <c r="H511" s="14" t="n"/>
      <c r="I511" s="19">
        <f>IF($C511="","",ROUND(IF($G511="",1,$G511)*N($H511),2))</f>
        <v/>
      </c>
      <c r="J511" s="17">
        <f>IF($C511="","",IFERROR(VLOOKUP($C511,项目台账!$B:$C,2,0),"※项目不在项目台账里"))</f>
        <v/>
      </c>
      <c r="K511" s="13" t="n"/>
    </row>
    <row r="512">
      <c r="A512" s="17">
        <f>IF($C512="","",ROW()-3)</f>
        <v/>
      </c>
      <c r="B512" s="18" t="n"/>
      <c r="C512" s="13" t="n"/>
      <c r="D512" s="13" t="n"/>
      <c r="E512" s="13" t="n"/>
      <c r="F512" s="13" t="n"/>
      <c r="G512" s="20" t="n"/>
      <c r="H512" s="14" t="n"/>
      <c r="I512" s="19">
        <f>IF($C512="","",ROUND(IF($G512="",1,$G512)*N($H512),2))</f>
        <v/>
      </c>
      <c r="J512" s="17">
        <f>IF($C512="","",IFERROR(VLOOKUP($C512,项目台账!$B:$C,2,0),"※项目不在项目台账里"))</f>
        <v/>
      </c>
      <c r="K512" s="13" t="n"/>
    </row>
    <row r="513">
      <c r="A513" s="17">
        <f>IF($C513="","",ROW()-3)</f>
        <v/>
      </c>
      <c r="B513" s="18" t="n"/>
      <c r="C513" s="13" t="n"/>
      <c r="D513" s="13" t="n"/>
      <c r="E513" s="13" t="n"/>
      <c r="F513" s="13" t="n"/>
      <c r="G513" s="20" t="n"/>
      <c r="H513" s="14" t="n"/>
      <c r="I513" s="19">
        <f>IF($C513="","",ROUND(IF($G513="",1,$G513)*N($H513),2))</f>
        <v/>
      </c>
      <c r="J513" s="17">
        <f>IF($C513="","",IFERROR(VLOOKUP($C513,项目台账!$B:$C,2,0),"※项目不在项目台账里"))</f>
        <v/>
      </c>
      <c r="K513" s="13" t="n"/>
    </row>
    <row r="514">
      <c r="A514" s="17">
        <f>IF($C514="","",ROW()-3)</f>
        <v/>
      </c>
      <c r="B514" s="18" t="n"/>
      <c r="C514" s="13" t="n"/>
      <c r="D514" s="13" t="n"/>
      <c r="E514" s="13" t="n"/>
      <c r="F514" s="13" t="n"/>
      <c r="G514" s="20" t="n"/>
      <c r="H514" s="14" t="n"/>
      <c r="I514" s="19">
        <f>IF($C514="","",ROUND(IF($G514="",1,$G514)*N($H514),2))</f>
        <v/>
      </c>
      <c r="J514" s="17">
        <f>IF($C514="","",IFERROR(VLOOKUP($C514,项目台账!$B:$C,2,0),"※项目不在项目台账里"))</f>
        <v/>
      </c>
      <c r="K514" s="13" t="n"/>
    </row>
    <row r="515">
      <c r="A515" s="17">
        <f>IF($C515="","",ROW()-3)</f>
        <v/>
      </c>
      <c r="B515" s="18" t="n"/>
      <c r="C515" s="13" t="n"/>
      <c r="D515" s="13" t="n"/>
      <c r="E515" s="13" t="n"/>
      <c r="F515" s="13" t="n"/>
      <c r="G515" s="20" t="n"/>
      <c r="H515" s="14" t="n"/>
      <c r="I515" s="19">
        <f>IF($C515="","",ROUND(IF($G515="",1,$G515)*N($H515),2))</f>
        <v/>
      </c>
      <c r="J515" s="17">
        <f>IF($C515="","",IFERROR(VLOOKUP($C515,项目台账!$B:$C,2,0),"※项目不在项目台账里"))</f>
        <v/>
      </c>
      <c r="K515" s="13" t="n"/>
    </row>
    <row r="516">
      <c r="A516" s="17">
        <f>IF($C516="","",ROW()-3)</f>
        <v/>
      </c>
      <c r="B516" s="18" t="n"/>
      <c r="C516" s="13" t="n"/>
      <c r="D516" s="13" t="n"/>
      <c r="E516" s="13" t="n"/>
      <c r="F516" s="13" t="n"/>
      <c r="G516" s="20" t="n"/>
      <c r="H516" s="14" t="n"/>
      <c r="I516" s="19">
        <f>IF($C516="","",ROUND(IF($G516="",1,$G516)*N($H516),2))</f>
        <v/>
      </c>
      <c r="J516" s="17">
        <f>IF($C516="","",IFERROR(VLOOKUP($C516,项目台账!$B:$C,2,0),"※项目不在项目台账里"))</f>
        <v/>
      </c>
      <c r="K516" s="13" t="n"/>
    </row>
    <row r="517">
      <c r="A517" s="17">
        <f>IF($C517="","",ROW()-3)</f>
        <v/>
      </c>
      <c r="B517" s="18" t="n"/>
      <c r="C517" s="13" t="n"/>
      <c r="D517" s="13" t="n"/>
      <c r="E517" s="13" t="n"/>
      <c r="F517" s="13" t="n"/>
      <c r="G517" s="20" t="n"/>
      <c r="H517" s="14" t="n"/>
      <c r="I517" s="19">
        <f>IF($C517="","",ROUND(IF($G517="",1,$G517)*N($H517),2))</f>
        <v/>
      </c>
      <c r="J517" s="17">
        <f>IF($C517="","",IFERROR(VLOOKUP($C517,项目台账!$B:$C,2,0),"※项目不在项目台账里"))</f>
        <v/>
      </c>
      <c r="K517" s="13" t="n"/>
    </row>
    <row r="518">
      <c r="A518" s="17">
        <f>IF($C518="","",ROW()-3)</f>
        <v/>
      </c>
      <c r="B518" s="18" t="n"/>
      <c r="C518" s="13" t="n"/>
      <c r="D518" s="13" t="n"/>
      <c r="E518" s="13" t="n"/>
      <c r="F518" s="13" t="n"/>
      <c r="G518" s="20" t="n"/>
      <c r="H518" s="14" t="n"/>
      <c r="I518" s="19">
        <f>IF($C518="","",ROUND(IF($G518="",1,$G518)*N($H518),2))</f>
        <v/>
      </c>
      <c r="J518" s="17">
        <f>IF($C518="","",IFERROR(VLOOKUP($C518,项目台账!$B:$C,2,0),"※项目不在项目台账里"))</f>
        <v/>
      </c>
      <c r="K518" s="13" t="n"/>
    </row>
    <row r="519">
      <c r="A519" s="17">
        <f>IF($C519="","",ROW()-3)</f>
        <v/>
      </c>
      <c r="B519" s="18" t="n"/>
      <c r="C519" s="13" t="n"/>
      <c r="D519" s="13" t="n"/>
      <c r="E519" s="13" t="n"/>
      <c r="F519" s="13" t="n"/>
      <c r="G519" s="20" t="n"/>
      <c r="H519" s="14" t="n"/>
      <c r="I519" s="19">
        <f>IF($C519="","",ROUND(IF($G519="",1,$G519)*N($H519),2))</f>
        <v/>
      </c>
      <c r="J519" s="17">
        <f>IF($C519="","",IFERROR(VLOOKUP($C519,项目台账!$B:$C,2,0),"※项目不在项目台账里"))</f>
        <v/>
      </c>
      <c r="K519" s="13" t="n"/>
    </row>
    <row r="520">
      <c r="A520" s="17">
        <f>IF($C520="","",ROW()-3)</f>
        <v/>
      </c>
      <c r="B520" s="18" t="n"/>
      <c r="C520" s="13" t="n"/>
      <c r="D520" s="13" t="n"/>
      <c r="E520" s="13" t="n"/>
      <c r="F520" s="13" t="n"/>
      <c r="G520" s="20" t="n"/>
      <c r="H520" s="14" t="n"/>
      <c r="I520" s="19">
        <f>IF($C520="","",ROUND(IF($G520="",1,$G520)*N($H520),2))</f>
        <v/>
      </c>
      <c r="J520" s="17">
        <f>IF($C520="","",IFERROR(VLOOKUP($C520,项目台账!$B:$C,2,0),"※项目不在项目台账里"))</f>
        <v/>
      </c>
      <c r="K520" s="13" t="n"/>
    </row>
    <row r="521">
      <c r="A521" s="17">
        <f>IF($C521="","",ROW()-3)</f>
        <v/>
      </c>
      <c r="B521" s="18" t="n"/>
      <c r="C521" s="13" t="n"/>
      <c r="D521" s="13" t="n"/>
      <c r="E521" s="13" t="n"/>
      <c r="F521" s="13" t="n"/>
      <c r="G521" s="20" t="n"/>
      <c r="H521" s="14" t="n"/>
      <c r="I521" s="19">
        <f>IF($C521="","",ROUND(IF($G521="",1,$G521)*N($H521),2))</f>
        <v/>
      </c>
      <c r="J521" s="17">
        <f>IF($C521="","",IFERROR(VLOOKUP($C521,项目台账!$B:$C,2,0),"※项目不在项目台账里"))</f>
        <v/>
      </c>
      <c r="K521" s="13" t="n"/>
    </row>
    <row r="522">
      <c r="A522" s="17">
        <f>IF($C522="","",ROW()-3)</f>
        <v/>
      </c>
      <c r="B522" s="18" t="n"/>
      <c r="C522" s="13" t="n"/>
      <c r="D522" s="13" t="n"/>
      <c r="E522" s="13" t="n"/>
      <c r="F522" s="13" t="n"/>
      <c r="G522" s="20" t="n"/>
      <c r="H522" s="14" t="n"/>
      <c r="I522" s="19">
        <f>IF($C522="","",ROUND(IF($G522="",1,$G522)*N($H522),2))</f>
        <v/>
      </c>
      <c r="J522" s="17">
        <f>IF($C522="","",IFERROR(VLOOKUP($C522,项目台账!$B:$C,2,0),"※项目不在项目台账里"))</f>
        <v/>
      </c>
      <c r="K522" s="13" t="n"/>
    </row>
    <row r="523">
      <c r="A523" s="17">
        <f>IF($C523="","",ROW()-3)</f>
        <v/>
      </c>
      <c r="B523" s="18" t="n"/>
      <c r="C523" s="13" t="n"/>
      <c r="D523" s="13" t="n"/>
      <c r="E523" s="13" t="n"/>
      <c r="F523" s="13" t="n"/>
      <c r="G523" s="20" t="n"/>
      <c r="H523" s="14" t="n"/>
      <c r="I523" s="19">
        <f>IF($C523="","",ROUND(IF($G523="",1,$G523)*N($H523),2))</f>
        <v/>
      </c>
      <c r="J523" s="17">
        <f>IF($C523="","",IFERROR(VLOOKUP($C523,项目台账!$B:$C,2,0),"※项目不在项目台账里"))</f>
        <v/>
      </c>
      <c r="K523" s="13" t="n"/>
    </row>
    <row r="524">
      <c r="A524" s="17">
        <f>IF($C524="","",ROW()-3)</f>
        <v/>
      </c>
      <c r="B524" s="18" t="n"/>
      <c r="C524" s="13" t="n"/>
      <c r="D524" s="13" t="n"/>
      <c r="E524" s="13" t="n"/>
      <c r="F524" s="13" t="n"/>
      <c r="G524" s="20" t="n"/>
      <c r="H524" s="14" t="n"/>
      <c r="I524" s="19">
        <f>IF($C524="","",ROUND(IF($G524="",1,$G524)*N($H524),2))</f>
        <v/>
      </c>
      <c r="J524" s="17">
        <f>IF($C524="","",IFERROR(VLOOKUP($C524,项目台账!$B:$C,2,0),"※项目不在项目台账里"))</f>
        <v/>
      </c>
      <c r="K524" s="13" t="n"/>
    </row>
    <row r="525">
      <c r="A525" s="17">
        <f>IF($C525="","",ROW()-3)</f>
        <v/>
      </c>
      <c r="B525" s="18" t="n"/>
      <c r="C525" s="13" t="n"/>
      <c r="D525" s="13" t="n"/>
      <c r="E525" s="13" t="n"/>
      <c r="F525" s="13" t="n"/>
      <c r="G525" s="20" t="n"/>
      <c r="H525" s="14" t="n"/>
      <c r="I525" s="19">
        <f>IF($C525="","",ROUND(IF($G525="",1,$G525)*N($H525),2))</f>
        <v/>
      </c>
      <c r="J525" s="17">
        <f>IF($C525="","",IFERROR(VLOOKUP($C525,项目台账!$B:$C,2,0),"※项目不在项目台账里"))</f>
        <v/>
      </c>
      <c r="K525" s="13" t="n"/>
    </row>
    <row r="526">
      <c r="A526" s="17">
        <f>IF($C526="","",ROW()-3)</f>
        <v/>
      </c>
      <c r="B526" s="18" t="n"/>
      <c r="C526" s="13" t="n"/>
      <c r="D526" s="13" t="n"/>
      <c r="E526" s="13" t="n"/>
      <c r="F526" s="13" t="n"/>
      <c r="G526" s="20" t="n"/>
      <c r="H526" s="14" t="n"/>
      <c r="I526" s="19">
        <f>IF($C526="","",ROUND(IF($G526="",1,$G526)*N($H526),2))</f>
        <v/>
      </c>
      <c r="J526" s="17">
        <f>IF($C526="","",IFERROR(VLOOKUP($C526,项目台账!$B:$C,2,0),"※项目不在项目台账里"))</f>
        <v/>
      </c>
      <c r="K526" s="13" t="n"/>
    </row>
    <row r="527">
      <c r="A527" s="17">
        <f>IF($C527="","",ROW()-3)</f>
        <v/>
      </c>
      <c r="B527" s="18" t="n"/>
      <c r="C527" s="13" t="n"/>
      <c r="D527" s="13" t="n"/>
      <c r="E527" s="13" t="n"/>
      <c r="F527" s="13" t="n"/>
      <c r="G527" s="20" t="n"/>
      <c r="H527" s="14" t="n"/>
      <c r="I527" s="19">
        <f>IF($C527="","",ROUND(IF($G527="",1,$G527)*N($H527),2))</f>
        <v/>
      </c>
      <c r="J527" s="17">
        <f>IF($C527="","",IFERROR(VLOOKUP($C527,项目台账!$B:$C,2,0),"※项目不在项目台账里"))</f>
        <v/>
      </c>
      <c r="K527" s="13" t="n"/>
    </row>
    <row r="528">
      <c r="A528" s="17">
        <f>IF($C528="","",ROW()-3)</f>
        <v/>
      </c>
      <c r="B528" s="18" t="n"/>
      <c r="C528" s="13" t="n"/>
      <c r="D528" s="13" t="n"/>
      <c r="E528" s="13" t="n"/>
      <c r="F528" s="13" t="n"/>
      <c r="G528" s="20" t="n"/>
      <c r="H528" s="14" t="n"/>
      <c r="I528" s="19">
        <f>IF($C528="","",ROUND(IF($G528="",1,$G528)*N($H528),2))</f>
        <v/>
      </c>
      <c r="J528" s="17">
        <f>IF($C528="","",IFERROR(VLOOKUP($C528,项目台账!$B:$C,2,0),"※项目不在项目台账里"))</f>
        <v/>
      </c>
      <c r="K528" s="13" t="n"/>
    </row>
    <row r="529">
      <c r="A529" s="17">
        <f>IF($C529="","",ROW()-3)</f>
        <v/>
      </c>
      <c r="B529" s="18" t="n"/>
      <c r="C529" s="13" t="n"/>
      <c r="D529" s="13" t="n"/>
      <c r="E529" s="13" t="n"/>
      <c r="F529" s="13" t="n"/>
      <c r="G529" s="20" t="n"/>
      <c r="H529" s="14" t="n"/>
      <c r="I529" s="19">
        <f>IF($C529="","",ROUND(IF($G529="",1,$G529)*N($H529),2))</f>
        <v/>
      </c>
      <c r="J529" s="17">
        <f>IF($C529="","",IFERROR(VLOOKUP($C529,项目台账!$B:$C,2,0),"※项目不在项目台账里"))</f>
        <v/>
      </c>
      <c r="K529" s="13" t="n"/>
    </row>
    <row r="530">
      <c r="A530" s="17">
        <f>IF($C530="","",ROW()-3)</f>
        <v/>
      </c>
      <c r="B530" s="18" t="n"/>
      <c r="C530" s="13" t="n"/>
      <c r="D530" s="13" t="n"/>
      <c r="E530" s="13" t="n"/>
      <c r="F530" s="13" t="n"/>
      <c r="G530" s="20" t="n"/>
      <c r="H530" s="14" t="n"/>
      <c r="I530" s="19">
        <f>IF($C530="","",ROUND(IF($G530="",1,$G530)*N($H530),2))</f>
        <v/>
      </c>
      <c r="J530" s="17">
        <f>IF($C530="","",IFERROR(VLOOKUP($C530,项目台账!$B:$C,2,0),"※项目不在项目台账里"))</f>
        <v/>
      </c>
      <c r="K530" s="13" t="n"/>
    </row>
    <row r="531">
      <c r="A531" s="17">
        <f>IF($C531="","",ROW()-3)</f>
        <v/>
      </c>
      <c r="B531" s="18" t="n"/>
      <c r="C531" s="13" t="n"/>
      <c r="D531" s="13" t="n"/>
      <c r="E531" s="13" t="n"/>
      <c r="F531" s="13" t="n"/>
      <c r="G531" s="20" t="n"/>
      <c r="H531" s="14" t="n"/>
      <c r="I531" s="19">
        <f>IF($C531="","",ROUND(IF($G531="",1,$G531)*N($H531),2))</f>
        <v/>
      </c>
      <c r="J531" s="17">
        <f>IF($C531="","",IFERROR(VLOOKUP($C531,项目台账!$B:$C,2,0),"※项目不在项目台账里"))</f>
        <v/>
      </c>
      <c r="K531" s="13" t="n"/>
    </row>
    <row r="532">
      <c r="A532" s="17">
        <f>IF($C532="","",ROW()-3)</f>
        <v/>
      </c>
      <c r="B532" s="18" t="n"/>
      <c r="C532" s="13" t="n"/>
      <c r="D532" s="13" t="n"/>
      <c r="E532" s="13" t="n"/>
      <c r="F532" s="13" t="n"/>
      <c r="G532" s="20" t="n"/>
      <c r="H532" s="14" t="n"/>
      <c r="I532" s="19">
        <f>IF($C532="","",ROUND(IF($G532="",1,$G532)*N($H532),2))</f>
        <v/>
      </c>
      <c r="J532" s="17">
        <f>IF($C532="","",IFERROR(VLOOKUP($C532,项目台账!$B:$C,2,0),"※项目不在项目台账里"))</f>
        <v/>
      </c>
      <c r="K532" s="13" t="n"/>
    </row>
    <row r="533">
      <c r="A533" s="17">
        <f>IF($C533="","",ROW()-3)</f>
        <v/>
      </c>
      <c r="B533" s="18" t="n"/>
      <c r="C533" s="13" t="n"/>
      <c r="D533" s="13" t="n"/>
      <c r="E533" s="13" t="n"/>
      <c r="F533" s="13" t="n"/>
      <c r="G533" s="20" t="n"/>
      <c r="H533" s="14" t="n"/>
      <c r="I533" s="19">
        <f>IF($C533="","",ROUND(IF($G533="",1,$G533)*N($H533),2))</f>
        <v/>
      </c>
      <c r="J533" s="17">
        <f>IF($C533="","",IFERROR(VLOOKUP($C533,项目台账!$B:$C,2,0),"※项目不在项目台账里"))</f>
        <v/>
      </c>
      <c r="K533" s="13" t="n"/>
    </row>
    <row r="534">
      <c r="A534" s="17">
        <f>IF($C534="","",ROW()-3)</f>
        <v/>
      </c>
      <c r="B534" s="18" t="n"/>
      <c r="C534" s="13" t="n"/>
      <c r="D534" s="13" t="n"/>
      <c r="E534" s="13" t="n"/>
      <c r="F534" s="13" t="n"/>
      <c r="G534" s="20" t="n"/>
      <c r="H534" s="14" t="n"/>
      <c r="I534" s="19">
        <f>IF($C534="","",ROUND(IF($G534="",1,$G534)*N($H534),2))</f>
        <v/>
      </c>
      <c r="J534" s="17">
        <f>IF($C534="","",IFERROR(VLOOKUP($C534,项目台账!$B:$C,2,0),"※项目不在项目台账里"))</f>
        <v/>
      </c>
      <c r="K534" s="13" t="n"/>
    </row>
    <row r="535">
      <c r="A535" s="17">
        <f>IF($C535="","",ROW()-3)</f>
        <v/>
      </c>
      <c r="B535" s="18" t="n"/>
      <c r="C535" s="13" t="n"/>
      <c r="D535" s="13" t="n"/>
      <c r="E535" s="13" t="n"/>
      <c r="F535" s="13" t="n"/>
      <c r="G535" s="20" t="n"/>
      <c r="H535" s="14" t="n"/>
      <c r="I535" s="19">
        <f>IF($C535="","",ROUND(IF($G535="",1,$G535)*N($H535),2))</f>
        <v/>
      </c>
      <c r="J535" s="17">
        <f>IF($C535="","",IFERROR(VLOOKUP($C535,项目台账!$B:$C,2,0),"※项目不在项目台账里"))</f>
        <v/>
      </c>
      <c r="K535" s="13" t="n"/>
    </row>
    <row r="536">
      <c r="A536" s="17">
        <f>IF($C536="","",ROW()-3)</f>
        <v/>
      </c>
      <c r="B536" s="18" t="n"/>
      <c r="C536" s="13" t="n"/>
      <c r="D536" s="13" t="n"/>
      <c r="E536" s="13" t="n"/>
      <c r="F536" s="13" t="n"/>
      <c r="G536" s="20" t="n"/>
      <c r="H536" s="14" t="n"/>
      <c r="I536" s="19">
        <f>IF($C536="","",ROUND(IF($G536="",1,$G536)*N($H536),2))</f>
        <v/>
      </c>
      <c r="J536" s="17">
        <f>IF($C536="","",IFERROR(VLOOKUP($C536,项目台账!$B:$C,2,0),"※项目不在项目台账里"))</f>
        <v/>
      </c>
      <c r="K536" s="13" t="n"/>
    </row>
    <row r="537">
      <c r="A537" s="17">
        <f>IF($C537="","",ROW()-3)</f>
        <v/>
      </c>
      <c r="B537" s="18" t="n"/>
      <c r="C537" s="13" t="n"/>
      <c r="D537" s="13" t="n"/>
      <c r="E537" s="13" t="n"/>
      <c r="F537" s="13" t="n"/>
      <c r="G537" s="20" t="n"/>
      <c r="H537" s="14" t="n"/>
      <c r="I537" s="19">
        <f>IF($C537="","",ROUND(IF($G537="",1,$G537)*N($H537),2))</f>
        <v/>
      </c>
      <c r="J537" s="17">
        <f>IF($C537="","",IFERROR(VLOOKUP($C537,项目台账!$B:$C,2,0),"※项目不在项目台账里"))</f>
        <v/>
      </c>
      <c r="K537" s="13" t="n"/>
    </row>
    <row r="538">
      <c r="A538" s="17">
        <f>IF($C538="","",ROW()-3)</f>
        <v/>
      </c>
      <c r="B538" s="18" t="n"/>
      <c r="C538" s="13" t="n"/>
      <c r="D538" s="13" t="n"/>
      <c r="E538" s="13" t="n"/>
      <c r="F538" s="13" t="n"/>
      <c r="G538" s="20" t="n"/>
      <c r="H538" s="14" t="n"/>
      <c r="I538" s="19">
        <f>IF($C538="","",ROUND(IF($G538="",1,$G538)*N($H538),2))</f>
        <v/>
      </c>
      <c r="J538" s="17">
        <f>IF($C538="","",IFERROR(VLOOKUP($C538,项目台账!$B:$C,2,0),"※项目不在项目台账里"))</f>
        <v/>
      </c>
      <c r="K538" s="13" t="n"/>
    </row>
    <row r="539">
      <c r="A539" s="17">
        <f>IF($C539="","",ROW()-3)</f>
        <v/>
      </c>
      <c r="B539" s="18" t="n"/>
      <c r="C539" s="13" t="n"/>
      <c r="D539" s="13" t="n"/>
      <c r="E539" s="13" t="n"/>
      <c r="F539" s="13" t="n"/>
      <c r="G539" s="20" t="n"/>
      <c r="H539" s="14" t="n"/>
      <c r="I539" s="19">
        <f>IF($C539="","",ROUND(IF($G539="",1,$G539)*N($H539),2))</f>
        <v/>
      </c>
      <c r="J539" s="17">
        <f>IF($C539="","",IFERROR(VLOOKUP($C539,项目台账!$B:$C,2,0),"※项目不在项目台账里"))</f>
        <v/>
      </c>
      <c r="K539" s="13" t="n"/>
    </row>
    <row r="540">
      <c r="A540" s="17">
        <f>IF($C540="","",ROW()-3)</f>
        <v/>
      </c>
      <c r="B540" s="18" t="n"/>
      <c r="C540" s="13" t="n"/>
      <c r="D540" s="13" t="n"/>
      <c r="E540" s="13" t="n"/>
      <c r="F540" s="13" t="n"/>
      <c r="G540" s="20" t="n"/>
      <c r="H540" s="14" t="n"/>
      <c r="I540" s="19">
        <f>IF($C540="","",ROUND(IF($G540="",1,$G540)*N($H540),2))</f>
        <v/>
      </c>
      <c r="J540" s="17">
        <f>IF($C540="","",IFERROR(VLOOKUP($C540,项目台账!$B:$C,2,0),"※项目不在项目台账里"))</f>
        <v/>
      </c>
      <c r="K540" s="13" t="n"/>
    </row>
    <row r="541">
      <c r="A541" s="17">
        <f>IF($C541="","",ROW()-3)</f>
        <v/>
      </c>
      <c r="B541" s="18" t="n"/>
      <c r="C541" s="13" t="n"/>
      <c r="D541" s="13" t="n"/>
      <c r="E541" s="13" t="n"/>
      <c r="F541" s="13" t="n"/>
      <c r="G541" s="20" t="n"/>
      <c r="H541" s="14" t="n"/>
      <c r="I541" s="19">
        <f>IF($C541="","",ROUND(IF($G541="",1,$G541)*N($H541),2))</f>
        <v/>
      </c>
      <c r="J541" s="17">
        <f>IF($C541="","",IFERROR(VLOOKUP($C541,项目台账!$B:$C,2,0),"※项目不在项目台账里"))</f>
        <v/>
      </c>
      <c r="K541" s="13" t="n"/>
    </row>
    <row r="542">
      <c r="A542" s="17">
        <f>IF($C542="","",ROW()-3)</f>
        <v/>
      </c>
      <c r="B542" s="18" t="n"/>
      <c r="C542" s="13" t="n"/>
      <c r="D542" s="13" t="n"/>
      <c r="E542" s="13" t="n"/>
      <c r="F542" s="13" t="n"/>
      <c r="G542" s="20" t="n"/>
      <c r="H542" s="14" t="n"/>
      <c r="I542" s="19">
        <f>IF($C542="","",ROUND(IF($G542="",1,$G542)*N($H542),2))</f>
        <v/>
      </c>
      <c r="J542" s="17">
        <f>IF($C542="","",IFERROR(VLOOKUP($C542,项目台账!$B:$C,2,0),"※项目不在项目台账里"))</f>
        <v/>
      </c>
      <c r="K542" s="13" t="n"/>
    </row>
    <row r="543">
      <c r="A543" s="17">
        <f>IF($C543="","",ROW()-3)</f>
        <v/>
      </c>
      <c r="B543" s="18" t="n"/>
      <c r="C543" s="13" t="n"/>
      <c r="D543" s="13" t="n"/>
      <c r="E543" s="13" t="n"/>
      <c r="F543" s="13" t="n"/>
      <c r="G543" s="20" t="n"/>
      <c r="H543" s="14" t="n"/>
      <c r="I543" s="19">
        <f>IF($C543="","",ROUND(IF($G543="",1,$G543)*N($H543),2))</f>
        <v/>
      </c>
      <c r="J543" s="17">
        <f>IF($C543="","",IFERROR(VLOOKUP($C543,项目台账!$B:$C,2,0),"※项目不在项目台账里"))</f>
        <v/>
      </c>
      <c r="K543" s="13" t="n"/>
    </row>
    <row r="544">
      <c r="A544" s="17">
        <f>IF($C544="","",ROW()-3)</f>
        <v/>
      </c>
      <c r="B544" s="18" t="n"/>
      <c r="C544" s="13" t="n"/>
      <c r="D544" s="13" t="n"/>
      <c r="E544" s="13" t="n"/>
      <c r="F544" s="13" t="n"/>
      <c r="G544" s="20" t="n"/>
      <c r="H544" s="14" t="n"/>
      <c r="I544" s="19">
        <f>IF($C544="","",ROUND(IF($G544="",1,$G544)*N($H544),2))</f>
        <v/>
      </c>
      <c r="J544" s="17">
        <f>IF($C544="","",IFERROR(VLOOKUP($C544,项目台账!$B:$C,2,0),"※项目不在项目台账里"))</f>
        <v/>
      </c>
      <c r="K544" s="13" t="n"/>
    </row>
    <row r="545">
      <c r="A545" s="17">
        <f>IF($C545="","",ROW()-3)</f>
        <v/>
      </c>
      <c r="B545" s="18" t="n"/>
      <c r="C545" s="13" t="n"/>
      <c r="D545" s="13" t="n"/>
      <c r="E545" s="13" t="n"/>
      <c r="F545" s="13" t="n"/>
      <c r="G545" s="20" t="n"/>
      <c r="H545" s="14" t="n"/>
      <c r="I545" s="19">
        <f>IF($C545="","",ROUND(IF($G545="",1,$G545)*N($H545),2))</f>
        <v/>
      </c>
      <c r="J545" s="17">
        <f>IF($C545="","",IFERROR(VLOOKUP($C545,项目台账!$B:$C,2,0),"※项目不在项目台账里"))</f>
        <v/>
      </c>
      <c r="K545" s="13" t="n"/>
    </row>
    <row r="546">
      <c r="A546" s="17">
        <f>IF($C546="","",ROW()-3)</f>
        <v/>
      </c>
      <c r="B546" s="18" t="n"/>
      <c r="C546" s="13" t="n"/>
      <c r="D546" s="13" t="n"/>
      <c r="E546" s="13" t="n"/>
      <c r="F546" s="13" t="n"/>
      <c r="G546" s="20" t="n"/>
      <c r="H546" s="14" t="n"/>
      <c r="I546" s="19">
        <f>IF($C546="","",ROUND(IF($G546="",1,$G546)*N($H546),2))</f>
        <v/>
      </c>
      <c r="J546" s="17">
        <f>IF($C546="","",IFERROR(VLOOKUP($C546,项目台账!$B:$C,2,0),"※项目不在项目台账里"))</f>
        <v/>
      </c>
      <c r="K546" s="13" t="n"/>
    </row>
    <row r="547">
      <c r="A547" s="17">
        <f>IF($C547="","",ROW()-3)</f>
        <v/>
      </c>
      <c r="B547" s="18" t="n"/>
      <c r="C547" s="13" t="n"/>
      <c r="D547" s="13" t="n"/>
      <c r="E547" s="13" t="n"/>
      <c r="F547" s="13" t="n"/>
      <c r="G547" s="20" t="n"/>
      <c r="H547" s="14" t="n"/>
      <c r="I547" s="19">
        <f>IF($C547="","",ROUND(IF($G547="",1,$G547)*N($H547),2))</f>
        <v/>
      </c>
      <c r="J547" s="17">
        <f>IF($C547="","",IFERROR(VLOOKUP($C547,项目台账!$B:$C,2,0),"※项目不在项目台账里"))</f>
        <v/>
      </c>
      <c r="K547" s="13" t="n"/>
    </row>
    <row r="548">
      <c r="A548" s="17">
        <f>IF($C548="","",ROW()-3)</f>
        <v/>
      </c>
      <c r="B548" s="18" t="n"/>
      <c r="C548" s="13" t="n"/>
      <c r="D548" s="13" t="n"/>
      <c r="E548" s="13" t="n"/>
      <c r="F548" s="13" t="n"/>
      <c r="G548" s="20" t="n"/>
      <c r="H548" s="14" t="n"/>
      <c r="I548" s="19">
        <f>IF($C548="","",ROUND(IF($G548="",1,$G548)*N($H548),2))</f>
        <v/>
      </c>
      <c r="J548" s="17">
        <f>IF($C548="","",IFERROR(VLOOKUP($C548,项目台账!$B:$C,2,0),"※项目不在项目台账里"))</f>
        <v/>
      </c>
      <c r="K548" s="13" t="n"/>
    </row>
    <row r="549">
      <c r="A549" s="17">
        <f>IF($C549="","",ROW()-3)</f>
        <v/>
      </c>
      <c r="B549" s="18" t="n"/>
      <c r="C549" s="13" t="n"/>
      <c r="D549" s="13" t="n"/>
      <c r="E549" s="13" t="n"/>
      <c r="F549" s="13" t="n"/>
      <c r="G549" s="20" t="n"/>
      <c r="H549" s="14" t="n"/>
      <c r="I549" s="19">
        <f>IF($C549="","",ROUND(IF($G549="",1,$G549)*N($H549),2))</f>
        <v/>
      </c>
      <c r="J549" s="17">
        <f>IF($C549="","",IFERROR(VLOOKUP($C549,项目台账!$B:$C,2,0),"※项目不在项目台账里"))</f>
        <v/>
      </c>
      <c r="K549" s="13" t="n"/>
    </row>
    <row r="550">
      <c r="A550" s="17">
        <f>IF($C550="","",ROW()-3)</f>
        <v/>
      </c>
      <c r="B550" s="18" t="n"/>
      <c r="C550" s="13" t="n"/>
      <c r="D550" s="13" t="n"/>
      <c r="E550" s="13" t="n"/>
      <c r="F550" s="13" t="n"/>
      <c r="G550" s="20" t="n"/>
      <c r="H550" s="14" t="n"/>
      <c r="I550" s="19">
        <f>IF($C550="","",ROUND(IF($G550="",1,$G550)*N($H550),2))</f>
        <v/>
      </c>
      <c r="J550" s="17">
        <f>IF($C550="","",IFERROR(VLOOKUP($C550,项目台账!$B:$C,2,0),"※项目不在项目台账里"))</f>
        <v/>
      </c>
      <c r="K550" s="13" t="n"/>
    </row>
    <row r="551">
      <c r="A551" s="17">
        <f>IF($C551="","",ROW()-3)</f>
        <v/>
      </c>
      <c r="B551" s="18" t="n"/>
      <c r="C551" s="13" t="n"/>
      <c r="D551" s="13" t="n"/>
      <c r="E551" s="13" t="n"/>
      <c r="F551" s="13" t="n"/>
      <c r="G551" s="20" t="n"/>
      <c r="H551" s="14" t="n"/>
      <c r="I551" s="19">
        <f>IF($C551="","",ROUND(IF($G551="",1,$G551)*N($H551),2))</f>
        <v/>
      </c>
      <c r="J551" s="17">
        <f>IF($C551="","",IFERROR(VLOOKUP($C551,项目台账!$B:$C,2,0),"※项目不在项目台账里"))</f>
        <v/>
      </c>
      <c r="K551" s="13" t="n"/>
    </row>
    <row r="552">
      <c r="A552" s="17">
        <f>IF($C552="","",ROW()-3)</f>
        <v/>
      </c>
      <c r="B552" s="18" t="n"/>
      <c r="C552" s="13" t="n"/>
      <c r="D552" s="13" t="n"/>
      <c r="E552" s="13" t="n"/>
      <c r="F552" s="13" t="n"/>
      <c r="G552" s="20" t="n"/>
      <c r="H552" s="14" t="n"/>
      <c r="I552" s="19">
        <f>IF($C552="","",ROUND(IF($G552="",1,$G552)*N($H552),2))</f>
        <v/>
      </c>
      <c r="J552" s="17">
        <f>IF($C552="","",IFERROR(VLOOKUP($C552,项目台账!$B:$C,2,0),"※项目不在项目台账里"))</f>
        <v/>
      </c>
      <c r="K552" s="13" t="n"/>
    </row>
    <row r="553">
      <c r="A553" s="17">
        <f>IF($C553="","",ROW()-3)</f>
        <v/>
      </c>
      <c r="B553" s="18" t="n"/>
      <c r="C553" s="13" t="n"/>
      <c r="D553" s="13" t="n"/>
      <c r="E553" s="13" t="n"/>
      <c r="F553" s="13" t="n"/>
      <c r="G553" s="20" t="n"/>
      <c r="H553" s="14" t="n"/>
      <c r="I553" s="19">
        <f>IF($C553="","",ROUND(IF($G553="",1,$G553)*N($H553),2))</f>
        <v/>
      </c>
      <c r="J553" s="17">
        <f>IF($C553="","",IFERROR(VLOOKUP($C553,项目台账!$B:$C,2,0),"※项目不在项目台账里"))</f>
        <v/>
      </c>
      <c r="K553" s="13" t="n"/>
    </row>
    <row r="554">
      <c r="A554" s="17">
        <f>IF($C554="","",ROW()-3)</f>
        <v/>
      </c>
      <c r="B554" s="18" t="n"/>
      <c r="C554" s="13" t="n"/>
      <c r="D554" s="13" t="n"/>
      <c r="E554" s="13" t="n"/>
      <c r="F554" s="13" t="n"/>
      <c r="G554" s="20" t="n"/>
      <c r="H554" s="14" t="n"/>
      <c r="I554" s="19">
        <f>IF($C554="","",ROUND(IF($G554="",1,$G554)*N($H554),2))</f>
        <v/>
      </c>
      <c r="J554" s="17">
        <f>IF($C554="","",IFERROR(VLOOKUP($C554,项目台账!$B:$C,2,0),"※项目不在项目台账里"))</f>
        <v/>
      </c>
      <c r="K554" s="13" t="n"/>
    </row>
    <row r="555">
      <c r="A555" s="17">
        <f>IF($C555="","",ROW()-3)</f>
        <v/>
      </c>
      <c r="B555" s="18" t="n"/>
      <c r="C555" s="13" t="n"/>
      <c r="D555" s="13" t="n"/>
      <c r="E555" s="13" t="n"/>
      <c r="F555" s="13" t="n"/>
      <c r="G555" s="20" t="n"/>
      <c r="H555" s="14" t="n"/>
      <c r="I555" s="19">
        <f>IF($C555="","",ROUND(IF($G555="",1,$G555)*N($H555),2))</f>
        <v/>
      </c>
      <c r="J555" s="17">
        <f>IF($C555="","",IFERROR(VLOOKUP($C555,项目台账!$B:$C,2,0),"※项目不在项目台账里"))</f>
        <v/>
      </c>
      <c r="K555" s="13" t="n"/>
    </row>
    <row r="556">
      <c r="A556" s="17">
        <f>IF($C556="","",ROW()-3)</f>
        <v/>
      </c>
      <c r="B556" s="18" t="n"/>
      <c r="C556" s="13" t="n"/>
      <c r="D556" s="13" t="n"/>
      <c r="E556" s="13" t="n"/>
      <c r="F556" s="13" t="n"/>
      <c r="G556" s="20" t="n"/>
      <c r="H556" s="14" t="n"/>
      <c r="I556" s="19">
        <f>IF($C556="","",ROUND(IF($G556="",1,$G556)*N($H556),2))</f>
        <v/>
      </c>
      <c r="J556" s="17">
        <f>IF($C556="","",IFERROR(VLOOKUP($C556,项目台账!$B:$C,2,0),"※项目不在项目台账里"))</f>
        <v/>
      </c>
      <c r="K556" s="13" t="n"/>
    </row>
    <row r="557">
      <c r="A557" s="17">
        <f>IF($C557="","",ROW()-3)</f>
        <v/>
      </c>
      <c r="B557" s="18" t="n"/>
      <c r="C557" s="13" t="n"/>
      <c r="D557" s="13" t="n"/>
      <c r="E557" s="13" t="n"/>
      <c r="F557" s="13" t="n"/>
      <c r="G557" s="20" t="n"/>
      <c r="H557" s="14" t="n"/>
      <c r="I557" s="19">
        <f>IF($C557="","",ROUND(IF($G557="",1,$G557)*N($H557),2))</f>
        <v/>
      </c>
      <c r="J557" s="17">
        <f>IF($C557="","",IFERROR(VLOOKUP($C557,项目台账!$B:$C,2,0),"※项目不在项目台账里"))</f>
        <v/>
      </c>
      <c r="K557" s="13" t="n"/>
    </row>
    <row r="558">
      <c r="A558" s="17">
        <f>IF($C558="","",ROW()-3)</f>
        <v/>
      </c>
      <c r="B558" s="18" t="n"/>
      <c r="C558" s="13" t="n"/>
      <c r="D558" s="13" t="n"/>
      <c r="E558" s="13" t="n"/>
      <c r="F558" s="13" t="n"/>
      <c r="G558" s="20" t="n"/>
      <c r="H558" s="14" t="n"/>
      <c r="I558" s="19">
        <f>IF($C558="","",ROUND(IF($G558="",1,$G558)*N($H558),2))</f>
        <v/>
      </c>
      <c r="J558" s="17">
        <f>IF($C558="","",IFERROR(VLOOKUP($C558,项目台账!$B:$C,2,0),"※项目不在项目台账里"))</f>
        <v/>
      </c>
      <c r="K558" s="13" t="n"/>
    </row>
    <row r="559">
      <c r="A559" s="17">
        <f>IF($C559="","",ROW()-3)</f>
        <v/>
      </c>
      <c r="B559" s="18" t="n"/>
      <c r="C559" s="13" t="n"/>
      <c r="D559" s="13" t="n"/>
      <c r="E559" s="13" t="n"/>
      <c r="F559" s="13" t="n"/>
      <c r="G559" s="20" t="n"/>
      <c r="H559" s="14" t="n"/>
      <c r="I559" s="19">
        <f>IF($C559="","",ROUND(IF($G559="",1,$G559)*N($H559),2))</f>
        <v/>
      </c>
      <c r="J559" s="17">
        <f>IF($C559="","",IFERROR(VLOOKUP($C559,项目台账!$B:$C,2,0),"※项目不在项目台账里"))</f>
        <v/>
      </c>
      <c r="K559" s="13" t="n"/>
    </row>
    <row r="560">
      <c r="A560" s="17">
        <f>IF($C560="","",ROW()-3)</f>
        <v/>
      </c>
      <c r="B560" s="18" t="n"/>
      <c r="C560" s="13" t="n"/>
      <c r="D560" s="13" t="n"/>
      <c r="E560" s="13" t="n"/>
      <c r="F560" s="13" t="n"/>
      <c r="G560" s="20" t="n"/>
      <c r="H560" s="14" t="n"/>
      <c r="I560" s="19">
        <f>IF($C560="","",ROUND(IF($G560="",1,$G560)*N($H560),2))</f>
        <v/>
      </c>
      <c r="J560" s="17">
        <f>IF($C560="","",IFERROR(VLOOKUP($C560,项目台账!$B:$C,2,0),"※项目不在项目台账里"))</f>
        <v/>
      </c>
      <c r="K560" s="13" t="n"/>
    </row>
    <row r="561">
      <c r="A561" s="17">
        <f>IF($C561="","",ROW()-3)</f>
        <v/>
      </c>
      <c r="B561" s="18" t="n"/>
      <c r="C561" s="13" t="n"/>
      <c r="D561" s="13" t="n"/>
      <c r="E561" s="13" t="n"/>
      <c r="F561" s="13" t="n"/>
      <c r="G561" s="20" t="n"/>
      <c r="H561" s="14" t="n"/>
      <c r="I561" s="19">
        <f>IF($C561="","",ROUND(IF($G561="",1,$G561)*N($H561),2))</f>
        <v/>
      </c>
      <c r="J561" s="17">
        <f>IF($C561="","",IFERROR(VLOOKUP($C561,项目台账!$B:$C,2,0),"※项目不在项目台账里"))</f>
        <v/>
      </c>
      <c r="K561" s="13" t="n"/>
    </row>
    <row r="562">
      <c r="A562" s="17">
        <f>IF($C562="","",ROW()-3)</f>
        <v/>
      </c>
      <c r="B562" s="18" t="n"/>
      <c r="C562" s="13" t="n"/>
      <c r="D562" s="13" t="n"/>
      <c r="E562" s="13" t="n"/>
      <c r="F562" s="13" t="n"/>
      <c r="G562" s="20" t="n"/>
      <c r="H562" s="14" t="n"/>
      <c r="I562" s="19">
        <f>IF($C562="","",ROUND(IF($G562="",1,$G562)*N($H562),2))</f>
        <v/>
      </c>
      <c r="J562" s="17">
        <f>IF($C562="","",IFERROR(VLOOKUP($C562,项目台账!$B:$C,2,0),"※项目不在项目台账里"))</f>
        <v/>
      </c>
      <c r="K562" s="13" t="n"/>
    </row>
    <row r="563">
      <c r="A563" s="17">
        <f>IF($C563="","",ROW()-3)</f>
        <v/>
      </c>
      <c r="B563" s="18" t="n"/>
      <c r="C563" s="13" t="n"/>
      <c r="D563" s="13" t="n"/>
      <c r="E563" s="13" t="n"/>
      <c r="F563" s="13" t="n"/>
      <c r="G563" s="20" t="n"/>
      <c r="H563" s="14" t="n"/>
      <c r="I563" s="19">
        <f>IF($C563="","",ROUND(IF($G563="",1,$G563)*N($H563),2))</f>
        <v/>
      </c>
      <c r="J563" s="17">
        <f>IF($C563="","",IFERROR(VLOOKUP($C563,项目台账!$B:$C,2,0),"※项目不在项目台账里"))</f>
        <v/>
      </c>
      <c r="K563" s="13" t="n"/>
    </row>
    <row r="564">
      <c r="A564" s="17">
        <f>IF($C564="","",ROW()-3)</f>
        <v/>
      </c>
      <c r="B564" s="18" t="n"/>
      <c r="C564" s="13" t="n"/>
      <c r="D564" s="13" t="n"/>
      <c r="E564" s="13" t="n"/>
      <c r="F564" s="13" t="n"/>
      <c r="G564" s="20" t="n"/>
      <c r="H564" s="14" t="n"/>
      <c r="I564" s="19">
        <f>IF($C564="","",ROUND(IF($G564="",1,$G564)*N($H564),2))</f>
        <v/>
      </c>
      <c r="J564" s="17">
        <f>IF($C564="","",IFERROR(VLOOKUP($C564,项目台账!$B:$C,2,0),"※项目不在项目台账里"))</f>
        <v/>
      </c>
      <c r="K564" s="13" t="n"/>
    </row>
    <row r="565">
      <c r="A565" s="17">
        <f>IF($C565="","",ROW()-3)</f>
        <v/>
      </c>
      <c r="B565" s="18" t="n"/>
      <c r="C565" s="13" t="n"/>
      <c r="D565" s="13" t="n"/>
      <c r="E565" s="13" t="n"/>
      <c r="F565" s="13" t="n"/>
      <c r="G565" s="20" t="n"/>
      <c r="H565" s="14" t="n"/>
      <c r="I565" s="19">
        <f>IF($C565="","",ROUND(IF($G565="",1,$G565)*N($H565),2))</f>
        <v/>
      </c>
      <c r="J565" s="17">
        <f>IF($C565="","",IFERROR(VLOOKUP($C565,项目台账!$B:$C,2,0),"※项目不在项目台账里"))</f>
        <v/>
      </c>
      <c r="K565" s="13" t="n"/>
    </row>
    <row r="566">
      <c r="A566" s="17">
        <f>IF($C566="","",ROW()-3)</f>
        <v/>
      </c>
      <c r="B566" s="18" t="n"/>
      <c r="C566" s="13" t="n"/>
      <c r="D566" s="13" t="n"/>
      <c r="E566" s="13" t="n"/>
      <c r="F566" s="13" t="n"/>
      <c r="G566" s="20" t="n"/>
      <c r="H566" s="14" t="n"/>
      <c r="I566" s="19">
        <f>IF($C566="","",ROUND(IF($G566="",1,$G566)*N($H566),2))</f>
        <v/>
      </c>
      <c r="J566" s="17">
        <f>IF($C566="","",IFERROR(VLOOKUP($C566,项目台账!$B:$C,2,0),"※项目不在项目台账里"))</f>
        <v/>
      </c>
      <c r="K566" s="13" t="n"/>
    </row>
    <row r="567">
      <c r="A567" s="17">
        <f>IF($C567="","",ROW()-3)</f>
        <v/>
      </c>
      <c r="B567" s="18" t="n"/>
      <c r="C567" s="13" t="n"/>
      <c r="D567" s="13" t="n"/>
      <c r="E567" s="13" t="n"/>
      <c r="F567" s="13" t="n"/>
      <c r="G567" s="20" t="n"/>
      <c r="H567" s="14" t="n"/>
      <c r="I567" s="19">
        <f>IF($C567="","",ROUND(IF($G567="",1,$G567)*N($H567),2))</f>
        <v/>
      </c>
      <c r="J567" s="17">
        <f>IF($C567="","",IFERROR(VLOOKUP($C567,项目台账!$B:$C,2,0),"※项目不在项目台账里"))</f>
        <v/>
      </c>
      <c r="K567" s="13" t="n"/>
    </row>
    <row r="568">
      <c r="A568" s="17">
        <f>IF($C568="","",ROW()-3)</f>
        <v/>
      </c>
      <c r="B568" s="18" t="n"/>
      <c r="C568" s="13" t="n"/>
      <c r="D568" s="13" t="n"/>
      <c r="E568" s="13" t="n"/>
      <c r="F568" s="13" t="n"/>
      <c r="G568" s="20" t="n"/>
      <c r="H568" s="14" t="n"/>
      <c r="I568" s="19">
        <f>IF($C568="","",ROUND(IF($G568="",1,$G568)*N($H568),2))</f>
        <v/>
      </c>
      <c r="J568" s="17">
        <f>IF($C568="","",IFERROR(VLOOKUP($C568,项目台账!$B:$C,2,0),"※项目不在项目台账里"))</f>
        <v/>
      </c>
      <c r="K568" s="13" t="n"/>
    </row>
    <row r="569">
      <c r="A569" s="17">
        <f>IF($C569="","",ROW()-3)</f>
        <v/>
      </c>
      <c r="B569" s="18" t="n"/>
      <c r="C569" s="13" t="n"/>
      <c r="D569" s="13" t="n"/>
      <c r="E569" s="13" t="n"/>
      <c r="F569" s="13" t="n"/>
      <c r="G569" s="20" t="n"/>
      <c r="H569" s="14" t="n"/>
      <c r="I569" s="19">
        <f>IF($C569="","",ROUND(IF($G569="",1,$G569)*N($H569),2))</f>
        <v/>
      </c>
      <c r="J569" s="17">
        <f>IF($C569="","",IFERROR(VLOOKUP($C569,项目台账!$B:$C,2,0),"※项目不在项目台账里"))</f>
        <v/>
      </c>
      <c r="K569" s="13" t="n"/>
    </row>
    <row r="570">
      <c r="A570" s="17">
        <f>IF($C570="","",ROW()-3)</f>
        <v/>
      </c>
      <c r="B570" s="18" t="n"/>
      <c r="C570" s="13" t="n"/>
      <c r="D570" s="13" t="n"/>
      <c r="E570" s="13" t="n"/>
      <c r="F570" s="13" t="n"/>
      <c r="G570" s="20" t="n"/>
      <c r="H570" s="14" t="n"/>
      <c r="I570" s="19">
        <f>IF($C570="","",ROUND(IF($G570="",1,$G570)*N($H570),2))</f>
        <v/>
      </c>
      <c r="J570" s="17">
        <f>IF($C570="","",IFERROR(VLOOKUP($C570,项目台账!$B:$C,2,0),"※项目不在项目台账里"))</f>
        <v/>
      </c>
      <c r="K570" s="13" t="n"/>
    </row>
    <row r="571">
      <c r="A571" s="17">
        <f>IF($C571="","",ROW()-3)</f>
        <v/>
      </c>
      <c r="B571" s="18" t="n"/>
      <c r="C571" s="13" t="n"/>
      <c r="D571" s="13" t="n"/>
      <c r="E571" s="13" t="n"/>
      <c r="F571" s="13" t="n"/>
      <c r="G571" s="20" t="n"/>
      <c r="H571" s="14" t="n"/>
      <c r="I571" s="19">
        <f>IF($C571="","",ROUND(IF($G571="",1,$G571)*N($H571),2))</f>
        <v/>
      </c>
      <c r="J571" s="17">
        <f>IF($C571="","",IFERROR(VLOOKUP($C571,项目台账!$B:$C,2,0),"※项目不在项目台账里"))</f>
        <v/>
      </c>
      <c r="K571" s="13" t="n"/>
    </row>
    <row r="572">
      <c r="A572" s="17">
        <f>IF($C572="","",ROW()-3)</f>
        <v/>
      </c>
      <c r="B572" s="18" t="n"/>
      <c r="C572" s="13" t="n"/>
      <c r="D572" s="13" t="n"/>
      <c r="E572" s="13" t="n"/>
      <c r="F572" s="13" t="n"/>
      <c r="G572" s="20" t="n"/>
      <c r="H572" s="14" t="n"/>
      <c r="I572" s="19">
        <f>IF($C572="","",ROUND(IF($G572="",1,$G572)*N($H572),2))</f>
        <v/>
      </c>
      <c r="J572" s="17">
        <f>IF($C572="","",IFERROR(VLOOKUP($C572,项目台账!$B:$C,2,0),"※项目不在项目台账里"))</f>
        <v/>
      </c>
      <c r="K572" s="13" t="n"/>
    </row>
    <row r="573">
      <c r="A573" s="17">
        <f>IF($C573="","",ROW()-3)</f>
        <v/>
      </c>
      <c r="B573" s="18" t="n"/>
      <c r="C573" s="13" t="n"/>
      <c r="D573" s="13" t="n"/>
      <c r="E573" s="13" t="n"/>
      <c r="F573" s="13" t="n"/>
      <c r="G573" s="20" t="n"/>
      <c r="H573" s="14" t="n"/>
      <c r="I573" s="19">
        <f>IF($C573="","",ROUND(IF($G573="",1,$G573)*N($H573),2))</f>
        <v/>
      </c>
      <c r="J573" s="17">
        <f>IF($C573="","",IFERROR(VLOOKUP($C573,项目台账!$B:$C,2,0),"※项目不在项目台账里"))</f>
        <v/>
      </c>
      <c r="K573" s="13" t="n"/>
    </row>
    <row r="574">
      <c r="A574" s="17">
        <f>IF($C574="","",ROW()-3)</f>
        <v/>
      </c>
      <c r="B574" s="18" t="n"/>
      <c r="C574" s="13" t="n"/>
      <c r="D574" s="13" t="n"/>
      <c r="E574" s="13" t="n"/>
      <c r="F574" s="13" t="n"/>
      <c r="G574" s="20" t="n"/>
      <c r="H574" s="14" t="n"/>
      <c r="I574" s="19">
        <f>IF($C574="","",ROUND(IF($G574="",1,$G574)*N($H574),2))</f>
        <v/>
      </c>
      <c r="J574" s="17">
        <f>IF($C574="","",IFERROR(VLOOKUP($C574,项目台账!$B:$C,2,0),"※项目不在项目台账里"))</f>
        <v/>
      </c>
      <c r="K574" s="13" t="n"/>
    </row>
    <row r="575">
      <c r="A575" s="17">
        <f>IF($C575="","",ROW()-3)</f>
        <v/>
      </c>
      <c r="B575" s="18" t="n"/>
      <c r="C575" s="13" t="n"/>
      <c r="D575" s="13" t="n"/>
      <c r="E575" s="13" t="n"/>
      <c r="F575" s="13" t="n"/>
      <c r="G575" s="20" t="n"/>
      <c r="H575" s="14" t="n"/>
      <c r="I575" s="19">
        <f>IF($C575="","",ROUND(IF($G575="",1,$G575)*N($H575),2))</f>
        <v/>
      </c>
      <c r="J575" s="17">
        <f>IF($C575="","",IFERROR(VLOOKUP($C575,项目台账!$B:$C,2,0),"※项目不在项目台账里"))</f>
        <v/>
      </c>
      <c r="K575" s="13" t="n"/>
    </row>
    <row r="576">
      <c r="A576" s="17">
        <f>IF($C576="","",ROW()-3)</f>
        <v/>
      </c>
      <c r="B576" s="18" t="n"/>
      <c r="C576" s="13" t="n"/>
      <c r="D576" s="13" t="n"/>
      <c r="E576" s="13" t="n"/>
      <c r="F576" s="13" t="n"/>
      <c r="G576" s="20" t="n"/>
      <c r="H576" s="14" t="n"/>
      <c r="I576" s="19">
        <f>IF($C576="","",ROUND(IF($G576="",1,$G576)*N($H576),2))</f>
        <v/>
      </c>
      <c r="J576" s="17">
        <f>IF($C576="","",IFERROR(VLOOKUP($C576,项目台账!$B:$C,2,0),"※项目不在项目台账里"))</f>
        <v/>
      </c>
      <c r="K576" s="13" t="n"/>
    </row>
    <row r="577">
      <c r="A577" s="17">
        <f>IF($C577="","",ROW()-3)</f>
        <v/>
      </c>
      <c r="B577" s="18" t="n"/>
      <c r="C577" s="13" t="n"/>
      <c r="D577" s="13" t="n"/>
      <c r="E577" s="13" t="n"/>
      <c r="F577" s="13" t="n"/>
      <c r="G577" s="20" t="n"/>
      <c r="H577" s="14" t="n"/>
      <c r="I577" s="19">
        <f>IF($C577="","",ROUND(IF($G577="",1,$G577)*N($H577),2))</f>
        <v/>
      </c>
      <c r="J577" s="17">
        <f>IF($C577="","",IFERROR(VLOOKUP($C577,项目台账!$B:$C,2,0),"※项目不在项目台账里"))</f>
        <v/>
      </c>
      <c r="K577" s="13" t="n"/>
    </row>
    <row r="578">
      <c r="A578" s="17">
        <f>IF($C578="","",ROW()-3)</f>
        <v/>
      </c>
      <c r="B578" s="18" t="n"/>
      <c r="C578" s="13" t="n"/>
      <c r="D578" s="13" t="n"/>
      <c r="E578" s="13" t="n"/>
      <c r="F578" s="13" t="n"/>
      <c r="G578" s="20" t="n"/>
      <c r="H578" s="14" t="n"/>
      <c r="I578" s="19">
        <f>IF($C578="","",ROUND(IF($G578="",1,$G578)*N($H578),2))</f>
        <v/>
      </c>
      <c r="J578" s="17">
        <f>IF($C578="","",IFERROR(VLOOKUP($C578,项目台账!$B:$C,2,0),"※项目不在项目台账里"))</f>
        <v/>
      </c>
      <c r="K578" s="13" t="n"/>
    </row>
    <row r="579">
      <c r="A579" s="17">
        <f>IF($C579="","",ROW()-3)</f>
        <v/>
      </c>
      <c r="B579" s="18" t="n"/>
      <c r="C579" s="13" t="n"/>
      <c r="D579" s="13" t="n"/>
      <c r="E579" s="13" t="n"/>
      <c r="F579" s="13" t="n"/>
      <c r="G579" s="20" t="n"/>
      <c r="H579" s="14" t="n"/>
      <c r="I579" s="19">
        <f>IF($C579="","",ROUND(IF($G579="",1,$G579)*N($H579),2))</f>
        <v/>
      </c>
      <c r="J579" s="17">
        <f>IF($C579="","",IFERROR(VLOOKUP($C579,项目台账!$B:$C,2,0),"※项目不在项目台账里"))</f>
        <v/>
      </c>
      <c r="K579" s="13" t="n"/>
    </row>
    <row r="580">
      <c r="A580" s="17">
        <f>IF($C580="","",ROW()-3)</f>
        <v/>
      </c>
      <c r="B580" s="18" t="n"/>
      <c r="C580" s="13" t="n"/>
      <c r="D580" s="13" t="n"/>
      <c r="E580" s="13" t="n"/>
      <c r="F580" s="13" t="n"/>
      <c r="G580" s="20" t="n"/>
      <c r="H580" s="14" t="n"/>
      <c r="I580" s="19">
        <f>IF($C580="","",ROUND(IF($G580="",1,$G580)*N($H580),2))</f>
        <v/>
      </c>
      <c r="J580" s="17">
        <f>IF($C580="","",IFERROR(VLOOKUP($C580,项目台账!$B:$C,2,0),"※项目不在项目台账里"))</f>
        <v/>
      </c>
      <c r="K580" s="13" t="n"/>
    </row>
    <row r="581">
      <c r="A581" s="17">
        <f>IF($C581="","",ROW()-3)</f>
        <v/>
      </c>
      <c r="B581" s="18" t="n"/>
      <c r="C581" s="13" t="n"/>
      <c r="D581" s="13" t="n"/>
      <c r="E581" s="13" t="n"/>
      <c r="F581" s="13" t="n"/>
      <c r="G581" s="20" t="n"/>
      <c r="H581" s="14" t="n"/>
      <c r="I581" s="19">
        <f>IF($C581="","",ROUND(IF($G581="",1,$G581)*N($H581),2))</f>
        <v/>
      </c>
      <c r="J581" s="17">
        <f>IF($C581="","",IFERROR(VLOOKUP($C581,项目台账!$B:$C,2,0),"※项目不在项目台账里"))</f>
        <v/>
      </c>
      <c r="K581" s="13" t="n"/>
    </row>
    <row r="582">
      <c r="A582" s="17">
        <f>IF($C582="","",ROW()-3)</f>
        <v/>
      </c>
      <c r="B582" s="18" t="n"/>
      <c r="C582" s="13" t="n"/>
      <c r="D582" s="13" t="n"/>
      <c r="E582" s="13" t="n"/>
      <c r="F582" s="13" t="n"/>
      <c r="G582" s="20" t="n"/>
      <c r="H582" s="14" t="n"/>
      <c r="I582" s="19">
        <f>IF($C582="","",ROUND(IF($G582="",1,$G582)*N($H582),2))</f>
        <v/>
      </c>
      <c r="J582" s="17">
        <f>IF($C582="","",IFERROR(VLOOKUP($C582,项目台账!$B:$C,2,0),"※项目不在项目台账里"))</f>
        <v/>
      </c>
      <c r="K582" s="13" t="n"/>
    </row>
    <row r="583">
      <c r="A583" s="17">
        <f>IF($C583="","",ROW()-3)</f>
        <v/>
      </c>
      <c r="B583" s="18" t="n"/>
      <c r="C583" s="13" t="n"/>
      <c r="D583" s="13" t="n"/>
      <c r="E583" s="13" t="n"/>
      <c r="F583" s="13" t="n"/>
      <c r="G583" s="20" t="n"/>
      <c r="H583" s="14" t="n"/>
      <c r="I583" s="19">
        <f>IF($C583="","",ROUND(IF($G583="",1,$G583)*N($H583),2))</f>
        <v/>
      </c>
      <c r="J583" s="17">
        <f>IF($C583="","",IFERROR(VLOOKUP($C583,项目台账!$B:$C,2,0),"※项目不在项目台账里"))</f>
        <v/>
      </c>
      <c r="K583" s="13" t="n"/>
    </row>
    <row r="584">
      <c r="A584" s="17">
        <f>IF($C584="","",ROW()-3)</f>
        <v/>
      </c>
      <c r="B584" s="18" t="n"/>
      <c r="C584" s="13" t="n"/>
      <c r="D584" s="13" t="n"/>
      <c r="E584" s="13" t="n"/>
      <c r="F584" s="13" t="n"/>
      <c r="G584" s="20" t="n"/>
      <c r="H584" s="14" t="n"/>
      <c r="I584" s="19">
        <f>IF($C584="","",ROUND(IF($G584="",1,$G584)*N($H584),2))</f>
        <v/>
      </c>
      <c r="J584" s="17">
        <f>IF($C584="","",IFERROR(VLOOKUP($C584,项目台账!$B:$C,2,0),"※项目不在项目台账里"))</f>
        <v/>
      </c>
      <c r="K584" s="13" t="n"/>
    </row>
    <row r="585">
      <c r="A585" s="17">
        <f>IF($C585="","",ROW()-3)</f>
        <v/>
      </c>
      <c r="B585" s="18" t="n"/>
      <c r="C585" s="13" t="n"/>
      <c r="D585" s="13" t="n"/>
      <c r="E585" s="13" t="n"/>
      <c r="F585" s="13" t="n"/>
      <c r="G585" s="20" t="n"/>
      <c r="H585" s="14" t="n"/>
      <c r="I585" s="19">
        <f>IF($C585="","",ROUND(IF($G585="",1,$G585)*N($H585),2))</f>
        <v/>
      </c>
      <c r="J585" s="17">
        <f>IF($C585="","",IFERROR(VLOOKUP($C585,项目台账!$B:$C,2,0),"※项目不在项目台账里"))</f>
        <v/>
      </c>
      <c r="K585" s="13" t="n"/>
    </row>
    <row r="586">
      <c r="A586" s="17">
        <f>IF($C586="","",ROW()-3)</f>
        <v/>
      </c>
      <c r="B586" s="18" t="n"/>
      <c r="C586" s="13" t="n"/>
      <c r="D586" s="13" t="n"/>
      <c r="E586" s="13" t="n"/>
      <c r="F586" s="13" t="n"/>
      <c r="G586" s="20" t="n"/>
      <c r="H586" s="14" t="n"/>
      <c r="I586" s="19">
        <f>IF($C586="","",ROUND(IF($G586="",1,$G586)*N($H586),2))</f>
        <v/>
      </c>
      <c r="J586" s="17">
        <f>IF($C586="","",IFERROR(VLOOKUP($C586,项目台账!$B:$C,2,0),"※项目不在项目台账里"))</f>
        <v/>
      </c>
      <c r="K586" s="13" t="n"/>
    </row>
    <row r="587">
      <c r="A587" s="17">
        <f>IF($C587="","",ROW()-3)</f>
        <v/>
      </c>
      <c r="B587" s="18" t="n"/>
      <c r="C587" s="13" t="n"/>
      <c r="D587" s="13" t="n"/>
      <c r="E587" s="13" t="n"/>
      <c r="F587" s="13" t="n"/>
      <c r="G587" s="20" t="n"/>
      <c r="H587" s="14" t="n"/>
      <c r="I587" s="19">
        <f>IF($C587="","",ROUND(IF($G587="",1,$G587)*N($H587),2))</f>
        <v/>
      </c>
      <c r="J587" s="17">
        <f>IF($C587="","",IFERROR(VLOOKUP($C587,项目台账!$B:$C,2,0),"※项目不在项目台账里"))</f>
        <v/>
      </c>
      <c r="K587" s="13" t="n"/>
    </row>
    <row r="588">
      <c r="A588" s="17">
        <f>IF($C588="","",ROW()-3)</f>
        <v/>
      </c>
      <c r="B588" s="18" t="n"/>
      <c r="C588" s="13" t="n"/>
      <c r="D588" s="13" t="n"/>
      <c r="E588" s="13" t="n"/>
      <c r="F588" s="13" t="n"/>
      <c r="G588" s="20" t="n"/>
      <c r="H588" s="14" t="n"/>
      <c r="I588" s="19">
        <f>IF($C588="","",ROUND(IF($G588="",1,$G588)*N($H588),2))</f>
        <v/>
      </c>
      <c r="J588" s="17">
        <f>IF($C588="","",IFERROR(VLOOKUP($C588,项目台账!$B:$C,2,0),"※项目不在项目台账里"))</f>
        <v/>
      </c>
      <c r="K588" s="13" t="n"/>
    </row>
    <row r="589">
      <c r="A589" s="17">
        <f>IF($C589="","",ROW()-3)</f>
        <v/>
      </c>
      <c r="B589" s="18" t="n"/>
      <c r="C589" s="13" t="n"/>
      <c r="D589" s="13" t="n"/>
      <c r="E589" s="13" t="n"/>
      <c r="F589" s="13" t="n"/>
      <c r="G589" s="20" t="n"/>
      <c r="H589" s="14" t="n"/>
      <c r="I589" s="19">
        <f>IF($C589="","",ROUND(IF($G589="",1,$G589)*N($H589),2))</f>
        <v/>
      </c>
      <c r="J589" s="17">
        <f>IF($C589="","",IFERROR(VLOOKUP($C589,项目台账!$B:$C,2,0),"※项目不在项目台账里"))</f>
        <v/>
      </c>
      <c r="K589" s="13" t="n"/>
    </row>
    <row r="590">
      <c r="A590" s="17">
        <f>IF($C590="","",ROW()-3)</f>
        <v/>
      </c>
      <c r="B590" s="18" t="n"/>
      <c r="C590" s="13" t="n"/>
      <c r="D590" s="13" t="n"/>
      <c r="E590" s="13" t="n"/>
      <c r="F590" s="13" t="n"/>
      <c r="G590" s="20" t="n"/>
      <c r="H590" s="14" t="n"/>
      <c r="I590" s="19">
        <f>IF($C590="","",ROUND(IF($G590="",1,$G590)*N($H590),2))</f>
        <v/>
      </c>
      <c r="J590" s="17">
        <f>IF($C590="","",IFERROR(VLOOKUP($C590,项目台账!$B:$C,2,0),"※项目不在项目台账里"))</f>
        <v/>
      </c>
      <c r="K590" s="13" t="n"/>
    </row>
    <row r="591">
      <c r="A591" s="17">
        <f>IF($C591="","",ROW()-3)</f>
        <v/>
      </c>
      <c r="B591" s="18" t="n"/>
      <c r="C591" s="13" t="n"/>
      <c r="D591" s="13" t="n"/>
      <c r="E591" s="13" t="n"/>
      <c r="F591" s="13" t="n"/>
      <c r="G591" s="20" t="n"/>
      <c r="H591" s="14" t="n"/>
      <c r="I591" s="19">
        <f>IF($C591="","",ROUND(IF($G591="",1,$G591)*N($H591),2))</f>
        <v/>
      </c>
      <c r="J591" s="17">
        <f>IF($C591="","",IFERROR(VLOOKUP($C591,项目台账!$B:$C,2,0),"※项目不在项目台账里"))</f>
        <v/>
      </c>
      <c r="K591" s="13" t="n"/>
    </row>
    <row r="592">
      <c r="A592" s="17">
        <f>IF($C592="","",ROW()-3)</f>
        <v/>
      </c>
      <c r="B592" s="18" t="n"/>
      <c r="C592" s="13" t="n"/>
      <c r="D592" s="13" t="n"/>
      <c r="E592" s="13" t="n"/>
      <c r="F592" s="13" t="n"/>
      <c r="G592" s="20" t="n"/>
      <c r="H592" s="14" t="n"/>
      <c r="I592" s="19">
        <f>IF($C592="","",ROUND(IF($G592="",1,$G592)*N($H592),2))</f>
        <v/>
      </c>
      <c r="J592" s="17">
        <f>IF($C592="","",IFERROR(VLOOKUP($C592,项目台账!$B:$C,2,0),"※项目不在项目台账里"))</f>
        <v/>
      </c>
      <c r="K592" s="13" t="n"/>
    </row>
    <row r="593">
      <c r="A593" s="17">
        <f>IF($C593="","",ROW()-3)</f>
        <v/>
      </c>
      <c r="B593" s="18" t="n"/>
      <c r="C593" s="13" t="n"/>
      <c r="D593" s="13" t="n"/>
      <c r="E593" s="13" t="n"/>
      <c r="F593" s="13" t="n"/>
      <c r="G593" s="20" t="n"/>
      <c r="H593" s="14" t="n"/>
      <c r="I593" s="19">
        <f>IF($C593="","",ROUND(IF($G593="",1,$G593)*N($H593),2))</f>
        <v/>
      </c>
      <c r="J593" s="17">
        <f>IF($C593="","",IFERROR(VLOOKUP($C593,项目台账!$B:$C,2,0),"※项目不在项目台账里"))</f>
        <v/>
      </c>
      <c r="K593" s="13" t="n"/>
    </row>
    <row r="594">
      <c r="A594" s="17">
        <f>IF($C594="","",ROW()-3)</f>
        <v/>
      </c>
      <c r="B594" s="18" t="n"/>
      <c r="C594" s="13" t="n"/>
      <c r="D594" s="13" t="n"/>
      <c r="E594" s="13" t="n"/>
      <c r="F594" s="13" t="n"/>
      <c r="G594" s="20" t="n"/>
      <c r="H594" s="14" t="n"/>
      <c r="I594" s="19">
        <f>IF($C594="","",ROUND(IF($G594="",1,$G594)*N($H594),2))</f>
        <v/>
      </c>
      <c r="J594" s="17">
        <f>IF($C594="","",IFERROR(VLOOKUP($C594,项目台账!$B:$C,2,0),"※项目不在项目台账里"))</f>
        <v/>
      </c>
      <c r="K594" s="13" t="n"/>
    </row>
    <row r="595">
      <c r="A595" s="17">
        <f>IF($C595="","",ROW()-3)</f>
        <v/>
      </c>
      <c r="B595" s="18" t="n"/>
      <c r="C595" s="13" t="n"/>
      <c r="D595" s="13" t="n"/>
      <c r="E595" s="13" t="n"/>
      <c r="F595" s="13" t="n"/>
      <c r="G595" s="20" t="n"/>
      <c r="H595" s="14" t="n"/>
      <c r="I595" s="19">
        <f>IF($C595="","",ROUND(IF($G595="",1,$G595)*N($H595),2))</f>
        <v/>
      </c>
      <c r="J595" s="17">
        <f>IF($C595="","",IFERROR(VLOOKUP($C595,项目台账!$B:$C,2,0),"※项目不在项目台账里"))</f>
        <v/>
      </c>
      <c r="K595" s="13" t="n"/>
    </row>
    <row r="596">
      <c r="A596" s="17">
        <f>IF($C596="","",ROW()-3)</f>
        <v/>
      </c>
      <c r="B596" s="18" t="n"/>
      <c r="C596" s="13" t="n"/>
      <c r="D596" s="13" t="n"/>
      <c r="E596" s="13" t="n"/>
      <c r="F596" s="13" t="n"/>
      <c r="G596" s="20" t="n"/>
      <c r="H596" s="14" t="n"/>
      <c r="I596" s="19">
        <f>IF($C596="","",ROUND(IF($G596="",1,$G596)*N($H596),2))</f>
        <v/>
      </c>
      <c r="J596" s="17">
        <f>IF($C596="","",IFERROR(VLOOKUP($C596,项目台账!$B:$C,2,0),"※项目不在项目台账里"))</f>
        <v/>
      </c>
      <c r="K596" s="13" t="n"/>
    </row>
    <row r="597">
      <c r="A597" s="17">
        <f>IF($C597="","",ROW()-3)</f>
        <v/>
      </c>
      <c r="B597" s="18" t="n"/>
      <c r="C597" s="13" t="n"/>
      <c r="D597" s="13" t="n"/>
      <c r="E597" s="13" t="n"/>
      <c r="F597" s="13" t="n"/>
      <c r="G597" s="20" t="n"/>
      <c r="H597" s="14" t="n"/>
      <c r="I597" s="19">
        <f>IF($C597="","",ROUND(IF($G597="",1,$G597)*N($H597),2))</f>
        <v/>
      </c>
      <c r="J597" s="17">
        <f>IF($C597="","",IFERROR(VLOOKUP($C597,项目台账!$B:$C,2,0),"※项目不在项目台账里"))</f>
        <v/>
      </c>
      <c r="K597" s="13" t="n"/>
    </row>
    <row r="598">
      <c r="A598" s="17">
        <f>IF($C598="","",ROW()-3)</f>
        <v/>
      </c>
      <c r="B598" s="18" t="n"/>
      <c r="C598" s="13" t="n"/>
      <c r="D598" s="13" t="n"/>
      <c r="E598" s="13" t="n"/>
      <c r="F598" s="13" t="n"/>
      <c r="G598" s="20" t="n"/>
      <c r="H598" s="14" t="n"/>
      <c r="I598" s="19">
        <f>IF($C598="","",ROUND(IF($G598="",1,$G598)*N($H598),2))</f>
        <v/>
      </c>
      <c r="J598" s="17">
        <f>IF($C598="","",IFERROR(VLOOKUP($C598,项目台账!$B:$C,2,0),"※项目不在项目台账里"))</f>
        <v/>
      </c>
      <c r="K598" s="13" t="n"/>
    </row>
    <row r="599">
      <c r="A599" s="17">
        <f>IF($C599="","",ROW()-3)</f>
        <v/>
      </c>
      <c r="B599" s="18" t="n"/>
      <c r="C599" s="13" t="n"/>
      <c r="D599" s="13" t="n"/>
      <c r="E599" s="13" t="n"/>
      <c r="F599" s="13" t="n"/>
      <c r="G599" s="20" t="n"/>
      <c r="H599" s="14" t="n"/>
      <c r="I599" s="19">
        <f>IF($C599="","",ROUND(IF($G599="",1,$G599)*N($H599),2))</f>
        <v/>
      </c>
      <c r="J599" s="17">
        <f>IF($C599="","",IFERROR(VLOOKUP($C599,项目台账!$B:$C,2,0),"※项目不在项目台账里"))</f>
        <v/>
      </c>
      <c r="K599" s="13" t="n"/>
    </row>
    <row r="600">
      <c r="A600" s="17">
        <f>IF($C600="","",ROW()-3)</f>
        <v/>
      </c>
      <c r="B600" s="18" t="n"/>
      <c r="C600" s="13" t="n"/>
      <c r="D600" s="13" t="n"/>
      <c r="E600" s="13" t="n"/>
      <c r="F600" s="13" t="n"/>
      <c r="G600" s="20" t="n"/>
      <c r="H600" s="14" t="n"/>
      <c r="I600" s="19">
        <f>IF($C600="","",ROUND(IF($G600="",1,$G600)*N($H600),2))</f>
        <v/>
      </c>
      <c r="J600" s="17">
        <f>IF($C600="","",IFERROR(VLOOKUP($C600,项目台账!$B:$C,2,0),"※项目不在项目台账里"))</f>
        <v/>
      </c>
      <c r="K600" s="13" t="n"/>
    </row>
    <row r="601">
      <c r="A601" s="17">
        <f>IF($C601="","",ROW()-3)</f>
        <v/>
      </c>
      <c r="B601" s="18" t="n"/>
      <c r="C601" s="13" t="n"/>
      <c r="D601" s="13" t="n"/>
      <c r="E601" s="13" t="n"/>
      <c r="F601" s="13" t="n"/>
      <c r="G601" s="20" t="n"/>
      <c r="H601" s="14" t="n"/>
      <c r="I601" s="19">
        <f>IF($C601="","",ROUND(IF($G601="",1,$G601)*N($H601),2))</f>
        <v/>
      </c>
      <c r="J601" s="17">
        <f>IF($C601="","",IFERROR(VLOOKUP($C601,项目台账!$B:$C,2,0),"※项目不在项目台账里"))</f>
        <v/>
      </c>
      <c r="K601" s="13" t="n"/>
    </row>
    <row r="602">
      <c r="A602" s="17">
        <f>IF($C602="","",ROW()-3)</f>
        <v/>
      </c>
      <c r="B602" s="18" t="n"/>
      <c r="C602" s="13" t="n"/>
      <c r="D602" s="13" t="n"/>
      <c r="E602" s="13" t="n"/>
      <c r="F602" s="13" t="n"/>
      <c r="G602" s="20" t="n"/>
      <c r="H602" s="14" t="n"/>
      <c r="I602" s="19">
        <f>IF($C602="","",ROUND(IF($G602="",1,$G602)*N($H602),2))</f>
        <v/>
      </c>
      <c r="J602" s="17">
        <f>IF($C602="","",IFERROR(VLOOKUP($C602,项目台账!$B:$C,2,0),"※项目不在项目台账里"))</f>
        <v/>
      </c>
      <c r="K602" s="13" t="n"/>
    </row>
    <row r="603">
      <c r="A603" s="17">
        <f>IF($C603="","",ROW()-3)</f>
        <v/>
      </c>
      <c r="B603" s="18" t="n"/>
      <c r="C603" s="13" t="n"/>
      <c r="D603" s="13" t="n"/>
      <c r="E603" s="13" t="n"/>
      <c r="F603" s="13" t="n"/>
      <c r="G603" s="20" t="n"/>
      <c r="H603" s="14" t="n"/>
      <c r="I603" s="19">
        <f>IF($C603="","",ROUND(IF($G603="",1,$G603)*N($H603),2))</f>
        <v/>
      </c>
      <c r="J603" s="17">
        <f>IF($C603="","",IFERROR(VLOOKUP($C603,项目台账!$B:$C,2,0),"※项目不在项目台账里"))</f>
        <v/>
      </c>
      <c r="K603" s="13" t="n"/>
    </row>
    <row r="604">
      <c r="A604" s="17">
        <f>IF($C604="","",ROW()-3)</f>
        <v/>
      </c>
      <c r="B604" s="18" t="n"/>
      <c r="C604" s="13" t="n"/>
      <c r="D604" s="13" t="n"/>
      <c r="E604" s="13" t="n"/>
      <c r="F604" s="13" t="n"/>
      <c r="G604" s="20" t="n"/>
      <c r="H604" s="14" t="n"/>
      <c r="I604" s="19">
        <f>IF($C604="","",ROUND(IF($G604="",1,$G604)*N($H604),2))</f>
        <v/>
      </c>
      <c r="J604" s="17">
        <f>IF($C604="","",IFERROR(VLOOKUP($C604,项目台账!$B:$C,2,0),"※项目不在项目台账里"))</f>
        <v/>
      </c>
      <c r="K604" s="13" t="n"/>
    </row>
    <row r="605">
      <c r="A605" s="17">
        <f>IF($C605="","",ROW()-3)</f>
        <v/>
      </c>
      <c r="B605" s="18" t="n"/>
      <c r="C605" s="13" t="n"/>
      <c r="D605" s="13" t="n"/>
      <c r="E605" s="13" t="n"/>
      <c r="F605" s="13" t="n"/>
      <c r="G605" s="20" t="n"/>
      <c r="H605" s="14" t="n"/>
      <c r="I605" s="19">
        <f>IF($C605="","",ROUND(IF($G605="",1,$G605)*N($H605),2))</f>
        <v/>
      </c>
      <c r="J605" s="17">
        <f>IF($C605="","",IFERROR(VLOOKUP($C605,项目台账!$B:$C,2,0),"※项目不在项目台账里"))</f>
        <v/>
      </c>
      <c r="K605" s="13" t="n"/>
    </row>
    <row r="606">
      <c r="A606" s="17">
        <f>IF($C606="","",ROW()-3)</f>
        <v/>
      </c>
      <c r="B606" s="18" t="n"/>
      <c r="C606" s="13" t="n"/>
      <c r="D606" s="13" t="n"/>
      <c r="E606" s="13" t="n"/>
      <c r="F606" s="13" t="n"/>
      <c r="G606" s="20" t="n"/>
      <c r="H606" s="14" t="n"/>
      <c r="I606" s="19">
        <f>IF($C606="","",ROUND(IF($G606="",1,$G606)*N($H606),2))</f>
        <v/>
      </c>
      <c r="J606" s="17">
        <f>IF($C606="","",IFERROR(VLOOKUP($C606,项目台账!$B:$C,2,0),"※项目不在项目台账里"))</f>
        <v/>
      </c>
      <c r="K606" s="13" t="n"/>
    </row>
    <row r="607">
      <c r="A607" s="17">
        <f>IF($C607="","",ROW()-3)</f>
        <v/>
      </c>
      <c r="B607" s="18" t="n"/>
      <c r="C607" s="13" t="n"/>
      <c r="D607" s="13" t="n"/>
      <c r="E607" s="13" t="n"/>
      <c r="F607" s="13" t="n"/>
      <c r="G607" s="20" t="n"/>
      <c r="H607" s="14" t="n"/>
      <c r="I607" s="19">
        <f>IF($C607="","",ROUND(IF($G607="",1,$G607)*N($H607),2))</f>
        <v/>
      </c>
      <c r="J607" s="17">
        <f>IF($C607="","",IFERROR(VLOOKUP($C607,项目台账!$B:$C,2,0),"※项目不在项目台账里"))</f>
        <v/>
      </c>
      <c r="K607" s="13" t="n"/>
    </row>
    <row r="608">
      <c r="A608" s="17">
        <f>IF($C608="","",ROW()-3)</f>
        <v/>
      </c>
      <c r="B608" s="18" t="n"/>
      <c r="C608" s="13" t="n"/>
      <c r="D608" s="13" t="n"/>
      <c r="E608" s="13" t="n"/>
      <c r="F608" s="13" t="n"/>
      <c r="G608" s="20" t="n"/>
      <c r="H608" s="14" t="n"/>
      <c r="I608" s="19">
        <f>IF($C608="","",ROUND(IF($G608="",1,$G608)*N($H608),2))</f>
        <v/>
      </c>
      <c r="J608" s="17">
        <f>IF($C608="","",IFERROR(VLOOKUP($C608,项目台账!$B:$C,2,0),"※项目不在项目台账里"))</f>
        <v/>
      </c>
      <c r="K608" s="13" t="n"/>
    </row>
    <row r="609">
      <c r="A609" s="17">
        <f>IF($C609="","",ROW()-3)</f>
        <v/>
      </c>
      <c r="B609" s="18" t="n"/>
      <c r="C609" s="13" t="n"/>
      <c r="D609" s="13" t="n"/>
      <c r="E609" s="13" t="n"/>
      <c r="F609" s="13" t="n"/>
      <c r="G609" s="20" t="n"/>
      <c r="H609" s="14" t="n"/>
      <c r="I609" s="19">
        <f>IF($C609="","",ROUND(IF($G609="",1,$G609)*N($H609),2))</f>
        <v/>
      </c>
      <c r="J609" s="17">
        <f>IF($C609="","",IFERROR(VLOOKUP($C609,项目台账!$B:$C,2,0),"※项目不在项目台账里"))</f>
        <v/>
      </c>
      <c r="K609" s="13" t="n"/>
    </row>
    <row r="610">
      <c r="A610" s="17">
        <f>IF($C610="","",ROW()-3)</f>
        <v/>
      </c>
      <c r="B610" s="18" t="n"/>
      <c r="C610" s="13" t="n"/>
      <c r="D610" s="13" t="n"/>
      <c r="E610" s="13" t="n"/>
      <c r="F610" s="13" t="n"/>
      <c r="G610" s="20" t="n"/>
      <c r="H610" s="14" t="n"/>
      <c r="I610" s="19">
        <f>IF($C610="","",ROUND(IF($G610="",1,$G610)*N($H610),2))</f>
        <v/>
      </c>
      <c r="J610" s="17">
        <f>IF($C610="","",IFERROR(VLOOKUP($C610,项目台账!$B:$C,2,0),"※项目不在项目台账里"))</f>
        <v/>
      </c>
      <c r="K610" s="13" t="n"/>
    </row>
    <row r="611">
      <c r="A611" s="17">
        <f>IF($C611="","",ROW()-3)</f>
        <v/>
      </c>
      <c r="B611" s="18" t="n"/>
      <c r="C611" s="13" t="n"/>
      <c r="D611" s="13" t="n"/>
      <c r="E611" s="13" t="n"/>
      <c r="F611" s="13" t="n"/>
      <c r="G611" s="20" t="n"/>
      <c r="H611" s="14" t="n"/>
      <c r="I611" s="19">
        <f>IF($C611="","",ROUND(IF($G611="",1,$G611)*N($H611),2))</f>
        <v/>
      </c>
      <c r="J611" s="17">
        <f>IF($C611="","",IFERROR(VLOOKUP($C611,项目台账!$B:$C,2,0),"※项目不在项目台账里"))</f>
        <v/>
      </c>
      <c r="K611" s="13" t="n"/>
    </row>
    <row r="612">
      <c r="A612" s="17">
        <f>IF($C612="","",ROW()-3)</f>
        <v/>
      </c>
      <c r="B612" s="18" t="n"/>
      <c r="C612" s="13" t="n"/>
      <c r="D612" s="13" t="n"/>
      <c r="E612" s="13" t="n"/>
      <c r="F612" s="13" t="n"/>
      <c r="G612" s="20" t="n"/>
      <c r="H612" s="14" t="n"/>
      <c r="I612" s="19">
        <f>IF($C612="","",ROUND(IF($G612="",1,$G612)*N($H612),2))</f>
        <v/>
      </c>
      <c r="J612" s="17">
        <f>IF($C612="","",IFERROR(VLOOKUP($C612,项目台账!$B:$C,2,0),"※项目不在项目台账里"))</f>
        <v/>
      </c>
      <c r="K612" s="13" t="n"/>
    </row>
    <row r="613">
      <c r="A613" s="17">
        <f>IF($C613="","",ROW()-3)</f>
        <v/>
      </c>
      <c r="B613" s="18" t="n"/>
      <c r="C613" s="13" t="n"/>
      <c r="D613" s="13" t="n"/>
      <c r="E613" s="13" t="n"/>
      <c r="F613" s="13" t="n"/>
      <c r="G613" s="20" t="n"/>
      <c r="H613" s="14" t="n"/>
      <c r="I613" s="19">
        <f>IF($C613="","",ROUND(IF($G613="",1,$G613)*N($H613),2))</f>
        <v/>
      </c>
      <c r="J613" s="17">
        <f>IF($C613="","",IFERROR(VLOOKUP($C613,项目台账!$B:$C,2,0),"※项目不在项目台账里"))</f>
        <v/>
      </c>
      <c r="K613" s="13" t="n"/>
    </row>
    <row r="614">
      <c r="A614" s="17">
        <f>IF($C614="","",ROW()-3)</f>
        <v/>
      </c>
      <c r="B614" s="18" t="n"/>
      <c r="C614" s="13" t="n"/>
      <c r="D614" s="13" t="n"/>
      <c r="E614" s="13" t="n"/>
      <c r="F614" s="13" t="n"/>
      <c r="G614" s="20" t="n"/>
      <c r="H614" s="14" t="n"/>
      <c r="I614" s="19">
        <f>IF($C614="","",ROUND(IF($G614="",1,$G614)*N($H614),2))</f>
        <v/>
      </c>
      <c r="J614" s="17">
        <f>IF($C614="","",IFERROR(VLOOKUP($C614,项目台账!$B:$C,2,0),"※项目不在项目台账里"))</f>
        <v/>
      </c>
      <c r="K614" s="13" t="n"/>
    </row>
    <row r="615">
      <c r="A615" s="17">
        <f>IF($C615="","",ROW()-3)</f>
        <v/>
      </c>
      <c r="B615" s="18" t="n"/>
      <c r="C615" s="13" t="n"/>
      <c r="D615" s="13" t="n"/>
      <c r="E615" s="13" t="n"/>
      <c r="F615" s="13" t="n"/>
      <c r="G615" s="20" t="n"/>
      <c r="H615" s="14" t="n"/>
      <c r="I615" s="19">
        <f>IF($C615="","",ROUND(IF($G615="",1,$G615)*N($H615),2))</f>
        <v/>
      </c>
      <c r="J615" s="17">
        <f>IF($C615="","",IFERROR(VLOOKUP($C615,项目台账!$B:$C,2,0),"※项目不在项目台账里"))</f>
        <v/>
      </c>
      <c r="K615" s="13" t="n"/>
    </row>
    <row r="616">
      <c r="A616" s="17">
        <f>IF($C616="","",ROW()-3)</f>
        <v/>
      </c>
      <c r="B616" s="18" t="n"/>
      <c r="C616" s="13" t="n"/>
      <c r="D616" s="13" t="n"/>
      <c r="E616" s="13" t="n"/>
      <c r="F616" s="13" t="n"/>
      <c r="G616" s="20" t="n"/>
      <c r="H616" s="14" t="n"/>
      <c r="I616" s="19">
        <f>IF($C616="","",ROUND(IF($G616="",1,$G616)*N($H616),2))</f>
        <v/>
      </c>
      <c r="J616" s="17">
        <f>IF($C616="","",IFERROR(VLOOKUP($C616,项目台账!$B:$C,2,0),"※项目不在项目台账里"))</f>
        <v/>
      </c>
      <c r="K616" s="13" t="n"/>
    </row>
    <row r="617">
      <c r="A617" s="17">
        <f>IF($C617="","",ROW()-3)</f>
        <v/>
      </c>
      <c r="B617" s="18" t="n"/>
      <c r="C617" s="13" t="n"/>
      <c r="D617" s="13" t="n"/>
      <c r="E617" s="13" t="n"/>
      <c r="F617" s="13" t="n"/>
      <c r="G617" s="20" t="n"/>
      <c r="H617" s="14" t="n"/>
      <c r="I617" s="19">
        <f>IF($C617="","",ROUND(IF($G617="",1,$G617)*N($H617),2))</f>
        <v/>
      </c>
      <c r="J617" s="17">
        <f>IF($C617="","",IFERROR(VLOOKUP($C617,项目台账!$B:$C,2,0),"※项目不在项目台账里"))</f>
        <v/>
      </c>
      <c r="K617" s="13" t="n"/>
    </row>
    <row r="618">
      <c r="A618" s="17">
        <f>IF($C618="","",ROW()-3)</f>
        <v/>
      </c>
      <c r="B618" s="18" t="n"/>
      <c r="C618" s="13" t="n"/>
      <c r="D618" s="13" t="n"/>
      <c r="E618" s="13" t="n"/>
      <c r="F618" s="13" t="n"/>
      <c r="G618" s="20" t="n"/>
      <c r="H618" s="14" t="n"/>
      <c r="I618" s="19">
        <f>IF($C618="","",ROUND(IF($G618="",1,$G618)*N($H618),2))</f>
        <v/>
      </c>
      <c r="J618" s="17">
        <f>IF($C618="","",IFERROR(VLOOKUP($C618,项目台账!$B:$C,2,0),"※项目不在项目台账里"))</f>
        <v/>
      </c>
      <c r="K618" s="13" t="n"/>
    </row>
    <row r="619">
      <c r="A619" s="17">
        <f>IF($C619="","",ROW()-3)</f>
        <v/>
      </c>
      <c r="B619" s="18" t="n"/>
      <c r="C619" s="13" t="n"/>
      <c r="D619" s="13" t="n"/>
      <c r="E619" s="13" t="n"/>
      <c r="F619" s="13" t="n"/>
      <c r="G619" s="20" t="n"/>
      <c r="H619" s="14" t="n"/>
      <c r="I619" s="19">
        <f>IF($C619="","",ROUND(IF($G619="",1,$G619)*N($H619),2))</f>
        <v/>
      </c>
      <c r="J619" s="17">
        <f>IF($C619="","",IFERROR(VLOOKUP($C619,项目台账!$B:$C,2,0),"※项目不在项目台账里"))</f>
        <v/>
      </c>
      <c r="K619" s="13" t="n"/>
    </row>
    <row r="620">
      <c r="A620" s="17">
        <f>IF($C620="","",ROW()-3)</f>
        <v/>
      </c>
      <c r="B620" s="18" t="n"/>
      <c r="C620" s="13" t="n"/>
      <c r="D620" s="13" t="n"/>
      <c r="E620" s="13" t="n"/>
      <c r="F620" s="13" t="n"/>
      <c r="G620" s="20" t="n"/>
      <c r="H620" s="14" t="n"/>
      <c r="I620" s="19">
        <f>IF($C620="","",ROUND(IF($G620="",1,$G620)*N($H620),2))</f>
        <v/>
      </c>
      <c r="J620" s="17">
        <f>IF($C620="","",IFERROR(VLOOKUP($C620,项目台账!$B:$C,2,0),"※项目不在项目台账里"))</f>
        <v/>
      </c>
      <c r="K620" s="13" t="n"/>
    </row>
    <row r="621">
      <c r="A621" s="17">
        <f>IF($C621="","",ROW()-3)</f>
        <v/>
      </c>
      <c r="B621" s="18" t="n"/>
      <c r="C621" s="13" t="n"/>
      <c r="D621" s="13" t="n"/>
      <c r="E621" s="13" t="n"/>
      <c r="F621" s="13" t="n"/>
      <c r="G621" s="20" t="n"/>
      <c r="H621" s="14" t="n"/>
      <c r="I621" s="19">
        <f>IF($C621="","",ROUND(IF($G621="",1,$G621)*N($H621),2))</f>
        <v/>
      </c>
      <c r="J621" s="17">
        <f>IF($C621="","",IFERROR(VLOOKUP($C621,项目台账!$B:$C,2,0),"※项目不在项目台账里"))</f>
        <v/>
      </c>
      <c r="K621" s="13" t="n"/>
    </row>
    <row r="622">
      <c r="A622" s="17">
        <f>IF($C622="","",ROW()-3)</f>
        <v/>
      </c>
      <c r="B622" s="18" t="n"/>
      <c r="C622" s="13" t="n"/>
      <c r="D622" s="13" t="n"/>
      <c r="E622" s="13" t="n"/>
      <c r="F622" s="13" t="n"/>
      <c r="G622" s="20" t="n"/>
      <c r="H622" s="14" t="n"/>
      <c r="I622" s="19">
        <f>IF($C622="","",ROUND(IF($G622="",1,$G622)*N($H622),2))</f>
        <v/>
      </c>
      <c r="J622" s="17">
        <f>IF($C622="","",IFERROR(VLOOKUP($C622,项目台账!$B:$C,2,0),"※项目不在项目台账里"))</f>
        <v/>
      </c>
      <c r="K622" s="13" t="n"/>
    </row>
    <row r="623">
      <c r="A623" s="17">
        <f>IF($C623="","",ROW()-3)</f>
        <v/>
      </c>
      <c r="B623" s="18" t="n"/>
      <c r="C623" s="13" t="n"/>
      <c r="D623" s="13" t="n"/>
      <c r="E623" s="13" t="n"/>
      <c r="F623" s="13" t="n"/>
      <c r="G623" s="20" t="n"/>
      <c r="H623" s="14" t="n"/>
      <c r="I623" s="19">
        <f>IF($C623="","",ROUND(IF($G623="",1,$G623)*N($H623),2))</f>
        <v/>
      </c>
      <c r="J623" s="17">
        <f>IF($C623="","",IFERROR(VLOOKUP($C623,项目台账!$B:$C,2,0),"※项目不在项目台账里"))</f>
        <v/>
      </c>
      <c r="K623" s="13" t="n"/>
    </row>
    <row r="624">
      <c r="A624" s="17">
        <f>IF($C624="","",ROW()-3)</f>
        <v/>
      </c>
      <c r="B624" s="18" t="n"/>
      <c r="C624" s="13" t="n"/>
      <c r="D624" s="13" t="n"/>
      <c r="E624" s="13" t="n"/>
      <c r="F624" s="13" t="n"/>
      <c r="G624" s="20" t="n"/>
      <c r="H624" s="14" t="n"/>
      <c r="I624" s="19">
        <f>IF($C624="","",ROUND(IF($G624="",1,$G624)*N($H624),2))</f>
        <v/>
      </c>
      <c r="J624" s="17">
        <f>IF($C624="","",IFERROR(VLOOKUP($C624,项目台账!$B:$C,2,0),"※项目不在项目台账里"))</f>
        <v/>
      </c>
      <c r="K624" s="13" t="n"/>
    </row>
    <row r="625">
      <c r="A625" s="17">
        <f>IF($C625="","",ROW()-3)</f>
        <v/>
      </c>
      <c r="B625" s="18" t="n"/>
      <c r="C625" s="13" t="n"/>
      <c r="D625" s="13" t="n"/>
      <c r="E625" s="13" t="n"/>
      <c r="F625" s="13" t="n"/>
      <c r="G625" s="20" t="n"/>
      <c r="H625" s="14" t="n"/>
      <c r="I625" s="19">
        <f>IF($C625="","",ROUND(IF($G625="",1,$G625)*N($H625),2))</f>
        <v/>
      </c>
      <c r="J625" s="17">
        <f>IF($C625="","",IFERROR(VLOOKUP($C625,项目台账!$B:$C,2,0),"※项目不在项目台账里"))</f>
        <v/>
      </c>
      <c r="K625" s="13" t="n"/>
    </row>
    <row r="626">
      <c r="A626" s="17">
        <f>IF($C626="","",ROW()-3)</f>
        <v/>
      </c>
      <c r="B626" s="18" t="n"/>
      <c r="C626" s="13" t="n"/>
      <c r="D626" s="13" t="n"/>
      <c r="E626" s="13" t="n"/>
      <c r="F626" s="13" t="n"/>
      <c r="G626" s="20" t="n"/>
      <c r="H626" s="14" t="n"/>
      <c r="I626" s="19">
        <f>IF($C626="","",ROUND(IF($G626="",1,$G626)*N($H626),2))</f>
        <v/>
      </c>
      <c r="J626" s="17">
        <f>IF($C626="","",IFERROR(VLOOKUP($C626,项目台账!$B:$C,2,0),"※项目不在项目台账里"))</f>
        <v/>
      </c>
      <c r="K626" s="13" t="n"/>
    </row>
    <row r="627">
      <c r="A627" s="17">
        <f>IF($C627="","",ROW()-3)</f>
        <v/>
      </c>
      <c r="B627" s="18" t="n"/>
      <c r="C627" s="13" t="n"/>
      <c r="D627" s="13" t="n"/>
      <c r="E627" s="13" t="n"/>
      <c r="F627" s="13" t="n"/>
      <c r="G627" s="20" t="n"/>
      <c r="H627" s="14" t="n"/>
      <c r="I627" s="19">
        <f>IF($C627="","",ROUND(IF($G627="",1,$G627)*N($H627),2))</f>
        <v/>
      </c>
      <c r="J627" s="17">
        <f>IF($C627="","",IFERROR(VLOOKUP($C627,项目台账!$B:$C,2,0),"※项目不在项目台账里"))</f>
        <v/>
      </c>
      <c r="K627" s="13" t="n"/>
    </row>
    <row r="628">
      <c r="A628" s="17">
        <f>IF($C628="","",ROW()-3)</f>
        <v/>
      </c>
      <c r="B628" s="18" t="n"/>
      <c r="C628" s="13" t="n"/>
      <c r="D628" s="13" t="n"/>
      <c r="E628" s="13" t="n"/>
      <c r="F628" s="13" t="n"/>
      <c r="G628" s="20" t="n"/>
      <c r="H628" s="14" t="n"/>
      <c r="I628" s="19">
        <f>IF($C628="","",ROUND(IF($G628="",1,$G628)*N($H628),2))</f>
        <v/>
      </c>
      <c r="J628" s="17">
        <f>IF($C628="","",IFERROR(VLOOKUP($C628,项目台账!$B:$C,2,0),"※项目不在项目台账里"))</f>
        <v/>
      </c>
      <c r="K628" s="13" t="n"/>
    </row>
    <row r="629">
      <c r="A629" s="17">
        <f>IF($C629="","",ROW()-3)</f>
        <v/>
      </c>
      <c r="B629" s="18" t="n"/>
      <c r="C629" s="13" t="n"/>
      <c r="D629" s="13" t="n"/>
      <c r="E629" s="13" t="n"/>
      <c r="F629" s="13" t="n"/>
      <c r="G629" s="20" t="n"/>
      <c r="H629" s="14" t="n"/>
      <c r="I629" s="19">
        <f>IF($C629="","",ROUND(IF($G629="",1,$G629)*N($H629),2))</f>
        <v/>
      </c>
      <c r="J629" s="17">
        <f>IF($C629="","",IFERROR(VLOOKUP($C629,项目台账!$B:$C,2,0),"※项目不在项目台账里"))</f>
        <v/>
      </c>
      <c r="K629" s="13" t="n"/>
    </row>
    <row r="630">
      <c r="A630" s="17">
        <f>IF($C630="","",ROW()-3)</f>
        <v/>
      </c>
      <c r="B630" s="18" t="n"/>
      <c r="C630" s="13" t="n"/>
      <c r="D630" s="13" t="n"/>
      <c r="E630" s="13" t="n"/>
      <c r="F630" s="13" t="n"/>
      <c r="G630" s="20" t="n"/>
      <c r="H630" s="14" t="n"/>
      <c r="I630" s="19">
        <f>IF($C630="","",ROUND(IF($G630="",1,$G630)*N($H630),2))</f>
        <v/>
      </c>
      <c r="J630" s="17">
        <f>IF($C630="","",IFERROR(VLOOKUP($C630,项目台账!$B:$C,2,0),"※项目不在项目台账里"))</f>
        <v/>
      </c>
      <c r="K630" s="13" t="n"/>
    </row>
    <row r="631">
      <c r="A631" s="17">
        <f>IF($C631="","",ROW()-3)</f>
        <v/>
      </c>
      <c r="B631" s="18" t="n"/>
      <c r="C631" s="13" t="n"/>
      <c r="D631" s="13" t="n"/>
      <c r="E631" s="13" t="n"/>
      <c r="F631" s="13" t="n"/>
      <c r="G631" s="20" t="n"/>
      <c r="H631" s="14" t="n"/>
      <c r="I631" s="19">
        <f>IF($C631="","",ROUND(IF($G631="",1,$G631)*N($H631),2))</f>
        <v/>
      </c>
      <c r="J631" s="17">
        <f>IF($C631="","",IFERROR(VLOOKUP($C631,项目台账!$B:$C,2,0),"※项目不在项目台账里"))</f>
        <v/>
      </c>
      <c r="K631" s="13" t="n"/>
    </row>
    <row r="632">
      <c r="A632" s="17">
        <f>IF($C632="","",ROW()-3)</f>
        <v/>
      </c>
      <c r="B632" s="18" t="n"/>
      <c r="C632" s="13" t="n"/>
      <c r="D632" s="13" t="n"/>
      <c r="E632" s="13" t="n"/>
      <c r="F632" s="13" t="n"/>
      <c r="G632" s="20" t="n"/>
      <c r="H632" s="14" t="n"/>
      <c r="I632" s="19">
        <f>IF($C632="","",ROUND(IF($G632="",1,$G632)*N($H632),2))</f>
        <v/>
      </c>
      <c r="J632" s="17">
        <f>IF($C632="","",IFERROR(VLOOKUP($C632,项目台账!$B:$C,2,0),"※项目不在项目台账里"))</f>
        <v/>
      </c>
      <c r="K632" s="13" t="n"/>
    </row>
    <row r="633">
      <c r="A633" s="17">
        <f>IF($C633="","",ROW()-3)</f>
        <v/>
      </c>
      <c r="B633" s="18" t="n"/>
      <c r="C633" s="13" t="n"/>
      <c r="D633" s="13" t="n"/>
      <c r="E633" s="13" t="n"/>
      <c r="F633" s="13" t="n"/>
      <c r="G633" s="20" t="n"/>
      <c r="H633" s="14" t="n"/>
      <c r="I633" s="19">
        <f>IF($C633="","",ROUND(IF($G633="",1,$G633)*N($H633),2))</f>
        <v/>
      </c>
      <c r="J633" s="17">
        <f>IF($C633="","",IFERROR(VLOOKUP($C633,项目台账!$B:$C,2,0),"※项目不在项目台账里"))</f>
        <v/>
      </c>
      <c r="K633" s="13" t="n"/>
    </row>
    <row r="634">
      <c r="A634" s="17">
        <f>IF($C634="","",ROW()-3)</f>
        <v/>
      </c>
      <c r="B634" s="18" t="n"/>
      <c r="C634" s="13" t="n"/>
      <c r="D634" s="13" t="n"/>
      <c r="E634" s="13" t="n"/>
      <c r="F634" s="13" t="n"/>
      <c r="G634" s="20" t="n"/>
      <c r="H634" s="14" t="n"/>
      <c r="I634" s="19">
        <f>IF($C634="","",ROUND(IF($G634="",1,$G634)*N($H634),2))</f>
        <v/>
      </c>
      <c r="J634" s="17">
        <f>IF($C634="","",IFERROR(VLOOKUP($C634,项目台账!$B:$C,2,0),"※项目不在项目台账里"))</f>
        <v/>
      </c>
      <c r="K634" s="13" t="n"/>
    </row>
    <row r="635">
      <c r="A635" s="17">
        <f>IF($C635="","",ROW()-3)</f>
        <v/>
      </c>
      <c r="B635" s="18" t="n"/>
      <c r="C635" s="13" t="n"/>
      <c r="D635" s="13" t="n"/>
      <c r="E635" s="13" t="n"/>
      <c r="F635" s="13" t="n"/>
      <c r="G635" s="20" t="n"/>
      <c r="H635" s="14" t="n"/>
      <c r="I635" s="19">
        <f>IF($C635="","",ROUND(IF($G635="",1,$G635)*N($H635),2))</f>
        <v/>
      </c>
      <c r="J635" s="17">
        <f>IF($C635="","",IFERROR(VLOOKUP($C635,项目台账!$B:$C,2,0),"※项目不在项目台账里"))</f>
        <v/>
      </c>
      <c r="K635" s="13" t="n"/>
    </row>
    <row r="636">
      <c r="A636" s="17">
        <f>IF($C636="","",ROW()-3)</f>
        <v/>
      </c>
      <c r="B636" s="18" t="n"/>
      <c r="C636" s="13" t="n"/>
      <c r="D636" s="13" t="n"/>
      <c r="E636" s="13" t="n"/>
      <c r="F636" s="13" t="n"/>
      <c r="G636" s="20" t="n"/>
      <c r="H636" s="14" t="n"/>
      <c r="I636" s="19">
        <f>IF($C636="","",ROUND(IF($G636="",1,$G636)*N($H636),2))</f>
        <v/>
      </c>
      <c r="J636" s="17">
        <f>IF($C636="","",IFERROR(VLOOKUP($C636,项目台账!$B:$C,2,0),"※项目不在项目台账里"))</f>
        <v/>
      </c>
      <c r="K636" s="13" t="n"/>
    </row>
    <row r="637">
      <c r="A637" s="17">
        <f>IF($C637="","",ROW()-3)</f>
        <v/>
      </c>
      <c r="B637" s="18" t="n"/>
      <c r="C637" s="13" t="n"/>
      <c r="D637" s="13" t="n"/>
      <c r="E637" s="13" t="n"/>
      <c r="F637" s="13" t="n"/>
      <c r="G637" s="20" t="n"/>
      <c r="H637" s="14" t="n"/>
      <c r="I637" s="19">
        <f>IF($C637="","",ROUND(IF($G637="",1,$G637)*N($H637),2))</f>
        <v/>
      </c>
      <c r="J637" s="17">
        <f>IF($C637="","",IFERROR(VLOOKUP($C637,项目台账!$B:$C,2,0),"※项目不在项目台账里"))</f>
        <v/>
      </c>
      <c r="K637" s="13" t="n"/>
    </row>
    <row r="638">
      <c r="A638" s="17">
        <f>IF($C638="","",ROW()-3)</f>
        <v/>
      </c>
      <c r="B638" s="18" t="n"/>
      <c r="C638" s="13" t="n"/>
      <c r="D638" s="13" t="n"/>
      <c r="E638" s="13" t="n"/>
      <c r="F638" s="13" t="n"/>
      <c r="G638" s="20" t="n"/>
      <c r="H638" s="14" t="n"/>
      <c r="I638" s="19">
        <f>IF($C638="","",ROUND(IF($G638="",1,$G638)*N($H638),2))</f>
        <v/>
      </c>
      <c r="J638" s="17">
        <f>IF($C638="","",IFERROR(VLOOKUP($C638,项目台账!$B:$C,2,0),"※项目不在项目台账里"))</f>
        <v/>
      </c>
      <c r="K638" s="13" t="n"/>
    </row>
    <row r="639">
      <c r="A639" s="17">
        <f>IF($C639="","",ROW()-3)</f>
        <v/>
      </c>
      <c r="B639" s="18" t="n"/>
      <c r="C639" s="13" t="n"/>
      <c r="D639" s="13" t="n"/>
      <c r="E639" s="13" t="n"/>
      <c r="F639" s="13" t="n"/>
      <c r="G639" s="20" t="n"/>
      <c r="H639" s="14" t="n"/>
      <c r="I639" s="19">
        <f>IF($C639="","",ROUND(IF($G639="",1,$G639)*N($H639),2))</f>
        <v/>
      </c>
      <c r="J639" s="17">
        <f>IF($C639="","",IFERROR(VLOOKUP($C639,项目台账!$B:$C,2,0),"※项目不在项目台账里"))</f>
        <v/>
      </c>
      <c r="K639" s="13" t="n"/>
    </row>
    <row r="640">
      <c r="A640" s="17">
        <f>IF($C640="","",ROW()-3)</f>
        <v/>
      </c>
      <c r="B640" s="18" t="n"/>
      <c r="C640" s="13" t="n"/>
      <c r="D640" s="13" t="n"/>
      <c r="E640" s="13" t="n"/>
      <c r="F640" s="13" t="n"/>
      <c r="G640" s="20" t="n"/>
      <c r="H640" s="14" t="n"/>
      <c r="I640" s="19">
        <f>IF($C640="","",ROUND(IF($G640="",1,$G640)*N($H640),2))</f>
        <v/>
      </c>
      <c r="J640" s="17">
        <f>IF($C640="","",IFERROR(VLOOKUP($C640,项目台账!$B:$C,2,0),"※项目不在项目台账里"))</f>
        <v/>
      </c>
      <c r="K640" s="13" t="n"/>
    </row>
    <row r="641">
      <c r="A641" s="17">
        <f>IF($C641="","",ROW()-3)</f>
        <v/>
      </c>
      <c r="B641" s="18" t="n"/>
      <c r="C641" s="13" t="n"/>
      <c r="D641" s="13" t="n"/>
      <c r="E641" s="13" t="n"/>
      <c r="F641" s="13" t="n"/>
      <c r="G641" s="20" t="n"/>
      <c r="H641" s="14" t="n"/>
      <c r="I641" s="19">
        <f>IF($C641="","",ROUND(IF($G641="",1,$G641)*N($H641),2))</f>
        <v/>
      </c>
      <c r="J641" s="17">
        <f>IF($C641="","",IFERROR(VLOOKUP($C641,项目台账!$B:$C,2,0),"※项目不在项目台账里"))</f>
        <v/>
      </c>
      <c r="K641" s="13" t="n"/>
    </row>
    <row r="642">
      <c r="A642" s="17">
        <f>IF($C642="","",ROW()-3)</f>
        <v/>
      </c>
      <c r="B642" s="18" t="n"/>
      <c r="C642" s="13" t="n"/>
      <c r="D642" s="13" t="n"/>
      <c r="E642" s="13" t="n"/>
      <c r="F642" s="13" t="n"/>
      <c r="G642" s="20" t="n"/>
      <c r="H642" s="14" t="n"/>
      <c r="I642" s="19">
        <f>IF($C642="","",ROUND(IF($G642="",1,$G642)*N($H642),2))</f>
        <v/>
      </c>
      <c r="J642" s="17">
        <f>IF($C642="","",IFERROR(VLOOKUP($C642,项目台账!$B:$C,2,0),"※项目不在项目台账里"))</f>
        <v/>
      </c>
      <c r="K642" s="13" t="n"/>
    </row>
    <row r="643">
      <c r="A643" s="17">
        <f>IF($C643="","",ROW()-3)</f>
        <v/>
      </c>
      <c r="B643" s="18" t="n"/>
      <c r="C643" s="13" t="n"/>
      <c r="D643" s="13" t="n"/>
      <c r="E643" s="13" t="n"/>
      <c r="F643" s="13" t="n"/>
      <c r="G643" s="20" t="n"/>
      <c r="H643" s="14" t="n"/>
      <c r="I643" s="19">
        <f>IF($C643="","",ROUND(IF($G643="",1,$G643)*N($H643),2))</f>
        <v/>
      </c>
      <c r="J643" s="17">
        <f>IF($C643="","",IFERROR(VLOOKUP($C643,项目台账!$B:$C,2,0),"※项目不在项目台账里"))</f>
        <v/>
      </c>
      <c r="K643" s="13" t="n"/>
    </row>
    <row r="644">
      <c r="A644" s="17">
        <f>IF($C644="","",ROW()-3)</f>
        <v/>
      </c>
      <c r="B644" s="18" t="n"/>
      <c r="C644" s="13" t="n"/>
      <c r="D644" s="13" t="n"/>
      <c r="E644" s="13" t="n"/>
      <c r="F644" s="13" t="n"/>
      <c r="G644" s="20" t="n"/>
      <c r="H644" s="14" t="n"/>
      <c r="I644" s="19">
        <f>IF($C644="","",ROUND(IF($G644="",1,$G644)*N($H644),2))</f>
        <v/>
      </c>
      <c r="J644" s="17">
        <f>IF($C644="","",IFERROR(VLOOKUP($C644,项目台账!$B:$C,2,0),"※项目不在项目台账里"))</f>
        <v/>
      </c>
      <c r="K644" s="13" t="n"/>
    </row>
    <row r="645">
      <c r="A645" s="17">
        <f>IF($C645="","",ROW()-3)</f>
        <v/>
      </c>
      <c r="B645" s="18" t="n"/>
      <c r="C645" s="13" t="n"/>
      <c r="D645" s="13" t="n"/>
      <c r="E645" s="13" t="n"/>
      <c r="F645" s="13" t="n"/>
      <c r="G645" s="20" t="n"/>
      <c r="H645" s="14" t="n"/>
      <c r="I645" s="19">
        <f>IF($C645="","",ROUND(IF($G645="",1,$G645)*N($H645),2))</f>
        <v/>
      </c>
      <c r="J645" s="17">
        <f>IF($C645="","",IFERROR(VLOOKUP($C645,项目台账!$B:$C,2,0),"※项目不在项目台账里"))</f>
        <v/>
      </c>
      <c r="K645" s="13" t="n"/>
    </row>
    <row r="646">
      <c r="A646" s="17">
        <f>IF($C646="","",ROW()-3)</f>
        <v/>
      </c>
      <c r="B646" s="18" t="n"/>
      <c r="C646" s="13" t="n"/>
      <c r="D646" s="13" t="n"/>
      <c r="E646" s="13" t="n"/>
      <c r="F646" s="13" t="n"/>
      <c r="G646" s="20" t="n"/>
      <c r="H646" s="14" t="n"/>
      <c r="I646" s="19">
        <f>IF($C646="","",ROUND(IF($G646="",1,$G646)*N($H646),2))</f>
        <v/>
      </c>
      <c r="J646" s="17">
        <f>IF($C646="","",IFERROR(VLOOKUP($C646,项目台账!$B:$C,2,0),"※项目不在项目台账里"))</f>
        <v/>
      </c>
      <c r="K646" s="13" t="n"/>
    </row>
    <row r="647">
      <c r="A647" s="17">
        <f>IF($C647="","",ROW()-3)</f>
        <v/>
      </c>
      <c r="B647" s="18" t="n"/>
      <c r="C647" s="13" t="n"/>
      <c r="D647" s="13" t="n"/>
      <c r="E647" s="13" t="n"/>
      <c r="F647" s="13" t="n"/>
      <c r="G647" s="20" t="n"/>
      <c r="H647" s="14" t="n"/>
      <c r="I647" s="19">
        <f>IF($C647="","",ROUND(IF($G647="",1,$G647)*N($H647),2))</f>
        <v/>
      </c>
      <c r="J647" s="17">
        <f>IF($C647="","",IFERROR(VLOOKUP($C647,项目台账!$B:$C,2,0),"※项目不在项目台账里"))</f>
        <v/>
      </c>
      <c r="K647" s="13" t="n"/>
    </row>
    <row r="648">
      <c r="A648" s="17">
        <f>IF($C648="","",ROW()-3)</f>
        <v/>
      </c>
      <c r="B648" s="18" t="n"/>
      <c r="C648" s="13" t="n"/>
      <c r="D648" s="13" t="n"/>
      <c r="E648" s="13" t="n"/>
      <c r="F648" s="13" t="n"/>
      <c r="G648" s="20" t="n"/>
      <c r="H648" s="14" t="n"/>
      <c r="I648" s="19">
        <f>IF($C648="","",ROUND(IF($G648="",1,$G648)*N($H648),2))</f>
        <v/>
      </c>
      <c r="J648" s="17">
        <f>IF($C648="","",IFERROR(VLOOKUP($C648,项目台账!$B:$C,2,0),"※项目不在项目台账里"))</f>
        <v/>
      </c>
      <c r="K648" s="13" t="n"/>
    </row>
    <row r="649">
      <c r="A649" s="17">
        <f>IF($C649="","",ROW()-3)</f>
        <v/>
      </c>
      <c r="B649" s="18" t="n"/>
      <c r="C649" s="13" t="n"/>
      <c r="D649" s="13" t="n"/>
      <c r="E649" s="13" t="n"/>
      <c r="F649" s="13" t="n"/>
      <c r="G649" s="20" t="n"/>
      <c r="H649" s="14" t="n"/>
      <c r="I649" s="19">
        <f>IF($C649="","",ROUND(IF($G649="",1,$G649)*N($H649),2))</f>
        <v/>
      </c>
      <c r="J649" s="17">
        <f>IF($C649="","",IFERROR(VLOOKUP($C649,项目台账!$B:$C,2,0),"※项目不在项目台账里"))</f>
        <v/>
      </c>
      <c r="K649" s="13" t="n"/>
    </row>
    <row r="650">
      <c r="A650" s="17">
        <f>IF($C650="","",ROW()-3)</f>
        <v/>
      </c>
      <c r="B650" s="18" t="n"/>
      <c r="C650" s="13" t="n"/>
      <c r="D650" s="13" t="n"/>
      <c r="E650" s="13" t="n"/>
      <c r="F650" s="13" t="n"/>
      <c r="G650" s="20" t="n"/>
      <c r="H650" s="14" t="n"/>
      <c r="I650" s="19">
        <f>IF($C650="","",ROUND(IF($G650="",1,$G650)*N($H650),2))</f>
        <v/>
      </c>
      <c r="J650" s="17">
        <f>IF($C650="","",IFERROR(VLOOKUP($C650,项目台账!$B:$C,2,0),"※项目不在项目台账里"))</f>
        <v/>
      </c>
      <c r="K650" s="13" t="n"/>
    </row>
    <row r="651">
      <c r="A651" s="17">
        <f>IF($C651="","",ROW()-3)</f>
        <v/>
      </c>
      <c r="B651" s="18" t="n"/>
      <c r="C651" s="13" t="n"/>
      <c r="D651" s="13" t="n"/>
      <c r="E651" s="13" t="n"/>
      <c r="F651" s="13" t="n"/>
      <c r="G651" s="20" t="n"/>
      <c r="H651" s="14" t="n"/>
      <c r="I651" s="19">
        <f>IF($C651="","",ROUND(IF($G651="",1,$G651)*N($H651),2))</f>
        <v/>
      </c>
      <c r="J651" s="17">
        <f>IF($C651="","",IFERROR(VLOOKUP($C651,项目台账!$B:$C,2,0),"※项目不在项目台账里"))</f>
        <v/>
      </c>
      <c r="K651" s="13" t="n"/>
    </row>
    <row r="652">
      <c r="A652" s="17">
        <f>IF($C652="","",ROW()-3)</f>
        <v/>
      </c>
      <c r="B652" s="18" t="n"/>
      <c r="C652" s="13" t="n"/>
      <c r="D652" s="13" t="n"/>
      <c r="E652" s="13" t="n"/>
      <c r="F652" s="13" t="n"/>
      <c r="G652" s="20" t="n"/>
      <c r="H652" s="14" t="n"/>
      <c r="I652" s="19">
        <f>IF($C652="","",ROUND(IF($G652="",1,$G652)*N($H652),2))</f>
        <v/>
      </c>
      <c r="J652" s="17">
        <f>IF($C652="","",IFERROR(VLOOKUP($C652,项目台账!$B:$C,2,0),"※项目不在项目台账里"))</f>
        <v/>
      </c>
      <c r="K652" s="13" t="n"/>
    </row>
    <row r="653">
      <c r="A653" s="17">
        <f>IF($C653="","",ROW()-3)</f>
        <v/>
      </c>
      <c r="B653" s="18" t="n"/>
      <c r="C653" s="13" t="n"/>
      <c r="D653" s="13" t="n"/>
      <c r="E653" s="13" t="n"/>
      <c r="F653" s="13" t="n"/>
      <c r="G653" s="20" t="n"/>
      <c r="H653" s="14" t="n"/>
      <c r="I653" s="19">
        <f>IF($C653="","",ROUND(IF($G653="",1,$G653)*N($H653),2))</f>
        <v/>
      </c>
      <c r="J653" s="17">
        <f>IF($C653="","",IFERROR(VLOOKUP($C653,项目台账!$B:$C,2,0),"※项目不在项目台账里"))</f>
        <v/>
      </c>
      <c r="K653" s="13" t="n"/>
    </row>
    <row r="654">
      <c r="A654" s="17">
        <f>IF($C654="","",ROW()-3)</f>
        <v/>
      </c>
      <c r="B654" s="18" t="n"/>
      <c r="C654" s="13" t="n"/>
      <c r="D654" s="13" t="n"/>
      <c r="E654" s="13" t="n"/>
      <c r="F654" s="13" t="n"/>
      <c r="G654" s="20" t="n"/>
      <c r="H654" s="14" t="n"/>
      <c r="I654" s="19">
        <f>IF($C654="","",ROUND(IF($G654="",1,$G654)*N($H654),2))</f>
        <v/>
      </c>
      <c r="J654" s="17">
        <f>IF($C654="","",IFERROR(VLOOKUP($C654,项目台账!$B:$C,2,0),"※项目不在项目台账里"))</f>
        <v/>
      </c>
      <c r="K654" s="13" t="n"/>
    </row>
    <row r="655">
      <c r="A655" s="17">
        <f>IF($C655="","",ROW()-3)</f>
        <v/>
      </c>
      <c r="B655" s="18" t="n"/>
      <c r="C655" s="13" t="n"/>
      <c r="D655" s="13" t="n"/>
      <c r="E655" s="13" t="n"/>
      <c r="F655" s="13" t="n"/>
      <c r="G655" s="20" t="n"/>
      <c r="H655" s="14" t="n"/>
      <c r="I655" s="19">
        <f>IF($C655="","",ROUND(IF($G655="",1,$G655)*N($H655),2))</f>
        <v/>
      </c>
      <c r="J655" s="17">
        <f>IF($C655="","",IFERROR(VLOOKUP($C655,项目台账!$B:$C,2,0),"※项目不在项目台账里"))</f>
        <v/>
      </c>
      <c r="K655" s="13" t="n"/>
    </row>
    <row r="656">
      <c r="A656" s="17">
        <f>IF($C656="","",ROW()-3)</f>
        <v/>
      </c>
      <c r="B656" s="18" t="n"/>
      <c r="C656" s="13" t="n"/>
      <c r="D656" s="13" t="n"/>
      <c r="E656" s="13" t="n"/>
      <c r="F656" s="13" t="n"/>
      <c r="G656" s="20" t="n"/>
      <c r="H656" s="14" t="n"/>
      <c r="I656" s="19">
        <f>IF($C656="","",ROUND(IF($G656="",1,$G656)*N($H656),2))</f>
        <v/>
      </c>
      <c r="J656" s="17">
        <f>IF($C656="","",IFERROR(VLOOKUP($C656,项目台账!$B:$C,2,0),"※项目不在项目台账里"))</f>
        <v/>
      </c>
      <c r="K656" s="13" t="n"/>
    </row>
    <row r="657">
      <c r="A657" s="17">
        <f>IF($C657="","",ROW()-3)</f>
        <v/>
      </c>
      <c r="B657" s="18" t="n"/>
      <c r="C657" s="13" t="n"/>
      <c r="D657" s="13" t="n"/>
      <c r="E657" s="13" t="n"/>
      <c r="F657" s="13" t="n"/>
      <c r="G657" s="20" t="n"/>
      <c r="H657" s="14" t="n"/>
      <c r="I657" s="19">
        <f>IF($C657="","",ROUND(IF($G657="",1,$G657)*N($H657),2))</f>
        <v/>
      </c>
      <c r="J657" s="17">
        <f>IF($C657="","",IFERROR(VLOOKUP($C657,项目台账!$B:$C,2,0),"※项目不在项目台账里"))</f>
        <v/>
      </c>
      <c r="K657" s="13" t="n"/>
    </row>
    <row r="658">
      <c r="A658" s="17">
        <f>IF($C658="","",ROW()-3)</f>
        <v/>
      </c>
      <c r="B658" s="18" t="n"/>
      <c r="C658" s="13" t="n"/>
      <c r="D658" s="13" t="n"/>
      <c r="E658" s="13" t="n"/>
      <c r="F658" s="13" t="n"/>
      <c r="G658" s="20" t="n"/>
      <c r="H658" s="14" t="n"/>
      <c r="I658" s="19">
        <f>IF($C658="","",ROUND(IF($G658="",1,$G658)*N($H658),2))</f>
        <v/>
      </c>
      <c r="J658" s="17">
        <f>IF($C658="","",IFERROR(VLOOKUP($C658,项目台账!$B:$C,2,0),"※项目不在项目台账里"))</f>
        <v/>
      </c>
      <c r="K658" s="13" t="n"/>
    </row>
    <row r="659">
      <c r="A659" s="17">
        <f>IF($C659="","",ROW()-3)</f>
        <v/>
      </c>
      <c r="B659" s="18" t="n"/>
      <c r="C659" s="13" t="n"/>
      <c r="D659" s="13" t="n"/>
      <c r="E659" s="13" t="n"/>
      <c r="F659" s="13" t="n"/>
      <c r="G659" s="20" t="n"/>
      <c r="H659" s="14" t="n"/>
      <c r="I659" s="19">
        <f>IF($C659="","",ROUND(IF($G659="",1,$G659)*N($H659),2))</f>
        <v/>
      </c>
      <c r="J659" s="17">
        <f>IF($C659="","",IFERROR(VLOOKUP($C659,项目台账!$B:$C,2,0),"※项目不在项目台账里"))</f>
        <v/>
      </c>
      <c r="K659" s="13" t="n"/>
    </row>
    <row r="660">
      <c r="A660" s="17">
        <f>IF($C660="","",ROW()-3)</f>
        <v/>
      </c>
      <c r="B660" s="18" t="n"/>
      <c r="C660" s="13" t="n"/>
      <c r="D660" s="13" t="n"/>
      <c r="E660" s="13" t="n"/>
      <c r="F660" s="13" t="n"/>
      <c r="G660" s="20" t="n"/>
      <c r="H660" s="14" t="n"/>
      <c r="I660" s="19">
        <f>IF($C660="","",ROUND(IF($G660="",1,$G660)*N($H660),2))</f>
        <v/>
      </c>
      <c r="J660" s="17">
        <f>IF($C660="","",IFERROR(VLOOKUP($C660,项目台账!$B:$C,2,0),"※项目不在项目台账里"))</f>
        <v/>
      </c>
      <c r="K660" s="13" t="n"/>
    </row>
    <row r="661">
      <c r="A661" s="17">
        <f>IF($C661="","",ROW()-3)</f>
        <v/>
      </c>
      <c r="B661" s="18" t="n"/>
      <c r="C661" s="13" t="n"/>
      <c r="D661" s="13" t="n"/>
      <c r="E661" s="13" t="n"/>
      <c r="F661" s="13" t="n"/>
      <c r="G661" s="20" t="n"/>
      <c r="H661" s="14" t="n"/>
      <c r="I661" s="19">
        <f>IF($C661="","",ROUND(IF($G661="",1,$G661)*N($H661),2))</f>
        <v/>
      </c>
      <c r="J661" s="17">
        <f>IF($C661="","",IFERROR(VLOOKUP($C661,项目台账!$B:$C,2,0),"※项目不在项目台账里"))</f>
        <v/>
      </c>
      <c r="K661" s="13" t="n"/>
    </row>
    <row r="662">
      <c r="A662" s="17">
        <f>IF($C662="","",ROW()-3)</f>
        <v/>
      </c>
      <c r="B662" s="18" t="n"/>
      <c r="C662" s="13" t="n"/>
      <c r="D662" s="13" t="n"/>
      <c r="E662" s="13" t="n"/>
      <c r="F662" s="13" t="n"/>
      <c r="G662" s="20" t="n"/>
      <c r="H662" s="14" t="n"/>
      <c r="I662" s="19">
        <f>IF($C662="","",ROUND(IF($G662="",1,$G662)*N($H662),2))</f>
        <v/>
      </c>
      <c r="J662" s="17">
        <f>IF($C662="","",IFERROR(VLOOKUP($C662,项目台账!$B:$C,2,0),"※项目不在项目台账里"))</f>
        <v/>
      </c>
      <c r="K662" s="13" t="n"/>
    </row>
    <row r="663">
      <c r="A663" s="17">
        <f>IF($C663="","",ROW()-3)</f>
        <v/>
      </c>
      <c r="B663" s="18" t="n"/>
      <c r="C663" s="13" t="n"/>
      <c r="D663" s="13" t="n"/>
      <c r="E663" s="13" t="n"/>
      <c r="F663" s="13" t="n"/>
      <c r="G663" s="20" t="n"/>
      <c r="H663" s="14" t="n"/>
      <c r="I663" s="19">
        <f>IF($C663="","",ROUND(IF($G663="",1,$G663)*N($H663),2))</f>
        <v/>
      </c>
      <c r="J663" s="17">
        <f>IF($C663="","",IFERROR(VLOOKUP($C663,项目台账!$B:$C,2,0),"※项目不在项目台账里"))</f>
        <v/>
      </c>
      <c r="K663" s="13" t="n"/>
    </row>
    <row r="664">
      <c r="A664" s="17">
        <f>IF($C664="","",ROW()-3)</f>
        <v/>
      </c>
      <c r="B664" s="18" t="n"/>
      <c r="C664" s="13" t="n"/>
      <c r="D664" s="13" t="n"/>
      <c r="E664" s="13" t="n"/>
      <c r="F664" s="13" t="n"/>
      <c r="G664" s="20" t="n"/>
      <c r="H664" s="14" t="n"/>
      <c r="I664" s="19">
        <f>IF($C664="","",ROUND(IF($G664="",1,$G664)*N($H664),2))</f>
        <v/>
      </c>
      <c r="J664" s="17">
        <f>IF($C664="","",IFERROR(VLOOKUP($C664,项目台账!$B:$C,2,0),"※项目不在项目台账里"))</f>
        <v/>
      </c>
      <c r="K664" s="13" t="n"/>
    </row>
    <row r="665">
      <c r="A665" s="17">
        <f>IF($C665="","",ROW()-3)</f>
        <v/>
      </c>
      <c r="B665" s="18" t="n"/>
      <c r="C665" s="13" t="n"/>
      <c r="D665" s="13" t="n"/>
      <c r="E665" s="13" t="n"/>
      <c r="F665" s="13" t="n"/>
      <c r="G665" s="20" t="n"/>
      <c r="H665" s="14" t="n"/>
      <c r="I665" s="19">
        <f>IF($C665="","",ROUND(IF($G665="",1,$G665)*N($H665),2))</f>
        <v/>
      </c>
      <c r="J665" s="17">
        <f>IF($C665="","",IFERROR(VLOOKUP($C665,项目台账!$B:$C,2,0),"※项目不在项目台账里"))</f>
        <v/>
      </c>
      <c r="K665" s="13" t="n"/>
    </row>
    <row r="666">
      <c r="A666" s="17">
        <f>IF($C666="","",ROW()-3)</f>
        <v/>
      </c>
      <c r="B666" s="18" t="n"/>
      <c r="C666" s="13" t="n"/>
      <c r="D666" s="13" t="n"/>
      <c r="E666" s="13" t="n"/>
      <c r="F666" s="13" t="n"/>
      <c r="G666" s="20" t="n"/>
      <c r="H666" s="14" t="n"/>
      <c r="I666" s="19">
        <f>IF($C666="","",ROUND(IF($G666="",1,$G666)*N($H666),2))</f>
        <v/>
      </c>
      <c r="J666" s="17">
        <f>IF($C666="","",IFERROR(VLOOKUP($C666,项目台账!$B:$C,2,0),"※项目不在项目台账里"))</f>
        <v/>
      </c>
      <c r="K666" s="13" t="n"/>
    </row>
    <row r="667">
      <c r="A667" s="17">
        <f>IF($C667="","",ROW()-3)</f>
        <v/>
      </c>
      <c r="B667" s="18" t="n"/>
      <c r="C667" s="13" t="n"/>
      <c r="D667" s="13" t="n"/>
      <c r="E667" s="13" t="n"/>
      <c r="F667" s="13" t="n"/>
      <c r="G667" s="20" t="n"/>
      <c r="H667" s="14" t="n"/>
      <c r="I667" s="19">
        <f>IF($C667="","",ROUND(IF($G667="",1,$G667)*N($H667),2))</f>
        <v/>
      </c>
      <c r="J667" s="17">
        <f>IF($C667="","",IFERROR(VLOOKUP($C667,项目台账!$B:$C,2,0),"※项目不在项目台账里"))</f>
        <v/>
      </c>
      <c r="K667" s="13" t="n"/>
    </row>
    <row r="668">
      <c r="A668" s="17">
        <f>IF($C668="","",ROW()-3)</f>
        <v/>
      </c>
      <c r="B668" s="18" t="n"/>
      <c r="C668" s="13" t="n"/>
      <c r="D668" s="13" t="n"/>
      <c r="E668" s="13" t="n"/>
      <c r="F668" s="13" t="n"/>
      <c r="G668" s="20" t="n"/>
      <c r="H668" s="14" t="n"/>
      <c r="I668" s="19">
        <f>IF($C668="","",ROUND(IF($G668="",1,$G668)*N($H668),2))</f>
        <v/>
      </c>
      <c r="J668" s="17">
        <f>IF($C668="","",IFERROR(VLOOKUP($C668,项目台账!$B:$C,2,0),"※项目不在项目台账里"))</f>
        <v/>
      </c>
      <c r="K668" s="13" t="n"/>
    </row>
    <row r="669">
      <c r="A669" s="17">
        <f>IF($C669="","",ROW()-3)</f>
        <v/>
      </c>
      <c r="B669" s="18" t="n"/>
      <c r="C669" s="13" t="n"/>
      <c r="D669" s="13" t="n"/>
      <c r="E669" s="13" t="n"/>
      <c r="F669" s="13" t="n"/>
      <c r="G669" s="20" t="n"/>
      <c r="H669" s="14" t="n"/>
      <c r="I669" s="19">
        <f>IF($C669="","",ROUND(IF($G669="",1,$G669)*N($H669),2))</f>
        <v/>
      </c>
      <c r="J669" s="17">
        <f>IF($C669="","",IFERROR(VLOOKUP($C669,项目台账!$B:$C,2,0),"※项目不在项目台账里"))</f>
        <v/>
      </c>
      <c r="K669" s="13" t="n"/>
    </row>
    <row r="670">
      <c r="A670" s="17">
        <f>IF($C670="","",ROW()-3)</f>
        <v/>
      </c>
      <c r="B670" s="18" t="n"/>
      <c r="C670" s="13" t="n"/>
      <c r="D670" s="13" t="n"/>
      <c r="E670" s="13" t="n"/>
      <c r="F670" s="13" t="n"/>
      <c r="G670" s="20" t="n"/>
      <c r="H670" s="14" t="n"/>
      <c r="I670" s="19">
        <f>IF($C670="","",ROUND(IF($G670="",1,$G670)*N($H670),2))</f>
        <v/>
      </c>
      <c r="J670" s="17">
        <f>IF($C670="","",IFERROR(VLOOKUP($C670,项目台账!$B:$C,2,0),"※项目不在项目台账里"))</f>
        <v/>
      </c>
      <c r="K670" s="13" t="n"/>
    </row>
    <row r="671">
      <c r="A671" s="17">
        <f>IF($C671="","",ROW()-3)</f>
        <v/>
      </c>
      <c r="B671" s="18" t="n"/>
      <c r="C671" s="13" t="n"/>
      <c r="D671" s="13" t="n"/>
      <c r="E671" s="13" t="n"/>
      <c r="F671" s="13" t="n"/>
      <c r="G671" s="20" t="n"/>
      <c r="H671" s="14" t="n"/>
      <c r="I671" s="19">
        <f>IF($C671="","",ROUND(IF($G671="",1,$G671)*N($H671),2))</f>
        <v/>
      </c>
      <c r="J671" s="17">
        <f>IF($C671="","",IFERROR(VLOOKUP($C671,项目台账!$B:$C,2,0),"※项目不在项目台账里"))</f>
        <v/>
      </c>
      <c r="K671" s="13" t="n"/>
    </row>
    <row r="672">
      <c r="A672" s="17">
        <f>IF($C672="","",ROW()-3)</f>
        <v/>
      </c>
      <c r="B672" s="18" t="n"/>
      <c r="C672" s="13" t="n"/>
      <c r="D672" s="13" t="n"/>
      <c r="E672" s="13" t="n"/>
      <c r="F672" s="13" t="n"/>
      <c r="G672" s="20" t="n"/>
      <c r="H672" s="14" t="n"/>
      <c r="I672" s="19">
        <f>IF($C672="","",ROUND(IF($G672="",1,$G672)*N($H672),2))</f>
        <v/>
      </c>
      <c r="J672" s="17">
        <f>IF($C672="","",IFERROR(VLOOKUP($C672,项目台账!$B:$C,2,0),"※项目不在项目台账里"))</f>
        <v/>
      </c>
      <c r="K672" s="13" t="n"/>
    </row>
    <row r="673">
      <c r="A673" s="17">
        <f>IF($C673="","",ROW()-3)</f>
        <v/>
      </c>
      <c r="B673" s="18" t="n"/>
      <c r="C673" s="13" t="n"/>
      <c r="D673" s="13" t="n"/>
      <c r="E673" s="13" t="n"/>
      <c r="F673" s="13" t="n"/>
      <c r="G673" s="20" t="n"/>
      <c r="H673" s="14" t="n"/>
      <c r="I673" s="19">
        <f>IF($C673="","",ROUND(IF($G673="",1,$G673)*N($H673),2))</f>
        <v/>
      </c>
      <c r="J673" s="17">
        <f>IF($C673="","",IFERROR(VLOOKUP($C673,项目台账!$B:$C,2,0),"※项目不在项目台账里"))</f>
        <v/>
      </c>
      <c r="K673" s="13" t="n"/>
    </row>
    <row r="674">
      <c r="A674" s="17">
        <f>IF($C674="","",ROW()-3)</f>
        <v/>
      </c>
      <c r="B674" s="18" t="n"/>
      <c r="C674" s="13" t="n"/>
      <c r="D674" s="13" t="n"/>
      <c r="E674" s="13" t="n"/>
      <c r="F674" s="13" t="n"/>
      <c r="G674" s="20" t="n"/>
      <c r="H674" s="14" t="n"/>
      <c r="I674" s="19">
        <f>IF($C674="","",ROUND(IF($G674="",1,$G674)*N($H674),2))</f>
        <v/>
      </c>
      <c r="J674" s="17">
        <f>IF($C674="","",IFERROR(VLOOKUP($C674,项目台账!$B:$C,2,0),"※项目不在项目台账里"))</f>
        <v/>
      </c>
      <c r="K674" s="13" t="n"/>
    </row>
    <row r="675">
      <c r="A675" s="17">
        <f>IF($C675="","",ROW()-3)</f>
        <v/>
      </c>
      <c r="B675" s="18" t="n"/>
      <c r="C675" s="13" t="n"/>
      <c r="D675" s="13" t="n"/>
      <c r="E675" s="13" t="n"/>
      <c r="F675" s="13" t="n"/>
      <c r="G675" s="20" t="n"/>
      <c r="H675" s="14" t="n"/>
      <c r="I675" s="19">
        <f>IF($C675="","",ROUND(IF($G675="",1,$G675)*N($H675),2))</f>
        <v/>
      </c>
      <c r="J675" s="17">
        <f>IF($C675="","",IFERROR(VLOOKUP($C675,项目台账!$B:$C,2,0),"※项目不在项目台账里"))</f>
        <v/>
      </c>
      <c r="K675" s="13" t="n"/>
    </row>
    <row r="676">
      <c r="A676" s="17">
        <f>IF($C676="","",ROW()-3)</f>
        <v/>
      </c>
      <c r="B676" s="18" t="n"/>
      <c r="C676" s="13" t="n"/>
      <c r="D676" s="13" t="n"/>
      <c r="E676" s="13" t="n"/>
      <c r="F676" s="13" t="n"/>
      <c r="G676" s="20" t="n"/>
      <c r="H676" s="14" t="n"/>
      <c r="I676" s="19">
        <f>IF($C676="","",ROUND(IF($G676="",1,$G676)*N($H676),2))</f>
        <v/>
      </c>
      <c r="J676" s="17">
        <f>IF($C676="","",IFERROR(VLOOKUP($C676,项目台账!$B:$C,2,0),"※项目不在项目台账里"))</f>
        <v/>
      </c>
      <c r="K676" s="13" t="n"/>
    </row>
    <row r="677">
      <c r="A677" s="17">
        <f>IF($C677="","",ROW()-3)</f>
        <v/>
      </c>
      <c r="B677" s="18" t="n"/>
      <c r="C677" s="13" t="n"/>
      <c r="D677" s="13" t="n"/>
      <c r="E677" s="13" t="n"/>
      <c r="F677" s="13" t="n"/>
      <c r="G677" s="20" t="n"/>
      <c r="H677" s="14" t="n"/>
      <c r="I677" s="19">
        <f>IF($C677="","",ROUND(IF($G677="",1,$G677)*N($H677),2))</f>
        <v/>
      </c>
      <c r="J677" s="17">
        <f>IF($C677="","",IFERROR(VLOOKUP($C677,项目台账!$B:$C,2,0),"※项目不在项目台账里"))</f>
        <v/>
      </c>
      <c r="K677" s="13" t="n"/>
    </row>
    <row r="678">
      <c r="A678" s="17">
        <f>IF($C678="","",ROW()-3)</f>
        <v/>
      </c>
      <c r="B678" s="18" t="n"/>
      <c r="C678" s="13" t="n"/>
      <c r="D678" s="13" t="n"/>
      <c r="E678" s="13" t="n"/>
      <c r="F678" s="13" t="n"/>
      <c r="G678" s="20" t="n"/>
      <c r="H678" s="14" t="n"/>
      <c r="I678" s="19">
        <f>IF($C678="","",ROUND(IF($G678="",1,$G678)*N($H678),2))</f>
        <v/>
      </c>
      <c r="J678" s="17">
        <f>IF($C678="","",IFERROR(VLOOKUP($C678,项目台账!$B:$C,2,0),"※项目不在项目台账里"))</f>
        <v/>
      </c>
      <c r="K678" s="13" t="n"/>
    </row>
    <row r="679">
      <c r="A679" s="17">
        <f>IF($C679="","",ROW()-3)</f>
        <v/>
      </c>
      <c r="B679" s="18" t="n"/>
      <c r="C679" s="13" t="n"/>
      <c r="D679" s="13" t="n"/>
      <c r="E679" s="13" t="n"/>
      <c r="F679" s="13" t="n"/>
      <c r="G679" s="20" t="n"/>
      <c r="H679" s="14" t="n"/>
      <c r="I679" s="19">
        <f>IF($C679="","",ROUND(IF($G679="",1,$G679)*N($H679),2))</f>
        <v/>
      </c>
      <c r="J679" s="17">
        <f>IF($C679="","",IFERROR(VLOOKUP($C679,项目台账!$B:$C,2,0),"※项目不在项目台账里"))</f>
        <v/>
      </c>
      <c r="K679" s="13" t="n"/>
    </row>
    <row r="680">
      <c r="A680" s="17">
        <f>IF($C680="","",ROW()-3)</f>
        <v/>
      </c>
      <c r="B680" s="18" t="n"/>
      <c r="C680" s="13" t="n"/>
      <c r="D680" s="13" t="n"/>
      <c r="E680" s="13" t="n"/>
      <c r="F680" s="13" t="n"/>
      <c r="G680" s="20" t="n"/>
      <c r="H680" s="14" t="n"/>
      <c r="I680" s="19">
        <f>IF($C680="","",ROUND(IF($G680="",1,$G680)*N($H680),2))</f>
        <v/>
      </c>
      <c r="J680" s="17">
        <f>IF($C680="","",IFERROR(VLOOKUP($C680,项目台账!$B:$C,2,0),"※项目不在项目台账里"))</f>
        <v/>
      </c>
      <c r="K680" s="13" t="n"/>
    </row>
    <row r="681">
      <c r="A681" s="17">
        <f>IF($C681="","",ROW()-3)</f>
        <v/>
      </c>
      <c r="B681" s="18" t="n"/>
      <c r="C681" s="13" t="n"/>
      <c r="D681" s="13" t="n"/>
      <c r="E681" s="13" t="n"/>
      <c r="F681" s="13" t="n"/>
      <c r="G681" s="20" t="n"/>
      <c r="H681" s="14" t="n"/>
      <c r="I681" s="19">
        <f>IF($C681="","",ROUND(IF($G681="",1,$G681)*N($H681),2))</f>
        <v/>
      </c>
      <c r="J681" s="17">
        <f>IF($C681="","",IFERROR(VLOOKUP($C681,项目台账!$B:$C,2,0),"※项目不在项目台账里"))</f>
        <v/>
      </c>
      <c r="K681" s="13" t="n"/>
    </row>
    <row r="682">
      <c r="A682" s="17">
        <f>IF($C682="","",ROW()-3)</f>
        <v/>
      </c>
      <c r="B682" s="18" t="n"/>
      <c r="C682" s="13" t="n"/>
      <c r="D682" s="13" t="n"/>
      <c r="E682" s="13" t="n"/>
      <c r="F682" s="13" t="n"/>
      <c r="G682" s="20" t="n"/>
      <c r="H682" s="14" t="n"/>
      <c r="I682" s="19">
        <f>IF($C682="","",ROUND(IF($G682="",1,$G682)*N($H682),2))</f>
        <v/>
      </c>
      <c r="J682" s="17">
        <f>IF($C682="","",IFERROR(VLOOKUP($C682,项目台账!$B:$C,2,0),"※项目不在项目台账里"))</f>
        <v/>
      </c>
      <c r="K682" s="13" t="n"/>
    </row>
    <row r="683">
      <c r="A683" s="17">
        <f>IF($C683="","",ROW()-3)</f>
        <v/>
      </c>
      <c r="B683" s="18" t="n"/>
      <c r="C683" s="13" t="n"/>
      <c r="D683" s="13" t="n"/>
      <c r="E683" s="13" t="n"/>
      <c r="F683" s="13" t="n"/>
      <c r="G683" s="20" t="n"/>
      <c r="H683" s="14" t="n"/>
      <c r="I683" s="19">
        <f>IF($C683="","",ROUND(IF($G683="",1,$G683)*N($H683),2))</f>
        <v/>
      </c>
      <c r="J683" s="17">
        <f>IF($C683="","",IFERROR(VLOOKUP($C683,项目台账!$B:$C,2,0),"※项目不在项目台账里"))</f>
        <v/>
      </c>
      <c r="K683" s="13" t="n"/>
    </row>
    <row r="684">
      <c r="A684" s="17">
        <f>IF($C684="","",ROW()-3)</f>
        <v/>
      </c>
      <c r="B684" s="18" t="n"/>
      <c r="C684" s="13" t="n"/>
      <c r="D684" s="13" t="n"/>
      <c r="E684" s="13" t="n"/>
      <c r="F684" s="13" t="n"/>
      <c r="G684" s="20" t="n"/>
      <c r="H684" s="14" t="n"/>
      <c r="I684" s="19">
        <f>IF($C684="","",ROUND(IF($G684="",1,$G684)*N($H684),2))</f>
        <v/>
      </c>
      <c r="J684" s="17">
        <f>IF($C684="","",IFERROR(VLOOKUP($C684,项目台账!$B:$C,2,0),"※项目不在项目台账里"))</f>
        <v/>
      </c>
      <c r="K684" s="13" t="n"/>
    </row>
    <row r="685">
      <c r="A685" s="17">
        <f>IF($C685="","",ROW()-3)</f>
        <v/>
      </c>
      <c r="B685" s="18" t="n"/>
      <c r="C685" s="13" t="n"/>
      <c r="D685" s="13" t="n"/>
      <c r="E685" s="13" t="n"/>
      <c r="F685" s="13" t="n"/>
      <c r="G685" s="20" t="n"/>
      <c r="H685" s="14" t="n"/>
      <c r="I685" s="19">
        <f>IF($C685="","",ROUND(IF($G685="",1,$G685)*N($H685),2))</f>
        <v/>
      </c>
      <c r="J685" s="17">
        <f>IF($C685="","",IFERROR(VLOOKUP($C685,项目台账!$B:$C,2,0),"※项目不在项目台账里"))</f>
        <v/>
      </c>
      <c r="K685" s="13" t="n"/>
    </row>
    <row r="686">
      <c r="A686" s="17">
        <f>IF($C686="","",ROW()-3)</f>
        <v/>
      </c>
      <c r="B686" s="18" t="n"/>
      <c r="C686" s="13" t="n"/>
      <c r="D686" s="13" t="n"/>
      <c r="E686" s="13" t="n"/>
      <c r="F686" s="13" t="n"/>
      <c r="G686" s="20" t="n"/>
      <c r="H686" s="14" t="n"/>
      <c r="I686" s="19">
        <f>IF($C686="","",ROUND(IF($G686="",1,$G686)*N($H686),2))</f>
        <v/>
      </c>
      <c r="J686" s="17">
        <f>IF($C686="","",IFERROR(VLOOKUP($C686,项目台账!$B:$C,2,0),"※项目不在项目台账里"))</f>
        <v/>
      </c>
      <c r="K686" s="13" t="n"/>
    </row>
    <row r="687">
      <c r="A687" s="17">
        <f>IF($C687="","",ROW()-3)</f>
        <v/>
      </c>
      <c r="B687" s="18" t="n"/>
      <c r="C687" s="13" t="n"/>
      <c r="D687" s="13" t="n"/>
      <c r="E687" s="13" t="n"/>
      <c r="F687" s="13" t="n"/>
      <c r="G687" s="20" t="n"/>
      <c r="H687" s="14" t="n"/>
      <c r="I687" s="19">
        <f>IF($C687="","",ROUND(IF($G687="",1,$G687)*N($H687),2))</f>
        <v/>
      </c>
      <c r="J687" s="17">
        <f>IF($C687="","",IFERROR(VLOOKUP($C687,项目台账!$B:$C,2,0),"※项目不在项目台账里"))</f>
        <v/>
      </c>
      <c r="K687" s="13" t="n"/>
    </row>
    <row r="688">
      <c r="A688" s="17">
        <f>IF($C688="","",ROW()-3)</f>
        <v/>
      </c>
      <c r="B688" s="18" t="n"/>
      <c r="C688" s="13" t="n"/>
      <c r="D688" s="13" t="n"/>
      <c r="E688" s="13" t="n"/>
      <c r="F688" s="13" t="n"/>
      <c r="G688" s="20" t="n"/>
      <c r="H688" s="14" t="n"/>
      <c r="I688" s="19">
        <f>IF($C688="","",ROUND(IF($G688="",1,$G688)*N($H688),2))</f>
        <v/>
      </c>
      <c r="J688" s="17">
        <f>IF($C688="","",IFERROR(VLOOKUP($C688,项目台账!$B:$C,2,0),"※项目不在项目台账里"))</f>
        <v/>
      </c>
      <c r="K688" s="13" t="n"/>
    </row>
    <row r="689">
      <c r="A689" s="17">
        <f>IF($C689="","",ROW()-3)</f>
        <v/>
      </c>
      <c r="B689" s="18" t="n"/>
      <c r="C689" s="13" t="n"/>
      <c r="D689" s="13" t="n"/>
      <c r="E689" s="13" t="n"/>
      <c r="F689" s="13" t="n"/>
      <c r="G689" s="20" t="n"/>
      <c r="H689" s="14" t="n"/>
      <c r="I689" s="19">
        <f>IF($C689="","",ROUND(IF($G689="",1,$G689)*N($H689),2))</f>
        <v/>
      </c>
      <c r="J689" s="17">
        <f>IF($C689="","",IFERROR(VLOOKUP($C689,项目台账!$B:$C,2,0),"※项目不在项目台账里"))</f>
        <v/>
      </c>
      <c r="K689" s="13" t="n"/>
    </row>
    <row r="690">
      <c r="A690" s="17">
        <f>IF($C690="","",ROW()-3)</f>
        <v/>
      </c>
      <c r="B690" s="18" t="n"/>
      <c r="C690" s="13" t="n"/>
      <c r="D690" s="13" t="n"/>
      <c r="E690" s="13" t="n"/>
      <c r="F690" s="13" t="n"/>
      <c r="G690" s="20" t="n"/>
      <c r="H690" s="14" t="n"/>
      <c r="I690" s="19">
        <f>IF($C690="","",ROUND(IF($G690="",1,$G690)*N($H690),2))</f>
        <v/>
      </c>
      <c r="J690" s="17">
        <f>IF($C690="","",IFERROR(VLOOKUP($C690,项目台账!$B:$C,2,0),"※项目不在项目台账里"))</f>
        <v/>
      </c>
      <c r="K690" s="13" t="n"/>
    </row>
    <row r="691">
      <c r="A691" s="17">
        <f>IF($C691="","",ROW()-3)</f>
        <v/>
      </c>
      <c r="B691" s="18" t="n"/>
      <c r="C691" s="13" t="n"/>
      <c r="D691" s="13" t="n"/>
      <c r="E691" s="13" t="n"/>
      <c r="F691" s="13" t="n"/>
      <c r="G691" s="20" t="n"/>
      <c r="H691" s="14" t="n"/>
      <c r="I691" s="19">
        <f>IF($C691="","",ROUND(IF($G691="",1,$G691)*N($H691),2))</f>
        <v/>
      </c>
      <c r="J691" s="17">
        <f>IF($C691="","",IFERROR(VLOOKUP($C691,项目台账!$B:$C,2,0),"※项目不在项目台账里"))</f>
        <v/>
      </c>
      <c r="K691" s="13" t="n"/>
    </row>
    <row r="692">
      <c r="A692" s="17">
        <f>IF($C692="","",ROW()-3)</f>
        <v/>
      </c>
      <c r="B692" s="18" t="n"/>
      <c r="C692" s="13" t="n"/>
      <c r="D692" s="13" t="n"/>
      <c r="E692" s="13" t="n"/>
      <c r="F692" s="13" t="n"/>
      <c r="G692" s="20" t="n"/>
      <c r="H692" s="14" t="n"/>
      <c r="I692" s="19">
        <f>IF($C692="","",ROUND(IF($G692="",1,$G692)*N($H692),2))</f>
        <v/>
      </c>
      <c r="J692" s="17">
        <f>IF($C692="","",IFERROR(VLOOKUP($C692,项目台账!$B:$C,2,0),"※项目不在项目台账里"))</f>
        <v/>
      </c>
      <c r="K692" s="13" t="n"/>
    </row>
    <row r="693">
      <c r="A693" s="17">
        <f>IF($C693="","",ROW()-3)</f>
        <v/>
      </c>
      <c r="B693" s="18" t="n"/>
      <c r="C693" s="13" t="n"/>
      <c r="D693" s="13" t="n"/>
      <c r="E693" s="13" t="n"/>
      <c r="F693" s="13" t="n"/>
      <c r="G693" s="20" t="n"/>
      <c r="H693" s="14" t="n"/>
      <c r="I693" s="19">
        <f>IF($C693="","",ROUND(IF($G693="",1,$G693)*N($H693),2))</f>
        <v/>
      </c>
      <c r="J693" s="17">
        <f>IF($C693="","",IFERROR(VLOOKUP($C693,项目台账!$B:$C,2,0),"※项目不在项目台账里"))</f>
        <v/>
      </c>
      <c r="K693" s="13" t="n"/>
    </row>
    <row r="694">
      <c r="A694" s="17">
        <f>IF($C694="","",ROW()-3)</f>
        <v/>
      </c>
      <c r="B694" s="18" t="n"/>
      <c r="C694" s="13" t="n"/>
      <c r="D694" s="13" t="n"/>
      <c r="E694" s="13" t="n"/>
      <c r="F694" s="13" t="n"/>
      <c r="G694" s="20" t="n"/>
      <c r="H694" s="14" t="n"/>
      <c r="I694" s="19">
        <f>IF($C694="","",ROUND(IF($G694="",1,$G694)*N($H694),2))</f>
        <v/>
      </c>
      <c r="J694" s="17">
        <f>IF($C694="","",IFERROR(VLOOKUP($C694,项目台账!$B:$C,2,0),"※项目不在项目台账里"))</f>
        <v/>
      </c>
      <c r="K694" s="13" t="n"/>
    </row>
    <row r="695">
      <c r="A695" s="17">
        <f>IF($C695="","",ROW()-3)</f>
        <v/>
      </c>
      <c r="B695" s="18" t="n"/>
      <c r="C695" s="13" t="n"/>
      <c r="D695" s="13" t="n"/>
      <c r="E695" s="13" t="n"/>
      <c r="F695" s="13" t="n"/>
      <c r="G695" s="20" t="n"/>
      <c r="H695" s="14" t="n"/>
      <c r="I695" s="19">
        <f>IF($C695="","",ROUND(IF($G695="",1,$G695)*N($H695),2))</f>
        <v/>
      </c>
      <c r="J695" s="17">
        <f>IF($C695="","",IFERROR(VLOOKUP($C695,项目台账!$B:$C,2,0),"※项目不在项目台账里"))</f>
        <v/>
      </c>
      <c r="K695" s="13" t="n"/>
    </row>
    <row r="696">
      <c r="A696" s="17">
        <f>IF($C696="","",ROW()-3)</f>
        <v/>
      </c>
      <c r="B696" s="18" t="n"/>
      <c r="C696" s="13" t="n"/>
      <c r="D696" s="13" t="n"/>
      <c r="E696" s="13" t="n"/>
      <c r="F696" s="13" t="n"/>
      <c r="G696" s="20" t="n"/>
      <c r="H696" s="14" t="n"/>
      <c r="I696" s="19">
        <f>IF($C696="","",ROUND(IF($G696="",1,$G696)*N($H696),2))</f>
        <v/>
      </c>
      <c r="J696" s="17">
        <f>IF($C696="","",IFERROR(VLOOKUP($C696,项目台账!$B:$C,2,0),"※项目不在项目台账里"))</f>
        <v/>
      </c>
      <c r="K696" s="13" t="n"/>
    </row>
    <row r="697">
      <c r="A697" s="17">
        <f>IF($C697="","",ROW()-3)</f>
        <v/>
      </c>
      <c r="B697" s="18" t="n"/>
      <c r="C697" s="13" t="n"/>
      <c r="D697" s="13" t="n"/>
      <c r="E697" s="13" t="n"/>
      <c r="F697" s="13" t="n"/>
      <c r="G697" s="20" t="n"/>
      <c r="H697" s="14" t="n"/>
      <c r="I697" s="19">
        <f>IF($C697="","",ROUND(IF($G697="",1,$G697)*N($H697),2))</f>
        <v/>
      </c>
      <c r="J697" s="17">
        <f>IF($C697="","",IFERROR(VLOOKUP($C697,项目台账!$B:$C,2,0),"※项目不在项目台账里"))</f>
        <v/>
      </c>
      <c r="K697" s="13" t="n"/>
    </row>
    <row r="698">
      <c r="A698" s="17">
        <f>IF($C698="","",ROW()-3)</f>
        <v/>
      </c>
      <c r="B698" s="18" t="n"/>
      <c r="C698" s="13" t="n"/>
      <c r="D698" s="13" t="n"/>
      <c r="E698" s="13" t="n"/>
      <c r="F698" s="13" t="n"/>
      <c r="G698" s="20" t="n"/>
      <c r="H698" s="14" t="n"/>
      <c r="I698" s="19">
        <f>IF($C698="","",ROUND(IF($G698="",1,$G698)*N($H698),2))</f>
        <v/>
      </c>
      <c r="J698" s="17">
        <f>IF($C698="","",IFERROR(VLOOKUP($C698,项目台账!$B:$C,2,0),"※项目不在项目台账里"))</f>
        <v/>
      </c>
      <c r="K698" s="13" t="n"/>
    </row>
    <row r="699">
      <c r="A699" s="17">
        <f>IF($C699="","",ROW()-3)</f>
        <v/>
      </c>
      <c r="B699" s="18" t="n"/>
      <c r="C699" s="13" t="n"/>
      <c r="D699" s="13" t="n"/>
      <c r="E699" s="13" t="n"/>
      <c r="F699" s="13" t="n"/>
      <c r="G699" s="20" t="n"/>
      <c r="H699" s="14" t="n"/>
      <c r="I699" s="19">
        <f>IF($C699="","",ROUND(IF($G699="",1,$G699)*N($H699),2))</f>
        <v/>
      </c>
      <c r="J699" s="17">
        <f>IF($C699="","",IFERROR(VLOOKUP($C699,项目台账!$B:$C,2,0),"※项目不在项目台账里"))</f>
        <v/>
      </c>
      <c r="K699" s="13" t="n"/>
    </row>
    <row r="700">
      <c r="A700" s="17">
        <f>IF($C700="","",ROW()-3)</f>
        <v/>
      </c>
      <c r="B700" s="18" t="n"/>
      <c r="C700" s="13" t="n"/>
      <c r="D700" s="13" t="n"/>
      <c r="E700" s="13" t="n"/>
      <c r="F700" s="13" t="n"/>
      <c r="G700" s="20" t="n"/>
      <c r="H700" s="14" t="n"/>
      <c r="I700" s="19">
        <f>IF($C700="","",ROUND(IF($G700="",1,$G700)*N($H700),2))</f>
        <v/>
      </c>
      <c r="J700" s="17">
        <f>IF($C700="","",IFERROR(VLOOKUP($C700,项目台账!$B:$C,2,0),"※项目不在项目台账里"))</f>
        <v/>
      </c>
      <c r="K700" s="13" t="n"/>
    </row>
    <row r="701">
      <c r="A701" s="17">
        <f>IF($C701="","",ROW()-3)</f>
        <v/>
      </c>
      <c r="B701" s="18" t="n"/>
      <c r="C701" s="13" t="n"/>
      <c r="D701" s="13" t="n"/>
      <c r="E701" s="13" t="n"/>
      <c r="F701" s="13" t="n"/>
      <c r="G701" s="20" t="n"/>
      <c r="H701" s="14" t="n"/>
      <c r="I701" s="19">
        <f>IF($C701="","",ROUND(IF($G701="",1,$G701)*N($H701),2))</f>
        <v/>
      </c>
      <c r="J701" s="17">
        <f>IF($C701="","",IFERROR(VLOOKUP($C701,项目台账!$B:$C,2,0),"※项目不在项目台账里"))</f>
        <v/>
      </c>
      <c r="K701" s="13" t="n"/>
    </row>
    <row r="702">
      <c r="A702" s="17">
        <f>IF($C702="","",ROW()-3)</f>
        <v/>
      </c>
      <c r="B702" s="18" t="n"/>
      <c r="C702" s="13" t="n"/>
      <c r="D702" s="13" t="n"/>
      <c r="E702" s="13" t="n"/>
      <c r="F702" s="13" t="n"/>
      <c r="G702" s="20" t="n"/>
      <c r="H702" s="14" t="n"/>
      <c r="I702" s="19">
        <f>IF($C702="","",ROUND(IF($G702="",1,$G702)*N($H702),2))</f>
        <v/>
      </c>
      <c r="J702" s="17">
        <f>IF($C702="","",IFERROR(VLOOKUP($C702,项目台账!$B:$C,2,0),"※项目不在项目台账里"))</f>
        <v/>
      </c>
      <c r="K702" s="13" t="n"/>
    </row>
    <row r="703">
      <c r="A703" s="17">
        <f>IF($C703="","",ROW()-3)</f>
        <v/>
      </c>
      <c r="B703" s="18" t="n"/>
      <c r="C703" s="13" t="n"/>
      <c r="D703" s="13" t="n"/>
      <c r="E703" s="13" t="n"/>
      <c r="F703" s="13" t="n"/>
      <c r="G703" s="20" t="n"/>
      <c r="H703" s="14" t="n"/>
      <c r="I703" s="19">
        <f>IF($C703="","",ROUND(IF($G703="",1,$G703)*N($H703),2))</f>
        <v/>
      </c>
      <c r="J703" s="17">
        <f>IF($C703="","",IFERROR(VLOOKUP($C703,项目台账!$B:$C,2,0),"※项目不在项目台账里"))</f>
        <v/>
      </c>
      <c r="K703" s="13" t="n"/>
    </row>
    <row r="704">
      <c r="A704" s="17">
        <f>IF($C704="","",ROW()-3)</f>
        <v/>
      </c>
      <c r="B704" s="18" t="n"/>
      <c r="C704" s="13" t="n"/>
      <c r="D704" s="13" t="n"/>
      <c r="E704" s="13" t="n"/>
      <c r="F704" s="13" t="n"/>
      <c r="G704" s="20" t="n"/>
      <c r="H704" s="14" t="n"/>
      <c r="I704" s="19">
        <f>IF($C704="","",ROUND(IF($G704="",1,$G704)*N($H704),2))</f>
        <v/>
      </c>
      <c r="J704" s="17">
        <f>IF($C704="","",IFERROR(VLOOKUP($C704,项目台账!$B:$C,2,0),"※项目不在项目台账里"))</f>
        <v/>
      </c>
      <c r="K704" s="13" t="n"/>
    </row>
    <row r="705">
      <c r="A705" s="17">
        <f>IF($C705="","",ROW()-3)</f>
        <v/>
      </c>
      <c r="B705" s="18" t="n"/>
      <c r="C705" s="13" t="n"/>
      <c r="D705" s="13" t="n"/>
      <c r="E705" s="13" t="n"/>
      <c r="F705" s="13" t="n"/>
      <c r="G705" s="20" t="n"/>
      <c r="H705" s="14" t="n"/>
      <c r="I705" s="19">
        <f>IF($C705="","",ROUND(IF($G705="",1,$G705)*N($H705),2))</f>
        <v/>
      </c>
      <c r="J705" s="17">
        <f>IF($C705="","",IFERROR(VLOOKUP($C705,项目台账!$B:$C,2,0),"※项目不在项目台账里"))</f>
        <v/>
      </c>
      <c r="K705" s="13" t="n"/>
    </row>
    <row r="706">
      <c r="A706" s="17">
        <f>IF($C706="","",ROW()-3)</f>
        <v/>
      </c>
      <c r="B706" s="18" t="n"/>
      <c r="C706" s="13" t="n"/>
      <c r="D706" s="13" t="n"/>
      <c r="E706" s="13" t="n"/>
      <c r="F706" s="13" t="n"/>
      <c r="G706" s="20" t="n"/>
      <c r="H706" s="14" t="n"/>
      <c r="I706" s="19">
        <f>IF($C706="","",ROUND(IF($G706="",1,$G706)*N($H706),2))</f>
        <v/>
      </c>
      <c r="J706" s="17">
        <f>IF($C706="","",IFERROR(VLOOKUP($C706,项目台账!$B:$C,2,0),"※项目不在项目台账里"))</f>
        <v/>
      </c>
      <c r="K706" s="13" t="n"/>
    </row>
    <row r="707">
      <c r="A707" s="17">
        <f>IF($C707="","",ROW()-3)</f>
        <v/>
      </c>
      <c r="B707" s="18" t="n"/>
      <c r="C707" s="13" t="n"/>
      <c r="D707" s="13" t="n"/>
      <c r="E707" s="13" t="n"/>
      <c r="F707" s="13" t="n"/>
      <c r="G707" s="20" t="n"/>
      <c r="H707" s="14" t="n"/>
      <c r="I707" s="19">
        <f>IF($C707="","",ROUND(IF($G707="",1,$G707)*N($H707),2))</f>
        <v/>
      </c>
      <c r="J707" s="17">
        <f>IF($C707="","",IFERROR(VLOOKUP($C707,项目台账!$B:$C,2,0),"※项目不在项目台账里"))</f>
        <v/>
      </c>
      <c r="K707" s="13" t="n"/>
    </row>
    <row r="708">
      <c r="A708" s="17">
        <f>IF($C708="","",ROW()-3)</f>
        <v/>
      </c>
      <c r="B708" s="18" t="n"/>
      <c r="C708" s="13" t="n"/>
      <c r="D708" s="13" t="n"/>
      <c r="E708" s="13" t="n"/>
      <c r="F708" s="13" t="n"/>
      <c r="G708" s="20" t="n"/>
      <c r="H708" s="14" t="n"/>
      <c r="I708" s="19">
        <f>IF($C708="","",ROUND(IF($G708="",1,$G708)*N($H708),2))</f>
        <v/>
      </c>
      <c r="J708" s="17">
        <f>IF($C708="","",IFERROR(VLOOKUP($C708,项目台账!$B:$C,2,0),"※项目不在项目台账里"))</f>
        <v/>
      </c>
      <c r="K708" s="13" t="n"/>
    </row>
    <row r="709">
      <c r="A709" s="17">
        <f>IF($C709="","",ROW()-3)</f>
        <v/>
      </c>
      <c r="B709" s="18" t="n"/>
      <c r="C709" s="13" t="n"/>
      <c r="D709" s="13" t="n"/>
      <c r="E709" s="13" t="n"/>
      <c r="F709" s="13" t="n"/>
      <c r="G709" s="20" t="n"/>
      <c r="H709" s="14" t="n"/>
      <c r="I709" s="19">
        <f>IF($C709="","",ROUND(IF($G709="",1,$G709)*N($H709),2))</f>
        <v/>
      </c>
      <c r="J709" s="17">
        <f>IF($C709="","",IFERROR(VLOOKUP($C709,项目台账!$B:$C,2,0),"※项目不在项目台账里"))</f>
        <v/>
      </c>
      <c r="K709" s="13" t="n"/>
    </row>
    <row r="710">
      <c r="A710" s="17">
        <f>IF($C710="","",ROW()-3)</f>
        <v/>
      </c>
      <c r="B710" s="18" t="n"/>
      <c r="C710" s="13" t="n"/>
      <c r="D710" s="13" t="n"/>
      <c r="E710" s="13" t="n"/>
      <c r="F710" s="13" t="n"/>
      <c r="G710" s="20" t="n"/>
      <c r="H710" s="14" t="n"/>
      <c r="I710" s="19">
        <f>IF($C710="","",ROUND(IF($G710="",1,$G710)*N($H710),2))</f>
        <v/>
      </c>
      <c r="J710" s="17">
        <f>IF($C710="","",IFERROR(VLOOKUP($C710,项目台账!$B:$C,2,0),"※项目不在项目台账里"))</f>
        <v/>
      </c>
      <c r="K710" s="13" t="n"/>
    </row>
    <row r="711">
      <c r="A711" s="17">
        <f>IF($C711="","",ROW()-3)</f>
        <v/>
      </c>
      <c r="B711" s="18" t="n"/>
      <c r="C711" s="13" t="n"/>
      <c r="D711" s="13" t="n"/>
      <c r="E711" s="13" t="n"/>
      <c r="F711" s="13" t="n"/>
      <c r="G711" s="20" t="n"/>
      <c r="H711" s="14" t="n"/>
      <c r="I711" s="19">
        <f>IF($C711="","",ROUND(IF($G711="",1,$G711)*N($H711),2))</f>
        <v/>
      </c>
      <c r="J711" s="17">
        <f>IF($C711="","",IFERROR(VLOOKUP($C711,项目台账!$B:$C,2,0),"※项目不在项目台账里"))</f>
        <v/>
      </c>
      <c r="K711" s="13" t="n"/>
    </row>
    <row r="712">
      <c r="A712" s="17">
        <f>IF($C712="","",ROW()-3)</f>
        <v/>
      </c>
      <c r="B712" s="18" t="n"/>
      <c r="C712" s="13" t="n"/>
      <c r="D712" s="13" t="n"/>
      <c r="E712" s="13" t="n"/>
      <c r="F712" s="13" t="n"/>
      <c r="G712" s="20" t="n"/>
      <c r="H712" s="14" t="n"/>
      <c r="I712" s="19">
        <f>IF($C712="","",ROUND(IF($G712="",1,$G712)*N($H712),2))</f>
        <v/>
      </c>
      <c r="J712" s="17">
        <f>IF($C712="","",IFERROR(VLOOKUP($C712,项目台账!$B:$C,2,0),"※项目不在项目台账里"))</f>
        <v/>
      </c>
      <c r="K712" s="13" t="n"/>
    </row>
    <row r="713">
      <c r="A713" s="17">
        <f>IF($C713="","",ROW()-3)</f>
        <v/>
      </c>
      <c r="B713" s="18" t="n"/>
      <c r="C713" s="13" t="n"/>
      <c r="D713" s="13" t="n"/>
      <c r="E713" s="13" t="n"/>
      <c r="F713" s="13" t="n"/>
      <c r="G713" s="20" t="n"/>
      <c r="H713" s="14" t="n"/>
      <c r="I713" s="19">
        <f>IF($C713="","",ROUND(IF($G713="",1,$G713)*N($H713),2))</f>
        <v/>
      </c>
      <c r="J713" s="17">
        <f>IF($C713="","",IFERROR(VLOOKUP($C713,项目台账!$B:$C,2,0),"※项目不在项目台账里"))</f>
        <v/>
      </c>
      <c r="K713" s="13" t="n"/>
    </row>
    <row r="714">
      <c r="A714" s="17">
        <f>IF($C714="","",ROW()-3)</f>
        <v/>
      </c>
      <c r="B714" s="18" t="n"/>
      <c r="C714" s="13" t="n"/>
      <c r="D714" s="13" t="n"/>
      <c r="E714" s="13" t="n"/>
      <c r="F714" s="13" t="n"/>
      <c r="G714" s="20" t="n"/>
      <c r="H714" s="14" t="n"/>
      <c r="I714" s="19">
        <f>IF($C714="","",ROUND(IF($G714="",1,$G714)*N($H714),2))</f>
        <v/>
      </c>
      <c r="J714" s="17">
        <f>IF($C714="","",IFERROR(VLOOKUP($C714,项目台账!$B:$C,2,0),"※项目不在项目台账里"))</f>
        <v/>
      </c>
      <c r="K714" s="13" t="n"/>
    </row>
    <row r="715">
      <c r="A715" s="17">
        <f>IF($C715="","",ROW()-3)</f>
        <v/>
      </c>
      <c r="B715" s="18" t="n"/>
      <c r="C715" s="13" t="n"/>
      <c r="D715" s="13" t="n"/>
      <c r="E715" s="13" t="n"/>
      <c r="F715" s="13" t="n"/>
      <c r="G715" s="20" t="n"/>
      <c r="H715" s="14" t="n"/>
      <c r="I715" s="19">
        <f>IF($C715="","",ROUND(IF($G715="",1,$G715)*N($H715),2))</f>
        <v/>
      </c>
      <c r="J715" s="17">
        <f>IF($C715="","",IFERROR(VLOOKUP($C715,项目台账!$B:$C,2,0),"※项目不在项目台账里"))</f>
        <v/>
      </c>
      <c r="K715" s="13" t="n"/>
    </row>
    <row r="716">
      <c r="A716" s="17">
        <f>IF($C716="","",ROW()-3)</f>
        <v/>
      </c>
      <c r="B716" s="18" t="n"/>
      <c r="C716" s="13" t="n"/>
      <c r="D716" s="13" t="n"/>
      <c r="E716" s="13" t="n"/>
      <c r="F716" s="13" t="n"/>
      <c r="G716" s="20" t="n"/>
      <c r="H716" s="14" t="n"/>
      <c r="I716" s="19">
        <f>IF($C716="","",ROUND(IF($G716="",1,$G716)*N($H716),2))</f>
        <v/>
      </c>
      <c r="J716" s="17">
        <f>IF($C716="","",IFERROR(VLOOKUP($C716,项目台账!$B:$C,2,0),"※项目不在项目台账里"))</f>
        <v/>
      </c>
      <c r="K716" s="13" t="n"/>
    </row>
    <row r="717">
      <c r="A717" s="17">
        <f>IF($C717="","",ROW()-3)</f>
        <v/>
      </c>
      <c r="B717" s="18" t="n"/>
      <c r="C717" s="13" t="n"/>
      <c r="D717" s="13" t="n"/>
      <c r="E717" s="13" t="n"/>
      <c r="F717" s="13" t="n"/>
      <c r="G717" s="20" t="n"/>
      <c r="H717" s="14" t="n"/>
      <c r="I717" s="19">
        <f>IF($C717="","",ROUND(IF($G717="",1,$G717)*N($H717),2))</f>
        <v/>
      </c>
      <c r="J717" s="17">
        <f>IF($C717="","",IFERROR(VLOOKUP($C717,项目台账!$B:$C,2,0),"※项目不在项目台账里"))</f>
        <v/>
      </c>
      <c r="K717" s="13" t="n"/>
    </row>
    <row r="718">
      <c r="A718" s="17">
        <f>IF($C718="","",ROW()-3)</f>
        <v/>
      </c>
      <c r="B718" s="18" t="n"/>
      <c r="C718" s="13" t="n"/>
      <c r="D718" s="13" t="n"/>
      <c r="E718" s="13" t="n"/>
      <c r="F718" s="13" t="n"/>
      <c r="G718" s="20" t="n"/>
      <c r="H718" s="14" t="n"/>
      <c r="I718" s="19">
        <f>IF($C718="","",ROUND(IF($G718="",1,$G718)*N($H718),2))</f>
        <v/>
      </c>
      <c r="J718" s="17">
        <f>IF($C718="","",IFERROR(VLOOKUP($C718,项目台账!$B:$C,2,0),"※项目不在项目台账里"))</f>
        <v/>
      </c>
      <c r="K718" s="13" t="n"/>
    </row>
    <row r="719">
      <c r="A719" s="17">
        <f>IF($C719="","",ROW()-3)</f>
        <v/>
      </c>
      <c r="B719" s="18" t="n"/>
      <c r="C719" s="13" t="n"/>
      <c r="D719" s="13" t="n"/>
      <c r="E719" s="13" t="n"/>
      <c r="F719" s="13" t="n"/>
      <c r="G719" s="20" t="n"/>
      <c r="H719" s="14" t="n"/>
      <c r="I719" s="19">
        <f>IF($C719="","",ROUND(IF($G719="",1,$G719)*N($H719),2))</f>
        <v/>
      </c>
      <c r="J719" s="17">
        <f>IF($C719="","",IFERROR(VLOOKUP($C719,项目台账!$B:$C,2,0),"※项目不在项目台账里"))</f>
        <v/>
      </c>
      <c r="K719" s="13" t="n"/>
    </row>
    <row r="720">
      <c r="A720" s="17">
        <f>IF($C720="","",ROW()-3)</f>
        <v/>
      </c>
      <c r="B720" s="18" t="n"/>
      <c r="C720" s="13" t="n"/>
      <c r="D720" s="13" t="n"/>
      <c r="E720" s="13" t="n"/>
      <c r="F720" s="13" t="n"/>
      <c r="G720" s="20" t="n"/>
      <c r="H720" s="14" t="n"/>
      <c r="I720" s="19">
        <f>IF($C720="","",ROUND(IF($G720="",1,$G720)*N($H720),2))</f>
        <v/>
      </c>
      <c r="J720" s="17">
        <f>IF($C720="","",IFERROR(VLOOKUP($C720,项目台账!$B:$C,2,0),"※项目不在项目台账里"))</f>
        <v/>
      </c>
      <c r="K720" s="13" t="n"/>
    </row>
    <row r="721">
      <c r="A721" s="17">
        <f>IF($C721="","",ROW()-3)</f>
        <v/>
      </c>
      <c r="B721" s="18" t="n"/>
      <c r="C721" s="13" t="n"/>
      <c r="D721" s="13" t="n"/>
      <c r="E721" s="13" t="n"/>
      <c r="F721" s="13" t="n"/>
      <c r="G721" s="20" t="n"/>
      <c r="H721" s="14" t="n"/>
      <c r="I721" s="19">
        <f>IF($C721="","",ROUND(IF($G721="",1,$G721)*N($H721),2))</f>
        <v/>
      </c>
      <c r="J721" s="17">
        <f>IF($C721="","",IFERROR(VLOOKUP($C721,项目台账!$B:$C,2,0),"※项目不在项目台账里"))</f>
        <v/>
      </c>
      <c r="K721" s="13" t="n"/>
    </row>
    <row r="722">
      <c r="A722" s="17">
        <f>IF($C722="","",ROW()-3)</f>
        <v/>
      </c>
      <c r="B722" s="18" t="n"/>
      <c r="C722" s="13" t="n"/>
      <c r="D722" s="13" t="n"/>
      <c r="E722" s="13" t="n"/>
      <c r="F722" s="13" t="n"/>
      <c r="G722" s="20" t="n"/>
      <c r="H722" s="14" t="n"/>
      <c r="I722" s="19">
        <f>IF($C722="","",ROUND(IF($G722="",1,$G722)*N($H722),2))</f>
        <v/>
      </c>
      <c r="J722" s="17">
        <f>IF($C722="","",IFERROR(VLOOKUP($C722,项目台账!$B:$C,2,0),"※项目不在项目台账里"))</f>
        <v/>
      </c>
      <c r="K722" s="13" t="n"/>
    </row>
    <row r="723">
      <c r="A723" s="17">
        <f>IF($C723="","",ROW()-3)</f>
        <v/>
      </c>
      <c r="B723" s="18" t="n"/>
      <c r="C723" s="13" t="n"/>
      <c r="D723" s="13" t="n"/>
      <c r="E723" s="13" t="n"/>
      <c r="F723" s="13" t="n"/>
      <c r="G723" s="20" t="n"/>
      <c r="H723" s="14" t="n"/>
      <c r="I723" s="19">
        <f>IF($C723="","",ROUND(IF($G723="",1,$G723)*N($H723),2))</f>
        <v/>
      </c>
      <c r="J723" s="17">
        <f>IF($C723="","",IFERROR(VLOOKUP($C723,项目台账!$B:$C,2,0),"※项目不在项目台账里"))</f>
        <v/>
      </c>
      <c r="K723" s="13" t="n"/>
    </row>
    <row r="724">
      <c r="A724" s="17">
        <f>IF($C724="","",ROW()-3)</f>
        <v/>
      </c>
      <c r="B724" s="18" t="n"/>
      <c r="C724" s="13" t="n"/>
      <c r="D724" s="13" t="n"/>
      <c r="E724" s="13" t="n"/>
      <c r="F724" s="13" t="n"/>
      <c r="G724" s="20" t="n"/>
      <c r="H724" s="14" t="n"/>
      <c r="I724" s="19">
        <f>IF($C724="","",ROUND(IF($G724="",1,$G724)*N($H724),2))</f>
        <v/>
      </c>
      <c r="J724" s="17">
        <f>IF($C724="","",IFERROR(VLOOKUP($C724,项目台账!$B:$C,2,0),"※项目不在项目台账里"))</f>
        <v/>
      </c>
      <c r="K724" s="13" t="n"/>
    </row>
    <row r="725">
      <c r="A725" s="17">
        <f>IF($C725="","",ROW()-3)</f>
        <v/>
      </c>
      <c r="B725" s="18" t="n"/>
      <c r="C725" s="13" t="n"/>
      <c r="D725" s="13" t="n"/>
      <c r="E725" s="13" t="n"/>
      <c r="F725" s="13" t="n"/>
      <c r="G725" s="20" t="n"/>
      <c r="H725" s="14" t="n"/>
      <c r="I725" s="19">
        <f>IF($C725="","",ROUND(IF($G725="",1,$G725)*N($H725),2))</f>
        <v/>
      </c>
      <c r="J725" s="17">
        <f>IF($C725="","",IFERROR(VLOOKUP($C725,项目台账!$B:$C,2,0),"※项目不在项目台账里"))</f>
        <v/>
      </c>
      <c r="K725" s="13" t="n"/>
    </row>
    <row r="726">
      <c r="A726" s="17">
        <f>IF($C726="","",ROW()-3)</f>
        <v/>
      </c>
      <c r="B726" s="18" t="n"/>
      <c r="C726" s="13" t="n"/>
      <c r="D726" s="13" t="n"/>
      <c r="E726" s="13" t="n"/>
      <c r="F726" s="13" t="n"/>
      <c r="G726" s="20" t="n"/>
      <c r="H726" s="14" t="n"/>
      <c r="I726" s="19">
        <f>IF($C726="","",ROUND(IF($G726="",1,$G726)*N($H726),2))</f>
        <v/>
      </c>
      <c r="J726" s="17">
        <f>IF($C726="","",IFERROR(VLOOKUP($C726,项目台账!$B:$C,2,0),"※项目不在项目台账里"))</f>
        <v/>
      </c>
      <c r="K726" s="13" t="n"/>
    </row>
    <row r="727">
      <c r="A727" s="17">
        <f>IF($C727="","",ROW()-3)</f>
        <v/>
      </c>
      <c r="B727" s="18" t="n"/>
      <c r="C727" s="13" t="n"/>
      <c r="D727" s="13" t="n"/>
      <c r="E727" s="13" t="n"/>
      <c r="F727" s="13" t="n"/>
      <c r="G727" s="20" t="n"/>
      <c r="H727" s="14" t="n"/>
      <c r="I727" s="19">
        <f>IF($C727="","",ROUND(IF($G727="",1,$G727)*N($H727),2))</f>
        <v/>
      </c>
      <c r="J727" s="17">
        <f>IF($C727="","",IFERROR(VLOOKUP($C727,项目台账!$B:$C,2,0),"※项目不在项目台账里"))</f>
        <v/>
      </c>
      <c r="K727" s="13" t="n"/>
    </row>
    <row r="728">
      <c r="A728" s="17">
        <f>IF($C728="","",ROW()-3)</f>
        <v/>
      </c>
      <c r="B728" s="18" t="n"/>
      <c r="C728" s="13" t="n"/>
      <c r="D728" s="13" t="n"/>
      <c r="E728" s="13" t="n"/>
      <c r="F728" s="13" t="n"/>
      <c r="G728" s="20" t="n"/>
      <c r="H728" s="14" t="n"/>
      <c r="I728" s="19">
        <f>IF($C728="","",ROUND(IF($G728="",1,$G728)*N($H728),2))</f>
        <v/>
      </c>
      <c r="J728" s="17">
        <f>IF($C728="","",IFERROR(VLOOKUP($C728,项目台账!$B:$C,2,0),"※项目不在项目台账里"))</f>
        <v/>
      </c>
      <c r="K728" s="13" t="n"/>
    </row>
    <row r="729">
      <c r="A729" s="17">
        <f>IF($C729="","",ROW()-3)</f>
        <v/>
      </c>
      <c r="B729" s="18" t="n"/>
      <c r="C729" s="13" t="n"/>
      <c r="D729" s="13" t="n"/>
      <c r="E729" s="13" t="n"/>
      <c r="F729" s="13" t="n"/>
      <c r="G729" s="20" t="n"/>
      <c r="H729" s="14" t="n"/>
      <c r="I729" s="19">
        <f>IF($C729="","",ROUND(IF($G729="",1,$G729)*N($H729),2))</f>
        <v/>
      </c>
      <c r="J729" s="17">
        <f>IF($C729="","",IFERROR(VLOOKUP($C729,项目台账!$B:$C,2,0),"※项目不在项目台账里"))</f>
        <v/>
      </c>
      <c r="K729" s="13" t="n"/>
    </row>
    <row r="730">
      <c r="A730" s="17">
        <f>IF($C730="","",ROW()-3)</f>
        <v/>
      </c>
      <c r="B730" s="18" t="n"/>
      <c r="C730" s="13" t="n"/>
      <c r="D730" s="13" t="n"/>
      <c r="E730" s="13" t="n"/>
      <c r="F730" s="13" t="n"/>
      <c r="G730" s="20" t="n"/>
      <c r="H730" s="14" t="n"/>
      <c r="I730" s="19">
        <f>IF($C730="","",ROUND(IF($G730="",1,$G730)*N($H730),2))</f>
        <v/>
      </c>
      <c r="J730" s="17">
        <f>IF($C730="","",IFERROR(VLOOKUP($C730,项目台账!$B:$C,2,0),"※项目不在项目台账里"))</f>
        <v/>
      </c>
      <c r="K730" s="13" t="n"/>
    </row>
    <row r="731">
      <c r="A731" s="17">
        <f>IF($C731="","",ROW()-3)</f>
        <v/>
      </c>
      <c r="B731" s="18" t="n"/>
      <c r="C731" s="13" t="n"/>
      <c r="D731" s="13" t="n"/>
      <c r="E731" s="13" t="n"/>
      <c r="F731" s="13" t="n"/>
      <c r="G731" s="20" t="n"/>
      <c r="H731" s="14" t="n"/>
      <c r="I731" s="19">
        <f>IF($C731="","",ROUND(IF($G731="",1,$G731)*N($H731),2))</f>
        <v/>
      </c>
      <c r="J731" s="17">
        <f>IF($C731="","",IFERROR(VLOOKUP($C731,项目台账!$B:$C,2,0),"※项目不在项目台账里"))</f>
        <v/>
      </c>
      <c r="K731" s="13" t="n"/>
    </row>
    <row r="732">
      <c r="A732" s="17">
        <f>IF($C732="","",ROW()-3)</f>
        <v/>
      </c>
      <c r="B732" s="18" t="n"/>
      <c r="C732" s="13" t="n"/>
      <c r="D732" s="13" t="n"/>
      <c r="E732" s="13" t="n"/>
      <c r="F732" s="13" t="n"/>
      <c r="G732" s="20" t="n"/>
      <c r="H732" s="14" t="n"/>
      <c r="I732" s="19">
        <f>IF($C732="","",ROUND(IF($G732="",1,$G732)*N($H732),2))</f>
        <v/>
      </c>
      <c r="J732" s="17">
        <f>IF($C732="","",IFERROR(VLOOKUP($C732,项目台账!$B:$C,2,0),"※项目不在项目台账里"))</f>
        <v/>
      </c>
      <c r="K732" s="13" t="n"/>
    </row>
    <row r="733">
      <c r="A733" s="17">
        <f>IF($C733="","",ROW()-3)</f>
        <v/>
      </c>
      <c r="B733" s="18" t="n"/>
      <c r="C733" s="13" t="n"/>
      <c r="D733" s="13" t="n"/>
      <c r="E733" s="13" t="n"/>
      <c r="F733" s="13" t="n"/>
      <c r="G733" s="20" t="n"/>
      <c r="H733" s="14" t="n"/>
      <c r="I733" s="19">
        <f>IF($C733="","",ROUND(IF($G733="",1,$G733)*N($H733),2))</f>
        <v/>
      </c>
      <c r="J733" s="17">
        <f>IF($C733="","",IFERROR(VLOOKUP($C733,项目台账!$B:$C,2,0),"※项目不在项目台账里"))</f>
        <v/>
      </c>
      <c r="K733" s="13" t="n"/>
    </row>
    <row r="734">
      <c r="A734" s="17">
        <f>IF($C734="","",ROW()-3)</f>
        <v/>
      </c>
      <c r="B734" s="18" t="n"/>
      <c r="C734" s="13" t="n"/>
      <c r="D734" s="13" t="n"/>
      <c r="E734" s="13" t="n"/>
      <c r="F734" s="13" t="n"/>
      <c r="G734" s="20" t="n"/>
      <c r="H734" s="14" t="n"/>
      <c r="I734" s="19">
        <f>IF($C734="","",ROUND(IF($G734="",1,$G734)*N($H734),2))</f>
        <v/>
      </c>
      <c r="J734" s="17">
        <f>IF($C734="","",IFERROR(VLOOKUP($C734,项目台账!$B:$C,2,0),"※项目不在项目台账里"))</f>
        <v/>
      </c>
      <c r="K734" s="13" t="n"/>
    </row>
    <row r="735">
      <c r="A735" s="17">
        <f>IF($C735="","",ROW()-3)</f>
        <v/>
      </c>
      <c r="B735" s="18" t="n"/>
      <c r="C735" s="13" t="n"/>
      <c r="D735" s="13" t="n"/>
      <c r="E735" s="13" t="n"/>
      <c r="F735" s="13" t="n"/>
      <c r="G735" s="20" t="n"/>
      <c r="H735" s="14" t="n"/>
      <c r="I735" s="19">
        <f>IF($C735="","",ROUND(IF($G735="",1,$G735)*N($H735),2))</f>
        <v/>
      </c>
      <c r="J735" s="17">
        <f>IF($C735="","",IFERROR(VLOOKUP($C735,项目台账!$B:$C,2,0),"※项目不在项目台账里"))</f>
        <v/>
      </c>
      <c r="K735" s="13" t="n"/>
    </row>
    <row r="736">
      <c r="A736" s="17">
        <f>IF($C736="","",ROW()-3)</f>
        <v/>
      </c>
      <c r="B736" s="18" t="n"/>
      <c r="C736" s="13" t="n"/>
      <c r="D736" s="13" t="n"/>
      <c r="E736" s="13" t="n"/>
      <c r="F736" s="13" t="n"/>
      <c r="G736" s="20" t="n"/>
      <c r="H736" s="14" t="n"/>
      <c r="I736" s="19">
        <f>IF($C736="","",ROUND(IF($G736="",1,$G736)*N($H736),2))</f>
        <v/>
      </c>
      <c r="J736" s="17">
        <f>IF($C736="","",IFERROR(VLOOKUP($C736,项目台账!$B:$C,2,0),"※项目不在项目台账里"))</f>
        <v/>
      </c>
      <c r="K736" s="13" t="n"/>
    </row>
    <row r="737">
      <c r="A737" s="17">
        <f>IF($C737="","",ROW()-3)</f>
        <v/>
      </c>
      <c r="B737" s="18" t="n"/>
      <c r="C737" s="13" t="n"/>
      <c r="D737" s="13" t="n"/>
      <c r="E737" s="13" t="n"/>
      <c r="F737" s="13" t="n"/>
      <c r="G737" s="20" t="n"/>
      <c r="H737" s="14" t="n"/>
      <c r="I737" s="19">
        <f>IF($C737="","",ROUND(IF($G737="",1,$G737)*N($H737),2))</f>
        <v/>
      </c>
      <c r="J737" s="17">
        <f>IF($C737="","",IFERROR(VLOOKUP($C737,项目台账!$B:$C,2,0),"※项目不在项目台账里"))</f>
        <v/>
      </c>
      <c r="K737" s="13" t="n"/>
    </row>
    <row r="738">
      <c r="A738" s="17">
        <f>IF($C738="","",ROW()-3)</f>
        <v/>
      </c>
      <c r="B738" s="18" t="n"/>
      <c r="C738" s="13" t="n"/>
      <c r="D738" s="13" t="n"/>
      <c r="E738" s="13" t="n"/>
      <c r="F738" s="13" t="n"/>
      <c r="G738" s="20" t="n"/>
      <c r="H738" s="14" t="n"/>
      <c r="I738" s="19">
        <f>IF($C738="","",ROUND(IF($G738="",1,$G738)*N($H738),2))</f>
        <v/>
      </c>
      <c r="J738" s="17">
        <f>IF($C738="","",IFERROR(VLOOKUP($C738,项目台账!$B:$C,2,0),"※项目不在项目台账里"))</f>
        <v/>
      </c>
      <c r="K738" s="13" t="n"/>
    </row>
    <row r="739">
      <c r="A739" s="17">
        <f>IF($C739="","",ROW()-3)</f>
        <v/>
      </c>
      <c r="B739" s="18" t="n"/>
      <c r="C739" s="13" t="n"/>
      <c r="D739" s="13" t="n"/>
      <c r="E739" s="13" t="n"/>
      <c r="F739" s="13" t="n"/>
      <c r="G739" s="20" t="n"/>
      <c r="H739" s="14" t="n"/>
      <c r="I739" s="19">
        <f>IF($C739="","",ROUND(IF($G739="",1,$G739)*N($H739),2))</f>
        <v/>
      </c>
      <c r="J739" s="17">
        <f>IF($C739="","",IFERROR(VLOOKUP($C739,项目台账!$B:$C,2,0),"※项目不在项目台账里"))</f>
        <v/>
      </c>
      <c r="K739" s="13" t="n"/>
    </row>
    <row r="740">
      <c r="A740" s="17">
        <f>IF($C740="","",ROW()-3)</f>
        <v/>
      </c>
      <c r="B740" s="18" t="n"/>
      <c r="C740" s="13" t="n"/>
      <c r="D740" s="13" t="n"/>
      <c r="E740" s="13" t="n"/>
      <c r="F740" s="13" t="n"/>
      <c r="G740" s="20" t="n"/>
      <c r="H740" s="14" t="n"/>
      <c r="I740" s="19">
        <f>IF($C740="","",ROUND(IF($G740="",1,$G740)*N($H740),2))</f>
        <v/>
      </c>
      <c r="J740" s="17">
        <f>IF($C740="","",IFERROR(VLOOKUP($C740,项目台账!$B:$C,2,0),"※项目不在项目台账里"))</f>
        <v/>
      </c>
      <c r="K740" s="13" t="n"/>
    </row>
    <row r="741">
      <c r="A741" s="17">
        <f>IF($C741="","",ROW()-3)</f>
        <v/>
      </c>
      <c r="B741" s="18" t="n"/>
      <c r="C741" s="13" t="n"/>
      <c r="D741" s="13" t="n"/>
      <c r="E741" s="13" t="n"/>
      <c r="F741" s="13" t="n"/>
      <c r="G741" s="20" t="n"/>
      <c r="H741" s="14" t="n"/>
      <c r="I741" s="19">
        <f>IF($C741="","",ROUND(IF($G741="",1,$G741)*N($H741),2))</f>
        <v/>
      </c>
      <c r="J741" s="17">
        <f>IF($C741="","",IFERROR(VLOOKUP($C741,项目台账!$B:$C,2,0),"※项目不在项目台账里"))</f>
        <v/>
      </c>
      <c r="K741" s="13" t="n"/>
    </row>
    <row r="742">
      <c r="A742" s="17">
        <f>IF($C742="","",ROW()-3)</f>
        <v/>
      </c>
      <c r="B742" s="18" t="n"/>
      <c r="C742" s="13" t="n"/>
      <c r="D742" s="13" t="n"/>
      <c r="E742" s="13" t="n"/>
      <c r="F742" s="13" t="n"/>
      <c r="G742" s="20" t="n"/>
      <c r="H742" s="14" t="n"/>
      <c r="I742" s="19">
        <f>IF($C742="","",ROUND(IF($G742="",1,$G742)*N($H742),2))</f>
        <v/>
      </c>
      <c r="J742" s="17">
        <f>IF($C742="","",IFERROR(VLOOKUP($C742,项目台账!$B:$C,2,0),"※项目不在项目台账里"))</f>
        <v/>
      </c>
      <c r="K742" s="13" t="n"/>
    </row>
    <row r="743">
      <c r="A743" s="17">
        <f>IF($C743="","",ROW()-3)</f>
        <v/>
      </c>
      <c r="B743" s="18" t="n"/>
      <c r="C743" s="13" t="n"/>
      <c r="D743" s="13" t="n"/>
      <c r="E743" s="13" t="n"/>
      <c r="F743" s="13" t="n"/>
      <c r="G743" s="20" t="n"/>
      <c r="H743" s="14" t="n"/>
      <c r="I743" s="19">
        <f>IF($C743="","",ROUND(IF($G743="",1,$G743)*N($H743),2))</f>
        <v/>
      </c>
      <c r="J743" s="17">
        <f>IF($C743="","",IFERROR(VLOOKUP($C743,项目台账!$B:$C,2,0),"※项目不在项目台账里"))</f>
        <v/>
      </c>
      <c r="K743" s="13" t="n"/>
    </row>
    <row r="744">
      <c r="A744" s="17">
        <f>IF($C744="","",ROW()-3)</f>
        <v/>
      </c>
      <c r="B744" s="18" t="n"/>
      <c r="C744" s="13" t="n"/>
      <c r="D744" s="13" t="n"/>
      <c r="E744" s="13" t="n"/>
      <c r="F744" s="13" t="n"/>
      <c r="G744" s="20" t="n"/>
      <c r="H744" s="14" t="n"/>
      <c r="I744" s="19">
        <f>IF($C744="","",ROUND(IF($G744="",1,$G744)*N($H744),2))</f>
        <v/>
      </c>
      <c r="J744" s="17">
        <f>IF($C744="","",IFERROR(VLOOKUP($C744,项目台账!$B:$C,2,0),"※项目不在项目台账里"))</f>
        <v/>
      </c>
      <c r="K744" s="13" t="n"/>
    </row>
    <row r="745">
      <c r="A745" s="17">
        <f>IF($C745="","",ROW()-3)</f>
        <v/>
      </c>
      <c r="B745" s="18" t="n"/>
      <c r="C745" s="13" t="n"/>
      <c r="D745" s="13" t="n"/>
      <c r="E745" s="13" t="n"/>
      <c r="F745" s="13" t="n"/>
      <c r="G745" s="20" t="n"/>
      <c r="H745" s="14" t="n"/>
      <c r="I745" s="19">
        <f>IF($C745="","",ROUND(IF($G745="",1,$G745)*N($H745),2))</f>
        <v/>
      </c>
      <c r="J745" s="17">
        <f>IF($C745="","",IFERROR(VLOOKUP($C745,项目台账!$B:$C,2,0),"※项目不在项目台账里"))</f>
        <v/>
      </c>
      <c r="K745" s="13" t="n"/>
    </row>
    <row r="746">
      <c r="A746" s="17">
        <f>IF($C746="","",ROW()-3)</f>
        <v/>
      </c>
      <c r="B746" s="18" t="n"/>
      <c r="C746" s="13" t="n"/>
      <c r="D746" s="13" t="n"/>
      <c r="E746" s="13" t="n"/>
      <c r="F746" s="13" t="n"/>
      <c r="G746" s="20" t="n"/>
      <c r="H746" s="14" t="n"/>
      <c r="I746" s="19">
        <f>IF($C746="","",ROUND(IF($G746="",1,$G746)*N($H746),2))</f>
        <v/>
      </c>
      <c r="J746" s="17">
        <f>IF($C746="","",IFERROR(VLOOKUP($C746,项目台账!$B:$C,2,0),"※项目不在项目台账里"))</f>
        <v/>
      </c>
      <c r="K746" s="13" t="n"/>
    </row>
    <row r="747">
      <c r="A747" s="17">
        <f>IF($C747="","",ROW()-3)</f>
        <v/>
      </c>
      <c r="B747" s="18" t="n"/>
      <c r="C747" s="13" t="n"/>
      <c r="D747" s="13" t="n"/>
      <c r="E747" s="13" t="n"/>
      <c r="F747" s="13" t="n"/>
      <c r="G747" s="20" t="n"/>
      <c r="H747" s="14" t="n"/>
      <c r="I747" s="19">
        <f>IF($C747="","",ROUND(IF($G747="",1,$G747)*N($H747),2))</f>
        <v/>
      </c>
      <c r="J747" s="17">
        <f>IF($C747="","",IFERROR(VLOOKUP($C747,项目台账!$B:$C,2,0),"※项目不在项目台账里"))</f>
        <v/>
      </c>
      <c r="K747" s="13" t="n"/>
    </row>
    <row r="748">
      <c r="A748" s="17">
        <f>IF($C748="","",ROW()-3)</f>
        <v/>
      </c>
      <c r="B748" s="18" t="n"/>
      <c r="C748" s="13" t="n"/>
      <c r="D748" s="13" t="n"/>
      <c r="E748" s="13" t="n"/>
      <c r="F748" s="13" t="n"/>
      <c r="G748" s="20" t="n"/>
      <c r="H748" s="14" t="n"/>
      <c r="I748" s="19">
        <f>IF($C748="","",ROUND(IF($G748="",1,$G748)*N($H748),2))</f>
        <v/>
      </c>
      <c r="J748" s="17">
        <f>IF($C748="","",IFERROR(VLOOKUP($C748,项目台账!$B:$C,2,0),"※项目不在项目台账里"))</f>
        <v/>
      </c>
      <c r="K748" s="13" t="n"/>
    </row>
    <row r="749">
      <c r="A749" s="17">
        <f>IF($C749="","",ROW()-3)</f>
        <v/>
      </c>
      <c r="B749" s="18" t="n"/>
      <c r="C749" s="13" t="n"/>
      <c r="D749" s="13" t="n"/>
      <c r="E749" s="13" t="n"/>
      <c r="F749" s="13" t="n"/>
      <c r="G749" s="20" t="n"/>
      <c r="H749" s="14" t="n"/>
      <c r="I749" s="19">
        <f>IF($C749="","",ROUND(IF($G749="",1,$G749)*N($H749),2))</f>
        <v/>
      </c>
      <c r="J749" s="17">
        <f>IF($C749="","",IFERROR(VLOOKUP($C749,项目台账!$B:$C,2,0),"※项目不在项目台账里"))</f>
        <v/>
      </c>
      <c r="K749" s="13" t="n"/>
    </row>
    <row r="750">
      <c r="A750" s="17">
        <f>IF($C750="","",ROW()-3)</f>
        <v/>
      </c>
      <c r="B750" s="18" t="n"/>
      <c r="C750" s="13" t="n"/>
      <c r="D750" s="13" t="n"/>
      <c r="E750" s="13" t="n"/>
      <c r="F750" s="13" t="n"/>
      <c r="G750" s="20" t="n"/>
      <c r="H750" s="14" t="n"/>
      <c r="I750" s="19">
        <f>IF($C750="","",ROUND(IF($G750="",1,$G750)*N($H750),2))</f>
        <v/>
      </c>
      <c r="J750" s="17">
        <f>IF($C750="","",IFERROR(VLOOKUP($C750,项目台账!$B:$C,2,0),"※项目不在项目台账里"))</f>
        <v/>
      </c>
      <c r="K750" s="13" t="n"/>
    </row>
    <row r="751">
      <c r="A751" s="17">
        <f>IF($C751="","",ROW()-3)</f>
        <v/>
      </c>
      <c r="B751" s="18" t="n"/>
      <c r="C751" s="13" t="n"/>
      <c r="D751" s="13" t="n"/>
      <c r="E751" s="13" t="n"/>
      <c r="F751" s="13" t="n"/>
      <c r="G751" s="20" t="n"/>
      <c r="H751" s="14" t="n"/>
      <c r="I751" s="19">
        <f>IF($C751="","",ROUND(IF($G751="",1,$G751)*N($H751),2))</f>
        <v/>
      </c>
      <c r="J751" s="17">
        <f>IF($C751="","",IFERROR(VLOOKUP($C751,项目台账!$B:$C,2,0),"※项目不在项目台账里"))</f>
        <v/>
      </c>
      <c r="K751" s="13" t="n"/>
    </row>
    <row r="752">
      <c r="A752" s="17">
        <f>IF($C752="","",ROW()-3)</f>
        <v/>
      </c>
      <c r="B752" s="18" t="n"/>
      <c r="C752" s="13" t="n"/>
      <c r="D752" s="13" t="n"/>
      <c r="E752" s="13" t="n"/>
      <c r="F752" s="13" t="n"/>
      <c r="G752" s="20" t="n"/>
      <c r="H752" s="14" t="n"/>
      <c r="I752" s="19">
        <f>IF($C752="","",ROUND(IF($G752="",1,$G752)*N($H752),2))</f>
        <v/>
      </c>
      <c r="J752" s="17">
        <f>IF($C752="","",IFERROR(VLOOKUP($C752,项目台账!$B:$C,2,0),"※项目不在项目台账里"))</f>
        <v/>
      </c>
      <c r="K752" s="13" t="n"/>
    </row>
    <row r="753">
      <c r="A753" s="17">
        <f>IF($C753="","",ROW()-3)</f>
        <v/>
      </c>
      <c r="B753" s="18" t="n"/>
      <c r="C753" s="13" t="n"/>
      <c r="D753" s="13" t="n"/>
      <c r="E753" s="13" t="n"/>
      <c r="F753" s="13" t="n"/>
      <c r="G753" s="20" t="n"/>
      <c r="H753" s="14" t="n"/>
      <c r="I753" s="19">
        <f>IF($C753="","",ROUND(IF($G753="",1,$G753)*N($H753),2))</f>
        <v/>
      </c>
      <c r="J753" s="17">
        <f>IF($C753="","",IFERROR(VLOOKUP($C753,项目台账!$B:$C,2,0),"※项目不在项目台账里"))</f>
        <v/>
      </c>
      <c r="K753" s="13" t="n"/>
    </row>
    <row r="754">
      <c r="A754" s="17">
        <f>IF($C754="","",ROW()-3)</f>
        <v/>
      </c>
      <c r="B754" s="18" t="n"/>
      <c r="C754" s="13" t="n"/>
      <c r="D754" s="13" t="n"/>
      <c r="E754" s="13" t="n"/>
      <c r="F754" s="13" t="n"/>
      <c r="G754" s="20" t="n"/>
      <c r="H754" s="14" t="n"/>
      <c r="I754" s="19">
        <f>IF($C754="","",ROUND(IF($G754="",1,$G754)*N($H754),2))</f>
        <v/>
      </c>
      <c r="J754" s="17">
        <f>IF($C754="","",IFERROR(VLOOKUP($C754,项目台账!$B:$C,2,0),"※项目不在项目台账里"))</f>
        <v/>
      </c>
      <c r="K754" s="13" t="n"/>
    </row>
    <row r="755">
      <c r="A755" s="17">
        <f>IF($C755="","",ROW()-3)</f>
        <v/>
      </c>
      <c r="B755" s="18" t="n"/>
      <c r="C755" s="13" t="n"/>
      <c r="D755" s="13" t="n"/>
      <c r="E755" s="13" t="n"/>
      <c r="F755" s="13" t="n"/>
      <c r="G755" s="20" t="n"/>
      <c r="H755" s="14" t="n"/>
      <c r="I755" s="19">
        <f>IF($C755="","",ROUND(IF($G755="",1,$G755)*N($H755),2))</f>
        <v/>
      </c>
      <c r="J755" s="17">
        <f>IF($C755="","",IFERROR(VLOOKUP($C755,项目台账!$B:$C,2,0),"※项目不在项目台账里"))</f>
        <v/>
      </c>
      <c r="K755" s="13" t="n"/>
    </row>
    <row r="756">
      <c r="A756" s="17">
        <f>IF($C756="","",ROW()-3)</f>
        <v/>
      </c>
      <c r="B756" s="18" t="n"/>
      <c r="C756" s="13" t="n"/>
      <c r="D756" s="13" t="n"/>
      <c r="E756" s="13" t="n"/>
      <c r="F756" s="13" t="n"/>
      <c r="G756" s="20" t="n"/>
      <c r="H756" s="14" t="n"/>
      <c r="I756" s="19">
        <f>IF($C756="","",ROUND(IF($G756="",1,$G756)*N($H756),2))</f>
        <v/>
      </c>
      <c r="J756" s="17">
        <f>IF($C756="","",IFERROR(VLOOKUP($C756,项目台账!$B:$C,2,0),"※项目不在项目台账里"))</f>
        <v/>
      </c>
      <c r="K756" s="13" t="n"/>
    </row>
    <row r="757">
      <c r="A757" s="17">
        <f>IF($C757="","",ROW()-3)</f>
        <v/>
      </c>
      <c r="B757" s="18" t="n"/>
      <c r="C757" s="13" t="n"/>
      <c r="D757" s="13" t="n"/>
      <c r="E757" s="13" t="n"/>
      <c r="F757" s="13" t="n"/>
      <c r="G757" s="20" t="n"/>
      <c r="H757" s="14" t="n"/>
      <c r="I757" s="19">
        <f>IF($C757="","",ROUND(IF($G757="",1,$G757)*N($H757),2))</f>
        <v/>
      </c>
      <c r="J757" s="17">
        <f>IF($C757="","",IFERROR(VLOOKUP($C757,项目台账!$B:$C,2,0),"※项目不在项目台账里"))</f>
        <v/>
      </c>
      <c r="K757" s="13" t="n"/>
    </row>
    <row r="758">
      <c r="A758" s="17">
        <f>IF($C758="","",ROW()-3)</f>
        <v/>
      </c>
      <c r="B758" s="18" t="n"/>
      <c r="C758" s="13" t="n"/>
      <c r="D758" s="13" t="n"/>
      <c r="E758" s="13" t="n"/>
      <c r="F758" s="13" t="n"/>
      <c r="G758" s="20" t="n"/>
      <c r="H758" s="14" t="n"/>
      <c r="I758" s="19">
        <f>IF($C758="","",ROUND(IF($G758="",1,$G758)*N($H758),2))</f>
        <v/>
      </c>
      <c r="J758" s="17">
        <f>IF($C758="","",IFERROR(VLOOKUP($C758,项目台账!$B:$C,2,0),"※项目不在项目台账里"))</f>
        <v/>
      </c>
      <c r="K758" s="13" t="n"/>
    </row>
    <row r="759">
      <c r="A759" s="17">
        <f>IF($C759="","",ROW()-3)</f>
        <v/>
      </c>
      <c r="B759" s="18" t="n"/>
      <c r="C759" s="13" t="n"/>
      <c r="D759" s="13" t="n"/>
      <c r="E759" s="13" t="n"/>
      <c r="F759" s="13" t="n"/>
      <c r="G759" s="20" t="n"/>
      <c r="H759" s="14" t="n"/>
      <c r="I759" s="19">
        <f>IF($C759="","",ROUND(IF($G759="",1,$G759)*N($H759),2))</f>
        <v/>
      </c>
      <c r="J759" s="17">
        <f>IF($C759="","",IFERROR(VLOOKUP($C759,项目台账!$B:$C,2,0),"※项目不在项目台账里"))</f>
        <v/>
      </c>
      <c r="K759" s="13" t="n"/>
    </row>
    <row r="760">
      <c r="A760" s="17">
        <f>IF($C760="","",ROW()-3)</f>
        <v/>
      </c>
      <c r="B760" s="18" t="n"/>
      <c r="C760" s="13" t="n"/>
      <c r="D760" s="13" t="n"/>
      <c r="E760" s="13" t="n"/>
      <c r="F760" s="13" t="n"/>
      <c r="G760" s="20" t="n"/>
      <c r="H760" s="14" t="n"/>
      <c r="I760" s="19">
        <f>IF($C760="","",ROUND(IF($G760="",1,$G760)*N($H760),2))</f>
        <v/>
      </c>
      <c r="J760" s="17">
        <f>IF($C760="","",IFERROR(VLOOKUP($C760,项目台账!$B:$C,2,0),"※项目不在项目台账里"))</f>
        <v/>
      </c>
      <c r="K760" s="13" t="n"/>
    </row>
    <row r="761">
      <c r="A761" s="17">
        <f>IF($C761="","",ROW()-3)</f>
        <v/>
      </c>
      <c r="B761" s="18" t="n"/>
      <c r="C761" s="13" t="n"/>
      <c r="D761" s="13" t="n"/>
      <c r="E761" s="13" t="n"/>
      <c r="F761" s="13" t="n"/>
      <c r="G761" s="20" t="n"/>
      <c r="H761" s="14" t="n"/>
      <c r="I761" s="19">
        <f>IF($C761="","",ROUND(IF($G761="",1,$G761)*N($H761),2))</f>
        <v/>
      </c>
      <c r="J761" s="17">
        <f>IF($C761="","",IFERROR(VLOOKUP($C761,项目台账!$B:$C,2,0),"※项目不在项目台账里"))</f>
        <v/>
      </c>
      <c r="K761" s="13" t="n"/>
    </row>
    <row r="762">
      <c r="A762" s="17">
        <f>IF($C762="","",ROW()-3)</f>
        <v/>
      </c>
      <c r="B762" s="18" t="n"/>
      <c r="C762" s="13" t="n"/>
      <c r="D762" s="13" t="n"/>
      <c r="E762" s="13" t="n"/>
      <c r="F762" s="13" t="n"/>
      <c r="G762" s="20" t="n"/>
      <c r="H762" s="14" t="n"/>
      <c r="I762" s="19">
        <f>IF($C762="","",ROUND(IF($G762="",1,$G762)*N($H762),2))</f>
        <v/>
      </c>
      <c r="J762" s="17">
        <f>IF($C762="","",IFERROR(VLOOKUP($C762,项目台账!$B:$C,2,0),"※项目不在项目台账里"))</f>
        <v/>
      </c>
      <c r="K762" s="13" t="n"/>
    </row>
    <row r="763">
      <c r="A763" s="17">
        <f>IF($C763="","",ROW()-3)</f>
        <v/>
      </c>
      <c r="B763" s="18" t="n"/>
      <c r="C763" s="13" t="n"/>
      <c r="D763" s="13" t="n"/>
      <c r="E763" s="13" t="n"/>
      <c r="F763" s="13" t="n"/>
      <c r="G763" s="20" t="n"/>
      <c r="H763" s="14" t="n"/>
      <c r="I763" s="19">
        <f>IF($C763="","",ROUND(IF($G763="",1,$G763)*N($H763),2))</f>
        <v/>
      </c>
      <c r="J763" s="17">
        <f>IF($C763="","",IFERROR(VLOOKUP($C763,项目台账!$B:$C,2,0),"※项目不在项目台账里"))</f>
        <v/>
      </c>
      <c r="K763" s="13" t="n"/>
    </row>
    <row r="764">
      <c r="A764" s="17">
        <f>IF($C764="","",ROW()-3)</f>
        <v/>
      </c>
      <c r="B764" s="18" t="n"/>
      <c r="C764" s="13" t="n"/>
      <c r="D764" s="13" t="n"/>
      <c r="E764" s="13" t="n"/>
      <c r="F764" s="13" t="n"/>
      <c r="G764" s="20" t="n"/>
      <c r="H764" s="14" t="n"/>
      <c r="I764" s="19">
        <f>IF($C764="","",ROUND(IF($G764="",1,$G764)*N($H764),2))</f>
        <v/>
      </c>
      <c r="J764" s="17">
        <f>IF($C764="","",IFERROR(VLOOKUP($C764,项目台账!$B:$C,2,0),"※项目不在项目台账里"))</f>
        <v/>
      </c>
      <c r="K764" s="13" t="n"/>
    </row>
    <row r="765">
      <c r="A765" s="17">
        <f>IF($C765="","",ROW()-3)</f>
        <v/>
      </c>
      <c r="B765" s="18" t="n"/>
      <c r="C765" s="13" t="n"/>
      <c r="D765" s="13" t="n"/>
      <c r="E765" s="13" t="n"/>
      <c r="F765" s="13" t="n"/>
      <c r="G765" s="20" t="n"/>
      <c r="H765" s="14" t="n"/>
      <c r="I765" s="19">
        <f>IF($C765="","",ROUND(IF($G765="",1,$G765)*N($H765),2))</f>
        <v/>
      </c>
      <c r="J765" s="17">
        <f>IF($C765="","",IFERROR(VLOOKUP($C765,项目台账!$B:$C,2,0),"※项目不在项目台账里"))</f>
        <v/>
      </c>
      <c r="K765" s="13" t="n"/>
    </row>
    <row r="766">
      <c r="A766" s="17">
        <f>IF($C766="","",ROW()-3)</f>
        <v/>
      </c>
      <c r="B766" s="18" t="n"/>
      <c r="C766" s="13" t="n"/>
      <c r="D766" s="13" t="n"/>
      <c r="E766" s="13" t="n"/>
      <c r="F766" s="13" t="n"/>
      <c r="G766" s="20" t="n"/>
      <c r="H766" s="14" t="n"/>
      <c r="I766" s="19">
        <f>IF($C766="","",ROUND(IF($G766="",1,$G766)*N($H766),2))</f>
        <v/>
      </c>
      <c r="J766" s="17">
        <f>IF($C766="","",IFERROR(VLOOKUP($C766,项目台账!$B:$C,2,0),"※项目不在项目台账里"))</f>
        <v/>
      </c>
      <c r="K766" s="13" t="n"/>
    </row>
    <row r="767">
      <c r="A767" s="17">
        <f>IF($C767="","",ROW()-3)</f>
        <v/>
      </c>
      <c r="B767" s="18" t="n"/>
      <c r="C767" s="13" t="n"/>
      <c r="D767" s="13" t="n"/>
      <c r="E767" s="13" t="n"/>
      <c r="F767" s="13" t="n"/>
      <c r="G767" s="20" t="n"/>
      <c r="H767" s="14" t="n"/>
      <c r="I767" s="19">
        <f>IF($C767="","",ROUND(IF($G767="",1,$G767)*N($H767),2))</f>
        <v/>
      </c>
      <c r="J767" s="17">
        <f>IF($C767="","",IFERROR(VLOOKUP($C767,项目台账!$B:$C,2,0),"※项目不在项目台账里"))</f>
        <v/>
      </c>
      <c r="K767" s="13" t="n"/>
    </row>
    <row r="768">
      <c r="A768" s="17">
        <f>IF($C768="","",ROW()-3)</f>
        <v/>
      </c>
      <c r="B768" s="18" t="n"/>
      <c r="C768" s="13" t="n"/>
      <c r="D768" s="13" t="n"/>
      <c r="E768" s="13" t="n"/>
      <c r="F768" s="13" t="n"/>
      <c r="G768" s="20" t="n"/>
      <c r="H768" s="14" t="n"/>
      <c r="I768" s="19">
        <f>IF($C768="","",ROUND(IF($G768="",1,$G768)*N($H768),2))</f>
        <v/>
      </c>
      <c r="J768" s="17">
        <f>IF($C768="","",IFERROR(VLOOKUP($C768,项目台账!$B:$C,2,0),"※项目不在项目台账里"))</f>
        <v/>
      </c>
      <c r="K768" s="13" t="n"/>
    </row>
    <row r="769">
      <c r="A769" s="17">
        <f>IF($C769="","",ROW()-3)</f>
        <v/>
      </c>
      <c r="B769" s="18" t="n"/>
      <c r="C769" s="13" t="n"/>
      <c r="D769" s="13" t="n"/>
      <c r="E769" s="13" t="n"/>
      <c r="F769" s="13" t="n"/>
      <c r="G769" s="20" t="n"/>
      <c r="H769" s="14" t="n"/>
      <c r="I769" s="19">
        <f>IF($C769="","",ROUND(IF($G769="",1,$G769)*N($H769),2))</f>
        <v/>
      </c>
      <c r="J769" s="17">
        <f>IF($C769="","",IFERROR(VLOOKUP($C769,项目台账!$B:$C,2,0),"※项目不在项目台账里"))</f>
        <v/>
      </c>
      <c r="K769" s="13" t="n"/>
    </row>
    <row r="770">
      <c r="A770" s="17">
        <f>IF($C770="","",ROW()-3)</f>
        <v/>
      </c>
      <c r="B770" s="18" t="n"/>
      <c r="C770" s="13" t="n"/>
      <c r="D770" s="13" t="n"/>
      <c r="E770" s="13" t="n"/>
      <c r="F770" s="13" t="n"/>
      <c r="G770" s="20" t="n"/>
      <c r="H770" s="14" t="n"/>
      <c r="I770" s="19">
        <f>IF($C770="","",ROUND(IF($G770="",1,$G770)*N($H770),2))</f>
        <v/>
      </c>
      <c r="J770" s="17">
        <f>IF($C770="","",IFERROR(VLOOKUP($C770,项目台账!$B:$C,2,0),"※项目不在项目台账里"))</f>
        <v/>
      </c>
      <c r="K770" s="13" t="n"/>
    </row>
    <row r="771">
      <c r="A771" s="17">
        <f>IF($C771="","",ROW()-3)</f>
        <v/>
      </c>
      <c r="B771" s="18" t="n"/>
      <c r="C771" s="13" t="n"/>
      <c r="D771" s="13" t="n"/>
      <c r="E771" s="13" t="n"/>
      <c r="F771" s="13" t="n"/>
      <c r="G771" s="20" t="n"/>
      <c r="H771" s="14" t="n"/>
      <c r="I771" s="19">
        <f>IF($C771="","",ROUND(IF($G771="",1,$G771)*N($H771),2))</f>
        <v/>
      </c>
      <c r="J771" s="17">
        <f>IF($C771="","",IFERROR(VLOOKUP($C771,项目台账!$B:$C,2,0),"※项目不在项目台账里"))</f>
        <v/>
      </c>
      <c r="K771" s="13" t="n"/>
    </row>
    <row r="772">
      <c r="A772" s="17">
        <f>IF($C772="","",ROW()-3)</f>
        <v/>
      </c>
      <c r="B772" s="18" t="n"/>
      <c r="C772" s="13" t="n"/>
      <c r="D772" s="13" t="n"/>
      <c r="E772" s="13" t="n"/>
      <c r="F772" s="13" t="n"/>
      <c r="G772" s="20" t="n"/>
      <c r="H772" s="14" t="n"/>
      <c r="I772" s="19">
        <f>IF($C772="","",ROUND(IF($G772="",1,$G772)*N($H772),2))</f>
        <v/>
      </c>
      <c r="J772" s="17">
        <f>IF($C772="","",IFERROR(VLOOKUP($C772,项目台账!$B:$C,2,0),"※项目不在项目台账里"))</f>
        <v/>
      </c>
      <c r="K772" s="13" t="n"/>
    </row>
    <row r="773">
      <c r="A773" s="17">
        <f>IF($C773="","",ROW()-3)</f>
        <v/>
      </c>
      <c r="B773" s="18" t="n"/>
      <c r="C773" s="13" t="n"/>
      <c r="D773" s="13" t="n"/>
      <c r="E773" s="13" t="n"/>
      <c r="F773" s="13" t="n"/>
      <c r="G773" s="20" t="n"/>
      <c r="H773" s="14" t="n"/>
      <c r="I773" s="19">
        <f>IF($C773="","",ROUND(IF($G773="",1,$G773)*N($H773),2))</f>
        <v/>
      </c>
      <c r="J773" s="17">
        <f>IF($C773="","",IFERROR(VLOOKUP($C773,项目台账!$B:$C,2,0),"※项目不在项目台账里"))</f>
        <v/>
      </c>
      <c r="K773" s="13" t="n"/>
    </row>
    <row r="774">
      <c r="A774" s="17">
        <f>IF($C774="","",ROW()-3)</f>
        <v/>
      </c>
      <c r="B774" s="18" t="n"/>
      <c r="C774" s="13" t="n"/>
      <c r="D774" s="13" t="n"/>
      <c r="E774" s="13" t="n"/>
      <c r="F774" s="13" t="n"/>
      <c r="G774" s="20" t="n"/>
      <c r="H774" s="14" t="n"/>
      <c r="I774" s="19">
        <f>IF($C774="","",ROUND(IF($G774="",1,$G774)*N($H774),2))</f>
        <v/>
      </c>
      <c r="J774" s="17">
        <f>IF($C774="","",IFERROR(VLOOKUP($C774,项目台账!$B:$C,2,0),"※项目不在项目台账里"))</f>
        <v/>
      </c>
      <c r="K774" s="13" t="n"/>
    </row>
    <row r="775">
      <c r="A775" s="17">
        <f>IF($C775="","",ROW()-3)</f>
        <v/>
      </c>
      <c r="B775" s="18" t="n"/>
      <c r="C775" s="13" t="n"/>
      <c r="D775" s="13" t="n"/>
      <c r="E775" s="13" t="n"/>
      <c r="F775" s="13" t="n"/>
      <c r="G775" s="20" t="n"/>
      <c r="H775" s="14" t="n"/>
      <c r="I775" s="19">
        <f>IF($C775="","",ROUND(IF($G775="",1,$G775)*N($H775),2))</f>
        <v/>
      </c>
      <c r="J775" s="17">
        <f>IF($C775="","",IFERROR(VLOOKUP($C775,项目台账!$B:$C,2,0),"※项目不在项目台账里"))</f>
        <v/>
      </c>
      <c r="K775" s="13" t="n"/>
    </row>
    <row r="776">
      <c r="A776" s="17">
        <f>IF($C776="","",ROW()-3)</f>
        <v/>
      </c>
      <c r="B776" s="18" t="n"/>
      <c r="C776" s="13" t="n"/>
      <c r="D776" s="13" t="n"/>
      <c r="E776" s="13" t="n"/>
      <c r="F776" s="13" t="n"/>
      <c r="G776" s="20" t="n"/>
      <c r="H776" s="14" t="n"/>
      <c r="I776" s="19">
        <f>IF($C776="","",ROUND(IF($G776="",1,$G776)*N($H776),2))</f>
        <v/>
      </c>
      <c r="J776" s="17">
        <f>IF($C776="","",IFERROR(VLOOKUP($C776,项目台账!$B:$C,2,0),"※项目不在项目台账里"))</f>
        <v/>
      </c>
      <c r="K776" s="13" t="n"/>
    </row>
    <row r="777">
      <c r="A777" s="17">
        <f>IF($C777="","",ROW()-3)</f>
        <v/>
      </c>
      <c r="B777" s="18" t="n"/>
      <c r="C777" s="13" t="n"/>
      <c r="D777" s="13" t="n"/>
      <c r="E777" s="13" t="n"/>
      <c r="F777" s="13" t="n"/>
      <c r="G777" s="20" t="n"/>
      <c r="H777" s="14" t="n"/>
      <c r="I777" s="19">
        <f>IF($C777="","",ROUND(IF($G777="",1,$G777)*N($H777),2))</f>
        <v/>
      </c>
      <c r="J777" s="17">
        <f>IF($C777="","",IFERROR(VLOOKUP($C777,项目台账!$B:$C,2,0),"※项目不在项目台账里"))</f>
        <v/>
      </c>
      <c r="K777" s="13" t="n"/>
    </row>
    <row r="778">
      <c r="A778" s="17">
        <f>IF($C778="","",ROW()-3)</f>
        <v/>
      </c>
      <c r="B778" s="18" t="n"/>
      <c r="C778" s="13" t="n"/>
      <c r="D778" s="13" t="n"/>
      <c r="E778" s="13" t="n"/>
      <c r="F778" s="13" t="n"/>
      <c r="G778" s="20" t="n"/>
      <c r="H778" s="14" t="n"/>
      <c r="I778" s="19">
        <f>IF($C778="","",ROUND(IF($G778="",1,$G778)*N($H778),2))</f>
        <v/>
      </c>
      <c r="J778" s="17">
        <f>IF($C778="","",IFERROR(VLOOKUP($C778,项目台账!$B:$C,2,0),"※项目不在项目台账里"))</f>
        <v/>
      </c>
      <c r="K778" s="13" t="n"/>
    </row>
    <row r="779">
      <c r="A779" s="17">
        <f>IF($C779="","",ROW()-3)</f>
        <v/>
      </c>
      <c r="B779" s="18" t="n"/>
      <c r="C779" s="13" t="n"/>
      <c r="D779" s="13" t="n"/>
      <c r="E779" s="13" t="n"/>
      <c r="F779" s="13" t="n"/>
      <c r="G779" s="20" t="n"/>
      <c r="H779" s="14" t="n"/>
      <c r="I779" s="19">
        <f>IF($C779="","",ROUND(IF($G779="",1,$G779)*N($H779),2))</f>
        <v/>
      </c>
      <c r="J779" s="17">
        <f>IF($C779="","",IFERROR(VLOOKUP($C779,项目台账!$B:$C,2,0),"※项目不在项目台账里"))</f>
        <v/>
      </c>
      <c r="K779" s="13" t="n"/>
    </row>
    <row r="780">
      <c r="A780" s="17">
        <f>IF($C780="","",ROW()-3)</f>
        <v/>
      </c>
      <c r="B780" s="18" t="n"/>
      <c r="C780" s="13" t="n"/>
      <c r="D780" s="13" t="n"/>
      <c r="E780" s="13" t="n"/>
      <c r="F780" s="13" t="n"/>
      <c r="G780" s="20" t="n"/>
      <c r="H780" s="14" t="n"/>
      <c r="I780" s="19">
        <f>IF($C780="","",ROUND(IF($G780="",1,$G780)*N($H780),2))</f>
        <v/>
      </c>
      <c r="J780" s="17">
        <f>IF($C780="","",IFERROR(VLOOKUP($C780,项目台账!$B:$C,2,0),"※项目不在项目台账里"))</f>
        <v/>
      </c>
      <c r="K780" s="13" t="n"/>
    </row>
    <row r="781">
      <c r="A781" s="17">
        <f>IF($C781="","",ROW()-3)</f>
        <v/>
      </c>
      <c r="B781" s="18" t="n"/>
      <c r="C781" s="13" t="n"/>
      <c r="D781" s="13" t="n"/>
      <c r="E781" s="13" t="n"/>
      <c r="F781" s="13" t="n"/>
      <c r="G781" s="20" t="n"/>
      <c r="H781" s="14" t="n"/>
      <c r="I781" s="19">
        <f>IF($C781="","",ROUND(IF($G781="",1,$G781)*N($H781),2))</f>
        <v/>
      </c>
      <c r="J781" s="17">
        <f>IF($C781="","",IFERROR(VLOOKUP($C781,项目台账!$B:$C,2,0),"※项目不在项目台账里"))</f>
        <v/>
      </c>
      <c r="K781" s="13" t="n"/>
    </row>
    <row r="782">
      <c r="A782" s="17">
        <f>IF($C782="","",ROW()-3)</f>
        <v/>
      </c>
      <c r="B782" s="18" t="n"/>
      <c r="C782" s="13" t="n"/>
      <c r="D782" s="13" t="n"/>
      <c r="E782" s="13" t="n"/>
      <c r="F782" s="13" t="n"/>
      <c r="G782" s="20" t="n"/>
      <c r="H782" s="14" t="n"/>
      <c r="I782" s="19">
        <f>IF($C782="","",ROUND(IF($G782="",1,$G782)*N($H782),2))</f>
        <v/>
      </c>
      <c r="J782" s="17">
        <f>IF($C782="","",IFERROR(VLOOKUP($C782,项目台账!$B:$C,2,0),"※项目不在项目台账里"))</f>
        <v/>
      </c>
      <c r="K782" s="13" t="n"/>
    </row>
    <row r="783">
      <c r="A783" s="17">
        <f>IF($C783="","",ROW()-3)</f>
        <v/>
      </c>
      <c r="B783" s="18" t="n"/>
      <c r="C783" s="13" t="n"/>
      <c r="D783" s="13" t="n"/>
      <c r="E783" s="13" t="n"/>
      <c r="F783" s="13" t="n"/>
      <c r="G783" s="20" t="n"/>
      <c r="H783" s="14" t="n"/>
      <c r="I783" s="19">
        <f>IF($C783="","",ROUND(IF($G783="",1,$G783)*N($H783),2))</f>
        <v/>
      </c>
      <c r="J783" s="17">
        <f>IF($C783="","",IFERROR(VLOOKUP($C783,项目台账!$B:$C,2,0),"※项目不在项目台账里"))</f>
        <v/>
      </c>
      <c r="K783" s="13" t="n"/>
    </row>
    <row r="784">
      <c r="A784" s="17">
        <f>IF($C784="","",ROW()-3)</f>
        <v/>
      </c>
      <c r="B784" s="18" t="n"/>
      <c r="C784" s="13" t="n"/>
      <c r="D784" s="13" t="n"/>
      <c r="E784" s="13" t="n"/>
      <c r="F784" s="13" t="n"/>
      <c r="G784" s="20" t="n"/>
      <c r="H784" s="14" t="n"/>
      <c r="I784" s="19">
        <f>IF($C784="","",ROUND(IF($G784="",1,$G784)*N($H784),2))</f>
        <v/>
      </c>
      <c r="J784" s="17">
        <f>IF($C784="","",IFERROR(VLOOKUP($C784,项目台账!$B:$C,2,0),"※项目不在项目台账里"))</f>
        <v/>
      </c>
      <c r="K784" s="13" t="n"/>
    </row>
    <row r="785">
      <c r="A785" s="17">
        <f>IF($C785="","",ROW()-3)</f>
        <v/>
      </c>
      <c r="B785" s="18" t="n"/>
      <c r="C785" s="13" t="n"/>
      <c r="D785" s="13" t="n"/>
      <c r="E785" s="13" t="n"/>
      <c r="F785" s="13" t="n"/>
      <c r="G785" s="20" t="n"/>
      <c r="H785" s="14" t="n"/>
      <c r="I785" s="19">
        <f>IF($C785="","",ROUND(IF($G785="",1,$G785)*N($H785),2))</f>
        <v/>
      </c>
      <c r="J785" s="17">
        <f>IF($C785="","",IFERROR(VLOOKUP($C785,项目台账!$B:$C,2,0),"※项目不在项目台账里"))</f>
        <v/>
      </c>
      <c r="K785" s="13" t="n"/>
    </row>
    <row r="786">
      <c r="A786" s="17">
        <f>IF($C786="","",ROW()-3)</f>
        <v/>
      </c>
      <c r="B786" s="18" t="n"/>
      <c r="C786" s="13" t="n"/>
      <c r="D786" s="13" t="n"/>
      <c r="E786" s="13" t="n"/>
      <c r="F786" s="13" t="n"/>
      <c r="G786" s="20" t="n"/>
      <c r="H786" s="14" t="n"/>
      <c r="I786" s="19">
        <f>IF($C786="","",ROUND(IF($G786="",1,$G786)*N($H786),2))</f>
        <v/>
      </c>
      <c r="J786" s="17">
        <f>IF($C786="","",IFERROR(VLOOKUP($C786,项目台账!$B:$C,2,0),"※项目不在项目台账里"))</f>
        <v/>
      </c>
      <c r="K786" s="13" t="n"/>
    </row>
    <row r="787">
      <c r="A787" s="17">
        <f>IF($C787="","",ROW()-3)</f>
        <v/>
      </c>
      <c r="B787" s="18" t="n"/>
      <c r="C787" s="13" t="n"/>
      <c r="D787" s="13" t="n"/>
      <c r="E787" s="13" t="n"/>
      <c r="F787" s="13" t="n"/>
      <c r="G787" s="20" t="n"/>
      <c r="H787" s="14" t="n"/>
      <c r="I787" s="19">
        <f>IF($C787="","",ROUND(IF($G787="",1,$G787)*N($H787),2))</f>
        <v/>
      </c>
      <c r="J787" s="17">
        <f>IF($C787="","",IFERROR(VLOOKUP($C787,项目台账!$B:$C,2,0),"※项目不在项目台账里"))</f>
        <v/>
      </c>
      <c r="K787" s="13" t="n"/>
    </row>
    <row r="788">
      <c r="A788" s="17">
        <f>IF($C788="","",ROW()-3)</f>
        <v/>
      </c>
      <c r="B788" s="18" t="n"/>
      <c r="C788" s="13" t="n"/>
      <c r="D788" s="13" t="n"/>
      <c r="E788" s="13" t="n"/>
      <c r="F788" s="13" t="n"/>
      <c r="G788" s="20" t="n"/>
      <c r="H788" s="14" t="n"/>
      <c r="I788" s="19">
        <f>IF($C788="","",ROUND(IF($G788="",1,$G788)*N($H788),2))</f>
        <v/>
      </c>
      <c r="J788" s="17">
        <f>IF($C788="","",IFERROR(VLOOKUP($C788,项目台账!$B:$C,2,0),"※项目不在项目台账里"))</f>
        <v/>
      </c>
      <c r="K788" s="13" t="n"/>
    </row>
    <row r="789">
      <c r="A789" s="17">
        <f>IF($C789="","",ROW()-3)</f>
        <v/>
      </c>
      <c r="B789" s="18" t="n"/>
      <c r="C789" s="13" t="n"/>
      <c r="D789" s="13" t="n"/>
      <c r="E789" s="13" t="n"/>
      <c r="F789" s="13" t="n"/>
      <c r="G789" s="20" t="n"/>
      <c r="H789" s="14" t="n"/>
      <c r="I789" s="19">
        <f>IF($C789="","",ROUND(IF($G789="",1,$G789)*N($H789),2))</f>
        <v/>
      </c>
      <c r="J789" s="17">
        <f>IF($C789="","",IFERROR(VLOOKUP($C789,项目台账!$B:$C,2,0),"※项目不在项目台账里"))</f>
        <v/>
      </c>
      <c r="K789" s="13" t="n"/>
    </row>
    <row r="790">
      <c r="A790" s="17">
        <f>IF($C790="","",ROW()-3)</f>
        <v/>
      </c>
      <c r="B790" s="18" t="n"/>
      <c r="C790" s="13" t="n"/>
      <c r="D790" s="13" t="n"/>
      <c r="E790" s="13" t="n"/>
      <c r="F790" s="13" t="n"/>
      <c r="G790" s="20" t="n"/>
      <c r="H790" s="14" t="n"/>
      <c r="I790" s="19">
        <f>IF($C790="","",ROUND(IF($G790="",1,$G790)*N($H790),2))</f>
        <v/>
      </c>
      <c r="J790" s="17">
        <f>IF($C790="","",IFERROR(VLOOKUP($C790,项目台账!$B:$C,2,0),"※项目不在项目台账里"))</f>
        <v/>
      </c>
      <c r="K790" s="13" t="n"/>
    </row>
    <row r="791">
      <c r="A791" s="17">
        <f>IF($C791="","",ROW()-3)</f>
        <v/>
      </c>
      <c r="B791" s="18" t="n"/>
      <c r="C791" s="13" t="n"/>
      <c r="D791" s="13" t="n"/>
      <c r="E791" s="13" t="n"/>
      <c r="F791" s="13" t="n"/>
      <c r="G791" s="20" t="n"/>
      <c r="H791" s="14" t="n"/>
      <c r="I791" s="19">
        <f>IF($C791="","",ROUND(IF($G791="",1,$G791)*N($H791),2))</f>
        <v/>
      </c>
      <c r="J791" s="17">
        <f>IF($C791="","",IFERROR(VLOOKUP($C791,项目台账!$B:$C,2,0),"※项目不在项目台账里"))</f>
        <v/>
      </c>
      <c r="K791" s="13" t="n"/>
    </row>
    <row r="792">
      <c r="A792" s="17">
        <f>IF($C792="","",ROW()-3)</f>
        <v/>
      </c>
      <c r="B792" s="18" t="n"/>
      <c r="C792" s="13" t="n"/>
      <c r="D792" s="13" t="n"/>
      <c r="E792" s="13" t="n"/>
      <c r="F792" s="13" t="n"/>
      <c r="G792" s="20" t="n"/>
      <c r="H792" s="14" t="n"/>
      <c r="I792" s="19">
        <f>IF($C792="","",ROUND(IF($G792="",1,$G792)*N($H792),2))</f>
        <v/>
      </c>
      <c r="J792" s="17">
        <f>IF($C792="","",IFERROR(VLOOKUP($C792,项目台账!$B:$C,2,0),"※项目不在项目台账里"))</f>
        <v/>
      </c>
      <c r="K792" s="13" t="n"/>
    </row>
    <row r="793">
      <c r="A793" s="17">
        <f>IF($C793="","",ROW()-3)</f>
        <v/>
      </c>
      <c r="B793" s="18" t="n"/>
      <c r="C793" s="13" t="n"/>
      <c r="D793" s="13" t="n"/>
      <c r="E793" s="13" t="n"/>
      <c r="F793" s="13" t="n"/>
      <c r="G793" s="20" t="n"/>
      <c r="H793" s="14" t="n"/>
      <c r="I793" s="19">
        <f>IF($C793="","",ROUND(IF($G793="",1,$G793)*N($H793),2))</f>
        <v/>
      </c>
      <c r="J793" s="17">
        <f>IF($C793="","",IFERROR(VLOOKUP($C793,项目台账!$B:$C,2,0),"※项目不在项目台账里"))</f>
        <v/>
      </c>
      <c r="K793" s="13" t="n"/>
    </row>
    <row r="794">
      <c r="A794" s="17">
        <f>IF($C794="","",ROW()-3)</f>
        <v/>
      </c>
      <c r="B794" s="18" t="n"/>
      <c r="C794" s="13" t="n"/>
      <c r="D794" s="13" t="n"/>
      <c r="E794" s="13" t="n"/>
      <c r="F794" s="13" t="n"/>
      <c r="G794" s="20" t="n"/>
      <c r="H794" s="14" t="n"/>
      <c r="I794" s="19">
        <f>IF($C794="","",ROUND(IF($G794="",1,$G794)*N($H794),2))</f>
        <v/>
      </c>
      <c r="J794" s="17">
        <f>IF($C794="","",IFERROR(VLOOKUP($C794,项目台账!$B:$C,2,0),"※项目不在项目台账里"))</f>
        <v/>
      </c>
      <c r="K794" s="13" t="n"/>
    </row>
    <row r="795">
      <c r="A795" s="17">
        <f>IF($C795="","",ROW()-3)</f>
        <v/>
      </c>
      <c r="B795" s="18" t="n"/>
      <c r="C795" s="13" t="n"/>
      <c r="D795" s="13" t="n"/>
      <c r="E795" s="13" t="n"/>
      <c r="F795" s="13" t="n"/>
      <c r="G795" s="20" t="n"/>
      <c r="H795" s="14" t="n"/>
      <c r="I795" s="19">
        <f>IF($C795="","",ROUND(IF($G795="",1,$G795)*N($H795),2))</f>
        <v/>
      </c>
      <c r="J795" s="17">
        <f>IF($C795="","",IFERROR(VLOOKUP($C795,项目台账!$B:$C,2,0),"※项目不在项目台账里"))</f>
        <v/>
      </c>
      <c r="K795" s="13" t="n"/>
    </row>
    <row r="796">
      <c r="A796" s="17">
        <f>IF($C796="","",ROW()-3)</f>
        <v/>
      </c>
      <c r="B796" s="18" t="n"/>
      <c r="C796" s="13" t="n"/>
      <c r="D796" s="13" t="n"/>
      <c r="E796" s="13" t="n"/>
      <c r="F796" s="13" t="n"/>
      <c r="G796" s="20" t="n"/>
      <c r="H796" s="14" t="n"/>
      <c r="I796" s="19">
        <f>IF($C796="","",ROUND(IF($G796="",1,$G796)*N($H796),2))</f>
        <v/>
      </c>
      <c r="J796" s="17">
        <f>IF($C796="","",IFERROR(VLOOKUP($C796,项目台账!$B:$C,2,0),"※项目不在项目台账里"))</f>
        <v/>
      </c>
      <c r="K796" s="13" t="n"/>
    </row>
    <row r="797">
      <c r="A797" s="17">
        <f>IF($C797="","",ROW()-3)</f>
        <v/>
      </c>
      <c r="B797" s="18" t="n"/>
      <c r="C797" s="13" t="n"/>
      <c r="D797" s="13" t="n"/>
      <c r="E797" s="13" t="n"/>
      <c r="F797" s="13" t="n"/>
      <c r="G797" s="20" t="n"/>
      <c r="H797" s="14" t="n"/>
      <c r="I797" s="19">
        <f>IF($C797="","",ROUND(IF($G797="",1,$G797)*N($H797),2))</f>
        <v/>
      </c>
      <c r="J797" s="17">
        <f>IF($C797="","",IFERROR(VLOOKUP($C797,项目台账!$B:$C,2,0),"※项目不在项目台账里"))</f>
        <v/>
      </c>
      <c r="K797" s="13" t="n"/>
    </row>
    <row r="798">
      <c r="A798" s="17">
        <f>IF($C798="","",ROW()-3)</f>
        <v/>
      </c>
      <c r="B798" s="18" t="n"/>
      <c r="C798" s="13" t="n"/>
      <c r="D798" s="13" t="n"/>
      <c r="E798" s="13" t="n"/>
      <c r="F798" s="13" t="n"/>
      <c r="G798" s="20" t="n"/>
      <c r="H798" s="14" t="n"/>
      <c r="I798" s="19">
        <f>IF($C798="","",ROUND(IF($G798="",1,$G798)*N($H798),2))</f>
        <v/>
      </c>
      <c r="J798" s="17">
        <f>IF($C798="","",IFERROR(VLOOKUP($C798,项目台账!$B:$C,2,0),"※项目不在项目台账里"))</f>
        <v/>
      </c>
      <c r="K798" s="13" t="n"/>
    </row>
    <row r="799">
      <c r="A799" s="17">
        <f>IF($C799="","",ROW()-3)</f>
        <v/>
      </c>
      <c r="B799" s="18" t="n"/>
      <c r="C799" s="13" t="n"/>
      <c r="D799" s="13" t="n"/>
      <c r="E799" s="13" t="n"/>
      <c r="F799" s="13" t="n"/>
      <c r="G799" s="20" t="n"/>
      <c r="H799" s="14" t="n"/>
      <c r="I799" s="19">
        <f>IF($C799="","",ROUND(IF($G799="",1,$G799)*N($H799),2))</f>
        <v/>
      </c>
      <c r="J799" s="17">
        <f>IF($C799="","",IFERROR(VLOOKUP($C799,项目台账!$B:$C,2,0),"※项目不在项目台账里"))</f>
        <v/>
      </c>
      <c r="K799" s="13" t="n"/>
    </row>
    <row r="800">
      <c r="A800" s="17">
        <f>IF($C800="","",ROW()-3)</f>
        <v/>
      </c>
      <c r="B800" s="18" t="n"/>
      <c r="C800" s="13" t="n"/>
      <c r="D800" s="13" t="n"/>
      <c r="E800" s="13" t="n"/>
      <c r="F800" s="13" t="n"/>
      <c r="G800" s="20" t="n"/>
      <c r="H800" s="14" t="n"/>
      <c r="I800" s="19">
        <f>IF($C800="","",ROUND(IF($G800="",1,$G800)*N($H800),2))</f>
        <v/>
      </c>
      <c r="J800" s="17">
        <f>IF($C800="","",IFERROR(VLOOKUP($C800,项目台账!$B:$C,2,0),"※项目不在项目台账里"))</f>
        <v/>
      </c>
      <c r="K800" s="13" t="n"/>
    </row>
    <row r="801">
      <c r="A801" s="17">
        <f>IF($C801="","",ROW()-3)</f>
        <v/>
      </c>
      <c r="B801" s="18" t="n"/>
      <c r="C801" s="13" t="n"/>
      <c r="D801" s="13" t="n"/>
      <c r="E801" s="13" t="n"/>
      <c r="F801" s="13" t="n"/>
      <c r="G801" s="20" t="n"/>
      <c r="H801" s="14" t="n"/>
      <c r="I801" s="19">
        <f>IF($C801="","",ROUND(IF($G801="",1,$G801)*N($H801),2))</f>
        <v/>
      </c>
      <c r="J801" s="17">
        <f>IF($C801="","",IFERROR(VLOOKUP($C801,项目台账!$B:$C,2,0),"※项目不在项目台账里"))</f>
        <v/>
      </c>
      <c r="K801" s="13" t="n"/>
    </row>
    <row r="802">
      <c r="A802" s="17">
        <f>IF($C802="","",ROW()-3)</f>
        <v/>
      </c>
      <c r="B802" s="18" t="n"/>
      <c r="C802" s="13" t="n"/>
      <c r="D802" s="13" t="n"/>
      <c r="E802" s="13" t="n"/>
      <c r="F802" s="13" t="n"/>
      <c r="G802" s="20" t="n"/>
      <c r="H802" s="14" t="n"/>
      <c r="I802" s="19">
        <f>IF($C802="","",ROUND(IF($G802="",1,$G802)*N($H802),2))</f>
        <v/>
      </c>
      <c r="J802" s="17">
        <f>IF($C802="","",IFERROR(VLOOKUP($C802,项目台账!$B:$C,2,0),"※项目不在项目台账里"))</f>
        <v/>
      </c>
      <c r="K802" s="13" t="n"/>
    </row>
    <row r="803">
      <c r="A803" s="17">
        <f>IF($C803="","",ROW()-3)</f>
        <v/>
      </c>
      <c r="B803" s="18" t="n"/>
      <c r="C803" s="13" t="n"/>
      <c r="D803" s="13" t="n"/>
      <c r="E803" s="13" t="n"/>
      <c r="F803" s="13" t="n"/>
      <c r="G803" s="20" t="n"/>
      <c r="H803" s="14" t="n"/>
      <c r="I803" s="19">
        <f>IF($C803="","",ROUND(IF($G803="",1,$G803)*N($H803),2))</f>
        <v/>
      </c>
      <c r="J803" s="17">
        <f>IF($C803="","",IFERROR(VLOOKUP($C803,项目台账!$B:$C,2,0),"※项目不在项目台账里"))</f>
        <v/>
      </c>
      <c r="K803" s="13" t="n"/>
    </row>
    <row r="804">
      <c r="A804" s="17">
        <f>IF($C804="","",ROW()-3)</f>
        <v/>
      </c>
      <c r="B804" s="18" t="n"/>
      <c r="C804" s="13" t="n"/>
      <c r="D804" s="13" t="n"/>
      <c r="E804" s="13" t="n"/>
      <c r="F804" s="13" t="n"/>
      <c r="G804" s="20" t="n"/>
      <c r="H804" s="14" t="n"/>
      <c r="I804" s="19">
        <f>IF($C804="","",ROUND(IF($G804="",1,$G804)*N($H804),2))</f>
        <v/>
      </c>
      <c r="J804" s="17">
        <f>IF($C804="","",IFERROR(VLOOKUP($C804,项目台账!$B:$C,2,0),"※项目不在项目台账里"))</f>
        <v/>
      </c>
      <c r="K804" s="13" t="n"/>
    </row>
    <row r="805">
      <c r="A805" s="17">
        <f>IF($C805="","",ROW()-3)</f>
        <v/>
      </c>
      <c r="B805" s="18" t="n"/>
      <c r="C805" s="13" t="n"/>
      <c r="D805" s="13" t="n"/>
      <c r="E805" s="13" t="n"/>
      <c r="F805" s="13" t="n"/>
      <c r="G805" s="20" t="n"/>
      <c r="H805" s="14" t="n"/>
      <c r="I805" s="19">
        <f>IF($C805="","",ROUND(IF($G805="",1,$G805)*N($H805),2))</f>
        <v/>
      </c>
      <c r="J805" s="17">
        <f>IF($C805="","",IFERROR(VLOOKUP($C805,项目台账!$B:$C,2,0),"※项目不在项目台账里"))</f>
        <v/>
      </c>
      <c r="K805" s="13" t="n"/>
    </row>
    <row r="806">
      <c r="A806" s="17">
        <f>IF($C806="","",ROW()-3)</f>
        <v/>
      </c>
      <c r="B806" s="18" t="n"/>
      <c r="C806" s="13" t="n"/>
      <c r="D806" s="13" t="n"/>
      <c r="E806" s="13" t="n"/>
      <c r="F806" s="13" t="n"/>
      <c r="G806" s="20" t="n"/>
      <c r="H806" s="14" t="n"/>
      <c r="I806" s="19">
        <f>IF($C806="","",ROUND(IF($G806="",1,$G806)*N($H806),2))</f>
        <v/>
      </c>
      <c r="J806" s="17">
        <f>IF($C806="","",IFERROR(VLOOKUP($C806,项目台账!$B:$C,2,0),"※项目不在项目台账里"))</f>
        <v/>
      </c>
      <c r="K806" s="13" t="n"/>
    </row>
    <row r="807">
      <c r="A807" s="17">
        <f>IF($C807="","",ROW()-3)</f>
        <v/>
      </c>
      <c r="B807" s="18" t="n"/>
      <c r="C807" s="13" t="n"/>
      <c r="D807" s="13" t="n"/>
      <c r="E807" s="13" t="n"/>
      <c r="F807" s="13" t="n"/>
      <c r="G807" s="20" t="n"/>
      <c r="H807" s="14" t="n"/>
      <c r="I807" s="19">
        <f>IF($C807="","",ROUND(IF($G807="",1,$G807)*N($H807),2))</f>
        <v/>
      </c>
      <c r="J807" s="17">
        <f>IF($C807="","",IFERROR(VLOOKUP($C807,项目台账!$B:$C,2,0),"※项目不在项目台账里"))</f>
        <v/>
      </c>
      <c r="K807" s="13" t="n"/>
    </row>
    <row r="808">
      <c r="A808" s="17">
        <f>IF($C808="","",ROW()-3)</f>
        <v/>
      </c>
      <c r="B808" s="18" t="n"/>
      <c r="C808" s="13" t="n"/>
      <c r="D808" s="13" t="n"/>
      <c r="E808" s="13" t="n"/>
      <c r="F808" s="13" t="n"/>
      <c r="G808" s="20" t="n"/>
      <c r="H808" s="14" t="n"/>
      <c r="I808" s="19">
        <f>IF($C808="","",ROUND(IF($G808="",1,$G808)*N($H808),2))</f>
        <v/>
      </c>
      <c r="J808" s="17">
        <f>IF($C808="","",IFERROR(VLOOKUP($C808,项目台账!$B:$C,2,0),"※项目不在项目台账里"))</f>
        <v/>
      </c>
      <c r="K808" s="13" t="n"/>
    </row>
    <row r="809">
      <c r="A809" s="17">
        <f>IF($C809="","",ROW()-3)</f>
        <v/>
      </c>
      <c r="B809" s="18" t="n"/>
      <c r="C809" s="13" t="n"/>
      <c r="D809" s="13" t="n"/>
      <c r="E809" s="13" t="n"/>
      <c r="F809" s="13" t="n"/>
      <c r="G809" s="20" t="n"/>
      <c r="H809" s="14" t="n"/>
      <c r="I809" s="19">
        <f>IF($C809="","",ROUND(IF($G809="",1,$G809)*N($H809),2))</f>
        <v/>
      </c>
      <c r="J809" s="17">
        <f>IF($C809="","",IFERROR(VLOOKUP($C809,项目台账!$B:$C,2,0),"※项目不在项目台账里"))</f>
        <v/>
      </c>
      <c r="K809" s="13" t="n"/>
    </row>
    <row r="810">
      <c r="A810" s="17">
        <f>IF($C810="","",ROW()-3)</f>
        <v/>
      </c>
      <c r="B810" s="18" t="n"/>
      <c r="C810" s="13" t="n"/>
      <c r="D810" s="13" t="n"/>
      <c r="E810" s="13" t="n"/>
      <c r="F810" s="13" t="n"/>
      <c r="G810" s="20" t="n"/>
      <c r="H810" s="14" t="n"/>
      <c r="I810" s="19">
        <f>IF($C810="","",ROUND(IF($G810="",1,$G810)*N($H810),2))</f>
        <v/>
      </c>
      <c r="J810" s="17">
        <f>IF($C810="","",IFERROR(VLOOKUP($C810,项目台账!$B:$C,2,0),"※项目不在项目台账里"))</f>
        <v/>
      </c>
      <c r="K810" s="13" t="n"/>
    </row>
    <row r="811">
      <c r="A811" s="17">
        <f>IF($C811="","",ROW()-3)</f>
        <v/>
      </c>
      <c r="B811" s="18" t="n"/>
      <c r="C811" s="13" t="n"/>
      <c r="D811" s="13" t="n"/>
      <c r="E811" s="13" t="n"/>
      <c r="F811" s="13" t="n"/>
      <c r="G811" s="20" t="n"/>
      <c r="H811" s="14" t="n"/>
      <c r="I811" s="19">
        <f>IF($C811="","",ROUND(IF($G811="",1,$G811)*N($H811),2))</f>
        <v/>
      </c>
      <c r="J811" s="17">
        <f>IF($C811="","",IFERROR(VLOOKUP($C811,项目台账!$B:$C,2,0),"※项目不在项目台账里"))</f>
        <v/>
      </c>
      <c r="K811" s="13" t="n"/>
    </row>
    <row r="812">
      <c r="A812" s="17">
        <f>IF($C812="","",ROW()-3)</f>
        <v/>
      </c>
      <c r="B812" s="18" t="n"/>
      <c r="C812" s="13" t="n"/>
      <c r="D812" s="13" t="n"/>
      <c r="E812" s="13" t="n"/>
      <c r="F812" s="13" t="n"/>
      <c r="G812" s="20" t="n"/>
      <c r="H812" s="14" t="n"/>
      <c r="I812" s="19">
        <f>IF($C812="","",ROUND(IF($G812="",1,$G812)*N($H812),2))</f>
        <v/>
      </c>
      <c r="J812" s="17">
        <f>IF($C812="","",IFERROR(VLOOKUP($C812,项目台账!$B:$C,2,0),"※项目不在项目台账里"))</f>
        <v/>
      </c>
      <c r="K812" s="13" t="n"/>
    </row>
    <row r="813">
      <c r="A813" s="17">
        <f>IF($C813="","",ROW()-3)</f>
        <v/>
      </c>
      <c r="B813" s="18" t="n"/>
      <c r="C813" s="13" t="n"/>
      <c r="D813" s="13" t="n"/>
      <c r="E813" s="13" t="n"/>
      <c r="F813" s="13" t="n"/>
      <c r="G813" s="20" t="n"/>
      <c r="H813" s="14" t="n"/>
      <c r="I813" s="19">
        <f>IF($C813="","",ROUND(IF($G813="",1,$G813)*N($H813),2))</f>
        <v/>
      </c>
      <c r="J813" s="17">
        <f>IF($C813="","",IFERROR(VLOOKUP($C813,项目台账!$B:$C,2,0),"※项目不在项目台账里"))</f>
        <v/>
      </c>
      <c r="K813" s="13" t="n"/>
    </row>
    <row r="814">
      <c r="A814" s="17">
        <f>IF($C814="","",ROW()-3)</f>
        <v/>
      </c>
      <c r="B814" s="18" t="n"/>
      <c r="C814" s="13" t="n"/>
      <c r="D814" s="13" t="n"/>
      <c r="E814" s="13" t="n"/>
      <c r="F814" s="13" t="n"/>
      <c r="G814" s="20" t="n"/>
      <c r="H814" s="14" t="n"/>
      <c r="I814" s="19">
        <f>IF($C814="","",ROUND(IF($G814="",1,$G814)*N($H814),2))</f>
        <v/>
      </c>
      <c r="J814" s="17">
        <f>IF($C814="","",IFERROR(VLOOKUP($C814,项目台账!$B:$C,2,0),"※项目不在项目台账里"))</f>
        <v/>
      </c>
      <c r="K814" s="13" t="n"/>
    </row>
    <row r="815">
      <c r="A815" s="17">
        <f>IF($C815="","",ROW()-3)</f>
        <v/>
      </c>
      <c r="B815" s="18" t="n"/>
      <c r="C815" s="13" t="n"/>
      <c r="D815" s="13" t="n"/>
      <c r="E815" s="13" t="n"/>
      <c r="F815" s="13" t="n"/>
      <c r="G815" s="20" t="n"/>
      <c r="H815" s="14" t="n"/>
      <c r="I815" s="19">
        <f>IF($C815="","",ROUND(IF($G815="",1,$G815)*N($H815),2))</f>
        <v/>
      </c>
      <c r="J815" s="17">
        <f>IF($C815="","",IFERROR(VLOOKUP($C815,项目台账!$B:$C,2,0),"※项目不在项目台账里"))</f>
        <v/>
      </c>
      <c r="K815" s="13" t="n"/>
    </row>
    <row r="816">
      <c r="A816" s="17">
        <f>IF($C816="","",ROW()-3)</f>
        <v/>
      </c>
      <c r="B816" s="18" t="n"/>
      <c r="C816" s="13" t="n"/>
      <c r="D816" s="13" t="n"/>
      <c r="E816" s="13" t="n"/>
      <c r="F816" s="13" t="n"/>
      <c r="G816" s="20" t="n"/>
      <c r="H816" s="14" t="n"/>
      <c r="I816" s="19">
        <f>IF($C816="","",ROUND(IF($G816="",1,$G816)*N($H816),2))</f>
        <v/>
      </c>
      <c r="J816" s="17">
        <f>IF($C816="","",IFERROR(VLOOKUP($C816,项目台账!$B:$C,2,0),"※项目不在项目台账里"))</f>
        <v/>
      </c>
      <c r="K816" s="13" t="n"/>
    </row>
    <row r="817">
      <c r="A817" s="17">
        <f>IF($C817="","",ROW()-3)</f>
        <v/>
      </c>
      <c r="B817" s="18" t="n"/>
      <c r="C817" s="13" t="n"/>
      <c r="D817" s="13" t="n"/>
      <c r="E817" s="13" t="n"/>
      <c r="F817" s="13" t="n"/>
      <c r="G817" s="20" t="n"/>
      <c r="H817" s="14" t="n"/>
      <c r="I817" s="19">
        <f>IF($C817="","",ROUND(IF($G817="",1,$G817)*N($H817),2))</f>
        <v/>
      </c>
      <c r="J817" s="17">
        <f>IF($C817="","",IFERROR(VLOOKUP($C817,项目台账!$B:$C,2,0),"※项目不在项目台账里"))</f>
        <v/>
      </c>
      <c r="K817" s="13" t="n"/>
    </row>
    <row r="818">
      <c r="A818" s="17">
        <f>IF($C818="","",ROW()-3)</f>
        <v/>
      </c>
      <c r="B818" s="18" t="n"/>
      <c r="C818" s="13" t="n"/>
      <c r="D818" s="13" t="n"/>
      <c r="E818" s="13" t="n"/>
      <c r="F818" s="13" t="n"/>
      <c r="G818" s="20" t="n"/>
      <c r="H818" s="14" t="n"/>
      <c r="I818" s="19">
        <f>IF($C818="","",ROUND(IF($G818="",1,$G818)*N($H818),2))</f>
        <v/>
      </c>
      <c r="J818" s="17">
        <f>IF($C818="","",IFERROR(VLOOKUP($C818,项目台账!$B:$C,2,0),"※项目不在项目台账里"))</f>
        <v/>
      </c>
      <c r="K818" s="13" t="n"/>
    </row>
    <row r="819">
      <c r="A819" s="17">
        <f>IF($C819="","",ROW()-3)</f>
        <v/>
      </c>
      <c r="B819" s="18" t="n"/>
      <c r="C819" s="13" t="n"/>
      <c r="D819" s="13" t="n"/>
      <c r="E819" s="13" t="n"/>
      <c r="F819" s="13" t="n"/>
      <c r="G819" s="20" t="n"/>
      <c r="H819" s="14" t="n"/>
      <c r="I819" s="19">
        <f>IF($C819="","",ROUND(IF($G819="",1,$G819)*N($H819),2))</f>
        <v/>
      </c>
      <c r="J819" s="17">
        <f>IF($C819="","",IFERROR(VLOOKUP($C819,项目台账!$B:$C,2,0),"※项目不在项目台账里"))</f>
        <v/>
      </c>
      <c r="K819" s="13" t="n"/>
    </row>
    <row r="820">
      <c r="A820" s="17">
        <f>IF($C820="","",ROW()-3)</f>
        <v/>
      </c>
      <c r="B820" s="18" t="n"/>
      <c r="C820" s="13" t="n"/>
      <c r="D820" s="13" t="n"/>
      <c r="E820" s="13" t="n"/>
      <c r="F820" s="13" t="n"/>
      <c r="G820" s="20" t="n"/>
      <c r="H820" s="14" t="n"/>
      <c r="I820" s="19">
        <f>IF($C820="","",ROUND(IF($G820="",1,$G820)*N($H820),2))</f>
        <v/>
      </c>
      <c r="J820" s="17">
        <f>IF($C820="","",IFERROR(VLOOKUP($C820,项目台账!$B:$C,2,0),"※项目不在项目台账里"))</f>
        <v/>
      </c>
      <c r="K820" s="13" t="n"/>
    </row>
    <row r="821">
      <c r="A821" s="17">
        <f>IF($C821="","",ROW()-3)</f>
        <v/>
      </c>
      <c r="B821" s="18" t="n"/>
      <c r="C821" s="13" t="n"/>
      <c r="D821" s="13" t="n"/>
      <c r="E821" s="13" t="n"/>
      <c r="F821" s="13" t="n"/>
      <c r="G821" s="20" t="n"/>
      <c r="H821" s="14" t="n"/>
      <c r="I821" s="19">
        <f>IF($C821="","",ROUND(IF($G821="",1,$G821)*N($H821),2))</f>
        <v/>
      </c>
      <c r="J821" s="17">
        <f>IF($C821="","",IFERROR(VLOOKUP($C821,项目台账!$B:$C,2,0),"※项目不在项目台账里"))</f>
        <v/>
      </c>
      <c r="K821" s="13" t="n"/>
    </row>
    <row r="822">
      <c r="A822" s="17">
        <f>IF($C822="","",ROW()-3)</f>
        <v/>
      </c>
      <c r="B822" s="18" t="n"/>
      <c r="C822" s="13" t="n"/>
      <c r="D822" s="13" t="n"/>
      <c r="E822" s="13" t="n"/>
      <c r="F822" s="13" t="n"/>
      <c r="G822" s="20" t="n"/>
      <c r="H822" s="14" t="n"/>
      <c r="I822" s="19">
        <f>IF($C822="","",ROUND(IF($G822="",1,$G822)*N($H822),2))</f>
        <v/>
      </c>
      <c r="J822" s="17">
        <f>IF($C822="","",IFERROR(VLOOKUP($C822,项目台账!$B:$C,2,0),"※项目不在项目台账里"))</f>
        <v/>
      </c>
      <c r="K822" s="13" t="n"/>
    </row>
    <row r="823">
      <c r="A823" s="17">
        <f>IF($C823="","",ROW()-3)</f>
        <v/>
      </c>
      <c r="B823" s="18" t="n"/>
      <c r="C823" s="13" t="n"/>
      <c r="D823" s="13" t="n"/>
      <c r="E823" s="13" t="n"/>
      <c r="F823" s="13" t="n"/>
      <c r="G823" s="20" t="n"/>
      <c r="H823" s="14" t="n"/>
      <c r="I823" s="19">
        <f>IF($C823="","",ROUND(IF($G823="",1,$G823)*N($H823),2))</f>
        <v/>
      </c>
      <c r="J823" s="17">
        <f>IF($C823="","",IFERROR(VLOOKUP($C823,项目台账!$B:$C,2,0),"※项目不在项目台账里"))</f>
        <v/>
      </c>
      <c r="K823" s="13" t="n"/>
    </row>
    <row r="824">
      <c r="A824" s="17">
        <f>IF($C824="","",ROW()-3)</f>
        <v/>
      </c>
      <c r="B824" s="18" t="n"/>
      <c r="C824" s="13" t="n"/>
      <c r="D824" s="13" t="n"/>
      <c r="E824" s="13" t="n"/>
      <c r="F824" s="13" t="n"/>
      <c r="G824" s="20" t="n"/>
      <c r="H824" s="14" t="n"/>
      <c r="I824" s="19">
        <f>IF($C824="","",ROUND(IF($G824="",1,$G824)*N($H824),2))</f>
        <v/>
      </c>
      <c r="J824" s="17">
        <f>IF($C824="","",IFERROR(VLOOKUP($C824,项目台账!$B:$C,2,0),"※项目不在项目台账里"))</f>
        <v/>
      </c>
      <c r="K824" s="13" t="n"/>
    </row>
    <row r="825">
      <c r="A825" s="17">
        <f>IF($C825="","",ROW()-3)</f>
        <v/>
      </c>
      <c r="B825" s="18" t="n"/>
      <c r="C825" s="13" t="n"/>
      <c r="D825" s="13" t="n"/>
      <c r="E825" s="13" t="n"/>
      <c r="F825" s="13" t="n"/>
      <c r="G825" s="20" t="n"/>
      <c r="H825" s="14" t="n"/>
      <c r="I825" s="19">
        <f>IF($C825="","",ROUND(IF($G825="",1,$G825)*N($H825),2))</f>
        <v/>
      </c>
      <c r="J825" s="17">
        <f>IF($C825="","",IFERROR(VLOOKUP($C825,项目台账!$B:$C,2,0),"※项目不在项目台账里"))</f>
        <v/>
      </c>
      <c r="K825" s="13" t="n"/>
    </row>
    <row r="826">
      <c r="A826" s="17">
        <f>IF($C826="","",ROW()-3)</f>
        <v/>
      </c>
      <c r="B826" s="18" t="n"/>
      <c r="C826" s="13" t="n"/>
      <c r="D826" s="13" t="n"/>
      <c r="E826" s="13" t="n"/>
      <c r="F826" s="13" t="n"/>
      <c r="G826" s="20" t="n"/>
      <c r="H826" s="14" t="n"/>
      <c r="I826" s="19">
        <f>IF($C826="","",ROUND(IF($G826="",1,$G826)*N($H826),2))</f>
        <v/>
      </c>
      <c r="J826" s="17">
        <f>IF($C826="","",IFERROR(VLOOKUP($C826,项目台账!$B:$C,2,0),"※项目不在项目台账里"))</f>
        <v/>
      </c>
      <c r="K826" s="13" t="n"/>
    </row>
    <row r="827">
      <c r="A827" s="17">
        <f>IF($C827="","",ROW()-3)</f>
        <v/>
      </c>
      <c r="B827" s="18" t="n"/>
      <c r="C827" s="13" t="n"/>
      <c r="D827" s="13" t="n"/>
      <c r="E827" s="13" t="n"/>
      <c r="F827" s="13" t="n"/>
      <c r="G827" s="20" t="n"/>
      <c r="H827" s="14" t="n"/>
      <c r="I827" s="19">
        <f>IF($C827="","",ROUND(IF($G827="",1,$G827)*N($H827),2))</f>
        <v/>
      </c>
      <c r="J827" s="17">
        <f>IF($C827="","",IFERROR(VLOOKUP($C827,项目台账!$B:$C,2,0),"※项目不在项目台账里"))</f>
        <v/>
      </c>
      <c r="K827" s="13" t="n"/>
    </row>
    <row r="828">
      <c r="A828" s="17">
        <f>IF($C828="","",ROW()-3)</f>
        <v/>
      </c>
      <c r="B828" s="18" t="n"/>
      <c r="C828" s="13" t="n"/>
      <c r="D828" s="13" t="n"/>
      <c r="E828" s="13" t="n"/>
      <c r="F828" s="13" t="n"/>
      <c r="G828" s="20" t="n"/>
      <c r="H828" s="14" t="n"/>
      <c r="I828" s="19">
        <f>IF($C828="","",ROUND(IF($G828="",1,$G828)*N($H828),2))</f>
        <v/>
      </c>
      <c r="J828" s="17">
        <f>IF($C828="","",IFERROR(VLOOKUP($C828,项目台账!$B:$C,2,0),"※项目不在项目台账里"))</f>
        <v/>
      </c>
      <c r="K828" s="13" t="n"/>
    </row>
    <row r="829">
      <c r="A829" s="17">
        <f>IF($C829="","",ROW()-3)</f>
        <v/>
      </c>
      <c r="B829" s="18" t="n"/>
      <c r="C829" s="13" t="n"/>
      <c r="D829" s="13" t="n"/>
      <c r="E829" s="13" t="n"/>
      <c r="F829" s="13" t="n"/>
      <c r="G829" s="20" t="n"/>
      <c r="H829" s="14" t="n"/>
      <c r="I829" s="19">
        <f>IF($C829="","",ROUND(IF($G829="",1,$G829)*N($H829),2))</f>
        <v/>
      </c>
      <c r="J829" s="17">
        <f>IF($C829="","",IFERROR(VLOOKUP($C829,项目台账!$B:$C,2,0),"※项目不在项目台账里"))</f>
        <v/>
      </c>
      <c r="K829" s="13" t="n"/>
    </row>
    <row r="830">
      <c r="A830" s="17">
        <f>IF($C830="","",ROW()-3)</f>
        <v/>
      </c>
      <c r="B830" s="18" t="n"/>
      <c r="C830" s="13" t="n"/>
      <c r="D830" s="13" t="n"/>
      <c r="E830" s="13" t="n"/>
      <c r="F830" s="13" t="n"/>
      <c r="G830" s="20" t="n"/>
      <c r="H830" s="14" t="n"/>
      <c r="I830" s="19">
        <f>IF($C830="","",ROUND(IF($G830="",1,$G830)*N($H830),2))</f>
        <v/>
      </c>
      <c r="J830" s="17">
        <f>IF($C830="","",IFERROR(VLOOKUP($C830,项目台账!$B:$C,2,0),"※项目不在项目台账里"))</f>
        <v/>
      </c>
      <c r="K830" s="13" t="n"/>
    </row>
    <row r="831">
      <c r="A831" s="17">
        <f>IF($C831="","",ROW()-3)</f>
        <v/>
      </c>
      <c r="B831" s="18" t="n"/>
      <c r="C831" s="13" t="n"/>
      <c r="D831" s="13" t="n"/>
      <c r="E831" s="13" t="n"/>
      <c r="F831" s="13" t="n"/>
      <c r="G831" s="20" t="n"/>
      <c r="H831" s="14" t="n"/>
      <c r="I831" s="19">
        <f>IF($C831="","",ROUND(IF($G831="",1,$G831)*N($H831),2))</f>
        <v/>
      </c>
      <c r="J831" s="17">
        <f>IF($C831="","",IFERROR(VLOOKUP($C831,项目台账!$B:$C,2,0),"※项目不在项目台账里"))</f>
        <v/>
      </c>
      <c r="K831" s="13" t="n"/>
    </row>
    <row r="832">
      <c r="A832" s="17">
        <f>IF($C832="","",ROW()-3)</f>
        <v/>
      </c>
      <c r="B832" s="18" t="n"/>
      <c r="C832" s="13" t="n"/>
      <c r="D832" s="13" t="n"/>
      <c r="E832" s="13" t="n"/>
      <c r="F832" s="13" t="n"/>
      <c r="G832" s="20" t="n"/>
      <c r="H832" s="14" t="n"/>
      <c r="I832" s="19">
        <f>IF($C832="","",ROUND(IF($G832="",1,$G832)*N($H832),2))</f>
        <v/>
      </c>
      <c r="J832" s="17">
        <f>IF($C832="","",IFERROR(VLOOKUP($C832,项目台账!$B:$C,2,0),"※项目不在项目台账里"))</f>
        <v/>
      </c>
      <c r="K832" s="13" t="n"/>
    </row>
    <row r="833">
      <c r="A833" s="17">
        <f>IF($C833="","",ROW()-3)</f>
        <v/>
      </c>
      <c r="B833" s="18" t="n"/>
      <c r="C833" s="13" t="n"/>
      <c r="D833" s="13" t="n"/>
      <c r="E833" s="13" t="n"/>
      <c r="F833" s="13" t="n"/>
      <c r="G833" s="20" t="n"/>
      <c r="H833" s="14" t="n"/>
      <c r="I833" s="19">
        <f>IF($C833="","",ROUND(IF($G833="",1,$G833)*N($H833),2))</f>
        <v/>
      </c>
      <c r="J833" s="17">
        <f>IF($C833="","",IFERROR(VLOOKUP($C833,项目台账!$B:$C,2,0),"※项目不在项目台账里"))</f>
        <v/>
      </c>
      <c r="K833" s="13" t="n"/>
    </row>
    <row r="834">
      <c r="A834" s="17">
        <f>IF($C834="","",ROW()-3)</f>
        <v/>
      </c>
      <c r="B834" s="18" t="n"/>
      <c r="C834" s="13" t="n"/>
      <c r="D834" s="13" t="n"/>
      <c r="E834" s="13" t="n"/>
      <c r="F834" s="13" t="n"/>
      <c r="G834" s="20" t="n"/>
      <c r="H834" s="14" t="n"/>
      <c r="I834" s="19">
        <f>IF($C834="","",ROUND(IF($G834="",1,$G834)*N($H834),2))</f>
        <v/>
      </c>
      <c r="J834" s="17">
        <f>IF($C834="","",IFERROR(VLOOKUP($C834,项目台账!$B:$C,2,0),"※项目不在项目台账里"))</f>
        <v/>
      </c>
      <c r="K834" s="13" t="n"/>
    </row>
    <row r="835">
      <c r="A835" s="17">
        <f>IF($C835="","",ROW()-3)</f>
        <v/>
      </c>
      <c r="B835" s="18" t="n"/>
      <c r="C835" s="13" t="n"/>
      <c r="D835" s="13" t="n"/>
      <c r="E835" s="13" t="n"/>
      <c r="F835" s="13" t="n"/>
      <c r="G835" s="20" t="n"/>
      <c r="H835" s="14" t="n"/>
      <c r="I835" s="19">
        <f>IF($C835="","",ROUND(IF($G835="",1,$G835)*N($H835),2))</f>
        <v/>
      </c>
      <c r="J835" s="17">
        <f>IF($C835="","",IFERROR(VLOOKUP($C835,项目台账!$B:$C,2,0),"※项目不在项目台账里"))</f>
        <v/>
      </c>
      <c r="K835" s="13" t="n"/>
    </row>
    <row r="836">
      <c r="A836" s="17">
        <f>IF($C836="","",ROW()-3)</f>
        <v/>
      </c>
      <c r="B836" s="18" t="n"/>
      <c r="C836" s="13" t="n"/>
      <c r="D836" s="13" t="n"/>
      <c r="E836" s="13" t="n"/>
      <c r="F836" s="13" t="n"/>
      <c r="G836" s="20" t="n"/>
      <c r="H836" s="14" t="n"/>
      <c r="I836" s="19">
        <f>IF($C836="","",ROUND(IF($G836="",1,$G836)*N($H836),2))</f>
        <v/>
      </c>
      <c r="J836" s="17">
        <f>IF($C836="","",IFERROR(VLOOKUP($C836,项目台账!$B:$C,2,0),"※项目不在项目台账里"))</f>
        <v/>
      </c>
      <c r="K836" s="13" t="n"/>
    </row>
    <row r="837">
      <c r="A837" s="17">
        <f>IF($C837="","",ROW()-3)</f>
        <v/>
      </c>
      <c r="B837" s="18" t="n"/>
      <c r="C837" s="13" t="n"/>
      <c r="D837" s="13" t="n"/>
      <c r="E837" s="13" t="n"/>
      <c r="F837" s="13" t="n"/>
      <c r="G837" s="20" t="n"/>
      <c r="H837" s="14" t="n"/>
      <c r="I837" s="19">
        <f>IF($C837="","",ROUND(IF($G837="",1,$G837)*N($H837),2))</f>
        <v/>
      </c>
      <c r="J837" s="17">
        <f>IF($C837="","",IFERROR(VLOOKUP($C837,项目台账!$B:$C,2,0),"※项目不在项目台账里"))</f>
        <v/>
      </c>
      <c r="K837" s="13" t="n"/>
    </row>
    <row r="838">
      <c r="A838" s="17">
        <f>IF($C838="","",ROW()-3)</f>
        <v/>
      </c>
      <c r="B838" s="18" t="n"/>
      <c r="C838" s="13" t="n"/>
      <c r="D838" s="13" t="n"/>
      <c r="E838" s="13" t="n"/>
      <c r="F838" s="13" t="n"/>
      <c r="G838" s="20" t="n"/>
      <c r="H838" s="14" t="n"/>
      <c r="I838" s="19">
        <f>IF($C838="","",ROUND(IF($G838="",1,$G838)*N($H838),2))</f>
        <v/>
      </c>
      <c r="J838" s="17">
        <f>IF($C838="","",IFERROR(VLOOKUP($C838,项目台账!$B:$C,2,0),"※项目不在项目台账里"))</f>
        <v/>
      </c>
      <c r="K838" s="13" t="n"/>
    </row>
    <row r="839">
      <c r="A839" s="17">
        <f>IF($C839="","",ROW()-3)</f>
        <v/>
      </c>
      <c r="B839" s="18" t="n"/>
      <c r="C839" s="13" t="n"/>
      <c r="D839" s="13" t="n"/>
      <c r="E839" s="13" t="n"/>
      <c r="F839" s="13" t="n"/>
      <c r="G839" s="20" t="n"/>
      <c r="H839" s="14" t="n"/>
      <c r="I839" s="19">
        <f>IF($C839="","",ROUND(IF($G839="",1,$G839)*N($H839),2))</f>
        <v/>
      </c>
      <c r="J839" s="17">
        <f>IF($C839="","",IFERROR(VLOOKUP($C839,项目台账!$B:$C,2,0),"※项目不在项目台账里"))</f>
        <v/>
      </c>
      <c r="K839" s="13" t="n"/>
    </row>
    <row r="840">
      <c r="A840" s="17">
        <f>IF($C840="","",ROW()-3)</f>
        <v/>
      </c>
      <c r="B840" s="18" t="n"/>
      <c r="C840" s="13" t="n"/>
      <c r="D840" s="13" t="n"/>
      <c r="E840" s="13" t="n"/>
      <c r="F840" s="13" t="n"/>
      <c r="G840" s="20" t="n"/>
      <c r="H840" s="14" t="n"/>
      <c r="I840" s="19">
        <f>IF($C840="","",ROUND(IF($G840="",1,$G840)*N($H840),2))</f>
        <v/>
      </c>
      <c r="J840" s="17">
        <f>IF($C840="","",IFERROR(VLOOKUP($C840,项目台账!$B:$C,2,0),"※项目不在项目台账里"))</f>
        <v/>
      </c>
      <c r="K840" s="13" t="n"/>
    </row>
    <row r="841">
      <c r="A841" s="17">
        <f>IF($C841="","",ROW()-3)</f>
        <v/>
      </c>
      <c r="B841" s="18" t="n"/>
      <c r="C841" s="13" t="n"/>
      <c r="D841" s="13" t="n"/>
      <c r="E841" s="13" t="n"/>
      <c r="F841" s="13" t="n"/>
      <c r="G841" s="20" t="n"/>
      <c r="H841" s="14" t="n"/>
      <c r="I841" s="19">
        <f>IF($C841="","",ROUND(IF($G841="",1,$G841)*N($H841),2))</f>
        <v/>
      </c>
      <c r="J841" s="17">
        <f>IF($C841="","",IFERROR(VLOOKUP($C841,项目台账!$B:$C,2,0),"※项目不在项目台账里"))</f>
        <v/>
      </c>
      <c r="K841" s="13" t="n"/>
    </row>
    <row r="842">
      <c r="A842" s="17">
        <f>IF($C842="","",ROW()-3)</f>
        <v/>
      </c>
      <c r="B842" s="18" t="n"/>
      <c r="C842" s="13" t="n"/>
      <c r="D842" s="13" t="n"/>
      <c r="E842" s="13" t="n"/>
      <c r="F842" s="13" t="n"/>
      <c r="G842" s="20" t="n"/>
      <c r="H842" s="14" t="n"/>
      <c r="I842" s="19">
        <f>IF($C842="","",ROUND(IF($G842="",1,$G842)*N($H842),2))</f>
        <v/>
      </c>
      <c r="J842" s="17">
        <f>IF($C842="","",IFERROR(VLOOKUP($C842,项目台账!$B:$C,2,0),"※项目不在项目台账里"))</f>
        <v/>
      </c>
      <c r="K842" s="13" t="n"/>
    </row>
    <row r="843">
      <c r="A843" s="17">
        <f>IF($C843="","",ROW()-3)</f>
        <v/>
      </c>
      <c r="B843" s="18" t="n"/>
      <c r="C843" s="13" t="n"/>
      <c r="D843" s="13" t="n"/>
      <c r="E843" s="13" t="n"/>
      <c r="F843" s="13" t="n"/>
      <c r="G843" s="20" t="n"/>
      <c r="H843" s="14" t="n"/>
      <c r="I843" s="19">
        <f>IF($C843="","",ROUND(IF($G843="",1,$G843)*N($H843),2))</f>
        <v/>
      </c>
      <c r="J843" s="17">
        <f>IF($C843="","",IFERROR(VLOOKUP($C843,项目台账!$B:$C,2,0),"※项目不在项目台账里"))</f>
        <v/>
      </c>
      <c r="K843" s="13" t="n"/>
    </row>
    <row r="844">
      <c r="A844" s="17">
        <f>IF($C844="","",ROW()-3)</f>
        <v/>
      </c>
      <c r="B844" s="18" t="n"/>
      <c r="C844" s="13" t="n"/>
      <c r="D844" s="13" t="n"/>
      <c r="E844" s="13" t="n"/>
      <c r="F844" s="13" t="n"/>
      <c r="G844" s="20" t="n"/>
      <c r="H844" s="14" t="n"/>
      <c r="I844" s="19">
        <f>IF($C844="","",ROUND(IF($G844="",1,$G844)*N($H844),2))</f>
        <v/>
      </c>
      <c r="J844" s="17">
        <f>IF($C844="","",IFERROR(VLOOKUP($C844,项目台账!$B:$C,2,0),"※项目不在项目台账里"))</f>
        <v/>
      </c>
      <c r="K844" s="13" t="n"/>
    </row>
    <row r="845">
      <c r="A845" s="17">
        <f>IF($C845="","",ROW()-3)</f>
        <v/>
      </c>
      <c r="B845" s="18" t="n"/>
      <c r="C845" s="13" t="n"/>
      <c r="D845" s="13" t="n"/>
      <c r="E845" s="13" t="n"/>
      <c r="F845" s="13" t="n"/>
      <c r="G845" s="20" t="n"/>
      <c r="H845" s="14" t="n"/>
      <c r="I845" s="19">
        <f>IF($C845="","",ROUND(IF($G845="",1,$G845)*N($H845),2))</f>
        <v/>
      </c>
      <c r="J845" s="17">
        <f>IF($C845="","",IFERROR(VLOOKUP($C845,项目台账!$B:$C,2,0),"※项目不在项目台账里"))</f>
        <v/>
      </c>
      <c r="K845" s="13" t="n"/>
    </row>
    <row r="846">
      <c r="A846" s="17">
        <f>IF($C846="","",ROW()-3)</f>
        <v/>
      </c>
      <c r="B846" s="18" t="n"/>
      <c r="C846" s="13" t="n"/>
      <c r="D846" s="13" t="n"/>
      <c r="E846" s="13" t="n"/>
      <c r="F846" s="13" t="n"/>
      <c r="G846" s="20" t="n"/>
      <c r="H846" s="14" t="n"/>
      <c r="I846" s="19">
        <f>IF($C846="","",ROUND(IF($G846="",1,$G846)*N($H846),2))</f>
        <v/>
      </c>
      <c r="J846" s="17">
        <f>IF($C846="","",IFERROR(VLOOKUP($C846,项目台账!$B:$C,2,0),"※项目不在项目台账里"))</f>
        <v/>
      </c>
      <c r="K846" s="13" t="n"/>
    </row>
    <row r="847">
      <c r="A847" s="17">
        <f>IF($C847="","",ROW()-3)</f>
        <v/>
      </c>
      <c r="B847" s="18" t="n"/>
      <c r="C847" s="13" t="n"/>
      <c r="D847" s="13" t="n"/>
      <c r="E847" s="13" t="n"/>
      <c r="F847" s="13" t="n"/>
      <c r="G847" s="20" t="n"/>
      <c r="H847" s="14" t="n"/>
      <c r="I847" s="19">
        <f>IF($C847="","",ROUND(IF($G847="",1,$G847)*N($H847),2))</f>
        <v/>
      </c>
      <c r="J847" s="17">
        <f>IF($C847="","",IFERROR(VLOOKUP($C847,项目台账!$B:$C,2,0),"※项目不在项目台账里"))</f>
        <v/>
      </c>
      <c r="K847" s="13" t="n"/>
    </row>
    <row r="848">
      <c r="A848" s="17">
        <f>IF($C848="","",ROW()-3)</f>
        <v/>
      </c>
      <c r="B848" s="18" t="n"/>
      <c r="C848" s="13" t="n"/>
      <c r="D848" s="13" t="n"/>
      <c r="E848" s="13" t="n"/>
      <c r="F848" s="13" t="n"/>
      <c r="G848" s="20" t="n"/>
      <c r="H848" s="14" t="n"/>
      <c r="I848" s="19">
        <f>IF($C848="","",ROUND(IF($G848="",1,$G848)*N($H848),2))</f>
        <v/>
      </c>
      <c r="J848" s="17">
        <f>IF($C848="","",IFERROR(VLOOKUP($C848,项目台账!$B:$C,2,0),"※项目不在项目台账里"))</f>
        <v/>
      </c>
      <c r="K848" s="13" t="n"/>
    </row>
    <row r="849">
      <c r="A849" s="17">
        <f>IF($C849="","",ROW()-3)</f>
        <v/>
      </c>
      <c r="B849" s="18" t="n"/>
      <c r="C849" s="13" t="n"/>
      <c r="D849" s="13" t="n"/>
      <c r="E849" s="13" t="n"/>
      <c r="F849" s="13" t="n"/>
      <c r="G849" s="20" t="n"/>
      <c r="H849" s="14" t="n"/>
      <c r="I849" s="19">
        <f>IF($C849="","",ROUND(IF($G849="",1,$G849)*N($H849),2))</f>
        <v/>
      </c>
      <c r="J849" s="17">
        <f>IF($C849="","",IFERROR(VLOOKUP($C849,项目台账!$B:$C,2,0),"※项目不在项目台账里"))</f>
        <v/>
      </c>
      <c r="K849" s="13" t="n"/>
    </row>
    <row r="850">
      <c r="A850" s="17">
        <f>IF($C850="","",ROW()-3)</f>
        <v/>
      </c>
      <c r="B850" s="18" t="n"/>
      <c r="C850" s="13" t="n"/>
      <c r="D850" s="13" t="n"/>
      <c r="E850" s="13" t="n"/>
      <c r="F850" s="13" t="n"/>
      <c r="G850" s="20" t="n"/>
      <c r="H850" s="14" t="n"/>
      <c r="I850" s="19">
        <f>IF($C850="","",ROUND(IF($G850="",1,$G850)*N($H850),2))</f>
        <v/>
      </c>
      <c r="J850" s="17">
        <f>IF($C850="","",IFERROR(VLOOKUP($C850,项目台账!$B:$C,2,0),"※项目不在项目台账里"))</f>
        <v/>
      </c>
      <c r="K850" s="13" t="n"/>
    </row>
    <row r="851">
      <c r="A851" s="17">
        <f>IF($C851="","",ROW()-3)</f>
        <v/>
      </c>
      <c r="B851" s="18" t="n"/>
      <c r="C851" s="13" t="n"/>
      <c r="D851" s="13" t="n"/>
      <c r="E851" s="13" t="n"/>
      <c r="F851" s="13" t="n"/>
      <c r="G851" s="20" t="n"/>
      <c r="H851" s="14" t="n"/>
      <c r="I851" s="19">
        <f>IF($C851="","",ROUND(IF($G851="",1,$G851)*N($H851),2))</f>
        <v/>
      </c>
      <c r="J851" s="17">
        <f>IF($C851="","",IFERROR(VLOOKUP($C851,项目台账!$B:$C,2,0),"※项目不在项目台账里"))</f>
        <v/>
      </c>
      <c r="K851" s="13" t="n"/>
    </row>
    <row r="852">
      <c r="A852" s="17">
        <f>IF($C852="","",ROW()-3)</f>
        <v/>
      </c>
      <c r="B852" s="18" t="n"/>
      <c r="C852" s="13" t="n"/>
      <c r="D852" s="13" t="n"/>
      <c r="E852" s="13" t="n"/>
      <c r="F852" s="13" t="n"/>
      <c r="G852" s="20" t="n"/>
      <c r="H852" s="14" t="n"/>
      <c r="I852" s="19">
        <f>IF($C852="","",ROUND(IF($G852="",1,$G852)*N($H852),2))</f>
        <v/>
      </c>
      <c r="J852" s="17">
        <f>IF($C852="","",IFERROR(VLOOKUP($C852,项目台账!$B:$C,2,0),"※项目不在项目台账里"))</f>
        <v/>
      </c>
      <c r="K852" s="13" t="n"/>
    </row>
    <row r="853">
      <c r="A853" s="17">
        <f>IF($C853="","",ROW()-3)</f>
        <v/>
      </c>
      <c r="B853" s="18" t="n"/>
      <c r="C853" s="13" t="n"/>
      <c r="D853" s="13" t="n"/>
      <c r="E853" s="13" t="n"/>
      <c r="F853" s="13" t="n"/>
      <c r="G853" s="20" t="n"/>
      <c r="H853" s="14" t="n"/>
      <c r="I853" s="19">
        <f>IF($C853="","",ROUND(IF($G853="",1,$G853)*N($H853),2))</f>
        <v/>
      </c>
      <c r="J853" s="17">
        <f>IF($C853="","",IFERROR(VLOOKUP($C853,项目台账!$B:$C,2,0),"※项目不在项目台账里"))</f>
        <v/>
      </c>
      <c r="K853" s="13" t="n"/>
    </row>
    <row r="854">
      <c r="A854" s="17">
        <f>IF($C854="","",ROW()-3)</f>
        <v/>
      </c>
      <c r="B854" s="18" t="n"/>
      <c r="C854" s="13" t="n"/>
      <c r="D854" s="13" t="n"/>
      <c r="E854" s="13" t="n"/>
      <c r="F854" s="13" t="n"/>
      <c r="G854" s="20" t="n"/>
      <c r="H854" s="14" t="n"/>
      <c r="I854" s="19">
        <f>IF($C854="","",ROUND(IF($G854="",1,$G854)*N($H854),2))</f>
        <v/>
      </c>
      <c r="J854" s="17">
        <f>IF($C854="","",IFERROR(VLOOKUP($C854,项目台账!$B:$C,2,0),"※项目不在项目台账里"))</f>
        <v/>
      </c>
      <c r="K854" s="13" t="n"/>
    </row>
    <row r="855">
      <c r="A855" s="17">
        <f>IF($C855="","",ROW()-3)</f>
        <v/>
      </c>
      <c r="B855" s="18" t="n"/>
      <c r="C855" s="13" t="n"/>
      <c r="D855" s="13" t="n"/>
      <c r="E855" s="13" t="n"/>
      <c r="F855" s="13" t="n"/>
      <c r="G855" s="20" t="n"/>
      <c r="H855" s="14" t="n"/>
      <c r="I855" s="19">
        <f>IF($C855="","",ROUND(IF($G855="",1,$G855)*N($H855),2))</f>
        <v/>
      </c>
      <c r="J855" s="17">
        <f>IF($C855="","",IFERROR(VLOOKUP($C855,项目台账!$B:$C,2,0),"※项目不在项目台账里"))</f>
        <v/>
      </c>
      <c r="K855" s="13" t="n"/>
    </row>
    <row r="856">
      <c r="A856" s="17">
        <f>IF($C856="","",ROW()-3)</f>
        <v/>
      </c>
      <c r="B856" s="18" t="n"/>
      <c r="C856" s="13" t="n"/>
      <c r="D856" s="13" t="n"/>
      <c r="E856" s="13" t="n"/>
      <c r="F856" s="13" t="n"/>
      <c r="G856" s="20" t="n"/>
      <c r="H856" s="14" t="n"/>
      <c r="I856" s="19">
        <f>IF($C856="","",ROUND(IF($G856="",1,$G856)*N($H856),2))</f>
        <v/>
      </c>
      <c r="J856" s="17">
        <f>IF($C856="","",IFERROR(VLOOKUP($C856,项目台账!$B:$C,2,0),"※项目不在项目台账里"))</f>
        <v/>
      </c>
      <c r="K856" s="13" t="n"/>
    </row>
    <row r="857">
      <c r="A857" s="17">
        <f>IF($C857="","",ROW()-3)</f>
        <v/>
      </c>
      <c r="B857" s="18" t="n"/>
      <c r="C857" s="13" t="n"/>
      <c r="D857" s="13" t="n"/>
      <c r="E857" s="13" t="n"/>
      <c r="F857" s="13" t="n"/>
      <c r="G857" s="20" t="n"/>
      <c r="H857" s="14" t="n"/>
      <c r="I857" s="19">
        <f>IF($C857="","",ROUND(IF($G857="",1,$G857)*N($H857),2))</f>
        <v/>
      </c>
      <c r="J857" s="17">
        <f>IF($C857="","",IFERROR(VLOOKUP($C857,项目台账!$B:$C,2,0),"※项目不在项目台账里"))</f>
        <v/>
      </c>
      <c r="K857" s="13" t="n"/>
    </row>
    <row r="858">
      <c r="A858" s="17">
        <f>IF($C858="","",ROW()-3)</f>
        <v/>
      </c>
      <c r="B858" s="18" t="n"/>
      <c r="C858" s="13" t="n"/>
      <c r="D858" s="13" t="n"/>
      <c r="E858" s="13" t="n"/>
      <c r="F858" s="13" t="n"/>
      <c r="G858" s="20" t="n"/>
      <c r="H858" s="14" t="n"/>
      <c r="I858" s="19">
        <f>IF($C858="","",ROUND(IF($G858="",1,$G858)*N($H858),2))</f>
        <v/>
      </c>
      <c r="J858" s="17">
        <f>IF($C858="","",IFERROR(VLOOKUP($C858,项目台账!$B:$C,2,0),"※项目不在项目台账里"))</f>
        <v/>
      </c>
      <c r="K858" s="13" t="n"/>
    </row>
    <row r="859">
      <c r="A859" s="17">
        <f>IF($C859="","",ROW()-3)</f>
        <v/>
      </c>
      <c r="B859" s="18" t="n"/>
      <c r="C859" s="13" t="n"/>
      <c r="D859" s="13" t="n"/>
      <c r="E859" s="13" t="n"/>
      <c r="F859" s="13" t="n"/>
      <c r="G859" s="20" t="n"/>
      <c r="H859" s="14" t="n"/>
      <c r="I859" s="19">
        <f>IF($C859="","",ROUND(IF($G859="",1,$G859)*N($H859),2))</f>
        <v/>
      </c>
      <c r="J859" s="17">
        <f>IF($C859="","",IFERROR(VLOOKUP($C859,项目台账!$B:$C,2,0),"※项目不在项目台账里"))</f>
        <v/>
      </c>
      <c r="K859" s="13" t="n"/>
    </row>
    <row r="860">
      <c r="A860" s="17">
        <f>IF($C860="","",ROW()-3)</f>
        <v/>
      </c>
      <c r="B860" s="18" t="n"/>
      <c r="C860" s="13" t="n"/>
      <c r="D860" s="13" t="n"/>
      <c r="E860" s="13" t="n"/>
      <c r="F860" s="13" t="n"/>
      <c r="G860" s="20" t="n"/>
      <c r="H860" s="14" t="n"/>
      <c r="I860" s="19">
        <f>IF($C860="","",ROUND(IF($G860="",1,$G860)*N($H860),2))</f>
        <v/>
      </c>
      <c r="J860" s="17">
        <f>IF($C860="","",IFERROR(VLOOKUP($C860,项目台账!$B:$C,2,0),"※项目不在项目台账里"))</f>
        <v/>
      </c>
      <c r="K860" s="13" t="n"/>
    </row>
    <row r="861">
      <c r="A861" s="17">
        <f>IF($C861="","",ROW()-3)</f>
        <v/>
      </c>
      <c r="B861" s="18" t="n"/>
      <c r="C861" s="13" t="n"/>
      <c r="D861" s="13" t="n"/>
      <c r="E861" s="13" t="n"/>
      <c r="F861" s="13" t="n"/>
      <c r="G861" s="20" t="n"/>
      <c r="H861" s="14" t="n"/>
      <c r="I861" s="19">
        <f>IF($C861="","",ROUND(IF($G861="",1,$G861)*N($H861),2))</f>
        <v/>
      </c>
      <c r="J861" s="17">
        <f>IF($C861="","",IFERROR(VLOOKUP($C861,项目台账!$B:$C,2,0),"※项目不在项目台账里"))</f>
        <v/>
      </c>
      <c r="K861" s="13" t="n"/>
    </row>
    <row r="862">
      <c r="A862" s="17">
        <f>IF($C862="","",ROW()-3)</f>
        <v/>
      </c>
      <c r="B862" s="18" t="n"/>
      <c r="C862" s="13" t="n"/>
      <c r="D862" s="13" t="n"/>
      <c r="E862" s="13" t="n"/>
      <c r="F862" s="13" t="n"/>
      <c r="G862" s="20" t="n"/>
      <c r="H862" s="14" t="n"/>
      <c r="I862" s="19">
        <f>IF($C862="","",ROUND(IF($G862="",1,$G862)*N($H862),2))</f>
        <v/>
      </c>
      <c r="J862" s="17">
        <f>IF($C862="","",IFERROR(VLOOKUP($C862,项目台账!$B:$C,2,0),"※项目不在项目台账里"))</f>
        <v/>
      </c>
      <c r="K862" s="13" t="n"/>
    </row>
    <row r="863">
      <c r="A863" s="17">
        <f>IF($C863="","",ROW()-3)</f>
        <v/>
      </c>
      <c r="B863" s="18" t="n"/>
      <c r="C863" s="13" t="n"/>
      <c r="D863" s="13" t="n"/>
      <c r="E863" s="13" t="n"/>
      <c r="F863" s="13" t="n"/>
      <c r="G863" s="20" t="n"/>
      <c r="H863" s="14" t="n"/>
      <c r="I863" s="19">
        <f>IF($C863="","",ROUND(IF($G863="",1,$G863)*N($H863),2))</f>
        <v/>
      </c>
      <c r="J863" s="17">
        <f>IF($C863="","",IFERROR(VLOOKUP($C863,项目台账!$B:$C,2,0),"※项目不在项目台账里"))</f>
        <v/>
      </c>
      <c r="K863" s="13" t="n"/>
    </row>
    <row r="864">
      <c r="A864" s="17">
        <f>IF($C864="","",ROW()-3)</f>
        <v/>
      </c>
      <c r="B864" s="18" t="n"/>
      <c r="C864" s="13" t="n"/>
      <c r="D864" s="13" t="n"/>
      <c r="E864" s="13" t="n"/>
      <c r="F864" s="13" t="n"/>
      <c r="G864" s="20" t="n"/>
      <c r="H864" s="14" t="n"/>
      <c r="I864" s="19">
        <f>IF($C864="","",ROUND(IF($G864="",1,$G864)*N($H864),2))</f>
        <v/>
      </c>
      <c r="J864" s="17">
        <f>IF($C864="","",IFERROR(VLOOKUP($C864,项目台账!$B:$C,2,0),"※项目不在项目台账里"))</f>
        <v/>
      </c>
      <c r="K864" s="13" t="n"/>
    </row>
    <row r="865">
      <c r="A865" s="17">
        <f>IF($C865="","",ROW()-3)</f>
        <v/>
      </c>
      <c r="B865" s="18" t="n"/>
      <c r="C865" s="13" t="n"/>
      <c r="D865" s="13" t="n"/>
      <c r="E865" s="13" t="n"/>
      <c r="F865" s="13" t="n"/>
      <c r="G865" s="20" t="n"/>
      <c r="H865" s="14" t="n"/>
      <c r="I865" s="19">
        <f>IF($C865="","",ROUND(IF($G865="",1,$G865)*N($H865),2))</f>
        <v/>
      </c>
      <c r="J865" s="17">
        <f>IF($C865="","",IFERROR(VLOOKUP($C865,项目台账!$B:$C,2,0),"※项目不在项目台账里"))</f>
        <v/>
      </c>
      <c r="K865" s="13" t="n"/>
    </row>
    <row r="866">
      <c r="A866" s="17">
        <f>IF($C866="","",ROW()-3)</f>
        <v/>
      </c>
      <c r="B866" s="18" t="n"/>
      <c r="C866" s="13" t="n"/>
      <c r="D866" s="13" t="n"/>
      <c r="E866" s="13" t="n"/>
      <c r="F866" s="13" t="n"/>
      <c r="G866" s="20" t="n"/>
      <c r="H866" s="14" t="n"/>
      <c r="I866" s="19">
        <f>IF($C866="","",ROUND(IF($G866="",1,$G866)*N($H866),2))</f>
        <v/>
      </c>
      <c r="J866" s="17">
        <f>IF($C866="","",IFERROR(VLOOKUP($C866,项目台账!$B:$C,2,0),"※项目不在项目台账里"))</f>
        <v/>
      </c>
      <c r="K866" s="13" t="n"/>
    </row>
    <row r="867">
      <c r="A867" s="17">
        <f>IF($C867="","",ROW()-3)</f>
        <v/>
      </c>
      <c r="B867" s="18" t="n"/>
      <c r="C867" s="13" t="n"/>
      <c r="D867" s="13" t="n"/>
      <c r="E867" s="13" t="n"/>
      <c r="F867" s="13" t="n"/>
      <c r="G867" s="20" t="n"/>
      <c r="H867" s="14" t="n"/>
      <c r="I867" s="19">
        <f>IF($C867="","",ROUND(IF($G867="",1,$G867)*N($H867),2))</f>
        <v/>
      </c>
      <c r="J867" s="17">
        <f>IF($C867="","",IFERROR(VLOOKUP($C867,项目台账!$B:$C,2,0),"※项目不在项目台账里"))</f>
        <v/>
      </c>
      <c r="K867" s="13" t="n"/>
    </row>
    <row r="868">
      <c r="A868" s="17">
        <f>IF($C868="","",ROW()-3)</f>
        <v/>
      </c>
      <c r="B868" s="18" t="n"/>
      <c r="C868" s="13" t="n"/>
      <c r="D868" s="13" t="n"/>
      <c r="E868" s="13" t="n"/>
      <c r="F868" s="13" t="n"/>
      <c r="G868" s="20" t="n"/>
      <c r="H868" s="14" t="n"/>
      <c r="I868" s="19">
        <f>IF($C868="","",ROUND(IF($G868="",1,$G868)*N($H868),2))</f>
        <v/>
      </c>
      <c r="J868" s="17">
        <f>IF($C868="","",IFERROR(VLOOKUP($C868,项目台账!$B:$C,2,0),"※项目不在项目台账里"))</f>
        <v/>
      </c>
      <c r="K868" s="13" t="n"/>
    </row>
    <row r="869">
      <c r="A869" s="17">
        <f>IF($C869="","",ROW()-3)</f>
        <v/>
      </c>
      <c r="B869" s="18" t="n"/>
      <c r="C869" s="13" t="n"/>
      <c r="D869" s="13" t="n"/>
      <c r="E869" s="13" t="n"/>
      <c r="F869" s="13" t="n"/>
      <c r="G869" s="20" t="n"/>
      <c r="H869" s="14" t="n"/>
      <c r="I869" s="19">
        <f>IF($C869="","",ROUND(IF($G869="",1,$G869)*N($H869),2))</f>
        <v/>
      </c>
      <c r="J869" s="17">
        <f>IF($C869="","",IFERROR(VLOOKUP($C869,项目台账!$B:$C,2,0),"※项目不在项目台账里"))</f>
        <v/>
      </c>
      <c r="K869" s="13" t="n"/>
    </row>
    <row r="870">
      <c r="A870" s="17">
        <f>IF($C870="","",ROW()-3)</f>
        <v/>
      </c>
      <c r="B870" s="18" t="n"/>
      <c r="C870" s="13" t="n"/>
      <c r="D870" s="13" t="n"/>
      <c r="E870" s="13" t="n"/>
      <c r="F870" s="13" t="n"/>
      <c r="G870" s="20" t="n"/>
      <c r="H870" s="14" t="n"/>
      <c r="I870" s="19">
        <f>IF($C870="","",ROUND(IF($G870="",1,$G870)*N($H870),2))</f>
        <v/>
      </c>
      <c r="J870" s="17">
        <f>IF($C870="","",IFERROR(VLOOKUP($C870,项目台账!$B:$C,2,0),"※项目不在项目台账里"))</f>
        <v/>
      </c>
      <c r="K870" s="13" t="n"/>
    </row>
    <row r="871">
      <c r="A871" s="17">
        <f>IF($C871="","",ROW()-3)</f>
        <v/>
      </c>
      <c r="B871" s="18" t="n"/>
      <c r="C871" s="13" t="n"/>
      <c r="D871" s="13" t="n"/>
      <c r="E871" s="13" t="n"/>
      <c r="F871" s="13" t="n"/>
      <c r="G871" s="20" t="n"/>
      <c r="H871" s="14" t="n"/>
      <c r="I871" s="19">
        <f>IF($C871="","",ROUND(IF($G871="",1,$G871)*N($H871),2))</f>
        <v/>
      </c>
      <c r="J871" s="17">
        <f>IF($C871="","",IFERROR(VLOOKUP($C871,项目台账!$B:$C,2,0),"※项目不在项目台账里"))</f>
        <v/>
      </c>
      <c r="K871" s="13" t="n"/>
    </row>
    <row r="872">
      <c r="A872" s="17">
        <f>IF($C872="","",ROW()-3)</f>
        <v/>
      </c>
      <c r="B872" s="18" t="n"/>
      <c r="C872" s="13" t="n"/>
      <c r="D872" s="13" t="n"/>
      <c r="E872" s="13" t="n"/>
      <c r="F872" s="13" t="n"/>
      <c r="G872" s="20" t="n"/>
      <c r="H872" s="14" t="n"/>
      <c r="I872" s="19">
        <f>IF($C872="","",ROUND(IF($G872="",1,$G872)*N($H872),2))</f>
        <v/>
      </c>
      <c r="J872" s="17">
        <f>IF($C872="","",IFERROR(VLOOKUP($C872,项目台账!$B:$C,2,0),"※项目不在项目台账里"))</f>
        <v/>
      </c>
      <c r="K872" s="13" t="n"/>
    </row>
    <row r="873">
      <c r="A873" s="17">
        <f>IF($C873="","",ROW()-3)</f>
        <v/>
      </c>
      <c r="B873" s="18" t="n"/>
      <c r="C873" s="13" t="n"/>
      <c r="D873" s="13" t="n"/>
      <c r="E873" s="13" t="n"/>
      <c r="F873" s="13" t="n"/>
      <c r="G873" s="20" t="n"/>
      <c r="H873" s="14" t="n"/>
      <c r="I873" s="19">
        <f>IF($C873="","",ROUND(IF($G873="",1,$G873)*N($H873),2))</f>
        <v/>
      </c>
      <c r="J873" s="17">
        <f>IF($C873="","",IFERROR(VLOOKUP($C873,项目台账!$B:$C,2,0),"※项目不在项目台账里"))</f>
        <v/>
      </c>
      <c r="K873" s="13" t="n"/>
    </row>
    <row r="874">
      <c r="A874" s="17">
        <f>IF($C874="","",ROW()-3)</f>
        <v/>
      </c>
      <c r="B874" s="18" t="n"/>
      <c r="C874" s="13" t="n"/>
      <c r="D874" s="13" t="n"/>
      <c r="E874" s="13" t="n"/>
      <c r="F874" s="13" t="n"/>
      <c r="G874" s="20" t="n"/>
      <c r="H874" s="14" t="n"/>
      <c r="I874" s="19">
        <f>IF($C874="","",ROUND(IF($G874="",1,$G874)*N($H874),2))</f>
        <v/>
      </c>
      <c r="J874" s="17">
        <f>IF($C874="","",IFERROR(VLOOKUP($C874,项目台账!$B:$C,2,0),"※项目不在项目台账里"))</f>
        <v/>
      </c>
      <c r="K874" s="13" t="n"/>
    </row>
    <row r="875">
      <c r="A875" s="17">
        <f>IF($C875="","",ROW()-3)</f>
        <v/>
      </c>
      <c r="B875" s="18" t="n"/>
      <c r="C875" s="13" t="n"/>
      <c r="D875" s="13" t="n"/>
      <c r="E875" s="13" t="n"/>
      <c r="F875" s="13" t="n"/>
      <c r="G875" s="20" t="n"/>
      <c r="H875" s="14" t="n"/>
      <c r="I875" s="19">
        <f>IF($C875="","",ROUND(IF($G875="",1,$G875)*N($H875),2))</f>
        <v/>
      </c>
      <c r="J875" s="17">
        <f>IF($C875="","",IFERROR(VLOOKUP($C875,项目台账!$B:$C,2,0),"※项目不在项目台账里"))</f>
        <v/>
      </c>
      <c r="K875" s="13" t="n"/>
    </row>
    <row r="876">
      <c r="A876" s="17">
        <f>IF($C876="","",ROW()-3)</f>
        <v/>
      </c>
      <c r="B876" s="18" t="n"/>
      <c r="C876" s="13" t="n"/>
      <c r="D876" s="13" t="n"/>
      <c r="E876" s="13" t="n"/>
      <c r="F876" s="13" t="n"/>
      <c r="G876" s="20" t="n"/>
      <c r="H876" s="14" t="n"/>
      <c r="I876" s="19">
        <f>IF($C876="","",ROUND(IF($G876="",1,$G876)*N($H876),2))</f>
        <v/>
      </c>
      <c r="J876" s="17">
        <f>IF($C876="","",IFERROR(VLOOKUP($C876,项目台账!$B:$C,2,0),"※项目不在项目台账里"))</f>
        <v/>
      </c>
      <c r="K876" s="13" t="n"/>
    </row>
    <row r="877">
      <c r="A877" s="17">
        <f>IF($C877="","",ROW()-3)</f>
        <v/>
      </c>
      <c r="B877" s="18" t="n"/>
      <c r="C877" s="13" t="n"/>
      <c r="D877" s="13" t="n"/>
      <c r="E877" s="13" t="n"/>
      <c r="F877" s="13" t="n"/>
      <c r="G877" s="20" t="n"/>
      <c r="H877" s="14" t="n"/>
      <c r="I877" s="19">
        <f>IF($C877="","",ROUND(IF($G877="",1,$G877)*N($H877),2))</f>
        <v/>
      </c>
      <c r="J877" s="17">
        <f>IF($C877="","",IFERROR(VLOOKUP($C877,项目台账!$B:$C,2,0),"※项目不在项目台账里"))</f>
        <v/>
      </c>
      <c r="K877" s="13" t="n"/>
    </row>
    <row r="878">
      <c r="A878" s="17">
        <f>IF($C878="","",ROW()-3)</f>
        <v/>
      </c>
      <c r="B878" s="18" t="n"/>
      <c r="C878" s="13" t="n"/>
      <c r="D878" s="13" t="n"/>
      <c r="E878" s="13" t="n"/>
      <c r="F878" s="13" t="n"/>
      <c r="G878" s="20" t="n"/>
      <c r="H878" s="14" t="n"/>
      <c r="I878" s="19">
        <f>IF($C878="","",ROUND(IF($G878="",1,$G878)*N($H878),2))</f>
        <v/>
      </c>
      <c r="J878" s="17">
        <f>IF($C878="","",IFERROR(VLOOKUP($C878,项目台账!$B:$C,2,0),"※项目不在项目台账里"))</f>
        <v/>
      </c>
      <c r="K878" s="13" t="n"/>
    </row>
    <row r="879">
      <c r="A879" s="17">
        <f>IF($C879="","",ROW()-3)</f>
        <v/>
      </c>
      <c r="B879" s="18" t="n"/>
      <c r="C879" s="13" t="n"/>
      <c r="D879" s="13" t="n"/>
      <c r="E879" s="13" t="n"/>
      <c r="F879" s="13" t="n"/>
      <c r="G879" s="20" t="n"/>
      <c r="H879" s="14" t="n"/>
      <c r="I879" s="19">
        <f>IF($C879="","",ROUND(IF($G879="",1,$G879)*N($H879),2))</f>
        <v/>
      </c>
      <c r="J879" s="17">
        <f>IF($C879="","",IFERROR(VLOOKUP($C879,项目台账!$B:$C,2,0),"※项目不在项目台账里"))</f>
        <v/>
      </c>
      <c r="K879" s="13" t="n"/>
    </row>
    <row r="880">
      <c r="A880" s="17">
        <f>IF($C880="","",ROW()-3)</f>
        <v/>
      </c>
      <c r="B880" s="18" t="n"/>
      <c r="C880" s="13" t="n"/>
      <c r="D880" s="13" t="n"/>
      <c r="E880" s="13" t="n"/>
      <c r="F880" s="13" t="n"/>
      <c r="G880" s="20" t="n"/>
      <c r="H880" s="14" t="n"/>
      <c r="I880" s="19">
        <f>IF($C880="","",ROUND(IF($G880="",1,$G880)*N($H880),2))</f>
        <v/>
      </c>
      <c r="J880" s="17">
        <f>IF($C880="","",IFERROR(VLOOKUP($C880,项目台账!$B:$C,2,0),"※项目不在项目台账里"))</f>
        <v/>
      </c>
      <c r="K880" s="13" t="n"/>
    </row>
    <row r="881">
      <c r="A881" s="17">
        <f>IF($C881="","",ROW()-3)</f>
        <v/>
      </c>
      <c r="B881" s="18" t="n"/>
      <c r="C881" s="13" t="n"/>
      <c r="D881" s="13" t="n"/>
      <c r="E881" s="13" t="n"/>
      <c r="F881" s="13" t="n"/>
      <c r="G881" s="20" t="n"/>
      <c r="H881" s="14" t="n"/>
      <c r="I881" s="19">
        <f>IF($C881="","",ROUND(IF($G881="",1,$G881)*N($H881),2))</f>
        <v/>
      </c>
      <c r="J881" s="17">
        <f>IF($C881="","",IFERROR(VLOOKUP($C881,项目台账!$B:$C,2,0),"※项目不在项目台账里"))</f>
        <v/>
      </c>
      <c r="K881" s="13" t="n"/>
    </row>
    <row r="882">
      <c r="A882" s="17">
        <f>IF($C882="","",ROW()-3)</f>
        <v/>
      </c>
      <c r="B882" s="18" t="n"/>
      <c r="C882" s="13" t="n"/>
      <c r="D882" s="13" t="n"/>
      <c r="E882" s="13" t="n"/>
      <c r="F882" s="13" t="n"/>
      <c r="G882" s="20" t="n"/>
      <c r="H882" s="14" t="n"/>
      <c r="I882" s="19">
        <f>IF($C882="","",ROUND(IF($G882="",1,$G882)*N($H882),2))</f>
        <v/>
      </c>
      <c r="J882" s="17">
        <f>IF($C882="","",IFERROR(VLOOKUP($C882,项目台账!$B:$C,2,0),"※项目不在项目台账里"))</f>
        <v/>
      </c>
      <c r="K882" s="13" t="n"/>
    </row>
    <row r="883">
      <c r="A883" s="17">
        <f>IF($C883="","",ROW()-3)</f>
        <v/>
      </c>
      <c r="B883" s="18" t="n"/>
      <c r="C883" s="13" t="n"/>
      <c r="D883" s="13" t="n"/>
      <c r="E883" s="13" t="n"/>
      <c r="F883" s="13" t="n"/>
      <c r="G883" s="20" t="n"/>
      <c r="H883" s="14" t="n"/>
      <c r="I883" s="19">
        <f>IF($C883="","",ROUND(IF($G883="",1,$G883)*N($H883),2))</f>
        <v/>
      </c>
      <c r="J883" s="17">
        <f>IF($C883="","",IFERROR(VLOOKUP($C883,项目台账!$B:$C,2,0),"※项目不在项目台账里"))</f>
        <v/>
      </c>
      <c r="K883" s="13" t="n"/>
    </row>
    <row r="884">
      <c r="A884" s="17">
        <f>IF($C884="","",ROW()-3)</f>
        <v/>
      </c>
      <c r="B884" s="18" t="n"/>
      <c r="C884" s="13" t="n"/>
      <c r="D884" s="13" t="n"/>
      <c r="E884" s="13" t="n"/>
      <c r="F884" s="13" t="n"/>
      <c r="G884" s="20" t="n"/>
      <c r="H884" s="14" t="n"/>
      <c r="I884" s="19">
        <f>IF($C884="","",ROUND(IF($G884="",1,$G884)*N($H884),2))</f>
        <v/>
      </c>
      <c r="J884" s="17">
        <f>IF($C884="","",IFERROR(VLOOKUP($C884,项目台账!$B:$C,2,0),"※项目不在项目台账里"))</f>
        <v/>
      </c>
      <c r="K884" s="13" t="n"/>
    </row>
    <row r="885">
      <c r="A885" s="17">
        <f>IF($C885="","",ROW()-3)</f>
        <v/>
      </c>
      <c r="B885" s="18" t="n"/>
      <c r="C885" s="13" t="n"/>
      <c r="D885" s="13" t="n"/>
      <c r="E885" s="13" t="n"/>
      <c r="F885" s="13" t="n"/>
      <c r="G885" s="20" t="n"/>
      <c r="H885" s="14" t="n"/>
      <c r="I885" s="19">
        <f>IF($C885="","",ROUND(IF($G885="",1,$G885)*N($H885),2))</f>
        <v/>
      </c>
      <c r="J885" s="17">
        <f>IF($C885="","",IFERROR(VLOOKUP($C885,项目台账!$B:$C,2,0),"※项目不在项目台账里"))</f>
        <v/>
      </c>
      <c r="K885" s="13" t="n"/>
    </row>
    <row r="886">
      <c r="A886" s="17">
        <f>IF($C886="","",ROW()-3)</f>
        <v/>
      </c>
      <c r="B886" s="18" t="n"/>
      <c r="C886" s="13" t="n"/>
      <c r="D886" s="13" t="n"/>
      <c r="E886" s="13" t="n"/>
      <c r="F886" s="13" t="n"/>
      <c r="G886" s="20" t="n"/>
      <c r="H886" s="14" t="n"/>
      <c r="I886" s="19">
        <f>IF($C886="","",ROUND(IF($G886="",1,$G886)*N($H886),2))</f>
        <v/>
      </c>
      <c r="J886" s="17">
        <f>IF($C886="","",IFERROR(VLOOKUP($C886,项目台账!$B:$C,2,0),"※项目不在项目台账里"))</f>
        <v/>
      </c>
      <c r="K886" s="13" t="n"/>
    </row>
    <row r="887">
      <c r="A887" s="17">
        <f>IF($C887="","",ROW()-3)</f>
        <v/>
      </c>
      <c r="B887" s="18" t="n"/>
      <c r="C887" s="13" t="n"/>
      <c r="D887" s="13" t="n"/>
      <c r="E887" s="13" t="n"/>
      <c r="F887" s="13" t="n"/>
      <c r="G887" s="20" t="n"/>
      <c r="H887" s="14" t="n"/>
      <c r="I887" s="19">
        <f>IF($C887="","",ROUND(IF($G887="",1,$G887)*N($H887),2))</f>
        <v/>
      </c>
      <c r="J887" s="17">
        <f>IF($C887="","",IFERROR(VLOOKUP($C887,项目台账!$B:$C,2,0),"※项目不在项目台账里"))</f>
        <v/>
      </c>
      <c r="K887" s="13" t="n"/>
    </row>
    <row r="888">
      <c r="A888" s="17">
        <f>IF($C888="","",ROW()-3)</f>
        <v/>
      </c>
      <c r="B888" s="18" t="n"/>
      <c r="C888" s="13" t="n"/>
      <c r="D888" s="13" t="n"/>
      <c r="E888" s="13" t="n"/>
      <c r="F888" s="13" t="n"/>
      <c r="G888" s="20" t="n"/>
      <c r="H888" s="14" t="n"/>
      <c r="I888" s="19">
        <f>IF($C888="","",ROUND(IF($G888="",1,$G888)*N($H888),2))</f>
        <v/>
      </c>
      <c r="J888" s="17">
        <f>IF($C888="","",IFERROR(VLOOKUP($C888,项目台账!$B:$C,2,0),"※项目不在项目台账里"))</f>
        <v/>
      </c>
      <c r="K888" s="13" t="n"/>
    </row>
    <row r="889">
      <c r="A889" s="17">
        <f>IF($C889="","",ROW()-3)</f>
        <v/>
      </c>
      <c r="B889" s="18" t="n"/>
      <c r="C889" s="13" t="n"/>
      <c r="D889" s="13" t="n"/>
      <c r="E889" s="13" t="n"/>
      <c r="F889" s="13" t="n"/>
      <c r="G889" s="20" t="n"/>
      <c r="H889" s="14" t="n"/>
      <c r="I889" s="19">
        <f>IF($C889="","",ROUND(IF($G889="",1,$G889)*N($H889),2))</f>
        <v/>
      </c>
      <c r="J889" s="17">
        <f>IF($C889="","",IFERROR(VLOOKUP($C889,项目台账!$B:$C,2,0),"※项目不在项目台账里"))</f>
        <v/>
      </c>
      <c r="K889" s="13" t="n"/>
    </row>
    <row r="890">
      <c r="A890" s="17">
        <f>IF($C890="","",ROW()-3)</f>
        <v/>
      </c>
      <c r="B890" s="18" t="n"/>
      <c r="C890" s="13" t="n"/>
      <c r="D890" s="13" t="n"/>
      <c r="E890" s="13" t="n"/>
      <c r="F890" s="13" t="n"/>
      <c r="G890" s="20" t="n"/>
      <c r="H890" s="14" t="n"/>
      <c r="I890" s="19">
        <f>IF($C890="","",ROUND(IF($G890="",1,$G890)*N($H890),2))</f>
        <v/>
      </c>
      <c r="J890" s="17">
        <f>IF($C890="","",IFERROR(VLOOKUP($C890,项目台账!$B:$C,2,0),"※项目不在项目台账里"))</f>
        <v/>
      </c>
      <c r="K890" s="13" t="n"/>
    </row>
    <row r="891">
      <c r="A891" s="17">
        <f>IF($C891="","",ROW()-3)</f>
        <v/>
      </c>
      <c r="B891" s="18" t="n"/>
      <c r="C891" s="13" t="n"/>
      <c r="D891" s="13" t="n"/>
      <c r="E891" s="13" t="n"/>
      <c r="F891" s="13" t="n"/>
      <c r="G891" s="20" t="n"/>
      <c r="H891" s="14" t="n"/>
      <c r="I891" s="19">
        <f>IF($C891="","",ROUND(IF($G891="",1,$G891)*N($H891),2))</f>
        <v/>
      </c>
      <c r="J891" s="17">
        <f>IF($C891="","",IFERROR(VLOOKUP($C891,项目台账!$B:$C,2,0),"※项目不在项目台账里"))</f>
        <v/>
      </c>
      <c r="K891" s="13" t="n"/>
    </row>
    <row r="892">
      <c r="A892" s="17">
        <f>IF($C892="","",ROW()-3)</f>
        <v/>
      </c>
      <c r="B892" s="18" t="n"/>
      <c r="C892" s="13" t="n"/>
      <c r="D892" s="13" t="n"/>
      <c r="E892" s="13" t="n"/>
      <c r="F892" s="13" t="n"/>
      <c r="G892" s="20" t="n"/>
      <c r="H892" s="14" t="n"/>
      <c r="I892" s="19">
        <f>IF($C892="","",ROUND(IF($G892="",1,$G892)*N($H892),2))</f>
        <v/>
      </c>
      <c r="J892" s="17">
        <f>IF($C892="","",IFERROR(VLOOKUP($C892,项目台账!$B:$C,2,0),"※项目不在项目台账里"))</f>
        <v/>
      </c>
      <c r="K892" s="13" t="n"/>
    </row>
    <row r="893">
      <c r="A893" s="17">
        <f>IF($C893="","",ROW()-3)</f>
        <v/>
      </c>
      <c r="B893" s="18" t="n"/>
      <c r="C893" s="13" t="n"/>
      <c r="D893" s="13" t="n"/>
      <c r="E893" s="13" t="n"/>
      <c r="F893" s="13" t="n"/>
      <c r="G893" s="20" t="n"/>
      <c r="H893" s="14" t="n"/>
      <c r="I893" s="19">
        <f>IF($C893="","",ROUND(IF($G893="",1,$G893)*N($H893),2))</f>
        <v/>
      </c>
      <c r="J893" s="17">
        <f>IF($C893="","",IFERROR(VLOOKUP($C893,项目台账!$B:$C,2,0),"※项目不在项目台账里"))</f>
        <v/>
      </c>
      <c r="K893" s="13" t="n"/>
    </row>
    <row r="894">
      <c r="A894" s="17">
        <f>IF($C894="","",ROW()-3)</f>
        <v/>
      </c>
      <c r="B894" s="18" t="n"/>
      <c r="C894" s="13" t="n"/>
      <c r="D894" s="13" t="n"/>
      <c r="E894" s="13" t="n"/>
      <c r="F894" s="13" t="n"/>
      <c r="G894" s="20" t="n"/>
      <c r="H894" s="14" t="n"/>
      <c r="I894" s="19">
        <f>IF($C894="","",ROUND(IF($G894="",1,$G894)*N($H894),2))</f>
        <v/>
      </c>
      <c r="J894" s="17">
        <f>IF($C894="","",IFERROR(VLOOKUP($C894,项目台账!$B:$C,2,0),"※项目不在项目台账里"))</f>
        <v/>
      </c>
      <c r="K894" s="13" t="n"/>
    </row>
    <row r="895">
      <c r="A895" s="17">
        <f>IF($C895="","",ROW()-3)</f>
        <v/>
      </c>
      <c r="B895" s="18" t="n"/>
      <c r="C895" s="13" t="n"/>
      <c r="D895" s="13" t="n"/>
      <c r="E895" s="13" t="n"/>
      <c r="F895" s="13" t="n"/>
      <c r="G895" s="20" t="n"/>
      <c r="H895" s="14" t="n"/>
      <c r="I895" s="19">
        <f>IF($C895="","",ROUND(IF($G895="",1,$G895)*N($H895),2))</f>
        <v/>
      </c>
      <c r="J895" s="17">
        <f>IF($C895="","",IFERROR(VLOOKUP($C895,项目台账!$B:$C,2,0),"※项目不在项目台账里"))</f>
        <v/>
      </c>
      <c r="K895" s="13" t="n"/>
    </row>
    <row r="896">
      <c r="A896" s="17">
        <f>IF($C896="","",ROW()-3)</f>
        <v/>
      </c>
      <c r="B896" s="18" t="n"/>
      <c r="C896" s="13" t="n"/>
      <c r="D896" s="13" t="n"/>
      <c r="E896" s="13" t="n"/>
      <c r="F896" s="13" t="n"/>
      <c r="G896" s="20" t="n"/>
      <c r="H896" s="14" t="n"/>
      <c r="I896" s="19">
        <f>IF($C896="","",ROUND(IF($G896="",1,$G896)*N($H896),2))</f>
        <v/>
      </c>
      <c r="J896" s="17">
        <f>IF($C896="","",IFERROR(VLOOKUP($C896,项目台账!$B:$C,2,0),"※项目不在项目台账里"))</f>
        <v/>
      </c>
      <c r="K896" s="13" t="n"/>
    </row>
    <row r="897">
      <c r="A897" s="17">
        <f>IF($C897="","",ROW()-3)</f>
        <v/>
      </c>
      <c r="B897" s="18" t="n"/>
      <c r="C897" s="13" t="n"/>
      <c r="D897" s="13" t="n"/>
      <c r="E897" s="13" t="n"/>
      <c r="F897" s="13" t="n"/>
      <c r="G897" s="20" t="n"/>
      <c r="H897" s="14" t="n"/>
      <c r="I897" s="19">
        <f>IF($C897="","",ROUND(IF($G897="",1,$G897)*N($H897),2))</f>
        <v/>
      </c>
      <c r="J897" s="17">
        <f>IF($C897="","",IFERROR(VLOOKUP($C897,项目台账!$B:$C,2,0),"※项目不在项目台账里"))</f>
        <v/>
      </c>
      <c r="K897" s="13" t="n"/>
    </row>
    <row r="898">
      <c r="A898" s="17">
        <f>IF($C898="","",ROW()-3)</f>
        <v/>
      </c>
      <c r="B898" s="18" t="n"/>
      <c r="C898" s="13" t="n"/>
      <c r="D898" s="13" t="n"/>
      <c r="E898" s="13" t="n"/>
      <c r="F898" s="13" t="n"/>
      <c r="G898" s="20" t="n"/>
      <c r="H898" s="14" t="n"/>
      <c r="I898" s="19">
        <f>IF($C898="","",ROUND(IF($G898="",1,$G898)*N($H898),2))</f>
        <v/>
      </c>
      <c r="J898" s="17">
        <f>IF($C898="","",IFERROR(VLOOKUP($C898,项目台账!$B:$C,2,0),"※项目不在项目台账里"))</f>
        <v/>
      </c>
      <c r="K898" s="13" t="n"/>
    </row>
    <row r="899">
      <c r="A899" s="17">
        <f>IF($C899="","",ROW()-3)</f>
        <v/>
      </c>
      <c r="B899" s="18" t="n"/>
      <c r="C899" s="13" t="n"/>
      <c r="D899" s="13" t="n"/>
      <c r="E899" s="13" t="n"/>
      <c r="F899" s="13" t="n"/>
      <c r="G899" s="20" t="n"/>
      <c r="H899" s="14" t="n"/>
      <c r="I899" s="19">
        <f>IF($C899="","",ROUND(IF($G899="",1,$G899)*N($H899),2))</f>
        <v/>
      </c>
      <c r="J899" s="17">
        <f>IF($C899="","",IFERROR(VLOOKUP($C899,项目台账!$B:$C,2,0),"※项目不在项目台账里"))</f>
        <v/>
      </c>
      <c r="K899" s="13" t="n"/>
    </row>
    <row r="900">
      <c r="A900" s="17">
        <f>IF($C900="","",ROW()-3)</f>
        <v/>
      </c>
      <c r="B900" s="18" t="n"/>
      <c r="C900" s="13" t="n"/>
      <c r="D900" s="13" t="n"/>
      <c r="E900" s="13" t="n"/>
      <c r="F900" s="13" t="n"/>
      <c r="G900" s="20" t="n"/>
      <c r="H900" s="14" t="n"/>
      <c r="I900" s="19">
        <f>IF($C900="","",ROUND(IF($G900="",1,$G900)*N($H900),2))</f>
        <v/>
      </c>
      <c r="J900" s="17">
        <f>IF($C900="","",IFERROR(VLOOKUP($C900,项目台账!$B:$C,2,0),"※项目不在项目台账里"))</f>
        <v/>
      </c>
      <c r="K900" s="13" t="n"/>
    </row>
    <row r="901">
      <c r="A901" s="17">
        <f>IF($C901="","",ROW()-3)</f>
        <v/>
      </c>
      <c r="B901" s="18" t="n"/>
      <c r="C901" s="13" t="n"/>
      <c r="D901" s="13" t="n"/>
      <c r="E901" s="13" t="n"/>
      <c r="F901" s="13" t="n"/>
      <c r="G901" s="20" t="n"/>
      <c r="H901" s="14" t="n"/>
      <c r="I901" s="19">
        <f>IF($C901="","",ROUND(IF($G901="",1,$G901)*N($H901),2))</f>
        <v/>
      </c>
      <c r="J901" s="17">
        <f>IF($C901="","",IFERROR(VLOOKUP($C901,项目台账!$B:$C,2,0),"※项目不在项目台账里"))</f>
        <v/>
      </c>
      <c r="K901" s="13" t="n"/>
    </row>
    <row r="902">
      <c r="A902" s="17">
        <f>IF($C902="","",ROW()-3)</f>
        <v/>
      </c>
      <c r="B902" s="18" t="n"/>
      <c r="C902" s="13" t="n"/>
      <c r="D902" s="13" t="n"/>
      <c r="E902" s="13" t="n"/>
      <c r="F902" s="13" t="n"/>
      <c r="G902" s="20" t="n"/>
      <c r="H902" s="14" t="n"/>
      <c r="I902" s="19">
        <f>IF($C902="","",ROUND(IF($G902="",1,$G902)*N($H902),2))</f>
        <v/>
      </c>
      <c r="J902" s="17">
        <f>IF($C902="","",IFERROR(VLOOKUP($C902,项目台账!$B:$C,2,0),"※项目不在项目台账里"))</f>
        <v/>
      </c>
      <c r="K902" s="13" t="n"/>
    </row>
    <row r="903">
      <c r="A903" s="17">
        <f>IF($C903="","",ROW()-3)</f>
        <v/>
      </c>
      <c r="B903" s="18" t="n"/>
      <c r="C903" s="13" t="n"/>
      <c r="D903" s="13" t="n"/>
      <c r="E903" s="13" t="n"/>
      <c r="F903" s="13" t="n"/>
      <c r="G903" s="20" t="n"/>
      <c r="H903" s="14" t="n"/>
      <c r="I903" s="19">
        <f>IF($C903="","",ROUND(IF($G903="",1,$G903)*N($H903),2))</f>
        <v/>
      </c>
      <c r="J903" s="17">
        <f>IF($C903="","",IFERROR(VLOOKUP($C903,项目台账!$B:$C,2,0),"※项目不在项目台账里"))</f>
        <v/>
      </c>
      <c r="K903" s="13" t="n"/>
    </row>
    <row r="904">
      <c r="A904" s="17">
        <f>IF($C904="","",ROW()-3)</f>
        <v/>
      </c>
      <c r="B904" s="18" t="n"/>
      <c r="C904" s="13" t="n"/>
      <c r="D904" s="13" t="n"/>
      <c r="E904" s="13" t="n"/>
      <c r="F904" s="13" t="n"/>
      <c r="G904" s="20" t="n"/>
      <c r="H904" s="14" t="n"/>
      <c r="I904" s="19">
        <f>IF($C904="","",ROUND(IF($G904="",1,$G904)*N($H904),2))</f>
        <v/>
      </c>
      <c r="J904" s="17">
        <f>IF($C904="","",IFERROR(VLOOKUP($C904,项目台账!$B:$C,2,0),"※项目不在项目台账里"))</f>
        <v/>
      </c>
      <c r="K904" s="13" t="n"/>
    </row>
    <row r="905">
      <c r="A905" s="17">
        <f>IF($C905="","",ROW()-3)</f>
        <v/>
      </c>
      <c r="B905" s="18" t="n"/>
      <c r="C905" s="13" t="n"/>
      <c r="D905" s="13" t="n"/>
      <c r="E905" s="13" t="n"/>
      <c r="F905" s="13" t="n"/>
      <c r="G905" s="20" t="n"/>
      <c r="H905" s="14" t="n"/>
      <c r="I905" s="19">
        <f>IF($C905="","",ROUND(IF($G905="",1,$G905)*N($H905),2))</f>
        <v/>
      </c>
      <c r="J905" s="17">
        <f>IF($C905="","",IFERROR(VLOOKUP($C905,项目台账!$B:$C,2,0),"※项目不在项目台账里"))</f>
        <v/>
      </c>
      <c r="K905" s="13" t="n"/>
    </row>
    <row r="906">
      <c r="A906" s="17">
        <f>IF($C906="","",ROW()-3)</f>
        <v/>
      </c>
      <c r="B906" s="18" t="n"/>
      <c r="C906" s="13" t="n"/>
      <c r="D906" s="13" t="n"/>
      <c r="E906" s="13" t="n"/>
      <c r="F906" s="13" t="n"/>
      <c r="G906" s="20" t="n"/>
      <c r="H906" s="14" t="n"/>
      <c r="I906" s="19">
        <f>IF($C906="","",ROUND(IF($G906="",1,$G906)*N($H906),2))</f>
        <v/>
      </c>
      <c r="J906" s="17">
        <f>IF($C906="","",IFERROR(VLOOKUP($C906,项目台账!$B:$C,2,0),"※项目不在项目台账里"))</f>
        <v/>
      </c>
      <c r="K906" s="13" t="n"/>
    </row>
    <row r="907">
      <c r="A907" s="17">
        <f>IF($C907="","",ROW()-3)</f>
        <v/>
      </c>
      <c r="B907" s="18" t="n"/>
      <c r="C907" s="13" t="n"/>
      <c r="D907" s="13" t="n"/>
      <c r="E907" s="13" t="n"/>
      <c r="F907" s="13" t="n"/>
      <c r="G907" s="20" t="n"/>
      <c r="H907" s="14" t="n"/>
      <c r="I907" s="19">
        <f>IF($C907="","",ROUND(IF($G907="",1,$G907)*N($H907),2))</f>
        <v/>
      </c>
      <c r="J907" s="17">
        <f>IF($C907="","",IFERROR(VLOOKUP($C907,项目台账!$B:$C,2,0),"※项目不在项目台账里"))</f>
        <v/>
      </c>
      <c r="K907" s="13" t="n"/>
    </row>
    <row r="908">
      <c r="A908" s="17">
        <f>IF($C908="","",ROW()-3)</f>
        <v/>
      </c>
      <c r="B908" s="18" t="n"/>
      <c r="C908" s="13" t="n"/>
      <c r="D908" s="13" t="n"/>
      <c r="E908" s="13" t="n"/>
      <c r="F908" s="13" t="n"/>
      <c r="G908" s="20" t="n"/>
      <c r="H908" s="14" t="n"/>
      <c r="I908" s="19">
        <f>IF($C908="","",ROUND(IF($G908="",1,$G908)*N($H908),2))</f>
        <v/>
      </c>
      <c r="J908" s="17">
        <f>IF($C908="","",IFERROR(VLOOKUP($C908,项目台账!$B:$C,2,0),"※项目不在项目台账里"))</f>
        <v/>
      </c>
      <c r="K908" s="13" t="n"/>
    </row>
    <row r="909">
      <c r="A909" s="17">
        <f>IF($C909="","",ROW()-3)</f>
        <v/>
      </c>
      <c r="B909" s="18" t="n"/>
      <c r="C909" s="13" t="n"/>
      <c r="D909" s="13" t="n"/>
      <c r="E909" s="13" t="n"/>
      <c r="F909" s="13" t="n"/>
      <c r="G909" s="20" t="n"/>
      <c r="H909" s="14" t="n"/>
      <c r="I909" s="19">
        <f>IF($C909="","",ROUND(IF($G909="",1,$G909)*N($H909),2))</f>
        <v/>
      </c>
      <c r="J909" s="17">
        <f>IF($C909="","",IFERROR(VLOOKUP($C909,项目台账!$B:$C,2,0),"※项目不在项目台账里"))</f>
        <v/>
      </c>
      <c r="K909" s="13" t="n"/>
    </row>
    <row r="910">
      <c r="A910" s="17">
        <f>IF($C910="","",ROW()-3)</f>
        <v/>
      </c>
      <c r="B910" s="18" t="n"/>
      <c r="C910" s="13" t="n"/>
      <c r="D910" s="13" t="n"/>
      <c r="E910" s="13" t="n"/>
      <c r="F910" s="13" t="n"/>
      <c r="G910" s="20" t="n"/>
      <c r="H910" s="14" t="n"/>
      <c r="I910" s="19">
        <f>IF($C910="","",ROUND(IF($G910="",1,$G910)*N($H910),2))</f>
        <v/>
      </c>
      <c r="J910" s="17">
        <f>IF($C910="","",IFERROR(VLOOKUP($C910,项目台账!$B:$C,2,0),"※项目不在项目台账里"))</f>
        <v/>
      </c>
      <c r="K910" s="13" t="n"/>
    </row>
    <row r="911">
      <c r="A911" s="17">
        <f>IF($C911="","",ROW()-3)</f>
        <v/>
      </c>
      <c r="B911" s="18" t="n"/>
      <c r="C911" s="13" t="n"/>
      <c r="D911" s="13" t="n"/>
      <c r="E911" s="13" t="n"/>
      <c r="F911" s="13" t="n"/>
      <c r="G911" s="20" t="n"/>
      <c r="H911" s="14" t="n"/>
      <c r="I911" s="19">
        <f>IF($C911="","",ROUND(IF($G911="",1,$G911)*N($H911),2))</f>
        <v/>
      </c>
      <c r="J911" s="17">
        <f>IF($C911="","",IFERROR(VLOOKUP($C911,项目台账!$B:$C,2,0),"※项目不在项目台账里"))</f>
        <v/>
      </c>
      <c r="K911" s="13" t="n"/>
    </row>
    <row r="912">
      <c r="A912" s="17">
        <f>IF($C912="","",ROW()-3)</f>
        <v/>
      </c>
      <c r="B912" s="18" t="n"/>
      <c r="C912" s="13" t="n"/>
      <c r="D912" s="13" t="n"/>
      <c r="E912" s="13" t="n"/>
      <c r="F912" s="13" t="n"/>
      <c r="G912" s="20" t="n"/>
      <c r="H912" s="14" t="n"/>
      <c r="I912" s="19">
        <f>IF($C912="","",ROUND(IF($G912="",1,$G912)*N($H912),2))</f>
        <v/>
      </c>
      <c r="J912" s="17">
        <f>IF($C912="","",IFERROR(VLOOKUP($C912,项目台账!$B:$C,2,0),"※项目不在项目台账里"))</f>
        <v/>
      </c>
      <c r="K912" s="13" t="n"/>
    </row>
    <row r="913">
      <c r="A913" s="17">
        <f>IF($C913="","",ROW()-3)</f>
        <v/>
      </c>
      <c r="B913" s="18" t="n"/>
      <c r="C913" s="13" t="n"/>
      <c r="D913" s="13" t="n"/>
      <c r="E913" s="13" t="n"/>
      <c r="F913" s="13" t="n"/>
      <c r="G913" s="20" t="n"/>
      <c r="H913" s="14" t="n"/>
      <c r="I913" s="19">
        <f>IF($C913="","",ROUND(IF($G913="",1,$G913)*N($H913),2))</f>
        <v/>
      </c>
      <c r="J913" s="17">
        <f>IF($C913="","",IFERROR(VLOOKUP($C913,项目台账!$B:$C,2,0),"※项目不在项目台账里"))</f>
        <v/>
      </c>
      <c r="K913" s="13" t="n"/>
    </row>
    <row r="914">
      <c r="A914" s="17">
        <f>IF($C914="","",ROW()-3)</f>
        <v/>
      </c>
      <c r="B914" s="18" t="n"/>
      <c r="C914" s="13" t="n"/>
      <c r="D914" s="13" t="n"/>
      <c r="E914" s="13" t="n"/>
      <c r="F914" s="13" t="n"/>
      <c r="G914" s="20" t="n"/>
      <c r="H914" s="14" t="n"/>
      <c r="I914" s="19">
        <f>IF($C914="","",ROUND(IF($G914="",1,$G914)*N($H914),2))</f>
        <v/>
      </c>
      <c r="J914" s="17">
        <f>IF($C914="","",IFERROR(VLOOKUP($C914,项目台账!$B:$C,2,0),"※项目不在项目台账里"))</f>
        <v/>
      </c>
      <c r="K914" s="13" t="n"/>
    </row>
    <row r="915">
      <c r="A915" s="17">
        <f>IF($C915="","",ROW()-3)</f>
        <v/>
      </c>
      <c r="B915" s="18" t="n"/>
      <c r="C915" s="13" t="n"/>
      <c r="D915" s="13" t="n"/>
      <c r="E915" s="13" t="n"/>
      <c r="F915" s="13" t="n"/>
      <c r="G915" s="20" t="n"/>
      <c r="H915" s="14" t="n"/>
      <c r="I915" s="19">
        <f>IF($C915="","",ROUND(IF($G915="",1,$G915)*N($H915),2))</f>
        <v/>
      </c>
      <c r="J915" s="17">
        <f>IF($C915="","",IFERROR(VLOOKUP($C915,项目台账!$B:$C,2,0),"※项目不在项目台账里"))</f>
        <v/>
      </c>
      <c r="K915" s="13" t="n"/>
    </row>
    <row r="916">
      <c r="A916" s="17">
        <f>IF($C916="","",ROW()-3)</f>
        <v/>
      </c>
      <c r="B916" s="18" t="n"/>
      <c r="C916" s="13" t="n"/>
      <c r="D916" s="13" t="n"/>
      <c r="E916" s="13" t="n"/>
      <c r="F916" s="13" t="n"/>
      <c r="G916" s="20" t="n"/>
      <c r="H916" s="14" t="n"/>
      <c r="I916" s="19">
        <f>IF($C916="","",ROUND(IF($G916="",1,$G916)*N($H916),2))</f>
        <v/>
      </c>
      <c r="J916" s="17">
        <f>IF($C916="","",IFERROR(VLOOKUP($C916,项目台账!$B:$C,2,0),"※项目不在项目台账里"))</f>
        <v/>
      </c>
      <c r="K916" s="13" t="n"/>
    </row>
    <row r="917">
      <c r="A917" s="17">
        <f>IF($C917="","",ROW()-3)</f>
        <v/>
      </c>
      <c r="B917" s="18" t="n"/>
      <c r="C917" s="13" t="n"/>
      <c r="D917" s="13" t="n"/>
      <c r="E917" s="13" t="n"/>
      <c r="F917" s="13" t="n"/>
      <c r="G917" s="20" t="n"/>
      <c r="H917" s="14" t="n"/>
      <c r="I917" s="19">
        <f>IF($C917="","",ROUND(IF($G917="",1,$G917)*N($H917),2))</f>
        <v/>
      </c>
      <c r="J917" s="17">
        <f>IF($C917="","",IFERROR(VLOOKUP($C917,项目台账!$B:$C,2,0),"※项目不在项目台账里"))</f>
        <v/>
      </c>
      <c r="K917" s="13" t="n"/>
    </row>
    <row r="918">
      <c r="A918" s="17">
        <f>IF($C918="","",ROW()-3)</f>
        <v/>
      </c>
      <c r="B918" s="18" t="n"/>
      <c r="C918" s="13" t="n"/>
      <c r="D918" s="13" t="n"/>
      <c r="E918" s="13" t="n"/>
      <c r="F918" s="13" t="n"/>
      <c r="G918" s="20" t="n"/>
      <c r="H918" s="14" t="n"/>
      <c r="I918" s="19">
        <f>IF($C918="","",ROUND(IF($G918="",1,$G918)*N($H918),2))</f>
        <v/>
      </c>
      <c r="J918" s="17">
        <f>IF($C918="","",IFERROR(VLOOKUP($C918,项目台账!$B:$C,2,0),"※项目不在项目台账里"))</f>
        <v/>
      </c>
      <c r="K918" s="13" t="n"/>
    </row>
    <row r="919">
      <c r="A919" s="17">
        <f>IF($C919="","",ROW()-3)</f>
        <v/>
      </c>
      <c r="B919" s="18" t="n"/>
      <c r="C919" s="13" t="n"/>
      <c r="D919" s="13" t="n"/>
      <c r="E919" s="13" t="n"/>
      <c r="F919" s="13" t="n"/>
      <c r="G919" s="20" t="n"/>
      <c r="H919" s="14" t="n"/>
      <c r="I919" s="19">
        <f>IF($C919="","",ROUND(IF($G919="",1,$G919)*N($H919),2))</f>
        <v/>
      </c>
      <c r="J919" s="17">
        <f>IF($C919="","",IFERROR(VLOOKUP($C919,项目台账!$B:$C,2,0),"※项目不在项目台账里"))</f>
        <v/>
      </c>
      <c r="K919" s="13" t="n"/>
    </row>
    <row r="920">
      <c r="A920" s="17">
        <f>IF($C920="","",ROW()-3)</f>
        <v/>
      </c>
      <c r="B920" s="18" t="n"/>
      <c r="C920" s="13" t="n"/>
      <c r="D920" s="13" t="n"/>
      <c r="E920" s="13" t="n"/>
      <c r="F920" s="13" t="n"/>
      <c r="G920" s="20" t="n"/>
      <c r="H920" s="14" t="n"/>
      <c r="I920" s="19">
        <f>IF($C920="","",ROUND(IF($G920="",1,$G920)*N($H920),2))</f>
        <v/>
      </c>
      <c r="J920" s="17">
        <f>IF($C920="","",IFERROR(VLOOKUP($C920,项目台账!$B:$C,2,0),"※项目不在项目台账里"))</f>
        <v/>
      </c>
      <c r="K920" s="13" t="n"/>
    </row>
    <row r="921">
      <c r="A921" s="17">
        <f>IF($C921="","",ROW()-3)</f>
        <v/>
      </c>
      <c r="B921" s="18" t="n"/>
      <c r="C921" s="13" t="n"/>
      <c r="D921" s="13" t="n"/>
      <c r="E921" s="13" t="n"/>
      <c r="F921" s="13" t="n"/>
      <c r="G921" s="20" t="n"/>
      <c r="H921" s="14" t="n"/>
      <c r="I921" s="19">
        <f>IF($C921="","",ROUND(IF($G921="",1,$G921)*N($H921),2))</f>
        <v/>
      </c>
      <c r="J921" s="17">
        <f>IF($C921="","",IFERROR(VLOOKUP($C921,项目台账!$B:$C,2,0),"※项目不在项目台账里"))</f>
        <v/>
      </c>
      <c r="K921" s="13" t="n"/>
    </row>
    <row r="922">
      <c r="A922" s="17">
        <f>IF($C922="","",ROW()-3)</f>
        <v/>
      </c>
      <c r="B922" s="18" t="n"/>
      <c r="C922" s="13" t="n"/>
      <c r="D922" s="13" t="n"/>
      <c r="E922" s="13" t="n"/>
      <c r="F922" s="13" t="n"/>
      <c r="G922" s="20" t="n"/>
      <c r="H922" s="14" t="n"/>
      <c r="I922" s="19">
        <f>IF($C922="","",ROUND(IF($G922="",1,$G922)*N($H922),2))</f>
        <v/>
      </c>
      <c r="J922" s="17">
        <f>IF($C922="","",IFERROR(VLOOKUP($C922,项目台账!$B:$C,2,0),"※项目不在项目台账里"))</f>
        <v/>
      </c>
      <c r="K922" s="13" t="n"/>
    </row>
    <row r="923">
      <c r="A923" s="17">
        <f>IF($C923="","",ROW()-3)</f>
        <v/>
      </c>
      <c r="B923" s="18" t="n"/>
      <c r="C923" s="13" t="n"/>
      <c r="D923" s="13" t="n"/>
      <c r="E923" s="13" t="n"/>
      <c r="F923" s="13" t="n"/>
      <c r="G923" s="20" t="n"/>
      <c r="H923" s="14" t="n"/>
      <c r="I923" s="19">
        <f>IF($C923="","",ROUND(IF($G923="",1,$G923)*N($H923),2))</f>
        <v/>
      </c>
      <c r="J923" s="17">
        <f>IF($C923="","",IFERROR(VLOOKUP($C923,项目台账!$B:$C,2,0),"※项目不在项目台账里"))</f>
        <v/>
      </c>
      <c r="K923" s="13" t="n"/>
    </row>
    <row r="924">
      <c r="A924" s="17">
        <f>IF($C924="","",ROW()-3)</f>
        <v/>
      </c>
      <c r="B924" s="18" t="n"/>
      <c r="C924" s="13" t="n"/>
      <c r="D924" s="13" t="n"/>
      <c r="E924" s="13" t="n"/>
      <c r="F924" s="13" t="n"/>
      <c r="G924" s="20" t="n"/>
      <c r="H924" s="14" t="n"/>
      <c r="I924" s="19">
        <f>IF($C924="","",ROUND(IF($G924="",1,$G924)*N($H924),2))</f>
        <v/>
      </c>
      <c r="J924" s="17">
        <f>IF($C924="","",IFERROR(VLOOKUP($C924,项目台账!$B:$C,2,0),"※项目不在项目台账里"))</f>
        <v/>
      </c>
      <c r="K924" s="13" t="n"/>
    </row>
    <row r="925">
      <c r="A925" s="17">
        <f>IF($C925="","",ROW()-3)</f>
        <v/>
      </c>
      <c r="B925" s="18" t="n"/>
      <c r="C925" s="13" t="n"/>
      <c r="D925" s="13" t="n"/>
      <c r="E925" s="13" t="n"/>
      <c r="F925" s="13" t="n"/>
      <c r="G925" s="20" t="n"/>
      <c r="H925" s="14" t="n"/>
      <c r="I925" s="19">
        <f>IF($C925="","",ROUND(IF($G925="",1,$G925)*N($H925),2))</f>
        <v/>
      </c>
      <c r="J925" s="17">
        <f>IF($C925="","",IFERROR(VLOOKUP($C925,项目台账!$B:$C,2,0),"※项目不在项目台账里"))</f>
        <v/>
      </c>
      <c r="K925" s="13" t="n"/>
    </row>
    <row r="926">
      <c r="A926" s="17">
        <f>IF($C926="","",ROW()-3)</f>
        <v/>
      </c>
      <c r="B926" s="18" t="n"/>
      <c r="C926" s="13" t="n"/>
      <c r="D926" s="13" t="n"/>
      <c r="E926" s="13" t="n"/>
      <c r="F926" s="13" t="n"/>
      <c r="G926" s="20" t="n"/>
      <c r="H926" s="14" t="n"/>
      <c r="I926" s="19">
        <f>IF($C926="","",ROUND(IF($G926="",1,$G926)*N($H926),2))</f>
        <v/>
      </c>
      <c r="J926" s="17">
        <f>IF($C926="","",IFERROR(VLOOKUP($C926,项目台账!$B:$C,2,0),"※项目不在项目台账里"))</f>
        <v/>
      </c>
      <c r="K926" s="13" t="n"/>
    </row>
    <row r="927">
      <c r="A927" s="17">
        <f>IF($C927="","",ROW()-3)</f>
        <v/>
      </c>
      <c r="B927" s="18" t="n"/>
      <c r="C927" s="13" t="n"/>
      <c r="D927" s="13" t="n"/>
      <c r="E927" s="13" t="n"/>
      <c r="F927" s="13" t="n"/>
      <c r="G927" s="20" t="n"/>
      <c r="H927" s="14" t="n"/>
      <c r="I927" s="19">
        <f>IF($C927="","",ROUND(IF($G927="",1,$G927)*N($H927),2))</f>
        <v/>
      </c>
      <c r="J927" s="17">
        <f>IF($C927="","",IFERROR(VLOOKUP($C927,项目台账!$B:$C,2,0),"※项目不在项目台账里"))</f>
        <v/>
      </c>
      <c r="K927" s="13" t="n"/>
    </row>
    <row r="928">
      <c r="A928" s="17">
        <f>IF($C928="","",ROW()-3)</f>
        <v/>
      </c>
      <c r="B928" s="18" t="n"/>
      <c r="C928" s="13" t="n"/>
      <c r="D928" s="13" t="n"/>
      <c r="E928" s="13" t="n"/>
      <c r="F928" s="13" t="n"/>
      <c r="G928" s="20" t="n"/>
      <c r="H928" s="14" t="n"/>
      <c r="I928" s="19">
        <f>IF($C928="","",ROUND(IF($G928="",1,$G928)*N($H928),2))</f>
        <v/>
      </c>
      <c r="J928" s="17">
        <f>IF($C928="","",IFERROR(VLOOKUP($C928,项目台账!$B:$C,2,0),"※项目不在项目台账里"))</f>
        <v/>
      </c>
      <c r="K928" s="13" t="n"/>
    </row>
    <row r="929">
      <c r="A929" s="17">
        <f>IF($C929="","",ROW()-3)</f>
        <v/>
      </c>
      <c r="B929" s="18" t="n"/>
      <c r="C929" s="13" t="n"/>
      <c r="D929" s="13" t="n"/>
      <c r="E929" s="13" t="n"/>
      <c r="F929" s="13" t="n"/>
      <c r="G929" s="20" t="n"/>
      <c r="H929" s="14" t="n"/>
      <c r="I929" s="19">
        <f>IF($C929="","",ROUND(IF($G929="",1,$G929)*N($H929),2))</f>
        <v/>
      </c>
      <c r="J929" s="17">
        <f>IF($C929="","",IFERROR(VLOOKUP($C929,项目台账!$B:$C,2,0),"※项目不在项目台账里"))</f>
        <v/>
      </c>
      <c r="K929" s="13" t="n"/>
    </row>
    <row r="930">
      <c r="A930" s="17">
        <f>IF($C930="","",ROW()-3)</f>
        <v/>
      </c>
      <c r="B930" s="18" t="n"/>
      <c r="C930" s="13" t="n"/>
      <c r="D930" s="13" t="n"/>
      <c r="E930" s="13" t="n"/>
      <c r="F930" s="13" t="n"/>
      <c r="G930" s="20" t="n"/>
      <c r="H930" s="14" t="n"/>
      <c r="I930" s="19">
        <f>IF($C930="","",ROUND(IF($G930="",1,$G930)*N($H930),2))</f>
        <v/>
      </c>
      <c r="J930" s="17">
        <f>IF($C930="","",IFERROR(VLOOKUP($C930,项目台账!$B:$C,2,0),"※项目不在项目台账里"))</f>
        <v/>
      </c>
      <c r="K930" s="13" t="n"/>
    </row>
    <row r="931">
      <c r="A931" s="17">
        <f>IF($C931="","",ROW()-3)</f>
        <v/>
      </c>
      <c r="B931" s="18" t="n"/>
      <c r="C931" s="13" t="n"/>
      <c r="D931" s="13" t="n"/>
      <c r="E931" s="13" t="n"/>
      <c r="F931" s="13" t="n"/>
      <c r="G931" s="20" t="n"/>
      <c r="H931" s="14" t="n"/>
      <c r="I931" s="19">
        <f>IF($C931="","",ROUND(IF($G931="",1,$G931)*N($H931),2))</f>
        <v/>
      </c>
      <c r="J931" s="17">
        <f>IF($C931="","",IFERROR(VLOOKUP($C931,项目台账!$B:$C,2,0),"※项目不在项目台账里"))</f>
        <v/>
      </c>
      <c r="K931" s="13" t="n"/>
    </row>
    <row r="932">
      <c r="A932" s="17">
        <f>IF($C932="","",ROW()-3)</f>
        <v/>
      </c>
      <c r="B932" s="18" t="n"/>
      <c r="C932" s="13" t="n"/>
      <c r="D932" s="13" t="n"/>
      <c r="E932" s="13" t="n"/>
      <c r="F932" s="13" t="n"/>
      <c r="G932" s="20" t="n"/>
      <c r="H932" s="14" t="n"/>
      <c r="I932" s="19">
        <f>IF($C932="","",ROUND(IF($G932="",1,$G932)*N($H932),2))</f>
        <v/>
      </c>
      <c r="J932" s="17">
        <f>IF($C932="","",IFERROR(VLOOKUP($C932,项目台账!$B:$C,2,0),"※项目不在项目台账里"))</f>
        <v/>
      </c>
      <c r="K932" s="13" t="n"/>
    </row>
    <row r="933">
      <c r="A933" s="17">
        <f>IF($C933="","",ROW()-3)</f>
        <v/>
      </c>
      <c r="B933" s="18" t="n"/>
      <c r="C933" s="13" t="n"/>
      <c r="D933" s="13" t="n"/>
      <c r="E933" s="13" t="n"/>
      <c r="F933" s="13" t="n"/>
      <c r="G933" s="20" t="n"/>
      <c r="H933" s="14" t="n"/>
      <c r="I933" s="19">
        <f>IF($C933="","",ROUND(IF($G933="",1,$G933)*N($H933),2))</f>
        <v/>
      </c>
      <c r="J933" s="17">
        <f>IF($C933="","",IFERROR(VLOOKUP($C933,项目台账!$B:$C,2,0),"※项目不在项目台账里"))</f>
        <v/>
      </c>
      <c r="K933" s="13" t="n"/>
    </row>
    <row r="934">
      <c r="A934" s="17">
        <f>IF($C934="","",ROW()-3)</f>
        <v/>
      </c>
      <c r="B934" s="18" t="n"/>
      <c r="C934" s="13" t="n"/>
      <c r="D934" s="13" t="n"/>
      <c r="E934" s="13" t="n"/>
      <c r="F934" s="13" t="n"/>
      <c r="G934" s="20" t="n"/>
      <c r="H934" s="14" t="n"/>
      <c r="I934" s="19">
        <f>IF($C934="","",ROUND(IF($G934="",1,$G934)*N($H934),2))</f>
        <v/>
      </c>
      <c r="J934" s="17">
        <f>IF($C934="","",IFERROR(VLOOKUP($C934,项目台账!$B:$C,2,0),"※项目不在项目台账里"))</f>
        <v/>
      </c>
      <c r="K934" s="13" t="n"/>
    </row>
    <row r="935">
      <c r="A935" s="17">
        <f>IF($C935="","",ROW()-3)</f>
        <v/>
      </c>
      <c r="B935" s="18" t="n"/>
      <c r="C935" s="13" t="n"/>
      <c r="D935" s="13" t="n"/>
      <c r="E935" s="13" t="n"/>
      <c r="F935" s="13" t="n"/>
      <c r="G935" s="20" t="n"/>
      <c r="H935" s="14" t="n"/>
      <c r="I935" s="19">
        <f>IF($C935="","",ROUND(IF($G935="",1,$G935)*N($H935),2))</f>
        <v/>
      </c>
      <c r="J935" s="17">
        <f>IF($C935="","",IFERROR(VLOOKUP($C935,项目台账!$B:$C,2,0),"※项目不在项目台账里"))</f>
        <v/>
      </c>
      <c r="K935" s="13" t="n"/>
    </row>
    <row r="936">
      <c r="A936" s="17">
        <f>IF($C936="","",ROW()-3)</f>
        <v/>
      </c>
      <c r="B936" s="18" t="n"/>
      <c r="C936" s="13" t="n"/>
      <c r="D936" s="13" t="n"/>
      <c r="E936" s="13" t="n"/>
      <c r="F936" s="13" t="n"/>
      <c r="G936" s="20" t="n"/>
      <c r="H936" s="14" t="n"/>
      <c r="I936" s="19">
        <f>IF($C936="","",ROUND(IF($G936="",1,$G936)*N($H936),2))</f>
        <v/>
      </c>
      <c r="J936" s="17">
        <f>IF($C936="","",IFERROR(VLOOKUP($C936,项目台账!$B:$C,2,0),"※项目不在项目台账里"))</f>
        <v/>
      </c>
      <c r="K936" s="13" t="n"/>
    </row>
    <row r="937">
      <c r="A937" s="17">
        <f>IF($C937="","",ROW()-3)</f>
        <v/>
      </c>
      <c r="B937" s="18" t="n"/>
      <c r="C937" s="13" t="n"/>
      <c r="D937" s="13" t="n"/>
      <c r="E937" s="13" t="n"/>
      <c r="F937" s="13" t="n"/>
      <c r="G937" s="20" t="n"/>
      <c r="H937" s="14" t="n"/>
      <c r="I937" s="19">
        <f>IF($C937="","",ROUND(IF($G937="",1,$G937)*N($H937),2))</f>
        <v/>
      </c>
      <c r="J937" s="17">
        <f>IF($C937="","",IFERROR(VLOOKUP($C937,项目台账!$B:$C,2,0),"※项目不在项目台账里"))</f>
        <v/>
      </c>
      <c r="K937" s="13" t="n"/>
    </row>
    <row r="938">
      <c r="A938" s="17">
        <f>IF($C938="","",ROW()-3)</f>
        <v/>
      </c>
      <c r="B938" s="18" t="n"/>
      <c r="C938" s="13" t="n"/>
      <c r="D938" s="13" t="n"/>
      <c r="E938" s="13" t="n"/>
      <c r="F938" s="13" t="n"/>
      <c r="G938" s="20" t="n"/>
      <c r="H938" s="14" t="n"/>
      <c r="I938" s="19">
        <f>IF($C938="","",ROUND(IF($G938="",1,$G938)*N($H938),2))</f>
        <v/>
      </c>
      <c r="J938" s="17">
        <f>IF($C938="","",IFERROR(VLOOKUP($C938,项目台账!$B:$C,2,0),"※项目不在项目台账里"))</f>
        <v/>
      </c>
      <c r="K938" s="13" t="n"/>
    </row>
    <row r="939">
      <c r="A939" s="17">
        <f>IF($C939="","",ROW()-3)</f>
        <v/>
      </c>
      <c r="B939" s="18" t="n"/>
      <c r="C939" s="13" t="n"/>
      <c r="D939" s="13" t="n"/>
      <c r="E939" s="13" t="n"/>
      <c r="F939" s="13" t="n"/>
      <c r="G939" s="20" t="n"/>
      <c r="H939" s="14" t="n"/>
      <c r="I939" s="19">
        <f>IF($C939="","",ROUND(IF($G939="",1,$G939)*N($H939),2))</f>
        <v/>
      </c>
      <c r="J939" s="17">
        <f>IF($C939="","",IFERROR(VLOOKUP($C939,项目台账!$B:$C,2,0),"※项目不在项目台账里"))</f>
        <v/>
      </c>
      <c r="K939" s="13" t="n"/>
    </row>
    <row r="940">
      <c r="A940" s="17">
        <f>IF($C940="","",ROW()-3)</f>
        <v/>
      </c>
      <c r="B940" s="18" t="n"/>
      <c r="C940" s="13" t="n"/>
      <c r="D940" s="13" t="n"/>
      <c r="E940" s="13" t="n"/>
      <c r="F940" s="13" t="n"/>
      <c r="G940" s="20" t="n"/>
      <c r="H940" s="14" t="n"/>
      <c r="I940" s="19">
        <f>IF($C940="","",ROUND(IF($G940="",1,$G940)*N($H940),2))</f>
        <v/>
      </c>
      <c r="J940" s="17">
        <f>IF($C940="","",IFERROR(VLOOKUP($C940,项目台账!$B:$C,2,0),"※项目不在项目台账里"))</f>
        <v/>
      </c>
      <c r="K940" s="13" t="n"/>
    </row>
    <row r="941">
      <c r="A941" s="17">
        <f>IF($C941="","",ROW()-3)</f>
        <v/>
      </c>
      <c r="B941" s="18" t="n"/>
      <c r="C941" s="13" t="n"/>
      <c r="D941" s="13" t="n"/>
      <c r="E941" s="13" t="n"/>
      <c r="F941" s="13" t="n"/>
      <c r="G941" s="20" t="n"/>
      <c r="H941" s="14" t="n"/>
      <c r="I941" s="19">
        <f>IF($C941="","",ROUND(IF($G941="",1,$G941)*N($H941),2))</f>
        <v/>
      </c>
      <c r="J941" s="17">
        <f>IF($C941="","",IFERROR(VLOOKUP($C941,项目台账!$B:$C,2,0),"※项目不在项目台账里"))</f>
        <v/>
      </c>
      <c r="K941" s="13" t="n"/>
    </row>
    <row r="942">
      <c r="A942" s="17">
        <f>IF($C942="","",ROW()-3)</f>
        <v/>
      </c>
      <c r="B942" s="18" t="n"/>
      <c r="C942" s="13" t="n"/>
      <c r="D942" s="13" t="n"/>
      <c r="E942" s="13" t="n"/>
      <c r="F942" s="13" t="n"/>
      <c r="G942" s="20" t="n"/>
      <c r="H942" s="14" t="n"/>
      <c r="I942" s="19">
        <f>IF($C942="","",ROUND(IF($G942="",1,$G942)*N($H942),2))</f>
        <v/>
      </c>
      <c r="J942" s="17">
        <f>IF($C942="","",IFERROR(VLOOKUP($C942,项目台账!$B:$C,2,0),"※项目不在项目台账里"))</f>
        <v/>
      </c>
      <c r="K942" s="13" t="n"/>
    </row>
    <row r="943">
      <c r="A943" s="17">
        <f>IF($C943="","",ROW()-3)</f>
        <v/>
      </c>
      <c r="B943" s="18" t="n"/>
      <c r="C943" s="13" t="n"/>
      <c r="D943" s="13" t="n"/>
      <c r="E943" s="13" t="n"/>
      <c r="F943" s="13" t="n"/>
      <c r="G943" s="20" t="n"/>
      <c r="H943" s="14" t="n"/>
      <c r="I943" s="19">
        <f>IF($C943="","",ROUND(IF($G943="",1,$G943)*N($H943),2))</f>
        <v/>
      </c>
      <c r="J943" s="17">
        <f>IF($C943="","",IFERROR(VLOOKUP($C943,项目台账!$B:$C,2,0),"※项目不在项目台账里"))</f>
        <v/>
      </c>
      <c r="K943" s="13" t="n"/>
    </row>
    <row r="944">
      <c r="A944" s="17">
        <f>IF($C944="","",ROW()-3)</f>
        <v/>
      </c>
      <c r="B944" s="18" t="n"/>
      <c r="C944" s="13" t="n"/>
      <c r="D944" s="13" t="n"/>
      <c r="E944" s="13" t="n"/>
      <c r="F944" s="13" t="n"/>
      <c r="G944" s="20" t="n"/>
      <c r="H944" s="14" t="n"/>
      <c r="I944" s="19">
        <f>IF($C944="","",ROUND(IF($G944="",1,$G944)*N($H944),2))</f>
        <v/>
      </c>
      <c r="J944" s="17">
        <f>IF($C944="","",IFERROR(VLOOKUP($C944,项目台账!$B:$C,2,0),"※项目不在项目台账里"))</f>
        <v/>
      </c>
      <c r="K944" s="13" t="n"/>
    </row>
    <row r="945">
      <c r="A945" s="17">
        <f>IF($C945="","",ROW()-3)</f>
        <v/>
      </c>
      <c r="B945" s="18" t="n"/>
      <c r="C945" s="13" t="n"/>
      <c r="D945" s="13" t="n"/>
      <c r="E945" s="13" t="n"/>
      <c r="F945" s="13" t="n"/>
      <c r="G945" s="20" t="n"/>
      <c r="H945" s="14" t="n"/>
      <c r="I945" s="19">
        <f>IF($C945="","",ROUND(IF($G945="",1,$G945)*N($H945),2))</f>
        <v/>
      </c>
      <c r="J945" s="17">
        <f>IF($C945="","",IFERROR(VLOOKUP($C945,项目台账!$B:$C,2,0),"※项目不在项目台账里"))</f>
        <v/>
      </c>
      <c r="K945" s="13" t="n"/>
    </row>
    <row r="946">
      <c r="A946" s="17">
        <f>IF($C946="","",ROW()-3)</f>
        <v/>
      </c>
      <c r="B946" s="18" t="n"/>
      <c r="C946" s="13" t="n"/>
      <c r="D946" s="13" t="n"/>
      <c r="E946" s="13" t="n"/>
      <c r="F946" s="13" t="n"/>
      <c r="G946" s="20" t="n"/>
      <c r="H946" s="14" t="n"/>
      <c r="I946" s="19">
        <f>IF($C946="","",ROUND(IF($G946="",1,$G946)*N($H946),2))</f>
        <v/>
      </c>
      <c r="J946" s="17">
        <f>IF($C946="","",IFERROR(VLOOKUP($C946,项目台账!$B:$C,2,0),"※项目不在项目台账里"))</f>
        <v/>
      </c>
      <c r="K946" s="13" t="n"/>
    </row>
    <row r="947">
      <c r="A947" s="17">
        <f>IF($C947="","",ROW()-3)</f>
        <v/>
      </c>
      <c r="B947" s="18" t="n"/>
      <c r="C947" s="13" t="n"/>
      <c r="D947" s="13" t="n"/>
      <c r="E947" s="13" t="n"/>
      <c r="F947" s="13" t="n"/>
      <c r="G947" s="20" t="n"/>
      <c r="H947" s="14" t="n"/>
      <c r="I947" s="19">
        <f>IF($C947="","",ROUND(IF($G947="",1,$G947)*N($H947),2))</f>
        <v/>
      </c>
      <c r="J947" s="17">
        <f>IF($C947="","",IFERROR(VLOOKUP($C947,项目台账!$B:$C,2,0),"※项目不在项目台账里"))</f>
        <v/>
      </c>
      <c r="K947" s="13" t="n"/>
    </row>
    <row r="948">
      <c r="A948" s="17">
        <f>IF($C948="","",ROW()-3)</f>
        <v/>
      </c>
      <c r="B948" s="18" t="n"/>
      <c r="C948" s="13" t="n"/>
      <c r="D948" s="13" t="n"/>
      <c r="E948" s="13" t="n"/>
      <c r="F948" s="13" t="n"/>
      <c r="G948" s="20" t="n"/>
      <c r="H948" s="14" t="n"/>
      <c r="I948" s="19">
        <f>IF($C948="","",ROUND(IF($G948="",1,$G948)*N($H948),2))</f>
        <v/>
      </c>
      <c r="J948" s="17">
        <f>IF($C948="","",IFERROR(VLOOKUP($C948,项目台账!$B:$C,2,0),"※项目不在项目台账里"))</f>
        <v/>
      </c>
      <c r="K948" s="13" t="n"/>
    </row>
    <row r="949">
      <c r="A949" s="17">
        <f>IF($C949="","",ROW()-3)</f>
        <v/>
      </c>
      <c r="B949" s="18" t="n"/>
      <c r="C949" s="13" t="n"/>
      <c r="D949" s="13" t="n"/>
      <c r="E949" s="13" t="n"/>
      <c r="F949" s="13" t="n"/>
      <c r="G949" s="20" t="n"/>
      <c r="H949" s="14" t="n"/>
      <c r="I949" s="19">
        <f>IF($C949="","",ROUND(IF($G949="",1,$G949)*N($H949),2))</f>
        <v/>
      </c>
      <c r="J949" s="17">
        <f>IF($C949="","",IFERROR(VLOOKUP($C949,项目台账!$B:$C,2,0),"※项目不在项目台账里"))</f>
        <v/>
      </c>
      <c r="K949" s="13" t="n"/>
    </row>
    <row r="950">
      <c r="A950" s="17">
        <f>IF($C950="","",ROW()-3)</f>
        <v/>
      </c>
      <c r="B950" s="18" t="n"/>
      <c r="C950" s="13" t="n"/>
      <c r="D950" s="13" t="n"/>
      <c r="E950" s="13" t="n"/>
      <c r="F950" s="13" t="n"/>
      <c r="G950" s="20" t="n"/>
      <c r="H950" s="14" t="n"/>
      <c r="I950" s="19">
        <f>IF($C950="","",ROUND(IF($G950="",1,$G950)*N($H950),2))</f>
        <v/>
      </c>
      <c r="J950" s="17">
        <f>IF($C950="","",IFERROR(VLOOKUP($C950,项目台账!$B:$C,2,0),"※项目不在项目台账里"))</f>
        <v/>
      </c>
      <c r="K950" s="13" t="n"/>
    </row>
    <row r="951">
      <c r="A951" s="17">
        <f>IF($C951="","",ROW()-3)</f>
        <v/>
      </c>
      <c r="B951" s="18" t="n"/>
      <c r="C951" s="13" t="n"/>
      <c r="D951" s="13" t="n"/>
      <c r="E951" s="13" t="n"/>
      <c r="F951" s="13" t="n"/>
      <c r="G951" s="20" t="n"/>
      <c r="H951" s="14" t="n"/>
      <c r="I951" s="19">
        <f>IF($C951="","",ROUND(IF($G951="",1,$G951)*N($H951),2))</f>
        <v/>
      </c>
      <c r="J951" s="17">
        <f>IF($C951="","",IFERROR(VLOOKUP($C951,项目台账!$B:$C,2,0),"※项目不在项目台账里"))</f>
        <v/>
      </c>
      <c r="K951" s="13" t="n"/>
    </row>
    <row r="952">
      <c r="A952" s="17">
        <f>IF($C952="","",ROW()-3)</f>
        <v/>
      </c>
      <c r="B952" s="18" t="n"/>
      <c r="C952" s="13" t="n"/>
      <c r="D952" s="13" t="n"/>
      <c r="E952" s="13" t="n"/>
      <c r="F952" s="13" t="n"/>
      <c r="G952" s="20" t="n"/>
      <c r="H952" s="14" t="n"/>
      <c r="I952" s="19">
        <f>IF($C952="","",ROUND(IF($G952="",1,$G952)*N($H952),2))</f>
        <v/>
      </c>
      <c r="J952" s="17">
        <f>IF($C952="","",IFERROR(VLOOKUP($C952,项目台账!$B:$C,2,0),"※项目不在项目台账里"))</f>
        <v/>
      </c>
      <c r="K952" s="13" t="n"/>
    </row>
    <row r="953">
      <c r="A953" s="17">
        <f>IF($C953="","",ROW()-3)</f>
        <v/>
      </c>
      <c r="B953" s="18" t="n"/>
      <c r="C953" s="13" t="n"/>
      <c r="D953" s="13" t="n"/>
      <c r="E953" s="13" t="n"/>
      <c r="F953" s="13" t="n"/>
      <c r="G953" s="20" t="n"/>
      <c r="H953" s="14" t="n"/>
      <c r="I953" s="19">
        <f>IF($C953="","",ROUND(IF($G953="",1,$G953)*N($H953),2))</f>
        <v/>
      </c>
      <c r="J953" s="17">
        <f>IF($C953="","",IFERROR(VLOOKUP($C953,项目台账!$B:$C,2,0),"※项目不在项目台账里"))</f>
        <v/>
      </c>
      <c r="K953" s="13" t="n"/>
    </row>
    <row r="954">
      <c r="A954" s="17">
        <f>IF($C954="","",ROW()-3)</f>
        <v/>
      </c>
      <c r="B954" s="18" t="n"/>
      <c r="C954" s="13" t="n"/>
      <c r="D954" s="13" t="n"/>
      <c r="E954" s="13" t="n"/>
      <c r="F954" s="13" t="n"/>
      <c r="G954" s="20" t="n"/>
      <c r="H954" s="14" t="n"/>
      <c r="I954" s="19">
        <f>IF($C954="","",ROUND(IF($G954="",1,$G954)*N($H954),2))</f>
        <v/>
      </c>
      <c r="J954" s="17">
        <f>IF($C954="","",IFERROR(VLOOKUP($C954,项目台账!$B:$C,2,0),"※项目不在项目台账里"))</f>
        <v/>
      </c>
      <c r="K954" s="13" t="n"/>
    </row>
    <row r="955">
      <c r="A955" s="17">
        <f>IF($C955="","",ROW()-3)</f>
        <v/>
      </c>
      <c r="B955" s="18" t="n"/>
      <c r="C955" s="13" t="n"/>
      <c r="D955" s="13" t="n"/>
      <c r="E955" s="13" t="n"/>
      <c r="F955" s="13" t="n"/>
      <c r="G955" s="20" t="n"/>
      <c r="H955" s="14" t="n"/>
      <c r="I955" s="19">
        <f>IF($C955="","",ROUND(IF($G955="",1,$G955)*N($H955),2))</f>
        <v/>
      </c>
      <c r="J955" s="17">
        <f>IF($C955="","",IFERROR(VLOOKUP($C955,项目台账!$B:$C,2,0),"※项目不在项目台账里"))</f>
        <v/>
      </c>
      <c r="K955" s="13" t="n"/>
    </row>
    <row r="956">
      <c r="A956" s="17">
        <f>IF($C956="","",ROW()-3)</f>
        <v/>
      </c>
      <c r="B956" s="18" t="n"/>
      <c r="C956" s="13" t="n"/>
      <c r="D956" s="13" t="n"/>
      <c r="E956" s="13" t="n"/>
      <c r="F956" s="13" t="n"/>
      <c r="G956" s="20" t="n"/>
      <c r="H956" s="14" t="n"/>
      <c r="I956" s="19">
        <f>IF($C956="","",ROUND(IF($G956="",1,$G956)*N($H956),2))</f>
        <v/>
      </c>
      <c r="J956" s="17">
        <f>IF($C956="","",IFERROR(VLOOKUP($C956,项目台账!$B:$C,2,0),"※项目不在项目台账里"))</f>
        <v/>
      </c>
      <c r="K956" s="13" t="n"/>
    </row>
    <row r="957">
      <c r="A957" s="17">
        <f>IF($C957="","",ROW()-3)</f>
        <v/>
      </c>
      <c r="B957" s="18" t="n"/>
      <c r="C957" s="13" t="n"/>
      <c r="D957" s="13" t="n"/>
      <c r="E957" s="13" t="n"/>
      <c r="F957" s="13" t="n"/>
      <c r="G957" s="20" t="n"/>
      <c r="H957" s="14" t="n"/>
      <c r="I957" s="19">
        <f>IF($C957="","",ROUND(IF($G957="",1,$G957)*N($H957),2))</f>
        <v/>
      </c>
      <c r="J957" s="17">
        <f>IF($C957="","",IFERROR(VLOOKUP($C957,项目台账!$B:$C,2,0),"※项目不在项目台账里"))</f>
        <v/>
      </c>
      <c r="K957" s="13" t="n"/>
    </row>
    <row r="958">
      <c r="A958" s="17">
        <f>IF($C958="","",ROW()-3)</f>
        <v/>
      </c>
      <c r="B958" s="18" t="n"/>
      <c r="C958" s="13" t="n"/>
      <c r="D958" s="13" t="n"/>
      <c r="E958" s="13" t="n"/>
      <c r="F958" s="13" t="n"/>
      <c r="G958" s="20" t="n"/>
      <c r="H958" s="14" t="n"/>
      <c r="I958" s="19">
        <f>IF($C958="","",ROUND(IF($G958="",1,$G958)*N($H958),2))</f>
        <v/>
      </c>
      <c r="J958" s="17">
        <f>IF($C958="","",IFERROR(VLOOKUP($C958,项目台账!$B:$C,2,0),"※项目不在项目台账里"))</f>
        <v/>
      </c>
      <c r="K958" s="13" t="n"/>
    </row>
    <row r="959">
      <c r="A959" s="17">
        <f>IF($C959="","",ROW()-3)</f>
        <v/>
      </c>
      <c r="B959" s="18" t="n"/>
      <c r="C959" s="13" t="n"/>
      <c r="D959" s="13" t="n"/>
      <c r="E959" s="13" t="n"/>
      <c r="F959" s="13" t="n"/>
      <c r="G959" s="20" t="n"/>
      <c r="H959" s="14" t="n"/>
      <c r="I959" s="19">
        <f>IF($C959="","",ROUND(IF($G959="",1,$G959)*N($H959),2))</f>
        <v/>
      </c>
      <c r="J959" s="17">
        <f>IF($C959="","",IFERROR(VLOOKUP($C959,项目台账!$B:$C,2,0),"※项目不在项目台账里"))</f>
        <v/>
      </c>
      <c r="K959" s="13" t="n"/>
    </row>
    <row r="960">
      <c r="A960" s="17">
        <f>IF($C960="","",ROW()-3)</f>
        <v/>
      </c>
      <c r="B960" s="18" t="n"/>
      <c r="C960" s="13" t="n"/>
      <c r="D960" s="13" t="n"/>
      <c r="E960" s="13" t="n"/>
      <c r="F960" s="13" t="n"/>
      <c r="G960" s="20" t="n"/>
      <c r="H960" s="14" t="n"/>
      <c r="I960" s="19">
        <f>IF($C960="","",ROUND(IF($G960="",1,$G960)*N($H960),2))</f>
        <v/>
      </c>
      <c r="J960" s="17">
        <f>IF($C960="","",IFERROR(VLOOKUP($C960,项目台账!$B:$C,2,0),"※项目不在项目台账里"))</f>
        <v/>
      </c>
      <c r="K960" s="13" t="n"/>
    </row>
    <row r="961">
      <c r="A961" s="17">
        <f>IF($C961="","",ROW()-3)</f>
        <v/>
      </c>
      <c r="B961" s="18" t="n"/>
      <c r="C961" s="13" t="n"/>
      <c r="D961" s="13" t="n"/>
      <c r="E961" s="13" t="n"/>
      <c r="F961" s="13" t="n"/>
      <c r="G961" s="20" t="n"/>
      <c r="H961" s="14" t="n"/>
      <c r="I961" s="19">
        <f>IF($C961="","",ROUND(IF($G961="",1,$G961)*N($H961),2))</f>
        <v/>
      </c>
      <c r="J961" s="17">
        <f>IF($C961="","",IFERROR(VLOOKUP($C961,项目台账!$B:$C,2,0),"※项目不在项目台账里"))</f>
        <v/>
      </c>
      <c r="K961" s="13" t="n"/>
    </row>
    <row r="962">
      <c r="A962" s="17">
        <f>IF($C962="","",ROW()-3)</f>
        <v/>
      </c>
      <c r="B962" s="18" t="n"/>
      <c r="C962" s="13" t="n"/>
      <c r="D962" s="13" t="n"/>
      <c r="E962" s="13" t="n"/>
      <c r="F962" s="13" t="n"/>
      <c r="G962" s="20" t="n"/>
      <c r="H962" s="14" t="n"/>
      <c r="I962" s="19">
        <f>IF($C962="","",ROUND(IF($G962="",1,$G962)*N($H962),2))</f>
        <v/>
      </c>
      <c r="J962" s="17">
        <f>IF($C962="","",IFERROR(VLOOKUP($C962,项目台账!$B:$C,2,0),"※项目不在项目台账里"))</f>
        <v/>
      </c>
      <c r="K962" s="13" t="n"/>
    </row>
    <row r="963">
      <c r="A963" s="17">
        <f>IF($C963="","",ROW()-3)</f>
        <v/>
      </c>
      <c r="B963" s="18" t="n"/>
      <c r="C963" s="13" t="n"/>
      <c r="D963" s="13" t="n"/>
      <c r="E963" s="13" t="n"/>
      <c r="F963" s="13" t="n"/>
      <c r="G963" s="20" t="n"/>
      <c r="H963" s="14" t="n"/>
      <c r="I963" s="19">
        <f>IF($C963="","",ROUND(IF($G963="",1,$G963)*N($H963),2))</f>
        <v/>
      </c>
      <c r="J963" s="17">
        <f>IF($C963="","",IFERROR(VLOOKUP($C963,项目台账!$B:$C,2,0),"※项目不在项目台账里"))</f>
        <v/>
      </c>
      <c r="K963" s="13" t="n"/>
    </row>
    <row r="964">
      <c r="A964" s="17">
        <f>IF($C964="","",ROW()-3)</f>
        <v/>
      </c>
      <c r="B964" s="18" t="n"/>
      <c r="C964" s="13" t="n"/>
      <c r="D964" s="13" t="n"/>
      <c r="E964" s="13" t="n"/>
      <c r="F964" s="13" t="n"/>
      <c r="G964" s="20" t="n"/>
      <c r="H964" s="14" t="n"/>
      <c r="I964" s="19">
        <f>IF($C964="","",ROUND(IF($G964="",1,$G964)*N($H964),2))</f>
        <v/>
      </c>
      <c r="J964" s="17">
        <f>IF($C964="","",IFERROR(VLOOKUP($C964,项目台账!$B:$C,2,0),"※项目不在项目台账里"))</f>
        <v/>
      </c>
      <c r="K964" s="13" t="n"/>
    </row>
    <row r="965">
      <c r="A965" s="17">
        <f>IF($C965="","",ROW()-3)</f>
        <v/>
      </c>
      <c r="B965" s="18" t="n"/>
      <c r="C965" s="13" t="n"/>
      <c r="D965" s="13" t="n"/>
      <c r="E965" s="13" t="n"/>
      <c r="F965" s="13" t="n"/>
      <c r="G965" s="20" t="n"/>
      <c r="H965" s="14" t="n"/>
      <c r="I965" s="19">
        <f>IF($C965="","",ROUND(IF($G965="",1,$G965)*N($H965),2))</f>
        <v/>
      </c>
      <c r="J965" s="17">
        <f>IF($C965="","",IFERROR(VLOOKUP($C965,项目台账!$B:$C,2,0),"※项目不在项目台账里"))</f>
        <v/>
      </c>
      <c r="K965" s="13" t="n"/>
    </row>
    <row r="966">
      <c r="A966" s="17">
        <f>IF($C966="","",ROW()-3)</f>
        <v/>
      </c>
      <c r="B966" s="18" t="n"/>
      <c r="C966" s="13" t="n"/>
      <c r="D966" s="13" t="n"/>
      <c r="E966" s="13" t="n"/>
      <c r="F966" s="13" t="n"/>
      <c r="G966" s="20" t="n"/>
      <c r="H966" s="14" t="n"/>
      <c r="I966" s="19">
        <f>IF($C966="","",ROUND(IF($G966="",1,$G966)*N($H966),2))</f>
        <v/>
      </c>
      <c r="J966" s="17">
        <f>IF($C966="","",IFERROR(VLOOKUP($C966,项目台账!$B:$C,2,0),"※项目不在项目台账里"))</f>
        <v/>
      </c>
      <c r="K966" s="13" t="n"/>
    </row>
    <row r="967">
      <c r="A967" s="17">
        <f>IF($C967="","",ROW()-3)</f>
        <v/>
      </c>
      <c r="B967" s="18" t="n"/>
      <c r="C967" s="13" t="n"/>
      <c r="D967" s="13" t="n"/>
      <c r="E967" s="13" t="n"/>
      <c r="F967" s="13" t="n"/>
      <c r="G967" s="20" t="n"/>
      <c r="H967" s="14" t="n"/>
      <c r="I967" s="19">
        <f>IF($C967="","",ROUND(IF($G967="",1,$G967)*N($H967),2))</f>
        <v/>
      </c>
      <c r="J967" s="17">
        <f>IF($C967="","",IFERROR(VLOOKUP($C967,项目台账!$B:$C,2,0),"※项目不在项目台账里"))</f>
        <v/>
      </c>
      <c r="K967" s="13" t="n"/>
    </row>
    <row r="968">
      <c r="A968" s="17">
        <f>IF($C968="","",ROW()-3)</f>
        <v/>
      </c>
      <c r="B968" s="18" t="n"/>
      <c r="C968" s="13" t="n"/>
      <c r="D968" s="13" t="n"/>
      <c r="E968" s="13" t="n"/>
      <c r="F968" s="13" t="n"/>
      <c r="G968" s="20" t="n"/>
      <c r="H968" s="14" t="n"/>
      <c r="I968" s="19">
        <f>IF($C968="","",ROUND(IF($G968="",1,$G968)*N($H968),2))</f>
        <v/>
      </c>
      <c r="J968" s="17">
        <f>IF($C968="","",IFERROR(VLOOKUP($C968,项目台账!$B:$C,2,0),"※项目不在项目台账里"))</f>
        <v/>
      </c>
      <c r="K968" s="13" t="n"/>
    </row>
    <row r="969">
      <c r="A969" s="17">
        <f>IF($C969="","",ROW()-3)</f>
        <v/>
      </c>
      <c r="B969" s="18" t="n"/>
      <c r="C969" s="13" t="n"/>
      <c r="D969" s="13" t="n"/>
      <c r="E969" s="13" t="n"/>
      <c r="F969" s="13" t="n"/>
      <c r="G969" s="20" t="n"/>
      <c r="H969" s="14" t="n"/>
      <c r="I969" s="19">
        <f>IF($C969="","",ROUND(IF($G969="",1,$G969)*N($H969),2))</f>
        <v/>
      </c>
      <c r="J969" s="17">
        <f>IF($C969="","",IFERROR(VLOOKUP($C969,项目台账!$B:$C,2,0),"※项目不在项目台账里"))</f>
        <v/>
      </c>
      <c r="K969" s="13" t="n"/>
    </row>
    <row r="970">
      <c r="A970" s="17">
        <f>IF($C970="","",ROW()-3)</f>
        <v/>
      </c>
      <c r="B970" s="18" t="n"/>
      <c r="C970" s="13" t="n"/>
      <c r="D970" s="13" t="n"/>
      <c r="E970" s="13" t="n"/>
      <c r="F970" s="13" t="n"/>
      <c r="G970" s="20" t="n"/>
      <c r="H970" s="14" t="n"/>
      <c r="I970" s="19">
        <f>IF($C970="","",ROUND(IF($G970="",1,$G970)*N($H970),2))</f>
        <v/>
      </c>
      <c r="J970" s="17">
        <f>IF($C970="","",IFERROR(VLOOKUP($C970,项目台账!$B:$C,2,0),"※项目不在项目台账里"))</f>
        <v/>
      </c>
      <c r="K970" s="13" t="n"/>
    </row>
    <row r="971">
      <c r="A971" s="17">
        <f>IF($C971="","",ROW()-3)</f>
        <v/>
      </c>
      <c r="B971" s="18" t="n"/>
      <c r="C971" s="13" t="n"/>
      <c r="D971" s="13" t="n"/>
      <c r="E971" s="13" t="n"/>
      <c r="F971" s="13" t="n"/>
      <c r="G971" s="20" t="n"/>
      <c r="H971" s="14" t="n"/>
      <c r="I971" s="19">
        <f>IF($C971="","",ROUND(IF($G971="",1,$G971)*N($H971),2))</f>
        <v/>
      </c>
      <c r="J971" s="17">
        <f>IF($C971="","",IFERROR(VLOOKUP($C971,项目台账!$B:$C,2,0),"※项目不在项目台账里"))</f>
        <v/>
      </c>
      <c r="K971" s="13" t="n"/>
    </row>
    <row r="972">
      <c r="A972" s="17">
        <f>IF($C972="","",ROW()-3)</f>
        <v/>
      </c>
      <c r="B972" s="18" t="n"/>
      <c r="C972" s="13" t="n"/>
      <c r="D972" s="13" t="n"/>
      <c r="E972" s="13" t="n"/>
      <c r="F972" s="13" t="n"/>
      <c r="G972" s="20" t="n"/>
      <c r="H972" s="14" t="n"/>
      <c r="I972" s="19">
        <f>IF($C972="","",ROUND(IF($G972="",1,$G972)*N($H972),2))</f>
        <v/>
      </c>
      <c r="J972" s="17">
        <f>IF($C972="","",IFERROR(VLOOKUP($C972,项目台账!$B:$C,2,0),"※项目不在项目台账里"))</f>
        <v/>
      </c>
      <c r="K972" s="13" t="n"/>
    </row>
    <row r="973">
      <c r="A973" s="17">
        <f>IF($C973="","",ROW()-3)</f>
        <v/>
      </c>
      <c r="B973" s="18" t="n"/>
      <c r="C973" s="13" t="n"/>
      <c r="D973" s="13" t="n"/>
      <c r="E973" s="13" t="n"/>
      <c r="F973" s="13" t="n"/>
      <c r="G973" s="20" t="n"/>
      <c r="H973" s="14" t="n"/>
      <c r="I973" s="19">
        <f>IF($C973="","",ROUND(IF($G973="",1,$G973)*N($H973),2))</f>
        <v/>
      </c>
      <c r="J973" s="17">
        <f>IF($C973="","",IFERROR(VLOOKUP($C973,项目台账!$B:$C,2,0),"※项目不在项目台账里"))</f>
        <v/>
      </c>
      <c r="K973" s="13" t="n"/>
    </row>
    <row r="974">
      <c r="A974" s="17">
        <f>IF($C974="","",ROW()-3)</f>
        <v/>
      </c>
      <c r="B974" s="18" t="n"/>
      <c r="C974" s="13" t="n"/>
      <c r="D974" s="13" t="n"/>
      <c r="E974" s="13" t="n"/>
      <c r="F974" s="13" t="n"/>
      <c r="G974" s="20" t="n"/>
      <c r="H974" s="14" t="n"/>
      <c r="I974" s="19">
        <f>IF($C974="","",ROUND(IF($G974="",1,$G974)*N($H974),2))</f>
        <v/>
      </c>
      <c r="J974" s="17">
        <f>IF($C974="","",IFERROR(VLOOKUP($C974,项目台账!$B:$C,2,0),"※项目不在项目台账里"))</f>
        <v/>
      </c>
      <c r="K974" s="13" t="n"/>
    </row>
    <row r="975">
      <c r="A975" s="17">
        <f>IF($C975="","",ROW()-3)</f>
        <v/>
      </c>
      <c r="B975" s="18" t="n"/>
      <c r="C975" s="13" t="n"/>
      <c r="D975" s="13" t="n"/>
      <c r="E975" s="13" t="n"/>
      <c r="F975" s="13" t="n"/>
      <c r="G975" s="20" t="n"/>
      <c r="H975" s="14" t="n"/>
      <c r="I975" s="19">
        <f>IF($C975="","",ROUND(IF($G975="",1,$G975)*N($H975),2))</f>
        <v/>
      </c>
      <c r="J975" s="17">
        <f>IF($C975="","",IFERROR(VLOOKUP($C975,项目台账!$B:$C,2,0),"※项目不在项目台账里"))</f>
        <v/>
      </c>
      <c r="K975" s="13" t="n"/>
    </row>
    <row r="976">
      <c r="A976" s="17">
        <f>IF($C976="","",ROW()-3)</f>
        <v/>
      </c>
      <c r="B976" s="18" t="n"/>
      <c r="C976" s="13" t="n"/>
      <c r="D976" s="13" t="n"/>
      <c r="E976" s="13" t="n"/>
      <c r="F976" s="13" t="n"/>
      <c r="G976" s="20" t="n"/>
      <c r="H976" s="14" t="n"/>
      <c r="I976" s="19">
        <f>IF($C976="","",ROUND(IF($G976="",1,$G976)*N($H976),2))</f>
        <v/>
      </c>
      <c r="J976" s="17">
        <f>IF($C976="","",IFERROR(VLOOKUP($C976,项目台账!$B:$C,2,0),"※项目不在项目台账里"))</f>
        <v/>
      </c>
      <c r="K976" s="13" t="n"/>
    </row>
    <row r="977">
      <c r="A977" s="17">
        <f>IF($C977="","",ROW()-3)</f>
        <v/>
      </c>
      <c r="B977" s="18" t="n"/>
      <c r="C977" s="13" t="n"/>
      <c r="D977" s="13" t="n"/>
      <c r="E977" s="13" t="n"/>
      <c r="F977" s="13" t="n"/>
      <c r="G977" s="20" t="n"/>
      <c r="H977" s="14" t="n"/>
      <c r="I977" s="19">
        <f>IF($C977="","",ROUND(IF($G977="",1,$G977)*N($H977),2))</f>
        <v/>
      </c>
      <c r="J977" s="17">
        <f>IF($C977="","",IFERROR(VLOOKUP($C977,项目台账!$B:$C,2,0),"※项目不在项目台账里"))</f>
        <v/>
      </c>
      <c r="K977" s="13" t="n"/>
    </row>
    <row r="978">
      <c r="A978" s="17">
        <f>IF($C978="","",ROW()-3)</f>
        <v/>
      </c>
      <c r="B978" s="18" t="n"/>
      <c r="C978" s="13" t="n"/>
      <c r="D978" s="13" t="n"/>
      <c r="E978" s="13" t="n"/>
      <c r="F978" s="13" t="n"/>
      <c r="G978" s="20" t="n"/>
      <c r="H978" s="14" t="n"/>
      <c r="I978" s="19">
        <f>IF($C978="","",ROUND(IF($G978="",1,$G978)*N($H978),2))</f>
        <v/>
      </c>
      <c r="J978" s="17">
        <f>IF($C978="","",IFERROR(VLOOKUP($C978,项目台账!$B:$C,2,0),"※项目不在项目台账里"))</f>
        <v/>
      </c>
      <c r="K978" s="13" t="n"/>
    </row>
    <row r="979">
      <c r="A979" s="17">
        <f>IF($C979="","",ROW()-3)</f>
        <v/>
      </c>
      <c r="B979" s="18" t="n"/>
      <c r="C979" s="13" t="n"/>
      <c r="D979" s="13" t="n"/>
      <c r="E979" s="13" t="n"/>
      <c r="F979" s="13" t="n"/>
      <c r="G979" s="20" t="n"/>
      <c r="H979" s="14" t="n"/>
      <c r="I979" s="19">
        <f>IF($C979="","",ROUND(IF($G979="",1,$G979)*N($H979),2))</f>
        <v/>
      </c>
      <c r="J979" s="17">
        <f>IF($C979="","",IFERROR(VLOOKUP($C979,项目台账!$B:$C,2,0),"※项目不在项目台账里"))</f>
        <v/>
      </c>
      <c r="K979" s="13" t="n"/>
    </row>
    <row r="980">
      <c r="A980" s="17">
        <f>IF($C980="","",ROW()-3)</f>
        <v/>
      </c>
      <c r="B980" s="18" t="n"/>
      <c r="C980" s="13" t="n"/>
      <c r="D980" s="13" t="n"/>
      <c r="E980" s="13" t="n"/>
      <c r="F980" s="13" t="n"/>
      <c r="G980" s="20" t="n"/>
      <c r="H980" s="14" t="n"/>
      <c r="I980" s="19">
        <f>IF($C980="","",ROUND(IF($G980="",1,$G980)*N($H980),2))</f>
        <v/>
      </c>
      <c r="J980" s="17">
        <f>IF($C980="","",IFERROR(VLOOKUP($C980,项目台账!$B:$C,2,0),"※项目不在项目台账里"))</f>
        <v/>
      </c>
      <c r="K980" s="13" t="n"/>
    </row>
    <row r="981">
      <c r="A981" s="17">
        <f>IF($C981="","",ROW()-3)</f>
        <v/>
      </c>
      <c r="B981" s="18" t="n"/>
      <c r="C981" s="13" t="n"/>
      <c r="D981" s="13" t="n"/>
      <c r="E981" s="13" t="n"/>
      <c r="F981" s="13" t="n"/>
      <c r="G981" s="20" t="n"/>
      <c r="H981" s="14" t="n"/>
      <c r="I981" s="19">
        <f>IF($C981="","",ROUND(IF($G981="",1,$G981)*N($H981),2))</f>
        <v/>
      </c>
      <c r="J981" s="17">
        <f>IF($C981="","",IFERROR(VLOOKUP($C981,项目台账!$B:$C,2,0),"※项目不在项目台账里"))</f>
        <v/>
      </c>
      <c r="K981" s="13" t="n"/>
    </row>
    <row r="982">
      <c r="A982" s="17">
        <f>IF($C982="","",ROW()-3)</f>
        <v/>
      </c>
      <c r="B982" s="18" t="n"/>
      <c r="C982" s="13" t="n"/>
      <c r="D982" s="13" t="n"/>
      <c r="E982" s="13" t="n"/>
      <c r="F982" s="13" t="n"/>
      <c r="G982" s="20" t="n"/>
      <c r="H982" s="14" t="n"/>
      <c r="I982" s="19">
        <f>IF($C982="","",ROUND(IF($G982="",1,$G982)*N($H982),2))</f>
        <v/>
      </c>
      <c r="J982" s="17">
        <f>IF($C982="","",IFERROR(VLOOKUP($C982,项目台账!$B:$C,2,0),"※项目不在项目台账里"))</f>
        <v/>
      </c>
      <c r="K982" s="13" t="n"/>
    </row>
    <row r="983">
      <c r="A983" s="17">
        <f>IF($C983="","",ROW()-3)</f>
        <v/>
      </c>
      <c r="B983" s="18" t="n"/>
      <c r="C983" s="13" t="n"/>
      <c r="D983" s="13" t="n"/>
      <c r="E983" s="13" t="n"/>
      <c r="F983" s="13" t="n"/>
      <c r="G983" s="20" t="n"/>
      <c r="H983" s="14" t="n"/>
      <c r="I983" s="19">
        <f>IF($C983="","",ROUND(IF($G983="",1,$G983)*N($H983),2))</f>
        <v/>
      </c>
      <c r="J983" s="17">
        <f>IF($C983="","",IFERROR(VLOOKUP($C983,项目台账!$B:$C,2,0),"※项目不在项目台账里"))</f>
        <v/>
      </c>
      <c r="K983" s="13" t="n"/>
    </row>
    <row r="984">
      <c r="A984" s="17">
        <f>IF($C984="","",ROW()-3)</f>
        <v/>
      </c>
      <c r="B984" s="18" t="n"/>
      <c r="C984" s="13" t="n"/>
      <c r="D984" s="13" t="n"/>
      <c r="E984" s="13" t="n"/>
      <c r="F984" s="13" t="n"/>
      <c r="G984" s="20" t="n"/>
      <c r="H984" s="14" t="n"/>
      <c r="I984" s="19">
        <f>IF($C984="","",ROUND(IF($G984="",1,$G984)*N($H984),2))</f>
        <v/>
      </c>
      <c r="J984" s="17">
        <f>IF($C984="","",IFERROR(VLOOKUP($C984,项目台账!$B:$C,2,0),"※项目不在项目台账里"))</f>
        <v/>
      </c>
      <c r="K984" s="13" t="n"/>
    </row>
    <row r="985">
      <c r="A985" s="17">
        <f>IF($C985="","",ROW()-3)</f>
        <v/>
      </c>
      <c r="B985" s="18" t="n"/>
      <c r="C985" s="13" t="n"/>
      <c r="D985" s="13" t="n"/>
      <c r="E985" s="13" t="n"/>
      <c r="F985" s="13" t="n"/>
      <c r="G985" s="20" t="n"/>
      <c r="H985" s="14" t="n"/>
      <c r="I985" s="19">
        <f>IF($C985="","",ROUND(IF($G985="",1,$G985)*N($H985),2))</f>
        <v/>
      </c>
      <c r="J985" s="17">
        <f>IF($C985="","",IFERROR(VLOOKUP($C985,项目台账!$B:$C,2,0),"※项目不在项目台账里"))</f>
        <v/>
      </c>
      <c r="K985" s="13" t="n"/>
    </row>
    <row r="986">
      <c r="A986" s="17">
        <f>IF($C986="","",ROW()-3)</f>
        <v/>
      </c>
      <c r="B986" s="18" t="n"/>
      <c r="C986" s="13" t="n"/>
      <c r="D986" s="13" t="n"/>
      <c r="E986" s="13" t="n"/>
      <c r="F986" s="13" t="n"/>
      <c r="G986" s="20" t="n"/>
      <c r="H986" s="14" t="n"/>
      <c r="I986" s="19">
        <f>IF($C986="","",ROUND(IF($G986="",1,$G986)*N($H986),2))</f>
        <v/>
      </c>
      <c r="J986" s="17">
        <f>IF($C986="","",IFERROR(VLOOKUP($C986,项目台账!$B:$C,2,0),"※项目不在项目台账里"))</f>
        <v/>
      </c>
      <c r="K986" s="13" t="n"/>
    </row>
    <row r="987">
      <c r="A987" s="17">
        <f>IF($C987="","",ROW()-3)</f>
        <v/>
      </c>
      <c r="B987" s="18" t="n"/>
      <c r="C987" s="13" t="n"/>
      <c r="D987" s="13" t="n"/>
      <c r="E987" s="13" t="n"/>
      <c r="F987" s="13" t="n"/>
      <c r="G987" s="20" t="n"/>
      <c r="H987" s="14" t="n"/>
      <c r="I987" s="19">
        <f>IF($C987="","",ROUND(IF($G987="",1,$G987)*N($H987),2))</f>
        <v/>
      </c>
      <c r="J987" s="17">
        <f>IF($C987="","",IFERROR(VLOOKUP($C987,项目台账!$B:$C,2,0),"※项目不在项目台账里"))</f>
        <v/>
      </c>
      <c r="K987" s="13" t="n"/>
    </row>
    <row r="988">
      <c r="A988" s="17">
        <f>IF($C988="","",ROW()-3)</f>
        <v/>
      </c>
      <c r="B988" s="18" t="n"/>
      <c r="C988" s="13" t="n"/>
      <c r="D988" s="13" t="n"/>
      <c r="E988" s="13" t="n"/>
      <c r="F988" s="13" t="n"/>
      <c r="G988" s="20" t="n"/>
      <c r="H988" s="14" t="n"/>
      <c r="I988" s="19">
        <f>IF($C988="","",ROUND(IF($G988="",1,$G988)*N($H988),2))</f>
        <v/>
      </c>
      <c r="J988" s="17">
        <f>IF($C988="","",IFERROR(VLOOKUP($C988,项目台账!$B:$C,2,0),"※项目不在项目台账里"))</f>
        <v/>
      </c>
      <c r="K988" s="13" t="n"/>
    </row>
    <row r="989">
      <c r="A989" s="17">
        <f>IF($C989="","",ROW()-3)</f>
        <v/>
      </c>
      <c r="B989" s="18" t="n"/>
      <c r="C989" s="13" t="n"/>
      <c r="D989" s="13" t="n"/>
      <c r="E989" s="13" t="n"/>
      <c r="F989" s="13" t="n"/>
      <c r="G989" s="20" t="n"/>
      <c r="H989" s="14" t="n"/>
      <c r="I989" s="19">
        <f>IF($C989="","",ROUND(IF($G989="",1,$G989)*N($H989),2))</f>
        <v/>
      </c>
      <c r="J989" s="17">
        <f>IF($C989="","",IFERROR(VLOOKUP($C989,项目台账!$B:$C,2,0),"※项目不在项目台账里"))</f>
        <v/>
      </c>
      <c r="K989" s="13" t="n"/>
    </row>
    <row r="990">
      <c r="A990" s="17">
        <f>IF($C990="","",ROW()-3)</f>
        <v/>
      </c>
      <c r="B990" s="18" t="n"/>
      <c r="C990" s="13" t="n"/>
      <c r="D990" s="13" t="n"/>
      <c r="E990" s="13" t="n"/>
      <c r="F990" s="13" t="n"/>
      <c r="G990" s="20" t="n"/>
      <c r="H990" s="14" t="n"/>
      <c r="I990" s="19">
        <f>IF($C990="","",ROUND(IF($G990="",1,$G990)*N($H990),2))</f>
        <v/>
      </c>
      <c r="J990" s="17">
        <f>IF($C990="","",IFERROR(VLOOKUP($C990,项目台账!$B:$C,2,0),"※项目不在项目台账里"))</f>
        <v/>
      </c>
      <c r="K990" s="13" t="n"/>
    </row>
    <row r="991">
      <c r="A991" s="17">
        <f>IF($C991="","",ROW()-3)</f>
        <v/>
      </c>
      <c r="B991" s="18" t="n"/>
      <c r="C991" s="13" t="n"/>
      <c r="D991" s="13" t="n"/>
      <c r="E991" s="13" t="n"/>
      <c r="F991" s="13" t="n"/>
      <c r="G991" s="20" t="n"/>
      <c r="H991" s="14" t="n"/>
      <c r="I991" s="19">
        <f>IF($C991="","",ROUND(IF($G991="",1,$G991)*N($H991),2))</f>
        <v/>
      </c>
      <c r="J991" s="17">
        <f>IF($C991="","",IFERROR(VLOOKUP($C991,项目台账!$B:$C,2,0),"※项目不在项目台账里"))</f>
        <v/>
      </c>
      <c r="K991" s="13" t="n"/>
    </row>
    <row r="992">
      <c r="A992" s="17">
        <f>IF($C992="","",ROW()-3)</f>
        <v/>
      </c>
      <c r="B992" s="18" t="n"/>
      <c r="C992" s="13" t="n"/>
      <c r="D992" s="13" t="n"/>
      <c r="E992" s="13" t="n"/>
      <c r="F992" s="13" t="n"/>
      <c r="G992" s="20" t="n"/>
      <c r="H992" s="14" t="n"/>
      <c r="I992" s="19">
        <f>IF($C992="","",ROUND(IF($G992="",1,$G992)*N($H992),2))</f>
        <v/>
      </c>
      <c r="J992" s="17">
        <f>IF($C992="","",IFERROR(VLOOKUP($C992,项目台账!$B:$C,2,0),"※项目不在项目台账里"))</f>
        <v/>
      </c>
      <c r="K992" s="13" t="n"/>
    </row>
    <row r="993">
      <c r="A993" s="17">
        <f>IF($C993="","",ROW()-3)</f>
        <v/>
      </c>
      <c r="B993" s="18" t="n"/>
      <c r="C993" s="13" t="n"/>
      <c r="D993" s="13" t="n"/>
      <c r="E993" s="13" t="n"/>
      <c r="F993" s="13" t="n"/>
      <c r="G993" s="20" t="n"/>
      <c r="H993" s="14" t="n"/>
      <c r="I993" s="19">
        <f>IF($C993="","",ROUND(IF($G993="",1,$G993)*N($H993),2))</f>
        <v/>
      </c>
      <c r="J993" s="17">
        <f>IF($C993="","",IFERROR(VLOOKUP($C993,项目台账!$B:$C,2,0),"※项目不在项目台账里"))</f>
        <v/>
      </c>
      <c r="K993" s="13" t="n"/>
    </row>
    <row r="994">
      <c r="A994" s="17">
        <f>IF($C994="","",ROW()-3)</f>
        <v/>
      </c>
      <c r="B994" s="18" t="n"/>
      <c r="C994" s="13" t="n"/>
      <c r="D994" s="13" t="n"/>
      <c r="E994" s="13" t="n"/>
      <c r="F994" s="13" t="n"/>
      <c r="G994" s="20" t="n"/>
      <c r="H994" s="14" t="n"/>
      <c r="I994" s="19">
        <f>IF($C994="","",ROUND(IF($G994="",1,$G994)*N($H994),2))</f>
        <v/>
      </c>
      <c r="J994" s="17">
        <f>IF($C994="","",IFERROR(VLOOKUP($C994,项目台账!$B:$C,2,0),"※项目不在项目台账里"))</f>
        <v/>
      </c>
      <c r="K994" s="13" t="n"/>
    </row>
    <row r="995">
      <c r="A995" s="17">
        <f>IF($C995="","",ROW()-3)</f>
        <v/>
      </c>
      <c r="B995" s="18" t="n"/>
      <c r="C995" s="13" t="n"/>
      <c r="D995" s="13" t="n"/>
      <c r="E995" s="13" t="n"/>
      <c r="F995" s="13" t="n"/>
      <c r="G995" s="20" t="n"/>
      <c r="H995" s="14" t="n"/>
      <c r="I995" s="19">
        <f>IF($C995="","",ROUND(IF($G995="",1,$G995)*N($H995),2))</f>
        <v/>
      </c>
      <c r="J995" s="17">
        <f>IF($C995="","",IFERROR(VLOOKUP($C995,项目台账!$B:$C,2,0),"※项目不在项目台账里"))</f>
        <v/>
      </c>
      <c r="K995" s="13" t="n"/>
    </row>
    <row r="996">
      <c r="A996" s="17">
        <f>IF($C996="","",ROW()-3)</f>
        <v/>
      </c>
      <c r="B996" s="18" t="n"/>
      <c r="C996" s="13" t="n"/>
      <c r="D996" s="13" t="n"/>
      <c r="E996" s="13" t="n"/>
      <c r="F996" s="13" t="n"/>
      <c r="G996" s="20" t="n"/>
      <c r="H996" s="14" t="n"/>
      <c r="I996" s="19">
        <f>IF($C996="","",ROUND(IF($G996="",1,$G996)*N($H996),2))</f>
        <v/>
      </c>
      <c r="J996" s="17">
        <f>IF($C996="","",IFERROR(VLOOKUP($C996,项目台账!$B:$C,2,0),"※项目不在项目台账里"))</f>
        <v/>
      </c>
      <c r="K996" s="13" t="n"/>
    </row>
    <row r="997">
      <c r="A997" s="17">
        <f>IF($C997="","",ROW()-3)</f>
        <v/>
      </c>
      <c r="B997" s="18" t="n"/>
      <c r="C997" s="13" t="n"/>
      <c r="D997" s="13" t="n"/>
      <c r="E997" s="13" t="n"/>
      <c r="F997" s="13" t="n"/>
      <c r="G997" s="20" t="n"/>
      <c r="H997" s="14" t="n"/>
      <c r="I997" s="19">
        <f>IF($C997="","",ROUND(IF($G997="",1,$G997)*N($H997),2))</f>
        <v/>
      </c>
      <c r="J997" s="17">
        <f>IF($C997="","",IFERROR(VLOOKUP($C997,项目台账!$B:$C,2,0),"※项目不在项目台账里"))</f>
        <v/>
      </c>
      <c r="K997" s="13" t="n"/>
    </row>
    <row r="998">
      <c r="A998" s="17">
        <f>IF($C998="","",ROW()-3)</f>
        <v/>
      </c>
      <c r="B998" s="18" t="n"/>
      <c r="C998" s="13" t="n"/>
      <c r="D998" s="13" t="n"/>
      <c r="E998" s="13" t="n"/>
      <c r="F998" s="13" t="n"/>
      <c r="G998" s="20" t="n"/>
      <c r="H998" s="14" t="n"/>
      <c r="I998" s="19">
        <f>IF($C998="","",ROUND(IF($G998="",1,$G998)*N($H998),2))</f>
        <v/>
      </c>
      <c r="J998" s="17">
        <f>IF($C998="","",IFERROR(VLOOKUP($C998,项目台账!$B:$C,2,0),"※项目不在项目台账里"))</f>
        <v/>
      </c>
      <c r="K998" s="13" t="n"/>
    </row>
    <row r="999">
      <c r="A999" s="17">
        <f>IF($C999="","",ROW()-3)</f>
        <v/>
      </c>
      <c r="B999" s="18" t="n"/>
      <c r="C999" s="13" t="n"/>
      <c r="D999" s="13" t="n"/>
      <c r="E999" s="13" t="n"/>
      <c r="F999" s="13" t="n"/>
      <c r="G999" s="20" t="n"/>
      <c r="H999" s="14" t="n"/>
      <c r="I999" s="19">
        <f>IF($C999="","",ROUND(IF($G999="",1,$G999)*N($H999),2))</f>
        <v/>
      </c>
      <c r="J999" s="17">
        <f>IF($C999="","",IFERROR(VLOOKUP($C999,项目台账!$B:$C,2,0),"※项目不在项目台账里"))</f>
        <v/>
      </c>
      <c r="K999" s="13" t="n"/>
    </row>
    <row r="1000">
      <c r="A1000" s="17">
        <f>IF($C1000="","",ROW()-3)</f>
        <v/>
      </c>
      <c r="B1000" s="18" t="n"/>
      <c r="C1000" s="13" t="n"/>
      <c r="D1000" s="13" t="n"/>
      <c r="E1000" s="13" t="n"/>
      <c r="F1000" s="13" t="n"/>
      <c r="G1000" s="20" t="n"/>
      <c r="H1000" s="14" t="n"/>
      <c r="I1000" s="19">
        <f>IF($C1000="","",ROUND(IF($G1000="",1,$G1000)*N($H1000),2))</f>
        <v/>
      </c>
      <c r="J1000" s="17">
        <f>IF($C1000="","",IFERROR(VLOOKUP($C1000,项目台账!$B:$C,2,0),"※项目不在项目台账里"))</f>
        <v/>
      </c>
      <c r="K1000" s="13" t="n"/>
    </row>
    <row r="1001">
      <c r="A1001" s="17">
        <f>IF($C1001="","",ROW()-3)</f>
        <v/>
      </c>
      <c r="B1001" s="18" t="n"/>
      <c r="C1001" s="13" t="n"/>
      <c r="D1001" s="13" t="n"/>
      <c r="E1001" s="13" t="n"/>
      <c r="F1001" s="13" t="n"/>
      <c r="G1001" s="20" t="n"/>
      <c r="H1001" s="14" t="n"/>
      <c r="I1001" s="19">
        <f>IF($C1001="","",ROUND(IF($G1001="",1,$G1001)*N($H1001),2))</f>
        <v/>
      </c>
      <c r="J1001" s="17">
        <f>IF($C1001="","",IFERROR(VLOOKUP($C1001,项目台账!$B:$C,2,0),"※项目不在项目台账里"))</f>
        <v/>
      </c>
      <c r="K1001" s="13" t="n"/>
    </row>
    <row r="1002">
      <c r="A1002" s="17">
        <f>IF($C1002="","",ROW()-3)</f>
        <v/>
      </c>
      <c r="B1002" s="18" t="n"/>
      <c r="C1002" s="13" t="n"/>
      <c r="D1002" s="13" t="n"/>
      <c r="E1002" s="13" t="n"/>
      <c r="F1002" s="13" t="n"/>
      <c r="G1002" s="20" t="n"/>
      <c r="H1002" s="14" t="n"/>
      <c r="I1002" s="19">
        <f>IF($C1002="","",ROUND(IF($G1002="",1,$G1002)*N($H1002),2))</f>
        <v/>
      </c>
      <c r="J1002" s="17">
        <f>IF($C1002="","",IFERROR(VLOOKUP($C1002,项目台账!$B:$C,2,0),"※项目不在项目台账里"))</f>
        <v/>
      </c>
      <c r="K1002" s="13" t="n"/>
    </row>
    <row r="1003">
      <c r="A1003" s="17">
        <f>IF($C1003="","",ROW()-3)</f>
        <v/>
      </c>
      <c r="B1003" s="18" t="n"/>
      <c r="C1003" s="13" t="n"/>
      <c r="D1003" s="13" t="n"/>
      <c r="E1003" s="13" t="n"/>
      <c r="F1003" s="13" t="n"/>
      <c r="G1003" s="20" t="n"/>
      <c r="H1003" s="14" t="n"/>
      <c r="I1003" s="19">
        <f>IF($C1003="","",ROUND(IF($G1003="",1,$G1003)*N($H1003),2))</f>
        <v/>
      </c>
      <c r="J1003" s="17">
        <f>IF($C1003="","",IFERROR(VLOOKUP($C1003,项目台账!$B:$C,2,0),"※项目不在项目台账里"))</f>
        <v/>
      </c>
      <c r="K1003" s="13" t="n"/>
    </row>
    <row r="1004">
      <c r="A1004" s="17">
        <f>IF($C1004="","",ROW()-3)</f>
        <v/>
      </c>
      <c r="B1004" s="18" t="n"/>
      <c r="C1004" s="13" t="n"/>
      <c r="D1004" s="13" t="n"/>
      <c r="E1004" s="13" t="n"/>
      <c r="F1004" s="13" t="n"/>
      <c r="G1004" s="20" t="n"/>
      <c r="H1004" s="14" t="n"/>
      <c r="I1004" s="19">
        <f>IF($C1004="","",ROUND(IF($G1004="",1,$G1004)*N($H1004),2))</f>
        <v/>
      </c>
      <c r="J1004" s="17">
        <f>IF($C1004="","",IFERROR(VLOOKUP($C1004,项目台账!$B:$C,2,0),"※项目不在项目台账里"))</f>
        <v/>
      </c>
      <c r="K1004" s="13" t="n"/>
    </row>
    <row r="1005">
      <c r="A1005" s="17">
        <f>IF($C1005="","",ROW()-3)</f>
        <v/>
      </c>
      <c r="B1005" s="18" t="n"/>
      <c r="C1005" s="13" t="n"/>
      <c r="D1005" s="13" t="n"/>
      <c r="E1005" s="13" t="n"/>
      <c r="F1005" s="13" t="n"/>
      <c r="G1005" s="20" t="n"/>
      <c r="H1005" s="14" t="n"/>
      <c r="I1005" s="19">
        <f>IF($C1005="","",ROUND(IF($G1005="",1,$G1005)*N($H1005),2))</f>
        <v/>
      </c>
      <c r="J1005" s="17">
        <f>IF($C1005="","",IFERROR(VLOOKUP($C1005,项目台账!$B:$C,2,0),"※项目不在项目台账里"))</f>
        <v/>
      </c>
      <c r="K1005" s="13" t="n"/>
    </row>
    <row r="1006">
      <c r="A1006" s="17">
        <f>IF($C1006="","",ROW()-3)</f>
        <v/>
      </c>
      <c r="B1006" s="18" t="n"/>
      <c r="C1006" s="13" t="n"/>
      <c r="D1006" s="13" t="n"/>
      <c r="E1006" s="13" t="n"/>
      <c r="F1006" s="13" t="n"/>
      <c r="G1006" s="20" t="n"/>
      <c r="H1006" s="14" t="n"/>
      <c r="I1006" s="19">
        <f>IF($C1006="","",ROUND(IF($G1006="",1,$G1006)*N($H1006),2))</f>
        <v/>
      </c>
      <c r="J1006" s="17">
        <f>IF($C1006="","",IFERROR(VLOOKUP($C1006,项目台账!$B:$C,2,0),"※项目不在项目台账里"))</f>
        <v/>
      </c>
      <c r="K1006" s="13" t="n"/>
    </row>
    <row r="1007">
      <c r="A1007" s="17">
        <f>IF($C1007="","",ROW()-3)</f>
        <v/>
      </c>
      <c r="B1007" s="18" t="n"/>
      <c r="C1007" s="13" t="n"/>
      <c r="D1007" s="13" t="n"/>
      <c r="E1007" s="13" t="n"/>
      <c r="F1007" s="13" t="n"/>
      <c r="G1007" s="20" t="n"/>
      <c r="H1007" s="14" t="n"/>
      <c r="I1007" s="19">
        <f>IF($C1007="","",ROUND(IF($G1007="",1,$G1007)*N($H1007),2))</f>
        <v/>
      </c>
      <c r="J1007" s="17">
        <f>IF($C1007="","",IFERROR(VLOOKUP($C1007,项目台账!$B:$C,2,0),"※项目不在项目台账里"))</f>
        <v/>
      </c>
      <c r="K1007" s="13" t="n"/>
    </row>
    <row r="1008">
      <c r="A1008" s="17">
        <f>IF($C1008="","",ROW()-3)</f>
        <v/>
      </c>
      <c r="B1008" s="18" t="n"/>
      <c r="C1008" s="13" t="n"/>
      <c r="D1008" s="13" t="n"/>
      <c r="E1008" s="13" t="n"/>
      <c r="F1008" s="13" t="n"/>
      <c r="G1008" s="20" t="n"/>
      <c r="H1008" s="14" t="n"/>
      <c r="I1008" s="19">
        <f>IF($C1008="","",ROUND(IF($G1008="",1,$G1008)*N($H1008),2))</f>
        <v/>
      </c>
      <c r="J1008" s="17">
        <f>IF($C1008="","",IFERROR(VLOOKUP($C1008,项目台账!$B:$C,2,0),"※项目不在项目台账里"))</f>
        <v/>
      </c>
      <c r="K1008" s="13" t="n"/>
    </row>
    <row r="1009">
      <c r="A1009" s="17">
        <f>IF($C1009="","",ROW()-3)</f>
        <v/>
      </c>
      <c r="B1009" s="18" t="n"/>
      <c r="C1009" s="13" t="n"/>
      <c r="D1009" s="13" t="n"/>
      <c r="E1009" s="13" t="n"/>
      <c r="F1009" s="13" t="n"/>
      <c r="G1009" s="20" t="n"/>
      <c r="H1009" s="14" t="n"/>
      <c r="I1009" s="19">
        <f>IF($C1009="","",ROUND(IF($G1009="",1,$G1009)*N($H1009),2))</f>
        <v/>
      </c>
      <c r="J1009" s="17">
        <f>IF($C1009="","",IFERROR(VLOOKUP($C1009,项目台账!$B:$C,2,0),"※项目不在项目台账里"))</f>
        <v/>
      </c>
      <c r="K1009" s="13" t="n"/>
    </row>
    <row r="1010">
      <c r="A1010" s="17">
        <f>IF($C1010="","",ROW()-3)</f>
        <v/>
      </c>
      <c r="B1010" s="18" t="n"/>
      <c r="C1010" s="13" t="n"/>
      <c r="D1010" s="13" t="n"/>
      <c r="E1010" s="13" t="n"/>
      <c r="F1010" s="13" t="n"/>
      <c r="G1010" s="20" t="n"/>
      <c r="H1010" s="14" t="n"/>
      <c r="I1010" s="19">
        <f>IF($C1010="","",ROUND(IF($G1010="",1,$G1010)*N($H1010),2))</f>
        <v/>
      </c>
      <c r="J1010" s="17">
        <f>IF($C1010="","",IFERROR(VLOOKUP($C1010,项目台账!$B:$C,2,0),"※项目不在项目台账里"))</f>
        <v/>
      </c>
      <c r="K1010" s="13" t="n"/>
    </row>
    <row r="1011">
      <c r="A1011" s="17">
        <f>IF($C1011="","",ROW()-3)</f>
        <v/>
      </c>
      <c r="B1011" s="18" t="n"/>
      <c r="C1011" s="13" t="n"/>
      <c r="D1011" s="13" t="n"/>
      <c r="E1011" s="13" t="n"/>
      <c r="F1011" s="13" t="n"/>
      <c r="G1011" s="20" t="n"/>
      <c r="H1011" s="14" t="n"/>
      <c r="I1011" s="19">
        <f>IF($C1011="","",ROUND(IF($G1011="",1,$G1011)*N($H1011),2))</f>
        <v/>
      </c>
      <c r="J1011" s="17">
        <f>IF($C1011="","",IFERROR(VLOOKUP($C1011,项目台账!$B:$C,2,0),"※项目不在项目台账里"))</f>
        <v/>
      </c>
      <c r="K1011" s="13" t="n"/>
    </row>
    <row r="1012">
      <c r="A1012" s="17">
        <f>IF($C1012="","",ROW()-3)</f>
        <v/>
      </c>
      <c r="B1012" s="18" t="n"/>
      <c r="C1012" s="13" t="n"/>
      <c r="D1012" s="13" t="n"/>
      <c r="E1012" s="13" t="n"/>
      <c r="F1012" s="13" t="n"/>
      <c r="G1012" s="20" t="n"/>
      <c r="H1012" s="14" t="n"/>
      <c r="I1012" s="19">
        <f>IF($C1012="","",ROUND(IF($G1012="",1,$G1012)*N($H1012),2))</f>
        <v/>
      </c>
      <c r="J1012" s="17">
        <f>IF($C1012="","",IFERROR(VLOOKUP($C1012,项目台账!$B:$C,2,0),"※项目不在项目台账里"))</f>
        <v/>
      </c>
      <c r="K1012" s="13" t="n"/>
    </row>
    <row r="1013">
      <c r="A1013" s="17">
        <f>IF($C1013="","",ROW()-3)</f>
        <v/>
      </c>
      <c r="B1013" s="18" t="n"/>
      <c r="C1013" s="13" t="n"/>
      <c r="D1013" s="13" t="n"/>
      <c r="E1013" s="13" t="n"/>
      <c r="F1013" s="13" t="n"/>
      <c r="G1013" s="20" t="n"/>
      <c r="H1013" s="14" t="n"/>
      <c r="I1013" s="19">
        <f>IF($C1013="","",ROUND(IF($G1013="",1,$G1013)*N($H1013),2))</f>
        <v/>
      </c>
      <c r="J1013" s="17">
        <f>IF($C1013="","",IFERROR(VLOOKUP($C1013,项目台账!$B:$C,2,0),"※项目不在项目台账里"))</f>
        <v/>
      </c>
      <c r="K1013" s="13" t="n"/>
    </row>
    <row r="1014">
      <c r="A1014" s="17">
        <f>IF($C1014="","",ROW()-3)</f>
        <v/>
      </c>
      <c r="B1014" s="18" t="n"/>
      <c r="C1014" s="13" t="n"/>
      <c r="D1014" s="13" t="n"/>
      <c r="E1014" s="13" t="n"/>
      <c r="F1014" s="13" t="n"/>
      <c r="G1014" s="20" t="n"/>
      <c r="H1014" s="14" t="n"/>
      <c r="I1014" s="19">
        <f>IF($C1014="","",ROUND(IF($G1014="",1,$G1014)*N($H1014),2))</f>
        <v/>
      </c>
      <c r="J1014" s="17">
        <f>IF($C1014="","",IFERROR(VLOOKUP($C1014,项目台账!$B:$C,2,0),"※项目不在项目台账里"))</f>
        <v/>
      </c>
      <c r="K1014" s="13" t="n"/>
    </row>
    <row r="1015">
      <c r="A1015" s="17">
        <f>IF($C1015="","",ROW()-3)</f>
        <v/>
      </c>
      <c r="B1015" s="18" t="n"/>
      <c r="C1015" s="13" t="n"/>
      <c r="D1015" s="13" t="n"/>
      <c r="E1015" s="13" t="n"/>
      <c r="F1015" s="13" t="n"/>
      <c r="G1015" s="20" t="n"/>
      <c r="H1015" s="14" t="n"/>
      <c r="I1015" s="19">
        <f>IF($C1015="","",ROUND(IF($G1015="",1,$G1015)*N($H1015),2))</f>
        <v/>
      </c>
      <c r="J1015" s="17">
        <f>IF($C1015="","",IFERROR(VLOOKUP($C1015,项目台账!$B:$C,2,0),"※项目不在项目台账里"))</f>
        <v/>
      </c>
      <c r="K1015" s="13" t="n"/>
    </row>
    <row r="1016">
      <c r="A1016" s="17">
        <f>IF($C1016="","",ROW()-3)</f>
        <v/>
      </c>
      <c r="B1016" s="18" t="n"/>
      <c r="C1016" s="13" t="n"/>
      <c r="D1016" s="13" t="n"/>
      <c r="E1016" s="13" t="n"/>
      <c r="F1016" s="13" t="n"/>
      <c r="G1016" s="20" t="n"/>
      <c r="H1016" s="14" t="n"/>
      <c r="I1016" s="19">
        <f>IF($C1016="","",ROUND(IF($G1016="",1,$G1016)*N($H1016),2))</f>
        <v/>
      </c>
      <c r="J1016" s="17">
        <f>IF($C1016="","",IFERROR(VLOOKUP($C1016,项目台账!$B:$C,2,0),"※项目不在项目台账里"))</f>
        <v/>
      </c>
      <c r="K1016" s="13" t="n"/>
    </row>
    <row r="1017">
      <c r="A1017" s="17">
        <f>IF($C1017="","",ROW()-3)</f>
        <v/>
      </c>
      <c r="B1017" s="18" t="n"/>
      <c r="C1017" s="13" t="n"/>
      <c r="D1017" s="13" t="n"/>
      <c r="E1017" s="13" t="n"/>
      <c r="F1017" s="13" t="n"/>
      <c r="G1017" s="20" t="n"/>
      <c r="H1017" s="14" t="n"/>
      <c r="I1017" s="19">
        <f>IF($C1017="","",ROUND(IF($G1017="",1,$G1017)*N($H1017),2))</f>
        <v/>
      </c>
      <c r="J1017" s="17">
        <f>IF($C1017="","",IFERROR(VLOOKUP($C1017,项目台账!$B:$C,2,0),"※项目不在项目台账里"))</f>
        <v/>
      </c>
      <c r="K1017" s="13" t="n"/>
    </row>
    <row r="1018">
      <c r="A1018" s="17">
        <f>IF($C1018="","",ROW()-3)</f>
        <v/>
      </c>
      <c r="B1018" s="18" t="n"/>
      <c r="C1018" s="13" t="n"/>
      <c r="D1018" s="13" t="n"/>
      <c r="E1018" s="13" t="n"/>
      <c r="F1018" s="13" t="n"/>
      <c r="G1018" s="20" t="n"/>
      <c r="H1018" s="14" t="n"/>
      <c r="I1018" s="19">
        <f>IF($C1018="","",ROUND(IF($G1018="",1,$G1018)*N($H1018),2))</f>
        <v/>
      </c>
      <c r="J1018" s="17">
        <f>IF($C1018="","",IFERROR(VLOOKUP($C1018,项目台账!$B:$C,2,0),"※项目不在项目台账里"))</f>
        <v/>
      </c>
      <c r="K1018" s="13" t="n"/>
    </row>
    <row r="1019">
      <c r="A1019" s="17">
        <f>IF($C1019="","",ROW()-3)</f>
        <v/>
      </c>
      <c r="B1019" s="18" t="n"/>
      <c r="C1019" s="13" t="n"/>
      <c r="D1019" s="13" t="n"/>
      <c r="E1019" s="13" t="n"/>
      <c r="F1019" s="13" t="n"/>
      <c r="G1019" s="20" t="n"/>
      <c r="H1019" s="14" t="n"/>
      <c r="I1019" s="19">
        <f>IF($C1019="","",ROUND(IF($G1019="",1,$G1019)*N($H1019),2))</f>
        <v/>
      </c>
      <c r="J1019" s="17">
        <f>IF($C1019="","",IFERROR(VLOOKUP($C1019,项目台账!$B:$C,2,0),"※项目不在项目台账里"))</f>
        <v/>
      </c>
      <c r="K1019" s="13" t="n"/>
    </row>
    <row r="1020">
      <c r="A1020" s="17">
        <f>IF($C1020="","",ROW()-3)</f>
        <v/>
      </c>
      <c r="B1020" s="18" t="n"/>
      <c r="C1020" s="13" t="n"/>
      <c r="D1020" s="13" t="n"/>
      <c r="E1020" s="13" t="n"/>
      <c r="F1020" s="13" t="n"/>
      <c r="G1020" s="20" t="n"/>
      <c r="H1020" s="14" t="n"/>
      <c r="I1020" s="19">
        <f>IF($C1020="","",ROUND(IF($G1020="",1,$G1020)*N($H1020),2))</f>
        <v/>
      </c>
      <c r="J1020" s="17">
        <f>IF($C1020="","",IFERROR(VLOOKUP($C1020,项目台账!$B:$C,2,0),"※项目不在项目台账里"))</f>
        <v/>
      </c>
      <c r="K1020" s="13" t="n"/>
    </row>
    <row r="1021">
      <c r="A1021" s="17">
        <f>IF($C1021="","",ROW()-3)</f>
        <v/>
      </c>
      <c r="B1021" s="18" t="n"/>
      <c r="C1021" s="13" t="n"/>
      <c r="D1021" s="13" t="n"/>
      <c r="E1021" s="13" t="n"/>
      <c r="F1021" s="13" t="n"/>
      <c r="G1021" s="20" t="n"/>
      <c r="H1021" s="14" t="n"/>
      <c r="I1021" s="19">
        <f>IF($C1021="","",ROUND(IF($G1021="",1,$G1021)*N($H1021),2))</f>
        <v/>
      </c>
      <c r="J1021" s="17">
        <f>IF($C1021="","",IFERROR(VLOOKUP($C1021,项目台账!$B:$C,2,0),"※项目不在项目台账里"))</f>
        <v/>
      </c>
      <c r="K1021" s="13" t="n"/>
    </row>
    <row r="1022">
      <c r="A1022" s="17">
        <f>IF($C1022="","",ROW()-3)</f>
        <v/>
      </c>
      <c r="B1022" s="18" t="n"/>
      <c r="C1022" s="13" t="n"/>
      <c r="D1022" s="13" t="n"/>
      <c r="E1022" s="13" t="n"/>
      <c r="F1022" s="13" t="n"/>
      <c r="G1022" s="20" t="n"/>
      <c r="H1022" s="14" t="n"/>
      <c r="I1022" s="19">
        <f>IF($C1022="","",ROUND(IF($G1022="",1,$G1022)*N($H1022),2))</f>
        <v/>
      </c>
      <c r="J1022" s="17">
        <f>IF($C1022="","",IFERROR(VLOOKUP($C1022,项目台账!$B:$C,2,0),"※项目不在项目台账里"))</f>
        <v/>
      </c>
      <c r="K1022" s="13" t="n"/>
    </row>
    <row r="1023">
      <c r="A1023" s="17">
        <f>IF($C1023="","",ROW()-3)</f>
        <v/>
      </c>
      <c r="B1023" s="18" t="n"/>
      <c r="C1023" s="13" t="n"/>
      <c r="D1023" s="13" t="n"/>
      <c r="E1023" s="13" t="n"/>
      <c r="F1023" s="13" t="n"/>
      <c r="G1023" s="20" t="n"/>
      <c r="H1023" s="14" t="n"/>
      <c r="I1023" s="19">
        <f>IF($C1023="","",ROUND(IF($G1023="",1,$G1023)*N($H1023),2))</f>
        <v/>
      </c>
      <c r="J1023" s="17">
        <f>IF($C1023="","",IFERROR(VLOOKUP($C1023,项目台账!$B:$C,2,0),"※项目不在项目台账里"))</f>
        <v/>
      </c>
      <c r="K1023" s="13" t="n"/>
    </row>
    <row r="1024">
      <c r="A1024" s="17">
        <f>IF($C1024="","",ROW()-3)</f>
        <v/>
      </c>
      <c r="B1024" s="18" t="n"/>
      <c r="C1024" s="13" t="n"/>
      <c r="D1024" s="13" t="n"/>
      <c r="E1024" s="13" t="n"/>
      <c r="F1024" s="13" t="n"/>
      <c r="G1024" s="20" t="n"/>
      <c r="H1024" s="14" t="n"/>
      <c r="I1024" s="19">
        <f>IF($C1024="","",ROUND(IF($G1024="",1,$G1024)*N($H1024),2))</f>
        <v/>
      </c>
      <c r="J1024" s="17">
        <f>IF($C1024="","",IFERROR(VLOOKUP($C1024,项目台账!$B:$C,2,0),"※项目不在项目台账里"))</f>
        <v/>
      </c>
      <c r="K1024" s="13" t="n"/>
    </row>
    <row r="1025">
      <c r="A1025" s="17">
        <f>IF($C1025="","",ROW()-3)</f>
        <v/>
      </c>
      <c r="B1025" s="18" t="n"/>
      <c r="C1025" s="13" t="n"/>
      <c r="D1025" s="13" t="n"/>
      <c r="E1025" s="13" t="n"/>
      <c r="F1025" s="13" t="n"/>
      <c r="G1025" s="20" t="n"/>
      <c r="H1025" s="14" t="n"/>
      <c r="I1025" s="19">
        <f>IF($C1025="","",ROUND(IF($G1025="",1,$G1025)*N($H1025),2))</f>
        <v/>
      </c>
      <c r="J1025" s="17">
        <f>IF($C1025="","",IFERROR(VLOOKUP($C1025,项目台账!$B:$C,2,0),"※项目不在项目台账里"))</f>
        <v/>
      </c>
      <c r="K1025" s="13" t="n"/>
    </row>
    <row r="1026">
      <c r="A1026" s="17">
        <f>IF($C1026="","",ROW()-3)</f>
        <v/>
      </c>
      <c r="B1026" s="18" t="n"/>
      <c r="C1026" s="13" t="n"/>
      <c r="D1026" s="13" t="n"/>
      <c r="E1026" s="13" t="n"/>
      <c r="F1026" s="13" t="n"/>
      <c r="G1026" s="20" t="n"/>
      <c r="H1026" s="14" t="n"/>
      <c r="I1026" s="19">
        <f>IF($C1026="","",ROUND(IF($G1026="",1,$G1026)*N($H1026),2))</f>
        <v/>
      </c>
      <c r="J1026" s="17">
        <f>IF($C1026="","",IFERROR(VLOOKUP($C1026,项目台账!$B:$C,2,0),"※项目不在项目台账里"))</f>
        <v/>
      </c>
      <c r="K1026" s="13" t="n"/>
    </row>
    <row r="1027">
      <c r="A1027" s="17">
        <f>IF($C1027="","",ROW()-3)</f>
        <v/>
      </c>
      <c r="B1027" s="18" t="n"/>
      <c r="C1027" s="13" t="n"/>
      <c r="D1027" s="13" t="n"/>
      <c r="E1027" s="13" t="n"/>
      <c r="F1027" s="13" t="n"/>
      <c r="G1027" s="20" t="n"/>
      <c r="H1027" s="14" t="n"/>
      <c r="I1027" s="19">
        <f>IF($C1027="","",ROUND(IF($G1027="",1,$G1027)*N($H1027),2))</f>
        <v/>
      </c>
      <c r="J1027" s="17">
        <f>IF($C1027="","",IFERROR(VLOOKUP($C1027,项目台账!$B:$C,2,0),"※项目不在项目台账里"))</f>
        <v/>
      </c>
      <c r="K1027" s="13" t="n"/>
    </row>
    <row r="1028">
      <c r="A1028" s="17">
        <f>IF($C1028="","",ROW()-3)</f>
        <v/>
      </c>
      <c r="B1028" s="18" t="n"/>
      <c r="C1028" s="13" t="n"/>
      <c r="D1028" s="13" t="n"/>
      <c r="E1028" s="13" t="n"/>
      <c r="F1028" s="13" t="n"/>
      <c r="G1028" s="20" t="n"/>
      <c r="H1028" s="14" t="n"/>
      <c r="I1028" s="19">
        <f>IF($C1028="","",ROUND(IF($G1028="",1,$G1028)*N($H1028),2))</f>
        <v/>
      </c>
      <c r="J1028" s="17">
        <f>IF($C1028="","",IFERROR(VLOOKUP($C1028,项目台账!$B:$C,2,0),"※项目不在项目台账里"))</f>
        <v/>
      </c>
      <c r="K1028" s="13" t="n"/>
    </row>
    <row r="1029">
      <c r="A1029" s="17">
        <f>IF($C1029="","",ROW()-3)</f>
        <v/>
      </c>
      <c r="B1029" s="18" t="n"/>
      <c r="C1029" s="13" t="n"/>
      <c r="D1029" s="13" t="n"/>
      <c r="E1029" s="13" t="n"/>
      <c r="F1029" s="13" t="n"/>
      <c r="G1029" s="20" t="n"/>
      <c r="H1029" s="14" t="n"/>
      <c r="I1029" s="19">
        <f>IF($C1029="","",ROUND(IF($G1029="",1,$G1029)*N($H1029),2))</f>
        <v/>
      </c>
      <c r="J1029" s="17">
        <f>IF($C1029="","",IFERROR(VLOOKUP($C1029,项目台账!$B:$C,2,0),"※项目不在项目台账里"))</f>
        <v/>
      </c>
      <c r="K1029" s="13" t="n"/>
    </row>
    <row r="1030">
      <c r="A1030" s="17">
        <f>IF($C1030="","",ROW()-3)</f>
        <v/>
      </c>
      <c r="B1030" s="18" t="n"/>
      <c r="C1030" s="13" t="n"/>
      <c r="D1030" s="13" t="n"/>
      <c r="E1030" s="13" t="n"/>
      <c r="F1030" s="13" t="n"/>
      <c r="G1030" s="20" t="n"/>
      <c r="H1030" s="14" t="n"/>
      <c r="I1030" s="19">
        <f>IF($C1030="","",ROUND(IF($G1030="",1,$G1030)*N($H1030),2))</f>
        <v/>
      </c>
      <c r="J1030" s="17">
        <f>IF($C1030="","",IFERROR(VLOOKUP($C1030,项目台账!$B:$C,2,0),"※项目不在项目台账里"))</f>
        <v/>
      </c>
      <c r="K1030" s="13" t="n"/>
    </row>
    <row r="1031">
      <c r="A1031" s="17">
        <f>IF($C1031="","",ROW()-3)</f>
        <v/>
      </c>
      <c r="B1031" s="18" t="n"/>
      <c r="C1031" s="13" t="n"/>
      <c r="D1031" s="13" t="n"/>
      <c r="E1031" s="13" t="n"/>
      <c r="F1031" s="13" t="n"/>
      <c r="G1031" s="20" t="n"/>
      <c r="H1031" s="14" t="n"/>
      <c r="I1031" s="19">
        <f>IF($C1031="","",ROUND(IF($G1031="",1,$G1031)*N($H1031),2))</f>
        <v/>
      </c>
      <c r="J1031" s="17">
        <f>IF($C1031="","",IFERROR(VLOOKUP($C1031,项目台账!$B:$C,2,0),"※项目不在项目台账里"))</f>
        <v/>
      </c>
      <c r="K1031" s="13" t="n"/>
    </row>
    <row r="1032">
      <c r="A1032" s="17">
        <f>IF($C1032="","",ROW()-3)</f>
        <v/>
      </c>
      <c r="B1032" s="18" t="n"/>
      <c r="C1032" s="13" t="n"/>
      <c r="D1032" s="13" t="n"/>
      <c r="E1032" s="13" t="n"/>
      <c r="F1032" s="13" t="n"/>
      <c r="G1032" s="20" t="n"/>
      <c r="H1032" s="14" t="n"/>
      <c r="I1032" s="19">
        <f>IF($C1032="","",ROUND(IF($G1032="",1,$G1032)*N($H1032),2))</f>
        <v/>
      </c>
      <c r="J1032" s="17">
        <f>IF($C1032="","",IFERROR(VLOOKUP($C1032,项目台账!$B:$C,2,0),"※项目不在项目台账里"))</f>
        <v/>
      </c>
      <c r="K1032" s="13" t="n"/>
    </row>
    <row r="1033">
      <c r="A1033" s="17">
        <f>IF($C1033="","",ROW()-3)</f>
        <v/>
      </c>
      <c r="B1033" s="18" t="n"/>
      <c r="C1033" s="13" t="n"/>
      <c r="D1033" s="13" t="n"/>
      <c r="E1033" s="13" t="n"/>
      <c r="F1033" s="13" t="n"/>
      <c r="G1033" s="20" t="n"/>
      <c r="H1033" s="14" t="n"/>
      <c r="I1033" s="19">
        <f>IF($C1033="","",ROUND(IF($G1033="",1,$G1033)*N($H1033),2))</f>
        <v/>
      </c>
      <c r="J1033" s="17">
        <f>IF($C1033="","",IFERROR(VLOOKUP($C1033,项目台账!$B:$C,2,0),"※项目不在项目台账里"))</f>
        <v/>
      </c>
      <c r="K1033" s="13" t="n"/>
    </row>
    <row r="1034">
      <c r="A1034" s="17">
        <f>IF($C1034="","",ROW()-3)</f>
        <v/>
      </c>
      <c r="B1034" s="18" t="n"/>
      <c r="C1034" s="13" t="n"/>
      <c r="D1034" s="13" t="n"/>
      <c r="E1034" s="13" t="n"/>
      <c r="F1034" s="13" t="n"/>
      <c r="G1034" s="20" t="n"/>
      <c r="H1034" s="14" t="n"/>
      <c r="I1034" s="19">
        <f>IF($C1034="","",ROUND(IF($G1034="",1,$G1034)*N($H1034),2))</f>
        <v/>
      </c>
      <c r="J1034" s="17">
        <f>IF($C1034="","",IFERROR(VLOOKUP($C1034,项目台账!$B:$C,2,0),"※项目不在项目台账里"))</f>
        <v/>
      </c>
      <c r="K1034" s="13" t="n"/>
    </row>
    <row r="1035">
      <c r="A1035" s="17">
        <f>IF($C1035="","",ROW()-3)</f>
        <v/>
      </c>
      <c r="B1035" s="18" t="n"/>
      <c r="C1035" s="13" t="n"/>
      <c r="D1035" s="13" t="n"/>
      <c r="E1035" s="13" t="n"/>
      <c r="F1035" s="13" t="n"/>
      <c r="G1035" s="20" t="n"/>
      <c r="H1035" s="14" t="n"/>
      <c r="I1035" s="19">
        <f>IF($C1035="","",ROUND(IF($G1035="",1,$G1035)*N($H1035),2))</f>
        <v/>
      </c>
      <c r="J1035" s="17">
        <f>IF($C1035="","",IFERROR(VLOOKUP($C1035,项目台账!$B:$C,2,0),"※项目不在项目台账里"))</f>
        <v/>
      </c>
      <c r="K1035" s="13" t="n"/>
    </row>
    <row r="1036">
      <c r="A1036" s="17">
        <f>IF($C1036="","",ROW()-3)</f>
        <v/>
      </c>
      <c r="B1036" s="18" t="n"/>
      <c r="C1036" s="13" t="n"/>
      <c r="D1036" s="13" t="n"/>
      <c r="E1036" s="13" t="n"/>
      <c r="F1036" s="13" t="n"/>
      <c r="G1036" s="20" t="n"/>
      <c r="H1036" s="14" t="n"/>
      <c r="I1036" s="19">
        <f>IF($C1036="","",ROUND(IF($G1036="",1,$G1036)*N($H1036),2))</f>
        <v/>
      </c>
      <c r="J1036" s="17">
        <f>IF($C1036="","",IFERROR(VLOOKUP($C1036,项目台账!$B:$C,2,0),"※项目不在项目台账里"))</f>
        <v/>
      </c>
      <c r="K1036" s="13" t="n"/>
    </row>
    <row r="1037">
      <c r="A1037" s="17">
        <f>IF($C1037="","",ROW()-3)</f>
        <v/>
      </c>
      <c r="B1037" s="18" t="n"/>
      <c r="C1037" s="13" t="n"/>
      <c r="D1037" s="13" t="n"/>
      <c r="E1037" s="13" t="n"/>
      <c r="F1037" s="13" t="n"/>
      <c r="G1037" s="20" t="n"/>
      <c r="H1037" s="14" t="n"/>
      <c r="I1037" s="19">
        <f>IF($C1037="","",ROUND(IF($G1037="",1,$G1037)*N($H1037),2))</f>
        <v/>
      </c>
      <c r="J1037" s="17">
        <f>IF($C1037="","",IFERROR(VLOOKUP($C1037,项目台账!$B:$C,2,0),"※项目不在项目台账里"))</f>
        <v/>
      </c>
      <c r="K1037" s="13" t="n"/>
    </row>
    <row r="1038">
      <c r="A1038" s="17">
        <f>IF($C1038="","",ROW()-3)</f>
        <v/>
      </c>
      <c r="B1038" s="18" t="n"/>
      <c r="C1038" s="13" t="n"/>
      <c r="D1038" s="13" t="n"/>
      <c r="E1038" s="13" t="n"/>
      <c r="F1038" s="13" t="n"/>
      <c r="G1038" s="20" t="n"/>
      <c r="H1038" s="14" t="n"/>
      <c r="I1038" s="19">
        <f>IF($C1038="","",ROUND(IF($G1038="",1,$G1038)*N($H1038),2))</f>
        <v/>
      </c>
      <c r="J1038" s="17">
        <f>IF($C1038="","",IFERROR(VLOOKUP($C1038,项目台账!$B:$C,2,0),"※项目不在项目台账里"))</f>
        <v/>
      </c>
      <c r="K1038" s="13" t="n"/>
    </row>
    <row r="1039">
      <c r="A1039" s="17">
        <f>IF($C1039="","",ROW()-3)</f>
        <v/>
      </c>
      <c r="B1039" s="18" t="n"/>
      <c r="C1039" s="13" t="n"/>
      <c r="D1039" s="13" t="n"/>
      <c r="E1039" s="13" t="n"/>
      <c r="F1039" s="13" t="n"/>
      <c r="G1039" s="20" t="n"/>
      <c r="H1039" s="14" t="n"/>
      <c r="I1039" s="19">
        <f>IF($C1039="","",ROUND(IF($G1039="",1,$G1039)*N($H1039),2))</f>
        <v/>
      </c>
      <c r="J1039" s="17">
        <f>IF($C1039="","",IFERROR(VLOOKUP($C1039,项目台账!$B:$C,2,0),"※项目不在项目台账里"))</f>
        <v/>
      </c>
      <c r="K1039" s="13" t="n"/>
    </row>
    <row r="1040">
      <c r="A1040" s="17">
        <f>IF($C1040="","",ROW()-3)</f>
        <v/>
      </c>
      <c r="B1040" s="18" t="n"/>
      <c r="C1040" s="13" t="n"/>
      <c r="D1040" s="13" t="n"/>
      <c r="E1040" s="13" t="n"/>
      <c r="F1040" s="13" t="n"/>
      <c r="G1040" s="20" t="n"/>
      <c r="H1040" s="14" t="n"/>
      <c r="I1040" s="19">
        <f>IF($C1040="","",ROUND(IF($G1040="",1,$G1040)*N($H1040),2))</f>
        <v/>
      </c>
      <c r="J1040" s="17">
        <f>IF($C1040="","",IFERROR(VLOOKUP($C1040,项目台账!$B:$C,2,0),"※项目不在项目台账里"))</f>
        <v/>
      </c>
      <c r="K1040" s="13" t="n"/>
    </row>
    <row r="1041">
      <c r="A1041" s="17">
        <f>IF($C1041="","",ROW()-3)</f>
        <v/>
      </c>
      <c r="B1041" s="18" t="n"/>
      <c r="C1041" s="13" t="n"/>
      <c r="D1041" s="13" t="n"/>
      <c r="E1041" s="13" t="n"/>
      <c r="F1041" s="13" t="n"/>
      <c r="G1041" s="20" t="n"/>
      <c r="H1041" s="14" t="n"/>
      <c r="I1041" s="19">
        <f>IF($C1041="","",ROUND(IF($G1041="",1,$G1041)*N($H1041),2))</f>
        <v/>
      </c>
      <c r="J1041" s="17">
        <f>IF($C1041="","",IFERROR(VLOOKUP($C1041,项目台账!$B:$C,2,0),"※项目不在项目台账里"))</f>
        <v/>
      </c>
      <c r="K1041" s="13" t="n"/>
    </row>
    <row r="1042">
      <c r="A1042" s="17">
        <f>IF($C1042="","",ROW()-3)</f>
        <v/>
      </c>
      <c r="B1042" s="18" t="n"/>
      <c r="C1042" s="13" t="n"/>
      <c r="D1042" s="13" t="n"/>
      <c r="E1042" s="13" t="n"/>
      <c r="F1042" s="13" t="n"/>
      <c r="G1042" s="20" t="n"/>
      <c r="H1042" s="14" t="n"/>
      <c r="I1042" s="19">
        <f>IF($C1042="","",ROUND(IF($G1042="",1,$G1042)*N($H1042),2))</f>
        <v/>
      </c>
      <c r="J1042" s="17">
        <f>IF($C1042="","",IFERROR(VLOOKUP($C1042,项目台账!$B:$C,2,0),"※项目不在项目台账里"))</f>
        <v/>
      </c>
      <c r="K1042" s="13" t="n"/>
    </row>
    <row r="1043">
      <c r="A1043" s="17">
        <f>IF($C1043="","",ROW()-3)</f>
        <v/>
      </c>
      <c r="B1043" s="18" t="n"/>
      <c r="C1043" s="13" t="n"/>
      <c r="D1043" s="13" t="n"/>
      <c r="E1043" s="13" t="n"/>
      <c r="F1043" s="13" t="n"/>
      <c r="G1043" s="20" t="n"/>
      <c r="H1043" s="14" t="n"/>
      <c r="I1043" s="19">
        <f>IF($C1043="","",ROUND(IF($G1043="",1,$G1043)*N($H1043),2))</f>
        <v/>
      </c>
      <c r="J1043" s="17">
        <f>IF($C1043="","",IFERROR(VLOOKUP($C1043,项目台账!$B:$C,2,0),"※项目不在项目台账里"))</f>
        <v/>
      </c>
      <c r="K1043" s="13" t="n"/>
    </row>
    <row r="1044">
      <c r="A1044" s="17">
        <f>IF($C1044="","",ROW()-3)</f>
        <v/>
      </c>
      <c r="B1044" s="18" t="n"/>
      <c r="C1044" s="13" t="n"/>
      <c r="D1044" s="13" t="n"/>
      <c r="E1044" s="13" t="n"/>
      <c r="F1044" s="13" t="n"/>
      <c r="G1044" s="20" t="n"/>
      <c r="H1044" s="14" t="n"/>
      <c r="I1044" s="19">
        <f>IF($C1044="","",ROUND(IF($G1044="",1,$G1044)*N($H1044),2))</f>
        <v/>
      </c>
      <c r="J1044" s="17">
        <f>IF($C1044="","",IFERROR(VLOOKUP($C1044,项目台账!$B:$C,2,0),"※项目不在项目台账里"))</f>
        <v/>
      </c>
      <c r="K1044" s="13" t="n"/>
    </row>
    <row r="1045">
      <c r="A1045" s="17">
        <f>IF($C1045="","",ROW()-3)</f>
        <v/>
      </c>
      <c r="B1045" s="18" t="n"/>
      <c r="C1045" s="13" t="n"/>
      <c r="D1045" s="13" t="n"/>
      <c r="E1045" s="13" t="n"/>
      <c r="F1045" s="13" t="n"/>
      <c r="G1045" s="20" t="n"/>
      <c r="H1045" s="14" t="n"/>
      <c r="I1045" s="19">
        <f>IF($C1045="","",ROUND(IF($G1045="",1,$G1045)*N($H1045),2))</f>
        <v/>
      </c>
      <c r="J1045" s="17">
        <f>IF($C1045="","",IFERROR(VLOOKUP($C1045,项目台账!$B:$C,2,0),"※项目不在项目台账里"))</f>
        <v/>
      </c>
      <c r="K1045" s="13" t="n"/>
    </row>
    <row r="1046">
      <c r="A1046" s="17">
        <f>IF($C1046="","",ROW()-3)</f>
        <v/>
      </c>
      <c r="B1046" s="18" t="n"/>
      <c r="C1046" s="13" t="n"/>
      <c r="D1046" s="13" t="n"/>
      <c r="E1046" s="13" t="n"/>
      <c r="F1046" s="13" t="n"/>
      <c r="G1046" s="20" t="n"/>
      <c r="H1046" s="14" t="n"/>
      <c r="I1046" s="19">
        <f>IF($C1046="","",ROUND(IF($G1046="",1,$G1046)*N($H1046),2))</f>
        <v/>
      </c>
      <c r="J1046" s="17">
        <f>IF($C1046="","",IFERROR(VLOOKUP($C1046,项目台账!$B:$C,2,0),"※项目不在项目台账里"))</f>
        <v/>
      </c>
      <c r="K1046" s="13" t="n"/>
    </row>
    <row r="1047">
      <c r="A1047" s="17">
        <f>IF($C1047="","",ROW()-3)</f>
        <v/>
      </c>
      <c r="B1047" s="18" t="n"/>
      <c r="C1047" s="13" t="n"/>
      <c r="D1047" s="13" t="n"/>
      <c r="E1047" s="13" t="n"/>
      <c r="F1047" s="13" t="n"/>
      <c r="G1047" s="20" t="n"/>
      <c r="H1047" s="14" t="n"/>
      <c r="I1047" s="19">
        <f>IF($C1047="","",ROUND(IF($G1047="",1,$G1047)*N($H1047),2))</f>
        <v/>
      </c>
      <c r="J1047" s="17">
        <f>IF($C1047="","",IFERROR(VLOOKUP($C1047,项目台账!$B:$C,2,0),"※项目不在项目台账里"))</f>
        <v/>
      </c>
      <c r="K1047" s="13" t="n"/>
    </row>
    <row r="1048">
      <c r="A1048" s="17">
        <f>IF($C1048="","",ROW()-3)</f>
        <v/>
      </c>
      <c r="B1048" s="18" t="n"/>
      <c r="C1048" s="13" t="n"/>
      <c r="D1048" s="13" t="n"/>
      <c r="E1048" s="13" t="n"/>
      <c r="F1048" s="13" t="n"/>
      <c r="G1048" s="20" t="n"/>
      <c r="H1048" s="14" t="n"/>
      <c r="I1048" s="19">
        <f>IF($C1048="","",ROUND(IF($G1048="",1,$G1048)*N($H1048),2))</f>
        <v/>
      </c>
      <c r="J1048" s="17">
        <f>IF($C1048="","",IFERROR(VLOOKUP($C1048,项目台账!$B:$C,2,0),"※项目不在项目台账里"))</f>
        <v/>
      </c>
      <c r="K1048" s="13" t="n"/>
    </row>
    <row r="1049">
      <c r="A1049" s="17">
        <f>IF($C1049="","",ROW()-3)</f>
        <v/>
      </c>
      <c r="B1049" s="18" t="n"/>
      <c r="C1049" s="13" t="n"/>
      <c r="D1049" s="13" t="n"/>
      <c r="E1049" s="13" t="n"/>
      <c r="F1049" s="13" t="n"/>
      <c r="G1049" s="20" t="n"/>
      <c r="H1049" s="14" t="n"/>
      <c r="I1049" s="19">
        <f>IF($C1049="","",ROUND(IF($G1049="",1,$G1049)*N($H1049),2))</f>
        <v/>
      </c>
      <c r="J1049" s="17">
        <f>IF($C1049="","",IFERROR(VLOOKUP($C1049,项目台账!$B:$C,2,0),"※项目不在项目台账里"))</f>
        <v/>
      </c>
      <c r="K1049" s="13" t="n"/>
    </row>
    <row r="1050">
      <c r="A1050" s="17">
        <f>IF($C1050="","",ROW()-3)</f>
        <v/>
      </c>
      <c r="B1050" s="18" t="n"/>
      <c r="C1050" s="13" t="n"/>
      <c r="D1050" s="13" t="n"/>
      <c r="E1050" s="13" t="n"/>
      <c r="F1050" s="13" t="n"/>
      <c r="G1050" s="20" t="n"/>
      <c r="H1050" s="14" t="n"/>
      <c r="I1050" s="19">
        <f>IF($C1050="","",ROUND(IF($G1050="",1,$G1050)*N($H1050),2))</f>
        <v/>
      </c>
      <c r="J1050" s="17">
        <f>IF($C1050="","",IFERROR(VLOOKUP($C1050,项目台账!$B:$C,2,0),"※项目不在项目台账里"))</f>
        <v/>
      </c>
      <c r="K1050" s="13" t="n"/>
    </row>
    <row r="1051">
      <c r="A1051" s="17">
        <f>IF($C1051="","",ROW()-3)</f>
        <v/>
      </c>
      <c r="B1051" s="18" t="n"/>
      <c r="C1051" s="13" t="n"/>
      <c r="D1051" s="13" t="n"/>
      <c r="E1051" s="13" t="n"/>
      <c r="F1051" s="13" t="n"/>
      <c r="G1051" s="20" t="n"/>
      <c r="H1051" s="14" t="n"/>
      <c r="I1051" s="19">
        <f>IF($C1051="","",ROUND(IF($G1051="",1,$G1051)*N($H1051),2))</f>
        <v/>
      </c>
      <c r="J1051" s="17">
        <f>IF($C1051="","",IFERROR(VLOOKUP($C1051,项目台账!$B:$C,2,0),"※项目不在项目台账里"))</f>
        <v/>
      </c>
      <c r="K1051" s="13" t="n"/>
    </row>
    <row r="1052">
      <c r="A1052" s="17">
        <f>IF($C1052="","",ROW()-3)</f>
        <v/>
      </c>
      <c r="B1052" s="18" t="n"/>
      <c r="C1052" s="13" t="n"/>
      <c r="D1052" s="13" t="n"/>
      <c r="E1052" s="13" t="n"/>
      <c r="F1052" s="13" t="n"/>
      <c r="G1052" s="20" t="n"/>
      <c r="H1052" s="14" t="n"/>
      <c r="I1052" s="19">
        <f>IF($C1052="","",ROUND(IF($G1052="",1,$G1052)*N($H1052),2))</f>
        <v/>
      </c>
      <c r="J1052" s="17">
        <f>IF($C1052="","",IFERROR(VLOOKUP($C1052,项目台账!$B:$C,2,0),"※项目不在项目台账里"))</f>
        <v/>
      </c>
      <c r="K1052" s="13" t="n"/>
    </row>
    <row r="1053">
      <c r="A1053" s="17">
        <f>IF($C1053="","",ROW()-3)</f>
        <v/>
      </c>
      <c r="B1053" s="18" t="n"/>
      <c r="C1053" s="13" t="n"/>
      <c r="D1053" s="13" t="n"/>
      <c r="E1053" s="13" t="n"/>
      <c r="F1053" s="13" t="n"/>
      <c r="G1053" s="20" t="n"/>
      <c r="H1053" s="14" t="n"/>
      <c r="I1053" s="19">
        <f>IF($C1053="","",ROUND(IF($G1053="",1,$G1053)*N($H1053),2))</f>
        <v/>
      </c>
      <c r="J1053" s="17">
        <f>IF($C1053="","",IFERROR(VLOOKUP($C1053,项目台账!$B:$C,2,0),"※项目不在项目台账里"))</f>
        <v/>
      </c>
      <c r="K1053" s="13" t="n"/>
    </row>
    <row r="1054">
      <c r="A1054" s="17">
        <f>IF($C1054="","",ROW()-3)</f>
        <v/>
      </c>
      <c r="B1054" s="18" t="n"/>
      <c r="C1054" s="13" t="n"/>
      <c r="D1054" s="13" t="n"/>
      <c r="E1054" s="13" t="n"/>
      <c r="F1054" s="13" t="n"/>
      <c r="G1054" s="20" t="n"/>
      <c r="H1054" s="14" t="n"/>
      <c r="I1054" s="19">
        <f>IF($C1054="","",ROUND(IF($G1054="",1,$G1054)*N($H1054),2))</f>
        <v/>
      </c>
      <c r="J1054" s="17">
        <f>IF($C1054="","",IFERROR(VLOOKUP($C1054,项目台账!$B:$C,2,0),"※项目不在项目台账里"))</f>
        <v/>
      </c>
      <c r="K1054" s="13" t="n"/>
    </row>
    <row r="1055">
      <c r="A1055" s="17">
        <f>IF($C1055="","",ROW()-3)</f>
        <v/>
      </c>
      <c r="B1055" s="18" t="n"/>
      <c r="C1055" s="13" t="n"/>
      <c r="D1055" s="13" t="n"/>
      <c r="E1055" s="13" t="n"/>
      <c r="F1055" s="13" t="n"/>
      <c r="G1055" s="20" t="n"/>
      <c r="H1055" s="14" t="n"/>
      <c r="I1055" s="19">
        <f>IF($C1055="","",ROUND(IF($G1055="",1,$G1055)*N($H1055),2))</f>
        <v/>
      </c>
      <c r="J1055" s="17">
        <f>IF($C1055="","",IFERROR(VLOOKUP($C1055,项目台账!$B:$C,2,0),"※项目不在项目台账里"))</f>
        <v/>
      </c>
      <c r="K1055" s="13" t="n"/>
    </row>
    <row r="1056">
      <c r="A1056" s="17">
        <f>IF($C1056="","",ROW()-3)</f>
        <v/>
      </c>
      <c r="B1056" s="18" t="n"/>
      <c r="C1056" s="13" t="n"/>
      <c r="D1056" s="13" t="n"/>
      <c r="E1056" s="13" t="n"/>
      <c r="F1056" s="13" t="n"/>
      <c r="G1056" s="20" t="n"/>
      <c r="H1056" s="14" t="n"/>
      <c r="I1056" s="19">
        <f>IF($C1056="","",ROUND(IF($G1056="",1,$G1056)*N($H1056),2))</f>
        <v/>
      </c>
      <c r="J1056" s="17">
        <f>IF($C1056="","",IFERROR(VLOOKUP($C1056,项目台账!$B:$C,2,0),"※项目不在项目台账里"))</f>
        <v/>
      </c>
      <c r="K1056" s="13" t="n"/>
    </row>
    <row r="1057">
      <c r="A1057" s="17">
        <f>IF($C1057="","",ROW()-3)</f>
        <v/>
      </c>
      <c r="B1057" s="18" t="n"/>
      <c r="C1057" s="13" t="n"/>
      <c r="D1057" s="13" t="n"/>
      <c r="E1057" s="13" t="n"/>
      <c r="F1057" s="13" t="n"/>
      <c r="G1057" s="20" t="n"/>
      <c r="H1057" s="14" t="n"/>
      <c r="I1057" s="19">
        <f>IF($C1057="","",ROUND(IF($G1057="",1,$G1057)*N($H1057),2))</f>
        <v/>
      </c>
      <c r="J1057" s="17">
        <f>IF($C1057="","",IFERROR(VLOOKUP($C1057,项目台账!$B:$C,2,0),"※项目不在项目台账里"))</f>
        <v/>
      </c>
      <c r="K1057" s="13" t="n"/>
    </row>
    <row r="1058">
      <c r="A1058" s="17">
        <f>IF($C1058="","",ROW()-3)</f>
        <v/>
      </c>
      <c r="B1058" s="18" t="n"/>
      <c r="C1058" s="13" t="n"/>
      <c r="D1058" s="13" t="n"/>
      <c r="E1058" s="13" t="n"/>
      <c r="F1058" s="13" t="n"/>
      <c r="G1058" s="20" t="n"/>
      <c r="H1058" s="14" t="n"/>
      <c r="I1058" s="19">
        <f>IF($C1058="","",ROUND(IF($G1058="",1,$G1058)*N($H1058),2))</f>
        <v/>
      </c>
      <c r="J1058" s="17">
        <f>IF($C1058="","",IFERROR(VLOOKUP($C1058,项目台账!$B:$C,2,0),"※项目不在项目台账里"))</f>
        <v/>
      </c>
      <c r="K1058" s="13" t="n"/>
    </row>
    <row r="1059">
      <c r="A1059" s="17">
        <f>IF($C1059="","",ROW()-3)</f>
        <v/>
      </c>
      <c r="B1059" s="18" t="n"/>
      <c r="C1059" s="13" t="n"/>
      <c r="D1059" s="13" t="n"/>
      <c r="E1059" s="13" t="n"/>
      <c r="F1059" s="13" t="n"/>
      <c r="G1059" s="20" t="n"/>
      <c r="H1059" s="14" t="n"/>
      <c r="I1059" s="19">
        <f>IF($C1059="","",ROUND(IF($G1059="",1,$G1059)*N($H1059),2))</f>
        <v/>
      </c>
      <c r="J1059" s="17">
        <f>IF($C1059="","",IFERROR(VLOOKUP($C1059,项目台账!$B:$C,2,0),"※项目不在项目台账里"))</f>
        <v/>
      </c>
      <c r="K1059" s="13" t="n"/>
    </row>
    <row r="1060">
      <c r="A1060" s="17">
        <f>IF($C1060="","",ROW()-3)</f>
        <v/>
      </c>
      <c r="B1060" s="18" t="n"/>
      <c r="C1060" s="13" t="n"/>
      <c r="D1060" s="13" t="n"/>
      <c r="E1060" s="13" t="n"/>
      <c r="F1060" s="13" t="n"/>
      <c r="G1060" s="20" t="n"/>
      <c r="H1060" s="14" t="n"/>
      <c r="I1060" s="19">
        <f>IF($C1060="","",ROUND(IF($G1060="",1,$G1060)*N($H1060),2))</f>
        <v/>
      </c>
      <c r="J1060" s="17">
        <f>IF($C1060="","",IFERROR(VLOOKUP($C1060,项目台账!$B:$C,2,0),"※项目不在项目台账里"))</f>
        <v/>
      </c>
      <c r="K1060" s="13" t="n"/>
    </row>
    <row r="1061">
      <c r="A1061" s="17">
        <f>IF($C1061="","",ROW()-3)</f>
        <v/>
      </c>
      <c r="B1061" s="18" t="n"/>
      <c r="C1061" s="13" t="n"/>
      <c r="D1061" s="13" t="n"/>
      <c r="E1061" s="13" t="n"/>
      <c r="F1061" s="13" t="n"/>
      <c r="G1061" s="20" t="n"/>
      <c r="H1061" s="14" t="n"/>
      <c r="I1061" s="19">
        <f>IF($C1061="","",ROUND(IF($G1061="",1,$G1061)*N($H1061),2))</f>
        <v/>
      </c>
      <c r="J1061" s="17">
        <f>IF($C1061="","",IFERROR(VLOOKUP($C1061,项目台账!$B:$C,2,0),"※项目不在项目台账里"))</f>
        <v/>
      </c>
      <c r="K1061" s="13" t="n"/>
    </row>
    <row r="1062">
      <c r="A1062" s="17">
        <f>IF($C1062="","",ROW()-3)</f>
        <v/>
      </c>
      <c r="B1062" s="18" t="n"/>
      <c r="C1062" s="13" t="n"/>
      <c r="D1062" s="13" t="n"/>
      <c r="E1062" s="13" t="n"/>
      <c r="F1062" s="13" t="n"/>
      <c r="G1062" s="20" t="n"/>
      <c r="H1062" s="14" t="n"/>
      <c r="I1062" s="19">
        <f>IF($C1062="","",ROUND(IF($G1062="",1,$G1062)*N($H1062),2))</f>
        <v/>
      </c>
      <c r="J1062" s="17">
        <f>IF($C1062="","",IFERROR(VLOOKUP($C1062,项目台账!$B:$C,2,0),"※项目不在项目台账里"))</f>
        <v/>
      </c>
      <c r="K1062" s="13" t="n"/>
    </row>
    <row r="1063">
      <c r="A1063" s="17">
        <f>IF($C1063="","",ROW()-3)</f>
        <v/>
      </c>
      <c r="B1063" s="18" t="n"/>
      <c r="C1063" s="13" t="n"/>
      <c r="D1063" s="13" t="n"/>
      <c r="E1063" s="13" t="n"/>
      <c r="F1063" s="13" t="n"/>
      <c r="G1063" s="20" t="n"/>
      <c r="H1063" s="14" t="n"/>
      <c r="I1063" s="19">
        <f>IF($C1063="","",ROUND(IF($G1063="",1,$G1063)*N($H1063),2))</f>
        <v/>
      </c>
      <c r="J1063" s="17">
        <f>IF($C1063="","",IFERROR(VLOOKUP($C1063,项目台账!$B:$C,2,0),"※项目不在项目台账里"))</f>
        <v/>
      </c>
      <c r="K1063" s="13" t="n"/>
    </row>
    <row r="1064">
      <c r="A1064" s="17">
        <f>IF($C1064="","",ROW()-3)</f>
        <v/>
      </c>
      <c r="B1064" s="18" t="n"/>
      <c r="C1064" s="13" t="n"/>
      <c r="D1064" s="13" t="n"/>
      <c r="E1064" s="13" t="n"/>
      <c r="F1064" s="13" t="n"/>
      <c r="G1064" s="20" t="n"/>
      <c r="H1064" s="14" t="n"/>
      <c r="I1064" s="19">
        <f>IF($C1064="","",ROUND(IF($G1064="",1,$G1064)*N($H1064),2))</f>
        <v/>
      </c>
      <c r="J1064" s="17">
        <f>IF($C1064="","",IFERROR(VLOOKUP($C1064,项目台账!$B:$C,2,0),"※项目不在项目台账里"))</f>
        <v/>
      </c>
      <c r="K1064" s="13" t="n"/>
    </row>
    <row r="1065">
      <c r="A1065" s="17">
        <f>IF($C1065="","",ROW()-3)</f>
        <v/>
      </c>
      <c r="B1065" s="18" t="n"/>
      <c r="C1065" s="13" t="n"/>
      <c r="D1065" s="13" t="n"/>
      <c r="E1065" s="13" t="n"/>
      <c r="F1065" s="13" t="n"/>
      <c r="G1065" s="20" t="n"/>
      <c r="H1065" s="14" t="n"/>
      <c r="I1065" s="19">
        <f>IF($C1065="","",ROUND(IF($G1065="",1,$G1065)*N($H1065),2))</f>
        <v/>
      </c>
      <c r="J1065" s="17">
        <f>IF($C1065="","",IFERROR(VLOOKUP($C1065,项目台账!$B:$C,2,0),"※项目不在项目台账里"))</f>
        <v/>
      </c>
      <c r="K1065" s="13" t="n"/>
    </row>
    <row r="1066">
      <c r="A1066" s="17">
        <f>IF($C1066="","",ROW()-3)</f>
        <v/>
      </c>
      <c r="B1066" s="18" t="n"/>
      <c r="C1066" s="13" t="n"/>
      <c r="D1066" s="13" t="n"/>
      <c r="E1066" s="13" t="n"/>
      <c r="F1066" s="13" t="n"/>
      <c r="G1066" s="20" t="n"/>
      <c r="H1066" s="14" t="n"/>
      <c r="I1066" s="19">
        <f>IF($C1066="","",ROUND(IF($G1066="",1,$G1066)*N($H1066),2))</f>
        <v/>
      </c>
      <c r="J1066" s="17">
        <f>IF($C1066="","",IFERROR(VLOOKUP($C1066,项目台账!$B:$C,2,0),"※项目不在项目台账里"))</f>
        <v/>
      </c>
      <c r="K1066" s="13" t="n"/>
    </row>
    <row r="1067">
      <c r="A1067" s="17">
        <f>IF($C1067="","",ROW()-3)</f>
        <v/>
      </c>
      <c r="B1067" s="18" t="n"/>
      <c r="C1067" s="13" t="n"/>
      <c r="D1067" s="13" t="n"/>
      <c r="E1067" s="13" t="n"/>
      <c r="F1067" s="13" t="n"/>
      <c r="G1067" s="20" t="n"/>
      <c r="H1067" s="14" t="n"/>
      <c r="I1067" s="19">
        <f>IF($C1067="","",ROUND(IF($G1067="",1,$G1067)*N($H1067),2))</f>
        <v/>
      </c>
      <c r="J1067" s="17">
        <f>IF($C1067="","",IFERROR(VLOOKUP($C1067,项目台账!$B:$C,2,0),"※项目不在项目台账里"))</f>
        <v/>
      </c>
      <c r="K1067" s="13" t="n"/>
    </row>
    <row r="1068">
      <c r="A1068" s="17">
        <f>IF($C1068="","",ROW()-3)</f>
        <v/>
      </c>
      <c r="B1068" s="18" t="n"/>
      <c r="C1068" s="13" t="n"/>
      <c r="D1068" s="13" t="n"/>
      <c r="E1068" s="13" t="n"/>
      <c r="F1068" s="13" t="n"/>
      <c r="G1068" s="20" t="n"/>
      <c r="H1068" s="14" t="n"/>
      <c r="I1068" s="19">
        <f>IF($C1068="","",ROUND(IF($G1068="",1,$G1068)*N($H1068),2))</f>
        <v/>
      </c>
      <c r="J1068" s="17">
        <f>IF($C1068="","",IFERROR(VLOOKUP($C1068,项目台账!$B:$C,2,0),"※项目不在项目台账里"))</f>
        <v/>
      </c>
      <c r="K1068" s="13" t="n"/>
    </row>
    <row r="1069">
      <c r="A1069" s="17">
        <f>IF($C1069="","",ROW()-3)</f>
        <v/>
      </c>
      <c r="B1069" s="18" t="n"/>
      <c r="C1069" s="13" t="n"/>
      <c r="D1069" s="13" t="n"/>
      <c r="E1069" s="13" t="n"/>
      <c r="F1069" s="13" t="n"/>
      <c r="G1069" s="20" t="n"/>
      <c r="H1069" s="14" t="n"/>
      <c r="I1069" s="19">
        <f>IF($C1069="","",ROUND(IF($G1069="",1,$G1069)*N($H1069),2))</f>
        <v/>
      </c>
      <c r="J1069" s="17">
        <f>IF($C1069="","",IFERROR(VLOOKUP($C1069,项目台账!$B:$C,2,0),"※项目不在项目台账里"))</f>
        <v/>
      </c>
      <c r="K1069" s="13" t="n"/>
    </row>
    <row r="1070">
      <c r="A1070" s="17">
        <f>IF($C1070="","",ROW()-3)</f>
        <v/>
      </c>
      <c r="B1070" s="18" t="n"/>
      <c r="C1070" s="13" t="n"/>
      <c r="D1070" s="13" t="n"/>
      <c r="E1070" s="13" t="n"/>
      <c r="F1070" s="13" t="n"/>
      <c r="G1070" s="20" t="n"/>
      <c r="H1070" s="14" t="n"/>
      <c r="I1070" s="19">
        <f>IF($C1070="","",ROUND(IF($G1070="",1,$G1070)*N($H1070),2))</f>
        <v/>
      </c>
      <c r="J1070" s="17">
        <f>IF($C1070="","",IFERROR(VLOOKUP($C1070,项目台账!$B:$C,2,0),"※项目不在项目台账里"))</f>
        <v/>
      </c>
      <c r="K1070" s="13" t="n"/>
    </row>
    <row r="1071">
      <c r="A1071" s="17">
        <f>IF($C1071="","",ROW()-3)</f>
        <v/>
      </c>
      <c r="B1071" s="18" t="n"/>
      <c r="C1071" s="13" t="n"/>
      <c r="D1071" s="13" t="n"/>
      <c r="E1071" s="13" t="n"/>
      <c r="F1071" s="13" t="n"/>
      <c r="G1071" s="20" t="n"/>
      <c r="H1071" s="14" t="n"/>
      <c r="I1071" s="19">
        <f>IF($C1071="","",ROUND(IF($G1071="",1,$G1071)*N($H1071),2))</f>
        <v/>
      </c>
      <c r="J1071" s="17">
        <f>IF($C1071="","",IFERROR(VLOOKUP($C1071,项目台账!$B:$C,2,0),"※项目不在项目台账里"))</f>
        <v/>
      </c>
      <c r="K1071" s="13" t="n"/>
    </row>
    <row r="1072">
      <c r="A1072" s="17">
        <f>IF($C1072="","",ROW()-3)</f>
        <v/>
      </c>
      <c r="B1072" s="18" t="n"/>
      <c r="C1072" s="13" t="n"/>
      <c r="D1072" s="13" t="n"/>
      <c r="E1072" s="13" t="n"/>
      <c r="F1072" s="13" t="n"/>
      <c r="G1072" s="20" t="n"/>
      <c r="H1072" s="14" t="n"/>
      <c r="I1072" s="19">
        <f>IF($C1072="","",ROUND(IF($G1072="",1,$G1072)*N($H1072),2))</f>
        <v/>
      </c>
      <c r="J1072" s="17">
        <f>IF($C1072="","",IFERROR(VLOOKUP($C1072,项目台账!$B:$C,2,0),"※项目不在项目台账里"))</f>
        <v/>
      </c>
      <c r="K1072" s="13" t="n"/>
    </row>
    <row r="1073">
      <c r="A1073" s="17">
        <f>IF($C1073="","",ROW()-3)</f>
        <v/>
      </c>
      <c r="B1073" s="18" t="n"/>
      <c r="C1073" s="13" t="n"/>
      <c r="D1073" s="13" t="n"/>
      <c r="E1073" s="13" t="n"/>
      <c r="F1073" s="13" t="n"/>
      <c r="G1073" s="20" t="n"/>
      <c r="H1073" s="14" t="n"/>
      <c r="I1073" s="19">
        <f>IF($C1073="","",ROUND(IF($G1073="",1,$G1073)*N($H1073),2))</f>
        <v/>
      </c>
      <c r="J1073" s="17">
        <f>IF($C1073="","",IFERROR(VLOOKUP($C1073,项目台账!$B:$C,2,0),"※项目不在项目台账里"))</f>
        <v/>
      </c>
      <c r="K1073" s="13" t="n"/>
    </row>
    <row r="1074">
      <c r="A1074" s="17">
        <f>IF($C1074="","",ROW()-3)</f>
        <v/>
      </c>
      <c r="B1074" s="18" t="n"/>
      <c r="C1074" s="13" t="n"/>
      <c r="D1074" s="13" t="n"/>
      <c r="E1074" s="13" t="n"/>
      <c r="F1074" s="13" t="n"/>
      <c r="G1074" s="20" t="n"/>
      <c r="H1074" s="14" t="n"/>
      <c r="I1074" s="19">
        <f>IF($C1074="","",ROUND(IF($G1074="",1,$G1074)*N($H1074),2))</f>
        <v/>
      </c>
      <c r="J1074" s="17">
        <f>IF($C1074="","",IFERROR(VLOOKUP($C1074,项目台账!$B:$C,2,0),"※项目不在项目台账里"))</f>
        <v/>
      </c>
      <c r="K1074" s="13" t="n"/>
    </row>
    <row r="1075">
      <c r="A1075" s="17">
        <f>IF($C1075="","",ROW()-3)</f>
        <v/>
      </c>
      <c r="B1075" s="18" t="n"/>
      <c r="C1075" s="13" t="n"/>
      <c r="D1075" s="13" t="n"/>
      <c r="E1075" s="13" t="n"/>
      <c r="F1075" s="13" t="n"/>
      <c r="G1075" s="20" t="n"/>
      <c r="H1075" s="14" t="n"/>
      <c r="I1075" s="19">
        <f>IF($C1075="","",ROUND(IF($G1075="",1,$G1075)*N($H1075),2))</f>
        <v/>
      </c>
      <c r="J1075" s="17">
        <f>IF($C1075="","",IFERROR(VLOOKUP($C1075,项目台账!$B:$C,2,0),"※项目不在项目台账里"))</f>
        <v/>
      </c>
      <c r="K1075" s="13" t="n"/>
    </row>
    <row r="1076">
      <c r="A1076" s="17">
        <f>IF($C1076="","",ROW()-3)</f>
        <v/>
      </c>
      <c r="B1076" s="18" t="n"/>
      <c r="C1076" s="13" t="n"/>
      <c r="D1076" s="13" t="n"/>
      <c r="E1076" s="13" t="n"/>
      <c r="F1076" s="13" t="n"/>
      <c r="G1076" s="20" t="n"/>
      <c r="H1076" s="14" t="n"/>
      <c r="I1076" s="19">
        <f>IF($C1076="","",ROUND(IF($G1076="",1,$G1076)*N($H1076),2))</f>
        <v/>
      </c>
      <c r="J1076" s="17">
        <f>IF($C1076="","",IFERROR(VLOOKUP($C1076,项目台账!$B:$C,2,0),"※项目不在项目台账里"))</f>
        <v/>
      </c>
      <c r="K1076" s="13" t="n"/>
    </row>
    <row r="1077">
      <c r="A1077" s="17">
        <f>IF($C1077="","",ROW()-3)</f>
        <v/>
      </c>
      <c r="B1077" s="18" t="n"/>
      <c r="C1077" s="13" t="n"/>
      <c r="D1077" s="13" t="n"/>
      <c r="E1077" s="13" t="n"/>
      <c r="F1077" s="13" t="n"/>
      <c r="G1077" s="20" t="n"/>
      <c r="H1077" s="14" t="n"/>
      <c r="I1077" s="19">
        <f>IF($C1077="","",ROUND(IF($G1077="",1,$G1077)*N($H1077),2))</f>
        <v/>
      </c>
      <c r="J1077" s="17">
        <f>IF($C1077="","",IFERROR(VLOOKUP($C1077,项目台账!$B:$C,2,0),"※项目不在项目台账里"))</f>
        <v/>
      </c>
      <c r="K1077" s="13" t="n"/>
    </row>
    <row r="1078">
      <c r="A1078" s="17">
        <f>IF($C1078="","",ROW()-3)</f>
        <v/>
      </c>
      <c r="B1078" s="18" t="n"/>
      <c r="C1078" s="13" t="n"/>
      <c r="D1078" s="13" t="n"/>
      <c r="E1078" s="13" t="n"/>
      <c r="F1078" s="13" t="n"/>
      <c r="G1078" s="20" t="n"/>
      <c r="H1078" s="14" t="n"/>
      <c r="I1078" s="19">
        <f>IF($C1078="","",ROUND(IF($G1078="",1,$G1078)*N($H1078),2))</f>
        <v/>
      </c>
      <c r="J1078" s="17">
        <f>IF($C1078="","",IFERROR(VLOOKUP($C1078,项目台账!$B:$C,2,0),"※项目不在项目台账里"))</f>
        <v/>
      </c>
      <c r="K1078" s="13" t="n"/>
    </row>
    <row r="1079">
      <c r="A1079" s="17">
        <f>IF($C1079="","",ROW()-3)</f>
        <v/>
      </c>
      <c r="B1079" s="18" t="n"/>
      <c r="C1079" s="13" t="n"/>
      <c r="D1079" s="13" t="n"/>
      <c r="E1079" s="13" t="n"/>
      <c r="F1079" s="13" t="n"/>
      <c r="G1079" s="20" t="n"/>
      <c r="H1079" s="14" t="n"/>
      <c r="I1079" s="19">
        <f>IF($C1079="","",ROUND(IF($G1079="",1,$G1079)*N($H1079),2))</f>
        <v/>
      </c>
      <c r="J1079" s="17">
        <f>IF($C1079="","",IFERROR(VLOOKUP($C1079,项目台账!$B:$C,2,0),"※项目不在项目台账里"))</f>
        <v/>
      </c>
      <c r="K1079" s="13" t="n"/>
    </row>
    <row r="1080">
      <c r="A1080" s="17">
        <f>IF($C1080="","",ROW()-3)</f>
        <v/>
      </c>
      <c r="B1080" s="18" t="n"/>
      <c r="C1080" s="13" t="n"/>
      <c r="D1080" s="13" t="n"/>
      <c r="E1080" s="13" t="n"/>
      <c r="F1080" s="13" t="n"/>
      <c r="G1080" s="20" t="n"/>
      <c r="H1080" s="14" t="n"/>
      <c r="I1080" s="19">
        <f>IF($C1080="","",ROUND(IF($G1080="",1,$G1080)*N($H1080),2))</f>
        <v/>
      </c>
      <c r="J1080" s="17">
        <f>IF($C1080="","",IFERROR(VLOOKUP($C1080,项目台账!$B:$C,2,0),"※项目不在项目台账里"))</f>
        <v/>
      </c>
      <c r="K1080" s="13" t="n"/>
    </row>
    <row r="1081">
      <c r="A1081" s="17">
        <f>IF($C1081="","",ROW()-3)</f>
        <v/>
      </c>
      <c r="B1081" s="18" t="n"/>
      <c r="C1081" s="13" t="n"/>
      <c r="D1081" s="13" t="n"/>
      <c r="E1081" s="13" t="n"/>
      <c r="F1081" s="13" t="n"/>
      <c r="G1081" s="20" t="n"/>
      <c r="H1081" s="14" t="n"/>
      <c r="I1081" s="19">
        <f>IF($C1081="","",ROUND(IF($G1081="",1,$G1081)*N($H1081),2))</f>
        <v/>
      </c>
      <c r="J1081" s="17">
        <f>IF($C1081="","",IFERROR(VLOOKUP($C1081,项目台账!$B:$C,2,0),"※项目不在项目台账里"))</f>
        <v/>
      </c>
      <c r="K1081" s="13" t="n"/>
    </row>
    <row r="1082">
      <c r="A1082" s="17">
        <f>IF($C1082="","",ROW()-3)</f>
        <v/>
      </c>
      <c r="B1082" s="18" t="n"/>
      <c r="C1082" s="13" t="n"/>
      <c r="D1082" s="13" t="n"/>
      <c r="E1082" s="13" t="n"/>
      <c r="F1082" s="13" t="n"/>
      <c r="G1082" s="20" t="n"/>
      <c r="H1082" s="14" t="n"/>
      <c r="I1082" s="19">
        <f>IF($C1082="","",ROUND(IF($G1082="",1,$G1082)*N($H1082),2))</f>
        <v/>
      </c>
      <c r="J1082" s="17">
        <f>IF($C1082="","",IFERROR(VLOOKUP($C1082,项目台账!$B:$C,2,0),"※项目不在项目台账里"))</f>
        <v/>
      </c>
      <c r="K1082" s="13" t="n"/>
    </row>
    <row r="1083">
      <c r="A1083" s="17">
        <f>IF($C1083="","",ROW()-3)</f>
        <v/>
      </c>
      <c r="B1083" s="18" t="n"/>
      <c r="C1083" s="13" t="n"/>
      <c r="D1083" s="13" t="n"/>
      <c r="E1083" s="13" t="n"/>
      <c r="F1083" s="13" t="n"/>
      <c r="G1083" s="20" t="n"/>
      <c r="H1083" s="14" t="n"/>
      <c r="I1083" s="19">
        <f>IF($C1083="","",ROUND(IF($G1083="",1,$G1083)*N($H1083),2))</f>
        <v/>
      </c>
      <c r="J1083" s="17">
        <f>IF($C1083="","",IFERROR(VLOOKUP($C1083,项目台账!$B:$C,2,0),"※项目不在项目台账里"))</f>
        <v/>
      </c>
      <c r="K1083" s="13" t="n"/>
    </row>
    <row r="1084">
      <c r="A1084" s="17">
        <f>IF($C1084="","",ROW()-3)</f>
        <v/>
      </c>
      <c r="B1084" s="18" t="n"/>
      <c r="C1084" s="13" t="n"/>
      <c r="D1084" s="13" t="n"/>
      <c r="E1084" s="13" t="n"/>
      <c r="F1084" s="13" t="n"/>
      <c r="G1084" s="20" t="n"/>
      <c r="H1084" s="14" t="n"/>
      <c r="I1084" s="19">
        <f>IF($C1084="","",ROUND(IF($G1084="",1,$G1084)*N($H1084),2))</f>
        <v/>
      </c>
      <c r="J1084" s="17">
        <f>IF($C1084="","",IFERROR(VLOOKUP($C1084,项目台账!$B:$C,2,0),"※项目不在项目台账里"))</f>
        <v/>
      </c>
      <c r="K1084" s="13" t="n"/>
    </row>
    <row r="1085">
      <c r="A1085" s="17">
        <f>IF($C1085="","",ROW()-3)</f>
        <v/>
      </c>
      <c r="B1085" s="18" t="n"/>
      <c r="C1085" s="13" t="n"/>
      <c r="D1085" s="13" t="n"/>
      <c r="E1085" s="13" t="n"/>
      <c r="F1085" s="13" t="n"/>
      <c r="G1085" s="20" t="n"/>
      <c r="H1085" s="14" t="n"/>
      <c r="I1085" s="19">
        <f>IF($C1085="","",ROUND(IF($G1085="",1,$G1085)*N($H1085),2))</f>
        <v/>
      </c>
      <c r="J1085" s="17">
        <f>IF($C1085="","",IFERROR(VLOOKUP($C1085,项目台账!$B:$C,2,0),"※项目不在项目台账里"))</f>
        <v/>
      </c>
      <c r="K1085" s="13" t="n"/>
    </row>
    <row r="1086">
      <c r="A1086" s="17">
        <f>IF($C1086="","",ROW()-3)</f>
        <v/>
      </c>
      <c r="B1086" s="18" t="n"/>
      <c r="C1086" s="13" t="n"/>
      <c r="D1086" s="13" t="n"/>
      <c r="E1086" s="13" t="n"/>
      <c r="F1086" s="13" t="n"/>
      <c r="G1086" s="20" t="n"/>
      <c r="H1086" s="14" t="n"/>
      <c r="I1086" s="19">
        <f>IF($C1086="","",ROUND(IF($G1086="",1,$G1086)*N($H1086),2))</f>
        <v/>
      </c>
      <c r="J1086" s="17">
        <f>IF($C1086="","",IFERROR(VLOOKUP($C1086,项目台账!$B:$C,2,0),"※项目不在项目台账里"))</f>
        <v/>
      </c>
      <c r="K1086" s="13" t="n"/>
    </row>
    <row r="1087">
      <c r="A1087" s="17">
        <f>IF($C1087="","",ROW()-3)</f>
        <v/>
      </c>
      <c r="B1087" s="18" t="n"/>
      <c r="C1087" s="13" t="n"/>
      <c r="D1087" s="13" t="n"/>
      <c r="E1087" s="13" t="n"/>
      <c r="F1087" s="13" t="n"/>
      <c r="G1087" s="20" t="n"/>
      <c r="H1087" s="14" t="n"/>
      <c r="I1087" s="19">
        <f>IF($C1087="","",ROUND(IF($G1087="",1,$G1087)*N($H1087),2))</f>
        <v/>
      </c>
      <c r="J1087" s="17">
        <f>IF($C1087="","",IFERROR(VLOOKUP($C1087,项目台账!$B:$C,2,0),"※项目不在项目台账里"))</f>
        <v/>
      </c>
      <c r="K1087" s="13" t="n"/>
    </row>
    <row r="1088">
      <c r="A1088" s="17">
        <f>IF($C1088="","",ROW()-3)</f>
        <v/>
      </c>
      <c r="B1088" s="18" t="n"/>
      <c r="C1088" s="13" t="n"/>
      <c r="D1088" s="13" t="n"/>
      <c r="E1088" s="13" t="n"/>
      <c r="F1088" s="13" t="n"/>
      <c r="G1088" s="20" t="n"/>
      <c r="H1088" s="14" t="n"/>
      <c r="I1088" s="19">
        <f>IF($C1088="","",ROUND(IF($G1088="",1,$G1088)*N($H1088),2))</f>
        <v/>
      </c>
      <c r="J1088" s="17">
        <f>IF($C1088="","",IFERROR(VLOOKUP($C1088,项目台账!$B:$C,2,0),"※项目不在项目台账里"))</f>
        <v/>
      </c>
      <c r="K1088" s="13" t="n"/>
    </row>
    <row r="1089">
      <c r="A1089" s="17">
        <f>IF($C1089="","",ROW()-3)</f>
        <v/>
      </c>
      <c r="B1089" s="18" t="n"/>
      <c r="C1089" s="13" t="n"/>
      <c r="D1089" s="13" t="n"/>
      <c r="E1089" s="13" t="n"/>
      <c r="F1089" s="13" t="n"/>
      <c r="G1089" s="20" t="n"/>
      <c r="H1089" s="14" t="n"/>
      <c r="I1089" s="19">
        <f>IF($C1089="","",ROUND(IF($G1089="",1,$G1089)*N($H1089),2))</f>
        <v/>
      </c>
      <c r="J1089" s="17">
        <f>IF($C1089="","",IFERROR(VLOOKUP($C1089,项目台账!$B:$C,2,0),"※项目不在项目台账里"))</f>
        <v/>
      </c>
      <c r="K1089" s="13" t="n"/>
    </row>
    <row r="1090">
      <c r="A1090" s="17">
        <f>IF($C1090="","",ROW()-3)</f>
        <v/>
      </c>
      <c r="B1090" s="18" t="n"/>
      <c r="C1090" s="13" t="n"/>
      <c r="D1090" s="13" t="n"/>
      <c r="E1090" s="13" t="n"/>
      <c r="F1090" s="13" t="n"/>
      <c r="G1090" s="20" t="n"/>
      <c r="H1090" s="14" t="n"/>
      <c r="I1090" s="19">
        <f>IF($C1090="","",ROUND(IF($G1090="",1,$G1090)*N($H1090),2))</f>
        <v/>
      </c>
      <c r="J1090" s="17">
        <f>IF($C1090="","",IFERROR(VLOOKUP($C1090,项目台账!$B:$C,2,0),"※项目不在项目台账里"))</f>
        <v/>
      </c>
      <c r="K1090" s="13" t="n"/>
    </row>
    <row r="1091">
      <c r="A1091" s="17">
        <f>IF($C1091="","",ROW()-3)</f>
        <v/>
      </c>
      <c r="B1091" s="18" t="n"/>
      <c r="C1091" s="13" t="n"/>
      <c r="D1091" s="13" t="n"/>
      <c r="E1091" s="13" t="n"/>
      <c r="F1091" s="13" t="n"/>
      <c r="G1091" s="20" t="n"/>
      <c r="H1091" s="14" t="n"/>
      <c r="I1091" s="19">
        <f>IF($C1091="","",ROUND(IF($G1091="",1,$G1091)*N($H1091),2))</f>
        <v/>
      </c>
      <c r="J1091" s="17">
        <f>IF($C1091="","",IFERROR(VLOOKUP($C1091,项目台账!$B:$C,2,0),"※项目不在项目台账里"))</f>
        <v/>
      </c>
      <c r="K1091" s="13" t="n"/>
    </row>
    <row r="1092">
      <c r="A1092" s="17">
        <f>IF($C1092="","",ROW()-3)</f>
        <v/>
      </c>
      <c r="B1092" s="18" t="n"/>
      <c r="C1092" s="13" t="n"/>
      <c r="D1092" s="13" t="n"/>
      <c r="E1092" s="13" t="n"/>
      <c r="F1092" s="13" t="n"/>
      <c r="G1092" s="20" t="n"/>
      <c r="H1092" s="14" t="n"/>
      <c r="I1092" s="19">
        <f>IF($C1092="","",ROUND(IF($G1092="",1,$G1092)*N($H1092),2))</f>
        <v/>
      </c>
      <c r="J1092" s="17">
        <f>IF($C1092="","",IFERROR(VLOOKUP($C1092,项目台账!$B:$C,2,0),"※项目不在项目台账里"))</f>
        <v/>
      </c>
      <c r="K1092" s="13" t="n"/>
    </row>
    <row r="1093">
      <c r="A1093" s="17">
        <f>IF($C1093="","",ROW()-3)</f>
        <v/>
      </c>
      <c r="B1093" s="18" t="n"/>
      <c r="C1093" s="13" t="n"/>
      <c r="D1093" s="13" t="n"/>
      <c r="E1093" s="13" t="n"/>
      <c r="F1093" s="13" t="n"/>
      <c r="G1093" s="20" t="n"/>
      <c r="H1093" s="14" t="n"/>
      <c r="I1093" s="19">
        <f>IF($C1093="","",ROUND(IF($G1093="",1,$G1093)*N($H1093),2))</f>
        <v/>
      </c>
      <c r="J1093" s="17">
        <f>IF($C1093="","",IFERROR(VLOOKUP($C1093,项目台账!$B:$C,2,0),"※项目不在项目台账里"))</f>
        <v/>
      </c>
      <c r="K1093" s="13" t="n"/>
    </row>
    <row r="1094">
      <c r="A1094" s="17">
        <f>IF($C1094="","",ROW()-3)</f>
        <v/>
      </c>
      <c r="B1094" s="18" t="n"/>
      <c r="C1094" s="13" t="n"/>
      <c r="D1094" s="13" t="n"/>
      <c r="E1094" s="13" t="n"/>
      <c r="F1094" s="13" t="n"/>
      <c r="G1094" s="20" t="n"/>
      <c r="H1094" s="14" t="n"/>
      <c r="I1094" s="19">
        <f>IF($C1094="","",ROUND(IF($G1094="",1,$G1094)*N($H1094),2))</f>
        <v/>
      </c>
      <c r="J1094" s="17">
        <f>IF($C1094="","",IFERROR(VLOOKUP($C1094,项目台账!$B:$C,2,0),"※项目不在项目台账里"))</f>
        <v/>
      </c>
      <c r="K1094" s="13" t="n"/>
    </row>
    <row r="1095">
      <c r="A1095" s="17">
        <f>IF($C1095="","",ROW()-3)</f>
        <v/>
      </c>
      <c r="B1095" s="18" t="n"/>
      <c r="C1095" s="13" t="n"/>
      <c r="D1095" s="13" t="n"/>
      <c r="E1095" s="13" t="n"/>
      <c r="F1095" s="13" t="n"/>
      <c r="G1095" s="20" t="n"/>
      <c r="H1095" s="14" t="n"/>
      <c r="I1095" s="19">
        <f>IF($C1095="","",ROUND(IF($G1095="",1,$G1095)*N($H1095),2))</f>
        <v/>
      </c>
      <c r="J1095" s="17">
        <f>IF($C1095="","",IFERROR(VLOOKUP($C1095,项目台账!$B:$C,2,0),"※项目不在项目台账里"))</f>
        <v/>
      </c>
      <c r="K1095" s="13" t="n"/>
    </row>
    <row r="1096">
      <c r="A1096" s="17">
        <f>IF($C1096="","",ROW()-3)</f>
        <v/>
      </c>
      <c r="B1096" s="18" t="n"/>
      <c r="C1096" s="13" t="n"/>
      <c r="D1096" s="13" t="n"/>
      <c r="E1096" s="13" t="n"/>
      <c r="F1096" s="13" t="n"/>
      <c r="G1096" s="20" t="n"/>
      <c r="H1096" s="14" t="n"/>
      <c r="I1096" s="19">
        <f>IF($C1096="","",ROUND(IF($G1096="",1,$G1096)*N($H1096),2))</f>
        <v/>
      </c>
      <c r="J1096" s="17">
        <f>IF($C1096="","",IFERROR(VLOOKUP($C1096,项目台账!$B:$C,2,0),"※项目不在项目台账里"))</f>
        <v/>
      </c>
      <c r="K1096" s="13" t="n"/>
    </row>
    <row r="1097">
      <c r="A1097" s="17">
        <f>IF($C1097="","",ROW()-3)</f>
        <v/>
      </c>
      <c r="B1097" s="18" t="n"/>
      <c r="C1097" s="13" t="n"/>
      <c r="D1097" s="13" t="n"/>
      <c r="E1097" s="13" t="n"/>
      <c r="F1097" s="13" t="n"/>
      <c r="G1097" s="20" t="n"/>
      <c r="H1097" s="14" t="n"/>
      <c r="I1097" s="19">
        <f>IF($C1097="","",ROUND(IF($G1097="",1,$G1097)*N($H1097),2))</f>
        <v/>
      </c>
      <c r="J1097" s="17">
        <f>IF($C1097="","",IFERROR(VLOOKUP($C1097,项目台账!$B:$C,2,0),"※项目不在项目台账里"))</f>
        <v/>
      </c>
      <c r="K1097" s="13" t="n"/>
    </row>
    <row r="1098">
      <c r="A1098" s="17">
        <f>IF($C1098="","",ROW()-3)</f>
        <v/>
      </c>
      <c r="B1098" s="18" t="n"/>
      <c r="C1098" s="13" t="n"/>
      <c r="D1098" s="13" t="n"/>
      <c r="E1098" s="13" t="n"/>
      <c r="F1098" s="13" t="n"/>
      <c r="G1098" s="20" t="n"/>
      <c r="H1098" s="14" t="n"/>
      <c r="I1098" s="19">
        <f>IF($C1098="","",ROUND(IF($G1098="",1,$G1098)*N($H1098),2))</f>
        <v/>
      </c>
      <c r="J1098" s="17">
        <f>IF($C1098="","",IFERROR(VLOOKUP($C1098,项目台账!$B:$C,2,0),"※项目不在项目台账里"))</f>
        <v/>
      </c>
      <c r="K1098" s="13" t="n"/>
    </row>
    <row r="1099">
      <c r="A1099" s="17">
        <f>IF($C1099="","",ROW()-3)</f>
        <v/>
      </c>
      <c r="B1099" s="18" t="n"/>
      <c r="C1099" s="13" t="n"/>
      <c r="D1099" s="13" t="n"/>
      <c r="E1099" s="13" t="n"/>
      <c r="F1099" s="13" t="n"/>
      <c r="G1099" s="20" t="n"/>
      <c r="H1099" s="14" t="n"/>
      <c r="I1099" s="19">
        <f>IF($C1099="","",ROUND(IF($G1099="",1,$G1099)*N($H1099),2))</f>
        <v/>
      </c>
      <c r="J1099" s="17">
        <f>IF($C1099="","",IFERROR(VLOOKUP($C1099,项目台账!$B:$C,2,0),"※项目不在项目台账里"))</f>
        <v/>
      </c>
      <c r="K1099" s="13" t="n"/>
    </row>
    <row r="1100">
      <c r="A1100" s="17">
        <f>IF($C1100="","",ROW()-3)</f>
        <v/>
      </c>
      <c r="B1100" s="18" t="n"/>
      <c r="C1100" s="13" t="n"/>
      <c r="D1100" s="13" t="n"/>
      <c r="E1100" s="13" t="n"/>
      <c r="F1100" s="13" t="n"/>
      <c r="G1100" s="20" t="n"/>
      <c r="H1100" s="14" t="n"/>
      <c r="I1100" s="19">
        <f>IF($C1100="","",ROUND(IF($G1100="",1,$G1100)*N($H1100),2))</f>
        <v/>
      </c>
      <c r="J1100" s="17">
        <f>IF($C1100="","",IFERROR(VLOOKUP($C1100,项目台账!$B:$C,2,0),"※项目不在项目台账里"))</f>
        <v/>
      </c>
      <c r="K1100" s="13" t="n"/>
    </row>
    <row r="1101">
      <c r="A1101" s="17">
        <f>IF($C1101="","",ROW()-3)</f>
        <v/>
      </c>
      <c r="B1101" s="18" t="n"/>
      <c r="C1101" s="13" t="n"/>
      <c r="D1101" s="13" t="n"/>
      <c r="E1101" s="13" t="n"/>
      <c r="F1101" s="13" t="n"/>
      <c r="G1101" s="20" t="n"/>
      <c r="H1101" s="14" t="n"/>
      <c r="I1101" s="19">
        <f>IF($C1101="","",ROUND(IF($G1101="",1,$G1101)*N($H1101),2))</f>
        <v/>
      </c>
      <c r="J1101" s="17">
        <f>IF($C1101="","",IFERROR(VLOOKUP($C1101,项目台账!$B:$C,2,0),"※项目不在项目台账里"))</f>
        <v/>
      </c>
      <c r="K1101" s="13" t="n"/>
    </row>
    <row r="1102">
      <c r="A1102" s="17">
        <f>IF($C1102="","",ROW()-3)</f>
        <v/>
      </c>
      <c r="B1102" s="18" t="n"/>
      <c r="C1102" s="13" t="n"/>
      <c r="D1102" s="13" t="n"/>
      <c r="E1102" s="13" t="n"/>
      <c r="F1102" s="13" t="n"/>
      <c r="G1102" s="20" t="n"/>
      <c r="H1102" s="14" t="n"/>
      <c r="I1102" s="19">
        <f>IF($C1102="","",ROUND(IF($G1102="",1,$G1102)*N($H1102),2))</f>
        <v/>
      </c>
      <c r="J1102" s="17">
        <f>IF($C1102="","",IFERROR(VLOOKUP($C1102,项目台账!$B:$C,2,0),"※项目不在项目台账里"))</f>
        <v/>
      </c>
      <c r="K1102" s="13" t="n"/>
    </row>
    <row r="1103">
      <c r="A1103" s="17">
        <f>IF($C1103="","",ROW()-3)</f>
        <v/>
      </c>
      <c r="B1103" s="18" t="n"/>
      <c r="C1103" s="13" t="n"/>
      <c r="D1103" s="13" t="n"/>
      <c r="E1103" s="13" t="n"/>
      <c r="F1103" s="13" t="n"/>
      <c r="G1103" s="20" t="n"/>
      <c r="H1103" s="14" t="n"/>
      <c r="I1103" s="19">
        <f>IF($C1103="","",ROUND(IF($G1103="",1,$G1103)*N($H1103),2))</f>
        <v/>
      </c>
      <c r="J1103" s="17">
        <f>IF($C1103="","",IFERROR(VLOOKUP($C1103,项目台账!$B:$C,2,0),"※项目不在项目台账里"))</f>
        <v/>
      </c>
      <c r="K1103" s="13" t="n"/>
    </row>
    <row r="1104">
      <c r="A1104" s="17">
        <f>IF($C1104="","",ROW()-3)</f>
        <v/>
      </c>
      <c r="B1104" s="18" t="n"/>
      <c r="C1104" s="13" t="n"/>
      <c r="D1104" s="13" t="n"/>
      <c r="E1104" s="13" t="n"/>
      <c r="F1104" s="13" t="n"/>
      <c r="G1104" s="20" t="n"/>
      <c r="H1104" s="14" t="n"/>
      <c r="I1104" s="19">
        <f>IF($C1104="","",ROUND(IF($G1104="",1,$G1104)*N($H1104),2))</f>
        <v/>
      </c>
      <c r="J1104" s="17">
        <f>IF($C1104="","",IFERROR(VLOOKUP($C1104,项目台账!$B:$C,2,0),"※项目不在项目台账里"))</f>
        <v/>
      </c>
      <c r="K1104" s="13" t="n"/>
    </row>
    <row r="1105">
      <c r="A1105" s="17">
        <f>IF($C1105="","",ROW()-3)</f>
        <v/>
      </c>
      <c r="B1105" s="18" t="n"/>
      <c r="C1105" s="13" t="n"/>
      <c r="D1105" s="13" t="n"/>
      <c r="E1105" s="13" t="n"/>
      <c r="F1105" s="13" t="n"/>
      <c r="G1105" s="20" t="n"/>
      <c r="H1105" s="14" t="n"/>
      <c r="I1105" s="19">
        <f>IF($C1105="","",ROUND(IF($G1105="",1,$G1105)*N($H1105),2))</f>
        <v/>
      </c>
      <c r="J1105" s="17">
        <f>IF($C1105="","",IFERROR(VLOOKUP($C1105,项目台账!$B:$C,2,0),"※项目不在项目台账里"))</f>
        <v/>
      </c>
      <c r="K1105" s="13" t="n"/>
    </row>
    <row r="1106">
      <c r="A1106" s="17">
        <f>IF($C1106="","",ROW()-3)</f>
        <v/>
      </c>
      <c r="B1106" s="18" t="n"/>
      <c r="C1106" s="13" t="n"/>
      <c r="D1106" s="13" t="n"/>
      <c r="E1106" s="13" t="n"/>
      <c r="F1106" s="13" t="n"/>
      <c r="G1106" s="20" t="n"/>
      <c r="H1106" s="14" t="n"/>
      <c r="I1106" s="19">
        <f>IF($C1106="","",ROUND(IF($G1106="",1,$G1106)*N($H1106),2))</f>
        <v/>
      </c>
      <c r="J1106" s="17">
        <f>IF($C1106="","",IFERROR(VLOOKUP($C1106,项目台账!$B:$C,2,0),"※项目不在项目台账里"))</f>
        <v/>
      </c>
      <c r="K1106" s="13" t="n"/>
    </row>
    <row r="1107">
      <c r="A1107" s="17">
        <f>IF($C1107="","",ROW()-3)</f>
        <v/>
      </c>
      <c r="B1107" s="18" t="n"/>
      <c r="C1107" s="13" t="n"/>
      <c r="D1107" s="13" t="n"/>
      <c r="E1107" s="13" t="n"/>
      <c r="F1107" s="13" t="n"/>
      <c r="G1107" s="20" t="n"/>
      <c r="H1107" s="14" t="n"/>
      <c r="I1107" s="19">
        <f>IF($C1107="","",ROUND(IF($G1107="",1,$G1107)*N($H1107),2))</f>
        <v/>
      </c>
      <c r="J1107" s="17">
        <f>IF($C1107="","",IFERROR(VLOOKUP($C1107,项目台账!$B:$C,2,0),"※项目不在项目台账里"))</f>
        <v/>
      </c>
      <c r="K1107" s="13" t="n"/>
    </row>
    <row r="1108">
      <c r="A1108" s="17">
        <f>IF($C1108="","",ROW()-3)</f>
        <v/>
      </c>
      <c r="B1108" s="18" t="n"/>
      <c r="C1108" s="13" t="n"/>
      <c r="D1108" s="13" t="n"/>
      <c r="E1108" s="13" t="n"/>
      <c r="F1108" s="13" t="n"/>
      <c r="G1108" s="20" t="n"/>
      <c r="H1108" s="14" t="n"/>
      <c r="I1108" s="19">
        <f>IF($C1108="","",ROUND(IF($G1108="",1,$G1108)*N($H1108),2))</f>
        <v/>
      </c>
      <c r="J1108" s="17">
        <f>IF($C1108="","",IFERROR(VLOOKUP($C1108,项目台账!$B:$C,2,0),"※项目不在项目台账里"))</f>
        <v/>
      </c>
      <c r="K1108" s="13" t="n"/>
    </row>
    <row r="1109">
      <c r="A1109" s="17">
        <f>IF($C1109="","",ROW()-3)</f>
        <v/>
      </c>
      <c r="B1109" s="18" t="n"/>
      <c r="C1109" s="13" t="n"/>
      <c r="D1109" s="13" t="n"/>
      <c r="E1109" s="13" t="n"/>
      <c r="F1109" s="13" t="n"/>
      <c r="G1109" s="20" t="n"/>
      <c r="H1109" s="14" t="n"/>
      <c r="I1109" s="19">
        <f>IF($C1109="","",ROUND(IF($G1109="",1,$G1109)*N($H1109),2))</f>
        <v/>
      </c>
      <c r="J1109" s="17">
        <f>IF($C1109="","",IFERROR(VLOOKUP($C1109,项目台账!$B:$C,2,0),"※项目不在项目台账里"))</f>
        <v/>
      </c>
      <c r="K1109" s="13" t="n"/>
    </row>
    <row r="1110">
      <c r="A1110" s="17">
        <f>IF($C1110="","",ROW()-3)</f>
        <v/>
      </c>
      <c r="B1110" s="18" t="n"/>
      <c r="C1110" s="13" t="n"/>
      <c r="D1110" s="13" t="n"/>
      <c r="E1110" s="13" t="n"/>
      <c r="F1110" s="13" t="n"/>
      <c r="G1110" s="20" t="n"/>
      <c r="H1110" s="14" t="n"/>
      <c r="I1110" s="19">
        <f>IF($C1110="","",ROUND(IF($G1110="",1,$G1110)*N($H1110),2))</f>
        <v/>
      </c>
      <c r="J1110" s="17">
        <f>IF($C1110="","",IFERROR(VLOOKUP($C1110,项目台账!$B:$C,2,0),"※项目不在项目台账里"))</f>
        <v/>
      </c>
      <c r="K1110" s="13" t="n"/>
    </row>
    <row r="1111">
      <c r="A1111" s="17">
        <f>IF($C1111="","",ROW()-3)</f>
        <v/>
      </c>
      <c r="B1111" s="18" t="n"/>
      <c r="C1111" s="13" t="n"/>
      <c r="D1111" s="13" t="n"/>
      <c r="E1111" s="13" t="n"/>
      <c r="F1111" s="13" t="n"/>
      <c r="G1111" s="20" t="n"/>
      <c r="H1111" s="14" t="n"/>
      <c r="I1111" s="19">
        <f>IF($C1111="","",ROUND(IF($G1111="",1,$G1111)*N($H1111),2))</f>
        <v/>
      </c>
      <c r="J1111" s="17">
        <f>IF($C1111="","",IFERROR(VLOOKUP($C1111,项目台账!$B:$C,2,0),"※项目不在项目台账里"))</f>
        <v/>
      </c>
      <c r="K1111" s="13" t="n"/>
    </row>
    <row r="1112">
      <c r="A1112" s="17">
        <f>IF($C1112="","",ROW()-3)</f>
        <v/>
      </c>
      <c r="B1112" s="18" t="n"/>
      <c r="C1112" s="13" t="n"/>
      <c r="D1112" s="13" t="n"/>
      <c r="E1112" s="13" t="n"/>
      <c r="F1112" s="13" t="n"/>
      <c r="G1112" s="20" t="n"/>
      <c r="H1112" s="14" t="n"/>
      <c r="I1112" s="19">
        <f>IF($C1112="","",ROUND(IF($G1112="",1,$G1112)*N($H1112),2))</f>
        <v/>
      </c>
      <c r="J1112" s="17">
        <f>IF($C1112="","",IFERROR(VLOOKUP($C1112,项目台账!$B:$C,2,0),"※项目不在项目台账里"))</f>
        <v/>
      </c>
      <c r="K1112" s="13" t="n"/>
    </row>
    <row r="1113">
      <c r="A1113" s="17">
        <f>IF($C1113="","",ROW()-3)</f>
        <v/>
      </c>
      <c r="B1113" s="18" t="n"/>
      <c r="C1113" s="13" t="n"/>
      <c r="D1113" s="13" t="n"/>
      <c r="E1113" s="13" t="n"/>
      <c r="F1113" s="13" t="n"/>
      <c r="G1113" s="20" t="n"/>
      <c r="H1113" s="14" t="n"/>
      <c r="I1113" s="19">
        <f>IF($C1113="","",ROUND(IF($G1113="",1,$G1113)*N($H1113),2))</f>
        <v/>
      </c>
      <c r="J1113" s="17">
        <f>IF($C1113="","",IFERROR(VLOOKUP($C1113,项目台账!$B:$C,2,0),"※项目不在项目台账里"))</f>
        <v/>
      </c>
      <c r="K1113" s="13" t="n"/>
    </row>
    <row r="1114">
      <c r="A1114" s="17">
        <f>IF($C1114="","",ROW()-3)</f>
        <v/>
      </c>
      <c r="B1114" s="18" t="n"/>
      <c r="C1114" s="13" t="n"/>
      <c r="D1114" s="13" t="n"/>
      <c r="E1114" s="13" t="n"/>
      <c r="F1114" s="13" t="n"/>
      <c r="G1114" s="20" t="n"/>
      <c r="H1114" s="14" t="n"/>
      <c r="I1114" s="19">
        <f>IF($C1114="","",ROUND(IF($G1114="",1,$G1114)*N($H1114),2))</f>
        <v/>
      </c>
      <c r="J1114" s="17">
        <f>IF($C1114="","",IFERROR(VLOOKUP($C1114,项目台账!$B:$C,2,0),"※项目不在项目台账里"))</f>
        <v/>
      </c>
      <c r="K1114" s="13" t="n"/>
    </row>
    <row r="1115">
      <c r="A1115" s="17">
        <f>IF($C1115="","",ROW()-3)</f>
        <v/>
      </c>
      <c r="B1115" s="18" t="n"/>
      <c r="C1115" s="13" t="n"/>
      <c r="D1115" s="13" t="n"/>
      <c r="E1115" s="13" t="n"/>
      <c r="F1115" s="13" t="n"/>
      <c r="G1115" s="20" t="n"/>
      <c r="H1115" s="14" t="n"/>
      <c r="I1115" s="19">
        <f>IF($C1115="","",ROUND(IF($G1115="",1,$G1115)*N($H1115),2))</f>
        <v/>
      </c>
      <c r="J1115" s="17">
        <f>IF($C1115="","",IFERROR(VLOOKUP($C1115,项目台账!$B:$C,2,0),"※项目不在项目台账里"))</f>
        <v/>
      </c>
      <c r="K1115" s="13" t="n"/>
    </row>
    <row r="1116">
      <c r="A1116" s="17">
        <f>IF($C1116="","",ROW()-3)</f>
        <v/>
      </c>
      <c r="B1116" s="18" t="n"/>
      <c r="C1116" s="13" t="n"/>
      <c r="D1116" s="13" t="n"/>
      <c r="E1116" s="13" t="n"/>
      <c r="F1116" s="13" t="n"/>
      <c r="G1116" s="20" t="n"/>
      <c r="H1116" s="14" t="n"/>
      <c r="I1116" s="19">
        <f>IF($C1116="","",ROUND(IF($G1116="",1,$G1116)*N($H1116),2))</f>
        <v/>
      </c>
      <c r="J1116" s="17">
        <f>IF($C1116="","",IFERROR(VLOOKUP($C1116,项目台账!$B:$C,2,0),"※项目不在项目台账里"))</f>
        <v/>
      </c>
      <c r="K1116" s="13" t="n"/>
    </row>
    <row r="1117">
      <c r="A1117" s="17">
        <f>IF($C1117="","",ROW()-3)</f>
        <v/>
      </c>
      <c r="B1117" s="18" t="n"/>
      <c r="C1117" s="13" t="n"/>
      <c r="D1117" s="13" t="n"/>
      <c r="E1117" s="13" t="n"/>
      <c r="F1117" s="13" t="n"/>
      <c r="G1117" s="20" t="n"/>
      <c r="H1117" s="14" t="n"/>
      <c r="I1117" s="19">
        <f>IF($C1117="","",ROUND(IF($G1117="",1,$G1117)*N($H1117),2))</f>
        <v/>
      </c>
      <c r="J1117" s="17">
        <f>IF($C1117="","",IFERROR(VLOOKUP($C1117,项目台账!$B:$C,2,0),"※项目不在项目台账里"))</f>
        <v/>
      </c>
      <c r="K1117" s="13" t="n"/>
    </row>
    <row r="1118">
      <c r="A1118" s="17">
        <f>IF($C1118="","",ROW()-3)</f>
        <v/>
      </c>
      <c r="B1118" s="18" t="n"/>
      <c r="C1118" s="13" t="n"/>
      <c r="D1118" s="13" t="n"/>
      <c r="E1118" s="13" t="n"/>
      <c r="F1118" s="13" t="n"/>
      <c r="G1118" s="20" t="n"/>
      <c r="H1118" s="14" t="n"/>
      <c r="I1118" s="19">
        <f>IF($C1118="","",ROUND(IF($G1118="",1,$G1118)*N($H1118),2))</f>
        <v/>
      </c>
      <c r="J1118" s="17">
        <f>IF($C1118="","",IFERROR(VLOOKUP($C1118,项目台账!$B:$C,2,0),"※项目不在项目台账里"))</f>
        <v/>
      </c>
      <c r="K1118" s="13" t="n"/>
    </row>
    <row r="1119">
      <c r="A1119" s="17">
        <f>IF($C1119="","",ROW()-3)</f>
        <v/>
      </c>
      <c r="B1119" s="18" t="n"/>
      <c r="C1119" s="13" t="n"/>
      <c r="D1119" s="13" t="n"/>
      <c r="E1119" s="13" t="n"/>
      <c r="F1119" s="13" t="n"/>
      <c r="G1119" s="20" t="n"/>
      <c r="H1119" s="14" t="n"/>
      <c r="I1119" s="19">
        <f>IF($C1119="","",ROUND(IF($G1119="",1,$G1119)*N($H1119),2))</f>
        <v/>
      </c>
      <c r="J1119" s="17">
        <f>IF($C1119="","",IFERROR(VLOOKUP($C1119,项目台账!$B:$C,2,0),"※项目不在项目台账里"))</f>
        <v/>
      </c>
      <c r="K1119" s="13" t="n"/>
    </row>
    <row r="1120">
      <c r="A1120" s="17">
        <f>IF($C1120="","",ROW()-3)</f>
        <v/>
      </c>
      <c r="B1120" s="18" t="n"/>
      <c r="C1120" s="13" t="n"/>
      <c r="D1120" s="13" t="n"/>
      <c r="E1120" s="13" t="n"/>
      <c r="F1120" s="13" t="n"/>
      <c r="G1120" s="20" t="n"/>
      <c r="H1120" s="14" t="n"/>
      <c r="I1120" s="19">
        <f>IF($C1120="","",ROUND(IF($G1120="",1,$G1120)*N($H1120),2))</f>
        <v/>
      </c>
      <c r="J1120" s="17">
        <f>IF($C1120="","",IFERROR(VLOOKUP($C1120,项目台账!$B:$C,2,0),"※项目不在项目台账里"))</f>
        <v/>
      </c>
      <c r="K1120" s="13" t="n"/>
    </row>
    <row r="1121">
      <c r="A1121" s="17">
        <f>IF($C1121="","",ROW()-3)</f>
        <v/>
      </c>
      <c r="B1121" s="18" t="n"/>
      <c r="C1121" s="13" t="n"/>
      <c r="D1121" s="13" t="n"/>
      <c r="E1121" s="13" t="n"/>
      <c r="F1121" s="13" t="n"/>
      <c r="G1121" s="20" t="n"/>
      <c r="H1121" s="14" t="n"/>
      <c r="I1121" s="19">
        <f>IF($C1121="","",ROUND(IF($G1121="",1,$G1121)*N($H1121),2))</f>
        <v/>
      </c>
      <c r="J1121" s="17">
        <f>IF($C1121="","",IFERROR(VLOOKUP($C1121,项目台账!$B:$C,2,0),"※项目不在项目台账里"))</f>
        <v/>
      </c>
      <c r="K1121" s="13" t="n"/>
    </row>
    <row r="1122">
      <c r="A1122" s="17">
        <f>IF($C1122="","",ROW()-3)</f>
        <v/>
      </c>
      <c r="B1122" s="18" t="n"/>
      <c r="C1122" s="13" t="n"/>
      <c r="D1122" s="13" t="n"/>
      <c r="E1122" s="13" t="n"/>
      <c r="F1122" s="13" t="n"/>
      <c r="G1122" s="20" t="n"/>
      <c r="H1122" s="14" t="n"/>
      <c r="I1122" s="19">
        <f>IF($C1122="","",ROUND(IF($G1122="",1,$G1122)*N($H1122),2))</f>
        <v/>
      </c>
      <c r="J1122" s="17">
        <f>IF($C1122="","",IFERROR(VLOOKUP($C1122,项目台账!$B:$C,2,0),"※项目不在项目台账里"))</f>
        <v/>
      </c>
      <c r="K1122" s="13" t="n"/>
    </row>
    <row r="1123">
      <c r="A1123" s="17">
        <f>IF($C1123="","",ROW()-3)</f>
        <v/>
      </c>
      <c r="B1123" s="18" t="n"/>
      <c r="C1123" s="13" t="n"/>
      <c r="D1123" s="13" t="n"/>
      <c r="E1123" s="13" t="n"/>
      <c r="F1123" s="13" t="n"/>
      <c r="G1123" s="20" t="n"/>
      <c r="H1123" s="14" t="n"/>
      <c r="I1123" s="19">
        <f>IF($C1123="","",ROUND(IF($G1123="",1,$G1123)*N($H1123),2))</f>
        <v/>
      </c>
      <c r="J1123" s="17">
        <f>IF($C1123="","",IFERROR(VLOOKUP($C1123,项目台账!$B:$C,2,0),"※项目不在项目台账里"))</f>
        <v/>
      </c>
      <c r="K1123" s="13" t="n"/>
    </row>
    <row r="1124">
      <c r="A1124" s="17">
        <f>IF($C1124="","",ROW()-3)</f>
        <v/>
      </c>
      <c r="B1124" s="18" t="n"/>
      <c r="C1124" s="13" t="n"/>
      <c r="D1124" s="13" t="n"/>
      <c r="E1124" s="13" t="n"/>
      <c r="F1124" s="13" t="n"/>
      <c r="G1124" s="20" t="n"/>
      <c r="H1124" s="14" t="n"/>
      <c r="I1124" s="19">
        <f>IF($C1124="","",ROUND(IF($G1124="",1,$G1124)*N($H1124),2))</f>
        <v/>
      </c>
      <c r="J1124" s="17">
        <f>IF($C1124="","",IFERROR(VLOOKUP($C1124,项目台账!$B:$C,2,0),"※项目不在项目台账里"))</f>
        <v/>
      </c>
      <c r="K1124" s="13" t="n"/>
    </row>
    <row r="1125">
      <c r="A1125" s="17">
        <f>IF($C1125="","",ROW()-3)</f>
        <v/>
      </c>
      <c r="B1125" s="18" t="n"/>
      <c r="C1125" s="13" t="n"/>
      <c r="D1125" s="13" t="n"/>
      <c r="E1125" s="13" t="n"/>
      <c r="F1125" s="13" t="n"/>
      <c r="G1125" s="20" t="n"/>
      <c r="H1125" s="14" t="n"/>
      <c r="I1125" s="19">
        <f>IF($C1125="","",ROUND(IF($G1125="",1,$G1125)*N($H1125),2))</f>
        <v/>
      </c>
      <c r="J1125" s="17">
        <f>IF($C1125="","",IFERROR(VLOOKUP($C1125,项目台账!$B:$C,2,0),"※项目不在项目台账里"))</f>
        <v/>
      </c>
      <c r="K1125" s="13" t="n"/>
    </row>
    <row r="1126">
      <c r="A1126" s="17">
        <f>IF($C1126="","",ROW()-3)</f>
        <v/>
      </c>
      <c r="B1126" s="18" t="n"/>
      <c r="C1126" s="13" t="n"/>
      <c r="D1126" s="13" t="n"/>
      <c r="E1126" s="13" t="n"/>
      <c r="F1126" s="13" t="n"/>
      <c r="G1126" s="20" t="n"/>
      <c r="H1126" s="14" t="n"/>
      <c r="I1126" s="19">
        <f>IF($C1126="","",ROUND(IF($G1126="",1,$G1126)*N($H1126),2))</f>
        <v/>
      </c>
      <c r="J1126" s="17">
        <f>IF($C1126="","",IFERROR(VLOOKUP($C1126,项目台账!$B:$C,2,0),"※项目不在项目台账里"))</f>
        <v/>
      </c>
      <c r="K1126" s="13" t="n"/>
    </row>
    <row r="1127">
      <c r="A1127" s="17">
        <f>IF($C1127="","",ROW()-3)</f>
        <v/>
      </c>
      <c r="B1127" s="18" t="n"/>
      <c r="C1127" s="13" t="n"/>
      <c r="D1127" s="13" t="n"/>
      <c r="E1127" s="13" t="n"/>
      <c r="F1127" s="13" t="n"/>
      <c r="G1127" s="20" t="n"/>
      <c r="H1127" s="14" t="n"/>
      <c r="I1127" s="19">
        <f>IF($C1127="","",ROUND(IF($G1127="",1,$G1127)*N($H1127),2))</f>
        <v/>
      </c>
      <c r="J1127" s="17">
        <f>IF($C1127="","",IFERROR(VLOOKUP($C1127,项目台账!$B:$C,2,0),"※项目不在项目台账里"))</f>
        <v/>
      </c>
      <c r="K1127" s="13" t="n"/>
    </row>
    <row r="1128">
      <c r="A1128" s="17">
        <f>IF($C1128="","",ROW()-3)</f>
        <v/>
      </c>
      <c r="B1128" s="18" t="n"/>
      <c r="C1128" s="13" t="n"/>
      <c r="D1128" s="13" t="n"/>
      <c r="E1128" s="13" t="n"/>
      <c r="F1128" s="13" t="n"/>
      <c r="G1128" s="20" t="n"/>
      <c r="H1128" s="14" t="n"/>
      <c r="I1128" s="19">
        <f>IF($C1128="","",ROUND(IF($G1128="",1,$G1128)*N($H1128),2))</f>
        <v/>
      </c>
      <c r="J1128" s="17">
        <f>IF($C1128="","",IFERROR(VLOOKUP($C1128,项目台账!$B:$C,2,0),"※项目不在项目台账里"))</f>
        <v/>
      </c>
      <c r="K1128" s="13" t="n"/>
    </row>
    <row r="1129">
      <c r="A1129" s="17">
        <f>IF($C1129="","",ROW()-3)</f>
        <v/>
      </c>
      <c r="B1129" s="18" t="n"/>
      <c r="C1129" s="13" t="n"/>
      <c r="D1129" s="13" t="n"/>
      <c r="E1129" s="13" t="n"/>
      <c r="F1129" s="13" t="n"/>
      <c r="G1129" s="20" t="n"/>
      <c r="H1129" s="14" t="n"/>
      <c r="I1129" s="19">
        <f>IF($C1129="","",ROUND(IF($G1129="",1,$G1129)*N($H1129),2))</f>
        <v/>
      </c>
      <c r="J1129" s="17">
        <f>IF($C1129="","",IFERROR(VLOOKUP($C1129,项目台账!$B:$C,2,0),"※项目不在项目台账里"))</f>
        <v/>
      </c>
      <c r="K1129" s="13" t="n"/>
    </row>
    <row r="1130">
      <c r="A1130" s="17">
        <f>IF($C1130="","",ROW()-3)</f>
        <v/>
      </c>
      <c r="B1130" s="18" t="n"/>
      <c r="C1130" s="13" t="n"/>
      <c r="D1130" s="13" t="n"/>
      <c r="E1130" s="13" t="n"/>
      <c r="F1130" s="13" t="n"/>
      <c r="G1130" s="20" t="n"/>
      <c r="H1130" s="14" t="n"/>
      <c r="I1130" s="19">
        <f>IF($C1130="","",ROUND(IF($G1130="",1,$G1130)*N($H1130),2))</f>
        <v/>
      </c>
      <c r="J1130" s="17">
        <f>IF($C1130="","",IFERROR(VLOOKUP($C1130,项目台账!$B:$C,2,0),"※项目不在项目台账里"))</f>
        <v/>
      </c>
      <c r="K1130" s="13" t="n"/>
    </row>
    <row r="1131">
      <c r="A1131" s="17">
        <f>IF($C1131="","",ROW()-3)</f>
        <v/>
      </c>
      <c r="B1131" s="18" t="n"/>
      <c r="C1131" s="13" t="n"/>
      <c r="D1131" s="13" t="n"/>
      <c r="E1131" s="13" t="n"/>
      <c r="F1131" s="13" t="n"/>
      <c r="G1131" s="20" t="n"/>
      <c r="H1131" s="14" t="n"/>
      <c r="I1131" s="19">
        <f>IF($C1131="","",ROUND(IF($G1131="",1,$G1131)*N($H1131),2))</f>
        <v/>
      </c>
      <c r="J1131" s="17">
        <f>IF($C1131="","",IFERROR(VLOOKUP($C1131,项目台账!$B:$C,2,0),"※项目不在项目台账里"))</f>
        <v/>
      </c>
      <c r="K1131" s="13" t="n"/>
    </row>
    <row r="1132">
      <c r="A1132" s="17">
        <f>IF($C1132="","",ROW()-3)</f>
        <v/>
      </c>
      <c r="B1132" s="18" t="n"/>
      <c r="C1132" s="13" t="n"/>
      <c r="D1132" s="13" t="n"/>
      <c r="E1132" s="13" t="n"/>
      <c r="F1132" s="13" t="n"/>
      <c r="G1132" s="20" t="n"/>
      <c r="H1132" s="14" t="n"/>
      <c r="I1132" s="19">
        <f>IF($C1132="","",ROUND(IF($G1132="",1,$G1132)*N($H1132),2))</f>
        <v/>
      </c>
      <c r="J1132" s="17">
        <f>IF($C1132="","",IFERROR(VLOOKUP($C1132,项目台账!$B:$C,2,0),"※项目不在项目台账里"))</f>
        <v/>
      </c>
      <c r="K1132" s="13" t="n"/>
    </row>
    <row r="1133">
      <c r="A1133" s="17">
        <f>IF($C1133="","",ROW()-3)</f>
        <v/>
      </c>
      <c r="B1133" s="18" t="n"/>
      <c r="C1133" s="13" t="n"/>
      <c r="D1133" s="13" t="n"/>
      <c r="E1133" s="13" t="n"/>
      <c r="F1133" s="13" t="n"/>
      <c r="G1133" s="20" t="n"/>
      <c r="H1133" s="14" t="n"/>
      <c r="I1133" s="19">
        <f>IF($C1133="","",ROUND(IF($G1133="",1,$G1133)*N($H1133),2))</f>
        <v/>
      </c>
      <c r="J1133" s="17">
        <f>IF($C1133="","",IFERROR(VLOOKUP($C1133,项目台账!$B:$C,2,0),"※项目不在项目台账里"))</f>
        <v/>
      </c>
      <c r="K1133" s="13" t="n"/>
    </row>
    <row r="1134">
      <c r="A1134" s="17">
        <f>IF($C1134="","",ROW()-3)</f>
        <v/>
      </c>
      <c r="B1134" s="18" t="n"/>
      <c r="C1134" s="13" t="n"/>
      <c r="D1134" s="13" t="n"/>
      <c r="E1134" s="13" t="n"/>
      <c r="F1134" s="13" t="n"/>
      <c r="G1134" s="20" t="n"/>
      <c r="H1134" s="14" t="n"/>
      <c r="I1134" s="19">
        <f>IF($C1134="","",ROUND(IF($G1134="",1,$G1134)*N($H1134),2))</f>
        <v/>
      </c>
      <c r="J1134" s="17">
        <f>IF($C1134="","",IFERROR(VLOOKUP($C1134,项目台账!$B:$C,2,0),"※项目不在项目台账里"))</f>
        <v/>
      </c>
      <c r="K1134" s="13" t="n"/>
    </row>
    <row r="1135">
      <c r="A1135" s="17">
        <f>IF($C1135="","",ROW()-3)</f>
        <v/>
      </c>
      <c r="B1135" s="18" t="n"/>
      <c r="C1135" s="13" t="n"/>
      <c r="D1135" s="13" t="n"/>
      <c r="E1135" s="13" t="n"/>
      <c r="F1135" s="13" t="n"/>
      <c r="G1135" s="20" t="n"/>
      <c r="H1135" s="14" t="n"/>
      <c r="I1135" s="19">
        <f>IF($C1135="","",ROUND(IF($G1135="",1,$G1135)*N($H1135),2))</f>
        <v/>
      </c>
      <c r="J1135" s="17">
        <f>IF($C1135="","",IFERROR(VLOOKUP($C1135,项目台账!$B:$C,2,0),"※项目不在项目台账里"))</f>
        <v/>
      </c>
      <c r="K1135" s="13" t="n"/>
    </row>
    <row r="1136">
      <c r="A1136" s="17">
        <f>IF($C1136="","",ROW()-3)</f>
        <v/>
      </c>
      <c r="B1136" s="18" t="n"/>
      <c r="C1136" s="13" t="n"/>
      <c r="D1136" s="13" t="n"/>
      <c r="E1136" s="13" t="n"/>
      <c r="F1136" s="13" t="n"/>
      <c r="G1136" s="20" t="n"/>
      <c r="H1136" s="14" t="n"/>
      <c r="I1136" s="19">
        <f>IF($C1136="","",ROUND(IF($G1136="",1,$G1136)*N($H1136),2))</f>
        <v/>
      </c>
      <c r="J1136" s="17">
        <f>IF($C1136="","",IFERROR(VLOOKUP($C1136,项目台账!$B:$C,2,0),"※项目不在项目台账里"))</f>
        <v/>
      </c>
      <c r="K1136" s="13" t="n"/>
    </row>
    <row r="1137">
      <c r="A1137" s="17">
        <f>IF($C1137="","",ROW()-3)</f>
        <v/>
      </c>
      <c r="B1137" s="18" t="n"/>
      <c r="C1137" s="13" t="n"/>
      <c r="D1137" s="13" t="n"/>
      <c r="E1137" s="13" t="n"/>
      <c r="F1137" s="13" t="n"/>
      <c r="G1137" s="20" t="n"/>
      <c r="H1137" s="14" t="n"/>
      <c r="I1137" s="19">
        <f>IF($C1137="","",ROUND(IF($G1137="",1,$G1137)*N($H1137),2))</f>
        <v/>
      </c>
      <c r="J1137" s="17">
        <f>IF($C1137="","",IFERROR(VLOOKUP($C1137,项目台账!$B:$C,2,0),"※项目不在项目台账里"))</f>
        <v/>
      </c>
      <c r="K1137" s="13" t="n"/>
    </row>
    <row r="1138">
      <c r="A1138" s="17">
        <f>IF($C1138="","",ROW()-3)</f>
        <v/>
      </c>
      <c r="B1138" s="18" t="n"/>
      <c r="C1138" s="13" t="n"/>
      <c r="D1138" s="13" t="n"/>
      <c r="E1138" s="13" t="n"/>
      <c r="F1138" s="13" t="n"/>
      <c r="G1138" s="20" t="n"/>
      <c r="H1138" s="14" t="n"/>
      <c r="I1138" s="19">
        <f>IF($C1138="","",ROUND(IF($G1138="",1,$G1138)*N($H1138),2))</f>
        <v/>
      </c>
      <c r="J1138" s="17">
        <f>IF($C1138="","",IFERROR(VLOOKUP($C1138,项目台账!$B:$C,2,0),"※项目不在项目台账里"))</f>
        <v/>
      </c>
      <c r="K1138" s="13" t="n"/>
    </row>
    <row r="1139">
      <c r="A1139" s="17">
        <f>IF($C1139="","",ROW()-3)</f>
        <v/>
      </c>
      <c r="B1139" s="18" t="n"/>
      <c r="C1139" s="13" t="n"/>
      <c r="D1139" s="13" t="n"/>
      <c r="E1139" s="13" t="n"/>
      <c r="F1139" s="13" t="n"/>
      <c r="G1139" s="20" t="n"/>
      <c r="H1139" s="14" t="n"/>
      <c r="I1139" s="19">
        <f>IF($C1139="","",ROUND(IF($G1139="",1,$G1139)*N($H1139),2))</f>
        <v/>
      </c>
      <c r="J1139" s="17">
        <f>IF($C1139="","",IFERROR(VLOOKUP($C1139,项目台账!$B:$C,2,0),"※项目不在项目台账里"))</f>
        <v/>
      </c>
      <c r="K1139" s="13" t="n"/>
    </row>
    <row r="1140">
      <c r="A1140" s="17">
        <f>IF($C1140="","",ROW()-3)</f>
        <v/>
      </c>
      <c r="B1140" s="18" t="n"/>
      <c r="C1140" s="13" t="n"/>
      <c r="D1140" s="13" t="n"/>
      <c r="E1140" s="13" t="n"/>
      <c r="F1140" s="13" t="n"/>
      <c r="G1140" s="20" t="n"/>
      <c r="H1140" s="14" t="n"/>
      <c r="I1140" s="19">
        <f>IF($C1140="","",ROUND(IF($G1140="",1,$G1140)*N($H1140),2))</f>
        <v/>
      </c>
      <c r="J1140" s="17">
        <f>IF($C1140="","",IFERROR(VLOOKUP($C1140,项目台账!$B:$C,2,0),"※项目不在项目台账里"))</f>
        <v/>
      </c>
      <c r="K1140" s="13" t="n"/>
    </row>
    <row r="1141">
      <c r="A1141" s="17">
        <f>IF($C1141="","",ROW()-3)</f>
        <v/>
      </c>
      <c r="B1141" s="18" t="n"/>
      <c r="C1141" s="13" t="n"/>
      <c r="D1141" s="13" t="n"/>
      <c r="E1141" s="13" t="n"/>
      <c r="F1141" s="13" t="n"/>
      <c r="G1141" s="20" t="n"/>
      <c r="H1141" s="14" t="n"/>
      <c r="I1141" s="19">
        <f>IF($C1141="","",ROUND(IF($G1141="",1,$G1141)*N($H1141),2))</f>
        <v/>
      </c>
      <c r="J1141" s="17">
        <f>IF($C1141="","",IFERROR(VLOOKUP($C1141,项目台账!$B:$C,2,0),"※项目不在项目台账里"))</f>
        <v/>
      </c>
      <c r="K1141" s="13" t="n"/>
    </row>
    <row r="1142">
      <c r="A1142" s="17">
        <f>IF($C1142="","",ROW()-3)</f>
        <v/>
      </c>
      <c r="B1142" s="18" t="n"/>
      <c r="C1142" s="13" t="n"/>
      <c r="D1142" s="13" t="n"/>
      <c r="E1142" s="13" t="n"/>
      <c r="F1142" s="13" t="n"/>
      <c r="G1142" s="20" t="n"/>
      <c r="H1142" s="14" t="n"/>
      <c r="I1142" s="19">
        <f>IF($C1142="","",ROUND(IF($G1142="",1,$G1142)*N($H1142),2))</f>
        <v/>
      </c>
      <c r="J1142" s="17">
        <f>IF($C1142="","",IFERROR(VLOOKUP($C1142,项目台账!$B:$C,2,0),"※项目不在项目台账里"))</f>
        <v/>
      </c>
      <c r="K1142" s="13" t="n"/>
    </row>
    <row r="1143">
      <c r="A1143" s="17">
        <f>IF($C1143="","",ROW()-3)</f>
        <v/>
      </c>
      <c r="B1143" s="18" t="n"/>
      <c r="C1143" s="13" t="n"/>
      <c r="D1143" s="13" t="n"/>
      <c r="E1143" s="13" t="n"/>
      <c r="F1143" s="13" t="n"/>
      <c r="G1143" s="20" t="n"/>
      <c r="H1143" s="14" t="n"/>
      <c r="I1143" s="19">
        <f>IF($C1143="","",ROUND(IF($G1143="",1,$G1143)*N($H1143),2))</f>
        <v/>
      </c>
      <c r="J1143" s="17">
        <f>IF($C1143="","",IFERROR(VLOOKUP($C1143,项目台账!$B:$C,2,0),"※项目不在项目台账里"))</f>
        <v/>
      </c>
      <c r="K1143" s="13" t="n"/>
    </row>
    <row r="1144">
      <c r="A1144" s="17">
        <f>IF($C1144="","",ROW()-3)</f>
        <v/>
      </c>
      <c r="B1144" s="18" t="n"/>
      <c r="C1144" s="13" t="n"/>
      <c r="D1144" s="13" t="n"/>
      <c r="E1144" s="13" t="n"/>
      <c r="F1144" s="13" t="n"/>
      <c r="G1144" s="20" t="n"/>
      <c r="H1144" s="14" t="n"/>
      <c r="I1144" s="19">
        <f>IF($C1144="","",ROUND(IF($G1144="",1,$G1144)*N($H1144),2))</f>
        <v/>
      </c>
      <c r="J1144" s="17">
        <f>IF($C1144="","",IFERROR(VLOOKUP($C1144,项目台账!$B:$C,2,0),"※项目不在项目台账里"))</f>
        <v/>
      </c>
      <c r="K1144" s="13" t="n"/>
    </row>
    <row r="1145">
      <c r="A1145" s="17">
        <f>IF($C1145="","",ROW()-3)</f>
        <v/>
      </c>
      <c r="B1145" s="18" t="n"/>
      <c r="C1145" s="13" t="n"/>
      <c r="D1145" s="13" t="n"/>
      <c r="E1145" s="13" t="n"/>
      <c r="F1145" s="13" t="n"/>
      <c r="G1145" s="20" t="n"/>
      <c r="H1145" s="14" t="n"/>
      <c r="I1145" s="19">
        <f>IF($C1145="","",ROUND(IF($G1145="",1,$G1145)*N($H1145),2))</f>
        <v/>
      </c>
      <c r="J1145" s="17">
        <f>IF($C1145="","",IFERROR(VLOOKUP($C1145,项目台账!$B:$C,2,0),"※项目不在项目台账里"))</f>
        <v/>
      </c>
      <c r="K1145" s="13" t="n"/>
    </row>
    <row r="1146">
      <c r="A1146" s="17">
        <f>IF($C1146="","",ROW()-3)</f>
        <v/>
      </c>
      <c r="B1146" s="18" t="n"/>
      <c r="C1146" s="13" t="n"/>
      <c r="D1146" s="13" t="n"/>
      <c r="E1146" s="13" t="n"/>
      <c r="F1146" s="13" t="n"/>
      <c r="G1146" s="20" t="n"/>
      <c r="H1146" s="14" t="n"/>
      <c r="I1146" s="19">
        <f>IF($C1146="","",ROUND(IF($G1146="",1,$G1146)*N($H1146),2))</f>
        <v/>
      </c>
      <c r="J1146" s="17">
        <f>IF($C1146="","",IFERROR(VLOOKUP($C1146,项目台账!$B:$C,2,0),"※项目不在项目台账里"))</f>
        <v/>
      </c>
      <c r="K1146" s="13" t="n"/>
    </row>
    <row r="1147">
      <c r="A1147" s="17">
        <f>IF($C1147="","",ROW()-3)</f>
        <v/>
      </c>
      <c r="B1147" s="18" t="n"/>
      <c r="C1147" s="13" t="n"/>
      <c r="D1147" s="13" t="n"/>
      <c r="E1147" s="13" t="n"/>
      <c r="F1147" s="13" t="n"/>
      <c r="G1147" s="20" t="n"/>
      <c r="H1147" s="14" t="n"/>
      <c r="I1147" s="19">
        <f>IF($C1147="","",ROUND(IF($G1147="",1,$G1147)*N($H1147),2))</f>
        <v/>
      </c>
      <c r="J1147" s="17">
        <f>IF($C1147="","",IFERROR(VLOOKUP($C1147,项目台账!$B:$C,2,0),"※项目不在项目台账里"))</f>
        <v/>
      </c>
      <c r="K1147" s="13" t="n"/>
    </row>
    <row r="1148">
      <c r="A1148" s="17">
        <f>IF($C1148="","",ROW()-3)</f>
        <v/>
      </c>
      <c r="B1148" s="18" t="n"/>
      <c r="C1148" s="13" t="n"/>
      <c r="D1148" s="13" t="n"/>
      <c r="E1148" s="13" t="n"/>
      <c r="F1148" s="13" t="n"/>
      <c r="G1148" s="20" t="n"/>
      <c r="H1148" s="14" t="n"/>
      <c r="I1148" s="19">
        <f>IF($C1148="","",ROUND(IF($G1148="",1,$G1148)*N($H1148),2))</f>
        <v/>
      </c>
      <c r="J1148" s="17">
        <f>IF($C1148="","",IFERROR(VLOOKUP($C1148,项目台账!$B:$C,2,0),"※项目不在项目台账里"))</f>
        <v/>
      </c>
      <c r="K1148" s="13" t="n"/>
    </row>
    <row r="1149">
      <c r="A1149" s="17">
        <f>IF($C1149="","",ROW()-3)</f>
        <v/>
      </c>
      <c r="B1149" s="18" t="n"/>
      <c r="C1149" s="13" t="n"/>
      <c r="D1149" s="13" t="n"/>
      <c r="E1149" s="13" t="n"/>
      <c r="F1149" s="13" t="n"/>
      <c r="G1149" s="20" t="n"/>
      <c r="H1149" s="14" t="n"/>
      <c r="I1149" s="19">
        <f>IF($C1149="","",ROUND(IF($G1149="",1,$G1149)*N($H1149),2))</f>
        <v/>
      </c>
      <c r="J1149" s="17">
        <f>IF($C1149="","",IFERROR(VLOOKUP($C1149,项目台账!$B:$C,2,0),"※项目不在项目台账里"))</f>
        <v/>
      </c>
      <c r="K1149" s="13" t="n"/>
    </row>
    <row r="1150">
      <c r="A1150" s="17">
        <f>IF($C1150="","",ROW()-3)</f>
        <v/>
      </c>
      <c r="B1150" s="18" t="n"/>
      <c r="C1150" s="13" t="n"/>
      <c r="D1150" s="13" t="n"/>
      <c r="E1150" s="13" t="n"/>
      <c r="F1150" s="13" t="n"/>
      <c r="G1150" s="20" t="n"/>
      <c r="H1150" s="14" t="n"/>
      <c r="I1150" s="19">
        <f>IF($C1150="","",ROUND(IF($G1150="",1,$G1150)*N($H1150),2))</f>
        <v/>
      </c>
      <c r="J1150" s="17">
        <f>IF($C1150="","",IFERROR(VLOOKUP($C1150,项目台账!$B:$C,2,0),"※项目不在项目台账里"))</f>
        <v/>
      </c>
      <c r="K1150" s="13" t="n"/>
    </row>
    <row r="1151">
      <c r="A1151" s="17">
        <f>IF($C1151="","",ROW()-3)</f>
        <v/>
      </c>
      <c r="B1151" s="18" t="n"/>
      <c r="C1151" s="13" t="n"/>
      <c r="D1151" s="13" t="n"/>
      <c r="E1151" s="13" t="n"/>
      <c r="F1151" s="13" t="n"/>
      <c r="G1151" s="20" t="n"/>
      <c r="H1151" s="14" t="n"/>
      <c r="I1151" s="19">
        <f>IF($C1151="","",ROUND(IF($G1151="",1,$G1151)*N($H1151),2))</f>
        <v/>
      </c>
      <c r="J1151" s="17">
        <f>IF($C1151="","",IFERROR(VLOOKUP($C1151,项目台账!$B:$C,2,0),"※项目不在项目台账里"))</f>
        <v/>
      </c>
      <c r="K1151" s="13" t="n"/>
    </row>
    <row r="1152">
      <c r="A1152" s="17">
        <f>IF($C1152="","",ROW()-3)</f>
        <v/>
      </c>
      <c r="B1152" s="18" t="n"/>
      <c r="C1152" s="13" t="n"/>
      <c r="D1152" s="13" t="n"/>
      <c r="E1152" s="13" t="n"/>
      <c r="F1152" s="13" t="n"/>
      <c r="G1152" s="20" t="n"/>
      <c r="H1152" s="14" t="n"/>
      <c r="I1152" s="19">
        <f>IF($C1152="","",ROUND(IF($G1152="",1,$G1152)*N($H1152),2))</f>
        <v/>
      </c>
      <c r="J1152" s="17">
        <f>IF($C1152="","",IFERROR(VLOOKUP($C1152,项目台账!$B:$C,2,0),"※项目不在项目台账里"))</f>
        <v/>
      </c>
      <c r="K1152" s="13" t="n"/>
    </row>
    <row r="1153">
      <c r="A1153" s="17">
        <f>IF($C1153="","",ROW()-3)</f>
        <v/>
      </c>
      <c r="B1153" s="18" t="n"/>
      <c r="C1153" s="13" t="n"/>
      <c r="D1153" s="13" t="n"/>
      <c r="E1153" s="13" t="n"/>
      <c r="F1153" s="13" t="n"/>
      <c r="G1153" s="20" t="n"/>
      <c r="H1153" s="14" t="n"/>
      <c r="I1153" s="19">
        <f>IF($C1153="","",ROUND(IF($G1153="",1,$G1153)*N($H1153),2))</f>
        <v/>
      </c>
      <c r="J1153" s="17">
        <f>IF($C1153="","",IFERROR(VLOOKUP($C1153,项目台账!$B:$C,2,0),"※项目不在项目台账里"))</f>
        <v/>
      </c>
      <c r="K1153" s="13" t="n"/>
    </row>
    <row r="1154">
      <c r="A1154" s="17">
        <f>IF($C1154="","",ROW()-3)</f>
        <v/>
      </c>
      <c r="B1154" s="18" t="n"/>
      <c r="C1154" s="13" t="n"/>
      <c r="D1154" s="13" t="n"/>
      <c r="E1154" s="13" t="n"/>
      <c r="F1154" s="13" t="n"/>
      <c r="G1154" s="20" t="n"/>
      <c r="H1154" s="14" t="n"/>
      <c r="I1154" s="19">
        <f>IF($C1154="","",ROUND(IF($G1154="",1,$G1154)*N($H1154),2))</f>
        <v/>
      </c>
      <c r="J1154" s="17">
        <f>IF($C1154="","",IFERROR(VLOOKUP($C1154,项目台账!$B:$C,2,0),"※项目不在项目台账里"))</f>
        <v/>
      </c>
      <c r="K1154" s="13" t="n"/>
    </row>
    <row r="1155">
      <c r="A1155" s="17">
        <f>IF($C1155="","",ROW()-3)</f>
        <v/>
      </c>
      <c r="B1155" s="18" t="n"/>
      <c r="C1155" s="13" t="n"/>
      <c r="D1155" s="13" t="n"/>
      <c r="E1155" s="13" t="n"/>
      <c r="F1155" s="13" t="n"/>
      <c r="G1155" s="20" t="n"/>
      <c r="H1155" s="14" t="n"/>
      <c r="I1155" s="19">
        <f>IF($C1155="","",ROUND(IF($G1155="",1,$G1155)*N($H1155),2))</f>
        <v/>
      </c>
      <c r="J1155" s="17">
        <f>IF($C1155="","",IFERROR(VLOOKUP($C1155,项目台账!$B:$C,2,0),"※项目不在项目台账里"))</f>
        <v/>
      </c>
      <c r="K1155" s="13" t="n"/>
    </row>
    <row r="1156">
      <c r="A1156" s="17">
        <f>IF($C1156="","",ROW()-3)</f>
        <v/>
      </c>
      <c r="B1156" s="18" t="n"/>
      <c r="C1156" s="13" t="n"/>
      <c r="D1156" s="13" t="n"/>
      <c r="E1156" s="13" t="n"/>
      <c r="F1156" s="13" t="n"/>
      <c r="G1156" s="20" t="n"/>
      <c r="H1156" s="14" t="n"/>
      <c r="I1156" s="19">
        <f>IF($C1156="","",ROUND(IF($G1156="",1,$G1156)*N($H1156),2))</f>
        <v/>
      </c>
      <c r="J1156" s="17">
        <f>IF($C1156="","",IFERROR(VLOOKUP($C1156,项目台账!$B:$C,2,0),"※项目不在项目台账里"))</f>
        <v/>
      </c>
      <c r="K1156" s="13" t="n"/>
    </row>
    <row r="1157">
      <c r="A1157" s="17">
        <f>IF($C1157="","",ROW()-3)</f>
        <v/>
      </c>
      <c r="B1157" s="18" t="n"/>
      <c r="C1157" s="13" t="n"/>
      <c r="D1157" s="13" t="n"/>
      <c r="E1157" s="13" t="n"/>
      <c r="F1157" s="13" t="n"/>
      <c r="G1157" s="20" t="n"/>
      <c r="H1157" s="14" t="n"/>
      <c r="I1157" s="19">
        <f>IF($C1157="","",ROUND(IF($G1157="",1,$G1157)*N($H1157),2))</f>
        <v/>
      </c>
      <c r="J1157" s="17">
        <f>IF($C1157="","",IFERROR(VLOOKUP($C1157,项目台账!$B:$C,2,0),"※项目不在项目台账里"))</f>
        <v/>
      </c>
      <c r="K1157" s="13" t="n"/>
    </row>
    <row r="1158">
      <c r="A1158" s="17">
        <f>IF($C1158="","",ROW()-3)</f>
        <v/>
      </c>
      <c r="B1158" s="18" t="n"/>
      <c r="C1158" s="13" t="n"/>
      <c r="D1158" s="13" t="n"/>
      <c r="E1158" s="13" t="n"/>
      <c r="F1158" s="13" t="n"/>
      <c r="G1158" s="20" t="n"/>
      <c r="H1158" s="14" t="n"/>
      <c r="I1158" s="19">
        <f>IF($C1158="","",ROUND(IF($G1158="",1,$G1158)*N($H1158),2))</f>
        <v/>
      </c>
      <c r="J1158" s="17">
        <f>IF($C1158="","",IFERROR(VLOOKUP($C1158,项目台账!$B:$C,2,0),"※项目不在项目台账里"))</f>
        <v/>
      </c>
      <c r="K1158" s="13" t="n"/>
    </row>
    <row r="1159">
      <c r="A1159" s="17">
        <f>IF($C1159="","",ROW()-3)</f>
        <v/>
      </c>
      <c r="B1159" s="18" t="n"/>
      <c r="C1159" s="13" t="n"/>
      <c r="D1159" s="13" t="n"/>
      <c r="E1159" s="13" t="n"/>
      <c r="F1159" s="13" t="n"/>
      <c r="G1159" s="20" t="n"/>
      <c r="H1159" s="14" t="n"/>
      <c r="I1159" s="19">
        <f>IF($C1159="","",ROUND(IF($G1159="",1,$G1159)*N($H1159),2))</f>
        <v/>
      </c>
      <c r="J1159" s="17">
        <f>IF($C1159="","",IFERROR(VLOOKUP($C1159,项目台账!$B:$C,2,0),"※项目不在项目台账里"))</f>
        <v/>
      </c>
      <c r="K1159" s="13" t="n"/>
    </row>
    <row r="1160">
      <c r="A1160" s="17">
        <f>IF($C1160="","",ROW()-3)</f>
        <v/>
      </c>
      <c r="B1160" s="18" t="n"/>
      <c r="C1160" s="13" t="n"/>
      <c r="D1160" s="13" t="n"/>
      <c r="E1160" s="13" t="n"/>
      <c r="F1160" s="13" t="n"/>
      <c r="G1160" s="20" t="n"/>
      <c r="H1160" s="14" t="n"/>
      <c r="I1160" s="19">
        <f>IF($C1160="","",ROUND(IF($G1160="",1,$G1160)*N($H1160),2))</f>
        <v/>
      </c>
      <c r="J1160" s="17">
        <f>IF($C1160="","",IFERROR(VLOOKUP($C1160,项目台账!$B:$C,2,0),"※项目不在项目台账里"))</f>
        <v/>
      </c>
      <c r="K1160" s="13" t="n"/>
    </row>
    <row r="1161">
      <c r="A1161" s="17">
        <f>IF($C1161="","",ROW()-3)</f>
        <v/>
      </c>
      <c r="B1161" s="18" t="n"/>
      <c r="C1161" s="13" t="n"/>
      <c r="D1161" s="13" t="n"/>
      <c r="E1161" s="13" t="n"/>
      <c r="F1161" s="13" t="n"/>
      <c r="G1161" s="20" t="n"/>
      <c r="H1161" s="14" t="n"/>
      <c r="I1161" s="19">
        <f>IF($C1161="","",ROUND(IF($G1161="",1,$G1161)*N($H1161),2))</f>
        <v/>
      </c>
      <c r="J1161" s="17">
        <f>IF($C1161="","",IFERROR(VLOOKUP($C1161,项目台账!$B:$C,2,0),"※项目不在项目台账里"))</f>
        <v/>
      </c>
      <c r="K1161" s="13" t="n"/>
    </row>
    <row r="1162">
      <c r="A1162" s="17">
        <f>IF($C1162="","",ROW()-3)</f>
        <v/>
      </c>
      <c r="B1162" s="18" t="n"/>
      <c r="C1162" s="13" t="n"/>
      <c r="D1162" s="13" t="n"/>
      <c r="E1162" s="13" t="n"/>
      <c r="F1162" s="13" t="n"/>
      <c r="G1162" s="20" t="n"/>
      <c r="H1162" s="14" t="n"/>
      <c r="I1162" s="19">
        <f>IF($C1162="","",ROUND(IF($G1162="",1,$G1162)*N($H1162),2))</f>
        <v/>
      </c>
      <c r="J1162" s="17">
        <f>IF($C1162="","",IFERROR(VLOOKUP($C1162,项目台账!$B:$C,2,0),"※项目不在项目台账里"))</f>
        <v/>
      </c>
      <c r="K1162" s="13" t="n"/>
    </row>
    <row r="1163">
      <c r="A1163" s="17">
        <f>IF($C1163="","",ROW()-3)</f>
        <v/>
      </c>
      <c r="B1163" s="18" t="n"/>
      <c r="C1163" s="13" t="n"/>
      <c r="D1163" s="13" t="n"/>
      <c r="E1163" s="13" t="n"/>
      <c r="F1163" s="13" t="n"/>
      <c r="G1163" s="20" t="n"/>
      <c r="H1163" s="14" t="n"/>
      <c r="I1163" s="19">
        <f>IF($C1163="","",ROUND(IF($G1163="",1,$G1163)*N($H1163),2))</f>
        <v/>
      </c>
      <c r="J1163" s="17">
        <f>IF($C1163="","",IFERROR(VLOOKUP($C1163,项目台账!$B:$C,2,0),"※项目不在项目台账里"))</f>
        <v/>
      </c>
      <c r="K1163" s="13" t="n"/>
    </row>
    <row r="1164">
      <c r="A1164" s="17">
        <f>IF($C1164="","",ROW()-3)</f>
        <v/>
      </c>
      <c r="B1164" s="18" t="n"/>
      <c r="C1164" s="13" t="n"/>
      <c r="D1164" s="13" t="n"/>
      <c r="E1164" s="13" t="n"/>
      <c r="F1164" s="13" t="n"/>
      <c r="G1164" s="20" t="n"/>
      <c r="H1164" s="14" t="n"/>
      <c r="I1164" s="19">
        <f>IF($C1164="","",ROUND(IF($G1164="",1,$G1164)*N($H1164),2))</f>
        <v/>
      </c>
      <c r="J1164" s="17">
        <f>IF($C1164="","",IFERROR(VLOOKUP($C1164,项目台账!$B:$C,2,0),"※项目不在项目台账里"))</f>
        <v/>
      </c>
      <c r="K1164" s="13" t="n"/>
    </row>
    <row r="1165">
      <c r="A1165" s="17">
        <f>IF($C1165="","",ROW()-3)</f>
        <v/>
      </c>
      <c r="B1165" s="18" t="n"/>
      <c r="C1165" s="13" t="n"/>
      <c r="D1165" s="13" t="n"/>
      <c r="E1165" s="13" t="n"/>
      <c r="F1165" s="13" t="n"/>
      <c r="G1165" s="20" t="n"/>
      <c r="H1165" s="14" t="n"/>
      <c r="I1165" s="19">
        <f>IF($C1165="","",ROUND(IF($G1165="",1,$G1165)*N($H1165),2))</f>
        <v/>
      </c>
      <c r="J1165" s="17">
        <f>IF($C1165="","",IFERROR(VLOOKUP($C1165,项目台账!$B:$C,2,0),"※项目不在项目台账里"))</f>
        <v/>
      </c>
      <c r="K1165" s="13" t="n"/>
    </row>
    <row r="1166">
      <c r="A1166" s="17">
        <f>IF($C1166="","",ROW()-3)</f>
        <v/>
      </c>
      <c r="B1166" s="18" t="n"/>
      <c r="C1166" s="13" t="n"/>
      <c r="D1166" s="13" t="n"/>
      <c r="E1166" s="13" t="n"/>
      <c r="F1166" s="13" t="n"/>
      <c r="G1166" s="20" t="n"/>
      <c r="H1166" s="14" t="n"/>
      <c r="I1166" s="19">
        <f>IF($C1166="","",ROUND(IF($G1166="",1,$G1166)*N($H1166),2))</f>
        <v/>
      </c>
      <c r="J1166" s="17">
        <f>IF($C1166="","",IFERROR(VLOOKUP($C1166,项目台账!$B:$C,2,0),"※项目不在项目台账里"))</f>
        <v/>
      </c>
      <c r="K1166" s="13" t="n"/>
    </row>
    <row r="1167">
      <c r="A1167" s="17">
        <f>IF($C1167="","",ROW()-3)</f>
        <v/>
      </c>
      <c r="B1167" s="18" t="n"/>
      <c r="C1167" s="13" t="n"/>
      <c r="D1167" s="13" t="n"/>
      <c r="E1167" s="13" t="n"/>
      <c r="F1167" s="13" t="n"/>
      <c r="G1167" s="20" t="n"/>
      <c r="H1167" s="14" t="n"/>
      <c r="I1167" s="19">
        <f>IF($C1167="","",ROUND(IF($G1167="",1,$G1167)*N($H1167),2))</f>
        <v/>
      </c>
      <c r="J1167" s="17">
        <f>IF($C1167="","",IFERROR(VLOOKUP($C1167,项目台账!$B:$C,2,0),"※项目不在项目台账里"))</f>
        <v/>
      </c>
      <c r="K1167" s="13" t="n"/>
    </row>
    <row r="1168">
      <c r="A1168" s="17">
        <f>IF($C1168="","",ROW()-3)</f>
        <v/>
      </c>
      <c r="B1168" s="18" t="n"/>
      <c r="C1168" s="13" t="n"/>
      <c r="D1168" s="13" t="n"/>
      <c r="E1168" s="13" t="n"/>
      <c r="F1168" s="13" t="n"/>
      <c r="G1168" s="20" t="n"/>
      <c r="H1168" s="14" t="n"/>
      <c r="I1168" s="19">
        <f>IF($C1168="","",ROUND(IF($G1168="",1,$G1168)*N($H1168),2))</f>
        <v/>
      </c>
      <c r="J1168" s="17">
        <f>IF($C1168="","",IFERROR(VLOOKUP($C1168,项目台账!$B:$C,2,0),"※项目不在项目台账里"))</f>
        <v/>
      </c>
      <c r="K1168" s="13" t="n"/>
    </row>
    <row r="1169">
      <c r="A1169" s="17">
        <f>IF($C1169="","",ROW()-3)</f>
        <v/>
      </c>
      <c r="B1169" s="18" t="n"/>
      <c r="C1169" s="13" t="n"/>
      <c r="D1169" s="13" t="n"/>
      <c r="E1169" s="13" t="n"/>
      <c r="F1169" s="13" t="n"/>
      <c r="G1169" s="20" t="n"/>
      <c r="H1169" s="14" t="n"/>
      <c r="I1169" s="19">
        <f>IF($C1169="","",ROUND(IF($G1169="",1,$G1169)*N($H1169),2))</f>
        <v/>
      </c>
      <c r="J1169" s="17">
        <f>IF($C1169="","",IFERROR(VLOOKUP($C1169,项目台账!$B:$C,2,0),"※项目不在项目台账里"))</f>
        <v/>
      </c>
      <c r="K1169" s="13" t="n"/>
    </row>
    <row r="1170">
      <c r="A1170" s="17">
        <f>IF($C1170="","",ROW()-3)</f>
        <v/>
      </c>
      <c r="B1170" s="18" t="n"/>
      <c r="C1170" s="13" t="n"/>
      <c r="D1170" s="13" t="n"/>
      <c r="E1170" s="13" t="n"/>
      <c r="F1170" s="13" t="n"/>
      <c r="G1170" s="20" t="n"/>
      <c r="H1170" s="14" t="n"/>
      <c r="I1170" s="19">
        <f>IF($C1170="","",ROUND(IF($G1170="",1,$G1170)*N($H1170),2))</f>
        <v/>
      </c>
      <c r="J1170" s="17">
        <f>IF($C1170="","",IFERROR(VLOOKUP($C1170,项目台账!$B:$C,2,0),"※项目不在项目台账里"))</f>
        <v/>
      </c>
      <c r="K1170" s="13" t="n"/>
    </row>
    <row r="1171">
      <c r="A1171" s="17">
        <f>IF($C1171="","",ROW()-3)</f>
        <v/>
      </c>
      <c r="B1171" s="18" t="n"/>
      <c r="C1171" s="13" t="n"/>
      <c r="D1171" s="13" t="n"/>
      <c r="E1171" s="13" t="n"/>
      <c r="F1171" s="13" t="n"/>
      <c r="G1171" s="20" t="n"/>
      <c r="H1171" s="14" t="n"/>
      <c r="I1171" s="19">
        <f>IF($C1171="","",ROUND(IF($G1171="",1,$G1171)*N($H1171),2))</f>
        <v/>
      </c>
      <c r="J1171" s="17">
        <f>IF($C1171="","",IFERROR(VLOOKUP($C1171,项目台账!$B:$C,2,0),"※项目不在项目台账里"))</f>
        <v/>
      </c>
      <c r="K1171" s="13" t="n"/>
    </row>
    <row r="1172">
      <c r="A1172" s="17">
        <f>IF($C1172="","",ROW()-3)</f>
        <v/>
      </c>
      <c r="B1172" s="18" t="n"/>
      <c r="C1172" s="13" t="n"/>
      <c r="D1172" s="13" t="n"/>
      <c r="E1172" s="13" t="n"/>
      <c r="F1172" s="13" t="n"/>
      <c r="G1172" s="20" t="n"/>
      <c r="H1172" s="14" t="n"/>
      <c r="I1172" s="19">
        <f>IF($C1172="","",ROUND(IF($G1172="",1,$G1172)*N($H1172),2))</f>
        <v/>
      </c>
      <c r="J1172" s="17">
        <f>IF($C1172="","",IFERROR(VLOOKUP($C1172,项目台账!$B:$C,2,0),"※项目不在项目台账里"))</f>
        <v/>
      </c>
      <c r="K1172" s="13" t="n"/>
    </row>
    <row r="1173">
      <c r="A1173" s="17">
        <f>IF($C1173="","",ROW()-3)</f>
        <v/>
      </c>
      <c r="B1173" s="18" t="n"/>
      <c r="C1173" s="13" t="n"/>
      <c r="D1173" s="13" t="n"/>
      <c r="E1173" s="13" t="n"/>
      <c r="F1173" s="13" t="n"/>
      <c r="G1173" s="20" t="n"/>
      <c r="H1173" s="14" t="n"/>
      <c r="I1173" s="19">
        <f>IF($C1173="","",ROUND(IF($G1173="",1,$G1173)*N($H1173),2))</f>
        <v/>
      </c>
      <c r="J1173" s="17">
        <f>IF($C1173="","",IFERROR(VLOOKUP($C1173,项目台账!$B:$C,2,0),"※项目不在项目台账里"))</f>
        <v/>
      </c>
      <c r="K1173" s="13" t="n"/>
    </row>
    <row r="1174">
      <c r="A1174" s="17">
        <f>IF($C1174="","",ROW()-3)</f>
        <v/>
      </c>
      <c r="B1174" s="18" t="n"/>
      <c r="C1174" s="13" t="n"/>
      <c r="D1174" s="13" t="n"/>
      <c r="E1174" s="13" t="n"/>
      <c r="F1174" s="13" t="n"/>
      <c r="G1174" s="20" t="n"/>
      <c r="H1174" s="14" t="n"/>
      <c r="I1174" s="19">
        <f>IF($C1174="","",ROUND(IF($G1174="",1,$G1174)*N($H1174),2))</f>
        <v/>
      </c>
      <c r="J1174" s="17">
        <f>IF($C1174="","",IFERROR(VLOOKUP($C1174,项目台账!$B:$C,2,0),"※项目不在项目台账里"))</f>
        <v/>
      </c>
      <c r="K1174" s="13" t="n"/>
    </row>
    <row r="1175">
      <c r="A1175" s="17">
        <f>IF($C1175="","",ROW()-3)</f>
        <v/>
      </c>
      <c r="B1175" s="18" t="n"/>
      <c r="C1175" s="13" t="n"/>
      <c r="D1175" s="13" t="n"/>
      <c r="E1175" s="13" t="n"/>
      <c r="F1175" s="13" t="n"/>
      <c r="G1175" s="20" t="n"/>
      <c r="H1175" s="14" t="n"/>
      <c r="I1175" s="19">
        <f>IF($C1175="","",ROUND(IF($G1175="",1,$G1175)*N($H1175),2))</f>
        <v/>
      </c>
      <c r="J1175" s="17">
        <f>IF($C1175="","",IFERROR(VLOOKUP($C1175,项目台账!$B:$C,2,0),"※项目不在项目台账里"))</f>
        <v/>
      </c>
      <c r="K1175" s="13" t="n"/>
    </row>
    <row r="1176">
      <c r="A1176" s="17">
        <f>IF($C1176="","",ROW()-3)</f>
        <v/>
      </c>
      <c r="B1176" s="18" t="n"/>
      <c r="C1176" s="13" t="n"/>
      <c r="D1176" s="13" t="n"/>
      <c r="E1176" s="13" t="n"/>
      <c r="F1176" s="13" t="n"/>
      <c r="G1176" s="20" t="n"/>
      <c r="H1176" s="14" t="n"/>
      <c r="I1176" s="19">
        <f>IF($C1176="","",ROUND(IF($G1176="",1,$G1176)*N($H1176),2))</f>
        <v/>
      </c>
      <c r="J1176" s="17">
        <f>IF($C1176="","",IFERROR(VLOOKUP($C1176,项目台账!$B:$C,2,0),"※项目不在项目台账里"))</f>
        <v/>
      </c>
      <c r="K1176" s="13" t="n"/>
    </row>
    <row r="1177">
      <c r="A1177" s="17">
        <f>IF($C1177="","",ROW()-3)</f>
        <v/>
      </c>
      <c r="B1177" s="18" t="n"/>
      <c r="C1177" s="13" t="n"/>
      <c r="D1177" s="13" t="n"/>
      <c r="E1177" s="13" t="n"/>
      <c r="F1177" s="13" t="n"/>
      <c r="G1177" s="20" t="n"/>
      <c r="H1177" s="14" t="n"/>
      <c r="I1177" s="19">
        <f>IF($C1177="","",ROUND(IF($G1177="",1,$G1177)*N($H1177),2))</f>
        <v/>
      </c>
      <c r="J1177" s="17">
        <f>IF($C1177="","",IFERROR(VLOOKUP($C1177,项目台账!$B:$C,2,0),"※项目不在项目台账里"))</f>
        <v/>
      </c>
      <c r="K1177" s="13" t="n"/>
    </row>
    <row r="1178">
      <c r="A1178" s="17">
        <f>IF($C1178="","",ROW()-3)</f>
        <v/>
      </c>
      <c r="B1178" s="18" t="n"/>
      <c r="C1178" s="13" t="n"/>
      <c r="D1178" s="13" t="n"/>
      <c r="E1178" s="13" t="n"/>
      <c r="F1178" s="13" t="n"/>
      <c r="G1178" s="20" t="n"/>
      <c r="H1178" s="14" t="n"/>
      <c r="I1178" s="19">
        <f>IF($C1178="","",ROUND(IF($G1178="",1,$G1178)*N($H1178),2))</f>
        <v/>
      </c>
      <c r="J1178" s="17">
        <f>IF($C1178="","",IFERROR(VLOOKUP($C1178,项目台账!$B:$C,2,0),"※项目不在项目台账里"))</f>
        <v/>
      </c>
      <c r="K1178" s="13" t="n"/>
    </row>
    <row r="1179">
      <c r="A1179" s="17">
        <f>IF($C1179="","",ROW()-3)</f>
        <v/>
      </c>
      <c r="B1179" s="18" t="n"/>
      <c r="C1179" s="13" t="n"/>
      <c r="D1179" s="13" t="n"/>
      <c r="E1179" s="13" t="n"/>
      <c r="F1179" s="13" t="n"/>
      <c r="G1179" s="20" t="n"/>
      <c r="H1179" s="14" t="n"/>
      <c r="I1179" s="19">
        <f>IF($C1179="","",ROUND(IF($G1179="",1,$G1179)*N($H1179),2))</f>
        <v/>
      </c>
      <c r="J1179" s="17">
        <f>IF($C1179="","",IFERROR(VLOOKUP($C1179,项目台账!$B:$C,2,0),"※项目不在项目台账里"))</f>
        <v/>
      </c>
      <c r="K1179" s="13" t="n"/>
    </row>
    <row r="1180">
      <c r="A1180" s="17">
        <f>IF($C1180="","",ROW()-3)</f>
        <v/>
      </c>
      <c r="B1180" s="18" t="n"/>
      <c r="C1180" s="13" t="n"/>
      <c r="D1180" s="13" t="n"/>
      <c r="E1180" s="13" t="n"/>
      <c r="F1180" s="13" t="n"/>
      <c r="G1180" s="20" t="n"/>
      <c r="H1180" s="14" t="n"/>
      <c r="I1180" s="19">
        <f>IF($C1180="","",ROUND(IF($G1180="",1,$G1180)*N($H1180),2))</f>
        <v/>
      </c>
      <c r="J1180" s="17">
        <f>IF($C1180="","",IFERROR(VLOOKUP($C1180,项目台账!$B:$C,2,0),"※项目不在项目台账里"))</f>
        <v/>
      </c>
      <c r="K1180" s="13" t="n"/>
    </row>
    <row r="1181">
      <c r="A1181" s="17">
        <f>IF($C1181="","",ROW()-3)</f>
        <v/>
      </c>
      <c r="B1181" s="18" t="n"/>
      <c r="C1181" s="13" t="n"/>
      <c r="D1181" s="13" t="n"/>
      <c r="E1181" s="13" t="n"/>
      <c r="F1181" s="13" t="n"/>
      <c r="G1181" s="20" t="n"/>
      <c r="H1181" s="14" t="n"/>
      <c r="I1181" s="19">
        <f>IF($C1181="","",ROUND(IF($G1181="",1,$G1181)*N($H1181),2))</f>
        <v/>
      </c>
      <c r="J1181" s="17">
        <f>IF($C1181="","",IFERROR(VLOOKUP($C1181,项目台账!$B:$C,2,0),"※项目不在项目台账里"))</f>
        <v/>
      </c>
      <c r="K1181" s="13" t="n"/>
    </row>
    <row r="1182">
      <c r="A1182" s="17">
        <f>IF($C1182="","",ROW()-3)</f>
        <v/>
      </c>
      <c r="B1182" s="18" t="n"/>
      <c r="C1182" s="13" t="n"/>
      <c r="D1182" s="13" t="n"/>
      <c r="E1182" s="13" t="n"/>
      <c r="F1182" s="13" t="n"/>
      <c r="G1182" s="20" t="n"/>
      <c r="H1182" s="14" t="n"/>
      <c r="I1182" s="19">
        <f>IF($C1182="","",ROUND(IF($G1182="",1,$G1182)*N($H1182),2))</f>
        <v/>
      </c>
      <c r="J1182" s="17">
        <f>IF($C1182="","",IFERROR(VLOOKUP($C1182,项目台账!$B:$C,2,0),"※项目不在项目台账里"))</f>
        <v/>
      </c>
      <c r="K1182" s="13" t="n"/>
    </row>
    <row r="1183">
      <c r="A1183" s="17">
        <f>IF($C1183="","",ROW()-3)</f>
        <v/>
      </c>
      <c r="B1183" s="18" t="n"/>
      <c r="C1183" s="13" t="n"/>
      <c r="D1183" s="13" t="n"/>
      <c r="E1183" s="13" t="n"/>
      <c r="F1183" s="13" t="n"/>
      <c r="G1183" s="20" t="n"/>
      <c r="H1183" s="14" t="n"/>
      <c r="I1183" s="19">
        <f>IF($C1183="","",ROUND(IF($G1183="",1,$G1183)*N($H1183),2))</f>
        <v/>
      </c>
      <c r="J1183" s="17">
        <f>IF($C1183="","",IFERROR(VLOOKUP($C1183,项目台账!$B:$C,2,0),"※项目不在项目台账里"))</f>
        <v/>
      </c>
      <c r="K1183" s="13" t="n"/>
    </row>
    <row r="1184">
      <c r="A1184" s="17">
        <f>IF($C1184="","",ROW()-3)</f>
        <v/>
      </c>
      <c r="B1184" s="18" t="n"/>
      <c r="C1184" s="13" t="n"/>
      <c r="D1184" s="13" t="n"/>
      <c r="E1184" s="13" t="n"/>
      <c r="F1184" s="13" t="n"/>
      <c r="G1184" s="20" t="n"/>
      <c r="H1184" s="14" t="n"/>
      <c r="I1184" s="19">
        <f>IF($C1184="","",ROUND(IF($G1184="",1,$G1184)*N($H1184),2))</f>
        <v/>
      </c>
      <c r="J1184" s="17">
        <f>IF($C1184="","",IFERROR(VLOOKUP($C1184,项目台账!$B:$C,2,0),"※项目不在项目台账里"))</f>
        <v/>
      </c>
      <c r="K1184" s="13" t="n"/>
    </row>
    <row r="1185">
      <c r="A1185" s="17">
        <f>IF($C1185="","",ROW()-3)</f>
        <v/>
      </c>
      <c r="B1185" s="18" t="n"/>
      <c r="C1185" s="13" t="n"/>
      <c r="D1185" s="13" t="n"/>
      <c r="E1185" s="13" t="n"/>
      <c r="F1185" s="13" t="n"/>
      <c r="G1185" s="20" t="n"/>
      <c r="H1185" s="14" t="n"/>
      <c r="I1185" s="19">
        <f>IF($C1185="","",ROUND(IF($G1185="",1,$G1185)*N($H1185),2))</f>
        <v/>
      </c>
      <c r="J1185" s="17">
        <f>IF($C1185="","",IFERROR(VLOOKUP($C1185,项目台账!$B:$C,2,0),"※项目不在项目台账里"))</f>
        <v/>
      </c>
      <c r="K1185" s="13" t="n"/>
    </row>
    <row r="1186">
      <c r="A1186" s="17">
        <f>IF($C1186="","",ROW()-3)</f>
        <v/>
      </c>
      <c r="B1186" s="18" t="n"/>
      <c r="C1186" s="13" t="n"/>
      <c r="D1186" s="13" t="n"/>
      <c r="E1186" s="13" t="n"/>
      <c r="F1186" s="13" t="n"/>
      <c r="G1186" s="20" t="n"/>
      <c r="H1186" s="14" t="n"/>
      <c r="I1186" s="19">
        <f>IF($C1186="","",ROUND(IF($G1186="",1,$G1186)*N($H1186),2))</f>
        <v/>
      </c>
      <c r="J1186" s="17">
        <f>IF($C1186="","",IFERROR(VLOOKUP($C1186,项目台账!$B:$C,2,0),"※项目不在项目台账里"))</f>
        <v/>
      </c>
      <c r="K1186" s="13" t="n"/>
    </row>
    <row r="1187">
      <c r="A1187" s="17">
        <f>IF($C1187="","",ROW()-3)</f>
        <v/>
      </c>
      <c r="B1187" s="18" t="n"/>
      <c r="C1187" s="13" t="n"/>
      <c r="D1187" s="13" t="n"/>
      <c r="E1187" s="13" t="n"/>
      <c r="F1187" s="13" t="n"/>
      <c r="G1187" s="20" t="n"/>
      <c r="H1187" s="14" t="n"/>
      <c r="I1187" s="19">
        <f>IF($C1187="","",ROUND(IF($G1187="",1,$G1187)*N($H1187),2))</f>
        <v/>
      </c>
      <c r="J1187" s="17">
        <f>IF($C1187="","",IFERROR(VLOOKUP($C1187,项目台账!$B:$C,2,0),"※项目不在项目台账里"))</f>
        <v/>
      </c>
      <c r="K1187" s="13" t="n"/>
    </row>
    <row r="1188">
      <c r="A1188" s="17">
        <f>IF($C1188="","",ROW()-3)</f>
        <v/>
      </c>
      <c r="B1188" s="18" t="n"/>
      <c r="C1188" s="13" t="n"/>
      <c r="D1188" s="13" t="n"/>
      <c r="E1188" s="13" t="n"/>
      <c r="F1188" s="13" t="n"/>
      <c r="G1188" s="20" t="n"/>
      <c r="H1188" s="14" t="n"/>
      <c r="I1188" s="19">
        <f>IF($C1188="","",ROUND(IF($G1188="",1,$G1188)*N($H1188),2))</f>
        <v/>
      </c>
      <c r="J1188" s="17">
        <f>IF($C1188="","",IFERROR(VLOOKUP($C1188,项目台账!$B:$C,2,0),"※项目不在项目台账里"))</f>
        <v/>
      </c>
      <c r="K1188" s="13" t="n"/>
    </row>
    <row r="1189">
      <c r="A1189" s="17">
        <f>IF($C1189="","",ROW()-3)</f>
        <v/>
      </c>
      <c r="B1189" s="18" t="n"/>
      <c r="C1189" s="13" t="n"/>
      <c r="D1189" s="13" t="n"/>
      <c r="E1189" s="13" t="n"/>
      <c r="F1189" s="13" t="n"/>
      <c r="G1189" s="20" t="n"/>
      <c r="H1189" s="14" t="n"/>
      <c r="I1189" s="19">
        <f>IF($C1189="","",ROUND(IF($G1189="",1,$G1189)*N($H1189),2))</f>
        <v/>
      </c>
      <c r="J1189" s="17">
        <f>IF($C1189="","",IFERROR(VLOOKUP($C1189,项目台账!$B:$C,2,0),"※项目不在项目台账里"))</f>
        <v/>
      </c>
      <c r="K1189" s="13" t="n"/>
    </row>
    <row r="1190">
      <c r="A1190" s="17">
        <f>IF($C1190="","",ROW()-3)</f>
        <v/>
      </c>
      <c r="B1190" s="18" t="n"/>
      <c r="C1190" s="13" t="n"/>
      <c r="D1190" s="13" t="n"/>
      <c r="E1190" s="13" t="n"/>
      <c r="F1190" s="13" t="n"/>
      <c r="G1190" s="20" t="n"/>
      <c r="H1190" s="14" t="n"/>
      <c r="I1190" s="19">
        <f>IF($C1190="","",ROUND(IF($G1190="",1,$G1190)*N($H1190),2))</f>
        <v/>
      </c>
      <c r="J1190" s="17">
        <f>IF($C1190="","",IFERROR(VLOOKUP($C1190,项目台账!$B:$C,2,0),"※项目不在项目台账里"))</f>
        <v/>
      </c>
      <c r="K1190" s="13" t="n"/>
    </row>
    <row r="1191">
      <c r="A1191" s="17">
        <f>IF($C1191="","",ROW()-3)</f>
        <v/>
      </c>
      <c r="B1191" s="18" t="n"/>
      <c r="C1191" s="13" t="n"/>
      <c r="D1191" s="13" t="n"/>
      <c r="E1191" s="13" t="n"/>
      <c r="F1191" s="13" t="n"/>
      <c r="G1191" s="20" t="n"/>
      <c r="H1191" s="14" t="n"/>
      <c r="I1191" s="19">
        <f>IF($C1191="","",ROUND(IF($G1191="",1,$G1191)*N($H1191),2))</f>
        <v/>
      </c>
      <c r="J1191" s="17">
        <f>IF($C1191="","",IFERROR(VLOOKUP($C1191,项目台账!$B:$C,2,0),"※项目不在项目台账里"))</f>
        <v/>
      </c>
      <c r="K1191" s="13" t="n"/>
    </row>
    <row r="1192">
      <c r="A1192" s="17">
        <f>IF($C1192="","",ROW()-3)</f>
        <v/>
      </c>
      <c r="B1192" s="18" t="n"/>
      <c r="C1192" s="13" t="n"/>
      <c r="D1192" s="13" t="n"/>
      <c r="E1192" s="13" t="n"/>
      <c r="F1192" s="13" t="n"/>
      <c r="G1192" s="20" t="n"/>
      <c r="H1192" s="14" t="n"/>
      <c r="I1192" s="19">
        <f>IF($C1192="","",ROUND(IF($G1192="",1,$G1192)*N($H1192),2))</f>
        <v/>
      </c>
      <c r="J1192" s="17">
        <f>IF($C1192="","",IFERROR(VLOOKUP($C1192,项目台账!$B:$C,2,0),"※项目不在项目台账里"))</f>
        <v/>
      </c>
      <c r="K1192" s="13" t="n"/>
    </row>
    <row r="1193">
      <c r="A1193" s="17">
        <f>IF($C1193="","",ROW()-3)</f>
        <v/>
      </c>
      <c r="B1193" s="18" t="n"/>
      <c r="C1193" s="13" t="n"/>
      <c r="D1193" s="13" t="n"/>
      <c r="E1193" s="13" t="n"/>
      <c r="F1193" s="13" t="n"/>
      <c r="G1193" s="20" t="n"/>
      <c r="H1193" s="14" t="n"/>
      <c r="I1193" s="19">
        <f>IF($C1193="","",ROUND(IF($G1193="",1,$G1193)*N($H1193),2))</f>
        <v/>
      </c>
      <c r="J1193" s="17">
        <f>IF($C1193="","",IFERROR(VLOOKUP($C1193,项目台账!$B:$C,2,0),"※项目不在项目台账里"))</f>
        <v/>
      </c>
      <c r="K1193" s="13" t="n"/>
    </row>
    <row r="1194">
      <c r="A1194" s="17">
        <f>IF($C1194="","",ROW()-3)</f>
        <v/>
      </c>
      <c r="B1194" s="18" t="n"/>
      <c r="C1194" s="13" t="n"/>
      <c r="D1194" s="13" t="n"/>
      <c r="E1194" s="13" t="n"/>
      <c r="F1194" s="13" t="n"/>
      <c r="G1194" s="20" t="n"/>
      <c r="H1194" s="14" t="n"/>
      <c r="I1194" s="19">
        <f>IF($C1194="","",ROUND(IF($G1194="",1,$G1194)*N($H1194),2))</f>
        <v/>
      </c>
      <c r="J1194" s="17">
        <f>IF($C1194="","",IFERROR(VLOOKUP($C1194,项目台账!$B:$C,2,0),"※项目不在项目台账里"))</f>
        <v/>
      </c>
      <c r="K1194" s="13" t="n"/>
    </row>
    <row r="1195">
      <c r="A1195" s="17">
        <f>IF($C1195="","",ROW()-3)</f>
        <v/>
      </c>
      <c r="B1195" s="18" t="n"/>
      <c r="C1195" s="13" t="n"/>
      <c r="D1195" s="13" t="n"/>
      <c r="E1195" s="13" t="n"/>
      <c r="F1195" s="13" t="n"/>
      <c r="G1195" s="20" t="n"/>
      <c r="H1195" s="14" t="n"/>
      <c r="I1195" s="19">
        <f>IF($C1195="","",ROUND(IF($G1195="",1,$G1195)*N($H1195),2))</f>
        <v/>
      </c>
      <c r="J1195" s="17">
        <f>IF($C1195="","",IFERROR(VLOOKUP($C1195,项目台账!$B:$C,2,0),"※项目不在项目台账里"))</f>
        <v/>
      </c>
      <c r="K1195" s="13" t="n"/>
    </row>
    <row r="1196">
      <c r="A1196" s="17">
        <f>IF($C1196="","",ROW()-3)</f>
        <v/>
      </c>
      <c r="B1196" s="18" t="n"/>
      <c r="C1196" s="13" t="n"/>
      <c r="D1196" s="13" t="n"/>
      <c r="E1196" s="13" t="n"/>
      <c r="F1196" s="13" t="n"/>
      <c r="G1196" s="20" t="n"/>
      <c r="H1196" s="14" t="n"/>
      <c r="I1196" s="19">
        <f>IF($C1196="","",ROUND(IF($G1196="",1,$G1196)*N($H1196),2))</f>
        <v/>
      </c>
      <c r="J1196" s="17">
        <f>IF($C1196="","",IFERROR(VLOOKUP($C1196,项目台账!$B:$C,2,0),"※项目不在项目台账里"))</f>
        <v/>
      </c>
      <c r="K1196" s="13" t="n"/>
    </row>
    <row r="1197">
      <c r="A1197" s="17">
        <f>IF($C1197="","",ROW()-3)</f>
        <v/>
      </c>
      <c r="B1197" s="18" t="n"/>
      <c r="C1197" s="13" t="n"/>
      <c r="D1197" s="13" t="n"/>
      <c r="E1197" s="13" t="n"/>
      <c r="F1197" s="13" t="n"/>
      <c r="G1197" s="20" t="n"/>
      <c r="H1197" s="14" t="n"/>
      <c r="I1197" s="19">
        <f>IF($C1197="","",ROUND(IF($G1197="",1,$G1197)*N($H1197),2))</f>
        <v/>
      </c>
      <c r="J1197" s="17">
        <f>IF($C1197="","",IFERROR(VLOOKUP($C1197,项目台账!$B:$C,2,0),"※项目不在项目台账里"))</f>
        <v/>
      </c>
      <c r="K1197" s="13" t="n"/>
    </row>
    <row r="1198">
      <c r="A1198" s="17">
        <f>IF($C1198="","",ROW()-3)</f>
        <v/>
      </c>
      <c r="B1198" s="18" t="n"/>
      <c r="C1198" s="13" t="n"/>
      <c r="D1198" s="13" t="n"/>
      <c r="E1198" s="13" t="n"/>
      <c r="F1198" s="13" t="n"/>
      <c r="G1198" s="20" t="n"/>
      <c r="H1198" s="14" t="n"/>
      <c r="I1198" s="19">
        <f>IF($C1198="","",ROUND(IF($G1198="",1,$G1198)*N($H1198),2))</f>
        <v/>
      </c>
      <c r="J1198" s="17">
        <f>IF($C1198="","",IFERROR(VLOOKUP($C1198,项目台账!$B:$C,2,0),"※项目不在项目台账里"))</f>
        <v/>
      </c>
      <c r="K1198" s="13" t="n"/>
    </row>
    <row r="1199">
      <c r="A1199" s="17">
        <f>IF($C1199="","",ROW()-3)</f>
        <v/>
      </c>
      <c r="B1199" s="18" t="n"/>
      <c r="C1199" s="13" t="n"/>
      <c r="D1199" s="13" t="n"/>
      <c r="E1199" s="13" t="n"/>
      <c r="F1199" s="13" t="n"/>
      <c r="G1199" s="20" t="n"/>
      <c r="H1199" s="14" t="n"/>
      <c r="I1199" s="19">
        <f>IF($C1199="","",ROUND(IF($G1199="",1,$G1199)*N($H1199),2))</f>
        <v/>
      </c>
      <c r="J1199" s="17">
        <f>IF($C1199="","",IFERROR(VLOOKUP($C1199,项目台账!$B:$C,2,0),"※项目不在项目台账里"))</f>
        <v/>
      </c>
      <c r="K1199" s="13" t="n"/>
    </row>
    <row r="1200">
      <c r="A1200" s="17">
        <f>IF($C1200="","",ROW()-3)</f>
        <v/>
      </c>
      <c r="B1200" s="18" t="n"/>
      <c r="C1200" s="13" t="n"/>
      <c r="D1200" s="13" t="n"/>
      <c r="E1200" s="13" t="n"/>
      <c r="F1200" s="13" t="n"/>
      <c r="G1200" s="20" t="n"/>
      <c r="H1200" s="14" t="n"/>
      <c r="I1200" s="19">
        <f>IF($C1200="","",ROUND(IF($G1200="",1,$G1200)*N($H1200),2))</f>
        <v/>
      </c>
      <c r="J1200" s="17">
        <f>IF($C1200="","",IFERROR(VLOOKUP($C1200,项目台账!$B:$C,2,0),"※项目不在项目台账里"))</f>
        <v/>
      </c>
      <c r="K1200" s="13" t="n"/>
    </row>
    <row r="1201">
      <c r="A1201" s="17">
        <f>IF($C1201="","",ROW()-3)</f>
        <v/>
      </c>
      <c r="B1201" s="18" t="n"/>
      <c r="C1201" s="13" t="n"/>
      <c r="D1201" s="13" t="n"/>
      <c r="E1201" s="13" t="n"/>
      <c r="F1201" s="13" t="n"/>
      <c r="G1201" s="20" t="n"/>
      <c r="H1201" s="14" t="n"/>
      <c r="I1201" s="19">
        <f>IF($C1201="","",ROUND(IF($G1201="",1,$G1201)*N($H1201),2))</f>
        <v/>
      </c>
      <c r="J1201" s="17">
        <f>IF($C1201="","",IFERROR(VLOOKUP($C1201,项目台账!$B:$C,2,0),"※项目不在项目台账里"))</f>
        <v/>
      </c>
      <c r="K1201" s="13" t="n"/>
    </row>
    <row r="1202">
      <c r="A1202" s="17">
        <f>IF($C1202="","",ROW()-3)</f>
        <v/>
      </c>
      <c r="B1202" s="18" t="n"/>
      <c r="C1202" s="13" t="n"/>
      <c r="D1202" s="13" t="n"/>
      <c r="E1202" s="13" t="n"/>
      <c r="F1202" s="13" t="n"/>
      <c r="G1202" s="20" t="n"/>
      <c r="H1202" s="14" t="n"/>
      <c r="I1202" s="19">
        <f>IF($C1202="","",ROUND(IF($G1202="",1,$G1202)*N($H1202),2))</f>
        <v/>
      </c>
      <c r="J1202" s="17">
        <f>IF($C1202="","",IFERROR(VLOOKUP($C1202,项目台账!$B:$C,2,0),"※项目不在项目台账里"))</f>
        <v/>
      </c>
      <c r="K1202" s="13" t="n"/>
    </row>
    <row r="1203">
      <c r="A1203" s="17">
        <f>IF($C1203="","",ROW()-3)</f>
        <v/>
      </c>
      <c r="B1203" s="18" t="n"/>
      <c r="C1203" s="13" t="n"/>
      <c r="D1203" s="13" t="n"/>
      <c r="E1203" s="13" t="n"/>
      <c r="F1203" s="13" t="n"/>
      <c r="G1203" s="20" t="n"/>
      <c r="H1203" s="14" t="n"/>
      <c r="I1203" s="19">
        <f>IF($C1203="","",ROUND(IF($G1203="",1,$G1203)*N($H1203),2))</f>
        <v/>
      </c>
      <c r="J1203" s="17">
        <f>IF($C1203="","",IFERROR(VLOOKUP($C1203,项目台账!$B:$C,2,0),"※项目不在项目台账里"))</f>
        <v/>
      </c>
      <c r="K1203" s="13" t="n"/>
    </row>
    <row r="1204">
      <c r="A1204" s="17">
        <f>IF($C1204="","",ROW()-3)</f>
        <v/>
      </c>
      <c r="B1204" s="18" t="n"/>
      <c r="C1204" s="13" t="n"/>
      <c r="D1204" s="13" t="n"/>
      <c r="E1204" s="13" t="n"/>
      <c r="F1204" s="13" t="n"/>
      <c r="G1204" s="20" t="n"/>
      <c r="H1204" s="14" t="n"/>
      <c r="I1204" s="19">
        <f>IF($C1204="","",ROUND(IF($G1204="",1,$G1204)*N($H1204),2))</f>
        <v/>
      </c>
      <c r="J1204" s="17">
        <f>IF($C1204="","",IFERROR(VLOOKUP($C1204,项目台账!$B:$C,2,0),"※项目不在项目台账里"))</f>
        <v/>
      </c>
      <c r="K1204" s="13" t="n"/>
    </row>
    <row r="1205">
      <c r="A1205" s="17">
        <f>IF($C1205="","",ROW()-3)</f>
        <v/>
      </c>
      <c r="B1205" s="18" t="n"/>
      <c r="C1205" s="13" t="n"/>
      <c r="D1205" s="13" t="n"/>
      <c r="E1205" s="13" t="n"/>
      <c r="F1205" s="13" t="n"/>
      <c r="G1205" s="20" t="n"/>
      <c r="H1205" s="14" t="n"/>
      <c r="I1205" s="19">
        <f>IF($C1205="","",ROUND(IF($G1205="",1,$G1205)*N($H1205),2))</f>
        <v/>
      </c>
      <c r="J1205" s="17">
        <f>IF($C1205="","",IFERROR(VLOOKUP($C1205,项目台账!$B:$C,2,0),"※项目不在项目台账里"))</f>
        <v/>
      </c>
      <c r="K1205" s="13" t="n"/>
    </row>
    <row r="1206">
      <c r="A1206" s="17">
        <f>IF($C1206="","",ROW()-3)</f>
        <v/>
      </c>
      <c r="B1206" s="18" t="n"/>
      <c r="C1206" s="13" t="n"/>
      <c r="D1206" s="13" t="n"/>
      <c r="E1206" s="13" t="n"/>
      <c r="F1206" s="13" t="n"/>
      <c r="G1206" s="20" t="n"/>
      <c r="H1206" s="14" t="n"/>
      <c r="I1206" s="19">
        <f>IF($C1206="","",ROUND(IF($G1206="",1,$G1206)*N($H1206),2))</f>
        <v/>
      </c>
      <c r="J1206" s="17">
        <f>IF($C1206="","",IFERROR(VLOOKUP($C1206,项目台账!$B:$C,2,0),"※项目不在项目台账里"))</f>
        <v/>
      </c>
      <c r="K1206" s="13" t="n"/>
    </row>
    <row r="1207">
      <c r="A1207" s="17">
        <f>IF($C1207="","",ROW()-3)</f>
        <v/>
      </c>
      <c r="B1207" s="18" t="n"/>
      <c r="C1207" s="13" t="n"/>
      <c r="D1207" s="13" t="n"/>
      <c r="E1207" s="13" t="n"/>
      <c r="F1207" s="13" t="n"/>
      <c r="G1207" s="20" t="n"/>
      <c r="H1207" s="14" t="n"/>
      <c r="I1207" s="19">
        <f>IF($C1207="","",ROUND(IF($G1207="",1,$G1207)*N($H1207),2))</f>
        <v/>
      </c>
      <c r="J1207" s="17">
        <f>IF($C1207="","",IFERROR(VLOOKUP($C1207,项目台账!$B:$C,2,0),"※项目不在项目台账里"))</f>
        <v/>
      </c>
      <c r="K1207" s="13" t="n"/>
    </row>
    <row r="1208">
      <c r="A1208" s="17">
        <f>IF($C1208="","",ROW()-3)</f>
        <v/>
      </c>
      <c r="B1208" s="18" t="n"/>
      <c r="C1208" s="13" t="n"/>
      <c r="D1208" s="13" t="n"/>
      <c r="E1208" s="13" t="n"/>
      <c r="F1208" s="13" t="n"/>
      <c r="G1208" s="20" t="n"/>
      <c r="H1208" s="14" t="n"/>
      <c r="I1208" s="19">
        <f>IF($C1208="","",ROUND(IF($G1208="",1,$G1208)*N($H1208),2))</f>
        <v/>
      </c>
      <c r="J1208" s="17">
        <f>IF($C1208="","",IFERROR(VLOOKUP($C1208,项目台账!$B:$C,2,0),"※项目不在项目台账里"))</f>
        <v/>
      </c>
      <c r="K1208" s="13" t="n"/>
    </row>
    <row r="1209">
      <c r="A1209" s="17">
        <f>IF($C1209="","",ROW()-3)</f>
        <v/>
      </c>
      <c r="B1209" s="18" t="n"/>
      <c r="C1209" s="13" t="n"/>
      <c r="D1209" s="13" t="n"/>
      <c r="E1209" s="13" t="n"/>
      <c r="F1209" s="13" t="n"/>
      <c r="G1209" s="20" t="n"/>
      <c r="H1209" s="14" t="n"/>
      <c r="I1209" s="19">
        <f>IF($C1209="","",ROUND(IF($G1209="",1,$G1209)*N($H1209),2))</f>
        <v/>
      </c>
      <c r="J1209" s="17">
        <f>IF($C1209="","",IFERROR(VLOOKUP($C1209,项目台账!$B:$C,2,0),"※项目不在项目台账里"))</f>
        <v/>
      </c>
      <c r="K1209" s="13" t="n"/>
    </row>
    <row r="1210">
      <c r="A1210" s="17">
        <f>IF($C1210="","",ROW()-3)</f>
        <v/>
      </c>
      <c r="B1210" s="18" t="n"/>
      <c r="C1210" s="13" t="n"/>
      <c r="D1210" s="13" t="n"/>
      <c r="E1210" s="13" t="n"/>
      <c r="F1210" s="13" t="n"/>
      <c r="G1210" s="20" t="n"/>
      <c r="H1210" s="14" t="n"/>
      <c r="I1210" s="19">
        <f>IF($C1210="","",ROUND(IF($G1210="",1,$G1210)*N($H1210),2))</f>
        <v/>
      </c>
      <c r="J1210" s="17">
        <f>IF($C1210="","",IFERROR(VLOOKUP($C1210,项目台账!$B:$C,2,0),"※项目不在项目台账里"))</f>
        <v/>
      </c>
      <c r="K1210" s="13" t="n"/>
    </row>
    <row r="1211">
      <c r="A1211" s="17">
        <f>IF($C1211="","",ROW()-3)</f>
        <v/>
      </c>
      <c r="B1211" s="18" t="n"/>
      <c r="C1211" s="13" t="n"/>
      <c r="D1211" s="13" t="n"/>
      <c r="E1211" s="13" t="n"/>
      <c r="F1211" s="13" t="n"/>
      <c r="G1211" s="20" t="n"/>
      <c r="H1211" s="14" t="n"/>
      <c r="I1211" s="19">
        <f>IF($C1211="","",ROUND(IF($G1211="",1,$G1211)*N($H1211),2))</f>
        <v/>
      </c>
      <c r="J1211" s="17">
        <f>IF($C1211="","",IFERROR(VLOOKUP($C1211,项目台账!$B:$C,2,0),"※项目不在项目台账里"))</f>
        <v/>
      </c>
      <c r="K1211" s="13" t="n"/>
    </row>
    <row r="1212">
      <c r="A1212" s="17">
        <f>IF($C1212="","",ROW()-3)</f>
        <v/>
      </c>
      <c r="B1212" s="18" t="n"/>
      <c r="C1212" s="13" t="n"/>
      <c r="D1212" s="13" t="n"/>
      <c r="E1212" s="13" t="n"/>
      <c r="F1212" s="13" t="n"/>
      <c r="G1212" s="20" t="n"/>
      <c r="H1212" s="14" t="n"/>
      <c r="I1212" s="19">
        <f>IF($C1212="","",ROUND(IF($G1212="",1,$G1212)*N($H1212),2))</f>
        <v/>
      </c>
      <c r="J1212" s="17">
        <f>IF($C1212="","",IFERROR(VLOOKUP($C1212,项目台账!$B:$C,2,0),"※项目不在项目台账里"))</f>
        <v/>
      </c>
      <c r="K1212" s="13" t="n"/>
    </row>
    <row r="1213">
      <c r="A1213" s="17">
        <f>IF($C1213="","",ROW()-3)</f>
        <v/>
      </c>
      <c r="B1213" s="18" t="n"/>
      <c r="C1213" s="13" t="n"/>
      <c r="D1213" s="13" t="n"/>
      <c r="E1213" s="13" t="n"/>
      <c r="F1213" s="13" t="n"/>
      <c r="G1213" s="20" t="n"/>
      <c r="H1213" s="14" t="n"/>
      <c r="I1213" s="19">
        <f>IF($C1213="","",ROUND(IF($G1213="",1,$G1213)*N($H1213),2))</f>
        <v/>
      </c>
      <c r="J1213" s="17">
        <f>IF($C1213="","",IFERROR(VLOOKUP($C1213,项目台账!$B:$C,2,0),"※项目不在项目台账里"))</f>
        <v/>
      </c>
      <c r="K1213" s="13" t="n"/>
    </row>
    <row r="1214">
      <c r="A1214" s="17">
        <f>IF($C1214="","",ROW()-3)</f>
        <v/>
      </c>
      <c r="B1214" s="18" t="n"/>
      <c r="C1214" s="13" t="n"/>
      <c r="D1214" s="13" t="n"/>
      <c r="E1214" s="13" t="n"/>
      <c r="F1214" s="13" t="n"/>
      <c r="G1214" s="20" t="n"/>
      <c r="H1214" s="14" t="n"/>
      <c r="I1214" s="19">
        <f>IF($C1214="","",ROUND(IF($G1214="",1,$G1214)*N($H1214),2))</f>
        <v/>
      </c>
      <c r="J1214" s="17">
        <f>IF($C1214="","",IFERROR(VLOOKUP($C1214,项目台账!$B:$C,2,0),"※项目不在项目台账里"))</f>
        <v/>
      </c>
      <c r="K1214" s="13" t="n"/>
    </row>
    <row r="1215">
      <c r="A1215" s="17">
        <f>IF($C1215="","",ROW()-3)</f>
        <v/>
      </c>
      <c r="B1215" s="18" t="n"/>
      <c r="C1215" s="13" t="n"/>
      <c r="D1215" s="13" t="n"/>
      <c r="E1215" s="13" t="n"/>
      <c r="F1215" s="13" t="n"/>
      <c r="G1215" s="20" t="n"/>
      <c r="H1215" s="14" t="n"/>
      <c r="I1215" s="19">
        <f>IF($C1215="","",ROUND(IF($G1215="",1,$G1215)*N($H1215),2))</f>
        <v/>
      </c>
      <c r="J1215" s="17">
        <f>IF($C1215="","",IFERROR(VLOOKUP($C1215,项目台账!$B:$C,2,0),"※项目不在项目台账里"))</f>
        <v/>
      </c>
      <c r="K1215" s="13" t="n"/>
    </row>
    <row r="1216">
      <c r="A1216" s="17">
        <f>IF($C1216="","",ROW()-3)</f>
        <v/>
      </c>
      <c r="B1216" s="18" t="n"/>
      <c r="C1216" s="13" t="n"/>
      <c r="D1216" s="13" t="n"/>
      <c r="E1216" s="13" t="n"/>
      <c r="F1216" s="13" t="n"/>
      <c r="G1216" s="20" t="n"/>
      <c r="H1216" s="14" t="n"/>
      <c r="I1216" s="19">
        <f>IF($C1216="","",ROUND(IF($G1216="",1,$G1216)*N($H1216),2))</f>
        <v/>
      </c>
      <c r="J1216" s="17">
        <f>IF($C1216="","",IFERROR(VLOOKUP($C1216,项目台账!$B:$C,2,0),"※项目不在项目台账里"))</f>
        <v/>
      </c>
      <c r="K1216" s="13" t="n"/>
    </row>
    <row r="1217">
      <c r="A1217" s="17">
        <f>IF($C1217="","",ROW()-3)</f>
        <v/>
      </c>
      <c r="B1217" s="18" t="n"/>
      <c r="C1217" s="13" t="n"/>
      <c r="D1217" s="13" t="n"/>
      <c r="E1217" s="13" t="n"/>
      <c r="F1217" s="13" t="n"/>
      <c r="G1217" s="20" t="n"/>
      <c r="H1217" s="14" t="n"/>
      <c r="I1217" s="19">
        <f>IF($C1217="","",ROUND(IF($G1217="",1,$G1217)*N($H1217),2))</f>
        <v/>
      </c>
      <c r="J1217" s="17">
        <f>IF($C1217="","",IFERROR(VLOOKUP($C1217,项目台账!$B:$C,2,0),"※项目不在项目台账里"))</f>
        <v/>
      </c>
      <c r="K1217" s="13" t="n"/>
    </row>
    <row r="1218">
      <c r="A1218" s="17">
        <f>IF($C1218="","",ROW()-3)</f>
        <v/>
      </c>
      <c r="B1218" s="18" t="n"/>
      <c r="C1218" s="13" t="n"/>
      <c r="D1218" s="13" t="n"/>
      <c r="E1218" s="13" t="n"/>
      <c r="F1218" s="13" t="n"/>
      <c r="G1218" s="20" t="n"/>
      <c r="H1218" s="14" t="n"/>
      <c r="I1218" s="19">
        <f>IF($C1218="","",ROUND(IF($G1218="",1,$G1218)*N($H1218),2))</f>
        <v/>
      </c>
      <c r="J1218" s="17">
        <f>IF($C1218="","",IFERROR(VLOOKUP($C1218,项目台账!$B:$C,2,0),"※项目不在项目台账里"))</f>
        <v/>
      </c>
      <c r="K1218" s="13" t="n"/>
    </row>
    <row r="1219">
      <c r="A1219" s="17">
        <f>IF($C1219="","",ROW()-3)</f>
        <v/>
      </c>
      <c r="B1219" s="18" t="n"/>
      <c r="C1219" s="13" t="n"/>
      <c r="D1219" s="13" t="n"/>
      <c r="E1219" s="13" t="n"/>
      <c r="F1219" s="13" t="n"/>
      <c r="G1219" s="20" t="n"/>
      <c r="H1219" s="14" t="n"/>
      <c r="I1219" s="19">
        <f>IF($C1219="","",ROUND(IF($G1219="",1,$G1219)*N($H1219),2))</f>
        <v/>
      </c>
      <c r="J1219" s="17">
        <f>IF($C1219="","",IFERROR(VLOOKUP($C1219,项目台账!$B:$C,2,0),"※项目不在项目台账里"))</f>
        <v/>
      </c>
      <c r="K1219" s="13" t="n"/>
    </row>
    <row r="1220">
      <c r="A1220" s="17">
        <f>IF($C1220="","",ROW()-3)</f>
        <v/>
      </c>
      <c r="B1220" s="18" t="n"/>
      <c r="C1220" s="13" t="n"/>
      <c r="D1220" s="13" t="n"/>
      <c r="E1220" s="13" t="n"/>
      <c r="F1220" s="13" t="n"/>
      <c r="G1220" s="20" t="n"/>
      <c r="H1220" s="14" t="n"/>
      <c r="I1220" s="19">
        <f>IF($C1220="","",ROUND(IF($G1220="",1,$G1220)*N($H1220),2))</f>
        <v/>
      </c>
      <c r="J1220" s="17">
        <f>IF($C1220="","",IFERROR(VLOOKUP($C1220,项目台账!$B:$C,2,0),"※项目不在项目台账里"))</f>
        <v/>
      </c>
      <c r="K1220" s="13" t="n"/>
    </row>
    <row r="1221">
      <c r="A1221" s="17">
        <f>IF($C1221="","",ROW()-3)</f>
        <v/>
      </c>
      <c r="B1221" s="18" t="n"/>
      <c r="C1221" s="13" t="n"/>
      <c r="D1221" s="13" t="n"/>
      <c r="E1221" s="13" t="n"/>
      <c r="F1221" s="13" t="n"/>
      <c r="G1221" s="20" t="n"/>
      <c r="H1221" s="14" t="n"/>
      <c r="I1221" s="19">
        <f>IF($C1221="","",ROUND(IF($G1221="",1,$G1221)*N($H1221),2))</f>
        <v/>
      </c>
      <c r="J1221" s="17">
        <f>IF($C1221="","",IFERROR(VLOOKUP($C1221,项目台账!$B:$C,2,0),"※项目不在项目台账里"))</f>
        <v/>
      </c>
      <c r="K1221" s="13" t="n"/>
    </row>
    <row r="1222">
      <c r="A1222" s="17">
        <f>IF($C1222="","",ROW()-3)</f>
        <v/>
      </c>
      <c r="B1222" s="18" t="n"/>
      <c r="C1222" s="13" t="n"/>
      <c r="D1222" s="13" t="n"/>
      <c r="E1222" s="13" t="n"/>
      <c r="F1222" s="13" t="n"/>
      <c r="G1222" s="20" t="n"/>
      <c r="H1222" s="14" t="n"/>
      <c r="I1222" s="19">
        <f>IF($C1222="","",ROUND(IF($G1222="",1,$G1222)*N($H1222),2))</f>
        <v/>
      </c>
      <c r="J1222" s="17">
        <f>IF($C1222="","",IFERROR(VLOOKUP($C1222,项目台账!$B:$C,2,0),"※项目不在项目台账里"))</f>
        <v/>
      </c>
      <c r="K1222" s="13" t="n"/>
    </row>
    <row r="1223">
      <c r="A1223" s="17">
        <f>IF($C1223="","",ROW()-3)</f>
        <v/>
      </c>
      <c r="B1223" s="18" t="n"/>
      <c r="C1223" s="13" t="n"/>
      <c r="D1223" s="13" t="n"/>
      <c r="E1223" s="13" t="n"/>
      <c r="F1223" s="13" t="n"/>
      <c r="G1223" s="20" t="n"/>
      <c r="H1223" s="14" t="n"/>
      <c r="I1223" s="19">
        <f>IF($C1223="","",ROUND(IF($G1223="",1,$G1223)*N($H1223),2))</f>
        <v/>
      </c>
      <c r="J1223" s="17">
        <f>IF($C1223="","",IFERROR(VLOOKUP($C1223,项目台账!$B:$C,2,0),"※项目不在项目台账里"))</f>
        <v/>
      </c>
      <c r="K1223" s="13" t="n"/>
    </row>
    <row r="1224">
      <c r="A1224" s="17">
        <f>IF($C1224="","",ROW()-3)</f>
        <v/>
      </c>
      <c r="B1224" s="18" t="n"/>
      <c r="C1224" s="13" t="n"/>
      <c r="D1224" s="13" t="n"/>
      <c r="E1224" s="13" t="n"/>
      <c r="F1224" s="13" t="n"/>
      <c r="G1224" s="20" t="n"/>
      <c r="H1224" s="14" t="n"/>
      <c r="I1224" s="19">
        <f>IF($C1224="","",ROUND(IF($G1224="",1,$G1224)*N($H1224),2))</f>
        <v/>
      </c>
      <c r="J1224" s="17">
        <f>IF($C1224="","",IFERROR(VLOOKUP($C1224,项目台账!$B:$C,2,0),"※项目不在项目台账里"))</f>
        <v/>
      </c>
      <c r="K1224" s="13" t="n"/>
    </row>
    <row r="1225">
      <c r="A1225" s="17">
        <f>IF($C1225="","",ROW()-3)</f>
        <v/>
      </c>
      <c r="B1225" s="18" t="n"/>
      <c r="C1225" s="13" t="n"/>
      <c r="D1225" s="13" t="n"/>
      <c r="E1225" s="13" t="n"/>
      <c r="F1225" s="13" t="n"/>
      <c r="G1225" s="20" t="n"/>
      <c r="H1225" s="14" t="n"/>
      <c r="I1225" s="19">
        <f>IF($C1225="","",ROUND(IF($G1225="",1,$G1225)*N($H1225),2))</f>
        <v/>
      </c>
      <c r="J1225" s="17">
        <f>IF($C1225="","",IFERROR(VLOOKUP($C1225,项目台账!$B:$C,2,0),"※项目不在项目台账里"))</f>
        <v/>
      </c>
      <c r="K1225" s="13" t="n"/>
    </row>
    <row r="1226">
      <c r="A1226" s="17">
        <f>IF($C1226="","",ROW()-3)</f>
        <v/>
      </c>
      <c r="B1226" s="18" t="n"/>
      <c r="C1226" s="13" t="n"/>
      <c r="D1226" s="13" t="n"/>
      <c r="E1226" s="13" t="n"/>
      <c r="F1226" s="13" t="n"/>
      <c r="G1226" s="20" t="n"/>
      <c r="H1226" s="14" t="n"/>
      <c r="I1226" s="19">
        <f>IF($C1226="","",ROUND(IF($G1226="",1,$G1226)*N($H1226),2))</f>
        <v/>
      </c>
      <c r="J1226" s="17">
        <f>IF($C1226="","",IFERROR(VLOOKUP($C1226,项目台账!$B:$C,2,0),"※项目不在项目台账里"))</f>
        <v/>
      </c>
      <c r="K1226" s="13" t="n"/>
    </row>
    <row r="1227">
      <c r="A1227" s="17">
        <f>IF($C1227="","",ROW()-3)</f>
        <v/>
      </c>
      <c r="B1227" s="18" t="n"/>
      <c r="C1227" s="13" t="n"/>
      <c r="D1227" s="13" t="n"/>
      <c r="E1227" s="13" t="n"/>
      <c r="F1227" s="13" t="n"/>
      <c r="G1227" s="20" t="n"/>
      <c r="H1227" s="14" t="n"/>
      <c r="I1227" s="19">
        <f>IF($C1227="","",ROUND(IF($G1227="",1,$G1227)*N($H1227),2))</f>
        <v/>
      </c>
      <c r="J1227" s="17">
        <f>IF($C1227="","",IFERROR(VLOOKUP($C1227,项目台账!$B:$C,2,0),"※项目不在项目台账里"))</f>
        <v/>
      </c>
      <c r="K1227" s="13" t="n"/>
    </row>
    <row r="1228">
      <c r="A1228" s="17">
        <f>IF($C1228="","",ROW()-3)</f>
        <v/>
      </c>
      <c r="B1228" s="18" t="n"/>
      <c r="C1228" s="13" t="n"/>
      <c r="D1228" s="13" t="n"/>
      <c r="E1228" s="13" t="n"/>
      <c r="F1228" s="13" t="n"/>
      <c r="G1228" s="20" t="n"/>
      <c r="H1228" s="14" t="n"/>
      <c r="I1228" s="19">
        <f>IF($C1228="","",ROUND(IF($G1228="",1,$G1228)*N($H1228),2))</f>
        <v/>
      </c>
      <c r="J1228" s="17">
        <f>IF($C1228="","",IFERROR(VLOOKUP($C1228,项目台账!$B:$C,2,0),"※项目不在项目台账里"))</f>
        <v/>
      </c>
      <c r="K1228" s="13" t="n"/>
    </row>
    <row r="1229">
      <c r="A1229" s="17">
        <f>IF($C1229="","",ROW()-3)</f>
        <v/>
      </c>
      <c r="B1229" s="18" t="n"/>
      <c r="C1229" s="13" t="n"/>
      <c r="D1229" s="13" t="n"/>
      <c r="E1229" s="13" t="n"/>
      <c r="F1229" s="13" t="n"/>
      <c r="G1229" s="20" t="n"/>
      <c r="H1229" s="14" t="n"/>
      <c r="I1229" s="19">
        <f>IF($C1229="","",ROUND(IF($G1229="",1,$G1229)*N($H1229),2))</f>
        <v/>
      </c>
      <c r="J1229" s="17">
        <f>IF($C1229="","",IFERROR(VLOOKUP($C1229,项目台账!$B:$C,2,0),"※项目不在项目台账里"))</f>
        <v/>
      </c>
      <c r="K1229" s="13" t="n"/>
    </row>
    <row r="1230">
      <c r="A1230" s="17">
        <f>IF($C1230="","",ROW()-3)</f>
        <v/>
      </c>
      <c r="B1230" s="18" t="n"/>
      <c r="C1230" s="13" t="n"/>
      <c r="D1230" s="13" t="n"/>
      <c r="E1230" s="13" t="n"/>
      <c r="F1230" s="13" t="n"/>
      <c r="G1230" s="20" t="n"/>
      <c r="H1230" s="14" t="n"/>
      <c r="I1230" s="19">
        <f>IF($C1230="","",ROUND(IF($G1230="",1,$G1230)*N($H1230),2))</f>
        <v/>
      </c>
      <c r="J1230" s="17">
        <f>IF($C1230="","",IFERROR(VLOOKUP($C1230,项目台账!$B:$C,2,0),"※项目不在项目台账里"))</f>
        <v/>
      </c>
      <c r="K1230" s="13" t="n"/>
    </row>
    <row r="1231">
      <c r="A1231" s="17">
        <f>IF($C1231="","",ROW()-3)</f>
        <v/>
      </c>
      <c r="B1231" s="18" t="n"/>
      <c r="C1231" s="13" t="n"/>
      <c r="D1231" s="13" t="n"/>
      <c r="E1231" s="13" t="n"/>
      <c r="F1231" s="13" t="n"/>
      <c r="G1231" s="20" t="n"/>
      <c r="H1231" s="14" t="n"/>
      <c r="I1231" s="19">
        <f>IF($C1231="","",ROUND(IF($G1231="",1,$G1231)*N($H1231),2))</f>
        <v/>
      </c>
      <c r="J1231" s="17">
        <f>IF($C1231="","",IFERROR(VLOOKUP($C1231,项目台账!$B:$C,2,0),"※项目不在项目台账里"))</f>
        <v/>
      </c>
      <c r="K1231" s="13" t="n"/>
    </row>
    <row r="1232">
      <c r="A1232" s="17">
        <f>IF($C1232="","",ROW()-3)</f>
        <v/>
      </c>
      <c r="B1232" s="18" t="n"/>
      <c r="C1232" s="13" t="n"/>
      <c r="D1232" s="13" t="n"/>
      <c r="E1232" s="13" t="n"/>
      <c r="F1232" s="13" t="n"/>
      <c r="G1232" s="20" t="n"/>
      <c r="H1232" s="14" t="n"/>
      <c r="I1232" s="19">
        <f>IF($C1232="","",ROUND(IF($G1232="",1,$G1232)*N($H1232),2))</f>
        <v/>
      </c>
      <c r="J1232" s="17">
        <f>IF($C1232="","",IFERROR(VLOOKUP($C1232,项目台账!$B:$C,2,0),"※项目不在项目台账里"))</f>
        <v/>
      </c>
      <c r="K1232" s="13" t="n"/>
    </row>
    <row r="1233">
      <c r="A1233" s="17">
        <f>IF($C1233="","",ROW()-3)</f>
        <v/>
      </c>
      <c r="B1233" s="18" t="n"/>
      <c r="C1233" s="13" t="n"/>
      <c r="D1233" s="13" t="n"/>
      <c r="E1233" s="13" t="n"/>
      <c r="F1233" s="13" t="n"/>
      <c r="G1233" s="20" t="n"/>
      <c r="H1233" s="14" t="n"/>
      <c r="I1233" s="19">
        <f>IF($C1233="","",ROUND(IF($G1233="",1,$G1233)*N($H1233),2))</f>
        <v/>
      </c>
      <c r="J1233" s="17">
        <f>IF($C1233="","",IFERROR(VLOOKUP($C1233,项目台账!$B:$C,2,0),"※项目不在项目台账里"))</f>
        <v/>
      </c>
      <c r="K1233" s="13" t="n"/>
    </row>
    <row r="1234">
      <c r="A1234" s="17">
        <f>IF($C1234="","",ROW()-3)</f>
        <v/>
      </c>
      <c r="B1234" s="18" t="n"/>
      <c r="C1234" s="13" t="n"/>
      <c r="D1234" s="13" t="n"/>
      <c r="E1234" s="13" t="n"/>
      <c r="F1234" s="13" t="n"/>
      <c r="G1234" s="20" t="n"/>
      <c r="H1234" s="14" t="n"/>
      <c r="I1234" s="19">
        <f>IF($C1234="","",ROUND(IF($G1234="",1,$G1234)*N($H1234),2))</f>
        <v/>
      </c>
      <c r="J1234" s="17">
        <f>IF($C1234="","",IFERROR(VLOOKUP($C1234,项目台账!$B:$C,2,0),"※项目不在项目台账里"))</f>
        <v/>
      </c>
      <c r="K1234" s="13" t="n"/>
    </row>
    <row r="1235">
      <c r="A1235" s="17">
        <f>IF($C1235="","",ROW()-3)</f>
        <v/>
      </c>
      <c r="B1235" s="18" t="n"/>
      <c r="C1235" s="13" t="n"/>
      <c r="D1235" s="13" t="n"/>
      <c r="E1235" s="13" t="n"/>
      <c r="F1235" s="13" t="n"/>
      <c r="G1235" s="20" t="n"/>
      <c r="H1235" s="14" t="n"/>
      <c r="I1235" s="19">
        <f>IF($C1235="","",ROUND(IF($G1235="",1,$G1235)*N($H1235),2))</f>
        <v/>
      </c>
      <c r="J1235" s="17">
        <f>IF($C1235="","",IFERROR(VLOOKUP($C1235,项目台账!$B:$C,2,0),"※项目不在项目台账里"))</f>
        <v/>
      </c>
      <c r="K1235" s="13" t="n"/>
    </row>
    <row r="1236">
      <c r="A1236" s="17">
        <f>IF($C1236="","",ROW()-3)</f>
        <v/>
      </c>
      <c r="B1236" s="18" t="n"/>
      <c r="C1236" s="13" t="n"/>
      <c r="D1236" s="13" t="n"/>
      <c r="E1236" s="13" t="n"/>
      <c r="F1236" s="13" t="n"/>
      <c r="G1236" s="20" t="n"/>
      <c r="H1236" s="14" t="n"/>
      <c r="I1236" s="19">
        <f>IF($C1236="","",ROUND(IF($G1236="",1,$G1236)*N($H1236),2))</f>
        <v/>
      </c>
      <c r="J1236" s="17">
        <f>IF($C1236="","",IFERROR(VLOOKUP($C1236,项目台账!$B:$C,2,0),"※项目不在项目台账里"))</f>
        <v/>
      </c>
      <c r="K1236" s="13" t="n"/>
    </row>
    <row r="1237">
      <c r="A1237" s="17">
        <f>IF($C1237="","",ROW()-3)</f>
        <v/>
      </c>
      <c r="B1237" s="18" t="n"/>
      <c r="C1237" s="13" t="n"/>
      <c r="D1237" s="13" t="n"/>
      <c r="E1237" s="13" t="n"/>
      <c r="F1237" s="13" t="n"/>
      <c r="G1237" s="20" t="n"/>
      <c r="H1237" s="14" t="n"/>
      <c r="I1237" s="19">
        <f>IF($C1237="","",ROUND(IF($G1237="",1,$G1237)*N($H1237),2))</f>
        <v/>
      </c>
      <c r="J1237" s="17">
        <f>IF($C1237="","",IFERROR(VLOOKUP($C1237,项目台账!$B:$C,2,0),"※项目不在项目台账里"))</f>
        <v/>
      </c>
      <c r="K1237" s="13" t="n"/>
    </row>
    <row r="1238">
      <c r="A1238" s="17">
        <f>IF($C1238="","",ROW()-3)</f>
        <v/>
      </c>
      <c r="B1238" s="18" t="n"/>
      <c r="C1238" s="13" t="n"/>
      <c r="D1238" s="13" t="n"/>
      <c r="E1238" s="13" t="n"/>
      <c r="F1238" s="13" t="n"/>
      <c r="G1238" s="20" t="n"/>
      <c r="H1238" s="14" t="n"/>
      <c r="I1238" s="19">
        <f>IF($C1238="","",ROUND(IF($G1238="",1,$G1238)*N($H1238),2))</f>
        <v/>
      </c>
      <c r="J1238" s="17">
        <f>IF($C1238="","",IFERROR(VLOOKUP($C1238,项目台账!$B:$C,2,0),"※项目不在项目台账里"))</f>
        <v/>
      </c>
      <c r="K1238" s="13" t="n"/>
    </row>
    <row r="1239">
      <c r="A1239" s="17">
        <f>IF($C1239="","",ROW()-3)</f>
        <v/>
      </c>
      <c r="B1239" s="18" t="n"/>
      <c r="C1239" s="13" t="n"/>
      <c r="D1239" s="13" t="n"/>
      <c r="E1239" s="13" t="n"/>
      <c r="F1239" s="13" t="n"/>
      <c r="G1239" s="20" t="n"/>
      <c r="H1239" s="14" t="n"/>
      <c r="I1239" s="19">
        <f>IF($C1239="","",ROUND(IF($G1239="",1,$G1239)*N($H1239),2))</f>
        <v/>
      </c>
      <c r="J1239" s="17">
        <f>IF($C1239="","",IFERROR(VLOOKUP($C1239,项目台账!$B:$C,2,0),"※项目不在项目台账里"))</f>
        <v/>
      </c>
      <c r="K1239" s="13" t="n"/>
    </row>
    <row r="1240">
      <c r="A1240" s="17">
        <f>IF($C1240="","",ROW()-3)</f>
        <v/>
      </c>
      <c r="B1240" s="18" t="n"/>
      <c r="C1240" s="13" t="n"/>
      <c r="D1240" s="13" t="n"/>
      <c r="E1240" s="13" t="n"/>
      <c r="F1240" s="13" t="n"/>
      <c r="G1240" s="20" t="n"/>
      <c r="H1240" s="14" t="n"/>
      <c r="I1240" s="19">
        <f>IF($C1240="","",ROUND(IF($G1240="",1,$G1240)*N($H1240),2))</f>
        <v/>
      </c>
      <c r="J1240" s="17">
        <f>IF($C1240="","",IFERROR(VLOOKUP($C1240,项目台账!$B:$C,2,0),"※项目不在项目台账里"))</f>
        <v/>
      </c>
      <c r="K1240" s="13" t="n"/>
    </row>
    <row r="1241">
      <c r="A1241" s="17">
        <f>IF($C1241="","",ROW()-3)</f>
        <v/>
      </c>
      <c r="B1241" s="18" t="n"/>
      <c r="C1241" s="13" t="n"/>
      <c r="D1241" s="13" t="n"/>
      <c r="E1241" s="13" t="n"/>
      <c r="F1241" s="13" t="n"/>
      <c r="G1241" s="20" t="n"/>
      <c r="H1241" s="14" t="n"/>
      <c r="I1241" s="19">
        <f>IF($C1241="","",ROUND(IF($G1241="",1,$G1241)*N($H1241),2))</f>
        <v/>
      </c>
      <c r="J1241" s="17">
        <f>IF($C1241="","",IFERROR(VLOOKUP($C1241,项目台账!$B:$C,2,0),"※项目不在项目台账里"))</f>
        <v/>
      </c>
      <c r="K1241" s="13" t="n"/>
    </row>
    <row r="1242">
      <c r="A1242" s="17">
        <f>IF($C1242="","",ROW()-3)</f>
        <v/>
      </c>
      <c r="B1242" s="18" t="n"/>
      <c r="C1242" s="13" t="n"/>
      <c r="D1242" s="13" t="n"/>
      <c r="E1242" s="13" t="n"/>
      <c r="F1242" s="13" t="n"/>
      <c r="G1242" s="20" t="n"/>
      <c r="H1242" s="14" t="n"/>
      <c r="I1242" s="19">
        <f>IF($C1242="","",ROUND(IF($G1242="",1,$G1242)*N($H1242),2))</f>
        <v/>
      </c>
      <c r="J1242" s="17">
        <f>IF($C1242="","",IFERROR(VLOOKUP($C1242,项目台账!$B:$C,2,0),"※项目不在项目台账里"))</f>
        <v/>
      </c>
      <c r="K1242" s="13" t="n"/>
    </row>
    <row r="1243">
      <c r="A1243" s="17">
        <f>IF($C1243="","",ROW()-3)</f>
        <v/>
      </c>
      <c r="B1243" s="18" t="n"/>
      <c r="C1243" s="13" t="n"/>
      <c r="D1243" s="13" t="n"/>
      <c r="E1243" s="13" t="n"/>
      <c r="F1243" s="13" t="n"/>
      <c r="G1243" s="20" t="n"/>
      <c r="H1243" s="14" t="n"/>
      <c r="I1243" s="19">
        <f>IF($C1243="","",ROUND(IF($G1243="",1,$G1243)*N($H1243),2))</f>
        <v/>
      </c>
      <c r="J1243" s="17">
        <f>IF($C1243="","",IFERROR(VLOOKUP($C1243,项目台账!$B:$C,2,0),"※项目不在项目台账里"))</f>
        <v/>
      </c>
      <c r="K1243" s="13" t="n"/>
    </row>
    <row r="1244">
      <c r="A1244" s="17">
        <f>IF($C1244="","",ROW()-3)</f>
        <v/>
      </c>
      <c r="B1244" s="18" t="n"/>
      <c r="C1244" s="13" t="n"/>
      <c r="D1244" s="13" t="n"/>
      <c r="E1244" s="13" t="n"/>
      <c r="F1244" s="13" t="n"/>
      <c r="G1244" s="20" t="n"/>
      <c r="H1244" s="14" t="n"/>
      <c r="I1244" s="19">
        <f>IF($C1244="","",ROUND(IF($G1244="",1,$G1244)*N($H1244),2))</f>
        <v/>
      </c>
      <c r="J1244" s="17">
        <f>IF($C1244="","",IFERROR(VLOOKUP($C1244,项目台账!$B:$C,2,0),"※项目不在项目台账里"))</f>
        <v/>
      </c>
      <c r="K1244" s="13" t="n"/>
    </row>
    <row r="1245">
      <c r="A1245" s="17">
        <f>IF($C1245="","",ROW()-3)</f>
        <v/>
      </c>
      <c r="B1245" s="18" t="n"/>
      <c r="C1245" s="13" t="n"/>
      <c r="D1245" s="13" t="n"/>
      <c r="E1245" s="13" t="n"/>
      <c r="F1245" s="13" t="n"/>
      <c r="G1245" s="20" t="n"/>
      <c r="H1245" s="14" t="n"/>
      <c r="I1245" s="19">
        <f>IF($C1245="","",ROUND(IF($G1245="",1,$G1245)*N($H1245),2))</f>
        <v/>
      </c>
      <c r="J1245" s="17">
        <f>IF($C1245="","",IFERROR(VLOOKUP($C1245,项目台账!$B:$C,2,0),"※项目不在项目台账里"))</f>
        <v/>
      </c>
      <c r="K1245" s="13" t="n"/>
    </row>
    <row r="1246">
      <c r="A1246" s="17">
        <f>IF($C1246="","",ROW()-3)</f>
        <v/>
      </c>
      <c r="B1246" s="18" t="n"/>
      <c r="C1246" s="13" t="n"/>
      <c r="D1246" s="13" t="n"/>
      <c r="E1246" s="13" t="n"/>
      <c r="F1246" s="13" t="n"/>
      <c r="G1246" s="20" t="n"/>
      <c r="H1246" s="14" t="n"/>
      <c r="I1246" s="19">
        <f>IF($C1246="","",ROUND(IF($G1246="",1,$G1246)*N($H1246),2))</f>
        <v/>
      </c>
      <c r="J1246" s="17">
        <f>IF($C1246="","",IFERROR(VLOOKUP($C1246,项目台账!$B:$C,2,0),"※项目不在项目台账里"))</f>
        <v/>
      </c>
      <c r="K1246" s="13" t="n"/>
    </row>
    <row r="1247">
      <c r="A1247" s="17">
        <f>IF($C1247="","",ROW()-3)</f>
        <v/>
      </c>
      <c r="B1247" s="18" t="n"/>
      <c r="C1247" s="13" t="n"/>
      <c r="D1247" s="13" t="n"/>
      <c r="E1247" s="13" t="n"/>
      <c r="F1247" s="13" t="n"/>
      <c r="G1247" s="20" t="n"/>
      <c r="H1247" s="14" t="n"/>
      <c r="I1247" s="19">
        <f>IF($C1247="","",ROUND(IF($G1247="",1,$G1247)*N($H1247),2))</f>
        <v/>
      </c>
      <c r="J1247" s="17">
        <f>IF($C1247="","",IFERROR(VLOOKUP($C1247,项目台账!$B:$C,2,0),"※项目不在项目台账里"))</f>
        <v/>
      </c>
      <c r="K1247" s="13" t="n"/>
    </row>
    <row r="1248">
      <c r="A1248" s="17">
        <f>IF($C1248="","",ROW()-3)</f>
        <v/>
      </c>
      <c r="B1248" s="18" t="n"/>
      <c r="C1248" s="13" t="n"/>
      <c r="D1248" s="13" t="n"/>
      <c r="E1248" s="13" t="n"/>
      <c r="F1248" s="13" t="n"/>
      <c r="G1248" s="20" t="n"/>
      <c r="H1248" s="14" t="n"/>
      <c r="I1248" s="19">
        <f>IF($C1248="","",ROUND(IF($G1248="",1,$G1248)*N($H1248),2))</f>
        <v/>
      </c>
      <c r="J1248" s="17">
        <f>IF($C1248="","",IFERROR(VLOOKUP($C1248,项目台账!$B:$C,2,0),"※项目不在项目台账里"))</f>
        <v/>
      </c>
      <c r="K1248" s="13" t="n"/>
    </row>
    <row r="1249">
      <c r="A1249" s="17">
        <f>IF($C1249="","",ROW()-3)</f>
        <v/>
      </c>
      <c r="B1249" s="18" t="n"/>
      <c r="C1249" s="13" t="n"/>
      <c r="D1249" s="13" t="n"/>
      <c r="E1249" s="13" t="n"/>
      <c r="F1249" s="13" t="n"/>
      <c r="G1249" s="20" t="n"/>
      <c r="H1249" s="14" t="n"/>
      <c r="I1249" s="19">
        <f>IF($C1249="","",ROUND(IF($G1249="",1,$G1249)*N($H1249),2))</f>
        <v/>
      </c>
      <c r="J1249" s="17">
        <f>IF($C1249="","",IFERROR(VLOOKUP($C1249,项目台账!$B:$C,2,0),"※项目不在项目台账里"))</f>
        <v/>
      </c>
      <c r="K1249" s="13" t="n"/>
    </row>
    <row r="1250">
      <c r="A1250" s="17">
        <f>IF($C1250="","",ROW()-3)</f>
        <v/>
      </c>
      <c r="B1250" s="18" t="n"/>
      <c r="C1250" s="13" t="n"/>
      <c r="D1250" s="13" t="n"/>
      <c r="E1250" s="13" t="n"/>
      <c r="F1250" s="13" t="n"/>
      <c r="G1250" s="20" t="n"/>
      <c r="H1250" s="14" t="n"/>
      <c r="I1250" s="19">
        <f>IF($C1250="","",ROUND(IF($G1250="",1,$G1250)*N($H1250),2))</f>
        <v/>
      </c>
      <c r="J1250" s="17">
        <f>IF($C1250="","",IFERROR(VLOOKUP($C1250,项目台账!$B:$C,2,0),"※项目不在项目台账里"))</f>
        <v/>
      </c>
      <c r="K1250" s="13" t="n"/>
    </row>
    <row r="1251">
      <c r="A1251" s="17">
        <f>IF($C1251="","",ROW()-3)</f>
        <v/>
      </c>
      <c r="B1251" s="18" t="n"/>
      <c r="C1251" s="13" t="n"/>
      <c r="D1251" s="13" t="n"/>
      <c r="E1251" s="13" t="n"/>
      <c r="F1251" s="13" t="n"/>
      <c r="G1251" s="20" t="n"/>
      <c r="H1251" s="14" t="n"/>
      <c r="I1251" s="19">
        <f>IF($C1251="","",ROUND(IF($G1251="",1,$G1251)*N($H1251),2))</f>
        <v/>
      </c>
      <c r="J1251" s="17">
        <f>IF($C1251="","",IFERROR(VLOOKUP($C1251,项目台账!$B:$C,2,0),"※项目不在项目台账里"))</f>
        <v/>
      </c>
      <c r="K1251" s="13" t="n"/>
    </row>
    <row r="1252">
      <c r="A1252" s="17">
        <f>IF($C1252="","",ROW()-3)</f>
        <v/>
      </c>
      <c r="B1252" s="18" t="n"/>
      <c r="C1252" s="13" t="n"/>
      <c r="D1252" s="13" t="n"/>
      <c r="E1252" s="13" t="n"/>
      <c r="F1252" s="13" t="n"/>
      <c r="G1252" s="20" t="n"/>
      <c r="H1252" s="14" t="n"/>
      <c r="I1252" s="19">
        <f>IF($C1252="","",ROUND(IF($G1252="",1,$G1252)*N($H1252),2))</f>
        <v/>
      </c>
      <c r="J1252" s="17">
        <f>IF($C1252="","",IFERROR(VLOOKUP($C1252,项目台账!$B:$C,2,0),"※项目不在项目台账里"))</f>
        <v/>
      </c>
      <c r="K1252" s="13" t="n"/>
    </row>
    <row r="1253">
      <c r="A1253" s="17">
        <f>IF($C1253="","",ROW()-3)</f>
        <v/>
      </c>
      <c r="B1253" s="18" t="n"/>
      <c r="C1253" s="13" t="n"/>
      <c r="D1253" s="13" t="n"/>
      <c r="E1253" s="13" t="n"/>
      <c r="F1253" s="13" t="n"/>
      <c r="G1253" s="20" t="n"/>
      <c r="H1253" s="14" t="n"/>
      <c r="I1253" s="19">
        <f>IF($C1253="","",ROUND(IF($G1253="",1,$G1253)*N($H1253),2))</f>
        <v/>
      </c>
      <c r="J1253" s="17">
        <f>IF($C1253="","",IFERROR(VLOOKUP($C1253,项目台账!$B:$C,2,0),"※项目不在项目台账里"))</f>
        <v/>
      </c>
      <c r="K1253" s="13" t="n"/>
    </row>
    <row r="1254">
      <c r="A1254" s="17">
        <f>IF($C1254="","",ROW()-3)</f>
        <v/>
      </c>
      <c r="B1254" s="18" t="n"/>
      <c r="C1254" s="13" t="n"/>
      <c r="D1254" s="13" t="n"/>
      <c r="E1254" s="13" t="n"/>
      <c r="F1254" s="13" t="n"/>
      <c r="G1254" s="20" t="n"/>
      <c r="H1254" s="14" t="n"/>
      <c r="I1254" s="19">
        <f>IF($C1254="","",ROUND(IF($G1254="",1,$G1254)*N($H1254),2))</f>
        <v/>
      </c>
      <c r="J1254" s="17">
        <f>IF($C1254="","",IFERROR(VLOOKUP($C1254,项目台账!$B:$C,2,0),"※项目不在项目台账里"))</f>
        <v/>
      </c>
      <c r="K1254" s="13" t="n"/>
    </row>
    <row r="1255">
      <c r="A1255" s="17">
        <f>IF($C1255="","",ROW()-3)</f>
        <v/>
      </c>
      <c r="B1255" s="18" t="n"/>
      <c r="C1255" s="13" t="n"/>
      <c r="D1255" s="13" t="n"/>
      <c r="E1255" s="13" t="n"/>
      <c r="F1255" s="13" t="n"/>
      <c r="G1255" s="20" t="n"/>
      <c r="H1255" s="14" t="n"/>
      <c r="I1255" s="19">
        <f>IF($C1255="","",ROUND(IF($G1255="",1,$G1255)*N($H1255),2))</f>
        <v/>
      </c>
      <c r="J1255" s="17">
        <f>IF($C1255="","",IFERROR(VLOOKUP($C1255,项目台账!$B:$C,2,0),"※项目不在项目台账里"))</f>
        <v/>
      </c>
      <c r="K1255" s="13" t="n"/>
    </row>
    <row r="1256">
      <c r="A1256" s="17">
        <f>IF($C1256="","",ROW()-3)</f>
        <v/>
      </c>
      <c r="B1256" s="18" t="n"/>
      <c r="C1256" s="13" t="n"/>
      <c r="D1256" s="13" t="n"/>
      <c r="E1256" s="13" t="n"/>
      <c r="F1256" s="13" t="n"/>
      <c r="G1256" s="20" t="n"/>
      <c r="H1256" s="14" t="n"/>
      <c r="I1256" s="19">
        <f>IF($C1256="","",ROUND(IF($G1256="",1,$G1256)*N($H1256),2))</f>
        <v/>
      </c>
      <c r="J1256" s="17">
        <f>IF($C1256="","",IFERROR(VLOOKUP($C1256,项目台账!$B:$C,2,0),"※项目不在项目台账里"))</f>
        <v/>
      </c>
      <c r="K1256" s="13" t="n"/>
    </row>
    <row r="1257">
      <c r="A1257" s="17">
        <f>IF($C1257="","",ROW()-3)</f>
        <v/>
      </c>
      <c r="B1257" s="18" t="n"/>
      <c r="C1257" s="13" t="n"/>
      <c r="D1257" s="13" t="n"/>
      <c r="E1257" s="13" t="n"/>
      <c r="F1257" s="13" t="n"/>
      <c r="G1257" s="20" t="n"/>
      <c r="H1257" s="14" t="n"/>
      <c r="I1257" s="19">
        <f>IF($C1257="","",ROUND(IF($G1257="",1,$G1257)*N($H1257),2))</f>
        <v/>
      </c>
      <c r="J1257" s="17">
        <f>IF($C1257="","",IFERROR(VLOOKUP($C1257,项目台账!$B:$C,2,0),"※项目不在项目台账里"))</f>
        <v/>
      </c>
      <c r="K1257" s="13" t="n"/>
    </row>
    <row r="1258">
      <c r="A1258" s="17">
        <f>IF($C1258="","",ROW()-3)</f>
        <v/>
      </c>
      <c r="B1258" s="18" t="n"/>
      <c r="C1258" s="13" t="n"/>
      <c r="D1258" s="13" t="n"/>
      <c r="E1258" s="13" t="n"/>
      <c r="F1258" s="13" t="n"/>
      <c r="G1258" s="20" t="n"/>
      <c r="H1258" s="14" t="n"/>
      <c r="I1258" s="19">
        <f>IF($C1258="","",ROUND(IF($G1258="",1,$G1258)*N($H1258),2))</f>
        <v/>
      </c>
      <c r="J1258" s="17">
        <f>IF($C1258="","",IFERROR(VLOOKUP($C1258,项目台账!$B:$C,2,0),"※项目不在项目台账里"))</f>
        <v/>
      </c>
      <c r="K1258" s="13" t="n"/>
    </row>
    <row r="1259">
      <c r="A1259" s="17">
        <f>IF($C1259="","",ROW()-3)</f>
        <v/>
      </c>
      <c r="B1259" s="18" t="n"/>
      <c r="C1259" s="13" t="n"/>
      <c r="D1259" s="13" t="n"/>
      <c r="E1259" s="13" t="n"/>
      <c r="F1259" s="13" t="n"/>
      <c r="G1259" s="20" t="n"/>
      <c r="H1259" s="14" t="n"/>
      <c r="I1259" s="19">
        <f>IF($C1259="","",ROUND(IF($G1259="",1,$G1259)*N($H1259),2))</f>
        <v/>
      </c>
      <c r="J1259" s="17">
        <f>IF($C1259="","",IFERROR(VLOOKUP($C1259,项目台账!$B:$C,2,0),"※项目不在项目台账里"))</f>
        <v/>
      </c>
      <c r="K1259" s="13" t="n"/>
    </row>
    <row r="1260">
      <c r="A1260" s="17">
        <f>IF($C1260="","",ROW()-3)</f>
        <v/>
      </c>
      <c r="B1260" s="18" t="n"/>
      <c r="C1260" s="13" t="n"/>
      <c r="D1260" s="13" t="n"/>
      <c r="E1260" s="13" t="n"/>
      <c r="F1260" s="13" t="n"/>
      <c r="G1260" s="20" t="n"/>
      <c r="H1260" s="14" t="n"/>
      <c r="I1260" s="19">
        <f>IF($C1260="","",ROUND(IF($G1260="",1,$G1260)*N($H1260),2))</f>
        <v/>
      </c>
      <c r="J1260" s="17">
        <f>IF($C1260="","",IFERROR(VLOOKUP($C1260,项目台账!$B:$C,2,0),"※项目不在项目台账里"))</f>
        <v/>
      </c>
      <c r="K1260" s="13" t="n"/>
    </row>
    <row r="1261">
      <c r="A1261" s="17">
        <f>IF($C1261="","",ROW()-3)</f>
        <v/>
      </c>
      <c r="B1261" s="18" t="n"/>
      <c r="C1261" s="13" t="n"/>
      <c r="D1261" s="13" t="n"/>
      <c r="E1261" s="13" t="n"/>
      <c r="F1261" s="13" t="n"/>
      <c r="G1261" s="20" t="n"/>
      <c r="H1261" s="14" t="n"/>
      <c r="I1261" s="19">
        <f>IF($C1261="","",ROUND(IF($G1261="",1,$G1261)*N($H1261),2))</f>
        <v/>
      </c>
      <c r="J1261" s="17">
        <f>IF($C1261="","",IFERROR(VLOOKUP($C1261,项目台账!$B:$C,2,0),"※项目不在项目台账里"))</f>
        <v/>
      </c>
      <c r="K1261" s="13" t="n"/>
    </row>
    <row r="1262">
      <c r="A1262" s="17">
        <f>IF($C1262="","",ROW()-3)</f>
        <v/>
      </c>
      <c r="B1262" s="18" t="n"/>
      <c r="C1262" s="13" t="n"/>
      <c r="D1262" s="13" t="n"/>
      <c r="E1262" s="13" t="n"/>
      <c r="F1262" s="13" t="n"/>
      <c r="G1262" s="20" t="n"/>
      <c r="H1262" s="14" t="n"/>
      <c r="I1262" s="19">
        <f>IF($C1262="","",ROUND(IF($G1262="",1,$G1262)*N($H1262),2))</f>
        <v/>
      </c>
      <c r="J1262" s="17">
        <f>IF($C1262="","",IFERROR(VLOOKUP($C1262,项目台账!$B:$C,2,0),"※项目不在项目台账里"))</f>
        <v/>
      </c>
      <c r="K1262" s="13" t="n"/>
    </row>
    <row r="1263">
      <c r="A1263" s="17">
        <f>IF($C1263="","",ROW()-3)</f>
        <v/>
      </c>
      <c r="B1263" s="18" t="n"/>
      <c r="C1263" s="13" t="n"/>
      <c r="D1263" s="13" t="n"/>
      <c r="E1263" s="13" t="n"/>
      <c r="F1263" s="13" t="n"/>
      <c r="G1263" s="20" t="n"/>
      <c r="H1263" s="14" t="n"/>
      <c r="I1263" s="19">
        <f>IF($C1263="","",ROUND(IF($G1263="",1,$G1263)*N($H1263),2))</f>
        <v/>
      </c>
      <c r="J1263" s="17">
        <f>IF($C1263="","",IFERROR(VLOOKUP($C1263,项目台账!$B:$C,2,0),"※项目不在项目台账里"))</f>
        <v/>
      </c>
      <c r="K1263" s="13" t="n"/>
    </row>
    <row r="1264">
      <c r="A1264" s="17">
        <f>IF($C1264="","",ROW()-3)</f>
        <v/>
      </c>
      <c r="B1264" s="18" t="n"/>
      <c r="C1264" s="13" t="n"/>
      <c r="D1264" s="13" t="n"/>
      <c r="E1264" s="13" t="n"/>
      <c r="F1264" s="13" t="n"/>
      <c r="G1264" s="20" t="n"/>
      <c r="H1264" s="14" t="n"/>
      <c r="I1264" s="19">
        <f>IF($C1264="","",ROUND(IF($G1264="",1,$G1264)*N($H1264),2))</f>
        <v/>
      </c>
      <c r="J1264" s="17">
        <f>IF($C1264="","",IFERROR(VLOOKUP($C1264,项目台账!$B:$C,2,0),"※项目不在项目台账里"))</f>
        <v/>
      </c>
      <c r="K1264" s="13" t="n"/>
    </row>
    <row r="1265">
      <c r="A1265" s="17">
        <f>IF($C1265="","",ROW()-3)</f>
        <v/>
      </c>
      <c r="B1265" s="18" t="n"/>
      <c r="C1265" s="13" t="n"/>
      <c r="D1265" s="13" t="n"/>
      <c r="E1265" s="13" t="n"/>
      <c r="F1265" s="13" t="n"/>
      <c r="G1265" s="20" t="n"/>
      <c r="H1265" s="14" t="n"/>
      <c r="I1265" s="19">
        <f>IF($C1265="","",ROUND(IF($G1265="",1,$G1265)*N($H1265),2))</f>
        <v/>
      </c>
      <c r="J1265" s="17">
        <f>IF($C1265="","",IFERROR(VLOOKUP($C1265,项目台账!$B:$C,2,0),"※项目不在项目台账里"))</f>
        <v/>
      </c>
      <c r="K1265" s="13" t="n"/>
    </row>
    <row r="1266">
      <c r="A1266" s="17">
        <f>IF($C1266="","",ROW()-3)</f>
        <v/>
      </c>
      <c r="B1266" s="18" t="n"/>
      <c r="C1266" s="13" t="n"/>
      <c r="D1266" s="13" t="n"/>
      <c r="E1266" s="13" t="n"/>
      <c r="F1266" s="13" t="n"/>
      <c r="G1266" s="20" t="n"/>
      <c r="H1266" s="14" t="n"/>
      <c r="I1266" s="19">
        <f>IF($C1266="","",ROUND(IF($G1266="",1,$G1266)*N($H1266),2))</f>
        <v/>
      </c>
      <c r="J1266" s="17">
        <f>IF($C1266="","",IFERROR(VLOOKUP($C1266,项目台账!$B:$C,2,0),"※项目不在项目台账里"))</f>
        <v/>
      </c>
      <c r="K1266" s="13" t="n"/>
    </row>
    <row r="1267">
      <c r="A1267" s="17">
        <f>IF($C1267="","",ROW()-3)</f>
        <v/>
      </c>
      <c r="B1267" s="18" t="n"/>
      <c r="C1267" s="13" t="n"/>
      <c r="D1267" s="13" t="n"/>
      <c r="E1267" s="13" t="n"/>
      <c r="F1267" s="13" t="n"/>
      <c r="G1267" s="20" t="n"/>
      <c r="H1267" s="14" t="n"/>
      <c r="I1267" s="19">
        <f>IF($C1267="","",ROUND(IF($G1267="",1,$G1267)*N($H1267),2))</f>
        <v/>
      </c>
      <c r="J1267" s="17">
        <f>IF($C1267="","",IFERROR(VLOOKUP($C1267,项目台账!$B:$C,2,0),"※项目不在项目台账里"))</f>
        <v/>
      </c>
      <c r="K1267" s="13" t="n"/>
    </row>
    <row r="1268">
      <c r="A1268" s="17">
        <f>IF($C1268="","",ROW()-3)</f>
        <v/>
      </c>
      <c r="B1268" s="18" t="n"/>
      <c r="C1268" s="13" t="n"/>
      <c r="D1268" s="13" t="n"/>
      <c r="E1268" s="13" t="n"/>
      <c r="F1268" s="13" t="n"/>
      <c r="G1268" s="20" t="n"/>
      <c r="H1268" s="14" t="n"/>
      <c r="I1268" s="19">
        <f>IF($C1268="","",ROUND(IF($G1268="",1,$G1268)*N($H1268),2))</f>
        <v/>
      </c>
      <c r="J1268" s="17">
        <f>IF($C1268="","",IFERROR(VLOOKUP($C1268,项目台账!$B:$C,2,0),"※项目不在项目台账里"))</f>
        <v/>
      </c>
      <c r="K1268" s="13" t="n"/>
    </row>
    <row r="1269">
      <c r="A1269" s="17">
        <f>IF($C1269="","",ROW()-3)</f>
        <v/>
      </c>
      <c r="B1269" s="18" t="n"/>
      <c r="C1269" s="13" t="n"/>
      <c r="D1269" s="13" t="n"/>
      <c r="E1269" s="13" t="n"/>
      <c r="F1269" s="13" t="n"/>
      <c r="G1269" s="20" t="n"/>
      <c r="H1269" s="14" t="n"/>
      <c r="I1269" s="19">
        <f>IF($C1269="","",ROUND(IF($G1269="",1,$G1269)*N($H1269),2))</f>
        <v/>
      </c>
      <c r="J1269" s="17">
        <f>IF($C1269="","",IFERROR(VLOOKUP($C1269,项目台账!$B:$C,2,0),"※项目不在项目台账里"))</f>
        <v/>
      </c>
      <c r="K1269" s="13" t="n"/>
    </row>
    <row r="1270">
      <c r="A1270" s="17">
        <f>IF($C1270="","",ROW()-3)</f>
        <v/>
      </c>
      <c r="B1270" s="18" t="n"/>
      <c r="C1270" s="13" t="n"/>
      <c r="D1270" s="13" t="n"/>
      <c r="E1270" s="13" t="n"/>
      <c r="F1270" s="13" t="n"/>
      <c r="G1270" s="20" t="n"/>
      <c r="H1270" s="14" t="n"/>
      <c r="I1270" s="19">
        <f>IF($C1270="","",ROUND(IF($G1270="",1,$G1270)*N($H1270),2))</f>
        <v/>
      </c>
      <c r="J1270" s="17">
        <f>IF($C1270="","",IFERROR(VLOOKUP($C1270,项目台账!$B:$C,2,0),"※项目不在项目台账里"))</f>
        <v/>
      </c>
      <c r="K1270" s="13" t="n"/>
    </row>
    <row r="1271">
      <c r="A1271" s="17">
        <f>IF($C1271="","",ROW()-3)</f>
        <v/>
      </c>
      <c r="B1271" s="18" t="n"/>
      <c r="C1271" s="13" t="n"/>
      <c r="D1271" s="13" t="n"/>
      <c r="E1271" s="13" t="n"/>
      <c r="F1271" s="13" t="n"/>
      <c r="G1271" s="20" t="n"/>
      <c r="H1271" s="14" t="n"/>
      <c r="I1271" s="19">
        <f>IF($C1271="","",ROUND(IF($G1271="",1,$G1271)*N($H1271),2))</f>
        <v/>
      </c>
      <c r="J1271" s="17">
        <f>IF($C1271="","",IFERROR(VLOOKUP($C1271,项目台账!$B:$C,2,0),"※项目不在项目台账里"))</f>
        <v/>
      </c>
      <c r="K1271" s="13" t="n"/>
    </row>
    <row r="1272">
      <c r="A1272" s="17">
        <f>IF($C1272="","",ROW()-3)</f>
        <v/>
      </c>
      <c r="B1272" s="18" t="n"/>
      <c r="C1272" s="13" t="n"/>
      <c r="D1272" s="13" t="n"/>
      <c r="E1272" s="13" t="n"/>
      <c r="F1272" s="13" t="n"/>
      <c r="G1272" s="20" t="n"/>
      <c r="H1272" s="14" t="n"/>
      <c r="I1272" s="19">
        <f>IF($C1272="","",ROUND(IF($G1272="",1,$G1272)*N($H1272),2))</f>
        <v/>
      </c>
      <c r="J1272" s="17">
        <f>IF($C1272="","",IFERROR(VLOOKUP($C1272,项目台账!$B:$C,2,0),"※项目不在项目台账里"))</f>
        <v/>
      </c>
      <c r="K1272" s="13" t="n"/>
    </row>
    <row r="1273">
      <c r="A1273" s="17">
        <f>IF($C1273="","",ROW()-3)</f>
        <v/>
      </c>
      <c r="B1273" s="18" t="n"/>
      <c r="C1273" s="13" t="n"/>
      <c r="D1273" s="13" t="n"/>
      <c r="E1273" s="13" t="n"/>
      <c r="F1273" s="13" t="n"/>
      <c r="G1273" s="20" t="n"/>
      <c r="H1273" s="14" t="n"/>
      <c r="I1273" s="19">
        <f>IF($C1273="","",ROUND(IF($G1273="",1,$G1273)*N($H1273),2))</f>
        <v/>
      </c>
      <c r="J1273" s="17">
        <f>IF($C1273="","",IFERROR(VLOOKUP($C1273,项目台账!$B:$C,2,0),"※项目不在项目台账里"))</f>
        <v/>
      </c>
      <c r="K1273" s="13" t="n"/>
    </row>
    <row r="1274">
      <c r="A1274" s="17">
        <f>IF($C1274="","",ROW()-3)</f>
        <v/>
      </c>
      <c r="B1274" s="18" t="n"/>
      <c r="C1274" s="13" t="n"/>
      <c r="D1274" s="13" t="n"/>
      <c r="E1274" s="13" t="n"/>
      <c r="F1274" s="13" t="n"/>
      <c r="G1274" s="20" t="n"/>
      <c r="H1274" s="14" t="n"/>
      <c r="I1274" s="19">
        <f>IF($C1274="","",ROUND(IF($G1274="",1,$G1274)*N($H1274),2))</f>
        <v/>
      </c>
      <c r="J1274" s="17">
        <f>IF($C1274="","",IFERROR(VLOOKUP($C1274,项目台账!$B:$C,2,0),"※项目不在项目台账里"))</f>
        <v/>
      </c>
      <c r="K1274" s="13" t="n"/>
    </row>
    <row r="1275">
      <c r="A1275" s="17">
        <f>IF($C1275="","",ROW()-3)</f>
        <v/>
      </c>
      <c r="B1275" s="18" t="n"/>
      <c r="C1275" s="13" t="n"/>
      <c r="D1275" s="13" t="n"/>
      <c r="E1275" s="13" t="n"/>
      <c r="F1275" s="13" t="n"/>
      <c r="G1275" s="20" t="n"/>
      <c r="H1275" s="14" t="n"/>
      <c r="I1275" s="19">
        <f>IF($C1275="","",ROUND(IF($G1275="",1,$G1275)*N($H1275),2))</f>
        <v/>
      </c>
      <c r="J1275" s="17">
        <f>IF($C1275="","",IFERROR(VLOOKUP($C1275,项目台账!$B:$C,2,0),"※项目不在项目台账里"))</f>
        <v/>
      </c>
      <c r="K1275" s="13" t="n"/>
    </row>
    <row r="1276">
      <c r="A1276" s="17">
        <f>IF($C1276="","",ROW()-3)</f>
        <v/>
      </c>
      <c r="B1276" s="18" t="n"/>
      <c r="C1276" s="13" t="n"/>
      <c r="D1276" s="13" t="n"/>
      <c r="E1276" s="13" t="n"/>
      <c r="F1276" s="13" t="n"/>
      <c r="G1276" s="20" t="n"/>
      <c r="H1276" s="14" t="n"/>
      <c r="I1276" s="19">
        <f>IF($C1276="","",ROUND(IF($G1276="",1,$G1276)*N($H1276),2))</f>
        <v/>
      </c>
      <c r="J1276" s="17">
        <f>IF($C1276="","",IFERROR(VLOOKUP($C1276,项目台账!$B:$C,2,0),"※项目不在项目台账里"))</f>
        <v/>
      </c>
      <c r="K1276" s="13" t="n"/>
    </row>
    <row r="1277">
      <c r="A1277" s="17">
        <f>IF($C1277="","",ROW()-3)</f>
        <v/>
      </c>
      <c r="B1277" s="18" t="n"/>
      <c r="C1277" s="13" t="n"/>
      <c r="D1277" s="13" t="n"/>
      <c r="E1277" s="13" t="n"/>
      <c r="F1277" s="13" t="n"/>
      <c r="G1277" s="20" t="n"/>
      <c r="H1277" s="14" t="n"/>
      <c r="I1277" s="19">
        <f>IF($C1277="","",ROUND(IF($G1277="",1,$G1277)*N($H1277),2))</f>
        <v/>
      </c>
      <c r="J1277" s="17">
        <f>IF($C1277="","",IFERROR(VLOOKUP($C1277,项目台账!$B:$C,2,0),"※项目不在项目台账里"))</f>
        <v/>
      </c>
      <c r="K1277" s="13" t="n"/>
    </row>
    <row r="1278">
      <c r="A1278" s="17">
        <f>IF($C1278="","",ROW()-3)</f>
        <v/>
      </c>
      <c r="B1278" s="18" t="n"/>
      <c r="C1278" s="13" t="n"/>
      <c r="D1278" s="13" t="n"/>
      <c r="E1278" s="13" t="n"/>
      <c r="F1278" s="13" t="n"/>
      <c r="G1278" s="20" t="n"/>
      <c r="H1278" s="14" t="n"/>
      <c r="I1278" s="19">
        <f>IF($C1278="","",ROUND(IF($G1278="",1,$G1278)*N($H1278),2))</f>
        <v/>
      </c>
      <c r="J1278" s="17">
        <f>IF($C1278="","",IFERROR(VLOOKUP($C1278,项目台账!$B:$C,2,0),"※项目不在项目台账里"))</f>
        <v/>
      </c>
      <c r="K1278" s="13" t="n"/>
    </row>
    <row r="1279">
      <c r="A1279" s="17">
        <f>IF($C1279="","",ROW()-3)</f>
        <v/>
      </c>
      <c r="B1279" s="18" t="n"/>
      <c r="C1279" s="13" t="n"/>
      <c r="D1279" s="13" t="n"/>
      <c r="E1279" s="13" t="n"/>
      <c r="F1279" s="13" t="n"/>
      <c r="G1279" s="20" t="n"/>
      <c r="H1279" s="14" t="n"/>
      <c r="I1279" s="19">
        <f>IF($C1279="","",ROUND(IF($G1279="",1,$G1279)*N($H1279),2))</f>
        <v/>
      </c>
      <c r="J1279" s="17">
        <f>IF($C1279="","",IFERROR(VLOOKUP($C1279,项目台账!$B:$C,2,0),"※项目不在项目台账里"))</f>
        <v/>
      </c>
      <c r="K1279" s="13" t="n"/>
    </row>
    <row r="1280">
      <c r="A1280" s="17">
        <f>IF($C1280="","",ROW()-3)</f>
        <v/>
      </c>
      <c r="B1280" s="18" t="n"/>
      <c r="C1280" s="13" t="n"/>
      <c r="D1280" s="13" t="n"/>
      <c r="E1280" s="13" t="n"/>
      <c r="F1280" s="13" t="n"/>
      <c r="G1280" s="20" t="n"/>
      <c r="H1280" s="14" t="n"/>
      <c r="I1280" s="19">
        <f>IF($C1280="","",ROUND(IF($G1280="",1,$G1280)*N($H1280),2))</f>
        <v/>
      </c>
      <c r="J1280" s="17">
        <f>IF($C1280="","",IFERROR(VLOOKUP($C1280,项目台账!$B:$C,2,0),"※项目不在项目台账里"))</f>
        <v/>
      </c>
      <c r="K1280" s="13" t="n"/>
    </row>
    <row r="1281">
      <c r="A1281" s="17">
        <f>IF($C1281="","",ROW()-3)</f>
        <v/>
      </c>
      <c r="B1281" s="18" t="n"/>
      <c r="C1281" s="13" t="n"/>
      <c r="D1281" s="13" t="n"/>
      <c r="E1281" s="13" t="n"/>
      <c r="F1281" s="13" t="n"/>
      <c r="G1281" s="20" t="n"/>
      <c r="H1281" s="14" t="n"/>
      <c r="I1281" s="19">
        <f>IF($C1281="","",ROUND(IF($G1281="",1,$G1281)*N($H1281),2))</f>
        <v/>
      </c>
      <c r="J1281" s="17">
        <f>IF($C1281="","",IFERROR(VLOOKUP($C1281,项目台账!$B:$C,2,0),"※项目不在项目台账里"))</f>
        <v/>
      </c>
      <c r="K1281" s="13" t="n"/>
    </row>
    <row r="1282">
      <c r="A1282" s="17">
        <f>IF($C1282="","",ROW()-3)</f>
        <v/>
      </c>
      <c r="B1282" s="18" t="n"/>
      <c r="C1282" s="13" t="n"/>
      <c r="D1282" s="13" t="n"/>
      <c r="E1282" s="13" t="n"/>
      <c r="F1282" s="13" t="n"/>
      <c r="G1282" s="20" t="n"/>
      <c r="H1282" s="14" t="n"/>
      <c r="I1282" s="19">
        <f>IF($C1282="","",ROUND(IF($G1282="",1,$G1282)*N($H1282),2))</f>
        <v/>
      </c>
      <c r="J1282" s="17">
        <f>IF($C1282="","",IFERROR(VLOOKUP($C1282,项目台账!$B:$C,2,0),"※项目不在项目台账里"))</f>
        <v/>
      </c>
      <c r="K1282" s="13" t="n"/>
    </row>
    <row r="1283">
      <c r="A1283" s="17">
        <f>IF($C1283="","",ROW()-3)</f>
        <v/>
      </c>
      <c r="B1283" s="18" t="n"/>
      <c r="C1283" s="13" t="n"/>
      <c r="D1283" s="13" t="n"/>
      <c r="E1283" s="13" t="n"/>
      <c r="F1283" s="13" t="n"/>
      <c r="G1283" s="20" t="n"/>
      <c r="H1283" s="14" t="n"/>
      <c r="I1283" s="19">
        <f>IF($C1283="","",ROUND(IF($G1283="",1,$G1283)*N($H1283),2))</f>
        <v/>
      </c>
      <c r="J1283" s="17">
        <f>IF($C1283="","",IFERROR(VLOOKUP($C1283,项目台账!$B:$C,2,0),"※项目不在项目台账里"))</f>
        <v/>
      </c>
      <c r="K1283" s="13" t="n"/>
    </row>
    <row r="1284">
      <c r="A1284" s="17">
        <f>IF($C1284="","",ROW()-3)</f>
        <v/>
      </c>
      <c r="B1284" s="18" t="n"/>
      <c r="C1284" s="13" t="n"/>
      <c r="D1284" s="13" t="n"/>
      <c r="E1284" s="13" t="n"/>
      <c r="F1284" s="13" t="n"/>
      <c r="G1284" s="20" t="n"/>
      <c r="H1284" s="14" t="n"/>
      <c r="I1284" s="19">
        <f>IF($C1284="","",ROUND(IF($G1284="",1,$G1284)*N($H1284),2))</f>
        <v/>
      </c>
      <c r="J1284" s="17">
        <f>IF($C1284="","",IFERROR(VLOOKUP($C1284,项目台账!$B:$C,2,0),"※项目不在项目台账里"))</f>
        <v/>
      </c>
      <c r="K1284" s="13" t="n"/>
    </row>
    <row r="1285">
      <c r="A1285" s="17">
        <f>IF($C1285="","",ROW()-3)</f>
        <v/>
      </c>
      <c r="B1285" s="18" t="n"/>
      <c r="C1285" s="13" t="n"/>
      <c r="D1285" s="13" t="n"/>
      <c r="E1285" s="13" t="n"/>
      <c r="F1285" s="13" t="n"/>
      <c r="G1285" s="20" t="n"/>
      <c r="H1285" s="14" t="n"/>
      <c r="I1285" s="19">
        <f>IF($C1285="","",ROUND(IF($G1285="",1,$G1285)*N($H1285),2))</f>
        <v/>
      </c>
      <c r="J1285" s="17">
        <f>IF($C1285="","",IFERROR(VLOOKUP($C1285,项目台账!$B:$C,2,0),"※项目不在项目台账里"))</f>
        <v/>
      </c>
      <c r="K1285" s="13" t="n"/>
    </row>
    <row r="1286">
      <c r="A1286" s="17">
        <f>IF($C1286="","",ROW()-3)</f>
        <v/>
      </c>
      <c r="B1286" s="18" t="n"/>
      <c r="C1286" s="13" t="n"/>
      <c r="D1286" s="13" t="n"/>
      <c r="E1286" s="13" t="n"/>
      <c r="F1286" s="13" t="n"/>
      <c r="G1286" s="20" t="n"/>
      <c r="H1286" s="14" t="n"/>
      <c r="I1286" s="19">
        <f>IF($C1286="","",ROUND(IF($G1286="",1,$G1286)*N($H1286),2))</f>
        <v/>
      </c>
      <c r="J1286" s="17">
        <f>IF($C1286="","",IFERROR(VLOOKUP($C1286,项目台账!$B:$C,2,0),"※项目不在项目台账里"))</f>
        <v/>
      </c>
      <c r="K1286" s="13" t="n"/>
    </row>
    <row r="1287">
      <c r="A1287" s="17">
        <f>IF($C1287="","",ROW()-3)</f>
        <v/>
      </c>
      <c r="B1287" s="18" t="n"/>
      <c r="C1287" s="13" t="n"/>
      <c r="D1287" s="13" t="n"/>
      <c r="E1287" s="13" t="n"/>
      <c r="F1287" s="13" t="n"/>
      <c r="G1287" s="20" t="n"/>
      <c r="H1287" s="14" t="n"/>
      <c r="I1287" s="19">
        <f>IF($C1287="","",ROUND(IF($G1287="",1,$G1287)*N($H1287),2))</f>
        <v/>
      </c>
      <c r="J1287" s="17">
        <f>IF($C1287="","",IFERROR(VLOOKUP($C1287,项目台账!$B:$C,2,0),"※项目不在项目台账里"))</f>
        <v/>
      </c>
      <c r="K1287" s="13" t="n"/>
    </row>
    <row r="1288">
      <c r="A1288" s="17">
        <f>IF($C1288="","",ROW()-3)</f>
        <v/>
      </c>
      <c r="B1288" s="18" t="n"/>
      <c r="C1288" s="13" t="n"/>
      <c r="D1288" s="13" t="n"/>
      <c r="E1288" s="13" t="n"/>
      <c r="F1288" s="13" t="n"/>
      <c r="G1288" s="20" t="n"/>
      <c r="H1288" s="14" t="n"/>
      <c r="I1288" s="19">
        <f>IF($C1288="","",ROUND(IF($G1288="",1,$G1288)*N($H1288),2))</f>
        <v/>
      </c>
      <c r="J1288" s="17">
        <f>IF($C1288="","",IFERROR(VLOOKUP($C1288,项目台账!$B:$C,2,0),"※项目不在项目台账里"))</f>
        <v/>
      </c>
      <c r="K1288" s="13" t="n"/>
    </row>
    <row r="1289">
      <c r="A1289" s="17">
        <f>IF($C1289="","",ROW()-3)</f>
        <v/>
      </c>
      <c r="B1289" s="18" t="n"/>
      <c r="C1289" s="13" t="n"/>
      <c r="D1289" s="13" t="n"/>
      <c r="E1289" s="13" t="n"/>
      <c r="F1289" s="13" t="n"/>
      <c r="G1289" s="20" t="n"/>
      <c r="H1289" s="14" t="n"/>
      <c r="I1289" s="19">
        <f>IF($C1289="","",ROUND(IF($G1289="",1,$G1289)*N($H1289),2))</f>
        <v/>
      </c>
      <c r="J1289" s="17">
        <f>IF($C1289="","",IFERROR(VLOOKUP($C1289,项目台账!$B:$C,2,0),"※项目不在项目台账里"))</f>
        <v/>
      </c>
      <c r="K1289" s="13" t="n"/>
    </row>
    <row r="1290">
      <c r="A1290" s="17">
        <f>IF($C1290="","",ROW()-3)</f>
        <v/>
      </c>
      <c r="B1290" s="18" t="n"/>
      <c r="C1290" s="13" t="n"/>
      <c r="D1290" s="13" t="n"/>
      <c r="E1290" s="13" t="n"/>
      <c r="F1290" s="13" t="n"/>
      <c r="G1290" s="20" t="n"/>
      <c r="H1290" s="14" t="n"/>
      <c r="I1290" s="19">
        <f>IF($C1290="","",ROUND(IF($G1290="",1,$G1290)*N($H1290),2))</f>
        <v/>
      </c>
      <c r="J1290" s="17">
        <f>IF($C1290="","",IFERROR(VLOOKUP($C1290,项目台账!$B:$C,2,0),"※项目不在项目台账里"))</f>
        <v/>
      </c>
      <c r="K1290" s="13" t="n"/>
    </row>
    <row r="1291">
      <c r="A1291" s="17">
        <f>IF($C1291="","",ROW()-3)</f>
        <v/>
      </c>
      <c r="B1291" s="18" t="n"/>
      <c r="C1291" s="13" t="n"/>
      <c r="D1291" s="13" t="n"/>
      <c r="E1291" s="13" t="n"/>
      <c r="F1291" s="13" t="n"/>
      <c r="G1291" s="20" t="n"/>
      <c r="H1291" s="14" t="n"/>
      <c r="I1291" s="19">
        <f>IF($C1291="","",ROUND(IF($G1291="",1,$G1291)*N($H1291),2))</f>
        <v/>
      </c>
      <c r="J1291" s="17">
        <f>IF($C1291="","",IFERROR(VLOOKUP($C1291,项目台账!$B:$C,2,0),"※项目不在项目台账里"))</f>
        <v/>
      </c>
      <c r="K1291" s="13" t="n"/>
    </row>
    <row r="1292">
      <c r="A1292" s="17">
        <f>IF($C1292="","",ROW()-3)</f>
        <v/>
      </c>
      <c r="B1292" s="18" t="n"/>
      <c r="C1292" s="13" t="n"/>
      <c r="D1292" s="13" t="n"/>
      <c r="E1292" s="13" t="n"/>
      <c r="F1292" s="13" t="n"/>
      <c r="G1292" s="20" t="n"/>
      <c r="H1292" s="14" t="n"/>
      <c r="I1292" s="19">
        <f>IF($C1292="","",ROUND(IF($G1292="",1,$G1292)*N($H1292),2))</f>
        <v/>
      </c>
      <c r="J1292" s="17">
        <f>IF($C1292="","",IFERROR(VLOOKUP($C1292,项目台账!$B:$C,2,0),"※项目不在项目台账里"))</f>
        <v/>
      </c>
      <c r="K1292" s="13" t="n"/>
    </row>
    <row r="1293">
      <c r="A1293" s="17">
        <f>IF($C1293="","",ROW()-3)</f>
        <v/>
      </c>
      <c r="B1293" s="18" t="n"/>
      <c r="C1293" s="13" t="n"/>
      <c r="D1293" s="13" t="n"/>
      <c r="E1293" s="13" t="n"/>
      <c r="F1293" s="13" t="n"/>
      <c r="G1293" s="20" t="n"/>
      <c r="H1293" s="14" t="n"/>
      <c r="I1293" s="19">
        <f>IF($C1293="","",ROUND(IF($G1293="",1,$G1293)*N($H1293),2))</f>
        <v/>
      </c>
      <c r="J1293" s="17">
        <f>IF($C1293="","",IFERROR(VLOOKUP($C1293,项目台账!$B:$C,2,0),"※项目不在项目台账里"))</f>
        <v/>
      </c>
      <c r="K1293" s="13" t="n"/>
    </row>
    <row r="1294">
      <c r="A1294" s="17">
        <f>IF($C1294="","",ROW()-3)</f>
        <v/>
      </c>
      <c r="B1294" s="18" t="n"/>
      <c r="C1294" s="13" t="n"/>
      <c r="D1294" s="13" t="n"/>
      <c r="E1294" s="13" t="n"/>
      <c r="F1294" s="13" t="n"/>
      <c r="G1294" s="20" t="n"/>
      <c r="H1294" s="14" t="n"/>
      <c r="I1294" s="19">
        <f>IF($C1294="","",ROUND(IF($G1294="",1,$G1294)*N($H1294),2))</f>
        <v/>
      </c>
      <c r="J1294" s="17">
        <f>IF($C1294="","",IFERROR(VLOOKUP($C1294,项目台账!$B:$C,2,0),"※项目不在项目台账里"))</f>
        <v/>
      </c>
      <c r="K1294" s="13" t="n"/>
    </row>
    <row r="1295">
      <c r="A1295" s="17">
        <f>IF($C1295="","",ROW()-3)</f>
        <v/>
      </c>
      <c r="B1295" s="18" t="n"/>
      <c r="C1295" s="13" t="n"/>
      <c r="D1295" s="13" t="n"/>
      <c r="E1295" s="13" t="n"/>
      <c r="F1295" s="13" t="n"/>
      <c r="G1295" s="20" t="n"/>
      <c r="H1295" s="14" t="n"/>
      <c r="I1295" s="19">
        <f>IF($C1295="","",ROUND(IF($G1295="",1,$G1295)*N($H1295),2))</f>
        <v/>
      </c>
      <c r="J1295" s="17">
        <f>IF($C1295="","",IFERROR(VLOOKUP($C1295,项目台账!$B:$C,2,0),"※项目不在项目台账里"))</f>
        <v/>
      </c>
      <c r="K1295" s="13" t="n"/>
    </row>
    <row r="1296">
      <c r="A1296" s="17">
        <f>IF($C1296="","",ROW()-3)</f>
        <v/>
      </c>
      <c r="B1296" s="18" t="n"/>
      <c r="C1296" s="13" t="n"/>
      <c r="D1296" s="13" t="n"/>
      <c r="E1296" s="13" t="n"/>
      <c r="F1296" s="13" t="n"/>
      <c r="G1296" s="20" t="n"/>
      <c r="H1296" s="14" t="n"/>
      <c r="I1296" s="19">
        <f>IF($C1296="","",ROUND(IF($G1296="",1,$G1296)*N($H1296),2))</f>
        <v/>
      </c>
      <c r="J1296" s="17">
        <f>IF($C1296="","",IFERROR(VLOOKUP($C1296,项目台账!$B:$C,2,0),"※项目不在项目台账里"))</f>
        <v/>
      </c>
      <c r="K1296" s="13" t="n"/>
    </row>
    <row r="1297">
      <c r="A1297" s="17">
        <f>IF($C1297="","",ROW()-3)</f>
        <v/>
      </c>
      <c r="B1297" s="18" t="n"/>
      <c r="C1297" s="13" t="n"/>
      <c r="D1297" s="13" t="n"/>
      <c r="E1297" s="13" t="n"/>
      <c r="F1297" s="13" t="n"/>
      <c r="G1297" s="20" t="n"/>
      <c r="H1297" s="14" t="n"/>
      <c r="I1297" s="19">
        <f>IF($C1297="","",ROUND(IF($G1297="",1,$G1297)*N($H1297),2))</f>
        <v/>
      </c>
      <c r="J1297" s="17">
        <f>IF($C1297="","",IFERROR(VLOOKUP($C1297,项目台账!$B:$C,2,0),"※项目不在项目台账里"))</f>
        <v/>
      </c>
      <c r="K1297" s="13" t="n"/>
    </row>
    <row r="1298">
      <c r="A1298" s="17">
        <f>IF($C1298="","",ROW()-3)</f>
        <v/>
      </c>
      <c r="B1298" s="18" t="n"/>
      <c r="C1298" s="13" t="n"/>
      <c r="D1298" s="13" t="n"/>
      <c r="E1298" s="13" t="n"/>
      <c r="F1298" s="13" t="n"/>
      <c r="G1298" s="20" t="n"/>
      <c r="H1298" s="14" t="n"/>
      <c r="I1298" s="19">
        <f>IF($C1298="","",ROUND(IF($G1298="",1,$G1298)*N($H1298),2))</f>
        <v/>
      </c>
      <c r="J1298" s="17">
        <f>IF($C1298="","",IFERROR(VLOOKUP($C1298,项目台账!$B:$C,2,0),"※项目不在项目台账里"))</f>
        <v/>
      </c>
      <c r="K1298" s="13" t="n"/>
    </row>
    <row r="1299">
      <c r="A1299" s="17">
        <f>IF($C1299="","",ROW()-3)</f>
        <v/>
      </c>
      <c r="B1299" s="18" t="n"/>
      <c r="C1299" s="13" t="n"/>
      <c r="D1299" s="13" t="n"/>
      <c r="E1299" s="13" t="n"/>
      <c r="F1299" s="13" t="n"/>
      <c r="G1299" s="20" t="n"/>
      <c r="H1299" s="14" t="n"/>
      <c r="I1299" s="19">
        <f>IF($C1299="","",ROUND(IF($G1299="",1,$G1299)*N($H1299),2))</f>
        <v/>
      </c>
      <c r="J1299" s="17">
        <f>IF($C1299="","",IFERROR(VLOOKUP($C1299,项目台账!$B:$C,2,0),"※项目不在项目台账里"))</f>
        <v/>
      </c>
      <c r="K1299" s="13" t="n"/>
    </row>
    <row r="1300">
      <c r="A1300" s="17">
        <f>IF($C1300="","",ROW()-3)</f>
        <v/>
      </c>
      <c r="B1300" s="18" t="n"/>
      <c r="C1300" s="13" t="n"/>
      <c r="D1300" s="13" t="n"/>
      <c r="E1300" s="13" t="n"/>
      <c r="F1300" s="13" t="n"/>
      <c r="G1300" s="20" t="n"/>
      <c r="H1300" s="14" t="n"/>
      <c r="I1300" s="19">
        <f>IF($C1300="","",ROUND(IF($G1300="",1,$G1300)*N($H1300),2))</f>
        <v/>
      </c>
      <c r="J1300" s="17">
        <f>IF($C1300="","",IFERROR(VLOOKUP($C1300,项目台账!$B:$C,2,0),"※项目不在项目台账里"))</f>
        <v/>
      </c>
      <c r="K1300" s="13" t="n"/>
    </row>
    <row r="1301">
      <c r="A1301" s="17">
        <f>IF($C1301="","",ROW()-3)</f>
        <v/>
      </c>
      <c r="B1301" s="18" t="n"/>
      <c r="C1301" s="13" t="n"/>
      <c r="D1301" s="13" t="n"/>
      <c r="E1301" s="13" t="n"/>
      <c r="F1301" s="13" t="n"/>
      <c r="G1301" s="20" t="n"/>
      <c r="H1301" s="14" t="n"/>
      <c r="I1301" s="19">
        <f>IF($C1301="","",ROUND(IF($G1301="",1,$G1301)*N($H1301),2))</f>
        <v/>
      </c>
      <c r="J1301" s="17">
        <f>IF($C1301="","",IFERROR(VLOOKUP($C1301,项目台账!$B:$C,2,0),"※项目不在项目台账里"))</f>
        <v/>
      </c>
      <c r="K1301" s="13" t="n"/>
    </row>
    <row r="1302">
      <c r="A1302" s="17">
        <f>IF($C1302="","",ROW()-3)</f>
        <v/>
      </c>
      <c r="B1302" s="18" t="n"/>
      <c r="C1302" s="13" t="n"/>
      <c r="D1302" s="13" t="n"/>
      <c r="E1302" s="13" t="n"/>
      <c r="F1302" s="13" t="n"/>
      <c r="G1302" s="20" t="n"/>
      <c r="H1302" s="14" t="n"/>
      <c r="I1302" s="19">
        <f>IF($C1302="","",ROUND(IF($G1302="",1,$G1302)*N($H1302),2))</f>
        <v/>
      </c>
      <c r="J1302" s="17">
        <f>IF($C1302="","",IFERROR(VLOOKUP($C1302,项目台账!$B:$C,2,0),"※项目不在项目台账里"))</f>
        <v/>
      </c>
      <c r="K1302" s="13" t="n"/>
    </row>
    <row r="1303">
      <c r="A1303" s="17">
        <f>IF($C1303="","",ROW()-3)</f>
        <v/>
      </c>
      <c r="B1303" s="18" t="n"/>
      <c r="C1303" s="13" t="n"/>
      <c r="D1303" s="13" t="n"/>
      <c r="E1303" s="13" t="n"/>
      <c r="F1303" s="13" t="n"/>
      <c r="G1303" s="20" t="n"/>
      <c r="H1303" s="14" t="n"/>
      <c r="I1303" s="19">
        <f>IF($C1303="","",ROUND(IF($G1303="",1,$G1303)*N($H1303),2))</f>
        <v/>
      </c>
      <c r="J1303" s="17">
        <f>IF($C1303="","",IFERROR(VLOOKUP($C1303,项目台账!$B:$C,2,0),"※项目不在项目台账里"))</f>
        <v/>
      </c>
      <c r="K1303" s="13" t="n"/>
    </row>
    <row r="1304">
      <c r="A1304" s="17">
        <f>IF($C1304="","",ROW()-3)</f>
        <v/>
      </c>
      <c r="B1304" s="18" t="n"/>
      <c r="C1304" s="13" t="n"/>
      <c r="D1304" s="13" t="n"/>
      <c r="E1304" s="13" t="n"/>
      <c r="F1304" s="13" t="n"/>
      <c r="G1304" s="20" t="n"/>
      <c r="H1304" s="14" t="n"/>
      <c r="I1304" s="19">
        <f>IF($C1304="","",ROUND(IF($G1304="",1,$G1304)*N($H1304),2))</f>
        <v/>
      </c>
      <c r="J1304" s="17">
        <f>IF($C1304="","",IFERROR(VLOOKUP($C1304,项目台账!$B:$C,2,0),"※项目不在项目台账里"))</f>
        <v/>
      </c>
      <c r="K1304" s="13" t="n"/>
    </row>
    <row r="1305">
      <c r="A1305" s="17">
        <f>IF($C1305="","",ROW()-3)</f>
        <v/>
      </c>
      <c r="B1305" s="18" t="n"/>
      <c r="C1305" s="13" t="n"/>
      <c r="D1305" s="13" t="n"/>
      <c r="E1305" s="13" t="n"/>
      <c r="F1305" s="13" t="n"/>
      <c r="G1305" s="20" t="n"/>
      <c r="H1305" s="14" t="n"/>
      <c r="I1305" s="19">
        <f>IF($C1305="","",ROUND(IF($G1305="",1,$G1305)*N($H1305),2))</f>
        <v/>
      </c>
      <c r="J1305" s="17">
        <f>IF($C1305="","",IFERROR(VLOOKUP($C1305,项目台账!$B:$C,2,0),"※项目不在项目台账里"))</f>
        <v/>
      </c>
      <c r="K1305" s="13" t="n"/>
    </row>
    <row r="1306">
      <c r="A1306" s="17">
        <f>IF($C1306="","",ROW()-3)</f>
        <v/>
      </c>
      <c r="B1306" s="18" t="n"/>
      <c r="C1306" s="13" t="n"/>
      <c r="D1306" s="13" t="n"/>
      <c r="E1306" s="13" t="n"/>
      <c r="F1306" s="13" t="n"/>
      <c r="G1306" s="20" t="n"/>
      <c r="H1306" s="14" t="n"/>
      <c r="I1306" s="19">
        <f>IF($C1306="","",ROUND(IF($G1306="",1,$G1306)*N($H1306),2))</f>
        <v/>
      </c>
      <c r="J1306" s="17">
        <f>IF($C1306="","",IFERROR(VLOOKUP($C1306,项目台账!$B:$C,2,0),"※项目不在项目台账里"))</f>
        <v/>
      </c>
      <c r="K1306" s="13" t="n"/>
    </row>
    <row r="1307">
      <c r="A1307" s="17">
        <f>IF($C1307="","",ROW()-3)</f>
        <v/>
      </c>
      <c r="B1307" s="18" t="n"/>
      <c r="C1307" s="13" t="n"/>
      <c r="D1307" s="13" t="n"/>
      <c r="E1307" s="13" t="n"/>
      <c r="F1307" s="13" t="n"/>
      <c r="G1307" s="20" t="n"/>
      <c r="H1307" s="14" t="n"/>
      <c r="I1307" s="19">
        <f>IF($C1307="","",ROUND(IF($G1307="",1,$G1307)*N($H1307),2))</f>
        <v/>
      </c>
      <c r="J1307" s="17">
        <f>IF($C1307="","",IFERROR(VLOOKUP($C1307,项目台账!$B:$C,2,0),"※项目不在项目台账里"))</f>
        <v/>
      </c>
      <c r="K1307" s="13" t="n"/>
    </row>
    <row r="1308">
      <c r="A1308" s="17">
        <f>IF($C1308="","",ROW()-3)</f>
        <v/>
      </c>
      <c r="B1308" s="18" t="n"/>
      <c r="C1308" s="13" t="n"/>
      <c r="D1308" s="13" t="n"/>
      <c r="E1308" s="13" t="n"/>
      <c r="F1308" s="13" t="n"/>
      <c r="G1308" s="20" t="n"/>
      <c r="H1308" s="14" t="n"/>
      <c r="I1308" s="19">
        <f>IF($C1308="","",ROUND(IF($G1308="",1,$G1308)*N($H1308),2))</f>
        <v/>
      </c>
      <c r="J1308" s="17">
        <f>IF($C1308="","",IFERROR(VLOOKUP($C1308,项目台账!$B:$C,2,0),"※项目不在项目台账里"))</f>
        <v/>
      </c>
      <c r="K1308" s="13" t="n"/>
    </row>
    <row r="1309">
      <c r="A1309" s="17">
        <f>IF($C1309="","",ROW()-3)</f>
        <v/>
      </c>
      <c r="B1309" s="18" t="n"/>
      <c r="C1309" s="13" t="n"/>
      <c r="D1309" s="13" t="n"/>
      <c r="E1309" s="13" t="n"/>
      <c r="F1309" s="13" t="n"/>
      <c r="G1309" s="20" t="n"/>
      <c r="H1309" s="14" t="n"/>
      <c r="I1309" s="19">
        <f>IF($C1309="","",ROUND(IF($G1309="",1,$G1309)*N($H1309),2))</f>
        <v/>
      </c>
      <c r="J1309" s="17">
        <f>IF($C1309="","",IFERROR(VLOOKUP($C1309,项目台账!$B:$C,2,0),"※项目不在项目台账里"))</f>
        <v/>
      </c>
      <c r="K1309" s="13" t="n"/>
    </row>
    <row r="1310">
      <c r="A1310" s="17">
        <f>IF($C1310="","",ROW()-3)</f>
        <v/>
      </c>
      <c r="B1310" s="18" t="n"/>
      <c r="C1310" s="13" t="n"/>
      <c r="D1310" s="13" t="n"/>
      <c r="E1310" s="13" t="n"/>
      <c r="F1310" s="13" t="n"/>
      <c r="G1310" s="20" t="n"/>
      <c r="H1310" s="14" t="n"/>
      <c r="I1310" s="19">
        <f>IF($C1310="","",ROUND(IF($G1310="",1,$G1310)*N($H1310),2))</f>
        <v/>
      </c>
      <c r="J1310" s="17">
        <f>IF($C1310="","",IFERROR(VLOOKUP($C1310,项目台账!$B:$C,2,0),"※项目不在项目台账里"))</f>
        <v/>
      </c>
      <c r="K1310" s="13" t="n"/>
    </row>
    <row r="1311">
      <c r="A1311" s="17">
        <f>IF($C1311="","",ROW()-3)</f>
        <v/>
      </c>
      <c r="B1311" s="18" t="n"/>
      <c r="C1311" s="13" t="n"/>
      <c r="D1311" s="13" t="n"/>
      <c r="E1311" s="13" t="n"/>
      <c r="F1311" s="13" t="n"/>
      <c r="G1311" s="20" t="n"/>
      <c r="H1311" s="14" t="n"/>
      <c r="I1311" s="19">
        <f>IF($C1311="","",ROUND(IF($G1311="",1,$G1311)*N($H1311),2))</f>
        <v/>
      </c>
      <c r="J1311" s="17">
        <f>IF($C1311="","",IFERROR(VLOOKUP($C1311,项目台账!$B:$C,2,0),"※项目不在项目台账里"))</f>
        <v/>
      </c>
      <c r="K1311" s="13" t="n"/>
    </row>
    <row r="1312">
      <c r="A1312" s="17">
        <f>IF($C1312="","",ROW()-3)</f>
        <v/>
      </c>
      <c r="B1312" s="18" t="n"/>
      <c r="C1312" s="13" t="n"/>
      <c r="D1312" s="13" t="n"/>
      <c r="E1312" s="13" t="n"/>
      <c r="F1312" s="13" t="n"/>
      <c r="G1312" s="20" t="n"/>
      <c r="H1312" s="14" t="n"/>
      <c r="I1312" s="19">
        <f>IF($C1312="","",ROUND(IF($G1312="",1,$G1312)*N($H1312),2))</f>
        <v/>
      </c>
      <c r="J1312" s="17">
        <f>IF($C1312="","",IFERROR(VLOOKUP($C1312,项目台账!$B:$C,2,0),"※项目不在项目台账里"))</f>
        <v/>
      </c>
      <c r="K1312" s="13" t="n"/>
    </row>
    <row r="1313">
      <c r="A1313" s="17">
        <f>IF($C1313="","",ROW()-3)</f>
        <v/>
      </c>
      <c r="B1313" s="18" t="n"/>
      <c r="C1313" s="13" t="n"/>
      <c r="D1313" s="13" t="n"/>
      <c r="E1313" s="13" t="n"/>
      <c r="F1313" s="13" t="n"/>
      <c r="G1313" s="20" t="n"/>
      <c r="H1313" s="14" t="n"/>
      <c r="I1313" s="19">
        <f>IF($C1313="","",ROUND(IF($G1313="",1,$G1313)*N($H1313),2))</f>
        <v/>
      </c>
      <c r="J1313" s="17">
        <f>IF($C1313="","",IFERROR(VLOOKUP($C1313,项目台账!$B:$C,2,0),"※项目不在项目台账里"))</f>
        <v/>
      </c>
      <c r="K1313" s="13" t="n"/>
    </row>
    <row r="1314">
      <c r="A1314" s="17">
        <f>IF($C1314="","",ROW()-3)</f>
        <v/>
      </c>
      <c r="B1314" s="18" t="n"/>
      <c r="C1314" s="13" t="n"/>
      <c r="D1314" s="13" t="n"/>
      <c r="E1314" s="13" t="n"/>
      <c r="F1314" s="13" t="n"/>
      <c r="G1314" s="20" t="n"/>
      <c r="H1314" s="14" t="n"/>
      <c r="I1314" s="19">
        <f>IF($C1314="","",ROUND(IF($G1314="",1,$G1314)*N($H1314),2))</f>
        <v/>
      </c>
      <c r="J1314" s="17">
        <f>IF($C1314="","",IFERROR(VLOOKUP($C1314,项目台账!$B:$C,2,0),"※项目不在项目台账里"))</f>
        <v/>
      </c>
      <c r="K1314" s="13" t="n"/>
    </row>
    <row r="1315">
      <c r="A1315" s="17">
        <f>IF($C1315="","",ROW()-3)</f>
        <v/>
      </c>
      <c r="B1315" s="18" t="n"/>
      <c r="C1315" s="13" t="n"/>
      <c r="D1315" s="13" t="n"/>
      <c r="E1315" s="13" t="n"/>
      <c r="F1315" s="13" t="n"/>
      <c r="G1315" s="20" t="n"/>
      <c r="H1315" s="14" t="n"/>
      <c r="I1315" s="19">
        <f>IF($C1315="","",ROUND(IF($G1315="",1,$G1315)*N($H1315),2))</f>
        <v/>
      </c>
      <c r="J1315" s="17">
        <f>IF($C1315="","",IFERROR(VLOOKUP($C1315,项目台账!$B:$C,2,0),"※项目不在项目台账里"))</f>
        <v/>
      </c>
      <c r="K1315" s="13" t="n"/>
    </row>
    <row r="1316">
      <c r="A1316" s="17">
        <f>IF($C1316="","",ROW()-3)</f>
        <v/>
      </c>
      <c r="B1316" s="18" t="n"/>
      <c r="C1316" s="13" t="n"/>
      <c r="D1316" s="13" t="n"/>
      <c r="E1316" s="13" t="n"/>
      <c r="F1316" s="13" t="n"/>
      <c r="G1316" s="20" t="n"/>
      <c r="H1316" s="14" t="n"/>
      <c r="I1316" s="19">
        <f>IF($C1316="","",ROUND(IF($G1316="",1,$G1316)*N($H1316),2))</f>
        <v/>
      </c>
      <c r="J1316" s="17">
        <f>IF($C1316="","",IFERROR(VLOOKUP($C1316,项目台账!$B:$C,2,0),"※项目不在项目台账里"))</f>
        <v/>
      </c>
      <c r="K1316" s="13" t="n"/>
    </row>
    <row r="1317">
      <c r="A1317" s="17">
        <f>IF($C1317="","",ROW()-3)</f>
        <v/>
      </c>
      <c r="B1317" s="18" t="n"/>
      <c r="C1317" s="13" t="n"/>
      <c r="D1317" s="13" t="n"/>
      <c r="E1317" s="13" t="n"/>
      <c r="F1317" s="13" t="n"/>
      <c r="G1317" s="20" t="n"/>
      <c r="H1317" s="14" t="n"/>
      <c r="I1317" s="19">
        <f>IF($C1317="","",ROUND(IF($G1317="",1,$G1317)*N($H1317),2))</f>
        <v/>
      </c>
      <c r="J1317" s="17">
        <f>IF($C1317="","",IFERROR(VLOOKUP($C1317,项目台账!$B:$C,2,0),"※项目不在项目台账里"))</f>
        <v/>
      </c>
      <c r="K1317" s="13" t="n"/>
    </row>
    <row r="1318">
      <c r="A1318" s="17">
        <f>IF($C1318="","",ROW()-3)</f>
        <v/>
      </c>
      <c r="B1318" s="18" t="n"/>
      <c r="C1318" s="13" t="n"/>
      <c r="D1318" s="13" t="n"/>
      <c r="E1318" s="13" t="n"/>
      <c r="F1318" s="13" t="n"/>
      <c r="G1318" s="20" t="n"/>
      <c r="H1318" s="14" t="n"/>
      <c r="I1318" s="19">
        <f>IF($C1318="","",ROUND(IF($G1318="",1,$G1318)*N($H1318),2))</f>
        <v/>
      </c>
      <c r="J1318" s="17">
        <f>IF($C1318="","",IFERROR(VLOOKUP($C1318,项目台账!$B:$C,2,0),"※项目不在项目台账里"))</f>
        <v/>
      </c>
      <c r="K1318" s="13" t="n"/>
    </row>
    <row r="1319">
      <c r="A1319" s="17">
        <f>IF($C1319="","",ROW()-3)</f>
        <v/>
      </c>
      <c r="B1319" s="18" t="n"/>
      <c r="C1319" s="13" t="n"/>
      <c r="D1319" s="13" t="n"/>
      <c r="E1319" s="13" t="n"/>
      <c r="F1319" s="13" t="n"/>
      <c r="G1319" s="20" t="n"/>
      <c r="H1319" s="14" t="n"/>
      <c r="I1319" s="19">
        <f>IF($C1319="","",ROUND(IF($G1319="",1,$G1319)*N($H1319),2))</f>
        <v/>
      </c>
      <c r="J1319" s="17">
        <f>IF($C1319="","",IFERROR(VLOOKUP($C1319,项目台账!$B:$C,2,0),"※项目不在项目台账里"))</f>
        <v/>
      </c>
      <c r="K1319" s="13" t="n"/>
    </row>
    <row r="1320">
      <c r="A1320" s="17">
        <f>IF($C1320="","",ROW()-3)</f>
        <v/>
      </c>
      <c r="B1320" s="18" t="n"/>
      <c r="C1320" s="13" t="n"/>
      <c r="D1320" s="13" t="n"/>
      <c r="E1320" s="13" t="n"/>
      <c r="F1320" s="13" t="n"/>
      <c r="G1320" s="20" t="n"/>
      <c r="H1320" s="14" t="n"/>
      <c r="I1320" s="19">
        <f>IF($C1320="","",ROUND(IF($G1320="",1,$G1320)*N($H1320),2))</f>
        <v/>
      </c>
      <c r="J1320" s="17">
        <f>IF($C1320="","",IFERROR(VLOOKUP($C1320,项目台账!$B:$C,2,0),"※项目不在项目台账里"))</f>
        <v/>
      </c>
      <c r="K1320" s="13" t="n"/>
    </row>
    <row r="1321">
      <c r="A1321" s="17">
        <f>IF($C1321="","",ROW()-3)</f>
        <v/>
      </c>
      <c r="B1321" s="18" t="n"/>
      <c r="C1321" s="13" t="n"/>
      <c r="D1321" s="13" t="n"/>
      <c r="E1321" s="13" t="n"/>
      <c r="F1321" s="13" t="n"/>
      <c r="G1321" s="20" t="n"/>
      <c r="H1321" s="14" t="n"/>
      <c r="I1321" s="19">
        <f>IF($C1321="","",ROUND(IF($G1321="",1,$G1321)*N($H1321),2))</f>
        <v/>
      </c>
      <c r="J1321" s="17">
        <f>IF($C1321="","",IFERROR(VLOOKUP($C1321,项目台账!$B:$C,2,0),"※项目不在项目台账里"))</f>
        <v/>
      </c>
      <c r="K1321" s="13" t="n"/>
    </row>
    <row r="1322">
      <c r="A1322" s="17">
        <f>IF($C1322="","",ROW()-3)</f>
        <v/>
      </c>
      <c r="B1322" s="18" t="n"/>
      <c r="C1322" s="13" t="n"/>
      <c r="D1322" s="13" t="n"/>
      <c r="E1322" s="13" t="n"/>
      <c r="F1322" s="13" t="n"/>
      <c r="G1322" s="20" t="n"/>
      <c r="H1322" s="14" t="n"/>
      <c r="I1322" s="19">
        <f>IF($C1322="","",ROUND(IF($G1322="",1,$G1322)*N($H1322),2))</f>
        <v/>
      </c>
      <c r="J1322" s="17">
        <f>IF($C1322="","",IFERROR(VLOOKUP($C1322,项目台账!$B:$C,2,0),"※项目不在项目台账里"))</f>
        <v/>
      </c>
      <c r="K1322" s="13" t="n"/>
    </row>
    <row r="1323">
      <c r="A1323" s="17">
        <f>IF($C1323="","",ROW()-3)</f>
        <v/>
      </c>
      <c r="B1323" s="18" t="n"/>
      <c r="C1323" s="13" t="n"/>
      <c r="D1323" s="13" t="n"/>
      <c r="E1323" s="13" t="n"/>
      <c r="F1323" s="13" t="n"/>
      <c r="G1323" s="20" t="n"/>
      <c r="H1323" s="14" t="n"/>
      <c r="I1323" s="19">
        <f>IF($C1323="","",ROUND(IF($G1323="",1,$G1323)*N($H1323),2))</f>
        <v/>
      </c>
      <c r="J1323" s="17">
        <f>IF($C1323="","",IFERROR(VLOOKUP($C1323,项目台账!$B:$C,2,0),"※项目不在项目台账里"))</f>
        <v/>
      </c>
      <c r="K1323" s="13" t="n"/>
    </row>
    <row r="1324">
      <c r="A1324" s="17">
        <f>IF($C1324="","",ROW()-3)</f>
        <v/>
      </c>
      <c r="B1324" s="18" t="n"/>
      <c r="C1324" s="13" t="n"/>
      <c r="D1324" s="13" t="n"/>
      <c r="E1324" s="13" t="n"/>
      <c r="F1324" s="13" t="n"/>
      <c r="G1324" s="20" t="n"/>
      <c r="H1324" s="14" t="n"/>
      <c r="I1324" s="19">
        <f>IF($C1324="","",ROUND(IF($G1324="",1,$G1324)*N($H1324),2))</f>
        <v/>
      </c>
      <c r="J1324" s="17">
        <f>IF($C1324="","",IFERROR(VLOOKUP($C1324,项目台账!$B:$C,2,0),"※项目不在项目台账里"))</f>
        <v/>
      </c>
      <c r="K1324" s="13" t="n"/>
    </row>
    <row r="1325">
      <c r="A1325" s="17">
        <f>IF($C1325="","",ROW()-3)</f>
        <v/>
      </c>
      <c r="B1325" s="18" t="n"/>
      <c r="C1325" s="13" t="n"/>
      <c r="D1325" s="13" t="n"/>
      <c r="E1325" s="13" t="n"/>
      <c r="F1325" s="13" t="n"/>
      <c r="G1325" s="20" t="n"/>
      <c r="H1325" s="14" t="n"/>
      <c r="I1325" s="19">
        <f>IF($C1325="","",ROUND(IF($G1325="",1,$G1325)*N($H1325),2))</f>
        <v/>
      </c>
      <c r="J1325" s="17">
        <f>IF($C1325="","",IFERROR(VLOOKUP($C1325,项目台账!$B:$C,2,0),"※项目不在项目台账里"))</f>
        <v/>
      </c>
      <c r="K1325" s="13" t="n"/>
    </row>
    <row r="1326">
      <c r="A1326" s="17">
        <f>IF($C1326="","",ROW()-3)</f>
        <v/>
      </c>
      <c r="B1326" s="18" t="n"/>
      <c r="C1326" s="13" t="n"/>
      <c r="D1326" s="13" t="n"/>
      <c r="E1326" s="13" t="n"/>
      <c r="F1326" s="13" t="n"/>
      <c r="G1326" s="20" t="n"/>
      <c r="H1326" s="14" t="n"/>
      <c r="I1326" s="19">
        <f>IF($C1326="","",ROUND(IF($G1326="",1,$G1326)*N($H1326),2))</f>
        <v/>
      </c>
      <c r="J1326" s="17">
        <f>IF($C1326="","",IFERROR(VLOOKUP($C1326,项目台账!$B:$C,2,0),"※项目不在项目台账里"))</f>
        <v/>
      </c>
      <c r="K1326" s="13" t="n"/>
    </row>
    <row r="1327">
      <c r="A1327" s="17">
        <f>IF($C1327="","",ROW()-3)</f>
        <v/>
      </c>
      <c r="B1327" s="18" t="n"/>
      <c r="C1327" s="13" t="n"/>
      <c r="D1327" s="13" t="n"/>
      <c r="E1327" s="13" t="n"/>
      <c r="F1327" s="13" t="n"/>
      <c r="G1327" s="20" t="n"/>
      <c r="H1327" s="14" t="n"/>
      <c r="I1327" s="19">
        <f>IF($C1327="","",ROUND(IF($G1327="",1,$G1327)*N($H1327),2))</f>
        <v/>
      </c>
      <c r="J1327" s="17">
        <f>IF($C1327="","",IFERROR(VLOOKUP($C1327,项目台账!$B:$C,2,0),"※项目不在项目台账里"))</f>
        <v/>
      </c>
      <c r="K1327" s="13" t="n"/>
    </row>
    <row r="1328">
      <c r="A1328" s="17">
        <f>IF($C1328="","",ROW()-3)</f>
        <v/>
      </c>
      <c r="B1328" s="18" t="n"/>
      <c r="C1328" s="13" t="n"/>
      <c r="D1328" s="13" t="n"/>
      <c r="E1328" s="13" t="n"/>
      <c r="F1328" s="13" t="n"/>
      <c r="G1328" s="20" t="n"/>
      <c r="H1328" s="14" t="n"/>
      <c r="I1328" s="19">
        <f>IF($C1328="","",ROUND(IF($G1328="",1,$G1328)*N($H1328),2))</f>
        <v/>
      </c>
      <c r="J1328" s="17">
        <f>IF($C1328="","",IFERROR(VLOOKUP($C1328,项目台账!$B:$C,2,0),"※项目不在项目台账里"))</f>
        <v/>
      </c>
      <c r="K1328" s="13" t="n"/>
    </row>
    <row r="1329">
      <c r="A1329" s="17">
        <f>IF($C1329="","",ROW()-3)</f>
        <v/>
      </c>
      <c r="B1329" s="18" t="n"/>
      <c r="C1329" s="13" t="n"/>
      <c r="D1329" s="13" t="n"/>
      <c r="E1329" s="13" t="n"/>
      <c r="F1329" s="13" t="n"/>
      <c r="G1329" s="20" t="n"/>
      <c r="H1329" s="14" t="n"/>
      <c r="I1329" s="19">
        <f>IF($C1329="","",ROUND(IF($G1329="",1,$G1329)*N($H1329),2))</f>
        <v/>
      </c>
      <c r="J1329" s="17">
        <f>IF($C1329="","",IFERROR(VLOOKUP($C1329,项目台账!$B:$C,2,0),"※项目不在项目台账里"))</f>
        <v/>
      </c>
      <c r="K1329" s="13" t="n"/>
    </row>
    <row r="1330">
      <c r="A1330" s="17">
        <f>IF($C1330="","",ROW()-3)</f>
        <v/>
      </c>
      <c r="B1330" s="18" t="n"/>
      <c r="C1330" s="13" t="n"/>
      <c r="D1330" s="13" t="n"/>
      <c r="E1330" s="13" t="n"/>
      <c r="F1330" s="13" t="n"/>
      <c r="G1330" s="20" t="n"/>
      <c r="H1330" s="14" t="n"/>
      <c r="I1330" s="19">
        <f>IF($C1330="","",ROUND(IF($G1330="",1,$G1330)*N($H1330),2))</f>
        <v/>
      </c>
      <c r="J1330" s="17">
        <f>IF($C1330="","",IFERROR(VLOOKUP($C1330,项目台账!$B:$C,2,0),"※项目不在项目台账里"))</f>
        <v/>
      </c>
      <c r="K1330" s="13" t="n"/>
    </row>
    <row r="1331">
      <c r="A1331" s="17">
        <f>IF($C1331="","",ROW()-3)</f>
        <v/>
      </c>
      <c r="B1331" s="18" t="n"/>
      <c r="C1331" s="13" t="n"/>
      <c r="D1331" s="13" t="n"/>
      <c r="E1331" s="13" t="n"/>
      <c r="F1331" s="13" t="n"/>
      <c r="G1331" s="20" t="n"/>
      <c r="H1331" s="14" t="n"/>
      <c r="I1331" s="19">
        <f>IF($C1331="","",ROUND(IF($G1331="",1,$G1331)*N($H1331),2))</f>
        <v/>
      </c>
      <c r="J1331" s="17">
        <f>IF($C1331="","",IFERROR(VLOOKUP($C1331,项目台账!$B:$C,2,0),"※项目不在项目台账里"))</f>
        <v/>
      </c>
      <c r="K1331" s="13" t="n"/>
    </row>
    <row r="1332">
      <c r="A1332" s="17">
        <f>IF($C1332="","",ROW()-3)</f>
        <v/>
      </c>
      <c r="B1332" s="18" t="n"/>
      <c r="C1332" s="13" t="n"/>
      <c r="D1332" s="13" t="n"/>
      <c r="E1332" s="13" t="n"/>
      <c r="F1332" s="13" t="n"/>
      <c r="G1332" s="20" t="n"/>
      <c r="H1332" s="14" t="n"/>
      <c r="I1332" s="19">
        <f>IF($C1332="","",ROUND(IF($G1332="",1,$G1332)*N($H1332),2))</f>
        <v/>
      </c>
      <c r="J1332" s="17">
        <f>IF($C1332="","",IFERROR(VLOOKUP($C1332,项目台账!$B:$C,2,0),"※项目不在项目台账里"))</f>
        <v/>
      </c>
      <c r="K1332" s="13" t="n"/>
    </row>
    <row r="1333">
      <c r="A1333" s="17">
        <f>IF($C1333="","",ROW()-3)</f>
        <v/>
      </c>
      <c r="B1333" s="18" t="n"/>
      <c r="C1333" s="13" t="n"/>
      <c r="D1333" s="13" t="n"/>
      <c r="E1333" s="13" t="n"/>
      <c r="F1333" s="13" t="n"/>
      <c r="G1333" s="20" t="n"/>
      <c r="H1333" s="14" t="n"/>
      <c r="I1333" s="19">
        <f>IF($C1333="","",ROUND(IF($G1333="",1,$G1333)*N($H1333),2))</f>
        <v/>
      </c>
      <c r="J1333" s="17">
        <f>IF($C1333="","",IFERROR(VLOOKUP($C1333,项目台账!$B:$C,2,0),"※项目不在项目台账里"))</f>
        <v/>
      </c>
      <c r="K1333" s="13" t="n"/>
    </row>
    <row r="1334">
      <c r="A1334" s="17">
        <f>IF($C1334="","",ROW()-3)</f>
        <v/>
      </c>
      <c r="B1334" s="18" t="n"/>
      <c r="C1334" s="13" t="n"/>
      <c r="D1334" s="13" t="n"/>
      <c r="E1334" s="13" t="n"/>
      <c r="F1334" s="13" t="n"/>
      <c r="G1334" s="20" t="n"/>
      <c r="H1334" s="14" t="n"/>
      <c r="I1334" s="19">
        <f>IF($C1334="","",ROUND(IF($G1334="",1,$G1334)*N($H1334),2))</f>
        <v/>
      </c>
      <c r="J1334" s="17">
        <f>IF($C1334="","",IFERROR(VLOOKUP($C1334,项目台账!$B:$C,2,0),"※项目不在项目台账里"))</f>
        <v/>
      </c>
      <c r="K1334" s="13" t="n"/>
    </row>
    <row r="1335">
      <c r="A1335" s="17">
        <f>IF($C1335="","",ROW()-3)</f>
        <v/>
      </c>
      <c r="B1335" s="18" t="n"/>
      <c r="C1335" s="13" t="n"/>
      <c r="D1335" s="13" t="n"/>
      <c r="E1335" s="13" t="n"/>
      <c r="F1335" s="13" t="n"/>
      <c r="G1335" s="20" t="n"/>
      <c r="H1335" s="14" t="n"/>
      <c r="I1335" s="19">
        <f>IF($C1335="","",ROUND(IF($G1335="",1,$G1335)*N($H1335),2))</f>
        <v/>
      </c>
      <c r="J1335" s="17">
        <f>IF($C1335="","",IFERROR(VLOOKUP($C1335,项目台账!$B:$C,2,0),"※项目不在项目台账里"))</f>
        <v/>
      </c>
      <c r="K1335" s="13" t="n"/>
    </row>
    <row r="1336">
      <c r="A1336" s="17">
        <f>IF($C1336="","",ROW()-3)</f>
        <v/>
      </c>
      <c r="B1336" s="18" t="n"/>
      <c r="C1336" s="13" t="n"/>
      <c r="D1336" s="13" t="n"/>
      <c r="E1336" s="13" t="n"/>
      <c r="F1336" s="13" t="n"/>
      <c r="G1336" s="20" t="n"/>
      <c r="H1336" s="14" t="n"/>
      <c r="I1336" s="19">
        <f>IF($C1336="","",ROUND(IF($G1336="",1,$G1336)*N($H1336),2))</f>
        <v/>
      </c>
      <c r="J1336" s="17">
        <f>IF($C1336="","",IFERROR(VLOOKUP($C1336,项目台账!$B:$C,2,0),"※项目不在项目台账里"))</f>
        <v/>
      </c>
      <c r="K1336" s="13" t="n"/>
    </row>
    <row r="1337">
      <c r="A1337" s="17">
        <f>IF($C1337="","",ROW()-3)</f>
        <v/>
      </c>
      <c r="B1337" s="18" t="n"/>
      <c r="C1337" s="13" t="n"/>
      <c r="D1337" s="13" t="n"/>
      <c r="E1337" s="13" t="n"/>
      <c r="F1337" s="13" t="n"/>
      <c r="G1337" s="20" t="n"/>
      <c r="H1337" s="14" t="n"/>
      <c r="I1337" s="19">
        <f>IF($C1337="","",ROUND(IF($G1337="",1,$G1337)*N($H1337),2))</f>
        <v/>
      </c>
      <c r="J1337" s="17">
        <f>IF($C1337="","",IFERROR(VLOOKUP($C1337,项目台账!$B:$C,2,0),"※项目不在项目台账里"))</f>
        <v/>
      </c>
      <c r="K1337" s="13" t="n"/>
    </row>
    <row r="1338">
      <c r="A1338" s="17">
        <f>IF($C1338="","",ROW()-3)</f>
        <v/>
      </c>
      <c r="B1338" s="18" t="n"/>
      <c r="C1338" s="13" t="n"/>
      <c r="D1338" s="13" t="n"/>
      <c r="E1338" s="13" t="n"/>
      <c r="F1338" s="13" t="n"/>
      <c r="G1338" s="20" t="n"/>
      <c r="H1338" s="14" t="n"/>
      <c r="I1338" s="19">
        <f>IF($C1338="","",ROUND(IF($G1338="",1,$G1338)*N($H1338),2))</f>
        <v/>
      </c>
      <c r="J1338" s="17">
        <f>IF($C1338="","",IFERROR(VLOOKUP($C1338,项目台账!$B:$C,2,0),"※项目不在项目台账里"))</f>
        <v/>
      </c>
      <c r="K1338" s="13" t="n"/>
    </row>
    <row r="1339">
      <c r="A1339" s="17">
        <f>IF($C1339="","",ROW()-3)</f>
        <v/>
      </c>
      <c r="B1339" s="18" t="n"/>
      <c r="C1339" s="13" t="n"/>
      <c r="D1339" s="13" t="n"/>
      <c r="E1339" s="13" t="n"/>
      <c r="F1339" s="13" t="n"/>
      <c r="G1339" s="20" t="n"/>
      <c r="H1339" s="14" t="n"/>
      <c r="I1339" s="19">
        <f>IF($C1339="","",ROUND(IF($G1339="",1,$G1339)*N($H1339),2))</f>
        <v/>
      </c>
      <c r="J1339" s="17">
        <f>IF($C1339="","",IFERROR(VLOOKUP($C1339,项目台账!$B:$C,2,0),"※项目不在项目台账里"))</f>
        <v/>
      </c>
      <c r="K1339" s="13" t="n"/>
    </row>
    <row r="1340">
      <c r="A1340" s="17">
        <f>IF($C1340="","",ROW()-3)</f>
        <v/>
      </c>
      <c r="B1340" s="18" t="n"/>
      <c r="C1340" s="13" t="n"/>
      <c r="D1340" s="13" t="n"/>
      <c r="E1340" s="13" t="n"/>
      <c r="F1340" s="13" t="n"/>
      <c r="G1340" s="20" t="n"/>
      <c r="H1340" s="14" t="n"/>
      <c r="I1340" s="19">
        <f>IF($C1340="","",ROUND(IF($G1340="",1,$G1340)*N($H1340),2))</f>
        <v/>
      </c>
      <c r="J1340" s="17">
        <f>IF($C1340="","",IFERROR(VLOOKUP($C1340,项目台账!$B:$C,2,0),"※项目不在项目台账里"))</f>
        <v/>
      </c>
      <c r="K1340" s="13" t="n"/>
    </row>
    <row r="1341">
      <c r="A1341" s="17">
        <f>IF($C1341="","",ROW()-3)</f>
        <v/>
      </c>
      <c r="B1341" s="18" t="n"/>
      <c r="C1341" s="13" t="n"/>
      <c r="D1341" s="13" t="n"/>
      <c r="E1341" s="13" t="n"/>
      <c r="F1341" s="13" t="n"/>
      <c r="G1341" s="20" t="n"/>
      <c r="H1341" s="14" t="n"/>
      <c r="I1341" s="19">
        <f>IF($C1341="","",ROUND(IF($G1341="",1,$G1341)*N($H1341),2))</f>
        <v/>
      </c>
      <c r="J1341" s="17">
        <f>IF($C1341="","",IFERROR(VLOOKUP($C1341,项目台账!$B:$C,2,0),"※项目不在项目台账里"))</f>
        <v/>
      </c>
      <c r="K1341" s="13" t="n"/>
    </row>
    <row r="1342">
      <c r="A1342" s="17">
        <f>IF($C1342="","",ROW()-3)</f>
        <v/>
      </c>
      <c r="B1342" s="18" t="n"/>
      <c r="C1342" s="13" t="n"/>
      <c r="D1342" s="13" t="n"/>
      <c r="E1342" s="13" t="n"/>
      <c r="F1342" s="13" t="n"/>
      <c r="G1342" s="20" t="n"/>
      <c r="H1342" s="14" t="n"/>
      <c r="I1342" s="19">
        <f>IF($C1342="","",ROUND(IF($G1342="",1,$G1342)*N($H1342),2))</f>
        <v/>
      </c>
      <c r="J1342" s="17">
        <f>IF($C1342="","",IFERROR(VLOOKUP($C1342,项目台账!$B:$C,2,0),"※项目不在项目台账里"))</f>
        <v/>
      </c>
      <c r="K1342" s="13" t="n"/>
    </row>
    <row r="1343">
      <c r="A1343" s="17">
        <f>IF($C1343="","",ROW()-3)</f>
        <v/>
      </c>
      <c r="B1343" s="18" t="n"/>
      <c r="C1343" s="13" t="n"/>
      <c r="D1343" s="13" t="n"/>
      <c r="E1343" s="13" t="n"/>
      <c r="F1343" s="13" t="n"/>
      <c r="G1343" s="20" t="n"/>
      <c r="H1343" s="14" t="n"/>
      <c r="I1343" s="19">
        <f>IF($C1343="","",ROUND(IF($G1343="",1,$G1343)*N($H1343),2))</f>
        <v/>
      </c>
      <c r="J1343" s="17">
        <f>IF($C1343="","",IFERROR(VLOOKUP($C1343,项目台账!$B:$C,2,0),"※项目不在项目台账里"))</f>
        <v/>
      </c>
      <c r="K1343" s="13" t="n"/>
    </row>
    <row r="1344">
      <c r="A1344" s="17">
        <f>IF($C1344="","",ROW()-3)</f>
        <v/>
      </c>
      <c r="B1344" s="18" t="n"/>
      <c r="C1344" s="13" t="n"/>
      <c r="D1344" s="13" t="n"/>
      <c r="E1344" s="13" t="n"/>
      <c r="F1344" s="13" t="n"/>
      <c r="G1344" s="20" t="n"/>
      <c r="H1344" s="14" t="n"/>
      <c r="I1344" s="19">
        <f>IF($C1344="","",ROUND(IF($G1344="",1,$G1344)*N($H1344),2))</f>
        <v/>
      </c>
      <c r="J1344" s="17">
        <f>IF($C1344="","",IFERROR(VLOOKUP($C1344,项目台账!$B:$C,2,0),"※项目不在项目台账里"))</f>
        <v/>
      </c>
      <c r="K1344" s="13" t="n"/>
    </row>
    <row r="1345">
      <c r="A1345" s="17">
        <f>IF($C1345="","",ROW()-3)</f>
        <v/>
      </c>
      <c r="B1345" s="18" t="n"/>
      <c r="C1345" s="13" t="n"/>
      <c r="D1345" s="13" t="n"/>
      <c r="E1345" s="13" t="n"/>
      <c r="F1345" s="13" t="n"/>
      <c r="G1345" s="20" t="n"/>
      <c r="H1345" s="14" t="n"/>
      <c r="I1345" s="19">
        <f>IF($C1345="","",ROUND(IF($G1345="",1,$G1345)*N($H1345),2))</f>
        <v/>
      </c>
      <c r="J1345" s="17">
        <f>IF($C1345="","",IFERROR(VLOOKUP($C1345,项目台账!$B:$C,2,0),"※项目不在项目台账里"))</f>
        <v/>
      </c>
      <c r="K1345" s="13" t="n"/>
    </row>
    <row r="1346">
      <c r="A1346" s="17">
        <f>IF($C1346="","",ROW()-3)</f>
        <v/>
      </c>
      <c r="B1346" s="18" t="n"/>
      <c r="C1346" s="13" t="n"/>
      <c r="D1346" s="13" t="n"/>
      <c r="E1346" s="13" t="n"/>
      <c r="F1346" s="13" t="n"/>
      <c r="G1346" s="20" t="n"/>
      <c r="H1346" s="14" t="n"/>
      <c r="I1346" s="19">
        <f>IF($C1346="","",ROUND(IF($G1346="",1,$G1346)*N($H1346),2))</f>
        <v/>
      </c>
      <c r="J1346" s="17">
        <f>IF($C1346="","",IFERROR(VLOOKUP($C1346,项目台账!$B:$C,2,0),"※项目不在项目台账里"))</f>
        <v/>
      </c>
      <c r="K1346" s="13" t="n"/>
    </row>
    <row r="1347">
      <c r="A1347" s="17">
        <f>IF($C1347="","",ROW()-3)</f>
        <v/>
      </c>
      <c r="B1347" s="18" t="n"/>
      <c r="C1347" s="13" t="n"/>
      <c r="D1347" s="13" t="n"/>
      <c r="E1347" s="13" t="n"/>
      <c r="F1347" s="13" t="n"/>
      <c r="G1347" s="20" t="n"/>
      <c r="H1347" s="14" t="n"/>
      <c r="I1347" s="19">
        <f>IF($C1347="","",ROUND(IF($G1347="",1,$G1347)*N($H1347),2))</f>
        <v/>
      </c>
      <c r="J1347" s="17">
        <f>IF($C1347="","",IFERROR(VLOOKUP($C1347,项目台账!$B:$C,2,0),"※项目不在项目台账里"))</f>
        <v/>
      </c>
      <c r="K1347" s="13" t="n"/>
    </row>
    <row r="1348">
      <c r="A1348" s="17">
        <f>IF($C1348="","",ROW()-3)</f>
        <v/>
      </c>
      <c r="B1348" s="18" t="n"/>
      <c r="C1348" s="13" t="n"/>
      <c r="D1348" s="13" t="n"/>
      <c r="E1348" s="13" t="n"/>
      <c r="F1348" s="13" t="n"/>
      <c r="G1348" s="20" t="n"/>
      <c r="H1348" s="14" t="n"/>
      <c r="I1348" s="19">
        <f>IF($C1348="","",ROUND(IF($G1348="",1,$G1348)*N($H1348),2))</f>
        <v/>
      </c>
      <c r="J1348" s="17">
        <f>IF($C1348="","",IFERROR(VLOOKUP($C1348,项目台账!$B:$C,2,0),"※项目不在项目台账里"))</f>
        <v/>
      </c>
      <c r="K1348" s="13" t="n"/>
    </row>
    <row r="1349">
      <c r="A1349" s="17">
        <f>IF($C1349="","",ROW()-3)</f>
        <v/>
      </c>
      <c r="B1349" s="18" t="n"/>
      <c r="C1349" s="13" t="n"/>
      <c r="D1349" s="13" t="n"/>
      <c r="E1349" s="13" t="n"/>
      <c r="F1349" s="13" t="n"/>
      <c r="G1349" s="20" t="n"/>
      <c r="H1349" s="14" t="n"/>
      <c r="I1349" s="19">
        <f>IF($C1349="","",ROUND(IF($G1349="",1,$G1349)*N($H1349),2))</f>
        <v/>
      </c>
      <c r="J1349" s="17">
        <f>IF($C1349="","",IFERROR(VLOOKUP($C1349,项目台账!$B:$C,2,0),"※项目不在项目台账里"))</f>
        <v/>
      </c>
      <c r="K1349" s="13" t="n"/>
    </row>
    <row r="1350">
      <c r="A1350" s="17">
        <f>IF($C1350="","",ROW()-3)</f>
        <v/>
      </c>
      <c r="B1350" s="18" t="n"/>
      <c r="C1350" s="13" t="n"/>
      <c r="D1350" s="13" t="n"/>
      <c r="E1350" s="13" t="n"/>
      <c r="F1350" s="13" t="n"/>
      <c r="G1350" s="20" t="n"/>
      <c r="H1350" s="14" t="n"/>
      <c r="I1350" s="19">
        <f>IF($C1350="","",ROUND(IF($G1350="",1,$G1350)*N($H1350),2))</f>
        <v/>
      </c>
      <c r="J1350" s="17">
        <f>IF($C1350="","",IFERROR(VLOOKUP($C1350,项目台账!$B:$C,2,0),"※项目不在项目台账里"))</f>
        <v/>
      </c>
      <c r="K1350" s="13" t="n"/>
    </row>
    <row r="1351">
      <c r="A1351" s="17">
        <f>IF($C1351="","",ROW()-3)</f>
        <v/>
      </c>
      <c r="B1351" s="18" t="n"/>
      <c r="C1351" s="13" t="n"/>
      <c r="D1351" s="13" t="n"/>
      <c r="E1351" s="13" t="n"/>
      <c r="F1351" s="13" t="n"/>
      <c r="G1351" s="20" t="n"/>
      <c r="H1351" s="14" t="n"/>
      <c r="I1351" s="19">
        <f>IF($C1351="","",ROUND(IF($G1351="",1,$G1351)*N($H1351),2))</f>
        <v/>
      </c>
      <c r="J1351" s="17">
        <f>IF($C1351="","",IFERROR(VLOOKUP($C1351,项目台账!$B:$C,2,0),"※项目不在项目台账里"))</f>
        <v/>
      </c>
      <c r="K1351" s="13" t="n"/>
    </row>
    <row r="1352">
      <c r="A1352" s="17">
        <f>IF($C1352="","",ROW()-3)</f>
        <v/>
      </c>
      <c r="B1352" s="18" t="n"/>
      <c r="C1352" s="13" t="n"/>
      <c r="D1352" s="13" t="n"/>
      <c r="E1352" s="13" t="n"/>
      <c r="F1352" s="13" t="n"/>
      <c r="G1352" s="20" t="n"/>
      <c r="H1352" s="14" t="n"/>
      <c r="I1352" s="19">
        <f>IF($C1352="","",ROUND(IF($G1352="",1,$G1352)*N($H1352),2))</f>
        <v/>
      </c>
      <c r="J1352" s="17">
        <f>IF($C1352="","",IFERROR(VLOOKUP($C1352,项目台账!$B:$C,2,0),"※项目不在项目台账里"))</f>
        <v/>
      </c>
      <c r="K1352" s="13" t="n"/>
    </row>
    <row r="1353">
      <c r="A1353" s="17">
        <f>IF($C1353="","",ROW()-3)</f>
        <v/>
      </c>
      <c r="B1353" s="18" t="n"/>
      <c r="C1353" s="13" t="n"/>
      <c r="D1353" s="13" t="n"/>
      <c r="E1353" s="13" t="n"/>
      <c r="F1353" s="13" t="n"/>
      <c r="G1353" s="20" t="n"/>
      <c r="H1353" s="14" t="n"/>
      <c r="I1353" s="19">
        <f>IF($C1353="","",ROUND(IF($G1353="",1,$G1353)*N($H1353),2))</f>
        <v/>
      </c>
      <c r="J1353" s="17">
        <f>IF($C1353="","",IFERROR(VLOOKUP($C1353,项目台账!$B:$C,2,0),"※项目不在项目台账里"))</f>
        <v/>
      </c>
      <c r="K1353" s="13" t="n"/>
    </row>
    <row r="1354">
      <c r="A1354" s="17">
        <f>IF($C1354="","",ROW()-3)</f>
        <v/>
      </c>
      <c r="B1354" s="18" t="n"/>
      <c r="C1354" s="13" t="n"/>
      <c r="D1354" s="13" t="n"/>
      <c r="E1354" s="13" t="n"/>
      <c r="F1354" s="13" t="n"/>
      <c r="G1354" s="20" t="n"/>
      <c r="H1354" s="14" t="n"/>
      <c r="I1354" s="19">
        <f>IF($C1354="","",ROUND(IF($G1354="",1,$G1354)*N($H1354),2))</f>
        <v/>
      </c>
      <c r="J1354" s="17">
        <f>IF($C1354="","",IFERROR(VLOOKUP($C1354,项目台账!$B:$C,2,0),"※项目不在项目台账里"))</f>
        <v/>
      </c>
      <c r="K1354" s="13" t="n"/>
    </row>
    <row r="1355">
      <c r="A1355" s="17">
        <f>IF($C1355="","",ROW()-3)</f>
        <v/>
      </c>
      <c r="B1355" s="18" t="n"/>
      <c r="C1355" s="13" t="n"/>
      <c r="D1355" s="13" t="n"/>
      <c r="E1355" s="13" t="n"/>
      <c r="F1355" s="13" t="n"/>
      <c r="G1355" s="20" t="n"/>
      <c r="H1355" s="14" t="n"/>
      <c r="I1355" s="19">
        <f>IF($C1355="","",ROUND(IF($G1355="",1,$G1355)*N($H1355),2))</f>
        <v/>
      </c>
      <c r="J1355" s="17">
        <f>IF($C1355="","",IFERROR(VLOOKUP($C1355,项目台账!$B:$C,2,0),"※项目不在项目台账里"))</f>
        <v/>
      </c>
      <c r="K1355" s="13" t="n"/>
    </row>
    <row r="1356">
      <c r="A1356" s="17">
        <f>IF($C1356="","",ROW()-3)</f>
        <v/>
      </c>
      <c r="B1356" s="18" t="n"/>
      <c r="C1356" s="13" t="n"/>
      <c r="D1356" s="13" t="n"/>
      <c r="E1356" s="13" t="n"/>
      <c r="F1356" s="13" t="n"/>
      <c r="G1356" s="20" t="n"/>
      <c r="H1356" s="14" t="n"/>
      <c r="I1356" s="19">
        <f>IF($C1356="","",ROUND(IF($G1356="",1,$G1356)*N($H1356),2))</f>
        <v/>
      </c>
      <c r="J1356" s="17">
        <f>IF($C1356="","",IFERROR(VLOOKUP($C1356,项目台账!$B:$C,2,0),"※项目不在项目台账里"))</f>
        <v/>
      </c>
      <c r="K1356" s="13" t="n"/>
    </row>
    <row r="1357">
      <c r="A1357" s="17">
        <f>IF($C1357="","",ROW()-3)</f>
        <v/>
      </c>
      <c r="B1357" s="18" t="n"/>
      <c r="C1357" s="13" t="n"/>
      <c r="D1357" s="13" t="n"/>
      <c r="E1357" s="13" t="n"/>
      <c r="F1357" s="13" t="n"/>
      <c r="G1357" s="20" t="n"/>
      <c r="H1357" s="14" t="n"/>
      <c r="I1357" s="19">
        <f>IF($C1357="","",ROUND(IF($G1357="",1,$G1357)*N($H1357),2))</f>
        <v/>
      </c>
      <c r="J1357" s="17">
        <f>IF($C1357="","",IFERROR(VLOOKUP($C1357,项目台账!$B:$C,2,0),"※项目不在项目台账里"))</f>
        <v/>
      </c>
      <c r="K1357" s="13" t="n"/>
    </row>
    <row r="1358">
      <c r="A1358" s="17">
        <f>IF($C1358="","",ROW()-3)</f>
        <v/>
      </c>
      <c r="B1358" s="18" t="n"/>
      <c r="C1358" s="13" t="n"/>
      <c r="D1358" s="13" t="n"/>
      <c r="E1358" s="13" t="n"/>
      <c r="F1358" s="13" t="n"/>
      <c r="G1358" s="20" t="n"/>
      <c r="H1358" s="14" t="n"/>
      <c r="I1358" s="19">
        <f>IF($C1358="","",ROUND(IF($G1358="",1,$G1358)*N($H1358),2))</f>
        <v/>
      </c>
      <c r="J1358" s="17">
        <f>IF($C1358="","",IFERROR(VLOOKUP($C1358,项目台账!$B:$C,2,0),"※项目不在项目台账里"))</f>
        <v/>
      </c>
      <c r="K1358" s="13" t="n"/>
    </row>
    <row r="1359">
      <c r="A1359" s="17">
        <f>IF($C1359="","",ROW()-3)</f>
        <v/>
      </c>
      <c r="B1359" s="18" t="n"/>
      <c r="C1359" s="13" t="n"/>
      <c r="D1359" s="13" t="n"/>
      <c r="E1359" s="13" t="n"/>
      <c r="F1359" s="13" t="n"/>
      <c r="G1359" s="20" t="n"/>
      <c r="H1359" s="14" t="n"/>
      <c r="I1359" s="19">
        <f>IF($C1359="","",ROUND(IF($G1359="",1,$G1359)*N($H1359),2))</f>
        <v/>
      </c>
      <c r="J1359" s="17">
        <f>IF($C1359="","",IFERROR(VLOOKUP($C1359,项目台账!$B:$C,2,0),"※项目不在项目台账里"))</f>
        <v/>
      </c>
      <c r="K1359" s="13" t="n"/>
    </row>
    <row r="1360">
      <c r="A1360" s="17">
        <f>IF($C1360="","",ROW()-3)</f>
        <v/>
      </c>
      <c r="B1360" s="18" t="n"/>
      <c r="C1360" s="13" t="n"/>
      <c r="D1360" s="13" t="n"/>
      <c r="E1360" s="13" t="n"/>
      <c r="F1360" s="13" t="n"/>
      <c r="G1360" s="20" t="n"/>
      <c r="H1360" s="14" t="n"/>
      <c r="I1360" s="19">
        <f>IF($C1360="","",ROUND(IF($G1360="",1,$G1360)*N($H1360),2))</f>
        <v/>
      </c>
      <c r="J1360" s="17">
        <f>IF($C1360="","",IFERROR(VLOOKUP($C1360,项目台账!$B:$C,2,0),"※项目不在项目台账里"))</f>
        <v/>
      </c>
      <c r="K1360" s="13" t="n"/>
    </row>
    <row r="1361">
      <c r="A1361" s="17">
        <f>IF($C1361="","",ROW()-3)</f>
        <v/>
      </c>
      <c r="B1361" s="18" t="n"/>
      <c r="C1361" s="13" t="n"/>
      <c r="D1361" s="13" t="n"/>
      <c r="E1361" s="13" t="n"/>
      <c r="F1361" s="13" t="n"/>
      <c r="G1361" s="20" t="n"/>
      <c r="H1361" s="14" t="n"/>
      <c r="I1361" s="19">
        <f>IF($C1361="","",ROUND(IF($G1361="",1,$G1361)*N($H1361),2))</f>
        <v/>
      </c>
      <c r="J1361" s="17">
        <f>IF($C1361="","",IFERROR(VLOOKUP($C1361,项目台账!$B:$C,2,0),"※项目不在项目台账里"))</f>
        <v/>
      </c>
      <c r="K1361" s="13" t="n"/>
    </row>
    <row r="1362">
      <c r="A1362" s="17">
        <f>IF($C1362="","",ROW()-3)</f>
        <v/>
      </c>
      <c r="B1362" s="18" t="n"/>
      <c r="C1362" s="13" t="n"/>
      <c r="D1362" s="13" t="n"/>
      <c r="E1362" s="13" t="n"/>
      <c r="F1362" s="13" t="n"/>
      <c r="G1362" s="20" t="n"/>
      <c r="H1362" s="14" t="n"/>
      <c r="I1362" s="19">
        <f>IF($C1362="","",ROUND(IF($G1362="",1,$G1362)*N($H1362),2))</f>
        <v/>
      </c>
      <c r="J1362" s="17">
        <f>IF($C1362="","",IFERROR(VLOOKUP($C1362,项目台账!$B:$C,2,0),"※项目不在项目台账里"))</f>
        <v/>
      </c>
      <c r="K1362" s="13" t="n"/>
    </row>
    <row r="1363">
      <c r="A1363" s="17">
        <f>IF($C1363="","",ROW()-3)</f>
        <v/>
      </c>
      <c r="B1363" s="18" t="n"/>
      <c r="C1363" s="13" t="n"/>
      <c r="D1363" s="13" t="n"/>
      <c r="E1363" s="13" t="n"/>
      <c r="F1363" s="13" t="n"/>
      <c r="G1363" s="20" t="n"/>
      <c r="H1363" s="14" t="n"/>
      <c r="I1363" s="19">
        <f>IF($C1363="","",ROUND(IF($G1363="",1,$G1363)*N($H1363),2))</f>
        <v/>
      </c>
      <c r="J1363" s="17">
        <f>IF($C1363="","",IFERROR(VLOOKUP($C1363,项目台账!$B:$C,2,0),"※项目不在项目台账里"))</f>
        <v/>
      </c>
      <c r="K1363" s="13" t="n"/>
    </row>
    <row r="1364">
      <c r="A1364" s="17">
        <f>IF($C1364="","",ROW()-3)</f>
        <v/>
      </c>
      <c r="B1364" s="18" t="n"/>
      <c r="C1364" s="13" t="n"/>
      <c r="D1364" s="13" t="n"/>
      <c r="E1364" s="13" t="n"/>
      <c r="F1364" s="13" t="n"/>
      <c r="G1364" s="20" t="n"/>
      <c r="H1364" s="14" t="n"/>
      <c r="I1364" s="19">
        <f>IF($C1364="","",ROUND(IF($G1364="",1,$G1364)*N($H1364),2))</f>
        <v/>
      </c>
      <c r="J1364" s="17">
        <f>IF($C1364="","",IFERROR(VLOOKUP($C1364,项目台账!$B:$C,2,0),"※项目不在项目台账里"))</f>
        <v/>
      </c>
      <c r="K1364" s="13" t="n"/>
    </row>
    <row r="1365">
      <c r="A1365" s="17">
        <f>IF($C1365="","",ROW()-3)</f>
        <v/>
      </c>
      <c r="B1365" s="18" t="n"/>
      <c r="C1365" s="13" t="n"/>
      <c r="D1365" s="13" t="n"/>
      <c r="E1365" s="13" t="n"/>
      <c r="F1365" s="13" t="n"/>
      <c r="G1365" s="20" t="n"/>
      <c r="H1365" s="14" t="n"/>
      <c r="I1365" s="19">
        <f>IF($C1365="","",ROUND(IF($G1365="",1,$G1365)*N($H1365),2))</f>
        <v/>
      </c>
      <c r="J1365" s="17">
        <f>IF($C1365="","",IFERROR(VLOOKUP($C1365,项目台账!$B:$C,2,0),"※项目不在项目台账里"))</f>
        <v/>
      </c>
      <c r="K1365" s="13" t="n"/>
    </row>
    <row r="1366">
      <c r="A1366" s="17">
        <f>IF($C1366="","",ROW()-3)</f>
        <v/>
      </c>
      <c r="B1366" s="18" t="n"/>
      <c r="C1366" s="13" t="n"/>
      <c r="D1366" s="13" t="n"/>
      <c r="E1366" s="13" t="n"/>
      <c r="F1366" s="13" t="n"/>
      <c r="G1366" s="20" t="n"/>
      <c r="H1366" s="14" t="n"/>
      <c r="I1366" s="19">
        <f>IF($C1366="","",ROUND(IF($G1366="",1,$G1366)*N($H1366),2))</f>
        <v/>
      </c>
      <c r="J1366" s="17">
        <f>IF($C1366="","",IFERROR(VLOOKUP($C1366,项目台账!$B:$C,2,0),"※项目不在项目台账里"))</f>
        <v/>
      </c>
      <c r="K1366" s="13" t="n"/>
    </row>
    <row r="1367">
      <c r="A1367" s="17">
        <f>IF($C1367="","",ROW()-3)</f>
        <v/>
      </c>
      <c r="B1367" s="18" t="n"/>
      <c r="C1367" s="13" t="n"/>
      <c r="D1367" s="13" t="n"/>
      <c r="E1367" s="13" t="n"/>
      <c r="F1367" s="13" t="n"/>
      <c r="G1367" s="20" t="n"/>
      <c r="H1367" s="14" t="n"/>
      <c r="I1367" s="19">
        <f>IF($C1367="","",ROUND(IF($G1367="",1,$G1367)*N($H1367),2))</f>
        <v/>
      </c>
      <c r="J1367" s="17">
        <f>IF($C1367="","",IFERROR(VLOOKUP($C1367,项目台账!$B:$C,2,0),"※项目不在项目台账里"))</f>
        <v/>
      </c>
      <c r="K1367" s="13" t="n"/>
    </row>
    <row r="1368">
      <c r="A1368" s="17">
        <f>IF($C1368="","",ROW()-3)</f>
        <v/>
      </c>
      <c r="B1368" s="18" t="n"/>
      <c r="C1368" s="13" t="n"/>
      <c r="D1368" s="13" t="n"/>
      <c r="E1368" s="13" t="n"/>
      <c r="F1368" s="13" t="n"/>
      <c r="G1368" s="20" t="n"/>
      <c r="H1368" s="14" t="n"/>
      <c r="I1368" s="19">
        <f>IF($C1368="","",ROUND(IF($G1368="",1,$G1368)*N($H1368),2))</f>
        <v/>
      </c>
      <c r="J1368" s="17">
        <f>IF($C1368="","",IFERROR(VLOOKUP($C1368,项目台账!$B:$C,2,0),"※项目不在项目台账里"))</f>
        <v/>
      </c>
      <c r="K1368" s="13" t="n"/>
    </row>
    <row r="1369">
      <c r="A1369" s="17">
        <f>IF($C1369="","",ROW()-3)</f>
        <v/>
      </c>
      <c r="B1369" s="18" t="n"/>
      <c r="C1369" s="13" t="n"/>
      <c r="D1369" s="13" t="n"/>
      <c r="E1369" s="13" t="n"/>
      <c r="F1369" s="13" t="n"/>
      <c r="G1369" s="20" t="n"/>
      <c r="H1369" s="14" t="n"/>
      <c r="I1369" s="19">
        <f>IF($C1369="","",ROUND(IF($G1369="",1,$G1369)*N($H1369),2))</f>
        <v/>
      </c>
      <c r="J1369" s="17">
        <f>IF($C1369="","",IFERROR(VLOOKUP($C1369,项目台账!$B:$C,2,0),"※项目不在项目台账里"))</f>
        <v/>
      </c>
      <c r="K1369" s="13" t="n"/>
    </row>
    <row r="1370">
      <c r="A1370" s="17">
        <f>IF($C1370="","",ROW()-3)</f>
        <v/>
      </c>
      <c r="B1370" s="18" t="n"/>
      <c r="C1370" s="13" t="n"/>
      <c r="D1370" s="13" t="n"/>
      <c r="E1370" s="13" t="n"/>
      <c r="F1370" s="13" t="n"/>
      <c r="G1370" s="20" t="n"/>
      <c r="H1370" s="14" t="n"/>
      <c r="I1370" s="19">
        <f>IF($C1370="","",ROUND(IF($G1370="",1,$G1370)*N($H1370),2))</f>
        <v/>
      </c>
      <c r="J1370" s="17">
        <f>IF($C1370="","",IFERROR(VLOOKUP($C1370,项目台账!$B:$C,2,0),"※项目不在项目台账里"))</f>
        <v/>
      </c>
      <c r="K1370" s="13" t="n"/>
    </row>
    <row r="1371">
      <c r="A1371" s="17">
        <f>IF($C1371="","",ROW()-3)</f>
        <v/>
      </c>
      <c r="B1371" s="18" t="n"/>
      <c r="C1371" s="13" t="n"/>
      <c r="D1371" s="13" t="n"/>
      <c r="E1371" s="13" t="n"/>
      <c r="F1371" s="13" t="n"/>
      <c r="G1371" s="20" t="n"/>
      <c r="H1371" s="14" t="n"/>
      <c r="I1371" s="19">
        <f>IF($C1371="","",ROUND(IF($G1371="",1,$G1371)*N($H1371),2))</f>
        <v/>
      </c>
      <c r="J1371" s="17">
        <f>IF($C1371="","",IFERROR(VLOOKUP($C1371,项目台账!$B:$C,2,0),"※项目不在项目台账里"))</f>
        <v/>
      </c>
      <c r="K1371" s="13" t="n"/>
    </row>
    <row r="1372">
      <c r="A1372" s="17">
        <f>IF($C1372="","",ROW()-3)</f>
        <v/>
      </c>
      <c r="B1372" s="18" t="n"/>
      <c r="C1372" s="13" t="n"/>
      <c r="D1372" s="13" t="n"/>
      <c r="E1372" s="13" t="n"/>
      <c r="F1372" s="13" t="n"/>
      <c r="G1372" s="20" t="n"/>
      <c r="H1372" s="14" t="n"/>
      <c r="I1372" s="19">
        <f>IF($C1372="","",ROUND(IF($G1372="",1,$G1372)*N($H1372),2))</f>
        <v/>
      </c>
      <c r="J1372" s="17">
        <f>IF($C1372="","",IFERROR(VLOOKUP($C1372,项目台账!$B:$C,2,0),"※项目不在项目台账里"))</f>
        <v/>
      </c>
      <c r="K1372" s="13" t="n"/>
    </row>
    <row r="1373">
      <c r="A1373" s="17">
        <f>IF($C1373="","",ROW()-3)</f>
        <v/>
      </c>
      <c r="B1373" s="18" t="n"/>
      <c r="C1373" s="13" t="n"/>
      <c r="D1373" s="13" t="n"/>
      <c r="E1373" s="13" t="n"/>
      <c r="F1373" s="13" t="n"/>
      <c r="G1373" s="20" t="n"/>
      <c r="H1373" s="14" t="n"/>
      <c r="I1373" s="19">
        <f>IF($C1373="","",ROUND(IF($G1373="",1,$G1373)*N($H1373),2))</f>
        <v/>
      </c>
      <c r="J1373" s="17">
        <f>IF($C1373="","",IFERROR(VLOOKUP($C1373,项目台账!$B:$C,2,0),"※项目不在项目台账里"))</f>
        <v/>
      </c>
      <c r="K1373" s="13" t="n"/>
    </row>
    <row r="1374">
      <c r="A1374" s="17">
        <f>IF($C1374="","",ROW()-3)</f>
        <v/>
      </c>
      <c r="B1374" s="18" t="n"/>
      <c r="C1374" s="13" t="n"/>
      <c r="D1374" s="13" t="n"/>
      <c r="E1374" s="13" t="n"/>
      <c r="F1374" s="13" t="n"/>
      <c r="G1374" s="20" t="n"/>
      <c r="H1374" s="14" t="n"/>
      <c r="I1374" s="19">
        <f>IF($C1374="","",ROUND(IF($G1374="",1,$G1374)*N($H1374),2))</f>
        <v/>
      </c>
      <c r="J1374" s="17">
        <f>IF($C1374="","",IFERROR(VLOOKUP($C1374,项目台账!$B:$C,2,0),"※项目不在项目台账里"))</f>
        <v/>
      </c>
      <c r="K1374" s="13" t="n"/>
    </row>
    <row r="1375">
      <c r="A1375" s="17">
        <f>IF($C1375="","",ROW()-3)</f>
        <v/>
      </c>
      <c r="B1375" s="18" t="n"/>
      <c r="C1375" s="13" t="n"/>
      <c r="D1375" s="13" t="n"/>
      <c r="E1375" s="13" t="n"/>
      <c r="F1375" s="13" t="n"/>
      <c r="G1375" s="20" t="n"/>
      <c r="H1375" s="14" t="n"/>
      <c r="I1375" s="19">
        <f>IF($C1375="","",ROUND(IF($G1375="",1,$G1375)*N($H1375),2))</f>
        <v/>
      </c>
      <c r="J1375" s="17">
        <f>IF($C1375="","",IFERROR(VLOOKUP($C1375,项目台账!$B:$C,2,0),"※项目不在项目台账里"))</f>
        <v/>
      </c>
      <c r="K1375" s="13" t="n"/>
    </row>
    <row r="1376">
      <c r="A1376" s="17">
        <f>IF($C1376="","",ROW()-3)</f>
        <v/>
      </c>
      <c r="B1376" s="18" t="n"/>
      <c r="C1376" s="13" t="n"/>
      <c r="D1376" s="13" t="n"/>
      <c r="E1376" s="13" t="n"/>
      <c r="F1376" s="13" t="n"/>
      <c r="G1376" s="20" t="n"/>
      <c r="H1376" s="14" t="n"/>
      <c r="I1376" s="19">
        <f>IF($C1376="","",ROUND(IF($G1376="",1,$G1376)*N($H1376),2))</f>
        <v/>
      </c>
      <c r="J1376" s="17">
        <f>IF($C1376="","",IFERROR(VLOOKUP($C1376,项目台账!$B:$C,2,0),"※项目不在项目台账里"))</f>
        <v/>
      </c>
      <c r="K1376" s="13" t="n"/>
    </row>
    <row r="1377">
      <c r="A1377" s="17">
        <f>IF($C1377="","",ROW()-3)</f>
        <v/>
      </c>
      <c r="B1377" s="18" t="n"/>
      <c r="C1377" s="13" t="n"/>
      <c r="D1377" s="13" t="n"/>
      <c r="E1377" s="13" t="n"/>
      <c r="F1377" s="13" t="n"/>
      <c r="G1377" s="20" t="n"/>
      <c r="H1377" s="14" t="n"/>
      <c r="I1377" s="19">
        <f>IF($C1377="","",ROUND(IF($G1377="",1,$G1377)*N($H1377),2))</f>
        <v/>
      </c>
      <c r="J1377" s="17">
        <f>IF($C1377="","",IFERROR(VLOOKUP($C1377,项目台账!$B:$C,2,0),"※项目不在项目台账里"))</f>
        <v/>
      </c>
      <c r="K1377" s="13" t="n"/>
    </row>
    <row r="1378">
      <c r="A1378" s="17">
        <f>IF($C1378="","",ROW()-3)</f>
        <v/>
      </c>
      <c r="B1378" s="18" t="n"/>
      <c r="C1378" s="13" t="n"/>
      <c r="D1378" s="13" t="n"/>
      <c r="E1378" s="13" t="n"/>
      <c r="F1378" s="13" t="n"/>
      <c r="G1378" s="20" t="n"/>
      <c r="H1378" s="14" t="n"/>
      <c r="I1378" s="19">
        <f>IF($C1378="","",ROUND(IF($G1378="",1,$G1378)*N($H1378),2))</f>
        <v/>
      </c>
      <c r="J1378" s="17">
        <f>IF($C1378="","",IFERROR(VLOOKUP($C1378,项目台账!$B:$C,2,0),"※项目不在项目台账里"))</f>
        <v/>
      </c>
      <c r="K1378" s="13" t="n"/>
    </row>
    <row r="1379">
      <c r="A1379" s="17">
        <f>IF($C1379="","",ROW()-3)</f>
        <v/>
      </c>
      <c r="B1379" s="18" t="n"/>
      <c r="C1379" s="13" t="n"/>
      <c r="D1379" s="13" t="n"/>
      <c r="E1379" s="13" t="n"/>
      <c r="F1379" s="13" t="n"/>
      <c r="G1379" s="20" t="n"/>
      <c r="H1379" s="14" t="n"/>
      <c r="I1379" s="19">
        <f>IF($C1379="","",ROUND(IF($G1379="",1,$G1379)*N($H1379),2))</f>
        <v/>
      </c>
      <c r="J1379" s="17">
        <f>IF($C1379="","",IFERROR(VLOOKUP($C1379,项目台账!$B:$C,2,0),"※项目不在项目台账里"))</f>
        <v/>
      </c>
      <c r="K1379" s="13" t="n"/>
    </row>
    <row r="1380">
      <c r="A1380" s="17">
        <f>IF($C1380="","",ROW()-3)</f>
        <v/>
      </c>
      <c r="B1380" s="18" t="n"/>
      <c r="C1380" s="13" t="n"/>
      <c r="D1380" s="13" t="n"/>
      <c r="E1380" s="13" t="n"/>
      <c r="F1380" s="13" t="n"/>
      <c r="G1380" s="20" t="n"/>
      <c r="H1380" s="14" t="n"/>
      <c r="I1380" s="19">
        <f>IF($C1380="","",ROUND(IF($G1380="",1,$G1380)*N($H1380),2))</f>
        <v/>
      </c>
      <c r="J1380" s="17">
        <f>IF($C1380="","",IFERROR(VLOOKUP($C1380,项目台账!$B:$C,2,0),"※项目不在项目台账里"))</f>
        <v/>
      </c>
      <c r="K1380" s="13" t="n"/>
    </row>
    <row r="1381">
      <c r="A1381" s="17">
        <f>IF($C1381="","",ROW()-3)</f>
        <v/>
      </c>
      <c r="B1381" s="18" t="n"/>
      <c r="C1381" s="13" t="n"/>
      <c r="D1381" s="13" t="n"/>
      <c r="E1381" s="13" t="n"/>
      <c r="F1381" s="13" t="n"/>
      <c r="G1381" s="20" t="n"/>
      <c r="H1381" s="14" t="n"/>
      <c r="I1381" s="19">
        <f>IF($C1381="","",ROUND(IF($G1381="",1,$G1381)*N($H1381),2))</f>
        <v/>
      </c>
      <c r="J1381" s="17">
        <f>IF($C1381="","",IFERROR(VLOOKUP($C1381,项目台账!$B:$C,2,0),"※项目不在项目台账里"))</f>
        <v/>
      </c>
      <c r="K1381" s="13" t="n"/>
    </row>
    <row r="1382">
      <c r="A1382" s="17">
        <f>IF($C1382="","",ROW()-3)</f>
        <v/>
      </c>
      <c r="B1382" s="18" t="n"/>
      <c r="C1382" s="13" t="n"/>
      <c r="D1382" s="13" t="n"/>
      <c r="E1382" s="13" t="n"/>
      <c r="F1382" s="13" t="n"/>
      <c r="G1382" s="20" t="n"/>
      <c r="H1382" s="14" t="n"/>
      <c r="I1382" s="19">
        <f>IF($C1382="","",ROUND(IF($G1382="",1,$G1382)*N($H1382),2))</f>
        <v/>
      </c>
      <c r="J1382" s="17">
        <f>IF($C1382="","",IFERROR(VLOOKUP($C1382,项目台账!$B:$C,2,0),"※项目不在项目台账里"))</f>
        <v/>
      </c>
      <c r="K1382" s="13" t="n"/>
    </row>
    <row r="1383">
      <c r="A1383" s="17">
        <f>IF($C1383="","",ROW()-3)</f>
        <v/>
      </c>
      <c r="B1383" s="18" t="n"/>
      <c r="C1383" s="13" t="n"/>
      <c r="D1383" s="13" t="n"/>
      <c r="E1383" s="13" t="n"/>
      <c r="F1383" s="13" t="n"/>
      <c r="G1383" s="20" t="n"/>
      <c r="H1383" s="14" t="n"/>
      <c r="I1383" s="19">
        <f>IF($C1383="","",ROUND(IF($G1383="",1,$G1383)*N($H1383),2))</f>
        <v/>
      </c>
      <c r="J1383" s="17">
        <f>IF($C1383="","",IFERROR(VLOOKUP($C1383,项目台账!$B:$C,2,0),"※项目不在项目台账里"))</f>
        <v/>
      </c>
      <c r="K1383" s="13" t="n"/>
    </row>
    <row r="1384">
      <c r="A1384" s="17">
        <f>IF($C1384="","",ROW()-3)</f>
        <v/>
      </c>
      <c r="B1384" s="18" t="n"/>
      <c r="C1384" s="13" t="n"/>
      <c r="D1384" s="13" t="n"/>
      <c r="E1384" s="13" t="n"/>
      <c r="F1384" s="13" t="n"/>
      <c r="G1384" s="20" t="n"/>
      <c r="H1384" s="14" t="n"/>
      <c r="I1384" s="19">
        <f>IF($C1384="","",ROUND(IF($G1384="",1,$G1384)*N($H1384),2))</f>
        <v/>
      </c>
      <c r="J1384" s="17">
        <f>IF($C1384="","",IFERROR(VLOOKUP($C1384,项目台账!$B:$C,2,0),"※项目不在项目台账里"))</f>
        <v/>
      </c>
      <c r="K1384" s="13" t="n"/>
    </row>
    <row r="1385">
      <c r="A1385" s="17">
        <f>IF($C1385="","",ROW()-3)</f>
        <v/>
      </c>
      <c r="B1385" s="18" t="n"/>
      <c r="C1385" s="13" t="n"/>
      <c r="D1385" s="13" t="n"/>
      <c r="E1385" s="13" t="n"/>
      <c r="F1385" s="13" t="n"/>
      <c r="G1385" s="20" t="n"/>
      <c r="H1385" s="14" t="n"/>
      <c r="I1385" s="19">
        <f>IF($C1385="","",ROUND(IF($G1385="",1,$G1385)*N($H1385),2))</f>
        <v/>
      </c>
      <c r="J1385" s="17">
        <f>IF($C1385="","",IFERROR(VLOOKUP($C1385,项目台账!$B:$C,2,0),"※项目不在项目台账里"))</f>
        <v/>
      </c>
      <c r="K1385" s="13" t="n"/>
    </row>
    <row r="1386">
      <c r="A1386" s="17">
        <f>IF($C1386="","",ROW()-3)</f>
        <v/>
      </c>
      <c r="B1386" s="18" t="n"/>
      <c r="C1386" s="13" t="n"/>
      <c r="D1386" s="13" t="n"/>
      <c r="E1386" s="13" t="n"/>
      <c r="F1386" s="13" t="n"/>
      <c r="G1386" s="20" t="n"/>
      <c r="H1386" s="14" t="n"/>
      <c r="I1386" s="19">
        <f>IF($C1386="","",ROUND(IF($G1386="",1,$G1386)*N($H1386),2))</f>
        <v/>
      </c>
      <c r="J1386" s="17">
        <f>IF($C1386="","",IFERROR(VLOOKUP($C1386,项目台账!$B:$C,2,0),"※项目不在项目台账里"))</f>
        <v/>
      </c>
      <c r="K1386" s="13" t="n"/>
    </row>
    <row r="1387">
      <c r="A1387" s="17">
        <f>IF($C1387="","",ROW()-3)</f>
        <v/>
      </c>
      <c r="B1387" s="18" t="n"/>
      <c r="C1387" s="13" t="n"/>
      <c r="D1387" s="13" t="n"/>
      <c r="E1387" s="13" t="n"/>
      <c r="F1387" s="13" t="n"/>
      <c r="G1387" s="20" t="n"/>
      <c r="H1387" s="14" t="n"/>
      <c r="I1387" s="19">
        <f>IF($C1387="","",ROUND(IF($G1387="",1,$G1387)*N($H1387),2))</f>
        <v/>
      </c>
      <c r="J1387" s="17">
        <f>IF($C1387="","",IFERROR(VLOOKUP($C1387,项目台账!$B:$C,2,0),"※项目不在项目台账里"))</f>
        <v/>
      </c>
      <c r="K1387" s="13" t="n"/>
    </row>
    <row r="1388">
      <c r="A1388" s="17">
        <f>IF($C1388="","",ROW()-3)</f>
        <v/>
      </c>
      <c r="B1388" s="18" t="n"/>
      <c r="C1388" s="13" t="n"/>
      <c r="D1388" s="13" t="n"/>
      <c r="E1388" s="13" t="n"/>
      <c r="F1388" s="13" t="n"/>
      <c r="G1388" s="20" t="n"/>
      <c r="H1388" s="14" t="n"/>
      <c r="I1388" s="19">
        <f>IF($C1388="","",ROUND(IF($G1388="",1,$G1388)*N($H1388),2))</f>
        <v/>
      </c>
      <c r="J1388" s="17">
        <f>IF($C1388="","",IFERROR(VLOOKUP($C1388,项目台账!$B:$C,2,0),"※项目不在项目台账里"))</f>
        <v/>
      </c>
      <c r="K1388" s="13" t="n"/>
    </row>
    <row r="1389">
      <c r="A1389" s="17">
        <f>IF($C1389="","",ROW()-3)</f>
        <v/>
      </c>
      <c r="B1389" s="18" t="n"/>
      <c r="C1389" s="13" t="n"/>
      <c r="D1389" s="13" t="n"/>
      <c r="E1389" s="13" t="n"/>
      <c r="F1389" s="13" t="n"/>
      <c r="G1389" s="20" t="n"/>
      <c r="H1389" s="14" t="n"/>
      <c r="I1389" s="19">
        <f>IF($C1389="","",ROUND(IF($G1389="",1,$G1389)*N($H1389),2))</f>
        <v/>
      </c>
      <c r="J1389" s="17">
        <f>IF($C1389="","",IFERROR(VLOOKUP($C1389,项目台账!$B:$C,2,0),"※项目不在项目台账里"))</f>
        <v/>
      </c>
      <c r="K1389" s="13" t="n"/>
    </row>
    <row r="1390">
      <c r="A1390" s="17">
        <f>IF($C1390="","",ROW()-3)</f>
        <v/>
      </c>
      <c r="B1390" s="18" t="n"/>
      <c r="C1390" s="13" t="n"/>
      <c r="D1390" s="13" t="n"/>
      <c r="E1390" s="13" t="n"/>
      <c r="F1390" s="13" t="n"/>
      <c r="G1390" s="20" t="n"/>
      <c r="H1390" s="14" t="n"/>
      <c r="I1390" s="19">
        <f>IF($C1390="","",ROUND(IF($G1390="",1,$G1390)*N($H1390),2))</f>
        <v/>
      </c>
      <c r="J1390" s="17">
        <f>IF($C1390="","",IFERROR(VLOOKUP($C1390,项目台账!$B:$C,2,0),"※项目不在项目台账里"))</f>
        <v/>
      </c>
      <c r="K1390" s="13" t="n"/>
    </row>
    <row r="1391">
      <c r="A1391" s="17">
        <f>IF($C1391="","",ROW()-3)</f>
        <v/>
      </c>
      <c r="B1391" s="18" t="n"/>
      <c r="C1391" s="13" t="n"/>
      <c r="D1391" s="13" t="n"/>
      <c r="E1391" s="13" t="n"/>
      <c r="F1391" s="13" t="n"/>
      <c r="G1391" s="20" t="n"/>
      <c r="H1391" s="14" t="n"/>
      <c r="I1391" s="19">
        <f>IF($C1391="","",ROUND(IF($G1391="",1,$G1391)*N($H1391),2))</f>
        <v/>
      </c>
      <c r="J1391" s="17">
        <f>IF($C1391="","",IFERROR(VLOOKUP($C1391,项目台账!$B:$C,2,0),"※项目不在项目台账里"))</f>
        <v/>
      </c>
      <c r="K1391" s="13" t="n"/>
    </row>
    <row r="1392">
      <c r="A1392" s="17">
        <f>IF($C1392="","",ROW()-3)</f>
        <v/>
      </c>
      <c r="B1392" s="18" t="n"/>
      <c r="C1392" s="13" t="n"/>
      <c r="D1392" s="13" t="n"/>
      <c r="E1392" s="13" t="n"/>
      <c r="F1392" s="13" t="n"/>
      <c r="G1392" s="20" t="n"/>
      <c r="H1392" s="14" t="n"/>
      <c r="I1392" s="19">
        <f>IF($C1392="","",ROUND(IF($G1392="",1,$G1392)*N($H1392),2))</f>
        <v/>
      </c>
      <c r="J1392" s="17">
        <f>IF($C1392="","",IFERROR(VLOOKUP($C1392,项目台账!$B:$C,2,0),"※项目不在项目台账里"))</f>
        <v/>
      </c>
      <c r="K1392" s="13" t="n"/>
    </row>
    <row r="1393">
      <c r="A1393" s="17">
        <f>IF($C1393="","",ROW()-3)</f>
        <v/>
      </c>
      <c r="B1393" s="18" t="n"/>
      <c r="C1393" s="13" t="n"/>
      <c r="D1393" s="13" t="n"/>
      <c r="E1393" s="13" t="n"/>
      <c r="F1393" s="13" t="n"/>
      <c r="G1393" s="20" t="n"/>
      <c r="H1393" s="14" t="n"/>
      <c r="I1393" s="19">
        <f>IF($C1393="","",ROUND(IF($G1393="",1,$G1393)*N($H1393),2))</f>
        <v/>
      </c>
      <c r="J1393" s="17">
        <f>IF($C1393="","",IFERROR(VLOOKUP($C1393,项目台账!$B:$C,2,0),"※项目不在项目台账里"))</f>
        <v/>
      </c>
      <c r="K1393" s="13" t="n"/>
    </row>
    <row r="1394">
      <c r="A1394" s="17">
        <f>IF($C1394="","",ROW()-3)</f>
        <v/>
      </c>
      <c r="B1394" s="18" t="n"/>
      <c r="C1394" s="13" t="n"/>
      <c r="D1394" s="13" t="n"/>
      <c r="E1394" s="13" t="n"/>
      <c r="F1394" s="13" t="n"/>
      <c r="G1394" s="20" t="n"/>
      <c r="H1394" s="14" t="n"/>
      <c r="I1394" s="19">
        <f>IF($C1394="","",ROUND(IF($G1394="",1,$G1394)*N($H1394),2))</f>
        <v/>
      </c>
      <c r="J1394" s="17">
        <f>IF($C1394="","",IFERROR(VLOOKUP($C1394,项目台账!$B:$C,2,0),"※项目不在项目台账里"))</f>
        <v/>
      </c>
      <c r="K1394" s="13" t="n"/>
    </row>
    <row r="1395">
      <c r="A1395" s="17">
        <f>IF($C1395="","",ROW()-3)</f>
        <v/>
      </c>
      <c r="B1395" s="18" t="n"/>
      <c r="C1395" s="13" t="n"/>
      <c r="D1395" s="13" t="n"/>
      <c r="E1395" s="13" t="n"/>
      <c r="F1395" s="13" t="n"/>
      <c r="G1395" s="20" t="n"/>
      <c r="H1395" s="14" t="n"/>
      <c r="I1395" s="19">
        <f>IF($C1395="","",ROUND(IF($G1395="",1,$G1395)*N($H1395),2))</f>
        <v/>
      </c>
      <c r="J1395" s="17">
        <f>IF($C1395="","",IFERROR(VLOOKUP($C1395,项目台账!$B:$C,2,0),"※项目不在项目台账里"))</f>
        <v/>
      </c>
      <c r="K1395" s="13" t="n"/>
    </row>
    <row r="1396">
      <c r="A1396" s="17">
        <f>IF($C1396="","",ROW()-3)</f>
        <v/>
      </c>
      <c r="B1396" s="18" t="n"/>
      <c r="C1396" s="13" t="n"/>
      <c r="D1396" s="13" t="n"/>
      <c r="E1396" s="13" t="n"/>
      <c r="F1396" s="13" t="n"/>
      <c r="G1396" s="20" t="n"/>
      <c r="H1396" s="14" t="n"/>
      <c r="I1396" s="19">
        <f>IF($C1396="","",ROUND(IF($G1396="",1,$G1396)*N($H1396),2))</f>
        <v/>
      </c>
      <c r="J1396" s="17">
        <f>IF($C1396="","",IFERROR(VLOOKUP($C1396,项目台账!$B:$C,2,0),"※项目不在项目台账里"))</f>
        <v/>
      </c>
      <c r="K1396" s="13" t="n"/>
    </row>
    <row r="1397">
      <c r="A1397" s="17">
        <f>IF($C1397="","",ROW()-3)</f>
        <v/>
      </c>
      <c r="B1397" s="18" t="n"/>
      <c r="C1397" s="13" t="n"/>
      <c r="D1397" s="13" t="n"/>
      <c r="E1397" s="13" t="n"/>
      <c r="F1397" s="13" t="n"/>
      <c r="G1397" s="20" t="n"/>
      <c r="H1397" s="14" t="n"/>
      <c r="I1397" s="19">
        <f>IF($C1397="","",ROUND(IF($G1397="",1,$G1397)*N($H1397),2))</f>
        <v/>
      </c>
      <c r="J1397" s="17">
        <f>IF($C1397="","",IFERROR(VLOOKUP($C1397,项目台账!$B:$C,2,0),"※项目不在项目台账里"))</f>
        <v/>
      </c>
      <c r="K1397" s="13" t="n"/>
    </row>
    <row r="1398">
      <c r="A1398" s="17">
        <f>IF($C1398="","",ROW()-3)</f>
        <v/>
      </c>
      <c r="B1398" s="18" t="n"/>
      <c r="C1398" s="13" t="n"/>
      <c r="D1398" s="13" t="n"/>
      <c r="E1398" s="13" t="n"/>
      <c r="F1398" s="13" t="n"/>
      <c r="G1398" s="20" t="n"/>
      <c r="H1398" s="14" t="n"/>
      <c r="I1398" s="19">
        <f>IF($C1398="","",ROUND(IF($G1398="",1,$G1398)*N($H1398),2))</f>
        <v/>
      </c>
      <c r="J1398" s="17">
        <f>IF($C1398="","",IFERROR(VLOOKUP($C1398,项目台账!$B:$C,2,0),"※项目不在项目台账里"))</f>
        <v/>
      </c>
      <c r="K1398" s="13" t="n"/>
    </row>
    <row r="1399">
      <c r="A1399" s="17">
        <f>IF($C1399="","",ROW()-3)</f>
        <v/>
      </c>
      <c r="B1399" s="18" t="n"/>
      <c r="C1399" s="13" t="n"/>
      <c r="D1399" s="13" t="n"/>
      <c r="E1399" s="13" t="n"/>
      <c r="F1399" s="13" t="n"/>
      <c r="G1399" s="20" t="n"/>
      <c r="H1399" s="14" t="n"/>
      <c r="I1399" s="19">
        <f>IF($C1399="","",ROUND(IF($G1399="",1,$G1399)*N($H1399),2))</f>
        <v/>
      </c>
      <c r="J1399" s="17">
        <f>IF($C1399="","",IFERROR(VLOOKUP($C1399,项目台账!$B:$C,2,0),"※项目不在项目台账里"))</f>
        <v/>
      </c>
      <c r="K1399" s="13" t="n"/>
    </row>
    <row r="1400">
      <c r="A1400" s="17">
        <f>IF($C1400="","",ROW()-3)</f>
        <v/>
      </c>
      <c r="B1400" s="18" t="n"/>
      <c r="C1400" s="13" t="n"/>
      <c r="D1400" s="13" t="n"/>
      <c r="E1400" s="13" t="n"/>
      <c r="F1400" s="13" t="n"/>
      <c r="G1400" s="20" t="n"/>
      <c r="H1400" s="14" t="n"/>
      <c r="I1400" s="19">
        <f>IF($C1400="","",ROUND(IF($G1400="",1,$G1400)*N($H1400),2))</f>
        <v/>
      </c>
      <c r="J1400" s="17">
        <f>IF($C1400="","",IFERROR(VLOOKUP($C1400,项目台账!$B:$C,2,0),"※项目不在项目台账里"))</f>
        <v/>
      </c>
      <c r="K1400" s="13" t="n"/>
    </row>
    <row r="1401">
      <c r="A1401" s="17">
        <f>IF($C1401="","",ROW()-3)</f>
        <v/>
      </c>
      <c r="B1401" s="18" t="n"/>
      <c r="C1401" s="13" t="n"/>
      <c r="D1401" s="13" t="n"/>
      <c r="E1401" s="13" t="n"/>
      <c r="F1401" s="13" t="n"/>
      <c r="G1401" s="20" t="n"/>
      <c r="H1401" s="14" t="n"/>
      <c r="I1401" s="19">
        <f>IF($C1401="","",ROUND(IF($G1401="",1,$G1401)*N($H1401),2))</f>
        <v/>
      </c>
      <c r="J1401" s="17">
        <f>IF($C1401="","",IFERROR(VLOOKUP($C1401,项目台账!$B:$C,2,0),"※项目不在项目台账里"))</f>
        <v/>
      </c>
      <c r="K1401" s="13" t="n"/>
    </row>
    <row r="1402">
      <c r="A1402" s="17">
        <f>IF($C1402="","",ROW()-3)</f>
        <v/>
      </c>
      <c r="B1402" s="18" t="n"/>
      <c r="C1402" s="13" t="n"/>
      <c r="D1402" s="13" t="n"/>
      <c r="E1402" s="13" t="n"/>
      <c r="F1402" s="13" t="n"/>
      <c r="G1402" s="20" t="n"/>
      <c r="H1402" s="14" t="n"/>
      <c r="I1402" s="19">
        <f>IF($C1402="","",ROUND(IF($G1402="",1,$G1402)*N($H1402),2))</f>
        <v/>
      </c>
      <c r="J1402" s="17">
        <f>IF($C1402="","",IFERROR(VLOOKUP($C1402,项目台账!$B:$C,2,0),"※项目不在项目台账里"))</f>
        <v/>
      </c>
      <c r="K1402" s="13" t="n"/>
    </row>
    <row r="1403">
      <c r="A1403" s="17">
        <f>IF($C1403="","",ROW()-3)</f>
        <v/>
      </c>
      <c r="B1403" s="18" t="n"/>
      <c r="C1403" s="13" t="n"/>
      <c r="D1403" s="13" t="n"/>
      <c r="E1403" s="13" t="n"/>
      <c r="F1403" s="13" t="n"/>
      <c r="G1403" s="20" t="n"/>
      <c r="H1403" s="14" t="n"/>
      <c r="I1403" s="19">
        <f>IF($C1403="","",ROUND(IF($G1403="",1,$G1403)*N($H1403),2))</f>
        <v/>
      </c>
      <c r="J1403" s="17">
        <f>IF($C1403="","",IFERROR(VLOOKUP($C1403,项目台账!$B:$C,2,0),"※项目不在项目台账里"))</f>
        <v/>
      </c>
      <c r="K1403" s="13" t="n"/>
    </row>
    <row r="1404">
      <c r="A1404" s="17">
        <f>IF($C1404="","",ROW()-3)</f>
        <v/>
      </c>
      <c r="B1404" s="18" t="n"/>
      <c r="C1404" s="13" t="n"/>
      <c r="D1404" s="13" t="n"/>
      <c r="E1404" s="13" t="n"/>
      <c r="F1404" s="13" t="n"/>
      <c r="G1404" s="20" t="n"/>
      <c r="H1404" s="14" t="n"/>
      <c r="I1404" s="19">
        <f>IF($C1404="","",ROUND(IF($G1404="",1,$G1404)*N($H1404),2))</f>
        <v/>
      </c>
      <c r="J1404" s="17">
        <f>IF($C1404="","",IFERROR(VLOOKUP($C1404,项目台账!$B:$C,2,0),"※项目不在项目台账里"))</f>
        <v/>
      </c>
      <c r="K1404" s="13" t="n"/>
    </row>
    <row r="1405">
      <c r="A1405" s="17">
        <f>IF($C1405="","",ROW()-3)</f>
        <v/>
      </c>
      <c r="B1405" s="18" t="n"/>
      <c r="C1405" s="13" t="n"/>
      <c r="D1405" s="13" t="n"/>
      <c r="E1405" s="13" t="n"/>
      <c r="F1405" s="13" t="n"/>
      <c r="G1405" s="20" t="n"/>
      <c r="H1405" s="14" t="n"/>
      <c r="I1405" s="19">
        <f>IF($C1405="","",ROUND(IF($G1405="",1,$G1405)*N($H1405),2))</f>
        <v/>
      </c>
      <c r="J1405" s="17">
        <f>IF($C1405="","",IFERROR(VLOOKUP($C1405,项目台账!$B:$C,2,0),"※项目不在项目台账里"))</f>
        <v/>
      </c>
      <c r="K1405" s="13" t="n"/>
    </row>
    <row r="1406">
      <c r="A1406" s="17">
        <f>IF($C1406="","",ROW()-3)</f>
        <v/>
      </c>
      <c r="B1406" s="18" t="n"/>
      <c r="C1406" s="13" t="n"/>
      <c r="D1406" s="13" t="n"/>
      <c r="E1406" s="13" t="n"/>
      <c r="F1406" s="13" t="n"/>
      <c r="G1406" s="20" t="n"/>
      <c r="H1406" s="14" t="n"/>
      <c r="I1406" s="19">
        <f>IF($C1406="","",ROUND(IF($G1406="",1,$G1406)*N($H1406),2))</f>
        <v/>
      </c>
      <c r="J1406" s="17">
        <f>IF($C1406="","",IFERROR(VLOOKUP($C1406,项目台账!$B:$C,2,0),"※项目不在项目台账里"))</f>
        <v/>
      </c>
      <c r="K1406" s="13" t="n"/>
    </row>
    <row r="1407">
      <c r="A1407" s="17">
        <f>IF($C1407="","",ROW()-3)</f>
        <v/>
      </c>
      <c r="B1407" s="18" t="n"/>
      <c r="C1407" s="13" t="n"/>
      <c r="D1407" s="13" t="n"/>
      <c r="E1407" s="13" t="n"/>
      <c r="F1407" s="13" t="n"/>
      <c r="G1407" s="20" t="n"/>
      <c r="H1407" s="14" t="n"/>
      <c r="I1407" s="19">
        <f>IF($C1407="","",ROUND(IF($G1407="",1,$G1407)*N($H1407),2))</f>
        <v/>
      </c>
      <c r="J1407" s="17">
        <f>IF($C1407="","",IFERROR(VLOOKUP($C1407,项目台账!$B:$C,2,0),"※项目不在项目台账里"))</f>
        <v/>
      </c>
      <c r="K1407" s="13" t="n"/>
    </row>
    <row r="1408">
      <c r="A1408" s="17">
        <f>IF($C1408="","",ROW()-3)</f>
        <v/>
      </c>
      <c r="B1408" s="18" t="n"/>
      <c r="C1408" s="13" t="n"/>
      <c r="D1408" s="13" t="n"/>
      <c r="E1408" s="13" t="n"/>
      <c r="F1408" s="13" t="n"/>
      <c r="G1408" s="20" t="n"/>
      <c r="H1408" s="14" t="n"/>
      <c r="I1408" s="19">
        <f>IF($C1408="","",ROUND(IF($G1408="",1,$G1408)*N($H1408),2))</f>
        <v/>
      </c>
      <c r="J1408" s="17">
        <f>IF($C1408="","",IFERROR(VLOOKUP($C1408,项目台账!$B:$C,2,0),"※项目不在项目台账里"))</f>
        <v/>
      </c>
      <c r="K1408" s="13" t="n"/>
    </row>
    <row r="1409">
      <c r="A1409" s="17">
        <f>IF($C1409="","",ROW()-3)</f>
        <v/>
      </c>
      <c r="B1409" s="18" t="n"/>
      <c r="C1409" s="13" t="n"/>
      <c r="D1409" s="13" t="n"/>
      <c r="E1409" s="13" t="n"/>
      <c r="F1409" s="13" t="n"/>
      <c r="G1409" s="20" t="n"/>
      <c r="H1409" s="14" t="n"/>
      <c r="I1409" s="19">
        <f>IF($C1409="","",ROUND(IF($G1409="",1,$G1409)*N($H1409),2))</f>
        <v/>
      </c>
      <c r="J1409" s="17">
        <f>IF($C1409="","",IFERROR(VLOOKUP($C1409,项目台账!$B:$C,2,0),"※项目不在项目台账里"))</f>
        <v/>
      </c>
      <c r="K1409" s="13" t="n"/>
    </row>
    <row r="1410">
      <c r="A1410" s="17">
        <f>IF($C1410="","",ROW()-3)</f>
        <v/>
      </c>
      <c r="B1410" s="18" t="n"/>
      <c r="C1410" s="13" t="n"/>
      <c r="D1410" s="13" t="n"/>
      <c r="E1410" s="13" t="n"/>
      <c r="F1410" s="13" t="n"/>
      <c r="G1410" s="20" t="n"/>
      <c r="H1410" s="14" t="n"/>
      <c r="I1410" s="19">
        <f>IF($C1410="","",ROUND(IF($G1410="",1,$G1410)*N($H1410),2))</f>
        <v/>
      </c>
      <c r="J1410" s="17">
        <f>IF($C1410="","",IFERROR(VLOOKUP($C1410,项目台账!$B:$C,2,0),"※项目不在项目台账里"))</f>
        <v/>
      </c>
      <c r="K1410" s="13" t="n"/>
    </row>
    <row r="1411">
      <c r="A1411" s="17">
        <f>IF($C1411="","",ROW()-3)</f>
        <v/>
      </c>
      <c r="B1411" s="18" t="n"/>
      <c r="C1411" s="13" t="n"/>
      <c r="D1411" s="13" t="n"/>
      <c r="E1411" s="13" t="n"/>
      <c r="F1411" s="13" t="n"/>
      <c r="G1411" s="20" t="n"/>
      <c r="H1411" s="14" t="n"/>
      <c r="I1411" s="19">
        <f>IF($C1411="","",ROUND(IF($G1411="",1,$G1411)*N($H1411),2))</f>
        <v/>
      </c>
      <c r="J1411" s="17">
        <f>IF($C1411="","",IFERROR(VLOOKUP($C1411,项目台账!$B:$C,2,0),"※项目不在项目台账里"))</f>
        <v/>
      </c>
      <c r="K1411" s="13" t="n"/>
    </row>
    <row r="1412">
      <c r="A1412" s="17">
        <f>IF($C1412="","",ROW()-3)</f>
        <v/>
      </c>
      <c r="B1412" s="18" t="n"/>
      <c r="C1412" s="13" t="n"/>
      <c r="D1412" s="13" t="n"/>
      <c r="E1412" s="13" t="n"/>
      <c r="F1412" s="13" t="n"/>
      <c r="G1412" s="20" t="n"/>
      <c r="H1412" s="14" t="n"/>
      <c r="I1412" s="19">
        <f>IF($C1412="","",ROUND(IF($G1412="",1,$G1412)*N($H1412),2))</f>
        <v/>
      </c>
      <c r="J1412" s="17">
        <f>IF($C1412="","",IFERROR(VLOOKUP($C1412,项目台账!$B:$C,2,0),"※项目不在项目台账里"))</f>
        <v/>
      </c>
      <c r="K1412" s="13" t="n"/>
    </row>
    <row r="1413">
      <c r="A1413" s="17">
        <f>IF($C1413="","",ROW()-3)</f>
        <v/>
      </c>
      <c r="B1413" s="18" t="n"/>
      <c r="C1413" s="13" t="n"/>
      <c r="D1413" s="13" t="n"/>
      <c r="E1413" s="13" t="n"/>
      <c r="F1413" s="13" t="n"/>
      <c r="G1413" s="20" t="n"/>
      <c r="H1413" s="14" t="n"/>
      <c r="I1413" s="19">
        <f>IF($C1413="","",ROUND(IF($G1413="",1,$G1413)*N($H1413),2))</f>
        <v/>
      </c>
      <c r="J1413" s="17">
        <f>IF($C1413="","",IFERROR(VLOOKUP($C1413,项目台账!$B:$C,2,0),"※项目不在项目台账里"))</f>
        <v/>
      </c>
      <c r="K1413" s="13" t="n"/>
    </row>
    <row r="1414">
      <c r="A1414" s="17">
        <f>IF($C1414="","",ROW()-3)</f>
        <v/>
      </c>
      <c r="B1414" s="18" t="n"/>
      <c r="C1414" s="13" t="n"/>
      <c r="D1414" s="13" t="n"/>
      <c r="E1414" s="13" t="n"/>
      <c r="F1414" s="13" t="n"/>
      <c r="G1414" s="20" t="n"/>
      <c r="H1414" s="14" t="n"/>
      <c r="I1414" s="19">
        <f>IF($C1414="","",ROUND(IF($G1414="",1,$G1414)*N($H1414),2))</f>
        <v/>
      </c>
      <c r="J1414" s="17">
        <f>IF($C1414="","",IFERROR(VLOOKUP($C1414,项目台账!$B:$C,2,0),"※项目不在项目台账里"))</f>
        <v/>
      </c>
      <c r="K1414" s="13" t="n"/>
    </row>
    <row r="1415">
      <c r="A1415" s="17">
        <f>IF($C1415="","",ROW()-3)</f>
        <v/>
      </c>
      <c r="B1415" s="18" t="n"/>
      <c r="C1415" s="13" t="n"/>
      <c r="D1415" s="13" t="n"/>
      <c r="E1415" s="13" t="n"/>
      <c r="F1415" s="13" t="n"/>
      <c r="G1415" s="20" t="n"/>
      <c r="H1415" s="14" t="n"/>
      <c r="I1415" s="19">
        <f>IF($C1415="","",ROUND(IF($G1415="",1,$G1415)*N($H1415),2))</f>
        <v/>
      </c>
      <c r="J1415" s="17">
        <f>IF($C1415="","",IFERROR(VLOOKUP($C1415,项目台账!$B:$C,2,0),"※项目不在项目台账里"))</f>
        <v/>
      </c>
      <c r="K1415" s="13" t="n"/>
    </row>
    <row r="1416">
      <c r="A1416" s="17">
        <f>IF($C1416="","",ROW()-3)</f>
        <v/>
      </c>
      <c r="B1416" s="18" t="n"/>
      <c r="C1416" s="13" t="n"/>
      <c r="D1416" s="13" t="n"/>
      <c r="E1416" s="13" t="n"/>
      <c r="F1416" s="13" t="n"/>
      <c r="G1416" s="20" t="n"/>
      <c r="H1416" s="14" t="n"/>
      <c r="I1416" s="19">
        <f>IF($C1416="","",ROUND(IF($G1416="",1,$G1416)*N($H1416),2))</f>
        <v/>
      </c>
      <c r="J1416" s="17">
        <f>IF($C1416="","",IFERROR(VLOOKUP($C1416,项目台账!$B:$C,2,0),"※项目不在项目台账里"))</f>
        <v/>
      </c>
      <c r="K1416" s="13" t="n"/>
    </row>
    <row r="1417">
      <c r="A1417" s="17">
        <f>IF($C1417="","",ROW()-3)</f>
        <v/>
      </c>
      <c r="B1417" s="18" t="n"/>
      <c r="C1417" s="13" t="n"/>
      <c r="D1417" s="13" t="n"/>
      <c r="E1417" s="13" t="n"/>
      <c r="F1417" s="13" t="n"/>
      <c r="G1417" s="20" t="n"/>
      <c r="H1417" s="14" t="n"/>
      <c r="I1417" s="19">
        <f>IF($C1417="","",ROUND(IF($G1417="",1,$G1417)*N($H1417),2))</f>
        <v/>
      </c>
      <c r="J1417" s="17">
        <f>IF($C1417="","",IFERROR(VLOOKUP($C1417,项目台账!$B:$C,2,0),"※项目不在项目台账里"))</f>
        <v/>
      </c>
      <c r="K1417" s="13" t="n"/>
    </row>
    <row r="1418">
      <c r="A1418" s="17">
        <f>IF($C1418="","",ROW()-3)</f>
        <v/>
      </c>
      <c r="B1418" s="18" t="n"/>
      <c r="C1418" s="13" t="n"/>
      <c r="D1418" s="13" t="n"/>
      <c r="E1418" s="13" t="n"/>
      <c r="F1418" s="13" t="n"/>
      <c r="G1418" s="20" t="n"/>
      <c r="H1418" s="14" t="n"/>
      <c r="I1418" s="19">
        <f>IF($C1418="","",ROUND(IF($G1418="",1,$G1418)*N($H1418),2))</f>
        <v/>
      </c>
      <c r="J1418" s="17">
        <f>IF($C1418="","",IFERROR(VLOOKUP($C1418,项目台账!$B:$C,2,0),"※项目不在项目台账里"))</f>
        <v/>
      </c>
      <c r="K1418" s="13" t="n"/>
    </row>
    <row r="1419">
      <c r="A1419" s="17">
        <f>IF($C1419="","",ROW()-3)</f>
        <v/>
      </c>
      <c r="B1419" s="18" t="n"/>
      <c r="C1419" s="13" t="n"/>
      <c r="D1419" s="13" t="n"/>
      <c r="E1419" s="13" t="n"/>
      <c r="F1419" s="13" t="n"/>
      <c r="G1419" s="20" t="n"/>
      <c r="H1419" s="14" t="n"/>
      <c r="I1419" s="19">
        <f>IF($C1419="","",ROUND(IF($G1419="",1,$G1419)*N($H1419),2))</f>
        <v/>
      </c>
      <c r="J1419" s="17">
        <f>IF($C1419="","",IFERROR(VLOOKUP($C1419,项目台账!$B:$C,2,0),"※项目不在项目台账里"))</f>
        <v/>
      </c>
      <c r="K1419" s="13" t="n"/>
    </row>
    <row r="1420">
      <c r="A1420" s="17">
        <f>IF($C1420="","",ROW()-3)</f>
        <v/>
      </c>
      <c r="B1420" s="18" t="n"/>
      <c r="C1420" s="13" t="n"/>
      <c r="D1420" s="13" t="n"/>
      <c r="E1420" s="13" t="n"/>
      <c r="F1420" s="13" t="n"/>
      <c r="G1420" s="20" t="n"/>
      <c r="H1420" s="14" t="n"/>
      <c r="I1420" s="19">
        <f>IF($C1420="","",ROUND(IF($G1420="",1,$G1420)*N($H1420),2))</f>
        <v/>
      </c>
      <c r="J1420" s="17">
        <f>IF($C1420="","",IFERROR(VLOOKUP($C1420,项目台账!$B:$C,2,0),"※项目不在项目台账里"))</f>
        <v/>
      </c>
      <c r="K1420" s="13" t="n"/>
    </row>
    <row r="1421">
      <c r="A1421" s="17">
        <f>IF($C1421="","",ROW()-3)</f>
        <v/>
      </c>
      <c r="B1421" s="18" t="n"/>
      <c r="C1421" s="13" t="n"/>
      <c r="D1421" s="13" t="n"/>
      <c r="E1421" s="13" t="n"/>
      <c r="F1421" s="13" t="n"/>
      <c r="G1421" s="20" t="n"/>
      <c r="H1421" s="14" t="n"/>
      <c r="I1421" s="19">
        <f>IF($C1421="","",ROUND(IF($G1421="",1,$G1421)*N($H1421),2))</f>
        <v/>
      </c>
      <c r="J1421" s="17">
        <f>IF($C1421="","",IFERROR(VLOOKUP($C1421,项目台账!$B:$C,2,0),"※项目不在项目台账里"))</f>
        <v/>
      </c>
      <c r="K1421" s="13" t="n"/>
    </row>
    <row r="1422">
      <c r="A1422" s="17">
        <f>IF($C1422="","",ROW()-3)</f>
        <v/>
      </c>
      <c r="B1422" s="18" t="n"/>
      <c r="C1422" s="13" t="n"/>
      <c r="D1422" s="13" t="n"/>
      <c r="E1422" s="13" t="n"/>
      <c r="F1422" s="13" t="n"/>
      <c r="G1422" s="20" t="n"/>
      <c r="H1422" s="14" t="n"/>
      <c r="I1422" s="19">
        <f>IF($C1422="","",ROUND(IF($G1422="",1,$G1422)*N($H1422),2))</f>
        <v/>
      </c>
      <c r="J1422" s="17">
        <f>IF($C1422="","",IFERROR(VLOOKUP($C1422,项目台账!$B:$C,2,0),"※项目不在项目台账里"))</f>
        <v/>
      </c>
      <c r="K1422" s="13" t="n"/>
    </row>
    <row r="1423">
      <c r="A1423" s="17">
        <f>IF($C1423="","",ROW()-3)</f>
        <v/>
      </c>
      <c r="B1423" s="18" t="n"/>
      <c r="C1423" s="13" t="n"/>
      <c r="D1423" s="13" t="n"/>
      <c r="E1423" s="13" t="n"/>
      <c r="F1423" s="13" t="n"/>
      <c r="G1423" s="20" t="n"/>
      <c r="H1423" s="14" t="n"/>
      <c r="I1423" s="19">
        <f>IF($C1423="","",ROUND(IF($G1423="",1,$G1423)*N($H1423),2))</f>
        <v/>
      </c>
      <c r="J1423" s="17">
        <f>IF($C1423="","",IFERROR(VLOOKUP($C1423,项目台账!$B:$C,2,0),"※项目不在项目台账里"))</f>
        <v/>
      </c>
      <c r="K1423" s="13" t="n"/>
    </row>
    <row r="1424">
      <c r="A1424" s="17">
        <f>IF($C1424="","",ROW()-3)</f>
        <v/>
      </c>
      <c r="B1424" s="18" t="n"/>
      <c r="C1424" s="13" t="n"/>
      <c r="D1424" s="13" t="n"/>
      <c r="E1424" s="13" t="n"/>
      <c r="F1424" s="13" t="n"/>
      <c r="G1424" s="20" t="n"/>
      <c r="H1424" s="14" t="n"/>
      <c r="I1424" s="19">
        <f>IF($C1424="","",ROUND(IF($G1424="",1,$G1424)*N($H1424),2))</f>
        <v/>
      </c>
      <c r="J1424" s="17">
        <f>IF($C1424="","",IFERROR(VLOOKUP($C1424,项目台账!$B:$C,2,0),"※项目不在项目台账里"))</f>
        <v/>
      </c>
      <c r="K1424" s="13" t="n"/>
    </row>
    <row r="1425">
      <c r="A1425" s="17">
        <f>IF($C1425="","",ROW()-3)</f>
        <v/>
      </c>
      <c r="B1425" s="18" t="n"/>
      <c r="C1425" s="13" t="n"/>
      <c r="D1425" s="13" t="n"/>
      <c r="E1425" s="13" t="n"/>
      <c r="F1425" s="13" t="n"/>
      <c r="G1425" s="20" t="n"/>
      <c r="H1425" s="14" t="n"/>
      <c r="I1425" s="19">
        <f>IF($C1425="","",ROUND(IF($G1425="",1,$G1425)*N($H1425),2))</f>
        <v/>
      </c>
      <c r="J1425" s="17">
        <f>IF($C1425="","",IFERROR(VLOOKUP($C1425,项目台账!$B:$C,2,0),"※项目不在项目台账里"))</f>
        <v/>
      </c>
      <c r="K1425" s="13" t="n"/>
    </row>
    <row r="1426">
      <c r="A1426" s="17">
        <f>IF($C1426="","",ROW()-3)</f>
        <v/>
      </c>
      <c r="B1426" s="18" t="n"/>
      <c r="C1426" s="13" t="n"/>
      <c r="D1426" s="13" t="n"/>
      <c r="E1426" s="13" t="n"/>
      <c r="F1426" s="13" t="n"/>
      <c r="G1426" s="20" t="n"/>
      <c r="H1426" s="14" t="n"/>
      <c r="I1426" s="19">
        <f>IF($C1426="","",ROUND(IF($G1426="",1,$G1426)*N($H1426),2))</f>
        <v/>
      </c>
      <c r="J1426" s="17">
        <f>IF($C1426="","",IFERROR(VLOOKUP($C1426,项目台账!$B:$C,2,0),"※项目不在项目台账里"))</f>
        <v/>
      </c>
      <c r="K1426" s="13" t="n"/>
    </row>
    <row r="1427">
      <c r="A1427" s="17">
        <f>IF($C1427="","",ROW()-3)</f>
        <v/>
      </c>
      <c r="B1427" s="18" t="n"/>
      <c r="C1427" s="13" t="n"/>
      <c r="D1427" s="13" t="n"/>
      <c r="E1427" s="13" t="n"/>
      <c r="F1427" s="13" t="n"/>
      <c r="G1427" s="20" t="n"/>
      <c r="H1427" s="14" t="n"/>
      <c r="I1427" s="19">
        <f>IF($C1427="","",ROUND(IF($G1427="",1,$G1427)*N($H1427),2))</f>
        <v/>
      </c>
      <c r="J1427" s="17">
        <f>IF($C1427="","",IFERROR(VLOOKUP($C1427,项目台账!$B:$C,2,0),"※项目不在项目台账里"))</f>
        <v/>
      </c>
      <c r="K1427" s="13" t="n"/>
    </row>
    <row r="1428">
      <c r="A1428" s="17">
        <f>IF($C1428="","",ROW()-3)</f>
        <v/>
      </c>
      <c r="B1428" s="18" t="n"/>
      <c r="C1428" s="13" t="n"/>
      <c r="D1428" s="13" t="n"/>
      <c r="E1428" s="13" t="n"/>
      <c r="F1428" s="13" t="n"/>
      <c r="G1428" s="20" t="n"/>
      <c r="H1428" s="14" t="n"/>
      <c r="I1428" s="19">
        <f>IF($C1428="","",ROUND(IF($G1428="",1,$G1428)*N($H1428),2))</f>
        <v/>
      </c>
      <c r="J1428" s="17">
        <f>IF($C1428="","",IFERROR(VLOOKUP($C1428,项目台账!$B:$C,2,0),"※项目不在项目台账里"))</f>
        <v/>
      </c>
      <c r="K1428" s="13" t="n"/>
    </row>
    <row r="1429">
      <c r="A1429" s="17">
        <f>IF($C1429="","",ROW()-3)</f>
        <v/>
      </c>
      <c r="B1429" s="18" t="n"/>
      <c r="C1429" s="13" t="n"/>
      <c r="D1429" s="13" t="n"/>
      <c r="E1429" s="13" t="n"/>
      <c r="F1429" s="13" t="n"/>
      <c r="G1429" s="20" t="n"/>
      <c r="H1429" s="14" t="n"/>
      <c r="I1429" s="19">
        <f>IF($C1429="","",ROUND(IF($G1429="",1,$G1429)*N($H1429),2))</f>
        <v/>
      </c>
      <c r="J1429" s="17">
        <f>IF($C1429="","",IFERROR(VLOOKUP($C1429,项目台账!$B:$C,2,0),"※项目不在项目台账里"))</f>
        <v/>
      </c>
      <c r="K1429" s="13" t="n"/>
    </row>
    <row r="1430">
      <c r="A1430" s="17">
        <f>IF($C1430="","",ROW()-3)</f>
        <v/>
      </c>
      <c r="B1430" s="18" t="n"/>
      <c r="C1430" s="13" t="n"/>
      <c r="D1430" s="13" t="n"/>
      <c r="E1430" s="13" t="n"/>
      <c r="F1430" s="13" t="n"/>
      <c r="G1430" s="20" t="n"/>
      <c r="H1430" s="14" t="n"/>
      <c r="I1430" s="19">
        <f>IF($C1430="","",ROUND(IF($G1430="",1,$G1430)*N($H1430),2))</f>
        <v/>
      </c>
      <c r="J1430" s="17">
        <f>IF($C1430="","",IFERROR(VLOOKUP($C1430,项目台账!$B:$C,2,0),"※项目不在项目台账里"))</f>
        <v/>
      </c>
      <c r="K1430" s="13" t="n"/>
    </row>
    <row r="1431">
      <c r="A1431" s="17">
        <f>IF($C1431="","",ROW()-3)</f>
        <v/>
      </c>
      <c r="B1431" s="18" t="n"/>
      <c r="C1431" s="13" t="n"/>
      <c r="D1431" s="13" t="n"/>
      <c r="E1431" s="13" t="n"/>
      <c r="F1431" s="13" t="n"/>
      <c r="G1431" s="20" t="n"/>
      <c r="H1431" s="14" t="n"/>
      <c r="I1431" s="19">
        <f>IF($C1431="","",ROUND(IF($G1431="",1,$G1431)*N($H1431),2))</f>
        <v/>
      </c>
      <c r="J1431" s="17">
        <f>IF($C1431="","",IFERROR(VLOOKUP($C1431,项目台账!$B:$C,2,0),"※项目不在项目台账里"))</f>
        <v/>
      </c>
      <c r="K1431" s="13" t="n"/>
    </row>
    <row r="1432">
      <c r="A1432" s="17">
        <f>IF($C1432="","",ROW()-3)</f>
        <v/>
      </c>
      <c r="B1432" s="18" t="n"/>
      <c r="C1432" s="13" t="n"/>
      <c r="D1432" s="13" t="n"/>
      <c r="E1432" s="13" t="n"/>
      <c r="F1432" s="13" t="n"/>
      <c r="G1432" s="20" t="n"/>
      <c r="H1432" s="14" t="n"/>
      <c r="I1432" s="19">
        <f>IF($C1432="","",ROUND(IF($G1432="",1,$G1432)*N($H1432),2))</f>
        <v/>
      </c>
      <c r="J1432" s="17">
        <f>IF($C1432="","",IFERROR(VLOOKUP($C1432,项目台账!$B:$C,2,0),"※项目不在项目台账里"))</f>
        <v/>
      </c>
      <c r="K1432" s="13" t="n"/>
    </row>
    <row r="1433">
      <c r="A1433" s="17">
        <f>IF($C1433="","",ROW()-3)</f>
        <v/>
      </c>
      <c r="B1433" s="18" t="n"/>
      <c r="C1433" s="13" t="n"/>
      <c r="D1433" s="13" t="n"/>
      <c r="E1433" s="13" t="n"/>
      <c r="F1433" s="13" t="n"/>
      <c r="G1433" s="20" t="n"/>
      <c r="H1433" s="14" t="n"/>
      <c r="I1433" s="19">
        <f>IF($C1433="","",ROUND(IF($G1433="",1,$G1433)*N($H1433),2))</f>
        <v/>
      </c>
      <c r="J1433" s="17">
        <f>IF($C1433="","",IFERROR(VLOOKUP($C1433,项目台账!$B:$C,2,0),"※项目不在项目台账里"))</f>
        <v/>
      </c>
      <c r="K1433" s="13" t="n"/>
    </row>
    <row r="1434">
      <c r="A1434" s="17">
        <f>IF($C1434="","",ROW()-3)</f>
        <v/>
      </c>
      <c r="B1434" s="18" t="n"/>
      <c r="C1434" s="13" t="n"/>
      <c r="D1434" s="13" t="n"/>
      <c r="E1434" s="13" t="n"/>
      <c r="F1434" s="13" t="n"/>
      <c r="G1434" s="20" t="n"/>
      <c r="H1434" s="14" t="n"/>
      <c r="I1434" s="19">
        <f>IF($C1434="","",ROUND(IF($G1434="",1,$G1434)*N($H1434),2))</f>
        <v/>
      </c>
      <c r="J1434" s="17">
        <f>IF($C1434="","",IFERROR(VLOOKUP($C1434,项目台账!$B:$C,2,0),"※项目不在项目台账里"))</f>
        <v/>
      </c>
      <c r="K1434" s="13" t="n"/>
    </row>
    <row r="1435">
      <c r="A1435" s="17">
        <f>IF($C1435="","",ROW()-3)</f>
        <v/>
      </c>
      <c r="B1435" s="18" t="n"/>
      <c r="C1435" s="13" t="n"/>
      <c r="D1435" s="13" t="n"/>
      <c r="E1435" s="13" t="n"/>
      <c r="F1435" s="13" t="n"/>
      <c r="G1435" s="20" t="n"/>
      <c r="H1435" s="14" t="n"/>
      <c r="I1435" s="19">
        <f>IF($C1435="","",ROUND(IF($G1435="",1,$G1435)*N($H1435),2))</f>
        <v/>
      </c>
      <c r="J1435" s="17">
        <f>IF($C1435="","",IFERROR(VLOOKUP($C1435,项目台账!$B:$C,2,0),"※项目不在项目台账里"))</f>
        <v/>
      </c>
      <c r="K1435" s="13" t="n"/>
    </row>
    <row r="1436">
      <c r="A1436" s="17">
        <f>IF($C1436="","",ROW()-3)</f>
        <v/>
      </c>
      <c r="B1436" s="18" t="n"/>
      <c r="C1436" s="13" t="n"/>
      <c r="D1436" s="13" t="n"/>
      <c r="E1436" s="13" t="n"/>
      <c r="F1436" s="13" t="n"/>
      <c r="G1436" s="20" t="n"/>
      <c r="H1436" s="14" t="n"/>
      <c r="I1436" s="19">
        <f>IF($C1436="","",ROUND(IF($G1436="",1,$G1436)*N($H1436),2))</f>
        <v/>
      </c>
      <c r="J1436" s="17">
        <f>IF($C1436="","",IFERROR(VLOOKUP($C1436,项目台账!$B:$C,2,0),"※项目不在项目台账里"))</f>
        <v/>
      </c>
      <c r="K1436" s="13" t="n"/>
    </row>
    <row r="1437">
      <c r="A1437" s="17">
        <f>IF($C1437="","",ROW()-3)</f>
        <v/>
      </c>
      <c r="B1437" s="18" t="n"/>
      <c r="C1437" s="13" t="n"/>
      <c r="D1437" s="13" t="n"/>
      <c r="E1437" s="13" t="n"/>
      <c r="F1437" s="13" t="n"/>
      <c r="G1437" s="20" t="n"/>
      <c r="H1437" s="14" t="n"/>
      <c r="I1437" s="19">
        <f>IF($C1437="","",ROUND(IF($G1437="",1,$G1437)*N($H1437),2))</f>
        <v/>
      </c>
      <c r="J1437" s="17">
        <f>IF($C1437="","",IFERROR(VLOOKUP($C1437,项目台账!$B:$C,2,0),"※项目不在项目台账里"))</f>
        <v/>
      </c>
      <c r="K1437" s="13" t="n"/>
    </row>
    <row r="1438">
      <c r="A1438" s="17">
        <f>IF($C1438="","",ROW()-3)</f>
        <v/>
      </c>
      <c r="B1438" s="18" t="n"/>
      <c r="C1438" s="13" t="n"/>
      <c r="D1438" s="13" t="n"/>
      <c r="E1438" s="13" t="n"/>
      <c r="F1438" s="13" t="n"/>
      <c r="G1438" s="20" t="n"/>
      <c r="H1438" s="14" t="n"/>
      <c r="I1438" s="19">
        <f>IF($C1438="","",ROUND(IF($G1438="",1,$G1438)*N($H1438),2))</f>
        <v/>
      </c>
      <c r="J1438" s="17">
        <f>IF($C1438="","",IFERROR(VLOOKUP($C1438,项目台账!$B:$C,2,0),"※项目不在项目台账里"))</f>
        <v/>
      </c>
      <c r="K1438" s="13" t="n"/>
    </row>
    <row r="1439">
      <c r="A1439" s="17">
        <f>IF($C1439="","",ROW()-3)</f>
        <v/>
      </c>
      <c r="B1439" s="18" t="n"/>
      <c r="C1439" s="13" t="n"/>
      <c r="D1439" s="13" t="n"/>
      <c r="E1439" s="13" t="n"/>
      <c r="F1439" s="13" t="n"/>
      <c r="G1439" s="20" t="n"/>
      <c r="H1439" s="14" t="n"/>
      <c r="I1439" s="19">
        <f>IF($C1439="","",ROUND(IF($G1439="",1,$G1439)*N($H1439),2))</f>
        <v/>
      </c>
      <c r="J1439" s="17">
        <f>IF($C1439="","",IFERROR(VLOOKUP($C1439,项目台账!$B:$C,2,0),"※项目不在项目台账里"))</f>
        <v/>
      </c>
      <c r="K1439" s="13" t="n"/>
    </row>
    <row r="1440">
      <c r="A1440" s="17">
        <f>IF($C1440="","",ROW()-3)</f>
        <v/>
      </c>
      <c r="B1440" s="18" t="n"/>
      <c r="C1440" s="13" t="n"/>
      <c r="D1440" s="13" t="n"/>
      <c r="E1440" s="13" t="n"/>
      <c r="F1440" s="13" t="n"/>
      <c r="G1440" s="20" t="n"/>
      <c r="H1440" s="14" t="n"/>
      <c r="I1440" s="19">
        <f>IF($C1440="","",ROUND(IF($G1440="",1,$G1440)*N($H1440),2))</f>
        <v/>
      </c>
      <c r="J1440" s="17">
        <f>IF($C1440="","",IFERROR(VLOOKUP($C1440,项目台账!$B:$C,2,0),"※项目不在项目台账里"))</f>
        <v/>
      </c>
      <c r="K1440" s="13" t="n"/>
    </row>
    <row r="1441">
      <c r="A1441" s="17">
        <f>IF($C1441="","",ROW()-3)</f>
        <v/>
      </c>
      <c r="B1441" s="18" t="n"/>
      <c r="C1441" s="13" t="n"/>
      <c r="D1441" s="13" t="n"/>
      <c r="E1441" s="13" t="n"/>
      <c r="F1441" s="13" t="n"/>
      <c r="G1441" s="20" t="n"/>
      <c r="H1441" s="14" t="n"/>
      <c r="I1441" s="19">
        <f>IF($C1441="","",ROUND(IF($G1441="",1,$G1441)*N($H1441),2))</f>
        <v/>
      </c>
      <c r="J1441" s="17">
        <f>IF($C1441="","",IFERROR(VLOOKUP($C1441,项目台账!$B:$C,2,0),"※项目不在项目台账里"))</f>
        <v/>
      </c>
      <c r="K1441" s="13" t="n"/>
    </row>
    <row r="1442">
      <c r="A1442" s="17">
        <f>IF($C1442="","",ROW()-3)</f>
        <v/>
      </c>
      <c r="B1442" s="18" t="n"/>
      <c r="C1442" s="13" t="n"/>
      <c r="D1442" s="13" t="n"/>
      <c r="E1442" s="13" t="n"/>
      <c r="F1442" s="13" t="n"/>
      <c r="G1442" s="20" t="n"/>
      <c r="H1442" s="14" t="n"/>
      <c r="I1442" s="19">
        <f>IF($C1442="","",ROUND(IF($G1442="",1,$G1442)*N($H1442),2))</f>
        <v/>
      </c>
      <c r="J1442" s="17">
        <f>IF($C1442="","",IFERROR(VLOOKUP($C1442,项目台账!$B:$C,2,0),"※项目不在项目台账里"))</f>
        <v/>
      </c>
      <c r="K1442" s="13" t="n"/>
    </row>
    <row r="1443">
      <c r="A1443" s="17">
        <f>IF($C1443="","",ROW()-3)</f>
        <v/>
      </c>
      <c r="B1443" s="18" t="n"/>
      <c r="C1443" s="13" t="n"/>
      <c r="D1443" s="13" t="n"/>
      <c r="E1443" s="13" t="n"/>
      <c r="F1443" s="13" t="n"/>
      <c r="G1443" s="20" t="n"/>
      <c r="H1443" s="14" t="n"/>
      <c r="I1443" s="19">
        <f>IF($C1443="","",ROUND(IF($G1443="",1,$G1443)*N($H1443),2))</f>
        <v/>
      </c>
      <c r="J1443" s="17">
        <f>IF($C1443="","",IFERROR(VLOOKUP($C1443,项目台账!$B:$C,2,0),"※项目不在项目台账里"))</f>
        <v/>
      </c>
      <c r="K1443" s="13" t="n"/>
    </row>
    <row r="1444">
      <c r="A1444" s="17">
        <f>IF($C1444="","",ROW()-3)</f>
        <v/>
      </c>
      <c r="B1444" s="18" t="n"/>
      <c r="C1444" s="13" t="n"/>
      <c r="D1444" s="13" t="n"/>
      <c r="E1444" s="13" t="n"/>
      <c r="F1444" s="13" t="n"/>
      <c r="G1444" s="20" t="n"/>
      <c r="H1444" s="14" t="n"/>
      <c r="I1444" s="19">
        <f>IF($C1444="","",ROUND(IF($G1444="",1,$G1444)*N($H1444),2))</f>
        <v/>
      </c>
      <c r="J1444" s="17">
        <f>IF($C1444="","",IFERROR(VLOOKUP($C1444,项目台账!$B:$C,2,0),"※项目不在项目台账里"))</f>
        <v/>
      </c>
      <c r="K1444" s="13" t="n"/>
    </row>
    <row r="1445">
      <c r="A1445" s="17">
        <f>IF($C1445="","",ROW()-3)</f>
        <v/>
      </c>
      <c r="B1445" s="18" t="n"/>
      <c r="C1445" s="13" t="n"/>
      <c r="D1445" s="13" t="n"/>
      <c r="E1445" s="13" t="n"/>
      <c r="F1445" s="13" t="n"/>
      <c r="G1445" s="20" t="n"/>
      <c r="H1445" s="14" t="n"/>
      <c r="I1445" s="19">
        <f>IF($C1445="","",ROUND(IF($G1445="",1,$G1445)*N($H1445),2))</f>
        <v/>
      </c>
      <c r="J1445" s="17">
        <f>IF($C1445="","",IFERROR(VLOOKUP($C1445,项目台账!$B:$C,2,0),"※项目不在项目台账里"))</f>
        <v/>
      </c>
      <c r="K1445" s="13" t="n"/>
    </row>
    <row r="1446">
      <c r="A1446" s="17">
        <f>IF($C1446="","",ROW()-3)</f>
        <v/>
      </c>
      <c r="B1446" s="18" t="n"/>
      <c r="C1446" s="13" t="n"/>
      <c r="D1446" s="13" t="n"/>
      <c r="E1446" s="13" t="n"/>
      <c r="F1446" s="13" t="n"/>
      <c r="G1446" s="20" t="n"/>
      <c r="H1446" s="14" t="n"/>
      <c r="I1446" s="19">
        <f>IF($C1446="","",ROUND(IF($G1446="",1,$G1446)*N($H1446),2))</f>
        <v/>
      </c>
      <c r="J1446" s="17">
        <f>IF($C1446="","",IFERROR(VLOOKUP($C1446,项目台账!$B:$C,2,0),"※项目不在项目台账里"))</f>
        <v/>
      </c>
      <c r="K1446" s="13" t="n"/>
    </row>
    <row r="1447">
      <c r="A1447" s="17">
        <f>IF($C1447="","",ROW()-3)</f>
        <v/>
      </c>
      <c r="B1447" s="18" t="n"/>
      <c r="C1447" s="13" t="n"/>
      <c r="D1447" s="13" t="n"/>
      <c r="E1447" s="13" t="n"/>
      <c r="F1447" s="13" t="n"/>
      <c r="G1447" s="20" t="n"/>
      <c r="H1447" s="14" t="n"/>
      <c r="I1447" s="19">
        <f>IF($C1447="","",ROUND(IF($G1447="",1,$G1447)*N($H1447),2))</f>
        <v/>
      </c>
      <c r="J1447" s="17">
        <f>IF($C1447="","",IFERROR(VLOOKUP($C1447,项目台账!$B:$C,2,0),"※项目不在项目台账里"))</f>
        <v/>
      </c>
      <c r="K1447" s="13" t="n"/>
    </row>
    <row r="1448">
      <c r="A1448" s="17">
        <f>IF($C1448="","",ROW()-3)</f>
        <v/>
      </c>
      <c r="B1448" s="18" t="n"/>
      <c r="C1448" s="13" t="n"/>
      <c r="D1448" s="13" t="n"/>
      <c r="E1448" s="13" t="n"/>
      <c r="F1448" s="13" t="n"/>
      <c r="G1448" s="20" t="n"/>
      <c r="H1448" s="14" t="n"/>
      <c r="I1448" s="19">
        <f>IF($C1448="","",ROUND(IF($G1448="",1,$G1448)*N($H1448),2))</f>
        <v/>
      </c>
      <c r="J1448" s="17">
        <f>IF($C1448="","",IFERROR(VLOOKUP($C1448,项目台账!$B:$C,2,0),"※项目不在项目台账里"))</f>
        <v/>
      </c>
      <c r="K1448" s="13" t="n"/>
    </row>
    <row r="1449">
      <c r="A1449" s="17">
        <f>IF($C1449="","",ROW()-3)</f>
        <v/>
      </c>
      <c r="B1449" s="18" t="n"/>
      <c r="C1449" s="13" t="n"/>
      <c r="D1449" s="13" t="n"/>
      <c r="E1449" s="13" t="n"/>
      <c r="F1449" s="13" t="n"/>
      <c r="G1449" s="20" t="n"/>
      <c r="H1449" s="14" t="n"/>
      <c r="I1449" s="19">
        <f>IF($C1449="","",ROUND(IF($G1449="",1,$G1449)*N($H1449),2))</f>
        <v/>
      </c>
      <c r="J1449" s="17">
        <f>IF($C1449="","",IFERROR(VLOOKUP($C1449,项目台账!$B:$C,2,0),"※项目不在项目台账里"))</f>
        <v/>
      </c>
      <c r="K1449" s="13" t="n"/>
    </row>
    <row r="1450">
      <c r="A1450" s="17">
        <f>IF($C1450="","",ROW()-3)</f>
        <v/>
      </c>
      <c r="B1450" s="18" t="n"/>
      <c r="C1450" s="13" t="n"/>
      <c r="D1450" s="13" t="n"/>
      <c r="E1450" s="13" t="n"/>
      <c r="F1450" s="13" t="n"/>
      <c r="G1450" s="20" t="n"/>
      <c r="H1450" s="14" t="n"/>
      <c r="I1450" s="19">
        <f>IF($C1450="","",ROUND(IF($G1450="",1,$G1450)*N($H1450),2))</f>
        <v/>
      </c>
      <c r="J1450" s="17">
        <f>IF($C1450="","",IFERROR(VLOOKUP($C1450,项目台账!$B:$C,2,0),"※项目不在项目台账里"))</f>
        <v/>
      </c>
      <c r="K1450" s="13" t="n"/>
    </row>
    <row r="1451">
      <c r="A1451" s="17">
        <f>IF($C1451="","",ROW()-3)</f>
        <v/>
      </c>
      <c r="B1451" s="18" t="n"/>
      <c r="C1451" s="13" t="n"/>
      <c r="D1451" s="13" t="n"/>
      <c r="E1451" s="13" t="n"/>
      <c r="F1451" s="13" t="n"/>
      <c r="G1451" s="20" t="n"/>
      <c r="H1451" s="14" t="n"/>
      <c r="I1451" s="19">
        <f>IF($C1451="","",ROUND(IF($G1451="",1,$G1451)*N($H1451),2))</f>
        <v/>
      </c>
      <c r="J1451" s="17">
        <f>IF($C1451="","",IFERROR(VLOOKUP($C1451,项目台账!$B:$C,2,0),"※项目不在项目台账里"))</f>
        <v/>
      </c>
      <c r="K1451" s="13" t="n"/>
    </row>
    <row r="1452">
      <c r="A1452" s="17">
        <f>IF($C1452="","",ROW()-3)</f>
        <v/>
      </c>
      <c r="B1452" s="18" t="n"/>
      <c r="C1452" s="13" t="n"/>
      <c r="D1452" s="13" t="n"/>
      <c r="E1452" s="13" t="n"/>
      <c r="F1452" s="13" t="n"/>
      <c r="G1452" s="20" t="n"/>
      <c r="H1452" s="14" t="n"/>
      <c r="I1452" s="19">
        <f>IF($C1452="","",ROUND(IF($G1452="",1,$G1452)*N($H1452),2))</f>
        <v/>
      </c>
      <c r="J1452" s="17">
        <f>IF($C1452="","",IFERROR(VLOOKUP($C1452,项目台账!$B:$C,2,0),"※项目不在项目台账里"))</f>
        <v/>
      </c>
      <c r="K1452" s="13" t="n"/>
    </row>
    <row r="1453">
      <c r="A1453" s="17">
        <f>IF($C1453="","",ROW()-3)</f>
        <v/>
      </c>
      <c r="B1453" s="18" t="n"/>
      <c r="C1453" s="13" t="n"/>
      <c r="D1453" s="13" t="n"/>
      <c r="E1453" s="13" t="n"/>
      <c r="F1453" s="13" t="n"/>
      <c r="G1453" s="20" t="n"/>
      <c r="H1453" s="14" t="n"/>
      <c r="I1453" s="19">
        <f>IF($C1453="","",ROUND(IF($G1453="",1,$G1453)*N($H1453),2))</f>
        <v/>
      </c>
      <c r="J1453" s="17">
        <f>IF($C1453="","",IFERROR(VLOOKUP($C1453,项目台账!$B:$C,2,0),"※项目不在项目台账里"))</f>
        <v/>
      </c>
      <c r="K1453" s="13" t="n"/>
    </row>
    <row r="1454">
      <c r="A1454" s="17">
        <f>IF($C1454="","",ROW()-3)</f>
        <v/>
      </c>
      <c r="B1454" s="18" t="n"/>
      <c r="C1454" s="13" t="n"/>
      <c r="D1454" s="13" t="n"/>
      <c r="E1454" s="13" t="n"/>
      <c r="F1454" s="13" t="n"/>
      <c r="G1454" s="20" t="n"/>
      <c r="H1454" s="14" t="n"/>
      <c r="I1454" s="19">
        <f>IF($C1454="","",ROUND(IF($G1454="",1,$G1454)*N($H1454),2))</f>
        <v/>
      </c>
      <c r="J1454" s="17">
        <f>IF($C1454="","",IFERROR(VLOOKUP($C1454,项目台账!$B:$C,2,0),"※项目不在项目台账里"))</f>
        <v/>
      </c>
      <c r="K1454" s="13" t="n"/>
    </row>
    <row r="1455">
      <c r="A1455" s="17">
        <f>IF($C1455="","",ROW()-3)</f>
        <v/>
      </c>
      <c r="B1455" s="18" t="n"/>
      <c r="C1455" s="13" t="n"/>
      <c r="D1455" s="13" t="n"/>
      <c r="E1455" s="13" t="n"/>
      <c r="F1455" s="13" t="n"/>
      <c r="G1455" s="20" t="n"/>
      <c r="H1455" s="14" t="n"/>
      <c r="I1455" s="19">
        <f>IF($C1455="","",ROUND(IF($G1455="",1,$G1455)*N($H1455),2))</f>
        <v/>
      </c>
      <c r="J1455" s="17">
        <f>IF($C1455="","",IFERROR(VLOOKUP($C1455,项目台账!$B:$C,2,0),"※项目不在项目台账里"))</f>
        <v/>
      </c>
      <c r="K1455" s="13" t="n"/>
    </row>
    <row r="1456">
      <c r="A1456" s="17">
        <f>IF($C1456="","",ROW()-3)</f>
        <v/>
      </c>
      <c r="B1456" s="18" t="n"/>
      <c r="C1456" s="13" t="n"/>
      <c r="D1456" s="13" t="n"/>
      <c r="E1456" s="13" t="n"/>
      <c r="F1456" s="13" t="n"/>
      <c r="G1456" s="20" t="n"/>
      <c r="H1456" s="14" t="n"/>
      <c r="I1456" s="19">
        <f>IF($C1456="","",ROUND(IF($G1456="",1,$G1456)*N($H1456),2))</f>
        <v/>
      </c>
      <c r="J1456" s="17">
        <f>IF($C1456="","",IFERROR(VLOOKUP($C1456,项目台账!$B:$C,2,0),"※项目不在项目台账里"))</f>
        <v/>
      </c>
      <c r="K1456" s="13" t="n"/>
    </row>
    <row r="1457">
      <c r="A1457" s="17">
        <f>IF($C1457="","",ROW()-3)</f>
        <v/>
      </c>
      <c r="B1457" s="18" t="n"/>
      <c r="C1457" s="13" t="n"/>
      <c r="D1457" s="13" t="n"/>
      <c r="E1457" s="13" t="n"/>
      <c r="F1457" s="13" t="n"/>
      <c r="G1457" s="20" t="n"/>
      <c r="H1457" s="14" t="n"/>
      <c r="I1457" s="19">
        <f>IF($C1457="","",ROUND(IF($G1457="",1,$G1457)*N($H1457),2))</f>
        <v/>
      </c>
      <c r="J1457" s="17">
        <f>IF($C1457="","",IFERROR(VLOOKUP($C1457,项目台账!$B:$C,2,0),"※项目不在项目台账里"))</f>
        <v/>
      </c>
      <c r="K1457" s="13" t="n"/>
    </row>
    <row r="1458">
      <c r="A1458" s="17">
        <f>IF($C1458="","",ROW()-3)</f>
        <v/>
      </c>
      <c r="B1458" s="18" t="n"/>
      <c r="C1458" s="13" t="n"/>
      <c r="D1458" s="13" t="n"/>
      <c r="E1458" s="13" t="n"/>
      <c r="F1458" s="13" t="n"/>
      <c r="G1458" s="20" t="n"/>
      <c r="H1458" s="14" t="n"/>
      <c r="I1458" s="19">
        <f>IF($C1458="","",ROUND(IF($G1458="",1,$G1458)*N($H1458),2))</f>
        <v/>
      </c>
      <c r="J1458" s="17">
        <f>IF($C1458="","",IFERROR(VLOOKUP($C1458,项目台账!$B:$C,2,0),"※项目不在项目台账里"))</f>
        <v/>
      </c>
      <c r="K1458" s="13" t="n"/>
    </row>
    <row r="1459">
      <c r="A1459" s="17">
        <f>IF($C1459="","",ROW()-3)</f>
        <v/>
      </c>
      <c r="B1459" s="18" t="n"/>
      <c r="C1459" s="13" t="n"/>
      <c r="D1459" s="13" t="n"/>
      <c r="E1459" s="13" t="n"/>
      <c r="F1459" s="13" t="n"/>
      <c r="G1459" s="20" t="n"/>
      <c r="H1459" s="14" t="n"/>
      <c r="I1459" s="19">
        <f>IF($C1459="","",ROUND(IF($G1459="",1,$G1459)*N($H1459),2))</f>
        <v/>
      </c>
      <c r="J1459" s="17">
        <f>IF($C1459="","",IFERROR(VLOOKUP($C1459,项目台账!$B:$C,2,0),"※项目不在项目台账里"))</f>
        <v/>
      </c>
      <c r="K1459" s="13" t="n"/>
    </row>
    <row r="1460">
      <c r="A1460" s="17">
        <f>IF($C1460="","",ROW()-3)</f>
        <v/>
      </c>
      <c r="B1460" s="18" t="n"/>
      <c r="C1460" s="13" t="n"/>
      <c r="D1460" s="13" t="n"/>
      <c r="E1460" s="13" t="n"/>
      <c r="F1460" s="13" t="n"/>
      <c r="G1460" s="20" t="n"/>
      <c r="H1460" s="14" t="n"/>
      <c r="I1460" s="19">
        <f>IF($C1460="","",ROUND(IF($G1460="",1,$G1460)*N($H1460),2))</f>
        <v/>
      </c>
      <c r="J1460" s="17">
        <f>IF($C1460="","",IFERROR(VLOOKUP($C1460,项目台账!$B:$C,2,0),"※项目不在项目台账里"))</f>
        <v/>
      </c>
      <c r="K1460" s="13" t="n"/>
    </row>
    <row r="1461">
      <c r="A1461" s="17">
        <f>IF($C1461="","",ROW()-3)</f>
        <v/>
      </c>
      <c r="B1461" s="18" t="n"/>
      <c r="C1461" s="13" t="n"/>
      <c r="D1461" s="13" t="n"/>
      <c r="E1461" s="13" t="n"/>
      <c r="F1461" s="13" t="n"/>
      <c r="G1461" s="20" t="n"/>
      <c r="H1461" s="14" t="n"/>
      <c r="I1461" s="19">
        <f>IF($C1461="","",ROUND(IF($G1461="",1,$G1461)*N($H1461),2))</f>
        <v/>
      </c>
      <c r="J1461" s="17">
        <f>IF($C1461="","",IFERROR(VLOOKUP($C1461,项目台账!$B:$C,2,0),"※项目不在项目台账里"))</f>
        <v/>
      </c>
      <c r="K1461" s="13" t="n"/>
    </row>
    <row r="1462">
      <c r="A1462" s="17">
        <f>IF($C1462="","",ROW()-3)</f>
        <v/>
      </c>
      <c r="B1462" s="18" t="n"/>
      <c r="C1462" s="13" t="n"/>
      <c r="D1462" s="13" t="n"/>
      <c r="E1462" s="13" t="n"/>
      <c r="F1462" s="13" t="n"/>
      <c r="G1462" s="20" t="n"/>
      <c r="H1462" s="14" t="n"/>
      <c r="I1462" s="19">
        <f>IF($C1462="","",ROUND(IF($G1462="",1,$G1462)*N($H1462),2))</f>
        <v/>
      </c>
      <c r="J1462" s="17">
        <f>IF($C1462="","",IFERROR(VLOOKUP($C1462,项目台账!$B:$C,2,0),"※项目不在项目台账里"))</f>
        <v/>
      </c>
      <c r="K1462" s="13" t="n"/>
    </row>
    <row r="1463">
      <c r="A1463" s="17">
        <f>IF($C1463="","",ROW()-3)</f>
        <v/>
      </c>
      <c r="B1463" s="18" t="n"/>
      <c r="C1463" s="13" t="n"/>
      <c r="D1463" s="13" t="n"/>
      <c r="E1463" s="13" t="n"/>
      <c r="F1463" s="13" t="n"/>
      <c r="G1463" s="20" t="n"/>
      <c r="H1463" s="14" t="n"/>
      <c r="I1463" s="19">
        <f>IF($C1463="","",ROUND(IF($G1463="",1,$G1463)*N($H1463),2))</f>
        <v/>
      </c>
      <c r="J1463" s="17">
        <f>IF($C1463="","",IFERROR(VLOOKUP($C1463,项目台账!$B:$C,2,0),"※项目不在项目台账里"))</f>
        <v/>
      </c>
      <c r="K1463" s="13" t="n"/>
    </row>
    <row r="1464">
      <c r="A1464" s="17">
        <f>IF($C1464="","",ROW()-3)</f>
        <v/>
      </c>
      <c r="B1464" s="18" t="n"/>
      <c r="C1464" s="13" t="n"/>
      <c r="D1464" s="13" t="n"/>
      <c r="E1464" s="13" t="n"/>
      <c r="F1464" s="13" t="n"/>
      <c r="G1464" s="20" t="n"/>
      <c r="H1464" s="14" t="n"/>
      <c r="I1464" s="19">
        <f>IF($C1464="","",ROUND(IF($G1464="",1,$G1464)*N($H1464),2))</f>
        <v/>
      </c>
      <c r="J1464" s="17">
        <f>IF($C1464="","",IFERROR(VLOOKUP($C1464,项目台账!$B:$C,2,0),"※项目不在项目台账里"))</f>
        <v/>
      </c>
      <c r="K1464" s="13" t="n"/>
    </row>
    <row r="1465">
      <c r="A1465" s="17">
        <f>IF($C1465="","",ROW()-3)</f>
        <v/>
      </c>
      <c r="B1465" s="18" t="n"/>
      <c r="C1465" s="13" t="n"/>
      <c r="D1465" s="13" t="n"/>
      <c r="E1465" s="13" t="n"/>
      <c r="F1465" s="13" t="n"/>
      <c r="G1465" s="20" t="n"/>
      <c r="H1465" s="14" t="n"/>
      <c r="I1465" s="19">
        <f>IF($C1465="","",ROUND(IF($G1465="",1,$G1465)*N($H1465),2))</f>
        <v/>
      </c>
      <c r="J1465" s="17">
        <f>IF($C1465="","",IFERROR(VLOOKUP($C1465,项目台账!$B:$C,2,0),"※项目不在项目台账里"))</f>
        <v/>
      </c>
      <c r="K1465" s="13" t="n"/>
    </row>
    <row r="1466">
      <c r="A1466" s="17">
        <f>IF($C1466="","",ROW()-3)</f>
        <v/>
      </c>
      <c r="B1466" s="18" t="n"/>
      <c r="C1466" s="13" t="n"/>
      <c r="D1466" s="13" t="n"/>
      <c r="E1466" s="13" t="n"/>
      <c r="F1466" s="13" t="n"/>
      <c r="G1466" s="20" t="n"/>
      <c r="H1466" s="14" t="n"/>
      <c r="I1466" s="19">
        <f>IF($C1466="","",ROUND(IF($G1466="",1,$G1466)*N($H1466),2))</f>
        <v/>
      </c>
      <c r="J1466" s="17">
        <f>IF($C1466="","",IFERROR(VLOOKUP($C1466,项目台账!$B:$C,2,0),"※项目不在项目台账里"))</f>
        <v/>
      </c>
      <c r="K1466" s="13" t="n"/>
    </row>
    <row r="1467">
      <c r="A1467" s="17">
        <f>IF($C1467="","",ROW()-3)</f>
        <v/>
      </c>
      <c r="B1467" s="18" t="n"/>
      <c r="C1467" s="13" t="n"/>
      <c r="D1467" s="13" t="n"/>
      <c r="E1467" s="13" t="n"/>
      <c r="F1467" s="13" t="n"/>
      <c r="G1467" s="20" t="n"/>
      <c r="H1467" s="14" t="n"/>
      <c r="I1467" s="19">
        <f>IF($C1467="","",ROUND(IF($G1467="",1,$G1467)*N($H1467),2))</f>
        <v/>
      </c>
      <c r="J1467" s="17">
        <f>IF($C1467="","",IFERROR(VLOOKUP($C1467,项目台账!$B:$C,2,0),"※项目不在项目台账里"))</f>
        <v/>
      </c>
      <c r="K1467" s="13" t="n"/>
    </row>
    <row r="1468">
      <c r="A1468" s="17">
        <f>IF($C1468="","",ROW()-3)</f>
        <v/>
      </c>
      <c r="B1468" s="18" t="n"/>
      <c r="C1468" s="13" t="n"/>
      <c r="D1468" s="13" t="n"/>
      <c r="E1468" s="13" t="n"/>
      <c r="F1468" s="13" t="n"/>
      <c r="G1468" s="20" t="n"/>
      <c r="H1468" s="14" t="n"/>
      <c r="I1468" s="19">
        <f>IF($C1468="","",ROUND(IF($G1468="",1,$G1468)*N($H1468),2))</f>
        <v/>
      </c>
      <c r="J1468" s="17">
        <f>IF($C1468="","",IFERROR(VLOOKUP($C1468,项目台账!$B:$C,2,0),"※项目不在项目台账里"))</f>
        <v/>
      </c>
      <c r="K1468" s="13" t="n"/>
    </row>
    <row r="1469">
      <c r="A1469" s="17">
        <f>IF($C1469="","",ROW()-3)</f>
        <v/>
      </c>
      <c r="B1469" s="18" t="n"/>
      <c r="C1469" s="13" t="n"/>
      <c r="D1469" s="13" t="n"/>
      <c r="E1469" s="13" t="n"/>
      <c r="F1469" s="13" t="n"/>
      <c r="G1469" s="20" t="n"/>
      <c r="H1469" s="14" t="n"/>
      <c r="I1469" s="19">
        <f>IF($C1469="","",ROUND(IF($G1469="",1,$G1469)*N($H1469),2))</f>
        <v/>
      </c>
      <c r="J1469" s="17">
        <f>IF($C1469="","",IFERROR(VLOOKUP($C1469,项目台账!$B:$C,2,0),"※项目不在项目台账里"))</f>
        <v/>
      </c>
      <c r="K1469" s="13" t="n"/>
    </row>
    <row r="1470">
      <c r="A1470" s="17">
        <f>IF($C1470="","",ROW()-3)</f>
        <v/>
      </c>
      <c r="B1470" s="18" t="n"/>
      <c r="C1470" s="13" t="n"/>
      <c r="D1470" s="13" t="n"/>
      <c r="E1470" s="13" t="n"/>
      <c r="F1470" s="13" t="n"/>
      <c r="G1470" s="20" t="n"/>
      <c r="H1470" s="14" t="n"/>
      <c r="I1470" s="19">
        <f>IF($C1470="","",ROUND(IF($G1470="",1,$G1470)*N($H1470),2))</f>
        <v/>
      </c>
      <c r="J1470" s="17">
        <f>IF($C1470="","",IFERROR(VLOOKUP($C1470,项目台账!$B:$C,2,0),"※项目不在项目台账里"))</f>
        <v/>
      </c>
      <c r="K1470" s="13" t="n"/>
    </row>
    <row r="1471">
      <c r="A1471" s="17">
        <f>IF($C1471="","",ROW()-3)</f>
        <v/>
      </c>
      <c r="B1471" s="18" t="n"/>
      <c r="C1471" s="13" t="n"/>
      <c r="D1471" s="13" t="n"/>
      <c r="E1471" s="13" t="n"/>
      <c r="F1471" s="13" t="n"/>
      <c r="G1471" s="20" t="n"/>
      <c r="H1471" s="14" t="n"/>
      <c r="I1471" s="19">
        <f>IF($C1471="","",ROUND(IF($G1471="",1,$G1471)*N($H1471),2))</f>
        <v/>
      </c>
      <c r="J1471" s="17">
        <f>IF($C1471="","",IFERROR(VLOOKUP($C1471,项目台账!$B:$C,2,0),"※项目不在项目台账里"))</f>
        <v/>
      </c>
      <c r="K1471" s="13" t="n"/>
    </row>
    <row r="1472">
      <c r="A1472" s="17">
        <f>IF($C1472="","",ROW()-3)</f>
        <v/>
      </c>
      <c r="B1472" s="18" t="n"/>
      <c r="C1472" s="13" t="n"/>
      <c r="D1472" s="13" t="n"/>
      <c r="E1472" s="13" t="n"/>
      <c r="F1472" s="13" t="n"/>
      <c r="G1472" s="20" t="n"/>
      <c r="H1472" s="14" t="n"/>
      <c r="I1472" s="19">
        <f>IF($C1472="","",ROUND(IF($G1472="",1,$G1472)*N($H1472),2))</f>
        <v/>
      </c>
      <c r="J1472" s="17">
        <f>IF($C1472="","",IFERROR(VLOOKUP($C1472,项目台账!$B:$C,2,0),"※项目不在项目台账里"))</f>
        <v/>
      </c>
      <c r="K1472" s="13" t="n"/>
    </row>
    <row r="1473">
      <c r="A1473" s="17">
        <f>IF($C1473="","",ROW()-3)</f>
        <v/>
      </c>
      <c r="B1473" s="18" t="n"/>
      <c r="C1473" s="13" t="n"/>
      <c r="D1473" s="13" t="n"/>
      <c r="E1473" s="13" t="n"/>
      <c r="F1473" s="13" t="n"/>
      <c r="G1473" s="20" t="n"/>
      <c r="H1473" s="14" t="n"/>
      <c r="I1473" s="19">
        <f>IF($C1473="","",ROUND(IF($G1473="",1,$G1473)*N($H1473),2))</f>
        <v/>
      </c>
      <c r="J1473" s="17">
        <f>IF($C1473="","",IFERROR(VLOOKUP($C1473,项目台账!$B:$C,2,0),"※项目不在项目台账里"))</f>
        <v/>
      </c>
      <c r="K1473" s="13" t="n"/>
    </row>
    <row r="1474">
      <c r="A1474" s="17">
        <f>IF($C1474="","",ROW()-3)</f>
        <v/>
      </c>
      <c r="B1474" s="18" t="n"/>
      <c r="C1474" s="13" t="n"/>
      <c r="D1474" s="13" t="n"/>
      <c r="E1474" s="13" t="n"/>
      <c r="F1474" s="13" t="n"/>
      <c r="G1474" s="20" t="n"/>
      <c r="H1474" s="14" t="n"/>
      <c r="I1474" s="19">
        <f>IF($C1474="","",ROUND(IF($G1474="",1,$G1474)*N($H1474),2))</f>
        <v/>
      </c>
      <c r="J1474" s="17">
        <f>IF($C1474="","",IFERROR(VLOOKUP($C1474,项目台账!$B:$C,2,0),"※项目不在项目台账里"))</f>
        <v/>
      </c>
      <c r="K1474" s="13" t="n"/>
    </row>
    <row r="1475">
      <c r="A1475" s="17">
        <f>IF($C1475="","",ROW()-3)</f>
        <v/>
      </c>
      <c r="B1475" s="18" t="n"/>
      <c r="C1475" s="13" t="n"/>
      <c r="D1475" s="13" t="n"/>
      <c r="E1475" s="13" t="n"/>
      <c r="F1475" s="13" t="n"/>
      <c r="G1475" s="20" t="n"/>
      <c r="H1475" s="14" t="n"/>
      <c r="I1475" s="19">
        <f>IF($C1475="","",ROUND(IF($G1475="",1,$G1475)*N($H1475),2))</f>
        <v/>
      </c>
      <c r="J1475" s="17">
        <f>IF($C1475="","",IFERROR(VLOOKUP($C1475,项目台账!$B:$C,2,0),"※项目不在项目台账里"))</f>
        <v/>
      </c>
      <c r="K1475" s="13" t="n"/>
    </row>
    <row r="1476">
      <c r="A1476" s="17">
        <f>IF($C1476="","",ROW()-3)</f>
        <v/>
      </c>
      <c r="B1476" s="18" t="n"/>
      <c r="C1476" s="13" t="n"/>
      <c r="D1476" s="13" t="n"/>
      <c r="E1476" s="13" t="n"/>
      <c r="F1476" s="13" t="n"/>
      <c r="G1476" s="20" t="n"/>
      <c r="H1476" s="14" t="n"/>
      <c r="I1476" s="19">
        <f>IF($C1476="","",ROUND(IF($G1476="",1,$G1476)*N($H1476),2))</f>
        <v/>
      </c>
      <c r="J1476" s="17">
        <f>IF($C1476="","",IFERROR(VLOOKUP($C1476,项目台账!$B:$C,2,0),"※项目不在项目台账里"))</f>
        <v/>
      </c>
      <c r="K1476" s="13" t="n"/>
    </row>
    <row r="1477">
      <c r="A1477" s="17">
        <f>IF($C1477="","",ROW()-3)</f>
        <v/>
      </c>
      <c r="B1477" s="18" t="n"/>
      <c r="C1477" s="13" t="n"/>
      <c r="D1477" s="13" t="n"/>
      <c r="E1477" s="13" t="n"/>
      <c r="F1477" s="13" t="n"/>
      <c r="G1477" s="20" t="n"/>
      <c r="H1477" s="14" t="n"/>
      <c r="I1477" s="19">
        <f>IF($C1477="","",ROUND(IF($G1477="",1,$G1477)*N($H1477),2))</f>
        <v/>
      </c>
      <c r="J1477" s="17">
        <f>IF($C1477="","",IFERROR(VLOOKUP($C1477,项目台账!$B:$C,2,0),"※项目不在项目台账里"))</f>
        <v/>
      </c>
      <c r="K1477" s="13" t="n"/>
    </row>
    <row r="1478">
      <c r="A1478" s="17">
        <f>IF($C1478="","",ROW()-3)</f>
        <v/>
      </c>
      <c r="B1478" s="18" t="n"/>
      <c r="C1478" s="13" t="n"/>
      <c r="D1478" s="13" t="n"/>
      <c r="E1478" s="13" t="n"/>
      <c r="F1478" s="13" t="n"/>
      <c r="G1478" s="20" t="n"/>
      <c r="H1478" s="14" t="n"/>
      <c r="I1478" s="19">
        <f>IF($C1478="","",ROUND(IF($G1478="",1,$G1478)*N($H1478),2))</f>
        <v/>
      </c>
      <c r="J1478" s="17">
        <f>IF($C1478="","",IFERROR(VLOOKUP($C1478,项目台账!$B:$C,2,0),"※项目不在项目台账里"))</f>
        <v/>
      </c>
      <c r="K1478" s="13" t="n"/>
    </row>
    <row r="1479">
      <c r="A1479" s="17">
        <f>IF($C1479="","",ROW()-3)</f>
        <v/>
      </c>
      <c r="B1479" s="18" t="n"/>
      <c r="C1479" s="13" t="n"/>
      <c r="D1479" s="13" t="n"/>
      <c r="E1479" s="13" t="n"/>
      <c r="F1479" s="13" t="n"/>
      <c r="G1479" s="20" t="n"/>
      <c r="H1479" s="14" t="n"/>
      <c r="I1479" s="19">
        <f>IF($C1479="","",ROUND(IF($G1479="",1,$G1479)*N($H1479),2))</f>
        <v/>
      </c>
      <c r="J1479" s="17">
        <f>IF($C1479="","",IFERROR(VLOOKUP($C1479,项目台账!$B:$C,2,0),"※项目不在项目台账里"))</f>
        <v/>
      </c>
      <c r="K1479" s="13" t="n"/>
    </row>
    <row r="1480">
      <c r="A1480" s="17">
        <f>IF($C1480="","",ROW()-3)</f>
        <v/>
      </c>
      <c r="B1480" s="18" t="n"/>
      <c r="C1480" s="13" t="n"/>
      <c r="D1480" s="13" t="n"/>
      <c r="E1480" s="13" t="n"/>
      <c r="F1480" s="13" t="n"/>
      <c r="G1480" s="20" t="n"/>
      <c r="H1480" s="14" t="n"/>
      <c r="I1480" s="19">
        <f>IF($C1480="","",ROUND(IF($G1480="",1,$G1480)*N($H1480),2))</f>
        <v/>
      </c>
      <c r="J1480" s="17">
        <f>IF($C1480="","",IFERROR(VLOOKUP($C1480,项目台账!$B:$C,2,0),"※项目不在项目台账里"))</f>
        <v/>
      </c>
      <c r="K1480" s="13" t="n"/>
    </row>
    <row r="1481">
      <c r="A1481" s="17">
        <f>IF($C1481="","",ROW()-3)</f>
        <v/>
      </c>
      <c r="B1481" s="18" t="n"/>
      <c r="C1481" s="13" t="n"/>
      <c r="D1481" s="13" t="n"/>
      <c r="E1481" s="13" t="n"/>
      <c r="F1481" s="13" t="n"/>
      <c r="G1481" s="20" t="n"/>
      <c r="H1481" s="14" t="n"/>
      <c r="I1481" s="19">
        <f>IF($C1481="","",ROUND(IF($G1481="",1,$G1481)*N($H1481),2))</f>
        <v/>
      </c>
      <c r="J1481" s="17">
        <f>IF($C1481="","",IFERROR(VLOOKUP($C1481,项目台账!$B:$C,2,0),"※项目不在项目台账里"))</f>
        <v/>
      </c>
      <c r="K1481" s="13" t="n"/>
    </row>
    <row r="1482">
      <c r="A1482" s="17">
        <f>IF($C1482="","",ROW()-3)</f>
        <v/>
      </c>
      <c r="B1482" s="18" t="n"/>
      <c r="C1482" s="13" t="n"/>
      <c r="D1482" s="13" t="n"/>
      <c r="E1482" s="13" t="n"/>
      <c r="F1482" s="13" t="n"/>
      <c r="G1482" s="20" t="n"/>
      <c r="H1482" s="14" t="n"/>
      <c r="I1482" s="19">
        <f>IF($C1482="","",ROUND(IF($G1482="",1,$G1482)*N($H1482),2))</f>
        <v/>
      </c>
      <c r="J1482" s="17">
        <f>IF($C1482="","",IFERROR(VLOOKUP($C1482,项目台账!$B:$C,2,0),"※项目不在项目台账里"))</f>
        <v/>
      </c>
      <c r="K1482" s="13" t="n"/>
    </row>
    <row r="1483">
      <c r="A1483" s="17">
        <f>IF($C1483="","",ROW()-3)</f>
        <v/>
      </c>
      <c r="B1483" s="18" t="n"/>
      <c r="C1483" s="13" t="n"/>
      <c r="D1483" s="13" t="n"/>
      <c r="E1483" s="13" t="n"/>
      <c r="F1483" s="13" t="n"/>
      <c r="G1483" s="20" t="n"/>
      <c r="H1483" s="14" t="n"/>
      <c r="I1483" s="19">
        <f>IF($C1483="","",ROUND(IF($G1483="",1,$G1483)*N($H1483),2))</f>
        <v/>
      </c>
      <c r="J1483" s="17">
        <f>IF($C1483="","",IFERROR(VLOOKUP($C1483,项目台账!$B:$C,2,0),"※项目不在项目台账里"))</f>
        <v/>
      </c>
      <c r="K1483" s="13" t="n"/>
    </row>
    <row r="1484">
      <c r="A1484" s="17">
        <f>IF($C1484="","",ROW()-3)</f>
        <v/>
      </c>
      <c r="B1484" s="18" t="n"/>
      <c r="C1484" s="13" t="n"/>
      <c r="D1484" s="13" t="n"/>
      <c r="E1484" s="13" t="n"/>
      <c r="F1484" s="13" t="n"/>
      <c r="G1484" s="20" t="n"/>
      <c r="H1484" s="14" t="n"/>
      <c r="I1484" s="19">
        <f>IF($C1484="","",ROUND(IF($G1484="",1,$G1484)*N($H1484),2))</f>
        <v/>
      </c>
      <c r="J1484" s="17">
        <f>IF($C1484="","",IFERROR(VLOOKUP($C1484,项目台账!$B:$C,2,0),"※项目不在项目台账里"))</f>
        <v/>
      </c>
      <c r="K1484" s="13" t="n"/>
    </row>
    <row r="1485">
      <c r="A1485" s="17">
        <f>IF($C1485="","",ROW()-3)</f>
        <v/>
      </c>
      <c r="B1485" s="18" t="n"/>
      <c r="C1485" s="13" t="n"/>
      <c r="D1485" s="13" t="n"/>
      <c r="E1485" s="13" t="n"/>
      <c r="F1485" s="13" t="n"/>
      <c r="G1485" s="20" t="n"/>
      <c r="H1485" s="14" t="n"/>
      <c r="I1485" s="19">
        <f>IF($C1485="","",ROUND(IF($G1485="",1,$G1485)*N($H1485),2))</f>
        <v/>
      </c>
      <c r="J1485" s="17">
        <f>IF($C1485="","",IFERROR(VLOOKUP($C1485,项目台账!$B:$C,2,0),"※项目不在项目台账里"))</f>
        <v/>
      </c>
      <c r="K1485" s="13" t="n"/>
    </row>
    <row r="1486">
      <c r="A1486" s="17">
        <f>IF($C1486="","",ROW()-3)</f>
        <v/>
      </c>
      <c r="B1486" s="18" t="n"/>
      <c r="C1486" s="13" t="n"/>
      <c r="D1486" s="13" t="n"/>
      <c r="E1486" s="13" t="n"/>
      <c r="F1486" s="13" t="n"/>
      <c r="G1486" s="20" t="n"/>
      <c r="H1486" s="14" t="n"/>
      <c r="I1486" s="19">
        <f>IF($C1486="","",ROUND(IF($G1486="",1,$G1486)*N($H1486),2))</f>
        <v/>
      </c>
      <c r="J1486" s="17">
        <f>IF($C1486="","",IFERROR(VLOOKUP($C1486,项目台账!$B:$C,2,0),"※项目不在项目台账里"))</f>
        <v/>
      </c>
      <c r="K1486" s="13" t="n"/>
    </row>
    <row r="1487">
      <c r="A1487" s="17">
        <f>IF($C1487="","",ROW()-3)</f>
        <v/>
      </c>
      <c r="B1487" s="18" t="n"/>
      <c r="C1487" s="13" t="n"/>
      <c r="D1487" s="13" t="n"/>
      <c r="E1487" s="13" t="n"/>
      <c r="F1487" s="13" t="n"/>
      <c r="G1487" s="20" t="n"/>
      <c r="H1487" s="14" t="n"/>
      <c r="I1487" s="19">
        <f>IF($C1487="","",ROUND(IF($G1487="",1,$G1487)*N($H1487),2))</f>
        <v/>
      </c>
      <c r="J1487" s="17">
        <f>IF($C1487="","",IFERROR(VLOOKUP($C1487,项目台账!$B:$C,2,0),"※项目不在项目台账里"))</f>
        <v/>
      </c>
      <c r="K1487" s="13" t="n"/>
    </row>
    <row r="1488">
      <c r="A1488" s="17">
        <f>IF($C1488="","",ROW()-3)</f>
        <v/>
      </c>
      <c r="B1488" s="18" t="n"/>
      <c r="C1488" s="13" t="n"/>
      <c r="D1488" s="13" t="n"/>
      <c r="E1488" s="13" t="n"/>
      <c r="F1488" s="13" t="n"/>
      <c r="G1488" s="20" t="n"/>
      <c r="H1488" s="14" t="n"/>
      <c r="I1488" s="19">
        <f>IF($C1488="","",ROUND(IF($G1488="",1,$G1488)*N($H1488),2))</f>
        <v/>
      </c>
      <c r="J1488" s="17">
        <f>IF($C1488="","",IFERROR(VLOOKUP($C1488,项目台账!$B:$C,2,0),"※项目不在项目台账里"))</f>
        <v/>
      </c>
      <c r="K1488" s="13" t="n"/>
    </row>
    <row r="1489">
      <c r="A1489" s="17">
        <f>IF($C1489="","",ROW()-3)</f>
        <v/>
      </c>
      <c r="B1489" s="18" t="n"/>
      <c r="C1489" s="13" t="n"/>
      <c r="D1489" s="13" t="n"/>
      <c r="E1489" s="13" t="n"/>
      <c r="F1489" s="13" t="n"/>
      <c r="G1489" s="20" t="n"/>
      <c r="H1489" s="14" t="n"/>
      <c r="I1489" s="19">
        <f>IF($C1489="","",ROUND(IF($G1489="",1,$G1489)*N($H1489),2))</f>
        <v/>
      </c>
      <c r="J1489" s="17">
        <f>IF($C1489="","",IFERROR(VLOOKUP($C1489,项目台账!$B:$C,2,0),"※项目不在项目台账里"))</f>
        <v/>
      </c>
      <c r="K1489" s="13" t="n"/>
    </row>
    <row r="1490">
      <c r="A1490" s="17">
        <f>IF($C1490="","",ROW()-3)</f>
        <v/>
      </c>
      <c r="B1490" s="18" t="n"/>
      <c r="C1490" s="13" t="n"/>
      <c r="D1490" s="13" t="n"/>
      <c r="E1490" s="13" t="n"/>
      <c r="F1490" s="13" t="n"/>
      <c r="G1490" s="20" t="n"/>
      <c r="H1490" s="14" t="n"/>
      <c r="I1490" s="19">
        <f>IF($C1490="","",ROUND(IF($G1490="",1,$G1490)*N($H1490),2))</f>
        <v/>
      </c>
      <c r="J1490" s="17">
        <f>IF($C1490="","",IFERROR(VLOOKUP($C1490,项目台账!$B:$C,2,0),"※项目不在项目台账里"))</f>
        <v/>
      </c>
      <c r="K1490" s="13" t="n"/>
    </row>
    <row r="1491">
      <c r="A1491" s="17">
        <f>IF($C1491="","",ROW()-3)</f>
        <v/>
      </c>
      <c r="B1491" s="18" t="n"/>
      <c r="C1491" s="13" t="n"/>
      <c r="D1491" s="13" t="n"/>
      <c r="E1491" s="13" t="n"/>
      <c r="F1491" s="13" t="n"/>
      <c r="G1491" s="20" t="n"/>
      <c r="H1491" s="14" t="n"/>
      <c r="I1491" s="19">
        <f>IF($C1491="","",ROUND(IF($G1491="",1,$G1491)*N($H1491),2))</f>
        <v/>
      </c>
      <c r="J1491" s="17">
        <f>IF($C1491="","",IFERROR(VLOOKUP($C1491,项目台账!$B:$C,2,0),"※项目不在项目台账里"))</f>
        <v/>
      </c>
      <c r="K1491" s="13" t="n"/>
    </row>
    <row r="1492">
      <c r="A1492" s="17">
        <f>IF($C1492="","",ROW()-3)</f>
        <v/>
      </c>
      <c r="B1492" s="18" t="n"/>
      <c r="C1492" s="13" t="n"/>
      <c r="D1492" s="13" t="n"/>
      <c r="E1492" s="13" t="n"/>
      <c r="F1492" s="13" t="n"/>
      <c r="G1492" s="20" t="n"/>
      <c r="H1492" s="14" t="n"/>
      <c r="I1492" s="19">
        <f>IF($C1492="","",ROUND(IF($G1492="",1,$G1492)*N($H1492),2))</f>
        <v/>
      </c>
      <c r="J1492" s="17">
        <f>IF($C1492="","",IFERROR(VLOOKUP($C1492,项目台账!$B:$C,2,0),"※项目不在项目台账里"))</f>
        <v/>
      </c>
      <c r="K1492" s="13" t="n"/>
    </row>
    <row r="1493">
      <c r="A1493" s="17">
        <f>IF($C1493="","",ROW()-3)</f>
        <v/>
      </c>
      <c r="B1493" s="18" t="n"/>
      <c r="C1493" s="13" t="n"/>
      <c r="D1493" s="13" t="n"/>
      <c r="E1493" s="13" t="n"/>
      <c r="F1493" s="13" t="n"/>
      <c r="G1493" s="20" t="n"/>
      <c r="H1493" s="14" t="n"/>
      <c r="I1493" s="19">
        <f>IF($C1493="","",ROUND(IF($G1493="",1,$G1493)*N($H1493),2))</f>
        <v/>
      </c>
      <c r="J1493" s="17">
        <f>IF($C1493="","",IFERROR(VLOOKUP($C1493,项目台账!$B:$C,2,0),"※项目不在项目台账里"))</f>
        <v/>
      </c>
      <c r="K1493" s="13" t="n"/>
    </row>
    <row r="1494">
      <c r="A1494" s="17">
        <f>IF($C1494="","",ROW()-3)</f>
        <v/>
      </c>
      <c r="B1494" s="18" t="n"/>
      <c r="C1494" s="13" t="n"/>
      <c r="D1494" s="13" t="n"/>
      <c r="E1494" s="13" t="n"/>
      <c r="F1494" s="13" t="n"/>
      <c r="G1494" s="20" t="n"/>
      <c r="H1494" s="14" t="n"/>
      <c r="I1494" s="19">
        <f>IF($C1494="","",ROUND(IF($G1494="",1,$G1494)*N($H1494),2))</f>
        <v/>
      </c>
      <c r="J1494" s="17">
        <f>IF($C1494="","",IFERROR(VLOOKUP($C1494,项目台账!$B:$C,2,0),"※项目不在项目台账里"))</f>
        <v/>
      </c>
      <c r="K1494" s="13" t="n"/>
    </row>
    <row r="1495">
      <c r="A1495" s="17">
        <f>IF($C1495="","",ROW()-3)</f>
        <v/>
      </c>
      <c r="B1495" s="18" t="n"/>
      <c r="C1495" s="13" t="n"/>
      <c r="D1495" s="13" t="n"/>
      <c r="E1495" s="13" t="n"/>
      <c r="F1495" s="13" t="n"/>
      <c r="G1495" s="20" t="n"/>
      <c r="H1495" s="14" t="n"/>
      <c r="I1495" s="19">
        <f>IF($C1495="","",ROUND(IF($G1495="",1,$G1495)*N($H1495),2))</f>
        <v/>
      </c>
      <c r="J1495" s="17">
        <f>IF($C1495="","",IFERROR(VLOOKUP($C1495,项目台账!$B:$C,2,0),"※项目不在项目台账里"))</f>
        <v/>
      </c>
      <c r="K1495" s="13" t="n"/>
    </row>
    <row r="1496">
      <c r="A1496" s="17">
        <f>IF($C1496="","",ROW()-3)</f>
        <v/>
      </c>
      <c r="B1496" s="18" t="n"/>
      <c r="C1496" s="13" t="n"/>
      <c r="D1496" s="13" t="n"/>
      <c r="E1496" s="13" t="n"/>
      <c r="F1496" s="13" t="n"/>
      <c r="G1496" s="20" t="n"/>
      <c r="H1496" s="14" t="n"/>
      <c r="I1496" s="19">
        <f>IF($C1496="","",ROUND(IF($G1496="",1,$G1496)*N($H1496),2))</f>
        <v/>
      </c>
      <c r="J1496" s="17">
        <f>IF($C1496="","",IFERROR(VLOOKUP($C1496,项目台账!$B:$C,2,0),"※项目不在项目台账里"))</f>
        <v/>
      </c>
      <c r="K1496" s="13" t="n"/>
    </row>
    <row r="1497">
      <c r="A1497" s="17">
        <f>IF($C1497="","",ROW()-3)</f>
        <v/>
      </c>
      <c r="B1497" s="18" t="n"/>
      <c r="C1497" s="13" t="n"/>
      <c r="D1497" s="13" t="n"/>
      <c r="E1497" s="13" t="n"/>
      <c r="F1497" s="13" t="n"/>
      <c r="G1497" s="20" t="n"/>
      <c r="H1497" s="14" t="n"/>
      <c r="I1497" s="19">
        <f>IF($C1497="","",ROUND(IF($G1497="",1,$G1497)*N($H1497),2))</f>
        <v/>
      </c>
      <c r="J1497" s="17">
        <f>IF($C1497="","",IFERROR(VLOOKUP($C1497,项目台账!$B:$C,2,0),"※项目不在项目台账里"))</f>
        <v/>
      </c>
      <c r="K1497" s="13" t="n"/>
    </row>
    <row r="1498">
      <c r="A1498" s="17">
        <f>IF($C1498="","",ROW()-3)</f>
        <v/>
      </c>
      <c r="B1498" s="18" t="n"/>
      <c r="C1498" s="13" t="n"/>
      <c r="D1498" s="13" t="n"/>
      <c r="E1498" s="13" t="n"/>
      <c r="F1498" s="13" t="n"/>
      <c r="G1498" s="20" t="n"/>
      <c r="H1498" s="14" t="n"/>
      <c r="I1498" s="19">
        <f>IF($C1498="","",ROUND(IF($G1498="",1,$G1498)*N($H1498),2))</f>
        <v/>
      </c>
      <c r="J1498" s="17">
        <f>IF($C1498="","",IFERROR(VLOOKUP($C1498,项目台账!$B:$C,2,0),"※项目不在项目台账里"))</f>
        <v/>
      </c>
      <c r="K1498" s="13" t="n"/>
    </row>
    <row r="1499">
      <c r="A1499" s="17">
        <f>IF($C1499="","",ROW()-3)</f>
        <v/>
      </c>
      <c r="B1499" s="18" t="n"/>
      <c r="C1499" s="13" t="n"/>
      <c r="D1499" s="13" t="n"/>
      <c r="E1499" s="13" t="n"/>
      <c r="F1499" s="13" t="n"/>
      <c r="G1499" s="20" t="n"/>
      <c r="H1499" s="14" t="n"/>
      <c r="I1499" s="19">
        <f>IF($C1499="","",ROUND(IF($G1499="",1,$G1499)*N($H1499),2))</f>
        <v/>
      </c>
      <c r="J1499" s="17">
        <f>IF($C1499="","",IFERROR(VLOOKUP($C1499,项目台账!$B:$C,2,0),"※项目不在项目台账里"))</f>
        <v/>
      </c>
      <c r="K1499" s="13" t="n"/>
    </row>
    <row r="1500">
      <c r="A1500" s="17">
        <f>IF($C1500="","",ROW()-3)</f>
        <v/>
      </c>
      <c r="B1500" s="18" t="n"/>
      <c r="C1500" s="13" t="n"/>
      <c r="D1500" s="13" t="n"/>
      <c r="E1500" s="13" t="n"/>
      <c r="F1500" s="13" t="n"/>
      <c r="G1500" s="20" t="n"/>
      <c r="H1500" s="14" t="n"/>
      <c r="I1500" s="19">
        <f>IF($C1500="","",ROUND(IF($G1500="",1,$G1500)*N($H1500),2))</f>
        <v/>
      </c>
      <c r="J1500" s="17">
        <f>IF($C1500="","",IFERROR(VLOOKUP($C1500,项目台账!$B:$C,2,0),"※项目不在项目台账里"))</f>
        <v/>
      </c>
      <c r="K1500" s="13" t="n"/>
    </row>
    <row r="1501">
      <c r="A1501" s="17">
        <f>IF($C1501="","",ROW()-3)</f>
        <v/>
      </c>
      <c r="B1501" s="18" t="n"/>
      <c r="C1501" s="13" t="n"/>
      <c r="D1501" s="13" t="n"/>
      <c r="E1501" s="13" t="n"/>
      <c r="F1501" s="13" t="n"/>
      <c r="G1501" s="20" t="n"/>
      <c r="H1501" s="14" t="n"/>
      <c r="I1501" s="19">
        <f>IF($C1501="","",ROUND(IF($G1501="",1,$G1501)*N($H1501),2))</f>
        <v/>
      </c>
      <c r="J1501" s="17">
        <f>IF($C1501="","",IFERROR(VLOOKUP($C1501,项目台账!$B:$C,2,0),"※项目不在项目台账里"))</f>
        <v/>
      </c>
      <c r="K1501" s="13" t="n"/>
    </row>
    <row r="1502">
      <c r="A1502" s="17">
        <f>IF($C1502="","",ROW()-3)</f>
        <v/>
      </c>
      <c r="B1502" s="18" t="n"/>
      <c r="C1502" s="13" t="n"/>
      <c r="D1502" s="13" t="n"/>
      <c r="E1502" s="13" t="n"/>
      <c r="F1502" s="13" t="n"/>
      <c r="G1502" s="20" t="n"/>
      <c r="H1502" s="14" t="n"/>
      <c r="I1502" s="19">
        <f>IF($C1502="","",ROUND(IF($G1502="",1,$G1502)*N($H1502),2))</f>
        <v/>
      </c>
      <c r="J1502" s="17">
        <f>IF($C1502="","",IFERROR(VLOOKUP($C1502,项目台账!$B:$C,2,0),"※项目不在项目台账里"))</f>
        <v/>
      </c>
      <c r="K1502" s="13" t="n"/>
    </row>
    <row r="1503">
      <c r="A1503" s="17">
        <f>IF($C1503="","",ROW()-3)</f>
        <v/>
      </c>
      <c r="B1503" s="18" t="n"/>
      <c r="C1503" s="13" t="n"/>
      <c r="D1503" s="13" t="n"/>
      <c r="E1503" s="13" t="n"/>
      <c r="F1503" s="13" t="n"/>
      <c r="G1503" s="20" t="n"/>
      <c r="H1503" s="14" t="n"/>
      <c r="I1503" s="19">
        <f>IF($C1503="","",ROUND(IF($G1503="",1,$G1503)*N($H1503),2))</f>
        <v/>
      </c>
      <c r="J1503" s="17">
        <f>IF($C1503="","",IFERROR(VLOOKUP($C1503,项目台账!$B:$C,2,0),"※项目不在项目台账里"))</f>
        <v/>
      </c>
      <c r="K1503" s="13" t="n"/>
    </row>
  </sheetData>
  <autoFilter ref="A3:K1503"/>
  <mergeCells count="2">
    <mergeCell ref="A2:K2"/>
    <mergeCell ref="A1:K1"/>
  </mergeCells>
  <conditionalFormatting sqref="J4:J1503">
    <cfRule type="expression" priority="1" dxfId="0">
      <formula>LEFT(J4,1)="※"</formula>
    </cfRule>
  </conditionalFormatting>
  <dataValidations count="2">
    <dataValidation sqref="C4:C1503" showDropDown="0" showInputMessage="0" showErrorMessage="1" allowBlank="1" errorTitle="这一项没在名单里" error="不在名单里。先去【基础资料】把它加上，或者直接选一个已有的。" type="list" errorStyle="warning">
      <formula1>=项目名表</formula1>
    </dataValidation>
    <dataValidation sqref="F4:F1503" showDropDown="0" showInputMessage="0" showErrorMessage="1" allowBlank="1" errorTitle="这一项没在名单里" error="不在名单里。先去【基础资料】把它加上，或者直接选一个已有的。" type="list" errorStyle="warning">
      <formula1>=单位表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N20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24" customWidth="1" min="7" max="7"/>
    <col width="18" customWidth="1" min="8" max="8"/>
    <col width="8" customWidth="1" min="9" max="9"/>
    <col width="10" customWidth="1" min="10" max="10"/>
    <col width="10" customWidth="1" min="11" max="11"/>
    <col width="13" customWidth="1" min="12" max="12"/>
    <col width="20" customWidth="1" min="13" max="13"/>
    <col width="24" customWidth="1" min="14" max="14"/>
  </cols>
  <sheetData>
    <row r="1" ht="30" customHeight="1">
      <c r="A1" s="1" t="inlineStr">
        <is>
          <t>采购单 · 采购岗位填</t>
        </is>
      </c>
    </row>
    <row r="2" ht="22" customHeight="1">
      <c r="A2" s="2" t="inlineStr">
        <is>
          <t>买的每一笔材料都记一行。注意：登过这里的料，出纳付钱时费用类别要选『付供应商货款』，不然成本会算两遍。</t>
        </is>
      </c>
    </row>
    <row r="3" ht="34" customHeight="1">
      <c r="A3" s="16" t="inlineStr">
        <is>
          <t>序号</t>
        </is>
      </c>
      <c r="B3" s="16" t="inlineStr">
        <is>
          <t>采购日期 ★</t>
        </is>
      </c>
      <c r="C3" s="16" t="inlineStr">
        <is>
          <t>供应商 ★</t>
        </is>
      </c>
      <c r="D3" s="16" t="inlineStr">
        <is>
          <t>项目名称 ★</t>
        </is>
      </c>
      <c r="E3" s="16" t="inlineStr">
        <is>
          <t>材料类别 ★</t>
        </is>
      </c>
      <c r="F3" s="16" t="inlineStr">
        <is>
          <t>成本归属</t>
        </is>
      </c>
      <c r="G3" s="16" t="inlineStr">
        <is>
          <t>品名 ★</t>
        </is>
      </c>
      <c r="H3" s="16" t="inlineStr">
        <is>
          <t>规格</t>
        </is>
      </c>
      <c r="I3" s="16" t="inlineStr">
        <is>
          <t>单位</t>
        </is>
      </c>
      <c r="J3" s="16" t="inlineStr">
        <is>
          <t>数量</t>
        </is>
      </c>
      <c r="K3" s="16" t="inlineStr">
        <is>
          <t>单价</t>
        </is>
      </c>
      <c r="L3" s="16" t="inlineStr">
        <is>
          <t>金额</t>
        </is>
      </c>
      <c r="M3" s="16" t="inlineStr">
        <is>
          <t>备注</t>
        </is>
      </c>
      <c r="N3" s="16" t="inlineStr">
        <is>
          <t>核对</t>
        </is>
      </c>
    </row>
    <row r="4">
      <c r="A4" s="17">
        <f>IF($D4="","",ROW()-3)</f>
        <v/>
      </c>
      <c r="B4" s="18" t="n">
        <v>46043</v>
      </c>
      <c r="C4" s="13" t="inlineStr">
        <is>
          <t>炳秀</t>
        </is>
      </c>
      <c r="D4" s="13" t="inlineStr">
        <is>
          <t>南浔美食城</t>
        </is>
      </c>
      <c r="E4" s="13" t="inlineStr">
        <is>
          <t>主材</t>
        </is>
      </c>
      <c r="F4" s="17">
        <f>IF($D4="","",IFERROR(VLOOKUP($E4,材料归属,2,0),"※材料类别没选"))</f>
        <v/>
      </c>
      <c r="G4" s="13" t="inlineStr">
        <is>
          <t>7.5*7.5黑边灯箱型材</t>
        </is>
      </c>
      <c r="H4" s="13" t="n"/>
      <c r="I4" s="13" t="inlineStr">
        <is>
          <t>米</t>
        </is>
      </c>
      <c r="J4" s="20" t="n">
        <v>146</v>
      </c>
      <c r="K4" s="14" t="n">
        <v>10</v>
      </c>
      <c r="L4" s="19">
        <f>IF($D4="","",ROUND(IF($J4="",1,$J4)*N($K4),2))</f>
        <v/>
      </c>
      <c r="M4" s="13" t="inlineStr">
        <is>
          <t>原表·主材</t>
        </is>
      </c>
      <c r="N4" s="17">
        <f>IF($D4="","",IF(ISNA(MATCH($D4,项目名表,0)),"※项目不在项目台账里",IF($F4="※材料类别没选","※材料类别没选",IF(AND($C4&lt;&gt;"",ISNA(MATCH($C4,供应商表,0))),"※供应商不在基础资料里",""))))</f>
        <v/>
      </c>
    </row>
    <row r="5">
      <c r="A5" s="17">
        <f>IF($D5="","",ROW()-3)</f>
        <v/>
      </c>
      <c r="B5" s="18" t="n">
        <v>46043</v>
      </c>
      <c r="C5" s="13" t="n"/>
      <c r="D5" s="13" t="inlineStr">
        <is>
          <t>南浔美食城</t>
        </is>
      </c>
      <c r="E5" s="13" t="inlineStr">
        <is>
          <t>主材</t>
        </is>
      </c>
      <c r="F5" s="17">
        <f>IF($D5="","",IFERROR(VLOOKUP($E5,材料归属,2,0),"※材料类别没选"))</f>
        <v/>
      </c>
      <c r="G5" s="13" t="inlineStr">
        <is>
          <t>25*25方管</t>
        </is>
      </c>
      <c r="H5" s="13" t="n"/>
      <c r="I5" s="13" t="inlineStr">
        <is>
          <t>根</t>
        </is>
      </c>
      <c r="J5" s="20" t="n">
        <v>29</v>
      </c>
      <c r="K5" s="14" t="n">
        <v>19</v>
      </c>
      <c r="L5" s="19">
        <f>IF($D5="","",ROUND(IF($J5="",1,$J5)*N($K5),2))</f>
        <v/>
      </c>
      <c r="M5" s="13" t="inlineStr">
        <is>
          <t>原表·主材</t>
        </is>
      </c>
      <c r="N5" s="17">
        <f>IF($D5="","",IF(ISNA(MATCH($D5,项目名表,0)),"※项目不在项目台账里",IF($F5="※材料类别没选","※材料类别没选",IF(AND($C5&lt;&gt;"",ISNA(MATCH($C5,供应商表,0))),"※供应商不在基础资料里",""))))</f>
        <v/>
      </c>
    </row>
    <row r="6">
      <c r="A6" s="17">
        <f>IF($D6="","",ROW()-3)</f>
        <v/>
      </c>
      <c r="B6" s="18" t="n">
        <v>46043</v>
      </c>
      <c r="C6" s="13" t="n"/>
      <c r="D6" s="13" t="inlineStr">
        <is>
          <t>南浔美食城</t>
        </is>
      </c>
      <c r="E6" s="13" t="inlineStr">
        <is>
          <t>主材</t>
        </is>
      </c>
      <c r="F6" s="17">
        <f>IF($D6="","",IFERROR(VLOOKUP($E6,材料归属,2,0),"※材料类别没选"))</f>
        <v/>
      </c>
      <c r="G6" s="13" t="inlineStr">
        <is>
          <t>反光背板</t>
        </is>
      </c>
      <c r="H6" s="13" t="n"/>
      <c r="I6" s="13" t="inlineStr">
        <is>
          <t>张</t>
        </is>
      </c>
      <c r="J6" s="20" t="n">
        <v>58</v>
      </c>
      <c r="K6" s="14" t="n">
        <v>19</v>
      </c>
      <c r="L6" s="19">
        <f>IF($D6="","",ROUND(IF($J6="",1,$J6)*N($K6),2))</f>
        <v/>
      </c>
      <c r="M6" s="13" t="inlineStr">
        <is>
          <t>原表·主材</t>
        </is>
      </c>
      <c r="N6" s="17">
        <f>IF($D6="","",IF(ISNA(MATCH($D6,项目名表,0)),"※项目不在项目台账里",IF($F6="※材料类别没选","※材料类别没选",IF(AND($C6&lt;&gt;"",ISNA(MATCH($C6,供应商表,0))),"※供应商不在基础资料里",""))))</f>
        <v/>
      </c>
    </row>
    <row r="7">
      <c r="A7" s="17">
        <f>IF($D7="","",ROW()-3)</f>
        <v/>
      </c>
      <c r="B7" s="18" t="n">
        <v>46043</v>
      </c>
      <c r="C7" s="13" t="n"/>
      <c r="D7" s="13" t="inlineStr">
        <is>
          <t>南浔美食城</t>
        </is>
      </c>
      <c r="E7" s="13" t="inlineStr">
        <is>
          <t>主材</t>
        </is>
      </c>
      <c r="F7" s="17">
        <f>IF($D7="","",IFERROR(VLOOKUP($E7,材料归属,2,0),"※材料类别没选"))</f>
        <v/>
      </c>
      <c r="G7" s="13" t="inlineStr">
        <is>
          <t>3000K区块</t>
        </is>
      </c>
      <c r="H7" s="13" t="n"/>
      <c r="I7" s="13" t="inlineStr">
        <is>
          <t>箱</t>
        </is>
      </c>
      <c r="J7" s="20" t="n">
        <v>500</v>
      </c>
      <c r="K7" s="14" t="n">
        <v>1</v>
      </c>
      <c r="L7" s="19">
        <f>IF($D7="","",ROUND(IF($J7="",1,$J7)*N($K7),2))</f>
        <v/>
      </c>
      <c r="M7" s="13" t="inlineStr">
        <is>
          <t>原表·主材</t>
        </is>
      </c>
      <c r="N7" s="17">
        <f>IF($D7="","",IF(ISNA(MATCH($D7,项目名表,0)),"※项目不在项目台账里",IF($F7="※材料类别没选","※材料类别没选",IF(AND($C7&lt;&gt;"",ISNA(MATCH($C7,供应商表,0))),"※供应商不在基础资料里",""))))</f>
        <v/>
      </c>
    </row>
    <row r="8">
      <c r="A8" s="17">
        <f>IF($D8="","",ROW()-3)</f>
        <v/>
      </c>
      <c r="B8" s="18" t="n">
        <v>46043</v>
      </c>
      <c r="C8" s="13" t="n"/>
      <c r="D8" s="13" t="inlineStr">
        <is>
          <t>南浔美食城</t>
        </is>
      </c>
      <c r="E8" s="13" t="inlineStr">
        <is>
          <t>主材</t>
        </is>
      </c>
      <c r="F8" s="17">
        <f>IF($D8="","",IFERROR(VLOOKUP($E8,材料归属,2,0),"※材料类别没选"))</f>
        <v/>
      </c>
      <c r="G8" s="13" t="inlineStr">
        <is>
          <t>7.5*7.5黑边灯箱型材</t>
        </is>
      </c>
      <c r="H8" s="13" t="n"/>
      <c r="I8" s="13" t="inlineStr">
        <is>
          <t>米</t>
        </is>
      </c>
      <c r="J8" s="20" t="n">
        <v>75</v>
      </c>
      <c r="K8" s="14" t="n">
        <v>10</v>
      </c>
      <c r="L8" s="19">
        <f>IF($D8="","",ROUND(IF($J8="",1,$J8)*N($K8),2))</f>
        <v/>
      </c>
      <c r="M8" s="13" t="inlineStr">
        <is>
          <t>原表·主材</t>
        </is>
      </c>
      <c r="N8" s="17">
        <f>IF($D8="","",IF(ISNA(MATCH($D8,项目名表,0)),"※项目不在项目台账里",IF($F8="※材料类别没选","※材料类别没选",IF(AND($C8&lt;&gt;"",ISNA(MATCH($C8,供应商表,0))),"※供应商不在基础资料里",""))))</f>
        <v/>
      </c>
    </row>
    <row r="9">
      <c r="A9" s="17">
        <f>IF($D9="","",ROW()-3)</f>
        <v/>
      </c>
      <c r="B9" s="18" t="n">
        <v>46043</v>
      </c>
      <c r="C9" s="13" t="n"/>
      <c r="D9" s="13" t="inlineStr">
        <is>
          <t>南浔美食城</t>
        </is>
      </c>
      <c r="E9" s="13" t="inlineStr">
        <is>
          <t>辅材</t>
        </is>
      </c>
      <c r="F9" s="17">
        <f>IF($D9="","",IFERROR(VLOOKUP($E9,材料归属,2,0),"※材料类别没选"))</f>
        <v/>
      </c>
      <c r="G9" s="13" t="inlineStr">
        <is>
          <t>12V/10000K灯条</t>
        </is>
      </c>
      <c r="H9" s="13" t="n"/>
      <c r="I9" s="13" t="inlineStr">
        <is>
          <t>根</t>
        </is>
      </c>
      <c r="J9" s="20" t="n">
        <v>100</v>
      </c>
      <c r="K9" s="14" t="n">
        <v>1.5</v>
      </c>
      <c r="L9" s="19">
        <f>IF($D9="","",ROUND(IF($J9="",1,$J9)*N($K9),2))</f>
        <v/>
      </c>
      <c r="M9" s="13" t="inlineStr">
        <is>
          <t>原表·辅材</t>
        </is>
      </c>
      <c r="N9" s="17">
        <f>IF($D9="","",IF(ISNA(MATCH($D9,项目名表,0)),"※项目不在项目台账里",IF($F9="※材料类别没选","※材料类别没选",IF(AND($C9&lt;&gt;"",ISNA(MATCH($C9,供应商表,0))),"※供应商不在基础资料里",""))))</f>
        <v/>
      </c>
    </row>
    <row r="10">
      <c r="A10" s="17">
        <f>IF($D10="","",ROW()-3)</f>
        <v/>
      </c>
      <c r="B10" s="18" t="n">
        <v>46043</v>
      </c>
      <c r="C10" s="13" t="n"/>
      <c r="D10" s="13" t="inlineStr">
        <is>
          <t>南浔美食城</t>
        </is>
      </c>
      <c r="E10" s="13" t="inlineStr">
        <is>
          <t>辅材</t>
        </is>
      </c>
      <c r="F10" s="17">
        <f>IF($D10="","",IFERROR(VLOOKUP($E10,材料归属,2,0),"※材料类别没选"))</f>
        <v/>
      </c>
      <c r="G10" s="13" t="inlineStr">
        <is>
          <t>辅材</t>
        </is>
      </c>
      <c r="H10" s="13" t="n"/>
      <c r="I10" s="13" t="n"/>
      <c r="J10" s="20" t="n">
        <v>1</v>
      </c>
      <c r="K10" s="14" t="n">
        <v>500</v>
      </c>
      <c r="L10" s="19">
        <f>IF($D10="","",ROUND(IF($J10="",1,$J10)*N($K10),2))</f>
        <v/>
      </c>
      <c r="M10" s="13" t="inlineStr">
        <is>
          <t>原表·辅材</t>
        </is>
      </c>
      <c r="N10" s="17">
        <f>IF($D10="","",IF(ISNA(MATCH($D10,项目名表,0)),"※项目不在项目台账里",IF($F10="※材料类别没选","※材料类别没选",IF(AND($C10&lt;&gt;"",ISNA(MATCH($C10,供应商表,0))),"※供应商不在基础资料里",""))))</f>
        <v/>
      </c>
    </row>
    <row r="11">
      <c r="A11" s="17">
        <f>IF($D11="","",ROW()-3)</f>
        <v/>
      </c>
      <c r="B11" s="18" t="n">
        <v>46060</v>
      </c>
      <c r="C11" s="13" t="inlineStr">
        <is>
          <t>一利钢材</t>
        </is>
      </c>
      <c r="D11" s="13" t="inlineStr">
        <is>
          <t>德清津华钢铁</t>
        </is>
      </c>
      <c r="E11" s="13" t="inlineStr">
        <is>
          <t>主材</t>
        </is>
      </c>
      <c r="F11" s="17">
        <f>IF($D11="","",IFERROR(VLOOKUP($E11,材料归属,2,0),"※材料类别没选"))</f>
        <v/>
      </c>
      <c r="G11" s="13" t="inlineStr">
        <is>
          <t>3*3*1.2镀锌方管</t>
        </is>
      </c>
      <c r="H11" s="13" t="n"/>
      <c r="I11" s="13" t="inlineStr">
        <is>
          <t>根</t>
        </is>
      </c>
      <c r="J11" s="20" t="n">
        <v>25</v>
      </c>
      <c r="K11" s="14" t="n">
        <v>23.52</v>
      </c>
      <c r="L11" s="19">
        <f>IF($D11="","",ROUND(IF($J11="",1,$J11)*N($K11),2))</f>
        <v/>
      </c>
      <c r="M11" s="13" t="inlineStr">
        <is>
          <t>原表·主材</t>
        </is>
      </c>
      <c r="N11" s="17">
        <f>IF($D11="","",IF(ISNA(MATCH($D11,项目名表,0)),"※项目不在项目台账里",IF($F11="※材料类别没选","※材料类别没选",IF(AND($C11&lt;&gt;"",ISNA(MATCH($C11,供应商表,0))),"※供应商不在基础资料里",""))))</f>
        <v/>
      </c>
    </row>
    <row r="12">
      <c r="A12" s="17">
        <f>IF($D12="","",ROW()-3)</f>
        <v/>
      </c>
      <c r="B12" s="18" t="n">
        <v>46060</v>
      </c>
      <c r="C12" s="13" t="inlineStr">
        <is>
          <t>一利钢材</t>
        </is>
      </c>
      <c r="D12" s="13" t="inlineStr">
        <is>
          <t>德清津华钢铁</t>
        </is>
      </c>
      <c r="E12" s="13" t="inlineStr">
        <is>
          <t>主材</t>
        </is>
      </c>
      <c r="F12" s="17">
        <f>IF($D12="","",IFERROR(VLOOKUP($E12,材料归属,2,0),"※材料类别没选"))</f>
        <v/>
      </c>
      <c r="G12" s="13" t="inlineStr">
        <is>
          <t>4*4*2镀锌角铁</t>
        </is>
      </c>
      <c r="H12" s="13" t="n"/>
      <c r="I12" s="13" t="inlineStr">
        <is>
          <t>根</t>
        </is>
      </c>
      <c r="J12" s="20" t="n">
        <v>1</v>
      </c>
      <c r="K12" s="14" t="n">
        <v>60</v>
      </c>
      <c r="L12" s="19">
        <f>IF($D12="","",ROUND(IF($J12="",1,$J12)*N($K12),2))</f>
        <v/>
      </c>
      <c r="M12" s="13" t="inlineStr">
        <is>
          <t>原表·主材</t>
        </is>
      </c>
      <c r="N12" s="17">
        <f>IF($D12="","",IF(ISNA(MATCH($D12,项目名表,0)),"※项目不在项目台账里",IF($F12="※材料类别没选","※材料类别没选",IF(AND($C12&lt;&gt;"",ISNA(MATCH($C12,供应商表,0))),"※供应商不在基础资料里",""))))</f>
        <v/>
      </c>
    </row>
    <row r="13">
      <c r="A13" s="17">
        <f>IF($D13="","",ROW()-3)</f>
        <v/>
      </c>
      <c r="B13" s="18" t="n">
        <v>46060</v>
      </c>
      <c r="C13" s="13" t="inlineStr">
        <is>
          <t>小王加工厂</t>
        </is>
      </c>
      <c r="D13" s="13" t="inlineStr">
        <is>
          <t>德清津华钢铁</t>
        </is>
      </c>
      <c r="E13" s="13" t="inlineStr">
        <is>
          <t>主材</t>
        </is>
      </c>
      <c r="F13" s="17">
        <f>IF($D13="","",IFERROR(VLOOKUP($E13,材料归属,2,0),"※材料类别没选"))</f>
        <v/>
      </c>
      <c r="G13" s="13" t="inlineStr">
        <is>
          <t>550喷绘布</t>
        </is>
      </c>
      <c r="H13" s="13" t="n"/>
      <c r="I13" s="13" t="inlineStr">
        <is>
          <t>m²</t>
        </is>
      </c>
      <c r="J13" s="20" t="n">
        <v>184.97</v>
      </c>
      <c r="K13" s="14" t="n">
        <v>8</v>
      </c>
      <c r="L13" s="19">
        <f>IF($D13="","",ROUND(IF($J13="",1,$J13)*N($K13),2))</f>
        <v/>
      </c>
      <c r="M13" s="13" t="inlineStr">
        <is>
          <t>原表·主材</t>
        </is>
      </c>
      <c r="N13" s="17">
        <f>IF($D13="","",IF(ISNA(MATCH($D13,项目名表,0)),"※项目不在项目台账里",IF($F13="※材料类别没选","※材料类别没选",IF(AND($C13&lt;&gt;"",ISNA(MATCH($C13,供应商表,0))),"※供应商不在基础资料里",""))))</f>
        <v/>
      </c>
    </row>
    <row r="14">
      <c r="A14" s="17">
        <f>IF($D14="","",ROW()-3)</f>
        <v/>
      </c>
      <c r="B14" s="18" t="n">
        <v>46060</v>
      </c>
      <c r="C14" s="13" t="inlineStr">
        <is>
          <t>小王加工厂</t>
        </is>
      </c>
      <c r="D14" s="13" t="inlineStr">
        <is>
          <t>德清津华钢铁</t>
        </is>
      </c>
      <c r="E14" s="13" t="inlineStr">
        <is>
          <t>主材</t>
        </is>
      </c>
      <c r="F14" s="17">
        <f>IF($D14="","",IFERROR(VLOOKUP($E14,材料归属,2,0),"※材料类别没选"))</f>
        <v/>
      </c>
      <c r="G14" s="13" t="inlineStr">
        <is>
          <t>550喷绘布</t>
        </is>
      </c>
      <c r="H14" s="13" t="n"/>
      <c r="I14" s="13" t="inlineStr">
        <is>
          <t>m²</t>
        </is>
      </c>
      <c r="J14" s="20" t="n">
        <v>75.43000000000001</v>
      </c>
      <c r="K14" s="14" t="n">
        <v>6</v>
      </c>
      <c r="L14" s="19">
        <f>IF($D14="","",ROUND(IF($J14="",1,$J14)*N($K14),2))</f>
        <v/>
      </c>
      <c r="M14" s="13" t="inlineStr">
        <is>
          <t>原表·主材</t>
        </is>
      </c>
      <c r="N14" s="17">
        <f>IF($D14="","",IF(ISNA(MATCH($D14,项目名表,0)),"※项目不在项目台账里",IF($F14="※材料类别没选","※材料类别没选",IF(AND($C14&lt;&gt;"",ISNA(MATCH($C14,供应商表,0))),"※供应商不在基础资料里",""))))</f>
        <v/>
      </c>
    </row>
    <row r="15">
      <c r="A15" s="17">
        <f>IF($D15="","",ROW()-3)</f>
        <v/>
      </c>
      <c r="B15" s="18" t="n">
        <v>46060</v>
      </c>
      <c r="C15" s="13" t="n"/>
      <c r="D15" s="13" t="inlineStr">
        <is>
          <t>德清津华钢铁</t>
        </is>
      </c>
      <c r="E15" s="13" t="inlineStr">
        <is>
          <t>辅材</t>
        </is>
      </c>
      <c r="F15" s="17">
        <f>IF($D15="","",IFERROR(VLOOKUP($E15,材料归属,2,0),"※材料类别没选"))</f>
        <v/>
      </c>
      <c r="G15" s="13" t="inlineStr">
        <is>
          <t>车辆+辅材</t>
        </is>
      </c>
      <c r="H15" s="13" t="n"/>
      <c r="I15" s="13" t="inlineStr">
        <is>
          <t>趟</t>
        </is>
      </c>
      <c r="J15" s="20" t="n">
        <v>1</v>
      </c>
      <c r="K15" s="14" t="n">
        <v>200</v>
      </c>
      <c r="L15" s="19">
        <f>IF($D15="","",ROUND(IF($J15="",1,$J15)*N($K15),2))</f>
        <v/>
      </c>
      <c r="M15" s="13" t="inlineStr">
        <is>
          <t>原表·辅材</t>
        </is>
      </c>
      <c r="N15" s="17">
        <f>IF($D15="","",IF(ISNA(MATCH($D15,项目名表,0)),"※项目不在项目台账里",IF($F15="※材料类别没选","※材料类别没选",IF(AND($C15&lt;&gt;"",ISNA(MATCH($C15,供应商表,0))),"※供应商不在基础资料里",""))))</f>
        <v/>
      </c>
    </row>
    <row r="16">
      <c r="A16" s="17">
        <f>IF($D16="","",ROW()-3)</f>
        <v/>
      </c>
      <c r="B16" s="18" t="n">
        <v>46083</v>
      </c>
      <c r="C16" s="13" t="inlineStr">
        <is>
          <t>匠心</t>
        </is>
      </c>
      <c r="D16" s="13" t="inlineStr">
        <is>
          <t>兰溪手擀面</t>
        </is>
      </c>
      <c r="E16" s="13" t="inlineStr">
        <is>
          <t>主材</t>
        </is>
      </c>
      <c r="F16" s="17">
        <f>IF($D16="","",IFERROR(VLOOKUP($E16,材料归属,2,0),"※材料类别没选"))</f>
        <v/>
      </c>
      <c r="G16" s="13" t="inlineStr">
        <is>
          <t>发光字</t>
        </is>
      </c>
      <c r="H16" s="13" t="n"/>
      <c r="I16" s="13" t="inlineStr">
        <is>
          <t>套</t>
        </is>
      </c>
      <c r="J16" s="20" t="n">
        <v>1</v>
      </c>
      <c r="K16" s="14" t="n">
        <v>440</v>
      </c>
      <c r="L16" s="19">
        <f>IF($D16="","",ROUND(IF($J16="",1,$J16)*N($K16),2))</f>
        <v/>
      </c>
      <c r="M16" s="13" t="inlineStr">
        <is>
          <t>原表·主材</t>
        </is>
      </c>
      <c r="N16" s="17">
        <f>IF($D16="","",IF(ISNA(MATCH($D16,项目名表,0)),"※项目不在项目台账里",IF($F16="※材料类别没选","※材料类别没选",IF(AND($C16&lt;&gt;"",ISNA(MATCH($C16,供应商表,0))),"※供应商不在基础资料里",""))))</f>
        <v/>
      </c>
    </row>
    <row r="17">
      <c r="A17" s="17">
        <f>IF($D17="","",ROW()-3)</f>
        <v/>
      </c>
      <c r="B17" s="18" t="n">
        <v>46083</v>
      </c>
      <c r="C17" s="13" t="n"/>
      <c r="D17" s="13" t="inlineStr">
        <is>
          <t>兰溪手擀面</t>
        </is>
      </c>
      <c r="E17" s="13" t="inlineStr">
        <is>
          <t>辅材</t>
        </is>
      </c>
      <c r="F17" s="17">
        <f>IF($D17="","",IFERROR(VLOOKUP($E17,材料归属,2,0),"※材料类别没选"))</f>
        <v/>
      </c>
      <c r="G17" s="13" t="inlineStr">
        <is>
          <t>辅材+车辆</t>
        </is>
      </c>
      <c r="H17" s="13" t="n"/>
      <c r="I17" s="13" t="inlineStr">
        <is>
          <t>1</t>
        </is>
      </c>
      <c r="J17" s="20" t="n">
        <v>1</v>
      </c>
      <c r="K17" s="14" t="n">
        <v>100</v>
      </c>
      <c r="L17" s="19">
        <f>IF($D17="","",ROUND(IF($J17="",1,$J17)*N($K17),2))</f>
        <v/>
      </c>
      <c r="M17" s="13" t="inlineStr">
        <is>
          <t>原表·辅材</t>
        </is>
      </c>
      <c r="N17" s="17">
        <f>IF($D17="","",IF(ISNA(MATCH($D17,项目名表,0)),"※项目不在项目台账里",IF($F17="※材料类别没选","※材料类别没选",IF(AND($C17&lt;&gt;"",ISNA(MATCH($C17,供应商表,0))),"※供应商不在基础资料里",""))))</f>
        <v/>
      </c>
    </row>
    <row r="18">
      <c r="A18" s="17">
        <f>IF($D18="","",ROW()-3)</f>
        <v/>
      </c>
      <c r="B18" s="18" t="n"/>
      <c r="C18" s="13" t="inlineStr">
        <is>
          <t>杭州水尚装饰</t>
        </is>
      </c>
      <c r="D18" s="13" t="inlineStr">
        <is>
          <t>莫盾服饰</t>
        </is>
      </c>
      <c r="E18" s="13" t="inlineStr">
        <is>
          <t>主材</t>
        </is>
      </c>
      <c r="F18" s="17">
        <f>IF($D18="","",IFERROR(VLOOKUP($E18,材料归属,2,0),"※材料类别没选"))</f>
        <v/>
      </c>
      <c r="G18" s="13" t="inlineStr">
        <is>
          <t>烫边软膜</t>
        </is>
      </c>
      <c r="H18" s="13" t="n"/>
      <c r="I18" s="13" t="inlineStr">
        <is>
          <t>m²</t>
        </is>
      </c>
      <c r="J18" s="20" t="n">
        <v>34.713</v>
      </c>
      <c r="K18" s="14" t="n">
        <v>20</v>
      </c>
      <c r="L18" s="19">
        <f>IF($D18="","",ROUND(IF($J18="",1,$J18)*N($K18),2))</f>
        <v/>
      </c>
      <c r="M18" s="13" t="inlineStr">
        <is>
          <t>原表·主材</t>
        </is>
      </c>
      <c r="N18" s="17">
        <f>IF($D18="","",IF(ISNA(MATCH($D18,项目名表,0)),"※项目不在项目台账里",IF($F18="※材料类别没选","※材料类别没选",IF(AND($C18&lt;&gt;"",ISNA(MATCH($C18,供应商表,0))),"※供应商不在基础资料里",""))))</f>
        <v/>
      </c>
    </row>
    <row r="19">
      <c r="A19" s="17">
        <f>IF($D19="","",ROW()-3)</f>
        <v/>
      </c>
      <c r="B19" s="18" t="n"/>
      <c r="C19" s="13" t="n"/>
      <c r="D19" s="13" t="inlineStr">
        <is>
          <t>莫盾服饰</t>
        </is>
      </c>
      <c r="E19" s="13" t="inlineStr">
        <is>
          <t>主材</t>
        </is>
      </c>
      <c r="F19" s="17">
        <f>IF($D19="","",IFERROR(VLOOKUP($E19,材料归属,2,0),"※材料类别没选"))</f>
        <v/>
      </c>
      <c r="G19" s="13" t="inlineStr">
        <is>
          <t>室内6000K区块</t>
        </is>
      </c>
      <c r="H19" s="13" t="n"/>
      <c r="I19" s="13" t="inlineStr">
        <is>
          <t>块</t>
        </is>
      </c>
      <c r="J19" s="20" t="n">
        <v>750</v>
      </c>
      <c r="K19" s="14" t="n">
        <v>1</v>
      </c>
      <c r="L19" s="19">
        <f>IF($D19="","",ROUND(IF($J19="",1,$J19)*N($K19),2))</f>
        <v/>
      </c>
      <c r="M19" s="13" t="inlineStr">
        <is>
          <t>原表·主材</t>
        </is>
      </c>
      <c r="N19" s="17">
        <f>IF($D19="","",IF(ISNA(MATCH($D19,项目名表,0)),"※项目不在项目台账里",IF($F19="※材料类别没选","※材料类别没选",IF(AND($C19&lt;&gt;"",ISNA(MATCH($C19,供应商表,0))),"※供应商不在基础资料里",""))))</f>
        <v/>
      </c>
    </row>
    <row r="20">
      <c r="A20" s="17">
        <f>IF($D20="","",ROW()-3)</f>
        <v/>
      </c>
      <c r="B20" s="18" t="n"/>
      <c r="C20" s="13" t="n"/>
      <c r="D20" s="13" t="inlineStr">
        <is>
          <t>莫盾服饰</t>
        </is>
      </c>
      <c r="E20" s="13" t="inlineStr">
        <is>
          <t>主材</t>
        </is>
      </c>
      <c r="F20" s="17">
        <f>IF($D20="","",IFERROR(VLOOKUP($E20,材料归属,2,0),"※材料类别没选"))</f>
        <v/>
      </c>
      <c r="G20" s="13" t="inlineStr">
        <is>
          <t>烫边软膜专用铝型材</t>
        </is>
      </c>
      <c r="H20" s="13" t="n"/>
      <c r="I20" s="13" t="inlineStr">
        <is>
          <t>米</t>
        </is>
      </c>
      <c r="J20" s="20" t="n">
        <v>25.38</v>
      </c>
      <c r="K20" s="14" t="n">
        <v>8</v>
      </c>
      <c r="L20" s="19">
        <f>IF($D20="","",ROUND(IF($J20="",1,$J20)*N($K20),2))</f>
        <v/>
      </c>
      <c r="M20" s="13" t="inlineStr">
        <is>
          <t>原表·主材</t>
        </is>
      </c>
      <c r="N20" s="17">
        <f>IF($D20="","",IF(ISNA(MATCH($D20,项目名表,0)),"※项目不在项目台账里",IF($F20="※材料类别没选","※材料类别没选",IF(AND($C20&lt;&gt;"",ISNA(MATCH($C20,供应商表,0))),"※供应商不在基础资料里",""))))</f>
        <v/>
      </c>
    </row>
    <row r="21">
      <c r="A21" s="17">
        <f>IF($D21="","",ROW()-3)</f>
        <v/>
      </c>
      <c r="B21" s="18" t="n"/>
      <c r="C21" s="13" t="n"/>
      <c r="D21" s="13" t="inlineStr">
        <is>
          <t>莫盾服饰</t>
        </is>
      </c>
      <c r="E21" s="13" t="inlineStr">
        <is>
          <t>主材</t>
        </is>
      </c>
      <c r="F21" s="17">
        <f>IF($D21="","",IFERROR(VLOOKUP($E21,材料归属,2,0),"※材料类别没选"))</f>
        <v/>
      </c>
      <c r="G21" s="13" t="inlineStr">
        <is>
          <t>发光字埋线</t>
        </is>
      </c>
      <c r="H21" s="13" t="n"/>
      <c r="I21" s="13" t="inlineStr">
        <is>
          <t>套</t>
        </is>
      </c>
      <c r="J21" s="20" t="n">
        <v>2</v>
      </c>
      <c r="K21" s="14" t="n">
        <v>200</v>
      </c>
      <c r="L21" s="19">
        <f>IF($D21="","",ROUND(IF($J21="",1,$J21)*N($K21),2))</f>
        <v/>
      </c>
      <c r="M21" s="13" t="inlineStr">
        <is>
          <t>原表·主材</t>
        </is>
      </c>
      <c r="N21" s="17">
        <f>IF($D21="","",IF(ISNA(MATCH($D21,项目名表,0)),"※项目不在项目台账里",IF($F21="※材料类别没选","※材料类别没选",IF(AND($C21&lt;&gt;"",ISNA(MATCH($C21,供应商表,0))),"※供应商不在基础资料里",""))))</f>
        <v/>
      </c>
    </row>
    <row r="22">
      <c r="A22" s="17">
        <f>IF($D22="","",ROW()-3)</f>
        <v/>
      </c>
      <c r="B22" s="18" t="n"/>
      <c r="C22" s="13" t="inlineStr">
        <is>
          <t>盛世大瑞</t>
        </is>
      </c>
      <c r="D22" s="13" t="inlineStr">
        <is>
          <t>莫盾服饰</t>
        </is>
      </c>
      <c r="E22" s="13" t="inlineStr">
        <is>
          <t>主材</t>
        </is>
      </c>
      <c r="F22" s="17">
        <f>IF($D22="","",IFERROR(VLOOKUP($E22,材料归属,2,0),"※材料类别没选"))</f>
        <v/>
      </c>
      <c r="G22" s="13" t="inlineStr">
        <is>
          <t>发光字</t>
        </is>
      </c>
      <c r="H22" s="13" t="n"/>
      <c r="I22" s="13" t="inlineStr">
        <is>
          <t>套</t>
        </is>
      </c>
      <c r="J22" s="20" t="n">
        <v>2</v>
      </c>
      <c r="K22" s="14" t="n">
        <v>1300</v>
      </c>
      <c r="L22" s="19">
        <f>IF($D22="","",ROUND(IF($J22="",1,$J22)*N($K22),2))</f>
        <v/>
      </c>
      <c r="M22" s="13" t="inlineStr">
        <is>
          <t>原表·主材</t>
        </is>
      </c>
      <c r="N22" s="17">
        <f>IF($D22="","",IF(ISNA(MATCH($D22,项目名表,0)),"※项目不在项目台账里",IF($F22="※材料类别没选","※材料类别没选",IF(AND($C22&lt;&gt;"",ISNA(MATCH($C22,供应商表,0))),"※供应商不在基础资料里",""))))</f>
        <v/>
      </c>
    </row>
    <row r="23">
      <c r="A23" s="17">
        <f>IF($D23="","",ROW()-3)</f>
        <v/>
      </c>
      <c r="B23" s="18" t="n"/>
      <c r="C23" s="13" t="n"/>
      <c r="D23" s="13" t="inlineStr">
        <is>
          <t>莫盾服饰</t>
        </is>
      </c>
      <c r="E23" s="13" t="inlineStr">
        <is>
          <t>辅材</t>
        </is>
      </c>
      <c r="F23" s="17">
        <f>IF($D23="","",IFERROR(VLOOKUP($E23,材料归属,2,0),"※材料类别没选"))</f>
        <v/>
      </c>
      <c r="G23" s="13" t="inlineStr">
        <is>
          <t>车辆+辅材</t>
        </is>
      </c>
      <c r="H23" s="13" t="n"/>
      <c r="I23" s="13" t="inlineStr">
        <is>
          <t>趟</t>
        </is>
      </c>
      <c r="J23" s="20" t="n">
        <v>2</v>
      </c>
      <c r="K23" s="14" t="n">
        <v>100</v>
      </c>
      <c r="L23" s="19">
        <f>IF($D23="","",ROUND(IF($J23="",1,$J23)*N($K23),2))</f>
        <v/>
      </c>
      <c r="M23" s="13" t="inlineStr">
        <is>
          <t>原表·辅材</t>
        </is>
      </c>
      <c r="N23" s="17">
        <f>IF($D23="","",IF(ISNA(MATCH($D23,项目名表,0)),"※项目不在项目台账里",IF($F23="※材料类别没选","※材料类别没选",IF(AND($C23&lt;&gt;"",ISNA(MATCH($C23,供应商表,0))),"※供应商不在基础资料里",""))))</f>
        <v/>
      </c>
    </row>
    <row r="24">
      <c r="A24" s="17">
        <f>IF($D24="","",ROW()-3)</f>
        <v/>
      </c>
      <c r="B24" s="18" t="n">
        <v>46106</v>
      </c>
      <c r="C24" s="13" t="inlineStr">
        <is>
          <t>甄铭</t>
        </is>
      </c>
      <c r="D24" s="13" t="inlineStr">
        <is>
          <t>君澜服饰</t>
        </is>
      </c>
      <c r="E24" s="13" t="inlineStr">
        <is>
          <t>主材</t>
        </is>
      </c>
      <c r="F24" s="17">
        <f>IF($D24="","",IFERROR(VLOOKUP($E24,材料归属,2,0),"※材料类别没选"))</f>
        <v/>
      </c>
      <c r="G24" s="13" t="inlineStr">
        <is>
          <t>发光字</t>
        </is>
      </c>
      <c r="H24" s="13" t="n"/>
      <c r="I24" s="13" t="inlineStr">
        <is>
          <t>套</t>
        </is>
      </c>
      <c r="J24" s="20" t="n">
        <v>1</v>
      </c>
      <c r="K24" s="14" t="n">
        <v>244</v>
      </c>
      <c r="L24" s="19">
        <f>IF($D24="","",ROUND(IF($J24="",1,$J24)*N($K24),2))</f>
        <v/>
      </c>
      <c r="M24" s="13" t="inlineStr">
        <is>
          <t>原表·主材</t>
        </is>
      </c>
      <c r="N24" s="17">
        <f>IF($D24="","",IF(ISNA(MATCH($D24,项目名表,0)),"※项目不在项目台账里",IF($F24="※材料类别没选","※材料类别没选",IF(AND($C24&lt;&gt;"",ISNA(MATCH($C24,供应商表,0))),"※供应商不在基础资料里",""))))</f>
        <v/>
      </c>
    </row>
    <row r="25">
      <c r="A25" s="17">
        <f>IF($D25="","",ROW()-3)</f>
        <v/>
      </c>
      <c r="B25" s="18" t="n">
        <v>46106</v>
      </c>
      <c r="C25" s="13" t="inlineStr">
        <is>
          <t>甄铭</t>
        </is>
      </c>
      <c r="D25" s="13" t="inlineStr">
        <is>
          <t>君澜服饰</t>
        </is>
      </c>
      <c r="E25" s="13" t="inlineStr">
        <is>
          <t>主材</t>
        </is>
      </c>
      <c r="F25" s="17">
        <f>IF($D25="","",IFERROR(VLOOKUP($E25,材料归属,2,0),"※材料类别没选"))</f>
        <v/>
      </c>
      <c r="G25" s="13" t="inlineStr">
        <is>
          <t>发光字</t>
        </is>
      </c>
      <c r="H25" s="13" t="n"/>
      <c r="I25" s="13" t="inlineStr">
        <is>
          <t>套</t>
        </is>
      </c>
      <c r="J25" s="20" t="n">
        <v>1</v>
      </c>
      <c r="K25" s="14" t="n">
        <v>362</v>
      </c>
      <c r="L25" s="19">
        <f>IF($D25="","",ROUND(IF($J25="",1,$J25)*N($K25),2))</f>
        <v/>
      </c>
      <c r="M25" s="13" t="inlineStr">
        <is>
          <t>原表·主材</t>
        </is>
      </c>
      <c r="N25" s="17">
        <f>IF($D25="","",IF(ISNA(MATCH($D25,项目名表,0)),"※项目不在项目台账里",IF($F25="※材料类别没选","※材料类别没选",IF(AND($C25&lt;&gt;"",ISNA(MATCH($C25,供应商表,0))),"※供应商不在基础资料里",""))))</f>
        <v/>
      </c>
    </row>
    <row r="26">
      <c r="A26" s="17">
        <f>IF($D26="","",ROW()-3)</f>
        <v/>
      </c>
      <c r="B26" s="18" t="n">
        <v>46106</v>
      </c>
      <c r="C26" s="13" t="inlineStr">
        <is>
          <t>炳秀</t>
        </is>
      </c>
      <c r="D26" s="13" t="inlineStr">
        <is>
          <t>君澜服饰</t>
        </is>
      </c>
      <c r="E26" s="13" t="inlineStr">
        <is>
          <t>主材</t>
        </is>
      </c>
      <c r="F26" s="17">
        <f>IF($D26="","",IFERROR(VLOOKUP($E26,材料归属,2,0),"※材料类别没选"))</f>
        <v/>
      </c>
      <c r="G26" s="13" t="inlineStr">
        <is>
          <t>软膜</t>
        </is>
      </c>
      <c r="H26" s="13" t="n"/>
      <c r="I26" s="13" t="n"/>
      <c r="J26" s="20" t="n">
        <v>1</v>
      </c>
      <c r="K26" s="14" t="n">
        <v>244</v>
      </c>
      <c r="L26" s="19">
        <f>IF($D26="","",ROUND(IF($J26="",1,$J26)*N($K26),2))</f>
        <v/>
      </c>
      <c r="M26" s="13" t="inlineStr">
        <is>
          <t>原表·主材</t>
        </is>
      </c>
      <c r="N26" s="17">
        <f>IF($D26="","",IF(ISNA(MATCH($D26,项目名表,0)),"※项目不在项目台账里",IF($F26="※材料类别没选","※材料类别没选",IF(AND($C26&lt;&gt;"",ISNA(MATCH($C26,供应商表,0))),"※供应商不在基础资料里",""))))</f>
        <v/>
      </c>
    </row>
    <row r="27">
      <c r="A27" s="17">
        <f>IF($D27="","",ROW()-3)</f>
        <v/>
      </c>
      <c r="B27" s="18" t="n">
        <v>46106</v>
      </c>
      <c r="C27" s="13" t="inlineStr">
        <is>
          <t>小王</t>
        </is>
      </c>
      <c r="D27" s="13" t="inlineStr">
        <is>
          <t>君澜服饰</t>
        </is>
      </c>
      <c r="E27" s="13" t="inlineStr">
        <is>
          <t>主材</t>
        </is>
      </c>
      <c r="F27" s="17">
        <f>IF($D27="","",IFERROR(VLOOKUP($E27,材料归属,2,0),"※材料类别没选"))</f>
        <v/>
      </c>
      <c r="G27" s="13" t="inlineStr">
        <is>
          <t>2cmpvc字</t>
        </is>
      </c>
      <c r="H27" s="13" t="n"/>
      <c r="I27" s="13" t="n"/>
      <c r="J27" s="20" t="n">
        <v>2</v>
      </c>
      <c r="K27" s="14" t="n">
        <v>150</v>
      </c>
      <c r="L27" s="19">
        <f>IF($D27="","",ROUND(IF($J27="",1,$J27)*N($K27),2))</f>
        <v/>
      </c>
      <c r="M27" s="13" t="inlineStr">
        <is>
          <t>原表·主材</t>
        </is>
      </c>
      <c r="N27" s="17">
        <f>IF($D27="","",IF(ISNA(MATCH($D27,项目名表,0)),"※项目不在项目台账里",IF($F27="※材料类别没选","※材料类别没选",IF(AND($C27&lt;&gt;"",ISNA(MATCH($C27,供应商表,0))),"※供应商不在基础资料里",""))))</f>
        <v/>
      </c>
    </row>
    <row r="28">
      <c r="A28" s="17">
        <f>IF($D28="","",ROW()-3)</f>
        <v/>
      </c>
      <c r="B28" s="18" t="n">
        <v>46106</v>
      </c>
      <c r="C28" s="13" t="inlineStr">
        <is>
          <t>水尚</t>
        </is>
      </c>
      <c r="D28" s="13" t="inlineStr">
        <is>
          <t>君澜服饰</t>
        </is>
      </c>
      <c r="E28" s="13" t="inlineStr">
        <is>
          <t>主材</t>
        </is>
      </c>
      <c r="F28" s="17">
        <f>IF($D28="","",IFERROR(VLOOKUP($E28,材料归属,2,0),"※材料类别没选"))</f>
        <v/>
      </c>
      <c r="G28" s="13" t="inlineStr">
        <is>
          <t>烫边软膜</t>
        </is>
      </c>
      <c r="H28" s="13" t="n"/>
      <c r="I28" s="13" t="n"/>
      <c r="J28" s="20" t="n">
        <v>1</v>
      </c>
      <c r="K28" s="14" t="n">
        <v>214</v>
      </c>
      <c r="L28" s="19">
        <f>IF($D28="","",ROUND(IF($J28="",1,$J28)*N($K28),2))</f>
        <v/>
      </c>
      <c r="M28" s="13" t="inlineStr">
        <is>
          <t>原表·主材</t>
        </is>
      </c>
      <c r="N28" s="17">
        <f>IF($D28="","",IF(ISNA(MATCH($D28,项目名表,0)),"※项目不在项目台账里",IF($F28="※材料类别没选","※材料类别没选",IF(AND($C28&lt;&gt;"",ISNA(MATCH($C28,供应商表,0))),"※供应商不在基础资料里",""))))</f>
        <v/>
      </c>
    </row>
    <row r="29">
      <c r="A29" s="17">
        <f>IF($D29="","",ROW()-3)</f>
        <v/>
      </c>
      <c r="B29" s="18" t="n">
        <v>46106</v>
      </c>
      <c r="C29" s="13" t="inlineStr">
        <is>
          <t>水尚</t>
        </is>
      </c>
      <c r="D29" s="13" t="inlineStr">
        <is>
          <t>君澜服饰</t>
        </is>
      </c>
      <c r="E29" s="13" t="inlineStr">
        <is>
          <t>主材</t>
        </is>
      </c>
      <c r="F29" s="17">
        <f>IF($D29="","",IFERROR(VLOOKUP($E29,材料归属,2,0),"※材料类别没选"))</f>
        <v/>
      </c>
      <c r="G29" s="13" t="inlineStr">
        <is>
          <t>烫边软膜</t>
        </is>
      </c>
      <c r="H29" s="13" t="n"/>
      <c r="I29" s="13" t="n"/>
      <c r="J29" s="20" t="n">
        <v>1</v>
      </c>
      <c r="K29" s="14" t="n">
        <v>38</v>
      </c>
      <c r="L29" s="19">
        <f>IF($D29="","",ROUND(IF($J29="",1,$J29)*N($K29),2))</f>
        <v/>
      </c>
      <c r="M29" s="13" t="inlineStr">
        <is>
          <t>原表·主材</t>
        </is>
      </c>
      <c r="N29" s="17">
        <f>IF($D29="","",IF(ISNA(MATCH($D29,项目名表,0)),"※项目不在项目台账里",IF($F29="※材料类别没选","※材料类别没选",IF(AND($C29&lt;&gt;"",ISNA(MATCH($C29,供应商表,0))),"※供应商不在基础资料里",""))))</f>
        <v/>
      </c>
    </row>
    <row r="30">
      <c r="A30" s="17">
        <f>IF($D30="","",ROW()-3)</f>
        <v/>
      </c>
      <c r="B30" s="18" t="n">
        <v>46106</v>
      </c>
      <c r="C30" s="13" t="n"/>
      <c r="D30" s="13" t="inlineStr">
        <is>
          <t>君澜服饰</t>
        </is>
      </c>
      <c r="E30" s="13" t="inlineStr">
        <is>
          <t>辅材</t>
        </is>
      </c>
      <c r="F30" s="17">
        <f>IF($D30="","",IFERROR(VLOOKUP($E30,材料归属,2,0),"※材料类别没选"))</f>
        <v/>
      </c>
      <c r="G30" s="13" t="inlineStr">
        <is>
          <t>安装工资</t>
        </is>
      </c>
      <c r="H30" s="13" t="n"/>
      <c r="I30" s="13" t="inlineStr">
        <is>
          <t>工</t>
        </is>
      </c>
      <c r="J30" s="20" t="n">
        <v>2</v>
      </c>
      <c r="K30" s="14" t="n">
        <v>450</v>
      </c>
      <c r="L30" s="19">
        <f>IF($D30="","",ROUND(IF($J30="",1,$J30)*N($K30),2))</f>
        <v/>
      </c>
      <c r="M30" s="13" t="inlineStr">
        <is>
          <t>原表·辅材</t>
        </is>
      </c>
      <c r="N30" s="17">
        <f>IF($D30="","",IF(ISNA(MATCH($D30,项目名表,0)),"※项目不在项目台账里",IF($F30="※材料类别没选","※材料类别没选",IF(AND($C30&lt;&gt;"",ISNA(MATCH($C30,供应商表,0))),"※供应商不在基础资料里",""))))</f>
        <v/>
      </c>
    </row>
    <row r="31">
      <c r="A31" s="17">
        <f>IF($D31="","",ROW()-3)</f>
        <v/>
      </c>
      <c r="B31" s="18" t="n">
        <v>46082</v>
      </c>
      <c r="C31" s="13" t="n"/>
      <c r="D31" s="13" t="inlineStr">
        <is>
          <t>芭比贝克</t>
        </is>
      </c>
      <c r="E31" s="13" t="inlineStr">
        <is>
          <t>主材</t>
        </is>
      </c>
      <c r="F31" s="17">
        <f>IF($D31="","",IFERROR(VLOOKUP($E31,材料归属,2,0),"※材料类别没选"))</f>
        <v/>
      </c>
      <c r="G31" s="13" t="inlineStr">
        <is>
          <t>7.5CM灯箱型材</t>
        </is>
      </c>
      <c r="H31" s="13" t="n"/>
      <c r="I31" s="13" t="inlineStr">
        <is>
          <t>米</t>
        </is>
      </c>
      <c r="J31" s="20" t="n">
        <v>13.08</v>
      </c>
      <c r="K31" s="14" t="n">
        <v>8</v>
      </c>
      <c r="L31" s="19">
        <f>IF($D31="","",ROUND(IF($J31="",1,$J31)*N($K31),2))</f>
        <v/>
      </c>
      <c r="M31" s="13" t="inlineStr">
        <is>
          <t>原表·主材</t>
        </is>
      </c>
      <c r="N31" s="17">
        <f>IF($D31="","",IF(ISNA(MATCH($D31,项目名表,0)),"※项目不在项目台账里",IF($F31="※材料类别没选","※材料类别没选",IF(AND($C31&lt;&gt;"",ISNA(MATCH($C31,供应商表,0))),"※供应商不在基础资料里",""))))</f>
        <v/>
      </c>
    </row>
    <row r="32">
      <c r="A32" s="17">
        <f>IF($D32="","",ROW()-3)</f>
        <v/>
      </c>
      <c r="B32" s="18" t="n">
        <v>46082</v>
      </c>
      <c r="C32" s="13" t="n"/>
      <c r="D32" s="13" t="inlineStr">
        <is>
          <t>芭比贝克</t>
        </is>
      </c>
      <c r="E32" s="13" t="inlineStr">
        <is>
          <t>主材</t>
        </is>
      </c>
      <c r="F32" s="17">
        <f>IF($D32="","",IFERROR(VLOOKUP($E32,材料归属,2,0),"※材料类别没选"))</f>
        <v/>
      </c>
      <c r="G32" s="13" t="inlineStr">
        <is>
          <t>软膜</t>
        </is>
      </c>
      <c r="H32" s="13" t="n"/>
      <c r="I32" s="13" t="inlineStr">
        <is>
          <t>m²</t>
        </is>
      </c>
      <c r="J32" s="20" t="n">
        <v>4.2</v>
      </c>
      <c r="K32" s="14" t="n">
        <v>9</v>
      </c>
      <c r="L32" s="19">
        <f>IF($D32="","",ROUND(IF($J32="",1,$J32)*N($K32),2))</f>
        <v/>
      </c>
      <c r="M32" s="13" t="inlineStr">
        <is>
          <t>原表·主材</t>
        </is>
      </c>
      <c r="N32" s="17">
        <f>IF($D32="","",IF(ISNA(MATCH($D32,项目名表,0)),"※项目不在项目台账里",IF($F32="※材料类别没选","※材料类别没选",IF(AND($C32&lt;&gt;"",ISNA(MATCH($C32,供应商表,0))),"※供应商不在基础资料里",""))))</f>
        <v/>
      </c>
    </row>
    <row r="33">
      <c r="A33" s="17">
        <f>IF($D33="","",ROW()-3)</f>
        <v/>
      </c>
      <c r="B33" s="18" t="n">
        <v>46082</v>
      </c>
      <c r="C33" s="13" t="n"/>
      <c r="D33" s="13" t="inlineStr">
        <is>
          <t>芭比贝克</t>
        </is>
      </c>
      <c r="E33" s="13" t="inlineStr">
        <is>
          <t>主材</t>
        </is>
      </c>
      <c r="F33" s="17">
        <f>IF($D33="","",IFERROR(VLOOKUP($E33,材料归属,2,0),"※材料类别没选"))</f>
        <v/>
      </c>
      <c r="G33" s="13" t="inlineStr">
        <is>
          <t>灯条</t>
        </is>
      </c>
      <c r="H33" s="13" t="n"/>
      <c r="I33" s="13" t="inlineStr">
        <is>
          <t>根</t>
        </is>
      </c>
      <c r="J33" s="20" t="n">
        <v>24</v>
      </c>
      <c r="K33" s="14" t="n">
        <v>1.5</v>
      </c>
      <c r="L33" s="19">
        <f>IF($D33="","",ROUND(IF($J33="",1,$J33)*N($K33),2))</f>
        <v/>
      </c>
      <c r="M33" s="13" t="inlineStr">
        <is>
          <t>原表·主材</t>
        </is>
      </c>
      <c r="N33" s="17">
        <f>IF($D33="","",IF(ISNA(MATCH($D33,项目名表,0)),"※项目不在项目台账里",IF($F33="※材料类别没选","※材料类别没选",IF(AND($C33&lt;&gt;"",ISNA(MATCH($C33,供应商表,0))),"※供应商不在基础资料里",""))))</f>
        <v/>
      </c>
    </row>
    <row r="34">
      <c r="A34" s="17">
        <f>IF($D34="","",ROW()-3)</f>
        <v/>
      </c>
      <c r="B34" s="18" t="n">
        <v>46082</v>
      </c>
      <c r="C34" s="13" t="n"/>
      <c r="D34" s="13" t="inlineStr">
        <is>
          <t>芭比贝克</t>
        </is>
      </c>
      <c r="E34" s="13" t="inlineStr">
        <is>
          <t>主材</t>
        </is>
      </c>
      <c r="F34" s="17">
        <f>IF($D34="","",IFERROR(VLOOKUP($E34,材料归属,2,0),"※材料类别没选"))</f>
        <v/>
      </c>
      <c r="G34" s="13" t="inlineStr">
        <is>
          <t>背板</t>
        </is>
      </c>
      <c r="H34" s="13" t="n"/>
      <c r="I34" s="13" t="inlineStr">
        <is>
          <t>张</t>
        </is>
      </c>
      <c r="J34" s="20" t="n">
        <v>2</v>
      </c>
      <c r="K34" s="14" t="n">
        <v>23</v>
      </c>
      <c r="L34" s="19">
        <f>IF($D34="","",ROUND(IF($J34="",1,$J34)*N($K34),2))</f>
        <v/>
      </c>
      <c r="M34" s="13" t="inlineStr">
        <is>
          <t>原表·主材</t>
        </is>
      </c>
      <c r="N34" s="17">
        <f>IF($D34="","",IF(ISNA(MATCH($D34,项目名表,0)),"※项目不在项目台账里",IF($F34="※材料类别没选","※材料类别没选",IF(AND($C34&lt;&gt;"",ISNA(MATCH($C34,供应商表,0))),"※供应商不在基础资料里",""))))</f>
        <v/>
      </c>
    </row>
    <row r="35">
      <c r="A35" s="17">
        <f>IF($D35="","",ROW()-3)</f>
        <v/>
      </c>
      <c r="B35" s="18" t="n">
        <v>46100</v>
      </c>
      <c r="C35" s="13" t="inlineStr">
        <is>
          <t>灯箱哥</t>
        </is>
      </c>
      <c r="D35" s="13" t="inlineStr">
        <is>
          <t>铁柱烧烤店</t>
        </is>
      </c>
      <c r="E35" s="13" t="inlineStr">
        <is>
          <t>主材</t>
        </is>
      </c>
      <c r="F35" s="17">
        <f>IF($D35="","",IFERROR(VLOOKUP($E35,材料归属,2,0),"※材料类别没选"))</f>
        <v/>
      </c>
      <c r="G35" s="13" t="inlineStr">
        <is>
          <t>3m布</t>
        </is>
      </c>
      <c r="H35" s="13" t="n"/>
      <c r="I35" s="13" t="inlineStr">
        <is>
          <t>张</t>
        </is>
      </c>
      <c r="J35" s="20" t="n">
        <v>1</v>
      </c>
      <c r="K35" s="14" t="n">
        <v>741</v>
      </c>
      <c r="L35" s="19">
        <f>IF($D35="","",ROUND(IF($J35="",1,$J35)*N($K35),2))</f>
        <v/>
      </c>
      <c r="M35" s="13" t="inlineStr">
        <is>
          <t>原表·主材</t>
        </is>
      </c>
      <c r="N35" s="17">
        <f>IF($D35="","",IF(ISNA(MATCH($D35,项目名表,0)),"※项目不在项目台账里",IF($F35="※材料类别没选","※材料类别没选",IF(AND($C35&lt;&gt;"",ISNA(MATCH($C35,供应商表,0))),"※供应商不在基础资料里",""))))</f>
        <v/>
      </c>
    </row>
    <row r="36">
      <c r="A36" s="17">
        <f>IF($D36="","",ROW()-3)</f>
        <v/>
      </c>
      <c r="B36" s="18" t="n">
        <v>46100</v>
      </c>
      <c r="C36" s="13" t="n"/>
      <c r="D36" s="13" t="inlineStr">
        <is>
          <t>铁柱烧烤店</t>
        </is>
      </c>
      <c r="E36" s="13" t="inlineStr">
        <is>
          <t>主材</t>
        </is>
      </c>
      <c r="F36" s="17">
        <f>IF($D36="","",IFERROR(VLOOKUP($E36,材料归属,2,0),"※材料类别没选"))</f>
        <v/>
      </c>
      <c r="G36" s="13" t="inlineStr">
        <is>
          <t>2*4方管</t>
        </is>
      </c>
      <c r="H36" s="13" t="n"/>
      <c r="I36" s="13" t="inlineStr">
        <is>
          <t>根</t>
        </is>
      </c>
      <c r="J36" s="20" t="n">
        <v>13</v>
      </c>
      <c r="K36" s="14" t="n">
        <v>28</v>
      </c>
      <c r="L36" s="19">
        <f>IF($D36="","",ROUND(IF($J36="",1,$J36)*N($K36),2))</f>
        <v/>
      </c>
      <c r="M36" s="13" t="inlineStr">
        <is>
          <t>原表·主材</t>
        </is>
      </c>
      <c r="N36" s="17">
        <f>IF($D36="","",IF(ISNA(MATCH($D36,项目名表,0)),"※项目不在项目台账里",IF($F36="※材料类别没选","※材料类别没选",IF(AND($C36&lt;&gt;"",ISNA(MATCH($C36,供应商表,0))),"※供应商不在基础资料里",""))))</f>
        <v/>
      </c>
    </row>
    <row r="37">
      <c r="A37" s="17">
        <f>IF($D37="","",ROW()-3)</f>
        <v/>
      </c>
      <c r="B37" s="18" t="n">
        <v>46100</v>
      </c>
      <c r="C37" s="13" t="n"/>
      <c r="D37" s="13" t="inlineStr">
        <is>
          <t>铁柱烧烤店</t>
        </is>
      </c>
      <c r="E37" s="13" t="inlineStr">
        <is>
          <t>主材</t>
        </is>
      </c>
      <c r="F37" s="17">
        <f>IF($D37="","",IFERROR(VLOOKUP($E37,材料归属,2,0),"※材料类别没选"))</f>
        <v/>
      </c>
      <c r="G37" s="13" t="inlineStr">
        <is>
          <t>3*3方管</t>
        </is>
      </c>
      <c r="H37" s="13" t="n"/>
      <c r="I37" s="13" t="inlineStr">
        <is>
          <t>根</t>
        </is>
      </c>
      <c r="J37" s="20" t="n">
        <v>6</v>
      </c>
      <c r="K37" s="14" t="n">
        <v>25</v>
      </c>
      <c r="L37" s="19">
        <f>IF($D37="","",ROUND(IF($J37="",1,$J37)*N($K37),2))</f>
        <v/>
      </c>
      <c r="M37" s="13" t="inlineStr">
        <is>
          <t>原表·主材</t>
        </is>
      </c>
      <c r="N37" s="17">
        <f>IF($D37="","",IF(ISNA(MATCH($D37,项目名表,0)),"※项目不在项目台账里",IF($F37="※材料类别没选","※材料类别没选",IF(AND($C37&lt;&gt;"",ISNA(MATCH($C37,供应商表,0))),"※供应商不在基础资料里",""))))</f>
        <v/>
      </c>
    </row>
    <row r="38">
      <c r="A38" s="17">
        <f>IF($D38="","",ROW()-3)</f>
        <v/>
      </c>
      <c r="B38" s="18" t="n">
        <v>46100</v>
      </c>
      <c r="C38" s="13" t="n"/>
      <c r="D38" s="13" t="inlineStr">
        <is>
          <t>铁柱烧烤店</t>
        </is>
      </c>
      <c r="E38" s="13" t="inlineStr">
        <is>
          <t>主材</t>
        </is>
      </c>
      <c r="F38" s="17">
        <f>IF($D38="","",IFERROR(VLOOKUP($E38,材料归属,2,0),"※材料类别没选"))</f>
        <v/>
      </c>
      <c r="G38" s="13" t="inlineStr">
        <is>
          <t>3mm铝塑板</t>
        </is>
      </c>
      <c r="H38" s="13" t="n"/>
      <c r="I38" s="13" t="inlineStr">
        <is>
          <t>张</t>
        </is>
      </c>
      <c r="J38" s="20" t="n">
        <v>2</v>
      </c>
      <c r="K38" s="14" t="n">
        <v>65</v>
      </c>
      <c r="L38" s="19">
        <f>IF($D38="","",ROUND(IF($J38="",1,$J38)*N($K38),2))</f>
        <v/>
      </c>
      <c r="M38" s="13" t="inlineStr">
        <is>
          <t>原表·主材</t>
        </is>
      </c>
      <c r="N38" s="17">
        <f>IF($D38="","",IF(ISNA(MATCH($D38,项目名表,0)),"※项目不在项目台账里",IF($F38="※材料类别没选","※材料类别没选",IF(AND($C38&lt;&gt;"",ISNA(MATCH($C38,供应商表,0))),"※供应商不在基础资料里",""))))</f>
        <v/>
      </c>
    </row>
    <row r="39">
      <c r="A39" s="17">
        <f>IF($D39="","",ROW()-3)</f>
        <v/>
      </c>
      <c r="B39" s="18" t="n">
        <v>46100</v>
      </c>
      <c r="C39" s="13" t="n"/>
      <c r="D39" s="13" t="inlineStr">
        <is>
          <t>铁柱烧烤店</t>
        </is>
      </c>
      <c r="E39" s="13" t="inlineStr">
        <is>
          <t>主材</t>
        </is>
      </c>
      <c r="F39" s="17">
        <f>IF($D39="","",IFERROR(VLOOKUP($E39,材料归属,2,0),"※材料类别没选"))</f>
        <v/>
      </c>
      <c r="G39" s="13" t="inlineStr">
        <is>
          <t>不锈钢包边</t>
        </is>
      </c>
      <c r="H39" s="13" t="n"/>
      <c r="I39" s="13" t="inlineStr">
        <is>
          <t>米</t>
        </is>
      </c>
      <c r="J39" s="20" t="n">
        <v>28.42</v>
      </c>
      <c r="K39" s="14" t="n">
        <v>10.1</v>
      </c>
      <c r="L39" s="19">
        <f>IF($D39="","",ROUND(IF($J39="",1,$J39)*N($K39),2))</f>
        <v/>
      </c>
      <c r="M39" s="13" t="inlineStr">
        <is>
          <t>原表·主材</t>
        </is>
      </c>
      <c r="N39" s="17">
        <f>IF($D39="","",IF(ISNA(MATCH($D39,项目名表,0)),"※项目不在项目台账里",IF($F39="※材料类别没选","※材料类别没选",IF(AND($C39&lt;&gt;"",ISNA(MATCH($C39,供应商表,0))),"※供应商不在基础资料里",""))))</f>
        <v/>
      </c>
    </row>
    <row r="40">
      <c r="A40" s="17">
        <f>IF($D40="","",ROW()-3)</f>
        <v/>
      </c>
      <c r="B40" s="18" t="n">
        <v>46100</v>
      </c>
      <c r="C40" s="13" t="n"/>
      <c r="D40" s="13" t="inlineStr">
        <is>
          <t>铁柱烧烤店</t>
        </is>
      </c>
      <c r="E40" s="13" t="inlineStr">
        <is>
          <t>主材</t>
        </is>
      </c>
      <c r="F40" s="17">
        <f>IF($D40="","",IFERROR(VLOOKUP($E40,材料归属,2,0),"※材料类别没选"))</f>
        <v/>
      </c>
      <c r="G40" s="13" t="inlineStr">
        <is>
          <t>防雨区块</t>
        </is>
      </c>
      <c r="H40" s="13" t="n"/>
      <c r="I40" s="13" t="inlineStr">
        <is>
          <t>块</t>
        </is>
      </c>
      <c r="J40" s="20" t="n">
        <v>480</v>
      </c>
      <c r="K40" s="14" t="n">
        <v>1.6</v>
      </c>
      <c r="L40" s="19">
        <f>IF($D40="","",ROUND(IF($J40="",1,$J40)*N($K40),2))</f>
        <v/>
      </c>
      <c r="M40" s="13" t="inlineStr">
        <is>
          <t>原表·主材</t>
        </is>
      </c>
      <c r="N40" s="17">
        <f>IF($D40="","",IF(ISNA(MATCH($D40,项目名表,0)),"※项目不在项目台账里",IF($F40="※材料类别没选","※材料类别没选",IF(AND($C40&lt;&gt;"",ISNA(MATCH($C40,供应商表,0))),"※供应商不在基础资料里",""))))</f>
        <v/>
      </c>
    </row>
    <row r="41">
      <c r="A41" s="17">
        <f>IF($D41="","",ROW()-3)</f>
        <v/>
      </c>
      <c r="B41" s="18" t="n">
        <v>46100</v>
      </c>
      <c r="C41" s="13" t="n"/>
      <c r="D41" s="13" t="inlineStr">
        <is>
          <t>铁柱烧烤店</t>
        </is>
      </c>
      <c r="E41" s="13" t="inlineStr">
        <is>
          <t>主材</t>
        </is>
      </c>
      <c r="F41" s="17">
        <f>IF($D41="","",IFERROR(VLOOKUP($E41,材料归属,2,0),"※材料类别没选"))</f>
        <v/>
      </c>
      <c r="G41" s="13" t="inlineStr">
        <is>
          <t>8mmpvc板</t>
        </is>
      </c>
      <c r="H41" s="13" t="n"/>
      <c r="I41" s="13" t="inlineStr">
        <is>
          <t>张</t>
        </is>
      </c>
      <c r="J41" s="20" t="n">
        <v>8</v>
      </c>
      <c r="K41" s="14" t="n">
        <v>40</v>
      </c>
      <c r="L41" s="19">
        <f>IF($D41="","",ROUND(IF($J41="",1,$J41)*N($K41),2))</f>
        <v/>
      </c>
      <c r="M41" s="13" t="inlineStr">
        <is>
          <t>原表·主材</t>
        </is>
      </c>
      <c r="N41" s="17">
        <f>IF($D41="","",IF(ISNA(MATCH($D41,项目名表,0)),"※项目不在项目台账里",IF($F41="※材料类别没选","※材料类别没选",IF(AND($C41&lt;&gt;"",ISNA(MATCH($C41,供应商表,0))),"※供应商不在基础资料里",""))))</f>
        <v/>
      </c>
    </row>
    <row r="42">
      <c r="A42" s="17">
        <f>IF($D42="","",ROW()-3)</f>
        <v/>
      </c>
      <c r="B42" s="18" t="n">
        <v>46100</v>
      </c>
      <c r="C42" s="13" t="n"/>
      <c r="D42" s="13" t="inlineStr">
        <is>
          <t>铁柱烧烤店</t>
        </is>
      </c>
      <c r="E42" s="13" t="inlineStr">
        <is>
          <t>辅材</t>
        </is>
      </c>
      <c r="F42" s="17">
        <f>IF($D42="","",IFERROR(VLOOKUP($E42,材料归属,2,0),"※材料类别没选"))</f>
        <v/>
      </c>
      <c r="G42" s="13" t="inlineStr">
        <is>
          <t>辅材+车辆</t>
        </is>
      </c>
      <c r="H42" s="13" t="n"/>
      <c r="I42" s="13" t="inlineStr">
        <is>
          <t>趟</t>
        </is>
      </c>
      <c r="J42" s="20" t="n">
        <v>2</v>
      </c>
      <c r="K42" s="14" t="n">
        <v>150</v>
      </c>
      <c r="L42" s="19">
        <f>IF($D42="","",ROUND(IF($J42="",1,$J42)*N($K42),2))</f>
        <v/>
      </c>
      <c r="M42" s="13" t="inlineStr">
        <is>
          <t>原表·辅材</t>
        </is>
      </c>
      <c r="N42" s="17">
        <f>IF($D42="","",IF(ISNA(MATCH($D42,项目名表,0)),"※项目不在项目台账里",IF($F42="※材料类别没选","※材料类别没选",IF(AND($C42&lt;&gt;"",ISNA(MATCH($C42,供应商表,0))),"※供应商不在基础资料里",""))))</f>
        <v/>
      </c>
    </row>
    <row r="43">
      <c r="A43" s="17">
        <f>IF($D43="","",ROW()-3)</f>
        <v/>
      </c>
      <c r="B43" s="18" t="n">
        <v>46084</v>
      </c>
      <c r="C43" s="13" t="inlineStr">
        <is>
          <t>盛世大瑞</t>
        </is>
      </c>
      <c r="D43" s="13" t="inlineStr">
        <is>
          <t>钟管熟食店</t>
        </is>
      </c>
      <c r="E43" s="13" t="inlineStr">
        <is>
          <t>主材</t>
        </is>
      </c>
      <c r="F43" s="17">
        <f>IF($D43="","",IFERROR(VLOOKUP($E43,材料归属,2,0),"※材料类别没选"))</f>
        <v/>
      </c>
      <c r="G43" s="13" t="inlineStr">
        <is>
          <t>发光字</t>
        </is>
      </c>
      <c r="H43" s="13" t="n"/>
      <c r="I43" s="13" t="inlineStr">
        <is>
          <t>套</t>
        </is>
      </c>
      <c r="J43" s="20" t="n">
        <v>1</v>
      </c>
      <c r="K43" s="14" t="n">
        <v>1425</v>
      </c>
      <c r="L43" s="19">
        <f>IF($D43="","",ROUND(IF($J43="",1,$J43)*N($K43),2))</f>
        <v/>
      </c>
      <c r="M43" s="13" t="inlineStr">
        <is>
          <t>原表·主材</t>
        </is>
      </c>
      <c r="N43" s="17">
        <f>IF($D43="","",IF(ISNA(MATCH($D43,项目名表,0)),"※项目不在项目台账里",IF($F43="※材料类别没选","※材料类别没选",IF(AND($C43&lt;&gt;"",ISNA(MATCH($C43,供应商表,0))),"※供应商不在基础资料里",""))))</f>
        <v/>
      </c>
    </row>
    <row r="44">
      <c r="A44" s="17">
        <f>IF($D44="","",ROW()-3)</f>
        <v/>
      </c>
      <c r="B44" s="18" t="n">
        <v>46084</v>
      </c>
      <c r="C44" s="13" t="n"/>
      <c r="D44" s="13" t="inlineStr">
        <is>
          <t>钟管熟食店</t>
        </is>
      </c>
      <c r="E44" s="13" t="inlineStr">
        <is>
          <t>主材</t>
        </is>
      </c>
      <c r="F44" s="17">
        <f>IF($D44="","",IFERROR(VLOOKUP($E44,材料归属,2,0),"※材料类别没选"))</f>
        <v/>
      </c>
      <c r="G44" s="13" t="inlineStr">
        <is>
          <t>铝塑板</t>
        </is>
      </c>
      <c r="H44" s="13" t="n"/>
      <c r="I44" s="13" t="inlineStr">
        <is>
          <t>张</t>
        </is>
      </c>
      <c r="J44" s="20" t="n">
        <v>24</v>
      </c>
      <c r="K44" s="14" t="n">
        <v>90</v>
      </c>
      <c r="L44" s="19">
        <f>IF($D44="","",ROUND(IF($J44="",1,$J44)*N($K44),2))</f>
        <v/>
      </c>
      <c r="M44" s="13" t="inlineStr">
        <is>
          <t>原表·主材</t>
        </is>
      </c>
      <c r="N44" s="17">
        <f>IF($D44="","",IF(ISNA(MATCH($D44,项目名表,0)),"※项目不在项目台账里",IF($F44="※材料类别没选","※材料类别没选",IF(AND($C44&lt;&gt;"",ISNA(MATCH($C44,供应商表,0))),"※供应商不在基础资料里",""))))</f>
        <v/>
      </c>
    </row>
    <row r="45">
      <c r="A45" s="17">
        <f>IF($D45="","",ROW()-3)</f>
        <v/>
      </c>
      <c r="B45" s="18" t="n">
        <v>46084</v>
      </c>
      <c r="C45" s="13" t="n"/>
      <c r="D45" s="13" t="inlineStr">
        <is>
          <t>钟管熟食店</t>
        </is>
      </c>
      <c r="E45" s="13" t="inlineStr">
        <is>
          <t>主材</t>
        </is>
      </c>
      <c r="F45" s="17">
        <f>IF($D45="","",IFERROR(VLOOKUP($E45,材料归属,2,0),"※材料类别没选"))</f>
        <v/>
      </c>
      <c r="G45" s="13" t="inlineStr">
        <is>
          <t>4*4方管</t>
        </is>
      </c>
      <c r="H45" s="13" t="n"/>
      <c r="I45" s="13" t="inlineStr">
        <is>
          <t>根</t>
        </is>
      </c>
      <c r="J45" s="20" t="n">
        <v>6</v>
      </c>
      <c r="K45" s="14" t="n">
        <v>60</v>
      </c>
      <c r="L45" s="19">
        <f>IF($D45="","",ROUND(IF($J45="",1,$J45)*N($K45),2))</f>
        <v/>
      </c>
      <c r="M45" s="13" t="inlineStr">
        <is>
          <t>原表·主材</t>
        </is>
      </c>
      <c r="N45" s="17">
        <f>IF($D45="","",IF(ISNA(MATCH($D45,项目名表,0)),"※项目不在项目台账里",IF($F45="※材料类别没选","※材料类别没选",IF(AND($C45&lt;&gt;"",ISNA(MATCH($C45,供应商表,0))),"※供应商不在基础资料里",""))))</f>
        <v/>
      </c>
    </row>
    <row r="46">
      <c r="A46" s="17">
        <f>IF($D46="","",ROW()-3)</f>
        <v/>
      </c>
      <c r="B46" s="18" t="n">
        <v>46084</v>
      </c>
      <c r="C46" s="13" t="n"/>
      <c r="D46" s="13" t="inlineStr">
        <is>
          <t>钟管熟食店</t>
        </is>
      </c>
      <c r="E46" s="13" t="inlineStr">
        <is>
          <t>主材</t>
        </is>
      </c>
      <c r="F46" s="17">
        <f>IF($D46="","",IFERROR(VLOOKUP($E46,材料归属,2,0),"※材料类别没选"))</f>
        <v/>
      </c>
      <c r="G46" s="13" t="inlineStr">
        <is>
          <t>2*4方管</t>
        </is>
      </c>
      <c r="H46" s="13" t="n"/>
      <c r="I46" s="13" t="n"/>
      <c r="J46" s="20" t="n">
        <v>14</v>
      </c>
      <c r="K46" s="14" t="n">
        <v>28</v>
      </c>
      <c r="L46" s="19">
        <f>IF($D46="","",ROUND(IF($J46="",1,$J46)*N($K46),2))</f>
        <v/>
      </c>
      <c r="M46" s="13" t="inlineStr">
        <is>
          <t>原表·主材</t>
        </is>
      </c>
      <c r="N46" s="17">
        <f>IF($D46="","",IF(ISNA(MATCH($D46,项目名表,0)),"※项目不在项目台账里",IF($F46="※材料类别没选","※材料类别没选",IF(AND($C46&lt;&gt;"",ISNA(MATCH($C46,供应商表,0))),"※供应商不在基础资料里",""))))</f>
        <v/>
      </c>
    </row>
    <row r="47">
      <c r="A47" s="17">
        <f>IF($D47="","",ROW()-3)</f>
        <v/>
      </c>
      <c r="B47" s="18" t="n">
        <v>46084</v>
      </c>
      <c r="C47" s="13" t="n"/>
      <c r="D47" s="13" t="inlineStr">
        <is>
          <t>钟管熟食店</t>
        </is>
      </c>
      <c r="E47" s="13" t="inlineStr">
        <is>
          <t>主材</t>
        </is>
      </c>
      <c r="F47" s="17">
        <f>IF($D47="","",IFERROR(VLOOKUP($E47,材料归属,2,0),"※材料类别没选"))</f>
        <v/>
      </c>
      <c r="G47" s="13" t="inlineStr">
        <is>
          <t>2*4方管</t>
        </is>
      </c>
      <c r="H47" s="13" t="n"/>
      <c r="I47" s="13" t="n"/>
      <c r="J47" s="20" t="n">
        <v>25</v>
      </c>
      <c r="K47" s="14" t="n">
        <v>27</v>
      </c>
      <c r="L47" s="19">
        <f>IF($D47="","",ROUND(IF($J47="",1,$J47)*N($K47),2))</f>
        <v/>
      </c>
      <c r="M47" s="13" t="inlineStr">
        <is>
          <t>原表·主材</t>
        </is>
      </c>
      <c r="N47" s="17">
        <f>IF($D47="","",IF(ISNA(MATCH($D47,项目名表,0)),"※项目不在项目台账里",IF($F47="※材料类别没选","※材料类别没选",IF(AND($C47&lt;&gt;"",ISNA(MATCH($C47,供应商表,0))),"※供应商不在基础资料里",""))))</f>
        <v/>
      </c>
    </row>
    <row r="48">
      <c r="A48" s="17">
        <f>IF($D48="","",ROW()-3)</f>
        <v/>
      </c>
      <c r="B48" s="18" t="n">
        <v>46084</v>
      </c>
      <c r="C48" s="13" t="n"/>
      <c r="D48" s="13" t="inlineStr">
        <is>
          <t>钟管熟食店</t>
        </is>
      </c>
      <c r="E48" s="13" t="inlineStr">
        <is>
          <t>主材</t>
        </is>
      </c>
      <c r="F48" s="17">
        <f>IF($D48="","",IFERROR(VLOOKUP($E48,材料归属,2,0),"※材料类别没选"))</f>
        <v/>
      </c>
      <c r="G48" s="13" t="inlineStr">
        <is>
          <t>3*3方管</t>
        </is>
      </c>
      <c r="H48" s="13" t="n"/>
      <c r="I48" s="13" t="n"/>
      <c r="J48" s="20" t="n">
        <v>10</v>
      </c>
      <c r="K48" s="14" t="n">
        <v>24</v>
      </c>
      <c r="L48" s="19">
        <f>IF($D48="","",ROUND(IF($J48="",1,$J48)*N($K48),2))</f>
        <v/>
      </c>
      <c r="M48" s="13" t="inlineStr">
        <is>
          <t>原表·主材</t>
        </is>
      </c>
      <c r="N48" s="17">
        <f>IF($D48="","",IF(ISNA(MATCH($D48,项目名表,0)),"※项目不在项目台账里",IF($F48="※材料类别没选","※材料类别没选",IF(AND($C48&lt;&gt;"",ISNA(MATCH($C48,供应商表,0))),"※供应商不在基础资料里",""))))</f>
        <v/>
      </c>
    </row>
    <row r="49">
      <c r="A49" s="17">
        <f>IF($D49="","",ROW()-3)</f>
        <v/>
      </c>
      <c r="B49" s="18" t="n">
        <v>46084</v>
      </c>
      <c r="C49" s="13" t="n"/>
      <c r="D49" s="13" t="inlineStr">
        <is>
          <t>钟管熟食店</t>
        </is>
      </c>
      <c r="E49" s="13" t="inlineStr">
        <is>
          <t>主材</t>
        </is>
      </c>
      <c r="F49" s="17">
        <f>IF($D49="","",IFERROR(VLOOKUP($E49,材料归属,2,0),"※材料类别没选"))</f>
        <v/>
      </c>
      <c r="G49" s="13" t="inlineStr">
        <is>
          <t>4*4角码</t>
        </is>
      </c>
      <c r="H49" s="13" t="n"/>
      <c r="I49" s="13" t="inlineStr">
        <is>
          <t>只</t>
        </is>
      </c>
      <c r="J49" s="20" t="n">
        <v>50</v>
      </c>
      <c r="K49" s="14" t="n">
        <v>0.7</v>
      </c>
      <c r="L49" s="19">
        <f>IF($D49="","",ROUND(IF($J49="",1,$J49)*N($K49),2))</f>
        <v/>
      </c>
      <c r="M49" s="13" t="inlineStr">
        <is>
          <t>原表·主材</t>
        </is>
      </c>
      <c r="N49" s="17">
        <f>IF($D49="","",IF(ISNA(MATCH($D49,项目名表,0)),"※项目不在项目台账里",IF($F49="※材料类别没选","※材料类别没选",IF(AND($C49&lt;&gt;"",ISNA(MATCH($C49,供应商表,0))),"※供应商不在基础资料里",""))))</f>
        <v/>
      </c>
    </row>
    <row r="50">
      <c r="A50" s="17">
        <f>IF($D50="","",ROW()-3)</f>
        <v/>
      </c>
      <c r="B50" s="18" t="n">
        <v>46084</v>
      </c>
      <c r="C50" s="13" t="n"/>
      <c r="D50" s="13" t="inlineStr">
        <is>
          <t>钟管熟食店</t>
        </is>
      </c>
      <c r="E50" s="13" t="inlineStr">
        <is>
          <t>主材</t>
        </is>
      </c>
      <c r="F50" s="17">
        <f>IF($D50="","",IFERROR(VLOOKUP($E50,材料归属,2,0),"※材料类别没选"))</f>
        <v/>
      </c>
      <c r="G50" s="13" t="inlineStr">
        <is>
          <t>5*5角码</t>
        </is>
      </c>
      <c r="H50" s="13" t="n"/>
      <c r="I50" s="13" t="inlineStr">
        <is>
          <t>只</t>
        </is>
      </c>
      <c r="J50" s="20" t="n">
        <v>50</v>
      </c>
      <c r="K50" s="14" t="n">
        <v>1</v>
      </c>
      <c r="L50" s="19">
        <f>IF($D50="","",ROUND(IF($J50="",1,$J50)*N($K50),2))</f>
        <v/>
      </c>
      <c r="M50" s="13" t="inlineStr">
        <is>
          <t>原表·主材</t>
        </is>
      </c>
      <c r="N50" s="17">
        <f>IF($D50="","",IF(ISNA(MATCH($D50,项目名表,0)),"※项目不在项目台账里",IF($F50="※材料类别没选","※材料类别没选",IF(AND($C50&lt;&gt;"",ISNA(MATCH($C50,供应商表,0))),"※供应商不在基础资料里",""))))</f>
        <v/>
      </c>
    </row>
    <row r="51">
      <c r="A51" s="17">
        <f>IF($D51="","",ROW()-3)</f>
        <v/>
      </c>
      <c r="B51" s="18" t="n">
        <v>46084</v>
      </c>
      <c r="C51" s="13" t="n"/>
      <c r="D51" s="13" t="inlineStr">
        <is>
          <t>钟管熟食店</t>
        </is>
      </c>
      <c r="E51" s="13" t="inlineStr">
        <is>
          <t>主材</t>
        </is>
      </c>
      <c r="F51" s="17">
        <f>IF($D51="","",IFERROR(VLOOKUP($E51,材料归属,2,0),"※材料类别没选"))</f>
        <v/>
      </c>
      <c r="G51" s="13" t="inlineStr">
        <is>
          <t>超薄灯箱（80*65）</t>
        </is>
      </c>
      <c r="H51" s="13" t="n"/>
      <c r="I51" s="13" t="inlineStr">
        <is>
          <t>块</t>
        </is>
      </c>
      <c r="J51" s="20" t="n">
        <v>6</v>
      </c>
      <c r="K51" s="14" t="n">
        <v>136</v>
      </c>
      <c r="L51" s="19">
        <f>IF($D51="","",ROUND(IF($J51="",1,$J51)*N($K51),2))</f>
        <v/>
      </c>
      <c r="M51" s="13" t="inlineStr">
        <is>
          <t>原表·主材</t>
        </is>
      </c>
      <c r="N51" s="17">
        <f>IF($D51="","",IF(ISNA(MATCH($D51,项目名表,0)),"※项目不在项目台账里",IF($F51="※材料类别没选","※材料类别没选",IF(AND($C51&lt;&gt;"",ISNA(MATCH($C51,供应商表,0))),"※供应商不在基础资料里",""))))</f>
        <v/>
      </c>
    </row>
    <row r="52">
      <c r="A52" s="17">
        <f>IF($D52="","",ROW()-3)</f>
        <v/>
      </c>
      <c r="B52" s="18" t="n">
        <v>46084</v>
      </c>
      <c r="C52" s="13" t="n"/>
      <c r="D52" s="13" t="inlineStr">
        <is>
          <t>钟管熟食店</t>
        </is>
      </c>
      <c r="E52" s="13" t="inlineStr">
        <is>
          <t>辅材</t>
        </is>
      </c>
      <c r="F52" s="17">
        <f>IF($D52="","",IFERROR(VLOOKUP($E52,材料归属,2,0),"※材料类别没选"))</f>
        <v/>
      </c>
      <c r="G52" s="13" t="inlineStr">
        <is>
          <t>筒灯</t>
        </is>
      </c>
      <c r="H52" s="13" t="n"/>
      <c r="I52" s="13" t="inlineStr">
        <is>
          <t>只</t>
        </is>
      </c>
      <c r="J52" s="20" t="n">
        <v>8</v>
      </c>
      <c r="K52" s="14" t="n">
        <v>15</v>
      </c>
      <c r="L52" s="19">
        <f>IF($D52="","",ROUND(IF($J52="",1,$J52)*N($K52),2))</f>
        <v/>
      </c>
      <c r="M52" s="13" t="inlineStr">
        <is>
          <t>原表·辅材</t>
        </is>
      </c>
      <c r="N52" s="17">
        <f>IF($D52="","",IF(ISNA(MATCH($D52,项目名表,0)),"※项目不在项目台账里",IF($F52="※材料类别没选","※材料类别没选",IF(AND($C52&lt;&gt;"",ISNA(MATCH($C52,供应商表,0))),"※供应商不在基础资料里",""))))</f>
        <v/>
      </c>
    </row>
    <row r="53">
      <c r="A53" s="17">
        <f>IF($D53="","",ROW()-3)</f>
        <v/>
      </c>
      <c r="B53" s="18" t="n">
        <v>46084</v>
      </c>
      <c r="C53" s="13" t="n"/>
      <c r="D53" s="13" t="inlineStr">
        <is>
          <t>钟管熟食店</t>
        </is>
      </c>
      <c r="E53" s="13" t="inlineStr">
        <is>
          <t>辅材</t>
        </is>
      </c>
      <c r="F53" s="17">
        <f>IF($D53="","",IFERROR(VLOOKUP($E53,材料归属,2,0),"※材料类别没选"))</f>
        <v/>
      </c>
      <c r="G53" s="13" t="inlineStr">
        <is>
          <t>双面胶</t>
        </is>
      </c>
      <c r="H53" s="13" t="n"/>
      <c r="I53" s="13" t="inlineStr">
        <is>
          <t>箱</t>
        </is>
      </c>
      <c r="J53" s="20" t="n">
        <v>1</v>
      </c>
      <c r="K53" s="14" t="n">
        <v>120</v>
      </c>
      <c r="L53" s="19">
        <f>IF($D53="","",ROUND(IF($J53="",1,$J53)*N($K53),2))</f>
        <v/>
      </c>
      <c r="M53" s="13" t="inlineStr">
        <is>
          <t>原表·辅材</t>
        </is>
      </c>
      <c r="N53" s="17">
        <f>IF($D53="","",IF(ISNA(MATCH($D53,项目名表,0)),"※项目不在项目台账里",IF($F53="※材料类别没选","※材料类别没选",IF(AND($C53&lt;&gt;"",ISNA(MATCH($C53,供应商表,0))),"※供应商不在基础资料里",""))))</f>
        <v/>
      </c>
    </row>
    <row r="54">
      <c r="A54" s="17">
        <f>IF($D54="","",ROW()-3)</f>
        <v/>
      </c>
      <c r="B54" s="18" t="n">
        <v>46084</v>
      </c>
      <c r="C54" s="13" t="n"/>
      <c r="D54" s="13" t="inlineStr">
        <is>
          <t>钟管熟食店</t>
        </is>
      </c>
      <c r="E54" s="13" t="inlineStr">
        <is>
          <t>辅材</t>
        </is>
      </c>
      <c r="F54" s="17">
        <f>IF($D54="","",IFERROR(VLOOKUP($E54,材料归属,2,0),"※材料类别没选"))</f>
        <v/>
      </c>
      <c r="G54" s="13" t="inlineStr">
        <is>
          <t>结构胶</t>
        </is>
      </c>
      <c r="H54" s="13" t="n"/>
      <c r="I54" s="13" t="inlineStr">
        <is>
          <t>箱</t>
        </is>
      </c>
      <c r="J54" s="20" t="n">
        <v>1</v>
      </c>
      <c r="K54" s="14" t="n">
        <v>190</v>
      </c>
      <c r="L54" s="19">
        <f>IF($D54="","",ROUND(IF($J54="",1,$J54)*N($K54),2))</f>
        <v/>
      </c>
      <c r="M54" s="13" t="inlineStr">
        <is>
          <t>原表·辅材</t>
        </is>
      </c>
      <c r="N54" s="17">
        <f>IF($D54="","",IF(ISNA(MATCH($D54,项目名表,0)),"※项目不在项目台账里",IF($F54="※材料类别没选","※材料类别没选",IF(AND($C54&lt;&gt;"",ISNA(MATCH($C54,供应商表,0))),"※供应商不在基础资料里",""))))</f>
        <v/>
      </c>
    </row>
    <row r="55">
      <c r="A55" s="17">
        <f>IF($D55="","",ROW()-3)</f>
        <v/>
      </c>
      <c r="B55" s="18" t="n">
        <v>46084</v>
      </c>
      <c r="C55" s="13" t="n"/>
      <c r="D55" s="13" t="inlineStr">
        <is>
          <t>钟管熟食店</t>
        </is>
      </c>
      <c r="E55" s="13" t="inlineStr">
        <is>
          <t>辅材</t>
        </is>
      </c>
      <c r="F55" s="17">
        <f>IF($D55="","",IFERROR(VLOOKUP($E55,材料归属,2,0),"※材料类别没选"))</f>
        <v/>
      </c>
      <c r="G55" s="13" t="inlineStr">
        <is>
          <t>12防雨电源</t>
        </is>
      </c>
      <c r="H55" s="13" t="n"/>
      <c r="I55" s="13" t="inlineStr">
        <is>
          <t>台</t>
        </is>
      </c>
      <c r="J55" s="20" t="n">
        <v>4</v>
      </c>
      <c r="K55" s="14" t="n">
        <v>30</v>
      </c>
      <c r="L55" s="19">
        <f>IF($D55="","",ROUND(IF($J55="",1,$J55)*N($K55),2))</f>
        <v/>
      </c>
      <c r="M55" s="13" t="inlineStr">
        <is>
          <t>原表·辅材</t>
        </is>
      </c>
      <c r="N55" s="17">
        <f>IF($D55="","",IF(ISNA(MATCH($D55,项目名表,0)),"※项目不在项目台账里",IF($F55="※材料类别没选","※材料类别没选",IF(AND($C55&lt;&gt;"",ISNA(MATCH($C55,供应商表,0))),"※供应商不在基础资料里",""))))</f>
        <v/>
      </c>
    </row>
    <row r="56">
      <c r="A56" s="17">
        <f>IF($D56="","",ROW()-3)</f>
        <v/>
      </c>
      <c r="B56" s="18" t="n">
        <v>46084</v>
      </c>
      <c r="C56" s="13" t="n"/>
      <c r="D56" s="13" t="inlineStr">
        <is>
          <t>钟管熟食店</t>
        </is>
      </c>
      <c r="E56" s="13" t="inlineStr">
        <is>
          <t>辅材</t>
        </is>
      </c>
      <c r="F56" s="17">
        <f>IF($D56="","",IFERROR(VLOOKUP($E56,材料归属,2,0),"※材料类别没选"))</f>
        <v/>
      </c>
      <c r="G56" s="13" t="inlineStr">
        <is>
          <t>24防雨电源</t>
        </is>
      </c>
      <c r="H56" s="13" t="n"/>
      <c r="I56" s="13" t="inlineStr">
        <is>
          <t>台</t>
        </is>
      </c>
      <c r="J56" s="20" t="n">
        <v>2</v>
      </c>
      <c r="K56" s="14" t="n">
        <v>30</v>
      </c>
      <c r="L56" s="19">
        <f>IF($D56="","",ROUND(IF($J56="",1,$J56)*N($K56),2))</f>
        <v/>
      </c>
      <c r="M56" s="13" t="inlineStr">
        <is>
          <t>原表·辅材</t>
        </is>
      </c>
      <c r="N56" s="17">
        <f>IF($D56="","",IF(ISNA(MATCH($D56,项目名表,0)),"※项目不在项目台账里",IF($F56="※材料类别没选","※材料类别没选",IF(AND($C56&lt;&gt;"",ISNA(MATCH($C56,供应商表,0))),"※供应商不在基础资料里",""))))</f>
        <v/>
      </c>
    </row>
    <row r="57">
      <c r="A57" s="17">
        <f>IF($D57="","",ROW()-3)</f>
        <v/>
      </c>
      <c r="B57" s="18" t="n">
        <v>46084</v>
      </c>
      <c r="C57" s="13" t="n"/>
      <c r="D57" s="13" t="inlineStr">
        <is>
          <t>钟管熟食店</t>
        </is>
      </c>
      <c r="E57" s="13" t="inlineStr">
        <is>
          <t>辅材</t>
        </is>
      </c>
      <c r="F57" s="17">
        <f>IF($D57="","",IFERROR(VLOOKUP($E57,材料归属,2,0),"※材料类别没选"))</f>
        <v/>
      </c>
      <c r="G57" s="13" t="inlineStr">
        <is>
          <t>车辆+辅材</t>
        </is>
      </c>
      <c r="H57" s="13" t="n"/>
      <c r="I57" s="13" t="n"/>
      <c r="J57" s="20" t="n">
        <v>2</v>
      </c>
      <c r="K57" s="14" t="n">
        <v>200</v>
      </c>
      <c r="L57" s="19">
        <f>IF($D57="","",ROUND(IF($J57="",1,$J57)*N($K57),2))</f>
        <v/>
      </c>
      <c r="M57" s="13" t="inlineStr">
        <is>
          <t>原表·辅材</t>
        </is>
      </c>
      <c r="N57" s="17">
        <f>IF($D57="","",IF(ISNA(MATCH($D57,项目名表,0)),"※项目不在项目台账里",IF($F57="※材料类别没选","※材料类别没选",IF(AND($C57&lt;&gt;"",ISNA(MATCH($C57,供应商表,0))),"※供应商不在基础资料里",""))))</f>
        <v/>
      </c>
    </row>
    <row r="58">
      <c r="A58" s="17">
        <f>IF($D58="","",ROW()-3)</f>
        <v/>
      </c>
      <c r="B58" s="18" t="n">
        <v>46100</v>
      </c>
      <c r="C58" s="13" t="n"/>
      <c r="D58" s="13" t="inlineStr">
        <is>
          <t>螺有名灯箱门头</t>
        </is>
      </c>
      <c r="E58" s="13" t="inlineStr">
        <is>
          <t>主材</t>
        </is>
      </c>
      <c r="F58" s="17">
        <f>IF($D58="","",IFERROR(VLOOKUP($E58,材料归属,2,0),"※材料类别没选"))</f>
        <v/>
      </c>
      <c r="G58" s="13" t="inlineStr">
        <is>
          <t>7.5CM黑色型材</t>
        </is>
      </c>
      <c r="H58" s="13" t="n"/>
      <c r="I58" s="13" t="inlineStr">
        <is>
          <t>米</t>
        </is>
      </c>
      <c r="J58" s="20" t="n">
        <v>10.9</v>
      </c>
      <c r="K58" s="14" t="n">
        <v>8</v>
      </c>
      <c r="L58" s="19">
        <f>IF($D58="","",ROUND(IF($J58="",1,$J58)*N($K58),2))</f>
        <v/>
      </c>
      <c r="M58" s="13" t="inlineStr">
        <is>
          <t>原表·主材</t>
        </is>
      </c>
      <c r="N58" s="17">
        <f>IF($D58="","",IF(ISNA(MATCH($D58,项目名表,0)),"※项目不在项目台账里",IF($F58="※材料类别没选","※材料类别没选",IF(AND($C58&lt;&gt;"",ISNA(MATCH($C58,供应商表,0))),"※供应商不在基础资料里",""))))</f>
        <v/>
      </c>
    </row>
    <row r="59">
      <c r="A59" s="17">
        <f>IF($D59="","",ROW()-3)</f>
        <v/>
      </c>
      <c r="B59" s="18" t="n">
        <v>46100</v>
      </c>
      <c r="C59" s="13" t="n"/>
      <c r="D59" s="13" t="inlineStr">
        <is>
          <t>螺有名灯箱门头</t>
        </is>
      </c>
      <c r="E59" s="13" t="inlineStr">
        <is>
          <t>主材</t>
        </is>
      </c>
      <c r="F59" s="17">
        <f>IF($D59="","",IFERROR(VLOOKUP($E59,材料归属,2,0),"※材料类别没选"))</f>
        <v/>
      </c>
      <c r="G59" s="13" t="inlineStr">
        <is>
          <t>反光板</t>
        </is>
      </c>
      <c r="H59" s="13" t="n"/>
      <c r="I59" s="13" t="inlineStr">
        <is>
          <t>张</t>
        </is>
      </c>
      <c r="J59" s="20" t="n">
        <v>3</v>
      </c>
      <c r="K59" s="14" t="n">
        <v>20</v>
      </c>
      <c r="L59" s="19">
        <f>IF($D59="","",ROUND(IF($J59="",1,$J59)*N($K59),2))</f>
        <v/>
      </c>
      <c r="M59" s="13" t="inlineStr">
        <is>
          <t>原表·主材</t>
        </is>
      </c>
      <c r="N59" s="17">
        <f>IF($D59="","",IF(ISNA(MATCH($D59,项目名表,0)),"※项目不在项目台账里",IF($F59="※材料类别没选","※材料类别没选",IF(AND($C59&lt;&gt;"",ISNA(MATCH($C59,供应商表,0))),"※供应商不在基础资料里",""))))</f>
        <v/>
      </c>
    </row>
    <row r="60">
      <c r="A60" s="17">
        <f>IF($D60="","",ROW()-3)</f>
        <v/>
      </c>
      <c r="B60" s="18" t="n">
        <v>46100</v>
      </c>
      <c r="C60" s="13" t="n"/>
      <c r="D60" s="13" t="inlineStr">
        <is>
          <t>螺有名灯箱门头</t>
        </is>
      </c>
      <c r="E60" s="13" t="inlineStr">
        <is>
          <t>主材</t>
        </is>
      </c>
      <c r="F60" s="17">
        <f>IF($D60="","",IFERROR(VLOOKUP($E60,材料归属,2,0),"※材料类别没选"))</f>
        <v/>
      </c>
      <c r="G60" s="13" t="inlineStr">
        <is>
          <t>220V防雨灯条</t>
        </is>
      </c>
      <c r="H60" s="13" t="n"/>
      <c r="I60" s="13" t="inlineStr">
        <is>
          <t>条</t>
        </is>
      </c>
      <c r="J60" s="20" t="n">
        <v>36</v>
      </c>
      <c r="K60" s="14" t="n">
        <v>2.4</v>
      </c>
      <c r="L60" s="19">
        <f>IF($D60="","",ROUND(IF($J60="",1,$J60)*N($K60),2))</f>
        <v/>
      </c>
      <c r="M60" s="13" t="inlineStr">
        <is>
          <t>原表·主材</t>
        </is>
      </c>
      <c r="N60" s="17">
        <f>IF($D60="","",IF(ISNA(MATCH($D60,项目名表,0)),"※项目不在项目台账里",IF($F60="※材料类别没选","※材料类别没选",IF(AND($C60&lt;&gt;"",ISNA(MATCH($C60,供应商表,0))),"※供应商不在基础资料里",""))))</f>
        <v/>
      </c>
    </row>
    <row r="61">
      <c r="A61" s="17">
        <f>IF($D61="","",ROW()-3)</f>
        <v/>
      </c>
      <c r="B61" s="18" t="n">
        <v>46100</v>
      </c>
      <c r="C61" s="13" t="inlineStr">
        <is>
          <t>炳秀</t>
        </is>
      </c>
      <c r="D61" s="13" t="inlineStr">
        <is>
          <t>螺有名灯箱门头</t>
        </is>
      </c>
      <c r="E61" s="13" t="inlineStr">
        <is>
          <t>主材</t>
        </is>
      </c>
      <c r="F61" s="17">
        <f>IF($D61="","",IFERROR(VLOOKUP($E61,材料归属,2,0),"※材料类别没选"))</f>
        <v/>
      </c>
      <c r="G61" s="13" t="inlineStr">
        <is>
          <t>软膜</t>
        </is>
      </c>
      <c r="H61" s="13" t="n"/>
      <c r="I61" s="13" t="inlineStr">
        <is>
          <t>张</t>
        </is>
      </c>
      <c r="J61" s="20" t="n">
        <v>1</v>
      </c>
      <c r="K61" s="14" t="n">
        <v>59</v>
      </c>
      <c r="L61" s="19">
        <f>IF($D61="","",ROUND(IF($J61="",1,$J61)*N($K61),2))</f>
        <v/>
      </c>
      <c r="M61" s="13" t="inlineStr">
        <is>
          <t>原表·主材</t>
        </is>
      </c>
      <c r="N61" s="17">
        <f>IF($D61="","",IF(ISNA(MATCH($D61,项目名表,0)),"※项目不在项目台账里",IF($F61="※材料类别没选","※材料类别没选",IF(AND($C61&lt;&gt;"",ISNA(MATCH($C61,供应商表,0))),"※供应商不在基础资料里",""))))</f>
        <v/>
      </c>
    </row>
    <row r="62">
      <c r="A62" s="17">
        <f>IF($D62="","",ROW()-3)</f>
        <v/>
      </c>
      <c r="B62" s="18" t="n">
        <v>46100</v>
      </c>
      <c r="C62" s="13" t="n"/>
      <c r="D62" s="13" t="inlineStr">
        <is>
          <t>螺有名灯箱门头</t>
        </is>
      </c>
      <c r="E62" s="13" t="inlineStr">
        <is>
          <t>辅材</t>
        </is>
      </c>
      <c r="F62" s="17">
        <f>IF($D62="","",IFERROR(VLOOKUP($E62,材料归属,2,0),"※材料类别没选"))</f>
        <v/>
      </c>
      <c r="G62" s="13" t="inlineStr">
        <is>
          <t>辅材+车辆</t>
        </is>
      </c>
      <c r="H62" s="13" t="n"/>
      <c r="I62" s="13" t="inlineStr">
        <is>
          <t>趟</t>
        </is>
      </c>
      <c r="J62" s="20" t="n">
        <v>1</v>
      </c>
      <c r="K62" s="14" t="n">
        <v>100</v>
      </c>
      <c r="L62" s="19">
        <f>IF($D62="","",ROUND(IF($J62="",1,$J62)*N($K62),2))</f>
        <v/>
      </c>
      <c r="M62" s="13" t="inlineStr">
        <is>
          <t>原表·辅材</t>
        </is>
      </c>
      <c r="N62" s="17">
        <f>IF($D62="","",IF(ISNA(MATCH($D62,项目名表,0)),"※项目不在项目台账里",IF($F62="※材料类别没选","※材料类别没选",IF(AND($C62&lt;&gt;"",ISNA(MATCH($C62,供应商表,0))),"※供应商不在基础资料里",""))))</f>
        <v/>
      </c>
    </row>
    <row r="63">
      <c r="A63" s="17">
        <f>IF($D63="","",ROW()-3)</f>
        <v/>
      </c>
      <c r="B63" s="18" t="n">
        <v>46102</v>
      </c>
      <c r="C63" s="13" t="n"/>
      <c r="D63" s="13" t="inlineStr">
        <is>
          <t>汕味杏花室内项目</t>
        </is>
      </c>
      <c r="E63" s="13" t="inlineStr">
        <is>
          <t>主材</t>
        </is>
      </c>
      <c r="F63" s="17">
        <f>IF($D63="","",IFERROR(VLOOKUP($E63,材料归属,2,0),"※材料类别没选"))</f>
        <v/>
      </c>
      <c r="G63" s="13" t="inlineStr">
        <is>
          <t>6.5cm黑色室内软膜灯箱型材</t>
        </is>
      </c>
      <c r="H63" s="13" t="n"/>
      <c r="I63" s="13" t="inlineStr">
        <is>
          <t>米</t>
        </is>
      </c>
      <c r="J63" s="20" t="n">
        <v>30.1</v>
      </c>
      <c r="K63" s="14" t="n">
        <v>10</v>
      </c>
      <c r="L63" s="19">
        <f>IF($D63="","",ROUND(IF($J63="",1,$J63)*N($K63),2))</f>
        <v/>
      </c>
      <c r="M63" s="13" t="inlineStr">
        <is>
          <t>原表·主材</t>
        </is>
      </c>
      <c r="N63" s="17">
        <f>IF($D63="","",IF(ISNA(MATCH($D63,项目名表,0)),"※项目不在项目台账里",IF($F63="※材料类别没选","※材料类别没选",IF(AND($C63&lt;&gt;"",ISNA(MATCH($C63,供应商表,0))),"※供应商不在基础资料里",""))))</f>
        <v/>
      </c>
    </row>
    <row r="64">
      <c r="A64" s="17">
        <f>IF($D64="","",ROW()-3)</f>
        <v/>
      </c>
      <c r="B64" s="18" t="n">
        <v>46102</v>
      </c>
      <c r="C64" s="13" t="n"/>
      <c r="D64" s="13" t="inlineStr">
        <is>
          <t>汕味杏花室内项目</t>
        </is>
      </c>
      <c r="E64" s="13" t="inlineStr">
        <is>
          <t>主材</t>
        </is>
      </c>
      <c r="F64" s="17">
        <f>IF($D64="","",IFERROR(VLOOKUP($E64,材料归属,2,0),"※材料类别没选"))</f>
        <v/>
      </c>
      <c r="G64" s="13" t="inlineStr">
        <is>
          <t>发光字</t>
        </is>
      </c>
      <c r="H64" s="13" t="n"/>
      <c r="I64" s="13" t="inlineStr">
        <is>
          <t>套</t>
        </is>
      </c>
      <c r="J64" s="20" t="n">
        <v>1</v>
      </c>
      <c r="K64" s="14" t="n">
        <v>705</v>
      </c>
      <c r="L64" s="19">
        <f>IF($D64="","",ROUND(IF($J64="",1,$J64)*N($K64),2))</f>
        <v/>
      </c>
      <c r="M64" s="13" t="inlineStr">
        <is>
          <t>原表·主材</t>
        </is>
      </c>
      <c r="N64" s="17">
        <f>IF($D64="","",IF(ISNA(MATCH($D64,项目名表,0)),"※项目不在项目台账里",IF($F64="※材料类别没选","※材料类别没选",IF(AND($C64&lt;&gt;"",ISNA(MATCH($C64,供应商表,0))),"※供应商不在基础资料里",""))))</f>
        <v/>
      </c>
    </row>
    <row r="65">
      <c r="A65" s="17">
        <f>IF($D65="","",ROW()-3)</f>
        <v/>
      </c>
      <c r="B65" s="18" t="n">
        <v>46102</v>
      </c>
      <c r="C65" s="13" t="n"/>
      <c r="D65" s="13" t="inlineStr">
        <is>
          <t>汕味杏花室内项目</t>
        </is>
      </c>
      <c r="E65" s="13" t="inlineStr">
        <is>
          <t>主材</t>
        </is>
      </c>
      <c r="F65" s="17">
        <f>IF($D65="","",IFERROR(VLOOKUP($E65,材料归属,2,0),"※材料类别没选"))</f>
        <v/>
      </c>
      <c r="G65" s="13" t="inlineStr">
        <is>
          <t>软膜</t>
        </is>
      </c>
      <c r="H65" s="13" t="n"/>
      <c r="I65" s="13" t="inlineStr">
        <is>
          <t>m²</t>
        </is>
      </c>
      <c r="J65" s="20" t="n">
        <v>1</v>
      </c>
      <c r="K65" s="14" t="n">
        <v>48</v>
      </c>
      <c r="L65" s="19">
        <f>IF($D65="","",ROUND(IF($J65="",1,$J65)*N($K65),2))</f>
        <v/>
      </c>
      <c r="M65" s="13" t="inlineStr">
        <is>
          <t>原表·主材　原表数量0.0×单价117.0，与金额对不上，已按金额入账</t>
        </is>
      </c>
      <c r="N65" s="17">
        <f>IF($D65="","",IF(ISNA(MATCH($D65,项目名表,0)),"※项目不在项目台账里",IF($F65="※材料类别没选","※材料类别没选",IF(AND($C65&lt;&gt;"",ISNA(MATCH($C65,供应商表,0))),"※供应商不在基础资料里",""))))</f>
        <v/>
      </c>
    </row>
    <row r="66">
      <c r="A66" s="17">
        <f>IF($D66="","",ROW()-3)</f>
        <v/>
      </c>
      <c r="B66" s="18" t="n">
        <v>46102</v>
      </c>
      <c r="C66" s="13" t="n"/>
      <c r="D66" s="13" t="inlineStr">
        <is>
          <t>汕味杏花室内项目</t>
        </is>
      </c>
      <c r="E66" s="13" t="inlineStr">
        <is>
          <t>主材</t>
        </is>
      </c>
      <c r="F66" s="17">
        <f>IF($D66="","",IFERROR(VLOOKUP($E66,材料归属,2,0),"※材料类别没选"))</f>
        <v/>
      </c>
      <c r="G66" s="13" t="inlineStr">
        <is>
          <t>室外亚克力灯箱</t>
        </is>
      </c>
      <c r="H66" s="13" t="n"/>
      <c r="I66" s="13" t="inlineStr">
        <is>
          <t>套</t>
        </is>
      </c>
      <c r="J66" s="20" t="n">
        <v>1</v>
      </c>
      <c r="K66" s="14" t="n">
        <v>740</v>
      </c>
      <c r="L66" s="19">
        <f>IF($D66="","",ROUND(IF($J66="",1,$J66)*N($K66),2))</f>
        <v/>
      </c>
      <c r="M66" s="13" t="inlineStr">
        <is>
          <t>原表·主材　原表数量2.0×单价740.0，与金额对不上，已按金额入账</t>
        </is>
      </c>
      <c r="N66" s="17">
        <f>IF($D66="","",IF(ISNA(MATCH($D66,项目名表,0)),"※项目不在项目台账里",IF($F66="※材料类别没选","※材料类别没选",IF(AND($C66&lt;&gt;"",ISNA(MATCH($C66,供应商表,0))),"※供应商不在基础资料里",""))))</f>
        <v/>
      </c>
    </row>
    <row r="67">
      <c r="A67" s="17">
        <f>IF($D67="","",ROW()-3)</f>
        <v/>
      </c>
      <c r="B67" s="18" t="n">
        <v>46102</v>
      </c>
      <c r="C67" s="13" t="n"/>
      <c r="D67" s="13" t="inlineStr">
        <is>
          <t>汕味杏花室内项目</t>
        </is>
      </c>
      <c r="E67" s="13" t="inlineStr">
        <is>
          <t>主材</t>
        </is>
      </c>
      <c r="F67" s="17">
        <f>IF($D67="","",IFERROR(VLOOKUP($E67,材料归属,2,0),"※材料类别没选"))</f>
        <v/>
      </c>
      <c r="G67" s="13" t="inlineStr">
        <is>
          <t>PVC板</t>
        </is>
      </c>
      <c r="H67" s="13" t="n"/>
      <c r="I67" s="13" t="inlineStr">
        <is>
          <t>块</t>
        </is>
      </c>
      <c r="J67" s="20" t="n">
        <v>7</v>
      </c>
      <c r="K67" s="14" t="n">
        <v>25</v>
      </c>
      <c r="L67" s="19">
        <f>IF($D67="","",ROUND(IF($J67="",1,$J67)*N($K67),2))</f>
        <v/>
      </c>
      <c r="M67" s="13" t="inlineStr">
        <is>
          <t>原表·主材</t>
        </is>
      </c>
      <c r="N67" s="17">
        <f>IF($D67="","",IF(ISNA(MATCH($D67,项目名表,0)),"※项目不在项目台账里",IF($F67="※材料类别没选","※材料类别没选",IF(AND($C67&lt;&gt;"",ISNA(MATCH($C67,供应商表,0))),"※供应商不在基础资料里",""))))</f>
        <v/>
      </c>
    </row>
    <row r="68">
      <c r="A68" s="17">
        <f>IF($D68="","",ROW()-3)</f>
        <v/>
      </c>
      <c r="B68" s="18" t="n">
        <v>46102</v>
      </c>
      <c r="C68" s="13" t="n"/>
      <c r="D68" s="13" t="inlineStr">
        <is>
          <t>汕味杏花室内项目</t>
        </is>
      </c>
      <c r="E68" s="13" t="inlineStr">
        <is>
          <t>主材</t>
        </is>
      </c>
      <c r="F68" s="17">
        <f>IF($D68="","",IFERROR(VLOOKUP($E68,材料归属,2,0),"※材料类别没选"))</f>
        <v/>
      </c>
      <c r="G68" s="13" t="inlineStr">
        <is>
          <t>2.2mm亚克力覆8mm雪弗板</t>
        </is>
      </c>
      <c r="H68" s="13" t="n"/>
      <c r="I68" s="13" t="n"/>
      <c r="J68" s="20" t="n">
        <v>1</v>
      </c>
      <c r="K68" s="14" t="n">
        <v>681</v>
      </c>
      <c r="L68" s="19">
        <f>IF($D68="","",ROUND(IF($J68="",1,$J68)*N($K68),2))</f>
        <v/>
      </c>
      <c r="M68" s="13" t="inlineStr">
        <is>
          <t>原表·主材</t>
        </is>
      </c>
      <c r="N68" s="17">
        <f>IF($D68="","",IF(ISNA(MATCH($D68,项目名表,0)),"※项目不在项目台账里",IF($F68="※材料类别没选","※材料类别没选",IF(AND($C68&lt;&gt;"",ISNA(MATCH($C68,供应商表,0))),"※供应商不在基础资料里",""))))</f>
        <v/>
      </c>
    </row>
    <row r="69">
      <c r="A69" s="17">
        <f>IF($D69="","",ROW()-3)</f>
        <v/>
      </c>
      <c r="B69" s="18" t="n">
        <v>46102</v>
      </c>
      <c r="C69" s="13" t="n"/>
      <c r="D69" s="13" t="inlineStr">
        <is>
          <t>汕味杏花室内项目</t>
        </is>
      </c>
      <c r="E69" s="13" t="inlineStr">
        <is>
          <t>主材</t>
        </is>
      </c>
      <c r="F69" s="17">
        <f>IF($D69="","",IFERROR(VLOOKUP($E69,材料归属,2,0),"※材料类别没选"))</f>
        <v/>
      </c>
      <c r="G69" s="13" t="inlineStr">
        <is>
          <t>2.2mm亚克力覆8mm雪弗板</t>
        </is>
      </c>
      <c r="H69" s="13" t="n"/>
      <c r="I69" s="13" t="n"/>
      <c r="J69" s="20" t="n">
        <v>1</v>
      </c>
      <c r="K69" s="14" t="n">
        <v>35.2</v>
      </c>
      <c r="L69" s="19">
        <f>IF($D69="","",ROUND(IF($J69="",1,$J69)*N($K69),2))</f>
        <v/>
      </c>
      <c r="M69" s="13" t="inlineStr">
        <is>
          <t>原表·主材</t>
        </is>
      </c>
      <c r="N69" s="17">
        <f>IF($D69="","",IF(ISNA(MATCH($D69,项目名表,0)),"※项目不在项目台账里",IF($F69="※材料类别没选","※材料类别没选",IF(AND($C69&lt;&gt;"",ISNA(MATCH($C69,供应商表,0))),"※供应商不在基础资料里",""))))</f>
        <v/>
      </c>
    </row>
    <row r="70">
      <c r="A70" s="17">
        <f>IF($D70="","",ROW()-3)</f>
        <v/>
      </c>
      <c r="B70" s="18" t="n">
        <v>46102</v>
      </c>
      <c r="C70" s="13" t="n"/>
      <c r="D70" s="13" t="inlineStr">
        <is>
          <t>汕味杏花室内项目</t>
        </is>
      </c>
      <c r="E70" s="13" t="inlineStr">
        <is>
          <t>主材</t>
        </is>
      </c>
      <c r="F70" s="17">
        <f>IF($D70="","",IFERROR(VLOOKUP($E70,材料归属,2,0),"※材料类别没选"))</f>
        <v/>
      </c>
      <c r="G70" s="13" t="inlineStr">
        <is>
          <t>写真</t>
        </is>
      </c>
      <c r="H70" s="13" t="n"/>
      <c r="I70" s="13" t="n"/>
      <c r="J70" s="20" t="n">
        <v>2</v>
      </c>
      <c r="K70" s="14" t="n">
        <v>6.24</v>
      </c>
      <c r="L70" s="19">
        <f>IF($D70="","",ROUND(IF($J70="",1,$J70)*N($K70),2))</f>
        <v/>
      </c>
      <c r="M70" s="13" t="inlineStr">
        <is>
          <t>原表·主材</t>
        </is>
      </c>
      <c r="N70" s="17">
        <f>IF($D70="","",IF(ISNA(MATCH($D70,项目名表,0)),"※项目不在项目台账里",IF($F70="※材料类别没选","※材料类别没选",IF(AND($C70&lt;&gt;"",ISNA(MATCH($C70,供应商表,0))),"※供应商不在基础资料里",""))))</f>
        <v/>
      </c>
    </row>
    <row r="71">
      <c r="A71" s="17">
        <f>IF($D71="","",ROW()-3)</f>
        <v/>
      </c>
      <c r="B71" s="18" t="n">
        <v>46102</v>
      </c>
      <c r="C71" s="13" t="n"/>
      <c r="D71" s="13" t="inlineStr">
        <is>
          <t>汕味杏花室内项目</t>
        </is>
      </c>
      <c r="E71" s="13" t="inlineStr">
        <is>
          <t>主材</t>
        </is>
      </c>
      <c r="F71" s="17">
        <f>IF($D71="","",IFERROR(VLOOKUP($E71,材料归属,2,0),"※材料类别没选"))</f>
        <v/>
      </c>
      <c r="G71" s="13" t="inlineStr">
        <is>
          <t>写真</t>
        </is>
      </c>
      <c r="H71" s="13" t="n"/>
      <c r="I71" s="13" t="n"/>
      <c r="J71" s="20" t="n">
        <v>2</v>
      </c>
      <c r="K71" s="14" t="n">
        <v>30</v>
      </c>
      <c r="L71" s="19">
        <f>IF($D71="","",ROUND(IF($J71="",1,$J71)*N($K71),2))</f>
        <v/>
      </c>
      <c r="M71" s="13" t="inlineStr">
        <is>
          <t>原表·主材</t>
        </is>
      </c>
      <c r="N71" s="17">
        <f>IF($D71="","",IF(ISNA(MATCH($D71,项目名表,0)),"※项目不在项目台账里",IF($F71="※材料类别没选","※材料类别没选",IF(AND($C71&lt;&gt;"",ISNA(MATCH($C71,供应商表,0))),"※供应商不在基础资料里",""))))</f>
        <v/>
      </c>
    </row>
    <row r="72">
      <c r="A72" s="17">
        <f>IF($D72="","",ROW()-3)</f>
        <v/>
      </c>
      <c r="B72" s="18" t="n">
        <v>46102</v>
      </c>
      <c r="C72" s="13" t="n"/>
      <c r="D72" s="13" t="inlineStr">
        <is>
          <t>汕味杏花室内项目</t>
        </is>
      </c>
      <c r="E72" s="13" t="inlineStr">
        <is>
          <t>辅材</t>
        </is>
      </c>
      <c r="F72" s="17">
        <f>IF($D72="","",IFERROR(VLOOKUP($E72,材料归属,2,0),"※材料类别没选"))</f>
        <v/>
      </c>
      <c r="G72" s="13" t="inlineStr">
        <is>
          <t>车辆+辅材</t>
        </is>
      </c>
      <c r="H72" s="13" t="n"/>
      <c r="I72" s="13" t="inlineStr">
        <is>
          <t>趟</t>
        </is>
      </c>
      <c r="J72" s="20" t="n">
        <v>2</v>
      </c>
      <c r="K72" s="14" t="n">
        <v>100</v>
      </c>
      <c r="L72" s="19">
        <f>IF($D72="","",ROUND(IF($J72="",1,$J72)*N($K72),2))</f>
        <v/>
      </c>
      <c r="M72" s="13" t="inlineStr">
        <is>
          <t>原表·辅材</t>
        </is>
      </c>
      <c r="N72" s="17">
        <f>IF($D72="","",IF(ISNA(MATCH($D72,项目名表,0)),"※项目不在项目台账里",IF($F72="※材料类别没选","※材料类别没选",IF(AND($C72&lt;&gt;"",ISNA(MATCH($C72,供应商表,0))),"※供应商不在基础资料里",""))))</f>
        <v/>
      </c>
    </row>
    <row r="73">
      <c r="A73" s="17">
        <f>IF($D73="","",ROW()-3)</f>
        <v/>
      </c>
      <c r="B73" s="18" t="n">
        <v>46102</v>
      </c>
      <c r="C73" s="13" t="n"/>
      <c r="D73" s="13" t="inlineStr">
        <is>
          <t>汕味杏花室内项目</t>
        </is>
      </c>
      <c r="E73" s="13" t="inlineStr">
        <is>
          <t>辅材</t>
        </is>
      </c>
      <c r="F73" s="17">
        <f>IF($D73="","",IFERROR(VLOOKUP($E73,材料归属,2,0),"※材料类别没选"))</f>
        <v/>
      </c>
      <c r="G73" s="13" t="inlineStr">
        <is>
          <t>室内灯条</t>
        </is>
      </c>
      <c r="H73" s="13" t="n"/>
      <c r="I73" s="13" t="inlineStr">
        <is>
          <t>条</t>
        </is>
      </c>
      <c r="J73" s="20" t="n">
        <v>75</v>
      </c>
      <c r="K73" s="14" t="n">
        <v>1.65</v>
      </c>
      <c r="L73" s="19">
        <f>IF($D73="","",ROUND(IF($J73="",1,$J73)*N($K73),2))</f>
        <v/>
      </c>
      <c r="M73" s="13" t="inlineStr">
        <is>
          <t>原表·辅材</t>
        </is>
      </c>
      <c r="N73" s="17">
        <f>IF($D73="","",IF(ISNA(MATCH($D73,项目名表,0)),"※项目不在项目台账里",IF($F73="※材料类别没选","※材料类别没选",IF(AND($C73&lt;&gt;"",ISNA(MATCH($C73,供应商表,0))),"※供应商不在基础资料里",""))))</f>
        <v/>
      </c>
    </row>
    <row r="74">
      <c r="A74" s="17">
        <f>IF($D74="","",ROW()-3)</f>
        <v/>
      </c>
      <c r="B74" s="18" t="n">
        <v>46102</v>
      </c>
      <c r="C74" s="13" t="n"/>
      <c r="D74" s="13" t="inlineStr">
        <is>
          <t>汕味杏花室内项目</t>
        </is>
      </c>
      <c r="E74" s="13" t="inlineStr">
        <is>
          <t>辅材</t>
        </is>
      </c>
      <c r="F74" s="17">
        <f>IF($D74="","",IFERROR(VLOOKUP($E74,材料归属,2,0),"※材料类别没选"))</f>
        <v/>
      </c>
      <c r="G74" s="13" t="inlineStr">
        <is>
          <t>12v室内电源</t>
        </is>
      </c>
      <c r="H74" s="13" t="n"/>
      <c r="I74" s="13" t="inlineStr">
        <is>
          <t>块</t>
        </is>
      </c>
      <c r="J74" s="20" t="n">
        <v>1</v>
      </c>
      <c r="K74" s="14" t="n">
        <v>30</v>
      </c>
      <c r="L74" s="19">
        <f>IF($D74="","",ROUND(IF($J74="",1,$J74)*N($K74),2))</f>
        <v/>
      </c>
      <c r="M74" s="13" t="inlineStr">
        <is>
          <t>原表·辅材</t>
        </is>
      </c>
      <c r="N74" s="17">
        <f>IF($D74="","",IF(ISNA(MATCH($D74,项目名表,0)),"※项目不在项目台账里",IF($F74="※材料类别没选","※材料类别没选",IF(AND($C74&lt;&gt;"",ISNA(MATCH($C74,供应商表,0))),"※供应商不在基础资料里",""))))</f>
        <v/>
      </c>
    </row>
    <row r="75">
      <c r="A75" s="17">
        <f>IF($D75="","",ROW()-3)</f>
        <v/>
      </c>
      <c r="B75" s="18" t="n">
        <v>46102</v>
      </c>
      <c r="C75" s="13" t="n"/>
      <c r="D75" s="13" t="inlineStr">
        <is>
          <t>汕味杏花室内项目</t>
        </is>
      </c>
      <c r="E75" s="13" t="inlineStr">
        <is>
          <t>辅材</t>
        </is>
      </c>
      <c r="F75" s="17">
        <f>IF($D75="","",IFERROR(VLOOKUP($E75,材料归属,2,0),"※材料类别没选"))</f>
        <v/>
      </c>
      <c r="G75" s="13" t="inlineStr">
        <is>
          <t>腰条</t>
        </is>
      </c>
      <c r="H75" s="13" t="n"/>
      <c r="I75" s="13" t="inlineStr">
        <is>
          <t>米</t>
        </is>
      </c>
      <c r="J75" s="20" t="n">
        <v>1</v>
      </c>
      <c r="K75" s="14" t="n">
        <v>48</v>
      </c>
      <c r="L75" s="19">
        <f>IF($D75="","",ROUND(IF($J75="",1,$J75)*N($K75),2))</f>
        <v/>
      </c>
      <c r="M75" s="13" t="inlineStr">
        <is>
          <t>原表·辅材</t>
        </is>
      </c>
      <c r="N75" s="17">
        <f>IF($D75="","",IF(ISNA(MATCH($D75,项目名表,0)),"※项目不在项目台账里",IF($F75="※材料类别没选","※材料类别没选",IF(AND($C75&lt;&gt;"",ISNA(MATCH($C75,供应商表,0))),"※供应商不在基础资料里",""))))</f>
        <v/>
      </c>
    </row>
    <row r="76">
      <c r="A76" s="17">
        <f>IF($D76="","",ROW()-3)</f>
        <v/>
      </c>
      <c r="B76" s="18" t="n">
        <v>46086</v>
      </c>
      <c r="C76" s="13" t="n"/>
      <c r="D76" s="13" t="inlineStr">
        <is>
          <t>双林面馆-滨河路</t>
        </is>
      </c>
      <c r="E76" s="13" t="inlineStr">
        <is>
          <t>主材</t>
        </is>
      </c>
      <c r="F76" s="17">
        <f>IF($D76="","",IFERROR(VLOOKUP($E76,材料归属,2,0),"※材料类别没选"))</f>
        <v/>
      </c>
      <c r="G76" s="13" t="inlineStr">
        <is>
          <t>7.5黑色型材</t>
        </is>
      </c>
      <c r="H76" s="13" t="n"/>
      <c r="I76" s="13" t="inlineStr">
        <is>
          <t>米</t>
        </is>
      </c>
      <c r="J76" s="20" t="n">
        <v>28.94</v>
      </c>
      <c r="K76" s="14" t="n">
        <v>10</v>
      </c>
      <c r="L76" s="19">
        <f>IF($D76="","",ROUND(IF($J76="",1,$J76)*N($K76),2))</f>
        <v/>
      </c>
      <c r="M76" s="13" t="inlineStr">
        <is>
          <t>原表·主材</t>
        </is>
      </c>
      <c r="N76" s="17">
        <f>IF($D76="","",IF(ISNA(MATCH($D76,项目名表,0)),"※项目不在项目台账里",IF($F76="※材料类别没选","※材料类别没选",IF(AND($C76&lt;&gt;"",ISNA(MATCH($C76,供应商表,0))),"※供应商不在基础资料里",""))))</f>
        <v/>
      </c>
    </row>
    <row r="77">
      <c r="A77" s="17">
        <f>IF($D77="","",ROW()-3)</f>
        <v/>
      </c>
      <c r="B77" s="18" t="n">
        <v>46086</v>
      </c>
      <c r="C77" s="13" t="n"/>
      <c r="D77" s="13" t="inlineStr">
        <is>
          <t>双林面馆-滨河路</t>
        </is>
      </c>
      <c r="E77" s="13" t="inlineStr">
        <is>
          <t>主材</t>
        </is>
      </c>
      <c r="F77" s="17">
        <f>IF($D77="","",IFERROR(VLOOKUP($E77,材料归属,2,0),"※材料类别没选"))</f>
        <v/>
      </c>
      <c r="G77" s="13" t="inlineStr">
        <is>
          <t>2.5*2.5钢管</t>
        </is>
      </c>
      <c r="H77" s="13" t="n"/>
      <c r="I77" s="13" t="inlineStr">
        <is>
          <t>根</t>
        </is>
      </c>
      <c r="J77" s="20" t="n">
        <v>5</v>
      </c>
      <c r="K77" s="14" t="n">
        <v>19</v>
      </c>
      <c r="L77" s="19">
        <f>IF($D77="","",ROUND(IF($J77="",1,$J77)*N($K77),2))</f>
        <v/>
      </c>
      <c r="M77" s="13" t="inlineStr">
        <is>
          <t>原表·主材</t>
        </is>
      </c>
      <c r="N77" s="17">
        <f>IF($D77="","",IF(ISNA(MATCH($D77,项目名表,0)),"※项目不在项目台账里",IF($F77="※材料类别没选","※材料类别没选",IF(AND($C77&lt;&gt;"",ISNA(MATCH($C77,供应商表,0))),"※供应商不在基础资料里",""))))</f>
        <v/>
      </c>
    </row>
    <row r="78">
      <c r="A78" s="17">
        <f>IF($D78="","",ROW()-3)</f>
        <v/>
      </c>
      <c r="B78" s="18" t="n">
        <v>46086</v>
      </c>
      <c r="C78" s="13" t="n"/>
      <c r="D78" s="13" t="inlineStr">
        <is>
          <t>双林面馆-滨河路</t>
        </is>
      </c>
      <c r="E78" s="13" t="inlineStr">
        <is>
          <t>主材</t>
        </is>
      </c>
      <c r="F78" s="17">
        <f>IF($D78="","",IFERROR(VLOOKUP($E78,材料归属,2,0),"※材料类别没选"))</f>
        <v/>
      </c>
      <c r="G78" s="13" t="inlineStr">
        <is>
          <t>背板</t>
        </is>
      </c>
      <c r="H78" s="13" t="n"/>
      <c r="I78" s="13" t="inlineStr">
        <is>
          <t>张</t>
        </is>
      </c>
      <c r="J78" s="20" t="n">
        <v>5</v>
      </c>
      <c r="K78" s="14" t="n">
        <v>20</v>
      </c>
      <c r="L78" s="19">
        <f>IF($D78="","",ROUND(IF($J78="",1,$J78)*N($K78),2))</f>
        <v/>
      </c>
      <c r="M78" s="13" t="inlineStr">
        <is>
          <t>原表·主材</t>
        </is>
      </c>
      <c r="N78" s="17">
        <f>IF($D78="","",IF(ISNA(MATCH($D78,项目名表,0)),"※项目不在项目台账里",IF($F78="※材料类别没选","※材料类别没选",IF(AND($C78&lt;&gt;"",ISNA(MATCH($C78,供应商表,0))),"※供应商不在基础资料里",""))))</f>
        <v/>
      </c>
    </row>
    <row r="79">
      <c r="A79" s="17">
        <f>IF($D79="","",ROW()-3)</f>
        <v/>
      </c>
      <c r="B79" s="18" t="n">
        <v>46086</v>
      </c>
      <c r="C79" s="13" t="n"/>
      <c r="D79" s="13" t="inlineStr">
        <is>
          <t>双林面馆-滨河路</t>
        </is>
      </c>
      <c r="E79" s="13" t="inlineStr">
        <is>
          <t>主材</t>
        </is>
      </c>
      <c r="F79" s="17">
        <f>IF($D79="","",IFERROR(VLOOKUP($E79,材料归属,2,0),"※材料类别没选"))</f>
        <v/>
      </c>
      <c r="G79" s="13" t="inlineStr">
        <is>
          <t>软膜</t>
        </is>
      </c>
      <c r="H79" s="13" t="n"/>
      <c r="I79" s="13" t="inlineStr">
        <is>
          <t>张</t>
        </is>
      </c>
      <c r="J79" s="20" t="n">
        <v>1</v>
      </c>
      <c r="K79" s="14" t="n">
        <v>115</v>
      </c>
      <c r="L79" s="19">
        <f>IF($D79="","",ROUND(IF($J79="",1,$J79)*N($K79),2))</f>
        <v/>
      </c>
      <c r="M79" s="13" t="inlineStr">
        <is>
          <t>原表·主材</t>
        </is>
      </c>
      <c r="N79" s="17">
        <f>IF($D79="","",IF(ISNA(MATCH($D79,项目名表,0)),"※项目不在项目台账里",IF($F79="※材料类别没选","※材料类别没选",IF(AND($C79&lt;&gt;"",ISNA(MATCH($C79,供应商表,0))),"※供应商不在基础资料里",""))))</f>
        <v/>
      </c>
    </row>
    <row r="80">
      <c r="A80" s="17">
        <f>IF($D80="","",ROW()-3)</f>
        <v/>
      </c>
      <c r="B80" s="18" t="n">
        <v>46086</v>
      </c>
      <c r="C80" s="13" t="n"/>
      <c r="D80" s="13" t="inlineStr">
        <is>
          <t>双林面馆-滨河路</t>
        </is>
      </c>
      <c r="E80" s="13" t="inlineStr">
        <is>
          <t>辅材</t>
        </is>
      </c>
      <c r="F80" s="17">
        <f>IF($D80="","",IFERROR(VLOOKUP($E80,材料归属,2,0),"※材料类别没选"))</f>
        <v/>
      </c>
      <c r="G80" s="13" t="inlineStr">
        <is>
          <t>220v室外防雨灯条</t>
        </is>
      </c>
      <c r="H80" s="13" t="n"/>
      <c r="I80" s="13" t="inlineStr">
        <is>
          <t>条</t>
        </is>
      </c>
      <c r="J80" s="20" t="n">
        <v>55</v>
      </c>
      <c r="K80" s="14" t="n">
        <v>2.4</v>
      </c>
      <c r="L80" s="19">
        <f>IF($D80="","",ROUND(IF($J80="",1,$J80)*N($K80),2))</f>
        <v/>
      </c>
      <c r="M80" s="13" t="inlineStr">
        <is>
          <t>原表·辅材</t>
        </is>
      </c>
      <c r="N80" s="17">
        <f>IF($D80="","",IF(ISNA(MATCH($D80,项目名表,0)),"※项目不在项目台账里",IF($F80="※材料类别没选","※材料类别没选",IF(AND($C80&lt;&gt;"",ISNA(MATCH($C80,供应商表,0))),"※供应商不在基础资料里",""))))</f>
        <v/>
      </c>
    </row>
    <row r="81">
      <c r="A81" s="17">
        <f>IF($D81="","",ROW()-3)</f>
        <v/>
      </c>
      <c r="B81" s="18" t="n">
        <v>46086</v>
      </c>
      <c r="C81" s="13" t="n"/>
      <c r="D81" s="13" t="inlineStr">
        <is>
          <t>双林面馆-滨河路</t>
        </is>
      </c>
      <c r="E81" s="13" t="inlineStr">
        <is>
          <t>辅材</t>
        </is>
      </c>
      <c r="F81" s="17">
        <f>IF($D81="","",IFERROR(VLOOKUP($E81,材料归属,2,0),"※材料类别没选"))</f>
        <v/>
      </c>
      <c r="G81" s="13" t="inlineStr">
        <is>
          <t>220v室内灯条</t>
        </is>
      </c>
      <c r="H81" s="13" t="n"/>
      <c r="I81" s="13" t="inlineStr">
        <is>
          <t>条</t>
        </is>
      </c>
      <c r="J81" s="20" t="n">
        <v>15</v>
      </c>
      <c r="K81" s="14" t="n">
        <v>1.65</v>
      </c>
      <c r="L81" s="19">
        <f>IF($D81="","",ROUND(IF($J81="",1,$J81)*N($K81),2))</f>
        <v/>
      </c>
      <c r="M81" s="13" t="inlineStr">
        <is>
          <t>原表·辅材</t>
        </is>
      </c>
      <c r="N81" s="17">
        <f>IF($D81="","",IF(ISNA(MATCH($D81,项目名表,0)),"※项目不在项目台账里",IF($F81="※材料类别没选","※材料类别没选",IF(AND($C81&lt;&gt;"",ISNA(MATCH($C81,供应商表,0))),"※供应商不在基础资料里",""))))</f>
        <v/>
      </c>
    </row>
    <row r="82">
      <c r="A82" s="17">
        <f>IF($D82="","",ROW()-3)</f>
        <v/>
      </c>
      <c r="B82" s="18" t="n">
        <v>46086</v>
      </c>
      <c r="C82" s="13" t="n"/>
      <c r="D82" s="13" t="inlineStr">
        <is>
          <t>双林面馆-滨河路</t>
        </is>
      </c>
      <c r="E82" s="13" t="inlineStr">
        <is>
          <t>辅材</t>
        </is>
      </c>
      <c r="F82" s="17">
        <f>IF($D82="","",IFERROR(VLOOKUP($E82,材料归属,2,0),"※材料类别没选"))</f>
        <v/>
      </c>
      <c r="G82" s="13" t="inlineStr">
        <is>
          <t>辅材+车辆</t>
        </is>
      </c>
      <c r="H82" s="13" t="n"/>
      <c r="I82" s="13" t="inlineStr">
        <is>
          <t>趟</t>
        </is>
      </c>
      <c r="J82" s="20" t="n">
        <v>1</v>
      </c>
      <c r="K82" s="14" t="n">
        <v>100</v>
      </c>
      <c r="L82" s="19">
        <f>IF($D82="","",ROUND(IF($J82="",1,$J82)*N($K82),2))</f>
        <v/>
      </c>
      <c r="M82" s="13" t="inlineStr">
        <is>
          <t>原表·辅材</t>
        </is>
      </c>
      <c r="N82" s="17">
        <f>IF($D82="","",IF(ISNA(MATCH($D82,项目名表,0)),"※项目不在项目台账里",IF($F82="※材料类别没选","※材料类别没选",IF(AND($C82&lt;&gt;"",ISNA(MATCH($C82,供应商表,0))),"※供应商不在基础资料里",""))))</f>
        <v/>
      </c>
    </row>
    <row r="83">
      <c r="A83" s="17">
        <f>IF($D83="","",ROW()-3)</f>
        <v/>
      </c>
      <c r="B83" s="18" t="n">
        <v>46102</v>
      </c>
      <c r="C83" s="13" t="n"/>
      <c r="D83" s="13" t="inlineStr">
        <is>
          <t>梓灿软装</t>
        </is>
      </c>
      <c r="E83" s="13" t="inlineStr">
        <is>
          <t>主材</t>
        </is>
      </c>
      <c r="F83" s="17">
        <f>IF($D83="","",IFERROR(VLOOKUP($E83,材料归属,2,0),"※材料类别没选"))</f>
        <v/>
      </c>
      <c r="G83" s="13" t="inlineStr">
        <is>
          <t>铝塑板</t>
        </is>
      </c>
      <c r="H83" s="13" t="n"/>
      <c r="I83" s="13" t="inlineStr">
        <is>
          <t>张</t>
        </is>
      </c>
      <c r="J83" s="20" t="n">
        <v>5</v>
      </c>
      <c r="K83" s="14" t="n">
        <v>90</v>
      </c>
      <c r="L83" s="19">
        <f>IF($D83="","",ROUND(IF($J83="",1,$J83)*N($K83),2))</f>
        <v/>
      </c>
      <c r="M83" s="13" t="inlineStr">
        <is>
          <t>原表·主材</t>
        </is>
      </c>
      <c r="N83" s="17">
        <f>IF($D83="","",IF(ISNA(MATCH($D83,项目名表,0)),"※项目不在项目台账里",IF($F83="※材料类别没选","※材料类别没选",IF(AND($C83&lt;&gt;"",ISNA(MATCH($C83,供应商表,0))),"※供应商不在基础资料里",""))))</f>
        <v/>
      </c>
    </row>
    <row r="84">
      <c r="A84" s="17">
        <f>IF($D84="","",ROW()-3)</f>
        <v/>
      </c>
      <c r="B84" s="18" t="n">
        <v>46102</v>
      </c>
      <c r="C84" s="13" t="inlineStr">
        <is>
          <t>盛世大瑞</t>
        </is>
      </c>
      <c r="D84" s="13" t="inlineStr">
        <is>
          <t>梓灿软装</t>
        </is>
      </c>
      <c r="E84" s="13" t="inlineStr">
        <is>
          <t>主材</t>
        </is>
      </c>
      <c r="F84" s="17">
        <f>IF($D84="","",IFERROR(VLOOKUP($E84,材料归属,2,0),"※材料类别没选"))</f>
        <v/>
      </c>
      <c r="G84" s="13" t="inlineStr">
        <is>
          <t>发光字</t>
        </is>
      </c>
      <c r="H84" s="13" t="n"/>
      <c r="I84" s="13" t="inlineStr">
        <is>
          <t>套</t>
        </is>
      </c>
      <c r="J84" s="20" t="n">
        <v>1</v>
      </c>
      <c r="K84" s="14" t="n">
        <v>559</v>
      </c>
      <c r="L84" s="19">
        <f>IF($D84="","",ROUND(IF($J84="",1,$J84)*N($K84),2))</f>
        <v/>
      </c>
      <c r="M84" s="13" t="inlineStr">
        <is>
          <t>原表·主材</t>
        </is>
      </c>
      <c r="N84" s="17">
        <f>IF($D84="","",IF(ISNA(MATCH($D84,项目名表,0)),"※项目不在项目台账里",IF($F84="※材料类别没选","※材料类别没选",IF(AND($C84&lt;&gt;"",ISNA(MATCH($C84,供应商表,0))),"※供应商不在基础资料里",""))))</f>
        <v/>
      </c>
    </row>
    <row r="85">
      <c r="A85" s="17">
        <f>IF($D85="","",ROW()-3)</f>
        <v/>
      </c>
      <c r="B85" s="18" t="n">
        <v>46102</v>
      </c>
      <c r="C85" s="13" t="n"/>
      <c r="D85" s="13" t="inlineStr">
        <is>
          <t>梓灿软装</t>
        </is>
      </c>
      <c r="E85" s="13" t="inlineStr">
        <is>
          <t>辅材</t>
        </is>
      </c>
      <c r="F85" s="17">
        <f>IF($D85="","",IFERROR(VLOOKUP($E85,材料归属,2,0),"※材料类别没选"))</f>
        <v/>
      </c>
      <c r="G85" s="13" t="inlineStr">
        <is>
          <t>结构胶</t>
        </is>
      </c>
      <c r="H85" s="13" t="n"/>
      <c r="I85" s="13" t="inlineStr">
        <is>
          <t>支</t>
        </is>
      </c>
      <c r="J85" s="20" t="n">
        <v>5</v>
      </c>
      <c r="K85" s="14" t="n">
        <v>15</v>
      </c>
      <c r="L85" s="19">
        <f>IF($D85="","",ROUND(IF($J85="",1,$J85)*N($K85),2))</f>
        <v/>
      </c>
      <c r="M85" s="13" t="inlineStr">
        <is>
          <t>原表·辅材</t>
        </is>
      </c>
      <c r="N85" s="17">
        <f>IF($D85="","",IF(ISNA(MATCH($D85,项目名表,0)),"※项目不在项目台账里",IF($F85="※材料类别没选","※材料类别没选",IF(AND($C85&lt;&gt;"",ISNA(MATCH($C85,供应商表,0))),"※供应商不在基础资料里",""))))</f>
        <v/>
      </c>
    </row>
    <row r="86">
      <c r="A86" s="17">
        <f>IF($D86="","",ROW()-3)</f>
        <v/>
      </c>
      <c r="B86" s="18" t="n">
        <v>46102</v>
      </c>
      <c r="C86" s="13" t="n"/>
      <c r="D86" s="13" t="inlineStr">
        <is>
          <t>梓灿软装</t>
        </is>
      </c>
      <c r="E86" s="13" t="inlineStr">
        <is>
          <t>辅材</t>
        </is>
      </c>
      <c r="F86" s="17">
        <f>IF($D86="","",IFERROR(VLOOKUP($E86,材料归属,2,0),"※材料类别没选"))</f>
        <v/>
      </c>
      <c r="G86" s="13" t="inlineStr">
        <is>
          <t>双面胶</t>
        </is>
      </c>
      <c r="H86" s="13" t="n"/>
      <c r="I86" s="13" t="inlineStr">
        <is>
          <t>包</t>
        </is>
      </c>
      <c r="J86" s="20" t="n">
        <v>4</v>
      </c>
      <c r="K86" s="14" t="n">
        <v>5</v>
      </c>
      <c r="L86" s="19">
        <f>IF($D86="","",ROUND(IF($J86="",1,$J86)*N($K86),2))</f>
        <v/>
      </c>
      <c r="M86" s="13" t="inlineStr">
        <is>
          <t>原表·辅材</t>
        </is>
      </c>
      <c r="N86" s="17">
        <f>IF($D86="","",IF(ISNA(MATCH($D86,项目名表,0)),"※项目不在项目台账里",IF($F86="※材料类别没选","※材料类别没选",IF(AND($C86&lt;&gt;"",ISNA(MATCH($C86,供应商表,0))),"※供应商不在基础资料里",""))))</f>
        <v/>
      </c>
    </row>
    <row r="87">
      <c r="A87" s="17">
        <f>IF($D87="","",ROW()-3)</f>
        <v/>
      </c>
      <c r="B87" s="18" t="n">
        <v>46083</v>
      </c>
      <c r="C87" s="13" t="inlineStr">
        <is>
          <t>盛世大瑞</t>
        </is>
      </c>
      <c r="D87" s="13" t="inlineStr">
        <is>
          <t>长颈鹿庄园</t>
        </is>
      </c>
      <c r="E87" s="13" t="inlineStr">
        <is>
          <t>主材</t>
        </is>
      </c>
      <c r="F87" s="17">
        <f>IF($D87="","",IFERROR(VLOOKUP($E87,材料归属,2,0),"※材料类别没选"))</f>
        <v/>
      </c>
      <c r="G87" s="13" t="inlineStr">
        <is>
          <t>发光字灯箱</t>
        </is>
      </c>
      <c r="H87" s="13" t="n"/>
      <c r="I87" s="13" t="inlineStr">
        <is>
          <t>套</t>
        </is>
      </c>
      <c r="J87" s="20" t="n">
        <v>1</v>
      </c>
      <c r="K87" s="14" t="n">
        <v>506</v>
      </c>
      <c r="L87" s="19">
        <f>IF($D87="","",ROUND(IF($J87="",1,$J87)*N($K87),2))</f>
        <v/>
      </c>
      <c r="M87" s="13" t="inlineStr">
        <is>
          <t>原表·主材</t>
        </is>
      </c>
      <c r="N87" s="17">
        <f>IF($D87="","",IF(ISNA(MATCH($D87,项目名表,0)),"※项目不在项目台账里",IF($F87="※材料类别没选","※材料类别没选",IF(AND($C87&lt;&gt;"",ISNA(MATCH($C87,供应商表,0))),"※供应商不在基础资料里",""))))</f>
        <v/>
      </c>
    </row>
    <row r="88">
      <c r="A88" s="17">
        <f>IF($D88="","",ROW()-3)</f>
        <v/>
      </c>
      <c r="B88" s="18" t="n">
        <v>46083</v>
      </c>
      <c r="C88" s="13" t="n"/>
      <c r="D88" s="13" t="inlineStr">
        <is>
          <t>长颈鹿庄园</t>
        </is>
      </c>
      <c r="E88" s="13" t="inlineStr">
        <is>
          <t>主材</t>
        </is>
      </c>
      <c r="F88" s="17">
        <f>IF($D88="","",IFERROR(VLOOKUP($E88,材料归属,2,0),"※材料类别没选"))</f>
        <v/>
      </c>
      <c r="G88" s="13" t="inlineStr">
        <is>
          <t>写真</t>
        </is>
      </c>
      <c r="H88" s="13" t="n"/>
      <c r="I88" s="13" t="n"/>
      <c r="J88" s="20" t="n">
        <v>2</v>
      </c>
      <c r="K88" s="14" t="n">
        <v>5.4</v>
      </c>
      <c r="L88" s="19">
        <f>IF($D88="","",ROUND(IF($J88="",1,$J88)*N($K88),2))</f>
        <v/>
      </c>
      <c r="M88" s="13" t="inlineStr">
        <is>
          <t>原表·主材</t>
        </is>
      </c>
      <c r="N88" s="17">
        <f>IF($D88="","",IF(ISNA(MATCH($D88,项目名表,0)),"※项目不在项目台账里",IF($F88="※材料类别没选","※材料类别没选",IF(AND($C88&lt;&gt;"",ISNA(MATCH($C88,供应商表,0))),"※供应商不在基础资料里",""))))</f>
        <v/>
      </c>
    </row>
    <row r="89">
      <c r="A89" s="17">
        <f>IF($D89="","",ROW()-3)</f>
        <v/>
      </c>
      <c r="B89" s="18" t="n">
        <v>46083</v>
      </c>
      <c r="C89" s="13" t="n"/>
      <c r="D89" s="13" t="inlineStr">
        <is>
          <t>长颈鹿庄园</t>
        </is>
      </c>
      <c r="E89" s="13" t="inlineStr">
        <is>
          <t>主材</t>
        </is>
      </c>
      <c r="F89" s="17">
        <f>IF($D89="","",IFERROR(VLOOKUP($E89,材料归属,2,0),"※材料类别没选"))</f>
        <v/>
      </c>
      <c r="G89" s="13" t="inlineStr">
        <is>
          <t>写真覆亮膜</t>
        </is>
      </c>
      <c r="H89" s="13" t="n"/>
      <c r="I89" s="13" t="n"/>
      <c r="J89" s="20" t="n">
        <v>26.8</v>
      </c>
      <c r="K89" s="14" t="n">
        <v>10</v>
      </c>
      <c r="L89" s="19">
        <f>IF($D89="","",ROUND(IF($J89="",1,$J89)*N($K89),2))</f>
        <v/>
      </c>
      <c r="M89" s="13" t="inlineStr">
        <is>
          <t>原表·主材</t>
        </is>
      </c>
      <c r="N89" s="17">
        <f>IF($D89="","",IF(ISNA(MATCH($D89,项目名表,0)),"※项目不在项目台账里",IF($F89="※材料类别没选","※材料类别没选",IF(AND($C89&lt;&gt;"",ISNA(MATCH($C89,供应商表,0))),"※供应商不在基础资料里",""))))</f>
        <v/>
      </c>
    </row>
    <row r="90">
      <c r="A90" s="17">
        <f>IF($D90="","",ROW()-3)</f>
        <v/>
      </c>
      <c r="B90" s="18" t="n">
        <v>46083</v>
      </c>
      <c r="C90" s="13" t="n"/>
      <c r="D90" s="13" t="inlineStr">
        <is>
          <t>长颈鹿庄园</t>
        </is>
      </c>
      <c r="E90" s="13" t="inlineStr">
        <is>
          <t>主材</t>
        </is>
      </c>
      <c r="F90" s="17">
        <f>IF($D90="","",IFERROR(VLOOKUP($E90,材料归属,2,0),"※材料类别没选"))</f>
        <v/>
      </c>
      <c r="G90" s="13" t="inlineStr">
        <is>
          <t>异形雪弗板覆钢化膜</t>
        </is>
      </c>
      <c r="H90" s="13" t="n"/>
      <c r="I90" s="13" t="n"/>
      <c r="J90" s="20" t="n">
        <v>1</v>
      </c>
      <c r="K90" s="14" t="n">
        <v>280</v>
      </c>
      <c r="L90" s="19">
        <f>IF($D90="","",ROUND(IF($J90="",1,$J90)*N($K90),2))</f>
        <v/>
      </c>
      <c r="M90" s="13" t="inlineStr">
        <is>
          <t>原表·主材</t>
        </is>
      </c>
      <c r="N90" s="17">
        <f>IF($D90="","",IF(ISNA(MATCH($D90,项目名表,0)),"※项目不在项目台账里",IF($F90="※材料类别没选","※材料类别没选",IF(AND($C90&lt;&gt;"",ISNA(MATCH($C90,供应商表,0))),"※供应商不在基础资料里",""))))</f>
        <v/>
      </c>
    </row>
    <row r="91">
      <c r="A91" s="17">
        <f>IF($D91="","",ROW()-3)</f>
        <v/>
      </c>
      <c r="B91" s="18" t="n">
        <v>46083</v>
      </c>
      <c r="C91" s="13" t="n"/>
      <c r="D91" s="13" t="inlineStr">
        <is>
          <t>长颈鹿庄园</t>
        </is>
      </c>
      <c r="E91" s="13" t="inlineStr">
        <is>
          <t>辅材</t>
        </is>
      </c>
      <c r="F91" s="17">
        <f>IF($D91="","",IFERROR(VLOOKUP($E91,材料归属,2,0),"※材料类别没选"))</f>
        <v/>
      </c>
      <c r="G91" s="13" t="inlineStr">
        <is>
          <t>车辆+辅材</t>
        </is>
      </c>
      <c r="H91" s="13" t="n"/>
      <c r="I91" s="13" t="inlineStr">
        <is>
          <t>趟</t>
        </is>
      </c>
      <c r="J91" s="20" t="n">
        <v>1.5</v>
      </c>
      <c r="K91" s="14" t="n">
        <v>200</v>
      </c>
      <c r="L91" s="19">
        <f>IF($D91="","",ROUND(IF($J91="",1,$J91)*N($K91),2))</f>
        <v/>
      </c>
      <c r="M91" s="13" t="inlineStr">
        <is>
          <t>原表·辅材</t>
        </is>
      </c>
      <c r="N91" s="17">
        <f>IF($D91="","",IF(ISNA(MATCH($D91,项目名表,0)),"※项目不在项目台账里",IF($F91="※材料类别没选","※材料类别没选",IF(AND($C91&lt;&gt;"",ISNA(MATCH($C91,供应商表,0))),"※供应商不在基础资料里",""))))</f>
        <v/>
      </c>
    </row>
    <row r="92">
      <c r="A92" s="17">
        <f>IF($D92="","",ROW()-3)</f>
        <v/>
      </c>
      <c r="B92" s="18" t="n">
        <v>46083</v>
      </c>
      <c r="C92" s="13" t="inlineStr">
        <is>
          <t>盛世大瑞</t>
        </is>
      </c>
      <c r="D92" s="13" t="inlineStr">
        <is>
          <t>国智校服</t>
        </is>
      </c>
      <c r="E92" s="13" t="inlineStr">
        <is>
          <t>主材</t>
        </is>
      </c>
      <c r="F92" s="17">
        <f>IF($D92="","",IFERROR(VLOOKUP($E92,材料归属,2,0),"※材料类别没选"))</f>
        <v/>
      </c>
      <c r="G92" s="13" t="inlineStr">
        <is>
          <t>镀锌板烤漆指路牌</t>
        </is>
      </c>
      <c r="H92" s="13" t="n"/>
      <c r="I92" s="13" t="inlineStr">
        <is>
          <t>套</t>
        </is>
      </c>
      <c r="J92" s="20" t="n">
        <v>1</v>
      </c>
      <c r="K92" s="14" t="n">
        <v>1010</v>
      </c>
      <c r="L92" s="19">
        <f>IF($D92="","",ROUND(IF($J92="",1,$J92)*N($K92),2))</f>
        <v/>
      </c>
      <c r="M92" s="13" t="inlineStr">
        <is>
          <t>原表·主材</t>
        </is>
      </c>
      <c r="N92" s="17">
        <f>IF($D92="","",IF(ISNA(MATCH($D92,项目名表,0)),"※项目不在项目台账里",IF($F92="※材料类别没选","※材料类别没选",IF(AND($C92&lt;&gt;"",ISNA(MATCH($C92,供应商表,0))),"※供应商不在基础资料里",""))))</f>
        <v/>
      </c>
    </row>
    <row r="93">
      <c r="A93" s="17">
        <f>IF($D93="","",ROW()-3)</f>
        <v/>
      </c>
      <c r="B93" s="18" t="n">
        <v>46083</v>
      </c>
      <c r="C93" s="13" t="n"/>
      <c r="D93" s="13" t="inlineStr">
        <is>
          <t>国智校服</t>
        </is>
      </c>
      <c r="E93" s="13" t="inlineStr">
        <is>
          <t>主材</t>
        </is>
      </c>
      <c r="F93" s="17">
        <f>IF($D93="","",IFERROR(VLOOKUP($E93,材料归属,2,0),"※材料类别没选"))</f>
        <v/>
      </c>
      <c r="G93" s="13" t="inlineStr">
        <is>
          <t>黄钛金牌子</t>
        </is>
      </c>
      <c r="H93" s="13" t="n"/>
      <c r="I93" s="13" t="inlineStr">
        <is>
          <t>套</t>
        </is>
      </c>
      <c r="J93" s="20" t="n">
        <v>1</v>
      </c>
      <c r="K93" s="14" t="n">
        <v>85</v>
      </c>
      <c r="L93" s="19">
        <f>IF($D93="","",ROUND(IF($J93="",1,$J93)*N($K93),2))</f>
        <v/>
      </c>
      <c r="M93" s="13" t="inlineStr">
        <is>
          <t>原表·主材</t>
        </is>
      </c>
      <c r="N93" s="17">
        <f>IF($D93="","",IF(ISNA(MATCH($D93,项目名表,0)),"※项目不在项目台账里",IF($F93="※材料类别没选","※材料类别没选",IF(AND($C93&lt;&gt;"",ISNA(MATCH($C93,供应商表,0))),"※供应商不在基础资料里",""))))</f>
        <v/>
      </c>
    </row>
    <row r="94">
      <c r="A94" s="17">
        <f>IF($D94="","",ROW()-3)</f>
        <v/>
      </c>
      <c r="B94" s="18" t="n">
        <v>46083</v>
      </c>
      <c r="C94" s="13" t="n"/>
      <c r="D94" s="13" t="inlineStr">
        <is>
          <t>国智校服</t>
        </is>
      </c>
      <c r="E94" s="13" t="inlineStr">
        <is>
          <t>主材</t>
        </is>
      </c>
      <c r="F94" s="17">
        <f>IF($D94="","",IFERROR(VLOOKUP($E94,材料归属,2,0),"※材料类别没选"))</f>
        <v/>
      </c>
      <c r="G94" s="13" t="inlineStr">
        <is>
          <t>室内pvc字</t>
        </is>
      </c>
      <c r="H94" s="13" t="n"/>
      <c r="I94" s="13" t="inlineStr">
        <is>
          <t>套</t>
        </is>
      </c>
      <c r="J94" s="20" t="n">
        <v>1</v>
      </c>
      <c r="K94" s="14" t="n">
        <v>300</v>
      </c>
      <c r="L94" s="19">
        <f>IF($D94="","",ROUND(IF($J94="",1,$J94)*N($K94),2))</f>
        <v/>
      </c>
      <c r="M94" s="13" t="inlineStr">
        <is>
          <t>原表·主材</t>
        </is>
      </c>
      <c r="N94" s="17">
        <f>IF($D94="","",IF(ISNA(MATCH($D94,项目名表,0)),"※项目不在项目台账里",IF($F94="※材料类别没选","※材料类别没选",IF(AND($C94&lt;&gt;"",ISNA(MATCH($C94,供应商表,0))),"※供应商不在基础资料里",""))))</f>
        <v/>
      </c>
    </row>
    <row r="95">
      <c r="A95" s="17">
        <f>IF($D95="","",ROW()-3)</f>
        <v/>
      </c>
      <c r="B95" s="18" t="n">
        <v>46083</v>
      </c>
      <c r="C95" s="13" t="n"/>
      <c r="D95" s="13" t="inlineStr">
        <is>
          <t>国智校服</t>
        </is>
      </c>
      <c r="E95" s="13" t="inlineStr">
        <is>
          <t>辅材</t>
        </is>
      </c>
      <c r="F95" s="17">
        <f>IF($D95="","",IFERROR(VLOOKUP($E95,材料归属,2,0),"※材料类别没选"))</f>
        <v/>
      </c>
      <c r="G95" s="13" t="inlineStr">
        <is>
          <t>车辆+辅材</t>
        </is>
      </c>
      <c r="H95" s="13" t="n"/>
      <c r="I95" s="13" t="inlineStr">
        <is>
          <t>趟</t>
        </is>
      </c>
      <c r="J95" s="20" t="n">
        <v>1.5</v>
      </c>
      <c r="K95" s="14" t="n">
        <v>200</v>
      </c>
      <c r="L95" s="19">
        <f>IF($D95="","",ROUND(IF($J95="",1,$J95)*N($K95),2))</f>
        <v/>
      </c>
      <c r="M95" s="13" t="inlineStr">
        <is>
          <t>原表·辅材</t>
        </is>
      </c>
      <c r="N95" s="17">
        <f>IF($D95="","",IF(ISNA(MATCH($D95,项目名表,0)),"※项目不在项目台账里",IF($F95="※材料类别没选","※材料类别没选",IF(AND($C95&lt;&gt;"",ISNA(MATCH($C95,供应商表,0))),"※供应商不在基础资料里",""))))</f>
        <v/>
      </c>
    </row>
    <row r="96">
      <c r="A96" s="17">
        <f>IF($D96="","",ROW()-3)</f>
        <v/>
      </c>
      <c r="B96" s="18" t="n">
        <v>46107</v>
      </c>
      <c r="C96" s="13" t="inlineStr">
        <is>
          <t>1.71*5.61</t>
        </is>
      </c>
      <c r="D96" s="13" t="inlineStr">
        <is>
          <t>民盛生鲜店</t>
        </is>
      </c>
      <c r="E96" s="13" t="inlineStr">
        <is>
          <t>主材</t>
        </is>
      </c>
      <c r="F96" s="17">
        <f>IF($D96="","",IFERROR(VLOOKUP($E96,材料归属,2,0),"※材料类别没选"))</f>
        <v/>
      </c>
      <c r="G96" s="13" t="inlineStr">
        <is>
          <t>门头软膜灯箱</t>
        </is>
      </c>
      <c r="H96" s="13" t="n"/>
      <c r="I96" s="13" t="inlineStr">
        <is>
          <t>m²</t>
        </is>
      </c>
      <c r="J96" s="20" t="n">
        <v>1</v>
      </c>
      <c r="K96" s="14" t="n">
        <v>86</v>
      </c>
      <c r="L96" s="19">
        <f>IF($D96="","",ROUND(IF($J96="",1,$J96)*N($K96),2))</f>
        <v/>
      </c>
      <c r="M96" s="13" t="inlineStr">
        <is>
          <t>原表·主材　原表数量9.6×单价9.0，与金额对不上，已按金额入账</t>
        </is>
      </c>
      <c r="N96" s="17">
        <f>IF($D96="","",IF(ISNA(MATCH($D96,项目名表,0)),"※项目不在项目台账里",IF($F96="※材料类别没选","※材料类别没选",IF(AND($C96&lt;&gt;"",ISNA(MATCH($C96,供应商表,0))),"※供应商不在基础资料里",""))))</f>
        <v/>
      </c>
    </row>
    <row r="97">
      <c r="A97" s="17">
        <f>IF($D97="","",ROW()-3)</f>
        <v/>
      </c>
      <c r="B97" s="18" t="n">
        <v>46107</v>
      </c>
      <c r="C97" s="13" t="n"/>
      <c r="D97" s="13" t="inlineStr">
        <is>
          <t>民盛生鲜店</t>
        </is>
      </c>
      <c r="E97" s="13" t="inlineStr">
        <is>
          <t>主材</t>
        </is>
      </c>
      <c r="F97" s="17">
        <f>IF($D97="","",IFERROR(VLOOKUP($E97,材料归属,2,0),"※材料类别没选"))</f>
        <v/>
      </c>
      <c r="G97" s="13" t="inlineStr">
        <is>
          <t>7.5型材</t>
        </is>
      </c>
      <c r="H97" s="13" t="n"/>
      <c r="I97" s="13" t="inlineStr">
        <is>
          <t>米</t>
        </is>
      </c>
      <c r="J97" s="20" t="n">
        <v>12</v>
      </c>
      <c r="K97" s="14" t="n">
        <v>14.64</v>
      </c>
      <c r="L97" s="19">
        <f>IF($D97="","",ROUND(IF($J97="",1,$J97)*N($K97),2))</f>
        <v/>
      </c>
      <c r="M97" s="13" t="inlineStr">
        <is>
          <t>原表·主材</t>
        </is>
      </c>
      <c r="N97" s="17">
        <f>IF($D97="","",IF(ISNA(MATCH($D97,项目名表,0)),"※项目不在项目台账里",IF($F97="※材料类别没选","※材料类别没选",IF(AND($C97&lt;&gt;"",ISNA(MATCH($C97,供应商表,0))),"※供应商不在基础资料里",""))))</f>
        <v/>
      </c>
    </row>
    <row r="98">
      <c r="A98" s="17">
        <f>IF($D98="","",ROW()-3)</f>
        <v/>
      </c>
      <c r="B98" s="18" t="n">
        <v>46107</v>
      </c>
      <c r="C98" s="13" t="n"/>
      <c r="D98" s="13" t="inlineStr">
        <is>
          <t>民盛生鲜店</t>
        </is>
      </c>
      <c r="E98" s="13" t="inlineStr">
        <is>
          <t>主材</t>
        </is>
      </c>
      <c r="F98" s="17">
        <f>IF($D98="","",IFERROR(VLOOKUP($E98,材料归属,2,0),"※材料类别没选"))</f>
        <v/>
      </c>
      <c r="G98" s="13" t="inlineStr">
        <is>
          <t>防雨灯条</t>
        </is>
      </c>
      <c r="H98" s="13" t="n"/>
      <c r="I98" s="13" t="inlineStr">
        <is>
          <t>根</t>
        </is>
      </c>
      <c r="J98" s="20" t="n">
        <v>72</v>
      </c>
      <c r="K98" s="14" t="n">
        <v>2.5</v>
      </c>
      <c r="L98" s="19">
        <f>IF($D98="","",ROUND(IF($J98="",1,$J98)*N($K98),2))</f>
        <v/>
      </c>
      <c r="M98" s="13" t="inlineStr">
        <is>
          <t>原表·主材</t>
        </is>
      </c>
      <c r="N98" s="17">
        <f>IF($D98="","",IF(ISNA(MATCH($D98,项目名表,0)),"※项目不在项目台账里",IF($F98="※材料类别没选","※材料类别没选",IF(AND($C98&lt;&gt;"",ISNA(MATCH($C98,供应商表,0))),"※供应商不在基础资料里",""))))</f>
        <v/>
      </c>
    </row>
    <row r="99">
      <c r="A99" s="17">
        <f>IF($D99="","",ROW()-3)</f>
        <v/>
      </c>
      <c r="B99" s="18" t="n">
        <v>46107</v>
      </c>
      <c r="C99" s="13" t="n"/>
      <c r="D99" s="13" t="inlineStr">
        <is>
          <t>民盛生鲜店</t>
        </is>
      </c>
      <c r="E99" s="13" t="inlineStr">
        <is>
          <t>主材</t>
        </is>
      </c>
      <c r="F99" s="17">
        <f>IF($D99="","",IFERROR(VLOOKUP($E99,材料归属,2,0),"※材料类别没选"))</f>
        <v/>
      </c>
      <c r="G99" s="13" t="inlineStr">
        <is>
          <t>车辆+辅材</t>
        </is>
      </c>
      <c r="H99" s="13" t="n"/>
      <c r="I99" s="13" t="inlineStr">
        <is>
          <t>趟</t>
        </is>
      </c>
      <c r="J99" s="20" t="n">
        <v>1</v>
      </c>
      <c r="K99" s="14" t="n">
        <v>150</v>
      </c>
      <c r="L99" s="19">
        <f>IF($D99="","",ROUND(IF($J99="",1,$J99)*N($K99),2))</f>
        <v/>
      </c>
      <c r="M99" s="13" t="inlineStr">
        <is>
          <t>原表·主材</t>
        </is>
      </c>
      <c r="N99" s="17">
        <f>IF($D99="","",IF(ISNA(MATCH($D99,项目名表,0)),"※项目不在项目台账里",IF($F99="※材料类别没选","※材料类别没选",IF(AND($C99&lt;&gt;"",ISNA(MATCH($C99,供应商表,0))),"※供应商不在基础资料里",""))))</f>
        <v/>
      </c>
    </row>
    <row r="100">
      <c r="A100" s="17">
        <f>IF($D100="","",ROW()-3)</f>
        <v/>
      </c>
      <c r="B100" s="18" t="n">
        <v>46107</v>
      </c>
      <c r="C100" s="13" t="n"/>
      <c r="D100" s="13" t="inlineStr">
        <is>
          <t>民盛生鲜店</t>
        </is>
      </c>
      <c r="E100" s="13" t="inlineStr">
        <is>
          <t>主材</t>
        </is>
      </c>
      <c r="F100" s="17">
        <f>IF($D100="","",IFERROR(VLOOKUP($E100,材料归属,2,0),"※材料类别没选"))</f>
        <v/>
      </c>
      <c r="G100" s="13" t="inlineStr">
        <is>
          <t>反光板</t>
        </is>
      </c>
      <c r="H100" s="13" t="n"/>
      <c r="I100" s="13" t="inlineStr">
        <is>
          <t>张</t>
        </is>
      </c>
      <c r="J100" s="20" t="n">
        <v>4</v>
      </c>
      <c r="K100" s="14" t="n">
        <v>22</v>
      </c>
      <c r="L100" s="19">
        <f>IF($D100="","",ROUND(IF($J100="",1,$J100)*N($K100),2))</f>
        <v/>
      </c>
      <c r="M100" s="13" t="inlineStr">
        <is>
          <t>原表·主材</t>
        </is>
      </c>
      <c r="N100" s="17">
        <f>IF($D100="","",IF(ISNA(MATCH($D100,项目名表,0)),"※项目不在项目台账里",IF($F100="※材料类别没选","※材料类别没选",IF(AND($C100&lt;&gt;"",ISNA(MATCH($C100,供应商表,0))),"※供应商不在基础资料里",""))))</f>
        <v/>
      </c>
    </row>
    <row r="101">
      <c r="A101" s="17">
        <f>IF($D101="","",ROW()-3)</f>
        <v/>
      </c>
      <c r="B101" s="18" t="n">
        <v>46107</v>
      </c>
      <c r="C101" s="13" t="n"/>
      <c r="D101" s="13" t="inlineStr">
        <is>
          <t>民盛生鲜店</t>
        </is>
      </c>
      <c r="E101" s="13" t="inlineStr">
        <is>
          <t>辅材</t>
        </is>
      </c>
      <c r="F101" s="17">
        <f>IF($D101="","",IFERROR(VLOOKUP($E101,材料归属,2,0),"※材料类别没选"))</f>
        <v/>
      </c>
      <c r="G101" s="13" t="inlineStr">
        <is>
          <t>安装工资</t>
        </is>
      </c>
      <c r="H101" s="13" t="n"/>
      <c r="I101" s="13" t="inlineStr">
        <is>
          <t>工</t>
        </is>
      </c>
      <c r="J101" s="20" t="n">
        <v>2</v>
      </c>
      <c r="K101" s="14" t="n">
        <v>350</v>
      </c>
      <c r="L101" s="19">
        <f>IF($D101="","",ROUND(IF($J101="",1,$J101)*N($K101),2))</f>
        <v/>
      </c>
      <c r="M101" s="13" t="inlineStr">
        <is>
          <t>原表·辅材</t>
        </is>
      </c>
      <c r="N101" s="17">
        <f>IF($D101="","",IF(ISNA(MATCH($D101,项目名表,0)),"※项目不在项目台账里",IF($F101="※材料类别没选","※材料类别没选",IF(AND($C101&lt;&gt;"",ISNA(MATCH($C101,供应商表,0))),"※供应商不在基础资料里",""))))</f>
        <v/>
      </c>
    </row>
    <row r="102">
      <c r="A102" s="17">
        <f>IF($D102="","",ROW()-3)</f>
        <v/>
      </c>
      <c r="B102" s="18" t="n">
        <v>46108</v>
      </c>
      <c r="C102" s="13" t="n"/>
      <c r="D102" s="13" t="inlineStr">
        <is>
          <t>饺子店</t>
        </is>
      </c>
      <c r="E102" s="13" t="inlineStr">
        <is>
          <t>主材</t>
        </is>
      </c>
      <c r="F102" s="17">
        <f>IF($D102="","",IFERROR(VLOOKUP($E102,材料归属,2,0),"※材料类别没选"))</f>
        <v/>
      </c>
      <c r="G102" s="13" t="inlineStr">
        <is>
          <t>门头软膜</t>
        </is>
      </c>
      <c r="H102" s="13" t="n"/>
      <c r="I102" s="13" t="inlineStr">
        <is>
          <t>m²</t>
        </is>
      </c>
      <c r="J102" s="20" t="n">
        <v>1</v>
      </c>
      <c r="K102" s="14" t="n">
        <v>116</v>
      </c>
      <c r="L102" s="19">
        <f>IF($D102="","",ROUND(IF($J102="",1,$J102)*N($K102),2))</f>
        <v/>
      </c>
      <c r="M102" s="13" t="inlineStr">
        <is>
          <t>原表·主材</t>
        </is>
      </c>
      <c r="N102" s="17">
        <f>IF($D102="","",IF(ISNA(MATCH($D102,项目名表,0)),"※项目不在项目台账里",IF($F102="※材料类别没选","※材料类别没选",IF(AND($C102&lt;&gt;"",ISNA(MATCH($C102,供应商表,0))),"※供应商不在基础资料里",""))))</f>
        <v/>
      </c>
    </row>
    <row r="103">
      <c r="A103" s="17">
        <f>IF($D103="","",ROW()-3)</f>
        <v/>
      </c>
      <c r="B103" s="18" t="n">
        <v>46108</v>
      </c>
      <c r="C103" s="13" t="n"/>
      <c r="D103" s="13" t="inlineStr">
        <is>
          <t>饺子店</t>
        </is>
      </c>
      <c r="E103" s="13" t="inlineStr">
        <is>
          <t>主材</t>
        </is>
      </c>
      <c r="F103" s="17">
        <f>IF($D103="","",IFERROR(VLOOKUP($E103,材料归属,2,0),"※材料类别没选"))</f>
        <v/>
      </c>
      <c r="G103" s="13" t="inlineStr">
        <is>
          <t>7.5型材</t>
        </is>
      </c>
      <c r="H103" s="13" t="n"/>
      <c r="I103" s="13" t="inlineStr">
        <is>
          <t>米</t>
        </is>
      </c>
      <c r="J103" s="20" t="n">
        <v>29.08</v>
      </c>
      <c r="K103" s="14" t="n">
        <v>12</v>
      </c>
      <c r="L103" s="19">
        <f>IF($D103="","",ROUND(IF($J103="",1,$J103)*N($K103),2))</f>
        <v/>
      </c>
      <c r="M103" s="13" t="inlineStr">
        <is>
          <t>原表·主材</t>
        </is>
      </c>
      <c r="N103" s="17">
        <f>IF($D103="","",IF(ISNA(MATCH($D103,项目名表,0)),"※项目不在项目台账里",IF($F103="※材料类别没选","※材料类别没选",IF(AND($C103&lt;&gt;"",ISNA(MATCH($C103,供应商表,0))),"※供应商不在基础资料里",""))))</f>
        <v/>
      </c>
    </row>
    <row r="104">
      <c r="A104" s="17">
        <f>IF($D104="","",ROW()-3)</f>
        <v/>
      </c>
      <c r="B104" s="18" t="n">
        <v>46108</v>
      </c>
      <c r="C104" s="13" t="n"/>
      <c r="D104" s="13" t="inlineStr">
        <is>
          <t>饺子店</t>
        </is>
      </c>
      <c r="E104" s="13" t="inlineStr">
        <is>
          <t>主材</t>
        </is>
      </c>
      <c r="F104" s="17">
        <f>IF($D104="","",IFERROR(VLOOKUP($E104,材料归属,2,0),"※材料类别没选"))</f>
        <v/>
      </c>
      <c r="G104" s="13" t="inlineStr">
        <is>
          <t>反光背板</t>
        </is>
      </c>
      <c r="H104" s="13" t="n"/>
      <c r="I104" s="13" t="inlineStr">
        <is>
          <t>张</t>
        </is>
      </c>
      <c r="J104" s="20" t="n">
        <v>5</v>
      </c>
      <c r="K104" s="14" t="n">
        <v>25</v>
      </c>
      <c r="L104" s="19">
        <f>IF($D104="","",ROUND(IF($J104="",1,$J104)*N($K104),2))</f>
        <v/>
      </c>
      <c r="M104" s="13" t="inlineStr">
        <is>
          <t>原表·主材</t>
        </is>
      </c>
      <c r="N104" s="17">
        <f>IF($D104="","",IF(ISNA(MATCH($D104,项目名表,0)),"※项目不在项目台账里",IF($F104="※材料类别没选","※材料类别没选",IF(AND($C104&lt;&gt;"",ISNA(MATCH($C104,供应商表,0))),"※供应商不在基础资料里",""))))</f>
        <v/>
      </c>
    </row>
    <row r="105">
      <c r="A105" s="17">
        <f>IF($D105="","",ROW()-3)</f>
        <v/>
      </c>
      <c r="B105" s="18" t="n">
        <v>46108</v>
      </c>
      <c r="C105" s="13" t="n"/>
      <c r="D105" s="13" t="inlineStr">
        <is>
          <t>饺子店</t>
        </is>
      </c>
      <c r="E105" s="13" t="inlineStr">
        <is>
          <t>主材</t>
        </is>
      </c>
      <c r="F105" s="17">
        <f>IF($D105="","",IFERROR(VLOOKUP($E105,材料归属,2,0),"※材料类别没选"))</f>
        <v/>
      </c>
      <c r="G105" s="13" t="inlineStr">
        <is>
          <t>灯条</t>
        </is>
      </c>
      <c r="H105" s="13" t="n"/>
      <c r="I105" s="13" t="inlineStr">
        <is>
          <t>根</t>
        </is>
      </c>
      <c r="J105" s="20" t="n">
        <v>68</v>
      </c>
      <c r="K105" s="14" t="n">
        <v>2.5</v>
      </c>
      <c r="L105" s="19">
        <f>IF($D105="","",ROUND(IF($J105="",1,$J105)*N($K105),2))</f>
        <v/>
      </c>
      <c r="M105" s="13" t="inlineStr">
        <is>
          <t>原表·主材</t>
        </is>
      </c>
      <c r="N105" s="17">
        <f>IF($D105="","",IF(ISNA(MATCH($D105,项目名表,0)),"※项目不在项目台账里",IF($F105="※材料类别没选","※材料类别没选",IF(AND($C105&lt;&gt;"",ISNA(MATCH($C105,供应商表,0))),"※供应商不在基础资料里",""))))</f>
        <v/>
      </c>
    </row>
    <row r="106">
      <c r="A106" s="17">
        <f>IF($D106="","",ROW()-3)</f>
        <v/>
      </c>
      <c r="B106" s="18" t="n">
        <v>46108</v>
      </c>
      <c r="C106" s="13" t="n"/>
      <c r="D106" s="13" t="inlineStr">
        <is>
          <t>饺子店</t>
        </is>
      </c>
      <c r="E106" s="13" t="inlineStr">
        <is>
          <t>主材</t>
        </is>
      </c>
      <c r="F106" s="17">
        <f>IF($D106="","",IFERROR(VLOOKUP($E106,材料归属,2,0),"※材料类别没选"))</f>
        <v/>
      </c>
      <c r="G106" s="13" t="inlineStr">
        <is>
          <t>辅材+车辆</t>
        </is>
      </c>
      <c r="H106" s="13" t="n"/>
      <c r="I106" s="13" t="inlineStr">
        <is>
          <t>趟</t>
        </is>
      </c>
      <c r="J106" s="20" t="n">
        <v>1</v>
      </c>
      <c r="K106" s="14" t="n">
        <v>150</v>
      </c>
      <c r="L106" s="19">
        <f>IF($D106="","",ROUND(IF($J106="",1,$J106)*N($K106),2))</f>
        <v/>
      </c>
      <c r="M106" s="13" t="inlineStr">
        <is>
          <t>原表·主材</t>
        </is>
      </c>
      <c r="N106" s="17">
        <f>IF($D106="","",IF(ISNA(MATCH($D106,项目名表,0)),"※项目不在项目台账里",IF($F106="※材料类别没选","※材料类别没选",IF(AND($C106&lt;&gt;"",ISNA(MATCH($C106,供应商表,0))),"※供应商不在基础资料里",""))))</f>
        <v/>
      </c>
    </row>
    <row r="107">
      <c r="A107" s="17">
        <f>IF($D107="","",ROW()-3)</f>
        <v/>
      </c>
      <c r="B107" s="18" t="n">
        <v>46108</v>
      </c>
      <c r="C107" s="13" t="n"/>
      <c r="D107" s="13" t="inlineStr">
        <is>
          <t>饺子店</t>
        </is>
      </c>
      <c r="E107" s="13" t="inlineStr">
        <is>
          <t>辅材</t>
        </is>
      </c>
      <c r="F107" s="17">
        <f>IF($D107="","",IFERROR(VLOOKUP($E107,材料归属,2,0),"※材料类别没选"))</f>
        <v/>
      </c>
      <c r="G107" s="13" t="inlineStr">
        <is>
          <t>安装工资</t>
        </is>
      </c>
      <c r="H107" s="13" t="n"/>
      <c r="I107" s="13" t="inlineStr">
        <is>
          <t>工</t>
        </is>
      </c>
      <c r="J107" s="20" t="n">
        <v>2</v>
      </c>
      <c r="K107" s="14" t="n">
        <v>350</v>
      </c>
      <c r="L107" s="19">
        <f>IF($D107="","",ROUND(IF($J107="",1,$J107)*N($K107),2))</f>
        <v/>
      </c>
      <c r="M107" s="13" t="inlineStr">
        <is>
          <t>原表·辅材</t>
        </is>
      </c>
      <c r="N107" s="17">
        <f>IF($D107="","",IF(ISNA(MATCH($D107,项目名表,0)),"※项目不在项目台账里",IF($F107="※材料类别没选","※材料类别没选",IF(AND($C107&lt;&gt;"",ISNA(MATCH($C107,供应商表,0))),"※供应商不在基础资料里",""))))</f>
        <v/>
      </c>
    </row>
    <row r="108">
      <c r="A108" s="17">
        <f>IF($D108="","",ROW()-3)</f>
        <v/>
      </c>
      <c r="B108" s="18" t="n">
        <v>46108</v>
      </c>
      <c r="C108" s="13" t="n"/>
      <c r="D108" s="13" t="inlineStr">
        <is>
          <t>睿芯行</t>
        </is>
      </c>
      <c r="E108" s="13" t="inlineStr">
        <is>
          <t>主材</t>
        </is>
      </c>
      <c r="F108" s="17">
        <f>IF($D108="","",IFERROR(VLOOKUP($E108,材料归属,2,0),"※材料类别没选"))</f>
        <v/>
      </c>
      <c r="G108" s="13" t="inlineStr">
        <is>
          <t>斜纹地贴</t>
        </is>
      </c>
      <c r="H108" s="13" t="n"/>
      <c r="I108" s="13" t="n"/>
      <c r="J108" s="20" t="n">
        <v>1</v>
      </c>
      <c r="K108" s="14" t="n">
        <v>1040</v>
      </c>
      <c r="L108" s="19">
        <f>IF($D108="","",ROUND(IF($J108="",1,$J108)*N($K108),2))</f>
        <v/>
      </c>
      <c r="M108" s="13" t="inlineStr">
        <is>
          <t>原表·主材</t>
        </is>
      </c>
      <c r="N108" s="17">
        <f>IF($D108="","",IF(ISNA(MATCH($D108,项目名表,0)),"※项目不在项目台账里",IF($F108="※材料类别没选","※材料类别没选",IF(AND($C108&lt;&gt;"",ISNA(MATCH($C108,供应商表,0))),"※供应商不在基础资料里",""))))</f>
        <v/>
      </c>
    </row>
    <row r="109">
      <c r="A109" s="17">
        <f>IF($D109="","",ROW()-3)</f>
        <v/>
      </c>
      <c r="B109" s="18" t="n">
        <v>46108</v>
      </c>
      <c r="C109" s="13" t="n"/>
      <c r="D109" s="13" t="inlineStr">
        <is>
          <t>睿芯行</t>
        </is>
      </c>
      <c r="E109" s="13" t="inlineStr">
        <is>
          <t>主材</t>
        </is>
      </c>
      <c r="F109" s="17">
        <f>IF($D109="","",IFERROR(VLOOKUP($E109,材料归属,2,0),"※材料类别没选"))</f>
        <v/>
      </c>
      <c r="G109" s="13" t="inlineStr">
        <is>
          <t>腰条</t>
        </is>
      </c>
      <c r="H109" s="13" t="n"/>
      <c r="I109" s="13" t="n"/>
      <c r="J109" s="20" t="n">
        <v>1</v>
      </c>
      <c r="K109" s="14" t="n">
        <v>277</v>
      </c>
      <c r="L109" s="19">
        <f>IF($D109="","",ROUND(IF($J109="",1,$J109)*N($K109),2))</f>
        <v/>
      </c>
      <c r="M109" s="13" t="inlineStr">
        <is>
          <t>原表·主材</t>
        </is>
      </c>
      <c r="N109" s="17">
        <f>IF($D109="","",IF(ISNA(MATCH($D109,项目名表,0)),"※项目不在项目台账里",IF($F109="※材料类别没选","※材料类别没选",IF(AND($C109&lt;&gt;"",ISNA(MATCH($C109,供应商表,0))),"※供应商不在基础资料里",""))))</f>
        <v/>
      </c>
    </row>
    <row r="110">
      <c r="A110" s="17">
        <f>IF($D110="","",ROW()-3)</f>
        <v/>
      </c>
      <c r="B110" s="18" t="n">
        <v>46108</v>
      </c>
      <c r="C110" s="13" t="inlineStr">
        <is>
          <t>武帝</t>
        </is>
      </c>
      <c r="D110" s="13" t="inlineStr">
        <is>
          <t>睿芯行</t>
        </is>
      </c>
      <c r="E110" s="13" t="inlineStr">
        <is>
          <t>主材</t>
        </is>
      </c>
      <c r="F110" s="17">
        <f>IF($D110="","",IFERROR(VLOOKUP($E110,材料归属,2,0),"※材料类别没选"))</f>
        <v/>
      </c>
      <c r="G110" s="13" t="inlineStr">
        <is>
          <t>落地景观字</t>
        </is>
      </c>
      <c r="H110" s="13" t="n"/>
      <c r="I110" s="13" t="n"/>
      <c r="J110" s="20" t="n">
        <v>1</v>
      </c>
      <c r="K110" s="14" t="n">
        <v>5000</v>
      </c>
      <c r="L110" s="19">
        <f>IF($D110="","",ROUND(IF($J110="",1,$J110)*N($K110),2))</f>
        <v/>
      </c>
      <c r="M110" s="13" t="inlineStr">
        <is>
          <t>原表·主材</t>
        </is>
      </c>
      <c r="N110" s="17">
        <f>IF($D110="","",IF(ISNA(MATCH($D110,项目名表,0)),"※项目不在项目台账里",IF($F110="※材料类别没选","※材料类别没选",IF(AND($C110&lt;&gt;"",ISNA(MATCH($C110,供应商表,0))),"※供应商不在基础资料里",""))))</f>
        <v/>
      </c>
    </row>
    <row r="111">
      <c r="A111" s="17">
        <f>IF($D111="","",ROW()-3)</f>
        <v/>
      </c>
      <c r="B111" s="18" t="n">
        <v>46108</v>
      </c>
      <c r="C111" s="13" t="inlineStr">
        <is>
          <t>小王</t>
        </is>
      </c>
      <c r="D111" s="13" t="inlineStr">
        <is>
          <t>睿芯行</t>
        </is>
      </c>
      <c r="E111" s="13" t="inlineStr">
        <is>
          <t>主材</t>
        </is>
      </c>
      <c r="F111" s="17">
        <f>IF($D111="","",IFERROR(VLOOKUP($E111,材料归属,2,0),"※材料类别没选"))</f>
        <v/>
      </c>
      <c r="G111" s="13" t="inlineStr">
        <is>
          <t>pvc板+kt板</t>
        </is>
      </c>
      <c r="H111" s="13" t="n"/>
      <c r="I111" s="13" t="n"/>
      <c r="J111" s="20" t="n">
        <v>1</v>
      </c>
      <c r="K111" s="14" t="n">
        <v>1785.97</v>
      </c>
      <c r="L111" s="19">
        <f>IF($D111="","",ROUND(IF($J111="",1,$J111)*N($K111),2))</f>
        <v/>
      </c>
      <c r="M111" s="13" t="inlineStr">
        <is>
          <t>原表·主材</t>
        </is>
      </c>
      <c r="N111" s="17">
        <f>IF($D111="","",IF(ISNA(MATCH($D111,项目名表,0)),"※项目不在项目台账里",IF($F111="※材料类别没选","※材料类别没选",IF(AND($C111&lt;&gt;"",ISNA(MATCH($C111,供应商表,0))),"※供应商不在基础资料里",""))))</f>
        <v/>
      </c>
    </row>
    <row r="112">
      <c r="A112" s="17">
        <f>IF($D112="","",ROW()-3)</f>
        <v/>
      </c>
      <c r="B112" s="18" t="n">
        <v>46108</v>
      </c>
      <c r="C112" s="13" t="n"/>
      <c r="D112" s="13" t="inlineStr">
        <is>
          <t>睿芯行</t>
        </is>
      </c>
      <c r="E112" s="13" t="inlineStr">
        <is>
          <t>主材</t>
        </is>
      </c>
      <c r="F112" s="17">
        <f>IF($D112="","",IFERROR(VLOOKUP($E112,材料归属,2,0),"※材料类别没选"))</f>
        <v/>
      </c>
      <c r="G112" s="13" t="inlineStr">
        <is>
          <t>pvc板+包边+墙面亚克力字</t>
        </is>
      </c>
      <c r="H112" s="13" t="n"/>
      <c r="I112" s="13" t="n"/>
      <c r="J112" s="20" t="n">
        <v>1</v>
      </c>
      <c r="K112" s="14" t="n">
        <v>4300</v>
      </c>
      <c r="L112" s="19">
        <f>IF($D112="","",ROUND(IF($J112="",1,$J112)*N($K112),2))</f>
        <v/>
      </c>
      <c r="M112" s="13" t="inlineStr">
        <is>
          <t>原表·主材</t>
        </is>
      </c>
      <c r="N112" s="17">
        <f>IF($D112="","",IF(ISNA(MATCH($D112,项目名表,0)),"※项目不在项目台账里",IF($F112="※材料类别没选","※材料类别没选",IF(AND($C112&lt;&gt;"",ISNA(MATCH($C112,供应商表,0))),"※供应商不在基础资料里",""))))</f>
        <v/>
      </c>
    </row>
    <row r="113">
      <c r="A113" s="17">
        <f>IF($D113="","",ROW()-3)</f>
        <v/>
      </c>
      <c r="B113" s="18" t="n">
        <v>46108</v>
      </c>
      <c r="C113" s="13" t="n"/>
      <c r="D113" s="13" t="inlineStr">
        <is>
          <t>睿芯行</t>
        </is>
      </c>
      <c r="E113" s="13" t="inlineStr">
        <is>
          <t>主材</t>
        </is>
      </c>
      <c r="F113" s="17">
        <f>IF($D113="","",IFERROR(VLOOKUP($E113,材料归属,2,0),"※材料类别没选"))</f>
        <v/>
      </c>
      <c r="G113" s="13" t="inlineStr">
        <is>
          <t>3*3钢管</t>
        </is>
      </c>
      <c r="H113" s="13" t="n"/>
      <c r="I113" s="13" t="n"/>
      <c r="J113" s="20" t="n">
        <v>6</v>
      </c>
      <c r="K113" s="14" t="n">
        <v>25</v>
      </c>
      <c r="L113" s="19">
        <f>IF($D113="","",ROUND(IF($J113="",1,$J113)*N($K113),2))</f>
        <v/>
      </c>
      <c r="M113" s="13" t="inlineStr">
        <is>
          <t>原表·主材</t>
        </is>
      </c>
      <c r="N113" s="17">
        <f>IF($D113="","",IF(ISNA(MATCH($D113,项目名表,0)),"※项目不在项目台账里",IF($F113="※材料类别没选","※材料类别没选",IF(AND($C113&lt;&gt;"",ISNA(MATCH($C113,供应商表,0))),"※供应商不在基础资料里",""))))</f>
        <v/>
      </c>
    </row>
    <row r="114">
      <c r="A114" s="17">
        <f>IF($D114="","",ROW()-3)</f>
        <v/>
      </c>
      <c r="B114" s="18" t="n">
        <v>46108</v>
      </c>
      <c r="C114" s="13" t="n"/>
      <c r="D114" s="13" t="inlineStr">
        <is>
          <t>睿芯行</t>
        </is>
      </c>
      <c r="E114" s="13" t="inlineStr">
        <is>
          <t>主材</t>
        </is>
      </c>
      <c r="F114" s="17">
        <f>IF($D114="","",IFERROR(VLOOKUP($E114,材料归属,2,0),"※材料类别没选"))</f>
        <v/>
      </c>
      <c r="G114" s="13" t="inlineStr">
        <is>
          <t>辅料+车辆</t>
        </is>
      </c>
      <c r="H114" s="13" t="n"/>
      <c r="I114" s="13" t="n"/>
      <c r="J114" s="20" t="n">
        <v>5</v>
      </c>
      <c r="K114" s="14" t="n">
        <v>150</v>
      </c>
      <c r="L114" s="19">
        <f>IF($D114="","",ROUND(IF($J114="",1,$J114)*N($K114),2))</f>
        <v/>
      </c>
      <c r="M114" s="13" t="inlineStr">
        <is>
          <t>原表·主材</t>
        </is>
      </c>
      <c r="N114" s="17">
        <f>IF($D114="","",IF(ISNA(MATCH($D114,项目名表,0)),"※项目不在项目台账里",IF($F114="※材料类别没选","※材料类别没选",IF(AND($C114&lt;&gt;"",ISNA(MATCH($C114,供应商表,0))),"※供应商不在基础资料里",""))))</f>
        <v/>
      </c>
    </row>
    <row r="115">
      <c r="A115" s="17">
        <f>IF($D115="","",ROW()-3)</f>
        <v/>
      </c>
      <c r="B115" s="18" t="n">
        <v>46108</v>
      </c>
      <c r="C115" s="13" t="n"/>
      <c r="D115" s="13" t="inlineStr">
        <is>
          <t>睿芯行</t>
        </is>
      </c>
      <c r="E115" s="13" t="inlineStr">
        <is>
          <t>辅材</t>
        </is>
      </c>
      <c r="F115" s="17">
        <f>IF($D115="","",IFERROR(VLOOKUP($E115,材料归属,2,0),"※材料类别没选"))</f>
        <v/>
      </c>
      <c r="G115" s="13" t="inlineStr">
        <is>
          <t>安装工资</t>
        </is>
      </c>
      <c r="H115" s="13" t="n"/>
      <c r="I115" s="13" t="inlineStr">
        <is>
          <t>工</t>
        </is>
      </c>
      <c r="J115" s="20" t="n">
        <v>6</v>
      </c>
      <c r="K115" s="14" t="n">
        <v>450</v>
      </c>
      <c r="L115" s="19">
        <f>IF($D115="","",ROUND(IF($J115="",1,$J115)*N($K115),2))</f>
        <v/>
      </c>
      <c r="M115" s="13" t="inlineStr">
        <is>
          <t>原表·辅材</t>
        </is>
      </c>
      <c r="N115" s="17">
        <f>IF($D115="","",IF(ISNA(MATCH($D115,项目名表,0)),"※项目不在项目台账里",IF($F115="※材料类别没选","※材料类别没选",IF(AND($C115&lt;&gt;"",ISNA(MATCH($C115,供应商表,0))),"※供应商不在基础资料里",""))))</f>
        <v/>
      </c>
    </row>
    <row r="116">
      <c r="A116" s="17">
        <f>IF($D116="","",ROW()-3)</f>
        <v/>
      </c>
      <c r="B116" s="18" t="n">
        <v>46106</v>
      </c>
      <c r="C116" s="13" t="n"/>
      <c r="D116" s="13" t="inlineStr">
        <is>
          <t>东尼电子26.3-4</t>
        </is>
      </c>
      <c r="E116" s="13" t="inlineStr">
        <is>
          <t>其他材料</t>
        </is>
      </c>
      <c r="F116" s="17">
        <f>IF($D116="","",IFERROR(VLOOKUP($E116,材料归属,2,0),"※材料类别没选"))</f>
        <v/>
      </c>
      <c r="G116" s="13" t="inlineStr">
        <is>
          <t>原表整批成本(未分品名)</t>
        </is>
      </c>
      <c r="H116" s="13" t="n"/>
      <c r="I116" s="13" t="inlineStr">
        <is>
          <t>批</t>
        </is>
      </c>
      <c r="J116" s="20" t="n">
        <v>1</v>
      </c>
      <c r="K116" s="14" t="n">
        <v>2056.59</v>
      </c>
      <c r="L116" s="19">
        <f>IF($D116="","",ROUND(IF($J116="",1,$J116)*N($K116),2))</f>
        <v/>
      </c>
      <c r="M116" s="13" t="inlineStr">
        <is>
          <t>原表 H 列</t>
        </is>
      </c>
      <c r="N116" s="17">
        <f>IF($D116="","",IF(ISNA(MATCH($D116,项目名表,0)),"※项目不在项目台账里",IF($F116="※材料类别没选","※材料类别没选",IF(AND($C116&lt;&gt;"",ISNA(MATCH($C116,供应商表,0))),"※供应商不在基础资料里",""))))</f>
        <v/>
      </c>
    </row>
    <row r="117">
      <c r="A117" s="17">
        <f>IF($D117="","",ROW()-3)</f>
        <v/>
      </c>
      <c r="B117" s="18" t="n">
        <v>46169</v>
      </c>
      <c r="C117" s="13" t="n"/>
      <c r="D117" s="13" t="inlineStr">
        <is>
          <t>东尼电子26.5</t>
        </is>
      </c>
      <c r="E117" s="13" t="inlineStr">
        <is>
          <t>其他材料</t>
        </is>
      </c>
      <c r="F117" s="17">
        <f>IF($D117="","",IFERROR(VLOOKUP($E117,材料归属,2,0),"※材料类别没选"))</f>
        <v/>
      </c>
      <c r="G117" s="13" t="inlineStr">
        <is>
          <t>原表整批成本(未分品名)</t>
        </is>
      </c>
      <c r="H117" s="13" t="n"/>
      <c r="I117" s="13" t="inlineStr">
        <is>
          <t>批</t>
        </is>
      </c>
      <c r="J117" s="20" t="n">
        <v>1</v>
      </c>
      <c r="K117" s="14" t="n">
        <v>1023.5</v>
      </c>
      <c r="L117" s="19">
        <f>IF($D117="","",ROUND(IF($J117="",1,$J117)*N($K117),2))</f>
        <v/>
      </c>
      <c r="M117" s="13" t="inlineStr">
        <is>
          <t>原表 H 列</t>
        </is>
      </c>
      <c r="N117" s="17">
        <f>IF($D117="","",IF(ISNA(MATCH($D117,项目名表,0)),"※项目不在项目台账里",IF($F117="※材料类别没选","※材料类别没选",IF(AND($C117&lt;&gt;"",ISNA(MATCH($C117,供应商表,0))),"※供应商不在基础资料里",""))))</f>
        <v/>
      </c>
    </row>
    <row r="118">
      <c r="A118" s="17">
        <f>IF($D118="","",ROW()-3)</f>
        <v/>
      </c>
      <c r="B118" s="18" t="n"/>
      <c r="C118" s="13" t="n"/>
      <c r="D118" s="13" t="n"/>
      <c r="E118" s="13" t="n"/>
      <c r="F118" s="17">
        <f>IF($D118="","",IFERROR(VLOOKUP($E118,材料归属,2,0),"※材料类别没选"))</f>
        <v/>
      </c>
      <c r="G118" s="13" t="n"/>
      <c r="H118" s="13" t="n"/>
      <c r="I118" s="13" t="n"/>
      <c r="J118" s="20" t="n"/>
      <c r="K118" s="14" t="n"/>
      <c r="L118" s="19">
        <f>IF($D118="","",ROUND(IF($J118="",1,$J118)*N($K118),2))</f>
        <v/>
      </c>
      <c r="M118" s="13" t="n"/>
      <c r="N118" s="17">
        <f>IF($D118="","",IF(ISNA(MATCH($D118,项目名表,0)),"※项目不在项目台账里",IF($F118="※材料类别没选","※材料类别没选",IF(AND($C118&lt;&gt;"",ISNA(MATCH($C118,供应商表,0))),"※供应商不在基础资料里",""))))</f>
        <v/>
      </c>
    </row>
    <row r="119">
      <c r="A119" s="17">
        <f>IF($D119="","",ROW()-3)</f>
        <v/>
      </c>
      <c r="B119" s="18" t="n"/>
      <c r="C119" s="13" t="n"/>
      <c r="D119" s="13" t="n"/>
      <c r="E119" s="13" t="n"/>
      <c r="F119" s="17">
        <f>IF($D119="","",IFERROR(VLOOKUP($E119,材料归属,2,0),"※材料类别没选"))</f>
        <v/>
      </c>
      <c r="G119" s="13" t="n"/>
      <c r="H119" s="13" t="n"/>
      <c r="I119" s="13" t="n"/>
      <c r="J119" s="20" t="n"/>
      <c r="K119" s="14" t="n"/>
      <c r="L119" s="19">
        <f>IF($D119="","",ROUND(IF($J119="",1,$J119)*N($K119),2))</f>
        <v/>
      </c>
      <c r="M119" s="13" t="n"/>
      <c r="N119" s="17">
        <f>IF($D119="","",IF(ISNA(MATCH($D119,项目名表,0)),"※项目不在项目台账里",IF($F119="※材料类别没选","※材料类别没选",IF(AND($C119&lt;&gt;"",ISNA(MATCH($C119,供应商表,0))),"※供应商不在基础资料里",""))))</f>
        <v/>
      </c>
    </row>
    <row r="120">
      <c r="A120" s="17">
        <f>IF($D120="","",ROW()-3)</f>
        <v/>
      </c>
      <c r="B120" s="18" t="n"/>
      <c r="C120" s="13" t="n"/>
      <c r="D120" s="13" t="n"/>
      <c r="E120" s="13" t="n"/>
      <c r="F120" s="17">
        <f>IF($D120="","",IFERROR(VLOOKUP($E120,材料归属,2,0),"※材料类别没选"))</f>
        <v/>
      </c>
      <c r="G120" s="13" t="n"/>
      <c r="H120" s="13" t="n"/>
      <c r="I120" s="13" t="n"/>
      <c r="J120" s="20" t="n"/>
      <c r="K120" s="14" t="n"/>
      <c r="L120" s="19">
        <f>IF($D120="","",ROUND(IF($J120="",1,$J120)*N($K120),2))</f>
        <v/>
      </c>
      <c r="M120" s="13" t="n"/>
      <c r="N120" s="17">
        <f>IF($D120="","",IF(ISNA(MATCH($D120,项目名表,0)),"※项目不在项目台账里",IF($F120="※材料类别没选","※材料类别没选",IF(AND($C120&lt;&gt;"",ISNA(MATCH($C120,供应商表,0))),"※供应商不在基础资料里",""))))</f>
        <v/>
      </c>
    </row>
    <row r="121">
      <c r="A121" s="17">
        <f>IF($D121="","",ROW()-3)</f>
        <v/>
      </c>
      <c r="B121" s="18" t="n"/>
      <c r="C121" s="13" t="n"/>
      <c r="D121" s="13" t="n"/>
      <c r="E121" s="13" t="n"/>
      <c r="F121" s="17">
        <f>IF($D121="","",IFERROR(VLOOKUP($E121,材料归属,2,0),"※材料类别没选"))</f>
        <v/>
      </c>
      <c r="G121" s="13" t="n"/>
      <c r="H121" s="13" t="n"/>
      <c r="I121" s="13" t="n"/>
      <c r="J121" s="20" t="n"/>
      <c r="K121" s="14" t="n"/>
      <c r="L121" s="19">
        <f>IF($D121="","",ROUND(IF($J121="",1,$J121)*N($K121),2))</f>
        <v/>
      </c>
      <c r="M121" s="13" t="n"/>
      <c r="N121" s="17">
        <f>IF($D121="","",IF(ISNA(MATCH($D121,项目名表,0)),"※项目不在项目台账里",IF($F121="※材料类别没选","※材料类别没选",IF(AND($C121&lt;&gt;"",ISNA(MATCH($C121,供应商表,0))),"※供应商不在基础资料里",""))))</f>
        <v/>
      </c>
    </row>
    <row r="122">
      <c r="A122" s="17">
        <f>IF($D122="","",ROW()-3)</f>
        <v/>
      </c>
      <c r="B122" s="18" t="n"/>
      <c r="C122" s="13" t="n"/>
      <c r="D122" s="13" t="n"/>
      <c r="E122" s="13" t="n"/>
      <c r="F122" s="17">
        <f>IF($D122="","",IFERROR(VLOOKUP($E122,材料归属,2,0),"※材料类别没选"))</f>
        <v/>
      </c>
      <c r="G122" s="13" t="n"/>
      <c r="H122" s="13" t="n"/>
      <c r="I122" s="13" t="n"/>
      <c r="J122" s="20" t="n"/>
      <c r="K122" s="14" t="n"/>
      <c r="L122" s="19">
        <f>IF($D122="","",ROUND(IF($J122="",1,$J122)*N($K122),2))</f>
        <v/>
      </c>
      <c r="M122" s="13" t="n"/>
      <c r="N122" s="17">
        <f>IF($D122="","",IF(ISNA(MATCH($D122,项目名表,0)),"※项目不在项目台账里",IF($F122="※材料类别没选","※材料类别没选",IF(AND($C122&lt;&gt;"",ISNA(MATCH($C122,供应商表,0))),"※供应商不在基础资料里",""))))</f>
        <v/>
      </c>
    </row>
    <row r="123">
      <c r="A123" s="17">
        <f>IF($D123="","",ROW()-3)</f>
        <v/>
      </c>
      <c r="B123" s="18" t="n"/>
      <c r="C123" s="13" t="n"/>
      <c r="D123" s="13" t="n"/>
      <c r="E123" s="13" t="n"/>
      <c r="F123" s="17">
        <f>IF($D123="","",IFERROR(VLOOKUP($E123,材料归属,2,0),"※材料类别没选"))</f>
        <v/>
      </c>
      <c r="G123" s="13" t="n"/>
      <c r="H123" s="13" t="n"/>
      <c r="I123" s="13" t="n"/>
      <c r="J123" s="20" t="n"/>
      <c r="K123" s="14" t="n"/>
      <c r="L123" s="19">
        <f>IF($D123="","",ROUND(IF($J123="",1,$J123)*N($K123),2))</f>
        <v/>
      </c>
      <c r="M123" s="13" t="n"/>
      <c r="N123" s="17">
        <f>IF($D123="","",IF(ISNA(MATCH($D123,项目名表,0)),"※项目不在项目台账里",IF($F123="※材料类别没选","※材料类别没选",IF(AND($C123&lt;&gt;"",ISNA(MATCH($C123,供应商表,0))),"※供应商不在基础资料里",""))))</f>
        <v/>
      </c>
    </row>
    <row r="124">
      <c r="A124" s="17">
        <f>IF($D124="","",ROW()-3)</f>
        <v/>
      </c>
      <c r="B124" s="18" t="n"/>
      <c r="C124" s="13" t="n"/>
      <c r="D124" s="13" t="n"/>
      <c r="E124" s="13" t="n"/>
      <c r="F124" s="17">
        <f>IF($D124="","",IFERROR(VLOOKUP($E124,材料归属,2,0),"※材料类别没选"))</f>
        <v/>
      </c>
      <c r="G124" s="13" t="n"/>
      <c r="H124" s="13" t="n"/>
      <c r="I124" s="13" t="n"/>
      <c r="J124" s="20" t="n"/>
      <c r="K124" s="14" t="n"/>
      <c r="L124" s="19">
        <f>IF($D124="","",ROUND(IF($J124="",1,$J124)*N($K124),2))</f>
        <v/>
      </c>
      <c r="M124" s="13" t="n"/>
      <c r="N124" s="17">
        <f>IF($D124="","",IF(ISNA(MATCH($D124,项目名表,0)),"※项目不在项目台账里",IF($F124="※材料类别没选","※材料类别没选",IF(AND($C124&lt;&gt;"",ISNA(MATCH($C124,供应商表,0))),"※供应商不在基础资料里",""))))</f>
        <v/>
      </c>
    </row>
    <row r="125">
      <c r="A125" s="17">
        <f>IF($D125="","",ROW()-3)</f>
        <v/>
      </c>
      <c r="B125" s="18" t="n"/>
      <c r="C125" s="13" t="n"/>
      <c r="D125" s="13" t="n"/>
      <c r="E125" s="13" t="n"/>
      <c r="F125" s="17">
        <f>IF($D125="","",IFERROR(VLOOKUP($E125,材料归属,2,0),"※材料类别没选"))</f>
        <v/>
      </c>
      <c r="G125" s="13" t="n"/>
      <c r="H125" s="13" t="n"/>
      <c r="I125" s="13" t="n"/>
      <c r="J125" s="20" t="n"/>
      <c r="K125" s="14" t="n"/>
      <c r="L125" s="19">
        <f>IF($D125="","",ROUND(IF($J125="",1,$J125)*N($K125),2))</f>
        <v/>
      </c>
      <c r="M125" s="13" t="n"/>
      <c r="N125" s="17">
        <f>IF($D125="","",IF(ISNA(MATCH($D125,项目名表,0)),"※项目不在项目台账里",IF($F125="※材料类别没选","※材料类别没选",IF(AND($C125&lt;&gt;"",ISNA(MATCH($C125,供应商表,0))),"※供应商不在基础资料里",""))))</f>
        <v/>
      </c>
    </row>
    <row r="126">
      <c r="A126" s="17">
        <f>IF($D126="","",ROW()-3)</f>
        <v/>
      </c>
      <c r="B126" s="18" t="n"/>
      <c r="C126" s="13" t="n"/>
      <c r="D126" s="13" t="n"/>
      <c r="E126" s="13" t="n"/>
      <c r="F126" s="17">
        <f>IF($D126="","",IFERROR(VLOOKUP($E126,材料归属,2,0),"※材料类别没选"))</f>
        <v/>
      </c>
      <c r="G126" s="13" t="n"/>
      <c r="H126" s="13" t="n"/>
      <c r="I126" s="13" t="n"/>
      <c r="J126" s="20" t="n"/>
      <c r="K126" s="14" t="n"/>
      <c r="L126" s="19">
        <f>IF($D126="","",ROUND(IF($J126="",1,$J126)*N($K126),2))</f>
        <v/>
      </c>
      <c r="M126" s="13" t="n"/>
      <c r="N126" s="17">
        <f>IF($D126="","",IF(ISNA(MATCH($D126,项目名表,0)),"※项目不在项目台账里",IF($F126="※材料类别没选","※材料类别没选",IF(AND($C126&lt;&gt;"",ISNA(MATCH($C126,供应商表,0))),"※供应商不在基础资料里",""))))</f>
        <v/>
      </c>
    </row>
    <row r="127">
      <c r="A127" s="17">
        <f>IF($D127="","",ROW()-3)</f>
        <v/>
      </c>
      <c r="B127" s="18" t="n"/>
      <c r="C127" s="13" t="n"/>
      <c r="D127" s="13" t="n"/>
      <c r="E127" s="13" t="n"/>
      <c r="F127" s="17">
        <f>IF($D127="","",IFERROR(VLOOKUP($E127,材料归属,2,0),"※材料类别没选"))</f>
        <v/>
      </c>
      <c r="G127" s="13" t="n"/>
      <c r="H127" s="13" t="n"/>
      <c r="I127" s="13" t="n"/>
      <c r="J127" s="20" t="n"/>
      <c r="K127" s="14" t="n"/>
      <c r="L127" s="19">
        <f>IF($D127="","",ROUND(IF($J127="",1,$J127)*N($K127),2))</f>
        <v/>
      </c>
      <c r="M127" s="13" t="n"/>
      <c r="N127" s="17">
        <f>IF($D127="","",IF(ISNA(MATCH($D127,项目名表,0)),"※项目不在项目台账里",IF($F127="※材料类别没选","※材料类别没选",IF(AND($C127&lt;&gt;"",ISNA(MATCH($C127,供应商表,0))),"※供应商不在基础资料里",""))))</f>
        <v/>
      </c>
    </row>
    <row r="128">
      <c r="A128" s="17">
        <f>IF($D128="","",ROW()-3)</f>
        <v/>
      </c>
      <c r="B128" s="18" t="n"/>
      <c r="C128" s="13" t="n"/>
      <c r="D128" s="13" t="n"/>
      <c r="E128" s="13" t="n"/>
      <c r="F128" s="17">
        <f>IF($D128="","",IFERROR(VLOOKUP($E128,材料归属,2,0),"※材料类别没选"))</f>
        <v/>
      </c>
      <c r="G128" s="13" t="n"/>
      <c r="H128" s="13" t="n"/>
      <c r="I128" s="13" t="n"/>
      <c r="J128" s="20" t="n"/>
      <c r="K128" s="14" t="n"/>
      <c r="L128" s="19">
        <f>IF($D128="","",ROUND(IF($J128="",1,$J128)*N($K128),2))</f>
        <v/>
      </c>
      <c r="M128" s="13" t="n"/>
      <c r="N128" s="17">
        <f>IF($D128="","",IF(ISNA(MATCH($D128,项目名表,0)),"※项目不在项目台账里",IF($F128="※材料类别没选","※材料类别没选",IF(AND($C128&lt;&gt;"",ISNA(MATCH($C128,供应商表,0))),"※供应商不在基础资料里",""))))</f>
        <v/>
      </c>
    </row>
    <row r="129">
      <c r="A129" s="17">
        <f>IF($D129="","",ROW()-3)</f>
        <v/>
      </c>
      <c r="B129" s="18" t="n"/>
      <c r="C129" s="13" t="n"/>
      <c r="D129" s="13" t="n"/>
      <c r="E129" s="13" t="n"/>
      <c r="F129" s="17">
        <f>IF($D129="","",IFERROR(VLOOKUP($E129,材料归属,2,0),"※材料类别没选"))</f>
        <v/>
      </c>
      <c r="G129" s="13" t="n"/>
      <c r="H129" s="13" t="n"/>
      <c r="I129" s="13" t="n"/>
      <c r="J129" s="20" t="n"/>
      <c r="K129" s="14" t="n"/>
      <c r="L129" s="19">
        <f>IF($D129="","",ROUND(IF($J129="",1,$J129)*N($K129),2))</f>
        <v/>
      </c>
      <c r="M129" s="13" t="n"/>
      <c r="N129" s="17">
        <f>IF($D129="","",IF(ISNA(MATCH($D129,项目名表,0)),"※项目不在项目台账里",IF($F129="※材料类别没选","※材料类别没选",IF(AND($C129&lt;&gt;"",ISNA(MATCH($C129,供应商表,0))),"※供应商不在基础资料里",""))))</f>
        <v/>
      </c>
    </row>
    <row r="130">
      <c r="A130" s="17">
        <f>IF($D130="","",ROW()-3)</f>
        <v/>
      </c>
      <c r="B130" s="18" t="n"/>
      <c r="C130" s="13" t="n"/>
      <c r="D130" s="13" t="n"/>
      <c r="E130" s="13" t="n"/>
      <c r="F130" s="17">
        <f>IF($D130="","",IFERROR(VLOOKUP($E130,材料归属,2,0),"※材料类别没选"))</f>
        <v/>
      </c>
      <c r="G130" s="13" t="n"/>
      <c r="H130" s="13" t="n"/>
      <c r="I130" s="13" t="n"/>
      <c r="J130" s="20" t="n"/>
      <c r="K130" s="14" t="n"/>
      <c r="L130" s="19">
        <f>IF($D130="","",ROUND(IF($J130="",1,$J130)*N($K130),2))</f>
        <v/>
      </c>
      <c r="M130" s="13" t="n"/>
      <c r="N130" s="17">
        <f>IF($D130="","",IF(ISNA(MATCH($D130,项目名表,0)),"※项目不在项目台账里",IF($F130="※材料类别没选","※材料类别没选",IF(AND($C130&lt;&gt;"",ISNA(MATCH($C130,供应商表,0))),"※供应商不在基础资料里",""))))</f>
        <v/>
      </c>
    </row>
    <row r="131">
      <c r="A131" s="17">
        <f>IF($D131="","",ROW()-3)</f>
        <v/>
      </c>
      <c r="B131" s="18" t="n"/>
      <c r="C131" s="13" t="n"/>
      <c r="D131" s="13" t="n"/>
      <c r="E131" s="13" t="n"/>
      <c r="F131" s="17">
        <f>IF($D131="","",IFERROR(VLOOKUP($E131,材料归属,2,0),"※材料类别没选"))</f>
        <v/>
      </c>
      <c r="G131" s="13" t="n"/>
      <c r="H131" s="13" t="n"/>
      <c r="I131" s="13" t="n"/>
      <c r="J131" s="20" t="n"/>
      <c r="K131" s="14" t="n"/>
      <c r="L131" s="19">
        <f>IF($D131="","",ROUND(IF($J131="",1,$J131)*N($K131),2))</f>
        <v/>
      </c>
      <c r="M131" s="13" t="n"/>
      <c r="N131" s="17">
        <f>IF($D131="","",IF(ISNA(MATCH($D131,项目名表,0)),"※项目不在项目台账里",IF($F131="※材料类别没选","※材料类别没选",IF(AND($C131&lt;&gt;"",ISNA(MATCH($C131,供应商表,0))),"※供应商不在基础资料里",""))))</f>
        <v/>
      </c>
    </row>
    <row r="132">
      <c r="A132" s="17">
        <f>IF($D132="","",ROW()-3)</f>
        <v/>
      </c>
      <c r="B132" s="18" t="n"/>
      <c r="C132" s="13" t="n"/>
      <c r="D132" s="13" t="n"/>
      <c r="E132" s="13" t="n"/>
      <c r="F132" s="17">
        <f>IF($D132="","",IFERROR(VLOOKUP($E132,材料归属,2,0),"※材料类别没选"))</f>
        <v/>
      </c>
      <c r="G132" s="13" t="n"/>
      <c r="H132" s="13" t="n"/>
      <c r="I132" s="13" t="n"/>
      <c r="J132" s="20" t="n"/>
      <c r="K132" s="14" t="n"/>
      <c r="L132" s="19">
        <f>IF($D132="","",ROUND(IF($J132="",1,$J132)*N($K132),2))</f>
        <v/>
      </c>
      <c r="M132" s="13" t="n"/>
      <c r="N132" s="17">
        <f>IF($D132="","",IF(ISNA(MATCH($D132,项目名表,0)),"※项目不在项目台账里",IF($F132="※材料类别没选","※材料类别没选",IF(AND($C132&lt;&gt;"",ISNA(MATCH($C132,供应商表,0))),"※供应商不在基础资料里",""))))</f>
        <v/>
      </c>
    </row>
    <row r="133">
      <c r="A133" s="17">
        <f>IF($D133="","",ROW()-3)</f>
        <v/>
      </c>
      <c r="B133" s="18" t="n"/>
      <c r="C133" s="13" t="n"/>
      <c r="D133" s="13" t="n"/>
      <c r="E133" s="13" t="n"/>
      <c r="F133" s="17">
        <f>IF($D133="","",IFERROR(VLOOKUP($E133,材料归属,2,0),"※材料类别没选"))</f>
        <v/>
      </c>
      <c r="G133" s="13" t="n"/>
      <c r="H133" s="13" t="n"/>
      <c r="I133" s="13" t="n"/>
      <c r="J133" s="20" t="n"/>
      <c r="K133" s="14" t="n"/>
      <c r="L133" s="19">
        <f>IF($D133="","",ROUND(IF($J133="",1,$J133)*N($K133),2))</f>
        <v/>
      </c>
      <c r="M133" s="13" t="n"/>
      <c r="N133" s="17">
        <f>IF($D133="","",IF(ISNA(MATCH($D133,项目名表,0)),"※项目不在项目台账里",IF($F133="※材料类别没选","※材料类别没选",IF(AND($C133&lt;&gt;"",ISNA(MATCH($C133,供应商表,0))),"※供应商不在基础资料里",""))))</f>
        <v/>
      </c>
    </row>
    <row r="134">
      <c r="A134" s="17">
        <f>IF($D134="","",ROW()-3)</f>
        <v/>
      </c>
      <c r="B134" s="18" t="n"/>
      <c r="C134" s="13" t="n"/>
      <c r="D134" s="13" t="n"/>
      <c r="E134" s="13" t="n"/>
      <c r="F134" s="17">
        <f>IF($D134="","",IFERROR(VLOOKUP($E134,材料归属,2,0),"※材料类别没选"))</f>
        <v/>
      </c>
      <c r="G134" s="13" t="n"/>
      <c r="H134" s="13" t="n"/>
      <c r="I134" s="13" t="n"/>
      <c r="J134" s="20" t="n"/>
      <c r="K134" s="14" t="n"/>
      <c r="L134" s="19">
        <f>IF($D134="","",ROUND(IF($J134="",1,$J134)*N($K134),2))</f>
        <v/>
      </c>
      <c r="M134" s="13" t="n"/>
      <c r="N134" s="17">
        <f>IF($D134="","",IF(ISNA(MATCH($D134,项目名表,0)),"※项目不在项目台账里",IF($F134="※材料类别没选","※材料类别没选",IF(AND($C134&lt;&gt;"",ISNA(MATCH($C134,供应商表,0))),"※供应商不在基础资料里",""))))</f>
        <v/>
      </c>
    </row>
    <row r="135">
      <c r="A135" s="17">
        <f>IF($D135="","",ROW()-3)</f>
        <v/>
      </c>
      <c r="B135" s="18" t="n"/>
      <c r="C135" s="13" t="n"/>
      <c r="D135" s="13" t="n"/>
      <c r="E135" s="13" t="n"/>
      <c r="F135" s="17">
        <f>IF($D135="","",IFERROR(VLOOKUP($E135,材料归属,2,0),"※材料类别没选"))</f>
        <v/>
      </c>
      <c r="G135" s="13" t="n"/>
      <c r="H135" s="13" t="n"/>
      <c r="I135" s="13" t="n"/>
      <c r="J135" s="20" t="n"/>
      <c r="K135" s="14" t="n"/>
      <c r="L135" s="19">
        <f>IF($D135="","",ROUND(IF($J135="",1,$J135)*N($K135),2))</f>
        <v/>
      </c>
      <c r="M135" s="13" t="n"/>
      <c r="N135" s="17">
        <f>IF($D135="","",IF(ISNA(MATCH($D135,项目名表,0)),"※项目不在项目台账里",IF($F135="※材料类别没选","※材料类别没选",IF(AND($C135&lt;&gt;"",ISNA(MATCH($C135,供应商表,0))),"※供应商不在基础资料里",""))))</f>
        <v/>
      </c>
    </row>
    <row r="136">
      <c r="A136" s="17">
        <f>IF($D136="","",ROW()-3)</f>
        <v/>
      </c>
      <c r="B136" s="18" t="n"/>
      <c r="C136" s="13" t="n"/>
      <c r="D136" s="13" t="n"/>
      <c r="E136" s="13" t="n"/>
      <c r="F136" s="17">
        <f>IF($D136="","",IFERROR(VLOOKUP($E136,材料归属,2,0),"※材料类别没选"))</f>
        <v/>
      </c>
      <c r="G136" s="13" t="n"/>
      <c r="H136" s="13" t="n"/>
      <c r="I136" s="13" t="n"/>
      <c r="J136" s="20" t="n"/>
      <c r="K136" s="14" t="n"/>
      <c r="L136" s="19">
        <f>IF($D136="","",ROUND(IF($J136="",1,$J136)*N($K136),2))</f>
        <v/>
      </c>
      <c r="M136" s="13" t="n"/>
      <c r="N136" s="17">
        <f>IF($D136="","",IF(ISNA(MATCH($D136,项目名表,0)),"※项目不在项目台账里",IF($F136="※材料类别没选","※材料类别没选",IF(AND($C136&lt;&gt;"",ISNA(MATCH($C136,供应商表,0))),"※供应商不在基础资料里",""))))</f>
        <v/>
      </c>
    </row>
    <row r="137">
      <c r="A137" s="17">
        <f>IF($D137="","",ROW()-3)</f>
        <v/>
      </c>
      <c r="B137" s="18" t="n"/>
      <c r="C137" s="13" t="n"/>
      <c r="D137" s="13" t="n"/>
      <c r="E137" s="13" t="n"/>
      <c r="F137" s="17">
        <f>IF($D137="","",IFERROR(VLOOKUP($E137,材料归属,2,0),"※材料类别没选"))</f>
        <v/>
      </c>
      <c r="G137" s="13" t="n"/>
      <c r="H137" s="13" t="n"/>
      <c r="I137" s="13" t="n"/>
      <c r="J137" s="20" t="n"/>
      <c r="K137" s="14" t="n"/>
      <c r="L137" s="19">
        <f>IF($D137="","",ROUND(IF($J137="",1,$J137)*N($K137),2))</f>
        <v/>
      </c>
      <c r="M137" s="13" t="n"/>
      <c r="N137" s="17">
        <f>IF($D137="","",IF(ISNA(MATCH($D137,项目名表,0)),"※项目不在项目台账里",IF($F137="※材料类别没选","※材料类别没选",IF(AND($C137&lt;&gt;"",ISNA(MATCH($C137,供应商表,0))),"※供应商不在基础资料里",""))))</f>
        <v/>
      </c>
    </row>
    <row r="138">
      <c r="A138" s="17">
        <f>IF($D138="","",ROW()-3)</f>
        <v/>
      </c>
      <c r="B138" s="18" t="n"/>
      <c r="C138" s="13" t="n"/>
      <c r="D138" s="13" t="n"/>
      <c r="E138" s="13" t="n"/>
      <c r="F138" s="17">
        <f>IF($D138="","",IFERROR(VLOOKUP($E138,材料归属,2,0),"※材料类别没选"))</f>
        <v/>
      </c>
      <c r="G138" s="13" t="n"/>
      <c r="H138" s="13" t="n"/>
      <c r="I138" s="13" t="n"/>
      <c r="J138" s="20" t="n"/>
      <c r="K138" s="14" t="n"/>
      <c r="L138" s="19">
        <f>IF($D138="","",ROUND(IF($J138="",1,$J138)*N($K138),2))</f>
        <v/>
      </c>
      <c r="M138" s="13" t="n"/>
      <c r="N138" s="17">
        <f>IF($D138="","",IF(ISNA(MATCH($D138,项目名表,0)),"※项目不在项目台账里",IF($F138="※材料类别没选","※材料类别没选",IF(AND($C138&lt;&gt;"",ISNA(MATCH($C138,供应商表,0))),"※供应商不在基础资料里",""))))</f>
        <v/>
      </c>
    </row>
    <row r="139">
      <c r="A139" s="17">
        <f>IF($D139="","",ROW()-3)</f>
        <v/>
      </c>
      <c r="B139" s="18" t="n"/>
      <c r="C139" s="13" t="n"/>
      <c r="D139" s="13" t="n"/>
      <c r="E139" s="13" t="n"/>
      <c r="F139" s="17">
        <f>IF($D139="","",IFERROR(VLOOKUP($E139,材料归属,2,0),"※材料类别没选"))</f>
        <v/>
      </c>
      <c r="G139" s="13" t="n"/>
      <c r="H139" s="13" t="n"/>
      <c r="I139" s="13" t="n"/>
      <c r="J139" s="20" t="n"/>
      <c r="K139" s="14" t="n"/>
      <c r="L139" s="19">
        <f>IF($D139="","",ROUND(IF($J139="",1,$J139)*N($K139),2))</f>
        <v/>
      </c>
      <c r="M139" s="13" t="n"/>
      <c r="N139" s="17">
        <f>IF($D139="","",IF(ISNA(MATCH($D139,项目名表,0)),"※项目不在项目台账里",IF($F139="※材料类别没选","※材料类别没选",IF(AND($C139&lt;&gt;"",ISNA(MATCH($C139,供应商表,0))),"※供应商不在基础资料里",""))))</f>
        <v/>
      </c>
    </row>
    <row r="140">
      <c r="A140" s="17">
        <f>IF($D140="","",ROW()-3)</f>
        <v/>
      </c>
      <c r="B140" s="18" t="n"/>
      <c r="C140" s="13" t="n"/>
      <c r="D140" s="13" t="n"/>
      <c r="E140" s="13" t="n"/>
      <c r="F140" s="17">
        <f>IF($D140="","",IFERROR(VLOOKUP($E140,材料归属,2,0),"※材料类别没选"))</f>
        <v/>
      </c>
      <c r="G140" s="13" t="n"/>
      <c r="H140" s="13" t="n"/>
      <c r="I140" s="13" t="n"/>
      <c r="J140" s="20" t="n"/>
      <c r="K140" s="14" t="n"/>
      <c r="L140" s="19">
        <f>IF($D140="","",ROUND(IF($J140="",1,$J140)*N($K140),2))</f>
        <v/>
      </c>
      <c r="M140" s="13" t="n"/>
      <c r="N140" s="17">
        <f>IF($D140="","",IF(ISNA(MATCH($D140,项目名表,0)),"※项目不在项目台账里",IF($F140="※材料类别没选","※材料类别没选",IF(AND($C140&lt;&gt;"",ISNA(MATCH($C140,供应商表,0))),"※供应商不在基础资料里",""))))</f>
        <v/>
      </c>
    </row>
    <row r="141">
      <c r="A141" s="17">
        <f>IF($D141="","",ROW()-3)</f>
        <v/>
      </c>
      <c r="B141" s="18" t="n"/>
      <c r="C141" s="13" t="n"/>
      <c r="D141" s="13" t="n"/>
      <c r="E141" s="13" t="n"/>
      <c r="F141" s="17">
        <f>IF($D141="","",IFERROR(VLOOKUP($E141,材料归属,2,0),"※材料类别没选"))</f>
        <v/>
      </c>
      <c r="G141" s="13" t="n"/>
      <c r="H141" s="13" t="n"/>
      <c r="I141" s="13" t="n"/>
      <c r="J141" s="20" t="n"/>
      <c r="K141" s="14" t="n"/>
      <c r="L141" s="19">
        <f>IF($D141="","",ROUND(IF($J141="",1,$J141)*N($K141),2))</f>
        <v/>
      </c>
      <c r="M141" s="13" t="n"/>
      <c r="N141" s="17">
        <f>IF($D141="","",IF(ISNA(MATCH($D141,项目名表,0)),"※项目不在项目台账里",IF($F141="※材料类别没选","※材料类别没选",IF(AND($C141&lt;&gt;"",ISNA(MATCH($C141,供应商表,0))),"※供应商不在基础资料里",""))))</f>
        <v/>
      </c>
    </row>
    <row r="142">
      <c r="A142" s="17">
        <f>IF($D142="","",ROW()-3)</f>
        <v/>
      </c>
      <c r="B142" s="18" t="n"/>
      <c r="C142" s="13" t="n"/>
      <c r="D142" s="13" t="n"/>
      <c r="E142" s="13" t="n"/>
      <c r="F142" s="17">
        <f>IF($D142="","",IFERROR(VLOOKUP($E142,材料归属,2,0),"※材料类别没选"))</f>
        <v/>
      </c>
      <c r="G142" s="13" t="n"/>
      <c r="H142" s="13" t="n"/>
      <c r="I142" s="13" t="n"/>
      <c r="J142" s="20" t="n"/>
      <c r="K142" s="14" t="n"/>
      <c r="L142" s="19">
        <f>IF($D142="","",ROUND(IF($J142="",1,$J142)*N($K142),2))</f>
        <v/>
      </c>
      <c r="M142" s="13" t="n"/>
      <c r="N142" s="17">
        <f>IF($D142="","",IF(ISNA(MATCH($D142,项目名表,0)),"※项目不在项目台账里",IF($F142="※材料类别没选","※材料类别没选",IF(AND($C142&lt;&gt;"",ISNA(MATCH($C142,供应商表,0))),"※供应商不在基础资料里",""))))</f>
        <v/>
      </c>
    </row>
    <row r="143">
      <c r="A143" s="17">
        <f>IF($D143="","",ROW()-3)</f>
        <v/>
      </c>
      <c r="B143" s="18" t="n"/>
      <c r="C143" s="13" t="n"/>
      <c r="D143" s="13" t="n"/>
      <c r="E143" s="13" t="n"/>
      <c r="F143" s="17">
        <f>IF($D143="","",IFERROR(VLOOKUP($E143,材料归属,2,0),"※材料类别没选"))</f>
        <v/>
      </c>
      <c r="G143" s="13" t="n"/>
      <c r="H143" s="13" t="n"/>
      <c r="I143" s="13" t="n"/>
      <c r="J143" s="20" t="n"/>
      <c r="K143" s="14" t="n"/>
      <c r="L143" s="19">
        <f>IF($D143="","",ROUND(IF($J143="",1,$J143)*N($K143),2))</f>
        <v/>
      </c>
      <c r="M143" s="13" t="n"/>
      <c r="N143" s="17">
        <f>IF($D143="","",IF(ISNA(MATCH($D143,项目名表,0)),"※项目不在项目台账里",IF($F143="※材料类别没选","※材料类别没选",IF(AND($C143&lt;&gt;"",ISNA(MATCH($C143,供应商表,0))),"※供应商不在基础资料里",""))))</f>
        <v/>
      </c>
    </row>
    <row r="144">
      <c r="A144" s="17">
        <f>IF($D144="","",ROW()-3)</f>
        <v/>
      </c>
      <c r="B144" s="18" t="n"/>
      <c r="C144" s="13" t="n"/>
      <c r="D144" s="13" t="n"/>
      <c r="E144" s="13" t="n"/>
      <c r="F144" s="17">
        <f>IF($D144="","",IFERROR(VLOOKUP($E144,材料归属,2,0),"※材料类别没选"))</f>
        <v/>
      </c>
      <c r="G144" s="13" t="n"/>
      <c r="H144" s="13" t="n"/>
      <c r="I144" s="13" t="n"/>
      <c r="J144" s="20" t="n"/>
      <c r="K144" s="14" t="n"/>
      <c r="L144" s="19">
        <f>IF($D144="","",ROUND(IF($J144="",1,$J144)*N($K144),2))</f>
        <v/>
      </c>
      <c r="M144" s="13" t="n"/>
      <c r="N144" s="17">
        <f>IF($D144="","",IF(ISNA(MATCH($D144,项目名表,0)),"※项目不在项目台账里",IF($F144="※材料类别没选","※材料类别没选",IF(AND($C144&lt;&gt;"",ISNA(MATCH($C144,供应商表,0))),"※供应商不在基础资料里",""))))</f>
        <v/>
      </c>
    </row>
    <row r="145">
      <c r="A145" s="17">
        <f>IF($D145="","",ROW()-3)</f>
        <v/>
      </c>
      <c r="B145" s="18" t="n"/>
      <c r="C145" s="13" t="n"/>
      <c r="D145" s="13" t="n"/>
      <c r="E145" s="13" t="n"/>
      <c r="F145" s="17">
        <f>IF($D145="","",IFERROR(VLOOKUP($E145,材料归属,2,0),"※材料类别没选"))</f>
        <v/>
      </c>
      <c r="G145" s="13" t="n"/>
      <c r="H145" s="13" t="n"/>
      <c r="I145" s="13" t="n"/>
      <c r="J145" s="20" t="n"/>
      <c r="K145" s="14" t="n"/>
      <c r="L145" s="19">
        <f>IF($D145="","",ROUND(IF($J145="",1,$J145)*N($K145),2))</f>
        <v/>
      </c>
      <c r="M145" s="13" t="n"/>
      <c r="N145" s="17">
        <f>IF($D145="","",IF(ISNA(MATCH($D145,项目名表,0)),"※项目不在项目台账里",IF($F145="※材料类别没选","※材料类别没选",IF(AND($C145&lt;&gt;"",ISNA(MATCH($C145,供应商表,0))),"※供应商不在基础资料里",""))))</f>
        <v/>
      </c>
    </row>
    <row r="146">
      <c r="A146" s="17">
        <f>IF($D146="","",ROW()-3)</f>
        <v/>
      </c>
      <c r="B146" s="18" t="n"/>
      <c r="C146" s="13" t="n"/>
      <c r="D146" s="13" t="n"/>
      <c r="E146" s="13" t="n"/>
      <c r="F146" s="17">
        <f>IF($D146="","",IFERROR(VLOOKUP($E146,材料归属,2,0),"※材料类别没选"))</f>
        <v/>
      </c>
      <c r="G146" s="13" t="n"/>
      <c r="H146" s="13" t="n"/>
      <c r="I146" s="13" t="n"/>
      <c r="J146" s="20" t="n"/>
      <c r="K146" s="14" t="n"/>
      <c r="L146" s="19">
        <f>IF($D146="","",ROUND(IF($J146="",1,$J146)*N($K146),2))</f>
        <v/>
      </c>
      <c r="M146" s="13" t="n"/>
      <c r="N146" s="17">
        <f>IF($D146="","",IF(ISNA(MATCH($D146,项目名表,0)),"※项目不在项目台账里",IF($F146="※材料类别没选","※材料类别没选",IF(AND($C146&lt;&gt;"",ISNA(MATCH($C146,供应商表,0))),"※供应商不在基础资料里",""))))</f>
        <v/>
      </c>
    </row>
    <row r="147">
      <c r="A147" s="17">
        <f>IF($D147="","",ROW()-3)</f>
        <v/>
      </c>
      <c r="B147" s="18" t="n"/>
      <c r="C147" s="13" t="n"/>
      <c r="D147" s="13" t="n"/>
      <c r="E147" s="13" t="n"/>
      <c r="F147" s="17">
        <f>IF($D147="","",IFERROR(VLOOKUP($E147,材料归属,2,0),"※材料类别没选"))</f>
        <v/>
      </c>
      <c r="G147" s="13" t="n"/>
      <c r="H147" s="13" t="n"/>
      <c r="I147" s="13" t="n"/>
      <c r="J147" s="20" t="n"/>
      <c r="K147" s="14" t="n"/>
      <c r="L147" s="19">
        <f>IF($D147="","",ROUND(IF($J147="",1,$J147)*N($K147),2))</f>
        <v/>
      </c>
      <c r="M147" s="13" t="n"/>
      <c r="N147" s="17">
        <f>IF($D147="","",IF(ISNA(MATCH($D147,项目名表,0)),"※项目不在项目台账里",IF($F147="※材料类别没选","※材料类别没选",IF(AND($C147&lt;&gt;"",ISNA(MATCH($C147,供应商表,0))),"※供应商不在基础资料里",""))))</f>
        <v/>
      </c>
    </row>
    <row r="148">
      <c r="A148" s="17">
        <f>IF($D148="","",ROW()-3)</f>
        <v/>
      </c>
      <c r="B148" s="18" t="n"/>
      <c r="C148" s="13" t="n"/>
      <c r="D148" s="13" t="n"/>
      <c r="E148" s="13" t="n"/>
      <c r="F148" s="17">
        <f>IF($D148="","",IFERROR(VLOOKUP($E148,材料归属,2,0),"※材料类别没选"))</f>
        <v/>
      </c>
      <c r="G148" s="13" t="n"/>
      <c r="H148" s="13" t="n"/>
      <c r="I148" s="13" t="n"/>
      <c r="J148" s="20" t="n"/>
      <c r="K148" s="14" t="n"/>
      <c r="L148" s="19">
        <f>IF($D148="","",ROUND(IF($J148="",1,$J148)*N($K148),2))</f>
        <v/>
      </c>
      <c r="M148" s="13" t="n"/>
      <c r="N148" s="17">
        <f>IF($D148="","",IF(ISNA(MATCH($D148,项目名表,0)),"※项目不在项目台账里",IF($F148="※材料类别没选","※材料类别没选",IF(AND($C148&lt;&gt;"",ISNA(MATCH($C148,供应商表,0))),"※供应商不在基础资料里",""))))</f>
        <v/>
      </c>
    </row>
    <row r="149">
      <c r="A149" s="17">
        <f>IF($D149="","",ROW()-3)</f>
        <v/>
      </c>
      <c r="B149" s="18" t="n"/>
      <c r="C149" s="13" t="n"/>
      <c r="D149" s="13" t="n"/>
      <c r="E149" s="13" t="n"/>
      <c r="F149" s="17">
        <f>IF($D149="","",IFERROR(VLOOKUP($E149,材料归属,2,0),"※材料类别没选"))</f>
        <v/>
      </c>
      <c r="G149" s="13" t="n"/>
      <c r="H149" s="13" t="n"/>
      <c r="I149" s="13" t="n"/>
      <c r="J149" s="20" t="n"/>
      <c r="K149" s="14" t="n"/>
      <c r="L149" s="19">
        <f>IF($D149="","",ROUND(IF($J149="",1,$J149)*N($K149),2))</f>
        <v/>
      </c>
      <c r="M149" s="13" t="n"/>
      <c r="N149" s="17">
        <f>IF($D149="","",IF(ISNA(MATCH($D149,项目名表,0)),"※项目不在项目台账里",IF($F149="※材料类别没选","※材料类别没选",IF(AND($C149&lt;&gt;"",ISNA(MATCH($C149,供应商表,0))),"※供应商不在基础资料里",""))))</f>
        <v/>
      </c>
    </row>
    <row r="150">
      <c r="A150" s="17">
        <f>IF($D150="","",ROW()-3)</f>
        <v/>
      </c>
      <c r="B150" s="18" t="n"/>
      <c r="C150" s="13" t="n"/>
      <c r="D150" s="13" t="n"/>
      <c r="E150" s="13" t="n"/>
      <c r="F150" s="17">
        <f>IF($D150="","",IFERROR(VLOOKUP($E150,材料归属,2,0),"※材料类别没选"))</f>
        <v/>
      </c>
      <c r="G150" s="13" t="n"/>
      <c r="H150" s="13" t="n"/>
      <c r="I150" s="13" t="n"/>
      <c r="J150" s="20" t="n"/>
      <c r="K150" s="14" t="n"/>
      <c r="L150" s="19">
        <f>IF($D150="","",ROUND(IF($J150="",1,$J150)*N($K150),2))</f>
        <v/>
      </c>
      <c r="M150" s="13" t="n"/>
      <c r="N150" s="17">
        <f>IF($D150="","",IF(ISNA(MATCH($D150,项目名表,0)),"※项目不在项目台账里",IF($F150="※材料类别没选","※材料类别没选",IF(AND($C150&lt;&gt;"",ISNA(MATCH($C150,供应商表,0))),"※供应商不在基础资料里",""))))</f>
        <v/>
      </c>
    </row>
    <row r="151">
      <c r="A151" s="17">
        <f>IF($D151="","",ROW()-3)</f>
        <v/>
      </c>
      <c r="B151" s="18" t="n"/>
      <c r="C151" s="13" t="n"/>
      <c r="D151" s="13" t="n"/>
      <c r="E151" s="13" t="n"/>
      <c r="F151" s="17">
        <f>IF($D151="","",IFERROR(VLOOKUP($E151,材料归属,2,0),"※材料类别没选"))</f>
        <v/>
      </c>
      <c r="G151" s="13" t="n"/>
      <c r="H151" s="13" t="n"/>
      <c r="I151" s="13" t="n"/>
      <c r="J151" s="20" t="n"/>
      <c r="K151" s="14" t="n"/>
      <c r="L151" s="19">
        <f>IF($D151="","",ROUND(IF($J151="",1,$J151)*N($K151),2))</f>
        <v/>
      </c>
      <c r="M151" s="13" t="n"/>
      <c r="N151" s="17">
        <f>IF($D151="","",IF(ISNA(MATCH($D151,项目名表,0)),"※项目不在项目台账里",IF($F151="※材料类别没选","※材料类别没选",IF(AND($C151&lt;&gt;"",ISNA(MATCH($C151,供应商表,0))),"※供应商不在基础资料里",""))))</f>
        <v/>
      </c>
    </row>
    <row r="152">
      <c r="A152" s="17">
        <f>IF($D152="","",ROW()-3)</f>
        <v/>
      </c>
      <c r="B152" s="18" t="n"/>
      <c r="C152" s="13" t="n"/>
      <c r="D152" s="13" t="n"/>
      <c r="E152" s="13" t="n"/>
      <c r="F152" s="17">
        <f>IF($D152="","",IFERROR(VLOOKUP($E152,材料归属,2,0),"※材料类别没选"))</f>
        <v/>
      </c>
      <c r="G152" s="13" t="n"/>
      <c r="H152" s="13" t="n"/>
      <c r="I152" s="13" t="n"/>
      <c r="J152" s="20" t="n"/>
      <c r="K152" s="14" t="n"/>
      <c r="L152" s="19">
        <f>IF($D152="","",ROUND(IF($J152="",1,$J152)*N($K152),2))</f>
        <v/>
      </c>
      <c r="M152" s="13" t="n"/>
      <c r="N152" s="17">
        <f>IF($D152="","",IF(ISNA(MATCH($D152,项目名表,0)),"※项目不在项目台账里",IF($F152="※材料类别没选","※材料类别没选",IF(AND($C152&lt;&gt;"",ISNA(MATCH($C152,供应商表,0))),"※供应商不在基础资料里",""))))</f>
        <v/>
      </c>
    </row>
    <row r="153">
      <c r="A153" s="17">
        <f>IF($D153="","",ROW()-3)</f>
        <v/>
      </c>
      <c r="B153" s="18" t="n"/>
      <c r="C153" s="13" t="n"/>
      <c r="D153" s="13" t="n"/>
      <c r="E153" s="13" t="n"/>
      <c r="F153" s="17">
        <f>IF($D153="","",IFERROR(VLOOKUP($E153,材料归属,2,0),"※材料类别没选"))</f>
        <v/>
      </c>
      <c r="G153" s="13" t="n"/>
      <c r="H153" s="13" t="n"/>
      <c r="I153" s="13" t="n"/>
      <c r="J153" s="20" t="n"/>
      <c r="K153" s="14" t="n"/>
      <c r="L153" s="19">
        <f>IF($D153="","",ROUND(IF($J153="",1,$J153)*N($K153),2))</f>
        <v/>
      </c>
      <c r="M153" s="13" t="n"/>
      <c r="N153" s="17">
        <f>IF($D153="","",IF(ISNA(MATCH($D153,项目名表,0)),"※项目不在项目台账里",IF($F153="※材料类别没选","※材料类别没选",IF(AND($C153&lt;&gt;"",ISNA(MATCH($C153,供应商表,0))),"※供应商不在基础资料里",""))))</f>
        <v/>
      </c>
    </row>
    <row r="154">
      <c r="A154" s="17">
        <f>IF($D154="","",ROW()-3)</f>
        <v/>
      </c>
      <c r="B154" s="18" t="n"/>
      <c r="C154" s="13" t="n"/>
      <c r="D154" s="13" t="n"/>
      <c r="E154" s="13" t="n"/>
      <c r="F154" s="17">
        <f>IF($D154="","",IFERROR(VLOOKUP($E154,材料归属,2,0),"※材料类别没选"))</f>
        <v/>
      </c>
      <c r="G154" s="13" t="n"/>
      <c r="H154" s="13" t="n"/>
      <c r="I154" s="13" t="n"/>
      <c r="J154" s="20" t="n"/>
      <c r="K154" s="14" t="n"/>
      <c r="L154" s="19">
        <f>IF($D154="","",ROUND(IF($J154="",1,$J154)*N($K154),2))</f>
        <v/>
      </c>
      <c r="M154" s="13" t="n"/>
      <c r="N154" s="17">
        <f>IF($D154="","",IF(ISNA(MATCH($D154,项目名表,0)),"※项目不在项目台账里",IF($F154="※材料类别没选","※材料类别没选",IF(AND($C154&lt;&gt;"",ISNA(MATCH($C154,供应商表,0))),"※供应商不在基础资料里",""))))</f>
        <v/>
      </c>
    </row>
    <row r="155">
      <c r="A155" s="17">
        <f>IF($D155="","",ROW()-3)</f>
        <v/>
      </c>
      <c r="B155" s="18" t="n"/>
      <c r="C155" s="13" t="n"/>
      <c r="D155" s="13" t="n"/>
      <c r="E155" s="13" t="n"/>
      <c r="F155" s="17">
        <f>IF($D155="","",IFERROR(VLOOKUP($E155,材料归属,2,0),"※材料类别没选"))</f>
        <v/>
      </c>
      <c r="G155" s="13" t="n"/>
      <c r="H155" s="13" t="n"/>
      <c r="I155" s="13" t="n"/>
      <c r="J155" s="20" t="n"/>
      <c r="K155" s="14" t="n"/>
      <c r="L155" s="19">
        <f>IF($D155="","",ROUND(IF($J155="",1,$J155)*N($K155),2))</f>
        <v/>
      </c>
      <c r="M155" s="13" t="n"/>
      <c r="N155" s="17">
        <f>IF($D155="","",IF(ISNA(MATCH($D155,项目名表,0)),"※项目不在项目台账里",IF($F155="※材料类别没选","※材料类别没选",IF(AND($C155&lt;&gt;"",ISNA(MATCH($C155,供应商表,0))),"※供应商不在基础资料里",""))))</f>
        <v/>
      </c>
    </row>
    <row r="156">
      <c r="A156" s="17">
        <f>IF($D156="","",ROW()-3)</f>
        <v/>
      </c>
      <c r="B156" s="18" t="n"/>
      <c r="C156" s="13" t="n"/>
      <c r="D156" s="13" t="n"/>
      <c r="E156" s="13" t="n"/>
      <c r="F156" s="17">
        <f>IF($D156="","",IFERROR(VLOOKUP($E156,材料归属,2,0),"※材料类别没选"))</f>
        <v/>
      </c>
      <c r="G156" s="13" t="n"/>
      <c r="H156" s="13" t="n"/>
      <c r="I156" s="13" t="n"/>
      <c r="J156" s="20" t="n"/>
      <c r="K156" s="14" t="n"/>
      <c r="L156" s="19">
        <f>IF($D156="","",ROUND(IF($J156="",1,$J156)*N($K156),2))</f>
        <v/>
      </c>
      <c r="M156" s="13" t="n"/>
      <c r="N156" s="17">
        <f>IF($D156="","",IF(ISNA(MATCH($D156,项目名表,0)),"※项目不在项目台账里",IF($F156="※材料类别没选","※材料类别没选",IF(AND($C156&lt;&gt;"",ISNA(MATCH($C156,供应商表,0))),"※供应商不在基础资料里",""))))</f>
        <v/>
      </c>
    </row>
    <row r="157">
      <c r="A157" s="17">
        <f>IF($D157="","",ROW()-3)</f>
        <v/>
      </c>
      <c r="B157" s="18" t="n"/>
      <c r="C157" s="13" t="n"/>
      <c r="D157" s="13" t="n"/>
      <c r="E157" s="13" t="n"/>
      <c r="F157" s="17">
        <f>IF($D157="","",IFERROR(VLOOKUP($E157,材料归属,2,0),"※材料类别没选"))</f>
        <v/>
      </c>
      <c r="G157" s="13" t="n"/>
      <c r="H157" s="13" t="n"/>
      <c r="I157" s="13" t="n"/>
      <c r="J157" s="20" t="n"/>
      <c r="K157" s="14" t="n"/>
      <c r="L157" s="19">
        <f>IF($D157="","",ROUND(IF($J157="",1,$J157)*N($K157),2))</f>
        <v/>
      </c>
      <c r="M157" s="13" t="n"/>
      <c r="N157" s="17">
        <f>IF($D157="","",IF(ISNA(MATCH($D157,项目名表,0)),"※项目不在项目台账里",IF($F157="※材料类别没选","※材料类别没选",IF(AND($C157&lt;&gt;"",ISNA(MATCH($C157,供应商表,0))),"※供应商不在基础资料里",""))))</f>
        <v/>
      </c>
    </row>
    <row r="158">
      <c r="A158" s="17">
        <f>IF($D158="","",ROW()-3)</f>
        <v/>
      </c>
      <c r="B158" s="18" t="n"/>
      <c r="C158" s="13" t="n"/>
      <c r="D158" s="13" t="n"/>
      <c r="E158" s="13" t="n"/>
      <c r="F158" s="17">
        <f>IF($D158="","",IFERROR(VLOOKUP($E158,材料归属,2,0),"※材料类别没选"))</f>
        <v/>
      </c>
      <c r="G158" s="13" t="n"/>
      <c r="H158" s="13" t="n"/>
      <c r="I158" s="13" t="n"/>
      <c r="J158" s="20" t="n"/>
      <c r="K158" s="14" t="n"/>
      <c r="L158" s="19">
        <f>IF($D158="","",ROUND(IF($J158="",1,$J158)*N($K158),2))</f>
        <v/>
      </c>
      <c r="M158" s="13" t="n"/>
      <c r="N158" s="17">
        <f>IF($D158="","",IF(ISNA(MATCH($D158,项目名表,0)),"※项目不在项目台账里",IF($F158="※材料类别没选","※材料类别没选",IF(AND($C158&lt;&gt;"",ISNA(MATCH($C158,供应商表,0))),"※供应商不在基础资料里",""))))</f>
        <v/>
      </c>
    </row>
    <row r="159">
      <c r="A159" s="17">
        <f>IF($D159="","",ROW()-3)</f>
        <v/>
      </c>
      <c r="B159" s="18" t="n"/>
      <c r="C159" s="13" t="n"/>
      <c r="D159" s="13" t="n"/>
      <c r="E159" s="13" t="n"/>
      <c r="F159" s="17">
        <f>IF($D159="","",IFERROR(VLOOKUP($E159,材料归属,2,0),"※材料类别没选"))</f>
        <v/>
      </c>
      <c r="G159" s="13" t="n"/>
      <c r="H159" s="13" t="n"/>
      <c r="I159" s="13" t="n"/>
      <c r="J159" s="20" t="n"/>
      <c r="K159" s="14" t="n"/>
      <c r="L159" s="19">
        <f>IF($D159="","",ROUND(IF($J159="",1,$J159)*N($K159),2))</f>
        <v/>
      </c>
      <c r="M159" s="13" t="n"/>
      <c r="N159" s="17">
        <f>IF($D159="","",IF(ISNA(MATCH($D159,项目名表,0)),"※项目不在项目台账里",IF($F159="※材料类别没选","※材料类别没选",IF(AND($C159&lt;&gt;"",ISNA(MATCH($C159,供应商表,0))),"※供应商不在基础资料里",""))))</f>
        <v/>
      </c>
    </row>
    <row r="160">
      <c r="A160" s="17">
        <f>IF($D160="","",ROW()-3)</f>
        <v/>
      </c>
      <c r="B160" s="18" t="n"/>
      <c r="C160" s="13" t="n"/>
      <c r="D160" s="13" t="n"/>
      <c r="E160" s="13" t="n"/>
      <c r="F160" s="17">
        <f>IF($D160="","",IFERROR(VLOOKUP($E160,材料归属,2,0),"※材料类别没选"))</f>
        <v/>
      </c>
      <c r="G160" s="13" t="n"/>
      <c r="H160" s="13" t="n"/>
      <c r="I160" s="13" t="n"/>
      <c r="J160" s="20" t="n"/>
      <c r="K160" s="14" t="n"/>
      <c r="L160" s="19">
        <f>IF($D160="","",ROUND(IF($J160="",1,$J160)*N($K160),2))</f>
        <v/>
      </c>
      <c r="M160" s="13" t="n"/>
      <c r="N160" s="17">
        <f>IF($D160="","",IF(ISNA(MATCH($D160,项目名表,0)),"※项目不在项目台账里",IF($F160="※材料类别没选","※材料类别没选",IF(AND($C160&lt;&gt;"",ISNA(MATCH($C160,供应商表,0))),"※供应商不在基础资料里",""))))</f>
        <v/>
      </c>
    </row>
    <row r="161">
      <c r="A161" s="17">
        <f>IF($D161="","",ROW()-3)</f>
        <v/>
      </c>
      <c r="B161" s="18" t="n"/>
      <c r="C161" s="13" t="n"/>
      <c r="D161" s="13" t="n"/>
      <c r="E161" s="13" t="n"/>
      <c r="F161" s="17">
        <f>IF($D161="","",IFERROR(VLOOKUP($E161,材料归属,2,0),"※材料类别没选"))</f>
        <v/>
      </c>
      <c r="G161" s="13" t="n"/>
      <c r="H161" s="13" t="n"/>
      <c r="I161" s="13" t="n"/>
      <c r="J161" s="20" t="n"/>
      <c r="K161" s="14" t="n"/>
      <c r="L161" s="19">
        <f>IF($D161="","",ROUND(IF($J161="",1,$J161)*N($K161),2))</f>
        <v/>
      </c>
      <c r="M161" s="13" t="n"/>
      <c r="N161" s="17">
        <f>IF($D161="","",IF(ISNA(MATCH($D161,项目名表,0)),"※项目不在项目台账里",IF($F161="※材料类别没选","※材料类别没选",IF(AND($C161&lt;&gt;"",ISNA(MATCH($C161,供应商表,0))),"※供应商不在基础资料里",""))))</f>
        <v/>
      </c>
    </row>
    <row r="162">
      <c r="A162" s="17">
        <f>IF($D162="","",ROW()-3)</f>
        <v/>
      </c>
      <c r="B162" s="18" t="n"/>
      <c r="C162" s="13" t="n"/>
      <c r="D162" s="13" t="n"/>
      <c r="E162" s="13" t="n"/>
      <c r="F162" s="17">
        <f>IF($D162="","",IFERROR(VLOOKUP($E162,材料归属,2,0),"※材料类别没选"))</f>
        <v/>
      </c>
      <c r="G162" s="13" t="n"/>
      <c r="H162" s="13" t="n"/>
      <c r="I162" s="13" t="n"/>
      <c r="J162" s="20" t="n"/>
      <c r="K162" s="14" t="n"/>
      <c r="L162" s="19">
        <f>IF($D162="","",ROUND(IF($J162="",1,$J162)*N($K162),2))</f>
        <v/>
      </c>
      <c r="M162" s="13" t="n"/>
      <c r="N162" s="17">
        <f>IF($D162="","",IF(ISNA(MATCH($D162,项目名表,0)),"※项目不在项目台账里",IF($F162="※材料类别没选","※材料类别没选",IF(AND($C162&lt;&gt;"",ISNA(MATCH($C162,供应商表,0))),"※供应商不在基础资料里",""))))</f>
        <v/>
      </c>
    </row>
    <row r="163">
      <c r="A163" s="17">
        <f>IF($D163="","",ROW()-3)</f>
        <v/>
      </c>
      <c r="B163" s="18" t="n"/>
      <c r="C163" s="13" t="n"/>
      <c r="D163" s="13" t="n"/>
      <c r="E163" s="13" t="n"/>
      <c r="F163" s="17">
        <f>IF($D163="","",IFERROR(VLOOKUP($E163,材料归属,2,0),"※材料类别没选"))</f>
        <v/>
      </c>
      <c r="G163" s="13" t="n"/>
      <c r="H163" s="13" t="n"/>
      <c r="I163" s="13" t="n"/>
      <c r="J163" s="20" t="n"/>
      <c r="K163" s="14" t="n"/>
      <c r="L163" s="19">
        <f>IF($D163="","",ROUND(IF($J163="",1,$J163)*N($K163),2))</f>
        <v/>
      </c>
      <c r="M163" s="13" t="n"/>
      <c r="N163" s="17">
        <f>IF($D163="","",IF(ISNA(MATCH($D163,项目名表,0)),"※项目不在项目台账里",IF($F163="※材料类别没选","※材料类别没选",IF(AND($C163&lt;&gt;"",ISNA(MATCH($C163,供应商表,0))),"※供应商不在基础资料里",""))))</f>
        <v/>
      </c>
    </row>
    <row r="164">
      <c r="A164" s="17">
        <f>IF($D164="","",ROW()-3)</f>
        <v/>
      </c>
      <c r="B164" s="18" t="n"/>
      <c r="C164" s="13" t="n"/>
      <c r="D164" s="13" t="n"/>
      <c r="E164" s="13" t="n"/>
      <c r="F164" s="17">
        <f>IF($D164="","",IFERROR(VLOOKUP($E164,材料归属,2,0),"※材料类别没选"))</f>
        <v/>
      </c>
      <c r="G164" s="13" t="n"/>
      <c r="H164" s="13" t="n"/>
      <c r="I164" s="13" t="n"/>
      <c r="J164" s="20" t="n"/>
      <c r="K164" s="14" t="n"/>
      <c r="L164" s="19">
        <f>IF($D164="","",ROUND(IF($J164="",1,$J164)*N($K164),2))</f>
        <v/>
      </c>
      <c r="M164" s="13" t="n"/>
      <c r="N164" s="17">
        <f>IF($D164="","",IF(ISNA(MATCH($D164,项目名表,0)),"※项目不在项目台账里",IF($F164="※材料类别没选","※材料类别没选",IF(AND($C164&lt;&gt;"",ISNA(MATCH($C164,供应商表,0))),"※供应商不在基础资料里",""))))</f>
        <v/>
      </c>
    </row>
    <row r="165">
      <c r="A165" s="17">
        <f>IF($D165="","",ROW()-3)</f>
        <v/>
      </c>
      <c r="B165" s="18" t="n"/>
      <c r="C165" s="13" t="n"/>
      <c r="D165" s="13" t="n"/>
      <c r="E165" s="13" t="n"/>
      <c r="F165" s="17">
        <f>IF($D165="","",IFERROR(VLOOKUP($E165,材料归属,2,0),"※材料类别没选"))</f>
        <v/>
      </c>
      <c r="G165" s="13" t="n"/>
      <c r="H165" s="13" t="n"/>
      <c r="I165" s="13" t="n"/>
      <c r="J165" s="20" t="n"/>
      <c r="K165" s="14" t="n"/>
      <c r="L165" s="19">
        <f>IF($D165="","",ROUND(IF($J165="",1,$J165)*N($K165),2))</f>
        <v/>
      </c>
      <c r="M165" s="13" t="n"/>
      <c r="N165" s="17">
        <f>IF($D165="","",IF(ISNA(MATCH($D165,项目名表,0)),"※项目不在项目台账里",IF($F165="※材料类别没选","※材料类别没选",IF(AND($C165&lt;&gt;"",ISNA(MATCH($C165,供应商表,0))),"※供应商不在基础资料里",""))))</f>
        <v/>
      </c>
    </row>
    <row r="166">
      <c r="A166" s="17">
        <f>IF($D166="","",ROW()-3)</f>
        <v/>
      </c>
      <c r="B166" s="18" t="n"/>
      <c r="C166" s="13" t="n"/>
      <c r="D166" s="13" t="n"/>
      <c r="E166" s="13" t="n"/>
      <c r="F166" s="17">
        <f>IF($D166="","",IFERROR(VLOOKUP($E166,材料归属,2,0),"※材料类别没选"))</f>
        <v/>
      </c>
      <c r="G166" s="13" t="n"/>
      <c r="H166" s="13" t="n"/>
      <c r="I166" s="13" t="n"/>
      <c r="J166" s="20" t="n"/>
      <c r="K166" s="14" t="n"/>
      <c r="L166" s="19">
        <f>IF($D166="","",ROUND(IF($J166="",1,$J166)*N($K166),2))</f>
        <v/>
      </c>
      <c r="M166" s="13" t="n"/>
      <c r="N166" s="17">
        <f>IF($D166="","",IF(ISNA(MATCH($D166,项目名表,0)),"※项目不在项目台账里",IF($F166="※材料类别没选","※材料类别没选",IF(AND($C166&lt;&gt;"",ISNA(MATCH($C166,供应商表,0))),"※供应商不在基础资料里",""))))</f>
        <v/>
      </c>
    </row>
    <row r="167">
      <c r="A167" s="17">
        <f>IF($D167="","",ROW()-3)</f>
        <v/>
      </c>
      <c r="B167" s="18" t="n"/>
      <c r="C167" s="13" t="n"/>
      <c r="D167" s="13" t="n"/>
      <c r="E167" s="13" t="n"/>
      <c r="F167" s="17">
        <f>IF($D167="","",IFERROR(VLOOKUP($E167,材料归属,2,0),"※材料类别没选"))</f>
        <v/>
      </c>
      <c r="G167" s="13" t="n"/>
      <c r="H167" s="13" t="n"/>
      <c r="I167" s="13" t="n"/>
      <c r="J167" s="20" t="n"/>
      <c r="K167" s="14" t="n"/>
      <c r="L167" s="19">
        <f>IF($D167="","",ROUND(IF($J167="",1,$J167)*N($K167),2))</f>
        <v/>
      </c>
      <c r="M167" s="13" t="n"/>
      <c r="N167" s="17">
        <f>IF($D167="","",IF(ISNA(MATCH($D167,项目名表,0)),"※项目不在项目台账里",IF($F167="※材料类别没选","※材料类别没选",IF(AND($C167&lt;&gt;"",ISNA(MATCH($C167,供应商表,0))),"※供应商不在基础资料里",""))))</f>
        <v/>
      </c>
    </row>
    <row r="168">
      <c r="A168" s="17">
        <f>IF($D168="","",ROW()-3)</f>
        <v/>
      </c>
      <c r="B168" s="18" t="n"/>
      <c r="C168" s="13" t="n"/>
      <c r="D168" s="13" t="n"/>
      <c r="E168" s="13" t="n"/>
      <c r="F168" s="17">
        <f>IF($D168="","",IFERROR(VLOOKUP($E168,材料归属,2,0),"※材料类别没选"))</f>
        <v/>
      </c>
      <c r="G168" s="13" t="n"/>
      <c r="H168" s="13" t="n"/>
      <c r="I168" s="13" t="n"/>
      <c r="J168" s="20" t="n"/>
      <c r="K168" s="14" t="n"/>
      <c r="L168" s="19">
        <f>IF($D168="","",ROUND(IF($J168="",1,$J168)*N($K168),2))</f>
        <v/>
      </c>
      <c r="M168" s="13" t="n"/>
      <c r="N168" s="17">
        <f>IF($D168="","",IF(ISNA(MATCH($D168,项目名表,0)),"※项目不在项目台账里",IF($F168="※材料类别没选","※材料类别没选",IF(AND($C168&lt;&gt;"",ISNA(MATCH($C168,供应商表,0))),"※供应商不在基础资料里",""))))</f>
        <v/>
      </c>
    </row>
    <row r="169">
      <c r="A169" s="17">
        <f>IF($D169="","",ROW()-3)</f>
        <v/>
      </c>
      <c r="B169" s="18" t="n"/>
      <c r="C169" s="13" t="n"/>
      <c r="D169" s="13" t="n"/>
      <c r="E169" s="13" t="n"/>
      <c r="F169" s="17">
        <f>IF($D169="","",IFERROR(VLOOKUP($E169,材料归属,2,0),"※材料类别没选"))</f>
        <v/>
      </c>
      <c r="G169" s="13" t="n"/>
      <c r="H169" s="13" t="n"/>
      <c r="I169" s="13" t="n"/>
      <c r="J169" s="20" t="n"/>
      <c r="K169" s="14" t="n"/>
      <c r="L169" s="19">
        <f>IF($D169="","",ROUND(IF($J169="",1,$J169)*N($K169),2))</f>
        <v/>
      </c>
      <c r="M169" s="13" t="n"/>
      <c r="N169" s="17">
        <f>IF($D169="","",IF(ISNA(MATCH($D169,项目名表,0)),"※项目不在项目台账里",IF($F169="※材料类别没选","※材料类别没选",IF(AND($C169&lt;&gt;"",ISNA(MATCH($C169,供应商表,0))),"※供应商不在基础资料里",""))))</f>
        <v/>
      </c>
    </row>
    <row r="170">
      <c r="A170" s="17">
        <f>IF($D170="","",ROW()-3)</f>
        <v/>
      </c>
      <c r="B170" s="18" t="n"/>
      <c r="C170" s="13" t="n"/>
      <c r="D170" s="13" t="n"/>
      <c r="E170" s="13" t="n"/>
      <c r="F170" s="17">
        <f>IF($D170="","",IFERROR(VLOOKUP($E170,材料归属,2,0),"※材料类别没选"))</f>
        <v/>
      </c>
      <c r="G170" s="13" t="n"/>
      <c r="H170" s="13" t="n"/>
      <c r="I170" s="13" t="n"/>
      <c r="J170" s="20" t="n"/>
      <c r="K170" s="14" t="n"/>
      <c r="L170" s="19">
        <f>IF($D170="","",ROUND(IF($J170="",1,$J170)*N($K170),2))</f>
        <v/>
      </c>
      <c r="M170" s="13" t="n"/>
      <c r="N170" s="17">
        <f>IF($D170="","",IF(ISNA(MATCH($D170,项目名表,0)),"※项目不在项目台账里",IF($F170="※材料类别没选","※材料类别没选",IF(AND($C170&lt;&gt;"",ISNA(MATCH($C170,供应商表,0))),"※供应商不在基础资料里",""))))</f>
        <v/>
      </c>
    </row>
    <row r="171">
      <c r="A171" s="17">
        <f>IF($D171="","",ROW()-3)</f>
        <v/>
      </c>
      <c r="B171" s="18" t="n"/>
      <c r="C171" s="13" t="n"/>
      <c r="D171" s="13" t="n"/>
      <c r="E171" s="13" t="n"/>
      <c r="F171" s="17">
        <f>IF($D171="","",IFERROR(VLOOKUP($E171,材料归属,2,0),"※材料类别没选"))</f>
        <v/>
      </c>
      <c r="G171" s="13" t="n"/>
      <c r="H171" s="13" t="n"/>
      <c r="I171" s="13" t="n"/>
      <c r="J171" s="20" t="n"/>
      <c r="K171" s="14" t="n"/>
      <c r="L171" s="19">
        <f>IF($D171="","",ROUND(IF($J171="",1,$J171)*N($K171),2))</f>
        <v/>
      </c>
      <c r="M171" s="13" t="n"/>
      <c r="N171" s="17">
        <f>IF($D171="","",IF(ISNA(MATCH($D171,项目名表,0)),"※项目不在项目台账里",IF($F171="※材料类别没选","※材料类别没选",IF(AND($C171&lt;&gt;"",ISNA(MATCH($C171,供应商表,0))),"※供应商不在基础资料里",""))))</f>
        <v/>
      </c>
    </row>
    <row r="172">
      <c r="A172" s="17">
        <f>IF($D172="","",ROW()-3)</f>
        <v/>
      </c>
      <c r="B172" s="18" t="n"/>
      <c r="C172" s="13" t="n"/>
      <c r="D172" s="13" t="n"/>
      <c r="E172" s="13" t="n"/>
      <c r="F172" s="17">
        <f>IF($D172="","",IFERROR(VLOOKUP($E172,材料归属,2,0),"※材料类别没选"))</f>
        <v/>
      </c>
      <c r="G172" s="13" t="n"/>
      <c r="H172" s="13" t="n"/>
      <c r="I172" s="13" t="n"/>
      <c r="J172" s="20" t="n"/>
      <c r="K172" s="14" t="n"/>
      <c r="L172" s="19">
        <f>IF($D172="","",ROUND(IF($J172="",1,$J172)*N($K172),2))</f>
        <v/>
      </c>
      <c r="M172" s="13" t="n"/>
      <c r="N172" s="17">
        <f>IF($D172="","",IF(ISNA(MATCH($D172,项目名表,0)),"※项目不在项目台账里",IF($F172="※材料类别没选","※材料类别没选",IF(AND($C172&lt;&gt;"",ISNA(MATCH($C172,供应商表,0))),"※供应商不在基础资料里",""))))</f>
        <v/>
      </c>
    </row>
    <row r="173">
      <c r="A173" s="17">
        <f>IF($D173="","",ROW()-3)</f>
        <v/>
      </c>
      <c r="B173" s="18" t="n"/>
      <c r="C173" s="13" t="n"/>
      <c r="D173" s="13" t="n"/>
      <c r="E173" s="13" t="n"/>
      <c r="F173" s="17">
        <f>IF($D173="","",IFERROR(VLOOKUP($E173,材料归属,2,0),"※材料类别没选"))</f>
        <v/>
      </c>
      <c r="G173" s="13" t="n"/>
      <c r="H173" s="13" t="n"/>
      <c r="I173" s="13" t="n"/>
      <c r="J173" s="20" t="n"/>
      <c r="K173" s="14" t="n"/>
      <c r="L173" s="19">
        <f>IF($D173="","",ROUND(IF($J173="",1,$J173)*N($K173),2))</f>
        <v/>
      </c>
      <c r="M173" s="13" t="n"/>
      <c r="N173" s="17">
        <f>IF($D173="","",IF(ISNA(MATCH($D173,项目名表,0)),"※项目不在项目台账里",IF($F173="※材料类别没选","※材料类别没选",IF(AND($C173&lt;&gt;"",ISNA(MATCH($C173,供应商表,0))),"※供应商不在基础资料里",""))))</f>
        <v/>
      </c>
    </row>
    <row r="174">
      <c r="A174" s="17">
        <f>IF($D174="","",ROW()-3)</f>
        <v/>
      </c>
      <c r="B174" s="18" t="n"/>
      <c r="C174" s="13" t="n"/>
      <c r="D174" s="13" t="n"/>
      <c r="E174" s="13" t="n"/>
      <c r="F174" s="17">
        <f>IF($D174="","",IFERROR(VLOOKUP($E174,材料归属,2,0),"※材料类别没选"))</f>
        <v/>
      </c>
      <c r="G174" s="13" t="n"/>
      <c r="H174" s="13" t="n"/>
      <c r="I174" s="13" t="n"/>
      <c r="J174" s="20" t="n"/>
      <c r="K174" s="14" t="n"/>
      <c r="L174" s="19">
        <f>IF($D174="","",ROUND(IF($J174="",1,$J174)*N($K174),2))</f>
        <v/>
      </c>
      <c r="M174" s="13" t="n"/>
      <c r="N174" s="17">
        <f>IF($D174="","",IF(ISNA(MATCH($D174,项目名表,0)),"※项目不在项目台账里",IF($F174="※材料类别没选","※材料类别没选",IF(AND($C174&lt;&gt;"",ISNA(MATCH($C174,供应商表,0))),"※供应商不在基础资料里",""))))</f>
        <v/>
      </c>
    </row>
    <row r="175">
      <c r="A175" s="17">
        <f>IF($D175="","",ROW()-3)</f>
        <v/>
      </c>
      <c r="B175" s="18" t="n"/>
      <c r="C175" s="13" t="n"/>
      <c r="D175" s="13" t="n"/>
      <c r="E175" s="13" t="n"/>
      <c r="F175" s="17">
        <f>IF($D175="","",IFERROR(VLOOKUP($E175,材料归属,2,0),"※材料类别没选"))</f>
        <v/>
      </c>
      <c r="G175" s="13" t="n"/>
      <c r="H175" s="13" t="n"/>
      <c r="I175" s="13" t="n"/>
      <c r="J175" s="20" t="n"/>
      <c r="K175" s="14" t="n"/>
      <c r="L175" s="19">
        <f>IF($D175="","",ROUND(IF($J175="",1,$J175)*N($K175),2))</f>
        <v/>
      </c>
      <c r="M175" s="13" t="n"/>
      <c r="N175" s="17">
        <f>IF($D175="","",IF(ISNA(MATCH($D175,项目名表,0)),"※项目不在项目台账里",IF($F175="※材料类别没选","※材料类别没选",IF(AND($C175&lt;&gt;"",ISNA(MATCH($C175,供应商表,0))),"※供应商不在基础资料里",""))))</f>
        <v/>
      </c>
    </row>
    <row r="176">
      <c r="A176" s="17">
        <f>IF($D176="","",ROW()-3)</f>
        <v/>
      </c>
      <c r="B176" s="18" t="n"/>
      <c r="C176" s="13" t="n"/>
      <c r="D176" s="13" t="n"/>
      <c r="E176" s="13" t="n"/>
      <c r="F176" s="17">
        <f>IF($D176="","",IFERROR(VLOOKUP($E176,材料归属,2,0),"※材料类别没选"))</f>
        <v/>
      </c>
      <c r="G176" s="13" t="n"/>
      <c r="H176" s="13" t="n"/>
      <c r="I176" s="13" t="n"/>
      <c r="J176" s="20" t="n"/>
      <c r="K176" s="14" t="n"/>
      <c r="L176" s="19">
        <f>IF($D176="","",ROUND(IF($J176="",1,$J176)*N($K176),2))</f>
        <v/>
      </c>
      <c r="M176" s="13" t="n"/>
      <c r="N176" s="17">
        <f>IF($D176="","",IF(ISNA(MATCH($D176,项目名表,0)),"※项目不在项目台账里",IF($F176="※材料类别没选","※材料类别没选",IF(AND($C176&lt;&gt;"",ISNA(MATCH($C176,供应商表,0))),"※供应商不在基础资料里",""))))</f>
        <v/>
      </c>
    </row>
    <row r="177">
      <c r="A177" s="17">
        <f>IF($D177="","",ROW()-3)</f>
        <v/>
      </c>
      <c r="B177" s="18" t="n"/>
      <c r="C177" s="13" t="n"/>
      <c r="D177" s="13" t="n"/>
      <c r="E177" s="13" t="n"/>
      <c r="F177" s="17">
        <f>IF($D177="","",IFERROR(VLOOKUP($E177,材料归属,2,0),"※材料类别没选"))</f>
        <v/>
      </c>
      <c r="G177" s="13" t="n"/>
      <c r="H177" s="13" t="n"/>
      <c r="I177" s="13" t="n"/>
      <c r="J177" s="20" t="n"/>
      <c r="K177" s="14" t="n"/>
      <c r="L177" s="19">
        <f>IF($D177="","",ROUND(IF($J177="",1,$J177)*N($K177),2))</f>
        <v/>
      </c>
      <c r="M177" s="13" t="n"/>
      <c r="N177" s="17">
        <f>IF($D177="","",IF(ISNA(MATCH($D177,项目名表,0)),"※项目不在项目台账里",IF($F177="※材料类别没选","※材料类别没选",IF(AND($C177&lt;&gt;"",ISNA(MATCH($C177,供应商表,0))),"※供应商不在基础资料里",""))))</f>
        <v/>
      </c>
    </row>
    <row r="178">
      <c r="A178" s="17">
        <f>IF($D178="","",ROW()-3)</f>
        <v/>
      </c>
      <c r="B178" s="18" t="n"/>
      <c r="C178" s="13" t="n"/>
      <c r="D178" s="13" t="n"/>
      <c r="E178" s="13" t="n"/>
      <c r="F178" s="17">
        <f>IF($D178="","",IFERROR(VLOOKUP($E178,材料归属,2,0),"※材料类别没选"))</f>
        <v/>
      </c>
      <c r="G178" s="13" t="n"/>
      <c r="H178" s="13" t="n"/>
      <c r="I178" s="13" t="n"/>
      <c r="J178" s="20" t="n"/>
      <c r="K178" s="14" t="n"/>
      <c r="L178" s="19">
        <f>IF($D178="","",ROUND(IF($J178="",1,$J178)*N($K178),2))</f>
        <v/>
      </c>
      <c r="M178" s="13" t="n"/>
      <c r="N178" s="17">
        <f>IF($D178="","",IF(ISNA(MATCH($D178,项目名表,0)),"※项目不在项目台账里",IF($F178="※材料类别没选","※材料类别没选",IF(AND($C178&lt;&gt;"",ISNA(MATCH($C178,供应商表,0))),"※供应商不在基础资料里",""))))</f>
        <v/>
      </c>
    </row>
    <row r="179">
      <c r="A179" s="17">
        <f>IF($D179="","",ROW()-3)</f>
        <v/>
      </c>
      <c r="B179" s="18" t="n"/>
      <c r="C179" s="13" t="n"/>
      <c r="D179" s="13" t="n"/>
      <c r="E179" s="13" t="n"/>
      <c r="F179" s="17">
        <f>IF($D179="","",IFERROR(VLOOKUP($E179,材料归属,2,0),"※材料类别没选"))</f>
        <v/>
      </c>
      <c r="G179" s="13" t="n"/>
      <c r="H179" s="13" t="n"/>
      <c r="I179" s="13" t="n"/>
      <c r="J179" s="20" t="n"/>
      <c r="K179" s="14" t="n"/>
      <c r="L179" s="19">
        <f>IF($D179="","",ROUND(IF($J179="",1,$J179)*N($K179),2))</f>
        <v/>
      </c>
      <c r="M179" s="13" t="n"/>
      <c r="N179" s="17">
        <f>IF($D179="","",IF(ISNA(MATCH($D179,项目名表,0)),"※项目不在项目台账里",IF($F179="※材料类别没选","※材料类别没选",IF(AND($C179&lt;&gt;"",ISNA(MATCH($C179,供应商表,0))),"※供应商不在基础资料里",""))))</f>
        <v/>
      </c>
    </row>
    <row r="180">
      <c r="A180" s="17">
        <f>IF($D180="","",ROW()-3)</f>
        <v/>
      </c>
      <c r="B180" s="18" t="n"/>
      <c r="C180" s="13" t="n"/>
      <c r="D180" s="13" t="n"/>
      <c r="E180" s="13" t="n"/>
      <c r="F180" s="17">
        <f>IF($D180="","",IFERROR(VLOOKUP($E180,材料归属,2,0),"※材料类别没选"))</f>
        <v/>
      </c>
      <c r="G180" s="13" t="n"/>
      <c r="H180" s="13" t="n"/>
      <c r="I180" s="13" t="n"/>
      <c r="J180" s="20" t="n"/>
      <c r="K180" s="14" t="n"/>
      <c r="L180" s="19">
        <f>IF($D180="","",ROUND(IF($J180="",1,$J180)*N($K180),2))</f>
        <v/>
      </c>
      <c r="M180" s="13" t="n"/>
      <c r="N180" s="17">
        <f>IF($D180="","",IF(ISNA(MATCH($D180,项目名表,0)),"※项目不在项目台账里",IF($F180="※材料类别没选","※材料类别没选",IF(AND($C180&lt;&gt;"",ISNA(MATCH($C180,供应商表,0))),"※供应商不在基础资料里",""))))</f>
        <v/>
      </c>
    </row>
    <row r="181">
      <c r="A181" s="17">
        <f>IF($D181="","",ROW()-3)</f>
        <v/>
      </c>
      <c r="B181" s="18" t="n"/>
      <c r="C181" s="13" t="n"/>
      <c r="D181" s="13" t="n"/>
      <c r="E181" s="13" t="n"/>
      <c r="F181" s="17">
        <f>IF($D181="","",IFERROR(VLOOKUP($E181,材料归属,2,0),"※材料类别没选"))</f>
        <v/>
      </c>
      <c r="G181" s="13" t="n"/>
      <c r="H181" s="13" t="n"/>
      <c r="I181" s="13" t="n"/>
      <c r="J181" s="20" t="n"/>
      <c r="K181" s="14" t="n"/>
      <c r="L181" s="19">
        <f>IF($D181="","",ROUND(IF($J181="",1,$J181)*N($K181),2))</f>
        <v/>
      </c>
      <c r="M181" s="13" t="n"/>
      <c r="N181" s="17">
        <f>IF($D181="","",IF(ISNA(MATCH($D181,项目名表,0)),"※项目不在项目台账里",IF($F181="※材料类别没选","※材料类别没选",IF(AND($C181&lt;&gt;"",ISNA(MATCH($C181,供应商表,0))),"※供应商不在基础资料里",""))))</f>
        <v/>
      </c>
    </row>
    <row r="182">
      <c r="A182" s="17">
        <f>IF($D182="","",ROW()-3)</f>
        <v/>
      </c>
      <c r="B182" s="18" t="n"/>
      <c r="C182" s="13" t="n"/>
      <c r="D182" s="13" t="n"/>
      <c r="E182" s="13" t="n"/>
      <c r="F182" s="17">
        <f>IF($D182="","",IFERROR(VLOOKUP($E182,材料归属,2,0),"※材料类别没选"))</f>
        <v/>
      </c>
      <c r="G182" s="13" t="n"/>
      <c r="H182" s="13" t="n"/>
      <c r="I182" s="13" t="n"/>
      <c r="J182" s="20" t="n"/>
      <c r="K182" s="14" t="n"/>
      <c r="L182" s="19">
        <f>IF($D182="","",ROUND(IF($J182="",1,$J182)*N($K182),2))</f>
        <v/>
      </c>
      <c r="M182" s="13" t="n"/>
      <c r="N182" s="17">
        <f>IF($D182="","",IF(ISNA(MATCH($D182,项目名表,0)),"※项目不在项目台账里",IF($F182="※材料类别没选","※材料类别没选",IF(AND($C182&lt;&gt;"",ISNA(MATCH($C182,供应商表,0))),"※供应商不在基础资料里",""))))</f>
        <v/>
      </c>
    </row>
    <row r="183">
      <c r="A183" s="17">
        <f>IF($D183="","",ROW()-3)</f>
        <v/>
      </c>
      <c r="B183" s="18" t="n"/>
      <c r="C183" s="13" t="n"/>
      <c r="D183" s="13" t="n"/>
      <c r="E183" s="13" t="n"/>
      <c r="F183" s="17">
        <f>IF($D183="","",IFERROR(VLOOKUP($E183,材料归属,2,0),"※材料类别没选"))</f>
        <v/>
      </c>
      <c r="G183" s="13" t="n"/>
      <c r="H183" s="13" t="n"/>
      <c r="I183" s="13" t="n"/>
      <c r="J183" s="20" t="n"/>
      <c r="K183" s="14" t="n"/>
      <c r="L183" s="19">
        <f>IF($D183="","",ROUND(IF($J183="",1,$J183)*N($K183),2))</f>
        <v/>
      </c>
      <c r="M183" s="13" t="n"/>
      <c r="N183" s="17">
        <f>IF($D183="","",IF(ISNA(MATCH($D183,项目名表,0)),"※项目不在项目台账里",IF($F183="※材料类别没选","※材料类别没选",IF(AND($C183&lt;&gt;"",ISNA(MATCH($C183,供应商表,0))),"※供应商不在基础资料里",""))))</f>
        <v/>
      </c>
    </row>
    <row r="184">
      <c r="A184" s="17">
        <f>IF($D184="","",ROW()-3)</f>
        <v/>
      </c>
      <c r="B184" s="18" t="n"/>
      <c r="C184" s="13" t="n"/>
      <c r="D184" s="13" t="n"/>
      <c r="E184" s="13" t="n"/>
      <c r="F184" s="17">
        <f>IF($D184="","",IFERROR(VLOOKUP($E184,材料归属,2,0),"※材料类别没选"))</f>
        <v/>
      </c>
      <c r="G184" s="13" t="n"/>
      <c r="H184" s="13" t="n"/>
      <c r="I184" s="13" t="n"/>
      <c r="J184" s="20" t="n"/>
      <c r="K184" s="14" t="n"/>
      <c r="L184" s="19">
        <f>IF($D184="","",ROUND(IF($J184="",1,$J184)*N($K184),2))</f>
        <v/>
      </c>
      <c r="M184" s="13" t="n"/>
      <c r="N184" s="17">
        <f>IF($D184="","",IF(ISNA(MATCH($D184,项目名表,0)),"※项目不在项目台账里",IF($F184="※材料类别没选","※材料类别没选",IF(AND($C184&lt;&gt;"",ISNA(MATCH($C184,供应商表,0))),"※供应商不在基础资料里",""))))</f>
        <v/>
      </c>
    </row>
    <row r="185">
      <c r="A185" s="17">
        <f>IF($D185="","",ROW()-3)</f>
        <v/>
      </c>
      <c r="B185" s="18" t="n"/>
      <c r="C185" s="13" t="n"/>
      <c r="D185" s="13" t="n"/>
      <c r="E185" s="13" t="n"/>
      <c r="F185" s="17">
        <f>IF($D185="","",IFERROR(VLOOKUP($E185,材料归属,2,0),"※材料类别没选"))</f>
        <v/>
      </c>
      <c r="G185" s="13" t="n"/>
      <c r="H185" s="13" t="n"/>
      <c r="I185" s="13" t="n"/>
      <c r="J185" s="20" t="n"/>
      <c r="K185" s="14" t="n"/>
      <c r="L185" s="19">
        <f>IF($D185="","",ROUND(IF($J185="",1,$J185)*N($K185),2))</f>
        <v/>
      </c>
      <c r="M185" s="13" t="n"/>
      <c r="N185" s="17">
        <f>IF($D185="","",IF(ISNA(MATCH($D185,项目名表,0)),"※项目不在项目台账里",IF($F185="※材料类别没选","※材料类别没选",IF(AND($C185&lt;&gt;"",ISNA(MATCH($C185,供应商表,0))),"※供应商不在基础资料里",""))))</f>
        <v/>
      </c>
    </row>
    <row r="186">
      <c r="A186" s="17">
        <f>IF($D186="","",ROW()-3)</f>
        <v/>
      </c>
      <c r="B186" s="18" t="n"/>
      <c r="C186" s="13" t="n"/>
      <c r="D186" s="13" t="n"/>
      <c r="E186" s="13" t="n"/>
      <c r="F186" s="17">
        <f>IF($D186="","",IFERROR(VLOOKUP($E186,材料归属,2,0),"※材料类别没选"))</f>
        <v/>
      </c>
      <c r="G186" s="13" t="n"/>
      <c r="H186" s="13" t="n"/>
      <c r="I186" s="13" t="n"/>
      <c r="J186" s="20" t="n"/>
      <c r="K186" s="14" t="n"/>
      <c r="L186" s="19">
        <f>IF($D186="","",ROUND(IF($J186="",1,$J186)*N($K186),2))</f>
        <v/>
      </c>
      <c r="M186" s="13" t="n"/>
      <c r="N186" s="17">
        <f>IF($D186="","",IF(ISNA(MATCH($D186,项目名表,0)),"※项目不在项目台账里",IF($F186="※材料类别没选","※材料类别没选",IF(AND($C186&lt;&gt;"",ISNA(MATCH($C186,供应商表,0))),"※供应商不在基础资料里",""))))</f>
        <v/>
      </c>
    </row>
    <row r="187">
      <c r="A187" s="17">
        <f>IF($D187="","",ROW()-3)</f>
        <v/>
      </c>
      <c r="B187" s="18" t="n"/>
      <c r="C187" s="13" t="n"/>
      <c r="D187" s="13" t="n"/>
      <c r="E187" s="13" t="n"/>
      <c r="F187" s="17">
        <f>IF($D187="","",IFERROR(VLOOKUP($E187,材料归属,2,0),"※材料类别没选"))</f>
        <v/>
      </c>
      <c r="G187" s="13" t="n"/>
      <c r="H187" s="13" t="n"/>
      <c r="I187" s="13" t="n"/>
      <c r="J187" s="20" t="n"/>
      <c r="K187" s="14" t="n"/>
      <c r="L187" s="19">
        <f>IF($D187="","",ROUND(IF($J187="",1,$J187)*N($K187),2))</f>
        <v/>
      </c>
      <c r="M187" s="13" t="n"/>
      <c r="N187" s="17">
        <f>IF($D187="","",IF(ISNA(MATCH($D187,项目名表,0)),"※项目不在项目台账里",IF($F187="※材料类别没选","※材料类别没选",IF(AND($C187&lt;&gt;"",ISNA(MATCH($C187,供应商表,0))),"※供应商不在基础资料里",""))))</f>
        <v/>
      </c>
    </row>
    <row r="188">
      <c r="A188" s="17">
        <f>IF($D188="","",ROW()-3)</f>
        <v/>
      </c>
      <c r="B188" s="18" t="n"/>
      <c r="C188" s="13" t="n"/>
      <c r="D188" s="13" t="n"/>
      <c r="E188" s="13" t="n"/>
      <c r="F188" s="17">
        <f>IF($D188="","",IFERROR(VLOOKUP($E188,材料归属,2,0),"※材料类别没选"))</f>
        <v/>
      </c>
      <c r="G188" s="13" t="n"/>
      <c r="H188" s="13" t="n"/>
      <c r="I188" s="13" t="n"/>
      <c r="J188" s="20" t="n"/>
      <c r="K188" s="14" t="n"/>
      <c r="L188" s="19">
        <f>IF($D188="","",ROUND(IF($J188="",1,$J188)*N($K188),2))</f>
        <v/>
      </c>
      <c r="M188" s="13" t="n"/>
      <c r="N188" s="17">
        <f>IF($D188="","",IF(ISNA(MATCH($D188,项目名表,0)),"※项目不在项目台账里",IF($F188="※材料类别没选","※材料类别没选",IF(AND($C188&lt;&gt;"",ISNA(MATCH($C188,供应商表,0))),"※供应商不在基础资料里",""))))</f>
        <v/>
      </c>
    </row>
    <row r="189">
      <c r="A189" s="17">
        <f>IF($D189="","",ROW()-3)</f>
        <v/>
      </c>
      <c r="B189" s="18" t="n"/>
      <c r="C189" s="13" t="n"/>
      <c r="D189" s="13" t="n"/>
      <c r="E189" s="13" t="n"/>
      <c r="F189" s="17">
        <f>IF($D189="","",IFERROR(VLOOKUP($E189,材料归属,2,0),"※材料类别没选"))</f>
        <v/>
      </c>
      <c r="G189" s="13" t="n"/>
      <c r="H189" s="13" t="n"/>
      <c r="I189" s="13" t="n"/>
      <c r="J189" s="20" t="n"/>
      <c r="K189" s="14" t="n"/>
      <c r="L189" s="19">
        <f>IF($D189="","",ROUND(IF($J189="",1,$J189)*N($K189),2))</f>
        <v/>
      </c>
      <c r="M189" s="13" t="n"/>
      <c r="N189" s="17">
        <f>IF($D189="","",IF(ISNA(MATCH($D189,项目名表,0)),"※项目不在项目台账里",IF($F189="※材料类别没选","※材料类别没选",IF(AND($C189&lt;&gt;"",ISNA(MATCH($C189,供应商表,0))),"※供应商不在基础资料里",""))))</f>
        <v/>
      </c>
    </row>
    <row r="190">
      <c r="A190" s="17">
        <f>IF($D190="","",ROW()-3)</f>
        <v/>
      </c>
      <c r="B190" s="18" t="n"/>
      <c r="C190" s="13" t="n"/>
      <c r="D190" s="13" t="n"/>
      <c r="E190" s="13" t="n"/>
      <c r="F190" s="17">
        <f>IF($D190="","",IFERROR(VLOOKUP($E190,材料归属,2,0),"※材料类别没选"))</f>
        <v/>
      </c>
      <c r="G190" s="13" t="n"/>
      <c r="H190" s="13" t="n"/>
      <c r="I190" s="13" t="n"/>
      <c r="J190" s="20" t="n"/>
      <c r="K190" s="14" t="n"/>
      <c r="L190" s="19">
        <f>IF($D190="","",ROUND(IF($J190="",1,$J190)*N($K190),2))</f>
        <v/>
      </c>
      <c r="M190" s="13" t="n"/>
      <c r="N190" s="17">
        <f>IF($D190="","",IF(ISNA(MATCH($D190,项目名表,0)),"※项目不在项目台账里",IF($F190="※材料类别没选","※材料类别没选",IF(AND($C190&lt;&gt;"",ISNA(MATCH($C190,供应商表,0))),"※供应商不在基础资料里",""))))</f>
        <v/>
      </c>
    </row>
    <row r="191">
      <c r="A191" s="17">
        <f>IF($D191="","",ROW()-3)</f>
        <v/>
      </c>
      <c r="B191" s="18" t="n"/>
      <c r="C191" s="13" t="n"/>
      <c r="D191" s="13" t="n"/>
      <c r="E191" s="13" t="n"/>
      <c r="F191" s="17">
        <f>IF($D191="","",IFERROR(VLOOKUP($E191,材料归属,2,0),"※材料类别没选"))</f>
        <v/>
      </c>
      <c r="G191" s="13" t="n"/>
      <c r="H191" s="13" t="n"/>
      <c r="I191" s="13" t="n"/>
      <c r="J191" s="20" t="n"/>
      <c r="K191" s="14" t="n"/>
      <c r="L191" s="19">
        <f>IF($D191="","",ROUND(IF($J191="",1,$J191)*N($K191),2))</f>
        <v/>
      </c>
      <c r="M191" s="13" t="n"/>
      <c r="N191" s="17">
        <f>IF($D191="","",IF(ISNA(MATCH($D191,项目名表,0)),"※项目不在项目台账里",IF($F191="※材料类别没选","※材料类别没选",IF(AND($C191&lt;&gt;"",ISNA(MATCH($C191,供应商表,0))),"※供应商不在基础资料里",""))))</f>
        <v/>
      </c>
    </row>
    <row r="192">
      <c r="A192" s="17">
        <f>IF($D192="","",ROW()-3)</f>
        <v/>
      </c>
      <c r="B192" s="18" t="n"/>
      <c r="C192" s="13" t="n"/>
      <c r="D192" s="13" t="n"/>
      <c r="E192" s="13" t="n"/>
      <c r="F192" s="17">
        <f>IF($D192="","",IFERROR(VLOOKUP($E192,材料归属,2,0),"※材料类别没选"))</f>
        <v/>
      </c>
      <c r="G192" s="13" t="n"/>
      <c r="H192" s="13" t="n"/>
      <c r="I192" s="13" t="n"/>
      <c r="J192" s="20" t="n"/>
      <c r="K192" s="14" t="n"/>
      <c r="L192" s="19">
        <f>IF($D192="","",ROUND(IF($J192="",1,$J192)*N($K192),2))</f>
        <v/>
      </c>
      <c r="M192" s="13" t="n"/>
      <c r="N192" s="17">
        <f>IF($D192="","",IF(ISNA(MATCH($D192,项目名表,0)),"※项目不在项目台账里",IF($F192="※材料类别没选","※材料类别没选",IF(AND($C192&lt;&gt;"",ISNA(MATCH($C192,供应商表,0))),"※供应商不在基础资料里",""))))</f>
        <v/>
      </c>
    </row>
    <row r="193">
      <c r="A193" s="17">
        <f>IF($D193="","",ROW()-3)</f>
        <v/>
      </c>
      <c r="B193" s="18" t="n"/>
      <c r="C193" s="13" t="n"/>
      <c r="D193" s="13" t="n"/>
      <c r="E193" s="13" t="n"/>
      <c r="F193" s="17">
        <f>IF($D193="","",IFERROR(VLOOKUP($E193,材料归属,2,0),"※材料类别没选"))</f>
        <v/>
      </c>
      <c r="G193" s="13" t="n"/>
      <c r="H193" s="13" t="n"/>
      <c r="I193" s="13" t="n"/>
      <c r="J193" s="20" t="n"/>
      <c r="K193" s="14" t="n"/>
      <c r="L193" s="19">
        <f>IF($D193="","",ROUND(IF($J193="",1,$J193)*N($K193),2))</f>
        <v/>
      </c>
      <c r="M193" s="13" t="n"/>
      <c r="N193" s="17">
        <f>IF($D193="","",IF(ISNA(MATCH($D193,项目名表,0)),"※项目不在项目台账里",IF($F193="※材料类别没选","※材料类别没选",IF(AND($C193&lt;&gt;"",ISNA(MATCH($C193,供应商表,0))),"※供应商不在基础资料里",""))))</f>
        <v/>
      </c>
    </row>
    <row r="194">
      <c r="A194" s="17">
        <f>IF($D194="","",ROW()-3)</f>
        <v/>
      </c>
      <c r="B194" s="18" t="n"/>
      <c r="C194" s="13" t="n"/>
      <c r="D194" s="13" t="n"/>
      <c r="E194" s="13" t="n"/>
      <c r="F194" s="17">
        <f>IF($D194="","",IFERROR(VLOOKUP($E194,材料归属,2,0),"※材料类别没选"))</f>
        <v/>
      </c>
      <c r="G194" s="13" t="n"/>
      <c r="H194" s="13" t="n"/>
      <c r="I194" s="13" t="n"/>
      <c r="J194" s="20" t="n"/>
      <c r="K194" s="14" t="n"/>
      <c r="L194" s="19">
        <f>IF($D194="","",ROUND(IF($J194="",1,$J194)*N($K194),2))</f>
        <v/>
      </c>
      <c r="M194" s="13" t="n"/>
      <c r="N194" s="17">
        <f>IF($D194="","",IF(ISNA(MATCH($D194,项目名表,0)),"※项目不在项目台账里",IF($F194="※材料类别没选","※材料类别没选",IF(AND($C194&lt;&gt;"",ISNA(MATCH($C194,供应商表,0))),"※供应商不在基础资料里",""))))</f>
        <v/>
      </c>
    </row>
    <row r="195">
      <c r="A195" s="17">
        <f>IF($D195="","",ROW()-3)</f>
        <v/>
      </c>
      <c r="B195" s="18" t="n"/>
      <c r="C195" s="13" t="n"/>
      <c r="D195" s="13" t="n"/>
      <c r="E195" s="13" t="n"/>
      <c r="F195" s="17">
        <f>IF($D195="","",IFERROR(VLOOKUP($E195,材料归属,2,0),"※材料类别没选"))</f>
        <v/>
      </c>
      <c r="G195" s="13" t="n"/>
      <c r="H195" s="13" t="n"/>
      <c r="I195" s="13" t="n"/>
      <c r="J195" s="20" t="n"/>
      <c r="K195" s="14" t="n"/>
      <c r="L195" s="19">
        <f>IF($D195="","",ROUND(IF($J195="",1,$J195)*N($K195),2))</f>
        <v/>
      </c>
      <c r="M195" s="13" t="n"/>
      <c r="N195" s="17">
        <f>IF($D195="","",IF(ISNA(MATCH($D195,项目名表,0)),"※项目不在项目台账里",IF($F195="※材料类别没选","※材料类别没选",IF(AND($C195&lt;&gt;"",ISNA(MATCH($C195,供应商表,0))),"※供应商不在基础资料里",""))))</f>
        <v/>
      </c>
    </row>
    <row r="196">
      <c r="A196" s="17">
        <f>IF($D196="","",ROW()-3)</f>
        <v/>
      </c>
      <c r="B196" s="18" t="n"/>
      <c r="C196" s="13" t="n"/>
      <c r="D196" s="13" t="n"/>
      <c r="E196" s="13" t="n"/>
      <c r="F196" s="17">
        <f>IF($D196="","",IFERROR(VLOOKUP($E196,材料归属,2,0),"※材料类别没选"))</f>
        <v/>
      </c>
      <c r="G196" s="13" t="n"/>
      <c r="H196" s="13" t="n"/>
      <c r="I196" s="13" t="n"/>
      <c r="J196" s="20" t="n"/>
      <c r="K196" s="14" t="n"/>
      <c r="L196" s="19">
        <f>IF($D196="","",ROUND(IF($J196="",1,$J196)*N($K196),2))</f>
        <v/>
      </c>
      <c r="M196" s="13" t="n"/>
      <c r="N196" s="17">
        <f>IF($D196="","",IF(ISNA(MATCH($D196,项目名表,0)),"※项目不在项目台账里",IF($F196="※材料类别没选","※材料类别没选",IF(AND($C196&lt;&gt;"",ISNA(MATCH($C196,供应商表,0))),"※供应商不在基础资料里",""))))</f>
        <v/>
      </c>
    </row>
    <row r="197">
      <c r="A197" s="17">
        <f>IF($D197="","",ROW()-3)</f>
        <v/>
      </c>
      <c r="B197" s="18" t="n"/>
      <c r="C197" s="13" t="n"/>
      <c r="D197" s="13" t="n"/>
      <c r="E197" s="13" t="n"/>
      <c r="F197" s="17">
        <f>IF($D197="","",IFERROR(VLOOKUP($E197,材料归属,2,0),"※材料类别没选"))</f>
        <v/>
      </c>
      <c r="G197" s="13" t="n"/>
      <c r="H197" s="13" t="n"/>
      <c r="I197" s="13" t="n"/>
      <c r="J197" s="20" t="n"/>
      <c r="K197" s="14" t="n"/>
      <c r="L197" s="19">
        <f>IF($D197="","",ROUND(IF($J197="",1,$J197)*N($K197),2))</f>
        <v/>
      </c>
      <c r="M197" s="13" t="n"/>
      <c r="N197" s="17">
        <f>IF($D197="","",IF(ISNA(MATCH($D197,项目名表,0)),"※项目不在项目台账里",IF($F197="※材料类别没选","※材料类别没选",IF(AND($C197&lt;&gt;"",ISNA(MATCH($C197,供应商表,0))),"※供应商不在基础资料里",""))))</f>
        <v/>
      </c>
    </row>
    <row r="198">
      <c r="A198" s="17">
        <f>IF($D198="","",ROW()-3)</f>
        <v/>
      </c>
      <c r="B198" s="18" t="n"/>
      <c r="C198" s="13" t="n"/>
      <c r="D198" s="13" t="n"/>
      <c r="E198" s="13" t="n"/>
      <c r="F198" s="17">
        <f>IF($D198="","",IFERROR(VLOOKUP($E198,材料归属,2,0),"※材料类别没选"))</f>
        <v/>
      </c>
      <c r="G198" s="13" t="n"/>
      <c r="H198" s="13" t="n"/>
      <c r="I198" s="13" t="n"/>
      <c r="J198" s="20" t="n"/>
      <c r="K198" s="14" t="n"/>
      <c r="L198" s="19">
        <f>IF($D198="","",ROUND(IF($J198="",1,$J198)*N($K198),2))</f>
        <v/>
      </c>
      <c r="M198" s="13" t="n"/>
      <c r="N198" s="17">
        <f>IF($D198="","",IF(ISNA(MATCH($D198,项目名表,0)),"※项目不在项目台账里",IF($F198="※材料类别没选","※材料类别没选",IF(AND($C198&lt;&gt;"",ISNA(MATCH($C198,供应商表,0))),"※供应商不在基础资料里",""))))</f>
        <v/>
      </c>
    </row>
    <row r="199">
      <c r="A199" s="17">
        <f>IF($D199="","",ROW()-3)</f>
        <v/>
      </c>
      <c r="B199" s="18" t="n"/>
      <c r="C199" s="13" t="n"/>
      <c r="D199" s="13" t="n"/>
      <c r="E199" s="13" t="n"/>
      <c r="F199" s="17">
        <f>IF($D199="","",IFERROR(VLOOKUP($E199,材料归属,2,0),"※材料类别没选"))</f>
        <v/>
      </c>
      <c r="G199" s="13" t="n"/>
      <c r="H199" s="13" t="n"/>
      <c r="I199" s="13" t="n"/>
      <c r="J199" s="20" t="n"/>
      <c r="K199" s="14" t="n"/>
      <c r="L199" s="19">
        <f>IF($D199="","",ROUND(IF($J199="",1,$J199)*N($K199),2))</f>
        <v/>
      </c>
      <c r="M199" s="13" t="n"/>
      <c r="N199" s="17">
        <f>IF($D199="","",IF(ISNA(MATCH($D199,项目名表,0)),"※项目不在项目台账里",IF($F199="※材料类别没选","※材料类别没选",IF(AND($C199&lt;&gt;"",ISNA(MATCH($C199,供应商表,0))),"※供应商不在基础资料里",""))))</f>
        <v/>
      </c>
    </row>
    <row r="200">
      <c r="A200" s="17">
        <f>IF($D200="","",ROW()-3)</f>
        <v/>
      </c>
      <c r="B200" s="18" t="n"/>
      <c r="C200" s="13" t="n"/>
      <c r="D200" s="13" t="n"/>
      <c r="E200" s="13" t="n"/>
      <c r="F200" s="17">
        <f>IF($D200="","",IFERROR(VLOOKUP($E200,材料归属,2,0),"※材料类别没选"))</f>
        <v/>
      </c>
      <c r="G200" s="13" t="n"/>
      <c r="H200" s="13" t="n"/>
      <c r="I200" s="13" t="n"/>
      <c r="J200" s="20" t="n"/>
      <c r="K200" s="14" t="n"/>
      <c r="L200" s="19">
        <f>IF($D200="","",ROUND(IF($J200="",1,$J200)*N($K200),2))</f>
        <v/>
      </c>
      <c r="M200" s="13" t="n"/>
      <c r="N200" s="17">
        <f>IF($D200="","",IF(ISNA(MATCH($D200,项目名表,0)),"※项目不在项目台账里",IF($F200="※材料类别没选","※材料类别没选",IF(AND($C200&lt;&gt;"",ISNA(MATCH($C200,供应商表,0))),"※供应商不在基础资料里",""))))</f>
        <v/>
      </c>
    </row>
    <row r="201">
      <c r="A201" s="17">
        <f>IF($D201="","",ROW()-3)</f>
        <v/>
      </c>
      <c r="B201" s="18" t="n"/>
      <c r="C201" s="13" t="n"/>
      <c r="D201" s="13" t="n"/>
      <c r="E201" s="13" t="n"/>
      <c r="F201" s="17">
        <f>IF($D201="","",IFERROR(VLOOKUP($E201,材料归属,2,0),"※材料类别没选"))</f>
        <v/>
      </c>
      <c r="G201" s="13" t="n"/>
      <c r="H201" s="13" t="n"/>
      <c r="I201" s="13" t="n"/>
      <c r="J201" s="20" t="n"/>
      <c r="K201" s="14" t="n"/>
      <c r="L201" s="19">
        <f>IF($D201="","",ROUND(IF($J201="",1,$J201)*N($K201),2))</f>
        <v/>
      </c>
      <c r="M201" s="13" t="n"/>
      <c r="N201" s="17">
        <f>IF($D201="","",IF(ISNA(MATCH($D201,项目名表,0)),"※项目不在项目台账里",IF($F201="※材料类别没选","※材料类别没选",IF(AND($C201&lt;&gt;"",ISNA(MATCH($C201,供应商表,0))),"※供应商不在基础资料里",""))))</f>
        <v/>
      </c>
    </row>
    <row r="202">
      <c r="A202" s="17">
        <f>IF($D202="","",ROW()-3)</f>
        <v/>
      </c>
      <c r="B202" s="18" t="n"/>
      <c r="C202" s="13" t="n"/>
      <c r="D202" s="13" t="n"/>
      <c r="E202" s="13" t="n"/>
      <c r="F202" s="17">
        <f>IF($D202="","",IFERROR(VLOOKUP($E202,材料归属,2,0),"※材料类别没选"))</f>
        <v/>
      </c>
      <c r="G202" s="13" t="n"/>
      <c r="H202" s="13" t="n"/>
      <c r="I202" s="13" t="n"/>
      <c r="J202" s="20" t="n"/>
      <c r="K202" s="14" t="n"/>
      <c r="L202" s="19">
        <f>IF($D202="","",ROUND(IF($J202="",1,$J202)*N($K202),2))</f>
        <v/>
      </c>
      <c r="M202" s="13" t="n"/>
      <c r="N202" s="17">
        <f>IF($D202="","",IF(ISNA(MATCH($D202,项目名表,0)),"※项目不在项目台账里",IF($F202="※材料类别没选","※材料类别没选",IF(AND($C202&lt;&gt;"",ISNA(MATCH($C202,供应商表,0))),"※供应商不在基础资料里",""))))</f>
        <v/>
      </c>
    </row>
    <row r="203">
      <c r="A203" s="17">
        <f>IF($D203="","",ROW()-3)</f>
        <v/>
      </c>
      <c r="B203" s="18" t="n"/>
      <c r="C203" s="13" t="n"/>
      <c r="D203" s="13" t="n"/>
      <c r="E203" s="13" t="n"/>
      <c r="F203" s="17">
        <f>IF($D203="","",IFERROR(VLOOKUP($E203,材料归属,2,0),"※材料类别没选"))</f>
        <v/>
      </c>
      <c r="G203" s="13" t="n"/>
      <c r="H203" s="13" t="n"/>
      <c r="I203" s="13" t="n"/>
      <c r="J203" s="20" t="n"/>
      <c r="K203" s="14" t="n"/>
      <c r="L203" s="19">
        <f>IF($D203="","",ROUND(IF($J203="",1,$J203)*N($K203),2))</f>
        <v/>
      </c>
      <c r="M203" s="13" t="n"/>
      <c r="N203" s="17">
        <f>IF($D203="","",IF(ISNA(MATCH($D203,项目名表,0)),"※项目不在项目台账里",IF($F203="※材料类别没选","※材料类别没选",IF(AND($C203&lt;&gt;"",ISNA(MATCH($C203,供应商表,0))),"※供应商不在基础资料里",""))))</f>
        <v/>
      </c>
    </row>
    <row r="204">
      <c r="A204" s="17">
        <f>IF($D204="","",ROW()-3)</f>
        <v/>
      </c>
      <c r="B204" s="18" t="n"/>
      <c r="C204" s="13" t="n"/>
      <c r="D204" s="13" t="n"/>
      <c r="E204" s="13" t="n"/>
      <c r="F204" s="17">
        <f>IF($D204="","",IFERROR(VLOOKUP($E204,材料归属,2,0),"※材料类别没选"))</f>
        <v/>
      </c>
      <c r="G204" s="13" t="n"/>
      <c r="H204" s="13" t="n"/>
      <c r="I204" s="13" t="n"/>
      <c r="J204" s="20" t="n"/>
      <c r="K204" s="14" t="n"/>
      <c r="L204" s="19">
        <f>IF($D204="","",ROUND(IF($J204="",1,$J204)*N($K204),2))</f>
        <v/>
      </c>
      <c r="M204" s="13" t="n"/>
      <c r="N204" s="17">
        <f>IF($D204="","",IF(ISNA(MATCH($D204,项目名表,0)),"※项目不在项目台账里",IF($F204="※材料类别没选","※材料类别没选",IF(AND($C204&lt;&gt;"",ISNA(MATCH($C204,供应商表,0))),"※供应商不在基础资料里",""))))</f>
        <v/>
      </c>
    </row>
    <row r="205">
      <c r="A205" s="17">
        <f>IF($D205="","",ROW()-3)</f>
        <v/>
      </c>
      <c r="B205" s="18" t="n"/>
      <c r="C205" s="13" t="n"/>
      <c r="D205" s="13" t="n"/>
      <c r="E205" s="13" t="n"/>
      <c r="F205" s="17">
        <f>IF($D205="","",IFERROR(VLOOKUP($E205,材料归属,2,0),"※材料类别没选"))</f>
        <v/>
      </c>
      <c r="G205" s="13" t="n"/>
      <c r="H205" s="13" t="n"/>
      <c r="I205" s="13" t="n"/>
      <c r="J205" s="20" t="n"/>
      <c r="K205" s="14" t="n"/>
      <c r="L205" s="19">
        <f>IF($D205="","",ROUND(IF($J205="",1,$J205)*N($K205),2))</f>
        <v/>
      </c>
      <c r="M205" s="13" t="n"/>
      <c r="N205" s="17">
        <f>IF($D205="","",IF(ISNA(MATCH($D205,项目名表,0)),"※项目不在项目台账里",IF($F205="※材料类别没选","※材料类别没选",IF(AND($C205&lt;&gt;"",ISNA(MATCH($C205,供应商表,0))),"※供应商不在基础资料里",""))))</f>
        <v/>
      </c>
    </row>
    <row r="206">
      <c r="A206" s="17">
        <f>IF($D206="","",ROW()-3)</f>
        <v/>
      </c>
      <c r="B206" s="18" t="n"/>
      <c r="C206" s="13" t="n"/>
      <c r="D206" s="13" t="n"/>
      <c r="E206" s="13" t="n"/>
      <c r="F206" s="17">
        <f>IF($D206="","",IFERROR(VLOOKUP($E206,材料归属,2,0),"※材料类别没选"))</f>
        <v/>
      </c>
      <c r="G206" s="13" t="n"/>
      <c r="H206" s="13" t="n"/>
      <c r="I206" s="13" t="n"/>
      <c r="J206" s="20" t="n"/>
      <c r="K206" s="14" t="n"/>
      <c r="L206" s="19">
        <f>IF($D206="","",ROUND(IF($J206="",1,$J206)*N($K206),2))</f>
        <v/>
      </c>
      <c r="M206" s="13" t="n"/>
      <c r="N206" s="17">
        <f>IF($D206="","",IF(ISNA(MATCH($D206,项目名表,0)),"※项目不在项目台账里",IF($F206="※材料类别没选","※材料类别没选",IF(AND($C206&lt;&gt;"",ISNA(MATCH($C206,供应商表,0))),"※供应商不在基础资料里",""))))</f>
        <v/>
      </c>
    </row>
    <row r="207">
      <c r="A207" s="17">
        <f>IF($D207="","",ROW()-3)</f>
        <v/>
      </c>
      <c r="B207" s="18" t="n"/>
      <c r="C207" s="13" t="n"/>
      <c r="D207" s="13" t="n"/>
      <c r="E207" s="13" t="n"/>
      <c r="F207" s="17">
        <f>IF($D207="","",IFERROR(VLOOKUP($E207,材料归属,2,0),"※材料类别没选"))</f>
        <v/>
      </c>
      <c r="G207" s="13" t="n"/>
      <c r="H207" s="13" t="n"/>
      <c r="I207" s="13" t="n"/>
      <c r="J207" s="20" t="n"/>
      <c r="K207" s="14" t="n"/>
      <c r="L207" s="19">
        <f>IF($D207="","",ROUND(IF($J207="",1,$J207)*N($K207),2))</f>
        <v/>
      </c>
      <c r="M207" s="13" t="n"/>
      <c r="N207" s="17">
        <f>IF($D207="","",IF(ISNA(MATCH($D207,项目名表,0)),"※项目不在项目台账里",IF($F207="※材料类别没选","※材料类别没选",IF(AND($C207&lt;&gt;"",ISNA(MATCH($C207,供应商表,0))),"※供应商不在基础资料里",""))))</f>
        <v/>
      </c>
    </row>
    <row r="208">
      <c r="A208" s="17">
        <f>IF($D208="","",ROW()-3)</f>
        <v/>
      </c>
      <c r="B208" s="18" t="n"/>
      <c r="C208" s="13" t="n"/>
      <c r="D208" s="13" t="n"/>
      <c r="E208" s="13" t="n"/>
      <c r="F208" s="17">
        <f>IF($D208="","",IFERROR(VLOOKUP($E208,材料归属,2,0),"※材料类别没选"))</f>
        <v/>
      </c>
      <c r="G208" s="13" t="n"/>
      <c r="H208" s="13" t="n"/>
      <c r="I208" s="13" t="n"/>
      <c r="J208" s="20" t="n"/>
      <c r="K208" s="14" t="n"/>
      <c r="L208" s="19">
        <f>IF($D208="","",ROUND(IF($J208="",1,$J208)*N($K208),2))</f>
        <v/>
      </c>
      <c r="M208" s="13" t="n"/>
      <c r="N208" s="17">
        <f>IF($D208="","",IF(ISNA(MATCH($D208,项目名表,0)),"※项目不在项目台账里",IF($F208="※材料类别没选","※材料类别没选",IF(AND($C208&lt;&gt;"",ISNA(MATCH($C208,供应商表,0))),"※供应商不在基础资料里",""))))</f>
        <v/>
      </c>
    </row>
    <row r="209">
      <c r="A209" s="17">
        <f>IF($D209="","",ROW()-3)</f>
        <v/>
      </c>
      <c r="B209" s="18" t="n"/>
      <c r="C209" s="13" t="n"/>
      <c r="D209" s="13" t="n"/>
      <c r="E209" s="13" t="n"/>
      <c r="F209" s="17">
        <f>IF($D209="","",IFERROR(VLOOKUP($E209,材料归属,2,0),"※材料类别没选"))</f>
        <v/>
      </c>
      <c r="G209" s="13" t="n"/>
      <c r="H209" s="13" t="n"/>
      <c r="I209" s="13" t="n"/>
      <c r="J209" s="20" t="n"/>
      <c r="K209" s="14" t="n"/>
      <c r="L209" s="19">
        <f>IF($D209="","",ROUND(IF($J209="",1,$J209)*N($K209),2))</f>
        <v/>
      </c>
      <c r="M209" s="13" t="n"/>
      <c r="N209" s="17">
        <f>IF($D209="","",IF(ISNA(MATCH($D209,项目名表,0)),"※项目不在项目台账里",IF($F209="※材料类别没选","※材料类别没选",IF(AND($C209&lt;&gt;"",ISNA(MATCH($C209,供应商表,0))),"※供应商不在基础资料里",""))))</f>
        <v/>
      </c>
    </row>
    <row r="210">
      <c r="A210" s="17">
        <f>IF($D210="","",ROW()-3)</f>
        <v/>
      </c>
      <c r="B210" s="18" t="n"/>
      <c r="C210" s="13" t="n"/>
      <c r="D210" s="13" t="n"/>
      <c r="E210" s="13" t="n"/>
      <c r="F210" s="17">
        <f>IF($D210="","",IFERROR(VLOOKUP($E210,材料归属,2,0),"※材料类别没选"))</f>
        <v/>
      </c>
      <c r="G210" s="13" t="n"/>
      <c r="H210" s="13" t="n"/>
      <c r="I210" s="13" t="n"/>
      <c r="J210" s="20" t="n"/>
      <c r="K210" s="14" t="n"/>
      <c r="L210" s="19">
        <f>IF($D210="","",ROUND(IF($J210="",1,$J210)*N($K210),2))</f>
        <v/>
      </c>
      <c r="M210" s="13" t="n"/>
      <c r="N210" s="17">
        <f>IF($D210="","",IF(ISNA(MATCH($D210,项目名表,0)),"※项目不在项目台账里",IF($F210="※材料类别没选","※材料类别没选",IF(AND($C210&lt;&gt;"",ISNA(MATCH($C210,供应商表,0))),"※供应商不在基础资料里",""))))</f>
        <v/>
      </c>
    </row>
    <row r="211">
      <c r="A211" s="17">
        <f>IF($D211="","",ROW()-3)</f>
        <v/>
      </c>
      <c r="B211" s="18" t="n"/>
      <c r="C211" s="13" t="n"/>
      <c r="D211" s="13" t="n"/>
      <c r="E211" s="13" t="n"/>
      <c r="F211" s="17">
        <f>IF($D211="","",IFERROR(VLOOKUP($E211,材料归属,2,0),"※材料类别没选"))</f>
        <v/>
      </c>
      <c r="G211" s="13" t="n"/>
      <c r="H211" s="13" t="n"/>
      <c r="I211" s="13" t="n"/>
      <c r="J211" s="20" t="n"/>
      <c r="K211" s="14" t="n"/>
      <c r="L211" s="19">
        <f>IF($D211="","",ROUND(IF($J211="",1,$J211)*N($K211),2))</f>
        <v/>
      </c>
      <c r="M211" s="13" t="n"/>
      <c r="N211" s="17">
        <f>IF($D211="","",IF(ISNA(MATCH($D211,项目名表,0)),"※项目不在项目台账里",IF($F211="※材料类别没选","※材料类别没选",IF(AND($C211&lt;&gt;"",ISNA(MATCH($C211,供应商表,0))),"※供应商不在基础资料里",""))))</f>
        <v/>
      </c>
    </row>
    <row r="212">
      <c r="A212" s="17">
        <f>IF($D212="","",ROW()-3)</f>
        <v/>
      </c>
      <c r="B212" s="18" t="n"/>
      <c r="C212" s="13" t="n"/>
      <c r="D212" s="13" t="n"/>
      <c r="E212" s="13" t="n"/>
      <c r="F212" s="17">
        <f>IF($D212="","",IFERROR(VLOOKUP($E212,材料归属,2,0),"※材料类别没选"))</f>
        <v/>
      </c>
      <c r="G212" s="13" t="n"/>
      <c r="H212" s="13" t="n"/>
      <c r="I212" s="13" t="n"/>
      <c r="J212" s="20" t="n"/>
      <c r="K212" s="14" t="n"/>
      <c r="L212" s="19">
        <f>IF($D212="","",ROUND(IF($J212="",1,$J212)*N($K212),2))</f>
        <v/>
      </c>
      <c r="M212" s="13" t="n"/>
      <c r="N212" s="17">
        <f>IF($D212="","",IF(ISNA(MATCH($D212,项目名表,0)),"※项目不在项目台账里",IF($F212="※材料类别没选","※材料类别没选",IF(AND($C212&lt;&gt;"",ISNA(MATCH($C212,供应商表,0))),"※供应商不在基础资料里",""))))</f>
        <v/>
      </c>
    </row>
    <row r="213">
      <c r="A213" s="17">
        <f>IF($D213="","",ROW()-3)</f>
        <v/>
      </c>
      <c r="B213" s="18" t="n"/>
      <c r="C213" s="13" t="n"/>
      <c r="D213" s="13" t="n"/>
      <c r="E213" s="13" t="n"/>
      <c r="F213" s="17">
        <f>IF($D213="","",IFERROR(VLOOKUP($E213,材料归属,2,0),"※材料类别没选"))</f>
        <v/>
      </c>
      <c r="G213" s="13" t="n"/>
      <c r="H213" s="13" t="n"/>
      <c r="I213" s="13" t="n"/>
      <c r="J213" s="20" t="n"/>
      <c r="K213" s="14" t="n"/>
      <c r="L213" s="19">
        <f>IF($D213="","",ROUND(IF($J213="",1,$J213)*N($K213),2))</f>
        <v/>
      </c>
      <c r="M213" s="13" t="n"/>
      <c r="N213" s="17">
        <f>IF($D213="","",IF(ISNA(MATCH($D213,项目名表,0)),"※项目不在项目台账里",IF($F213="※材料类别没选","※材料类别没选",IF(AND($C213&lt;&gt;"",ISNA(MATCH($C213,供应商表,0))),"※供应商不在基础资料里",""))))</f>
        <v/>
      </c>
    </row>
    <row r="214">
      <c r="A214" s="17">
        <f>IF($D214="","",ROW()-3)</f>
        <v/>
      </c>
      <c r="B214" s="18" t="n"/>
      <c r="C214" s="13" t="n"/>
      <c r="D214" s="13" t="n"/>
      <c r="E214" s="13" t="n"/>
      <c r="F214" s="17">
        <f>IF($D214="","",IFERROR(VLOOKUP($E214,材料归属,2,0),"※材料类别没选"))</f>
        <v/>
      </c>
      <c r="G214" s="13" t="n"/>
      <c r="H214" s="13" t="n"/>
      <c r="I214" s="13" t="n"/>
      <c r="J214" s="20" t="n"/>
      <c r="K214" s="14" t="n"/>
      <c r="L214" s="19">
        <f>IF($D214="","",ROUND(IF($J214="",1,$J214)*N($K214),2))</f>
        <v/>
      </c>
      <c r="M214" s="13" t="n"/>
      <c r="N214" s="17">
        <f>IF($D214="","",IF(ISNA(MATCH($D214,项目名表,0)),"※项目不在项目台账里",IF($F214="※材料类别没选","※材料类别没选",IF(AND($C214&lt;&gt;"",ISNA(MATCH($C214,供应商表,0))),"※供应商不在基础资料里",""))))</f>
        <v/>
      </c>
    </row>
    <row r="215">
      <c r="A215" s="17">
        <f>IF($D215="","",ROW()-3)</f>
        <v/>
      </c>
      <c r="B215" s="18" t="n"/>
      <c r="C215" s="13" t="n"/>
      <c r="D215" s="13" t="n"/>
      <c r="E215" s="13" t="n"/>
      <c r="F215" s="17">
        <f>IF($D215="","",IFERROR(VLOOKUP($E215,材料归属,2,0),"※材料类别没选"))</f>
        <v/>
      </c>
      <c r="G215" s="13" t="n"/>
      <c r="H215" s="13" t="n"/>
      <c r="I215" s="13" t="n"/>
      <c r="J215" s="20" t="n"/>
      <c r="K215" s="14" t="n"/>
      <c r="L215" s="19">
        <f>IF($D215="","",ROUND(IF($J215="",1,$J215)*N($K215),2))</f>
        <v/>
      </c>
      <c r="M215" s="13" t="n"/>
      <c r="N215" s="17">
        <f>IF($D215="","",IF(ISNA(MATCH($D215,项目名表,0)),"※项目不在项目台账里",IF($F215="※材料类别没选","※材料类别没选",IF(AND($C215&lt;&gt;"",ISNA(MATCH($C215,供应商表,0))),"※供应商不在基础资料里",""))))</f>
        <v/>
      </c>
    </row>
    <row r="216">
      <c r="A216" s="17">
        <f>IF($D216="","",ROW()-3)</f>
        <v/>
      </c>
      <c r="B216" s="18" t="n"/>
      <c r="C216" s="13" t="n"/>
      <c r="D216" s="13" t="n"/>
      <c r="E216" s="13" t="n"/>
      <c r="F216" s="17">
        <f>IF($D216="","",IFERROR(VLOOKUP($E216,材料归属,2,0),"※材料类别没选"))</f>
        <v/>
      </c>
      <c r="G216" s="13" t="n"/>
      <c r="H216" s="13" t="n"/>
      <c r="I216" s="13" t="n"/>
      <c r="J216" s="20" t="n"/>
      <c r="K216" s="14" t="n"/>
      <c r="L216" s="19">
        <f>IF($D216="","",ROUND(IF($J216="",1,$J216)*N($K216),2))</f>
        <v/>
      </c>
      <c r="M216" s="13" t="n"/>
      <c r="N216" s="17">
        <f>IF($D216="","",IF(ISNA(MATCH($D216,项目名表,0)),"※项目不在项目台账里",IF($F216="※材料类别没选","※材料类别没选",IF(AND($C216&lt;&gt;"",ISNA(MATCH($C216,供应商表,0))),"※供应商不在基础资料里",""))))</f>
        <v/>
      </c>
    </row>
    <row r="217">
      <c r="A217" s="17">
        <f>IF($D217="","",ROW()-3)</f>
        <v/>
      </c>
      <c r="B217" s="18" t="n"/>
      <c r="C217" s="13" t="n"/>
      <c r="D217" s="13" t="n"/>
      <c r="E217" s="13" t="n"/>
      <c r="F217" s="17">
        <f>IF($D217="","",IFERROR(VLOOKUP($E217,材料归属,2,0),"※材料类别没选"))</f>
        <v/>
      </c>
      <c r="G217" s="13" t="n"/>
      <c r="H217" s="13" t="n"/>
      <c r="I217" s="13" t="n"/>
      <c r="J217" s="20" t="n"/>
      <c r="K217" s="14" t="n"/>
      <c r="L217" s="19">
        <f>IF($D217="","",ROUND(IF($J217="",1,$J217)*N($K217),2))</f>
        <v/>
      </c>
      <c r="M217" s="13" t="n"/>
      <c r="N217" s="17">
        <f>IF($D217="","",IF(ISNA(MATCH($D217,项目名表,0)),"※项目不在项目台账里",IF($F217="※材料类别没选","※材料类别没选",IF(AND($C217&lt;&gt;"",ISNA(MATCH($C217,供应商表,0))),"※供应商不在基础资料里",""))))</f>
        <v/>
      </c>
    </row>
    <row r="218">
      <c r="A218" s="17">
        <f>IF($D218="","",ROW()-3)</f>
        <v/>
      </c>
      <c r="B218" s="18" t="n"/>
      <c r="C218" s="13" t="n"/>
      <c r="D218" s="13" t="n"/>
      <c r="E218" s="13" t="n"/>
      <c r="F218" s="17">
        <f>IF($D218="","",IFERROR(VLOOKUP($E218,材料归属,2,0),"※材料类别没选"))</f>
        <v/>
      </c>
      <c r="G218" s="13" t="n"/>
      <c r="H218" s="13" t="n"/>
      <c r="I218" s="13" t="n"/>
      <c r="J218" s="20" t="n"/>
      <c r="K218" s="14" t="n"/>
      <c r="L218" s="19">
        <f>IF($D218="","",ROUND(IF($J218="",1,$J218)*N($K218),2))</f>
        <v/>
      </c>
      <c r="M218" s="13" t="n"/>
      <c r="N218" s="17">
        <f>IF($D218="","",IF(ISNA(MATCH($D218,项目名表,0)),"※项目不在项目台账里",IF($F218="※材料类别没选","※材料类别没选",IF(AND($C218&lt;&gt;"",ISNA(MATCH($C218,供应商表,0))),"※供应商不在基础资料里",""))))</f>
        <v/>
      </c>
    </row>
    <row r="219">
      <c r="A219" s="17">
        <f>IF($D219="","",ROW()-3)</f>
        <v/>
      </c>
      <c r="B219" s="18" t="n"/>
      <c r="C219" s="13" t="n"/>
      <c r="D219" s="13" t="n"/>
      <c r="E219" s="13" t="n"/>
      <c r="F219" s="17">
        <f>IF($D219="","",IFERROR(VLOOKUP($E219,材料归属,2,0),"※材料类别没选"))</f>
        <v/>
      </c>
      <c r="G219" s="13" t="n"/>
      <c r="H219" s="13" t="n"/>
      <c r="I219" s="13" t="n"/>
      <c r="J219" s="20" t="n"/>
      <c r="K219" s="14" t="n"/>
      <c r="L219" s="19">
        <f>IF($D219="","",ROUND(IF($J219="",1,$J219)*N($K219),2))</f>
        <v/>
      </c>
      <c r="M219" s="13" t="n"/>
      <c r="N219" s="17">
        <f>IF($D219="","",IF(ISNA(MATCH($D219,项目名表,0)),"※项目不在项目台账里",IF($F219="※材料类别没选","※材料类别没选",IF(AND($C219&lt;&gt;"",ISNA(MATCH($C219,供应商表,0))),"※供应商不在基础资料里",""))))</f>
        <v/>
      </c>
    </row>
    <row r="220">
      <c r="A220" s="17">
        <f>IF($D220="","",ROW()-3)</f>
        <v/>
      </c>
      <c r="B220" s="18" t="n"/>
      <c r="C220" s="13" t="n"/>
      <c r="D220" s="13" t="n"/>
      <c r="E220" s="13" t="n"/>
      <c r="F220" s="17">
        <f>IF($D220="","",IFERROR(VLOOKUP($E220,材料归属,2,0),"※材料类别没选"))</f>
        <v/>
      </c>
      <c r="G220" s="13" t="n"/>
      <c r="H220" s="13" t="n"/>
      <c r="I220" s="13" t="n"/>
      <c r="J220" s="20" t="n"/>
      <c r="K220" s="14" t="n"/>
      <c r="L220" s="19">
        <f>IF($D220="","",ROUND(IF($J220="",1,$J220)*N($K220),2))</f>
        <v/>
      </c>
      <c r="M220" s="13" t="n"/>
      <c r="N220" s="17">
        <f>IF($D220="","",IF(ISNA(MATCH($D220,项目名表,0)),"※项目不在项目台账里",IF($F220="※材料类别没选","※材料类别没选",IF(AND($C220&lt;&gt;"",ISNA(MATCH($C220,供应商表,0))),"※供应商不在基础资料里",""))))</f>
        <v/>
      </c>
    </row>
    <row r="221">
      <c r="A221" s="17">
        <f>IF($D221="","",ROW()-3)</f>
        <v/>
      </c>
      <c r="B221" s="18" t="n"/>
      <c r="C221" s="13" t="n"/>
      <c r="D221" s="13" t="n"/>
      <c r="E221" s="13" t="n"/>
      <c r="F221" s="17">
        <f>IF($D221="","",IFERROR(VLOOKUP($E221,材料归属,2,0),"※材料类别没选"))</f>
        <v/>
      </c>
      <c r="G221" s="13" t="n"/>
      <c r="H221" s="13" t="n"/>
      <c r="I221" s="13" t="n"/>
      <c r="J221" s="20" t="n"/>
      <c r="K221" s="14" t="n"/>
      <c r="L221" s="19">
        <f>IF($D221="","",ROUND(IF($J221="",1,$J221)*N($K221),2))</f>
        <v/>
      </c>
      <c r="M221" s="13" t="n"/>
      <c r="N221" s="17">
        <f>IF($D221="","",IF(ISNA(MATCH($D221,项目名表,0)),"※项目不在项目台账里",IF($F221="※材料类别没选","※材料类别没选",IF(AND($C221&lt;&gt;"",ISNA(MATCH($C221,供应商表,0))),"※供应商不在基础资料里",""))))</f>
        <v/>
      </c>
    </row>
    <row r="222">
      <c r="A222" s="17">
        <f>IF($D222="","",ROW()-3)</f>
        <v/>
      </c>
      <c r="B222" s="18" t="n"/>
      <c r="C222" s="13" t="n"/>
      <c r="D222" s="13" t="n"/>
      <c r="E222" s="13" t="n"/>
      <c r="F222" s="17">
        <f>IF($D222="","",IFERROR(VLOOKUP($E222,材料归属,2,0),"※材料类别没选"))</f>
        <v/>
      </c>
      <c r="G222" s="13" t="n"/>
      <c r="H222" s="13" t="n"/>
      <c r="I222" s="13" t="n"/>
      <c r="J222" s="20" t="n"/>
      <c r="K222" s="14" t="n"/>
      <c r="L222" s="19">
        <f>IF($D222="","",ROUND(IF($J222="",1,$J222)*N($K222),2))</f>
        <v/>
      </c>
      <c r="M222" s="13" t="n"/>
      <c r="N222" s="17">
        <f>IF($D222="","",IF(ISNA(MATCH($D222,项目名表,0)),"※项目不在项目台账里",IF($F222="※材料类别没选","※材料类别没选",IF(AND($C222&lt;&gt;"",ISNA(MATCH($C222,供应商表,0))),"※供应商不在基础资料里",""))))</f>
        <v/>
      </c>
    </row>
    <row r="223">
      <c r="A223" s="17">
        <f>IF($D223="","",ROW()-3)</f>
        <v/>
      </c>
      <c r="B223" s="18" t="n"/>
      <c r="C223" s="13" t="n"/>
      <c r="D223" s="13" t="n"/>
      <c r="E223" s="13" t="n"/>
      <c r="F223" s="17">
        <f>IF($D223="","",IFERROR(VLOOKUP($E223,材料归属,2,0),"※材料类别没选"))</f>
        <v/>
      </c>
      <c r="G223" s="13" t="n"/>
      <c r="H223" s="13" t="n"/>
      <c r="I223" s="13" t="n"/>
      <c r="J223" s="20" t="n"/>
      <c r="K223" s="14" t="n"/>
      <c r="L223" s="19">
        <f>IF($D223="","",ROUND(IF($J223="",1,$J223)*N($K223),2))</f>
        <v/>
      </c>
      <c r="M223" s="13" t="n"/>
      <c r="N223" s="17">
        <f>IF($D223="","",IF(ISNA(MATCH($D223,项目名表,0)),"※项目不在项目台账里",IF($F223="※材料类别没选","※材料类别没选",IF(AND($C223&lt;&gt;"",ISNA(MATCH($C223,供应商表,0))),"※供应商不在基础资料里",""))))</f>
        <v/>
      </c>
    </row>
    <row r="224">
      <c r="A224" s="17">
        <f>IF($D224="","",ROW()-3)</f>
        <v/>
      </c>
      <c r="B224" s="18" t="n"/>
      <c r="C224" s="13" t="n"/>
      <c r="D224" s="13" t="n"/>
      <c r="E224" s="13" t="n"/>
      <c r="F224" s="17">
        <f>IF($D224="","",IFERROR(VLOOKUP($E224,材料归属,2,0),"※材料类别没选"))</f>
        <v/>
      </c>
      <c r="G224" s="13" t="n"/>
      <c r="H224" s="13" t="n"/>
      <c r="I224" s="13" t="n"/>
      <c r="J224" s="20" t="n"/>
      <c r="K224" s="14" t="n"/>
      <c r="L224" s="19">
        <f>IF($D224="","",ROUND(IF($J224="",1,$J224)*N($K224),2))</f>
        <v/>
      </c>
      <c r="M224" s="13" t="n"/>
      <c r="N224" s="17">
        <f>IF($D224="","",IF(ISNA(MATCH($D224,项目名表,0)),"※项目不在项目台账里",IF($F224="※材料类别没选","※材料类别没选",IF(AND($C224&lt;&gt;"",ISNA(MATCH($C224,供应商表,0))),"※供应商不在基础资料里",""))))</f>
        <v/>
      </c>
    </row>
    <row r="225">
      <c r="A225" s="17">
        <f>IF($D225="","",ROW()-3)</f>
        <v/>
      </c>
      <c r="B225" s="18" t="n"/>
      <c r="C225" s="13" t="n"/>
      <c r="D225" s="13" t="n"/>
      <c r="E225" s="13" t="n"/>
      <c r="F225" s="17">
        <f>IF($D225="","",IFERROR(VLOOKUP($E225,材料归属,2,0),"※材料类别没选"))</f>
        <v/>
      </c>
      <c r="G225" s="13" t="n"/>
      <c r="H225" s="13" t="n"/>
      <c r="I225" s="13" t="n"/>
      <c r="J225" s="20" t="n"/>
      <c r="K225" s="14" t="n"/>
      <c r="L225" s="19">
        <f>IF($D225="","",ROUND(IF($J225="",1,$J225)*N($K225),2))</f>
        <v/>
      </c>
      <c r="M225" s="13" t="n"/>
      <c r="N225" s="17">
        <f>IF($D225="","",IF(ISNA(MATCH($D225,项目名表,0)),"※项目不在项目台账里",IF($F225="※材料类别没选","※材料类别没选",IF(AND($C225&lt;&gt;"",ISNA(MATCH($C225,供应商表,0))),"※供应商不在基础资料里",""))))</f>
        <v/>
      </c>
    </row>
    <row r="226">
      <c r="A226" s="17">
        <f>IF($D226="","",ROW()-3)</f>
        <v/>
      </c>
      <c r="B226" s="18" t="n"/>
      <c r="C226" s="13" t="n"/>
      <c r="D226" s="13" t="n"/>
      <c r="E226" s="13" t="n"/>
      <c r="F226" s="17">
        <f>IF($D226="","",IFERROR(VLOOKUP($E226,材料归属,2,0),"※材料类别没选"))</f>
        <v/>
      </c>
      <c r="G226" s="13" t="n"/>
      <c r="H226" s="13" t="n"/>
      <c r="I226" s="13" t="n"/>
      <c r="J226" s="20" t="n"/>
      <c r="K226" s="14" t="n"/>
      <c r="L226" s="19">
        <f>IF($D226="","",ROUND(IF($J226="",1,$J226)*N($K226),2))</f>
        <v/>
      </c>
      <c r="M226" s="13" t="n"/>
      <c r="N226" s="17">
        <f>IF($D226="","",IF(ISNA(MATCH($D226,项目名表,0)),"※项目不在项目台账里",IF($F226="※材料类别没选","※材料类别没选",IF(AND($C226&lt;&gt;"",ISNA(MATCH($C226,供应商表,0))),"※供应商不在基础资料里",""))))</f>
        <v/>
      </c>
    </row>
    <row r="227">
      <c r="A227" s="17">
        <f>IF($D227="","",ROW()-3)</f>
        <v/>
      </c>
      <c r="B227" s="18" t="n"/>
      <c r="C227" s="13" t="n"/>
      <c r="D227" s="13" t="n"/>
      <c r="E227" s="13" t="n"/>
      <c r="F227" s="17">
        <f>IF($D227="","",IFERROR(VLOOKUP($E227,材料归属,2,0),"※材料类别没选"))</f>
        <v/>
      </c>
      <c r="G227" s="13" t="n"/>
      <c r="H227" s="13" t="n"/>
      <c r="I227" s="13" t="n"/>
      <c r="J227" s="20" t="n"/>
      <c r="K227" s="14" t="n"/>
      <c r="L227" s="19">
        <f>IF($D227="","",ROUND(IF($J227="",1,$J227)*N($K227),2))</f>
        <v/>
      </c>
      <c r="M227" s="13" t="n"/>
      <c r="N227" s="17">
        <f>IF($D227="","",IF(ISNA(MATCH($D227,项目名表,0)),"※项目不在项目台账里",IF($F227="※材料类别没选","※材料类别没选",IF(AND($C227&lt;&gt;"",ISNA(MATCH($C227,供应商表,0))),"※供应商不在基础资料里",""))))</f>
        <v/>
      </c>
    </row>
    <row r="228">
      <c r="A228" s="17">
        <f>IF($D228="","",ROW()-3)</f>
        <v/>
      </c>
      <c r="B228" s="18" t="n"/>
      <c r="C228" s="13" t="n"/>
      <c r="D228" s="13" t="n"/>
      <c r="E228" s="13" t="n"/>
      <c r="F228" s="17">
        <f>IF($D228="","",IFERROR(VLOOKUP($E228,材料归属,2,0),"※材料类别没选"))</f>
        <v/>
      </c>
      <c r="G228" s="13" t="n"/>
      <c r="H228" s="13" t="n"/>
      <c r="I228" s="13" t="n"/>
      <c r="J228" s="20" t="n"/>
      <c r="K228" s="14" t="n"/>
      <c r="L228" s="19">
        <f>IF($D228="","",ROUND(IF($J228="",1,$J228)*N($K228),2))</f>
        <v/>
      </c>
      <c r="M228" s="13" t="n"/>
      <c r="N228" s="17">
        <f>IF($D228="","",IF(ISNA(MATCH($D228,项目名表,0)),"※项目不在项目台账里",IF($F228="※材料类别没选","※材料类别没选",IF(AND($C228&lt;&gt;"",ISNA(MATCH($C228,供应商表,0))),"※供应商不在基础资料里",""))))</f>
        <v/>
      </c>
    </row>
    <row r="229">
      <c r="A229" s="17">
        <f>IF($D229="","",ROW()-3)</f>
        <v/>
      </c>
      <c r="B229" s="18" t="n"/>
      <c r="C229" s="13" t="n"/>
      <c r="D229" s="13" t="n"/>
      <c r="E229" s="13" t="n"/>
      <c r="F229" s="17">
        <f>IF($D229="","",IFERROR(VLOOKUP($E229,材料归属,2,0),"※材料类别没选"))</f>
        <v/>
      </c>
      <c r="G229" s="13" t="n"/>
      <c r="H229" s="13" t="n"/>
      <c r="I229" s="13" t="n"/>
      <c r="J229" s="20" t="n"/>
      <c r="K229" s="14" t="n"/>
      <c r="L229" s="19">
        <f>IF($D229="","",ROUND(IF($J229="",1,$J229)*N($K229),2))</f>
        <v/>
      </c>
      <c r="M229" s="13" t="n"/>
      <c r="N229" s="17">
        <f>IF($D229="","",IF(ISNA(MATCH($D229,项目名表,0)),"※项目不在项目台账里",IF($F229="※材料类别没选","※材料类别没选",IF(AND($C229&lt;&gt;"",ISNA(MATCH($C229,供应商表,0))),"※供应商不在基础资料里",""))))</f>
        <v/>
      </c>
    </row>
    <row r="230">
      <c r="A230" s="17">
        <f>IF($D230="","",ROW()-3)</f>
        <v/>
      </c>
      <c r="B230" s="18" t="n"/>
      <c r="C230" s="13" t="n"/>
      <c r="D230" s="13" t="n"/>
      <c r="E230" s="13" t="n"/>
      <c r="F230" s="17">
        <f>IF($D230="","",IFERROR(VLOOKUP($E230,材料归属,2,0),"※材料类别没选"))</f>
        <v/>
      </c>
      <c r="G230" s="13" t="n"/>
      <c r="H230" s="13" t="n"/>
      <c r="I230" s="13" t="n"/>
      <c r="J230" s="20" t="n"/>
      <c r="K230" s="14" t="n"/>
      <c r="L230" s="19">
        <f>IF($D230="","",ROUND(IF($J230="",1,$J230)*N($K230),2))</f>
        <v/>
      </c>
      <c r="M230" s="13" t="n"/>
      <c r="N230" s="17">
        <f>IF($D230="","",IF(ISNA(MATCH($D230,项目名表,0)),"※项目不在项目台账里",IF($F230="※材料类别没选","※材料类别没选",IF(AND($C230&lt;&gt;"",ISNA(MATCH($C230,供应商表,0))),"※供应商不在基础资料里",""))))</f>
        <v/>
      </c>
    </row>
    <row r="231">
      <c r="A231" s="17">
        <f>IF($D231="","",ROW()-3)</f>
        <v/>
      </c>
      <c r="B231" s="18" t="n"/>
      <c r="C231" s="13" t="n"/>
      <c r="D231" s="13" t="n"/>
      <c r="E231" s="13" t="n"/>
      <c r="F231" s="17">
        <f>IF($D231="","",IFERROR(VLOOKUP($E231,材料归属,2,0),"※材料类别没选"))</f>
        <v/>
      </c>
      <c r="G231" s="13" t="n"/>
      <c r="H231" s="13" t="n"/>
      <c r="I231" s="13" t="n"/>
      <c r="J231" s="20" t="n"/>
      <c r="K231" s="14" t="n"/>
      <c r="L231" s="19">
        <f>IF($D231="","",ROUND(IF($J231="",1,$J231)*N($K231),2))</f>
        <v/>
      </c>
      <c r="M231" s="13" t="n"/>
      <c r="N231" s="17">
        <f>IF($D231="","",IF(ISNA(MATCH($D231,项目名表,0)),"※项目不在项目台账里",IF($F231="※材料类别没选","※材料类别没选",IF(AND($C231&lt;&gt;"",ISNA(MATCH($C231,供应商表,0))),"※供应商不在基础资料里",""))))</f>
        <v/>
      </c>
    </row>
    <row r="232">
      <c r="A232" s="17">
        <f>IF($D232="","",ROW()-3)</f>
        <v/>
      </c>
      <c r="B232" s="18" t="n"/>
      <c r="C232" s="13" t="n"/>
      <c r="D232" s="13" t="n"/>
      <c r="E232" s="13" t="n"/>
      <c r="F232" s="17">
        <f>IF($D232="","",IFERROR(VLOOKUP($E232,材料归属,2,0),"※材料类别没选"))</f>
        <v/>
      </c>
      <c r="G232" s="13" t="n"/>
      <c r="H232" s="13" t="n"/>
      <c r="I232" s="13" t="n"/>
      <c r="J232" s="20" t="n"/>
      <c r="K232" s="14" t="n"/>
      <c r="L232" s="19">
        <f>IF($D232="","",ROUND(IF($J232="",1,$J232)*N($K232),2))</f>
        <v/>
      </c>
      <c r="M232" s="13" t="n"/>
      <c r="N232" s="17">
        <f>IF($D232="","",IF(ISNA(MATCH($D232,项目名表,0)),"※项目不在项目台账里",IF($F232="※材料类别没选","※材料类别没选",IF(AND($C232&lt;&gt;"",ISNA(MATCH($C232,供应商表,0))),"※供应商不在基础资料里",""))))</f>
        <v/>
      </c>
    </row>
    <row r="233">
      <c r="A233" s="17">
        <f>IF($D233="","",ROW()-3)</f>
        <v/>
      </c>
      <c r="B233" s="18" t="n"/>
      <c r="C233" s="13" t="n"/>
      <c r="D233" s="13" t="n"/>
      <c r="E233" s="13" t="n"/>
      <c r="F233" s="17">
        <f>IF($D233="","",IFERROR(VLOOKUP($E233,材料归属,2,0),"※材料类别没选"))</f>
        <v/>
      </c>
      <c r="G233" s="13" t="n"/>
      <c r="H233" s="13" t="n"/>
      <c r="I233" s="13" t="n"/>
      <c r="J233" s="20" t="n"/>
      <c r="K233" s="14" t="n"/>
      <c r="L233" s="19">
        <f>IF($D233="","",ROUND(IF($J233="",1,$J233)*N($K233),2))</f>
        <v/>
      </c>
      <c r="M233" s="13" t="n"/>
      <c r="N233" s="17">
        <f>IF($D233="","",IF(ISNA(MATCH($D233,项目名表,0)),"※项目不在项目台账里",IF($F233="※材料类别没选","※材料类别没选",IF(AND($C233&lt;&gt;"",ISNA(MATCH($C233,供应商表,0))),"※供应商不在基础资料里",""))))</f>
        <v/>
      </c>
    </row>
    <row r="234">
      <c r="A234" s="17">
        <f>IF($D234="","",ROW()-3)</f>
        <v/>
      </c>
      <c r="B234" s="18" t="n"/>
      <c r="C234" s="13" t="n"/>
      <c r="D234" s="13" t="n"/>
      <c r="E234" s="13" t="n"/>
      <c r="F234" s="17">
        <f>IF($D234="","",IFERROR(VLOOKUP($E234,材料归属,2,0),"※材料类别没选"))</f>
        <v/>
      </c>
      <c r="G234" s="13" t="n"/>
      <c r="H234" s="13" t="n"/>
      <c r="I234" s="13" t="n"/>
      <c r="J234" s="20" t="n"/>
      <c r="K234" s="14" t="n"/>
      <c r="L234" s="19">
        <f>IF($D234="","",ROUND(IF($J234="",1,$J234)*N($K234),2))</f>
        <v/>
      </c>
      <c r="M234" s="13" t="n"/>
      <c r="N234" s="17">
        <f>IF($D234="","",IF(ISNA(MATCH($D234,项目名表,0)),"※项目不在项目台账里",IF($F234="※材料类别没选","※材料类别没选",IF(AND($C234&lt;&gt;"",ISNA(MATCH($C234,供应商表,0))),"※供应商不在基础资料里",""))))</f>
        <v/>
      </c>
    </row>
    <row r="235">
      <c r="A235" s="17">
        <f>IF($D235="","",ROW()-3)</f>
        <v/>
      </c>
      <c r="B235" s="18" t="n"/>
      <c r="C235" s="13" t="n"/>
      <c r="D235" s="13" t="n"/>
      <c r="E235" s="13" t="n"/>
      <c r="F235" s="17">
        <f>IF($D235="","",IFERROR(VLOOKUP($E235,材料归属,2,0),"※材料类别没选"))</f>
        <v/>
      </c>
      <c r="G235" s="13" t="n"/>
      <c r="H235" s="13" t="n"/>
      <c r="I235" s="13" t="n"/>
      <c r="J235" s="20" t="n"/>
      <c r="K235" s="14" t="n"/>
      <c r="L235" s="19">
        <f>IF($D235="","",ROUND(IF($J235="",1,$J235)*N($K235),2))</f>
        <v/>
      </c>
      <c r="M235" s="13" t="n"/>
      <c r="N235" s="17">
        <f>IF($D235="","",IF(ISNA(MATCH($D235,项目名表,0)),"※项目不在项目台账里",IF($F235="※材料类别没选","※材料类别没选",IF(AND($C235&lt;&gt;"",ISNA(MATCH($C235,供应商表,0))),"※供应商不在基础资料里",""))))</f>
        <v/>
      </c>
    </row>
    <row r="236">
      <c r="A236" s="17">
        <f>IF($D236="","",ROW()-3)</f>
        <v/>
      </c>
      <c r="B236" s="18" t="n"/>
      <c r="C236" s="13" t="n"/>
      <c r="D236" s="13" t="n"/>
      <c r="E236" s="13" t="n"/>
      <c r="F236" s="17">
        <f>IF($D236="","",IFERROR(VLOOKUP($E236,材料归属,2,0),"※材料类别没选"))</f>
        <v/>
      </c>
      <c r="G236" s="13" t="n"/>
      <c r="H236" s="13" t="n"/>
      <c r="I236" s="13" t="n"/>
      <c r="J236" s="20" t="n"/>
      <c r="K236" s="14" t="n"/>
      <c r="L236" s="19">
        <f>IF($D236="","",ROUND(IF($J236="",1,$J236)*N($K236),2))</f>
        <v/>
      </c>
      <c r="M236" s="13" t="n"/>
      <c r="N236" s="17">
        <f>IF($D236="","",IF(ISNA(MATCH($D236,项目名表,0)),"※项目不在项目台账里",IF($F236="※材料类别没选","※材料类别没选",IF(AND($C236&lt;&gt;"",ISNA(MATCH($C236,供应商表,0))),"※供应商不在基础资料里",""))))</f>
        <v/>
      </c>
    </row>
    <row r="237">
      <c r="A237" s="17">
        <f>IF($D237="","",ROW()-3)</f>
        <v/>
      </c>
      <c r="B237" s="18" t="n"/>
      <c r="C237" s="13" t="n"/>
      <c r="D237" s="13" t="n"/>
      <c r="E237" s="13" t="n"/>
      <c r="F237" s="17">
        <f>IF($D237="","",IFERROR(VLOOKUP($E237,材料归属,2,0),"※材料类别没选"))</f>
        <v/>
      </c>
      <c r="G237" s="13" t="n"/>
      <c r="H237" s="13" t="n"/>
      <c r="I237" s="13" t="n"/>
      <c r="J237" s="20" t="n"/>
      <c r="K237" s="14" t="n"/>
      <c r="L237" s="19">
        <f>IF($D237="","",ROUND(IF($J237="",1,$J237)*N($K237),2))</f>
        <v/>
      </c>
      <c r="M237" s="13" t="n"/>
      <c r="N237" s="17">
        <f>IF($D237="","",IF(ISNA(MATCH($D237,项目名表,0)),"※项目不在项目台账里",IF($F237="※材料类别没选","※材料类别没选",IF(AND($C237&lt;&gt;"",ISNA(MATCH($C237,供应商表,0))),"※供应商不在基础资料里",""))))</f>
        <v/>
      </c>
    </row>
    <row r="238">
      <c r="A238" s="17">
        <f>IF($D238="","",ROW()-3)</f>
        <v/>
      </c>
      <c r="B238" s="18" t="n"/>
      <c r="C238" s="13" t="n"/>
      <c r="D238" s="13" t="n"/>
      <c r="E238" s="13" t="n"/>
      <c r="F238" s="17">
        <f>IF($D238="","",IFERROR(VLOOKUP($E238,材料归属,2,0),"※材料类别没选"))</f>
        <v/>
      </c>
      <c r="G238" s="13" t="n"/>
      <c r="H238" s="13" t="n"/>
      <c r="I238" s="13" t="n"/>
      <c r="J238" s="20" t="n"/>
      <c r="K238" s="14" t="n"/>
      <c r="L238" s="19">
        <f>IF($D238="","",ROUND(IF($J238="",1,$J238)*N($K238),2))</f>
        <v/>
      </c>
      <c r="M238" s="13" t="n"/>
      <c r="N238" s="17">
        <f>IF($D238="","",IF(ISNA(MATCH($D238,项目名表,0)),"※项目不在项目台账里",IF($F238="※材料类别没选","※材料类别没选",IF(AND($C238&lt;&gt;"",ISNA(MATCH($C238,供应商表,0))),"※供应商不在基础资料里",""))))</f>
        <v/>
      </c>
    </row>
    <row r="239">
      <c r="A239" s="17">
        <f>IF($D239="","",ROW()-3)</f>
        <v/>
      </c>
      <c r="B239" s="18" t="n"/>
      <c r="C239" s="13" t="n"/>
      <c r="D239" s="13" t="n"/>
      <c r="E239" s="13" t="n"/>
      <c r="F239" s="17">
        <f>IF($D239="","",IFERROR(VLOOKUP($E239,材料归属,2,0),"※材料类别没选"))</f>
        <v/>
      </c>
      <c r="G239" s="13" t="n"/>
      <c r="H239" s="13" t="n"/>
      <c r="I239" s="13" t="n"/>
      <c r="J239" s="20" t="n"/>
      <c r="K239" s="14" t="n"/>
      <c r="L239" s="19">
        <f>IF($D239="","",ROUND(IF($J239="",1,$J239)*N($K239),2))</f>
        <v/>
      </c>
      <c r="M239" s="13" t="n"/>
      <c r="N239" s="17">
        <f>IF($D239="","",IF(ISNA(MATCH($D239,项目名表,0)),"※项目不在项目台账里",IF($F239="※材料类别没选","※材料类别没选",IF(AND($C239&lt;&gt;"",ISNA(MATCH($C239,供应商表,0))),"※供应商不在基础资料里",""))))</f>
        <v/>
      </c>
    </row>
    <row r="240">
      <c r="A240" s="17">
        <f>IF($D240="","",ROW()-3)</f>
        <v/>
      </c>
      <c r="B240" s="18" t="n"/>
      <c r="C240" s="13" t="n"/>
      <c r="D240" s="13" t="n"/>
      <c r="E240" s="13" t="n"/>
      <c r="F240" s="17">
        <f>IF($D240="","",IFERROR(VLOOKUP($E240,材料归属,2,0),"※材料类别没选"))</f>
        <v/>
      </c>
      <c r="G240" s="13" t="n"/>
      <c r="H240" s="13" t="n"/>
      <c r="I240" s="13" t="n"/>
      <c r="J240" s="20" t="n"/>
      <c r="K240" s="14" t="n"/>
      <c r="L240" s="19">
        <f>IF($D240="","",ROUND(IF($J240="",1,$J240)*N($K240),2))</f>
        <v/>
      </c>
      <c r="M240" s="13" t="n"/>
      <c r="N240" s="17">
        <f>IF($D240="","",IF(ISNA(MATCH($D240,项目名表,0)),"※项目不在项目台账里",IF($F240="※材料类别没选","※材料类别没选",IF(AND($C240&lt;&gt;"",ISNA(MATCH($C240,供应商表,0))),"※供应商不在基础资料里",""))))</f>
        <v/>
      </c>
    </row>
    <row r="241">
      <c r="A241" s="17">
        <f>IF($D241="","",ROW()-3)</f>
        <v/>
      </c>
      <c r="B241" s="18" t="n"/>
      <c r="C241" s="13" t="n"/>
      <c r="D241" s="13" t="n"/>
      <c r="E241" s="13" t="n"/>
      <c r="F241" s="17">
        <f>IF($D241="","",IFERROR(VLOOKUP($E241,材料归属,2,0),"※材料类别没选"))</f>
        <v/>
      </c>
      <c r="G241" s="13" t="n"/>
      <c r="H241" s="13" t="n"/>
      <c r="I241" s="13" t="n"/>
      <c r="J241" s="20" t="n"/>
      <c r="K241" s="14" t="n"/>
      <c r="L241" s="19">
        <f>IF($D241="","",ROUND(IF($J241="",1,$J241)*N($K241),2))</f>
        <v/>
      </c>
      <c r="M241" s="13" t="n"/>
      <c r="N241" s="17">
        <f>IF($D241="","",IF(ISNA(MATCH($D241,项目名表,0)),"※项目不在项目台账里",IF($F241="※材料类别没选","※材料类别没选",IF(AND($C241&lt;&gt;"",ISNA(MATCH($C241,供应商表,0))),"※供应商不在基础资料里",""))))</f>
        <v/>
      </c>
    </row>
    <row r="242">
      <c r="A242" s="17">
        <f>IF($D242="","",ROW()-3)</f>
        <v/>
      </c>
      <c r="B242" s="18" t="n"/>
      <c r="C242" s="13" t="n"/>
      <c r="D242" s="13" t="n"/>
      <c r="E242" s="13" t="n"/>
      <c r="F242" s="17">
        <f>IF($D242="","",IFERROR(VLOOKUP($E242,材料归属,2,0),"※材料类别没选"))</f>
        <v/>
      </c>
      <c r="G242" s="13" t="n"/>
      <c r="H242" s="13" t="n"/>
      <c r="I242" s="13" t="n"/>
      <c r="J242" s="20" t="n"/>
      <c r="K242" s="14" t="n"/>
      <c r="L242" s="19">
        <f>IF($D242="","",ROUND(IF($J242="",1,$J242)*N($K242),2))</f>
        <v/>
      </c>
      <c r="M242" s="13" t="n"/>
      <c r="N242" s="17">
        <f>IF($D242="","",IF(ISNA(MATCH($D242,项目名表,0)),"※项目不在项目台账里",IF($F242="※材料类别没选","※材料类别没选",IF(AND($C242&lt;&gt;"",ISNA(MATCH($C242,供应商表,0))),"※供应商不在基础资料里",""))))</f>
        <v/>
      </c>
    </row>
    <row r="243">
      <c r="A243" s="17">
        <f>IF($D243="","",ROW()-3)</f>
        <v/>
      </c>
      <c r="B243" s="18" t="n"/>
      <c r="C243" s="13" t="n"/>
      <c r="D243" s="13" t="n"/>
      <c r="E243" s="13" t="n"/>
      <c r="F243" s="17">
        <f>IF($D243="","",IFERROR(VLOOKUP($E243,材料归属,2,0),"※材料类别没选"))</f>
        <v/>
      </c>
      <c r="G243" s="13" t="n"/>
      <c r="H243" s="13" t="n"/>
      <c r="I243" s="13" t="n"/>
      <c r="J243" s="20" t="n"/>
      <c r="K243" s="14" t="n"/>
      <c r="L243" s="19">
        <f>IF($D243="","",ROUND(IF($J243="",1,$J243)*N($K243),2))</f>
        <v/>
      </c>
      <c r="M243" s="13" t="n"/>
      <c r="N243" s="17">
        <f>IF($D243="","",IF(ISNA(MATCH($D243,项目名表,0)),"※项目不在项目台账里",IF($F243="※材料类别没选","※材料类别没选",IF(AND($C243&lt;&gt;"",ISNA(MATCH($C243,供应商表,0))),"※供应商不在基础资料里",""))))</f>
        <v/>
      </c>
    </row>
    <row r="244">
      <c r="A244" s="17">
        <f>IF($D244="","",ROW()-3)</f>
        <v/>
      </c>
      <c r="B244" s="18" t="n"/>
      <c r="C244" s="13" t="n"/>
      <c r="D244" s="13" t="n"/>
      <c r="E244" s="13" t="n"/>
      <c r="F244" s="17">
        <f>IF($D244="","",IFERROR(VLOOKUP($E244,材料归属,2,0),"※材料类别没选"))</f>
        <v/>
      </c>
      <c r="G244" s="13" t="n"/>
      <c r="H244" s="13" t="n"/>
      <c r="I244" s="13" t="n"/>
      <c r="J244" s="20" t="n"/>
      <c r="K244" s="14" t="n"/>
      <c r="L244" s="19">
        <f>IF($D244="","",ROUND(IF($J244="",1,$J244)*N($K244),2))</f>
        <v/>
      </c>
      <c r="M244" s="13" t="n"/>
      <c r="N244" s="17">
        <f>IF($D244="","",IF(ISNA(MATCH($D244,项目名表,0)),"※项目不在项目台账里",IF($F244="※材料类别没选","※材料类别没选",IF(AND($C244&lt;&gt;"",ISNA(MATCH($C244,供应商表,0))),"※供应商不在基础资料里",""))))</f>
        <v/>
      </c>
    </row>
    <row r="245">
      <c r="A245" s="17">
        <f>IF($D245="","",ROW()-3)</f>
        <v/>
      </c>
      <c r="B245" s="18" t="n"/>
      <c r="C245" s="13" t="n"/>
      <c r="D245" s="13" t="n"/>
      <c r="E245" s="13" t="n"/>
      <c r="F245" s="17">
        <f>IF($D245="","",IFERROR(VLOOKUP($E245,材料归属,2,0),"※材料类别没选"))</f>
        <v/>
      </c>
      <c r="G245" s="13" t="n"/>
      <c r="H245" s="13" t="n"/>
      <c r="I245" s="13" t="n"/>
      <c r="J245" s="20" t="n"/>
      <c r="K245" s="14" t="n"/>
      <c r="L245" s="19">
        <f>IF($D245="","",ROUND(IF($J245="",1,$J245)*N($K245),2))</f>
        <v/>
      </c>
      <c r="M245" s="13" t="n"/>
      <c r="N245" s="17">
        <f>IF($D245="","",IF(ISNA(MATCH($D245,项目名表,0)),"※项目不在项目台账里",IF($F245="※材料类别没选","※材料类别没选",IF(AND($C245&lt;&gt;"",ISNA(MATCH($C245,供应商表,0))),"※供应商不在基础资料里",""))))</f>
        <v/>
      </c>
    </row>
    <row r="246">
      <c r="A246" s="17">
        <f>IF($D246="","",ROW()-3)</f>
        <v/>
      </c>
      <c r="B246" s="18" t="n"/>
      <c r="C246" s="13" t="n"/>
      <c r="D246" s="13" t="n"/>
      <c r="E246" s="13" t="n"/>
      <c r="F246" s="17">
        <f>IF($D246="","",IFERROR(VLOOKUP($E246,材料归属,2,0),"※材料类别没选"))</f>
        <v/>
      </c>
      <c r="G246" s="13" t="n"/>
      <c r="H246" s="13" t="n"/>
      <c r="I246" s="13" t="n"/>
      <c r="J246" s="20" t="n"/>
      <c r="K246" s="14" t="n"/>
      <c r="L246" s="19">
        <f>IF($D246="","",ROUND(IF($J246="",1,$J246)*N($K246),2))</f>
        <v/>
      </c>
      <c r="M246" s="13" t="n"/>
      <c r="N246" s="17">
        <f>IF($D246="","",IF(ISNA(MATCH($D246,项目名表,0)),"※项目不在项目台账里",IF($F246="※材料类别没选","※材料类别没选",IF(AND($C246&lt;&gt;"",ISNA(MATCH($C246,供应商表,0))),"※供应商不在基础资料里",""))))</f>
        <v/>
      </c>
    </row>
    <row r="247">
      <c r="A247" s="17">
        <f>IF($D247="","",ROW()-3)</f>
        <v/>
      </c>
      <c r="B247" s="18" t="n"/>
      <c r="C247" s="13" t="n"/>
      <c r="D247" s="13" t="n"/>
      <c r="E247" s="13" t="n"/>
      <c r="F247" s="17">
        <f>IF($D247="","",IFERROR(VLOOKUP($E247,材料归属,2,0),"※材料类别没选"))</f>
        <v/>
      </c>
      <c r="G247" s="13" t="n"/>
      <c r="H247" s="13" t="n"/>
      <c r="I247" s="13" t="n"/>
      <c r="J247" s="20" t="n"/>
      <c r="K247" s="14" t="n"/>
      <c r="L247" s="19">
        <f>IF($D247="","",ROUND(IF($J247="",1,$J247)*N($K247),2))</f>
        <v/>
      </c>
      <c r="M247" s="13" t="n"/>
      <c r="N247" s="17">
        <f>IF($D247="","",IF(ISNA(MATCH($D247,项目名表,0)),"※项目不在项目台账里",IF($F247="※材料类别没选","※材料类别没选",IF(AND($C247&lt;&gt;"",ISNA(MATCH($C247,供应商表,0))),"※供应商不在基础资料里",""))))</f>
        <v/>
      </c>
    </row>
    <row r="248">
      <c r="A248" s="17">
        <f>IF($D248="","",ROW()-3)</f>
        <v/>
      </c>
      <c r="B248" s="18" t="n"/>
      <c r="C248" s="13" t="n"/>
      <c r="D248" s="13" t="n"/>
      <c r="E248" s="13" t="n"/>
      <c r="F248" s="17">
        <f>IF($D248="","",IFERROR(VLOOKUP($E248,材料归属,2,0),"※材料类别没选"))</f>
        <v/>
      </c>
      <c r="G248" s="13" t="n"/>
      <c r="H248" s="13" t="n"/>
      <c r="I248" s="13" t="n"/>
      <c r="J248" s="20" t="n"/>
      <c r="K248" s="14" t="n"/>
      <c r="L248" s="19">
        <f>IF($D248="","",ROUND(IF($J248="",1,$J248)*N($K248),2))</f>
        <v/>
      </c>
      <c r="M248" s="13" t="n"/>
      <c r="N248" s="17">
        <f>IF($D248="","",IF(ISNA(MATCH($D248,项目名表,0)),"※项目不在项目台账里",IF($F248="※材料类别没选","※材料类别没选",IF(AND($C248&lt;&gt;"",ISNA(MATCH($C248,供应商表,0))),"※供应商不在基础资料里",""))))</f>
        <v/>
      </c>
    </row>
    <row r="249">
      <c r="A249" s="17">
        <f>IF($D249="","",ROW()-3)</f>
        <v/>
      </c>
      <c r="B249" s="18" t="n"/>
      <c r="C249" s="13" t="n"/>
      <c r="D249" s="13" t="n"/>
      <c r="E249" s="13" t="n"/>
      <c r="F249" s="17">
        <f>IF($D249="","",IFERROR(VLOOKUP($E249,材料归属,2,0),"※材料类别没选"))</f>
        <v/>
      </c>
      <c r="G249" s="13" t="n"/>
      <c r="H249" s="13" t="n"/>
      <c r="I249" s="13" t="n"/>
      <c r="J249" s="20" t="n"/>
      <c r="K249" s="14" t="n"/>
      <c r="L249" s="19">
        <f>IF($D249="","",ROUND(IF($J249="",1,$J249)*N($K249),2))</f>
        <v/>
      </c>
      <c r="M249" s="13" t="n"/>
      <c r="N249" s="17">
        <f>IF($D249="","",IF(ISNA(MATCH($D249,项目名表,0)),"※项目不在项目台账里",IF($F249="※材料类别没选","※材料类别没选",IF(AND($C249&lt;&gt;"",ISNA(MATCH($C249,供应商表,0))),"※供应商不在基础资料里",""))))</f>
        <v/>
      </c>
    </row>
    <row r="250">
      <c r="A250" s="17">
        <f>IF($D250="","",ROW()-3)</f>
        <v/>
      </c>
      <c r="B250" s="18" t="n"/>
      <c r="C250" s="13" t="n"/>
      <c r="D250" s="13" t="n"/>
      <c r="E250" s="13" t="n"/>
      <c r="F250" s="17">
        <f>IF($D250="","",IFERROR(VLOOKUP($E250,材料归属,2,0),"※材料类别没选"))</f>
        <v/>
      </c>
      <c r="G250" s="13" t="n"/>
      <c r="H250" s="13" t="n"/>
      <c r="I250" s="13" t="n"/>
      <c r="J250" s="20" t="n"/>
      <c r="K250" s="14" t="n"/>
      <c r="L250" s="19">
        <f>IF($D250="","",ROUND(IF($J250="",1,$J250)*N($K250),2))</f>
        <v/>
      </c>
      <c r="M250" s="13" t="n"/>
      <c r="N250" s="17">
        <f>IF($D250="","",IF(ISNA(MATCH($D250,项目名表,0)),"※项目不在项目台账里",IF($F250="※材料类别没选","※材料类别没选",IF(AND($C250&lt;&gt;"",ISNA(MATCH($C250,供应商表,0))),"※供应商不在基础资料里",""))))</f>
        <v/>
      </c>
    </row>
    <row r="251">
      <c r="A251" s="17">
        <f>IF($D251="","",ROW()-3)</f>
        <v/>
      </c>
      <c r="B251" s="18" t="n"/>
      <c r="C251" s="13" t="n"/>
      <c r="D251" s="13" t="n"/>
      <c r="E251" s="13" t="n"/>
      <c r="F251" s="17">
        <f>IF($D251="","",IFERROR(VLOOKUP($E251,材料归属,2,0),"※材料类别没选"))</f>
        <v/>
      </c>
      <c r="G251" s="13" t="n"/>
      <c r="H251" s="13" t="n"/>
      <c r="I251" s="13" t="n"/>
      <c r="J251" s="20" t="n"/>
      <c r="K251" s="14" t="n"/>
      <c r="L251" s="19">
        <f>IF($D251="","",ROUND(IF($J251="",1,$J251)*N($K251),2))</f>
        <v/>
      </c>
      <c r="M251" s="13" t="n"/>
      <c r="N251" s="17">
        <f>IF($D251="","",IF(ISNA(MATCH($D251,项目名表,0)),"※项目不在项目台账里",IF($F251="※材料类别没选","※材料类别没选",IF(AND($C251&lt;&gt;"",ISNA(MATCH($C251,供应商表,0))),"※供应商不在基础资料里",""))))</f>
        <v/>
      </c>
    </row>
    <row r="252">
      <c r="A252" s="17">
        <f>IF($D252="","",ROW()-3)</f>
        <v/>
      </c>
      <c r="B252" s="18" t="n"/>
      <c r="C252" s="13" t="n"/>
      <c r="D252" s="13" t="n"/>
      <c r="E252" s="13" t="n"/>
      <c r="F252" s="17">
        <f>IF($D252="","",IFERROR(VLOOKUP($E252,材料归属,2,0),"※材料类别没选"))</f>
        <v/>
      </c>
      <c r="G252" s="13" t="n"/>
      <c r="H252" s="13" t="n"/>
      <c r="I252" s="13" t="n"/>
      <c r="J252" s="20" t="n"/>
      <c r="K252" s="14" t="n"/>
      <c r="L252" s="19">
        <f>IF($D252="","",ROUND(IF($J252="",1,$J252)*N($K252),2))</f>
        <v/>
      </c>
      <c r="M252" s="13" t="n"/>
      <c r="N252" s="17">
        <f>IF($D252="","",IF(ISNA(MATCH($D252,项目名表,0)),"※项目不在项目台账里",IF($F252="※材料类别没选","※材料类别没选",IF(AND($C252&lt;&gt;"",ISNA(MATCH($C252,供应商表,0))),"※供应商不在基础资料里",""))))</f>
        <v/>
      </c>
    </row>
    <row r="253">
      <c r="A253" s="17">
        <f>IF($D253="","",ROW()-3)</f>
        <v/>
      </c>
      <c r="B253" s="18" t="n"/>
      <c r="C253" s="13" t="n"/>
      <c r="D253" s="13" t="n"/>
      <c r="E253" s="13" t="n"/>
      <c r="F253" s="17">
        <f>IF($D253="","",IFERROR(VLOOKUP($E253,材料归属,2,0),"※材料类别没选"))</f>
        <v/>
      </c>
      <c r="G253" s="13" t="n"/>
      <c r="H253" s="13" t="n"/>
      <c r="I253" s="13" t="n"/>
      <c r="J253" s="20" t="n"/>
      <c r="K253" s="14" t="n"/>
      <c r="L253" s="19">
        <f>IF($D253="","",ROUND(IF($J253="",1,$J253)*N($K253),2))</f>
        <v/>
      </c>
      <c r="M253" s="13" t="n"/>
      <c r="N253" s="17">
        <f>IF($D253="","",IF(ISNA(MATCH($D253,项目名表,0)),"※项目不在项目台账里",IF($F253="※材料类别没选","※材料类别没选",IF(AND($C253&lt;&gt;"",ISNA(MATCH($C253,供应商表,0))),"※供应商不在基础资料里",""))))</f>
        <v/>
      </c>
    </row>
    <row r="254">
      <c r="A254" s="17">
        <f>IF($D254="","",ROW()-3)</f>
        <v/>
      </c>
      <c r="B254" s="18" t="n"/>
      <c r="C254" s="13" t="n"/>
      <c r="D254" s="13" t="n"/>
      <c r="E254" s="13" t="n"/>
      <c r="F254" s="17">
        <f>IF($D254="","",IFERROR(VLOOKUP($E254,材料归属,2,0),"※材料类别没选"))</f>
        <v/>
      </c>
      <c r="G254" s="13" t="n"/>
      <c r="H254" s="13" t="n"/>
      <c r="I254" s="13" t="n"/>
      <c r="J254" s="20" t="n"/>
      <c r="K254" s="14" t="n"/>
      <c r="L254" s="19">
        <f>IF($D254="","",ROUND(IF($J254="",1,$J254)*N($K254),2))</f>
        <v/>
      </c>
      <c r="M254" s="13" t="n"/>
      <c r="N254" s="17">
        <f>IF($D254="","",IF(ISNA(MATCH($D254,项目名表,0)),"※项目不在项目台账里",IF($F254="※材料类别没选","※材料类别没选",IF(AND($C254&lt;&gt;"",ISNA(MATCH($C254,供应商表,0))),"※供应商不在基础资料里",""))))</f>
        <v/>
      </c>
    </row>
    <row r="255">
      <c r="A255" s="17">
        <f>IF($D255="","",ROW()-3)</f>
        <v/>
      </c>
      <c r="B255" s="18" t="n"/>
      <c r="C255" s="13" t="n"/>
      <c r="D255" s="13" t="n"/>
      <c r="E255" s="13" t="n"/>
      <c r="F255" s="17">
        <f>IF($D255="","",IFERROR(VLOOKUP($E255,材料归属,2,0),"※材料类别没选"))</f>
        <v/>
      </c>
      <c r="G255" s="13" t="n"/>
      <c r="H255" s="13" t="n"/>
      <c r="I255" s="13" t="n"/>
      <c r="J255" s="20" t="n"/>
      <c r="K255" s="14" t="n"/>
      <c r="L255" s="19">
        <f>IF($D255="","",ROUND(IF($J255="",1,$J255)*N($K255),2))</f>
        <v/>
      </c>
      <c r="M255" s="13" t="n"/>
      <c r="N255" s="17">
        <f>IF($D255="","",IF(ISNA(MATCH($D255,项目名表,0)),"※项目不在项目台账里",IF($F255="※材料类别没选","※材料类别没选",IF(AND($C255&lt;&gt;"",ISNA(MATCH($C255,供应商表,0))),"※供应商不在基础资料里",""))))</f>
        <v/>
      </c>
    </row>
    <row r="256">
      <c r="A256" s="17">
        <f>IF($D256="","",ROW()-3)</f>
        <v/>
      </c>
      <c r="B256" s="18" t="n"/>
      <c r="C256" s="13" t="n"/>
      <c r="D256" s="13" t="n"/>
      <c r="E256" s="13" t="n"/>
      <c r="F256" s="17">
        <f>IF($D256="","",IFERROR(VLOOKUP($E256,材料归属,2,0),"※材料类别没选"))</f>
        <v/>
      </c>
      <c r="G256" s="13" t="n"/>
      <c r="H256" s="13" t="n"/>
      <c r="I256" s="13" t="n"/>
      <c r="J256" s="20" t="n"/>
      <c r="K256" s="14" t="n"/>
      <c r="L256" s="19">
        <f>IF($D256="","",ROUND(IF($J256="",1,$J256)*N($K256),2))</f>
        <v/>
      </c>
      <c r="M256" s="13" t="n"/>
      <c r="N256" s="17">
        <f>IF($D256="","",IF(ISNA(MATCH($D256,项目名表,0)),"※项目不在项目台账里",IF($F256="※材料类别没选","※材料类别没选",IF(AND($C256&lt;&gt;"",ISNA(MATCH($C256,供应商表,0))),"※供应商不在基础资料里",""))))</f>
        <v/>
      </c>
    </row>
    <row r="257">
      <c r="A257" s="17">
        <f>IF($D257="","",ROW()-3)</f>
        <v/>
      </c>
      <c r="B257" s="18" t="n"/>
      <c r="C257" s="13" t="n"/>
      <c r="D257" s="13" t="n"/>
      <c r="E257" s="13" t="n"/>
      <c r="F257" s="17">
        <f>IF($D257="","",IFERROR(VLOOKUP($E257,材料归属,2,0),"※材料类别没选"))</f>
        <v/>
      </c>
      <c r="G257" s="13" t="n"/>
      <c r="H257" s="13" t="n"/>
      <c r="I257" s="13" t="n"/>
      <c r="J257" s="20" t="n"/>
      <c r="K257" s="14" t="n"/>
      <c r="L257" s="19">
        <f>IF($D257="","",ROUND(IF($J257="",1,$J257)*N($K257),2))</f>
        <v/>
      </c>
      <c r="M257" s="13" t="n"/>
      <c r="N257" s="17">
        <f>IF($D257="","",IF(ISNA(MATCH($D257,项目名表,0)),"※项目不在项目台账里",IF($F257="※材料类别没选","※材料类别没选",IF(AND($C257&lt;&gt;"",ISNA(MATCH($C257,供应商表,0))),"※供应商不在基础资料里",""))))</f>
        <v/>
      </c>
    </row>
    <row r="258">
      <c r="A258" s="17">
        <f>IF($D258="","",ROW()-3)</f>
        <v/>
      </c>
      <c r="B258" s="18" t="n"/>
      <c r="C258" s="13" t="n"/>
      <c r="D258" s="13" t="n"/>
      <c r="E258" s="13" t="n"/>
      <c r="F258" s="17">
        <f>IF($D258="","",IFERROR(VLOOKUP($E258,材料归属,2,0),"※材料类别没选"))</f>
        <v/>
      </c>
      <c r="G258" s="13" t="n"/>
      <c r="H258" s="13" t="n"/>
      <c r="I258" s="13" t="n"/>
      <c r="J258" s="20" t="n"/>
      <c r="K258" s="14" t="n"/>
      <c r="L258" s="19">
        <f>IF($D258="","",ROUND(IF($J258="",1,$J258)*N($K258),2))</f>
        <v/>
      </c>
      <c r="M258" s="13" t="n"/>
      <c r="N258" s="17">
        <f>IF($D258="","",IF(ISNA(MATCH($D258,项目名表,0)),"※项目不在项目台账里",IF($F258="※材料类别没选","※材料类别没选",IF(AND($C258&lt;&gt;"",ISNA(MATCH($C258,供应商表,0))),"※供应商不在基础资料里",""))))</f>
        <v/>
      </c>
    </row>
    <row r="259">
      <c r="A259" s="17">
        <f>IF($D259="","",ROW()-3)</f>
        <v/>
      </c>
      <c r="B259" s="18" t="n"/>
      <c r="C259" s="13" t="n"/>
      <c r="D259" s="13" t="n"/>
      <c r="E259" s="13" t="n"/>
      <c r="F259" s="17">
        <f>IF($D259="","",IFERROR(VLOOKUP($E259,材料归属,2,0),"※材料类别没选"))</f>
        <v/>
      </c>
      <c r="G259" s="13" t="n"/>
      <c r="H259" s="13" t="n"/>
      <c r="I259" s="13" t="n"/>
      <c r="J259" s="20" t="n"/>
      <c r="K259" s="14" t="n"/>
      <c r="L259" s="19">
        <f>IF($D259="","",ROUND(IF($J259="",1,$J259)*N($K259),2))</f>
        <v/>
      </c>
      <c r="M259" s="13" t="n"/>
      <c r="N259" s="17">
        <f>IF($D259="","",IF(ISNA(MATCH($D259,项目名表,0)),"※项目不在项目台账里",IF($F259="※材料类别没选","※材料类别没选",IF(AND($C259&lt;&gt;"",ISNA(MATCH($C259,供应商表,0))),"※供应商不在基础资料里",""))))</f>
        <v/>
      </c>
    </row>
    <row r="260">
      <c r="A260" s="17">
        <f>IF($D260="","",ROW()-3)</f>
        <v/>
      </c>
      <c r="B260" s="18" t="n"/>
      <c r="C260" s="13" t="n"/>
      <c r="D260" s="13" t="n"/>
      <c r="E260" s="13" t="n"/>
      <c r="F260" s="17">
        <f>IF($D260="","",IFERROR(VLOOKUP($E260,材料归属,2,0),"※材料类别没选"))</f>
        <v/>
      </c>
      <c r="G260" s="13" t="n"/>
      <c r="H260" s="13" t="n"/>
      <c r="I260" s="13" t="n"/>
      <c r="J260" s="20" t="n"/>
      <c r="K260" s="14" t="n"/>
      <c r="L260" s="19">
        <f>IF($D260="","",ROUND(IF($J260="",1,$J260)*N($K260),2))</f>
        <v/>
      </c>
      <c r="M260" s="13" t="n"/>
      <c r="N260" s="17">
        <f>IF($D260="","",IF(ISNA(MATCH($D260,项目名表,0)),"※项目不在项目台账里",IF($F260="※材料类别没选","※材料类别没选",IF(AND($C260&lt;&gt;"",ISNA(MATCH($C260,供应商表,0))),"※供应商不在基础资料里",""))))</f>
        <v/>
      </c>
    </row>
    <row r="261">
      <c r="A261" s="17">
        <f>IF($D261="","",ROW()-3)</f>
        <v/>
      </c>
      <c r="B261" s="18" t="n"/>
      <c r="C261" s="13" t="n"/>
      <c r="D261" s="13" t="n"/>
      <c r="E261" s="13" t="n"/>
      <c r="F261" s="17">
        <f>IF($D261="","",IFERROR(VLOOKUP($E261,材料归属,2,0),"※材料类别没选"))</f>
        <v/>
      </c>
      <c r="G261" s="13" t="n"/>
      <c r="H261" s="13" t="n"/>
      <c r="I261" s="13" t="n"/>
      <c r="J261" s="20" t="n"/>
      <c r="K261" s="14" t="n"/>
      <c r="L261" s="19">
        <f>IF($D261="","",ROUND(IF($J261="",1,$J261)*N($K261),2))</f>
        <v/>
      </c>
      <c r="M261" s="13" t="n"/>
      <c r="N261" s="17">
        <f>IF($D261="","",IF(ISNA(MATCH($D261,项目名表,0)),"※项目不在项目台账里",IF($F261="※材料类别没选","※材料类别没选",IF(AND($C261&lt;&gt;"",ISNA(MATCH($C261,供应商表,0))),"※供应商不在基础资料里",""))))</f>
        <v/>
      </c>
    </row>
    <row r="262">
      <c r="A262" s="17">
        <f>IF($D262="","",ROW()-3)</f>
        <v/>
      </c>
      <c r="B262" s="18" t="n"/>
      <c r="C262" s="13" t="n"/>
      <c r="D262" s="13" t="n"/>
      <c r="E262" s="13" t="n"/>
      <c r="F262" s="17">
        <f>IF($D262="","",IFERROR(VLOOKUP($E262,材料归属,2,0),"※材料类别没选"))</f>
        <v/>
      </c>
      <c r="G262" s="13" t="n"/>
      <c r="H262" s="13" t="n"/>
      <c r="I262" s="13" t="n"/>
      <c r="J262" s="20" t="n"/>
      <c r="K262" s="14" t="n"/>
      <c r="L262" s="19">
        <f>IF($D262="","",ROUND(IF($J262="",1,$J262)*N($K262),2))</f>
        <v/>
      </c>
      <c r="M262" s="13" t="n"/>
      <c r="N262" s="17">
        <f>IF($D262="","",IF(ISNA(MATCH($D262,项目名表,0)),"※项目不在项目台账里",IF($F262="※材料类别没选","※材料类别没选",IF(AND($C262&lt;&gt;"",ISNA(MATCH($C262,供应商表,0))),"※供应商不在基础资料里",""))))</f>
        <v/>
      </c>
    </row>
    <row r="263">
      <c r="A263" s="17">
        <f>IF($D263="","",ROW()-3)</f>
        <v/>
      </c>
      <c r="B263" s="18" t="n"/>
      <c r="C263" s="13" t="n"/>
      <c r="D263" s="13" t="n"/>
      <c r="E263" s="13" t="n"/>
      <c r="F263" s="17">
        <f>IF($D263="","",IFERROR(VLOOKUP($E263,材料归属,2,0),"※材料类别没选"))</f>
        <v/>
      </c>
      <c r="G263" s="13" t="n"/>
      <c r="H263" s="13" t="n"/>
      <c r="I263" s="13" t="n"/>
      <c r="J263" s="20" t="n"/>
      <c r="K263" s="14" t="n"/>
      <c r="L263" s="19">
        <f>IF($D263="","",ROUND(IF($J263="",1,$J263)*N($K263),2))</f>
        <v/>
      </c>
      <c r="M263" s="13" t="n"/>
      <c r="N263" s="17">
        <f>IF($D263="","",IF(ISNA(MATCH($D263,项目名表,0)),"※项目不在项目台账里",IF($F263="※材料类别没选","※材料类别没选",IF(AND($C263&lt;&gt;"",ISNA(MATCH($C263,供应商表,0))),"※供应商不在基础资料里",""))))</f>
        <v/>
      </c>
    </row>
    <row r="264">
      <c r="A264" s="17">
        <f>IF($D264="","",ROW()-3)</f>
        <v/>
      </c>
      <c r="B264" s="18" t="n"/>
      <c r="C264" s="13" t="n"/>
      <c r="D264" s="13" t="n"/>
      <c r="E264" s="13" t="n"/>
      <c r="F264" s="17">
        <f>IF($D264="","",IFERROR(VLOOKUP($E264,材料归属,2,0),"※材料类别没选"))</f>
        <v/>
      </c>
      <c r="G264" s="13" t="n"/>
      <c r="H264" s="13" t="n"/>
      <c r="I264" s="13" t="n"/>
      <c r="J264" s="20" t="n"/>
      <c r="K264" s="14" t="n"/>
      <c r="L264" s="19">
        <f>IF($D264="","",ROUND(IF($J264="",1,$J264)*N($K264),2))</f>
        <v/>
      </c>
      <c r="M264" s="13" t="n"/>
      <c r="N264" s="17">
        <f>IF($D264="","",IF(ISNA(MATCH($D264,项目名表,0)),"※项目不在项目台账里",IF($F264="※材料类别没选","※材料类别没选",IF(AND($C264&lt;&gt;"",ISNA(MATCH($C264,供应商表,0))),"※供应商不在基础资料里",""))))</f>
        <v/>
      </c>
    </row>
    <row r="265">
      <c r="A265" s="17">
        <f>IF($D265="","",ROW()-3)</f>
        <v/>
      </c>
      <c r="B265" s="18" t="n"/>
      <c r="C265" s="13" t="n"/>
      <c r="D265" s="13" t="n"/>
      <c r="E265" s="13" t="n"/>
      <c r="F265" s="17">
        <f>IF($D265="","",IFERROR(VLOOKUP($E265,材料归属,2,0),"※材料类别没选"))</f>
        <v/>
      </c>
      <c r="G265" s="13" t="n"/>
      <c r="H265" s="13" t="n"/>
      <c r="I265" s="13" t="n"/>
      <c r="J265" s="20" t="n"/>
      <c r="K265" s="14" t="n"/>
      <c r="L265" s="19">
        <f>IF($D265="","",ROUND(IF($J265="",1,$J265)*N($K265),2))</f>
        <v/>
      </c>
      <c r="M265" s="13" t="n"/>
      <c r="N265" s="17">
        <f>IF($D265="","",IF(ISNA(MATCH($D265,项目名表,0)),"※项目不在项目台账里",IF($F265="※材料类别没选","※材料类别没选",IF(AND($C265&lt;&gt;"",ISNA(MATCH($C265,供应商表,0))),"※供应商不在基础资料里",""))))</f>
        <v/>
      </c>
    </row>
    <row r="266">
      <c r="A266" s="17">
        <f>IF($D266="","",ROW()-3)</f>
        <v/>
      </c>
      <c r="B266" s="18" t="n"/>
      <c r="C266" s="13" t="n"/>
      <c r="D266" s="13" t="n"/>
      <c r="E266" s="13" t="n"/>
      <c r="F266" s="17">
        <f>IF($D266="","",IFERROR(VLOOKUP($E266,材料归属,2,0),"※材料类别没选"))</f>
        <v/>
      </c>
      <c r="G266" s="13" t="n"/>
      <c r="H266" s="13" t="n"/>
      <c r="I266" s="13" t="n"/>
      <c r="J266" s="20" t="n"/>
      <c r="K266" s="14" t="n"/>
      <c r="L266" s="19">
        <f>IF($D266="","",ROUND(IF($J266="",1,$J266)*N($K266),2))</f>
        <v/>
      </c>
      <c r="M266" s="13" t="n"/>
      <c r="N266" s="17">
        <f>IF($D266="","",IF(ISNA(MATCH($D266,项目名表,0)),"※项目不在项目台账里",IF($F266="※材料类别没选","※材料类别没选",IF(AND($C266&lt;&gt;"",ISNA(MATCH($C266,供应商表,0))),"※供应商不在基础资料里",""))))</f>
        <v/>
      </c>
    </row>
    <row r="267">
      <c r="A267" s="17">
        <f>IF($D267="","",ROW()-3)</f>
        <v/>
      </c>
      <c r="B267" s="18" t="n"/>
      <c r="C267" s="13" t="n"/>
      <c r="D267" s="13" t="n"/>
      <c r="E267" s="13" t="n"/>
      <c r="F267" s="17">
        <f>IF($D267="","",IFERROR(VLOOKUP($E267,材料归属,2,0),"※材料类别没选"))</f>
        <v/>
      </c>
      <c r="G267" s="13" t="n"/>
      <c r="H267" s="13" t="n"/>
      <c r="I267" s="13" t="n"/>
      <c r="J267" s="20" t="n"/>
      <c r="K267" s="14" t="n"/>
      <c r="L267" s="19">
        <f>IF($D267="","",ROUND(IF($J267="",1,$J267)*N($K267),2))</f>
        <v/>
      </c>
      <c r="M267" s="13" t="n"/>
      <c r="N267" s="17">
        <f>IF($D267="","",IF(ISNA(MATCH($D267,项目名表,0)),"※项目不在项目台账里",IF($F267="※材料类别没选","※材料类别没选",IF(AND($C267&lt;&gt;"",ISNA(MATCH($C267,供应商表,0))),"※供应商不在基础资料里",""))))</f>
        <v/>
      </c>
    </row>
    <row r="268">
      <c r="A268" s="17">
        <f>IF($D268="","",ROW()-3)</f>
        <v/>
      </c>
      <c r="B268" s="18" t="n"/>
      <c r="C268" s="13" t="n"/>
      <c r="D268" s="13" t="n"/>
      <c r="E268" s="13" t="n"/>
      <c r="F268" s="17">
        <f>IF($D268="","",IFERROR(VLOOKUP($E268,材料归属,2,0),"※材料类别没选"))</f>
        <v/>
      </c>
      <c r="G268" s="13" t="n"/>
      <c r="H268" s="13" t="n"/>
      <c r="I268" s="13" t="n"/>
      <c r="J268" s="20" t="n"/>
      <c r="K268" s="14" t="n"/>
      <c r="L268" s="19">
        <f>IF($D268="","",ROUND(IF($J268="",1,$J268)*N($K268),2))</f>
        <v/>
      </c>
      <c r="M268" s="13" t="n"/>
      <c r="N268" s="17">
        <f>IF($D268="","",IF(ISNA(MATCH($D268,项目名表,0)),"※项目不在项目台账里",IF($F268="※材料类别没选","※材料类别没选",IF(AND($C268&lt;&gt;"",ISNA(MATCH($C268,供应商表,0))),"※供应商不在基础资料里",""))))</f>
        <v/>
      </c>
    </row>
    <row r="269">
      <c r="A269" s="17">
        <f>IF($D269="","",ROW()-3)</f>
        <v/>
      </c>
      <c r="B269" s="18" t="n"/>
      <c r="C269" s="13" t="n"/>
      <c r="D269" s="13" t="n"/>
      <c r="E269" s="13" t="n"/>
      <c r="F269" s="17">
        <f>IF($D269="","",IFERROR(VLOOKUP($E269,材料归属,2,0),"※材料类别没选"))</f>
        <v/>
      </c>
      <c r="G269" s="13" t="n"/>
      <c r="H269" s="13" t="n"/>
      <c r="I269" s="13" t="n"/>
      <c r="J269" s="20" t="n"/>
      <c r="K269" s="14" t="n"/>
      <c r="L269" s="19">
        <f>IF($D269="","",ROUND(IF($J269="",1,$J269)*N($K269),2))</f>
        <v/>
      </c>
      <c r="M269" s="13" t="n"/>
      <c r="N269" s="17">
        <f>IF($D269="","",IF(ISNA(MATCH($D269,项目名表,0)),"※项目不在项目台账里",IF($F269="※材料类别没选","※材料类别没选",IF(AND($C269&lt;&gt;"",ISNA(MATCH($C269,供应商表,0))),"※供应商不在基础资料里",""))))</f>
        <v/>
      </c>
    </row>
    <row r="270">
      <c r="A270" s="17">
        <f>IF($D270="","",ROW()-3)</f>
        <v/>
      </c>
      <c r="B270" s="18" t="n"/>
      <c r="C270" s="13" t="n"/>
      <c r="D270" s="13" t="n"/>
      <c r="E270" s="13" t="n"/>
      <c r="F270" s="17">
        <f>IF($D270="","",IFERROR(VLOOKUP($E270,材料归属,2,0),"※材料类别没选"))</f>
        <v/>
      </c>
      <c r="G270" s="13" t="n"/>
      <c r="H270" s="13" t="n"/>
      <c r="I270" s="13" t="n"/>
      <c r="J270" s="20" t="n"/>
      <c r="K270" s="14" t="n"/>
      <c r="L270" s="19">
        <f>IF($D270="","",ROUND(IF($J270="",1,$J270)*N($K270),2))</f>
        <v/>
      </c>
      <c r="M270" s="13" t="n"/>
      <c r="N270" s="17">
        <f>IF($D270="","",IF(ISNA(MATCH($D270,项目名表,0)),"※项目不在项目台账里",IF($F270="※材料类别没选","※材料类别没选",IF(AND($C270&lt;&gt;"",ISNA(MATCH($C270,供应商表,0))),"※供应商不在基础资料里",""))))</f>
        <v/>
      </c>
    </row>
    <row r="271">
      <c r="A271" s="17">
        <f>IF($D271="","",ROW()-3)</f>
        <v/>
      </c>
      <c r="B271" s="18" t="n"/>
      <c r="C271" s="13" t="n"/>
      <c r="D271" s="13" t="n"/>
      <c r="E271" s="13" t="n"/>
      <c r="F271" s="17">
        <f>IF($D271="","",IFERROR(VLOOKUP($E271,材料归属,2,0),"※材料类别没选"))</f>
        <v/>
      </c>
      <c r="G271" s="13" t="n"/>
      <c r="H271" s="13" t="n"/>
      <c r="I271" s="13" t="n"/>
      <c r="J271" s="20" t="n"/>
      <c r="K271" s="14" t="n"/>
      <c r="L271" s="19">
        <f>IF($D271="","",ROUND(IF($J271="",1,$J271)*N($K271),2))</f>
        <v/>
      </c>
      <c r="M271" s="13" t="n"/>
      <c r="N271" s="17">
        <f>IF($D271="","",IF(ISNA(MATCH($D271,项目名表,0)),"※项目不在项目台账里",IF($F271="※材料类别没选","※材料类别没选",IF(AND($C271&lt;&gt;"",ISNA(MATCH($C271,供应商表,0))),"※供应商不在基础资料里",""))))</f>
        <v/>
      </c>
    </row>
    <row r="272">
      <c r="A272" s="17">
        <f>IF($D272="","",ROW()-3)</f>
        <v/>
      </c>
      <c r="B272" s="18" t="n"/>
      <c r="C272" s="13" t="n"/>
      <c r="D272" s="13" t="n"/>
      <c r="E272" s="13" t="n"/>
      <c r="F272" s="17">
        <f>IF($D272="","",IFERROR(VLOOKUP($E272,材料归属,2,0),"※材料类别没选"))</f>
        <v/>
      </c>
      <c r="G272" s="13" t="n"/>
      <c r="H272" s="13" t="n"/>
      <c r="I272" s="13" t="n"/>
      <c r="J272" s="20" t="n"/>
      <c r="K272" s="14" t="n"/>
      <c r="L272" s="19">
        <f>IF($D272="","",ROUND(IF($J272="",1,$J272)*N($K272),2))</f>
        <v/>
      </c>
      <c r="M272" s="13" t="n"/>
      <c r="N272" s="17">
        <f>IF($D272="","",IF(ISNA(MATCH($D272,项目名表,0)),"※项目不在项目台账里",IF($F272="※材料类别没选","※材料类别没选",IF(AND($C272&lt;&gt;"",ISNA(MATCH($C272,供应商表,0))),"※供应商不在基础资料里",""))))</f>
        <v/>
      </c>
    </row>
    <row r="273">
      <c r="A273" s="17">
        <f>IF($D273="","",ROW()-3)</f>
        <v/>
      </c>
      <c r="B273" s="18" t="n"/>
      <c r="C273" s="13" t="n"/>
      <c r="D273" s="13" t="n"/>
      <c r="E273" s="13" t="n"/>
      <c r="F273" s="17">
        <f>IF($D273="","",IFERROR(VLOOKUP($E273,材料归属,2,0),"※材料类别没选"))</f>
        <v/>
      </c>
      <c r="G273" s="13" t="n"/>
      <c r="H273" s="13" t="n"/>
      <c r="I273" s="13" t="n"/>
      <c r="J273" s="20" t="n"/>
      <c r="K273" s="14" t="n"/>
      <c r="L273" s="19">
        <f>IF($D273="","",ROUND(IF($J273="",1,$J273)*N($K273),2))</f>
        <v/>
      </c>
      <c r="M273" s="13" t="n"/>
      <c r="N273" s="17">
        <f>IF($D273="","",IF(ISNA(MATCH($D273,项目名表,0)),"※项目不在项目台账里",IF($F273="※材料类别没选","※材料类别没选",IF(AND($C273&lt;&gt;"",ISNA(MATCH($C273,供应商表,0))),"※供应商不在基础资料里",""))))</f>
        <v/>
      </c>
    </row>
    <row r="274">
      <c r="A274" s="17">
        <f>IF($D274="","",ROW()-3)</f>
        <v/>
      </c>
      <c r="B274" s="18" t="n"/>
      <c r="C274" s="13" t="n"/>
      <c r="D274" s="13" t="n"/>
      <c r="E274" s="13" t="n"/>
      <c r="F274" s="17">
        <f>IF($D274="","",IFERROR(VLOOKUP($E274,材料归属,2,0),"※材料类别没选"))</f>
        <v/>
      </c>
      <c r="G274" s="13" t="n"/>
      <c r="H274" s="13" t="n"/>
      <c r="I274" s="13" t="n"/>
      <c r="J274" s="20" t="n"/>
      <c r="K274" s="14" t="n"/>
      <c r="L274" s="19">
        <f>IF($D274="","",ROUND(IF($J274="",1,$J274)*N($K274),2))</f>
        <v/>
      </c>
      <c r="M274" s="13" t="n"/>
      <c r="N274" s="17">
        <f>IF($D274="","",IF(ISNA(MATCH($D274,项目名表,0)),"※项目不在项目台账里",IF($F274="※材料类别没选","※材料类别没选",IF(AND($C274&lt;&gt;"",ISNA(MATCH($C274,供应商表,0))),"※供应商不在基础资料里",""))))</f>
        <v/>
      </c>
    </row>
    <row r="275">
      <c r="A275" s="17">
        <f>IF($D275="","",ROW()-3)</f>
        <v/>
      </c>
      <c r="B275" s="18" t="n"/>
      <c r="C275" s="13" t="n"/>
      <c r="D275" s="13" t="n"/>
      <c r="E275" s="13" t="n"/>
      <c r="F275" s="17">
        <f>IF($D275="","",IFERROR(VLOOKUP($E275,材料归属,2,0),"※材料类别没选"))</f>
        <v/>
      </c>
      <c r="G275" s="13" t="n"/>
      <c r="H275" s="13" t="n"/>
      <c r="I275" s="13" t="n"/>
      <c r="J275" s="20" t="n"/>
      <c r="K275" s="14" t="n"/>
      <c r="L275" s="19">
        <f>IF($D275="","",ROUND(IF($J275="",1,$J275)*N($K275),2))</f>
        <v/>
      </c>
      <c r="M275" s="13" t="n"/>
      <c r="N275" s="17">
        <f>IF($D275="","",IF(ISNA(MATCH($D275,项目名表,0)),"※项目不在项目台账里",IF($F275="※材料类别没选","※材料类别没选",IF(AND($C275&lt;&gt;"",ISNA(MATCH($C275,供应商表,0))),"※供应商不在基础资料里",""))))</f>
        <v/>
      </c>
    </row>
    <row r="276">
      <c r="A276" s="17">
        <f>IF($D276="","",ROW()-3)</f>
        <v/>
      </c>
      <c r="B276" s="18" t="n"/>
      <c r="C276" s="13" t="n"/>
      <c r="D276" s="13" t="n"/>
      <c r="E276" s="13" t="n"/>
      <c r="F276" s="17">
        <f>IF($D276="","",IFERROR(VLOOKUP($E276,材料归属,2,0),"※材料类别没选"))</f>
        <v/>
      </c>
      <c r="G276" s="13" t="n"/>
      <c r="H276" s="13" t="n"/>
      <c r="I276" s="13" t="n"/>
      <c r="J276" s="20" t="n"/>
      <c r="K276" s="14" t="n"/>
      <c r="L276" s="19">
        <f>IF($D276="","",ROUND(IF($J276="",1,$J276)*N($K276),2))</f>
        <v/>
      </c>
      <c r="M276" s="13" t="n"/>
      <c r="N276" s="17">
        <f>IF($D276="","",IF(ISNA(MATCH($D276,项目名表,0)),"※项目不在项目台账里",IF($F276="※材料类别没选","※材料类别没选",IF(AND($C276&lt;&gt;"",ISNA(MATCH($C276,供应商表,0))),"※供应商不在基础资料里",""))))</f>
        <v/>
      </c>
    </row>
    <row r="277">
      <c r="A277" s="17">
        <f>IF($D277="","",ROW()-3)</f>
        <v/>
      </c>
      <c r="B277" s="18" t="n"/>
      <c r="C277" s="13" t="n"/>
      <c r="D277" s="13" t="n"/>
      <c r="E277" s="13" t="n"/>
      <c r="F277" s="17">
        <f>IF($D277="","",IFERROR(VLOOKUP($E277,材料归属,2,0),"※材料类别没选"))</f>
        <v/>
      </c>
      <c r="G277" s="13" t="n"/>
      <c r="H277" s="13" t="n"/>
      <c r="I277" s="13" t="n"/>
      <c r="J277" s="20" t="n"/>
      <c r="K277" s="14" t="n"/>
      <c r="L277" s="19">
        <f>IF($D277="","",ROUND(IF($J277="",1,$J277)*N($K277),2))</f>
        <v/>
      </c>
      <c r="M277" s="13" t="n"/>
      <c r="N277" s="17">
        <f>IF($D277="","",IF(ISNA(MATCH($D277,项目名表,0)),"※项目不在项目台账里",IF($F277="※材料类别没选","※材料类别没选",IF(AND($C277&lt;&gt;"",ISNA(MATCH($C277,供应商表,0))),"※供应商不在基础资料里",""))))</f>
        <v/>
      </c>
    </row>
    <row r="278">
      <c r="A278" s="17">
        <f>IF($D278="","",ROW()-3)</f>
        <v/>
      </c>
      <c r="B278" s="18" t="n"/>
      <c r="C278" s="13" t="n"/>
      <c r="D278" s="13" t="n"/>
      <c r="E278" s="13" t="n"/>
      <c r="F278" s="17">
        <f>IF($D278="","",IFERROR(VLOOKUP($E278,材料归属,2,0),"※材料类别没选"))</f>
        <v/>
      </c>
      <c r="G278" s="13" t="n"/>
      <c r="H278" s="13" t="n"/>
      <c r="I278" s="13" t="n"/>
      <c r="J278" s="20" t="n"/>
      <c r="K278" s="14" t="n"/>
      <c r="L278" s="19">
        <f>IF($D278="","",ROUND(IF($J278="",1,$J278)*N($K278),2))</f>
        <v/>
      </c>
      <c r="M278" s="13" t="n"/>
      <c r="N278" s="17">
        <f>IF($D278="","",IF(ISNA(MATCH($D278,项目名表,0)),"※项目不在项目台账里",IF($F278="※材料类别没选","※材料类别没选",IF(AND($C278&lt;&gt;"",ISNA(MATCH($C278,供应商表,0))),"※供应商不在基础资料里",""))))</f>
        <v/>
      </c>
    </row>
    <row r="279">
      <c r="A279" s="17">
        <f>IF($D279="","",ROW()-3)</f>
        <v/>
      </c>
      <c r="B279" s="18" t="n"/>
      <c r="C279" s="13" t="n"/>
      <c r="D279" s="13" t="n"/>
      <c r="E279" s="13" t="n"/>
      <c r="F279" s="17">
        <f>IF($D279="","",IFERROR(VLOOKUP($E279,材料归属,2,0),"※材料类别没选"))</f>
        <v/>
      </c>
      <c r="G279" s="13" t="n"/>
      <c r="H279" s="13" t="n"/>
      <c r="I279" s="13" t="n"/>
      <c r="J279" s="20" t="n"/>
      <c r="K279" s="14" t="n"/>
      <c r="L279" s="19">
        <f>IF($D279="","",ROUND(IF($J279="",1,$J279)*N($K279),2))</f>
        <v/>
      </c>
      <c r="M279" s="13" t="n"/>
      <c r="N279" s="17">
        <f>IF($D279="","",IF(ISNA(MATCH($D279,项目名表,0)),"※项目不在项目台账里",IF($F279="※材料类别没选","※材料类别没选",IF(AND($C279&lt;&gt;"",ISNA(MATCH($C279,供应商表,0))),"※供应商不在基础资料里",""))))</f>
        <v/>
      </c>
    </row>
    <row r="280">
      <c r="A280" s="17">
        <f>IF($D280="","",ROW()-3)</f>
        <v/>
      </c>
      <c r="B280" s="18" t="n"/>
      <c r="C280" s="13" t="n"/>
      <c r="D280" s="13" t="n"/>
      <c r="E280" s="13" t="n"/>
      <c r="F280" s="17">
        <f>IF($D280="","",IFERROR(VLOOKUP($E280,材料归属,2,0),"※材料类别没选"))</f>
        <v/>
      </c>
      <c r="G280" s="13" t="n"/>
      <c r="H280" s="13" t="n"/>
      <c r="I280" s="13" t="n"/>
      <c r="J280" s="20" t="n"/>
      <c r="K280" s="14" t="n"/>
      <c r="L280" s="19">
        <f>IF($D280="","",ROUND(IF($J280="",1,$J280)*N($K280),2))</f>
        <v/>
      </c>
      <c r="M280" s="13" t="n"/>
      <c r="N280" s="17">
        <f>IF($D280="","",IF(ISNA(MATCH($D280,项目名表,0)),"※项目不在项目台账里",IF($F280="※材料类别没选","※材料类别没选",IF(AND($C280&lt;&gt;"",ISNA(MATCH($C280,供应商表,0))),"※供应商不在基础资料里",""))))</f>
        <v/>
      </c>
    </row>
    <row r="281">
      <c r="A281" s="17">
        <f>IF($D281="","",ROW()-3)</f>
        <v/>
      </c>
      <c r="B281" s="18" t="n"/>
      <c r="C281" s="13" t="n"/>
      <c r="D281" s="13" t="n"/>
      <c r="E281" s="13" t="n"/>
      <c r="F281" s="17">
        <f>IF($D281="","",IFERROR(VLOOKUP($E281,材料归属,2,0),"※材料类别没选"))</f>
        <v/>
      </c>
      <c r="G281" s="13" t="n"/>
      <c r="H281" s="13" t="n"/>
      <c r="I281" s="13" t="n"/>
      <c r="J281" s="20" t="n"/>
      <c r="K281" s="14" t="n"/>
      <c r="L281" s="19">
        <f>IF($D281="","",ROUND(IF($J281="",1,$J281)*N($K281),2))</f>
        <v/>
      </c>
      <c r="M281" s="13" t="n"/>
      <c r="N281" s="17">
        <f>IF($D281="","",IF(ISNA(MATCH($D281,项目名表,0)),"※项目不在项目台账里",IF($F281="※材料类别没选","※材料类别没选",IF(AND($C281&lt;&gt;"",ISNA(MATCH($C281,供应商表,0))),"※供应商不在基础资料里",""))))</f>
        <v/>
      </c>
    </row>
    <row r="282">
      <c r="A282" s="17">
        <f>IF($D282="","",ROW()-3)</f>
        <v/>
      </c>
      <c r="B282" s="18" t="n"/>
      <c r="C282" s="13" t="n"/>
      <c r="D282" s="13" t="n"/>
      <c r="E282" s="13" t="n"/>
      <c r="F282" s="17">
        <f>IF($D282="","",IFERROR(VLOOKUP($E282,材料归属,2,0),"※材料类别没选"))</f>
        <v/>
      </c>
      <c r="G282" s="13" t="n"/>
      <c r="H282" s="13" t="n"/>
      <c r="I282" s="13" t="n"/>
      <c r="J282" s="20" t="n"/>
      <c r="K282" s="14" t="n"/>
      <c r="L282" s="19">
        <f>IF($D282="","",ROUND(IF($J282="",1,$J282)*N($K282),2))</f>
        <v/>
      </c>
      <c r="M282" s="13" t="n"/>
      <c r="N282" s="17">
        <f>IF($D282="","",IF(ISNA(MATCH($D282,项目名表,0)),"※项目不在项目台账里",IF($F282="※材料类别没选","※材料类别没选",IF(AND($C282&lt;&gt;"",ISNA(MATCH($C282,供应商表,0))),"※供应商不在基础资料里",""))))</f>
        <v/>
      </c>
    </row>
    <row r="283">
      <c r="A283" s="17">
        <f>IF($D283="","",ROW()-3)</f>
        <v/>
      </c>
      <c r="B283" s="18" t="n"/>
      <c r="C283" s="13" t="n"/>
      <c r="D283" s="13" t="n"/>
      <c r="E283" s="13" t="n"/>
      <c r="F283" s="17">
        <f>IF($D283="","",IFERROR(VLOOKUP($E283,材料归属,2,0),"※材料类别没选"))</f>
        <v/>
      </c>
      <c r="G283" s="13" t="n"/>
      <c r="H283" s="13" t="n"/>
      <c r="I283" s="13" t="n"/>
      <c r="J283" s="20" t="n"/>
      <c r="K283" s="14" t="n"/>
      <c r="L283" s="19">
        <f>IF($D283="","",ROUND(IF($J283="",1,$J283)*N($K283),2))</f>
        <v/>
      </c>
      <c r="M283" s="13" t="n"/>
      <c r="N283" s="17">
        <f>IF($D283="","",IF(ISNA(MATCH($D283,项目名表,0)),"※项目不在项目台账里",IF($F283="※材料类别没选","※材料类别没选",IF(AND($C283&lt;&gt;"",ISNA(MATCH($C283,供应商表,0))),"※供应商不在基础资料里",""))))</f>
        <v/>
      </c>
    </row>
    <row r="284">
      <c r="A284" s="17">
        <f>IF($D284="","",ROW()-3)</f>
        <v/>
      </c>
      <c r="B284" s="18" t="n"/>
      <c r="C284" s="13" t="n"/>
      <c r="D284" s="13" t="n"/>
      <c r="E284" s="13" t="n"/>
      <c r="F284" s="17">
        <f>IF($D284="","",IFERROR(VLOOKUP($E284,材料归属,2,0),"※材料类别没选"))</f>
        <v/>
      </c>
      <c r="G284" s="13" t="n"/>
      <c r="H284" s="13" t="n"/>
      <c r="I284" s="13" t="n"/>
      <c r="J284" s="20" t="n"/>
      <c r="K284" s="14" t="n"/>
      <c r="L284" s="19">
        <f>IF($D284="","",ROUND(IF($J284="",1,$J284)*N($K284),2))</f>
        <v/>
      </c>
      <c r="M284" s="13" t="n"/>
      <c r="N284" s="17">
        <f>IF($D284="","",IF(ISNA(MATCH($D284,项目名表,0)),"※项目不在项目台账里",IF($F284="※材料类别没选","※材料类别没选",IF(AND($C284&lt;&gt;"",ISNA(MATCH($C284,供应商表,0))),"※供应商不在基础资料里",""))))</f>
        <v/>
      </c>
    </row>
    <row r="285">
      <c r="A285" s="17">
        <f>IF($D285="","",ROW()-3)</f>
        <v/>
      </c>
      <c r="B285" s="18" t="n"/>
      <c r="C285" s="13" t="n"/>
      <c r="D285" s="13" t="n"/>
      <c r="E285" s="13" t="n"/>
      <c r="F285" s="17">
        <f>IF($D285="","",IFERROR(VLOOKUP($E285,材料归属,2,0),"※材料类别没选"))</f>
        <v/>
      </c>
      <c r="G285" s="13" t="n"/>
      <c r="H285" s="13" t="n"/>
      <c r="I285" s="13" t="n"/>
      <c r="J285" s="20" t="n"/>
      <c r="K285" s="14" t="n"/>
      <c r="L285" s="19">
        <f>IF($D285="","",ROUND(IF($J285="",1,$J285)*N($K285),2))</f>
        <v/>
      </c>
      <c r="M285" s="13" t="n"/>
      <c r="N285" s="17">
        <f>IF($D285="","",IF(ISNA(MATCH($D285,项目名表,0)),"※项目不在项目台账里",IF($F285="※材料类别没选","※材料类别没选",IF(AND($C285&lt;&gt;"",ISNA(MATCH($C285,供应商表,0))),"※供应商不在基础资料里",""))))</f>
        <v/>
      </c>
    </row>
    <row r="286">
      <c r="A286" s="17">
        <f>IF($D286="","",ROW()-3)</f>
        <v/>
      </c>
      <c r="B286" s="18" t="n"/>
      <c r="C286" s="13" t="n"/>
      <c r="D286" s="13" t="n"/>
      <c r="E286" s="13" t="n"/>
      <c r="F286" s="17">
        <f>IF($D286="","",IFERROR(VLOOKUP($E286,材料归属,2,0),"※材料类别没选"))</f>
        <v/>
      </c>
      <c r="G286" s="13" t="n"/>
      <c r="H286" s="13" t="n"/>
      <c r="I286" s="13" t="n"/>
      <c r="J286" s="20" t="n"/>
      <c r="K286" s="14" t="n"/>
      <c r="L286" s="19">
        <f>IF($D286="","",ROUND(IF($J286="",1,$J286)*N($K286),2))</f>
        <v/>
      </c>
      <c r="M286" s="13" t="n"/>
      <c r="N286" s="17">
        <f>IF($D286="","",IF(ISNA(MATCH($D286,项目名表,0)),"※项目不在项目台账里",IF($F286="※材料类别没选","※材料类别没选",IF(AND($C286&lt;&gt;"",ISNA(MATCH($C286,供应商表,0))),"※供应商不在基础资料里",""))))</f>
        <v/>
      </c>
    </row>
    <row r="287">
      <c r="A287" s="17">
        <f>IF($D287="","",ROW()-3)</f>
        <v/>
      </c>
      <c r="B287" s="18" t="n"/>
      <c r="C287" s="13" t="n"/>
      <c r="D287" s="13" t="n"/>
      <c r="E287" s="13" t="n"/>
      <c r="F287" s="17">
        <f>IF($D287="","",IFERROR(VLOOKUP($E287,材料归属,2,0),"※材料类别没选"))</f>
        <v/>
      </c>
      <c r="G287" s="13" t="n"/>
      <c r="H287" s="13" t="n"/>
      <c r="I287" s="13" t="n"/>
      <c r="J287" s="20" t="n"/>
      <c r="K287" s="14" t="n"/>
      <c r="L287" s="19">
        <f>IF($D287="","",ROUND(IF($J287="",1,$J287)*N($K287),2))</f>
        <v/>
      </c>
      <c r="M287" s="13" t="n"/>
      <c r="N287" s="17">
        <f>IF($D287="","",IF(ISNA(MATCH($D287,项目名表,0)),"※项目不在项目台账里",IF($F287="※材料类别没选","※材料类别没选",IF(AND($C287&lt;&gt;"",ISNA(MATCH($C287,供应商表,0))),"※供应商不在基础资料里",""))))</f>
        <v/>
      </c>
    </row>
    <row r="288">
      <c r="A288" s="17">
        <f>IF($D288="","",ROW()-3)</f>
        <v/>
      </c>
      <c r="B288" s="18" t="n"/>
      <c r="C288" s="13" t="n"/>
      <c r="D288" s="13" t="n"/>
      <c r="E288" s="13" t="n"/>
      <c r="F288" s="17">
        <f>IF($D288="","",IFERROR(VLOOKUP($E288,材料归属,2,0),"※材料类别没选"))</f>
        <v/>
      </c>
      <c r="G288" s="13" t="n"/>
      <c r="H288" s="13" t="n"/>
      <c r="I288" s="13" t="n"/>
      <c r="J288" s="20" t="n"/>
      <c r="K288" s="14" t="n"/>
      <c r="L288" s="19">
        <f>IF($D288="","",ROUND(IF($J288="",1,$J288)*N($K288),2))</f>
        <v/>
      </c>
      <c r="M288" s="13" t="n"/>
      <c r="N288" s="17">
        <f>IF($D288="","",IF(ISNA(MATCH($D288,项目名表,0)),"※项目不在项目台账里",IF($F288="※材料类别没选","※材料类别没选",IF(AND($C288&lt;&gt;"",ISNA(MATCH($C288,供应商表,0))),"※供应商不在基础资料里",""))))</f>
        <v/>
      </c>
    </row>
    <row r="289">
      <c r="A289" s="17">
        <f>IF($D289="","",ROW()-3)</f>
        <v/>
      </c>
      <c r="B289" s="18" t="n"/>
      <c r="C289" s="13" t="n"/>
      <c r="D289" s="13" t="n"/>
      <c r="E289" s="13" t="n"/>
      <c r="F289" s="17">
        <f>IF($D289="","",IFERROR(VLOOKUP($E289,材料归属,2,0),"※材料类别没选"))</f>
        <v/>
      </c>
      <c r="G289" s="13" t="n"/>
      <c r="H289" s="13" t="n"/>
      <c r="I289" s="13" t="n"/>
      <c r="J289" s="20" t="n"/>
      <c r="K289" s="14" t="n"/>
      <c r="L289" s="19">
        <f>IF($D289="","",ROUND(IF($J289="",1,$J289)*N($K289),2))</f>
        <v/>
      </c>
      <c r="M289" s="13" t="n"/>
      <c r="N289" s="17">
        <f>IF($D289="","",IF(ISNA(MATCH($D289,项目名表,0)),"※项目不在项目台账里",IF($F289="※材料类别没选","※材料类别没选",IF(AND($C289&lt;&gt;"",ISNA(MATCH($C289,供应商表,0))),"※供应商不在基础资料里",""))))</f>
        <v/>
      </c>
    </row>
    <row r="290">
      <c r="A290" s="17">
        <f>IF($D290="","",ROW()-3)</f>
        <v/>
      </c>
      <c r="B290" s="18" t="n"/>
      <c r="C290" s="13" t="n"/>
      <c r="D290" s="13" t="n"/>
      <c r="E290" s="13" t="n"/>
      <c r="F290" s="17">
        <f>IF($D290="","",IFERROR(VLOOKUP($E290,材料归属,2,0),"※材料类别没选"))</f>
        <v/>
      </c>
      <c r="G290" s="13" t="n"/>
      <c r="H290" s="13" t="n"/>
      <c r="I290" s="13" t="n"/>
      <c r="J290" s="20" t="n"/>
      <c r="K290" s="14" t="n"/>
      <c r="L290" s="19">
        <f>IF($D290="","",ROUND(IF($J290="",1,$J290)*N($K290),2))</f>
        <v/>
      </c>
      <c r="M290" s="13" t="n"/>
      <c r="N290" s="17">
        <f>IF($D290="","",IF(ISNA(MATCH($D290,项目名表,0)),"※项目不在项目台账里",IF($F290="※材料类别没选","※材料类别没选",IF(AND($C290&lt;&gt;"",ISNA(MATCH($C290,供应商表,0))),"※供应商不在基础资料里",""))))</f>
        <v/>
      </c>
    </row>
    <row r="291">
      <c r="A291" s="17">
        <f>IF($D291="","",ROW()-3)</f>
        <v/>
      </c>
      <c r="B291" s="18" t="n"/>
      <c r="C291" s="13" t="n"/>
      <c r="D291" s="13" t="n"/>
      <c r="E291" s="13" t="n"/>
      <c r="F291" s="17">
        <f>IF($D291="","",IFERROR(VLOOKUP($E291,材料归属,2,0),"※材料类别没选"))</f>
        <v/>
      </c>
      <c r="G291" s="13" t="n"/>
      <c r="H291" s="13" t="n"/>
      <c r="I291" s="13" t="n"/>
      <c r="J291" s="20" t="n"/>
      <c r="K291" s="14" t="n"/>
      <c r="L291" s="19">
        <f>IF($D291="","",ROUND(IF($J291="",1,$J291)*N($K291),2))</f>
        <v/>
      </c>
      <c r="M291" s="13" t="n"/>
      <c r="N291" s="17">
        <f>IF($D291="","",IF(ISNA(MATCH($D291,项目名表,0)),"※项目不在项目台账里",IF($F291="※材料类别没选","※材料类别没选",IF(AND($C291&lt;&gt;"",ISNA(MATCH($C291,供应商表,0))),"※供应商不在基础资料里",""))))</f>
        <v/>
      </c>
    </row>
    <row r="292">
      <c r="A292" s="17">
        <f>IF($D292="","",ROW()-3)</f>
        <v/>
      </c>
      <c r="B292" s="18" t="n"/>
      <c r="C292" s="13" t="n"/>
      <c r="D292" s="13" t="n"/>
      <c r="E292" s="13" t="n"/>
      <c r="F292" s="17">
        <f>IF($D292="","",IFERROR(VLOOKUP($E292,材料归属,2,0),"※材料类别没选"))</f>
        <v/>
      </c>
      <c r="G292" s="13" t="n"/>
      <c r="H292" s="13" t="n"/>
      <c r="I292" s="13" t="n"/>
      <c r="J292" s="20" t="n"/>
      <c r="K292" s="14" t="n"/>
      <c r="L292" s="19">
        <f>IF($D292="","",ROUND(IF($J292="",1,$J292)*N($K292),2))</f>
        <v/>
      </c>
      <c r="M292" s="13" t="n"/>
      <c r="N292" s="17">
        <f>IF($D292="","",IF(ISNA(MATCH($D292,项目名表,0)),"※项目不在项目台账里",IF($F292="※材料类别没选","※材料类别没选",IF(AND($C292&lt;&gt;"",ISNA(MATCH($C292,供应商表,0))),"※供应商不在基础资料里",""))))</f>
        <v/>
      </c>
    </row>
    <row r="293">
      <c r="A293" s="17">
        <f>IF($D293="","",ROW()-3)</f>
        <v/>
      </c>
      <c r="B293" s="18" t="n"/>
      <c r="C293" s="13" t="n"/>
      <c r="D293" s="13" t="n"/>
      <c r="E293" s="13" t="n"/>
      <c r="F293" s="17">
        <f>IF($D293="","",IFERROR(VLOOKUP($E293,材料归属,2,0),"※材料类别没选"))</f>
        <v/>
      </c>
      <c r="G293" s="13" t="n"/>
      <c r="H293" s="13" t="n"/>
      <c r="I293" s="13" t="n"/>
      <c r="J293" s="20" t="n"/>
      <c r="K293" s="14" t="n"/>
      <c r="L293" s="19">
        <f>IF($D293="","",ROUND(IF($J293="",1,$J293)*N($K293),2))</f>
        <v/>
      </c>
      <c r="M293" s="13" t="n"/>
      <c r="N293" s="17">
        <f>IF($D293="","",IF(ISNA(MATCH($D293,项目名表,0)),"※项目不在项目台账里",IF($F293="※材料类别没选","※材料类别没选",IF(AND($C293&lt;&gt;"",ISNA(MATCH($C293,供应商表,0))),"※供应商不在基础资料里",""))))</f>
        <v/>
      </c>
    </row>
    <row r="294">
      <c r="A294" s="17">
        <f>IF($D294="","",ROW()-3)</f>
        <v/>
      </c>
      <c r="B294" s="18" t="n"/>
      <c r="C294" s="13" t="n"/>
      <c r="D294" s="13" t="n"/>
      <c r="E294" s="13" t="n"/>
      <c r="F294" s="17">
        <f>IF($D294="","",IFERROR(VLOOKUP($E294,材料归属,2,0),"※材料类别没选"))</f>
        <v/>
      </c>
      <c r="G294" s="13" t="n"/>
      <c r="H294" s="13" t="n"/>
      <c r="I294" s="13" t="n"/>
      <c r="J294" s="20" t="n"/>
      <c r="K294" s="14" t="n"/>
      <c r="L294" s="19">
        <f>IF($D294="","",ROUND(IF($J294="",1,$J294)*N($K294),2))</f>
        <v/>
      </c>
      <c r="M294" s="13" t="n"/>
      <c r="N294" s="17">
        <f>IF($D294="","",IF(ISNA(MATCH($D294,项目名表,0)),"※项目不在项目台账里",IF($F294="※材料类别没选","※材料类别没选",IF(AND($C294&lt;&gt;"",ISNA(MATCH($C294,供应商表,0))),"※供应商不在基础资料里",""))))</f>
        <v/>
      </c>
    </row>
    <row r="295">
      <c r="A295" s="17">
        <f>IF($D295="","",ROW()-3)</f>
        <v/>
      </c>
      <c r="B295" s="18" t="n"/>
      <c r="C295" s="13" t="n"/>
      <c r="D295" s="13" t="n"/>
      <c r="E295" s="13" t="n"/>
      <c r="F295" s="17">
        <f>IF($D295="","",IFERROR(VLOOKUP($E295,材料归属,2,0),"※材料类别没选"))</f>
        <v/>
      </c>
      <c r="G295" s="13" t="n"/>
      <c r="H295" s="13" t="n"/>
      <c r="I295" s="13" t="n"/>
      <c r="J295" s="20" t="n"/>
      <c r="K295" s="14" t="n"/>
      <c r="L295" s="19">
        <f>IF($D295="","",ROUND(IF($J295="",1,$J295)*N($K295),2))</f>
        <v/>
      </c>
      <c r="M295" s="13" t="n"/>
      <c r="N295" s="17">
        <f>IF($D295="","",IF(ISNA(MATCH($D295,项目名表,0)),"※项目不在项目台账里",IF($F295="※材料类别没选","※材料类别没选",IF(AND($C295&lt;&gt;"",ISNA(MATCH($C295,供应商表,0))),"※供应商不在基础资料里",""))))</f>
        <v/>
      </c>
    </row>
    <row r="296">
      <c r="A296" s="17">
        <f>IF($D296="","",ROW()-3)</f>
        <v/>
      </c>
      <c r="B296" s="18" t="n"/>
      <c r="C296" s="13" t="n"/>
      <c r="D296" s="13" t="n"/>
      <c r="E296" s="13" t="n"/>
      <c r="F296" s="17">
        <f>IF($D296="","",IFERROR(VLOOKUP($E296,材料归属,2,0),"※材料类别没选"))</f>
        <v/>
      </c>
      <c r="G296" s="13" t="n"/>
      <c r="H296" s="13" t="n"/>
      <c r="I296" s="13" t="n"/>
      <c r="J296" s="20" t="n"/>
      <c r="K296" s="14" t="n"/>
      <c r="L296" s="19">
        <f>IF($D296="","",ROUND(IF($J296="",1,$J296)*N($K296),2))</f>
        <v/>
      </c>
      <c r="M296" s="13" t="n"/>
      <c r="N296" s="17">
        <f>IF($D296="","",IF(ISNA(MATCH($D296,项目名表,0)),"※项目不在项目台账里",IF($F296="※材料类别没选","※材料类别没选",IF(AND($C296&lt;&gt;"",ISNA(MATCH($C296,供应商表,0))),"※供应商不在基础资料里",""))))</f>
        <v/>
      </c>
    </row>
    <row r="297">
      <c r="A297" s="17">
        <f>IF($D297="","",ROW()-3)</f>
        <v/>
      </c>
      <c r="B297" s="18" t="n"/>
      <c r="C297" s="13" t="n"/>
      <c r="D297" s="13" t="n"/>
      <c r="E297" s="13" t="n"/>
      <c r="F297" s="17">
        <f>IF($D297="","",IFERROR(VLOOKUP($E297,材料归属,2,0),"※材料类别没选"))</f>
        <v/>
      </c>
      <c r="G297" s="13" t="n"/>
      <c r="H297" s="13" t="n"/>
      <c r="I297" s="13" t="n"/>
      <c r="J297" s="20" t="n"/>
      <c r="K297" s="14" t="n"/>
      <c r="L297" s="19">
        <f>IF($D297="","",ROUND(IF($J297="",1,$J297)*N($K297),2))</f>
        <v/>
      </c>
      <c r="M297" s="13" t="n"/>
      <c r="N297" s="17">
        <f>IF($D297="","",IF(ISNA(MATCH($D297,项目名表,0)),"※项目不在项目台账里",IF($F297="※材料类别没选","※材料类别没选",IF(AND($C297&lt;&gt;"",ISNA(MATCH($C297,供应商表,0))),"※供应商不在基础资料里",""))))</f>
        <v/>
      </c>
    </row>
    <row r="298">
      <c r="A298" s="17">
        <f>IF($D298="","",ROW()-3)</f>
        <v/>
      </c>
      <c r="B298" s="18" t="n"/>
      <c r="C298" s="13" t="n"/>
      <c r="D298" s="13" t="n"/>
      <c r="E298" s="13" t="n"/>
      <c r="F298" s="17">
        <f>IF($D298="","",IFERROR(VLOOKUP($E298,材料归属,2,0),"※材料类别没选"))</f>
        <v/>
      </c>
      <c r="G298" s="13" t="n"/>
      <c r="H298" s="13" t="n"/>
      <c r="I298" s="13" t="n"/>
      <c r="J298" s="20" t="n"/>
      <c r="K298" s="14" t="n"/>
      <c r="L298" s="19">
        <f>IF($D298="","",ROUND(IF($J298="",1,$J298)*N($K298),2))</f>
        <v/>
      </c>
      <c r="M298" s="13" t="n"/>
      <c r="N298" s="17">
        <f>IF($D298="","",IF(ISNA(MATCH($D298,项目名表,0)),"※项目不在项目台账里",IF($F298="※材料类别没选","※材料类别没选",IF(AND($C298&lt;&gt;"",ISNA(MATCH($C298,供应商表,0))),"※供应商不在基础资料里",""))))</f>
        <v/>
      </c>
    </row>
    <row r="299">
      <c r="A299" s="17">
        <f>IF($D299="","",ROW()-3)</f>
        <v/>
      </c>
      <c r="B299" s="18" t="n"/>
      <c r="C299" s="13" t="n"/>
      <c r="D299" s="13" t="n"/>
      <c r="E299" s="13" t="n"/>
      <c r="F299" s="17">
        <f>IF($D299="","",IFERROR(VLOOKUP($E299,材料归属,2,0),"※材料类别没选"))</f>
        <v/>
      </c>
      <c r="G299" s="13" t="n"/>
      <c r="H299" s="13" t="n"/>
      <c r="I299" s="13" t="n"/>
      <c r="J299" s="20" t="n"/>
      <c r="K299" s="14" t="n"/>
      <c r="L299" s="19">
        <f>IF($D299="","",ROUND(IF($J299="",1,$J299)*N($K299),2))</f>
        <v/>
      </c>
      <c r="M299" s="13" t="n"/>
      <c r="N299" s="17">
        <f>IF($D299="","",IF(ISNA(MATCH($D299,项目名表,0)),"※项目不在项目台账里",IF($F299="※材料类别没选","※材料类别没选",IF(AND($C299&lt;&gt;"",ISNA(MATCH($C299,供应商表,0))),"※供应商不在基础资料里",""))))</f>
        <v/>
      </c>
    </row>
    <row r="300">
      <c r="A300" s="17">
        <f>IF($D300="","",ROW()-3)</f>
        <v/>
      </c>
      <c r="B300" s="18" t="n"/>
      <c r="C300" s="13" t="n"/>
      <c r="D300" s="13" t="n"/>
      <c r="E300" s="13" t="n"/>
      <c r="F300" s="17">
        <f>IF($D300="","",IFERROR(VLOOKUP($E300,材料归属,2,0),"※材料类别没选"))</f>
        <v/>
      </c>
      <c r="G300" s="13" t="n"/>
      <c r="H300" s="13" t="n"/>
      <c r="I300" s="13" t="n"/>
      <c r="J300" s="20" t="n"/>
      <c r="K300" s="14" t="n"/>
      <c r="L300" s="19">
        <f>IF($D300="","",ROUND(IF($J300="",1,$J300)*N($K300),2))</f>
        <v/>
      </c>
      <c r="M300" s="13" t="n"/>
      <c r="N300" s="17">
        <f>IF($D300="","",IF(ISNA(MATCH($D300,项目名表,0)),"※项目不在项目台账里",IF($F300="※材料类别没选","※材料类别没选",IF(AND($C300&lt;&gt;"",ISNA(MATCH($C300,供应商表,0))),"※供应商不在基础资料里",""))))</f>
        <v/>
      </c>
    </row>
    <row r="301">
      <c r="A301" s="17">
        <f>IF($D301="","",ROW()-3)</f>
        <v/>
      </c>
      <c r="B301" s="18" t="n"/>
      <c r="C301" s="13" t="n"/>
      <c r="D301" s="13" t="n"/>
      <c r="E301" s="13" t="n"/>
      <c r="F301" s="17">
        <f>IF($D301="","",IFERROR(VLOOKUP($E301,材料归属,2,0),"※材料类别没选"))</f>
        <v/>
      </c>
      <c r="G301" s="13" t="n"/>
      <c r="H301" s="13" t="n"/>
      <c r="I301" s="13" t="n"/>
      <c r="J301" s="20" t="n"/>
      <c r="K301" s="14" t="n"/>
      <c r="L301" s="19">
        <f>IF($D301="","",ROUND(IF($J301="",1,$J301)*N($K301),2))</f>
        <v/>
      </c>
      <c r="M301" s="13" t="n"/>
      <c r="N301" s="17">
        <f>IF($D301="","",IF(ISNA(MATCH($D301,项目名表,0)),"※项目不在项目台账里",IF($F301="※材料类别没选","※材料类别没选",IF(AND($C301&lt;&gt;"",ISNA(MATCH($C301,供应商表,0))),"※供应商不在基础资料里",""))))</f>
        <v/>
      </c>
    </row>
    <row r="302">
      <c r="A302" s="17">
        <f>IF($D302="","",ROW()-3)</f>
        <v/>
      </c>
      <c r="B302" s="18" t="n"/>
      <c r="C302" s="13" t="n"/>
      <c r="D302" s="13" t="n"/>
      <c r="E302" s="13" t="n"/>
      <c r="F302" s="17">
        <f>IF($D302="","",IFERROR(VLOOKUP($E302,材料归属,2,0),"※材料类别没选"))</f>
        <v/>
      </c>
      <c r="G302" s="13" t="n"/>
      <c r="H302" s="13" t="n"/>
      <c r="I302" s="13" t="n"/>
      <c r="J302" s="20" t="n"/>
      <c r="K302" s="14" t="n"/>
      <c r="L302" s="19">
        <f>IF($D302="","",ROUND(IF($J302="",1,$J302)*N($K302),2))</f>
        <v/>
      </c>
      <c r="M302" s="13" t="n"/>
      <c r="N302" s="17">
        <f>IF($D302="","",IF(ISNA(MATCH($D302,项目名表,0)),"※项目不在项目台账里",IF($F302="※材料类别没选","※材料类别没选",IF(AND($C302&lt;&gt;"",ISNA(MATCH($C302,供应商表,0))),"※供应商不在基础资料里",""))))</f>
        <v/>
      </c>
    </row>
    <row r="303">
      <c r="A303" s="17">
        <f>IF($D303="","",ROW()-3)</f>
        <v/>
      </c>
      <c r="B303" s="18" t="n"/>
      <c r="C303" s="13" t="n"/>
      <c r="D303" s="13" t="n"/>
      <c r="E303" s="13" t="n"/>
      <c r="F303" s="17">
        <f>IF($D303="","",IFERROR(VLOOKUP($E303,材料归属,2,0),"※材料类别没选"))</f>
        <v/>
      </c>
      <c r="G303" s="13" t="n"/>
      <c r="H303" s="13" t="n"/>
      <c r="I303" s="13" t="n"/>
      <c r="J303" s="20" t="n"/>
      <c r="K303" s="14" t="n"/>
      <c r="L303" s="19">
        <f>IF($D303="","",ROUND(IF($J303="",1,$J303)*N($K303),2))</f>
        <v/>
      </c>
      <c r="M303" s="13" t="n"/>
      <c r="N303" s="17">
        <f>IF($D303="","",IF(ISNA(MATCH($D303,项目名表,0)),"※项目不在项目台账里",IF($F303="※材料类别没选","※材料类别没选",IF(AND($C303&lt;&gt;"",ISNA(MATCH($C303,供应商表,0))),"※供应商不在基础资料里",""))))</f>
        <v/>
      </c>
    </row>
    <row r="304">
      <c r="A304" s="17">
        <f>IF($D304="","",ROW()-3)</f>
        <v/>
      </c>
      <c r="B304" s="18" t="n"/>
      <c r="C304" s="13" t="n"/>
      <c r="D304" s="13" t="n"/>
      <c r="E304" s="13" t="n"/>
      <c r="F304" s="17">
        <f>IF($D304="","",IFERROR(VLOOKUP($E304,材料归属,2,0),"※材料类别没选"))</f>
        <v/>
      </c>
      <c r="G304" s="13" t="n"/>
      <c r="H304" s="13" t="n"/>
      <c r="I304" s="13" t="n"/>
      <c r="J304" s="20" t="n"/>
      <c r="K304" s="14" t="n"/>
      <c r="L304" s="19">
        <f>IF($D304="","",ROUND(IF($J304="",1,$J304)*N($K304),2))</f>
        <v/>
      </c>
      <c r="M304" s="13" t="n"/>
      <c r="N304" s="17">
        <f>IF($D304="","",IF(ISNA(MATCH($D304,项目名表,0)),"※项目不在项目台账里",IF($F304="※材料类别没选","※材料类别没选",IF(AND($C304&lt;&gt;"",ISNA(MATCH($C304,供应商表,0))),"※供应商不在基础资料里",""))))</f>
        <v/>
      </c>
    </row>
    <row r="305">
      <c r="A305" s="17">
        <f>IF($D305="","",ROW()-3)</f>
        <v/>
      </c>
      <c r="B305" s="18" t="n"/>
      <c r="C305" s="13" t="n"/>
      <c r="D305" s="13" t="n"/>
      <c r="E305" s="13" t="n"/>
      <c r="F305" s="17">
        <f>IF($D305="","",IFERROR(VLOOKUP($E305,材料归属,2,0),"※材料类别没选"))</f>
        <v/>
      </c>
      <c r="G305" s="13" t="n"/>
      <c r="H305" s="13" t="n"/>
      <c r="I305" s="13" t="n"/>
      <c r="J305" s="20" t="n"/>
      <c r="K305" s="14" t="n"/>
      <c r="L305" s="19">
        <f>IF($D305="","",ROUND(IF($J305="",1,$J305)*N($K305),2))</f>
        <v/>
      </c>
      <c r="M305" s="13" t="n"/>
      <c r="N305" s="17">
        <f>IF($D305="","",IF(ISNA(MATCH($D305,项目名表,0)),"※项目不在项目台账里",IF($F305="※材料类别没选","※材料类别没选",IF(AND($C305&lt;&gt;"",ISNA(MATCH($C305,供应商表,0))),"※供应商不在基础资料里",""))))</f>
        <v/>
      </c>
    </row>
    <row r="306">
      <c r="A306" s="17">
        <f>IF($D306="","",ROW()-3)</f>
        <v/>
      </c>
      <c r="B306" s="18" t="n"/>
      <c r="C306" s="13" t="n"/>
      <c r="D306" s="13" t="n"/>
      <c r="E306" s="13" t="n"/>
      <c r="F306" s="17">
        <f>IF($D306="","",IFERROR(VLOOKUP($E306,材料归属,2,0),"※材料类别没选"))</f>
        <v/>
      </c>
      <c r="G306" s="13" t="n"/>
      <c r="H306" s="13" t="n"/>
      <c r="I306" s="13" t="n"/>
      <c r="J306" s="20" t="n"/>
      <c r="K306" s="14" t="n"/>
      <c r="L306" s="19">
        <f>IF($D306="","",ROUND(IF($J306="",1,$J306)*N($K306),2))</f>
        <v/>
      </c>
      <c r="M306" s="13" t="n"/>
      <c r="N306" s="17">
        <f>IF($D306="","",IF(ISNA(MATCH($D306,项目名表,0)),"※项目不在项目台账里",IF($F306="※材料类别没选","※材料类别没选",IF(AND($C306&lt;&gt;"",ISNA(MATCH($C306,供应商表,0))),"※供应商不在基础资料里",""))))</f>
        <v/>
      </c>
    </row>
    <row r="307">
      <c r="A307" s="17">
        <f>IF($D307="","",ROW()-3)</f>
        <v/>
      </c>
      <c r="B307" s="18" t="n"/>
      <c r="C307" s="13" t="n"/>
      <c r="D307" s="13" t="n"/>
      <c r="E307" s="13" t="n"/>
      <c r="F307" s="17">
        <f>IF($D307="","",IFERROR(VLOOKUP($E307,材料归属,2,0),"※材料类别没选"))</f>
        <v/>
      </c>
      <c r="G307" s="13" t="n"/>
      <c r="H307" s="13" t="n"/>
      <c r="I307" s="13" t="n"/>
      <c r="J307" s="20" t="n"/>
      <c r="K307" s="14" t="n"/>
      <c r="L307" s="19">
        <f>IF($D307="","",ROUND(IF($J307="",1,$J307)*N($K307),2))</f>
        <v/>
      </c>
      <c r="M307" s="13" t="n"/>
      <c r="N307" s="17">
        <f>IF($D307="","",IF(ISNA(MATCH($D307,项目名表,0)),"※项目不在项目台账里",IF($F307="※材料类别没选","※材料类别没选",IF(AND($C307&lt;&gt;"",ISNA(MATCH($C307,供应商表,0))),"※供应商不在基础资料里",""))))</f>
        <v/>
      </c>
    </row>
    <row r="308">
      <c r="A308" s="17">
        <f>IF($D308="","",ROW()-3)</f>
        <v/>
      </c>
      <c r="B308" s="18" t="n"/>
      <c r="C308" s="13" t="n"/>
      <c r="D308" s="13" t="n"/>
      <c r="E308" s="13" t="n"/>
      <c r="F308" s="17">
        <f>IF($D308="","",IFERROR(VLOOKUP($E308,材料归属,2,0),"※材料类别没选"))</f>
        <v/>
      </c>
      <c r="G308" s="13" t="n"/>
      <c r="H308" s="13" t="n"/>
      <c r="I308" s="13" t="n"/>
      <c r="J308" s="20" t="n"/>
      <c r="K308" s="14" t="n"/>
      <c r="L308" s="19">
        <f>IF($D308="","",ROUND(IF($J308="",1,$J308)*N($K308),2))</f>
        <v/>
      </c>
      <c r="M308" s="13" t="n"/>
      <c r="N308" s="17">
        <f>IF($D308="","",IF(ISNA(MATCH($D308,项目名表,0)),"※项目不在项目台账里",IF($F308="※材料类别没选","※材料类别没选",IF(AND($C308&lt;&gt;"",ISNA(MATCH($C308,供应商表,0))),"※供应商不在基础资料里",""))))</f>
        <v/>
      </c>
    </row>
    <row r="309">
      <c r="A309" s="17">
        <f>IF($D309="","",ROW()-3)</f>
        <v/>
      </c>
      <c r="B309" s="18" t="n"/>
      <c r="C309" s="13" t="n"/>
      <c r="D309" s="13" t="n"/>
      <c r="E309" s="13" t="n"/>
      <c r="F309" s="17">
        <f>IF($D309="","",IFERROR(VLOOKUP($E309,材料归属,2,0),"※材料类别没选"))</f>
        <v/>
      </c>
      <c r="G309" s="13" t="n"/>
      <c r="H309" s="13" t="n"/>
      <c r="I309" s="13" t="n"/>
      <c r="J309" s="20" t="n"/>
      <c r="K309" s="14" t="n"/>
      <c r="L309" s="19">
        <f>IF($D309="","",ROUND(IF($J309="",1,$J309)*N($K309),2))</f>
        <v/>
      </c>
      <c r="M309" s="13" t="n"/>
      <c r="N309" s="17">
        <f>IF($D309="","",IF(ISNA(MATCH($D309,项目名表,0)),"※项目不在项目台账里",IF($F309="※材料类别没选","※材料类别没选",IF(AND($C309&lt;&gt;"",ISNA(MATCH($C309,供应商表,0))),"※供应商不在基础资料里",""))))</f>
        <v/>
      </c>
    </row>
    <row r="310">
      <c r="A310" s="17">
        <f>IF($D310="","",ROW()-3)</f>
        <v/>
      </c>
      <c r="B310" s="18" t="n"/>
      <c r="C310" s="13" t="n"/>
      <c r="D310" s="13" t="n"/>
      <c r="E310" s="13" t="n"/>
      <c r="F310" s="17">
        <f>IF($D310="","",IFERROR(VLOOKUP($E310,材料归属,2,0),"※材料类别没选"))</f>
        <v/>
      </c>
      <c r="G310" s="13" t="n"/>
      <c r="H310" s="13" t="n"/>
      <c r="I310" s="13" t="n"/>
      <c r="J310" s="20" t="n"/>
      <c r="K310" s="14" t="n"/>
      <c r="L310" s="19">
        <f>IF($D310="","",ROUND(IF($J310="",1,$J310)*N($K310),2))</f>
        <v/>
      </c>
      <c r="M310" s="13" t="n"/>
      <c r="N310" s="17">
        <f>IF($D310="","",IF(ISNA(MATCH($D310,项目名表,0)),"※项目不在项目台账里",IF($F310="※材料类别没选","※材料类别没选",IF(AND($C310&lt;&gt;"",ISNA(MATCH($C310,供应商表,0))),"※供应商不在基础资料里",""))))</f>
        <v/>
      </c>
    </row>
    <row r="311">
      <c r="A311" s="17">
        <f>IF($D311="","",ROW()-3)</f>
        <v/>
      </c>
      <c r="B311" s="18" t="n"/>
      <c r="C311" s="13" t="n"/>
      <c r="D311" s="13" t="n"/>
      <c r="E311" s="13" t="n"/>
      <c r="F311" s="17">
        <f>IF($D311="","",IFERROR(VLOOKUP($E311,材料归属,2,0),"※材料类别没选"))</f>
        <v/>
      </c>
      <c r="G311" s="13" t="n"/>
      <c r="H311" s="13" t="n"/>
      <c r="I311" s="13" t="n"/>
      <c r="J311" s="20" t="n"/>
      <c r="K311" s="14" t="n"/>
      <c r="L311" s="19">
        <f>IF($D311="","",ROUND(IF($J311="",1,$J311)*N($K311),2))</f>
        <v/>
      </c>
      <c r="M311" s="13" t="n"/>
      <c r="N311" s="17">
        <f>IF($D311="","",IF(ISNA(MATCH($D311,项目名表,0)),"※项目不在项目台账里",IF($F311="※材料类别没选","※材料类别没选",IF(AND($C311&lt;&gt;"",ISNA(MATCH($C311,供应商表,0))),"※供应商不在基础资料里",""))))</f>
        <v/>
      </c>
    </row>
    <row r="312">
      <c r="A312" s="17">
        <f>IF($D312="","",ROW()-3)</f>
        <v/>
      </c>
      <c r="B312" s="18" t="n"/>
      <c r="C312" s="13" t="n"/>
      <c r="D312" s="13" t="n"/>
      <c r="E312" s="13" t="n"/>
      <c r="F312" s="17">
        <f>IF($D312="","",IFERROR(VLOOKUP($E312,材料归属,2,0),"※材料类别没选"))</f>
        <v/>
      </c>
      <c r="G312" s="13" t="n"/>
      <c r="H312" s="13" t="n"/>
      <c r="I312" s="13" t="n"/>
      <c r="J312" s="20" t="n"/>
      <c r="K312" s="14" t="n"/>
      <c r="L312" s="19">
        <f>IF($D312="","",ROUND(IF($J312="",1,$J312)*N($K312),2))</f>
        <v/>
      </c>
      <c r="M312" s="13" t="n"/>
      <c r="N312" s="17">
        <f>IF($D312="","",IF(ISNA(MATCH($D312,项目名表,0)),"※项目不在项目台账里",IF($F312="※材料类别没选","※材料类别没选",IF(AND($C312&lt;&gt;"",ISNA(MATCH($C312,供应商表,0))),"※供应商不在基础资料里",""))))</f>
        <v/>
      </c>
    </row>
    <row r="313">
      <c r="A313" s="17">
        <f>IF($D313="","",ROW()-3)</f>
        <v/>
      </c>
      <c r="B313" s="18" t="n"/>
      <c r="C313" s="13" t="n"/>
      <c r="D313" s="13" t="n"/>
      <c r="E313" s="13" t="n"/>
      <c r="F313" s="17">
        <f>IF($D313="","",IFERROR(VLOOKUP($E313,材料归属,2,0),"※材料类别没选"))</f>
        <v/>
      </c>
      <c r="G313" s="13" t="n"/>
      <c r="H313" s="13" t="n"/>
      <c r="I313" s="13" t="n"/>
      <c r="J313" s="20" t="n"/>
      <c r="K313" s="14" t="n"/>
      <c r="L313" s="19">
        <f>IF($D313="","",ROUND(IF($J313="",1,$J313)*N($K313),2))</f>
        <v/>
      </c>
      <c r="M313" s="13" t="n"/>
      <c r="N313" s="17">
        <f>IF($D313="","",IF(ISNA(MATCH($D313,项目名表,0)),"※项目不在项目台账里",IF($F313="※材料类别没选","※材料类别没选",IF(AND($C313&lt;&gt;"",ISNA(MATCH($C313,供应商表,0))),"※供应商不在基础资料里",""))))</f>
        <v/>
      </c>
    </row>
    <row r="314">
      <c r="A314" s="17">
        <f>IF($D314="","",ROW()-3)</f>
        <v/>
      </c>
      <c r="B314" s="18" t="n"/>
      <c r="C314" s="13" t="n"/>
      <c r="D314" s="13" t="n"/>
      <c r="E314" s="13" t="n"/>
      <c r="F314" s="17">
        <f>IF($D314="","",IFERROR(VLOOKUP($E314,材料归属,2,0),"※材料类别没选"))</f>
        <v/>
      </c>
      <c r="G314" s="13" t="n"/>
      <c r="H314" s="13" t="n"/>
      <c r="I314" s="13" t="n"/>
      <c r="J314" s="20" t="n"/>
      <c r="K314" s="14" t="n"/>
      <c r="L314" s="19">
        <f>IF($D314="","",ROUND(IF($J314="",1,$J314)*N($K314),2))</f>
        <v/>
      </c>
      <c r="M314" s="13" t="n"/>
      <c r="N314" s="17">
        <f>IF($D314="","",IF(ISNA(MATCH($D314,项目名表,0)),"※项目不在项目台账里",IF($F314="※材料类别没选","※材料类别没选",IF(AND($C314&lt;&gt;"",ISNA(MATCH($C314,供应商表,0))),"※供应商不在基础资料里",""))))</f>
        <v/>
      </c>
    </row>
    <row r="315">
      <c r="A315" s="17">
        <f>IF($D315="","",ROW()-3)</f>
        <v/>
      </c>
      <c r="B315" s="18" t="n"/>
      <c r="C315" s="13" t="n"/>
      <c r="D315" s="13" t="n"/>
      <c r="E315" s="13" t="n"/>
      <c r="F315" s="17">
        <f>IF($D315="","",IFERROR(VLOOKUP($E315,材料归属,2,0),"※材料类别没选"))</f>
        <v/>
      </c>
      <c r="G315" s="13" t="n"/>
      <c r="H315" s="13" t="n"/>
      <c r="I315" s="13" t="n"/>
      <c r="J315" s="20" t="n"/>
      <c r="K315" s="14" t="n"/>
      <c r="L315" s="19">
        <f>IF($D315="","",ROUND(IF($J315="",1,$J315)*N($K315),2))</f>
        <v/>
      </c>
      <c r="M315" s="13" t="n"/>
      <c r="N315" s="17">
        <f>IF($D315="","",IF(ISNA(MATCH($D315,项目名表,0)),"※项目不在项目台账里",IF($F315="※材料类别没选","※材料类别没选",IF(AND($C315&lt;&gt;"",ISNA(MATCH($C315,供应商表,0))),"※供应商不在基础资料里",""))))</f>
        <v/>
      </c>
    </row>
    <row r="316">
      <c r="A316" s="17">
        <f>IF($D316="","",ROW()-3)</f>
        <v/>
      </c>
      <c r="B316" s="18" t="n"/>
      <c r="C316" s="13" t="n"/>
      <c r="D316" s="13" t="n"/>
      <c r="E316" s="13" t="n"/>
      <c r="F316" s="17">
        <f>IF($D316="","",IFERROR(VLOOKUP($E316,材料归属,2,0),"※材料类别没选"))</f>
        <v/>
      </c>
      <c r="G316" s="13" t="n"/>
      <c r="H316" s="13" t="n"/>
      <c r="I316" s="13" t="n"/>
      <c r="J316" s="20" t="n"/>
      <c r="K316" s="14" t="n"/>
      <c r="L316" s="19">
        <f>IF($D316="","",ROUND(IF($J316="",1,$J316)*N($K316),2))</f>
        <v/>
      </c>
      <c r="M316" s="13" t="n"/>
      <c r="N316" s="17">
        <f>IF($D316="","",IF(ISNA(MATCH($D316,项目名表,0)),"※项目不在项目台账里",IF($F316="※材料类别没选","※材料类别没选",IF(AND($C316&lt;&gt;"",ISNA(MATCH($C316,供应商表,0))),"※供应商不在基础资料里",""))))</f>
        <v/>
      </c>
    </row>
    <row r="317">
      <c r="A317" s="17">
        <f>IF($D317="","",ROW()-3)</f>
        <v/>
      </c>
      <c r="B317" s="18" t="n"/>
      <c r="C317" s="13" t="n"/>
      <c r="D317" s="13" t="n"/>
      <c r="E317" s="13" t="n"/>
      <c r="F317" s="17">
        <f>IF($D317="","",IFERROR(VLOOKUP($E317,材料归属,2,0),"※材料类别没选"))</f>
        <v/>
      </c>
      <c r="G317" s="13" t="n"/>
      <c r="H317" s="13" t="n"/>
      <c r="I317" s="13" t="n"/>
      <c r="J317" s="20" t="n"/>
      <c r="K317" s="14" t="n"/>
      <c r="L317" s="19">
        <f>IF($D317="","",ROUND(IF($J317="",1,$J317)*N($K317),2))</f>
        <v/>
      </c>
      <c r="M317" s="13" t="n"/>
      <c r="N317" s="17">
        <f>IF($D317="","",IF(ISNA(MATCH($D317,项目名表,0)),"※项目不在项目台账里",IF($F317="※材料类别没选","※材料类别没选",IF(AND($C317&lt;&gt;"",ISNA(MATCH($C317,供应商表,0))),"※供应商不在基础资料里",""))))</f>
        <v/>
      </c>
    </row>
    <row r="318">
      <c r="A318" s="17">
        <f>IF($D318="","",ROW()-3)</f>
        <v/>
      </c>
      <c r="B318" s="18" t="n"/>
      <c r="C318" s="13" t="n"/>
      <c r="D318" s="13" t="n"/>
      <c r="E318" s="13" t="n"/>
      <c r="F318" s="17">
        <f>IF($D318="","",IFERROR(VLOOKUP($E318,材料归属,2,0),"※材料类别没选"))</f>
        <v/>
      </c>
      <c r="G318" s="13" t="n"/>
      <c r="H318" s="13" t="n"/>
      <c r="I318" s="13" t="n"/>
      <c r="J318" s="20" t="n"/>
      <c r="K318" s="14" t="n"/>
      <c r="L318" s="19">
        <f>IF($D318="","",ROUND(IF($J318="",1,$J318)*N($K318),2))</f>
        <v/>
      </c>
      <c r="M318" s="13" t="n"/>
      <c r="N318" s="17">
        <f>IF($D318="","",IF(ISNA(MATCH($D318,项目名表,0)),"※项目不在项目台账里",IF($F318="※材料类别没选","※材料类别没选",IF(AND($C318&lt;&gt;"",ISNA(MATCH($C318,供应商表,0))),"※供应商不在基础资料里",""))))</f>
        <v/>
      </c>
    </row>
    <row r="319">
      <c r="A319" s="17">
        <f>IF($D319="","",ROW()-3)</f>
        <v/>
      </c>
      <c r="B319" s="18" t="n"/>
      <c r="C319" s="13" t="n"/>
      <c r="D319" s="13" t="n"/>
      <c r="E319" s="13" t="n"/>
      <c r="F319" s="17">
        <f>IF($D319="","",IFERROR(VLOOKUP($E319,材料归属,2,0),"※材料类别没选"))</f>
        <v/>
      </c>
      <c r="G319" s="13" t="n"/>
      <c r="H319" s="13" t="n"/>
      <c r="I319" s="13" t="n"/>
      <c r="J319" s="20" t="n"/>
      <c r="K319" s="14" t="n"/>
      <c r="L319" s="19">
        <f>IF($D319="","",ROUND(IF($J319="",1,$J319)*N($K319),2))</f>
        <v/>
      </c>
      <c r="M319" s="13" t="n"/>
      <c r="N319" s="17">
        <f>IF($D319="","",IF(ISNA(MATCH($D319,项目名表,0)),"※项目不在项目台账里",IF($F319="※材料类别没选","※材料类别没选",IF(AND($C319&lt;&gt;"",ISNA(MATCH($C319,供应商表,0))),"※供应商不在基础资料里",""))))</f>
        <v/>
      </c>
    </row>
    <row r="320">
      <c r="A320" s="17">
        <f>IF($D320="","",ROW()-3)</f>
        <v/>
      </c>
      <c r="B320" s="18" t="n"/>
      <c r="C320" s="13" t="n"/>
      <c r="D320" s="13" t="n"/>
      <c r="E320" s="13" t="n"/>
      <c r="F320" s="17">
        <f>IF($D320="","",IFERROR(VLOOKUP($E320,材料归属,2,0),"※材料类别没选"))</f>
        <v/>
      </c>
      <c r="G320" s="13" t="n"/>
      <c r="H320" s="13" t="n"/>
      <c r="I320" s="13" t="n"/>
      <c r="J320" s="20" t="n"/>
      <c r="K320" s="14" t="n"/>
      <c r="L320" s="19">
        <f>IF($D320="","",ROUND(IF($J320="",1,$J320)*N($K320),2))</f>
        <v/>
      </c>
      <c r="M320" s="13" t="n"/>
      <c r="N320" s="17">
        <f>IF($D320="","",IF(ISNA(MATCH($D320,项目名表,0)),"※项目不在项目台账里",IF($F320="※材料类别没选","※材料类别没选",IF(AND($C320&lt;&gt;"",ISNA(MATCH($C320,供应商表,0))),"※供应商不在基础资料里",""))))</f>
        <v/>
      </c>
    </row>
    <row r="321">
      <c r="A321" s="17">
        <f>IF($D321="","",ROW()-3)</f>
        <v/>
      </c>
      <c r="B321" s="18" t="n"/>
      <c r="C321" s="13" t="n"/>
      <c r="D321" s="13" t="n"/>
      <c r="E321" s="13" t="n"/>
      <c r="F321" s="17">
        <f>IF($D321="","",IFERROR(VLOOKUP($E321,材料归属,2,0),"※材料类别没选"))</f>
        <v/>
      </c>
      <c r="G321" s="13" t="n"/>
      <c r="H321" s="13" t="n"/>
      <c r="I321" s="13" t="n"/>
      <c r="J321" s="20" t="n"/>
      <c r="K321" s="14" t="n"/>
      <c r="L321" s="19">
        <f>IF($D321="","",ROUND(IF($J321="",1,$J321)*N($K321),2))</f>
        <v/>
      </c>
      <c r="M321" s="13" t="n"/>
      <c r="N321" s="17">
        <f>IF($D321="","",IF(ISNA(MATCH($D321,项目名表,0)),"※项目不在项目台账里",IF($F321="※材料类别没选","※材料类别没选",IF(AND($C321&lt;&gt;"",ISNA(MATCH($C321,供应商表,0))),"※供应商不在基础资料里",""))))</f>
        <v/>
      </c>
    </row>
    <row r="322">
      <c r="A322" s="17">
        <f>IF($D322="","",ROW()-3)</f>
        <v/>
      </c>
      <c r="B322" s="18" t="n"/>
      <c r="C322" s="13" t="n"/>
      <c r="D322" s="13" t="n"/>
      <c r="E322" s="13" t="n"/>
      <c r="F322" s="17">
        <f>IF($D322="","",IFERROR(VLOOKUP($E322,材料归属,2,0),"※材料类别没选"))</f>
        <v/>
      </c>
      <c r="G322" s="13" t="n"/>
      <c r="H322" s="13" t="n"/>
      <c r="I322" s="13" t="n"/>
      <c r="J322" s="20" t="n"/>
      <c r="K322" s="14" t="n"/>
      <c r="L322" s="19">
        <f>IF($D322="","",ROUND(IF($J322="",1,$J322)*N($K322),2))</f>
        <v/>
      </c>
      <c r="M322" s="13" t="n"/>
      <c r="N322" s="17">
        <f>IF($D322="","",IF(ISNA(MATCH($D322,项目名表,0)),"※项目不在项目台账里",IF($F322="※材料类别没选","※材料类别没选",IF(AND($C322&lt;&gt;"",ISNA(MATCH($C322,供应商表,0))),"※供应商不在基础资料里",""))))</f>
        <v/>
      </c>
    </row>
    <row r="323">
      <c r="A323" s="17">
        <f>IF($D323="","",ROW()-3)</f>
        <v/>
      </c>
      <c r="B323" s="18" t="n"/>
      <c r="C323" s="13" t="n"/>
      <c r="D323" s="13" t="n"/>
      <c r="E323" s="13" t="n"/>
      <c r="F323" s="17">
        <f>IF($D323="","",IFERROR(VLOOKUP($E323,材料归属,2,0),"※材料类别没选"))</f>
        <v/>
      </c>
      <c r="G323" s="13" t="n"/>
      <c r="H323" s="13" t="n"/>
      <c r="I323" s="13" t="n"/>
      <c r="J323" s="20" t="n"/>
      <c r="K323" s="14" t="n"/>
      <c r="L323" s="19">
        <f>IF($D323="","",ROUND(IF($J323="",1,$J323)*N($K323),2))</f>
        <v/>
      </c>
      <c r="M323" s="13" t="n"/>
      <c r="N323" s="17">
        <f>IF($D323="","",IF(ISNA(MATCH($D323,项目名表,0)),"※项目不在项目台账里",IF($F323="※材料类别没选","※材料类别没选",IF(AND($C323&lt;&gt;"",ISNA(MATCH($C323,供应商表,0))),"※供应商不在基础资料里",""))))</f>
        <v/>
      </c>
    </row>
    <row r="324">
      <c r="A324" s="17">
        <f>IF($D324="","",ROW()-3)</f>
        <v/>
      </c>
      <c r="B324" s="18" t="n"/>
      <c r="C324" s="13" t="n"/>
      <c r="D324" s="13" t="n"/>
      <c r="E324" s="13" t="n"/>
      <c r="F324" s="17">
        <f>IF($D324="","",IFERROR(VLOOKUP($E324,材料归属,2,0),"※材料类别没选"))</f>
        <v/>
      </c>
      <c r="G324" s="13" t="n"/>
      <c r="H324" s="13" t="n"/>
      <c r="I324" s="13" t="n"/>
      <c r="J324" s="20" t="n"/>
      <c r="K324" s="14" t="n"/>
      <c r="L324" s="19">
        <f>IF($D324="","",ROUND(IF($J324="",1,$J324)*N($K324),2))</f>
        <v/>
      </c>
      <c r="M324" s="13" t="n"/>
      <c r="N324" s="17">
        <f>IF($D324="","",IF(ISNA(MATCH($D324,项目名表,0)),"※项目不在项目台账里",IF($F324="※材料类别没选","※材料类别没选",IF(AND($C324&lt;&gt;"",ISNA(MATCH($C324,供应商表,0))),"※供应商不在基础资料里",""))))</f>
        <v/>
      </c>
    </row>
    <row r="325">
      <c r="A325" s="17">
        <f>IF($D325="","",ROW()-3)</f>
        <v/>
      </c>
      <c r="B325" s="18" t="n"/>
      <c r="C325" s="13" t="n"/>
      <c r="D325" s="13" t="n"/>
      <c r="E325" s="13" t="n"/>
      <c r="F325" s="17">
        <f>IF($D325="","",IFERROR(VLOOKUP($E325,材料归属,2,0),"※材料类别没选"))</f>
        <v/>
      </c>
      <c r="G325" s="13" t="n"/>
      <c r="H325" s="13" t="n"/>
      <c r="I325" s="13" t="n"/>
      <c r="J325" s="20" t="n"/>
      <c r="K325" s="14" t="n"/>
      <c r="L325" s="19">
        <f>IF($D325="","",ROUND(IF($J325="",1,$J325)*N($K325),2))</f>
        <v/>
      </c>
      <c r="M325" s="13" t="n"/>
      <c r="N325" s="17">
        <f>IF($D325="","",IF(ISNA(MATCH($D325,项目名表,0)),"※项目不在项目台账里",IF($F325="※材料类别没选","※材料类别没选",IF(AND($C325&lt;&gt;"",ISNA(MATCH($C325,供应商表,0))),"※供应商不在基础资料里",""))))</f>
        <v/>
      </c>
    </row>
    <row r="326">
      <c r="A326" s="17">
        <f>IF($D326="","",ROW()-3)</f>
        <v/>
      </c>
      <c r="B326" s="18" t="n"/>
      <c r="C326" s="13" t="n"/>
      <c r="D326" s="13" t="n"/>
      <c r="E326" s="13" t="n"/>
      <c r="F326" s="17">
        <f>IF($D326="","",IFERROR(VLOOKUP($E326,材料归属,2,0),"※材料类别没选"))</f>
        <v/>
      </c>
      <c r="G326" s="13" t="n"/>
      <c r="H326" s="13" t="n"/>
      <c r="I326" s="13" t="n"/>
      <c r="J326" s="20" t="n"/>
      <c r="K326" s="14" t="n"/>
      <c r="L326" s="19">
        <f>IF($D326="","",ROUND(IF($J326="",1,$J326)*N($K326),2))</f>
        <v/>
      </c>
      <c r="M326" s="13" t="n"/>
      <c r="N326" s="17">
        <f>IF($D326="","",IF(ISNA(MATCH($D326,项目名表,0)),"※项目不在项目台账里",IF($F326="※材料类别没选","※材料类别没选",IF(AND($C326&lt;&gt;"",ISNA(MATCH($C326,供应商表,0))),"※供应商不在基础资料里",""))))</f>
        <v/>
      </c>
    </row>
    <row r="327">
      <c r="A327" s="17">
        <f>IF($D327="","",ROW()-3)</f>
        <v/>
      </c>
      <c r="B327" s="18" t="n"/>
      <c r="C327" s="13" t="n"/>
      <c r="D327" s="13" t="n"/>
      <c r="E327" s="13" t="n"/>
      <c r="F327" s="17">
        <f>IF($D327="","",IFERROR(VLOOKUP($E327,材料归属,2,0),"※材料类别没选"))</f>
        <v/>
      </c>
      <c r="G327" s="13" t="n"/>
      <c r="H327" s="13" t="n"/>
      <c r="I327" s="13" t="n"/>
      <c r="J327" s="20" t="n"/>
      <c r="K327" s="14" t="n"/>
      <c r="L327" s="19">
        <f>IF($D327="","",ROUND(IF($J327="",1,$J327)*N($K327),2))</f>
        <v/>
      </c>
      <c r="M327" s="13" t="n"/>
      <c r="N327" s="17">
        <f>IF($D327="","",IF(ISNA(MATCH($D327,项目名表,0)),"※项目不在项目台账里",IF($F327="※材料类别没选","※材料类别没选",IF(AND($C327&lt;&gt;"",ISNA(MATCH($C327,供应商表,0))),"※供应商不在基础资料里",""))))</f>
        <v/>
      </c>
    </row>
    <row r="328">
      <c r="A328" s="17">
        <f>IF($D328="","",ROW()-3)</f>
        <v/>
      </c>
      <c r="B328" s="18" t="n"/>
      <c r="C328" s="13" t="n"/>
      <c r="D328" s="13" t="n"/>
      <c r="E328" s="13" t="n"/>
      <c r="F328" s="17">
        <f>IF($D328="","",IFERROR(VLOOKUP($E328,材料归属,2,0),"※材料类别没选"))</f>
        <v/>
      </c>
      <c r="G328" s="13" t="n"/>
      <c r="H328" s="13" t="n"/>
      <c r="I328" s="13" t="n"/>
      <c r="J328" s="20" t="n"/>
      <c r="K328" s="14" t="n"/>
      <c r="L328" s="19">
        <f>IF($D328="","",ROUND(IF($J328="",1,$J328)*N($K328),2))</f>
        <v/>
      </c>
      <c r="M328" s="13" t="n"/>
      <c r="N328" s="17">
        <f>IF($D328="","",IF(ISNA(MATCH($D328,项目名表,0)),"※项目不在项目台账里",IF($F328="※材料类别没选","※材料类别没选",IF(AND($C328&lt;&gt;"",ISNA(MATCH($C328,供应商表,0))),"※供应商不在基础资料里",""))))</f>
        <v/>
      </c>
    </row>
    <row r="329">
      <c r="A329" s="17">
        <f>IF($D329="","",ROW()-3)</f>
        <v/>
      </c>
      <c r="B329" s="18" t="n"/>
      <c r="C329" s="13" t="n"/>
      <c r="D329" s="13" t="n"/>
      <c r="E329" s="13" t="n"/>
      <c r="F329" s="17">
        <f>IF($D329="","",IFERROR(VLOOKUP($E329,材料归属,2,0),"※材料类别没选"))</f>
        <v/>
      </c>
      <c r="G329" s="13" t="n"/>
      <c r="H329" s="13" t="n"/>
      <c r="I329" s="13" t="n"/>
      <c r="J329" s="20" t="n"/>
      <c r="K329" s="14" t="n"/>
      <c r="L329" s="19">
        <f>IF($D329="","",ROUND(IF($J329="",1,$J329)*N($K329),2))</f>
        <v/>
      </c>
      <c r="M329" s="13" t="n"/>
      <c r="N329" s="17">
        <f>IF($D329="","",IF(ISNA(MATCH($D329,项目名表,0)),"※项目不在项目台账里",IF($F329="※材料类别没选","※材料类别没选",IF(AND($C329&lt;&gt;"",ISNA(MATCH($C329,供应商表,0))),"※供应商不在基础资料里",""))))</f>
        <v/>
      </c>
    </row>
    <row r="330">
      <c r="A330" s="17">
        <f>IF($D330="","",ROW()-3)</f>
        <v/>
      </c>
      <c r="B330" s="18" t="n"/>
      <c r="C330" s="13" t="n"/>
      <c r="D330" s="13" t="n"/>
      <c r="E330" s="13" t="n"/>
      <c r="F330" s="17">
        <f>IF($D330="","",IFERROR(VLOOKUP($E330,材料归属,2,0),"※材料类别没选"))</f>
        <v/>
      </c>
      <c r="G330" s="13" t="n"/>
      <c r="H330" s="13" t="n"/>
      <c r="I330" s="13" t="n"/>
      <c r="J330" s="20" t="n"/>
      <c r="K330" s="14" t="n"/>
      <c r="L330" s="19">
        <f>IF($D330="","",ROUND(IF($J330="",1,$J330)*N($K330),2))</f>
        <v/>
      </c>
      <c r="M330" s="13" t="n"/>
      <c r="N330" s="17">
        <f>IF($D330="","",IF(ISNA(MATCH($D330,项目名表,0)),"※项目不在项目台账里",IF($F330="※材料类别没选","※材料类别没选",IF(AND($C330&lt;&gt;"",ISNA(MATCH($C330,供应商表,0))),"※供应商不在基础资料里",""))))</f>
        <v/>
      </c>
    </row>
    <row r="331">
      <c r="A331" s="17">
        <f>IF($D331="","",ROW()-3)</f>
        <v/>
      </c>
      <c r="B331" s="18" t="n"/>
      <c r="C331" s="13" t="n"/>
      <c r="D331" s="13" t="n"/>
      <c r="E331" s="13" t="n"/>
      <c r="F331" s="17">
        <f>IF($D331="","",IFERROR(VLOOKUP($E331,材料归属,2,0),"※材料类别没选"))</f>
        <v/>
      </c>
      <c r="G331" s="13" t="n"/>
      <c r="H331" s="13" t="n"/>
      <c r="I331" s="13" t="n"/>
      <c r="J331" s="20" t="n"/>
      <c r="K331" s="14" t="n"/>
      <c r="L331" s="19">
        <f>IF($D331="","",ROUND(IF($J331="",1,$J331)*N($K331),2))</f>
        <v/>
      </c>
      <c r="M331" s="13" t="n"/>
      <c r="N331" s="17">
        <f>IF($D331="","",IF(ISNA(MATCH($D331,项目名表,0)),"※项目不在项目台账里",IF($F331="※材料类别没选","※材料类别没选",IF(AND($C331&lt;&gt;"",ISNA(MATCH($C331,供应商表,0))),"※供应商不在基础资料里",""))))</f>
        <v/>
      </c>
    </row>
    <row r="332">
      <c r="A332" s="17">
        <f>IF($D332="","",ROW()-3)</f>
        <v/>
      </c>
      <c r="B332" s="18" t="n"/>
      <c r="C332" s="13" t="n"/>
      <c r="D332" s="13" t="n"/>
      <c r="E332" s="13" t="n"/>
      <c r="F332" s="17">
        <f>IF($D332="","",IFERROR(VLOOKUP($E332,材料归属,2,0),"※材料类别没选"))</f>
        <v/>
      </c>
      <c r="G332" s="13" t="n"/>
      <c r="H332" s="13" t="n"/>
      <c r="I332" s="13" t="n"/>
      <c r="J332" s="20" t="n"/>
      <c r="K332" s="14" t="n"/>
      <c r="L332" s="19">
        <f>IF($D332="","",ROUND(IF($J332="",1,$J332)*N($K332),2))</f>
        <v/>
      </c>
      <c r="M332" s="13" t="n"/>
      <c r="N332" s="17">
        <f>IF($D332="","",IF(ISNA(MATCH($D332,项目名表,0)),"※项目不在项目台账里",IF($F332="※材料类别没选","※材料类别没选",IF(AND($C332&lt;&gt;"",ISNA(MATCH($C332,供应商表,0))),"※供应商不在基础资料里",""))))</f>
        <v/>
      </c>
    </row>
    <row r="333">
      <c r="A333" s="17">
        <f>IF($D333="","",ROW()-3)</f>
        <v/>
      </c>
      <c r="B333" s="18" t="n"/>
      <c r="C333" s="13" t="n"/>
      <c r="D333" s="13" t="n"/>
      <c r="E333" s="13" t="n"/>
      <c r="F333" s="17">
        <f>IF($D333="","",IFERROR(VLOOKUP($E333,材料归属,2,0),"※材料类别没选"))</f>
        <v/>
      </c>
      <c r="G333" s="13" t="n"/>
      <c r="H333" s="13" t="n"/>
      <c r="I333" s="13" t="n"/>
      <c r="J333" s="20" t="n"/>
      <c r="K333" s="14" t="n"/>
      <c r="L333" s="19">
        <f>IF($D333="","",ROUND(IF($J333="",1,$J333)*N($K333),2))</f>
        <v/>
      </c>
      <c r="M333" s="13" t="n"/>
      <c r="N333" s="17">
        <f>IF($D333="","",IF(ISNA(MATCH($D333,项目名表,0)),"※项目不在项目台账里",IF($F333="※材料类别没选","※材料类别没选",IF(AND($C333&lt;&gt;"",ISNA(MATCH($C333,供应商表,0))),"※供应商不在基础资料里",""))))</f>
        <v/>
      </c>
    </row>
    <row r="334">
      <c r="A334" s="17">
        <f>IF($D334="","",ROW()-3)</f>
        <v/>
      </c>
      <c r="B334" s="18" t="n"/>
      <c r="C334" s="13" t="n"/>
      <c r="D334" s="13" t="n"/>
      <c r="E334" s="13" t="n"/>
      <c r="F334" s="17">
        <f>IF($D334="","",IFERROR(VLOOKUP($E334,材料归属,2,0),"※材料类别没选"))</f>
        <v/>
      </c>
      <c r="G334" s="13" t="n"/>
      <c r="H334" s="13" t="n"/>
      <c r="I334" s="13" t="n"/>
      <c r="J334" s="20" t="n"/>
      <c r="K334" s="14" t="n"/>
      <c r="L334" s="19">
        <f>IF($D334="","",ROUND(IF($J334="",1,$J334)*N($K334),2))</f>
        <v/>
      </c>
      <c r="M334" s="13" t="n"/>
      <c r="N334" s="17">
        <f>IF($D334="","",IF(ISNA(MATCH($D334,项目名表,0)),"※项目不在项目台账里",IF($F334="※材料类别没选","※材料类别没选",IF(AND($C334&lt;&gt;"",ISNA(MATCH($C334,供应商表,0))),"※供应商不在基础资料里",""))))</f>
        <v/>
      </c>
    </row>
    <row r="335">
      <c r="A335" s="17">
        <f>IF($D335="","",ROW()-3)</f>
        <v/>
      </c>
      <c r="B335" s="18" t="n"/>
      <c r="C335" s="13" t="n"/>
      <c r="D335" s="13" t="n"/>
      <c r="E335" s="13" t="n"/>
      <c r="F335" s="17">
        <f>IF($D335="","",IFERROR(VLOOKUP($E335,材料归属,2,0),"※材料类别没选"))</f>
        <v/>
      </c>
      <c r="G335" s="13" t="n"/>
      <c r="H335" s="13" t="n"/>
      <c r="I335" s="13" t="n"/>
      <c r="J335" s="20" t="n"/>
      <c r="K335" s="14" t="n"/>
      <c r="L335" s="19">
        <f>IF($D335="","",ROUND(IF($J335="",1,$J335)*N($K335),2))</f>
        <v/>
      </c>
      <c r="M335" s="13" t="n"/>
      <c r="N335" s="17">
        <f>IF($D335="","",IF(ISNA(MATCH($D335,项目名表,0)),"※项目不在项目台账里",IF($F335="※材料类别没选","※材料类别没选",IF(AND($C335&lt;&gt;"",ISNA(MATCH($C335,供应商表,0))),"※供应商不在基础资料里",""))))</f>
        <v/>
      </c>
    </row>
    <row r="336">
      <c r="A336" s="17">
        <f>IF($D336="","",ROW()-3)</f>
        <v/>
      </c>
      <c r="B336" s="18" t="n"/>
      <c r="C336" s="13" t="n"/>
      <c r="D336" s="13" t="n"/>
      <c r="E336" s="13" t="n"/>
      <c r="F336" s="17">
        <f>IF($D336="","",IFERROR(VLOOKUP($E336,材料归属,2,0),"※材料类别没选"))</f>
        <v/>
      </c>
      <c r="G336" s="13" t="n"/>
      <c r="H336" s="13" t="n"/>
      <c r="I336" s="13" t="n"/>
      <c r="J336" s="20" t="n"/>
      <c r="K336" s="14" t="n"/>
      <c r="L336" s="19">
        <f>IF($D336="","",ROUND(IF($J336="",1,$J336)*N($K336),2))</f>
        <v/>
      </c>
      <c r="M336" s="13" t="n"/>
      <c r="N336" s="17">
        <f>IF($D336="","",IF(ISNA(MATCH($D336,项目名表,0)),"※项目不在项目台账里",IF($F336="※材料类别没选","※材料类别没选",IF(AND($C336&lt;&gt;"",ISNA(MATCH($C336,供应商表,0))),"※供应商不在基础资料里",""))))</f>
        <v/>
      </c>
    </row>
    <row r="337">
      <c r="A337" s="17">
        <f>IF($D337="","",ROW()-3)</f>
        <v/>
      </c>
      <c r="B337" s="18" t="n"/>
      <c r="C337" s="13" t="n"/>
      <c r="D337" s="13" t="n"/>
      <c r="E337" s="13" t="n"/>
      <c r="F337" s="17">
        <f>IF($D337="","",IFERROR(VLOOKUP($E337,材料归属,2,0),"※材料类别没选"))</f>
        <v/>
      </c>
      <c r="G337" s="13" t="n"/>
      <c r="H337" s="13" t="n"/>
      <c r="I337" s="13" t="n"/>
      <c r="J337" s="20" t="n"/>
      <c r="K337" s="14" t="n"/>
      <c r="L337" s="19">
        <f>IF($D337="","",ROUND(IF($J337="",1,$J337)*N($K337),2))</f>
        <v/>
      </c>
      <c r="M337" s="13" t="n"/>
      <c r="N337" s="17">
        <f>IF($D337="","",IF(ISNA(MATCH($D337,项目名表,0)),"※项目不在项目台账里",IF($F337="※材料类别没选","※材料类别没选",IF(AND($C337&lt;&gt;"",ISNA(MATCH($C337,供应商表,0))),"※供应商不在基础资料里",""))))</f>
        <v/>
      </c>
    </row>
    <row r="338">
      <c r="A338" s="17">
        <f>IF($D338="","",ROW()-3)</f>
        <v/>
      </c>
      <c r="B338" s="18" t="n"/>
      <c r="C338" s="13" t="n"/>
      <c r="D338" s="13" t="n"/>
      <c r="E338" s="13" t="n"/>
      <c r="F338" s="17">
        <f>IF($D338="","",IFERROR(VLOOKUP($E338,材料归属,2,0),"※材料类别没选"))</f>
        <v/>
      </c>
      <c r="G338" s="13" t="n"/>
      <c r="H338" s="13" t="n"/>
      <c r="I338" s="13" t="n"/>
      <c r="J338" s="20" t="n"/>
      <c r="K338" s="14" t="n"/>
      <c r="L338" s="19">
        <f>IF($D338="","",ROUND(IF($J338="",1,$J338)*N($K338),2))</f>
        <v/>
      </c>
      <c r="M338" s="13" t="n"/>
      <c r="N338" s="17">
        <f>IF($D338="","",IF(ISNA(MATCH($D338,项目名表,0)),"※项目不在项目台账里",IF($F338="※材料类别没选","※材料类别没选",IF(AND($C338&lt;&gt;"",ISNA(MATCH($C338,供应商表,0))),"※供应商不在基础资料里",""))))</f>
        <v/>
      </c>
    </row>
    <row r="339">
      <c r="A339" s="17">
        <f>IF($D339="","",ROW()-3)</f>
        <v/>
      </c>
      <c r="B339" s="18" t="n"/>
      <c r="C339" s="13" t="n"/>
      <c r="D339" s="13" t="n"/>
      <c r="E339" s="13" t="n"/>
      <c r="F339" s="17">
        <f>IF($D339="","",IFERROR(VLOOKUP($E339,材料归属,2,0),"※材料类别没选"))</f>
        <v/>
      </c>
      <c r="G339" s="13" t="n"/>
      <c r="H339" s="13" t="n"/>
      <c r="I339" s="13" t="n"/>
      <c r="J339" s="20" t="n"/>
      <c r="K339" s="14" t="n"/>
      <c r="L339" s="19">
        <f>IF($D339="","",ROUND(IF($J339="",1,$J339)*N($K339),2))</f>
        <v/>
      </c>
      <c r="M339" s="13" t="n"/>
      <c r="N339" s="17">
        <f>IF($D339="","",IF(ISNA(MATCH($D339,项目名表,0)),"※项目不在项目台账里",IF($F339="※材料类别没选","※材料类别没选",IF(AND($C339&lt;&gt;"",ISNA(MATCH($C339,供应商表,0))),"※供应商不在基础资料里",""))))</f>
        <v/>
      </c>
    </row>
    <row r="340">
      <c r="A340" s="17">
        <f>IF($D340="","",ROW()-3)</f>
        <v/>
      </c>
      <c r="B340" s="18" t="n"/>
      <c r="C340" s="13" t="n"/>
      <c r="D340" s="13" t="n"/>
      <c r="E340" s="13" t="n"/>
      <c r="F340" s="17">
        <f>IF($D340="","",IFERROR(VLOOKUP($E340,材料归属,2,0),"※材料类别没选"))</f>
        <v/>
      </c>
      <c r="G340" s="13" t="n"/>
      <c r="H340" s="13" t="n"/>
      <c r="I340" s="13" t="n"/>
      <c r="J340" s="20" t="n"/>
      <c r="K340" s="14" t="n"/>
      <c r="L340" s="19">
        <f>IF($D340="","",ROUND(IF($J340="",1,$J340)*N($K340),2))</f>
        <v/>
      </c>
      <c r="M340" s="13" t="n"/>
      <c r="N340" s="17">
        <f>IF($D340="","",IF(ISNA(MATCH($D340,项目名表,0)),"※项目不在项目台账里",IF($F340="※材料类别没选","※材料类别没选",IF(AND($C340&lt;&gt;"",ISNA(MATCH($C340,供应商表,0))),"※供应商不在基础资料里",""))))</f>
        <v/>
      </c>
    </row>
    <row r="341">
      <c r="A341" s="17">
        <f>IF($D341="","",ROW()-3)</f>
        <v/>
      </c>
      <c r="B341" s="18" t="n"/>
      <c r="C341" s="13" t="n"/>
      <c r="D341" s="13" t="n"/>
      <c r="E341" s="13" t="n"/>
      <c r="F341" s="17">
        <f>IF($D341="","",IFERROR(VLOOKUP($E341,材料归属,2,0),"※材料类别没选"))</f>
        <v/>
      </c>
      <c r="G341" s="13" t="n"/>
      <c r="H341" s="13" t="n"/>
      <c r="I341" s="13" t="n"/>
      <c r="J341" s="20" t="n"/>
      <c r="K341" s="14" t="n"/>
      <c r="L341" s="19">
        <f>IF($D341="","",ROUND(IF($J341="",1,$J341)*N($K341),2))</f>
        <v/>
      </c>
      <c r="M341" s="13" t="n"/>
      <c r="N341" s="17">
        <f>IF($D341="","",IF(ISNA(MATCH($D341,项目名表,0)),"※项目不在项目台账里",IF($F341="※材料类别没选","※材料类别没选",IF(AND($C341&lt;&gt;"",ISNA(MATCH($C341,供应商表,0))),"※供应商不在基础资料里",""))))</f>
        <v/>
      </c>
    </row>
    <row r="342">
      <c r="A342" s="17">
        <f>IF($D342="","",ROW()-3)</f>
        <v/>
      </c>
      <c r="B342" s="18" t="n"/>
      <c r="C342" s="13" t="n"/>
      <c r="D342" s="13" t="n"/>
      <c r="E342" s="13" t="n"/>
      <c r="F342" s="17">
        <f>IF($D342="","",IFERROR(VLOOKUP($E342,材料归属,2,0),"※材料类别没选"))</f>
        <v/>
      </c>
      <c r="G342" s="13" t="n"/>
      <c r="H342" s="13" t="n"/>
      <c r="I342" s="13" t="n"/>
      <c r="J342" s="20" t="n"/>
      <c r="K342" s="14" t="n"/>
      <c r="L342" s="19">
        <f>IF($D342="","",ROUND(IF($J342="",1,$J342)*N($K342),2))</f>
        <v/>
      </c>
      <c r="M342" s="13" t="n"/>
      <c r="N342" s="17">
        <f>IF($D342="","",IF(ISNA(MATCH($D342,项目名表,0)),"※项目不在项目台账里",IF($F342="※材料类别没选","※材料类别没选",IF(AND($C342&lt;&gt;"",ISNA(MATCH($C342,供应商表,0))),"※供应商不在基础资料里",""))))</f>
        <v/>
      </c>
    </row>
    <row r="343">
      <c r="A343" s="17">
        <f>IF($D343="","",ROW()-3)</f>
        <v/>
      </c>
      <c r="B343" s="18" t="n"/>
      <c r="C343" s="13" t="n"/>
      <c r="D343" s="13" t="n"/>
      <c r="E343" s="13" t="n"/>
      <c r="F343" s="17">
        <f>IF($D343="","",IFERROR(VLOOKUP($E343,材料归属,2,0),"※材料类别没选"))</f>
        <v/>
      </c>
      <c r="G343" s="13" t="n"/>
      <c r="H343" s="13" t="n"/>
      <c r="I343" s="13" t="n"/>
      <c r="J343" s="20" t="n"/>
      <c r="K343" s="14" t="n"/>
      <c r="L343" s="19">
        <f>IF($D343="","",ROUND(IF($J343="",1,$J343)*N($K343),2))</f>
        <v/>
      </c>
      <c r="M343" s="13" t="n"/>
      <c r="N343" s="17">
        <f>IF($D343="","",IF(ISNA(MATCH($D343,项目名表,0)),"※项目不在项目台账里",IF($F343="※材料类别没选","※材料类别没选",IF(AND($C343&lt;&gt;"",ISNA(MATCH($C343,供应商表,0))),"※供应商不在基础资料里",""))))</f>
        <v/>
      </c>
    </row>
    <row r="344">
      <c r="A344" s="17">
        <f>IF($D344="","",ROW()-3)</f>
        <v/>
      </c>
      <c r="B344" s="18" t="n"/>
      <c r="C344" s="13" t="n"/>
      <c r="D344" s="13" t="n"/>
      <c r="E344" s="13" t="n"/>
      <c r="F344" s="17">
        <f>IF($D344="","",IFERROR(VLOOKUP($E344,材料归属,2,0),"※材料类别没选"))</f>
        <v/>
      </c>
      <c r="G344" s="13" t="n"/>
      <c r="H344" s="13" t="n"/>
      <c r="I344" s="13" t="n"/>
      <c r="J344" s="20" t="n"/>
      <c r="K344" s="14" t="n"/>
      <c r="L344" s="19">
        <f>IF($D344="","",ROUND(IF($J344="",1,$J344)*N($K344),2))</f>
        <v/>
      </c>
      <c r="M344" s="13" t="n"/>
      <c r="N344" s="17">
        <f>IF($D344="","",IF(ISNA(MATCH($D344,项目名表,0)),"※项目不在项目台账里",IF($F344="※材料类别没选","※材料类别没选",IF(AND($C344&lt;&gt;"",ISNA(MATCH($C344,供应商表,0))),"※供应商不在基础资料里",""))))</f>
        <v/>
      </c>
    </row>
    <row r="345">
      <c r="A345" s="17">
        <f>IF($D345="","",ROW()-3)</f>
        <v/>
      </c>
      <c r="B345" s="18" t="n"/>
      <c r="C345" s="13" t="n"/>
      <c r="D345" s="13" t="n"/>
      <c r="E345" s="13" t="n"/>
      <c r="F345" s="17">
        <f>IF($D345="","",IFERROR(VLOOKUP($E345,材料归属,2,0),"※材料类别没选"))</f>
        <v/>
      </c>
      <c r="G345" s="13" t="n"/>
      <c r="H345" s="13" t="n"/>
      <c r="I345" s="13" t="n"/>
      <c r="J345" s="20" t="n"/>
      <c r="K345" s="14" t="n"/>
      <c r="L345" s="19">
        <f>IF($D345="","",ROUND(IF($J345="",1,$J345)*N($K345),2))</f>
        <v/>
      </c>
      <c r="M345" s="13" t="n"/>
      <c r="N345" s="17">
        <f>IF($D345="","",IF(ISNA(MATCH($D345,项目名表,0)),"※项目不在项目台账里",IF($F345="※材料类别没选","※材料类别没选",IF(AND($C345&lt;&gt;"",ISNA(MATCH($C345,供应商表,0))),"※供应商不在基础资料里",""))))</f>
        <v/>
      </c>
    </row>
    <row r="346">
      <c r="A346" s="17">
        <f>IF($D346="","",ROW()-3)</f>
        <v/>
      </c>
      <c r="B346" s="18" t="n"/>
      <c r="C346" s="13" t="n"/>
      <c r="D346" s="13" t="n"/>
      <c r="E346" s="13" t="n"/>
      <c r="F346" s="17">
        <f>IF($D346="","",IFERROR(VLOOKUP($E346,材料归属,2,0),"※材料类别没选"))</f>
        <v/>
      </c>
      <c r="G346" s="13" t="n"/>
      <c r="H346" s="13" t="n"/>
      <c r="I346" s="13" t="n"/>
      <c r="J346" s="20" t="n"/>
      <c r="K346" s="14" t="n"/>
      <c r="L346" s="19">
        <f>IF($D346="","",ROUND(IF($J346="",1,$J346)*N($K346),2))</f>
        <v/>
      </c>
      <c r="M346" s="13" t="n"/>
      <c r="N346" s="17">
        <f>IF($D346="","",IF(ISNA(MATCH($D346,项目名表,0)),"※项目不在项目台账里",IF($F346="※材料类别没选","※材料类别没选",IF(AND($C346&lt;&gt;"",ISNA(MATCH($C346,供应商表,0))),"※供应商不在基础资料里",""))))</f>
        <v/>
      </c>
    </row>
    <row r="347">
      <c r="A347" s="17">
        <f>IF($D347="","",ROW()-3)</f>
        <v/>
      </c>
      <c r="B347" s="18" t="n"/>
      <c r="C347" s="13" t="n"/>
      <c r="D347" s="13" t="n"/>
      <c r="E347" s="13" t="n"/>
      <c r="F347" s="17">
        <f>IF($D347="","",IFERROR(VLOOKUP($E347,材料归属,2,0),"※材料类别没选"))</f>
        <v/>
      </c>
      <c r="G347" s="13" t="n"/>
      <c r="H347" s="13" t="n"/>
      <c r="I347" s="13" t="n"/>
      <c r="J347" s="20" t="n"/>
      <c r="K347" s="14" t="n"/>
      <c r="L347" s="19">
        <f>IF($D347="","",ROUND(IF($J347="",1,$J347)*N($K347),2))</f>
        <v/>
      </c>
      <c r="M347" s="13" t="n"/>
      <c r="N347" s="17">
        <f>IF($D347="","",IF(ISNA(MATCH($D347,项目名表,0)),"※项目不在项目台账里",IF($F347="※材料类别没选","※材料类别没选",IF(AND($C347&lt;&gt;"",ISNA(MATCH($C347,供应商表,0))),"※供应商不在基础资料里",""))))</f>
        <v/>
      </c>
    </row>
    <row r="348">
      <c r="A348" s="17">
        <f>IF($D348="","",ROW()-3)</f>
        <v/>
      </c>
      <c r="B348" s="18" t="n"/>
      <c r="C348" s="13" t="n"/>
      <c r="D348" s="13" t="n"/>
      <c r="E348" s="13" t="n"/>
      <c r="F348" s="17">
        <f>IF($D348="","",IFERROR(VLOOKUP($E348,材料归属,2,0),"※材料类别没选"))</f>
        <v/>
      </c>
      <c r="G348" s="13" t="n"/>
      <c r="H348" s="13" t="n"/>
      <c r="I348" s="13" t="n"/>
      <c r="J348" s="20" t="n"/>
      <c r="K348" s="14" t="n"/>
      <c r="L348" s="19">
        <f>IF($D348="","",ROUND(IF($J348="",1,$J348)*N($K348),2))</f>
        <v/>
      </c>
      <c r="M348" s="13" t="n"/>
      <c r="N348" s="17">
        <f>IF($D348="","",IF(ISNA(MATCH($D348,项目名表,0)),"※项目不在项目台账里",IF($F348="※材料类别没选","※材料类别没选",IF(AND($C348&lt;&gt;"",ISNA(MATCH($C348,供应商表,0))),"※供应商不在基础资料里",""))))</f>
        <v/>
      </c>
    </row>
    <row r="349">
      <c r="A349" s="17">
        <f>IF($D349="","",ROW()-3)</f>
        <v/>
      </c>
      <c r="B349" s="18" t="n"/>
      <c r="C349" s="13" t="n"/>
      <c r="D349" s="13" t="n"/>
      <c r="E349" s="13" t="n"/>
      <c r="F349" s="17">
        <f>IF($D349="","",IFERROR(VLOOKUP($E349,材料归属,2,0),"※材料类别没选"))</f>
        <v/>
      </c>
      <c r="G349" s="13" t="n"/>
      <c r="H349" s="13" t="n"/>
      <c r="I349" s="13" t="n"/>
      <c r="J349" s="20" t="n"/>
      <c r="K349" s="14" t="n"/>
      <c r="L349" s="19">
        <f>IF($D349="","",ROUND(IF($J349="",1,$J349)*N($K349),2))</f>
        <v/>
      </c>
      <c r="M349" s="13" t="n"/>
      <c r="N349" s="17">
        <f>IF($D349="","",IF(ISNA(MATCH($D349,项目名表,0)),"※项目不在项目台账里",IF($F349="※材料类别没选","※材料类别没选",IF(AND($C349&lt;&gt;"",ISNA(MATCH($C349,供应商表,0))),"※供应商不在基础资料里",""))))</f>
        <v/>
      </c>
    </row>
    <row r="350">
      <c r="A350" s="17">
        <f>IF($D350="","",ROW()-3)</f>
        <v/>
      </c>
      <c r="B350" s="18" t="n"/>
      <c r="C350" s="13" t="n"/>
      <c r="D350" s="13" t="n"/>
      <c r="E350" s="13" t="n"/>
      <c r="F350" s="17">
        <f>IF($D350="","",IFERROR(VLOOKUP($E350,材料归属,2,0),"※材料类别没选"))</f>
        <v/>
      </c>
      <c r="G350" s="13" t="n"/>
      <c r="H350" s="13" t="n"/>
      <c r="I350" s="13" t="n"/>
      <c r="J350" s="20" t="n"/>
      <c r="K350" s="14" t="n"/>
      <c r="L350" s="19">
        <f>IF($D350="","",ROUND(IF($J350="",1,$J350)*N($K350),2))</f>
        <v/>
      </c>
      <c r="M350" s="13" t="n"/>
      <c r="N350" s="17">
        <f>IF($D350="","",IF(ISNA(MATCH($D350,项目名表,0)),"※项目不在项目台账里",IF($F350="※材料类别没选","※材料类别没选",IF(AND($C350&lt;&gt;"",ISNA(MATCH($C350,供应商表,0))),"※供应商不在基础资料里",""))))</f>
        <v/>
      </c>
    </row>
    <row r="351">
      <c r="A351" s="17">
        <f>IF($D351="","",ROW()-3)</f>
        <v/>
      </c>
      <c r="B351" s="18" t="n"/>
      <c r="C351" s="13" t="n"/>
      <c r="D351" s="13" t="n"/>
      <c r="E351" s="13" t="n"/>
      <c r="F351" s="17">
        <f>IF($D351="","",IFERROR(VLOOKUP($E351,材料归属,2,0),"※材料类别没选"))</f>
        <v/>
      </c>
      <c r="G351" s="13" t="n"/>
      <c r="H351" s="13" t="n"/>
      <c r="I351" s="13" t="n"/>
      <c r="J351" s="20" t="n"/>
      <c r="K351" s="14" t="n"/>
      <c r="L351" s="19">
        <f>IF($D351="","",ROUND(IF($J351="",1,$J351)*N($K351),2))</f>
        <v/>
      </c>
      <c r="M351" s="13" t="n"/>
      <c r="N351" s="17">
        <f>IF($D351="","",IF(ISNA(MATCH($D351,项目名表,0)),"※项目不在项目台账里",IF($F351="※材料类别没选","※材料类别没选",IF(AND($C351&lt;&gt;"",ISNA(MATCH($C351,供应商表,0))),"※供应商不在基础资料里",""))))</f>
        <v/>
      </c>
    </row>
    <row r="352">
      <c r="A352" s="17">
        <f>IF($D352="","",ROW()-3)</f>
        <v/>
      </c>
      <c r="B352" s="18" t="n"/>
      <c r="C352" s="13" t="n"/>
      <c r="D352" s="13" t="n"/>
      <c r="E352" s="13" t="n"/>
      <c r="F352" s="17">
        <f>IF($D352="","",IFERROR(VLOOKUP($E352,材料归属,2,0),"※材料类别没选"))</f>
        <v/>
      </c>
      <c r="G352" s="13" t="n"/>
      <c r="H352" s="13" t="n"/>
      <c r="I352" s="13" t="n"/>
      <c r="J352" s="20" t="n"/>
      <c r="K352" s="14" t="n"/>
      <c r="L352" s="19">
        <f>IF($D352="","",ROUND(IF($J352="",1,$J352)*N($K352),2))</f>
        <v/>
      </c>
      <c r="M352" s="13" t="n"/>
      <c r="N352" s="17">
        <f>IF($D352="","",IF(ISNA(MATCH($D352,项目名表,0)),"※项目不在项目台账里",IF($F352="※材料类别没选","※材料类别没选",IF(AND($C352&lt;&gt;"",ISNA(MATCH($C352,供应商表,0))),"※供应商不在基础资料里",""))))</f>
        <v/>
      </c>
    </row>
    <row r="353">
      <c r="A353" s="17">
        <f>IF($D353="","",ROW()-3)</f>
        <v/>
      </c>
      <c r="B353" s="18" t="n"/>
      <c r="C353" s="13" t="n"/>
      <c r="D353" s="13" t="n"/>
      <c r="E353" s="13" t="n"/>
      <c r="F353" s="17">
        <f>IF($D353="","",IFERROR(VLOOKUP($E353,材料归属,2,0),"※材料类别没选"))</f>
        <v/>
      </c>
      <c r="G353" s="13" t="n"/>
      <c r="H353" s="13" t="n"/>
      <c r="I353" s="13" t="n"/>
      <c r="J353" s="20" t="n"/>
      <c r="K353" s="14" t="n"/>
      <c r="L353" s="19">
        <f>IF($D353="","",ROUND(IF($J353="",1,$J353)*N($K353),2))</f>
        <v/>
      </c>
      <c r="M353" s="13" t="n"/>
      <c r="N353" s="17">
        <f>IF($D353="","",IF(ISNA(MATCH($D353,项目名表,0)),"※项目不在项目台账里",IF($F353="※材料类别没选","※材料类别没选",IF(AND($C353&lt;&gt;"",ISNA(MATCH($C353,供应商表,0))),"※供应商不在基础资料里",""))))</f>
        <v/>
      </c>
    </row>
    <row r="354">
      <c r="A354" s="17">
        <f>IF($D354="","",ROW()-3)</f>
        <v/>
      </c>
      <c r="B354" s="18" t="n"/>
      <c r="C354" s="13" t="n"/>
      <c r="D354" s="13" t="n"/>
      <c r="E354" s="13" t="n"/>
      <c r="F354" s="17">
        <f>IF($D354="","",IFERROR(VLOOKUP($E354,材料归属,2,0),"※材料类别没选"))</f>
        <v/>
      </c>
      <c r="G354" s="13" t="n"/>
      <c r="H354" s="13" t="n"/>
      <c r="I354" s="13" t="n"/>
      <c r="J354" s="20" t="n"/>
      <c r="K354" s="14" t="n"/>
      <c r="L354" s="19">
        <f>IF($D354="","",ROUND(IF($J354="",1,$J354)*N($K354),2))</f>
        <v/>
      </c>
      <c r="M354" s="13" t="n"/>
      <c r="N354" s="17">
        <f>IF($D354="","",IF(ISNA(MATCH($D354,项目名表,0)),"※项目不在项目台账里",IF($F354="※材料类别没选","※材料类别没选",IF(AND($C354&lt;&gt;"",ISNA(MATCH($C354,供应商表,0))),"※供应商不在基础资料里",""))))</f>
        <v/>
      </c>
    </row>
    <row r="355">
      <c r="A355" s="17">
        <f>IF($D355="","",ROW()-3)</f>
        <v/>
      </c>
      <c r="B355" s="18" t="n"/>
      <c r="C355" s="13" t="n"/>
      <c r="D355" s="13" t="n"/>
      <c r="E355" s="13" t="n"/>
      <c r="F355" s="17">
        <f>IF($D355="","",IFERROR(VLOOKUP($E355,材料归属,2,0),"※材料类别没选"))</f>
        <v/>
      </c>
      <c r="G355" s="13" t="n"/>
      <c r="H355" s="13" t="n"/>
      <c r="I355" s="13" t="n"/>
      <c r="J355" s="20" t="n"/>
      <c r="K355" s="14" t="n"/>
      <c r="L355" s="19">
        <f>IF($D355="","",ROUND(IF($J355="",1,$J355)*N($K355),2))</f>
        <v/>
      </c>
      <c r="M355" s="13" t="n"/>
      <c r="N355" s="17">
        <f>IF($D355="","",IF(ISNA(MATCH($D355,项目名表,0)),"※项目不在项目台账里",IF($F355="※材料类别没选","※材料类别没选",IF(AND($C355&lt;&gt;"",ISNA(MATCH($C355,供应商表,0))),"※供应商不在基础资料里",""))))</f>
        <v/>
      </c>
    </row>
    <row r="356">
      <c r="A356" s="17">
        <f>IF($D356="","",ROW()-3)</f>
        <v/>
      </c>
      <c r="B356" s="18" t="n"/>
      <c r="C356" s="13" t="n"/>
      <c r="D356" s="13" t="n"/>
      <c r="E356" s="13" t="n"/>
      <c r="F356" s="17">
        <f>IF($D356="","",IFERROR(VLOOKUP($E356,材料归属,2,0),"※材料类别没选"))</f>
        <v/>
      </c>
      <c r="G356" s="13" t="n"/>
      <c r="H356" s="13" t="n"/>
      <c r="I356" s="13" t="n"/>
      <c r="J356" s="20" t="n"/>
      <c r="K356" s="14" t="n"/>
      <c r="L356" s="19">
        <f>IF($D356="","",ROUND(IF($J356="",1,$J356)*N($K356),2))</f>
        <v/>
      </c>
      <c r="M356" s="13" t="n"/>
      <c r="N356" s="17">
        <f>IF($D356="","",IF(ISNA(MATCH($D356,项目名表,0)),"※项目不在项目台账里",IF($F356="※材料类别没选","※材料类别没选",IF(AND($C356&lt;&gt;"",ISNA(MATCH($C356,供应商表,0))),"※供应商不在基础资料里",""))))</f>
        <v/>
      </c>
    </row>
    <row r="357">
      <c r="A357" s="17">
        <f>IF($D357="","",ROW()-3)</f>
        <v/>
      </c>
      <c r="B357" s="18" t="n"/>
      <c r="C357" s="13" t="n"/>
      <c r="D357" s="13" t="n"/>
      <c r="E357" s="13" t="n"/>
      <c r="F357" s="17">
        <f>IF($D357="","",IFERROR(VLOOKUP($E357,材料归属,2,0),"※材料类别没选"))</f>
        <v/>
      </c>
      <c r="G357" s="13" t="n"/>
      <c r="H357" s="13" t="n"/>
      <c r="I357" s="13" t="n"/>
      <c r="J357" s="20" t="n"/>
      <c r="K357" s="14" t="n"/>
      <c r="L357" s="19">
        <f>IF($D357="","",ROUND(IF($J357="",1,$J357)*N($K357),2))</f>
        <v/>
      </c>
      <c r="M357" s="13" t="n"/>
      <c r="N357" s="17">
        <f>IF($D357="","",IF(ISNA(MATCH($D357,项目名表,0)),"※项目不在项目台账里",IF($F357="※材料类别没选","※材料类别没选",IF(AND($C357&lt;&gt;"",ISNA(MATCH($C357,供应商表,0))),"※供应商不在基础资料里",""))))</f>
        <v/>
      </c>
    </row>
    <row r="358">
      <c r="A358" s="17">
        <f>IF($D358="","",ROW()-3)</f>
        <v/>
      </c>
      <c r="B358" s="18" t="n"/>
      <c r="C358" s="13" t="n"/>
      <c r="D358" s="13" t="n"/>
      <c r="E358" s="13" t="n"/>
      <c r="F358" s="17">
        <f>IF($D358="","",IFERROR(VLOOKUP($E358,材料归属,2,0),"※材料类别没选"))</f>
        <v/>
      </c>
      <c r="G358" s="13" t="n"/>
      <c r="H358" s="13" t="n"/>
      <c r="I358" s="13" t="n"/>
      <c r="J358" s="20" t="n"/>
      <c r="K358" s="14" t="n"/>
      <c r="L358" s="19">
        <f>IF($D358="","",ROUND(IF($J358="",1,$J358)*N($K358),2))</f>
        <v/>
      </c>
      <c r="M358" s="13" t="n"/>
      <c r="N358" s="17">
        <f>IF($D358="","",IF(ISNA(MATCH($D358,项目名表,0)),"※项目不在项目台账里",IF($F358="※材料类别没选","※材料类别没选",IF(AND($C358&lt;&gt;"",ISNA(MATCH($C358,供应商表,0))),"※供应商不在基础资料里",""))))</f>
        <v/>
      </c>
    </row>
    <row r="359">
      <c r="A359" s="17">
        <f>IF($D359="","",ROW()-3)</f>
        <v/>
      </c>
      <c r="B359" s="18" t="n"/>
      <c r="C359" s="13" t="n"/>
      <c r="D359" s="13" t="n"/>
      <c r="E359" s="13" t="n"/>
      <c r="F359" s="17">
        <f>IF($D359="","",IFERROR(VLOOKUP($E359,材料归属,2,0),"※材料类别没选"))</f>
        <v/>
      </c>
      <c r="G359" s="13" t="n"/>
      <c r="H359" s="13" t="n"/>
      <c r="I359" s="13" t="n"/>
      <c r="J359" s="20" t="n"/>
      <c r="K359" s="14" t="n"/>
      <c r="L359" s="19">
        <f>IF($D359="","",ROUND(IF($J359="",1,$J359)*N($K359),2))</f>
        <v/>
      </c>
      <c r="M359" s="13" t="n"/>
      <c r="N359" s="17">
        <f>IF($D359="","",IF(ISNA(MATCH($D359,项目名表,0)),"※项目不在项目台账里",IF($F359="※材料类别没选","※材料类别没选",IF(AND($C359&lt;&gt;"",ISNA(MATCH($C359,供应商表,0))),"※供应商不在基础资料里",""))))</f>
        <v/>
      </c>
    </row>
    <row r="360">
      <c r="A360" s="17">
        <f>IF($D360="","",ROW()-3)</f>
        <v/>
      </c>
      <c r="B360" s="18" t="n"/>
      <c r="C360" s="13" t="n"/>
      <c r="D360" s="13" t="n"/>
      <c r="E360" s="13" t="n"/>
      <c r="F360" s="17">
        <f>IF($D360="","",IFERROR(VLOOKUP($E360,材料归属,2,0),"※材料类别没选"))</f>
        <v/>
      </c>
      <c r="G360" s="13" t="n"/>
      <c r="H360" s="13" t="n"/>
      <c r="I360" s="13" t="n"/>
      <c r="J360" s="20" t="n"/>
      <c r="K360" s="14" t="n"/>
      <c r="L360" s="19">
        <f>IF($D360="","",ROUND(IF($J360="",1,$J360)*N($K360),2))</f>
        <v/>
      </c>
      <c r="M360" s="13" t="n"/>
      <c r="N360" s="17">
        <f>IF($D360="","",IF(ISNA(MATCH($D360,项目名表,0)),"※项目不在项目台账里",IF($F360="※材料类别没选","※材料类别没选",IF(AND($C360&lt;&gt;"",ISNA(MATCH($C360,供应商表,0))),"※供应商不在基础资料里",""))))</f>
        <v/>
      </c>
    </row>
    <row r="361">
      <c r="A361" s="17">
        <f>IF($D361="","",ROW()-3)</f>
        <v/>
      </c>
      <c r="B361" s="18" t="n"/>
      <c r="C361" s="13" t="n"/>
      <c r="D361" s="13" t="n"/>
      <c r="E361" s="13" t="n"/>
      <c r="F361" s="17">
        <f>IF($D361="","",IFERROR(VLOOKUP($E361,材料归属,2,0),"※材料类别没选"))</f>
        <v/>
      </c>
      <c r="G361" s="13" t="n"/>
      <c r="H361" s="13" t="n"/>
      <c r="I361" s="13" t="n"/>
      <c r="J361" s="20" t="n"/>
      <c r="K361" s="14" t="n"/>
      <c r="L361" s="19">
        <f>IF($D361="","",ROUND(IF($J361="",1,$J361)*N($K361),2))</f>
        <v/>
      </c>
      <c r="M361" s="13" t="n"/>
      <c r="N361" s="17">
        <f>IF($D361="","",IF(ISNA(MATCH($D361,项目名表,0)),"※项目不在项目台账里",IF($F361="※材料类别没选","※材料类别没选",IF(AND($C361&lt;&gt;"",ISNA(MATCH($C361,供应商表,0))),"※供应商不在基础资料里",""))))</f>
        <v/>
      </c>
    </row>
    <row r="362">
      <c r="A362" s="17">
        <f>IF($D362="","",ROW()-3)</f>
        <v/>
      </c>
      <c r="B362" s="18" t="n"/>
      <c r="C362" s="13" t="n"/>
      <c r="D362" s="13" t="n"/>
      <c r="E362" s="13" t="n"/>
      <c r="F362" s="17">
        <f>IF($D362="","",IFERROR(VLOOKUP($E362,材料归属,2,0),"※材料类别没选"))</f>
        <v/>
      </c>
      <c r="G362" s="13" t="n"/>
      <c r="H362" s="13" t="n"/>
      <c r="I362" s="13" t="n"/>
      <c r="J362" s="20" t="n"/>
      <c r="K362" s="14" t="n"/>
      <c r="L362" s="19">
        <f>IF($D362="","",ROUND(IF($J362="",1,$J362)*N($K362),2))</f>
        <v/>
      </c>
      <c r="M362" s="13" t="n"/>
      <c r="N362" s="17">
        <f>IF($D362="","",IF(ISNA(MATCH($D362,项目名表,0)),"※项目不在项目台账里",IF($F362="※材料类别没选","※材料类别没选",IF(AND($C362&lt;&gt;"",ISNA(MATCH($C362,供应商表,0))),"※供应商不在基础资料里",""))))</f>
        <v/>
      </c>
    </row>
    <row r="363">
      <c r="A363" s="17">
        <f>IF($D363="","",ROW()-3)</f>
        <v/>
      </c>
      <c r="B363" s="18" t="n"/>
      <c r="C363" s="13" t="n"/>
      <c r="D363" s="13" t="n"/>
      <c r="E363" s="13" t="n"/>
      <c r="F363" s="17">
        <f>IF($D363="","",IFERROR(VLOOKUP($E363,材料归属,2,0),"※材料类别没选"))</f>
        <v/>
      </c>
      <c r="G363" s="13" t="n"/>
      <c r="H363" s="13" t="n"/>
      <c r="I363" s="13" t="n"/>
      <c r="J363" s="20" t="n"/>
      <c r="K363" s="14" t="n"/>
      <c r="L363" s="19">
        <f>IF($D363="","",ROUND(IF($J363="",1,$J363)*N($K363),2))</f>
        <v/>
      </c>
      <c r="M363" s="13" t="n"/>
      <c r="N363" s="17">
        <f>IF($D363="","",IF(ISNA(MATCH($D363,项目名表,0)),"※项目不在项目台账里",IF($F363="※材料类别没选","※材料类别没选",IF(AND($C363&lt;&gt;"",ISNA(MATCH($C363,供应商表,0))),"※供应商不在基础资料里",""))))</f>
        <v/>
      </c>
    </row>
    <row r="364">
      <c r="A364" s="17">
        <f>IF($D364="","",ROW()-3)</f>
        <v/>
      </c>
      <c r="B364" s="18" t="n"/>
      <c r="C364" s="13" t="n"/>
      <c r="D364" s="13" t="n"/>
      <c r="E364" s="13" t="n"/>
      <c r="F364" s="17">
        <f>IF($D364="","",IFERROR(VLOOKUP($E364,材料归属,2,0),"※材料类别没选"))</f>
        <v/>
      </c>
      <c r="G364" s="13" t="n"/>
      <c r="H364" s="13" t="n"/>
      <c r="I364" s="13" t="n"/>
      <c r="J364" s="20" t="n"/>
      <c r="K364" s="14" t="n"/>
      <c r="L364" s="19">
        <f>IF($D364="","",ROUND(IF($J364="",1,$J364)*N($K364),2))</f>
        <v/>
      </c>
      <c r="M364" s="13" t="n"/>
      <c r="N364" s="17">
        <f>IF($D364="","",IF(ISNA(MATCH($D364,项目名表,0)),"※项目不在项目台账里",IF($F364="※材料类别没选","※材料类别没选",IF(AND($C364&lt;&gt;"",ISNA(MATCH($C364,供应商表,0))),"※供应商不在基础资料里",""))))</f>
        <v/>
      </c>
    </row>
    <row r="365">
      <c r="A365" s="17">
        <f>IF($D365="","",ROW()-3)</f>
        <v/>
      </c>
      <c r="B365" s="18" t="n"/>
      <c r="C365" s="13" t="n"/>
      <c r="D365" s="13" t="n"/>
      <c r="E365" s="13" t="n"/>
      <c r="F365" s="17">
        <f>IF($D365="","",IFERROR(VLOOKUP($E365,材料归属,2,0),"※材料类别没选"))</f>
        <v/>
      </c>
      <c r="G365" s="13" t="n"/>
      <c r="H365" s="13" t="n"/>
      <c r="I365" s="13" t="n"/>
      <c r="J365" s="20" t="n"/>
      <c r="K365" s="14" t="n"/>
      <c r="L365" s="19">
        <f>IF($D365="","",ROUND(IF($J365="",1,$J365)*N($K365),2))</f>
        <v/>
      </c>
      <c r="M365" s="13" t="n"/>
      <c r="N365" s="17">
        <f>IF($D365="","",IF(ISNA(MATCH($D365,项目名表,0)),"※项目不在项目台账里",IF($F365="※材料类别没选","※材料类别没选",IF(AND($C365&lt;&gt;"",ISNA(MATCH($C365,供应商表,0))),"※供应商不在基础资料里",""))))</f>
        <v/>
      </c>
    </row>
    <row r="366">
      <c r="A366" s="17">
        <f>IF($D366="","",ROW()-3)</f>
        <v/>
      </c>
      <c r="B366" s="18" t="n"/>
      <c r="C366" s="13" t="n"/>
      <c r="D366" s="13" t="n"/>
      <c r="E366" s="13" t="n"/>
      <c r="F366" s="17">
        <f>IF($D366="","",IFERROR(VLOOKUP($E366,材料归属,2,0),"※材料类别没选"))</f>
        <v/>
      </c>
      <c r="G366" s="13" t="n"/>
      <c r="H366" s="13" t="n"/>
      <c r="I366" s="13" t="n"/>
      <c r="J366" s="20" t="n"/>
      <c r="K366" s="14" t="n"/>
      <c r="L366" s="19">
        <f>IF($D366="","",ROUND(IF($J366="",1,$J366)*N($K366),2))</f>
        <v/>
      </c>
      <c r="M366" s="13" t="n"/>
      <c r="N366" s="17">
        <f>IF($D366="","",IF(ISNA(MATCH($D366,项目名表,0)),"※项目不在项目台账里",IF($F366="※材料类别没选","※材料类别没选",IF(AND($C366&lt;&gt;"",ISNA(MATCH($C366,供应商表,0))),"※供应商不在基础资料里",""))))</f>
        <v/>
      </c>
    </row>
    <row r="367">
      <c r="A367" s="17">
        <f>IF($D367="","",ROW()-3)</f>
        <v/>
      </c>
      <c r="B367" s="18" t="n"/>
      <c r="C367" s="13" t="n"/>
      <c r="D367" s="13" t="n"/>
      <c r="E367" s="13" t="n"/>
      <c r="F367" s="17">
        <f>IF($D367="","",IFERROR(VLOOKUP($E367,材料归属,2,0),"※材料类别没选"))</f>
        <v/>
      </c>
      <c r="G367" s="13" t="n"/>
      <c r="H367" s="13" t="n"/>
      <c r="I367" s="13" t="n"/>
      <c r="J367" s="20" t="n"/>
      <c r="K367" s="14" t="n"/>
      <c r="L367" s="19">
        <f>IF($D367="","",ROUND(IF($J367="",1,$J367)*N($K367),2))</f>
        <v/>
      </c>
      <c r="M367" s="13" t="n"/>
      <c r="N367" s="17">
        <f>IF($D367="","",IF(ISNA(MATCH($D367,项目名表,0)),"※项目不在项目台账里",IF($F367="※材料类别没选","※材料类别没选",IF(AND($C367&lt;&gt;"",ISNA(MATCH($C367,供应商表,0))),"※供应商不在基础资料里",""))))</f>
        <v/>
      </c>
    </row>
    <row r="368">
      <c r="A368" s="17">
        <f>IF($D368="","",ROW()-3)</f>
        <v/>
      </c>
      <c r="B368" s="18" t="n"/>
      <c r="C368" s="13" t="n"/>
      <c r="D368" s="13" t="n"/>
      <c r="E368" s="13" t="n"/>
      <c r="F368" s="17">
        <f>IF($D368="","",IFERROR(VLOOKUP($E368,材料归属,2,0),"※材料类别没选"))</f>
        <v/>
      </c>
      <c r="G368" s="13" t="n"/>
      <c r="H368" s="13" t="n"/>
      <c r="I368" s="13" t="n"/>
      <c r="J368" s="20" t="n"/>
      <c r="K368" s="14" t="n"/>
      <c r="L368" s="19">
        <f>IF($D368="","",ROUND(IF($J368="",1,$J368)*N($K368),2))</f>
        <v/>
      </c>
      <c r="M368" s="13" t="n"/>
      <c r="N368" s="17">
        <f>IF($D368="","",IF(ISNA(MATCH($D368,项目名表,0)),"※项目不在项目台账里",IF($F368="※材料类别没选","※材料类别没选",IF(AND($C368&lt;&gt;"",ISNA(MATCH($C368,供应商表,0))),"※供应商不在基础资料里",""))))</f>
        <v/>
      </c>
    </row>
    <row r="369">
      <c r="A369" s="17">
        <f>IF($D369="","",ROW()-3)</f>
        <v/>
      </c>
      <c r="B369" s="18" t="n"/>
      <c r="C369" s="13" t="n"/>
      <c r="D369" s="13" t="n"/>
      <c r="E369" s="13" t="n"/>
      <c r="F369" s="17">
        <f>IF($D369="","",IFERROR(VLOOKUP($E369,材料归属,2,0),"※材料类别没选"))</f>
        <v/>
      </c>
      <c r="G369" s="13" t="n"/>
      <c r="H369" s="13" t="n"/>
      <c r="I369" s="13" t="n"/>
      <c r="J369" s="20" t="n"/>
      <c r="K369" s="14" t="n"/>
      <c r="L369" s="19">
        <f>IF($D369="","",ROUND(IF($J369="",1,$J369)*N($K369),2))</f>
        <v/>
      </c>
      <c r="M369" s="13" t="n"/>
      <c r="N369" s="17">
        <f>IF($D369="","",IF(ISNA(MATCH($D369,项目名表,0)),"※项目不在项目台账里",IF($F369="※材料类别没选","※材料类别没选",IF(AND($C369&lt;&gt;"",ISNA(MATCH($C369,供应商表,0))),"※供应商不在基础资料里",""))))</f>
        <v/>
      </c>
    </row>
    <row r="370">
      <c r="A370" s="17">
        <f>IF($D370="","",ROW()-3)</f>
        <v/>
      </c>
      <c r="B370" s="18" t="n"/>
      <c r="C370" s="13" t="n"/>
      <c r="D370" s="13" t="n"/>
      <c r="E370" s="13" t="n"/>
      <c r="F370" s="17">
        <f>IF($D370="","",IFERROR(VLOOKUP($E370,材料归属,2,0),"※材料类别没选"))</f>
        <v/>
      </c>
      <c r="G370" s="13" t="n"/>
      <c r="H370" s="13" t="n"/>
      <c r="I370" s="13" t="n"/>
      <c r="J370" s="20" t="n"/>
      <c r="K370" s="14" t="n"/>
      <c r="L370" s="19">
        <f>IF($D370="","",ROUND(IF($J370="",1,$J370)*N($K370),2))</f>
        <v/>
      </c>
      <c r="M370" s="13" t="n"/>
      <c r="N370" s="17">
        <f>IF($D370="","",IF(ISNA(MATCH($D370,项目名表,0)),"※项目不在项目台账里",IF($F370="※材料类别没选","※材料类别没选",IF(AND($C370&lt;&gt;"",ISNA(MATCH($C370,供应商表,0))),"※供应商不在基础资料里",""))))</f>
        <v/>
      </c>
    </row>
    <row r="371">
      <c r="A371" s="17">
        <f>IF($D371="","",ROW()-3)</f>
        <v/>
      </c>
      <c r="B371" s="18" t="n"/>
      <c r="C371" s="13" t="n"/>
      <c r="D371" s="13" t="n"/>
      <c r="E371" s="13" t="n"/>
      <c r="F371" s="17">
        <f>IF($D371="","",IFERROR(VLOOKUP($E371,材料归属,2,0),"※材料类别没选"))</f>
        <v/>
      </c>
      <c r="G371" s="13" t="n"/>
      <c r="H371" s="13" t="n"/>
      <c r="I371" s="13" t="n"/>
      <c r="J371" s="20" t="n"/>
      <c r="K371" s="14" t="n"/>
      <c r="L371" s="19">
        <f>IF($D371="","",ROUND(IF($J371="",1,$J371)*N($K371),2))</f>
        <v/>
      </c>
      <c r="M371" s="13" t="n"/>
      <c r="N371" s="17">
        <f>IF($D371="","",IF(ISNA(MATCH($D371,项目名表,0)),"※项目不在项目台账里",IF($F371="※材料类别没选","※材料类别没选",IF(AND($C371&lt;&gt;"",ISNA(MATCH($C371,供应商表,0))),"※供应商不在基础资料里",""))))</f>
        <v/>
      </c>
    </row>
    <row r="372">
      <c r="A372" s="17">
        <f>IF($D372="","",ROW()-3)</f>
        <v/>
      </c>
      <c r="B372" s="18" t="n"/>
      <c r="C372" s="13" t="n"/>
      <c r="D372" s="13" t="n"/>
      <c r="E372" s="13" t="n"/>
      <c r="F372" s="17">
        <f>IF($D372="","",IFERROR(VLOOKUP($E372,材料归属,2,0),"※材料类别没选"))</f>
        <v/>
      </c>
      <c r="G372" s="13" t="n"/>
      <c r="H372" s="13" t="n"/>
      <c r="I372" s="13" t="n"/>
      <c r="J372" s="20" t="n"/>
      <c r="K372" s="14" t="n"/>
      <c r="L372" s="19">
        <f>IF($D372="","",ROUND(IF($J372="",1,$J372)*N($K372),2))</f>
        <v/>
      </c>
      <c r="M372" s="13" t="n"/>
      <c r="N372" s="17">
        <f>IF($D372="","",IF(ISNA(MATCH($D372,项目名表,0)),"※项目不在项目台账里",IF($F372="※材料类别没选","※材料类别没选",IF(AND($C372&lt;&gt;"",ISNA(MATCH($C372,供应商表,0))),"※供应商不在基础资料里",""))))</f>
        <v/>
      </c>
    </row>
    <row r="373">
      <c r="A373" s="17">
        <f>IF($D373="","",ROW()-3)</f>
        <v/>
      </c>
      <c r="B373" s="18" t="n"/>
      <c r="C373" s="13" t="n"/>
      <c r="D373" s="13" t="n"/>
      <c r="E373" s="13" t="n"/>
      <c r="F373" s="17">
        <f>IF($D373="","",IFERROR(VLOOKUP($E373,材料归属,2,0),"※材料类别没选"))</f>
        <v/>
      </c>
      <c r="G373" s="13" t="n"/>
      <c r="H373" s="13" t="n"/>
      <c r="I373" s="13" t="n"/>
      <c r="J373" s="20" t="n"/>
      <c r="K373" s="14" t="n"/>
      <c r="L373" s="19">
        <f>IF($D373="","",ROUND(IF($J373="",1,$J373)*N($K373),2))</f>
        <v/>
      </c>
      <c r="M373" s="13" t="n"/>
      <c r="N373" s="17">
        <f>IF($D373="","",IF(ISNA(MATCH($D373,项目名表,0)),"※项目不在项目台账里",IF($F373="※材料类别没选","※材料类别没选",IF(AND($C373&lt;&gt;"",ISNA(MATCH($C373,供应商表,0))),"※供应商不在基础资料里",""))))</f>
        <v/>
      </c>
    </row>
    <row r="374">
      <c r="A374" s="17">
        <f>IF($D374="","",ROW()-3)</f>
        <v/>
      </c>
      <c r="B374" s="18" t="n"/>
      <c r="C374" s="13" t="n"/>
      <c r="D374" s="13" t="n"/>
      <c r="E374" s="13" t="n"/>
      <c r="F374" s="17">
        <f>IF($D374="","",IFERROR(VLOOKUP($E374,材料归属,2,0),"※材料类别没选"))</f>
        <v/>
      </c>
      <c r="G374" s="13" t="n"/>
      <c r="H374" s="13" t="n"/>
      <c r="I374" s="13" t="n"/>
      <c r="J374" s="20" t="n"/>
      <c r="K374" s="14" t="n"/>
      <c r="L374" s="19">
        <f>IF($D374="","",ROUND(IF($J374="",1,$J374)*N($K374),2))</f>
        <v/>
      </c>
      <c r="M374" s="13" t="n"/>
      <c r="N374" s="17">
        <f>IF($D374="","",IF(ISNA(MATCH($D374,项目名表,0)),"※项目不在项目台账里",IF($F374="※材料类别没选","※材料类别没选",IF(AND($C374&lt;&gt;"",ISNA(MATCH($C374,供应商表,0))),"※供应商不在基础资料里",""))))</f>
        <v/>
      </c>
    </row>
    <row r="375">
      <c r="A375" s="17">
        <f>IF($D375="","",ROW()-3)</f>
        <v/>
      </c>
      <c r="B375" s="18" t="n"/>
      <c r="C375" s="13" t="n"/>
      <c r="D375" s="13" t="n"/>
      <c r="E375" s="13" t="n"/>
      <c r="F375" s="17">
        <f>IF($D375="","",IFERROR(VLOOKUP($E375,材料归属,2,0),"※材料类别没选"))</f>
        <v/>
      </c>
      <c r="G375" s="13" t="n"/>
      <c r="H375" s="13" t="n"/>
      <c r="I375" s="13" t="n"/>
      <c r="J375" s="20" t="n"/>
      <c r="K375" s="14" t="n"/>
      <c r="L375" s="19">
        <f>IF($D375="","",ROUND(IF($J375="",1,$J375)*N($K375),2))</f>
        <v/>
      </c>
      <c r="M375" s="13" t="n"/>
      <c r="N375" s="17">
        <f>IF($D375="","",IF(ISNA(MATCH($D375,项目名表,0)),"※项目不在项目台账里",IF($F375="※材料类别没选","※材料类别没选",IF(AND($C375&lt;&gt;"",ISNA(MATCH($C375,供应商表,0))),"※供应商不在基础资料里",""))))</f>
        <v/>
      </c>
    </row>
    <row r="376">
      <c r="A376" s="17">
        <f>IF($D376="","",ROW()-3)</f>
        <v/>
      </c>
      <c r="B376" s="18" t="n"/>
      <c r="C376" s="13" t="n"/>
      <c r="D376" s="13" t="n"/>
      <c r="E376" s="13" t="n"/>
      <c r="F376" s="17">
        <f>IF($D376="","",IFERROR(VLOOKUP($E376,材料归属,2,0),"※材料类别没选"))</f>
        <v/>
      </c>
      <c r="G376" s="13" t="n"/>
      <c r="H376" s="13" t="n"/>
      <c r="I376" s="13" t="n"/>
      <c r="J376" s="20" t="n"/>
      <c r="K376" s="14" t="n"/>
      <c r="L376" s="19">
        <f>IF($D376="","",ROUND(IF($J376="",1,$J376)*N($K376),2))</f>
        <v/>
      </c>
      <c r="M376" s="13" t="n"/>
      <c r="N376" s="17">
        <f>IF($D376="","",IF(ISNA(MATCH($D376,项目名表,0)),"※项目不在项目台账里",IF($F376="※材料类别没选","※材料类别没选",IF(AND($C376&lt;&gt;"",ISNA(MATCH($C376,供应商表,0))),"※供应商不在基础资料里",""))))</f>
        <v/>
      </c>
    </row>
    <row r="377">
      <c r="A377" s="17">
        <f>IF($D377="","",ROW()-3)</f>
        <v/>
      </c>
      <c r="B377" s="18" t="n"/>
      <c r="C377" s="13" t="n"/>
      <c r="D377" s="13" t="n"/>
      <c r="E377" s="13" t="n"/>
      <c r="F377" s="17">
        <f>IF($D377="","",IFERROR(VLOOKUP($E377,材料归属,2,0),"※材料类别没选"))</f>
        <v/>
      </c>
      <c r="G377" s="13" t="n"/>
      <c r="H377" s="13" t="n"/>
      <c r="I377" s="13" t="n"/>
      <c r="J377" s="20" t="n"/>
      <c r="K377" s="14" t="n"/>
      <c r="L377" s="19">
        <f>IF($D377="","",ROUND(IF($J377="",1,$J377)*N($K377),2))</f>
        <v/>
      </c>
      <c r="M377" s="13" t="n"/>
      <c r="N377" s="17">
        <f>IF($D377="","",IF(ISNA(MATCH($D377,项目名表,0)),"※项目不在项目台账里",IF($F377="※材料类别没选","※材料类别没选",IF(AND($C377&lt;&gt;"",ISNA(MATCH($C377,供应商表,0))),"※供应商不在基础资料里",""))))</f>
        <v/>
      </c>
    </row>
    <row r="378">
      <c r="A378" s="17">
        <f>IF($D378="","",ROW()-3)</f>
        <v/>
      </c>
      <c r="B378" s="18" t="n"/>
      <c r="C378" s="13" t="n"/>
      <c r="D378" s="13" t="n"/>
      <c r="E378" s="13" t="n"/>
      <c r="F378" s="17">
        <f>IF($D378="","",IFERROR(VLOOKUP($E378,材料归属,2,0),"※材料类别没选"))</f>
        <v/>
      </c>
      <c r="G378" s="13" t="n"/>
      <c r="H378" s="13" t="n"/>
      <c r="I378" s="13" t="n"/>
      <c r="J378" s="20" t="n"/>
      <c r="K378" s="14" t="n"/>
      <c r="L378" s="19">
        <f>IF($D378="","",ROUND(IF($J378="",1,$J378)*N($K378),2))</f>
        <v/>
      </c>
      <c r="M378" s="13" t="n"/>
      <c r="N378" s="17">
        <f>IF($D378="","",IF(ISNA(MATCH($D378,项目名表,0)),"※项目不在项目台账里",IF($F378="※材料类别没选","※材料类别没选",IF(AND($C378&lt;&gt;"",ISNA(MATCH($C378,供应商表,0))),"※供应商不在基础资料里",""))))</f>
        <v/>
      </c>
    </row>
    <row r="379">
      <c r="A379" s="17">
        <f>IF($D379="","",ROW()-3)</f>
        <v/>
      </c>
      <c r="B379" s="18" t="n"/>
      <c r="C379" s="13" t="n"/>
      <c r="D379" s="13" t="n"/>
      <c r="E379" s="13" t="n"/>
      <c r="F379" s="17">
        <f>IF($D379="","",IFERROR(VLOOKUP($E379,材料归属,2,0),"※材料类别没选"))</f>
        <v/>
      </c>
      <c r="G379" s="13" t="n"/>
      <c r="H379" s="13" t="n"/>
      <c r="I379" s="13" t="n"/>
      <c r="J379" s="20" t="n"/>
      <c r="K379" s="14" t="n"/>
      <c r="L379" s="19">
        <f>IF($D379="","",ROUND(IF($J379="",1,$J379)*N($K379),2))</f>
        <v/>
      </c>
      <c r="M379" s="13" t="n"/>
      <c r="N379" s="17">
        <f>IF($D379="","",IF(ISNA(MATCH($D379,项目名表,0)),"※项目不在项目台账里",IF($F379="※材料类别没选","※材料类别没选",IF(AND($C379&lt;&gt;"",ISNA(MATCH($C379,供应商表,0))),"※供应商不在基础资料里",""))))</f>
        <v/>
      </c>
    </row>
    <row r="380">
      <c r="A380" s="17">
        <f>IF($D380="","",ROW()-3)</f>
        <v/>
      </c>
      <c r="B380" s="18" t="n"/>
      <c r="C380" s="13" t="n"/>
      <c r="D380" s="13" t="n"/>
      <c r="E380" s="13" t="n"/>
      <c r="F380" s="17">
        <f>IF($D380="","",IFERROR(VLOOKUP($E380,材料归属,2,0),"※材料类别没选"))</f>
        <v/>
      </c>
      <c r="G380" s="13" t="n"/>
      <c r="H380" s="13" t="n"/>
      <c r="I380" s="13" t="n"/>
      <c r="J380" s="20" t="n"/>
      <c r="K380" s="14" t="n"/>
      <c r="L380" s="19">
        <f>IF($D380="","",ROUND(IF($J380="",1,$J380)*N($K380),2))</f>
        <v/>
      </c>
      <c r="M380" s="13" t="n"/>
      <c r="N380" s="17">
        <f>IF($D380="","",IF(ISNA(MATCH($D380,项目名表,0)),"※项目不在项目台账里",IF($F380="※材料类别没选","※材料类别没选",IF(AND($C380&lt;&gt;"",ISNA(MATCH($C380,供应商表,0))),"※供应商不在基础资料里",""))))</f>
        <v/>
      </c>
    </row>
    <row r="381">
      <c r="A381" s="17">
        <f>IF($D381="","",ROW()-3)</f>
        <v/>
      </c>
      <c r="B381" s="18" t="n"/>
      <c r="C381" s="13" t="n"/>
      <c r="D381" s="13" t="n"/>
      <c r="E381" s="13" t="n"/>
      <c r="F381" s="17">
        <f>IF($D381="","",IFERROR(VLOOKUP($E381,材料归属,2,0),"※材料类别没选"))</f>
        <v/>
      </c>
      <c r="G381" s="13" t="n"/>
      <c r="H381" s="13" t="n"/>
      <c r="I381" s="13" t="n"/>
      <c r="J381" s="20" t="n"/>
      <c r="K381" s="14" t="n"/>
      <c r="L381" s="19">
        <f>IF($D381="","",ROUND(IF($J381="",1,$J381)*N($K381),2))</f>
        <v/>
      </c>
      <c r="M381" s="13" t="n"/>
      <c r="N381" s="17">
        <f>IF($D381="","",IF(ISNA(MATCH($D381,项目名表,0)),"※项目不在项目台账里",IF($F381="※材料类别没选","※材料类别没选",IF(AND($C381&lt;&gt;"",ISNA(MATCH($C381,供应商表,0))),"※供应商不在基础资料里",""))))</f>
        <v/>
      </c>
    </row>
    <row r="382">
      <c r="A382" s="17">
        <f>IF($D382="","",ROW()-3)</f>
        <v/>
      </c>
      <c r="B382" s="18" t="n"/>
      <c r="C382" s="13" t="n"/>
      <c r="D382" s="13" t="n"/>
      <c r="E382" s="13" t="n"/>
      <c r="F382" s="17">
        <f>IF($D382="","",IFERROR(VLOOKUP($E382,材料归属,2,0),"※材料类别没选"))</f>
        <v/>
      </c>
      <c r="G382" s="13" t="n"/>
      <c r="H382" s="13" t="n"/>
      <c r="I382" s="13" t="n"/>
      <c r="J382" s="20" t="n"/>
      <c r="K382" s="14" t="n"/>
      <c r="L382" s="19">
        <f>IF($D382="","",ROUND(IF($J382="",1,$J382)*N($K382),2))</f>
        <v/>
      </c>
      <c r="M382" s="13" t="n"/>
      <c r="N382" s="17">
        <f>IF($D382="","",IF(ISNA(MATCH($D382,项目名表,0)),"※项目不在项目台账里",IF($F382="※材料类别没选","※材料类别没选",IF(AND($C382&lt;&gt;"",ISNA(MATCH($C382,供应商表,0))),"※供应商不在基础资料里",""))))</f>
        <v/>
      </c>
    </row>
    <row r="383">
      <c r="A383" s="17">
        <f>IF($D383="","",ROW()-3)</f>
        <v/>
      </c>
      <c r="B383" s="18" t="n"/>
      <c r="C383" s="13" t="n"/>
      <c r="D383" s="13" t="n"/>
      <c r="E383" s="13" t="n"/>
      <c r="F383" s="17">
        <f>IF($D383="","",IFERROR(VLOOKUP($E383,材料归属,2,0),"※材料类别没选"))</f>
        <v/>
      </c>
      <c r="G383" s="13" t="n"/>
      <c r="H383" s="13" t="n"/>
      <c r="I383" s="13" t="n"/>
      <c r="J383" s="20" t="n"/>
      <c r="K383" s="14" t="n"/>
      <c r="L383" s="19">
        <f>IF($D383="","",ROUND(IF($J383="",1,$J383)*N($K383),2))</f>
        <v/>
      </c>
      <c r="M383" s="13" t="n"/>
      <c r="N383" s="17">
        <f>IF($D383="","",IF(ISNA(MATCH($D383,项目名表,0)),"※项目不在项目台账里",IF($F383="※材料类别没选","※材料类别没选",IF(AND($C383&lt;&gt;"",ISNA(MATCH($C383,供应商表,0))),"※供应商不在基础资料里",""))))</f>
        <v/>
      </c>
    </row>
    <row r="384">
      <c r="A384" s="17">
        <f>IF($D384="","",ROW()-3)</f>
        <v/>
      </c>
      <c r="B384" s="18" t="n"/>
      <c r="C384" s="13" t="n"/>
      <c r="D384" s="13" t="n"/>
      <c r="E384" s="13" t="n"/>
      <c r="F384" s="17">
        <f>IF($D384="","",IFERROR(VLOOKUP($E384,材料归属,2,0),"※材料类别没选"))</f>
        <v/>
      </c>
      <c r="G384" s="13" t="n"/>
      <c r="H384" s="13" t="n"/>
      <c r="I384" s="13" t="n"/>
      <c r="J384" s="20" t="n"/>
      <c r="K384" s="14" t="n"/>
      <c r="L384" s="19">
        <f>IF($D384="","",ROUND(IF($J384="",1,$J384)*N($K384),2))</f>
        <v/>
      </c>
      <c r="M384" s="13" t="n"/>
      <c r="N384" s="17">
        <f>IF($D384="","",IF(ISNA(MATCH($D384,项目名表,0)),"※项目不在项目台账里",IF($F384="※材料类别没选","※材料类别没选",IF(AND($C384&lt;&gt;"",ISNA(MATCH($C384,供应商表,0))),"※供应商不在基础资料里",""))))</f>
        <v/>
      </c>
    </row>
    <row r="385">
      <c r="A385" s="17">
        <f>IF($D385="","",ROW()-3)</f>
        <v/>
      </c>
      <c r="B385" s="18" t="n"/>
      <c r="C385" s="13" t="n"/>
      <c r="D385" s="13" t="n"/>
      <c r="E385" s="13" t="n"/>
      <c r="F385" s="17">
        <f>IF($D385="","",IFERROR(VLOOKUP($E385,材料归属,2,0),"※材料类别没选"))</f>
        <v/>
      </c>
      <c r="G385" s="13" t="n"/>
      <c r="H385" s="13" t="n"/>
      <c r="I385" s="13" t="n"/>
      <c r="J385" s="20" t="n"/>
      <c r="K385" s="14" t="n"/>
      <c r="L385" s="19">
        <f>IF($D385="","",ROUND(IF($J385="",1,$J385)*N($K385),2))</f>
        <v/>
      </c>
      <c r="M385" s="13" t="n"/>
      <c r="N385" s="17">
        <f>IF($D385="","",IF(ISNA(MATCH($D385,项目名表,0)),"※项目不在项目台账里",IF($F385="※材料类别没选","※材料类别没选",IF(AND($C385&lt;&gt;"",ISNA(MATCH($C385,供应商表,0))),"※供应商不在基础资料里",""))))</f>
        <v/>
      </c>
    </row>
    <row r="386">
      <c r="A386" s="17">
        <f>IF($D386="","",ROW()-3)</f>
        <v/>
      </c>
      <c r="B386" s="18" t="n"/>
      <c r="C386" s="13" t="n"/>
      <c r="D386" s="13" t="n"/>
      <c r="E386" s="13" t="n"/>
      <c r="F386" s="17">
        <f>IF($D386="","",IFERROR(VLOOKUP($E386,材料归属,2,0),"※材料类别没选"))</f>
        <v/>
      </c>
      <c r="G386" s="13" t="n"/>
      <c r="H386" s="13" t="n"/>
      <c r="I386" s="13" t="n"/>
      <c r="J386" s="20" t="n"/>
      <c r="K386" s="14" t="n"/>
      <c r="L386" s="19">
        <f>IF($D386="","",ROUND(IF($J386="",1,$J386)*N($K386),2))</f>
        <v/>
      </c>
      <c r="M386" s="13" t="n"/>
      <c r="N386" s="17">
        <f>IF($D386="","",IF(ISNA(MATCH($D386,项目名表,0)),"※项目不在项目台账里",IF($F386="※材料类别没选","※材料类别没选",IF(AND($C386&lt;&gt;"",ISNA(MATCH($C386,供应商表,0))),"※供应商不在基础资料里",""))))</f>
        <v/>
      </c>
    </row>
    <row r="387">
      <c r="A387" s="17">
        <f>IF($D387="","",ROW()-3)</f>
        <v/>
      </c>
      <c r="B387" s="18" t="n"/>
      <c r="C387" s="13" t="n"/>
      <c r="D387" s="13" t="n"/>
      <c r="E387" s="13" t="n"/>
      <c r="F387" s="17">
        <f>IF($D387="","",IFERROR(VLOOKUP($E387,材料归属,2,0),"※材料类别没选"))</f>
        <v/>
      </c>
      <c r="G387" s="13" t="n"/>
      <c r="H387" s="13" t="n"/>
      <c r="I387" s="13" t="n"/>
      <c r="J387" s="20" t="n"/>
      <c r="K387" s="14" t="n"/>
      <c r="L387" s="19">
        <f>IF($D387="","",ROUND(IF($J387="",1,$J387)*N($K387),2))</f>
        <v/>
      </c>
      <c r="M387" s="13" t="n"/>
      <c r="N387" s="17">
        <f>IF($D387="","",IF(ISNA(MATCH($D387,项目名表,0)),"※项目不在项目台账里",IF($F387="※材料类别没选","※材料类别没选",IF(AND($C387&lt;&gt;"",ISNA(MATCH($C387,供应商表,0))),"※供应商不在基础资料里",""))))</f>
        <v/>
      </c>
    </row>
    <row r="388">
      <c r="A388" s="17">
        <f>IF($D388="","",ROW()-3)</f>
        <v/>
      </c>
      <c r="B388" s="18" t="n"/>
      <c r="C388" s="13" t="n"/>
      <c r="D388" s="13" t="n"/>
      <c r="E388" s="13" t="n"/>
      <c r="F388" s="17">
        <f>IF($D388="","",IFERROR(VLOOKUP($E388,材料归属,2,0),"※材料类别没选"))</f>
        <v/>
      </c>
      <c r="G388" s="13" t="n"/>
      <c r="H388" s="13" t="n"/>
      <c r="I388" s="13" t="n"/>
      <c r="J388" s="20" t="n"/>
      <c r="K388" s="14" t="n"/>
      <c r="L388" s="19">
        <f>IF($D388="","",ROUND(IF($J388="",1,$J388)*N($K388),2))</f>
        <v/>
      </c>
      <c r="M388" s="13" t="n"/>
      <c r="N388" s="17">
        <f>IF($D388="","",IF(ISNA(MATCH($D388,项目名表,0)),"※项目不在项目台账里",IF($F388="※材料类别没选","※材料类别没选",IF(AND($C388&lt;&gt;"",ISNA(MATCH($C388,供应商表,0))),"※供应商不在基础资料里",""))))</f>
        <v/>
      </c>
    </row>
    <row r="389">
      <c r="A389" s="17">
        <f>IF($D389="","",ROW()-3)</f>
        <v/>
      </c>
      <c r="B389" s="18" t="n"/>
      <c r="C389" s="13" t="n"/>
      <c r="D389" s="13" t="n"/>
      <c r="E389" s="13" t="n"/>
      <c r="F389" s="17">
        <f>IF($D389="","",IFERROR(VLOOKUP($E389,材料归属,2,0),"※材料类别没选"))</f>
        <v/>
      </c>
      <c r="G389" s="13" t="n"/>
      <c r="H389" s="13" t="n"/>
      <c r="I389" s="13" t="n"/>
      <c r="J389" s="20" t="n"/>
      <c r="K389" s="14" t="n"/>
      <c r="L389" s="19">
        <f>IF($D389="","",ROUND(IF($J389="",1,$J389)*N($K389),2))</f>
        <v/>
      </c>
      <c r="M389" s="13" t="n"/>
      <c r="N389" s="17">
        <f>IF($D389="","",IF(ISNA(MATCH($D389,项目名表,0)),"※项目不在项目台账里",IF($F389="※材料类别没选","※材料类别没选",IF(AND($C389&lt;&gt;"",ISNA(MATCH($C389,供应商表,0))),"※供应商不在基础资料里",""))))</f>
        <v/>
      </c>
    </row>
    <row r="390">
      <c r="A390" s="17">
        <f>IF($D390="","",ROW()-3)</f>
        <v/>
      </c>
      <c r="B390" s="18" t="n"/>
      <c r="C390" s="13" t="n"/>
      <c r="D390" s="13" t="n"/>
      <c r="E390" s="13" t="n"/>
      <c r="F390" s="17">
        <f>IF($D390="","",IFERROR(VLOOKUP($E390,材料归属,2,0),"※材料类别没选"))</f>
        <v/>
      </c>
      <c r="G390" s="13" t="n"/>
      <c r="H390" s="13" t="n"/>
      <c r="I390" s="13" t="n"/>
      <c r="J390" s="20" t="n"/>
      <c r="K390" s="14" t="n"/>
      <c r="L390" s="19">
        <f>IF($D390="","",ROUND(IF($J390="",1,$J390)*N($K390),2))</f>
        <v/>
      </c>
      <c r="M390" s="13" t="n"/>
      <c r="N390" s="17">
        <f>IF($D390="","",IF(ISNA(MATCH($D390,项目名表,0)),"※项目不在项目台账里",IF($F390="※材料类别没选","※材料类别没选",IF(AND($C390&lt;&gt;"",ISNA(MATCH($C390,供应商表,0))),"※供应商不在基础资料里",""))))</f>
        <v/>
      </c>
    </row>
    <row r="391">
      <c r="A391" s="17">
        <f>IF($D391="","",ROW()-3)</f>
        <v/>
      </c>
      <c r="B391" s="18" t="n"/>
      <c r="C391" s="13" t="n"/>
      <c r="D391" s="13" t="n"/>
      <c r="E391" s="13" t="n"/>
      <c r="F391" s="17">
        <f>IF($D391="","",IFERROR(VLOOKUP($E391,材料归属,2,0),"※材料类别没选"))</f>
        <v/>
      </c>
      <c r="G391" s="13" t="n"/>
      <c r="H391" s="13" t="n"/>
      <c r="I391" s="13" t="n"/>
      <c r="J391" s="20" t="n"/>
      <c r="K391" s="14" t="n"/>
      <c r="L391" s="19">
        <f>IF($D391="","",ROUND(IF($J391="",1,$J391)*N($K391),2))</f>
        <v/>
      </c>
      <c r="M391" s="13" t="n"/>
      <c r="N391" s="17">
        <f>IF($D391="","",IF(ISNA(MATCH($D391,项目名表,0)),"※项目不在项目台账里",IF($F391="※材料类别没选","※材料类别没选",IF(AND($C391&lt;&gt;"",ISNA(MATCH($C391,供应商表,0))),"※供应商不在基础资料里",""))))</f>
        <v/>
      </c>
    </row>
    <row r="392">
      <c r="A392" s="17">
        <f>IF($D392="","",ROW()-3)</f>
        <v/>
      </c>
      <c r="B392" s="18" t="n"/>
      <c r="C392" s="13" t="n"/>
      <c r="D392" s="13" t="n"/>
      <c r="E392" s="13" t="n"/>
      <c r="F392" s="17">
        <f>IF($D392="","",IFERROR(VLOOKUP($E392,材料归属,2,0),"※材料类别没选"))</f>
        <v/>
      </c>
      <c r="G392" s="13" t="n"/>
      <c r="H392" s="13" t="n"/>
      <c r="I392" s="13" t="n"/>
      <c r="J392" s="20" t="n"/>
      <c r="K392" s="14" t="n"/>
      <c r="L392" s="19">
        <f>IF($D392="","",ROUND(IF($J392="",1,$J392)*N($K392),2))</f>
        <v/>
      </c>
      <c r="M392" s="13" t="n"/>
      <c r="N392" s="17">
        <f>IF($D392="","",IF(ISNA(MATCH($D392,项目名表,0)),"※项目不在项目台账里",IF($F392="※材料类别没选","※材料类别没选",IF(AND($C392&lt;&gt;"",ISNA(MATCH($C392,供应商表,0))),"※供应商不在基础资料里",""))))</f>
        <v/>
      </c>
    </row>
    <row r="393">
      <c r="A393" s="17">
        <f>IF($D393="","",ROW()-3)</f>
        <v/>
      </c>
      <c r="B393" s="18" t="n"/>
      <c r="C393" s="13" t="n"/>
      <c r="D393" s="13" t="n"/>
      <c r="E393" s="13" t="n"/>
      <c r="F393" s="17">
        <f>IF($D393="","",IFERROR(VLOOKUP($E393,材料归属,2,0),"※材料类别没选"))</f>
        <v/>
      </c>
      <c r="G393" s="13" t="n"/>
      <c r="H393" s="13" t="n"/>
      <c r="I393" s="13" t="n"/>
      <c r="J393" s="20" t="n"/>
      <c r="K393" s="14" t="n"/>
      <c r="L393" s="19">
        <f>IF($D393="","",ROUND(IF($J393="",1,$J393)*N($K393),2))</f>
        <v/>
      </c>
      <c r="M393" s="13" t="n"/>
      <c r="N393" s="17">
        <f>IF($D393="","",IF(ISNA(MATCH($D393,项目名表,0)),"※项目不在项目台账里",IF($F393="※材料类别没选","※材料类别没选",IF(AND($C393&lt;&gt;"",ISNA(MATCH($C393,供应商表,0))),"※供应商不在基础资料里",""))))</f>
        <v/>
      </c>
    </row>
    <row r="394">
      <c r="A394" s="17">
        <f>IF($D394="","",ROW()-3)</f>
        <v/>
      </c>
      <c r="B394" s="18" t="n"/>
      <c r="C394" s="13" t="n"/>
      <c r="D394" s="13" t="n"/>
      <c r="E394" s="13" t="n"/>
      <c r="F394" s="17">
        <f>IF($D394="","",IFERROR(VLOOKUP($E394,材料归属,2,0),"※材料类别没选"))</f>
        <v/>
      </c>
      <c r="G394" s="13" t="n"/>
      <c r="H394" s="13" t="n"/>
      <c r="I394" s="13" t="n"/>
      <c r="J394" s="20" t="n"/>
      <c r="K394" s="14" t="n"/>
      <c r="L394" s="19">
        <f>IF($D394="","",ROUND(IF($J394="",1,$J394)*N($K394),2))</f>
        <v/>
      </c>
      <c r="M394" s="13" t="n"/>
      <c r="N394" s="17">
        <f>IF($D394="","",IF(ISNA(MATCH($D394,项目名表,0)),"※项目不在项目台账里",IF($F394="※材料类别没选","※材料类别没选",IF(AND($C394&lt;&gt;"",ISNA(MATCH($C394,供应商表,0))),"※供应商不在基础资料里",""))))</f>
        <v/>
      </c>
    </row>
    <row r="395">
      <c r="A395" s="17">
        <f>IF($D395="","",ROW()-3)</f>
        <v/>
      </c>
      <c r="B395" s="18" t="n"/>
      <c r="C395" s="13" t="n"/>
      <c r="D395" s="13" t="n"/>
      <c r="E395" s="13" t="n"/>
      <c r="F395" s="17">
        <f>IF($D395="","",IFERROR(VLOOKUP($E395,材料归属,2,0),"※材料类别没选"))</f>
        <v/>
      </c>
      <c r="G395" s="13" t="n"/>
      <c r="H395" s="13" t="n"/>
      <c r="I395" s="13" t="n"/>
      <c r="J395" s="20" t="n"/>
      <c r="K395" s="14" t="n"/>
      <c r="L395" s="19">
        <f>IF($D395="","",ROUND(IF($J395="",1,$J395)*N($K395),2))</f>
        <v/>
      </c>
      <c r="M395" s="13" t="n"/>
      <c r="N395" s="17">
        <f>IF($D395="","",IF(ISNA(MATCH($D395,项目名表,0)),"※项目不在项目台账里",IF($F395="※材料类别没选","※材料类别没选",IF(AND($C395&lt;&gt;"",ISNA(MATCH($C395,供应商表,0))),"※供应商不在基础资料里",""))))</f>
        <v/>
      </c>
    </row>
    <row r="396">
      <c r="A396" s="17">
        <f>IF($D396="","",ROW()-3)</f>
        <v/>
      </c>
      <c r="B396" s="18" t="n"/>
      <c r="C396" s="13" t="n"/>
      <c r="D396" s="13" t="n"/>
      <c r="E396" s="13" t="n"/>
      <c r="F396" s="17">
        <f>IF($D396="","",IFERROR(VLOOKUP($E396,材料归属,2,0),"※材料类别没选"))</f>
        <v/>
      </c>
      <c r="G396" s="13" t="n"/>
      <c r="H396" s="13" t="n"/>
      <c r="I396" s="13" t="n"/>
      <c r="J396" s="20" t="n"/>
      <c r="K396" s="14" t="n"/>
      <c r="L396" s="19">
        <f>IF($D396="","",ROUND(IF($J396="",1,$J396)*N($K396),2))</f>
        <v/>
      </c>
      <c r="M396" s="13" t="n"/>
      <c r="N396" s="17">
        <f>IF($D396="","",IF(ISNA(MATCH($D396,项目名表,0)),"※项目不在项目台账里",IF($F396="※材料类别没选","※材料类别没选",IF(AND($C396&lt;&gt;"",ISNA(MATCH($C396,供应商表,0))),"※供应商不在基础资料里",""))))</f>
        <v/>
      </c>
    </row>
    <row r="397">
      <c r="A397" s="17">
        <f>IF($D397="","",ROW()-3)</f>
        <v/>
      </c>
      <c r="B397" s="18" t="n"/>
      <c r="C397" s="13" t="n"/>
      <c r="D397" s="13" t="n"/>
      <c r="E397" s="13" t="n"/>
      <c r="F397" s="17">
        <f>IF($D397="","",IFERROR(VLOOKUP($E397,材料归属,2,0),"※材料类别没选"))</f>
        <v/>
      </c>
      <c r="G397" s="13" t="n"/>
      <c r="H397" s="13" t="n"/>
      <c r="I397" s="13" t="n"/>
      <c r="J397" s="20" t="n"/>
      <c r="K397" s="14" t="n"/>
      <c r="L397" s="19">
        <f>IF($D397="","",ROUND(IF($J397="",1,$J397)*N($K397),2))</f>
        <v/>
      </c>
      <c r="M397" s="13" t="n"/>
      <c r="N397" s="17">
        <f>IF($D397="","",IF(ISNA(MATCH($D397,项目名表,0)),"※项目不在项目台账里",IF($F397="※材料类别没选","※材料类别没选",IF(AND($C397&lt;&gt;"",ISNA(MATCH($C397,供应商表,0))),"※供应商不在基础资料里",""))))</f>
        <v/>
      </c>
    </row>
    <row r="398">
      <c r="A398" s="17">
        <f>IF($D398="","",ROW()-3)</f>
        <v/>
      </c>
      <c r="B398" s="18" t="n"/>
      <c r="C398" s="13" t="n"/>
      <c r="D398" s="13" t="n"/>
      <c r="E398" s="13" t="n"/>
      <c r="F398" s="17">
        <f>IF($D398="","",IFERROR(VLOOKUP($E398,材料归属,2,0),"※材料类别没选"))</f>
        <v/>
      </c>
      <c r="G398" s="13" t="n"/>
      <c r="H398" s="13" t="n"/>
      <c r="I398" s="13" t="n"/>
      <c r="J398" s="20" t="n"/>
      <c r="K398" s="14" t="n"/>
      <c r="L398" s="19">
        <f>IF($D398="","",ROUND(IF($J398="",1,$J398)*N($K398),2))</f>
        <v/>
      </c>
      <c r="M398" s="13" t="n"/>
      <c r="N398" s="17">
        <f>IF($D398="","",IF(ISNA(MATCH($D398,项目名表,0)),"※项目不在项目台账里",IF($F398="※材料类别没选","※材料类别没选",IF(AND($C398&lt;&gt;"",ISNA(MATCH($C398,供应商表,0))),"※供应商不在基础资料里",""))))</f>
        <v/>
      </c>
    </row>
    <row r="399">
      <c r="A399" s="17">
        <f>IF($D399="","",ROW()-3)</f>
        <v/>
      </c>
      <c r="B399" s="18" t="n"/>
      <c r="C399" s="13" t="n"/>
      <c r="D399" s="13" t="n"/>
      <c r="E399" s="13" t="n"/>
      <c r="F399" s="17">
        <f>IF($D399="","",IFERROR(VLOOKUP($E399,材料归属,2,0),"※材料类别没选"))</f>
        <v/>
      </c>
      <c r="G399" s="13" t="n"/>
      <c r="H399" s="13" t="n"/>
      <c r="I399" s="13" t="n"/>
      <c r="J399" s="20" t="n"/>
      <c r="K399" s="14" t="n"/>
      <c r="L399" s="19">
        <f>IF($D399="","",ROUND(IF($J399="",1,$J399)*N($K399),2))</f>
        <v/>
      </c>
      <c r="M399" s="13" t="n"/>
      <c r="N399" s="17">
        <f>IF($D399="","",IF(ISNA(MATCH($D399,项目名表,0)),"※项目不在项目台账里",IF($F399="※材料类别没选","※材料类别没选",IF(AND($C399&lt;&gt;"",ISNA(MATCH($C399,供应商表,0))),"※供应商不在基础资料里",""))))</f>
        <v/>
      </c>
    </row>
    <row r="400">
      <c r="A400" s="17">
        <f>IF($D400="","",ROW()-3)</f>
        <v/>
      </c>
      <c r="B400" s="18" t="n"/>
      <c r="C400" s="13" t="n"/>
      <c r="D400" s="13" t="n"/>
      <c r="E400" s="13" t="n"/>
      <c r="F400" s="17">
        <f>IF($D400="","",IFERROR(VLOOKUP($E400,材料归属,2,0),"※材料类别没选"))</f>
        <v/>
      </c>
      <c r="G400" s="13" t="n"/>
      <c r="H400" s="13" t="n"/>
      <c r="I400" s="13" t="n"/>
      <c r="J400" s="20" t="n"/>
      <c r="K400" s="14" t="n"/>
      <c r="L400" s="19">
        <f>IF($D400="","",ROUND(IF($J400="",1,$J400)*N($K400),2))</f>
        <v/>
      </c>
      <c r="M400" s="13" t="n"/>
      <c r="N400" s="17">
        <f>IF($D400="","",IF(ISNA(MATCH($D400,项目名表,0)),"※项目不在项目台账里",IF($F400="※材料类别没选","※材料类别没选",IF(AND($C400&lt;&gt;"",ISNA(MATCH($C400,供应商表,0))),"※供应商不在基础资料里",""))))</f>
        <v/>
      </c>
    </row>
    <row r="401">
      <c r="A401" s="17">
        <f>IF($D401="","",ROW()-3)</f>
        <v/>
      </c>
      <c r="B401" s="18" t="n"/>
      <c r="C401" s="13" t="n"/>
      <c r="D401" s="13" t="n"/>
      <c r="E401" s="13" t="n"/>
      <c r="F401" s="17">
        <f>IF($D401="","",IFERROR(VLOOKUP($E401,材料归属,2,0),"※材料类别没选"))</f>
        <v/>
      </c>
      <c r="G401" s="13" t="n"/>
      <c r="H401" s="13" t="n"/>
      <c r="I401" s="13" t="n"/>
      <c r="J401" s="20" t="n"/>
      <c r="K401" s="14" t="n"/>
      <c r="L401" s="19">
        <f>IF($D401="","",ROUND(IF($J401="",1,$J401)*N($K401),2))</f>
        <v/>
      </c>
      <c r="M401" s="13" t="n"/>
      <c r="N401" s="17">
        <f>IF($D401="","",IF(ISNA(MATCH($D401,项目名表,0)),"※项目不在项目台账里",IF($F401="※材料类别没选","※材料类别没选",IF(AND($C401&lt;&gt;"",ISNA(MATCH($C401,供应商表,0))),"※供应商不在基础资料里",""))))</f>
        <v/>
      </c>
    </row>
    <row r="402">
      <c r="A402" s="17">
        <f>IF($D402="","",ROW()-3)</f>
        <v/>
      </c>
      <c r="B402" s="18" t="n"/>
      <c r="C402" s="13" t="n"/>
      <c r="D402" s="13" t="n"/>
      <c r="E402" s="13" t="n"/>
      <c r="F402" s="17">
        <f>IF($D402="","",IFERROR(VLOOKUP($E402,材料归属,2,0),"※材料类别没选"))</f>
        <v/>
      </c>
      <c r="G402" s="13" t="n"/>
      <c r="H402" s="13" t="n"/>
      <c r="I402" s="13" t="n"/>
      <c r="J402" s="20" t="n"/>
      <c r="K402" s="14" t="n"/>
      <c r="L402" s="19">
        <f>IF($D402="","",ROUND(IF($J402="",1,$J402)*N($K402),2))</f>
        <v/>
      </c>
      <c r="M402" s="13" t="n"/>
      <c r="N402" s="17">
        <f>IF($D402="","",IF(ISNA(MATCH($D402,项目名表,0)),"※项目不在项目台账里",IF($F402="※材料类别没选","※材料类别没选",IF(AND($C402&lt;&gt;"",ISNA(MATCH($C402,供应商表,0))),"※供应商不在基础资料里",""))))</f>
        <v/>
      </c>
    </row>
    <row r="403">
      <c r="A403" s="17">
        <f>IF($D403="","",ROW()-3)</f>
        <v/>
      </c>
      <c r="B403" s="18" t="n"/>
      <c r="C403" s="13" t="n"/>
      <c r="D403" s="13" t="n"/>
      <c r="E403" s="13" t="n"/>
      <c r="F403" s="17">
        <f>IF($D403="","",IFERROR(VLOOKUP($E403,材料归属,2,0),"※材料类别没选"))</f>
        <v/>
      </c>
      <c r="G403" s="13" t="n"/>
      <c r="H403" s="13" t="n"/>
      <c r="I403" s="13" t="n"/>
      <c r="J403" s="20" t="n"/>
      <c r="K403" s="14" t="n"/>
      <c r="L403" s="19">
        <f>IF($D403="","",ROUND(IF($J403="",1,$J403)*N($K403),2))</f>
        <v/>
      </c>
      <c r="M403" s="13" t="n"/>
      <c r="N403" s="17">
        <f>IF($D403="","",IF(ISNA(MATCH($D403,项目名表,0)),"※项目不在项目台账里",IF($F403="※材料类别没选","※材料类别没选",IF(AND($C403&lt;&gt;"",ISNA(MATCH($C403,供应商表,0))),"※供应商不在基础资料里",""))))</f>
        <v/>
      </c>
    </row>
    <row r="404">
      <c r="A404" s="17">
        <f>IF($D404="","",ROW()-3)</f>
        <v/>
      </c>
      <c r="B404" s="18" t="n"/>
      <c r="C404" s="13" t="n"/>
      <c r="D404" s="13" t="n"/>
      <c r="E404" s="13" t="n"/>
      <c r="F404" s="17">
        <f>IF($D404="","",IFERROR(VLOOKUP($E404,材料归属,2,0),"※材料类别没选"))</f>
        <v/>
      </c>
      <c r="G404" s="13" t="n"/>
      <c r="H404" s="13" t="n"/>
      <c r="I404" s="13" t="n"/>
      <c r="J404" s="20" t="n"/>
      <c r="K404" s="14" t="n"/>
      <c r="L404" s="19">
        <f>IF($D404="","",ROUND(IF($J404="",1,$J404)*N($K404),2))</f>
        <v/>
      </c>
      <c r="M404" s="13" t="n"/>
      <c r="N404" s="17">
        <f>IF($D404="","",IF(ISNA(MATCH($D404,项目名表,0)),"※项目不在项目台账里",IF($F404="※材料类别没选","※材料类别没选",IF(AND($C404&lt;&gt;"",ISNA(MATCH($C404,供应商表,0))),"※供应商不在基础资料里",""))))</f>
        <v/>
      </c>
    </row>
    <row r="405">
      <c r="A405" s="17">
        <f>IF($D405="","",ROW()-3)</f>
        <v/>
      </c>
      <c r="B405" s="18" t="n"/>
      <c r="C405" s="13" t="n"/>
      <c r="D405" s="13" t="n"/>
      <c r="E405" s="13" t="n"/>
      <c r="F405" s="17">
        <f>IF($D405="","",IFERROR(VLOOKUP($E405,材料归属,2,0),"※材料类别没选"))</f>
        <v/>
      </c>
      <c r="G405" s="13" t="n"/>
      <c r="H405" s="13" t="n"/>
      <c r="I405" s="13" t="n"/>
      <c r="J405" s="20" t="n"/>
      <c r="K405" s="14" t="n"/>
      <c r="L405" s="19">
        <f>IF($D405="","",ROUND(IF($J405="",1,$J405)*N($K405),2))</f>
        <v/>
      </c>
      <c r="M405" s="13" t="n"/>
      <c r="N405" s="17">
        <f>IF($D405="","",IF(ISNA(MATCH($D405,项目名表,0)),"※项目不在项目台账里",IF($F405="※材料类别没选","※材料类别没选",IF(AND($C405&lt;&gt;"",ISNA(MATCH($C405,供应商表,0))),"※供应商不在基础资料里",""))))</f>
        <v/>
      </c>
    </row>
    <row r="406">
      <c r="A406" s="17">
        <f>IF($D406="","",ROW()-3)</f>
        <v/>
      </c>
      <c r="B406" s="18" t="n"/>
      <c r="C406" s="13" t="n"/>
      <c r="D406" s="13" t="n"/>
      <c r="E406" s="13" t="n"/>
      <c r="F406" s="17">
        <f>IF($D406="","",IFERROR(VLOOKUP($E406,材料归属,2,0),"※材料类别没选"))</f>
        <v/>
      </c>
      <c r="G406" s="13" t="n"/>
      <c r="H406" s="13" t="n"/>
      <c r="I406" s="13" t="n"/>
      <c r="J406" s="20" t="n"/>
      <c r="K406" s="14" t="n"/>
      <c r="L406" s="19">
        <f>IF($D406="","",ROUND(IF($J406="",1,$J406)*N($K406),2))</f>
        <v/>
      </c>
      <c r="M406" s="13" t="n"/>
      <c r="N406" s="17">
        <f>IF($D406="","",IF(ISNA(MATCH($D406,项目名表,0)),"※项目不在项目台账里",IF($F406="※材料类别没选","※材料类别没选",IF(AND($C406&lt;&gt;"",ISNA(MATCH($C406,供应商表,0))),"※供应商不在基础资料里",""))))</f>
        <v/>
      </c>
    </row>
    <row r="407">
      <c r="A407" s="17">
        <f>IF($D407="","",ROW()-3)</f>
        <v/>
      </c>
      <c r="B407" s="18" t="n"/>
      <c r="C407" s="13" t="n"/>
      <c r="D407" s="13" t="n"/>
      <c r="E407" s="13" t="n"/>
      <c r="F407" s="17">
        <f>IF($D407="","",IFERROR(VLOOKUP($E407,材料归属,2,0),"※材料类别没选"))</f>
        <v/>
      </c>
      <c r="G407" s="13" t="n"/>
      <c r="H407" s="13" t="n"/>
      <c r="I407" s="13" t="n"/>
      <c r="J407" s="20" t="n"/>
      <c r="K407" s="14" t="n"/>
      <c r="L407" s="19">
        <f>IF($D407="","",ROUND(IF($J407="",1,$J407)*N($K407),2))</f>
        <v/>
      </c>
      <c r="M407" s="13" t="n"/>
      <c r="N407" s="17">
        <f>IF($D407="","",IF(ISNA(MATCH($D407,项目名表,0)),"※项目不在项目台账里",IF($F407="※材料类别没选","※材料类别没选",IF(AND($C407&lt;&gt;"",ISNA(MATCH($C407,供应商表,0))),"※供应商不在基础资料里",""))))</f>
        <v/>
      </c>
    </row>
    <row r="408">
      <c r="A408" s="17">
        <f>IF($D408="","",ROW()-3)</f>
        <v/>
      </c>
      <c r="B408" s="18" t="n"/>
      <c r="C408" s="13" t="n"/>
      <c r="D408" s="13" t="n"/>
      <c r="E408" s="13" t="n"/>
      <c r="F408" s="17">
        <f>IF($D408="","",IFERROR(VLOOKUP($E408,材料归属,2,0),"※材料类别没选"))</f>
        <v/>
      </c>
      <c r="G408" s="13" t="n"/>
      <c r="H408" s="13" t="n"/>
      <c r="I408" s="13" t="n"/>
      <c r="J408" s="20" t="n"/>
      <c r="K408" s="14" t="n"/>
      <c r="L408" s="19">
        <f>IF($D408="","",ROUND(IF($J408="",1,$J408)*N($K408),2))</f>
        <v/>
      </c>
      <c r="M408" s="13" t="n"/>
      <c r="N408" s="17">
        <f>IF($D408="","",IF(ISNA(MATCH($D408,项目名表,0)),"※项目不在项目台账里",IF($F408="※材料类别没选","※材料类别没选",IF(AND($C408&lt;&gt;"",ISNA(MATCH($C408,供应商表,0))),"※供应商不在基础资料里",""))))</f>
        <v/>
      </c>
    </row>
    <row r="409">
      <c r="A409" s="17">
        <f>IF($D409="","",ROW()-3)</f>
        <v/>
      </c>
      <c r="B409" s="18" t="n"/>
      <c r="C409" s="13" t="n"/>
      <c r="D409" s="13" t="n"/>
      <c r="E409" s="13" t="n"/>
      <c r="F409" s="17">
        <f>IF($D409="","",IFERROR(VLOOKUP($E409,材料归属,2,0),"※材料类别没选"))</f>
        <v/>
      </c>
      <c r="G409" s="13" t="n"/>
      <c r="H409" s="13" t="n"/>
      <c r="I409" s="13" t="n"/>
      <c r="J409" s="20" t="n"/>
      <c r="K409" s="14" t="n"/>
      <c r="L409" s="19">
        <f>IF($D409="","",ROUND(IF($J409="",1,$J409)*N($K409),2))</f>
        <v/>
      </c>
      <c r="M409" s="13" t="n"/>
      <c r="N409" s="17">
        <f>IF($D409="","",IF(ISNA(MATCH($D409,项目名表,0)),"※项目不在项目台账里",IF($F409="※材料类别没选","※材料类别没选",IF(AND($C409&lt;&gt;"",ISNA(MATCH($C409,供应商表,0))),"※供应商不在基础资料里",""))))</f>
        <v/>
      </c>
    </row>
    <row r="410">
      <c r="A410" s="17">
        <f>IF($D410="","",ROW()-3)</f>
        <v/>
      </c>
      <c r="B410" s="18" t="n"/>
      <c r="C410" s="13" t="n"/>
      <c r="D410" s="13" t="n"/>
      <c r="E410" s="13" t="n"/>
      <c r="F410" s="17">
        <f>IF($D410="","",IFERROR(VLOOKUP($E410,材料归属,2,0),"※材料类别没选"))</f>
        <v/>
      </c>
      <c r="G410" s="13" t="n"/>
      <c r="H410" s="13" t="n"/>
      <c r="I410" s="13" t="n"/>
      <c r="J410" s="20" t="n"/>
      <c r="K410" s="14" t="n"/>
      <c r="L410" s="19">
        <f>IF($D410="","",ROUND(IF($J410="",1,$J410)*N($K410),2))</f>
        <v/>
      </c>
      <c r="M410" s="13" t="n"/>
      <c r="N410" s="17">
        <f>IF($D410="","",IF(ISNA(MATCH($D410,项目名表,0)),"※项目不在项目台账里",IF($F410="※材料类别没选","※材料类别没选",IF(AND($C410&lt;&gt;"",ISNA(MATCH($C410,供应商表,0))),"※供应商不在基础资料里",""))))</f>
        <v/>
      </c>
    </row>
    <row r="411">
      <c r="A411" s="17">
        <f>IF($D411="","",ROW()-3)</f>
        <v/>
      </c>
      <c r="B411" s="18" t="n"/>
      <c r="C411" s="13" t="n"/>
      <c r="D411" s="13" t="n"/>
      <c r="E411" s="13" t="n"/>
      <c r="F411" s="17">
        <f>IF($D411="","",IFERROR(VLOOKUP($E411,材料归属,2,0),"※材料类别没选"))</f>
        <v/>
      </c>
      <c r="G411" s="13" t="n"/>
      <c r="H411" s="13" t="n"/>
      <c r="I411" s="13" t="n"/>
      <c r="J411" s="20" t="n"/>
      <c r="K411" s="14" t="n"/>
      <c r="L411" s="19">
        <f>IF($D411="","",ROUND(IF($J411="",1,$J411)*N($K411),2))</f>
        <v/>
      </c>
      <c r="M411" s="13" t="n"/>
      <c r="N411" s="17">
        <f>IF($D411="","",IF(ISNA(MATCH($D411,项目名表,0)),"※项目不在项目台账里",IF($F411="※材料类别没选","※材料类别没选",IF(AND($C411&lt;&gt;"",ISNA(MATCH($C411,供应商表,0))),"※供应商不在基础资料里",""))))</f>
        <v/>
      </c>
    </row>
    <row r="412">
      <c r="A412" s="17">
        <f>IF($D412="","",ROW()-3)</f>
        <v/>
      </c>
      <c r="B412" s="18" t="n"/>
      <c r="C412" s="13" t="n"/>
      <c r="D412" s="13" t="n"/>
      <c r="E412" s="13" t="n"/>
      <c r="F412" s="17">
        <f>IF($D412="","",IFERROR(VLOOKUP($E412,材料归属,2,0),"※材料类别没选"))</f>
        <v/>
      </c>
      <c r="G412" s="13" t="n"/>
      <c r="H412" s="13" t="n"/>
      <c r="I412" s="13" t="n"/>
      <c r="J412" s="20" t="n"/>
      <c r="K412" s="14" t="n"/>
      <c r="L412" s="19">
        <f>IF($D412="","",ROUND(IF($J412="",1,$J412)*N($K412),2))</f>
        <v/>
      </c>
      <c r="M412" s="13" t="n"/>
      <c r="N412" s="17">
        <f>IF($D412="","",IF(ISNA(MATCH($D412,项目名表,0)),"※项目不在项目台账里",IF($F412="※材料类别没选","※材料类别没选",IF(AND($C412&lt;&gt;"",ISNA(MATCH($C412,供应商表,0))),"※供应商不在基础资料里",""))))</f>
        <v/>
      </c>
    </row>
    <row r="413">
      <c r="A413" s="17">
        <f>IF($D413="","",ROW()-3)</f>
        <v/>
      </c>
      <c r="B413" s="18" t="n"/>
      <c r="C413" s="13" t="n"/>
      <c r="D413" s="13" t="n"/>
      <c r="E413" s="13" t="n"/>
      <c r="F413" s="17">
        <f>IF($D413="","",IFERROR(VLOOKUP($E413,材料归属,2,0),"※材料类别没选"))</f>
        <v/>
      </c>
      <c r="G413" s="13" t="n"/>
      <c r="H413" s="13" t="n"/>
      <c r="I413" s="13" t="n"/>
      <c r="J413" s="20" t="n"/>
      <c r="K413" s="14" t="n"/>
      <c r="L413" s="19">
        <f>IF($D413="","",ROUND(IF($J413="",1,$J413)*N($K413),2))</f>
        <v/>
      </c>
      <c r="M413" s="13" t="n"/>
      <c r="N413" s="17">
        <f>IF($D413="","",IF(ISNA(MATCH($D413,项目名表,0)),"※项目不在项目台账里",IF($F413="※材料类别没选","※材料类别没选",IF(AND($C413&lt;&gt;"",ISNA(MATCH($C413,供应商表,0))),"※供应商不在基础资料里",""))))</f>
        <v/>
      </c>
    </row>
    <row r="414">
      <c r="A414" s="17">
        <f>IF($D414="","",ROW()-3)</f>
        <v/>
      </c>
      <c r="B414" s="18" t="n"/>
      <c r="C414" s="13" t="n"/>
      <c r="D414" s="13" t="n"/>
      <c r="E414" s="13" t="n"/>
      <c r="F414" s="17">
        <f>IF($D414="","",IFERROR(VLOOKUP($E414,材料归属,2,0),"※材料类别没选"))</f>
        <v/>
      </c>
      <c r="G414" s="13" t="n"/>
      <c r="H414" s="13" t="n"/>
      <c r="I414" s="13" t="n"/>
      <c r="J414" s="20" t="n"/>
      <c r="K414" s="14" t="n"/>
      <c r="L414" s="19">
        <f>IF($D414="","",ROUND(IF($J414="",1,$J414)*N($K414),2))</f>
        <v/>
      </c>
      <c r="M414" s="13" t="n"/>
      <c r="N414" s="17">
        <f>IF($D414="","",IF(ISNA(MATCH($D414,项目名表,0)),"※项目不在项目台账里",IF($F414="※材料类别没选","※材料类别没选",IF(AND($C414&lt;&gt;"",ISNA(MATCH($C414,供应商表,0))),"※供应商不在基础资料里",""))))</f>
        <v/>
      </c>
    </row>
    <row r="415">
      <c r="A415" s="17">
        <f>IF($D415="","",ROW()-3)</f>
        <v/>
      </c>
      <c r="B415" s="18" t="n"/>
      <c r="C415" s="13" t="n"/>
      <c r="D415" s="13" t="n"/>
      <c r="E415" s="13" t="n"/>
      <c r="F415" s="17">
        <f>IF($D415="","",IFERROR(VLOOKUP($E415,材料归属,2,0),"※材料类别没选"))</f>
        <v/>
      </c>
      <c r="G415" s="13" t="n"/>
      <c r="H415" s="13" t="n"/>
      <c r="I415" s="13" t="n"/>
      <c r="J415" s="20" t="n"/>
      <c r="K415" s="14" t="n"/>
      <c r="L415" s="19">
        <f>IF($D415="","",ROUND(IF($J415="",1,$J415)*N($K415),2))</f>
        <v/>
      </c>
      <c r="M415" s="13" t="n"/>
      <c r="N415" s="17">
        <f>IF($D415="","",IF(ISNA(MATCH($D415,项目名表,0)),"※项目不在项目台账里",IF($F415="※材料类别没选","※材料类别没选",IF(AND($C415&lt;&gt;"",ISNA(MATCH($C415,供应商表,0))),"※供应商不在基础资料里",""))))</f>
        <v/>
      </c>
    </row>
    <row r="416">
      <c r="A416" s="17">
        <f>IF($D416="","",ROW()-3)</f>
        <v/>
      </c>
      <c r="B416" s="18" t="n"/>
      <c r="C416" s="13" t="n"/>
      <c r="D416" s="13" t="n"/>
      <c r="E416" s="13" t="n"/>
      <c r="F416" s="17">
        <f>IF($D416="","",IFERROR(VLOOKUP($E416,材料归属,2,0),"※材料类别没选"))</f>
        <v/>
      </c>
      <c r="G416" s="13" t="n"/>
      <c r="H416" s="13" t="n"/>
      <c r="I416" s="13" t="n"/>
      <c r="J416" s="20" t="n"/>
      <c r="K416" s="14" t="n"/>
      <c r="L416" s="19">
        <f>IF($D416="","",ROUND(IF($J416="",1,$J416)*N($K416),2))</f>
        <v/>
      </c>
      <c r="M416" s="13" t="n"/>
      <c r="N416" s="17">
        <f>IF($D416="","",IF(ISNA(MATCH($D416,项目名表,0)),"※项目不在项目台账里",IF($F416="※材料类别没选","※材料类别没选",IF(AND($C416&lt;&gt;"",ISNA(MATCH($C416,供应商表,0))),"※供应商不在基础资料里",""))))</f>
        <v/>
      </c>
    </row>
    <row r="417">
      <c r="A417" s="17">
        <f>IF($D417="","",ROW()-3)</f>
        <v/>
      </c>
      <c r="B417" s="18" t="n"/>
      <c r="C417" s="13" t="n"/>
      <c r="D417" s="13" t="n"/>
      <c r="E417" s="13" t="n"/>
      <c r="F417" s="17">
        <f>IF($D417="","",IFERROR(VLOOKUP($E417,材料归属,2,0),"※材料类别没选"))</f>
        <v/>
      </c>
      <c r="G417" s="13" t="n"/>
      <c r="H417" s="13" t="n"/>
      <c r="I417" s="13" t="n"/>
      <c r="J417" s="20" t="n"/>
      <c r="K417" s="14" t="n"/>
      <c r="L417" s="19">
        <f>IF($D417="","",ROUND(IF($J417="",1,$J417)*N($K417),2))</f>
        <v/>
      </c>
      <c r="M417" s="13" t="n"/>
      <c r="N417" s="17">
        <f>IF($D417="","",IF(ISNA(MATCH($D417,项目名表,0)),"※项目不在项目台账里",IF($F417="※材料类别没选","※材料类别没选",IF(AND($C417&lt;&gt;"",ISNA(MATCH($C417,供应商表,0))),"※供应商不在基础资料里",""))))</f>
        <v/>
      </c>
    </row>
    <row r="418">
      <c r="A418" s="17">
        <f>IF($D418="","",ROW()-3)</f>
        <v/>
      </c>
      <c r="B418" s="18" t="n"/>
      <c r="C418" s="13" t="n"/>
      <c r="D418" s="13" t="n"/>
      <c r="E418" s="13" t="n"/>
      <c r="F418" s="17">
        <f>IF($D418="","",IFERROR(VLOOKUP($E418,材料归属,2,0),"※材料类别没选"))</f>
        <v/>
      </c>
      <c r="G418" s="13" t="n"/>
      <c r="H418" s="13" t="n"/>
      <c r="I418" s="13" t="n"/>
      <c r="J418" s="20" t="n"/>
      <c r="K418" s="14" t="n"/>
      <c r="L418" s="19">
        <f>IF($D418="","",ROUND(IF($J418="",1,$J418)*N($K418),2))</f>
        <v/>
      </c>
      <c r="M418" s="13" t="n"/>
      <c r="N418" s="17">
        <f>IF($D418="","",IF(ISNA(MATCH($D418,项目名表,0)),"※项目不在项目台账里",IF($F418="※材料类别没选","※材料类别没选",IF(AND($C418&lt;&gt;"",ISNA(MATCH($C418,供应商表,0))),"※供应商不在基础资料里",""))))</f>
        <v/>
      </c>
    </row>
    <row r="419">
      <c r="A419" s="17">
        <f>IF($D419="","",ROW()-3)</f>
        <v/>
      </c>
      <c r="B419" s="18" t="n"/>
      <c r="C419" s="13" t="n"/>
      <c r="D419" s="13" t="n"/>
      <c r="E419" s="13" t="n"/>
      <c r="F419" s="17">
        <f>IF($D419="","",IFERROR(VLOOKUP($E419,材料归属,2,0),"※材料类别没选"))</f>
        <v/>
      </c>
      <c r="G419" s="13" t="n"/>
      <c r="H419" s="13" t="n"/>
      <c r="I419" s="13" t="n"/>
      <c r="J419" s="20" t="n"/>
      <c r="K419" s="14" t="n"/>
      <c r="L419" s="19">
        <f>IF($D419="","",ROUND(IF($J419="",1,$J419)*N($K419),2))</f>
        <v/>
      </c>
      <c r="M419" s="13" t="n"/>
      <c r="N419" s="17">
        <f>IF($D419="","",IF(ISNA(MATCH($D419,项目名表,0)),"※项目不在项目台账里",IF($F419="※材料类别没选","※材料类别没选",IF(AND($C419&lt;&gt;"",ISNA(MATCH($C419,供应商表,0))),"※供应商不在基础资料里",""))))</f>
        <v/>
      </c>
    </row>
    <row r="420">
      <c r="A420" s="17">
        <f>IF($D420="","",ROW()-3)</f>
        <v/>
      </c>
      <c r="B420" s="18" t="n"/>
      <c r="C420" s="13" t="n"/>
      <c r="D420" s="13" t="n"/>
      <c r="E420" s="13" t="n"/>
      <c r="F420" s="17">
        <f>IF($D420="","",IFERROR(VLOOKUP($E420,材料归属,2,0),"※材料类别没选"))</f>
        <v/>
      </c>
      <c r="G420" s="13" t="n"/>
      <c r="H420" s="13" t="n"/>
      <c r="I420" s="13" t="n"/>
      <c r="J420" s="20" t="n"/>
      <c r="K420" s="14" t="n"/>
      <c r="L420" s="19">
        <f>IF($D420="","",ROUND(IF($J420="",1,$J420)*N($K420),2))</f>
        <v/>
      </c>
      <c r="M420" s="13" t="n"/>
      <c r="N420" s="17">
        <f>IF($D420="","",IF(ISNA(MATCH($D420,项目名表,0)),"※项目不在项目台账里",IF($F420="※材料类别没选","※材料类别没选",IF(AND($C420&lt;&gt;"",ISNA(MATCH($C420,供应商表,0))),"※供应商不在基础资料里",""))))</f>
        <v/>
      </c>
    </row>
    <row r="421">
      <c r="A421" s="17">
        <f>IF($D421="","",ROW()-3)</f>
        <v/>
      </c>
      <c r="B421" s="18" t="n"/>
      <c r="C421" s="13" t="n"/>
      <c r="D421" s="13" t="n"/>
      <c r="E421" s="13" t="n"/>
      <c r="F421" s="17">
        <f>IF($D421="","",IFERROR(VLOOKUP($E421,材料归属,2,0),"※材料类别没选"))</f>
        <v/>
      </c>
      <c r="G421" s="13" t="n"/>
      <c r="H421" s="13" t="n"/>
      <c r="I421" s="13" t="n"/>
      <c r="J421" s="20" t="n"/>
      <c r="K421" s="14" t="n"/>
      <c r="L421" s="19">
        <f>IF($D421="","",ROUND(IF($J421="",1,$J421)*N($K421),2))</f>
        <v/>
      </c>
      <c r="M421" s="13" t="n"/>
      <c r="N421" s="17">
        <f>IF($D421="","",IF(ISNA(MATCH($D421,项目名表,0)),"※项目不在项目台账里",IF($F421="※材料类别没选","※材料类别没选",IF(AND($C421&lt;&gt;"",ISNA(MATCH($C421,供应商表,0))),"※供应商不在基础资料里",""))))</f>
        <v/>
      </c>
    </row>
    <row r="422">
      <c r="A422" s="17">
        <f>IF($D422="","",ROW()-3)</f>
        <v/>
      </c>
      <c r="B422" s="18" t="n"/>
      <c r="C422" s="13" t="n"/>
      <c r="D422" s="13" t="n"/>
      <c r="E422" s="13" t="n"/>
      <c r="F422" s="17">
        <f>IF($D422="","",IFERROR(VLOOKUP($E422,材料归属,2,0),"※材料类别没选"))</f>
        <v/>
      </c>
      <c r="G422" s="13" t="n"/>
      <c r="H422" s="13" t="n"/>
      <c r="I422" s="13" t="n"/>
      <c r="J422" s="20" t="n"/>
      <c r="K422" s="14" t="n"/>
      <c r="L422" s="19">
        <f>IF($D422="","",ROUND(IF($J422="",1,$J422)*N($K422),2))</f>
        <v/>
      </c>
      <c r="M422" s="13" t="n"/>
      <c r="N422" s="17">
        <f>IF($D422="","",IF(ISNA(MATCH($D422,项目名表,0)),"※项目不在项目台账里",IF($F422="※材料类别没选","※材料类别没选",IF(AND($C422&lt;&gt;"",ISNA(MATCH($C422,供应商表,0))),"※供应商不在基础资料里",""))))</f>
        <v/>
      </c>
    </row>
    <row r="423">
      <c r="A423" s="17">
        <f>IF($D423="","",ROW()-3)</f>
        <v/>
      </c>
      <c r="B423" s="18" t="n"/>
      <c r="C423" s="13" t="n"/>
      <c r="D423" s="13" t="n"/>
      <c r="E423" s="13" t="n"/>
      <c r="F423" s="17">
        <f>IF($D423="","",IFERROR(VLOOKUP($E423,材料归属,2,0),"※材料类别没选"))</f>
        <v/>
      </c>
      <c r="G423" s="13" t="n"/>
      <c r="H423" s="13" t="n"/>
      <c r="I423" s="13" t="n"/>
      <c r="J423" s="20" t="n"/>
      <c r="K423" s="14" t="n"/>
      <c r="L423" s="19">
        <f>IF($D423="","",ROUND(IF($J423="",1,$J423)*N($K423),2))</f>
        <v/>
      </c>
      <c r="M423" s="13" t="n"/>
      <c r="N423" s="17">
        <f>IF($D423="","",IF(ISNA(MATCH($D423,项目名表,0)),"※项目不在项目台账里",IF($F423="※材料类别没选","※材料类别没选",IF(AND($C423&lt;&gt;"",ISNA(MATCH($C423,供应商表,0))),"※供应商不在基础资料里",""))))</f>
        <v/>
      </c>
    </row>
    <row r="424">
      <c r="A424" s="17">
        <f>IF($D424="","",ROW()-3)</f>
        <v/>
      </c>
      <c r="B424" s="18" t="n"/>
      <c r="C424" s="13" t="n"/>
      <c r="D424" s="13" t="n"/>
      <c r="E424" s="13" t="n"/>
      <c r="F424" s="17">
        <f>IF($D424="","",IFERROR(VLOOKUP($E424,材料归属,2,0),"※材料类别没选"))</f>
        <v/>
      </c>
      <c r="G424" s="13" t="n"/>
      <c r="H424" s="13" t="n"/>
      <c r="I424" s="13" t="n"/>
      <c r="J424" s="20" t="n"/>
      <c r="K424" s="14" t="n"/>
      <c r="L424" s="19">
        <f>IF($D424="","",ROUND(IF($J424="",1,$J424)*N($K424),2))</f>
        <v/>
      </c>
      <c r="M424" s="13" t="n"/>
      <c r="N424" s="17">
        <f>IF($D424="","",IF(ISNA(MATCH($D424,项目名表,0)),"※项目不在项目台账里",IF($F424="※材料类别没选","※材料类别没选",IF(AND($C424&lt;&gt;"",ISNA(MATCH($C424,供应商表,0))),"※供应商不在基础资料里",""))))</f>
        <v/>
      </c>
    </row>
    <row r="425">
      <c r="A425" s="17">
        <f>IF($D425="","",ROW()-3)</f>
        <v/>
      </c>
      <c r="B425" s="18" t="n"/>
      <c r="C425" s="13" t="n"/>
      <c r="D425" s="13" t="n"/>
      <c r="E425" s="13" t="n"/>
      <c r="F425" s="17">
        <f>IF($D425="","",IFERROR(VLOOKUP($E425,材料归属,2,0),"※材料类别没选"))</f>
        <v/>
      </c>
      <c r="G425" s="13" t="n"/>
      <c r="H425" s="13" t="n"/>
      <c r="I425" s="13" t="n"/>
      <c r="J425" s="20" t="n"/>
      <c r="K425" s="14" t="n"/>
      <c r="L425" s="19">
        <f>IF($D425="","",ROUND(IF($J425="",1,$J425)*N($K425),2))</f>
        <v/>
      </c>
      <c r="M425" s="13" t="n"/>
      <c r="N425" s="17">
        <f>IF($D425="","",IF(ISNA(MATCH($D425,项目名表,0)),"※项目不在项目台账里",IF($F425="※材料类别没选","※材料类别没选",IF(AND($C425&lt;&gt;"",ISNA(MATCH($C425,供应商表,0))),"※供应商不在基础资料里",""))))</f>
        <v/>
      </c>
    </row>
    <row r="426">
      <c r="A426" s="17">
        <f>IF($D426="","",ROW()-3)</f>
        <v/>
      </c>
      <c r="B426" s="18" t="n"/>
      <c r="C426" s="13" t="n"/>
      <c r="D426" s="13" t="n"/>
      <c r="E426" s="13" t="n"/>
      <c r="F426" s="17">
        <f>IF($D426="","",IFERROR(VLOOKUP($E426,材料归属,2,0),"※材料类别没选"))</f>
        <v/>
      </c>
      <c r="G426" s="13" t="n"/>
      <c r="H426" s="13" t="n"/>
      <c r="I426" s="13" t="n"/>
      <c r="J426" s="20" t="n"/>
      <c r="K426" s="14" t="n"/>
      <c r="L426" s="19">
        <f>IF($D426="","",ROUND(IF($J426="",1,$J426)*N($K426),2))</f>
        <v/>
      </c>
      <c r="M426" s="13" t="n"/>
      <c r="N426" s="17">
        <f>IF($D426="","",IF(ISNA(MATCH($D426,项目名表,0)),"※项目不在项目台账里",IF($F426="※材料类别没选","※材料类别没选",IF(AND($C426&lt;&gt;"",ISNA(MATCH($C426,供应商表,0))),"※供应商不在基础资料里",""))))</f>
        <v/>
      </c>
    </row>
    <row r="427">
      <c r="A427" s="17">
        <f>IF($D427="","",ROW()-3)</f>
        <v/>
      </c>
      <c r="B427" s="18" t="n"/>
      <c r="C427" s="13" t="n"/>
      <c r="D427" s="13" t="n"/>
      <c r="E427" s="13" t="n"/>
      <c r="F427" s="17">
        <f>IF($D427="","",IFERROR(VLOOKUP($E427,材料归属,2,0),"※材料类别没选"))</f>
        <v/>
      </c>
      <c r="G427" s="13" t="n"/>
      <c r="H427" s="13" t="n"/>
      <c r="I427" s="13" t="n"/>
      <c r="J427" s="20" t="n"/>
      <c r="K427" s="14" t="n"/>
      <c r="L427" s="19">
        <f>IF($D427="","",ROUND(IF($J427="",1,$J427)*N($K427),2))</f>
        <v/>
      </c>
      <c r="M427" s="13" t="n"/>
      <c r="N427" s="17">
        <f>IF($D427="","",IF(ISNA(MATCH($D427,项目名表,0)),"※项目不在项目台账里",IF($F427="※材料类别没选","※材料类别没选",IF(AND($C427&lt;&gt;"",ISNA(MATCH($C427,供应商表,0))),"※供应商不在基础资料里",""))))</f>
        <v/>
      </c>
    </row>
    <row r="428">
      <c r="A428" s="17">
        <f>IF($D428="","",ROW()-3)</f>
        <v/>
      </c>
      <c r="B428" s="18" t="n"/>
      <c r="C428" s="13" t="n"/>
      <c r="D428" s="13" t="n"/>
      <c r="E428" s="13" t="n"/>
      <c r="F428" s="17">
        <f>IF($D428="","",IFERROR(VLOOKUP($E428,材料归属,2,0),"※材料类别没选"))</f>
        <v/>
      </c>
      <c r="G428" s="13" t="n"/>
      <c r="H428" s="13" t="n"/>
      <c r="I428" s="13" t="n"/>
      <c r="J428" s="20" t="n"/>
      <c r="K428" s="14" t="n"/>
      <c r="L428" s="19">
        <f>IF($D428="","",ROUND(IF($J428="",1,$J428)*N($K428),2))</f>
        <v/>
      </c>
      <c r="M428" s="13" t="n"/>
      <c r="N428" s="17">
        <f>IF($D428="","",IF(ISNA(MATCH($D428,项目名表,0)),"※项目不在项目台账里",IF($F428="※材料类别没选","※材料类别没选",IF(AND($C428&lt;&gt;"",ISNA(MATCH($C428,供应商表,0))),"※供应商不在基础资料里",""))))</f>
        <v/>
      </c>
    </row>
    <row r="429">
      <c r="A429" s="17">
        <f>IF($D429="","",ROW()-3)</f>
        <v/>
      </c>
      <c r="B429" s="18" t="n"/>
      <c r="C429" s="13" t="n"/>
      <c r="D429" s="13" t="n"/>
      <c r="E429" s="13" t="n"/>
      <c r="F429" s="17">
        <f>IF($D429="","",IFERROR(VLOOKUP($E429,材料归属,2,0),"※材料类别没选"))</f>
        <v/>
      </c>
      <c r="G429" s="13" t="n"/>
      <c r="H429" s="13" t="n"/>
      <c r="I429" s="13" t="n"/>
      <c r="J429" s="20" t="n"/>
      <c r="K429" s="14" t="n"/>
      <c r="L429" s="19">
        <f>IF($D429="","",ROUND(IF($J429="",1,$J429)*N($K429),2))</f>
        <v/>
      </c>
      <c r="M429" s="13" t="n"/>
      <c r="N429" s="17">
        <f>IF($D429="","",IF(ISNA(MATCH($D429,项目名表,0)),"※项目不在项目台账里",IF($F429="※材料类别没选","※材料类别没选",IF(AND($C429&lt;&gt;"",ISNA(MATCH($C429,供应商表,0))),"※供应商不在基础资料里",""))))</f>
        <v/>
      </c>
    </row>
    <row r="430">
      <c r="A430" s="17">
        <f>IF($D430="","",ROW()-3)</f>
        <v/>
      </c>
      <c r="B430" s="18" t="n"/>
      <c r="C430" s="13" t="n"/>
      <c r="D430" s="13" t="n"/>
      <c r="E430" s="13" t="n"/>
      <c r="F430" s="17">
        <f>IF($D430="","",IFERROR(VLOOKUP($E430,材料归属,2,0),"※材料类别没选"))</f>
        <v/>
      </c>
      <c r="G430" s="13" t="n"/>
      <c r="H430" s="13" t="n"/>
      <c r="I430" s="13" t="n"/>
      <c r="J430" s="20" t="n"/>
      <c r="K430" s="14" t="n"/>
      <c r="L430" s="19">
        <f>IF($D430="","",ROUND(IF($J430="",1,$J430)*N($K430),2))</f>
        <v/>
      </c>
      <c r="M430" s="13" t="n"/>
      <c r="N430" s="17">
        <f>IF($D430="","",IF(ISNA(MATCH($D430,项目名表,0)),"※项目不在项目台账里",IF($F430="※材料类别没选","※材料类别没选",IF(AND($C430&lt;&gt;"",ISNA(MATCH($C430,供应商表,0))),"※供应商不在基础资料里",""))))</f>
        <v/>
      </c>
    </row>
    <row r="431">
      <c r="A431" s="17">
        <f>IF($D431="","",ROW()-3)</f>
        <v/>
      </c>
      <c r="B431" s="18" t="n"/>
      <c r="C431" s="13" t="n"/>
      <c r="D431" s="13" t="n"/>
      <c r="E431" s="13" t="n"/>
      <c r="F431" s="17">
        <f>IF($D431="","",IFERROR(VLOOKUP($E431,材料归属,2,0),"※材料类别没选"))</f>
        <v/>
      </c>
      <c r="G431" s="13" t="n"/>
      <c r="H431" s="13" t="n"/>
      <c r="I431" s="13" t="n"/>
      <c r="J431" s="20" t="n"/>
      <c r="K431" s="14" t="n"/>
      <c r="L431" s="19">
        <f>IF($D431="","",ROUND(IF($J431="",1,$J431)*N($K431),2))</f>
        <v/>
      </c>
      <c r="M431" s="13" t="n"/>
      <c r="N431" s="17">
        <f>IF($D431="","",IF(ISNA(MATCH($D431,项目名表,0)),"※项目不在项目台账里",IF($F431="※材料类别没选","※材料类别没选",IF(AND($C431&lt;&gt;"",ISNA(MATCH($C431,供应商表,0))),"※供应商不在基础资料里",""))))</f>
        <v/>
      </c>
    </row>
    <row r="432">
      <c r="A432" s="17">
        <f>IF($D432="","",ROW()-3)</f>
        <v/>
      </c>
      <c r="B432" s="18" t="n"/>
      <c r="C432" s="13" t="n"/>
      <c r="D432" s="13" t="n"/>
      <c r="E432" s="13" t="n"/>
      <c r="F432" s="17">
        <f>IF($D432="","",IFERROR(VLOOKUP($E432,材料归属,2,0),"※材料类别没选"))</f>
        <v/>
      </c>
      <c r="G432" s="13" t="n"/>
      <c r="H432" s="13" t="n"/>
      <c r="I432" s="13" t="n"/>
      <c r="J432" s="20" t="n"/>
      <c r="K432" s="14" t="n"/>
      <c r="L432" s="19">
        <f>IF($D432="","",ROUND(IF($J432="",1,$J432)*N($K432),2))</f>
        <v/>
      </c>
      <c r="M432" s="13" t="n"/>
      <c r="N432" s="17">
        <f>IF($D432="","",IF(ISNA(MATCH($D432,项目名表,0)),"※项目不在项目台账里",IF($F432="※材料类别没选","※材料类别没选",IF(AND($C432&lt;&gt;"",ISNA(MATCH($C432,供应商表,0))),"※供应商不在基础资料里",""))))</f>
        <v/>
      </c>
    </row>
    <row r="433">
      <c r="A433" s="17">
        <f>IF($D433="","",ROW()-3)</f>
        <v/>
      </c>
      <c r="B433" s="18" t="n"/>
      <c r="C433" s="13" t="n"/>
      <c r="D433" s="13" t="n"/>
      <c r="E433" s="13" t="n"/>
      <c r="F433" s="17">
        <f>IF($D433="","",IFERROR(VLOOKUP($E433,材料归属,2,0),"※材料类别没选"))</f>
        <v/>
      </c>
      <c r="G433" s="13" t="n"/>
      <c r="H433" s="13" t="n"/>
      <c r="I433" s="13" t="n"/>
      <c r="J433" s="20" t="n"/>
      <c r="K433" s="14" t="n"/>
      <c r="L433" s="19">
        <f>IF($D433="","",ROUND(IF($J433="",1,$J433)*N($K433),2))</f>
        <v/>
      </c>
      <c r="M433" s="13" t="n"/>
      <c r="N433" s="17">
        <f>IF($D433="","",IF(ISNA(MATCH($D433,项目名表,0)),"※项目不在项目台账里",IF($F433="※材料类别没选","※材料类别没选",IF(AND($C433&lt;&gt;"",ISNA(MATCH($C433,供应商表,0))),"※供应商不在基础资料里",""))))</f>
        <v/>
      </c>
    </row>
    <row r="434">
      <c r="A434" s="17">
        <f>IF($D434="","",ROW()-3)</f>
        <v/>
      </c>
      <c r="B434" s="18" t="n"/>
      <c r="C434" s="13" t="n"/>
      <c r="D434" s="13" t="n"/>
      <c r="E434" s="13" t="n"/>
      <c r="F434" s="17">
        <f>IF($D434="","",IFERROR(VLOOKUP($E434,材料归属,2,0),"※材料类别没选"))</f>
        <v/>
      </c>
      <c r="G434" s="13" t="n"/>
      <c r="H434" s="13" t="n"/>
      <c r="I434" s="13" t="n"/>
      <c r="J434" s="20" t="n"/>
      <c r="K434" s="14" t="n"/>
      <c r="L434" s="19">
        <f>IF($D434="","",ROUND(IF($J434="",1,$J434)*N($K434),2))</f>
        <v/>
      </c>
      <c r="M434" s="13" t="n"/>
      <c r="N434" s="17">
        <f>IF($D434="","",IF(ISNA(MATCH($D434,项目名表,0)),"※项目不在项目台账里",IF($F434="※材料类别没选","※材料类别没选",IF(AND($C434&lt;&gt;"",ISNA(MATCH($C434,供应商表,0))),"※供应商不在基础资料里",""))))</f>
        <v/>
      </c>
    </row>
    <row r="435">
      <c r="A435" s="17">
        <f>IF($D435="","",ROW()-3)</f>
        <v/>
      </c>
      <c r="B435" s="18" t="n"/>
      <c r="C435" s="13" t="n"/>
      <c r="D435" s="13" t="n"/>
      <c r="E435" s="13" t="n"/>
      <c r="F435" s="17">
        <f>IF($D435="","",IFERROR(VLOOKUP($E435,材料归属,2,0),"※材料类别没选"))</f>
        <v/>
      </c>
      <c r="G435" s="13" t="n"/>
      <c r="H435" s="13" t="n"/>
      <c r="I435" s="13" t="n"/>
      <c r="J435" s="20" t="n"/>
      <c r="K435" s="14" t="n"/>
      <c r="L435" s="19">
        <f>IF($D435="","",ROUND(IF($J435="",1,$J435)*N($K435),2))</f>
        <v/>
      </c>
      <c r="M435" s="13" t="n"/>
      <c r="N435" s="17">
        <f>IF($D435="","",IF(ISNA(MATCH($D435,项目名表,0)),"※项目不在项目台账里",IF($F435="※材料类别没选","※材料类别没选",IF(AND($C435&lt;&gt;"",ISNA(MATCH($C435,供应商表,0))),"※供应商不在基础资料里",""))))</f>
        <v/>
      </c>
    </row>
    <row r="436">
      <c r="A436" s="17">
        <f>IF($D436="","",ROW()-3)</f>
        <v/>
      </c>
      <c r="B436" s="18" t="n"/>
      <c r="C436" s="13" t="n"/>
      <c r="D436" s="13" t="n"/>
      <c r="E436" s="13" t="n"/>
      <c r="F436" s="17">
        <f>IF($D436="","",IFERROR(VLOOKUP($E436,材料归属,2,0),"※材料类别没选"))</f>
        <v/>
      </c>
      <c r="G436" s="13" t="n"/>
      <c r="H436" s="13" t="n"/>
      <c r="I436" s="13" t="n"/>
      <c r="J436" s="20" t="n"/>
      <c r="K436" s="14" t="n"/>
      <c r="L436" s="19">
        <f>IF($D436="","",ROUND(IF($J436="",1,$J436)*N($K436),2))</f>
        <v/>
      </c>
      <c r="M436" s="13" t="n"/>
      <c r="N436" s="17">
        <f>IF($D436="","",IF(ISNA(MATCH($D436,项目名表,0)),"※项目不在项目台账里",IF($F436="※材料类别没选","※材料类别没选",IF(AND($C436&lt;&gt;"",ISNA(MATCH($C436,供应商表,0))),"※供应商不在基础资料里",""))))</f>
        <v/>
      </c>
    </row>
    <row r="437">
      <c r="A437" s="17">
        <f>IF($D437="","",ROW()-3)</f>
        <v/>
      </c>
      <c r="B437" s="18" t="n"/>
      <c r="C437" s="13" t="n"/>
      <c r="D437" s="13" t="n"/>
      <c r="E437" s="13" t="n"/>
      <c r="F437" s="17">
        <f>IF($D437="","",IFERROR(VLOOKUP($E437,材料归属,2,0),"※材料类别没选"))</f>
        <v/>
      </c>
      <c r="G437" s="13" t="n"/>
      <c r="H437" s="13" t="n"/>
      <c r="I437" s="13" t="n"/>
      <c r="J437" s="20" t="n"/>
      <c r="K437" s="14" t="n"/>
      <c r="L437" s="19">
        <f>IF($D437="","",ROUND(IF($J437="",1,$J437)*N($K437),2))</f>
        <v/>
      </c>
      <c r="M437" s="13" t="n"/>
      <c r="N437" s="17">
        <f>IF($D437="","",IF(ISNA(MATCH($D437,项目名表,0)),"※项目不在项目台账里",IF($F437="※材料类别没选","※材料类别没选",IF(AND($C437&lt;&gt;"",ISNA(MATCH($C437,供应商表,0))),"※供应商不在基础资料里",""))))</f>
        <v/>
      </c>
    </row>
    <row r="438">
      <c r="A438" s="17">
        <f>IF($D438="","",ROW()-3)</f>
        <v/>
      </c>
      <c r="B438" s="18" t="n"/>
      <c r="C438" s="13" t="n"/>
      <c r="D438" s="13" t="n"/>
      <c r="E438" s="13" t="n"/>
      <c r="F438" s="17">
        <f>IF($D438="","",IFERROR(VLOOKUP($E438,材料归属,2,0),"※材料类别没选"))</f>
        <v/>
      </c>
      <c r="G438" s="13" t="n"/>
      <c r="H438" s="13" t="n"/>
      <c r="I438" s="13" t="n"/>
      <c r="J438" s="20" t="n"/>
      <c r="K438" s="14" t="n"/>
      <c r="L438" s="19">
        <f>IF($D438="","",ROUND(IF($J438="",1,$J438)*N($K438),2))</f>
        <v/>
      </c>
      <c r="M438" s="13" t="n"/>
      <c r="N438" s="17">
        <f>IF($D438="","",IF(ISNA(MATCH($D438,项目名表,0)),"※项目不在项目台账里",IF($F438="※材料类别没选","※材料类别没选",IF(AND($C438&lt;&gt;"",ISNA(MATCH($C438,供应商表,0))),"※供应商不在基础资料里",""))))</f>
        <v/>
      </c>
    </row>
    <row r="439">
      <c r="A439" s="17">
        <f>IF($D439="","",ROW()-3)</f>
        <v/>
      </c>
      <c r="B439" s="18" t="n"/>
      <c r="C439" s="13" t="n"/>
      <c r="D439" s="13" t="n"/>
      <c r="E439" s="13" t="n"/>
      <c r="F439" s="17">
        <f>IF($D439="","",IFERROR(VLOOKUP($E439,材料归属,2,0),"※材料类别没选"))</f>
        <v/>
      </c>
      <c r="G439" s="13" t="n"/>
      <c r="H439" s="13" t="n"/>
      <c r="I439" s="13" t="n"/>
      <c r="J439" s="20" t="n"/>
      <c r="K439" s="14" t="n"/>
      <c r="L439" s="19">
        <f>IF($D439="","",ROUND(IF($J439="",1,$J439)*N($K439),2))</f>
        <v/>
      </c>
      <c r="M439" s="13" t="n"/>
      <c r="N439" s="17">
        <f>IF($D439="","",IF(ISNA(MATCH($D439,项目名表,0)),"※项目不在项目台账里",IF($F439="※材料类别没选","※材料类别没选",IF(AND($C439&lt;&gt;"",ISNA(MATCH($C439,供应商表,0))),"※供应商不在基础资料里",""))))</f>
        <v/>
      </c>
    </row>
    <row r="440">
      <c r="A440" s="17">
        <f>IF($D440="","",ROW()-3)</f>
        <v/>
      </c>
      <c r="B440" s="18" t="n"/>
      <c r="C440" s="13" t="n"/>
      <c r="D440" s="13" t="n"/>
      <c r="E440" s="13" t="n"/>
      <c r="F440" s="17">
        <f>IF($D440="","",IFERROR(VLOOKUP($E440,材料归属,2,0),"※材料类别没选"))</f>
        <v/>
      </c>
      <c r="G440" s="13" t="n"/>
      <c r="H440" s="13" t="n"/>
      <c r="I440" s="13" t="n"/>
      <c r="J440" s="20" t="n"/>
      <c r="K440" s="14" t="n"/>
      <c r="L440" s="19">
        <f>IF($D440="","",ROUND(IF($J440="",1,$J440)*N($K440),2))</f>
        <v/>
      </c>
      <c r="M440" s="13" t="n"/>
      <c r="N440" s="17">
        <f>IF($D440="","",IF(ISNA(MATCH($D440,项目名表,0)),"※项目不在项目台账里",IF($F440="※材料类别没选","※材料类别没选",IF(AND($C440&lt;&gt;"",ISNA(MATCH($C440,供应商表,0))),"※供应商不在基础资料里",""))))</f>
        <v/>
      </c>
    </row>
    <row r="441">
      <c r="A441" s="17">
        <f>IF($D441="","",ROW()-3)</f>
        <v/>
      </c>
      <c r="B441" s="18" t="n"/>
      <c r="C441" s="13" t="n"/>
      <c r="D441" s="13" t="n"/>
      <c r="E441" s="13" t="n"/>
      <c r="F441" s="17">
        <f>IF($D441="","",IFERROR(VLOOKUP($E441,材料归属,2,0),"※材料类别没选"))</f>
        <v/>
      </c>
      <c r="G441" s="13" t="n"/>
      <c r="H441" s="13" t="n"/>
      <c r="I441" s="13" t="n"/>
      <c r="J441" s="20" t="n"/>
      <c r="K441" s="14" t="n"/>
      <c r="L441" s="19">
        <f>IF($D441="","",ROUND(IF($J441="",1,$J441)*N($K441),2))</f>
        <v/>
      </c>
      <c r="M441" s="13" t="n"/>
      <c r="N441" s="17">
        <f>IF($D441="","",IF(ISNA(MATCH($D441,项目名表,0)),"※项目不在项目台账里",IF($F441="※材料类别没选","※材料类别没选",IF(AND($C441&lt;&gt;"",ISNA(MATCH($C441,供应商表,0))),"※供应商不在基础资料里",""))))</f>
        <v/>
      </c>
    </row>
    <row r="442">
      <c r="A442" s="17">
        <f>IF($D442="","",ROW()-3)</f>
        <v/>
      </c>
      <c r="B442" s="18" t="n"/>
      <c r="C442" s="13" t="n"/>
      <c r="D442" s="13" t="n"/>
      <c r="E442" s="13" t="n"/>
      <c r="F442" s="17">
        <f>IF($D442="","",IFERROR(VLOOKUP($E442,材料归属,2,0),"※材料类别没选"))</f>
        <v/>
      </c>
      <c r="G442" s="13" t="n"/>
      <c r="H442" s="13" t="n"/>
      <c r="I442" s="13" t="n"/>
      <c r="J442" s="20" t="n"/>
      <c r="K442" s="14" t="n"/>
      <c r="L442" s="19">
        <f>IF($D442="","",ROUND(IF($J442="",1,$J442)*N($K442),2))</f>
        <v/>
      </c>
      <c r="M442" s="13" t="n"/>
      <c r="N442" s="17">
        <f>IF($D442="","",IF(ISNA(MATCH($D442,项目名表,0)),"※项目不在项目台账里",IF($F442="※材料类别没选","※材料类别没选",IF(AND($C442&lt;&gt;"",ISNA(MATCH($C442,供应商表,0))),"※供应商不在基础资料里",""))))</f>
        <v/>
      </c>
    </row>
    <row r="443">
      <c r="A443" s="17">
        <f>IF($D443="","",ROW()-3)</f>
        <v/>
      </c>
      <c r="B443" s="18" t="n"/>
      <c r="C443" s="13" t="n"/>
      <c r="D443" s="13" t="n"/>
      <c r="E443" s="13" t="n"/>
      <c r="F443" s="17">
        <f>IF($D443="","",IFERROR(VLOOKUP($E443,材料归属,2,0),"※材料类别没选"))</f>
        <v/>
      </c>
      <c r="G443" s="13" t="n"/>
      <c r="H443" s="13" t="n"/>
      <c r="I443" s="13" t="n"/>
      <c r="J443" s="20" t="n"/>
      <c r="K443" s="14" t="n"/>
      <c r="L443" s="19">
        <f>IF($D443="","",ROUND(IF($J443="",1,$J443)*N($K443),2))</f>
        <v/>
      </c>
      <c r="M443" s="13" t="n"/>
      <c r="N443" s="17">
        <f>IF($D443="","",IF(ISNA(MATCH($D443,项目名表,0)),"※项目不在项目台账里",IF($F443="※材料类别没选","※材料类别没选",IF(AND($C443&lt;&gt;"",ISNA(MATCH($C443,供应商表,0))),"※供应商不在基础资料里",""))))</f>
        <v/>
      </c>
    </row>
    <row r="444">
      <c r="A444" s="17">
        <f>IF($D444="","",ROW()-3)</f>
        <v/>
      </c>
      <c r="B444" s="18" t="n"/>
      <c r="C444" s="13" t="n"/>
      <c r="D444" s="13" t="n"/>
      <c r="E444" s="13" t="n"/>
      <c r="F444" s="17">
        <f>IF($D444="","",IFERROR(VLOOKUP($E444,材料归属,2,0),"※材料类别没选"))</f>
        <v/>
      </c>
      <c r="G444" s="13" t="n"/>
      <c r="H444" s="13" t="n"/>
      <c r="I444" s="13" t="n"/>
      <c r="J444" s="20" t="n"/>
      <c r="K444" s="14" t="n"/>
      <c r="L444" s="19">
        <f>IF($D444="","",ROUND(IF($J444="",1,$J444)*N($K444),2))</f>
        <v/>
      </c>
      <c r="M444" s="13" t="n"/>
      <c r="N444" s="17">
        <f>IF($D444="","",IF(ISNA(MATCH($D444,项目名表,0)),"※项目不在项目台账里",IF($F444="※材料类别没选","※材料类别没选",IF(AND($C444&lt;&gt;"",ISNA(MATCH($C444,供应商表,0))),"※供应商不在基础资料里",""))))</f>
        <v/>
      </c>
    </row>
    <row r="445">
      <c r="A445" s="17">
        <f>IF($D445="","",ROW()-3)</f>
        <v/>
      </c>
      <c r="B445" s="18" t="n"/>
      <c r="C445" s="13" t="n"/>
      <c r="D445" s="13" t="n"/>
      <c r="E445" s="13" t="n"/>
      <c r="F445" s="17">
        <f>IF($D445="","",IFERROR(VLOOKUP($E445,材料归属,2,0),"※材料类别没选"))</f>
        <v/>
      </c>
      <c r="G445" s="13" t="n"/>
      <c r="H445" s="13" t="n"/>
      <c r="I445" s="13" t="n"/>
      <c r="J445" s="20" t="n"/>
      <c r="K445" s="14" t="n"/>
      <c r="L445" s="19">
        <f>IF($D445="","",ROUND(IF($J445="",1,$J445)*N($K445),2))</f>
        <v/>
      </c>
      <c r="M445" s="13" t="n"/>
      <c r="N445" s="17">
        <f>IF($D445="","",IF(ISNA(MATCH($D445,项目名表,0)),"※项目不在项目台账里",IF($F445="※材料类别没选","※材料类别没选",IF(AND($C445&lt;&gt;"",ISNA(MATCH($C445,供应商表,0))),"※供应商不在基础资料里",""))))</f>
        <v/>
      </c>
    </row>
    <row r="446">
      <c r="A446" s="17">
        <f>IF($D446="","",ROW()-3)</f>
        <v/>
      </c>
      <c r="B446" s="18" t="n"/>
      <c r="C446" s="13" t="n"/>
      <c r="D446" s="13" t="n"/>
      <c r="E446" s="13" t="n"/>
      <c r="F446" s="17">
        <f>IF($D446="","",IFERROR(VLOOKUP($E446,材料归属,2,0),"※材料类别没选"))</f>
        <v/>
      </c>
      <c r="G446" s="13" t="n"/>
      <c r="H446" s="13" t="n"/>
      <c r="I446" s="13" t="n"/>
      <c r="J446" s="20" t="n"/>
      <c r="K446" s="14" t="n"/>
      <c r="L446" s="19">
        <f>IF($D446="","",ROUND(IF($J446="",1,$J446)*N($K446),2))</f>
        <v/>
      </c>
      <c r="M446" s="13" t="n"/>
      <c r="N446" s="17">
        <f>IF($D446="","",IF(ISNA(MATCH($D446,项目名表,0)),"※项目不在项目台账里",IF($F446="※材料类别没选","※材料类别没选",IF(AND($C446&lt;&gt;"",ISNA(MATCH($C446,供应商表,0))),"※供应商不在基础资料里",""))))</f>
        <v/>
      </c>
    </row>
    <row r="447">
      <c r="A447" s="17">
        <f>IF($D447="","",ROW()-3)</f>
        <v/>
      </c>
      <c r="B447" s="18" t="n"/>
      <c r="C447" s="13" t="n"/>
      <c r="D447" s="13" t="n"/>
      <c r="E447" s="13" t="n"/>
      <c r="F447" s="17">
        <f>IF($D447="","",IFERROR(VLOOKUP($E447,材料归属,2,0),"※材料类别没选"))</f>
        <v/>
      </c>
      <c r="G447" s="13" t="n"/>
      <c r="H447" s="13" t="n"/>
      <c r="I447" s="13" t="n"/>
      <c r="J447" s="20" t="n"/>
      <c r="K447" s="14" t="n"/>
      <c r="L447" s="19">
        <f>IF($D447="","",ROUND(IF($J447="",1,$J447)*N($K447),2))</f>
        <v/>
      </c>
      <c r="M447" s="13" t="n"/>
      <c r="N447" s="17">
        <f>IF($D447="","",IF(ISNA(MATCH($D447,项目名表,0)),"※项目不在项目台账里",IF($F447="※材料类别没选","※材料类别没选",IF(AND($C447&lt;&gt;"",ISNA(MATCH($C447,供应商表,0))),"※供应商不在基础资料里",""))))</f>
        <v/>
      </c>
    </row>
    <row r="448">
      <c r="A448" s="17">
        <f>IF($D448="","",ROW()-3)</f>
        <v/>
      </c>
      <c r="B448" s="18" t="n"/>
      <c r="C448" s="13" t="n"/>
      <c r="D448" s="13" t="n"/>
      <c r="E448" s="13" t="n"/>
      <c r="F448" s="17">
        <f>IF($D448="","",IFERROR(VLOOKUP($E448,材料归属,2,0),"※材料类别没选"))</f>
        <v/>
      </c>
      <c r="G448" s="13" t="n"/>
      <c r="H448" s="13" t="n"/>
      <c r="I448" s="13" t="n"/>
      <c r="J448" s="20" t="n"/>
      <c r="K448" s="14" t="n"/>
      <c r="L448" s="19">
        <f>IF($D448="","",ROUND(IF($J448="",1,$J448)*N($K448),2))</f>
        <v/>
      </c>
      <c r="M448" s="13" t="n"/>
      <c r="N448" s="17">
        <f>IF($D448="","",IF(ISNA(MATCH($D448,项目名表,0)),"※项目不在项目台账里",IF($F448="※材料类别没选","※材料类别没选",IF(AND($C448&lt;&gt;"",ISNA(MATCH($C448,供应商表,0))),"※供应商不在基础资料里",""))))</f>
        <v/>
      </c>
    </row>
    <row r="449">
      <c r="A449" s="17">
        <f>IF($D449="","",ROW()-3)</f>
        <v/>
      </c>
      <c r="B449" s="18" t="n"/>
      <c r="C449" s="13" t="n"/>
      <c r="D449" s="13" t="n"/>
      <c r="E449" s="13" t="n"/>
      <c r="F449" s="17">
        <f>IF($D449="","",IFERROR(VLOOKUP($E449,材料归属,2,0),"※材料类别没选"))</f>
        <v/>
      </c>
      <c r="G449" s="13" t="n"/>
      <c r="H449" s="13" t="n"/>
      <c r="I449" s="13" t="n"/>
      <c r="J449" s="20" t="n"/>
      <c r="K449" s="14" t="n"/>
      <c r="L449" s="19">
        <f>IF($D449="","",ROUND(IF($J449="",1,$J449)*N($K449),2))</f>
        <v/>
      </c>
      <c r="M449" s="13" t="n"/>
      <c r="N449" s="17">
        <f>IF($D449="","",IF(ISNA(MATCH($D449,项目名表,0)),"※项目不在项目台账里",IF($F449="※材料类别没选","※材料类别没选",IF(AND($C449&lt;&gt;"",ISNA(MATCH($C449,供应商表,0))),"※供应商不在基础资料里",""))))</f>
        <v/>
      </c>
    </row>
    <row r="450">
      <c r="A450" s="17">
        <f>IF($D450="","",ROW()-3)</f>
        <v/>
      </c>
      <c r="B450" s="18" t="n"/>
      <c r="C450" s="13" t="n"/>
      <c r="D450" s="13" t="n"/>
      <c r="E450" s="13" t="n"/>
      <c r="F450" s="17">
        <f>IF($D450="","",IFERROR(VLOOKUP($E450,材料归属,2,0),"※材料类别没选"))</f>
        <v/>
      </c>
      <c r="G450" s="13" t="n"/>
      <c r="H450" s="13" t="n"/>
      <c r="I450" s="13" t="n"/>
      <c r="J450" s="20" t="n"/>
      <c r="K450" s="14" t="n"/>
      <c r="L450" s="19">
        <f>IF($D450="","",ROUND(IF($J450="",1,$J450)*N($K450),2))</f>
        <v/>
      </c>
      <c r="M450" s="13" t="n"/>
      <c r="N450" s="17">
        <f>IF($D450="","",IF(ISNA(MATCH($D450,项目名表,0)),"※项目不在项目台账里",IF($F450="※材料类别没选","※材料类别没选",IF(AND($C450&lt;&gt;"",ISNA(MATCH($C450,供应商表,0))),"※供应商不在基础资料里",""))))</f>
        <v/>
      </c>
    </row>
    <row r="451">
      <c r="A451" s="17">
        <f>IF($D451="","",ROW()-3)</f>
        <v/>
      </c>
      <c r="B451" s="18" t="n"/>
      <c r="C451" s="13" t="n"/>
      <c r="D451" s="13" t="n"/>
      <c r="E451" s="13" t="n"/>
      <c r="F451" s="17">
        <f>IF($D451="","",IFERROR(VLOOKUP($E451,材料归属,2,0),"※材料类别没选"))</f>
        <v/>
      </c>
      <c r="G451" s="13" t="n"/>
      <c r="H451" s="13" t="n"/>
      <c r="I451" s="13" t="n"/>
      <c r="J451" s="20" t="n"/>
      <c r="K451" s="14" t="n"/>
      <c r="L451" s="19">
        <f>IF($D451="","",ROUND(IF($J451="",1,$J451)*N($K451),2))</f>
        <v/>
      </c>
      <c r="M451" s="13" t="n"/>
      <c r="N451" s="17">
        <f>IF($D451="","",IF(ISNA(MATCH($D451,项目名表,0)),"※项目不在项目台账里",IF($F451="※材料类别没选","※材料类别没选",IF(AND($C451&lt;&gt;"",ISNA(MATCH($C451,供应商表,0))),"※供应商不在基础资料里",""))))</f>
        <v/>
      </c>
    </row>
    <row r="452">
      <c r="A452" s="17">
        <f>IF($D452="","",ROW()-3)</f>
        <v/>
      </c>
      <c r="B452" s="18" t="n"/>
      <c r="C452" s="13" t="n"/>
      <c r="D452" s="13" t="n"/>
      <c r="E452" s="13" t="n"/>
      <c r="F452" s="17">
        <f>IF($D452="","",IFERROR(VLOOKUP($E452,材料归属,2,0),"※材料类别没选"))</f>
        <v/>
      </c>
      <c r="G452" s="13" t="n"/>
      <c r="H452" s="13" t="n"/>
      <c r="I452" s="13" t="n"/>
      <c r="J452" s="20" t="n"/>
      <c r="K452" s="14" t="n"/>
      <c r="L452" s="19">
        <f>IF($D452="","",ROUND(IF($J452="",1,$J452)*N($K452),2))</f>
        <v/>
      </c>
      <c r="M452" s="13" t="n"/>
      <c r="N452" s="17">
        <f>IF($D452="","",IF(ISNA(MATCH($D452,项目名表,0)),"※项目不在项目台账里",IF($F452="※材料类别没选","※材料类别没选",IF(AND($C452&lt;&gt;"",ISNA(MATCH($C452,供应商表,0))),"※供应商不在基础资料里",""))))</f>
        <v/>
      </c>
    </row>
    <row r="453">
      <c r="A453" s="17">
        <f>IF($D453="","",ROW()-3)</f>
        <v/>
      </c>
      <c r="B453" s="18" t="n"/>
      <c r="C453" s="13" t="n"/>
      <c r="D453" s="13" t="n"/>
      <c r="E453" s="13" t="n"/>
      <c r="F453" s="17">
        <f>IF($D453="","",IFERROR(VLOOKUP($E453,材料归属,2,0),"※材料类别没选"))</f>
        <v/>
      </c>
      <c r="G453" s="13" t="n"/>
      <c r="H453" s="13" t="n"/>
      <c r="I453" s="13" t="n"/>
      <c r="J453" s="20" t="n"/>
      <c r="K453" s="14" t="n"/>
      <c r="L453" s="19">
        <f>IF($D453="","",ROUND(IF($J453="",1,$J453)*N($K453),2))</f>
        <v/>
      </c>
      <c r="M453" s="13" t="n"/>
      <c r="N453" s="17">
        <f>IF($D453="","",IF(ISNA(MATCH($D453,项目名表,0)),"※项目不在项目台账里",IF($F453="※材料类别没选","※材料类别没选",IF(AND($C453&lt;&gt;"",ISNA(MATCH($C453,供应商表,0))),"※供应商不在基础资料里",""))))</f>
        <v/>
      </c>
    </row>
    <row r="454">
      <c r="A454" s="17">
        <f>IF($D454="","",ROW()-3)</f>
        <v/>
      </c>
      <c r="B454" s="18" t="n"/>
      <c r="C454" s="13" t="n"/>
      <c r="D454" s="13" t="n"/>
      <c r="E454" s="13" t="n"/>
      <c r="F454" s="17">
        <f>IF($D454="","",IFERROR(VLOOKUP($E454,材料归属,2,0),"※材料类别没选"))</f>
        <v/>
      </c>
      <c r="G454" s="13" t="n"/>
      <c r="H454" s="13" t="n"/>
      <c r="I454" s="13" t="n"/>
      <c r="J454" s="20" t="n"/>
      <c r="K454" s="14" t="n"/>
      <c r="L454" s="19">
        <f>IF($D454="","",ROUND(IF($J454="",1,$J454)*N($K454),2))</f>
        <v/>
      </c>
      <c r="M454" s="13" t="n"/>
      <c r="N454" s="17">
        <f>IF($D454="","",IF(ISNA(MATCH($D454,项目名表,0)),"※项目不在项目台账里",IF($F454="※材料类别没选","※材料类别没选",IF(AND($C454&lt;&gt;"",ISNA(MATCH($C454,供应商表,0))),"※供应商不在基础资料里",""))))</f>
        <v/>
      </c>
    </row>
    <row r="455">
      <c r="A455" s="17">
        <f>IF($D455="","",ROW()-3)</f>
        <v/>
      </c>
      <c r="B455" s="18" t="n"/>
      <c r="C455" s="13" t="n"/>
      <c r="D455" s="13" t="n"/>
      <c r="E455" s="13" t="n"/>
      <c r="F455" s="17">
        <f>IF($D455="","",IFERROR(VLOOKUP($E455,材料归属,2,0),"※材料类别没选"))</f>
        <v/>
      </c>
      <c r="G455" s="13" t="n"/>
      <c r="H455" s="13" t="n"/>
      <c r="I455" s="13" t="n"/>
      <c r="J455" s="20" t="n"/>
      <c r="K455" s="14" t="n"/>
      <c r="L455" s="19">
        <f>IF($D455="","",ROUND(IF($J455="",1,$J455)*N($K455),2))</f>
        <v/>
      </c>
      <c r="M455" s="13" t="n"/>
      <c r="N455" s="17">
        <f>IF($D455="","",IF(ISNA(MATCH($D455,项目名表,0)),"※项目不在项目台账里",IF($F455="※材料类别没选","※材料类别没选",IF(AND($C455&lt;&gt;"",ISNA(MATCH($C455,供应商表,0))),"※供应商不在基础资料里",""))))</f>
        <v/>
      </c>
    </row>
    <row r="456">
      <c r="A456" s="17">
        <f>IF($D456="","",ROW()-3)</f>
        <v/>
      </c>
      <c r="B456" s="18" t="n"/>
      <c r="C456" s="13" t="n"/>
      <c r="D456" s="13" t="n"/>
      <c r="E456" s="13" t="n"/>
      <c r="F456" s="17">
        <f>IF($D456="","",IFERROR(VLOOKUP($E456,材料归属,2,0),"※材料类别没选"))</f>
        <v/>
      </c>
      <c r="G456" s="13" t="n"/>
      <c r="H456" s="13" t="n"/>
      <c r="I456" s="13" t="n"/>
      <c r="J456" s="20" t="n"/>
      <c r="K456" s="14" t="n"/>
      <c r="L456" s="19">
        <f>IF($D456="","",ROUND(IF($J456="",1,$J456)*N($K456),2))</f>
        <v/>
      </c>
      <c r="M456" s="13" t="n"/>
      <c r="N456" s="17">
        <f>IF($D456="","",IF(ISNA(MATCH($D456,项目名表,0)),"※项目不在项目台账里",IF($F456="※材料类别没选","※材料类别没选",IF(AND($C456&lt;&gt;"",ISNA(MATCH($C456,供应商表,0))),"※供应商不在基础资料里",""))))</f>
        <v/>
      </c>
    </row>
    <row r="457">
      <c r="A457" s="17">
        <f>IF($D457="","",ROW()-3)</f>
        <v/>
      </c>
      <c r="B457" s="18" t="n"/>
      <c r="C457" s="13" t="n"/>
      <c r="D457" s="13" t="n"/>
      <c r="E457" s="13" t="n"/>
      <c r="F457" s="17">
        <f>IF($D457="","",IFERROR(VLOOKUP($E457,材料归属,2,0),"※材料类别没选"))</f>
        <v/>
      </c>
      <c r="G457" s="13" t="n"/>
      <c r="H457" s="13" t="n"/>
      <c r="I457" s="13" t="n"/>
      <c r="J457" s="20" t="n"/>
      <c r="K457" s="14" t="n"/>
      <c r="L457" s="19">
        <f>IF($D457="","",ROUND(IF($J457="",1,$J457)*N($K457),2))</f>
        <v/>
      </c>
      <c r="M457" s="13" t="n"/>
      <c r="N457" s="17">
        <f>IF($D457="","",IF(ISNA(MATCH($D457,项目名表,0)),"※项目不在项目台账里",IF($F457="※材料类别没选","※材料类别没选",IF(AND($C457&lt;&gt;"",ISNA(MATCH($C457,供应商表,0))),"※供应商不在基础资料里",""))))</f>
        <v/>
      </c>
    </row>
    <row r="458">
      <c r="A458" s="17">
        <f>IF($D458="","",ROW()-3)</f>
        <v/>
      </c>
      <c r="B458" s="18" t="n"/>
      <c r="C458" s="13" t="n"/>
      <c r="D458" s="13" t="n"/>
      <c r="E458" s="13" t="n"/>
      <c r="F458" s="17">
        <f>IF($D458="","",IFERROR(VLOOKUP($E458,材料归属,2,0),"※材料类别没选"))</f>
        <v/>
      </c>
      <c r="G458" s="13" t="n"/>
      <c r="H458" s="13" t="n"/>
      <c r="I458" s="13" t="n"/>
      <c r="J458" s="20" t="n"/>
      <c r="K458" s="14" t="n"/>
      <c r="L458" s="19">
        <f>IF($D458="","",ROUND(IF($J458="",1,$J458)*N($K458),2))</f>
        <v/>
      </c>
      <c r="M458" s="13" t="n"/>
      <c r="N458" s="17">
        <f>IF($D458="","",IF(ISNA(MATCH($D458,项目名表,0)),"※项目不在项目台账里",IF($F458="※材料类别没选","※材料类别没选",IF(AND($C458&lt;&gt;"",ISNA(MATCH($C458,供应商表,0))),"※供应商不在基础资料里",""))))</f>
        <v/>
      </c>
    </row>
    <row r="459">
      <c r="A459" s="17">
        <f>IF($D459="","",ROW()-3)</f>
        <v/>
      </c>
      <c r="B459" s="18" t="n"/>
      <c r="C459" s="13" t="n"/>
      <c r="D459" s="13" t="n"/>
      <c r="E459" s="13" t="n"/>
      <c r="F459" s="17">
        <f>IF($D459="","",IFERROR(VLOOKUP($E459,材料归属,2,0),"※材料类别没选"))</f>
        <v/>
      </c>
      <c r="G459" s="13" t="n"/>
      <c r="H459" s="13" t="n"/>
      <c r="I459" s="13" t="n"/>
      <c r="J459" s="20" t="n"/>
      <c r="K459" s="14" t="n"/>
      <c r="L459" s="19">
        <f>IF($D459="","",ROUND(IF($J459="",1,$J459)*N($K459),2))</f>
        <v/>
      </c>
      <c r="M459" s="13" t="n"/>
      <c r="N459" s="17">
        <f>IF($D459="","",IF(ISNA(MATCH($D459,项目名表,0)),"※项目不在项目台账里",IF($F459="※材料类别没选","※材料类别没选",IF(AND($C459&lt;&gt;"",ISNA(MATCH($C459,供应商表,0))),"※供应商不在基础资料里",""))))</f>
        <v/>
      </c>
    </row>
    <row r="460">
      <c r="A460" s="17">
        <f>IF($D460="","",ROW()-3)</f>
        <v/>
      </c>
      <c r="B460" s="18" t="n"/>
      <c r="C460" s="13" t="n"/>
      <c r="D460" s="13" t="n"/>
      <c r="E460" s="13" t="n"/>
      <c r="F460" s="17">
        <f>IF($D460="","",IFERROR(VLOOKUP($E460,材料归属,2,0),"※材料类别没选"))</f>
        <v/>
      </c>
      <c r="G460" s="13" t="n"/>
      <c r="H460" s="13" t="n"/>
      <c r="I460" s="13" t="n"/>
      <c r="J460" s="20" t="n"/>
      <c r="K460" s="14" t="n"/>
      <c r="L460" s="19">
        <f>IF($D460="","",ROUND(IF($J460="",1,$J460)*N($K460),2))</f>
        <v/>
      </c>
      <c r="M460" s="13" t="n"/>
      <c r="N460" s="17">
        <f>IF($D460="","",IF(ISNA(MATCH($D460,项目名表,0)),"※项目不在项目台账里",IF($F460="※材料类别没选","※材料类别没选",IF(AND($C460&lt;&gt;"",ISNA(MATCH($C460,供应商表,0))),"※供应商不在基础资料里",""))))</f>
        <v/>
      </c>
    </row>
    <row r="461">
      <c r="A461" s="17">
        <f>IF($D461="","",ROW()-3)</f>
        <v/>
      </c>
      <c r="B461" s="18" t="n"/>
      <c r="C461" s="13" t="n"/>
      <c r="D461" s="13" t="n"/>
      <c r="E461" s="13" t="n"/>
      <c r="F461" s="17">
        <f>IF($D461="","",IFERROR(VLOOKUP($E461,材料归属,2,0),"※材料类别没选"))</f>
        <v/>
      </c>
      <c r="G461" s="13" t="n"/>
      <c r="H461" s="13" t="n"/>
      <c r="I461" s="13" t="n"/>
      <c r="J461" s="20" t="n"/>
      <c r="K461" s="14" t="n"/>
      <c r="L461" s="19">
        <f>IF($D461="","",ROUND(IF($J461="",1,$J461)*N($K461),2))</f>
        <v/>
      </c>
      <c r="M461" s="13" t="n"/>
      <c r="N461" s="17">
        <f>IF($D461="","",IF(ISNA(MATCH($D461,项目名表,0)),"※项目不在项目台账里",IF($F461="※材料类别没选","※材料类别没选",IF(AND($C461&lt;&gt;"",ISNA(MATCH($C461,供应商表,0))),"※供应商不在基础资料里",""))))</f>
        <v/>
      </c>
    </row>
    <row r="462">
      <c r="A462" s="17">
        <f>IF($D462="","",ROW()-3)</f>
        <v/>
      </c>
      <c r="B462" s="18" t="n"/>
      <c r="C462" s="13" t="n"/>
      <c r="D462" s="13" t="n"/>
      <c r="E462" s="13" t="n"/>
      <c r="F462" s="17">
        <f>IF($D462="","",IFERROR(VLOOKUP($E462,材料归属,2,0),"※材料类别没选"))</f>
        <v/>
      </c>
      <c r="G462" s="13" t="n"/>
      <c r="H462" s="13" t="n"/>
      <c r="I462" s="13" t="n"/>
      <c r="J462" s="20" t="n"/>
      <c r="K462" s="14" t="n"/>
      <c r="L462" s="19">
        <f>IF($D462="","",ROUND(IF($J462="",1,$J462)*N($K462),2))</f>
        <v/>
      </c>
      <c r="M462" s="13" t="n"/>
      <c r="N462" s="17">
        <f>IF($D462="","",IF(ISNA(MATCH($D462,项目名表,0)),"※项目不在项目台账里",IF($F462="※材料类别没选","※材料类别没选",IF(AND($C462&lt;&gt;"",ISNA(MATCH($C462,供应商表,0))),"※供应商不在基础资料里",""))))</f>
        <v/>
      </c>
    </row>
    <row r="463">
      <c r="A463" s="17">
        <f>IF($D463="","",ROW()-3)</f>
        <v/>
      </c>
      <c r="B463" s="18" t="n"/>
      <c r="C463" s="13" t="n"/>
      <c r="D463" s="13" t="n"/>
      <c r="E463" s="13" t="n"/>
      <c r="F463" s="17">
        <f>IF($D463="","",IFERROR(VLOOKUP($E463,材料归属,2,0),"※材料类别没选"))</f>
        <v/>
      </c>
      <c r="G463" s="13" t="n"/>
      <c r="H463" s="13" t="n"/>
      <c r="I463" s="13" t="n"/>
      <c r="J463" s="20" t="n"/>
      <c r="K463" s="14" t="n"/>
      <c r="L463" s="19">
        <f>IF($D463="","",ROUND(IF($J463="",1,$J463)*N($K463),2))</f>
        <v/>
      </c>
      <c r="M463" s="13" t="n"/>
      <c r="N463" s="17">
        <f>IF($D463="","",IF(ISNA(MATCH($D463,项目名表,0)),"※项目不在项目台账里",IF($F463="※材料类别没选","※材料类别没选",IF(AND($C463&lt;&gt;"",ISNA(MATCH($C463,供应商表,0))),"※供应商不在基础资料里",""))))</f>
        <v/>
      </c>
    </row>
    <row r="464">
      <c r="A464" s="17">
        <f>IF($D464="","",ROW()-3)</f>
        <v/>
      </c>
      <c r="B464" s="18" t="n"/>
      <c r="C464" s="13" t="n"/>
      <c r="D464" s="13" t="n"/>
      <c r="E464" s="13" t="n"/>
      <c r="F464" s="17">
        <f>IF($D464="","",IFERROR(VLOOKUP($E464,材料归属,2,0),"※材料类别没选"))</f>
        <v/>
      </c>
      <c r="G464" s="13" t="n"/>
      <c r="H464" s="13" t="n"/>
      <c r="I464" s="13" t="n"/>
      <c r="J464" s="20" t="n"/>
      <c r="K464" s="14" t="n"/>
      <c r="L464" s="19">
        <f>IF($D464="","",ROUND(IF($J464="",1,$J464)*N($K464),2))</f>
        <v/>
      </c>
      <c r="M464" s="13" t="n"/>
      <c r="N464" s="17">
        <f>IF($D464="","",IF(ISNA(MATCH($D464,项目名表,0)),"※项目不在项目台账里",IF($F464="※材料类别没选","※材料类别没选",IF(AND($C464&lt;&gt;"",ISNA(MATCH($C464,供应商表,0))),"※供应商不在基础资料里",""))))</f>
        <v/>
      </c>
    </row>
    <row r="465">
      <c r="A465" s="17">
        <f>IF($D465="","",ROW()-3)</f>
        <v/>
      </c>
      <c r="B465" s="18" t="n"/>
      <c r="C465" s="13" t="n"/>
      <c r="D465" s="13" t="n"/>
      <c r="E465" s="13" t="n"/>
      <c r="F465" s="17">
        <f>IF($D465="","",IFERROR(VLOOKUP($E465,材料归属,2,0),"※材料类别没选"))</f>
        <v/>
      </c>
      <c r="G465" s="13" t="n"/>
      <c r="H465" s="13" t="n"/>
      <c r="I465" s="13" t="n"/>
      <c r="J465" s="20" t="n"/>
      <c r="K465" s="14" t="n"/>
      <c r="L465" s="19">
        <f>IF($D465="","",ROUND(IF($J465="",1,$J465)*N($K465),2))</f>
        <v/>
      </c>
      <c r="M465" s="13" t="n"/>
      <c r="N465" s="17">
        <f>IF($D465="","",IF(ISNA(MATCH($D465,项目名表,0)),"※项目不在项目台账里",IF($F465="※材料类别没选","※材料类别没选",IF(AND($C465&lt;&gt;"",ISNA(MATCH($C465,供应商表,0))),"※供应商不在基础资料里",""))))</f>
        <v/>
      </c>
    </row>
    <row r="466">
      <c r="A466" s="17">
        <f>IF($D466="","",ROW()-3)</f>
        <v/>
      </c>
      <c r="B466" s="18" t="n"/>
      <c r="C466" s="13" t="n"/>
      <c r="D466" s="13" t="n"/>
      <c r="E466" s="13" t="n"/>
      <c r="F466" s="17">
        <f>IF($D466="","",IFERROR(VLOOKUP($E466,材料归属,2,0),"※材料类别没选"))</f>
        <v/>
      </c>
      <c r="G466" s="13" t="n"/>
      <c r="H466" s="13" t="n"/>
      <c r="I466" s="13" t="n"/>
      <c r="J466" s="20" t="n"/>
      <c r="K466" s="14" t="n"/>
      <c r="L466" s="19">
        <f>IF($D466="","",ROUND(IF($J466="",1,$J466)*N($K466),2))</f>
        <v/>
      </c>
      <c r="M466" s="13" t="n"/>
      <c r="N466" s="17">
        <f>IF($D466="","",IF(ISNA(MATCH($D466,项目名表,0)),"※项目不在项目台账里",IF($F466="※材料类别没选","※材料类别没选",IF(AND($C466&lt;&gt;"",ISNA(MATCH($C466,供应商表,0))),"※供应商不在基础资料里",""))))</f>
        <v/>
      </c>
    </row>
    <row r="467">
      <c r="A467" s="17">
        <f>IF($D467="","",ROW()-3)</f>
        <v/>
      </c>
      <c r="B467" s="18" t="n"/>
      <c r="C467" s="13" t="n"/>
      <c r="D467" s="13" t="n"/>
      <c r="E467" s="13" t="n"/>
      <c r="F467" s="17">
        <f>IF($D467="","",IFERROR(VLOOKUP($E467,材料归属,2,0),"※材料类别没选"))</f>
        <v/>
      </c>
      <c r="G467" s="13" t="n"/>
      <c r="H467" s="13" t="n"/>
      <c r="I467" s="13" t="n"/>
      <c r="J467" s="20" t="n"/>
      <c r="K467" s="14" t="n"/>
      <c r="L467" s="19">
        <f>IF($D467="","",ROUND(IF($J467="",1,$J467)*N($K467),2))</f>
        <v/>
      </c>
      <c r="M467" s="13" t="n"/>
      <c r="N467" s="17">
        <f>IF($D467="","",IF(ISNA(MATCH($D467,项目名表,0)),"※项目不在项目台账里",IF($F467="※材料类别没选","※材料类别没选",IF(AND($C467&lt;&gt;"",ISNA(MATCH($C467,供应商表,0))),"※供应商不在基础资料里",""))))</f>
        <v/>
      </c>
    </row>
    <row r="468">
      <c r="A468" s="17">
        <f>IF($D468="","",ROW()-3)</f>
        <v/>
      </c>
      <c r="B468" s="18" t="n"/>
      <c r="C468" s="13" t="n"/>
      <c r="D468" s="13" t="n"/>
      <c r="E468" s="13" t="n"/>
      <c r="F468" s="17">
        <f>IF($D468="","",IFERROR(VLOOKUP($E468,材料归属,2,0),"※材料类别没选"))</f>
        <v/>
      </c>
      <c r="G468" s="13" t="n"/>
      <c r="H468" s="13" t="n"/>
      <c r="I468" s="13" t="n"/>
      <c r="J468" s="20" t="n"/>
      <c r="K468" s="14" t="n"/>
      <c r="L468" s="19">
        <f>IF($D468="","",ROUND(IF($J468="",1,$J468)*N($K468),2))</f>
        <v/>
      </c>
      <c r="M468" s="13" t="n"/>
      <c r="N468" s="17">
        <f>IF($D468="","",IF(ISNA(MATCH($D468,项目名表,0)),"※项目不在项目台账里",IF($F468="※材料类别没选","※材料类别没选",IF(AND($C468&lt;&gt;"",ISNA(MATCH($C468,供应商表,0))),"※供应商不在基础资料里",""))))</f>
        <v/>
      </c>
    </row>
    <row r="469">
      <c r="A469" s="17">
        <f>IF($D469="","",ROW()-3)</f>
        <v/>
      </c>
      <c r="B469" s="18" t="n"/>
      <c r="C469" s="13" t="n"/>
      <c r="D469" s="13" t="n"/>
      <c r="E469" s="13" t="n"/>
      <c r="F469" s="17">
        <f>IF($D469="","",IFERROR(VLOOKUP($E469,材料归属,2,0),"※材料类别没选"))</f>
        <v/>
      </c>
      <c r="G469" s="13" t="n"/>
      <c r="H469" s="13" t="n"/>
      <c r="I469" s="13" t="n"/>
      <c r="J469" s="20" t="n"/>
      <c r="K469" s="14" t="n"/>
      <c r="L469" s="19">
        <f>IF($D469="","",ROUND(IF($J469="",1,$J469)*N($K469),2))</f>
        <v/>
      </c>
      <c r="M469" s="13" t="n"/>
      <c r="N469" s="17">
        <f>IF($D469="","",IF(ISNA(MATCH($D469,项目名表,0)),"※项目不在项目台账里",IF($F469="※材料类别没选","※材料类别没选",IF(AND($C469&lt;&gt;"",ISNA(MATCH($C469,供应商表,0))),"※供应商不在基础资料里",""))))</f>
        <v/>
      </c>
    </row>
    <row r="470">
      <c r="A470" s="17">
        <f>IF($D470="","",ROW()-3)</f>
        <v/>
      </c>
      <c r="B470" s="18" t="n"/>
      <c r="C470" s="13" t="n"/>
      <c r="D470" s="13" t="n"/>
      <c r="E470" s="13" t="n"/>
      <c r="F470" s="17">
        <f>IF($D470="","",IFERROR(VLOOKUP($E470,材料归属,2,0),"※材料类别没选"))</f>
        <v/>
      </c>
      <c r="G470" s="13" t="n"/>
      <c r="H470" s="13" t="n"/>
      <c r="I470" s="13" t="n"/>
      <c r="J470" s="20" t="n"/>
      <c r="K470" s="14" t="n"/>
      <c r="L470" s="19">
        <f>IF($D470="","",ROUND(IF($J470="",1,$J470)*N($K470),2))</f>
        <v/>
      </c>
      <c r="M470" s="13" t="n"/>
      <c r="N470" s="17">
        <f>IF($D470="","",IF(ISNA(MATCH($D470,项目名表,0)),"※项目不在项目台账里",IF($F470="※材料类别没选","※材料类别没选",IF(AND($C470&lt;&gt;"",ISNA(MATCH($C470,供应商表,0))),"※供应商不在基础资料里",""))))</f>
        <v/>
      </c>
    </row>
    <row r="471">
      <c r="A471" s="17">
        <f>IF($D471="","",ROW()-3)</f>
        <v/>
      </c>
      <c r="B471" s="18" t="n"/>
      <c r="C471" s="13" t="n"/>
      <c r="D471" s="13" t="n"/>
      <c r="E471" s="13" t="n"/>
      <c r="F471" s="17">
        <f>IF($D471="","",IFERROR(VLOOKUP($E471,材料归属,2,0),"※材料类别没选"))</f>
        <v/>
      </c>
      <c r="G471" s="13" t="n"/>
      <c r="H471" s="13" t="n"/>
      <c r="I471" s="13" t="n"/>
      <c r="J471" s="20" t="n"/>
      <c r="K471" s="14" t="n"/>
      <c r="L471" s="19">
        <f>IF($D471="","",ROUND(IF($J471="",1,$J471)*N($K471),2))</f>
        <v/>
      </c>
      <c r="M471" s="13" t="n"/>
      <c r="N471" s="17">
        <f>IF($D471="","",IF(ISNA(MATCH($D471,项目名表,0)),"※项目不在项目台账里",IF($F471="※材料类别没选","※材料类别没选",IF(AND($C471&lt;&gt;"",ISNA(MATCH($C471,供应商表,0))),"※供应商不在基础资料里",""))))</f>
        <v/>
      </c>
    </row>
    <row r="472">
      <c r="A472" s="17">
        <f>IF($D472="","",ROW()-3)</f>
        <v/>
      </c>
      <c r="B472" s="18" t="n"/>
      <c r="C472" s="13" t="n"/>
      <c r="D472" s="13" t="n"/>
      <c r="E472" s="13" t="n"/>
      <c r="F472" s="17">
        <f>IF($D472="","",IFERROR(VLOOKUP($E472,材料归属,2,0),"※材料类别没选"))</f>
        <v/>
      </c>
      <c r="G472" s="13" t="n"/>
      <c r="H472" s="13" t="n"/>
      <c r="I472" s="13" t="n"/>
      <c r="J472" s="20" t="n"/>
      <c r="K472" s="14" t="n"/>
      <c r="L472" s="19">
        <f>IF($D472="","",ROUND(IF($J472="",1,$J472)*N($K472),2))</f>
        <v/>
      </c>
      <c r="M472" s="13" t="n"/>
      <c r="N472" s="17">
        <f>IF($D472="","",IF(ISNA(MATCH($D472,项目名表,0)),"※项目不在项目台账里",IF($F472="※材料类别没选","※材料类别没选",IF(AND($C472&lt;&gt;"",ISNA(MATCH($C472,供应商表,0))),"※供应商不在基础资料里",""))))</f>
        <v/>
      </c>
    </row>
    <row r="473">
      <c r="A473" s="17">
        <f>IF($D473="","",ROW()-3)</f>
        <v/>
      </c>
      <c r="B473" s="18" t="n"/>
      <c r="C473" s="13" t="n"/>
      <c r="D473" s="13" t="n"/>
      <c r="E473" s="13" t="n"/>
      <c r="F473" s="17">
        <f>IF($D473="","",IFERROR(VLOOKUP($E473,材料归属,2,0),"※材料类别没选"))</f>
        <v/>
      </c>
      <c r="G473" s="13" t="n"/>
      <c r="H473" s="13" t="n"/>
      <c r="I473" s="13" t="n"/>
      <c r="J473" s="20" t="n"/>
      <c r="K473" s="14" t="n"/>
      <c r="L473" s="19">
        <f>IF($D473="","",ROUND(IF($J473="",1,$J473)*N($K473),2))</f>
        <v/>
      </c>
      <c r="M473" s="13" t="n"/>
      <c r="N473" s="17">
        <f>IF($D473="","",IF(ISNA(MATCH($D473,项目名表,0)),"※项目不在项目台账里",IF($F473="※材料类别没选","※材料类别没选",IF(AND($C473&lt;&gt;"",ISNA(MATCH($C473,供应商表,0))),"※供应商不在基础资料里",""))))</f>
        <v/>
      </c>
    </row>
    <row r="474">
      <c r="A474" s="17">
        <f>IF($D474="","",ROW()-3)</f>
        <v/>
      </c>
      <c r="B474" s="18" t="n"/>
      <c r="C474" s="13" t="n"/>
      <c r="D474" s="13" t="n"/>
      <c r="E474" s="13" t="n"/>
      <c r="F474" s="17">
        <f>IF($D474="","",IFERROR(VLOOKUP($E474,材料归属,2,0),"※材料类别没选"))</f>
        <v/>
      </c>
      <c r="G474" s="13" t="n"/>
      <c r="H474" s="13" t="n"/>
      <c r="I474" s="13" t="n"/>
      <c r="J474" s="20" t="n"/>
      <c r="K474" s="14" t="n"/>
      <c r="L474" s="19">
        <f>IF($D474="","",ROUND(IF($J474="",1,$J474)*N($K474),2))</f>
        <v/>
      </c>
      <c r="M474" s="13" t="n"/>
      <c r="N474" s="17">
        <f>IF($D474="","",IF(ISNA(MATCH($D474,项目名表,0)),"※项目不在项目台账里",IF($F474="※材料类别没选","※材料类别没选",IF(AND($C474&lt;&gt;"",ISNA(MATCH($C474,供应商表,0))),"※供应商不在基础资料里",""))))</f>
        <v/>
      </c>
    </row>
    <row r="475">
      <c r="A475" s="17">
        <f>IF($D475="","",ROW()-3)</f>
        <v/>
      </c>
      <c r="B475" s="18" t="n"/>
      <c r="C475" s="13" t="n"/>
      <c r="D475" s="13" t="n"/>
      <c r="E475" s="13" t="n"/>
      <c r="F475" s="17">
        <f>IF($D475="","",IFERROR(VLOOKUP($E475,材料归属,2,0),"※材料类别没选"))</f>
        <v/>
      </c>
      <c r="G475" s="13" t="n"/>
      <c r="H475" s="13" t="n"/>
      <c r="I475" s="13" t="n"/>
      <c r="J475" s="20" t="n"/>
      <c r="K475" s="14" t="n"/>
      <c r="L475" s="19">
        <f>IF($D475="","",ROUND(IF($J475="",1,$J475)*N($K475),2))</f>
        <v/>
      </c>
      <c r="M475" s="13" t="n"/>
      <c r="N475" s="17">
        <f>IF($D475="","",IF(ISNA(MATCH($D475,项目名表,0)),"※项目不在项目台账里",IF($F475="※材料类别没选","※材料类别没选",IF(AND($C475&lt;&gt;"",ISNA(MATCH($C475,供应商表,0))),"※供应商不在基础资料里",""))))</f>
        <v/>
      </c>
    </row>
    <row r="476">
      <c r="A476" s="17">
        <f>IF($D476="","",ROW()-3)</f>
        <v/>
      </c>
      <c r="B476" s="18" t="n"/>
      <c r="C476" s="13" t="n"/>
      <c r="D476" s="13" t="n"/>
      <c r="E476" s="13" t="n"/>
      <c r="F476" s="17">
        <f>IF($D476="","",IFERROR(VLOOKUP($E476,材料归属,2,0),"※材料类别没选"))</f>
        <v/>
      </c>
      <c r="G476" s="13" t="n"/>
      <c r="H476" s="13" t="n"/>
      <c r="I476" s="13" t="n"/>
      <c r="J476" s="20" t="n"/>
      <c r="K476" s="14" t="n"/>
      <c r="L476" s="19">
        <f>IF($D476="","",ROUND(IF($J476="",1,$J476)*N($K476),2))</f>
        <v/>
      </c>
      <c r="M476" s="13" t="n"/>
      <c r="N476" s="17">
        <f>IF($D476="","",IF(ISNA(MATCH($D476,项目名表,0)),"※项目不在项目台账里",IF($F476="※材料类别没选","※材料类别没选",IF(AND($C476&lt;&gt;"",ISNA(MATCH($C476,供应商表,0))),"※供应商不在基础资料里",""))))</f>
        <v/>
      </c>
    </row>
    <row r="477">
      <c r="A477" s="17">
        <f>IF($D477="","",ROW()-3)</f>
        <v/>
      </c>
      <c r="B477" s="18" t="n"/>
      <c r="C477" s="13" t="n"/>
      <c r="D477" s="13" t="n"/>
      <c r="E477" s="13" t="n"/>
      <c r="F477" s="17">
        <f>IF($D477="","",IFERROR(VLOOKUP($E477,材料归属,2,0),"※材料类别没选"))</f>
        <v/>
      </c>
      <c r="G477" s="13" t="n"/>
      <c r="H477" s="13" t="n"/>
      <c r="I477" s="13" t="n"/>
      <c r="J477" s="20" t="n"/>
      <c r="K477" s="14" t="n"/>
      <c r="L477" s="19">
        <f>IF($D477="","",ROUND(IF($J477="",1,$J477)*N($K477),2))</f>
        <v/>
      </c>
      <c r="M477" s="13" t="n"/>
      <c r="N477" s="17">
        <f>IF($D477="","",IF(ISNA(MATCH($D477,项目名表,0)),"※项目不在项目台账里",IF($F477="※材料类别没选","※材料类别没选",IF(AND($C477&lt;&gt;"",ISNA(MATCH($C477,供应商表,0))),"※供应商不在基础资料里",""))))</f>
        <v/>
      </c>
    </row>
    <row r="478">
      <c r="A478" s="17">
        <f>IF($D478="","",ROW()-3)</f>
        <v/>
      </c>
      <c r="B478" s="18" t="n"/>
      <c r="C478" s="13" t="n"/>
      <c r="D478" s="13" t="n"/>
      <c r="E478" s="13" t="n"/>
      <c r="F478" s="17">
        <f>IF($D478="","",IFERROR(VLOOKUP($E478,材料归属,2,0),"※材料类别没选"))</f>
        <v/>
      </c>
      <c r="G478" s="13" t="n"/>
      <c r="H478" s="13" t="n"/>
      <c r="I478" s="13" t="n"/>
      <c r="J478" s="20" t="n"/>
      <c r="K478" s="14" t="n"/>
      <c r="L478" s="19">
        <f>IF($D478="","",ROUND(IF($J478="",1,$J478)*N($K478),2))</f>
        <v/>
      </c>
      <c r="M478" s="13" t="n"/>
      <c r="N478" s="17">
        <f>IF($D478="","",IF(ISNA(MATCH($D478,项目名表,0)),"※项目不在项目台账里",IF($F478="※材料类别没选","※材料类别没选",IF(AND($C478&lt;&gt;"",ISNA(MATCH($C478,供应商表,0))),"※供应商不在基础资料里",""))))</f>
        <v/>
      </c>
    </row>
    <row r="479">
      <c r="A479" s="17">
        <f>IF($D479="","",ROW()-3)</f>
        <v/>
      </c>
      <c r="B479" s="18" t="n"/>
      <c r="C479" s="13" t="n"/>
      <c r="D479" s="13" t="n"/>
      <c r="E479" s="13" t="n"/>
      <c r="F479" s="17">
        <f>IF($D479="","",IFERROR(VLOOKUP($E479,材料归属,2,0),"※材料类别没选"))</f>
        <v/>
      </c>
      <c r="G479" s="13" t="n"/>
      <c r="H479" s="13" t="n"/>
      <c r="I479" s="13" t="n"/>
      <c r="J479" s="20" t="n"/>
      <c r="K479" s="14" t="n"/>
      <c r="L479" s="19">
        <f>IF($D479="","",ROUND(IF($J479="",1,$J479)*N($K479),2))</f>
        <v/>
      </c>
      <c r="M479" s="13" t="n"/>
      <c r="N479" s="17">
        <f>IF($D479="","",IF(ISNA(MATCH($D479,项目名表,0)),"※项目不在项目台账里",IF($F479="※材料类别没选","※材料类别没选",IF(AND($C479&lt;&gt;"",ISNA(MATCH($C479,供应商表,0))),"※供应商不在基础资料里",""))))</f>
        <v/>
      </c>
    </row>
    <row r="480">
      <c r="A480" s="17">
        <f>IF($D480="","",ROW()-3)</f>
        <v/>
      </c>
      <c r="B480" s="18" t="n"/>
      <c r="C480" s="13" t="n"/>
      <c r="D480" s="13" t="n"/>
      <c r="E480" s="13" t="n"/>
      <c r="F480" s="17">
        <f>IF($D480="","",IFERROR(VLOOKUP($E480,材料归属,2,0),"※材料类别没选"))</f>
        <v/>
      </c>
      <c r="G480" s="13" t="n"/>
      <c r="H480" s="13" t="n"/>
      <c r="I480" s="13" t="n"/>
      <c r="J480" s="20" t="n"/>
      <c r="K480" s="14" t="n"/>
      <c r="L480" s="19">
        <f>IF($D480="","",ROUND(IF($J480="",1,$J480)*N($K480),2))</f>
        <v/>
      </c>
      <c r="M480" s="13" t="n"/>
      <c r="N480" s="17">
        <f>IF($D480="","",IF(ISNA(MATCH($D480,项目名表,0)),"※项目不在项目台账里",IF($F480="※材料类别没选","※材料类别没选",IF(AND($C480&lt;&gt;"",ISNA(MATCH($C480,供应商表,0))),"※供应商不在基础资料里",""))))</f>
        <v/>
      </c>
    </row>
    <row r="481">
      <c r="A481" s="17">
        <f>IF($D481="","",ROW()-3)</f>
        <v/>
      </c>
      <c r="B481" s="18" t="n"/>
      <c r="C481" s="13" t="n"/>
      <c r="D481" s="13" t="n"/>
      <c r="E481" s="13" t="n"/>
      <c r="F481" s="17">
        <f>IF($D481="","",IFERROR(VLOOKUP($E481,材料归属,2,0),"※材料类别没选"))</f>
        <v/>
      </c>
      <c r="G481" s="13" t="n"/>
      <c r="H481" s="13" t="n"/>
      <c r="I481" s="13" t="n"/>
      <c r="J481" s="20" t="n"/>
      <c r="K481" s="14" t="n"/>
      <c r="L481" s="19">
        <f>IF($D481="","",ROUND(IF($J481="",1,$J481)*N($K481),2))</f>
        <v/>
      </c>
      <c r="M481" s="13" t="n"/>
      <c r="N481" s="17">
        <f>IF($D481="","",IF(ISNA(MATCH($D481,项目名表,0)),"※项目不在项目台账里",IF($F481="※材料类别没选","※材料类别没选",IF(AND($C481&lt;&gt;"",ISNA(MATCH($C481,供应商表,0))),"※供应商不在基础资料里",""))))</f>
        <v/>
      </c>
    </row>
    <row r="482">
      <c r="A482" s="17">
        <f>IF($D482="","",ROW()-3)</f>
        <v/>
      </c>
      <c r="B482" s="18" t="n"/>
      <c r="C482" s="13" t="n"/>
      <c r="D482" s="13" t="n"/>
      <c r="E482" s="13" t="n"/>
      <c r="F482" s="17">
        <f>IF($D482="","",IFERROR(VLOOKUP($E482,材料归属,2,0),"※材料类别没选"))</f>
        <v/>
      </c>
      <c r="G482" s="13" t="n"/>
      <c r="H482" s="13" t="n"/>
      <c r="I482" s="13" t="n"/>
      <c r="J482" s="20" t="n"/>
      <c r="K482" s="14" t="n"/>
      <c r="L482" s="19">
        <f>IF($D482="","",ROUND(IF($J482="",1,$J482)*N($K482),2))</f>
        <v/>
      </c>
      <c r="M482" s="13" t="n"/>
      <c r="N482" s="17">
        <f>IF($D482="","",IF(ISNA(MATCH($D482,项目名表,0)),"※项目不在项目台账里",IF($F482="※材料类别没选","※材料类别没选",IF(AND($C482&lt;&gt;"",ISNA(MATCH($C482,供应商表,0))),"※供应商不在基础资料里",""))))</f>
        <v/>
      </c>
    </row>
    <row r="483">
      <c r="A483" s="17">
        <f>IF($D483="","",ROW()-3)</f>
        <v/>
      </c>
      <c r="B483" s="18" t="n"/>
      <c r="C483" s="13" t="n"/>
      <c r="D483" s="13" t="n"/>
      <c r="E483" s="13" t="n"/>
      <c r="F483" s="17">
        <f>IF($D483="","",IFERROR(VLOOKUP($E483,材料归属,2,0),"※材料类别没选"))</f>
        <v/>
      </c>
      <c r="G483" s="13" t="n"/>
      <c r="H483" s="13" t="n"/>
      <c r="I483" s="13" t="n"/>
      <c r="J483" s="20" t="n"/>
      <c r="K483" s="14" t="n"/>
      <c r="L483" s="19">
        <f>IF($D483="","",ROUND(IF($J483="",1,$J483)*N($K483),2))</f>
        <v/>
      </c>
      <c r="M483" s="13" t="n"/>
      <c r="N483" s="17">
        <f>IF($D483="","",IF(ISNA(MATCH($D483,项目名表,0)),"※项目不在项目台账里",IF($F483="※材料类别没选","※材料类别没选",IF(AND($C483&lt;&gt;"",ISNA(MATCH($C483,供应商表,0))),"※供应商不在基础资料里",""))))</f>
        <v/>
      </c>
    </row>
    <row r="484">
      <c r="A484" s="17">
        <f>IF($D484="","",ROW()-3)</f>
        <v/>
      </c>
      <c r="B484" s="18" t="n"/>
      <c r="C484" s="13" t="n"/>
      <c r="D484" s="13" t="n"/>
      <c r="E484" s="13" t="n"/>
      <c r="F484" s="17">
        <f>IF($D484="","",IFERROR(VLOOKUP($E484,材料归属,2,0),"※材料类别没选"))</f>
        <v/>
      </c>
      <c r="G484" s="13" t="n"/>
      <c r="H484" s="13" t="n"/>
      <c r="I484" s="13" t="n"/>
      <c r="J484" s="20" t="n"/>
      <c r="K484" s="14" t="n"/>
      <c r="L484" s="19">
        <f>IF($D484="","",ROUND(IF($J484="",1,$J484)*N($K484),2))</f>
        <v/>
      </c>
      <c r="M484" s="13" t="n"/>
      <c r="N484" s="17">
        <f>IF($D484="","",IF(ISNA(MATCH($D484,项目名表,0)),"※项目不在项目台账里",IF($F484="※材料类别没选","※材料类别没选",IF(AND($C484&lt;&gt;"",ISNA(MATCH($C484,供应商表,0))),"※供应商不在基础资料里",""))))</f>
        <v/>
      </c>
    </row>
    <row r="485">
      <c r="A485" s="17">
        <f>IF($D485="","",ROW()-3)</f>
        <v/>
      </c>
      <c r="B485" s="18" t="n"/>
      <c r="C485" s="13" t="n"/>
      <c r="D485" s="13" t="n"/>
      <c r="E485" s="13" t="n"/>
      <c r="F485" s="17">
        <f>IF($D485="","",IFERROR(VLOOKUP($E485,材料归属,2,0),"※材料类别没选"))</f>
        <v/>
      </c>
      <c r="G485" s="13" t="n"/>
      <c r="H485" s="13" t="n"/>
      <c r="I485" s="13" t="n"/>
      <c r="J485" s="20" t="n"/>
      <c r="K485" s="14" t="n"/>
      <c r="L485" s="19">
        <f>IF($D485="","",ROUND(IF($J485="",1,$J485)*N($K485),2))</f>
        <v/>
      </c>
      <c r="M485" s="13" t="n"/>
      <c r="N485" s="17">
        <f>IF($D485="","",IF(ISNA(MATCH($D485,项目名表,0)),"※项目不在项目台账里",IF($F485="※材料类别没选","※材料类别没选",IF(AND($C485&lt;&gt;"",ISNA(MATCH($C485,供应商表,0))),"※供应商不在基础资料里",""))))</f>
        <v/>
      </c>
    </row>
    <row r="486">
      <c r="A486" s="17">
        <f>IF($D486="","",ROW()-3)</f>
        <v/>
      </c>
      <c r="B486" s="18" t="n"/>
      <c r="C486" s="13" t="n"/>
      <c r="D486" s="13" t="n"/>
      <c r="E486" s="13" t="n"/>
      <c r="F486" s="17">
        <f>IF($D486="","",IFERROR(VLOOKUP($E486,材料归属,2,0),"※材料类别没选"))</f>
        <v/>
      </c>
      <c r="G486" s="13" t="n"/>
      <c r="H486" s="13" t="n"/>
      <c r="I486" s="13" t="n"/>
      <c r="J486" s="20" t="n"/>
      <c r="K486" s="14" t="n"/>
      <c r="L486" s="19">
        <f>IF($D486="","",ROUND(IF($J486="",1,$J486)*N($K486),2))</f>
        <v/>
      </c>
      <c r="M486" s="13" t="n"/>
      <c r="N486" s="17">
        <f>IF($D486="","",IF(ISNA(MATCH($D486,项目名表,0)),"※项目不在项目台账里",IF($F486="※材料类别没选","※材料类别没选",IF(AND($C486&lt;&gt;"",ISNA(MATCH($C486,供应商表,0))),"※供应商不在基础资料里",""))))</f>
        <v/>
      </c>
    </row>
    <row r="487">
      <c r="A487" s="17">
        <f>IF($D487="","",ROW()-3)</f>
        <v/>
      </c>
      <c r="B487" s="18" t="n"/>
      <c r="C487" s="13" t="n"/>
      <c r="D487" s="13" t="n"/>
      <c r="E487" s="13" t="n"/>
      <c r="F487" s="17">
        <f>IF($D487="","",IFERROR(VLOOKUP($E487,材料归属,2,0),"※材料类别没选"))</f>
        <v/>
      </c>
      <c r="G487" s="13" t="n"/>
      <c r="H487" s="13" t="n"/>
      <c r="I487" s="13" t="n"/>
      <c r="J487" s="20" t="n"/>
      <c r="K487" s="14" t="n"/>
      <c r="L487" s="19">
        <f>IF($D487="","",ROUND(IF($J487="",1,$J487)*N($K487),2))</f>
        <v/>
      </c>
      <c r="M487" s="13" t="n"/>
      <c r="N487" s="17">
        <f>IF($D487="","",IF(ISNA(MATCH($D487,项目名表,0)),"※项目不在项目台账里",IF($F487="※材料类别没选","※材料类别没选",IF(AND($C487&lt;&gt;"",ISNA(MATCH($C487,供应商表,0))),"※供应商不在基础资料里",""))))</f>
        <v/>
      </c>
    </row>
    <row r="488">
      <c r="A488" s="17">
        <f>IF($D488="","",ROW()-3)</f>
        <v/>
      </c>
      <c r="B488" s="18" t="n"/>
      <c r="C488" s="13" t="n"/>
      <c r="D488" s="13" t="n"/>
      <c r="E488" s="13" t="n"/>
      <c r="F488" s="17">
        <f>IF($D488="","",IFERROR(VLOOKUP($E488,材料归属,2,0),"※材料类别没选"))</f>
        <v/>
      </c>
      <c r="G488" s="13" t="n"/>
      <c r="H488" s="13" t="n"/>
      <c r="I488" s="13" t="n"/>
      <c r="J488" s="20" t="n"/>
      <c r="K488" s="14" t="n"/>
      <c r="L488" s="19">
        <f>IF($D488="","",ROUND(IF($J488="",1,$J488)*N($K488),2))</f>
        <v/>
      </c>
      <c r="M488" s="13" t="n"/>
      <c r="N488" s="17">
        <f>IF($D488="","",IF(ISNA(MATCH($D488,项目名表,0)),"※项目不在项目台账里",IF($F488="※材料类别没选","※材料类别没选",IF(AND($C488&lt;&gt;"",ISNA(MATCH($C488,供应商表,0))),"※供应商不在基础资料里",""))))</f>
        <v/>
      </c>
    </row>
    <row r="489">
      <c r="A489" s="17">
        <f>IF($D489="","",ROW()-3)</f>
        <v/>
      </c>
      <c r="B489" s="18" t="n"/>
      <c r="C489" s="13" t="n"/>
      <c r="D489" s="13" t="n"/>
      <c r="E489" s="13" t="n"/>
      <c r="F489" s="17">
        <f>IF($D489="","",IFERROR(VLOOKUP($E489,材料归属,2,0),"※材料类别没选"))</f>
        <v/>
      </c>
      <c r="G489" s="13" t="n"/>
      <c r="H489" s="13" t="n"/>
      <c r="I489" s="13" t="n"/>
      <c r="J489" s="20" t="n"/>
      <c r="K489" s="14" t="n"/>
      <c r="L489" s="19">
        <f>IF($D489="","",ROUND(IF($J489="",1,$J489)*N($K489),2))</f>
        <v/>
      </c>
      <c r="M489" s="13" t="n"/>
      <c r="N489" s="17">
        <f>IF($D489="","",IF(ISNA(MATCH($D489,项目名表,0)),"※项目不在项目台账里",IF($F489="※材料类别没选","※材料类别没选",IF(AND($C489&lt;&gt;"",ISNA(MATCH($C489,供应商表,0))),"※供应商不在基础资料里",""))))</f>
        <v/>
      </c>
    </row>
    <row r="490">
      <c r="A490" s="17">
        <f>IF($D490="","",ROW()-3)</f>
        <v/>
      </c>
      <c r="B490" s="18" t="n"/>
      <c r="C490" s="13" t="n"/>
      <c r="D490" s="13" t="n"/>
      <c r="E490" s="13" t="n"/>
      <c r="F490" s="17">
        <f>IF($D490="","",IFERROR(VLOOKUP($E490,材料归属,2,0),"※材料类别没选"))</f>
        <v/>
      </c>
      <c r="G490" s="13" t="n"/>
      <c r="H490" s="13" t="n"/>
      <c r="I490" s="13" t="n"/>
      <c r="J490" s="20" t="n"/>
      <c r="K490" s="14" t="n"/>
      <c r="L490" s="19">
        <f>IF($D490="","",ROUND(IF($J490="",1,$J490)*N($K490),2))</f>
        <v/>
      </c>
      <c r="M490" s="13" t="n"/>
      <c r="N490" s="17">
        <f>IF($D490="","",IF(ISNA(MATCH($D490,项目名表,0)),"※项目不在项目台账里",IF($F490="※材料类别没选","※材料类别没选",IF(AND($C490&lt;&gt;"",ISNA(MATCH($C490,供应商表,0))),"※供应商不在基础资料里",""))))</f>
        <v/>
      </c>
    </row>
    <row r="491">
      <c r="A491" s="17">
        <f>IF($D491="","",ROW()-3)</f>
        <v/>
      </c>
      <c r="B491" s="18" t="n"/>
      <c r="C491" s="13" t="n"/>
      <c r="D491" s="13" t="n"/>
      <c r="E491" s="13" t="n"/>
      <c r="F491" s="17">
        <f>IF($D491="","",IFERROR(VLOOKUP($E491,材料归属,2,0),"※材料类别没选"))</f>
        <v/>
      </c>
      <c r="G491" s="13" t="n"/>
      <c r="H491" s="13" t="n"/>
      <c r="I491" s="13" t="n"/>
      <c r="J491" s="20" t="n"/>
      <c r="K491" s="14" t="n"/>
      <c r="L491" s="19">
        <f>IF($D491="","",ROUND(IF($J491="",1,$J491)*N($K491),2))</f>
        <v/>
      </c>
      <c r="M491" s="13" t="n"/>
      <c r="N491" s="17">
        <f>IF($D491="","",IF(ISNA(MATCH($D491,项目名表,0)),"※项目不在项目台账里",IF($F491="※材料类别没选","※材料类别没选",IF(AND($C491&lt;&gt;"",ISNA(MATCH($C491,供应商表,0))),"※供应商不在基础资料里",""))))</f>
        <v/>
      </c>
    </row>
    <row r="492">
      <c r="A492" s="17">
        <f>IF($D492="","",ROW()-3)</f>
        <v/>
      </c>
      <c r="B492" s="18" t="n"/>
      <c r="C492" s="13" t="n"/>
      <c r="D492" s="13" t="n"/>
      <c r="E492" s="13" t="n"/>
      <c r="F492" s="17">
        <f>IF($D492="","",IFERROR(VLOOKUP($E492,材料归属,2,0),"※材料类别没选"))</f>
        <v/>
      </c>
      <c r="G492" s="13" t="n"/>
      <c r="H492" s="13" t="n"/>
      <c r="I492" s="13" t="n"/>
      <c r="J492" s="20" t="n"/>
      <c r="K492" s="14" t="n"/>
      <c r="L492" s="19">
        <f>IF($D492="","",ROUND(IF($J492="",1,$J492)*N($K492),2))</f>
        <v/>
      </c>
      <c r="M492" s="13" t="n"/>
      <c r="N492" s="17">
        <f>IF($D492="","",IF(ISNA(MATCH($D492,项目名表,0)),"※项目不在项目台账里",IF($F492="※材料类别没选","※材料类别没选",IF(AND($C492&lt;&gt;"",ISNA(MATCH($C492,供应商表,0))),"※供应商不在基础资料里",""))))</f>
        <v/>
      </c>
    </row>
    <row r="493">
      <c r="A493" s="17">
        <f>IF($D493="","",ROW()-3)</f>
        <v/>
      </c>
      <c r="B493" s="18" t="n"/>
      <c r="C493" s="13" t="n"/>
      <c r="D493" s="13" t="n"/>
      <c r="E493" s="13" t="n"/>
      <c r="F493" s="17">
        <f>IF($D493="","",IFERROR(VLOOKUP($E493,材料归属,2,0),"※材料类别没选"))</f>
        <v/>
      </c>
      <c r="G493" s="13" t="n"/>
      <c r="H493" s="13" t="n"/>
      <c r="I493" s="13" t="n"/>
      <c r="J493" s="20" t="n"/>
      <c r="K493" s="14" t="n"/>
      <c r="L493" s="19">
        <f>IF($D493="","",ROUND(IF($J493="",1,$J493)*N($K493),2))</f>
        <v/>
      </c>
      <c r="M493" s="13" t="n"/>
      <c r="N493" s="17">
        <f>IF($D493="","",IF(ISNA(MATCH($D493,项目名表,0)),"※项目不在项目台账里",IF($F493="※材料类别没选","※材料类别没选",IF(AND($C493&lt;&gt;"",ISNA(MATCH($C493,供应商表,0))),"※供应商不在基础资料里",""))))</f>
        <v/>
      </c>
    </row>
    <row r="494">
      <c r="A494" s="17">
        <f>IF($D494="","",ROW()-3)</f>
        <v/>
      </c>
      <c r="B494" s="18" t="n"/>
      <c r="C494" s="13" t="n"/>
      <c r="D494" s="13" t="n"/>
      <c r="E494" s="13" t="n"/>
      <c r="F494" s="17">
        <f>IF($D494="","",IFERROR(VLOOKUP($E494,材料归属,2,0),"※材料类别没选"))</f>
        <v/>
      </c>
      <c r="G494" s="13" t="n"/>
      <c r="H494" s="13" t="n"/>
      <c r="I494" s="13" t="n"/>
      <c r="J494" s="20" t="n"/>
      <c r="K494" s="14" t="n"/>
      <c r="L494" s="19">
        <f>IF($D494="","",ROUND(IF($J494="",1,$J494)*N($K494),2))</f>
        <v/>
      </c>
      <c r="M494" s="13" t="n"/>
      <c r="N494" s="17">
        <f>IF($D494="","",IF(ISNA(MATCH($D494,项目名表,0)),"※项目不在项目台账里",IF($F494="※材料类别没选","※材料类别没选",IF(AND($C494&lt;&gt;"",ISNA(MATCH($C494,供应商表,0))),"※供应商不在基础资料里",""))))</f>
        <v/>
      </c>
    </row>
    <row r="495">
      <c r="A495" s="17">
        <f>IF($D495="","",ROW()-3)</f>
        <v/>
      </c>
      <c r="B495" s="18" t="n"/>
      <c r="C495" s="13" t="n"/>
      <c r="D495" s="13" t="n"/>
      <c r="E495" s="13" t="n"/>
      <c r="F495" s="17">
        <f>IF($D495="","",IFERROR(VLOOKUP($E495,材料归属,2,0),"※材料类别没选"))</f>
        <v/>
      </c>
      <c r="G495" s="13" t="n"/>
      <c r="H495" s="13" t="n"/>
      <c r="I495" s="13" t="n"/>
      <c r="J495" s="20" t="n"/>
      <c r="K495" s="14" t="n"/>
      <c r="L495" s="19">
        <f>IF($D495="","",ROUND(IF($J495="",1,$J495)*N($K495),2))</f>
        <v/>
      </c>
      <c r="M495" s="13" t="n"/>
      <c r="N495" s="17">
        <f>IF($D495="","",IF(ISNA(MATCH($D495,项目名表,0)),"※项目不在项目台账里",IF($F495="※材料类别没选","※材料类别没选",IF(AND($C495&lt;&gt;"",ISNA(MATCH($C495,供应商表,0))),"※供应商不在基础资料里",""))))</f>
        <v/>
      </c>
    </row>
    <row r="496">
      <c r="A496" s="17">
        <f>IF($D496="","",ROW()-3)</f>
        <v/>
      </c>
      <c r="B496" s="18" t="n"/>
      <c r="C496" s="13" t="n"/>
      <c r="D496" s="13" t="n"/>
      <c r="E496" s="13" t="n"/>
      <c r="F496" s="17">
        <f>IF($D496="","",IFERROR(VLOOKUP($E496,材料归属,2,0),"※材料类别没选"))</f>
        <v/>
      </c>
      <c r="G496" s="13" t="n"/>
      <c r="H496" s="13" t="n"/>
      <c r="I496" s="13" t="n"/>
      <c r="J496" s="20" t="n"/>
      <c r="K496" s="14" t="n"/>
      <c r="L496" s="19">
        <f>IF($D496="","",ROUND(IF($J496="",1,$J496)*N($K496),2))</f>
        <v/>
      </c>
      <c r="M496" s="13" t="n"/>
      <c r="N496" s="17">
        <f>IF($D496="","",IF(ISNA(MATCH($D496,项目名表,0)),"※项目不在项目台账里",IF($F496="※材料类别没选","※材料类别没选",IF(AND($C496&lt;&gt;"",ISNA(MATCH($C496,供应商表,0))),"※供应商不在基础资料里",""))))</f>
        <v/>
      </c>
    </row>
    <row r="497">
      <c r="A497" s="17">
        <f>IF($D497="","",ROW()-3)</f>
        <v/>
      </c>
      <c r="B497" s="18" t="n"/>
      <c r="C497" s="13" t="n"/>
      <c r="D497" s="13" t="n"/>
      <c r="E497" s="13" t="n"/>
      <c r="F497" s="17">
        <f>IF($D497="","",IFERROR(VLOOKUP($E497,材料归属,2,0),"※材料类别没选"))</f>
        <v/>
      </c>
      <c r="G497" s="13" t="n"/>
      <c r="H497" s="13" t="n"/>
      <c r="I497" s="13" t="n"/>
      <c r="J497" s="20" t="n"/>
      <c r="K497" s="14" t="n"/>
      <c r="L497" s="19">
        <f>IF($D497="","",ROUND(IF($J497="",1,$J497)*N($K497),2))</f>
        <v/>
      </c>
      <c r="M497" s="13" t="n"/>
      <c r="N497" s="17">
        <f>IF($D497="","",IF(ISNA(MATCH($D497,项目名表,0)),"※项目不在项目台账里",IF($F497="※材料类别没选","※材料类别没选",IF(AND($C497&lt;&gt;"",ISNA(MATCH($C497,供应商表,0))),"※供应商不在基础资料里",""))))</f>
        <v/>
      </c>
    </row>
    <row r="498">
      <c r="A498" s="17">
        <f>IF($D498="","",ROW()-3)</f>
        <v/>
      </c>
      <c r="B498" s="18" t="n"/>
      <c r="C498" s="13" t="n"/>
      <c r="D498" s="13" t="n"/>
      <c r="E498" s="13" t="n"/>
      <c r="F498" s="17">
        <f>IF($D498="","",IFERROR(VLOOKUP($E498,材料归属,2,0),"※材料类别没选"))</f>
        <v/>
      </c>
      <c r="G498" s="13" t="n"/>
      <c r="H498" s="13" t="n"/>
      <c r="I498" s="13" t="n"/>
      <c r="J498" s="20" t="n"/>
      <c r="K498" s="14" t="n"/>
      <c r="L498" s="19">
        <f>IF($D498="","",ROUND(IF($J498="",1,$J498)*N($K498),2))</f>
        <v/>
      </c>
      <c r="M498" s="13" t="n"/>
      <c r="N498" s="17">
        <f>IF($D498="","",IF(ISNA(MATCH($D498,项目名表,0)),"※项目不在项目台账里",IF($F498="※材料类别没选","※材料类别没选",IF(AND($C498&lt;&gt;"",ISNA(MATCH($C498,供应商表,0))),"※供应商不在基础资料里",""))))</f>
        <v/>
      </c>
    </row>
    <row r="499">
      <c r="A499" s="17">
        <f>IF($D499="","",ROW()-3)</f>
        <v/>
      </c>
      <c r="B499" s="18" t="n"/>
      <c r="C499" s="13" t="n"/>
      <c r="D499" s="13" t="n"/>
      <c r="E499" s="13" t="n"/>
      <c r="F499" s="17">
        <f>IF($D499="","",IFERROR(VLOOKUP($E499,材料归属,2,0),"※材料类别没选"))</f>
        <v/>
      </c>
      <c r="G499" s="13" t="n"/>
      <c r="H499" s="13" t="n"/>
      <c r="I499" s="13" t="n"/>
      <c r="J499" s="20" t="n"/>
      <c r="K499" s="14" t="n"/>
      <c r="L499" s="19">
        <f>IF($D499="","",ROUND(IF($J499="",1,$J499)*N($K499),2))</f>
        <v/>
      </c>
      <c r="M499" s="13" t="n"/>
      <c r="N499" s="17">
        <f>IF($D499="","",IF(ISNA(MATCH($D499,项目名表,0)),"※项目不在项目台账里",IF($F499="※材料类别没选","※材料类别没选",IF(AND($C499&lt;&gt;"",ISNA(MATCH($C499,供应商表,0))),"※供应商不在基础资料里",""))))</f>
        <v/>
      </c>
    </row>
    <row r="500">
      <c r="A500" s="17">
        <f>IF($D500="","",ROW()-3)</f>
        <v/>
      </c>
      <c r="B500" s="18" t="n"/>
      <c r="C500" s="13" t="n"/>
      <c r="D500" s="13" t="n"/>
      <c r="E500" s="13" t="n"/>
      <c r="F500" s="17">
        <f>IF($D500="","",IFERROR(VLOOKUP($E500,材料归属,2,0),"※材料类别没选"))</f>
        <v/>
      </c>
      <c r="G500" s="13" t="n"/>
      <c r="H500" s="13" t="n"/>
      <c r="I500" s="13" t="n"/>
      <c r="J500" s="20" t="n"/>
      <c r="K500" s="14" t="n"/>
      <c r="L500" s="19">
        <f>IF($D500="","",ROUND(IF($J500="",1,$J500)*N($K500),2))</f>
        <v/>
      </c>
      <c r="M500" s="13" t="n"/>
      <c r="N500" s="17">
        <f>IF($D500="","",IF(ISNA(MATCH($D500,项目名表,0)),"※项目不在项目台账里",IF($F500="※材料类别没选","※材料类别没选",IF(AND($C500&lt;&gt;"",ISNA(MATCH($C500,供应商表,0))),"※供应商不在基础资料里",""))))</f>
        <v/>
      </c>
    </row>
    <row r="501">
      <c r="A501" s="17">
        <f>IF($D501="","",ROW()-3)</f>
        <v/>
      </c>
      <c r="B501" s="18" t="n"/>
      <c r="C501" s="13" t="n"/>
      <c r="D501" s="13" t="n"/>
      <c r="E501" s="13" t="n"/>
      <c r="F501" s="17">
        <f>IF($D501="","",IFERROR(VLOOKUP($E501,材料归属,2,0),"※材料类别没选"))</f>
        <v/>
      </c>
      <c r="G501" s="13" t="n"/>
      <c r="H501" s="13" t="n"/>
      <c r="I501" s="13" t="n"/>
      <c r="J501" s="20" t="n"/>
      <c r="K501" s="14" t="n"/>
      <c r="L501" s="19">
        <f>IF($D501="","",ROUND(IF($J501="",1,$J501)*N($K501),2))</f>
        <v/>
      </c>
      <c r="M501" s="13" t="n"/>
      <c r="N501" s="17">
        <f>IF($D501="","",IF(ISNA(MATCH($D501,项目名表,0)),"※项目不在项目台账里",IF($F501="※材料类别没选","※材料类别没选",IF(AND($C501&lt;&gt;"",ISNA(MATCH($C501,供应商表,0))),"※供应商不在基础资料里",""))))</f>
        <v/>
      </c>
    </row>
    <row r="502">
      <c r="A502" s="17">
        <f>IF($D502="","",ROW()-3)</f>
        <v/>
      </c>
      <c r="B502" s="18" t="n"/>
      <c r="C502" s="13" t="n"/>
      <c r="D502" s="13" t="n"/>
      <c r="E502" s="13" t="n"/>
      <c r="F502" s="17">
        <f>IF($D502="","",IFERROR(VLOOKUP($E502,材料归属,2,0),"※材料类别没选"))</f>
        <v/>
      </c>
      <c r="G502" s="13" t="n"/>
      <c r="H502" s="13" t="n"/>
      <c r="I502" s="13" t="n"/>
      <c r="J502" s="20" t="n"/>
      <c r="K502" s="14" t="n"/>
      <c r="L502" s="19">
        <f>IF($D502="","",ROUND(IF($J502="",1,$J502)*N($K502),2))</f>
        <v/>
      </c>
      <c r="M502" s="13" t="n"/>
      <c r="N502" s="17">
        <f>IF($D502="","",IF(ISNA(MATCH($D502,项目名表,0)),"※项目不在项目台账里",IF($F502="※材料类别没选","※材料类别没选",IF(AND($C502&lt;&gt;"",ISNA(MATCH($C502,供应商表,0))),"※供应商不在基础资料里",""))))</f>
        <v/>
      </c>
    </row>
    <row r="503">
      <c r="A503" s="17">
        <f>IF($D503="","",ROW()-3)</f>
        <v/>
      </c>
      <c r="B503" s="18" t="n"/>
      <c r="C503" s="13" t="n"/>
      <c r="D503" s="13" t="n"/>
      <c r="E503" s="13" t="n"/>
      <c r="F503" s="17">
        <f>IF($D503="","",IFERROR(VLOOKUP($E503,材料归属,2,0),"※材料类别没选"))</f>
        <v/>
      </c>
      <c r="G503" s="13" t="n"/>
      <c r="H503" s="13" t="n"/>
      <c r="I503" s="13" t="n"/>
      <c r="J503" s="20" t="n"/>
      <c r="K503" s="14" t="n"/>
      <c r="L503" s="19">
        <f>IF($D503="","",ROUND(IF($J503="",1,$J503)*N($K503),2))</f>
        <v/>
      </c>
      <c r="M503" s="13" t="n"/>
      <c r="N503" s="17">
        <f>IF($D503="","",IF(ISNA(MATCH($D503,项目名表,0)),"※项目不在项目台账里",IF($F503="※材料类别没选","※材料类别没选",IF(AND($C503&lt;&gt;"",ISNA(MATCH($C503,供应商表,0))),"※供应商不在基础资料里",""))))</f>
        <v/>
      </c>
    </row>
    <row r="504">
      <c r="A504" s="17">
        <f>IF($D504="","",ROW()-3)</f>
        <v/>
      </c>
      <c r="B504" s="18" t="n"/>
      <c r="C504" s="13" t="n"/>
      <c r="D504" s="13" t="n"/>
      <c r="E504" s="13" t="n"/>
      <c r="F504" s="17">
        <f>IF($D504="","",IFERROR(VLOOKUP($E504,材料归属,2,0),"※材料类别没选"))</f>
        <v/>
      </c>
      <c r="G504" s="13" t="n"/>
      <c r="H504" s="13" t="n"/>
      <c r="I504" s="13" t="n"/>
      <c r="J504" s="20" t="n"/>
      <c r="K504" s="14" t="n"/>
      <c r="L504" s="19">
        <f>IF($D504="","",ROUND(IF($J504="",1,$J504)*N($K504),2))</f>
        <v/>
      </c>
      <c r="M504" s="13" t="n"/>
      <c r="N504" s="17">
        <f>IF($D504="","",IF(ISNA(MATCH($D504,项目名表,0)),"※项目不在项目台账里",IF($F504="※材料类别没选","※材料类别没选",IF(AND($C504&lt;&gt;"",ISNA(MATCH($C504,供应商表,0))),"※供应商不在基础资料里",""))))</f>
        <v/>
      </c>
    </row>
    <row r="505">
      <c r="A505" s="17">
        <f>IF($D505="","",ROW()-3)</f>
        <v/>
      </c>
      <c r="B505" s="18" t="n"/>
      <c r="C505" s="13" t="n"/>
      <c r="D505" s="13" t="n"/>
      <c r="E505" s="13" t="n"/>
      <c r="F505" s="17">
        <f>IF($D505="","",IFERROR(VLOOKUP($E505,材料归属,2,0),"※材料类别没选"))</f>
        <v/>
      </c>
      <c r="G505" s="13" t="n"/>
      <c r="H505" s="13" t="n"/>
      <c r="I505" s="13" t="n"/>
      <c r="J505" s="20" t="n"/>
      <c r="K505" s="14" t="n"/>
      <c r="L505" s="19">
        <f>IF($D505="","",ROUND(IF($J505="",1,$J505)*N($K505),2))</f>
        <v/>
      </c>
      <c r="M505" s="13" t="n"/>
      <c r="N505" s="17">
        <f>IF($D505="","",IF(ISNA(MATCH($D505,项目名表,0)),"※项目不在项目台账里",IF($F505="※材料类别没选","※材料类别没选",IF(AND($C505&lt;&gt;"",ISNA(MATCH($C505,供应商表,0))),"※供应商不在基础资料里",""))))</f>
        <v/>
      </c>
    </row>
    <row r="506">
      <c r="A506" s="17">
        <f>IF($D506="","",ROW()-3)</f>
        <v/>
      </c>
      <c r="B506" s="18" t="n"/>
      <c r="C506" s="13" t="n"/>
      <c r="D506" s="13" t="n"/>
      <c r="E506" s="13" t="n"/>
      <c r="F506" s="17">
        <f>IF($D506="","",IFERROR(VLOOKUP($E506,材料归属,2,0),"※材料类别没选"))</f>
        <v/>
      </c>
      <c r="G506" s="13" t="n"/>
      <c r="H506" s="13" t="n"/>
      <c r="I506" s="13" t="n"/>
      <c r="J506" s="20" t="n"/>
      <c r="K506" s="14" t="n"/>
      <c r="L506" s="19">
        <f>IF($D506="","",ROUND(IF($J506="",1,$J506)*N($K506),2))</f>
        <v/>
      </c>
      <c r="M506" s="13" t="n"/>
      <c r="N506" s="17">
        <f>IF($D506="","",IF(ISNA(MATCH($D506,项目名表,0)),"※项目不在项目台账里",IF($F506="※材料类别没选","※材料类别没选",IF(AND($C506&lt;&gt;"",ISNA(MATCH($C506,供应商表,0))),"※供应商不在基础资料里",""))))</f>
        <v/>
      </c>
    </row>
    <row r="507">
      <c r="A507" s="17">
        <f>IF($D507="","",ROW()-3)</f>
        <v/>
      </c>
      <c r="B507" s="18" t="n"/>
      <c r="C507" s="13" t="n"/>
      <c r="D507" s="13" t="n"/>
      <c r="E507" s="13" t="n"/>
      <c r="F507" s="17">
        <f>IF($D507="","",IFERROR(VLOOKUP($E507,材料归属,2,0),"※材料类别没选"))</f>
        <v/>
      </c>
      <c r="G507" s="13" t="n"/>
      <c r="H507" s="13" t="n"/>
      <c r="I507" s="13" t="n"/>
      <c r="J507" s="20" t="n"/>
      <c r="K507" s="14" t="n"/>
      <c r="L507" s="19">
        <f>IF($D507="","",ROUND(IF($J507="",1,$J507)*N($K507),2))</f>
        <v/>
      </c>
      <c r="M507" s="13" t="n"/>
      <c r="N507" s="17">
        <f>IF($D507="","",IF(ISNA(MATCH($D507,项目名表,0)),"※项目不在项目台账里",IF($F507="※材料类别没选","※材料类别没选",IF(AND($C507&lt;&gt;"",ISNA(MATCH($C507,供应商表,0))),"※供应商不在基础资料里",""))))</f>
        <v/>
      </c>
    </row>
    <row r="508">
      <c r="A508" s="17">
        <f>IF($D508="","",ROW()-3)</f>
        <v/>
      </c>
      <c r="B508" s="18" t="n"/>
      <c r="C508" s="13" t="n"/>
      <c r="D508" s="13" t="n"/>
      <c r="E508" s="13" t="n"/>
      <c r="F508" s="17">
        <f>IF($D508="","",IFERROR(VLOOKUP($E508,材料归属,2,0),"※材料类别没选"))</f>
        <v/>
      </c>
      <c r="G508" s="13" t="n"/>
      <c r="H508" s="13" t="n"/>
      <c r="I508" s="13" t="n"/>
      <c r="J508" s="20" t="n"/>
      <c r="K508" s="14" t="n"/>
      <c r="L508" s="19">
        <f>IF($D508="","",ROUND(IF($J508="",1,$J508)*N($K508),2))</f>
        <v/>
      </c>
      <c r="M508" s="13" t="n"/>
      <c r="N508" s="17">
        <f>IF($D508="","",IF(ISNA(MATCH($D508,项目名表,0)),"※项目不在项目台账里",IF($F508="※材料类别没选","※材料类别没选",IF(AND($C508&lt;&gt;"",ISNA(MATCH($C508,供应商表,0))),"※供应商不在基础资料里",""))))</f>
        <v/>
      </c>
    </row>
    <row r="509">
      <c r="A509" s="17">
        <f>IF($D509="","",ROW()-3)</f>
        <v/>
      </c>
      <c r="B509" s="18" t="n"/>
      <c r="C509" s="13" t="n"/>
      <c r="D509" s="13" t="n"/>
      <c r="E509" s="13" t="n"/>
      <c r="F509" s="17">
        <f>IF($D509="","",IFERROR(VLOOKUP($E509,材料归属,2,0),"※材料类别没选"))</f>
        <v/>
      </c>
      <c r="G509" s="13" t="n"/>
      <c r="H509" s="13" t="n"/>
      <c r="I509" s="13" t="n"/>
      <c r="J509" s="20" t="n"/>
      <c r="K509" s="14" t="n"/>
      <c r="L509" s="19">
        <f>IF($D509="","",ROUND(IF($J509="",1,$J509)*N($K509),2))</f>
        <v/>
      </c>
      <c r="M509" s="13" t="n"/>
      <c r="N509" s="17">
        <f>IF($D509="","",IF(ISNA(MATCH($D509,项目名表,0)),"※项目不在项目台账里",IF($F509="※材料类别没选","※材料类别没选",IF(AND($C509&lt;&gt;"",ISNA(MATCH($C509,供应商表,0))),"※供应商不在基础资料里",""))))</f>
        <v/>
      </c>
    </row>
    <row r="510">
      <c r="A510" s="17">
        <f>IF($D510="","",ROW()-3)</f>
        <v/>
      </c>
      <c r="B510" s="18" t="n"/>
      <c r="C510" s="13" t="n"/>
      <c r="D510" s="13" t="n"/>
      <c r="E510" s="13" t="n"/>
      <c r="F510" s="17">
        <f>IF($D510="","",IFERROR(VLOOKUP($E510,材料归属,2,0),"※材料类别没选"))</f>
        <v/>
      </c>
      <c r="G510" s="13" t="n"/>
      <c r="H510" s="13" t="n"/>
      <c r="I510" s="13" t="n"/>
      <c r="J510" s="20" t="n"/>
      <c r="K510" s="14" t="n"/>
      <c r="L510" s="19">
        <f>IF($D510="","",ROUND(IF($J510="",1,$J510)*N($K510),2))</f>
        <v/>
      </c>
      <c r="M510" s="13" t="n"/>
      <c r="N510" s="17">
        <f>IF($D510="","",IF(ISNA(MATCH($D510,项目名表,0)),"※项目不在项目台账里",IF($F510="※材料类别没选","※材料类别没选",IF(AND($C510&lt;&gt;"",ISNA(MATCH($C510,供应商表,0))),"※供应商不在基础资料里",""))))</f>
        <v/>
      </c>
    </row>
    <row r="511">
      <c r="A511" s="17">
        <f>IF($D511="","",ROW()-3)</f>
        <v/>
      </c>
      <c r="B511" s="18" t="n"/>
      <c r="C511" s="13" t="n"/>
      <c r="D511" s="13" t="n"/>
      <c r="E511" s="13" t="n"/>
      <c r="F511" s="17">
        <f>IF($D511="","",IFERROR(VLOOKUP($E511,材料归属,2,0),"※材料类别没选"))</f>
        <v/>
      </c>
      <c r="G511" s="13" t="n"/>
      <c r="H511" s="13" t="n"/>
      <c r="I511" s="13" t="n"/>
      <c r="J511" s="20" t="n"/>
      <c r="K511" s="14" t="n"/>
      <c r="L511" s="19">
        <f>IF($D511="","",ROUND(IF($J511="",1,$J511)*N($K511),2))</f>
        <v/>
      </c>
      <c r="M511" s="13" t="n"/>
      <c r="N511" s="17">
        <f>IF($D511="","",IF(ISNA(MATCH($D511,项目名表,0)),"※项目不在项目台账里",IF($F511="※材料类别没选","※材料类别没选",IF(AND($C511&lt;&gt;"",ISNA(MATCH($C511,供应商表,0))),"※供应商不在基础资料里",""))))</f>
        <v/>
      </c>
    </row>
    <row r="512">
      <c r="A512" s="17">
        <f>IF($D512="","",ROW()-3)</f>
        <v/>
      </c>
      <c r="B512" s="18" t="n"/>
      <c r="C512" s="13" t="n"/>
      <c r="D512" s="13" t="n"/>
      <c r="E512" s="13" t="n"/>
      <c r="F512" s="17">
        <f>IF($D512="","",IFERROR(VLOOKUP($E512,材料归属,2,0),"※材料类别没选"))</f>
        <v/>
      </c>
      <c r="G512" s="13" t="n"/>
      <c r="H512" s="13" t="n"/>
      <c r="I512" s="13" t="n"/>
      <c r="J512" s="20" t="n"/>
      <c r="K512" s="14" t="n"/>
      <c r="L512" s="19">
        <f>IF($D512="","",ROUND(IF($J512="",1,$J512)*N($K512),2))</f>
        <v/>
      </c>
      <c r="M512" s="13" t="n"/>
      <c r="N512" s="17">
        <f>IF($D512="","",IF(ISNA(MATCH($D512,项目名表,0)),"※项目不在项目台账里",IF($F512="※材料类别没选","※材料类别没选",IF(AND($C512&lt;&gt;"",ISNA(MATCH($C512,供应商表,0))),"※供应商不在基础资料里",""))))</f>
        <v/>
      </c>
    </row>
    <row r="513">
      <c r="A513" s="17">
        <f>IF($D513="","",ROW()-3)</f>
        <v/>
      </c>
      <c r="B513" s="18" t="n"/>
      <c r="C513" s="13" t="n"/>
      <c r="D513" s="13" t="n"/>
      <c r="E513" s="13" t="n"/>
      <c r="F513" s="17">
        <f>IF($D513="","",IFERROR(VLOOKUP($E513,材料归属,2,0),"※材料类别没选"))</f>
        <v/>
      </c>
      <c r="G513" s="13" t="n"/>
      <c r="H513" s="13" t="n"/>
      <c r="I513" s="13" t="n"/>
      <c r="J513" s="20" t="n"/>
      <c r="K513" s="14" t="n"/>
      <c r="L513" s="19">
        <f>IF($D513="","",ROUND(IF($J513="",1,$J513)*N($K513),2))</f>
        <v/>
      </c>
      <c r="M513" s="13" t="n"/>
      <c r="N513" s="17">
        <f>IF($D513="","",IF(ISNA(MATCH($D513,项目名表,0)),"※项目不在项目台账里",IF($F513="※材料类别没选","※材料类别没选",IF(AND($C513&lt;&gt;"",ISNA(MATCH($C513,供应商表,0))),"※供应商不在基础资料里",""))))</f>
        <v/>
      </c>
    </row>
    <row r="514">
      <c r="A514" s="17">
        <f>IF($D514="","",ROW()-3)</f>
        <v/>
      </c>
      <c r="B514" s="18" t="n"/>
      <c r="C514" s="13" t="n"/>
      <c r="D514" s="13" t="n"/>
      <c r="E514" s="13" t="n"/>
      <c r="F514" s="17">
        <f>IF($D514="","",IFERROR(VLOOKUP($E514,材料归属,2,0),"※材料类别没选"))</f>
        <v/>
      </c>
      <c r="G514" s="13" t="n"/>
      <c r="H514" s="13" t="n"/>
      <c r="I514" s="13" t="n"/>
      <c r="J514" s="20" t="n"/>
      <c r="K514" s="14" t="n"/>
      <c r="L514" s="19">
        <f>IF($D514="","",ROUND(IF($J514="",1,$J514)*N($K514),2))</f>
        <v/>
      </c>
      <c r="M514" s="13" t="n"/>
      <c r="N514" s="17">
        <f>IF($D514="","",IF(ISNA(MATCH($D514,项目名表,0)),"※项目不在项目台账里",IF($F514="※材料类别没选","※材料类别没选",IF(AND($C514&lt;&gt;"",ISNA(MATCH($C514,供应商表,0))),"※供应商不在基础资料里",""))))</f>
        <v/>
      </c>
    </row>
    <row r="515">
      <c r="A515" s="17">
        <f>IF($D515="","",ROW()-3)</f>
        <v/>
      </c>
      <c r="B515" s="18" t="n"/>
      <c r="C515" s="13" t="n"/>
      <c r="D515" s="13" t="n"/>
      <c r="E515" s="13" t="n"/>
      <c r="F515" s="17">
        <f>IF($D515="","",IFERROR(VLOOKUP($E515,材料归属,2,0),"※材料类别没选"))</f>
        <v/>
      </c>
      <c r="G515" s="13" t="n"/>
      <c r="H515" s="13" t="n"/>
      <c r="I515" s="13" t="n"/>
      <c r="J515" s="20" t="n"/>
      <c r="K515" s="14" t="n"/>
      <c r="L515" s="19">
        <f>IF($D515="","",ROUND(IF($J515="",1,$J515)*N($K515),2))</f>
        <v/>
      </c>
      <c r="M515" s="13" t="n"/>
      <c r="N515" s="17">
        <f>IF($D515="","",IF(ISNA(MATCH($D515,项目名表,0)),"※项目不在项目台账里",IF($F515="※材料类别没选","※材料类别没选",IF(AND($C515&lt;&gt;"",ISNA(MATCH($C515,供应商表,0))),"※供应商不在基础资料里",""))))</f>
        <v/>
      </c>
    </row>
    <row r="516">
      <c r="A516" s="17">
        <f>IF($D516="","",ROW()-3)</f>
        <v/>
      </c>
      <c r="B516" s="18" t="n"/>
      <c r="C516" s="13" t="n"/>
      <c r="D516" s="13" t="n"/>
      <c r="E516" s="13" t="n"/>
      <c r="F516" s="17">
        <f>IF($D516="","",IFERROR(VLOOKUP($E516,材料归属,2,0),"※材料类别没选"))</f>
        <v/>
      </c>
      <c r="G516" s="13" t="n"/>
      <c r="H516" s="13" t="n"/>
      <c r="I516" s="13" t="n"/>
      <c r="J516" s="20" t="n"/>
      <c r="K516" s="14" t="n"/>
      <c r="L516" s="19">
        <f>IF($D516="","",ROUND(IF($J516="",1,$J516)*N($K516),2))</f>
        <v/>
      </c>
      <c r="M516" s="13" t="n"/>
      <c r="N516" s="17">
        <f>IF($D516="","",IF(ISNA(MATCH($D516,项目名表,0)),"※项目不在项目台账里",IF($F516="※材料类别没选","※材料类别没选",IF(AND($C516&lt;&gt;"",ISNA(MATCH($C516,供应商表,0))),"※供应商不在基础资料里",""))))</f>
        <v/>
      </c>
    </row>
    <row r="517">
      <c r="A517" s="17">
        <f>IF($D517="","",ROW()-3)</f>
        <v/>
      </c>
      <c r="B517" s="18" t="n"/>
      <c r="C517" s="13" t="n"/>
      <c r="D517" s="13" t="n"/>
      <c r="E517" s="13" t="n"/>
      <c r="F517" s="17">
        <f>IF($D517="","",IFERROR(VLOOKUP($E517,材料归属,2,0),"※材料类别没选"))</f>
        <v/>
      </c>
      <c r="G517" s="13" t="n"/>
      <c r="H517" s="13" t="n"/>
      <c r="I517" s="13" t="n"/>
      <c r="J517" s="20" t="n"/>
      <c r="K517" s="14" t="n"/>
      <c r="L517" s="19">
        <f>IF($D517="","",ROUND(IF($J517="",1,$J517)*N($K517),2))</f>
        <v/>
      </c>
      <c r="M517" s="13" t="n"/>
      <c r="N517" s="17">
        <f>IF($D517="","",IF(ISNA(MATCH($D517,项目名表,0)),"※项目不在项目台账里",IF($F517="※材料类别没选","※材料类别没选",IF(AND($C517&lt;&gt;"",ISNA(MATCH($C517,供应商表,0))),"※供应商不在基础资料里",""))))</f>
        <v/>
      </c>
    </row>
    <row r="518">
      <c r="A518" s="17">
        <f>IF($D518="","",ROW()-3)</f>
        <v/>
      </c>
      <c r="B518" s="18" t="n"/>
      <c r="C518" s="13" t="n"/>
      <c r="D518" s="13" t="n"/>
      <c r="E518" s="13" t="n"/>
      <c r="F518" s="17">
        <f>IF($D518="","",IFERROR(VLOOKUP($E518,材料归属,2,0),"※材料类别没选"))</f>
        <v/>
      </c>
      <c r="G518" s="13" t="n"/>
      <c r="H518" s="13" t="n"/>
      <c r="I518" s="13" t="n"/>
      <c r="J518" s="20" t="n"/>
      <c r="K518" s="14" t="n"/>
      <c r="L518" s="19">
        <f>IF($D518="","",ROUND(IF($J518="",1,$J518)*N($K518),2))</f>
        <v/>
      </c>
      <c r="M518" s="13" t="n"/>
      <c r="N518" s="17">
        <f>IF($D518="","",IF(ISNA(MATCH($D518,项目名表,0)),"※项目不在项目台账里",IF($F518="※材料类别没选","※材料类别没选",IF(AND($C518&lt;&gt;"",ISNA(MATCH($C518,供应商表,0))),"※供应商不在基础资料里",""))))</f>
        <v/>
      </c>
    </row>
    <row r="519">
      <c r="A519" s="17">
        <f>IF($D519="","",ROW()-3)</f>
        <v/>
      </c>
      <c r="B519" s="18" t="n"/>
      <c r="C519" s="13" t="n"/>
      <c r="D519" s="13" t="n"/>
      <c r="E519" s="13" t="n"/>
      <c r="F519" s="17">
        <f>IF($D519="","",IFERROR(VLOOKUP($E519,材料归属,2,0),"※材料类别没选"))</f>
        <v/>
      </c>
      <c r="G519" s="13" t="n"/>
      <c r="H519" s="13" t="n"/>
      <c r="I519" s="13" t="n"/>
      <c r="J519" s="20" t="n"/>
      <c r="K519" s="14" t="n"/>
      <c r="L519" s="19">
        <f>IF($D519="","",ROUND(IF($J519="",1,$J519)*N($K519),2))</f>
        <v/>
      </c>
      <c r="M519" s="13" t="n"/>
      <c r="N519" s="17">
        <f>IF($D519="","",IF(ISNA(MATCH($D519,项目名表,0)),"※项目不在项目台账里",IF($F519="※材料类别没选","※材料类别没选",IF(AND($C519&lt;&gt;"",ISNA(MATCH($C519,供应商表,0))),"※供应商不在基础资料里",""))))</f>
        <v/>
      </c>
    </row>
    <row r="520">
      <c r="A520" s="17">
        <f>IF($D520="","",ROW()-3)</f>
        <v/>
      </c>
      <c r="B520" s="18" t="n"/>
      <c r="C520" s="13" t="n"/>
      <c r="D520" s="13" t="n"/>
      <c r="E520" s="13" t="n"/>
      <c r="F520" s="17">
        <f>IF($D520="","",IFERROR(VLOOKUP($E520,材料归属,2,0),"※材料类别没选"))</f>
        <v/>
      </c>
      <c r="G520" s="13" t="n"/>
      <c r="H520" s="13" t="n"/>
      <c r="I520" s="13" t="n"/>
      <c r="J520" s="20" t="n"/>
      <c r="K520" s="14" t="n"/>
      <c r="L520" s="19">
        <f>IF($D520="","",ROUND(IF($J520="",1,$J520)*N($K520),2))</f>
        <v/>
      </c>
      <c r="M520" s="13" t="n"/>
      <c r="N520" s="17">
        <f>IF($D520="","",IF(ISNA(MATCH($D520,项目名表,0)),"※项目不在项目台账里",IF($F520="※材料类别没选","※材料类别没选",IF(AND($C520&lt;&gt;"",ISNA(MATCH($C520,供应商表,0))),"※供应商不在基础资料里",""))))</f>
        <v/>
      </c>
    </row>
    <row r="521">
      <c r="A521" s="17">
        <f>IF($D521="","",ROW()-3)</f>
        <v/>
      </c>
      <c r="B521" s="18" t="n"/>
      <c r="C521" s="13" t="n"/>
      <c r="D521" s="13" t="n"/>
      <c r="E521" s="13" t="n"/>
      <c r="F521" s="17">
        <f>IF($D521="","",IFERROR(VLOOKUP($E521,材料归属,2,0),"※材料类别没选"))</f>
        <v/>
      </c>
      <c r="G521" s="13" t="n"/>
      <c r="H521" s="13" t="n"/>
      <c r="I521" s="13" t="n"/>
      <c r="J521" s="20" t="n"/>
      <c r="K521" s="14" t="n"/>
      <c r="L521" s="19">
        <f>IF($D521="","",ROUND(IF($J521="",1,$J521)*N($K521),2))</f>
        <v/>
      </c>
      <c r="M521" s="13" t="n"/>
      <c r="N521" s="17">
        <f>IF($D521="","",IF(ISNA(MATCH($D521,项目名表,0)),"※项目不在项目台账里",IF($F521="※材料类别没选","※材料类别没选",IF(AND($C521&lt;&gt;"",ISNA(MATCH($C521,供应商表,0))),"※供应商不在基础资料里",""))))</f>
        <v/>
      </c>
    </row>
    <row r="522">
      <c r="A522" s="17">
        <f>IF($D522="","",ROW()-3)</f>
        <v/>
      </c>
      <c r="B522" s="18" t="n"/>
      <c r="C522" s="13" t="n"/>
      <c r="D522" s="13" t="n"/>
      <c r="E522" s="13" t="n"/>
      <c r="F522" s="17">
        <f>IF($D522="","",IFERROR(VLOOKUP($E522,材料归属,2,0),"※材料类别没选"))</f>
        <v/>
      </c>
      <c r="G522" s="13" t="n"/>
      <c r="H522" s="13" t="n"/>
      <c r="I522" s="13" t="n"/>
      <c r="J522" s="20" t="n"/>
      <c r="K522" s="14" t="n"/>
      <c r="L522" s="19">
        <f>IF($D522="","",ROUND(IF($J522="",1,$J522)*N($K522),2))</f>
        <v/>
      </c>
      <c r="M522" s="13" t="n"/>
      <c r="N522" s="17">
        <f>IF($D522="","",IF(ISNA(MATCH($D522,项目名表,0)),"※项目不在项目台账里",IF($F522="※材料类别没选","※材料类别没选",IF(AND($C522&lt;&gt;"",ISNA(MATCH($C522,供应商表,0))),"※供应商不在基础资料里",""))))</f>
        <v/>
      </c>
    </row>
    <row r="523">
      <c r="A523" s="17">
        <f>IF($D523="","",ROW()-3)</f>
        <v/>
      </c>
      <c r="B523" s="18" t="n"/>
      <c r="C523" s="13" t="n"/>
      <c r="D523" s="13" t="n"/>
      <c r="E523" s="13" t="n"/>
      <c r="F523" s="17">
        <f>IF($D523="","",IFERROR(VLOOKUP($E523,材料归属,2,0),"※材料类别没选"))</f>
        <v/>
      </c>
      <c r="G523" s="13" t="n"/>
      <c r="H523" s="13" t="n"/>
      <c r="I523" s="13" t="n"/>
      <c r="J523" s="20" t="n"/>
      <c r="K523" s="14" t="n"/>
      <c r="L523" s="19">
        <f>IF($D523="","",ROUND(IF($J523="",1,$J523)*N($K523),2))</f>
        <v/>
      </c>
      <c r="M523" s="13" t="n"/>
      <c r="N523" s="17">
        <f>IF($D523="","",IF(ISNA(MATCH($D523,项目名表,0)),"※项目不在项目台账里",IF($F523="※材料类别没选","※材料类别没选",IF(AND($C523&lt;&gt;"",ISNA(MATCH($C523,供应商表,0))),"※供应商不在基础资料里",""))))</f>
        <v/>
      </c>
    </row>
    <row r="524">
      <c r="A524" s="17">
        <f>IF($D524="","",ROW()-3)</f>
        <v/>
      </c>
      <c r="B524" s="18" t="n"/>
      <c r="C524" s="13" t="n"/>
      <c r="D524" s="13" t="n"/>
      <c r="E524" s="13" t="n"/>
      <c r="F524" s="17">
        <f>IF($D524="","",IFERROR(VLOOKUP($E524,材料归属,2,0),"※材料类别没选"))</f>
        <v/>
      </c>
      <c r="G524" s="13" t="n"/>
      <c r="H524" s="13" t="n"/>
      <c r="I524" s="13" t="n"/>
      <c r="J524" s="20" t="n"/>
      <c r="K524" s="14" t="n"/>
      <c r="L524" s="19">
        <f>IF($D524="","",ROUND(IF($J524="",1,$J524)*N($K524),2))</f>
        <v/>
      </c>
      <c r="M524" s="13" t="n"/>
      <c r="N524" s="17">
        <f>IF($D524="","",IF(ISNA(MATCH($D524,项目名表,0)),"※项目不在项目台账里",IF($F524="※材料类别没选","※材料类别没选",IF(AND($C524&lt;&gt;"",ISNA(MATCH($C524,供应商表,0))),"※供应商不在基础资料里",""))))</f>
        <v/>
      </c>
    </row>
    <row r="525">
      <c r="A525" s="17">
        <f>IF($D525="","",ROW()-3)</f>
        <v/>
      </c>
      <c r="B525" s="18" t="n"/>
      <c r="C525" s="13" t="n"/>
      <c r="D525" s="13" t="n"/>
      <c r="E525" s="13" t="n"/>
      <c r="F525" s="17">
        <f>IF($D525="","",IFERROR(VLOOKUP($E525,材料归属,2,0),"※材料类别没选"))</f>
        <v/>
      </c>
      <c r="G525" s="13" t="n"/>
      <c r="H525" s="13" t="n"/>
      <c r="I525" s="13" t="n"/>
      <c r="J525" s="20" t="n"/>
      <c r="K525" s="14" t="n"/>
      <c r="L525" s="19">
        <f>IF($D525="","",ROUND(IF($J525="",1,$J525)*N($K525),2))</f>
        <v/>
      </c>
      <c r="M525" s="13" t="n"/>
      <c r="N525" s="17">
        <f>IF($D525="","",IF(ISNA(MATCH($D525,项目名表,0)),"※项目不在项目台账里",IF($F525="※材料类别没选","※材料类别没选",IF(AND($C525&lt;&gt;"",ISNA(MATCH($C525,供应商表,0))),"※供应商不在基础资料里",""))))</f>
        <v/>
      </c>
    </row>
    <row r="526">
      <c r="A526" s="17">
        <f>IF($D526="","",ROW()-3)</f>
        <v/>
      </c>
      <c r="B526" s="18" t="n"/>
      <c r="C526" s="13" t="n"/>
      <c r="D526" s="13" t="n"/>
      <c r="E526" s="13" t="n"/>
      <c r="F526" s="17">
        <f>IF($D526="","",IFERROR(VLOOKUP($E526,材料归属,2,0),"※材料类别没选"))</f>
        <v/>
      </c>
      <c r="G526" s="13" t="n"/>
      <c r="H526" s="13" t="n"/>
      <c r="I526" s="13" t="n"/>
      <c r="J526" s="20" t="n"/>
      <c r="K526" s="14" t="n"/>
      <c r="L526" s="19">
        <f>IF($D526="","",ROUND(IF($J526="",1,$J526)*N($K526),2))</f>
        <v/>
      </c>
      <c r="M526" s="13" t="n"/>
      <c r="N526" s="17">
        <f>IF($D526="","",IF(ISNA(MATCH($D526,项目名表,0)),"※项目不在项目台账里",IF($F526="※材料类别没选","※材料类别没选",IF(AND($C526&lt;&gt;"",ISNA(MATCH($C526,供应商表,0))),"※供应商不在基础资料里",""))))</f>
        <v/>
      </c>
    </row>
    <row r="527">
      <c r="A527" s="17">
        <f>IF($D527="","",ROW()-3)</f>
        <v/>
      </c>
      <c r="B527" s="18" t="n"/>
      <c r="C527" s="13" t="n"/>
      <c r="D527" s="13" t="n"/>
      <c r="E527" s="13" t="n"/>
      <c r="F527" s="17">
        <f>IF($D527="","",IFERROR(VLOOKUP($E527,材料归属,2,0),"※材料类别没选"))</f>
        <v/>
      </c>
      <c r="G527" s="13" t="n"/>
      <c r="H527" s="13" t="n"/>
      <c r="I527" s="13" t="n"/>
      <c r="J527" s="20" t="n"/>
      <c r="K527" s="14" t="n"/>
      <c r="L527" s="19">
        <f>IF($D527="","",ROUND(IF($J527="",1,$J527)*N($K527),2))</f>
        <v/>
      </c>
      <c r="M527" s="13" t="n"/>
      <c r="N527" s="17">
        <f>IF($D527="","",IF(ISNA(MATCH($D527,项目名表,0)),"※项目不在项目台账里",IF($F527="※材料类别没选","※材料类别没选",IF(AND($C527&lt;&gt;"",ISNA(MATCH($C527,供应商表,0))),"※供应商不在基础资料里",""))))</f>
        <v/>
      </c>
    </row>
    <row r="528">
      <c r="A528" s="17">
        <f>IF($D528="","",ROW()-3)</f>
        <v/>
      </c>
      <c r="B528" s="18" t="n"/>
      <c r="C528" s="13" t="n"/>
      <c r="D528" s="13" t="n"/>
      <c r="E528" s="13" t="n"/>
      <c r="F528" s="17">
        <f>IF($D528="","",IFERROR(VLOOKUP($E528,材料归属,2,0),"※材料类别没选"))</f>
        <v/>
      </c>
      <c r="G528" s="13" t="n"/>
      <c r="H528" s="13" t="n"/>
      <c r="I528" s="13" t="n"/>
      <c r="J528" s="20" t="n"/>
      <c r="K528" s="14" t="n"/>
      <c r="L528" s="19">
        <f>IF($D528="","",ROUND(IF($J528="",1,$J528)*N($K528),2))</f>
        <v/>
      </c>
      <c r="M528" s="13" t="n"/>
      <c r="N528" s="17">
        <f>IF($D528="","",IF(ISNA(MATCH($D528,项目名表,0)),"※项目不在项目台账里",IF($F528="※材料类别没选","※材料类别没选",IF(AND($C528&lt;&gt;"",ISNA(MATCH($C528,供应商表,0))),"※供应商不在基础资料里",""))))</f>
        <v/>
      </c>
    </row>
    <row r="529">
      <c r="A529" s="17">
        <f>IF($D529="","",ROW()-3)</f>
        <v/>
      </c>
      <c r="B529" s="18" t="n"/>
      <c r="C529" s="13" t="n"/>
      <c r="D529" s="13" t="n"/>
      <c r="E529" s="13" t="n"/>
      <c r="F529" s="17">
        <f>IF($D529="","",IFERROR(VLOOKUP($E529,材料归属,2,0),"※材料类别没选"))</f>
        <v/>
      </c>
      <c r="G529" s="13" t="n"/>
      <c r="H529" s="13" t="n"/>
      <c r="I529" s="13" t="n"/>
      <c r="J529" s="20" t="n"/>
      <c r="K529" s="14" t="n"/>
      <c r="L529" s="19">
        <f>IF($D529="","",ROUND(IF($J529="",1,$J529)*N($K529),2))</f>
        <v/>
      </c>
      <c r="M529" s="13" t="n"/>
      <c r="N529" s="17">
        <f>IF($D529="","",IF(ISNA(MATCH($D529,项目名表,0)),"※项目不在项目台账里",IF($F529="※材料类别没选","※材料类别没选",IF(AND($C529&lt;&gt;"",ISNA(MATCH($C529,供应商表,0))),"※供应商不在基础资料里",""))))</f>
        <v/>
      </c>
    </row>
    <row r="530">
      <c r="A530" s="17">
        <f>IF($D530="","",ROW()-3)</f>
        <v/>
      </c>
      <c r="B530" s="18" t="n"/>
      <c r="C530" s="13" t="n"/>
      <c r="D530" s="13" t="n"/>
      <c r="E530" s="13" t="n"/>
      <c r="F530" s="17">
        <f>IF($D530="","",IFERROR(VLOOKUP($E530,材料归属,2,0),"※材料类别没选"))</f>
        <v/>
      </c>
      <c r="G530" s="13" t="n"/>
      <c r="H530" s="13" t="n"/>
      <c r="I530" s="13" t="n"/>
      <c r="J530" s="20" t="n"/>
      <c r="K530" s="14" t="n"/>
      <c r="L530" s="19">
        <f>IF($D530="","",ROUND(IF($J530="",1,$J530)*N($K530),2))</f>
        <v/>
      </c>
      <c r="M530" s="13" t="n"/>
      <c r="N530" s="17">
        <f>IF($D530="","",IF(ISNA(MATCH($D530,项目名表,0)),"※项目不在项目台账里",IF($F530="※材料类别没选","※材料类别没选",IF(AND($C530&lt;&gt;"",ISNA(MATCH($C530,供应商表,0))),"※供应商不在基础资料里",""))))</f>
        <v/>
      </c>
    </row>
    <row r="531">
      <c r="A531" s="17">
        <f>IF($D531="","",ROW()-3)</f>
        <v/>
      </c>
      <c r="B531" s="18" t="n"/>
      <c r="C531" s="13" t="n"/>
      <c r="D531" s="13" t="n"/>
      <c r="E531" s="13" t="n"/>
      <c r="F531" s="17">
        <f>IF($D531="","",IFERROR(VLOOKUP($E531,材料归属,2,0),"※材料类别没选"))</f>
        <v/>
      </c>
      <c r="G531" s="13" t="n"/>
      <c r="H531" s="13" t="n"/>
      <c r="I531" s="13" t="n"/>
      <c r="J531" s="20" t="n"/>
      <c r="K531" s="14" t="n"/>
      <c r="L531" s="19">
        <f>IF($D531="","",ROUND(IF($J531="",1,$J531)*N($K531),2))</f>
        <v/>
      </c>
      <c r="M531" s="13" t="n"/>
      <c r="N531" s="17">
        <f>IF($D531="","",IF(ISNA(MATCH($D531,项目名表,0)),"※项目不在项目台账里",IF($F531="※材料类别没选","※材料类别没选",IF(AND($C531&lt;&gt;"",ISNA(MATCH($C531,供应商表,0))),"※供应商不在基础资料里",""))))</f>
        <v/>
      </c>
    </row>
    <row r="532">
      <c r="A532" s="17">
        <f>IF($D532="","",ROW()-3)</f>
        <v/>
      </c>
      <c r="B532" s="18" t="n"/>
      <c r="C532" s="13" t="n"/>
      <c r="D532" s="13" t="n"/>
      <c r="E532" s="13" t="n"/>
      <c r="F532" s="17">
        <f>IF($D532="","",IFERROR(VLOOKUP($E532,材料归属,2,0),"※材料类别没选"))</f>
        <v/>
      </c>
      <c r="G532" s="13" t="n"/>
      <c r="H532" s="13" t="n"/>
      <c r="I532" s="13" t="n"/>
      <c r="J532" s="20" t="n"/>
      <c r="K532" s="14" t="n"/>
      <c r="L532" s="19">
        <f>IF($D532="","",ROUND(IF($J532="",1,$J532)*N($K532),2))</f>
        <v/>
      </c>
      <c r="M532" s="13" t="n"/>
      <c r="N532" s="17">
        <f>IF($D532="","",IF(ISNA(MATCH($D532,项目名表,0)),"※项目不在项目台账里",IF($F532="※材料类别没选","※材料类别没选",IF(AND($C532&lt;&gt;"",ISNA(MATCH($C532,供应商表,0))),"※供应商不在基础资料里",""))))</f>
        <v/>
      </c>
    </row>
    <row r="533">
      <c r="A533" s="17">
        <f>IF($D533="","",ROW()-3)</f>
        <v/>
      </c>
      <c r="B533" s="18" t="n"/>
      <c r="C533" s="13" t="n"/>
      <c r="D533" s="13" t="n"/>
      <c r="E533" s="13" t="n"/>
      <c r="F533" s="17">
        <f>IF($D533="","",IFERROR(VLOOKUP($E533,材料归属,2,0),"※材料类别没选"))</f>
        <v/>
      </c>
      <c r="G533" s="13" t="n"/>
      <c r="H533" s="13" t="n"/>
      <c r="I533" s="13" t="n"/>
      <c r="J533" s="20" t="n"/>
      <c r="K533" s="14" t="n"/>
      <c r="L533" s="19">
        <f>IF($D533="","",ROUND(IF($J533="",1,$J533)*N($K533),2))</f>
        <v/>
      </c>
      <c r="M533" s="13" t="n"/>
      <c r="N533" s="17">
        <f>IF($D533="","",IF(ISNA(MATCH($D533,项目名表,0)),"※项目不在项目台账里",IF($F533="※材料类别没选","※材料类别没选",IF(AND($C533&lt;&gt;"",ISNA(MATCH($C533,供应商表,0))),"※供应商不在基础资料里",""))))</f>
        <v/>
      </c>
    </row>
    <row r="534">
      <c r="A534" s="17">
        <f>IF($D534="","",ROW()-3)</f>
        <v/>
      </c>
      <c r="B534" s="18" t="n"/>
      <c r="C534" s="13" t="n"/>
      <c r="D534" s="13" t="n"/>
      <c r="E534" s="13" t="n"/>
      <c r="F534" s="17">
        <f>IF($D534="","",IFERROR(VLOOKUP($E534,材料归属,2,0),"※材料类别没选"))</f>
        <v/>
      </c>
      <c r="G534" s="13" t="n"/>
      <c r="H534" s="13" t="n"/>
      <c r="I534" s="13" t="n"/>
      <c r="J534" s="20" t="n"/>
      <c r="K534" s="14" t="n"/>
      <c r="L534" s="19">
        <f>IF($D534="","",ROUND(IF($J534="",1,$J534)*N($K534),2))</f>
        <v/>
      </c>
      <c r="M534" s="13" t="n"/>
      <c r="N534" s="17">
        <f>IF($D534="","",IF(ISNA(MATCH($D534,项目名表,0)),"※项目不在项目台账里",IF($F534="※材料类别没选","※材料类别没选",IF(AND($C534&lt;&gt;"",ISNA(MATCH($C534,供应商表,0))),"※供应商不在基础资料里",""))))</f>
        <v/>
      </c>
    </row>
    <row r="535">
      <c r="A535" s="17">
        <f>IF($D535="","",ROW()-3)</f>
        <v/>
      </c>
      <c r="B535" s="18" t="n"/>
      <c r="C535" s="13" t="n"/>
      <c r="D535" s="13" t="n"/>
      <c r="E535" s="13" t="n"/>
      <c r="F535" s="17">
        <f>IF($D535="","",IFERROR(VLOOKUP($E535,材料归属,2,0),"※材料类别没选"))</f>
        <v/>
      </c>
      <c r="G535" s="13" t="n"/>
      <c r="H535" s="13" t="n"/>
      <c r="I535" s="13" t="n"/>
      <c r="J535" s="20" t="n"/>
      <c r="K535" s="14" t="n"/>
      <c r="L535" s="19">
        <f>IF($D535="","",ROUND(IF($J535="",1,$J535)*N($K535),2))</f>
        <v/>
      </c>
      <c r="M535" s="13" t="n"/>
      <c r="N535" s="17">
        <f>IF($D535="","",IF(ISNA(MATCH($D535,项目名表,0)),"※项目不在项目台账里",IF($F535="※材料类别没选","※材料类别没选",IF(AND($C535&lt;&gt;"",ISNA(MATCH($C535,供应商表,0))),"※供应商不在基础资料里",""))))</f>
        <v/>
      </c>
    </row>
    <row r="536">
      <c r="A536" s="17">
        <f>IF($D536="","",ROW()-3)</f>
        <v/>
      </c>
      <c r="B536" s="18" t="n"/>
      <c r="C536" s="13" t="n"/>
      <c r="D536" s="13" t="n"/>
      <c r="E536" s="13" t="n"/>
      <c r="F536" s="17">
        <f>IF($D536="","",IFERROR(VLOOKUP($E536,材料归属,2,0),"※材料类别没选"))</f>
        <v/>
      </c>
      <c r="G536" s="13" t="n"/>
      <c r="H536" s="13" t="n"/>
      <c r="I536" s="13" t="n"/>
      <c r="J536" s="20" t="n"/>
      <c r="K536" s="14" t="n"/>
      <c r="L536" s="19">
        <f>IF($D536="","",ROUND(IF($J536="",1,$J536)*N($K536),2))</f>
        <v/>
      </c>
      <c r="M536" s="13" t="n"/>
      <c r="N536" s="17">
        <f>IF($D536="","",IF(ISNA(MATCH($D536,项目名表,0)),"※项目不在项目台账里",IF($F536="※材料类别没选","※材料类别没选",IF(AND($C536&lt;&gt;"",ISNA(MATCH($C536,供应商表,0))),"※供应商不在基础资料里",""))))</f>
        <v/>
      </c>
    </row>
    <row r="537">
      <c r="A537" s="17">
        <f>IF($D537="","",ROW()-3)</f>
        <v/>
      </c>
      <c r="B537" s="18" t="n"/>
      <c r="C537" s="13" t="n"/>
      <c r="D537" s="13" t="n"/>
      <c r="E537" s="13" t="n"/>
      <c r="F537" s="17">
        <f>IF($D537="","",IFERROR(VLOOKUP($E537,材料归属,2,0),"※材料类别没选"))</f>
        <v/>
      </c>
      <c r="G537" s="13" t="n"/>
      <c r="H537" s="13" t="n"/>
      <c r="I537" s="13" t="n"/>
      <c r="J537" s="20" t="n"/>
      <c r="K537" s="14" t="n"/>
      <c r="L537" s="19">
        <f>IF($D537="","",ROUND(IF($J537="",1,$J537)*N($K537),2))</f>
        <v/>
      </c>
      <c r="M537" s="13" t="n"/>
      <c r="N537" s="17">
        <f>IF($D537="","",IF(ISNA(MATCH($D537,项目名表,0)),"※项目不在项目台账里",IF($F537="※材料类别没选","※材料类别没选",IF(AND($C537&lt;&gt;"",ISNA(MATCH($C537,供应商表,0))),"※供应商不在基础资料里",""))))</f>
        <v/>
      </c>
    </row>
    <row r="538">
      <c r="A538" s="17">
        <f>IF($D538="","",ROW()-3)</f>
        <v/>
      </c>
      <c r="B538" s="18" t="n"/>
      <c r="C538" s="13" t="n"/>
      <c r="D538" s="13" t="n"/>
      <c r="E538" s="13" t="n"/>
      <c r="F538" s="17">
        <f>IF($D538="","",IFERROR(VLOOKUP($E538,材料归属,2,0),"※材料类别没选"))</f>
        <v/>
      </c>
      <c r="G538" s="13" t="n"/>
      <c r="H538" s="13" t="n"/>
      <c r="I538" s="13" t="n"/>
      <c r="J538" s="20" t="n"/>
      <c r="K538" s="14" t="n"/>
      <c r="L538" s="19">
        <f>IF($D538="","",ROUND(IF($J538="",1,$J538)*N($K538),2))</f>
        <v/>
      </c>
      <c r="M538" s="13" t="n"/>
      <c r="N538" s="17">
        <f>IF($D538="","",IF(ISNA(MATCH($D538,项目名表,0)),"※项目不在项目台账里",IF($F538="※材料类别没选","※材料类别没选",IF(AND($C538&lt;&gt;"",ISNA(MATCH($C538,供应商表,0))),"※供应商不在基础资料里",""))))</f>
        <v/>
      </c>
    </row>
    <row r="539">
      <c r="A539" s="17">
        <f>IF($D539="","",ROW()-3)</f>
        <v/>
      </c>
      <c r="B539" s="18" t="n"/>
      <c r="C539" s="13" t="n"/>
      <c r="D539" s="13" t="n"/>
      <c r="E539" s="13" t="n"/>
      <c r="F539" s="17">
        <f>IF($D539="","",IFERROR(VLOOKUP($E539,材料归属,2,0),"※材料类别没选"))</f>
        <v/>
      </c>
      <c r="G539" s="13" t="n"/>
      <c r="H539" s="13" t="n"/>
      <c r="I539" s="13" t="n"/>
      <c r="J539" s="20" t="n"/>
      <c r="K539" s="14" t="n"/>
      <c r="L539" s="19">
        <f>IF($D539="","",ROUND(IF($J539="",1,$J539)*N($K539),2))</f>
        <v/>
      </c>
      <c r="M539" s="13" t="n"/>
      <c r="N539" s="17">
        <f>IF($D539="","",IF(ISNA(MATCH($D539,项目名表,0)),"※项目不在项目台账里",IF($F539="※材料类别没选","※材料类别没选",IF(AND($C539&lt;&gt;"",ISNA(MATCH($C539,供应商表,0))),"※供应商不在基础资料里",""))))</f>
        <v/>
      </c>
    </row>
    <row r="540">
      <c r="A540" s="17">
        <f>IF($D540="","",ROW()-3)</f>
        <v/>
      </c>
      <c r="B540" s="18" t="n"/>
      <c r="C540" s="13" t="n"/>
      <c r="D540" s="13" t="n"/>
      <c r="E540" s="13" t="n"/>
      <c r="F540" s="17">
        <f>IF($D540="","",IFERROR(VLOOKUP($E540,材料归属,2,0),"※材料类别没选"))</f>
        <v/>
      </c>
      <c r="G540" s="13" t="n"/>
      <c r="H540" s="13" t="n"/>
      <c r="I540" s="13" t="n"/>
      <c r="J540" s="20" t="n"/>
      <c r="K540" s="14" t="n"/>
      <c r="L540" s="19">
        <f>IF($D540="","",ROUND(IF($J540="",1,$J540)*N($K540),2))</f>
        <v/>
      </c>
      <c r="M540" s="13" t="n"/>
      <c r="N540" s="17">
        <f>IF($D540="","",IF(ISNA(MATCH($D540,项目名表,0)),"※项目不在项目台账里",IF($F540="※材料类别没选","※材料类别没选",IF(AND($C540&lt;&gt;"",ISNA(MATCH($C540,供应商表,0))),"※供应商不在基础资料里",""))))</f>
        <v/>
      </c>
    </row>
    <row r="541">
      <c r="A541" s="17">
        <f>IF($D541="","",ROW()-3)</f>
        <v/>
      </c>
      <c r="B541" s="18" t="n"/>
      <c r="C541" s="13" t="n"/>
      <c r="D541" s="13" t="n"/>
      <c r="E541" s="13" t="n"/>
      <c r="F541" s="17">
        <f>IF($D541="","",IFERROR(VLOOKUP($E541,材料归属,2,0),"※材料类别没选"))</f>
        <v/>
      </c>
      <c r="G541" s="13" t="n"/>
      <c r="H541" s="13" t="n"/>
      <c r="I541" s="13" t="n"/>
      <c r="J541" s="20" t="n"/>
      <c r="K541" s="14" t="n"/>
      <c r="L541" s="19">
        <f>IF($D541="","",ROUND(IF($J541="",1,$J541)*N($K541),2))</f>
        <v/>
      </c>
      <c r="M541" s="13" t="n"/>
      <c r="N541" s="17">
        <f>IF($D541="","",IF(ISNA(MATCH($D541,项目名表,0)),"※项目不在项目台账里",IF($F541="※材料类别没选","※材料类别没选",IF(AND($C541&lt;&gt;"",ISNA(MATCH($C541,供应商表,0))),"※供应商不在基础资料里",""))))</f>
        <v/>
      </c>
    </row>
    <row r="542">
      <c r="A542" s="17">
        <f>IF($D542="","",ROW()-3)</f>
        <v/>
      </c>
      <c r="B542" s="18" t="n"/>
      <c r="C542" s="13" t="n"/>
      <c r="D542" s="13" t="n"/>
      <c r="E542" s="13" t="n"/>
      <c r="F542" s="17">
        <f>IF($D542="","",IFERROR(VLOOKUP($E542,材料归属,2,0),"※材料类别没选"))</f>
        <v/>
      </c>
      <c r="G542" s="13" t="n"/>
      <c r="H542" s="13" t="n"/>
      <c r="I542" s="13" t="n"/>
      <c r="J542" s="20" t="n"/>
      <c r="K542" s="14" t="n"/>
      <c r="L542" s="19">
        <f>IF($D542="","",ROUND(IF($J542="",1,$J542)*N($K542),2))</f>
        <v/>
      </c>
      <c r="M542" s="13" t="n"/>
      <c r="N542" s="17">
        <f>IF($D542="","",IF(ISNA(MATCH($D542,项目名表,0)),"※项目不在项目台账里",IF($F542="※材料类别没选","※材料类别没选",IF(AND($C542&lt;&gt;"",ISNA(MATCH($C542,供应商表,0))),"※供应商不在基础资料里",""))))</f>
        <v/>
      </c>
    </row>
    <row r="543">
      <c r="A543" s="17">
        <f>IF($D543="","",ROW()-3)</f>
        <v/>
      </c>
      <c r="B543" s="18" t="n"/>
      <c r="C543" s="13" t="n"/>
      <c r="D543" s="13" t="n"/>
      <c r="E543" s="13" t="n"/>
      <c r="F543" s="17">
        <f>IF($D543="","",IFERROR(VLOOKUP($E543,材料归属,2,0),"※材料类别没选"))</f>
        <v/>
      </c>
      <c r="G543" s="13" t="n"/>
      <c r="H543" s="13" t="n"/>
      <c r="I543" s="13" t="n"/>
      <c r="J543" s="20" t="n"/>
      <c r="K543" s="14" t="n"/>
      <c r="L543" s="19">
        <f>IF($D543="","",ROUND(IF($J543="",1,$J543)*N($K543),2))</f>
        <v/>
      </c>
      <c r="M543" s="13" t="n"/>
      <c r="N543" s="17">
        <f>IF($D543="","",IF(ISNA(MATCH($D543,项目名表,0)),"※项目不在项目台账里",IF($F543="※材料类别没选","※材料类别没选",IF(AND($C543&lt;&gt;"",ISNA(MATCH($C543,供应商表,0))),"※供应商不在基础资料里",""))))</f>
        <v/>
      </c>
    </row>
    <row r="544">
      <c r="A544" s="17">
        <f>IF($D544="","",ROW()-3)</f>
        <v/>
      </c>
      <c r="B544" s="18" t="n"/>
      <c r="C544" s="13" t="n"/>
      <c r="D544" s="13" t="n"/>
      <c r="E544" s="13" t="n"/>
      <c r="F544" s="17">
        <f>IF($D544="","",IFERROR(VLOOKUP($E544,材料归属,2,0),"※材料类别没选"))</f>
        <v/>
      </c>
      <c r="G544" s="13" t="n"/>
      <c r="H544" s="13" t="n"/>
      <c r="I544" s="13" t="n"/>
      <c r="J544" s="20" t="n"/>
      <c r="K544" s="14" t="n"/>
      <c r="L544" s="19">
        <f>IF($D544="","",ROUND(IF($J544="",1,$J544)*N($K544),2))</f>
        <v/>
      </c>
      <c r="M544" s="13" t="n"/>
      <c r="N544" s="17">
        <f>IF($D544="","",IF(ISNA(MATCH($D544,项目名表,0)),"※项目不在项目台账里",IF($F544="※材料类别没选","※材料类别没选",IF(AND($C544&lt;&gt;"",ISNA(MATCH($C544,供应商表,0))),"※供应商不在基础资料里",""))))</f>
        <v/>
      </c>
    </row>
    <row r="545">
      <c r="A545" s="17">
        <f>IF($D545="","",ROW()-3)</f>
        <v/>
      </c>
      <c r="B545" s="18" t="n"/>
      <c r="C545" s="13" t="n"/>
      <c r="D545" s="13" t="n"/>
      <c r="E545" s="13" t="n"/>
      <c r="F545" s="17">
        <f>IF($D545="","",IFERROR(VLOOKUP($E545,材料归属,2,0),"※材料类别没选"))</f>
        <v/>
      </c>
      <c r="G545" s="13" t="n"/>
      <c r="H545" s="13" t="n"/>
      <c r="I545" s="13" t="n"/>
      <c r="J545" s="20" t="n"/>
      <c r="K545" s="14" t="n"/>
      <c r="L545" s="19">
        <f>IF($D545="","",ROUND(IF($J545="",1,$J545)*N($K545),2))</f>
        <v/>
      </c>
      <c r="M545" s="13" t="n"/>
      <c r="N545" s="17">
        <f>IF($D545="","",IF(ISNA(MATCH($D545,项目名表,0)),"※项目不在项目台账里",IF($F545="※材料类别没选","※材料类别没选",IF(AND($C545&lt;&gt;"",ISNA(MATCH($C545,供应商表,0))),"※供应商不在基础资料里",""))))</f>
        <v/>
      </c>
    </row>
    <row r="546">
      <c r="A546" s="17">
        <f>IF($D546="","",ROW()-3)</f>
        <v/>
      </c>
      <c r="B546" s="18" t="n"/>
      <c r="C546" s="13" t="n"/>
      <c r="D546" s="13" t="n"/>
      <c r="E546" s="13" t="n"/>
      <c r="F546" s="17">
        <f>IF($D546="","",IFERROR(VLOOKUP($E546,材料归属,2,0),"※材料类别没选"))</f>
        <v/>
      </c>
      <c r="G546" s="13" t="n"/>
      <c r="H546" s="13" t="n"/>
      <c r="I546" s="13" t="n"/>
      <c r="J546" s="20" t="n"/>
      <c r="K546" s="14" t="n"/>
      <c r="L546" s="19">
        <f>IF($D546="","",ROUND(IF($J546="",1,$J546)*N($K546),2))</f>
        <v/>
      </c>
      <c r="M546" s="13" t="n"/>
      <c r="N546" s="17">
        <f>IF($D546="","",IF(ISNA(MATCH($D546,项目名表,0)),"※项目不在项目台账里",IF($F546="※材料类别没选","※材料类别没选",IF(AND($C546&lt;&gt;"",ISNA(MATCH($C546,供应商表,0))),"※供应商不在基础资料里",""))))</f>
        <v/>
      </c>
    </row>
    <row r="547">
      <c r="A547" s="17">
        <f>IF($D547="","",ROW()-3)</f>
        <v/>
      </c>
      <c r="B547" s="18" t="n"/>
      <c r="C547" s="13" t="n"/>
      <c r="D547" s="13" t="n"/>
      <c r="E547" s="13" t="n"/>
      <c r="F547" s="17">
        <f>IF($D547="","",IFERROR(VLOOKUP($E547,材料归属,2,0),"※材料类别没选"))</f>
        <v/>
      </c>
      <c r="G547" s="13" t="n"/>
      <c r="H547" s="13" t="n"/>
      <c r="I547" s="13" t="n"/>
      <c r="J547" s="20" t="n"/>
      <c r="K547" s="14" t="n"/>
      <c r="L547" s="19">
        <f>IF($D547="","",ROUND(IF($J547="",1,$J547)*N($K547),2))</f>
        <v/>
      </c>
      <c r="M547" s="13" t="n"/>
      <c r="N547" s="17">
        <f>IF($D547="","",IF(ISNA(MATCH($D547,项目名表,0)),"※项目不在项目台账里",IF($F547="※材料类别没选","※材料类别没选",IF(AND($C547&lt;&gt;"",ISNA(MATCH($C547,供应商表,0))),"※供应商不在基础资料里",""))))</f>
        <v/>
      </c>
    </row>
    <row r="548">
      <c r="A548" s="17">
        <f>IF($D548="","",ROW()-3)</f>
        <v/>
      </c>
      <c r="B548" s="18" t="n"/>
      <c r="C548" s="13" t="n"/>
      <c r="D548" s="13" t="n"/>
      <c r="E548" s="13" t="n"/>
      <c r="F548" s="17">
        <f>IF($D548="","",IFERROR(VLOOKUP($E548,材料归属,2,0),"※材料类别没选"))</f>
        <v/>
      </c>
      <c r="G548" s="13" t="n"/>
      <c r="H548" s="13" t="n"/>
      <c r="I548" s="13" t="n"/>
      <c r="J548" s="20" t="n"/>
      <c r="K548" s="14" t="n"/>
      <c r="L548" s="19">
        <f>IF($D548="","",ROUND(IF($J548="",1,$J548)*N($K548),2))</f>
        <v/>
      </c>
      <c r="M548" s="13" t="n"/>
      <c r="N548" s="17">
        <f>IF($D548="","",IF(ISNA(MATCH($D548,项目名表,0)),"※项目不在项目台账里",IF($F548="※材料类别没选","※材料类别没选",IF(AND($C548&lt;&gt;"",ISNA(MATCH($C548,供应商表,0))),"※供应商不在基础资料里",""))))</f>
        <v/>
      </c>
    </row>
    <row r="549">
      <c r="A549" s="17">
        <f>IF($D549="","",ROW()-3)</f>
        <v/>
      </c>
      <c r="B549" s="18" t="n"/>
      <c r="C549" s="13" t="n"/>
      <c r="D549" s="13" t="n"/>
      <c r="E549" s="13" t="n"/>
      <c r="F549" s="17">
        <f>IF($D549="","",IFERROR(VLOOKUP($E549,材料归属,2,0),"※材料类别没选"))</f>
        <v/>
      </c>
      <c r="G549" s="13" t="n"/>
      <c r="H549" s="13" t="n"/>
      <c r="I549" s="13" t="n"/>
      <c r="J549" s="20" t="n"/>
      <c r="K549" s="14" t="n"/>
      <c r="L549" s="19">
        <f>IF($D549="","",ROUND(IF($J549="",1,$J549)*N($K549),2))</f>
        <v/>
      </c>
      <c r="M549" s="13" t="n"/>
      <c r="N549" s="17">
        <f>IF($D549="","",IF(ISNA(MATCH($D549,项目名表,0)),"※项目不在项目台账里",IF($F549="※材料类别没选","※材料类别没选",IF(AND($C549&lt;&gt;"",ISNA(MATCH($C549,供应商表,0))),"※供应商不在基础资料里",""))))</f>
        <v/>
      </c>
    </row>
    <row r="550">
      <c r="A550" s="17">
        <f>IF($D550="","",ROW()-3)</f>
        <v/>
      </c>
      <c r="B550" s="18" t="n"/>
      <c r="C550" s="13" t="n"/>
      <c r="D550" s="13" t="n"/>
      <c r="E550" s="13" t="n"/>
      <c r="F550" s="17">
        <f>IF($D550="","",IFERROR(VLOOKUP($E550,材料归属,2,0),"※材料类别没选"))</f>
        <v/>
      </c>
      <c r="G550" s="13" t="n"/>
      <c r="H550" s="13" t="n"/>
      <c r="I550" s="13" t="n"/>
      <c r="J550" s="20" t="n"/>
      <c r="K550" s="14" t="n"/>
      <c r="L550" s="19">
        <f>IF($D550="","",ROUND(IF($J550="",1,$J550)*N($K550),2))</f>
        <v/>
      </c>
      <c r="M550" s="13" t="n"/>
      <c r="N550" s="17">
        <f>IF($D550="","",IF(ISNA(MATCH($D550,项目名表,0)),"※项目不在项目台账里",IF($F550="※材料类别没选","※材料类别没选",IF(AND($C550&lt;&gt;"",ISNA(MATCH($C550,供应商表,0))),"※供应商不在基础资料里",""))))</f>
        <v/>
      </c>
    </row>
    <row r="551">
      <c r="A551" s="17">
        <f>IF($D551="","",ROW()-3)</f>
        <v/>
      </c>
      <c r="B551" s="18" t="n"/>
      <c r="C551" s="13" t="n"/>
      <c r="D551" s="13" t="n"/>
      <c r="E551" s="13" t="n"/>
      <c r="F551" s="17">
        <f>IF($D551="","",IFERROR(VLOOKUP($E551,材料归属,2,0),"※材料类别没选"))</f>
        <v/>
      </c>
      <c r="G551" s="13" t="n"/>
      <c r="H551" s="13" t="n"/>
      <c r="I551" s="13" t="n"/>
      <c r="J551" s="20" t="n"/>
      <c r="K551" s="14" t="n"/>
      <c r="L551" s="19">
        <f>IF($D551="","",ROUND(IF($J551="",1,$J551)*N($K551),2))</f>
        <v/>
      </c>
      <c r="M551" s="13" t="n"/>
      <c r="N551" s="17">
        <f>IF($D551="","",IF(ISNA(MATCH($D551,项目名表,0)),"※项目不在项目台账里",IF($F551="※材料类别没选","※材料类别没选",IF(AND($C551&lt;&gt;"",ISNA(MATCH($C551,供应商表,0))),"※供应商不在基础资料里",""))))</f>
        <v/>
      </c>
    </row>
    <row r="552">
      <c r="A552" s="17">
        <f>IF($D552="","",ROW()-3)</f>
        <v/>
      </c>
      <c r="B552" s="18" t="n"/>
      <c r="C552" s="13" t="n"/>
      <c r="D552" s="13" t="n"/>
      <c r="E552" s="13" t="n"/>
      <c r="F552" s="17">
        <f>IF($D552="","",IFERROR(VLOOKUP($E552,材料归属,2,0),"※材料类别没选"))</f>
        <v/>
      </c>
      <c r="G552" s="13" t="n"/>
      <c r="H552" s="13" t="n"/>
      <c r="I552" s="13" t="n"/>
      <c r="J552" s="20" t="n"/>
      <c r="K552" s="14" t="n"/>
      <c r="L552" s="19">
        <f>IF($D552="","",ROUND(IF($J552="",1,$J552)*N($K552),2))</f>
        <v/>
      </c>
      <c r="M552" s="13" t="n"/>
      <c r="N552" s="17">
        <f>IF($D552="","",IF(ISNA(MATCH($D552,项目名表,0)),"※项目不在项目台账里",IF($F552="※材料类别没选","※材料类别没选",IF(AND($C552&lt;&gt;"",ISNA(MATCH($C552,供应商表,0))),"※供应商不在基础资料里",""))))</f>
        <v/>
      </c>
    </row>
    <row r="553">
      <c r="A553" s="17">
        <f>IF($D553="","",ROW()-3)</f>
        <v/>
      </c>
      <c r="B553" s="18" t="n"/>
      <c r="C553" s="13" t="n"/>
      <c r="D553" s="13" t="n"/>
      <c r="E553" s="13" t="n"/>
      <c r="F553" s="17">
        <f>IF($D553="","",IFERROR(VLOOKUP($E553,材料归属,2,0),"※材料类别没选"))</f>
        <v/>
      </c>
      <c r="G553" s="13" t="n"/>
      <c r="H553" s="13" t="n"/>
      <c r="I553" s="13" t="n"/>
      <c r="J553" s="20" t="n"/>
      <c r="K553" s="14" t="n"/>
      <c r="L553" s="19">
        <f>IF($D553="","",ROUND(IF($J553="",1,$J553)*N($K553),2))</f>
        <v/>
      </c>
      <c r="M553" s="13" t="n"/>
      <c r="N553" s="17">
        <f>IF($D553="","",IF(ISNA(MATCH($D553,项目名表,0)),"※项目不在项目台账里",IF($F553="※材料类别没选","※材料类别没选",IF(AND($C553&lt;&gt;"",ISNA(MATCH($C553,供应商表,0))),"※供应商不在基础资料里",""))))</f>
        <v/>
      </c>
    </row>
    <row r="554">
      <c r="A554" s="17">
        <f>IF($D554="","",ROW()-3)</f>
        <v/>
      </c>
      <c r="B554" s="18" t="n"/>
      <c r="C554" s="13" t="n"/>
      <c r="D554" s="13" t="n"/>
      <c r="E554" s="13" t="n"/>
      <c r="F554" s="17">
        <f>IF($D554="","",IFERROR(VLOOKUP($E554,材料归属,2,0),"※材料类别没选"))</f>
        <v/>
      </c>
      <c r="G554" s="13" t="n"/>
      <c r="H554" s="13" t="n"/>
      <c r="I554" s="13" t="n"/>
      <c r="J554" s="20" t="n"/>
      <c r="K554" s="14" t="n"/>
      <c r="L554" s="19">
        <f>IF($D554="","",ROUND(IF($J554="",1,$J554)*N($K554),2))</f>
        <v/>
      </c>
      <c r="M554" s="13" t="n"/>
      <c r="N554" s="17">
        <f>IF($D554="","",IF(ISNA(MATCH($D554,项目名表,0)),"※项目不在项目台账里",IF($F554="※材料类别没选","※材料类别没选",IF(AND($C554&lt;&gt;"",ISNA(MATCH($C554,供应商表,0))),"※供应商不在基础资料里",""))))</f>
        <v/>
      </c>
    </row>
    <row r="555">
      <c r="A555" s="17">
        <f>IF($D555="","",ROW()-3)</f>
        <v/>
      </c>
      <c r="B555" s="18" t="n"/>
      <c r="C555" s="13" t="n"/>
      <c r="D555" s="13" t="n"/>
      <c r="E555" s="13" t="n"/>
      <c r="F555" s="17">
        <f>IF($D555="","",IFERROR(VLOOKUP($E555,材料归属,2,0),"※材料类别没选"))</f>
        <v/>
      </c>
      <c r="G555" s="13" t="n"/>
      <c r="H555" s="13" t="n"/>
      <c r="I555" s="13" t="n"/>
      <c r="J555" s="20" t="n"/>
      <c r="K555" s="14" t="n"/>
      <c r="L555" s="19">
        <f>IF($D555="","",ROUND(IF($J555="",1,$J555)*N($K555),2))</f>
        <v/>
      </c>
      <c r="M555" s="13" t="n"/>
      <c r="N555" s="17">
        <f>IF($D555="","",IF(ISNA(MATCH($D555,项目名表,0)),"※项目不在项目台账里",IF($F555="※材料类别没选","※材料类别没选",IF(AND($C555&lt;&gt;"",ISNA(MATCH($C555,供应商表,0))),"※供应商不在基础资料里",""))))</f>
        <v/>
      </c>
    </row>
    <row r="556">
      <c r="A556" s="17">
        <f>IF($D556="","",ROW()-3)</f>
        <v/>
      </c>
      <c r="B556" s="18" t="n"/>
      <c r="C556" s="13" t="n"/>
      <c r="D556" s="13" t="n"/>
      <c r="E556" s="13" t="n"/>
      <c r="F556" s="17">
        <f>IF($D556="","",IFERROR(VLOOKUP($E556,材料归属,2,0),"※材料类别没选"))</f>
        <v/>
      </c>
      <c r="G556" s="13" t="n"/>
      <c r="H556" s="13" t="n"/>
      <c r="I556" s="13" t="n"/>
      <c r="J556" s="20" t="n"/>
      <c r="K556" s="14" t="n"/>
      <c r="L556" s="19">
        <f>IF($D556="","",ROUND(IF($J556="",1,$J556)*N($K556),2))</f>
        <v/>
      </c>
      <c r="M556" s="13" t="n"/>
      <c r="N556" s="17">
        <f>IF($D556="","",IF(ISNA(MATCH($D556,项目名表,0)),"※项目不在项目台账里",IF($F556="※材料类别没选","※材料类别没选",IF(AND($C556&lt;&gt;"",ISNA(MATCH($C556,供应商表,0))),"※供应商不在基础资料里",""))))</f>
        <v/>
      </c>
    </row>
    <row r="557">
      <c r="A557" s="17">
        <f>IF($D557="","",ROW()-3)</f>
        <v/>
      </c>
      <c r="B557" s="18" t="n"/>
      <c r="C557" s="13" t="n"/>
      <c r="D557" s="13" t="n"/>
      <c r="E557" s="13" t="n"/>
      <c r="F557" s="17">
        <f>IF($D557="","",IFERROR(VLOOKUP($E557,材料归属,2,0),"※材料类别没选"))</f>
        <v/>
      </c>
      <c r="G557" s="13" t="n"/>
      <c r="H557" s="13" t="n"/>
      <c r="I557" s="13" t="n"/>
      <c r="J557" s="20" t="n"/>
      <c r="K557" s="14" t="n"/>
      <c r="L557" s="19">
        <f>IF($D557="","",ROUND(IF($J557="",1,$J557)*N($K557),2))</f>
        <v/>
      </c>
      <c r="M557" s="13" t="n"/>
      <c r="N557" s="17">
        <f>IF($D557="","",IF(ISNA(MATCH($D557,项目名表,0)),"※项目不在项目台账里",IF($F557="※材料类别没选","※材料类别没选",IF(AND($C557&lt;&gt;"",ISNA(MATCH($C557,供应商表,0))),"※供应商不在基础资料里",""))))</f>
        <v/>
      </c>
    </row>
    <row r="558">
      <c r="A558" s="17">
        <f>IF($D558="","",ROW()-3)</f>
        <v/>
      </c>
      <c r="B558" s="18" t="n"/>
      <c r="C558" s="13" t="n"/>
      <c r="D558" s="13" t="n"/>
      <c r="E558" s="13" t="n"/>
      <c r="F558" s="17">
        <f>IF($D558="","",IFERROR(VLOOKUP($E558,材料归属,2,0),"※材料类别没选"))</f>
        <v/>
      </c>
      <c r="G558" s="13" t="n"/>
      <c r="H558" s="13" t="n"/>
      <c r="I558" s="13" t="n"/>
      <c r="J558" s="20" t="n"/>
      <c r="K558" s="14" t="n"/>
      <c r="L558" s="19">
        <f>IF($D558="","",ROUND(IF($J558="",1,$J558)*N($K558),2))</f>
        <v/>
      </c>
      <c r="M558" s="13" t="n"/>
      <c r="N558" s="17">
        <f>IF($D558="","",IF(ISNA(MATCH($D558,项目名表,0)),"※项目不在项目台账里",IF($F558="※材料类别没选","※材料类别没选",IF(AND($C558&lt;&gt;"",ISNA(MATCH($C558,供应商表,0))),"※供应商不在基础资料里",""))))</f>
        <v/>
      </c>
    </row>
    <row r="559">
      <c r="A559" s="17">
        <f>IF($D559="","",ROW()-3)</f>
        <v/>
      </c>
      <c r="B559" s="18" t="n"/>
      <c r="C559" s="13" t="n"/>
      <c r="D559" s="13" t="n"/>
      <c r="E559" s="13" t="n"/>
      <c r="F559" s="17">
        <f>IF($D559="","",IFERROR(VLOOKUP($E559,材料归属,2,0),"※材料类别没选"))</f>
        <v/>
      </c>
      <c r="G559" s="13" t="n"/>
      <c r="H559" s="13" t="n"/>
      <c r="I559" s="13" t="n"/>
      <c r="J559" s="20" t="n"/>
      <c r="K559" s="14" t="n"/>
      <c r="L559" s="19">
        <f>IF($D559="","",ROUND(IF($J559="",1,$J559)*N($K559),2))</f>
        <v/>
      </c>
      <c r="M559" s="13" t="n"/>
      <c r="N559" s="17">
        <f>IF($D559="","",IF(ISNA(MATCH($D559,项目名表,0)),"※项目不在项目台账里",IF($F559="※材料类别没选","※材料类别没选",IF(AND($C559&lt;&gt;"",ISNA(MATCH($C559,供应商表,0))),"※供应商不在基础资料里",""))))</f>
        <v/>
      </c>
    </row>
    <row r="560">
      <c r="A560" s="17">
        <f>IF($D560="","",ROW()-3)</f>
        <v/>
      </c>
      <c r="B560" s="18" t="n"/>
      <c r="C560" s="13" t="n"/>
      <c r="D560" s="13" t="n"/>
      <c r="E560" s="13" t="n"/>
      <c r="F560" s="17">
        <f>IF($D560="","",IFERROR(VLOOKUP($E560,材料归属,2,0),"※材料类别没选"))</f>
        <v/>
      </c>
      <c r="G560" s="13" t="n"/>
      <c r="H560" s="13" t="n"/>
      <c r="I560" s="13" t="n"/>
      <c r="J560" s="20" t="n"/>
      <c r="K560" s="14" t="n"/>
      <c r="L560" s="19">
        <f>IF($D560="","",ROUND(IF($J560="",1,$J560)*N($K560),2))</f>
        <v/>
      </c>
      <c r="M560" s="13" t="n"/>
      <c r="N560" s="17">
        <f>IF($D560="","",IF(ISNA(MATCH($D560,项目名表,0)),"※项目不在项目台账里",IF($F560="※材料类别没选","※材料类别没选",IF(AND($C560&lt;&gt;"",ISNA(MATCH($C560,供应商表,0))),"※供应商不在基础资料里",""))))</f>
        <v/>
      </c>
    </row>
    <row r="561">
      <c r="A561" s="17">
        <f>IF($D561="","",ROW()-3)</f>
        <v/>
      </c>
      <c r="B561" s="18" t="n"/>
      <c r="C561" s="13" t="n"/>
      <c r="D561" s="13" t="n"/>
      <c r="E561" s="13" t="n"/>
      <c r="F561" s="17">
        <f>IF($D561="","",IFERROR(VLOOKUP($E561,材料归属,2,0),"※材料类别没选"))</f>
        <v/>
      </c>
      <c r="G561" s="13" t="n"/>
      <c r="H561" s="13" t="n"/>
      <c r="I561" s="13" t="n"/>
      <c r="J561" s="20" t="n"/>
      <c r="K561" s="14" t="n"/>
      <c r="L561" s="19">
        <f>IF($D561="","",ROUND(IF($J561="",1,$J561)*N($K561),2))</f>
        <v/>
      </c>
      <c r="M561" s="13" t="n"/>
      <c r="N561" s="17">
        <f>IF($D561="","",IF(ISNA(MATCH($D561,项目名表,0)),"※项目不在项目台账里",IF($F561="※材料类别没选","※材料类别没选",IF(AND($C561&lt;&gt;"",ISNA(MATCH($C561,供应商表,0))),"※供应商不在基础资料里",""))))</f>
        <v/>
      </c>
    </row>
    <row r="562">
      <c r="A562" s="17">
        <f>IF($D562="","",ROW()-3)</f>
        <v/>
      </c>
      <c r="B562" s="18" t="n"/>
      <c r="C562" s="13" t="n"/>
      <c r="D562" s="13" t="n"/>
      <c r="E562" s="13" t="n"/>
      <c r="F562" s="17">
        <f>IF($D562="","",IFERROR(VLOOKUP($E562,材料归属,2,0),"※材料类别没选"))</f>
        <v/>
      </c>
      <c r="G562" s="13" t="n"/>
      <c r="H562" s="13" t="n"/>
      <c r="I562" s="13" t="n"/>
      <c r="J562" s="20" t="n"/>
      <c r="K562" s="14" t="n"/>
      <c r="L562" s="19">
        <f>IF($D562="","",ROUND(IF($J562="",1,$J562)*N($K562),2))</f>
        <v/>
      </c>
      <c r="M562" s="13" t="n"/>
      <c r="N562" s="17">
        <f>IF($D562="","",IF(ISNA(MATCH($D562,项目名表,0)),"※项目不在项目台账里",IF($F562="※材料类别没选","※材料类别没选",IF(AND($C562&lt;&gt;"",ISNA(MATCH($C562,供应商表,0))),"※供应商不在基础资料里",""))))</f>
        <v/>
      </c>
    </row>
    <row r="563">
      <c r="A563" s="17">
        <f>IF($D563="","",ROW()-3)</f>
        <v/>
      </c>
      <c r="B563" s="18" t="n"/>
      <c r="C563" s="13" t="n"/>
      <c r="D563" s="13" t="n"/>
      <c r="E563" s="13" t="n"/>
      <c r="F563" s="17">
        <f>IF($D563="","",IFERROR(VLOOKUP($E563,材料归属,2,0),"※材料类别没选"))</f>
        <v/>
      </c>
      <c r="G563" s="13" t="n"/>
      <c r="H563" s="13" t="n"/>
      <c r="I563" s="13" t="n"/>
      <c r="J563" s="20" t="n"/>
      <c r="K563" s="14" t="n"/>
      <c r="L563" s="19">
        <f>IF($D563="","",ROUND(IF($J563="",1,$J563)*N($K563),2))</f>
        <v/>
      </c>
      <c r="M563" s="13" t="n"/>
      <c r="N563" s="17">
        <f>IF($D563="","",IF(ISNA(MATCH($D563,项目名表,0)),"※项目不在项目台账里",IF($F563="※材料类别没选","※材料类别没选",IF(AND($C563&lt;&gt;"",ISNA(MATCH($C563,供应商表,0))),"※供应商不在基础资料里",""))))</f>
        <v/>
      </c>
    </row>
    <row r="564">
      <c r="A564" s="17">
        <f>IF($D564="","",ROW()-3)</f>
        <v/>
      </c>
      <c r="B564" s="18" t="n"/>
      <c r="C564" s="13" t="n"/>
      <c r="D564" s="13" t="n"/>
      <c r="E564" s="13" t="n"/>
      <c r="F564" s="17">
        <f>IF($D564="","",IFERROR(VLOOKUP($E564,材料归属,2,0),"※材料类别没选"))</f>
        <v/>
      </c>
      <c r="G564" s="13" t="n"/>
      <c r="H564" s="13" t="n"/>
      <c r="I564" s="13" t="n"/>
      <c r="J564" s="20" t="n"/>
      <c r="K564" s="14" t="n"/>
      <c r="L564" s="19">
        <f>IF($D564="","",ROUND(IF($J564="",1,$J564)*N($K564),2))</f>
        <v/>
      </c>
      <c r="M564" s="13" t="n"/>
      <c r="N564" s="17">
        <f>IF($D564="","",IF(ISNA(MATCH($D564,项目名表,0)),"※项目不在项目台账里",IF($F564="※材料类别没选","※材料类别没选",IF(AND($C564&lt;&gt;"",ISNA(MATCH($C564,供应商表,0))),"※供应商不在基础资料里",""))))</f>
        <v/>
      </c>
    </row>
    <row r="565">
      <c r="A565" s="17">
        <f>IF($D565="","",ROW()-3)</f>
        <v/>
      </c>
      <c r="B565" s="18" t="n"/>
      <c r="C565" s="13" t="n"/>
      <c r="D565" s="13" t="n"/>
      <c r="E565" s="13" t="n"/>
      <c r="F565" s="17">
        <f>IF($D565="","",IFERROR(VLOOKUP($E565,材料归属,2,0),"※材料类别没选"))</f>
        <v/>
      </c>
      <c r="G565" s="13" t="n"/>
      <c r="H565" s="13" t="n"/>
      <c r="I565" s="13" t="n"/>
      <c r="J565" s="20" t="n"/>
      <c r="K565" s="14" t="n"/>
      <c r="L565" s="19">
        <f>IF($D565="","",ROUND(IF($J565="",1,$J565)*N($K565),2))</f>
        <v/>
      </c>
      <c r="M565" s="13" t="n"/>
      <c r="N565" s="17">
        <f>IF($D565="","",IF(ISNA(MATCH($D565,项目名表,0)),"※项目不在项目台账里",IF($F565="※材料类别没选","※材料类别没选",IF(AND($C565&lt;&gt;"",ISNA(MATCH($C565,供应商表,0))),"※供应商不在基础资料里",""))))</f>
        <v/>
      </c>
    </row>
    <row r="566">
      <c r="A566" s="17">
        <f>IF($D566="","",ROW()-3)</f>
        <v/>
      </c>
      <c r="B566" s="18" t="n"/>
      <c r="C566" s="13" t="n"/>
      <c r="D566" s="13" t="n"/>
      <c r="E566" s="13" t="n"/>
      <c r="F566" s="17">
        <f>IF($D566="","",IFERROR(VLOOKUP($E566,材料归属,2,0),"※材料类别没选"))</f>
        <v/>
      </c>
      <c r="G566" s="13" t="n"/>
      <c r="H566" s="13" t="n"/>
      <c r="I566" s="13" t="n"/>
      <c r="J566" s="20" t="n"/>
      <c r="K566" s="14" t="n"/>
      <c r="L566" s="19">
        <f>IF($D566="","",ROUND(IF($J566="",1,$J566)*N($K566),2))</f>
        <v/>
      </c>
      <c r="M566" s="13" t="n"/>
      <c r="N566" s="17">
        <f>IF($D566="","",IF(ISNA(MATCH($D566,项目名表,0)),"※项目不在项目台账里",IF($F566="※材料类别没选","※材料类别没选",IF(AND($C566&lt;&gt;"",ISNA(MATCH($C566,供应商表,0))),"※供应商不在基础资料里",""))))</f>
        <v/>
      </c>
    </row>
    <row r="567">
      <c r="A567" s="17">
        <f>IF($D567="","",ROW()-3)</f>
        <v/>
      </c>
      <c r="B567" s="18" t="n"/>
      <c r="C567" s="13" t="n"/>
      <c r="D567" s="13" t="n"/>
      <c r="E567" s="13" t="n"/>
      <c r="F567" s="17">
        <f>IF($D567="","",IFERROR(VLOOKUP($E567,材料归属,2,0),"※材料类别没选"))</f>
        <v/>
      </c>
      <c r="G567" s="13" t="n"/>
      <c r="H567" s="13" t="n"/>
      <c r="I567" s="13" t="n"/>
      <c r="J567" s="20" t="n"/>
      <c r="K567" s="14" t="n"/>
      <c r="L567" s="19">
        <f>IF($D567="","",ROUND(IF($J567="",1,$J567)*N($K567),2))</f>
        <v/>
      </c>
      <c r="M567" s="13" t="n"/>
      <c r="N567" s="17">
        <f>IF($D567="","",IF(ISNA(MATCH($D567,项目名表,0)),"※项目不在项目台账里",IF($F567="※材料类别没选","※材料类别没选",IF(AND($C567&lt;&gt;"",ISNA(MATCH($C567,供应商表,0))),"※供应商不在基础资料里",""))))</f>
        <v/>
      </c>
    </row>
    <row r="568">
      <c r="A568" s="17">
        <f>IF($D568="","",ROW()-3)</f>
        <v/>
      </c>
      <c r="B568" s="18" t="n"/>
      <c r="C568" s="13" t="n"/>
      <c r="D568" s="13" t="n"/>
      <c r="E568" s="13" t="n"/>
      <c r="F568" s="17">
        <f>IF($D568="","",IFERROR(VLOOKUP($E568,材料归属,2,0),"※材料类别没选"))</f>
        <v/>
      </c>
      <c r="G568" s="13" t="n"/>
      <c r="H568" s="13" t="n"/>
      <c r="I568" s="13" t="n"/>
      <c r="J568" s="20" t="n"/>
      <c r="K568" s="14" t="n"/>
      <c r="L568" s="19">
        <f>IF($D568="","",ROUND(IF($J568="",1,$J568)*N($K568),2))</f>
        <v/>
      </c>
      <c r="M568" s="13" t="n"/>
      <c r="N568" s="17">
        <f>IF($D568="","",IF(ISNA(MATCH($D568,项目名表,0)),"※项目不在项目台账里",IF($F568="※材料类别没选","※材料类别没选",IF(AND($C568&lt;&gt;"",ISNA(MATCH($C568,供应商表,0))),"※供应商不在基础资料里",""))))</f>
        <v/>
      </c>
    </row>
    <row r="569">
      <c r="A569" s="17">
        <f>IF($D569="","",ROW()-3)</f>
        <v/>
      </c>
      <c r="B569" s="18" t="n"/>
      <c r="C569" s="13" t="n"/>
      <c r="D569" s="13" t="n"/>
      <c r="E569" s="13" t="n"/>
      <c r="F569" s="17">
        <f>IF($D569="","",IFERROR(VLOOKUP($E569,材料归属,2,0),"※材料类别没选"))</f>
        <v/>
      </c>
      <c r="G569" s="13" t="n"/>
      <c r="H569" s="13" t="n"/>
      <c r="I569" s="13" t="n"/>
      <c r="J569" s="20" t="n"/>
      <c r="K569" s="14" t="n"/>
      <c r="L569" s="19">
        <f>IF($D569="","",ROUND(IF($J569="",1,$J569)*N($K569),2))</f>
        <v/>
      </c>
      <c r="M569" s="13" t="n"/>
      <c r="N569" s="17">
        <f>IF($D569="","",IF(ISNA(MATCH($D569,项目名表,0)),"※项目不在项目台账里",IF($F569="※材料类别没选","※材料类别没选",IF(AND($C569&lt;&gt;"",ISNA(MATCH($C569,供应商表,0))),"※供应商不在基础资料里",""))))</f>
        <v/>
      </c>
    </row>
    <row r="570">
      <c r="A570" s="17">
        <f>IF($D570="","",ROW()-3)</f>
        <v/>
      </c>
      <c r="B570" s="18" t="n"/>
      <c r="C570" s="13" t="n"/>
      <c r="D570" s="13" t="n"/>
      <c r="E570" s="13" t="n"/>
      <c r="F570" s="17">
        <f>IF($D570="","",IFERROR(VLOOKUP($E570,材料归属,2,0),"※材料类别没选"))</f>
        <v/>
      </c>
      <c r="G570" s="13" t="n"/>
      <c r="H570" s="13" t="n"/>
      <c r="I570" s="13" t="n"/>
      <c r="J570" s="20" t="n"/>
      <c r="K570" s="14" t="n"/>
      <c r="L570" s="19">
        <f>IF($D570="","",ROUND(IF($J570="",1,$J570)*N($K570),2))</f>
        <v/>
      </c>
      <c r="M570" s="13" t="n"/>
      <c r="N570" s="17">
        <f>IF($D570="","",IF(ISNA(MATCH($D570,项目名表,0)),"※项目不在项目台账里",IF($F570="※材料类别没选","※材料类别没选",IF(AND($C570&lt;&gt;"",ISNA(MATCH($C570,供应商表,0))),"※供应商不在基础资料里",""))))</f>
        <v/>
      </c>
    </row>
    <row r="571">
      <c r="A571" s="17">
        <f>IF($D571="","",ROW()-3)</f>
        <v/>
      </c>
      <c r="B571" s="18" t="n"/>
      <c r="C571" s="13" t="n"/>
      <c r="D571" s="13" t="n"/>
      <c r="E571" s="13" t="n"/>
      <c r="F571" s="17">
        <f>IF($D571="","",IFERROR(VLOOKUP($E571,材料归属,2,0),"※材料类别没选"))</f>
        <v/>
      </c>
      <c r="G571" s="13" t="n"/>
      <c r="H571" s="13" t="n"/>
      <c r="I571" s="13" t="n"/>
      <c r="J571" s="20" t="n"/>
      <c r="K571" s="14" t="n"/>
      <c r="L571" s="19">
        <f>IF($D571="","",ROUND(IF($J571="",1,$J571)*N($K571),2))</f>
        <v/>
      </c>
      <c r="M571" s="13" t="n"/>
      <c r="N571" s="17">
        <f>IF($D571="","",IF(ISNA(MATCH($D571,项目名表,0)),"※项目不在项目台账里",IF($F571="※材料类别没选","※材料类别没选",IF(AND($C571&lt;&gt;"",ISNA(MATCH($C571,供应商表,0))),"※供应商不在基础资料里",""))))</f>
        <v/>
      </c>
    </row>
    <row r="572">
      <c r="A572" s="17">
        <f>IF($D572="","",ROW()-3)</f>
        <v/>
      </c>
      <c r="B572" s="18" t="n"/>
      <c r="C572" s="13" t="n"/>
      <c r="D572" s="13" t="n"/>
      <c r="E572" s="13" t="n"/>
      <c r="F572" s="17">
        <f>IF($D572="","",IFERROR(VLOOKUP($E572,材料归属,2,0),"※材料类别没选"))</f>
        <v/>
      </c>
      <c r="G572" s="13" t="n"/>
      <c r="H572" s="13" t="n"/>
      <c r="I572" s="13" t="n"/>
      <c r="J572" s="20" t="n"/>
      <c r="K572" s="14" t="n"/>
      <c r="L572" s="19">
        <f>IF($D572="","",ROUND(IF($J572="",1,$J572)*N($K572),2))</f>
        <v/>
      </c>
      <c r="M572" s="13" t="n"/>
      <c r="N572" s="17">
        <f>IF($D572="","",IF(ISNA(MATCH($D572,项目名表,0)),"※项目不在项目台账里",IF($F572="※材料类别没选","※材料类别没选",IF(AND($C572&lt;&gt;"",ISNA(MATCH($C572,供应商表,0))),"※供应商不在基础资料里",""))))</f>
        <v/>
      </c>
    </row>
    <row r="573">
      <c r="A573" s="17">
        <f>IF($D573="","",ROW()-3)</f>
        <v/>
      </c>
      <c r="B573" s="18" t="n"/>
      <c r="C573" s="13" t="n"/>
      <c r="D573" s="13" t="n"/>
      <c r="E573" s="13" t="n"/>
      <c r="F573" s="17">
        <f>IF($D573="","",IFERROR(VLOOKUP($E573,材料归属,2,0),"※材料类别没选"))</f>
        <v/>
      </c>
      <c r="G573" s="13" t="n"/>
      <c r="H573" s="13" t="n"/>
      <c r="I573" s="13" t="n"/>
      <c r="J573" s="20" t="n"/>
      <c r="K573" s="14" t="n"/>
      <c r="L573" s="19">
        <f>IF($D573="","",ROUND(IF($J573="",1,$J573)*N($K573),2))</f>
        <v/>
      </c>
      <c r="M573" s="13" t="n"/>
      <c r="N573" s="17">
        <f>IF($D573="","",IF(ISNA(MATCH($D573,项目名表,0)),"※项目不在项目台账里",IF($F573="※材料类别没选","※材料类别没选",IF(AND($C573&lt;&gt;"",ISNA(MATCH($C573,供应商表,0))),"※供应商不在基础资料里",""))))</f>
        <v/>
      </c>
    </row>
    <row r="574">
      <c r="A574" s="17">
        <f>IF($D574="","",ROW()-3)</f>
        <v/>
      </c>
      <c r="B574" s="18" t="n"/>
      <c r="C574" s="13" t="n"/>
      <c r="D574" s="13" t="n"/>
      <c r="E574" s="13" t="n"/>
      <c r="F574" s="17">
        <f>IF($D574="","",IFERROR(VLOOKUP($E574,材料归属,2,0),"※材料类别没选"))</f>
        <v/>
      </c>
      <c r="G574" s="13" t="n"/>
      <c r="H574" s="13" t="n"/>
      <c r="I574" s="13" t="n"/>
      <c r="J574" s="20" t="n"/>
      <c r="K574" s="14" t="n"/>
      <c r="L574" s="19">
        <f>IF($D574="","",ROUND(IF($J574="",1,$J574)*N($K574),2))</f>
        <v/>
      </c>
      <c r="M574" s="13" t="n"/>
      <c r="N574" s="17">
        <f>IF($D574="","",IF(ISNA(MATCH($D574,项目名表,0)),"※项目不在项目台账里",IF($F574="※材料类别没选","※材料类别没选",IF(AND($C574&lt;&gt;"",ISNA(MATCH($C574,供应商表,0))),"※供应商不在基础资料里",""))))</f>
        <v/>
      </c>
    </row>
    <row r="575">
      <c r="A575" s="17">
        <f>IF($D575="","",ROW()-3)</f>
        <v/>
      </c>
      <c r="B575" s="18" t="n"/>
      <c r="C575" s="13" t="n"/>
      <c r="D575" s="13" t="n"/>
      <c r="E575" s="13" t="n"/>
      <c r="F575" s="17">
        <f>IF($D575="","",IFERROR(VLOOKUP($E575,材料归属,2,0),"※材料类别没选"))</f>
        <v/>
      </c>
      <c r="G575" s="13" t="n"/>
      <c r="H575" s="13" t="n"/>
      <c r="I575" s="13" t="n"/>
      <c r="J575" s="20" t="n"/>
      <c r="K575" s="14" t="n"/>
      <c r="L575" s="19">
        <f>IF($D575="","",ROUND(IF($J575="",1,$J575)*N($K575),2))</f>
        <v/>
      </c>
      <c r="M575" s="13" t="n"/>
      <c r="N575" s="17">
        <f>IF($D575="","",IF(ISNA(MATCH($D575,项目名表,0)),"※项目不在项目台账里",IF($F575="※材料类别没选","※材料类别没选",IF(AND($C575&lt;&gt;"",ISNA(MATCH($C575,供应商表,0))),"※供应商不在基础资料里",""))))</f>
        <v/>
      </c>
    </row>
    <row r="576">
      <c r="A576" s="17">
        <f>IF($D576="","",ROW()-3)</f>
        <v/>
      </c>
      <c r="B576" s="18" t="n"/>
      <c r="C576" s="13" t="n"/>
      <c r="D576" s="13" t="n"/>
      <c r="E576" s="13" t="n"/>
      <c r="F576" s="17">
        <f>IF($D576="","",IFERROR(VLOOKUP($E576,材料归属,2,0),"※材料类别没选"))</f>
        <v/>
      </c>
      <c r="G576" s="13" t="n"/>
      <c r="H576" s="13" t="n"/>
      <c r="I576" s="13" t="n"/>
      <c r="J576" s="20" t="n"/>
      <c r="K576" s="14" t="n"/>
      <c r="L576" s="19">
        <f>IF($D576="","",ROUND(IF($J576="",1,$J576)*N($K576),2))</f>
        <v/>
      </c>
      <c r="M576" s="13" t="n"/>
      <c r="N576" s="17">
        <f>IF($D576="","",IF(ISNA(MATCH($D576,项目名表,0)),"※项目不在项目台账里",IF($F576="※材料类别没选","※材料类别没选",IF(AND($C576&lt;&gt;"",ISNA(MATCH($C576,供应商表,0))),"※供应商不在基础资料里",""))))</f>
        <v/>
      </c>
    </row>
    <row r="577">
      <c r="A577" s="17">
        <f>IF($D577="","",ROW()-3)</f>
        <v/>
      </c>
      <c r="B577" s="18" t="n"/>
      <c r="C577" s="13" t="n"/>
      <c r="D577" s="13" t="n"/>
      <c r="E577" s="13" t="n"/>
      <c r="F577" s="17">
        <f>IF($D577="","",IFERROR(VLOOKUP($E577,材料归属,2,0),"※材料类别没选"))</f>
        <v/>
      </c>
      <c r="G577" s="13" t="n"/>
      <c r="H577" s="13" t="n"/>
      <c r="I577" s="13" t="n"/>
      <c r="J577" s="20" t="n"/>
      <c r="K577" s="14" t="n"/>
      <c r="L577" s="19">
        <f>IF($D577="","",ROUND(IF($J577="",1,$J577)*N($K577),2))</f>
        <v/>
      </c>
      <c r="M577" s="13" t="n"/>
      <c r="N577" s="17">
        <f>IF($D577="","",IF(ISNA(MATCH($D577,项目名表,0)),"※项目不在项目台账里",IF($F577="※材料类别没选","※材料类别没选",IF(AND($C577&lt;&gt;"",ISNA(MATCH($C577,供应商表,0))),"※供应商不在基础资料里",""))))</f>
        <v/>
      </c>
    </row>
    <row r="578">
      <c r="A578" s="17">
        <f>IF($D578="","",ROW()-3)</f>
        <v/>
      </c>
      <c r="B578" s="18" t="n"/>
      <c r="C578" s="13" t="n"/>
      <c r="D578" s="13" t="n"/>
      <c r="E578" s="13" t="n"/>
      <c r="F578" s="17">
        <f>IF($D578="","",IFERROR(VLOOKUP($E578,材料归属,2,0),"※材料类别没选"))</f>
        <v/>
      </c>
      <c r="G578" s="13" t="n"/>
      <c r="H578" s="13" t="n"/>
      <c r="I578" s="13" t="n"/>
      <c r="J578" s="20" t="n"/>
      <c r="K578" s="14" t="n"/>
      <c r="L578" s="19">
        <f>IF($D578="","",ROUND(IF($J578="",1,$J578)*N($K578),2))</f>
        <v/>
      </c>
      <c r="M578" s="13" t="n"/>
      <c r="N578" s="17">
        <f>IF($D578="","",IF(ISNA(MATCH($D578,项目名表,0)),"※项目不在项目台账里",IF($F578="※材料类别没选","※材料类别没选",IF(AND($C578&lt;&gt;"",ISNA(MATCH($C578,供应商表,0))),"※供应商不在基础资料里",""))))</f>
        <v/>
      </c>
    </row>
    <row r="579">
      <c r="A579" s="17">
        <f>IF($D579="","",ROW()-3)</f>
        <v/>
      </c>
      <c r="B579" s="18" t="n"/>
      <c r="C579" s="13" t="n"/>
      <c r="D579" s="13" t="n"/>
      <c r="E579" s="13" t="n"/>
      <c r="F579" s="17">
        <f>IF($D579="","",IFERROR(VLOOKUP($E579,材料归属,2,0),"※材料类别没选"))</f>
        <v/>
      </c>
      <c r="G579" s="13" t="n"/>
      <c r="H579" s="13" t="n"/>
      <c r="I579" s="13" t="n"/>
      <c r="J579" s="20" t="n"/>
      <c r="K579" s="14" t="n"/>
      <c r="L579" s="19">
        <f>IF($D579="","",ROUND(IF($J579="",1,$J579)*N($K579),2))</f>
        <v/>
      </c>
      <c r="M579" s="13" t="n"/>
      <c r="N579" s="17">
        <f>IF($D579="","",IF(ISNA(MATCH($D579,项目名表,0)),"※项目不在项目台账里",IF($F579="※材料类别没选","※材料类别没选",IF(AND($C579&lt;&gt;"",ISNA(MATCH($C579,供应商表,0))),"※供应商不在基础资料里",""))))</f>
        <v/>
      </c>
    </row>
    <row r="580">
      <c r="A580" s="17">
        <f>IF($D580="","",ROW()-3)</f>
        <v/>
      </c>
      <c r="B580" s="18" t="n"/>
      <c r="C580" s="13" t="n"/>
      <c r="D580" s="13" t="n"/>
      <c r="E580" s="13" t="n"/>
      <c r="F580" s="17">
        <f>IF($D580="","",IFERROR(VLOOKUP($E580,材料归属,2,0),"※材料类别没选"))</f>
        <v/>
      </c>
      <c r="G580" s="13" t="n"/>
      <c r="H580" s="13" t="n"/>
      <c r="I580" s="13" t="n"/>
      <c r="J580" s="20" t="n"/>
      <c r="K580" s="14" t="n"/>
      <c r="L580" s="19">
        <f>IF($D580="","",ROUND(IF($J580="",1,$J580)*N($K580),2))</f>
        <v/>
      </c>
      <c r="M580" s="13" t="n"/>
      <c r="N580" s="17">
        <f>IF($D580="","",IF(ISNA(MATCH($D580,项目名表,0)),"※项目不在项目台账里",IF($F580="※材料类别没选","※材料类别没选",IF(AND($C580&lt;&gt;"",ISNA(MATCH($C580,供应商表,0))),"※供应商不在基础资料里",""))))</f>
        <v/>
      </c>
    </row>
    <row r="581">
      <c r="A581" s="17">
        <f>IF($D581="","",ROW()-3)</f>
        <v/>
      </c>
      <c r="B581" s="18" t="n"/>
      <c r="C581" s="13" t="n"/>
      <c r="D581" s="13" t="n"/>
      <c r="E581" s="13" t="n"/>
      <c r="F581" s="17">
        <f>IF($D581="","",IFERROR(VLOOKUP($E581,材料归属,2,0),"※材料类别没选"))</f>
        <v/>
      </c>
      <c r="G581" s="13" t="n"/>
      <c r="H581" s="13" t="n"/>
      <c r="I581" s="13" t="n"/>
      <c r="J581" s="20" t="n"/>
      <c r="K581" s="14" t="n"/>
      <c r="L581" s="19">
        <f>IF($D581="","",ROUND(IF($J581="",1,$J581)*N($K581),2))</f>
        <v/>
      </c>
      <c r="M581" s="13" t="n"/>
      <c r="N581" s="17">
        <f>IF($D581="","",IF(ISNA(MATCH($D581,项目名表,0)),"※项目不在项目台账里",IF($F581="※材料类别没选","※材料类别没选",IF(AND($C581&lt;&gt;"",ISNA(MATCH($C581,供应商表,0))),"※供应商不在基础资料里",""))))</f>
        <v/>
      </c>
    </row>
    <row r="582">
      <c r="A582" s="17">
        <f>IF($D582="","",ROW()-3)</f>
        <v/>
      </c>
      <c r="B582" s="18" t="n"/>
      <c r="C582" s="13" t="n"/>
      <c r="D582" s="13" t="n"/>
      <c r="E582" s="13" t="n"/>
      <c r="F582" s="17">
        <f>IF($D582="","",IFERROR(VLOOKUP($E582,材料归属,2,0),"※材料类别没选"))</f>
        <v/>
      </c>
      <c r="G582" s="13" t="n"/>
      <c r="H582" s="13" t="n"/>
      <c r="I582" s="13" t="n"/>
      <c r="J582" s="20" t="n"/>
      <c r="K582" s="14" t="n"/>
      <c r="L582" s="19">
        <f>IF($D582="","",ROUND(IF($J582="",1,$J582)*N($K582),2))</f>
        <v/>
      </c>
      <c r="M582" s="13" t="n"/>
      <c r="N582" s="17">
        <f>IF($D582="","",IF(ISNA(MATCH($D582,项目名表,0)),"※项目不在项目台账里",IF($F582="※材料类别没选","※材料类别没选",IF(AND($C582&lt;&gt;"",ISNA(MATCH($C582,供应商表,0))),"※供应商不在基础资料里",""))))</f>
        <v/>
      </c>
    </row>
    <row r="583">
      <c r="A583" s="17">
        <f>IF($D583="","",ROW()-3)</f>
        <v/>
      </c>
      <c r="B583" s="18" t="n"/>
      <c r="C583" s="13" t="n"/>
      <c r="D583" s="13" t="n"/>
      <c r="E583" s="13" t="n"/>
      <c r="F583" s="17">
        <f>IF($D583="","",IFERROR(VLOOKUP($E583,材料归属,2,0),"※材料类别没选"))</f>
        <v/>
      </c>
      <c r="G583" s="13" t="n"/>
      <c r="H583" s="13" t="n"/>
      <c r="I583" s="13" t="n"/>
      <c r="J583" s="20" t="n"/>
      <c r="K583" s="14" t="n"/>
      <c r="L583" s="19">
        <f>IF($D583="","",ROUND(IF($J583="",1,$J583)*N($K583),2))</f>
        <v/>
      </c>
      <c r="M583" s="13" t="n"/>
      <c r="N583" s="17">
        <f>IF($D583="","",IF(ISNA(MATCH($D583,项目名表,0)),"※项目不在项目台账里",IF($F583="※材料类别没选","※材料类别没选",IF(AND($C583&lt;&gt;"",ISNA(MATCH($C583,供应商表,0))),"※供应商不在基础资料里",""))))</f>
        <v/>
      </c>
    </row>
    <row r="584">
      <c r="A584" s="17">
        <f>IF($D584="","",ROW()-3)</f>
        <v/>
      </c>
      <c r="B584" s="18" t="n"/>
      <c r="C584" s="13" t="n"/>
      <c r="D584" s="13" t="n"/>
      <c r="E584" s="13" t="n"/>
      <c r="F584" s="17">
        <f>IF($D584="","",IFERROR(VLOOKUP($E584,材料归属,2,0),"※材料类别没选"))</f>
        <v/>
      </c>
      <c r="G584" s="13" t="n"/>
      <c r="H584" s="13" t="n"/>
      <c r="I584" s="13" t="n"/>
      <c r="J584" s="20" t="n"/>
      <c r="K584" s="14" t="n"/>
      <c r="L584" s="19">
        <f>IF($D584="","",ROUND(IF($J584="",1,$J584)*N($K584),2))</f>
        <v/>
      </c>
      <c r="M584" s="13" t="n"/>
      <c r="N584" s="17">
        <f>IF($D584="","",IF(ISNA(MATCH($D584,项目名表,0)),"※项目不在项目台账里",IF($F584="※材料类别没选","※材料类别没选",IF(AND($C584&lt;&gt;"",ISNA(MATCH($C584,供应商表,0))),"※供应商不在基础资料里",""))))</f>
        <v/>
      </c>
    </row>
    <row r="585">
      <c r="A585" s="17">
        <f>IF($D585="","",ROW()-3)</f>
        <v/>
      </c>
      <c r="B585" s="18" t="n"/>
      <c r="C585" s="13" t="n"/>
      <c r="D585" s="13" t="n"/>
      <c r="E585" s="13" t="n"/>
      <c r="F585" s="17">
        <f>IF($D585="","",IFERROR(VLOOKUP($E585,材料归属,2,0),"※材料类别没选"))</f>
        <v/>
      </c>
      <c r="G585" s="13" t="n"/>
      <c r="H585" s="13" t="n"/>
      <c r="I585" s="13" t="n"/>
      <c r="J585" s="20" t="n"/>
      <c r="K585" s="14" t="n"/>
      <c r="L585" s="19">
        <f>IF($D585="","",ROUND(IF($J585="",1,$J585)*N($K585),2))</f>
        <v/>
      </c>
      <c r="M585" s="13" t="n"/>
      <c r="N585" s="17">
        <f>IF($D585="","",IF(ISNA(MATCH($D585,项目名表,0)),"※项目不在项目台账里",IF($F585="※材料类别没选","※材料类别没选",IF(AND($C585&lt;&gt;"",ISNA(MATCH($C585,供应商表,0))),"※供应商不在基础资料里",""))))</f>
        <v/>
      </c>
    </row>
    <row r="586">
      <c r="A586" s="17">
        <f>IF($D586="","",ROW()-3)</f>
        <v/>
      </c>
      <c r="B586" s="18" t="n"/>
      <c r="C586" s="13" t="n"/>
      <c r="D586" s="13" t="n"/>
      <c r="E586" s="13" t="n"/>
      <c r="F586" s="17">
        <f>IF($D586="","",IFERROR(VLOOKUP($E586,材料归属,2,0),"※材料类别没选"))</f>
        <v/>
      </c>
      <c r="G586" s="13" t="n"/>
      <c r="H586" s="13" t="n"/>
      <c r="I586" s="13" t="n"/>
      <c r="J586" s="20" t="n"/>
      <c r="K586" s="14" t="n"/>
      <c r="L586" s="19">
        <f>IF($D586="","",ROUND(IF($J586="",1,$J586)*N($K586),2))</f>
        <v/>
      </c>
      <c r="M586" s="13" t="n"/>
      <c r="N586" s="17">
        <f>IF($D586="","",IF(ISNA(MATCH($D586,项目名表,0)),"※项目不在项目台账里",IF($F586="※材料类别没选","※材料类别没选",IF(AND($C586&lt;&gt;"",ISNA(MATCH($C586,供应商表,0))),"※供应商不在基础资料里",""))))</f>
        <v/>
      </c>
    </row>
    <row r="587">
      <c r="A587" s="17">
        <f>IF($D587="","",ROW()-3)</f>
        <v/>
      </c>
      <c r="B587" s="18" t="n"/>
      <c r="C587" s="13" t="n"/>
      <c r="D587" s="13" t="n"/>
      <c r="E587" s="13" t="n"/>
      <c r="F587" s="17">
        <f>IF($D587="","",IFERROR(VLOOKUP($E587,材料归属,2,0),"※材料类别没选"))</f>
        <v/>
      </c>
      <c r="G587" s="13" t="n"/>
      <c r="H587" s="13" t="n"/>
      <c r="I587" s="13" t="n"/>
      <c r="J587" s="20" t="n"/>
      <c r="K587" s="14" t="n"/>
      <c r="L587" s="19">
        <f>IF($D587="","",ROUND(IF($J587="",1,$J587)*N($K587),2))</f>
        <v/>
      </c>
      <c r="M587" s="13" t="n"/>
      <c r="N587" s="17">
        <f>IF($D587="","",IF(ISNA(MATCH($D587,项目名表,0)),"※项目不在项目台账里",IF($F587="※材料类别没选","※材料类别没选",IF(AND($C587&lt;&gt;"",ISNA(MATCH($C587,供应商表,0))),"※供应商不在基础资料里",""))))</f>
        <v/>
      </c>
    </row>
    <row r="588">
      <c r="A588" s="17">
        <f>IF($D588="","",ROW()-3)</f>
        <v/>
      </c>
      <c r="B588" s="18" t="n"/>
      <c r="C588" s="13" t="n"/>
      <c r="D588" s="13" t="n"/>
      <c r="E588" s="13" t="n"/>
      <c r="F588" s="17">
        <f>IF($D588="","",IFERROR(VLOOKUP($E588,材料归属,2,0),"※材料类别没选"))</f>
        <v/>
      </c>
      <c r="G588" s="13" t="n"/>
      <c r="H588" s="13" t="n"/>
      <c r="I588" s="13" t="n"/>
      <c r="J588" s="20" t="n"/>
      <c r="K588" s="14" t="n"/>
      <c r="L588" s="19">
        <f>IF($D588="","",ROUND(IF($J588="",1,$J588)*N($K588),2))</f>
        <v/>
      </c>
      <c r="M588" s="13" t="n"/>
      <c r="N588" s="17">
        <f>IF($D588="","",IF(ISNA(MATCH($D588,项目名表,0)),"※项目不在项目台账里",IF($F588="※材料类别没选","※材料类别没选",IF(AND($C588&lt;&gt;"",ISNA(MATCH($C588,供应商表,0))),"※供应商不在基础资料里",""))))</f>
        <v/>
      </c>
    </row>
    <row r="589">
      <c r="A589" s="17">
        <f>IF($D589="","",ROW()-3)</f>
        <v/>
      </c>
      <c r="B589" s="18" t="n"/>
      <c r="C589" s="13" t="n"/>
      <c r="D589" s="13" t="n"/>
      <c r="E589" s="13" t="n"/>
      <c r="F589" s="17">
        <f>IF($D589="","",IFERROR(VLOOKUP($E589,材料归属,2,0),"※材料类别没选"))</f>
        <v/>
      </c>
      <c r="G589" s="13" t="n"/>
      <c r="H589" s="13" t="n"/>
      <c r="I589" s="13" t="n"/>
      <c r="J589" s="20" t="n"/>
      <c r="K589" s="14" t="n"/>
      <c r="L589" s="19">
        <f>IF($D589="","",ROUND(IF($J589="",1,$J589)*N($K589),2))</f>
        <v/>
      </c>
      <c r="M589" s="13" t="n"/>
      <c r="N589" s="17">
        <f>IF($D589="","",IF(ISNA(MATCH($D589,项目名表,0)),"※项目不在项目台账里",IF($F589="※材料类别没选","※材料类别没选",IF(AND($C589&lt;&gt;"",ISNA(MATCH($C589,供应商表,0))),"※供应商不在基础资料里",""))))</f>
        <v/>
      </c>
    </row>
    <row r="590">
      <c r="A590" s="17">
        <f>IF($D590="","",ROW()-3)</f>
        <v/>
      </c>
      <c r="B590" s="18" t="n"/>
      <c r="C590" s="13" t="n"/>
      <c r="D590" s="13" t="n"/>
      <c r="E590" s="13" t="n"/>
      <c r="F590" s="17">
        <f>IF($D590="","",IFERROR(VLOOKUP($E590,材料归属,2,0),"※材料类别没选"))</f>
        <v/>
      </c>
      <c r="G590" s="13" t="n"/>
      <c r="H590" s="13" t="n"/>
      <c r="I590" s="13" t="n"/>
      <c r="J590" s="20" t="n"/>
      <c r="K590" s="14" t="n"/>
      <c r="L590" s="19">
        <f>IF($D590="","",ROUND(IF($J590="",1,$J590)*N($K590),2))</f>
        <v/>
      </c>
      <c r="M590" s="13" t="n"/>
      <c r="N590" s="17">
        <f>IF($D590="","",IF(ISNA(MATCH($D590,项目名表,0)),"※项目不在项目台账里",IF($F590="※材料类别没选","※材料类别没选",IF(AND($C590&lt;&gt;"",ISNA(MATCH($C590,供应商表,0))),"※供应商不在基础资料里",""))))</f>
        <v/>
      </c>
    </row>
    <row r="591">
      <c r="A591" s="17">
        <f>IF($D591="","",ROW()-3)</f>
        <v/>
      </c>
      <c r="B591" s="18" t="n"/>
      <c r="C591" s="13" t="n"/>
      <c r="D591" s="13" t="n"/>
      <c r="E591" s="13" t="n"/>
      <c r="F591" s="17">
        <f>IF($D591="","",IFERROR(VLOOKUP($E591,材料归属,2,0),"※材料类别没选"))</f>
        <v/>
      </c>
      <c r="G591" s="13" t="n"/>
      <c r="H591" s="13" t="n"/>
      <c r="I591" s="13" t="n"/>
      <c r="J591" s="20" t="n"/>
      <c r="K591" s="14" t="n"/>
      <c r="L591" s="19">
        <f>IF($D591="","",ROUND(IF($J591="",1,$J591)*N($K591),2))</f>
        <v/>
      </c>
      <c r="M591" s="13" t="n"/>
      <c r="N591" s="17">
        <f>IF($D591="","",IF(ISNA(MATCH($D591,项目名表,0)),"※项目不在项目台账里",IF($F591="※材料类别没选","※材料类别没选",IF(AND($C591&lt;&gt;"",ISNA(MATCH($C591,供应商表,0))),"※供应商不在基础资料里",""))))</f>
        <v/>
      </c>
    </row>
    <row r="592">
      <c r="A592" s="17">
        <f>IF($D592="","",ROW()-3)</f>
        <v/>
      </c>
      <c r="B592" s="18" t="n"/>
      <c r="C592" s="13" t="n"/>
      <c r="D592" s="13" t="n"/>
      <c r="E592" s="13" t="n"/>
      <c r="F592" s="17">
        <f>IF($D592="","",IFERROR(VLOOKUP($E592,材料归属,2,0),"※材料类别没选"))</f>
        <v/>
      </c>
      <c r="G592" s="13" t="n"/>
      <c r="H592" s="13" t="n"/>
      <c r="I592" s="13" t="n"/>
      <c r="J592" s="20" t="n"/>
      <c r="K592" s="14" t="n"/>
      <c r="L592" s="19">
        <f>IF($D592="","",ROUND(IF($J592="",1,$J592)*N($K592),2))</f>
        <v/>
      </c>
      <c r="M592" s="13" t="n"/>
      <c r="N592" s="17">
        <f>IF($D592="","",IF(ISNA(MATCH($D592,项目名表,0)),"※项目不在项目台账里",IF($F592="※材料类别没选","※材料类别没选",IF(AND($C592&lt;&gt;"",ISNA(MATCH($C592,供应商表,0))),"※供应商不在基础资料里",""))))</f>
        <v/>
      </c>
    </row>
    <row r="593">
      <c r="A593" s="17">
        <f>IF($D593="","",ROW()-3)</f>
        <v/>
      </c>
      <c r="B593" s="18" t="n"/>
      <c r="C593" s="13" t="n"/>
      <c r="D593" s="13" t="n"/>
      <c r="E593" s="13" t="n"/>
      <c r="F593" s="17">
        <f>IF($D593="","",IFERROR(VLOOKUP($E593,材料归属,2,0),"※材料类别没选"))</f>
        <v/>
      </c>
      <c r="G593" s="13" t="n"/>
      <c r="H593" s="13" t="n"/>
      <c r="I593" s="13" t="n"/>
      <c r="J593" s="20" t="n"/>
      <c r="K593" s="14" t="n"/>
      <c r="L593" s="19">
        <f>IF($D593="","",ROUND(IF($J593="",1,$J593)*N($K593),2))</f>
        <v/>
      </c>
      <c r="M593" s="13" t="n"/>
      <c r="N593" s="17">
        <f>IF($D593="","",IF(ISNA(MATCH($D593,项目名表,0)),"※项目不在项目台账里",IF($F593="※材料类别没选","※材料类别没选",IF(AND($C593&lt;&gt;"",ISNA(MATCH($C593,供应商表,0))),"※供应商不在基础资料里",""))))</f>
        <v/>
      </c>
    </row>
    <row r="594">
      <c r="A594" s="17">
        <f>IF($D594="","",ROW()-3)</f>
        <v/>
      </c>
      <c r="B594" s="18" t="n"/>
      <c r="C594" s="13" t="n"/>
      <c r="D594" s="13" t="n"/>
      <c r="E594" s="13" t="n"/>
      <c r="F594" s="17">
        <f>IF($D594="","",IFERROR(VLOOKUP($E594,材料归属,2,0),"※材料类别没选"))</f>
        <v/>
      </c>
      <c r="G594" s="13" t="n"/>
      <c r="H594" s="13" t="n"/>
      <c r="I594" s="13" t="n"/>
      <c r="J594" s="20" t="n"/>
      <c r="K594" s="14" t="n"/>
      <c r="L594" s="19">
        <f>IF($D594="","",ROUND(IF($J594="",1,$J594)*N($K594),2))</f>
        <v/>
      </c>
      <c r="M594" s="13" t="n"/>
      <c r="N594" s="17">
        <f>IF($D594="","",IF(ISNA(MATCH($D594,项目名表,0)),"※项目不在项目台账里",IF($F594="※材料类别没选","※材料类别没选",IF(AND($C594&lt;&gt;"",ISNA(MATCH($C594,供应商表,0))),"※供应商不在基础资料里",""))))</f>
        <v/>
      </c>
    </row>
    <row r="595">
      <c r="A595" s="17">
        <f>IF($D595="","",ROW()-3)</f>
        <v/>
      </c>
      <c r="B595" s="18" t="n"/>
      <c r="C595" s="13" t="n"/>
      <c r="D595" s="13" t="n"/>
      <c r="E595" s="13" t="n"/>
      <c r="F595" s="17">
        <f>IF($D595="","",IFERROR(VLOOKUP($E595,材料归属,2,0),"※材料类别没选"))</f>
        <v/>
      </c>
      <c r="G595" s="13" t="n"/>
      <c r="H595" s="13" t="n"/>
      <c r="I595" s="13" t="n"/>
      <c r="J595" s="20" t="n"/>
      <c r="K595" s="14" t="n"/>
      <c r="L595" s="19">
        <f>IF($D595="","",ROUND(IF($J595="",1,$J595)*N($K595),2))</f>
        <v/>
      </c>
      <c r="M595" s="13" t="n"/>
      <c r="N595" s="17">
        <f>IF($D595="","",IF(ISNA(MATCH($D595,项目名表,0)),"※项目不在项目台账里",IF($F595="※材料类别没选","※材料类别没选",IF(AND($C595&lt;&gt;"",ISNA(MATCH($C595,供应商表,0))),"※供应商不在基础资料里",""))))</f>
        <v/>
      </c>
    </row>
    <row r="596">
      <c r="A596" s="17">
        <f>IF($D596="","",ROW()-3)</f>
        <v/>
      </c>
      <c r="B596" s="18" t="n"/>
      <c r="C596" s="13" t="n"/>
      <c r="D596" s="13" t="n"/>
      <c r="E596" s="13" t="n"/>
      <c r="F596" s="17">
        <f>IF($D596="","",IFERROR(VLOOKUP($E596,材料归属,2,0),"※材料类别没选"))</f>
        <v/>
      </c>
      <c r="G596" s="13" t="n"/>
      <c r="H596" s="13" t="n"/>
      <c r="I596" s="13" t="n"/>
      <c r="J596" s="20" t="n"/>
      <c r="K596" s="14" t="n"/>
      <c r="L596" s="19">
        <f>IF($D596="","",ROUND(IF($J596="",1,$J596)*N($K596),2))</f>
        <v/>
      </c>
      <c r="M596" s="13" t="n"/>
      <c r="N596" s="17">
        <f>IF($D596="","",IF(ISNA(MATCH($D596,项目名表,0)),"※项目不在项目台账里",IF($F596="※材料类别没选","※材料类别没选",IF(AND($C596&lt;&gt;"",ISNA(MATCH($C596,供应商表,0))),"※供应商不在基础资料里",""))))</f>
        <v/>
      </c>
    </row>
    <row r="597">
      <c r="A597" s="17">
        <f>IF($D597="","",ROW()-3)</f>
        <v/>
      </c>
      <c r="B597" s="18" t="n"/>
      <c r="C597" s="13" t="n"/>
      <c r="D597" s="13" t="n"/>
      <c r="E597" s="13" t="n"/>
      <c r="F597" s="17">
        <f>IF($D597="","",IFERROR(VLOOKUP($E597,材料归属,2,0),"※材料类别没选"))</f>
        <v/>
      </c>
      <c r="G597" s="13" t="n"/>
      <c r="H597" s="13" t="n"/>
      <c r="I597" s="13" t="n"/>
      <c r="J597" s="20" t="n"/>
      <c r="K597" s="14" t="n"/>
      <c r="L597" s="19">
        <f>IF($D597="","",ROUND(IF($J597="",1,$J597)*N($K597),2))</f>
        <v/>
      </c>
      <c r="M597" s="13" t="n"/>
      <c r="N597" s="17">
        <f>IF($D597="","",IF(ISNA(MATCH($D597,项目名表,0)),"※项目不在项目台账里",IF($F597="※材料类别没选","※材料类别没选",IF(AND($C597&lt;&gt;"",ISNA(MATCH($C597,供应商表,0))),"※供应商不在基础资料里",""))))</f>
        <v/>
      </c>
    </row>
    <row r="598">
      <c r="A598" s="17">
        <f>IF($D598="","",ROW()-3)</f>
        <v/>
      </c>
      <c r="B598" s="18" t="n"/>
      <c r="C598" s="13" t="n"/>
      <c r="D598" s="13" t="n"/>
      <c r="E598" s="13" t="n"/>
      <c r="F598" s="17">
        <f>IF($D598="","",IFERROR(VLOOKUP($E598,材料归属,2,0),"※材料类别没选"))</f>
        <v/>
      </c>
      <c r="G598" s="13" t="n"/>
      <c r="H598" s="13" t="n"/>
      <c r="I598" s="13" t="n"/>
      <c r="J598" s="20" t="n"/>
      <c r="K598" s="14" t="n"/>
      <c r="L598" s="19">
        <f>IF($D598="","",ROUND(IF($J598="",1,$J598)*N($K598),2))</f>
        <v/>
      </c>
      <c r="M598" s="13" t="n"/>
      <c r="N598" s="17">
        <f>IF($D598="","",IF(ISNA(MATCH($D598,项目名表,0)),"※项目不在项目台账里",IF($F598="※材料类别没选","※材料类别没选",IF(AND($C598&lt;&gt;"",ISNA(MATCH($C598,供应商表,0))),"※供应商不在基础资料里",""))))</f>
        <v/>
      </c>
    </row>
    <row r="599">
      <c r="A599" s="17">
        <f>IF($D599="","",ROW()-3)</f>
        <v/>
      </c>
      <c r="B599" s="18" t="n"/>
      <c r="C599" s="13" t="n"/>
      <c r="D599" s="13" t="n"/>
      <c r="E599" s="13" t="n"/>
      <c r="F599" s="17">
        <f>IF($D599="","",IFERROR(VLOOKUP($E599,材料归属,2,0),"※材料类别没选"))</f>
        <v/>
      </c>
      <c r="G599" s="13" t="n"/>
      <c r="H599" s="13" t="n"/>
      <c r="I599" s="13" t="n"/>
      <c r="J599" s="20" t="n"/>
      <c r="K599" s="14" t="n"/>
      <c r="L599" s="19">
        <f>IF($D599="","",ROUND(IF($J599="",1,$J599)*N($K599),2))</f>
        <v/>
      </c>
      <c r="M599" s="13" t="n"/>
      <c r="N599" s="17">
        <f>IF($D599="","",IF(ISNA(MATCH($D599,项目名表,0)),"※项目不在项目台账里",IF($F599="※材料类别没选","※材料类别没选",IF(AND($C599&lt;&gt;"",ISNA(MATCH($C599,供应商表,0))),"※供应商不在基础资料里",""))))</f>
        <v/>
      </c>
    </row>
    <row r="600">
      <c r="A600" s="17">
        <f>IF($D600="","",ROW()-3)</f>
        <v/>
      </c>
      <c r="B600" s="18" t="n"/>
      <c r="C600" s="13" t="n"/>
      <c r="D600" s="13" t="n"/>
      <c r="E600" s="13" t="n"/>
      <c r="F600" s="17">
        <f>IF($D600="","",IFERROR(VLOOKUP($E600,材料归属,2,0),"※材料类别没选"))</f>
        <v/>
      </c>
      <c r="G600" s="13" t="n"/>
      <c r="H600" s="13" t="n"/>
      <c r="I600" s="13" t="n"/>
      <c r="J600" s="20" t="n"/>
      <c r="K600" s="14" t="n"/>
      <c r="L600" s="19">
        <f>IF($D600="","",ROUND(IF($J600="",1,$J600)*N($K600),2))</f>
        <v/>
      </c>
      <c r="M600" s="13" t="n"/>
      <c r="N600" s="17">
        <f>IF($D600="","",IF(ISNA(MATCH($D600,项目名表,0)),"※项目不在项目台账里",IF($F600="※材料类别没选","※材料类别没选",IF(AND($C600&lt;&gt;"",ISNA(MATCH($C600,供应商表,0))),"※供应商不在基础资料里",""))))</f>
        <v/>
      </c>
    </row>
    <row r="601">
      <c r="A601" s="17">
        <f>IF($D601="","",ROW()-3)</f>
        <v/>
      </c>
      <c r="B601" s="18" t="n"/>
      <c r="C601" s="13" t="n"/>
      <c r="D601" s="13" t="n"/>
      <c r="E601" s="13" t="n"/>
      <c r="F601" s="17">
        <f>IF($D601="","",IFERROR(VLOOKUP($E601,材料归属,2,0),"※材料类别没选"))</f>
        <v/>
      </c>
      <c r="G601" s="13" t="n"/>
      <c r="H601" s="13" t="n"/>
      <c r="I601" s="13" t="n"/>
      <c r="J601" s="20" t="n"/>
      <c r="K601" s="14" t="n"/>
      <c r="L601" s="19">
        <f>IF($D601="","",ROUND(IF($J601="",1,$J601)*N($K601),2))</f>
        <v/>
      </c>
      <c r="M601" s="13" t="n"/>
      <c r="N601" s="17">
        <f>IF($D601="","",IF(ISNA(MATCH($D601,项目名表,0)),"※项目不在项目台账里",IF($F601="※材料类别没选","※材料类别没选",IF(AND($C601&lt;&gt;"",ISNA(MATCH($C601,供应商表,0))),"※供应商不在基础资料里",""))))</f>
        <v/>
      </c>
    </row>
    <row r="602">
      <c r="A602" s="17">
        <f>IF($D602="","",ROW()-3)</f>
        <v/>
      </c>
      <c r="B602" s="18" t="n"/>
      <c r="C602" s="13" t="n"/>
      <c r="D602" s="13" t="n"/>
      <c r="E602" s="13" t="n"/>
      <c r="F602" s="17">
        <f>IF($D602="","",IFERROR(VLOOKUP($E602,材料归属,2,0),"※材料类别没选"))</f>
        <v/>
      </c>
      <c r="G602" s="13" t="n"/>
      <c r="H602" s="13" t="n"/>
      <c r="I602" s="13" t="n"/>
      <c r="J602" s="20" t="n"/>
      <c r="K602" s="14" t="n"/>
      <c r="L602" s="19">
        <f>IF($D602="","",ROUND(IF($J602="",1,$J602)*N($K602),2))</f>
        <v/>
      </c>
      <c r="M602" s="13" t="n"/>
      <c r="N602" s="17">
        <f>IF($D602="","",IF(ISNA(MATCH($D602,项目名表,0)),"※项目不在项目台账里",IF($F602="※材料类别没选","※材料类别没选",IF(AND($C602&lt;&gt;"",ISNA(MATCH($C602,供应商表,0))),"※供应商不在基础资料里",""))))</f>
        <v/>
      </c>
    </row>
    <row r="603">
      <c r="A603" s="17">
        <f>IF($D603="","",ROW()-3)</f>
        <v/>
      </c>
      <c r="B603" s="18" t="n"/>
      <c r="C603" s="13" t="n"/>
      <c r="D603" s="13" t="n"/>
      <c r="E603" s="13" t="n"/>
      <c r="F603" s="17">
        <f>IF($D603="","",IFERROR(VLOOKUP($E603,材料归属,2,0),"※材料类别没选"))</f>
        <v/>
      </c>
      <c r="G603" s="13" t="n"/>
      <c r="H603" s="13" t="n"/>
      <c r="I603" s="13" t="n"/>
      <c r="J603" s="20" t="n"/>
      <c r="K603" s="14" t="n"/>
      <c r="L603" s="19">
        <f>IF($D603="","",ROUND(IF($J603="",1,$J603)*N($K603),2))</f>
        <v/>
      </c>
      <c r="M603" s="13" t="n"/>
      <c r="N603" s="17">
        <f>IF($D603="","",IF(ISNA(MATCH($D603,项目名表,0)),"※项目不在项目台账里",IF($F603="※材料类别没选","※材料类别没选",IF(AND($C603&lt;&gt;"",ISNA(MATCH($C603,供应商表,0))),"※供应商不在基础资料里",""))))</f>
        <v/>
      </c>
    </row>
    <row r="604">
      <c r="A604" s="17">
        <f>IF($D604="","",ROW()-3)</f>
        <v/>
      </c>
      <c r="B604" s="18" t="n"/>
      <c r="C604" s="13" t="n"/>
      <c r="D604" s="13" t="n"/>
      <c r="E604" s="13" t="n"/>
      <c r="F604" s="17">
        <f>IF($D604="","",IFERROR(VLOOKUP($E604,材料归属,2,0),"※材料类别没选"))</f>
        <v/>
      </c>
      <c r="G604" s="13" t="n"/>
      <c r="H604" s="13" t="n"/>
      <c r="I604" s="13" t="n"/>
      <c r="J604" s="20" t="n"/>
      <c r="K604" s="14" t="n"/>
      <c r="L604" s="19">
        <f>IF($D604="","",ROUND(IF($J604="",1,$J604)*N($K604),2))</f>
        <v/>
      </c>
      <c r="M604" s="13" t="n"/>
      <c r="N604" s="17">
        <f>IF($D604="","",IF(ISNA(MATCH($D604,项目名表,0)),"※项目不在项目台账里",IF($F604="※材料类别没选","※材料类别没选",IF(AND($C604&lt;&gt;"",ISNA(MATCH($C604,供应商表,0))),"※供应商不在基础资料里",""))))</f>
        <v/>
      </c>
    </row>
    <row r="605">
      <c r="A605" s="17">
        <f>IF($D605="","",ROW()-3)</f>
        <v/>
      </c>
      <c r="B605" s="18" t="n"/>
      <c r="C605" s="13" t="n"/>
      <c r="D605" s="13" t="n"/>
      <c r="E605" s="13" t="n"/>
      <c r="F605" s="17">
        <f>IF($D605="","",IFERROR(VLOOKUP($E605,材料归属,2,0),"※材料类别没选"))</f>
        <v/>
      </c>
      <c r="G605" s="13" t="n"/>
      <c r="H605" s="13" t="n"/>
      <c r="I605" s="13" t="n"/>
      <c r="J605" s="20" t="n"/>
      <c r="K605" s="14" t="n"/>
      <c r="L605" s="19">
        <f>IF($D605="","",ROUND(IF($J605="",1,$J605)*N($K605),2))</f>
        <v/>
      </c>
      <c r="M605" s="13" t="n"/>
      <c r="N605" s="17">
        <f>IF($D605="","",IF(ISNA(MATCH($D605,项目名表,0)),"※项目不在项目台账里",IF($F605="※材料类别没选","※材料类别没选",IF(AND($C605&lt;&gt;"",ISNA(MATCH($C605,供应商表,0))),"※供应商不在基础资料里",""))))</f>
        <v/>
      </c>
    </row>
    <row r="606">
      <c r="A606" s="17">
        <f>IF($D606="","",ROW()-3)</f>
        <v/>
      </c>
      <c r="B606" s="18" t="n"/>
      <c r="C606" s="13" t="n"/>
      <c r="D606" s="13" t="n"/>
      <c r="E606" s="13" t="n"/>
      <c r="F606" s="17">
        <f>IF($D606="","",IFERROR(VLOOKUP($E606,材料归属,2,0),"※材料类别没选"))</f>
        <v/>
      </c>
      <c r="G606" s="13" t="n"/>
      <c r="H606" s="13" t="n"/>
      <c r="I606" s="13" t="n"/>
      <c r="J606" s="20" t="n"/>
      <c r="K606" s="14" t="n"/>
      <c r="L606" s="19">
        <f>IF($D606="","",ROUND(IF($J606="",1,$J606)*N($K606),2))</f>
        <v/>
      </c>
      <c r="M606" s="13" t="n"/>
      <c r="N606" s="17">
        <f>IF($D606="","",IF(ISNA(MATCH($D606,项目名表,0)),"※项目不在项目台账里",IF($F606="※材料类别没选","※材料类别没选",IF(AND($C606&lt;&gt;"",ISNA(MATCH($C606,供应商表,0))),"※供应商不在基础资料里",""))))</f>
        <v/>
      </c>
    </row>
    <row r="607">
      <c r="A607" s="17">
        <f>IF($D607="","",ROW()-3)</f>
        <v/>
      </c>
      <c r="B607" s="18" t="n"/>
      <c r="C607" s="13" t="n"/>
      <c r="D607" s="13" t="n"/>
      <c r="E607" s="13" t="n"/>
      <c r="F607" s="17">
        <f>IF($D607="","",IFERROR(VLOOKUP($E607,材料归属,2,0),"※材料类别没选"))</f>
        <v/>
      </c>
      <c r="G607" s="13" t="n"/>
      <c r="H607" s="13" t="n"/>
      <c r="I607" s="13" t="n"/>
      <c r="J607" s="20" t="n"/>
      <c r="K607" s="14" t="n"/>
      <c r="L607" s="19">
        <f>IF($D607="","",ROUND(IF($J607="",1,$J607)*N($K607),2))</f>
        <v/>
      </c>
      <c r="M607" s="13" t="n"/>
      <c r="N607" s="17">
        <f>IF($D607="","",IF(ISNA(MATCH($D607,项目名表,0)),"※项目不在项目台账里",IF($F607="※材料类别没选","※材料类别没选",IF(AND($C607&lt;&gt;"",ISNA(MATCH($C607,供应商表,0))),"※供应商不在基础资料里",""))))</f>
        <v/>
      </c>
    </row>
    <row r="608">
      <c r="A608" s="17">
        <f>IF($D608="","",ROW()-3)</f>
        <v/>
      </c>
      <c r="B608" s="18" t="n"/>
      <c r="C608" s="13" t="n"/>
      <c r="D608" s="13" t="n"/>
      <c r="E608" s="13" t="n"/>
      <c r="F608" s="17">
        <f>IF($D608="","",IFERROR(VLOOKUP($E608,材料归属,2,0),"※材料类别没选"))</f>
        <v/>
      </c>
      <c r="G608" s="13" t="n"/>
      <c r="H608" s="13" t="n"/>
      <c r="I608" s="13" t="n"/>
      <c r="J608" s="20" t="n"/>
      <c r="K608" s="14" t="n"/>
      <c r="L608" s="19">
        <f>IF($D608="","",ROUND(IF($J608="",1,$J608)*N($K608),2))</f>
        <v/>
      </c>
      <c r="M608" s="13" t="n"/>
      <c r="N608" s="17">
        <f>IF($D608="","",IF(ISNA(MATCH($D608,项目名表,0)),"※项目不在项目台账里",IF($F608="※材料类别没选","※材料类别没选",IF(AND($C608&lt;&gt;"",ISNA(MATCH($C608,供应商表,0))),"※供应商不在基础资料里",""))))</f>
        <v/>
      </c>
    </row>
    <row r="609">
      <c r="A609" s="17">
        <f>IF($D609="","",ROW()-3)</f>
        <v/>
      </c>
      <c r="B609" s="18" t="n"/>
      <c r="C609" s="13" t="n"/>
      <c r="D609" s="13" t="n"/>
      <c r="E609" s="13" t="n"/>
      <c r="F609" s="17">
        <f>IF($D609="","",IFERROR(VLOOKUP($E609,材料归属,2,0),"※材料类别没选"))</f>
        <v/>
      </c>
      <c r="G609" s="13" t="n"/>
      <c r="H609" s="13" t="n"/>
      <c r="I609" s="13" t="n"/>
      <c r="J609" s="20" t="n"/>
      <c r="K609" s="14" t="n"/>
      <c r="L609" s="19">
        <f>IF($D609="","",ROUND(IF($J609="",1,$J609)*N($K609),2))</f>
        <v/>
      </c>
      <c r="M609" s="13" t="n"/>
      <c r="N609" s="17">
        <f>IF($D609="","",IF(ISNA(MATCH($D609,项目名表,0)),"※项目不在项目台账里",IF($F609="※材料类别没选","※材料类别没选",IF(AND($C609&lt;&gt;"",ISNA(MATCH($C609,供应商表,0))),"※供应商不在基础资料里",""))))</f>
        <v/>
      </c>
    </row>
    <row r="610">
      <c r="A610" s="17">
        <f>IF($D610="","",ROW()-3)</f>
        <v/>
      </c>
      <c r="B610" s="18" t="n"/>
      <c r="C610" s="13" t="n"/>
      <c r="D610" s="13" t="n"/>
      <c r="E610" s="13" t="n"/>
      <c r="F610" s="17">
        <f>IF($D610="","",IFERROR(VLOOKUP($E610,材料归属,2,0),"※材料类别没选"))</f>
        <v/>
      </c>
      <c r="G610" s="13" t="n"/>
      <c r="H610" s="13" t="n"/>
      <c r="I610" s="13" t="n"/>
      <c r="J610" s="20" t="n"/>
      <c r="K610" s="14" t="n"/>
      <c r="L610" s="19">
        <f>IF($D610="","",ROUND(IF($J610="",1,$J610)*N($K610),2))</f>
        <v/>
      </c>
      <c r="M610" s="13" t="n"/>
      <c r="N610" s="17">
        <f>IF($D610="","",IF(ISNA(MATCH($D610,项目名表,0)),"※项目不在项目台账里",IF($F610="※材料类别没选","※材料类别没选",IF(AND($C610&lt;&gt;"",ISNA(MATCH($C610,供应商表,0))),"※供应商不在基础资料里",""))))</f>
        <v/>
      </c>
    </row>
    <row r="611">
      <c r="A611" s="17">
        <f>IF($D611="","",ROW()-3)</f>
        <v/>
      </c>
      <c r="B611" s="18" t="n"/>
      <c r="C611" s="13" t="n"/>
      <c r="D611" s="13" t="n"/>
      <c r="E611" s="13" t="n"/>
      <c r="F611" s="17">
        <f>IF($D611="","",IFERROR(VLOOKUP($E611,材料归属,2,0),"※材料类别没选"))</f>
        <v/>
      </c>
      <c r="G611" s="13" t="n"/>
      <c r="H611" s="13" t="n"/>
      <c r="I611" s="13" t="n"/>
      <c r="J611" s="20" t="n"/>
      <c r="K611" s="14" t="n"/>
      <c r="L611" s="19">
        <f>IF($D611="","",ROUND(IF($J611="",1,$J611)*N($K611),2))</f>
        <v/>
      </c>
      <c r="M611" s="13" t="n"/>
      <c r="N611" s="17">
        <f>IF($D611="","",IF(ISNA(MATCH($D611,项目名表,0)),"※项目不在项目台账里",IF($F611="※材料类别没选","※材料类别没选",IF(AND($C611&lt;&gt;"",ISNA(MATCH($C611,供应商表,0))),"※供应商不在基础资料里",""))))</f>
        <v/>
      </c>
    </row>
    <row r="612">
      <c r="A612" s="17">
        <f>IF($D612="","",ROW()-3)</f>
        <v/>
      </c>
      <c r="B612" s="18" t="n"/>
      <c r="C612" s="13" t="n"/>
      <c r="D612" s="13" t="n"/>
      <c r="E612" s="13" t="n"/>
      <c r="F612" s="17">
        <f>IF($D612="","",IFERROR(VLOOKUP($E612,材料归属,2,0),"※材料类别没选"))</f>
        <v/>
      </c>
      <c r="G612" s="13" t="n"/>
      <c r="H612" s="13" t="n"/>
      <c r="I612" s="13" t="n"/>
      <c r="J612" s="20" t="n"/>
      <c r="K612" s="14" t="n"/>
      <c r="L612" s="19">
        <f>IF($D612="","",ROUND(IF($J612="",1,$J612)*N($K612),2))</f>
        <v/>
      </c>
      <c r="M612" s="13" t="n"/>
      <c r="N612" s="17">
        <f>IF($D612="","",IF(ISNA(MATCH($D612,项目名表,0)),"※项目不在项目台账里",IF($F612="※材料类别没选","※材料类别没选",IF(AND($C612&lt;&gt;"",ISNA(MATCH($C612,供应商表,0))),"※供应商不在基础资料里",""))))</f>
        <v/>
      </c>
    </row>
    <row r="613">
      <c r="A613" s="17">
        <f>IF($D613="","",ROW()-3)</f>
        <v/>
      </c>
      <c r="B613" s="18" t="n"/>
      <c r="C613" s="13" t="n"/>
      <c r="D613" s="13" t="n"/>
      <c r="E613" s="13" t="n"/>
      <c r="F613" s="17">
        <f>IF($D613="","",IFERROR(VLOOKUP($E613,材料归属,2,0),"※材料类别没选"))</f>
        <v/>
      </c>
      <c r="G613" s="13" t="n"/>
      <c r="H613" s="13" t="n"/>
      <c r="I613" s="13" t="n"/>
      <c r="J613" s="20" t="n"/>
      <c r="K613" s="14" t="n"/>
      <c r="L613" s="19">
        <f>IF($D613="","",ROUND(IF($J613="",1,$J613)*N($K613),2))</f>
        <v/>
      </c>
      <c r="M613" s="13" t="n"/>
      <c r="N613" s="17">
        <f>IF($D613="","",IF(ISNA(MATCH($D613,项目名表,0)),"※项目不在项目台账里",IF($F613="※材料类别没选","※材料类别没选",IF(AND($C613&lt;&gt;"",ISNA(MATCH($C613,供应商表,0))),"※供应商不在基础资料里",""))))</f>
        <v/>
      </c>
    </row>
    <row r="614">
      <c r="A614" s="17">
        <f>IF($D614="","",ROW()-3)</f>
        <v/>
      </c>
      <c r="B614" s="18" t="n"/>
      <c r="C614" s="13" t="n"/>
      <c r="D614" s="13" t="n"/>
      <c r="E614" s="13" t="n"/>
      <c r="F614" s="17">
        <f>IF($D614="","",IFERROR(VLOOKUP($E614,材料归属,2,0),"※材料类别没选"))</f>
        <v/>
      </c>
      <c r="G614" s="13" t="n"/>
      <c r="H614" s="13" t="n"/>
      <c r="I614" s="13" t="n"/>
      <c r="J614" s="20" t="n"/>
      <c r="K614" s="14" t="n"/>
      <c r="L614" s="19">
        <f>IF($D614="","",ROUND(IF($J614="",1,$J614)*N($K614),2))</f>
        <v/>
      </c>
      <c r="M614" s="13" t="n"/>
      <c r="N614" s="17">
        <f>IF($D614="","",IF(ISNA(MATCH($D614,项目名表,0)),"※项目不在项目台账里",IF($F614="※材料类别没选","※材料类别没选",IF(AND($C614&lt;&gt;"",ISNA(MATCH($C614,供应商表,0))),"※供应商不在基础资料里",""))))</f>
        <v/>
      </c>
    </row>
    <row r="615">
      <c r="A615" s="17">
        <f>IF($D615="","",ROW()-3)</f>
        <v/>
      </c>
      <c r="B615" s="18" t="n"/>
      <c r="C615" s="13" t="n"/>
      <c r="D615" s="13" t="n"/>
      <c r="E615" s="13" t="n"/>
      <c r="F615" s="17">
        <f>IF($D615="","",IFERROR(VLOOKUP($E615,材料归属,2,0),"※材料类别没选"))</f>
        <v/>
      </c>
      <c r="G615" s="13" t="n"/>
      <c r="H615" s="13" t="n"/>
      <c r="I615" s="13" t="n"/>
      <c r="J615" s="20" t="n"/>
      <c r="K615" s="14" t="n"/>
      <c r="L615" s="19">
        <f>IF($D615="","",ROUND(IF($J615="",1,$J615)*N($K615),2))</f>
        <v/>
      </c>
      <c r="M615" s="13" t="n"/>
      <c r="N615" s="17">
        <f>IF($D615="","",IF(ISNA(MATCH($D615,项目名表,0)),"※项目不在项目台账里",IF($F615="※材料类别没选","※材料类别没选",IF(AND($C615&lt;&gt;"",ISNA(MATCH($C615,供应商表,0))),"※供应商不在基础资料里",""))))</f>
        <v/>
      </c>
    </row>
    <row r="616">
      <c r="A616" s="17">
        <f>IF($D616="","",ROW()-3)</f>
        <v/>
      </c>
      <c r="B616" s="18" t="n"/>
      <c r="C616" s="13" t="n"/>
      <c r="D616" s="13" t="n"/>
      <c r="E616" s="13" t="n"/>
      <c r="F616" s="17">
        <f>IF($D616="","",IFERROR(VLOOKUP($E616,材料归属,2,0),"※材料类别没选"))</f>
        <v/>
      </c>
      <c r="G616" s="13" t="n"/>
      <c r="H616" s="13" t="n"/>
      <c r="I616" s="13" t="n"/>
      <c r="J616" s="20" t="n"/>
      <c r="K616" s="14" t="n"/>
      <c r="L616" s="19">
        <f>IF($D616="","",ROUND(IF($J616="",1,$J616)*N($K616),2))</f>
        <v/>
      </c>
      <c r="M616" s="13" t="n"/>
      <c r="N616" s="17">
        <f>IF($D616="","",IF(ISNA(MATCH($D616,项目名表,0)),"※项目不在项目台账里",IF($F616="※材料类别没选","※材料类别没选",IF(AND($C616&lt;&gt;"",ISNA(MATCH($C616,供应商表,0))),"※供应商不在基础资料里",""))))</f>
        <v/>
      </c>
    </row>
    <row r="617">
      <c r="A617" s="17">
        <f>IF($D617="","",ROW()-3)</f>
        <v/>
      </c>
      <c r="B617" s="18" t="n"/>
      <c r="C617" s="13" t="n"/>
      <c r="D617" s="13" t="n"/>
      <c r="E617" s="13" t="n"/>
      <c r="F617" s="17">
        <f>IF($D617="","",IFERROR(VLOOKUP($E617,材料归属,2,0),"※材料类别没选"))</f>
        <v/>
      </c>
      <c r="G617" s="13" t="n"/>
      <c r="H617" s="13" t="n"/>
      <c r="I617" s="13" t="n"/>
      <c r="J617" s="20" t="n"/>
      <c r="K617" s="14" t="n"/>
      <c r="L617" s="19">
        <f>IF($D617="","",ROUND(IF($J617="",1,$J617)*N($K617),2))</f>
        <v/>
      </c>
      <c r="M617" s="13" t="n"/>
      <c r="N617" s="17">
        <f>IF($D617="","",IF(ISNA(MATCH($D617,项目名表,0)),"※项目不在项目台账里",IF($F617="※材料类别没选","※材料类别没选",IF(AND($C617&lt;&gt;"",ISNA(MATCH($C617,供应商表,0))),"※供应商不在基础资料里",""))))</f>
        <v/>
      </c>
    </row>
    <row r="618">
      <c r="A618" s="17">
        <f>IF($D618="","",ROW()-3)</f>
        <v/>
      </c>
      <c r="B618" s="18" t="n"/>
      <c r="C618" s="13" t="n"/>
      <c r="D618" s="13" t="n"/>
      <c r="E618" s="13" t="n"/>
      <c r="F618" s="17">
        <f>IF($D618="","",IFERROR(VLOOKUP($E618,材料归属,2,0),"※材料类别没选"))</f>
        <v/>
      </c>
      <c r="G618" s="13" t="n"/>
      <c r="H618" s="13" t="n"/>
      <c r="I618" s="13" t="n"/>
      <c r="J618" s="20" t="n"/>
      <c r="K618" s="14" t="n"/>
      <c r="L618" s="19">
        <f>IF($D618="","",ROUND(IF($J618="",1,$J618)*N($K618),2))</f>
        <v/>
      </c>
      <c r="M618" s="13" t="n"/>
      <c r="N618" s="17">
        <f>IF($D618="","",IF(ISNA(MATCH($D618,项目名表,0)),"※项目不在项目台账里",IF($F618="※材料类别没选","※材料类别没选",IF(AND($C618&lt;&gt;"",ISNA(MATCH($C618,供应商表,0))),"※供应商不在基础资料里",""))))</f>
        <v/>
      </c>
    </row>
    <row r="619">
      <c r="A619" s="17">
        <f>IF($D619="","",ROW()-3)</f>
        <v/>
      </c>
      <c r="B619" s="18" t="n"/>
      <c r="C619" s="13" t="n"/>
      <c r="D619" s="13" t="n"/>
      <c r="E619" s="13" t="n"/>
      <c r="F619" s="17">
        <f>IF($D619="","",IFERROR(VLOOKUP($E619,材料归属,2,0),"※材料类别没选"))</f>
        <v/>
      </c>
      <c r="G619" s="13" t="n"/>
      <c r="H619" s="13" t="n"/>
      <c r="I619" s="13" t="n"/>
      <c r="J619" s="20" t="n"/>
      <c r="K619" s="14" t="n"/>
      <c r="L619" s="19">
        <f>IF($D619="","",ROUND(IF($J619="",1,$J619)*N($K619),2))</f>
        <v/>
      </c>
      <c r="M619" s="13" t="n"/>
      <c r="N619" s="17">
        <f>IF($D619="","",IF(ISNA(MATCH($D619,项目名表,0)),"※项目不在项目台账里",IF($F619="※材料类别没选","※材料类别没选",IF(AND($C619&lt;&gt;"",ISNA(MATCH($C619,供应商表,0))),"※供应商不在基础资料里",""))))</f>
        <v/>
      </c>
    </row>
    <row r="620">
      <c r="A620" s="17">
        <f>IF($D620="","",ROW()-3)</f>
        <v/>
      </c>
      <c r="B620" s="18" t="n"/>
      <c r="C620" s="13" t="n"/>
      <c r="D620" s="13" t="n"/>
      <c r="E620" s="13" t="n"/>
      <c r="F620" s="17">
        <f>IF($D620="","",IFERROR(VLOOKUP($E620,材料归属,2,0),"※材料类别没选"))</f>
        <v/>
      </c>
      <c r="G620" s="13" t="n"/>
      <c r="H620" s="13" t="n"/>
      <c r="I620" s="13" t="n"/>
      <c r="J620" s="20" t="n"/>
      <c r="K620" s="14" t="n"/>
      <c r="L620" s="19">
        <f>IF($D620="","",ROUND(IF($J620="",1,$J620)*N($K620),2))</f>
        <v/>
      </c>
      <c r="M620" s="13" t="n"/>
      <c r="N620" s="17">
        <f>IF($D620="","",IF(ISNA(MATCH($D620,项目名表,0)),"※项目不在项目台账里",IF($F620="※材料类别没选","※材料类别没选",IF(AND($C620&lt;&gt;"",ISNA(MATCH($C620,供应商表,0))),"※供应商不在基础资料里",""))))</f>
        <v/>
      </c>
    </row>
    <row r="621">
      <c r="A621" s="17">
        <f>IF($D621="","",ROW()-3)</f>
        <v/>
      </c>
      <c r="B621" s="18" t="n"/>
      <c r="C621" s="13" t="n"/>
      <c r="D621" s="13" t="n"/>
      <c r="E621" s="13" t="n"/>
      <c r="F621" s="17">
        <f>IF($D621="","",IFERROR(VLOOKUP($E621,材料归属,2,0),"※材料类别没选"))</f>
        <v/>
      </c>
      <c r="G621" s="13" t="n"/>
      <c r="H621" s="13" t="n"/>
      <c r="I621" s="13" t="n"/>
      <c r="J621" s="20" t="n"/>
      <c r="K621" s="14" t="n"/>
      <c r="L621" s="19">
        <f>IF($D621="","",ROUND(IF($J621="",1,$J621)*N($K621),2))</f>
        <v/>
      </c>
      <c r="M621" s="13" t="n"/>
      <c r="N621" s="17">
        <f>IF($D621="","",IF(ISNA(MATCH($D621,项目名表,0)),"※项目不在项目台账里",IF($F621="※材料类别没选","※材料类别没选",IF(AND($C621&lt;&gt;"",ISNA(MATCH($C621,供应商表,0))),"※供应商不在基础资料里",""))))</f>
        <v/>
      </c>
    </row>
    <row r="622">
      <c r="A622" s="17">
        <f>IF($D622="","",ROW()-3)</f>
        <v/>
      </c>
      <c r="B622" s="18" t="n"/>
      <c r="C622" s="13" t="n"/>
      <c r="D622" s="13" t="n"/>
      <c r="E622" s="13" t="n"/>
      <c r="F622" s="17">
        <f>IF($D622="","",IFERROR(VLOOKUP($E622,材料归属,2,0),"※材料类别没选"))</f>
        <v/>
      </c>
      <c r="G622" s="13" t="n"/>
      <c r="H622" s="13" t="n"/>
      <c r="I622" s="13" t="n"/>
      <c r="J622" s="20" t="n"/>
      <c r="K622" s="14" t="n"/>
      <c r="L622" s="19">
        <f>IF($D622="","",ROUND(IF($J622="",1,$J622)*N($K622),2))</f>
        <v/>
      </c>
      <c r="M622" s="13" t="n"/>
      <c r="N622" s="17">
        <f>IF($D622="","",IF(ISNA(MATCH($D622,项目名表,0)),"※项目不在项目台账里",IF($F622="※材料类别没选","※材料类别没选",IF(AND($C622&lt;&gt;"",ISNA(MATCH($C622,供应商表,0))),"※供应商不在基础资料里",""))))</f>
        <v/>
      </c>
    </row>
    <row r="623">
      <c r="A623" s="17">
        <f>IF($D623="","",ROW()-3)</f>
        <v/>
      </c>
      <c r="B623" s="18" t="n"/>
      <c r="C623" s="13" t="n"/>
      <c r="D623" s="13" t="n"/>
      <c r="E623" s="13" t="n"/>
      <c r="F623" s="17">
        <f>IF($D623="","",IFERROR(VLOOKUP($E623,材料归属,2,0),"※材料类别没选"))</f>
        <v/>
      </c>
      <c r="G623" s="13" t="n"/>
      <c r="H623" s="13" t="n"/>
      <c r="I623" s="13" t="n"/>
      <c r="J623" s="20" t="n"/>
      <c r="K623" s="14" t="n"/>
      <c r="L623" s="19">
        <f>IF($D623="","",ROUND(IF($J623="",1,$J623)*N($K623),2))</f>
        <v/>
      </c>
      <c r="M623" s="13" t="n"/>
      <c r="N623" s="17">
        <f>IF($D623="","",IF(ISNA(MATCH($D623,项目名表,0)),"※项目不在项目台账里",IF($F623="※材料类别没选","※材料类别没选",IF(AND($C623&lt;&gt;"",ISNA(MATCH($C623,供应商表,0))),"※供应商不在基础资料里",""))))</f>
        <v/>
      </c>
    </row>
    <row r="624">
      <c r="A624" s="17">
        <f>IF($D624="","",ROW()-3)</f>
        <v/>
      </c>
      <c r="B624" s="18" t="n"/>
      <c r="C624" s="13" t="n"/>
      <c r="D624" s="13" t="n"/>
      <c r="E624" s="13" t="n"/>
      <c r="F624" s="17">
        <f>IF($D624="","",IFERROR(VLOOKUP($E624,材料归属,2,0),"※材料类别没选"))</f>
        <v/>
      </c>
      <c r="G624" s="13" t="n"/>
      <c r="H624" s="13" t="n"/>
      <c r="I624" s="13" t="n"/>
      <c r="J624" s="20" t="n"/>
      <c r="K624" s="14" t="n"/>
      <c r="L624" s="19">
        <f>IF($D624="","",ROUND(IF($J624="",1,$J624)*N($K624),2))</f>
        <v/>
      </c>
      <c r="M624" s="13" t="n"/>
      <c r="N624" s="17">
        <f>IF($D624="","",IF(ISNA(MATCH($D624,项目名表,0)),"※项目不在项目台账里",IF($F624="※材料类别没选","※材料类别没选",IF(AND($C624&lt;&gt;"",ISNA(MATCH($C624,供应商表,0))),"※供应商不在基础资料里",""))))</f>
        <v/>
      </c>
    </row>
    <row r="625">
      <c r="A625" s="17">
        <f>IF($D625="","",ROW()-3)</f>
        <v/>
      </c>
      <c r="B625" s="18" t="n"/>
      <c r="C625" s="13" t="n"/>
      <c r="D625" s="13" t="n"/>
      <c r="E625" s="13" t="n"/>
      <c r="F625" s="17">
        <f>IF($D625="","",IFERROR(VLOOKUP($E625,材料归属,2,0),"※材料类别没选"))</f>
        <v/>
      </c>
      <c r="G625" s="13" t="n"/>
      <c r="H625" s="13" t="n"/>
      <c r="I625" s="13" t="n"/>
      <c r="J625" s="20" t="n"/>
      <c r="K625" s="14" t="n"/>
      <c r="L625" s="19">
        <f>IF($D625="","",ROUND(IF($J625="",1,$J625)*N($K625),2))</f>
        <v/>
      </c>
      <c r="M625" s="13" t="n"/>
      <c r="N625" s="17">
        <f>IF($D625="","",IF(ISNA(MATCH($D625,项目名表,0)),"※项目不在项目台账里",IF($F625="※材料类别没选","※材料类别没选",IF(AND($C625&lt;&gt;"",ISNA(MATCH($C625,供应商表,0))),"※供应商不在基础资料里",""))))</f>
        <v/>
      </c>
    </row>
    <row r="626">
      <c r="A626" s="17">
        <f>IF($D626="","",ROW()-3)</f>
        <v/>
      </c>
      <c r="B626" s="18" t="n"/>
      <c r="C626" s="13" t="n"/>
      <c r="D626" s="13" t="n"/>
      <c r="E626" s="13" t="n"/>
      <c r="F626" s="17">
        <f>IF($D626="","",IFERROR(VLOOKUP($E626,材料归属,2,0),"※材料类别没选"))</f>
        <v/>
      </c>
      <c r="G626" s="13" t="n"/>
      <c r="H626" s="13" t="n"/>
      <c r="I626" s="13" t="n"/>
      <c r="J626" s="20" t="n"/>
      <c r="K626" s="14" t="n"/>
      <c r="L626" s="19">
        <f>IF($D626="","",ROUND(IF($J626="",1,$J626)*N($K626),2))</f>
        <v/>
      </c>
      <c r="M626" s="13" t="n"/>
      <c r="N626" s="17">
        <f>IF($D626="","",IF(ISNA(MATCH($D626,项目名表,0)),"※项目不在项目台账里",IF($F626="※材料类别没选","※材料类别没选",IF(AND($C626&lt;&gt;"",ISNA(MATCH($C626,供应商表,0))),"※供应商不在基础资料里",""))))</f>
        <v/>
      </c>
    </row>
    <row r="627">
      <c r="A627" s="17">
        <f>IF($D627="","",ROW()-3)</f>
        <v/>
      </c>
      <c r="B627" s="18" t="n"/>
      <c r="C627" s="13" t="n"/>
      <c r="D627" s="13" t="n"/>
      <c r="E627" s="13" t="n"/>
      <c r="F627" s="17">
        <f>IF($D627="","",IFERROR(VLOOKUP($E627,材料归属,2,0),"※材料类别没选"))</f>
        <v/>
      </c>
      <c r="G627" s="13" t="n"/>
      <c r="H627" s="13" t="n"/>
      <c r="I627" s="13" t="n"/>
      <c r="J627" s="20" t="n"/>
      <c r="K627" s="14" t="n"/>
      <c r="L627" s="19">
        <f>IF($D627="","",ROUND(IF($J627="",1,$J627)*N($K627),2))</f>
        <v/>
      </c>
      <c r="M627" s="13" t="n"/>
      <c r="N627" s="17">
        <f>IF($D627="","",IF(ISNA(MATCH($D627,项目名表,0)),"※项目不在项目台账里",IF($F627="※材料类别没选","※材料类别没选",IF(AND($C627&lt;&gt;"",ISNA(MATCH($C627,供应商表,0))),"※供应商不在基础资料里",""))))</f>
        <v/>
      </c>
    </row>
    <row r="628">
      <c r="A628" s="17">
        <f>IF($D628="","",ROW()-3)</f>
        <v/>
      </c>
      <c r="B628" s="18" t="n"/>
      <c r="C628" s="13" t="n"/>
      <c r="D628" s="13" t="n"/>
      <c r="E628" s="13" t="n"/>
      <c r="F628" s="17">
        <f>IF($D628="","",IFERROR(VLOOKUP($E628,材料归属,2,0),"※材料类别没选"))</f>
        <v/>
      </c>
      <c r="G628" s="13" t="n"/>
      <c r="H628" s="13" t="n"/>
      <c r="I628" s="13" t="n"/>
      <c r="J628" s="20" t="n"/>
      <c r="K628" s="14" t="n"/>
      <c r="L628" s="19">
        <f>IF($D628="","",ROUND(IF($J628="",1,$J628)*N($K628),2))</f>
        <v/>
      </c>
      <c r="M628" s="13" t="n"/>
      <c r="N628" s="17">
        <f>IF($D628="","",IF(ISNA(MATCH($D628,项目名表,0)),"※项目不在项目台账里",IF($F628="※材料类别没选","※材料类别没选",IF(AND($C628&lt;&gt;"",ISNA(MATCH($C628,供应商表,0))),"※供应商不在基础资料里",""))))</f>
        <v/>
      </c>
    </row>
    <row r="629">
      <c r="A629" s="17">
        <f>IF($D629="","",ROW()-3)</f>
        <v/>
      </c>
      <c r="B629" s="18" t="n"/>
      <c r="C629" s="13" t="n"/>
      <c r="D629" s="13" t="n"/>
      <c r="E629" s="13" t="n"/>
      <c r="F629" s="17">
        <f>IF($D629="","",IFERROR(VLOOKUP($E629,材料归属,2,0),"※材料类别没选"))</f>
        <v/>
      </c>
      <c r="G629" s="13" t="n"/>
      <c r="H629" s="13" t="n"/>
      <c r="I629" s="13" t="n"/>
      <c r="J629" s="20" t="n"/>
      <c r="K629" s="14" t="n"/>
      <c r="L629" s="19">
        <f>IF($D629="","",ROUND(IF($J629="",1,$J629)*N($K629),2))</f>
        <v/>
      </c>
      <c r="M629" s="13" t="n"/>
      <c r="N629" s="17">
        <f>IF($D629="","",IF(ISNA(MATCH($D629,项目名表,0)),"※项目不在项目台账里",IF($F629="※材料类别没选","※材料类别没选",IF(AND($C629&lt;&gt;"",ISNA(MATCH($C629,供应商表,0))),"※供应商不在基础资料里",""))))</f>
        <v/>
      </c>
    </row>
    <row r="630">
      <c r="A630" s="17">
        <f>IF($D630="","",ROW()-3)</f>
        <v/>
      </c>
      <c r="B630" s="18" t="n"/>
      <c r="C630" s="13" t="n"/>
      <c r="D630" s="13" t="n"/>
      <c r="E630" s="13" t="n"/>
      <c r="F630" s="17">
        <f>IF($D630="","",IFERROR(VLOOKUP($E630,材料归属,2,0),"※材料类别没选"))</f>
        <v/>
      </c>
      <c r="G630" s="13" t="n"/>
      <c r="H630" s="13" t="n"/>
      <c r="I630" s="13" t="n"/>
      <c r="J630" s="20" t="n"/>
      <c r="K630" s="14" t="n"/>
      <c r="L630" s="19">
        <f>IF($D630="","",ROUND(IF($J630="",1,$J630)*N($K630),2))</f>
        <v/>
      </c>
      <c r="M630" s="13" t="n"/>
      <c r="N630" s="17">
        <f>IF($D630="","",IF(ISNA(MATCH($D630,项目名表,0)),"※项目不在项目台账里",IF($F630="※材料类别没选","※材料类别没选",IF(AND($C630&lt;&gt;"",ISNA(MATCH($C630,供应商表,0))),"※供应商不在基础资料里",""))))</f>
        <v/>
      </c>
    </row>
    <row r="631">
      <c r="A631" s="17">
        <f>IF($D631="","",ROW()-3)</f>
        <v/>
      </c>
      <c r="B631" s="18" t="n"/>
      <c r="C631" s="13" t="n"/>
      <c r="D631" s="13" t="n"/>
      <c r="E631" s="13" t="n"/>
      <c r="F631" s="17">
        <f>IF($D631="","",IFERROR(VLOOKUP($E631,材料归属,2,0),"※材料类别没选"))</f>
        <v/>
      </c>
      <c r="G631" s="13" t="n"/>
      <c r="H631" s="13" t="n"/>
      <c r="I631" s="13" t="n"/>
      <c r="J631" s="20" t="n"/>
      <c r="K631" s="14" t="n"/>
      <c r="L631" s="19">
        <f>IF($D631="","",ROUND(IF($J631="",1,$J631)*N($K631),2))</f>
        <v/>
      </c>
      <c r="M631" s="13" t="n"/>
      <c r="N631" s="17">
        <f>IF($D631="","",IF(ISNA(MATCH($D631,项目名表,0)),"※项目不在项目台账里",IF($F631="※材料类别没选","※材料类别没选",IF(AND($C631&lt;&gt;"",ISNA(MATCH($C631,供应商表,0))),"※供应商不在基础资料里",""))))</f>
        <v/>
      </c>
    </row>
    <row r="632">
      <c r="A632" s="17">
        <f>IF($D632="","",ROW()-3)</f>
        <v/>
      </c>
      <c r="B632" s="18" t="n"/>
      <c r="C632" s="13" t="n"/>
      <c r="D632" s="13" t="n"/>
      <c r="E632" s="13" t="n"/>
      <c r="F632" s="17">
        <f>IF($D632="","",IFERROR(VLOOKUP($E632,材料归属,2,0),"※材料类别没选"))</f>
        <v/>
      </c>
      <c r="G632" s="13" t="n"/>
      <c r="H632" s="13" t="n"/>
      <c r="I632" s="13" t="n"/>
      <c r="J632" s="20" t="n"/>
      <c r="K632" s="14" t="n"/>
      <c r="L632" s="19">
        <f>IF($D632="","",ROUND(IF($J632="",1,$J632)*N($K632),2))</f>
        <v/>
      </c>
      <c r="M632" s="13" t="n"/>
      <c r="N632" s="17">
        <f>IF($D632="","",IF(ISNA(MATCH($D632,项目名表,0)),"※项目不在项目台账里",IF($F632="※材料类别没选","※材料类别没选",IF(AND($C632&lt;&gt;"",ISNA(MATCH($C632,供应商表,0))),"※供应商不在基础资料里",""))))</f>
        <v/>
      </c>
    </row>
    <row r="633">
      <c r="A633" s="17">
        <f>IF($D633="","",ROW()-3)</f>
        <v/>
      </c>
      <c r="B633" s="18" t="n"/>
      <c r="C633" s="13" t="n"/>
      <c r="D633" s="13" t="n"/>
      <c r="E633" s="13" t="n"/>
      <c r="F633" s="17">
        <f>IF($D633="","",IFERROR(VLOOKUP($E633,材料归属,2,0),"※材料类别没选"))</f>
        <v/>
      </c>
      <c r="G633" s="13" t="n"/>
      <c r="H633" s="13" t="n"/>
      <c r="I633" s="13" t="n"/>
      <c r="J633" s="20" t="n"/>
      <c r="K633" s="14" t="n"/>
      <c r="L633" s="19">
        <f>IF($D633="","",ROUND(IF($J633="",1,$J633)*N($K633),2))</f>
        <v/>
      </c>
      <c r="M633" s="13" t="n"/>
      <c r="N633" s="17">
        <f>IF($D633="","",IF(ISNA(MATCH($D633,项目名表,0)),"※项目不在项目台账里",IF($F633="※材料类别没选","※材料类别没选",IF(AND($C633&lt;&gt;"",ISNA(MATCH($C633,供应商表,0))),"※供应商不在基础资料里",""))))</f>
        <v/>
      </c>
    </row>
    <row r="634">
      <c r="A634" s="17">
        <f>IF($D634="","",ROW()-3)</f>
        <v/>
      </c>
      <c r="B634" s="18" t="n"/>
      <c r="C634" s="13" t="n"/>
      <c r="D634" s="13" t="n"/>
      <c r="E634" s="13" t="n"/>
      <c r="F634" s="17">
        <f>IF($D634="","",IFERROR(VLOOKUP($E634,材料归属,2,0),"※材料类别没选"))</f>
        <v/>
      </c>
      <c r="G634" s="13" t="n"/>
      <c r="H634" s="13" t="n"/>
      <c r="I634" s="13" t="n"/>
      <c r="J634" s="20" t="n"/>
      <c r="K634" s="14" t="n"/>
      <c r="L634" s="19">
        <f>IF($D634="","",ROUND(IF($J634="",1,$J634)*N($K634),2))</f>
        <v/>
      </c>
      <c r="M634" s="13" t="n"/>
      <c r="N634" s="17">
        <f>IF($D634="","",IF(ISNA(MATCH($D634,项目名表,0)),"※项目不在项目台账里",IF($F634="※材料类别没选","※材料类别没选",IF(AND($C634&lt;&gt;"",ISNA(MATCH($C634,供应商表,0))),"※供应商不在基础资料里",""))))</f>
        <v/>
      </c>
    </row>
    <row r="635">
      <c r="A635" s="17">
        <f>IF($D635="","",ROW()-3)</f>
        <v/>
      </c>
      <c r="B635" s="18" t="n"/>
      <c r="C635" s="13" t="n"/>
      <c r="D635" s="13" t="n"/>
      <c r="E635" s="13" t="n"/>
      <c r="F635" s="17">
        <f>IF($D635="","",IFERROR(VLOOKUP($E635,材料归属,2,0),"※材料类别没选"))</f>
        <v/>
      </c>
      <c r="G635" s="13" t="n"/>
      <c r="H635" s="13" t="n"/>
      <c r="I635" s="13" t="n"/>
      <c r="J635" s="20" t="n"/>
      <c r="K635" s="14" t="n"/>
      <c r="L635" s="19">
        <f>IF($D635="","",ROUND(IF($J635="",1,$J635)*N($K635),2))</f>
        <v/>
      </c>
      <c r="M635" s="13" t="n"/>
      <c r="N635" s="17">
        <f>IF($D635="","",IF(ISNA(MATCH($D635,项目名表,0)),"※项目不在项目台账里",IF($F635="※材料类别没选","※材料类别没选",IF(AND($C635&lt;&gt;"",ISNA(MATCH($C635,供应商表,0))),"※供应商不在基础资料里",""))))</f>
        <v/>
      </c>
    </row>
    <row r="636">
      <c r="A636" s="17">
        <f>IF($D636="","",ROW()-3)</f>
        <v/>
      </c>
      <c r="B636" s="18" t="n"/>
      <c r="C636" s="13" t="n"/>
      <c r="D636" s="13" t="n"/>
      <c r="E636" s="13" t="n"/>
      <c r="F636" s="17">
        <f>IF($D636="","",IFERROR(VLOOKUP($E636,材料归属,2,0),"※材料类别没选"))</f>
        <v/>
      </c>
      <c r="G636" s="13" t="n"/>
      <c r="H636" s="13" t="n"/>
      <c r="I636" s="13" t="n"/>
      <c r="J636" s="20" t="n"/>
      <c r="K636" s="14" t="n"/>
      <c r="L636" s="19">
        <f>IF($D636="","",ROUND(IF($J636="",1,$J636)*N($K636),2))</f>
        <v/>
      </c>
      <c r="M636" s="13" t="n"/>
      <c r="N636" s="17">
        <f>IF($D636="","",IF(ISNA(MATCH($D636,项目名表,0)),"※项目不在项目台账里",IF($F636="※材料类别没选","※材料类别没选",IF(AND($C636&lt;&gt;"",ISNA(MATCH($C636,供应商表,0))),"※供应商不在基础资料里",""))))</f>
        <v/>
      </c>
    </row>
    <row r="637">
      <c r="A637" s="17">
        <f>IF($D637="","",ROW()-3)</f>
        <v/>
      </c>
      <c r="B637" s="18" t="n"/>
      <c r="C637" s="13" t="n"/>
      <c r="D637" s="13" t="n"/>
      <c r="E637" s="13" t="n"/>
      <c r="F637" s="17">
        <f>IF($D637="","",IFERROR(VLOOKUP($E637,材料归属,2,0),"※材料类别没选"))</f>
        <v/>
      </c>
      <c r="G637" s="13" t="n"/>
      <c r="H637" s="13" t="n"/>
      <c r="I637" s="13" t="n"/>
      <c r="J637" s="20" t="n"/>
      <c r="K637" s="14" t="n"/>
      <c r="L637" s="19">
        <f>IF($D637="","",ROUND(IF($J637="",1,$J637)*N($K637),2))</f>
        <v/>
      </c>
      <c r="M637" s="13" t="n"/>
      <c r="N637" s="17">
        <f>IF($D637="","",IF(ISNA(MATCH($D637,项目名表,0)),"※项目不在项目台账里",IF($F637="※材料类别没选","※材料类别没选",IF(AND($C637&lt;&gt;"",ISNA(MATCH($C637,供应商表,0))),"※供应商不在基础资料里",""))))</f>
        <v/>
      </c>
    </row>
    <row r="638">
      <c r="A638" s="17">
        <f>IF($D638="","",ROW()-3)</f>
        <v/>
      </c>
      <c r="B638" s="18" t="n"/>
      <c r="C638" s="13" t="n"/>
      <c r="D638" s="13" t="n"/>
      <c r="E638" s="13" t="n"/>
      <c r="F638" s="17">
        <f>IF($D638="","",IFERROR(VLOOKUP($E638,材料归属,2,0),"※材料类别没选"))</f>
        <v/>
      </c>
      <c r="G638" s="13" t="n"/>
      <c r="H638" s="13" t="n"/>
      <c r="I638" s="13" t="n"/>
      <c r="J638" s="20" t="n"/>
      <c r="K638" s="14" t="n"/>
      <c r="L638" s="19">
        <f>IF($D638="","",ROUND(IF($J638="",1,$J638)*N($K638),2))</f>
        <v/>
      </c>
      <c r="M638" s="13" t="n"/>
      <c r="N638" s="17">
        <f>IF($D638="","",IF(ISNA(MATCH($D638,项目名表,0)),"※项目不在项目台账里",IF($F638="※材料类别没选","※材料类别没选",IF(AND($C638&lt;&gt;"",ISNA(MATCH($C638,供应商表,0))),"※供应商不在基础资料里",""))))</f>
        <v/>
      </c>
    </row>
    <row r="639">
      <c r="A639" s="17">
        <f>IF($D639="","",ROW()-3)</f>
        <v/>
      </c>
      <c r="B639" s="18" t="n"/>
      <c r="C639" s="13" t="n"/>
      <c r="D639" s="13" t="n"/>
      <c r="E639" s="13" t="n"/>
      <c r="F639" s="17">
        <f>IF($D639="","",IFERROR(VLOOKUP($E639,材料归属,2,0),"※材料类别没选"))</f>
        <v/>
      </c>
      <c r="G639" s="13" t="n"/>
      <c r="H639" s="13" t="n"/>
      <c r="I639" s="13" t="n"/>
      <c r="J639" s="20" t="n"/>
      <c r="K639" s="14" t="n"/>
      <c r="L639" s="19">
        <f>IF($D639="","",ROUND(IF($J639="",1,$J639)*N($K639),2))</f>
        <v/>
      </c>
      <c r="M639" s="13" t="n"/>
      <c r="N639" s="17">
        <f>IF($D639="","",IF(ISNA(MATCH($D639,项目名表,0)),"※项目不在项目台账里",IF($F639="※材料类别没选","※材料类别没选",IF(AND($C639&lt;&gt;"",ISNA(MATCH($C639,供应商表,0))),"※供应商不在基础资料里",""))))</f>
        <v/>
      </c>
    </row>
    <row r="640">
      <c r="A640" s="17">
        <f>IF($D640="","",ROW()-3)</f>
        <v/>
      </c>
      <c r="B640" s="18" t="n"/>
      <c r="C640" s="13" t="n"/>
      <c r="D640" s="13" t="n"/>
      <c r="E640" s="13" t="n"/>
      <c r="F640" s="17">
        <f>IF($D640="","",IFERROR(VLOOKUP($E640,材料归属,2,0),"※材料类别没选"))</f>
        <v/>
      </c>
      <c r="G640" s="13" t="n"/>
      <c r="H640" s="13" t="n"/>
      <c r="I640" s="13" t="n"/>
      <c r="J640" s="20" t="n"/>
      <c r="K640" s="14" t="n"/>
      <c r="L640" s="19">
        <f>IF($D640="","",ROUND(IF($J640="",1,$J640)*N($K640),2))</f>
        <v/>
      </c>
      <c r="M640" s="13" t="n"/>
      <c r="N640" s="17">
        <f>IF($D640="","",IF(ISNA(MATCH($D640,项目名表,0)),"※项目不在项目台账里",IF($F640="※材料类别没选","※材料类别没选",IF(AND($C640&lt;&gt;"",ISNA(MATCH($C640,供应商表,0))),"※供应商不在基础资料里",""))))</f>
        <v/>
      </c>
    </row>
    <row r="641">
      <c r="A641" s="17">
        <f>IF($D641="","",ROW()-3)</f>
        <v/>
      </c>
      <c r="B641" s="18" t="n"/>
      <c r="C641" s="13" t="n"/>
      <c r="D641" s="13" t="n"/>
      <c r="E641" s="13" t="n"/>
      <c r="F641" s="17">
        <f>IF($D641="","",IFERROR(VLOOKUP($E641,材料归属,2,0),"※材料类别没选"))</f>
        <v/>
      </c>
      <c r="G641" s="13" t="n"/>
      <c r="H641" s="13" t="n"/>
      <c r="I641" s="13" t="n"/>
      <c r="J641" s="20" t="n"/>
      <c r="K641" s="14" t="n"/>
      <c r="L641" s="19">
        <f>IF($D641="","",ROUND(IF($J641="",1,$J641)*N($K641),2))</f>
        <v/>
      </c>
      <c r="M641" s="13" t="n"/>
      <c r="N641" s="17">
        <f>IF($D641="","",IF(ISNA(MATCH($D641,项目名表,0)),"※项目不在项目台账里",IF($F641="※材料类别没选","※材料类别没选",IF(AND($C641&lt;&gt;"",ISNA(MATCH($C641,供应商表,0))),"※供应商不在基础资料里",""))))</f>
        <v/>
      </c>
    </row>
    <row r="642">
      <c r="A642" s="17">
        <f>IF($D642="","",ROW()-3)</f>
        <v/>
      </c>
      <c r="B642" s="18" t="n"/>
      <c r="C642" s="13" t="n"/>
      <c r="D642" s="13" t="n"/>
      <c r="E642" s="13" t="n"/>
      <c r="F642" s="17">
        <f>IF($D642="","",IFERROR(VLOOKUP($E642,材料归属,2,0),"※材料类别没选"))</f>
        <v/>
      </c>
      <c r="G642" s="13" t="n"/>
      <c r="H642" s="13" t="n"/>
      <c r="I642" s="13" t="n"/>
      <c r="J642" s="20" t="n"/>
      <c r="K642" s="14" t="n"/>
      <c r="L642" s="19">
        <f>IF($D642="","",ROUND(IF($J642="",1,$J642)*N($K642),2))</f>
        <v/>
      </c>
      <c r="M642" s="13" t="n"/>
      <c r="N642" s="17">
        <f>IF($D642="","",IF(ISNA(MATCH($D642,项目名表,0)),"※项目不在项目台账里",IF($F642="※材料类别没选","※材料类别没选",IF(AND($C642&lt;&gt;"",ISNA(MATCH($C642,供应商表,0))),"※供应商不在基础资料里",""))))</f>
        <v/>
      </c>
    </row>
    <row r="643">
      <c r="A643" s="17">
        <f>IF($D643="","",ROW()-3)</f>
        <v/>
      </c>
      <c r="B643" s="18" t="n"/>
      <c r="C643" s="13" t="n"/>
      <c r="D643" s="13" t="n"/>
      <c r="E643" s="13" t="n"/>
      <c r="F643" s="17">
        <f>IF($D643="","",IFERROR(VLOOKUP($E643,材料归属,2,0),"※材料类别没选"))</f>
        <v/>
      </c>
      <c r="G643" s="13" t="n"/>
      <c r="H643" s="13" t="n"/>
      <c r="I643" s="13" t="n"/>
      <c r="J643" s="20" t="n"/>
      <c r="K643" s="14" t="n"/>
      <c r="L643" s="19">
        <f>IF($D643="","",ROUND(IF($J643="",1,$J643)*N($K643),2))</f>
        <v/>
      </c>
      <c r="M643" s="13" t="n"/>
      <c r="N643" s="17">
        <f>IF($D643="","",IF(ISNA(MATCH($D643,项目名表,0)),"※项目不在项目台账里",IF($F643="※材料类别没选","※材料类别没选",IF(AND($C643&lt;&gt;"",ISNA(MATCH($C643,供应商表,0))),"※供应商不在基础资料里",""))))</f>
        <v/>
      </c>
    </row>
    <row r="644">
      <c r="A644" s="17">
        <f>IF($D644="","",ROW()-3)</f>
        <v/>
      </c>
      <c r="B644" s="18" t="n"/>
      <c r="C644" s="13" t="n"/>
      <c r="D644" s="13" t="n"/>
      <c r="E644" s="13" t="n"/>
      <c r="F644" s="17">
        <f>IF($D644="","",IFERROR(VLOOKUP($E644,材料归属,2,0),"※材料类别没选"))</f>
        <v/>
      </c>
      <c r="G644" s="13" t="n"/>
      <c r="H644" s="13" t="n"/>
      <c r="I644" s="13" t="n"/>
      <c r="J644" s="20" t="n"/>
      <c r="K644" s="14" t="n"/>
      <c r="L644" s="19">
        <f>IF($D644="","",ROUND(IF($J644="",1,$J644)*N($K644),2))</f>
        <v/>
      </c>
      <c r="M644" s="13" t="n"/>
      <c r="N644" s="17">
        <f>IF($D644="","",IF(ISNA(MATCH($D644,项目名表,0)),"※项目不在项目台账里",IF($F644="※材料类别没选","※材料类别没选",IF(AND($C644&lt;&gt;"",ISNA(MATCH($C644,供应商表,0))),"※供应商不在基础资料里",""))))</f>
        <v/>
      </c>
    </row>
    <row r="645">
      <c r="A645" s="17">
        <f>IF($D645="","",ROW()-3)</f>
        <v/>
      </c>
      <c r="B645" s="18" t="n"/>
      <c r="C645" s="13" t="n"/>
      <c r="D645" s="13" t="n"/>
      <c r="E645" s="13" t="n"/>
      <c r="F645" s="17">
        <f>IF($D645="","",IFERROR(VLOOKUP($E645,材料归属,2,0),"※材料类别没选"))</f>
        <v/>
      </c>
      <c r="G645" s="13" t="n"/>
      <c r="H645" s="13" t="n"/>
      <c r="I645" s="13" t="n"/>
      <c r="J645" s="20" t="n"/>
      <c r="K645" s="14" t="n"/>
      <c r="L645" s="19">
        <f>IF($D645="","",ROUND(IF($J645="",1,$J645)*N($K645),2))</f>
        <v/>
      </c>
      <c r="M645" s="13" t="n"/>
      <c r="N645" s="17">
        <f>IF($D645="","",IF(ISNA(MATCH($D645,项目名表,0)),"※项目不在项目台账里",IF($F645="※材料类别没选","※材料类别没选",IF(AND($C645&lt;&gt;"",ISNA(MATCH($C645,供应商表,0))),"※供应商不在基础资料里",""))))</f>
        <v/>
      </c>
    </row>
    <row r="646">
      <c r="A646" s="17">
        <f>IF($D646="","",ROW()-3)</f>
        <v/>
      </c>
      <c r="B646" s="18" t="n"/>
      <c r="C646" s="13" t="n"/>
      <c r="D646" s="13" t="n"/>
      <c r="E646" s="13" t="n"/>
      <c r="F646" s="17">
        <f>IF($D646="","",IFERROR(VLOOKUP($E646,材料归属,2,0),"※材料类别没选"))</f>
        <v/>
      </c>
      <c r="G646" s="13" t="n"/>
      <c r="H646" s="13" t="n"/>
      <c r="I646" s="13" t="n"/>
      <c r="J646" s="20" t="n"/>
      <c r="K646" s="14" t="n"/>
      <c r="L646" s="19">
        <f>IF($D646="","",ROUND(IF($J646="",1,$J646)*N($K646),2))</f>
        <v/>
      </c>
      <c r="M646" s="13" t="n"/>
      <c r="N646" s="17">
        <f>IF($D646="","",IF(ISNA(MATCH($D646,项目名表,0)),"※项目不在项目台账里",IF($F646="※材料类别没选","※材料类别没选",IF(AND($C646&lt;&gt;"",ISNA(MATCH($C646,供应商表,0))),"※供应商不在基础资料里",""))))</f>
        <v/>
      </c>
    </row>
    <row r="647">
      <c r="A647" s="17">
        <f>IF($D647="","",ROW()-3)</f>
        <v/>
      </c>
      <c r="B647" s="18" t="n"/>
      <c r="C647" s="13" t="n"/>
      <c r="D647" s="13" t="n"/>
      <c r="E647" s="13" t="n"/>
      <c r="F647" s="17">
        <f>IF($D647="","",IFERROR(VLOOKUP($E647,材料归属,2,0),"※材料类别没选"))</f>
        <v/>
      </c>
      <c r="G647" s="13" t="n"/>
      <c r="H647" s="13" t="n"/>
      <c r="I647" s="13" t="n"/>
      <c r="J647" s="20" t="n"/>
      <c r="K647" s="14" t="n"/>
      <c r="L647" s="19">
        <f>IF($D647="","",ROUND(IF($J647="",1,$J647)*N($K647),2))</f>
        <v/>
      </c>
      <c r="M647" s="13" t="n"/>
      <c r="N647" s="17">
        <f>IF($D647="","",IF(ISNA(MATCH($D647,项目名表,0)),"※项目不在项目台账里",IF($F647="※材料类别没选","※材料类别没选",IF(AND($C647&lt;&gt;"",ISNA(MATCH($C647,供应商表,0))),"※供应商不在基础资料里",""))))</f>
        <v/>
      </c>
    </row>
    <row r="648">
      <c r="A648" s="17">
        <f>IF($D648="","",ROW()-3)</f>
        <v/>
      </c>
      <c r="B648" s="18" t="n"/>
      <c r="C648" s="13" t="n"/>
      <c r="D648" s="13" t="n"/>
      <c r="E648" s="13" t="n"/>
      <c r="F648" s="17">
        <f>IF($D648="","",IFERROR(VLOOKUP($E648,材料归属,2,0),"※材料类别没选"))</f>
        <v/>
      </c>
      <c r="G648" s="13" t="n"/>
      <c r="H648" s="13" t="n"/>
      <c r="I648" s="13" t="n"/>
      <c r="J648" s="20" t="n"/>
      <c r="K648" s="14" t="n"/>
      <c r="L648" s="19">
        <f>IF($D648="","",ROUND(IF($J648="",1,$J648)*N($K648),2))</f>
        <v/>
      </c>
      <c r="M648" s="13" t="n"/>
      <c r="N648" s="17">
        <f>IF($D648="","",IF(ISNA(MATCH($D648,项目名表,0)),"※项目不在项目台账里",IF($F648="※材料类别没选","※材料类别没选",IF(AND($C648&lt;&gt;"",ISNA(MATCH($C648,供应商表,0))),"※供应商不在基础资料里",""))))</f>
        <v/>
      </c>
    </row>
    <row r="649">
      <c r="A649" s="17">
        <f>IF($D649="","",ROW()-3)</f>
        <v/>
      </c>
      <c r="B649" s="18" t="n"/>
      <c r="C649" s="13" t="n"/>
      <c r="D649" s="13" t="n"/>
      <c r="E649" s="13" t="n"/>
      <c r="F649" s="17">
        <f>IF($D649="","",IFERROR(VLOOKUP($E649,材料归属,2,0),"※材料类别没选"))</f>
        <v/>
      </c>
      <c r="G649" s="13" t="n"/>
      <c r="H649" s="13" t="n"/>
      <c r="I649" s="13" t="n"/>
      <c r="J649" s="20" t="n"/>
      <c r="K649" s="14" t="n"/>
      <c r="L649" s="19">
        <f>IF($D649="","",ROUND(IF($J649="",1,$J649)*N($K649),2))</f>
        <v/>
      </c>
      <c r="M649" s="13" t="n"/>
      <c r="N649" s="17">
        <f>IF($D649="","",IF(ISNA(MATCH($D649,项目名表,0)),"※项目不在项目台账里",IF($F649="※材料类别没选","※材料类别没选",IF(AND($C649&lt;&gt;"",ISNA(MATCH($C649,供应商表,0))),"※供应商不在基础资料里",""))))</f>
        <v/>
      </c>
    </row>
    <row r="650">
      <c r="A650" s="17">
        <f>IF($D650="","",ROW()-3)</f>
        <v/>
      </c>
      <c r="B650" s="18" t="n"/>
      <c r="C650" s="13" t="n"/>
      <c r="D650" s="13" t="n"/>
      <c r="E650" s="13" t="n"/>
      <c r="F650" s="17">
        <f>IF($D650="","",IFERROR(VLOOKUP($E650,材料归属,2,0),"※材料类别没选"))</f>
        <v/>
      </c>
      <c r="G650" s="13" t="n"/>
      <c r="H650" s="13" t="n"/>
      <c r="I650" s="13" t="n"/>
      <c r="J650" s="20" t="n"/>
      <c r="K650" s="14" t="n"/>
      <c r="L650" s="19">
        <f>IF($D650="","",ROUND(IF($J650="",1,$J650)*N($K650),2))</f>
        <v/>
      </c>
      <c r="M650" s="13" t="n"/>
      <c r="N650" s="17">
        <f>IF($D650="","",IF(ISNA(MATCH($D650,项目名表,0)),"※项目不在项目台账里",IF($F650="※材料类别没选","※材料类别没选",IF(AND($C650&lt;&gt;"",ISNA(MATCH($C650,供应商表,0))),"※供应商不在基础资料里",""))))</f>
        <v/>
      </c>
    </row>
    <row r="651">
      <c r="A651" s="17">
        <f>IF($D651="","",ROW()-3)</f>
        <v/>
      </c>
      <c r="B651" s="18" t="n"/>
      <c r="C651" s="13" t="n"/>
      <c r="D651" s="13" t="n"/>
      <c r="E651" s="13" t="n"/>
      <c r="F651" s="17">
        <f>IF($D651="","",IFERROR(VLOOKUP($E651,材料归属,2,0),"※材料类别没选"))</f>
        <v/>
      </c>
      <c r="G651" s="13" t="n"/>
      <c r="H651" s="13" t="n"/>
      <c r="I651" s="13" t="n"/>
      <c r="J651" s="20" t="n"/>
      <c r="K651" s="14" t="n"/>
      <c r="L651" s="19">
        <f>IF($D651="","",ROUND(IF($J651="",1,$J651)*N($K651),2))</f>
        <v/>
      </c>
      <c r="M651" s="13" t="n"/>
      <c r="N651" s="17">
        <f>IF($D651="","",IF(ISNA(MATCH($D651,项目名表,0)),"※项目不在项目台账里",IF($F651="※材料类别没选","※材料类别没选",IF(AND($C651&lt;&gt;"",ISNA(MATCH($C651,供应商表,0))),"※供应商不在基础资料里",""))))</f>
        <v/>
      </c>
    </row>
    <row r="652">
      <c r="A652" s="17">
        <f>IF($D652="","",ROW()-3)</f>
        <v/>
      </c>
      <c r="B652" s="18" t="n"/>
      <c r="C652" s="13" t="n"/>
      <c r="D652" s="13" t="n"/>
      <c r="E652" s="13" t="n"/>
      <c r="F652" s="17">
        <f>IF($D652="","",IFERROR(VLOOKUP($E652,材料归属,2,0),"※材料类别没选"))</f>
        <v/>
      </c>
      <c r="G652" s="13" t="n"/>
      <c r="H652" s="13" t="n"/>
      <c r="I652" s="13" t="n"/>
      <c r="J652" s="20" t="n"/>
      <c r="K652" s="14" t="n"/>
      <c r="L652" s="19">
        <f>IF($D652="","",ROUND(IF($J652="",1,$J652)*N($K652),2))</f>
        <v/>
      </c>
      <c r="M652" s="13" t="n"/>
      <c r="N652" s="17">
        <f>IF($D652="","",IF(ISNA(MATCH($D652,项目名表,0)),"※项目不在项目台账里",IF($F652="※材料类别没选","※材料类别没选",IF(AND($C652&lt;&gt;"",ISNA(MATCH($C652,供应商表,0))),"※供应商不在基础资料里",""))))</f>
        <v/>
      </c>
    </row>
    <row r="653">
      <c r="A653" s="17">
        <f>IF($D653="","",ROW()-3)</f>
        <v/>
      </c>
      <c r="B653" s="18" t="n"/>
      <c r="C653" s="13" t="n"/>
      <c r="D653" s="13" t="n"/>
      <c r="E653" s="13" t="n"/>
      <c r="F653" s="17">
        <f>IF($D653="","",IFERROR(VLOOKUP($E653,材料归属,2,0),"※材料类别没选"))</f>
        <v/>
      </c>
      <c r="G653" s="13" t="n"/>
      <c r="H653" s="13" t="n"/>
      <c r="I653" s="13" t="n"/>
      <c r="J653" s="20" t="n"/>
      <c r="K653" s="14" t="n"/>
      <c r="L653" s="19">
        <f>IF($D653="","",ROUND(IF($J653="",1,$J653)*N($K653),2))</f>
        <v/>
      </c>
      <c r="M653" s="13" t="n"/>
      <c r="N653" s="17">
        <f>IF($D653="","",IF(ISNA(MATCH($D653,项目名表,0)),"※项目不在项目台账里",IF($F653="※材料类别没选","※材料类别没选",IF(AND($C653&lt;&gt;"",ISNA(MATCH($C653,供应商表,0))),"※供应商不在基础资料里",""))))</f>
        <v/>
      </c>
    </row>
    <row r="654">
      <c r="A654" s="17">
        <f>IF($D654="","",ROW()-3)</f>
        <v/>
      </c>
      <c r="B654" s="18" t="n"/>
      <c r="C654" s="13" t="n"/>
      <c r="D654" s="13" t="n"/>
      <c r="E654" s="13" t="n"/>
      <c r="F654" s="17">
        <f>IF($D654="","",IFERROR(VLOOKUP($E654,材料归属,2,0),"※材料类别没选"))</f>
        <v/>
      </c>
      <c r="G654" s="13" t="n"/>
      <c r="H654" s="13" t="n"/>
      <c r="I654" s="13" t="n"/>
      <c r="J654" s="20" t="n"/>
      <c r="K654" s="14" t="n"/>
      <c r="L654" s="19">
        <f>IF($D654="","",ROUND(IF($J654="",1,$J654)*N($K654),2))</f>
        <v/>
      </c>
      <c r="M654" s="13" t="n"/>
      <c r="N654" s="17">
        <f>IF($D654="","",IF(ISNA(MATCH($D654,项目名表,0)),"※项目不在项目台账里",IF($F654="※材料类别没选","※材料类别没选",IF(AND($C654&lt;&gt;"",ISNA(MATCH($C654,供应商表,0))),"※供应商不在基础资料里",""))))</f>
        <v/>
      </c>
    </row>
    <row r="655">
      <c r="A655" s="17">
        <f>IF($D655="","",ROW()-3)</f>
        <v/>
      </c>
      <c r="B655" s="18" t="n"/>
      <c r="C655" s="13" t="n"/>
      <c r="D655" s="13" t="n"/>
      <c r="E655" s="13" t="n"/>
      <c r="F655" s="17">
        <f>IF($D655="","",IFERROR(VLOOKUP($E655,材料归属,2,0),"※材料类别没选"))</f>
        <v/>
      </c>
      <c r="G655" s="13" t="n"/>
      <c r="H655" s="13" t="n"/>
      <c r="I655" s="13" t="n"/>
      <c r="J655" s="20" t="n"/>
      <c r="K655" s="14" t="n"/>
      <c r="L655" s="19">
        <f>IF($D655="","",ROUND(IF($J655="",1,$J655)*N($K655),2))</f>
        <v/>
      </c>
      <c r="M655" s="13" t="n"/>
      <c r="N655" s="17">
        <f>IF($D655="","",IF(ISNA(MATCH($D655,项目名表,0)),"※项目不在项目台账里",IF($F655="※材料类别没选","※材料类别没选",IF(AND($C655&lt;&gt;"",ISNA(MATCH($C655,供应商表,0))),"※供应商不在基础资料里",""))))</f>
        <v/>
      </c>
    </row>
    <row r="656">
      <c r="A656" s="17">
        <f>IF($D656="","",ROW()-3)</f>
        <v/>
      </c>
      <c r="B656" s="18" t="n"/>
      <c r="C656" s="13" t="n"/>
      <c r="D656" s="13" t="n"/>
      <c r="E656" s="13" t="n"/>
      <c r="F656" s="17">
        <f>IF($D656="","",IFERROR(VLOOKUP($E656,材料归属,2,0),"※材料类别没选"))</f>
        <v/>
      </c>
      <c r="G656" s="13" t="n"/>
      <c r="H656" s="13" t="n"/>
      <c r="I656" s="13" t="n"/>
      <c r="J656" s="20" t="n"/>
      <c r="K656" s="14" t="n"/>
      <c r="L656" s="19">
        <f>IF($D656="","",ROUND(IF($J656="",1,$J656)*N($K656),2))</f>
        <v/>
      </c>
      <c r="M656" s="13" t="n"/>
      <c r="N656" s="17">
        <f>IF($D656="","",IF(ISNA(MATCH($D656,项目名表,0)),"※项目不在项目台账里",IF($F656="※材料类别没选","※材料类别没选",IF(AND($C656&lt;&gt;"",ISNA(MATCH($C656,供应商表,0))),"※供应商不在基础资料里",""))))</f>
        <v/>
      </c>
    </row>
    <row r="657">
      <c r="A657" s="17">
        <f>IF($D657="","",ROW()-3)</f>
        <v/>
      </c>
      <c r="B657" s="18" t="n"/>
      <c r="C657" s="13" t="n"/>
      <c r="D657" s="13" t="n"/>
      <c r="E657" s="13" t="n"/>
      <c r="F657" s="17">
        <f>IF($D657="","",IFERROR(VLOOKUP($E657,材料归属,2,0),"※材料类别没选"))</f>
        <v/>
      </c>
      <c r="G657" s="13" t="n"/>
      <c r="H657" s="13" t="n"/>
      <c r="I657" s="13" t="n"/>
      <c r="J657" s="20" t="n"/>
      <c r="K657" s="14" t="n"/>
      <c r="L657" s="19">
        <f>IF($D657="","",ROUND(IF($J657="",1,$J657)*N($K657),2))</f>
        <v/>
      </c>
      <c r="M657" s="13" t="n"/>
      <c r="N657" s="17">
        <f>IF($D657="","",IF(ISNA(MATCH($D657,项目名表,0)),"※项目不在项目台账里",IF($F657="※材料类别没选","※材料类别没选",IF(AND($C657&lt;&gt;"",ISNA(MATCH($C657,供应商表,0))),"※供应商不在基础资料里",""))))</f>
        <v/>
      </c>
    </row>
    <row r="658">
      <c r="A658" s="17">
        <f>IF($D658="","",ROW()-3)</f>
        <v/>
      </c>
      <c r="B658" s="18" t="n"/>
      <c r="C658" s="13" t="n"/>
      <c r="D658" s="13" t="n"/>
      <c r="E658" s="13" t="n"/>
      <c r="F658" s="17">
        <f>IF($D658="","",IFERROR(VLOOKUP($E658,材料归属,2,0),"※材料类别没选"))</f>
        <v/>
      </c>
      <c r="G658" s="13" t="n"/>
      <c r="H658" s="13" t="n"/>
      <c r="I658" s="13" t="n"/>
      <c r="J658" s="20" t="n"/>
      <c r="K658" s="14" t="n"/>
      <c r="L658" s="19">
        <f>IF($D658="","",ROUND(IF($J658="",1,$J658)*N($K658),2))</f>
        <v/>
      </c>
      <c r="M658" s="13" t="n"/>
      <c r="N658" s="17">
        <f>IF($D658="","",IF(ISNA(MATCH($D658,项目名表,0)),"※项目不在项目台账里",IF($F658="※材料类别没选","※材料类别没选",IF(AND($C658&lt;&gt;"",ISNA(MATCH($C658,供应商表,0))),"※供应商不在基础资料里",""))))</f>
        <v/>
      </c>
    </row>
    <row r="659">
      <c r="A659" s="17">
        <f>IF($D659="","",ROW()-3)</f>
        <v/>
      </c>
      <c r="B659" s="18" t="n"/>
      <c r="C659" s="13" t="n"/>
      <c r="D659" s="13" t="n"/>
      <c r="E659" s="13" t="n"/>
      <c r="F659" s="17">
        <f>IF($D659="","",IFERROR(VLOOKUP($E659,材料归属,2,0),"※材料类别没选"))</f>
        <v/>
      </c>
      <c r="G659" s="13" t="n"/>
      <c r="H659" s="13" t="n"/>
      <c r="I659" s="13" t="n"/>
      <c r="J659" s="20" t="n"/>
      <c r="K659" s="14" t="n"/>
      <c r="L659" s="19">
        <f>IF($D659="","",ROUND(IF($J659="",1,$J659)*N($K659),2))</f>
        <v/>
      </c>
      <c r="M659" s="13" t="n"/>
      <c r="N659" s="17">
        <f>IF($D659="","",IF(ISNA(MATCH($D659,项目名表,0)),"※项目不在项目台账里",IF($F659="※材料类别没选","※材料类别没选",IF(AND($C659&lt;&gt;"",ISNA(MATCH($C659,供应商表,0))),"※供应商不在基础资料里",""))))</f>
        <v/>
      </c>
    </row>
    <row r="660">
      <c r="A660" s="17">
        <f>IF($D660="","",ROW()-3)</f>
        <v/>
      </c>
      <c r="B660" s="18" t="n"/>
      <c r="C660" s="13" t="n"/>
      <c r="D660" s="13" t="n"/>
      <c r="E660" s="13" t="n"/>
      <c r="F660" s="17">
        <f>IF($D660="","",IFERROR(VLOOKUP($E660,材料归属,2,0),"※材料类别没选"))</f>
        <v/>
      </c>
      <c r="G660" s="13" t="n"/>
      <c r="H660" s="13" t="n"/>
      <c r="I660" s="13" t="n"/>
      <c r="J660" s="20" t="n"/>
      <c r="K660" s="14" t="n"/>
      <c r="L660" s="19">
        <f>IF($D660="","",ROUND(IF($J660="",1,$J660)*N($K660),2))</f>
        <v/>
      </c>
      <c r="M660" s="13" t="n"/>
      <c r="N660" s="17">
        <f>IF($D660="","",IF(ISNA(MATCH($D660,项目名表,0)),"※项目不在项目台账里",IF($F660="※材料类别没选","※材料类别没选",IF(AND($C660&lt;&gt;"",ISNA(MATCH($C660,供应商表,0))),"※供应商不在基础资料里",""))))</f>
        <v/>
      </c>
    </row>
    <row r="661">
      <c r="A661" s="17">
        <f>IF($D661="","",ROW()-3)</f>
        <v/>
      </c>
      <c r="B661" s="18" t="n"/>
      <c r="C661" s="13" t="n"/>
      <c r="D661" s="13" t="n"/>
      <c r="E661" s="13" t="n"/>
      <c r="F661" s="17">
        <f>IF($D661="","",IFERROR(VLOOKUP($E661,材料归属,2,0),"※材料类别没选"))</f>
        <v/>
      </c>
      <c r="G661" s="13" t="n"/>
      <c r="H661" s="13" t="n"/>
      <c r="I661" s="13" t="n"/>
      <c r="J661" s="20" t="n"/>
      <c r="K661" s="14" t="n"/>
      <c r="L661" s="19">
        <f>IF($D661="","",ROUND(IF($J661="",1,$J661)*N($K661),2))</f>
        <v/>
      </c>
      <c r="M661" s="13" t="n"/>
      <c r="N661" s="17">
        <f>IF($D661="","",IF(ISNA(MATCH($D661,项目名表,0)),"※项目不在项目台账里",IF($F661="※材料类别没选","※材料类别没选",IF(AND($C661&lt;&gt;"",ISNA(MATCH($C661,供应商表,0))),"※供应商不在基础资料里",""))))</f>
        <v/>
      </c>
    </row>
    <row r="662">
      <c r="A662" s="17">
        <f>IF($D662="","",ROW()-3)</f>
        <v/>
      </c>
      <c r="B662" s="18" t="n"/>
      <c r="C662" s="13" t="n"/>
      <c r="D662" s="13" t="n"/>
      <c r="E662" s="13" t="n"/>
      <c r="F662" s="17">
        <f>IF($D662="","",IFERROR(VLOOKUP($E662,材料归属,2,0),"※材料类别没选"))</f>
        <v/>
      </c>
      <c r="G662" s="13" t="n"/>
      <c r="H662" s="13" t="n"/>
      <c r="I662" s="13" t="n"/>
      <c r="J662" s="20" t="n"/>
      <c r="K662" s="14" t="n"/>
      <c r="L662" s="19">
        <f>IF($D662="","",ROUND(IF($J662="",1,$J662)*N($K662),2))</f>
        <v/>
      </c>
      <c r="M662" s="13" t="n"/>
      <c r="N662" s="17">
        <f>IF($D662="","",IF(ISNA(MATCH($D662,项目名表,0)),"※项目不在项目台账里",IF($F662="※材料类别没选","※材料类别没选",IF(AND($C662&lt;&gt;"",ISNA(MATCH($C662,供应商表,0))),"※供应商不在基础资料里",""))))</f>
        <v/>
      </c>
    </row>
    <row r="663">
      <c r="A663" s="17">
        <f>IF($D663="","",ROW()-3)</f>
        <v/>
      </c>
      <c r="B663" s="18" t="n"/>
      <c r="C663" s="13" t="n"/>
      <c r="D663" s="13" t="n"/>
      <c r="E663" s="13" t="n"/>
      <c r="F663" s="17">
        <f>IF($D663="","",IFERROR(VLOOKUP($E663,材料归属,2,0),"※材料类别没选"))</f>
        <v/>
      </c>
      <c r="G663" s="13" t="n"/>
      <c r="H663" s="13" t="n"/>
      <c r="I663" s="13" t="n"/>
      <c r="J663" s="20" t="n"/>
      <c r="K663" s="14" t="n"/>
      <c r="L663" s="19">
        <f>IF($D663="","",ROUND(IF($J663="",1,$J663)*N($K663),2))</f>
        <v/>
      </c>
      <c r="M663" s="13" t="n"/>
      <c r="N663" s="17">
        <f>IF($D663="","",IF(ISNA(MATCH($D663,项目名表,0)),"※项目不在项目台账里",IF($F663="※材料类别没选","※材料类别没选",IF(AND($C663&lt;&gt;"",ISNA(MATCH($C663,供应商表,0))),"※供应商不在基础资料里",""))))</f>
        <v/>
      </c>
    </row>
    <row r="664">
      <c r="A664" s="17">
        <f>IF($D664="","",ROW()-3)</f>
        <v/>
      </c>
      <c r="B664" s="18" t="n"/>
      <c r="C664" s="13" t="n"/>
      <c r="D664" s="13" t="n"/>
      <c r="E664" s="13" t="n"/>
      <c r="F664" s="17">
        <f>IF($D664="","",IFERROR(VLOOKUP($E664,材料归属,2,0),"※材料类别没选"))</f>
        <v/>
      </c>
      <c r="G664" s="13" t="n"/>
      <c r="H664" s="13" t="n"/>
      <c r="I664" s="13" t="n"/>
      <c r="J664" s="20" t="n"/>
      <c r="K664" s="14" t="n"/>
      <c r="L664" s="19">
        <f>IF($D664="","",ROUND(IF($J664="",1,$J664)*N($K664),2))</f>
        <v/>
      </c>
      <c r="M664" s="13" t="n"/>
      <c r="N664" s="17">
        <f>IF($D664="","",IF(ISNA(MATCH($D664,项目名表,0)),"※项目不在项目台账里",IF($F664="※材料类别没选","※材料类别没选",IF(AND($C664&lt;&gt;"",ISNA(MATCH($C664,供应商表,0))),"※供应商不在基础资料里",""))))</f>
        <v/>
      </c>
    </row>
    <row r="665">
      <c r="A665" s="17">
        <f>IF($D665="","",ROW()-3)</f>
        <v/>
      </c>
      <c r="B665" s="18" t="n"/>
      <c r="C665" s="13" t="n"/>
      <c r="D665" s="13" t="n"/>
      <c r="E665" s="13" t="n"/>
      <c r="F665" s="17">
        <f>IF($D665="","",IFERROR(VLOOKUP($E665,材料归属,2,0),"※材料类别没选"))</f>
        <v/>
      </c>
      <c r="G665" s="13" t="n"/>
      <c r="H665" s="13" t="n"/>
      <c r="I665" s="13" t="n"/>
      <c r="J665" s="20" t="n"/>
      <c r="K665" s="14" t="n"/>
      <c r="L665" s="19">
        <f>IF($D665="","",ROUND(IF($J665="",1,$J665)*N($K665),2))</f>
        <v/>
      </c>
      <c r="M665" s="13" t="n"/>
      <c r="N665" s="17">
        <f>IF($D665="","",IF(ISNA(MATCH($D665,项目名表,0)),"※项目不在项目台账里",IF($F665="※材料类别没选","※材料类别没选",IF(AND($C665&lt;&gt;"",ISNA(MATCH($C665,供应商表,0))),"※供应商不在基础资料里",""))))</f>
        <v/>
      </c>
    </row>
    <row r="666">
      <c r="A666" s="17">
        <f>IF($D666="","",ROW()-3)</f>
        <v/>
      </c>
      <c r="B666" s="18" t="n"/>
      <c r="C666" s="13" t="n"/>
      <c r="D666" s="13" t="n"/>
      <c r="E666" s="13" t="n"/>
      <c r="F666" s="17">
        <f>IF($D666="","",IFERROR(VLOOKUP($E666,材料归属,2,0),"※材料类别没选"))</f>
        <v/>
      </c>
      <c r="G666" s="13" t="n"/>
      <c r="H666" s="13" t="n"/>
      <c r="I666" s="13" t="n"/>
      <c r="J666" s="20" t="n"/>
      <c r="K666" s="14" t="n"/>
      <c r="L666" s="19">
        <f>IF($D666="","",ROUND(IF($J666="",1,$J666)*N($K666),2))</f>
        <v/>
      </c>
      <c r="M666" s="13" t="n"/>
      <c r="N666" s="17">
        <f>IF($D666="","",IF(ISNA(MATCH($D666,项目名表,0)),"※项目不在项目台账里",IF($F666="※材料类别没选","※材料类别没选",IF(AND($C666&lt;&gt;"",ISNA(MATCH($C666,供应商表,0))),"※供应商不在基础资料里",""))))</f>
        <v/>
      </c>
    </row>
    <row r="667">
      <c r="A667" s="17">
        <f>IF($D667="","",ROW()-3)</f>
        <v/>
      </c>
      <c r="B667" s="18" t="n"/>
      <c r="C667" s="13" t="n"/>
      <c r="D667" s="13" t="n"/>
      <c r="E667" s="13" t="n"/>
      <c r="F667" s="17">
        <f>IF($D667="","",IFERROR(VLOOKUP($E667,材料归属,2,0),"※材料类别没选"))</f>
        <v/>
      </c>
      <c r="G667" s="13" t="n"/>
      <c r="H667" s="13" t="n"/>
      <c r="I667" s="13" t="n"/>
      <c r="J667" s="20" t="n"/>
      <c r="K667" s="14" t="n"/>
      <c r="L667" s="19">
        <f>IF($D667="","",ROUND(IF($J667="",1,$J667)*N($K667),2))</f>
        <v/>
      </c>
      <c r="M667" s="13" t="n"/>
      <c r="N667" s="17">
        <f>IF($D667="","",IF(ISNA(MATCH($D667,项目名表,0)),"※项目不在项目台账里",IF($F667="※材料类别没选","※材料类别没选",IF(AND($C667&lt;&gt;"",ISNA(MATCH($C667,供应商表,0))),"※供应商不在基础资料里",""))))</f>
        <v/>
      </c>
    </row>
    <row r="668">
      <c r="A668" s="17">
        <f>IF($D668="","",ROW()-3)</f>
        <v/>
      </c>
      <c r="B668" s="18" t="n"/>
      <c r="C668" s="13" t="n"/>
      <c r="D668" s="13" t="n"/>
      <c r="E668" s="13" t="n"/>
      <c r="F668" s="17">
        <f>IF($D668="","",IFERROR(VLOOKUP($E668,材料归属,2,0),"※材料类别没选"))</f>
        <v/>
      </c>
      <c r="G668" s="13" t="n"/>
      <c r="H668" s="13" t="n"/>
      <c r="I668" s="13" t="n"/>
      <c r="J668" s="20" t="n"/>
      <c r="K668" s="14" t="n"/>
      <c r="L668" s="19">
        <f>IF($D668="","",ROUND(IF($J668="",1,$J668)*N($K668),2))</f>
        <v/>
      </c>
      <c r="M668" s="13" t="n"/>
      <c r="N668" s="17">
        <f>IF($D668="","",IF(ISNA(MATCH($D668,项目名表,0)),"※项目不在项目台账里",IF($F668="※材料类别没选","※材料类别没选",IF(AND($C668&lt;&gt;"",ISNA(MATCH($C668,供应商表,0))),"※供应商不在基础资料里",""))))</f>
        <v/>
      </c>
    </row>
    <row r="669">
      <c r="A669" s="17">
        <f>IF($D669="","",ROW()-3)</f>
        <v/>
      </c>
      <c r="B669" s="18" t="n"/>
      <c r="C669" s="13" t="n"/>
      <c r="D669" s="13" t="n"/>
      <c r="E669" s="13" t="n"/>
      <c r="F669" s="17">
        <f>IF($D669="","",IFERROR(VLOOKUP($E669,材料归属,2,0),"※材料类别没选"))</f>
        <v/>
      </c>
      <c r="G669" s="13" t="n"/>
      <c r="H669" s="13" t="n"/>
      <c r="I669" s="13" t="n"/>
      <c r="J669" s="20" t="n"/>
      <c r="K669" s="14" t="n"/>
      <c r="L669" s="19">
        <f>IF($D669="","",ROUND(IF($J669="",1,$J669)*N($K669),2))</f>
        <v/>
      </c>
      <c r="M669" s="13" t="n"/>
      <c r="N669" s="17">
        <f>IF($D669="","",IF(ISNA(MATCH($D669,项目名表,0)),"※项目不在项目台账里",IF($F669="※材料类别没选","※材料类别没选",IF(AND($C669&lt;&gt;"",ISNA(MATCH($C669,供应商表,0))),"※供应商不在基础资料里",""))))</f>
        <v/>
      </c>
    </row>
    <row r="670">
      <c r="A670" s="17">
        <f>IF($D670="","",ROW()-3)</f>
        <v/>
      </c>
      <c r="B670" s="18" t="n"/>
      <c r="C670" s="13" t="n"/>
      <c r="D670" s="13" t="n"/>
      <c r="E670" s="13" t="n"/>
      <c r="F670" s="17">
        <f>IF($D670="","",IFERROR(VLOOKUP($E670,材料归属,2,0),"※材料类别没选"))</f>
        <v/>
      </c>
      <c r="G670" s="13" t="n"/>
      <c r="H670" s="13" t="n"/>
      <c r="I670" s="13" t="n"/>
      <c r="J670" s="20" t="n"/>
      <c r="K670" s="14" t="n"/>
      <c r="L670" s="19">
        <f>IF($D670="","",ROUND(IF($J670="",1,$J670)*N($K670),2))</f>
        <v/>
      </c>
      <c r="M670" s="13" t="n"/>
      <c r="N670" s="17">
        <f>IF($D670="","",IF(ISNA(MATCH($D670,项目名表,0)),"※项目不在项目台账里",IF($F670="※材料类别没选","※材料类别没选",IF(AND($C670&lt;&gt;"",ISNA(MATCH($C670,供应商表,0))),"※供应商不在基础资料里",""))))</f>
        <v/>
      </c>
    </row>
    <row r="671">
      <c r="A671" s="17">
        <f>IF($D671="","",ROW()-3)</f>
        <v/>
      </c>
      <c r="B671" s="18" t="n"/>
      <c r="C671" s="13" t="n"/>
      <c r="D671" s="13" t="n"/>
      <c r="E671" s="13" t="n"/>
      <c r="F671" s="17">
        <f>IF($D671="","",IFERROR(VLOOKUP($E671,材料归属,2,0),"※材料类别没选"))</f>
        <v/>
      </c>
      <c r="G671" s="13" t="n"/>
      <c r="H671" s="13" t="n"/>
      <c r="I671" s="13" t="n"/>
      <c r="J671" s="20" t="n"/>
      <c r="K671" s="14" t="n"/>
      <c r="L671" s="19">
        <f>IF($D671="","",ROUND(IF($J671="",1,$J671)*N($K671),2))</f>
        <v/>
      </c>
      <c r="M671" s="13" t="n"/>
      <c r="N671" s="17">
        <f>IF($D671="","",IF(ISNA(MATCH($D671,项目名表,0)),"※项目不在项目台账里",IF($F671="※材料类别没选","※材料类别没选",IF(AND($C671&lt;&gt;"",ISNA(MATCH($C671,供应商表,0))),"※供应商不在基础资料里",""))))</f>
        <v/>
      </c>
    </row>
    <row r="672">
      <c r="A672" s="17">
        <f>IF($D672="","",ROW()-3)</f>
        <v/>
      </c>
      <c r="B672" s="18" t="n"/>
      <c r="C672" s="13" t="n"/>
      <c r="D672" s="13" t="n"/>
      <c r="E672" s="13" t="n"/>
      <c r="F672" s="17">
        <f>IF($D672="","",IFERROR(VLOOKUP($E672,材料归属,2,0),"※材料类别没选"))</f>
        <v/>
      </c>
      <c r="G672" s="13" t="n"/>
      <c r="H672" s="13" t="n"/>
      <c r="I672" s="13" t="n"/>
      <c r="J672" s="20" t="n"/>
      <c r="K672" s="14" t="n"/>
      <c r="L672" s="19">
        <f>IF($D672="","",ROUND(IF($J672="",1,$J672)*N($K672),2))</f>
        <v/>
      </c>
      <c r="M672" s="13" t="n"/>
      <c r="N672" s="17">
        <f>IF($D672="","",IF(ISNA(MATCH($D672,项目名表,0)),"※项目不在项目台账里",IF($F672="※材料类别没选","※材料类别没选",IF(AND($C672&lt;&gt;"",ISNA(MATCH($C672,供应商表,0))),"※供应商不在基础资料里",""))))</f>
        <v/>
      </c>
    </row>
    <row r="673">
      <c r="A673" s="17">
        <f>IF($D673="","",ROW()-3)</f>
        <v/>
      </c>
      <c r="B673" s="18" t="n"/>
      <c r="C673" s="13" t="n"/>
      <c r="D673" s="13" t="n"/>
      <c r="E673" s="13" t="n"/>
      <c r="F673" s="17">
        <f>IF($D673="","",IFERROR(VLOOKUP($E673,材料归属,2,0),"※材料类别没选"))</f>
        <v/>
      </c>
      <c r="G673" s="13" t="n"/>
      <c r="H673" s="13" t="n"/>
      <c r="I673" s="13" t="n"/>
      <c r="J673" s="20" t="n"/>
      <c r="K673" s="14" t="n"/>
      <c r="L673" s="19">
        <f>IF($D673="","",ROUND(IF($J673="",1,$J673)*N($K673),2))</f>
        <v/>
      </c>
      <c r="M673" s="13" t="n"/>
      <c r="N673" s="17">
        <f>IF($D673="","",IF(ISNA(MATCH($D673,项目名表,0)),"※项目不在项目台账里",IF($F673="※材料类别没选","※材料类别没选",IF(AND($C673&lt;&gt;"",ISNA(MATCH($C673,供应商表,0))),"※供应商不在基础资料里",""))))</f>
        <v/>
      </c>
    </row>
    <row r="674">
      <c r="A674" s="17">
        <f>IF($D674="","",ROW()-3)</f>
        <v/>
      </c>
      <c r="B674" s="18" t="n"/>
      <c r="C674" s="13" t="n"/>
      <c r="D674" s="13" t="n"/>
      <c r="E674" s="13" t="n"/>
      <c r="F674" s="17">
        <f>IF($D674="","",IFERROR(VLOOKUP($E674,材料归属,2,0),"※材料类别没选"))</f>
        <v/>
      </c>
      <c r="G674" s="13" t="n"/>
      <c r="H674" s="13" t="n"/>
      <c r="I674" s="13" t="n"/>
      <c r="J674" s="20" t="n"/>
      <c r="K674" s="14" t="n"/>
      <c r="L674" s="19">
        <f>IF($D674="","",ROUND(IF($J674="",1,$J674)*N($K674),2))</f>
        <v/>
      </c>
      <c r="M674" s="13" t="n"/>
      <c r="N674" s="17">
        <f>IF($D674="","",IF(ISNA(MATCH($D674,项目名表,0)),"※项目不在项目台账里",IF($F674="※材料类别没选","※材料类别没选",IF(AND($C674&lt;&gt;"",ISNA(MATCH($C674,供应商表,0))),"※供应商不在基础资料里",""))))</f>
        <v/>
      </c>
    </row>
    <row r="675">
      <c r="A675" s="17">
        <f>IF($D675="","",ROW()-3)</f>
        <v/>
      </c>
      <c r="B675" s="18" t="n"/>
      <c r="C675" s="13" t="n"/>
      <c r="D675" s="13" t="n"/>
      <c r="E675" s="13" t="n"/>
      <c r="F675" s="17">
        <f>IF($D675="","",IFERROR(VLOOKUP($E675,材料归属,2,0),"※材料类别没选"))</f>
        <v/>
      </c>
      <c r="G675" s="13" t="n"/>
      <c r="H675" s="13" t="n"/>
      <c r="I675" s="13" t="n"/>
      <c r="J675" s="20" t="n"/>
      <c r="K675" s="14" t="n"/>
      <c r="L675" s="19">
        <f>IF($D675="","",ROUND(IF($J675="",1,$J675)*N($K675),2))</f>
        <v/>
      </c>
      <c r="M675" s="13" t="n"/>
      <c r="N675" s="17">
        <f>IF($D675="","",IF(ISNA(MATCH($D675,项目名表,0)),"※项目不在项目台账里",IF($F675="※材料类别没选","※材料类别没选",IF(AND($C675&lt;&gt;"",ISNA(MATCH($C675,供应商表,0))),"※供应商不在基础资料里",""))))</f>
        <v/>
      </c>
    </row>
    <row r="676">
      <c r="A676" s="17">
        <f>IF($D676="","",ROW()-3)</f>
        <v/>
      </c>
      <c r="B676" s="18" t="n"/>
      <c r="C676" s="13" t="n"/>
      <c r="D676" s="13" t="n"/>
      <c r="E676" s="13" t="n"/>
      <c r="F676" s="17">
        <f>IF($D676="","",IFERROR(VLOOKUP($E676,材料归属,2,0),"※材料类别没选"))</f>
        <v/>
      </c>
      <c r="G676" s="13" t="n"/>
      <c r="H676" s="13" t="n"/>
      <c r="I676" s="13" t="n"/>
      <c r="J676" s="20" t="n"/>
      <c r="K676" s="14" t="n"/>
      <c r="L676" s="19">
        <f>IF($D676="","",ROUND(IF($J676="",1,$J676)*N($K676),2))</f>
        <v/>
      </c>
      <c r="M676" s="13" t="n"/>
      <c r="N676" s="17">
        <f>IF($D676="","",IF(ISNA(MATCH($D676,项目名表,0)),"※项目不在项目台账里",IF($F676="※材料类别没选","※材料类别没选",IF(AND($C676&lt;&gt;"",ISNA(MATCH($C676,供应商表,0))),"※供应商不在基础资料里",""))))</f>
        <v/>
      </c>
    </row>
    <row r="677">
      <c r="A677" s="17">
        <f>IF($D677="","",ROW()-3)</f>
        <v/>
      </c>
      <c r="B677" s="18" t="n"/>
      <c r="C677" s="13" t="n"/>
      <c r="D677" s="13" t="n"/>
      <c r="E677" s="13" t="n"/>
      <c r="F677" s="17">
        <f>IF($D677="","",IFERROR(VLOOKUP($E677,材料归属,2,0),"※材料类别没选"))</f>
        <v/>
      </c>
      <c r="G677" s="13" t="n"/>
      <c r="H677" s="13" t="n"/>
      <c r="I677" s="13" t="n"/>
      <c r="J677" s="20" t="n"/>
      <c r="K677" s="14" t="n"/>
      <c r="L677" s="19">
        <f>IF($D677="","",ROUND(IF($J677="",1,$J677)*N($K677),2))</f>
        <v/>
      </c>
      <c r="M677" s="13" t="n"/>
      <c r="N677" s="17">
        <f>IF($D677="","",IF(ISNA(MATCH($D677,项目名表,0)),"※项目不在项目台账里",IF($F677="※材料类别没选","※材料类别没选",IF(AND($C677&lt;&gt;"",ISNA(MATCH($C677,供应商表,0))),"※供应商不在基础资料里",""))))</f>
        <v/>
      </c>
    </row>
    <row r="678">
      <c r="A678" s="17">
        <f>IF($D678="","",ROW()-3)</f>
        <v/>
      </c>
      <c r="B678" s="18" t="n"/>
      <c r="C678" s="13" t="n"/>
      <c r="D678" s="13" t="n"/>
      <c r="E678" s="13" t="n"/>
      <c r="F678" s="17">
        <f>IF($D678="","",IFERROR(VLOOKUP($E678,材料归属,2,0),"※材料类别没选"))</f>
        <v/>
      </c>
      <c r="G678" s="13" t="n"/>
      <c r="H678" s="13" t="n"/>
      <c r="I678" s="13" t="n"/>
      <c r="J678" s="20" t="n"/>
      <c r="K678" s="14" t="n"/>
      <c r="L678" s="19">
        <f>IF($D678="","",ROUND(IF($J678="",1,$J678)*N($K678),2))</f>
        <v/>
      </c>
      <c r="M678" s="13" t="n"/>
      <c r="N678" s="17">
        <f>IF($D678="","",IF(ISNA(MATCH($D678,项目名表,0)),"※项目不在项目台账里",IF($F678="※材料类别没选","※材料类别没选",IF(AND($C678&lt;&gt;"",ISNA(MATCH($C678,供应商表,0))),"※供应商不在基础资料里",""))))</f>
        <v/>
      </c>
    </row>
    <row r="679">
      <c r="A679" s="17">
        <f>IF($D679="","",ROW()-3)</f>
        <v/>
      </c>
      <c r="B679" s="18" t="n"/>
      <c r="C679" s="13" t="n"/>
      <c r="D679" s="13" t="n"/>
      <c r="E679" s="13" t="n"/>
      <c r="F679" s="17">
        <f>IF($D679="","",IFERROR(VLOOKUP($E679,材料归属,2,0),"※材料类别没选"))</f>
        <v/>
      </c>
      <c r="G679" s="13" t="n"/>
      <c r="H679" s="13" t="n"/>
      <c r="I679" s="13" t="n"/>
      <c r="J679" s="20" t="n"/>
      <c r="K679" s="14" t="n"/>
      <c r="L679" s="19">
        <f>IF($D679="","",ROUND(IF($J679="",1,$J679)*N($K679),2))</f>
        <v/>
      </c>
      <c r="M679" s="13" t="n"/>
      <c r="N679" s="17">
        <f>IF($D679="","",IF(ISNA(MATCH($D679,项目名表,0)),"※项目不在项目台账里",IF($F679="※材料类别没选","※材料类别没选",IF(AND($C679&lt;&gt;"",ISNA(MATCH($C679,供应商表,0))),"※供应商不在基础资料里",""))))</f>
        <v/>
      </c>
    </row>
    <row r="680">
      <c r="A680" s="17">
        <f>IF($D680="","",ROW()-3)</f>
        <v/>
      </c>
      <c r="B680" s="18" t="n"/>
      <c r="C680" s="13" t="n"/>
      <c r="D680" s="13" t="n"/>
      <c r="E680" s="13" t="n"/>
      <c r="F680" s="17">
        <f>IF($D680="","",IFERROR(VLOOKUP($E680,材料归属,2,0),"※材料类别没选"))</f>
        <v/>
      </c>
      <c r="G680" s="13" t="n"/>
      <c r="H680" s="13" t="n"/>
      <c r="I680" s="13" t="n"/>
      <c r="J680" s="20" t="n"/>
      <c r="K680" s="14" t="n"/>
      <c r="L680" s="19">
        <f>IF($D680="","",ROUND(IF($J680="",1,$J680)*N($K680),2))</f>
        <v/>
      </c>
      <c r="M680" s="13" t="n"/>
      <c r="N680" s="17">
        <f>IF($D680="","",IF(ISNA(MATCH($D680,项目名表,0)),"※项目不在项目台账里",IF($F680="※材料类别没选","※材料类别没选",IF(AND($C680&lt;&gt;"",ISNA(MATCH($C680,供应商表,0))),"※供应商不在基础资料里",""))))</f>
        <v/>
      </c>
    </row>
    <row r="681">
      <c r="A681" s="17">
        <f>IF($D681="","",ROW()-3)</f>
        <v/>
      </c>
      <c r="B681" s="18" t="n"/>
      <c r="C681" s="13" t="n"/>
      <c r="D681" s="13" t="n"/>
      <c r="E681" s="13" t="n"/>
      <c r="F681" s="17">
        <f>IF($D681="","",IFERROR(VLOOKUP($E681,材料归属,2,0),"※材料类别没选"))</f>
        <v/>
      </c>
      <c r="G681" s="13" t="n"/>
      <c r="H681" s="13" t="n"/>
      <c r="I681" s="13" t="n"/>
      <c r="J681" s="20" t="n"/>
      <c r="K681" s="14" t="n"/>
      <c r="L681" s="19">
        <f>IF($D681="","",ROUND(IF($J681="",1,$J681)*N($K681),2))</f>
        <v/>
      </c>
      <c r="M681" s="13" t="n"/>
      <c r="N681" s="17">
        <f>IF($D681="","",IF(ISNA(MATCH($D681,项目名表,0)),"※项目不在项目台账里",IF($F681="※材料类别没选","※材料类别没选",IF(AND($C681&lt;&gt;"",ISNA(MATCH($C681,供应商表,0))),"※供应商不在基础资料里",""))))</f>
        <v/>
      </c>
    </row>
    <row r="682">
      <c r="A682" s="17">
        <f>IF($D682="","",ROW()-3)</f>
        <v/>
      </c>
      <c r="B682" s="18" t="n"/>
      <c r="C682" s="13" t="n"/>
      <c r="D682" s="13" t="n"/>
      <c r="E682" s="13" t="n"/>
      <c r="F682" s="17">
        <f>IF($D682="","",IFERROR(VLOOKUP($E682,材料归属,2,0),"※材料类别没选"))</f>
        <v/>
      </c>
      <c r="G682" s="13" t="n"/>
      <c r="H682" s="13" t="n"/>
      <c r="I682" s="13" t="n"/>
      <c r="J682" s="20" t="n"/>
      <c r="K682" s="14" t="n"/>
      <c r="L682" s="19">
        <f>IF($D682="","",ROUND(IF($J682="",1,$J682)*N($K682),2))</f>
        <v/>
      </c>
      <c r="M682" s="13" t="n"/>
      <c r="N682" s="17">
        <f>IF($D682="","",IF(ISNA(MATCH($D682,项目名表,0)),"※项目不在项目台账里",IF($F682="※材料类别没选","※材料类别没选",IF(AND($C682&lt;&gt;"",ISNA(MATCH($C682,供应商表,0))),"※供应商不在基础资料里",""))))</f>
        <v/>
      </c>
    </row>
    <row r="683">
      <c r="A683" s="17">
        <f>IF($D683="","",ROW()-3)</f>
        <v/>
      </c>
      <c r="B683" s="18" t="n"/>
      <c r="C683" s="13" t="n"/>
      <c r="D683" s="13" t="n"/>
      <c r="E683" s="13" t="n"/>
      <c r="F683" s="17">
        <f>IF($D683="","",IFERROR(VLOOKUP($E683,材料归属,2,0),"※材料类别没选"))</f>
        <v/>
      </c>
      <c r="G683" s="13" t="n"/>
      <c r="H683" s="13" t="n"/>
      <c r="I683" s="13" t="n"/>
      <c r="J683" s="20" t="n"/>
      <c r="K683" s="14" t="n"/>
      <c r="L683" s="19">
        <f>IF($D683="","",ROUND(IF($J683="",1,$J683)*N($K683),2))</f>
        <v/>
      </c>
      <c r="M683" s="13" t="n"/>
      <c r="N683" s="17">
        <f>IF($D683="","",IF(ISNA(MATCH($D683,项目名表,0)),"※项目不在项目台账里",IF($F683="※材料类别没选","※材料类别没选",IF(AND($C683&lt;&gt;"",ISNA(MATCH($C683,供应商表,0))),"※供应商不在基础资料里",""))))</f>
        <v/>
      </c>
    </row>
    <row r="684">
      <c r="A684" s="17">
        <f>IF($D684="","",ROW()-3)</f>
        <v/>
      </c>
      <c r="B684" s="18" t="n"/>
      <c r="C684" s="13" t="n"/>
      <c r="D684" s="13" t="n"/>
      <c r="E684" s="13" t="n"/>
      <c r="F684" s="17">
        <f>IF($D684="","",IFERROR(VLOOKUP($E684,材料归属,2,0),"※材料类别没选"))</f>
        <v/>
      </c>
      <c r="G684" s="13" t="n"/>
      <c r="H684" s="13" t="n"/>
      <c r="I684" s="13" t="n"/>
      <c r="J684" s="20" t="n"/>
      <c r="K684" s="14" t="n"/>
      <c r="L684" s="19">
        <f>IF($D684="","",ROUND(IF($J684="",1,$J684)*N($K684),2))</f>
        <v/>
      </c>
      <c r="M684" s="13" t="n"/>
      <c r="N684" s="17">
        <f>IF($D684="","",IF(ISNA(MATCH($D684,项目名表,0)),"※项目不在项目台账里",IF($F684="※材料类别没选","※材料类别没选",IF(AND($C684&lt;&gt;"",ISNA(MATCH($C684,供应商表,0))),"※供应商不在基础资料里",""))))</f>
        <v/>
      </c>
    </row>
    <row r="685">
      <c r="A685" s="17">
        <f>IF($D685="","",ROW()-3)</f>
        <v/>
      </c>
      <c r="B685" s="18" t="n"/>
      <c r="C685" s="13" t="n"/>
      <c r="D685" s="13" t="n"/>
      <c r="E685" s="13" t="n"/>
      <c r="F685" s="17">
        <f>IF($D685="","",IFERROR(VLOOKUP($E685,材料归属,2,0),"※材料类别没选"))</f>
        <v/>
      </c>
      <c r="G685" s="13" t="n"/>
      <c r="H685" s="13" t="n"/>
      <c r="I685" s="13" t="n"/>
      <c r="J685" s="20" t="n"/>
      <c r="K685" s="14" t="n"/>
      <c r="L685" s="19">
        <f>IF($D685="","",ROUND(IF($J685="",1,$J685)*N($K685),2))</f>
        <v/>
      </c>
      <c r="M685" s="13" t="n"/>
      <c r="N685" s="17">
        <f>IF($D685="","",IF(ISNA(MATCH($D685,项目名表,0)),"※项目不在项目台账里",IF($F685="※材料类别没选","※材料类别没选",IF(AND($C685&lt;&gt;"",ISNA(MATCH($C685,供应商表,0))),"※供应商不在基础资料里",""))))</f>
        <v/>
      </c>
    </row>
    <row r="686">
      <c r="A686" s="17">
        <f>IF($D686="","",ROW()-3)</f>
        <v/>
      </c>
      <c r="B686" s="18" t="n"/>
      <c r="C686" s="13" t="n"/>
      <c r="D686" s="13" t="n"/>
      <c r="E686" s="13" t="n"/>
      <c r="F686" s="17">
        <f>IF($D686="","",IFERROR(VLOOKUP($E686,材料归属,2,0),"※材料类别没选"))</f>
        <v/>
      </c>
      <c r="G686" s="13" t="n"/>
      <c r="H686" s="13" t="n"/>
      <c r="I686" s="13" t="n"/>
      <c r="J686" s="20" t="n"/>
      <c r="K686" s="14" t="n"/>
      <c r="L686" s="19">
        <f>IF($D686="","",ROUND(IF($J686="",1,$J686)*N($K686),2))</f>
        <v/>
      </c>
      <c r="M686" s="13" t="n"/>
      <c r="N686" s="17">
        <f>IF($D686="","",IF(ISNA(MATCH($D686,项目名表,0)),"※项目不在项目台账里",IF($F686="※材料类别没选","※材料类别没选",IF(AND($C686&lt;&gt;"",ISNA(MATCH($C686,供应商表,0))),"※供应商不在基础资料里",""))))</f>
        <v/>
      </c>
    </row>
    <row r="687">
      <c r="A687" s="17">
        <f>IF($D687="","",ROW()-3)</f>
        <v/>
      </c>
      <c r="B687" s="18" t="n"/>
      <c r="C687" s="13" t="n"/>
      <c r="D687" s="13" t="n"/>
      <c r="E687" s="13" t="n"/>
      <c r="F687" s="17">
        <f>IF($D687="","",IFERROR(VLOOKUP($E687,材料归属,2,0),"※材料类别没选"))</f>
        <v/>
      </c>
      <c r="G687" s="13" t="n"/>
      <c r="H687" s="13" t="n"/>
      <c r="I687" s="13" t="n"/>
      <c r="J687" s="20" t="n"/>
      <c r="K687" s="14" t="n"/>
      <c r="L687" s="19">
        <f>IF($D687="","",ROUND(IF($J687="",1,$J687)*N($K687),2))</f>
        <v/>
      </c>
      <c r="M687" s="13" t="n"/>
      <c r="N687" s="17">
        <f>IF($D687="","",IF(ISNA(MATCH($D687,项目名表,0)),"※项目不在项目台账里",IF($F687="※材料类别没选","※材料类别没选",IF(AND($C687&lt;&gt;"",ISNA(MATCH($C687,供应商表,0))),"※供应商不在基础资料里",""))))</f>
        <v/>
      </c>
    </row>
    <row r="688">
      <c r="A688" s="17">
        <f>IF($D688="","",ROW()-3)</f>
        <v/>
      </c>
      <c r="B688" s="18" t="n"/>
      <c r="C688" s="13" t="n"/>
      <c r="D688" s="13" t="n"/>
      <c r="E688" s="13" t="n"/>
      <c r="F688" s="17">
        <f>IF($D688="","",IFERROR(VLOOKUP($E688,材料归属,2,0),"※材料类别没选"))</f>
        <v/>
      </c>
      <c r="G688" s="13" t="n"/>
      <c r="H688" s="13" t="n"/>
      <c r="I688" s="13" t="n"/>
      <c r="J688" s="20" t="n"/>
      <c r="K688" s="14" t="n"/>
      <c r="L688" s="19">
        <f>IF($D688="","",ROUND(IF($J688="",1,$J688)*N($K688),2))</f>
        <v/>
      </c>
      <c r="M688" s="13" t="n"/>
      <c r="N688" s="17">
        <f>IF($D688="","",IF(ISNA(MATCH($D688,项目名表,0)),"※项目不在项目台账里",IF($F688="※材料类别没选","※材料类别没选",IF(AND($C688&lt;&gt;"",ISNA(MATCH($C688,供应商表,0))),"※供应商不在基础资料里",""))))</f>
        <v/>
      </c>
    </row>
    <row r="689">
      <c r="A689" s="17">
        <f>IF($D689="","",ROW()-3)</f>
        <v/>
      </c>
      <c r="B689" s="18" t="n"/>
      <c r="C689" s="13" t="n"/>
      <c r="D689" s="13" t="n"/>
      <c r="E689" s="13" t="n"/>
      <c r="F689" s="17">
        <f>IF($D689="","",IFERROR(VLOOKUP($E689,材料归属,2,0),"※材料类别没选"))</f>
        <v/>
      </c>
      <c r="G689" s="13" t="n"/>
      <c r="H689" s="13" t="n"/>
      <c r="I689" s="13" t="n"/>
      <c r="J689" s="20" t="n"/>
      <c r="K689" s="14" t="n"/>
      <c r="L689" s="19">
        <f>IF($D689="","",ROUND(IF($J689="",1,$J689)*N($K689),2))</f>
        <v/>
      </c>
      <c r="M689" s="13" t="n"/>
      <c r="N689" s="17">
        <f>IF($D689="","",IF(ISNA(MATCH($D689,项目名表,0)),"※项目不在项目台账里",IF($F689="※材料类别没选","※材料类别没选",IF(AND($C689&lt;&gt;"",ISNA(MATCH($C689,供应商表,0))),"※供应商不在基础资料里",""))))</f>
        <v/>
      </c>
    </row>
    <row r="690">
      <c r="A690" s="17">
        <f>IF($D690="","",ROW()-3)</f>
        <v/>
      </c>
      <c r="B690" s="18" t="n"/>
      <c r="C690" s="13" t="n"/>
      <c r="D690" s="13" t="n"/>
      <c r="E690" s="13" t="n"/>
      <c r="F690" s="17">
        <f>IF($D690="","",IFERROR(VLOOKUP($E690,材料归属,2,0),"※材料类别没选"))</f>
        <v/>
      </c>
      <c r="G690" s="13" t="n"/>
      <c r="H690" s="13" t="n"/>
      <c r="I690" s="13" t="n"/>
      <c r="J690" s="20" t="n"/>
      <c r="K690" s="14" t="n"/>
      <c r="L690" s="19">
        <f>IF($D690="","",ROUND(IF($J690="",1,$J690)*N($K690),2))</f>
        <v/>
      </c>
      <c r="M690" s="13" t="n"/>
      <c r="N690" s="17">
        <f>IF($D690="","",IF(ISNA(MATCH($D690,项目名表,0)),"※项目不在项目台账里",IF($F690="※材料类别没选","※材料类别没选",IF(AND($C690&lt;&gt;"",ISNA(MATCH($C690,供应商表,0))),"※供应商不在基础资料里",""))))</f>
        <v/>
      </c>
    </row>
    <row r="691">
      <c r="A691" s="17">
        <f>IF($D691="","",ROW()-3)</f>
        <v/>
      </c>
      <c r="B691" s="18" t="n"/>
      <c r="C691" s="13" t="n"/>
      <c r="D691" s="13" t="n"/>
      <c r="E691" s="13" t="n"/>
      <c r="F691" s="17">
        <f>IF($D691="","",IFERROR(VLOOKUP($E691,材料归属,2,0),"※材料类别没选"))</f>
        <v/>
      </c>
      <c r="G691" s="13" t="n"/>
      <c r="H691" s="13" t="n"/>
      <c r="I691" s="13" t="n"/>
      <c r="J691" s="20" t="n"/>
      <c r="K691" s="14" t="n"/>
      <c r="L691" s="19">
        <f>IF($D691="","",ROUND(IF($J691="",1,$J691)*N($K691),2))</f>
        <v/>
      </c>
      <c r="M691" s="13" t="n"/>
      <c r="N691" s="17">
        <f>IF($D691="","",IF(ISNA(MATCH($D691,项目名表,0)),"※项目不在项目台账里",IF($F691="※材料类别没选","※材料类别没选",IF(AND($C691&lt;&gt;"",ISNA(MATCH($C691,供应商表,0))),"※供应商不在基础资料里",""))))</f>
        <v/>
      </c>
    </row>
    <row r="692">
      <c r="A692" s="17">
        <f>IF($D692="","",ROW()-3)</f>
        <v/>
      </c>
      <c r="B692" s="18" t="n"/>
      <c r="C692" s="13" t="n"/>
      <c r="D692" s="13" t="n"/>
      <c r="E692" s="13" t="n"/>
      <c r="F692" s="17">
        <f>IF($D692="","",IFERROR(VLOOKUP($E692,材料归属,2,0),"※材料类别没选"))</f>
        <v/>
      </c>
      <c r="G692" s="13" t="n"/>
      <c r="H692" s="13" t="n"/>
      <c r="I692" s="13" t="n"/>
      <c r="J692" s="20" t="n"/>
      <c r="K692" s="14" t="n"/>
      <c r="L692" s="19">
        <f>IF($D692="","",ROUND(IF($J692="",1,$J692)*N($K692),2))</f>
        <v/>
      </c>
      <c r="M692" s="13" t="n"/>
      <c r="N692" s="17">
        <f>IF($D692="","",IF(ISNA(MATCH($D692,项目名表,0)),"※项目不在项目台账里",IF($F692="※材料类别没选","※材料类别没选",IF(AND($C692&lt;&gt;"",ISNA(MATCH($C692,供应商表,0))),"※供应商不在基础资料里",""))))</f>
        <v/>
      </c>
    </row>
    <row r="693">
      <c r="A693" s="17">
        <f>IF($D693="","",ROW()-3)</f>
        <v/>
      </c>
      <c r="B693" s="18" t="n"/>
      <c r="C693" s="13" t="n"/>
      <c r="D693" s="13" t="n"/>
      <c r="E693" s="13" t="n"/>
      <c r="F693" s="17">
        <f>IF($D693="","",IFERROR(VLOOKUP($E693,材料归属,2,0),"※材料类别没选"))</f>
        <v/>
      </c>
      <c r="G693" s="13" t="n"/>
      <c r="H693" s="13" t="n"/>
      <c r="I693" s="13" t="n"/>
      <c r="J693" s="20" t="n"/>
      <c r="K693" s="14" t="n"/>
      <c r="L693" s="19">
        <f>IF($D693="","",ROUND(IF($J693="",1,$J693)*N($K693),2))</f>
        <v/>
      </c>
      <c r="M693" s="13" t="n"/>
      <c r="N693" s="17">
        <f>IF($D693="","",IF(ISNA(MATCH($D693,项目名表,0)),"※项目不在项目台账里",IF($F693="※材料类别没选","※材料类别没选",IF(AND($C693&lt;&gt;"",ISNA(MATCH($C693,供应商表,0))),"※供应商不在基础资料里",""))))</f>
        <v/>
      </c>
    </row>
    <row r="694">
      <c r="A694" s="17">
        <f>IF($D694="","",ROW()-3)</f>
        <v/>
      </c>
      <c r="B694" s="18" t="n"/>
      <c r="C694" s="13" t="n"/>
      <c r="D694" s="13" t="n"/>
      <c r="E694" s="13" t="n"/>
      <c r="F694" s="17">
        <f>IF($D694="","",IFERROR(VLOOKUP($E694,材料归属,2,0),"※材料类别没选"))</f>
        <v/>
      </c>
      <c r="G694" s="13" t="n"/>
      <c r="H694" s="13" t="n"/>
      <c r="I694" s="13" t="n"/>
      <c r="J694" s="20" t="n"/>
      <c r="K694" s="14" t="n"/>
      <c r="L694" s="19">
        <f>IF($D694="","",ROUND(IF($J694="",1,$J694)*N($K694),2))</f>
        <v/>
      </c>
      <c r="M694" s="13" t="n"/>
      <c r="N694" s="17">
        <f>IF($D694="","",IF(ISNA(MATCH($D694,项目名表,0)),"※项目不在项目台账里",IF($F694="※材料类别没选","※材料类别没选",IF(AND($C694&lt;&gt;"",ISNA(MATCH($C694,供应商表,0))),"※供应商不在基础资料里",""))))</f>
        <v/>
      </c>
    </row>
    <row r="695">
      <c r="A695" s="17">
        <f>IF($D695="","",ROW()-3)</f>
        <v/>
      </c>
      <c r="B695" s="18" t="n"/>
      <c r="C695" s="13" t="n"/>
      <c r="D695" s="13" t="n"/>
      <c r="E695" s="13" t="n"/>
      <c r="F695" s="17">
        <f>IF($D695="","",IFERROR(VLOOKUP($E695,材料归属,2,0),"※材料类别没选"))</f>
        <v/>
      </c>
      <c r="G695" s="13" t="n"/>
      <c r="H695" s="13" t="n"/>
      <c r="I695" s="13" t="n"/>
      <c r="J695" s="20" t="n"/>
      <c r="K695" s="14" t="n"/>
      <c r="L695" s="19">
        <f>IF($D695="","",ROUND(IF($J695="",1,$J695)*N($K695),2))</f>
        <v/>
      </c>
      <c r="M695" s="13" t="n"/>
      <c r="N695" s="17">
        <f>IF($D695="","",IF(ISNA(MATCH($D695,项目名表,0)),"※项目不在项目台账里",IF($F695="※材料类别没选","※材料类别没选",IF(AND($C695&lt;&gt;"",ISNA(MATCH($C695,供应商表,0))),"※供应商不在基础资料里",""))))</f>
        <v/>
      </c>
    </row>
    <row r="696">
      <c r="A696" s="17">
        <f>IF($D696="","",ROW()-3)</f>
        <v/>
      </c>
      <c r="B696" s="18" t="n"/>
      <c r="C696" s="13" t="n"/>
      <c r="D696" s="13" t="n"/>
      <c r="E696" s="13" t="n"/>
      <c r="F696" s="17">
        <f>IF($D696="","",IFERROR(VLOOKUP($E696,材料归属,2,0),"※材料类别没选"))</f>
        <v/>
      </c>
      <c r="G696" s="13" t="n"/>
      <c r="H696" s="13" t="n"/>
      <c r="I696" s="13" t="n"/>
      <c r="J696" s="20" t="n"/>
      <c r="K696" s="14" t="n"/>
      <c r="L696" s="19">
        <f>IF($D696="","",ROUND(IF($J696="",1,$J696)*N($K696),2))</f>
        <v/>
      </c>
      <c r="M696" s="13" t="n"/>
      <c r="N696" s="17">
        <f>IF($D696="","",IF(ISNA(MATCH($D696,项目名表,0)),"※项目不在项目台账里",IF($F696="※材料类别没选","※材料类别没选",IF(AND($C696&lt;&gt;"",ISNA(MATCH($C696,供应商表,0))),"※供应商不在基础资料里",""))))</f>
        <v/>
      </c>
    </row>
    <row r="697">
      <c r="A697" s="17">
        <f>IF($D697="","",ROW()-3)</f>
        <v/>
      </c>
      <c r="B697" s="18" t="n"/>
      <c r="C697" s="13" t="n"/>
      <c r="D697" s="13" t="n"/>
      <c r="E697" s="13" t="n"/>
      <c r="F697" s="17">
        <f>IF($D697="","",IFERROR(VLOOKUP($E697,材料归属,2,0),"※材料类别没选"))</f>
        <v/>
      </c>
      <c r="G697" s="13" t="n"/>
      <c r="H697" s="13" t="n"/>
      <c r="I697" s="13" t="n"/>
      <c r="J697" s="20" t="n"/>
      <c r="K697" s="14" t="n"/>
      <c r="L697" s="19">
        <f>IF($D697="","",ROUND(IF($J697="",1,$J697)*N($K697),2))</f>
        <v/>
      </c>
      <c r="M697" s="13" t="n"/>
      <c r="N697" s="17">
        <f>IF($D697="","",IF(ISNA(MATCH($D697,项目名表,0)),"※项目不在项目台账里",IF($F697="※材料类别没选","※材料类别没选",IF(AND($C697&lt;&gt;"",ISNA(MATCH($C697,供应商表,0))),"※供应商不在基础资料里",""))))</f>
        <v/>
      </c>
    </row>
    <row r="698">
      <c r="A698" s="17">
        <f>IF($D698="","",ROW()-3)</f>
        <v/>
      </c>
      <c r="B698" s="18" t="n"/>
      <c r="C698" s="13" t="n"/>
      <c r="D698" s="13" t="n"/>
      <c r="E698" s="13" t="n"/>
      <c r="F698" s="17">
        <f>IF($D698="","",IFERROR(VLOOKUP($E698,材料归属,2,0),"※材料类别没选"))</f>
        <v/>
      </c>
      <c r="G698" s="13" t="n"/>
      <c r="H698" s="13" t="n"/>
      <c r="I698" s="13" t="n"/>
      <c r="J698" s="20" t="n"/>
      <c r="K698" s="14" t="n"/>
      <c r="L698" s="19">
        <f>IF($D698="","",ROUND(IF($J698="",1,$J698)*N($K698),2))</f>
        <v/>
      </c>
      <c r="M698" s="13" t="n"/>
      <c r="N698" s="17">
        <f>IF($D698="","",IF(ISNA(MATCH($D698,项目名表,0)),"※项目不在项目台账里",IF($F698="※材料类别没选","※材料类别没选",IF(AND($C698&lt;&gt;"",ISNA(MATCH($C698,供应商表,0))),"※供应商不在基础资料里",""))))</f>
        <v/>
      </c>
    </row>
    <row r="699">
      <c r="A699" s="17">
        <f>IF($D699="","",ROW()-3)</f>
        <v/>
      </c>
      <c r="B699" s="18" t="n"/>
      <c r="C699" s="13" t="n"/>
      <c r="D699" s="13" t="n"/>
      <c r="E699" s="13" t="n"/>
      <c r="F699" s="17">
        <f>IF($D699="","",IFERROR(VLOOKUP($E699,材料归属,2,0),"※材料类别没选"))</f>
        <v/>
      </c>
      <c r="G699" s="13" t="n"/>
      <c r="H699" s="13" t="n"/>
      <c r="I699" s="13" t="n"/>
      <c r="J699" s="20" t="n"/>
      <c r="K699" s="14" t="n"/>
      <c r="L699" s="19">
        <f>IF($D699="","",ROUND(IF($J699="",1,$J699)*N($K699),2))</f>
        <v/>
      </c>
      <c r="M699" s="13" t="n"/>
      <c r="N699" s="17">
        <f>IF($D699="","",IF(ISNA(MATCH($D699,项目名表,0)),"※项目不在项目台账里",IF($F699="※材料类别没选","※材料类别没选",IF(AND($C699&lt;&gt;"",ISNA(MATCH($C699,供应商表,0))),"※供应商不在基础资料里",""))))</f>
        <v/>
      </c>
    </row>
    <row r="700">
      <c r="A700" s="17">
        <f>IF($D700="","",ROW()-3)</f>
        <v/>
      </c>
      <c r="B700" s="18" t="n"/>
      <c r="C700" s="13" t="n"/>
      <c r="D700" s="13" t="n"/>
      <c r="E700" s="13" t="n"/>
      <c r="F700" s="17">
        <f>IF($D700="","",IFERROR(VLOOKUP($E700,材料归属,2,0),"※材料类别没选"))</f>
        <v/>
      </c>
      <c r="G700" s="13" t="n"/>
      <c r="H700" s="13" t="n"/>
      <c r="I700" s="13" t="n"/>
      <c r="J700" s="20" t="n"/>
      <c r="K700" s="14" t="n"/>
      <c r="L700" s="19">
        <f>IF($D700="","",ROUND(IF($J700="",1,$J700)*N($K700),2))</f>
        <v/>
      </c>
      <c r="M700" s="13" t="n"/>
      <c r="N700" s="17">
        <f>IF($D700="","",IF(ISNA(MATCH($D700,项目名表,0)),"※项目不在项目台账里",IF($F700="※材料类别没选","※材料类别没选",IF(AND($C700&lt;&gt;"",ISNA(MATCH($C700,供应商表,0))),"※供应商不在基础资料里",""))))</f>
        <v/>
      </c>
    </row>
    <row r="701">
      <c r="A701" s="17">
        <f>IF($D701="","",ROW()-3)</f>
        <v/>
      </c>
      <c r="B701" s="18" t="n"/>
      <c r="C701" s="13" t="n"/>
      <c r="D701" s="13" t="n"/>
      <c r="E701" s="13" t="n"/>
      <c r="F701" s="17">
        <f>IF($D701="","",IFERROR(VLOOKUP($E701,材料归属,2,0),"※材料类别没选"))</f>
        <v/>
      </c>
      <c r="G701" s="13" t="n"/>
      <c r="H701" s="13" t="n"/>
      <c r="I701" s="13" t="n"/>
      <c r="J701" s="20" t="n"/>
      <c r="K701" s="14" t="n"/>
      <c r="L701" s="19">
        <f>IF($D701="","",ROUND(IF($J701="",1,$J701)*N($K701),2))</f>
        <v/>
      </c>
      <c r="M701" s="13" t="n"/>
      <c r="N701" s="17">
        <f>IF($D701="","",IF(ISNA(MATCH($D701,项目名表,0)),"※项目不在项目台账里",IF($F701="※材料类别没选","※材料类别没选",IF(AND($C701&lt;&gt;"",ISNA(MATCH($C701,供应商表,0))),"※供应商不在基础资料里",""))))</f>
        <v/>
      </c>
    </row>
    <row r="702">
      <c r="A702" s="17">
        <f>IF($D702="","",ROW()-3)</f>
        <v/>
      </c>
      <c r="B702" s="18" t="n"/>
      <c r="C702" s="13" t="n"/>
      <c r="D702" s="13" t="n"/>
      <c r="E702" s="13" t="n"/>
      <c r="F702" s="17">
        <f>IF($D702="","",IFERROR(VLOOKUP($E702,材料归属,2,0),"※材料类别没选"))</f>
        <v/>
      </c>
      <c r="G702" s="13" t="n"/>
      <c r="H702" s="13" t="n"/>
      <c r="I702" s="13" t="n"/>
      <c r="J702" s="20" t="n"/>
      <c r="K702" s="14" t="n"/>
      <c r="L702" s="19">
        <f>IF($D702="","",ROUND(IF($J702="",1,$J702)*N($K702),2))</f>
        <v/>
      </c>
      <c r="M702" s="13" t="n"/>
      <c r="N702" s="17">
        <f>IF($D702="","",IF(ISNA(MATCH($D702,项目名表,0)),"※项目不在项目台账里",IF($F702="※材料类别没选","※材料类别没选",IF(AND($C702&lt;&gt;"",ISNA(MATCH($C702,供应商表,0))),"※供应商不在基础资料里",""))))</f>
        <v/>
      </c>
    </row>
    <row r="703">
      <c r="A703" s="17">
        <f>IF($D703="","",ROW()-3)</f>
        <v/>
      </c>
      <c r="B703" s="18" t="n"/>
      <c r="C703" s="13" t="n"/>
      <c r="D703" s="13" t="n"/>
      <c r="E703" s="13" t="n"/>
      <c r="F703" s="17">
        <f>IF($D703="","",IFERROR(VLOOKUP($E703,材料归属,2,0),"※材料类别没选"))</f>
        <v/>
      </c>
      <c r="G703" s="13" t="n"/>
      <c r="H703" s="13" t="n"/>
      <c r="I703" s="13" t="n"/>
      <c r="J703" s="20" t="n"/>
      <c r="K703" s="14" t="n"/>
      <c r="L703" s="19">
        <f>IF($D703="","",ROUND(IF($J703="",1,$J703)*N($K703),2))</f>
        <v/>
      </c>
      <c r="M703" s="13" t="n"/>
      <c r="N703" s="17">
        <f>IF($D703="","",IF(ISNA(MATCH($D703,项目名表,0)),"※项目不在项目台账里",IF($F703="※材料类别没选","※材料类别没选",IF(AND($C703&lt;&gt;"",ISNA(MATCH($C703,供应商表,0))),"※供应商不在基础资料里",""))))</f>
        <v/>
      </c>
    </row>
    <row r="704">
      <c r="A704" s="17">
        <f>IF($D704="","",ROW()-3)</f>
        <v/>
      </c>
      <c r="B704" s="18" t="n"/>
      <c r="C704" s="13" t="n"/>
      <c r="D704" s="13" t="n"/>
      <c r="E704" s="13" t="n"/>
      <c r="F704" s="17">
        <f>IF($D704="","",IFERROR(VLOOKUP($E704,材料归属,2,0),"※材料类别没选"))</f>
        <v/>
      </c>
      <c r="G704" s="13" t="n"/>
      <c r="H704" s="13" t="n"/>
      <c r="I704" s="13" t="n"/>
      <c r="J704" s="20" t="n"/>
      <c r="K704" s="14" t="n"/>
      <c r="L704" s="19">
        <f>IF($D704="","",ROUND(IF($J704="",1,$J704)*N($K704),2))</f>
        <v/>
      </c>
      <c r="M704" s="13" t="n"/>
      <c r="N704" s="17">
        <f>IF($D704="","",IF(ISNA(MATCH($D704,项目名表,0)),"※项目不在项目台账里",IF($F704="※材料类别没选","※材料类别没选",IF(AND($C704&lt;&gt;"",ISNA(MATCH($C704,供应商表,0))),"※供应商不在基础资料里",""))))</f>
        <v/>
      </c>
    </row>
    <row r="705">
      <c r="A705" s="17">
        <f>IF($D705="","",ROW()-3)</f>
        <v/>
      </c>
      <c r="B705" s="18" t="n"/>
      <c r="C705" s="13" t="n"/>
      <c r="D705" s="13" t="n"/>
      <c r="E705" s="13" t="n"/>
      <c r="F705" s="17">
        <f>IF($D705="","",IFERROR(VLOOKUP($E705,材料归属,2,0),"※材料类别没选"))</f>
        <v/>
      </c>
      <c r="G705" s="13" t="n"/>
      <c r="H705" s="13" t="n"/>
      <c r="I705" s="13" t="n"/>
      <c r="J705" s="20" t="n"/>
      <c r="K705" s="14" t="n"/>
      <c r="L705" s="19">
        <f>IF($D705="","",ROUND(IF($J705="",1,$J705)*N($K705),2))</f>
        <v/>
      </c>
      <c r="M705" s="13" t="n"/>
      <c r="N705" s="17">
        <f>IF($D705="","",IF(ISNA(MATCH($D705,项目名表,0)),"※项目不在项目台账里",IF($F705="※材料类别没选","※材料类别没选",IF(AND($C705&lt;&gt;"",ISNA(MATCH($C705,供应商表,0))),"※供应商不在基础资料里",""))))</f>
        <v/>
      </c>
    </row>
    <row r="706">
      <c r="A706" s="17">
        <f>IF($D706="","",ROW()-3)</f>
        <v/>
      </c>
      <c r="B706" s="18" t="n"/>
      <c r="C706" s="13" t="n"/>
      <c r="D706" s="13" t="n"/>
      <c r="E706" s="13" t="n"/>
      <c r="F706" s="17">
        <f>IF($D706="","",IFERROR(VLOOKUP($E706,材料归属,2,0),"※材料类别没选"))</f>
        <v/>
      </c>
      <c r="G706" s="13" t="n"/>
      <c r="H706" s="13" t="n"/>
      <c r="I706" s="13" t="n"/>
      <c r="J706" s="20" t="n"/>
      <c r="K706" s="14" t="n"/>
      <c r="L706" s="19">
        <f>IF($D706="","",ROUND(IF($J706="",1,$J706)*N($K706),2))</f>
        <v/>
      </c>
      <c r="M706" s="13" t="n"/>
      <c r="N706" s="17">
        <f>IF($D706="","",IF(ISNA(MATCH($D706,项目名表,0)),"※项目不在项目台账里",IF($F706="※材料类别没选","※材料类别没选",IF(AND($C706&lt;&gt;"",ISNA(MATCH($C706,供应商表,0))),"※供应商不在基础资料里",""))))</f>
        <v/>
      </c>
    </row>
    <row r="707">
      <c r="A707" s="17">
        <f>IF($D707="","",ROW()-3)</f>
        <v/>
      </c>
      <c r="B707" s="18" t="n"/>
      <c r="C707" s="13" t="n"/>
      <c r="D707" s="13" t="n"/>
      <c r="E707" s="13" t="n"/>
      <c r="F707" s="17">
        <f>IF($D707="","",IFERROR(VLOOKUP($E707,材料归属,2,0),"※材料类别没选"))</f>
        <v/>
      </c>
      <c r="G707" s="13" t="n"/>
      <c r="H707" s="13" t="n"/>
      <c r="I707" s="13" t="n"/>
      <c r="J707" s="20" t="n"/>
      <c r="K707" s="14" t="n"/>
      <c r="L707" s="19">
        <f>IF($D707="","",ROUND(IF($J707="",1,$J707)*N($K707),2))</f>
        <v/>
      </c>
      <c r="M707" s="13" t="n"/>
      <c r="N707" s="17">
        <f>IF($D707="","",IF(ISNA(MATCH($D707,项目名表,0)),"※项目不在项目台账里",IF($F707="※材料类别没选","※材料类别没选",IF(AND($C707&lt;&gt;"",ISNA(MATCH($C707,供应商表,0))),"※供应商不在基础资料里",""))))</f>
        <v/>
      </c>
    </row>
    <row r="708">
      <c r="A708" s="17">
        <f>IF($D708="","",ROW()-3)</f>
        <v/>
      </c>
      <c r="B708" s="18" t="n"/>
      <c r="C708" s="13" t="n"/>
      <c r="D708" s="13" t="n"/>
      <c r="E708" s="13" t="n"/>
      <c r="F708" s="17">
        <f>IF($D708="","",IFERROR(VLOOKUP($E708,材料归属,2,0),"※材料类别没选"))</f>
        <v/>
      </c>
      <c r="G708" s="13" t="n"/>
      <c r="H708" s="13" t="n"/>
      <c r="I708" s="13" t="n"/>
      <c r="J708" s="20" t="n"/>
      <c r="K708" s="14" t="n"/>
      <c r="L708" s="19">
        <f>IF($D708="","",ROUND(IF($J708="",1,$J708)*N($K708),2))</f>
        <v/>
      </c>
      <c r="M708" s="13" t="n"/>
      <c r="N708" s="17">
        <f>IF($D708="","",IF(ISNA(MATCH($D708,项目名表,0)),"※项目不在项目台账里",IF($F708="※材料类别没选","※材料类别没选",IF(AND($C708&lt;&gt;"",ISNA(MATCH($C708,供应商表,0))),"※供应商不在基础资料里",""))))</f>
        <v/>
      </c>
    </row>
    <row r="709">
      <c r="A709" s="17">
        <f>IF($D709="","",ROW()-3)</f>
        <v/>
      </c>
      <c r="B709" s="18" t="n"/>
      <c r="C709" s="13" t="n"/>
      <c r="D709" s="13" t="n"/>
      <c r="E709" s="13" t="n"/>
      <c r="F709" s="17">
        <f>IF($D709="","",IFERROR(VLOOKUP($E709,材料归属,2,0),"※材料类别没选"))</f>
        <v/>
      </c>
      <c r="G709" s="13" t="n"/>
      <c r="H709" s="13" t="n"/>
      <c r="I709" s="13" t="n"/>
      <c r="J709" s="20" t="n"/>
      <c r="K709" s="14" t="n"/>
      <c r="L709" s="19">
        <f>IF($D709="","",ROUND(IF($J709="",1,$J709)*N($K709),2))</f>
        <v/>
      </c>
      <c r="M709" s="13" t="n"/>
      <c r="N709" s="17">
        <f>IF($D709="","",IF(ISNA(MATCH($D709,项目名表,0)),"※项目不在项目台账里",IF($F709="※材料类别没选","※材料类别没选",IF(AND($C709&lt;&gt;"",ISNA(MATCH($C709,供应商表,0))),"※供应商不在基础资料里",""))))</f>
        <v/>
      </c>
    </row>
    <row r="710">
      <c r="A710" s="17">
        <f>IF($D710="","",ROW()-3)</f>
        <v/>
      </c>
      <c r="B710" s="18" t="n"/>
      <c r="C710" s="13" t="n"/>
      <c r="D710" s="13" t="n"/>
      <c r="E710" s="13" t="n"/>
      <c r="F710" s="17">
        <f>IF($D710="","",IFERROR(VLOOKUP($E710,材料归属,2,0),"※材料类别没选"))</f>
        <v/>
      </c>
      <c r="G710" s="13" t="n"/>
      <c r="H710" s="13" t="n"/>
      <c r="I710" s="13" t="n"/>
      <c r="J710" s="20" t="n"/>
      <c r="K710" s="14" t="n"/>
      <c r="L710" s="19">
        <f>IF($D710="","",ROUND(IF($J710="",1,$J710)*N($K710),2))</f>
        <v/>
      </c>
      <c r="M710" s="13" t="n"/>
      <c r="N710" s="17">
        <f>IF($D710="","",IF(ISNA(MATCH($D710,项目名表,0)),"※项目不在项目台账里",IF($F710="※材料类别没选","※材料类别没选",IF(AND($C710&lt;&gt;"",ISNA(MATCH($C710,供应商表,0))),"※供应商不在基础资料里",""))))</f>
        <v/>
      </c>
    </row>
    <row r="711">
      <c r="A711" s="17">
        <f>IF($D711="","",ROW()-3)</f>
        <v/>
      </c>
      <c r="B711" s="18" t="n"/>
      <c r="C711" s="13" t="n"/>
      <c r="D711" s="13" t="n"/>
      <c r="E711" s="13" t="n"/>
      <c r="F711" s="17">
        <f>IF($D711="","",IFERROR(VLOOKUP($E711,材料归属,2,0),"※材料类别没选"))</f>
        <v/>
      </c>
      <c r="G711" s="13" t="n"/>
      <c r="H711" s="13" t="n"/>
      <c r="I711" s="13" t="n"/>
      <c r="J711" s="20" t="n"/>
      <c r="K711" s="14" t="n"/>
      <c r="L711" s="19">
        <f>IF($D711="","",ROUND(IF($J711="",1,$J711)*N($K711),2))</f>
        <v/>
      </c>
      <c r="M711" s="13" t="n"/>
      <c r="N711" s="17">
        <f>IF($D711="","",IF(ISNA(MATCH($D711,项目名表,0)),"※项目不在项目台账里",IF($F711="※材料类别没选","※材料类别没选",IF(AND($C711&lt;&gt;"",ISNA(MATCH($C711,供应商表,0))),"※供应商不在基础资料里",""))))</f>
        <v/>
      </c>
    </row>
    <row r="712">
      <c r="A712" s="17">
        <f>IF($D712="","",ROW()-3)</f>
        <v/>
      </c>
      <c r="B712" s="18" t="n"/>
      <c r="C712" s="13" t="n"/>
      <c r="D712" s="13" t="n"/>
      <c r="E712" s="13" t="n"/>
      <c r="F712" s="17">
        <f>IF($D712="","",IFERROR(VLOOKUP($E712,材料归属,2,0),"※材料类别没选"))</f>
        <v/>
      </c>
      <c r="G712" s="13" t="n"/>
      <c r="H712" s="13" t="n"/>
      <c r="I712" s="13" t="n"/>
      <c r="J712" s="20" t="n"/>
      <c r="K712" s="14" t="n"/>
      <c r="L712" s="19">
        <f>IF($D712="","",ROUND(IF($J712="",1,$J712)*N($K712),2))</f>
        <v/>
      </c>
      <c r="M712" s="13" t="n"/>
      <c r="N712" s="17">
        <f>IF($D712="","",IF(ISNA(MATCH($D712,项目名表,0)),"※项目不在项目台账里",IF($F712="※材料类别没选","※材料类别没选",IF(AND($C712&lt;&gt;"",ISNA(MATCH($C712,供应商表,0))),"※供应商不在基础资料里",""))))</f>
        <v/>
      </c>
    </row>
    <row r="713">
      <c r="A713" s="17">
        <f>IF($D713="","",ROW()-3)</f>
        <v/>
      </c>
      <c r="B713" s="18" t="n"/>
      <c r="C713" s="13" t="n"/>
      <c r="D713" s="13" t="n"/>
      <c r="E713" s="13" t="n"/>
      <c r="F713" s="17">
        <f>IF($D713="","",IFERROR(VLOOKUP($E713,材料归属,2,0),"※材料类别没选"))</f>
        <v/>
      </c>
      <c r="G713" s="13" t="n"/>
      <c r="H713" s="13" t="n"/>
      <c r="I713" s="13" t="n"/>
      <c r="J713" s="20" t="n"/>
      <c r="K713" s="14" t="n"/>
      <c r="L713" s="19">
        <f>IF($D713="","",ROUND(IF($J713="",1,$J713)*N($K713),2))</f>
        <v/>
      </c>
      <c r="M713" s="13" t="n"/>
      <c r="N713" s="17">
        <f>IF($D713="","",IF(ISNA(MATCH($D713,项目名表,0)),"※项目不在项目台账里",IF($F713="※材料类别没选","※材料类别没选",IF(AND($C713&lt;&gt;"",ISNA(MATCH($C713,供应商表,0))),"※供应商不在基础资料里",""))))</f>
        <v/>
      </c>
    </row>
    <row r="714">
      <c r="A714" s="17">
        <f>IF($D714="","",ROW()-3)</f>
        <v/>
      </c>
      <c r="B714" s="18" t="n"/>
      <c r="C714" s="13" t="n"/>
      <c r="D714" s="13" t="n"/>
      <c r="E714" s="13" t="n"/>
      <c r="F714" s="17">
        <f>IF($D714="","",IFERROR(VLOOKUP($E714,材料归属,2,0),"※材料类别没选"))</f>
        <v/>
      </c>
      <c r="G714" s="13" t="n"/>
      <c r="H714" s="13" t="n"/>
      <c r="I714" s="13" t="n"/>
      <c r="J714" s="20" t="n"/>
      <c r="K714" s="14" t="n"/>
      <c r="L714" s="19">
        <f>IF($D714="","",ROUND(IF($J714="",1,$J714)*N($K714),2))</f>
        <v/>
      </c>
      <c r="M714" s="13" t="n"/>
      <c r="N714" s="17">
        <f>IF($D714="","",IF(ISNA(MATCH($D714,项目名表,0)),"※项目不在项目台账里",IF($F714="※材料类别没选","※材料类别没选",IF(AND($C714&lt;&gt;"",ISNA(MATCH($C714,供应商表,0))),"※供应商不在基础资料里",""))))</f>
        <v/>
      </c>
    </row>
    <row r="715">
      <c r="A715" s="17">
        <f>IF($D715="","",ROW()-3)</f>
        <v/>
      </c>
      <c r="B715" s="18" t="n"/>
      <c r="C715" s="13" t="n"/>
      <c r="D715" s="13" t="n"/>
      <c r="E715" s="13" t="n"/>
      <c r="F715" s="17">
        <f>IF($D715="","",IFERROR(VLOOKUP($E715,材料归属,2,0),"※材料类别没选"))</f>
        <v/>
      </c>
      <c r="G715" s="13" t="n"/>
      <c r="H715" s="13" t="n"/>
      <c r="I715" s="13" t="n"/>
      <c r="J715" s="20" t="n"/>
      <c r="K715" s="14" t="n"/>
      <c r="L715" s="19">
        <f>IF($D715="","",ROUND(IF($J715="",1,$J715)*N($K715),2))</f>
        <v/>
      </c>
      <c r="M715" s="13" t="n"/>
      <c r="N715" s="17">
        <f>IF($D715="","",IF(ISNA(MATCH($D715,项目名表,0)),"※项目不在项目台账里",IF($F715="※材料类别没选","※材料类别没选",IF(AND($C715&lt;&gt;"",ISNA(MATCH($C715,供应商表,0))),"※供应商不在基础资料里",""))))</f>
        <v/>
      </c>
    </row>
    <row r="716">
      <c r="A716" s="17">
        <f>IF($D716="","",ROW()-3)</f>
        <v/>
      </c>
      <c r="B716" s="18" t="n"/>
      <c r="C716" s="13" t="n"/>
      <c r="D716" s="13" t="n"/>
      <c r="E716" s="13" t="n"/>
      <c r="F716" s="17">
        <f>IF($D716="","",IFERROR(VLOOKUP($E716,材料归属,2,0),"※材料类别没选"))</f>
        <v/>
      </c>
      <c r="G716" s="13" t="n"/>
      <c r="H716" s="13" t="n"/>
      <c r="I716" s="13" t="n"/>
      <c r="J716" s="20" t="n"/>
      <c r="K716" s="14" t="n"/>
      <c r="L716" s="19">
        <f>IF($D716="","",ROUND(IF($J716="",1,$J716)*N($K716),2))</f>
        <v/>
      </c>
      <c r="M716" s="13" t="n"/>
      <c r="N716" s="17">
        <f>IF($D716="","",IF(ISNA(MATCH($D716,项目名表,0)),"※项目不在项目台账里",IF($F716="※材料类别没选","※材料类别没选",IF(AND($C716&lt;&gt;"",ISNA(MATCH($C716,供应商表,0))),"※供应商不在基础资料里",""))))</f>
        <v/>
      </c>
    </row>
    <row r="717">
      <c r="A717" s="17">
        <f>IF($D717="","",ROW()-3)</f>
        <v/>
      </c>
      <c r="B717" s="18" t="n"/>
      <c r="C717" s="13" t="n"/>
      <c r="D717" s="13" t="n"/>
      <c r="E717" s="13" t="n"/>
      <c r="F717" s="17">
        <f>IF($D717="","",IFERROR(VLOOKUP($E717,材料归属,2,0),"※材料类别没选"))</f>
        <v/>
      </c>
      <c r="G717" s="13" t="n"/>
      <c r="H717" s="13" t="n"/>
      <c r="I717" s="13" t="n"/>
      <c r="J717" s="20" t="n"/>
      <c r="K717" s="14" t="n"/>
      <c r="L717" s="19">
        <f>IF($D717="","",ROUND(IF($J717="",1,$J717)*N($K717),2))</f>
        <v/>
      </c>
      <c r="M717" s="13" t="n"/>
      <c r="N717" s="17">
        <f>IF($D717="","",IF(ISNA(MATCH($D717,项目名表,0)),"※项目不在项目台账里",IF($F717="※材料类别没选","※材料类别没选",IF(AND($C717&lt;&gt;"",ISNA(MATCH($C717,供应商表,0))),"※供应商不在基础资料里",""))))</f>
        <v/>
      </c>
    </row>
    <row r="718">
      <c r="A718" s="17">
        <f>IF($D718="","",ROW()-3)</f>
        <v/>
      </c>
      <c r="B718" s="18" t="n"/>
      <c r="C718" s="13" t="n"/>
      <c r="D718" s="13" t="n"/>
      <c r="E718" s="13" t="n"/>
      <c r="F718" s="17">
        <f>IF($D718="","",IFERROR(VLOOKUP($E718,材料归属,2,0),"※材料类别没选"))</f>
        <v/>
      </c>
      <c r="G718" s="13" t="n"/>
      <c r="H718" s="13" t="n"/>
      <c r="I718" s="13" t="n"/>
      <c r="J718" s="20" t="n"/>
      <c r="K718" s="14" t="n"/>
      <c r="L718" s="19">
        <f>IF($D718="","",ROUND(IF($J718="",1,$J718)*N($K718),2))</f>
        <v/>
      </c>
      <c r="M718" s="13" t="n"/>
      <c r="N718" s="17">
        <f>IF($D718="","",IF(ISNA(MATCH($D718,项目名表,0)),"※项目不在项目台账里",IF($F718="※材料类别没选","※材料类别没选",IF(AND($C718&lt;&gt;"",ISNA(MATCH($C718,供应商表,0))),"※供应商不在基础资料里",""))))</f>
        <v/>
      </c>
    </row>
    <row r="719">
      <c r="A719" s="17">
        <f>IF($D719="","",ROW()-3)</f>
        <v/>
      </c>
      <c r="B719" s="18" t="n"/>
      <c r="C719" s="13" t="n"/>
      <c r="D719" s="13" t="n"/>
      <c r="E719" s="13" t="n"/>
      <c r="F719" s="17">
        <f>IF($D719="","",IFERROR(VLOOKUP($E719,材料归属,2,0),"※材料类别没选"))</f>
        <v/>
      </c>
      <c r="G719" s="13" t="n"/>
      <c r="H719" s="13" t="n"/>
      <c r="I719" s="13" t="n"/>
      <c r="J719" s="20" t="n"/>
      <c r="K719" s="14" t="n"/>
      <c r="L719" s="19">
        <f>IF($D719="","",ROUND(IF($J719="",1,$J719)*N($K719),2))</f>
        <v/>
      </c>
      <c r="M719" s="13" t="n"/>
      <c r="N719" s="17">
        <f>IF($D719="","",IF(ISNA(MATCH($D719,项目名表,0)),"※项目不在项目台账里",IF($F719="※材料类别没选","※材料类别没选",IF(AND($C719&lt;&gt;"",ISNA(MATCH($C719,供应商表,0))),"※供应商不在基础资料里",""))))</f>
        <v/>
      </c>
    </row>
    <row r="720">
      <c r="A720" s="17">
        <f>IF($D720="","",ROW()-3)</f>
        <v/>
      </c>
      <c r="B720" s="18" t="n"/>
      <c r="C720" s="13" t="n"/>
      <c r="D720" s="13" t="n"/>
      <c r="E720" s="13" t="n"/>
      <c r="F720" s="17">
        <f>IF($D720="","",IFERROR(VLOOKUP($E720,材料归属,2,0),"※材料类别没选"))</f>
        <v/>
      </c>
      <c r="G720" s="13" t="n"/>
      <c r="H720" s="13" t="n"/>
      <c r="I720" s="13" t="n"/>
      <c r="J720" s="20" t="n"/>
      <c r="K720" s="14" t="n"/>
      <c r="L720" s="19">
        <f>IF($D720="","",ROUND(IF($J720="",1,$J720)*N($K720),2))</f>
        <v/>
      </c>
      <c r="M720" s="13" t="n"/>
      <c r="N720" s="17">
        <f>IF($D720="","",IF(ISNA(MATCH($D720,项目名表,0)),"※项目不在项目台账里",IF($F720="※材料类别没选","※材料类别没选",IF(AND($C720&lt;&gt;"",ISNA(MATCH($C720,供应商表,0))),"※供应商不在基础资料里",""))))</f>
        <v/>
      </c>
    </row>
    <row r="721">
      <c r="A721" s="17">
        <f>IF($D721="","",ROW()-3)</f>
        <v/>
      </c>
      <c r="B721" s="18" t="n"/>
      <c r="C721" s="13" t="n"/>
      <c r="D721" s="13" t="n"/>
      <c r="E721" s="13" t="n"/>
      <c r="F721" s="17">
        <f>IF($D721="","",IFERROR(VLOOKUP($E721,材料归属,2,0),"※材料类别没选"))</f>
        <v/>
      </c>
      <c r="G721" s="13" t="n"/>
      <c r="H721" s="13" t="n"/>
      <c r="I721" s="13" t="n"/>
      <c r="J721" s="20" t="n"/>
      <c r="K721" s="14" t="n"/>
      <c r="L721" s="19">
        <f>IF($D721="","",ROUND(IF($J721="",1,$J721)*N($K721),2))</f>
        <v/>
      </c>
      <c r="M721" s="13" t="n"/>
      <c r="N721" s="17">
        <f>IF($D721="","",IF(ISNA(MATCH($D721,项目名表,0)),"※项目不在项目台账里",IF($F721="※材料类别没选","※材料类别没选",IF(AND($C721&lt;&gt;"",ISNA(MATCH($C721,供应商表,0))),"※供应商不在基础资料里",""))))</f>
        <v/>
      </c>
    </row>
    <row r="722">
      <c r="A722" s="17">
        <f>IF($D722="","",ROW()-3)</f>
        <v/>
      </c>
      <c r="B722" s="18" t="n"/>
      <c r="C722" s="13" t="n"/>
      <c r="D722" s="13" t="n"/>
      <c r="E722" s="13" t="n"/>
      <c r="F722" s="17">
        <f>IF($D722="","",IFERROR(VLOOKUP($E722,材料归属,2,0),"※材料类别没选"))</f>
        <v/>
      </c>
      <c r="G722" s="13" t="n"/>
      <c r="H722" s="13" t="n"/>
      <c r="I722" s="13" t="n"/>
      <c r="J722" s="20" t="n"/>
      <c r="K722" s="14" t="n"/>
      <c r="L722" s="19">
        <f>IF($D722="","",ROUND(IF($J722="",1,$J722)*N($K722),2))</f>
        <v/>
      </c>
      <c r="M722" s="13" t="n"/>
      <c r="N722" s="17">
        <f>IF($D722="","",IF(ISNA(MATCH($D722,项目名表,0)),"※项目不在项目台账里",IF($F722="※材料类别没选","※材料类别没选",IF(AND($C722&lt;&gt;"",ISNA(MATCH($C722,供应商表,0))),"※供应商不在基础资料里",""))))</f>
        <v/>
      </c>
    </row>
    <row r="723">
      <c r="A723" s="17">
        <f>IF($D723="","",ROW()-3)</f>
        <v/>
      </c>
      <c r="B723" s="18" t="n"/>
      <c r="C723" s="13" t="n"/>
      <c r="D723" s="13" t="n"/>
      <c r="E723" s="13" t="n"/>
      <c r="F723" s="17">
        <f>IF($D723="","",IFERROR(VLOOKUP($E723,材料归属,2,0),"※材料类别没选"))</f>
        <v/>
      </c>
      <c r="G723" s="13" t="n"/>
      <c r="H723" s="13" t="n"/>
      <c r="I723" s="13" t="n"/>
      <c r="J723" s="20" t="n"/>
      <c r="K723" s="14" t="n"/>
      <c r="L723" s="19">
        <f>IF($D723="","",ROUND(IF($J723="",1,$J723)*N($K723),2))</f>
        <v/>
      </c>
      <c r="M723" s="13" t="n"/>
      <c r="N723" s="17">
        <f>IF($D723="","",IF(ISNA(MATCH($D723,项目名表,0)),"※项目不在项目台账里",IF($F723="※材料类别没选","※材料类别没选",IF(AND($C723&lt;&gt;"",ISNA(MATCH($C723,供应商表,0))),"※供应商不在基础资料里",""))))</f>
        <v/>
      </c>
    </row>
    <row r="724">
      <c r="A724" s="17">
        <f>IF($D724="","",ROW()-3)</f>
        <v/>
      </c>
      <c r="B724" s="18" t="n"/>
      <c r="C724" s="13" t="n"/>
      <c r="D724" s="13" t="n"/>
      <c r="E724" s="13" t="n"/>
      <c r="F724" s="17">
        <f>IF($D724="","",IFERROR(VLOOKUP($E724,材料归属,2,0),"※材料类别没选"))</f>
        <v/>
      </c>
      <c r="G724" s="13" t="n"/>
      <c r="H724" s="13" t="n"/>
      <c r="I724" s="13" t="n"/>
      <c r="J724" s="20" t="n"/>
      <c r="K724" s="14" t="n"/>
      <c r="L724" s="19">
        <f>IF($D724="","",ROUND(IF($J724="",1,$J724)*N($K724),2))</f>
        <v/>
      </c>
      <c r="M724" s="13" t="n"/>
      <c r="N724" s="17">
        <f>IF($D724="","",IF(ISNA(MATCH($D724,项目名表,0)),"※项目不在项目台账里",IF($F724="※材料类别没选","※材料类别没选",IF(AND($C724&lt;&gt;"",ISNA(MATCH($C724,供应商表,0))),"※供应商不在基础资料里",""))))</f>
        <v/>
      </c>
    </row>
    <row r="725">
      <c r="A725" s="17">
        <f>IF($D725="","",ROW()-3)</f>
        <v/>
      </c>
      <c r="B725" s="18" t="n"/>
      <c r="C725" s="13" t="n"/>
      <c r="D725" s="13" t="n"/>
      <c r="E725" s="13" t="n"/>
      <c r="F725" s="17">
        <f>IF($D725="","",IFERROR(VLOOKUP($E725,材料归属,2,0),"※材料类别没选"))</f>
        <v/>
      </c>
      <c r="G725" s="13" t="n"/>
      <c r="H725" s="13" t="n"/>
      <c r="I725" s="13" t="n"/>
      <c r="J725" s="20" t="n"/>
      <c r="K725" s="14" t="n"/>
      <c r="L725" s="19">
        <f>IF($D725="","",ROUND(IF($J725="",1,$J725)*N($K725),2))</f>
        <v/>
      </c>
      <c r="M725" s="13" t="n"/>
      <c r="N725" s="17">
        <f>IF($D725="","",IF(ISNA(MATCH($D725,项目名表,0)),"※项目不在项目台账里",IF($F725="※材料类别没选","※材料类别没选",IF(AND($C725&lt;&gt;"",ISNA(MATCH($C725,供应商表,0))),"※供应商不在基础资料里",""))))</f>
        <v/>
      </c>
    </row>
    <row r="726">
      <c r="A726" s="17">
        <f>IF($D726="","",ROW()-3)</f>
        <v/>
      </c>
      <c r="B726" s="18" t="n"/>
      <c r="C726" s="13" t="n"/>
      <c r="D726" s="13" t="n"/>
      <c r="E726" s="13" t="n"/>
      <c r="F726" s="17">
        <f>IF($D726="","",IFERROR(VLOOKUP($E726,材料归属,2,0),"※材料类别没选"))</f>
        <v/>
      </c>
      <c r="G726" s="13" t="n"/>
      <c r="H726" s="13" t="n"/>
      <c r="I726" s="13" t="n"/>
      <c r="J726" s="20" t="n"/>
      <c r="K726" s="14" t="n"/>
      <c r="L726" s="19">
        <f>IF($D726="","",ROUND(IF($J726="",1,$J726)*N($K726),2))</f>
        <v/>
      </c>
      <c r="M726" s="13" t="n"/>
      <c r="N726" s="17">
        <f>IF($D726="","",IF(ISNA(MATCH($D726,项目名表,0)),"※项目不在项目台账里",IF($F726="※材料类别没选","※材料类别没选",IF(AND($C726&lt;&gt;"",ISNA(MATCH($C726,供应商表,0))),"※供应商不在基础资料里",""))))</f>
        <v/>
      </c>
    </row>
    <row r="727">
      <c r="A727" s="17">
        <f>IF($D727="","",ROW()-3)</f>
        <v/>
      </c>
      <c r="B727" s="18" t="n"/>
      <c r="C727" s="13" t="n"/>
      <c r="D727" s="13" t="n"/>
      <c r="E727" s="13" t="n"/>
      <c r="F727" s="17">
        <f>IF($D727="","",IFERROR(VLOOKUP($E727,材料归属,2,0),"※材料类别没选"))</f>
        <v/>
      </c>
      <c r="G727" s="13" t="n"/>
      <c r="H727" s="13" t="n"/>
      <c r="I727" s="13" t="n"/>
      <c r="J727" s="20" t="n"/>
      <c r="K727" s="14" t="n"/>
      <c r="L727" s="19">
        <f>IF($D727="","",ROUND(IF($J727="",1,$J727)*N($K727),2))</f>
        <v/>
      </c>
      <c r="M727" s="13" t="n"/>
      <c r="N727" s="17">
        <f>IF($D727="","",IF(ISNA(MATCH($D727,项目名表,0)),"※项目不在项目台账里",IF($F727="※材料类别没选","※材料类别没选",IF(AND($C727&lt;&gt;"",ISNA(MATCH($C727,供应商表,0))),"※供应商不在基础资料里",""))))</f>
        <v/>
      </c>
    </row>
    <row r="728">
      <c r="A728" s="17">
        <f>IF($D728="","",ROW()-3)</f>
        <v/>
      </c>
      <c r="B728" s="18" t="n"/>
      <c r="C728" s="13" t="n"/>
      <c r="D728" s="13" t="n"/>
      <c r="E728" s="13" t="n"/>
      <c r="F728" s="17">
        <f>IF($D728="","",IFERROR(VLOOKUP($E728,材料归属,2,0),"※材料类别没选"))</f>
        <v/>
      </c>
      <c r="G728" s="13" t="n"/>
      <c r="H728" s="13" t="n"/>
      <c r="I728" s="13" t="n"/>
      <c r="J728" s="20" t="n"/>
      <c r="K728" s="14" t="n"/>
      <c r="L728" s="19">
        <f>IF($D728="","",ROUND(IF($J728="",1,$J728)*N($K728),2))</f>
        <v/>
      </c>
      <c r="M728" s="13" t="n"/>
      <c r="N728" s="17">
        <f>IF($D728="","",IF(ISNA(MATCH($D728,项目名表,0)),"※项目不在项目台账里",IF($F728="※材料类别没选","※材料类别没选",IF(AND($C728&lt;&gt;"",ISNA(MATCH($C728,供应商表,0))),"※供应商不在基础资料里",""))))</f>
        <v/>
      </c>
    </row>
    <row r="729">
      <c r="A729" s="17">
        <f>IF($D729="","",ROW()-3)</f>
        <v/>
      </c>
      <c r="B729" s="18" t="n"/>
      <c r="C729" s="13" t="n"/>
      <c r="D729" s="13" t="n"/>
      <c r="E729" s="13" t="n"/>
      <c r="F729" s="17">
        <f>IF($D729="","",IFERROR(VLOOKUP($E729,材料归属,2,0),"※材料类别没选"))</f>
        <v/>
      </c>
      <c r="G729" s="13" t="n"/>
      <c r="H729" s="13" t="n"/>
      <c r="I729" s="13" t="n"/>
      <c r="J729" s="20" t="n"/>
      <c r="K729" s="14" t="n"/>
      <c r="L729" s="19">
        <f>IF($D729="","",ROUND(IF($J729="",1,$J729)*N($K729),2))</f>
        <v/>
      </c>
      <c r="M729" s="13" t="n"/>
      <c r="N729" s="17">
        <f>IF($D729="","",IF(ISNA(MATCH($D729,项目名表,0)),"※项目不在项目台账里",IF($F729="※材料类别没选","※材料类别没选",IF(AND($C729&lt;&gt;"",ISNA(MATCH($C729,供应商表,0))),"※供应商不在基础资料里",""))))</f>
        <v/>
      </c>
    </row>
    <row r="730">
      <c r="A730" s="17">
        <f>IF($D730="","",ROW()-3)</f>
        <v/>
      </c>
      <c r="B730" s="18" t="n"/>
      <c r="C730" s="13" t="n"/>
      <c r="D730" s="13" t="n"/>
      <c r="E730" s="13" t="n"/>
      <c r="F730" s="17">
        <f>IF($D730="","",IFERROR(VLOOKUP($E730,材料归属,2,0),"※材料类别没选"))</f>
        <v/>
      </c>
      <c r="G730" s="13" t="n"/>
      <c r="H730" s="13" t="n"/>
      <c r="I730" s="13" t="n"/>
      <c r="J730" s="20" t="n"/>
      <c r="K730" s="14" t="n"/>
      <c r="L730" s="19">
        <f>IF($D730="","",ROUND(IF($J730="",1,$J730)*N($K730),2))</f>
        <v/>
      </c>
      <c r="M730" s="13" t="n"/>
      <c r="N730" s="17">
        <f>IF($D730="","",IF(ISNA(MATCH($D730,项目名表,0)),"※项目不在项目台账里",IF($F730="※材料类别没选","※材料类别没选",IF(AND($C730&lt;&gt;"",ISNA(MATCH($C730,供应商表,0))),"※供应商不在基础资料里",""))))</f>
        <v/>
      </c>
    </row>
    <row r="731">
      <c r="A731" s="17">
        <f>IF($D731="","",ROW()-3)</f>
        <v/>
      </c>
      <c r="B731" s="18" t="n"/>
      <c r="C731" s="13" t="n"/>
      <c r="D731" s="13" t="n"/>
      <c r="E731" s="13" t="n"/>
      <c r="F731" s="17">
        <f>IF($D731="","",IFERROR(VLOOKUP($E731,材料归属,2,0),"※材料类别没选"))</f>
        <v/>
      </c>
      <c r="G731" s="13" t="n"/>
      <c r="H731" s="13" t="n"/>
      <c r="I731" s="13" t="n"/>
      <c r="J731" s="20" t="n"/>
      <c r="K731" s="14" t="n"/>
      <c r="L731" s="19">
        <f>IF($D731="","",ROUND(IF($J731="",1,$J731)*N($K731),2))</f>
        <v/>
      </c>
      <c r="M731" s="13" t="n"/>
      <c r="N731" s="17">
        <f>IF($D731="","",IF(ISNA(MATCH($D731,项目名表,0)),"※项目不在项目台账里",IF($F731="※材料类别没选","※材料类别没选",IF(AND($C731&lt;&gt;"",ISNA(MATCH($C731,供应商表,0))),"※供应商不在基础资料里",""))))</f>
        <v/>
      </c>
    </row>
    <row r="732">
      <c r="A732" s="17">
        <f>IF($D732="","",ROW()-3)</f>
        <v/>
      </c>
      <c r="B732" s="18" t="n"/>
      <c r="C732" s="13" t="n"/>
      <c r="D732" s="13" t="n"/>
      <c r="E732" s="13" t="n"/>
      <c r="F732" s="17">
        <f>IF($D732="","",IFERROR(VLOOKUP($E732,材料归属,2,0),"※材料类别没选"))</f>
        <v/>
      </c>
      <c r="G732" s="13" t="n"/>
      <c r="H732" s="13" t="n"/>
      <c r="I732" s="13" t="n"/>
      <c r="J732" s="20" t="n"/>
      <c r="K732" s="14" t="n"/>
      <c r="L732" s="19">
        <f>IF($D732="","",ROUND(IF($J732="",1,$J732)*N($K732),2))</f>
        <v/>
      </c>
      <c r="M732" s="13" t="n"/>
      <c r="N732" s="17">
        <f>IF($D732="","",IF(ISNA(MATCH($D732,项目名表,0)),"※项目不在项目台账里",IF($F732="※材料类别没选","※材料类别没选",IF(AND($C732&lt;&gt;"",ISNA(MATCH($C732,供应商表,0))),"※供应商不在基础资料里",""))))</f>
        <v/>
      </c>
    </row>
    <row r="733">
      <c r="A733" s="17">
        <f>IF($D733="","",ROW()-3)</f>
        <v/>
      </c>
      <c r="B733" s="18" t="n"/>
      <c r="C733" s="13" t="n"/>
      <c r="D733" s="13" t="n"/>
      <c r="E733" s="13" t="n"/>
      <c r="F733" s="17">
        <f>IF($D733="","",IFERROR(VLOOKUP($E733,材料归属,2,0),"※材料类别没选"))</f>
        <v/>
      </c>
      <c r="G733" s="13" t="n"/>
      <c r="H733" s="13" t="n"/>
      <c r="I733" s="13" t="n"/>
      <c r="J733" s="20" t="n"/>
      <c r="K733" s="14" t="n"/>
      <c r="L733" s="19">
        <f>IF($D733="","",ROUND(IF($J733="",1,$J733)*N($K733),2))</f>
        <v/>
      </c>
      <c r="M733" s="13" t="n"/>
      <c r="N733" s="17">
        <f>IF($D733="","",IF(ISNA(MATCH($D733,项目名表,0)),"※项目不在项目台账里",IF($F733="※材料类别没选","※材料类别没选",IF(AND($C733&lt;&gt;"",ISNA(MATCH($C733,供应商表,0))),"※供应商不在基础资料里",""))))</f>
        <v/>
      </c>
    </row>
    <row r="734">
      <c r="A734" s="17">
        <f>IF($D734="","",ROW()-3)</f>
        <v/>
      </c>
      <c r="B734" s="18" t="n"/>
      <c r="C734" s="13" t="n"/>
      <c r="D734" s="13" t="n"/>
      <c r="E734" s="13" t="n"/>
      <c r="F734" s="17">
        <f>IF($D734="","",IFERROR(VLOOKUP($E734,材料归属,2,0),"※材料类别没选"))</f>
        <v/>
      </c>
      <c r="G734" s="13" t="n"/>
      <c r="H734" s="13" t="n"/>
      <c r="I734" s="13" t="n"/>
      <c r="J734" s="20" t="n"/>
      <c r="K734" s="14" t="n"/>
      <c r="L734" s="19">
        <f>IF($D734="","",ROUND(IF($J734="",1,$J734)*N($K734),2))</f>
        <v/>
      </c>
      <c r="M734" s="13" t="n"/>
      <c r="N734" s="17">
        <f>IF($D734="","",IF(ISNA(MATCH($D734,项目名表,0)),"※项目不在项目台账里",IF($F734="※材料类别没选","※材料类别没选",IF(AND($C734&lt;&gt;"",ISNA(MATCH($C734,供应商表,0))),"※供应商不在基础资料里",""))))</f>
        <v/>
      </c>
    </row>
    <row r="735">
      <c r="A735" s="17">
        <f>IF($D735="","",ROW()-3)</f>
        <v/>
      </c>
      <c r="B735" s="18" t="n"/>
      <c r="C735" s="13" t="n"/>
      <c r="D735" s="13" t="n"/>
      <c r="E735" s="13" t="n"/>
      <c r="F735" s="17">
        <f>IF($D735="","",IFERROR(VLOOKUP($E735,材料归属,2,0),"※材料类别没选"))</f>
        <v/>
      </c>
      <c r="G735" s="13" t="n"/>
      <c r="H735" s="13" t="n"/>
      <c r="I735" s="13" t="n"/>
      <c r="J735" s="20" t="n"/>
      <c r="K735" s="14" t="n"/>
      <c r="L735" s="19">
        <f>IF($D735="","",ROUND(IF($J735="",1,$J735)*N($K735),2))</f>
        <v/>
      </c>
      <c r="M735" s="13" t="n"/>
      <c r="N735" s="17">
        <f>IF($D735="","",IF(ISNA(MATCH($D735,项目名表,0)),"※项目不在项目台账里",IF($F735="※材料类别没选","※材料类别没选",IF(AND($C735&lt;&gt;"",ISNA(MATCH($C735,供应商表,0))),"※供应商不在基础资料里",""))))</f>
        <v/>
      </c>
    </row>
    <row r="736">
      <c r="A736" s="17">
        <f>IF($D736="","",ROW()-3)</f>
        <v/>
      </c>
      <c r="B736" s="18" t="n"/>
      <c r="C736" s="13" t="n"/>
      <c r="D736" s="13" t="n"/>
      <c r="E736" s="13" t="n"/>
      <c r="F736" s="17">
        <f>IF($D736="","",IFERROR(VLOOKUP($E736,材料归属,2,0),"※材料类别没选"))</f>
        <v/>
      </c>
      <c r="G736" s="13" t="n"/>
      <c r="H736" s="13" t="n"/>
      <c r="I736" s="13" t="n"/>
      <c r="J736" s="20" t="n"/>
      <c r="K736" s="14" t="n"/>
      <c r="L736" s="19">
        <f>IF($D736="","",ROUND(IF($J736="",1,$J736)*N($K736),2))</f>
        <v/>
      </c>
      <c r="M736" s="13" t="n"/>
      <c r="N736" s="17">
        <f>IF($D736="","",IF(ISNA(MATCH($D736,项目名表,0)),"※项目不在项目台账里",IF($F736="※材料类别没选","※材料类别没选",IF(AND($C736&lt;&gt;"",ISNA(MATCH($C736,供应商表,0))),"※供应商不在基础资料里",""))))</f>
        <v/>
      </c>
    </row>
    <row r="737">
      <c r="A737" s="17">
        <f>IF($D737="","",ROW()-3)</f>
        <v/>
      </c>
      <c r="B737" s="18" t="n"/>
      <c r="C737" s="13" t="n"/>
      <c r="D737" s="13" t="n"/>
      <c r="E737" s="13" t="n"/>
      <c r="F737" s="17">
        <f>IF($D737="","",IFERROR(VLOOKUP($E737,材料归属,2,0),"※材料类别没选"))</f>
        <v/>
      </c>
      <c r="G737" s="13" t="n"/>
      <c r="H737" s="13" t="n"/>
      <c r="I737" s="13" t="n"/>
      <c r="J737" s="20" t="n"/>
      <c r="K737" s="14" t="n"/>
      <c r="L737" s="19">
        <f>IF($D737="","",ROUND(IF($J737="",1,$J737)*N($K737),2))</f>
        <v/>
      </c>
      <c r="M737" s="13" t="n"/>
      <c r="N737" s="17">
        <f>IF($D737="","",IF(ISNA(MATCH($D737,项目名表,0)),"※项目不在项目台账里",IF($F737="※材料类别没选","※材料类别没选",IF(AND($C737&lt;&gt;"",ISNA(MATCH($C737,供应商表,0))),"※供应商不在基础资料里",""))))</f>
        <v/>
      </c>
    </row>
    <row r="738">
      <c r="A738" s="17">
        <f>IF($D738="","",ROW()-3)</f>
        <v/>
      </c>
      <c r="B738" s="18" t="n"/>
      <c r="C738" s="13" t="n"/>
      <c r="D738" s="13" t="n"/>
      <c r="E738" s="13" t="n"/>
      <c r="F738" s="17">
        <f>IF($D738="","",IFERROR(VLOOKUP($E738,材料归属,2,0),"※材料类别没选"))</f>
        <v/>
      </c>
      <c r="G738" s="13" t="n"/>
      <c r="H738" s="13" t="n"/>
      <c r="I738" s="13" t="n"/>
      <c r="J738" s="20" t="n"/>
      <c r="K738" s="14" t="n"/>
      <c r="L738" s="19">
        <f>IF($D738="","",ROUND(IF($J738="",1,$J738)*N($K738),2))</f>
        <v/>
      </c>
      <c r="M738" s="13" t="n"/>
      <c r="N738" s="17">
        <f>IF($D738="","",IF(ISNA(MATCH($D738,项目名表,0)),"※项目不在项目台账里",IF($F738="※材料类别没选","※材料类别没选",IF(AND($C738&lt;&gt;"",ISNA(MATCH($C738,供应商表,0))),"※供应商不在基础资料里",""))))</f>
        <v/>
      </c>
    </row>
    <row r="739">
      <c r="A739" s="17">
        <f>IF($D739="","",ROW()-3)</f>
        <v/>
      </c>
      <c r="B739" s="18" t="n"/>
      <c r="C739" s="13" t="n"/>
      <c r="D739" s="13" t="n"/>
      <c r="E739" s="13" t="n"/>
      <c r="F739" s="17">
        <f>IF($D739="","",IFERROR(VLOOKUP($E739,材料归属,2,0),"※材料类别没选"))</f>
        <v/>
      </c>
      <c r="G739" s="13" t="n"/>
      <c r="H739" s="13" t="n"/>
      <c r="I739" s="13" t="n"/>
      <c r="J739" s="20" t="n"/>
      <c r="K739" s="14" t="n"/>
      <c r="L739" s="19">
        <f>IF($D739="","",ROUND(IF($J739="",1,$J739)*N($K739),2))</f>
        <v/>
      </c>
      <c r="M739" s="13" t="n"/>
      <c r="N739" s="17">
        <f>IF($D739="","",IF(ISNA(MATCH($D739,项目名表,0)),"※项目不在项目台账里",IF($F739="※材料类别没选","※材料类别没选",IF(AND($C739&lt;&gt;"",ISNA(MATCH($C739,供应商表,0))),"※供应商不在基础资料里",""))))</f>
        <v/>
      </c>
    </row>
    <row r="740">
      <c r="A740" s="17">
        <f>IF($D740="","",ROW()-3)</f>
        <v/>
      </c>
      <c r="B740" s="18" t="n"/>
      <c r="C740" s="13" t="n"/>
      <c r="D740" s="13" t="n"/>
      <c r="E740" s="13" t="n"/>
      <c r="F740" s="17">
        <f>IF($D740="","",IFERROR(VLOOKUP($E740,材料归属,2,0),"※材料类别没选"))</f>
        <v/>
      </c>
      <c r="G740" s="13" t="n"/>
      <c r="H740" s="13" t="n"/>
      <c r="I740" s="13" t="n"/>
      <c r="J740" s="20" t="n"/>
      <c r="K740" s="14" t="n"/>
      <c r="L740" s="19">
        <f>IF($D740="","",ROUND(IF($J740="",1,$J740)*N($K740),2))</f>
        <v/>
      </c>
      <c r="M740" s="13" t="n"/>
      <c r="N740" s="17">
        <f>IF($D740="","",IF(ISNA(MATCH($D740,项目名表,0)),"※项目不在项目台账里",IF($F740="※材料类别没选","※材料类别没选",IF(AND($C740&lt;&gt;"",ISNA(MATCH($C740,供应商表,0))),"※供应商不在基础资料里",""))))</f>
        <v/>
      </c>
    </row>
    <row r="741">
      <c r="A741" s="17">
        <f>IF($D741="","",ROW()-3)</f>
        <v/>
      </c>
      <c r="B741" s="18" t="n"/>
      <c r="C741" s="13" t="n"/>
      <c r="D741" s="13" t="n"/>
      <c r="E741" s="13" t="n"/>
      <c r="F741" s="17">
        <f>IF($D741="","",IFERROR(VLOOKUP($E741,材料归属,2,0),"※材料类别没选"))</f>
        <v/>
      </c>
      <c r="G741" s="13" t="n"/>
      <c r="H741" s="13" t="n"/>
      <c r="I741" s="13" t="n"/>
      <c r="J741" s="20" t="n"/>
      <c r="K741" s="14" t="n"/>
      <c r="L741" s="19">
        <f>IF($D741="","",ROUND(IF($J741="",1,$J741)*N($K741),2))</f>
        <v/>
      </c>
      <c r="M741" s="13" t="n"/>
      <c r="N741" s="17">
        <f>IF($D741="","",IF(ISNA(MATCH($D741,项目名表,0)),"※项目不在项目台账里",IF($F741="※材料类别没选","※材料类别没选",IF(AND($C741&lt;&gt;"",ISNA(MATCH($C741,供应商表,0))),"※供应商不在基础资料里",""))))</f>
        <v/>
      </c>
    </row>
    <row r="742">
      <c r="A742" s="17">
        <f>IF($D742="","",ROW()-3)</f>
        <v/>
      </c>
      <c r="B742" s="18" t="n"/>
      <c r="C742" s="13" t="n"/>
      <c r="D742" s="13" t="n"/>
      <c r="E742" s="13" t="n"/>
      <c r="F742" s="17">
        <f>IF($D742="","",IFERROR(VLOOKUP($E742,材料归属,2,0),"※材料类别没选"))</f>
        <v/>
      </c>
      <c r="G742" s="13" t="n"/>
      <c r="H742" s="13" t="n"/>
      <c r="I742" s="13" t="n"/>
      <c r="J742" s="20" t="n"/>
      <c r="K742" s="14" t="n"/>
      <c r="L742" s="19">
        <f>IF($D742="","",ROUND(IF($J742="",1,$J742)*N($K742),2))</f>
        <v/>
      </c>
      <c r="M742" s="13" t="n"/>
      <c r="N742" s="17">
        <f>IF($D742="","",IF(ISNA(MATCH($D742,项目名表,0)),"※项目不在项目台账里",IF($F742="※材料类别没选","※材料类别没选",IF(AND($C742&lt;&gt;"",ISNA(MATCH($C742,供应商表,0))),"※供应商不在基础资料里",""))))</f>
        <v/>
      </c>
    </row>
    <row r="743">
      <c r="A743" s="17">
        <f>IF($D743="","",ROW()-3)</f>
        <v/>
      </c>
      <c r="B743" s="18" t="n"/>
      <c r="C743" s="13" t="n"/>
      <c r="D743" s="13" t="n"/>
      <c r="E743" s="13" t="n"/>
      <c r="F743" s="17">
        <f>IF($D743="","",IFERROR(VLOOKUP($E743,材料归属,2,0),"※材料类别没选"))</f>
        <v/>
      </c>
      <c r="G743" s="13" t="n"/>
      <c r="H743" s="13" t="n"/>
      <c r="I743" s="13" t="n"/>
      <c r="J743" s="20" t="n"/>
      <c r="K743" s="14" t="n"/>
      <c r="L743" s="19">
        <f>IF($D743="","",ROUND(IF($J743="",1,$J743)*N($K743),2))</f>
        <v/>
      </c>
      <c r="M743" s="13" t="n"/>
      <c r="N743" s="17">
        <f>IF($D743="","",IF(ISNA(MATCH($D743,项目名表,0)),"※项目不在项目台账里",IF($F743="※材料类别没选","※材料类别没选",IF(AND($C743&lt;&gt;"",ISNA(MATCH($C743,供应商表,0))),"※供应商不在基础资料里",""))))</f>
        <v/>
      </c>
    </row>
    <row r="744">
      <c r="A744" s="17">
        <f>IF($D744="","",ROW()-3)</f>
        <v/>
      </c>
      <c r="B744" s="18" t="n"/>
      <c r="C744" s="13" t="n"/>
      <c r="D744" s="13" t="n"/>
      <c r="E744" s="13" t="n"/>
      <c r="F744" s="17">
        <f>IF($D744="","",IFERROR(VLOOKUP($E744,材料归属,2,0),"※材料类别没选"))</f>
        <v/>
      </c>
      <c r="G744" s="13" t="n"/>
      <c r="H744" s="13" t="n"/>
      <c r="I744" s="13" t="n"/>
      <c r="J744" s="20" t="n"/>
      <c r="K744" s="14" t="n"/>
      <c r="L744" s="19">
        <f>IF($D744="","",ROUND(IF($J744="",1,$J744)*N($K744),2))</f>
        <v/>
      </c>
      <c r="M744" s="13" t="n"/>
      <c r="N744" s="17">
        <f>IF($D744="","",IF(ISNA(MATCH($D744,项目名表,0)),"※项目不在项目台账里",IF($F744="※材料类别没选","※材料类别没选",IF(AND($C744&lt;&gt;"",ISNA(MATCH($C744,供应商表,0))),"※供应商不在基础资料里",""))))</f>
        <v/>
      </c>
    </row>
    <row r="745">
      <c r="A745" s="17">
        <f>IF($D745="","",ROW()-3)</f>
        <v/>
      </c>
      <c r="B745" s="18" t="n"/>
      <c r="C745" s="13" t="n"/>
      <c r="D745" s="13" t="n"/>
      <c r="E745" s="13" t="n"/>
      <c r="F745" s="17">
        <f>IF($D745="","",IFERROR(VLOOKUP($E745,材料归属,2,0),"※材料类别没选"))</f>
        <v/>
      </c>
      <c r="G745" s="13" t="n"/>
      <c r="H745" s="13" t="n"/>
      <c r="I745" s="13" t="n"/>
      <c r="J745" s="20" t="n"/>
      <c r="K745" s="14" t="n"/>
      <c r="L745" s="19">
        <f>IF($D745="","",ROUND(IF($J745="",1,$J745)*N($K745),2))</f>
        <v/>
      </c>
      <c r="M745" s="13" t="n"/>
      <c r="N745" s="17">
        <f>IF($D745="","",IF(ISNA(MATCH($D745,项目名表,0)),"※项目不在项目台账里",IF($F745="※材料类别没选","※材料类别没选",IF(AND($C745&lt;&gt;"",ISNA(MATCH($C745,供应商表,0))),"※供应商不在基础资料里",""))))</f>
        <v/>
      </c>
    </row>
    <row r="746">
      <c r="A746" s="17">
        <f>IF($D746="","",ROW()-3)</f>
        <v/>
      </c>
      <c r="B746" s="18" t="n"/>
      <c r="C746" s="13" t="n"/>
      <c r="D746" s="13" t="n"/>
      <c r="E746" s="13" t="n"/>
      <c r="F746" s="17">
        <f>IF($D746="","",IFERROR(VLOOKUP($E746,材料归属,2,0),"※材料类别没选"))</f>
        <v/>
      </c>
      <c r="G746" s="13" t="n"/>
      <c r="H746" s="13" t="n"/>
      <c r="I746" s="13" t="n"/>
      <c r="J746" s="20" t="n"/>
      <c r="K746" s="14" t="n"/>
      <c r="L746" s="19">
        <f>IF($D746="","",ROUND(IF($J746="",1,$J746)*N($K746),2))</f>
        <v/>
      </c>
      <c r="M746" s="13" t="n"/>
      <c r="N746" s="17">
        <f>IF($D746="","",IF(ISNA(MATCH($D746,项目名表,0)),"※项目不在项目台账里",IF($F746="※材料类别没选","※材料类别没选",IF(AND($C746&lt;&gt;"",ISNA(MATCH($C746,供应商表,0))),"※供应商不在基础资料里",""))))</f>
        <v/>
      </c>
    </row>
    <row r="747">
      <c r="A747" s="17">
        <f>IF($D747="","",ROW()-3)</f>
        <v/>
      </c>
      <c r="B747" s="18" t="n"/>
      <c r="C747" s="13" t="n"/>
      <c r="D747" s="13" t="n"/>
      <c r="E747" s="13" t="n"/>
      <c r="F747" s="17">
        <f>IF($D747="","",IFERROR(VLOOKUP($E747,材料归属,2,0),"※材料类别没选"))</f>
        <v/>
      </c>
      <c r="G747" s="13" t="n"/>
      <c r="H747" s="13" t="n"/>
      <c r="I747" s="13" t="n"/>
      <c r="J747" s="20" t="n"/>
      <c r="K747" s="14" t="n"/>
      <c r="L747" s="19">
        <f>IF($D747="","",ROUND(IF($J747="",1,$J747)*N($K747),2))</f>
        <v/>
      </c>
      <c r="M747" s="13" t="n"/>
      <c r="N747" s="17">
        <f>IF($D747="","",IF(ISNA(MATCH($D747,项目名表,0)),"※项目不在项目台账里",IF($F747="※材料类别没选","※材料类别没选",IF(AND($C747&lt;&gt;"",ISNA(MATCH($C747,供应商表,0))),"※供应商不在基础资料里",""))))</f>
        <v/>
      </c>
    </row>
    <row r="748">
      <c r="A748" s="17">
        <f>IF($D748="","",ROW()-3)</f>
        <v/>
      </c>
      <c r="B748" s="18" t="n"/>
      <c r="C748" s="13" t="n"/>
      <c r="D748" s="13" t="n"/>
      <c r="E748" s="13" t="n"/>
      <c r="F748" s="17">
        <f>IF($D748="","",IFERROR(VLOOKUP($E748,材料归属,2,0),"※材料类别没选"))</f>
        <v/>
      </c>
      <c r="G748" s="13" t="n"/>
      <c r="H748" s="13" t="n"/>
      <c r="I748" s="13" t="n"/>
      <c r="J748" s="20" t="n"/>
      <c r="K748" s="14" t="n"/>
      <c r="L748" s="19">
        <f>IF($D748="","",ROUND(IF($J748="",1,$J748)*N($K748),2))</f>
        <v/>
      </c>
      <c r="M748" s="13" t="n"/>
      <c r="N748" s="17">
        <f>IF($D748="","",IF(ISNA(MATCH($D748,项目名表,0)),"※项目不在项目台账里",IF($F748="※材料类别没选","※材料类别没选",IF(AND($C748&lt;&gt;"",ISNA(MATCH($C748,供应商表,0))),"※供应商不在基础资料里",""))))</f>
        <v/>
      </c>
    </row>
    <row r="749">
      <c r="A749" s="17">
        <f>IF($D749="","",ROW()-3)</f>
        <v/>
      </c>
      <c r="B749" s="18" t="n"/>
      <c r="C749" s="13" t="n"/>
      <c r="D749" s="13" t="n"/>
      <c r="E749" s="13" t="n"/>
      <c r="F749" s="17">
        <f>IF($D749="","",IFERROR(VLOOKUP($E749,材料归属,2,0),"※材料类别没选"))</f>
        <v/>
      </c>
      <c r="G749" s="13" t="n"/>
      <c r="H749" s="13" t="n"/>
      <c r="I749" s="13" t="n"/>
      <c r="J749" s="20" t="n"/>
      <c r="K749" s="14" t="n"/>
      <c r="L749" s="19">
        <f>IF($D749="","",ROUND(IF($J749="",1,$J749)*N($K749),2))</f>
        <v/>
      </c>
      <c r="M749" s="13" t="n"/>
      <c r="N749" s="17">
        <f>IF($D749="","",IF(ISNA(MATCH($D749,项目名表,0)),"※项目不在项目台账里",IF($F749="※材料类别没选","※材料类别没选",IF(AND($C749&lt;&gt;"",ISNA(MATCH($C749,供应商表,0))),"※供应商不在基础资料里",""))))</f>
        <v/>
      </c>
    </row>
    <row r="750">
      <c r="A750" s="17">
        <f>IF($D750="","",ROW()-3)</f>
        <v/>
      </c>
      <c r="B750" s="18" t="n"/>
      <c r="C750" s="13" t="n"/>
      <c r="D750" s="13" t="n"/>
      <c r="E750" s="13" t="n"/>
      <c r="F750" s="17">
        <f>IF($D750="","",IFERROR(VLOOKUP($E750,材料归属,2,0),"※材料类别没选"))</f>
        <v/>
      </c>
      <c r="G750" s="13" t="n"/>
      <c r="H750" s="13" t="n"/>
      <c r="I750" s="13" t="n"/>
      <c r="J750" s="20" t="n"/>
      <c r="K750" s="14" t="n"/>
      <c r="L750" s="19">
        <f>IF($D750="","",ROUND(IF($J750="",1,$J750)*N($K750),2))</f>
        <v/>
      </c>
      <c r="M750" s="13" t="n"/>
      <c r="N750" s="17">
        <f>IF($D750="","",IF(ISNA(MATCH($D750,项目名表,0)),"※项目不在项目台账里",IF($F750="※材料类别没选","※材料类别没选",IF(AND($C750&lt;&gt;"",ISNA(MATCH($C750,供应商表,0))),"※供应商不在基础资料里",""))))</f>
        <v/>
      </c>
    </row>
    <row r="751">
      <c r="A751" s="17">
        <f>IF($D751="","",ROW()-3)</f>
        <v/>
      </c>
      <c r="B751" s="18" t="n"/>
      <c r="C751" s="13" t="n"/>
      <c r="D751" s="13" t="n"/>
      <c r="E751" s="13" t="n"/>
      <c r="F751" s="17">
        <f>IF($D751="","",IFERROR(VLOOKUP($E751,材料归属,2,0),"※材料类别没选"))</f>
        <v/>
      </c>
      <c r="G751" s="13" t="n"/>
      <c r="H751" s="13" t="n"/>
      <c r="I751" s="13" t="n"/>
      <c r="J751" s="20" t="n"/>
      <c r="K751" s="14" t="n"/>
      <c r="L751" s="19">
        <f>IF($D751="","",ROUND(IF($J751="",1,$J751)*N($K751),2))</f>
        <v/>
      </c>
      <c r="M751" s="13" t="n"/>
      <c r="N751" s="17">
        <f>IF($D751="","",IF(ISNA(MATCH($D751,项目名表,0)),"※项目不在项目台账里",IF($F751="※材料类别没选","※材料类别没选",IF(AND($C751&lt;&gt;"",ISNA(MATCH($C751,供应商表,0))),"※供应商不在基础资料里",""))))</f>
        <v/>
      </c>
    </row>
    <row r="752">
      <c r="A752" s="17">
        <f>IF($D752="","",ROW()-3)</f>
        <v/>
      </c>
      <c r="B752" s="18" t="n"/>
      <c r="C752" s="13" t="n"/>
      <c r="D752" s="13" t="n"/>
      <c r="E752" s="13" t="n"/>
      <c r="F752" s="17">
        <f>IF($D752="","",IFERROR(VLOOKUP($E752,材料归属,2,0),"※材料类别没选"))</f>
        <v/>
      </c>
      <c r="G752" s="13" t="n"/>
      <c r="H752" s="13" t="n"/>
      <c r="I752" s="13" t="n"/>
      <c r="J752" s="20" t="n"/>
      <c r="K752" s="14" t="n"/>
      <c r="L752" s="19">
        <f>IF($D752="","",ROUND(IF($J752="",1,$J752)*N($K752),2))</f>
        <v/>
      </c>
      <c r="M752" s="13" t="n"/>
      <c r="N752" s="17">
        <f>IF($D752="","",IF(ISNA(MATCH($D752,项目名表,0)),"※项目不在项目台账里",IF($F752="※材料类别没选","※材料类别没选",IF(AND($C752&lt;&gt;"",ISNA(MATCH($C752,供应商表,0))),"※供应商不在基础资料里",""))))</f>
        <v/>
      </c>
    </row>
    <row r="753">
      <c r="A753" s="17">
        <f>IF($D753="","",ROW()-3)</f>
        <v/>
      </c>
      <c r="B753" s="18" t="n"/>
      <c r="C753" s="13" t="n"/>
      <c r="D753" s="13" t="n"/>
      <c r="E753" s="13" t="n"/>
      <c r="F753" s="17">
        <f>IF($D753="","",IFERROR(VLOOKUP($E753,材料归属,2,0),"※材料类别没选"))</f>
        <v/>
      </c>
      <c r="G753" s="13" t="n"/>
      <c r="H753" s="13" t="n"/>
      <c r="I753" s="13" t="n"/>
      <c r="J753" s="20" t="n"/>
      <c r="K753" s="14" t="n"/>
      <c r="L753" s="19">
        <f>IF($D753="","",ROUND(IF($J753="",1,$J753)*N($K753),2))</f>
        <v/>
      </c>
      <c r="M753" s="13" t="n"/>
      <c r="N753" s="17">
        <f>IF($D753="","",IF(ISNA(MATCH($D753,项目名表,0)),"※项目不在项目台账里",IF($F753="※材料类别没选","※材料类别没选",IF(AND($C753&lt;&gt;"",ISNA(MATCH($C753,供应商表,0))),"※供应商不在基础资料里",""))))</f>
        <v/>
      </c>
    </row>
    <row r="754">
      <c r="A754" s="17">
        <f>IF($D754="","",ROW()-3)</f>
        <v/>
      </c>
      <c r="B754" s="18" t="n"/>
      <c r="C754" s="13" t="n"/>
      <c r="D754" s="13" t="n"/>
      <c r="E754" s="13" t="n"/>
      <c r="F754" s="17">
        <f>IF($D754="","",IFERROR(VLOOKUP($E754,材料归属,2,0),"※材料类别没选"))</f>
        <v/>
      </c>
      <c r="G754" s="13" t="n"/>
      <c r="H754" s="13" t="n"/>
      <c r="I754" s="13" t="n"/>
      <c r="J754" s="20" t="n"/>
      <c r="K754" s="14" t="n"/>
      <c r="L754" s="19">
        <f>IF($D754="","",ROUND(IF($J754="",1,$J754)*N($K754),2))</f>
        <v/>
      </c>
      <c r="M754" s="13" t="n"/>
      <c r="N754" s="17">
        <f>IF($D754="","",IF(ISNA(MATCH($D754,项目名表,0)),"※项目不在项目台账里",IF($F754="※材料类别没选","※材料类别没选",IF(AND($C754&lt;&gt;"",ISNA(MATCH($C754,供应商表,0))),"※供应商不在基础资料里",""))))</f>
        <v/>
      </c>
    </row>
    <row r="755">
      <c r="A755" s="17">
        <f>IF($D755="","",ROW()-3)</f>
        <v/>
      </c>
      <c r="B755" s="18" t="n"/>
      <c r="C755" s="13" t="n"/>
      <c r="D755" s="13" t="n"/>
      <c r="E755" s="13" t="n"/>
      <c r="F755" s="17">
        <f>IF($D755="","",IFERROR(VLOOKUP($E755,材料归属,2,0),"※材料类别没选"))</f>
        <v/>
      </c>
      <c r="G755" s="13" t="n"/>
      <c r="H755" s="13" t="n"/>
      <c r="I755" s="13" t="n"/>
      <c r="J755" s="20" t="n"/>
      <c r="K755" s="14" t="n"/>
      <c r="L755" s="19">
        <f>IF($D755="","",ROUND(IF($J755="",1,$J755)*N($K755),2))</f>
        <v/>
      </c>
      <c r="M755" s="13" t="n"/>
      <c r="N755" s="17">
        <f>IF($D755="","",IF(ISNA(MATCH($D755,项目名表,0)),"※项目不在项目台账里",IF($F755="※材料类别没选","※材料类别没选",IF(AND($C755&lt;&gt;"",ISNA(MATCH($C755,供应商表,0))),"※供应商不在基础资料里",""))))</f>
        <v/>
      </c>
    </row>
    <row r="756">
      <c r="A756" s="17">
        <f>IF($D756="","",ROW()-3)</f>
        <v/>
      </c>
      <c r="B756" s="18" t="n"/>
      <c r="C756" s="13" t="n"/>
      <c r="D756" s="13" t="n"/>
      <c r="E756" s="13" t="n"/>
      <c r="F756" s="17">
        <f>IF($D756="","",IFERROR(VLOOKUP($E756,材料归属,2,0),"※材料类别没选"))</f>
        <v/>
      </c>
      <c r="G756" s="13" t="n"/>
      <c r="H756" s="13" t="n"/>
      <c r="I756" s="13" t="n"/>
      <c r="J756" s="20" t="n"/>
      <c r="K756" s="14" t="n"/>
      <c r="L756" s="19">
        <f>IF($D756="","",ROUND(IF($J756="",1,$J756)*N($K756),2))</f>
        <v/>
      </c>
      <c r="M756" s="13" t="n"/>
      <c r="N756" s="17">
        <f>IF($D756="","",IF(ISNA(MATCH($D756,项目名表,0)),"※项目不在项目台账里",IF($F756="※材料类别没选","※材料类别没选",IF(AND($C756&lt;&gt;"",ISNA(MATCH($C756,供应商表,0))),"※供应商不在基础资料里",""))))</f>
        <v/>
      </c>
    </row>
    <row r="757">
      <c r="A757" s="17">
        <f>IF($D757="","",ROW()-3)</f>
        <v/>
      </c>
      <c r="B757" s="18" t="n"/>
      <c r="C757" s="13" t="n"/>
      <c r="D757" s="13" t="n"/>
      <c r="E757" s="13" t="n"/>
      <c r="F757" s="17">
        <f>IF($D757="","",IFERROR(VLOOKUP($E757,材料归属,2,0),"※材料类别没选"))</f>
        <v/>
      </c>
      <c r="G757" s="13" t="n"/>
      <c r="H757" s="13" t="n"/>
      <c r="I757" s="13" t="n"/>
      <c r="J757" s="20" t="n"/>
      <c r="K757" s="14" t="n"/>
      <c r="L757" s="19">
        <f>IF($D757="","",ROUND(IF($J757="",1,$J757)*N($K757),2))</f>
        <v/>
      </c>
      <c r="M757" s="13" t="n"/>
      <c r="N757" s="17">
        <f>IF($D757="","",IF(ISNA(MATCH($D757,项目名表,0)),"※项目不在项目台账里",IF($F757="※材料类别没选","※材料类别没选",IF(AND($C757&lt;&gt;"",ISNA(MATCH($C757,供应商表,0))),"※供应商不在基础资料里",""))))</f>
        <v/>
      </c>
    </row>
    <row r="758">
      <c r="A758" s="17">
        <f>IF($D758="","",ROW()-3)</f>
        <v/>
      </c>
      <c r="B758" s="18" t="n"/>
      <c r="C758" s="13" t="n"/>
      <c r="D758" s="13" t="n"/>
      <c r="E758" s="13" t="n"/>
      <c r="F758" s="17">
        <f>IF($D758="","",IFERROR(VLOOKUP($E758,材料归属,2,0),"※材料类别没选"))</f>
        <v/>
      </c>
      <c r="G758" s="13" t="n"/>
      <c r="H758" s="13" t="n"/>
      <c r="I758" s="13" t="n"/>
      <c r="J758" s="20" t="n"/>
      <c r="K758" s="14" t="n"/>
      <c r="L758" s="19">
        <f>IF($D758="","",ROUND(IF($J758="",1,$J758)*N($K758),2))</f>
        <v/>
      </c>
      <c r="M758" s="13" t="n"/>
      <c r="N758" s="17">
        <f>IF($D758="","",IF(ISNA(MATCH($D758,项目名表,0)),"※项目不在项目台账里",IF($F758="※材料类别没选","※材料类别没选",IF(AND($C758&lt;&gt;"",ISNA(MATCH($C758,供应商表,0))),"※供应商不在基础资料里",""))))</f>
        <v/>
      </c>
    </row>
    <row r="759">
      <c r="A759" s="17">
        <f>IF($D759="","",ROW()-3)</f>
        <v/>
      </c>
      <c r="B759" s="18" t="n"/>
      <c r="C759" s="13" t="n"/>
      <c r="D759" s="13" t="n"/>
      <c r="E759" s="13" t="n"/>
      <c r="F759" s="17">
        <f>IF($D759="","",IFERROR(VLOOKUP($E759,材料归属,2,0),"※材料类别没选"))</f>
        <v/>
      </c>
      <c r="G759" s="13" t="n"/>
      <c r="H759" s="13" t="n"/>
      <c r="I759" s="13" t="n"/>
      <c r="J759" s="20" t="n"/>
      <c r="K759" s="14" t="n"/>
      <c r="L759" s="19">
        <f>IF($D759="","",ROUND(IF($J759="",1,$J759)*N($K759),2))</f>
        <v/>
      </c>
      <c r="M759" s="13" t="n"/>
      <c r="N759" s="17">
        <f>IF($D759="","",IF(ISNA(MATCH($D759,项目名表,0)),"※项目不在项目台账里",IF($F759="※材料类别没选","※材料类别没选",IF(AND($C759&lt;&gt;"",ISNA(MATCH($C759,供应商表,0))),"※供应商不在基础资料里",""))))</f>
        <v/>
      </c>
    </row>
    <row r="760">
      <c r="A760" s="17">
        <f>IF($D760="","",ROW()-3)</f>
        <v/>
      </c>
      <c r="B760" s="18" t="n"/>
      <c r="C760" s="13" t="n"/>
      <c r="D760" s="13" t="n"/>
      <c r="E760" s="13" t="n"/>
      <c r="F760" s="17">
        <f>IF($D760="","",IFERROR(VLOOKUP($E760,材料归属,2,0),"※材料类别没选"))</f>
        <v/>
      </c>
      <c r="G760" s="13" t="n"/>
      <c r="H760" s="13" t="n"/>
      <c r="I760" s="13" t="n"/>
      <c r="J760" s="20" t="n"/>
      <c r="K760" s="14" t="n"/>
      <c r="L760" s="19">
        <f>IF($D760="","",ROUND(IF($J760="",1,$J760)*N($K760),2))</f>
        <v/>
      </c>
      <c r="M760" s="13" t="n"/>
      <c r="N760" s="17">
        <f>IF($D760="","",IF(ISNA(MATCH($D760,项目名表,0)),"※项目不在项目台账里",IF($F760="※材料类别没选","※材料类别没选",IF(AND($C760&lt;&gt;"",ISNA(MATCH($C760,供应商表,0))),"※供应商不在基础资料里",""))))</f>
        <v/>
      </c>
    </row>
    <row r="761">
      <c r="A761" s="17">
        <f>IF($D761="","",ROW()-3)</f>
        <v/>
      </c>
      <c r="B761" s="18" t="n"/>
      <c r="C761" s="13" t="n"/>
      <c r="D761" s="13" t="n"/>
      <c r="E761" s="13" t="n"/>
      <c r="F761" s="17">
        <f>IF($D761="","",IFERROR(VLOOKUP($E761,材料归属,2,0),"※材料类别没选"))</f>
        <v/>
      </c>
      <c r="G761" s="13" t="n"/>
      <c r="H761" s="13" t="n"/>
      <c r="I761" s="13" t="n"/>
      <c r="J761" s="20" t="n"/>
      <c r="K761" s="14" t="n"/>
      <c r="L761" s="19">
        <f>IF($D761="","",ROUND(IF($J761="",1,$J761)*N($K761),2))</f>
        <v/>
      </c>
      <c r="M761" s="13" t="n"/>
      <c r="N761" s="17">
        <f>IF($D761="","",IF(ISNA(MATCH($D761,项目名表,0)),"※项目不在项目台账里",IF($F761="※材料类别没选","※材料类别没选",IF(AND($C761&lt;&gt;"",ISNA(MATCH($C761,供应商表,0))),"※供应商不在基础资料里",""))))</f>
        <v/>
      </c>
    </row>
    <row r="762">
      <c r="A762" s="17">
        <f>IF($D762="","",ROW()-3)</f>
        <v/>
      </c>
      <c r="B762" s="18" t="n"/>
      <c r="C762" s="13" t="n"/>
      <c r="D762" s="13" t="n"/>
      <c r="E762" s="13" t="n"/>
      <c r="F762" s="17">
        <f>IF($D762="","",IFERROR(VLOOKUP($E762,材料归属,2,0),"※材料类别没选"))</f>
        <v/>
      </c>
      <c r="G762" s="13" t="n"/>
      <c r="H762" s="13" t="n"/>
      <c r="I762" s="13" t="n"/>
      <c r="J762" s="20" t="n"/>
      <c r="K762" s="14" t="n"/>
      <c r="L762" s="19">
        <f>IF($D762="","",ROUND(IF($J762="",1,$J762)*N($K762),2))</f>
        <v/>
      </c>
      <c r="M762" s="13" t="n"/>
      <c r="N762" s="17">
        <f>IF($D762="","",IF(ISNA(MATCH($D762,项目名表,0)),"※项目不在项目台账里",IF($F762="※材料类别没选","※材料类别没选",IF(AND($C762&lt;&gt;"",ISNA(MATCH($C762,供应商表,0))),"※供应商不在基础资料里",""))))</f>
        <v/>
      </c>
    </row>
    <row r="763">
      <c r="A763" s="17">
        <f>IF($D763="","",ROW()-3)</f>
        <v/>
      </c>
      <c r="B763" s="18" t="n"/>
      <c r="C763" s="13" t="n"/>
      <c r="D763" s="13" t="n"/>
      <c r="E763" s="13" t="n"/>
      <c r="F763" s="17">
        <f>IF($D763="","",IFERROR(VLOOKUP($E763,材料归属,2,0),"※材料类别没选"))</f>
        <v/>
      </c>
      <c r="G763" s="13" t="n"/>
      <c r="H763" s="13" t="n"/>
      <c r="I763" s="13" t="n"/>
      <c r="J763" s="20" t="n"/>
      <c r="K763" s="14" t="n"/>
      <c r="L763" s="19">
        <f>IF($D763="","",ROUND(IF($J763="",1,$J763)*N($K763),2))</f>
        <v/>
      </c>
      <c r="M763" s="13" t="n"/>
      <c r="N763" s="17">
        <f>IF($D763="","",IF(ISNA(MATCH($D763,项目名表,0)),"※项目不在项目台账里",IF($F763="※材料类别没选","※材料类别没选",IF(AND($C763&lt;&gt;"",ISNA(MATCH($C763,供应商表,0))),"※供应商不在基础资料里",""))))</f>
        <v/>
      </c>
    </row>
    <row r="764">
      <c r="A764" s="17">
        <f>IF($D764="","",ROW()-3)</f>
        <v/>
      </c>
      <c r="B764" s="18" t="n"/>
      <c r="C764" s="13" t="n"/>
      <c r="D764" s="13" t="n"/>
      <c r="E764" s="13" t="n"/>
      <c r="F764" s="17">
        <f>IF($D764="","",IFERROR(VLOOKUP($E764,材料归属,2,0),"※材料类别没选"))</f>
        <v/>
      </c>
      <c r="G764" s="13" t="n"/>
      <c r="H764" s="13" t="n"/>
      <c r="I764" s="13" t="n"/>
      <c r="J764" s="20" t="n"/>
      <c r="K764" s="14" t="n"/>
      <c r="L764" s="19">
        <f>IF($D764="","",ROUND(IF($J764="",1,$J764)*N($K764),2))</f>
        <v/>
      </c>
      <c r="M764" s="13" t="n"/>
      <c r="N764" s="17">
        <f>IF($D764="","",IF(ISNA(MATCH($D764,项目名表,0)),"※项目不在项目台账里",IF($F764="※材料类别没选","※材料类别没选",IF(AND($C764&lt;&gt;"",ISNA(MATCH($C764,供应商表,0))),"※供应商不在基础资料里",""))))</f>
        <v/>
      </c>
    </row>
    <row r="765">
      <c r="A765" s="17">
        <f>IF($D765="","",ROW()-3)</f>
        <v/>
      </c>
      <c r="B765" s="18" t="n"/>
      <c r="C765" s="13" t="n"/>
      <c r="D765" s="13" t="n"/>
      <c r="E765" s="13" t="n"/>
      <c r="F765" s="17">
        <f>IF($D765="","",IFERROR(VLOOKUP($E765,材料归属,2,0),"※材料类别没选"))</f>
        <v/>
      </c>
      <c r="G765" s="13" t="n"/>
      <c r="H765" s="13" t="n"/>
      <c r="I765" s="13" t="n"/>
      <c r="J765" s="20" t="n"/>
      <c r="K765" s="14" t="n"/>
      <c r="L765" s="19">
        <f>IF($D765="","",ROUND(IF($J765="",1,$J765)*N($K765),2))</f>
        <v/>
      </c>
      <c r="M765" s="13" t="n"/>
      <c r="N765" s="17">
        <f>IF($D765="","",IF(ISNA(MATCH($D765,项目名表,0)),"※项目不在项目台账里",IF($F765="※材料类别没选","※材料类别没选",IF(AND($C765&lt;&gt;"",ISNA(MATCH($C765,供应商表,0))),"※供应商不在基础资料里",""))))</f>
        <v/>
      </c>
    </row>
    <row r="766">
      <c r="A766" s="17">
        <f>IF($D766="","",ROW()-3)</f>
        <v/>
      </c>
      <c r="B766" s="18" t="n"/>
      <c r="C766" s="13" t="n"/>
      <c r="D766" s="13" t="n"/>
      <c r="E766" s="13" t="n"/>
      <c r="F766" s="17">
        <f>IF($D766="","",IFERROR(VLOOKUP($E766,材料归属,2,0),"※材料类别没选"))</f>
        <v/>
      </c>
      <c r="G766" s="13" t="n"/>
      <c r="H766" s="13" t="n"/>
      <c r="I766" s="13" t="n"/>
      <c r="J766" s="20" t="n"/>
      <c r="K766" s="14" t="n"/>
      <c r="L766" s="19">
        <f>IF($D766="","",ROUND(IF($J766="",1,$J766)*N($K766),2))</f>
        <v/>
      </c>
      <c r="M766" s="13" t="n"/>
      <c r="N766" s="17">
        <f>IF($D766="","",IF(ISNA(MATCH($D766,项目名表,0)),"※项目不在项目台账里",IF($F766="※材料类别没选","※材料类别没选",IF(AND($C766&lt;&gt;"",ISNA(MATCH($C766,供应商表,0))),"※供应商不在基础资料里",""))))</f>
        <v/>
      </c>
    </row>
    <row r="767">
      <c r="A767" s="17">
        <f>IF($D767="","",ROW()-3)</f>
        <v/>
      </c>
      <c r="B767" s="18" t="n"/>
      <c r="C767" s="13" t="n"/>
      <c r="D767" s="13" t="n"/>
      <c r="E767" s="13" t="n"/>
      <c r="F767" s="17">
        <f>IF($D767="","",IFERROR(VLOOKUP($E767,材料归属,2,0),"※材料类别没选"))</f>
        <v/>
      </c>
      <c r="G767" s="13" t="n"/>
      <c r="H767" s="13" t="n"/>
      <c r="I767" s="13" t="n"/>
      <c r="J767" s="20" t="n"/>
      <c r="K767" s="14" t="n"/>
      <c r="L767" s="19">
        <f>IF($D767="","",ROUND(IF($J767="",1,$J767)*N($K767),2))</f>
        <v/>
      </c>
      <c r="M767" s="13" t="n"/>
      <c r="N767" s="17">
        <f>IF($D767="","",IF(ISNA(MATCH($D767,项目名表,0)),"※项目不在项目台账里",IF($F767="※材料类别没选","※材料类别没选",IF(AND($C767&lt;&gt;"",ISNA(MATCH($C767,供应商表,0))),"※供应商不在基础资料里",""))))</f>
        <v/>
      </c>
    </row>
    <row r="768">
      <c r="A768" s="17">
        <f>IF($D768="","",ROW()-3)</f>
        <v/>
      </c>
      <c r="B768" s="18" t="n"/>
      <c r="C768" s="13" t="n"/>
      <c r="D768" s="13" t="n"/>
      <c r="E768" s="13" t="n"/>
      <c r="F768" s="17">
        <f>IF($D768="","",IFERROR(VLOOKUP($E768,材料归属,2,0),"※材料类别没选"))</f>
        <v/>
      </c>
      <c r="G768" s="13" t="n"/>
      <c r="H768" s="13" t="n"/>
      <c r="I768" s="13" t="n"/>
      <c r="J768" s="20" t="n"/>
      <c r="K768" s="14" t="n"/>
      <c r="L768" s="19">
        <f>IF($D768="","",ROUND(IF($J768="",1,$J768)*N($K768),2))</f>
        <v/>
      </c>
      <c r="M768" s="13" t="n"/>
      <c r="N768" s="17">
        <f>IF($D768="","",IF(ISNA(MATCH($D768,项目名表,0)),"※项目不在项目台账里",IF($F768="※材料类别没选","※材料类别没选",IF(AND($C768&lt;&gt;"",ISNA(MATCH($C768,供应商表,0))),"※供应商不在基础资料里",""))))</f>
        <v/>
      </c>
    </row>
    <row r="769">
      <c r="A769" s="17">
        <f>IF($D769="","",ROW()-3)</f>
        <v/>
      </c>
      <c r="B769" s="18" t="n"/>
      <c r="C769" s="13" t="n"/>
      <c r="D769" s="13" t="n"/>
      <c r="E769" s="13" t="n"/>
      <c r="F769" s="17">
        <f>IF($D769="","",IFERROR(VLOOKUP($E769,材料归属,2,0),"※材料类别没选"))</f>
        <v/>
      </c>
      <c r="G769" s="13" t="n"/>
      <c r="H769" s="13" t="n"/>
      <c r="I769" s="13" t="n"/>
      <c r="J769" s="20" t="n"/>
      <c r="K769" s="14" t="n"/>
      <c r="L769" s="19">
        <f>IF($D769="","",ROUND(IF($J769="",1,$J769)*N($K769),2))</f>
        <v/>
      </c>
      <c r="M769" s="13" t="n"/>
      <c r="N769" s="17">
        <f>IF($D769="","",IF(ISNA(MATCH($D769,项目名表,0)),"※项目不在项目台账里",IF($F769="※材料类别没选","※材料类别没选",IF(AND($C769&lt;&gt;"",ISNA(MATCH($C769,供应商表,0))),"※供应商不在基础资料里",""))))</f>
        <v/>
      </c>
    </row>
    <row r="770">
      <c r="A770" s="17">
        <f>IF($D770="","",ROW()-3)</f>
        <v/>
      </c>
      <c r="B770" s="18" t="n"/>
      <c r="C770" s="13" t="n"/>
      <c r="D770" s="13" t="n"/>
      <c r="E770" s="13" t="n"/>
      <c r="F770" s="17">
        <f>IF($D770="","",IFERROR(VLOOKUP($E770,材料归属,2,0),"※材料类别没选"))</f>
        <v/>
      </c>
      <c r="G770" s="13" t="n"/>
      <c r="H770" s="13" t="n"/>
      <c r="I770" s="13" t="n"/>
      <c r="J770" s="20" t="n"/>
      <c r="K770" s="14" t="n"/>
      <c r="L770" s="19">
        <f>IF($D770="","",ROUND(IF($J770="",1,$J770)*N($K770),2))</f>
        <v/>
      </c>
      <c r="M770" s="13" t="n"/>
      <c r="N770" s="17">
        <f>IF($D770="","",IF(ISNA(MATCH($D770,项目名表,0)),"※项目不在项目台账里",IF($F770="※材料类别没选","※材料类别没选",IF(AND($C770&lt;&gt;"",ISNA(MATCH($C770,供应商表,0))),"※供应商不在基础资料里",""))))</f>
        <v/>
      </c>
    </row>
    <row r="771">
      <c r="A771" s="17">
        <f>IF($D771="","",ROW()-3)</f>
        <v/>
      </c>
      <c r="B771" s="18" t="n"/>
      <c r="C771" s="13" t="n"/>
      <c r="D771" s="13" t="n"/>
      <c r="E771" s="13" t="n"/>
      <c r="F771" s="17">
        <f>IF($D771="","",IFERROR(VLOOKUP($E771,材料归属,2,0),"※材料类别没选"))</f>
        <v/>
      </c>
      <c r="G771" s="13" t="n"/>
      <c r="H771" s="13" t="n"/>
      <c r="I771" s="13" t="n"/>
      <c r="J771" s="20" t="n"/>
      <c r="K771" s="14" t="n"/>
      <c r="L771" s="19">
        <f>IF($D771="","",ROUND(IF($J771="",1,$J771)*N($K771),2))</f>
        <v/>
      </c>
      <c r="M771" s="13" t="n"/>
      <c r="N771" s="17">
        <f>IF($D771="","",IF(ISNA(MATCH($D771,项目名表,0)),"※项目不在项目台账里",IF($F771="※材料类别没选","※材料类别没选",IF(AND($C771&lt;&gt;"",ISNA(MATCH($C771,供应商表,0))),"※供应商不在基础资料里",""))))</f>
        <v/>
      </c>
    </row>
    <row r="772">
      <c r="A772" s="17">
        <f>IF($D772="","",ROW()-3)</f>
        <v/>
      </c>
      <c r="B772" s="18" t="n"/>
      <c r="C772" s="13" t="n"/>
      <c r="D772" s="13" t="n"/>
      <c r="E772" s="13" t="n"/>
      <c r="F772" s="17">
        <f>IF($D772="","",IFERROR(VLOOKUP($E772,材料归属,2,0),"※材料类别没选"))</f>
        <v/>
      </c>
      <c r="G772" s="13" t="n"/>
      <c r="H772" s="13" t="n"/>
      <c r="I772" s="13" t="n"/>
      <c r="J772" s="20" t="n"/>
      <c r="K772" s="14" t="n"/>
      <c r="L772" s="19">
        <f>IF($D772="","",ROUND(IF($J772="",1,$J772)*N($K772),2))</f>
        <v/>
      </c>
      <c r="M772" s="13" t="n"/>
      <c r="N772" s="17">
        <f>IF($D772="","",IF(ISNA(MATCH($D772,项目名表,0)),"※项目不在项目台账里",IF($F772="※材料类别没选","※材料类别没选",IF(AND($C772&lt;&gt;"",ISNA(MATCH($C772,供应商表,0))),"※供应商不在基础资料里",""))))</f>
        <v/>
      </c>
    </row>
    <row r="773">
      <c r="A773" s="17">
        <f>IF($D773="","",ROW()-3)</f>
        <v/>
      </c>
      <c r="B773" s="18" t="n"/>
      <c r="C773" s="13" t="n"/>
      <c r="D773" s="13" t="n"/>
      <c r="E773" s="13" t="n"/>
      <c r="F773" s="17">
        <f>IF($D773="","",IFERROR(VLOOKUP($E773,材料归属,2,0),"※材料类别没选"))</f>
        <v/>
      </c>
      <c r="G773" s="13" t="n"/>
      <c r="H773" s="13" t="n"/>
      <c r="I773" s="13" t="n"/>
      <c r="J773" s="20" t="n"/>
      <c r="K773" s="14" t="n"/>
      <c r="L773" s="19">
        <f>IF($D773="","",ROUND(IF($J773="",1,$J773)*N($K773),2))</f>
        <v/>
      </c>
      <c r="M773" s="13" t="n"/>
      <c r="N773" s="17">
        <f>IF($D773="","",IF(ISNA(MATCH($D773,项目名表,0)),"※项目不在项目台账里",IF($F773="※材料类别没选","※材料类别没选",IF(AND($C773&lt;&gt;"",ISNA(MATCH($C773,供应商表,0))),"※供应商不在基础资料里",""))))</f>
        <v/>
      </c>
    </row>
    <row r="774">
      <c r="A774" s="17">
        <f>IF($D774="","",ROW()-3)</f>
        <v/>
      </c>
      <c r="B774" s="18" t="n"/>
      <c r="C774" s="13" t="n"/>
      <c r="D774" s="13" t="n"/>
      <c r="E774" s="13" t="n"/>
      <c r="F774" s="17">
        <f>IF($D774="","",IFERROR(VLOOKUP($E774,材料归属,2,0),"※材料类别没选"))</f>
        <v/>
      </c>
      <c r="G774" s="13" t="n"/>
      <c r="H774" s="13" t="n"/>
      <c r="I774" s="13" t="n"/>
      <c r="J774" s="20" t="n"/>
      <c r="K774" s="14" t="n"/>
      <c r="L774" s="19">
        <f>IF($D774="","",ROUND(IF($J774="",1,$J774)*N($K774),2))</f>
        <v/>
      </c>
      <c r="M774" s="13" t="n"/>
      <c r="N774" s="17">
        <f>IF($D774="","",IF(ISNA(MATCH($D774,项目名表,0)),"※项目不在项目台账里",IF($F774="※材料类别没选","※材料类别没选",IF(AND($C774&lt;&gt;"",ISNA(MATCH($C774,供应商表,0))),"※供应商不在基础资料里",""))))</f>
        <v/>
      </c>
    </row>
    <row r="775">
      <c r="A775" s="17">
        <f>IF($D775="","",ROW()-3)</f>
        <v/>
      </c>
      <c r="B775" s="18" t="n"/>
      <c r="C775" s="13" t="n"/>
      <c r="D775" s="13" t="n"/>
      <c r="E775" s="13" t="n"/>
      <c r="F775" s="17">
        <f>IF($D775="","",IFERROR(VLOOKUP($E775,材料归属,2,0),"※材料类别没选"))</f>
        <v/>
      </c>
      <c r="G775" s="13" t="n"/>
      <c r="H775" s="13" t="n"/>
      <c r="I775" s="13" t="n"/>
      <c r="J775" s="20" t="n"/>
      <c r="K775" s="14" t="n"/>
      <c r="L775" s="19">
        <f>IF($D775="","",ROUND(IF($J775="",1,$J775)*N($K775),2))</f>
        <v/>
      </c>
      <c r="M775" s="13" t="n"/>
      <c r="N775" s="17">
        <f>IF($D775="","",IF(ISNA(MATCH($D775,项目名表,0)),"※项目不在项目台账里",IF($F775="※材料类别没选","※材料类别没选",IF(AND($C775&lt;&gt;"",ISNA(MATCH($C775,供应商表,0))),"※供应商不在基础资料里",""))))</f>
        <v/>
      </c>
    </row>
    <row r="776">
      <c r="A776" s="17">
        <f>IF($D776="","",ROW()-3)</f>
        <v/>
      </c>
      <c r="B776" s="18" t="n"/>
      <c r="C776" s="13" t="n"/>
      <c r="D776" s="13" t="n"/>
      <c r="E776" s="13" t="n"/>
      <c r="F776" s="17">
        <f>IF($D776="","",IFERROR(VLOOKUP($E776,材料归属,2,0),"※材料类别没选"))</f>
        <v/>
      </c>
      <c r="G776" s="13" t="n"/>
      <c r="H776" s="13" t="n"/>
      <c r="I776" s="13" t="n"/>
      <c r="J776" s="20" t="n"/>
      <c r="K776" s="14" t="n"/>
      <c r="L776" s="19">
        <f>IF($D776="","",ROUND(IF($J776="",1,$J776)*N($K776),2))</f>
        <v/>
      </c>
      <c r="M776" s="13" t="n"/>
      <c r="N776" s="17">
        <f>IF($D776="","",IF(ISNA(MATCH($D776,项目名表,0)),"※项目不在项目台账里",IF($F776="※材料类别没选","※材料类别没选",IF(AND($C776&lt;&gt;"",ISNA(MATCH($C776,供应商表,0))),"※供应商不在基础资料里",""))))</f>
        <v/>
      </c>
    </row>
    <row r="777">
      <c r="A777" s="17">
        <f>IF($D777="","",ROW()-3)</f>
        <v/>
      </c>
      <c r="B777" s="18" t="n"/>
      <c r="C777" s="13" t="n"/>
      <c r="D777" s="13" t="n"/>
      <c r="E777" s="13" t="n"/>
      <c r="F777" s="17">
        <f>IF($D777="","",IFERROR(VLOOKUP($E777,材料归属,2,0),"※材料类别没选"))</f>
        <v/>
      </c>
      <c r="G777" s="13" t="n"/>
      <c r="H777" s="13" t="n"/>
      <c r="I777" s="13" t="n"/>
      <c r="J777" s="20" t="n"/>
      <c r="K777" s="14" t="n"/>
      <c r="L777" s="19">
        <f>IF($D777="","",ROUND(IF($J777="",1,$J777)*N($K777),2))</f>
        <v/>
      </c>
      <c r="M777" s="13" t="n"/>
      <c r="N777" s="17">
        <f>IF($D777="","",IF(ISNA(MATCH($D777,项目名表,0)),"※项目不在项目台账里",IF($F777="※材料类别没选","※材料类别没选",IF(AND($C777&lt;&gt;"",ISNA(MATCH($C777,供应商表,0))),"※供应商不在基础资料里",""))))</f>
        <v/>
      </c>
    </row>
    <row r="778">
      <c r="A778" s="17">
        <f>IF($D778="","",ROW()-3)</f>
        <v/>
      </c>
      <c r="B778" s="18" t="n"/>
      <c r="C778" s="13" t="n"/>
      <c r="D778" s="13" t="n"/>
      <c r="E778" s="13" t="n"/>
      <c r="F778" s="17">
        <f>IF($D778="","",IFERROR(VLOOKUP($E778,材料归属,2,0),"※材料类别没选"))</f>
        <v/>
      </c>
      <c r="G778" s="13" t="n"/>
      <c r="H778" s="13" t="n"/>
      <c r="I778" s="13" t="n"/>
      <c r="J778" s="20" t="n"/>
      <c r="K778" s="14" t="n"/>
      <c r="L778" s="19">
        <f>IF($D778="","",ROUND(IF($J778="",1,$J778)*N($K778),2))</f>
        <v/>
      </c>
      <c r="M778" s="13" t="n"/>
      <c r="N778" s="17">
        <f>IF($D778="","",IF(ISNA(MATCH($D778,项目名表,0)),"※项目不在项目台账里",IF($F778="※材料类别没选","※材料类别没选",IF(AND($C778&lt;&gt;"",ISNA(MATCH($C778,供应商表,0))),"※供应商不在基础资料里",""))))</f>
        <v/>
      </c>
    </row>
    <row r="779">
      <c r="A779" s="17">
        <f>IF($D779="","",ROW()-3)</f>
        <v/>
      </c>
      <c r="B779" s="18" t="n"/>
      <c r="C779" s="13" t="n"/>
      <c r="D779" s="13" t="n"/>
      <c r="E779" s="13" t="n"/>
      <c r="F779" s="17">
        <f>IF($D779="","",IFERROR(VLOOKUP($E779,材料归属,2,0),"※材料类别没选"))</f>
        <v/>
      </c>
      <c r="G779" s="13" t="n"/>
      <c r="H779" s="13" t="n"/>
      <c r="I779" s="13" t="n"/>
      <c r="J779" s="20" t="n"/>
      <c r="K779" s="14" t="n"/>
      <c r="L779" s="19">
        <f>IF($D779="","",ROUND(IF($J779="",1,$J779)*N($K779),2))</f>
        <v/>
      </c>
      <c r="M779" s="13" t="n"/>
      <c r="N779" s="17">
        <f>IF($D779="","",IF(ISNA(MATCH($D779,项目名表,0)),"※项目不在项目台账里",IF($F779="※材料类别没选","※材料类别没选",IF(AND($C779&lt;&gt;"",ISNA(MATCH($C779,供应商表,0))),"※供应商不在基础资料里",""))))</f>
        <v/>
      </c>
    </row>
    <row r="780">
      <c r="A780" s="17">
        <f>IF($D780="","",ROW()-3)</f>
        <v/>
      </c>
      <c r="B780" s="18" t="n"/>
      <c r="C780" s="13" t="n"/>
      <c r="D780" s="13" t="n"/>
      <c r="E780" s="13" t="n"/>
      <c r="F780" s="17">
        <f>IF($D780="","",IFERROR(VLOOKUP($E780,材料归属,2,0),"※材料类别没选"))</f>
        <v/>
      </c>
      <c r="G780" s="13" t="n"/>
      <c r="H780" s="13" t="n"/>
      <c r="I780" s="13" t="n"/>
      <c r="J780" s="20" t="n"/>
      <c r="K780" s="14" t="n"/>
      <c r="L780" s="19">
        <f>IF($D780="","",ROUND(IF($J780="",1,$J780)*N($K780),2))</f>
        <v/>
      </c>
      <c r="M780" s="13" t="n"/>
      <c r="N780" s="17">
        <f>IF($D780="","",IF(ISNA(MATCH($D780,项目名表,0)),"※项目不在项目台账里",IF($F780="※材料类别没选","※材料类别没选",IF(AND($C780&lt;&gt;"",ISNA(MATCH($C780,供应商表,0))),"※供应商不在基础资料里",""))))</f>
        <v/>
      </c>
    </row>
    <row r="781">
      <c r="A781" s="17">
        <f>IF($D781="","",ROW()-3)</f>
        <v/>
      </c>
      <c r="B781" s="18" t="n"/>
      <c r="C781" s="13" t="n"/>
      <c r="D781" s="13" t="n"/>
      <c r="E781" s="13" t="n"/>
      <c r="F781" s="17">
        <f>IF($D781="","",IFERROR(VLOOKUP($E781,材料归属,2,0),"※材料类别没选"))</f>
        <v/>
      </c>
      <c r="G781" s="13" t="n"/>
      <c r="H781" s="13" t="n"/>
      <c r="I781" s="13" t="n"/>
      <c r="J781" s="20" t="n"/>
      <c r="K781" s="14" t="n"/>
      <c r="L781" s="19">
        <f>IF($D781="","",ROUND(IF($J781="",1,$J781)*N($K781),2))</f>
        <v/>
      </c>
      <c r="M781" s="13" t="n"/>
      <c r="N781" s="17">
        <f>IF($D781="","",IF(ISNA(MATCH($D781,项目名表,0)),"※项目不在项目台账里",IF($F781="※材料类别没选","※材料类别没选",IF(AND($C781&lt;&gt;"",ISNA(MATCH($C781,供应商表,0))),"※供应商不在基础资料里",""))))</f>
        <v/>
      </c>
    </row>
    <row r="782">
      <c r="A782" s="17">
        <f>IF($D782="","",ROW()-3)</f>
        <v/>
      </c>
      <c r="B782" s="18" t="n"/>
      <c r="C782" s="13" t="n"/>
      <c r="D782" s="13" t="n"/>
      <c r="E782" s="13" t="n"/>
      <c r="F782" s="17">
        <f>IF($D782="","",IFERROR(VLOOKUP($E782,材料归属,2,0),"※材料类别没选"))</f>
        <v/>
      </c>
      <c r="G782" s="13" t="n"/>
      <c r="H782" s="13" t="n"/>
      <c r="I782" s="13" t="n"/>
      <c r="J782" s="20" t="n"/>
      <c r="K782" s="14" t="n"/>
      <c r="L782" s="19">
        <f>IF($D782="","",ROUND(IF($J782="",1,$J782)*N($K782),2))</f>
        <v/>
      </c>
      <c r="M782" s="13" t="n"/>
      <c r="N782" s="17">
        <f>IF($D782="","",IF(ISNA(MATCH($D782,项目名表,0)),"※项目不在项目台账里",IF($F782="※材料类别没选","※材料类别没选",IF(AND($C782&lt;&gt;"",ISNA(MATCH($C782,供应商表,0))),"※供应商不在基础资料里",""))))</f>
        <v/>
      </c>
    </row>
    <row r="783">
      <c r="A783" s="17">
        <f>IF($D783="","",ROW()-3)</f>
        <v/>
      </c>
      <c r="B783" s="18" t="n"/>
      <c r="C783" s="13" t="n"/>
      <c r="D783" s="13" t="n"/>
      <c r="E783" s="13" t="n"/>
      <c r="F783" s="17">
        <f>IF($D783="","",IFERROR(VLOOKUP($E783,材料归属,2,0),"※材料类别没选"))</f>
        <v/>
      </c>
      <c r="G783" s="13" t="n"/>
      <c r="H783" s="13" t="n"/>
      <c r="I783" s="13" t="n"/>
      <c r="J783" s="20" t="n"/>
      <c r="K783" s="14" t="n"/>
      <c r="L783" s="19">
        <f>IF($D783="","",ROUND(IF($J783="",1,$J783)*N($K783),2))</f>
        <v/>
      </c>
      <c r="M783" s="13" t="n"/>
      <c r="N783" s="17">
        <f>IF($D783="","",IF(ISNA(MATCH($D783,项目名表,0)),"※项目不在项目台账里",IF($F783="※材料类别没选","※材料类别没选",IF(AND($C783&lt;&gt;"",ISNA(MATCH($C783,供应商表,0))),"※供应商不在基础资料里",""))))</f>
        <v/>
      </c>
    </row>
    <row r="784">
      <c r="A784" s="17">
        <f>IF($D784="","",ROW()-3)</f>
        <v/>
      </c>
      <c r="B784" s="18" t="n"/>
      <c r="C784" s="13" t="n"/>
      <c r="D784" s="13" t="n"/>
      <c r="E784" s="13" t="n"/>
      <c r="F784" s="17">
        <f>IF($D784="","",IFERROR(VLOOKUP($E784,材料归属,2,0),"※材料类别没选"))</f>
        <v/>
      </c>
      <c r="G784" s="13" t="n"/>
      <c r="H784" s="13" t="n"/>
      <c r="I784" s="13" t="n"/>
      <c r="J784" s="20" t="n"/>
      <c r="K784" s="14" t="n"/>
      <c r="L784" s="19">
        <f>IF($D784="","",ROUND(IF($J784="",1,$J784)*N($K784),2))</f>
        <v/>
      </c>
      <c r="M784" s="13" t="n"/>
      <c r="N784" s="17">
        <f>IF($D784="","",IF(ISNA(MATCH($D784,项目名表,0)),"※项目不在项目台账里",IF($F784="※材料类别没选","※材料类别没选",IF(AND($C784&lt;&gt;"",ISNA(MATCH($C784,供应商表,0))),"※供应商不在基础资料里",""))))</f>
        <v/>
      </c>
    </row>
    <row r="785">
      <c r="A785" s="17">
        <f>IF($D785="","",ROW()-3)</f>
        <v/>
      </c>
      <c r="B785" s="18" t="n"/>
      <c r="C785" s="13" t="n"/>
      <c r="D785" s="13" t="n"/>
      <c r="E785" s="13" t="n"/>
      <c r="F785" s="17">
        <f>IF($D785="","",IFERROR(VLOOKUP($E785,材料归属,2,0),"※材料类别没选"))</f>
        <v/>
      </c>
      <c r="G785" s="13" t="n"/>
      <c r="H785" s="13" t="n"/>
      <c r="I785" s="13" t="n"/>
      <c r="J785" s="20" t="n"/>
      <c r="K785" s="14" t="n"/>
      <c r="L785" s="19">
        <f>IF($D785="","",ROUND(IF($J785="",1,$J785)*N($K785),2))</f>
        <v/>
      </c>
      <c r="M785" s="13" t="n"/>
      <c r="N785" s="17">
        <f>IF($D785="","",IF(ISNA(MATCH($D785,项目名表,0)),"※项目不在项目台账里",IF($F785="※材料类别没选","※材料类别没选",IF(AND($C785&lt;&gt;"",ISNA(MATCH($C785,供应商表,0))),"※供应商不在基础资料里",""))))</f>
        <v/>
      </c>
    </row>
    <row r="786">
      <c r="A786" s="17">
        <f>IF($D786="","",ROW()-3)</f>
        <v/>
      </c>
      <c r="B786" s="18" t="n"/>
      <c r="C786" s="13" t="n"/>
      <c r="D786" s="13" t="n"/>
      <c r="E786" s="13" t="n"/>
      <c r="F786" s="17">
        <f>IF($D786="","",IFERROR(VLOOKUP($E786,材料归属,2,0),"※材料类别没选"))</f>
        <v/>
      </c>
      <c r="G786" s="13" t="n"/>
      <c r="H786" s="13" t="n"/>
      <c r="I786" s="13" t="n"/>
      <c r="J786" s="20" t="n"/>
      <c r="K786" s="14" t="n"/>
      <c r="L786" s="19">
        <f>IF($D786="","",ROUND(IF($J786="",1,$J786)*N($K786),2))</f>
        <v/>
      </c>
      <c r="M786" s="13" t="n"/>
      <c r="N786" s="17">
        <f>IF($D786="","",IF(ISNA(MATCH($D786,项目名表,0)),"※项目不在项目台账里",IF($F786="※材料类别没选","※材料类别没选",IF(AND($C786&lt;&gt;"",ISNA(MATCH($C786,供应商表,0))),"※供应商不在基础资料里",""))))</f>
        <v/>
      </c>
    </row>
    <row r="787">
      <c r="A787" s="17">
        <f>IF($D787="","",ROW()-3)</f>
        <v/>
      </c>
      <c r="B787" s="18" t="n"/>
      <c r="C787" s="13" t="n"/>
      <c r="D787" s="13" t="n"/>
      <c r="E787" s="13" t="n"/>
      <c r="F787" s="17">
        <f>IF($D787="","",IFERROR(VLOOKUP($E787,材料归属,2,0),"※材料类别没选"))</f>
        <v/>
      </c>
      <c r="G787" s="13" t="n"/>
      <c r="H787" s="13" t="n"/>
      <c r="I787" s="13" t="n"/>
      <c r="J787" s="20" t="n"/>
      <c r="K787" s="14" t="n"/>
      <c r="L787" s="19">
        <f>IF($D787="","",ROUND(IF($J787="",1,$J787)*N($K787),2))</f>
        <v/>
      </c>
      <c r="M787" s="13" t="n"/>
      <c r="N787" s="17">
        <f>IF($D787="","",IF(ISNA(MATCH($D787,项目名表,0)),"※项目不在项目台账里",IF($F787="※材料类别没选","※材料类别没选",IF(AND($C787&lt;&gt;"",ISNA(MATCH($C787,供应商表,0))),"※供应商不在基础资料里",""))))</f>
        <v/>
      </c>
    </row>
    <row r="788">
      <c r="A788" s="17">
        <f>IF($D788="","",ROW()-3)</f>
        <v/>
      </c>
      <c r="B788" s="18" t="n"/>
      <c r="C788" s="13" t="n"/>
      <c r="D788" s="13" t="n"/>
      <c r="E788" s="13" t="n"/>
      <c r="F788" s="17">
        <f>IF($D788="","",IFERROR(VLOOKUP($E788,材料归属,2,0),"※材料类别没选"))</f>
        <v/>
      </c>
      <c r="G788" s="13" t="n"/>
      <c r="H788" s="13" t="n"/>
      <c r="I788" s="13" t="n"/>
      <c r="J788" s="20" t="n"/>
      <c r="K788" s="14" t="n"/>
      <c r="L788" s="19">
        <f>IF($D788="","",ROUND(IF($J788="",1,$J788)*N($K788),2))</f>
        <v/>
      </c>
      <c r="M788" s="13" t="n"/>
      <c r="N788" s="17">
        <f>IF($D788="","",IF(ISNA(MATCH($D788,项目名表,0)),"※项目不在项目台账里",IF($F788="※材料类别没选","※材料类别没选",IF(AND($C788&lt;&gt;"",ISNA(MATCH($C788,供应商表,0))),"※供应商不在基础资料里",""))))</f>
        <v/>
      </c>
    </row>
    <row r="789">
      <c r="A789" s="17">
        <f>IF($D789="","",ROW()-3)</f>
        <v/>
      </c>
      <c r="B789" s="18" t="n"/>
      <c r="C789" s="13" t="n"/>
      <c r="D789" s="13" t="n"/>
      <c r="E789" s="13" t="n"/>
      <c r="F789" s="17">
        <f>IF($D789="","",IFERROR(VLOOKUP($E789,材料归属,2,0),"※材料类别没选"))</f>
        <v/>
      </c>
      <c r="G789" s="13" t="n"/>
      <c r="H789" s="13" t="n"/>
      <c r="I789" s="13" t="n"/>
      <c r="J789" s="20" t="n"/>
      <c r="K789" s="14" t="n"/>
      <c r="L789" s="19">
        <f>IF($D789="","",ROUND(IF($J789="",1,$J789)*N($K789),2))</f>
        <v/>
      </c>
      <c r="M789" s="13" t="n"/>
      <c r="N789" s="17">
        <f>IF($D789="","",IF(ISNA(MATCH($D789,项目名表,0)),"※项目不在项目台账里",IF($F789="※材料类别没选","※材料类别没选",IF(AND($C789&lt;&gt;"",ISNA(MATCH($C789,供应商表,0))),"※供应商不在基础资料里",""))))</f>
        <v/>
      </c>
    </row>
    <row r="790">
      <c r="A790" s="17">
        <f>IF($D790="","",ROW()-3)</f>
        <v/>
      </c>
      <c r="B790" s="18" t="n"/>
      <c r="C790" s="13" t="n"/>
      <c r="D790" s="13" t="n"/>
      <c r="E790" s="13" t="n"/>
      <c r="F790" s="17">
        <f>IF($D790="","",IFERROR(VLOOKUP($E790,材料归属,2,0),"※材料类别没选"))</f>
        <v/>
      </c>
      <c r="G790" s="13" t="n"/>
      <c r="H790" s="13" t="n"/>
      <c r="I790" s="13" t="n"/>
      <c r="J790" s="20" t="n"/>
      <c r="K790" s="14" t="n"/>
      <c r="L790" s="19">
        <f>IF($D790="","",ROUND(IF($J790="",1,$J790)*N($K790),2))</f>
        <v/>
      </c>
      <c r="M790" s="13" t="n"/>
      <c r="N790" s="17">
        <f>IF($D790="","",IF(ISNA(MATCH($D790,项目名表,0)),"※项目不在项目台账里",IF($F790="※材料类别没选","※材料类别没选",IF(AND($C790&lt;&gt;"",ISNA(MATCH($C790,供应商表,0))),"※供应商不在基础资料里",""))))</f>
        <v/>
      </c>
    </row>
    <row r="791">
      <c r="A791" s="17">
        <f>IF($D791="","",ROW()-3)</f>
        <v/>
      </c>
      <c r="B791" s="18" t="n"/>
      <c r="C791" s="13" t="n"/>
      <c r="D791" s="13" t="n"/>
      <c r="E791" s="13" t="n"/>
      <c r="F791" s="17">
        <f>IF($D791="","",IFERROR(VLOOKUP($E791,材料归属,2,0),"※材料类别没选"))</f>
        <v/>
      </c>
      <c r="G791" s="13" t="n"/>
      <c r="H791" s="13" t="n"/>
      <c r="I791" s="13" t="n"/>
      <c r="J791" s="20" t="n"/>
      <c r="K791" s="14" t="n"/>
      <c r="L791" s="19">
        <f>IF($D791="","",ROUND(IF($J791="",1,$J791)*N($K791),2))</f>
        <v/>
      </c>
      <c r="M791" s="13" t="n"/>
      <c r="N791" s="17">
        <f>IF($D791="","",IF(ISNA(MATCH($D791,项目名表,0)),"※项目不在项目台账里",IF($F791="※材料类别没选","※材料类别没选",IF(AND($C791&lt;&gt;"",ISNA(MATCH($C791,供应商表,0))),"※供应商不在基础资料里",""))))</f>
        <v/>
      </c>
    </row>
    <row r="792">
      <c r="A792" s="17">
        <f>IF($D792="","",ROW()-3)</f>
        <v/>
      </c>
      <c r="B792" s="18" t="n"/>
      <c r="C792" s="13" t="n"/>
      <c r="D792" s="13" t="n"/>
      <c r="E792" s="13" t="n"/>
      <c r="F792" s="17">
        <f>IF($D792="","",IFERROR(VLOOKUP($E792,材料归属,2,0),"※材料类别没选"))</f>
        <v/>
      </c>
      <c r="G792" s="13" t="n"/>
      <c r="H792" s="13" t="n"/>
      <c r="I792" s="13" t="n"/>
      <c r="J792" s="20" t="n"/>
      <c r="K792" s="14" t="n"/>
      <c r="L792" s="19">
        <f>IF($D792="","",ROUND(IF($J792="",1,$J792)*N($K792),2))</f>
        <v/>
      </c>
      <c r="M792" s="13" t="n"/>
      <c r="N792" s="17">
        <f>IF($D792="","",IF(ISNA(MATCH($D792,项目名表,0)),"※项目不在项目台账里",IF($F792="※材料类别没选","※材料类别没选",IF(AND($C792&lt;&gt;"",ISNA(MATCH($C792,供应商表,0))),"※供应商不在基础资料里",""))))</f>
        <v/>
      </c>
    </row>
    <row r="793">
      <c r="A793" s="17">
        <f>IF($D793="","",ROW()-3)</f>
        <v/>
      </c>
      <c r="B793" s="18" t="n"/>
      <c r="C793" s="13" t="n"/>
      <c r="D793" s="13" t="n"/>
      <c r="E793" s="13" t="n"/>
      <c r="F793" s="17">
        <f>IF($D793="","",IFERROR(VLOOKUP($E793,材料归属,2,0),"※材料类别没选"))</f>
        <v/>
      </c>
      <c r="G793" s="13" t="n"/>
      <c r="H793" s="13" t="n"/>
      <c r="I793" s="13" t="n"/>
      <c r="J793" s="20" t="n"/>
      <c r="K793" s="14" t="n"/>
      <c r="L793" s="19">
        <f>IF($D793="","",ROUND(IF($J793="",1,$J793)*N($K793),2))</f>
        <v/>
      </c>
      <c r="M793" s="13" t="n"/>
      <c r="N793" s="17">
        <f>IF($D793="","",IF(ISNA(MATCH($D793,项目名表,0)),"※项目不在项目台账里",IF($F793="※材料类别没选","※材料类别没选",IF(AND($C793&lt;&gt;"",ISNA(MATCH($C793,供应商表,0))),"※供应商不在基础资料里",""))))</f>
        <v/>
      </c>
    </row>
    <row r="794">
      <c r="A794" s="17">
        <f>IF($D794="","",ROW()-3)</f>
        <v/>
      </c>
      <c r="B794" s="18" t="n"/>
      <c r="C794" s="13" t="n"/>
      <c r="D794" s="13" t="n"/>
      <c r="E794" s="13" t="n"/>
      <c r="F794" s="17">
        <f>IF($D794="","",IFERROR(VLOOKUP($E794,材料归属,2,0),"※材料类别没选"))</f>
        <v/>
      </c>
      <c r="G794" s="13" t="n"/>
      <c r="H794" s="13" t="n"/>
      <c r="I794" s="13" t="n"/>
      <c r="J794" s="20" t="n"/>
      <c r="K794" s="14" t="n"/>
      <c r="L794" s="19">
        <f>IF($D794="","",ROUND(IF($J794="",1,$J794)*N($K794),2))</f>
        <v/>
      </c>
      <c r="M794" s="13" t="n"/>
      <c r="N794" s="17">
        <f>IF($D794="","",IF(ISNA(MATCH($D794,项目名表,0)),"※项目不在项目台账里",IF($F794="※材料类别没选","※材料类别没选",IF(AND($C794&lt;&gt;"",ISNA(MATCH($C794,供应商表,0))),"※供应商不在基础资料里",""))))</f>
        <v/>
      </c>
    </row>
    <row r="795">
      <c r="A795" s="17">
        <f>IF($D795="","",ROW()-3)</f>
        <v/>
      </c>
      <c r="B795" s="18" t="n"/>
      <c r="C795" s="13" t="n"/>
      <c r="D795" s="13" t="n"/>
      <c r="E795" s="13" t="n"/>
      <c r="F795" s="17">
        <f>IF($D795="","",IFERROR(VLOOKUP($E795,材料归属,2,0),"※材料类别没选"))</f>
        <v/>
      </c>
      <c r="G795" s="13" t="n"/>
      <c r="H795" s="13" t="n"/>
      <c r="I795" s="13" t="n"/>
      <c r="J795" s="20" t="n"/>
      <c r="K795" s="14" t="n"/>
      <c r="L795" s="19">
        <f>IF($D795="","",ROUND(IF($J795="",1,$J795)*N($K795),2))</f>
        <v/>
      </c>
      <c r="M795" s="13" t="n"/>
      <c r="N795" s="17">
        <f>IF($D795="","",IF(ISNA(MATCH($D795,项目名表,0)),"※项目不在项目台账里",IF($F795="※材料类别没选","※材料类别没选",IF(AND($C795&lt;&gt;"",ISNA(MATCH($C795,供应商表,0))),"※供应商不在基础资料里",""))))</f>
        <v/>
      </c>
    </row>
    <row r="796">
      <c r="A796" s="17">
        <f>IF($D796="","",ROW()-3)</f>
        <v/>
      </c>
      <c r="B796" s="18" t="n"/>
      <c r="C796" s="13" t="n"/>
      <c r="D796" s="13" t="n"/>
      <c r="E796" s="13" t="n"/>
      <c r="F796" s="17">
        <f>IF($D796="","",IFERROR(VLOOKUP($E796,材料归属,2,0),"※材料类别没选"))</f>
        <v/>
      </c>
      <c r="G796" s="13" t="n"/>
      <c r="H796" s="13" t="n"/>
      <c r="I796" s="13" t="n"/>
      <c r="J796" s="20" t="n"/>
      <c r="K796" s="14" t="n"/>
      <c r="L796" s="19">
        <f>IF($D796="","",ROUND(IF($J796="",1,$J796)*N($K796),2))</f>
        <v/>
      </c>
      <c r="M796" s="13" t="n"/>
      <c r="N796" s="17">
        <f>IF($D796="","",IF(ISNA(MATCH($D796,项目名表,0)),"※项目不在项目台账里",IF($F796="※材料类别没选","※材料类别没选",IF(AND($C796&lt;&gt;"",ISNA(MATCH($C796,供应商表,0))),"※供应商不在基础资料里",""))))</f>
        <v/>
      </c>
    </row>
    <row r="797">
      <c r="A797" s="17">
        <f>IF($D797="","",ROW()-3)</f>
        <v/>
      </c>
      <c r="B797" s="18" t="n"/>
      <c r="C797" s="13" t="n"/>
      <c r="D797" s="13" t="n"/>
      <c r="E797" s="13" t="n"/>
      <c r="F797" s="17">
        <f>IF($D797="","",IFERROR(VLOOKUP($E797,材料归属,2,0),"※材料类别没选"))</f>
        <v/>
      </c>
      <c r="G797" s="13" t="n"/>
      <c r="H797" s="13" t="n"/>
      <c r="I797" s="13" t="n"/>
      <c r="J797" s="20" t="n"/>
      <c r="K797" s="14" t="n"/>
      <c r="L797" s="19">
        <f>IF($D797="","",ROUND(IF($J797="",1,$J797)*N($K797),2))</f>
        <v/>
      </c>
      <c r="M797" s="13" t="n"/>
      <c r="N797" s="17">
        <f>IF($D797="","",IF(ISNA(MATCH($D797,项目名表,0)),"※项目不在项目台账里",IF($F797="※材料类别没选","※材料类别没选",IF(AND($C797&lt;&gt;"",ISNA(MATCH($C797,供应商表,0))),"※供应商不在基础资料里",""))))</f>
        <v/>
      </c>
    </row>
    <row r="798">
      <c r="A798" s="17">
        <f>IF($D798="","",ROW()-3)</f>
        <v/>
      </c>
      <c r="B798" s="18" t="n"/>
      <c r="C798" s="13" t="n"/>
      <c r="D798" s="13" t="n"/>
      <c r="E798" s="13" t="n"/>
      <c r="F798" s="17">
        <f>IF($D798="","",IFERROR(VLOOKUP($E798,材料归属,2,0),"※材料类别没选"))</f>
        <v/>
      </c>
      <c r="G798" s="13" t="n"/>
      <c r="H798" s="13" t="n"/>
      <c r="I798" s="13" t="n"/>
      <c r="J798" s="20" t="n"/>
      <c r="K798" s="14" t="n"/>
      <c r="L798" s="19">
        <f>IF($D798="","",ROUND(IF($J798="",1,$J798)*N($K798),2))</f>
        <v/>
      </c>
      <c r="M798" s="13" t="n"/>
      <c r="N798" s="17">
        <f>IF($D798="","",IF(ISNA(MATCH($D798,项目名表,0)),"※项目不在项目台账里",IF($F798="※材料类别没选","※材料类别没选",IF(AND($C798&lt;&gt;"",ISNA(MATCH($C798,供应商表,0))),"※供应商不在基础资料里",""))))</f>
        <v/>
      </c>
    </row>
    <row r="799">
      <c r="A799" s="17">
        <f>IF($D799="","",ROW()-3)</f>
        <v/>
      </c>
      <c r="B799" s="18" t="n"/>
      <c r="C799" s="13" t="n"/>
      <c r="D799" s="13" t="n"/>
      <c r="E799" s="13" t="n"/>
      <c r="F799" s="17">
        <f>IF($D799="","",IFERROR(VLOOKUP($E799,材料归属,2,0),"※材料类别没选"))</f>
        <v/>
      </c>
      <c r="G799" s="13" t="n"/>
      <c r="H799" s="13" t="n"/>
      <c r="I799" s="13" t="n"/>
      <c r="J799" s="20" t="n"/>
      <c r="K799" s="14" t="n"/>
      <c r="L799" s="19">
        <f>IF($D799="","",ROUND(IF($J799="",1,$J799)*N($K799),2))</f>
        <v/>
      </c>
      <c r="M799" s="13" t="n"/>
      <c r="N799" s="17">
        <f>IF($D799="","",IF(ISNA(MATCH($D799,项目名表,0)),"※项目不在项目台账里",IF($F799="※材料类别没选","※材料类别没选",IF(AND($C799&lt;&gt;"",ISNA(MATCH($C799,供应商表,0))),"※供应商不在基础资料里",""))))</f>
        <v/>
      </c>
    </row>
    <row r="800">
      <c r="A800" s="17">
        <f>IF($D800="","",ROW()-3)</f>
        <v/>
      </c>
      <c r="B800" s="18" t="n"/>
      <c r="C800" s="13" t="n"/>
      <c r="D800" s="13" t="n"/>
      <c r="E800" s="13" t="n"/>
      <c r="F800" s="17">
        <f>IF($D800="","",IFERROR(VLOOKUP($E800,材料归属,2,0),"※材料类别没选"))</f>
        <v/>
      </c>
      <c r="G800" s="13" t="n"/>
      <c r="H800" s="13" t="n"/>
      <c r="I800" s="13" t="n"/>
      <c r="J800" s="20" t="n"/>
      <c r="K800" s="14" t="n"/>
      <c r="L800" s="19">
        <f>IF($D800="","",ROUND(IF($J800="",1,$J800)*N($K800),2))</f>
        <v/>
      </c>
      <c r="M800" s="13" t="n"/>
      <c r="N800" s="17">
        <f>IF($D800="","",IF(ISNA(MATCH($D800,项目名表,0)),"※项目不在项目台账里",IF($F800="※材料类别没选","※材料类别没选",IF(AND($C800&lt;&gt;"",ISNA(MATCH($C800,供应商表,0))),"※供应商不在基础资料里",""))))</f>
        <v/>
      </c>
    </row>
    <row r="801">
      <c r="A801" s="17">
        <f>IF($D801="","",ROW()-3)</f>
        <v/>
      </c>
      <c r="B801" s="18" t="n"/>
      <c r="C801" s="13" t="n"/>
      <c r="D801" s="13" t="n"/>
      <c r="E801" s="13" t="n"/>
      <c r="F801" s="17">
        <f>IF($D801="","",IFERROR(VLOOKUP($E801,材料归属,2,0),"※材料类别没选"))</f>
        <v/>
      </c>
      <c r="G801" s="13" t="n"/>
      <c r="H801" s="13" t="n"/>
      <c r="I801" s="13" t="n"/>
      <c r="J801" s="20" t="n"/>
      <c r="K801" s="14" t="n"/>
      <c r="L801" s="19">
        <f>IF($D801="","",ROUND(IF($J801="",1,$J801)*N($K801),2))</f>
        <v/>
      </c>
      <c r="M801" s="13" t="n"/>
      <c r="N801" s="17">
        <f>IF($D801="","",IF(ISNA(MATCH($D801,项目名表,0)),"※项目不在项目台账里",IF($F801="※材料类别没选","※材料类别没选",IF(AND($C801&lt;&gt;"",ISNA(MATCH($C801,供应商表,0))),"※供应商不在基础资料里",""))))</f>
        <v/>
      </c>
    </row>
    <row r="802">
      <c r="A802" s="17">
        <f>IF($D802="","",ROW()-3)</f>
        <v/>
      </c>
      <c r="B802" s="18" t="n"/>
      <c r="C802" s="13" t="n"/>
      <c r="D802" s="13" t="n"/>
      <c r="E802" s="13" t="n"/>
      <c r="F802" s="17">
        <f>IF($D802="","",IFERROR(VLOOKUP($E802,材料归属,2,0),"※材料类别没选"))</f>
        <v/>
      </c>
      <c r="G802" s="13" t="n"/>
      <c r="H802" s="13" t="n"/>
      <c r="I802" s="13" t="n"/>
      <c r="J802" s="20" t="n"/>
      <c r="K802" s="14" t="n"/>
      <c r="L802" s="19">
        <f>IF($D802="","",ROUND(IF($J802="",1,$J802)*N($K802),2))</f>
        <v/>
      </c>
      <c r="M802" s="13" t="n"/>
      <c r="N802" s="17">
        <f>IF($D802="","",IF(ISNA(MATCH($D802,项目名表,0)),"※项目不在项目台账里",IF($F802="※材料类别没选","※材料类别没选",IF(AND($C802&lt;&gt;"",ISNA(MATCH($C802,供应商表,0))),"※供应商不在基础资料里",""))))</f>
        <v/>
      </c>
    </row>
    <row r="803">
      <c r="A803" s="17">
        <f>IF($D803="","",ROW()-3)</f>
        <v/>
      </c>
      <c r="B803" s="18" t="n"/>
      <c r="C803" s="13" t="n"/>
      <c r="D803" s="13" t="n"/>
      <c r="E803" s="13" t="n"/>
      <c r="F803" s="17">
        <f>IF($D803="","",IFERROR(VLOOKUP($E803,材料归属,2,0),"※材料类别没选"))</f>
        <v/>
      </c>
      <c r="G803" s="13" t="n"/>
      <c r="H803" s="13" t="n"/>
      <c r="I803" s="13" t="n"/>
      <c r="J803" s="20" t="n"/>
      <c r="K803" s="14" t="n"/>
      <c r="L803" s="19">
        <f>IF($D803="","",ROUND(IF($J803="",1,$J803)*N($K803),2))</f>
        <v/>
      </c>
      <c r="M803" s="13" t="n"/>
      <c r="N803" s="17">
        <f>IF($D803="","",IF(ISNA(MATCH($D803,项目名表,0)),"※项目不在项目台账里",IF($F803="※材料类别没选","※材料类别没选",IF(AND($C803&lt;&gt;"",ISNA(MATCH($C803,供应商表,0))),"※供应商不在基础资料里",""))))</f>
        <v/>
      </c>
    </row>
    <row r="804">
      <c r="A804" s="17">
        <f>IF($D804="","",ROW()-3)</f>
        <v/>
      </c>
      <c r="B804" s="18" t="n"/>
      <c r="C804" s="13" t="n"/>
      <c r="D804" s="13" t="n"/>
      <c r="E804" s="13" t="n"/>
      <c r="F804" s="17">
        <f>IF($D804="","",IFERROR(VLOOKUP($E804,材料归属,2,0),"※材料类别没选"))</f>
        <v/>
      </c>
      <c r="G804" s="13" t="n"/>
      <c r="H804" s="13" t="n"/>
      <c r="I804" s="13" t="n"/>
      <c r="J804" s="20" t="n"/>
      <c r="K804" s="14" t="n"/>
      <c r="L804" s="19">
        <f>IF($D804="","",ROUND(IF($J804="",1,$J804)*N($K804),2))</f>
        <v/>
      </c>
      <c r="M804" s="13" t="n"/>
      <c r="N804" s="17">
        <f>IF($D804="","",IF(ISNA(MATCH($D804,项目名表,0)),"※项目不在项目台账里",IF($F804="※材料类别没选","※材料类别没选",IF(AND($C804&lt;&gt;"",ISNA(MATCH($C804,供应商表,0))),"※供应商不在基础资料里",""))))</f>
        <v/>
      </c>
    </row>
    <row r="805">
      <c r="A805" s="17">
        <f>IF($D805="","",ROW()-3)</f>
        <v/>
      </c>
      <c r="B805" s="18" t="n"/>
      <c r="C805" s="13" t="n"/>
      <c r="D805" s="13" t="n"/>
      <c r="E805" s="13" t="n"/>
      <c r="F805" s="17">
        <f>IF($D805="","",IFERROR(VLOOKUP($E805,材料归属,2,0),"※材料类别没选"))</f>
        <v/>
      </c>
      <c r="G805" s="13" t="n"/>
      <c r="H805" s="13" t="n"/>
      <c r="I805" s="13" t="n"/>
      <c r="J805" s="20" t="n"/>
      <c r="K805" s="14" t="n"/>
      <c r="L805" s="19">
        <f>IF($D805="","",ROUND(IF($J805="",1,$J805)*N($K805),2))</f>
        <v/>
      </c>
      <c r="M805" s="13" t="n"/>
      <c r="N805" s="17">
        <f>IF($D805="","",IF(ISNA(MATCH($D805,项目名表,0)),"※项目不在项目台账里",IF($F805="※材料类别没选","※材料类别没选",IF(AND($C805&lt;&gt;"",ISNA(MATCH($C805,供应商表,0))),"※供应商不在基础资料里",""))))</f>
        <v/>
      </c>
    </row>
    <row r="806">
      <c r="A806" s="17">
        <f>IF($D806="","",ROW()-3)</f>
        <v/>
      </c>
      <c r="B806" s="18" t="n"/>
      <c r="C806" s="13" t="n"/>
      <c r="D806" s="13" t="n"/>
      <c r="E806" s="13" t="n"/>
      <c r="F806" s="17">
        <f>IF($D806="","",IFERROR(VLOOKUP($E806,材料归属,2,0),"※材料类别没选"))</f>
        <v/>
      </c>
      <c r="G806" s="13" t="n"/>
      <c r="H806" s="13" t="n"/>
      <c r="I806" s="13" t="n"/>
      <c r="J806" s="20" t="n"/>
      <c r="K806" s="14" t="n"/>
      <c r="L806" s="19">
        <f>IF($D806="","",ROUND(IF($J806="",1,$J806)*N($K806),2))</f>
        <v/>
      </c>
      <c r="M806" s="13" t="n"/>
      <c r="N806" s="17">
        <f>IF($D806="","",IF(ISNA(MATCH($D806,项目名表,0)),"※项目不在项目台账里",IF($F806="※材料类别没选","※材料类别没选",IF(AND($C806&lt;&gt;"",ISNA(MATCH($C806,供应商表,0))),"※供应商不在基础资料里",""))))</f>
        <v/>
      </c>
    </row>
    <row r="807">
      <c r="A807" s="17">
        <f>IF($D807="","",ROW()-3)</f>
        <v/>
      </c>
      <c r="B807" s="18" t="n"/>
      <c r="C807" s="13" t="n"/>
      <c r="D807" s="13" t="n"/>
      <c r="E807" s="13" t="n"/>
      <c r="F807" s="17">
        <f>IF($D807="","",IFERROR(VLOOKUP($E807,材料归属,2,0),"※材料类别没选"))</f>
        <v/>
      </c>
      <c r="G807" s="13" t="n"/>
      <c r="H807" s="13" t="n"/>
      <c r="I807" s="13" t="n"/>
      <c r="J807" s="20" t="n"/>
      <c r="K807" s="14" t="n"/>
      <c r="L807" s="19">
        <f>IF($D807="","",ROUND(IF($J807="",1,$J807)*N($K807),2))</f>
        <v/>
      </c>
      <c r="M807" s="13" t="n"/>
      <c r="N807" s="17">
        <f>IF($D807="","",IF(ISNA(MATCH($D807,项目名表,0)),"※项目不在项目台账里",IF($F807="※材料类别没选","※材料类别没选",IF(AND($C807&lt;&gt;"",ISNA(MATCH($C807,供应商表,0))),"※供应商不在基础资料里",""))))</f>
        <v/>
      </c>
    </row>
    <row r="808">
      <c r="A808" s="17">
        <f>IF($D808="","",ROW()-3)</f>
        <v/>
      </c>
      <c r="B808" s="18" t="n"/>
      <c r="C808" s="13" t="n"/>
      <c r="D808" s="13" t="n"/>
      <c r="E808" s="13" t="n"/>
      <c r="F808" s="17">
        <f>IF($D808="","",IFERROR(VLOOKUP($E808,材料归属,2,0),"※材料类别没选"))</f>
        <v/>
      </c>
      <c r="G808" s="13" t="n"/>
      <c r="H808" s="13" t="n"/>
      <c r="I808" s="13" t="n"/>
      <c r="J808" s="20" t="n"/>
      <c r="K808" s="14" t="n"/>
      <c r="L808" s="19">
        <f>IF($D808="","",ROUND(IF($J808="",1,$J808)*N($K808),2))</f>
        <v/>
      </c>
      <c r="M808" s="13" t="n"/>
      <c r="N808" s="17">
        <f>IF($D808="","",IF(ISNA(MATCH($D808,项目名表,0)),"※项目不在项目台账里",IF($F808="※材料类别没选","※材料类别没选",IF(AND($C808&lt;&gt;"",ISNA(MATCH($C808,供应商表,0))),"※供应商不在基础资料里",""))))</f>
        <v/>
      </c>
    </row>
    <row r="809">
      <c r="A809" s="17">
        <f>IF($D809="","",ROW()-3)</f>
        <v/>
      </c>
      <c r="B809" s="18" t="n"/>
      <c r="C809" s="13" t="n"/>
      <c r="D809" s="13" t="n"/>
      <c r="E809" s="13" t="n"/>
      <c r="F809" s="17">
        <f>IF($D809="","",IFERROR(VLOOKUP($E809,材料归属,2,0),"※材料类别没选"))</f>
        <v/>
      </c>
      <c r="G809" s="13" t="n"/>
      <c r="H809" s="13" t="n"/>
      <c r="I809" s="13" t="n"/>
      <c r="J809" s="20" t="n"/>
      <c r="K809" s="14" t="n"/>
      <c r="L809" s="19">
        <f>IF($D809="","",ROUND(IF($J809="",1,$J809)*N($K809),2))</f>
        <v/>
      </c>
      <c r="M809" s="13" t="n"/>
      <c r="N809" s="17">
        <f>IF($D809="","",IF(ISNA(MATCH($D809,项目名表,0)),"※项目不在项目台账里",IF($F809="※材料类别没选","※材料类别没选",IF(AND($C809&lt;&gt;"",ISNA(MATCH($C809,供应商表,0))),"※供应商不在基础资料里",""))))</f>
        <v/>
      </c>
    </row>
    <row r="810">
      <c r="A810" s="17">
        <f>IF($D810="","",ROW()-3)</f>
        <v/>
      </c>
      <c r="B810" s="18" t="n"/>
      <c r="C810" s="13" t="n"/>
      <c r="D810" s="13" t="n"/>
      <c r="E810" s="13" t="n"/>
      <c r="F810" s="17">
        <f>IF($D810="","",IFERROR(VLOOKUP($E810,材料归属,2,0),"※材料类别没选"))</f>
        <v/>
      </c>
      <c r="G810" s="13" t="n"/>
      <c r="H810" s="13" t="n"/>
      <c r="I810" s="13" t="n"/>
      <c r="J810" s="20" t="n"/>
      <c r="K810" s="14" t="n"/>
      <c r="L810" s="19">
        <f>IF($D810="","",ROUND(IF($J810="",1,$J810)*N($K810),2))</f>
        <v/>
      </c>
      <c r="M810" s="13" t="n"/>
      <c r="N810" s="17">
        <f>IF($D810="","",IF(ISNA(MATCH($D810,项目名表,0)),"※项目不在项目台账里",IF($F810="※材料类别没选","※材料类别没选",IF(AND($C810&lt;&gt;"",ISNA(MATCH($C810,供应商表,0))),"※供应商不在基础资料里",""))))</f>
        <v/>
      </c>
    </row>
    <row r="811">
      <c r="A811" s="17">
        <f>IF($D811="","",ROW()-3)</f>
        <v/>
      </c>
      <c r="B811" s="18" t="n"/>
      <c r="C811" s="13" t="n"/>
      <c r="D811" s="13" t="n"/>
      <c r="E811" s="13" t="n"/>
      <c r="F811" s="17">
        <f>IF($D811="","",IFERROR(VLOOKUP($E811,材料归属,2,0),"※材料类别没选"))</f>
        <v/>
      </c>
      <c r="G811" s="13" t="n"/>
      <c r="H811" s="13" t="n"/>
      <c r="I811" s="13" t="n"/>
      <c r="J811" s="20" t="n"/>
      <c r="K811" s="14" t="n"/>
      <c r="L811" s="19">
        <f>IF($D811="","",ROUND(IF($J811="",1,$J811)*N($K811),2))</f>
        <v/>
      </c>
      <c r="M811" s="13" t="n"/>
      <c r="N811" s="17">
        <f>IF($D811="","",IF(ISNA(MATCH($D811,项目名表,0)),"※项目不在项目台账里",IF($F811="※材料类别没选","※材料类别没选",IF(AND($C811&lt;&gt;"",ISNA(MATCH($C811,供应商表,0))),"※供应商不在基础资料里",""))))</f>
        <v/>
      </c>
    </row>
    <row r="812">
      <c r="A812" s="17">
        <f>IF($D812="","",ROW()-3)</f>
        <v/>
      </c>
      <c r="B812" s="18" t="n"/>
      <c r="C812" s="13" t="n"/>
      <c r="D812" s="13" t="n"/>
      <c r="E812" s="13" t="n"/>
      <c r="F812" s="17">
        <f>IF($D812="","",IFERROR(VLOOKUP($E812,材料归属,2,0),"※材料类别没选"))</f>
        <v/>
      </c>
      <c r="G812" s="13" t="n"/>
      <c r="H812" s="13" t="n"/>
      <c r="I812" s="13" t="n"/>
      <c r="J812" s="20" t="n"/>
      <c r="K812" s="14" t="n"/>
      <c r="L812" s="19">
        <f>IF($D812="","",ROUND(IF($J812="",1,$J812)*N($K812),2))</f>
        <v/>
      </c>
      <c r="M812" s="13" t="n"/>
      <c r="N812" s="17">
        <f>IF($D812="","",IF(ISNA(MATCH($D812,项目名表,0)),"※项目不在项目台账里",IF($F812="※材料类别没选","※材料类别没选",IF(AND($C812&lt;&gt;"",ISNA(MATCH($C812,供应商表,0))),"※供应商不在基础资料里",""))))</f>
        <v/>
      </c>
    </row>
    <row r="813">
      <c r="A813" s="17">
        <f>IF($D813="","",ROW()-3)</f>
        <v/>
      </c>
      <c r="B813" s="18" t="n"/>
      <c r="C813" s="13" t="n"/>
      <c r="D813" s="13" t="n"/>
      <c r="E813" s="13" t="n"/>
      <c r="F813" s="17">
        <f>IF($D813="","",IFERROR(VLOOKUP($E813,材料归属,2,0),"※材料类别没选"))</f>
        <v/>
      </c>
      <c r="G813" s="13" t="n"/>
      <c r="H813" s="13" t="n"/>
      <c r="I813" s="13" t="n"/>
      <c r="J813" s="20" t="n"/>
      <c r="K813" s="14" t="n"/>
      <c r="L813" s="19">
        <f>IF($D813="","",ROUND(IF($J813="",1,$J813)*N($K813),2))</f>
        <v/>
      </c>
      <c r="M813" s="13" t="n"/>
      <c r="N813" s="17">
        <f>IF($D813="","",IF(ISNA(MATCH($D813,项目名表,0)),"※项目不在项目台账里",IF($F813="※材料类别没选","※材料类别没选",IF(AND($C813&lt;&gt;"",ISNA(MATCH($C813,供应商表,0))),"※供应商不在基础资料里",""))))</f>
        <v/>
      </c>
    </row>
    <row r="814">
      <c r="A814" s="17">
        <f>IF($D814="","",ROW()-3)</f>
        <v/>
      </c>
      <c r="B814" s="18" t="n"/>
      <c r="C814" s="13" t="n"/>
      <c r="D814" s="13" t="n"/>
      <c r="E814" s="13" t="n"/>
      <c r="F814" s="17">
        <f>IF($D814="","",IFERROR(VLOOKUP($E814,材料归属,2,0),"※材料类别没选"))</f>
        <v/>
      </c>
      <c r="G814" s="13" t="n"/>
      <c r="H814" s="13" t="n"/>
      <c r="I814" s="13" t="n"/>
      <c r="J814" s="20" t="n"/>
      <c r="K814" s="14" t="n"/>
      <c r="L814" s="19">
        <f>IF($D814="","",ROUND(IF($J814="",1,$J814)*N($K814),2))</f>
        <v/>
      </c>
      <c r="M814" s="13" t="n"/>
      <c r="N814" s="17">
        <f>IF($D814="","",IF(ISNA(MATCH($D814,项目名表,0)),"※项目不在项目台账里",IF($F814="※材料类别没选","※材料类别没选",IF(AND($C814&lt;&gt;"",ISNA(MATCH($C814,供应商表,0))),"※供应商不在基础资料里",""))))</f>
        <v/>
      </c>
    </row>
    <row r="815">
      <c r="A815" s="17">
        <f>IF($D815="","",ROW()-3)</f>
        <v/>
      </c>
      <c r="B815" s="18" t="n"/>
      <c r="C815" s="13" t="n"/>
      <c r="D815" s="13" t="n"/>
      <c r="E815" s="13" t="n"/>
      <c r="F815" s="17">
        <f>IF($D815="","",IFERROR(VLOOKUP($E815,材料归属,2,0),"※材料类别没选"))</f>
        <v/>
      </c>
      <c r="G815" s="13" t="n"/>
      <c r="H815" s="13" t="n"/>
      <c r="I815" s="13" t="n"/>
      <c r="J815" s="20" t="n"/>
      <c r="K815" s="14" t="n"/>
      <c r="L815" s="19">
        <f>IF($D815="","",ROUND(IF($J815="",1,$J815)*N($K815),2))</f>
        <v/>
      </c>
      <c r="M815" s="13" t="n"/>
      <c r="N815" s="17">
        <f>IF($D815="","",IF(ISNA(MATCH($D815,项目名表,0)),"※项目不在项目台账里",IF($F815="※材料类别没选","※材料类别没选",IF(AND($C815&lt;&gt;"",ISNA(MATCH($C815,供应商表,0))),"※供应商不在基础资料里",""))))</f>
        <v/>
      </c>
    </row>
    <row r="816">
      <c r="A816" s="17">
        <f>IF($D816="","",ROW()-3)</f>
        <v/>
      </c>
      <c r="B816" s="18" t="n"/>
      <c r="C816" s="13" t="n"/>
      <c r="D816" s="13" t="n"/>
      <c r="E816" s="13" t="n"/>
      <c r="F816" s="17">
        <f>IF($D816="","",IFERROR(VLOOKUP($E816,材料归属,2,0),"※材料类别没选"))</f>
        <v/>
      </c>
      <c r="G816" s="13" t="n"/>
      <c r="H816" s="13" t="n"/>
      <c r="I816" s="13" t="n"/>
      <c r="J816" s="20" t="n"/>
      <c r="K816" s="14" t="n"/>
      <c r="L816" s="19">
        <f>IF($D816="","",ROUND(IF($J816="",1,$J816)*N($K816),2))</f>
        <v/>
      </c>
      <c r="M816" s="13" t="n"/>
      <c r="N816" s="17">
        <f>IF($D816="","",IF(ISNA(MATCH($D816,项目名表,0)),"※项目不在项目台账里",IF($F816="※材料类别没选","※材料类别没选",IF(AND($C816&lt;&gt;"",ISNA(MATCH($C816,供应商表,0))),"※供应商不在基础资料里",""))))</f>
        <v/>
      </c>
    </row>
    <row r="817">
      <c r="A817" s="17">
        <f>IF($D817="","",ROW()-3)</f>
        <v/>
      </c>
      <c r="B817" s="18" t="n"/>
      <c r="C817" s="13" t="n"/>
      <c r="D817" s="13" t="n"/>
      <c r="E817" s="13" t="n"/>
      <c r="F817" s="17">
        <f>IF($D817="","",IFERROR(VLOOKUP($E817,材料归属,2,0),"※材料类别没选"))</f>
        <v/>
      </c>
      <c r="G817" s="13" t="n"/>
      <c r="H817" s="13" t="n"/>
      <c r="I817" s="13" t="n"/>
      <c r="J817" s="20" t="n"/>
      <c r="K817" s="14" t="n"/>
      <c r="L817" s="19">
        <f>IF($D817="","",ROUND(IF($J817="",1,$J817)*N($K817),2))</f>
        <v/>
      </c>
      <c r="M817" s="13" t="n"/>
      <c r="N817" s="17">
        <f>IF($D817="","",IF(ISNA(MATCH($D817,项目名表,0)),"※项目不在项目台账里",IF($F817="※材料类别没选","※材料类别没选",IF(AND($C817&lt;&gt;"",ISNA(MATCH($C817,供应商表,0))),"※供应商不在基础资料里",""))))</f>
        <v/>
      </c>
    </row>
    <row r="818">
      <c r="A818" s="17">
        <f>IF($D818="","",ROW()-3)</f>
        <v/>
      </c>
      <c r="B818" s="18" t="n"/>
      <c r="C818" s="13" t="n"/>
      <c r="D818" s="13" t="n"/>
      <c r="E818" s="13" t="n"/>
      <c r="F818" s="17">
        <f>IF($D818="","",IFERROR(VLOOKUP($E818,材料归属,2,0),"※材料类别没选"))</f>
        <v/>
      </c>
      <c r="G818" s="13" t="n"/>
      <c r="H818" s="13" t="n"/>
      <c r="I818" s="13" t="n"/>
      <c r="J818" s="20" t="n"/>
      <c r="K818" s="14" t="n"/>
      <c r="L818" s="19">
        <f>IF($D818="","",ROUND(IF($J818="",1,$J818)*N($K818),2))</f>
        <v/>
      </c>
      <c r="M818" s="13" t="n"/>
      <c r="N818" s="17">
        <f>IF($D818="","",IF(ISNA(MATCH($D818,项目名表,0)),"※项目不在项目台账里",IF($F818="※材料类别没选","※材料类别没选",IF(AND($C818&lt;&gt;"",ISNA(MATCH($C818,供应商表,0))),"※供应商不在基础资料里",""))))</f>
        <v/>
      </c>
    </row>
    <row r="819">
      <c r="A819" s="17">
        <f>IF($D819="","",ROW()-3)</f>
        <v/>
      </c>
      <c r="B819" s="18" t="n"/>
      <c r="C819" s="13" t="n"/>
      <c r="D819" s="13" t="n"/>
      <c r="E819" s="13" t="n"/>
      <c r="F819" s="17">
        <f>IF($D819="","",IFERROR(VLOOKUP($E819,材料归属,2,0),"※材料类别没选"))</f>
        <v/>
      </c>
      <c r="G819" s="13" t="n"/>
      <c r="H819" s="13" t="n"/>
      <c r="I819" s="13" t="n"/>
      <c r="J819" s="20" t="n"/>
      <c r="K819" s="14" t="n"/>
      <c r="L819" s="19">
        <f>IF($D819="","",ROUND(IF($J819="",1,$J819)*N($K819),2))</f>
        <v/>
      </c>
      <c r="M819" s="13" t="n"/>
      <c r="N819" s="17">
        <f>IF($D819="","",IF(ISNA(MATCH($D819,项目名表,0)),"※项目不在项目台账里",IF($F819="※材料类别没选","※材料类别没选",IF(AND($C819&lt;&gt;"",ISNA(MATCH($C819,供应商表,0))),"※供应商不在基础资料里",""))))</f>
        <v/>
      </c>
    </row>
    <row r="820">
      <c r="A820" s="17">
        <f>IF($D820="","",ROW()-3)</f>
        <v/>
      </c>
      <c r="B820" s="18" t="n"/>
      <c r="C820" s="13" t="n"/>
      <c r="D820" s="13" t="n"/>
      <c r="E820" s="13" t="n"/>
      <c r="F820" s="17">
        <f>IF($D820="","",IFERROR(VLOOKUP($E820,材料归属,2,0),"※材料类别没选"))</f>
        <v/>
      </c>
      <c r="G820" s="13" t="n"/>
      <c r="H820" s="13" t="n"/>
      <c r="I820" s="13" t="n"/>
      <c r="J820" s="20" t="n"/>
      <c r="K820" s="14" t="n"/>
      <c r="L820" s="19">
        <f>IF($D820="","",ROUND(IF($J820="",1,$J820)*N($K820),2))</f>
        <v/>
      </c>
      <c r="M820" s="13" t="n"/>
      <c r="N820" s="17">
        <f>IF($D820="","",IF(ISNA(MATCH($D820,项目名表,0)),"※项目不在项目台账里",IF($F820="※材料类别没选","※材料类别没选",IF(AND($C820&lt;&gt;"",ISNA(MATCH($C820,供应商表,0))),"※供应商不在基础资料里",""))))</f>
        <v/>
      </c>
    </row>
    <row r="821">
      <c r="A821" s="17">
        <f>IF($D821="","",ROW()-3)</f>
        <v/>
      </c>
      <c r="B821" s="18" t="n"/>
      <c r="C821" s="13" t="n"/>
      <c r="D821" s="13" t="n"/>
      <c r="E821" s="13" t="n"/>
      <c r="F821" s="17">
        <f>IF($D821="","",IFERROR(VLOOKUP($E821,材料归属,2,0),"※材料类别没选"))</f>
        <v/>
      </c>
      <c r="G821" s="13" t="n"/>
      <c r="H821" s="13" t="n"/>
      <c r="I821" s="13" t="n"/>
      <c r="J821" s="20" t="n"/>
      <c r="K821" s="14" t="n"/>
      <c r="L821" s="19">
        <f>IF($D821="","",ROUND(IF($J821="",1,$J821)*N($K821),2))</f>
        <v/>
      </c>
      <c r="M821" s="13" t="n"/>
      <c r="N821" s="17">
        <f>IF($D821="","",IF(ISNA(MATCH($D821,项目名表,0)),"※项目不在项目台账里",IF($F821="※材料类别没选","※材料类别没选",IF(AND($C821&lt;&gt;"",ISNA(MATCH($C821,供应商表,0))),"※供应商不在基础资料里",""))))</f>
        <v/>
      </c>
    </row>
    <row r="822">
      <c r="A822" s="17">
        <f>IF($D822="","",ROW()-3)</f>
        <v/>
      </c>
      <c r="B822" s="18" t="n"/>
      <c r="C822" s="13" t="n"/>
      <c r="D822" s="13" t="n"/>
      <c r="E822" s="13" t="n"/>
      <c r="F822" s="17">
        <f>IF($D822="","",IFERROR(VLOOKUP($E822,材料归属,2,0),"※材料类别没选"))</f>
        <v/>
      </c>
      <c r="G822" s="13" t="n"/>
      <c r="H822" s="13" t="n"/>
      <c r="I822" s="13" t="n"/>
      <c r="J822" s="20" t="n"/>
      <c r="K822" s="14" t="n"/>
      <c r="L822" s="19">
        <f>IF($D822="","",ROUND(IF($J822="",1,$J822)*N($K822),2))</f>
        <v/>
      </c>
      <c r="M822" s="13" t="n"/>
      <c r="N822" s="17">
        <f>IF($D822="","",IF(ISNA(MATCH($D822,项目名表,0)),"※项目不在项目台账里",IF($F822="※材料类别没选","※材料类别没选",IF(AND($C822&lt;&gt;"",ISNA(MATCH($C822,供应商表,0))),"※供应商不在基础资料里",""))))</f>
        <v/>
      </c>
    </row>
    <row r="823">
      <c r="A823" s="17">
        <f>IF($D823="","",ROW()-3)</f>
        <v/>
      </c>
      <c r="B823" s="18" t="n"/>
      <c r="C823" s="13" t="n"/>
      <c r="D823" s="13" t="n"/>
      <c r="E823" s="13" t="n"/>
      <c r="F823" s="17">
        <f>IF($D823="","",IFERROR(VLOOKUP($E823,材料归属,2,0),"※材料类别没选"))</f>
        <v/>
      </c>
      <c r="G823" s="13" t="n"/>
      <c r="H823" s="13" t="n"/>
      <c r="I823" s="13" t="n"/>
      <c r="J823" s="20" t="n"/>
      <c r="K823" s="14" t="n"/>
      <c r="L823" s="19">
        <f>IF($D823="","",ROUND(IF($J823="",1,$J823)*N($K823),2))</f>
        <v/>
      </c>
      <c r="M823" s="13" t="n"/>
      <c r="N823" s="17">
        <f>IF($D823="","",IF(ISNA(MATCH($D823,项目名表,0)),"※项目不在项目台账里",IF($F823="※材料类别没选","※材料类别没选",IF(AND($C823&lt;&gt;"",ISNA(MATCH($C823,供应商表,0))),"※供应商不在基础资料里",""))))</f>
        <v/>
      </c>
    </row>
    <row r="824">
      <c r="A824" s="17">
        <f>IF($D824="","",ROW()-3)</f>
        <v/>
      </c>
      <c r="B824" s="18" t="n"/>
      <c r="C824" s="13" t="n"/>
      <c r="D824" s="13" t="n"/>
      <c r="E824" s="13" t="n"/>
      <c r="F824" s="17">
        <f>IF($D824="","",IFERROR(VLOOKUP($E824,材料归属,2,0),"※材料类别没选"))</f>
        <v/>
      </c>
      <c r="G824" s="13" t="n"/>
      <c r="H824" s="13" t="n"/>
      <c r="I824" s="13" t="n"/>
      <c r="J824" s="20" t="n"/>
      <c r="K824" s="14" t="n"/>
      <c r="L824" s="19">
        <f>IF($D824="","",ROUND(IF($J824="",1,$J824)*N($K824),2))</f>
        <v/>
      </c>
      <c r="M824" s="13" t="n"/>
      <c r="N824" s="17">
        <f>IF($D824="","",IF(ISNA(MATCH($D824,项目名表,0)),"※项目不在项目台账里",IF($F824="※材料类别没选","※材料类别没选",IF(AND($C824&lt;&gt;"",ISNA(MATCH($C824,供应商表,0))),"※供应商不在基础资料里",""))))</f>
        <v/>
      </c>
    </row>
    <row r="825">
      <c r="A825" s="17">
        <f>IF($D825="","",ROW()-3)</f>
        <v/>
      </c>
      <c r="B825" s="18" t="n"/>
      <c r="C825" s="13" t="n"/>
      <c r="D825" s="13" t="n"/>
      <c r="E825" s="13" t="n"/>
      <c r="F825" s="17">
        <f>IF($D825="","",IFERROR(VLOOKUP($E825,材料归属,2,0),"※材料类别没选"))</f>
        <v/>
      </c>
      <c r="G825" s="13" t="n"/>
      <c r="H825" s="13" t="n"/>
      <c r="I825" s="13" t="n"/>
      <c r="J825" s="20" t="n"/>
      <c r="K825" s="14" t="n"/>
      <c r="L825" s="19">
        <f>IF($D825="","",ROUND(IF($J825="",1,$J825)*N($K825),2))</f>
        <v/>
      </c>
      <c r="M825" s="13" t="n"/>
      <c r="N825" s="17">
        <f>IF($D825="","",IF(ISNA(MATCH($D825,项目名表,0)),"※项目不在项目台账里",IF($F825="※材料类别没选","※材料类别没选",IF(AND($C825&lt;&gt;"",ISNA(MATCH($C825,供应商表,0))),"※供应商不在基础资料里",""))))</f>
        <v/>
      </c>
    </row>
    <row r="826">
      <c r="A826" s="17">
        <f>IF($D826="","",ROW()-3)</f>
        <v/>
      </c>
      <c r="B826" s="18" t="n"/>
      <c r="C826" s="13" t="n"/>
      <c r="D826" s="13" t="n"/>
      <c r="E826" s="13" t="n"/>
      <c r="F826" s="17">
        <f>IF($D826="","",IFERROR(VLOOKUP($E826,材料归属,2,0),"※材料类别没选"))</f>
        <v/>
      </c>
      <c r="G826" s="13" t="n"/>
      <c r="H826" s="13" t="n"/>
      <c r="I826" s="13" t="n"/>
      <c r="J826" s="20" t="n"/>
      <c r="K826" s="14" t="n"/>
      <c r="L826" s="19">
        <f>IF($D826="","",ROUND(IF($J826="",1,$J826)*N($K826),2))</f>
        <v/>
      </c>
      <c r="M826" s="13" t="n"/>
      <c r="N826" s="17">
        <f>IF($D826="","",IF(ISNA(MATCH($D826,项目名表,0)),"※项目不在项目台账里",IF($F826="※材料类别没选","※材料类别没选",IF(AND($C826&lt;&gt;"",ISNA(MATCH($C826,供应商表,0))),"※供应商不在基础资料里",""))))</f>
        <v/>
      </c>
    </row>
    <row r="827">
      <c r="A827" s="17">
        <f>IF($D827="","",ROW()-3)</f>
        <v/>
      </c>
      <c r="B827" s="18" t="n"/>
      <c r="C827" s="13" t="n"/>
      <c r="D827" s="13" t="n"/>
      <c r="E827" s="13" t="n"/>
      <c r="F827" s="17">
        <f>IF($D827="","",IFERROR(VLOOKUP($E827,材料归属,2,0),"※材料类别没选"))</f>
        <v/>
      </c>
      <c r="G827" s="13" t="n"/>
      <c r="H827" s="13" t="n"/>
      <c r="I827" s="13" t="n"/>
      <c r="J827" s="20" t="n"/>
      <c r="K827" s="14" t="n"/>
      <c r="L827" s="19">
        <f>IF($D827="","",ROUND(IF($J827="",1,$J827)*N($K827),2))</f>
        <v/>
      </c>
      <c r="M827" s="13" t="n"/>
      <c r="N827" s="17">
        <f>IF($D827="","",IF(ISNA(MATCH($D827,项目名表,0)),"※项目不在项目台账里",IF($F827="※材料类别没选","※材料类别没选",IF(AND($C827&lt;&gt;"",ISNA(MATCH($C827,供应商表,0))),"※供应商不在基础资料里",""))))</f>
        <v/>
      </c>
    </row>
    <row r="828">
      <c r="A828" s="17">
        <f>IF($D828="","",ROW()-3)</f>
        <v/>
      </c>
      <c r="B828" s="18" t="n"/>
      <c r="C828" s="13" t="n"/>
      <c r="D828" s="13" t="n"/>
      <c r="E828" s="13" t="n"/>
      <c r="F828" s="17">
        <f>IF($D828="","",IFERROR(VLOOKUP($E828,材料归属,2,0),"※材料类别没选"))</f>
        <v/>
      </c>
      <c r="G828" s="13" t="n"/>
      <c r="H828" s="13" t="n"/>
      <c r="I828" s="13" t="n"/>
      <c r="J828" s="20" t="n"/>
      <c r="K828" s="14" t="n"/>
      <c r="L828" s="19">
        <f>IF($D828="","",ROUND(IF($J828="",1,$J828)*N($K828),2))</f>
        <v/>
      </c>
      <c r="M828" s="13" t="n"/>
      <c r="N828" s="17">
        <f>IF($D828="","",IF(ISNA(MATCH($D828,项目名表,0)),"※项目不在项目台账里",IF($F828="※材料类别没选","※材料类别没选",IF(AND($C828&lt;&gt;"",ISNA(MATCH($C828,供应商表,0))),"※供应商不在基础资料里",""))))</f>
        <v/>
      </c>
    </row>
    <row r="829">
      <c r="A829" s="17">
        <f>IF($D829="","",ROW()-3)</f>
        <v/>
      </c>
      <c r="B829" s="18" t="n"/>
      <c r="C829" s="13" t="n"/>
      <c r="D829" s="13" t="n"/>
      <c r="E829" s="13" t="n"/>
      <c r="F829" s="17">
        <f>IF($D829="","",IFERROR(VLOOKUP($E829,材料归属,2,0),"※材料类别没选"))</f>
        <v/>
      </c>
      <c r="G829" s="13" t="n"/>
      <c r="H829" s="13" t="n"/>
      <c r="I829" s="13" t="n"/>
      <c r="J829" s="20" t="n"/>
      <c r="K829" s="14" t="n"/>
      <c r="L829" s="19">
        <f>IF($D829="","",ROUND(IF($J829="",1,$J829)*N($K829),2))</f>
        <v/>
      </c>
      <c r="M829" s="13" t="n"/>
      <c r="N829" s="17">
        <f>IF($D829="","",IF(ISNA(MATCH($D829,项目名表,0)),"※项目不在项目台账里",IF($F829="※材料类别没选","※材料类别没选",IF(AND($C829&lt;&gt;"",ISNA(MATCH($C829,供应商表,0))),"※供应商不在基础资料里",""))))</f>
        <v/>
      </c>
    </row>
    <row r="830">
      <c r="A830" s="17">
        <f>IF($D830="","",ROW()-3)</f>
        <v/>
      </c>
      <c r="B830" s="18" t="n"/>
      <c r="C830" s="13" t="n"/>
      <c r="D830" s="13" t="n"/>
      <c r="E830" s="13" t="n"/>
      <c r="F830" s="17">
        <f>IF($D830="","",IFERROR(VLOOKUP($E830,材料归属,2,0),"※材料类别没选"))</f>
        <v/>
      </c>
      <c r="G830" s="13" t="n"/>
      <c r="H830" s="13" t="n"/>
      <c r="I830" s="13" t="n"/>
      <c r="J830" s="20" t="n"/>
      <c r="K830" s="14" t="n"/>
      <c r="L830" s="19">
        <f>IF($D830="","",ROUND(IF($J830="",1,$J830)*N($K830),2))</f>
        <v/>
      </c>
      <c r="M830" s="13" t="n"/>
      <c r="N830" s="17">
        <f>IF($D830="","",IF(ISNA(MATCH($D830,项目名表,0)),"※项目不在项目台账里",IF($F830="※材料类别没选","※材料类别没选",IF(AND($C830&lt;&gt;"",ISNA(MATCH($C830,供应商表,0))),"※供应商不在基础资料里",""))))</f>
        <v/>
      </c>
    </row>
    <row r="831">
      <c r="A831" s="17">
        <f>IF($D831="","",ROW()-3)</f>
        <v/>
      </c>
      <c r="B831" s="18" t="n"/>
      <c r="C831" s="13" t="n"/>
      <c r="D831" s="13" t="n"/>
      <c r="E831" s="13" t="n"/>
      <c r="F831" s="17">
        <f>IF($D831="","",IFERROR(VLOOKUP($E831,材料归属,2,0),"※材料类别没选"))</f>
        <v/>
      </c>
      <c r="G831" s="13" t="n"/>
      <c r="H831" s="13" t="n"/>
      <c r="I831" s="13" t="n"/>
      <c r="J831" s="20" t="n"/>
      <c r="K831" s="14" t="n"/>
      <c r="L831" s="19">
        <f>IF($D831="","",ROUND(IF($J831="",1,$J831)*N($K831),2))</f>
        <v/>
      </c>
      <c r="M831" s="13" t="n"/>
      <c r="N831" s="17">
        <f>IF($D831="","",IF(ISNA(MATCH($D831,项目名表,0)),"※项目不在项目台账里",IF($F831="※材料类别没选","※材料类别没选",IF(AND($C831&lt;&gt;"",ISNA(MATCH($C831,供应商表,0))),"※供应商不在基础资料里",""))))</f>
        <v/>
      </c>
    </row>
    <row r="832">
      <c r="A832" s="17">
        <f>IF($D832="","",ROW()-3)</f>
        <v/>
      </c>
      <c r="B832" s="18" t="n"/>
      <c r="C832" s="13" t="n"/>
      <c r="D832" s="13" t="n"/>
      <c r="E832" s="13" t="n"/>
      <c r="F832" s="17">
        <f>IF($D832="","",IFERROR(VLOOKUP($E832,材料归属,2,0),"※材料类别没选"))</f>
        <v/>
      </c>
      <c r="G832" s="13" t="n"/>
      <c r="H832" s="13" t="n"/>
      <c r="I832" s="13" t="n"/>
      <c r="J832" s="20" t="n"/>
      <c r="K832" s="14" t="n"/>
      <c r="L832" s="19">
        <f>IF($D832="","",ROUND(IF($J832="",1,$J832)*N($K832),2))</f>
        <v/>
      </c>
      <c r="M832" s="13" t="n"/>
      <c r="N832" s="17">
        <f>IF($D832="","",IF(ISNA(MATCH($D832,项目名表,0)),"※项目不在项目台账里",IF($F832="※材料类别没选","※材料类别没选",IF(AND($C832&lt;&gt;"",ISNA(MATCH($C832,供应商表,0))),"※供应商不在基础资料里",""))))</f>
        <v/>
      </c>
    </row>
    <row r="833">
      <c r="A833" s="17">
        <f>IF($D833="","",ROW()-3)</f>
        <v/>
      </c>
      <c r="B833" s="18" t="n"/>
      <c r="C833" s="13" t="n"/>
      <c r="D833" s="13" t="n"/>
      <c r="E833" s="13" t="n"/>
      <c r="F833" s="17">
        <f>IF($D833="","",IFERROR(VLOOKUP($E833,材料归属,2,0),"※材料类别没选"))</f>
        <v/>
      </c>
      <c r="G833" s="13" t="n"/>
      <c r="H833" s="13" t="n"/>
      <c r="I833" s="13" t="n"/>
      <c r="J833" s="20" t="n"/>
      <c r="K833" s="14" t="n"/>
      <c r="L833" s="19">
        <f>IF($D833="","",ROUND(IF($J833="",1,$J833)*N($K833),2))</f>
        <v/>
      </c>
      <c r="M833" s="13" t="n"/>
      <c r="N833" s="17">
        <f>IF($D833="","",IF(ISNA(MATCH($D833,项目名表,0)),"※项目不在项目台账里",IF($F833="※材料类别没选","※材料类别没选",IF(AND($C833&lt;&gt;"",ISNA(MATCH($C833,供应商表,0))),"※供应商不在基础资料里",""))))</f>
        <v/>
      </c>
    </row>
    <row r="834">
      <c r="A834" s="17">
        <f>IF($D834="","",ROW()-3)</f>
        <v/>
      </c>
      <c r="B834" s="18" t="n"/>
      <c r="C834" s="13" t="n"/>
      <c r="D834" s="13" t="n"/>
      <c r="E834" s="13" t="n"/>
      <c r="F834" s="17">
        <f>IF($D834="","",IFERROR(VLOOKUP($E834,材料归属,2,0),"※材料类别没选"))</f>
        <v/>
      </c>
      <c r="G834" s="13" t="n"/>
      <c r="H834" s="13" t="n"/>
      <c r="I834" s="13" t="n"/>
      <c r="J834" s="20" t="n"/>
      <c r="K834" s="14" t="n"/>
      <c r="L834" s="19">
        <f>IF($D834="","",ROUND(IF($J834="",1,$J834)*N($K834),2))</f>
        <v/>
      </c>
      <c r="M834" s="13" t="n"/>
      <c r="N834" s="17">
        <f>IF($D834="","",IF(ISNA(MATCH($D834,项目名表,0)),"※项目不在项目台账里",IF($F834="※材料类别没选","※材料类别没选",IF(AND($C834&lt;&gt;"",ISNA(MATCH($C834,供应商表,0))),"※供应商不在基础资料里",""))))</f>
        <v/>
      </c>
    </row>
    <row r="835">
      <c r="A835" s="17">
        <f>IF($D835="","",ROW()-3)</f>
        <v/>
      </c>
      <c r="B835" s="18" t="n"/>
      <c r="C835" s="13" t="n"/>
      <c r="D835" s="13" t="n"/>
      <c r="E835" s="13" t="n"/>
      <c r="F835" s="17">
        <f>IF($D835="","",IFERROR(VLOOKUP($E835,材料归属,2,0),"※材料类别没选"))</f>
        <v/>
      </c>
      <c r="G835" s="13" t="n"/>
      <c r="H835" s="13" t="n"/>
      <c r="I835" s="13" t="n"/>
      <c r="J835" s="20" t="n"/>
      <c r="K835" s="14" t="n"/>
      <c r="L835" s="19">
        <f>IF($D835="","",ROUND(IF($J835="",1,$J835)*N($K835),2))</f>
        <v/>
      </c>
      <c r="M835" s="13" t="n"/>
      <c r="N835" s="17">
        <f>IF($D835="","",IF(ISNA(MATCH($D835,项目名表,0)),"※项目不在项目台账里",IF($F835="※材料类别没选","※材料类别没选",IF(AND($C835&lt;&gt;"",ISNA(MATCH($C835,供应商表,0))),"※供应商不在基础资料里",""))))</f>
        <v/>
      </c>
    </row>
    <row r="836">
      <c r="A836" s="17">
        <f>IF($D836="","",ROW()-3)</f>
        <v/>
      </c>
      <c r="B836" s="18" t="n"/>
      <c r="C836" s="13" t="n"/>
      <c r="D836" s="13" t="n"/>
      <c r="E836" s="13" t="n"/>
      <c r="F836" s="17">
        <f>IF($D836="","",IFERROR(VLOOKUP($E836,材料归属,2,0),"※材料类别没选"))</f>
        <v/>
      </c>
      <c r="G836" s="13" t="n"/>
      <c r="H836" s="13" t="n"/>
      <c r="I836" s="13" t="n"/>
      <c r="J836" s="20" t="n"/>
      <c r="K836" s="14" t="n"/>
      <c r="L836" s="19">
        <f>IF($D836="","",ROUND(IF($J836="",1,$J836)*N($K836),2))</f>
        <v/>
      </c>
      <c r="M836" s="13" t="n"/>
      <c r="N836" s="17">
        <f>IF($D836="","",IF(ISNA(MATCH($D836,项目名表,0)),"※项目不在项目台账里",IF($F836="※材料类别没选","※材料类别没选",IF(AND($C836&lt;&gt;"",ISNA(MATCH($C836,供应商表,0))),"※供应商不在基础资料里",""))))</f>
        <v/>
      </c>
    </row>
    <row r="837">
      <c r="A837" s="17">
        <f>IF($D837="","",ROW()-3)</f>
        <v/>
      </c>
      <c r="B837" s="18" t="n"/>
      <c r="C837" s="13" t="n"/>
      <c r="D837" s="13" t="n"/>
      <c r="E837" s="13" t="n"/>
      <c r="F837" s="17">
        <f>IF($D837="","",IFERROR(VLOOKUP($E837,材料归属,2,0),"※材料类别没选"))</f>
        <v/>
      </c>
      <c r="G837" s="13" t="n"/>
      <c r="H837" s="13" t="n"/>
      <c r="I837" s="13" t="n"/>
      <c r="J837" s="20" t="n"/>
      <c r="K837" s="14" t="n"/>
      <c r="L837" s="19">
        <f>IF($D837="","",ROUND(IF($J837="",1,$J837)*N($K837),2))</f>
        <v/>
      </c>
      <c r="M837" s="13" t="n"/>
      <c r="N837" s="17">
        <f>IF($D837="","",IF(ISNA(MATCH($D837,项目名表,0)),"※项目不在项目台账里",IF($F837="※材料类别没选","※材料类别没选",IF(AND($C837&lt;&gt;"",ISNA(MATCH($C837,供应商表,0))),"※供应商不在基础资料里",""))))</f>
        <v/>
      </c>
    </row>
    <row r="838">
      <c r="A838" s="17">
        <f>IF($D838="","",ROW()-3)</f>
        <v/>
      </c>
      <c r="B838" s="18" t="n"/>
      <c r="C838" s="13" t="n"/>
      <c r="D838" s="13" t="n"/>
      <c r="E838" s="13" t="n"/>
      <c r="F838" s="17">
        <f>IF($D838="","",IFERROR(VLOOKUP($E838,材料归属,2,0),"※材料类别没选"))</f>
        <v/>
      </c>
      <c r="G838" s="13" t="n"/>
      <c r="H838" s="13" t="n"/>
      <c r="I838" s="13" t="n"/>
      <c r="J838" s="20" t="n"/>
      <c r="K838" s="14" t="n"/>
      <c r="L838" s="19">
        <f>IF($D838="","",ROUND(IF($J838="",1,$J838)*N($K838),2))</f>
        <v/>
      </c>
      <c r="M838" s="13" t="n"/>
      <c r="N838" s="17">
        <f>IF($D838="","",IF(ISNA(MATCH($D838,项目名表,0)),"※项目不在项目台账里",IF($F838="※材料类别没选","※材料类别没选",IF(AND($C838&lt;&gt;"",ISNA(MATCH($C838,供应商表,0))),"※供应商不在基础资料里",""))))</f>
        <v/>
      </c>
    </row>
    <row r="839">
      <c r="A839" s="17">
        <f>IF($D839="","",ROW()-3)</f>
        <v/>
      </c>
      <c r="B839" s="18" t="n"/>
      <c r="C839" s="13" t="n"/>
      <c r="D839" s="13" t="n"/>
      <c r="E839" s="13" t="n"/>
      <c r="F839" s="17">
        <f>IF($D839="","",IFERROR(VLOOKUP($E839,材料归属,2,0),"※材料类别没选"))</f>
        <v/>
      </c>
      <c r="G839" s="13" t="n"/>
      <c r="H839" s="13" t="n"/>
      <c r="I839" s="13" t="n"/>
      <c r="J839" s="20" t="n"/>
      <c r="K839" s="14" t="n"/>
      <c r="L839" s="19">
        <f>IF($D839="","",ROUND(IF($J839="",1,$J839)*N($K839),2))</f>
        <v/>
      </c>
      <c r="M839" s="13" t="n"/>
      <c r="N839" s="17">
        <f>IF($D839="","",IF(ISNA(MATCH($D839,项目名表,0)),"※项目不在项目台账里",IF($F839="※材料类别没选","※材料类别没选",IF(AND($C839&lt;&gt;"",ISNA(MATCH($C839,供应商表,0))),"※供应商不在基础资料里",""))))</f>
        <v/>
      </c>
    </row>
    <row r="840">
      <c r="A840" s="17">
        <f>IF($D840="","",ROW()-3)</f>
        <v/>
      </c>
      <c r="B840" s="18" t="n"/>
      <c r="C840" s="13" t="n"/>
      <c r="D840" s="13" t="n"/>
      <c r="E840" s="13" t="n"/>
      <c r="F840" s="17">
        <f>IF($D840="","",IFERROR(VLOOKUP($E840,材料归属,2,0),"※材料类别没选"))</f>
        <v/>
      </c>
      <c r="G840" s="13" t="n"/>
      <c r="H840" s="13" t="n"/>
      <c r="I840" s="13" t="n"/>
      <c r="J840" s="20" t="n"/>
      <c r="K840" s="14" t="n"/>
      <c r="L840" s="19">
        <f>IF($D840="","",ROUND(IF($J840="",1,$J840)*N($K840),2))</f>
        <v/>
      </c>
      <c r="M840" s="13" t="n"/>
      <c r="N840" s="17">
        <f>IF($D840="","",IF(ISNA(MATCH($D840,项目名表,0)),"※项目不在项目台账里",IF($F840="※材料类别没选","※材料类别没选",IF(AND($C840&lt;&gt;"",ISNA(MATCH($C840,供应商表,0))),"※供应商不在基础资料里",""))))</f>
        <v/>
      </c>
    </row>
    <row r="841">
      <c r="A841" s="17">
        <f>IF($D841="","",ROW()-3)</f>
        <v/>
      </c>
      <c r="B841" s="18" t="n"/>
      <c r="C841" s="13" t="n"/>
      <c r="D841" s="13" t="n"/>
      <c r="E841" s="13" t="n"/>
      <c r="F841" s="17">
        <f>IF($D841="","",IFERROR(VLOOKUP($E841,材料归属,2,0),"※材料类别没选"))</f>
        <v/>
      </c>
      <c r="G841" s="13" t="n"/>
      <c r="H841" s="13" t="n"/>
      <c r="I841" s="13" t="n"/>
      <c r="J841" s="20" t="n"/>
      <c r="K841" s="14" t="n"/>
      <c r="L841" s="19">
        <f>IF($D841="","",ROUND(IF($J841="",1,$J841)*N($K841),2))</f>
        <v/>
      </c>
      <c r="M841" s="13" t="n"/>
      <c r="N841" s="17">
        <f>IF($D841="","",IF(ISNA(MATCH($D841,项目名表,0)),"※项目不在项目台账里",IF($F841="※材料类别没选","※材料类别没选",IF(AND($C841&lt;&gt;"",ISNA(MATCH($C841,供应商表,0))),"※供应商不在基础资料里",""))))</f>
        <v/>
      </c>
    </row>
    <row r="842">
      <c r="A842" s="17">
        <f>IF($D842="","",ROW()-3)</f>
        <v/>
      </c>
      <c r="B842" s="18" t="n"/>
      <c r="C842" s="13" t="n"/>
      <c r="D842" s="13" t="n"/>
      <c r="E842" s="13" t="n"/>
      <c r="F842" s="17">
        <f>IF($D842="","",IFERROR(VLOOKUP($E842,材料归属,2,0),"※材料类别没选"))</f>
        <v/>
      </c>
      <c r="G842" s="13" t="n"/>
      <c r="H842" s="13" t="n"/>
      <c r="I842" s="13" t="n"/>
      <c r="J842" s="20" t="n"/>
      <c r="K842" s="14" t="n"/>
      <c r="L842" s="19">
        <f>IF($D842="","",ROUND(IF($J842="",1,$J842)*N($K842),2))</f>
        <v/>
      </c>
      <c r="M842" s="13" t="n"/>
      <c r="N842" s="17">
        <f>IF($D842="","",IF(ISNA(MATCH($D842,项目名表,0)),"※项目不在项目台账里",IF($F842="※材料类别没选","※材料类别没选",IF(AND($C842&lt;&gt;"",ISNA(MATCH($C842,供应商表,0))),"※供应商不在基础资料里",""))))</f>
        <v/>
      </c>
    </row>
    <row r="843">
      <c r="A843" s="17">
        <f>IF($D843="","",ROW()-3)</f>
        <v/>
      </c>
      <c r="B843" s="18" t="n"/>
      <c r="C843" s="13" t="n"/>
      <c r="D843" s="13" t="n"/>
      <c r="E843" s="13" t="n"/>
      <c r="F843" s="17">
        <f>IF($D843="","",IFERROR(VLOOKUP($E843,材料归属,2,0),"※材料类别没选"))</f>
        <v/>
      </c>
      <c r="G843" s="13" t="n"/>
      <c r="H843" s="13" t="n"/>
      <c r="I843" s="13" t="n"/>
      <c r="J843" s="20" t="n"/>
      <c r="K843" s="14" t="n"/>
      <c r="L843" s="19">
        <f>IF($D843="","",ROUND(IF($J843="",1,$J843)*N($K843),2))</f>
        <v/>
      </c>
      <c r="M843" s="13" t="n"/>
      <c r="N843" s="17">
        <f>IF($D843="","",IF(ISNA(MATCH($D843,项目名表,0)),"※项目不在项目台账里",IF($F843="※材料类别没选","※材料类别没选",IF(AND($C843&lt;&gt;"",ISNA(MATCH($C843,供应商表,0))),"※供应商不在基础资料里",""))))</f>
        <v/>
      </c>
    </row>
    <row r="844">
      <c r="A844" s="17">
        <f>IF($D844="","",ROW()-3)</f>
        <v/>
      </c>
      <c r="B844" s="18" t="n"/>
      <c r="C844" s="13" t="n"/>
      <c r="D844" s="13" t="n"/>
      <c r="E844" s="13" t="n"/>
      <c r="F844" s="17">
        <f>IF($D844="","",IFERROR(VLOOKUP($E844,材料归属,2,0),"※材料类别没选"))</f>
        <v/>
      </c>
      <c r="G844" s="13" t="n"/>
      <c r="H844" s="13" t="n"/>
      <c r="I844" s="13" t="n"/>
      <c r="J844" s="20" t="n"/>
      <c r="K844" s="14" t="n"/>
      <c r="L844" s="19">
        <f>IF($D844="","",ROUND(IF($J844="",1,$J844)*N($K844),2))</f>
        <v/>
      </c>
      <c r="M844" s="13" t="n"/>
      <c r="N844" s="17">
        <f>IF($D844="","",IF(ISNA(MATCH($D844,项目名表,0)),"※项目不在项目台账里",IF($F844="※材料类别没选","※材料类别没选",IF(AND($C844&lt;&gt;"",ISNA(MATCH($C844,供应商表,0))),"※供应商不在基础资料里",""))))</f>
        <v/>
      </c>
    </row>
    <row r="845">
      <c r="A845" s="17">
        <f>IF($D845="","",ROW()-3)</f>
        <v/>
      </c>
      <c r="B845" s="18" t="n"/>
      <c r="C845" s="13" t="n"/>
      <c r="D845" s="13" t="n"/>
      <c r="E845" s="13" t="n"/>
      <c r="F845" s="17">
        <f>IF($D845="","",IFERROR(VLOOKUP($E845,材料归属,2,0),"※材料类别没选"))</f>
        <v/>
      </c>
      <c r="G845" s="13" t="n"/>
      <c r="H845" s="13" t="n"/>
      <c r="I845" s="13" t="n"/>
      <c r="J845" s="20" t="n"/>
      <c r="K845" s="14" t="n"/>
      <c r="L845" s="19">
        <f>IF($D845="","",ROUND(IF($J845="",1,$J845)*N($K845),2))</f>
        <v/>
      </c>
      <c r="M845" s="13" t="n"/>
      <c r="N845" s="17">
        <f>IF($D845="","",IF(ISNA(MATCH($D845,项目名表,0)),"※项目不在项目台账里",IF($F845="※材料类别没选","※材料类别没选",IF(AND($C845&lt;&gt;"",ISNA(MATCH($C845,供应商表,0))),"※供应商不在基础资料里",""))))</f>
        <v/>
      </c>
    </row>
    <row r="846">
      <c r="A846" s="17">
        <f>IF($D846="","",ROW()-3)</f>
        <v/>
      </c>
      <c r="B846" s="18" t="n"/>
      <c r="C846" s="13" t="n"/>
      <c r="D846" s="13" t="n"/>
      <c r="E846" s="13" t="n"/>
      <c r="F846" s="17">
        <f>IF($D846="","",IFERROR(VLOOKUP($E846,材料归属,2,0),"※材料类别没选"))</f>
        <v/>
      </c>
      <c r="G846" s="13" t="n"/>
      <c r="H846" s="13" t="n"/>
      <c r="I846" s="13" t="n"/>
      <c r="J846" s="20" t="n"/>
      <c r="K846" s="14" t="n"/>
      <c r="L846" s="19">
        <f>IF($D846="","",ROUND(IF($J846="",1,$J846)*N($K846),2))</f>
        <v/>
      </c>
      <c r="M846" s="13" t="n"/>
      <c r="N846" s="17">
        <f>IF($D846="","",IF(ISNA(MATCH($D846,项目名表,0)),"※项目不在项目台账里",IF($F846="※材料类别没选","※材料类别没选",IF(AND($C846&lt;&gt;"",ISNA(MATCH($C846,供应商表,0))),"※供应商不在基础资料里",""))))</f>
        <v/>
      </c>
    </row>
    <row r="847">
      <c r="A847" s="17">
        <f>IF($D847="","",ROW()-3)</f>
        <v/>
      </c>
      <c r="B847" s="18" t="n"/>
      <c r="C847" s="13" t="n"/>
      <c r="D847" s="13" t="n"/>
      <c r="E847" s="13" t="n"/>
      <c r="F847" s="17">
        <f>IF($D847="","",IFERROR(VLOOKUP($E847,材料归属,2,0),"※材料类别没选"))</f>
        <v/>
      </c>
      <c r="G847" s="13" t="n"/>
      <c r="H847" s="13" t="n"/>
      <c r="I847" s="13" t="n"/>
      <c r="J847" s="20" t="n"/>
      <c r="K847" s="14" t="n"/>
      <c r="L847" s="19">
        <f>IF($D847="","",ROUND(IF($J847="",1,$J847)*N($K847),2))</f>
        <v/>
      </c>
      <c r="M847" s="13" t="n"/>
      <c r="N847" s="17">
        <f>IF($D847="","",IF(ISNA(MATCH($D847,项目名表,0)),"※项目不在项目台账里",IF($F847="※材料类别没选","※材料类别没选",IF(AND($C847&lt;&gt;"",ISNA(MATCH($C847,供应商表,0))),"※供应商不在基础资料里",""))))</f>
        <v/>
      </c>
    </row>
    <row r="848">
      <c r="A848" s="17">
        <f>IF($D848="","",ROW()-3)</f>
        <v/>
      </c>
      <c r="B848" s="18" t="n"/>
      <c r="C848" s="13" t="n"/>
      <c r="D848" s="13" t="n"/>
      <c r="E848" s="13" t="n"/>
      <c r="F848" s="17">
        <f>IF($D848="","",IFERROR(VLOOKUP($E848,材料归属,2,0),"※材料类别没选"))</f>
        <v/>
      </c>
      <c r="G848" s="13" t="n"/>
      <c r="H848" s="13" t="n"/>
      <c r="I848" s="13" t="n"/>
      <c r="J848" s="20" t="n"/>
      <c r="K848" s="14" t="n"/>
      <c r="L848" s="19">
        <f>IF($D848="","",ROUND(IF($J848="",1,$J848)*N($K848),2))</f>
        <v/>
      </c>
      <c r="M848" s="13" t="n"/>
      <c r="N848" s="17">
        <f>IF($D848="","",IF(ISNA(MATCH($D848,项目名表,0)),"※项目不在项目台账里",IF($F848="※材料类别没选","※材料类别没选",IF(AND($C848&lt;&gt;"",ISNA(MATCH($C848,供应商表,0))),"※供应商不在基础资料里",""))))</f>
        <v/>
      </c>
    </row>
    <row r="849">
      <c r="A849" s="17">
        <f>IF($D849="","",ROW()-3)</f>
        <v/>
      </c>
      <c r="B849" s="18" t="n"/>
      <c r="C849" s="13" t="n"/>
      <c r="D849" s="13" t="n"/>
      <c r="E849" s="13" t="n"/>
      <c r="F849" s="17">
        <f>IF($D849="","",IFERROR(VLOOKUP($E849,材料归属,2,0),"※材料类别没选"))</f>
        <v/>
      </c>
      <c r="G849" s="13" t="n"/>
      <c r="H849" s="13" t="n"/>
      <c r="I849" s="13" t="n"/>
      <c r="J849" s="20" t="n"/>
      <c r="K849" s="14" t="n"/>
      <c r="L849" s="19">
        <f>IF($D849="","",ROUND(IF($J849="",1,$J849)*N($K849),2))</f>
        <v/>
      </c>
      <c r="M849" s="13" t="n"/>
      <c r="N849" s="17">
        <f>IF($D849="","",IF(ISNA(MATCH($D849,项目名表,0)),"※项目不在项目台账里",IF($F849="※材料类别没选","※材料类别没选",IF(AND($C849&lt;&gt;"",ISNA(MATCH($C849,供应商表,0))),"※供应商不在基础资料里",""))))</f>
        <v/>
      </c>
    </row>
    <row r="850">
      <c r="A850" s="17">
        <f>IF($D850="","",ROW()-3)</f>
        <v/>
      </c>
      <c r="B850" s="18" t="n"/>
      <c r="C850" s="13" t="n"/>
      <c r="D850" s="13" t="n"/>
      <c r="E850" s="13" t="n"/>
      <c r="F850" s="17">
        <f>IF($D850="","",IFERROR(VLOOKUP($E850,材料归属,2,0),"※材料类别没选"))</f>
        <v/>
      </c>
      <c r="G850" s="13" t="n"/>
      <c r="H850" s="13" t="n"/>
      <c r="I850" s="13" t="n"/>
      <c r="J850" s="20" t="n"/>
      <c r="K850" s="14" t="n"/>
      <c r="L850" s="19">
        <f>IF($D850="","",ROUND(IF($J850="",1,$J850)*N($K850),2))</f>
        <v/>
      </c>
      <c r="M850" s="13" t="n"/>
      <c r="N850" s="17">
        <f>IF($D850="","",IF(ISNA(MATCH($D850,项目名表,0)),"※项目不在项目台账里",IF($F850="※材料类别没选","※材料类别没选",IF(AND($C850&lt;&gt;"",ISNA(MATCH($C850,供应商表,0))),"※供应商不在基础资料里",""))))</f>
        <v/>
      </c>
    </row>
    <row r="851">
      <c r="A851" s="17">
        <f>IF($D851="","",ROW()-3)</f>
        <v/>
      </c>
      <c r="B851" s="18" t="n"/>
      <c r="C851" s="13" t="n"/>
      <c r="D851" s="13" t="n"/>
      <c r="E851" s="13" t="n"/>
      <c r="F851" s="17">
        <f>IF($D851="","",IFERROR(VLOOKUP($E851,材料归属,2,0),"※材料类别没选"))</f>
        <v/>
      </c>
      <c r="G851" s="13" t="n"/>
      <c r="H851" s="13" t="n"/>
      <c r="I851" s="13" t="n"/>
      <c r="J851" s="20" t="n"/>
      <c r="K851" s="14" t="n"/>
      <c r="L851" s="19">
        <f>IF($D851="","",ROUND(IF($J851="",1,$J851)*N($K851),2))</f>
        <v/>
      </c>
      <c r="M851" s="13" t="n"/>
      <c r="N851" s="17">
        <f>IF($D851="","",IF(ISNA(MATCH($D851,项目名表,0)),"※项目不在项目台账里",IF($F851="※材料类别没选","※材料类别没选",IF(AND($C851&lt;&gt;"",ISNA(MATCH($C851,供应商表,0))),"※供应商不在基础资料里",""))))</f>
        <v/>
      </c>
    </row>
    <row r="852">
      <c r="A852" s="17">
        <f>IF($D852="","",ROW()-3)</f>
        <v/>
      </c>
      <c r="B852" s="18" t="n"/>
      <c r="C852" s="13" t="n"/>
      <c r="D852" s="13" t="n"/>
      <c r="E852" s="13" t="n"/>
      <c r="F852" s="17">
        <f>IF($D852="","",IFERROR(VLOOKUP($E852,材料归属,2,0),"※材料类别没选"))</f>
        <v/>
      </c>
      <c r="G852" s="13" t="n"/>
      <c r="H852" s="13" t="n"/>
      <c r="I852" s="13" t="n"/>
      <c r="J852" s="20" t="n"/>
      <c r="K852" s="14" t="n"/>
      <c r="L852" s="19">
        <f>IF($D852="","",ROUND(IF($J852="",1,$J852)*N($K852),2))</f>
        <v/>
      </c>
      <c r="M852" s="13" t="n"/>
      <c r="N852" s="17">
        <f>IF($D852="","",IF(ISNA(MATCH($D852,项目名表,0)),"※项目不在项目台账里",IF($F852="※材料类别没选","※材料类别没选",IF(AND($C852&lt;&gt;"",ISNA(MATCH($C852,供应商表,0))),"※供应商不在基础资料里",""))))</f>
        <v/>
      </c>
    </row>
    <row r="853">
      <c r="A853" s="17">
        <f>IF($D853="","",ROW()-3)</f>
        <v/>
      </c>
      <c r="B853" s="18" t="n"/>
      <c r="C853" s="13" t="n"/>
      <c r="D853" s="13" t="n"/>
      <c r="E853" s="13" t="n"/>
      <c r="F853" s="17">
        <f>IF($D853="","",IFERROR(VLOOKUP($E853,材料归属,2,0),"※材料类别没选"))</f>
        <v/>
      </c>
      <c r="G853" s="13" t="n"/>
      <c r="H853" s="13" t="n"/>
      <c r="I853" s="13" t="n"/>
      <c r="J853" s="20" t="n"/>
      <c r="K853" s="14" t="n"/>
      <c r="L853" s="19">
        <f>IF($D853="","",ROUND(IF($J853="",1,$J853)*N($K853),2))</f>
        <v/>
      </c>
      <c r="M853" s="13" t="n"/>
      <c r="N853" s="17">
        <f>IF($D853="","",IF(ISNA(MATCH($D853,项目名表,0)),"※项目不在项目台账里",IF($F853="※材料类别没选","※材料类别没选",IF(AND($C853&lt;&gt;"",ISNA(MATCH($C853,供应商表,0))),"※供应商不在基础资料里",""))))</f>
        <v/>
      </c>
    </row>
    <row r="854">
      <c r="A854" s="17">
        <f>IF($D854="","",ROW()-3)</f>
        <v/>
      </c>
      <c r="B854" s="18" t="n"/>
      <c r="C854" s="13" t="n"/>
      <c r="D854" s="13" t="n"/>
      <c r="E854" s="13" t="n"/>
      <c r="F854" s="17">
        <f>IF($D854="","",IFERROR(VLOOKUP($E854,材料归属,2,0),"※材料类别没选"))</f>
        <v/>
      </c>
      <c r="G854" s="13" t="n"/>
      <c r="H854" s="13" t="n"/>
      <c r="I854" s="13" t="n"/>
      <c r="J854" s="20" t="n"/>
      <c r="K854" s="14" t="n"/>
      <c r="L854" s="19">
        <f>IF($D854="","",ROUND(IF($J854="",1,$J854)*N($K854),2))</f>
        <v/>
      </c>
      <c r="M854" s="13" t="n"/>
      <c r="N854" s="17">
        <f>IF($D854="","",IF(ISNA(MATCH($D854,项目名表,0)),"※项目不在项目台账里",IF($F854="※材料类别没选","※材料类别没选",IF(AND($C854&lt;&gt;"",ISNA(MATCH($C854,供应商表,0))),"※供应商不在基础资料里",""))))</f>
        <v/>
      </c>
    </row>
    <row r="855">
      <c r="A855" s="17">
        <f>IF($D855="","",ROW()-3)</f>
        <v/>
      </c>
      <c r="B855" s="18" t="n"/>
      <c r="C855" s="13" t="n"/>
      <c r="D855" s="13" t="n"/>
      <c r="E855" s="13" t="n"/>
      <c r="F855" s="17">
        <f>IF($D855="","",IFERROR(VLOOKUP($E855,材料归属,2,0),"※材料类别没选"))</f>
        <v/>
      </c>
      <c r="G855" s="13" t="n"/>
      <c r="H855" s="13" t="n"/>
      <c r="I855" s="13" t="n"/>
      <c r="J855" s="20" t="n"/>
      <c r="K855" s="14" t="n"/>
      <c r="L855" s="19">
        <f>IF($D855="","",ROUND(IF($J855="",1,$J855)*N($K855),2))</f>
        <v/>
      </c>
      <c r="M855" s="13" t="n"/>
      <c r="N855" s="17">
        <f>IF($D855="","",IF(ISNA(MATCH($D855,项目名表,0)),"※项目不在项目台账里",IF($F855="※材料类别没选","※材料类别没选",IF(AND($C855&lt;&gt;"",ISNA(MATCH($C855,供应商表,0))),"※供应商不在基础资料里",""))))</f>
        <v/>
      </c>
    </row>
    <row r="856">
      <c r="A856" s="17">
        <f>IF($D856="","",ROW()-3)</f>
        <v/>
      </c>
      <c r="B856" s="18" t="n"/>
      <c r="C856" s="13" t="n"/>
      <c r="D856" s="13" t="n"/>
      <c r="E856" s="13" t="n"/>
      <c r="F856" s="17">
        <f>IF($D856="","",IFERROR(VLOOKUP($E856,材料归属,2,0),"※材料类别没选"))</f>
        <v/>
      </c>
      <c r="G856" s="13" t="n"/>
      <c r="H856" s="13" t="n"/>
      <c r="I856" s="13" t="n"/>
      <c r="J856" s="20" t="n"/>
      <c r="K856" s="14" t="n"/>
      <c r="L856" s="19">
        <f>IF($D856="","",ROUND(IF($J856="",1,$J856)*N($K856),2))</f>
        <v/>
      </c>
      <c r="M856" s="13" t="n"/>
      <c r="N856" s="17">
        <f>IF($D856="","",IF(ISNA(MATCH($D856,项目名表,0)),"※项目不在项目台账里",IF($F856="※材料类别没选","※材料类别没选",IF(AND($C856&lt;&gt;"",ISNA(MATCH($C856,供应商表,0))),"※供应商不在基础资料里",""))))</f>
        <v/>
      </c>
    </row>
    <row r="857">
      <c r="A857" s="17">
        <f>IF($D857="","",ROW()-3)</f>
        <v/>
      </c>
      <c r="B857" s="18" t="n"/>
      <c r="C857" s="13" t="n"/>
      <c r="D857" s="13" t="n"/>
      <c r="E857" s="13" t="n"/>
      <c r="F857" s="17">
        <f>IF($D857="","",IFERROR(VLOOKUP($E857,材料归属,2,0),"※材料类别没选"))</f>
        <v/>
      </c>
      <c r="G857" s="13" t="n"/>
      <c r="H857" s="13" t="n"/>
      <c r="I857" s="13" t="n"/>
      <c r="J857" s="20" t="n"/>
      <c r="K857" s="14" t="n"/>
      <c r="L857" s="19">
        <f>IF($D857="","",ROUND(IF($J857="",1,$J857)*N($K857),2))</f>
        <v/>
      </c>
      <c r="M857" s="13" t="n"/>
      <c r="N857" s="17">
        <f>IF($D857="","",IF(ISNA(MATCH($D857,项目名表,0)),"※项目不在项目台账里",IF($F857="※材料类别没选","※材料类别没选",IF(AND($C857&lt;&gt;"",ISNA(MATCH($C857,供应商表,0))),"※供应商不在基础资料里",""))))</f>
        <v/>
      </c>
    </row>
    <row r="858">
      <c r="A858" s="17">
        <f>IF($D858="","",ROW()-3)</f>
        <v/>
      </c>
      <c r="B858" s="18" t="n"/>
      <c r="C858" s="13" t="n"/>
      <c r="D858" s="13" t="n"/>
      <c r="E858" s="13" t="n"/>
      <c r="F858" s="17">
        <f>IF($D858="","",IFERROR(VLOOKUP($E858,材料归属,2,0),"※材料类别没选"))</f>
        <v/>
      </c>
      <c r="G858" s="13" t="n"/>
      <c r="H858" s="13" t="n"/>
      <c r="I858" s="13" t="n"/>
      <c r="J858" s="20" t="n"/>
      <c r="K858" s="14" t="n"/>
      <c r="L858" s="19">
        <f>IF($D858="","",ROUND(IF($J858="",1,$J858)*N($K858),2))</f>
        <v/>
      </c>
      <c r="M858" s="13" t="n"/>
      <c r="N858" s="17">
        <f>IF($D858="","",IF(ISNA(MATCH($D858,项目名表,0)),"※项目不在项目台账里",IF($F858="※材料类别没选","※材料类别没选",IF(AND($C858&lt;&gt;"",ISNA(MATCH($C858,供应商表,0))),"※供应商不在基础资料里",""))))</f>
        <v/>
      </c>
    </row>
    <row r="859">
      <c r="A859" s="17">
        <f>IF($D859="","",ROW()-3)</f>
        <v/>
      </c>
      <c r="B859" s="18" t="n"/>
      <c r="C859" s="13" t="n"/>
      <c r="D859" s="13" t="n"/>
      <c r="E859" s="13" t="n"/>
      <c r="F859" s="17">
        <f>IF($D859="","",IFERROR(VLOOKUP($E859,材料归属,2,0),"※材料类别没选"))</f>
        <v/>
      </c>
      <c r="G859" s="13" t="n"/>
      <c r="H859" s="13" t="n"/>
      <c r="I859" s="13" t="n"/>
      <c r="J859" s="20" t="n"/>
      <c r="K859" s="14" t="n"/>
      <c r="L859" s="19">
        <f>IF($D859="","",ROUND(IF($J859="",1,$J859)*N($K859),2))</f>
        <v/>
      </c>
      <c r="M859" s="13" t="n"/>
      <c r="N859" s="17">
        <f>IF($D859="","",IF(ISNA(MATCH($D859,项目名表,0)),"※项目不在项目台账里",IF($F859="※材料类别没选","※材料类别没选",IF(AND($C859&lt;&gt;"",ISNA(MATCH($C859,供应商表,0))),"※供应商不在基础资料里",""))))</f>
        <v/>
      </c>
    </row>
    <row r="860">
      <c r="A860" s="17">
        <f>IF($D860="","",ROW()-3)</f>
        <v/>
      </c>
      <c r="B860" s="18" t="n"/>
      <c r="C860" s="13" t="n"/>
      <c r="D860" s="13" t="n"/>
      <c r="E860" s="13" t="n"/>
      <c r="F860" s="17">
        <f>IF($D860="","",IFERROR(VLOOKUP($E860,材料归属,2,0),"※材料类别没选"))</f>
        <v/>
      </c>
      <c r="G860" s="13" t="n"/>
      <c r="H860" s="13" t="n"/>
      <c r="I860" s="13" t="n"/>
      <c r="J860" s="20" t="n"/>
      <c r="K860" s="14" t="n"/>
      <c r="L860" s="19">
        <f>IF($D860="","",ROUND(IF($J860="",1,$J860)*N($K860),2))</f>
        <v/>
      </c>
      <c r="M860" s="13" t="n"/>
      <c r="N860" s="17">
        <f>IF($D860="","",IF(ISNA(MATCH($D860,项目名表,0)),"※项目不在项目台账里",IF($F860="※材料类别没选","※材料类别没选",IF(AND($C860&lt;&gt;"",ISNA(MATCH($C860,供应商表,0))),"※供应商不在基础资料里",""))))</f>
        <v/>
      </c>
    </row>
    <row r="861">
      <c r="A861" s="17">
        <f>IF($D861="","",ROW()-3)</f>
        <v/>
      </c>
      <c r="B861" s="18" t="n"/>
      <c r="C861" s="13" t="n"/>
      <c r="D861" s="13" t="n"/>
      <c r="E861" s="13" t="n"/>
      <c r="F861" s="17">
        <f>IF($D861="","",IFERROR(VLOOKUP($E861,材料归属,2,0),"※材料类别没选"))</f>
        <v/>
      </c>
      <c r="G861" s="13" t="n"/>
      <c r="H861" s="13" t="n"/>
      <c r="I861" s="13" t="n"/>
      <c r="J861" s="20" t="n"/>
      <c r="K861" s="14" t="n"/>
      <c r="L861" s="19">
        <f>IF($D861="","",ROUND(IF($J861="",1,$J861)*N($K861),2))</f>
        <v/>
      </c>
      <c r="M861" s="13" t="n"/>
      <c r="N861" s="17">
        <f>IF($D861="","",IF(ISNA(MATCH($D861,项目名表,0)),"※项目不在项目台账里",IF($F861="※材料类别没选","※材料类别没选",IF(AND($C861&lt;&gt;"",ISNA(MATCH($C861,供应商表,0))),"※供应商不在基础资料里",""))))</f>
        <v/>
      </c>
    </row>
    <row r="862">
      <c r="A862" s="17">
        <f>IF($D862="","",ROW()-3)</f>
        <v/>
      </c>
      <c r="B862" s="18" t="n"/>
      <c r="C862" s="13" t="n"/>
      <c r="D862" s="13" t="n"/>
      <c r="E862" s="13" t="n"/>
      <c r="F862" s="17">
        <f>IF($D862="","",IFERROR(VLOOKUP($E862,材料归属,2,0),"※材料类别没选"))</f>
        <v/>
      </c>
      <c r="G862" s="13" t="n"/>
      <c r="H862" s="13" t="n"/>
      <c r="I862" s="13" t="n"/>
      <c r="J862" s="20" t="n"/>
      <c r="K862" s="14" t="n"/>
      <c r="L862" s="19">
        <f>IF($D862="","",ROUND(IF($J862="",1,$J862)*N($K862),2))</f>
        <v/>
      </c>
      <c r="M862" s="13" t="n"/>
      <c r="N862" s="17">
        <f>IF($D862="","",IF(ISNA(MATCH($D862,项目名表,0)),"※项目不在项目台账里",IF($F862="※材料类别没选","※材料类别没选",IF(AND($C862&lt;&gt;"",ISNA(MATCH($C862,供应商表,0))),"※供应商不在基础资料里",""))))</f>
        <v/>
      </c>
    </row>
    <row r="863">
      <c r="A863" s="17">
        <f>IF($D863="","",ROW()-3)</f>
        <v/>
      </c>
      <c r="B863" s="18" t="n"/>
      <c r="C863" s="13" t="n"/>
      <c r="D863" s="13" t="n"/>
      <c r="E863" s="13" t="n"/>
      <c r="F863" s="17">
        <f>IF($D863="","",IFERROR(VLOOKUP($E863,材料归属,2,0),"※材料类别没选"))</f>
        <v/>
      </c>
      <c r="G863" s="13" t="n"/>
      <c r="H863" s="13" t="n"/>
      <c r="I863" s="13" t="n"/>
      <c r="J863" s="20" t="n"/>
      <c r="K863" s="14" t="n"/>
      <c r="L863" s="19">
        <f>IF($D863="","",ROUND(IF($J863="",1,$J863)*N($K863),2))</f>
        <v/>
      </c>
      <c r="M863" s="13" t="n"/>
      <c r="N863" s="17">
        <f>IF($D863="","",IF(ISNA(MATCH($D863,项目名表,0)),"※项目不在项目台账里",IF($F863="※材料类别没选","※材料类别没选",IF(AND($C863&lt;&gt;"",ISNA(MATCH($C863,供应商表,0))),"※供应商不在基础资料里",""))))</f>
        <v/>
      </c>
    </row>
    <row r="864">
      <c r="A864" s="17">
        <f>IF($D864="","",ROW()-3)</f>
        <v/>
      </c>
      <c r="B864" s="18" t="n"/>
      <c r="C864" s="13" t="n"/>
      <c r="D864" s="13" t="n"/>
      <c r="E864" s="13" t="n"/>
      <c r="F864" s="17">
        <f>IF($D864="","",IFERROR(VLOOKUP($E864,材料归属,2,0),"※材料类别没选"))</f>
        <v/>
      </c>
      <c r="G864" s="13" t="n"/>
      <c r="H864" s="13" t="n"/>
      <c r="I864" s="13" t="n"/>
      <c r="J864" s="20" t="n"/>
      <c r="K864" s="14" t="n"/>
      <c r="L864" s="19">
        <f>IF($D864="","",ROUND(IF($J864="",1,$J864)*N($K864),2))</f>
        <v/>
      </c>
      <c r="M864" s="13" t="n"/>
      <c r="N864" s="17">
        <f>IF($D864="","",IF(ISNA(MATCH($D864,项目名表,0)),"※项目不在项目台账里",IF($F864="※材料类别没选","※材料类别没选",IF(AND($C864&lt;&gt;"",ISNA(MATCH($C864,供应商表,0))),"※供应商不在基础资料里",""))))</f>
        <v/>
      </c>
    </row>
    <row r="865">
      <c r="A865" s="17">
        <f>IF($D865="","",ROW()-3)</f>
        <v/>
      </c>
      <c r="B865" s="18" t="n"/>
      <c r="C865" s="13" t="n"/>
      <c r="D865" s="13" t="n"/>
      <c r="E865" s="13" t="n"/>
      <c r="F865" s="17">
        <f>IF($D865="","",IFERROR(VLOOKUP($E865,材料归属,2,0),"※材料类别没选"))</f>
        <v/>
      </c>
      <c r="G865" s="13" t="n"/>
      <c r="H865" s="13" t="n"/>
      <c r="I865" s="13" t="n"/>
      <c r="J865" s="20" t="n"/>
      <c r="K865" s="14" t="n"/>
      <c r="L865" s="19">
        <f>IF($D865="","",ROUND(IF($J865="",1,$J865)*N($K865),2))</f>
        <v/>
      </c>
      <c r="M865" s="13" t="n"/>
      <c r="N865" s="17">
        <f>IF($D865="","",IF(ISNA(MATCH($D865,项目名表,0)),"※项目不在项目台账里",IF($F865="※材料类别没选","※材料类别没选",IF(AND($C865&lt;&gt;"",ISNA(MATCH($C865,供应商表,0))),"※供应商不在基础资料里",""))))</f>
        <v/>
      </c>
    </row>
    <row r="866">
      <c r="A866" s="17">
        <f>IF($D866="","",ROW()-3)</f>
        <v/>
      </c>
      <c r="B866" s="18" t="n"/>
      <c r="C866" s="13" t="n"/>
      <c r="D866" s="13" t="n"/>
      <c r="E866" s="13" t="n"/>
      <c r="F866" s="17">
        <f>IF($D866="","",IFERROR(VLOOKUP($E866,材料归属,2,0),"※材料类别没选"))</f>
        <v/>
      </c>
      <c r="G866" s="13" t="n"/>
      <c r="H866" s="13" t="n"/>
      <c r="I866" s="13" t="n"/>
      <c r="J866" s="20" t="n"/>
      <c r="K866" s="14" t="n"/>
      <c r="L866" s="19">
        <f>IF($D866="","",ROUND(IF($J866="",1,$J866)*N($K866),2))</f>
        <v/>
      </c>
      <c r="M866" s="13" t="n"/>
      <c r="N866" s="17">
        <f>IF($D866="","",IF(ISNA(MATCH($D866,项目名表,0)),"※项目不在项目台账里",IF($F866="※材料类别没选","※材料类别没选",IF(AND($C866&lt;&gt;"",ISNA(MATCH($C866,供应商表,0))),"※供应商不在基础资料里",""))))</f>
        <v/>
      </c>
    </row>
    <row r="867">
      <c r="A867" s="17">
        <f>IF($D867="","",ROW()-3)</f>
        <v/>
      </c>
      <c r="B867" s="18" t="n"/>
      <c r="C867" s="13" t="n"/>
      <c r="D867" s="13" t="n"/>
      <c r="E867" s="13" t="n"/>
      <c r="F867" s="17">
        <f>IF($D867="","",IFERROR(VLOOKUP($E867,材料归属,2,0),"※材料类别没选"))</f>
        <v/>
      </c>
      <c r="G867" s="13" t="n"/>
      <c r="H867" s="13" t="n"/>
      <c r="I867" s="13" t="n"/>
      <c r="J867" s="20" t="n"/>
      <c r="K867" s="14" t="n"/>
      <c r="L867" s="19">
        <f>IF($D867="","",ROUND(IF($J867="",1,$J867)*N($K867),2))</f>
        <v/>
      </c>
      <c r="M867" s="13" t="n"/>
      <c r="N867" s="17">
        <f>IF($D867="","",IF(ISNA(MATCH($D867,项目名表,0)),"※项目不在项目台账里",IF($F867="※材料类别没选","※材料类别没选",IF(AND($C867&lt;&gt;"",ISNA(MATCH($C867,供应商表,0))),"※供应商不在基础资料里",""))))</f>
        <v/>
      </c>
    </row>
    <row r="868">
      <c r="A868" s="17">
        <f>IF($D868="","",ROW()-3)</f>
        <v/>
      </c>
      <c r="B868" s="18" t="n"/>
      <c r="C868" s="13" t="n"/>
      <c r="D868" s="13" t="n"/>
      <c r="E868" s="13" t="n"/>
      <c r="F868" s="17">
        <f>IF($D868="","",IFERROR(VLOOKUP($E868,材料归属,2,0),"※材料类别没选"))</f>
        <v/>
      </c>
      <c r="G868" s="13" t="n"/>
      <c r="H868" s="13" t="n"/>
      <c r="I868" s="13" t="n"/>
      <c r="J868" s="20" t="n"/>
      <c r="K868" s="14" t="n"/>
      <c r="L868" s="19">
        <f>IF($D868="","",ROUND(IF($J868="",1,$J868)*N($K868),2))</f>
        <v/>
      </c>
      <c r="M868" s="13" t="n"/>
      <c r="N868" s="17">
        <f>IF($D868="","",IF(ISNA(MATCH($D868,项目名表,0)),"※项目不在项目台账里",IF($F868="※材料类别没选","※材料类别没选",IF(AND($C868&lt;&gt;"",ISNA(MATCH($C868,供应商表,0))),"※供应商不在基础资料里",""))))</f>
        <v/>
      </c>
    </row>
    <row r="869">
      <c r="A869" s="17">
        <f>IF($D869="","",ROW()-3)</f>
        <v/>
      </c>
      <c r="B869" s="18" t="n"/>
      <c r="C869" s="13" t="n"/>
      <c r="D869" s="13" t="n"/>
      <c r="E869" s="13" t="n"/>
      <c r="F869" s="17">
        <f>IF($D869="","",IFERROR(VLOOKUP($E869,材料归属,2,0),"※材料类别没选"))</f>
        <v/>
      </c>
      <c r="G869" s="13" t="n"/>
      <c r="H869" s="13" t="n"/>
      <c r="I869" s="13" t="n"/>
      <c r="J869" s="20" t="n"/>
      <c r="K869" s="14" t="n"/>
      <c r="L869" s="19">
        <f>IF($D869="","",ROUND(IF($J869="",1,$J869)*N($K869),2))</f>
        <v/>
      </c>
      <c r="M869" s="13" t="n"/>
      <c r="N869" s="17">
        <f>IF($D869="","",IF(ISNA(MATCH($D869,项目名表,0)),"※项目不在项目台账里",IF($F869="※材料类别没选","※材料类别没选",IF(AND($C869&lt;&gt;"",ISNA(MATCH($C869,供应商表,0))),"※供应商不在基础资料里",""))))</f>
        <v/>
      </c>
    </row>
    <row r="870">
      <c r="A870" s="17">
        <f>IF($D870="","",ROW()-3)</f>
        <v/>
      </c>
      <c r="B870" s="18" t="n"/>
      <c r="C870" s="13" t="n"/>
      <c r="D870" s="13" t="n"/>
      <c r="E870" s="13" t="n"/>
      <c r="F870" s="17">
        <f>IF($D870="","",IFERROR(VLOOKUP($E870,材料归属,2,0),"※材料类别没选"))</f>
        <v/>
      </c>
      <c r="G870" s="13" t="n"/>
      <c r="H870" s="13" t="n"/>
      <c r="I870" s="13" t="n"/>
      <c r="J870" s="20" t="n"/>
      <c r="K870" s="14" t="n"/>
      <c r="L870" s="19">
        <f>IF($D870="","",ROUND(IF($J870="",1,$J870)*N($K870),2))</f>
        <v/>
      </c>
      <c r="M870" s="13" t="n"/>
      <c r="N870" s="17">
        <f>IF($D870="","",IF(ISNA(MATCH($D870,项目名表,0)),"※项目不在项目台账里",IF($F870="※材料类别没选","※材料类别没选",IF(AND($C870&lt;&gt;"",ISNA(MATCH($C870,供应商表,0))),"※供应商不在基础资料里",""))))</f>
        <v/>
      </c>
    </row>
    <row r="871">
      <c r="A871" s="17">
        <f>IF($D871="","",ROW()-3)</f>
        <v/>
      </c>
      <c r="B871" s="18" t="n"/>
      <c r="C871" s="13" t="n"/>
      <c r="D871" s="13" t="n"/>
      <c r="E871" s="13" t="n"/>
      <c r="F871" s="17">
        <f>IF($D871="","",IFERROR(VLOOKUP($E871,材料归属,2,0),"※材料类别没选"))</f>
        <v/>
      </c>
      <c r="G871" s="13" t="n"/>
      <c r="H871" s="13" t="n"/>
      <c r="I871" s="13" t="n"/>
      <c r="J871" s="20" t="n"/>
      <c r="K871" s="14" t="n"/>
      <c r="L871" s="19">
        <f>IF($D871="","",ROUND(IF($J871="",1,$J871)*N($K871),2))</f>
        <v/>
      </c>
      <c r="M871" s="13" t="n"/>
      <c r="N871" s="17">
        <f>IF($D871="","",IF(ISNA(MATCH($D871,项目名表,0)),"※项目不在项目台账里",IF($F871="※材料类别没选","※材料类别没选",IF(AND($C871&lt;&gt;"",ISNA(MATCH($C871,供应商表,0))),"※供应商不在基础资料里",""))))</f>
        <v/>
      </c>
    </row>
    <row r="872">
      <c r="A872" s="17">
        <f>IF($D872="","",ROW()-3)</f>
        <v/>
      </c>
      <c r="B872" s="18" t="n"/>
      <c r="C872" s="13" t="n"/>
      <c r="D872" s="13" t="n"/>
      <c r="E872" s="13" t="n"/>
      <c r="F872" s="17">
        <f>IF($D872="","",IFERROR(VLOOKUP($E872,材料归属,2,0),"※材料类别没选"))</f>
        <v/>
      </c>
      <c r="G872" s="13" t="n"/>
      <c r="H872" s="13" t="n"/>
      <c r="I872" s="13" t="n"/>
      <c r="J872" s="20" t="n"/>
      <c r="K872" s="14" t="n"/>
      <c r="L872" s="19">
        <f>IF($D872="","",ROUND(IF($J872="",1,$J872)*N($K872),2))</f>
        <v/>
      </c>
      <c r="M872" s="13" t="n"/>
      <c r="N872" s="17">
        <f>IF($D872="","",IF(ISNA(MATCH($D872,项目名表,0)),"※项目不在项目台账里",IF($F872="※材料类别没选","※材料类别没选",IF(AND($C872&lt;&gt;"",ISNA(MATCH($C872,供应商表,0))),"※供应商不在基础资料里",""))))</f>
        <v/>
      </c>
    </row>
    <row r="873">
      <c r="A873" s="17">
        <f>IF($D873="","",ROW()-3)</f>
        <v/>
      </c>
      <c r="B873" s="18" t="n"/>
      <c r="C873" s="13" t="n"/>
      <c r="D873" s="13" t="n"/>
      <c r="E873" s="13" t="n"/>
      <c r="F873" s="17">
        <f>IF($D873="","",IFERROR(VLOOKUP($E873,材料归属,2,0),"※材料类别没选"))</f>
        <v/>
      </c>
      <c r="G873" s="13" t="n"/>
      <c r="H873" s="13" t="n"/>
      <c r="I873" s="13" t="n"/>
      <c r="J873" s="20" t="n"/>
      <c r="K873" s="14" t="n"/>
      <c r="L873" s="19">
        <f>IF($D873="","",ROUND(IF($J873="",1,$J873)*N($K873),2))</f>
        <v/>
      </c>
      <c r="M873" s="13" t="n"/>
      <c r="N873" s="17">
        <f>IF($D873="","",IF(ISNA(MATCH($D873,项目名表,0)),"※项目不在项目台账里",IF($F873="※材料类别没选","※材料类别没选",IF(AND($C873&lt;&gt;"",ISNA(MATCH($C873,供应商表,0))),"※供应商不在基础资料里",""))))</f>
        <v/>
      </c>
    </row>
    <row r="874">
      <c r="A874" s="17">
        <f>IF($D874="","",ROW()-3)</f>
        <v/>
      </c>
      <c r="B874" s="18" t="n"/>
      <c r="C874" s="13" t="n"/>
      <c r="D874" s="13" t="n"/>
      <c r="E874" s="13" t="n"/>
      <c r="F874" s="17">
        <f>IF($D874="","",IFERROR(VLOOKUP($E874,材料归属,2,0),"※材料类别没选"))</f>
        <v/>
      </c>
      <c r="G874" s="13" t="n"/>
      <c r="H874" s="13" t="n"/>
      <c r="I874" s="13" t="n"/>
      <c r="J874" s="20" t="n"/>
      <c r="K874" s="14" t="n"/>
      <c r="L874" s="19">
        <f>IF($D874="","",ROUND(IF($J874="",1,$J874)*N($K874),2))</f>
        <v/>
      </c>
      <c r="M874" s="13" t="n"/>
      <c r="N874" s="17">
        <f>IF($D874="","",IF(ISNA(MATCH($D874,项目名表,0)),"※项目不在项目台账里",IF($F874="※材料类别没选","※材料类别没选",IF(AND($C874&lt;&gt;"",ISNA(MATCH($C874,供应商表,0))),"※供应商不在基础资料里",""))))</f>
        <v/>
      </c>
    </row>
    <row r="875">
      <c r="A875" s="17">
        <f>IF($D875="","",ROW()-3)</f>
        <v/>
      </c>
      <c r="B875" s="18" t="n"/>
      <c r="C875" s="13" t="n"/>
      <c r="D875" s="13" t="n"/>
      <c r="E875" s="13" t="n"/>
      <c r="F875" s="17">
        <f>IF($D875="","",IFERROR(VLOOKUP($E875,材料归属,2,0),"※材料类别没选"))</f>
        <v/>
      </c>
      <c r="G875" s="13" t="n"/>
      <c r="H875" s="13" t="n"/>
      <c r="I875" s="13" t="n"/>
      <c r="J875" s="20" t="n"/>
      <c r="K875" s="14" t="n"/>
      <c r="L875" s="19">
        <f>IF($D875="","",ROUND(IF($J875="",1,$J875)*N($K875),2))</f>
        <v/>
      </c>
      <c r="M875" s="13" t="n"/>
      <c r="N875" s="17">
        <f>IF($D875="","",IF(ISNA(MATCH($D875,项目名表,0)),"※项目不在项目台账里",IF($F875="※材料类别没选","※材料类别没选",IF(AND($C875&lt;&gt;"",ISNA(MATCH($C875,供应商表,0))),"※供应商不在基础资料里",""))))</f>
        <v/>
      </c>
    </row>
    <row r="876">
      <c r="A876" s="17">
        <f>IF($D876="","",ROW()-3)</f>
        <v/>
      </c>
      <c r="B876" s="18" t="n"/>
      <c r="C876" s="13" t="n"/>
      <c r="D876" s="13" t="n"/>
      <c r="E876" s="13" t="n"/>
      <c r="F876" s="17">
        <f>IF($D876="","",IFERROR(VLOOKUP($E876,材料归属,2,0),"※材料类别没选"))</f>
        <v/>
      </c>
      <c r="G876" s="13" t="n"/>
      <c r="H876" s="13" t="n"/>
      <c r="I876" s="13" t="n"/>
      <c r="J876" s="20" t="n"/>
      <c r="K876" s="14" t="n"/>
      <c r="L876" s="19">
        <f>IF($D876="","",ROUND(IF($J876="",1,$J876)*N($K876),2))</f>
        <v/>
      </c>
      <c r="M876" s="13" t="n"/>
      <c r="N876" s="17">
        <f>IF($D876="","",IF(ISNA(MATCH($D876,项目名表,0)),"※项目不在项目台账里",IF($F876="※材料类别没选","※材料类别没选",IF(AND($C876&lt;&gt;"",ISNA(MATCH($C876,供应商表,0))),"※供应商不在基础资料里",""))))</f>
        <v/>
      </c>
    </row>
    <row r="877">
      <c r="A877" s="17">
        <f>IF($D877="","",ROW()-3)</f>
        <v/>
      </c>
      <c r="B877" s="18" t="n"/>
      <c r="C877" s="13" t="n"/>
      <c r="D877" s="13" t="n"/>
      <c r="E877" s="13" t="n"/>
      <c r="F877" s="17">
        <f>IF($D877="","",IFERROR(VLOOKUP($E877,材料归属,2,0),"※材料类别没选"))</f>
        <v/>
      </c>
      <c r="G877" s="13" t="n"/>
      <c r="H877" s="13" t="n"/>
      <c r="I877" s="13" t="n"/>
      <c r="J877" s="20" t="n"/>
      <c r="K877" s="14" t="n"/>
      <c r="L877" s="19">
        <f>IF($D877="","",ROUND(IF($J877="",1,$J877)*N($K877),2))</f>
        <v/>
      </c>
      <c r="M877" s="13" t="n"/>
      <c r="N877" s="17">
        <f>IF($D877="","",IF(ISNA(MATCH($D877,项目名表,0)),"※项目不在项目台账里",IF($F877="※材料类别没选","※材料类别没选",IF(AND($C877&lt;&gt;"",ISNA(MATCH($C877,供应商表,0))),"※供应商不在基础资料里",""))))</f>
        <v/>
      </c>
    </row>
    <row r="878">
      <c r="A878" s="17">
        <f>IF($D878="","",ROW()-3)</f>
        <v/>
      </c>
      <c r="B878" s="18" t="n"/>
      <c r="C878" s="13" t="n"/>
      <c r="D878" s="13" t="n"/>
      <c r="E878" s="13" t="n"/>
      <c r="F878" s="17">
        <f>IF($D878="","",IFERROR(VLOOKUP($E878,材料归属,2,0),"※材料类别没选"))</f>
        <v/>
      </c>
      <c r="G878" s="13" t="n"/>
      <c r="H878" s="13" t="n"/>
      <c r="I878" s="13" t="n"/>
      <c r="J878" s="20" t="n"/>
      <c r="K878" s="14" t="n"/>
      <c r="L878" s="19">
        <f>IF($D878="","",ROUND(IF($J878="",1,$J878)*N($K878),2))</f>
        <v/>
      </c>
      <c r="M878" s="13" t="n"/>
      <c r="N878" s="17">
        <f>IF($D878="","",IF(ISNA(MATCH($D878,项目名表,0)),"※项目不在项目台账里",IF($F878="※材料类别没选","※材料类别没选",IF(AND($C878&lt;&gt;"",ISNA(MATCH($C878,供应商表,0))),"※供应商不在基础资料里",""))))</f>
        <v/>
      </c>
    </row>
    <row r="879">
      <c r="A879" s="17">
        <f>IF($D879="","",ROW()-3)</f>
        <v/>
      </c>
      <c r="B879" s="18" t="n"/>
      <c r="C879" s="13" t="n"/>
      <c r="D879" s="13" t="n"/>
      <c r="E879" s="13" t="n"/>
      <c r="F879" s="17">
        <f>IF($D879="","",IFERROR(VLOOKUP($E879,材料归属,2,0),"※材料类别没选"))</f>
        <v/>
      </c>
      <c r="G879" s="13" t="n"/>
      <c r="H879" s="13" t="n"/>
      <c r="I879" s="13" t="n"/>
      <c r="J879" s="20" t="n"/>
      <c r="K879" s="14" t="n"/>
      <c r="L879" s="19">
        <f>IF($D879="","",ROUND(IF($J879="",1,$J879)*N($K879),2))</f>
        <v/>
      </c>
      <c r="M879" s="13" t="n"/>
      <c r="N879" s="17">
        <f>IF($D879="","",IF(ISNA(MATCH($D879,项目名表,0)),"※项目不在项目台账里",IF($F879="※材料类别没选","※材料类别没选",IF(AND($C879&lt;&gt;"",ISNA(MATCH($C879,供应商表,0))),"※供应商不在基础资料里",""))))</f>
        <v/>
      </c>
    </row>
    <row r="880">
      <c r="A880" s="17">
        <f>IF($D880="","",ROW()-3)</f>
        <v/>
      </c>
      <c r="B880" s="18" t="n"/>
      <c r="C880" s="13" t="n"/>
      <c r="D880" s="13" t="n"/>
      <c r="E880" s="13" t="n"/>
      <c r="F880" s="17">
        <f>IF($D880="","",IFERROR(VLOOKUP($E880,材料归属,2,0),"※材料类别没选"))</f>
        <v/>
      </c>
      <c r="G880" s="13" t="n"/>
      <c r="H880" s="13" t="n"/>
      <c r="I880" s="13" t="n"/>
      <c r="J880" s="20" t="n"/>
      <c r="K880" s="14" t="n"/>
      <c r="L880" s="19">
        <f>IF($D880="","",ROUND(IF($J880="",1,$J880)*N($K880),2))</f>
        <v/>
      </c>
      <c r="M880" s="13" t="n"/>
      <c r="N880" s="17">
        <f>IF($D880="","",IF(ISNA(MATCH($D880,项目名表,0)),"※项目不在项目台账里",IF($F880="※材料类别没选","※材料类别没选",IF(AND($C880&lt;&gt;"",ISNA(MATCH($C880,供应商表,0))),"※供应商不在基础资料里",""))))</f>
        <v/>
      </c>
    </row>
    <row r="881">
      <c r="A881" s="17">
        <f>IF($D881="","",ROW()-3)</f>
        <v/>
      </c>
      <c r="B881" s="18" t="n"/>
      <c r="C881" s="13" t="n"/>
      <c r="D881" s="13" t="n"/>
      <c r="E881" s="13" t="n"/>
      <c r="F881" s="17">
        <f>IF($D881="","",IFERROR(VLOOKUP($E881,材料归属,2,0),"※材料类别没选"))</f>
        <v/>
      </c>
      <c r="G881" s="13" t="n"/>
      <c r="H881" s="13" t="n"/>
      <c r="I881" s="13" t="n"/>
      <c r="J881" s="20" t="n"/>
      <c r="K881" s="14" t="n"/>
      <c r="L881" s="19">
        <f>IF($D881="","",ROUND(IF($J881="",1,$J881)*N($K881),2))</f>
        <v/>
      </c>
      <c r="M881" s="13" t="n"/>
      <c r="N881" s="17">
        <f>IF($D881="","",IF(ISNA(MATCH($D881,项目名表,0)),"※项目不在项目台账里",IF($F881="※材料类别没选","※材料类别没选",IF(AND($C881&lt;&gt;"",ISNA(MATCH($C881,供应商表,0))),"※供应商不在基础资料里",""))))</f>
        <v/>
      </c>
    </row>
    <row r="882">
      <c r="A882" s="17">
        <f>IF($D882="","",ROW()-3)</f>
        <v/>
      </c>
      <c r="B882" s="18" t="n"/>
      <c r="C882" s="13" t="n"/>
      <c r="D882" s="13" t="n"/>
      <c r="E882" s="13" t="n"/>
      <c r="F882" s="17">
        <f>IF($D882="","",IFERROR(VLOOKUP($E882,材料归属,2,0),"※材料类别没选"))</f>
        <v/>
      </c>
      <c r="G882" s="13" t="n"/>
      <c r="H882" s="13" t="n"/>
      <c r="I882" s="13" t="n"/>
      <c r="J882" s="20" t="n"/>
      <c r="K882" s="14" t="n"/>
      <c r="L882" s="19">
        <f>IF($D882="","",ROUND(IF($J882="",1,$J882)*N($K882),2))</f>
        <v/>
      </c>
      <c r="M882" s="13" t="n"/>
      <c r="N882" s="17">
        <f>IF($D882="","",IF(ISNA(MATCH($D882,项目名表,0)),"※项目不在项目台账里",IF($F882="※材料类别没选","※材料类别没选",IF(AND($C882&lt;&gt;"",ISNA(MATCH($C882,供应商表,0))),"※供应商不在基础资料里",""))))</f>
        <v/>
      </c>
    </row>
    <row r="883">
      <c r="A883" s="17">
        <f>IF($D883="","",ROW()-3)</f>
        <v/>
      </c>
      <c r="B883" s="18" t="n"/>
      <c r="C883" s="13" t="n"/>
      <c r="D883" s="13" t="n"/>
      <c r="E883" s="13" t="n"/>
      <c r="F883" s="17">
        <f>IF($D883="","",IFERROR(VLOOKUP($E883,材料归属,2,0),"※材料类别没选"))</f>
        <v/>
      </c>
      <c r="G883" s="13" t="n"/>
      <c r="H883" s="13" t="n"/>
      <c r="I883" s="13" t="n"/>
      <c r="J883" s="20" t="n"/>
      <c r="K883" s="14" t="n"/>
      <c r="L883" s="19">
        <f>IF($D883="","",ROUND(IF($J883="",1,$J883)*N($K883),2))</f>
        <v/>
      </c>
      <c r="M883" s="13" t="n"/>
      <c r="N883" s="17">
        <f>IF($D883="","",IF(ISNA(MATCH($D883,项目名表,0)),"※项目不在项目台账里",IF($F883="※材料类别没选","※材料类别没选",IF(AND($C883&lt;&gt;"",ISNA(MATCH($C883,供应商表,0))),"※供应商不在基础资料里",""))))</f>
        <v/>
      </c>
    </row>
    <row r="884">
      <c r="A884" s="17">
        <f>IF($D884="","",ROW()-3)</f>
        <v/>
      </c>
      <c r="B884" s="18" t="n"/>
      <c r="C884" s="13" t="n"/>
      <c r="D884" s="13" t="n"/>
      <c r="E884" s="13" t="n"/>
      <c r="F884" s="17">
        <f>IF($D884="","",IFERROR(VLOOKUP($E884,材料归属,2,0),"※材料类别没选"))</f>
        <v/>
      </c>
      <c r="G884" s="13" t="n"/>
      <c r="H884" s="13" t="n"/>
      <c r="I884" s="13" t="n"/>
      <c r="J884" s="20" t="n"/>
      <c r="K884" s="14" t="n"/>
      <c r="L884" s="19">
        <f>IF($D884="","",ROUND(IF($J884="",1,$J884)*N($K884),2))</f>
        <v/>
      </c>
      <c r="M884" s="13" t="n"/>
      <c r="N884" s="17">
        <f>IF($D884="","",IF(ISNA(MATCH($D884,项目名表,0)),"※项目不在项目台账里",IF($F884="※材料类别没选","※材料类别没选",IF(AND($C884&lt;&gt;"",ISNA(MATCH($C884,供应商表,0))),"※供应商不在基础资料里",""))))</f>
        <v/>
      </c>
    </row>
    <row r="885">
      <c r="A885" s="17">
        <f>IF($D885="","",ROW()-3)</f>
        <v/>
      </c>
      <c r="B885" s="18" t="n"/>
      <c r="C885" s="13" t="n"/>
      <c r="D885" s="13" t="n"/>
      <c r="E885" s="13" t="n"/>
      <c r="F885" s="17">
        <f>IF($D885="","",IFERROR(VLOOKUP($E885,材料归属,2,0),"※材料类别没选"))</f>
        <v/>
      </c>
      <c r="G885" s="13" t="n"/>
      <c r="H885" s="13" t="n"/>
      <c r="I885" s="13" t="n"/>
      <c r="J885" s="20" t="n"/>
      <c r="K885" s="14" t="n"/>
      <c r="L885" s="19">
        <f>IF($D885="","",ROUND(IF($J885="",1,$J885)*N($K885),2))</f>
        <v/>
      </c>
      <c r="M885" s="13" t="n"/>
      <c r="N885" s="17">
        <f>IF($D885="","",IF(ISNA(MATCH($D885,项目名表,0)),"※项目不在项目台账里",IF($F885="※材料类别没选","※材料类别没选",IF(AND($C885&lt;&gt;"",ISNA(MATCH($C885,供应商表,0))),"※供应商不在基础资料里",""))))</f>
        <v/>
      </c>
    </row>
    <row r="886">
      <c r="A886" s="17">
        <f>IF($D886="","",ROW()-3)</f>
        <v/>
      </c>
      <c r="B886" s="18" t="n"/>
      <c r="C886" s="13" t="n"/>
      <c r="D886" s="13" t="n"/>
      <c r="E886" s="13" t="n"/>
      <c r="F886" s="17">
        <f>IF($D886="","",IFERROR(VLOOKUP($E886,材料归属,2,0),"※材料类别没选"))</f>
        <v/>
      </c>
      <c r="G886" s="13" t="n"/>
      <c r="H886" s="13" t="n"/>
      <c r="I886" s="13" t="n"/>
      <c r="J886" s="20" t="n"/>
      <c r="K886" s="14" t="n"/>
      <c r="L886" s="19">
        <f>IF($D886="","",ROUND(IF($J886="",1,$J886)*N($K886),2))</f>
        <v/>
      </c>
      <c r="M886" s="13" t="n"/>
      <c r="N886" s="17">
        <f>IF($D886="","",IF(ISNA(MATCH($D886,项目名表,0)),"※项目不在项目台账里",IF($F886="※材料类别没选","※材料类别没选",IF(AND($C886&lt;&gt;"",ISNA(MATCH($C886,供应商表,0))),"※供应商不在基础资料里",""))))</f>
        <v/>
      </c>
    </row>
    <row r="887">
      <c r="A887" s="17">
        <f>IF($D887="","",ROW()-3)</f>
        <v/>
      </c>
      <c r="B887" s="18" t="n"/>
      <c r="C887" s="13" t="n"/>
      <c r="D887" s="13" t="n"/>
      <c r="E887" s="13" t="n"/>
      <c r="F887" s="17">
        <f>IF($D887="","",IFERROR(VLOOKUP($E887,材料归属,2,0),"※材料类别没选"))</f>
        <v/>
      </c>
      <c r="G887" s="13" t="n"/>
      <c r="H887" s="13" t="n"/>
      <c r="I887" s="13" t="n"/>
      <c r="J887" s="20" t="n"/>
      <c r="K887" s="14" t="n"/>
      <c r="L887" s="19">
        <f>IF($D887="","",ROUND(IF($J887="",1,$J887)*N($K887),2))</f>
        <v/>
      </c>
      <c r="M887" s="13" t="n"/>
      <c r="N887" s="17">
        <f>IF($D887="","",IF(ISNA(MATCH($D887,项目名表,0)),"※项目不在项目台账里",IF($F887="※材料类别没选","※材料类别没选",IF(AND($C887&lt;&gt;"",ISNA(MATCH($C887,供应商表,0))),"※供应商不在基础资料里",""))))</f>
        <v/>
      </c>
    </row>
    <row r="888">
      <c r="A888" s="17">
        <f>IF($D888="","",ROW()-3)</f>
        <v/>
      </c>
      <c r="B888" s="18" t="n"/>
      <c r="C888" s="13" t="n"/>
      <c r="D888" s="13" t="n"/>
      <c r="E888" s="13" t="n"/>
      <c r="F888" s="17">
        <f>IF($D888="","",IFERROR(VLOOKUP($E888,材料归属,2,0),"※材料类别没选"))</f>
        <v/>
      </c>
      <c r="G888" s="13" t="n"/>
      <c r="H888" s="13" t="n"/>
      <c r="I888" s="13" t="n"/>
      <c r="J888" s="20" t="n"/>
      <c r="K888" s="14" t="n"/>
      <c r="L888" s="19">
        <f>IF($D888="","",ROUND(IF($J888="",1,$J888)*N($K888),2))</f>
        <v/>
      </c>
      <c r="M888" s="13" t="n"/>
      <c r="N888" s="17">
        <f>IF($D888="","",IF(ISNA(MATCH($D888,项目名表,0)),"※项目不在项目台账里",IF($F888="※材料类别没选","※材料类别没选",IF(AND($C888&lt;&gt;"",ISNA(MATCH($C888,供应商表,0))),"※供应商不在基础资料里",""))))</f>
        <v/>
      </c>
    </row>
    <row r="889">
      <c r="A889" s="17">
        <f>IF($D889="","",ROW()-3)</f>
        <v/>
      </c>
      <c r="B889" s="18" t="n"/>
      <c r="C889" s="13" t="n"/>
      <c r="D889" s="13" t="n"/>
      <c r="E889" s="13" t="n"/>
      <c r="F889" s="17">
        <f>IF($D889="","",IFERROR(VLOOKUP($E889,材料归属,2,0),"※材料类别没选"))</f>
        <v/>
      </c>
      <c r="G889" s="13" t="n"/>
      <c r="H889" s="13" t="n"/>
      <c r="I889" s="13" t="n"/>
      <c r="J889" s="20" t="n"/>
      <c r="K889" s="14" t="n"/>
      <c r="L889" s="19">
        <f>IF($D889="","",ROUND(IF($J889="",1,$J889)*N($K889),2))</f>
        <v/>
      </c>
      <c r="M889" s="13" t="n"/>
      <c r="N889" s="17">
        <f>IF($D889="","",IF(ISNA(MATCH($D889,项目名表,0)),"※项目不在项目台账里",IF($F889="※材料类别没选","※材料类别没选",IF(AND($C889&lt;&gt;"",ISNA(MATCH($C889,供应商表,0))),"※供应商不在基础资料里",""))))</f>
        <v/>
      </c>
    </row>
    <row r="890">
      <c r="A890" s="17">
        <f>IF($D890="","",ROW()-3)</f>
        <v/>
      </c>
      <c r="B890" s="18" t="n"/>
      <c r="C890" s="13" t="n"/>
      <c r="D890" s="13" t="n"/>
      <c r="E890" s="13" t="n"/>
      <c r="F890" s="17">
        <f>IF($D890="","",IFERROR(VLOOKUP($E890,材料归属,2,0),"※材料类别没选"))</f>
        <v/>
      </c>
      <c r="G890" s="13" t="n"/>
      <c r="H890" s="13" t="n"/>
      <c r="I890" s="13" t="n"/>
      <c r="J890" s="20" t="n"/>
      <c r="K890" s="14" t="n"/>
      <c r="L890" s="19">
        <f>IF($D890="","",ROUND(IF($J890="",1,$J890)*N($K890),2))</f>
        <v/>
      </c>
      <c r="M890" s="13" t="n"/>
      <c r="N890" s="17">
        <f>IF($D890="","",IF(ISNA(MATCH($D890,项目名表,0)),"※项目不在项目台账里",IF($F890="※材料类别没选","※材料类别没选",IF(AND($C890&lt;&gt;"",ISNA(MATCH($C890,供应商表,0))),"※供应商不在基础资料里",""))))</f>
        <v/>
      </c>
    </row>
    <row r="891">
      <c r="A891" s="17">
        <f>IF($D891="","",ROW()-3)</f>
        <v/>
      </c>
      <c r="B891" s="18" t="n"/>
      <c r="C891" s="13" t="n"/>
      <c r="D891" s="13" t="n"/>
      <c r="E891" s="13" t="n"/>
      <c r="F891" s="17">
        <f>IF($D891="","",IFERROR(VLOOKUP($E891,材料归属,2,0),"※材料类别没选"))</f>
        <v/>
      </c>
      <c r="G891" s="13" t="n"/>
      <c r="H891" s="13" t="n"/>
      <c r="I891" s="13" t="n"/>
      <c r="J891" s="20" t="n"/>
      <c r="K891" s="14" t="n"/>
      <c r="L891" s="19">
        <f>IF($D891="","",ROUND(IF($J891="",1,$J891)*N($K891),2))</f>
        <v/>
      </c>
      <c r="M891" s="13" t="n"/>
      <c r="N891" s="17">
        <f>IF($D891="","",IF(ISNA(MATCH($D891,项目名表,0)),"※项目不在项目台账里",IF($F891="※材料类别没选","※材料类别没选",IF(AND($C891&lt;&gt;"",ISNA(MATCH($C891,供应商表,0))),"※供应商不在基础资料里",""))))</f>
        <v/>
      </c>
    </row>
    <row r="892">
      <c r="A892" s="17">
        <f>IF($D892="","",ROW()-3)</f>
        <v/>
      </c>
      <c r="B892" s="18" t="n"/>
      <c r="C892" s="13" t="n"/>
      <c r="D892" s="13" t="n"/>
      <c r="E892" s="13" t="n"/>
      <c r="F892" s="17">
        <f>IF($D892="","",IFERROR(VLOOKUP($E892,材料归属,2,0),"※材料类别没选"))</f>
        <v/>
      </c>
      <c r="G892" s="13" t="n"/>
      <c r="H892" s="13" t="n"/>
      <c r="I892" s="13" t="n"/>
      <c r="J892" s="20" t="n"/>
      <c r="K892" s="14" t="n"/>
      <c r="L892" s="19">
        <f>IF($D892="","",ROUND(IF($J892="",1,$J892)*N($K892),2))</f>
        <v/>
      </c>
      <c r="M892" s="13" t="n"/>
      <c r="N892" s="17">
        <f>IF($D892="","",IF(ISNA(MATCH($D892,项目名表,0)),"※项目不在项目台账里",IF($F892="※材料类别没选","※材料类别没选",IF(AND($C892&lt;&gt;"",ISNA(MATCH($C892,供应商表,0))),"※供应商不在基础资料里",""))))</f>
        <v/>
      </c>
    </row>
    <row r="893">
      <c r="A893" s="17">
        <f>IF($D893="","",ROW()-3)</f>
        <v/>
      </c>
      <c r="B893" s="18" t="n"/>
      <c r="C893" s="13" t="n"/>
      <c r="D893" s="13" t="n"/>
      <c r="E893" s="13" t="n"/>
      <c r="F893" s="17">
        <f>IF($D893="","",IFERROR(VLOOKUP($E893,材料归属,2,0),"※材料类别没选"))</f>
        <v/>
      </c>
      <c r="G893" s="13" t="n"/>
      <c r="H893" s="13" t="n"/>
      <c r="I893" s="13" t="n"/>
      <c r="J893" s="20" t="n"/>
      <c r="K893" s="14" t="n"/>
      <c r="L893" s="19">
        <f>IF($D893="","",ROUND(IF($J893="",1,$J893)*N($K893),2))</f>
        <v/>
      </c>
      <c r="M893" s="13" t="n"/>
      <c r="N893" s="17">
        <f>IF($D893="","",IF(ISNA(MATCH($D893,项目名表,0)),"※项目不在项目台账里",IF($F893="※材料类别没选","※材料类别没选",IF(AND($C893&lt;&gt;"",ISNA(MATCH($C893,供应商表,0))),"※供应商不在基础资料里",""))))</f>
        <v/>
      </c>
    </row>
    <row r="894">
      <c r="A894" s="17">
        <f>IF($D894="","",ROW()-3)</f>
        <v/>
      </c>
      <c r="B894" s="18" t="n"/>
      <c r="C894" s="13" t="n"/>
      <c r="D894" s="13" t="n"/>
      <c r="E894" s="13" t="n"/>
      <c r="F894" s="17">
        <f>IF($D894="","",IFERROR(VLOOKUP($E894,材料归属,2,0),"※材料类别没选"))</f>
        <v/>
      </c>
      <c r="G894" s="13" t="n"/>
      <c r="H894" s="13" t="n"/>
      <c r="I894" s="13" t="n"/>
      <c r="J894" s="20" t="n"/>
      <c r="K894" s="14" t="n"/>
      <c r="L894" s="19">
        <f>IF($D894="","",ROUND(IF($J894="",1,$J894)*N($K894),2))</f>
        <v/>
      </c>
      <c r="M894" s="13" t="n"/>
      <c r="N894" s="17">
        <f>IF($D894="","",IF(ISNA(MATCH($D894,项目名表,0)),"※项目不在项目台账里",IF($F894="※材料类别没选","※材料类别没选",IF(AND($C894&lt;&gt;"",ISNA(MATCH($C894,供应商表,0))),"※供应商不在基础资料里",""))))</f>
        <v/>
      </c>
    </row>
    <row r="895">
      <c r="A895" s="17">
        <f>IF($D895="","",ROW()-3)</f>
        <v/>
      </c>
      <c r="B895" s="18" t="n"/>
      <c r="C895" s="13" t="n"/>
      <c r="D895" s="13" t="n"/>
      <c r="E895" s="13" t="n"/>
      <c r="F895" s="17">
        <f>IF($D895="","",IFERROR(VLOOKUP($E895,材料归属,2,0),"※材料类别没选"))</f>
        <v/>
      </c>
      <c r="G895" s="13" t="n"/>
      <c r="H895" s="13" t="n"/>
      <c r="I895" s="13" t="n"/>
      <c r="J895" s="20" t="n"/>
      <c r="K895" s="14" t="n"/>
      <c r="L895" s="19">
        <f>IF($D895="","",ROUND(IF($J895="",1,$J895)*N($K895),2))</f>
        <v/>
      </c>
      <c r="M895" s="13" t="n"/>
      <c r="N895" s="17">
        <f>IF($D895="","",IF(ISNA(MATCH($D895,项目名表,0)),"※项目不在项目台账里",IF($F895="※材料类别没选","※材料类别没选",IF(AND($C895&lt;&gt;"",ISNA(MATCH($C895,供应商表,0))),"※供应商不在基础资料里",""))))</f>
        <v/>
      </c>
    </row>
    <row r="896">
      <c r="A896" s="17">
        <f>IF($D896="","",ROW()-3)</f>
        <v/>
      </c>
      <c r="B896" s="18" t="n"/>
      <c r="C896" s="13" t="n"/>
      <c r="D896" s="13" t="n"/>
      <c r="E896" s="13" t="n"/>
      <c r="F896" s="17">
        <f>IF($D896="","",IFERROR(VLOOKUP($E896,材料归属,2,0),"※材料类别没选"))</f>
        <v/>
      </c>
      <c r="G896" s="13" t="n"/>
      <c r="H896" s="13" t="n"/>
      <c r="I896" s="13" t="n"/>
      <c r="J896" s="20" t="n"/>
      <c r="K896" s="14" t="n"/>
      <c r="L896" s="19">
        <f>IF($D896="","",ROUND(IF($J896="",1,$J896)*N($K896),2))</f>
        <v/>
      </c>
      <c r="M896" s="13" t="n"/>
      <c r="N896" s="17">
        <f>IF($D896="","",IF(ISNA(MATCH($D896,项目名表,0)),"※项目不在项目台账里",IF($F896="※材料类别没选","※材料类别没选",IF(AND($C896&lt;&gt;"",ISNA(MATCH($C896,供应商表,0))),"※供应商不在基础资料里",""))))</f>
        <v/>
      </c>
    </row>
    <row r="897">
      <c r="A897" s="17">
        <f>IF($D897="","",ROW()-3)</f>
        <v/>
      </c>
      <c r="B897" s="18" t="n"/>
      <c r="C897" s="13" t="n"/>
      <c r="D897" s="13" t="n"/>
      <c r="E897" s="13" t="n"/>
      <c r="F897" s="17">
        <f>IF($D897="","",IFERROR(VLOOKUP($E897,材料归属,2,0),"※材料类别没选"))</f>
        <v/>
      </c>
      <c r="G897" s="13" t="n"/>
      <c r="H897" s="13" t="n"/>
      <c r="I897" s="13" t="n"/>
      <c r="J897" s="20" t="n"/>
      <c r="K897" s="14" t="n"/>
      <c r="L897" s="19">
        <f>IF($D897="","",ROUND(IF($J897="",1,$J897)*N($K897),2))</f>
        <v/>
      </c>
      <c r="M897" s="13" t="n"/>
      <c r="N897" s="17">
        <f>IF($D897="","",IF(ISNA(MATCH($D897,项目名表,0)),"※项目不在项目台账里",IF($F897="※材料类别没选","※材料类别没选",IF(AND($C897&lt;&gt;"",ISNA(MATCH($C897,供应商表,0))),"※供应商不在基础资料里",""))))</f>
        <v/>
      </c>
    </row>
    <row r="898">
      <c r="A898" s="17">
        <f>IF($D898="","",ROW()-3)</f>
        <v/>
      </c>
      <c r="B898" s="18" t="n"/>
      <c r="C898" s="13" t="n"/>
      <c r="D898" s="13" t="n"/>
      <c r="E898" s="13" t="n"/>
      <c r="F898" s="17">
        <f>IF($D898="","",IFERROR(VLOOKUP($E898,材料归属,2,0),"※材料类别没选"))</f>
        <v/>
      </c>
      <c r="G898" s="13" t="n"/>
      <c r="H898" s="13" t="n"/>
      <c r="I898" s="13" t="n"/>
      <c r="J898" s="20" t="n"/>
      <c r="K898" s="14" t="n"/>
      <c r="L898" s="19">
        <f>IF($D898="","",ROUND(IF($J898="",1,$J898)*N($K898),2))</f>
        <v/>
      </c>
      <c r="M898" s="13" t="n"/>
      <c r="N898" s="17">
        <f>IF($D898="","",IF(ISNA(MATCH($D898,项目名表,0)),"※项目不在项目台账里",IF($F898="※材料类别没选","※材料类别没选",IF(AND($C898&lt;&gt;"",ISNA(MATCH($C898,供应商表,0))),"※供应商不在基础资料里",""))))</f>
        <v/>
      </c>
    </row>
    <row r="899">
      <c r="A899" s="17">
        <f>IF($D899="","",ROW()-3)</f>
        <v/>
      </c>
      <c r="B899" s="18" t="n"/>
      <c r="C899" s="13" t="n"/>
      <c r="D899" s="13" t="n"/>
      <c r="E899" s="13" t="n"/>
      <c r="F899" s="17">
        <f>IF($D899="","",IFERROR(VLOOKUP($E899,材料归属,2,0),"※材料类别没选"))</f>
        <v/>
      </c>
      <c r="G899" s="13" t="n"/>
      <c r="H899" s="13" t="n"/>
      <c r="I899" s="13" t="n"/>
      <c r="J899" s="20" t="n"/>
      <c r="K899" s="14" t="n"/>
      <c r="L899" s="19">
        <f>IF($D899="","",ROUND(IF($J899="",1,$J899)*N($K899),2))</f>
        <v/>
      </c>
      <c r="M899" s="13" t="n"/>
      <c r="N899" s="17">
        <f>IF($D899="","",IF(ISNA(MATCH($D899,项目名表,0)),"※项目不在项目台账里",IF($F899="※材料类别没选","※材料类别没选",IF(AND($C899&lt;&gt;"",ISNA(MATCH($C899,供应商表,0))),"※供应商不在基础资料里",""))))</f>
        <v/>
      </c>
    </row>
    <row r="900">
      <c r="A900" s="17">
        <f>IF($D900="","",ROW()-3)</f>
        <v/>
      </c>
      <c r="B900" s="18" t="n"/>
      <c r="C900" s="13" t="n"/>
      <c r="D900" s="13" t="n"/>
      <c r="E900" s="13" t="n"/>
      <c r="F900" s="17">
        <f>IF($D900="","",IFERROR(VLOOKUP($E900,材料归属,2,0),"※材料类别没选"))</f>
        <v/>
      </c>
      <c r="G900" s="13" t="n"/>
      <c r="H900" s="13" t="n"/>
      <c r="I900" s="13" t="n"/>
      <c r="J900" s="20" t="n"/>
      <c r="K900" s="14" t="n"/>
      <c r="L900" s="19">
        <f>IF($D900="","",ROUND(IF($J900="",1,$J900)*N($K900),2))</f>
        <v/>
      </c>
      <c r="M900" s="13" t="n"/>
      <c r="N900" s="17">
        <f>IF($D900="","",IF(ISNA(MATCH($D900,项目名表,0)),"※项目不在项目台账里",IF($F900="※材料类别没选","※材料类别没选",IF(AND($C900&lt;&gt;"",ISNA(MATCH($C900,供应商表,0))),"※供应商不在基础资料里",""))))</f>
        <v/>
      </c>
    </row>
    <row r="901">
      <c r="A901" s="17">
        <f>IF($D901="","",ROW()-3)</f>
        <v/>
      </c>
      <c r="B901" s="18" t="n"/>
      <c r="C901" s="13" t="n"/>
      <c r="D901" s="13" t="n"/>
      <c r="E901" s="13" t="n"/>
      <c r="F901" s="17">
        <f>IF($D901="","",IFERROR(VLOOKUP($E901,材料归属,2,0),"※材料类别没选"))</f>
        <v/>
      </c>
      <c r="G901" s="13" t="n"/>
      <c r="H901" s="13" t="n"/>
      <c r="I901" s="13" t="n"/>
      <c r="J901" s="20" t="n"/>
      <c r="K901" s="14" t="n"/>
      <c r="L901" s="19">
        <f>IF($D901="","",ROUND(IF($J901="",1,$J901)*N($K901),2))</f>
        <v/>
      </c>
      <c r="M901" s="13" t="n"/>
      <c r="N901" s="17">
        <f>IF($D901="","",IF(ISNA(MATCH($D901,项目名表,0)),"※项目不在项目台账里",IF($F901="※材料类别没选","※材料类别没选",IF(AND($C901&lt;&gt;"",ISNA(MATCH($C901,供应商表,0))),"※供应商不在基础资料里",""))))</f>
        <v/>
      </c>
    </row>
    <row r="902">
      <c r="A902" s="17">
        <f>IF($D902="","",ROW()-3)</f>
        <v/>
      </c>
      <c r="B902" s="18" t="n"/>
      <c r="C902" s="13" t="n"/>
      <c r="D902" s="13" t="n"/>
      <c r="E902" s="13" t="n"/>
      <c r="F902" s="17">
        <f>IF($D902="","",IFERROR(VLOOKUP($E902,材料归属,2,0),"※材料类别没选"))</f>
        <v/>
      </c>
      <c r="G902" s="13" t="n"/>
      <c r="H902" s="13" t="n"/>
      <c r="I902" s="13" t="n"/>
      <c r="J902" s="20" t="n"/>
      <c r="K902" s="14" t="n"/>
      <c r="L902" s="19">
        <f>IF($D902="","",ROUND(IF($J902="",1,$J902)*N($K902),2))</f>
        <v/>
      </c>
      <c r="M902" s="13" t="n"/>
      <c r="N902" s="17">
        <f>IF($D902="","",IF(ISNA(MATCH($D902,项目名表,0)),"※项目不在项目台账里",IF($F902="※材料类别没选","※材料类别没选",IF(AND($C902&lt;&gt;"",ISNA(MATCH($C902,供应商表,0))),"※供应商不在基础资料里",""))))</f>
        <v/>
      </c>
    </row>
    <row r="903">
      <c r="A903" s="17">
        <f>IF($D903="","",ROW()-3)</f>
        <v/>
      </c>
      <c r="B903" s="18" t="n"/>
      <c r="C903" s="13" t="n"/>
      <c r="D903" s="13" t="n"/>
      <c r="E903" s="13" t="n"/>
      <c r="F903" s="17">
        <f>IF($D903="","",IFERROR(VLOOKUP($E903,材料归属,2,0),"※材料类别没选"))</f>
        <v/>
      </c>
      <c r="G903" s="13" t="n"/>
      <c r="H903" s="13" t="n"/>
      <c r="I903" s="13" t="n"/>
      <c r="J903" s="20" t="n"/>
      <c r="K903" s="14" t="n"/>
      <c r="L903" s="19">
        <f>IF($D903="","",ROUND(IF($J903="",1,$J903)*N($K903),2))</f>
        <v/>
      </c>
      <c r="M903" s="13" t="n"/>
      <c r="N903" s="17">
        <f>IF($D903="","",IF(ISNA(MATCH($D903,项目名表,0)),"※项目不在项目台账里",IF($F903="※材料类别没选","※材料类别没选",IF(AND($C903&lt;&gt;"",ISNA(MATCH($C903,供应商表,0))),"※供应商不在基础资料里",""))))</f>
        <v/>
      </c>
    </row>
    <row r="904">
      <c r="A904" s="17">
        <f>IF($D904="","",ROW()-3)</f>
        <v/>
      </c>
      <c r="B904" s="18" t="n"/>
      <c r="C904" s="13" t="n"/>
      <c r="D904" s="13" t="n"/>
      <c r="E904" s="13" t="n"/>
      <c r="F904" s="17">
        <f>IF($D904="","",IFERROR(VLOOKUP($E904,材料归属,2,0),"※材料类别没选"))</f>
        <v/>
      </c>
      <c r="G904" s="13" t="n"/>
      <c r="H904" s="13" t="n"/>
      <c r="I904" s="13" t="n"/>
      <c r="J904" s="20" t="n"/>
      <c r="K904" s="14" t="n"/>
      <c r="L904" s="19">
        <f>IF($D904="","",ROUND(IF($J904="",1,$J904)*N($K904),2))</f>
        <v/>
      </c>
      <c r="M904" s="13" t="n"/>
      <c r="N904" s="17">
        <f>IF($D904="","",IF(ISNA(MATCH($D904,项目名表,0)),"※项目不在项目台账里",IF($F904="※材料类别没选","※材料类别没选",IF(AND($C904&lt;&gt;"",ISNA(MATCH($C904,供应商表,0))),"※供应商不在基础资料里",""))))</f>
        <v/>
      </c>
    </row>
    <row r="905">
      <c r="A905" s="17">
        <f>IF($D905="","",ROW()-3)</f>
        <v/>
      </c>
      <c r="B905" s="18" t="n"/>
      <c r="C905" s="13" t="n"/>
      <c r="D905" s="13" t="n"/>
      <c r="E905" s="13" t="n"/>
      <c r="F905" s="17">
        <f>IF($D905="","",IFERROR(VLOOKUP($E905,材料归属,2,0),"※材料类别没选"))</f>
        <v/>
      </c>
      <c r="G905" s="13" t="n"/>
      <c r="H905" s="13" t="n"/>
      <c r="I905" s="13" t="n"/>
      <c r="J905" s="20" t="n"/>
      <c r="K905" s="14" t="n"/>
      <c r="L905" s="19">
        <f>IF($D905="","",ROUND(IF($J905="",1,$J905)*N($K905),2))</f>
        <v/>
      </c>
      <c r="M905" s="13" t="n"/>
      <c r="N905" s="17">
        <f>IF($D905="","",IF(ISNA(MATCH($D905,项目名表,0)),"※项目不在项目台账里",IF($F905="※材料类别没选","※材料类别没选",IF(AND($C905&lt;&gt;"",ISNA(MATCH($C905,供应商表,0))),"※供应商不在基础资料里",""))))</f>
        <v/>
      </c>
    </row>
    <row r="906">
      <c r="A906" s="17">
        <f>IF($D906="","",ROW()-3)</f>
        <v/>
      </c>
      <c r="B906" s="18" t="n"/>
      <c r="C906" s="13" t="n"/>
      <c r="D906" s="13" t="n"/>
      <c r="E906" s="13" t="n"/>
      <c r="F906" s="17">
        <f>IF($D906="","",IFERROR(VLOOKUP($E906,材料归属,2,0),"※材料类别没选"))</f>
        <v/>
      </c>
      <c r="G906" s="13" t="n"/>
      <c r="H906" s="13" t="n"/>
      <c r="I906" s="13" t="n"/>
      <c r="J906" s="20" t="n"/>
      <c r="K906" s="14" t="n"/>
      <c r="L906" s="19">
        <f>IF($D906="","",ROUND(IF($J906="",1,$J906)*N($K906),2))</f>
        <v/>
      </c>
      <c r="M906" s="13" t="n"/>
      <c r="N906" s="17">
        <f>IF($D906="","",IF(ISNA(MATCH($D906,项目名表,0)),"※项目不在项目台账里",IF($F906="※材料类别没选","※材料类别没选",IF(AND($C906&lt;&gt;"",ISNA(MATCH($C906,供应商表,0))),"※供应商不在基础资料里",""))))</f>
        <v/>
      </c>
    </row>
    <row r="907">
      <c r="A907" s="17">
        <f>IF($D907="","",ROW()-3)</f>
        <v/>
      </c>
      <c r="B907" s="18" t="n"/>
      <c r="C907" s="13" t="n"/>
      <c r="D907" s="13" t="n"/>
      <c r="E907" s="13" t="n"/>
      <c r="F907" s="17">
        <f>IF($D907="","",IFERROR(VLOOKUP($E907,材料归属,2,0),"※材料类别没选"))</f>
        <v/>
      </c>
      <c r="G907" s="13" t="n"/>
      <c r="H907" s="13" t="n"/>
      <c r="I907" s="13" t="n"/>
      <c r="J907" s="20" t="n"/>
      <c r="K907" s="14" t="n"/>
      <c r="L907" s="19">
        <f>IF($D907="","",ROUND(IF($J907="",1,$J907)*N($K907),2))</f>
        <v/>
      </c>
      <c r="M907" s="13" t="n"/>
      <c r="N907" s="17">
        <f>IF($D907="","",IF(ISNA(MATCH($D907,项目名表,0)),"※项目不在项目台账里",IF($F907="※材料类别没选","※材料类别没选",IF(AND($C907&lt;&gt;"",ISNA(MATCH($C907,供应商表,0))),"※供应商不在基础资料里",""))))</f>
        <v/>
      </c>
    </row>
    <row r="908">
      <c r="A908" s="17">
        <f>IF($D908="","",ROW()-3)</f>
        <v/>
      </c>
      <c r="B908" s="18" t="n"/>
      <c r="C908" s="13" t="n"/>
      <c r="D908" s="13" t="n"/>
      <c r="E908" s="13" t="n"/>
      <c r="F908" s="17">
        <f>IF($D908="","",IFERROR(VLOOKUP($E908,材料归属,2,0),"※材料类别没选"))</f>
        <v/>
      </c>
      <c r="G908" s="13" t="n"/>
      <c r="H908" s="13" t="n"/>
      <c r="I908" s="13" t="n"/>
      <c r="J908" s="20" t="n"/>
      <c r="K908" s="14" t="n"/>
      <c r="L908" s="19">
        <f>IF($D908="","",ROUND(IF($J908="",1,$J908)*N($K908),2))</f>
        <v/>
      </c>
      <c r="M908" s="13" t="n"/>
      <c r="N908" s="17">
        <f>IF($D908="","",IF(ISNA(MATCH($D908,项目名表,0)),"※项目不在项目台账里",IF($F908="※材料类别没选","※材料类别没选",IF(AND($C908&lt;&gt;"",ISNA(MATCH($C908,供应商表,0))),"※供应商不在基础资料里",""))))</f>
        <v/>
      </c>
    </row>
    <row r="909">
      <c r="A909" s="17">
        <f>IF($D909="","",ROW()-3)</f>
        <v/>
      </c>
      <c r="B909" s="18" t="n"/>
      <c r="C909" s="13" t="n"/>
      <c r="D909" s="13" t="n"/>
      <c r="E909" s="13" t="n"/>
      <c r="F909" s="17">
        <f>IF($D909="","",IFERROR(VLOOKUP($E909,材料归属,2,0),"※材料类别没选"))</f>
        <v/>
      </c>
      <c r="G909" s="13" t="n"/>
      <c r="H909" s="13" t="n"/>
      <c r="I909" s="13" t="n"/>
      <c r="J909" s="20" t="n"/>
      <c r="K909" s="14" t="n"/>
      <c r="L909" s="19">
        <f>IF($D909="","",ROUND(IF($J909="",1,$J909)*N($K909),2))</f>
        <v/>
      </c>
      <c r="M909" s="13" t="n"/>
      <c r="N909" s="17">
        <f>IF($D909="","",IF(ISNA(MATCH($D909,项目名表,0)),"※项目不在项目台账里",IF($F909="※材料类别没选","※材料类别没选",IF(AND($C909&lt;&gt;"",ISNA(MATCH($C909,供应商表,0))),"※供应商不在基础资料里",""))))</f>
        <v/>
      </c>
    </row>
    <row r="910">
      <c r="A910" s="17">
        <f>IF($D910="","",ROW()-3)</f>
        <v/>
      </c>
      <c r="B910" s="18" t="n"/>
      <c r="C910" s="13" t="n"/>
      <c r="D910" s="13" t="n"/>
      <c r="E910" s="13" t="n"/>
      <c r="F910" s="17">
        <f>IF($D910="","",IFERROR(VLOOKUP($E910,材料归属,2,0),"※材料类别没选"))</f>
        <v/>
      </c>
      <c r="G910" s="13" t="n"/>
      <c r="H910" s="13" t="n"/>
      <c r="I910" s="13" t="n"/>
      <c r="J910" s="20" t="n"/>
      <c r="K910" s="14" t="n"/>
      <c r="L910" s="19">
        <f>IF($D910="","",ROUND(IF($J910="",1,$J910)*N($K910),2))</f>
        <v/>
      </c>
      <c r="M910" s="13" t="n"/>
      <c r="N910" s="17">
        <f>IF($D910="","",IF(ISNA(MATCH($D910,项目名表,0)),"※项目不在项目台账里",IF($F910="※材料类别没选","※材料类别没选",IF(AND($C910&lt;&gt;"",ISNA(MATCH($C910,供应商表,0))),"※供应商不在基础资料里",""))))</f>
        <v/>
      </c>
    </row>
    <row r="911">
      <c r="A911" s="17">
        <f>IF($D911="","",ROW()-3)</f>
        <v/>
      </c>
      <c r="B911" s="18" t="n"/>
      <c r="C911" s="13" t="n"/>
      <c r="D911" s="13" t="n"/>
      <c r="E911" s="13" t="n"/>
      <c r="F911" s="17">
        <f>IF($D911="","",IFERROR(VLOOKUP($E911,材料归属,2,0),"※材料类别没选"))</f>
        <v/>
      </c>
      <c r="G911" s="13" t="n"/>
      <c r="H911" s="13" t="n"/>
      <c r="I911" s="13" t="n"/>
      <c r="J911" s="20" t="n"/>
      <c r="K911" s="14" t="n"/>
      <c r="L911" s="19">
        <f>IF($D911="","",ROUND(IF($J911="",1,$J911)*N($K911),2))</f>
        <v/>
      </c>
      <c r="M911" s="13" t="n"/>
      <c r="N911" s="17">
        <f>IF($D911="","",IF(ISNA(MATCH($D911,项目名表,0)),"※项目不在项目台账里",IF($F911="※材料类别没选","※材料类别没选",IF(AND($C911&lt;&gt;"",ISNA(MATCH($C911,供应商表,0))),"※供应商不在基础资料里",""))))</f>
        <v/>
      </c>
    </row>
    <row r="912">
      <c r="A912" s="17">
        <f>IF($D912="","",ROW()-3)</f>
        <v/>
      </c>
      <c r="B912" s="18" t="n"/>
      <c r="C912" s="13" t="n"/>
      <c r="D912" s="13" t="n"/>
      <c r="E912" s="13" t="n"/>
      <c r="F912" s="17">
        <f>IF($D912="","",IFERROR(VLOOKUP($E912,材料归属,2,0),"※材料类别没选"))</f>
        <v/>
      </c>
      <c r="G912" s="13" t="n"/>
      <c r="H912" s="13" t="n"/>
      <c r="I912" s="13" t="n"/>
      <c r="J912" s="20" t="n"/>
      <c r="K912" s="14" t="n"/>
      <c r="L912" s="19">
        <f>IF($D912="","",ROUND(IF($J912="",1,$J912)*N($K912),2))</f>
        <v/>
      </c>
      <c r="M912" s="13" t="n"/>
      <c r="N912" s="17">
        <f>IF($D912="","",IF(ISNA(MATCH($D912,项目名表,0)),"※项目不在项目台账里",IF($F912="※材料类别没选","※材料类别没选",IF(AND($C912&lt;&gt;"",ISNA(MATCH($C912,供应商表,0))),"※供应商不在基础资料里",""))))</f>
        <v/>
      </c>
    </row>
    <row r="913">
      <c r="A913" s="17">
        <f>IF($D913="","",ROW()-3)</f>
        <v/>
      </c>
      <c r="B913" s="18" t="n"/>
      <c r="C913" s="13" t="n"/>
      <c r="D913" s="13" t="n"/>
      <c r="E913" s="13" t="n"/>
      <c r="F913" s="17">
        <f>IF($D913="","",IFERROR(VLOOKUP($E913,材料归属,2,0),"※材料类别没选"))</f>
        <v/>
      </c>
      <c r="G913" s="13" t="n"/>
      <c r="H913" s="13" t="n"/>
      <c r="I913" s="13" t="n"/>
      <c r="J913" s="20" t="n"/>
      <c r="K913" s="14" t="n"/>
      <c r="L913" s="19">
        <f>IF($D913="","",ROUND(IF($J913="",1,$J913)*N($K913),2))</f>
        <v/>
      </c>
      <c r="M913" s="13" t="n"/>
      <c r="N913" s="17">
        <f>IF($D913="","",IF(ISNA(MATCH($D913,项目名表,0)),"※项目不在项目台账里",IF($F913="※材料类别没选","※材料类别没选",IF(AND($C913&lt;&gt;"",ISNA(MATCH($C913,供应商表,0))),"※供应商不在基础资料里",""))))</f>
        <v/>
      </c>
    </row>
    <row r="914">
      <c r="A914" s="17">
        <f>IF($D914="","",ROW()-3)</f>
        <v/>
      </c>
      <c r="B914" s="18" t="n"/>
      <c r="C914" s="13" t="n"/>
      <c r="D914" s="13" t="n"/>
      <c r="E914" s="13" t="n"/>
      <c r="F914" s="17">
        <f>IF($D914="","",IFERROR(VLOOKUP($E914,材料归属,2,0),"※材料类别没选"))</f>
        <v/>
      </c>
      <c r="G914" s="13" t="n"/>
      <c r="H914" s="13" t="n"/>
      <c r="I914" s="13" t="n"/>
      <c r="J914" s="20" t="n"/>
      <c r="K914" s="14" t="n"/>
      <c r="L914" s="19">
        <f>IF($D914="","",ROUND(IF($J914="",1,$J914)*N($K914),2))</f>
        <v/>
      </c>
      <c r="M914" s="13" t="n"/>
      <c r="N914" s="17">
        <f>IF($D914="","",IF(ISNA(MATCH($D914,项目名表,0)),"※项目不在项目台账里",IF($F914="※材料类别没选","※材料类别没选",IF(AND($C914&lt;&gt;"",ISNA(MATCH($C914,供应商表,0))),"※供应商不在基础资料里",""))))</f>
        <v/>
      </c>
    </row>
    <row r="915">
      <c r="A915" s="17">
        <f>IF($D915="","",ROW()-3)</f>
        <v/>
      </c>
      <c r="B915" s="18" t="n"/>
      <c r="C915" s="13" t="n"/>
      <c r="D915" s="13" t="n"/>
      <c r="E915" s="13" t="n"/>
      <c r="F915" s="17">
        <f>IF($D915="","",IFERROR(VLOOKUP($E915,材料归属,2,0),"※材料类别没选"))</f>
        <v/>
      </c>
      <c r="G915" s="13" t="n"/>
      <c r="H915" s="13" t="n"/>
      <c r="I915" s="13" t="n"/>
      <c r="J915" s="20" t="n"/>
      <c r="K915" s="14" t="n"/>
      <c r="L915" s="19">
        <f>IF($D915="","",ROUND(IF($J915="",1,$J915)*N($K915),2))</f>
        <v/>
      </c>
      <c r="M915" s="13" t="n"/>
      <c r="N915" s="17">
        <f>IF($D915="","",IF(ISNA(MATCH($D915,项目名表,0)),"※项目不在项目台账里",IF($F915="※材料类别没选","※材料类别没选",IF(AND($C915&lt;&gt;"",ISNA(MATCH($C915,供应商表,0))),"※供应商不在基础资料里",""))))</f>
        <v/>
      </c>
    </row>
    <row r="916">
      <c r="A916" s="17">
        <f>IF($D916="","",ROW()-3)</f>
        <v/>
      </c>
      <c r="B916" s="18" t="n"/>
      <c r="C916" s="13" t="n"/>
      <c r="D916" s="13" t="n"/>
      <c r="E916" s="13" t="n"/>
      <c r="F916" s="17">
        <f>IF($D916="","",IFERROR(VLOOKUP($E916,材料归属,2,0),"※材料类别没选"))</f>
        <v/>
      </c>
      <c r="G916" s="13" t="n"/>
      <c r="H916" s="13" t="n"/>
      <c r="I916" s="13" t="n"/>
      <c r="J916" s="20" t="n"/>
      <c r="K916" s="14" t="n"/>
      <c r="L916" s="19">
        <f>IF($D916="","",ROUND(IF($J916="",1,$J916)*N($K916),2))</f>
        <v/>
      </c>
      <c r="M916" s="13" t="n"/>
      <c r="N916" s="17">
        <f>IF($D916="","",IF(ISNA(MATCH($D916,项目名表,0)),"※项目不在项目台账里",IF($F916="※材料类别没选","※材料类别没选",IF(AND($C916&lt;&gt;"",ISNA(MATCH($C916,供应商表,0))),"※供应商不在基础资料里",""))))</f>
        <v/>
      </c>
    </row>
    <row r="917">
      <c r="A917" s="17">
        <f>IF($D917="","",ROW()-3)</f>
        <v/>
      </c>
      <c r="B917" s="18" t="n"/>
      <c r="C917" s="13" t="n"/>
      <c r="D917" s="13" t="n"/>
      <c r="E917" s="13" t="n"/>
      <c r="F917" s="17">
        <f>IF($D917="","",IFERROR(VLOOKUP($E917,材料归属,2,0),"※材料类别没选"))</f>
        <v/>
      </c>
      <c r="G917" s="13" t="n"/>
      <c r="H917" s="13" t="n"/>
      <c r="I917" s="13" t="n"/>
      <c r="J917" s="20" t="n"/>
      <c r="K917" s="14" t="n"/>
      <c r="L917" s="19">
        <f>IF($D917="","",ROUND(IF($J917="",1,$J917)*N($K917),2))</f>
        <v/>
      </c>
      <c r="M917" s="13" t="n"/>
      <c r="N917" s="17">
        <f>IF($D917="","",IF(ISNA(MATCH($D917,项目名表,0)),"※项目不在项目台账里",IF($F917="※材料类别没选","※材料类别没选",IF(AND($C917&lt;&gt;"",ISNA(MATCH($C917,供应商表,0))),"※供应商不在基础资料里",""))))</f>
        <v/>
      </c>
    </row>
    <row r="918">
      <c r="A918" s="17">
        <f>IF($D918="","",ROW()-3)</f>
        <v/>
      </c>
      <c r="B918" s="18" t="n"/>
      <c r="C918" s="13" t="n"/>
      <c r="D918" s="13" t="n"/>
      <c r="E918" s="13" t="n"/>
      <c r="F918" s="17">
        <f>IF($D918="","",IFERROR(VLOOKUP($E918,材料归属,2,0),"※材料类别没选"))</f>
        <v/>
      </c>
      <c r="G918" s="13" t="n"/>
      <c r="H918" s="13" t="n"/>
      <c r="I918" s="13" t="n"/>
      <c r="J918" s="20" t="n"/>
      <c r="K918" s="14" t="n"/>
      <c r="L918" s="19">
        <f>IF($D918="","",ROUND(IF($J918="",1,$J918)*N($K918),2))</f>
        <v/>
      </c>
      <c r="M918" s="13" t="n"/>
      <c r="N918" s="17">
        <f>IF($D918="","",IF(ISNA(MATCH($D918,项目名表,0)),"※项目不在项目台账里",IF($F918="※材料类别没选","※材料类别没选",IF(AND($C918&lt;&gt;"",ISNA(MATCH($C918,供应商表,0))),"※供应商不在基础资料里",""))))</f>
        <v/>
      </c>
    </row>
    <row r="919">
      <c r="A919" s="17">
        <f>IF($D919="","",ROW()-3)</f>
        <v/>
      </c>
      <c r="B919" s="18" t="n"/>
      <c r="C919" s="13" t="n"/>
      <c r="D919" s="13" t="n"/>
      <c r="E919" s="13" t="n"/>
      <c r="F919" s="17">
        <f>IF($D919="","",IFERROR(VLOOKUP($E919,材料归属,2,0),"※材料类别没选"))</f>
        <v/>
      </c>
      <c r="G919" s="13" t="n"/>
      <c r="H919" s="13" t="n"/>
      <c r="I919" s="13" t="n"/>
      <c r="J919" s="20" t="n"/>
      <c r="K919" s="14" t="n"/>
      <c r="L919" s="19">
        <f>IF($D919="","",ROUND(IF($J919="",1,$J919)*N($K919),2))</f>
        <v/>
      </c>
      <c r="M919" s="13" t="n"/>
      <c r="N919" s="17">
        <f>IF($D919="","",IF(ISNA(MATCH($D919,项目名表,0)),"※项目不在项目台账里",IF($F919="※材料类别没选","※材料类别没选",IF(AND($C919&lt;&gt;"",ISNA(MATCH($C919,供应商表,0))),"※供应商不在基础资料里",""))))</f>
        <v/>
      </c>
    </row>
    <row r="920">
      <c r="A920" s="17">
        <f>IF($D920="","",ROW()-3)</f>
        <v/>
      </c>
      <c r="B920" s="18" t="n"/>
      <c r="C920" s="13" t="n"/>
      <c r="D920" s="13" t="n"/>
      <c r="E920" s="13" t="n"/>
      <c r="F920" s="17">
        <f>IF($D920="","",IFERROR(VLOOKUP($E920,材料归属,2,0),"※材料类别没选"))</f>
        <v/>
      </c>
      <c r="G920" s="13" t="n"/>
      <c r="H920" s="13" t="n"/>
      <c r="I920" s="13" t="n"/>
      <c r="J920" s="20" t="n"/>
      <c r="K920" s="14" t="n"/>
      <c r="L920" s="19">
        <f>IF($D920="","",ROUND(IF($J920="",1,$J920)*N($K920),2))</f>
        <v/>
      </c>
      <c r="M920" s="13" t="n"/>
      <c r="N920" s="17">
        <f>IF($D920="","",IF(ISNA(MATCH($D920,项目名表,0)),"※项目不在项目台账里",IF($F920="※材料类别没选","※材料类别没选",IF(AND($C920&lt;&gt;"",ISNA(MATCH($C920,供应商表,0))),"※供应商不在基础资料里",""))))</f>
        <v/>
      </c>
    </row>
    <row r="921">
      <c r="A921" s="17">
        <f>IF($D921="","",ROW()-3)</f>
        <v/>
      </c>
      <c r="B921" s="18" t="n"/>
      <c r="C921" s="13" t="n"/>
      <c r="D921" s="13" t="n"/>
      <c r="E921" s="13" t="n"/>
      <c r="F921" s="17">
        <f>IF($D921="","",IFERROR(VLOOKUP($E921,材料归属,2,0),"※材料类别没选"))</f>
        <v/>
      </c>
      <c r="G921" s="13" t="n"/>
      <c r="H921" s="13" t="n"/>
      <c r="I921" s="13" t="n"/>
      <c r="J921" s="20" t="n"/>
      <c r="K921" s="14" t="n"/>
      <c r="L921" s="19">
        <f>IF($D921="","",ROUND(IF($J921="",1,$J921)*N($K921),2))</f>
        <v/>
      </c>
      <c r="M921" s="13" t="n"/>
      <c r="N921" s="17">
        <f>IF($D921="","",IF(ISNA(MATCH($D921,项目名表,0)),"※项目不在项目台账里",IF($F921="※材料类别没选","※材料类别没选",IF(AND($C921&lt;&gt;"",ISNA(MATCH($C921,供应商表,0))),"※供应商不在基础资料里",""))))</f>
        <v/>
      </c>
    </row>
    <row r="922">
      <c r="A922" s="17">
        <f>IF($D922="","",ROW()-3)</f>
        <v/>
      </c>
      <c r="B922" s="18" t="n"/>
      <c r="C922" s="13" t="n"/>
      <c r="D922" s="13" t="n"/>
      <c r="E922" s="13" t="n"/>
      <c r="F922" s="17">
        <f>IF($D922="","",IFERROR(VLOOKUP($E922,材料归属,2,0),"※材料类别没选"))</f>
        <v/>
      </c>
      <c r="G922" s="13" t="n"/>
      <c r="H922" s="13" t="n"/>
      <c r="I922" s="13" t="n"/>
      <c r="J922" s="20" t="n"/>
      <c r="K922" s="14" t="n"/>
      <c r="L922" s="19">
        <f>IF($D922="","",ROUND(IF($J922="",1,$J922)*N($K922),2))</f>
        <v/>
      </c>
      <c r="M922" s="13" t="n"/>
      <c r="N922" s="17">
        <f>IF($D922="","",IF(ISNA(MATCH($D922,项目名表,0)),"※项目不在项目台账里",IF($F922="※材料类别没选","※材料类别没选",IF(AND($C922&lt;&gt;"",ISNA(MATCH($C922,供应商表,0))),"※供应商不在基础资料里",""))))</f>
        <v/>
      </c>
    </row>
    <row r="923">
      <c r="A923" s="17">
        <f>IF($D923="","",ROW()-3)</f>
        <v/>
      </c>
      <c r="B923" s="18" t="n"/>
      <c r="C923" s="13" t="n"/>
      <c r="D923" s="13" t="n"/>
      <c r="E923" s="13" t="n"/>
      <c r="F923" s="17">
        <f>IF($D923="","",IFERROR(VLOOKUP($E923,材料归属,2,0),"※材料类别没选"))</f>
        <v/>
      </c>
      <c r="G923" s="13" t="n"/>
      <c r="H923" s="13" t="n"/>
      <c r="I923" s="13" t="n"/>
      <c r="J923" s="20" t="n"/>
      <c r="K923" s="14" t="n"/>
      <c r="L923" s="19">
        <f>IF($D923="","",ROUND(IF($J923="",1,$J923)*N($K923),2))</f>
        <v/>
      </c>
      <c r="M923" s="13" t="n"/>
      <c r="N923" s="17">
        <f>IF($D923="","",IF(ISNA(MATCH($D923,项目名表,0)),"※项目不在项目台账里",IF($F923="※材料类别没选","※材料类别没选",IF(AND($C923&lt;&gt;"",ISNA(MATCH($C923,供应商表,0))),"※供应商不在基础资料里",""))))</f>
        <v/>
      </c>
    </row>
    <row r="924">
      <c r="A924" s="17">
        <f>IF($D924="","",ROW()-3)</f>
        <v/>
      </c>
      <c r="B924" s="18" t="n"/>
      <c r="C924" s="13" t="n"/>
      <c r="D924" s="13" t="n"/>
      <c r="E924" s="13" t="n"/>
      <c r="F924" s="17">
        <f>IF($D924="","",IFERROR(VLOOKUP($E924,材料归属,2,0),"※材料类别没选"))</f>
        <v/>
      </c>
      <c r="G924" s="13" t="n"/>
      <c r="H924" s="13" t="n"/>
      <c r="I924" s="13" t="n"/>
      <c r="J924" s="20" t="n"/>
      <c r="K924" s="14" t="n"/>
      <c r="L924" s="19">
        <f>IF($D924="","",ROUND(IF($J924="",1,$J924)*N($K924),2))</f>
        <v/>
      </c>
      <c r="M924" s="13" t="n"/>
      <c r="N924" s="17">
        <f>IF($D924="","",IF(ISNA(MATCH($D924,项目名表,0)),"※项目不在项目台账里",IF($F924="※材料类别没选","※材料类别没选",IF(AND($C924&lt;&gt;"",ISNA(MATCH($C924,供应商表,0))),"※供应商不在基础资料里",""))))</f>
        <v/>
      </c>
    </row>
    <row r="925">
      <c r="A925" s="17">
        <f>IF($D925="","",ROW()-3)</f>
        <v/>
      </c>
      <c r="B925" s="18" t="n"/>
      <c r="C925" s="13" t="n"/>
      <c r="D925" s="13" t="n"/>
      <c r="E925" s="13" t="n"/>
      <c r="F925" s="17">
        <f>IF($D925="","",IFERROR(VLOOKUP($E925,材料归属,2,0),"※材料类别没选"))</f>
        <v/>
      </c>
      <c r="G925" s="13" t="n"/>
      <c r="H925" s="13" t="n"/>
      <c r="I925" s="13" t="n"/>
      <c r="J925" s="20" t="n"/>
      <c r="K925" s="14" t="n"/>
      <c r="L925" s="19">
        <f>IF($D925="","",ROUND(IF($J925="",1,$J925)*N($K925),2))</f>
        <v/>
      </c>
      <c r="M925" s="13" t="n"/>
      <c r="N925" s="17">
        <f>IF($D925="","",IF(ISNA(MATCH($D925,项目名表,0)),"※项目不在项目台账里",IF($F925="※材料类别没选","※材料类别没选",IF(AND($C925&lt;&gt;"",ISNA(MATCH($C925,供应商表,0))),"※供应商不在基础资料里",""))))</f>
        <v/>
      </c>
    </row>
    <row r="926">
      <c r="A926" s="17">
        <f>IF($D926="","",ROW()-3)</f>
        <v/>
      </c>
      <c r="B926" s="18" t="n"/>
      <c r="C926" s="13" t="n"/>
      <c r="D926" s="13" t="n"/>
      <c r="E926" s="13" t="n"/>
      <c r="F926" s="17">
        <f>IF($D926="","",IFERROR(VLOOKUP($E926,材料归属,2,0),"※材料类别没选"))</f>
        <v/>
      </c>
      <c r="G926" s="13" t="n"/>
      <c r="H926" s="13" t="n"/>
      <c r="I926" s="13" t="n"/>
      <c r="J926" s="20" t="n"/>
      <c r="K926" s="14" t="n"/>
      <c r="L926" s="19">
        <f>IF($D926="","",ROUND(IF($J926="",1,$J926)*N($K926),2))</f>
        <v/>
      </c>
      <c r="M926" s="13" t="n"/>
      <c r="N926" s="17">
        <f>IF($D926="","",IF(ISNA(MATCH($D926,项目名表,0)),"※项目不在项目台账里",IF($F926="※材料类别没选","※材料类别没选",IF(AND($C926&lt;&gt;"",ISNA(MATCH($C926,供应商表,0))),"※供应商不在基础资料里",""))))</f>
        <v/>
      </c>
    </row>
    <row r="927">
      <c r="A927" s="17">
        <f>IF($D927="","",ROW()-3)</f>
        <v/>
      </c>
      <c r="B927" s="18" t="n"/>
      <c r="C927" s="13" t="n"/>
      <c r="D927" s="13" t="n"/>
      <c r="E927" s="13" t="n"/>
      <c r="F927" s="17">
        <f>IF($D927="","",IFERROR(VLOOKUP($E927,材料归属,2,0),"※材料类别没选"))</f>
        <v/>
      </c>
      <c r="G927" s="13" t="n"/>
      <c r="H927" s="13" t="n"/>
      <c r="I927" s="13" t="n"/>
      <c r="J927" s="20" t="n"/>
      <c r="K927" s="14" t="n"/>
      <c r="L927" s="19">
        <f>IF($D927="","",ROUND(IF($J927="",1,$J927)*N($K927),2))</f>
        <v/>
      </c>
      <c r="M927" s="13" t="n"/>
      <c r="N927" s="17">
        <f>IF($D927="","",IF(ISNA(MATCH($D927,项目名表,0)),"※项目不在项目台账里",IF($F927="※材料类别没选","※材料类别没选",IF(AND($C927&lt;&gt;"",ISNA(MATCH($C927,供应商表,0))),"※供应商不在基础资料里",""))))</f>
        <v/>
      </c>
    </row>
    <row r="928">
      <c r="A928" s="17">
        <f>IF($D928="","",ROW()-3)</f>
        <v/>
      </c>
      <c r="B928" s="18" t="n"/>
      <c r="C928" s="13" t="n"/>
      <c r="D928" s="13" t="n"/>
      <c r="E928" s="13" t="n"/>
      <c r="F928" s="17">
        <f>IF($D928="","",IFERROR(VLOOKUP($E928,材料归属,2,0),"※材料类别没选"))</f>
        <v/>
      </c>
      <c r="G928" s="13" t="n"/>
      <c r="H928" s="13" t="n"/>
      <c r="I928" s="13" t="n"/>
      <c r="J928" s="20" t="n"/>
      <c r="K928" s="14" t="n"/>
      <c r="L928" s="19">
        <f>IF($D928="","",ROUND(IF($J928="",1,$J928)*N($K928),2))</f>
        <v/>
      </c>
      <c r="M928" s="13" t="n"/>
      <c r="N928" s="17">
        <f>IF($D928="","",IF(ISNA(MATCH($D928,项目名表,0)),"※项目不在项目台账里",IF($F928="※材料类别没选","※材料类别没选",IF(AND($C928&lt;&gt;"",ISNA(MATCH($C928,供应商表,0))),"※供应商不在基础资料里",""))))</f>
        <v/>
      </c>
    </row>
    <row r="929">
      <c r="A929" s="17">
        <f>IF($D929="","",ROW()-3)</f>
        <v/>
      </c>
      <c r="B929" s="18" t="n"/>
      <c r="C929" s="13" t="n"/>
      <c r="D929" s="13" t="n"/>
      <c r="E929" s="13" t="n"/>
      <c r="F929" s="17">
        <f>IF($D929="","",IFERROR(VLOOKUP($E929,材料归属,2,0),"※材料类别没选"))</f>
        <v/>
      </c>
      <c r="G929" s="13" t="n"/>
      <c r="H929" s="13" t="n"/>
      <c r="I929" s="13" t="n"/>
      <c r="J929" s="20" t="n"/>
      <c r="K929" s="14" t="n"/>
      <c r="L929" s="19">
        <f>IF($D929="","",ROUND(IF($J929="",1,$J929)*N($K929),2))</f>
        <v/>
      </c>
      <c r="M929" s="13" t="n"/>
      <c r="N929" s="17">
        <f>IF($D929="","",IF(ISNA(MATCH($D929,项目名表,0)),"※项目不在项目台账里",IF($F929="※材料类别没选","※材料类别没选",IF(AND($C929&lt;&gt;"",ISNA(MATCH($C929,供应商表,0))),"※供应商不在基础资料里",""))))</f>
        <v/>
      </c>
    </row>
    <row r="930">
      <c r="A930" s="17">
        <f>IF($D930="","",ROW()-3)</f>
        <v/>
      </c>
      <c r="B930" s="18" t="n"/>
      <c r="C930" s="13" t="n"/>
      <c r="D930" s="13" t="n"/>
      <c r="E930" s="13" t="n"/>
      <c r="F930" s="17">
        <f>IF($D930="","",IFERROR(VLOOKUP($E930,材料归属,2,0),"※材料类别没选"))</f>
        <v/>
      </c>
      <c r="G930" s="13" t="n"/>
      <c r="H930" s="13" t="n"/>
      <c r="I930" s="13" t="n"/>
      <c r="J930" s="20" t="n"/>
      <c r="K930" s="14" t="n"/>
      <c r="L930" s="19">
        <f>IF($D930="","",ROUND(IF($J930="",1,$J930)*N($K930),2))</f>
        <v/>
      </c>
      <c r="M930" s="13" t="n"/>
      <c r="N930" s="17">
        <f>IF($D930="","",IF(ISNA(MATCH($D930,项目名表,0)),"※项目不在项目台账里",IF($F930="※材料类别没选","※材料类别没选",IF(AND($C930&lt;&gt;"",ISNA(MATCH($C930,供应商表,0))),"※供应商不在基础资料里",""))))</f>
        <v/>
      </c>
    </row>
    <row r="931">
      <c r="A931" s="17">
        <f>IF($D931="","",ROW()-3)</f>
        <v/>
      </c>
      <c r="B931" s="18" t="n"/>
      <c r="C931" s="13" t="n"/>
      <c r="D931" s="13" t="n"/>
      <c r="E931" s="13" t="n"/>
      <c r="F931" s="17">
        <f>IF($D931="","",IFERROR(VLOOKUP($E931,材料归属,2,0),"※材料类别没选"))</f>
        <v/>
      </c>
      <c r="G931" s="13" t="n"/>
      <c r="H931" s="13" t="n"/>
      <c r="I931" s="13" t="n"/>
      <c r="J931" s="20" t="n"/>
      <c r="K931" s="14" t="n"/>
      <c r="L931" s="19">
        <f>IF($D931="","",ROUND(IF($J931="",1,$J931)*N($K931),2))</f>
        <v/>
      </c>
      <c r="M931" s="13" t="n"/>
      <c r="N931" s="17">
        <f>IF($D931="","",IF(ISNA(MATCH($D931,项目名表,0)),"※项目不在项目台账里",IF($F931="※材料类别没选","※材料类别没选",IF(AND($C931&lt;&gt;"",ISNA(MATCH($C931,供应商表,0))),"※供应商不在基础资料里",""))))</f>
        <v/>
      </c>
    </row>
    <row r="932">
      <c r="A932" s="17">
        <f>IF($D932="","",ROW()-3)</f>
        <v/>
      </c>
      <c r="B932" s="18" t="n"/>
      <c r="C932" s="13" t="n"/>
      <c r="D932" s="13" t="n"/>
      <c r="E932" s="13" t="n"/>
      <c r="F932" s="17">
        <f>IF($D932="","",IFERROR(VLOOKUP($E932,材料归属,2,0),"※材料类别没选"))</f>
        <v/>
      </c>
      <c r="G932" s="13" t="n"/>
      <c r="H932" s="13" t="n"/>
      <c r="I932" s="13" t="n"/>
      <c r="J932" s="20" t="n"/>
      <c r="K932" s="14" t="n"/>
      <c r="L932" s="19">
        <f>IF($D932="","",ROUND(IF($J932="",1,$J932)*N($K932),2))</f>
        <v/>
      </c>
      <c r="M932" s="13" t="n"/>
      <c r="N932" s="17">
        <f>IF($D932="","",IF(ISNA(MATCH($D932,项目名表,0)),"※项目不在项目台账里",IF($F932="※材料类别没选","※材料类别没选",IF(AND($C932&lt;&gt;"",ISNA(MATCH($C932,供应商表,0))),"※供应商不在基础资料里",""))))</f>
        <v/>
      </c>
    </row>
    <row r="933">
      <c r="A933" s="17">
        <f>IF($D933="","",ROW()-3)</f>
        <v/>
      </c>
      <c r="B933" s="18" t="n"/>
      <c r="C933" s="13" t="n"/>
      <c r="D933" s="13" t="n"/>
      <c r="E933" s="13" t="n"/>
      <c r="F933" s="17">
        <f>IF($D933="","",IFERROR(VLOOKUP($E933,材料归属,2,0),"※材料类别没选"))</f>
        <v/>
      </c>
      <c r="G933" s="13" t="n"/>
      <c r="H933" s="13" t="n"/>
      <c r="I933" s="13" t="n"/>
      <c r="J933" s="20" t="n"/>
      <c r="K933" s="14" t="n"/>
      <c r="L933" s="19">
        <f>IF($D933="","",ROUND(IF($J933="",1,$J933)*N($K933),2))</f>
        <v/>
      </c>
      <c r="M933" s="13" t="n"/>
      <c r="N933" s="17">
        <f>IF($D933="","",IF(ISNA(MATCH($D933,项目名表,0)),"※项目不在项目台账里",IF($F933="※材料类别没选","※材料类别没选",IF(AND($C933&lt;&gt;"",ISNA(MATCH($C933,供应商表,0))),"※供应商不在基础资料里",""))))</f>
        <v/>
      </c>
    </row>
    <row r="934">
      <c r="A934" s="17">
        <f>IF($D934="","",ROW()-3)</f>
        <v/>
      </c>
      <c r="B934" s="18" t="n"/>
      <c r="C934" s="13" t="n"/>
      <c r="D934" s="13" t="n"/>
      <c r="E934" s="13" t="n"/>
      <c r="F934" s="17">
        <f>IF($D934="","",IFERROR(VLOOKUP($E934,材料归属,2,0),"※材料类别没选"))</f>
        <v/>
      </c>
      <c r="G934" s="13" t="n"/>
      <c r="H934" s="13" t="n"/>
      <c r="I934" s="13" t="n"/>
      <c r="J934" s="20" t="n"/>
      <c r="K934" s="14" t="n"/>
      <c r="L934" s="19">
        <f>IF($D934="","",ROUND(IF($J934="",1,$J934)*N($K934),2))</f>
        <v/>
      </c>
      <c r="M934" s="13" t="n"/>
      <c r="N934" s="17">
        <f>IF($D934="","",IF(ISNA(MATCH($D934,项目名表,0)),"※项目不在项目台账里",IF($F934="※材料类别没选","※材料类别没选",IF(AND($C934&lt;&gt;"",ISNA(MATCH($C934,供应商表,0))),"※供应商不在基础资料里",""))))</f>
        <v/>
      </c>
    </row>
    <row r="935">
      <c r="A935" s="17">
        <f>IF($D935="","",ROW()-3)</f>
        <v/>
      </c>
      <c r="B935" s="18" t="n"/>
      <c r="C935" s="13" t="n"/>
      <c r="D935" s="13" t="n"/>
      <c r="E935" s="13" t="n"/>
      <c r="F935" s="17">
        <f>IF($D935="","",IFERROR(VLOOKUP($E935,材料归属,2,0),"※材料类别没选"))</f>
        <v/>
      </c>
      <c r="G935" s="13" t="n"/>
      <c r="H935" s="13" t="n"/>
      <c r="I935" s="13" t="n"/>
      <c r="J935" s="20" t="n"/>
      <c r="K935" s="14" t="n"/>
      <c r="L935" s="19">
        <f>IF($D935="","",ROUND(IF($J935="",1,$J935)*N($K935),2))</f>
        <v/>
      </c>
      <c r="M935" s="13" t="n"/>
      <c r="N935" s="17">
        <f>IF($D935="","",IF(ISNA(MATCH($D935,项目名表,0)),"※项目不在项目台账里",IF($F935="※材料类别没选","※材料类别没选",IF(AND($C935&lt;&gt;"",ISNA(MATCH($C935,供应商表,0))),"※供应商不在基础资料里",""))))</f>
        <v/>
      </c>
    </row>
    <row r="936">
      <c r="A936" s="17">
        <f>IF($D936="","",ROW()-3)</f>
        <v/>
      </c>
      <c r="B936" s="18" t="n"/>
      <c r="C936" s="13" t="n"/>
      <c r="D936" s="13" t="n"/>
      <c r="E936" s="13" t="n"/>
      <c r="F936" s="17">
        <f>IF($D936="","",IFERROR(VLOOKUP($E936,材料归属,2,0),"※材料类别没选"))</f>
        <v/>
      </c>
      <c r="G936" s="13" t="n"/>
      <c r="H936" s="13" t="n"/>
      <c r="I936" s="13" t="n"/>
      <c r="J936" s="20" t="n"/>
      <c r="K936" s="14" t="n"/>
      <c r="L936" s="19">
        <f>IF($D936="","",ROUND(IF($J936="",1,$J936)*N($K936),2))</f>
        <v/>
      </c>
      <c r="M936" s="13" t="n"/>
      <c r="N936" s="17">
        <f>IF($D936="","",IF(ISNA(MATCH($D936,项目名表,0)),"※项目不在项目台账里",IF($F936="※材料类别没选","※材料类别没选",IF(AND($C936&lt;&gt;"",ISNA(MATCH($C936,供应商表,0))),"※供应商不在基础资料里",""))))</f>
        <v/>
      </c>
    </row>
    <row r="937">
      <c r="A937" s="17">
        <f>IF($D937="","",ROW()-3)</f>
        <v/>
      </c>
      <c r="B937" s="18" t="n"/>
      <c r="C937" s="13" t="n"/>
      <c r="D937" s="13" t="n"/>
      <c r="E937" s="13" t="n"/>
      <c r="F937" s="17">
        <f>IF($D937="","",IFERROR(VLOOKUP($E937,材料归属,2,0),"※材料类别没选"))</f>
        <v/>
      </c>
      <c r="G937" s="13" t="n"/>
      <c r="H937" s="13" t="n"/>
      <c r="I937" s="13" t="n"/>
      <c r="J937" s="20" t="n"/>
      <c r="K937" s="14" t="n"/>
      <c r="L937" s="19">
        <f>IF($D937="","",ROUND(IF($J937="",1,$J937)*N($K937),2))</f>
        <v/>
      </c>
      <c r="M937" s="13" t="n"/>
      <c r="N937" s="17">
        <f>IF($D937="","",IF(ISNA(MATCH($D937,项目名表,0)),"※项目不在项目台账里",IF($F937="※材料类别没选","※材料类别没选",IF(AND($C937&lt;&gt;"",ISNA(MATCH($C937,供应商表,0))),"※供应商不在基础资料里",""))))</f>
        <v/>
      </c>
    </row>
    <row r="938">
      <c r="A938" s="17">
        <f>IF($D938="","",ROW()-3)</f>
        <v/>
      </c>
      <c r="B938" s="18" t="n"/>
      <c r="C938" s="13" t="n"/>
      <c r="D938" s="13" t="n"/>
      <c r="E938" s="13" t="n"/>
      <c r="F938" s="17">
        <f>IF($D938="","",IFERROR(VLOOKUP($E938,材料归属,2,0),"※材料类别没选"))</f>
        <v/>
      </c>
      <c r="G938" s="13" t="n"/>
      <c r="H938" s="13" t="n"/>
      <c r="I938" s="13" t="n"/>
      <c r="J938" s="20" t="n"/>
      <c r="K938" s="14" t="n"/>
      <c r="L938" s="19">
        <f>IF($D938="","",ROUND(IF($J938="",1,$J938)*N($K938),2))</f>
        <v/>
      </c>
      <c r="M938" s="13" t="n"/>
      <c r="N938" s="17">
        <f>IF($D938="","",IF(ISNA(MATCH($D938,项目名表,0)),"※项目不在项目台账里",IF($F938="※材料类别没选","※材料类别没选",IF(AND($C938&lt;&gt;"",ISNA(MATCH($C938,供应商表,0))),"※供应商不在基础资料里",""))))</f>
        <v/>
      </c>
    </row>
    <row r="939">
      <c r="A939" s="17">
        <f>IF($D939="","",ROW()-3)</f>
        <v/>
      </c>
      <c r="B939" s="18" t="n"/>
      <c r="C939" s="13" t="n"/>
      <c r="D939" s="13" t="n"/>
      <c r="E939" s="13" t="n"/>
      <c r="F939" s="17">
        <f>IF($D939="","",IFERROR(VLOOKUP($E939,材料归属,2,0),"※材料类别没选"))</f>
        <v/>
      </c>
      <c r="G939" s="13" t="n"/>
      <c r="H939" s="13" t="n"/>
      <c r="I939" s="13" t="n"/>
      <c r="J939" s="20" t="n"/>
      <c r="K939" s="14" t="n"/>
      <c r="L939" s="19">
        <f>IF($D939="","",ROUND(IF($J939="",1,$J939)*N($K939),2))</f>
        <v/>
      </c>
      <c r="M939" s="13" t="n"/>
      <c r="N939" s="17">
        <f>IF($D939="","",IF(ISNA(MATCH($D939,项目名表,0)),"※项目不在项目台账里",IF($F939="※材料类别没选","※材料类别没选",IF(AND($C939&lt;&gt;"",ISNA(MATCH($C939,供应商表,0))),"※供应商不在基础资料里",""))))</f>
        <v/>
      </c>
    </row>
    <row r="940">
      <c r="A940" s="17">
        <f>IF($D940="","",ROW()-3)</f>
        <v/>
      </c>
      <c r="B940" s="18" t="n"/>
      <c r="C940" s="13" t="n"/>
      <c r="D940" s="13" t="n"/>
      <c r="E940" s="13" t="n"/>
      <c r="F940" s="17">
        <f>IF($D940="","",IFERROR(VLOOKUP($E940,材料归属,2,0),"※材料类别没选"))</f>
        <v/>
      </c>
      <c r="G940" s="13" t="n"/>
      <c r="H940" s="13" t="n"/>
      <c r="I940" s="13" t="n"/>
      <c r="J940" s="20" t="n"/>
      <c r="K940" s="14" t="n"/>
      <c r="L940" s="19">
        <f>IF($D940="","",ROUND(IF($J940="",1,$J940)*N($K940),2))</f>
        <v/>
      </c>
      <c r="M940" s="13" t="n"/>
      <c r="N940" s="17">
        <f>IF($D940="","",IF(ISNA(MATCH($D940,项目名表,0)),"※项目不在项目台账里",IF($F940="※材料类别没选","※材料类别没选",IF(AND($C940&lt;&gt;"",ISNA(MATCH($C940,供应商表,0))),"※供应商不在基础资料里",""))))</f>
        <v/>
      </c>
    </row>
    <row r="941">
      <c r="A941" s="17">
        <f>IF($D941="","",ROW()-3)</f>
        <v/>
      </c>
      <c r="B941" s="18" t="n"/>
      <c r="C941" s="13" t="n"/>
      <c r="D941" s="13" t="n"/>
      <c r="E941" s="13" t="n"/>
      <c r="F941" s="17">
        <f>IF($D941="","",IFERROR(VLOOKUP($E941,材料归属,2,0),"※材料类别没选"))</f>
        <v/>
      </c>
      <c r="G941" s="13" t="n"/>
      <c r="H941" s="13" t="n"/>
      <c r="I941" s="13" t="n"/>
      <c r="J941" s="20" t="n"/>
      <c r="K941" s="14" t="n"/>
      <c r="L941" s="19">
        <f>IF($D941="","",ROUND(IF($J941="",1,$J941)*N($K941),2))</f>
        <v/>
      </c>
      <c r="M941" s="13" t="n"/>
      <c r="N941" s="17">
        <f>IF($D941="","",IF(ISNA(MATCH($D941,项目名表,0)),"※项目不在项目台账里",IF($F941="※材料类别没选","※材料类别没选",IF(AND($C941&lt;&gt;"",ISNA(MATCH($C941,供应商表,0))),"※供应商不在基础资料里",""))))</f>
        <v/>
      </c>
    </row>
    <row r="942">
      <c r="A942" s="17">
        <f>IF($D942="","",ROW()-3)</f>
        <v/>
      </c>
      <c r="B942" s="18" t="n"/>
      <c r="C942" s="13" t="n"/>
      <c r="D942" s="13" t="n"/>
      <c r="E942" s="13" t="n"/>
      <c r="F942" s="17">
        <f>IF($D942="","",IFERROR(VLOOKUP($E942,材料归属,2,0),"※材料类别没选"))</f>
        <v/>
      </c>
      <c r="G942" s="13" t="n"/>
      <c r="H942" s="13" t="n"/>
      <c r="I942" s="13" t="n"/>
      <c r="J942" s="20" t="n"/>
      <c r="K942" s="14" t="n"/>
      <c r="L942" s="19">
        <f>IF($D942="","",ROUND(IF($J942="",1,$J942)*N($K942),2))</f>
        <v/>
      </c>
      <c r="M942" s="13" t="n"/>
      <c r="N942" s="17">
        <f>IF($D942="","",IF(ISNA(MATCH($D942,项目名表,0)),"※项目不在项目台账里",IF($F942="※材料类别没选","※材料类别没选",IF(AND($C942&lt;&gt;"",ISNA(MATCH($C942,供应商表,0))),"※供应商不在基础资料里",""))))</f>
        <v/>
      </c>
    </row>
    <row r="943">
      <c r="A943" s="17">
        <f>IF($D943="","",ROW()-3)</f>
        <v/>
      </c>
      <c r="B943" s="18" t="n"/>
      <c r="C943" s="13" t="n"/>
      <c r="D943" s="13" t="n"/>
      <c r="E943" s="13" t="n"/>
      <c r="F943" s="17">
        <f>IF($D943="","",IFERROR(VLOOKUP($E943,材料归属,2,0),"※材料类别没选"))</f>
        <v/>
      </c>
      <c r="G943" s="13" t="n"/>
      <c r="H943" s="13" t="n"/>
      <c r="I943" s="13" t="n"/>
      <c r="J943" s="20" t="n"/>
      <c r="K943" s="14" t="n"/>
      <c r="L943" s="19">
        <f>IF($D943="","",ROUND(IF($J943="",1,$J943)*N($K943),2))</f>
        <v/>
      </c>
      <c r="M943" s="13" t="n"/>
      <c r="N943" s="17">
        <f>IF($D943="","",IF(ISNA(MATCH($D943,项目名表,0)),"※项目不在项目台账里",IF($F943="※材料类别没选","※材料类别没选",IF(AND($C943&lt;&gt;"",ISNA(MATCH($C943,供应商表,0))),"※供应商不在基础资料里",""))))</f>
        <v/>
      </c>
    </row>
    <row r="944">
      <c r="A944" s="17">
        <f>IF($D944="","",ROW()-3)</f>
        <v/>
      </c>
      <c r="B944" s="18" t="n"/>
      <c r="C944" s="13" t="n"/>
      <c r="D944" s="13" t="n"/>
      <c r="E944" s="13" t="n"/>
      <c r="F944" s="17">
        <f>IF($D944="","",IFERROR(VLOOKUP($E944,材料归属,2,0),"※材料类别没选"))</f>
        <v/>
      </c>
      <c r="G944" s="13" t="n"/>
      <c r="H944" s="13" t="n"/>
      <c r="I944" s="13" t="n"/>
      <c r="J944" s="20" t="n"/>
      <c r="K944" s="14" t="n"/>
      <c r="L944" s="19">
        <f>IF($D944="","",ROUND(IF($J944="",1,$J944)*N($K944),2))</f>
        <v/>
      </c>
      <c r="M944" s="13" t="n"/>
      <c r="N944" s="17">
        <f>IF($D944="","",IF(ISNA(MATCH($D944,项目名表,0)),"※项目不在项目台账里",IF($F944="※材料类别没选","※材料类别没选",IF(AND($C944&lt;&gt;"",ISNA(MATCH($C944,供应商表,0))),"※供应商不在基础资料里",""))))</f>
        <v/>
      </c>
    </row>
    <row r="945">
      <c r="A945" s="17">
        <f>IF($D945="","",ROW()-3)</f>
        <v/>
      </c>
      <c r="B945" s="18" t="n"/>
      <c r="C945" s="13" t="n"/>
      <c r="D945" s="13" t="n"/>
      <c r="E945" s="13" t="n"/>
      <c r="F945" s="17">
        <f>IF($D945="","",IFERROR(VLOOKUP($E945,材料归属,2,0),"※材料类别没选"))</f>
        <v/>
      </c>
      <c r="G945" s="13" t="n"/>
      <c r="H945" s="13" t="n"/>
      <c r="I945" s="13" t="n"/>
      <c r="J945" s="20" t="n"/>
      <c r="K945" s="14" t="n"/>
      <c r="L945" s="19">
        <f>IF($D945="","",ROUND(IF($J945="",1,$J945)*N($K945),2))</f>
        <v/>
      </c>
      <c r="M945" s="13" t="n"/>
      <c r="N945" s="17">
        <f>IF($D945="","",IF(ISNA(MATCH($D945,项目名表,0)),"※项目不在项目台账里",IF($F945="※材料类别没选","※材料类别没选",IF(AND($C945&lt;&gt;"",ISNA(MATCH($C945,供应商表,0))),"※供应商不在基础资料里",""))))</f>
        <v/>
      </c>
    </row>
    <row r="946">
      <c r="A946" s="17">
        <f>IF($D946="","",ROW()-3)</f>
        <v/>
      </c>
      <c r="B946" s="18" t="n"/>
      <c r="C946" s="13" t="n"/>
      <c r="D946" s="13" t="n"/>
      <c r="E946" s="13" t="n"/>
      <c r="F946" s="17">
        <f>IF($D946="","",IFERROR(VLOOKUP($E946,材料归属,2,0),"※材料类别没选"))</f>
        <v/>
      </c>
      <c r="G946" s="13" t="n"/>
      <c r="H946" s="13" t="n"/>
      <c r="I946" s="13" t="n"/>
      <c r="J946" s="20" t="n"/>
      <c r="K946" s="14" t="n"/>
      <c r="L946" s="19">
        <f>IF($D946="","",ROUND(IF($J946="",1,$J946)*N($K946),2))</f>
        <v/>
      </c>
      <c r="M946" s="13" t="n"/>
      <c r="N946" s="17">
        <f>IF($D946="","",IF(ISNA(MATCH($D946,项目名表,0)),"※项目不在项目台账里",IF($F946="※材料类别没选","※材料类别没选",IF(AND($C946&lt;&gt;"",ISNA(MATCH($C946,供应商表,0))),"※供应商不在基础资料里",""))))</f>
        <v/>
      </c>
    </row>
    <row r="947">
      <c r="A947" s="17">
        <f>IF($D947="","",ROW()-3)</f>
        <v/>
      </c>
      <c r="B947" s="18" t="n"/>
      <c r="C947" s="13" t="n"/>
      <c r="D947" s="13" t="n"/>
      <c r="E947" s="13" t="n"/>
      <c r="F947" s="17">
        <f>IF($D947="","",IFERROR(VLOOKUP($E947,材料归属,2,0),"※材料类别没选"))</f>
        <v/>
      </c>
      <c r="G947" s="13" t="n"/>
      <c r="H947" s="13" t="n"/>
      <c r="I947" s="13" t="n"/>
      <c r="J947" s="20" t="n"/>
      <c r="K947" s="14" t="n"/>
      <c r="L947" s="19">
        <f>IF($D947="","",ROUND(IF($J947="",1,$J947)*N($K947),2))</f>
        <v/>
      </c>
      <c r="M947" s="13" t="n"/>
      <c r="N947" s="17">
        <f>IF($D947="","",IF(ISNA(MATCH($D947,项目名表,0)),"※项目不在项目台账里",IF($F947="※材料类别没选","※材料类别没选",IF(AND($C947&lt;&gt;"",ISNA(MATCH($C947,供应商表,0))),"※供应商不在基础资料里",""))))</f>
        <v/>
      </c>
    </row>
    <row r="948">
      <c r="A948" s="17">
        <f>IF($D948="","",ROW()-3)</f>
        <v/>
      </c>
      <c r="B948" s="18" t="n"/>
      <c r="C948" s="13" t="n"/>
      <c r="D948" s="13" t="n"/>
      <c r="E948" s="13" t="n"/>
      <c r="F948" s="17">
        <f>IF($D948="","",IFERROR(VLOOKUP($E948,材料归属,2,0),"※材料类别没选"))</f>
        <v/>
      </c>
      <c r="G948" s="13" t="n"/>
      <c r="H948" s="13" t="n"/>
      <c r="I948" s="13" t="n"/>
      <c r="J948" s="20" t="n"/>
      <c r="K948" s="14" t="n"/>
      <c r="L948" s="19">
        <f>IF($D948="","",ROUND(IF($J948="",1,$J948)*N($K948),2))</f>
        <v/>
      </c>
      <c r="M948" s="13" t="n"/>
      <c r="N948" s="17">
        <f>IF($D948="","",IF(ISNA(MATCH($D948,项目名表,0)),"※项目不在项目台账里",IF($F948="※材料类别没选","※材料类别没选",IF(AND($C948&lt;&gt;"",ISNA(MATCH($C948,供应商表,0))),"※供应商不在基础资料里",""))))</f>
        <v/>
      </c>
    </row>
    <row r="949">
      <c r="A949" s="17">
        <f>IF($D949="","",ROW()-3)</f>
        <v/>
      </c>
      <c r="B949" s="18" t="n"/>
      <c r="C949" s="13" t="n"/>
      <c r="D949" s="13" t="n"/>
      <c r="E949" s="13" t="n"/>
      <c r="F949" s="17">
        <f>IF($D949="","",IFERROR(VLOOKUP($E949,材料归属,2,0),"※材料类别没选"))</f>
        <v/>
      </c>
      <c r="G949" s="13" t="n"/>
      <c r="H949" s="13" t="n"/>
      <c r="I949" s="13" t="n"/>
      <c r="J949" s="20" t="n"/>
      <c r="K949" s="14" t="n"/>
      <c r="L949" s="19">
        <f>IF($D949="","",ROUND(IF($J949="",1,$J949)*N($K949),2))</f>
        <v/>
      </c>
      <c r="M949" s="13" t="n"/>
      <c r="N949" s="17">
        <f>IF($D949="","",IF(ISNA(MATCH($D949,项目名表,0)),"※项目不在项目台账里",IF($F949="※材料类别没选","※材料类别没选",IF(AND($C949&lt;&gt;"",ISNA(MATCH($C949,供应商表,0))),"※供应商不在基础资料里",""))))</f>
        <v/>
      </c>
    </row>
    <row r="950">
      <c r="A950" s="17">
        <f>IF($D950="","",ROW()-3)</f>
        <v/>
      </c>
      <c r="B950" s="18" t="n"/>
      <c r="C950" s="13" t="n"/>
      <c r="D950" s="13" t="n"/>
      <c r="E950" s="13" t="n"/>
      <c r="F950" s="17">
        <f>IF($D950="","",IFERROR(VLOOKUP($E950,材料归属,2,0),"※材料类别没选"))</f>
        <v/>
      </c>
      <c r="G950" s="13" t="n"/>
      <c r="H950" s="13" t="n"/>
      <c r="I950" s="13" t="n"/>
      <c r="J950" s="20" t="n"/>
      <c r="K950" s="14" t="n"/>
      <c r="L950" s="19">
        <f>IF($D950="","",ROUND(IF($J950="",1,$J950)*N($K950),2))</f>
        <v/>
      </c>
      <c r="M950" s="13" t="n"/>
      <c r="N950" s="17">
        <f>IF($D950="","",IF(ISNA(MATCH($D950,项目名表,0)),"※项目不在项目台账里",IF($F950="※材料类别没选","※材料类别没选",IF(AND($C950&lt;&gt;"",ISNA(MATCH($C950,供应商表,0))),"※供应商不在基础资料里",""))))</f>
        <v/>
      </c>
    </row>
    <row r="951">
      <c r="A951" s="17">
        <f>IF($D951="","",ROW()-3)</f>
        <v/>
      </c>
      <c r="B951" s="18" t="n"/>
      <c r="C951" s="13" t="n"/>
      <c r="D951" s="13" t="n"/>
      <c r="E951" s="13" t="n"/>
      <c r="F951" s="17">
        <f>IF($D951="","",IFERROR(VLOOKUP($E951,材料归属,2,0),"※材料类别没选"))</f>
        <v/>
      </c>
      <c r="G951" s="13" t="n"/>
      <c r="H951" s="13" t="n"/>
      <c r="I951" s="13" t="n"/>
      <c r="J951" s="20" t="n"/>
      <c r="K951" s="14" t="n"/>
      <c r="L951" s="19">
        <f>IF($D951="","",ROUND(IF($J951="",1,$J951)*N($K951),2))</f>
        <v/>
      </c>
      <c r="M951" s="13" t="n"/>
      <c r="N951" s="17">
        <f>IF($D951="","",IF(ISNA(MATCH($D951,项目名表,0)),"※项目不在项目台账里",IF($F951="※材料类别没选","※材料类别没选",IF(AND($C951&lt;&gt;"",ISNA(MATCH($C951,供应商表,0))),"※供应商不在基础资料里",""))))</f>
        <v/>
      </c>
    </row>
    <row r="952">
      <c r="A952" s="17">
        <f>IF($D952="","",ROW()-3)</f>
        <v/>
      </c>
      <c r="B952" s="18" t="n"/>
      <c r="C952" s="13" t="n"/>
      <c r="D952" s="13" t="n"/>
      <c r="E952" s="13" t="n"/>
      <c r="F952" s="17">
        <f>IF($D952="","",IFERROR(VLOOKUP($E952,材料归属,2,0),"※材料类别没选"))</f>
        <v/>
      </c>
      <c r="G952" s="13" t="n"/>
      <c r="H952" s="13" t="n"/>
      <c r="I952" s="13" t="n"/>
      <c r="J952" s="20" t="n"/>
      <c r="K952" s="14" t="n"/>
      <c r="L952" s="19">
        <f>IF($D952="","",ROUND(IF($J952="",1,$J952)*N($K952),2))</f>
        <v/>
      </c>
      <c r="M952" s="13" t="n"/>
      <c r="N952" s="17">
        <f>IF($D952="","",IF(ISNA(MATCH($D952,项目名表,0)),"※项目不在项目台账里",IF($F952="※材料类别没选","※材料类别没选",IF(AND($C952&lt;&gt;"",ISNA(MATCH($C952,供应商表,0))),"※供应商不在基础资料里",""))))</f>
        <v/>
      </c>
    </row>
    <row r="953">
      <c r="A953" s="17">
        <f>IF($D953="","",ROW()-3)</f>
        <v/>
      </c>
      <c r="B953" s="18" t="n"/>
      <c r="C953" s="13" t="n"/>
      <c r="D953" s="13" t="n"/>
      <c r="E953" s="13" t="n"/>
      <c r="F953" s="17">
        <f>IF($D953="","",IFERROR(VLOOKUP($E953,材料归属,2,0),"※材料类别没选"))</f>
        <v/>
      </c>
      <c r="G953" s="13" t="n"/>
      <c r="H953" s="13" t="n"/>
      <c r="I953" s="13" t="n"/>
      <c r="J953" s="20" t="n"/>
      <c r="K953" s="14" t="n"/>
      <c r="L953" s="19">
        <f>IF($D953="","",ROUND(IF($J953="",1,$J953)*N($K953),2))</f>
        <v/>
      </c>
      <c r="M953" s="13" t="n"/>
      <c r="N953" s="17">
        <f>IF($D953="","",IF(ISNA(MATCH($D953,项目名表,0)),"※项目不在项目台账里",IF($F953="※材料类别没选","※材料类别没选",IF(AND($C953&lt;&gt;"",ISNA(MATCH($C953,供应商表,0))),"※供应商不在基础资料里",""))))</f>
        <v/>
      </c>
    </row>
    <row r="954">
      <c r="A954" s="17">
        <f>IF($D954="","",ROW()-3)</f>
        <v/>
      </c>
      <c r="B954" s="18" t="n"/>
      <c r="C954" s="13" t="n"/>
      <c r="D954" s="13" t="n"/>
      <c r="E954" s="13" t="n"/>
      <c r="F954" s="17">
        <f>IF($D954="","",IFERROR(VLOOKUP($E954,材料归属,2,0),"※材料类别没选"))</f>
        <v/>
      </c>
      <c r="G954" s="13" t="n"/>
      <c r="H954" s="13" t="n"/>
      <c r="I954" s="13" t="n"/>
      <c r="J954" s="20" t="n"/>
      <c r="K954" s="14" t="n"/>
      <c r="L954" s="19">
        <f>IF($D954="","",ROUND(IF($J954="",1,$J954)*N($K954),2))</f>
        <v/>
      </c>
      <c r="M954" s="13" t="n"/>
      <c r="N954" s="17">
        <f>IF($D954="","",IF(ISNA(MATCH($D954,项目名表,0)),"※项目不在项目台账里",IF($F954="※材料类别没选","※材料类别没选",IF(AND($C954&lt;&gt;"",ISNA(MATCH($C954,供应商表,0))),"※供应商不在基础资料里",""))))</f>
        <v/>
      </c>
    </row>
    <row r="955">
      <c r="A955" s="17">
        <f>IF($D955="","",ROW()-3)</f>
        <v/>
      </c>
      <c r="B955" s="18" t="n"/>
      <c r="C955" s="13" t="n"/>
      <c r="D955" s="13" t="n"/>
      <c r="E955" s="13" t="n"/>
      <c r="F955" s="17">
        <f>IF($D955="","",IFERROR(VLOOKUP($E955,材料归属,2,0),"※材料类别没选"))</f>
        <v/>
      </c>
      <c r="G955" s="13" t="n"/>
      <c r="H955" s="13" t="n"/>
      <c r="I955" s="13" t="n"/>
      <c r="J955" s="20" t="n"/>
      <c r="K955" s="14" t="n"/>
      <c r="L955" s="19">
        <f>IF($D955="","",ROUND(IF($J955="",1,$J955)*N($K955),2))</f>
        <v/>
      </c>
      <c r="M955" s="13" t="n"/>
      <c r="N955" s="17">
        <f>IF($D955="","",IF(ISNA(MATCH($D955,项目名表,0)),"※项目不在项目台账里",IF($F955="※材料类别没选","※材料类别没选",IF(AND($C955&lt;&gt;"",ISNA(MATCH($C955,供应商表,0))),"※供应商不在基础资料里",""))))</f>
        <v/>
      </c>
    </row>
    <row r="956">
      <c r="A956" s="17">
        <f>IF($D956="","",ROW()-3)</f>
        <v/>
      </c>
      <c r="B956" s="18" t="n"/>
      <c r="C956" s="13" t="n"/>
      <c r="D956" s="13" t="n"/>
      <c r="E956" s="13" t="n"/>
      <c r="F956" s="17">
        <f>IF($D956="","",IFERROR(VLOOKUP($E956,材料归属,2,0),"※材料类别没选"))</f>
        <v/>
      </c>
      <c r="G956" s="13" t="n"/>
      <c r="H956" s="13" t="n"/>
      <c r="I956" s="13" t="n"/>
      <c r="J956" s="20" t="n"/>
      <c r="K956" s="14" t="n"/>
      <c r="L956" s="19">
        <f>IF($D956="","",ROUND(IF($J956="",1,$J956)*N($K956),2))</f>
        <v/>
      </c>
      <c r="M956" s="13" t="n"/>
      <c r="N956" s="17">
        <f>IF($D956="","",IF(ISNA(MATCH($D956,项目名表,0)),"※项目不在项目台账里",IF($F956="※材料类别没选","※材料类别没选",IF(AND($C956&lt;&gt;"",ISNA(MATCH($C956,供应商表,0))),"※供应商不在基础资料里",""))))</f>
        <v/>
      </c>
    </row>
    <row r="957">
      <c r="A957" s="17">
        <f>IF($D957="","",ROW()-3)</f>
        <v/>
      </c>
      <c r="B957" s="18" t="n"/>
      <c r="C957" s="13" t="n"/>
      <c r="D957" s="13" t="n"/>
      <c r="E957" s="13" t="n"/>
      <c r="F957" s="17">
        <f>IF($D957="","",IFERROR(VLOOKUP($E957,材料归属,2,0),"※材料类别没选"))</f>
        <v/>
      </c>
      <c r="G957" s="13" t="n"/>
      <c r="H957" s="13" t="n"/>
      <c r="I957" s="13" t="n"/>
      <c r="J957" s="20" t="n"/>
      <c r="K957" s="14" t="n"/>
      <c r="L957" s="19">
        <f>IF($D957="","",ROUND(IF($J957="",1,$J957)*N($K957),2))</f>
        <v/>
      </c>
      <c r="M957" s="13" t="n"/>
      <c r="N957" s="17">
        <f>IF($D957="","",IF(ISNA(MATCH($D957,项目名表,0)),"※项目不在项目台账里",IF($F957="※材料类别没选","※材料类别没选",IF(AND($C957&lt;&gt;"",ISNA(MATCH($C957,供应商表,0))),"※供应商不在基础资料里",""))))</f>
        <v/>
      </c>
    </row>
    <row r="958">
      <c r="A958" s="17">
        <f>IF($D958="","",ROW()-3)</f>
        <v/>
      </c>
      <c r="B958" s="18" t="n"/>
      <c r="C958" s="13" t="n"/>
      <c r="D958" s="13" t="n"/>
      <c r="E958" s="13" t="n"/>
      <c r="F958" s="17">
        <f>IF($D958="","",IFERROR(VLOOKUP($E958,材料归属,2,0),"※材料类别没选"))</f>
        <v/>
      </c>
      <c r="G958" s="13" t="n"/>
      <c r="H958" s="13" t="n"/>
      <c r="I958" s="13" t="n"/>
      <c r="J958" s="20" t="n"/>
      <c r="K958" s="14" t="n"/>
      <c r="L958" s="19">
        <f>IF($D958="","",ROUND(IF($J958="",1,$J958)*N($K958),2))</f>
        <v/>
      </c>
      <c r="M958" s="13" t="n"/>
      <c r="N958" s="17">
        <f>IF($D958="","",IF(ISNA(MATCH($D958,项目名表,0)),"※项目不在项目台账里",IF($F958="※材料类别没选","※材料类别没选",IF(AND($C958&lt;&gt;"",ISNA(MATCH($C958,供应商表,0))),"※供应商不在基础资料里",""))))</f>
        <v/>
      </c>
    </row>
    <row r="959">
      <c r="A959" s="17">
        <f>IF($D959="","",ROW()-3)</f>
        <v/>
      </c>
      <c r="B959" s="18" t="n"/>
      <c r="C959" s="13" t="n"/>
      <c r="D959" s="13" t="n"/>
      <c r="E959" s="13" t="n"/>
      <c r="F959" s="17">
        <f>IF($D959="","",IFERROR(VLOOKUP($E959,材料归属,2,0),"※材料类别没选"))</f>
        <v/>
      </c>
      <c r="G959" s="13" t="n"/>
      <c r="H959" s="13" t="n"/>
      <c r="I959" s="13" t="n"/>
      <c r="J959" s="20" t="n"/>
      <c r="K959" s="14" t="n"/>
      <c r="L959" s="19">
        <f>IF($D959="","",ROUND(IF($J959="",1,$J959)*N($K959),2))</f>
        <v/>
      </c>
      <c r="M959" s="13" t="n"/>
      <c r="N959" s="17">
        <f>IF($D959="","",IF(ISNA(MATCH($D959,项目名表,0)),"※项目不在项目台账里",IF($F959="※材料类别没选","※材料类别没选",IF(AND($C959&lt;&gt;"",ISNA(MATCH($C959,供应商表,0))),"※供应商不在基础资料里",""))))</f>
        <v/>
      </c>
    </row>
    <row r="960">
      <c r="A960" s="17">
        <f>IF($D960="","",ROW()-3)</f>
        <v/>
      </c>
      <c r="B960" s="18" t="n"/>
      <c r="C960" s="13" t="n"/>
      <c r="D960" s="13" t="n"/>
      <c r="E960" s="13" t="n"/>
      <c r="F960" s="17">
        <f>IF($D960="","",IFERROR(VLOOKUP($E960,材料归属,2,0),"※材料类别没选"))</f>
        <v/>
      </c>
      <c r="G960" s="13" t="n"/>
      <c r="H960" s="13" t="n"/>
      <c r="I960" s="13" t="n"/>
      <c r="J960" s="20" t="n"/>
      <c r="K960" s="14" t="n"/>
      <c r="L960" s="19">
        <f>IF($D960="","",ROUND(IF($J960="",1,$J960)*N($K960),2))</f>
        <v/>
      </c>
      <c r="M960" s="13" t="n"/>
      <c r="N960" s="17">
        <f>IF($D960="","",IF(ISNA(MATCH($D960,项目名表,0)),"※项目不在项目台账里",IF($F960="※材料类别没选","※材料类别没选",IF(AND($C960&lt;&gt;"",ISNA(MATCH($C960,供应商表,0))),"※供应商不在基础资料里",""))))</f>
        <v/>
      </c>
    </row>
    <row r="961">
      <c r="A961" s="17">
        <f>IF($D961="","",ROW()-3)</f>
        <v/>
      </c>
      <c r="B961" s="18" t="n"/>
      <c r="C961" s="13" t="n"/>
      <c r="D961" s="13" t="n"/>
      <c r="E961" s="13" t="n"/>
      <c r="F961" s="17">
        <f>IF($D961="","",IFERROR(VLOOKUP($E961,材料归属,2,0),"※材料类别没选"))</f>
        <v/>
      </c>
      <c r="G961" s="13" t="n"/>
      <c r="H961" s="13" t="n"/>
      <c r="I961" s="13" t="n"/>
      <c r="J961" s="20" t="n"/>
      <c r="K961" s="14" t="n"/>
      <c r="L961" s="19">
        <f>IF($D961="","",ROUND(IF($J961="",1,$J961)*N($K961),2))</f>
        <v/>
      </c>
      <c r="M961" s="13" t="n"/>
      <c r="N961" s="17">
        <f>IF($D961="","",IF(ISNA(MATCH($D961,项目名表,0)),"※项目不在项目台账里",IF($F961="※材料类别没选","※材料类别没选",IF(AND($C961&lt;&gt;"",ISNA(MATCH($C961,供应商表,0))),"※供应商不在基础资料里",""))))</f>
        <v/>
      </c>
    </row>
    <row r="962">
      <c r="A962" s="17">
        <f>IF($D962="","",ROW()-3)</f>
        <v/>
      </c>
      <c r="B962" s="18" t="n"/>
      <c r="C962" s="13" t="n"/>
      <c r="D962" s="13" t="n"/>
      <c r="E962" s="13" t="n"/>
      <c r="F962" s="17">
        <f>IF($D962="","",IFERROR(VLOOKUP($E962,材料归属,2,0),"※材料类别没选"))</f>
        <v/>
      </c>
      <c r="G962" s="13" t="n"/>
      <c r="H962" s="13" t="n"/>
      <c r="I962" s="13" t="n"/>
      <c r="J962" s="20" t="n"/>
      <c r="K962" s="14" t="n"/>
      <c r="L962" s="19">
        <f>IF($D962="","",ROUND(IF($J962="",1,$J962)*N($K962),2))</f>
        <v/>
      </c>
      <c r="M962" s="13" t="n"/>
      <c r="N962" s="17">
        <f>IF($D962="","",IF(ISNA(MATCH($D962,项目名表,0)),"※项目不在项目台账里",IF($F962="※材料类别没选","※材料类别没选",IF(AND($C962&lt;&gt;"",ISNA(MATCH($C962,供应商表,0))),"※供应商不在基础资料里",""))))</f>
        <v/>
      </c>
    </row>
    <row r="963">
      <c r="A963" s="17">
        <f>IF($D963="","",ROW()-3)</f>
        <v/>
      </c>
      <c r="B963" s="18" t="n"/>
      <c r="C963" s="13" t="n"/>
      <c r="D963" s="13" t="n"/>
      <c r="E963" s="13" t="n"/>
      <c r="F963" s="17">
        <f>IF($D963="","",IFERROR(VLOOKUP($E963,材料归属,2,0),"※材料类别没选"))</f>
        <v/>
      </c>
      <c r="G963" s="13" t="n"/>
      <c r="H963" s="13" t="n"/>
      <c r="I963" s="13" t="n"/>
      <c r="J963" s="20" t="n"/>
      <c r="K963" s="14" t="n"/>
      <c r="L963" s="19">
        <f>IF($D963="","",ROUND(IF($J963="",1,$J963)*N($K963),2))</f>
        <v/>
      </c>
      <c r="M963" s="13" t="n"/>
      <c r="N963" s="17">
        <f>IF($D963="","",IF(ISNA(MATCH($D963,项目名表,0)),"※项目不在项目台账里",IF($F963="※材料类别没选","※材料类别没选",IF(AND($C963&lt;&gt;"",ISNA(MATCH($C963,供应商表,0))),"※供应商不在基础资料里",""))))</f>
        <v/>
      </c>
    </row>
    <row r="964">
      <c r="A964" s="17">
        <f>IF($D964="","",ROW()-3)</f>
        <v/>
      </c>
      <c r="B964" s="18" t="n"/>
      <c r="C964" s="13" t="n"/>
      <c r="D964" s="13" t="n"/>
      <c r="E964" s="13" t="n"/>
      <c r="F964" s="17">
        <f>IF($D964="","",IFERROR(VLOOKUP($E964,材料归属,2,0),"※材料类别没选"))</f>
        <v/>
      </c>
      <c r="G964" s="13" t="n"/>
      <c r="H964" s="13" t="n"/>
      <c r="I964" s="13" t="n"/>
      <c r="J964" s="20" t="n"/>
      <c r="K964" s="14" t="n"/>
      <c r="L964" s="19">
        <f>IF($D964="","",ROUND(IF($J964="",1,$J964)*N($K964),2))</f>
        <v/>
      </c>
      <c r="M964" s="13" t="n"/>
      <c r="N964" s="17">
        <f>IF($D964="","",IF(ISNA(MATCH($D964,项目名表,0)),"※项目不在项目台账里",IF($F964="※材料类别没选","※材料类别没选",IF(AND($C964&lt;&gt;"",ISNA(MATCH($C964,供应商表,0))),"※供应商不在基础资料里",""))))</f>
        <v/>
      </c>
    </row>
    <row r="965">
      <c r="A965" s="17">
        <f>IF($D965="","",ROW()-3)</f>
        <v/>
      </c>
      <c r="B965" s="18" t="n"/>
      <c r="C965" s="13" t="n"/>
      <c r="D965" s="13" t="n"/>
      <c r="E965" s="13" t="n"/>
      <c r="F965" s="17">
        <f>IF($D965="","",IFERROR(VLOOKUP($E965,材料归属,2,0),"※材料类别没选"))</f>
        <v/>
      </c>
      <c r="G965" s="13" t="n"/>
      <c r="H965" s="13" t="n"/>
      <c r="I965" s="13" t="n"/>
      <c r="J965" s="20" t="n"/>
      <c r="K965" s="14" t="n"/>
      <c r="L965" s="19">
        <f>IF($D965="","",ROUND(IF($J965="",1,$J965)*N($K965),2))</f>
        <v/>
      </c>
      <c r="M965" s="13" t="n"/>
      <c r="N965" s="17">
        <f>IF($D965="","",IF(ISNA(MATCH($D965,项目名表,0)),"※项目不在项目台账里",IF($F965="※材料类别没选","※材料类别没选",IF(AND($C965&lt;&gt;"",ISNA(MATCH($C965,供应商表,0))),"※供应商不在基础资料里",""))))</f>
        <v/>
      </c>
    </row>
    <row r="966">
      <c r="A966" s="17">
        <f>IF($D966="","",ROW()-3)</f>
        <v/>
      </c>
      <c r="B966" s="18" t="n"/>
      <c r="C966" s="13" t="n"/>
      <c r="D966" s="13" t="n"/>
      <c r="E966" s="13" t="n"/>
      <c r="F966" s="17">
        <f>IF($D966="","",IFERROR(VLOOKUP($E966,材料归属,2,0),"※材料类别没选"))</f>
        <v/>
      </c>
      <c r="G966" s="13" t="n"/>
      <c r="H966" s="13" t="n"/>
      <c r="I966" s="13" t="n"/>
      <c r="J966" s="20" t="n"/>
      <c r="K966" s="14" t="n"/>
      <c r="L966" s="19">
        <f>IF($D966="","",ROUND(IF($J966="",1,$J966)*N($K966),2))</f>
        <v/>
      </c>
      <c r="M966" s="13" t="n"/>
      <c r="N966" s="17">
        <f>IF($D966="","",IF(ISNA(MATCH($D966,项目名表,0)),"※项目不在项目台账里",IF($F966="※材料类别没选","※材料类别没选",IF(AND($C966&lt;&gt;"",ISNA(MATCH($C966,供应商表,0))),"※供应商不在基础资料里",""))))</f>
        <v/>
      </c>
    </row>
    <row r="967">
      <c r="A967" s="17">
        <f>IF($D967="","",ROW()-3)</f>
        <v/>
      </c>
      <c r="B967" s="18" t="n"/>
      <c r="C967" s="13" t="n"/>
      <c r="D967" s="13" t="n"/>
      <c r="E967" s="13" t="n"/>
      <c r="F967" s="17">
        <f>IF($D967="","",IFERROR(VLOOKUP($E967,材料归属,2,0),"※材料类别没选"))</f>
        <v/>
      </c>
      <c r="G967" s="13" t="n"/>
      <c r="H967" s="13" t="n"/>
      <c r="I967" s="13" t="n"/>
      <c r="J967" s="20" t="n"/>
      <c r="K967" s="14" t="n"/>
      <c r="L967" s="19">
        <f>IF($D967="","",ROUND(IF($J967="",1,$J967)*N($K967),2))</f>
        <v/>
      </c>
      <c r="M967" s="13" t="n"/>
      <c r="N967" s="17">
        <f>IF($D967="","",IF(ISNA(MATCH($D967,项目名表,0)),"※项目不在项目台账里",IF($F967="※材料类别没选","※材料类别没选",IF(AND($C967&lt;&gt;"",ISNA(MATCH($C967,供应商表,0))),"※供应商不在基础资料里",""))))</f>
        <v/>
      </c>
    </row>
    <row r="968">
      <c r="A968" s="17">
        <f>IF($D968="","",ROW()-3)</f>
        <v/>
      </c>
      <c r="B968" s="18" t="n"/>
      <c r="C968" s="13" t="n"/>
      <c r="D968" s="13" t="n"/>
      <c r="E968" s="13" t="n"/>
      <c r="F968" s="17">
        <f>IF($D968="","",IFERROR(VLOOKUP($E968,材料归属,2,0),"※材料类别没选"))</f>
        <v/>
      </c>
      <c r="G968" s="13" t="n"/>
      <c r="H968" s="13" t="n"/>
      <c r="I968" s="13" t="n"/>
      <c r="J968" s="20" t="n"/>
      <c r="K968" s="14" t="n"/>
      <c r="L968" s="19">
        <f>IF($D968="","",ROUND(IF($J968="",1,$J968)*N($K968),2))</f>
        <v/>
      </c>
      <c r="M968" s="13" t="n"/>
      <c r="N968" s="17">
        <f>IF($D968="","",IF(ISNA(MATCH($D968,项目名表,0)),"※项目不在项目台账里",IF($F968="※材料类别没选","※材料类别没选",IF(AND($C968&lt;&gt;"",ISNA(MATCH($C968,供应商表,0))),"※供应商不在基础资料里",""))))</f>
        <v/>
      </c>
    </row>
    <row r="969">
      <c r="A969" s="17">
        <f>IF($D969="","",ROW()-3)</f>
        <v/>
      </c>
      <c r="B969" s="18" t="n"/>
      <c r="C969" s="13" t="n"/>
      <c r="D969" s="13" t="n"/>
      <c r="E969" s="13" t="n"/>
      <c r="F969" s="17">
        <f>IF($D969="","",IFERROR(VLOOKUP($E969,材料归属,2,0),"※材料类别没选"))</f>
        <v/>
      </c>
      <c r="G969" s="13" t="n"/>
      <c r="H969" s="13" t="n"/>
      <c r="I969" s="13" t="n"/>
      <c r="J969" s="20" t="n"/>
      <c r="K969" s="14" t="n"/>
      <c r="L969" s="19">
        <f>IF($D969="","",ROUND(IF($J969="",1,$J969)*N($K969),2))</f>
        <v/>
      </c>
      <c r="M969" s="13" t="n"/>
      <c r="N969" s="17">
        <f>IF($D969="","",IF(ISNA(MATCH($D969,项目名表,0)),"※项目不在项目台账里",IF($F969="※材料类别没选","※材料类别没选",IF(AND($C969&lt;&gt;"",ISNA(MATCH($C969,供应商表,0))),"※供应商不在基础资料里",""))))</f>
        <v/>
      </c>
    </row>
    <row r="970">
      <c r="A970" s="17">
        <f>IF($D970="","",ROW()-3)</f>
        <v/>
      </c>
      <c r="B970" s="18" t="n"/>
      <c r="C970" s="13" t="n"/>
      <c r="D970" s="13" t="n"/>
      <c r="E970" s="13" t="n"/>
      <c r="F970" s="17">
        <f>IF($D970="","",IFERROR(VLOOKUP($E970,材料归属,2,0),"※材料类别没选"))</f>
        <v/>
      </c>
      <c r="G970" s="13" t="n"/>
      <c r="H970" s="13" t="n"/>
      <c r="I970" s="13" t="n"/>
      <c r="J970" s="20" t="n"/>
      <c r="K970" s="14" t="n"/>
      <c r="L970" s="19">
        <f>IF($D970="","",ROUND(IF($J970="",1,$J970)*N($K970),2))</f>
        <v/>
      </c>
      <c r="M970" s="13" t="n"/>
      <c r="N970" s="17">
        <f>IF($D970="","",IF(ISNA(MATCH($D970,项目名表,0)),"※项目不在项目台账里",IF($F970="※材料类别没选","※材料类别没选",IF(AND($C970&lt;&gt;"",ISNA(MATCH($C970,供应商表,0))),"※供应商不在基础资料里",""))))</f>
        <v/>
      </c>
    </row>
    <row r="971">
      <c r="A971" s="17">
        <f>IF($D971="","",ROW()-3)</f>
        <v/>
      </c>
      <c r="B971" s="18" t="n"/>
      <c r="C971" s="13" t="n"/>
      <c r="D971" s="13" t="n"/>
      <c r="E971" s="13" t="n"/>
      <c r="F971" s="17">
        <f>IF($D971="","",IFERROR(VLOOKUP($E971,材料归属,2,0),"※材料类别没选"))</f>
        <v/>
      </c>
      <c r="G971" s="13" t="n"/>
      <c r="H971" s="13" t="n"/>
      <c r="I971" s="13" t="n"/>
      <c r="J971" s="20" t="n"/>
      <c r="K971" s="14" t="n"/>
      <c r="L971" s="19">
        <f>IF($D971="","",ROUND(IF($J971="",1,$J971)*N($K971),2))</f>
        <v/>
      </c>
      <c r="M971" s="13" t="n"/>
      <c r="N971" s="17">
        <f>IF($D971="","",IF(ISNA(MATCH($D971,项目名表,0)),"※项目不在项目台账里",IF($F971="※材料类别没选","※材料类别没选",IF(AND($C971&lt;&gt;"",ISNA(MATCH($C971,供应商表,0))),"※供应商不在基础资料里",""))))</f>
        <v/>
      </c>
    </row>
    <row r="972">
      <c r="A972" s="17">
        <f>IF($D972="","",ROW()-3)</f>
        <v/>
      </c>
      <c r="B972" s="18" t="n"/>
      <c r="C972" s="13" t="n"/>
      <c r="D972" s="13" t="n"/>
      <c r="E972" s="13" t="n"/>
      <c r="F972" s="17">
        <f>IF($D972="","",IFERROR(VLOOKUP($E972,材料归属,2,0),"※材料类别没选"))</f>
        <v/>
      </c>
      <c r="G972" s="13" t="n"/>
      <c r="H972" s="13" t="n"/>
      <c r="I972" s="13" t="n"/>
      <c r="J972" s="20" t="n"/>
      <c r="K972" s="14" t="n"/>
      <c r="L972" s="19">
        <f>IF($D972="","",ROUND(IF($J972="",1,$J972)*N($K972),2))</f>
        <v/>
      </c>
      <c r="M972" s="13" t="n"/>
      <c r="N972" s="17">
        <f>IF($D972="","",IF(ISNA(MATCH($D972,项目名表,0)),"※项目不在项目台账里",IF($F972="※材料类别没选","※材料类别没选",IF(AND($C972&lt;&gt;"",ISNA(MATCH($C972,供应商表,0))),"※供应商不在基础资料里",""))))</f>
        <v/>
      </c>
    </row>
    <row r="973">
      <c r="A973" s="17">
        <f>IF($D973="","",ROW()-3)</f>
        <v/>
      </c>
      <c r="B973" s="18" t="n"/>
      <c r="C973" s="13" t="n"/>
      <c r="D973" s="13" t="n"/>
      <c r="E973" s="13" t="n"/>
      <c r="F973" s="17">
        <f>IF($D973="","",IFERROR(VLOOKUP($E973,材料归属,2,0),"※材料类别没选"))</f>
        <v/>
      </c>
      <c r="G973" s="13" t="n"/>
      <c r="H973" s="13" t="n"/>
      <c r="I973" s="13" t="n"/>
      <c r="J973" s="20" t="n"/>
      <c r="K973" s="14" t="n"/>
      <c r="L973" s="19">
        <f>IF($D973="","",ROUND(IF($J973="",1,$J973)*N($K973),2))</f>
        <v/>
      </c>
      <c r="M973" s="13" t="n"/>
      <c r="N973" s="17">
        <f>IF($D973="","",IF(ISNA(MATCH($D973,项目名表,0)),"※项目不在项目台账里",IF($F973="※材料类别没选","※材料类别没选",IF(AND($C973&lt;&gt;"",ISNA(MATCH($C973,供应商表,0))),"※供应商不在基础资料里",""))))</f>
        <v/>
      </c>
    </row>
    <row r="974">
      <c r="A974" s="17">
        <f>IF($D974="","",ROW()-3)</f>
        <v/>
      </c>
      <c r="B974" s="18" t="n"/>
      <c r="C974" s="13" t="n"/>
      <c r="D974" s="13" t="n"/>
      <c r="E974" s="13" t="n"/>
      <c r="F974" s="17">
        <f>IF($D974="","",IFERROR(VLOOKUP($E974,材料归属,2,0),"※材料类别没选"))</f>
        <v/>
      </c>
      <c r="G974" s="13" t="n"/>
      <c r="H974" s="13" t="n"/>
      <c r="I974" s="13" t="n"/>
      <c r="J974" s="20" t="n"/>
      <c r="K974" s="14" t="n"/>
      <c r="L974" s="19">
        <f>IF($D974="","",ROUND(IF($J974="",1,$J974)*N($K974),2))</f>
        <v/>
      </c>
      <c r="M974" s="13" t="n"/>
      <c r="N974" s="17">
        <f>IF($D974="","",IF(ISNA(MATCH($D974,项目名表,0)),"※项目不在项目台账里",IF($F974="※材料类别没选","※材料类别没选",IF(AND($C974&lt;&gt;"",ISNA(MATCH($C974,供应商表,0))),"※供应商不在基础资料里",""))))</f>
        <v/>
      </c>
    </row>
    <row r="975">
      <c r="A975" s="17">
        <f>IF($D975="","",ROW()-3)</f>
        <v/>
      </c>
      <c r="B975" s="18" t="n"/>
      <c r="C975" s="13" t="n"/>
      <c r="D975" s="13" t="n"/>
      <c r="E975" s="13" t="n"/>
      <c r="F975" s="17">
        <f>IF($D975="","",IFERROR(VLOOKUP($E975,材料归属,2,0),"※材料类别没选"))</f>
        <v/>
      </c>
      <c r="G975" s="13" t="n"/>
      <c r="H975" s="13" t="n"/>
      <c r="I975" s="13" t="n"/>
      <c r="J975" s="20" t="n"/>
      <c r="K975" s="14" t="n"/>
      <c r="L975" s="19">
        <f>IF($D975="","",ROUND(IF($J975="",1,$J975)*N($K975),2))</f>
        <v/>
      </c>
      <c r="M975" s="13" t="n"/>
      <c r="N975" s="17">
        <f>IF($D975="","",IF(ISNA(MATCH($D975,项目名表,0)),"※项目不在项目台账里",IF($F975="※材料类别没选","※材料类别没选",IF(AND($C975&lt;&gt;"",ISNA(MATCH($C975,供应商表,0))),"※供应商不在基础资料里",""))))</f>
        <v/>
      </c>
    </row>
    <row r="976">
      <c r="A976" s="17">
        <f>IF($D976="","",ROW()-3)</f>
        <v/>
      </c>
      <c r="B976" s="18" t="n"/>
      <c r="C976" s="13" t="n"/>
      <c r="D976" s="13" t="n"/>
      <c r="E976" s="13" t="n"/>
      <c r="F976" s="17">
        <f>IF($D976="","",IFERROR(VLOOKUP($E976,材料归属,2,0),"※材料类别没选"))</f>
        <v/>
      </c>
      <c r="G976" s="13" t="n"/>
      <c r="H976" s="13" t="n"/>
      <c r="I976" s="13" t="n"/>
      <c r="J976" s="20" t="n"/>
      <c r="K976" s="14" t="n"/>
      <c r="L976" s="19">
        <f>IF($D976="","",ROUND(IF($J976="",1,$J976)*N($K976),2))</f>
        <v/>
      </c>
      <c r="M976" s="13" t="n"/>
      <c r="N976" s="17">
        <f>IF($D976="","",IF(ISNA(MATCH($D976,项目名表,0)),"※项目不在项目台账里",IF($F976="※材料类别没选","※材料类别没选",IF(AND($C976&lt;&gt;"",ISNA(MATCH($C976,供应商表,0))),"※供应商不在基础资料里",""))))</f>
        <v/>
      </c>
    </row>
    <row r="977">
      <c r="A977" s="17">
        <f>IF($D977="","",ROW()-3)</f>
        <v/>
      </c>
      <c r="B977" s="18" t="n"/>
      <c r="C977" s="13" t="n"/>
      <c r="D977" s="13" t="n"/>
      <c r="E977" s="13" t="n"/>
      <c r="F977" s="17">
        <f>IF($D977="","",IFERROR(VLOOKUP($E977,材料归属,2,0),"※材料类别没选"))</f>
        <v/>
      </c>
      <c r="G977" s="13" t="n"/>
      <c r="H977" s="13" t="n"/>
      <c r="I977" s="13" t="n"/>
      <c r="J977" s="20" t="n"/>
      <c r="K977" s="14" t="n"/>
      <c r="L977" s="19">
        <f>IF($D977="","",ROUND(IF($J977="",1,$J977)*N($K977),2))</f>
        <v/>
      </c>
      <c r="M977" s="13" t="n"/>
      <c r="N977" s="17">
        <f>IF($D977="","",IF(ISNA(MATCH($D977,项目名表,0)),"※项目不在项目台账里",IF($F977="※材料类别没选","※材料类别没选",IF(AND($C977&lt;&gt;"",ISNA(MATCH($C977,供应商表,0))),"※供应商不在基础资料里",""))))</f>
        <v/>
      </c>
    </row>
    <row r="978">
      <c r="A978" s="17">
        <f>IF($D978="","",ROW()-3)</f>
        <v/>
      </c>
      <c r="B978" s="18" t="n"/>
      <c r="C978" s="13" t="n"/>
      <c r="D978" s="13" t="n"/>
      <c r="E978" s="13" t="n"/>
      <c r="F978" s="17">
        <f>IF($D978="","",IFERROR(VLOOKUP($E978,材料归属,2,0),"※材料类别没选"))</f>
        <v/>
      </c>
      <c r="G978" s="13" t="n"/>
      <c r="H978" s="13" t="n"/>
      <c r="I978" s="13" t="n"/>
      <c r="J978" s="20" t="n"/>
      <c r="K978" s="14" t="n"/>
      <c r="L978" s="19">
        <f>IF($D978="","",ROUND(IF($J978="",1,$J978)*N($K978),2))</f>
        <v/>
      </c>
      <c r="M978" s="13" t="n"/>
      <c r="N978" s="17">
        <f>IF($D978="","",IF(ISNA(MATCH($D978,项目名表,0)),"※项目不在项目台账里",IF($F978="※材料类别没选","※材料类别没选",IF(AND($C978&lt;&gt;"",ISNA(MATCH($C978,供应商表,0))),"※供应商不在基础资料里",""))))</f>
        <v/>
      </c>
    </row>
    <row r="979">
      <c r="A979" s="17">
        <f>IF($D979="","",ROW()-3)</f>
        <v/>
      </c>
      <c r="B979" s="18" t="n"/>
      <c r="C979" s="13" t="n"/>
      <c r="D979" s="13" t="n"/>
      <c r="E979" s="13" t="n"/>
      <c r="F979" s="17">
        <f>IF($D979="","",IFERROR(VLOOKUP($E979,材料归属,2,0),"※材料类别没选"))</f>
        <v/>
      </c>
      <c r="G979" s="13" t="n"/>
      <c r="H979" s="13" t="n"/>
      <c r="I979" s="13" t="n"/>
      <c r="J979" s="20" t="n"/>
      <c r="K979" s="14" t="n"/>
      <c r="L979" s="19">
        <f>IF($D979="","",ROUND(IF($J979="",1,$J979)*N($K979),2))</f>
        <v/>
      </c>
      <c r="M979" s="13" t="n"/>
      <c r="N979" s="17">
        <f>IF($D979="","",IF(ISNA(MATCH($D979,项目名表,0)),"※项目不在项目台账里",IF($F979="※材料类别没选","※材料类别没选",IF(AND($C979&lt;&gt;"",ISNA(MATCH($C979,供应商表,0))),"※供应商不在基础资料里",""))))</f>
        <v/>
      </c>
    </row>
    <row r="980">
      <c r="A980" s="17">
        <f>IF($D980="","",ROW()-3)</f>
        <v/>
      </c>
      <c r="B980" s="18" t="n"/>
      <c r="C980" s="13" t="n"/>
      <c r="D980" s="13" t="n"/>
      <c r="E980" s="13" t="n"/>
      <c r="F980" s="17">
        <f>IF($D980="","",IFERROR(VLOOKUP($E980,材料归属,2,0),"※材料类别没选"))</f>
        <v/>
      </c>
      <c r="G980" s="13" t="n"/>
      <c r="H980" s="13" t="n"/>
      <c r="I980" s="13" t="n"/>
      <c r="J980" s="20" t="n"/>
      <c r="K980" s="14" t="n"/>
      <c r="L980" s="19">
        <f>IF($D980="","",ROUND(IF($J980="",1,$J980)*N($K980),2))</f>
        <v/>
      </c>
      <c r="M980" s="13" t="n"/>
      <c r="N980" s="17">
        <f>IF($D980="","",IF(ISNA(MATCH($D980,项目名表,0)),"※项目不在项目台账里",IF($F980="※材料类别没选","※材料类别没选",IF(AND($C980&lt;&gt;"",ISNA(MATCH($C980,供应商表,0))),"※供应商不在基础资料里",""))))</f>
        <v/>
      </c>
    </row>
    <row r="981">
      <c r="A981" s="17">
        <f>IF($D981="","",ROW()-3)</f>
        <v/>
      </c>
      <c r="B981" s="18" t="n"/>
      <c r="C981" s="13" t="n"/>
      <c r="D981" s="13" t="n"/>
      <c r="E981" s="13" t="n"/>
      <c r="F981" s="17">
        <f>IF($D981="","",IFERROR(VLOOKUP($E981,材料归属,2,0),"※材料类别没选"))</f>
        <v/>
      </c>
      <c r="G981" s="13" t="n"/>
      <c r="H981" s="13" t="n"/>
      <c r="I981" s="13" t="n"/>
      <c r="J981" s="20" t="n"/>
      <c r="K981" s="14" t="n"/>
      <c r="L981" s="19">
        <f>IF($D981="","",ROUND(IF($J981="",1,$J981)*N($K981),2))</f>
        <v/>
      </c>
      <c r="M981" s="13" t="n"/>
      <c r="N981" s="17">
        <f>IF($D981="","",IF(ISNA(MATCH($D981,项目名表,0)),"※项目不在项目台账里",IF($F981="※材料类别没选","※材料类别没选",IF(AND($C981&lt;&gt;"",ISNA(MATCH($C981,供应商表,0))),"※供应商不在基础资料里",""))))</f>
        <v/>
      </c>
    </row>
    <row r="982">
      <c r="A982" s="17">
        <f>IF($D982="","",ROW()-3)</f>
        <v/>
      </c>
      <c r="B982" s="18" t="n"/>
      <c r="C982" s="13" t="n"/>
      <c r="D982" s="13" t="n"/>
      <c r="E982" s="13" t="n"/>
      <c r="F982" s="17">
        <f>IF($D982="","",IFERROR(VLOOKUP($E982,材料归属,2,0),"※材料类别没选"))</f>
        <v/>
      </c>
      <c r="G982" s="13" t="n"/>
      <c r="H982" s="13" t="n"/>
      <c r="I982" s="13" t="n"/>
      <c r="J982" s="20" t="n"/>
      <c r="K982" s="14" t="n"/>
      <c r="L982" s="19">
        <f>IF($D982="","",ROUND(IF($J982="",1,$J982)*N($K982),2))</f>
        <v/>
      </c>
      <c r="M982" s="13" t="n"/>
      <c r="N982" s="17">
        <f>IF($D982="","",IF(ISNA(MATCH($D982,项目名表,0)),"※项目不在项目台账里",IF($F982="※材料类别没选","※材料类别没选",IF(AND($C982&lt;&gt;"",ISNA(MATCH($C982,供应商表,0))),"※供应商不在基础资料里",""))))</f>
        <v/>
      </c>
    </row>
    <row r="983">
      <c r="A983" s="17">
        <f>IF($D983="","",ROW()-3)</f>
        <v/>
      </c>
      <c r="B983" s="18" t="n"/>
      <c r="C983" s="13" t="n"/>
      <c r="D983" s="13" t="n"/>
      <c r="E983" s="13" t="n"/>
      <c r="F983" s="17">
        <f>IF($D983="","",IFERROR(VLOOKUP($E983,材料归属,2,0),"※材料类别没选"))</f>
        <v/>
      </c>
      <c r="G983" s="13" t="n"/>
      <c r="H983" s="13" t="n"/>
      <c r="I983" s="13" t="n"/>
      <c r="J983" s="20" t="n"/>
      <c r="K983" s="14" t="n"/>
      <c r="L983" s="19">
        <f>IF($D983="","",ROUND(IF($J983="",1,$J983)*N($K983),2))</f>
        <v/>
      </c>
      <c r="M983" s="13" t="n"/>
      <c r="N983" s="17">
        <f>IF($D983="","",IF(ISNA(MATCH($D983,项目名表,0)),"※项目不在项目台账里",IF($F983="※材料类别没选","※材料类别没选",IF(AND($C983&lt;&gt;"",ISNA(MATCH($C983,供应商表,0))),"※供应商不在基础资料里",""))))</f>
        <v/>
      </c>
    </row>
    <row r="984">
      <c r="A984" s="17">
        <f>IF($D984="","",ROW()-3)</f>
        <v/>
      </c>
      <c r="B984" s="18" t="n"/>
      <c r="C984" s="13" t="n"/>
      <c r="D984" s="13" t="n"/>
      <c r="E984" s="13" t="n"/>
      <c r="F984" s="17">
        <f>IF($D984="","",IFERROR(VLOOKUP($E984,材料归属,2,0),"※材料类别没选"))</f>
        <v/>
      </c>
      <c r="G984" s="13" t="n"/>
      <c r="H984" s="13" t="n"/>
      <c r="I984" s="13" t="n"/>
      <c r="J984" s="20" t="n"/>
      <c r="K984" s="14" t="n"/>
      <c r="L984" s="19">
        <f>IF($D984="","",ROUND(IF($J984="",1,$J984)*N($K984),2))</f>
        <v/>
      </c>
      <c r="M984" s="13" t="n"/>
      <c r="N984" s="17">
        <f>IF($D984="","",IF(ISNA(MATCH($D984,项目名表,0)),"※项目不在项目台账里",IF($F984="※材料类别没选","※材料类别没选",IF(AND($C984&lt;&gt;"",ISNA(MATCH($C984,供应商表,0))),"※供应商不在基础资料里",""))))</f>
        <v/>
      </c>
    </row>
    <row r="985">
      <c r="A985" s="17">
        <f>IF($D985="","",ROW()-3)</f>
        <v/>
      </c>
      <c r="B985" s="18" t="n"/>
      <c r="C985" s="13" t="n"/>
      <c r="D985" s="13" t="n"/>
      <c r="E985" s="13" t="n"/>
      <c r="F985" s="17">
        <f>IF($D985="","",IFERROR(VLOOKUP($E985,材料归属,2,0),"※材料类别没选"))</f>
        <v/>
      </c>
      <c r="G985" s="13" t="n"/>
      <c r="H985" s="13" t="n"/>
      <c r="I985" s="13" t="n"/>
      <c r="J985" s="20" t="n"/>
      <c r="K985" s="14" t="n"/>
      <c r="L985" s="19">
        <f>IF($D985="","",ROUND(IF($J985="",1,$J985)*N($K985),2))</f>
        <v/>
      </c>
      <c r="M985" s="13" t="n"/>
      <c r="N985" s="17">
        <f>IF($D985="","",IF(ISNA(MATCH($D985,项目名表,0)),"※项目不在项目台账里",IF($F985="※材料类别没选","※材料类别没选",IF(AND($C985&lt;&gt;"",ISNA(MATCH($C985,供应商表,0))),"※供应商不在基础资料里",""))))</f>
        <v/>
      </c>
    </row>
    <row r="986">
      <c r="A986" s="17">
        <f>IF($D986="","",ROW()-3)</f>
        <v/>
      </c>
      <c r="B986" s="18" t="n"/>
      <c r="C986" s="13" t="n"/>
      <c r="D986" s="13" t="n"/>
      <c r="E986" s="13" t="n"/>
      <c r="F986" s="17">
        <f>IF($D986="","",IFERROR(VLOOKUP($E986,材料归属,2,0),"※材料类别没选"))</f>
        <v/>
      </c>
      <c r="G986" s="13" t="n"/>
      <c r="H986" s="13" t="n"/>
      <c r="I986" s="13" t="n"/>
      <c r="J986" s="20" t="n"/>
      <c r="K986" s="14" t="n"/>
      <c r="L986" s="19">
        <f>IF($D986="","",ROUND(IF($J986="",1,$J986)*N($K986),2))</f>
        <v/>
      </c>
      <c r="M986" s="13" t="n"/>
      <c r="N986" s="17">
        <f>IF($D986="","",IF(ISNA(MATCH($D986,项目名表,0)),"※项目不在项目台账里",IF($F986="※材料类别没选","※材料类别没选",IF(AND($C986&lt;&gt;"",ISNA(MATCH($C986,供应商表,0))),"※供应商不在基础资料里",""))))</f>
        <v/>
      </c>
    </row>
    <row r="987">
      <c r="A987" s="17">
        <f>IF($D987="","",ROW()-3)</f>
        <v/>
      </c>
      <c r="B987" s="18" t="n"/>
      <c r="C987" s="13" t="n"/>
      <c r="D987" s="13" t="n"/>
      <c r="E987" s="13" t="n"/>
      <c r="F987" s="17">
        <f>IF($D987="","",IFERROR(VLOOKUP($E987,材料归属,2,0),"※材料类别没选"))</f>
        <v/>
      </c>
      <c r="G987" s="13" t="n"/>
      <c r="H987" s="13" t="n"/>
      <c r="I987" s="13" t="n"/>
      <c r="J987" s="20" t="n"/>
      <c r="K987" s="14" t="n"/>
      <c r="L987" s="19">
        <f>IF($D987="","",ROUND(IF($J987="",1,$J987)*N($K987),2))</f>
        <v/>
      </c>
      <c r="M987" s="13" t="n"/>
      <c r="N987" s="17">
        <f>IF($D987="","",IF(ISNA(MATCH($D987,项目名表,0)),"※项目不在项目台账里",IF($F987="※材料类别没选","※材料类别没选",IF(AND($C987&lt;&gt;"",ISNA(MATCH($C987,供应商表,0))),"※供应商不在基础资料里",""))))</f>
        <v/>
      </c>
    </row>
    <row r="988">
      <c r="A988" s="17">
        <f>IF($D988="","",ROW()-3)</f>
        <v/>
      </c>
      <c r="B988" s="18" t="n"/>
      <c r="C988" s="13" t="n"/>
      <c r="D988" s="13" t="n"/>
      <c r="E988" s="13" t="n"/>
      <c r="F988" s="17">
        <f>IF($D988="","",IFERROR(VLOOKUP($E988,材料归属,2,0),"※材料类别没选"))</f>
        <v/>
      </c>
      <c r="G988" s="13" t="n"/>
      <c r="H988" s="13" t="n"/>
      <c r="I988" s="13" t="n"/>
      <c r="J988" s="20" t="n"/>
      <c r="K988" s="14" t="n"/>
      <c r="L988" s="19">
        <f>IF($D988="","",ROUND(IF($J988="",1,$J988)*N($K988),2))</f>
        <v/>
      </c>
      <c r="M988" s="13" t="n"/>
      <c r="N988" s="17">
        <f>IF($D988="","",IF(ISNA(MATCH($D988,项目名表,0)),"※项目不在项目台账里",IF($F988="※材料类别没选","※材料类别没选",IF(AND($C988&lt;&gt;"",ISNA(MATCH($C988,供应商表,0))),"※供应商不在基础资料里",""))))</f>
        <v/>
      </c>
    </row>
    <row r="989">
      <c r="A989" s="17">
        <f>IF($D989="","",ROW()-3)</f>
        <v/>
      </c>
      <c r="B989" s="18" t="n"/>
      <c r="C989" s="13" t="n"/>
      <c r="D989" s="13" t="n"/>
      <c r="E989" s="13" t="n"/>
      <c r="F989" s="17">
        <f>IF($D989="","",IFERROR(VLOOKUP($E989,材料归属,2,0),"※材料类别没选"))</f>
        <v/>
      </c>
      <c r="G989" s="13" t="n"/>
      <c r="H989" s="13" t="n"/>
      <c r="I989" s="13" t="n"/>
      <c r="J989" s="20" t="n"/>
      <c r="K989" s="14" t="n"/>
      <c r="L989" s="19">
        <f>IF($D989="","",ROUND(IF($J989="",1,$J989)*N($K989),2))</f>
        <v/>
      </c>
      <c r="M989" s="13" t="n"/>
      <c r="N989" s="17">
        <f>IF($D989="","",IF(ISNA(MATCH($D989,项目名表,0)),"※项目不在项目台账里",IF($F989="※材料类别没选","※材料类别没选",IF(AND($C989&lt;&gt;"",ISNA(MATCH($C989,供应商表,0))),"※供应商不在基础资料里",""))))</f>
        <v/>
      </c>
    </row>
    <row r="990">
      <c r="A990" s="17">
        <f>IF($D990="","",ROW()-3)</f>
        <v/>
      </c>
      <c r="B990" s="18" t="n"/>
      <c r="C990" s="13" t="n"/>
      <c r="D990" s="13" t="n"/>
      <c r="E990" s="13" t="n"/>
      <c r="F990" s="17">
        <f>IF($D990="","",IFERROR(VLOOKUP($E990,材料归属,2,0),"※材料类别没选"))</f>
        <v/>
      </c>
      <c r="G990" s="13" t="n"/>
      <c r="H990" s="13" t="n"/>
      <c r="I990" s="13" t="n"/>
      <c r="J990" s="20" t="n"/>
      <c r="K990" s="14" t="n"/>
      <c r="L990" s="19">
        <f>IF($D990="","",ROUND(IF($J990="",1,$J990)*N($K990),2))</f>
        <v/>
      </c>
      <c r="M990" s="13" t="n"/>
      <c r="N990" s="17">
        <f>IF($D990="","",IF(ISNA(MATCH($D990,项目名表,0)),"※项目不在项目台账里",IF($F990="※材料类别没选","※材料类别没选",IF(AND($C990&lt;&gt;"",ISNA(MATCH($C990,供应商表,0))),"※供应商不在基础资料里",""))))</f>
        <v/>
      </c>
    </row>
    <row r="991">
      <c r="A991" s="17">
        <f>IF($D991="","",ROW()-3)</f>
        <v/>
      </c>
      <c r="B991" s="18" t="n"/>
      <c r="C991" s="13" t="n"/>
      <c r="D991" s="13" t="n"/>
      <c r="E991" s="13" t="n"/>
      <c r="F991" s="17">
        <f>IF($D991="","",IFERROR(VLOOKUP($E991,材料归属,2,0),"※材料类别没选"))</f>
        <v/>
      </c>
      <c r="G991" s="13" t="n"/>
      <c r="H991" s="13" t="n"/>
      <c r="I991" s="13" t="n"/>
      <c r="J991" s="20" t="n"/>
      <c r="K991" s="14" t="n"/>
      <c r="L991" s="19">
        <f>IF($D991="","",ROUND(IF($J991="",1,$J991)*N($K991),2))</f>
        <v/>
      </c>
      <c r="M991" s="13" t="n"/>
      <c r="N991" s="17">
        <f>IF($D991="","",IF(ISNA(MATCH($D991,项目名表,0)),"※项目不在项目台账里",IF($F991="※材料类别没选","※材料类别没选",IF(AND($C991&lt;&gt;"",ISNA(MATCH($C991,供应商表,0))),"※供应商不在基础资料里",""))))</f>
        <v/>
      </c>
    </row>
    <row r="992">
      <c r="A992" s="17">
        <f>IF($D992="","",ROW()-3)</f>
        <v/>
      </c>
      <c r="B992" s="18" t="n"/>
      <c r="C992" s="13" t="n"/>
      <c r="D992" s="13" t="n"/>
      <c r="E992" s="13" t="n"/>
      <c r="F992" s="17">
        <f>IF($D992="","",IFERROR(VLOOKUP($E992,材料归属,2,0),"※材料类别没选"))</f>
        <v/>
      </c>
      <c r="G992" s="13" t="n"/>
      <c r="H992" s="13" t="n"/>
      <c r="I992" s="13" t="n"/>
      <c r="J992" s="20" t="n"/>
      <c r="K992" s="14" t="n"/>
      <c r="L992" s="19">
        <f>IF($D992="","",ROUND(IF($J992="",1,$J992)*N($K992),2))</f>
        <v/>
      </c>
      <c r="M992" s="13" t="n"/>
      <c r="N992" s="17">
        <f>IF($D992="","",IF(ISNA(MATCH($D992,项目名表,0)),"※项目不在项目台账里",IF($F992="※材料类别没选","※材料类别没选",IF(AND($C992&lt;&gt;"",ISNA(MATCH($C992,供应商表,0))),"※供应商不在基础资料里",""))))</f>
        <v/>
      </c>
    </row>
    <row r="993">
      <c r="A993" s="17">
        <f>IF($D993="","",ROW()-3)</f>
        <v/>
      </c>
      <c r="B993" s="18" t="n"/>
      <c r="C993" s="13" t="n"/>
      <c r="D993" s="13" t="n"/>
      <c r="E993" s="13" t="n"/>
      <c r="F993" s="17">
        <f>IF($D993="","",IFERROR(VLOOKUP($E993,材料归属,2,0),"※材料类别没选"))</f>
        <v/>
      </c>
      <c r="G993" s="13" t="n"/>
      <c r="H993" s="13" t="n"/>
      <c r="I993" s="13" t="n"/>
      <c r="J993" s="20" t="n"/>
      <c r="K993" s="14" t="n"/>
      <c r="L993" s="19">
        <f>IF($D993="","",ROUND(IF($J993="",1,$J993)*N($K993),2))</f>
        <v/>
      </c>
      <c r="M993" s="13" t="n"/>
      <c r="N993" s="17">
        <f>IF($D993="","",IF(ISNA(MATCH($D993,项目名表,0)),"※项目不在项目台账里",IF($F993="※材料类别没选","※材料类别没选",IF(AND($C993&lt;&gt;"",ISNA(MATCH($C993,供应商表,0))),"※供应商不在基础资料里",""))))</f>
        <v/>
      </c>
    </row>
    <row r="994">
      <c r="A994" s="17">
        <f>IF($D994="","",ROW()-3)</f>
        <v/>
      </c>
      <c r="B994" s="18" t="n"/>
      <c r="C994" s="13" t="n"/>
      <c r="D994" s="13" t="n"/>
      <c r="E994" s="13" t="n"/>
      <c r="F994" s="17">
        <f>IF($D994="","",IFERROR(VLOOKUP($E994,材料归属,2,0),"※材料类别没选"))</f>
        <v/>
      </c>
      <c r="G994" s="13" t="n"/>
      <c r="H994" s="13" t="n"/>
      <c r="I994" s="13" t="n"/>
      <c r="J994" s="20" t="n"/>
      <c r="K994" s="14" t="n"/>
      <c r="L994" s="19">
        <f>IF($D994="","",ROUND(IF($J994="",1,$J994)*N($K994),2))</f>
        <v/>
      </c>
      <c r="M994" s="13" t="n"/>
      <c r="N994" s="17">
        <f>IF($D994="","",IF(ISNA(MATCH($D994,项目名表,0)),"※项目不在项目台账里",IF($F994="※材料类别没选","※材料类别没选",IF(AND($C994&lt;&gt;"",ISNA(MATCH($C994,供应商表,0))),"※供应商不在基础资料里",""))))</f>
        <v/>
      </c>
    </row>
    <row r="995">
      <c r="A995" s="17">
        <f>IF($D995="","",ROW()-3)</f>
        <v/>
      </c>
      <c r="B995" s="18" t="n"/>
      <c r="C995" s="13" t="n"/>
      <c r="D995" s="13" t="n"/>
      <c r="E995" s="13" t="n"/>
      <c r="F995" s="17">
        <f>IF($D995="","",IFERROR(VLOOKUP($E995,材料归属,2,0),"※材料类别没选"))</f>
        <v/>
      </c>
      <c r="G995" s="13" t="n"/>
      <c r="H995" s="13" t="n"/>
      <c r="I995" s="13" t="n"/>
      <c r="J995" s="20" t="n"/>
      <c r="K995" s="14" t="n"/>
      <c r="L995" s="19">
        <f>IF($D995="","",ROUND(IF($J995="",1,$J995)*N($K995),2))</f>
        <v/>
      </c>
      <c r="M995" s="13" t="n"/>
      <c r="N995" s="17">
        <f>IF($D995="","",IF(ISNA(MATCH($D995,项目名表,0)),"※项目不在项目台账里",IF($F995="※材料类别没选","※材料类别没选",IF(AND($C995&lt;&gt;"",ISNA(MATCH($C995,供应商表,0))),"※供应商不在基础资料里",""))))</f>
        <v/>
      </c>
    </row>
    <row r="996">
      <c r="A996" s="17">
        <f>IF($D996="","",ROW()-3)</f>
        <v/>
      </c>
      <c r="B996" s="18" t="n"/>
      <c r="C996" s="13" t="n"/>
      <c r="D996" s="13" t="n"/>
      <c r="E996" s="13" t="n"/>
      <c r="F996" s="17">
        <f>IF($D996="","",IFERROR(VLOOKUP($E996,材料归属,2,0),"※材料类别没选"))</f>
        <v/>
      </c>
      <c r="G996" s="13" t="n"/>
      <c r="H996" s="13" t="n"/>
      <c r="I996" s="13" t="n"/>
      <c r="J996" s="20" t="n"/>
      <c r="K996" s="14" t="n"/>
      <c r="L996" s="19">
        <f>IF($D996="","",ROUND(IF($J996="",1,$J996)*N($K996),2))</f>
        <v/>
      </c>
      <c r="M996" s="13" t="n"/>
      <c r="N996" s="17">
        <f>IF($D996="","",IF(ISNA(MATCH($D996,项目名表,0)),"※项目不在项目台账里",IF($F996="※材料类别没选","※材料类别没选",IF(AND($C996&lt;&gt;"",ISNA(MATCH($C996,供应商表,0))),"※供应商不在基础资料里",""))))</f>
        <v/>
      </c>
    </row>
    <row r="997">
      <c r="A997" s="17">
        <f>IF($D997="","",ROW()-3)</f>
        <v/>
      </c>
      <c r="B997" s="18" t="n"/>
      <c r="C997" s="13" t="n"/>
      <c r="D997" s="13" t="n"/>
      <c r="E997" s="13" t="n"/>
      <c r="F997" s="17">
        <f>IF($D997="","",IFERROR(VLOOKUP($E997,材料归属,2,0),"※材料类别没选"))</f>
        <v/>
      </c>
      <c r="G997" s="13" t="n"/>
      <c r="H997" s="13" t="n"/>
      <c r="I997" s="13" t="n"/>
      <c r="J997" s="20" t="n"/>
      <c r="K997" s="14" t="n"/>
      <c r="L997" s="19">
        <f>IF($D997="","",ROUND(IF($J997="",1,$J997)*N($K997),2))</f>
        <v/>
      </c>
      <c r="M997" s="13" t="n"/>
      <c r="N997" s="17">
        <f>IF($D997="","",IF(ISNA(MATCH($D997,项目名表,0)),"※项目不在项目台账里",IF($F997="※材料类别没选","※材料类别没选",IF(AND($C997&lt;&gt;"",ISNA(MATCH($C997,供应商表,0))),"※供应商不在基础资料里",""))))</f>
        <v/>
      </c>
    </row>
    <row r="998">
      <c r="A998" s="17">
        <f>IF($D998="","",ROW()-3)</f>
        <v/>
      </c>
      <c r="B998" s="18" t="n"/>
      <c r="C998" s="13" t="n"/>
      <c r="D998" s="13" t="n"/>
      <c r="E998" s="13" t="n"/>
      <c r="F998" s="17">
        <f>IF($D998="","",IFERROR(VLOOKUP($E998,材料归属,2,0),"※材料类别没选"))</f>
        <v/>
      </c>
      <c r="G998" s="13" t="n"/>
      <c r="H998" s="13" t="n"/>
      <c r="I998" s="13" t="n"/>
      <c r="J998" s="20" t="n"/>
      <c r="K998" s="14" t="n"/>
      <c r="L998" s="19">
        <f>IF($D998="","",ROUND(IF($J998="",1,$J998)*N($K998),2))</f>
        <v/>
      </c>
      <c r="M998" s="13" t="n"/>
      <c r="N998" s="17">
        <f>IF($D998="","",IF(ISNA(MATCH($D998,项目名表,0)),"※项目不在项目台账里",IF($F998="※材料类别没选","※材料类别没选",IF(AND($C998&lt;&gt;"",ISNA(MATCH($C998,供应商表,0))),"※供应商不在基础资料里",""))))</f>
        <v/>
      </c>
    </row>
    <row r="999">
      <c r="A999" s="17">
        <f>IF($D999="","",ROW()-3)</f>
        <v/>
      </c>
      <c r="B999" s="18" t="n"/>
      <c r="C999" s="13" t="n"/>
      <c r="D999" s="13" t="n"/>
      <c r="E999" s="13" t="n"/>
      <c r="F999" s="17">
        <f>IF($D999="","",IFERROR(VLOOKUP($E999,材料归属,2,0),"※材料类别没选"))</f>
        <v/>
      </c>
      <c r="G999" s="13" t="n"/>
      <c r="H999" s="13" t="n"/>
      <c r="I999" s="13" t="n"/>
      <c r="J999" s="20" t="n"/>
      <c r="K999" s="14" t="n"/>
      <c r="L999" s="19">
        <f>IF($D999="","",ROUND(IF($J999="",1,$J999)*N($K999),2))</f>
        <v/>
      </c>
      <c r="M999" s="13" t="n"/>
      <c r="N999" s="17">
        <f>IF($D999="","",IF(ISNA(MATCH($D999,项目名表,0)),"※项目不在项目台账里",IF($F999="※材料类别没选","※材料类别没选",IF(AND($C999&lt;&gt;"",ISNA(MATCH($C999,供应商表,0))),"※供应商不在基础资料里",""))))</f>
        <v/>
      </c>
    </row>
    <row r="1000">
      <c r="A1000" s="17">
        <f>IF($D1000="","",ROW()-3)</f>
        <v/>
      </c>
      <c r="B1000" s="18" t="n"/>
      <c r="C1000" s="13" t="n"/>
      <c r="D1000" s="13" t="n"/>
      <c r="E1000" s="13" t="n"/>
      <c r="F1000" s="17">
        <f>IF($D1000="","",IFERROR(VLOOKUP($E1000,材料归属,2,0),"※材料类别没选"))</f>
        <v/>
      </c>
      <c r="G1000" s="13" t="n"/>
      <c r="H1000" s="13" t="n"/>
      <c r="I1000" s="13" t="n"/>
      <c r="J1000" s="20" t="n"/>
      <c r="K1000" s="14" t="n"/>
      <c r="L1000" s="19">
        <f>IF($D1000="","",ROUND(IF($J1000="",1,$J1000)*N($K1000),2))</f>
        <v/>
      </c>
      <c r="M1000" s="13" t="n"/>
      <c r="N1000" s="17">
        <f>IF($D1000="","",IF(ISNA(MATCH($D1000,项目名表,0)),"※项目不在项目台账里",IF($F1000="※材料类别没选","※材料类别没选",IF(AND($C1000&lt;&gt;"",ISNA(MATCH($C1000,供应商表,0))),"※供应商不在基础资料里",""))))</f>
        <v/>
      </c>
    </row>
    <row r="1001">
      <c r="A1001" s="17">
        <f>IF($D1001="","",ROW()-3)</f>
        <v/>
      </c>
      <c r="B1001" s="18" t="n"/>
      <c r="C1001" s="13" t="n"/>
      <c r="D1001" s="13" t="n"/>
      <c r="E1001" s="13" t="n"/>
      <c r="F1001" s="17">
        <f>IF($D1001="","",IFERROR(VLOOKUP($E1001,材料归属,2,0),"※材料类别没选"))</f>
        <v/>
      </c>
      <c r="G1001" s="13" t="n"/>
      <c r="H1001" s="13" t="n"/>
      <c r="I1001" s="13" t="n"/>
      <c r="J1001" s="20" t="n"/>
      <c r="K1001" s="14" t="n"/>
      <c r="L1001" s="19">
        <f>IF($D1001="","",ROUND(IF($J1001="",1,$J1001)*N($K1001),2))</f>
        <v/>
      </c>
      <c r="M1001" s="13" t="n"/>
      <c r="N1001" s="17">
        <f>IF($D1001="","",IF(ISNA(MATCH($D1001,项目名表,0)),"※项目不在项目台账里",IF($F1001="※材料类别没选","※材料类别没选",IF(AND($C1001&lt;&gt;"",ISNA(MATCH($C1001,供应商表,0))),"※供应商不在基础资料里",""))))</f>
        <v/>
      </c>
    </row>
    <row r="1002">
      <c r="A1002" s="17">
        <f>IF($D1002="","",ROW()-3)</f>
        <v/>
      </c>
      <c r="B1002" s="18" t="n"/>
      <c r="C1002" s="13" t="n"/>
      <c r="D1002" s="13" t="n"/>
      <c r="E1002" s="13" t="n"/>
      <c r="F1002" s="17">
        <f>IF($D1002="","",IFERROR(VLOOKUP($E1002,材料归属,2,0),"※材料类别没选"))</f>
        <v/>
      </c>
      <c r="G1002" s="13" t="n"/>
      <c r="H1002" s="13" t="n"/>
      <c r="I1002" s="13" t="n"/>
      <c r="J1002" s="20" t="n"/>
      <c r="K1002" s="14" t="n"/>
      <c r="L1002" s="19">
        <f>IF($D1002="","",ROUND(IF($J1002="",1,$J1002)*N($K1002),2))</f>
        <v/>
      </c>
      <c r="M1002" s="13" t="n"/>
      <c r="N1002" s="17">
        <f>IF($D1002="","",IF(ISNA(MATCH($D1002,项目名表,0)),"※项目不在项目台账里",IF($F1002="※材料类别没选","※材料类别没选",IF(AND($C1002&lt;&gt;"",ISNA(MATCH($C1002,供应商表,0))),"※供应商不在基础资料里",""))))</f>
        <v/>
      </c>
    </row>
    <row r="1003">
      <c r="A1003" s="17">
        <f>IF($D1003="","",ROW()-3)</f>
        <v/>
      </c>
      <c r="B1003" s="18" t="n"/>
      <c r="C1003" s="13" t="n"/>
      <c r="D1003" s="13" t="n"/>
      <c r="E1003" s="13" t="n"/>
      <c r="F1003" s="17">
        <f>IF($D1003="","",IFERROR(VLOOKUP($E1003,材料归属,2,0),"※材料类别没选"))</f>
        <v/>
      </c>
      <c r="G1003" s="13" t="n"/>
      <c r="H1003" s="13" t="n"/>
      <c r="I1003" s="13" t="n"/>
      <c r="J1003" s="20" t="n"/>
      <c r="K1003" s="14" t="n"/>
      <c r="L1003" s="19">
        <f>IF($D1003="","",ROUND(IF($J1003="",1,$J1003)*N($K1003),2))</f>
        <v/>
      </c>
      <c r="M1003" s="13" t="n"/>
      <c r="N1003" s="17">
        <f>IF($D1003="","",IF(ISNA(MATCH($D1003,项目名表,0)),"※项目不在项目台账里",IF($F1003="※材料类别没选","※材料类别没选",IF(AND($C1003&lt;&gt;"",ISNA(MATCH($C1003,供应商表,0))),"※供应商不在基础资料里",""))))</f>
        <v/>
      </c>
    </row>
    <row r="1004">
      <c r="A1004" s="17">
        <f>IF($D1004="","",ROW()-3)</f>
        <v/>
      </c>
      <c r="B1004" s="18" t="n"/>
      <c r="C1004" s="13" t="n"/>
      <c r="D1004" s="13" t="n"/>
      <c r="E1004" s="13" t="n"/>
      <c r="F1004" s="17">
        <f>IF($D1004="","",IFERROR(VLOOKUP($E1004,材料归属,2,0),"※材料类别没选"))</f>
        <v/>
      </c>
      <c r="G1004" s="13" t="n"/>
      <c r="H1004" s="13" t="n"/>
      <c r="I1004" s="13" t="n"/>
      <c r="J1004" s="20" t="n"/>
      <c r="K1004" s="14" t="n"/>
      <c r="L1004" s="19">
        <f>IF($D1004="","",ROUND(IF($J1004="",1,$J1004)*N($K1004),2))</f>
        <v/>
      </c>
      <c r="M1004" s="13" t="n"/>
      <c r="N1004" s="17">
        <f>IF($D1004="","",IF(ISNA(MATCH($D1004,项目名表,0)),"※项目不在项目台账里",IF($F1004="※材料类别没选","※材料类别没选",IF(AND($C1004&lt;&gt;"",ISNA(MATCH($C1004,供应商表,0))),"※供应商不在基础资料里",""))))</f>
        <v/>
      </c>
    </row>
    <row r="1005">
      <c r="A1005" s="17">
        <f>IF($D1005="","",ROW()-3)</f>
        <v/>
      </c>
      <c r="B1005" s="18" t="n"/>
      <c r="C1005" s="13" t="n"/>
      <c r="D1005" s="13" t="n"/>
      <c r="E1005" s="13" t="n"/>
      <c r="F1005" s="17">
        <f>IF($D1005="","",IFERROR(VLOOKUP($E1005,材料归属,2,0),"※材料类别没选"))</f>
        <v/>
      </c>
      <c r="G1005" s="13" t="n"/>
      <c r="H1005" s="13" t="n"/>
      <c r="I1005" s="13" t="n"/>
      <c r="J1005" s="20" t="n"/>
      <c r="K1005" s="14" t="n"/>
      <c r="L1005" s="19">
        <f>IF($D1005="","",ROUND(IF($J1005="",1,$J1005)*N($K1005),2))</f>
        <v/>
      </c>
      <c r="M1005" s="13" t="n"/>
      <c r="N1005" s="17">
        <f>IF($D1005="","",IF(ISNA(MATCH($D1005,项目名表,0)),"※项目不在项目台账里",IF($F1005="※材料类别没选","※材料类别没选",IF(AND($C1005&lt;&gt;"",ISNA(MATCH($C1005,供应商表,0))),"※供应商不在基础资料里",""))))</f>
        <v/>
      </c>
    </row>
    <row r="1006">
      <c r="A1006" s="17">
        <f>IF($D1006="","",ROW()-3)</f>
        <v/>
      </c>
      <c r="B1006" s="18" t="n"/>
      <c r="C1006" s="13" t="n"/>
      <c r="D1006" s="13" t="n"/>
      <c r="E1006" s="13" t="n"/>
      <c r="F1006" s="17">
        <f>IF($D1006="","",IFERROR(VLOOKUP($E1006,材料归属,2,0),"※材料类别没选"))</f>
        <v/>
      </c>
      <c r="G1006" s="13" t="n"/>
      <c r="H1006" s="13" t="n"/>
      <c r="I1006" s="13" t="n"/>
      <c r="J1006" s="20" t="n"/>
      <c r="K1006" s="14" t="n"/>
      <c r="L1006" s="19">
        <f>IF($D1006="","",ROUND(IF($J1006="",1,$J1006)*N($K1006),2))</f>
        <v/>
      </c>
      <c r="M1006" s="13" t="n"/>
      <c r="N1006" s="17">
        <f>IF($D1006="","",IF(ISNA(MATCH($D1006,项目名表,0)),"※项目不在项目台账里",IF($F1006="※材料类别没选","※材料类别没选",IF(AND($C1006&lt;&gt;"",ISNA(MATCH($C1006,供应商表,0))),"※供应商不在基础资料里",""))))</f>
        <v/>
      </c>
    </row>
    <row r="1007">
      <c r="A1007" s="17">
        <f>IF($D1007="","",ROW()-3)</f>
        <v/>
      </c>
      <c r="B1007" s="18" t="n"/>
      <c r="C1007" s="13" t="n"/>
      <c r="D1007" s="13" t="n"/>
      <c r="E1007" s="13" t="n"/>
      <c r="F1007" s="17">
        <f>IF($D1007="","",IFERROR(VLOOKUP($E1007,材料归属,2,0),"※材料类别没选"))</f>
        <v/>
      </c>
      <c r="G1007" s="13" t="n"/>
      <c r="H1007" s="13" t="n"/>
      <c r="I1007" s="13" t="n"/>
      <c r="J1007" s="20" t="n"/>
      <c r="K1007" s="14" t="n"/>
      <c r="L1007" s="19">
        <f>IF($D1007="","",ROUND(IF($J1007="",1,$J1007)*N($K1007),2))</f>
        <v/>
      </c>
      <c r="M1007" s="13" t="n"/>
      <c r="N1007" s="17">
        <f>IF($D1007="","",IF(ISNA(MATCH($D1007,项目名表,0)),"※项目不在项目台账里",IF($F1007="※材料类别没选","※材料类别没选",IF(AND($C1007&lt;&gt;"",ISNA(MATCH($C1007,供应商表,0))),"※供应商不在基础资料里",""))))</f>
        <v/>
      </c>
    </row>
    <row r="1008">
      <c r="A1008" s="17">
        <f>IF($D1008="","",ROW()-3)</f>
        <v/>
      </c>
      <c r="B1008" s="18" t="n"/>
      <c r="C1008" s="13" t="n"/>
      <c r="D1008" s="13" t="n"/>
      <c r="E1008" s="13" t="n"/>
      <c r="F1008" s="17">
        <f>IF($D1008="","",IFERROR(VLOOKUP($E1008,材料归属,2,0),"※材料类别没选"))</f>
        <v/>
      </c>
      <c r="G1008" s="13" t="n"/>
      <c r="H1008" s="13" t="n"/>
      <c r="I1008" s="13" t="n"/>
      <c r="J1008" s="20" t="n"/>
      <c r="K1008" s="14" t="n"/>
      <c r="L1008" s="19">
        <f>IF($D1008="","",ROUND(IF($J1008="",1,$J1008)*N($K1008),2))</f>
        <v/>
      </c>
      <c r="M1008" s="13" t="n"/>
      <c r="N1008" s="17">
        <f>IF($D1008="","",IF(ISNA(MATCH($D1008,项目名表,0)),"※项目不在项目台账里",IF($F1008="※材料类别没选","※材料类别没选",IF(AND($C1008&lt;&gt;"",ISNA(MATCH($C1008,供应商表,0))),"※供应商不在基础资料里",""))))</f>
        <v/>
      </c>
    </row>
    <row r="1009">
      <c r="A1009" s="17">
        <f>IF($D1009="","",ROW()-3)</f>
        <v/>
      </c>
      <c r="B1009" s="18" t="n"/>
      <c r="C1009" s="13" t="n"/>
      <c r="D1009" s="13" t="n"/>
      <c r="E1009" s="13" t="n"/>
      <c r="F1009" s="17">
        <f>IF($D1009="","",IFERROR(VLOOKUP($E1009,材料归属,2,0),"※材料类别没选"))</f>
        <v/>
      </c>
      <c r="G1009" s="13" t="n"/>
      <c r="H1009" s="13" t="n"/>
      <c r="I1009" s="13" t="n"/>
      <c r="J1009" s="20" t="n"/>
      <c r="K1009" s="14" t="n"/>
      <c r="L1009" s="19">
        <f>IF($D1009="","",ROUND(IF($J1009="",1,$J1009)*N($K1009),2))</f>
        <v/>
      </c>
      <c r="M1009" s="13" t="n"/>
      <c r="N1009" s="17">
        <f>IF($D1009="","",IF(ISNA(MATCH($D1009,项目名表,0)),"※项目不在项目台账里",IF($F1009="※材料类别没选","※材料类别没选",IF(AND($C1009&lt;&gt;"",ISNA(MATCH($C1009,供应商表,0))),"※供应商不在基础资料里",""))))</f>
        <v/>
      </c>
    </row>
    <row r="1010">
      <c r="A1010" s="17">
        <f>IF($D1010="","",ROW()-3)</f>
        <v/>
      </c>
      <c r="B1010" s="18" t="n"/>
      <c r="C1010" s="13" t="n"/>
      <c r="D1010" s="13" t="n"/>
      <c r="E1010" s="13" t="n"/>
      <c r="F1010" s="17">
        <f>IF($D1010="","",IFERROR(VLOOKUP($E1010,材料归属,2,0),"※材料类别没选"))</f>
        <v/>
      </c>
      <c r="G1010" s="13" t="n"/>
      <c r="H1010" s="13" t="n"/>
      <c r="I1010" s="13" t="n"/>
      <c r="J1010" s="20" t="n"/>
      <c r="K1010" s="14" t="n"/>
      <c r="L1010" s="19">
        <f>IF($D1010="","",ROUND(IF($J1010="",1,$J1010)*N($K1010),2))</f>
        <v/>
      </c>
      <c r="M1010" s="13" t="n"/>
      <c r="N1010" s="17">
        <f>IF($D1010="","",IF(ISNA(MATCH($D1010,项目名表,0)),"※项目不在项目台账里",IF($F1010="※材料类别没选","※材料类别没选",IF(AND($C1010&lt;&gt;"",ISNA(MATCH($C1010,供应商表,0))),"※供应商不在基础资料里",""))))</f>
        <v/>
      </c>
    </row>
    <row r="1011">
      <c r="A1011" s="17">
        <f>IF($D1011="","",ROW()-3)</f>
        <v/>
      </c>
      <c r="B1011" s="18" t="n"/>
      <c r="C1011" s="13" t="n"/>
      <c r="D1011" s="13" t="n"/>
      <c r="E1011" s="13" t="n"/>
      <c r="F1011" s="17">
        <f>IF($D1011="","",IFERROR(VLOOKUP($E1011,材料归属,2,0),"※材料类别没选"))</f>
        <v/>
      </c>
      <c r="G1011" s="13" t="n"/>
      <c r="H1011" s="13" t="n"/>
      <c r="I1011" s="13" t="n"/>
      <c r="J1011" s="20" t="n"/>
      <c r="K1011" s="14" t="n"/>
      <c r="L1011" s="19">
        <f>IF($D1011="","",ROUND(IF($J1011="",1,$J1011)*N($K1011),2))</f>
        <v/>
      </c>
      <c r="M1011" s="13" t="n"/>
      <c r="N1011" s="17">
        <f>IF($D1011="","",IF(ISNA(MATCH($D1011,项目名表,0)),"※项目不在项目台账里",IF($F1011="※材料类别没选","※材料类别没选",IF(AND($C1011&lt;&gt;"",ISNA(MATCH($C1011,供应商表,0))),"※供应商不在基础资料里",""))))</f>
        <v/>
      </c>
    </row>
    <row r="1012">
      <c r="A1012" s="17">
        <f>IF($D1012="","",ROW()-3)</f>
        <v/>
      </c>
      <c r="B1012" s="18" t="n"/>
      <c r="C1012" s="13" t="n"/>
      <c r="D1012" s="13" t="n"/>
      <c r="E1012" s="13" t="n"/>
      <c r="F1012" s="17">
        <f>IF($D1012="","",IFERROR(VLOOKUP($E1012,材料归属,2,0),"※材料类别没选"))</f>
        <v/>
      </c>
      <c r="G1012" s="13" t="n"/>
      <c r="H1012" s="13" t="n"/>
      <c r="I1012" s="13" t="n"/>
      <c r="J1012" s="20" t="n"/>
      <c r="K1012" s="14" t="n"/>
      <c r="L1012" s="19">
        <f>IF($D1012="","",ROUND(IF($J1012="",1,$J1012)*N($K1012),2))</f>
        <v/>
      </c>
      <c r="M1012" s="13" t="n"/>
      <c r="N1012" s="17">
        <f>IF($D1012="","",IF(ISNA(MATCH($D1012,项目名表,0)),"※项目不在项目台账里",IF($F1012="※材料类别没选","※材料类别没选",IF(AND($C1012&lt;&gt;"",ISNA(MATCH($C1012,供应商表,0))),"※供应商不在基础资料里",""))))</f>
        <v/>
      </c>
    </row>
    <row r="1013">
      <c r="A1013" s="17">
        <f>IF($D1013="","",ROW()-3)</f>
        <v/>
      </c>
      <c r="B1013" s="18" t="n"/>
      <c r="C1013" s="13" t="n"/>
      <c r="D1013" s="13" t="n"/>
      <c r="E1013" s="13" t="n"/>
      <c r="F1013" s="17">
        <f>IF($D1013="","",IFERROR(VLOOKUP($E1013,材料归属,2,0),"※材料类别没选"))</f>
        <v/>
      </c>
      <c r="G1013" s="13" t="n"/>
      <c r="H1013" s="13" t="n"/>
      <c r="I1013" s="13" t="n"/>
      <c r="J1013" s="20" t="n"/>
      <c r="K1013" s="14" t="n"/>
      <c r="L1013" s="19">
        <f>IF($D1013="","",ROUND(IF($J1013="",1,$J1013)*N($K1013),2))</f>
        <v/>
      </c>
      <c r="M1013" s="13" t="n"/>
      <c r="N1013" s="17">
        <f>IF($D1013="","",IF(ISNA(MATCH($D1013,项目名表,0)),"※项目不在项目台账里",IF($F1013="※材料类别没选","※材料类别没选",IF(AND($C1013&lt;&gt;"",ISNA(MATCH($C1013,供应商表,0))),"※供应商不在基础资料里",""))))</f>
        <v/>
      </c>
    </row>
    <row r="1014">
      <c r="A1014" s="17">
        <f>IF($D1014="","",ROW()-3)</f>
        <v/>
      </c>
      <c r="B1014" s="18" t="n"/>
      <c r="C1014" s="13" t="n"/>
      <c r="D1014" s="13" t="n"/>
      <c r="E1014" s="13" t="n"/>
      <c r="F1014" s="17">
        <f>IF($D1014="","",IFERROR(VLOOKUP($E1014,材料归属,2,0),"※材料类别没选"))</f>
        <v/>
      </c>
      <c r="G1014" s="13" t="n"/>
      <c r="H1014" s="13" t="n"/>
      <c r="I1014" s="13" t="n"/>
      <c r="J1014" s="20" t="n"/>
      <c r="K1014" s="14" t="n"/>
      <c r="L1014" s="19">
        <f>IF($D1014="","",ROUND(IF($J1014="",1,$J1014)*N($K1014),2))</f>
        <v/>
      </c>
      <c r="M1014" s="13" t="n"/>
      <c r="N1014" s="17">
        <f>IF($D1014="","",IF(ISNA(MATCH($D1014,项目名表,0)),"※项目不在项目台账里",IF($F1014="※材料类别没选","※材料类别没选",IF(AND($C1014&lt;&gt;"",ISNA(MATCH($C1014,供应商表,0))),"※供应商不在基础资料里",""))))</f>
        <v/>
      </c>
    </row>
    <row r="1015">
      <c r="A1015" s="17">
        <f>IF($D1015="","",ROW()-3)</f>
        <v/>
      </c>
      <c r="B1015" s="18" t="n"/>
      <c r="C1015" s="13" t="n"/>
      <c r="D1015" s="13" t="n"/>
      <c r="E1015" s="13" t="n"/>
      <c r="F1015" s="17">
        <f>IF($D1015="","",IFERROR(VLOOKUP($E1015,材料归属,2,0),"※材料类别没选"))</f>
        <v/>
      </c>
      <c r="G1015" s="13" t="n"/>
      <c r="H1015" s="13" t="n"/>
      <c r="I1015" s="13" t="n"/>
      <c r="J1015" s="20" t="n"/>
      <c r="K1015" s="14" t="n"/>
      <c r="L1015" s="19">
        <f>IF($D1015="","",ROUND(IF($J1015="",1,$J1015)*N($K1015),2))</f>
        <v/>
      </c>
      <c r="M1015" s="13" t="n"/>
      <c r="N1015" s="17">
        <f>IF($D1015="","",IF(ISNA(MATCH($D1015,项目名表,0)),"※项目不在项目台账里",IF($F1015="※材料类别没选","※材料类别没选",IF(AND($C1015&lt;&gt;"",ISNA(MATCH($C1015,供应商表,0))),"※供应商不在基础资料里",""))))</f>
        <v/>
      </c>
    </row>
    <row r="1016">
      <c r="A1016" s="17">
        <f>IF($D1016="","",ROW()-3)</f>
        <v/>
      </c>
      <c r="B1016" s="18" t="n"/>
      <c r="C1016" s="13" t="n"/>
      <c r="D1016" s="13" t="n"/>
      <c r="E1016" s="13" t="n"/>
      <c r="F1016" s="17">
        <f>IF($D1016="","",IFERROR(VLOOKUP($E1016,材料归属,2,0),"※材料类别没选"))</f>
        <v/>
      </c>
      <c r="G1016" s="13" t="n"/>
      <c r="H1016" s="13" t="n"/>
      <c r="I1016" s="13" t="n"/>
      <c r="J1016" s="20" t="n"/>
      <c r="K1016" s="14" t="n"/>
      <c r="L1016" s="19">
        <f>IF($D1016="","",ROUND(IF($J1016="",1,$J1016)*N($K1016),2))</f>
        <v/>
      </c>
      <c r="M1016" s="13" t="n"/>
      <c r="N1016" s="17">
        <f>IF($D1016="","",IF(ISNA(MATCH($D1016,项目名表,0)),"※项目不在项目台账里",IF($F1016="※材料类别没选","※材料类别没选",IF(AND($C1016&lt;&gt;"",ISNA(MATCH($C1016,供应商表,0))),"※供应商不在基础资料里",""))))</f>
        <v/>
      </c>
    </row>
    <row r="1017">
      <c r="A1017" s="17">
        <f>IF($D1017="","",ROW()-3)</f>
        <v/>
      </c>
      <c r="B1017" s="18" t="n"/>
      <c r="C1017" s="13" t="n"/>
      <c r="D1017" s="13" t="n"/>
      <c r="E1017" s="13" t="n"/>
      <c r="F1017" s="17">
        <f>IF($D1017="","",IFERROR(VLOOKUP($E1017,材料归属,2,0),"※材料类别没选"))</f>
        <v/>
      </c>
      <c r="G1017" s="13" t="n"/>
      <c r="H1017" s="13" t="n"/>
      <c r="I1017" s="13" t="n"/>
      <c r="J1017" s="20" t="n"/>
      <c r="K1017" s="14" t="n"/>
      <c r="L1017" s="19">
        <f>IF($D1017="","",ROUND(IF($J1017="",1,$J1017)*N($K1017),2))</f>
        <v/>
      </c>
      <c r="M1017" s="13" t="n"/>
      <c r="N1017" s="17">
        <f>IF($D1017="","",IF(ISNA(MATCH($D1017,项目名表,0)),"※项目不在项目台账里",IF($F1017="※材料类别没选","※材料类别没选",IF(AND($C1017&lt;&gt;"",ISNA(MATCH($C1017,供应商表,0))),"※供应商不在基础资料里",""))))</f>
        <v/>
      </c>
    </row>
    <row r="1018">
      <c r="A1018" s="17">
        <f>IF($D1018="","",ROW()-3)</f>
        <v/>
      </c>
      <c r="B1018" s="18" t="n"/>
      <c r="C1018" s="13" t="n"/>
      <c r="D1018" s="13" t="n"/>
      <c r="E1018" s="13" t="n"/>
      <c r="F1018" s="17">
        <f>IF($D1018="","",IFERROR(VLOOKUP($E1018,材料归属,2,0),"※材料类别没选"))</f>
        <v/>
      </c>
      <c r="G1018" s="13" t="n"/>
      <c r="H1018" s="13" t="n"/>
      <c r="I1018" s="13" t="n"/>
      <c r="J1018" s="20" t="n"/>
      <c r="K1018" s="14" t="n"/>
      <c r="L1018" s="19">
        <f>IF($D1018="","",ROUND(IF($J1018="",1,$J1018)*N($K1018),2))</f>
        <v/>
      </c>
      <c r="M1018" s="13" t="n"/>
      <c r="N1018" s="17">
        <f>IF($D1018="","",IF(ISNA(MATCH($D1018,项目名表,0)),"※项目不在项目台账里",IF($F1018="※材料类别没选","※材料类别没选",IF(AND($C1018&lt;&gt;"",ISNA(MATCH($C1018,供应商表,0))),"※供应商不在基础资料里",""))))</f>
        <v/>
      </c>
    </row>
    <row r="1019">
      <c r="A1019" s="17">
        <f>IF($D1019="","",ROW()-3)</f>
        <v/>
      </c>
      <c r="B1019" s="18" t="n"/>
      <c r="C1019" s="13" t="n"/>
      <c r="D1019" s="13" t="n"/>
      <c r="E1019" s="13" t="n"/>
      <c r="F1019" s="17">
        <f>IF($D1019="","",IFERROR(VLOOKUP($E1019,材料归属,2,0),"※材料类别没选"))</f>
        <v/>
      </c>
      <c r="G1019" s="13" t="n"/>
      <c r="H1019" s="13" t="n"/>
      <c r="I1019" s="13" t="n"/>
      <c r="J1019" s="20" t="n"/>
      <c r="K1019" s="14" t="n"/>
      <c r="L1019" s="19">
        <f>IF($D1019="","",ROUND(IF($J1019="",1,$J1019)*N($K1019),2))</f>
        <v/>
      </c>
      <c r="M1019" s="13" t="n"/>
      <c r="N1019" s="17">
        <f>IF($D1019="","",IF(ISNA(MATCH($D1019,项目名表,0)),"※项目不在项目台账里",IF($F1019="※材料类别没选","※材料类别没选",IF(AND($C1019&lt;&gt;"",ISNA(MATCH($C1019,供应商表,0))),"※供应商不在基础资料里",""))))</f>
        <v/>
      </c>
    </row>
    <row r="1020">
      <c r="A1020" s="17">
        <f>IF($D1020="","",ROW()-3)</f>
        <v/>
      </c>
      <c r="B1020" s="18" t="n"/>
      <c r="C1020" s="13" t="n"/>
      <c r="D1020" s="13" t="n"/>
      <c r="E1020" s="13" t="n"/>
      <c r="F1020" s="17">
        <f>IF($D1020="","",IFERROR(VLOOKUP($E1020,材料归属,2,0),"※材料类别没选"))</f>
        <v/>
      </c>
      <c r="G1020" s="13" t="n"/>
      <c r="H1020" s="13" t="n"/>
      <c r="I1020" s="13" t="n"/>
      <c r="J1020" s="20" t="n"/>
      <c r="K1020" s="14" t="n"/>
      <c r="L1020" s="19">
        <f>IF($D1020="","",ROUND(IF($J1020="",1,$J1020)*N($K1020),2))</f>
        <v/>
      </c>
      <c r="M1020" s="13" t="n"/>
      <c r="N1020" s="17">
        <f>IF($D1020="","",IF(ISNA(MATCH($D1020,项目名表,0)),"※项目不在项目台账里",IF($F1020="※材料类别没选","※材料类别没选",IF(AND($C1020&lt;&gt;"",ISNA(MATCH($C1020,供应商表,0))),"※供应商不在基础资料里",""))))</f>
        <v/>
      </c>
    </row>
    <row r="1021">
      <c r="A1021" s="17">
        <f>IF($D1021="","",ROW()-3)</f>
        <v/>
      </c>
      <c r="B1021" s="18" t="n"/>
      <c r="C1021" s="13" t="n"/>
      <c r="D1021" s="13" t="n"/>
      <c r="E1021" s="13" t="n"/>
      <c r="F1021" s="17">
        <f>IF($D1021="","",IFERROR(VLOOKUP($E1021,材料归属,2,0),"※材料类别没选"))</f>
        <v/>
      </c>
      <c r="G1021" s="13" t="n"/>
      <c r="H1021" s="13" t="n"/>
      <c r="I1021" s="13" t="n"/>
      <c r="J1021" s="20" t="n"/>
      <c r="K1021" s="14" t="n"/>
      <c r="L1021" s="19">
        <f>IF($D1021="","",ROUND(IF($J1021="",1,$J1021)*N($K1021),2))</f>
        <v/>
      </c>
      <c r="M1021" s="13" t="n"/>
      <c r="N1021" s="17">
        <f>IF($D1021="","",IF(ISNA(MATCH($D1021,项目名表,0)),"※项目不在项目台账里",IF($F1021="※材料类别没选","※材料类别没选",IF(AND($C1021&lt;&gt;"",ISNA(MATCH($C1021,供应商表,0))),"※供应商不在基础资料里",""))))</f>
        <v/>
      </c>
    </row>
    <row r="1022">
      <c r="A1022" s="17">
        <f>IF($D1022="","",ROW()-3)</f>
        <v/>
      </c>
      <c r="B1022" s="18" t="n"/>
      <c r="C1022" s="13" t="n"/>
      <c r="D1022" s="13" t="n"/>
      <c r="E1022" s="13" t="n"/>
      <c r="F1022" s="17">
        <f>IF($D1022="","",IFERROR(VLOOKUP($E1022,材料归属,2,0),"※材料类别没选"))</f>
        <v/>
      </c>
      <c r="G1022" s="13" t="n"/>
      <c r="H1022" s="13" t="n"/>
      <c r="I1022" s="13" t="n"/>
      <c r="J1022" s="20" t="n"/>
      <c r="K1022" s="14" t="n"/>
      <c r="L1022" s="19">
        <f>IF($D1022="","",ROUND(IF($J1022="",1,$J1022)*N($K1022),2))</f>
        <v/>
      </c>
      <c r="M1022" s="13" t="n"/>
      <c r="N1022" s="17">
        <f>IF($D1022="","",IF(ISNA(MATCH($D1022,项目名表,0)),"※项目不在项目台账里",IF($F1022="※材料类别没选","※材料类别没选",IF(AND($C1022&lt;&gt;"",ISNA(MATCH($C1022,供应商表,0))),"※供应商不在基础资料里",""))))</f>
        <v/>
      </c>
    </row>
    <row r="1023">
      <c r="A1023" s="17">
        <f>IF($D1023="","",ROW()-3)</f>
        <v/>
      </c>
      <c r="B1023" s="18" t="n"/>
      <c r="C1023" s="13" t="n"/>
      <c r="D1023" s="13" t="n"/>
      <c r="E1023" s="13" t="n"/>
      <c r="F1023" s="17">
        <f>IF($D1023="","",IFERROR(VLOOKUP($E1023,材料归属,2,0),"※材料类别没选"))</f>
        <v/>
      </c>
      <c r="G1023" s="13" t="n"/>
      <c r="H1023" s="13" t="n"/>
      <c r="I1023" s="13" t="n"/>
      <c r="J1023" s="20" t="n"/>
      <c r="K1023" s="14" t="n"/>
      <c r="L1023" s="19">
        <f>IF($D1023="","",ROUND(IF($J1023="",1,$J1023)*N($K1023),2))</f>
        <v/>
      </c>
      <c r="M1023" s="13" t="n"/>
      <c r="N1023" s="17">
        <f>IF($D1023="","",IF(ISNA(MATCH($D1023,项目名表,0)),"※项目不在项目台账里",IF($F1023="※材料类别没选","※材料类别没选",IF(AND($C1023&lt;&gt;"",ISNA(MATCH($C1023,供应商表,0))),"※供应商不在基础资料里",""))))</f>
        <v/>
      </c>
    </row>
    <row r="1024">
      <c r="A1024" s="17">
        <f>IF($D1024="","",ROW()-3)</f>
        <v/>
      </c>
      <c r="B1024" s="18" t="n"/>
      <c r="C1024" s="13" t="n"/>
      <c r="D1024" s="13" t="n"/>
      <c r="E1024" s="13" t="n"/>
      <c r="F1024" s="17">
        <f>IF($D1024="","",IFERROR(VLOOKUP($E1024,材料归属,2,0),"※材料类别没选"))</f>
        <v/>
      </c>
      <c r="G1024" s="13" t="n"/>
      <c r="H1024" s="13" t="n"/>
      <c r="I1024" s="13" t="n"/>
      <c r="J1024" s="20" t="n"/>
      <c r="K1024" s="14" t="n"/>
      <c r="L1024" s="19">
        <f>IF($D1024="","",ROUND(IF($J1024="",1,$J1024)*N($K1024),2))</f>
        <v/>
      </c>
      <c r="M1024" s="13" t="n"/>
      <c r="N1024" s="17">
        <f>IF($D1024="","",IF(ISNA(MATCH($D1024,项目名表,0)),"※项目不在项目台账里",IF($F1024="※材料类别没选","※材料类别没选",IF(AND($C1024&lt;&gt;"",ISNA(MATCH($C1024,供应商表,0))),"※供应商不在基础资料里",""))))</f>
        <v/>
      </c>
    </row>
    <row r="1025">
      <c r="A1025" s="17">
        <f>IF($D1025="","",ROW()-3)</f>
        <v/>
      </c>
      <c r="B1025" s="18" t="n"/>
      <c r="C1025" s="13" t="n"/>
      <c r="D1025" s="13" t="n"/>
      <c r="E1025" s="13" t="n"/>
      <c r="F1025" s="17">
        <f>IF($D1025="","",IFERROR(VLOOKUP($E1025,材料归属,2,0),"※材料类别没选"))</f>
        <v/>
      </c>
      <c r="G1025" s="13" t="n"/>
      <c r="H1025" s="13" t="n"/>
      <c r="I1025" s="13" t="n"/>
      <c r="J1025" s="20" t="n"/>
      <c r="K1025" s="14" t="n"/>
      <c r="L1025" s="19">
        <f>IF($D1025="","",ROUND(IF($J1025="",1,$J1025)*N($K1025),2))</f>
        <v/>
      </c>
      <c r="M1025" s="13" t="n"/>
      <c r="N1025" s="17">
        <f>IF($D1025="","",IF(ISNA(MATCH($D1025,项目名表,0)),"※项目不在项目台账里",IF($F1025="※材料类别没选","※材料类别没选",IF(AND($C1025&lt;&gt;"",ISNA(MATCH($C1025,供应商表,0))),"※供应商不在基础资料里",""))))</f>
        <v/>
      </c>
    </row>
    <row r="1026">
      <c r="A1026" s="17">
        <f>IF($D1026="","",ROW()-3)</f>
        <v/>
      </c>
      <c r="B1026" s="18" t="n"/>
      <c r="C1026" s="13" t="n"/>
      <c r="D1026" s="13" t="n"/>
      <c r="E1026" s="13" t="n"/>
      <c r="F1026" s="17">
        <f>IF($D1026="","",IFERROR(VLOOKUP($E1026,材料归属,2,0),"※材料类别没选"))</f>
        <v/>
      </c>
      <c r="G1026" s="13" t="n"/>
      <c r="H1026" s="13" t="n"/>
      <c r="I1026" s="13" t="n"/>
      <c r="J1026" s="20" t="n"/>
      <c r="K1026" s="14" t="n"/>
      <c r="L1026" s="19">
        <f>IF($D1026="","",ROUND(IF($J1026="",1,$J1026)*N($K1026),2))</f>
        <v/>
      </c>
      <c r="M1026" s="13" t="n"/>
      <c r="N1026" s="17">
        <f>IF($D1026="","",IF(ISNA(MATCH($D1026,项目名表,0)),"※项目不在项目台账里",IF($F1026="※材料类别没选","※材料类别没选",IF(AND($C1026&lt;&gt;"",ISNA(MATCH($C1026,供应商表,0))),"※供应商不在基础资料里",""))))</f>
        <v/>
      </c>
    </row>
    <row r="1027">
      <c r="A1027" s="17">
        <f>IF($D1027="","",ROW()-3)</f>
        <v/>
      </c>
      <c r="B1027" s="18" t="n"/>
      <c r="C1027" s="13" t="n"/>
      <c r="D1027" s="13" t="n"/>
      <c r="E1027" s="13" t="n"/>
      <c r="F1027" s="17">
        <f>IF($D1027="","",IFERROR(VLOOKUP($E1027,材料归属,2,0),"※材料类别没选"))</f>
        <v/>
      </c>
      <c r="G1027" s="13" t="n"/>
      <c r="H1027" s="13" t="n"/>
      <c r="I1027" s="13" t="n"/>
      <c r="J1027" s="20" t="n"/>
      <c r="K1027" s="14" t="n"/>
      <c r="L1027" s="19">
        <f>IF($D1027="","",ROUND(IF($J1027="",1,$J1027)*N($K1027),2))</f>
        <v/>
      </c>
      <c r="M1027" s="13" t="n"/>
      <c r="N1027" s="17">
        <f>IF($D1027="","",IF(ISNA(MATCH($D1027,项目名表,0)),"※项目不在项目台账里",IF($F1027="※材料类别没选","※材料类别没选",IF(AND($C1027&lt;&gt;"",ISNA(MATCH($C1027,供应商表,0))),"※供应商不在基础资料里",""))))</f>
        <v/>
      </c>
    </row>
    <row r="1028">
      <c r="A1028" s="17">
        <f>IF($D1028="","",ROW()-3)</f>
        <v/>
      </c>
      <c r="B1028" s="18" t="n"/>
      <c r="C1028" s="13" t="n"/>
      <c r="D1028" s="13" t="n"/>
      <c r="E1028" s="13" t="n"/>
      <c r="F1028" s="17">
        <f>IF($D1028="","",IFERROR(VLOOKUP($E1028,材料归属,2,0),"※材料类别没选"))</f>
        <v/>
      </c>
      <c r="G1028" s="13" t="n"/>
      <c r="H1028" s="13" t="n"/>
      <c r="I1028" s="13" t="n"/>
      <c r="J1028" s="20" t="n"/>
      <c r="K1028" s="14" t="n"/>
      <c r="L1028" s="19">
        <f>IF($D1028="","",ROUND(IF($J1028="",1,$J1028)*N($K1028),2))</f>
        <v/>
      </c>
      <c r="M1028" s="13" t="n"/>
      <c r="N1028" s="17">
        <f>IF($D1028="","",IF(ISNA(MATCH($D1028,项目名表,0)),"※项目不在项目台账里",IF($F1028="※材料类别没选","※材料类别没选",IF(AND($C1028&lt;&gt;"",ISNA(MATCH($C1028,供应商表,0))),"※供应商不在基础资料里",""))))</f>
        <v/>
      </c>
    </row>
    <row r="1029">
      <c r="A1029" s="17">
        <f>IF($D1029="","",ROW()-3)</f>
        <v/>
      </c>
      <c r="B1029" s="18" t="n"/>
      <c r="C1029" s="13" t="n"/>
      <c r="D1029" s="13" t="n"/>
      <c r="E1029" s="13" t="n"/>
      <c r="F1029" s="17">
        <f>IF($D1029="","",IFERROR(VLOOKUP($E1029,材料归属,2,0),"※材料类别没选"))</f>
        <v/>
      </c>
      <c r="G1029" s="13" t="n"/>
      <c r="H1029" s="13" t="n"/>
      <c r="I1029" s="13" t="n"/>
      <c r="J1029" s="20" t="n"/>
      <c r="K1029" s="14" t="n"/>
      <c r="L1029" s="19">
        <f>IF($D1029="","",ROUND(IF($J1029="",1,$J1029)*N($K1029),2))</f>
        <v/>
      </c>
      <c r="M1029" s="13" t="n"/>
      <c r="N1029" s="17">
        <f>IF($D1029="","",IF(ISNA(MATCH($D1029,项目名表,0)),"※项目不在项目台账里",IF($F1029="※材料类别没选","※材料类别没选",IF(AND($C1029&lt;&gt;"",ISNA(MATCH($C1029,供应商表,0))),"※供应商不在基础资料里",""))))</f>
        <v/>
      </c>
    </row>
    <row r="1030">
      <c r="A1030" s="17">
        <f>IF($D1030="","",ROW()-3)</f>
        <v/>
      </c>
      <c r="B1030" s="18" t="n"/>
      <c r="C1030" s="13" t="n"/>
      <c r="D1030" s="13" t="n"/>
      <c r="E1030" s="13" t="n"/>
      <c r="F1030" s="17">
        <f>IF($D1030="","",IFERROR(VLOOKUP($E1030,材料归属,2,0),"※材料类别没选"))</f>
        <v/>
      </c>
      <c r="G1030" s="13" t="n"/>
      <c r="H1030" s="13" t="n"/>
      <c r="I1030" s="13" t="n"/>
      <c r="J1030" s="20" t="n"/>
      <c r="K1030" s="14" t="n"/>
      <c r="L1030" s="19">
        <f>IF($D1030="","",ROUND(IF($J1030="",1,$J1030)*N($K1030),2))</f>
        <v/>
      </c>
      <c r="M1030" s="13" t="n"/>
      <c r="N1030" s="17">
        <f>IF($D1030="","",IF(ISNA(MATCH($D1030,项目名表,0)),"※项目不在项目台账里",IF($F1030="※材料类别没选","※材料类别没选",IF(AND($C1030&lt;&gt;"",ISNA(MATCH($C1030,供应商表,0))),"※供应商不在基础资料里",""))))</f>
        <v/>
      </c>
    </row>
    <row r="1031">
      <c r="A1031" s="17">
        <f>IF($D1031="","",ROW()-3)</f>
        <v/>
      </c>
      <c r="B1031" s="18" t="n"/>
      <c r="C1031" s="13" t="n"/>
      <c r="D1031" s="13" t="n"/>
      <c r="E1031" s="13" t="n"/>
      <c r="F1031" s="17">
        <f>IF($D1031="","",IFERROR(VLOOKUP($E1031,材料归属,2,0),"※材料类别没选"))</f>
        <v/>
      </c>
      <c r="G1031" s="13" t="n"/>
      <c r="H1031" s="13" t="n"/>
      <c r="I1031" s="13" t="n"/>
      <c r="J1031" s="20" t="n"/>
      <c r="K1031" s="14" t="n"/>
      <c r="L1031" s="19">
        <f>IF($D1031="","",ROUND(IF($J1031="",1,$J1031)*N($K1031),2))</f>
        <v/>
      </c>
      <c r="M1031" s="13" t="n"/>
      <c r="N1031" s="17">
        <f>IF($D1031="","",IF(ISNA(MATCH($D1031,项目名表,0)),"※项目不在项目台账里",IF($F1031="※材料类别没选","※材料类别没选",IF(AND($C1031&lt;&gt;"",ISNA(MATCH($C1031,供应商表,0))),"※供应商不在基础资料里",""))))</f>
        <v/>
      </c>
    </row>
    <row r="1032">
      <c r="A1032" s="17">
        <f>IF($D1032="","",ROW()-3)</f>
        <v/>
      </c>
      <c r="B1032" s="18" t="n"/>
      <c r="C1032" s="13" t="n"/>
      <c r="D1032" s="13" t="n"/>
      <c r="E1032" s="13" t="n"/>
      <c r="F1032" s="17">
        <f>IF($D1032="","",IFERROR(VLOOKUP($E1032,材料归属,2,0),"※材料类别没选"))</f>
        <v/>
      </c>
      <c r="G1032" s="13" t="n"/>
      <c r="H1032" s="13" t="n"/>
      <c r="I1032" s="13" t="n"/>
      <c r="J1032" s="20" t="n"/>
      <c r="K1032" s="14" t="n"/>
      <c r="L1032" s="19">
        <f>IF($D1032="","",ROUND(IF($J1032="",1,$J1032)*N($K1032),2))</f>
        <v/>
      </c>
      <c r="M1032" s="13" t="n"/>
      <c r="N1032" s="17">
        <f>IF($D1032="","",IF(ISNA(MATCH($D1032,项目名表,0)),"※项目不在项目台账里",IF($F1032="※材料类别没选","※材料类别没选",IF(AND($C1032&lt;&gt;"",ISNA(MATCH($C1032,供应商表,0))),"※供应商不在基础资料里",""))))</f>
        <v/>
      </c>
    </row>
    <row r="1033">
      <c r="A1033" s="17">
        <f>IF($D1033="","",ROW()-3)</f>
        <v/>
      </c>
      <c r="B1033" s="18" t="n"/>
      <c r="C1033" s="13" t="n"/>
      <c r="D1033" s="13" t="n"/>
      <c r="E1033" s="13" t="n"/>
      <c r="F1033" s="17">
        <f>IF($D1033="","",IFERROR(VLOOKUP($E1033,材料归属,2,0),"※材料类别没选"))</f>
        <v/>
      </c>
      <c r="G1033" s="13" t="n"/>
      <c r="H1033" s="13" t="n"/>
      <c r="I1033" s="13" t="n"/>
      <c r="J1033" s="20" t="n"/>
      <c r="K1033" s="14" t="n"/>
      <c r="L1033" s="19">
        <f>IF($D1033="","",ROUND(IF($J1033="",1,$J1033)*N($K1033),2))</f>
        <v/>
      </c>
      <c r="M1033" s="13" t="n"/>
      <c r="N1033" s="17">
        <f>IF($D1033="","",IF(ISNA(MATCH($D1033,项目名表,0)),"※项目不在项目台账里",IF($F1033="※材料类别没选","※材料类别没选",IF(AND($C1033&lt;&gt;"",ISNA(MATCH($C1033,供应商表,0))),"※供应商不在基础资料里",""))))</f>
        <v/>
      </c>
    </row>
    <row r="1034">
      <c r="A1034" s="17">
        <f>IF($D1034="","",ROW()-3)</f>
        <v/>
      </c>
      <c r="B1034" s="18" t="n"/>
      <c r="C1034" s="13" t="n"/>
      <c r="D1034" s="13" t="n"/>
      <c r="E1034" s="13" t="n"/>
      <c r="F1034" s="17">
        <f>IF($D1034="","",IFERROR(VLOOKUP($E1034,材料归属,2,0),"※材料类别没选"))</f>
        <v/>
      </c>
      <c r="G1034" s="13" t="n"/>
      <c r="H1034" s="13" t="n"/>
      <c r="I1034" s="13" t="n"/>
      <c r="J1034" s="20" t="n"/>
      <c r="K1034" s="14" t="n"/>
      <c r="L1034" s="19">
        <f>IF($D1034="","",ROUND(IF($J1034="",1,$J1034)*N($K1034),2))</f>
        <v/>
      </c>
      <c r="M1034" s="13" t="n"/>
      <c r="N1034" s="17">
        <f>IF($D1034="","",IF(ISNA(MATCH($D1034,项目名表,0)),"※项目不在项目台账里",IF($F1034="※材料类别没选","※材料类别没选",IF(AND($C1034&lt;&gt;"",ISNA(MATCH($C1034,供应商表,0))),"※供应商不在基础资料里",""))))</f>
        <v/>
      </c>
    </row>
    <row r="1035">
      <c r="A1035" s="17">
        <f>IF($D1035="","",ROW()-3)</f>
        <v/>
      </c>
      <c r="B1035" s="18" t="n"/>
      <c r="C1035" s="13" t="n"/>
      <c r="D1035" s="13" t="n"/>
      <c r="E1035" s="13" t="n"/>
      <c r="F1035" s="17">
        <f>IF($D1035="","",IFERROR(VLOOKUP($E1035,材料归属,2,0),"※材料类别没选"))</f>
        <v/>
      </c>
      <c r="G1035" s="13" t="n"/>
      <c r="H1035" s="13" t="n"/>
      <c r="I1035" s="13" t="n"/>
      <c r="J1035" s="20" t="n"/>
      <c r="K1035" s="14" t="n"/>
      <c r="L1035" s="19">
        <f>IF($D1035="","",ROUND(IF($J1035="",1,$J1035)*N($K1035),2))</f>
        <v/>
      </c>
      <c r="M1035" s="13" t="n"/>
      <c r="N1035" s="17">
        <f>IF($D1035="","",IF(ISNA(MATCH($D1035,项目名表,0)),"※项目不在项目台账里",IF($F1035="※材料类别没选","※材料类别没选",IF(AND($C1035&lt;&gt;"",ISNA(MATCH($C1035,供应商表,0))),"※供应商不在基础资料里",""))))</f>
        <v/>
      </c>
    </row>
    <row r="1036">
      <c r="A1036" s="17">
        <f>IF($D1036="","",ROW()-3)</f>
        <v/>
      </c>
      <c r="B1036" s="18" t="n"/>
      <c r="C1036" s="13" t="n"/>
      <c r="D1036" s="13" t="n"/>
      <c r="E1036" s="13" t="n"/>
      <c r="F1036" s="17">
        <f>IF($D1036="","",IFERROR(VLOOKUP($E1036,材料归属,2,0),"※材料类别没选"))</f>
        <v/>
      </c>
      <c r="G1036" s="13" t="n"/>
      <c r="H1036" s="13" t="n"/>
      <c r="I1036" s="13" t="n"/>
      <c r="J1036" s="20" t="n"/>
      <c r="K1036" s="14" t="n"/>
      <c r="L1036" s="19">
        <f>IF($D1036="","",ROUND(IF($J1036="",1,$J1036)*N($K1036),2))</f>
        <v/>
      </c>
      <c r="M1036" s="13" t="n"/>
      <c r="N1036" s="17">
        <f>IF($D1036="","",IF(ISNA(MATCH($D1036,项目名表,0)),"※项目不在项目台账里",IF($F1036="※材料类别没选","※材料类别没选",IF(AND($C1036&lt;&gt;"",ISNA(MATCH($C1036,供应商表,0))),"※供应商不在基础资料里",""))))</f>
        <v/>
      </c>
    </row>
    <row r="1037">
      <c r="A1037" s="17">
        <f>IF($D1037="","",ROW()-3)</f>
        <v/>
      </c>
      <c r="B1037" s="18" t="n"/>
      <c r="C1037" s="13" t="n"/>
      <c r="D1037" s="13" t="n"/>
      <c r="E1037" s="13" t="n"/>
      <c r="F1037" s="17">
        <f>IF($D1037="","",IFERROR(VLOOKUP($E1037,材料归属,2,0),"※材料类别没选"))</f>
        <v/>
      </c>
      <c r="G1037" s="13" t="n"/>
      <c r="H1037" s="13" t="n"/>
      <c r="I1037" s="13" t="n"/>
      <c r="J1037" s="20" t="n"/>
      <c r="K1037" s="14" t="n"/>
      <c r="L1037" s="19">
        <f>IF($D1037="","",ROUND(IF($J1037="",1,$J1037)*N($K1037),2))</f>
        <v/>
      </c>
      <c r="M1037" s="13" t="n"/>
      <c r="N1037" s="17">
        <f>IF($D1037="","",IF(ISNA(MATCH($D1037,项目名表,0)),"※项目不在项目台账里",IF($F1037="※材料类别没选","※材料类别没选",IF(AND($C1037&lt;&gt;"",ISNA(MATCH($C1037,供应商表,0))),"※供应商不在基础资料里",""))))</f>
        <v/>
      </c>
    </row>
    <row r="1038">
      <c r="A1038" s="17">
        <f>IF($D1038="","",ROW()-3)</f>
        <v/>
      </c>
      <c r="B1038" s="18" t="n"/>
      <c r="C1038" s="13" t="n"/>
      <c r="D1038" s="13" t="n"/>
      <c r="E1038" s="13" t="n"/>
      <c r="F1038" s="17">
        <f>IF($D1038="","",IFERROR(VLOOKUP($E1038,材料归属,2,0),"※材料类别没选"))</f>
        <v/>
      </c>
      <c r="G1038" s="13" t="n"/>
      <c r="H1038" s="13" t="n"/>
      <c r="I1038" s="13" t="n"/>
      <c r="J1038" s="20" t="n"/>
      <c r="K1038" s="14" t="n"/>
      <c r="L1038" s="19">
        <f>IF($D1038="","",ROUND(IF($J1038="",1,$J1038)*N($K1038),2))</f>
        <v/>
      </c>
      <c r="M1038" s="13" t="n"/>
      <c r="N1038" s="17">
        <f>IF($D1038="","",IF(ISNA(MATCH($D1038,项目名表,0)),"※项目不在项目台账里",IF($F1038="※材料类别没选","※材料类别没选",IF(AND($C1038&lt;&gt;"",ISNA(MATCH($C1038,供应商表,0))),"※供应商不在基础资料里",""))))</f>
        <v/>
      </c>
    </row>
    <row r="1039">
      <c r="A1039" s="17">
        <f>IF($D1039="","",ROW()-3)</f>
        <v/>
      </c>
      <c r="B1039" s="18" t="n"/>
      <c r="C1039" s="13" t="n"/>
      <c r="D1039" s="13" t="n"/>
      <c r="E1039" s="13" t="n"/>
      <c r="F1039" s="17">
        <f>IF($D1039="","",IFERROR(VLOOKUP($E1039,材料归属,2,0),"※材料类别没选"))</f>
        <v/>
      </c>
      <c r="G1039" s="13" t="n"/>
      <c r="H1039" s="13" t="n"/>
      <c r="I1039" s="13" t="n"/>
      <c r="J1039" s="20" t="n"/>
      <c r="K1039" s="14" t="n"/>
      <c r="L1039" s="19">
        <f>IF($D1039="","",ROUND(IF($J1039="",1,$J1039)*N($K1039),2))</f>
        <v/>
      </c>
      <c r="M1039" s="13" t="n"/>
      <c r="N1039" s="17">
        <f>IF($D1039="","",IF(ISNA(MATCH($D1039,项目名表,0)),"※项目不在项目台账里",IF($F1039="※材料类别没选","※材料类别没选",IF(AND($C1039&lt;&gt;"",ISNA(MATCH($C1039,供应商表,0))),"※供应商不在基础资料里",""))))</f>
        <v/>
      </c>
    </row>
    <row r="1040">
      <c r="A1040" s="17">
        <f>IF($D1040="","",ROW()-3)</f>
        <v/>
      </c>
      <c r="B1040" s="18" t="n"/>
      <c r="C1040" s="13" t="n"/>
      <c r="D1040" s="13" t="n"/>
      <c r="E1040" s="13" t="n"/>
      <c r="F1040" s="17">
        <f>IF($D1040="","",IFERROR(VLOOKUP($E1040,材料归属,2,0),"※材料类别没选"))</f>
        <v/>
      </c>
      <c r="G1040" s="13" t="n"/>
      <c r="H1040" s="13" t="n"/>
      <c r="I1040" s="13" t="n"/>
      <c r="J1040" s="20" t="n"/>
      <c r="K1040" s="14" t="n"/>
      <c r="L1040" s="19">
        <f>IF($D1040="","",ROUND(IF($J1040="",1,$J1040)*N($K1040),2))</f>
        <v/>
      </c>
      <c r="M1040" s="13" t="n"/>
      <c r="N1040" s="17">
        <f>IF($D1040="","",IF(ISNA(MATCH($D1040,项目名表,0)),"※项目不在项目台账里",IF($F1040="※材料类别没选","※材料类别没选",IF(AND($C1040&lt;&gt;"",ISNA(MATCH($C1040,供应商表,0))),"※供应商不在基础资料里",""))))</f>
        <v/>
      </c>
    </row>
    <row r="1041">
      <c r="A1041" s="17">
        <f>IF($D1041="","",ROW()-3)</f>
        <v/>
      </c>
      <c r="B1041" s="18" t="n"/>
      <c r="C1041" s="13" t="n"/>
      <c r="D1041" s="13" t="n"/>
      <c r="E1041" s="13" t="n"/>
      <c r="F1041" s="17">
        <f>IF($D1041="","",IFERROR(VLOOKUP($E1041,材料归属,2,0),"※材料类别没选"))</f>
        <v/>
      </c>
      <c r="G1041" s="13" t="n"/>
      <c r="H1041" s="13" t="n"/>
      <c r="I1041" s="13" t="n"/>
      <c r="J1041" s="20" t="n"/>
      <c r="K1041" s="14" t="n"/>
      <c r="L1041" s="19">
        <f>IF($D1041="","",ROUND(IF($J1041="",1,$J1041)*N($K1041),2))</f>
        <v/>
      </c>
      <c r="M1041" s="13" t="n"/>
      <c r="N1041" s="17">
        <f>IF($D1041="","",IF(ISNA(MATCH($D1041,项目名表,0)),"※项目不在项目台账里",IF($F1041="※材料类别没选","※材料类别没选",IF(AND($C1041&lt;&gt;"",ISNA(MATCH($C1041,供应商表,0))),"※供应商不在基础资料里",""))))</f>
        <v/>
      </c>
    </row>
    <row r="1042">
      <c r="A1042" s="17">
        <f>IF($D1042="","",ROW()-3)</f>
        <v/>
      </c>
      <c r="B1042" s="18" t="n"/>
      <c r="C1042" s="13" t="n"/>
      <c r="D1042" s="13" t="n"/>
      <c r="E1042" s="13" t="n"/>
      <c r="F1042" s="17">
        <f>IF($D1042="","",IFERROR(VLOOKUP($E1042,材料归属,2,0),"※材料类别没选"))</f>
        <v/>
      </c>
      <c r="G1042" s="13" t="n"/>
      <c r="H1042" s="13" t="n"/>
      <c r="I1042" s="13" t="n"/>
      <c r="J1042" s="20" t="n"/>
      <c r="K1042" s="14" t="n"/>
      <c r="L1042" s="19">
        <f>IF($D1042="","",ROUND(IF($J1042="",1,$J1042)*N($K1042),2))</f>
        <v/>
      </c>
      <c r="M1042" s="13" t="n"/>
      <c r="N1042" s="17">
        <f>IF($D1042="","",IF(ISNA(MATCH($D1042,项目名表,0)),"※项目不在项目台账里",IF($F1042="※材料类别没选","※材料类别没选",IF(AND($C1042&lt;&gt;"",ISNA(MATCH($C1042,供应商表,0))),"※供应商不在基础资料里",""))))</f>
        <v/>
      </c>
    </row>
    <row r="1043">
      <c r="A1043" s="17">
        <f>IF($D1043="","",ROW()-3)</f>
        <v/>
      </c>
      <c r="B1043" s="18" t="n"/>
      <c r="C1043" s="13" t="n"/>
      <c r="D1043" s="13" t="n"/>
      <c r="E1043" s="13" t="n"/>
      <c r="F1043" s="17">
        <f>IF($D1043="","",IFERROR(VLOOKUP($E1043,材料归属,2,0),"※材料类别没选"))</f>
        <v/>
      </c>
      <c r="G1043" s="13" t="n"/>
      <c r="H1043" s="13" t="n"/>
      <c r="I1043" s="13" t="n"/>
      <c r="J1043" s="20" t="n"/>
      <c r="K1043" s="14" t="n"/>
      <c r="L1043" s="19">
        <f>IF($D1043="","",ROUND(IF($J1043="",1,$J1043)*N($K1043),2))</f>
        <v/>
      </c>
      <c r="M1043" s="13" t="n"/>
      <c r="N1043" s="17">
        <f>IF($D1043="","",IF(ISNA(MATCH($D1043,项目名表,0)),"※项目不在项目台账里",IF($F1043="※材料类别没选","※材料类别没选",IF(AND($C1043&lt;&gt;"",ISNA(MATCH($C1043,供应商表,0))),"※供应商不在基础资料里",""))))</f>
        <v/>
      </c>
    </row>
    <row r="1044">
      <c r="A1044" s="17">
        <f>IF($D1044="","",ROW()-3)</f>
        <v/>
      </c>
      <c r="B1044" s="18" t="n"/>
      <c r="C1044" s="13" t="n"/>
      <c r="D1044" s="13" t="n"/>
      <c r="E1044" s="13" t="n"/>
      <c r="F1044" s="17">
        <f>IF($D1044="","",IFERROR(VLOOKUP($E1044,材料归属,2,0),"※材料类别没选"))</f>
        <v/>
      </c>
      <c r="G1044" s="13" t="n"/>
      <c r="H1044" s="13" t="n"/>
      <c r="I1044" s="13" t="n"/>
      <c r="J1044" s="20" t="n"/>
      <c r="K1044" s="14" t="n"/>
      <c r="L1044" s="19">
        <f>IF($D1044="","",ROUND(IF($J1044="",1,$J1044)*N($K1044),2))</f>
        <v/>
      </c>
      <c r="M1044" s="13" t="n"/>
      <c r="N1044" s="17">
        <f>IF($D1044="","",IF(ISNA(MATCH($D1044,项目名表,0)),"※项目不在项目台账里",IF($F1044="※材料类别没选","※材料类别没选",IF(AND($C1044&lt;&gt;"",ISNA(MATCH($C1044,供应商表,0))),"※供应商不在基础资料里",""))))</f>
        <v/>
      </c>
    </row>
    <row r="1045">
      <c r="A1045" s="17">
        <f>IF($D1045="","",ROW()-3)</f>
        <v/>
      </c>
      <c r="B1045" s="18" t="n"/>
      <c r="C1045" s="13" t="n"/>
      <c r="D1045" s="13" t="n"/>
      <c r="E1045" s="13" t="n"/>
      <c r="F1045" s="17">
        <f>IF($D1045="","",IFERROR(VLOOKUP($E1045,材料归属,2,0),"※材料类别没选"))</f>
        <v/>
      </c>
      <c r="G1045" s="13" t="n"/>
      <c r="H1045" s="13" t="n"/>
      <c r="I1045" s="13" t="n"/>
      <c r="J1045" s="20" t="n"/>
      <c r="K1045" s="14" t="n"/>
      <c r="L1045" s="19">
        <f>IF($D1045="","",ROUND(IF($J1045="",1,$J1045)*N($K1045),2))</f>
        <v/>
      </c>
      <c r="M1045" s="13" t="n"/>
      <c r="N1045" s="17">
        <f>IF($D1045="","",IF(ISNA(MATCH($D1045,项目名表,0)),"※项目不在项目台账里",IF($F1045="※材料类别没选","※材料类别没选",IF(AND($C1045&lt;&gt;"",ISNA(MATCH($C1045,供应商表,0))),"※供应商不在基础资料里",""))))</f>
        <v/>
      </c>
    </row>
    <row r="1046">
      <c r="A1046" s="17">
        <f>IF($D1046="","",ROW()-3)</f>
        <v/>
      </c>
      <c r="B1046" s="18" t="n"/>
      <c r="C1046" s="13" t="n"/>
      <c r="D1046" s="13" t="n"/>
      <c r="E1046" s="13" t="n"/>
      <c r="F1046" s="17">
        <f>IF($D1046="","",IFERROR(VLOOKUP($E1046,材料归属,2,0),"※材料类别没选"))</f>
        <v/>
      </c>
      <c r="G1046" s="13" t="n"/>
      <c r="H1046" s="13" t="n"/>
      <c r="I1046" s="13" t="n"/>
      <c r="J1046" s="20" t="n"/>
      <c r="K1046" s="14" t="n"/>
      <c r="L1046" s="19">
        <f>IF($D1046="","",ROUND(IF($J1046="",1,$J1046)*N($K1046),2))</f>
        <v/>
      </c>
      <c r="M1046" s="13" t="n"/>
      <c r="N1046" s="17">
        <f>IF($D1046="","",IF(ISNA(MATCH($D1046,项目名表,0)),"※项目不在项目台账里",IF($F1046="※材料类别没选","※材料类别没选",IF(AND($C1046&lt;&gt;"",ISNA(MATCH($C1046,供应商表,0))),"※供应商不在基础资料里",""))))</f>
        <v/>
      </c>
    </row>
    <row r="1047">
      <c r="A1047" s="17">
        <f>IF($D1047="","",ROW()-3)</f>
        <v/>
      </c>
      <c r="B1047" s="18" t="n"/>
      <c r="C1047" s="13" t="n"/>
      <c r="D1047" s="13" t="n"/>
      <c r="E1047" s="13" t="n"/>
      <c r="F1047" s="17">
        <f>IF($D1047="","",IFERROR(VLOOKUP($E1047,材料归属,2,0),"※材料类别没选"))</f>
        <v/>
      </c>
      <c r="G1047" s="13" t="n"/>
      <c r="H1047" s="13" t="n"/>
      <c r="I1047" s="13" t="n"/>
      <c r="J1047" s="20" t="n"/>
      <c r="K1047" s="14" t="n"/>
      <c r="L1047" s="19">
        <f>IF($D1047="","",ROUND(IF($J1047="",1,$J1047)*N($K1047),2))</f>
        <v/>
      </c>
      <c r="M1047" s="13" t="n"/>
      <c r="N1047" s="17">
        <f>IF($D1047="","",IF(ISNA(MATCH($D1047,项目名表,0)),"※项目不在项目台账里",IF($F1047="※材料类别没选","※材料类别没选",IF(AND($C1047&lt;&gt;"",ISNA(MATCH($C1047,供应商表,0))),"※供应商不在基础资料里",""))))</f>
        <v/>
      </c>
    </row>
    <row r="1048">
      <c r="A1048" s="17">
        <f>IF($D1048="","",ROW()-3)</f>
        <v/>
      </c>
      <c r="B1048" s="18" t="n"/>
      <c r="C1048" s="13" t="n"/>
      <c r="D1048" s="13" t="n"/>
      <c r="E1048" s="13" t="n"/>
      <c r="F1048" s="17">
        <f>IF($D1048="","",IFERROR(VLOOKUP($E1048,材料归属,2,0),"※材料类别没选"))</f>
        <v/>
      </c>
      <c r="G1048" s="13" t="n"/>
      <c r="H1048" s="13" t="n"/>
      <c r="I1048" s="13" t="n"/>
      <c r="J1048" s="20" t="n"/>
      <c r="K1048" s="14" t="n"/>
      <c r="L1048" s="19">
        <f>IF($D1048="","",ROUND(IF($J1048="",1,$J1048)*N($K1048),2))</f>
        <v/>
      </c>
      <c r="M1048" s="13" t="n"/>
      <c r="N1048" s="17">
        <f>IF($D1048="","",IF(ISNA(MATCH($D1048,项目名表,0)),"※项目不在项目台账里",IF($F1048="※材料类别没选","※材料类别没选",IF(AND($C1048&lt;&gt;"",ISNA(MATCH($C1048,供应商表,0))),"※供应商不在基础资料里",""))))</f>
        <v/>
      </c>
    </row>
    <row r="1049">
      <c r="A1049" s="17">
        <f>IF($D1049="","",ROW()-3)</f>
        <v/>
      </c>
      <c r="B1049" s="18" t="n"/>
      <c r="C1049" s="13" t="n"/>
      <c r="D1049" s="13" t="n"/>
      <c r="E1049" s="13" t="n"/>
      <c r="F1049" s="17">
        <f>IF($D1049="","",IFERROR(VLOOKUP($E1049,材料归属,2,0),"※材料类别没选"))</f>
        <v/>
      </c>
      <c r="G1049" s="13" t="n"/>
      <c r="H1049" s="13" t="n"/>
      <c r="I1049" s="13" t="n"/>
      <c r="J1049" s="20" t="n"/>
      <c r="K1049" s="14" t="n"/>
      <c r="L1049" s="19">
        <f>IF($D1049="","",ROUND(IF($J1049="",1,$J1049)*N($K1049),2))</f>
        <v/>
      </c>
      <c r="M1049" s="13" t="n"/>
      <c r="N1049" s="17">
        <f>IF($D1049="","",IF(ISNA(MATCH($D1049,项目名表,0)),"※项目不在项目台账里",IF($F1049="※材料类别没选","※材料类别没选",IF(AND($C1049&lt;&gt;"",ISNA(MATCH($C1049,供应商表,0))),"※供应商不在基础资料里",""))))</f>
        <v/>
      </c>
    </row>
    <row r="1050">
      <c r="A1050" s="17">
        <f>IF($D1050="","",ROW()-3)</f>
        <v/>
      </c>
      <c r="B1050" s="18" t="n"/>
      <c r="C1050" s="13" t="n"/>
      <c r="D1050" s="13" t="n"/>
      <c r="E1050" s="13" t="n"/>
      <c r="F1050" s="17">
        <f>IF($D1050="","",IFERROR(VLOOKUP($E1050,材料归属,2,0),"※材料类别没选"))</f>
        <v/>
      </c>
      <c r="G1050" s="13" t="n"/>
      <c r="H1050" s="13" t="n"/>
      <c r="I1050" s="13" t="n"/>
      <c r="J1050" s="20" t="n"/>
      <c r="K1050" s="14" t="n"/>
      <c r="L1050" s="19">
        <f>IF($D1050="","",ROUND(IF($J1050="",1,$J1050)*N($K1050),2))</f>
        <v/>
      </c>
      <c r="M1050" s="13" t="n"/>
      <c r="N1050" s="17">
        <f>IF($D1050="","",IF(ISNA(MATCH($D1050,项目名表,0)),"※项目不在项目台账里",IF($F1050="※材料类别没选","※材料类别没选",IF(AND($C1050&lt;&gt;"",ISNA(MATCH($C1050,供应商表,0))),"※供应商不在基础资料里",""))))</f>
        <v/>
      </c>
    </row>
    <row r="1051">
      <c r="A1051" s="17">
        <f>IF($D1051="","",ROW()-3)</f>
        <v/>
      </c>
      <c r="B1051" s="18" t="n"/>
      <c r="C1051" s="13" t="n"/>
      <c r="D1051" s="13" t="n"/>
      <c r="E1051" s="13" t="n"/>
      <c r="F1051" s="17">
        <f>IF($D1051="","",IFERROR(VLOOKUP($E1051,材料归属,2,0),"※材料类别没选"))</f>
        <v/>
      </c>
      <c r="G1051" s="13" t="n"/>
      <c r="H1051" s="13" t="n"/>
      <c r="I1051" s="13" t="n"/>
      <c r="J1051" s="20" t="n"/>
      <c r="K1051" s="14" t="n"/>
      <c r="L1051" s="19">
        <f>IF($D1051="","",ROUND(IF($J1051="",1,$J1051)*N($K1051),2))</f>
        <v/>
      </c>
      <c r="M1051" s="13" t="n"/>
      <c r="N1051" s="17">
        <f>IF($D1051="","",IF(ISNA(MATCH($D1051,项目名表,0)),"※项目不在项目台账里",IF($F1051="※材料类别没选","※材料类别没选",IF(AND($C1051&lt;&gt;"",ISNA(MATCH($C1051,供应商表,0))),"※供应商不在基础资料里",""))))</f>
        <v/>
      </c>
    </row>
    <row r="1052">
      <c r="A1052" s="17">
        <f>IF($D1052="","",ROW()-3)</f>
        <v/>
      </c>
      <c r="B1052" s="18" t="n"/>
      <c r="C1052" s="13" t="n"/>
      <c r="D1052" s="13" t="n"/>
      <c r="E1052" s="13" t="n"/>
      <c r="F1052" s="17">
        <f>IF($D1052="","",IFERROR(VLOOKUP($E1052,材料归属,2,0),"※材料类别没选"))</f>
        <v/>
      </c>
      <c r="G1052" s="13" t="n"/>
      <c r="H1052" s="13" t="n"/>
      <c r="I1052" s="13" t="n"/>
      <c r="J1052" s="20" t="n"/>
      <c r="K1052" s="14" t="n"/>
      <c r="L1052" s="19">
        <f>IF($D1052="","",ROUND(IF($J1052="",1,$J1052)*N($K1052),2))</f>
        <v/>
      </c>
      <c r="M1052" s="13" t="n"/>
      <c r="N1052" s="17">
        <f>IF($D1052="","",IF(ISNA(MATCH($D1052,项目名表,0)),"※项目不在项目台账里",IF($F1052="※材料类别没选","※材料类别没选",IF(AND($C1052&lt;&gt;"",ISNA(MATCH($C1052,供应商表,0))),"※供应商不在基础资料里",""))))</f>
        <v/>
      </c>
    </row>
    <row r="1053">
      <c r="A1053" s="17">
        <f>IF($D1053="","",ROW()-3)</f>
        <v/>
      </c>
      <c r="B1053" s="18" t="n"/>
      <c r="C1053" s="13" t="n"/>
      <c r="D1053" s="13" t="n"/>
      <c r="E1053" s="13" t="n"/>
      <c r="F1053" s="17">
        <f>IF($D1053="","",IFERROR(VLOOKUP($E1053,材料归属,2,0),"※材料类别没选"))</f>
        <v/>
      </c>
      <c r="G1053" s="13" t="n"/>
      <c r="H1053" s="13" t="n"/>
      <c r="I1053" s="13" t="n"/>
      <c r="J1053" s="20" t="n"/>
      <c r="K1053" s="14" t="n"/>
      <c r="L1053" s="19">
        <f>IF($D1053="","",ROUND(IF($J1053="",1,$J1053)*N($K1053),2))</f>
        <v/>
      </c>
      <c r="M1053" s="13" t="n"/>
      <c r="N1053" s="17">
        <f>IF($D1053="","",IF(ISNA(MATCH($D1053,项目名表,0)),"※项目不在项目台账里",IF($F1053="※材料类别没选","※材料类别没选",IF(AND($C1053&lt;&gt;"",ISNA(MATCH($C1053,供应商表,0))),"※供应商不在基础资料里",""))))</f>
        <v/>
      </c>
    </row>
    <row r="1054">
      <c r="A1054" s="17">
        <f>IF($D1054="","",ROW()-3)</f>
        <v/>
      </c>
      <c r="B1054" s="18" t="n"/>
      <c r="C1054" s="13" t="n"/>
      <c r="D1054" s="13" t="n"/>
      <c r="E1054" s="13" t="n"/>
      <c r="F1054" s="17">
        <f>IF($D1054="","",IFERROR(VLOOKUP($E1054,材料归属,2,0),"※材料类别没选"))</f>
        <v/>
      </c>
      <c r="G1054" s="13" t="n"/>
      <c r="H1054" s="13" t="n"/>
      <c r="I1054" s="13" t="n"/>
      <c r="J1054" s="20" t="n"/>
      <c r="K1054" s="14" t="n"/>
      <c r="L1054" s="19">
        <f>IF($D1054="","",ROUND(IF($J1054="",1,$J1054)*N($K1054),2))</f>
        <v/>
      </c>
      <c r="M1054" s="13" t="n"/>
      <c r="N1054" s="17">
        <f>IF($D1054="","",IF(ISNA(MATCH($D1054,项目名表,0)),"※项目不在项目台账里",IF($F1054="※材料类别没选","※材料类别没选",IF(AND($C1054&lt;&gt;"",ISNA(MATCH($C1054,供应商表,0))),"※供应商不在基础资料里",""))))</f>
        <v/>
      </c>
    </row>
    <row r="1055">
      <c r="A1055" s="17">
        <f>IF($D1055="","",ROW()-3)</f>
        <v/>
      </c>
      <c r="B1055" s="18" t="n"/>
      <c r="C1055" s="13" t="n"/>
      <c r="D1055" s="13" t="n"/>
      <c r="E1055" s="13" t="n"/>
      <c r="F1055" s="17">
        <f>IF($D1055="","",IFERROR(VLOOKUP($E1055,材料归属,2,0),"※材料类别没选"))</f>
        <v/>
      </c>
      <c r="G1055" s="13" t="n"/>
      <c r="H1055" s="13" t="n"/>
      <c r="I1055" s="13" t="n"/>
      <c r="J1055" s="20" t="n"/>
      <c r="K1055" s="14" t="n"/>
      <c r="L1055" s="19">
        <f>IF($D1055="","",ROUND(IF($J1055="",1,$J1055)*N($K1055),2))</f>
        <v/>
      </c>
      <c r="M1055" s="13" t="n"/>
      <c r="N1055" s="17">
        <f>IF($D1055="","",IF(ISNA(MATCH($D1055,项目名表,0)),"※项目不在项目台账里",IF($F1055="※材料类别没选","※材料类别没选",IF(AND($C1055&lt;&gt;"",ISNA(MATCH($C1055,供应商表,0))),"※供应商不在基础资料里",""))))</f>
        <v/>
      </c>
    </row>
    <row r="1056">
      <c r="A1056" s="17">
        <f>IF($D1056="","",ROW()-3)</f>
        <v/>
      </c>
      <c r="B1056" s="18" t="n"/>
      <c r="C1056" s="13" t="n"/>
      <c r="D1056" s="13" t="n"/>
      <c r="E1056" s="13" t="n"/>
      <c r="F1056" s="17">
        <f>IF($D1056="","",IFERROR(VLOOKUP($E1056,材料归属,2,0),"※材料类别没选"))</f>
        <v/>
      </c>
      <c r="G1056" s="13" t="n"/>
      <c r="H1056" s="13" t="n"/>
      <c r="I1056" s="13" t="n"/>
      <c r="J1056" s="20" t="n"/>
      <c r="K1056" s="14" t="n"/>
      <c r="L1056" s="19">
        <f>IF($D1056="","",ROUND(IF($J1056="",1,$J1056)*N($K1056),2))</f>
        <v/>
      </c>
      <c r="M1056" s="13" t="n"/>
      <c r="N1056" s="17">
        <f>IF($D1056="","",IF(ISNA(MATCH($D1056,项目名表,0)),"※项目不在项目台账里",IF($F1056="※材料类别没选","※材料类别没选",IF(AND($C1056&lt;&gt;"",ISNA(MATCH($C1056,供应商表,0))),"※供应商不在基础资料里",""))))</f>
        <v/>
      </c>
    </row>
    <row r="1057">
      <c r="A1057" s="17">
        <f>IF($D1057="","",ROW()-3)</f>
        <v/>
      </c>
      <c r="B1057" s="18" t="n"/>
      <c r="C1057" s="13" t="n"/>
      <c r="D1057" s="13" t="n"/>
      <c r="E1057" s="13" t="n"/>
      <c r="F1057" s="17">
        <f>IF($D1057="","",IFERROR(VLOOKUP($E1057,材料归属,2,0),"※材料类别没选"))</f>
        <v/>
      </c>
      <c r="G1057" s="13" t="n"/>
      <c r="H1057" s="13" t="n"/>
      <c r="I1057" s="13" t="n"/>
      <c r="J1057" s="20" t="n"/>
      <c r="K1057" s="14" t="n"/>
      <c r="L1057" s="19">
        <f>IF($D1057="","",ROUND(IF($J1057="",1,$J1057)*N($K1057),2))</f>
        <v/>
      </c>
      <c r="M1057" s="13" t="n"/>
      <c r="N1057" s="17">
        <f>IF($D1057="","",IF(ISNA(MATCH($D1057,项目名表,0)),"※项目不在项目台账里",IF($F1057="※材料类别没选","※材料类别没选",IF(AND($C1057&lt;&gt;"",ISNA(MATCH($C1057,供应商表,0))),"※供应商不在基础资料里",""))))</f>
        <v/>
      </c>
    </row>
    <row r="1058">
      <c r="A1058" s="17">
        <f>IF($D1058="","",ROW()-3)</f>
        <v/>
      </c>
      <c r="B1058" s="18" t="n"/>
      <c r="C1058" s="13" t="n"/>
      <c r="D1058" s="13" t="n"/>
      <c r="E1058" s="13" t="n"/>
      <c r="F1058" s="17">
        <f>IF($D1058="","",IFERROR(VLOOKUP($E1058,材料归属,2,0),"※材料类别没选"))</f>
        <v/>
      </c>
      <c r="G1058" s="13" t="n"/>
      <c r="H1058" s="13" t="n"/>
      <c r="I1058" s="13" t="n"/>
      <c r="J1058" s="20" t="n"/>
      <c r="K1058" s="14" t="n"/>
      <c r="L1058" s="19">
        <f>IF($D1058="","",ROUND(IF($J1058="",1,$J1058)*N($K1058),2))</f>
        <v/>
      </c>
      <c r="M1058" s="13" t="n"/>
      <c r="N1058" s="17">
        <f>IF($D1058="","",IF(ISNA(MATCH($D1058,项目名表,0)),"※项目不在项目台账里",IF($F1058="※材料类别没选","※材料类别没选",IF(AND($C1058&lt;&gt;"",ISNA(MATCH($C1058,供应商表,0))),"※供应商不在基础资料里",""))))</f>
        <v/>
      </c>
    </row>
    <row r="1059">
      <c r="A1059" s="17">
        <f>IF($D1059="","",ROW()-3)</f>
        <v/>
      </c>
      <c r="B1059" s="18" t="n"/>
      <c r="C1059" s="13" t="n"/>
      <c r="D1059" s="13" t="n"/>
      <c r="E1059" s="13" t="n"/>
      <c r="F1059" s="17">
        <f>IF($D1059="","",IFERROR(VLOOKUP($E1059,材料归属,2,0),"※材料类别没选"))</f>
        <v/>
      </c>
      <c r="G1059" s="13" t="n"/>
      <c r="H1059" s="13" t="n"/>
      <c r="I1059" s="13" t="n"/>
      <c r="J1059" s="20" t="n"/>
      <c r="K1059" s="14" t="n"/>
      <c r="L1059" s="19">
        <f>IF($D1059="","",ROUND(IF($J1059="",1,$J1059)*N($K1059),2))</f>
        <v/>
      </c>
      <c r="M1059" s="13" t="n"/>
      <c r="N1059" s="17">
        <f>IF($D1059="","",IF(ISNA(MATCH($D1059,项目名表,0)),"※项目不在项目台账里",IF($F1059="※材料类别没选","※材料类别没选",IF(AND($C1059&lt;&gt;"",ISNA(MATCH($C1059,供应商表,0))),"※供应商不在基础资料里",""))))</f>
        <v/>
      </c>
    </row>
    <row r="1060">
      <c r="A1060" s="17">
        <f>IF($D1060="","",ROW()-3)</f>
        <v/>
      </c>
      <c r="B1060" s="18" t="n"/>
      <c r="C1060" s="13" t="n"/>
      <c r="D1060" s="13" t="n"/>
      <c r="E1060" s="13" t="n"/>
      <c r="F1060" s="17">
        <f>IF($D1060="","",IFERROR(VLOOKUP($E1060,材料归属,2,0),"※材料类别没选"))</f>
        <v/>
      </c>
      <c r="G1060" s="13" t="n"/>
      <c r="H1060" s="13" t="n"/>
      <c r="I1060" s="13" t="n"/>
      <c r="J1060" s="20" t="n"/>
      <c r="K1060" s="14" t="n"/>
      <c r="L1060" s="19">
        <f>IF($D1060="","",ROUND(IF($J1060="",1,$J1060)*N($K1060),2))</f>
        <v/>
      </c>
      <c r="M1060" s="13" t="n"/>
      <c r="N1060" s="17">
        <f>IF($D1060="","",IF(ISNA(MATCH($D1060,项目名表,0)),"※项目不在项目台账里",IF($F1060="※材料类别没选","※材料类别没选",IF(AND($C1060&lt;&gt;"",ISNA(MATCH($C1060,供应商表,0))),"※供应商不在基础资料里",""))))</f>
        <v/>
      </c>
    </row>
    <row r="1061">
      <c r="A1061" s="17">
        <f>IF($D1061="","",ROW()-3)</f>
        <v/>
      </c>
      <c r="B1061" s="18" t="n"/>
      <c r="C1061" s="13" t="n"/>
      <c r="D1061" s="13" t="n"/>
      <c r="E1061" s="13" t="n"/>
      <c r="F1061" s="17">
        <f>IF($D1061="","",IFERROR(VLOOKUP($E1061,材料归属,2,0),"※材料类别没选"))</f>
        <v/>
      </c>
      <c r="G1061" s="13" t="n"/>
      <c r="H1061" s="13" t="n"/>
      <c r="I1061" s="13" t="n"/>
      <c r="J1061" s="20" t="n"/>
      <c r="K1061" s="14" t="n"/>
      <c r="L1061" s="19">
        <f>IF($D1061="","",ROUND(IF($J1061="",1,$J1061)*N($K1061),2))</f>
        <v/>
      </c>
      <c r="M1061" s="13" t="n"/>
      <c r="N1061" s="17">
        <f>IF($D1061="","",IF(ISNA(MATCH($D1061,项目名表,0)),"※项目不在项目台账里",IF($F1061="※材料类别没选","※材料类别没选",IF(AND($C1061&lt;&gt;"",ISNA(MATCH($C1061,供应商表,0))),"※供应商不在基础资料里",""))))</f>
        <v/>
      </c>
    </row>
    <row r="1062">
      <c r="A1062" s="17">
        <f>IF($D1062="","",ROW()-3)</f>
        <v/>
      </c>
      <c r="B1062" s="18" t="n"/>
      <c r="C1062" s="13" t="n"/>
      <c r="D1062" s="13" t="n"/>
      <c r="E1062" s="13" t="n"/>
      <c r="F1062" s="17">
        <f>IF($D1062="","",IFERROR(VLOOKUP($E1062,材料归属,2,0),"※材料类别没选"))</f>
        <v/>
      </c>
      <c r="G1062" s="13" t="n"/>
      <c r="H1062" s="13" t="n"/>
      <c r="I1062" s="13" t="n"/>
      <c r="J1062" s="20" t="n"/>
      <c r="K1062" s="14" t="n"/>
      <c r="L1062" s="19">
        <f>IF($D1062="","",ROUND(IF($J1062="",1,$J1062)*N($K1062),2))</f>
        <v/>
      </c>
      <c r="M1062" s="13" t="n"/>
      <c r="N1062" s="17">
        <f>IF($D1062="","",IF(ISNA(MATCH($D1062,项目名表,0)),"※项目不在项目台账里",IF($F1062="※材料类别没选","※材料类别没选",IF(AND($C1062&lt;&gt;"",ISNA(MATCH($C1062,供应商表,0))),"※供应商不在基础资料里",""))))</f>
        <v/>
      </c>
    </row>
    <row r="1063">
      <c r="A1063" s="17">
        <f>IF($D1063="","",ROW()-3)</f>
        <v/>
      </c>
      <c r="B1063" s="18" t="n"/>
      <c r="C1063" s="13" t="n"/>
      <c r="D1063" s="13" t="n"/>
      <c r="E1063" s="13" t="n"/>
      <c r="F1063" s="17">
        <f>IF($D1063="","",IFERROR(VLOOKUP($E1063,材料归属,2,0),"※材料类别没选"))</f>
        <v/>
      </c>
      <c r="G1063" s="13" t="n"/>
      <c r="H1063" s="13" t="n"/>
      <c r="I1063" s="13" t="n"/>
      <c r="J1063" s="20" t="n"/>
      <c r="K1063" s="14" t="n"/>
      <c r="L1063" s="19">
        <f>IF($D1063="","",ROUND(IF($J1063="",1,$J1063)*N($K1063),2))</f>
        <v/>
      </c>
      <c r="M1063" s="13" t="n"/>
      <c r="N1063" s="17">
        <f>IF($D1063="","",IF(ISNA(MATCH($D1063,项目名表,0)),"※项目不在项目台账里",IF($F1063="※材料类别没选","※材料类别没选",IF(AND($C1063&lt;&gt;"",ISNA(MATCH($C1063,供应商表,0))),"※供应商不在基础资料里",""))))</f>
        <v/>
      </c>
    </row>
    <row r="1064">
      <c r="A1064" s="17">
        <f>IF($D1064="","",ROW()-3)</f>
        <v/>
      </c>
      <c r="B1064" s="18" t="n"/>
      <c r="C1064" s="13" t="n"/>
      <c r="D1064" s="13" t="n"/>
      <c r="E1064" s="13" t="n"/>
      <c r="F1064" s="17">
        <f>IF($D1064="","",IFERROR(VLOOKUP($E1064,材料归属,2,0),"※材料类别没选"))</f>
        <v/>
      </c>
      <c r="G1064" s="13" t="n"/>
      <c r="H1064" s="13" t="n"/>
      <c r="I1064" s="13" t="n"/>
      <c r="J1064" s="20" t="n"/>
      <c r="K1064" s="14" t="n"/>
      <c r="L1064" s="19">
        <f>IF($D1064="","",ROUND(IF($J1064="",1,$J1064)*N($K1064),2))</f>
        <v/>
      </c>
      <c r="M1064" s="13" t="n"/>
      <c r="N1064" s="17">
        <f>IF($D1064="","",IF(ISNA(MATCH($D1064,项目名表,0)),"※项目不在项目台账里",IF($F1064="※材料类别没选","※材料类别没选",IF(AND($C1064&lt;&gt;"",ISNA(MATCH($C1064,供应商表,0))),"※供应商不在基础资料里",""))))</f>
        <v/>
      </c>
    </row>
    <row r="1065">
      <c r="A1065" s="17">
        <f>IF($D1065="","",ROW()-3)</f>
        <v/>
      </c>
      <c r="B1065" s="18" t="n"/>
      <c r="C1065" s="13" t="n"/>
      <c r="D1065" s="13" t="n"/>
      <c r="E1065" s="13" t="n"/>
      <c r="F1065" s="17">
        <f>IF($D1065="","",IFERROR(VLOOKUP($E1065,材料归属,2,0),"※材料类别没选"))</f>
        <v/>
      </c>
      <c r="G1065" s="13" t="n"/>
      <c r="H1065" s="13" t="n"/>
      <c r="I1065" s="13" t="n"/>
      <c r="J1065" s="20" t="n"/>
      <c r="K1065" s="14" t="n"/>
      <c r="L1065" s="19">
        <f>IF($D1065="","",ROUND(IF($J1065="",1,$J1065)*N($K1065),2))</f>
        <v/>
      </c>
      <c r="M1065" s="13" t="n"/>
      <c r="N1065" s="17">
        <f>IF($D1065="","",IF(ISNA(MATCH($D1065,项目名表,0)),"※项目不在项目台账里",IF($F1065="※材料类别没选","※材料类别没选",IF(AND($C1065&lt;&gt;"",ISNA(MATCH($C1065,供应商表,0))),"※供应商不在基础资料里",""))))</f>
        <v/>
      </c>
    </row>
    <row r="1066">
      <c r="A1066" s="17">
        <f>IF($D1066="","",ROW()-3)</f>
        <v/>
      </c>
      <c r="B1066" s="18" t="n"/>
      <c r="C1066" s="13" t="n"/>
      <c r="D1066" s="13" t="n"/>
      <c r="E1066" s="13" t="n"/>
      <c r="F1066" s="17">
        <f>IF($D1066="","",IFERROR(VLOOKUP($E1066,材料归属,2,0),"※材料类别没选"))</f>
        <v/>
      </c>
      <c r="G1066" s="13" t="n"/>
      <c r="H1066" s="13" t="n"/>
      <c r="I1066" s="13" t="n"/>
      <c r="J1066" s="20" t="n"/>
      <c r="K1066" s="14" t="n"/>
      <c r="L1066" s="19">
        <f>IF($D1066="","",ROUND(IF($J1066="",1,$J1066)*N($K1066),2))</f>
        <v/>
      </c>
      <c r="M1066" s="13" t="n"/>
      <c r="N1066" s="17">
        <f>IF($D1066="","",IF(ISNA(MATCH($D1066,项目名表,0)),"※项目不在项目台账里",IF($F1066="※材料类别没选","※材料类别没选",IF(AND($C1066&lt;&gt;"",ISNA(MATCH($C1066,供应商表,0))),"※供应商不在基础资料里",""))))</f>
        <v/>
      </c>
    </row>
    <row r="1067">
      <c r="A1067" s="17">
        <f>IF($D1067="","",ROW()-3)</f>
        <v/>
      </c>
      <c r="B1067" s="18" t="n"/>
      <c r="C1067" s="13" t="n"/>
      <c r="D1067" s="13" t="n"/>
      <c r="E1067" s="13" t="n"/>
      <c r="F1067" s="17">
        <f>IF($D1067="","",IFERROR(VLOOKUP($E1067,材料归属,2,0),"※材料类别没选"))</f>
        <v/>
      </c>
      <c r="G1067" s="13" t="n"/>
      <c r="H1067" s="13" t="n"/>
      <c r="I1067" s="13" t="n"/>
      <c r="J1067" s="20" t="n"/>
      <c r="K1067" s="14" t="n"/>
      <c r="L1067" s="19">
        <f>IF($D1067="","",ROUND(IF($J1067="",1,$J1067)*N($K1067),2))</f>
        <v/>
      </c>
      <c r="M1067" s="13" t="n"/>
      <c r="N1067" s="17">
        <f>IF($D1067="","",IF(ISNA(MATCH($D1067,项目名表,0)),"※项目不在项目台账里",IF($F1067="※材料类别没选","※材料类别没选",IF(AND($C1067&lt;&gt;"",ISNA(MATCH($C1067,供应商表,0))),"※供应商不在基础资料里",""))))</f>
        <v/>
      </c>
    </row>
    <row r="1068">
      <c r="A1068" s="17">
        <f>IF($D1068="","",ROW()-3)</f>
        <v/>
      </c>
      <c r="B1068" s="18" t="n"/>
      <c r="C1068" s="13" t="n"/>
      <c r="D1068" s="13" t="n"/>
      <c r="E1068" s="13" t="n"/>
      <c r="F1068" s="17">
        <f>IF($D1068="","",IFERROR(VLOOKUP($E1068,材料归属,2,0),"※材料类别没选"))</f>
        <v/>
      </c>
      <c r="G1068" s="13" t="n"/>
      <c r="H1068" s="13" t="n"/>
      <c r="I1068" s="13" t="n"/>
      <c r="J1068" s="20" t="n"/>
      <c r="K1068" s="14" t="n"/>
      <c r="L1068" s="19">
        <f>IF($D1068="","",ROUND(IF($J1068="",1,$J1068)*N($K1068),2))</f>
        <v/>
      </c>
      <c r="M1068" s="13" t="n"/>
      <c r="N1068" s="17">
        <f>IF($D1068="","",IF(ISNA(MATCH($D1068,项目名表,0)),"※项目不在项目台账里",IF($F1068="※材料类别没选","※材料类别没选",IF(AND($C1068&lt;&gt;"",ISNA(MATCH($C1068,供应商表,0))),"※供应商不在基础资料里",""))))</f>
        <v/>
      </c>
    </row>
    <row r="1069">
      <c r="A1069" s="17">
        <f>IF($D1069="","",ROW()-3)</f>
        <v/>
      </c>
      <c r="B1069" s="18" t="n"/>
      <c r="C1069" s="13" t="n"/>
      <c r="D1069" s="13" t="n"/>
      <c r="E1069" s="13" t="n"/>
      <c r="F1069" s="17">
        <f>IF($D1069="","",IFERROR(VLOOKUP($E1069,材料归属,2,0),"※材料类别没选"))</f>
        <v/>
      </c>
      <c r="G1069" s="13" t="n"/>
      <c r="H1069" s="13" t="n"/>
      <c r="I1069" s="13" t="n"/>
      <c r="J1069" s="20" t="n"/>
      <c r="K1069" s="14" t="n"/>
      <c r="L1069" s="19">
        <f>IF($D1069="","",ROUND(IF($J1069="",1,$J1069)*N($K1069),2))</f>
        <v/>
      </c>
      <c r="M1069" s="13" t="n"/>
      <c r="N1069" s="17">
        <f>IF($D1069="","",IF(ISNA(MATCH($D1069,项目名表,0)),"※项目不在项目台账里",IF($F1069="※材料类别没选","※材料类别没选",IF(AND($C1069&lt;&gt;"",ISNA(MATCH($C1069,供应商表,0))),"※供应商不在基础资料里",""))))</f>
        <v/>
      </c>
    </row>
    <row r="1070">
      <c r="A1070" s="17">
        <f>IF($D1070="","",ROW()-3)</f>
        <v/>
      </c>
      <c r="B1070" s="18" t="n"/>
      <c r="C1070" s="13" t="n"/>
      <c r="D1070" s="13" t="n"/>
      <c r="E1070" s="13" t="n"/>
      <c r="F1070" s="17">
        <f>IF($D1070="","",IFERROR(VLOOKUP($E1070,材料归属,2,0),"※材料类别没选"))</f>
        <v/>
      </c>
      <c r="G1070" s="13" t="n"/>
      <c r="H1070" s="13" t="n"/>
      <c r="I1070" s="13" t="n"/>
      <c r="J1070" s="20" t="n"/>
      <c r="K1070" s="14" t="n"/>
      <c r="L1070" s="19">
        <f>IF($D1070="","",ROUND(IF($J1070="",1,$J1070)*N($K1070),2))</f>
        <v/>
      </c>
      <c r="M1070" s="13" t="n"/>
      <c r="N1070" s="17">
        <f>IF($D1070="","",IF(ISNA(MATCH($D1070,项目名表,0)),"※项目不在项目台账里",IF($F1070="※材料类别没选","※材料类别没选",IF(AND($C1070&lt;&gt;"",ISNA(MATCH($C1070,供应商表,0))),"※供应商不在基础资料里",""))))</f>
        <v/>
      </c>
    </row>
    <row r="1071">
      <c r="A1071" s="17">
        <f>IF($D1071="","",ROW()-3)</f>
        <v/>
      </c>
      <c r="B1071" s="18" t="n"/>
      <c r="C1071" s="13" t="n"/>
      <c r="D1071" s="13" t="n"/>
      <c r="E1071" s="13" t="n"/>
      <c r="F1071" s="17">
        <f>IF($D1071="","",IFERROR(VLOOKUP($E1071,材料归属,2,0),"※材料类别没选"))</f>
        <v/>
      </c>
      <c r="G1071" s="13" t="n"/>
      <c r="H1071" s="13" t="n"/>
      <c r="I1071" s="13" t="n"/>
      <c r="J1071" s="20" t="n"/>
      <c r="K1071" s="14" t="n"/>
      <c r="L1071" s="19">
        <f>IF($D1071="","",ROUND(IF($J1071="",1,$J1071)*N($K1071),2))</f>
        <v/>
      </c>
      <c r="M1071" s="13" t="n"/>
      <c r="N1071" s="17">
        <f>IF($D1071="","",IF(ISNA(MATCH($D1071,项目名表,0)),"※项目不在项目台账里",IF($F1071="※材料类别没选","※材料类别没选",IF(AND($C1071&lt;&gt;"",ISNA(MATCH($C1071,供应商表,0))),"※供应商不在基础资料里",""))))</f>
        <v/>
      </c>
    </row>
    <row r="1072">
      <c r="A1072" s="17">
        <f>IF($D1072="","",ROW()-3)</f>
        <v/>
      </c>
      <c r="B1072" s="18" t="n"/>
      <c r="C1072" s="13" t="n"/>
      <c r="D1072" s="13" t="n"/>
      <c r="E1072" s="13" t="n"/>
      <c r="F1072" s="17">
        <f>IF($D1072="","",IFERROR(VLOOKUP($E1072,材料归属,2,0),"※材料类别没选"))</f>
        <v/>
      </c>
      <c r="G1072" s="13" t="n"/>
      <c r="H1072" s="13" t="n"/>
      <c r="I1072" s="13" t="n"/>
      <c r="J1072" s="20" t="n"/>
      <c r="K1072" s="14" t="n"/>
      <c r="L1072" s="19">
        <f>IF($D1072="","",ROUND(IF($J1072="",1,$J1072)*N($K1072),2))</f>
        <v/>
      </c>
      <c r="M1072" s="13" t="n"/>
      <c r="N1072" s="17">
        <f>IF($D1072="","",IF(ISNA(MATCH($D1072,项目名表,0)),"※项目不在项目台账里",IF($F1072="※材料类别没选","※材料类别没选",IF(AND($C1072&lt;&gt;"",ISNA(MATCH($C1072,供应商表,0))),"※供应商不在基础资料里",""))))</f>
        <v/>
      </c>
    </row>
    <row r="1073">
      <c r="A1073" s="17">
        <f>IF($D1073="","",ROW()-3)</f>
        <v/>
      </c>
      <c r="B1073" s="18" t="n"/>
      <c r="C1073" s="13" t="n"/>
      <c r="D1073" s="13" t="n"/>
      <c r="E1073" s="13" t="n"/>
      <c r="F1073" s="17">
        <f>IF($D1073="","",IFERROR(VLOOKUP($E1073,材料归属,2,0),"※材料类别没选"))</f>
        <v/>
      </c>
      <c r="G1073" s="13" t="n"/>
      <c r="H1073" s="13" t="n"/>
      <c r="I1073" s="13" t="n"/>
      <c r="J1073" s="20" t="n"/>
      <c r="K1073" s="14" t="n"/>
      <c r="L1073" s="19">
        <f>IF($D1073="","",ROUND(IF($J1073="",1,$J1073)*N($K1073),2))</f>
        <v/>
      </c>
      <c r="M1073" s="13" t="n"/>
      <c r="N1073" s="17">
        <f>IF($D1073="","",IF(ISNA(MATCH($D1073,项目名表,0)),"※项目不在项目台账里",IF($F1073="※材料类别没选","※材料类别没选",IF(AND($C1073&lt;&gt;"",ISNA(MATCH($C1073,供应商表,0))),"※供应商不在基础资料里",""))))</f>
        <v/>
      </c>
    </row>
    <row r="1074">
      <c r="A1074" s="17">
        <f>IF($D1074="","",ROW()-3)</f>
        <v/>
      </c>
      <c r="B1074" s="18" t="n"/>
      <c r="C1074" s="13" t="n"/>
      <c r="D1074" s="13" t="n"/>
      <c r="E1074" s="13" t="n"/>
      <c r="F1074" s="17">
        <f>IF($D1074="","",IFERROR(VLOOKUP($E1074,材料归属,2,0),"※材料类别没选"))</f>
        <v/>
      </c>
      <c r="G1074" s="13" t="n"/>
      <c r="H1074" s="13" t="n"/>
      <c r="I1074" s="13" t="n"/>
      <c r="J1074" s="20" t="n"/>
      <c r="K1074" s="14" t="n"/>
      <c r="L1074" s="19">
        <f>IF($D1074="","",ROUND(IF($J1074="",1,$J1074)*N($K1074),2))</f>
        <v/>
      </c>
      <c r="M1074" s="13" t="n"/>
      <c r="N1074" s="17">
        <f>IF($D1074="","",IF(ISNA(MATCH($D1074,项目名表,0)),"※项目不在项目台账里",IF($F1074="※材料类别没选","※材料类别没选",IF(AND($C1074&lt;&gt;"",ISNA(MATCH($C1074,供应商表,0))),"※供应商不在基础资料里",""))))</f>
        <v/>
      </c>
    </row>
    <row r="1075">
      <c r="A1075" s="17">
        <f>IF($D1075="","",ROW()-3)</f>
        <v/>
      </c>
      <c r="B1075" s="18" t="n"/>
      <c r="C1075" s="13" t="n"/>
      <c r="D1075" s="13" t="n"/>
      <c r="E1075" s="13" t="n"/>
      <c r="F1075" s="17">
        <f>IF($D1075="","",IFERROR(VLOOKUP($E1075,材料归属,2,0),"※材料类别没选"))</f>
        <v/>
      </c>
      <c r="G1075" s="13" t="n"/>
      <c r="H1075" s="13" t="n"/>
      <c r="I1075" s="13" t="n"/>
      <c r="J1075" s="20" t="n"/>
      <c r="K1075" s="14" t="n"/>
      <c r="L1075" s="19">
        <f>IF($D1075="","",ROUND(IF($J1075="",1,$J1075)*N($K1075),2))</f>
        <v/>
      </c>
      <c r="M1075" s="13" t="n"/>
      <c r="N1075" s="17">
        <f>IF($D1075="","",IF(ISNA(MATCH($D1075,项目名表,0)),"※项目不在项目台账里",IF($F1075="※材料类别没选","※材料类别没选",IF(AND($C1075&lt;&gt;"",ISNA(MATCH($C1075,供应商表,0))),"※供应商不在基础资料里",""))))</f>
        <v/>
      </c>
    </row>
    <row r="1076">
      <c r="A1076" s="17">
        <f>IF($D1076="","",ROW()-3)</f>
        <v/>
      </c>
      <c r="B1076" s="18" t="n"/>
      <c r="C1076" s="13" t="n"/>
      <c r="D1076" s="13" t="n"/>
      <c r="E1076" s="13" t="n"/>
      <c r="F1076" s="17">
        <f>IF($D1076="","",IFERROR(VLOOKUP($E1076,材料归属,2,0),"※材料类别没选"))</f>
        <v/>
      </c>
      <c r="G1076" s="13" t="n"/>
      <c r="H1076" s="13" t="n"/>
      <c r="I1076" s="13" t="n"/>
      <c r="J1076" s="20" t="n"/>
      <c r="K1076" s="14" t="n"/>
      <c r="L1076" s="19">
        <f>IF($D1076="","",ROUND(IF($J1076="",1,$J1076)*N($K1076),2))</f>
        <v/>
      </c>
      <c r="M1076" s="13" t="n"/>
      <c r="N1076" s="17">
        <f>IF($D1076="","",IF(ISNA(MATCH($D1076,项目名表,0)),"※项目不在项目台账里",IF($F1076="※材料类别没选","※材料类别没选",IF(AND($C1076&lt;&gt;"",ISNA(MATCH($C1076,供应商表,0))),"※供应商不在基础资料里",""))))</f>
        <v/>
      </c>
    </row>
    <row r="1077">
      <c r="A1077" s="17">
        <f>IF($D1077="","",ROW()-3)</f>
        <v/>
      </c>
      <c r="B1077" s="18" t="n"/>
      <c r="C1077" s="13" t="n"/>
      <c r="D1077" s="13" t="n"/>
      <c r="E1077" s="13" t="n"/>
      <c r="F1077" s="17">
        <f>IF($D1077="","",IFERROR(VLOOKUP($E1077,材料归属,2,0),"※材料类别没选"))</f>
        <v/>
      </c>
      <c r="G1077" s="13" t="n"/>
      <c r="H1077" s="13" t="n"/>
      <c r="I1077" s="13" t="n"/>
      <c r="J1077" s="20" t="n"/>
      <c r="K1077" s="14" t="n"/>
      <c r="L1077" s="19">
        <f>IF($D1077="","",ROUND(IF($J1077="",1,$J1077)*N($K1077),2))</f>
        <v/>
      </c>
      <c r="M1077" s="13" t="n"/>
      <c r="N1077" s="17">
        <f>IF($D1077="","",IF(ISNA(MATCH($D1077,项目名表,0)),"※项目不在项目台账里",IF($F1077="※材料类别没选","※材料类别没选",IF(AND($C1077&lt;&gt;"",ISNA(MATCH($C1077,供应商表,0))),"※供应商不在基础资料里",""))))</f>
        <v/>
      </c>
    </row>
    <row r="1078">
      <c r="A1078" s="17">
        <f>IF($D1078="","",ROW()-3)</f>
        <v/>
      </c>
      <c r="B1078" s="18" t="n"/>
      <c r="C1078" s="13" t="n"/>
      <c r="D1078" s="13" t="n"/>
      <c r="E1078" s="13" t="n"/>
      <c r="F1078" s="17">
        <f>IF($D1078="","",IFERROR(VLOOKUP($E1078,材料归属,2,0),"※材料类别没选"))</f>
        <v/>
      </c>
      <c r="G1078" s="13" t="n"/>
      <c r="H1078" s="13" t="n"/>
      <c r="I1078" s="13" t="n"/>
      <c r="J1078" s="20" t="n"/>
      <c r="K1078" s="14" t="n"/>
      <c r="L1078" s="19">
        <f>IF($D1078="","",ROUND(IF($J1078="",1,$J1078)*N($K1078),2))</f>
        <v/>
      </c>
      <c r="M1078" s="13" t="n"/>
      <c r="N1078" s="17">
        <f>IF($D1078="","",IF(ISNA(MATCH($D1078,项目名表,0)),"※项目不在项目台账里",IF($F1078="※材料类别没选","※材料类别没选",IF(AND($C1078&lt;&gt;"",ISNA(MATCH($C1078,供应商表,0))),"※供应商不在基础资料里",""))))</f>
        <v/>
      </c>
    </row>
    <row r="1079">
      <c r="A1079" s="17">
        <f>IF($D1079="","",ROW()-3)</f>
        <v/>
      </c>
      <c r="B1079" s="18" t="n"/>
      <c r="C1079" s="13" t="n"/>
      <c r="D1079" s="13" t="n"/>
      <c r="E1079" s="13" t="n"/>
      <c r="F1079" s="17">
        <f>IF($D1079="","",IFERROR(VLOOKUP($E1079,材料归属,2,0),"※材料类别没选"))</f>
        <v/>
      </c>
      <c r="G1079" s="13" t="n"/>
      <c r="H1079" s="13" t="n"/>
      <c r="I1079" s="13" t="n"/>
      <c r="J1079" s="20" t="n"/>
      <c r="K1079" s="14" t="n"/>
      <c r="L1079" s="19">
        <f>IF($D1079="","",ROUND(IF($J1079="",1,$J1079)*N($K1079),2))</f>
        <v/>
      </c>
      <c r="M1079" s="13" t="n"/>
      <c r="N1079" s="17">
        <f>IF($D1079="","",IF(ISNA(MATCH($D1079,项目名表,0)),"※项目不在项目台账里",IF($F1079="※材料类别没选","※材料类别没选",IF(AND($C1079&lt;&gt;"",ISNA(MATCH($C1079,供应商表,0))),"※供应商不在基础资料里",""))))</f>
        <v/>
      </c>
    </row>
    <row r="1080">
      <c r="A1080" s="17">
        <f>IF($D1080="","",ROW()-3)</f>
        <v/>
      </c>
      <c r="B1080" s="18" t="n"/>
      <c r="C1080" s="13" t="n"/>
      <c r="D1080" s="13" t="n"/>
      <c r="E1080" s="13" t="n"/>
      <c r="F1080" s="17">
        <f>IF($D1080="","",IFERROR(VLOOKUP($E1080,材料归属,2,0),"※材料类别没选"))</f>
        <v/>
      </c>
      <c r="G1080" s="13" t="n"/>
      <c r="H1080" s="13" t="n"/>
      <c r="I1080" s="13" t="n"/>
      <c r="J1080" s="20" t="n"/>
      <c r="K1080" s="14" t="n"/>
      <c r="L1080" s="19">
        <f>IF($D1080="","",ROUND(IF($J1080="",1,$J1080)*N($K1080),2))</f>
        <v/>
      </c>
      <c r="M1080" s="13" t="n"/>
      <c r="N1080" s="17">
        <f>IF($D1080="","",IF(ISNA(MATCH($D1080,项目名表,0)),"※项目不在项目台账里",IF($F1080="※材料类别没选","※材料类别没选",IF(AND($C1080&lt;&gt;"",ISNA(MATCH($C1080,供应商表,0))),"※供应商不在基础资料里",""))))</f>
        <v/>
      </c>
    </row>
    <row r="1081">
      <c r="A1081" s="17">
        <f>IF($D1081="","",ROW()-3)</f>
        <v/>
      </c>
      <c r="B1081" s="18" t="n"/>
      <c r="C1081" s="13" t="n"/>
      <c r="D1081" s="13" t="n"/>
      <c r="E1081" s="13" t="n"/>
      <c r="F1081" s="17">
        <f>IF($D1081="","",IFERROR(VLOOKUP($E1081,材料归属,2,0),"※材料类别没选"))</f>
        <v/>
      </c>
      <c r="G1081" s="13" t="n"/>
      <c r="H1081" s="13" t="n"/>
      <c r="I1081" s="13" t="n"/>
      <c r="J1081" s="20" t="n"/>
      <c r="K1081" s="14" t="n"/>
      <c r="L1081" s="19">
        <f>IF($D1081="","",ROUND(IF($J1081="",1,$J1081)*N($K1081),2))</f>
        <v/>
      </c>
      <c r="M1081" s="13" t="n"/>
      <c r="N1081" s="17">
        <f>IF($D1081="","",IF(ISNA(MATCH($D1081,项目名表,0)),"※项目不在项目台账里",IF($F1081="※材料类别没选","※材料类别没选",IF(AND($C1081&lt;&gt;"",ISNA(MATCH($C1081,供应商表,0))),"※供应商不在基础资料里",""))))</f>
        <v/>
      </c>
    </row>
    <row r="1082">
      <c r="A1082" s="17">
        <f>IF($D1082="","",ROW()-3)</f>
        <v/>
      </c>
      <c r="B1082" s="18" t="n"/>
      <c r="C1082" s="13" t="n"/>
      <c r="D1082" s="13" t="n"/>
      <c r="E1082" s="13" t="n"/>
      <c r="F1082" s="17">
        <f>IF($D1082="","",IFERROR(VLOOKUP($E1082,材料归属,2,0),"※材料类别没选"))</f>
        <v/>
      </c>
      <c r="G1082" s="13" t="n"/>
      <c r="H1082" s="13" t="n"/>
      <c r="I1082" s="13" t="n"/>
      <c r="J1082" s="20" t="n"/>
      <c r="K1082" s="14" t="n"/>
      <c r="L1082" s="19">
        <f>IF($D1082="","",ROUND(IF($J1082="",1,$J1082)*N($K1082),2))</f>
        <v/>
      </c>
      <c r="M1082" s="13" t="n"/>
      <c r="N1082" s="17">
        <f>IF($D1082="","",IF(ISNA(MATCH($D1082,项目名表,0)),"※项目不在项目台账里",IF($F1082="※材料类别没选","※材料类别没选",IF(AND($C1082&lt;&gt;"",ISNA(MATCH($C1082,供应商表,0))),"※供应商不在基础资料里",""))))</f>
        <v/>
      </c>
    </row>
    <row r="1083">
      <c r="A1083" s="17">
        <f>IF($D1083="","",ROW()-3)</f>
        <v/>
      </c>
      <c r="B1083" s="18" t="n"/>
      <c r="C1083" s="13" t="n"/>
      <c r="D1083" s="13" t="n"/>
      <c r="E1083" s="13" t="n"/>
      <c r="F1083" s="17">
        <f>IF($D1083="","",IFERROR(VLOOKUP($E1083,材料归属,2,0),"※材料类别没选"))</f>
        <v/>
      </c>
      <c r="G1083" s="13" t="n"/>
      <c r="H1083" s="13" t="n"/>
      <c r="I1083" s="13" t="n"/>
      <c r="J1083" s="20" t="n"/>
      <c r="K1083" s="14" t="n"/>
      <c r="L1083" s="19">
        <f>IF($D1083="","",ROUND(IF($J1083="",1,$J1083)*N($K1083),2))</f>
        <v/>
      </c>
      <c r="M1083" s="13" t="n"/>
      <c r="N1083" s="17">
        <f>IF($D1083="","",IF(ISNA(MATCH($D1083,项目名表,0)),"※项目不在项目台账里",IF($F1083="※材料类别没选","※材料类别没选",IF(AND($C1083&lt;&gt;"",ISNA(MATCH($C1083,供应商表,0))),"※供应商不在基础资料里",""))))</f>
        <v/>
      </c>
    </row>
    <row r="1084">
      <c r="A1084" s="17">
        <f>IF($D1084="","",ROW()-3)</f>
        <v/>
      </c>
      <c r="B1084" s="18" t="n"/>
      <c r="C1084" s="13" t="n"/>
      <c r="D1084" s="13" t="n"/>
      <c r="E1084" s="13" t="n"/>
      <c r="F1084" s="17">
        <f>IF($D1084="","",IFERROR(VLOOKUP($E1084,材料归属,2,0),"※材料类别没选"))</f>
        <v/>
      </c>
      <c r="G1084" s="13" t="n"/>
      <c r="H1084" s="13" t="n"/>
      <c r="I1084" s="13" t="n"/>
      <c r="J1084" s="20" t="n"/>
      <c r="K1084" s="14" t="n"/>
      <c r="L1084" s="19">
        <f>IF($D1084="","",ROUND(IF($J1084="",1,$J1084)*N($K1084),2))</f>
        <v/>
      </c>
      <c r="M1084" s="13" t="n"/>
      <c r="N1084" s="17">
        <f>IF($D1084="","",IF(ISNA(MATCH($D1084,项目名表,0)),"※项目不在项目台账里",IF($F1084="※材料类别没选","※材料类别没选",IF(AND($C1084&lt;&gt;"",ISNA(MATCH($C1084,供应商表,0))),"※供应商不在基础资料里",""))))</f>
        <v/>
      </c>
    </row>
    <row r="1085">
      <c r="A1085" s="17">
        <f>IF($D1085="","",ROW()-3)</f>
        <v/>
      </c>
      <c r="B1085" s="18" t="n"/>
      <c r="C1085" s="13" t="n"/>
      <c r="D1085" s="13" t="n"/>
      <c r="E1085" s="13" t="n"/>
      <c r="F1085" s="17">
        <f>IF($D1085="","",IFERROR(VLOOKUP($E1085,材料归属,2,0),"※材料类别没选"))</f>
        <v/>
      </c>
      <c r="G1085" s="13" t="n"/>
      <c r="H1085" s="13" t="n"/>
      <c r="I1085" s="13" t="n"/>
      <c r="J1085" s="20" t="n"/>
      <c r="K1085" s="14" t="n"/>
      <c r="L1085" s="19">
        <f>IF($D1085="","",ROUND(IF($J1085="",1,$J1085)*N($K1085),2))</f>
        <v/>
      </c>
      <c r="M1085" s="13" t="n"/>
      <c r="N1085" s="17">
        <f>IF($D1085="","",IF(ISNA(MATCH($D1085,项目名表,0)),"※项目不在项目台账里",IF($F1085="※材料类别没选","※材料类别没选",IF(AND($C1085&lt;&gt;"",ISNA(MATCH($C1085,供应商表,0))),"※供应商不在基础资料里",""))))</f>
        <v/>
      </c>
    </row>
    <row r="1086">
      <c r="A1086" s="17">
        <f>IF($D1086="","",ROW()-3)</f>
        <v/>
      </c>
      <c r="B1086" s="18" t="n"/>
      <c r="C1086" s="13" t="n"/>
      <c r="D1086" s="13" t="n"/>
      <c r="E1086" s="13" t="n"/>
      <c r="F1086" s="17">
        <f>IF($D1086="","",IFERROR(VLOOKUP($E1086,材料归属,2,0),"※材料类别没选"))</f>
        <v/>
      </c>
      <c r="G1086" s="13" t="n"/>
      <c r="H1086" s="13" t="n"/>
      <c r="I1086" s="13" t="n"/>
      <c r="J1086" s="20" t="n"/>
      <c r="K1086" s="14" t="n"/>
      <c r="L1086" s="19">
        <f>IF($D1086="","",ROUND(IF($J1086="",1,$J1086)*N($K1086),2))</f>
        <v/>
      </c>
      <c r="M1086" s="13" t="n"/>
      <c r="N1086" s="17">
        <f>IF($D1086="","",IF(ISNA(MATCH($D1086,项目名表,0)),"※项目不在项目台账里",IF($F1086="※材料类别没选","※材料类别没选",IF(AND($C1086&lt;&gt;"",ISNA(MATCH($C1086,供应商表,0))),"※供应商不在基础资料里",""))))</f>
        <v/>
      </c>
    </row>
    <row r="1087">
      <c r="A1087" s="17">
        <f>IF($D1087="","",ROW()-3)</f>
        <v/>
      </c>
      <c r="B1087" s="18" t="n"/>
      <c r="C1087" s="13" t="n"/>
      <c r="D1087" s="13" t="n"/>
      <c r="E1087" s="13" t="n"/>
      <c r="F1087" s="17">
        <f>IF($D1087="","",IFERROR(VLOOKUP($E1087,材料归属,2,0),"※材料类别没选"))</f>
        <v/>
      </c>
      <c r="G1087" s="13" t="n"/>
      <c r="H1087" s="13" t="n"/>
      <c r="I1087" s="13" t="n"/>
      <c r="J1087" s="20" t="n"/>
      <c r="K1087" s="14" t="n"/>
      <c r="L1087" s="19">
        <f>IF($D1087="","",ROUND(IF($J1087="",1,$J1087)*N($K1087),2))</f>
        <v/>
      </c>
      <c r="M1087" s="13" t="n"/>
      <c r="N1087" s="17">
        <f>IF($D1087="","",IF(ISNA(MATCH($D1087,项目名表,0)),"※项目不在项目台账里",IF($F1087="※材料类别没选","※材料类别没选",IF(AND($C1087&lt;&gt;"",ISNA(MATCH($C1087,供应商表,0))),"※供应商不在基础资料里",""))))</f>
        <v/>
      </c>
    </row>
    <row r="1088">
      <c r="A1088" s="17">
        <f>IF($D1088="","",ROW()-3)</f>
        <v/>
      </c>
      <c r="B1088" s="18" t="n"/>
      <c r="C1088" s="13" t="n"/>
      <c r="D1088" s="13" t="n"/>
      <c r="E1088" s="13" t="n"/>
      <c r="F1088" s="17">
        <f>IF($D1088="","",IFERROR(VLOOKUP($E1088,材料归属,2,0),"※材料类别没选"))</f>
        <v/>
      </c>
      <c r="G1088" s="13" t="n"/>
      <c r="H1088" s="13" t="n"/>
      <c r="I1088" s="13" t="n"/>
      <c r="J1088" s="20" t="n"/>
      <c r="K1088" s="14" t="n"/>
      <c r="L1088" s="19">
        <f>IF($D1088="","",ROUND(IF($J1088="",1,$J1088)*N($K1088),2))</f>
        <v/>
      </c>
      <c r="M1088" s="13" t="n"/>
      <c r="N1088" s="17">
        <f>IF($D1088="","",IF(ISNA(MATCH($D1088,项目名表,0)),"※项目不在项目台账里",IF($F1088="※材料类别没选","※材料类别没选",IF(AND($C1088&lt;&gt;"",ISNA(MATCH($C1088,供应商表,0))),"※供应商不在基础资料里",""))))</f>
        <v/>
      </c>
    </row>
    <row r="1089">
      <c r="A1089" s="17">
        <f>IF($D1089="","",ROW()-3)</f>
        <v/>
      </c>
      <c r="B1089" s="18" t="n"/>
      <c r="C1089" s="13" t="n"/>
      <c r="D1089" s="13" t="n"/>
      <c r="E1089" s="13" t="n"/>
      <c r="F1089" s="17">
        <f>IF($D1089="","",IFERROR(VLOOKUP($E1089,材料归属,2,0),"※材料类别没选"))</f>
        <v/>
      </c>
      <c r="G1089" s="13" t="n"/>
      <c r="H1089" s="13" t="n"/>
      <c r="I1089" s="13" t="n"/>
      <c r="J1089" s="20" t="n"/>
      <c r="K1089" s="14" t="n"/>
      <c r="L1089" s="19">
        <f>IF($D1089="","",ROUND(IF($J1089="",1,$J1089)*N($K1089),2))</f>
        <v/>
      </c>
      <c r="M1089" s="13" t="n"/>
      <c r="N1089" s="17">
        <f>IF($D1089="","",IF(ISNA(MATCH($D1089,项目名表,0)),"※项目不在项目台账里",IF($F1089="※材料类别没选","※材料类别没选",IF(AND($C1089&lt;&gt;"",ISNA(MATCH($C1089,供应商表,0))),"※供应商不在基础资料里",""))))</f>
        <v/>
      </c>
    </row>
    <row r="1090">
      <c r="A1090" s="17">
        <f>IF($D1090="","",ROW()-3)</f>
        <v/>
      </c>
      <c r="B1090" s="18" t="n"/>
      <c r="C1090" s="13" t="n"/>
      <c r="D1090" s="13" t="n"/>
      <c r="E1090" s="13" t="n"/>
      <c r="F1090" s="17">
        <f>IF($D1090="","",IFERROR(VLOOKUP($E1090,材料归属,2,0),"※材料类别没选"))</f>
        <v/>
      </c>
      <c r="G1090" s="13" t="n"/>
      <c r="H1090" s="13" t="n"/>
      <c r="I1090" s="13" t="n"/>
      <c r="J1090" s="20" t="n"/>
      <c r="K1090" s="14" t="n"/>
      <c r="L1090" s="19">
        <f>IF($D1090="","",ROUND(IF($J1090="",1,$J1090)*N($K1090),2))</f>
        <v/>
      </c>
      <c r="M1090" s="13" t="n"/>
      <c r="N1090" s="17">
        <f>IF($D1090="","",IF(ISNA(MATCH($D1090,项目名表,0)),"※项目不在项目台账里",IF($F1090="※材料类别没选","※材料类别没选",IF(AND($C1090&lt;&gt;"",ISNA(MATCH($C1090,供应商表,0))),"※供应商不在基础资料里",""))))</f>
        <v/>
      </c>
    </row>
    <row r="1091">
      <c r="A1091" s="17">
        <f>IF($D1091="","",ROW()-3)</f>
        <v/>
      </c>
      <c r="B1091" s="18" t="n"/>
      <c r="C1091" s="13" t="n"/>
      <c r="D1091" s="13" t="n"/>
      <c r="E1091" s="13" t="n"/>
      <c r="F1091" s="17">
        <f>IF($D1091="","",IFERROR(VLOOKUP($E1091,材料归属,2,0),"※材料类别没选"))</f>
        <v/>
      </c>
      <c r="G1091" s="13" t="n"/>
      <c r="H1091" s="13" t="n"/>
      <c r="I1091" s="13" t="n"/>
      <c r="J1091" s="20" t="n"/>
      <c r="K1091" s="14" t="n"/>
      <c r="L1091" s="19">
        <f>IF($D1091="","",ROUND(IF($J1091="",1,$J1091)*N($K1091),2))</f>
        <v/>
      </c>
      <c r="M1091" s="13" t="n"/>
      <c r="N1091" s="17">
        <f>IF($D1091="","",IF(ISNA(MATCH($D1091,项目名表,0)),"※项目不在项目台账里",IF($F1091="※材料类别没选","※材料类别没选",IF(AND($C1091&lt;&gt;"",ISNA(MATCH($C1091,供应商表,0))),"※供应商不在基础资料里",""))))</f>
        <v/>
      </c>
    </row>
    <row r="1092">
      <c r="A1092" s="17">
        <f>IF($D1092="","",ROW()-3)</f>
        <v/>
      </c>
      <c r="B1092" s="18" t="n"/>
      <c r="C1092" s="13" t="n"/>
      <c r="D1092" s="13" t="n"/>
      <c r="E1092" s="13" t="n"/>
      <c r="F1092" s="17">
        <f>IF($D1092="","",IFERROR(VLOOKUP($E1092,材料归属,2,0),"※材料类别没选"))</f>
        <v/>
      </c>
      <c r="G1092" s="13" t="n"/>
      <c r="H1092" s="13" t="n"/>
      <c r="I1092" s="13" t="n"/>
      <c r="J1092" s="20" t="n"/>
      <c r="K1092" s="14" t="n"/>
      <c r="L1092" s="19">
        <f>IF($D1092="","",ROUND(IF($J1092="",1,$J1092)*N($K1092),2))</f>
        <v/>
      </c>
      <c r="M1092" s="13" t="n"/>
      <c r="N1092" s="17">
        <f>IF($D1092="","",IF(ISNA(MATCH($D1092,项目名表,0)),"※项目不在项目台账里",IF($F1092="※材料类别没选","※材料类别没选",IF(AND($C1092&lt;&gt;"",ISNA(MATCH($C1092,供应商表,0))),"※供应商不在基础资料里",""))))</f>
        <v/>
      </c>
    </row>
    <row r="1093">
      <c r="A1093" s="17">
        <f>IF($D1093="","",ROW()-3)</f>
        <v/>
      </c>
      <c r="B1093" s="18" t="n"/>
      <c r="C1093" s="13" t="n"/>
      <c r="D1093" s="13" t="n"/>
      <c r="E1093" s="13" t="n"/>
      <c r="F1093" s="17">
        <f>IF($D1093="","",IFERROR(VLOOKUP($E1093,材料归属,2,0),"※材料类别没选"))</f>
        <v/>
      </c>
      <c r="G1093" s="13" t="n"/>
      <c r="H1093" s="13" t="n"/>
      <c r="I1093" s="13" t="n"/>
      <c r="J1093" s="20" t="n"/>
      <c r="K1093" s="14" t="n"/>
      <c r="L1093" s="19">
        <f>IF($D1093="","",ROUND(IF($J1093="",1,$J1093)*N($K1093),2))</f>
        <v/>
      </c>
      <c r="M1093" s="13" t="n"/>
      <c r="N1093" s="17">
        <f>IF($D1093="","",IF(ISNA(MATCH($D1093,项目名表,0)),"※项目不在项目台账里",IF($F1093="※材料类别没选","※材料类别没选",IF(AND($C1093&lt;&gt;"",ISNA(MATCH($C1093,供应商表,0))),"※供应商不在基础资料里",""))))</f>
        <v/>
      </c>
    </row>
    <row r="1094">
      <c r="A1094" s="17">
        <f>IF($D1094="","",ROW()-3)</f>
        <v/>
      </c>
      <c r="B1094" s="18" t="n"/>
      <c r="C1094" s="13" t="n"/>
      <c r="D1094" s="13" t="n"/>
      <c r="E1094" s="13" t="n"/>
      <c r="F1094" s="17">
        <f>IF($D1094="","",IFERROR(VLOOKUP($E1094,材料归属,2,0),"※材料类别没选"))</f>
        <v/>
      </c>
      <c r="G1094" s="13" t="n"/>
      <c r="H1094" s="13" t="n"/>
      <c r="I1094" s="13" t="n"/>
      <c r="J1094" s="20" t="n"/>
      <c r="K1094" s="14" t="n"/>
      <c r="L1094" s="19">
        <f>IF($D1094="","",ROUND(IF($J1094="",1,$J1094)*N($K1094),2))</f>
        <v/>
      </c>
      <c r="M1094" s="13" t="n"/>
      <c r="N1094" s="17">
        <f>IF($D1094="","",IF(ISNA(MATCH($D1094,项目名表,0)),"※项目不在项目台账里",IF($F1094="※材料类别没选","※材料类别没选",IF(AND($C1094&lt;&gt;"",ISNA(MATCH($C1094,供应商表,0))),"※供应商不在基础资料里",""))))</f>
        <v/>
      </c>
    </row>
    <row r="1095">
      <c r="A1095" s="17">
        <f>IF($D1095="","",ROW()-3)</f>
        <v/>
      </c>
      <c r="B1095" s="18" t="n"/>
      <c r="C1095" s="13" t="n"/>
      <c r="D1095" s="13" t="n"/>
      <c r="E1095" s="13" t="n"/>
      <c r="F1095" s="17">
        <f>IF($D1095="","",IFERROR(VLOOKUP($E1095,材料归属,2,0),"※材料类别没选"))</f>
        <v/>
      </c>
      <c r="G1095" s="13" t="n"/>
      <c r="H1095" s="13" t="n"/>
      <c r="I1095" s="13" t="n"/>
      <c r="J1095" s="20" t="n"/>
      <c r="K1095" s="14" t="n"/>
      <c r="L1095" s="19">
        <f>IF($D1095="","",ROUND(IF($J1095="",1,$J1095)*N($K1095),2))</f>
        <v/>
      </c>
      <c r="M1095" s="13" t="n"/>
      <c r="N1095" s="17">
        <f>IF($D1095="","",IF(ISNA(MATCH($D1095,项目名表,0)),"※项目不在项目台账里",IF($F1095="※材料类别没选","※材料类别没选",IF(AND($C1095&lt;&gt;"",ISNA(MATCH($C1095,供应商表,0))),"※供应商不在基础资料里",""))))</f>
        <v/>
      </c>
    </row>
    <row r="1096">
      <c r="A1096" s="17">
        <f>IF($D1096="","",ROW()-3)</f>
        <v/>
      </c>
      <c r="B1096" s="18" t="n"/>
      <c r="C1096" s="13" t="n"/>
      <c r="D1096" s="13" t="n"/>
      <c r="E1096" s="13" t="n"/>
      <c r="F1096" s="17">
        <f>IF($D1096="","",IFERROR(VLOOKUP($E1096,材料归属,2,0),"※材料类别没选"))</f>
        <v/>
      </c>
      <c r="G1096" s="13" t="n"/>
      <c r="H1096" s="13" t="n"/>
      <c r="I1096" s="13" t="n"/>
      <c r="J1096" s="20" t="n"/>
      <c r="K1096" s="14" t="n"/>
      <c r="L1096" s="19">
        <f>IF($D1096="","",ROUND(IF($J1096="",1,$J1096)*N($K1096),2))</f>
        <v/>
      </c>
      <c r="M1096" s="13" t="n"/>
      <c r="N1096" s="17">
        <f>IF($D1096="","",IF(ISNA(MATCH($D1096,项目名表,0)),"※项目不在项目台账里",IF($F1096="※材料类别没选","※材料类别没选",IF(AND($C1096&lt;&gt;"",ISNA(MATCH($C1096,供应商表,0))),"※供应商不在基础资料里",""))))</f>
        <v/>
      </c>
    </row>
    <row r="1097">
      <c r="A1097" s="17">
        <f>IF($D1097="","",ROW()-3)</f>
        <v/>
      </c>
      <c r="B1097" s="18" t="n"/>
      <c r="C1097" s="13" t="n"/>
      <c r="D1097" s="13" t="n"/>
      <c r="E1097" s="13" t="n"/>
      <c r="F1097" s="17">
        <f>IF($D1097="","",IFERROR(VLOOKUP($E1097,材料归属,2,0),"※材料类别没选"))</f>
        <v/>
      </c>
      <c r="G1097" s="13" t="n"/>
      <c r="H1097" s="13" t="n"/>
      <c r="I1097" s="13" t="n"/>
      <c r="J1097" s="20" t="n"/>
      <c r="K1097" s="14" t="n"/>
      <c r="L1097" s="19">
        <f>IF($D1097="","",ROUND(IF($J1097="",1,$J1097)*N($K1097),2))</f>
        <v/>
      </c>
      <c r="M1097" s="13" t="n"/>
      <c r="N1097" s="17">
        <f>IF($D1097="","",IF(ISNA(MATCH($D1097,项目名表,0)),"※项目不在项目台账里",IF($F1097="※材料类别没选","※材料类别没选",IF(AND($C1097&lt;&gt;"",ISNA(MATCH($C1097,供应商表,0))),"※供应商不在基础资料里",""))))</f>
        <v/>
      </c>
    </row>
    <row r="1098">
      <c r="A1098" s="17">
        <f>IF($D1098="","",ROW()-3)</f>
        <v/>
      </c>
      <c r="B1098" s="18" t="n"/>
      <c r="C1098" s="13" t="n"/>
      <c r="D1098" s="13" t="n"/>
      <c r="E1098" s="13" t="n"/>
      <c r="F1098" s="17">
        <f>IF($D1098="","",IFERROR(VLOOKUP($E1098,材料归属,2,0),"※材料类别没选"))</f>
        <v/>
      </c>
      <c r="G1098" s="13" t="n"/>
      <c r="H1098" s="13" t="n"/>
      <c r="I1098" s="13" t="n"/>
      <c r="J1098" s="20" t="n"/>
      <c r="K1098" s="14" t="n"/>
      <c r="L1098" s="19">
        <f>IF($D1098="","",ROUND(IF($J1098="",1,$J1098)*N($K1098),2))</f>
        <v/>
      </c>
      <c r="M1098" s="13" t="n"/>
      <c r="N1098" s="17">
        <f>IF($D1098="","",IF(ISNA(MATCH($D1098,项目名表,0)),"※项目不在项目台账里",IF($F1098="※材料类别没选","※材料类别没选",IF(AND($C1098&lt;&gt;"",ISNA(MATCH($C1098,供应商表,0))),"※供应商不在基础资料里",""))))</f>
        <v/>
      </c>
    </row>
    <row r="1099">
      <c r="A1099" s="17">
        <f>IF($D1099="","",ROW()-3)</f>
        <v/>
      </c>
      <c r="B1099" s="18" t="n"/>
      <c r="C1099" s="13" t="n"/>
      <c r="D1099" s="13" t="n"/>
      <c r="E1099" s="13" t="n"/>
      <c r="F1099" s="17">
        <f>IF($D1099="","",IFERROR(VLOOKUP($E1099,材料归属,2,0),"※材料类别没选"))</f>
        <v/>
      </c>
      <c r="G1099" s="13" t="n"/>
      <c r="H1099" s="13" t="n"/>
      <c r="I1099" s="13" t="n"/>
      <c r="J1099" s="20" t="n"/>
      <c r="K1099" s="14" t="n"/>
      <c r="L1099" s="19">
        <f>IF($D1099="","",ROUND(IF($J1099="",1,$J1099)*N($K1099),2))</f>
        <v/>
      </c>
      <c r="M1099" s="13" t="n"/>
      <c r="N1099" s="17">
        <f>IF($D1099="","",IF(ISNA(MATCH($D1099,项目名表,0)),"※项目不在项目台账里",IF($F1099="※材料类别没选","※材料类别没选",IF(AND($C1099&lt;&gt;"",ISNA(MATCH($C1099,供应商表,0))),"※供应商不在基础资料里",""))))</f>
        <v/>
      </c>
    </row>
    <row r="1100">
      <c r="A1100" s="17">
        <f>IF($D1100="","",ROW()-3)</f>
        <v/>
      </c>
      <c r="B1100" s="18" t="n"/>
      <c r="C1100" s="13" t="n"/>
      <c r="D1100" s="13" t="n"/>
      <c r="E1100" s="13" t="n"/>
      <c r="F1100" s="17">
        <f>IF($D1100="","",IFERROR(VLOOKUP($E1100,材料归属,2,0),"※材料类别没选"))</f>
        <v/>
      </c>
      <c r="G1100" s="13" t="n"/>
      <c r="H1100" s="13" t="n"/>
      <c r="I1100" s="13" t="n"/>
      <c r="J1100" s="20" t="n"/>
      <c r="K1100" s="14" t="n"/>
      <c r="L1100" s="19">
        <f>IF($D1100="","",ROUND(IF($J1100="",1,$J1100)*N($K1100),2))</f>
        <v/>
      </c>
      <c r="M1100" s="13" t="n"/>
      <c r="N1100" s="17">
        <f>IF($D1100="","",IF(ISNA(MATCH($D1100,项目名表,0)),"※项目不在项目台账里",IF($F1100="※材料类别没选","※材料类别没选",IF(AND($C1100&lt;&gt;"",ISNA(MATCH($C1100,供应商表,0))),"※供应商不在基础资料里",""))))</f>
        <v/>
      </c>
    </row>
    <row r="1101">
      <c r="A1101" s="17">
        <f>IF($D1101="","",ROW()-3)</f>
        <v/>
      </c>
      <c r="B1101" s="18" t="n"/>
      <c r="C1101" s="13" t="n"/>
      <c r="D1101" s="13" t="n"/>
      <c r="E1101" s="13" t="n"/>
      <c r="F1101" s="17">
        <f>IF($D1101="","",IFERROR(VLOOKUP($E1101,材料归属,2,0),"※材料类别没选"))</f>
        <v/>
      </c>
      <c r="G1101" s="13" t="n"/>
      <c r="H1101" s="13" t="n"/>
      <c r="I1101" s="13" t="n"/>
      <c r="J1101" s="20" t="n"/>
      <c r="K1101" s="14" t="n"/>
      <c r="L1101" s="19">
        <f>IF($D1101="","",ROUND(IF($J1101="",1,$J1101)*N($K1101),2))</f>
        <v/>
      </c>
      <c r="M1101" s="13" t="n"/>
      <c r="N1101" s="17">
        <f>IF($D1101="","",IF(ISNA(MATCH($D1101,项目名表,0)),"※项目不在项目台账里",IF($F1101="※材料类别没选","※材料类别没选",IF(AND($C1101&lt;&gt;"",ISNA(MATCH($C1101,供应商表,0))),"※供应商不在基础资料里",""))))</f>
        <v/>
      </c>
    </row>
    <row r="1102">
      <c r="A1102" s="17">
        <f>IF($D1102="","",ROW()-3)</f>
        <v/>
      </c>
      <c r="B1102" s="18" t="n"/>
      <c r="C1102" s="13" t="n"/>
      <c r="D1102" s="13" t="n"/>
      <c r="E1102" s="13" t="n"/>
      <c r="F1102" s="17">
        <f>IF($D1102="","",IFERROR(VLOOKUP($E1102,材料归属,2,0),"※材料类别没选"))</f>
        <v/>
      </c>
      <c r="G1102" s="13" t="n"/>
      <c r="H1102" s="13" t="n"/>
      <c r="I1102" s="13" t="n"/>
      <c r="J1102" s="20" t="n"/>
      <c r="K1102" s="14" t="n"/>
      <c r="L1102" s="19">
        <f>IF($D1102="","",ROUND(IF($J1102="",1,$J1102)*N($K1102),2))</f>
        <v/>
      </c>
      <c r="M1102" s="13" t="n"/>
      <c r="N1102" s="17">
        <f>IF($D1102="","",IF(ISNA(MATCH($D1102,项目名表,0)),"※项目不在项目台账里",IF($F1102="※材料类别没选","※材料类别没选",IF(AND($C1102&lt;&gt;"",ISNA(MATCH($C1102,供应商表,0))),"※供应商不在基础资料里",""))))</f>
        <v/>
      </c>
    </row>
    <row r="1103">
      <c r="A1103" s="17">
        <f>IF($D1103="","",ROW()-3)</f>
        <v/>
      </c>
      <c r="B1103" s="18" t="n"/>
      <c r="C1103" s="13" t="n"/>
      <c r="D1103" s="13" t="n"/>
      <c r="E1103" s="13" t="n"/>
      <c r="F1103" s="17">
        <f>IF($D1103="","",IFERROR(VLOOKUP($E1103,材料归属,2,0),"※材料类别没选"))</f>
        <v/>
      </c>
      <c r="G1103" s="13" t="n"/>
      <c r="H1103" s="13" t="n"/>
      <c r="I1103" s="13" t="n"/>
      <c r="J1103" s="20" t="n"/>
      <c r="K1103" s="14" t="n"/>
      <c r="L1103" s="19">
        <f>IF($D1103="","",ROUND(IF($J1103="",1,$J1103)*N($K1103),2))</f>
        <v/>
      </c>
      <c r="M1103" s="13" t="n"/>
      <c r="N1103" s="17">
        <f>IF($D1103="","",IF(ISNA(MATCH($D1103,项目名表,0)),"※项目不在项目台账里",IF($F1103="※材料类别没选","※材料类别没选",IF(AND($C1103&lt;&gt;"",ISNA(MATCH($C1103,供应商表,0))),"※供应商不在基础资料里",""))))</f>
        <v/>
      </c>
    </row>
    <row r="1104">
      <c r="A1104" s="17">
        <f>IF($D1104="","",ROW()-3)</f>
        <v/>
      </c>
      <c r="B1104" s="18" t="n"/>
      <c r="C1104" s="13" t="n"/>
      <c r="D1104" s="13" t="n"/>
      <c r="E1104" s="13" t="n"/>
      <c r="F1104" s="17">
        <f>IF($D1104="","",IFERROR(VLOOKUP($E1104,材料归属,2,0),"※材料类别没选"))</f>
        <v/>
      </c>
      <c r="G1104" s="13" t="n"/>
      <c r="H1104" s="13" t="n"/>
      <c r="I1104" s="13" t="n"/>
      <c r="J1104" s="20" t="n"/>
      <c r="K1104" s="14" t="n"/>
      <c r="L1104" s="19">
        <f>IF($D1104="","",ROUND(IF($J1104="",1,$J1104)*N($K1104),2))</f>
        <v/>
      </c>
      <c r="M1104" s="13" t="n"/>
      <c r="N1104" s="17">
        <f>IF($D1104="","",IF(ISNA(MATCH($D1104,项目名表,0)),"※项目不在项目台账里",IF($F1104="※材料类别没选","※材料类别没选",IF(AND($C1104&lt;&gt;"",ISNA(MATCH($C1104,供应商表,0))),"※供应商不在基础资料里",""))))</f>
        <v/>
      </c>
    </row>
    <row r="1105">
      <c r="A1105" s="17">
        <f>IF($D1105="","",ROW()-3)</f>
        <v/>
      </c>
      <c r="B1105" s="18" t="n"/>
      <c r="C1105" s="13" t="n"/>
      <c r="D1105" s="13" t="n"/>
      <c r="E1105" s="13" t="n"/>
      <c r="F1105" s="17">
        <f>IF($D1105="","",IFERROR(VLOOKUP($E1105,材料归属,2,0),"※材料类别没选"))</f>
        <v/>
      </c>
      <c r="G1105" s="13" t="n"/>
      <c r="H1105" s="13" t="n"/>
      <c r="I1105" s="13" t="n"/>
      <c r="J1105" s="20" t="n"/>
      <c r="K1105" s="14" t="n"/>
      <c r="L1105" s="19">
        <f>IF($D1105="","",ROUND(IF($J1105="",1,$J1105)*N($K1105),2))</f>
        <v/>
      </c>
      <c r="M1105" s="13" t="n"/>
      <c r="N1105" s="17">
        <f>IF($D1105="","",IF(ISNA(MATCH($D1105,项目名表,0)),"※项目不在项目台账里",IF($F1105="※材料类别没选","※材料类别没选",IF(AND($C1105&lt;&gt;"",ISNA(MATCH($C1105,供应商表,0))),"※供应商不在基础资料里",""))))</f>
        <v/>
      </c>
    </row>
    <row r="1106">
      <c r="A1106" s="17">
        <f>IF($D1106="","",ROW()-3)</f>
        <v/>
      </c>
      <c r="B1106" s="18" t="n"/>
      <c r="C1106" s="13" t="n"/>
      <c r="D1106" s="13" t="n"/>
      <c r="E1106" s="13" t="n"/>
      <c r="F1106" s="17">
        <f>IF($D1106="","",IFERROR(VLOOKUP($E1106,材料归属,2,0),"※材料类别没选"))</f>
        <v/>
      </c>
      <c r="G1106" s="13" t="n"/>
      <c r="H1106" s="13" t="n"/>
      <c r="I1106" s="13" t="n"/>
      <c r="J1106" s="20" t="n"/>
      <c r="K1106" s="14" t="n"/>
      <c r="L1106" s="19">
        <f>IF($D1106="","",ROUND(IF($J1106="",1,$J1106)*N($K1106),2))</f>
        <v/>
      </c>
      <c r="M1106" s="13" t="n"/>
      <c r="N1106" s="17">
        <f>IF($D1106="","",IF(ISNA(MATCH($D1106,项目名表,0)),"※项目不在项目台账里",IF($F1106="※材料类别没选","※材料类别没选",IF(AND($C1106&lt;&gt;"",ISNA(MATCH($C1106,供应商表,0))),"※供应商不在基础资料里",""))))</f>
        <v/>
      </c>
    </row>
    <row r="1107">
      <c r="A1107" s="17">
        <f>IF($D1107="","",ROW()-3)</f>
        <v/>
      </c>
      <c r="B1107" s="18" t="n"/>
      <c r="C1107" s="13" t="n"/>
      <c r="D1107" s="13" t="n"/>
      <c r="E1107" s="13" t="n"/>
      <c r="F1107" s="17">
        <f>IF($D1107="","",IFERROR(VLOOKUP($E1107,材料归属,2,0),"※材料类别没选"))</f>
        <v/>
      </c>
      <c r="G1107" s="13" t="n"/>
      <c r="H1107" s="13" t="n"/>
      <c r="I1107" s="13" t="n"/>
      <c r="J1107" s="20" t="n"/>
      <c r="K1107" s="14" t="n"/>
      <c r="L1107" s="19">
        <f>IF($D1107="","",ROUND(IF($J1107="",1,$J1107)*N($K1107),2))</f>
        <v/>
      </c>
      <c r="M1107" s="13" t="n"/>
      <c r="N1107" s="17">
        <f>IF($D1107="","",IF(ISNA(MATCH($D1107,项目名表,0)),"※项目不在项目台账里",IF($F1107="※材料类别没选","※材料类别没选",IF(AND($C1107&lt;&gt;"",ISNA(MATCH($C1107,供应商表,0))),"※供应商不在基础资料里",""))))</f>
        <v/>
      </c>
    </row>
    <row r="1108">
      <c r="A1108" s="17">
        <f>IF($D1108="","",ROW()-3)</f>
        <v/>
      </c>
      <c r="B1108" s="18" t="n"/>
      <c r="C1108" s="13" t="n"/>
      <c r="D1108" s="13" t="n"/>
      <c r="E1108" s="13" t="n"/>
      <c r="F1108" s="17">
        <f>IF($D1108="","",IFERROR(VLOOKUP($E1108,材料归属,2,0),"※材料类别没选"))</f>
        <v/>
      </c>
      <c r="G1108" s="13" t="n"/>
      <c r="H1108" s="13" t="n"/>
      <c r="I1108" s="13" t="n"/>
      <c r="J1108" s="20" t="n"/>
      <c r="K1108" s="14" t="n"/>
      <c r="L1108" s="19">
        <f>IF($D1108="","",ROUND(IF($J1108="",1,$J1108)*N($K1108),2))</f>
        <v/>
      </c>
      <c r="M1108" s="13" t="n"/>
      <c r="N1108" s="17">
        <f>IF($D1108="","",IF(ISNA(MATCH($D1108,项目名表,0)),"※项目不在项目台账里",IF($F1108="※材料类别没选","※材料类别没选",IF(AND($C1108&lt;&gt;"",ISNA(MATCH($C1108,供应商表,0))),"※供应商不在基础资料里",""))))</f>
        <v/>
      </c>
    </row>
    <row r="1109">
      <c r="A1109" s="17">
        <f>IF($D1109="","",ROW()-3)</f>
        <v/>
      </c>
      <c r="B1109" s="18" t="n"/>
      <c r="C1109" s="13" t="n"/>
      <c r="D1109" s="13" t="n"/>
      <c r="E1109" s="13" t="n"/>
      <c r="F1109" s="17">
        <f>IF($D1109="","",IFERROR(VLOOKUP($E1109,材料归属,2,0),"※材料类别没选"))</f>
        <v/>
      </c>
      <c r="G1109" s="13" t="n"/>
      <c r="H1109" s="13" t="n"/>
      <c r="I1109" s="13" t="n"/>
      <c r="J1109" s="20" t="n"/>
      <c r="K1109" s="14" t="n"/>
      <c r="L1109" s="19">
        <f>IF($D1109="","",ROUND(IF($J1109="",1,$J1109)*N($K1109),2))</f>
        <v/>
      </c>
      <c r="M1109" s="13" t="n"/>
      <c r="N1109" s="17">
        <f>IF($D1109="","",IF(ISNA(MATCH($D1109,项目名表,0)),"※项目不在项目台账里",IF($F1109="※材料类别没选","※材料类别没选",IF(AND($C1109&lt;&gt;"",ISNA(MATCH($C1109,供应商表,0))),"※供应商不在基础资料里",""))))</f>
        <v/>
      </c>
    </row>
    <row r="1110">
      <c r="A1110" s="17">
        <f>IF($D1110="","",ROW()-3)</f>
        <v/>
      </c>
      <c r="B1110" s="18" t="n"/>
      <c r="C1110" s="13" t="n"/>
      <c r="D1110" s="13" t="n"/>
      <c r="E1110" s="13" t="n"/>
      <c r="F1110" s="17">
        <f>IF($D1110="","",IFERROR(VLOOKUP($E1110,材料归属,2,0),"※材料类别没选"))</f>
        <v/>
      </c>
      <c r="G1110" s="13" t="n"/>
      <c r="H1110" s="13" t="n"/>
      <c r="I1110" s="13" t="n"/>
      <c r="J1110" s="20" t="n"/>
      <c r="K1110" s="14" t="n"/>
      <c r="L1110" s="19">
        <f>IF($D1110="","",ROUND(IF($J1110="",1,$J1110)*N($K1110),2))</f>
        <v/>
      </c>
      <c r="M1110" s="13" t="n"/>
      <c r="N1110" s="17">
        <f>IF($D1110="","",IF(ISNA(MATCH($D1110,项目名表,0)),"※项目不在项目台账里",IF($F1110="※材料类别没选","※材料类别没选",IF(AND($C1110&lt;&gt;"",ISNA(MATCH($C1110,供应商表,0))),"※供应商不在基础资料里",""))))</f>
        <v/>
      </c>
    </row>
    <row r="1111">
      <c r="A1111" s="17">
        <f>IF($D1111="","",ROW()-3)</f>
        <v/>
      </c>
      <c r="B1111" s="18" t="n"/>
      <c r="C1111" s="13" t="n"/>
      <c r="D1111" s="13" t="n"/>
      <c r="E1111" s="13" t="n"/>
      <c r="F1111" s="17">
        <f>IF($D1111="","",IFERROR(VLOOKUP($E1111,材料归属,2,0),"※材料类别没选"))</f>
        <v/>
      </c>
      <c r="G1111" s="13" t="n"/>
      <c r="H1111" s="13" t="n"/>
      <c r="I1111" s="13" t="n"/>
      <c r="J1111" s="20" t="n"/>
      <c r="K1111" s="14" t="n"/>
      <c r="L1111" s="19">
        <f>IF($D1111="","",ROUND(IF($J1111="",1,$J1111)*N($K1111),2))</f>
        <v/>
      </c>
      <c r="M1111" s="13" t="n"/>
      <c r="N1111" s="17">
        <f>IF($D1111="","",IF(ISNA(MATCH($D1111,项目名表,0)),"※项目不在项目台账里",IF($F1111="※材料类别没选","※材料类别没选",IF(AND($C1111&lt;&gt;"",ISNA(MATCH($C1111,供应商表,0))),"※供应商不在基础资料里",""))))</f>
        <v/>
      </c>
    </row>
    <row r="1112">
      <c r="A1112" s="17">
        <f>IF($D1112="","",ROW()-3)</f>
        <v/>
      </c>
      <c r="B1112" s="18" t="n"/>
      <c r="C1112" s="13" t="n"/>
      <c r="D1112" s="13" t="n"/>
      <c r="E1112" s="13" t="n"/>
      <c r="F1112" s="17">
        <f>IF($D1112="","",IFERROR(VLOOKUP($E1112,材料归属,2,0),"※材料类别没选"))</f>
        <v/>
      </c>
      <c r="G1112" s="13" t="n"/>
      <c r="H1112" s="13" t="n"/>
      <c r="I1112" s="13" t="n"/>
      <c r="J1112" s="20" t="n"/>
      <c r="K1112" s="14" t="n"/>
      <c r="L1112" s="19">
        <f>IF($D1112="","",ROUND(IF($J1112="",1,$J1112)*N($K1112),2))</f>
        <v/>
      </c>
      <c r="M1112" s="13" t="n"/>
      <c r="N1112" s="17">
        <f>IF($D1112="","",IF(ISNA(MATCH($D1112,项目名表,0)),"※项目不在项目台账里",IF($F1112="※材料类别没选","※材料类别没选",IF(AND($C1112&lt;&gt;"",ISNA(MATCH($C1112,供应商表,0))),"※供应商不在基础资料里",""))))</f>
        <v/>
      </c>
    </row>
    <row r="1113">
      <c r="A1113" s="17">
        <f>IF($D1113="","",ROW()-3)</f>
        <v/>
      </c>
      <c r="B1113" s="18" t="n"/>
      <c r="C1113" s="13" t="n"/>
      <c r="D1113" s="13" t="n"/>
      <c r="E1113" s="13" t="n"/>
      <c r="F1113" s="17">
        <f>IF($D1113="","",IFERROR(VLOOKUP($E1113,材料归属,2,0),"※材料类别没选"))</f>
        <v/>
      </c>
      <c r="G1113" s="13" t="n"/>
      <c r="H1113" s="13" t="n"/>
      <c r="I1113" s="13" t="n"/>
      <c r="J1113" s="20" t="n"/>
      <c r="K1113" s="14" t="n"/>
      <c r="L1113" s="19">
        <f>IF($D1113="","",ROUND(IF($J1113="",1,$J1113)*N($K1113),2))</f>
        <v/>
      </c>
      <c r="M1113" s="13" t="n"/>
      <c r="N1113" s="17">
        <f>IF($D1113="","",IF(ISNA(MATCH($D1113,项目名表,0)),"※项目不在项目台账里",IF($F1113="※材料类别没选","※材料类别没选",IF(AND($C1113&lt;&gt;"",ISNA(MATCH($C1113,供应商表,0))),"※供应商不在基础资料里",""))))</f>
        <v/>
      </c>
    </row>
    <row r="1114">
      <c r="A1114" s="17">
        <f>IF($D1114="","",ROW()-3)</f>
        <v/>
      </c>
      <c r="B1114" s="18" t="n"/>
      <c r="C1114" s="13" t="n"/>
      <c r="D1114" s="13" t="n"/>
      <c r="E1114" s="13" t="n"/>
      <c r="F1114" s="17">
        <f>IF($D1114="","",IFERROR(VLOOKUP($E1114,材料归属,2,0),"※材料类别没选"))</f>
        <v/>
      </c>
      <c r="G1114" s="13" t="n"/>
      <c r="H1114" s="13" t="n"/>
      <c r="I1114" s="13" t="n"/>
      <c r="J1114" s="20" t="n"/>
      <c r="K1114" s="14" t="n"/>
      <c r="L1114" s="19">
        <f>IF($D1114="","",ROUND(IF($J1114="",1,$J1114)*N($K1114),2))</f>
        <v/>
      </c>
      <c r="M1114" s="13" t="n"/>
      <c r="N1114" s="17">
        <f>IF($D1114="","",IF(ISNA(MATCH($D1114,项目名表,0)),"※项目不在项目台账里",IF($F1114="※材料类别没选","※材料类别没选",IF(AND($C1114&lt;&gt;"",ISNA(MATCH($C1114,供应商表,0))),"※供应商不在基础资料里",""))))</f>
        <v/>
      </c>
    </row>
    <row r="1115">
      <c r="A1115" s="17">
        <f>IF($D1115="","",ROW()-3)</f>
        <v/>
      </c>
      <c r="B1115" s="18" t="n"/>
      <c r="C1115" s="13" t="n"/>
      <c r="D1115" s="13" t="n"/>
      <c r="E1115" s="13" t="n"/>
      <c r="F1115" s="17">
        <f>IF($D1115="","",IFERROR(VLOOKUP($E1115,材料归属,2,0),"※材料类别没选"))</f>
        <v/>
      </c>
      <c r="G1115" s="13" t="n"/>
      <c r="H1115" s="13" t="n"/>
      <c r="I1115" s="13" t="n"/>
      <c r="J1115" s="20" t="n"/>
      <c r="K1115" s="14" t="n"/>
      <c r="L1115" s="19">
        <f>IF($D1115="","",ROUND(IF($J1115="",1,$J1115)*N($K1115),2))</f>
        <v/>
      </c>
      <c r="M1115" s="13" t="n"/>
      <c r="N1115" s="17">
        <f>IF($D1115="","",IF(ISNA(MATCH($D1115,项目名表,0)),"※项目不在项目台账里",IF($F1115="※材料类别没选","※材料类别没选",IF(AND($C1115&lt;&gt;"",ISNA(MATCH($C1115,供应商表,0))),"※供应商不在基础资料里",""))))</f>
        <v/>
      </c>
    </row>
    <row r="1116">
      <c r="A1116" s="17">
        <f>IF($D1116="","",ROW()-3)</f>
        <v/>
      </c>
      <c r="B1116" s="18" t="n"/>
      <c r="C1116" s="13" t="n"/>
      <c r="D1116" s="13" t="n"/>
      <c r="E1116" s="13" t="n"/>
      <c r="F1116" s="17">
        <f>IF($D1116="","",IFERROR(VLOOKUP($E1116,材料归属,2,0),"※材料类别没选"))</f>
        <v/>
      </c>
      <c r="G1116" s="13" t="n"/>
      <c r="H1116" s="13" t="n"/>
      <c r="I1116" s="13" t="n"/>
      <c r="J1116" s="20" t="n"/>
      <c r="K1116" s="14" t="n"/>
      <c r="L1116" s="19">
        <f>IF($D1116="","",ROUND(IF($J1116="",1,$J1116)*N($K1116),2))</f>
        <v/>
      </c>
      <c r="M1116" s="13" t="n"/>
      <c r="N1116" s="17">
        <f>IF($D1116="","",IF(ISNA(MATCH($D1116,项目名表,0)),"※项目不在项目台账里",IF($F1116="※材料类别没选","※材料类别没选",IF(AND($C1116&lt;&gt;"",ISNA(MATCH($C1116,供应商表,0))),"※供应商不在基础资料里",""))))</f>
        <v/>
      </c>
    </row>
    <row r="1117">
      <c r="A1117" s="17">
        <f>IF($D1117="","",ROW()-3)</f>
        <v/>
      </c>
      <c r="B1117" s="18" t="n"/>
      <c r="C1117" s="13" t="n"/>
      <c r="D1117" s="13" t="n"/>
      <c r="E1117" s="13" t="n"/>
      <c r="F1117" s="17">
        <f>IF($D1117="","",IFERROR(VLOOKUP($E1117,材料归属,2,0),"※材料类别没选"))</f>
        <v/>
      </c>
      <c r="G1117" s="13" t="n"/>
      <c r="H1117" s="13" t="n"/>
      <c r="I1117" s="13" t="n"/>
      <c r="J1117" s="20" t="n"/>
      <c r="K1117" s="14" t="n"/>
      <c r="L1117" s="19">
        <f>IF($D1117="","",ROUND(IF($J1117="",1,$J1117)*N($K1117),2))</f>
        <v/>
      </c>
      <c r="M1117" s="13" t="n"/>
      <c r="N1117" s="17">
        <f>IF($D1117="","",IF(ISNA(MATCH($D1117,项目名表,0)),"※项目不在项目台账里",IF($F1117="※材料类别没选","※材料类别没选",IF(AND($C1117&lt;&gt;"",ISNA(MATCH($C1117,供应商表,0))),"※供应商不在基础资料里",""))))</f>
        <v/>
      </c>
    </row>
    <row r="1118">
      <c r="A1118" s="17">
        <f>IF($D1118="","",ROW()-3)</f>
        <v/>
      </c>
      <c r="B1118" s="18" t="n"/>
      <c r="C1118" s="13" t="n"/>
      <c r="D1118" s="13" t="n"/>
      <c r="E1118" s="13" t="n"/>
      <c r="F1118" s="17">
        <f>IF($D1118="","",IFERROR(VLOOKUP($E1118,材料归属,2,0),"※材料类别没选"))</f>
        <v/>
      </c>
      <c r="G1118" s="13" t="n"/>
      <c r="H1118" s="13" t="n"/>
      <c r="I1118" s="13" t="n"/>
      <c r="J1118" s="20" t="n"/>
      <c r="K1118" s="14" t="n"/>
      <c r="L1118" s="19">
        <f>IF($D1118="","",ROUND(IF($J1118="",1,$J1118)*N($K1118),2))</f>
        <v/>
      </c>
      <c r="M1118" s="13" t="n"/>
      <c r="N1118" s="17">
        <f>IF($D1118="","",IF(ISNA(MATCH($D1118,项目名表,0)),"※项目不在项目台账里",IF($F1118="※材料类别没选","※材料类别没选",IF(AND($C1118&lt;&gt;"",ISNA(MATCH($C1118,供应商表,0))),"※供应商不在基础资料里",""))))</f>
        <v/>
      </c>
    </row>
    <row r="1119">
      <c r="A1119" s="17">
        <f>IF($D1119="","",ROW()-3)</f>
        <v/>
      </c>
      <c r="B1119" s="18" t="n"/>
      <c r="C1119" s="13" t="n"/>
      <c r="D1119" s="13" t="n"/>
      <c r="E1119" s="13" t="n"/>
      <c r="F1119" s="17">
        <f>IF($D1119="","",IFERROR(VLOOKUP($E1119,材料归属,2,0),"※材料类别没选"))</f>
        <v/>
      </c>
      <c r="G1119" s="13" t="n"/>
      <c r="H1119" s="13" t="n"/>
      <c r="I1119" s="13" t="n"/>
      <c r="J1119" s="20" t="n"/>
      <c r="K1119" s="14" t="n"/>
      <c r="L1119" s="19">
        <f>IF($D1119="","",ROUND(IF($J1119="",1,$J1119)*N($K1119),2))</f>
        <v/>
      </c>
      <c r="M1119" s="13" t="n"/>
      <c r="N1119" s="17">
        <f>IF($D1119="","",IF(ISNA(MATCH($D1119,项目名表,0)),"※项目不在项目台账里",IF($F1119="※材料类别没选","※材料类别没选",IF(AND($C1119&lt;&gt;"",ISNA(MATCH($C1119,供应商表,0))),"※供应商不在基础资料里",""))))</f>
        <v/>
      </c>
    </row>
    <row r="1120">
      <c r="A1120" s="17">
        <f>IF($D1120="","",ROW()-3)</f>
        <v/>
      </c>
      <c r="B1120" s="18" t="n"/>
      <c r="C1120" s="13" t="n"/>
      <c r="D1120" s="13" t="n"/>
      <c r="E1120" s="13" t="n"/>
      <c r="F1120" s="17">
        <f>IF($D1120="","",IFERROR(VLOOKUP($E1120,材料归属,2,0),"※材料类别没选"))</f>
        <v/>
      </c>
      <c r="G1120" s="13" t="n"/>
      <c r="H1120" s="13" t="n"/>
      <c r="I1120" s="13" t="n"/>
      <c r="J1120" s="20" t="n"/>
      <c r="K1120" s="14" t="n"/>
      <c r="L1120" s="19">
        <f>IF($D1120="","",ROUND(IF($J1120="",1,$J1120)*N($K1120),2))</f>
        <v/>
      </c>
      <c r="M1120" s="13" t="n"/>
      <c r="N1120" s="17">
        <f>IF($D1120="","",IF(ISNA(MATCH($D1120,项目名表,0)),"※项目不在项目台账里",IF($F1120="※材料类别没选","※材料类别没选",IF(AND($C1120&lt;&gt;"",ISNA(MATCH($C1120,供应商表,0))),"※供应商不在基础资料里",""))))</f>
        <v/>
      </c>
    </row>
    <row r="1121">
      <c r="A1121" s="17">
        <f>IF($D1121="","",ROW()-3)</f>
        <v/>
      </c>
      <c r="B1121" s="18" t="n"/>
      <c r="C1121" s="13" t="n"/>
      <c r="D1121" s="13" t="n"/>
      <c r="E1121" s="13" t="n"/>
      <c r="F1121" s="17">
        <f>IF($D1121="","",IFERROR(VLOOKUP($E1121,材料归属,2,0),"※材料类别没选"))</f>
        <v/>
      </c>
      <c r="G1121" s="13" t="n"/>
      <c r="H1121" s="13" t="n"/>
      <c r="I1121" s="13" t="n"/>
      <c r="J1121" s="20" t="n"/>
      <c r="K1121" s="14" t="n"/>
      <c r="L1121" s="19">
        <f>IF($D1121="","",ROUND(IF($J1121="",1,$J1121)*N($K1121),2))</f>
        <v/>
      </c>
      <c r="M1121" s="13" t="n"/>
      <c r="N1121" s="17">
        <f>IF($D1121="","",IF(ISNA(MATCH($D1121,项目名表,0)),"※项目不在项目台账里",IF($F1121="※材料类别没选","※材料类别没选",IF(AND($C1121&lt;&gt;"",ISNA(MATCH($C1121,供应商表,0))),"※供应商不在基础资料里",""))))</f>
        <v/>
      </c>
    </row>
    <row r="1122">
      <c r="A1122" s="17">
        <f>IF($D1122="","",ROW()-3)</f>
        <v/>
      </c>
      <c r="B1122" s="18" t="n"/>
      <c r="C1122" s="13" t="n"/>
      <c r="D1122" s="13" t="n"/>
      <c r="E1122" s="13" t="n"/>
      <c r="F1122" s="17">
        <f>IF($D1122="","",IFERROR(VLOOKUP($E1122,材料归属,2,0),"※材料类别没选"))</f>
        <v/>
      </c>
      <c r="G1122" s="13" t="n"/>
      <c r="H1122" s="13" t="n"/>
      <c r="I1122" s="13" t="n"/>
      <c r="J1122" s="20" t="n"/>
      <c r="K1122" s="14" t="n"/>
      <c r="L1122" s="19">
        <f>IF($D1122="","",ROUND(IF($J1122="",1,$J1122)*N($K1122),2))</f>
        <v/>
      </c>
      <c r="M1122" s="13" t="n"/>
      <c r="N1122" s="17">
        <f>IF($D1122="","",IF(ISNA(MATCH($D1122,项目名表,0)),"※项目不在项目台账里",IF($F1122="※材料类别没选","※材料类别没选",IF(AND($C1122&lt;&gt;"",ISNA(MATCH($C1122,供应商表,0))),"※供应商不在基础资料里",""))))</f>
        <v/>
      </c>
    </row>
    <row r="1123">
      <c r="A1123" s="17">
        <f>IF($D1123="","",ROW()-3)</f>
        <v/>
      </c>
      <c r="B1123" s="18" t="n"/>
      <c r="C1123" s="13" t="n"/>
      <c r="D1123" s="13" t="n"/>
      <c r="E1123" s="13" t="n"/>
      <c r="F1123" s="17">
        <f>IF($D1123="","",IFERROR(VLOOKUP($E1123,材料归属,2,0),"※材料类别没选"))</f>
        <v/>
      </c>
      <c r="G1123" s="13" t="n"/>
      <c r="H1123" s="13" t="n"/>
      <c r="I1123" s="13" t="n"/>
      <c r="J1123" s="20" t="n"/>
      <c r="K1123" s="14" t="n"/>
      <c r="L1123" s="19">
        <f>IF($D1123="","",ROUND(IF($J1123="",1,$J1123)*N($K1123),2))</f>
        <v/>
      </c>
      <c r="M1123" s="13" t="n"/>
      <c r="N1123" s="17">
        <f>IF($D1123="","",IF(ISNA(MATCH($D1123,项目名表,0)),"※项目不在项目台账里",IF($F1123="※材料类别没选","※材料类别没选",IF(AND($C1123&lt;&gt;"",ISNA(MATCH($C1123,供应商表,0))),"※供应商不在基础资料里",""))))</f>
        <v/>
      </c>
    </row>
    <row r="1124">
      <c r="A1124" s="17">
        <f>IF($D1124="","",ROW()-3)</f>
        <v/>
      </c>
      <c r="B1124" s="18" t="n"/>
      <c r="C1124" s="13" t="n"/>
      <c r="D1124" s="13" t="n"/>
      <c r="E1124" s="13" t="n"/>
      <c r="F1124" s="17">
        <f>IF($D1124="","",IFERROR(VLOOKUP($E1124,材料归属,2,0),"※材料类别没选"))</f>
        <v/>
      </c>
      <c r="G1124" s="13" t="n"/>
      <c r="H1124" s="13" t="n"/>
      <c r="I1124" s="13" t="n"/>
      <c r="J1124" s="20" t="n"/>
      <c r="K1124" s="14" t="n"/>
      <c r="L1124" s="19">
        <f>IF($D1124="","",ROUND(IF($J1124="",1,$J1124)*N($K1124),2))</f>
        <v/>
      </c>
      <c r="M1124" s="13" t="n"/>
      <c r="N1124" s="17">
        <f>IF($D1124="","",IF(ISNA(MATCH($D1124,项目名表,0)),"※项目不在项目台账里",IF($F1124="※材料类别没选","※材料类别没选",IF(AND($C1124&lt;&gt;"",ISNA(MATCH($C1124,供应商表,0))),"※供应商不在基础资料里",""))))</f>
        <v/>
      </c>
    </row>
    <row r="1125">
      <c r="A1125" s="17">
        <f>IF($D1125="","",ROW()-3)</f>
        <v/>
      </c>
      <c r="B1125" s="18" t="n"/>
      <c r="C1125" s="13" t="n"/>
      <c r="D1125" s="13" t="n"/>
      <c r="E1125" s="13" t="n"/>
      <c r="F1125" s="17">
        <f>IF($D1125="","",IFERROR(VLOOKUP($E1125,材料归属,2,0),"※材料类别没选"))</f>
        <v/>
      </c>
      <c r="G1125" s="13" t="n"/>
      <c r="H1125" s="13" t="n"/>
      <c r="I1125" s="13" t="n"/>
      <c r="J1125" s="20" t="n"/>
      <c r="K1125" s="14" t="n"/>
      <c r="L1125" s="19">
        <f>IF($D1125="","",ROUND(IF($J1125="",1,$J1125)*N($K1125),2))</f>
        <v/>
      </c>
      <c r="M1125" s="13" t="n"/>
      <c r="N1125" s="17">
        <f>IF($D1125="","",IF(ISNA(MATCH($D1125,项目名表,0)),"※项目不在项目台账里",IF($F1125="※材料类别没选","※材料类别没选",IF(AND($C1125&lt;&gt;"",ISNA(MATCH($C1125,供应商表,0))),"※供应商不在基础资料里",""))))</f>
        <v/>
      </c>
    </row>
    <row r="1126">
      <c r="A1126" s="17">
        <f>IF($D1126="","",ROW()-3)</f>
        <v/>
      </c>
      <c r="B1126" s="18" t="n"/>
      <c r="C1126" s="13" t="n"/>
      <c r="D1126" s="13" t="n"/>
      <c r="E1126" s="13" t="n"/>
      <c r="F1126" s="17">
        <f>IF($D1126="","",IFERROR(VLOOKUP($E1126,材料归属,2,0),"※材料类别没选"))</f>
        <v/>
      </c>
      <c r="G1126" s="13" t="n"/>
      <c r="H1126" s="13" t="n"/>
      <c r="I1126" s="13" t="n"/>
      <c r="J1126" s="20" t="n"/>
      <c r="K1126" s="14" t="n"/>
      <c r="L1126" s="19">
        <f>IF($D1126="","",ROUND(IF($J1126="",1,$J1126)*N($K1126),2))</f>
        <v/>
      </c>
      <c r="M1126" s="13" t="n"/>
      <c r="N1126" s="17">
        <f>IF($D1126="","",IF(ISNA(MATCH($D1126,项目名表,0)),"※项目不在项目台账里",IF($F1126="※材料类别没选","※材料类别没选",IF(AND($C1126&lt;&gt;"",ISNA(MATCH($C1126,供应商表,0))),"※供应商不在基础资料里",""))))</f>
        <v/>
      </c>
    </row>
    <row r="1127">
      <c r="A1127" s="17">
        <f>IF($D1127="","",ROW()-3)</f>
        <v/>
      </c>
      <c r="B1127" s="18" t="n"/>
      <c r="C1127" s="13" t="n"/>
      <c r="D1127" s="13" t="n"/>
      <c r="E1127" s="13" t="n"/>
      <c r="F1127" s="17">
        <f>IF($D1127="","",IFERROR(VLOOKUP($E1127,材料归属,2,0),"※材料类别没选"))</f>
        <v/>
      </c>
      <c r="G1127" s="13" t="n"/>
      <c r="H1127" s="13" t="n"/>
      <c r="I1127" s="13" t="n"/>
      <c r="J1127" s="20" t="n"/>
      <c r="K1127" s="14" t="n"/>
      <c r="L1127" s="19">
        <f>IF($D1127="","",ROUND(IF($J1127="",1,$J1127)*N($K1127),2))</f>
        <v/>
      </c>
      <c r="M1127" s="13" t="n"/>
      <c r="N1127" s="17">
        <f>IF($D1127="","",IF(ISNA(MATCH($D1127,项目名表,0)),"※项目不在项目台账里",IF($F1127="※材料类别没选","※材料类别没选",IF(AND($C1127&lt;&gt;"",ISNA(MATCH($C1127,供应商表,0))),"※供应商不在基础资料里",""))))</f>
        <v/>
      </c>
    </row>
    <row r="1128">
      <c r="A1128" s="17">
        <f>IF($D1128="","",ROW()-3)</f>
        <v/>
      </c>
      <c r="B1128" s="18" t="n"/>
      <c r="C1128" s="13" t="n"/>
      <c r="D1128" s="13" t="n"/>
      <c r="E1128" s="13" t="n"/>
      <c r="F1128" s="17">
        <f>IF($D1128="","",IFERROR(VLOOKUP($E1128,材料归属,2,0),"※材料类别没选"))</f>
        <v/>
      </c>
      <c r="G1128" s="13" t="n"/>
      <c r="H1128" s="13" t="n"/>
      <c r="I1128" s="13" t="n"/>
      <c r="J1128" s="20" t="n"/>
      <c r="K1128" s="14" t="n"/>
      <c r="L1128" s="19">
        <f>IF($D1128="","",ROUND(IF($J1128="",1,$J1128)*N($K1128),2))</f>
        <v/>
      </c>
      <c r="M1128" s="13" t="n"/>
      <c r="N1128" s="17">
        <f>IF($D1128="","",IF(ISNA(MATCH($D1128,项目名表,0)),"※项目不在项目台账里",IF($F1128="※材料类别没选","※材料类别没选",IF(AND($C1128&lt;&gt;"",ISNA(MATCH($C1128,供应商表,0))),"※供应商不在基础资料里",""))))</f>
        <v/>
      </c>
    </row>
    <row r="1129">
      <c r="A1129" s="17">
        <f>IF($D1129="","",ROW()-3)</f>
        <v/>
      </c>
      <c r="B1129" s="18" t="n"/>
      <c r="C1129" s="13" t="n"/>
      <c r="D1129" s="13" t="n"/>
      <c r="E1129" s="13" t="n"/>
      <c r="F1129" s="17">
        <f>IF($D1129="","",IFERROR(VLOOKUP($E1129,材料归属,2,0),"※材料类别没选"))</f>
        <v/>
      </c>
      <c r="G1129" s="13" t="n"/>
      <c r="H1129" s="13" t="n"/>
      <c r="I1129" s="13" t="n"/>
      <c r="J1129" s="20" t="n"/>
      <c r="K1129" s="14" t="n"/>
      <c r="L1129" s="19">
        <f>IF($D1129="","",ROUND(IF($J1129="",1,$J1129)*N($K1129),2))</f>
        <v/>
      </c>
      <c r="M1129" s="13" t="n"/>
      <c r="N1129" s="17">
        <f>IF($D1129="","",IF(ISNA(MATCH($D1129,项目名表,0)),"※项目不在项目台账里",IF($F1129="※材料类别没选","※材料类别没选",IF(AND($C1129&lt;&gt;"",ISNA(MATCH($C1129,供应商表,0))),"※供应商不在基础资料里",""))))</f>
        <v/>
      </c>
    </row>
    <row r="1130">
      <c r="A1130" s="17">
        <f>IF($D1130="","",ROW()-3)</f>
        <v/>
      </c>
      <c r="B1130" s="18" t="n"/>
      <c r="C1130" s="13" t="n"/>
      <c r="D1130" s="13" t="n"/>
      <c r="E1130" s="13" t="n"/>
      <c r="F1130" s="17">
        <f>IF($D1130="","",IFERROR(VLOOKUP($E1130,材料归属,2,0),"※材料类别没选"))</f>
        <v/>
      </c>
      <c r="G1130" s="13" t="n"/>
      <c r="H1130" s="13" t="n"/>
      <c r="I1130" s="13" t="n"/>
      <c r="J1130" s="20" t="n"/>
      <c r="K1130" s="14" t="n"/>
      <c r="L1130" s="19">
        <f>IF($D1130="","",ROUND(IF($J1130="",1,$J1130)*N($K1130),2))</f>
        <v/>
      </c>
      <c r="M1130" s="13" t="n"/>
      <c r="N1130" s="17">
        <f>IF($D1130="","",IF(ISNA(MATCH($D1130,项目名表,0)),"※项目不在项目台账里",IF($F1130="※材料类别没选","※材料类别没选",IF(AND($C1130&lt;&gt;"",ISNA(MATCH($C1130,供应商表,0))),"※供应商不在基础资料里",""))))</f>
        <v/>
      </c>
    </row>
    <row r="1131">
      <c r="A1131" s="17">
        <f>IF($D1131="","",ROW()-3)</f>
        <v/>
      </c>
      <c r="B1131" s="18" t="n"/>
      <c r="C1131" s="13" t="n"/>
      <c r="D1131" s="13" t="n"/>
      <c r="E1131" s="13" t="n"/>
      <c r="F1131" s="17">
        <f>IF($D1131="","",IFERROR(VLOOKUP($E1131,材料归属,2,0),"※材料类别没选"))</f>
        <v/>
      </c>
      <c r="G1131" s="13" t="n"/>
      <c r="H1131" s="13" t="n"/>
      <c r="I1131" s="13" t="n"/>
      <c r="J1131" s="20" t="n"/>
      <c r="K1131" s="14" t="n"/>
      <c r="L1131" s="19">
        <f>IF($D1131="","",ROUND(IF($J1131="",1,$J1131)*N($K1131),2))</f>
        <v/>
      </c>
      <c r="M1131" s="13" t="n"/>
      <c r="N1131" s="17">
        <f>IF($D1131="","",IF(ISNA(MATCH($D1131,项目名表,0)),"※项目不在项目台账里",IF($F1131="※材料类别没选","※材料类别没选",IF(AND($C1131&lt;&gt;"",ISNA(MATCH($C1131,供应商表,0))),"※供应商不在基础资料里",""))))</f>
        <v/>
      </c>
    </row>
    <row r="1132">
      <c r="A1132" s="17">
        <f>IF($D1132="","",ROW()-3)</f>
        <v/>
      </c>
      <c r="B1132" s="18" t="n"/>
      <c r="C1132" s="13" t="n"/>
      <c r="D1132" s="13" t="n"/>
      <c r="E1132" s="13" t="n"/>
      <c r="F1132" s="17">
        <f>IF($D1132="","",IFERROR(VLOOKUP($E1132,材料归属,2,0),"※材料类别没选"))</f>
        <v/>
      </c>
      <c r="G1132" s="13" t="n"/>
      <c r="H1132" s="13" t="n"/>
      <c r="I1132" s="13" t="n"/>
      <c r="J1132" s="20" t="n"/>
      <c r="K1132" s="14" t="n"/>
      <c r="L1132" s="19">
        <f>IF($D1132="","",ROUND(IF($J1132="",1,$J1132)*N($K1132),2))</f>
        <v/>
      </c>
      <c r="M1132" s="13" t="n"/>
      <c r="N1132" s="17">
        <f>IF($D1132="","",IF(ISNA(MATCH($D1132,项目名表,0)),"※项目不在项目台账里",IF($F1132="※材料类别没选","※材料类别没选",IF(AND($C1132&lt;&gt;"",ISNA(MATCH($C1132,供应商表,0))),"※供应商不在基础资料里",""))))</f>
        <v/>
      </c>
    </row>
    <row r="1133">
      <c r="A1133" s="17">
        <f>IF($D1133="","",ROW()-3)</f>
        <v/>
      </c>
      <c r="B1133" s="18" t="n"/>
      <c r="C1133" s="13" t="n"/>
      <c r="D1133" s="13" t="n"/>
      <c r="E1133" s="13" t="n"/>
      <c r="F1133" s="17">
        <f>IF($D1133="","",IFERROR(VLOOKUP($E1133,材料归属,2,0),"※材料类别没选"))</f>
        <v/>
      </c>
      <c r="G1133" s="13" t="n"/>
      <c r="H1133" s="13" t="n"/>
      <c r="I1133" s="13" t="n"/>
      <c r="J1133" s="20" t="n"/>
      <c r="K1133" s="14" t="n"/>
      <c r="L1133" s="19">
        <f>IF($D1133="","",ROUND(IF($J1133="",1,$J1133)*N($K1133),2))</f>
        <v/>
      </c>
      <c r="M1133" s="13" t="n"/>
      <c r="N1133" s="17">
        <f>IF($D1133="","",IF(ISNA(MATCH($D1133,项目名表,0)),"※项目不在项目台账里",IF($F1133="※材料类别没选","※材料类别没选",IF(AND($C1133&lt;&gt;"",ISNA(MATCH($C1133,供应商表,0))),"※供应商不在基础资料里",""))))</f>
        <v/>
      </c>
    </row>
    <row r="1134">
      <c r="A1134" s="17">
        <f>IF($D1134="","",ROW()-3)</f>
        <v/>
      </c>
      <c r="B1134" s="18" t="n"/>
      <c r="C1134" s="13" t="n"/>
      <c r="D1134" s="13" t="n"/>
      <c r="E1134" s="13" t="n"/>
      <c r="F1134" s="17">
        <f>IF($D1134="","",IFERROR(VLOOKUP($E1134,材料归属,2,0),"※材料类别没选"))</f>
        <v/>
      </c>
      <c r="G1134" s="13" t="n"/>
      <c r="H1134" s="13" t="n"/>
      <c r="I1134" s="13" t="n"/>
      <c r="J1134" s="20" t="n"/>
      <c r="K1134" s="14" t="n"/>
      <c r="L1134" s="19">
        <f>IF($D1134="","",ROUND(IF($J1134="",1,$J1134)*N($K1134),2))</f>
        <v/>
      </c>
      <c r="M1134" s="13" t="n"/>
      <c r="N1134" s="17">
        <f>IF($D1134="","",IF(ISNA(MATCH($D1134,项目名表,0)),"※项目不在项目台账里",IF($F1134="※材料类别没选","※材料类别没选",IF(AND($C1134&lt;&gt;"",ISNA(MATCH($C1134,供应商表,0))),"※供应商不在基础资料里",""))))</f>
        <v/>
      </c>
    </row>
    <row r="1135">
      <c r="A1135" s="17">
        <f>IF($D1135="","",ROW()-3)</f>
        <v/>
      </c>
      <c r="B1135" s="18" t="n"/>
      <c r="C1135" s="13" t="n"/>
      <c r="D1135" s="13" t="n"/>
      <c r="E1135" s="13" t="n"/>
      <c r="F1135" s="17">
        <f>IF($D1135="","",IFERROR(VLOOKUP($E1135,材料归属,2,0),"※材料类别没选"))</f>
        <v/>
      </c>
      <c r="G1135" s="13" t="n"/>
      <c r="H1135" s="13" t="n"/>
      <c r="I1135" s="13" t="n"/>
      <c r="J1135" s="20" t="n"/>
      <c r="K1135" s="14" t="n"/>
      <c r="L1135" s="19">
        <f>IF($D1135="","",ROUND(IF($J1135="",1,$J1135)*N($K1135),2))</f>
        <v/>
      </c>
      <c r="M1135" s="13" t="n"/>
      <c r="N1135" s="17">
        <f>IF($D1135="","",IF(ISNA(MATCH($D1135,项目名表,0)),"※项目不在项目台账里",IF($F1135="※材料类别没选","※材料类别没选",IF(AND($C1135&lt;&gt;"",ISNA(MATCH($C1135,供应商表,0))),"※供应商不在基础资料里",""))))</f>
        <v/>
      </c>
    </row>
    <row r="1136">
      <c r="A1136" s="17">
        <f>IF($D1136="","",ROW()-3)</f>
        <v/>
      </c>
      <c r="B1136" s="18" t="n"/>
      <c r="C1136" s="13" t="n"/>
      <c r="D1136" s="13" t="n"/>
      <c r="E1136" s="13" t="n"/>
      <c r="F1136" s="17">
        <f>IF($D1136="","",IFERROR(VLOOKUP($E1136,材料归属,2,0),"※材料类别没选"))</f>
        <v/>
      </c>
      <c r="G1136" s="13" t="n"/>
      <c r="H1136" s="13" t="n"/>
      <c r="I1136" s="13" t="n"/>
      <c r="J1136" s="20" t="n"/>
      <c r="K1136" s="14" t="n"/>
      <c r="L1136" s="19">
        <f>IF($D1136="","",ROUND(IF($J1136="",1,$J1136)*N($K1136),2))</f>
        <v/>
      </c>
      <c r="M1136" s="13" t="n"/>
      <c r="N1136" s="17">
        <f>IF($D1136="","",IF(ISNA(MATCH($D1136,项目名表,0)),"※项目不在项目台账里",IF($F1136="※材料类别没选","※材料类别没选",IF(AND($C1136&lt;&gt;"",ISNA(MATCH($C1136,供应商表,0))),"※供应商不在基础资料里",""))))</f>
        <v/>
      </c>
    </row>
    <row r="1137">
      <c r="A1137" s="17">
        <f>IF($D1137="","",ROW()-3)</f>
        <v/>
      </c>
      <c r="B1137" s="18" t="n"/>
      <c r="C1137" s="13" t="n"/>
      <c r="D1137" s="13" t="n"/>
      <c r="E1137" s="13" t="n"/>
      <c r="F1137" s="17">
        <f>IF($D1137="","",IFERROR(VLOOKUP($E1137,材料归属,2,0),"※材料类别没选"))</f>
        <v/>
      </c>
      <c r="G1137" s="13" t="n"/>
      <c r="H1137" s="13" t="n"/>
      <c r="I1137" s="13" t="n"/>
      <c r="J1137" s="20" t="n"/>
      <c r="K1137" s="14" t="n"/>
      <c r="L1137" s="19">
        <f>IF($D1137="","",ROUND(IF($J1137="",1,$J1137)*N($K1137),2))</f>
        <v/>
      </c>
      <c r="M1137" s="13" t="n"/>
      <c r="N1137" s="17">
        <f>IF($D1137="","",IF(ISNA(MATCH($D1137,项目名表,0)),"※项目不在项目台账里",IF($F1137="※材料类别没选","※材料类别没选",IF(AND($C1137&lt;&gt;"",ISNA(MATCH($C1137,供应商表,0))),"※供应商不在基础资料里",""))))</f>
        <v/>
      </c>
    </row>
    <row r="1138">
      <c r="A1138" s="17">
        <f>IF($D1138="","",ROW()-3)</f>
        <v/>
      </c>
      <c r="B1138" s="18" t="n"/>
      <c r="C1138" s="13" t="n"/>
      <c r="D1138" s="13" t="n"/>
      <c r="E1138" s="13" t="n"/>
      <c r="F1138" s="17">
        <f>IF($D1138="","",IFERROR(VLOOKUP($E1138,材料归属,2,0),"※材料类别没选"))</f>
        <v/>
      </c>
      <c r="G1138" s="13" t="n"/>
      <c r="H1138" s="13" t="n"/>
      <c r="I1138" s="13" t="n"/>
      <c r="J1138" s="20" t="n"/>
      <c r="K1138" s="14" t="n"/>
      <c r="L1138" s="19">
        <f>IF($D1138="","",ROUND(IF($J1138="",1,$J1138)*N($K1138),2))</f>
        <v/>
      </c>
      <c r="M1138" s="13" t="n"/>
      <c r="N1138" s="17">
        <f>IF($D1138="","",IF(ISNA(MATCH($D1138,项目名表,0)),"※项目不在项目台账里",IF($F1138="※材料类别没选","※材料类别没选",IF(AND($C1138&lt;&gt;"",ISNA(MATCH($C1138,供应商表,0))),"※供应商不在基础资料里",""))))</f>
        <v/>
      </c>
    </row>
    <row r="1139">
      <c r="A1139" s="17">
        <f>IF($D1139="","",ROW()-3)</f>
        <v/>
      </c>
      <c r="B1139" s="18" t="n"/>
      <c r="C1139" s="13" t="n"/>
      <c r="D1139" s="13" t="n"/>
      <c r="E1139" s="13" t="n"/>
      <c r="F1139" s="17">
        <f>IF($D1139="","",IFERROR(VLOOKUP($E1139,材料归属,2,0),"※材料类别没选"))</f>
        <v/>
      </c>
      <c r="G1139" s="13" t="n"/>
      <c r="H1139" s="13" t="n"/>
      <c r="I1139" s="13" t="n"/>
      <c r="J1139" s="20" t="n"/>
      <c r="K1139" s="14" t="n"/>
      <c r="L1139" s="19">
        <f>IF($D1139="","",ROUND(IF($J1139="",1,$J1139)*N($K1139),2))</f>
        <v/>
      </c>
      <c r="M1139" s="13" t="n"/>
      <c r="N1139" s="17">
        <f>IF($D1139="","",IF(ISNA(MATCH($D1139,项目名表,0)),"※项目不在项目台账里",IF($F1139="※材料类别没选","※材料类别没选",IF(AND($C1139&lt;&gt;"",ISNA(MATCH($C1139,供应商表,0))),"※供应商不在基础资料里",""))))</f>
        <v/>
      </c>
    </row>
    <row r="1140">
      <c r="A1140" s="17">
        <f>IF($D1140="","",ROW()-3)</f>
        <v/>
      </c>
      <c r="B1140" s="18" t="n"/>
      <c r="C1140" s="13" t="n"/>
      <c r="D1140" s="13" t="n"/>
      <c r="E1140" s="13" t="n"/>
      <c r="F1140" s="17">
        <f>IF($D1140="","",IFERROR(VLOOKUP($E1140,材料归属,2,0),"※材料类别没选"))</f>
        <v/>
      </c>
      <c r="G1140" s="13" t="n"/>
      <c r="H1140" s="13" t="n"/>
      <c r="I1140" s="13" t="n"/>
      <c r="J1140" s="20" t="n"/>
      <c r="K1140" s="14" t="n"/>
      <c r="L1140" s="19">
        <f>IF($D1140="","",ROUND(IF($J1140="",1,$J1140)*N($K1140),2))</f>
        <v/>
      </c>
      <c r="M1140" s="13" t="n"/>
      <c r="N1140" s="17">
        <f>IF($D1140="","",IF(ISNA(MATCH($D1140,项目名表,0)),"※项目不在项目台账里",IF($F1140="※材料类别没选","※材料类别没选",IF(AND($C1140&lt;&gt;"",ISNA(MATCH($C1140,供应商表,0))),"※供应商不在基础资料里",""))))</f>
        <v/>
      </c>
    </row>
    <row r="1141">
      <c r="A1141" s="17">
        <f>IF($D1141="","",ROW()-3)</f>
        <v/>
      </c>
      <c r="B1141" s="18" t="n"/>
      <c r="C1141" s="13" t="n"/>
      <c r="D1141" s="13" t="n"/>
      <c r="E1141" s="13" t="n"/>
      <c r="F1141" s="17">
        <f>IF($D1141="","",IFERROR(VLOOKUP($E1141,材料归属,2,0),"※材料类别没选"))</f>
        <v/>
      </c>
      <c r="G1141" s="13" t="n"/>
      <c r="H1141" s="13" t="n"/>
      <c r="I1141" s="13" t="n"/>
      <c r="J1141" s="20" t="n"/>
      <c r="K1141" s="14" t="n"/>
      <c r="L1141" s="19">
        <f>IF($D1141="","",ROUND(IF($J1141="",1,$J1141)*N($K1141),2))</f>
        <v/>
      </c>
      <c r="M1141" s="13" t="n"/>
      <c r="N1141" s="17">
        <f>IF($D1141="","",IF(ISNA(MATCH($D1141,项目名表,0)),"※项目不在项目台账里",IF($F1141="※材料类别没选","※材料类别没选",IF(AND($C1141&lt;&gt;"",ISNA(MATCH($C1141,供应商表,0))),"※供应商不在基础资料里",""))))</f>
        <v/>
      </c>
    </row>
    <row r="1142">
      <c r="A1142" s="17">
        <f>IF($D1142="","",ROW()-3)</f>
        <v/>
      </c>
      <c r="B1142" s="18" t="n"/>
      <c r="C1142" s="13" t="n"/>
      <c r="D1142" s="13" t="n"/>
      <c r="E1142" s="13" t="n"/>
      <c r="F1142" s="17">
        <f>IF($D1142="","",IFERROR(VLOOKUP($E1142,材料归属,2,0),"※材料类别没选"))</f>
        <v/>
      </c>
      <c r="G1142" s="13" t="n"/>
      <c r="H1142" s="13" t="n"/>
      <c r="I1142" s="13" t="n"/>
      <c r="J1142" s="20" t="n"/>
      <c r="K1142" s="14" t="n"/>
      <c r="L1142" s="19">
        <f>IF($D1142="","",ROUND(IF($J1142="",1,$J1142)*N($K1142),2))</f>
        <v/>
      </c>
      <c r="M1142" s="13" t="n"/>
      <c r="N1142" s="17">
        <f>IF($D1142="","",IF(ISNA(MATCH($D1142,项目名表,0)),"※项目不在项目台账里",IF($F1142="※材料类别没选","※材料类别没选",IF(AND($C1142&lt;&gt;"",ISNA(MATCH($C1142,供应商表,0))),"※供应商不在基础资料里",""))))</f>
        <v/>
      </c>
    </row>
    <row r="1143">
      <c r="A1143" s="17">
        <f>IF($D1143="","",ROW()-3)</f>
        <v/>
      </c>
      <c r="B1143" s="18" t="n"/>
      <c r="C1143" s="13" t="n"/>
      <c r="D1143" s="13" t="n"/>
      <c r="E1143" s="13" t="n"/>
      <c r="F1143" s="17">
        <f>IF($D1143="","",IFERROR(VLOOKUP($E1143,材料归属,2,0),"※材料类别没选"))</f>
        <v/>
      </c>
      <c r="G1143" s="13" t="n"/>
      <c r="H1143" s="13" t="n"/>
      <c r="I1143" s="13" t="n"/>
      <c r="J1143" s="20" t="n"/>
      <c r="K1143" s="14" t="n"/>
      <c r="L1143" s="19">
        <f>IF($D1143="","",ROUND(IF($J1143="",1,$J1143)*N($K1143),2))</f>
        <v/>
      </c>
      <c r="M1143" s="13" t="n"/>
      <c r="N1143" s="17">
        <f>IF($D1143="","",IF(ISNA(MATCH($D1143,项目名表,0)),"※项目不在项目台账里",IF($F1143="※材料类别没选","※材料类别没选",IF(AND($C1143&lt;&gt;"",ISNA(MATCH($C1143,供应商表,0))),"※供应商不在基础资料里",""))))</f>
        <v/>
      </c>
    </row>
    <row r="1144">
      <c r="A1144" s="17">
        <f>IF($D1144="","",ROW()-3)</f>
        <v/>
      </c>
      <c r="B1144" s="18" t="n"/>
      <c r="C1144" s="13" t="n"/>
      <c r="D1144" s="13" t="n"/>
      <c r="E1144" s="13" t="n"/>
      <c r="F1144" s="17">
        <f>IF($D1144="","",IFERROR(VLOOKUP($E1144,材料归属,2,0),"※材料类别没选"))</f>
        <v/>
      </c>
      <c r="G1144" s="13" t="n"/>
      <c r="H1144" s="13" t="n"/>
      <c r="I1144" s="13" t="n"/>
      <c r="J1144" s="20" t="n"/>
      <c r="K1144" s="14" t="n"/>
      <c r="L1144" s="19">
        <f>IF($D1144="","",ROUND(IF($J1144="",1,$J1144)*N($K1144),2))</f>
        <v/>
      </c>
      <c r="M1144" s="13" t="n"/>
      <c r="N1144" s="17">
        <f>IF($D1144="","",IF(ISNA(MATCH($D1144,项目名表,0)),"※项目不在项目台账里",IF($F1144="※材料类别没选","※材料类别没选",IF(AND($C1144&lt;&gt;"",ISNA(MATCH($C1144,供应商表,0))),"※供应商不在基础资料里",""))))</f>
        <v/>
      </c>
    </row>
    <row r="1145">
      <c r="A1145" s="17">
        <f>IF($D1145="","",ROW()-3)</f>
        <v/>
      </c>
      <c r="B1145" s="18" t="n"/>
      <c r="C1145" s="13" t="n"/>
      <c r="D1145" s="13" t="n"/>
      <c r="E1145" s="13" t="n"/>
      <c r="F1145" s="17">
        <f>IF($D1145="","",IFERROR(VLOOKUP($E1145,材料归属,2,0),"※材料类别没选"))</f>
        <v/>
      </c>
      <c r="G1145" s="13" t="n"/>
      <c r="H1145" s="13" t="n"/>
      <c r="I1145" s="13" t="n"/>
      <c r="J1145" s="20" t="n"/>
      <c r="K1145" s="14" t="n"/>
      <c r="L1145" s="19">
        <f>IF($D1145="","",ROUND(IF($J1145="",1,$J1145)*N($K1145),2))</f>
        <v/>
      </c>
      <c r="M1145" s="13" t="n"/>
      <c r="N1145" s="17">
        <f>IF($D1145="","",IF(ISNA(MATCH($D1145,项目名表,0)),"※项目不在项目台账里",IF($F1145="※材料类别没选","※材料类别没选",IF(AND($C1145&lt;&gt;"",ISNA(MATCH($C1145,供应商表,0))),"※供应商不在基础资料里",""))))</f>
        <v/>
      </c>
    </row>
    <row r="1146">
      <c r="A1146" s="17">
        <f>IF($D1146="","",ROW()-3)</f>
        <v/>
      </c>
      <c r="B1146" s="18" t="n"/>
      <c r="C1146" s="13" t="n"/>
      <c r="D1146" s="13" t="n"/>
      <c r="E1146" s="13" t="n"/>
      <c r="F1146" s="17">
        <f>IF($D1146="","",IFERROR(VLOOKUP($E1146,材料归属,2,0),"※材料类别没选"))</f>
        <v/>
      </c>
      <c r="G1146" s="13" t="n"/>
      <c r="H1146" s="13" t="n"/>
      <c r="I1146" s="13" t="n"/>
      <c r="J1146" s="20" t="n"/>
      <c r="K1146" s="14" t="n"/>
      <c r="L1146" s="19">
        <f>IF($D1146="","",ROUND(IF($J1146="",1,$J1146)*N($K1146),2))</f>
        <v/>
      </c>
      <c r="M1146" s="13" t="n"/>
      <c r="N1146" s="17">
        <f>IF($D1146="","",IF(ISNA(MATCH($D1146,项目名表,0)),"※项目不在项目台账里",IF($F1146="※材料类别没选","※材料类别没选",IF(AND($C1146&lt;&gt;"",ISNA(MATCH($C1146,供应商表,0))),"※供应商不在基础资料里",""))))</f>
        <v/>
      </c>
    </row>
    <row r="1147">
      <c r="A1147" s="17">
        <f>IF($D1147="","",ROW()-3)</f>
        <v/>
      </c>
      <c r="B1147" s="18" t="n"/>
      <c r="C1147" s="13" t="n"/>
      <c r="D1147" s="13" t="n"/>
      <c r="E1147" s="13" t="n"/>
      <c r="F1147" s="17">
        <f>IF($D1147="","",IFERROR(VLOOKUP($E1147,材料归属,2,0),"※材料类别没选"))</f>
        <v/>
      </c>
      <c r="G1147" s="13" t="n"/>
      <c r="H1147" s="13" t="n"/>
      <c r="I1147" s="13" t="n"/>
      <c r="J1147" s="20" t="n"/>
      <c r="K1147" s="14" t="n"/>
      <c r="L1147" s="19">
        <f>IF($D1147="","",ROUND(IF($J1147="",1,$J1147)*N($K1147),2))</f>
        <v/>
      </c>
      <c r="M1147" s="13" t="n"/>
      <c r="N1147" s="17">
        <f>IF($D1147="","",IF(ISNA(MATCH($D1147,项目名表,0)),"※项目不在项目台账里",IF($F1147="※材料类别没选","※材料类别没选",IF(AND($C1147&lt;&gt;"",ISNA(MATCH($C1147,供应商表,0))),"※供应商不在基础资料里",""))))</f>
        <v/>
      </c>
    </row>
    <row r="1148">
      <c r="A1148" s="17">
        <f>IF($D1148="","",ROW()-3)</f>
        <v/>
      </c>
      <c r="B1148" s="18" t="n"/>
      <c r="C1148" s="13" t="n"/>
      <c r="D1148" s="13" t="n"/>
      <c r="E1148" s="13" t="n"/>
      <c r="F1148" s="17">
        <f>IF($D1148="","",IFERROR(VLOOKUP($E1148,材料归属,2,0),"※材料类别没选"))</f>
        <v/>
      </c>
      <c r="G1148" s="13" t="n"/>
      <c r="H1148" s="13" t="n"/>
      <c r="I1148" s="13" t="n"/>
      <c r="J1148" s="20" t="n"/>
      <c r="K1148" s="14" t="n"/>
      <c r="L1148" s="19">
        <f>IF($D1148="","",ROUND(IF($J1148="",1,$J1148)*N($K1148),2))</f>
        <v/>
      </c>
      <c r="M1148" s="13" t="n"/>
      <c r="N1148" s="17">
        <f>IF($D1148="","",IF(ISNA(MATCH($D1148,项目名表,0)),"※项目不在项目台账里",IF($F1148="※材料类别没选","※材料类别没选",IF(AND($C1148&lt;&gt;"",ISNA(MATCH($C1148,供应商表,0))),"※供应商不在基础资料里",""))))</f>
        <v/>
      </c>
    </row>
    <row r="1149">
      <c r="A1149" s="17">
        <f>IF($D1149="","",ROW()-3)</f>
        <v/>
      </c>
      <c r="B1149" s="18" t="n"/>
      <c r="C1149" s="13" t="n"/>
      <c r="D1149" s="13" t="n"/>
      <c r="E1149" s="13" t="n"/>
      <c r="F1149" s="17">
        <f>IF($D1149="","",IFERROR(VLOOKUP($E1149,材料归属,2,0),"※材料类别没选"))</f>
        <v/>
      </c>
      <c r="G1149" s="13" t="n"/>
      <c r="H1149" s="13" t="n"/>
      <c r="I1149" s="13" t="n"/>
      <c r="J1149" s="20" t="n"/>
      <c r="K1149" s="14" t="n"/>
      <c r="L1149" s="19">
        <f>IF($D1149="","",ROUND(IF($J1149="",1,$J1149)*N($K1149),2))</f>
        <v/>
      </c>
      <c r="M1149" s="13" t="n"/>
      <c r="N1149" s="17">
        <f>IF($D1149="","",IF(ISNA(MATCH($D1149,项目名表,0)),"※项目不在项目台账里",IF($F1149="※材料类别没选","※材料类别没选",IF(AND($C1149&lt;&gt;"",ISNA(MATCH($C1149,供应商表,0))),"※供应商不在基础资料里",""))))</f>
        <v/>
      </c>
    </row>
    <row r="1150">
      <c r="A1150" s="17">
        <f>IF($D1150="","",ROW()-3)</f>
        <v/>
      </c>
      <c r="B1150" s="18" t="n"/>
      <c r="C1150" s="13" t="n"/>
      <c r="D1150" s="13" t="n"/>
      <c r="E1150" s="13" t="n"/>
      <c r="F1150" s="17">
        <f>IF($D1150="","",IFERROR(VLOOKUP($E1150,材料归属,2,0),"※材料类别没选"))</f>
        <v/>
      </c>
      <c r="G1150" s="13" t="n"/>
      <c r="H1150" s="13" t="n"/>
      <c r="I1150" s="13" t="n"/>
      <c r="J1150" s="20" t="n"/>
      <c r="K1150" s="14" t="n"/>
      <c r="L1150" s="19">
        <f>IF($D1150="","",ROUND(IF($J1150="",1,$J1150)*N($K1150),2))</f>
        <v/>
      </c>
      <c r="M1150" s="13" t="n"/>
      <c r="N1150" s="17">
        <f>IF($D1150="","",IF(ISNA(MATCH($D1150,项目名表,0)),"※项目不在项目台账里",IF($F1150="※材料类别没选","※材料类别没选",IF(AND($C1150&lt;&gt;"",ISNA(MATCH($C1150,供应商表,0))),"※供应商不在基础资料里",""))))</f>
        <v/>
      </c>
    </row>
    <row r="1151">
      <c r="A1151" s="17">
        <f>IF($D1151="","",ROW()-3)</f>
        <v/>
      </c>
      <c r="B1151" s="18" t="n"/>
      <c r="C1151" s="13" t="n"/>
      <c r="D1151" s="13" t="n"/>
      <c r="E1151" s="13" t="n"/>
      <c r="F1151" s="17">
        <f>IF($D1151="","",IFERROR(VLOOKUP($E1151,材料归属,2,0),"※材料类别没选"))</f>
        <v/>
      </c>
      <c r="G1151" s="13" t="n"/>
      <c r="H1151" s="13" t="n"/>
      <c r="I1151" s="13" t="n"/>
      <c r="J1151" s="20" t="n"/>
      <c r="K1151" s="14" t="n"/>
      <c r="L1151" s="19">
        <f>IF($D1151="","",ROUND(IF($J1151="",1,$J1151)*N($K1151),2))</f>
        <v/>
      </c>
      <c r="M1151" s="13" t="n"/>
      <c r="N1151" s="17">
        <f>IF($D1151="","",IF(ISNA(MATCH($D1151,项目名表,0)),"※项目不在项目台账里",IF($F1151="※材料类别没选","※材料类别没选",IF(AND($C1151&lt;&gt;"",ISNA(MATCH($C1151,供应商表,0))),"※供应商不在基础资料里",""))))</f>
        <v/>
      </c>
    </row>
    <row r="1152">
      <c r="A1152" s="17">
        <f>IF($D1152="","",ROW()-3)</f>
        <v/>
      </c>
      <c r="B1152" s="18" t="n"/>
      <c r="C1152" s="13" t="n"/>
      <c r="D1152" s="13" t="n"/>
      <c r="E1152" s="13" t="n"/>
      <c r="F1152" s="17">
        <f>IF($D1152="","",IFERROR(VLOOKUP($E1152,材料归属,2,0),"※材料类别没选"))</f>
        <v/>
      </c>
      <c r="G1152" s="13" t="n"/>
      <c r="H1152" s="13" t="n"/>
      <c r="I1152" s="13" t="n"/>
      <c r="J1152" s="20" t="n"/>
      <c r="K1152" s="14" t="n"/>
      <c r="L1152" s="19">
        <f>IF($D1152="","",ROUND(IF($J1152="",1,$J1152)*N($K1152),2))</f>
        <v/>
      </c>
      <c r="M1152" s="13" t="n"/>
      <c r="N1152" s="17">
        <f>IF($D1152="","",IF(ISNA(MATCH($D1152,项目名表,0)),"※项目不在项目台账里",IF($F1152="※材料类别没选","※材料类别没选",IF(AND($C1152&lt;&gt;"",ISNA(MATCH($C1152,供应商表,0))),"※供应商不在基础资料里",""))))</f>
        <v/>
      </c>
    </row>
    <row r="1153">
      <c r="A1153" s="17">
        <f>IF($D1153="","",ROW()-3)</f>
        <v/>
      </c>
      <c r="B1153" s="18" t="n"/>
      <c r="C1153" s="13" t="n"/>
      <c r="D1153" s="13" t="n"/>
      <c r="E1153" s="13" t="n"/>
      <c r="F1153" s="17">
        <f>IF($D1153="","",IFERROR(VLOOKUP($E1153,材料归属,2,0),"※材料类别没选"))</f>
        <v/>
      </c>
      <c r="G1153" s="13" t="n"/>
      <c r="H1153" s="13" t="n"/>
      <c r="I1153" s="13" t="n"/>
      <c r="J1153" s="20" t="n"/>
      <c r="K1153" s="14" t="n"/>
      <c r="L1153" s="19">
        <f>IF($D1153="","",ROUND(IF($J1153="",1,$J1153)*N($K1153),2))</f>
        <v/>
      </c>
      <c r="M1153" s="13" t="n"/>
      <c r="N1153" s="17">
        <f>IF($D1153="","",IF(ISNA(MATCH($D1153,项目名表,0)),"※项目不在项目台账里",IF($F1153="※材料类别没选","※材料类别没选",IF(AND($C1153&lt;&gt;"",ISNA(MATCH($C1153,供应商表,0))),"※供应商不在基础资料里",""))))</f>
        <v/>
      </c>
    </row>
    <row r="1154">
      <c r="A1154" s="17">
        <f>IF($D1154="","",ROW()-3)</f>
        <v/>
      </c>
      <c r="B1154" s="18" t="n"/>
      <c r="C1154" s="13" t="n"/>
      <c r="D1154" s="13" t="n"/>
      <c r="E1154" s="13" t="n"/>
      <c r="F1154" s="17">
        <f>IF($D1154="","",IFERROR(VLOOKUP($E1154,材料归属,2,0),"※材料类别没选"))</f>
        <v/>
      </c>
      <c r="G1154" s="13" t="n"/>
      <c r="H1154" s="13" t="n"/>
      <c r="I1154" s="13" t="n"/>
      <c r="J1154" s="20" t="n"/>
      <c r="K1154" s="14" t="n"/>
      <c r="L1154" s="19">
        <f>IF($D1154="","",ROUND(IF($J1154="",1,$J1154)*N($K1154),2))</f>
        <v/>
      </c>
      <c r="M1154" s="13" t="n"/>
      <c r="N1154" s="17">
        <f>IF($D1154="","",IF(ISNA(MATCH($D1154,项目名表,0)),"※项目不在项目台账里",IF($F1154="※材料类别没选","※材料类别没选",IF(AND($C1154&lt;&gt;"",ISNA(MATCH($C1154,供应商表,0))),"※供应商不在基础资料里",""))))</f>
        <v/>
      </c>
    </row>
    <row r="1155">
      <c r="A1155" s="17">
        <f>IF($D1155="","",ROW()-3)</f>
        <v/>
      </c>
      <c r="B1155" s="18" t="n"/>
      <c r="C1155" s="13" t="n"/>
      <c r="D1155" s="13" t="n"/>
      <c r="E1155" s="13" t="n"/>
      <c r="F1155" s="17">
        <f>IF($D1155="","",IFERROR(VLOOKUP($E1155,材料归属,2,0),"※材料类别没选"))</f>
        <v/>
      </c>
      <c r="G1155" s="13" t="n"/>
      <c r="H1155" s="13" t="n"/>
      <c r="I1155" s="13" t="n"/>
      <c r="J1155" s="20" t="n"/>
      <c r="K1155" s="14" t="n"/>
      <c r="L1155" s="19">
        <f>IF($D1155="","",ROUND(IF($J1155="",1,$J1155)*N($K1155),2))</f>
        <v/>
      </c>
      <c r="M1155" s="13" t="n"/>
      <c r="N1155" s="17">
        <f>IF($D1155="","",IF(ISNA(MATCH($D1155,项目名表,0)),"※项目不在项目台账里",IF($F1155="※材料类别没选","※材料类别没选",IF(AND($C1155&lt;&gt;"",ISNA(MATCH($C1155,供应商表,0))),"※供应商不在基础资料里",""))))</f>
        <v/>
      </c>
    </row>
    <row r="1156">
      <c r="A1156" s="17">
        <f>IF($D1156="","",ROW()-3)</f>
        <v/>
      </c>
      <c r="B1156" s="18" t="n"/>
      <c r="C1156" s="13" t="n"/>
      <c r="D1156" s="13" t="n"/>
      <c r="E1156" s="13" t="n"/>
      <c r="F1156" s="17">
        <f>IF($D1156="","",IFERROR(VLOOKUP($E1156,材料归属,2,0),"※材料类别没选"))</f>
        <v/>
      </c>
      <c r="G1156" s="13" t="n"/>
      <c r="H1156" s="13" t="n"/>
      <c r="I1156" s="13" t="n"/>
      <c r="J1156" s="20" t="n"/>
      <c r="K1156" s="14" t="n"/>
      <c r="L1156" s="19">
        <f>IF($D1156="","",ROUND(IF($J1156="",1,$J1156)*N($K1156),2))</f>
        <v/>
      </c>
      <c r="M1156" s="13" t="n"/>
      <c r="N1156" s="17">
        <f>IF($D1156="","",IF(ISNA(MATCH($D1156,项目名表,0)),"※项目不在项目台账里",IF($F1156="※材料类别没选","※材料类别没选",IF(AND($C1156&lt;&gt;"",ISNA(MATCH($C1156,供应商表,0))),"※供应商不在基础资料里",""))))</f>
        <v/>
      </c>
    </row>
    <row r="1157">
      <c r="A1157" s="17">
        <f>IF($D1157="","",ROW()-3)</f>
        <v/>
      </c>
      <c r="B1157" s="18" t="n"/>
      <c r="C1157" s="13" t="n"/>
      <c r="D1157" s="13" t="n"/>
      <c r="E1157" s="13" t="n"/>
      <c r="F1157" s="17">
        <f>IF($D1157="","",IFERROR(VLOOKUP($E1157,材料归属,2,0),"※材料类别没选"))</f>
        <v/>
      </c>
      <c r="G1157" s="13" t="n"/>
      <c r="H1157" s="13" t="n"/>
      <c r="I1157" s="13" t="n"/>
      <c r="J1157" s="20" t="n"/>
      <c r="K1157" s="14" t="n"/>
      <c r="L1157" s="19">
        <f>IF($D1157="","",ROUND(IF($J1157="",1,$J1157)*N($K1157),2))</f>
        <v/>
      </c>
      <c r="M1157" s="13" t="n"/>
      <c r="N1157" s="17">
        <f>IF($D1157="","",IF(ISNA(MATCH($D1157,项目名表,0)),"※项目不在项目台账里",IF($F1157="※材料类别没选","※材料类别没选",IF(AND($C1157&lt;&gt;"",ISNA(MATCH($C1157,供应商表,0))),"※供应商不在基础资料里",""))))</f>
        <v/>
      </c>
    </row>
    <row r="1158">
      <c r="A1158" s="17">
        <f>IF($D1158="","",ROW()-3)</f>
        <v/>
      </c>
      <c r="B1158" s="18" t="n"/>
      <c r="C1158" s="13" t="n"/>
      <c r="D1158" s="13" t="n"/>
      <c r="E1158" s="13" t="n"/>
      <c r="F1158" s="17">
        <f>IF($D1158="","",IFERROR(VLOOKUP($E1158,材料归属,2,0),"※材料类别没选"))</f>
        <v/>
      </c>
      <c r="G1158" s="13" t="n"/>
      <c r="H1158" s="13" t="n"/>
      <c r="I1158" s="13" t="n"/>
      <c r="J1158" s="20" t="n"/>
      <c r="K1158" s="14" t="n"/>
      <c r="L1158" s="19">
        <f>IF($D1158="","",ROUND(IF($J1158="",1,$J1158)*N($K1158),2))</f>
        <v/>
      </c>
      <c r="M1158" s="13" t="n"/>
      <c r="N1158" s="17">
        <f>IF($D1158="","",IF(ISNA(MATCH($D1158,项目名表,0)),"※项目不在项目台账里",IF($F1158="※材料类别没选","※材料类别没选",IF(AND($C1158&lt;&gt;"",ISNA(MATCH($C1158,供应商表,0))),"※供应商不在基础资料里",""))))</f>
        <v/>
      </c>
    </row>
    <row r="1159">
      <c r="A1159" s="17">
        <f>IF($D1159="","",ROW()-3)</f>
        <v/>
      </c>
      <c r="B1159" s="18" t="n"/>
      <c r="C1159" s="13" t="n"/>
      <c r="D1159" s="13" t="n"/>
      <c r="E1159" s="13" t="n"/>
      <c r="F1159" s="17">
        <f>IF($D1159="","",IFERROR(VLOOKUP($E1159,材料归属,2,0),"※材料类别没选"))</f>
        <v/>
      </c>
      <c r="G1159" s="13" t="n"/>
      <c r="H1159" s="13" t="n"/>
      <c r="I1159" s="13" t="n"/>
      <c r="J1159" s="20" t="n"/>
      <c r="K1159" s="14" t="n"/>
      <c r="L1159" s="19">
        <f>IF($D1159="","",ROUND(IF($J1159="",1,$J1159)*N($K1159),2))</f>
        <v/>
      </c>
      <c r="M1159" s="13" t="n"/>
      <c r="N1159" s="17">
        <f>IF($D1159="","",IF(ISNA(MATCH($D1159,项目名表,0)),"※项目不在项目台账里",IF($F1159="※材料类别没选","※材料类别没选",IF(AND($C1159&lt;&gt;"",ISNA(MATCH($C1159,供应商表,0))),"※供应商不在基础资料里",""))))</f>
        <v/>
      </c>
    </row>
    <row r="1160">
      <c r="A1160" s="17">
        <f>IF($D1160="","",ROW()-3)</f>
        <v/>
      </c>
      <c r="B1160" s="18" t="n"/>
      <c r="C1160" s="13" t="n"/>
      <c r="D1160" s="13" t="n"/>
      <c r="E1160" s="13" t="n"/>
      <c r="F1160" s="17">
        <f>IF($D1160="","",IFERROR(VLOOKUP($E1160,材料归属,2,0),"※材料类别没选"))</f>
        <v/>
      </c>
      <c r="G1160" s="13" t="n"/>
      <c r="H1160" s="13" t="n"/>
      <c r="I1160" s="13" t="n"/>
      <c r="J1160" s="20" t="n"/>
      <c r="K1160" s="14" t="n"/>
      <c r="L1160" s="19">
        <f>IF($D1160="","",ROUND(IF($J1160="",1,$J1160)*N($K1160),2))</f>
        <v/>
      </c>
      <c r="M1160" s="13" t="n"/>
      <c r="N1160" s="17">
        <f>IF($D1160="","",IF(ISNA(MATCH($D1160,项目名表,0)),"※项目不在项目台账里",IF($F1160="※材料类别没选","※材料类别没选",IF(AND($C1160&lt;&gt;"",ISNA(MATCH($C1160,供应商表,0))),"※供应商不在基础资料里",""))))</f>
        <v/>
      </c>
    </row>
    <row r="1161">
      <c r="A1161" s="17">
        <f>IF($D1161="","",ROW()-3)</f>
        <v/>
      </c>
      <c r="B1161" s="18" t="n"/>
      <c r="C1161" s="13" t="n"/>
      <c r="D1161" s="13" t="n"/>
      <c r="E1161" s="13" t="n"/>
      <c r="F1161" s="17">
        <f>IF($D1161="","",IFERROR(VLOOKUP($E1161,材料归属,2,0),"※材料类别没选"))</f>
        <v/>
      </c>
      <c r="G1161" s="13" t="n"/>
      <c r="H1161" s="13" t="n"/>
      <c r="I1161" s="13" t="n"/>
      <c r="J1161" s="20" t="n"/>
      <c r="K1161" s="14" t="n"/>
      <c r="L1161" s="19">
        <f>IF($D1161="","",ROUND(IF($J1161="",1,$J1161)*N($K1161),2))</f>
        <v/>
      </c>
      <c r="M1161" s="13" t="n"/>
      <c r="N1161" s="17">
        <f>IF($D1161="","",IF(ISNA(MATCH($D1161,项目名表,0)),"※项目不在项目台账里",IF($F1161="※材料类别没选","※材料类别没选",IF(AND($C1161&lt;&gt;"",ISNA(MATCH($C1161,供应商表,0))),"※供应商不在基础资料里",""))))</f>
        <v/>
      </c>
    </row>
    <row r="1162">
      <c r="A1162" s="17">
        <f>IF($D1162="","",ROW()-3)</f>
        <v/>
      </c>
      <c r="B1162" s="18" t="n"/>
      <c r="C1162" s="13" t="n"/>
      <c r="D1162" s="13" t="n"/>
      <c r="E1162" s="13" t="n"/>
      <c r="F1162" s="17">
        <f>IF($D1162="","",IFERROR(VLOOKUP($E1162,材料归属,2,0),"※材料类别没选"))</f>
        <v/>
      </c>
      <c r="G1162" s="13" t="n"/>
      <c r="H1162" s="13" t="n"/>
      <c r="I1162" s="13" t="n"/>
      <c r="J1162" s="20" t="n"/>
      <c r="K1162" s="14" t="n"/>
      <c r="L1162" s="19">
        <f>IF($D1162="","",ROUND(IF($J1162="",1,$J1162)*N($K1162),2))</f>
        <v/>
      </c>
      <c r="M1162" s="13" t="n"/>
      <c r="N1162" s="17">
        <f>IF($D1162="","",IF(ISNA(MATCH($D1162,项目名表,0)),"※项目不在项目台账里",IF($F1162="※材料类别没选","※材料类别没选",IF(AND($C1162&lt;&gt;"",ISNA(MATCH($C1162,供应商表,0))),"※供应商不在基础资料里",""))))</f>
        <v/>
      </c>
    </row>
    <row r="1163">
      <c r="A1163" s="17">
        <f>IF($D1163="","",ROW()-3)</f>
        <v/>
      </c>
      <c r="B1163" s="18" t="n"/>
      <c r="C1163" s="13" t="n"/>
      <c r="D1163" s="13" t="n"/>
      <c r="E1163" s="13" t="n"/>
      <c r="F1163" s="17">
        <f>IF($D1163="","",IFERROR(VLOOKUP($E1163,材料归属,2,0),"※材料类别没选"))</f>
        <v/>
      </c>
      <c r="G1163" s="13" t="n"/>
      <c r="H1163" s="13" t="n"/>
      <c r="I1163" s="13" t="n"/>
      <c r="J1163" s="20" t="n"/>
      <c r="K1163" s="14" t="n"/>
      <c r="L1163" s="19">
        <f>IF($D1163="","",ROUND(IF($J1163="",1,$J1163)*N($K1163),2))</f>
        <v/>
      </c>
      <c r="M1163" s="13" t="n"/>
      <c r="N1163" s="17">
        <f>IF($D1163="","",IF(ISNA(MATCH($D1163,项目名表,0)),"※项目不在项目台账里",IF($F1163="※材料类别没选","※材料类别没选",IF(AND($C1163&lt;&gt;"",ISNA(MATCH($C1163,供应商表,0))),"※供应商不在基础资料里",""))))</f>
        <v/>
      </c>
    </row>
    <row r="1164">
      <c r="A1164" s="17">
        <f>IF($D1164="","",ROW()-3)</f>
        <v/>
      </c>
      <c r="B1164" s="18" t="n"/>
      <c r="C1164" s="13" t="n"/>
      <c r="D1164" s="13" t="n"/>
      <c r="E1164" s="13" t="n"/>
      <c r="F1164" s="17">
        <f>IF($D1164="","",IFERROR(VLOOKUP($E1164,材料归属,2,0),"※材料类别没选"))</f>
        <v/>
      </c>
      <c r="G1164" s="13" t="n"/>
      <c r="H1164" s="13" t="n"/>
      <c r="I1164" s="13" t="n"/>
      <c r="J1164" s="20" t="n"/>
      <c r="K1164" s="14" t="n"/>
      <c r="L1164" s="19">
        <f>IF($D1164="","",ROUND(IF($J1164="",1,$J1164)*N($K1164),2))</f>
        <v/>
      </c>
      <c r="M1164" s="13" t="n"/>
      <c r="N1164" s="17">
        <f>IF($D1164="","",IF(ISNA(MATCH($D1164,项目名表,0)),"※项目不在项目台账里",IF($F1164="※材料类别没选","※材料类别没选",IF(AND($C1164&lt;&gt;"",ISNA(MATCH($C1164,供应商表,0))),"※供应商不在基础资料里",""))))</f>
        <v/>
      </c>
    </row>
    <row r="1165">
      <c r="A1165" s="17">
        <f>IF($D1165="","",ROW()-3)</f>
        <v/>
      </c>
      <c r="B1165" s="18" t="n"/>
      <c r="C1165" s="13" t="n"/>
      <c r="D1165" s="13" t="n"/>
      <c r="E1165" s="13" t="n"/>
      <c r="F1165" s="17">
        <f>IF($D1165="","",IFERROR(VLOOKUP($E1165,材料归属,2,0),"※材料类别没选"))</f>
        <v/>
      </c>
      <c r="G1165" s="13" t="n"/>
      <c r="H1165" s="13" t="n"/>
      <c r="I1165" s="13" t="n"/>
      <c r="J1165" s="20" t="n"/>
      <c r="K1165" s="14" t="n"/>
      <c r="L1165" s="19">
        <f>IF($D1165="","",ROUND(IF($J1165="",1,$J1165)*N($K1165),2))</f>
        <v/>
      </c>
      <c r="M1165" s="13" t="n"/>
      <c r="N1165" s="17">
        <f>IF($D1165="","",IF(ISNA(MATCH($D1165,项目名表,0)),"※项目不在项目台账里",IF($F1165="※材料类别没选","※材料类别没选",IF(AND($C1165&lt;&gt;"",ISNA(MATCH($C1165,供应商表,0))),"※供应商不在基础资料里",""))))</f>
        <v/>
      </c>
    </row>
    <row r="1166">
      <c r="A1166" s="17">
        <f>IF($D1166="","",ROW()-3)</f>
        <v/>
      </c>
      <c r="B1166" s="18" t="n"/>
      <c r="C1166" s="13" t="n"/>
      <c r="D1166" s="13" t="n"/>
      <c r="E1166" s="13" t="n"/>
      <c r="F1166" s="17">
        <f>IF($D1166="","",IFERROR(VLOOKUP($E1166,材料归属,2,0),"※材料类别没选"))</f>
        <v/>
      </c>
      <c r="G1166" s="13" t="n"/>
      <c r="H1166" s="13" t="n"/>
      <c r="I1166" s="13" t="n"/>
      <c r="J1166" s="20" t="n"/>
      <c r="K1166" s="14" t="n"/>
      <c r="L1166" s="19">
        <f>IF($D1166="","",ROUND(IF($J1166="",1,$J1166)*N($K1166),2))</f>
        <v/>
      </c>
      <c r="M1166" s="13" t="n"/>
      <c r="N1166" s="17">
        <f>IF($D1166="","",IF(ISNA(MATCH($D1166,项目名表,0)),"※项目不在项目台账里",IF($F1166="※材料类别没选","※材料类别没选",IF(AND($C1166&lt;&gt;"",ISNA(MATCH($C1166,供应商表,0))),"※供应商不在基础资料里",""))))</f>
        <v/>
      </c>
    </row>
    <row r="1167">
      <c r="A1167" s="17">
        <f>IF($D1167="","",ROW()-3)</f>
        <v/>
      </c>
      <c r="B1167" s="18" t="n"/>
      <c r="C1167" s="13" t="n"/>
      <c r="D1167" s="13" t="n"/>
      <c r="E1167" s="13" t="n"/>
      <c r="F1167" s="17">
        <f>IF($D1167="","",IFERROR(VLOOKUP($E1167,材料归属,2,0),"※材料类别没选"))</f>
        <v/>
      </c>
      <c r="G1167" s="13" t="n"/>
      <c r="H1167" s="13" t="n"/>
      <c r="I1167" s="13" t="n"/>
      <c r="J1167" s="20" t="n"/>
      <c r="K1167" s="14" t="n"/>
      <c r="L1167" s="19">
        <f>IF($D1167="","",ROUND(IF($J1167="",1,$J1167)*N($K1167),2))</f>
        <v/>
      </c>
      <c r="M1167" s="13" t="n"/>
      <c r="N1167" s="17">
        <f>IF($D1167="","",IF(ISNA(MATCH($D1167,项目名表,0)),"※项目不在项目台账里",IF($F1167="※材料类别没选","※材料类别没选",IF(AND($C1167&lt;&gt;"",ISNA(MATCH($C1167,供应商表,0))),"※供应商不在基础资料里",""))))</f>
        <v/>
      </c>
    </row>
    <row r="1168">
      <c r="A1168" s="17">
        <f>IF($D1168="","",ROW()-3)</f>
        <v/>
      </c>
      <c r="B1168" s="18" t="n"/>
      <c r="C1168" s="13" t="n"/>
      <c r="D1168" s="13" t="n"/>
      <c r="E1168" s="13" t="n"/>
      <c r="F1168" s="17">
        <f>IF($D1168="","",IFERROR(VLOOKUP($E1168,材料归属,2,0),"※材料类别没选"))</f>
        <v/>
      </c>
      <c r="G1168" s="13" t="n"/>
      <c r="H1168" s="13" t="n"/>
      <c r="I1168" s="13" t="n"/>
      <c r="J1168" s="20" t="n"/>
      <c r="K1168" s="14" t="n"/>
      <c r="L1168" s="19">
        <f>IF($D1168="","",ROUND(IF($J1168="",1,$J1168)*N($K1168),2))</f>
        <v/>
      </c>
      <c r="M1168" s="13" t="n"/>
      <c r="N1168" s="17">
        <f>IF($D1168="","",IF(ISNA(MATCH($D1168,项目名表,0)),"※项目不在项目台账里",IF($F1168="※材料类别没选","※材料类别没选",IF(AND($C1168&lt;&gt;"",ISNA(MATCH($C1168,供应商表,0))),"※供应商不在基础资料里",""))))</f>
        <v/>
      </c>
    </row>
    <row r="1169">
      <c r="A1169" s="17">
        <f>IF($D1169="","",ROW()-3)</f>
        <v/>
      </c>
      <c r="B1169" s="18" t="n"/>
      <c r="C1169" s="13" t="n"/>
      <c r="D1169" s="13" t="n"/>
      <c r="E1169" s="13" t="n"/>
      <c r="F1169" s="17">
        <f>IF($D1169="","",IFERROR(VLOOKUP($E1169,材料归属,2,0),"※材料类别没选"))</f>
        <v/>
      </c>
      <c r="G1169" s="13" t="n"/>
      <c r="H1169" s="13" t="n"/>
      <c r="I1169" s="13" t="n"/>
      <c r="J1169" s="20" t="n"/>
      <c r="K1169" s="14" t="n"/>
      <c r="L1169" s="19">
        <f>IF($D1169="","",ROUND(IF($J1169="",1,$J1169)*N($K1169),2))</f>
        <v/>
      </c>
      <c r="M1169" s="13" t="n"/>
      <c r="N1169" s="17">
        <f>IF($D1169="","",IF(ISNA(MATCH($D1169,项目名表,0)),"※项目不在项目台账里",IF($F1169="※材料类别没选","※材料类别没选",IF(AND($C1169&lt;&gt;"",ISNA(MATCH($C1169,供应商表,0))),"※供应商不在基础资料里",""))))</f>
        <v/>
      </c>
    </row>
    <row r="1170">
      <c r="A1170" s="17">
        <f>IF($D1170="","",ROW()-3)</f>
        <v/>
      </c>
      <c r="B1170" s="18" t="n"/>
      <c r="C1170" s="13" t="n"/>
      <c r="D1170" s="13" t="n"/>
      <c r="E1170" s="13" t="n"/>
      <c r="F1170" s="17">
        <f>IF($D1170="","",IFERROR(VLOOKUP($E1170,材料归属,2,0),"※材料类别没选"))</f>
        <v/>
      </c>
      <c r="G1170" s="13" t="n"/>
      <c r="H1170" s="13" t="n"/>
      <c r="I1170" s="13" t="n"/>
      <c r="J1170" s="20" t="n"/>
      <c r="K1170" s="14" t="n"/>
      <c r="L1170" s="19">
        <f>IF($D1170="","",ROUND(IF($J1170="",1,$J1170)*N($K1170),2))</f>
        <v/>
      </c>
      <c r="M1170" s="13" t="n"/>
      <c r="N1170" s="17">
        <f>IF($D1170="","",IF(ISNA(MATCH($D1170,项目名表,0)),"※项目不在项目台账里",IF($F1170="※材料类别没选","※材料类别没选",IF(AND($C1170&lt;&gt;"",ISNA(MATCH($C1170,供应商表,0))),"※供应商不在基础资料里",""))))</f>
        <v/>
      </c>
    </row>
    <row r="1171">
      <c r="A1171" s="17">
        <f>IF($D1171="","",ROW()-3)</f>
        <v/>
      </c>
      <c r="B1171" s="18" t="n"/>
      <c r="C1171" s="13" t="n"/>
      <c r="D1171" s="13" t="n"/>
      <c r="E1171" s="13" t="n"/>
      <c r="F1171" s="17">
        <f>IF($D1171="","",IFERROR(VLOOKUP($E1171,材料归属,2,0),"※材料类别没选"))</f>
        <v/>
      </c>
      <c r="G1171" s="13" t="n"/>
      <c r="H1171" s="13" t="n"/>
      <c r="I1171" s="13" t="n"/>
      <c r="J1171" s="20" t="n"/>
      <c r="K1171" s="14" t="n"/>
      <c r="L1171" s="19">
        <f>IF($D1171="","",ROUND(IF($J1171="",1,$J1171)*N($K1171),2))</f>
        <v/>
      </c>
      <c r="M1171" s="13" t="n"/>
      <c r="N1171" s="17">
        <f>IF($D1171="","",IF(ISNA(MATCH($D1171,项目名表,0)),"※项目不在项目台账里",IF($F1171="※材料类别没选","※材料类别没选",IF(AND($C1171&lt;&gt;"",ISNA(MATCH($C1171,供应商表,0))),"※供应商不在基础资料里",""))))</f>
        <v/>
      </c>
    </row>
    <row r="1172">
      <c r="A1172" s="17">
        <f>IF($D1172="","",ROW()-3)</f>
        <v/>
      </c>
      <c r="B1172" s="18" t="n"/>
      <c r="C1172" s="13" t="n"/>
      <c r="D1172" s="13" t="n"/>
      <c r="E1172" s="13" t="n"/>
      <c r="F1172" s="17">
        <f>IF($D1172="","",IFERROR(VLOOKUP($E1172,材料归属,2,0),"※材料类别没选"))</f>
        <v/>
      </c>
      <c r="G1172" s="13" t="n"/>
      <c r="H1172" s="13" t="n"/>
      <c r="I1172" s="13" t="n"/>
      <c r="J1172" s="20" t="n"/>
      <c r="K1172" s="14" t="n"/>
      <c r="L1172" s="19">
        <f>IF($D1172="","",ROUND(IF($J1172="",1,$J1172)*N($K1172),2))</f>
        <v/>
      </c>
      <c r="M1172" s="13" t="n"/>
      <c r="N1172" s="17">
        <f>IF($D1172="","",IF(ISNA(MATCH($D1172,项目名表,0)),"※项目不在项目台账里",IF($F1172="※材料类别没选","※材料类别没选",IF(AND($C1172&lt;&gt;"",ISNA(MATCH($C1172,供应商表,0))),"※供应商不在基础资料里",""))))</f>
        <v/>
      </c>
    </row>
    <row r="1173">
      <c r="A1173" s="17">
        <f>IF($D1173="","",ROW()-3)</f>
        <v/>
      </c>
      <c r="B1173" s="18" t="n"/>
      <c r="C1173" s="13" t="n"/>
      <c r="D1173" s="13" t="n"/>
      <c r="E1173" s="13" t="n"/>
      <c r="F1173" s="17">
        <f>IF($D1173="","",IFERROR(VLOOKUP($E1173,材料归属,2,0),"※材料类别没选"))</f>
        <v/>
      </c>
      <c r="G1173" s="13" t="n"/>
      <c r="H1173" s="13" t="n"/>
      <c r="I1173" s="13" t="n"/>
      <c r="J1173" s="20" t="n"/>
      <c r="K1173" s="14" t="n"/>
      <c r="L1173" s="19">
        <f>IF($D1173="","",ROUND(IF($J1173="",1,$J1173)*N($K1173),2))</f>
        <v/>
      </c>
      <c r="M1173" s="13" t="n"/>
      <c r="N1173" s="17">
        <f>IF($D1173="","",IF(ISNA(MATCH($D1173,项目名表,0)),"※项目不在项目台账里",IF($F1173="※材料类别没选","※材料类别没选",IF(AND($C1173&lt;&gt;"",ISNA(MATCH($C1173,供应商表,0))),"※供应商不在基础资料里",""))))</f>
        <v/>
      </c>
    </row>
    <row r="1174">
      <c r="A1174" s="17">
        <f>IF($D1174="","",ROW()-3)</f>
        <v/>
      </c>
      <c r="B1174" s="18" t="n"/>
      <c r="C1174" s="13" t="n"/>
      <c r="D1174" s="13" t="n"/>
      <c r="E1174" s="13" t="n"/>
      <c r="F1174" s="17">
        <f>IF($D1174="","",IFERROR(VLOOKUP($E1174,材料归属,2,0),"※材料类别没选"))</f>
        <v/>
      </c>
      <c r="G1174" s="13" t="n"/>
      <c r="H1174" s="13" t="n"/>
      <c r="I1174" s="13" t="n"/>
      <c r="J1174" s="20" t="n"/>
      <c r="K1174" s="14" t="n"/>
      <c r="L1174" s="19">
        <f>IF($D1174="","",ROUND(IF($J1174="",1,$J1174)*N($K1174),2))</f>
        <v/>
      </c>
      <c r="M1174" s="13" t="n"/>
      <c r="N1174" s="17">
        <f>IF($D1174="","",IF(ISNA(MATCH($D1174,项目名表,0)),"※项目不在项目台账里",IF($F1174="※材料类别没选","※材料类别没选",IF(AND($C1174&lt;&gt;"",ISNA(MATCH($C1174,供应商表,0))),"※供应商不在基础资料里",""))))</f>
        <v/>
      </c>
    </row>
    <row r="1175">
      <c r="A1175" s="17">
        <f>IF($D1175="","",ROW()-3)</f>
        <v/>
      </c>
      <c r="B1175" s="18" t="n"/>
      <c r="C1175" s="13" t="n"/>
      <c r="D1175" s="13" t="n"/>
      <c r="E1175" s="13" t="n"/>
      <c r="F1175" s="17">
        <f>IF($D1175="","",IFERROR(VLOOKUP($E1175,材料归属,2,0),"※材料类别没选"))</f>
        <v/>
      </c>
      <c r="G1175" s="13" t="n"/>
      <c r="H1175" s="13" t="n"/>
      <c r="I1175" s="13" t="n"/>
      <c r="J1175" s="20" t="n"/>
      <c r="K1175" s="14" t="n"/>
      <c r="L1175" s="19">
        <f>IF($D1175="","",ROUND(IF($J1175="",1,$J1175)*N($K1175),2))</f>
        <v/>
      </c>
      <c r="M1175" s="13" t="n"/>
      <c r="N1175" s="17">
        <f>IF($D1175="","",IF(ISNA(MATCH($D1175,项目名表,0)),"※项目不在项目台账里",IF($F1175="※材料类别没选","※材料类别没选",IF(AND($C1175&lt;&gt;"",ISNA(MATCH($C1175,供应商表,0))),"※供应商不在基础资料里",""))))</f>
        <v/>
      </c>
    </row>
    <row r="1176">
      <c r="A1176" s="17">
        <f>IF($D1176="","",ROW()-3)</f>
        <v/>
      </c>
      <c r="B1176" s="18" t="n"/>
      <c r="C1176" s="13" t="n"/>
      <c r="D1176" s="13" t="n"/>
      <c r="E1176" s="13" t="n"/>
      <c r="F1176" s="17">
        <f>IF($D1176="","",IFERROR(VLOOKUP($E1176,材料归属,2,0),"※材料类别没选"))</f>
        <v/>
      </c>
      <c r="G1176" s="13" t="n"/>
      <c r="H1176" s="13" t="n"/>
      <c r="I1176" s="13" t="n"/>
      <c r="J1176" s="20" t="n"/>
      <c r="K1176" s="14" t="n"/>
      <c r="L1176" s="19">
        <f>IF($D1176="","",ROUND(IF($J1176="",1,$J1176)*N($K1176),2))</f>
        <v/>
      </c>
      <c r="M1176" s="13" t="n"/>
      <c r="N1176" s="17">
        <f>IF($D1176="","",IF(ISNA(MATCH($D1176,项目名表,0)),"※项目不在项目台账里",IF($F1176="※材料类别没选","※材料类别没选",IF(AND($C1176&lt;&gt;"",ISNA(MATCH($C1176,供应商表,0))),"※供应商不在基础资料里",""))))</f>
        <v/>
      </c>
    </row>
    <row r="1177">
      <c r="A1177" s="17">
        <f>IF($D1177="","",ROW()-3)</f>
        <v/>
      </c>
      <c r="B1177" s="18" t="n"/>
      <c r="C1177" s="13" t="n"/>
      <c r="D1177" s="13" t="n"/>
      <c r="E1177" s="13" t="n"/>
      <c r="F1177" s="17">
        <f>IF($D1177="","",IFERROR(VLOOKUP($E1177,材料归属,2,0),"※材料类别没选"))</f>
        <v/>
      </c>
      <c r="G1177" s="13" t="n"/>
      <c r="H1177" s="13" t="n"/>
      <c r="I1177" s="13" t="n"/>
      <c r="J1177" s="20" t="n"/>
      <c r="K1177" s="14" t="n"/>
      <c r="L1177" s="19">
        <f>IF($D1177="","",ROUND(IF($J1177="",1,$J1177)*N($K1177),2))</f>
        <v/>
      </c>
      <c r="M1177" s="13" t="n"/>
      <c r="N1177" s="17">
        <f>IF($D1177="","",IF(ISNA(MATCH($D1177,项目名表,0)),"※项目不在项目台账里",IF($F1177="※材料类别没选","※材料类别没选",IF(AND($C1177&lt;&gt;"",ISNA(MATCH($C1177,供应商表,0))),"※供应商不在基础资料里",""))))</f>
        <v/>
      </c>
    </row>
    <row r="1178">
      <c r="A1178" s="17">
        <f>IF($D1178="","",ROW()-3)</f>
        <v/>
      </c>
      <c r="B1178" s="18" t="n"/>
      <c r="C1178" s="13" t="n"/>
      <c r="D1178" s="13" t="n"/>
      <c r="E1178" s="13" t="n"/>
      <c r="F1178" s="17">
        <f>IF($D1178="","",IFERROR(VLOOKUP($E1178,材料归属,2,0),"※材料类别没选"))</f>
        <v/>
      </c>
      <c r="G1178" s="13" t="n"/>
      <c r="H1178" s="13" t="n"/>
      <c r="I1178" s="13" t="n"/>
      <c r="J1178" s="20" t="n"/>
      <c r="K1178" s="14" t="n"/>
      <c r="L1178" s="19">
        <f>IF($D1178="","",ROUND(IF($J1178="",1,$J1178)*N($K1178),2))</f>
        <v/>
      </c>
      <c r="M1178" s="13" t="n"/>
      <c r="N1178" s="17">
        <f>IF($D1178="","",IF(ISNA(MATCH($D1178,项目名表,0)),"※项目不在项目台账里",IF($F1178="※材料类别没选","※材料类别没选",IF(AND($C1178&lt;&gt;"",ISNA(MATCH($C1178,供应商表,0))),"※供应商不在基础资料里",""))))</f>
        <v/>
      </c>
    </row>
    <row r="1179">
      <c r="A1179" s="17">
        <f>IF($D1179="","",ROW()-3)</f>
        <v/>
      </c>
      <c r="B1179" s="18" t="n"/>
      <c r="C1179" s="13" t="n"/>
      <c r="D1179" s="13" t="n"/>
      <c r="E1179" s="13" t="n"/>
      <c r="F1179" s="17">
        <f>IF($D1179="","",IFERROR(VLOOKUP($E1179,材料归属,2,0),"※材料类别没选"))</f>
        <v/>
      </c>
      <c r="G1179" s="13" t="n"/>
      <c r="H1179" s="13" t="n"/>
      <c r="I1179" s="13" t="n"/>
      <c r="J1179" s="20" t="n"/>
      <c r="K1179" s="14" t="n"/>
      <c r="L1179" s="19">
        <f>IF($D1179="","",ROUND(IF($J1179="",1,$J1179)*N($K1179),2))</f>
        <v/>
      </c>
      <c r="M1179" s="13" t="n"/>
      <c r="N1179" s="17">
        <f>IF($D1179="","",IF(ISNA(MATCH($D1179,项目名表,0)),"※项目不在项目台账里",IF($F1179="※材料类别没选","※材料类别没选",IF(AND($C1179&lt;&gt;"",ISNA(MATCH($C1179,供应商表,0))),"※供应商不在基础资料里",""))))</f>
        <v/>
      </c>
    </row>
    <row r="1180">
      <c r="A1180" s="17">
        <f>IF($D1180="","",ROW()-3)</f>
        <v/>
      </c>
      <c r="B1180" s="18" t="n"/>
      <c r="C1180" s="13" t="n"/>
      <c r="D1180" s="13" t="n"/>
      <c r="E1180" s="13" t="n"/>
      <c r="F1180" s="17">
        <f>IF($D1180="","",IFERROR(VLOOKUP($E1180,材料归属,2,0),"※材料类别没选"))</f>
        <v/>
      </c>
      <c r="G1180" s="13" t="n"/>
      <c r="H1180" s="13" t="n"/>
      <c r="I1180" s="13" t="n"/>
      <c r="J1180" s="20" t="n"/>
      <c r="K1180" s="14" t="n"/>
      <c r="L1180" s="19">
        <f>IF($D1180="","",ROUND(IF($J1180="",1,$J1180)*N($K1180),2))</f>
        <v/>
      </c>
      <c r="M1180" s="13" t="n"/>
      <c r="N1180" s="17">
        <f>IF($D1180="","",IF(ISNA(MATCH($D1180,项目名表,0)),"※项目不在项目台账里",IF($F1180="※材料类别没选","※材料类别没选",IF(AND($C1180&lt;&gt;"",ISNA(MATCH($C1180,供应商表,0))),"※供应商不在基础资料里",""))))</f>
        <v/>
      </c>
    </row>
    <row r="1181">
      <c r="A1181" s="17">
        <f>IF($D1181="","",ROW()-3)</f>
        <v/>
      </c>
      <c r="B1181" s="18" t="n"/>
      <c r="C1181" s="13" t="n"/>
      <c r="D1181" s="13" t="n"/>
      <c r="E1181" s="13" t="n"/>
      <c r="F1181" s="17">
        <f>IF($D1181="","",IFERROR(VLOOKUP($E1181,材料归属,2,0),"※材料类别没选"))</f>
        <v/>
      </c>
      <c r="G1181" s="13" t="n"/>
      <c r="H1181" s="13" t="n"/>
      <c r="I1181" s="13" t="n"/>
      <c r="J1181" s="20" t="n"/>
      <c r="K1181" s="14" t="n"/>
      <c r="L1181" s="19">
        <f>IF($D1181="","",ROUND(IF($J1181="",1,$J1181)*N($K1181),2))</f>
        <v/>
      </c>
      <c r="M1181" s="13" t="n"/>
      <c r="N1181" s="17">
        <f>IF($D1181="","",IF(ISNA(MATCH($D1181,项目名表,0)),"※项目不在项目台账里",IF($F1181="※材料类别没选","※材料类别没选",IF(AND($C1181&lt;&gt;"",ISNA(MATCH($C1181,供应商表,0))),"※供应商不在基础资料里",""))))</f>
        <v/>
      </c>
    </row>
    <row r="1182">
      <c r="A1182" s="17">
        <f>IF($D1182="","",ROW()-3)</f>
        <v/>
      </c>
      <c r="B1182" s="18" t="n"/>
      <c r="C1182" s="13" t="n"/>
      <c r="D1182" s="13" t="n"/>
      <c r="E1182" s="13" t="n"/>
      <c r="F1182" s="17">
        <f>IF($D1182="","",IFERROR(VLOOKUP($E1182,材料归属,2,0),"※材料类别没选"))</f>
        <v/>
      </c>
      <c r="G1182" s="13" t="n"/>
      <c r="H1182" s="13" t="n"/>
      <c r="I1182" s="13" t="n"/>
      <c r="J1182" s="20" t="n"/>
      <c r="K1182" s="14" t="n"/>
      <c r="L1182" s="19">
        <f>IF($D1182="","",ROUND(IF($J1182="",1,$J1182)*N($K1182),2))</f>
        <v/>
      </c>
      <c r="M1182" s="13" t="n"/>
      <c r="N1182" s="17">
        <f>IF($D1182="","",IF(ISNA(MATCH($D1182,项目名表,0)),"※项目不在项目台账里",IF($F1182="※材料类别没选","※材料类别没选",IF(AND($C1182&lt;&gt;"",ISNA(MATCH($C1182,供应商表,0))),"※供应商不在基础资料里",""))))</f>
        <v/>
      </c>
    </row>
    <row r="1183">
      <c r="A1183" s="17">
        <f>IF($D1183="","",ROW()-3)</f>
        <v/>
      </c>
      <c r="B1183" s="18" t="n"/>
      <c r="C1183" s="13" t="n"/>
      <c r="D1183" s="13" t="n"/>
      <c r="E1183" s="13" t="n"/>
      <c r="F1183" s="17">
        <f>IF($D1183="","",IFERROR(VLOOKUP($E1183,材料归属,2,0),"※材料类别没选"))</f>
        <v/>
      </c>
      <c r="G1183" s="13" t="n"/>
      <c r="H1183" s="13" t="n"/>
      <c r="I1183" s="13" t="n"/>
      <c r="J1183" s="20" t="n"/>
      <c r="K1183" s="14" t="n"/>
      <c r="L1183" s="19">
        <f>IF($D1183="","",ROUND(IF($J1183="",1,$J1183)*N($K1183),2))</f>
        <v/>
      </c>
      <c r="M1183" s="13" t="n"/>
      <c r="N1183" s="17">
        <f>IF($D1183="","",IF(ISNA(MATCH($D1183,项目名表,0)),"※项目不在项目台账里",IF($F1183="※材料类别没选","※材料类别没选",IF(AND($C1183&lt;&gt;"",ISNA(MATCH($C1183,供应商表,0))),"※供应商不在基础资料里",""))))</f>
        <v/>
      </c>
    </row>
    <row r="1184">
      <c r="A1184" s="17">
        <f>IF($D1184="","",ROW()-3)</f>
        <v/>
      </c>
      <c r="B1184" s="18" t="n"/>
      <c r="C1184" s="13" t="n"/>
      <c r="D1184" s="13" t="n"/>
      <c r="E1184" s="13" t="n"/>
      <c r="F1184" s="17">
        <f>IF($D1184="","",IFERROR(VLOOKUP($E1184,材料归属,2,0),"※材料类别没选"))</f>
        <v/>
      </c>
      <c r="G1184" s="13" t="n"/>
      <c r="H1184" s="13" t="n"/>
      <c r="I1184" s="13" t="n"/>
      <c r="J1184" s="20" t="n"/>
      <c r="K1184" s="14" t="n"/>
      <c r="L1184" s="19">
        <f>IF($D1184="","",ROUND(IF($J1184="",1,$J1184)*N($K1184),2))</f>
        <v/>
      </c>
      <c r="M1184" s="13" t="n"/>
      <c r="N1184" s="17">
        <f>IF($D1184="","",IF(ISNA(MATCH($D1184,项目名表,0)),"※项目不在项目台账里",IF($F1184="※材料类别没选","※材料类别没选",IF(AND($C1184&lt;&gt;"",ISNA(MATCH($C1184,供应商表,0))),"※供应商不在基础资料里",""))))</f>
        <v/>
      </c>
    </row>
    <row r="1185">
      <c r="A1185" s="17">
        <f>IF($D1185="","",ROW()-3)</f>
        <v/>
      </c>
      <c r="B1185" s="18" t="n"/>
      <c r="C1185" s="13" t="n"/>
      <c r="D1185" s="13" t="n"/>
      <c r="E1185" s="13" t="n"/>
      <c r="F1185" s="17">
        <f>IF($D1185="","",IFERROR(VLOOKUP($E1185,材料归属,2,0),"※材料类别没选"))</f>
        <v/>
      </c>
      <c r="G1185" s="13" t="n"/>
      <c r="H1185" s="13" t="n"/>
      <c r="I1185" s="13" t="n"/>
      <c r="J1185" s="20" t="n"/>
      <c r="K1185" s="14" t="n"/>
      <c r="L1185" s="19">
        <f>IF($D1185="","",ROUND(IF($J1185="",1,$J1185)*N($K1185),2))</f>
        <v/>
      </c>
      <c r="M1185" s="13" t="n"/>
      <c r="N1185" s="17">
        <f>IF($D1185="","",IF(ISNA(MATCH($D1185,项目名表,0)),"※项目不在项目台账里",IF($F1185="※材料类别没选","※材料类别没选",IF(AND($C1185&lt;&gt;"",ISNA(MATCH($C1185,供应商表,0))),"※供应商不在基础资料里",""))))</f>
        <v/>
      </c>
    </row>
    <row r="1186">
      <c r="A1186" s="17">
        <f>IF($D1186="","",ROW()-3)</f>
        <v/>
      </c>
      <c r="B1186" s="18" t="n"/>
      <c r="C1186" s="13" t="n"/>
      <c r="D1186" s="13" t="n"/>
      <c r="E1186" s="13" t="n"/>
      <c r="F1186" s="17">
        <f>IF($D1186="","",IFERROR(VLOOKUP($E1186,材料归属,2,0),"※材料类别没选"))</f>
        <v/>
      </c>
      <c r="G1186" s="13" t="n"/>
      <c r="H1186" s="13" t="n"/>
      <c r="I1186" s="13" t="n"/>
      <c r="J1186" s="20" t="n"/>
      <c r="K1186" s="14" t="n"/>
      <c r="L1186" s="19">
        <f>IF($D1186="","",ROUND(IF($J1186="",1,$J1186)*N($K1186),2))</f>
        <v/>
      </c>
      <c r="M1186" s="13" t="n"/>
      <c r="N1186" s="17">
        <f>IF($D1186="","",IF(ISNA(MATCH($D1186,项目名表,0)),"※项目不在项目台账里",IF($F1186="※材料类别没选","※材料类别没选",IF(AND($C1186&lt;&gt;"",ISNA(MATCH($C1186,供应商表,0))),"※供应商不在基础资料里",""))))</f>
        <v/>
      </c>
    </row>
    <row r="1187">
      <c r="A1187" s="17">
        <f>IF($D1187="","",ROW()-3)</f>
        <v/>
      </c>
      <c r="B1187" s="18" t="n"/>
      <c r="C1187" s="13" t="n"/>
      <c r="D1187" s="13" t="n"/>
      <c r="E1187" s="13" t="n"/>
      <c r="F1187" s="17">
        <f>IF($D1187="","",IFERROR(VLOOKUP($E1187,材料归属,2,0),"※材料类别没选"))</f>
        <v/>
      </c>
      <c r="G1187" s="13" t="n"/>
      <c r="H1187" s="13" t="n"/>
      <c r="I1187" s="13" t="n"/>
      <c r="J1187" s="20" t="n"/>
      <c r="K1187" s="14" t="n"/>
      <c r="L1187" s="19">
        <f>IF($D1187="","",ROUND(IF($J1187="",1,$J1187)*N($K1187),2))</f>
        <v/>
      </c>
      <c r="M1187" s="13" t="n"/>
      <c r="N1187" s="17">
        <f>IF($D1187="","",IF(ISNA(MATCH($D1187,项目名表,0)),"※项目不在项目台账里",IF($F1187="※材料类别没选","※材料类别没选",IF(AND($C1187&lt;&gt;"",ISNA(MATCH($C1187,供应商表,0))),"※供应商不在基础资料里",""))))</f>
        <v/>
      </c>
    </row>
    <row r="1188">
      <c r="A1188" s="17">
        <f>IF($D1188="","",ROW()-3)</f>
        <v/>
      </c>
      <c r="B1188" s="18" t="n"/>
      <c r="C1188" s="13" t="n"/>
      <c r="D1188" s="13" t="n"/>
      <c r="E1188" s="13" t="n"/>
      <c r="F1188" s="17">
        <f>IF($D1188="","",IFERROR(VLOOKUP($E1188,材料归属,2,0),"※材料类别没选"))</f>
        <v/>
      </c>
      <c r="G1188" s="13" t="n"/>
      <c r="H1188" s="13" t="n"/>
      <c r="I1188" s="13" t="n"/>
      <c r="J1188" s="20" t="n"/>
      <c r="K1188" s="14" t="n"/>
      <c r="L1188" s="19">
        <f>IF($D1188="","",ROUND(IF($J1188="",1,$J1188)*N($K1188),2))</f>
        <v/>
      </c>
      <c r="M1188" s="13" t="n"/>
      <c r="N1188" s="17">
        <f>IF($D1188="","",IF(ISNA(MATCH($D1188,项目名表,0)),"※项目不在项目台账里",IF($F1188="※材料类别没选","※材料类别没选",IF(AND($C1188&lt;&gt;"",ISNA(MATCH($C1188,供应商表,0))),"※供应商不在基础资料里",""))))</f>
        <v/>
      </c>
    </row>
    <row r="1189">
      <c r="A1189" s="17">
        <f>IF($D1189="","",ROW()-3)</f>
        <v/>
      </c>
      <c r="B1189" s="18" t="n"/>
      <c r="C1189" s="13" t="n"/>
      <c r="D1189" s="13" t="n"/>
      <c r="E1189" s="13" t="n"/>
      <c r="F1189" s="17">
        <f>IF($D1189="","",IFERROR(VLOOKUP($E1189,材料归属,2,0),"※材料类别没选"))</f>
        <v/>
      </c>
      <c r="G1189" s="13" t="n"/>
      <c r="H1189" s="13" t="n"/>
      <c r="I1189" s="13" t="n"/>
      <c r="J1189" s="20" t="n"/>
      <c r="K1189" s="14" t="n"/>
      <c r="L1189" s="19">
        <f>IF($D1189="","",ROUND(IF($J1189="",1,$J1189)*N($K1189),2))</f>
        <v/>
      </c>
      <c r="M1189" s="13" t="n"/>
      <c r="N1189" s="17">
        <f>IF($D1189="","",IF(ISNA(MATCH($D1189,项目名表,0)),"※项目不在项目台账里",IF($F1189="※材料类别没选","※材料类别没选",IF(AND($C1189&lt;&gt;"",ISNA(MATCH($C1189,供应商表,0))),"※供应商不在基础资料里",""))))</f>
        <v/>
      </c>
    </row>
    <row r="1190">
      <c r="A1190" s="17">
        <f>IF($D1190="","",ROW()-3)</f>
        <v/>
      </c>
      <c r="B1190" s="18" t="n"/>
      <c r="C1190" s="13" t="n"/>
      <c r="D1190" s="13" t="n"/>
      <c r="E1190" s="13" t="n"/>
      <c r="F1190" s="17">
        <f>IF($D1190="","",IFERROR(VLOOKUP($E1190,材料归属,2,0),"※材料类别没选"))</f>
        <v/>
      </c>
      <c r="G1190" s="13" t="n"/>
      <c r="H1190" s="13" t="n"/>
      <c r="I1190" s="13" t="n"/>
      <c r="J1190" s="20" t="n"/>
      <c r="K1190" s="14" t="n"/>
      <c r="L1190" s="19">
        <f>IF($D1190="","",ROUND(IF($J1190="",1,$J1190)*N($K1190),2))</f>
        <v/>
      </c>
      <c r="M1190" s="13" t="n"/>
      <c r="N1190" s="17">
        <f>IF($D1190="","",IF(ISNA(MATCH($D1190,项目名表,0)),"※项目不在项目台账里",IF($F1190="※材料类别没选","※材料类别没选",IF(AND($C1190&lt;&gt;"",ISNA(MATCH($C1190,供应商表,0))),"※供应商不在基础资料里",""))))</f>
        <v/>
      </c>
    </row>
    <row r="1191">
      <c r="A1191" s="17">
        <f>IF($D1191="","",ROW()-3)</f>
        <v/>
      </c>
      <c r="B1191" s="18" t="n"/>
      <c r="C1191" s="13" t="n"/>
      <c r="D1191" s="13" t="n"/>
      <c r="E1191" s="13" t="n"/>
      <c r="F1191" s="17">
        <f>IF($D1191="","",IFERROR(VLOOKUP($E1191,材料归属,2,0),"※材料类别没选"))</f>
        <v/>
      </c>
      <c r="G1191" s="13" t="n"/>
      <c r="H1191" s="13" t="n"/>
      <c r="I1191" s="13" t="n"/>
      <c r="J1191" s="20" t="n"/>
      <c r="K1191" s="14" t="n"/>
      <c r="L1191" s="19">
        <f>IF($D1191="","",ROUND(IF($J1191="",1,$J1191)*N($K1191),2))</f>
        <v/>
      </c>
      <c r="M1191" s="13" t="n"/>
      <c r="N1191" s="17">
        <f>IF($D1191="","",IF(ISNA(MATCH($D1191,项目名表,0)),"※项目不在项目台账里",IF($F1191="※材料类别没选","※材料类别没选",IF(AND($C1191&lt;&gt;"",ISNA(MATCH($C1191,供应商表,0))),"※供应商不在基础资料里",""))))</f>
        <v/>
      </c>
    </row>
    <row r="1192">
      <c r="A1192" s="17">
        <f>IF($D1192="","",ROW()-3)</f>
        <v/>
      </c>
      <c r="B1192" s="18" t="n"/>
      <c r="C1192" s="13" t="n"/>
      <c r="D1192" s="13" t="n"/>
      <c r="E1192" s="13" t="n"/>
      <c r="F1192" s="17">
        <f>IF($D1192="","",IFERROR(VLOOKUP($E1192,材料归属,2,0),"※材料类别没选"))</f>
        <v/>
      </c>
      <c r="G1192" s="13" t="n"/>
      <c r="H1192" s="13" t="n"/>
      <c r="I1192" s="13" t="n"/>
      <c r="J1192" s="20" t="n"/>
      <c r="K1192" s="14" t="n"/>
      <c r="L1192" s="19">
        <f>IF($D1192="","",ROUND(IF($J1192="",1,$J1192)*N($K1192),2))</f>
        <v/>
      </c>
      <c r="M1192" s="13" t="n"/>
      <c r="N1192" s="17">
        <f>IF($D1192="","",IF(ISNA(MATCH($D1192,项目名表,0)),"※项目不在项目台账里",IF($F1192="※材料类别没选","※材料类别没选",IF(AND($C1192&lt;&gt;"",ISNA(MATCH($C1192,供应商表,0))),"※供应商不在基础资料里",""))))</f>
        <v/>
      </c>
    </row>
    <row r="1193">
      <c r="A1193" s="17">
        <f>IF($D1193="","",ROW()-3)</f>
        <v/>
      </c>
      <c r="B1193" s="18" t="n"/>
      <c r="C1193" s="13" t="n"/>
      <c r="D1193" s="13" t="n"/>
      <c r="E1193" s="13" t="n"/>
      <c r="F1193" s="17">
        <f>IF($D1193="","",IFERROR(VLOOKUP($E1193,材料归属,2,0),"※材料类别没选"))</f>
        <v/>
      </c>
      <c r="G1193" s="13" t="n"/>
      <c r="H1193" s="13" t="n"/>
      <c r="I1193" s="13" t="n"/>
      <c r="J1193" s="20" t="n"/>
      <c r="K1193" s="14" t="n"/>
      <c r="L1193" s="19">
        <f>IF($D1193="","",ROUND(IF($J1193="",1,$J1193)*N($K1193),2))</f>
        <v/>
      </c>
      <c r="M1193" s="13" t="n"/>
      <c r="N1193" s="17">
        <f>IF($D1193="","",IF(ISNA(MATCH($D1193,项目名表,0)),"※项目不在项目台账里",IF($F1193="※材料类别没选","※材料类别没选",IF(AND($C1193&lt;&gt;"",ISNA(MATCH($C1193,供应商表,0))),"※供应商不在基础资料里",""))))</f>
        <v/>
      </c>
    </row>
    <row r="1194">
      <c r="A1194" s="17">
        <f>IF($D1194="","",ROW()-3)</f>
        <v/>
      </c>
      <c r="B1194" s="18" t="n"/>
      <c r="C1194" s="13" t="n"/>
      <c r="D1194" s="13" t="n"/>
      <c r="E1194" s="13" t="n"/>
      <c r="F1194" s="17">
        <f>IF($D1194="","",IFERROR(VLOOKUP($E1194,材料归属,2,0),"※材料类别没选"))</f>
        <v/>
      </c>
      <c r="G1194" s="13" t="n"/>
      <c r="H1194" s="13" t="n"/>
      <c r="I1194" s="13" t="n"/>
      <c r="J1194" s="20" t="n"/>
      <c r="K1194" s="14" t="n"/>
      <c r="L1194" s="19">
        <f>IF($D1194="","",ROUND(IF($J1194="",1,$J1194)*N($K1194),2))</f>
        <v/>
      </c>
      <c r="M1194" s="13" t="n"/>
      <c r="N1194" s="17">
        <f>IF($D1194="","",IF(ISNA(MATCH($D1194,项目名表,0)),"※项目不在项目台账里",IF($F1194="※材料类别没选","※材料类别没选",IF(AND($C1194&lt;&gt;"",ISNA(MATCH($C1194,供应商表,0))),"※供应商不在基础资料里",""))))</f>
        <v/>
      </c>
    </row>
    <row r="1195">
      <c r="A1195" s="17">
        <f>IF($D1195="","",ROW()-3)</f>
        <v/>
      </c>
      <c r="B1195" s="18" t="n"/>
      <c r="C1195" s="13" t="n"/>
      <c r="D1195" s="13" t="n"/>
      <c r="E1195" s="13" t="n"/>
      <c r="F1195" s="17">
        <f>IF($D1195="","",IFERROR(VLOOKUP($E1195,材料归属,2,0),"※材料类别没选"))</f>
        <v/>
      </c>
      <c r="G1195" s="13" t="n"/>
      <c r="H1195" s="13" t="n"/>
      <c r="I1195" s="13" t="n"/>
      <c r="J1195" s="20" t="n"/>
      <c r="K1195" s="14" t="n"/>
      <c r="L1195" s="19">
        <f>IF($D1195="","",ROUND(IF($J1195="",1,$J1195)*N($K1195),2))</f>
        <v/>
      </c>
      <c r="M1195" s="13" t="n"/>
      <c r="N1195" s="17">
        <f>IF($D1195="","",IF(ISNA(MATCH($D1195,项目名表,0)),"※项目不在项目台账里",IF($F1195="※材料类别没选","※材料类别没选",IF(AND($C1195&lt;&gt;"",ISNA(MATCH($C1195,供应商表,0))),"※供应商不在基础资料里",""))))</f>
        <v/>
      </c>
    </row>
    <row r="1196">
      <c r="A1196" s="17">
        <f>IF($D1196="","",ROW()-3)</f>
        <v/>
      </c>
      <c r="B1196" s="18" t="n"/>
      <c r="C1196" s="13" t="n"/>
      <c r="D1196" s="13" t="n"/>
      <c r="E1196" s="13" t="n"/>
      <c r="F1196" s="17">
        <f>IF($D1196="","",IFERROR(VLOOKUP($E1196,材料归属,2,0),"※材料类别没选"))</f>
        <v/>
      </c>
      <c r="G1196" s="13" t="n"/>
      <c r="H1196" s="13" t="n"/>
      <c r="I1196" s="13" t="n"/>
      <c r="J1196" s="20" t="n"/>
      <c r="K1196" s="14" t="n"/>
      <c r="L1196" s="19">
        <f>IF($D1196="","",ROUND(IF($J1196="",1,$J1196)*N($K1196),2))</f>
        <v/>
      </c>
      <c r="M1196" s="13" t="n"/>
      <c r="N1196" s="17">
        <f>IF($D1196="","",IF(ISNA(MATCH($D1196,项目名表,0)),"※项目不在项目台账里",IF($F1196="※材料类别没选","※材料类别没选",IF(AND($C1196&lt;&gt;"",ISNA(MATCH($C1196,供应商表,0))),"※供应商不在基础资料里",""))))</f>
        <v/>
      </c>
    </row>
    <row r="1197">
      <c r="A1197" s="17">
        <f>IF($D1197="","",ROW()-3)</f>
        <v/>
      </c>
      <c r="B1197" s="18" t="n"/>
      <c r="C1197" s="13" t="n"/>
      <c r="D1197" s="13" t="n"/>
      <c r="E1197" s="13" t="n"/>
      <c r="F1197" s="17">
        <f>IF($D1197="","",IFERROR(VLOOKUP($E1197,材料归属,2,0),"※材料类别没选"))</f>
        <v/>
      </c>
      <c r="G1197" s="13" t="n"/>
      <c r="H1197" s="13" t="n"/>
      <c r="I1197" s="13" t="n"/>
      <c r="J1197" s="20" t="n"/>
      <c r="K1197" s="14" t="n"/>
      <c r="L1197" s="19">
        <f>IF($D1197="","",ROUND(IF($J1197="",1,$J1197)*N($K1197),2))</f>
        <v/>
      </c>
      <c r="M1197" s="13" t="n"/>
      <c r="N1197" s="17">
        <f>IF($D1197="","",IF(ISNA(MATCH($D1197,项目名表,0)),"※项目不在项目台账里",IF($F1197="※材料类别没选","※材料类别没选",IF(AND($C1197&lt;&gt;"",ISNA(MATCH($C1197,供应商表,0))),"※供应商不在基础资料里",""))))</f>
        <v/>
      </c>
    </row>
    <row r="1198">
      <c r="A1198" s="17">
        <f>IF($D1198="","",ROW()-3)</f>
        <v/>
      </c>
      <c r="B1198" s="18" t="n"/>
      <c r="C1198" s="13" t="n"/>
      <c r="D1198" s="13" t="n"/>
      <c r="E1198" s="13" t="n"/>
      <c r="F1198" s="17">
        <f>IF($D1198="","",IFERROR(VLOOKUP($E1198,材料归属,2,0),"※材料类别没选"))</f>
        <v/>
      </c>
      <c r="G1198" s="13" t="n"/>
      <c r="H1198" s="13" t="n"/>
      <c r="I1198" s="13" t="n"/>
      <c r="J1198" s="20" t="n"/>
      <c r="K1198" s="14" t="n"/>
      <c r="L1198" s="19">
        <f>IF($D1198="","",ROUND(IF($J1198="",1,$J1198)*N($K1198),2))</f>
        <v/>
      </c>
      <c r="M1198" s="13" t="n"/>
      <c r="N1198" s="17">
        <f>IF($D1198="","",IF(ISNA(MATCH($D1198,项目名表,0)),"※项目不在项目台账里",IF($F1198="※材料类别没选","※材料类别没选",IF(AND($C1198&lt;&gt;"",ISNA(MATCH($C1198,供应商表,0))),"※供应商不在基础资料里",""))))</f>
        <v/>
      </c>
    </row>
    <row r="1199">
      <c r="A1199" s="17">
        <f>IF($D1199="","",ROW()-3)</f>
        <v/>
      </c>
      <c r="B1199" s="18" t="n"/>
      <c r="C1199" s="13" t="n"/>
      <c r="D1199" s="13" t="n"/>
      <c r="E1199" s="13" t="n"/>
      <c r="F1199" s="17">
        <f>IF($D1199="","",IFERROR(VLOOKUP($E1199,材料归属,2,0),"※材料类别没选"))</f>
        <v/>
      </c>
      <c r="G1199" s="13" t="n"/>
      <c r="H1199" s="13" t="n"/>
      <c r="I1199" s="13" t="n"/>
      <c r="J1199" s="20" t="n"/>
      <c r="K1199" s="14" t="n"/>
      <c r="L1199" s="19">
        <f>IF($D1199="","",ROUND(IF($J1199="",1,$J1199)*N($K1199),2))</f>
        <v/>
      </c>
      <c r="M1199" s="13" t="n"/>
      <c r="N1199" s="17">
        <f>IF($D1199="","",IF(ISNA(MATCH($D1199,项目名表,0)),"※项目不在项目台账里",IF($F1199="※材料类别没选","※材料类别没选",IF(AND($C1199&lt;&gt;"",ISNA(MATCH($C1199,供应商表,0))),"※供应商不在基础资料里",""))))</f>
        <v/>
      </c>
    </row>
    <row r="1200">
      <c r="A1200" s="17">
        <f>IF($D1200="","",ROW()-3)</f>
        <v/>
      </c>
      <c r="B1200" s="18" t="n"/>
      <c r="C1200" s="13" t="n"/>
      <c r="D1200" s="13" t="n"/>
      <c r="E1200" s="13" t="n"/>
      <c r="F1200" s="17">
        <f>IF($D1200="","",IFERROR(VLOOKUP($E1200,材料归属,2,0),"※材料类别没选"))</f>
        <v/>
      </c>
      <c r="G1200" s="13" t="n"/>
      <c r="H1200" s="13" t="n"/>
      <c r="I1200" s="13" t="n"/>
      <c r="J1200" s="20" t="n"/>
      <c r="K1200" s="14" t="n"/>
      <c r="L1200" s="19">
        <f>IF($D1200="","",ROUND(IF($J1200="",1,$J1200)*N($K1200),2))</f>
        <v/>
      </c>
      <c r="M1200" s="13" t="n"/>
      <c r="N1200" s="17">
        <f>IF($D1200="","",IF(ISNA(MATCH($D1200,项目名表,0)),"※项目不在项目台账里",IF($F1200="※材料类别没选","※材料类别没选",IF(AND($C1200&lt;&gt;"",ISNA(MATCH($C1200,供应商表,0))),"※供应商不在基础资料里",""))))</f>
        <v/>
      </c>
    </row>
    <row r="1201">
      <c r="A1201" s="17">
        <f>IF($D1201="","",ROW()-3)</f>
        <v/>
      </c>
      <c r="B1201" s="18" t="n"/>
      <c r="C1201" s="13" t="n"/>
      <c r="D1201" s="13" t="n"/>
      <c r="E1201" s="13" t="n"/>
      <c r="F1201" s="17">
        <f>IF($D1201="","",IFERROR(VLOOKUP($E1201,材料归属,2,0),"※材料类别没选"))</f>
        <v/>
      </c>
      <c r="G1201" s="13" t="n"/>
      <c r="H1201" s="13" t="n"/>
      <c r="I1201" s="13" t="n"/>
      <c r="J1201" s="20" t="n"/>
      <c r="K1201" s="14" t="n"/>
      <c r="L1201" s="19">
        <f>IF($D1201="","",ROUND(IF($J1201="",1,$J1201)*N($K1201),2))</f>
        <v/>
      </c>
      <c r="M1201" s="13" t="n"/>
      <c r="N1201" s="17">
        <f>IF($D1201="","",IF(ISNA(MATCH($D1201,项目名表,0)),"※项目不在项目台账里",IF($F1201="※材料类别没选","※材料类别没选",IF(AND($C1201&lt;&gt;"",ISNA(MATCH($C1201,供应商表,0))),"※供应商不在基础资料里",""))))</f>
        <v/>
      </c>
    </row>
    <row r="1202">
      <c r="A1202" s="17">
        <f>IF($D1202="","",ROW()-3)</f>
        <v/>
      </c>
      <c r="B1202" s="18" t="n"/>
      <c r="C1202" s="13" t="n"/>
      <c r="D1202" s="13" t="n"/>
      <c r="E1202" s="13" t="n"/>
      <c r="F1202" s="17">
        <f>IF($D1202="","",IFERROR(VLOOKUP($E1202,材料归属,2,0),"※材料类别没选"))</f>
        <v/>
      </c>
      <c r="G1202" s="13" t="n"/>
      <c r="H1202" s="13" t="n"/>
      <c r="I1202" s="13" t="n"/>
      <c r="J1202" s="20" t="n"/>
      <c r="K1202" s="14" t="n"/>
      <c r="L1202" s="19">
        <f>IF($D1202="","",ROUND(IF($J1202="",1,$J1202)*N($K1202),2))</f>
        <v/>
      </c>
      <c r="M1202" s="13" t="n"/>
      <c r="N1202" s="17">
        <f>IF($D1202="","",IF(ISNA(MATCH($D1202,项目名表,0)),"※项目不在项目台账里",IF($F1202="※材料类别没选","※材料类别没选",IF(AND($C1202&lt;&gt;"",ISNA(MATCH($C1202,供应商表,0))),"※供应商不在基础资料里",""))))</f>
        <v/>
      </c>
    </row>
    <row r="1203">
      <c r="A1203" s="17">
        <f>IF($D1203="","",ROW()-3)</f>
        <v/>
      </c>
      <c r="B1203" s="18" t="n"/>
      <c r="C1203" s="13" t="n"/>
      <c r="D1203" s="13" t="n"/>
      <c r="E1203" s="13" t="n"/>
      <c r="F1203" s="17">
        <f>IF($D1203="","",IFERROR(VLOOKUP($E1203,材料归属,2,0),"※材料类别没选"))</f>
        <v/>
      </c>
      <c r="G1203" s="13" t="n"/>
      <c r="H1203" s="13" t="n"/>
      <c r="I1203" s="13" t="n"/>
      <c r="J1203" s="20" t="n"/>
      <c r="K1203" s="14" t="n"/>
      <c r="L1203" s="19">
        <f>IF($D1203="","",ROUND(IF($J1203="",1,$J1203)*N($K1203),2))</f>
        <v/>
      </c>
      <c r="M1203" s="13" t="n"/>
      <c r="N1203" s="17">
        <f>IF($D1203="","",IF(ISNA(MATCH($D1203,项目名表,0)),"※项目不在项目台账里",IF($F1203="※材料类别没选","※材料类别没选",IF(AND($C1203&lt;&gt;"",ISNA(MATCH($C1203,供应商表,0))),"※供应商不在基础资料里",""))))</f>
        <v/>
      </c>
    </row>
    <row r="1204">
      <c r="A1204" s="17">
        <f>IF($D1204="","",ROW()-3)</f>
        <v/>
      </c>
      <c r="B1204" s="18" t="n"/>
      <c r="C1204" s="13" t="n"/>
      <c r="D1204" s="13" t="n"/>
      <c r="E1204" s="13" t="n"/>
      <c r="F1204" s="17">
        <f>IF($D1204="","",IFERROR(VLOOKUP($E1204,材料归属,2,0),"※材料类别没选"))</f>
        <v/>
      </c>
      <c r="G1204" s="13" t="n"/>
      <c r="H1204" s="13" t="n"/>
      <c r="I1204" s="13" t="n"/>
      <c r="J1204" s="20" t="n"/>
      <c r="K1204" s="14" t="n"/>
      <c r="L1204" s="19">
        <f>IF($D1204="","",ROUND(IF($J1204="",1,$J1204)*N($K1204),2))</f>
        <v/>
      </c>
      <c r="M1204" s="13" t="n"/>
      <c r="N1204" s="17">
        <f>IF($D1204="","",IF(ISNA(MATCH($D1204,项目名表,0)),"※项目不在项目台账里",IF($F1204="※材料类别没选","※材料类别没选",IF(AND($C1204&lt;&gt;"",ISNA(MATCH($C1204,供应商表,0))),"※供应商不在基础资料里",""))))</f>
        <v/>
      </c>
    </row>
    <row r="1205">
      <c r="A1205" s="17">
        <f>IF($D1205="","",ROW()-3)</f>
        <v/>
      </c>
      <c r="B1205" s="18" t="n"/>
      <c r="C1205" s="13" t="n"/>
      <c r="D1205" s="13" t="n"/>
      <c r="E1205" s="13" t="n"/>
      <c r="F1205" s="17">
        <f>IF($D1205="","",IFERROR(VLOOKUP($E1205,材料归属,2,0),"※材料类别没选"))</f>
        <v/>
      </c>
      <c r="G1205" s="13" t="n"/>
      <c r="H1205" s="13" t="n"/>
      <c r="I1205" s="13" t="n"/>
      <c r="J1205" s="20" t="n"/>
      <c r="K1205" s="14" t="n"/>
      <c r="L1205" s="19">
        <f>IF($D1205="","",ROUND(IF($J1205="",1,$J1205)*N($K1205),2))</f>
        <v/>
      </c>
      <c r="M1205" s="13" t="n"/>
      <c r="N1205" s="17">
        <f>IF($D1205="","",IF(ISNA(MATCH($D1205,项目名表,0)),"※项目不在项目台账里",IF($F1205="※材料类别没选","※材料类别没选",IF(AND($C1205&lt;&gt;"",ISNA(MATCH($C1205,供应商表,0))),"※供应商不在基础资料里",""))))</f>
        <v/>
      </c>
    </row>
    <row r="1206">
      <c r="A1206" s="17">
        <f>IF($D1206="","",ROW()-3)</f>
        <v/>
      </c>
      <c r="B1206" s="18" t="n"/>
      <c r="C1206" s="13" t="n"/>
      <c r="D1206" s="13" t="n"/>
      <c r="E1206" s="13" t="n"/>
      <c r="F1206" s="17">
        <f>IF($D1206="","",IFERROR(VLOOKUP($E1206,材料归属,2,0),"※材料类别没选"))</f>
        <v/>
      </c>
      <c r="G1206" s="13" t="n"/>
      <c r="H1206" s="13" t="n"/>
      <c r="I1206" s="13" t="n"/>
      <c r="J1206" s="20" t="n"/>
      <c r="K1206" s="14" t="n"/>
      <c r="L1206" s="19">
        <f>IF($D1206="","",ROUND(IF($J1206="",1,$J1206)*N($K1206),2))</f>
        <v/>
      </c>
      <c r="M1206" s="13" t="n"/>
      <c r="N1206" s="17">
        <f>IF($D1206="","",IF(ISNA(MATCH($D1206,项目名表,0)),"※项目不在项目台账里",IF($F1206="※材料类别没选","※材料类别没选",IF(AND($C1206&lt;&gt;"",ISNA(MATCH($C1206,供应商表,0))),"※供应商不在基础资料里",""))))</f>
        <v/>
      </c>
    </row>
    <row r="1207">
      <c r="A1207" s="17">
        <f>IF($D1207="","",ROW()-3)</f>
        <v/>
      </c>
      <c r="B1207" s="18" t="n"/>
      <c r="C1207" s="13" t="n"/>
      <c r="D1207" s="13" t="n"/>
      <c r="E1207" s="13" t="n"/>
      <c r="F1207" s="17">
        <f>IF($D1207="","",IFERROR(VLOOKUP($E1207,材料归属,2,0),"※材料类别没选"))</f>
        <v/>
      </c>
      <c r="G1207" s="13" t="n"/>
      <c r="H1207" s="13" t="n"/>
      <c r="I1207" s="13" t="n"/>
      <c r="J1207" s="20" t="n"/>
      <c r="K1207" s="14" t="n"/>
      <c r="L1207" s="19">
        <f>IF($D1207="","",ROUND(IF($J1207="",1,$J1207)*N($K1207),2))</f>
        <v/>
      </c>
      <c r="M1207" s="13" t="n"/>
      <c r="N1207" s="17">
        <f>IF($D1207="","",IF(ISNA(MATCH($D1207,项目名表,0)),"※项目不在项目台账里",IF($F1207="※材料类别没选","※材料类别没选",IF(AND($C1207&lt;&gt;"",ISNA(MATCH($C1207,供应商表,0))),"※供应商不在基础资料里",""))))</f>
        <v/>
      </c>
    </row>
    <row r="1208">
      <c r="A1208" s="17">
        <f>IF($D1208="","",ROW()-3)</f>
        <v/>
      </c>
      <c r="B1208" s="18" t="n"/>
      <c r="C1208" s="13" t="n"/>
      <c r="D1208" s="13" t="n"/>
      <c r="E1208" s="13" t="n"/>
      <c r="F1208" s="17">
        <f>IF($D1208="","",IFERROR(VLOOKUP($E1208,材料归属,2,0),"※材料类别没选"))</f>
        <v/>
      </c>
      <c r="G1208" s="13" t="n"/>
      <c r="H1208" s="13" t="n"/>
      <c r="I1208" s="13" t="n"/>
      <c r="J1208" s="20" t="n"/>
      <c r="K1208" s="14" t="n"/>
      <c r="L1208" s="19">
        <f>IF($D1208="","",ROUND(IF($J1208="",1,$J1208)*N($K1208),2))</f>
        <v/>
      </c>
      <c r="M1208" s="13" t="n"/>
      <c r="N1208" s="17">
        <f>IF($D1208="","",IF(ISNA(MATCH($D1208,项目名表,0)),"※项目不在项目台账里",IF($F1208="※材料类别没选","※材料类别没选",IF(AND($C1208&lt;&gt;"",ISNA(MATCH($C1208,供应商表,0))),"※供应商不在基础资料里",""))))</f>
        <v/>
      </c>
    </row>
    <row r="1209">
      <c r="A1209" s="17">
        <f>IF($D1209="","",ROW()-3)</f>
        <v/>
      </c>
      <c r="B1209" s="18" t="n"/>
      <c r="C1209" s="13" t="n"/>
      <c r="D1209" s="13" t="n"/>
      <c r="E1209" s="13" t="n"/>
      <c r="F1209" s="17">
        <f>IF($D1209="","",IFERROR(VLOOKUP($E1209,材料归属,2,0),"※材料类别没选"))</f>
        <v/>
      </c>
      <c r="G1209" s="13" t="n"/>
      <c r="H1209" s="13" t="n"/>
      <c r="I1209" s="13" t="n"/>
      <c r="J1209" s="20" t="n"/>
      <c r="K1209" s="14" t="n"/>
      <c r="L1209" s="19">
        <f>IF($D1209="","",ROUND(IF($J1209="",1,$J1209)*N($K1209),2))</f>
        <v/>
      </c>
      <c r="M1209" s="13" t="n"/>
      <c r="N1209" s="17">
        <f>IF($D1209="","",IF(ISNA(MATCH($D1209,项目名表,0)),"※项目不在项目台账里",IF($F1209="※材料类别没选","※材料类别没选",IF(AND($C1209&lt;&gt;"",ISNA(MATCH($C1209,供应商表,0))),"※供应商不在基础资料里",""))))</f>
        <v/>
      </c>
    </row>
    <row r="1210">
      <c r="A1210" s="17">
        <f>IF($D1210="","",ROW()-3)</f>
        <v/>
      </c>
      <c r="B1210" s="18" t="n"/>
      <c r="C1210" s="13" t="n"/>
      <c r="D1210" s="13" t="n"/>
      <c r="E1210" s="13" t="n"/>
      <c r="F1210" s="17">
        <f>IF($D1210="","",IFERROR(VLOOKUP($E1210,材料归属,2,0),"※材料类别没选"))</f>
        <v/>
      </c>
      <c r="G1210" s="13" t="n"/>
      <c r="H1210" s="13" t="n"/>
      <c r="I1210" s="13" t="n"/>
      <c r="J1210" s="20" t="n"/>
      <c r="K1210" s="14" t="n"/>
      <c r="L1210" s="19">
        <f>IF($D1210="","",ROUND(IF($J1210="",1,$J1210)*N($K1210),2))</f>
        <v/>
      </c>
      <c r="M1210" s="13" t="n"/>
      <c r="N1210" s="17">
        <f>IF($D1210="","",IF(ISNA(MATCH($D1210,项目名表,0)),"※项目不在项目台账里",IF($F1210="※材料类别没选","※材料类别没选",IF(AND($C1210&lt;&gt;"",ISNA(MATCH($C1210,供应商表,0))),"※供应商不在基础资料里",""))))</f>
        <v/>
      </c>
    </row>
    <row r="1211">
      <c r="A1211" s="17">
        <f>IF($D1211="","",ROW()-3)</f>
        <v/>
      </c>
      <c r="B1211" s="18" t="n"/>
      <c r="C1211" s="13" t="n"/>
      <c r="D1211" s="13" t="n"/>
      <c r="E1211" s="13" t="n"/>
      <c r="F1211" s="17">
        <f>IF($D1211="","",IFERROR(VLOOKUP($E1211,材料归属,2,0),"※材料类别没选"))</f>
        <v/>
      </c>
      <c r="G1211" s="13" t="n"/>
      <c r="H1211" s="13" t="n"/>
      <c r="I1211" s="13" t="n"/>
      <c r="J1211" s="20" t="n"/>
      <c r="K1211" s="14" t="n"/>
      <c r="L1211" s="19">
        <f>IF($D1211="","",ROUND(IF($J1211="",1,$J1211)*N($K1211),2))</f>
        <v/>
      </c>
      <c r="M1211" s="13" t="n"/>
      <c r="N1211" s="17">
        <f>IF($D1211="","",IF(ISNA(MATCH($D1211,项目名表,0)),"※项目不在项目台账里",IF($F1211="※材料类别没选","※材料类别没选",IF(AND($C1211&lt;&gt;"",ISNA(MATCH($C1211,供应商表,0))),"※供应商不在基础资料里",""))))</f>
        <v/>
      </c>
    </row>
    <row r="1212">
      <c r="A1212" s="17">
        <f>IF($D1212="","",ROW()-3)</f>
        <v/>
      </c>
      <c r="B1212" s="18" t="n"/>
      <c r="C1212" s="13" t="n"/>
      <c r="D1212" s="13" t="n"/>
      <c r="E1212" s="13" t="n"/>
      <c r="F1212" s="17">
        <f>IF($D1212="","",IFERROR(VLOOKUP($E1212,材料归属,2,0),"※材料类别没选"))</f>
        <v/>
      </c>
      <c r="G1212" s="13" t="n"/>
      <c r="H1212" s="13" t="n"/>
      <c r="I1212" s="13" t="n"/>
      <c r="J1212" s="20" t="n"/>
      <c r="K1212" s="14" t="n"/>
      <c r="L1212" s="19">
        <f>IF($D1212="","",ROUND(IF($J1212="",1,$J1212)*N($K1212),2))</f>
        <v/>
      </c>
      <c r="M1212" s="13" t="n"/>
      <c r="N1212" s="17">
        <f>IF($D1212="","",IF(ISNA(MATCH($D1212,项目名表,0)),"※项目不在项目台账里",IF($F1212="※材料类别没选","※材料类别没选",IF(AND($C1212&lt;&gt;"",ISNA(MATCH($C1212,供应商表,0))),"※供应商不在基础资料里",""))))</f>
        <v/>
      </c>
    </row>
    <row r="1213">
      <c r="A1213" s="17">
        <f>IF($D1213="","",ROW()-3)</f>
        <v/>
      </c>
      <c r="B1213" s="18" t="n"/>
      <c r="C1213" s="13" t="n"/>
      <c r="D1213" s="13" t="n"/>
      <c r="E1213" s="13" t="n"/>
      <c r="F1213" s="17">
        <f>IF($D1213="","",IFERROR(VLOOKUP($E1213,材料归属,2,0),"※材料类别没选"))</f>
        <v/>
      </c>
      <c r="G1213" s="13" t="n"/>
      <c r="H1213" s="13" t="n"/>
      <c r="I1213" s="13" t="n"/>
      <c r="J1213" s="20" t="n"/>
      <c r="K1213" s="14" t="n"/>
      <c r="L1213" s="19">
        <f>IF($D1213="","",ROUND(IF($J1213="",1,$J1213)*N($K1213),2))</f>
        <v/>
      </c>
      <c r="M1213" s="13" t="n"/>
      <c r="N1213" s="17">
        <f>IF($D1213="","",IF(ISNA(MATCH($D1213,项目名表,0)),"※项目不在项目台账里",IF($F1213="※材料类别没选","※材料类别没选",IF(AND($C1213&lt;&gt;"",ISNA(MATCH($C1213,供应商表,0))),"※供应商不在基础资料里",""))))</f>
        <v/>
      </c>
    </row>
    <row r="1214">
      <c r="A1214" s="17">
        <f>IF($D1214="","",ROW()-3)</f>
        <v/>
      </c>
      <c r="B1214" s="18" t="n"/>
      <c r="C1214" s="13" t="n"/>
      <c r="D1214" s="13" t="n"/>
      <c r="E1214" s="13" t="n"/>
      <c r="F1214" s="17">
        <f>IF($D1214="","",IFERROR(VLOOKUP($E1214,材料归属,2,0),"※材料类别没选"))</f>
        <v/>
      </c>
      <c r="G1214" s="13" t="n"/>
      <c r="H1214" s="13" t="n"/>
      <c r="I1214" s="13" t="n"/>
      <c r="J1214" s="20" t="n"/>
      <c r="K1214" s="14" t="n"/>
      <c r="L1214" s="19">
        <f>IF($D1214="","",ROUND(IF($J1214="",1,$J1214)*N($K1214),2))</f>
        <v/>
      </c>
      <c r="M1214" s="13" t="n"/>
      <c r="N1214" s="17">
        <f>IF($D1214="","",IF(ISNA(MATCH($D1214,项目名表,0)),"※项目不在项目台账里",IF($F1214="※材料类别没选","※材料类别没选",IF(AND($C1214&lt;&gt;"",ISNA(MATCH($C1214,供应商表,0))),"※供应商不在基础资料里",""))))</f>
        <v/>
      </c>
    </row>
    <row r="1215">
      <c r="A1215" s="17">
        <f>IF($D1215="","",ROW()-3)</f>
        <v/>
      </c>
      <c r="B1215" s="18" t="n"/>
      <c r="C1215" s="13" t="n"/>
      <c r="D1215" s="13" t="n"/>
      <c r="E1215" s="13" t="n"/>
      <c r="F1215" s="17">
        <f>IF($D1215="","",IFERROR(VLOOKUP($E1215,材料归属,2,0),"※材料类别没选"))</f>
        <v/>
      </c>
      <c r="G1215" s="13" t="n"/>
      <c r="H1215" s="13" t="n"/>
      <c r="I1215" s="13" t="n"/>
      <c r="J1215" s="20" t="n"/>
      <c r="K1215" s="14" t="n"/>
      <c r="L1215" s="19">
        <f>IF($D1215="","",ROUND(IF($J1215="",1,$J1215)*N($K1215),2))</f>
        <v/>
      </c>
      <c r="M1215" s="13" t="n"/>
      <c r="N1215" s="17">
        <f>IF($D1215="","",IF(ISNA(MATCH($D1215,项目名表,0)),"※项目不在项目台账里",IF($F1215="※材料类别没选","※材料类别没选",IF(AND($C1215&lt;&gt;"",ISNA(MATCH($C1215,供应商表,0))),"※供应商不在基础资料里",""))))</f>
        <v/>
      </c>
    </row>
    <row r="1216">
      <c r="A1216" s="17">
        <f>IF($D1216="","",ROW()-3)</f>
        <v/>
      </c>
      <c r="B1216" s="18" t="n"/>
      <c r="C1216" s="13" t="n"/>
      <c r="D1216" s="13" t="n"/>
      <c r="E1216" s="13" t="n"/>
      <c r="F1216" s="17">
        <f>IF($D1216="","",IFERROR(VLOOKUP($E1216,材料归属,2,0),"※材料类别没选"))</f>
        <v/>
      </c>
      <c r="G1216" s="13" t="n"/>
      <c r="H1216" s="13" t="n"/>
      <c r="I1216" s="13" t="n"/>
      <c r="J1216" s="20" t="n"/>
      <c r="K1216" s="14" t="n"/>
      <c r="L1216" s="19">
        <f>IF($D1216="","",ROUND(IF($J1216="",1,$J1216)*N($K1216),2))</f>
        <v/>
      </c>
      <c r="M1216" s="13" t="n"/>
      <c r="N1216" s="17">
        <f>IF($D1216="","",IF(ISNA(MATCH($D1216,项目名表,0)),"※项目不在项目台账里",IF($F1216="※材料类别没选","※材料类别没选",IF(AND($C1216&lt;&gt;"",ISNA(MATCH($C1216,供应商表,0))),"※供应商不在基础资料里",""))))</f>
        <v/>
      </c>
    </row>
    <row r="1217">
      <c r="A1217" s="17">
        <f>IF($D1217="","",ROW()-3)</f>
        <v/>
      </c>
      <c r="B1217" s="18" t="n"/>
      <c r="C1217" s="13" t="n"/>
      <c r="D1217" s="13" t="n"/>
      <c r="E1217" s="13" t="n"/>
      <c r="F1217" s="17">
        <f>IF($D1217="","",IFERROR(VLOOKUP($E1217,材料归属,2,0),"※材料类别没选"))</f>
        <v/>
      </c>
      <c r="G1217" s="13" t="n"/>
      <c r="H1217" s="13" t="n"/>
      <c r="I1217" s="13" t="n"/>
      <c r="J1217" s="20" t="n"/>
      <c r="K1217" s="14" t="n"/>
      <c r="L1217" s="19">
        <f>IF($D1217="","",ROUND(IF($J1217="",1,$J1217)*N($K1217),2))</f>
        <v/>
      </c>
      <c r="M1217" s="13" t="n"/>
      <c r="N1217" s="17">
        <f>IF($D1217="","",IF(ISNA(MATCH($D1217,项目名表,0)),"※项目不在项目台账里",IF($F1217="※材料类别没选","※材料类别没选",IF(AND($C1217&lt;&gt;"",ISNA(MATCH($C1217,供应商表,0))),"※供应商不在基础资料里",""))))</f>
        <v/>
      </c>
    </row>
    <row r="1218">
      <c r="A1218" s="17">
        <f>IF($D1218="","",ROW()-3)</f>
        <v/>
      </c>
      <c r="B1218" s="18" t="n"/>
      <c r="C1218" s="13" t="n"/>
      <c r="D1218" s="13" t="n"/>
      <c r="E1218" s="13" t="n"/>
      <c r="F1218" s="17">
        <f>IF($D1218="","",IFERROR(VLOOKUP($E1218,材料归属,2,0),"※材料类别没选"))</f>
        <v/>
      </c>
      <c r="G1218" s="13" t="n"/>
      <c r="H1218" s="13" t="n"/>
      <c r="I1218" s="13" t="n"/>
      <c r="J1218" s="20" t="n"/>
      <c r="K1218" s="14" t="n"/>
      <c r="L1218" s="19">
        <f>IF($D1218="","",ROUND(IF($J1218="",1,$J1218)*N($K1218),2))</f>
        <v/>
      </c>
      <c r="M1218" s="13" t="n"/>
      <c r="N1218" s="17">
        <f>IF($D1218="","",IF(ISNA(MATCH($D1218,项目名表,0)),"※项目不在项目台账里",IF($F1218="※材料类别没选","※材料类别没选",IF(AND($C1218&lt;&gt;"",ISNA(MATCH($C1218,供应商表,0))),"※供应商不在基础资料里",""))))</f>
        <v/>
      </c>
    </row>
    <row r="1219">
      <c r="A1219" s="17">
        <f>IF($D1219="","",ROW()-3)</f>
        <v/>
      </c>
      <c r="B1219" s="18" t="n"/>
      <c r="C1219" s="13" t="n"/>
      <c r="D1219" s="13" t="n"/>
      <c r="E1219" s="13" t="n"/>
      <c r="F1219" s="17">
        <f>IF($D1219="","",IFERROR(VLOOKUP($E1219,材料归属,2,0),"※材料类别没选"))</f>
        <v/>
      </c>
      <c r="G1219" s="13" t="n"/>
      <c r="H1219" s="13" t="n"/>
      <c r="I1219" s="13" t="n"/>
      <c r="J1219" s="20" t="n"/>
      <c r="K1219" s="14" t="n"/>
      <c r="L1219" s="19">
        <f>IF($D1219="","",ROUND(IF($J1219="",1,$J1219)*N($K1219),2))</f>
        <v/>
      </c>
      <c r="M1219" s="13" t="n"/>
      <c r="N1219" s="17">
        <f>IF($D1219="","",IF(ISNA(MATCH($D1219,项目名表,0)),"※项目不在项目台账里",IF($F1219="※材料类别没选","※材料类别没选",IF(AND($C1219&lt;&gt;"",ISNA(MATCH($C1219,供应商表,0))),"※供应商不在基础资料里",""))))</f>
        <v/>
      </c>
    </row>
    <row r="1220">
      <c r="A1220" s="17">
        <f>IF($D1220="","",ROW()-3)</f>
        <v/>
      </c>
      <c r="B1220" s="18" t="n"/>
      <c r="C1220" s="13" t="n"/>
      <c r="D1220" s="13" t="n"/>
      <c r="E1220" s="13" t="n"/>
      <c r="F1220" s="17">
        <f>IF($D1220="","",IFERROR(VLOOKUP($E1220,材料归属,2,0),"※材料类别没选"))</f>
        <v/>
      </c>
      <c r="G1220" s="13" t="n"/>
      <c r="H1220" s="13" t="n"/>
      <c r="I1220" s="13" t="n"/>
      <c r="J1220" s="20" t="n"/>
      <c r="K1220" s="14" t="n"/>
      <c r="L1220" s="19">
        <f>IF($D1220="","",ROUND(IF($J1220="",1,$J1220)*N($K1220),2))</f>
        <v/>
      </c>
      <c r="M1220" s="13" t="n"/>
      <c r="N1220" s="17">
        <f>IF($D1220="","",IF(ISNA(MATCH($D1220,项目名表,0)),"※项目不在项目台账里",IF($F1220="※材料类别没选","※材料类别没选",IF(AND($C1220&lt;&gt;"",ISNA(MATCH($C1220,供应商表,0))),"※供应商不在基础资料里",""))))</f>
        <v/>
      </c>
    </row>
    <row r="1221">
      <c r="A1221" s="17">
        <f>IF($D1221="","",ROW()-3)</f>
        <v/>
      </c>
      <c r="B1221" s="18" t="n"/>
      <c r="C1221" s="13" t="n"/>
      <c r="D1221" s="13" t="n"/>
      <c r="E1221" s="13" t="n"/>
      <c r="F1221" s="17">
        <f>IF($D1221="","",IFERROR(VLOOKUP($E1221,材料归属,2,0),"※材料类别没选"))</f>
        <v/>
      </c>
      <c r="G1221" s="13" t="n"/>
      <c r="H1221" s="13" t="n"/>
      <c r="I1221" s="13" t="n"/>
      <c r="J1221" s="20" t="n"/>
      <c r="K1221" s="14" t="n"/>
      <c r="L1221" s="19">
        <f>IF($D1221="","",ROUND(IF($J1221="",1,$J1221)*N($K1221),2))</f>
        <v/>
      </c>
      <c r="M1221" s="13" t="n"/>
      <c r="N1221" s="17">
        <f>IF($D1221="","",IF(ISNA(MATCH($D1221,项目名表,0)),"※项目不在项目台账里",IF($F1221="※材料类别没选","※材料类别没选",IF(AND($C1221&lt;&gt;"",ISNA(MATCH($C1221,供应商表,0))),"※供应商不在基础资料里",""))))</f>
        <v/>
      </c>
    </row>
    <row r="1222">
      <c r="A1222" s="17">
        <f>IF($D1222="","",ROW()-3)</f>
        <v/>
      </c>
      <c r="B1222" s="18" t="n"/>
      <c r="C1222" s="13" t="n"/>
      <c r="D1222" s="13" t="n"/>
      <c r="E1222" s="13" t="n"/>
      <c r="F1222" s="17">
        <f>IF($D1222="","",IFERROR(VLOOKUP($E1222,材料归属,2,0),"※材料类别没选"))</f>
        <v/>
      </c>
      <c r="G1222" s="13" t="n"/>
      <c r="H1222" s="13" t="n"/>
      <c r="I1222" s="13" t="n"/>
      <c r="J1222" s="20" t="n"/>
      <c r="K1222" s="14" t="n"/>
      <c r="L1222" s="19">
        <f>IF($D1222="","",ROUND(IF($J1222="",1,$J1222)*N($K1222),2))</f>
        <v/>
      </c>
      <c r="M1222" s="13" t="n"/>
      <c r="N1222" s="17">
        <f>IF($D1222="","",IF(ISNA(MATCH($D1222,项目名表,0)),"※项目不在项目台账里",IF($F1222="※材料类别没选","※材料类别没选",IF(AND($C1222&lt;&gt;"",ISNA(MATCH($C1222,供应商表,0))),"※供应商不在基础资料里",""))))</f>
        <v/>
      </c>
    </row>
    <row r="1223">
      <c r="A1223" s="17">
        <f>IF($D1223="","",ROW()-3)</f>
        <v/>
      </c>
      <c r="B1223" s="18" t="n"/>
      <c r="C1223" s="13" t="n"/>
      <c r="D1223" s="13" t="n"/>
      <c r="E1223" s="13" t="n"/>
      <c r="F1223" s="17">
        <f>IF($D1223="","",IFERROR(VLOOKUP($E1223,材料归属,2,0),"※材料类别没选"))</f>
        <v/>
      </c>
      <c r="G1223" s="13" t="n"/>
      <c r="H1223" s="13" t="n"/>
      <c r="I1223" s="13" t="n"/>
      <c r="J1223" s="20" t="n"/>
      <c r="K1223" s="14" t="n"/>
      <c r="L1223" s="19">
        <f>IF($D1223="","",ROUND(IF($J1223="",1,$J1223)*N($K1223),2))</f>
        <v/>
      </c>
      <c r="M1223" s="13" t="n"/>
      <c r="N1223" s="17">
        <f>IF($D1223="","",IF(ISNA(MATCH($D1223,项目名表,0)),"※项目不在项目台账里",IF($F1223="※材料类别没选","※材料类别没选",IF(AND($C1223&lt;&gt;"",ISNA(MATCH($C1223,供应商表,0))),"※供应商不在基础资料里",""))))</f>
        <v/>
      </c>
    </row>
    <row r="1224">
      <c r="A1224" s="17">
        <f>IF($D1224="","",ROW()-3)</f>
        <v/>
      </c>
      <c r="B1224" s="18" t="n"/>
      <c r="C1224" s="13" t="n"/>
      <c r="D1224" s="13" t="n"/>
      <c r="E1224" s="13" t="n"/>
      <c r="F1224" s="17">
        <f>IF($D1224="","",IFERROR(VLOOKUP($E1224,材料归属,2,0),"※材料类别没选"))</f>
        <v/>
      </c>
      <c r="G1224" s="13" t="n"/>
      <c r="H1224" s="13" t="n"/>
      <c r="I1224" s="13" t="n"/>
      <c r="J1224" s="20" t="n"/>
      <c r="K1224" s="14" t="n"/>
      <c r="L1224" s="19">
        <f>IF($D1224="","",ROUND(IF($J1224="",1,$J1224)*N($K1224),2))</f>
        <v/>
      </c>
      <c r="M1224" s="13" t="n"/>
      <c r="N1224" s="17">
        <f>IF($D1224="","",IF(ISNA(MATCH($D1224,项目名表,0)),"※项目不在项目台账里",IF($F1224="※材料类别没选","※材料类别没选",IF(AND($C1224&lt;&gt;"",ISNA(MATCH($C1224,供应商表,0))),"※供应商不在基础资料里",""))))</f>
        <v/>
      </c>
    </row>
    <row r="1225">
      <c r="A1225" s="17">
        <f>IF($D1225="","",ROW()-3)</f>
        <v/>
      </c>
      <c r="B1225" s="18" t="n"/>
      <c r="C1225" s="13" t="n"/>
      <c r="D1225" s="13" t="n"/>
      <c r="E1225" s="13" t="n"/>
      <c r="F1225" s="17">
        <f>IF($D1225="","",IFERROR(VLOOKUP($E1225,材料归属,2,0),"※材料类别没选"))</f>
        <v/>
      </c>
      <c r="G1225" s="13" t="n"/>
      <c r="H1225" s="13" t="n"/>
      <c r="I1225" s="13" t="n"/>
      <c r="J1225" s="20" t="n"/>
      <c r="K1225" s="14" t="n"/>
      <c r="L1225" s="19">
        <f>IF($D1225="","",ROUND(IF($J1225="",1,$J1225)*N($K1225),2))</f>
        <v/>
      </c>
      <c r="M1225" s="13" t="n"/>
      <c r="N1225" s="17">
        <f>IF($D1225="","",IF(ISNA(MATCH($D1225,项目名表,0)),"※项目不在项目台账里",IF($F1225="※材料类别没选","※材料类别没选",IF(AND($C1225&lt;&gt;"",ISNA(MATCH($C1225,供应商表,0))),"※供应商不在基础资料里",""))))</f>
        <v/>
      </c>
    </row>
    <row r="1226">
      <c r="A1226" s="17">
        <f>IF($D1226="","",ROW()-3)</f>
        <v/>
      </c>
      <c r="B1226" s="18" t="n"/>
      <c r="C1226" s="13" t="n"/>
      <c r="D1226" s="13" t="n"/>
      <c r="E1226" s="13" t="n"/>
      <c r="F1226" s="17">
        <f>IF($D1226="","",IFERROR(VLOOKUP($E1226,材料归属,2,0),"※材料类别没选"))</f>
        <v/>
      </c>
      <c r="G1226" s="13" t="n"/>
      <c r="H1226" s="13" t="n"/>
      <c r="I1226" s="13" t="n"/>
      <c r="J1226" s="20" t="n"/>
      <c r="K1226" s="14" t="n"/>
      <c r="L1226" s="19">
        <f>IF($D1226="","",ROUND(IF($J1226="",1,$J1226)*N($K1226),2))</f>
        <v/>
      </c>
      <c r="M1226" s="13" t="n"/>
      <c r="N1226" s="17">
        <f>IF($D1226="","",IF(ISNA(MATCH($D1226,项目名表,0)),"※项目不在项目台账里",IF($F1226="※材料类别没选","※材料类别没选",IF(AND($C1226&lt;&gt;"",ISNA(MATCH($C1226,供应商表,0))),"※供应商不在基础资料里",""))))</f>
        <v/>
      </c>
    </row>
    <row r="1227">
      <c r="A1227" s="17">
        <f>IF($D1227="","",ROW()-3)</f>
        <v/>
      </c>
      <c r="B1227" s="18" t="n"/>
      <c r="C1227" s="13" t="n"/>
      <c r="D1227" s="13" t="n"/>
      <c r="E1227" s="13" t="n"/>
      <c r="F1227" s="17">
        <f>IF($D1227="","",IFERROR(VLOOKUP($E1227,材料归属,2,0),"※材料类别没选"))</f>
        <v/>
      </c>
      <c r="G1227" s="13" t="n"/>
      <c r="H1227" s="13" t="n"/>
      <c r="I1227" s="13" t="n"/>
      <c r="J1227" s="20" t="n"/>
      <c r="K1227" s="14" t="n"/>
      <c r="L1227" s="19">
        <f>IF($D1227="","",ROUND(IF($J1227="",1,$J1227)*N($K1227),2))</f>
        <v/>
      </c>
      <c r="M1227" s="13" t="n"/>
      <c r="N1227" s="17">
        <f>IF($D1227="","",IF(ISNA(MATCH($D1227,项目名表,0)),"※项目不在项目台账里",IF($F1227="※材料类别没选","※材料类别没选",IF(AND($C1227&lt;&gt;"",ISNA(MATCH($C1227,供应商表,0))),"※供应商不在基础资料里",""))))</f>
        <v/>
      </c>
    </row>
    <row r="1228">
      <c r="A1228" s="17">
        <f>IF($D1228="","",ROW()-3)</f>
        <v/>
      </c>
      <c r="B1228" s="18" t="n"/>
      <c r="C1228" s="13" t="n"/>
      <c r="D1228" s="13" t="n"/>
      <c r="E1228" s="13" t="n"/>
      <c r="F1228" s="17">
        <f>IF($D1228="","",IFERROR(VLOOKUP($E1228,材料归属,2,0),"※材料类别没选"))</f>
        <v/>
      </c>
      <c r="G1228" s="13" t="n"/>
      <c r="H1228" s="13" t="n"/>
      <c r="I1228" s="13" t="n"/>
      <c r="J1228" s="20" t="n"/>
      <c r="K1228" s="14" t="n"/>
      <c r="L1228" s="19">
        <f>IF($D1228="","",ROUND(IF($J1228="",1,$J1228)*N($K1228),2))</f>
        <v/>
      </c>
      <c r="M1228" s="13" t="n"/>
      <c r="N1228" s="17">
        <f>IF($D1228="","",IF(ISNA(MATCH($D1228,项目名表,0)),"※项目不在项目台账里",IF($F1228="※材料类别没选","※材料类别没选",IF(AND($C1228&lt;&gt;"",ISNA(MATCH($C1228,供应商表,0))),"※供应商不在基础资料里",""))))</f>
        <v/>
      </c>
    </row>
    <row r="1229">
      <c r="A1229" s="17">
        <f>IF($D1229="","",ROW()-3)</f>
        <v/>
      </c>
      <c r="B1229" s="18" t="n"/>
      <c r="C1229" s="13" t="n"/>
      <c r="D1229" s="13" t="n"/>
      <c r="E1229" s="13" t="n"/>
      <c r="F1229" s="17">
        <f>IF($D1229="","",IFERROR(VLOOKUP($E1229,材料归属,2,0),"※材料类别没选"))</f>
        <v/>
      </c>
      <c r="G1229" s="13" t="n"/>
      <c r="H1229" s="13" t="n"/>
      <c r="I1229" s="13" t="n"/>
      <c r="J1229" s="20" t="n"/>
      <c r="K1229" s="14" t="n"/>
      <c r="L1229" s="19">
        <f>IF($D1229="","",ROUND(IF($J1229="",1,$J1229)*N($K1229),2))</f>
        <v/>
      </c>
      <c r="M1229" s="13" t="n"/>
      <c r="N1229" s="17">
        <f>IF($D1229="","",IF(ISNA(MATCH($D1229,项目名表,0)),"※项目不在项目台账里",IF($F1229="※材料类别没选","※材料类别没选",IF(AND($C1229&lt;&gt;"",ISNA(MATCH($C1229,供应商表,0))),"※供应商不在基础资料里",""))))</f>
        <v/>
      </c>
    </row>
    <row r="1230">
      <c r="A1230" s="17">
        <f>IF($D1230="","",ROW()-3)</f>
        <v/>
      </c>
      <c r="B1230" s="18" t="n"/>
      <c r="C1230" s="13" t="n"/>
      <c r="D1230" s="13" t="n"/>
      <c r="E1230" s="13" t="n"/>
      <c r="F1230" s="17">
        <f>IF($D1230="","",IFERROR(VLOOKUP($E1230,材料归属,2,0),"※材料类别没选"))</f>
        <v/>
      </c>
      <c r="G1230" s="13" t="n"/>
      <c r="H1230" s="13" t="n"/>
      <c r="I1230" s="13" t="n"/>
      <c r="J1230" s="20" t="n"/>
      <c r="K1230" s="14" t="n"/>
      <c r="L1230" s="19">
        <f>IF($D1230="","",ROUND(IF($J1230="",1,$J1230)*N($K1230),2))</f>
        <v/>
      </c>
      <c r="M1230" s="13" t="n"/>
      <c r="N1230" s="17">
        <f>IF($D1230="","",IF(ISNA(MATCH($D1230,项目名表,0)),"※项目不在项目台账里",IF($F1230="※材料类别没选","※材料类别没选",IF(AND($C1230&lt;&gt;"",ISNA(MATCH($C1230,供应商表,0))),"※供应商不在基础资料里",""))))</f>
        <v/>
      </c>
    </row>
    <row r="1231">
      <c r="A1231" s="17">
        <f>IF($D1231="","",ROW()-3)</f>
        <v/>
      </c>
      <c r="B1231" s="18" t="n"/>
      <c r="C1231" s="13" t="n"/>
      <c r="D1231" s="13" t="n"/>
      <c r="E1231" s="13" t="n"/>
      <c r="F1231" s="17">
        <f>IF($D1231="","",IFERROR(VLOOKUP($E1231,材料归属,2,0),"※材料类别没选"))</f>
        <v/>
      </c>
      <c r="G1231" s="13" t="n"/>
      <c r="H1231" s="13" t="n"/>
      <c r="I1231" s="13" t="n"/>
      <c r="J1231" s="20" t="n"/>
      <c r="K1231" s="14" t="n"/>
      <c r="L1231" s="19">
        <f>IF($D1231="","",ROUND(IF($J1231="",1,$J1231)*N($K1231),2))</f>
        <v/>
      </c>
      <c r="M1231" s="13" t="n"/>
      <c r="N1231" s="17">
        <f>IF($D1231="","",IF(ISNA(MATCH($D1231,项目名表,0)),"※项目不在项目台账里",IF($F1231="※材料类别没选","※材料类别没选",IF(AND($C1231&lt;&gt;"",ISNA(MATCH($C1231,供应商表,0))),"※供应商不在基础资料里",""))))</f>
        <v/>
      </c>
    </row>
    <row r="1232">
      <c r="A1232" s="17">
        <f>IF($D1232="","",ROW()-3)</f>
        <v/>
      </c>
      <c r="B1232" s="18" t="n"/>
      <c r="C1232" s="13" t="n"/>
      <c r="D1232" s="13" t="n"/>
      <c r="E1232" s="13" t="n"/>
      <c r="F1232" s="17">
        <f>IF($D1232="","",IFERROR(VLOOKUP($E1232,材料归属,2,0),"※材料类别没选"))</f>
        <v/>
      </c>
      <c r="G1232" s="13" t="n"/>
      <c r="H1232" s="13" t="n"/>
      <c r="I1232" s="13" t="n"/>
      <c r="J1232" s="20" t="n"/>
      <c r="K1232" s="14" t="n"/>
      <c r="L1232" s="19">
        <f>IF($D1232="","",ROUND(IF($J1232="",1,$J1232)*N($K1232),2))</f>
        <v/>
      </c>
      <c r="M1232" s="13" t="n"/>
      <c r="N1232" s="17">
        <f>IF($D1232="","",IF(ISNA(MATCH($D1232,项目名表,0)),"※项目不在项目台账里",IF($F1232="※材料类别没选","※材料类别没选",IF(AND($C1232&lt;&gt;"",ISNA(MATCH($C1232,供应商表,0))),"※供应商不在基础资料里",""))))</f>
        <v/>
      </c>
    </row>
    <row r="1233">
      <c r="A1233" s="17">
        <f>IF($D1233="","",ROW()-3)</f>
        <v/>
      </c>
      <c r="B1233" s="18" t="n"/>
      <c r="C1233" s="13" t="n"/>
      <c r="D1233" s="13" t="n"/>
      <c r="E1233" s="13" t="n"/>
      <c r="F1233" s="17">
        <f>IF($D1233="","",IFERROR(VLOOKUP($E1233,材料归属,2,0),"※材料类别没选"))</f>
        <v/>
      </c>
      <c r="G1233" s="13" t="n"/>
      <c r="H1233" s="13" t="n"/>
      <c r="I1233" s="13" t="n"/>
      <c r="J1233" s="20" t="n"/>
      <c r="K1233" s="14" t="n"/>
      <c r="L1233" s="19">
        <f>IF($D1233="","",ROUND(IF($J1233="",1,$J1233)*N($K1233),2))</f>
        <v/>
      </c>
      <c r="M1233" s="13" t="n"/>
      <c r="N1233" s="17">
        <f>IF($D1233="","",IF(ISNA(MATCH($D1233,项目名表,0)),"※项目不在项目台账里",IF($F1233="※材料类别没选","※材料类别没选",IF(AND($C1233&lt;&gt;"",ISNA(MATCH($C1233,供应商表,0))),"※供应商不在基础资料里",""))))</f>
        <v/>
      </c>
    </row>
    <row r="1234">
      <c r="A1234" s="17">
        <f>IF($D1234="","",ROW()-3)</f>
        <v/>
      </c>
      <c r="B1234" s="18" t="n"/>
      <c r="C1234" s="13" t="n"/>
      <c r="D1234" s="13" t="n"/>
      <c r="E1234" s="13" t="n"/>
      <c r="F1234" s="17">
        <f>IF($D1234="","",IFERROR(VLOOKUP($E1234,材料归属,2,0),"※材料类别没选"))</f>
        <v/>
      </c>
      <c r="G1234" s="13" t="n"/>
      <c r="H1234" s="13" t="n"/>
      <c r="I1234" s="13" t="n"/>
      <c r="J1234" s="20" t="n"/>
      <c r="K1234" s="14" t="n"/>
      <c r="L1234" s="19">
        <f>IF($D1234="","",ROUND(IF($J1234="",1,$J1234)*N($K1234),2))</f>
        <v/>
      </c>
      <c r="M1234" s="13" t="n"/>
      <c r="N1234" s="17">
        <f>IF($D1234="","",IF(ISNA(MATCH($D1234,项目名表,0)),"※项目不在项目台账里",IF($F1234="※材料类别没选","※材料类别没选",IF(AND($C1234&lt;&gt;"",ISNA(MATCH($C1234,供应商表,0))),"※供应商不在基础资料里",""))))</f>
        <v/>
      </c>
    </row>
    <row r="1235">
      <c r="A1235" s="17">
        <f>IF($D1235="","",ROW()-3)</f>
        <v/>
      </c>
      <c r="B1235" s="18" t="n"/>
      <c r="C1235" s="13" t="n"/>
      <c r="D1235" s="13" t="n"/>
      <c r="E1235" s="13" t="n"/>
      <c r="F1235" s="17">
        <f>IF($D1235="","",IFERROR(VLOOKUP($E1235,材料归属,2,0),"※材料类别没选"))</f>
        <v/>
      </c>
      <c r="G1235" s="13" t="n"/>
      <c r="H1235" s="13" t="n"/>
      <c r="I1235" s="13" t="n"/>
      <c r="J1235" s="20" t="n"/>
      <c r="K1235" s="14" t="n"/>
      <c r="L1235" s="19">
        <f>IF($D1235="","",ROUND(IF($J1235="",1,$J1235)*N($K1235),2))</f>
        <v/>
      </c>
      <c r="M1235" s="13" t="n"/>
      <c r="N1235" s="17">
        <f>IF($D1235="","",IF(ISNA(MATCH($D1235,项目名表,0)),"※项目不在项目台账里",IF($F1235="※材料类别没选","※材料类别没选",IF(AND($C1235&lt;&gt;"",ISNA(MATCH($C1235,供应商表,0))),"※供应商不在基础资料里",""))))</f>
        <v/>
      </c>
    </row>
    <row r="1236">
      <c r="A1236" s="17">
        <f>IF($D1236="","",ROW()-3)</f>
        <v/>
      </c>
      <c r="B1236" s="18" t="n"/>
      <c r="C1236" s="13" t="n"/>
      <c r="D1236" s="13" t="n"/>
      <c r="E1236" s="13" t="n"/>
      <c r="F1236" s="17">
        <f>IF($D1236="","",IFERROR(VLOOKUP($E1236,材料归属,2,0),"※材料类别没选"))</f>
        <v/>
      </c>
      <c r="G1236" s="13" t="n"/>
      <c r="H1236" s="13" t="n"/>
      <c r="I1236" s="13" t="n"/>
      <c r="J1236" s="20" t="n"/>
      <c r="K1236" s="14" t="n"/>
      <c r="L1236" s="19">
        <f>IF($D1236="","",ROUND(IF($J1236="",1,$J1236)*N($K1236),2))</f>
        <v/>
      </c>
      <c r="M1236" s="13" t="n"/>
      <c r="N1236" s="17">
        <f>IF($D1236="","",IF(ISNA(MATCH($D1236,项目名表,0)),"※项目不在项目台账里",IF($F1236="※材料类别没选","※材料类别没选",IF(AND($C1236&lt;&gt;"",ISNA(MATCH($C1236,供应商表,0))),"※供应商不在基础资料里",""))))</f>
        <v/>
      </c>
    </row>
    <row r="1237">
      <c r="A1237" s="17">
        <f>IF($D1237="","",ROW()-3)</f>
        <v/>
      </c>
      <c r="B1237" s="18" t="n"/>
      <c r="C1237" s="13" t="n"/>
      <c r="D1237" s="13" t="n"/>
      <c r="E1237" s="13" t="n"/>
      <c r="F1237" s="17">
        <f>IF($D1237="","",IFERROR(VLOOKUP($E1237,材料归属,2,0),"※材料类别没选"))</f>
        <v/>
      </c>
      <c r="G1237" s="13" t="n"/>
      <c r="H1237" s="13" t="n"/>
      <c r="I1237" s="13" t="n"/>
      <c r="J1237" s="20" t="n"/>
      <c r="K1237" s="14" t="n"/>
      <c r="L1237" s="19">
        <f>IF($D1237="","",ROUND(IF($J1237="",1,$J1237)*N($K1237),2))</f>
        <v/>
      </c>
      <c r="M1237" s="13" t="n"/>
      <c r="N1237" s="17">
        <f>IF($D1237="","",IF(ISNA(MATCH($D1237,项目名表,0)),"※项目不在项目台账里",IF($F1237="※材料类别没选","※材料类别没选",IF(AND($C1237&lt;&gt;"",ISNA(MATCH($C1237,供应商表,0))),"※供应商不在基础资料里",""))))</f>
        <v/>
      </c>
    </row>
    <row r="1238">
      <c r="A1238" s="17">
        <f>IF($D1238="","",ROW()-3)</f>
        <v/>
      </c>
      <c r="B1238" s="18" t="n"/>
      <c r="C1238" s="13" t="n"/>
      <c r="D1238" s="13" t="n"/>
      <c r="E1238" s="13" t="n"/>
      <c r="F1238" s="17">
        <f>IF($D1238="","",IFERROR(VLOOKUP($E1238,材料归属,2,0),"※材料类别没选"))</f>
        <v/>
      </c>
      <c r="G1238" s="13" t="n"/>
      <c r="H1238" s="13" t="n"/>
      <c r="I1238" s="13" t="n"/>
      <c r="J1238" s="20" t="n"/>
      <c r="K1238" s="14" t="n"/>
      <c r="L1238" s="19">
        <f>IF($D1238="","",ROUND(IF($J1238="",1,$J1238)*N($K1238),2))</f>
        <v/>
      </c>
      <c r="M1238" s="13" t="n"/>
      <c r="N1238" s="17">
        <f>IF($D1238="","",IF(ISNA(MATCH($D1238,项目名表,0)),"※项目不在项目台账里",IF($F1238="※材料类别没选","※材料类别没选",IF(AND($C1238&lt;&gt;"",ISNA(MATCH($C1238,供应商表,0))),"※供应商不在基础资料里",""))))</f>
        <v/>
      </c>
    </row>
    <row r="1239">
      <c r="A1239" s="17">
        <f>IF($D1239="","",ROW()-3)</f>
        <v/>
      </c>
      <c r="B1239" s="18" t="n"/>
      <c r="C1239" s="13" t="n"/>
      <c r="D1239" s="13" t="n"/>
      <c r="E1239" s="13" t="n"/>
      <c r="F1239" s="17">
        <f>IF($D1239="","",IFERROR(VLOOKUP($E1239,材料归属,2,0),"※材料类别没选"))</f>
        <v/>
      </c>
      <c r="G1239" s="13" t="n"/>
      <c r="H1239" s="13" t="n"/>
      <c r="I1239" s="13" t="n"/>
      <c r="J1239" s="20" t="n"/>
      <c r="K1239" s="14" t="n"/>
      <c r="L1239" s="19">
        <f>IF($D1239="","",ROUND(IF($J1239="",1,$J1239)*N($K1239),2))</f>
        <v/>
      </c>
      <c r="M1239" s="13" t="n"/>
      <c r="N1239" s="17">
        <f>IF($D1239="","",IF(ISNA(MATCH($D1239,项目名表,0)),"※项目不在项目台账里",IF($F1239="※材料类别没选","※材料类别没选",IF(AND($C1239&lt;&gt;"",ISNA(MATCH($C1239,供应商表,0))),"※供应商不在基础资料里",""))))</f>
        <v/>
      </c>
    </row>
    <row r="1240">
      <c r="A1240" s="17">
        <f>IF($D1240="","",ROW()-3)</f>
        <v/>
      </c>
      <c r="B1240" s="18" t="n"/>
      <c r="C1240" s="13" t="n"/>
      <c r="D1240" s="13" t="n"/>
      <c r="E1240" s="13" t="n"/>
      <c r="F1240" s="17">
        <f>IF($D1240="","",IFERROR(VLOOKUP($E1240,材料归属,2,0),"※材料类别没选"))</f>
        <v/>
      </c>
      <c r="G1240" s="13" t="n"/>
      <c r="H1240" s="13" t="n"/>
      <c r="I1240" s="13" t="n"/>
      <c r="J1240" s="20" t="n"/>
      <c r="K1240" s="14" t="n"/>
      <c r="L1240" s="19">
        <f>IF($D1240="","",ROUND(IF($J1240="",1,$J1240)*N($K1240),2))</f>
        <v/>
      </c>
      <c r="M1240" s="13" t="n"/>
      <c r="N1240" s="17">
        <f>IF($D1240="","",IF(ISNA(MATCH($D1240,项目名表,0)),"※项目不在项目台账里",IF($F1240="※材料类别没选","※材料类别没选",IF(AND($C1240&lt;&gt;"",ISNA(MATCH($C1240,供应商表,0))),"※供应商不在基础资料里",""))))</f>
        <v/>
      </c>
    </row>
    <row r="1241">
      <c r="A1241" s="17">
        <f>IF($D1241="","",ROW()-3)</f>
        <v/>
      </c>
      <c r="B1241" s="18" t="n"/>
      <c r="C1241" s="13" t="n"/>
      <c r="D1241" s="13" t="n"/>
      <c r="E1241" s="13" t="n"/>
      <c r="F1241" s="17">
        <f>IF($D1241="","",IFERROR(VLOOKUP($E1241,材料归属,2,0),"※材料类别没选"))</f>
        <v/>
      </c>
      <c r="G1241" s="13" t="n"/>
      <c r="H1241" s="13" t="n"/>
      <c r="I1241" s="13" t="n"/>
      <c r="J1241" s="20" t="n"/>
      <c r="K1241" s="14" t="n"/>
      <c r="L1241" s="19">
        <f>IF($D1241="","",ROUND(IF($J1241="",1,$J1241)*N($K1241),2))</f>
        <v/>
      </c>
      <c r="M1241" s="13" t="n"/>
      <c r="N1241" s="17">
        <f>IF($D1241="","",IF(ISNA(MATCH($D1241,项目名表,0)),"※项目不在项目台账里",IF($F1241="※材料类别没选","※材料类别没选",IF(AND($C1241&lt;&gt;"",ISNA(MATCH($C1241,供应商表,0))),"※供应商不在基础资料里",""))))</f>
        <v/>
      </c>
    </row>
    <row r="1242">
      <c r="A1242" s="17">
        <f>IF($D1242="","",ROW()-3)</f>
        <v/>
      </c>
      <c r="B1242" s="18" t="n"/>
      <c r="C1242" s="13" t="n"/>
      <c r="D1242" s="13" t="n"/>
      <c r="E1242" s="13" t="n"/>
      <c r="F1242" s="17">
        <f>IF($D1242="","",IFERROR(VLOOKUP($E1242,材料归属,2,0),"※材料类别没选"))</f>
        <v/>
      </c>
      <c r="G1242" s="13" t="n"/>
      <c r="H1242" s="13" t="n"/>
      <c r="I1242" s="13" t="n"/>
      <c r="J1242" s="20" t="n"/>
      <c r="K1242" s="14" t="n"/>
      <c r="L1242" s="19">
        <f>IF($D1242="","",ROUND(IF($J1242="",1,$J1242)*N($K1242),2))</f>
        <v/>
      </c>
      <c r="M1242" s="13" t="n"/>
      <c r="N1242" s="17">
        <f>IF($D1242="","",IF(ISNA(MATCH($D1242,项目名表,0)),"※项目不在项目台账里",IF($F1242="※材料类别没选","※材料类别没选",IF(AND($C1242&lt;&gt;"",ISNA(MATCH($C1242,供应商表,0))),"※供应商不在基础资料里",""))))</f>
        <v/>
      </c>
    </row>
    <row r="1243">
      <c r="A1243" s="17">
        <f>IF($D1243="","",ROW()-3)</f>
        <v/>
      </c>
      <c r="B1243" s="18" t="n"/>
      <c r="C1243" s="13" t="n"/>
      <c r="D1243" s="13" t="n"/>
      <c r="E1243" s="13" t="n"/>
      <c r="F1243" s="17">
        <f>IF($D1243="","",IFERROR(VLOOKUP($E1243,材料归属,2,0),"※材料类别没选"))</f>
        <v/>
      </c>
      <c r="G1243" s="13" t="n"/>
      <c r="H1243" s="13" t="n"/>
      <c r="I1243" s="13" t="n"/>
      <c r="J1243" s="20" t="n"/>
      <c r="K1243" s="14" t="n"/>
      <c r="L1243" s="19">
        <f>IF($D1243="","",ROUND(IF($J1243="",1,$J1243)*N($K1243),2))</f>
        <v/>
      </c>
      <c r="M1243" s="13" t="n"/>
      <c r="N1243" s="17">
        <f>IF($D1243="","",IF(ISNA(MATCH($D1243,项目名表,0)),"※项目不在项目台账里",IF($F1243="※材料类别没选","※材料类别没选",IF(AND($C1243&lt;&gt;"",ISNA(MATCH($C1243,供应商表,0))),"※供应商不在基础资料里",""))))</f>
        <v/>
      </c>
    </row>
    <row r="1244">
      <c r="A1244" s="17">
        <f>IF($D1244="","",ROW()-3)</f>
        <v/>
      </c>
      <c r="B1244" s="18" t="n"/>
      <c r="C1244" s="13" t="n"/>
      <c r="D1244" s="13" t="n"/>
      <c r="E1244" s="13" t="n"/>
      <c r="F1244" s="17">
        <f>IF($D1244="","",IFERROR(VLOOKUP($E1244,材料归属,2,0),"※材料类别没选"))</f>
        <v/>
      </c>
      <c r="G1244" s="13" t="n"/>
      <c r="H1244" s="13" t="n"/>
      <c r="I1244" s="13" t="n"/>
      <c r="J1244" s="20" t="n"/>
      <c r="K1244" s="14" t="n"/>
      <c r="L1244" s="19">
        <f>IF($D1244="","",ROUND(IF($J1244="",1,$J1244)*N($K1244),2))</f>
        <v/>
      </c>
      <c r="M1244" s="13" t="n"/>
      <c r="N1244" s="17">
        <f>IF($D1244="","",IF(ISNA(MATCH($D1244,项目名表,0)),"※项目不在项目台账里",IF($F1244="※材料类别没选","※材料类别没选",IF(AND($C1244&lt;&gt;"",ISNA(MATCH($C1244,供应商表,0))),"※供应商不在基础资料里",""))))</f>
        <v/>
      </c>
    </row>
    <row r="1245">
      <c r="A1245" s="17">
        <f>IF($D1245="","",ROW()-3)</f>
        <v/>
      </c>
      <c r="B1245" s="18" t="n"/>
      <c r="C1245" s="13" t="n"/>
      <c r="D1245" s="13" t="n"/>
      <c r="E1245" s="13" t="n"/>
      <c r="F1245" s="17">
        <f>IF($D1245="","",IFERROR(VLOOKUP($E1245,材料归属,2,0),"※材料类别没选"))</f>
        <v/>
      </c>
      <c r="G1245" s="13" t="n"/>
      <c r="H1245" s="13" t="n"/>
      <c r="I1245" s="13" t="n"/>
      <c r="J1245" s="20" t="n"/>
      <c r="K1245" s="14" t="n"/>
      <c r="L1245" s="19">
        <f>IF($D1245="","",ROUND(IF($J1245="",1,$J1245)*N($K1245),2))</f>
        <v/>
      </c>
      <c r="M1245" s="13" t="n"/>
      <c r="N1245" s="17">
        <f>IF($D1245="","",IF(ISNA(MATCH($D1245,项目名表,0)),"※项目不在项目台账里",IF($F1245="※材料类别没选","※材料类别没选",IF(AND($C1245&lt;&gt;"",ISNA(MATCH($C1245,供应商表,0))),"※供应商不在基础资料里",""))))</f>
        <v/>
      </c>
    </row>
    <row r="1246">
      <c r="A1246" s="17">
        <f>IF($D1246="","",ROW()-3)</f>
        <v/>
      </c>
      <c r="B1246" s="18" t="n"/>
      <c r="C1246" s="13" t="n"/>
      <c r="D1246" s="13" t="n"/>
      <c r="E1246" s="13" t="n"/>
      <c r="F1246" s="17">
        <f>IF($D1246="","",IFERROR(VLOOKUP($E1246,材料归属,2,0),"※材料类别没选"))</f>
        <v/>
      </c>
      <c r="G1246" s="13" t="n"/>
      <c r="H1246" s="13" t="n"/>
      <c r="I1246" s="13" t="n"/>
      <c r="J1246" s="20" t="n"/>
      <c r="K1246" s="14" t="n"/>
      <c r="L1246" s="19">
        <f>IF($D1246="","",ROUND(IF($J1246="",1,$J1246)*N($K1246),2))</f>
        <v/>
      </c>
      <c r="M1246" s="13" t="n"/>
      <c r="N1246" s="17">
        <f>IF($D1246="","",IF(ISNA(MATCH($D1246,项目名表,0)),"※项目不在项目台账里",IF($F1246="※材料类别没选","※材料类别没选",IF(AND($C1246&lt;&gt;"",ISNA(MATCH($C1246,供应商表,0))),"※供应商不在基础资料里",""))))</f>
        <v/>
      </c>
    </row>
    <row r="1247">
      <c r="A1247" s="17">
        <f>IF($D1247="","",ROW()-3)</f>
        <v/>
      </c>
      <c r="B1247" s="18" t="n"/>
      <c r="C1247" s="13" t="n"/>
      <c r="D1247" s="13" t="n"/>
      <c r="E1247" s="13" t="n"/>
      <c r="F1247" s="17">
        <f>IF($D1247="","",IFERROR(VLOOKUP($E1247,材料归属,2,0),"※材料类别没选"))</f>
        <v/>
      </c>
      <c r="G1247" s="13" t="n"/>
      <c r="H1247" s="13" t="n"/>
      <c r="I1247" s="13" t="n"/>
      <c r="J1247" s="20" t="n"/>
      <c r="K1247" s="14" t="n"/>
      <c r="L1247" s="19">
        <f>IF($D1247="","",ROUND(IF($J1247="",1,$J1247)*N($K1247),2))</f>
        <v/>
      </c>
      <c r="M1247" s="13" t="n"/>
      <c r="N1247" s="17">
        <f>IF($D1247="","",IF(ISNA(MATCH($D1247,项目名表,0)),"※项目不在项目台账里",IF($F1247="※材料类别没选","※材料类别没选",IF(AND($C1247&lt;&gt;"",ISNA(MATCH($C1247,供应商表,0))),"※供应商不在基础资料里",""))))</f>
        <v/>
      </c>
    </row>
    <row r="1248">
      <c r="A1248" s="17">
        <f>IF($D1248="","",ROW()-3)</f>
        <v/>
      </c>
      <c r="B1248" s="18" t="n"/>
      <c r="C1248" s="13" t="n"/>
      <c r="D1248" s="13" t="n"/>
      <c r="E1248" s="13" t="n"/>
      <c r="F1248" s="17">
        <f>IF($D1248="","",IFERROR(VLOOKUP($E1248,材料归属,2,0),"※材料类别没选"))</f>
        <v/>
      </c>
      <c r="G1248" s="13" t="n"/>
      <c r="H1248" s="13" t="n"/>
      <c r="I1248" s="13" t="n"/>
      <c r="J1248" s="20" t="n"/>
      <c r="K1248" s="14" t="n"/>
      <c r="L1248" s="19">
        <f>IF($D1248="","",ROUND(IF($J1248="",1,$J1248)*N($K1248),2))</f>
        <v/>
      </c>
      <c r="M1248" s="13" t="n"/>
      <c r="N1248" s="17">
        <f>IF($D1248="","",IF(ISNA(MATCH($D1248,项目名表,0)),"※项目不在项目台账里",IF($F1248="※材料类别没选","※材料类别没选",IF(AND($C1248&lt;&gt;"",ISNA(MATCH($C1248,供应商表,0))),"※供应商不在基础资料里",""))))</f>
        <v/>
      </c>
    </row>
    <row r="1249">
      <c r="A1249" s="17">
        <f>IF($D1249="","",ROW()-3)</f>
        <v/>
      </c>
      <c r="B1249" s="18" t="n"/>
      <c r="C1249" s="13" t="n"/>
      <c r="D1249" s="13" t="n"/>
      <c r="E1249" s="13" t="n"/>
      <c r="F1249" s="17">
        <f>IF($D1249="","",IFERROR(VLOOKUP($E1249,材料归属,2,0),"※材料类别没选"))</f>
        <v/>
      </c>
      <c r="G1249" s="13" t="n"/>
      <c r="H1249" s="13" t="n"/>
      <c r="I1249" s="13" t="n"/>
      <c r="J1249" s="20" t="n"/>
      <c r="K1249" s="14" t="n"/>
      <c r="L1249" s="19">
        <f>IF($D1249="","",ROUND(IF($J1249="",1,$J1249)*N($K1249),2))</f>
        <v/>
      </c>
      <c r="M1249" s="13" t="n"/>
      <c r="N1249" s="17">
        <f>IF($D1249="","",IF(ISNA(MATCH($D1249,项目名表,0)),"※项目不在项目台账里",IF($F1249="※材料类别没选","※材料类别没选",IF(AND($C1249&lt;&gt;"",ISNA(MATCH($C1249,供应商表,0))),"※供应商不在基础资料里",""))))</f>
        <v/>
      </c>
    </row>
    <row r="1250">
      <c r="A1250" s="17">
        <f>IF($D1250="","",ROW()-3)</f>
        <v/>
      </c>
      <c r="B1250" s="18" t="n"/>
      <c r="C1250" s="13" t="n"/>
      <c r="D1250" s="13" t="n"/>
      <c r="E1250" s="13" t="n"/>
      <c r="F1250" s="17">
        <f>IF($D1250="","",IFERROR(VLOOKUP($E1250,材料归属,2,0),"※材料类别没选"))</f>
        <v/>
      </c>
      <c r="G1250" s="13" t="n"/>
      <c r="H1250" s="13" t="n"/>
      <c r="I1250" s="13" t="n"/>
      <c r="J1250" s="20" t="n"/>
      <c r="K1250" s="14" t="n"/>
      <c r="L1250" s="19">
        <f>IF($D1250="","",ROUND(IF($J1250="",1,$J1250)*N($K1250),2))</f>
        <v/>
      </c>
      <c r="M1250" s="13" t="n"/>
      <c r="N1250" s="17">
        <f>IF($D1250="","",IF(ISNA(MATCH($D1250,项目名表,0)),"※项目不在项目台账里",IF($F1250="※材料类别没选","※材料类别没选",IF(AND($C1250&lt;&gt;"",ISNA(MATCH($C1250,供应商表,0))),"※供应商不在基础资料里",""))))</f>
        <v/>
      </c>
    </row>
    <row r="1251">
      <c r="A1251" s="17">
        <f>IF($D1251="","",ROW()-3)</f>
        <v/>
      </c>
      <c r="B1251" s="18" t="n"/>
      <c r="C1251" s="13" t="n"/>
      <c r="D1251" s="13" t="n"/>
      <c r="E1251" s="13" t="n"/>
      <c r="F1251" s="17">
        <f>IF($D1251="","",IFERROR(VLOOKUP($E1251,材料归属,2,0),"※材料类别没选"))</f>
        <v/>
      </c>
      <c r="G1251" s="13" t="n"/>
      <c r="H1251" s="13" t="n"/>
      <c r="I1251" s="13" t="n"/>
      <c r="J1251" s="20" t="n"/>
      <c r="K1251" s="14" t="n"/>
      <c r="L1251" s="19">
        <f>IF($D1251="","",ROUND(IF($J1251="",1,$J1251)*N($K1251),2))</f>
        <v/>
      </c>
      <c r="M1251" s="13" t="n"/>
      <c r="N1251" s="17">
        <f>IF($D1251="","",IF(ISNA(MATCH($D1251,项目名表,0)),"※项目不在项目台账里",IF($F1251="※材料类别没选","※材料类别没选",IF(AND($C1251&lt;&gt;"",ISNA(MATCH($C1251,供应商表,0))),"※供应商不在基础资料里",""))))</f>
        <v/>
      </c>
    </row>
    <row r="1252">
      <c r="A1252" s="17">
        <f>IF($D1252="","",ROW()-3)</f>
        <v/>
      </c>
      <c r="B1252" s="18" t="n"/>
      <c r="C1252" s="13" t="n"/>
      <c r="D1252" s="13" t="n"/>
      <c r="E1252" s="13" t="n"/>
      <c r="F1252" s="17">
        <f>IF($D1252="","",IFERROR(VLOOKUP($E1252,材料归属,2,0),"※材料类别没选"))</f>
        <v/>
      </c>
      <c r="G1252" s="13" t="n"/>
      <c r="H1252" s="13" t="n"/>
      <c r="I1252" s="13" t="n"/>
      <c r="J1252" s="20" t="n"/>
      <c r="K1252" s="14" t="n"/>
      <c r="L1252" s="19">
        <f>IF($D1252="","",ROUND(IF($J1252="",1,$J1252)*N($K1252),2))</f>
        <v/>
      </c>
      <c r="M1252" s="13" t="n"/>
      <c r="N1252" s="17">
        <f>IF($D1252="","",IF(ISNA(MATCH($D1252,项目名表,0)),"※项目不在项目台账里",IF($F1252="※材料类别没选","※材料类别没选",IF(AND($C1252&lt;&gt;"",ISNA(MATCH($C1252,供应商表,0))),"※供应商不在基础资料里",""))))</f>
        <v/>
      </c>
    </row>
    <row r="1253">
      <c r="A1253" s="17">
        <f>IF($D1253="","",ROW()-3)</f>
        <v/>
      </c>
      <c r="B1253" s="18" t="n"/>
      <c r="C1253" s="13" t="n"/>
      <c r="D1253" s="13" t="n"/>
      <c r="E1253" s="13" t="n"/>
      <c r="F1253" s="17">
        <f>IF($D1253="","",IFERROR(VLOOKUP($E1253,材料归属,2,0),"※材料类别没选"))</f>
        <v/>
      </c>
      <c r="G1253" s="13" t="n"/>
      <c r="H1253" s="13" t="n"/>
      <c r="I1253" s="13" t="n"/>
      <c r="J1253" s="20" t="n"/>
      <c r="K1253" s="14" t="n"/>
      <c r="L1253" s="19">
        <f>IF($D1253="","",ROUND(IF($J1253="",1,$J1253)*N($K1253),2))</f>
        <v/>
      </c>
      <c r="M1253" s="13" t="n"/>
      <c r="N1253" s="17">
        <f>IF($D1253="","",IF(ISNA(MATCH($D1253,项目名表,0)),"※项目不在项目台账里",IF($F1253="※材料类别没选","※材料类别没选",IF(AND($C1253&lt;&gt;"",ISNA(MATCH($C1253,供应商表,0))),"※供应商不在基础资料里",""))))</f>
        <v/>
      </c>
    </row>
    <row r="1254">
      <c r="A1254" s="17">
        <f>IF($D1254="","",ROW()-3)</f>
        <v/>
      </c>
      <c r="B1254" s="18" t="n"/>
      <c r="C1254" s="13" t="n"/>
      <c r="D1254" s="13" t="n"/>
      <c r="E1254" s="13" t="n"/>
      <c r="F1254" s="17">
        <f>IF($D1254="","",IFERROR(VLOOKUP($E1254,材料归属,2,0),"※材料类别没选"))</f>
        <v/>
      </c>
      <c r="G1254" s="13" t="n"/>
      <c r="H1254" s="13" t="n"/>
      <c r="I1254" s="13" t="n"/>
      <c r="J1254" s="20" t="n"/>
      <c r="K1254" s="14" t="n"/>
      <c r="L1254" s="19">
        <f>IF($D1254="","",ROUND(IF($J1254="",1,$J1254)*N($K1254),2))</f>
        <v/>
      </c>
      <c r="M1254" s="13" t="n"/>
      <c r="N1254" s="17">
        <f>IF($D1254="","",IF(ISNA(MATCH($D1254,项目名表,0)),"※项目不在项目台账里",IF($F1254="※材料类别没选","※材料类别没选",IF(AND($C1254&lt;&gt;"",ISNA(MATCH($C1254,供应商表,0))),"※供应商不在基础资料里",""))))</f>
        <v/>
      </c>
    </row>
    <row r="1255">
      <c r="A1255" s="17">
        <f>IF($D1255="","",ROW()-3)</f>
        <v/>
      </c>
      <c r="B1255" s="18" t="n"/>
      <c r="C1255" s="13" t="n"/>
      <c r="D1255" s="13" t="n"/>
      <c r="E1255" s="13" t="n"/>
      <c r="F1255" s="17">
        <f>IF($D1255="","",IFERROR(VLOOKUP($E1255,材料归属,2,0),"※材料类别没选"))</f>
        <v/>
      </c>
      <c r="G1255" s="13" t="n"/>
      <c r="H1255" s="13" t="n"/>
      <c r="I1255" s="13" t="n"/>
      <c r="J1255" s="20" t="n"/>
      <c r="K1255" s="14" t="n"/>
      <c r="L1255" s="19">
        <f>IF($D1255="","",ROUND(IF($J1255="",1,$J1255)*N($K1255),2))</f>
        <v/>
      </c>
      <c r="M1255" s="13" t="n"/>
      <c r="N1255" s="17">
        <f>IF($D1255="","",IF(ISNA(MATCH($D1255,项目名表,0)),"※项目不在项目台账里",IF($F1255="※材料类别没选","※材料类别没选",IF(AND($C1255&lt;&gt;"",ISNA(MATCH($C1255,供应商表,0))),"※供应商不在基础资料里",""))))</f>
        <v/>
      </c>
    </row>
    <row r="1256">
      <c r="A1256" s="17">
        <f>IF($D1256="","",ROW()-3)</f>
        <v/>
      </c>
      <c r="B1256" s="18" t="n"/>
      <c r="C1256" s="13" t="n"/>
      <c r="D1256" s="13" t="n"/>
      <c r="E1256" s="13" t="n"/>
      <c r="F1256" s="17">
        <f>IF($D1256="","",IFERROR(VLOOKUP($E1256,材料归属,2,0),"※材料类别没选"))</f>
        <v/>
      </c>
      <c r="G1256" s="13" t="n"/>
      <c r="H1256" s="13" t="n"/>
      <c r="I1256" s="13" t="n"/>
      <c r="J1256" s="20" t="n"/>
      <c r="K1256" s="14" t="n"/>
      <c r="L1256" s="19">
        <f>IF($D1256="","",ROUND(IF($J1256="",1,$J1256)*N($K1256),2))</f>
        <v/>
      </c>
      <c r="M1256" s="13" t="n"/>
      <c r="N1256" s="17">
        <f>IF($D1256="","",IF(ISNA(MATCH($D1256,项目名表,0)),"※项目不在项目台账里",IF($F1256="※材料类别没选","※材料类别没选",IF(AND($C1256&lt;&gt;"",ISNA(MATCH($C1256,供应商表,0))),"※供应商不在基础资料里",""))))</f>
        <v/>
      </c>
    </row>
    <row r="1257">
      <c r="A1257" s="17">
        <f>IF($D1257="","",ROW()-3)</f>
        <v/>
      </c>
      <c r="B1257" s="18" t="n"/>
      <c r="C1257" s="13" t="n"/>
      <c r="D1257" s="13" t="n"/>
      <c r="E1257" s="13" t="n"/>
      <c r="F1257" s="17">
        <f>IF($D1257="","",IFERROR(VLOOKUP($E1257,材料归属,2,0),"※材料类别没选"))</f>
        <v/>
      </c>
      <c r="G1257" s="13" t="n"/>
      <c r="H1257" s="13" t="n"/>
      <c r="I1257" s="13" t="n"/>
      <c r="J1257" s="20" t="n"/>
      <c r="K1257" s="14" t="n"/>
      <c r="L1257" s="19">
        <f>IF($D1257="","",ROUND(IF($J1257="",1,$J1257)*N($K1257),2))</f>
        <v/>
      </c>
      <c r="M1257" s="13" t="n"/>
      <c r="N1257" s="17">
        <f>IF($D1257="","",IF(ISNA(MATCH($D1257,项目名表,0)),"※项目不在项目台账里",IF($F1257="※材料类别没选","※材料类别没选",IF(AND($C1257&lt;&gt;"",ISNA(MATCH($C1257,供应商表,0))),"※供应商不在基础资料里",""))))</f>
        <v/>
      </c>
    </row>
    <row r="1258">
      <c r="A1258" s="17">
        <f>IF($D1258="","",ROW()-3)</f>
        <v/>
      </c>
      <c r="B1258" s="18" t="n"/>
      <c r="C1258" s="13" t="n"/>
      <c r="D1258" s="13" t="n"/>
      <c r="E1258" s="13" t="n"/>
      <c r="F1258" s="17">
        <f>IF($D1258="","",IFERROR(VLOOKUP($E1258,材料归属,2,0),"※材料类别没选"))</f>
        <v/>
      </c>
      <c r="G1258" s="13" t="n"/>
      <c r="H1258" s="13" t="n"/>
      <c r="I1258" s="13" t="n"/>
      <c r="J1258" s="20" t="n"/>
      <c r="K1258" s="14" t="n"/>
      <c r="L1258" s="19">
        <f>IF($D1258="","",ROUND(IF($J1258="",1,$J1258)*N($K1258),2))</f>
        <v/>
      </c>
      <c r="M1258" s="13" t="n"/>
      <c r="N1258" s="17">
        <f>IF($D1258="","",IF(ISNA(MATCH($D1258,项目名表,0)),"※项目不在项目台账里",IF($F1258="※材料类别没选","※材料类别没选",IF(AND($C1258&lt;&gt;"",ISNA(MATCH($C1258,供应商表,0))),"※供应商不在基础资料里",""))))</f>
        <v/>
      </c>
    </row>
    <row r="1259">
      <c r="A1259" s="17">
        <f>IF($D1259="","",ROW()-3)</f>
        <v/>
      </c>
      <c r="B1259" s="18" t="n"/>
      <c r="C1259" s="13" t="n"/>
      <c r="D1259" s="13" t="n"/>
      <c r="E1259" s="13" t="n"/>
      <c r="F1259" s="17">
        <f>IF($D1259="","",IFERROR(VLOOKUP($E1259,材料归属,2,0),"※材料类别没选"))</f>
        <v/>
      </c>
      <c r="G1259" s="13" t="n"/>
      <c r="H1259" s="13" t="n"/>
      <c r="I1259" s="13" t="n"/>
      <c r="J1259" s="20" t="n"/>
      <c r="K1259" s="14" t="n"/>
      <c r="L1259" s="19">
        <f>IF($D1259="","",ROUND(IF($J1259="",1,$J1259)*N($K1259),2))</f>
        <v/>
      </c>
      <c r="M1259" s="13" t="n"/>
      <c r="N1259" s="17">
        <f>IF($D1259="","",IF(ISNA(MATCH($D1259,项目名表,0)),"※项目不在项目台账里",IF($F1259="※材料类别没选","※材料类别没选",IF(AND($C1259&lt;&gt;"",ISNA(MATCH($C1259,供应商表,0))),"※供应商不在基础资料里",""))))</f>
        <v/>
      </c>
    </row>
    <row r="1260">
      <c r="A1260" s="17">
        <f>IF($D1260="","",ROW()-3)</f>
        <v/>
      </c>
      <c r="B1260" s="18" t="n"/>
      <c r="C1260" s="13" t="n"/>
      <c r="D1260" s="13" t="n"/>
      <c r="E1260" s="13" t="n"/>
      <c r="F1260" s="17">
        <f>IF($D1260="","",IFERROR(VLOOKUP($E1260,材料归属,2,0),"※材料类别没选"))</f>
        <v/>
      </c>
      <c r="G1260" s="13" t="n"/>
      <c r="H1260" s="13" t="n"/>
      <c r="I1260" s="13" t="n"/>
      <c r="J1260" s="20" t="n"/>
      <c r="K1260" s="14" t="n"/>
      <c r="L1260" s="19">
        <f>IF($D1260="","",ROUND(IF($J1260="",1,$J1260)*N($K1260),2))</f>
        <v/>
      </c>
      <c r="M1260" s="13" t="n"/>
      <c r="N1260" s="17">
        <f>IF($D1260="","",IF(ISNA(MATCH($D1260,项目名表,0)),"※项目不在项目台账里",IF($F1260="※材料类别没选","※材料类别没选",IF(AND($C1260&lt;&gt;"",ISNA(MATCH($C1260,供应商表,0))),"※供应商不在基础资料里",""))))</f>
        <v/>
      </c>
    </row>
    <row r="1261">
      <c r="A1261" s="17">
        <f>IF($D1261="","",ROW()-3)</f>
        <v/>
      </c>
      <c r="B1261" s="18" t="n"/>
      <c r="C1261" s="13" t="n"/>
      <c r="D1261" s="13" t="n"/>
      <c r="E1261" s="13" t="n"/>
      <c r="F1261" s="17">
        <f>IF($D1261="","",IFERROR(VLOOKUP($E1261,材料归属,2,0),"※材料类别没选"))</f>
        <v/>
      </c>
      <c r="G1261" s="13" t="n"/>
      <c r="H1261" s="13" t="n"/>
      <c r="I1261" s="13" t="n"/>
      <c r="J1261" s="20" t="n"/>
      <c r="K1261" s="14" t="n"/>
      <c r="L1261" s="19">
        <f>IF($D1261="","",ROUND(IF($J1261="",1,$J1261)*N($K1261),2))</f>
        <v/>
      </c>
      <c r="M1261" s="13" t="n"/>
      <c r="N1261" s="17">
        <f>IF($D1261="","",IF(ISNA(MATCH($D1261,项目名表,0)),"※项目不在项目台账里",IF($F1261="※材料类别没选","※材料类别没选",IF(AND($C1261&lt;&gt;"",ISNA(MATCH($C1261,供应商表,0))),"※供应商不在基础资料里",""))))</f>
        <v/>
      </c>
    </row>
    <row r="1262">
      <c r="A1262" s="17">
        <f>IF($D1262="","",ROW()-3)</f>
        <v/>
      </c>
      <c r="B1262" s="18" t="n"/>
      <c r="C1262" s="13" t="n"/>
      <c r="D1262" s="13" t="n"/>
      <c r="E1262" s="13" t="n"/>
      <c r="F1262" s="17">
        <f>IF($D1262="","",IFERROR(VLOOKUP($E1262,材料归属,2,0),"※材料类别没选"))</f>
        <v/>
      </c>
      <c r="G1262" s="13" t="n"/>
      <c r="H1262" s="13" t="n"/>
      <c r="I1262" s="13" t="n"/>
      <c r="J1262" s="20" t="n"/>
      <c r="K1262" s="14" t="n"/>
      <c r="L1262" s="19">
        <f>IF($D1262="","",ROUND(IF($J1262="",1,$J1262)*N($K1262),2))</f>
        <v/>
      </c>
      <c r="M1262" s="13" t="n"/>
      <c r="N1262" s="17">
        <f>IF($D1262="","",IF(ISNA(MATCH($D1262,项目名表,0)),"※项目不在项目台账里",IF($F1262="※材料类别没选","※材料类别没选",IF(AND($C1262&lt;&gt;"",ISNA(MATCH($C1262,供应商表,0))),"※供应商不在基础资料里",""))))</f>
        <v/>
      </c>
    </row>
    <row r="1263">
      <c r="A1263" s="17">
        <f>IF($D1263="","",ROW()-3)</f>
        <v/>
      </c>
      <c r="B1263" s="18" t="n"/>
      <c r="C1263" s="13" t="n"/>
      <c r="D1263" s="13" t="n"/>
      <c r="E1263" s="13" t="n"/>
      <c r="F1263" s="17">
        <f>IF($D1263="","",IFERROR(VLOOKUP($E1263,材料归属,2,0),"※材料类别没选"))</f>
        <v/>
      </c>
      <c r="G1263" s="13" t="n"/>
      <c r="H1263" s="13" t="n"/>
      <c r="I1263" s="13" t="n"/>
      <c r="J1263" s="20" t="n"/>
      <c r="K1263" s="14" t="n"/>
      <c r="L1263" s="19">
        <f>IF($D1263="","",ROUND(IF($J1263="",1,$J1263)*N($K1263),2))</f>
        <v/>
      </c>
      <c r="M1263" s="13" t="n"/>
      <c r="N1263" s="17">
        <f>IF($D1263="","",IF(ISNA(MATCH($D1263,项目名表,0)),"※项目不在项目台账里",IF($F1263="※材料类别没选","※材料类别没选",IF(AND($C1263&lt;&gt;"",ISNA(MATCH($C1263,供应商表,0))),"※供应商不在基础资料里",""))))</f>
        <v/>
      </c>
    </row>
    <row r="1264">
      <c r="A1264" s="17">
        <f>IF($D1264="","",ROW()-3)</f>
        <v/>
      </c>
      <c r="B1264" s="18" t="n"/>
      <c r="C1264" s="13" t="n"/>
      <c r="D1264" s="13" t="n"/>
      <c r="E1264" s="13" t="n"/>
      <c r="F1264" s="17">
        <f>IF($D1264="","",IFERROR(VLOOKUP($E1264,材料归属,2,0),"※材料类别没选"))</f>
        <v/>
      </c>
      <c r="G1264" s="13" t="n"/>
      <c r="H1264" s="13" t="n"/>
      <c r="I1264" s="13" t="n"/>
      <c r="J1264" s="20" t="n"/>
      <c r="K1264" s="14" t="n"/>
      <c r="L1264" s="19">
        <f>IF($D1264="","",ROUND(IF($J1264="",1,$J1264)*N($K1264),2))</f>
        <v/>
      </c>
      <c r="M1264" s="13" t="n"/>
      <c r="N1264" s="17">
        <f>IF($D1264="","",IF(ISNA(MATCH($D1264,项目名表,0)),"※项目不在项目台账里",IF($F1264="※材料类别没选","※材料类别没选",IF(AND($C1264&lt;&gt;"",ISNA(MATCH($C1264,供应商表,0))),"※供应商不在基础资料里",""))))</f>
        <v/>
      </c>
    </row>
    <row r="1265">
      <c r="A1265" s="17">
        <f>IF($D1265="","",ROW()-3)</f>
        <v/>
      </c>
      <c r="B1265" s="18" t="n"/>
      <c r="C1265" s="13" t="n"/>
      <c r="D1265" s="13" t="n"/>
      <c r="E1265" s="13" t="n"/>
      <c r="F1265" s="17">
        <f>IF($D1265="","",IFERROR(VLOOKUP($E1265,材料归属,2,0),"※材料类别没选"))</f>
        <v/>
      </c>
      <c r="G1265" s="13" t="n"/>
      <c r="H1265" s="13" t="n"/>
      <c r="I1265" s="13" t="n"/>
      <c r="J1265" s="20" t="n"/>
      <c r="K1265" s="14" t="n"/>
      <c r="L1265" s="19">
        <f>IF($D1265="","",ROUND(IF($J1265="",1,$J1265)*N($K1265),2))</f>
        <v/>
      </c>
      <c r="M1265" s="13" t="n"/>
      <c r="N1265" s="17">
        <f>IF($D1265="","",IF(ISNA(MATCH($D1265,项目名表,0)),"※项目不在项目台账里",IF($F1265="※材料类别没选","※材料类别没选",IF(AND($C1265&lt;&gt;"",ISNA(MATCH($C1265,供应商表,0))),"※供应商不在基础资料里",""))))</f>
        <v/>
      </c>
    </row>
    <row r="1266">
      <c r="A1266" s="17">
        <f>IF($D1266="","",ROW()-3)</f>
        <v/>
      </c>
      <c r="B1266" s="18" t="n"/>
      <c r="C1266" s="13" t="n"/>
      <c r="D1266" s="13" t="n"/>
      <c r="E1266" s="13" t="n"/>
      <c r="F1266" s="17">
        <f>IF($D1266="","",IFERROR(VLOOKUP($E1266,材料归属,2,0),"※材料类别没选"))</f>
        <v/>
      </c>
      <c r="G1266" s="13" t="n"/>
      <c r="H1266" s="13" t="n"/>
      <c r="I1266" s="13" t="n"/>
      <c r="J1266" s="20" t="n"/>
      <c r="K1266" s="14" t="n"/>
      <c r="L1266" s="19">
        <f>IF($D1266="","",ROUND(IF($J1266="",1,$J1266)*N($K1266),2))</f>
        <v/>
      </c>
      <c r="M1266" s="13" t="n"/>
      <c r="N1266" s="17">
        <f>IF($D1266="","",IF(ISNA(MATCH($D1266,项目名表,0)),"※项目不在项目台账里",IF($F1266="※材料类别没选","※材料类别没选",IF(AND($C1266&lt;&gt;"",ISNA(MATCH($C1266,供应商表,0))),"※供应商不在基础资料里",""))))</f>
        <v/>
      </c>
    </row>
    <row r="1267">
      <c r="A1267" s="17">
        <f>IF($D1267="","",ROW()-3)</f>
        <v/>
      </c>
      <c r="B1267" s="18" t="n"/>
      <c r="C1267" s="13" t="n"/>
      <c r="D1267" s="13" t="n"/>
      <c r="E1267" s="13" t="n"/>
      <c r="F1267" s="17">
        <f>IF($D1267="","",IFERROR(VLOOKUP($E1267,材料归属,2,0),"※材料类别没选"))</f>
        <v/>
      </c>
      <c r="G1267" s="13" t="n"/>
      <c r="H1267" s="13" t="n"/>
      <c r="I1267" s="13" t="n"/>
      <c r="J1267" s="20" t="n"/>
      <c r="K1267" s="14" t="n"/>
      <c r="L1267" s="19">
        <f>IF($D1267="","",ROUND(IF($J1267="",1,$J1267)*N($K1267),2))</f>
        <v/>
      </c>
      <c r="M1267" s="13" t="n"/>
      <c r="N1267" s="17">
        <f>IF($D1267="","",IF(ISNA(MATCH($D1267,项目名表,0)),"※项目不在项目台账里",IF($F1267="※材料类别没选","※材料类别没选",IF(AND($C1267&lt;&gt;"",ISNA(MATCH($C1267,供应商表,0))),"※供应商不在基础资料里",""))))</f>
        <v/>
      </c>
    </row>
    <row r="1268">
      <c r="A1268" s="17">
        <f>IF($D1268="","",ROW()-3)</f>
        <v/>
      </c>
      <c r="B1268" s="18" t="n"/>
      <c r="C1268" s="13" t="n"/>
      <c r="D1268" s="13" t="n"/>
      <c r="E1268" s="13" t="n"/>
      <c r="F1268" s="17">
        <f>IF($D1268="","",IFERROR(VLOOKUP($E1268,材料归属,2,0),"※材料类别没选"))</f>
        <v/>
      </c>
      <c r="G1268" s="13" t="n"/>
      <c r="H1268" s="13" t="n"/>
      <c r="I1268" s="13" t="n"/>
      <c r="J1268" s="20" t="n"/>
      <c r="K1268" s="14" t="n"/>
      <c r="L1268" s="19">
        <f>IF($D1268="","",ROUND(IF($J1268="",1,$J1268)*N($K1268),2))</f>
        <v/>
      </c>
      <c r="M1268" s="13" t="n"/>
      <c r="N1268" s="17">
        <f>IF($D1268="","",IF(ISNA(MATCH($D1268,项目名表,0)),"※项目不在项目台账里",IF($F1268="※材料类别没选","※材料类别没选",IF(AND($C1268&lt;&gt;"",ISNA(MATCH($C1268,供应商表,0))),"※供应商不在基础资料里",""))))</f>
        <v/>
      </c>
    </row>
    <row r="1269">
      <c r="A1269" s="17">
        <f>IF($D1269="","",ROW()-3)</f>
        <v/>
      </c>
      <c r="B1269" s="18" t="n"/>
      <c r="C1269" s="13" t="n"/>
      <c r="D1269" s="13" t="n"/>
      <c r="E1269" s="13" t="n"/>
      <c r="F1269" s="17">
        <f>IF($D1269="","",IFERROR(VLOOKUP($E1269,材料归属,2,0),"※材料类别没选"))</f>
        <v/>
      </c>
      <c r="G1269" s="13" t="n"/>
      <c r="H1269" s="13" t="n"/>
      <c r="I1269" s="13" t="n"/>
      <c r="J1269" s="20" t="n"/>
      <c r="K1269" s="14" t="n"/>
      <c r="L1269" s="19">
        <f>IF($D1269="","",ROUND(IF($J1269="",1,$J1269)*N($K1269),2))</f>
        <v/>
      </c>
      <c r="M1269" s="13" t="n"/>
      <c r="N1269" s="17">
        <f>IF($D1269="","",IF(ISNA(MATCH($D1269,项目名表,0)),"※项目不在项目台账里",IF($F1269="※材料类别没选","※材料类别没选",IF(AND($C1269&lt;&gt;"",ISNA(MATCH($C1269,供应商表,0))),"※供应商不在基础资料里",""))))</f>
        <v/>
      </c>
    </row>
    <row r="1270">
      <c r="A1270" s="17">
        <f>IF($D1270="","",ROW()-3)</f>
        <v/>
      </c>
      <c r="B1270" s="18" t="n"/>
      <c r="C1270" s="13" t="n"/>
      <c r="D1270" s="13" t="n"/>
      <c r="E1270" s="13" t="n"/>
      <c r="F1270" s="17">
        <f>IF($D1270="","",IFERROR(VLOOKUP($E1270,材料归属,2,0),"※材料类别没选"))</f>
        <v/>
      </c>
      <c r="G1270" s="13" t="n"/>
      <c r="H1270" s="13" t="n"/>
      <c r="I1270" s="13" t="n"/>
      <c r="J1270" s="20" t="n"/>
      <c r="K1270" s="14" t="n"/>
      <c r="L1270" s="19">
        <f>IF($D1270="","",ROUND(IF($J1270="",1,$J1270)*N($K1270),2))</f>
        <v/>
      </c>
      <c r="M1270" s="13" t="n"/>
      <c r="N1270" s="17">
        <f>IF($D1270="","",IF(ISNA(MATCH($D1270,项目名表,0)),"※项目不在项目台账里",IF($F1270="※材料类别没选","※材料类别没选",IF(AND($C1270&lt;&gt;"",ISNA(MATCH($C1270,供应商表,0))),"※供应商不在基础资料里",""))))</f>
        <v/>
      </c>
    </row>
    <row r="1271">
      <c r="A1271" s="17">
        <f>IF($D1271="","",ROW()-3)</f>
        <v/>
      </c>
      <c r="B1271" s="18" t="n"/>
      <c r="C1271" s="13" t="n"/>
      <c r="D1271" s="13" t="n"/>
      <c r="E1271" s="13" t="n"/>
      <c r="F1271" s="17">
        <f>IF($D1271="","",IFERROR(VLOOKUP($E1271,材料归属,2,0),"※材料类别没选"))</f>
        <v/>
      </c>
      <c r="G1271" s="13" t="n"/>
      <c r="H1271" s="13" t="n"/>
      <c r="I1271" s="13" t="n"/>
      <c r="J1271" s="20" t="n"/>
      <c r="K1271" s="14" t="n"/>
      <c r="L1271" s="19">
        <f>IF($D1271="","",ROUND(IF($J1271="",1,$J1271)*N($K1271),2))</f>
        <v/>
      </c>
      <c r="M1271" s="13" t="n"/>
      <c r="N1271" s="17">
        <f>IF($D1271="","",IF(ISNA(MATCH($D1271,项目名表,0)),"※项目不在项目台账里",IF($F1271="※材料类别没选","※材料类别没选",IF(AND($C1271&lt;&gt;"",ISNA(MATCH($C1271,供应商表,0))),"※供应商不在基础资料里",""))))</f>
        <v/>
      </c>
    </row>
    <row r="1272">
      <c r="A1272" s="17">
        <f>IF($D1272="","",ROW()-3)</f>
        <v/>
      </c>
      <c r="B1272" s="18" t="n"/>
      <c r="C1272" s="13" t="n"/>
      <c r="D1272" s="13" t="n"/>
      <c r="E1272" s="13" t="n"/>
      <c r="F1272" s="17">
        <f>IF($D1272="","",IFERROR(VLOOKUP($E1272,材料归属,2,0),"※材料类别没选"))</f>
        <v/>
      </c>
      <c r="G1272" s="13" t="n"/>
      <c r="H1272" s="13" t="n"/>
      <c r="I1272" s="13" t="n"/>
      <c r="J1272" s="20" t="n"/>
      <c r="K1272" s="14" t="n"/>
      <c r="L1272" s="19">
        <f>IF($D1272="","",ROUND(IF($J1272="",1,$J1272)*N($K1272),2))</f>
        <v/>
      </c>
      <c r="M1272" s="13" t="n"/>
      <c r="N1272" s="17">
        <f>IF($D1272="","",IF(ISNA(MATCH($D1272,项目名表,0)),"※项目不在项目台账里",IF($F1272="※材料类别没选","※材料类别没选",IF(AND($C1272&lt;&gt;"",ISNA(MATCH($C1272,供应商表,0))),"※供应商不在基础资料里",""))))</f>
        <v/>
      </c>
    </row>
    <row r="1273">
      <c r="A1273" s="17">
        <f>IF($D1273="","",ROW()-3)</f>
        <v/>
      </c>
      <c r="B1273" s="18" t="n"/>
      <c r="C1273" s="13" t="n"/>
      <c r="D1273" s="13" t="n"/>
      <c r="E1273" s="13" t="n"/>
      <c r="F1273" s="17">
        <f>IF($D1273="","",IFERROR(VLOOKUP($E1273,材料归属,2,0),"※材料类别没选"))</f>
        <v/>
      </c>
      <c r="G1273" s="13" t="n"/>
      <c r="H1273" s="13" t="n"/>
      <c r="I1273" s="13" t="n"/>
      <c r="J1273" s="20" t="n"/>
      <c r="K1273" s="14" t="n"/>
      <c r="L1273" s="19">
        <f>IF($D1273="","",ROUND(IF($J1273="",1,$J1273)*N($K1273),2))</f>
        <v/>
      </c>
      <c r="M1273" s="13" t="n"/>
      <c r="N1273" s="17">
        <f>IF($D1273="","",IF(ISNA(MATCH($D1273,项目名表,0)),"※项目不在项目台账里",IF($F1273="※材料类别没选","※材料类别没选",IF(AND($C1273&lt;&gt;"",ISNA(MATCH($C1273,供应商表,0))),"※供应商不在基础资料里",""))))</f>
        <v/>
      </c>
    </row>
    <row r="1274">
      <c r="A1274" s="17">
        <f>IF($D1274="","",ROW()-3)</f>
        <v/>
      </c>
      <c r="B1274" s="18" t="n"/>
      <c r="C1274" s="13" t="n"/>
      <c r="D1274" s="13" t="n"/>
      <c r="E1274" s="13" t="n"/>
      <c r="F1274" s="17">
        <f>IF($D1274="","",IFERROR(VLOOKUP($E1274,材料归属,2,0),"※材料类别没选"))</f>
        <v/>
      </c>
      <c r="G1274" s="13" t="n"/>
      <c r="H1274" s="13" t="n"/>
      <c r="I1274" s="13" t="n"/>
      <c r="J1274" s="20" t="n"/>
      <c r="K1274" s="14" t="n"/>
      <c r="L1274" s="19">
        <f>IF($D1274="","",ROUND(IF($J1274="",1,$J1274)*N($K1274),2))</f>
        <v/>
      </c>
      <c r="M1274" s="13" t="n"/>
      <c r="N1274" s="17">
        <f>IF($D1274="","",IF(ISNA(MATCH($D1274,项目名表,0)),"※项目不在项目台账里",IF($F1274="※材料类别没选","※材料类别没选",IF(AND($C1274&lt;&gt;"",ISNA(MATCH($C1274,供应商表,0))),"※供应商不在基础资料里",""))))</f>
        <v/>
      </c>
    </row>
    <row r="1275">
      <c r="A1275" s="17">
        <f>IF($D1275="","",ROW()-3)</f>
        <v/>
      </c>
      <c r="B1275" s="18" t="n"/>
      <c r="C1275" s="13" t="n"/>
      <c r="D1275" s="13" t="n"/>
      <c r="E1275" s="13" t="n"/>
      <c r="F1275" s="17">
        <f>IF($D1275="","",IFERROR(VLOOKUP($E1275,材料归属,2,0),"※材料类别没选"))</f>
        <v/>
      </c>
      <c r="G1275" s="13" t="n"/>
      <c r="H1275" s="13" t="n"/>
      <c r="I1275" s="13" t="n"/>
      <c r="J1275" s="20" t="n"/>
      <c r="K1275" s="14" t="n"/>
      <c r="L1275" s="19">
        <f>IF($D1275="","",ROUND(IF($J1275="",1,$J1275)*N($K1275),2))</f>
        <v/>
      </c>
      <c r="M1275" s="13" t="n"/>
      <c r="N1275" s="17">
        <f>IF($D1275="","",IF(ISNA(MATCH($D1275,项目名表,0)),"※项目不在项目台账里",IF($F1275="※材料类别没选","※材料类别没选",IF(AND($C1275&lt;&gt;"",ISNA(MATCH($C1275,供应商表,0))),"※供应商不在基础资料里",""))))</f>
        <v/>
      </c>
    </row>
    <row r="1276">
      <c r="A1276" s="17">
        <f>IF($D1276="","",ROW()-3)</f>
        <v/>
      </c>
      <c r="B1276" s="18" t="n"/>
      <c r="C1276" s="13" t="n"/>
      <c r="D1276" s="13" t="n"/>
      <c r="E1276" s="13" t="n"/>
      <c r="F1276" s="17">
        <f>IF($D1276="","",IFERROR(VLOOKUP($E1276,材料归属,2,0),"※材料类别没选"))</f>
        <v/>
      </c>
      <c r="G1276" s="13" t="n"/>
      <c r="H1276" s="13" t="n"/>
      <c r="I1276" s="13" t="n"/>
      <c r="J1276" s="20" t="n"/>
      <c r="K1276" s="14" t="n"/>
      <c r="L1276" s="19">
        <f>IF($D1276="","",ROUND(IF($J1276="",1,$J1276)*N($K1276),2))</f>
        <v/>
      </c>
      <c r="M1276" s="13" t="n"/>
      <c r="N1276" s="17">
        <f>IF($D1276="","",IF(ISNA(MATCH($D1276,项目名表,0)),"※项目不在项目台账里",IF($F1276="※材料类别没选","※材料类别没选",IF(AND($C1276&lt;&gt;"",ISNA(MATCH($C1276,供应商表,0))),"※供应商不在基础资料里",""))))</f>
        <v/>
      </c>
    </row>
    <row r="1277">
      <c r="A1277" s="17">
        <f>IF($D1277="","",ROW()-3)</f>
        <v/>
      </c>
      <c r="B1277" s="18" t="n"/>
      <c r="C1277" s="13" t="n"/>
      <c r="D1277" s="13" t="n"/>
      <c r="E1277" s="13" t="n"/>
      <c r="F1277" s="17">
        <f>IF($D1277="","",IFERROR(VLOOKUP($E1277,材料归属,2,0),"※材料类别没选"))</f>
        <v/>
      </c>
      <c r="G1277" s="13" t="n"/>
      <c r="H1277" s="13" t="n"/>
      <c r="I1277" s="13" t="n"/>
      <c r="J1277" s="20" t="n"/>
      <c r="K1277" s="14" t="n"/>
      <c r="L1277" s="19">
        <f>IF($D1277="","",ROUND(IF($J1277="",1,$J1277)*N($K1277),2))</f>
        <v/>
      </c>
      <c r="M1277" s="13" t="n"/>
      <c r="N1277" s="17">
        <f>IF($D1277="","",IF(ISNA(MATCH($D1277,项目名表,0)),"※项目不在项目台账里",IF($F1277="※材料类别没选","※材料类别没选",IF(AND($C1277&lt;&gt;"",ISNA(MATCH($C1277,供应商表,0))),"※供应商不在基础资料里",""))))</f>
        <v/>
      </c>
    </row>
    <row r="1278">
      <c r="A1278" s="17">
        <f>IF($D1278="","",ROW()-3)</f>
        <v/>
      </c>
      <c r="B1278" s="18" t="n"/>
      <c r="C1278" s="13" t="n"/>
      <c r="D1278" s="13" t="n"/>
      <c r="E1278" s="13" t="n"/>
      <c r="F1278" s="17">
        <f>IF($D1278="","",IFERROR(VLOOKUP($E1278,材料归属,2,0),"※材料类别没选"))</f>
        <v/>
      </c>
      <c r="G1278" s="13" t="n"/>
      <c r="H1278" s="13" t="n"/>
      <c r="I1278" s="13" t="n"/>
      <c r="J1278" s="20" t="n"/>
      <c r="K1278" s="14" t="n"/>
      <c r="L1278" s="19">
        <f>IF($D1278="","",ROUND(IF($J1278="",1,$J1278)*N($K1278),2))</f>
        <v/>
      </c>
      <c r="M1278" s="13" t="n"/>
      <c r="N1278" s="17">
        <f>IF($D1278="","",IF(ISNA(MATCH($D1278,项目名表,0)),"※项目不在项目台账里",IF($F1278="※材料类别没选","※材料类别没选",IF(AND($C1278&lt;&gt;"",ISNA(MATCH($C1278,供应商表,0))),"※供应商不在基础资料里",""))))</f>
        <v/>
      </c>
    </row>
    <row r="1279">
      <c r="A1279" s="17">
        <f>IF($D1279="","",ROW()-3)</f>
        <v/>
      </c>
      <c r="B1279" s="18" t="n"/>
      <c r="C1279" s="13" t="n"/>
      <c r="D1279" s="13" t="n"/>
      <c r="E1279" s="13" t="n"/>
      <c r="F1279" s="17">
        <f>IF($D1279="","",IFERROR(VLOOKUP($E1279,材料归属,2,0),"※材料类别没选"))</f>
        <v/>
      </c>
      <c r="G1279" s="13" t="n"/>
      <c r="H1279" s="13" t="n"/>
      <c r="I1279" s="13" t="n"/>
      <c r="J1279" s="20" t="n"/>
      <c r="K1279" s="14" t="n"/>
      <c r="L1279" s="19">
        <f>IF($D1279="","",ROUND(IF($J1279="",1,$J1279)*N($K1279),2))</f>
        <v/>
      </c>
      <c r="M1279" s="13" t="n"/>
      <c r="N1279" s="17">
        <f>IF($D1279="","",IF(ISNA(MATCH($D1279,项目名表,0)),"※项目不在项目台账里",IF($F1279="※材料类别没选","※材料类别没选",IF(AND($C1279&lt;&gt;"",ISNA(MATCH($C1279,供应商表,0))),"※供应商不在基础资料里",""))))</f>
        <v/>
      </c>
    </row>
    <row r="1280">
      <c r="A1280" s="17">
        <f>IF($D1280="","",ROW()-3)</f>
        <v/>
      </c>
      <c r="B1280" s="18" t="n"/>
      <c r="C1280" s="13" t="n"/>
      <c r="D1280" s="13" t="n"/>
      <c r="E1280" s="13" t="n"/>
      <c r="F1280" s="17">
        <f>IF($D1280="","",IFERROR(VLOOKUP($E1280,材料归属,2,0),"※材料类别没选"))</f>
        <v/>
      </c>
      <c r="G1280" s="13" t="n"/>
      <c r="H1280" s="13" t="n"/>
      <c r="I1280" s="13" t="n"/>
      <c r="J1280" s="20" t="n"/>
      <c r="K1280" s="14" t="n"/>
      <c r="L1280" s="19">
        <f>IF($D1280="","",ROUND(IF($J1280="",1,$J1280)*N($K1280),2))</f>
        <v/>
      </c>
      <c r="M1280" s="13" t="n"/>
      <c r="N1280" s="17">
        <f>IF($D1280="","",IF(ISNA(MATCH($D1280,项目名表,0)),"※项目不在项目台账里",IF($F1280="※材料类别没选","※材料类别没选",IF(AND($C1280&lt;&gt;"",ISNA(MATCH($C1280,供应商表,0))),"※供应商不在基础资料里",""))))</f>
        <v/>
      </c>
    </row>
    <row r="1281">
      <c r="A1281" s="17">
        <f>IF($D1281="","",ROW()-3)</f>
        <v/>
      </c>
      <c r="B1281" s="18" t="n"/>
      <c r="C1281" s="13" t="n"/>
      <c r="D1281" s="13" t="n"/>
      <c r="E1281" s="13" t="n"/>
      <c r="F1281" s="17">
        <f>IF($D1281="","",IFERROR(VLOOKUP($E1281,材料归属,2,0),"※材料类别没选"))</f>
        <v/>
      </c>
      <c r="G1281" s="13" t="n"/>
      <c r="H1281" s="13" t="n"/>
      <c r="I1281" s="13" t="n"/>
      <c r="J1281" s="20" t="n"/>
      <c r="K1281" s="14" t="n"/>
      <c r="L1281" s="19">
        <f>IF($D1281="","",ROUND(IF($J1281="",1,$J1281)*N($K1281),2))</f>
        <v/>
      </c>
      <c r="M1281" s="13" t="n"/>
      <c r="N1281" s="17">
        <f>IF($D1281="","",IF(ISNA(MATCH($D1281,项目名表,0)),"※项目不在项目台账里",IF($F1281="※材料类别没选","※材料类别没选",IF(AND($C1281&lt;&gt;"",ISNA(MATCH($C1281,供应商表,0))),"※供应商不在基础资料里",""))))</f>
        <v/>
      </c>
    </row>
    <row r="1282">
      <c r="A1282" s="17">
        <f>IF($D1282="","",ROW()-3)</f>
        <v/>
      </c>
      <c r="B1282" s="18" t="n"/>
      <c r="C1282" s="13" t="n"/>
      <c r="D1282" s="13" t="n"/>
      <c r="E1282" s="13" t="n"/>
      <c r="F1282" s="17">
        <f>IF($D1282="","",IFERROR(VLOOKUP($E1282,材料归属,2,0),"※材料类别没选"))</f>
        <v/>
      </c>
      <c r="G1282" s="13" t="n"/>
      <c r="H1282" s="13" t="n"/>
      <c r="I1282" s="13" t="n"/>
      <c r="J1282" s="20" t="n"/>
      <c r="K1282" s="14" t="n"/>
      <c r="L1282" s="19">
        <f>IF($D1282="","",ROUND(IF($J1282="",1,$J1282)*N($K1282),2))</f>
        <v/>
      </c>
      <c r="M1282" s="13" t="n"/>
      <c r="N1282" s="17">
        <f>IF($D1282="","",IF(ISNA(MATCH($D1282,项目名表,0)),"※项目不在项目台账里",IF($F1282="※材料类别没选","※材料类别没选",IF(AND($C1282&lt;&gt;"",ISNA(MATCH($C1282,供应商表,0))),"※供应商不在基础资料里",""))))</f>
        <v/>
      </c>
    </row>
    <row r="1283">
      <c r="A1283" s="17">
        <f>IF($D1283="","",ROW()-3)</f>
        <v/>
      </c>
      <c r="B1283" s="18" t="n"/>
      <c r="C1283" s="13" t="n"/>
      <c r="D1283" s="13" t="n"/>
      <c r="E1283" s="13" t="n"/>
      <c r="F1283" s="17">
        <f>IF($D1283="","",IFERROR(VLOOKUP($E1283,材料归属,2,0),"※材料类别没选"))</f>
        <v/>
      </c>
      <c r="G1283" s="13" t="n"/>
      <c r="H1283" s="13" t="n"/>
      <c r="I1283" s="13" t="n"/>
      <c r="J1283" s="20" t="n"/>
      <c r="K1283" s="14" t="n"/>
      <c r="L1283" s="19">
        <f>IF($D1283="","",ROUND(IF($J1283="",1,$J1283)*N($K1283),2))</f>
        <v/>
      </c>
      <c r="M1283" s="13" t="n"/>
      <c r="N1283" s="17">
        <f>IF($D1283="","",IF(ISNA(MATCH($D1283,项目名表,0)),"※项目不在项目台账里",IF($F1283="※材料类别没选","※材料类别没选",IF(AND($C1283&lt;&gt;"",ISNA(MATCH($C1283,供应商表,0))),"※供应商不在基础资料里",""))))</f>
        <v/>
      </c>
    </row>
    <row r="1284">
      <c r="A1284" s="17">
        <f>IF($D1284="","",ROW()-3)</f>
        <v/>
      </c>
      <c r="B1284" s="18" t="n"/>
      <c r="C1284" s="13" t="n"/>
      <c r="D1284" s="13" t="n"/>
      <c r="E1284" s="13" t="n"/>
      <c r="F1284" s="17">
        <f>IF($D1284="","",IFERROR(VLOOKUP($E1284,材料归属,2,0),"※材料类别没选"))</f>
        <v/>
      </c>
      <c r="G1284" s="13" t="n"/>
      <c r="H1284" s="13" t="n"/>
      <c r="I1284" s="13" t="n"/>
      <c r="J1284" s="20" t="n"/>
      <c r="K1284" s="14" t="n"/>
      <c r="L1284" s="19">
        <f>IF($D1284="","",ROUND(IF($J1284="",1,$J1284)*N($K1284),2))</f>
        <v/>
      </c>
      <c r="M1284" s="13" t="n"/>
      <c r="N1284" s="17">
        <f>IF($D1284="","",IF(ISNA(MATCH($D1284,项目名表,0)),"※项目不在项目台账里",IF($F1284="※材料类别没选","※材料类别没选",IF(AND($C1284&lt;&gt;"",ISNA(MATCH($C1284,供应商表,0))),"※供应商不在基础资料里",""))))</f>
        <v/>
      </c>
    </row>
    <row r="1285">
      <c r="A1285" s="17">
        <f>IF($D1285="","",ROW()-3)</f>
        <v/>
      </c>
      <c r="B1285" s="18" t="n"/>
      <c r="C1285" s="13" t="n"/>
      <c r="D1285" s="13" t="n"/>
      <c r="E1285" s="13" t="n"/>
      <c r="F1285" s="17">
        <f>IF($D1285="","",IFERROR(VLOOKUP($E1285,材料归属,2,0),"※材料类别没选"))</f>
        <v/>
      </c>
      <c r="G1285" s="13" t="n"/>
      <c r="H1285" s="13" t="n"/>
      <c r="I1285" s="13" t="n"/>
      <c r="J1285" s="20" t="n"/>
      <c r="K1285" s="14" t="n"/>
      <c r="L1285" s="19">
        <f>IF($D1285="","",ROUND(IF($J1285="",1,$J1285)*N($K1285),2))</f>
        <v/>
      </c>
      <c r="M1285" s="13" t="n"/>
      <c r="N1285" s="17">
        <f>IF($D1285="","",IF(ISNA(MATCH($D1285,项目名表,0)),"※项目不在项目台账里",IF($F1285="※材料类别没选","※材料类别没选",IF(AND($C1285&lt;&gt;"",ISNA(MATCH($C1285,供应商表,0))),"※供应商不在基础资料里",""))))</f>
        <v/>
      </c>
    </row>
    <row r="1286">
      <c r="A1286" s="17">
        <f>IF($D1286="","",ROW()-3)</f>
        <v/>
      </c>
      <c r="B1286" s="18" t="n"/>
      <c r="C1286" s="13" t="n"/>
      <c r="D1286" s="13" t="n"/>
      <c r="E1286" s="13" t="n"/>
      <c r="F1286" s="17">
        <f>IF($D1286="","",IFERROR(VLOOKUP($E1286,材料归属,2,0),"※材料类别没选"))</f>
        <v/>
      </c>
      <c r="G1286" s="13" t="n"/>
      <c r="H1286" s="13" t="n"/>
      <c r="I1286" s="13" t="n"/>
      <c r="J1286" s="20" t="n"/>
      <c r="K1286" s="14" t="n"/>
      <c r="L1286" s="19">
        <f>IF($D1286="","",ROUND(IF($J1286="",1,$J1286)*N($K1286),2))</f>
        <v/>
      </c>
      <c r="M1286" s="13" t="n"/>
      <c r="N1286" s="17">
        <f>IF($D1286="","",IF(ISNA(MATCH($D1286,项目名表,0)),"※项目不在项目台账里",IF($F1286="※材料类别没选","※材料类别没选",IF(AND($C1286&lt;&gt;"",ISNA(MATCH($C1286,供应商表,0))),"※供应商不在基础资料里",""))))</f>
        <v/>
      </c>
    </row>
    <row r="1287">
      <c r="A1287" s="17">
        <f>IF($D1287="","",ROW()-3)</f>
        <v/>
      </c>
      <c r="B1287" s="18" t="n"/>
      <c r="C1287" s="13" t="n"/>
      <c r="D1287" s="13" t="n"/>
      <c r="E1287" s="13" t="n"/>
      <c r="F1287" s="17">
        <f>IF($D1287="","",IFERROR(VLOOKUP($E1287,材料归属,2,0),"※材料类别没选"))</f>
        <v/>
      </c>
      <c r="G1287" s="13" t="n"/>
      <c r="H1287" s="13" t="n"/>
      <c r="I1287" s="13" t="n"/>
      <c r="J1287" s="20" t="n"/>
      <c r="K1287" s="14" t="n"/>
      <c r="L1287" s="19">
        <f>IF($D1287="","",ROUND(IF($J1287="",1,$J1287)*N($K1287),2))</f>
        <v/>
      </c>
      <c r="M1287" s="13" t="n"/>
      <c r="N1287" s="17">
        <f>IF($D1287="","",IF(ISNA(MATCH($D1287,项目名表,0)),"※项目不在项目台账里",IF($F1287="※材料类别没选","※材料类别没选",IF(AND($C1287&lt;&gt;"",ISNA(MATCH($C1287,供应商表,0))),"※供应商不在基础资料里",""))))</f>
        <v/>
      </c>
    </row>
    <row r="1288">
      <c r="A1288" s="17">
        <f>IF($D1288="","",ROW()-3)</f>
        <v/>
      </c>
      <c r="B1288" s="18" t="n"/>
      <c r="C1288" s="13" t="n"/>
      <c r="D1288" s="13" t="n"/>
      <c r="E1288" s="13" t="n"/>
      <c r="F1288" s="17">
        <f>IF($D1288="","",IFERROR(VLOOKUP($E1288,材料归属,2,0),"※材料类别没选"))</f>
        <v/>
      </c>
      <c r="G1288" s="13" t="n"/>
      <c r="H1288" s="13" t="n"/>
      <c r="I1288" s="13" t="n"/>
      <c r="J1288" s="20" t="n"/>
      <c r="K1288" s="14" t="n"/>
      <c r="L1288" s="19">
        <f>IF($D1288="","",ROUND(IF($J1288="",1,$J1288)*N($K1288),2))</f>
        <v/>
      </c>
      <c r="M1288" s="13" t="n"/>
      <c r="N1288" s="17">
        <f>IF($D1288="","",IF(ISNA(MATCH($D1288,项目名表,0)),"※项目不在项目台账里",IF($F1288="※材料类别没选","※材料类别没选",IF(AND($C1288&lt;&gt;"",ISNA(MATCH($C1288,供应商表,0))),"※供应商不在基础资料里",""))))</f>
        <v/>
      </c>
    </row>
    <row r="1289">
      <c r="A1289" s="17">
        <f>IF($D1289="","",ROW()-3)</f>
        <v/>
      </c>
      <c r="B1289" s="18" t="n"/>
      <c r="C1289" s="13" t="n"/>
      <c r="D1289" s="13" t="n"/>
      <c r="E1289" s="13" t="n"/>
      <c r="F1289" s="17">
        <f>IF($D1289="","",IFERROR(VLOOKUP($E1289,材料归属,2,0),"※材料类别没选"))</f>
        <v/>
      </c>
      <c r="G1289" s="13" t="n"/>
      <c r="H1289" s="13" t="n"/>
      <c r="I1289" s="13" t="n"/>
      <c r="J1289" s="20" t="n"/>
      <c r="K1289" s="14" t="n"/>
      <c r="L1289" s="19">
        <f>IF($D1289="","",ROUND(IF($J1289="",1,$J1289)*N($K1289),2))</f>
        <v/>
      </c>
      <c r="M1289" s="13" t="n"/>
      <c r="N1289" s="17">
        <f>IF($D1289="","",IF(ISNA(MATCH($D1289,项目名表,0)),"※项目不在项目台账里",IF($F1289="※材料类别没选","※材料类别没选",IF(AND($C1289&lt;&gt;"",ISNA(MATCH($C1289,供应商表,0))),"※供应商不在基础资料里",""))))</f>
        <v/>
      </c>
    </row>
    <row r="1290">
      <c r="A1290" s="17">
        <f>IF($D1290="","",ROW()-3)</f>
        <v/>
      </c>
      <c r="B1290" s="18" t="n"/>
      <c r="C1290" s="13" t="n"/>
      <c r="D1290" s="13" t="n"/>
      <c r="E1290" s="13" t="n"/>
      <c r="F1290" s="17">
        <f>IF($D1290="","",IFERROR(VLOOKUP($E1290,材料归属,2,0),"※材料类别没选"))</f>
        <v/>
      </c>
      <c r="G1290" s="13" t="n"/>
      <c r="H1290" s="13" t="n"/>
      <c r="I1290" s="13" t="n"/>
      <c r="J1290" s="20" t="n"/>
      <c r="K1290" s="14" t="n"/>
      <c r="L1290" s="19">
        <f>IF($D1290="","",ROUND(IF($J1290="",1,$J1290)*N($K1290),2))</f>
        <v/>
      </c>
      <c r="M1290" s="13" t="n"/>
      <c r="N1290" s="17">
        <f>IF($D1290="","",IF(ISNA(MATCH($D1290,项目名表,0)),"※项目不在项目台账里",IF($F1290="※材料类别没选","※材料类别没选",IF(AND($C1290&lt;&gt;"",ISNA(MATCH($C1290,供应商表,0))),"※供应商不在基础资料里",""))))</f>
        <v/>
      </c>
    </row>
    <row r="1291">
      <c r="A1291" s="17">
        <f>IF($D1291="","",ROW()-3)</f>
        <v/>
      </c>
      <c r="B1291" s="18" t="n"/>
      <c r="C1291" s="13" t="n"/>
      <c r="D1291" s="13" t="n"/>
      <c r="E1291" s="13" t="n"/>
      <c r="F1291" s="17">
        <f>IF($D1291="","",IFERROR(VLOOKUP($E1291,材料归属,2,0),"※材料类别没选"))</f>
        <v/>
      </c>
      <c r="G1291" s="13" t="n"/>
      <c r="H1291" s="13" t="n"/>
      <c r="I1291" s="13" t="n"/>
      <c r="J1291" s="20" t="n"/>
      <c r="K1291" s="14" t="n"/>
      <c r="L1291" s="19">
        <f>IF($D1291="","",ROUND(IF($J1291="",1,$J1291)*N($K1291),2))</f>
        <v/>
      </c>
      <c r="M1291" s="13" t="n"/>
      <c r="N1291" s="17">
        <f>IF($D1291="","",IF(ISNA(MATCH($D1291,项目名表,0)),"※项目不在项目台账里",IF($F1291="※材料类别没选","※材料类别没选",IF(AND($C1291&lt;&gt;"",ISNA(MATCH($C1291,供应商表,0))),"※供应商不在基础资料里",""))))</f>
        <v/>
      </c>
    </row>
    <row r="1292">
      <c r="A1292" s="17">
        <f>IF($D1292="","",ROW()-3)</f>
        <v/>
      </c>
      <c r="B1292" s="18" t="n"/>
      <c r="C1292" s="13" t="n"/>
      <c r="D1292" s="13" t="n"/>
      <c r="E1292" s="13" t="n"/>
      <c r="F1292" s="17">
        <f>IF($D1292="","",IFERROR(VLOOKUP($E1292,材料归属,2,0),"※材料类别没选"))</f>
        <v/>
      </c>
      <c r="G1292" s="13" t="n"/>
      <c r="H1292" s="13" t="n"/>
      <c r="I1292" s="13" t="n"/>
      <c r="J1292" s="20" t="n"/>
      <c r="K1292" s="14" t="n"/>
      <c r="L1292" s="19">
        <f>IF($D1292="","",ROUND(IF($J1292="",1,$J1292)*N($K1292),2))</f>
        <v/>
      </c>
      <c r="M1292" s="13" t="n"/>
      <c r="N1292" s="17">
        <f>IF($D1292="","",IF(ISNA(MATCH($D1292,项目名表,0)),"※项目不在项目台账里",IF($F1292="※材料类别没选","※材料类别没选",IF(AND($C1292&lt;&gt;"",ISNA(MATCH($C1292,供应商表,0))),"※供应商不在基础资料里",""))))</f>
        <v/>
      </c>
    </row>
    <row r="1293">
      <c r="A1293" s="17">
        <f>IF($D1293="","",ROW()-3)</f>
        <v/>
      </c>
      <c r="B1293" s="18" t="n"/>
      <c r="C1293" s="13" t="n"/>
      <c r="D1293" s="13" t="n"/>
      <c r="E1293" s="13" t="n"/>
      <c r="F1293" s="17">
        <f>IF($D1293="","",IFERROR(VLOOKUP($E1293,材料归属,2,0),"※材料类别没选"))</f>
        <v/>
      </c>
      <c r="G1293" s="13" t="n"/>
      <c r="H1293" s="13" t="n"/>
      <c r="I1293" s="13" t="n"/>
      <c r="J1293" s="20" t="n"/>
      <c r="K1293" s="14" t="n"/>
      <c r="L1293" s="19">
        <f>IF($D1293="","",ROUND(IF($J1293="",1,$J1293)*N($K1293),2))</f>
        <v/>
      </c>
      <c r="M1293" s="13" t="n"/>
      <c r="N1293" s="17">
        <f>IF($D1293="","",IF(ISNA(MATCH($D1293,项目名表,0)),"※项目不在项目台账里",IF($F1293="※材料类别没选","※材料类别没选",IF(AND($C1293&lt;&gt;"",ISNA(MATCH($C1293,供应商表,0))),"※供应商不在基础资料里",""))))</f>
        <v/>
      </c>
    </row>
    <row r="1294">
      <c r="A1294" s="17">
        <f>IF($D1294="","",ROW()-3)</f>
        <v/>
      </c>
      <c r="B1294" s="18" t="n"/>
      <c r="C1294" s="13" t="n"/>
      <c r="D1294" s="13" t="n"/>
      <c r="E1294" s="13" t="n"/>
      <c r="F1294" s="17">
        <f>IF($D1294="","",IFERROR(VLOOKUP($E1294,材料归属,2,0),"※材料类别没选"))</f>
        <v/>
      </c>
      <c r="G1294" s="13" t="n"/>
      <c r="H1294" s="13" t="n"/>
      <c r="I1294" s="13" t="n"/>
      <c r="J1294" s="20" t="n"/>
      <c r="K1294" s="14" t="n"/>
      <c r="L1294" s="19">
        <f>IF($D1294="","",ROUND(IF($J1294="",1,$J1294)*N($K1294),2))</f>
        <v/>
      </c>
      <c r="M1294" s="13" t="n"/>
      <c r="N1294" s="17">
        <f>IF($D1294="","",IF(ISNA(MATCH($D1294,项目名表,0)),"※项目不在项目台账里",IF($F1294="※材料类别没选","※材料类别没选",IF(AND($C1294&lt;&gt;"",ISNA(MATCH($C1294,供应商表,0))),"※供应商不在基础资料里",""))))</f>
        <v/>
      </c>
    </row>
    <row r="1295">
      <c r="A1295" s="17">
        <f>IF($D1295="","",ROW()-3)</f>
        <v/>
      </c>
      <c r="B1295" s="18" t="n"/>
      <c r="C1295" s="13" t="n"/>
      <c r="D1295" s="13" t="n"/>
      <c r="E1295" s="13" t="n"/>
      <c r="F1295" s="17">
        <f>IF($D1295="","",IFERROR(VLOOKUP($E1295,材料归属,2,0),"※材料类别没选"))</f>
        <v/>
      </c>
      <c r="G1295" s="13" t="n"/>
      <c r="H1295" s="13" t="n"/>
      <c r="I1295" s="13" t="n"/>
      <c r="J1295" s="20" t="n"/>
      <c r="K1295" s="14" t="n"/>
      <c r="L1295" s="19">
        <f>IF($D1295="","",ROUND(IF($J1295="",1,$J1295)*N($K1295),2))</f>
        <v/>
      </c>
      <c r="M1295" s="13" t="n"/>
      <c r="N1295" s="17">
        <f>IF($D1295="","",IF(ISNA(MATCH($D1295,项目名表,0)),"※项目不在项目台账里",IF($F1295="※材料类别没选","※材料类别没选",IF(AND($C1295&lt;&gt;"",ISNA(MATCH($C1295,供应商表,0))),"※供应商不在基础资料里",""))))</f>
        <v/>
      </c>
    </row>
    <row r="1296">
      <c r="A1296" s="17">
        <f>IF($D1296="","",ROW()-3)</f>
        <v/>
      </c>
      <c r="B1296" s="18" t="n"/>
      <c r="C1296" s="13" t="n"/>
      <c r="D1296" s="13" t="n"/>
      <c r="E1296" s="13" t="n"/>
      <c r="F1296" s="17">
        <f>IF($D1296="","",IFERROR(VLOOKUP($E1296,材料归属,2,0),"※材料类别没选"))</f>
        <v/>
      </c>
      <c r="G1296" s="13" t="n"/>
      <c r="H1296" s="13" t="n"/>
      <c r="I1296" s="13" t="n"/>
      <c r="J1296" s="20" t="n"/>
      <c r="K1296" s="14" t="n"/>
      <c r="L1296" s="19">
        <f>IF($D1296="","",ROUND(IF($J1296="",1,$J1296)*N($K1296),2))</f>
        <v/>
      </c>
      <c r="M1296" s="13" t="n"/>
      <c r="N1296" s="17">
        <f>IF($D1296="","",IF(ISNA(MATCH($D1296,项目名表,0)),"※项目不在项目台账里",IF($F1296="※材料类别没选","※材料类别没选",IF(AND($C1296&lt;&gt;"",ISNA(MATCH($C1296,供应商表,0))),"※供应商不在基础资料里",""))))</f>
        <v/>
      </c>
    </row>
    <row r="1297">
      <c r="A1297" s="17">
        <f>IF($D1297="","",ROW()-3)</f>
        <v/>
      </c>
      <c r="B1297" s="18" t="n"/>
      <c r="C1297" s="13" t="n"/>
      <c r="D1297" s="13" t="n"/>
      <c r="E1297" s="13" t="n"/>
      <c r="F1297" s="17">
        <f>IF($D1297="","",IFERROR(VLOOKUP($E1297,材料归属,2,0),"※材料类别没选"))</f>
        <v/>
      </c>
      <c r="G1297" s="13" t="n"/>
      <c r="H1297" s="13" t="n"/>
      <c r="I1297" s="13" t="n"/>
      <c r="J1297" s="20" t="n"/>
      <c r="K1297" s="14" t="n"/>
      <c r="L1297" s="19">
        <f>IF($D1297="","",ROUND(IF($J1297="",1,$J1297)*N($K1297),2))</f>
        <v/>
      </c>
      <c r="M1297" s="13" t="n"/>
      <c r="N1297" s="17">
        <f>IF($D1297="","",IF(ISNA(MATCH($D1297,项目名表,0)),"※项目不在项目台账里",IF($F1297="※材料类别没选","※材料类别没选",IF(AND($C1297&lt;&gt;"",ISNA(MATCH($C1297,供应商表,0))),"※供应商不在基础资料里",""))))</f>
        <v/>
      </c>
    </row>
    <row r="1298">
      <c r="A1298" s="17">
        <f>IF($D1298="","",ROW()-3)</f>
        <v/>
      </c>
      <c r="B1298" s="18" t="n"/>
      <c r="C1298" s="13" t="n"/>
      <c r="D1298" s="13" t="n"/>
      <c r="E1298" s="13" t="n"/>
      <c r="F1298" s="17">
        <f>IF($D1298="","",IFERROR(VLOOKUP($E1298,材料归属,2,0),"※材料类别没选"))</f>
        <v/>
      </c>
      <c r="G1298" s="13" t="n"/>
      <c r="H1298" s="13" t="n"/>
      <c r="I1298" s="13" t="n"/>
      <c r="J1298" s="20" t="n"/>
      <c r="K1298" s="14" t="n"/>
      <c r="L1298" s="19">
        <f>IF($D1298="","",ROUND(IF($J1298="",1,$J1298)*N($K1298),2))</f>
        <v/>
      </c>
      <c r="M1298" s="13" t="n"/>
      <c r="N1298" s="17">
        <f>IF($D1298="","",IF(ISNA(MATCH($D1298,项目名表,0)),"※项目不在项目台账里",IF($F1298="※材料类别没选","※材料类别没选",IF(AND($C1298&lt;&gt;"",ISNA(MATCH($C1298,供应商表,0))),"※供应商不在基础资料里",""))))</f>
        <v/>
      </c>
    </row>
    <row r="1299">
      <c r="A1299" s="17">
        <f>IF($D1299="","",ROW()-3)</f>
        <v/>
      </c>
      <c r="B1299" s="18" t="n"/>
      <c r="C1299" s="13" t="n"/>
      <c r="D1299" s="13" t="n"/>
      <c r="E1299" s="13" t="n"/>
      <c r="F1299" s="17">
        <f>IF($D1299="","",IFERROR(VLOOKUP($E1299,材料归属,2,0),"※材料类别没选"))</f>
        <v/>
      </c>
      <c r="G1299" s="13" t="n"/>
      <c r="H1299" s="13" t="n"/>
      <c r="I1299" s="13" t="n"/>
      <c r="J1299" s="20" t="n"/>
      <c r="K1299" s="14" t="n"/>
      <c r="L1299" s="19">
        <f>IF($D1299="","",ROUND(IF($J1299="",1,$J1299)*N($K1299),2))</f>
        <v/>
      </c>
      <c r="M1299" s="13" t="n"/>
      <c r="N1299" s="17">
        <f>IF($D1299="","",IF(ISNA(MATCH($D1299,项目名表,0)),"※项目不在项目台账里",IF($F1299="※材料类别没选","※材料类别没选",IF(AND($C1299&lt;&gt;"",ISNA(MATCH($C1299,供应商表,0))),"※供应商不在基础资料里",""))))</f>
        <v/>
      </c>
    </row>
    <row r="1300">
      <c r="A1300" s="17">
        <f>IF($D1300="","",ROW()-3)</f>
        <v/>
      </c>
      <c r="B1300" s="18" t="n"/>
      <c r="C1300" s="13" t="n"/>
      <c r="D1300" s="13" t="n"/>
      <c r="E1300" s="13" t="n"/>
      <c r="F1300" s="17">
        <f>IF($D1300="","",IFERROR(VLOOKUP($E1300,材料归属,2,0),"※材料类别没选"))</f>
        <v/>
      </c>
      <c r="G1300" s="13" t="n"/>
      <c r="H1300" s="13" t="n"/>
      <c r="I1300" s="13" t="n"/>
      <c r="J1300" s="20" t="n"/>
      <c r="K1300" s="14" t="n"/>
      <c r="L1300" s="19">
        <f>IF($D1300="","",ROUND(IF($J1300="",1,$J1300)*N($K1300),2))</f>
        <v/>
      </c>
      <c r="M1300" s="13" t="n"/>
      <c r="N1300" s="17">
        <f>IF($D1300="","",IF(ISNA(MATCH($D1300,项目名表,0)),"※项目不在项目台账里",IF($F1300="※材料类别没选","※材料类别没选",IF(AND($C1300&lt;&gt;"",ISNA(MATCH($C1300,供应商表,0))),"※供应商不在基础资料里",""))))</f>
        <v/>
      </c>
    </row>
    <row r="1301">
      <c r="A1301" s="17">
        <f>IF($D1301="","",ROW()-3)</f>
        <v/>
      </c>
      <c r="B1301" s="18" t="n"/>
      <c r="C1301" s="13" t="n"/>
      <c r="D1301" s="13" t="n"/>
      <c r="E1301" s="13" t="n"/>
      <c r="F1301" s="17">
        <f>IF($D1301="","",IFERROR(VLOOKUP($E1301,材料归属,2,0),"※材料类别没选"))</f>
        <v/>
      </c>
      <c r="G1301" s="13" t="n"/>
      <c r="H1301" s="13" t="n"/>
      <c r="I1301" s="13" t="n"/>
      <c r="J1301" s="20" t="n"/>
      <c r="K1301" s="14" t="n"/>
      <c r="L1301" s="19">
        <f>IF($D1301="","",ROUND(IF($J1301="",1,$J1301)*N($K1301),2))</f>
        <v/>
      </c>
      <c r="M1301" s="13" t="n"/>
      <c r="N1301" s="17">
        <f>IF($D1301="","",IF(ISNA(MATCH($D1301,项目名表,0)),"※项目不在项目台账里",IF($F1301="※材料类别没选","※材料类别没选",IF(AND($C1301&lt;&gt;"",ISNA(MATCH($C1301,供应商表,0))),"※供应商不在基础资料里",""))))</f>
        <v/>
      </c>
    </row>
    <row r="1302">
      <c r="A1302" s="17">
        <f>IF($D1302="","",ROW()-3)</f>
        <v/>
      </c>
      <c r="B1302" s="18" t="n"/>
      <c r="C1302" s="13" t="n"/>
      <c r="D1302" s="13" t="n"/>
      <c r="E1302" s="13" t="n"/>
      <c r="F1302" s="17">
        <f>IF($D1302="","",IFERROR(VLOOKUP($E1302,材料归属,2,0),"※材料类别没选"))</f>
        <v/>
      </c>
      <c r="G1302" s="13" t="n"/>
      <c r="H1302" s="13" t="n"/>
      <c r="I1302" s="13" t="n"/>
      <c r="J1302" s="20" t="n"/>
      <c r="K1302" s="14" t="n"/>
      <c r="L1302" s="19">
        <f>IF($D1302="","",ROUND(IF($J1302="",1,$J1302)*N($K1302),2))</f>
        <v/>
      </c>
      <c r="M1302" s="13" t="n"/>
      <c r="N1302" s="17">
        <f>IF($D1302="","",IF(ISNA(MATCH($D1302,项目名表,0)),"※项目不在项目台账里",IF($F1302="※材料类别没选","※材料类别没选",IF(AND($C1302&lt;&gt;"",ISNA(MATCH($C1302,供应商表,0))),"※供应商不在基础资料里",""))))</f>
        <v/>
      </c>
    </row>
    <row r="1303">
      <c r="A1303" s="17">
        <f>IF($D1303="","",ROW()-3)</f>
        <v/>
      </c>
      <c r="B1303" s="18" t="n"/>
      <c r="C1303" s="13" t="n"/>
      <c r="D1303" s="13" t="n"/>
      <c r="E1303" s="13" t="n"/>
      <c r="F1303" s="17">
        <f>IF($D1303="","",IFERROR(VLOOKUP($E1303,材料归属,2,0),"※材料类别没选"))</f>
        <v/>
      </c>
      <c r="G1303" s="13" t="n"/>
      <c r="H1303" s="13" t="n"/>
      <c r="I1303" s="13" t="n"/>
      <c r="J1303" s="20" t="n"/>
      <c r="K1303" s="14" t="n"/>
      <c r="L1303" s="19">
        <f>IF($D1303="","",ROUND(IF($J1303="",1,$J1303)*N($K1303),2))</f>
        <v/>
      </c>
      <c r="M1303" s="13" t="n"/>
      <c r="N1303" s="17">
        <f>IF($D1303="","",IF(ISNA(MATCH($D1303,项目名表,0)),"※项目不在项目台账里",IF($F1303="※材料类别没选","※材料类别没选",IF(AND($C1303&lt;&gt;"",ISNA(MATCH($C1303,供应商表,0))),"※供应商不在基础资料里",""))))</f>
        <v/>
      </c>
    </row>
    <row r="1304">
      <c r="A1304" s="17">
        <f>IF($D1304="","",ROW()-3)</f>
        <v/>
      </c>
      <c r="B1304" s="18" t="n"/>
      <c r="C1304" s="13" t="n"/>
      <c r="D1304" s="13" t="n"/>
      <c r="E1304" s="13" t="n"/>
      <c r="F1304" s="17">
        <f>IF($D1304="","",IFERROR(VLOOKUP($E1304,材料归属,2,0),"※材料类别没选"))</f>
        <v/>
      </c>
      <c r="G1304" s="13" t="n"/>
      <c r="H1304" s="13" t="n"/>
      <c r="I1304" s="13" t="n"/>
      <c r="J1304" s="20" t="n"/>
      <c r="K1304" s="14" t="n"/>
      <c r="L1304" s="19">
        <f>IF($D1304="","",ROUND(IF($J1304="",1,$J1304)*N($K1304),2))</f>
        <v/>
      </c>
      <c r="M1304" s="13" t="n"/>
      <c r="N1304" s="17">
        <f>IF($D1304="","",IF(ISNA(MATCH($D1304,项目名表,0)),"※项目不在项目台账里",IF($F1304="※材料类别没选","※材料类别没选",IF(AND($C1304&lt;&gt;"",ISNA(MATCH($C1304,供应商表,0))),"※供应商不在基础资料里",""))))</f>
        <v/>
      </c>
    </row>
    <row r="1305">
      <c r="A1305" s="17">
        <f>IF($D1305="","",ROW()-3)</f>
        <v/>
      </c>
      <c r="B1305" s="18" t="n"/>
      <c r="C1305" s="13" t="n"/>
      <c r="D1305" s="13" t="n"/>
      <c r="E1305" s="13" t="n"/>
      <c r="F1305" s="17">
        <f>IF($D1305="","",IFERROR(VLOOKUP($E1305,材料归属,2,0),"※材料类别没选"))</f>
        <v/>
      </c>
      <c r="G1305" s="13" t="n"/>
      <c r="H1305" s="13" t="n"/>
      <c r="I1305" s="13" t="n"/>
      <c r="J1305" s="20" t="n"/>
      <c r="K1305" s="14" t="n"/>
      <c r="L1305" s="19">
        <f>IF($D1305="","",ROUND(IF($J1305="",1,$J1305)*N($K1305),2))</f>
        <v/>
      </c>
      <c r="M1305" s="13" t="n"/>
      <c r="N1305" s="17">
        <f>IF($D1305="","",IF(ISNA(MATCH($D1305,项目名表,0)),"※项目不在项目台账里",IF($F1305="※材料类别没选","※材料类别没选",IF(AND($C1305&lt;&gt;"",ISNA(MATCH($C1305,供应商表,0))),"※供应商不在基础资料里",""))))</f>
        <v/>
      </c>
    </row>
    <row r="1306">
      <c r="A1306" s="17">
        <f>IF($D1306="","",ROW()-3)</f>
        <v/>
      </c>
      <c r="B1306" s="18" t="n"/>
      <c r="C1306" s="13" t="n"/>
      <c r="D1306" s="13" t="n"/>
      <c r="E1306" s="13" t="n"/>
      <c r="F1306" s="17">
        <f>IF($D1306="","",IFERROR(VLOOKUP($E1306,材料归属,2,0),"※材料类别没选"))</f>
        <v/>
      </c>
      <c r="G1306" s="13" t="n"/>
      <c r="H1306" s="13" t="n"/>
      <c r="I1306" s="13" t="n"/>
      <c r="J1306" s="20" t="n"/>
      <c r="K1306" s="14" t="n"/>
      <c r="L1306" s="19">
        <f>IF($D1306="","",ROUND(IF($J1306="",1,$J1306)*N($K1306),2))</f>
        <v/>
      </c>
      <c r="M1306" s="13" t="n"/>
      <c r="N1306" s="17">
        <f>IF($D1306="","",IF(ISNA(MATCH($D1306,项目名表,0)),"※项目不在项目台账里",IF($F1306="※材料类别没选","※材料类别没选",IF(AND($C1306&lt;&gt;"",ISNA(MATCH($C1306,供应商表,0))),"※供应商不在基础资料里",""))))</f>
        <v/>
      </c>
    </row>
    <row r="1307">
      <c r="A1307" s="17">
        <f>IF($D1307="","",ROW()-3)</f>
        <v/>
      </c>
      <c r="B1307" s="18" t="n"/>
      <c r="C1307" s="13" t="n"/>
      <c r="D1307" s="13" t="n"/>
      <c r="E1307" s="13" t="n"/>
      <c r="F1307" s="17">
        <f>IF($D1307="","",IFERROR(VLOOKUP($E1307,材料归属,2,0),"※材料类别没选"))</f>
        <v/>
      </c>
      <c r="G1307" s="13" t="n"/>
      <c r="H1307" s="13" t="n"/>
      <c r="I1307" s="13" t="n"/>
      <c r="J1307" s="20" t="n"/>
      <c r="K1307" s="14" t="n"/>
      <c r="L1307" s="19">
        <f>IF($D1307="","",ROUND(IF($J1307="",1,$J1307)*N($K1307),2))</f>
        <v/>
      </c>
      <c r="M1307" s="13" t="n"/>
      <c r="N1307" s="17">
        <f>IF($D1307="","",IF(ISNA(MATCH($D1307,项目名表,0)),"※项目不在项目台账里",IF($F1307="※材料类别没选","※材料类别没选",IF(AND($C1307&lt;&gt;"",ISNA(MATCH($C1307,供应商表,0))),"※供应商不在基础资料里",""))))</f>
        <v/>
      </c>
    </row>
    <row r="1308">
      <c r="A1308" s="17">
        <f>IF($D1308="","",ROW()-3)</f>
        <v/>
      </c>
      <c r="B1308" s="18" t="n"/>
      <c r="C1308" s="13" t="n"/>
      <c r="D1308" s="13" t="n"/>
      <c r="E1308" s="13" t="n"/>
      <c r="F1308" s="17">
        <f>IF($D1308="","",IFERROR(VLOOKUP($E1308,材料归属,2,0),"※材料类别没选"))</f>
        <v/>
      </c>
      <c r="G1308" s="13" t="n"/>
      <c r="H1308" s="13" t="n"/>
      <c r="I1308" s="13" t="n"/>
      <c r="J1308" s="20" t="n"/>
      <c r="K1308" s="14" t="n"/>
      <c r="L1308" s="19">
        <f>IF($D1308="","",ROUND(IF($J1308="",1,$J1308)*N($K1308),2))</f>
        <v/>
      </c>
      <c r="M1308" s="13" t="n"/>
      <c r="N1308" s="17">
        <f>IF($D1308="","",IF(ISNA(MATCH($D1308,项目名表,0)),"※项目不在项目台账里",IF($F1308="※材料类别没选","※材料类别没选",IF(AND($C1308&lt;&gt;"",ISNA(MATCH($C1308,供应商表,0))),"※供应商不在基础资料里",""))))</f>
        <v/>
      </c>
    </row>
    <row r="1309">
      <c r="A1309" s="17">
        <f>IF($D1309="","",ROW()-3)</f>
        <v/>
      </c>
      <c r="B1309" s="18" t="n"/>
      <c r="C1309" s="13" t="n"/>
      <c r="D1309" s="13" t="n"/>
      <c r="E1309" s="13" t="n"/>
      <c r="F1309" s="17">
        <f>IF($D1309="","",IFERROR(VLOOKUP($E1309,材料归属,2,0),"※材料类别没选"))</f>
        <v/>
      </c>
      <c r="G1309" s="13" t="n"/>
      <c r="H1309" s="13" t="n"/>
      <c r="I1309" s="13" t="n"/>
      <c r="J1309" s="20" t="n"/>
      <c r="K1309" s="14" t="n"/>
      <c r="L1309" s="19">
        <f>IF($D1309="","",ROUND(IF($J1309="",1,$J1309)*N($K1309),2))</f>
        <v/>
      </c>
      <c r="M1309" s="13" t="n"/>
      <c r="N1309" s="17">
        <f>IF($D1309="","",IF(ISNA(MATCH($D1309,项目名表,0)),"※项目不在项目台账里",IF($F1309="※材料类别没选","※材料类别没选",IF(AND($C1309&lt;&gt;"",ISNA(MATCH($C1309,供应商表,0))),"※供应商不在基础资料里",""))))</f>
        <v/>
      </c>
    </row>
    <row r="1310">
      <c r="A1310" s="17">
        <f>IF($D1310="","",ROW()-3)</f>
        <v/>
      </c>
      <c r="B1310" s="18" t="n"/>
      <c r="C1310" s="13" t="n"/>
      <c r="D1310" s="13" t="n"/>
      <c r="E1310" s="13" t="n"/>
      <c r="F1310" s="17">
        <f>IF($D1310="","",IFERROR(VLOOKUP($E1310,材料归属,2,0),"※材料类别没选"))</f>
        <v/>
      </c>
      <c r="G1310" s="13" t="n"/>
      <c r="H1310" s="13" t="n"/>
      <c r="I1310" s="13" t="n"/>
      <c r="J1310" s="20" t="n"/>
      <c r="K1310" s="14" t="n"/>
      <c r="L1310" s="19">
        <f>IF($D1310="","",ROUND(IF($J1310="",1,$J1310)*N($K1310),2))</f>
        <v/>
      </c>
      <c r="M1310" s="13" t="n"/>
      <c r="N1310" s="17">
        <f>IF($D1310="","",IF(ISNA(MATCH($D1310,项目名表,0)),"※项目不在项目台账里",IF($F1310="※材料类别没选","※材料类别没选",IF(AND($C1310&lt;&gt;"",ISNA(MATCH($C1310,供应商表,0))),"※供应商不在基础资料里",""))))</f>
        <v/>
      </c>
    </row>
    <row r="1311">
      <c r="A1311" s="17">
        <f>IF($D1311="","",ROW()-3)</f>
        <v/>
      </c>
      <c r="B1311" s="18" t="n"/>
      <c r="C1311" s="13" t="n"/>
      <c r="D1311" s="13" t="n"/>
      <c r="E1311" s="13" t="n"/>
      <c r="F1311" s="17">
        <f>IF($D1311="","",IFERROR(VLOOKUP($E1311,材料归属,2,0),"※材料类别没选"))</f>
        <v/>
      </c>
      <c r="G1311" s="13" t="n"/>
      <c r="H1311" s="13" t="n"/>
      <c r="I1311" s="13" t="n"/>
      <c r="J1311" s="20" t="n"/>
      <c r="K1311" s="14" t="n"/>
      <c r="L1311" s="19">
        <f>IF($D1311="","",ROUND(IF($J1311="",1,$J1311)*N($K1311),2))</f>
        <v/>
      </c>
      <c r="M1311" s="13" t="n"/>
      <c r="N1311" s="17">
        <f>IF($D1311="","",IF(ISNA(MATCH($D1311,项目名表,0)),"※项目不在项目台账里",IF($F1311="※材料类别没选","※材料类别没选",IF(AND($C1311&lt;&gt;"",ISNA(MATCH($C1311,供应商表,0))),"※供应商不在基础资料里",""))))</f>
        <v/>
      </c>
    </row>
    <row r="1312">
      <c r="A1312" s="17">
        <f>IF($D1312="","",ROW()-3)</f>
        <v/>
      </c>
      <c r="B1312" s="18" t="n"/>
      <c r="C1312" s="13" t="n"/>
      <c r="D1312" s="13" t="n"/>
      <c r="E1312" s="13" t="n"/>
      <c r="F1312" s="17">
        <f>IF($D1312="","",IFERROR(VLOOKUP($E1312,材料归属,2,0),"※材料类别没选"))</f>
        <v/>
      </c>
      <c r="G1312" s="13" t="n"/>
      <c r="H1312" s="13" t="n"/>
      <c r="I1312" s="13" t="n"/>
      <c r="J1312" s="20" t="n"/>
      <c r="K1312" s="14" t="n"/>
      <c r="L1312" s="19">
        <f>IF($D1312="","",ROUND(IF($J1312="",1,$J1312)*N($K1312),2))</f>
        <v/>
      </c>
      <c r="M1312" s="13" t="n"/>
      <c r="N1312" s="17">
        <f>IF($D1312="","",IF(ISNA(MATCH($D1312,项目名表,0)),"※项目不在项目台账里",IF($F1312="※材料类别没选","※材料类别没选",IF(AND($C1312&lt;&gt;"",ISNA(MATCH($C1312,供应商表,0))),"※供应商不在基础资料里",""))))</f>
        <v/>
      </c>
    </row>
    <row r="1313">
      <c r="A1313" s="17">
        <f>IF($D1313="","",ROW()-3)</f>
        <v/>
      </c>
      <c r="B1313" s="18" t="n"/>
      <c r="C1313" s="13" t="n"/>
      <c r="D1313" s="13" t="n"/>
      <c r="E1313" s="13" t="n"/>
      <c r="F1313" s="17">
        <f>IF($D1313="","",IFERROR(VLOOKUP($E1313,材料归属,2,0),"※材料类别没选"))</f>
        <v/>
      </c>
      <c r="G1313" s="13" t="n"/>
      <c r="H1313" s="13" t="n"/>
      <c r="I1313" s="13" t="n"/>
      <c r="J1313" s="20" t="n"/>
      <c r="K1313" s="14" t="n"/>
      <c r="L1313" s="19">
        <f>IF($D1313="","",ROUND(IF($J1313="",1,$J1313)*N($K1313),2))</f>
        <v/>
      </c>
      <c r="M1313" s="13" t="n"/>
      <c r="N1313" s="17">
        <f>IF($D1313="","",IF(ISNA(MATCH($D1313,项目名表,0)),"※项目不在项目台账里",IF($F1313="※材料类别没选","※材料类别没选",IF(AND($C1313&lt;&gt;"",ISNA(MATCH($C1313,供应商表,0))),"※供应商不在基础资料里",""))))</f>
        <v/>
      </c>
    </row>
    <row r="1314">
      <c r="A1314" s="17">
        <f>IF($D1314="","",ROW()-3)</f>
        <v/>
      </c>
      <c r="B1314" s="18" t="n"/>
      <c r="C1314" s="13" t="n"/>
      <c r="D1314" s="13" t="n"/>
      <c r="E1314" s="13" t="n"/>
      <c r="F1314" s="17">
        <f>IF($D1314="","",IFERROR(VLOOKUP($E1314,材料归属,2,0),"※材料类别没选"))</f>
        <v/>
      </c>
      <c r="G1314" s="13" t="n"/>
      <c r="H1314" s="13" t="n"/>
      <c r="I1314" s="13" t="n"/>
      <c r="J1314" s="20" t="n"/>
      <c r="K1314" s="14" t="n"/>
      <c r="L1314" s="19">
        <f>IF($D1314="","",ROUND(IF($J1314="",1,$J1314)*N($K1314),2))</f>
        <v/>
      </c>
      <c r="M1314" s="13" t="n"/>
      <c r="N1314" s="17">
        <f>IF($D1314="","",IF(ISNA(MATCH($D1314,项目名表,0)),"※项目不在项目台账里",IF($F1314="※材料类别没选","※材料类别没选",IF(AND($C1314&lt;&gt;"",ISNA(MATCH($C1314,供应商表,0))),"※供应商不在基础资料里",""))))</f>
        <v/>
      </c>
    </row>
    <row r="1315">
      <c r="A1315" s="17">
        <f>IF($D1315="","",ROW()-3)</f>
        <v/>
      </c>
      <c r="B1315" s="18" t="n"/>
      <c r="C1315" s="13" t="n"/>
      <c r="D1315" s="13" t="n"/>
      <c r="E1315" s="13" t="n"/>
      <c r="F1315" s="17">
        <f>IF($D1315="","",IFERROR(VLOOKUP($E1315,材料归属,2,0),"※材料类别没选"))</f>
        <v/>
      </c>
      <c r="G1315" s="13" t="n"/>
      <c r="H1315" s="13" t="n"/>
      <c r="I1315" s="13" t="n"/>
      <c r="J1315" s="20" t="n"/>
      <c r="K1315" s="14" t="n"/>
      <c r="L1315" s="19">
        <f>IF($D1315="","",ROUND(IF($J1315="",1,$J1315)*N($K1315),2))</f>
        <v/>
      </c>
      <c r="M1315" s="13" t="n"/>
      <c r="N1315" s="17">
        <f>IF($D1315="","",IF(ISNA(MATCH($D1315,项目名表,0)),"※项目不在项目台账里",IF($F1315="※材料类别没选","※材料类别没选",IF(AND($C1315&lt;&gt;"",ISNA(MATCH($C1315,供应商表,0))),"※供应商不在基础资料里",""))))</f>
        <v/>
      </c>
    </row>
    <row r="1316">
      <c r="A1316" s="17">
        <f>IF($D1316="","",ROW()-3)</f>
        <v/>
      </c>
      <c r="B1316" s="18" t="n"/>
      <c r="C1316" s="13" t="n"/>
      <c r="D1316" s="13" t="n"/>
      <c r="E1316" s="13" t="n"/>
      <c r="F1316" s="17">
        <f>IF($D1316="","",IFERROR(VLOOKUP($E1316,材料归属,2,0),"※材料类别没选"))</f>
        <v/>
      </c>
      <c r="G1316" s="13" t="n"/>
      <c r="H1316" s="13" t="n"/>
      <c r="I1316" s="13" t="n"/>
      <c r="J1316" s="20" t="n"/>
      <c r="K1316" s="14" t="n"/>
      <c r="L1316" s="19">
        <f>IF($D1316="","",ROUND(IF($J1316="",1,$J1316)*N($K1316),2))</f>
        <v/>
      </c>
      <c r="M1316" s="13" t="n"/>
      <c r="N1316" s="17">
        <f>IF($D1316="","",IF(ISNA(MATCH($D1316,项目名表,0)),"※项目不在项目台账里",IF($F1316="※材料类别没选","※材料类别没选",IF(AND($C1316&lt;&gt;"",ISNA(MATCH($C1316,供应商表,0))),"※供应商不在基础资料里",""))))</f>
        <v/>
      </c>
    </row>
    <row r="1317">
      <c r="A1317" s="17">
        <f>IF($D1317="","",ROW()-3)</f>
        <v/>
      </c>
      <c r="B1317" s="18" t="n"/>
      <c r="C1317" s="13" t="n"/>
      <c r="D1317" s="13" t="n"/>
      <c r="E1317" s="13" t="n"/>
      <c r="F1317" s="17">
        <f>IF($D1317="","",IFERROR(VLOOKUP($E1317,材料归属,2,0),"※材料类别没选"))</f>
        <v/>
      </c>
      <c r="G1317" s="13" t="n"/>
      <c r="H1317" s="13" t="n"/>
      <c r="I1317" s="13" t="n"/>
      <c r="J1317" s="20" t="n"/>
      <c r="K1317" s="14" t="n"/>
      <c r="L1317" s="19">
        <f>IF($D1317="","",ROUND(IF($J1317="",1,$J1317)*N($K1317),2))</f>
        <v/>
      </c>
      <c r="M1317" s="13" t="n"/>
      <c r="N1317" s="17">
        <f>IF($D1317="","",IF(ISNA(MATCH($D1317,项目名表,0)),"※项目不在项目台账里",IF($F1317="※材料类别没选","※材料类别没选",IF(AND($C1317&lt;&gt;"",ISNA(MATCH($C1317,供应商表,0))),"※供应商不在基础资料里",""))))</f>
        <v/>
      </c>
    </row>
    <row r="1318">
      <c r="A1318" s="17">
        <f>IF($D1318="","",ROW()-3)</f>
        <v/>
      </c>
      <c r="B1318" s="18" t="n"/>
      <c r="C1318" s="13" t="n"/>
      <c r="D1318" s="13" t="n"/>
      <c r="E1318" s="13" t="n"/>
      <c r="F1318" s="17">
        <f>IF($D1318="","",IFERROR(VLOOKUP($E1318,材料归属,2,0),"※材料类别没选"))</f>
        <v/>
      </c>
      <c r="G1318" s="13" t="n"/>
      <c r="H1318" s="13" t="n"/>
      <c r="I1318" s="13" t="n"/>
      <c r="J1318" s="20" t="n"/>
      <c r="K1318" s="14" t="n"/>
      <c r="L1318" s="19">
        <f>IF($D1318="","",ROUND(IF($J1318="",1,$J1318)*N($K1318),2))</f>
        <v/>
      </c>
      <c r="M1318" s="13" t="n"/>
      <c r="N1318" s="17">
        <f>IF($D1318="","",IF(ISNA(MATCH($D1318,项目名表,0)),"※项目不在项目台账里",IF($F1318="※材料类别没选","※材料类别没选",IF(AND($C1318&lt;&gt;"",ISNA(MATCH($C1318,供应商表,0))),"※供应商不在基础资料里",""))))</f>
        <v/>
      </c>
    </row>
    <row r="1319">
      <c r="A1319" s="17">
        <f>IF($D1319="","",ROW()-3)</f>
        <v/>
      </c>
      <c r="B1319" s="18" t="n"/>
      <c r="C1319" s="13" t="n"/>
      <c r="D1319" s="13" t="n"/>
      <c r="E1319" s="13" t="n"/>
      <c r="F1319" s="17">
        <f>IF($D1319="","",IFERROR(VLOOKUP($E1319,材料归属,2,0),"※材料类别没选"))</f>
        <v/>
      </c>
      <c r="G1319" s="13" t="n"/>
      <c r="H1319" s="13" t="n"/>
      <c r="I1319" s="13" t="n"/>
      <c r="J1319" s="20" t="n"/>
      <c r="K1319" s="14" t="n"/>
      <c r="L1319" s="19">
        <f>IF($D1319="","",ROUND(IF($J1319="",1,$J1319)*N($K1319),2))</f>
        <v/>
      </c>
      <c r="M1319" s="13" t="n"/>
      <c r="N1319" s="17">
        <f>IF($D1319="","",IF(ISNA(MATCH($D1319,项目名表,0)),"※项目不在项目台账里",IF($F1319="※材料类别没选","※材料类别没选",IF(AND($C1319&lt;&gt;"",ISNA(MATCH($C1319,供应商表,0))),"※供应商不在基础资料里",""))))</f>
        <v/>
      </c>
    </row>
    <row r="1320">
      <c r="A1320" s="17">
        <f>IF($D1320="","",ROW()-3)</f>
        <v/>
      </c>
      <c r="B1320" s="18" t="n"/>
      <c r="C1320" s="13" t="n"/>
      <c r="D1320" s="13" t="n"/>
      <c r="E1320" s="13" t="n"/>
      <c r="F1320" s="17">
        <f>IF($D1320="","",IFERROR(VLOOKUP($E1320,材料归属,2,0),"※材料类别没选"))</f>
        <v/>
      </c>
      <c r="G1320" s="13" t="n"/>
      <c r="H1320" s="13" t="n"/>
      <c r="I1320" s="13" t="n"/>
      <c r="J1320" s="20" t="n"/>
      <c r="K1320" s="14" t="n"/>
      <c r="L1320" s="19">
        <f>IF($D1320="","",ROUND(IF($J1320="",1,$J1320)*N($K1320),2))</f>
        <v/>
      </c>
      <c r="M1320" s="13" t="n"/>
      <c r="N1320" s="17">
        <f>IF($D1320="","",IF(ISNA(MATCH($D1320,项目名表,0)),"※项目不在项目台账里",IF($F1320="※材料类别没选","※材料类别没选",IF(AND($C1320&lt;&gt;"",ISNA(MATCH($C1320,供应商表,0))),"※供应商不在基础资料里",""))))</f>
        <v/>
      </c>
    </row>
    <row r="1321">
      <c r="A1321" s="17">
        <f>IF($D1321="","",ROW()-3)</f>
        <v/>
      </c>
      <c r="B1321" s="18" t="n"/>
      <c r="C1321" s="13" t="n"/>
      <c r="D1321" s="13" t="n"/>
      <c r="E1321" s="13" t="n"/>
      <c r="F1321" s="17">
        <f>IF($D1321="","",IFERROR(VLOOKUP($E1321,材料归属,2,0),"※材料类别没选"))</f>
        <v/>
      </c>
      <c r="G1321" s="13" t="n"/>
      <c r="H1321" s="13" t="n"/>
      <c r="I1321" s="13" t="n"/>
      <c r="J1321" s="20" t="n"/>
      <c r="K1321" s="14" t="n"/>
      <c r="L1321" s="19">
        <f>IF($D1321="","",ROUND(IF($J1321="",1,$J1321)*N($K1321),2))</f>
        <v/>
      </c>
      <c r="M1321" s="13" t="n"/>
      <c r="N1321" s="17">
        <f>IF($D1321="","",IF(ISNA(MATCH($D1321,项目名表,0)),"※项目不在项目台账里",IF($F1321="※材料类别没选","※材料类别没选",IF(AND($C1321&lt;&gt;"",ISNA(MATCH($C1321,供应商表,0))),"※供应商不在基础资料里",""))))</f>
        <v/>
      </c>
    </row>
    <row r="1322">
      <c r="A1322" s="17">
        <f>IF($D1322="","",ROW()-3)</f>
        <v/>
      </c>
      <c r="B1322" s="18" t="n"/>
      <c r="C1322" s="13" t="n"/>
      <c r="D1322" s="13" t="n"/>
      <c r="E1322" s="13" t="n"/>
      <c r="F1322" s="17">
        <f>IF($D1322="","",IFERROR(VLOOKUP($E1322,材料归属,2,0),"※材料类别没选"))</f>
        <v/>
      </c>
      <c r="G1322" s="13" t="n"/>
      <c r="H1322" s="13" t="n"/>
      <c r="I1322" s="13" t="n"/>
      <c r="J1322" s="20" t="n"/>
      <c r="K1322" s="14" t="n"/>
      <c r="L1322" s="19">
        <f>IF($D1322="","",ROUND(IF($J1322="",1,$J1322)*N($K1322),2))</f>
        <v/>
      </c>
      <c r="M1322" s="13" t="n"/>
      <c r="N1322" s="17">
        <f>IF($D1322="","",IF(ISNA(MATCH($D1322,项目名表,0)),"※项目不在项目台账里",IF($F1322="※材料类别没选","※材料类别没选",IF(AND($C1322&lt;&gt;"",ISNA(MATCH($C1322,供应商表,0))),"※供应商不在基础资料里",""))))</f>
        <v/>
      </c>
    </row>
    <row r="1323">
      <c r="A1323" s="17">
        <f>IF($D1323="","",ROW()-3)</f>
        <v/>
      </c>
      <c r="B1323" s="18" t="n"/>
      <c r="C1323" s="13" t="n"/>
      <c r="D1323" s="13" t="n"/>
      <c r="E1323" s="13" t="n"/>
      <c r="F1323" s="17">
        <f>IF($D1323="","",IFERROR(VLOOKUP($E1323,材料归属,2,0),"※材料类别没选"))</f>
        <v/>
      </c>
      <c r="G1323" s="13" t="n"/>
      <c r="H1323" s="13" t="n"/>
      <c r="I1323" s="13" t="n"/>
      <c r="J1323" s="20" t="n"/>
      <c r="K1323" s="14" t="n"/>
      <c r="L1323" s="19">
        <f>IF($D1323="","",ROUND(IF($J1323="",1,$J1323)*N($K1323),2))</f>
        <v/>
      </c>
      <c r="M1323" s="13" t="n"/>
      <c r="N1323" s="17">
        <f>IF($D1323="","",IF(ISNA(MATCH($D1323,项目名表,0)),"※项目不在项目台账里",IF($F1323="※材料类别没选","※材料类别没选",IF(AND($C1323&lt;&gt;"",ISNA(MATCH($C1323,供应商表,0))),"※供应商不在基础资料里",""))))</f>
        <v/>
      </c>
    </row>
    <row r="1324">
      <c r="A1324" s="17">
        <f>IF($D1324="","",ROW()-3)</f>
        <v/>
      </c>
      <c r="B1324" s="18" t="n"/>
      <c r="C1324" s="13" t="n"/>
      <c r="D1324" s="13" t="n"/>
      <c r="E1324" s="13" t="n"/>
      <c r="F1324" s="17">
        <f>IF($D1324="","",IFERROR(VLOOKUP($E1324,材料归属,2,0),"※材料类别没选"))</f>
        <v/>
      </c>
      <c r="G1324" s="13" t="n"/>
      <c r="H1324" s="13" t="n"/>
      <c r="I1324" s="13" t="n"/>
      <c r="J1324" s="20" t="n"/>
      <c r="K1324" s="14" t="n"/>
      <c r="L1324" s="19">
        <f>IF($D1324="","",ROUND(IF($J1324="",1,$J1324)*N($K1324),2))</f>
        <v/>
      </c>
      <c r="M1324" s="13" t="n"/>
      <c r="N1324" s="17">
        <f>IF($D1324="","",IF(ISNA(MATCH($D1324,项目名表,0)),"※项目不在项目台账里",IF($F1324="※材料类别没选","※材料类别没选",IF(AND($C1324&lt;&gt;"",ISNA(MATCH($C1324,供应商表,0))),"※供应商不在基础资料里",""))))</f>
        <v/>
      </c>
    </row>
    <row r="1325">
      <c r="A1325" s="17">
        <f>IF($D1325="","",ROW()-3)</f>
        <v/>
      </c>
      <c r="B1325" s="18" t="n"/>
      <c r="C1325" s="13" t="n"/>
      <c r="D1325" s="13" t="n"/>
      <c r="E1325" s="13" t="n"/>
      <c r="F1325" s="17">
        <f>IF($D1325="","",IFERROR(VLOOKUP($E1325,材料归属,2,0),"※材料类别没选"))</f>
        <v/>
      </c>
      <c r="G1325" s="13" t="n"/>
      <c r="H1325" s="13" t="n"/>
      <c r="I1325" s="13" t="n"/>
      <c r="J1325" s="20" t="n"/>
      <c r="K1325" s="14" t="n"/>
      <c r="L1325" s="19">
        <f>IF($D1325="","",ROUND(IF($J1325="",1,$J1325)*N($K1325),2))</f>
        <v/>
      </c>
      <c r="M1325" s="13" t="n"/>
      <c r="N1325" s="17">
        <f>IF($D1325="","",IF(ISNA(MATCH($D1325,项目名表,0)),"※项目不在项目台账里",IF($F1325="※材料类别没选","※材料类别没选",IF(AND($C1325&lt;&gt;"",ISNA(MATCH($C1325,供应商表,0))),"※供应商不在基础资料里",""))))</f>
        <v/>
      </c>
    </row>
    <row r="1326">
      <c r="A1326" s="17">
        <f>IF($D1326="","",ROW()-3)</f>
        <v/>
      </c>
      <c r="B1326" s="18" t="n"/>
      <c r="C1326" s="13" t="n"/>
      <c r="D1326" s="13" t="n"/>
      <c r="E1326" s="13" t="n"/>
      <c r="F1326" s="17">
        <f>IF($D1326="","",IFERROR(VLOOKUP($E1326,材料归属,2,0),"※材料类别没选"))</f>
        <v/>
      </c>
      <c r="G1326" s="13" t="n"/>
      <c r="H1326" s="13" t="n"/>
      <c r="I1326" s="13" t="n"/>
      <c r="J1326" s="20" t="n"/>
      <c r="K1326" s="14" t="n"/>
      <c r="L1326" s="19">
        <f>IF($D1326="","",ROUND(IF($J1326="",1,$J1326)*N($K1326),2))</f>
        <v/>
      </c>
      <c r="M1326" s="13" t="n"/>
      <c r="N1326" s="17">
        <f>IF($D1326="","",IF(ISNA(MATCH($D1326,项目名表,0)),"※项目不在项目台账里",IF($F1326="※材料类别没选","※材料类别没选",IF(AND($C1326&lt;&gt;"",ISNA(MATCH($C1326,供应商表,0))),"※供应商不在基础资料里",""))))</f>
        <v/>
      </c>
    </row>
    <row r="1327">
      <c r="A1327" s="17">
        <f>IF($D1327="","",ROW()-3)</f>
        <v/>
      </c>
      <c r="B1327" s="18" t="n"/>
      <c r="C1327" s="13" t="n"/>
      <c r="D1327" s="13" t="n"/>
      <c r="E1327" s="13" t="n"/>
      <c r="F1327" s="17">
        <f>IF($D1327="","",IFERROR(VLOOKUP($E1327,材料归属,2,0),"※材料类别没选"))</f>
        <v/>
      </c>
      <c r="G1327" s="13" t="n"/>
      <c r="H1327" s="13" t="n"/>
      <c r="I1327" s="13" t="n"/>
      <c r="J1327" s="20" t="n"/>
      <c r="K1327" s="14" t="n"/>
      <c r="L1327" s="19">
        <f>IF($D1327="","",ROUND(IF($J1327="",1,$J1327)*N($K1327),2))</f>
        <v/>
      </c>
      <c r="M1327" s="13" t="n"/>
      <c r="N1327" s="17">
        <f>IF($D1327="","",IF(ISNA(MATCH($D1327,项目名表,0)),"※项目不在项目台账里",IF($F1327="※材料类别没选","※材料类别没选",IF(AND($C1327&lt;&gt;"",ISNA(MATCH($C1327,供应商表,0))),"※供应商不在基础资料里",""))))</f>
        <v/>
      </c>
    </row>
    <row r="1328">
      <c r="A1328" s="17">
        <f>IF($D1328="","",ROW()-3)</f>
        <v/>
      </c>
      <c r="B1328" s="18" t="n"/>
      <c r="C1328" s="13" t="n"/>
      <c r="D1328" s="13" t="n"/>
      <c r="E1328" s="13" t="n"/>
      <c r="F1328" s="17">
        <f>IF($D1328="","",IFERROR(VLOOKUP($E1328,材料归属,2,0),"※材料类别没选"))</f>
        <v/>
      </c>
      <c r="G1328" s="13" t="n"/>
      <c r="H1328" s="13" t="n"/>
      <c r="I1328" s="13" t="n"/>
      <c r="J1328" s="20" t="n"/>
      <c r="K1328" s="14" t="n"/>
      <c r="L1328" s="19">
        <f>IF($D1328="","",ROUND(IF($J1328="",1,$J1328)*N($K1328),2))</f>
        <v/>
      </c>
      <c r="M1328" s="13" t="n"/>
      <c r="N1328" s="17">
        <f>IF($D1328="","",IF(ISNA(MATCH($D1328,项目名表,0)),"※项目不在项目台账里",IF($F1328="※材料类别没选","※材料类别没选",IF(AND($C1328&lt;&gt;"",ISNA(MATCH($C1328,供应商表,0))),"※供应商不在基础资料里",""))))</f>
        <v/>
      </c>
    </row>
    <row r="1329">
      <c r="A1329" s="17">
        <f>IF($D1329="","",ROW()-3)</f>
        <v/>
      </c>
      <c r="B1329" s="18" t="n"/>
      <c r="C1329" s="13" t="n"/>
      <c r="D1329" s="13" t="n"/>
      <c r="E1329" s="13" t="n"/>
      <c r="F1329" s="17">
        <f>IF($D1329="","",IFERROR(VLOOKUP($E1329,材料归属,2,0),"※材料类别没选"))</f>
        <v/>
      </c>
      <c r="G1329" s="13" t="n"/>
      <c r="H1329" s="13" t="n"/>
      <c r="I1329" s="13" t="n"/>
      <c r="J1329" s="20" t="n"/>
      <c r="K1329" s="14" t="n"/>
      <c r="L1329" s="19">
        <f>IF($D1329="","",ROUND(IF($J1329="",1,$J1329)*N($K1329),2))</f>
        <v/>
      </c>
      <c r="M1329" s="13" t="n"/>
      <c r="N1329" s="17">
        <f>IF($D1329="","",IF(ISNA(MATCH($D1329,项目名表,0)),"※项目不在项目台账里",IF($F1329="※材料类别没选","※材料类别没选",IF(AND($C1329&lt;&gt;"",ISNA(MATCH($C1329,供应商表,0))),"※供应商不在基础资料里",""))))</f>
        <v/>
      </c>
    </row>
    <row r="1330">
      <c r="A1330" s="17">
        <f>IF($D1330="","",ROW()-3)</f>
        <v/>
      </c>
      <c r="B1330" s="18" t="n"/>
      <c r="C1330" s="13" t="n"/>
      <c r="D1330" s="13" t="n"/>
      <c r="E1330" s="13" t="n"/>
      <c r="F1330" s="17">
        <f>IF($D1330="","",IFERROR(VLOOKUP($E1330,材料归属,2,0),"※材料类别没选"))</f>
        <v/>
      </c>
      <c r="G1330" s="13" t="n"/>
      <c r="H1330" s="13" t="n"/>
      <c r="I1330" s="13" t="n"/>
      <c r="J1330" s="20" t="n"/>
      <c r="K1330" s="14" t="n"/>
      <c r="L1330" s="19">
        <f>IF($D1330="","",ROUND(IF($J1330="",1,$J1330)*N($K1330),2))</f>
        <v/>
      </c>
      <c r="M1330" s="13" t="n"/>
      <c r="N1330" s="17">
        <f>IF($D1330="","",IF(ISNA(MATCH($D1330,项目名表,0)),"※项目不在项目台账里",IF($F1330="※材料类别没选","※材料类别没选",IF(AND($C1330&lt;&gt;"",ISNA(MATCH($C1330,供应商表,0))),"※供应商不在基础资料里",""))))</f>
        <v/>
      </c>
    </row>
    <row r="1331">
      <c r="A1331" s="17">
        <f>IF($D1331="","",ROW()-3)</f>
        <v/>
      </c>
      <c r="B1331" s="18" t="n"/>
      <c r="C1331" s="13" t="n"/>
      <c r="D1331" s="13" t="n"/>
      <c r="E1331" s="13" t="n"/>
      <c r="F1331" s="17">
        <f>IF($D1331="","",IFERROR(VLOOKUP($E1331,材料归属,2,0),"※材料类别没选"))</f>
        <v/>
      </c>
      <c r="G1331" s="13" t="n"/>
      <c r="H1331" s="13" t="n"/>
      <c r="I1331" s="13" t="n"/>
      <c r="J1331" s="20" t="n"/>
      <c r="K1331" s="14" t="n"/>
      <c r="L1331" s="19">
        <f>IF($D1331="","",ROUND(IF($J1331="",1,$J1331)*N($K1331),2))</f>
        <v/>
      </c>
      <c r="M1331" s="13" t="n"/>
      <c r="N1331" s="17">
        <f>IF($D1331="","",IF(ISNA(MATCH($D1331,项目名表,0)),"※项目不在项目台账里",IF($F1331="※材料类别没选","※材料类别没选",IF(AND($C1331&lt;&gt;"",ISNA(MATCH($C1331,供应商表,0))),"※供应商不在基础资料里",""))))</f>
        <v/>
      </c>
    </row>
    <row r="1332">
      <c r="A1332" s="17">
        <f>IF($D1332="","",ROW()-3)</f>
        <v/>
      </c>
      <c r="B1332" s="18" t="n"/>
      <c r="C1332" s="13" t="n"/>
      <c r="D1332" s="13" t="n"/>
      <c r="E1332" s="13" t="n"/>
      <c r="F1332" s="17">
        <f>IF($D1332="","",IFERROR(VLOOKUP($E1332,材料归属,2,0),"※材料类别没选"))</f>
        <v/>
      </c>
      <c r="G1332" s="13" t="n"/>
      <c r="H1332" s="13" t="n"/>
      <c r="I1332" s="13" t="n"/>
      <c r="J1332" s="20" t="n"/>
      <c r="K1332" s="14" t="n"/>
      <c r="L1332" s="19">
        <f>IF($D1332="","",ROUND(IF($J1332="",1,$J1332)*N($K1332),2))</f>
        <v/>
      </c>
      <c r="M1332" s="13" t="n"/>
      <c r="N1332" s="17">
        <f>IF($D1332="","",IF(ISNA(MATCH($D1332,项目名表,0)),"※项目不在项目台账里",IF($F1332="※材料类别没选","※材料类别没选",IF(AND($C1332&lt;&gt;"",ISNA(MATCH($C1332,供应商表,0))),"※供应商不在基础资料里",""))))</f>
        <v/>
      </c>
    </row>
    <row r="1333">
      <c r="A1333" s="17">
        <f>IF($D1333="","",ROW()-3)</f>
        <v/>
      </c>
      <c r="B1333" s="18" t="n"/>
      <c r="C1333" s="13" t="n"/>
      <c r="D1333" s="13" t="n"/>
      <c r="E1333" s="13" t="n"/>
      <c r="F1333" s="17">
        <f>IF($D1333="","",IFERROR(VLOOKUP($E1333,材料归属,2,0),"※材料类别没选"))</f>
        <v/>
      </c>
      <c r="G1333" s="13" t="n"/>
      <c r="H1333" s="13" t="n"/>
      <c r="I1333" s="13" t="n"/>
      <c r="J1333" s="20" t="n"/>
      <c r="K1333" s="14" t="n"/>
      <c r="L1333" s="19">
        <f>IF($D1333="","",ROUND(IF($J1333="",1,$J1333)*N($K1333),2))</f>
        <v/>
      </c>
      <c r="M1333" s="13" t="n"/>
      <c r="N1333" s="17">
        <f>IF($D1333="","",IF(ISNA(MATCH($D1333,项目名表,0)),"※项目不在项目台账里",IF($F1333="※材料类别没选","※材料类别没选",IF(AND($C1333&lt;&gt;"",ISNA(MATCH($C1333,供应商表,0))),"※供应商不在基础资料里",""))))</f>
        <v/>
      </c>
    </row>
    <row r="1334">
      <c r="A1334" s="17">
        <f>IF($D1334="","",ROW()-3)</f>
        <v/>
      </c>
      <c r="B1334" s="18" t="n"/>
      <c r="C1334" s="13" t="n"/>
      <c r="D1334" s="13" t="n"/>
      <c r="E1334" s="13" t="n"/>
      <c r="F1334" s="17">
        <f>IF($D1334="","",IFERROR(VLOOKUP($E1334,材料归属,2,0),"※材料类别没选"))</f>
        <v/>
      </c>
      <c r="G1334" s="13" t="n"/>
      <c r="H1334" s="13" t="n"/>
      <c r="I1334" s="13" t="n"/>
      <c r="J1334" s="20" t="n"/>
      <c r="K1334" s="14" t="n"/>
      <c r="L1334" s="19">
        <f>IF($D1334="","",ROUND(IF($J1334="",1,$J1334)*N($K1334),2))</f>
        <v/>
      </c>
      <c r="M1334" s="13" t="n"/>
      <c r="N1334" s="17">
        <f>IF($D1334="","",IF(ISNA(MATCH($D1334,项目名表,0)),"※项目不在项目台账里",IF($F1334="※材料类别没选","※材料类别没选",IF(AND($C1334&lt;&gt;"",ISNA(MATCH($C1334,供应商表,0))),"※供应商不在基础资料里",""))))</f>
        <v/>
      </c>
    </row>
    <row r="1335">
      <c r="A1335" s="17">
        <f>IF($D1335="","",ROW()-3)</f>
        <v/>
      </c>
      <c r="B1335" s="18" t="n"/>
      <c r="C1335" s="13" t="n"/>
      <c r="D1335" s="13" t="n"/>
      <c r="E1335" s="13" t="n"/>
      <c r="F1335" s="17">
        <f>IF($D1335="","",IFERROR(VLOOKUP($E1335,材料归属,2,0),"※材料类别没选"))</f>
        <v/>
      </c>
      <c r="G1335" s="13" t="n"/>
      <c r="H1335" s="13" t="n"/>
      <c r="I1335" s="13" t="n"/>
      <c r="J1335" s="20" t="n"/>
      <c r="K1335" s="14" t="n"/>
      <c r="L1335" s="19">
        <f>IF($D1335="","",ROUND(IF($J1335="",1,$J1335)*N($K1335),2))</f>
        <v/>
      </c>
      <c r="M1335" s="13" t="n"/>
      <c r="N1335" s="17">
        <f>IF($D1335="","",IF(ISNA(MATCH($D1335,项目名表,0)),"※项目不在项目台账里",IF($F1335="※材料类别没选","※材料类别没选",IF(AND($C1335&lt;&gt;"",ISNA(MATCH($C1335,供应商表,0))),"※供应商不在基础资料里",""))))</f>
        <v/>
      </c>
    </row>
    <row r="1336">
      <c r="A1336" s="17">
        <f>IF($D1336="","",ROW()-3)</f>
        <v/>
      </c>
      <c r="B1336" s="18" t="n"/>
      <c r="C1336" s="13" t="n"/>
      <c r="D1336" s="13" t="n"/>
      <c r="E1336" s="13" t="n"/>
      <c r="F1336" s="17">
        <f>IF($D1336="","",IFERROR(VLOOKUP($E1336,材料归属,2,0),"※材料类别没选"))</f>
        <v/>
      </c>
      <c r="G1336" s="13" t="n"/>
      <c r="H1336" s="13" t="n"/>
      <c r="I1336" s="13" t="n"/>
      <c r="J1336" s="20" t="n"/>
      <c r="K1336" s="14" t="n"/>
      <c r="L1336" s="19">
        <f>IF($D1336="","",ROUND(IF($J1336="",1,$J1336)*N($K1336),2))</f>
        <v/>
      </c>
      <c r="M1336" s="13" t="n"/>
      <c r="N1336" s="17">
        <f>IF($D1336="","",IF(ISNA(MATCH($D1336,项目名表,0)),"※项目不在项目台账里",IF($F1336="※材料类别没选","※材料类别没选",IF(AND($C1336&lt;&gt;"",ISNA(MATCH($C1336,供应商表,0))),"※供应商不在基础资料里",""))))</f>
        <v/>
      </c>
    </row>
    <row r="1337">
      <c r="A1337" s="17">
        <f>IF($D1337="","",ROW()-3)</f>
        <v/>
      </c>
      <c r="B1337" s="18" t="n"/>
      <c r="C1337" s="13" t="n"/>
      <c r="D1337" s="13" t="n"/>
      <c r="E1337" s="13" t="n"/>
      <c r="F1337" s="17">
        <f>IF($D1337="","",IFERROR(VLOOKUP($E1337,材料归属,2,0),"※材料类别没选"))</f>
        <v/>
      </c>
      <c r="G1337" s="13" t="n"/>
      <c r="H1337" s="13" t="n"/>
      <c r="I1337" s="13" t="n"/>
      <c r="J1337" s="20" t="n"/>
      <c r="K1337" s="14" t="n"/>
      <c r="L1337" s="19">
        <f>IF($D1337="","",ROUND(IF($J1337="",1,$J1337)*N($K1337),2))</f>
        <v/>
      </c>
      <c r="M1337" s="13" t="n"/>
      <c r="N1337" s="17">
        <f>IF($D1337="","",IF(ISNA(MATCH($D1337,项目名表,0)),"※项目不在项目台账里",IF($F1337="※材料类别没选","※材料类别没选",IF(AND($C1337&lt;&gt;"",ISNA(MATCH($C1337,供应商表,0))),"※供应商不在基础资料里",""))))</f>
        <v/>
      </c>
    </row>
    <row r="1338">
      <c r="A1338" s="17">
        <f>IF($D1338="","",ROW()-3)</f>
        <v/>
      </c>
      <c r="B1338" s="18" t="n"/>
      <c r="C1338" s="13" t="n"/>
      <c r="D1338" s="13" t="n"/>
      <c r="E1338" s="13" t="n"/>
      <c r="F1338" s="17">
        <f>IF($D1338="","",IFERROR(VLOOKUP($E1338,材料归属,2,0),"※材料类别没选"))</f>
        <v/>
      </c>
      <c r="G1338" s="13" t="n"/>
      <c r="H1338" s="13" t="n"/>
      <c r="I1338" s="13" t="n"/>
      <c r="J1338" s="20" t="n"/>
      <c r="K1338" s="14" t="n"/>
      <c r="L1338" s="19">
        <f>IF($D1338="","",ROUND(IF($J1338="",1,$J1338)*N($K1338),2))</f>
        <v/>
      </c>
      <c r="M1338" s="13" t="n"/>
      <c r="N1338" s="17">
        <f>IF($D1338="","",IF(ISNA(MATCH($D1338,项目名表,0)),"※项目不在项目台账里",IF($F1338="※材料类别没选","※材料类别没选",IF(AND($C1338&lt;&gt;"",ISNA(MATCH($C1338,供应商表,0))),"※供应商不在基础资料里",""))))</f>
        <v/>
      </c>
    </row>
    <row r="1339">
      <c r="A1339" s="17">
        <f>IF($D1339="","",ROW()-3)</f>
        <v/>
      </c>
      <c r="B1339" s="18" t="n"/>
      <c r="C1339" s="13" t="n"/>
      <c r="D1339" s="13" t="n"/>
      <c r="E1339" s="13" t="n"/>
      <c r="F1339" s="17">
        <f>IF($D1339="","",IFERROR(VLOOKUP($E1339,材料归属,2,0),"※材料类别没选"))</f>
        <v/>
      </c>
      <c r="G1339" s="13" t="n"/>
      <c r="H1339" s="13" t="n"/>
      <c r="I1339" s="13" t="n"/>
      <c r="J1339" s="20" t="n"/>
      <c r="K1339" s="14" t="n"/>
      <c r="L1339" s="19">
        <f>IF($D1339="","",ROUND(IF($J1339="",1,$J1339)*N($K1339),2))</f>
        <v/>
      </c>
      <c r="M1339" s="13" t="n"/>
      <c r="N1339" s="17">
        <f>IF($D1339="","",IF(ISNA(MATCH($D1339,项目名表,0)),"※项目不在项目台账里",IF($F1339="※材料类别没选","※材料类别没选",IF(AND($C1339&lt;&gt;"",ISNA(MATCH($C1339,供应商表,0))),"※供应商不在基础资料里",""))))</f>
        <v/>
      </c>
    </row>
    <row r="1340">
      <c r="A1340" s="17">
        <f>IF($D1340="","",ROW()-3)</f>
        <v/>
      </c>
      <c r="B1340" s="18" t="n"/>
      <c r="C1340" s="13" t="n"/>
      <c r="D1340" s="13" t="n"/>
      <c r="E1340" s="13" t="n"/>
      <c r="F1340" s="17">
        <f>IF($D1340="","",IFERROR(VLOOKUP($E1340,材料归属,2,0),"※材料类别没选"))</f>
        <v/>
      </c>
      <c r="G1340" s="13" t="n"/>
      <c r="H1340" s="13" t="n"/>
      <c r="I1340" s="13" t="n"/>
      <c r="J1340" s="20" t="n"/>
      <c r="K1340" s="14" t="n"/>
      <c r="L1340" s="19">
        <f>IF($D1340="","",ROUND(IF($J1340="",1,$J1340)*N($K1340),2))</f>
        <v/>
      </c>
      <c r="M1340" s="13" t="n"/>
      <c r="N1340" s="17">
        <f>IF($D1340="","",IF(ISNA(MATCH($D1340,项目名表,0)),"※项目不在项目台账里",IF($F1340="※材料类别没选","※材料类别没选",IF(AND($C1340&lt;&gt;"",ISNA(MATCH($C1340,供应商表,0))),"※供应商不在基础资料里",""))))</f>
        <v/>
      </c>
    </row>
    <row r="1341">
      <c r="A1341" s="17">
        <f>IF($D1341="","",ROW()-3)</f>
        <v/>
      </c>
      <c r="B1341" s="18" t="n"/>
      <c r="C1341" s="13" t="n"/>
      <c r="D1341" s="13" t="n"/>
      <c r="E1341" s="13" t="n"/>
      <c r="F1341" s="17">
        <f>IF($D1341="","",IFERROR(VLOOKUP($E1341,材料归属,2,0),"※材料类别没选"))</f>
        <v/>
      </c>
      <c r="G1341" s="13" t="n"/>
      <c r="H1341" s="13" t="n"/>
      <c r="I1341" s="13" t="n"/>
      <c r="J1341" s="20" t="n"/>
      <c r="K1341" s="14" t="n"/>
      <c r="L1341" s="19">
        <f>IF($D1341="","",ROUND(IF($J1341="",1,$J1341)*N($K1341),2))</f>
        <v/>
      </c>
      <c r="M1341" s="13" t="n"/>
      <c r="N1341" s="17">
        <f>IF($D1341="","",IF(ISNA(MATCH($D1341,项目名表,0)),"※项目不在项目台账里",IF($F1341="※材料类别没选","※材料类别没选",IF(AND($C1341&lt;&gt;"",ISNA(MATCH($C1341,供应商表,0))),"※供应商不在基础资料里",""))))</f>
        <v/>
      </c>
    </row>
    <row r="1342">
      <c r="A1342" s="17">
        <f>IF($D1342="","",ROW()-3)</f>
        <v/>
      </c>
      <c r="B1342" s="18" t="n"/>
      <c r="C1342" s="13" t="n"/>
      <c r="D1342" s="13" t="n"/>
      <c r="E1342" s="13" t="n"/>
      <c r="F1342" s="17">
        <f>IF($D1342="","",IFERROR(VLOOKUP($E1342,材料归属,2,0),"※材料类别没选"))</f>
        <v/>
      </c>
      <c r="G1342" s="13" t="n"/>
      <c r="H1342" s="13" t="n"/>
      <c r="I1342" s="13" t="n"/>
      <c r="J1342" s="20" t="n"/>
      <c r="K1342" s="14" t="n"/>
      <c r="L1342" s="19">
        <f>IF($D1342="","",ROUND(IF($J1342="",1,$J1342)*N($K1342),2))</f>
        <v/>
      </c>
      <c r="M1342" s="13" t="n"/>
      <c r="N1342" s="17">
        <f>IF($D1342="","",IF(ISNA(MATCH($D1342,项目名表,0)),"※项目不在项目台账里",IF($F1342="※材料类别没选","※材料类别没选",IF(AND($C1342&lt;&gt;"",ISNA(MATCH($C1342,供应商表,0))),"※供应商不在基础资料里",""))))</f>
        <v/>
      </c>
    </row>
    <row r="1343">
      <c r="A1343" s="17">
        <f>IF($D1343="","",ROW()-3)</f>
        <v/>
      </c>
      <c r="B1343" s="18" t="n"/>
      <c r="C1343" s="13" t="n"/>
      <c r="D1343" s="13" t="n"/>
      <c r="E1343" s="13" t="n"/>
      <c r="F1343" s="17">
        <f>IF($D1343="","",IFERROR(VLOOKUP($E1343,材料归属,2,0),"※材料类别没选"))</f>
        <v/>
      </c>
      <c r="G1343" s="13" t="n"/>
      <c r="H1343" s="13" t="n"/>
      <c r="I1343" s="13" t="n"/>
      <c r="J1343" s="20" t="n"/>
      <c r="K1343" s="14" t="n"/>
      <c r="L1343" s="19">
        <f>IF($D1343="","",ROUND(IF($J1343="",1,$J1343)*N($K1343),2))</f>
        <v/>
      </c>
      <c r="M1343" s="13" t="n"/>
      <c r="N1343" s="17">
        <f>IF($D1343="","",IF(ISNA(MATCH($D1343,项目名表,0)),"※项目不在项目台账里",IF($F1343="※材料类别没选","※材料类别没选",IF(AND($C1343&lt;&gt;"",ISNA(MATCH($C1343,供应商表,0))),"※供应商不在基础资料里",""))))</f>
        <v/>
      </c>
    </row>
    <row r="1344">
      <c r="A1344" s="17">
        <f>IF($D1344="","",ROW()-3)</f>
        <v/>
      </c>
      <c r="B1344" s="18" t="n"/>
      <c r="C1344" s="13" t="n"/>
      <c r="D1344" s="13" t="n"/>
      <c r="E1344" s="13" t="n"/>
      <c r="F1344" s="17">
        <f>IF($D1344="","",IFERROR(VLOOKUP($E1344,材料归属,2,0),"※材料类别没选"))</f>
        <v/>
      </c>
      <c r="G1344" s="13" t="n"/>
      <c r="H1344" s="13" t="n"/>
      <c r="I1344" s="13" t="n"/>
      <c r="J1344" s="20" t="n"/>
      <c r="K1344" s="14" t="n"/>
      <c r="L1344" s="19">
        <f>IF($D1344="","",ROUND(IF($J1344="",1,$J1344)*N($K1344),2))</f>
        <v/>
      </c>
      <c r="M1344" s="13" t="n"/>
      <c r="N1344" s="17">
        <f>IF($D1344="","",IF(ISNA(MATCH($D1344,项目名表,0)),"※项目不在项目台账里",IF($F1344="※材料类别没选","※材料类别没选",IF(AND($C1344&lt;&gt;"",ISNA(MATCH($C1344,供应商表,0))),"※供应商不在基础资料里",""))))</f>
        <v/>
      </c>
    </row>
    <row r="1345">
      <c r="A1345" s="17">
        <f>IF($D1345="","",ROW()-3)</f>
        <v/>
      </c>
      <c r="B1345" s="18" t="n"/>
      <c r="C1345" s="13" t="n"/>
      <c r="D1345" s="13" t="n"/>
      <c r="E1345" s="13" t="n"/>
      <c r="F1345" s="17">
        <f>IF($D1345="","",IFERROR(VLOOKUP($E1345,材料归属,2,0),"※材料类别没选"))</f>
        <v/>
      </c>
      <c r="G1345" s="13" t="n"/>
      <c r="H1345" s="13" t="n"/>
      <c r="I1345" s="13" t="n"/>
      <c r="J1345" s="20" t="n"/>
      <c r="K1345" s="14" t="n"/>
      <c r="L1345" s="19">
        <f>IF($D1345="","",ROUND(IF($J1345="",1,$J1345)*N($K1345),2))</f>
        <v/>
      </c>
      <c r="M1345" s="13" t="n"/>
      <c r="N1345" s="17">
        <f>IF($D1345="","",IF(ISNA(MATCH($D1345,项目名表,0)),"※项目不在项目台账里",IF($F1345="※材料类别没选","※材料类别没选",IF(AND($C1345&lt;&gt;"",ISNA(MATCH($C1345,供应商表,0))),"※供应商不在基础资料里",""))))</f>
        <v/>
      </c>
    </row>
    <row r="1346">
      <c r="A1346" s="17">
        <f>IF($D1346="","",ROW()-3)</f>
        <v/>
      </c>
      <c r="B1346" s="18" t="n"/>
      <c r="C1346" s="13" t="n"/>
      <c r="D1346" s="13" t="n"/>
      <c r="E1346" s="13" t="n"/>
      <c r="F1346" s="17">
        <f>IF($D1346="","",IFERROR(VLOOKUP($E1346,材料归属,2,0),"※材料类别没选"))</f>
        <v/>
      </c>
      <c r="G1346" s="13" t="n"/>
      <c r="H1346" s="13" t="n"/>
      <c r="I1346" s="13" t="n"/>
      <c r="J1346" s="20" t="n"/>
      <c r="K1346" s="14" t="n"/>
      <c r="L1346" s="19">
        <f>IF($D1346="","",ROUND(IF($J1346="",1,$J1346)*N($K1346),2))</f>
        <v/>
      </c>
      <c r="M1346" s="13" t="n"/>
      <c r="N1346" s="17">
        <f>IF($D1346="","",IF(ISNA(MATCH($D1346,项目名表,0)),"※项目不在项目台账里",IF($F1346="※材料类别没选","※材料类别没选",IF(AND($C1346&lt;&gt;"",ISNA(MATCH($C1346,供应商表,0))),"※供应商不在基础资料里",""))))</f>
        <v/>
      </c>
    </row>
    <row r="1347">
      <c r="A1347" s="17">
        <f>IF($D1347="","",ROW()-3)</f>
        <v/>
      </c>
      <c r="B1347" s="18" t="n"/>
      <c r="C1347" s="13" t="n"/>
      <c r="D1347" s="13" t="n"/>
      <c r="E1347" s="13" t="n"/>
      <c r="F1347" s="17">
        <f>IF($D1347="","",IFERROR(VLOOKUP($E1347,材料归属,2,0),"※材料类别没选"))</f>
        <v/>
      </c>
      <c r="G1347" s="13" t="n"/>
      <c r="H1347" s="13" t="n"/>
      <c r="I1347" s="13" t="n"/>
      <c r="J1347" s="20" t="n"/>
      <c r="K1347" s="14" t="n"/>
      <c r="L1347" s="19">
        <f>IF($D1347="","",ROUND(IF($J1347="",1,$J1347)*N($K1347),2))</f>
        <v/>
      </c>
      <c r="M1347" s="13" t="n"/>
      <c r="N1347" s="17">
        <f>IF($D1347="","",IF(ISNA(MATCH($D1347,项目名表,0)),"※项目不在项目台账里",IF($F1347="※材料类别没选","※材料类别没选",IF(AND($C1347&lt;&gt;"",ISNA(MATCH($C1347,供应商表,0))),"※供应商不在基础资料里",""))))</f>
        <v/>
      </c>
    </row>
    <row r="1348">
      <c r="A1348" s="17">
        <f>IF($D1348="","",ROW()-3)</f>
        <v/>
      </c>
      <c r="B1348" s="18" t="n"/>
      <c r="C1348" s="13" t="n"/>
      <c r="D1348" s="13" t="n"/>
      <c r="E1348" s="13" t="n"/>
      <c r="F1348" s="17">
        <f>IF($D1348="","",IFERROR(VLOOKUP($E1348,材料归属,2,0),"※材料类别没选"))</f>
        <v/>
      </c>
      <c r="G1348" s="13" t="n"/>
      <c r="H1348" s="13" t="n"/>
      <c r="I1348" s="13" t="n"/>
      <c r="J1348" s="20" t="n"/>
      <c r="K1348" s="14" t="n"/>
      <c r="L1348" s="19">
        <f>IF($D1348="","",ROUND(IF($J1348="",1,$J1348)*N($K1348),2))</f>
        <v/>
      </c>
      <c r="M1348" s="13" t="n"/>
      <c r="N1348" s="17">
        <f>IF($D1348="","",IF(ISNA(MATCH($D1348,项目名表,0)),"※项目不在项目台账里",IF($F1348="※材料类别没选","※材料类别没选",IF(AND($C1348&lt;&gt;"",ISNA(MATCH($C1348,供应商表,0))),"※供应商不在基础资料里",""))))</f>
        <v/>
      </c>
    </row>
    <row r="1349">
      <c r="A1349" s="17">
        <f>IF($D1349="","",ROW()-3)</f>
        <v/>
      </c>
      <c r="B1349" s="18" t="n"/>
      <c r="C1349" s="13" t="n"/>
      <c r="D1349" s="13" t="n"/>
      <c r="E1349" s="13" t="n"/>
      <c r="F1349" s="17">
        <f>IF($D1349="","",IFERROR(VLOOKUP($E1349,材料归属,2,0),"※材料类别没选"))</f>
        <v/>
      </c>
      <c r="G1349" s="13" t="n"/>
      <c r="H1349" s="13" t="n"/>
      <c r="I1349" s="13" t="n"/>
      <c r="J1349" s="20" t="n"/>
      <c r="K1349" s="14" t="n"/>
      <c r="L1349" s="19">
        <f>IF($D1349="","",ROUND(IF($J1349="",1,$J1349)*N($K1349),2))</f>
        <v/>
      </c>
      <c r="M1349" s="13" t="n"/>
      <c r="N1349" s="17">
        <f>IF($D1349="","",IF(ISNA(MATCH($D1349,项目名表,0)),"※项目不在项目台账里",IF($F1349="※材料类别没选","※材料类别没选",IF(AND($C1349&lt;&gt;"",ISNA(MATCH($C1349,供应商表,0))),"※供应商不在基础资料里",""))))</f>
        <v/>
      </c>
    </row>
    <row r="1350">
      <c r="A1350" s="17">
        <f>IF($D1350="","",ROW()-3)</f>
        <v/>
      </c>
      <c r="B1350" s="18" t="n"/>
      <c r="C1350" s="13" t="n"/>
      <c r="D1350" s="13" t="n"/>
      <c r="E1350" s="13" t="n"/>
      <c r="F1350" s="17">
        <f>IF($D1350="","",IFERROR(VLOOKUP($E1350,材料归属,2,0),"※材料类别没选"))</f>
        <v/>
      </c>
      <c r="G1350" s="13" t="n"/>
      <c r="H1350" s="13" t="n"/>
      <c r="I1350" s="13" t="n"/>
      <c r="J1350" s="20" t="n"/>
      <c r="K1350" s="14" t="n"/>
      <c r="L1350" s="19">
        <f>IF($D1350="","",ROUND(IF($J1350="",1,$J1350)*N($K1350),2))</f>
        <v/>
      </c>
      <c r="M1350" s="13" t="n"/>
      <c r="N1350" s="17">
        <f>IF($D1350="","",IF(ISNA(MATCH($D1350,项目名表,0)),"※项目不在项目台账里",IF($F1350="※材料类别没选","※材料类别没选",IF(AND($C1350&lt;&gt;"",ISNA(MATCH($C1350,供应商表,0))),"※供应商不在基础资料里",""))))</f>
        <v/>
      </c>
    </row>
    <row r="1351">
      <c r="A1351" s="17">
        <f>IF($D1351="","",ROW()-3)</f>
        <v/>
      </c>
      <c r="B1351" s="18" t="n"/>
      <c r="C1351" s="13" t="n"/>
      <c r="D1351" s="13" t="n"/>
      <c r="E1351" s="13" t="n"/>
      <c r="F1351" s="17">
        <f>IF($D1351="","",IFERROR(VLOOKUP($E1351,材料归属,2,0),"※材料类别没选"))</f>
        <v/>
      </c>
      <c r="G1351" s="13" t="n"/>
      <c r="H1351" s="13" t="n"/>
      <c r="I1351" s="13" t="n"/>
      <c r="J1351" s="20" t="n"/>
      <c r="K1351" s="14" t="n"/>
      <c r="L1351" s="19">
        <f>IF($D1351="","",ROUND(IF($J1351="",1,$J1351)*N($K1351),2))</f>
        <v/>
      </c>
      <c r="M1351" s="13" t="n"/>
      <c r="N1351" s="17">
        <f>IF($D1351="","",IF(ISNA(MATCH($D1351,项目名表,0)),"※项目不在项目台账里",IF($F1351="※材料类别没选","※材料类别没选",IF(AND($C1351&lt;&gt;"",ISNA(MATCH($C1351,供应商表,0))),"※供应商不在基础资料里",""))))</f>
        <v/>
      </c>
    </row>
    <row r="1352">
      <c r="A1352" s="17">
        <f>IF($D1352="","",ROW()-3)</f>
        <v/>
      </c>
      <c r="B1352" s="18" t="n"/>
      <c r="C1352" s="13" t="n"/>
      <c r="D1352" s="13" t="n"/>
      <c r="E1352" s="13" t="n"/>
      <c r="F1352" s="17">
        <f>IF($D1352="","",IFERROR(VLOOKUP($E1352,材料归属,2,0),"※材料类别没选"))</f>
        <v/>
      </c>
      <c r="G1352" s="13" t="n"/>
      <c r="H1352" s="13" t="n"/>
      <c r="I1352" s="13" t="n"/>
      <c r="J1352" s="20" t="n"/>
      <c r="K1352" s="14" t="n"/>
      <c r="L1352" s="19">
        <f>IF($D1352="","",ROUND(IF($J1352="",1,$J1352)*N($K1352),2))</f>
        <v/>
      </c>
      <c r="M1352" s="13" t="n"/>
      <c r="N1352" s="17">
        <f>IF($D1352="","",IF(ISNA(MATCH($D1352,项目名表,0)),"※项目不在项目台账里",IF($F1352="※材料类别没选","※材料类别没选",IF(AND($C1352&lt;&gt;"",ISNA(MATCH($C1352,供应商表,0))),"※供应商不在基础资料里",""))))</f>
        <v/>
      </c>
    </row>
    <row r="1353">
      <c r="A1353" s="17">
        <f>IF($D1353="","",ROW()-3)</f>
        <v/>
      </c>
      <c r="B1353" s="18" t="n"/>
      <c r="C1353" s="13" t="n"/>
      <c r="D1353" s="13" t="n"/>
      <c r="E1353" s="13" t="n"/>
      <c r="F1353" s="17">
        <f>IF($D1353="","",IFERROR(VLOOKUP($E1353,材料归属,2,0),"※材料类别没选"))</f>
        <v/>
      </c>
      <c r="G1353" s="13" t="n"/>
      <c r="H1353" s="13" t="n"/>
      <c r="I1353" s="13" t="n"/>
      <c r="J1353" s="20" t="n"/>
      <c r="K1353" s="14" t="n"/>
      <c r="L1353" s="19">
        <f>IF($D1353="","",ROUND(IF($J1353="",1,$J1353)*N($K1353),2))</f>
        <v/>
      </c>
      <c r="M1353" s="13" t="n"/>
      <c r="N1353" s="17">
        <f>IF($D1353="","",IF(ISNA(MATCH($D1353,项目名表,0)),"※项目不在项目台账里",IF($F1353="※材料类别没选","※材料类别没选",IF(AND($C1353&lt;&gt;"",ISNA(MATCH($C1353,供应商表,0))),"※供应商不在基础资料里",""))))</f>
        <v/>
      </c>
    </row>
    <row r="1354">
      <c r="A1354" s="17">
        <f>IF($D1354="","",ROW()-3)</f>
        <v/>
      </c>
      <c r="B1354" s="18" t="n"/>
      <c r="C1354" s="13" t="n"/>
      <c r="D1354" s="13" t="n"/>
      <c r="E1354" s="13" t="n"/>
      <c r="F1354" s="17">
        <f>IF($D1354="","",IFERROR(VLOOKUP($E1354,材料归属,2,0),"※材料类别没选"))</f>
        <v/>
      </c>
      <c r="G1354" s="13" t="n"/>
      <c r="H1354" s="13" t="n"/>
      <c r="I1354" s="13" t="n"/>
      <c r="J1354" s="20" t="n"/>
      <c r="K1354" s="14" t="n"/>
      <c r="L1354" s="19">
        <f>IF($D1354="","",ROUND(IF($J1354="",1,$J1354)*N($K1354),2))</f>
        <v/>
      </c>
      <c r="M1354" s="13" t="n"/>
      <c r="N1354" s="17">
        <f>IF($D1354="","",IF(ISNA(MATCH($D1354,项目名表,0)),"※项目不在项目台账里",IF($F1354="※材料类别没选","※材料类别没选",IF(AND($C1354&lt;&gt;"",ISNA(MATCH($C1354,供应商表,0))),"※供应商不在基础资料里",""))))</f>
        <v/>
      </c>
    </row>
    <row r="1355">
      <c r="A1355" s="17">
        <f>IF($D1355="","",ROW()-3)</f>
        <v/>
      </c>
      <c r="B1355" s="18" t="n"/>
      <c r="C1355" s="13" t="n"/>
      <c r="D1355" s="13" t="n"/>
      <c r="E1355" s="13" t="n"/>
      <c r="F1355" s="17">
        <f>IF($D1355="","",IFERROR(VLOOKUP($E1355,材料归属,2,0),"※材料类别没选"))</f>
        <v/>
      </c>
      <c r="G1355" s="13" t="n"/>
      <c r="H1355" s="13" t="n"/>
      <c r="I1355" s="13" t="n"/>
      <c r="J1355" s="20" t="n"/>
      <c r="K1355" s="14" t="n"/>
      <c r="L1355" s="19">
        <f>IF($D1355="","",ROUND(IF($J1355="",1,$J1355)*N($K1355),2))</f>
        <v/>
      </c>
      <c r="M1355" s="13" t="n"/>
      <c r="N1355" s="17">
        <f>IF($D1355="","",IF(ISNA(MATCH($D1355,项目名表,0)),"※项目不在项目台账里",IF($F1355="※材料类别没选","※材料类别没选",IF(AND($C1355&lt;&gt;"",ISNA(MATCH($C1355,供应商表,0))),"※供应商不在基础资料里",""))))</f>
        <v/>
      </c>
    </row>
    <row r="1356">
      <c r="A1356" s="17">
        <f>IF($D1356="","",ROW()-3)</f>
        <v/>
      </c>
      <c r="B1356" s="18" t="n"/>
      <c r="C1356" s="13" t="n"/>
      <c r="D1356" s="13" t="n"/>
      <c r="E1356" s="13" t="n"/>
      <c r="F1356" s="17">
        <f>IF($D1356="","",IFERROR(VLOOKUP($E1356,材料归属,2,0),"※材料类别没选"))</f>
        <v/>
      </c>
      <c r="G1356" s="13" t="n"/>
      <c r="H1356" s="13" t="n"/>
      <c r="I1356" s="13" t="n"/>
      <c r="J1356" s="20" t="n"/>
      <c r="K1356" s="14" t="n"/>
      <c r="L1356" s="19">
        <f>IF($D1356="","",ROUND(IF($J1356="",1,$J1356)*N($K1356),2))</f>
        <v/>
      </c>
      <c r="M1356" s="13" t="n"/>
      <c r="N1356" s="17">
        <f>IF($D1356="","",IF(ISNA(MATCH($D1356,项目名表,0)),"※项目不在项目台账里",IF($F1356="※材料类别没选","※材料类别没选",IF(AND($C1356&lt;&gt;"",ISNA(MATCH($C1356,供应商表,0))),"※供应商不在基础资料里",""))))</f>
        <v/>
      </c>
    </row>
    <row r="1357">
      <c r="A1357" s="17">
        <f>IF($D1357="","",ROW()-3)</f>
        <v/>
      </c>
      <c r="B1357" s="18" t="n"/>
      <c r="C1357" s="13" t="n"/>
      <c r="D1357" s="13" t="n"/>
      <c r="E1357" s="13" t="n"/>
      <c r="F1357" s="17">
        <f>IF($D1357="","",IFERROR(VLOOKUP($E1357,材料归属,2,0),"※材料类别没选"))</f>
        <v/>
      </c>
      <c r="G1357" s="13" t="n"/>
      <c r="H1357" s="13" t="n"/>
      <c r="I1357" s="13" t="n"/>
      <c r="J1357" s="20" t="n"/>
      <c r="K1357" s="14" t="n"/>
      <c r="L1357" s="19">
        <f>IF($D1357="","",ROUND(IF($J1357="",1,$J1357)*N($K1357),2))</f>
        <v/>
      </c>
      <c r="M1357" s="13" t="n"/>
      <c r="N1357" s="17">
        <f>IF($D1357="","",IF(ISNA(MATCH($D1357,项目名表,0)),"※项目不在项目台账里",IF($F1357="※材料类别没选","※材料类别没选",IF(AND($C1357&lt;&gt;"",ISNA(MATCH($C1357,供应商表,0))),"※供应商不在基础资料里",""))))</f>
        <v/>
      </c>
    </row>
    <row r="1358">
      <c r="A1358" s="17">
        <f>IF($D1358="","",ROW()-3)</f>
        <v/>
      </c>
      <c r="B1358" s="18" t="n"/>
      <c r="C1358" s="13" t="n"/>
      <c r="D1358" s="13" t="n"/>
      <c r="E1358" s="13" t="n"/>
      <c r="F1358" s="17">
        <f>IF($D1358="","",IFERROR(VLOOKUP($E1358,材料归属,2,0),"※材料类别没选"))</f>
        <v/>
      </c>
      <c r="G1358" s="13" t="n"/>
      <c r="H1358" s="13" t="n"/>
      <c r="I1358" s="13" t="n"/>
      <c r="J1358" s="20" t="n"/>
      <c r="K1358" s="14" t="n"/>
      <c r="L1358" s="19">
        <f>IF($D1358="","",ROUND(IF($J1358="",1,$J1358)*N($K1358),2))</f>
        <v/>
      </c>
      <c r="M1358" s="13" t="n"/>
      <c r="N1358" s="17">
        <f>IF($D1358="","",IF(ISNA(MATCH($D1358,项目名表,0)),"※项目不在项目台账里",IF($F1358="※材料类别没选","※材料类别没选",IF(AND($C1358&lt;&gt;"",ISNA(MATCH($C1358,供应商表,0))),"※供应商不在基础资料里",""))))</f>
        <v/>
      </c>
    </row>
    <row r="1359">
      <c r="A1359" s="17">
        <f>IF($D1359="","",ROW()-3)</f>
        <v/>
      </c>
      <c r="B1359" s="18" t="n"/>
      <c r="C1359" s="13" t="n"/>
      <c r="D1359" s="13" t="n"/>
      <c r="E1359" s="13" t="n"/>
      <c r="F1359" s="17">
        <f>IF($D1359="","",IFERROR(VLOOKUP($E1359,材料归属,2,0),"※材料类别没选"))</f>
        <v/>
      </c>
      <c r="G1359" s="13" t="n"/>
      <c r="H1359" s="13" t="n"/>
      <c r="I1359" s="13" t="n"/>
      <c r="J1359" s="20" t="n"/>
      <c r="K1359" s="14" t="n"/>
      <c r="L1359" s="19">
        <f>IF($D1359="","",ROUND(IF($J1359="",1,$J1359)*N($K1359),2))</f>
        <v/>
      </c>
      <c r="M1359" s="13" t="n"/>
      <c r="N1359" s="17">
        <f>IF($D1359="","",IF(ISNA(MATCH($D1359,项目名表,0)),"※项目不在项目台账里",IF($F1359="※材料类别没选","※材料类别没选",IF(AND($C1359&lt;&gt;"",ISNA(MATCH($C1359,供应商表,0))),"※供应商不在基础资料里",""))))</f>
        <v/>
      </c>
    </row>
    <row r="1360">
      <c r="A1360" s="17">
        <f>IF($D1360="","",ROW()-3)</f>
        <v/>
      </c>
      <c r="B1360" s="18" t="n"/>
      <c r="C1360" s="13" t="n"/>
      <c r="D1360" s="13" t="n"/>
      <c r="E1360" s="13" t="n"/>
      <c r="F1360" s="17">
        <f>IF($D1360="","",IFERROR(VLOOKUP($E1360,材料归属,2,0),"※材料类别没选"))</f>
        <v/>
      </c>
      <c r="G1360" s="13" t="n"/>
      <c r="H1360" s="13" t="n"/>
      <c r="I1360" s="13" t="n"/>
      <c r="J1360" s="20" t="n"/>
      <c r="K1360" s="14" t="n"/>
      <c r="L1360" s="19">
        <f>IF($D1360="","",ROUND(IF($J1360="",1,$J1360)*N($K1360),2))</f>
        <v/>
      </c>
      <c r="M1360" s="13" t="n"/>
      <c r="N1360" s="17">
        <f>IF($D1360="","",IF(ISNA(MATCH($D1360,项目名表,0)),"※项目不在项目台账里",IF($F1360="※材料类别没选","※材料类别没选",IF(AND($C1360&lt;&gt;"",ISNA(MATCH($C1360,供应商表,0))),"※供应商不在基础资料里",""))))</f>
        <v/>
      </c>
    </row>
    <row r="1361">
      <c r="A1361" s="17">
        <f>IF($D1361="","",ROW()-3)</f>
        <v/>
      </c>
      <c r="B1361" s="18" t="n"/>
      <c r="C1361" s="13" t="n"/>
      <c r="D1361" s="13" t="n"/>
      <c r="E1361" s="13" t="n"/>
      <c r="F1361" s="17">
        <f>IF($D1361="","",IFERROR(VLOOKUP($E1361,材料归属,2,0),"※材料类别没选"))</f>
        <v/>
      </c>
      <c r="G1361" s="13" t="n"/>
      <c r="H1361" s="13" t="n"/>
      <c r="I1361" s="13" t="n"/>
      <c r="J1361" s="20" t="n"/>
      <c r="K1361" s="14" t="n"/>
      <c r="L1361" s="19">
        <f>IF($D1361="","",ROUND(IF($J1361="",1,$J1361)*N($K1361),2))</f>
        <v/>
      </c>
      <c r="M1361" s="13" t="n"/>
      <c r="N1361" s="17">
        <f>IF($D1361="","",IF(ISNA(MATCH($D1361,项目名表,0)),"※项目不在项目台账里",IF($F1361="※材料类别没选","※材料类别没选",IF(AND($C1361&lt;&gt;"",ISNA(MATCH($C1361,供应商表,0))),"※供应商不在基础资料里",""))))</f>
        <v/>
      </c>
    </row>
    <row r="1362">
      <c r="A1362" s="17">
        <f>IF($D1362="","",ROW()-3)</f>
        <v/>
      </c>
      <c r="B1362" s="18" t="n"/>
      <c r="C1362" s="13" t="n"/>
      <c r="D1362" s="13" t="n"/>
      <c r="E1362" s="13" t="n"/>
      <c r="F1362" s="17">
        <f>IF($D1362="","",IFERROR(VLOOKUP($E1362,材料归属,2,0),"※材料类别没选"))</f>
        <v/>
      </c>
      <c r="G1362" s="13" t="n"/>
      <c r="H1362" s="13" t="n"/>
      <c r="I1362" s="13" t="n"/>
      <c r="J1362" s="20" t="n"/>
      <c r="K1362" s="14" t="n"/>
      <c r="L1362" s="19">
        <f>IF($D1362="","",ROUND(IF($J1362="",1,$J1362)*N($K1362),2))</f>
        <v/>
      </c>
      <c r="M1362" s="13" t="n"/>
      <c r="N1362" s="17">
        <f>IF($D1362="","",IF(ISNA(MATCH($D1362,项目名表,0)),"※项目不在项目台账里",IF($F1362="※材料类别没选","※材料类别没选",IF(AND($C1362&lt;&gt;"",ISNA(MATCH($C1362,供应商表,0))),"※供应商不在基础资料里",""))))</f>
        <v/>
      </c>
    </row>
    <row r="1363">
      <c r="A1363" s="17">
        <f>IF($D1363="","",ROW()-3)</f>
        <v/>
      </c>
      <c r="B1363" s="18" t="n"/>
      <c r="C1363" s="13" t="n"/>
      <c r="D1363" s="13" t="n"/>
      <c r="E1363" s="13" t="n"/>
      <c r="F1363" s="17">
        <f>IF($D1363="","",IFERROR(VLOOKUP($E1363,材料归属,2,0),"※材料类别没选"))</f>
        <v/>
      </c>
      <c r="G1363" s="13" t="n"/>
      <c r="H1363" s="13" t="n"/>
      <c r="I1363" s="13" t="n"/>
      <c r="J1363" s="20" t="n"/>
      <c r="K1363" s="14" t="n"/>
      <c r="L1363" s="19">
        <f>IF($D1363="","",ROUND(IF($J1363="",1,$J1363)*N($K1363),2))</f>
        <v/>
      </c>
      <c r="M1363" s="13" t="n"/>
      <c r="N1363" s="17">
        <f>IF($D1363="","",IF(ISNA(MATCH($D1363,项目名表,0)),"※项目不在项目台账里",IF($F1363="※材料类别没选","※材料类别没选",IF(AND($C1363&lt;&gt;"",ISNA(MATCH($C1363,供应商表,0))),"※供应商不在基础资料里",""))))</f>
        <v/>
      </c>
    </row>
    <row r="1364">
      <c r="A1364" s="17">
        <f>IF($D1364="","",ROW()-3)</f>
        <v/>
      </c>
      <c r="B1364" s="18" t="n"/>
      <c r="C1364" s="13" t="n"/>
      <c r="D1364" s="13" t="n"/>
      <c r="E1364" s="13" t="n"/>
      <c r="F1364" s="17">
        <f>IF($D1364="","",IFERROR(VLOOKUP($E1364,材料归属,2,0),"※材料类别没选"))</f>
        <v/>
      </c>
      <c r="G1364" s="13" t="n"/>
      <c r="H1364" s="13" t="n"/>
      <c r="I1364" s="13" t="n"/>
      <c r="J1364" s="20" t="n"/>
      <c r="K1364" s="14" t="n"/>
      <c r="L1364" s="19">
        <f>IF($D1364="","",ROUND(IF($J1364="",1,$J1364)*N($K1364),2))</f>
        <v/>
      </c>
      <c r="M1364" s="13" t="n"/>
      <c r="N1364" s="17">
        <f>IF($D1364="","",IF(ISNA(MATCH($D1364,项目名表,0)),"※项目不在项目台账里",IF($F1364="※材料类别没选","※材料类别没选",IF(AND($C1364&lt;&gt;"",ISNA(MATCH($C1364,供应商表,0))),"※供应商不在基础资料里",""))))</f>
        <v/>
      </c>
    </row>
    <row r="1365">
      <c r="A1365" s="17">
        <f>IF($D1365="","",ROW()-3)</f>
        <v/>
      </c>
      <c r="B1365" s="18" t="n"/>
      <c r="C1365" s="13" t="n"/>
      <c r="D1365" s="13" t="n"/>
      <c r="E1365" s="13" t="n"/>
      <c r="F1365" s="17">
        <f>IF($D1365="","",IFERROR(VLOOKUP($E1365,材料归属,2,0),"※材料类别没选"))</f>
        <v/>
      </c>
      <c r="G1365" s="13" t="n"/>
      <c r="H1365" s="13" t="n"/>
      <c r="I1365" s="13" t="n"/>
      <c r="J1365" s="20" t="n"/>
      <c r="K1365" s="14" t="n"/>
      <c r="L1365" s="19">
        <f>IF($D1365="","",ROUND(IF($J1365="",1,$J1365)*N($K1365),2))</f>
        <v/>
      </c>
      <c r="M1365" s="13" t="n"/>
      <c r="N1365" s="17">
        <f>IF($D1365="","",IF(ISNA(MATCH($D1365,项目名表,0)),"※项目不在项目台账里",IF($F1365="※材料类别没选","※材料类别没选",IF(AND($C1365&lt;&gt;"",ISNA(MATCH($C1365,供应商表,0))),"※供应商不在基础资料里",""))))</f>
        <v/>
      </c>
    </row>
    <row r="1366">
      <c r="A1366" s="17">
        <f>IF($D1366="","",ROW()-3)</f>
        <v/>
      </c>
      <c r="B1366" s="18" t="n"/>
      <c r="C1366" s="13" t="n"/>
      <c r="D1366" s="13" t="n"/>
      <c r="E1366" s="13" t="n"/>
      <c r="F1366" s="17">
        <f>IF($D1366="","",IFERROR(VLOOKUP($E1366,材料归属,2,0),"※材料类别没选"))</f>
        <v/>
      </c>
      <c r="G1366" s="13" t="n"/>
      <c r="H1366" s="13" t="n"/>
      <c r="I1366" s="13" t="n"/>
      <c r="J1366" s="20" t="n"/>
      <c r="K1366" s="14" t="n"/>
      <c r="L1366" s="19">
        <f>IF($D1366="","",ROUND(IF($J1366="",1,$J1366)*N($K1366),2))</f>
        <v/>
      </c>
      <c r="M1366" s="13" t="n"/>
      <c r="N1366" s="17">
        <f>IF($D1366="","",IF(ISNA(MATCH($D1366,项目名表,0)),"※项目不在项目台账里",IF($F1366="※材料类别没选","※材料类别没选",IF(AND($C1366&lt;&gt;"",ISNA(MATCH($C1366,供应商表,0))),"※供应商不在基础资料里",""))))</f>
        <v/>
      </c>
    </row>
    <row r="1367">
      <c r="A1367" s="17">
        <f>IF($D1367="","",ROW()-3)</f>
        <v/>
      </c>
      <c r="B1367" s="18" t="n"/>
      <c r="C1367" s="13" t="n"/>
      <c r="D1367" s="13" t="n"/>
      <c r="E1367" s="13" t="n"/>
      <c r="F1367" s="17">
        <f>IF($D1367="","",IFERROR(VLOOKUP($E1367,材料归属,2,0),"※材料类别没选"))</f>
        <v/>
      </c>
      <c r="G1367" s="13" t="n"/>
      <c r="H1367" s="13" t="n"/>
      <c r="I1367" s="13" t="n"/>
      <c r="J1367" s="20" t="n"/>
      <c r="K1367" s="14" t="n"/>
      <c r="L1367" s="19">
        <f>IF($D1367="","",ROUND(IF($J1367="",1,$J1367)*N($K1367),2))</f>
        <v/>
      </c>
      <c r="M1367" s="13" t="n"/>
      <c r="N1367" s="17">
        <f>IF($D1367="","",IF(ISNA(MATCH($D1367,项目名表,0)),"※项目不在项目台账里",IF($F1367="※材料类别没选","※材料类别没选",IF(AND($C1367&lt;&gt;"",ISNA(MATCH($C1367,供应商表,0))),"※供应商不在基础资料里",""))))</f>
        <v/>
      </c>
    </row>
    <row r="1368">
      <c r="A1368" s="17">
        <f>IF($D1368="","",ROW()-3)</f>
        <v/>
      </c>
      <c r="B1368" s="18" t="n"/>
      <c r="C1368" s="13" t="n"/>
      <c r="D1368" s="13" t="n"/>
      <c r="E1368" s="13" t="n"/>
      <c r="F1368" s="17">
        <f>IF($D1368="","",IFERROR(VLOOKUP($E1368,材料归属,2,0),"※材料类别没选"))</f>
        <v/>
      </c>
      <c r="G1368" s="13" t="n"/>
      <c r="H1368" s="13" t="n"/>
      <c r="I1368" s="13" t="n"/>
      <c r="J1368" s="20" t="n"/>
      <c r="K1368" s="14" t="n"/>
      <c r="L1368" s="19">
        <f>IF($D1368="","",ROUND(IF($J1368="",1,$J1368)*N($K1368),2))</f>
        <v/>
      </c>
      <c r="M1368" s="13" t="n"/>
      <c r="N1368" s="17">
        <f>IF($D1368="","",IF(ISNA(MATCH($D1368,项目名表,0)),"※项目不在项目台账里",IF($F1368="※材料类别没选","※材料类别没选",IF(AND($C1368&lt;&gt;"",ISNA(MATCH($C1368,供应商表,0))),"※供应商不在基础资料里",""))))</f>
        <v/>
      </c>
    </row>
    <row r="1369">
      <c r="A1369" s="17">
        <f>IF($D1369="","",ROW()-3)</f>
        <v/>
      </c>
      <c r="B1369" s="18" t="n"/>
      <c r="C1369" s="13" t="n"/>
      <c r="D1369" s="13" t="n"/>
      <c r="E1369" s="13" t="n"/>
      <c r="F1369" s="17">
        <f>IF($D1369="","",IFERROR(VLOOKUP($E1369,材料归属,2,0),"※材料类别没选"))</f>
        <v/>
      </c>
      <c r="G1369" s="13" t="n"/>
      <c r="H1369" s="13" t="n"/>
      <c r="I1369" s="13" t="n"/>
      <c r="J1369" s="20" t="n"/>
      <c r="K1369" s="14" t="n"/>
      <c r="L1369" s="19">
        <f>IF($D1369="","",ROUND(IF($J1369="",1,$J1369)*N($K1369),2))</f>
        <v/>
      </c>
      <c r="M1369" s="13" t="n"/>
      <c r="N1369" s="17">
        <f>IF($D1369="","",IF(ISNA(MATCH($D1369,项目名表,0)),"※项目不在项目台账里",IF($F1369="※材料类别没选","※材料类别没选",IF(AND($C1369&lt;&gt;"",ISNA(MATCH($C1369,供应商表,0))),"※供应商不在基础资料里",""))))</f>
        <v/>
      </c>
    </row>
    <row r="1370">
      <c r="A1370" s="17">
        <f>IF($D1370="","",ROW()-3)</f>
        <v/>
      </c>
      <c r="B1370" s="18" t="n"/>
      <c r="C1370" s="13" t="n"/>
      <c r="D1370" s="13" t="n"/>
      <c r="E1370" s="13" t="n"/>
      <c r="F1370" s="17">
        <f>IF($D1370="","",IFERROR(VLOOKUP($E1370,材料归属,2,0),"※材料类别没选"))</f>
        <v/>
      </c>
      <c r="G1370" s="13" t="n"/>
      <c r="H1370" s="13" t="n"/>
      <c r="I1370" s="13" t="n"/>
      <c r="J1370" s="20" t="n"/>
      <c r="K1370" s="14" t="n"/>
      <c r="L1370" s="19">
        <f>IF($D1370="","",ROUND(IF($J1370="",1,$J1370)*N($K1370),2))</f>
        <v/>
      </c>
      <c r="M1370" s="13" t="n"/>
      <c r="N1370" s="17">
        <f>IF($D1370="","",IF(ISNA(MATCH($D1370,项目名表,0)),"※项目不在项目台账里",IF($F1370="※材料类别没选","※材料类别没选",IF(AND($C1370&lt;&gt;"",ISNA(MATCH($C1370,供应商表,0))),"※供应商不在基础资料里",""))))</f>
        <v/>
      </c>
    </row>
    <row r="1371">
      <c r="A1371" s="17">
        <f>IF($D1371="","",ROW()-3)</f>
        <v/>
      </c>
      <c r="B1371" s="18" t="n"/>
      <c r="C1371" s="13" t="n"/>
      <c r="D1371" s="13" t="n"/>
      <c r="E1371" s="13" t="n"/>
      <c r="F1371" s="17">
        <f>IF($D1371="","",IFERROR(VLOOKUP($E1371,材料归属,2,0),"※材料类别没选"))</f>
        <v/>
      </c>
      <c r="G1371" s="13" t="n"/>
      <c r="H1371" s="13" t="n"/>
      <c r="I1371" s="13" t="n"/>
      <c r="J1371" s="20" t="n"/>
      <c r="K1371" s="14" t="n"/>
      <c r="L1371" s="19">
        <f>IF($D1371="","",ROUND(IF($J1371="",1,$J1371)*N($K1371),2))</f>
        <v/>
      </c>
      <c r="M1371" s="13" t="n"/>
      <c r="N1371" s="17">
        <f>IF($D1371="","",IF(ISNA(MATCH($D1371,项目名表,0)),"※项目不在项目台账里",IF($F1371="※材料类别没选","※材料类别没选",IF(AND($C1371&lt;&gt;"",ISNA(MATCH($C1371,供应商表,0))),"※供应商不在基础资料里",""))))</f>
        <v/>
      </c>
    </row>
    <row r="1372">
      <c r="A1372" s="17">
        <f>IF($D1372="","",ROW()-3)</f>
        <v/>
      </c>
      <c r="B1372" s="18" t="n"/>
      <c r="C1372" s="13" t="n"/>
      <c r="D1372" s="13" t="n"/>
      <c r="E1372" s="13" t="n"/>
      <c r="F1372" s="17">
        <f>IF($D1372="","",IFERROR(VLOOKUP($E1372,材料归属,2,0),"※材料类别没选"))</f>
        <v/>
      </c>
      <c r="G1372" s="13" t="n"/>
      <c r="H1372" s="13" t="n"/>
      <c r="I1372" s="13" t="n"/>
      <c r="J1372" s="20" t="n"/>
      <c r="K1372" s="14" t="n"/>
      <c r="L1372" s="19">
        <f>IF($D1372="","",ROUND(IF($J1372="",1,$J1372)*N($K1372),2))</f>
        <v/>
      </c>
      <c r="M1372" s="13" t="n"/>
      <c r="N1372" s="17">
        <f>IF($D1372="","",IF(ISNA(MATCH($D1372,项目名表,0)),"※项目不在项目台账里",IF($F1372="※材料类别没选","※材料类别没选",IF(AND($C1372&lt;&gt;"",ISNA(MATCH($C1372,供应商表,0))),"※供应商不在基础资料里",""))))</f>
        <v/>
      </c>
    </row>
    <row r="1373">
      <c r="A1373" s="17">
        <f>IF($D1373="","",ROW()-3)</f>
        <v/>
      </c>
      <c r="B1373" s="18" t="n"/>
      <c r="C1373" s="13" t="n"/>
      <c r="D1373" s="13" t="n"/>
      <c r="E1373" s="13" t="n"/>
      <c r="F1373" s="17">
        <f>IF($D1373="","",IFERROR(VLOOKUP($E1373,材料归属,2,0),"※材料类别没选"))</f>
        <v/>
      </c>
      <c r="G1373" s="13" t="n"/>
      <c r="H1373" s="13" t="n"/>
      <c r="I1373" s="13" t="n"/>
      <c r="J1373" s="20" t="n"/>
      <c r="K1373" s="14" t="n"/>
      <c r="L1373" s="19">
        <f>IF($D1373="","",ROUND(IF($J1373="",1,$J1373)*N($K1373),2))</f>
        <v/>
      </c>
      <c r="M1373" s="13" t="n"/>
      <c r="N1373" s="17">
        <f>IF($D1373="","",IF(ISNA(MATCH($D1373,项目名表,0)),"※项目不在项目台账里",IF($F1373="※材料类别没选","※材料类别没选",IF(AND($C1373&lt;&gt;"",ISNA(MATCH($C1373,供应商表,0))),"※供应商不在基础资料里",""))))</f>
        <v/>
      </c>
    </row>
    <row r="1374">
      <c r="A1374" s="17">
        <f>IF($D1374="","",ROW()-3)</f>
        <v/>
      </c>
      <c r="B1374" s="18" t="n"/>
      <c r="C1374" s="13" t="n"/>
      <c r="D1374" s="13" t="n"/>
      <c r="E1374" s="13" t="n"/>
      <c r="F1374" s="17">
        <f>IF($D1374="","",IFERROR(VLOOKUP($E1374,材料归属,2,0),"※材料类别没选"))</f>
        <v/>
      </c>
      <c r="G1374" s="13" t="n"/>
      <c r="H1374" s="13" t="n"/>
      <c r="I1374" s="13" t="n"/>
      <c r="J1374" s="20" t="n"/>
      <c r="K1374" s="14" t="n"/>
      <c r="L1374" s="19">
        <f>IF($D1374="","",ROUND(IF($J1374="",1,$J1374)*N($K1374),2))</f>
        <v/>
      </c>
      <c r="M1374" s="13" t="n"/>
      <c r="N1374" s="17">
        <f>IF($D1374="","",IF(ISNA(MATCH($D1374,项目名表,0)),"※项目不在项目台账里",IF($F1374="※材料类别没选","※材料类别没选",IF(AND($C1374&lt;&gt;"",ISNA(MATCH($C1374,供应商表,0))),"※供应商不在基础资料里",""))))</f>
        <v/>
      </c>
    </row>
    <row r="1375">
      <c r="A1375" s="17">
        <f>IF($D1375="","",ROW()-3)</f>
        <v/>
      </c>
      <c r="B1375" s="18" t="n"/>
      <c r="C1375" s="13" t="n"/>
      <c r="D1375" s="13" t="n"/>
      <c r="E1375" s="13" t="n"/>
      <c r="F1375" s="17">
        <f>IF($D1375="","",IFERROR(VLOOKUP($E1375,材料归属,2,0),"※材料类别没选"))</f>
        <v/>
      </c>
      <c r="G1375" s="13" t="n"/>
      <c r="H1375" s="13" t="n"/>
      <c r="I1375" s="13" t="n"/>
      <c r="J1375" s="20" t="n"/>
      <c r="K1375" s="14" t="n"/>
      <c r="L1375" s="19">
        <f>IF($D1375="","",ROUND(IF($J1375="",1,$J1375)*N($K1375),2))</f>
        <v/>
      </c>
      <c r="M1375" s="13" t="n"/>
      <c r="N1375" s="17">
        <f>IF($D1375="","",IF(ISNA(MATCH($D1375,项目名表,0)),"※项目不在项目台账里",IF($F1375="※材料类别没选","※材料类别没选",IF(AND($C1375&lt;&gt;"",ISNA(MATCH($C1375,供应商表,0))),"※供应商不在基础资料里",""))))</f>
        <v/>
      </c>
    </row>
    <row r="1376">
      <c r="A1376" s="17">
        <f>IF($D1376="","",ROW()-3)</f>
        <v/>
      </c>
      <c r="B1376" s="18" t="n"/>
      <c r="C1376" s="13" t="n"/>
      <c r="D1376" s="13" t="n"/>
      <c r="E1376" s="13" t="n"/>
      <c r="F1376" s="17">
        <f>IF($D1376="","",IFERROR(VLOOKUP($E1376,材料归属,2,0),"※材料类别没选"))</f>
        <v/>
      </c>
      <c r="G1376" s="13" t="n"/>
      <c r="H1376" s="13" t="n"/>
      <c r="I1376" s="13" t="n"/>
      <c r="J1376" s="20" t="n"/>
      <c r="K1376" s="14" t="n"/>
      <c r="L1376" s="19">
        <f>IF($D1376="","",ROUND(IF($J1376="",1,$J1376)*N($K1376),2))</f>
        <v/>
      </c>
      <c r="M1376" s="13" t="n"/>
      <c r="N1376" s="17">
        <f>IF($D1376="","",IF(ISNA(MATCH($D1376,项目名表,0)),"※项目不在项目台账里",IF($F1376="※材料类别没选","※材料类别没选",IF(AND($C1376&lt;&gt;"",ISNA(MATCH($C1376,供应商表,0))),"※供应商不在基础资料里",""))))</f>
        <v/>
      </c>
    </row>
    <row r="1377">
      <c r="A1377" s="17">
        <f>IF($D1377="","",ROW()-3)</f>
        <v/>
      </c>
      <c r="B1377" s="18" t="n"/>
      <c r="C1377" s="13" t="n"/>
      <c r="D1377" s="13" t="n"/>
      <c r="E1377" s="13" t="n"/>
      <c r="F1377" s="17">
        <f>IF($D1377="","",IFERROR(VLOOKUP($E1377,材料归属,2,0),"※材料类别没选"))</f>
        <v/>
      </c>
      <c r="G1377" s="13" t="n"/>
      <c r="H1377" s="13" t="n"/>
      <c r="I1377" s="13" t="n"/>
      <c r="J1377" s="20" t="n"/>
      <c r="K1377" s="14" t="n"/>
      <c r="L1377" s="19">
        <f>IF($D1377="","",ROUND(IF($J1377="",1,$J1377)*N($K1377),2))</f>
        <v/>
      </c>
      <c r="M1377" s="13" t="n"/>
      <c r="N1377" s="17">
        <f>IF($D1377="","",IF(ISNA(MATCH($D1377,项目名表,0)),"※项目不在项目台账里",IF($F1377="※材料类别没选","※材料类别没选",IF(AND($C1377&lt;&gt;"",ISNA(MATCH($C1377,供应商表,0))),"※供应商不在基础资料里",""))))</f>
        <v/>
      </c>
    </row>
    <row r="1378">
      <c r="A1378" s="17">
        <f>IF($D1378="","",ROW()-3)</f>
        <v/>
      </c>
      <c r="B1378" s="18" t="n"/>
      <c r="C1378" s="13" t="n"/>
      <c r="D1378" s="13" t="n"/>
      <c r="E1378" s="13" t="n"/>
      <c r="F1378" s="17">
        <f>IF($D1378="","",IFERROR(VLOOKUP($E1378,材料归属,2,0),"※材料类别没选"))</f>
        <v/>
      </c>
      <c r="G1378" s="13" t="n"/>
      <c r="H1378" s="13" t="n"/>
      <c r="I1378" s="13" t="n"/>
      <c r="J1378" s="20" t="n"/>
      <c r="K1378" s="14" t="n"/>
      <c r="L1378" s="19">
        <f>IF($D1378="","",ROUND(IF($J1378="",1,$J1378)*N($K1378),2))</f>
        <v/>
      </c>
      <c r="M1378" s="13" t="n"/>
      <c r="N1378" s="17">
        <f>IF($D1378="","",IF(ISNA(MATCH($D1378,项目名表,0)),"※项目不在项目台账里",IF($F1378="※材料类别没选","※材料类别没选",IF(AND($C1378&lt;&gt;"",ISNA(MATCH($C1378,供应商表,0))),"※供应商不在基础资料里",""))))</f>
        <v/>
      </c>
    </row>
    <row r="1379">
      <c r="A1379" s="17">
        <f>IF($D1379="","",ROW()-3)</f>
        <v/>
      </c>
      <c r="B1379" s="18" t="n"/>
      <c r="C1379" s="13" t="n"/>
      <c r="D1379" s="13" t="n"/>
      <c r="E1379" s="13" t="n"/>
      <c r="F1379" s="17">
        <f>IF($D1379="","",IFERROR(VLOOKUP($E1379,材料归属,2,0),"※材料类别没选"))</f>
        <v/>
      </c>
      <c r="G1379" s="13" t="n"/>
      <c r="H1379" s="13" t="n"/>
      <c r="I1379" s="13" t="n"/>
      <c r="J1379" s="20" t="n"/>
      <c r="K1379" s="14" t="n"/>
      <c r="L1379" s="19">
        <f>IF($D1379="","",ROUND(IF($J1379="",1,$J1379)*N($K1379),2))</f>
        <v/>
      </c>
      <c r="M1379" s="13" t="n"/>
      <c r="N1379" s="17">
        <f>IF($D1379="","",IF(ISNA(MATCH($D1379,项目名表,0)),"※项目不在项目台账里",IF($F1379="※材料类别没选","※材料类别没选",IF(AND($C1379&lt;&gt;"",ISNA(MATCH($C1379,供应商表,0))),"※供应商不在基础资料里",""))))</f>
        <v/>
      </c>
    </row>
    <row r="1380">
      <c r="A1380" s="17">
        <f>IF($D1380="","",ROW()-3)</f>
        <v/>
      </c>
      <c r="B1380" s="18" t="n"/>
      <c r="C1380" s="13" t="n"/>
      <c r="D1380" s="13" t="n"/>
      <c r="E1380" s="13" t="n"/>
      <c r="F1380" s="17">
        <f>IF($D1380="","",IFERROR(VLOOKUP($E1380,材料归属,2,0),"※材料类别没选"))</f>
        <v/>
      </c>
      <c r="G1380" s="13" t="n"/>
      <c r="H1380" s="13" t="n"/>
      <c r="I1380" s="13" t="n"/>
      <c r="J1380" s="20" t="n"/>
      <c r="K1380" s="14" t="n"/>
      <c r="L1380" s="19">
        <f>IF($D1380="","",ROUND(IF($J1380="",1,$J1380)*N($K1380),2))</f>
        <v/>
      </c>
      <c r="M1380" s="13" t="n"/>
      <c r="N1380" s="17">
        <f>IF($D1380="","",IF(ISNA(MATCH($D1380,项目名表,0)),"※项目不在项目台账里",IF($F1380="※材料类别没选","※材料类别没选",IF(AND($C1380&lt;&gt;"",ISNA(MATCH($C1380,供应商表,0))),"※供应商不在基础资料里",""))))</f>
        <v/>
      </c>
    </row>
    <row r="1381">
      <c r="A1381" s="17">
        <f>IF($D1381="","",ROW()-3)</f>
        <v/>
      </c>
      <c r="B1381" s="18" t="n"/>
      <c r="C1381" s="13" t="n"/>
      <c r="D1381" s="13" t="n"/>
      <c r="E1381" s="13" t="n"/>
      <c r="F1381" s="17">
        <f>IF($D1381="","",IFERROR(VLOOKUP($E1381,材料归属,2,0),"※材料类别没选"))</f>
        <v/>
      </c>
      <c r="G1381" s="13" t="n"/>
      <c r="H1381" s="13" t="n"/>
      <c r="I1381" s="13" t="n"/>
      <c r="J1381" s="20" t="n"/>
      <c r="K1381" s="14" t="n"/>
      <c r="L1381" s="19">
        <f>IF($D1381="","",ROUND(IF($J1381="",1,$J1381)*N($K1381),2))</f>
        <v/>
      </c>
      <c r="M1381" s="13" t="n"/>
      <c r="N1381" s="17">
        <f>IF($D1381="","",IF(ISNA(MATCH($D1381,项目名表,0)),"※项目不在项目台账里",IF($F1381="※材料类别没选","※材料类别没选",IF(AND($C1381&lt;&gt;"",ISNA(MATCH($C1381,供应商表,0))),"※供应商不在基础资料里",""))))</f>
        <v/>
      </c>
    </row>
    <row r="1382">
      <c r="A1382" s="17">
        <f>IF($D1382="","",ROW()-3)</f>
        <v/>
      </c>
      <c r="B1382" s="18" t="n"/>
      <c r="C1382" s="13" t="n"/>
      <c r="D1382" s="13" t="n"/>
      <c r="E1382" s="13" t="n"/>
      <c r="F1382" s="17">
        <f>IF($D1382="","",IFERROR(VLOOKUP($E1382,材料归属,2,0),"※材料类别没选"))</f>
        <v/>
      </c>
      <c r="G1382" s="13" t="n"/>
      <c r="H1382" s="13" t="n"/>
      <c r="I1382" s="13" t="n"/>
      <c r="J1382" s="20" t="n"/>
      <c r="K1382" s="14" t="n"/>
      <c r="L1382" s="19">
        <f>IF($D1382="","",ROUND(IF($J1382="",1,$J1382)*N($K1382),2))</f>
        <v/>
      </c>
      <c r="M1382" s="13" t="n"/>
      <c r="N1382" s="17">
        <f>IF($D1382="","",IF(ISNA(MATCH($D1382,项目名表,0)),"※项目不在项目台账里",IF($F1382="※材料类别没选","※材料类别没选",IF(AND($C1382&lt;&gt;"",ISNA(MATCH($C1382,供应商表,0))),"※供应商不在基础资料里",""))))</f>
        <v/>
      </c>
    </row>
    <row r="1383">
      <c r="A1383" s="17">
        <f>IF($D1383="","",ROW()-3)</f>
        <v/>
      </c>
      <c r="B1383" s="18" t="n"/>
      <c r="C1383" s="13" t="n"/>
      <c r="D1383" s="13" t="n"/>
      <c r="E1383" s="13" t="n"/>
      <c r="F1383" s="17">
        <f>IF($D1383="","",IFERROR(VLOOKUP($E1383,材料归属,2,0),"※材料类别没选"))</f>
        <v/>
      </c>
      <c r="G1383" s="13" t="n"/>
      <c r="H1383" s="13" t="n"/>
      <c r="I1383" s="13" t="n"/>
      <c r="J1383" s="20" t="n"/>
      <c r="K1383" s="14" t="n"/>
      <c r="L1383" s="19">
        <f>IF($D1383="","",ROUND(IF($J1383="",1,$J1383)*N($K1383),2))</f>
        <v/>
      </c>
      <c r="M1383" s="13" t="n"/>
      <c r="N1383" s="17">
        <f>IF($D1383="","",IF(ISNA(MATCH($D1383,项目名表,0)),"※项目不在项目台账里",IF($F1383="※材料类别没选","※材料类别没选",IF(AND($C1383&lt;&gt;"",ISNA(MATCH($C1383,供应商表,0))),"※供应商不在基础资料里",""))))</f>
        <v/>
      </c>
    </row>
    <row r="1384">
      <c r="A1384" s="17">
        <f>IF($D1384="","",ROW()-3)</f>
        <v/>
      </c>
      <c r="B1384" s="18" t="n"/>
      <c r="C1384" s="13" t="n"/>
      <c r="D1384" s="13" t="n"/>
      <c r="E1384" s="13" t="n"/>
      <c r="F1384" s="17">
        <f>IF($D1384="","",IFERROR(VLOOKUP($E1384,材料归属,2,0),"※材料类别没选"))</f>
        <v/>
      </c>
      <c r="G1384" s="13" t="n"/>
      <c r="H1384" s="13" t="n"/>
      <c r="I1384" s="13" t="n"/>
      <c r="J1384" s="20" t="n"/>
      <c r="K1384" s="14" t="n"/>
      <c r="L1384" s="19">
        <f>IF($D1384="","",ROUND(IF($J1384="",1,$J1384)*N($K1384),2))</f>
        <v/>
      </c>
      <c r="M1384" s="13" t="n"/>
      <c r="N1384" s="17">
        <f>IF($D1384="","",IF(ISNA(MATCH($D1384,项目名表,0)),"※项目不在项目台账里",IF($F1384="※材料类别没选","※材料类别没选",IF(AND($C1384&lt;&gt;"",ISNA(MATCH($C1384,供应商表,0))),"※供应商不在基础资料里",""))))</f>
        <v/>
      </c>
    </row>
    <row r="1385">
      <c r="A1385" s="17">
        <f>IF($D1385="","",ROW()-3)</f>
        <v/>
      </c>
      <c r="B1385" s="18" t="n"/>
      <c r="C1385" s="13" t="n"/>
      <c r="D1385" s="13" t="n"/>
      <c r="E1385" s="13" t="n"/>
      <c r="F1385" s="17">
        <f>IF($D1385="","",IFERROR(VLOOKUP($E1385,材料归属,2,0),"※材料类别没选"))</f>
        <v/>
      </c>
      <c r="G1385" s="13" t="n"/>
      <c r="H1385" s="13" t="n"/>
      <c r="I1385" s="13" t="n"/>
      <c r="J1385" s="20" t="n"/>
      <c r="K1385" s="14" t="n"/>
      <c r="L1385" s="19">
        <f>IF($D1385="","",ROUND(IF($J1385="",1,$J1385)*N($K1385),2))</f>
        <v/>
      </c>
      <c r="M1385" s="13" t="n"/>
      <c r="N1385" s="17">
        <f>IF($D1385="","",IF(ISNA(MATCH($D1385,项目名表,0)),"※项目不在项目台账里",IF($F1385="※材料类别没选","※材料类别没选",IF(AND($C1385&lt;&gt;"",ISNA(MATCH($C1385,供应商表,0))),"※供应商不在基础资料里",""))))</f>
        <v/>
      </c>
    </row>
    <row r="1386">
      <c r="A1386" s="17">
        <f>IF($D1386="","",ROW()-3)</f>
        <v/>
      </c>
      <c r="B1386" s="18" t="n"/>
      <c r="C1386" s="13" t="n"/>
      <c r="D1386" s="13" t="n"/>
      <c r="E1386" s="13" t="n"/>
      <c r="F1386" s="17">
        <f>IF($D1386="","",IFERROR(VLOOKUP($E1386,材料归属,2,0),"※材料类别没选"))</f>
        <v/>
      </c>
      <c r="G1386" s="13" t="n"/>
      <c r="H1386" s="13" t="n"/>
      <c r="I1386" s="13" t="n"/>
      <c r="J1386" s="20" t="n"/>
      <c r="K1386" s="14" t="n"/>
      <c r="L1386" s="19">
        <f>IF($D1386="","",ROUND(IF($J1386="",1,$J1386)*N($K1386),2))</f>
        <v/>
      </c>
      <c r="M1386" s="13" t="n"/>
      <c r="N1386" s="17">
        <f>IF($D1386="","",IF(ISNA(MATCH($D1386,项目名表,0)),"※项目不在项目台账里",IF($F1386="※材料类别没选","※材料类别没选",IF(AND($C1386&lt;&gt;"",ISNA(MATCH($C1386,供应商表,0))),"※供应商不在基础资料里",""))))</f>
        <v/>
      </c>
    </row>
    <row r="1387">
      <c r="A1387" s="17">
        <f>IF($D1387="","",ROW()-3)</f>
        <v/>
      </c>
      <c r="B1387" s="18" t="n"/>
      <c r="C1387" s="13" t="n"/>
      <c r="D1387" s="13" t="n"/>
      <c r="E1387" s="13" t="n"/>
      <c r="F1387" s="17">
        <f>IF($D1387="","",IFERROR(VLOOKUP($E1387,材料归属,2,0),"※材料类别没选"))</f>
        <v/>
      </c>
      <c r="G1387" s="13" t="n"/>
      <c r="H1387" s="13" t="n"/>
      <c r="I1387" s="13" t="n"/>
      <c r="J1387" s="20" t="n"/>
      <c r="K1387" s="14" t="n"/>
      <c r="L1387" s="19">
        <f>IF($D1387="","",ROUND(IF($J1387="",1,$J1387)*N($K1387),2))</f>
        <v/>
      </c>
      <c r="M1387" s="13" t="n"/>
      <c r="N1387" s="17">
        <f>IF($D1387="","",IF(ISNA(MATCH($D1387,项目名表,0)),"※项目不在项目台账里",IF($F1387="※材料类别没选","※材料类别没选",IF(AND($C1387&lt;&gt;"",ISNA(MATCH($C1387,供应商表,0))),"※供应商不在基础资料里",""))))</f>
        <v/>
      </c>
    </row>
    <row r="1388">
      <c r="A1388" s="17">
        <f>IF($D1388="","",ROW()-3)</f>
        <v/>
      </c>
      <c r="B1388" s="18" t="n"/>
      <c r="C1388" s="13" t="n"/>
      <c r="D1388" s="13" t="n"/>
      <c r="E1388" s="13" t="n"/>
      <c r="F1388" s="17">
        <f>IF($D1388="","",IFERROR(VLOOKUP($E1388,材料归属,2,0),"※材料类别没选"))</f>
        <v/>
      </c>
      <c r="G1388" s="13" t="n"/>
      <c r="H1388" s="13" t="n"/>
      <c r="I1388" s="13" t="n"/>
      <c r="J1388" s="20" t="n"/>
      <c r="K1388" s="14" t="n"/>
      <c r="L1388" s="19">
        <f>IF($D1388="","",ROUND(IF($J1388="",1,$J1388)*N($K1388),2))</f>
        <v/>
      </c>
      <c r="M1388" s="13" t="n"/>
      <c r="N1388" s="17">
        <f>IF($D1388="","",IF(ISNA(MATCH($D1388,项目名表,0)),"※项目不在项目台账里",IF($F1388="※材料类别没选","※材料类别没选",IF(AND($C1388&lt;&gt;"",ISNA(MATCH($C1388,供应商表,0))),"※供应商不在基础资料里",""))))</f>
        <v/>
      </c>
    </row>
    <row r="1389">
      <c r="A1389" s="17">
        <f>IF($D1389="","",ROW()-3)</f>
        <v/>
      </c>
      <c r="B1389" s="18" t="n"/>
      <c r="C1389" s="13" t="n"/>
      <c r="D1389" s="13" t="n"/>
      <c r="E1389" s="13" t="n"/>
      <c r="F1389" s="17">
        <f>IF($D1389="","",IFERROR(VLOOKUP($E1389,材料归属,2,0),"※材料类别没选"))</f>
        <v/>
      </c>
      <c r="G1389" s="13" t="n"/>
      <c r="H1389" s="13" t="n"/>
      <c r="I1389" s="13" t="n"/>
      <c r="J1389" s="20" t="n"/>
      <c r="K1389" s="14" t="n"/>
      <c r="L1389" s="19">
        <f>IF($D1389="","",ROUND(IF($J1389="",1,$J1389)*N($K1389),2))</f>
        <v/>
      </c>
      <c r="M1389" s="13" t="n"/>
      <c r="N1389" s="17">
        <f>IF($D1389="","",IF(ISNA(MATCH($D1389,项目名表,0)),"※项目不在项目台账里",IF($F1389="※材料类别没选","※材料类别没选",IF(AND($C1389&lt;&gt;"",ISNA(MATCH($C1389,供应商表,0))),"※供应商不在基础资料里",""))))</f>
        <v/>
      </c>
    </row>
    <row r="1390">
      <c r="A1390" s="17">
        <f>IF($D1390="","",ROW()-3)</f>
        <v/>
      </c>
      <c r="B1390" s="18" t="n"/>
      <c r="C1390" s="13" t="n"/>
      <c r="D1390" s="13" t="n"/>
      <c r="E1390" s="13" t="n"/>
      <c r="F1390" s="17">
        <f>IF($D1390="","",IFERROR(VLOOKUP($E1390,材料归属,2,0),"※材料类别没选"))</f>
        <v/>
      </c>
      <c r="G1390" s="13" t="n"/>
      <c r="H1390" s="13" t="n"/>
      <c r="I1390" s="13" t="n"/>
      <c r="J1390" s="20" t="n"/>
      <c r="K1390" s="14" t="n"/>
      <c r="L1390" s="19">
        <f>IF($D1390="","",ROUND(IF($J1390="",1,$J1390)*N($K1390),2))</f>
        <v/>
      </c>
      <c r="M1390" s="13" t="n"/>
      <c r="N1390" s="17">
        <f>IF($D1390="","",IF(ISNA(MATCH($D1390,项目名表,0)),"※项目不在项目台账里",IF($F1390="※材料类别没选","※材料类别没选",IF(AND($C1390&lt;&gt;"",ISNA(MATCH($C1390,供应商表,0))),"※供应商不在基础资料里",""))))</f>
        <v/>
      </c>
    </row>
    <row r="1391">
      <c r="A1391" s="17">
        <f>IF($D1391="","",ROW()-3)</f>
        <v/>
      </c>
      <c r="B1391" s="18" t="n"/>
      <c r="C1391" s="13" t="n"/>
      <c r="D1391" s="13" t="n"/>
      <c r="E1391" s="13" t="n"/>
      <c r="F1391" s="17">
        <f>IF($D1391="","",IFERROR(VLOOKUP($E1391,材料归属,2,0),"※材料类别没选"))</f>
        <v/>
      </c>
      <c r="G1391" s="13" t="n"/>
      <c r="H1391" s="13" t="n"/>
      <c r="I1391" s="13" t="n"/>
      <c r="J1391" s="20" t="n"/>
      <c r="K1391" s="14" t="n"/>
      <c r="L1391" s="19">
        <f>IF($D1391="","",ROUND(IF($J1391="",1,$J1391)*N($K1391),2))</f>
        <v/>
      </c>
      <c r="M1391" s="13" t="n"/>
      <c r="N1391" s="17">
        <f>IF($D1391="","",IF(ISNA(MATCH($D1391,项目名表,0)),"※项目不在项目台账里",IF($F1391="※材料类别没选","※材料类别没选",IF(AND($C1391&lt;&gt;"",ISNA(MATCH($C1391,供应商表,0))),"※供应商不在基础资料里",""))))</f>
        <v/>
      </c>
    </row>
    <row r="1392">
      <c r="A1392" s="17">
        <f>IF($D1392="","",ROW()-3)</f>
        <v/>
      </c>
      <c r="B1392" s="18" t="n"/>
      <c r="C1392" s="13" t="n"/>
      <c r="D1392" s="13" t="n"/>
      <c r="E1392" s="13" t="n"/>
      <c r="F1392" s="17">
        <f>IF($D1392="","",IFERROR(VLOOKUP($E1392,材料归属,2,0),"※材料类别没选"))</f>
        <v/>
      </c>
      <c r="G1392" s="13" t="n"/>
      <c r="H1392" s="13" t="n"/>
      <c r="I1392" s="13" t="n"/>
      <c r="J1392" s="20" t="n"/>
      <c r="K1392" s="14" t="n"/>
      <c r="L1392" s="19">
        <f>IF($D1392="","",ROUND(IF($J1392="",1,$J1392)*N($K1392),2))</f>
        <v/>
      </c>
      <c r="M1392" s="13" t="n"/>
      <c r="N1392" s="17">
        <f>IF($D1392="","",IF(ISNA(MATCH($D1392,项目名表,0)),"※项目不在项目台账里",IF($F1392="※材料类别没选","※材料类别没选",IF(AND($C1392&lt;&gt;"",ISNA(MATCH($C1392,供应商表,0))),"※供应商不在基础资料里",""))))</f>
        <v/>
      </c>
    </row>
    <row r="1393">
      <c r="A1393" s="17">
        <f>IF($D1393="","",ROW()-3)</f>
        <v/>
      </c>
      <c r="B1393" s="18" t="n"/>
      <c r="C1393" s="13" t="n"/>
      <c r="D1393" s="13" t="n"/>
      <c r="E1393" s="13" t="n"/>
      <c r="F1393" s="17">
        <f>IF($D1393="","",IFERROR(VLOOKUP($E1393,材料归属,2,0),"※材料类别没选"))</f>
        <v/>
      </c>
      <c r="G1393" s="13" t="n"/>
      <c r="H1393" s="13" t="n"/>
      <c r="I1393" s="13" t="n"/>
      <c r="J1393" s="20" t="n"/>
      <c r="K1393" s="14" t="n"/>
      <c r="L1393" s="19">
        <f>IF($D1393="","",ROUND(IF($J1393="",1,$J1393)*N($K1393),2))</f>
        <v/>
      </c>
      <c r="M1393" s="13" t="n"/>
      <c r="N1393" s="17">
        <f>IF($D1393="","",IF(ISNA(MATCH($D1393,项目名表,0)),"※项目不在项目台账里",IF($F1393="※材料类别没选","※材料类别没选",IF(AND($C1393&lt;&gt;"",ISNA(MATCH($C1393,供应商表,0))),"※供应商不在基础资料里",""))))</f>
        <v/>
      </c>
    </row>
    <row r="1394">
      <c r="A1394" s="17">
        <f>IF($D1394="","",ROW()-3)</f>
        <v/>
      </c>
      <c r="B1394" s="18" t="n"/>
      <c r="C1394" s="13" t="n"/>
      <c r="D1394" s="13" t="n"/>
      <c r="E1394" s="13" t="n"/>
      <c r="F1394" s="17">
        <f>IF($D1394="","",IFERROR(VLOOKUP($E1394,材料归属,2,0),"※材料类别没选"))</f>
        <v/>
      </c>
      <c r="G1394" s="13" t="n"/>
      <c r="H1394" s="13" t="n"/>
      <c r="I1394" s="13" t="n"/>
      <c r="J1394" s="20" t="n"/>
      <c r="K1394" s="14" t="n"/>
      <c r="L1394" s="19">
        <f>IF($D1394="","",ROUND(IF($J1394="",1,$J1394)*N($K1394),2))</f>
        <v/>
      </c>
      <c r="M1394" s="13" t="n"/>
      <c r="N1394" s="17">
        <f>IF($D1394="","",IF(ISNA(MATCH($D1394,项目名表,0)),"※项目不在项目台账里",IF($F1394="※材料类别没选","※材料类别没选",IF(AND($C1394&lt;&gt;"",ISNA(MATCH($C1394,供应商表,0))),"※供应商不在基础资料里",""))))</f>
        <v/>
      </c>
    </row>
    <row r="1395">
      <c r="A1395" s="17">
        <f>IF($D1395="","",ROW()-3)</f>
        <v/>
      </c>
      <c r="B1395" s="18" t="n"/>
      <c r="C1395" s="13" t="n"/>
      <c r="D1395" s="13" t="n"/>
      <c r="E1395" s="13" t="n"/>
      <c r="F1395" s="17">
        <f>IF($D1395="","",IFERROR(VLOOKUP($E1395,材料归属,2,0),"※材料类别没选"))</f>
        <v/>
      </c>
      <c r="G1395" s="13" t="n"/>
      <c r="H1395" s="13" t="n"/>
      <c r="I1395" s="13" t="n"/>
      <c r="J1395" s="20" t="n"/>
      <c r="K1395" s="14" t="n"/>
      <c r="L1395" s="19">
        <f>IF($D1395="","",ROUND(IF($J1395="",1,$J1395)*N($K1395),2))</f>
        <v/>
      </c>
      <c r="M1395" s="13" t="n"/>
      <c r="N1395" s="17">
        <f>IF($D1395="","",IF(ISNA(MATCH($D1395,项目名表,0)),"※项目不在项目台账里",IF($F1395="※材料类别没选","※材料类别没选",IF(AND($C1395&lt;&gt;"",ISNA(MATCH($C1395,供应商表,0))),"※供应商不在基础资料里",""))))</f>
        <v/>
      </c>
    </row>
    <row r="1396">
      <c r="A1396" s="17">
        <f>IF($D1396="","",ROW()-3)</f>
        <v/>
      </c>
      <c r="B1396" s="18" t="n"/>
      <c r="C1396" s="13" t="n"/>
      <c r="D1396" s="13" t="n"/>
      <c r="E1396" s="13" t="n"/>
      <c r="F1396" s="17">
        <f>IF($D1396="","",IFERROR(VLOOKUP($E1396,材料归属,2,0),"※材料类别没选"))</f>
        <v/>
      </c>
      <c r="G1396" s="13" t="n"/>
      <c r="H1396" s="13" t="n"/>
      <c r="I1396" s="13" t="n"/>
      <c r="J1396" s="20" t="n"/>
      <c r="K1396" s="14" t="n"/>
      <c r="L1396" s="19">
        <f>IF($D1396="","",ROUND(IF($J1396="",1,$J1396)*N($K1396),2))</f>
        <v/>
      </c>
      <c r="M1396" s="13" t="n"/>
      <c r="N1396" s="17">
        <f>IF($D1396="","",IF(ISNA(MATCH($D1396,项目名表,0)),"※项目不在项目台账里",IF($F1396="※材料类别没选","※材料类别没选",IF(AND($C1396&lt;&gt;"",ISNA(MATCH($C1396,供应商表,0))),"※供应商不在基础资料里",""))))</f>
        <v/>
      </c>
    </row>
    <row r="1397">
      <c r="A1397" s="17">
        <f>IF($D1397="","",ROW()-3)</f>
        <v/>
      </c>
      <c r="B1397" s="18" t="n"/>
      <c r="C1397" s="13" t="n"/>
      <c r="D1397" s="13" t="n"/>
      <c r="E1397" s="13" t="n"/>
      <c r="F1397" s="17">
        <f>IF($D1397="","",IFERROR(VLOOKUP($E1397,材料归属,2,0),"※材料类别没选"))</f>
        <v/>
      </c>
      <c r="G1397" s="13" t="n"/>
      <c r="H1397" s="13" t="n"/>
      <c r="I1397" s="13" t="n"/>
      <c r="J1397" s="20" t="n"/>
      <c r="K1397" s="14" t="n"/>
      <c r="L1397" s="19">
        <f>IF($D1397="","",ROUND(IF($J1397="",1,$J1397)*N($K1397),2))</f>
        <v/>
      </c>
      <c r="M1397" s="13" t="n"/>
      <c r="N1397" s="17">
        <f>IF($D1397="","",IF(ISNA(MATCH($D1397,项目名表,0)),"※项目不在项目台账里",IF($F1397="※材料类别没选","※材料类别没选",IF(AND($C1397&lt;&gt;"",ISNA(MATCH($C1397,供应商表,0))),"※供应商不在基础资料里",""))))</f>
        <v/>
      </c>
    </row>
    <row r="1398">
      <c r="A1398" s="17">
        <f>IF($D1398="","",ROW()-3)</f>
        <v/>
      </c>
      <c r="B1398" s="18" t="n"/>
      <c r="C1398" s="13" t="n"/>
      <c r="D1398" s="13" t="n"/>
      <c r="E1398" s="13" t="n"/>
      <c r="F1398" s="17">
        <f>IF($D1398="","",IFERROR(VLOOKUP($E1398,材料归属,2,0),"※材料类别没选"))</f>
        <v/>
      </c>
      <c r="G1398" s="13" t="n"/>
      <c r="H1398" s="13" t="n"/>
      <c r="I1398" s="13" t="n"/>
      <c r="J1398" s="20" t="n"/>
      <c r="K1398" s="14" t="n"/>
      <c r="L1398" s="19">
        <f>IF($D1398="","",ROUND(IF($J1398="",1,$J1398)*N($K1398),2))</f>
        <v/>
      </c>
      <c r="M1398" s="13" t="n"/>
      <c r="N1398" s="17">
        <f>IF($D1398="","",IF(ISNA(MATCH($D1398,项目名表,0)),"※项目不在项目台账里",IF($F1398="※材料类别没选","※材料类别没选",IF(AND($C1398&lt;&gt;"",ISNA(MATCH($C1398,供应商表,0))),"※供应商不在基础资料里",""))))</f>
        <v/>
      </c>
    </row>
    <row r="1399">
      <c r="A1399" s="17">
        <f>IF($D1399="","",ROW()-3)</f>
        <v/>
      </c>
      <c r="B1399" s="18" t="n"/>
      <c r="C1399" s="13" t="n"/>
      <c r="D1399" s="13" t="n"/>
      <c r="E1399" s="13" t="n"/>
      <c r="F1399" s="17">
        <f>IF($D1399="","",IFERROR(VLOOKUP($E1399,材料归属,2,0),"※材料类别没选"))</f>
        <v/>
      </c>
      <c r="G1399" s="13" t="n"/>
      <c r="H1399" s="13" t="n"/>
      <c r="I1399" s="13" t="n"/>
      <c r="J1399" s="20" t="n"/>
      <c r="K1399" s="14" t="n"/>
      <c r="L1399" s="19">
        <f>IF($D1399="","",ROUND(IF($J1399="",1,$J1399)*N($K1399),2))</f>
        <v/>
      </c>
      <c r="M1399" s="13" t="n"/>
      <c r="N1399" s="17">
        <f>IF($D1399="","",IF(ISNA(MATCH($D1399,项目名表,0)),"※项目不在项目台账里",IF($F1399="※材料类别没选","※材料类别没选",IF(AND($C1399&lt;&gt;"",ISNA(MATCH($C1399,供应商表,0))),"※供应商不在基础资料里",""))))</f>
        <v/>
      </c>
    </row>
    <row r="1400">
      <c r="A1400" s="17">
        <f>IF($D1400="","",ROW()-3)</f>
        <v/>
      </c>
      <c r="B1400" s="18" t="n"/>
      <c r="C1400" s="13" t="n"/>
      <c r="D1400" s="13" t="n"/>
      <c r="E1400" s="13" t="n"/>
      <c r="F1400" s="17">
        <f>IF($D1400="","",IFERROR(VLOOKUP($E1400,材料归属,2,0),"※材料类别没选"))</f>
        <v/>
      </c>
      <c r="G1400" s="13" t="n"/>
      <c r="H1400" s="13" t="n"/>
      <c r="I1400" s="13" t="n"/>
      <c r="J1400" s="20" t="n"/>
      <c r="K1400" s="14" t="n"/>
      <c r="L1400" s="19">
        <f>IF($D1400="","",ROUND(IF($J1400="",1,$J1400)*N($K1400),2))</f>
        <v/>
      </c>
      <c r="M1400" s="13" t="n"/>
      <c r="N1400" s="17">
        <f>IF($D1400="","",IF(ISNA(MATCH($D1400,项目名表,0)),"※项目不在项目台账里",IF($F1400="※材料类别没选","※材料类别没选",IF(AND($C1400&lt;&gt;"",ISNA(MATCH($C1400,供应商表,0))),"※供应商不在基础资料里",""))))</f>
        <v/>
      </c>
    </row>
    <row r="1401">
      <c r="A1401" s="17">
        <f>IF($D1401="","",ROW()-3)</f>
        <v/>
      </c>
      <c r="B1401" s="18" t="n"/>
      <c r="C1401" s="13" t="n"/>
      <c r="D1401" s="13" t="n"/>
      <c r="E1401" s="13" t="n"/>
      <c r="F1401" s="17">
        <f>IF($D1401="","",IFERROR(VLOOKUP($E1401,材料归属,2,0),"※材料类别没选"))</f>
        <v/>
      </c>
      <c r="G1401" s="13" t="n"/>
      <c r="H1401" s="13" t="n"/>
      <c r="I1401" s="13" t="n"/>
      <c r="J1401" s="20" t="n"/>
      <c r="K1401" s="14" t="n"/>
      <c r="L1401" s="19">
        <f>IF($D1401="","",ROUND(IF($J1401="",1,$J1401)*N($K1401),2))</f>
        <v/>
      </c>
      <c r="M1401" s="13" t="n"/>
      <c r="N1401" s="17">
        <f>IF($D1401="","",IF(ISNA(MATCH($D1401,项目名表,0)),"※项目不在项目台账里",IF($F1401="※材料类别没选","※材料类别没选",IF(AND($C1401&lt;&gt;"",ISNA(MATCH($C1401,供应商表,0))),"※供应商不在基础资料里",""))))</f>
        <v/>
      </c>
    </row>
    <row r="1402">
      <c r="A1402" s="17">
        <f>IF($D1402="","",ROW()-3)</f>
        <v/>
      </c>
      <c r="B1402" s="18" t="n"/>
      <c r="C1402" s="13" t="n"/>
      <c r="D1402" s="13" t="n"/>
      <c r="E1402" s="13" t="n"/>
      <c r="F1402" s="17">
        <f>IF($D1402="","",IFERROR(VLOOKUP($E1402,材料归属,2,0),"※材料类别没选"))</f>
        <v/>
      </c>
      <c r="G1402" s="13" t="n"/>
      <c r="H1402" s="13" t="n"/>
      <c r="I1402" s="13" t="n"/>
      <c r="J1402" s="20" t="n"/>
      <c r="K1402" s="14" t="n"/>
      <c r="L1402" s="19">
        <f>IF($D1402="","",ROUND(IF($J1402="",1,$J1402)*N($K1402),2))</f>
        <v/>
      </c>
      <c r="M1402" s="13" t="n"/>
      <c r="N1402" s="17">
        <f>IF($D1402="","",IF(ISNA(MATCH($D1402,项目名表,0)),"※项目不在项目台账里",IF($F1402="※材料类别没选","※材料类别没选",IF(AND($C1402&lt;&gt;"",ISNA(MATCH($C1402,供应商表,0))),"※供应商不在基础资料里",""))))</f>
        <v/>
      </c>
    </row>
    <row r="1403">
      <c r="A1403" s="17">
        <f>IF($D1403="","",ROW()-3)</f>
        <v/>
      </c>
      <c r="B1403" s="18" t="n"/>
      <c r="C1403" s="13" t="n"/>
      <c r="D1403" s="13" t="n"/>
      <c r="E1403" s="13" t="n"/>
      <c r="F1403" s="17">
        <f>IF($D1403="","",IFERROR(VLOOKUP($E1403,材料归属,2,0),"※材料类别没选"))</f>
        <v/>
      </c>
      <c r="G1403" s="13" t="n"/>
      <c r="H1403" s="13" t="n"/>
      <c r="I1403" s="13" t="n"/>
      <c r="J1403" s="20" t="n"/>
      <c r="K1403" s="14" t="n"/>
      <c r="L1403" s="19">
        <f>IF($D1403="","",ROUND(IF($J1403="",1,$J1403)*N($K1403),2))</f>
        <v/>
      </c>
      <c r="M1403" s="13" t="n"/>
      <c r="N1403" s="17">
        <f>IF($D1403="","",IF(ISNA(MATCH($D1403,项目名表,0)),"※项目不在项目台账里",IF($F1403="※材料类别没选","※材料类别没选",IF(AND($C1403&lt;&gt;"",ISNA(MATCH($C1403,供应商表,0))),"※供应商不在基础资料里",""))))</f>
        <v/>
      </c>
    </row>
    <row r="1404">
      <c r="A1404" s="17">
        <f>IF($D1404="","",ROW()-3)</f>
        <v/>
      </c>
      <c r="B1404" s="18" t="n"/>
      <c r="C1404" s="13" t="n"/>
      <c r="D1404" s="13" t="n"/>
      <c r="E1404" s="13" t="n"/>
      <c r="F1404" s="17">
        <f>IF($D1404="","",IFERROR(VLOOKUP($E1404,材料归属,2,0),"※材料类别没选"))</f>
        <v/>
      </c>
      <c r="G1404" s="13" t="n"/>
      <c r="H1404" s="13" t="n"/>
      <c r="I1404" s="13" t="n"/>
      <c r="J1404" s="20" t="n"/>
      <c r="K1404" s="14" t="n"/>
      <c r="L1404" s="19">
        <f>IF($D1404="","",ROUND(IF($J1404="",1,$J1404)*N($K1404),2))</f>
        <v/>
      </c>
      <c r="M1404" s="13" t="n"/>
      <c r="N1404" s="17">
        <f>IF($D1404="","",IF(ISNA(MATCH($D1404,项目名表,0)),"※项目不在项目台账里",IF($F1404="※材料类别没选","※材料类别没选",IF(AND($C1404&lt;&gt;"",ISNA(MATCH($C1404,供应商表,0))),"※供应商不在基础资料里",""))))</f>
        <v/>
      </c>
    </row>
    <row r="1405">
      <c r="A1405" s="17">
        <f>IF($D1405="","",ROW()-3)</f>
        <v/>
      </c>
      <c r="B1405" s="18" t="n"/>
      <c r="C1405" s="13" t="n"/>
      <c r="D1405" s="13" t="n"/>
      <c r="E1405" s="13" t="n"/>
      <c r="F1405" s="17">
        <f>IF($D1405="","",IFERROR(VLOOKUP($E1405,材料归属,2,0),"※材料类别没选"))</f>
        <v/>
      </c>
      <c r="G1405" s="13" t="n"/>
      <c r="H1405" s="13" t="n"/>
      <c r="I1405" s="13" t="n"/>
      <c r="J1405" s="20" t="n"/>
      <c r="K1405" s="14" t="n"/>
      <c r="L1405" s="19">
        <f>IF($D1405="","",ROUND(IF($J1405="",1,$J1405)*N($K1405),2))</f>
        <v/>
      </c>
      <c r="M1405" s="13" t="n"/>
      <c r="N1405" s="17">
        <f>IF($D1405="","",IF(ISNA(MATCH($D1405,项目名表,0)),"※项目不在项目台账里",IF($F1405="※材料类别没选","※材料类别没选",IF(AND($C1405&lt;&gt;"",ISNA(MATCH($C1405,供应商表,0))),"※供应商不在基础资料里",""))))</f>
        <v/>
      </c>
    </row>
    <row r="1406">
      <c r="A1406" s="17">
        <f>IF($D1406="","",ROW()-3)</f>
        <v/>
      </c>
      <c r="B1406" s="18" t="n"/>
      <c r="C1406" s="13" t="n"/>
      <c r="D1406" s="13" t="n"/>
      <c r="E1406" s="13" t="n"/>
      <c r="F1406" s="17">
        <f>IF($D1406="","",IFERROR(VLOOKUP($E1406,材料归属,2,0),"※材料类别没选"))</f>
        <v/>
      </c>
      <c r="G1406" s="13" t="n"/>
      <c r="H1406" s="13" t="n"/>
      <c r="I1406" s="13" t="n"/>
      <c r="J1406" s="20" t="n"/>
      <c r="K1406" s="14" t="n"/>
      <c r="L1406" s="19">
        <f>IF($D1406="","",ROUND(IF($J1406="",1,$J1406)*N($K1406),2))</f>
        <v/>
      </c>
      <c r="M1406" s="13" t="n"/>
      <c r="N1406" s="17">
        <f>IF($D1406="","",IF(ISNA(MATCH($D1406,项目名表,0)),"※项目不在项目台账里",IF($F1406="※材料类别没选","※材料类别没选",IF(AND($C1406&lt;&gt;"",ISNA(MATCH($C1406,供应商表,0))),"※供应商不在基础资料里",""))))</f>
        <v/>
      </c>
    </row>
    <row r="1407">
      <c r="A1407" s="17">
        <f>IF($D1407="","",ROW()-3)</f>
        <v/>
      </c>
      <c r="B1407" s="18" t="n"/>
      <c r="C1407" s="13" t="n"/>
      <c r="D1407" s="13" t="n"/>
      <c r="E1407" s="13" t="n"/>
      <c r="F1407" s="17">
        <f>IF($D1407="","",IFERROR(VLOOKUP($E1407,材料归属,2,0),"※材料类别没选"))</f>
        <v/>
      </c>
      <c r="G1407" s="13" t="n"/>
      <c r="H1407" s="13" t="n"/>
      <c r="I1407" s="13" t="n"/>
      <c r="J1407" s="20" t="n"/>
      <c r="K1407" s="14" t="n"/>
      <c r="L1407" s="19">
        <f>IF($D1407="","",ROUND(IF($J1407="",1,$J1407)*N($K1407),2))</f>
        <v/>
      </c>
      <c r="M1407" s="13" t="n"/>
      <c r="N1407" s="17">
        <f>IF($D1407="","",IF(ISNA(MATCH($D1407,项目名表,0)),"※项目不在项目台账里",IF($F1407="※材料类别没选","※材料类别没选",IF(AND($C1407&lt;&gt;"",ISNA(MATCH($C1407,供应商表,0))),"※供应商不在基础资料里",""))))</f>
        <v/>
      </c>
    </row>
    <row r="1408">
      <c r="A1408" s="17">
        <f>IF($D1408="","",ROW()-3)</f>
        <v/>
      </c>
      <c r="B1408" s="18" t="n"/>
      <c r="C1408" s="13" t="n"/>
      <c r="D1408" s="13" t="n"/>
      <c r="E1408" s="13" t="n"/>
      <c r="F1408" s="17">
        <f>IF($D1408="","",IFERROR(VLOOKUP($E1408,材料归属,2,0),"※材料类别没选"))</f>
        <v/>
      </c>
      <c r="G1408" s="13" t="n"/>
      <c r="H1408" s="13" t="n"/>
      <c r="I1408" s="13" t="n"/>
      <c r="J1408" s="20" t="n"/>
      <c r="K1408" s="14" t="n"/>
      <c r="L1408" s="19">
        <f>IF($D1408="","",ROUND(IF($J1408="",1,$J1408)*N($K1408),2))</f>
        <v/>
      </c>
      <c r="M1408" s="13" t="n"/>
      <c r="N1408" s="17">
        <f>IF($D1408="","",IF(ISNA(MATCH($D1408,项目名表,0)),"※项目不在项目台账里",IF($F1408="※材料类别没选","※材料类别没选",IF(AND($C1408&lt;&gt;"",ISNA(MATCH($C1408,供应商表,0))),"※供应商不在基础资料里",""))))</f>
        <v/>
      </c>
    </row>
    <row r="1409">
      <c r="A1409" s="17">
        <f>IF($D1409="","",ROW()-3)</f>
        <v/>
      </c>
      <c r="B1409" s="18" t="n"/>
      <c r="C1409" s="13" t="n"/>
      <c r="D1409" s="13" t="n"/>
      <c r="E1409" s="13" t="n"/>
      <c r="F1409" s="17">
        <f>IF($D1409="","",IFERROR(VLOOKUP($E1409,材料归属,2,0),"※材料类别没选"))</f>
        <v/>
      </c>
      <c r="G1409" s="13" t="n"/>
      <c r="H1409" s="13" t="n"/>
      <c r="I1409" s="13" t="n"/>
      <c r="J1409" s="20" t="n"/>
      <c r="K1409" s="14" t="n"/>
      <c r="L1409" s="19">
        <f>IF($D1409="","",ROUND(IF($J1409="",1,$J1409)*N($K1409),2))</f>
        <v/>
      </c>
      <c r="M1409" s="13" t="n"/>
      <c r="N1409" s="17">
        <f>IF($D1409="","",IF(ISNA(MATCH($D1409,项目名表,0)),"※项目不在项目台账里",IF($F1409="※材料类别没选","※材料类别没选",IF(AND($C1409&lt;&gt;"",ISNA(MATCH($C1409,供应商表,0))),"※供应商不在基础资料里",""))))</f>
        <v/>
      </c>
    </row>
    <row r="1410">
      <c r="A1410" s="17">
        <f>IF($D1410="","",ROW()-3)</f>
        <v/>
      </c>
      <c r="B1410" s="18" t="n"/>
      <c r="C1410" s="13" t="n"/>
      <c r="D1410" s="13" t="n"/>
      <c r="E1410" s="13" t="n"/>
      <c r="F1410" s="17">
        <f>IF($D1410="","",IFERROR(VLOOKUP($E1410,材料归属,2,0),"※材料类别没选"))</f>
        <v/>
      </c>
      <c r="G1410" s="13" t="n"/>
      <c r="H1410" s="13" t="n"/>
      <c r="I1410" s="13" t="n"/>
      <c r="J1410" s="20" t="n"/>
      <c r="K1410" s="14" t="n"/>
      <c r="L1410" s="19">
        <f>IF($D1410="","",ROUND(IF($J1410="",1,$J1410)*N($K1410),2))</f>
        <v/>
      </c>
      <c r="M1410" s="13" t="n"/>
      <c r="N1410" s="17">
        <f>IF($D1410="","",IF(ISNA(MATCH($D1410,项目名表,0)),"※项目不在项目台账里",IF($F1410="※材料类别没选","※材料类别没选",IF(AND($C1410&lt;&gt;"",ISNA(MATCH($C1410,供应商表,0))),"※供应商不在基础资料里",""))))</f>
        <v/>
      </c>
    </row>
    <row r="1411">
      <c r="A1411" s="17">
        <f>IF($D1411="","",ROW()-3)</f>
        <v/>
      </c>
      <c r="B1411" s="18" t="n"/>
      <c r="C1411" s="13" t="n"/>
      <c r="D1411" s="13" t="n"/>
      <c r="E1411" s="13" t="n"/>
      <c r="F1411" s="17">
        <f>IF($D1411="","",IFERROR(VLOOKUP($E1411,材料归属,2,0),"※材料类别没选"))</f>
        <v/>
      </c>
      <c r="G1411" s="13" t="n"/>
      <c r="H1411" s="13" t="n"/>
      <c r="I1411" s="13" t="n"/>
      <c r="J1411" s="20" t="n"/>
      <c r="K1411" s="14" t="n"/>
      <c r="L1411" s="19">
        <f>IF($D1411="","",ROUND(IF($J1411="",1,$J1411)*N($K1411),2))</f>
        <v/>
      </c>
      <c r="M1411" s="13" t="n"/>
      <c r="N1411" s="17">
        <f>IF($D1411="","",IF(ISNA(MATCH($D1411,项目名表,0)),"※项目不在项目台账里",IF($F1411="※材料类别没选","※材料类别没选",IF(AND($C1411&lt;&gt;"",ISNA(MATCH($C1411,供应商表,0))),"※供应商不在基础资料里",""))))</f>
        <v/>
      </c>
    </row>
    <row r="1412">
      <c r="A1412" s="17">
        <f>IF($D1412="","",ROW()-3)</f>
        <v/>
      </c>
      <c r="B1412" s="18" t="n"/>
      <c r="C1412" s="13" t="n"/>
      <c r="D1412" s="13" t="n"/>
      <c r="E1412" s="13" t="n"/>
      <c r="F1412" s="17">
        <f>IF($D1412="","",IFERROR(VLOOKUP($E1412,材料归属,2,0),"※材料类别没选"))</f>
        <v/>
      </c>
      <c r="G1412" s="13" t="n"/>
      <c r="H1412" s="13" t="n"/>
      <c r="I1412" s="13" t="n"/>
      <c r="J1412" s="20" t="n"/>
      <c r="K1412" s="14" t="n"/>
      <c r="L1412" s="19">
        <f>IF($D1412="","",ROUND(IF($J1412="",1,$J1412)*N($K1412),2))</f>
        <v/>
      </c>
      <c r="M1412" s="13" t="n"/>
      <c r="N1412" s="17">
        <f>IF($D1412="","",IF(ISNA(MATCH($D1412,项目名表,0)),"※项目不在项目台账里",IF($F1412="※材料类别没选","※材料类别没选",IF(AND($C1412&lt;&gt;"",ISNA(MATCH($C1412,供应商表,0))),"※供应商不在基础资料里",""))))</f>
        <v/>
      </c>
    </row>
    <row r="1413">
      <c r="A1413" s="17">
        <f>IF($D1413="","",ROW()-3)</f>
        <v/>
      </c>
      <c r="B1413" s="18" t="n"/>
      <c r="C1413" s="13" t="n"/>
      <c r="D1413" s="13" t="n"/>
      <c r="E1413" s="13" t="n"/>
      <c r="F1413" s="17">
        <f>IF($D1413="","",IFERROR(VLOOKUP($E1413,材料归属,2,0),"※材料类别没选"))</f>
        <v/>
      </c>
      <c r="G1413" s="13" t="n"/>
      <c r="H1413" s="13" t="n"/>
      <c r="I1413" s="13" t="n"/>
      <c r="J1413" s="20" t="n"/>
      <c r="K1413" s="14" t="n"/>
      <c r="L1413" s="19">
        <f>IF($D1413="","",ROUND(IF($J1413="",1,$J1413)*N($K1413),2))</f>
        <v/>
      </c>
      <c r="M1413" s="13" t="n"/>
      <c r="N1413" s="17">
        <f>IF($D1413="","",IF(ISNA(MATCH($D1413,项目名表,0)),"※项目不在项目台账里",IF($F1413="※材料类别没选","※材料类别没选",IF(AND($C1413&lt;&gt;"",ISNA(MATCH($C1413,供应商表,0))),"※供应商不在基础资料里",""))))</f>
        <v/>
      </c>
    </row>
    <row r="1414">
      <c r="A1414" s="17">
        <f>IF($D1414="","",ROW()-3)</f>
        <v/>
      </c>
      <c r="B1414" s="18" t="n"/>
      <c r="C1414" s="13" t="n"/>
      <c r="D1414" s="13" t="n"/>
      <c r="E1414" s="13" t="n"/>
      <c r="F1414" s="17">
        <f>IF($D1414="","",IFERROR(VLOOKUP($E1414,材料归属,2,0),"※材料类别没选"))</f>
        <v/>
      </c>
      <c r="G1414" s="13" t="n"/>
      <c r="H1414" s="13" t="n"/>
      <c r="I1414" s="13" t="n"/>
      <c r="J1414" s="20" t="n"/>
      <c r="K1414" s="14" t="n"/>
      <c r="L1414" s="19">
        <f>IF($D1414="","",ROUND(IF($J1414="",1,$J1414)*N($K1414),2))</f>
        <v/>
      </c>
      <c r="M1414" s="13" t="n"/>
      <c r="N1414" s="17">
        <f>IF($D1414="","",IF(ISNA(MATCH($D1414,项目名表,0)),"※项目不在项目台账里",IF($F1414="※材料类别没选","※材料类别没选",IF(AND($C1414&lt;&gt;"",ISNA(MATCH($C1414,供应商表,0))),"※供应商不在基础资料里",""))))</f>
        <v/>
      </c>
    </row>
    <row r="1415">
      <c r="A1415" s="17">
        <f>IF($D1415="","",ROW()-3)</f>
        <v/>
      </c>
      <c r="B1415" s="18" t="n"/>
      <c r="C1415" s="13" t="n"/>
      <c r="D1415" s="13" t="n"/>
      <c r="E1415" s="13" t="n"/>
      <c r="F1415" s="17">
        <f>IF($D1415="","",IFERROR(VLOOKUP($E1415,材料归属,2,0),"※材料类别没选"))</f>
        <v/>
      </c>
      <c r="G1415" s="13" t="n"/>
      <c r="H1415" s="13" t="n"/>
      <c r="I1415" s="13" t="n"/>
      <c r="J1415" s="20" t="n"/>
      <c r="K1415" s="14" t="n"/>
      <c r="L1415" s="19">
        <f>IF($D1415="","",ROUND(IF($J1415="",1,$J1415)*N($K1415),2))</f>
        <v/>
      </c>
      <c r="M1415" s="13" t="n"/>
      <c r="N1415" s="17">
        <f>IF($D1415="","",IF(ISNA(MATCH($D1415,项目名表,0)),"※项目不在项目台账里",IF($F1415="※材料类别没选","※材料类别没选",IF(AND($C1415&lt;&gt;"",ISNA(MATCH($C1415,供应商表,0))),"※供应商不在基础资料里",""))))</f>
        <v/>
      </c>
    </row>
    <row r="1416">
      <c r="A1416" s="17">
        <f>IF($D1416="","",ROW()-3)</f>
        <v/>
      </c>
      <c r="B1416" s="18" t="n"/>
      <c r="C1416" s="13" t="n"/>
      <c r="D1416" s="13" t="n"/>
      <c r="E1416" s="13" t="n"/>
      <c r="F1416" s="17">
        <f>IF($D1416="","",IFERROR(VLOOKUP($E1416,材料归属,2,0),"※材料类别没选"))</f>
        <v/>
      </c>
      <c r="G1416" s="13" t="n"/>
      <c r="H1416" s="13" t="n"/>
      <c r="I1416" s="13" t="n"/>
      <c r="J1416" s="20" t="n"/>
      <c r="K1416" s="14" t="n"/>
      <c r="L1416" s="19">
        <f>IF($D1416="","",ROUND(IF($J1416="",1,$J1416)*N($K1416),2))</f>
        <v/>
      </c>
      <c r="M1416" s="13" t="n"/>
      <c r="N1416" s="17">
        <f>IF($D1416="","",IF(ISNA(MATCH($D1416,项目名表,0)),"※项目不在项目台账里",IF($F1416="※材料类别没选","※材料类别没选",IF(AND($C1416&lt;&gt;"",ISNA(MATCH($C1416,供应商表,0))),"※供应商不在基础资料里",""))))</f>
        <v/>
      </c>
    </row>
    <row r="1417">
      <c r="A1417" s="17">
        <f>IF($D1417="","",ROW()-3)</f>
        <v/>
      </c>
      <c r="B1417" s="18" t="n"/>
      <c r="C1417" s="13" t="n"/>
      <c r="D1417" s="13" t="n"/>
      <c r="E1417" s="13" t="n"/>
      <c r="F1417" s="17">
        <f>IF($D1417="","",IFERROR(VLOOKUP($E1417,材料归属,2,0),"※材料类别没选"))</f>
        <v/>
      </c>
      <c r="G1417" s="13" t="n"/>
      <c r="H1417" s="13" t="n"/>
      <c r="I1417" s="13" t="n"/>
      <c r="J1417" s="20" t="n"/>
      <c r="K1417" s="14" t="n"/>
      <c r="L1417" s="19">
        <f>IF($D1417="","",ROUND(IF($J1417="",1,$J1417)*N($K1417),2))</f>
        <v/>
      </c>
      <c r="M1417" s="13" t="n"/>
      <c r="N1417" s="17">
        <f>IF($D1417="","",IF(ISNA(MATCH($D1417,项目名表,0)),"※项目不在项目台账里",IF($F1417="※材料类别没选","※材料类别没选",IF(AND($C1417&lt;&gt;"",ISNA(MATCH($C1417,供应商表,0))),"※供应商不在基础资料里",""))))</f>
        <v/>
      </c>
    </row>
    <row r="1418">
      <c r="A1418" s="17">
        <f>IF($D1418="","",ROW()-3)</f>
        <v/>
      </c>
      <c r="B1418" s="18" t="n"/>
      <c r="C1418" s="13" t="n"/>
      <c r="D1418" s="13" t="n"/>
      <c r="E1418" s="13" t="n"/>
      <c r="F1418" s="17">
        <f>IF($D1418="","",IFERROR(VLOOKUP($E1418,材料归属,2,0),"※材料类别没选"))</f>
        <v/>
      </c>
      <c r="G1418" s="13" t="n"/>
      <c r="H1418" s="13" t="n"/>
      <c r="I1418" s="13" t="n"/>
      <c r="J1418" s="20" t="n"/>
      <c r="K1418" s="14" t="n"/>
      <c r="L1418" s="19">
        <f>IF($D1418="","",ROUND(IF($J1418="",1,$J1418)*N($K1418),2))</f>
        <v/>
      </c>
      <c r="M1418" s="13" t="n"/>
      <c r="N1418" s="17">
        <f>IF($D1418="","",IF(ISNA(MATCH($D1418,项目名表,0)),"※项目不在项目台账里",IF($F1418="※材料类别没选","※材料类别没选",IF(AND($C1418&lt;&gt;"",ISNA(MATCH($C1418,供应商表,0))),"※供应商不在基础资料里",""))))</f>
        <v/>
      </c>
    </row>
    <row r="1419">
      <c r="A1419" s="17">
        <f>IF($D1419="","",ROW()-3)</f>
        <v/>
      </c>
      <c r="B1419" s="18" t="n"/>
      <c r="C1419" s="13" t="n"/>
      <c r="D1419" s="13" t="n"/>
      <c r="E1419" s="13" t="n"/>
      <c r="F1419" s="17">
        <f>IF($D1419="","",IFERROR(VLOOKUP($E1419,材料归属,2,0),"※材料类别没选"))</f>
        <v/>
      </c>
      <c r="G1419" s="13" t="n"/>
      <c r="H1419" s="13" t="n"/>
      <c r="I1419" s="13" t="n"/>
      <c r="J1419" s="20" t="n"/>
      <c r="K1419" s="14" t="n"/>
      <c r="L1419" s="19">
        <f>IF($D1419="","",ROUND(IF($J1419="",1,$J1419)*N($K1419),2))</f>
        <v/>
      </c>
      <c r="M1419" s="13" t="n"/>
      <c r="N1419" s="17">
        <f>IF($D1419="","",IF(ISNA(MATCH($D1419,项目名表,0)),"※项目不在项目台账里",IF($F1419="※材料类别没选","※材料类别没选",IF(AND($C1419&lt;&gt;"",ISNA(MATCH($C1419,供应商表,0))),"※供应商不在基础资料里",""))))</f>
        <v/>
      </c>
    </row>
    <row r="1420">
      <c r="A1420" s="17">
        <f>IF($D1420="","",ROW()-3)</f>
        <v/>
      </c>
      <c r="B1420" s="18" t="n"/>
      <c r="C1420" s="13" t="n"/>
      <c r="D1420" s="13" t="n"/>
      <c r="E1420" s="13" t="n"/>
      <c r="F1420" s="17">
        <f>IF($D1420="","",IFERROR(VLOOKUP($E1420,材料归属,2,0),"※材料类别没选"))</f>
        <v/>
      </c>
      <c r="G1420" s="13" t="n"/>
      <c r="H1420" s="13" t="n"/>
      <c r="I1420" s="13" t="n"/>
      <c r="J1420" s="20" t="n"/>
      <c r="K1420" s="14" t="n"/>
      <c r="L1420" s="19">
        <f>IF($D1420="","",ROUND(IF($J1420="",1,$J1420)*N($K1420),2))</f>
        <v/>
      </c>
      <c r="M1420" s="13" t="n"/>
      <c r="N1420" s="17">
        <f>IF($D1420="","",IF(ISNA(MATCH($D1420,项目名表,0)),"※项目不在项目台账里",IF($F1420="※材料类别没选","※材料类别没选",IF(AND($C1420&lt;&gt;"",ISNA(MATCH($C1420,供应商表,0))),"※供应商不在基础资料里",""))))</f>
        <v/>
      </c>
    </row>
    <row r="1421">
      <c r="A1421" s="17">
        <f>IF($D1421="","",ROW()-3)</f>
        <v/>
      </c>
      <c r="B1421" s="18" t="n"/>
      <c r="C1421" s="13" t="n"/>
      <c r="D1421" s="13" t="n"/>
      <c r="E1421" s="13" t="n"/>
      <c r="F1421" s="17">
        <f>IF($D1421="","",IFERROR(VLOOKUP($E1421,材料归属,2,0),"※材料类别没选"))</f>
        <v/>
      </c>
      <c r="G1421" s="13" t="n"/>
      <c r="H1421" s="13" t="n"/>
      <c r="I1421" s="13" t="n"/>
      <c r="J1421" s="20" t="n"/>
      <c r="K1421" s="14" t="n"/>
      <c r="L1421" s="19">
        <f>IF($D1421="","",ROUND(IF($J1421="",1,$J1421)*N($K1421),2))</f>
        <v/>
      </c>
      <c r="M1421" s="13" t="n"/>
      <c r="N1421" s="17">
        <f>IF($D1421="","",IF(ISNA(MATCH($D1421,项目名表,0)),"※项目不在项目台账里",IF($F1421="※材料类别没选","※材料类别没选",IF(AND($C1421&lt;&gt;"",ISNA(MATCH($C1421,供应商表,0))),"※供应商不在基础资料里",""))))</f>
        <v/>
      </c>
    </row>
    <row r="1422">
      <c r="A1422" s="17">
        <f>IF($D1422="","",ROW()-3)</f>
        <v/>
      </c>
      <c r="B1422" s="18" t="n"/>
      <c r="C1422" s="13" t="n"/>
      <c r="D1422" s="13" t="n"/>
      <c r="E1422" s="13" t="n"/>
      <c r="F1422" s="17">
        <f>IF($D1422="","",IFERROR(VLOOKUP($E1422,材料归属,2,0),"※材料类别没选"))</f>
        <v/>
      </c>
      <c r="G1422" s="13" t="n"/>
      <c r="H1422" s="13" t="n"/>
      <c r="I1422" s="13" t="n"/>
      <c r="J1422" s="20" t="n"/>
      <c r="K1422" s="14" t="n"/>
      <c r="L1422" s="19">
        <f>IF($D1422="","",ROUND(IF($J1422="",1,$J1422)*N($K1422),2))</f>
        <v/>
      </c>
      <c r="M1422" s="13" t="n"/>
      <c r="N1422" s="17">
        <f>IF($D1422="","",IF(ISNA(MATCH($D1422,项目名表,0)),"※项目不在项目台账里",IF($F1422="※材料类别没选","※材料类别没选",IF(AND($C1422&lt;&gt;"",ISNA(MATCH($C1422,供应商表,0))),"※供应商不在基础资料里",""))))</f>
        <v/>
      </c>
    </row>
    <row r="1423">
      <c r="A1423" s="17">
        <f>IF($D1423="","",ROW()-3)</f>
        <v/>
      </c>
      <c r="B1423" s="18" t="n"/>
      <c r="C1423" s="13" t="n"/>
      <c r="D1423" s="13" t="n"/>
      <c r="E1423" s="13" t="n"/>
      <c r="F1423" s="17">
        <f>IF($D1423="","",IFERROR(VLOOKUP($E1423,材料归属,2,0),"※材料类别没选"))</f>
        <v/>
      </c>
      <c r="G1423" s="13" t="n"/>
      <c r="H1423" s="13" t="n"/>
      <c r="I1423" s="13" t="n"/>
      <c r="J1423" s="20" t="n"/>
      <c r="K1423" s="14" t="n"/>
      <c r="L1423" s="19">
        <f>IF($D1423="","",ROUND(IF($J1423="",1,$J1423)*N($K1423),2))</f>
        <v/>
      </c>
      <c r="M1423" s="13" t="n"/>
      <c r="N1423" s="17">
        <f>IF($D1423="","",IF(ISNA(MATCH($D1423,项目名表,0)),"※项目不在项目台账里",IF($F1423="※材料类别没选","※材料类别没选",IF(AND($C1423&lt;&gt;"",ISNA(MATCH($C1423,供应商表,0))),"※供应商不在基础资料里",""))))</f>
        <v/>
      </c>
    </row>
    <row r="1424">
      <c r="A1424" s="17">
        <f>IF($D1424="","",ROW()-3)</f>
        <v/>
      </c>
      <c r="B1424" s="18" t="n"/>
      <c r="C1424" s="13" t="n"/>
      <c r="D1424" s="13" t="n"/>
      <c r="E1424" s="13" t="n"/>
      <c r="F1424" s="17">
        <f>IF($D1424="","",IFERROR(VLOOKUP($E1424,材料归属,2,0),"※材料类别没选"))</f>
        <v/>
      </c>
      <c r="G1424" s="13" t="n"/>
      <c r="H1424" s="13" t="n"/>
      <c r="I1424" s="13" t="n"/>
      <c r="J1424" s="20" t="n"/>
      <c r="K1424" s="14" t="n"/>
      <c r="L1424" s="19">
        <f>IF($D1424="","",ROUND(IF($J1424="",1,$J1424)*N($K1424),2))</f>
        <v/>
      </c>
      <c r="M1424" s="13" t="n"/>
      <c r="N1424" s="17">
        <f>IF($D1424="","",IF(ISNA(MATCH($D1424,项目名表,0)),"※项目不在项目台账里",IF($F1424="※材料类别没选","※材料类别没选",IF(AND($C1424&lt;&gt;"",ISNA(MATCH($C1424,供应商表,0))),"※供应商不在基础资料里",""))))</f>
        <v/>
      </c>
    </row>
    <row r="1425">
      <c r="A1425" s="17">
        <f>IF($D1425="","",ROW()-3)</f>
        <v/>
      </c>
      <c r="B1425" s="18" t="n"/>
      <c r="C1425" s="13" t="n"/>
      <c r="D1425" s="13" t="n"/>
      <c r="E1425" s="13" t="n"/>
      <c r="F1425" s="17">
        <f>IF($D1425="","",IFERROR(VLOOKUP($E1425,材料归属,2,0),"※材料类别没选"))</f>
        <v/>
      </c>
      <c r="G1425" s="13" t="n"/>
      <c r="H1425" s="13" t="n"/>
      <c r="I1425" s="13" t="n"/>
      <c r="J1425" s="20" t="n"/>
      <c r="K1425" s="14" t="n"/>
      <c r="L1425" s="19">
        <f>IF($D1425="","",ROUND(IF($J1425="",1,$J1425)*N($K1425),2))</f>
        <v/>
      </c>
      <c r="M1425" s="13" t="n"/>
      <c r="N1425" s="17">
        <f>IF($D1425="","",IF(ISNA(MATCH($D1425,项目名表,0)),"※项目不在项目台账里",IF($F1425="※材料类别没选","※材料类别没选",IF(AND($C1425&lt;&gt;"",ISNA(MATCH($C1425,供应商表,0))),"※供应商不在基础资料里",""))))</f>
        <v/>
      </c>
    </row>
    <row r="1426">
      <c r="A1426" s="17">
        <f>IF($D1426="","",ROW()-3)</f>
        <v/>
      </c>
      <c r="B1426" s="18" t="n"/>
      <c r="C1426" s="13" t="n"/>
      <c r="D1426" s="13" t="n"/>
      <c r="E1426" s="13" t="n"/>
      <c r="F1426" s="17">
        <f>IF($D1426="","",IFERROR(VLOOKUP($E1426,材料归属,2,0),"※材料类别没选"))</f>
        <v/>
      </c>
      <c r="G1426" s="13" t="n"/>
      <c r="H1426" s="13" t="n"/>
      <c r="I1426" s="13" t="n"/>
      <c r="J1426" s="20" t="n"/>
      <c r="K1426" s="14" t="n"/>
      <c r="L1426" s="19">
        <f>IF($D1426="","",ROUND(IF($J1426="",1,$J1426)*N($K1426),2))</f>
        <v/>
      </c>
      <c r="M1426" s="13" t="n"/>
      <c r="N1426" s="17">
        <f>IF($D1426="","",IF(ISNA(MATCH($D1426,项目名表,0)),"※项目不在项目台账里",IF($F1426="※材料类别没选","※材料类别没选",IF(AND($C1426&lt;&gt;"",ISNA(MATCH($C1426,供应商表,0))),"※供应商不在基础资料里",""))))</f>
        <v/>
      </c>
    </row>
    <row r="1427">
      <c r="A1427" s="17">
        <f>IF($D1427="","",ROW()-3)</f>
        <v/>
      </c>
      <c r="B1427" s="18" t="n"/>
      <c r="C1427" s="13" t="n"/>
      <c r="D1427" s="13" t="n"/>
      <c r="E1427" s="13" t="n"/>
      <c r="F1427" s="17">
        <f>IF($D1427="","",IFERROR(VLOOKUP($E1427,材料归属,2,0),"※材料类别没选"))</f>
        <v/>
      </c>
      <c r="G1427" s="13" t="n"/>
      <c r="H1427" s="13" t="n"/>
      <c r="I1427" s="13" t="n"/>
      <c r="J1427" s="20" t="n"/>
      <c r="K1427" s="14" t="n"/>
      <c r="L1427" s="19">
        <f>IF($D1427="","",ROUND(IF($J1427="",1,$J1427)*N($K1427),2))</f>
        <v/>
      </c>
      <c r="M1427" s="13" t="n"/>
      <c r="N1427" s="17">
        <f>IF($D1427="","",IF(ISNA(MATCH($D1427,项目名表,0)),"※项目不在项目台账里",IF($F1427="※材料类别没选","※材料类别没选",IF(AND($C1427&lt;&gt;"",ISNA(MATCH($C1427,供应商表,0))),"※供应商不在基础资料里",""))))</f>
        <v/>
      </c>
    </row>
    <row r="1428">
      <c r="A1428" s="17">
        <f>IF($D1428="","",ROW()-3)</f>
        <v/>
      </c>
      <c r="B1428" s="18" t="n"/>
      <c r="C1428" s="13" t="n"/>
      <c r="D1428" s="13" t="n"/>
      <c r="E1428" s="13" t="n"/>
      <c r="F1428" s="17">
        <f>IF($D1428="","",IFERROR(VLOOKUP($E1428,材料归属,2,0),"※材料类别没选"))</f>
        <v/>
      </c>
      <c r="G1428" s="13" t="n"/>
      <c r="H1428" s="13" t="n"/>
      <c r="I1428" s="13" t="n"/>
      <c r="J1428" s="20" t="n"/>
      <c r="K1428" s="14" t="n"/>
      <c r="L1428" s="19">
        <f>IF($D1428="","",ROUND(IF($J1428="",1,$J1428)*N($K1428),2))</f>
        <v/>
      </c>
      <c r="M1428" s="13" t="n"/>
      <c r="N1428" s="17">
        <f>IF($D1428="","",IF(ISNA(MATCH($D1428,项目名表,0)),"※项目不在项目台账里",IF($F1428="※材料类别没选","※材料类别没选",IF(AND($C1428&lt;&gt;"",ISNA(MATCH($C1428,供应商表,0))),"※供应商不在基础资料里",""))))</f>
        <v/>
      </c>
    </row>
    <row r="1429">
      <c r="A1429" s="17">
        <f>IF($D1429="","",ROW()-3)</f>
        <v/>
      </c>
      <c r="B1429" s="18" t="n"/>
      <c r="C1429" s="13" t="n"/>
      <c r="D1429" s="13" t="n"/>
      <c r="E1429" s="13" t="n"/>
      <c r="F1429" s="17">
        <f>IF($D1429="","",IFERROR(VLOOKUP($E1429,材料归属,2,0),"※材料类别没选"))</f>
        <v/>
      </c>
      <c r="G1429" s="13" t="n"/>
      <c r="H1429" s="13" t="n"/>
      <c r="I1429" s="13" t="n"/>
      <c r="J1429" s="20" t="n"/>
      <c r="K1429" s="14" t="n"/>
      <c r="L1429" s="19">
        <f>IF($D1429="","",ROUND(IF($J1429="",1,$J1429)*N($K1429),2))</f>
        <v/>
      </c>
      <c r="M1429" s="13" t="n"/>
      <c r="N1429" s="17">
        <f>IF($D1429="","",IF(ISNA(MATCH($D1429,项目名表,0)),"※项目不在项目台账里",IF($F1429="※材料类别没选","※材料类别没选",IF(AND($C1429&lt;&gt;"",ISNA(MATCH($C1429,供应商表,0))),"※供应商不在基础资料里",""))))</f>
        <v/>
      </c>
    </row>
    <row r="1430">
      <c r="A1430" s="17">
        <f>IF($D1430="","",ROW()-3)</f>
        <v/>
      </c>
      <c r="B1430" s="18" t="n"/>
      <c r="C1430" s="13" t="n"/>
      <c r="D1430" s="13" t="n"/>
      <c r="E1430" s="13" t="n"/>
      <c r="F1430" s="17">
        <f>IF($D1430="","",IFERROR(VLOOKUP($E1430,材料归属,2,0),"※材料类别没选"))</f>
        <v/>
      </c>
      <c r="G1430" s="13" t="n"/>
      <c r="H1430" s="13" t="n"/>
      <c r="I1430" s="13" t="n"/>
      <c r="J1430" s="20" t="n"/>
      <c r="K1430" s="14" t="n"/>
      <c r="L1430" s="19">
        <f>IF($D1430="","",ROUND(IF($J1430="",1,$J1430)*N($K1430),2))</f>
        <v/>
      </c>
      <c r="M1430" s="13" t="n"/>
      <c r="N1430" s="17">
        <f>IF($D1430="","",IF(ISNA(MATCH($D1430,项目名表,0)),"※项目不在项目台账里",IF($F1430="※材料类别没选","※材料类别没选",IF(AND($C1430&lt;&gt;"",ISNA(MATCH($C1430,供应商表,0))),"※供应商不在基础资料里",""))))</f>
        <v/>
      </c>
    </row>
    <row r="1431">
      <c r="A1431" s="17">
        <f>IF($D1431="","",ROW()-3)</f>
        <v/>
      </c>
      <c r="B1431" s="18" t="n"/>
      <c r="C1431" s="13" t="n"/>
      <c r="D1431" s="13" t="n"/>
      <c r="E1431" s="13" t="n"/>
      <c r="F1431" s="17">
        <f>IF($D1431="","",IFERROR(VLOOKUP($E1431,材料归属,2,0),"※材料类别没选"))</f>
        <v/>
      </c>
      <c r="G1431" s="13" t="n"/>
      <c r="H1431" s="13" t="n"/>
      <c r="I1431" s="13" t="n"/>
      <c r="J1431" s="20" t="n"/>
      <c r="K1431" s="14" t="n"/>
      <c r="L1431" s="19">
        <f>IF($D1431="","",ROUND(IF($J1431="",1,$J1431)*N($K1431),2))</f>
        <v/>
      </c>
      <c r="M1431" s="13" t="n"/>
      <c r="N1431" s="17">
        <f>IF($D1431="","",IF(ISNA(MATCH($D1431,项目名表,0)),"※项目不在项目台账里",IF($F1431="※材料类别没选","※材料类别没选",IF(AND($C1431&lt;&gt;"",ISNA(MATCH($C1431,供应商表,0))),"※供应商不在基础资料里",""))))</f>
        <v/>
      </c>
    </row>
    <row r="1432">
      <c r="A1432" s="17">
        <f>IF($D1432="","",ROW()-3)</f>
        <v/>
      </c>
      <c r="B1432" s="18" t="n"/>
      <c r="C1432" s="13" t="n"/>
      <c r="D1432" s="13" t="n"/>
      <c r="E1432" s="13" t="n"/>
      <c r="F1432" s="17">
        <f>IF($D1432="","",IFERROR(VLOOKUP($E1432,材料归属,2,0),"※材料类别没选"))</f>
        <v/>
      </c>
      <c r="G1432" s="13" t="n"/>
      <c r="H1432" s="13" t="n"/>
      <c r="I1432" s="13" t="n"/>
      <c r="J1432" s="20" t="n"/>
      <c r="K1432" s="14" t="n"/>
      <c r="L1432" s="19">
        <f>IF($D1432="","",ROUND(IF($J1432="",1,$J1432)*N($K1432),2))</f>
        <v/>
      </c>
      <c r="M1432" s="13" t="n"/>
      <c r="N1432" s="17">
        <f>IF($D1432="","",IF(ISNA(MATCH($D1432,项目名表,0)),"※项目不在项目台账里",IF($F1432="※材料类别没选","※材料类别没选",IF(AND($C1432&lt;&gt;"",ISNA(MATCH($C1432,供应商表,0))),"※供应商不在基础资料里",""))))</f>
        <v/>
      </c>
    </row>
    <row r="1433">
      <c r="A1433" s="17">
        <f>IF($D1433="","",ROW()-3)</f>
        <v/>
      </c>
      <c r="B1433" s="18" t="n"/>
      <c r="C1433" s="13" t="n"/>
      <c r="D1433" s="13" t="n"/>
      <c r="E1433" s="13" t="n"/>
      <c r="F1433" s="17">
        <f>IF($D1433="","",IFERROR(VLOOKUP($E1433,材料归属,2,0),"※材料类别没选"))</f>
        <v/>
      </c>
      <c r="G1433" s="13" t="n"/>
      <c r="H1433" s="13" t="n"/>
      <c r="I1433" s="13" t="n"/>
      <c r="J1433" s="20" t="n"/>
      <c r="K1433" s="14" t="n"/>
      <c r="L1433" s="19">
        <f>IF($D1433="","",ROUND(IF($J1433="",1,$J1433)*N($K1433),2))</f>
        <v/>
      </c>
      <c r="M1433" s="13" t="n"/>
      <c r="N1433" s="17">
        <f>IF($D1433="","",IF(ISNA(MATCH($D1433,项目名表,0)),"※项目不在项目台账里",IF($F1433="※材料类别没选","※材料类别没选",IF(AND($C1433&lt;&gt;"",ISNA(MATCH($C1433,供应商表,0))),"※供应商不在基础资料里",""))))</f>
        <v/>
      </c>
    </row>
    <row r="1434">
      <c r="A1434" s="17">
        <f>IF($D1434="","",ROW()-3)</f>
        <v/>
      </c>
      <c r="B1434" s="18" t="n"/>
      <c r="C1434" s="13" t="n"/>
      <c r="D1434" s="13" t="n"/>
      <c r="E1434" s="13" t="n"/>
      <c r="F1434" s="17">
        <f>IF($D1434="","",IFERROR(VLOOKUP($E1434,材料归属,2,0),"※材料类别没选"))</f>
        <v/>
      </c>
      <c r="G1434" s="13" t="n"/>
      <c r="H1434" s="13" t="n"/>
      <c r="I1434" s="13" t="n"/>
      <c r="J1434" s="20" t="n"/>
      <c r="K1434" s="14" t="n"/>
      <c r="L1434" s="19">
        <f>IF($D1434="","",ROUND(IF($J1434="",1,$J1434)*N($K1434),2))</f>
        <v/>
      </c>
      <c r="M1434" s="13" t="n"/>
      <c r="N1434" s="17">
        <f>IF($D1434="","",IF(ISNA(MATCH($D1434,项目名表,0)),"※项目不在项目台账里",IF($F1434="※材料类别没选","※材料类别没选",IF(AND($C1434&lt;&gt;"",ISNA(MATCH($C1434,供应商表,0))),"※供应商不在基础资料里",""))))</f>
        <v/>
      </c>
    </row>
    <row r="1435">
      <c r="A1435" s="17">
        <f>IF($D1435="","",ROW()-3)</f>
        <v/>
      </c>
      <c r="B1435" s="18" t="n"/>
      <c r="C1435" s="13" t="n"/>
      <c r="D1435" s="13" t="n"/>
      <c r="E1435" s="13" t="n"/>
      <c r="F1435" s="17">
        <f>IF($D1435="","",IFERROR(VLOOKUP($E1435,材料归属,2,0),"※材料类别没选"))</f>
        <v/>
      </c>
      <c r="G1435" s="13" t="n"/>
      <c r="H1435" s="13" t="n"/>
      <c r="I1435" s="13" t="n"/>
      <c r="J1435" s="20" t="n"/>
      <c r="K1435" s="14" t="n"/>
      <c r="L1435" s="19">
        <f>IF($D1435="","",ROUND(IF($J1435="",1,$J1435)*N($K1435),2))</f>
        <v/>
      </c>
      <c r="M1435" s="13" t="n"/>
      <c r="N1435" s="17">
        <f>IF($D1435="","",IF(ISNA(MATCH($D1435,项目名表,0)),"※项目不在项目台账里",IF($F1435="※材料类别没选","※材料类别没选",IF(AND($C1435&lt;&gt;"",ISNA(MATCH($C1435,供应商表,0))),"※供应商不在基础资料里",""))))</f>
        <v/>
      </c>
    </row>
    <row r="1436">
      <c r="A1436" s="17">
        <f>IF($D1436="","",ROW()-3)</f>
        <v/>
      </c>
      <c r="B1436" s="18" t="n"/>
      <c r="C1436" s="13" t="n"/>
      <c r="D1436" s="13" t="n"/>
      <c r="E1436" s="13" t="n"/>
      <c r="F1436" s="17">
        <f>IF($D1436="","",IFERROR(VLOOKUP($E1436,材料归属,2,0),"※材料类别没选"))</f>
        <v/>
      </c>
      <c r="G1436" s="13" t="n"/>
      <c r="H1436" s="13" t="n"/>
      <c r="I1436" s="13" t="n"/>
      <c r="J1436" s="20" t="n"/>
      <c r="K1436" s="14" t="n"/>
      <c r="L1436" s="19">
        <f>IF($D1436="","",ROUND(IF($J1436="",1,$J1436)*N($K1436),2))</f>
        <v/>
      </c>
      <c r="M1436" s="13" t="n"/>
      <c r="N1436" s="17">
        <f>IF($D1436="","",IF(ISNA(MATCH($D1436,项目名表,0)),"※项目不在项目台账里",IF($F1436="※材料类别没选","※材料类别没选",IF(AND($C1436&lt;&gt;"",ISNA(MATCH($C1436,供应商表,0))),"※供应商不在基础资料里",""))))</f>
        <v/>
      </c>
    </row>
    <row r="1437">
      <c r="A1437" s="17">
        <f>IF($D1437="","",ROW()-3)</f>
        <v/>
      </c>
      <c r="B1437" s="18" t="n"/>
      <c r="C1437" s="13" t="n"/>
      <c r="D1437" s="13" t="n"/>
      <c r="E1437" s="13" t="n"/>
      <c r="F1437" s="17">
        <f>IF($D1437="","",IFERROR(VLOOKUP($E1437,材料归属,2,0),"※材料类别没选"))</f>
        <v/>
      </c>
      <c r="G1437" s="13" t="n"/>
      <c r="H1437" s="13" t="n"/>
      <c r="I1437" s="13" t="n"/>
      <c r="J1437" s="20" t="n"/>
      <c r="K1437" s="14" t="n"/>
      <c r="L1437" s="19">
        <f>IF($D1437="","",ROUND(IF($J1437="",1,$J1437)*N($K1437),2))</f>
        <v/>
      </c>
      <c r="M1437" s="13" t="n"/>
      <c r="N1437" s="17">
        <f>IF($D1437="","",IF(ISNA(MATCH($D1437,项目名表,0)),"※项目不在项目台账里",IF($F1437="※材料类别没选","※材料类别没选",IF(AND($C1437&lt;&gt;"",ISNA(MATCH($C1437,供应商表,0))),"※供应商不在基础资料里",""))))</f>
        <v/>
      </c>
    </row>
    <row r="1438">
      <c r="A1438" s="17">
        <f>IF($D1438="","",ROW()-3)</f>
        <v/>
      </c>
      <c r="B1438" s="18" t="n"/>
      <c r="C1438" s="13" t="n"/>
      <c r="D1438" s="13" t="n"/>
      <c r="E1438" s="13" t="n"/>
      <c r="F1438" s="17">
        <f>IF($D1438="","",IFERROR(VLOOKUP($E1438,材料归属,2,0),"※材料类别没选"))</f>
        <v/>
      </c>
      <c r="G1438" s="13" t="n"/>
      <c r="H1438" s="13" t="n"/>
      <c r="I1438" s="13" t="n"/>
      <c r="J1438" s="20" t="n"/>
      <c r="K1438" s="14" t="n"/>
      <c r="L1438" s="19">
        <f>IF($D1438="","",ROUND(IF($J1438="",1,$J1438)*N($K1438),2))</f>
        <v/>
      </c>
      <c r="M1438" s="13" t="n"/>
      <c r="N1438" s="17">
        <f>IF($D1438="","",IF(ISNA(MATCH($D1438,项目名表,0)),"※项目不在项目台账里",IF($F1438="※材料类别没选","※材料类别没选",IF(AND($C1438&lt;&gt;"",ISNA(MATCH($C1438,供应商表,0))),"※供应商不在基础资料里",""))))</f>
        <v/>
      </c>
    </row>
    <row r="1439">
      <c r="A1439" s="17">
        <f>IF($D1439="","",ROW()-3)</f>
        <v/>
      </c>
      <c r="B1439" s="18" t="n"/>
      <c r="C1439" s="13" t="n"/>
      <c r="D1439" s="13" t="n"/>
      <c r="E1439" s="13" t="n"/>
      <c r="F1439" s="17">
        <f>IF($D1439="","",IFERROR(VLOOKUP($E1439,材料归属,2,0),"※材料类别没选"))</f>
        <v/>
      </c>
      <c r="G1439" s="13" t="n"/>
      <c r="H1439" s="13" t="n"/>
      <c r="I1439" s="13" t="n"/>
      <c r="J1439" s="20" t="n"/>
      <c r="K1439" s="14" t="n"/>
      <c r="L1439" s="19">
        <f>IF($D1439="","",ROUND(IF($J1439="",1,$J1439)*N($K1439),2))</f>
        <v/>
      </c>
      <c r="M1439" s="13" t="n"/>
      <c r="N1439" s="17">
        <f>IF($D1439="","",IF(ISNA(MATCH($D1439,项目名表,0)),"※项目不在项目台账里",IF($F1439="※材料类别没选","※材料类别没选",IF(AND($C1439&lt;&gt;"",ISNA(MATCH($C1439,供应商表,0))),"※供应商不在基础资料里",""))))</f>
        <v/>
      </c>
    </row>
    <row r="1440">
      <c r="A1440" s="17">
        <f>IF($D1440="","",ROW()-3)</f>
        <v/>
      </c>
      <c r="B1440" s="18" t="n"/>
      <c r="C1440" s="13" t="n"/>
      <c r="D1440" s="13" t="n"/>
      <c r="E1440" s="13" t="n"/>
      <c r="F1440" s="17">
        <f>IF($D1440="","",IFERROR(VLOOKUP($E1440,材料归属,2,0),"※材料类别没选"))</f>
        <v/>
      </c>
      <c r="G1440" s="13" t="n"/>
      <c r="H1440" s="13" t="n"/>
      <c r="I1440" s="13" t="n"/>
      <c r="J1440" s="20" t="n"/>
      <c r="K1440" s="14" t="n"/>
      <c r="L1440" s="19">
        <f>IF($D1440="","",ROUND(IF($J1440="",1,$J1440)*N($K1440),2))</f>
        <v/>
      </c>
      <c r="M1440" s="13" t="n"/>
      <c r="N1440" s="17">
        <f>IF($D1440="","",IF(ISNA(MATCH($D1440,项目名表,0)),"※项目不在项目台账里",IF($F1440="※材料类别没选","※材料类别没选",IF(AND($C1440&lt;&gt;"",ISNA(MATCH($C1440,供应商表,0))),"※供应商不在基础资料里",""))))</f>
        <v/>
      </c>
    </row>
    <row r="1441">
      <c r="A1441" s="17">
        <f>IF($D1441="","",ROW()-3)</f>
        <v/>
      </c>
      <c r="B1441" s="18" t="n"/>
      <c r="C1441" s="13" t="n"/>
      <c r="D1441" s="13" t="n"/>
      <c r="E1441" s="13" t="n"/>
      <c r="F1441" s="17">
        <f>IF($D1441="","",IFERROR(VLOOKUP($E1441,材料归属,2,0),"※材料类别没选"))</f>
        <v/>
      </c>
      <c r="G1441" s="13" t="n"/>
      <c r="H1441" s="13" t="n"/>
      <c r="I1441" s="13" t="n"/>
      <c r="J1441" s="20" t="n"/>
      <c r="K1441" s="14" t="n"/>
      <c r="L1441" s="19">
        <f>IF($D1441="","",ROUND(IF($J1441="",1,$J1441)*N($K1441),2))</f>
        <v/>
      </c>
      <c r="M1441" s="13" t="n"/>
      <c r="N1441" s="17">
        <f>IF($D1441="","",IF(ISNA(MATCH($D1441,项目名表,0)),"※项目不在项目台账里",IF($F1441="※材料类别没选","※材料类别没选",IF(AND($C1441&lt;&gt;"",ISNA(MATCH($C1441,供应商表,0))),"※供应商不在基础资料里",""))))</f>
        <v/>
      </c>
    </row>
    <row r="1442">
      <c r="A1442" s="17">
        <f>IF($D1442="","",ROW()-3)</f>
        <v/>
      </c>
      <c r="B1442" s="18" t="n"/>
      <c r="C1442" s="13" t="n"/>
      <c r="D1442" s="13" t="n"/>
      <c r="E1442" s="13" t="n"/>
      <c r="F1442" s="17">
        <f>IF($D1442="","",IFERROR(VLOOKUP($E1442,材料归属,2,0),"※材料类别没选"))</f>
        <v/>
      </c>
      <c r="G1442" s="13" t="n"/>
      <c r="H1442" s="13" t="n"/>
      <c r="I1442" s="13" t="n"/>
      <c r="J1442" s="20" t="n"/>
      <c r="K1442" s="14" t="n"/>
      <c r="L1442" s="19">
        <f>IF($D1442="","",ROUND(IF($J1442="",1,$J1442)*N($K1442),2))</f>
        <v/>
      </c>
      <c r="M1442" s="13" t="n"/>
      <c r="N1442" s="17">
        <f>IF($D1442="","",IF(ISNA(MATCH($D1442,项目名表,0)),"※项目不在项目台账里",IF($F1442="※材料类别没选","※材料类别没选",IF(AND($C1442&lt;&gt;"",ISNA(MATCH($C1442,供应商表,0))),"※供应商不在基础资料里",""))))</f>
        <v/>
      </c>
    </row>
    <row r="1443">
      <c r="A1443" s="17">
        <f>IF($D1443="","",ROW()-3)</f>
        <v/>
      </c>
      <c r="B1443" s="18" t="n"/>
      <c r="C1443" s="13" t="n"/>
      <c r="D1443" s="13" t="n"/>
      <c r="E1443" s="13" t="n"/>
      <c r="F1443" s="17">
        <f>IF($D1443="","",IFERROR(VLOOKUP($E1443,材料归属,2,0),"※材料类别没选"))</f>
        <v/>
      </c>
      <c r="G1443" s="13" t="n"/>
      <c r="H1443" s="13" t="n"/>
      <c r="I1443" s="13" t="n"/>
      <c r="J1443" s="20" t="n"/>
      <c r="K1443" s="14" t="n"/>
      <c r="L1443" s="19">
        <f>IF($D1443="","",ROUND(IF($J1443="",1,$J1443)*N($K1443),2))</f>
        <v/>
      </c>
      <c r="M1443" s="13" t="n"/>
      <c r="N1443" s="17">
        <f>IF($D1443="","",IF(ISNA(MATCH($D1443,项目名表,0)),"※项目不在项目台账里",IF($F1443="※材料类别没选","※材料类别没选",IF(AND($C1443&lt;&gt;"",ISNA(MATCH($C1443,供应商表,0))),"※供应商不在基础资料里",""))))</f>
        <v/>
      </c>
    </row>
    <row r="1444">
      <c r="A1444" s="17">
        <f>IF($D1444="","",ROW()-3)</f>
        <v/>
      </c>
      <c r="B1444" s="18" t="n"/>
      <c r="C1444" s="13" t="n"/>
      <c r="D1444" s="13" t="n"/>
      <c r="E1444" s="13" t="n"/>
      <c r="F1444" s="17">
        <f>IF($D1444="","",IFERROR(VLOOKUP($E1444,材料归属,2,0),"※材料类别没选"))</f>
        <v/>
      </c>
      <c r="G1444" s="13" t="n"/>
      <c r="H1444" s="13" t="n"/>
      <c r="I1444" s="13" t="n"/>
      <c r="J1444" s="20" t="n"/>
      <c r="K1444" s="14" t="n"/>
      <c r="L1444" s="19">
        <f>IF($D1444="","",ROUND(IF($J1444="",1,$J1444)*N($K1444),2))</f>
        <v/>
      </c>
      <c r="M1444" s="13" t="n"/>
      <c r="N1444" s="17">
        <f>IF($D1444="","",IF(ISNA(MATCH($D1444,项目名表,0)),"※项目不在项目台账里",IF($F1444="※材料类别没选","※材料类别没选",IF(AND($C1444&lt;&gt;"",ISNA(MATCH($C1444,供应商表,0))),"※供应商不在基础资料里",""))))</f>
        <v/>
      </c>
    </row>
    <row r="1445">
      <c r="A1445" s="17">
        <f>IF($D1445="","",ROW()-3)</f>
        <v/>
      </c>
      <c r="B1445" s="18" t="n"/>
      <c r="C1445" s="13" t="n"/>
      <c r="D1445" s="13" t="n"/>
      <c r="E1445" s="13" t="n"/>
      <c r="F1445" s="17">
        <f>IF($D1445="","",IFERROR(VLOOKUP($E1445,材料归属,2,0),"※材料类别没选"))</f>
        <v/>
      </c>
      <c r="G1445" s="13" t="n"/>
      <c r="H1445" s="13" t="n"/>
      <c r="I1445" s="13" t="n"/>
      <c r="J1445" s="20" t="n"/>
      <c r="K1445" s="14" t="n"/>
      <c r="L1445" s="19">
        <f>IF($D1445="","",ROUND(IF($J1445="",1,$J1445)*N($K1445),2))</f>
        <v/>
      </c>
      <c r="M1445" s="13" t="n"/>
      <c r="N1445" s="17">
        <f>IF($D1445="","",IF(ISNA(MATCH($D1445,项目名表,0)),"※项目不在项目台账里",IF($F1445="※材料类别没选","※材料类别没选",IF(AND($C1445&lt;&gt;"",ISNA(MATCH($C1445,供应商表,0))),"※供应商不在基础资料里",""))))</f>
        <v/>
      </c>
    </row>
    <row r="1446">
      <c r="A1446" s="17">
        <f>IF($D1446="","",ROW()-3)</f>
        <v/>
      </c>
      <c r="B1446" s="18" t="n"/>
      <c r="C1446" s="13" t="n"/>
      <c r="D1446" s="13" t="n"/>
      <c r="E1446" s="13" t="n"/>
      <c r="F1446" s="17">
        <f>IF($D1446="","",IFERROR(VLOOKUP($E1446,材料归属,2,0),"※材料类别没选"))</f>
        <v/>
      </c>
      <c r="G1446" s="13" t="n"/>
      <c r="H1446" s="13" t="n"/>
      <c r="I1446" s="13" t="n"/>
      <c r="J1446" s="20" t="n"/>
      <c r="K1446" s="14" t="n"/>
      <c r="L1446" s="19">
        <f>IF($D1446="","",ROUND(IF($J1446="",1,$J1446)*N($K1446),2))</f>
        <v/>
      </c>
      <c r="M1446" s="13" t="n"/>
      <c r="N1446" s="17">
        <f>IF($D1446="","",IF(ISNA(MATCH($D1446,项目名表,0)),"※项目不在项目台账里",IF($F1446="※材料类别没选","※材料类别没选",IF(AND($C1446&lt;&gt;"",ISNA(MATCH($C1446,供应商表,0))),"※供应商不在基础资料里",""))))</f>
        <v/>
      </c>
    </row>
    <row r="1447">
      <c r="A1447" s="17">
        <f>IF($D1447="","",ROW()-3)</f>
        <v/>
      </c>
      <c r="B1447" s="18" t="n"/>
      <c r="C1447" s="13" t="n"/>
      <c r="D1447" s="13" t="n"/>
      <c r="E1447" s="13" t="n"/>
      <c r="F1447" s="17">
        <f>IF($D1447="","",IFERROR(VLOOKUP($E1447,材料归属,2,0),"※材料类别没选"))</f>
        <v/>
      </c>
      <c r="G1447" s="13" t="n"/>
      <c r="H1447" s="13" t="n"/>
      <c r="I1447" s="13" t="n"/>
      <c r="J1447" s="20" t="n"/>
      <c r="K1447" s="14" t="n"/>
      <c r="L1447" s="19">
        <f>IF($D1447="","",ROUND(IF($J1447="",1,$J1447)*N($K1447),2))</f>
        <v/>
      </c>
      <c r="M1447" s="13" t="n"/>
      <c r="N1447" s="17">
        <f>IF($D1447="","",IF(ISNA(MATCH($D1447,项目名表,0)),"※项目不在项目台账里",IF($F1447="※材料类别没选","※材料类别没选",IF(AND($C1447&lt;&gt;"",ISNA(MATCH($C1447,供应商表,0))),"※供应商不在基础资料里",""))))</f>
        <v/>
      </c>
    </row>
    <row r="1448">
      <c r="A1448" s="17">
        <f>IF($D1448="","",ROW()-3)</f>
        <v/>
      </c>
      <c r="B1448" s="18" t="n"/>
      <c r="C1448" s="13" t="n"/>
      <c r="D1448" s="13" t="n"/>
      <c r="E1448" s="13" t="n"/>
      <c r="F1448" s="17">
        <f>IF($D1448="","",IFERROR(VLOOKUP($E1448,材料归属,2,0),"※材料类别没选"))</f>
        <v/>
      </c>
      <c r="G1448" s="13" t="n"/>
      <c r="H1448" s="13" t="n"/>
      <c r="I1448" s="13" t="n"/>
      <c r="J1448" s="20" t="n"/>
      <c r="K1448" s="14" t="n"/>
      <c r="L1448" s="19">
        <f>IF($D1448="","",ROUND(IF($J1448="",1,$J1448)*N($K1448),2))</f>
        <v/>
      </c>
      <c r="M1448" s="13" t="n"/>
      <c r="N1448" s="17">
        <f>IF($D1448="","",IF(ISNA(MATCH($D1448,项目名表,0)),"※项目不在项目台账里",IF($F1448="※材料类别没选","※材料类别没选",IF(AND($C1448&lt;&gt;"",ISNA(MATCH($C1448,供应商表,0))),"※供应商不在基础资料里",""))))</f>
        <v/>
      </c>
    </row>
    <row r="1449">
      <c r="A1449" s="17">
        <f>IF($D1449="","",ROW()-3)</f>
        <v/>
      </c>
      <c r="B1449" s="18" t="n"/>
      <c r="C1449" s="13" t="n"/>
      <c r="D1449" s="13" t="n"/>
      <c r="E1449" s="13" t="n"/>
      <c r="F1449" s="17">
        <f>IF($D1449="","",IFERROR(VLOOKUP($E1449,材料归属,2,0),"※材料类别没选"))</f>
        <v/>
      </c>
      <c r="G1449" s="13" t="n"/>
      <c r="H1449" s="13" t="n"/>
      <c r="I1449" s="13" t="n"/>
      <c r="J1449" s="20" t="n"/>
      <c r="K1449" s="14" t="n"/>
      <c r="L1449" s="19">
        <f>IF($D1449="","",ROUND(IF($J1449="",1,$J1449)*N($K1449),2))</f>
        <v/>
      </c>
      <c r="M1449" s="13" t="n"/>
      <c r="N1449" s="17">
        <f>IF($D1449="","",IF(ISNA(MATCH($D1449,项目名表,0)),"※项目不在项目台账里",IF($F1449="※材料类别没选","※材料类别没选",IF(AND($C1449&lt;&gt;"",ISNA(MATCH($C1449,供应商表,0))),"※供应商不在基础资料里",""))))</f>
        <v/>
      </c>
    </row>
    <row r="1450">
      <c r="A1450" s="17">
        <f>IF($D1450="","",ROW()-3)</f>
        <v/>
      </c>
      <c r="B1450" s="18" t="n"/>
      <c r="C1450" s="13" t="n"/>
      <c r="D1450" s="13" t="n"/>
      <c r="E1450" s="13" t="n"/>
      <c r="F1450" s="17">
        <f>IF($D1450="","",IFERROR(VLOOKUP($E1450,材料归属,2,0),"※材料类别没选"))</f>
        <v/>
      </c>
      <c r="G1450" s="13" t="n"/>
      <c r="H1450" s="13" t="n"/>
      <c r="I1450" s="13" t="n"/>
      <c r="J1450" s="20" t="n"/>
      <c r="K1450" s="14" t="n"/>
      <c r="L1450" s="19">
        <f>IF($D1450="","",ROUND(IF($J1450="",1,$J1450)*N($K1450),2))</f>
        <v/>
      </c>
      <c r="M1450" s="13" t="n"/>
      <c r="N1450" s="17">
        <f>IF($D1450="","",IF(ISNA(MATCH($D1450,项目名表,0)),"※项目不在项目台账里",IF($F1450="※材料类别没选","※材料类别没选",IF(AND($C1450&lt;&gt;"",ISNA(MATCH($C1450,供应商表,0))),"※供应商不在基础资料里",""))))</f>
        <v/>
      </c>
    </row>
    <row r="1451">
      <c r="A1451" s="17">
        <f>IF($D1451="","",ROW()-3)</f>
        <v/>
      </c>
      <c r="B1451" s="18" t="n"/>
      <c r="C1451" s="13" t="n"/>
      <c r="D1451" s="13" t="n"/>
      <c r="E1451" s="13" t="n"/>
      <c r="F1451" s="17">
        <f>IF($D1451="","",IFERROR(VLOOKUP($E1451,材料归属,2,0),"※材料类别没选"))</f>
        <v/>
      </c>
      <c r="G1451" s="13" t="n"/>
      <c r="H1451" s="13" t="n"/>
      <c r="I1451" s="13" t="n"/>
      <c r="J1451" s="20" t="n"/>
      <c r="K1451" s="14" t="n"/>
      <c r="L1451" s="19">
        <f>IF($D1451="","",ROUND(IF($J1451="",1,$J1451)*N($K1451),2))</f>
        <v/>
      </c>
      <c r="M1451" s="13" t="n"/>
      <c r="N1451" s="17">
        <f>IF($D1451="","",IF(ISNA(MATCH($D1451,项目名表,0)),"※项目不在项目台账里",IF($F1451="※材料类别没选","※材料类别没选",IF(AND($C1451&lt;&gt;"",ISNA(MATCH($C1451,供应商表,0))),"※供应商不在基础资料里",""))))</f>
        <v/>
      </c>
    </row>
    <row r="1452">
      <c r="A1452" s="17">
        <f>IF($D1452="","",ROW()-3)</f>
        <v/>
      </c>
      <c r="B1452" s="18" t="n"/>
      <c r="C1452" s="13" t="n"/>
      <c r="D1452" s="13" t="n"/>
      <c r="E1452" s="13" t="n"/>
      <c r="F1452" s="17">
        <f>IF($D1452="","",IFERROR(VLOOKUP($E1452,材料归属,2,0),"※材料类别没选"))</f>
        <v/>
      </c>
      <c r="G1452" s="13" t="n"/>
      <c r="H1452" s="13" t="n"/>
      <c r="I1452" s="13" t="n"/>
      <c r="J1452" s="20" t="n"/>
      <c r="K1452" s="14" t="n"/>
      <c r="L1452" s="19">
        <f>IF($D1452="","",ROUND(IF($J1452="",1,$J1452)*N($K1452),2))</f>
        <v/>
      </c>
      <c r="M1452" s="13" t="n"/>
      <c r="N1452" s="17">
        <f>IF($D1452="","",IF(ISNA(MATCH($D1452,项目名表,0)),"※项目不在项目台账里",IF($F1452="※材料类别没选","※材料类别没选",IF(AND($C1452&lt;&gt;"",ISNA(MATCH($C1452,供应商表,0))),"※供应商不在基础资料里",""))))</f>
        <v/>
      </c>
    </row>
    <row r="1453">
      <c r="A1453" s="17">
        <f>IF($D1453="","",ROW()-3)</f>
        <v/>
      </c>
      <c r="B1453" s="18" t="n"/>
      <c r="C1453" s="13" t="n"/>
      <c r="D1453" s="13" t="n"/>
      <c r="E1453" s="13" t="n"/>
      <c r="F1453" s="17">
        <f>IF($D1453="","",IFERROR(VLOOKUP($E1453,材料归属,2,0),"※材料类别没选"))</f>
        <v/>
      </c>
      <c r="G1453" s="13" t="n"/>
      <c r="H1453" s="13" t="n"/>
      <c r="I1453" s="13" t="n"/>
      <c r="J1453" s="20" t="n"/>
      <c r="K1453" s="14" t="n"/>
      <c r="L1453" s="19">
        <f>IF($D1453="","",ROUND(IF($J1453="",1,$J1453)*N($K1453),2))</f>
        <v/>
      </c>
      <c r="M1453" s="13" t="n"/>
      <c r="N1453" s="17">
        <f>IF($D1453="","",IF(ISNA(MATCH($D1453,项目名表,0)),"※项目不在项目台账里",IF($F1453="※材料类别没选","※材料类别没选",IF(AND($C1453&lt;&gt;"",ISNA(MATCH($C1453,供应商表,0))),"※供应商不在基础资料里",""))))</f>
        <v/>
      </c>
    </row>
    <row r="1454">
      <c r="A1454" s="17">
        <f>IF($D1454="","",ROW()-3)</f>
        <v/>
      </c>
      <c r="B1454" s="18" t="n"/>
      <c r="C1454" s="13" t="n"/>
      <c r="D1454" s="13" t="n"/>
      <c r="E1454" s="13" t="n"/>
      <c r="F1454" s="17">
        <f>IF($D1454="","",IFERROR(VLOOKUP($E1454,材料归属,2,0),"※材料类别没选"))</f>
        <v/>
      </c>
      <c r="G1454" s="13" t="n"/>
      <c r="H1454" s="13" t="n"/>
      <c r="I1454" s="13" t="n"/>
      <c r="J1454" s="20" t="n"/>
      <c r="K1454" s="14" t="n"/>
      <c r="L1454" s="19">
        <f>IF($D1454="","",ROUND(IF($J1454="",1,$J1454)*N($K1454),2))</f>
        <v/>
      </c>
      <c r="M1454" s="13" t="n"/>
      <c r="N1454" s="17">
        <f>IF($D1454="","",IF(ISNA(MATCH($D1454,项目名表,0)),"※项目不在项目台账里",IF($F1454="※材料类别没选","※材料类别没选",IF(AND($C1454&lt;&gt;"",ISNA(MATCH($C1454,供应商表,0))),"※供应商不在基础资料里",""))))</f>
        <v/>
      </c>
    </row>
    <row r="1455">
      <c r="A1455" s="17">
        <f>IF($D1455="","",ROW()-3)</f>
        <v/>
      </c>
      <c r="B1455" s="18" t="n"/>
      <c r="C1455" s="13" t="n"/>
      <c r="D1455" s="13" t="n"/>
      <c r="E1455" s="13" t="n"/>
      <c r="F1455" s="17">
        <f>IF($D1455="","",IFERROR(VLOOKUP($E1455,材料归属,2,0),"※材料类别没选"))</f>
        <v/>
      </c>
      <c r="G1455" s="13" t="n"/>
      <c r="H1455" s="13" t="n"/>
      <c r="I1455" s="13" t="n"/>
      <c r="J1455" s="20" t="n"/>
      <c r="K1455" s="14" t="n"/>
      <c r="L1455" s="19">
        <f>IF($D1455="","",ROUND(IF($J1455="",1,$J1455)*N($K1455),2))</f>
        <v/>
      </c>
      <c r="M1455" s="13" t="n"/>
      <c r="N1455" s="17">
        <f>IF($D1455="","",IF(ISNA(MATCH($D1455,项目名表,0)),"※项目不在项目台账里",IF($F1455="※材料类别没选","※材料类别没选",IF(AND($C1455&lt;&gt;"",ISNA(MATCH($C1455,供应商表,0))),"※供应商不在基础资料里",""))))</f>
        <v/>
      </c>
    </row>
    <row r="1456">
      <c r="A1456" s="17">
        <f>IF($D1456="","",ROW()-3)</f>
        <v/>
      </c>
      <c r="B1456" s="18" t="n"/>
      <c r="C1456" s="13" t="n"/>
      <c r="D1456" s="13" t="n"/>
      <c r="E1456" s="13" t="n"/>
      <c r="F1456" s="17">
        <f>IF($D1456="","",IFERROR(VLOOKUP($E1456,材料归属,2,0),"※材料类别没选"))</f>
        <v/>
      </c>
      <c r="G1456" s="13" t="n"/>
      <c r="H1456" s="13" t="n"/>
      <c r="I1456" s="13" t="n"/>
      <c r="J1456" s="20" t="n"/>
      <c r="K1456" s="14" t="n"/>
      <c r="L1456" s="19">
        <f>IF($D1456="","",ROUND(IF($J1456="",1,$J1456)*N($K1456),2))</f>
        <v/>
      </c>
      <c r="M1456" s="13" t="n"/>
      <c r="N1456" s="17">
        <f>IF($D1456="","",IF(ISNA(MATCH($D1456,项目名表,0)),"※项目不在项目台账里",IF($F1456="※材料类别没选","※材料类别没选",IF(AND($C1456&lt;&gt;"",ISNA(MATCH($C1456,供应商表,0))),"※供应商不在基础资料里",""))))</f>
        <v/>
      </c>
    </row>
    <row r="1457">
      <c r="A1457" s="17">
        <f>IF($D1457="","",ROW()-3)</f>
        <v/>
      </c>
      <c r="B1457" s="18" t="n"/>
      <c r="C1457" s="13" t="n"/>
      <c r="D1457" s="13" t="n"/>
      <c r="E1457" s="13" t="n"/>
      <c r="F1457" s="17">
        <f>IF($D1457="","",IFERROR(VLOOKUP($E1457,材料归属,2,0),"※材料类别没选"))</f>
        <v/>
      </c>
      <c r="G1457" s="13" t="n"/>
      <c r="H1457" s="13" t="n"/>
      <c r="I1457" s="13" t="n"/>
      <c r="J1457" s="20" t="n"/>
      <c r="K1457" s="14" t="n"/>
      <c r="L1457" s="19">
        <f>IF($D1457="","",ROUND(IF($J1457="",1,$J1457)*N($K1457),2))</f>
        <v/>
      </c>
      <c r="M1457" s="13" t="n"/>
      <c r="N1457" s="17">
        <f>IF($D1457="","",IF(ISNA(MATCH($D1457,项目名表,0)),"※项目不在项目台账里",IF($F1457="※材料类别没选","※材料类别没选",IF(AND($C1457&lt;&gt;"",ISNA(MATCH($C1457,供应商表,0))),"※供应商不在基础资料里",""))))</f>
        <v/>
      </c>
    </row>
    <row r="1458">
      <c r="A1458" s="17">
        <f>IF($D1458="","",ROW()-3)</f>
        <v/>
      </c>
      <c r="B1458" s="18" t="n"/>
      <c r="C1458" s="13" t="n"/>
      <c r="D1458" s="13" t="n"/>
      <c r="E1458" s="13" t="n"/>
      <c r="F1458" s="17">
        <f>IF($D1458="","",IFERROR(VLOOKUP($E1458,材料归属,2,0),"※材料类别没选"))</f>
        <v/>
      </c>
      <c r="G1458" s="13" t="n"/>
      <c r="H1458" s="13" t="n"/>
      <c r="I1458" s="13" t="n"/>
      <c r="J1458" s="20" t="n"/>
      <c r="K1458" s="14" t="n"/>
      <c r="L1458" s="19">
        <f>IF($D1458="","",ROUND(IF($J1458="",1,$J1458)*N($K1458),2))</f>
        <v/>
      </c>
      <c r="M1458" s="13" t="n"/>
      <c r="N1458" s="17">
        <f>IF($D1458="","",IF(ISNA(MATCH($D1458,项目名表,0)),"※项目不在项目台账里",IF($F1458="※材料类别没选","※材料类别没选",IF(AND($C1458&lt;&gt;"",ISNA(MATCH($C1458,供应商表,0))),"※供应商不在基础资料里",""))))</f>
        <v/>
      </c>
    </row>
    <row r="1459">
      <c r="A1459" s="17">
        <f>IF($D1459="","",ROW()-3)</f>
        <v/>
      </c>
      <c r="B1459" s="18" t="n"/>
      <c r="C1459" s="13" t="n"/>
      <c r="D1459" s="13" t="n"/>
      <c r="E1459" s="13" t="n"/>
      <c r="F1459" s="17">
        <f>IF($D1459="","",IFERROR(VLOOKUP($E1459,材料归属,2,0),"※材料类别没选"))</f>
        <v/>
      </c>
      <c r="G1459" s="13" t="n"/>
      <c r="H1459" s="13" t="n"/>
      <c r="I1459" s="13" t="n"/>
      <c r="J1459" s="20" t="n"/>
      <c r="K1459" s="14" t="n"/>
      <c r="L1459" s="19">
        <f>IF($D1459="","",ROUND(IF($J1459="",1,$J1459)*N($K1459),2))</f>
        <v/>
      </c>
      <c r="M1459" s="13" t="n"/>
      <c r="N1459" s="17">
        <f>IF($D1459="","",IF(ISNA(MATCH($D1459,项目名表,0)),"※项目不在项目台账里",IF($F1459="※材料类别没选","※材料类别没选",IF(AND($C1459&lt;&gt;"",ISNA(MATCH($C1459,供应商表,0))),"※供应商不在基础资料里",""))))</f>
        <v/>
      </c>
    </row>
    <row r="1460">
      <c r="A1460" s="17">
        <f>IF($D1460="","",ROW()-3)</f>
        <v/>
      </c>
      <c r="B1460" s="18" t="n"/>
      <c r="C1460" s="13" t="n"/>
      <c r="D1460" s="13" t="n"/>
      <c r="E1460" s="13" t="n"/>
      <c r="F1460" s="17">
        <f>IF($D1460="","",IFERROR(VLOOKUP($E1460,材料归属,2,0),"※材料类别没选"))</f>
        <v/>
      </c>
      <c r="G1460" s="13" t="n"/>
      <c r="H1460" s="13" t="n"/>
      <c r="I1460" s="13" t="n"/>
      <c r="J1460" s="20" t="n"/>
      <c r="K1460" s="14" t="n"/>
      <c r="L1460" s="19">
        <f>IF($D1460="","",ROUND(IF($J1460="",1,$J1460)*N($K1460),2))</f>
        <v/>
      </c>
      <c r="M1460" s="13" t="n"/>
      <c r="N1460" s="17">
        <f>IF($D1460="","",IF(ISNA(MATCH($D1460,项目名表,0)),"※项目不在项目台账里",IF($F1460="※材料类别没选","※材料类别没选",IF(AND($C1460&lt;&gt;"",ISNA(MATCH($C1460,供应商表,0))),"※供应商不在基础资料里",""))))</f>
        <v/>
      </c>
    </row>
    <row r="1461">
      <c r="A1461" s="17">
        <f>IF($D1461="","",ROW()-3)</f>
        <v/>
      </c>
      <c r="B1461" s="18" t="n"/>
      <c r="C1461" s="13" t="n"/>
      <c r="D1461" s="13" t="n"/>
      <c r="E1461" s="13" t="n"/>
      <c r="F1461" s="17">
        <f>IF($D1461="","",IFERROR(VLOOKUP($E1461,材料归属,2,0),"※材料类别没选"))</f>
        <v/>
      </c>
      <c r="G1461" s="13" t="n"/>
      <c r="H1461" s="13" t="n"/>
      <c r="I1461" s="13" t="n"/>
      <c r="J1461" s="20" t="n"/>
      <c r="K1461" s="14" t="n"/>
      <c r="L1461" s="19">
        <f>IF($D1461="","",ROUND(IF($J1461="",1,$J1461)*N($K1461),2))</f>
        <v/>
      </c>
      <c r="M1461" s="13" t="n"/>
      <c r="N1461" s="17">
        <f>IF($D1461="","",IF(ISNA(MATCH($D1461,项目名表,0)),"※项目不在项目台账里",IF($F1461="※材料类别没选","※材料类别没选",IF(AND($C1461&lt;&gt;"",ISNA(MATCH($C1461,供应商表,0))),"※供应商不在基础资料里",""))))</f>
        <v/>
      </c>
    </row>
    <row r="1462">
      <c r="A1462" s="17">
        <f>IF($D1462="","",ROW()-3)</f>
        <v/>
      </c>
      <c r="B1462" s="18" t="n"/>
      <c r="C1462" s="13" t="n"/>
      <c r="D1462" s="13" t="n"/>
      <c r="E1462" s="13" t="n"/>
      <c r="F1462" s="17">
        <f>IF($D1462="","",IFERROR(VLOOKUP($E1462,材料归属,2,0),"※材料类别没选"))</f>
        <v/>
      </c>
      <c r="G1462" s="13" t="n"/>
      <c r="H1462" s="13" t="n"/>
      <c r="I1462" s="13" t="n"/>
      <c r="J1462" s="20" t="n"/>
      <c r="K1462" s="14" t="n"/>
      <c r="L1462" s="19">
        <f>IF($D1462="","",ROUND(IF($J1462="",1,$J1462)*N($K1462),2))</f>
        <v/>
      </c>
      <c r="M1462" s="13" t="n"/>
      <c r="N1462" s="17">
        <f>IF($D1462="","",IF(ISNA(MATCH($D1462,项目名表,0)),"※项目不在项目台账里",IF($F1462="※材料类别没选","※材料类别没选",IF(AND($C1462&lt;&gt;"",ISNA(MATCH($C1462,供应商表,0))),"※供应商不在基础资料里",""))))</f>
        <v/>
      </c>
    </row>
    <row r="1463">
      <c r="A1463" s="17">
        <f>IF($D1463="","",ROW()-3)</f>
        <v/>
      </c>
      <c r="B1463" s="18" t="n"/>
      <c r="C1463" s="13" t="n"/>
      <c r="D1463" s="13" t="n"/>
      <c r="E1463" s="13" t="n"/>
      <c r="F1463" s="17">
        <f>IF($D1463="","",IFERROR(VLOOKUP($E1463,材料归属,2,0),"※材料类别没选"))</f>
        <v/>
      </c>
      <c r="G1463" s="13" t="n"/>
      <c r="H1463" s="13" t="n"/>
      <c r="I1463" s="13" t="n"/>
      <c r="J1463" s="20" t="n"/>
      <c r="K1463" s="14" t="n"/>
      <c r="L1463" s="19">
        <f>IF($D1463="","",ROUND(IF($J1463="",1,$J1463)*N($K1463),2))</f>
        <v/>
      </c>
      <c r="M1463" s="13" t="n"/>
      <c r="N1463" s="17">
        <f>IF($D1463="","",IF(ISNA(MATCH($D1463,项目名表,0)),"※项目不在项目台账里",IF($F1463="※材料类别没选","※材料类别没选",IF(AND($C1463&lt;&gt;"",ISNA(MATCH($C1463,供应商表,0))),"※供应商不在基础资料里",""))))</f>
        <v/>
      </c>
    </row>
    <row r="1464">
      <c r="A1464" s="17">
        <f>IF($D1464="","",ROW()-3)</f>
        <v/>
      </c>
      <c r="B1464" s="18" t="n"/>
      <c r="C1464" s="13" t="n"/>
      <c r="D1464" s="13" t="n"/>
      <c r="E1464" s="13" t="n"/>
      <c r="F1464" s="17">
        <f>IF($D1464="","",IFERROR(VLOOKUP($E1464,材料归属,2,0),"※材料类别没选"))</f>
        <v/>
      </c>
      <c r="G1464" s="13" t="n"/>
      <c r="H1464" s="13" t="n"/>
      <c r="I1464" s="13" t="n"/>
      <c r="J1464" s="20" t="n"/>
      <c r="K1464" s="14" t="n"/>
      <c r="L1464" s="19">
        <f>IF($D1464="","",ROUND(IF($J1464="",1,$J1464)*N($K1464),2))</f>
        <v/>
      </c>
      <c r="M1464" s="13" t="n"/>
      <c r="N1464" s="17">
        <f>IF($D1464="","",IF(ISNA(MATCH($D1464,项目名表,0)),"※项目不在项目台账里",IF($F1464="※材料类别没选","※材料类别没选",IF(AND($C1464&lt;&gt;"",ISNA(MATCH($C1464,供应商表,0))),"※供应商不在基础资料里",""))))</f>
        <v/>
      </c>
    </row>
    <row r="1465">
      <c r="A1465" s="17">
        <f>IF($D1465="","",ROW()-3)</f>
        <v/>
      </c>
      <c r="B1465" s="18" t="n"/>
      <c r="C1465" s="13" t="n"/>
      <c r="D1465" s="13" t="n"/>
      <c r="E1465" s="13" t="n"/>
      <c r="F1465" s="17">
        <f>IF($D1465="","",IFERROR(VLOOKUP($E1465,材料归属,2,0),"※材料类别没选"))</f>
        <v/>
      </c>
      <c r="G1465" s="13" t="n"/>
      <c r="H1465" s="13" t="n"/>
      <c r="I1465" s="13" t="n"/>
      <c r="J1465" s="20" t="n"/>
      <c r="K1465" s="14" t="n"/>
      <c r="L1465" s="19">
        <f>IF($D1465="","",ROUND(IF($J1465="",1,$J1465)*N($K1465),2))</f>
        <v/>
      </c>
      <c r="M1465" s="13" t="n"/>
      <c r="N1465" s="17">
        <f>IF($D1465="","",IF(ISNA(MATCH($D1465,项目名表,0)),"※项目不在项目台账里",IF($F1465="※材料类别没选","※材料类别没选",IF(AND($C1465&lt;&gt;"",ISNA(MATCH($C1465,供应商表,0))),"※供应商不在基础资料里",""))))</f>
        <v/>
      </c>
    </row>
    <row r="1466">
      <c r="A1466" s="17">
        <f>IF($D1466="","",ROW()-3)</f>
        <v/>
      </c>
      <c r="B1466" s="18" t="n"/>
      <c r="C1466" s="13" t="n"/>
      <c r="D1466" s="13" t="n"/>
      <c r="E1466" s="13" t="n"/>
      <c r="F1466" s="17">
        <f>IF($D1466="","",IFERROR(VLOOKUP($E1466,材料归属,2,0),"※材料类别没选"))</f>
        <v/>
      </c>
      <c r="G1466" s="13" t="n"/>
      <c r="H1466" s="13" t="n"/>
      <c r="I1466" s="13" t="n"/>
      <c r="J1466" s="20" t="n"/>
      <c r="K1466" s="14" t="n"/>
      <c r="L1466" s="19">
        <f>IF($D1466="","",ROUND(IF($J1466="",1,$J1466)*N($K1466),2))</f>
        <v/>
      </c>
      <c r="M1466" s="13" t="n"/>
      <c r="N1466" s="17">
        <f>IF($D1466="","",IF(ISNA(MATCH($D1466,项目名表,0)),"※项目不在项目台账里",IF($F1466="※材料类别没选","※材料类别没选",IF(AND($C1466&lt;&gt;"",ISNA(MATCH($C1466,供应商表,0))),"※供应商不在基础资料里",""))))</f>
        <v/>
      </c>
    </row>
    <row r="1467">
      <c r="A1467" s="17">
        <f>IF($D1467="","",ROW()-3)</f>
        <v/>
      </c>
      <c r="B1467" s="18" t="n"/>
      <c r="C1467" s="13" t="n"/>
      <c r="D1467" s="13" t="n"/>
      <c r="E1467" s="13" t="n"/>
      <c r="F1467" s="17">
        <f>IF($D1467="","",IFERROR(VLOOKUP($E1467,材料归属,2,0),"※材料类别没选"))</f>
        <v/>
      </c>
      <c r="G1467" s="13" t="n"/>
      <c r="H1467" s="13" t="n"/>
      <c r="I1467" s="13" t="n"/>
      <c r="J1467" s="20" t="n"/>
      <c r="K1467" s="14" t="n"/>
      <c r="L1467" s="19">
        <f>IF($D1467="","",ROUND(IF($J1467="",1,$J1467)*N($K1467),2))</f>
        <v/>
      </c>
      <c r="M1467" s="13" t="n"/>
      <c r="N1467" s="17">
        <f>IF($D1467="","",IF(ISNA(MATCH($D1467,项目名表,0)),"※项目不在项目台账里",IF($F1467="※材料类别没选","※材料类别没选",IF(AND($C1467&lt;&gt;"",ISNA(MATCH($C1467,供应商表,0))),"※供应商不在基础资料里",""))))</f>
        <v/>
      </c>
    </row>
    <row r="1468">
      <c r="A1468" s="17">
        <f>IF($D1468="","",ROW()-3)</f>
        <v/>
      </c>
      <c r="B1468" s="18" t="n"/>
      <c r="C1468" s="13" t="n"/>
      <c r="D1468" s="13" t="n"/>
      <c r="E1468" s="13" t="n"/>
      <c r="F1468" s="17">
        <f>IF($D1468="","",IFERROR(VLOOKUP($E1468,材料归属,2,0),"※材料类别没选"))</f>
        <v/>
      </c>
      <c r="G1468" s="13" t="n"/>
      <c r="H1468" s="13" t="n"/>
      <c r="I1468" s="13" t="n"/>
      <c r="J1468" s="20" t="n"/>
      <c r="K1468" s="14" t="n"/>
      <c r="L1468" s="19">
        <f>IF($D1468="","",ROUND(IF($J1468="",1,$J1468)*N($K1468),2))</f>
        <v/>
      </c>
      <c r="M1468" s="13" t="n"/>
      <c r="N1468" s="17">
        <f>IF($D1468="","",IF(ISNA(MATCH($D1468,项目名表,0)),"※项目不在项目台账里",IF($F1468="※材料类别没选","※材料类别没选",IF(AND($C1468&lt;&gt;"",ISNA(MATCH($C1468,供应商表,0))),"※供应商不在基础资料里",""))))</f>
        <v/>
      </c>
    </row>
    <row r="1469">
      <c r="A1469" s="17">
        <f>IF($D1469="","",ROW()-3)</f>
        <v/>
      </c>
      <c r="B1469" s="18" t="n"/>
      <c r="C1469" s="13" t="n"/>
      <c r="D1469" s="13" t="n"/>
      <c r="E1469" s="13" t="n"/>
      <c r="F1469" s="17">
        <f>IF($D1469="","",IFERROR(VLOOKUP($E1469,材料归属,2,0),"※材料类别没选"))</f>
        <v/>
      </c>
      <c r="G1469" s="13" t="n"/>
      <c r="H1469" s="13" t="n"/>
      <c r="I1469" s="13" t="n"/>
      <c r="J1469" s="20" t="n"/>
      <c r="K1469" s="14" t="n"/>
      <c r="L1469" s="19">
        <f>IF($D1469="","",ROUND(IF($J1469="",1,$J1469)*N($K1469),2))</f>
        <v/>
      </c>
      <c r="M1469" s="13" t="n"/>
      <c r="N1469" s="17">
        <f>IF($D1469="","",IF(ISNA(MATCH($D1469,项目名表,0)),"※项目不在项目台账里",IF($F1469="※材料类别没选","※材料类别没选",IF(AND($C1469&lt;&gt;"",ISNA(MATCH($C1469,供应商表,0))),"※供应商不在基础资料里",""))))</f>
        <v/>
      </c>
    </row>
    <row r="1470">
      <c r="A1470" s="17">
        <f>IF($D1470="","",ROW()-3)</f>
        <v/>
      </c>
      <c r="B1470" s="18" t="n"/>
      <c r="C1470" s="13" t="n"/>
      <c r="D1470" s="13" t="n"/>
      <c r="E1470" s="13" t="n"/>
      <c r="F1470" s="17">
        <f>IF($D1470="","",IFERROR(VLOOKUP($E1470,材料归属,2,0),"※材料类别没选"))</f>
        <v/>
      </c>
      <c r="G1470" s="13" t="n"/>
      <c r="H1470" s="13" t="n"/>
      <c r="I1470" s="13" t="n"/>
      <c r="J1470" s="20" t="n"/>
      <c r="K1470" s="14" t="n"/>
      <c r="L1470" s="19">
        <f>IF($D1470="","",ROUND(IF($J1470="",1,$J1470)*N($K1470),2))</f>
        <v/>
      </c>
      <c r="M1470" s="13" t="n"/>
      <c r="N1470" s="17">
        <f>IF($D1470="","",IF(ISNA(MATCH($D1470,项目名表,0)),"※项目不在项目台账里",IF($F1470="※材料类别没选","※材料类别没选",IF(AND($C1470&lt;&gt;"",ISNA(MATCH($C1470,供应商表,0))),"※供应商不在基础资料里",""))))</f>
        <v/>
      </c>
    </row>
    <row r="1471">
      <c r="A1471" s="17">
        <f>IF($D1471="","",ROW()-3)</f>
        <v/>
      </c>
      <c r="B1471" s="18" t="n"/>
      <c r="C1471" s="13" t="n"/>
      <c r="D1471" s="13" t="n"/>
      <c r="E1471" s="13" t="n"/>
      <c r="F1471" s="17">
        <f>IF($D1471="","",IFERROR(VLOOKUP($E1471,材料归属,2,0),"※材料类别没选"))</f>
        <v/>
      </c>
      <c r="G1471" s="13" t="n"/>
      <c r="H1471" s="13" t="n"/>
      <c r="I1471" s="13" t="n"/>
      <c r="J1471" s="20" t="n"/>
      <c r="K1471" s="14" t="n"/>
      <c r="L1471" s="19">
        <f>IF($D1471="","",ROUND(IF($J1471="",1,$J1471)*N($K1471),2))</f>
        <v/>
      </c>
      <c r="M1471" s="13" t="n"/>
      <c r="N1471" s="17">
        <f>IF($D1471="","",IF(ISNA(MATCH($D1471,项目名表,0)),"※项目不在项目台账里",IF($F1471="※材料类别没选","※材料类别没选",IF(AND($C1471&lt;&gt;"",ISNA(MATCH($C1471,供应商表,0))),"※供应商不在基础资料里",""))))</f>
        <v/>
      </c>
    </row>
    <row r="1472">
      <c r="A1472" s="17">
        <f>IF($D1472="","",ROW()-3)</f>
        <v/>
      </c>
      <c r="B1472" s="18" t="n"/>
      <c r="C1472" s="13" t="n"/>
      <c r="D1472" s="13" t="n"/>
      <c r="E1472" s="13" t="n"/>
      <c r="F1472" s="17">
        <f>IF($D1472="","",IFERROR(VLOOKUP($E1472,材料归属,2,0),"※材料类别没选"))</f>
        <v/>
      </c>
      <c r="G1472" s="13" t="n"/>
      <c r="H1472" s="13" t="n"/>
      <c r="I1472" s="13" t="n"/>
      <c r="J1472" s="20" t="n"/>
      <c r="K1472" s="14" t="n"/>
      <c r="L1472" s="19">
        <f>IF($D1472="","",ROUND(IF($J1472="",1,$J1472)*N($K1472),2))</f>
        <v/>
      </c>
      <c r="M1472" s="13" t="n"/>
      <c r="N1472" s="17">
        <f>IF($D1472="","",IF(ISNA(MATCH($D1472,项目名表,0)),"※项目不在项目台账里",IF($F1472="※材料类别没选","※材料类别没选",IF(AND($C1472&lt;&gt;"",ISNA(MATCH($C1472,供应商表,0))),"※供应商不在基础资料里",""))))</f>
        <v/>
      </c>
    </row>
    <row r="1473">
      <c r="A1473" s="17">
        <f>IF($D1473="","",ROW()-3)</f>
        <v/>
      </c>
      <c r="B1473" s="18" t="n"/>
      <c r="C1473" s="13" t="n"/>
      <c r="D1473" s="13" t="n"/>
      <c r="E1473" s="13" t="n"/>
      <c r="F1473" s="17">
        <f>IF($D1473="","",IFERROR(VLOOKUP($E1473,材料归属,2,0),"※材料类别没选"))</f>
        <v/>
      </c>
      <c r="G1473" s="13" t="n"/>
      <c r="H1473" s="13" t="n"/>
      <c r="I1473" s="13" t="n"/>
      <c r="J1473" s="20" t="n"/>
      <c r="K1473" s="14" t="n"/>
      <c r="L1473" s="19">
        <f>IF($D1473="","",ROUND(IF($J1473="",1,$J1473)*N($K1473),2))</f>
        <v/>
      </c>
      <c r="M1473" s="13" t="n"/>
      <c r="N1473" s="17">
        <f>IF($D1473="","",IF(ISNA(MATCH($D1473,项目名表,0)),"※项目不在项目台账里",IF($F1473="※材料类别没选","※材料类别没选",IF(AND($C1473&lt;&gt;"",ISNA(MATCH($C1473,供应商表,0))),"※供应商不在基础资料里",""))))</f>
        <v/>
      </c>
    </row>
    <row r="1474">
      <c r="A1474" s="17">
        <f>IF($D1474="","",ROW()-3)</f>
        <v/>
      </c>
      <c r="B1474" s="18" t="n"/>
      <c r="C1474" s="13" t="n"/>
      <c r="D1474" s="13" t="n"/>
      <c r="E1474" s="13" t="n"/>
      <c r="F1474" s="17">
        <f>IF($D1474="","",IFERROR(VLOOKUP($E1474,材料归属,2,0),"※材料类别没选"))</f>
        <v/>
      </c>
      <c r="G1474" s="13" t="n"/>
      <c r="H1474" s="13" t="n"/>
      <c r="I1474" s="13" t="n"/>
      <c r="J1474" s="20" t="n"/>
      <c r="K1474" s="14" t="n"/>
      <c r="L1474" s="19">
        <f>IF($D1474="","",ROUND(IF($J1474="",1,$J1474)*N($K1474),2))</f>
        <v/>
      </c>
      <c r="M1474" s="13" t="n"/>
      <c r="N1474" s="17">
        <f>IF($D1474="","",IF(ISNA(MATCH($D1474,项目名表,0)),"※项目不在项目台账里",IF($F1474="※材料类别没选","※材料类别没选",IF(AND($C1474&lt;&gt;"",ISNA(MATCH($C1474,供应商表,0))),"※供应商不在基础资料里",""))))</f>
        <v/>
      </c>
    </row>
    <row r="1475">
      <c r="A1475" s="17">
        <f>IF($D1475="","",ROW()-3)</f>
        <v/>
      </c>
      <c r="B1475" s="18" t="n"/>
      <c r="C1475" s="13" t="n"/>
      <c r="D1475" s="13" t="n"/>
      <c r="E1475" s="13" t="n"/>
      <c r="F1475" s="17">
        <f>IF($D1475="","",IFERROR(VLOOKUP($E1475,材料归属,2,0),"※材料类别没选"))</f>
        <v/>
      </c>
      <c r="G1475" s="13" t="n"/>
      <c r="H1475" s="13" t="n"/>
      <c r="I1475" s="13" t="n"/>
      <c r="J1475" s="20" t="n"/>
      <c r="K1475" s="14" t="n"/>
      <c r="L1475" s="19">
        <f>IF($D1475="","",ROUND(IF($J1475="",1,$J1475)*N($K1475),2))</f>
        <v/>
      </c>
      <c r="M1475" s="13" t="n"/>
      <c r="N1475" s="17">
        <f>IF($D1475="","",IF(ISNA(MATCH($D1475,项目名表,0)),"※项目不在项目台账里",IF($F1475="※材料类别没选","※材料类别没选",IF(AND($C1475&lt;&gt;"",ISNA(MATCH($C1475,供应商表,0))),"※供应商不在基础资料里",""))))</f>
        <v/>
      </c>
    </row>
    <row r="1476">
      <c r="A1476" s="17">
        <f>IF($D1476="","",ROW()-3)</f>
        <v/>
      </c>
      <c r="B1476" s="18" t="n"/>
      <c r="C1476" s="13" t="n"/>
      <c r="D1476" s="13" t="n"/>
      <c r="E1476" s="13" t="n"/>
      <c r="F1476" s="17">
        <f>IF($D1476="","",IFERROR(VLOOKUP($E1476,材料归属,2,0),"※材料类别没选"))</f>
        <v/>
      </c>
      <c r="G1476" s="13" t="n"/>
      <c r="H1476" s="13" t="n"/>
      <c r="I1476" s="13" t="n"/>
      <c r="J1476" s="20" t="n"/>
      <c r="K1476" s="14" t="n"/>
      <c r="L1476" s="19">
        <f>IF($D1476="","",ROUND(IF($J1476="",1,$J1476)*N($K1476),2))</f>
        <v/>
      </c>
      <c r="M1476" s="13" t="n"/>
      <c r="N1476" s="17">
        <f>IF($D1476="","",IF(ISNA(MATCH($D1476,项目名表,0)),"※项目不在项目台账里",IF($F1476="※材料类别没选","※材料类别没选",IF(AND($C1476&lt;&gt;"",ISNA(MATCH($C1476,供应商表,0))),"※供应商不在基础资料里",""))))</f>
        <v/>
      </c>
    </row>
    <row r="1477">
      <c r="A1477" s="17">
        <f>IF($D1477="","",ROW()-3)</f>
        <v/>
      </c>
      <c r="B1477" s="18" t="n"/>
      <c r="C1477" s="13" t="n"/>
      <c r="D1477" s="13" t="n"/>
      <c r="E1477" s="13" t="n"/>
      <c r="F1477" s="17">
        <f>IF($D1477="","",IFERROR(VLOOKUP($E1477,材料归属,2,0),"※材料类别没选"))</f>
        <v/>
      </c>
      <c r="G1477" s="13" t="n"/>
      <c r="H1477" s="13" t="n"/>
      <c r="I1477" s="13" t="n"/>
      <c r="J1477" s="20" t="n"/>
      <c r="K1477" s="14" t="n"/>
      <c r="L1477" s="19">
        <f>IF($D1477="","",ROUND(IF($J1477="",1,$J1477)*N($K1477),2))</f>
        <v/>
      </c>
      <c r="M1477" s="13" t="n"/>
      <c r="N1477" s="17">
        <f>IF($D1477="","",IF(ISNA(MATCH($D1477,项目名表,0)),"※项目不在项目台账里",IF($F1477="※材料类别没选","※材料类别没选",IF(AND($C1477&lt;&gt;"",ISNA(MATCH($C1477,供应商表,0))),"※供应商不在基础资料里",""))))</f>
        <v/>
      </c>
    </row>
    <row r="1478">
      <c r="A1478" s="17">
        <f>IF($D1478="","",ROW()-3)</f>
        <v/>
      </c>
      <c r="B1478" s="18" t="n"/>
      <c r="C1478" s="13" t="n"/>
      <c r="D1478" s="13" t="n"/>
      <c r="E1478" s="13" t="n"/>
      <c r="F1478" s="17">
        <f>IF($D1478="","",IFERROR(VLOOKUP($E1478,材料归属,2,0),"※材料类别没选"))</f>
        <v/>
      </c>
      <c r="G1478" s="13" t="n"/>
      <c r="H1478" s="13" t="n"/>
      <c r="I1478" s="13" t="n"/>
      <c r="J1478" s="20" t="n"/>
      <c r="K1478" s="14" t="n"/>
      <c r="L1478" s="19">
        <f>IF($D1478="","",ROUND(IF($J1478="",1,$J1478)*N($K1478),2))</f>
        <v/>
      </c>
      <c r="M1478" s="13" t="n"/>
      <c r="N1478" s="17">
        <f>IF($D1478="","",IF(ISNA(MATCH($D1478,项目名表,0)),"※项目不在项目台账里",IF($F1478="※材料类别没选","※材料类别没选",IF(AND($C1478&lt;&gt;"",ISNA(MATCH($C1478,供应商表,0))),"※供应商不在基础资料里",""))))</f>
        <v/>
      </c>
    </row>
    <row r="1479">
      <c r="A1479" s="17">
        <f>IF($D1479="","",ROW()-3)</f>
        <v/>
      </c>
      <c r="B1479" s="18" t="n"/>
      <c r="C1479" s="13" t="n"/>
      <c r="D1479" s="13" t="n"/>
      <c r="E1479" s="13" t="n"/>
      <c r="F1479" s="17">
        <f>IF($D1479="","",IFERROR(VLOOKUP($E1479,材料归属,2,0),"※材料类别没选"))</f>
        <v/>
      </c>
      <c r="G1479" s="13" t="n"/>
      <c r="H1479" s="13" t="n"/>
      <c r="I1479" s="13" t="n"/>
      <c r="J1479" s="20" t="n"/>
      <c r="K1479" s="14" t="n"/>
      <c r="L1479" s="19">
        <f>IF($D1479="","",ROUND(IF($J1479="",1,$J1479)*N($K1479),2))</f>
        <v/>
      </c>
      <c r="M1479" s="13" t="n"/>
      <c r="N1479" s="17">
        <f>IF($D1479="","",IF(ISNA(MATCH($D1479,项目名表,0)),"※项目不在项目台账里",IF($F1479="※材料类别没选","※材料类别没选",IF(AND($C1479&lt;&gt;"",ISNA(MATCH($C1479,供应商表,0))),"※供应商不在基础资料里",""))))</f>
        <v/>
      </c>
    </row>
    <row r="1480">
      <c r="A1480" s="17">
        <f>IF($D1480="","",ROW()-3)</f>
        <v/>
      </c>
      <c r="B1480" s="18" t="n"/>
      <c r="C1480" s="13" t="n"/>
      <c r="D1480" s="13" t="n"/>
      <c r="E1480" s="13" t="n"/>
      <c r="F1480" s="17">
        <f>IF($D1480="","",IFERROR(VLOOKUP($E1480,材料归属,2,0),"※材料类别没选"))</f>
        <v/>
      </c>
      <c r="G1480" s="13" t="n"/>
      <c r="H1480" s="13" t="n"/>
      <c r="I1480" s="13" t="n"/>
      <c r="J1480" s="20" t="n"/>
      <c r="K1480" s="14" t="n"/>
      <c r="L1480" s="19">
        <f>IF($D1480="","",ROUND(IF($J1480="",1,$J1480)*N($K1480),2))</f>
        <v/>
      </c>
      <c r="M1480" s="13" t="n"/>
      <c r="N1480" s="17">
        <f>IF($D1480="","",IF(ISNA(MATCH($D1480,项目名表,0)),"※项目不在项目台账里",IF($F1480="※材料类别没选","※材料类别没选",IF(AND($C1480&lt;&gt;"",ISNA(MATCH($C1480,供应商表,0))),"※供应商不在基础资料里",""))))</f>
        <v/>
      </c>
    </row>
    <row r="1481">
      <c r="A1481" s="17">
        <f>IF($D1481="","",ROW()-3)</f>
        <v/>
      </c>
      <c r="B1481" s="18" t="n"/>
      <c r="C1481" s="13" t="n"/>
      <c r="D1481" s="13" t="n"/>
      <c r="E1481" s="13" t="n"/>
      <c r="F1481" s="17">
        <f>IF($D1481="","",IFERROR(VLOOKUP($E1481,材料归属,2,0),"※材料类别没选"))</f>
        <v/>
      </c>
      <c r="G1481" s="13" t="n"/>
      <c r="H1481" s="13" t="n"/>
      <c r="I1481" s="13" t="n"/>
      <c r="J1481" s="20" t="n"/>
      <c r="K1481" s="14" t="n"/>
      <c r="L1481" s="19">
        <f>IF($D1481="","",ROUND(IF($J1481="",1,$J1481)*N($K1481),2))</f>
        <v/>
      </c>
      <c r="M1481" s="13" t="n"/>
      <c r="N1481" s="17">
        <f>IF($D1481="","",IF(ISNA(MATCH($D1481,项目名表,0)),"※项目不在项目台账里",IF($F1481="※材料类别没选","※材料类别没选",IF(AND($C1481&lt;&gt;"",ISNA(MATCH($C1481,供应商表,0))),"※供应商不在基础资料里",""))))</f>
        <v/>
      </c>
    </row>
    <row r="1482">
      <c r="A1482" s="17">
        <f>IF($D1482="","",ROW()-3)</f>
        <v/>
      </c>
      <c r="B1482" s="18" t="n"/>
      <c r="C1482" s="13" t="n"/>
      <c r="D1482" s="13" t="n"/>
      <c r="E1482" s="13" t="n"/>
      <c r="F1482" s="17">
        <f>IF($D1482="","",IFERROR(VLOOKUP($E1482,材料归属,2,0),"※材料类别没选"))</f>
        <v/>
      </c>
      <c r="G1482" s="13" t="n"/>
      <c r="H1482" s="13" t="n"/>
      <c r="I1482" s="13" t="n"/>
      <c r="J1482" s="20" t="n"/>
      <c r="K1482" s="14" t="n"/>
      <c r="L1482" s="19">
        <f>IF($D1482="","",ROUND(IF($J1482="",1,$J1482)*N($K1482),2))</f>
        <v/>
      </c>
      <c r="M1482" s="13" t="n"/>
      <c r="N1482" s="17">
        <f>IF($D1482="","",IF(ISNA(MATCH($D1482,项目名表,0)),"※项目不在项目台账里",IF($F1482="※材料类别没选","※材料类别没选",IF(AND($C1482&lt;&gt;"",ISNA(MATCH($C1482,供应商表,0))),"※供应商不在基础资料里",""))))</f>
        <v/>
      </c>
    </row>
    <row r="1483">
      <c r="A1483" s="17">
        <f>IF($D1483="","",ROW()-3)</f>
        <v/>
      </c>
      <c r="B1483" s="18" t="n"/>
      <c r="C1483" s="13" t="n"/>
      <c r="D1483" s="13" t="n"/>
      <c r="E1483" s="13" t="n"/>
      <c r="F1483" s="17">
        <f>IF($D1483="","",IFERROR(VLOOKUP($E1483,材料归属,2,0),"※材料类别没选"))</f>
        <v/>
      </c>
      <c r="G1483" s="13" t="n"/>
      <c r="H1483" s="13" t="n"/>
      <c r="I1483" s="13" t="n"/>
      <c r="J1483" s="20" t="n"/>
      <c r="K1483" s="14" t="n"/>
      <c r="L1483" s="19">
        <f>IF($D1483="","",ROUND(IF($J1483="",1,$J1483)*N($K1483),2))</f>
        <v/>
      </c>
      <c r="M1483" s="13" t="n"/>
      <c r="N1483" s="17">
        <f>IF($D1483="","",IF(ISNA(MATCH($D1483,项目名表,0)),"※项目不在项目台账里",IF($F1483="※材料类别没选","※材料类别没选",IF(AND($C1483&lt;&gt;"",ISNA(MATCH($C1483,供应商表,0))),"※供应商不在基础资料里",""))))</f>
        <v/>
      </c>
    </row>
    <row r="1484">
      <c r="A1484" s="17">
        <f>IF($D1484="","",ROW()-3)</f>
        <v/>
      </c>
      <c r="B1484" s="18" t="n"/>
      <c r="C1484" s="13" t="n"/>
      <c r="D1484" s="13" t="n"/>
      <c r="E1484" s="13" t="n"/>
      <c r="F1484" s="17">
        <f>IF($D1484="","",IFERROR(VLOOKUP($E1484,材料归属,2,0),"※材料类别没选"))</f>
        <v/>
      </c>
      <c r="G1484" s="13" t="n"/>
      <c r="H1484" s="13" t="n"/>
      <c r="I1484" s="13" t="n"/>
      <c r="J1484" s="20" t="n"/>
      <c r="K1484" s="14" t="n"/>
      <c r="L1484" s="19">
        <f>IF($D1484="","",ROUND(IF($J1484="",1,$J1484)*N($K1484),2))</f>
        <v/>
      </c>
      <c r="M1484" s="13" t="n"/>
      <c r="N1484" s="17">
        <f>IF($D1484="","",IF(ISNA(MATCH($D1484,项目名表,0)),"※项目不在项目台账里",IF($F1484="※材料类别没选","※材料类别没选",IF(AND($C1484&lt;&gt;"",ISNA(MATCH($C1484,供应商表,0))),"※供应商不在基础资料里",""))))</f>
        <v/>
      </c>
    </row>
    <row r="1485">
      <c r="A1485" s="17">
        <f>IF($D1485="","",ROW()-3)</f>
        <v/>
      </c>
      <c r="B1485" s="18" t="n"/>
      <c r="C1485" s="13" t="n"/>
      <c r="D1485" s="13" t="n"/>
      <c r="E1485" s="13" t="n"/>
      <c r="F1485" s="17">
        <f>IF($D1485="","",IFERROR(VLOOKUP($E1485,材料归属,2,0),"※材料类别没选"))</f>
        <v/>
      </c>
      <c r="G1485" s="13" t="n"/>
      <c r="H1485" s="13" t="n"/>
      <c r="I1485" s="13" t="n"/>
      <c r="J1485" s="20" t="n"/>
      <c r="K1485" s="14" t="n"/>
      <c r="L1485" s="19">
        <f>IF($D1485="","",ROUND(IF($J1485="",1,$J1485)*N($K1485),2))</f>
        <v/>
      </c>
      <c r="M1485" s="13" t="n"/>
      <c r="N1485" s="17">
        <f>IF($D1485="","",IF(ISNA(MATCH($D1485,项目名表,0)),"※项目不在项目台账里",IF($F1485="※材料类别没选","※材料类别没选",IF(AND($C1485&lt;&gt;"",ISNA(MATCH($C1485,供应商表,0))),"※供应商不在基础资料里",""))))</f>
        <v/>
      </c>
    </row>
    <row r="1486">
      <c r="A1486" s="17">
        <f>IF($D1486="","",ROW()-3)</f>
        <v/>
      </c>
      <c r="B1486" s="18" t="n"/>
      <c r="C1486" s="13" t="n"/>
      <c r="D1486" s="13" t="n"/>
      <c r="E1486" s="13" t="n"/>
      <c r="F1486" s="17">
        <f>IF($D1486="","",IFERROR(VLOOKUP($E1486,材料归属,2,0),"※材料类别没选"))</f>
        <v/>
      </c>
      <c r="G1486" s="13" t="n"/>
      <c r="H1486" s="13" t="n"/>
      <c r="I1486" s="13" t="n"/>
      <c r="J1486" s="20" t="n"/>
      <c r="K1486" s="14" t="n"/>
      <c r="L1486" s="19">
        <f>IF($D1486="","",ROUND(IF($J1486="",1,$J1486)*N($K1486),2))</f>
        <v/>
      </c>
      <c r="M1486" s="13" t="n"/>
      <c r="N1486" s="17">
        <f>IF($D1486="","",IF(ISNA(MATCH($D1486,项目名表,0)),"※项目不在项目台账里",IF($F1486="※材料类别没选","※材料类别没选",IF(AND($C1486&lt;&gt;"",ISNA(MATCH($C1486,供应商表,0))),"※供应商不在基础资料里",""))))</f>
        <v/>
      </c>
    </row>
    <row r="1487">
      <c r="A1487" s="17">
        <f>IF($D1487="","",ROW()-3)</f>
        <v/>
      </c>
      <c r="B1487" s="18" t="n"/>
      <c r="C1487" s="13" t="n"/>
      <c r="D1487" s="13" t="n"/>
      <c r="E1487" s="13" t="n"/>
      <c r="F1487" s="17">
        <f>IF($D1487="","",IFERROR(VLOOKUP($E1487,材料归属,2,0),"※材料类别没选"))</f>
        <v/>
      </c>
      <c r="G1487" s="13" t="n"/>
      <c r="H1487" s="13" t="n"/>
      <c r="I1487" s="13" t="n"/>
      <c r="J1487" s="20" t="n"/>
      <c r="K1487" s="14" t="n"/>
      <c r="L1487" s="19">
        <f>IF($D1487="","",ROUND(IF($J1487="",1,$J1487)*N($K1487),2))</f>
        <v/>
      </c>
      <c r="M1487" s="13" t="n"/>
      <c r="N1487" s="17">
        <f>IF($D1487="","",IF(ISNA(MATCH($D1487,项目名表,0)),"※项目不在项目台账里",IF($F1487="※材料类别没选","※材料类别没选",IF(AND($C1487&lt;&gt;"",ISNA(MATCH($C1487,供应商表,0))),"※供应商不在基础资料里",""))))</f>
        <v/>
      </c>
    </row>
    <row r="1488">
      <c r="A1488" s="17">
        <f>IF($D1488="","",ROW()-3)</f>
        <v/>
      </c>
      <c r="B1488" s="18" t="n"/>
      <c r="C1488" s="13" t="n"/>
      <c r="D1488" s="13" t="n"/>
      <c r="E1488" s="13" t="n"/>
      <c r="F1488" s="17">
        <f>IF($D1488="","",IFERROR(VLOOKUP($E1488,材料归属,2,0),"※材料类别没选"))</f>
        <v/>
      </c>
      <c r="G1488" s="13" t="n"/>
      <c r="H1488" s="13" t="n"/>
      <c r="I1488" s="13" t="n"/>
      <c r="J1488" s="20" t="n"/>
      <c r="K1488" s="14" t="n"/>
      <c r="L1488" s="19">
        <f>IF($D1488="","",ROUND(IF($J1488="",1,$J1488)*N($K1488),2))</f>
        <v/>
      </c>
      <c r="M1488" s="13" t="n"/>
      <c r="N1488" s="17">
        <f>IF($D1488="","",IF(ISNA(MATCH($D1488,项目名表,0)),"※项目不在项目台账里",IF($F1488="※材料类别没选","※材料类别没选",IF(AND($C1488&lt;&gt;"",ISNA(MATCH($C1488,供应商表,0))),"※供应商不在基础资料里",""))))</f>
        <v/>
      </c>
    </row>
    <row r="1489">
      <c r="A1489" s="17">
        <f>IF($D1489="","",ROW()-3)</f>
        <v/>
      </c>
      <c r="B1489" s="18" t="n"/>
      <c r="C1489" s="13" t="n"/>
      <c r="D1489" s="13" t="n"/>
      <c r="E1489" s="13" t="n"/>
      <c r="F1489" s="17">
        <f>IF($D1489="","",IFERROR(VLOOKUP($E1489,材料归属,2,0),"※材料类别没选"))</f>
        <v/>
      </c>
      <c r="G1489" s="13" t="n"/>
      <c r="H1489" s="13" t="n"/>
      <c r="I1489" s="13" t="n"/>
      <c r="J1489" s="20" t="n"/>
      <c r="K1489" s="14" t="n"/>
      <c r="L1489" s="19">
        <f>IF($D1489="","",ROUND(IF($J1489="",1,$J1489)*N($K1489),2))</f>
        <v/>
      </c>
      <c r="M1489" s="13" t="n"/>
      <c r="N1489" s="17">
        <f>IF($D1489="","",IF(ISNA(MATCH($D1489,项目名表,0)),"※项目不在项目台账里",IF($F1489="※材料类别没选","※材料类别没选",IF(AND($C1489&lt;&gt;"",ISNA(MATCH($C1489,供应商表,0))),"※供应商不在基础资料里",""))))</f>
        <v/>
      </c>
    </row>
    <row r="1490">
      <c r="A1490" s="17">
        <f>IF($D1490="","",ROW()-3)</f>
        <v/>
      </c>
      <c r="B1490" s="18" t="n"/>
      <c r="C1490" s="13" t="n"/>
      <c r="D1490" s="13" t="n"/>
      <c r="E1490" s="13" t="n"/>
      <c r="F1490" s="17">
        <f>IF($D1490="","",IFERROR(VLOOKUP($E1490,材料归属,2,0),"※材料类别没选"))</f>
        <v/>
      </c>
      <c r="G1490" s="13" t="n"/>
      <c r="H1490" s="13" t="n"/>
      <c r="I1490" s="13" t="n"/>
      <c r="J1490" s="20" t="n"/>
      <c r="K1490" s="14" t="n"/>
      <c r="L1490" s="19">
        <f>IF($D1490="","",ROUND(IF($J1490="",1,$J1490)*N($K1490),2))</f>
        <v/>
      </c>
      <c r="M1490" s="13" t="n"/>
      <c r="N1490" s="17">
        <f>IF($D1490="","",IF(ISNA(MATCH($D1490,项目名表,0)),"※项目不在项目台账里",IF($F1490="※材料类别没选","※材料类别没选",IF(AND($C1490&lt;&gt;"",ISNA(MATCH($C1490,供应商表,0))),"※供应商不在基础资料里",""))))</f>
        <v/>
      </c>
    </row>
    <row r="1491">
      <c r="A1491" s="17">
        <f>IF($D1491="","",ROW()-3)</f>
        <v/>
      </c>
      <c r="B1491" s="18" t="n"/>
      <c r="C1491" s="13" t="n"/>
      <c r="D1491" s="13" t="n"/>
      <c r="E1491" s="13" t="n"/>
      <c r="F1491" s="17">
        <f>IF($D1491="","",IFERROR(VLOOKUP($E1491,材料归属,2,0),"※材料类别没选"))</f>
        <v/>
      </c>
      <c r="G1491" s="13" t="n"/>
      <c r="H1491" s="13" t="n"/>
      <c r="I1491" s="13" t="n"/>
      <c r="J1491" s="20" t="n"/>
      <c r="K1491" s="14" t="n"/>
      <c r="L1491" s="19">
        <f>IF($D1491="","",ROUND(IF($J1491="",1,$J1491)*N($K1491),2))</f>
        <v/>
      </c>
      <c r="M1491" s="13" t="n"/>
      <c r="N1491" s="17">
        <f>IF($D1491="","",IF(ISNA(MATCH($D1491,项目名表,0)),"※项目不在项目台账里",IF($F1491="※材料类别没选","※材料类别没选",IF(AND($C1491&lt;&gt;"",ISNA(MATCH($C1491,供应商表,0))),"※供应商不在基础资料里",""))))</f>
        <v/>
      </c>
    </row>
    <row r="1492">
      <c r="A1492" s="17">
        <f>IF($D1492="","",ROW()-3)</f>
        <v/>
      </c>
      <c r="B1492" s="18" t="n"/>
      <c r="C1492" s="13" t="n"/>
      <c r="D1492" s="13" t="n"/>
      <c r="E1492" s="13" t="n"/>
      <c r="F1492" s="17">
        <f>IF($D1492="","",IFERROR(VLOOKUP($E1492,材料归属,2,0),"※材料类别没选"))</f>
        <v/>
      </c>
      <c r="G1492" s="13" t="n"/>
      <c r="H1492" s="13" t="n"/>
      <c r="I1492" s="13" t="n"/>
      <c r="J1492" s="20" t="n"/>
      <c r="K1492" s="14" t="n"/>
      <c r="L1492" s="19">
        <f>IF($D1492="","",ROUND(IF($J1492="",1,$J1492)*N($K1492),2))</f>
        <v/>
      </c>
      <c r="M1492" s="13" t="n"/>
      <c r="N1492" s="17">
        <f>IF($D1492="","",IF(ISNA(MATCH($D1492,项目名表,0)),"※项目不在项目台账里",IF($F1492="※材料类别没选","※材料类别没选",IF(AND($C1492&lt;&gt;"",ISNA(MATCH($C1492,供应商表,0))),"※供应商不在基础资料里",""))))</f>
        <v/>
      </c>
    </row>
    <row r="1493">
      <c r="A1493" s="17">
        <f>IF($D1493="","",ROW()-3)</f>
        <v/>
      </c>
      <c r="B1493" s="18" t="n"/>
      <c r="C1493" s="13" t="n"/>
      <c r="D1493" s="13" t="n"/>
      <c r="E1493" s="13" t="n"/>
      <c r="F1493" s="17">
        <f>IF($D1493="","",IFERROR(VLOOKUP($E1493,材料归属,2,0),"※材料类别没选"))</f>
        <v/>
      </c>
      <c r="G1493" s="13" t="n"/>
      <c r="H1493" s="13" t="n"/>
      <c r="I1493" s="13" t="n"/>
      <c r="J1493" s="20" t="n"/>
      <c r="K1493" s="14" t="n"/>
      <c r="L1493" s="19">
        <f>IF($D1493="","",ROUND(IF($J1493="",1,$J1493)*N($K1493),2))</f>
        <v/>
      </c>
      <c r="M1493" s="13" t="n"/>
      <c r="N1493" s="17">
        <f>IF($D1493="","",IF(ISNA(MATCH($D1493,项目名表,0)),"※项目不在项目台账里",IF($F1493="※材料类别没选","※材料类别没选",IF(AND($C1493&lt;&gt;"",ISNA(MATCH($C1493,供应商表,0))),"※供应商不在基础资料里",""))))</f>
        <v/>
      </c>
    </row>
    <row r="1494">
      <c r="A1494" s="17">
        <f>IF($D1494="","",ROW()-3)</f>
        <v/>
      </c>
      <c r="B1494" s="18" t="n"/>
      <c r="C1494" s="13" t="n"/>
      <c r="D1494" s="13" t="n"/>
      <c r="E1494" s="13" t="n"/>
      <c r="F1494" s="17">
        <f>IF($D1494="","",IFERROR(VLOOKUP($E1494,材料归属,2,0),"※材料类别没选"))</f>
        <v/>
      </c>
      <c r="G1494" s="13" t="n"/>
      <c r="H1494" s="13" t="n"/>
      <c r="I1494" s="13" t="n"/>
      <c r="J1494" s="20" t="n"/>
      <c r="K1494" s="14" t="n"/>
      <c r="L1494" s="19">
        <f>IF($D1494="","",ROUND(IF($J1494="",1,$J1494)*N($K1494),2))</f>
        <v/>
      </c>
      <c r="M1494" s="13" t="n"/>
      <c r="N1494" s="17">
        <f>IF($D1494="","",IF(ISNA(MATCH($D1494,项目名表,0)),"※项目不在项目台账里",IF($F1494="※材料类别没选","※材料类别没选",IF(AND($C1494&lt;&gt;"",ISNA(MATCH($C1494,供应商表,0))),"※供应商不在基础资料里",""))))</f>
        <v/>
      </c>
    </row>
    <row r="1495">
      <c r="A1495" s="17">
        <f>IF($D1495="","",ROW()-3)</f>
        <v/>
      </c>
      <c r="B1495" s="18" t="n"/>
      <c r="C1495" s="13" t="n"/>
      <c r="D1495" s="13" t="n"/>
      <c r="E1495" s="13" t="n"/>
      <c r="F1495" s="17">
        <f>IF($D1495="","",IFERROR(VLOOKUP($E1495,材料归属,2,0),"※材料类别没选"))</f>
        <v/>
      </c>
      <c r="G1495" s="13" t="n"/>
      <c r="H1495" s="13" t="n"/>
      <c r="I1495" s="13" t="n"/>
      <c r="J1495" s="20" t="n"/>
      <c r="K1495" s="14" t="n"/>
      <c r="L1495" s="19">
        <f>IF($D1495="","",ROUND(IF($J1495="",1,$J1495)*N($K1495),2))</f>
        <v/>
      </c>
      <c r="M1495" s="13" t="n"/>
      <c r="N1495" s="17">
        <f>IF($D1495="","",IF(ISNA(MATCH($D1495,项目名表,0)),"※项目不在项目台账里",IF($F1495="※材料类别没选","※材料类别没选",IF(AND($C1495&lt;&gt;"",ISNA(MATCH($C1495,供应商表,0))),"※供应商不在基础资料里",""))))</f>
        <v/>
      </c>
    </row>
    <row r="1496">
      <c r="A1496" s="17">
        <f>IF($D1496="","",ROW()-3)</f>
        <v/>
      </c>
      <c r="B1496" s="18" t="n"/>
      <c r="C1496" s="13" t="n"/>
      <c r="D1496" s="13" t="n"/>
      <c r="E1496" s="13" t="n"/>
      <c r="F1496" s="17">
        <f>IF($D1496="","",IFERROR(VLOOKUP($E1496,材料归属,2,0),"※材料类别没选"))</f>
        <v/>
      </c>
      <c r="G1496" s="13" t="n"/>
      <c r="H1496" s="13" t="n"/>
      <c r="I1496" s="13" t="n"/>
      <c r="J1496" s="20" t="n"/>
      <c r="K1496" s="14" t="n"/>
      <c r="L1496" s="19">
        <f>IF($D1496="","",ROUND(IF($J1496="",1,$J1496)*N($K1496),2))</f>
        <v/>
      </c>
      <c r="M1496" s="13" t="n"/>
      <c r="N1496" s="17">
        <f>IF($D1496="","",IF(ISNA(MATCH($D1496,项目名表,0)),"※项目不在项目台账里",IF($F1496="※材料类别没选","※材料类别没选",IF(AND($C1496&lt;&gt;"",ISNA(MATCH($C1496,供应商表,0))),"※供应商不在基础资料里",""))))</f>
        <v/>
      </c>
    </row>
    <row r="1497">
      <c r="A1497" s="17">
        <f>IF($D1497="","",ROW()-3)</f>
        <v/>
      </c>
      <c r="B1497" s="18" t="n"/>
      <c r="C1497" s="13" t="n"/>
      <c r="D1497" s="13" t="n"/>
      <c r="E1497" s="13" t="n"/>
      <c r="F1497" s="17">
        <f>IF($D1497="","",IFERROR(VLOOKUP($E1497,材料归属,2,0),"※材料类别没选"))</f>
        <v/>
      </c>
      <c r="G1497" s="13" t="n"/>
      <c r="H1497" s="13" t="n"/>
      <c r="I1497" s="13" t="n"/>
      <c r="J1497" s="20" t="n"/>
      <c r="K1497" s="14" t="n"/>
      <c r="L1497" s="19">
        <f>IF($D1497="","",ROUND(IF($J1497="",1,$J1497)*N($K1497),2))</f>
        <v/>
      </c>
      <c r="M1497" s="13" t="n"/>
      <c r="N1497" s="17">
        <f>IF($D1497="","",IF(ISNA(MATCH($D1497,项目名表,0)),"※项目不在项目台账里",IF($F1497="※材料类别没选","※材料类别没选",IF(AND($C1497&lt;&gt;"",ISNA(MATCH($C1497,供应商表,0))),"※供应商不在基础资料里",""))))</f>
        <v/>
      </c>
    </row>
    <row r="1498">
      <c r="A1498" s="17">
        <f>IF($D1498="","",ROW()-3)</f>
        <v/>
      </c>
      <c r="B1498" s="18" t="n"/>
      <c r="C1498" s="13" t="n"/>
      <c r="D1498" s="13" t="n"/>
      <c r="E1498" s="13" t="n"/>
      <c r="F1498" s="17">
        <f>IF($D1498="","",IFERROR(VLOOKUP($E1498,材料归属,2,0),"※材料类别没选"))</f>
        <v/>
      </c>
      <c r="G1498" s="13" t="n"/>
      <c r="H1498" s="13" t="n"/>
      <c r="I1498" s="13" t="n"/>
      <c r="J1498" s="20" t="n"/>
      <c r="K1498" s="14" t="n"/>
      <c r="L1498" s="19">
        <f>IF($D1498="","",ROUND(IF($J1498="",1,$J1498)*N($K1498),2))</f>
        <v/>
      </c>
      <c r="M1498" s="13" t="n"/>
      <c r="N1498" s="17">
        <f>IF($D1498="","",IF(ISNA(MATCH($D1498,项目名表,0)),"※项目不在项目台账里",IF($F1498="※材料类别没选","※材料类别没选",IF(AND($C1498&lt;&gt;"",ISNA(MATCH($C1498,供应商表,0))),"※供应商不在基础资料里",""))))</f>
        <v/>
      </c>
    </row>
    <row r="1499">
      <c r="A1499" s="17">
        <f>IF($D1499="","",ROW()-3)</f>
        <v/>
      </c>
      <c r="B1499" s="18" t="n"/>
      <c r="C1499" s="13" t="n"/>
      <c r="D1499" s="13" t="n"/>
      <c r="E1499" s="13" t="n"/>
      <c r="F1499" s="17">
        <f>IF($D1499="","",IFERROR(VLOOKUP($E1499,材料归属,2,0),"※材料类别没选"))</f>
        <v/>
      </c>
      <c r="G1499" s="13" t="n"/>
      <c r="H1499" s="13" t="n"/>
      <c r="I1499" s="13" t="n"/>
      <c r="J1499" s="20" t="n"/>
      <c r="K1499" s="14" t="n"/>
      <c r="L1499" s="19">
        <f>IF($D1499="","",ROUND(IF($J1499="",1,$J1499)*N($K1499),2))</f>
        <v/>
      </c>
      <c r="M1499" s="13" t="n"/>
      <c r="N1499" s="17">
        <f>IF($D1499="","",IF(ISNA(MATCH($D1499,项目名表,0)),"※项目不在项目台账里",IF($F1499="※材料类别没选","※材料类别没选",IF(AND($C1499&lt;&gt;"",ISNA(MATCH($C1499,供应商表,0))),"※供应商不在基础资料里",""))))</f>
        <v/>
      </c>
    </row>
    <row r="1500">
      <c r="A1500" s="17">
        <f>IF($D1500="","",ROW()-3)</f>
        <v/>
      </c>
      <c r="B1500" s="18" t="n"/>
      <c r="C1500" s="13" t="n"/>
      <c r="D1500" s="13" t="n"/>
      <c r="E1500" s="13" t="n"/>
      <c r="F1500" s="17">
        <f>IF($D1500="","",IFERROR(VLOOKUP($E1500,材料归属,2,0),"※材料类别没选"))</f>
        <v/>
      </c>
      <c r="G1500" s="13" t="n"/>
      <c r="H1500" s="13" t="n"/>
      <c r="I1500" s="13" t="n"/>
      <c r="J1500" s="20" t="n"/>
      <c r="K1500" s="14" t="n"/>
      <c r="L1500" s="19">
        <f>IF($D1500="","",ROUND(IF($J1500="",1,$J1500)*N($K1500),2))</f>
        <v/>
      </c>
      <c r="M1500" s="13" t="n"/>
      <c r="N1500" s="17">
        <f>IF($D1500="","",IF(ISNA(MATCH($D1500,项目名表,0)),"※项目不在项目台账里",IF($F1500="※材料类别没选","※材料类别没选",IF(AND($C1500&lt;&gt;"",ISNA(MATCH($C1500,供应商表,0))),"※供应商不在基础资料里",""))))</f>
        <v/>
      </c>
    </row>
    <row r="1501">
      <c r="A1501" s="17">
        <f>IF($D1501="","",ROW()-3)</f>
        <v/>
      </c>
      <c r="B1501" s="18" t="n"/>
      <c r="C1501" s="13" t="n"/>
      <c r="D1501" s="13" t="n"/>
      <c r="E1501" s="13" t="n"/>
      <c r="F1501" s="17">
        <f>IF($D1501="","",IFERROR(VLOOKUP($E1501,材料归属,2,0),"※材料类别没选"))</f>
        <v/>
      </c>
      <c r="G1501" s="13" t="n"/>
      <c r="H1501" s="13" t="n"/>
      <c r="I1501" s="13" t="n"/>
      <c r="J1501" s="20" t="n"/>
      <c r="K1501" s="14" t="n"/>
      <c r="L1501" s="19">
        <f>IF($D1501="","",ROUND(IF($J1501="",1,$J1501)*N($K1501),2))</f>
        <v/>
      </c>
      <c r="M1501" s="13" t="n"/>
      <c r="N1501" s="17">
        <f>IF($D1501="","",IF(ISNA(MATCH($D1501,项目名表,0)),"※项目不在项目台账里",IF($F1501="※材料类别没选","※材料类别没选",IF(AND($C1501&lt;&gt;"",ISNA(MATCH($C1501,供应商表,0))),"※供应商不在基础资料里",""))))</f>
        <v/>
      </c>
    </row>
    <row r="1502">
      <c r="A1502" s="17">
        <f>IF($D1502="","",ROW()-3)</f>
        <v/>
      </c>
      <c r="B1502" s="18" t="n"/>
      <c r="C1502" s="13" t="n"/>
      <c r="D1502" s="13" t="n"/>
      <c r="E1502" s="13" t="n"/>
      <c r="F1502" s="17">
        <f>IF($D1502="","",IFERROR(VLOOKUP($E1502,材料归属,2,0),"※材料类别没选"))</f>
        <v/>
      </c>
      <c r="G1502" s="13" t="n"/>
      <c r="H1502" s="13" t="n"/>
      <c r="I1502" s="13" t="n"/>
      <c r="J1502" s="20" t="n"/>
      <c r="K1502" s="14" t="n"/>
      <c r="L1502" s="19">
        <f>IF($D1502="","",ROUND(IF($J1502="",1,$J1502)*N($K1502),2))</f>
        <v/>
      </c>
      <c r="M1502" s="13" t="n"/>
      <c r="N1502" s="17">
        <f>IF($D1502="","",IF(ISNA(MATCH($D1502,项目名表,0)),"※项目不在项目台账里",IF($F1502="※材料类别没选","※材料类别没选",IF(AND($C1502&lt;&gt;"",ISNA(MATCH($C1502,供应商表,0))),"※供应商不在基础资料里",""))))</f>
        <v/>
      </c>
    </row>
    <row r="1503">
      <c r="A1503" s="17">
        <f>IF($D1503="","",ROW()-3)</f>
        <v/>
      </c>
      <c r="B1503" s="18" t="n"/>
      <c r="C1503" s="13" t="n"/>
      <c r="D1503" s="13" t="n"/>
      <c r="E1503" s="13" t="n"/>
      <c r="F1503" s="17">
        <f>IF($D1503="","",IFERROR(VLOOKUP($E1503,材料归属,2,0),"※材料类别没选"))</f>
        <v/>
      </c>
      <c r="G1503" s="13" t="n"/>
      <c r="H1503" s="13" t="n"/>
      <c r="I1503" s="13" t="n"/>
      <c r="J1503" s="20" t="n"/>
      <c r="K1503" s="14" t="n"/>
      <c r="L1503" s="19">
        <f>IF($D1503="","",ROUND(IF($J1503="",1,$J1503)*N($K1503),2))</f>
        <v/>
      </c>
      <c r="M1503" s="13" t="n"/>
      <c r="N1503" s="17">
        <f>IF($D1503="","",IF(ISNA(MATCH($D1503,项目名表,0)),"※项目不在项目台账里",IF($F1503="※材料类别没选","※材料类别没选",IF(AND($C1503&lt;&gt;"",ISNA(MATCH($C1503,供应商表,0))),"※供应商不在基础资料里",""))))</f>
        <v/>
      </c>
    </row>
    <row r="1504">
      <c r="A1504" s="17">
        <f>IF($D1504="","",ROW()-3)</f>
        <v/>
      </c>
      <c r="B1504" s="18" t="n"/>
      <c r="C1504" s="13" t="n"/>
      <c r="D1504" s="13" t="n"/>
      <c r="E1504" s="13" t="n"/>
      <c r="F1504" s="17">
        <f>IF($D1504="","",IFERROR(VLOOKUP($E1504,材料归属,2,0),"※材料类别没选"))</f>
        <v/>
      </c>
      <c r="G1504" s="13" t="n"/>
      <c r="H1504" s="13" t="n"/>
      <c r="I1504" s="13" t="n"/>
      <c r="J1504" s="20" t="n"/>
      <c r="K1504" s="14" t="n"/>
      <c r="L1504" s="19">
        <f>IF($D1504="","",ROUND(IF($J1504="",1,$J1504)*N($K1504),2))</f>
        <v/>
      </c>
      <c r="M1504" s="13" t="n"/>
      <c r="N1504" s="17">
        <f>IF($D1504="","",IF(ISNA(MATCH($D1504,项目名表,0)),"※项目不在项目台账里",IF($F1504="※材料类别没选","※材料类别没选",IF(AND($C1504&lt;&gt;"",ISNA(MATCH($C1504,供应商表,0))),"※供应商不在基础资料里",""))))</f>
        <v/>
      </c>
    </row>
    <row r="1505">
      <c r="A1505" s="17">
        <f>IF($D1505="","",ROW()-3)</f>
        <v/>
      </c>
      <c r="B1505" s="18" t="n"/>
      <c r="C1505" s="13" t="n"/>
      <c r="D1505" s="13" t="n"/>
      <c r="E1505" s="13" t="n"/>
      <c r="F1505" s="17">
        <f>IF($D1505="","",IFERROR(VLOOKUP($E1505,材料归属,2,0),"※材料类别没选"))</f>
        <v/>
      </c>
      <c r="G1505" s="13" t="n"/>
      <c r="H1505" s="13" t="n"/>
      <c r="I1505" s="13" t="n"/>
      <c r="J1505" s="20" t="n"/>
      <c r="K1505" s="14" t="n"/>
      <c r="L1505" s="19">
        <f>IF($D1505="","",ROUND(IF($J1505="",1,$J1505)*N($K1505),2))</f>
        <v/>
      </c>
      <c r="M1505" s="13" t="n"/>
      <c r="N1505" s="17">
        <f>IF($D1505="","",IF(ISNA(MATCH($D1505,项目名表,0)),"※项目不在项目台账里",IF($F1505="※材料类别没选","※材料类别没选",IF(AND($C1505&lt;&gt;"",ISNA(MATCH($C1505,供应商表,0))),"※供应商不在基础资料里",""))))</f>
        <v/>
      </c>
    </row>
    <row r="1506">
      <c r="A1506" s="17">
        <f>IF($D1506="","",ROW()-3)</f>
        <v/>
      </c>
      <c r="B1506" s="18" t="n"/>
      <c r="C1506" s="13" t="n"/>
      <c r="D1506" s="13" t="n"/>
      <c r="E1506" s="13" t="n"/>
      <c r="F1506" s="17">
        <f>IF($D1506="","",IFERROR(VLOOKUP($E1506,材料归属,2,0),"※材料类别没选"))</f>
        <v/>
      </c>
      <c r="G1506" s="13" t="n"/>
      <c r="H1506" s="13" t="n"/>
      <c r="I1506" s="13" t="n"/>
      <c r="J1506" s="20" t="n"/>
      <c r="K1506" s="14" t="n"/>
      <c r="L1506" s="19">
        <f>IF($D1506="","",ROUND(IF($J1506="",1,$J1506)*N($K1506),2))</f>
        <v/>
      </c>
      <c r="M1506" s="13" t="n"/>
      <c r="N1506" s="17">
        <f>IF($D1506="","",IF(ISNA(MATCH($D1506,项目名表,0)),"※项目不在项目台账里",IF($F1506="※材料类别没选","※材料类别没选",IF(AND($C1506&lt;&gt;"",ISNA(MATCH($C1506,供应商表,0))),"※供应商不在基础资料里",""))))</f>
        <v/>
      </c>
    </row>
    <row r="1507">
      <c r="A1507" s="17">
        <f>IF($D1507="","",ROW()-3)</f>
        <v/>
      </c>
      <c r="B1507" s="18" t="n"/>
      <c r="C1507" s="13" t="n"/>
      <c r="D1507" s="13" t="n"/>
      <c r="E1507" s="13" t="n"/>
      <c r="F1507" s="17">
        <f>IF($D1507="","",IFERROR(VLOOKUP($E1507,材料归属,2,0),"※材料类别没选"))</f>
        <v/>
      </c>
      <c r="G1507" s="13" t="n"/>
      <c r="H1507" s="13" t="n"/>
      <c r="I1507" s="13" t="n"/>
      <c r="J1507" s="20" t="n"/>
      <c r="K1507" s="14" t="n"/>
      <c r="L1507" s="19">
        <f>IF($D1507="","",ROUND(IF($J1507="",1,$J1507)*N($K1507),2))</f>
        <v/>
      </c>
      <c r="M1507" s="13" t="n"/>
      <c r="N1507" s="17">
        <f>IF($D1507="","",IF(ISNA(MATCH($D1507,项目名表,0)),"※项目不在项目台账里",IF($F1507="※材料类别没选","※材料类别没选",IF(AND($C1507&lt;&gt;"",ISNA(MATCH($C1507,供应商表,0))),"※供应商不在基础资料里",""))))</f>
        <v/>
      </c>
    </row>
    <row r="1508">
      <c r="A1508" s="17">
        <f>IF($D1508="","",ROW()-3)</f>
        <v/>
      </c>
      <c r="B1508" s="18" t="n"/>
      <c r="C1508" s="13" t="n"/>
      <c r="D1508" s="13" t="n"/>
      <c r="E1508" s="13" t="n"/>
      <c r="F1508" s="17">
        <f>IF($D1508="","",IFERROR(VLOOKUP($E1508,材料归属,2,0),"※材料类别没选"))</f>
        <v/>
      </c>
      <c r="G1508" s="13" t="n"/>
      <c r="H1508" s="13" t="n"/>
      <c r="I1508" s="13" t="n"/>
      <c r="J1508" s="20" t="n"/>
      <c r="K1508" s="14" t="n"/>
      <c r="L1508" s="19">
        <f>IF($D1508="","",ROUND(IF($J1508="",1,$J1508)*N($K1508),2))</f>
        <v/>
      </c>
      <c r="M1508" s="13" t="n"/>
      <c r="N1508" s="17">
        <f>IF($D1508="","",IF(ISNA(MATCH($D1508,项目名表,0)),"※项目不在项目台账里",IF($F1508="※材料类别没选","※材料类别没选",IF(AND($C1508&lt;&gt;"",ISNA(MATCH($C1508,供应商表,0))),"※供应商不在基础资料里",""))))</f>
        <v/>
      </c>
    </row>
    <row r="1509">
      <c r="A1509" s="17">
        <f>IF($D1509="","",ROW()-3)</f>
        <v/>
      </c>
      <c r="B1509" s="18" t="n"/>
      <c r="C1509" s="13" t="n"/>
      <c r="D1509" s="13" t="n"/>
      <c r="E1509" s="13" t="n"/>
      <c r="F1509" s="17">
        <f>IF($D1509="","",IFERROR(VLOOKUP($E1509,材料归属,2,0),"※材料类别没选"))</f>
        <v/>
      </c>
      <c r="G1509" s="13" t="n"/>
      <c r="H1509" s="13" t="n"/>
      <c r="I1509" s="13" t="n"/>
      <c r="J1509" s="20" t="n"/>
      <c r="K1509" s="14" t="n"/>
      <c r="L1509" s="19">
        <f>IF($D1509="","",ROUND(IF($J1509="",1,$J1509)*N($K1509),2))</f>
        <v/>
      </c>
      <c r="M1509" s="13" t="n"/>
      <c r="N1509" s="17">
        <f>IF($D1509="","",IF(ISNA(MATCH($D1509,项目名表,0)),"※项目不在项目台账里",IF($F1509="※材料类别没选","※材料类别没选",IF(AND($C1509&lt;&gt;"",ISNA(MATCH($C1509,供应商表,0))),"※供应商不在基础资料里",""))))</f>
        <v/>
      </c>
    </row>
    <row r="1510">
      <c r="A1510" s="17">
        <f>IF($D1510="","",ROW()-3)</f>
        <v/>
      </c>
      <c r="B1510" s="18" t="n"/>
      <c r="C1510" s="13" t="n"/>
      <c r="D1510" s="13" t="n"/>
      <c r="E1510" s="13" t="n"/>
      <c r="F1510" s="17">
        <f>IF($D1510="","",IFERROR(VLOOKUP($E1510,材料归属,2,0),"※材料类别没选"))</f>
        <v/>
      </c>
      <c r="G1510" s="13" t="n"/>
      <c r="H1510" s="13" t="n"/>
      <c r="I1510" s="13" t="n"/>
      <c r="J1510" s="20" t="n"/>
      <c r="K1510" s="14" t="n"/>
      <c r="L1510" s="19">
        <f>IF($D1510="","",ROUND(IF($J1510="",1,$J1510)*N($K1510),2))</f>
        <v/>
      </c>
      <c r="M1510" s="13" t="n"/>
      <c r="N1510" s="17">
        <f>IF($D1510="","",IF(ISNA(MATCH($D1510,项目名表,0)),"※项目不在项目台账里",IF($F1510="※材料类别没选","※材料类别没选",IF(AND($C1510&lt;&gt;"",ISNA(MATCH($C1510,供应商表,0))),"※供应商不在基础资料里",""))))</f>
        <v/>
      </c>
    </row>
    <row r="1511">
      <c r="A1511" s="17">
        <f>IF($D1511="","",ROW()-3)</f>
        <v/>
      </c>
      <c r="B1511" s="18" t="n"/>
      <c r="C1511" s="13" t="n"/>
      <c r="D1511" s="13" t="n"/>
      <c r="E1511" s="13" t="n"/>
      <c r="F1511" s="17">
        <f>IF($D1511="","",IFERROR(VLOOKUP($E1511,材料归属,2,0),"※材料类别没选"))</f>
        <v/>
      </c>
      <c r="G1511" s="13" t="n"/>
      <c r="H1511" s="13" t="n"/>
      <c r="I1511" s="13" t="n"/>
      <c r="J1511" s="20" t="n"/>
      <c r="K1511" s="14" t="n"/>
      <c r="L1511" s="19">
        <f>IF($D1511="","",ROUND(IF($J1511="",1,$J1511)*N($K1511),2))</f>
        <v/>
      </c>
      <c r="M1511" s="13" t="n"/>
      <c r="N1511" s="17">
        <f>IF($D1511="","",IF(ISNA(MATCH($D1511,项目名表,0)),"※项目不在项目台账里",IF($F1511="※材料类别没选","※材料类别没选",IF(AND($C1511&lt;&gt;"",ISNA(MATCH($C1511,供应商表,0))),"※供应商不在基础资料里",""))))</f>
        <v/>
      </c>
    </row>
    <row r="1512">
      <c r="A1512" s="17">
        <f>IF($D1512="","",ROW()-3)</f>
        <v/>
      </c>
      <c r="B1512" s="18" t="n"/>
      <c r="C1512" s="13" t="n"/>
      <c r="D1512" s="13" t="n"/>
      <c r="E1512" s="13" t="n"/>
      <c r="F1512" s="17">
        <f>IF($D1512="","",IFERROR(VLOOKUP($E1512,材料归属,2,0),"※材料类别没选"))</f>
        <v/>
      </c>
      <c r="G1512" s="13" t="n"/>
      <c r="H1512" s="13" t="n"/>
      <c r="I1512" s="13" t="n"/>
      <c r="J1512" s="20" t="n"/>
      <c r="K1512" s="14" t="n"/>
      <c r="L1512" s="19">
        <f>IF($D1512="","",ROUND(IF($J1512="",1,$J1512)*N($K1512),2))</f>
        <v/>
      </c>
      <c r="M1512" s="13" t="n"/>
      <c r="N1512" s="17">
        <f>IF($D1512="","",IF(ISNA(MATCH($D1512,项目名表,0)),"※项目不在项目台账里",IF($F1512="※材料类别没选","※材料类别没选",IF(AND($C1512&lt;&gt;"",ISNA(MATCH($C1512,供应商表,0))),"※供应商不在基础资料里",""))))</f>
        <v/>
      </c>
    </row>
    <row r="1513">
      <c r="A1513" s="17">
        <f>IF($D1513="","",ROW()-3)</f>
        <v/>
      </c>
      <c r="B1513" s="18" t="n"/>
      <c r="C1513" s="13" t="n"/>
      <c r="D1513" s="13" t="n"/>
      <c r="E1513" s="13" t="n"/>
      <c r="F1513" s="17">
        <f>IF($D1513="","",IFERROR(VLOOKUP($E1513,材料归属,2,0),"※材料类别没选"))</f>
        <v/>
      </c>
      <c r="G1513" s="13" t="n"/>
      <c r="H1513" s="13" t="n"/>
      <c r="I1513" s="13" t="n"/>
      <c r="J1513" s="20" t="n"/>
      <c r="K1513" s="14" t="n"/>
      <c r="L1513" s="19">
        <f>IF($D1513="","",ROUND(IF($J1513="",1,$J1513)*N($K1513),2))</f>
        <v/>
      </c>
      <c r="M1513" s="13" t="n"/>
      <c r="N1513" s="17">
        <f>IF($D1513="","",IF(ISNA(MATCH($D1513,项目名表,0)),"※项目不在项目台账里",IF($F1513="※材料类别没选","※材料类别没选",IF(AND($C1513&lt;&gt;"",ISNA(MATCH($C1513,供应商表,0))),"※供应商不在基础资料里",""))))</f>
        <v/>
      </c>
    </row>
    <row r="1514">
      <c r="A1514" s="17">
        <f>IF($D1514="","",ROW()-3)</f>
        <v/>
      </c>
      <c r="B1514" s="18" t="n"/>
      <c r="C1514" s="13" t="n"/>
      <c r="D1514" s="13" t="n"/>
      <c r="E1514" s="13" t="n"/>
      <c r="F1514" s="17">
        <f>IF($D1514="","",IFERROR(VLOOKUP($E1514,材料归属,2,0),"※材料类别没选"))</f>
        <v/>
      </c>
      <c r="G1514" s="13" t="n"/>
      <c r="H1514" s="13" t="n"/>
      <c r="I1514" s="13" t="n"/>
      <c r="J1514" s="20" t="n"/>
      <c r="K1514" s="14" t="n"/>
      <c r="L1514" s="19">
        <f>IF($D1514="","",ROUND(IF($J1514="",1,$J1514)*N($K1514),2))</f>
        <v/>
      </c>
      <c r="M1514" s="13" t="n"/>
      <c r="N1514" s="17">
        <f>IF($D1514="","",IF(ISNA(MATCH($D1514,项目名表,0)),"※项目不在项目台账里",IF($F1514="※材料类别没选","※材料类别没选",IF(AND($C1514&lt;&gt;"",ISNA(MATCH($C1514,供应商表,0))),"※供应商不在基础资料里",""))))</f>
        <v/>
      </c>
    </row>
    <row r="1515">
      <c r="A1515" s="17">
        <f>IF($D1515="","",ROW()-3)</f>
        <v/>
      </c>
      <c r="B1515" s="18" t="n"/>
      <c r="C1515" s="13" t="n"/>
      <c r="D1515" s="13" t="n"/>
      <c r="E1515" s="13" t="n"/>
      <c r="F1515" s="17">
        <f>IF($D1515="","",IFERROR(VLOOKUP($E1515,材料归属,2,0),"※材料类别没选"))</f>
        <v/>
      </c>
      <c r="G1515" s="13" t="n"/>
      <c r="H1515" s="13" t="n"/>
      <c r="I1515" s="13" t="n"/>
      <c r="J1515" s="20" t="n"/>
      <c r="K1515" s="14" t="n"/>
      <c r="L1515" s="19">
        <f>IF($D1515="","",ROUND(IF($J1515="",1,$J1515)*N($K1515),2))</f>
        <v/>
      </c>
      <c r="M1515" s="13" t="n"/>
      <c r="N1515" s="17">
        <f>IF($D1515="","",IF(ISNA(MATCH($D1515,项目名表,0)),"※项目不在项目台账里",IF($F1515="※材料类别没选","※材料类别没选",IF(AND($C1515&lt;&gt;"",ISNA(MATCH($C1515,供应商表,0))),"※供应商不在基础资料里",""))))</f>
        <v/>
      </c>
    </row>
    <row r="1516">
      <c r="A1516" s="17">
        <f>IF($D1516="","",ROW()-3)</f>
        <v/>
      </c>
      <c r="B1516" s="18" t="n"/>
      <c r="C1516" s="13" t="n"/>
      <c r="D1516" s="13" t="n"/>
      <c r="E1516" s="13" t="n"/>
      <c r="F1516" s="17">
        <f>IF($D1516="","",IFERROR(VLOOKUP($E1516,材料归属,2,0),"※材料类别没选"))</f>
        <v/>
      </c>
      <c r="G1516" s="13" t="n"/>
      <c r="H1516" s="13" t="n"/>
      <c r="I1516" s="13" t="n"/>
      <c r="J1516" s="20" t="n"/>
      <c r="K1516" s="14" t="n"/>
      <c r="L1516" s="19">
        <f>IF($D1516="","",ROUND(IF($J1516="",1,$J1516)*N($K1516),2))</f>
        <v/>
      </c>
      <c r="M1516" s="13" t="n"/>
      <c r="N1516" s="17">
        <f>IF($D1516="","",IF(ISNA(MATCH($D1516,项目名表,0)),"※项目不在项目台账里",IF($F1516="※材料类别没选","※材料类别没选",IF(AND($C1516&lt;&gt;"",ISNA(MATCH($C1516,供应商表,0))),"※供应商不在基础资料里",""))))</f>
        <v/>
      </c>
    </row>
    <row r="1517">
      <c r="A1517" s="17">
        <f>IF($D1517="","",ROW()-3)</f>
        <v/>
      </c>
      <c r="B1517" s="18" t="n"/>
      <c r="C1517" s="13" t="n"/>
      <c r="D1517" s="13" t="n"/>
      <c r="E1517" s="13" t="n"/>
      <c r="F1517" s="17">
        <f>IF($D1517="","",IFERROR(VLOOKUP($E1517,材料归属,2,0),"※材料类别没选"))</f>
        <v/>
      </c>
      <c r="G1517" s="13" t="n"/>
      <c r="H1517" s="13" t="n"/>
      <c r="I1517" s="13" t="n"/>
      <c r="J1517" s="20" t="n"/>
      <c r="K1517" s="14" t="n"/>
      <c r="L1517" s="19">
        <f>IF($D1517="","",ROUND(IF($J1517="",1,$J1517)*N($K1517),2))</f>
        <v/>
      </c>
      <c r="M1517" s="13" t="n"/>
      <c r="N1517" s="17">
        <f>IF($D1517="","",IF(ISNA(MATCH($D1517,项目名表,0)),"※项目不在项目台账里",IF($F1517="※材料类别没选","※材料类别没选",IF(AND($C1517&lt;&gt;"",ISNA(MATCH($C1517,供应商表,0))),"※供应商不在基础资料里",""))))</f>
        <v/>
      </c>
    </row>
    <row r="1518">
      <c r="A1518" s="17">
        <f>IF($D1518="","",ROW()-3)</f>
        <v/>
      </c>
      <c r="B1518" s="18" t="n"/>
      <c r="C1518" s="13" t="n"/>
      <c r="D1518" s="13" t="n"/>
      <c r="E1518" s="13" t="n"/>
      <c r="F1518" s="17">
        <f>IF($D1518="","",IFERROR(VLOOKUP($E1518,材料归属,2,0),"※材料类别没选"))</f>
        <v/>
      </c>
      <c r="G1518" s="13" t="n"/>
      <c r="H1518" s="13" t="n"/>
      <c r="I1518" s="13" t="n"/>
      <c r="J1518" s="20" t="n"/>
      <c r="K1518" s="14" t="n"/>
      <c r="L1518" s="19">
        <f>IF($D1518="","",ROUND(IF($J1518="",1,$J1518)*N($K1518),2))</f>
        <v/>
      </c>
      <c r="M1518" s="13" t="n"/>
      <c r="N1518" s="17">
        <f>IF($D1518="","",IF(ISNA(MATCH($D1518,项目名表,0)),"※项目不在项目台账里",IF($F1518="※材料类别没选","※材料类别没选",IF(AND($C1518&lt;&gt;"",ISNA(MATCH($C1518,供应商表,0))),"※供应商不在基础资料里",""))))</f>
        <v/>
      </c>
    </row>
    <row r="1519">
      <c r="A1519" s="17">
        <f>IF($D1519="","",ROW()-3)</f>
        <v/>
      </c>
      <c r="B1519" s="18" t="n"/>
      <c r="C1519" s="13" t="n"/>
      <c r="D1519" s="13" t="n"/>
      <c r="E1519" s="13" t="n"/>
      <c r="F1519" s="17">
        <f>IF($D1519="","",IFERROR(VLOOKUP($E1519,材料归属,2,0),"※材料类别没选"))</f>
        <v/>
      </c>
      <c r="G1519" s="13" t="n"/>
      <c r="H1519" s="13" t="n"/>
      <c r="I1519" s="13" t="n"/>
      <c r="J1519" s="20" t="n"/>
      <c r="K1519" s="14" t="n"/>
      <c r="L1519" s="19">
        <f>IF($D1519="","",ROUND(IF($J1519="",1,$J1519)*N($K1519),2))</f>
        <v/>
      </c>
      <c r="M1519" s="13" t="n"/>
      <c r="N1519" s="17">
        <f>IF($D1519="","",IF(ISNA(MATCH($D1519,项目名表,0)),"※项目不在项目台账里",IF($F1519="※材料类别没选","※材料类别没选",IF(AND($C1519&lt;&gt;"",ISNA(MATCH($C1519,供应商表,0))),"※供应商不在基础资料里",""))))</f>
        <v/>
      </c>
    </row>
    <row r="1520">
      <c r="A1520" s="17">
        <f>IF($D1520="","",ROW()-3)</f>
        <v/>
      </c>
      <c r="B1520" s="18" t="n"/>
      <c r="C1520" s="13" t="n"/>
      <c r="D1520" s="13" t="n"/>
      <c r="E1520" s="13" t="n"/>
      <c r="F1520" s="17">
        <f>IF($D1520="","",IFERROR(VLOOKUP($E1520,材料归属,2,0),"※材料类别没选"))</f>
        <v/>
      </c>
      <c r="G1520" s="13" t="n"/>
      <c r="H1520" s="13" t="n"/>
      <c r="I1520" s="13" t="n"/>
      <c r="J1520" s="20" t="n"/>
      <c r="K1520" s="14" t="n"/>
      <c r="L1520" s="19">
        <f>IF($D1520="","",ROUND(IF($J1520="",1,$J1520)*N($K1520),2))</f>
        <v/>
      </c>
      <c r="M1520" s="13" t="n"/>
      <c r="N1520" s="17">
        <f>IF($D1520="","",IF(ISNA(MATCH($D1520,项目名表,0)),"※项目不在项目台账里",IF($F1520="※材料类别没选","※材料类别没选",IF(AND($C1520&lt;&gt;"",ISNA(MATCH($C1520,供应商表,0))),"※供应商不在基础资料里",""))))</f>
        <v/>
      </c>
    </row>
    <row r="1521">
      <c r="A1521" s="17">
        <f>IF($D1521="","",ROW()-3)</f>
        <v/>
      </c>
      <c r="B1521" s="18" t="n"/>
      <c r="C1521" s="13" t="n"/>
      <c r="D1521" s="13" t="n"/>
      <c r="E1521" s="13" t="n"/>
      <c r="F1521" s="17">
        <f>IF($D1521="","",IFERROR(VLOOKUP($E1521,材料归属,2,0),"※材料类别没选"))</f>
        <v/>
      </c>
      <c r="G1521" s="13" t="n"/>
      <c r="H1521" s="13" t="n"/>
      <c r="I1521" s="13" t="n"/>
      <c r="J1521" s="20" t="n"/>
      <c r="K1521" s="14" t="n"/>
      <c r="L1521" s="19">
        <f>IF($D1521="","",ROUND(IF($J1521="",1,$J1521)*N($K1521),2))</f>
        <v/>
      </c>
      <c r="M1521" s="13" t="n"/>
      <c r="N1521" s="17">
        <f>IF($D1521="","",IF(ISNA(MATCH($D1521,项目名表,0)),"※项目不在项目台账里",IF($F1521="※材料类别没选","※材料类别没选",IF(AND($C1521&lt;&gt;"",ISNA(MATCH($C1521,供应商表,0))),"※供应商不在基础资料里",""))))</f>
        <v/>
      </c>
    </row>
    <row r="1522">
      <c r="A1522" s="17">
        <f>IF($D1522="","",ROW()-3)</f>
        <v/>
      </c>
      <c r="B1522" s="18" t="n"/>
      <c r="C1522" s="13" t="n"/>
      <c r="D1522" s="13" t="n"/>
      <c r="E1522" s="13" t="n"/>
      <c r="F1522" s="17">
        <f>IF($D1522="","",IFERROR(VLOOKUP($E1522,材料归属,2,0),"※材料类别没选"))</f>
        <v/>
      </c>
      <c r="G1522" s="13" t="n"/>
      <c r="H1522" s="13" t="n"/>
      <c r="I1522" s="13" t="n"/>
      <c r="J1522" s="20" t="n"/>
      <c r="K1522" s="14" t="n"/>
      <c r="L1522" s="19">
        <f>IF($D1522="","",ROUND(IF($J1522="",1,$J1522)*N($K1522),2))</f>
        <v/>
      </c>
      <c r="M1522" s="13" t="n"/>
      <c r="N1522" s="17">
        <f>IF($D1522="","",IF(ISNA(MATCH($D1522,项目名表,0)),"※项目不在项目台账里",IF($F1522="※材料类别没选","※材料类别没选",IF(AND($C1522&lt;&gt;"",ISNA(MATCH($C1522,供应商表,0))),"※供应商不在基础资料里",""))))</f>
        <v/>
      </c>
    </row>
    <row r="1523">
      <c r="A1523" s="17">
        <f>IF($D1523="","",ROW()-3)</f>
        <v/>
      </c>
      <c r="B1523" s="18" t="n"/>
      <c r="C1523" s="13" t="n"/>
      <c r="D1523" s="13" t="n"/>
      <c r="E1523" s="13" t="n"/>
      <c r="F1523" s="17">
        <f>IF($D1523="","",IFERROR(VLOOKUP($E1523,材料归属,2,0),"※材料类别没选"))</f>
        <v/>
      </c>
      <c r="G1523" s="13" t="n"/>
      <c r="H1523" s="13" t="n"/>
      <c r="I1523" s="13" t="n"/>
      <c r="J1523" s="20" t="n"/>
      <c r="K1523" s="14" t="n"/>
      <c r="L1523" s="19">
        <f>IF($D1523="","",ROUND(IF($J1523="",1,$J1523)*N($K1523),2))</f>
        <v/>
      </c>
      <c r="M1523" s="13" t="n"/>
      <c r="N1523" s="17">
        <f>IF($D1523="","",IF(ISNA(MATCH($D1523,项目名表,0)),"※项目不在项目台账里",IF($F1523="※材料类别没选","※材料类别没选",IF(AND($C1523&lt;&gt;"",ISNA(MATCH($C1523,供应商表,0))),"※供应商不在基础资料里",""))))</f>
        <v/>
      </c>
    </row>
    <row r="1524">
      <c r="A1524" s="17">
        <f>IF($D1524="","",ROW()-3)</f>
        <v/>
      </c>
      <c r="B1524" s="18" t="n"/>
      <c r="C1524" s="13" t="n"/>
      <c r="D1524" s="13" t="n"/>
      <c r="E1524" s="13" t="n"/>
      <c r="F1524" s="17">
        <f>IF($D1524="","",IFERROR(VLOOKUP($E1524,材料归属,2,0),"※材料类别没选"))</f>
        <v/>
      </c>
      <c r="G1524" s="13" t="n"/>
      <c r="H1524" s="13" t="n"/>
      <c r="I1524" s="13" t="n"/>
      <c r="J1524" s="20" t="n"/>
      <c r="K1524" s="14" t="n"/>
      <c r="L1524" s="19">
        <f>IF($D1524="","",ROUND(IF($J1524="",1,$J1524)*N($K1524),2))</f>
        <v/>
      </c>
      <c r="M1524" s="13" t="n"/>
      <c r="N1524" s="17">
        <f>IF($D1524="","",IF(ISNA(MATCH($D1524,项目名表,0)),"※项目不在项目台账里",IF($F1524="※材料类别没选","※材料类别没选",IF(AND($C1524&lt;&gt;"",ISNA(MATCH($C1524,供应商表,0))),"※供应商不在基础资料里",""))))</f>
        <v/>
      </c>
    </row>
    <row r="1525">
      <c r="A1525" s="17">
        <f>IF($D1525="","",ROW()-3)</f>
        <v/>
      </c>
      <c r="B1525" s="18" t="n"/>
      <c r="C1525" s="13" t="n"/>
      <c r="D1525" s="13" t="n"/>
      <c r="E1525" s="13" t="n"/>
      <c r="F1525" s="17">
        <f>IF($D1525="","",IFERROR(VLOOKUP($E1525,材料归属,2,0),"※材料类别没选"))</f>
        <v/>
      </c>
      <c r="G1525" s="13" t="n"/>
      <c r="H1525" s="13" t="n"/>
      <c r="I1525" s="13" t="n"/>
      <c r="J1525" s="20" t="n"/>
      <c r="K1525" s="14" t="n"/>
      <c r="L1525" s="19">
        <f>IF($D1525="","",ROUND(IF($J1525="",1,$J1525)*N($K1525),2))</f>
        <v/>
      </c>
      <c r="M1525" s="13" t="n"/>
      <c r="N1525" s="17">
        <f>IF($D1525="","",IF(ISNA(MATCH($D1525,项目名表,0)),"※项目不在项目台账里",IF($F1525="※材料类别没选","※材料类别没选",IF(AND($C1525&lt;&gt;"",ISNA(MATCH($C1525,供应商表,0))),"※供应商不在基础资料里",""))))</f>
        <v/>
      </c>
    </row>
    <row r="1526">
      <c r="A1526" s="17">
        <f>IF($D1526="","",ROW()-3)</f>
        <v/>
      </c>
      <c r="B1526" s="18" t="n"/>
      <c r="C1526" s="13" t="n"/>
      <c r="D1526" s="13" t="n"/>
      <c r="E1526" s="13" t="n"/>
      <c r="F1526" s="17">
        <f>IF($D1526="","",IFERROR(VLOOKUP($E1526,材料归属,2,0),"※材料类别没选"))</f>
        <v/>
      </c>
      <c r="G1526" s="13" t="n"/>
      <c r="H1526" s="13" t="n"/>
      <c r="I1526" s="13" t="n"/>
      <c r="J1526" s="20" t="n"/>
      <c r="K1526" s="14" t="n"/>
      <c r="L1526" s="19">
        <f>IF($D1526="","",ROUND(IF($J1526="",1,$J1526)*N($K1526),2))</f>
        <v/>
      </c>
      <c r="M1526" s="13" t="n"/>
      <c r="N1526" s="17">
        <f>IF($D1526="","",IF(ISNA(MATCH($D1526,项目名表,0)),"※项目不在项目台账里",IF($F1526="※材料类别没选","※材料类别没选",IF(AND($C1526&lt;&gt;"",ISNA(MATCH($C1526,供应商表,0))),"※供应商不在基础资料里",""))))</f>
        <v/>
      </c>
    </row>
    <row r="1527">
      <c r="A1527" s="17">
        <f>IF($D1527="","",ROW()-3)</f>
        <v/>
      </c>
      <c r="B1527" s="18" t="n"/>
      <c r="C1527" s="13" t="n"/>
      <c r="D1527" s="13" t="n"/>
      <c r="E1527" s="13" t="n"/>
      <c r="F1527" s="17">
        <f>IF($D1527="","",IFERROR(VLOOKUP($E1527,材料归属,2,0),"※材料类别没选"))</f>
        <v/>
      </c>
      <c r="G1527" s="13" t="n"/>
      <c r="H1527" s="13" t="n"/>
      <c r="I1527" s="13" t="n"/>
      <c r="J1527" s="20" t="n"/>
      <c r="K1527" s="14" t="n"/>
      <c r="L1527" s="19">
        <f>IF($D1527="","",ROUND(IF($J1527="",1,$J1527)*N($K1527),2))</f>
        <v/>
      </c>
      <c r="M1527" s="13" t="n"/>
      <c r="N1527" s="17">
        <f>IF($D1527="","",IF(ISNA(MATCH($D1527,项目名表,0)),"※项目不在项目台账里",IF($F1527="※材料类别没选","※材料类别没选",IF(AND($C1527&lt;&gt;"",ISNA(MATCH($C1527,供应商表,0))),"※供应商不在基础资料里",""))))</f>
        <v/>
      </c>
    </row>
    <row r="1528">
      <c r="A1528" s="17">
        <f>IF($D1528="","",ROW()-3)</f>
        <v/>
      </c>
      <c r="B1528" s="18" t="n"/>
      <c r="C1528" s="13" t="n"/>
      <c r="D1528" s="13" t="n"/>
      <c r="E1528" s="13" t="n"/>
      <c r="F1528" s="17">
        <f>IF($D1528="","",IFERROR(VLOOKUP($E1528,材料归属,2,0),"※材料类别没选"))</f>
        <v/>
      </c>
      <c r="G1528" s="13" t="n"/>
      <c r="H1528" s="13" t="n"/>
      <c r="I1528" s="13" t="n"/>
      <c r="J1528" s="20" t="n"/>
      <c r="K1528" s="14" t="n"/>
      <c r="L1528" s="19">
        <f>IF($D1528="","",ROUND(IF($J1528="",1,$J1528)*N($K1528),2))</f>
        <v/>
      </c>
      <c r="M1528" s="13" t="n"/>
      <c r="N1528" s="17">
        <f>IF($D1528="","",IF(ISNA(MATCH($D1528,项目名表,0)),"※项目不在项目台账里",IF($F1528="※材料类别没选","※材料类别没选",IF(AND($C1528&lt;&gt;"",ISNA(MATCH($C1528,供应商表,0))),"※供应商不在基础资料里",""))))</f>
        <v/>
      </c>
    </row>
    <row r="1529">
      <c r="A1529" s="17">
        <f>IF($D1529="","",ROW()-3)</f>
        <v/>
      </c>
      <c r="B1529" s="18" t="n"/>
      <c r="C1529" s="13" t="n"/>
      <c r="D1529" s="13" t="n"/>
      <c r="E1529" s="13" t="n"/>
      <c r="F1529" s="17">
        <f>IF($D1529="","",IFERROR(VLOOKUP($E1529,材料归属,2,0),"※材料类别没选"))</f>
        <v/>
      </c>
      <c r="G1529" s="13" t="n"/>
      <c r="H1529" s="13" t="n"/>
      <c r="I1529" s="13" t="n"/>
      <c r="J1529" s="20" t="n"/>
      <c r="K1529" s="14" t="n"/>
      <c r="L1529" s="19">
        <f>IF($D1529="","",ROUND(IF($J1529="",1,$J1529)*N($K1529),2))</f>
        <v/>
      </c>
      <c r="M1529" s="13" t="n"/>
      <c r="N1529" s="17">
        <f>IF($D1529="","",IF(ISNA(MATCH($D1529,项目名表,0)),"※项目不在项目台账里",IF($F1529="※材料类别没选","※材料类别没选",IF(AND($C1529&lt;&gt;"",ISNA(MATCH($C1529,供应商表,0))),"※供应商不在基础资料里",""))))</f>
        <v/>
      </c>
    </row>
    <row r="1530">
      <c r="A1530" s="17">
        <f>IF($D1530="","",ROW()-3)</f>
        <v/>
      </c>
      <c r="B1530" s="18" t="n"/>
      <c r="C1530" s="13" t="n"/>
      <c r="D1530" s="13" t="n"/>
      <c r="E1530" s="13" t="n"/>
      <c r="F1530" s="17">
        <f>IF($D1530="","",IFERROR(VLOOKUP($E1530,材料归属,2,0),"※材料类别没选"))</f>
        <v/>
      </c>
      <c r="G1530" s="13" t="n"/>
      <c r="H1530" s="13" t="n"/>
      <c r="I1530" s="13" t="n"/>
      <c r="J1530" s="20" t="n"/>
      <c r="K1530" s="14" t="n"/>
      <c r="L1530" s="19">
        <f>IF($D1530="","",ROUND(IF($J1530="",1,$J1530)*N($K1530),2))</f>
        <v/>
      </c>
      <c r="M1530" s="13" t="n"/>
      <c r="N1530" s="17">
        <f>IF($D1530="","",IF(ISNA(MATCH($D1530,项目名表,0)),"※项目不在项目台账里",IF($F1530="※材料类别没选","※材料类别没选",IF(AND($C1530&lt;&gt;"",ISNA(MATCH($C1530,供应商表,0))),"※供应商不在基础资料里",""))))</f>
        <v/>
      </c>
    </row>
    <row r="1531">
      <c r="A1531" s="17">
        <f>IF($D1531="","",ROW()-3)</f>
        <v/>
      </c>
      <c r="B1531" s="18" t="n"/>
      <c r="C1531" s="13" t="n"/>
      <c r="D1531" s="13" t="n"/>
      <c r="E1531" s="13" t="n"/>
      <c r="F1531" s="17">
        <f>IF($D1531="","",IFERROR(VLOOKUP($E1531,材料归属,2,0),"※材料类别没选"))</f>
        <v/>
      </c>
      <c r="G1531" s="13" t="n"/>
      <c r="H1531" s="13" t="n"/>
      <c r="I1531" s="13" t="n"/>
      <c r="J1531" s="20" t="n"/>
      <c r="K1531" s="14" t="n"/>
      <c r="L1531" s="19">
        <f>IF($D1531="","",ROUND(IF($J1531="",1,$J1531)*N($K1531),2))</f>
        <v/>
      </c>
      <c r="M1531" s="13" t="n"/>
      <c r="N1531" s="17">
        <f>IF($D1531="","",IF(ISNA(MATCH($D1531,项目名表,0)),"※项目不在项目台账里",IF($F1531="※材料类别没选","※材料类别没选",IF(AND($C1531&lt;&gt;"",ISNA(MATCH($C1531,供应商表,0))),"※供应商不在基础资料里",""))))</f>
        <v/>
      </c>
    </row>
    <row r="1532">
      <c r="A1532" s="17">
        <f>IF($D1532="","",ROW()-3)</f>
        <v/>
      </c>
      <c r="B1532" s="18" t="n"/>
      <c r="C1532" s="13" t="n"/>
      <c r="D1532" s="13" t="n"/>
      <c r="E1532" s="13" t="n"/>
      <c r="F1532" s="17">
        <f>IF($D1532="","",IFERROR(VLOOKUP($E1532,材料归属,2,0),"※材料类别没选"))</f>
        <v/>
      </c>
      <c r="G1532" s="13" t="n"/>
      <c r="H1532" s="13" t="n"/>
      <c r="I1532" s="13" t="n"/>
      <c r="J1532" s="20" t="n"/>
      <c r="K1532" s="14" t="n"/>
      <c r="L1532" s="19">
        <f>IF($D1532="","",ROUND(IF($J1532="",1,$J1532)*N($K1532),2))</f>
        <v/>
      </c>
      <c r="M1532" s="13" t="n"/>
      <c r="N1532" s="17">
        <f>IF($D1532="","",IF(ISNA(MATCH($D1532,项目名表,0)),"※项目不在项目台账里",IF($F1532="※材料类别没选","※材料类别没选",IF(AND($C1532&lt;&gt;"",ISNA(MATCH($C1532,供应商表,0))),"※供应商不在基础资料里",""))))</f>
        <v/>
      </c>
    </row>
    <row r="1533">
      <c r="A1533" s="17">
        <f>IF($D1533="","",ROW()-3)</f>
        <v/>
      </c>
      <c r="B1533" s="18" t="n"/>
      <c r="C1533" s="13" t="n"/>
      <c r="D1533" s="13" t="n"/>
      <c r="E1533" s="13" t="n"/>
      <c r="F1533" s="17">
        <f>IF($D1533="","",IFERROR(VLOOKUP($E1533,材料归属,2,0),"※材料类别没选"))</f>
        <v/>
      </c>
      <c r="G1533" s="13" t="n"/>
      <c r="H1533" s="13" t="n"/>
      <c r="I1533" s="13" t="n"/>
      <c r="J1533" s="20" t="n"/>
      <c r="K1533" s="14" t="n"/>
      <c r="L1533" s="19">
        <f>IF($D1533="","",ROUND(IF($J1533="",1,$J1533)*N($K1533),2))</f>
        <v/>
      </c>
      <c r="M1533" s="13" t="n"/>
      <c r="N1533" s="17">
        <f>IF($D1533="","",IF(ISNA(MATCH($D1533,项目名表,0)),"※项目不在项目台账里",IF($F1533="※材料类别没选","※材料类别没选",IF(AND($C1533&lt;&gt;"",ISNA(MATCH($C1533,供应商表,0))),"※供应商不在基础资料里",""))))</f>
        <v/>
      </c>
    </row>
    <row r="1534">
      <c r="A1534" s="17">
        <f>IF($D1534="","",ROW()-3)</f>
        <v/>
      </c>
      <c r="B1534" s="18" t="n"/>
      <c r="C1534" s="13" t="n"/>
      <c r="D1534" s="13" t="n"/>
      <c r="E1534" s="13" t="n"/>
      <c r="F1534" s="17">
        <f>IF($D1534="","",IFERROR(VLOOKUP($E1534,材料归属,2,0),"※材料类别没选"))</f>
        <v/>
      </c>
      <c r="G1534" s="13" t="n"/>
      <c r="H1534" s="13" t="n"/>
      <c r="I1534" s="13" t="n"/>
      <c r="J1534" s="20" t="n"/>
      <c r="K1534" s="14" t="n"/>
      <c r="L1534" s="19">
        <f>IF($D1534="","",ROUND(IF($J1534="",1,$J1534)*N($K1534),2))</f>
        <v/>
      </c>
      <c r="M1534" s="13" t="n"/>
      <c r="N1534" s="17">
        <f>IF($D1534="","",IF(ISNA(MATCH($D1534,项目名表,0)),"※项目不在项目台账里",IF($F1534="※材料类别没选","※材料类别没选",IF(AND($C1534&lt;&gt;"",ISNA(MATCH($C1534,供应商表,0))),"※供应商不在基础资料里",""))))</f>
        <v/>
      </c>
    </row>
    <row r="1535">
      <c r="A1535" s="17">
        <f>IF($D1535="","",ROW()-3)</f>
        <v/>
      </c>
      <c r="B1535" s="18" t="n"/>
      <c r="C1535" s="13" t="n"/>
      <c r="D1535" s="13" t="n"/>
      <c r="E1535" s="13" t="n"/>
      <c r="F1535" s="17">
        <f>IF($D1535="","",IFERROR(VLOOKUP($E1535,材料归属,2,0),"※材料类别没选"))</f>
        <v/>
      </c>
      <c r="G1535" s="13" t="n"/>
      <c r="H1535" s="13" t="n"/>
      <c r="I1535" s="13" t="n"/>
      <c r="J1535" s="20" t="n"/>
      <c r="K1535" s="14" t="n"/>
      <c r="L1535" s="19">
        <f>IF($D1535="","",ROUND(IF($J1535="",1,$J1535)*N($K1535),2))</f>
        <v/>
      </c>
      <c r="M1535" s="13" t="n"/>
      <c r="N1535" s="17">
        <f>IF($D1535="","",IF(ISNA(MATCH($D1535,项目名表,0)),"※项目不在项目台账里",IF($F1535="※材料类别没选","※材料类别没选",IF(AND($C1535&lt;&gt;"",ISNA(MATCH($C1535,供应商表,0))),"※供应商不在基础资料里",""))))</f>
        <v/>
      </c>
    </row>
    <row r="1536">
      <c r="A1536" s="17">
        <f>IF($D1536="","",ROW()-3)</f>
        <v/>
      </c>
      <c r="B1536" s="18" t="n"/>
      <c r="C1536" s="13" t="n"/>
      <c r="D1536" s="13" t="n"/>
      <c r="E1536" s="13" t="n"/>
      <c r="F1536" s="17">
        <f>IF($D1536="","",IFERROR(VLOOKUP($E1536,材料归属,2,0),"※材料类别没选"))</f>
        <v/>
      </c>
      <c r="G1536" s="13" t="n"/>
      <c r="H1536" s="13" t="n"/>
      <c r="I1536" s="13" t="n"/>
      <c r="J1536" s="20" t="n"/>
      <c r="K1536" s="14" t="n"/>
      <c r="L1536" s="19">
        <f>IF($D1536="","",ROUND(IF($J1536="",1,$J1536)*N($K1536),2))</f>
        <v/>
      </c>
      <c r="M1536" s="13" t="n"/>
      <c r="N1536" s="17">
        <f>IF($D1536="","",IF(ISNA(MATCH($D1536,项目名表,0)),"※项目不在项目台账里",IF($F1536="※材料类别没选","※材料类别没选",IF(AND($C1536&lt;&gt;"",ISNA(MATCH($C1536,供应商表,0))),"※供应商不在基础资料里",""))))</f>
        <v/>
      </c>
    </row>
    <row r="1537">
      <c r="A1537" s="17">
        <f>IF($D1537="","",ROW()-3)</f>
        <v/>
      </c>
      <c r="B1537" s="18" t="n"/>
      <c r="C1537" s="13" t="n"/>
      <c r="D1537" s="13" t="n"/>
      <c r="E1537" s="13" t="n"/>
      <c r="F1537" s="17">
        <f>IF($D1537="","",IFERROR(VLOOKUP($E1537,材料归属,2,0),"※材料类别没选"))</f>
        <v/>
      </c>
      <c r="G1537" s="13" t="n"/>
      <c r="H1537" s="13" t="n"/>
      <c r="I1537" s="13" t="n"/>
      <c r="J1537" s="20" t="n"/>
      <c r="K1537" s="14" t="n"/>
      <c r="L1537" s="19">
        <f>IF($D1537="","",ROUND(IF($J1537="",1,$J1537)*N($K1537),2))</f>
        <v/>
      </c>
      <c r="M1537" s="13" t="n"/>
      <c r="N1537" s="17">
        <f>IF($D1537="","",IF(ISNA(MATCH($D1537,项目名表,0)),"※项目不在项目台账里",IF($F1537="※材料类别没选","※材料类别没选",IF(AND($C1537&lt;&gt;"",ISNA(MATCH($C1537,供应商表,0))),"※供应商不在基础资料里",""))))</f>
        <v/>
      </c>
    </row>
    <row r="1538">
      <c r="A1538" s="17">
        <f>IF($D1538="","",ROW()-3)</f>
        <v/>
      </c>
      <c r="B1538" s="18" t="n"/>
      <c r="C1538" s="13" t="n"/>
      <c r="D1538" s="13" t="n"/>
      <c r="E1538" s="13" t="n"/>
      <c r="F1538" s="17">
        <f>IF($D1538="","",IFERROR(VLOOKUP($E1538,材料归属,2,0),"※材料类别没选"))</f>
        <v/>
      </c>
      <c r="G1538" s="13" t="n"/>
      <c r="H1538" s="13" t="n"/>
      <c r="I1538" s="13" t="n"/>
      <c r="J1538" s="20" t="n"/>
      <c r="K1538" s="14" t="n"/>
      <c r="L1538" s="19">
        <f>IF($D1538="","",ROUND(IF($J1538="",1,$J1538)*N($K1538),2))</f>
        <v/>
      </c>
      <c r="M1538" s="13" t="n"/>
      <c r="N1538" s="17">
        <f>IF($D1538="","",IF(ISNA(MATCH($D1538,项目名表,0)),"※项目不在项目台账里",IF($F1538="※材料类别没选","※材料类别没选",IF(AND($C1538&lt;&gt;"",ISNA(MATCH($C1538,供应商表,0))),"※供应商不在基础资料里",""))))</f>
        <v/>
      </c>
    </row>
    <row r="1539">
      <c r="A1539" s="17">
        <f>IF($D1539="","",ROW()-3)</f>
        <v/>
      </c>
      <c r="B1539" s="18" t="n"/>
      <c r="C1539" s="13" t="n"/>
      <c r="D1539" s="13" t="n"/>
      <c r="E1539" s="13" t="n"/>
      <c r="F1539" s="17">
        <f>IF($D1539="","",IFERROR(VLOOKUP($E1539,材料归属,2,0),"※材料类别没选"))</f>
        <v/>
      </c>
      <c r="G1539" s="13" t="n"/>
      <c r="H1539" s="13" t="n"/>
      <c r="I1539" s="13" t="n"/>
      <c r="J1539" s="20" t="n"/>
      <c r="K1539" s="14" t="n"/>
      <c r="L1539" s="19">
        <f>IF($D1539="","",ROUND(IF($J1539="",1,$J1539)*N($K1539),2))</f>
        <v/>
      </c>
      <c r="M1539" s="13" t="n"/>
      <c r="N1539" s="17">
        <f>IF($D1539="","",IF(ISNA(MATCH($D1539,项目名表,0)),"※项目不在项目台账里",IF($F1539="※材料类别没选","※材料类别没选",IF(AND($C1539&lt;&gt;"",ISNA(MATCH($C1539,供应商表,0))),"※供应商不在基础资料里",""))))</f>
        <v/>
      </c>
    </row>
    <row r="1540">
      <c r="A1540" s="17">
        <f>IF($D1540="","",ROW()-3)</f>
        <v/>
      </c>
      <c r="B1540" s="18" t="n"/>
      <c r="C1540" s="13" t="n"/>
      <c r="D1540" s="13" t="n"/>
      <c r="E1540" s="13" t="n"/>
      <c r="F1540" s="17">
        <f>IF($D1540="","",IFERROR(VLOOKUP($E1540,材料归属,2,0),"※材料类别没选"))</f>
        <v/>
      </c>
      <c r="G1540" s="13" t="n"/>
      <c r="H1540" s="13" t="n"/>
      <c r="I1540" s="13" t="n"/>
      <c r="J1540" s="20" t="n"/>
      <c r="K1540" s="14" t="n"/>
      <c r="L1540" s="19">
        <f>IF($D1540="","",ROUND(IF($J1540="",1,$J1540)*N($K1540),2))</f>
        <v/>
      </c>
      <c r="M1540" s="13" t="n"/>
      <c r="N1540" s="17">
        <f>IF($D1540="","",IF(ISNA(MATCH($D1540,项目名表,0)),"※项目不在项目台账里",IF($F1540="※材料类别没选","※材料类别没选",IF(AND($C1540&lt;&gt;"",ISNA(MATCH($C1540,供应商表,0))),"※供应商不在基础资料里",""))))</f>
        <v/>
      </c>
    </row>
    <row r="1541">
      <c r="A1541" s="17">
        <f>IF($D1541="","",ROW()-3)</f>
        <v/>
      </c>
      <c r="B1541" s="18" t="n"/>
      <c r="C1541" s="13" t="n"/>
      <c r="D1541" s="13" t="n"/>
      <c r="E1541" s="13" t="n"/>
      <c r="F1541" s="17">
        <f>IF($D1541="","",IFERROR(VLOOKUP($E1541,材料归属,2,0),"※材料类别没选"))</f>
        <v/>
      </c>
      <c r="G1541" s="13" t="n"/>
      <c r="H1541" s="13" t="n"/>
      <c r="I1541" s="13" t="n"/>
      <c r="J1541" s="20" t="n"/>
      <c r="K1541" s="14" t="n"/>
      <c r="L1541" s="19">
        <f>IF($D1541="","",ROUND(IF($J1541="",1,$J1541)*N($K1541),2))</f>
        <v/>
      </c>
      <c r="M1541" s="13" t="n"/>
      <c r="N1541" s="17">
        <f>IF($D1541="","",IF(ISNA(MATCH($D1541,项目名表,0)),"※项目不在项目台账里",IF($F1541="※材料类别没选","※材料类别没选",IF(AND($C1541&lt;&gt;"",ISNA(MATCH($C1541,供应商表,0))),"※供应商不在基础资料里",""))))</f>
        <v/>
      </c>
    </row>
    <row r="1542">
      <c r="A1542" s="17">
        <f>IF($D1542="","",ROW()-3)</f>
        <v/>
      </c>
      <c r="B1542" s="18" t="n"/>
      <c r="C1542" s="13" t="n"/>
      <c r="D1542" s="13" t="n"/>
      <c r="E1542" s="13" t="n"/>
      <c r="F1542" s="17">
        <f>IF($D1542="","",IFERROR(VLOOKUP($E1542,材料归属,2,0),"※材料类别没选"))</f>
        <v/>
      </c>
      <c r="G1542" s="13" t="n"/>
      <c r="H1542" s="13" t="n"/>
      <c r="I1542" s="13" t="n"/>
      <c r="J1542" s="20" t="n"/>
      <c r="K1542" s="14" t="n"/>
      <c r="L1542" s="19">
        <f>IF($D1542="","",ROUND(IF($J1542="",1,$J1542)*N($K1542),2))</f>
        <v/>
      </c>
      <c r="M1542" s="13" t="n"/>
      <c r="N1542" s="17">
        <f>IF($D1542="","",IF(ISNA(MATCH($D1542,项目名表,0)),"※项目不在项目台账里",IF($F1542="※材料类别没选","※材料类别没选",IF(AND($C1542&lt;&gt;"",ISNA(MATCH($C1542,供应商表,0))),"※供应商不在基础资料里",""))))</f>
        <v/>
      </c>
    </row>
    <row r="1543">
      <c r="A1543" s="17">
        <f>IF($D1543="","",ROW()-3)</f>
        <v/>
      </c>
      <c r="B1543" s="18" t="n"/>
      <c r="C1543" s="13" t="n"/>
      <c r="D1543" s="13" t="n"/>
      <c r="E1543" s="13" t="n"/>
      <c r="F1543" s="17">
        <f>IF($D1543="","",IFERROR(VLOOKUP($E1543,材料归属,2,0),"※材料类别没选"))</f>
        <v/>
      </c>
      <c r="G1543" s="13" t="n"/>
      <c r="H1543" s="13" t="n"/>
      <c r="I1543" s="13" t="n"/>
      <c r="J1543" s="20" t="n"/>
      <c r="K1543" s="14" t="n"/>
      <c r="L1543" s="19">
        <f>IF($D1543="","",ROUND(IF($J1543="",1,$J1543)*N($K1543),2))</f>
        <v/>
      </c>
      <c r="M1543" s="13" t="n"/>
      <c r="N1543" s="17">
        <f>IF($D1543="","",IF(ISNA(MATCH($D1543,项目名表,0)),"※项目不在项目台账里",IF($F1543="※材料类别没选","※材料类别没选",IF(AND($C1543&lt;&gt;"",ISNA(MATCH($C1543,供应商表,0))),"※供应商不在基础资料里",""))))</f>
        <v/>
      </c>
    </row>
    <row r="1544">
      <c r="A1544" s="17">
        <f>IF($D1544="","",ROW()-3)</f>
        <v/>
      </c>
      <c r="B1544" s="18" t="n"/>
      <c r="C1544" s="13" t="n"/>
      <c r="D1544" s="13" t="n"/>
      <c r="E1544" s="13" t="n"/>
      <c r="F1544" s="17">
        <f>IF($D1544="","",IFERROR(VLOOKUP($E1544,材料归属,2,0),"※材料类别没选"))</f>
        <v/>
      </c>
      <c r="G1544" s="13" t="n"/>
      <c r="H1544" s="13" t="n"/>
      <c r="I1544" s="13" t="n"/>
      <c r="J1544" s="20" t="n"/>
      <c r="K1544" s="14" t="n"/>
      <c r="L1544" s="19">
        <f>IF($D1544="","",ROUND(IF($J1544="",1,$J1544)*N($K1544),2))</f>
        <v/>
      </c>
      <c r="M1544" s="13" t="n"/>
      <c r="N1544" s="17">
        <f>IF($D1544="","",IF(ISNA(MATCH($D1544,项目名表,0)),"※项目不在项目台账里",IF($F1544="※材料类别没选","※材料类别没选",IF(AND($C1544&lt;&gt;"",ISNA(MATCH($C1544,供应商表,0))),"※供应商不在基础资料里",""))))</f>
        <v/>
      </c>
    </row>
    <row r="1545">
      <c r="A1545" s="17">
        <f>IF($D1545="","",ROW()-3)</f>
        <v/>
      </c>
      <c r="B1545" s="18" t="n"/>
      <c r="C1545" s="13" t="n"/>
      <c r="D1545" s="13" t="n"/>
      <c r="E1545" s="13" t="n"/>
      <c r="F1545" s="17">
        <f>IF($D1545="","",IFERROR(VLOOKUP($E1545,材料归属,2,0),"※材料类别没选"))</f>
        <v/>
      </c>
      <c r="G1545" s="13" t="n"/>
      <c r="H1545" s="13" t="n"/>
      <c r="I1545" s="13" t="n"/>
      <c r="J1545" s="20" t="n"/>
      <c r="K1545" s="14" t="n"/>
      <c r="L1545" s="19">
        <f>IF($D1545="","",ROUND(IF($J1545="",1,$J1545)*N($K1545),2))</f>
        <v/>
      </c>
      <c r="M1545" s="13" t="n"/>
      <c r="N1545" s="17">
        <f>IF($D1545="","",IF(ISNA(MATCH($D1545,项目名表,0)),"※项目不在项目台账里",IF($F1545="※材料类别没选","※材料类别没选",IF(AND($C1545&lt;&gt;"",ISNA(MATCH($C1545,供应商表,0))),"※供应商不在基础资料里",""))))</f>
        <v/>
      </c>
    </row>
    <row r="1546">
      <c r="A1546" s="17">
        <f>IF($D1546="","",ROW()-3)</f>
        <v/>
      </c>
      <c r="B1546" s="18" t="n"/>
      <c r="C1546" s="13" t="n"/>
      <c r="D1546" s="13" t="n"/>
      <c r="E1546" s="13" t="n"/>
      <c r="F1546" s="17">
        <f>IF($D1546="","",IFERROR(VLOOKUP($E1546,材料归属,2,0),"※材料类别没选"))</f>
        <v/>
      </c>
      <c r="G1546" s="13" t="n"/>
      <c r="H1546" s="13" t="n"/>
      <c r="I1546" s="13" t="n"/>
      <c r="J1546" s="20" t="n"/>
      <c r="K1546" s="14" t="n"/>
      <c r="L1546" s="19">
        <f>IF($D1546="","",ROUND(IF($J1546="",1,$J1546)*N($K1546),2))</f>
        <v/>
      </c>
      <c r="M1546" s="13" t="n"/>
      <c r="N1546" s="17">
        <f>IF($D1546="","",IF(ISNA(MATCH($D1546,项目名表,0)),"※项目不在项目台账里",IF($F1546="※材料类别没选","※材料类别没选",IF(AND($C1546&lt;&gt;"",ISNA(MATCH($C1546,供应商表,0))),"※供应商不在基础资料里",""))))</f>
        <v/>
      </c>
    </row>
    <row r="1547">
      <c r="A1547" s="17">
        <f>IF($D1547="","",ROW()-3)</f>
        <v/>
      </c>
      <c r="B1547" s="18" t="n"/>
      <c r="C1547" s="13" t="n"/>
      <c r="D1547" s="13" t="n"/>
      <c r="E1547" s="13" t="n"/>
      <c r="F1547" s="17">
        <f>IF($D1547="","",IFERROR(VLOOKUP($E1547,材料归属,2,0),"※材料类别没选"))</f>
        <v/>
      </c>
      <c r="G1547" s="13" t="n"/>
      <c r="H1547" s="13" t="n"/>
      <c r="I1547" s="13" t="n"/>
      <c r="J1547" s="20" t="n"/>
      <c r="K1547" s="14" t="n"/>
      <c r="L1547" s="19">
        <f>IF($D1547="","",ROUND(IF($J1547="",1,$J1547)*N($K1547),2))</f>
        <v/>
      </c>
      <c r="M1547" s="13" t="n"/>
      <c r="N1547" s="17">
        <f>IF($D1547="","",IF(ISNA(MATCH($D1547,项目名表,0)),"※项目不在项目台账里",IF($F1547="※材料类别没选","※材料类别没选",IF(AND($C1547&lt;&gt;"",ISNA(MATCH($C1547,供应商表,0))),"※供应商不在基础资料里",""))))</f>
        <v/>
      </c>
    </row>
    <row r="1548">
      <c r="A1548" s="17">
        <f>IF($D1548="","",ROW()-3)</f>
        <v/>
      </c>
      <c r="B1548" s="18" t="n"/>
      <c r="C1548" s="13" t="n"/>
      <c r="D1548" s="13" t="n"/>
      <c r="E1548" s="13" t="n"/>
      <c r="F1548" s="17">
        <f>IF($D1548="","",IFERROR(VLOOKUP($E1548,材料归属,2,0),"※材料类别没选"))</f>
        <v/>
      </c>
      <c r="G1548" s="13" t="n"/>
      <c r="H1548" s="13" t="n"/>
      <c r="I1548" s="13" t="n"/>
      <c r="J1548" s="20" t="n"/>
      <c r="K1548" s="14" t="n"/>
      <c r="L1548" s="19">
        <f>IF($D1548="","",ROUND(IF($J1548="",1,$J1548)*N($K1548),2))</f>
        <v/>
      </c>
      <c r="M1548" s="13" t="n"/>
      <c r="N1548" s="17">
        <f>IF($D1548="","",IF(ISNA(MATCH($D1548,项目名表,0)),"※项目不在项目台账里",IF($F1548="※材料类别没选","※材料类别没选",IF(AND($C1548&lt;&gt;"",ISNA(MATCH($C1548,供应商表,0))),"※供应商不在基础资料里",""))))</f>
        <v/>
      </c>
    </row>
    <row r="1549">
      <c r="A1549" s="17">
        <f>IF($D1549="","",ROW()-3)</f>
        <v/>
      </c>
      <c r="B1549" s="18" t="n"/>
      <c r="C1549" s="13" t="n"/>
      <c r="D1549" s="13" t="n"/>
      <c r="E1549" s="13" t="n"/>
      <c r="F1549" s="17">
        <f>IF($D1549="","",IFERROR(VLOOKUP($E1549,材料归属,2,0),"※材料类别没选"))</f>
        <v/>
      </c>
      <c r="G1549" s="13" t="n"/>
      <c r="H1549" s="13" t="n"/>
      <c r="I1549" s="13" t="n"/>
      <c r="J1549" s="20" t="n"/>
      <c r="K1549" s="14" t="n"/>
      <c r="L1549" s="19">
        <f>IF($D1549="","",ROUND(IF($J1549="",1,$J1549)*N($K1549),2))</f>
        <v/>
      </c>
      <c r="M1549" s="13" t="n"/>
      <c r="N1549" s="17">
        <f>IF($D1549="","",IF(ISNA(MATCH($D1549,项目名表,0)),"※项目不在项目台账里",IF($F1549="※材料类别没选","※材料类别没选",IF(AND($C1549&lt;&gt;"",ISNA(MATCH($C1549,供应商表,0))),"※供应商不在基础资料里",""))))</f>
        <v/>
      </c>
    </row>
    <row r="1550">
      <c r="A1550" s="17">
        <f>IF($D1550="","",ROW()-3)</f>
        <v/>
      </c>
      <c r="B1550" s="18" t="n"/>
      <c r="C1550" s="13" t="n"/>
      <c r="D1550" s="13" t="n"/>
      <c r="E1550" s="13" t="n"/>
      <c r="F1550" s="17">
        <f>IF($D1550="","",IFERROR(VLOOKUP($E1550,材料归属,2,0),"※材料类别没选"))</f>
        <v/>
      </c>
      <c r="G1550" s="13" t="n"/>
      <c r="H1550" s="13" t="n"/>
      <c r="I1550" s="13" t="n"/>
      <c r="J1550" s="20" t="n"/>
      <c r="K1550" s="14" t="n"/>
      <c r="L1550" s="19">
        <f>IF($D1550="","",ROUND(IF($J1550="",1,$J1550)*N($K1550),2))</f>
        <v/>
      </c>
      <c r="M1550" s="13" t="n"/>
      <c r="N1550" s="17">
        <f>IF($D1550="","",IF(ISNA(MATCH($D1550,项目名表,0)),"※项目不在项目台账里",IF($F1550="※材料类别没选","※材料类别没选",IF(AND($C1550&lt;&gt;"",ISNA(MATCH($C1550,供应商表,0))),"※供应商不在基础资料里",""))))</f>
        <v/>
      </c>
    </row>
    <row r="1551">
      <c r="A1551" s="17">
        <f>IF($D1551="","",ROW()-3)</f>
        <v/>
      </c>
      <c r="B1551" s="18" t="n"/>
      <c r="C1551" s="13" t="n"/>
      <c r="D1551" s="13" t="n"/>
      <c r="E1551" s="13" t="n"/>
      <c r="F1551" s="17">
        <f>IF($D1551="","",IFERROR(VLOOKUP($E1551,材料归属,2,0),"※材料类别没选"))</f>
        <v/>
      </c>
      <c r="G1551" s="13" t="n"/>
      <c r="H1551" s="13" t="n"/>
      <c r="I1551" s="13" t="n"/>
      <c r="J1551" s="20" t="n"/>
      <c r="K1551" s="14" t="n"/>
      <c r="L1551" s="19">
        <f>IF($D1551="","",ROUND(IF($J1551="",1,$J1551)*N($K1551),2))</f>
        <v/>
      </c>
      <c r="M1551" s="13" t="n"/>
      <c r="N1551" s="17">
        <f>IF($D1551="","",IF(ISNA(MATCH($D1551,项目名表,0)),"※项目不在项目台账里",IF($F1551="※材料类别没选","※材料类别没选",IF(AND($C1551&lt;&gt;"",ISNA(MATCH($C1551,供应商表,0))),"※供应商不在基础资料里",""))))</f>
        <v/>
      </c>
    </row>
    <row r="1552">
      <c r="A1552" s="17">
        <f>IF($D1552="","",ROW()-3)</f>
        <v/>
      </c>
      <c r="B1552" s="18" t="n"/>
      <c r="C1552" s="13" t="n"/>
      <c r="D1552" s="13" t="n"/>
      <c r="E1552" s="13" t="n"/>
      <c r="F1552" s="17">
        <f>IF($D1552="","",IFERROR(VLOOKUP($E1552,材料归属,2,0),"※材料类别没选"))</f>
        <v/>
      </c>
      <c r="G1552" s="13" t="n"/>
      <c r="H1552" s="13" t="n"/>
      <c r="I1552" s="13" t="n"/>
      <c r="J1552" s="20" t="n"/>
      <c r="K1552" s="14" t="n"/>
      <c r="L1552" s="19">
        <f>IF($D1552="","",ROUND(IF($J1552="",1,$J1552)*N($K1552),2))</f>
        <v/>
      </c>
      <c r="M1552" s="13" t="n"/>
      <c r="N1552" s="17">
        <f>IF($D1552="","",IF(ISNA(MATCH($D1552,项目名表,0)),"※项目不在项目台账里",IF($F1552="※材料类别没选","※材料类别没选",IF(AND($C1552&lt;&gt;"",ISNA(MATCH($C1552,供应商表,0))),"※供应商不在基础资料里",""))))</f>
        <v/>
      </c>
    </row>
    <row r="1553">
      <c r="A1553" s="17">
        <f>IF($D1553="","",ROW()-3)</f>
        <v/>
      </c>
      <c r="B1553" s="18" t="n"/>
      <c r="C1553" s="13" t="n"/>
      <c r="D1553" s="13" t="n"/>
      <c r="E1553" s="13" t="n"/>
      <c r="F1553" s="17">
        <f>IF($D1553="","",IFERROR(VLOOKUP($E1553,材料归属,2,0),"※材料类别没选"))</f>
        <v/>
      </c>
      <c r="G1553" s="13" t="n"/>
      <c r="H1553" s="13" t="n"/>
      <c r="I1553" s="13" t="n"/>
      <c r="J1553" s="20" t="n"/>
      <c r="K1553" s="14" t="n"/>
      <c r="L1553" s="19">
        <f>IF($D1553="","",ROUND(IF($J1553="",1,$J1553)*N($K1553),2))</f>
        <v/>
      </c>
      <c r="M1553" s="13" t="n"/>
      <c r="N1553" s="17">
        <f>IF($D1553="","",IF(ISNA(MATCH($D1553,项目名表,0)),"※项目不在项目台账里",IF($F1553="※材料类别没选","※材料类别没选",IF(AND($C1553&lt;&gt;"",ISNA(MATCH($C1553,供应商表,0))),"※供应商不在基础资料里",""))))</f>
        <v/>
      </c>
    </row>
    <row r="1554">
      <c r="A1554" s="17">
        <f>IF($D1554="","",ROW()-3)</f>
        <v/>
      </c>
      <c r="B1554" s="18" t="n"/>
      <c r="C1554" s="13" t="n"/>
      <c r="D1554" s="13" t="n"/>
      <c r="E1554" s="13" t="n"/>
      <c r="F1554" s="17">
        <f>IF($D1554="","",IFERROR(VLOOKUP($E1554,材料归属,2,0),"※材料类别没选"))</f>
        <v/>
      </c>
      <c r="G1554" s="13" t="n"/>
      <c r="H1554" s="13" t="n"/>
      <c r="I1554" s="13" t="n"/>
      <c r="J1554" s="20" t="n"/>
      <c r="K1554" s="14" t="n"/>
      <c r="L1554" s="19">
        <f>IF($D1554="","",ROUND(IF($J1554="",1,$J1554)*N($K1554),2))</f>
        <v/>
      </c>
      <c r="M1554" s="13" t="n"/>
      <c r="N1554" s="17">
        <f>IF($D1554="","",IF(ISNA(MATCH($D1554,项目名表,0)),"※项目不在项目台账里",IF($F1554="※材料类别没选","※材料类别没选",IF(AND($C1554&lt;&gt;"",ISNA(MATCH($C1554,供应商表,0))),"※供应商不在基础资料里",""))))</f>
        <v/>
      </c>
    </row>
    <row r="1555">
      <c r="A1555" s="17">
        <f>IF($D1555="","",ROW()-3)</f>
        <v/>
      </c>
      <c r="B1555" s="18" t="n"/>
      <c r="C1555" s="13" t="n"/>
      <c r="D1555" s="13" t="n"/>
      <c r="E1555" s="13" t="n"/>
      <c r="F1555" s="17">
        <f>IF($D1555="","",IFERROR(VLOOKUP($E1555,材料归属,2,0),"※材料类别没选"))</f>
        <v/>
      </c>
      <c r="G1555" s="13" t="n"/>
      <c r="H1555" s="13" t="n"/>
      <c r="I1555" s="13" t="n"/>
      <c r="J1555" s="20" t="n"/>
      <c r="K1555" s="14" t="n"/>
      <c r="L1555" s="19">
        <f>IF($D1555="","",ROUND(IF($J1555="",1,$J1555)*N($K1555),2))</f>
        <v/>
      </c>
      <c r="M1555" s="13" t="n"/>
      <c r="N1555" s="17">
        <f>IF($D1555="","",IF(ISNA(MATCH($D1555,项目名表,0)),"※项目不在项目台账里",IF($F1555="※材料类别没选","※材料类别没选",IF(AND($C1555&lt;&gt;"",ISNA(MATCH($C1555,供应商表,0))),"※供应商不在基础资料里",""))))</f>
        <v/>
      </c>
    </row>
    <row r="1556">
      <c r="A1556" s="17">
        <f>IF($D1556="","",ROW()-3)</f>
        <v/>
      </c>
      <c r="B1556" s="18" t="n"/>
      <c r="C1556" s="13" t="n"/>
      <c r="D1556" s="13" t="n"/>
      <c r="E1556" s="13" t="n"/>
      <c r="F1556" s="17">
        <f>IF($D1556="","",IFERROR(VLOOKUP($E1556,材料归属,2,0),"※材料类别没选"))</f>
        <v/>
      </c>
      <c r="G1556" s="13" t="n"/>
      <c r="H1556" s="13" t="n"/>
      <c r="I1556" s="13" t="n"/>
      <c r="J1556" s="20" t="n"/>
      <c r="K1556" s="14" t="n"/>
      <c r="L1556" s="19">
        <f>IF($D1556="","",ROUND(IF($J1556="",1,$J1556)*N($K1556),2))</f>
        <v/>
      </c>
      <c r="M1556" s="13" t="n"/>
      <c r="N1556" s="17">
        <f>IF($D1556="","",IF(ISNA(MATCH($D1556,项目名表,0)),"※项目不在项目台账里",IF($F1556="※材料类别没选","※材料类别没选",IF(AND($C1556&lt;&gt;"",ISNA(MATCH($C1556,供应商表,0))),"※供应商不在基础资料里",""))))</f>
        <v/>
      </c>
    </row>
    <row r="1557">
      <c r="A1557" s="17">
        <f>IF($D1557="","",ROW()-3)</f>
        <v/>
      </c>
      <c r="B1557" s="18" t="n"/>
      <c r="C1557" s="13" t="n"/>
      <c r="D1557" s="13" t="n"/>
      <c r="E1557" s="13" t="n"/>
      <c r="F1557" s="17">
        <f>IF($D1557="","",IFERROR(VLOOKUP($E1557,材料归属,2,0),"※材料类别没选"))</f>
        <v/>
      </c>
      <c r="G1557" s="13" t="n"/>
      <c r="H1557" s="13" t="n"/>
      <c r="I1557" s="13" t="n"/>
      <c r="J1557" s="20" t="n"/>
      <c r="K1557" s="14" t="n"/>
      <c r="L1557" s="19">
        <f>IF($D1557="","",ROUND(IF($J1557="",1,$J1557)*N($K1557),2))</f>
        <v/>
      </c>
      <c r="M1557" s="13" t="n"/>
      <c r="N1557" s="17">
        <f>IF($D1557="","",IF(ISNA(MATCH($D1557,项目名表,0)),"※项目不在项目台账里",IF($F1557="※材料类别没选","※材料类别没选",IF(AND($C1557&lt;&gt;"",ISNA(MATCH($C1557,供应商表,0))),"※供应商不在基础资料里",""))))</f>
        <v/>
      </c>
    </row>
    <row r="1558">
      <c r="A1558" s="17">
        <f>IF($D1558="","",ROW()-3)</f>
        <v/>
      </c>
      <c r="B1558" s="18" t="n"/>
      <c r="C1558" s="13" t="n"/>
      <c r="D1558" s="13" t="n"/>
      <c r="E1558" s="13" t="n"/>
      <c r="F1558" s="17">
        <f>IF($D1558="","",IFERROR(VLOOKUP($E1558,材料归属,2,0),"※材料类别没选"))</f>
        <v/>
      </c>
      <c r="G1558" s="13" t="n"/>
      <c r="H1558" s="13" t="n"/>
      <c r="I1558" s="13" t="n"/>
      <c r="J1558" s="20" t="n"/>
      <c r="K1558" s="14" t="n"/>
      <c r="L1558" s="19">
        <f>IF($D1558="","",ROUND(IF($J1558="",1,$J1558)*N($K1558),2))</f>
        <v/>
      </c>
      <c r="M1558" s="13" t="n"/>
      <c r="N1558" s="17">
        <f>IF($D1558="","",IF(ISNA(MATCH($D1558,项目名表,0)),"※项目不在项目台账里",IF($F1558="※材料类别没选","※材料类别没选",IF(AND($C1558&lt;&gt;"",ISNA(MATCH($C1558,供应商表,0))),"※供应商不在基础资料里",""))))</f>
        <v/>
      </c>
    </row>
    <row r="1559">
      <c r="A1559" s="17">
        <f>IF($D1559="","",ROW()-3)</f>
        <v/>
      </c>
      <c r="B1559" s="18" t="n"/>
      <c r="C1559" s="13" t="n"/>
      <c r="D1559" s="13" t="n"/>
      <c r="E1559" s="13" t="n"/>
      <c r="F1559" s="17">
        <f>IF($D1559="","",IFERROR(VLOOKUP($E1559,材料归属,2,0),"※材料类别没选"))</f>
        <v/>
      </c>
      <c r="G1559" s="13" t="n"/>
      <c r="H1559" s="13" t="n"/>
      <c r="I1559" s="13" t="n"/>
      <c r="J1559" s="20" t="n"/>
      <c r="K1559" s="14" t="n"/>
      <c r="L1559" s="19">
        <f>IF($D1559="","",ROUND(IF($J1559="",1,$J1559)*N($K1559),2))</f>
        <v/>
      </c>
      <c r="M1559" s="13" t="n"/>
      <c r="N1559" s="17">
        <f>IF($D1559="","",IF(ISNA(MATCH($D1559,项目名表,0)),"※项目不在项目台账里",IF($F1559="※材料类别没选","※材料类别没选",IF(AND($C1559&lt;&gt;"",ISNA(MATCH($C1559,供应商表,0))),"※供应商不在基础资料里",""))))</f>
        <v/>
      </c>
    </row>
    <row r="1560">
      <c r="A1560" s="17">
        <f>IF($D1560="","",ROW()-3)</f>
        <v/>
      </c>
      <c r="B1560" s="18" t="n"/>
      <c r="C1560" s="13" t="n"/>
      <c r="D1560" s="13" t="n"/>
      <c r="E1560" s="13" t="n"/>
      <c r="F1560" s="17">
        <f>IF($D1560="","",IFERROR(VLOOKUP($E1560,材料归属,2,0),"※材料类别没选"))</f>
        <v/>
      </c>
      <c r="G1560" s="13" t="n"/>
      <c r="H1560" s="13" t="n"/>
      <c r="I1560" s="13" t="n"/>
      <c r="J1560" s="20" t="n"/>
      <c r="K1560" s="14" t="n"/>
      <c r="L1560" s="19">
        <f>IF($D1560="","",ROUND(IF($J1560="",1,$J1560)*N($K1560),2))</f>
        <v/>
      </c>
      <c r="M1560" s="13" t="n"/>
      <c r="N1560" s="17">
        <f>IF($D1560="","",IF(ISNA(MATCH($D1560,项目名表,0)),"※项目不在项目台账里",IF($F1560="※材料类别没选","※材料类别没选",IF(AND($C1560&lt;&gt;"",ISNA(MATCH($C1560,供应商表,0))),"※供应商不在基础资料里",""))))</f>
        <v/>
      </c>
    </row>
    <row r="1561">
      <c r="A1561" s="17">
        <f>IF($D1561="","",ROW()-3)</f>
        <v/>
      </c>
      <c r="B1561" s="18" t="n"/>
      <c r="C1561" s="13" t="n"/>
      <c r="D1561" s="13" t="n"/>
      <c r="E1561" s="13" t="n"/>
      <c r="F1561" s="17">
        <f>IF($D1561="","",IFERROR(VLOOKUP($E1561,材料归属,2,0),"※材料类别没选"))</f>
        <v/>
      </c>
      <c r="G1561" s="13" t="n"/>
      <c r="H1561" s="13" t="n"/>
      <c r="I1561" s="13" t="n"/>
      <c r="J1561" s="20" t="n"/>
      <c r="K1561" s="14" t="n"/>
      <c r="L1561" s="19">
        <f>IF($D1561="","",ROUND(IF($J1561="",1,$J1561)*N($K1561),2))</f>
        <v/>
      </c>
      <c r="M1561" s="13" t="n"/>
      <c r="N1561" s="17">
        <f>IF($D1561="","",IF(ISNA(MATCH($D1561,项目名表,0)),"※项目不在项目台账里",IF($F1561="※材料类别没选","※材料类别没选",IF(AND($C1561&lt;&gt;"",ISNA(MATCH($C1561,供应商表,0))),"※供应商不在基础资料里",""))))</f>
        <v/>
      </c>
    </row>
    <row r="1562">
      <c r="A1562" s="17">
        <f>IF($D1562="","",ROW()-3)</f>
        <v/>
      </c>
      <c r="B1562" s="18" t="n"/>
      <c r="C1562" s="13" t="n"/>
      <c r="D1562" s="13" t="n"/>
      <c r="E1562" s="13" t="n"/>
      <c r="F1562" s="17">
        <f>IF($D1562="","",IFERROR(VLOOKUP($E1562,材料归属,2,0),"※材料类别没选"))</f>
        <v/>
      </c>
      <c r="G1562" s="13" t="n"/>
      <c r="H1562" s="13" t="n"/>
      <c r="I1562" s="13" t="n"/>
      <c r="J1562" s="20" t="n"/>
      <c r="K1562" s="14" t="n"/>
      <c r="L1562" s="19">
        <f>IF($D1562="","",ROUND(IF($J1562="",1,$J1562)*N($K1562),2))</f>
        <v/>
      </c>
      <c r="M1562" s="13" t="n"/>
      <c r="N1562" s="17">
        <f>IF($D1562="","",IF(ISNA(MATCH($D1562,项目名表,0)),"※项目不在项目台账里",IF($F1562="※材料类别没选","※材料类别没选",IF(AND($C1562&lt;&gt;"",ISNA(MATCH($C1562,供应商表,0))),"※供应商不在基础资料里",""))))</f>
        <v/>
      </c>
    </row>
    <row r="1563">
      <c r="A1563" s="17">
        <f>IF($D1563="","",ROW()-3)</f>
        <v/>
      </c>
      <c r="B1563" s="18" t="n"/>
      <c r="C1563" s="13" t="n"/>
      <c r="D1563" s="13" t="n"/>
      <c r="E1563" s="13" t="n"/>
      <c r="F1563" s="17">
        <f>IF($D1563="","",IFERROR(VLOOKUP($E1563,材料归属,2,0),"※材料类别没选"))</f>
        <v/>
      </c>
      <c r="G1563" s="13" t="n"/>
      <c r="H1563" s="13" t="n"/>
      <c r="I1563" s="13" t="n"/>
      <c r="J1563" s="20" t="n"/>
      <c r="K1563" s="14" t="n"/>
      <c r="L1563" s="19">
        <f>IF($D1563="","",ROUND(IF($J1563="",1,$J1563)*N($K1563),2))</f>
        <v/>
      </c>
      <c r="M1563" s="13" t="n"/>
      <c r="N1563" s="17">
        <f>IF($D1563="","",IF(ISNA(MATCH($D1563,项目名表,0)),"※项目不在项目台账里",IF($F1563="※材料类别没选","※材料类别没选",IF(AND($C1563&lt;&gt;"",ISNA(MATCH($C1563,供应商表,0))),"※供应商不在基础资料里",""))))</f>
        <v/>
      </c>
    </row>
    <row r="1564">
      <c r="A1564" s="17">
        <f>IF($D1564="","",ROW()-3)</f>
        <v/>
      </c>
      <c r="B1564" s="18" t="n"/>
      <c r="C1564" s="13" t="n"/>
      <c r="D1564" s="13" t="n"/>
      <c r="E1564" s="13" t="n"/>
      <c r="F1564" s="17">
        <f>IF($D1564="","",IFERROR(VLOOKUP($E1564,材料归属,2,0),"※材料类别没选"))</f>
        <v/>
      </c>
      <c r="G1564" s="13" t="n"/>
      <c r="H1564" s="13" t="n"/>
      <c r="I1564" s="13" t="n"/>
      <c r="J1564" s="20" t="n"/>
      <c r="K1564" s="14" t="n"/>
      <c r="L1564" s="19">
        <f>IF($D1564="","",ROUND(IF($J1564="",1,$J1564)*N($K1564),2))</f>
        <v/>
      </c>
      <c r="M1564" s="13" t="n"/>
      <c r="N1564" s="17">
        <f>IF($D1564="","",IF(ISNA(MATCH($D1564,项目名表,0)),"※项目不在项目台账里",IF($F1564="※材料类别没选","※材料类别没选",IF(AND($C1564&lt;&gt;"",ISNA(MATCH($C1564,供应商表,0))),"※供应商不在基础资料里",""))))</f>
        <v/>
      </c>
    </row>
    <row r="1565">
      <c r="A1565" s="17">
        <f>IF($D1565="","",ROW()-3)</f>
        <v/>
      </c>
      <c r="B1565" s="18" t="n"/>
      <c r="C1565" s="13" t="n"/>
      <c r="D1565" s="13" t="n"/>
      <c r="E1565" s="13" t="n"/>
      <c r="F1565" s="17">
        <f>IF($D1565="","",IFERROR(VLOOKUP($E1565,材料归属,2,0),"※材料类别没选"))</f>
        <v/>
      </c>
      <c r="G1565" s="13" t="n"/>
      <c r="H1565" s="13" t="n"/>
      <c r="I1565" s="13" t="n"/>
      <c r="J1565" s="20" t="n"/>
      <c r="K1565" s="14" t="n"/>
      <c r="L1565" s="19">
        <f>IF($D1565="","",ROUND(IF($J1565="",1,$J1565)*N($K1565),2))</f>
        <v/>
      </c>
      <c r="M1565" s="13" t="n"/>
      <c r="N1565" s="17">
        <f>IF($D1565="","",IF(ISNA(MATCH($D1565,项目名表,0)),"※项目不在项目台账里",IF($F1565="※材料类别没选","※材料类别没选",IF(AND($C1565&lt;&gt;"",ISNA(MATCH($C1565,供应商表,0))),"※供应商不在基础资料里",""))))</f>
        <v/>
      </c>
    </row>
    <row r="1566">
      <c r="A1566" s="17">
        <f>IF($D1566="","",ROW()-3)</f>
        <v/>
      </c>
      <c r="B1566" s="18" t="n"/>
      <c r="C1566" s="13" t="n"/>
      <c r="D1566" s="13" t="n"/>
      <c r="E1566" s="13" t="n"/>
      <c r="F1566" s="17">
        <f>IF($D1566="","",IFERROR(VLOOKUP($E1566,材料归属,2,0),"※材料类别没选"))</f>
        <v/>
      </c>
      <c r="G1566" s="13" t="n"/>
      <c r="H1566" s="13" t="n"/>
      <c r="I1566" s="13" t="n"/>
      <c r="J1566" s="20" t="n"/>
      <c r="K1566" s="14" t="n"/>
      <c r="L1566" s="19">
        <f>IF($D1566="","",ROUND(IF($J1566="",1,$J1566)*N($K1566),2))</f>
        <v/>
      </c>
      <c r="M1566" s="13" t="n"/>
      <c r="N1566" s="17">
        <f>IF($D1566="","",IF(ISNA(MATCH($D1566,项目名表,0)),"※项目不在项目台账里",IF($F1566="※材料类别没选","※材料类别没选",IF(AND($C1566&lt;&gt;"",ISNA(MATCH($C1566,供应商表,0))),"※供应商不在基础资料里",""))))</f>
        <v/>
      </c>
    </row>
    <row r="1567">
      <c r="A1567" s="17">
        <f>IF($D1567="","",ROW()-3)</f>
        <v/>
      </c>
      <c r="B1567" s="18" t="n"/>
      <c r="C1567" s="13" t="n"/>
      <c r="D1567" s="13" t="n"/>
      <c r="E1567" s="13" t="n"/>
      <c r="F1567" s="17">
        <f>IF($D1567="","",IFERROR(VLOOKUP($E1567,材料归属,2,0),"※材料类别没选"))</f>
        <v/>
      </c>
      <c r="G1567" s="13" t="n"/>
      <c r="H1567" s="13" t="n"/>
      <c r="I1567" s="13" t="n"/>
      <c r="J1567" s="20" t="n"/>
      <c r="K1567" s="14" t="n"/>
      <c r="L1567" s="19">
        <f>IF($D1567="","",ROUND(IF($J1567="",1,$J1567)*N($K1567),2))</f>
        <v/>
      </c>
      <c r="M1567" s="13" t="n"/>
      <c r="N1567" s="17">
        <f>IF($D1567="","",IF(ISNA(MATCH($D1567,项目名表,0)),"※项目不在项目台账里",IF($F1567="※材料类别没选","※材料类别没选",IF(AND($C1567&lt;&gt;"",ISNA(MATCH($C1567,供应商表,0))),"※供应商不在基础资料里",""))))</f>
        <v/>
      </c>
    </row>
    <row r="1568">
      <c r="A1568" s="17">
        <f>IF($D1568="","",ROW()-3)</f>
        <v/>
      </c>
      <c r="B1568" s="18" t="n"/>
      <c r="C1568" s="13" t="n"/>
      <c r="D1568" s="13" t="n"/>
      <c r="E1568" s="13" t="n"/>
      <c r="F1568" s="17">
        <f>IF($D1568="","",IFERROR(VLOOKUP($E1568,材料归属,2,0),"※材料类别没选"))</f>
        <v/>
      </c>
      <c r="G1568" s="13" t="n"/>
      <c r="H1568" s="13" t="n"/>
      <c r="I1568" s="13" t="n"/>
      <c r="J1568" s="20" t="n"/>
      <c r="K1568" s="14" t="n"/>
      <c r="L1568" s="19">
        <f>IF($D1568="","",ROUND(IF($J1568="",1,$J1568)*N($K1568),2))</f>
        <v/>
      </c>
      <c r="M1568" s="13" t="n"/>
      <c r="N1568" s="17">
        <f>IF($D1568="","",IF(ISNA(MATCH($D1568,项目名表,0)),"※项目不在项目台账里",IF($F1568="※材料类别没选","※材料类别没选",IF(AND($C1568&lt;&gt;"",ISNA(MATCH($C1568,供应商表,0))),"※供应商不在基础资料里",""))))</f>
        <v/>
      </c>
    </row>
    <row r="1569">
      <c r="A1569" s="17">
        <f>IF($D1569="","",ROW()-3)</f>
        <v/>
      </c>
      <c r="B1569" s="18" t="n"/>
      <c r="C1569" s="13" t="n"/>
      <c r="D1569" s="13" t="n"/>
      <c r="E1569" s="13" t="n"/>
      <c r="F1569" s="17">
        <f>IF($D1569="","",IFERROR(VLOOKUP($E1569,材料归属,2,0),"※材料类别没选"))</f>
        <v/>
      </c>
      <c r="G1569" s="13" t="n"/>
      <c r="H1569" s="13" t="n"/>
      <c r="I1569" s="13" t="n"/>
      <c r="J1569" s="20" t="n"/>
      <c r="K1569" s="14" t="n"/>
      <c r="L1569" s="19">
        <f>IF($D1569="","",ROUND(IF($J1569="",1,$J1569)*N($K1569),2))</f>
        <v/>
      </c>
      <c r="M1569" s="13" t="n"/>
      <c r="N1569" s="17">
        <f>IF($D1569="","",IF(ISNA(MATCH($D1569,项目名表,0)),"※项目不在项目台账里",IF($F1569="※材料类别没选","※材料类别没选",IF(AND($C1569&lt;&gt;"",ISNA(MATCH($C1569,供应商表,0))),"※供应商不在基础资料里",""))))</f>
        <v/>
      </c>
    </row>
    <row r="1570">
      <c r="A1570" s="17">
        <f>IF($D1570="","",ROW()-3)</f>
        <v/>
      </c>
      <c r="B1570" s="18" t="n"/>
      <c r="C1570" s="13" t="n"/>
      <c r="D1570" s="13" t="n"/>
      <c r="E1570" s="13" t="n"/>
      <c r="F1570" s="17">
        <f>IF($D1570="","",IFERROR(VLOOKUP($E1570,材料归属,2,0),"※材料类别没选"))</f>
        <v/>
      </c>
      <c r="G1570" s="13" t="n"/>
      <c r="H1570" s="13" t="n"/>
      <c r="I1570" s="13" t="n"/>
      <c r="J1570" s="20" t="n"/>
      <c r="K1570" s="14" t="n"/>
      <c r="L1570" s="19">
        <f>IF($D1570="","",ROUND(IF($J1570="",1,$J1570)*N($K1570),2))</f>
        <v/>
      </c>
      <c r="M1570" s="13" t="n"/>
      <c r="N1570" s="17">
        <f>IF($D1570="","",IF(ISNA(MATCH($D1570,项目名表,0)),"※项目不在项目台账里",IF($F1570="※材料类别没选","※材料类别没选",IF(AND($C1570&lt;&gt;"",ISNA(MATCH($C1570,供应商表,0))),"※供应商不在基础资料里",""))))</f>
        <v/>
      </c>
    </row>
    <row r="1571">
      <c r="A1571" s="17">
        <f>IF($D1571="","",ROW()-3)</f>
        <v/>
      </c>
      <c r="B1571" s="18" t="n"/>
      <c r="C1571" s="13" t="n"/>
      <c r="D1571" s="13" t="n"/>
      <c r="E1571" s="13" t="n"/>
      <c r="F1571" s="17">
        <f>IF($D1571="","",IFERROR(VLOOKUP($E1571,材料归属,2,0),"※材料类别没选"))</f>
        <v/>
      </c>
      <c r="G1571" s="13" t="n"/>
      <c r="H1571" s="13" t="n"/>
      <c r="I1571" s="13" t="n"/>
      <c r="J1571" s="20" t="n"/>
      <c r="K1571" s="14" t="n"/>
      <c r="L1571" s="19">
        <f>IF($D1571="","",ROUND(IF($J1571="",1,$J1571)*N($K1571),2))</f>
        <v/>
      </c>
      <c r="M1571" s="13" t="n"/>
      <c r="N1571" s="17">
        <f>IF($D1571="","",IF(ISNA(MATCH($D1571,项目名表,0)),"※项目不在项目台账里",IF($F1571="※材料类别没选","※材料类别没选",IF(AND($C1571&lt;&gt;"",ISNA(MATCH($C1571,供应商表,0))),"※供应商不在基础资料里",""))))</f>
        <v/>
      </c>
    </row>
    <row r="1572">
      <c r="A1572" s="17">
        <f>IF($D1572="","",ROW()-3)</f>
        <v/>
      </c>
      <c r="B1572" s="18" t="n"/>
      <c r="C1572" s="13" t="n"/>
      <c r="D1572" s="13" t="n"/>
      <c r="E1572" s="13" t="n"/>
      <c r="F1572" s="17">
        <f>IF($D1572="","",IFERROR(VLOOKUP($E1572,材料归属,2,0),"※材料类别没选"))</f>
        <v/>
      </c>
      <c r="G1572" s="13" t="n"/>
      <c r="H1572" s="13" t="n"/>
      <c r="I1572" s="13" t="n"/>
      <c r="J1572" s="20" t="n"/>
      <c r="K1572" s="14" t="n"/>
      <c r="L1572" s="19">
        <f>IF($D1572="","",ROUND(IF($J1572="",1,$J1572)*N($K1572),2))</f>
        <v/>
      </c>
      <c r="M1572" s="13" t="n"/>
      <c r="N1572" s="17">
        <f>IF($D1572="","",IF(ISNA(MATCH($D1572,项目名表,0)),"※项目不在项目台账里",IF($F1572="※材料类别没选","※材料类别没选",IF(AND($C1572&lt;&gt;"",ISNA(MATCH($C1572,供应商表,0))),"※供应商不在基础资料里",""))))</f>
        <v/>
      </c>
    </row>
    <row r="1573">
      <c r="A1573" s="17">
        <f>IF($D1573="","",ROW()-3)</f>
        <v/>
      </c>
      <c r="B1573" s="18" t="n"/>
      <c r="C1573" s="13" t="n"/>
      <c r="D1573" s="13" t="n"/>
      <c r="E1573" s="13" t="n"/>
      <c r="F1573" s="17">
        <f>IF($D1573="","",IFERROR(VLOOKUP($E1573,材料归属,2,0),"※材料类别没选"))</f>
        <v/>
      </c>
      <c r="G1573" s="13" t="n"/>
      <c r="H1573" s="13" t="n"/>
      <c r="I1573" s="13" t="n"/>
      <c r="J1573" s="20" t="n"/>
      <c r="K1573" s="14" t="n"/>
      <c r="L1573" s="19">
        <f>IF($D1573="","",ROUND(IF($J1573="",1,$J1573)*N($K1573),2))</f>
        <v/>
      </c>
      <c r="M1573" s="13" t="n"/>
      <c r="N1573" s="17">
        <f>IF($D1573="","",IF(ISNA(MATCH($D1573,项目名表,0)),"※项目不在项目台账里",IF($F1573="※材料类别没选","※材料类别没选",IF(AND($C1573&lt;&gt;"",ISNA(MATCH($C1573,供应商表,0))),"※供应商不在基础资料里",""))))</f>
        <v/>
      </c>
    </row>
    <row r="1574">
      <c r="A1574" s="17">
        <f>IF($D1574="","",ROW()-3)</f>
        <v/>
      </c>
      <c r="B1574" s="18" t="n"/>
      <c r="C1574" s="13" t="n"/>
      <c r="D1574" s="13" t="n"/>
      <c r="E1574" s="13" t="n"/>
      <c r="F1574" s="17">
        <f>IF($D1574="","",IFERROR(VLOOKUP($E1574,材料归属,2,0),"※材料类别没选"))</f>
        <v/>
      </c>
      <c r="G1574" s="13" t="n"/>
      <c r="H1574" s="13" t="n"/>
      <c r="I1574" s="13" t="n"/>
      <c r="J1574" s="20" t="n"/>
      <c r="K1574" s="14" t="n"/>
      <c r="L1574" s="19">
        <f>IF($D1574="","",ROUND(IF($J1574="",1,$J1574)*N($K1574),2))</f>
        <v/>
      </c>
      <c r="M1574" s="13" t="n"/>
      <c r="N1574" s="17">
        <f>IF($D1574="","",IF(ISNA(MATCH($D1574,项目名表,0)),"※项目不在项目台账里",IF($F1574="※材料类别没选","※材料类别没选",IF(AND($C1574&lt;&gt;"",ISNA(MATCH($C1574,供应商表,0))),"※供应商不在基础资料里",""))))</f>
        <v/>
      </c>
    </row>
    <row r="1575">
      <c r="A1575" s="17">
        <f>IF($D1575="","",ROW()-3)</f>
        <v/>
      </c>
      <c r="B1575" s="18" t="n"/>
      <c r="C1575" s="13" t="n"/>
      <c r="D1575" s="13" t="n"/>
      <c r="E1575" s="13" t="n"/>
      <c r="F1575" s="17">
        <f>IF($D1575="","",IFERROR(VLOOKUP($E1575,材料归属,2,0),"※材料类别没选"))</f>
        <v/>
      </c>
      <c r="G1575" s="13" t="n"/>
      <c r="H1575" s="13" t="n"/>
      <c r="I1575" s="13" t="n"/>
      <c r="J1575" s="20" t="n"/>
      <c r="K1575" s="14" t="n"/>
      <c r="L1575" s="19">
        <f>IF($D1575="","",ROUND(IF($J1575="",1,$J1575)*N($K1575),2))</f>
        <v/>
      </c>
      <c r="M1575" s="13" t="n"/>
      <c r="N1575" s="17">
        <f>IF($D1575="","",IF(ISNA(MATCH($D1575,项目名表,0)),"※项目不在项目台账里",IF($F1575="※材料类别没选","※材料类别没选",IF(AND($C1575&lt;&gt;"",ISNA(MATCH($C1575,供应商表,0))),"※供应商不在基础资料里",""))))</f>
        <v/>
      </c>
    </row>
    <row r="1576">
      <c r="A1576" s="17">
        <f>IF($D1576="","",ROW()-3)</f>
        <v/>
      </c>
      <c r="B1576" s="18" t="n"/>
      <c r="C1576" s="13" t="n"/>
      <c r="D1576" s="13" t="n"/>
      <c r="E1576" s="13" t="n"/>
      <c r="F1576" s="17">
        <f>IF($D1576="","",IFERROR(VLOOKUP($E1576,材料归属,2,0),"※材料类别没选"))</f>
        <v/>
      </c>
      <c r="G1576" s="13" t="n"/>
      <c r="H1576" s="13" t="n"/>
      <c r="I1576" s="13" t="n"/>
      <c r="J1576" s="20" t="n"/>
      <c r="K1576" s="14" t="n"/>
      <c r="L1576" s="19">
        <f>IF($D1576="","",ROUND(IF($J1576="",1,$J1576)*N($K1576),2))</f>
        <v/>
      </c>
      <c r="M1576" s="13" t="n"/>
      <c r="N1576" s="17">
        <f>IF($D1576="","",IF(ISNA(MATCH($D1576,项目名表,0)),"※项目不在项目台账里",IF($F1576="※材料类别没选","※材料类别没选",IF(AND($C1576&lt;&gt;"",ISNA(MATCH($C1576,供应商表,0))),"※供应商不在基础资料里",""))))</f>
        <v/>
      </c>
    </row>
    <row r="1577">
      <c r="A1577" s="17">
        <f>IF($D1577="","",ROW()-3)</f>
        <v/>
      </c>
      <c r="B1577" s="18" t="n"/>
      <c r="C1577" s="13" t="n"/>
      <c r="D1577" s="13" t="n"/>
      <c r="E1577" s="13" t="n"/>
      <c r="F1577" s="17">
        <f>IF($D1577="","",IFERROR(VLOOKUP($E1577,材料归属,2,0),"※材料类别没选"))</f>
        <v/>
      </c>
      <c r="G1577" s="13" t="n"/>
      <c r="H1577" s="13" t="n"/>
      <c r="I1577" s="13" t="n"/>
      <c r="J1577" s="20" t="n"/>
      <c r="K1577" s="14" t="n"/>
      <c r="L1577" s="19">
        <f>IF($D1577="","",ROUND(IF($J1577="",1,$J1577)*N($K1577),2))</f>
        <v/>
      </c>
      <c r="M1577" s="13" t="n"/>
      <c r="N1577" s="17">
        <f>IF($D1577="","",IF(ISNA(MATCH($D1577,项目名表,0)),"※项目不在项目台账里",IF($F1577="※材料类别没选","※材料类别没选",IF(AND($C1577&lt;&gt;"",ISNA(MATCH($C1577,供应商表,0))),"※供应商不在基础资料里",""))))</f>
        <v/>
      </c>
    </row>
    <row r="1578">
      <c r="A1578" s="17">
        <f>IF($D1578="","",ROW()-3)</f>
        <v/>
      </c>
      <c r="B1578" s="18" t="n"/>
      <c r="C1578" s="13" t="n"/>
      <c r="D1578" s="13" t="n"/>
      <c r="E1578" s="13" t="n"/>
      <c r="F1578" s="17">
        <f>IF($D1578="","",IFERROR(VLOOKUP($E1578,材料归属,2,0),"※材料类别没选"))</f>
        <v/>
      </c>
      <c r="G1578" s="13" t="n"/>
      <c r="H1578" s="13" t="n"/>
      <c r="I1578" s="13" t="n"/>
      <c r="J1578" s="20" t="n"/>
      <c r="K1578" s="14" t="n"/>
      <c r="L1578" s="19">
        <f>IF($D1578="","",ROUND(IF($J1578="",1,$J1578)*N($K1578),2))</f>
        <v/>
      </c>
      <c r="M1578" s="13" t="n"/>
      <c r="N1578" s="17">
        <f>IF($D1578="","",IF(ISNA(MATCH($D1578,项目名表,0)),"※项目不在项目台账里",IF($F1578="※材料类别没选","※材料类别没选",IF(AND($C1578&lt;&gt;"",ISNA(MATCH($C1578,供应商表,0))),"※供应商不在基础资料里",""))))</f>
        <v/>
      </c>
    </row>
    <row r="1579">
      <c r="A1579" s="17">
        <f>IF($D1579="","",ROW()-3)</f>
        <v/>
      </c>
      <c r="B1579" s="18" t="n"/>
      <c r="C1579" s="13" t="n"/>
      <c r="D1579" s="13" t="n"/>
      <c r="E1579" s="13" t="n"/>
      <c r="F1579" s="17">
        <f>IF($D1579="","",IFERROR(VLOOKUP($E1579,材料归属,2,0),"※材料类别没选"))</f>
        <v/>
      </c>
      <c r="G1579" s="13" t="n"/>
      <c r="H1579" s="13" t="n"/>
      <c r="I1579" s="13" t="n"/>
      <c r="J1579" s="20" t="n"/>
      <c r="K1579" s="14" t="n"/>
      <c r="L1579" s="19">
        <f>IF($D1579="","",ROUND(IF($J1579="",1,$J1579)*N($K1579),2))</f>
        <v/>
      </c>
      <c r="M1579" s="13" t="n"/>
      <c r="N1579" s="17">
        <f>IF($D1579="","",IF(ISNA(MATCH($D1579,项目名表,0)),"※项目不在项目台账里",IF($F1579="※材料类别没选","※材料类别没选",IF(AND($C1579&lt;&gt;"",ISNA(MATCH($C1579,供应商表,0))),"※供应商不在基础资料里",""))))</f>
        <v/>
      </c>
    </row>
    <row r="1580">
      <c r="A1580" s="17">
        <f>IF($D1580="","",ROW()-3)</f>
        <v/>
      </c>
      <c r="B1580" s="18" t="n"/>
      <c r="C1580" s="13" t="n"/>
      <c r="D1580" s="13" t="n"/>
      <c r="E1580" s="13" t="n"/>
      <c r="F1580" s="17">
        <f>IF($D1580="","",IFERROR(VLOOKUP($E1580,材料归属,2,0),"※材料类别没选"))</f>
        <v/>
      </c>
      <c r="G1580" s="13" t="n"/>
      <c r="H1580" s="13" t="n"/>
      <c r="I1580" s="13" t="n"/>
      <c r="J1580" s="20" t="n"/>
      <c r="K1580" s="14" t="n"/>
      <c r="L1580" s="19">
        <f>IF($D1580="","",ROUND(IF($J1580="",1,$J1580)*N($K1580),2))</f>
        <v/>
      </c>
      <c r="M1580" s="13" t="n"/>
      <c r="N1580" s="17">
        <f>IF($D1580="","",IF(ISNA(MATCH($D1580,项目名表,0)),"※项目不在项目台账里",IF($F1580="※材料类别没选","※材料类别没选",IF(AND($C1580&lt;&gt;"",ISNA(MATCH($C1580,供应商表,0))),"※供应商不在基础资料里",""))))</f>
        <v/>
      </c>
    </row>
    <row r="1581">
      <c r="A1581" s="17">
        <f>IF($D1581="","",ROW()-3)</f>
        <v/>
      </c>
      <c r="B1581" s="18" t="n"/>
      <c r="C1581" s="13" t="n"/>
      <c r="D1581" s="13" t="n"/>
      <c r="E1581" s="13" t="n"/>
      <c r="F1581" s="17">
        <f>IF($D1581="","",IFERROR(VLOOKUP($E1581,材料归属,2,0),"※材料类别没选"))</f>
        <v/>
      </c>
      <c r="G1581" s="13" t="n"/>
      <c r="H1581" s="13" t="n"/>
      <c r="I1581" s="13" t="n"/>
      <c r="J1581" s="20" t="n"/>
      <c r="K1581" s="14" t="n"/>
      <c r="L1581" s="19">
        <f>IF($D1581="","",ROUND(IF($J1581="",1,$J1581)*N($K1581),2))</f>
        <v/>
      </c>
      <c r="M1581" s="13" t="n"/>
      <c r="N1581" s="17">
        <f>IF($D1581="","",IF(ISNA(MATCH($D1581,项目名表,0)),"※项目不在项目台账里",IF($F1581="※材料类别没选","※材料类别没选",IF(AND($C1581&lt;&gt;"",ISNA(MATCH($C1581,供应商表,0))),"※供应商不在基础资料里",""))))</f>
        <v/>
      </c>
    </row>
    <row r="1582">
      <c r="A1582" s="17">
        <f>IF($D1582="","",ROW()-3)</f>
        <v/>
      </c>
      <c r="B1582" s="18" t="n"/>
      <c r="C1582" s="13" t="n"/>
      <c r="D1582" s="13" t="n"/>
      <c r="E1582" s="13" t="n"/>
      <c r="F1582" s="17">
        <f>IF($D1582="","",IFERROR(VLOOKUP($E1582,材料归属,2,0),"※材料类别没选"))</f>
        <v/>
      </c>
      <c r="G1582" s="13" t="n"/>
      <c r="H1582" s="13" t="n"/>
      <c r="I1582" s="13" t="n"/>
      <c r="J1582" s="20" t="n"/>
      <c r="K1582" s="14" t="n"/>
      <c r="L1582" s="19">
        <f>IF($D1582="","",ROUND(IF($J1582="",1,$J1582)*N($K1582),2))</f>
        <v/>
      </c>
      <c r="M1582" s="13" t="n"/>
      <c r="N1582" s="17">
        <f>IF($D1582="","",IF(ISNA(MATCH($D1582,项目名表,0)),"※项目不在项目台账里",IF($F1582="※材料类别没选","※材料类别没选",IF(AND($C1582&lt;&gt;"",ISNA(MATCH($C1582,供应商表,0))),"※供应商不在基础资料里",""))))</f>
        <v/>
      </c>
    </row>
    <row r="1583">
      <c r="A1583" s="17">
        <f>IF($D1583="","",ROW()-3)</f>
        <v/>
      </c>
      <c r="B1583" s="18" t="n"/>
      <c r="C1583" s="13" t="n"/>
      <c r="D1583" s="13" t="n"/>
      <c r="E1583" s="13" t="n"/>
      <c r="F1583" s="17">
        <f>IF($D1583="","",IFERROR(VLOOKUP($E1583,材料归属,2,0),"※材料类别没选"))</f>
        <v/>
      </c>
      <c r="G1583" s="13" t="n"/>
      <c r="H1583" s="13" t="n"/>
      <c r="I1583" s="13" t="n"/>
      <c r="J1583" s="20" t="n"/>
      <c r="K1583" s="14" t="n"/>
      <c r="L1583" s="19">
        <f>IF($D1583="","",ROUND(IF($J1583="",1,$J1583)*N($K1583),2))</f>
        <v/>
      </c>
      <c r="M1583" s="13" t="n"/>
      <c r="N1583" s="17">
        <f>IF($D1583="","",IF(ISNA(MATCH($D1583,项目名表,0)),"※项目不在项目台账里",IF($F1583="※材料类别没选","※材料类别没选",IF(AND($C1583&lt;&gt;"",ISNA(MATCH($C1583,供应商表,0))),"※供应商不在基础资料里",""))))</f>
        <v/>
      </c>
    </row>
    <row r="1584">
      <c r="A1584" s="17">
        <f>IF($D1584="","",ROW()-3)</f>
        <v/>
      </c>
      <c r="B1584" s="18" t="n"/>
      <c r="C1584" s="13" t="n"/>
      <c r="D1584" s="13" t="n"/>
      <c r="E1584" s="13" t="n"/>
      <c r="F1584" s="17">
        <f>IF($D1584="","",IFERROR(VLOOKUP($E1584,材料归属,2,0),"※材料类别没选"))</f>
        <v/>
      </c>
      <c r="G1584" s="13" t="n"/>
      <c r="H1584" s="13" t="n"/>
      <c r="I1584" s="13" t="n"/>
      <c r="J1584" s="20" t="n"/>
      <c r="K1584" s="14" t="n"/>
      <c r="L1584" s="19">
        <f>IF($D1584="","",ROUND(IF($J1584="",1,$J1584)*N($K1584),2))</f>
        <v/>
      </c>
      <c r="M1584" s="13" t="n"/>
      <c r="N1584" s="17">
        <f>IF($D1584="","",IF(ISNA(MATCH($D1584,项目名表,0)),"※项目不在项目台账里",IF($F1584="※材料类别没选","※材料类别没选",IF(AND($C1584&lt;&gt;"",ISNA(MATCH($C1584,供应商表,0))),"※供应商不在基础资料里",""))))</f>
        <v/>
      </c>
    </row>
    <row r="1585">
      <c r="A1585" s="17">
        <f>IF($D1585="","",ROW()-3)</f>
        <v/>
      </c>
      <c r="B1585" s="18" t="n"/>
      <c r="C1585" s="13" t="n"/>
      <c r="D1585" s="13" t="n"/>
      <c r="E1585" s="13" t="n"/>
      <c r="F1585" s="17">
        <f>IF($D1585="","",IFERROR(VLOOKUP($E1585,材料归属,2,0),"※材料类别没选"))</f>
        <v/>
      </c>
      <c r="G1585" s="13" t="n"/>
      <c r="H1585" s="13" t="n"/>
      <c r="I1585" s="13" t="n"/>
      <c r="J1585" s="20" t="n"/>
      <c r="K1585" s="14" t="n"/>
      <c r="L1585" s="19">
        <f>IF($D1585="","",ROUND(IF($J1585="",1,$J1585)*N($K1585),2))</f>
        <v/>
      </c>
      <c r="M1585" s="13" t="n"/>
      <c r="N1585" s="17">
        <f>IF($D1585="","",IF(ISNA(MATCH($D1585,项目名表,0)),"※项目不在项目台账里",IF($F1585="※材料类别没选","※材料类别没选",IF(AND($C1585&lt;&gt;"",ISNA(MATCH($C1585,供应商表,0))),"※供应商不在基础资料里",""))))</f>
        <v/>
      </c>
    </row>
    <row r="1586">
      <c r="A1586" s="17">
        <f>IF($D1586="","",ROW()-3)</f>
        <v/>
      </c>
      <c r="B1586" s="18" t="n"/>
      <c r="C1586" s="13" t="n"/>
      <c r="D1586" s="13" t="n"/>
      <c r="E1586" s="13" t="n"/>
      <c r="F1586" s="17">
        <f>IF($D1586="","",IFERROR(VLOOKUP($E1586,材料归属,2,0),"※材料类别没选"))</f>
        <v/>
      </c>
      <c r="G1586" s="13" t="n"/>
      <c r="H1586" s="13" t="n"/>
      <c r="I1586" s="13" t="n"/>
      <c r="J1586" s="20" t="n"/>
      <c r="K1586" s="14" t="n"/>
      <c r="L1586" s="19">
        <f>IF($D1586="","",ROUND(IF($J1586="",1,$J1586)*N($K1586),2))</f>
        <v/>
      </c>
      <c r="M1586" s="13" t="n"/>
      <c r="N1586" s="17">
        <f>IF($D1586="","",IF(ISNA(MATCH($D1586,项目名表,0)),"※项目不在项目台账里",IF($F1586="※材料类别没选","※材料类别没选",IF(AND($C1586&lt;&gt;"",ISNA(MATCH($C1586,供应商表,0))),"※供应商不在基础资料里",""))))</f>
        <v/>
      </c>
    </row>
    <row r="1587">
      <c r="A1587" s="17">
        <f>IF($D1587="","",ROW()-3)</f>
        <v/>
      </c>
      <c r="B1587" s="18" t="n"/>
      <c r="C1587" s="13" t="n"/>
      <c r="D1587" s="13" t="n"/>
      <c r="E1587" s="13" t="n"/>
      <c r="F1587" s="17">
        <f>IF($D1587="","",IFERROR(VLOOKUP($E1587,材料归属,2,0),"※材料类别没选"))</f>
        <v/>
      </c>
      <c r="G1587" s="13" t="n"/>
      <c r="H1587" s="13" t="n"/>
      <c r="I1587" s="13" t="n"/>
      <c r="J1587" s="20" t="n"/>
      <c r="K1587" s="14" t="n"/>
      <c r="L1587" s="19">
        <f>IF($D1587="","",ROUND(IF($J1587="",1,$J1587)*N($K1587),2))</f>
        <v/>
      </c>
      <c r="M1587" s="13" t="n"/>
      <c r="N1587" s="17">
        <f>IF($D1587="","",IF(ISNA(MATCH($D1587,项目名表,0)),"※项目不在项目台账里",IF($F1587="※材料类别没选","※材料类别没选",IF(AND($C1587&lt;&gt;"",ISNA(MATCH($C1587,供应商表,0))),"※供应商不在基础资料里",""))))</f>
        <v/>
      </c>
    </row>
    <row r="1588">
      <c r="A1588" s="17">
        <f>IF($D1588="","",ROW()-3)</f>
        <v/>
      </c>
      <c r="B1588" s="18" t="n"/>
      <c r="C1588" s="13" t="n"/>
      <c r="D1588" s="13" t="n"/>
      <c r="E1588" s="13" t="n"/>
      <c r="F1588" s="17">
        <f>IF($D1588="","",IFERROR(VLOOKUP($E1588,材料归属,2,0),"※材料类别没选"))</f>
        <v/>
      </c>
      <c r="G1588" s="13" t="n"/>
      <c r="H1588" s="13" t="n"/>
      <c r="I1588" s="13" t="n"/>
      <c r="J1588" s="20" t="n"/>
      <c r="K1588" s="14" t="n"/>
      <c r="L1588" s="19">
        <f>IF($D1588="","",ROUND(IF($J1588="",1,$J1588)*N($K1588),2))</f>
        <v/>
      </c>
      <c r="M1588" s="13" t="n"/>
      <c r="N1588" s="17">
        <f>IF($D1588="","",IF(ISNA(MATCH($D1588,项目名表,0)),"※项目不在项目台账里",IF($F1588="※材料类别没选","※材料类别没选",IF(AND($C1588&lt;&gt;"",ISNA(MATCH($C1588,供应商表,0))),"※供应商不在基础资料里",""))))</f>
        <v/>
      </c>
    </row>
    <row r="1589">
      <c r="A1589" s="17">
        <f>IF($D1589="","",ROW()-3)</f>
        <v/>
      </c>
      <c r="B1589" s="18" t="n"/>
      <c r="C1589" s="13" t="n"/>
      <c r="D1589" s="13" t="n"/>
      <c r="E1589" s="13" t="n"/>
      <c r="F1589" s="17">
        <f>IF($D1589="","",IFERROR(VLOOKUP($E1589,材料归属,2,0),"※材料类别没选"))</f>
        <v/>
      </c>
      <c r="G1589" s="13" t="n"/>
      <c r="H1589" s="13" t="n"/>
      <c r="I1589" s="13" t="n"/>
      <c r="J1589" s="20" t="n"/>
      <c r="K1589" s="14" t="n"/>
      <c r="L1589" s="19">
        <f>IF($D1589="","",ROUND(IF($J1589="",1,$J1589)*N($K1589),2))</f>
        <v/>
      </c>
      <c r="M1589" s="13" t="n"/>
      <c r="N1589" s="17">
        <f>IF($D1589="","",IF(ISNA(MATCH($D1589,项目名表,0)),"※项目不在项目台账里",IF($F1589="※材料类别没选","※材料类别没选",IF(AND($C1589&lt;&gt;"",ISNA(MATCH($C1589,供应商表,0))),"※供应商不在基础资料里",""))))</f>
        <v/>
      </c>
    </row>
    <row r="1590">
      <c r="A1590" s="17">
        <f>IF($D1590="","",ROW()-3)</f>
        <v/>
      </c>
      <c r="B1590" s="18" t="n"/>
      <c r="C1590" s="13" t="n"/>
      <c r="D1590" s="13" t="n"/>
      <c r="E1590" s="13" t="n"/>
      <c r="F1590" s="17">
        <f>IF($D1590="","",IFERROR(VLOOKUP($E1590,材料归属,2,0),"※材料类别没选"))</f>
        <v/>
      </c>
      <c r="G1590" s="13" t="n"/>
      <c r="H1590" s="13" t="n"/>
      <c r="I1590" s="13" t="n"/>
      <c r="J1590" s="20" t="n"/>
      <c r="K1590" s="14" t="n"/>
      <c r="L1590" s="19">
        <f>IF($D1590="","",ROUND(IF($J1590="",1,$J1590)*N($K1590),2))</f>
        <v/>
      </c>
      <c r="M1590" s="13" t="n"/>
      <c r="N1590" s="17">
        <f>IF($D1590="","",IF(ISNA(MATCH($D1590,项目名表,0)),"※项目不在项目台账里",IF($F1590="※材料类别没选","※材料类别没选",IF(AND($C1590&lt;&gt;"",ISNA(MATCH($C1590,供应商表,0))),"※供应商不在基础资料里",""))))</f>
        <v/>
      </c>
    </row>
    <row r="1591">
      <c r="A1591" s="17">
        <f>IF($D1591="","",ROW()-3)</f>
        <v/>
      </c>
      <c r="B1591" s="18" t="n"/>
      <c r="C1591" s="13" t="n"/>
      <c r="D1591" s="13" t="n"/>
      <c r="E1591" s="13" t="n"/>
      <c r="F1591" s="17">
        <f>IF($D1591="","",IFERROR(VLOOKUP($E1591,材料归属,2,0),"※材料类别没选"))</f>
        <v/>
      </c>
      <c r="G1591" s="13" t="n"/>
      <c r="H1591" s="13" t="n"/>
      <c r="I1591" s="13" t="n"/>
      <c r="J1591" s="20" t="n"/>
      <c r="K1591" s="14" t="n"/>
      <c r="L1591" s="19">
        <f>IF($D1591="","",ROUND(IF($J1591="",1,$J1591)*N($K1591),2))</f>
        <v/>
      </c>
      <c r="M1591" s="13" t="n"/>
      <c r="N1591" s="17">
        <f>IF($D1591="","",IF(ISNA(MATCH($D1591,项目名表,0)),"※项目不在项目台账里",IF($F1591="※材料类别没选","※材料类别没选",IF(AND($C1591&lt;&gt;"",ISNA(MATCH($C1591,供应商表,0))),"※供应商不在基础资料里",""))))</f>
        <v/>
      </c>
    </row>
    <row r="1592">
      <c r="A1592" s="17">
        <f>IF($D1592="","",ROW()-3)</f>
        <v/>
      </c>
      <c r="B1592" s="18" t="n"/>
      <c r="C1592" s="13" t="n"/>
      <c r="D1592" s="13" t="n"/>
      <c r="E1592" s="13" t="n"/>
      <c r="F1592" s="17">
        <f>IF($D1592="","",IFERROR(VLOOKUP($E1592,材料归属,2,0),"※材料类别没选"))</f>
        <v/>
      </c>
      <c r="G1592" s="13" t="n"/>
      <c r="H1592" s="13" t="n"/>
      <c r="I1592" s="13" t="n"/>
      <c r="J1592" s="20" t="n"/>
      <c r="K1592" s="14" t="n"/>
      <c r="L1592" s="19">
        <f>IF($D1592="","",ROUND(IF($J1592="",1,$J1592)*N($K1592),2))</f>
        <v/>
      </c>
      <c r="M1592" s="13" t="n"/>
      <c r="N1592" s="17">
        <f>IF($D1592="","",IF(ISNA(MATCH($D1592,项目名表,0)),"※项目不在项目台账里",IF($F1592="※材料类别没选","※材料类别没选",IF(AND($C1592&lt;&gt;"",ISNA(MATCH($C1592,供应商表,0))),"※供应商不在基础资料里",""))))</f>
        <v/>
      </c>
    </row>
    <row r="1593">
      <c r="A1593" s="17">
        <f>IF($D1593="","",ROW()-3)</f>
        <v/>
      </c>
      <c r="B1593" s="18" t="n"/>
      <c r="C1593" s="13" t="n"/>
      <c r="D1593" s="13" t="n"/>
      <c r="E1593" s="13" t="n"/>
      <c r="F1593" s="17">
        <f>IF($D1593="","",IFERROR(VLOOKUP($E1593,材料归属,2,0),"※材料类别没选"))</f>
        <v/>
      </c>
      <c r="G1593" s="13" t="n"/>
      <c r="H1593" s="13" t="n"/>
      <c r="I1593" s="13" t="n"/>
      <c r="J1593" s="20" t="n"/>
      <c r="K1593" s="14" t="n"/>
      <c r="L1593" s="19">
        <f>IF($D1593="","",ROUND(IF($J1593="",1,$J1593)*N($K1593),2))</f>
        <v/>
      </c>
      <c r="M1593" s="13" t="n"/>
      <c r="N1593" s="17">
        <f>IF($D1593="","",IF(ISNA(MATCH($D1593,项目名表,0)),"※项目不在项目台账里",IF($F1593="※材料类别没选","※材料类别没选",IF(AND($C1593&lt;&gt;"",ISNA(MATCH($C1593,供应商表,0))),"※供应商不在基础资料里",""))))</f>
        <v/>
      </c>
    </row>
    <row r="1594">
      <c r="A1594" s="17">
        <f>IF($D1594="","",ROW()-3)</f>
        <v/>
      </c>
      <c r="B1594" s="18" t="n"/>
      <c r="C1594" s="13" t="n"/>
      <c r="D1594" s="13" t="n"/>
      <c r="E1594" s="13" t="n"/>
      <c r="F1594" s="17">
        <f>IF($D1594="","",IFERROR(VLOOKUP($E1594,材料归属,2,0),"※材料类别没选"))</f>
        <v/>
      </c>
      <c r="G1594" s="13" t="n"/>
      <c r="H1594" s="13" t="n"/>
      <c r="I1594" s="13" t="n"/>
      <c r="J1594" s="20" t="n"/>
      <c r="K1594" s="14" t="n"/>
      <c r="L1594" s="19">
        <f>IF($D1594="","",ROUND(IF($J1594="",1,$J1594)*N($K1594),2))</f>
        <v/>
      </c>
      <c r="M1594" s="13" t="n"/>
      <c r="N1594" s="17">
        <f>IF($D1594="","",IF(ISNA(MATCH($D1594,项目名表,0)),"※项目不在项目台账里",IF($F1594="※材料类别没选","※材料类别没选",IF(AND($C1594&lt;&gt;"",ISNA(MATCH($C1594,供应商表,0))),"※供应商不在基础资料里",""))))</f>
        <v/>
      </c>
    </row>
    <row r="1595">
      <c r="A1595" s="17">
        <f>IF($D1595="","",ROW()-3)</f>
        <v/>
      </c>
      <c r="B1595" s="18" t="n"/>
      <c r="C1595" s="13" t="n"/>
      <c r="D1595" s="13" t="n"/>
      <c r="E1595" s="13" t="n"/>
      <c r="F1595" s="17">
        <f>IF($D1595="","",IFERROR(VLOOKUP($E1595,材料归属,2,0),"※材料类别没选"))</f>
        <v/>
      </c>
      <c r="G1595" s="13" t="n"/>
      <c r="H1595" s="13" t="n"/>
      <c r="I1595" s="13" t="n"/>
      <c r="J1595" s="20" t="n"/>
      <c r="K1595" s="14" t="n"/>
      <c r="L1595" s="19">
        <f>IF($D1595="","",ROUND(IF($J1595="",1,$J1595)*N($K1595),2))</f>
        <v/>
      </c>
      <c r="M1595" s="13" t="n"/>
      <c r="N1595" s="17">
        <f>IF($D1595="","",IF(ISNA(MATCH($D1595,项目名表,0)),"※项目不在项目台账里",IF($F1595="※材料类别没选","※材料类别没选",IF(AND($C1595&lt;&gt;"",ISNA(MATCH($C1595,供应商表,0))),"※供应商不在基础资料里",""))))</f>
        <v/>
      </c>
    </row>
    <row r="1596">
      <c r="A1596" s="17">
        <f>IF($D1596="","",ROW()-3)</f>
        <v/>
      </c>
      <c r="B1596" s="18" t="n"/>
      <c r="C1596" s="13" t="n"/>
      <c r="D1596" s="13" t="n"/>
      <c r="E1596" s="13" t="n"/>
      <c r="F1596" s="17">
        <f>IF($D1596="","",IFERROR(VLOOKUP($E1596,材料归属,2,0),"※材料类别没选"))</f>
        <v/>
      </c>
      <c r="G1596" s="13" t="n"/>
      <c r="H1596" s="13" t="n"/>
      <c r="I1596" s="13" t="n"/>
      <c r="J1596" s="20" t="n"/>
      <c r="K1596" s="14" t="n"/>
      <c r="L1596" s="19">
        <f>IF($D1596="","",ROUND(IF($J1596="",1,$J1596)*N($K1596),2))</f>
        <v/>
      </c>
      <c r="M1596" s="13" t="n"/>
      <c r="N1596" s="17">
        <f>IF($D1596="","",IF(ISNA(MATCH($D1596,项目名表,0)),"※项目不在项目台账里",IF($F1596="※材料类别没选","※材料类别没选",IF(AND($C1596&lt;&gt;"",ISNA(MATCH($C1596,供应商表,0))),"※供应商不在基础资料里",""))))</f>
        <v/>
      </c>
    </row>
    <row r="1597">
      <c r="A1597" s="17">
        <f>IF($D1597="","",ROW()-3)</f>
        <v/>
      </c>
      <c r="B1597" s="18" t="n"/>
      <c r="C1597" s="13" t="n"/>
      <c r="D1597" s="13" t="n"/>
      <c r="E1597" s="13" t="n"/>
      <c r="F1597" s="17">
        <f>IF($D1597="","",IFERROR(VLOOKUP($E1597,材料归属,2,0),"※材料类别没选"))</f>
        <v/>
      </c>
      <c r="G1597" s="13" t="n"/>
      <c r="H1597" s="13" t="n"/>
      <c r="I1597" s="13" t="n"/>
      <c r="J1597" s="20" t="n"/>
      <c r="K1597" s="14" t="n"/>
      <c r="L1597" s="19">
        <f>IF($D1597="","",ROUND(IF($J1597="",1,$J1597)*N($K1597),2))</f>
        <v/>
      </c>
      <c r="M1597" s="13" t="n"/>
      <c r="N1597" s="17">
        <f>IF($D1597="","",IF(ISNA(MATCH($D1597,项目名表,0)),"※项目不在项目台账里",IF($F1597="※材料类别没选","※材料类别没选",IF(AND($C1597&lt;&gt;"",ISNA(MATCH($C1597,供应商表,0))),"※供应商不在基础资料里",""))))</f>
        <v/>
      </c>
    </row>
    <row r="1598">
      <c r="A1598" s="17">
        <f>IF($D1598="","",ROW()-3)</f>
        <v/>
      </c>
      <c r="B1598" s="18" t="n"/>
      <c r="C1598" s="13" t="n"/>
      <c r="D1598" s="13" t="n"/>
      <c r="E1598" s="13" t="n"/>
      <c r="F1598" s="17">
        <f>IF($D1598="","",IFERROR(VLOOKUP($E1598,材料归属,2,0),"※材料类别没选"))</f>
        <v/>
      </c>
      <c r="G1598" s="13" t="n"/>
      <c r="H1598" s="13" t="n"/>
      <c r="I1598" s="13" t="n"/>
      <c r="J1598" s="20" t="n"/>
      <c r="K1598" s="14" t="n"/>
      <c r="L1598" s="19">
        <f>IF($D1598="","",ROUND(IF($J1598="",1,$J1598)*N($K1598),2))</f>
        <v/>
      </c>
      <c r="M1598" s="13" t="n"/>
      <c r="N1598" s="17">
        <f>IF($D1598="","",IF(ISNA(MATCH($D1598,项目名表,0)),"※项目不在项目台账里",IF($F1598="※材料类别没选","※材料类别没选",IF(AND($C1598&lt;&gt;"",ISNA(MATCH($C1598,供应商表,0))),"※供应商不在基础资料里",""))))</f>
        <v/>
      </c>
    </row>
    <row r="1599">
      <c r="A1599" s="17">
        <f>IF($D1599="","",ROW()-3)</f>
        <v/>
      </c>
      <c r="B1599" s="18" t="n"/>
      <c r="C1599" s="13" t="n"/>
      <c r="D1599" s="13" t="n"/>
      <c r="E1599" s="13" t="n"/>
      <c r="F1599" s="17">
        <f>IF($D1599="","",IFERROR(VLOOKUP($E1599,材料归属,2,0),"※材料类别没选"))</f>
        <v/>
      </c>
      <c r="G1599" s="13" t="n"/>
      <c r="H1599" s="13" t="n"/>
      <c r="I1599" s="13" t="n"/>
      <c r="J1599" s="20" t="n"/>
      <c r="K1599" s="14" t="n"/>
      <c r="L1599" s="19">
        <f>IF($D1599="","",ROUND(IF($J1599="",1,$J1599)*N($K1599),2))</f>
        <v/>
      </c>
      <c r="M1599" s="13" t="n"/>
      <c r="N1599" s="17">
        <f>IF($D1599="","",IF(ISNA(MATCH($D1599,项目名表,0)),"※项目不在项目台账里",IF($F1599="※材料类别没选","※材料类别没选",IF(AND($C1599&lt;&gt;"",ISNA(MATCH($C1599,供应商表,0))),"※供应商不在基础资料里",""))))</f>
        <v/>
      </c>
    </row>
    <row r="1600">
      <c r="A1600" s="17">
        <f>IF($D1600="","",ROW()-3)</f>
        <v/>
      </c>
      <c r="B1600" s="18" t="n"/>
      <c r="C1600" s="13" t="n"/>
      <c r="D1600" s="13" t="n"/>
      <c r="E1600" s="13" t="n"/>
      <c r="F1600" s="17">
        <f>IF($D1600="","",IFERROR(VLOOKUP($E1600,材料归属,2,0),"※材料类别没选"))</f>
        <v/>
      </c>
      <c r="G1600" s="13" t="n"/>
      <c r="H1600" s="13" t="n"/>
      <c r="I1600" s="13" t="n"/>
      <c r="J1600" s="20" t="n"/>
      <c r="K1600" s="14" t="n"/>
      <c r="L1600" s="19">
        <f>IF($D1600="","",ROUND(IF($J1600="",1,$J1600)*N($K1600),2))</f>
        <v/>
      </c>
      <c r="M1600" s="13" t="n"/>
      <c r="N1600" s="17">
        <f>IF($D1600="","",IF(ISNA(MATCH($D1600,项目名表,0)),"※项目不在项目台账里",IF($F1600="※材料类别没选","※材料类别没选",IF(AND($C1600&lt;&gt;"",ISNA(MATCH($C1600,供应商表,0))),"※供应商不在基础资料里",""))))</f>
        <v/>
      </c>
    </row>
    <row r="1601">
      <c r="A1601" s="17">
        <f>IF($D1601="","",ROW()-3)</f>
        <v/>
      </c>
      <c r="B1601" s="18" t="n"/>
      <c r="C1601" s="13" t="n"/>
      <c r="D1601" s="13" t="n"/>
      <c r="E1601" s="13" t="n"/>
      <c r="F1601" s="17">
        <f>IF($D1601="","",IFERROR(VLOOKUP($E1601,材料归属,2,0),"※材料类别没选"))</f>
        <v/>
      </c>
      <c r="G1601" s="13" t="n"/>
      <c r="H1601" s="13" t="n"/>
      <c r="I1601" s="13" t="n"/>
      <c r="J1601" s="20" t="n"/>
      <c r="K1601" s="14" t="n"/>
      <c r="L1601" s="19">
        <f>IF($D1601="","",ROUND(IF($J1601="",1,$J1601)*N($K1601),2))</f>
        <v/>
      </c>
      <c r="M1601" s="13" t="n"/>
      <c r="N1601" s="17">
        <f>IF($D1601="","",IF(ISNA(MATCH($D1601,项目名表,0)),"※项目不在项目台账里",IF($F1601="※材料类别没选","※材料类别没选",IF(AND($C1601&lt;&gt;"",ISNA(MATCH($C1601,供应商表,0))),"※供应商不在基础资料里",""))))</f>
        <v/>
      </c>
    </row>
    <row r="1602">
      <c r="A1602" s="17">
        <f>IF($D1602="","",ROW()-3)</f>
        <v/>
      </c>
      <c r="B1602" s="18" t="n"/>
      <c r="C1602" s="13" t="n"/>
      <c r="D1602" s="13" t="n"/>
      <c r="E1602" s="13" t="n"/>
      <c r="F1602" s="17">
        <f>IF($D1602="","",IFERROR(VLOOKUP($E1602,材料归属,2,0),"※材料类别没选"))</f>
        <v/>
      </c>
      <c r="G1602" s="13" t="n"/>
      <c r="H1602" s="13" t="n"/>
      <c r="I1602" s="13" t="n"/>
      <c r="J1602" s="20" t="n"/>
      <c r="K1602" s="14" t="n"/>
      <c r="L1602" s="19">
        <f>IF($D1602="","",ROUND(IF($J1602="",1,$J1602)*N($K1602),2))</f>
        <v/>
      </c>
      <c r="M1602" s="13" t="n"/>
      <c r="N1602" s="17">
        <f>IF($D1602="","",IF(ISNA(MATCH($D1602,项目名表,0)),"※项目不在项目台账里",IF($F1602="※材料类别没选","※材料类别没选",IF(AND($C1602&lt;&gt;"",ISNA(MATCH($C1602,供应商表,0))),"※供应商不在基础资料里",""))))</f>
        <v/>
      </c>
    </row>
    <row r="1603">
      <c r="A1603" s="17">
        <f>IF($D1603="","",ROW()-3)</f>
        <v/>
      </c>
      <c r="B1603" s="18" t="n"/>
      <c r="C1603" s="13" t="n"/>
      <c r="D1603" s="13" t="n"/>
      <c r="E1603" s="13" t="n"/>
      <c r="F1603" s="17">
        <f>IF($D1603="","",IFERROR(VLOOKUP($E1603,材料归属,2,0),"※材料类别没选"))</f>
        <v/>
      </c>
      <c r="G1603" s="13" t="n"/>
      <c r="H1603" s="13" t="n"/>
      <c r="I1603" s="13" t="n"/>
      <c r="J1603" s="20" t="n"/>
      <c r="K1603" s="14" t="n"/>
      <c r="L1603" s="19">
        <f>IF($D1603="","",ROUND(IF($J1603="",1,$J1603)*N($K1603),2))</f>
        <v/>
      </c>
      <c r="M1603" s="13" t="n"/>
      <c r="N1603" s="17">
        <f>IF($D1603="","",IF(ISNA(MATCH($D1603,项目名表,0)),"※项目不在项目台账里",IF($F1603="※材料类别没选","※材料类别没选",IF(AND($C1603&lt;&gt;"",ISNA(MATCH($C1603,供应商表,0))),"※供应商不在基础资料里",""))))</f>
        <v/>
      </c>
    </row>
    <row r="1604">
      <c r="A1604" s="17">
        <f>IF($D1604="","",ROW()-3)</f>
        <v/>
      </c>
      <c r="B1604" s="18" t="n"/>
      <c r="C1604" s="13" t="n"/>
      <c r="D1604" s="13" t="n"/>
      <c r="E1604" s="13" t="n"/>
      <c r="F1604" s="17">
        <f>IF($D1604="","",IFERROR(VLOOKUP($E1604,材料归属,2,0),"※材料类别没选"))</f>
        <v/>
      </c>
      <c r="G1604" s="13" t="n"/>
      <c r="H1604" s="13" t="n"/>
      <c r="I1604" s="13" t="n"/>
      <c r="J1604" s="20" t="n"/>
      <c r="K1604" s="14" t="n"/>
      <c r="L1604" s="19">
        <f>IF($D1604="","",ROUND(IF($J1604="",1,$J1604)*N($K1604),2))</f>
        <v/>
      </c>
      <c r="M1604" s="13" t="n"/>
      <c r="N1604" s="17">
        <f>IF($D1604="","",IF(ISNA(MATCH($D1604,项目名表,0)),"※项目不在项目台账里",IF($F1604="※材料类别没选","※材料类别没选",IF(AND($C1604&lt;&gt;"",ISNA(MATCH($C1604,供应商表,0))),"※供应商不在基础资料里",""))))</f>
        <v/>
      </c>
    </row>
    <row r="1605">
      <c r="A1605" s="17">
        <f>IF($D1605="","",ROW()-3)</f>
        <v/>
      </c>
      <c r="B1605" s="18" t="n"/>
      <c r="C1605" s="13" t="n"/>
      <c r="D1605" s="13" t="n"/>
      <c r="E1605" s="13" t="n"/>
      <c r="F1605" s="17">
        <f>IF($D1605="","",IFERROR(VLOOKUP($E1605,材料归属,2,0),"※材料类别没选"))</f>
        <v/>
      </c>
      <c r="G1605" s="13" t="n"/>
      <c r="H1605" s="13" t="n"/>
      <c r="I1605" s="13" t="n"/>
      <c r="J1605" s="20" t="n"/>
      <c r="K1605" s="14" t="n"/>
      <c r="L1605" s="19">
        <f>IF($D1605="","",ROUND(IF($J1605="",1,$J1605)*N($K1605),2))</f>
        <v/>
      </c>
      <c r="M1605" s="13" t="n"/>
      <c r="N1605" s="17">
        <f>IF($D1605="","",IF(ISNA(MATCH($D1605,项目名表,0)),"※项目不在项目台账里",IF($F1605="※材料类别没选","※材料类别没选",IF(AND($C1605&lt;&gt;"",ISNA(MATCH($C1605,供应商表,0))),"※供应商不在基础资料里",""))))</f>
        <v/>
      </c>
    </row>
    <row r="1606">
      <c r="A1606" s="17">
        <f>IF($D1606="","",ROW()-3)</f>
        <v/>
      </c>
      <c r="B1606" s="18" t="n"/>
      <c r="C1606" s="13" t="n"/>
      <c r="D1606" s="13" t="n"/>
      <c r="E1606" s="13" t="n"/>
      <c r="F1606" s="17">
        <f>IF($D1606="","",IFERROR(VLOOKUP($E1606,材料归属,2,0),"※材料类别没选"))</f>
        <v/>
      </c>
      <c r="G1606" s="13" t="n"/>
      <c r="H1606" s="13" t="n"/>
      <c r="I1606" s="13" t="n"/>
      <c r="J1606" s="20" t="n"/>
      <c r="K1606" s="14" t="n"/>
      <c r="L1606" s="19">
        <f>IF($D1606="","",ROUND(IF($J1606="",1,$J1606)*N($K1606),2))</f>
        <v/>
      </c>
      <c r="M1606" s="13" t="n"/>
      <c r="N1606" s="17">
        <f>IF($D1606="","",IF(ISNA(MATCH($D1606,项目名表,0)),"※项目不在项目台账里",IF($F1606="※材料类别没选","※材料类别没选",IF(AND($C1606&lt;&gt;"",ISNA(MATCH($C1606,供应商表,0))),"※供应商不在基础资料里",""))))</f>
        <v/>
      </c>
    </row>
    <row r="1607">
      <c r="A1607" s="17">
        <f>IF($D1607="","",ROW()-3)</f>
        <v/>
      </c>
      <c r="B1607" s="18" t="n"/>
      <c r="C1607" s="13" t="n"/>
      <c r="D1607" s="13" t="n"/>
      <c r="E1607" s="13" t="n"/>
      <c r="F1607" s="17">
        <f>IF($D1607="","",IFERROR(VLOOKUP($E1607,材料归属,2,0),"※材料类别没选"))</f>
        <v/>
      </c>
      <c r="G1607" s="13" t="n"/>
      <c r="H1607" s="13" t="n"/>
      <c r="I1607" s="13" t="n"/>
      <c r="J1607" s="20" t="n"/>
      <c r="K1607" s="14" t="n"/>
      <c r="L1607" s="19">
        <f>IF($D1607="","",ROUND(IF($J1607="",1,$J1607)*N($K1607),2))</f>
        <v/>
      </c>
      <c r="M1607" s="13" t="n"/>
      <c r="N1607" s="17">
        <f>IF($D1607="","",IF(ISNA(MATCH($D1607,项目名表,0)),"※项目不在项目台账里",IF($F1607="※材料类别没选","※材料类别没选",IF(AND($C1607&lt;&gt;"",ISNA(MATCH($C1607,供应商表,0))),"※供应商不在基础资料里",""))))</f>
        <v/>
      </c>
    </row>
    <row r="1608">
      <c r="A1608" s="17">
        <f>IF($D1608="","",ROW()-3)</f>
        <v/>
      </c>
      <c r="B1608" s="18" t="n"/>
      <c r="C1608" s="13" t="n"/>
      <c r="D1608" s="13" t="n"/>
      <c r="E1608" s="13" t="n"/>
      <c r="F1608" s="17">
        <f>IF($D1608="","",IFERROR(VLOOKUP($E1608,材料归属,2,0),"※材料类别没选"))</f>
        <v/>
      </c>
      <c r="G1608" s="13" t="n"/>
      <c r="H1608" s="13" t="n"/>
      <c r="I1608" s="13" t="n"/>
      <c r="J1608" s="20" t="n"/>
      <c r="K1608" s="14" t="n"/>
      <c r="L1608" s="19">
        <f>IF($D1608="","",ROUND(IF($J1608="",1,$J1608)*N($K1608),2))</f>
        <v/>
      </c>
      <c r="M1608" s="13" t="n"/>
      <c r="N1608" s="17">
        <f>IF($D1608="","",IF(ISNA(MATCH($D1608,项目名表,0)),"※项目不在项目台账里",IF($F1608="※材料类别没选","※材料类别没选",IF(AND($C1608&lt;&gt;"",ISNA(MATCH($C1608,供应商表,0))),"※供应商不在基础资料里",""))))</f>
        <v/>
      </c>
    </row>
    <row r="1609">
      <c r="A1609" s="17">
        <f>IF($D1609="","",ROW()-3)</f>
        <v/>
      </c>
      <c r="B1609" s="18" t="n"/>
      <c r="C1609" s="13" t="n"/>
      <c r="D1609" s="13" t="n"/>
      <c r="E1609" s="13" t="n"/>
      <c r="F1609" s="17">
        <f>IF($D1609="","",IFERROR(VLOOKUP($E1609,材料归属,2,0),"※材料类别没选"))</f>
        <v/>
      </c>
      <c r="G1609" s="13" t="n"/>
      <c r="H1609" s="13" t="n"/>
      <c r="I1609" s="13" t="n"/>
      <c r="J1609" s="20" t="n"/>
      <c r="K1609" s="14" t="n"/>
      <c r="L1609" s="19">
        <f>IF($D1609="","",ROUND(IF($J1609="",1,$J1609)*N($K1609),2))</f>
        <v/>
      </c>
      <c r="M1609" s="13" t="n"/>
      <c r="N1609" s="17">
        <f>IF($D1609="","",IF(ISNA(MATCH($D1609,项目名表,0)),"※项目不在项目台账里",IF($F1609="※材料类别没选","※材料类别没选",IF(AND($C1609&lt;&gt;"",ISNA(MATCH($C1609,供应商表,0))),"※供应商不在基础资料里",""))))</f>
        <v/>
      </c>
    </row>
    <row r="1610">
      <c r="A1610" s="17">
        <f>IF($D1610="","",ROW()-3)</f>
        <v/>
      </c>
      <c r="B1610" s="18" t="n"/>
      <c r="C1610" s="13" t="n"/>
      <c r="D1610" s="13" t="n"/>
      <c r="E1610" s="13" t="n"/>
      <c r="F1610" s="17">
        <f>IF($D1610="","",IFERROR(VLOOKUP($E1610,材料归属,2,0),"※材料类别没选"))</f>
        <v/>
      </c>
      <c r="G1610" s="13" t="n"/>
      <c r="H1610" s="13" t="n"/>
      <c r="I1610" s="13" t="n"/>
      <c r="J1610" s="20" t="n"/>
      <c r="K1610" s="14" t="n"/>
      <c r="L1610" s="19">
        <f>IF($D1610="","",ROUND(IF($J1610="",1,$J1610)*N($K1610),2))</f>
        <v/>
      </c>
      <c r="M1610" s="13" t="n"/>
      <c r="N1610" s="17">
        <f>IF($D1610="","",IF(ISNA(MATCH($D1610,项目名表,0)),"※项目不在项目台账里",IF($F1610="※材料类别没选","※材料类别没选",IF(AND($C1610&lt;&gt;"",ISNA(MATCH($C1610,供应商表,0))),"※供应商不在基础资料里",""))))</f>
        <v/>
      </c>
    </row>
    <row r="1611">
      <c r="A1611" s="17">
        <f>IF($D1611="","",ROW()-3)</f>
        <v/>
      </c>
      <c r="B1611" s="18" t="n"/>
      <c r="C1611" s="13" t="n"/>
      <c r="D1611" s="13" t="n"/>
      <c r="E1611" s="13" t="n"/>
      <c r="F1611" s="17">
        <f>IF($D1611="","",IFERROR(VLOOKUP($E1611,材料归属,2,0),"※材料类别没选"))</f>
        <v/>
      </c>
      <c r="G1611" s="13" t="n"/>
      <c r="H1611" s="13" t="n"/>
      <c r="I1611" s="13" t="n"/>
      <c r="J1611" s="20" t="n"/>
      <c r="K1611" s="14" t="n"/>
      <c r="L1611" s="19">
        <f>IF($D1611="","",ROUND(IF($J1611="",1,$J1611)*N($K1611),2))</f>
        <v/>
      </c>
      <c r="M1611" s="13" t="n"/>
      <c r="N1611" s="17">
        <f>IF($D1611="","",IF(ISNA(MATCH($D1611,项目名表,0)),"※项目不在项目台账里",IF($F1611="※材料类别没选","※材料类别没选",IF(AND($C1611&lt;&gt;"",ISNA(MATCH($C1611,供应商表,0))),"※供应商不在基础资料里",""))))</f>
        <v/>
      </c>
    </row>
    <row r="1612">
      <c r="A1612" s="17">
        <f>IF($D1612="","",ROW()-3)</f>
        <v/>
      </c>
      <c r="B1612" s="18" t="n"/>
      <c r="C1612" s="13" t="n"/>
      <c r="D1612" s="13" t="n"/>
      <c r="E1612" s="13" t="n"/>
      <c r="F1612" s="17">
        <f>IF($D1612="","",IFERROR(VLOOKUP($E1612,材料归属,2,0),"※材料类别没选"))</f>
        <v/>
      </c>
      <c r="G1612" s="13" t="n"/>
      <c r="H1612" s="13" t="n"/>
      <c r="I1612" s="13" t="n"/>
      <c r="J1612" s="20" t="n"/>
      <c r="K1612" s="14" t="n"/>
      <c r="L1612" s="19">
        <f>IF($D1612="","",ROUND(IF($J1612="",1,$J1612)*N($K1612),2))</f>
        <v/>
      </c>
      <c r="M1612" s="13" t="n"/>
      <c r="N1612" s="17">
        <f>IF($D1612="","",IF(ISNA(MATCH($D1612,项目名表,0)),"※项目不在项目台账里",IF($F1612="※材料类别没选","※材料类别没选",IF(AND($C1612&lt;&gt;"",ISNA(MATCH($C1612,供应商表,0))),"※供应商不在基础资料里",""))))</f>
        <v/>
      </c>
    </row>
    <row r="1613">
      <c r="A1613" s="17">
        <f>IF($D1613="","",ROW()-3)</f>
        <v/>
      </c>
      <c r="B1613" s="18" t="n"/>
      <c r="C1613" s="13" t="n"/>
      <c r="D1613" s="13" t="n"/>
      <c r="E1613" s="13" t="n"/>
      <c r="F1613" s="17">
        <f>IF($D1613="","",IFERROR(VLOOKUP($E1613,材料归属,2,0),"※材料类别没选"))</f>
        <v/>
      </c>
      <c r="G1613" s="13" t="n"/>
      <c r="H1613" s="13" t="n"/>
      <c r="I1613" s="13" t="n"/>
      <c r="J1613" s="20" t="n"/>
      <c r="K1613" s="14" t="n"/>
      <c r="L1613" s="19">
        <f>IF($D1613="","",ROUND(IF($J1613="",1,$J1613)*N($K1613),2))</f>
        <v/>
      </c>
      <c r="M1613" s="13" t="n"/>
      <c r="N1613" s="17">
        <f>IF($D1613="","",IF(ISNA(MATCH($D1613,项目名表,0)),"※项目不在项目台账里",IF($F1613="※材料类别没选","※材料类别没选",IF(AND($C1613&lt;&gt;"",ISNA(MATCH($C1613,供应商表,0))),"※供应商不在基础资料里",""))))</f>
        <v/>
      </c>
    </row>
    <row r="1614">
      <c r="A1614" s="17">
        <f>IF($D1614="","",ROW()-3)</f>
        <v/>
      </c>
      <c r="B1614" s="18" t="n"/>
      <c r="C1614" s="13" t="n"/>
      <c r="D1614" s="13" t="n"/>
      <c r="E1614" s="13" t="n"/>
      <c r="F1614" s="17">
        <f>IF($D1614="","",IFERROR(VLOOKUP($E1614,材料归属,2,0),"※材料类别没选"))</f>
        <v/>
      </c>
      <c r="G1614" s="13" t="n"/>
      <c r="H1614" s="13" t="n"/>
      <c r="I1614" s="13" t="n"/>
      <c r="J1614" s="20" t="n"/>
      <c r="K1614" s="14" t="n"/>
      <c r="L1614" s="19">
        <f>IF($D1614="","",ROUND(IF($J1614="",1,$J1614)*N($K1614),2))</f>
        <v/>
      </c>
      <c r="M1614" s="13" t="n"/>
      <c r="N1614" s="17">
        <f>IF($D1614="","",IF(ISNA(MATCH($D1614,项目名表,0)),"※项目不在项目台账里",IF($F1614="※材料类别没选","※材料类别没选",IF(AND($C1614&lt;&gt;"",ISNA(MATCH($C1614,供应商表,0))),"※供应商不在基础资料里",""))))</f>
        <v/>
      </c>
    </row>
    <row r="1615">
      <c r="A1615" s="17">
        <f>IF($D1615="","",ROW()-3)</f>
        <v/>
      </c>
      <c r="B1615" s="18" t="n"/>
      <c r="C1615" s="13" t="n"/>
      <c r="D1615" s="13" t="n"/>
      <c r="E1615" s="13" t="n"/>
      <c r="F1615" s="17">
        <f>IF($D1615="","",IFERROR(VLOOKUP($E1615,材料归属,2,0),"※材料类别没选"))</f>
        <v/>
      </c>
      <c r="G1615" s="13" t="n"/>
      <c r="H1615" s="13" t="n"/>
      <c r="I1615" s="13" t="n"/>
      <c r="J1615" s="20" t="n"/>
      <c r="K1615" s="14" t="n"/>
      <c r="L1615" s="19">
        <f>IF($D1615="","",ROUND(IF($J1615="",1,$J1615)*N($K1615),2))</f>
        <v/>
      </c>
      <c r="M1615" s="13" t="n"/>
      <c r="N1615" s="17">
        <f>IF($D1615="","",IF(ISNA(MATCH($D1615,项目名表,0)),"※项目不在项目台账里",IF($F1615="※材料类别没选","※材料类别没选",IF(AND($C1615&lt;&gt;"",ISNA(MATCH($C1615,供应商表,0))),"※供应商不在基础资料里",""))))</f>
        <v/>
      </c>
    </row>
    <row r="1616">
      <c r="A1616" s="17">
        <f>IF($D1616="","",ROW()-3)</f>
        <v/>
      </c>
      <c r="B1616" s="18" t="n"/>
      <c r="C1616" s="13" t="n"/>
      <c r="D1616" s="13" t="n"/>
      <c r="E1616" s="13" t="n"/>
      <c r="F1616" s="17">
        <f>IF($D1616="","",IFERROR(VLOOKUP($E1616,材料归属,2,0),"※材料类别没选"))</f>
        <v/>
      </c>
      <c r="G1616" s="13" t="n"/>
      <c r="H1616" s="13" t="n"/>
      <c r="I1616" s="13" t="n"/>
      <c r="J1616" s="20" t="n"/>
      <c r="K1616" s="14" t="n"/>
      <c r="L1616" s="19">
        <f>IF($D1616="","",ROUND(IF($J1616="",1,$J1616)*N($K1616),2))</f>
        <v/>
      </c>
      <c r="M1616" s="13" t="n"/>
      <c r="N1616" s="17">
        <f>IF($D1616="","",IF(ISNA(MATCH($D1616,项目名表,0)),"※项目不在项目台账里",IF($F1616="※材料类别没选","※材料类别没选",IF(AND($C1616&lt;&gt;"",ISNA(MATCH($C1616,供应商表,0))),"※供应商不在基础资料里",""))))</f>
        <v/>
      </c>
    </row>
    <row r="1617">
      <c r="A1617" s="17">
        <f>IF($D1617="","",ROW()-3)</f>
        <v/>
      </c>
      <c r="B1617" s="18" t="n"/>
      <c r="C1617" s="13" t="n"/>
      <c r="D1617" s="13" t="n"/>
      <c r="E1617" s="13" t="n"/>
      <c r="F1617" s="17">
        <f>IF($D1617="","",IFERROR(VLOOKUP($E1617,材料归属,2,0),"※材料类别没选"))</f>
        <v/>
      </c>
      <c r="G1617" s="13" t="n"/>
      <c r="H1617" s="13" t="n"/>
      <c r="I1617" s="13" t="n"/>
      <c r="J1617" s="20" t="n"/>
      <c r="K1617" s="14" t="n"/>
      <c r="L1617" s="19">
        <f>IF($D1617="","",ROUND(IF($J1617="",1,$J1617)*N($K1617),2))</f>
        <v/>
      </c>
      <c r="M1617" s="13" t="n"/>
      <c r="N1617" s="17">
        <f>IF($D1617="","",IF(ISNA(MATCH($D1617,项目名表,0)),"※项目不在项目台账里",IF($F1617="※材料类别没选","※材料类别没选",IF(AND($C1617&lt;&gt;"",ISNA(MATCH($C1617,供应商表,0))),"※供应商不在基础资料里",""))))</f>
        <v/>
      </c>
    </row>
    <row r="1618">
      <c r="A1618" s="17">
        <f>IF($D1618="","",ROW()-3)</f>
        <v/>
      </c>
      <c r="B1618" s="18" t="n"/>
      <c r="C1618" s="13" t="n"/>
      <c r="D1618" s="13" t="n"/>
      <c r="E1618" s="13" t="n"/>
      <c r="F1618" s="17">
        <f>IF($D1618="","",IFERROR(VLOOKUP($E1618,材料归属,2,0),"※材料类别没选"))</f>
        <v/>
      </c>
      <c r="G1618" s="13" t="n"/>
      <c r="H1618" s="13" t="n"/>
      <c r="I1618" s="13" t="n"/>
      <c r="J1618" s="20" t="n"/>
      <c r="K1618" s="14" t="n"/>
      <c r="L1618" s="19">
        <f>IF($D1618="","",ROUND(IF($J1618="",1,$J1618)*N($K1618),2))</f>
        <v/>
      </c>
      <c r="M1618" s="13" t="n"/>
      <c r="N1618" s="17">
        <f>IF($D1618="","",IF(ISNA(MATCH($D1618,项目名表,0)),"※项目不在项目台账里",IF($F1618="※材料类别没选","※材料类别没选",IF(AND($C1618&lt;&gt;"",ISNA(MATCH($C1618,供应商表,0))),"※供应商不在基础资料里",""))))</f>
        <v/>
      </c>
    </row>
    <row r="1619">
      <c r="A1619" s="17">
        <f>IF($D1619="","",ROW()-3)</f>
        <v/>
      </c>
      <c r="B1619" s="18" t="n"/>
      <c r="C1619" s="13" t="n"/>
      <c r="D1619" s="13" t="n"/>
      <c r="E1619" s="13" t="n"/>
      <c r="F1619" s="17">
        <f>IF($D1619="","",IFERROR(VLOOKUP($E1619,材料归属,2,0),"※材料类别没选"))</f>
        <v/>
      </c>
      <c r="G1619" s="13" t="n"/>
      <c r="H1619" s="13" t="n"/>
      <c r="I1619" s="13" t="n"/>
      <c r="J1619" s="20" t="n"/>
      <c r="K1619" s="14" t="n"/>
      <c r="L1619" s="19">
        <f>IF($D1619="","",ROUND(IF($J1619="",1,$J1619)*N($K1619),2))</f>
        <v/>
      </c>
      <c r="M1619" s="13" t="n"/>
      <c r="N1619" s="17">
        <f>IF($D1619="","",IF(ISNA(MATCH($D1619,项目名表,0)),"※项目不在项目台账里",IF($F1619="※材料类别没选","※材料类别没选",IF(AND($C1619&lt;&gt;"",ISNA(MATCH($C1619,供应商表,0))),"※供应商不在基础资料里",""))))</f>
        <v/>
      </c>
    </row>
    <row r="1620">
      <c r="A1620" s="17">
        <f>IF($D1620="","",ROW()-3)</f>
        <v/>
      </c>
      <c r="B1620" s="18" t="n"/>
      <c r="C1620" s="13" t="n"/>
      <c r="D1620" s="13" t="n"/>
      <c r="E1620" s="13" t="n"/>
      <c r="F1620" s="17">
        <f>IF($D1620="","",IFERROR(VLOOKUP($E1620,材料归属,2,0),"※材料类别没选"))</f>
        <v/>
      </c>
      <c r="G1620" s="13" t="n"/>
      <c r="H1620" s="13" t="n"/>
      <c r="I1620" s="13" t="n"/>
      <c r="J1620" s="20" t="n"/>
      <c r="K1620" s="14" t="n"/>
      <c r="L1620" s="19">
        <f>IF($D1620="","",ROUND(IF($J1620="",1,$J1620)*N($K1620),2))</f>
        <v/>
      </c>
      <c r="M1620" s="13" t="n"/>
      <c r="N1620" s="17">
        <f>IF($D1620="","",IF(ISNA(MATCH($D1620,项目名表,0)),"※项目不在项目台账里",IF($F1620="※材料类别没选","※材料类别没选",IF(AND($C1620&lt;&gt;"",ISNA(MATCH($C1620,供应商表,0))),"※供应商不在基础资料里",""))))</f>
        <v/>
      </c>
    </row>
    <row r="1621">
      <c r="A1621" s="17">
        <f>IF($D1621="","",ROW()-3)</f>
        <v/>
      </c>
      <c r="B1621" s="18" t="n"/>
      <c r="C1621" s="13" t="n"/>
      <c r="D1621" s="13" t="n"/>
      <c r="E1621" s="13" t="n"/>
      <c r="F1621" s="17">
        <f>IF($D1621="","",IFERROR(VLOOKUP($E1621,材料归属,2,0),"※材料类别没选"))</f>
        <v/>
      </c>
      <c r="G1621" s="13" t="n"/>
      <c r="H1621" s="13" t="n"/>
      <c r="I1621" s="13" t="n"/>
      <c r="J1621" s="20" t="n"/>
      <c r="K1621" s="14" t="n"/>
      <c r="L1621" s="19">
        <f>IF($D1621="","",ROUND(IF($J1621="",1,$J1621)*N($K1621),2))</f>
        <v/>
      </c>
      <c r="M1621" s="13" t="n"/>
      <c r="N1621" s="17">
        <f>IF($D1621="","",IF(ISNA(MATCH($D1621,项目名表,0)),"※项目不在项目台账里",IF($F1621="※材料类别没选","※材料类别没选",IF(AND($C1621&lt;&gt;"",ISNA(MATCH($C1621,供应商表,0))),"※供应商不在基础资料里",""))))</f>
        <v/>
      </c>
    </row>
    <row r="1622">
      <c r="A1622" s="17">
        <f>IF($D1622="","",ROW()-3)</f>
        <v/>
      </c>
      <c r="B1622" s="18" t="n"/>
      <c r="C1622" s="13" t="n"/>
      <c r="D1622" s="13" t="n"/>
      <c r="E1622" s="13" t="n"/>
      <c r="F1622" s="17">
        <f>IF($D1622="","",IFERROR(VLOOKUP($E1622,材料归属,2,0),"※材料类别没选"))</f>
        <v/>
      </c>
      <c r="G1622" s="13" t="n"/>
      <c r="H1622" s="13" t="n"/>
      <c r="I1622" s="13" t="n"/>
      <c r="J1622" s="20" t="n"/>
      <c r="K1622" s="14" t="n"/>
      <c r="L1622" s="19">
        <f>IF($D1622="","",ROUND(IF($J1622="",1,$J1622)*N($K1622),2))</f>
        <v/>
      </c>
      <c r="M1622" s="13" t="n"/>
      <c r="N1622" s="17">
        <f>IF($D1622="","",IF(ISNA(MATCH($D1622,项目名表,0)),"※项目不在项目台账里",IF($F1622="※材料类别没选","※材料类别没选",IF(AND($C1622&lt;&gt;"",ISNA(MATCH($C1622,供应商表,0))),"※供应商不在基础资料里",""))))</f>
        <v/>
      </c>
    </row>
    <row r="1623">
      <c r="A1623" s="17">
        <f>IF($D1623="","",ROW()-3)</f>
        <v/>
      </c>
      <c r="B1623" s="18" t="n"/>
      <c r="C1623" s="13" t="n"/>
      <c r="D1623" s="13" t="n"/>
      <c r="E1623" s="13" t="n"/>
      <c r="F1623" s="17">
        <f>IF($D1623="","",IFERROR(VLOOKUP($E1623,材料归属,2,0),"※材料类别没选"))</f>
        <v/>
      </c>
      <c r="G1623" s="13" t="n"/>
      <c r="H1623" s="13" t="n"/>
      <c r="I1623" s="13" t="n"/>
      <c r="J1623" s="20" t="n"/>
      <c r="K1623" s="14" t="n"/>
      <c r="L1623" s="19">
        <f>IF($D1623="","",ROUND(IF($J1623="",1,$J1623)*N($K1623),2))</f>
        <v/>
      </c>
      <c r="M1623" s="13" t="n"/>
      <c r="N1623" s="17">
        <f>IF($D1623="","",IF(ISNA(MATCH($D1623,项目名表,0)),"※项目不在项目台账里",IF($F1623="※材料类别没选","※材料类别没选",IF(AND($C1623&lt;&gt;"",ISNA(MATCH($C1623,供应商表,0))),"※供应商不在基础资料里",""))))</f>
        <v/>
      </c>
    </row>
    <row r="1624">
      <c r="A1624" s="17">
        <f>IF($D1624="","",ROW()-3)</f>
        <v/>
      </c>
      <c r="B1624" s="18" t="n"/>
      <c r="C1624" s="13" t="n"/>
      <c r="D1624" s="13" t="n"/>
      <c r="E1624" s="13" t="n"/>
      <c r="F1624" s="17">
        <f>IF($D1624="","",IFERROR(VLOOKUP($E1624,材料归属,2,0),"※材料类别没选"))</f>
        <v/>
      </c>
      <c r="G1624" s="13" t="n"/>
      <c r="H1624" s="13" t="n"/>
      <c r="I1624" s="13" t="n"/>
      <c r="J1624" s="20" t="n"/>
      <c r="K1624" s="14" t="n"/>
      <c r="L1624" s="19">
        <f>IF($D1624="","",ROUND(IF($J1624="",1,$J1624)*N($K1624),2))</f>
        <v/>
      </c>
      <c r="M1624" s="13" t="n"/>
      <c r="N1624" s="17">
        <f>IF($D1624="","",IF(ISNA(MATCH($D1624,项目名表,0)),"※项目不在项目台账里",IF($F1624="※材料类别没选","※材料类别没选",IF(AND($C1624&lt;&gt;"",ISNA(MATCH($C1624,供应商表,0))),"※供应商不在基础资料里",""))))</f>
        <v/>
      </c>
    </row>
    <row r="1625">
      <c r="A1625" s="17">
        <f>IF($D1625="","",ROW()-3)</f>
        <v/>
      </c>
      <c r="B1625" s="18" t="n"/>
      <c r="C1625" s="13" t="n"/>
      <c r="D1625" s="13" t="n"/>
      <c r="E1625" s="13" t="n"/>
      <c r="F1625" s="17">
        <f>IF($D1625="","",IFERROR(VLOOKUP($E1625,材料归属,2,0),"※材料类别没选"))</f>
        <v/>
      </c>
      <c r="G1625" s="13" t="n"/>
      <c r="H1625" s="13" t="n"/>
      <c r="I1625" s="13" t="n"/>
      <c r="J1625" s="20" t="n"/>
      <c r="K1625" s="14" t="n"/>
      <c r="L1625" s="19">
        <f>IF($D1625="","",ROUND(IF($J1625="",1,$J1625)*N($K1625),2))</f>
        <v/>
      </c>
      <c r="M1625" s="13" t="n"/>
      <c r="N1625" s="17">
        <f>IF($D1625="","",IF(ISNA(MATCH($D1625,项目名表,0)),"※项目不在项目台账里",IF($F1625="※材料类别没选","※材料类别没选",IF(AND($C1625&lt;&gt;"",ISNA(MATCH($C1625,供应商表,0))),"※供应商不在基础资料里",""))))</f>
        <v/>
      </c>
    </row>
    <row r="1626">
      <c r="A1626" s="17">
        <f>IF($D1626="","",ROW()-3)</f>
        <v/>
      </c>
      <c r="B1626" s="18" t="n"/>
      <c r="C1626" s="13" t="n"/>
      <c r="D1626" s="13" t="n"/>
      <c r="E1626" s="13" t="n"/>
      <c r="F1626" s="17">
        <f>IF($D1626="","",IFERROR(VLOOKUP($E1626,材料归属,2,0),"※材料类别没选"))</f>
        <v/>
      </c>
      <c r="G1626" s="13" t="n"/>
      <c r="H1626" s="13" t="n"/>
      <c r="I1626" s="13" t="n"/>
      <c r="J1626" s="20" t="n"/>
      <c r="K1626" s="14" t="n"/>
      <c r="L1626" s="19">
        <f>IF($D1626="","",ROUND(IF($J1626="",1,$J1626)*N($K1626),2))</f>
        <v/>
      </c>
      <c r="M1626" s="13" t="n"/>
      <c r="N1626" s="17">
        <f>IF($D1626="","",IF(ISNA(MATCH($D1626,项目名表,0)),"※项目不在项目台账里",IF($F1626="※材料类别没选","※材料类别没选",IF(AND($C1626&lt;&gt;"",ISNA(MATCH($C1626,供应商表,0))),"※供应商不在基础资料里",""))))</f>
        <v/>
      </c>
    </row>
    <row r="1627">
      <c r="A1627" s="17">
        <f>IF($D1627="","",ROW()-3)</f>
        <v/>
      </c>
      <c r="B1627" s="18" t="n"/>
      <c r="C1627" s="13" t="n"/>
      <c r="D1627" s="13" t="n"/>
      <c r="E1627" s="13" t="n"/>
      <c r="F1627" s="17">
        <f>IF($D1627="","",IFERROR(VLOOKUP($E1627,材料归属,2,0),"※材料类别没选"))</f>
        <v/>
      </c>
      <c r="G1627" s="13" t="n"/>
      <c r="H1627" s="13" t="n"/>
      <c r="I1627" s="13" t="n"/>
      <c r="J1627" s="20" t="n"/>
      <c r="K1627" s="14" t="n"/>
      <c r="L1627" s="19">
        <f>IF($D1627="","",ROUND(IF($J1627="",1,$J1627)*N($K1627),2))</f>
        <v/>
      </c>
      <c r="M1627" s="13" t="n"/>
      <c r="N1627" s="17">
        <f>IF($D1627="","",IF(ISNA(MATCH($D1627,项目名表,0)),"※项目不在项目台账里",IF($F1627="※材料类别没选","※材料类别没选",IF(AND($C1627&lt;&gt;"",ISNA(MATCH($C1627,供应商表,0))),"※供应商不在基础资料里",""))))</f>
        <v/>
      </c>
    </row>
    <row r="1628">
      <c r="A1628" s="17">
        <f>IF($D1628="","",ROW()-3)</f>
        <v/>
      </c>
      <c r="B1628" s="18" t="n"/>
      <c r="C1628" s="13" t="n"/>
      <c r="D1628" s="13" t="n"/>
      <c r="E1628" s="13" t="n"/>
      <c r="F1628" s="17">
        <f>IF($D1628="","",IFERROR(VLOOKUP($E1628,材料归属,2,0),"※材料类别没选"))</f>
        <v/>
      </c>
      <c r="G1628" s="13" t="n"/>
      <c r="H1628" s="13" t="n"/>
      <c r="I1628" s="13" t="n"/>
      <c r="J1628" s="20" t="n"/>
      <c r="K1628" s="14" t="n"/>
      <c r="L1628" s="19">
        <f>IF($D1628="","",ROUND(IF($J1628="",1,$J1628)*N($K1628),2))</f>
        <v/>
      </c>
      <c r="M1628" s="13" t="n"/>
      <c r="N1628" s="17">
        <f>IF($D1628="","",IF(ISNA(MATCH($D1628,项目名表,0)),"※项目不在项目台账里",IF($F1628="※材料类别没选","※材料类别没选",IF(AND($C1628&lt;&gt;"",ISNA(MATCH($C1628,供应商表,0))),"※供应商不在基础资料里",""))))</f>
        <v/>
      </c>
    </row>
    <row r="1629">
      <c r="A1629" s="17">
        <f>IF($D1629="","",ROW()-3)</f>
        <v/>
      </c>
      <c r="B1629" s="18" t="n"/>
      <c r="C1629" s="13" t="n"/>
      <c r="D1629" s="13" t="n"/>
      <c r="E1629" s="13" t="n"/>
      <c r="F1629" s="17">
        <f>IF($D1629="","",IFERROR(VLOOKUP($E1629,材料归属,2,0),"※材料类别没选"))</f>
        <v/>
      </c>
      <c r="G1629" s="13" t="n"/>
      <c r="H1629" s="13" t="n"/>
      <c r="I1629" s="13" t="n"/>
      <c r="J1629" s="20" t="n"/>
      <c r="K1629" s="14" t="n"/>
      <c r="L1629" s="19">
        <f>IF($D1629="","",ROUND(IF($J1629="",1,$J1629)*N($K1629),2))</f>
        <v/>
      </c>
      <c r="M1629" s="13" t="n"/>
      <c r="N1629" s="17">
        <f>IF($D1629="","",IF(ISNA(MATCH($D1629,项目名表,0)),"※项目不在项目台账里",IF($F1629="※材料类别没选","※材料类别没选",IF(AND($C1629&lt;&gt;"",ISNA(MATCH($C1629,供应商表,0))),"※供应商不在基础资料里",""))))</f>
        <v/>
      </c>
    </row>
    <row r="1630">
      <c r="A1630" s="17">
        <f>IF($D1630="","",ROW()-3)</f>
        <v/>
      </c>
      <c r="B1630" s="18" t="n"/>
      <c r="C1630" s="13" t="n"/>
      <c r="D1630" s="13" t="n"/>
      <c r="E1630" s="13" t="n"/>
      <c r="F1630" s="17">
        <f>IF($D1630="","",IFERROR(VLOOKUP($E1630,材料归属,2,0),"※材料类别没选"))</f>
        <v/>
      </c>
      <c r="G1630" s="13" t="n"/>
      <c r="H1630" s="13" t="n"/>
      <c r="I1630" s="13" t="n"/>
      <c r="J1630" s="20" t="n"/>
      <c r="K1630" s="14" t="n"/>
      <c r="L1630" s="19">
        <f>IF($D1630="","",ROUND(IF($J1630="",1,$J1630)*N($K1630),2))</f>
        <v/>
      </c>
      <c r="M1630" s="13" t="n"/>
      <c r="N1630" s="17">
        <f>IF($D1630="","",IF(ISNA(MATCH($D1630,项目名表,0)),"※项目不在项目台账里",IF($F1630="※材料类别没选","※材料类别没选",IF(AND($C1630&lt;&gt;"",ISNA(MATCH($C1630,供应商表,0))),"※供应商不在基础资料里",""))))</f>
        <v/>
      </c>
    </row>
    <row r="1631">
      <c r="A1631" s="17">
        <f>IF($D1631="","",ROW()-3)</f>
        <v/>
      </c>
      <c r="B1631" s="18" t="n"/>
      <c r="C1631" s="13" t="n"/>
      <c r="D1631" s="13" t="n"/>
      <c r="E1631" s="13" t="n"/>
      <c r="F1631" s="17">
        <f>IF($D1631="","",IFERROR(VLOOKUP($E1631,材料归属,2,0),"※材料类别没选"))</f>
        <v/>
      </c>
      <c r="G1631" s="13" t="n"/>
      <c r="H1631" s="13" t="n"/>
      <c r="I1631" s="13" t="n"/>
      <c r="J1631" s="20" t="n"/>
      <c r="K1631" s="14" t="n"/>
      <c r="L1631" s="19">
        <f>IF($D1631="","",ROUND(IF($J1631="",1,$J1631)*N($K1631),2))</f>
        <v/>
      </c>
      <c r="M1631" s="13" t="n"/>
      <c r="N1631" s="17">
        <f>IF($D1631="","",IF(ISNA(MATCH($D1631,项目名表,0)),"※项目不在项目台账里",IF($F1631="※材料类别没选","※材料类别没选",IF(AND($C1631&lt;&gt;"",ISNA(MATCH($C1631,供应商表,0))),"※供应商不在基础资料里",""))))</f>
        <v/>
      </c>
    </row>
    <row r="1632">
      <c r="A1632" s="17">
        <f>IF($D1632="","",ROW()-3)</f>
        <v/>
      </c>
      <c r="B1632" s="18" t="n"/>
      <c r="C1632" s="13" t="n"/>
      <c r="D1632" s="13" t="n"/>
      <c r="E1632" s="13" t="n"/>
      <c r="F1632" s="17">
        <f>IF($D1632="","",IFERROR(VLOOKUP($E1632,材料归属,2,0),"※材料类别没选"))</f>
        <v/>
      </c>
      <c r="G1632" s="13" t="n"/>
      <c r="H1632" s="13" t="n"/>
      <c r="I1632" s="13" t="n"/>
      <c r="J1632" s="20" t="n"/>
      <c r="K1632" s="14" t="n"/>
      <c r="L1632" s="19">
        <f>IF($D1632="","",ROUND(IF($J1632="",1,$J1632)*N($K1632),2))</f>
        <v/>
      </c>
      <c r="M1632" s="13" t="n"/>
      <c r="N1632" s="17">
        <f>IF($D1632="","",IF(ISNA(MATCH($D1632,项目名表,0)),"※项目不在项目台账里",IF($F1632="※材料类别没选","※材料类别没选",IF(AND($C1632&lt;&gt;"",ISNA(MATCH($C1632,供应商表,0))),"※供应商不在基础资料里",""))))</f>
        <v/>
      </c>
    </row>
    <row r="1633">
      <c r="A1633" s="17">
        <f>IF($D1633="","",ROW()-3)</f>
        <v/>
      </c>
      <c r="B1633" s="18" t="n"/>
      <c r="C1633" s="13" t="n"/>
      <c r="D1633" s="13" t="n"/>
      <c r="E1633" s="13" t="n"/>
      <c r="F1633" s="17">
        <f>IF($D1633="","",IFERROR(VLOOKUP($E1633,材料归属,2,0),"※材料类别没选"))</f>
        <v/>
      </c>
      <c r="G1633" s="13" t="n"/>
      <c r="H1633" s="13" t="n"/>
      <c r="I1633" s="13" t="n"/>
      <c r="J1633" s="20" t="n"/>
      <c r="K1633" s="14" t="n"/>
      <c r="L1633" s="19">
        <f>IF($D1633="","",ROUND(IF($J1633="",1,$J1633)*N($K1633),2))</f>
        <v/>
      </c>
      <c r="M1633" s="13" t="n"/>
      <c r="N1633" s="17">
        <f>IF($D1633="","",IF(ISNA(MATCH($D1633,项目名表,0)),"※项目不在项目台账里",IF($F1633="※材料类别没选","※材料类别没选",IF(AND($C1633&lt;&gt;"",ISNA(MATCH($C1633,供应商表,0))),"※供应商不在基础资料里",""))))</f>
        <v/>
      </c>
    </row>
    <row r="1634">
      <c r="A1634" s="17">
        <f>IF($D1634="","",ROW()-3)</f>
        <v/>
      </c>
      <c r="B1634" s="18" t="n"/>
      <c r="C1634" s="13" t="n"/>
      <c r="D1634" s="13" t="n"/>
      <c r="E1634" s="13" t="n"/>
      <c r="F1634" s="17">
        <f>IF($D1634="","",IFERROR(VLOOKUP($E1634,材料归属,2,0),"※材料类别没选"))</f>
        <v/>
      </c>
      <c r="G1634" s="13" t="n"/>
      <c r="H1634" s="13" t="n"/>
      <c r="I1634" s="13" t="n"/>
      <c r="J1634" s="20" t="n"/>
      <c r="K1634" s="14" t="n"/>
      <c r="L1634" s="19">
        <f>IF($D1634="","",ROUND(IF($J1634="",1,$J1634)*N($K1634),2))</f>
        <v/>
      </c>
      <c r="M1634" s="13" t="n"/>
      <c r="N1634" s="17">
        <f>IF($D1634="","",IF(ISNA(MATCH($D1634,项目名表,0)),"※项目不在项目台账里",IF($F1634="※材料类别没选","※材料类别没选",IF(AND($C1634&lt;&gt;"",ISNA(MATCH($C1634,供应商表,0))),"※供应商不在基础资料里",""))))</f>
        <v/>
      </c>
    </row>
    <row r="1635">
      <c r="A1635" s="17">
        <f>IF($D1635="","",ROW()-3)</f>
        <v/>
      </c>
      <c r="B1635" s="18" t="n"/>
      <c r="C1635" s="13" t="n"/>
      <c r="D1635" s="13" t="n"/>
      <c r="E1635" s="13" t="n"/>
      <c r="F1635" s="17">
        <f>IF($D1635="","",IFERROR(VLOOKUP($E1635,材料归属,2,0),"※材料类别没选"))</f>
        <v/>
      </c>
      <c r="G1635" s="13" t="n"/>
      <c r="H1635" s="13" t="n"/>
      <c r="I1635" s="13" t="n"/>
      <c r="J1635" s="20" t="n"/>
      <c r="K1635" s="14" t="n"/>
      <c r="L1635" s="19">
        <f>IF($D1635="","",ROUND(IF($J1635="",1,$J1635)*N($K1635),2))</f>
        <v/>
      </c>
      <c r="M1635" s="13" t="n"/>
      <c r="N1635" s="17">
        <f>IF($D1635="","",IF(ISNA(MATCH($D1635,项目名表,0)),"※项目不在项目台账里",IF($F1635="※材料类别没选","※材料类别没选",IF(AND($C1635&lt;&gt;"",ISNA(MATCH($C1635,供应商表,0))),"※供应商不在基础资料里",""))))</f>
        <v/>
      </c>
    </row>
    <row r="1636">
      <c r="A1636" s="17">
        <f>IF($D1636="","",ROW()-3)</f>
        <v/>
      </c>
      <c r="B1636" s="18" t="n"/>
      <c r="C1636" s="13" t="n"/>
      <c r="D1636" s="13" t="n"/>
      <c r="E1636" s="13" t="n"/>
      <c r="F1636" s="17">
        <f>IF($D1636="","",IFERROR(VLOOKUP($E1636,材料归属,2,0),"※材料类别没选"))</f>
        <v/>
      </c>
      <c r="G1636" s="13" t="n"/>
      <c r="H1636" s="13" t="n"/>
      <c r="I1636" s="13" t="n"/>
      <c r="J1636" s="20" t="n"/>
      <c r="K1636" s="14" t="n"/>
      <c r="L1636" s="19">
        <f>IF($D1636="","",ROUND(IF($J1636="",1,$J1636)*N($K1636),2))</f>
        <v/>
      </c>
      <c r="M1636" s="13" t="n"/>
      <c r="N1636" s="17">
        <f>IF($D1636="","",IF(ISNA(MATCH($D1636,项目名表,0)),"※项目不在项目台账里",IF($F1636="※材料类别没选","※材料类别没选",IF(AND($C1636&lt;&gt;"",ISNA(MATCH($C1636,供应商表,0))),"※供应商不在基础资料里",""))))</f>
        <v/>
      </c>
    </row>
    <row r="1637">
      <c r="A1637" s="17">
        <f>IF($D1637="","",ROW()-3)</f>
        <v/>
      </c>
      <c r="B1637" s="18" t="n"/>
      <c r="C1637" s="13" t="n"/>
      <c r="D1637" s="13" t="n"/>
      <c r="E1637" s="13" t="n"/>
      <c r="F1637" s="17">
        <f>IF($D1637="","",IFERROR(VLOOKUP($E1637,材料归属,2,0),"※材料类别没选"))</f>
        <v/>
      </c>
      <c r="G1637" s="13" t="n"/>
      <c r="H1637" s="13" t="n"/>
      <c r="I1637" s="13" t="n"/>
      <c r="J1637" s="20" t="n"/>
      <c r="K1637" s="14" t="n"/>
      <c r="L1637" s="19">
        <f>IF($D1637="","",ROUND(IF($J1637="",1,$J1637)*N($K1637),2))</f>
        <v/>
      </c>
      <c r="M1637" s="13" t="n"/>
      <c r="N1637" s="17">
        <f>IF($D1637="","",IF(ISNA(MATCH($D1637,项目名表,0)),"※项目不在项目台账里",IF($F1637="※材料类别没选","※材料类别没选",IF(AND($C1637&lt;&gt;"",ISNA(MATCH($C1637,供应商表,0))),"※供应商不在基础资料里",""))))</f>
        <v/>
      </c>
    </row>
    <row r="1638">
      <c r="A1638" s="17">
        <f>IF($D1638="","",ROW()-3)</f>
        <v/>
      </c>
      <c r="B1638" s="18" t="n"/>
      <c r="C1638" s="13" t="n"/>
      <c r="D1638" s="13" t="n"/>
      <c r="E1638" s="13" t="n"/>
      <c r="F1638" s="17">
        <f>IF($D1638="","",IFERROR(VLOOKUP($E1638,材料归属,2,0),"※材料类别没选"))</f>
        <v/>
      </c>
      <c r="G1638" s="13" t="n"/>
      <c r="H1638" s="13" t="n"/>
      <c r="I1638" s="13" t="n"/>
      <c r="J1638" s="20" t="n"/>
      <c r="K1638" s="14" t="n"/>
      <c r="L1638" s="19">
        <f>IF($D1638="","",ROUND(IF($J1638="",1,$J1638)*N($K1638),2))</f>
        <v/>
      </c>
      <c r="M1638" s="13" t="n"/>
      <c r="N1638" s="17">
        <f>IF($D1638="","",IF(ISNA(MATCH($D1638,项目名表,0)),"※项目不在项目台账里",IF($F1638="※材料类别没选","※材料类别没选",IF(AND($C1638&lt;&gt;"",ISNA(MATCH($C1638,供应商表,0))),"※供应商不在基础资料里",""))))</f>
        <v/>
      </c>
    </row>
    <row r="1639">
      <c r="A1639" s="17">
        <f>IF($D1639="","",ROW()-3)</f>
        <v/>
      </c>
      <c r="B1639" s="18" t="n"/>
      <c r="C1639" s="13" t="n"/>
      <c r="D1639" s="13" t="n"/>
      <c r="E1639" s="13" t="n"/>
      <c r="F1639" s="17">
        <f>IF($D1639="","",IFERROR(VLOOKUP($E1639,材料归属,2,0),"※材料类别没选"))</f>
        <v/>
      </c>
      <c r="G1639" s="13" t="n"/>
      <c r="H1639" s="13" t="n"/>
      <c r="I1639" s="13" t="n"/>
      <c r="J1639" s="20" t="n"/>
      <c r="K1639" s="14" t="n"/>
      <c r="L1639" s="19">
        <f>IF($D1639="","",ROUND(IF($J1639="",1,$J1639)*N($K1639),2))</f>
        <v/>
      </c>
      <c r="M1639" s="13" t="n"/>
      <c r="N1639" s="17">
        <f>IF($D1639="","",IF(ISNA(MATCH($D1639,项目名表,0)),"※项目不在项目台账里",IF($F1639="※材料类别没选","※材料类别没选",IF(AND($C1639&lt;&gt;"",ISNA(MATCH($C1639,供应商表,0))),"※供应商不在基础资料里",""))))</f>
        <v/>
      </c>
    </row>
    <row r="1640">
      <c r="A1640" s="17">
        <f>IF($D1640="","",ROW()-3)</f>
        <v/>
      </c>
      <c r="B1640" s="18" t="n"/>
      <c r="C1640" s="13" t="n"/>
      <c r="D1640" s="13" t="n"/>
      <c r="E1640" s="13" t="n"/>
      <c r="F1640" s="17">
        <f>IF($D1640="","",IFERROR(VLOOKUP($E1640,材料归属,2,0),"※材料类别没选"))</f>
        <v/>
      </c>
      <c r="G1640" s="13" t="n"/>
      <c r="H1640" s="13" t="n"/>
      <c r="I1640" s="13" t="n"/>
      <c r="J1640" s="20" t="n"/>
      <c r="K1640" s="14" t="n"/>
      <c r="L1640" s="19">
        <f>IF($D1640="","",ROUND(IF($J1640="",1,$J1640)*N($K1640),2))</f>
        <v/>
      </c>
      <c r="M1640" s="13" t="n"/>
      <c r="N1640" s="17">
        <f>IF($D1640="","",IF(ISNA(MATCH($D1640,项目名表,0)),"※项目不在项目台账里",IF($F1640="※材料类别没选","※材料类别没选",IF(AND($C1640&lt;&gt;"",ISNA(MATCH($C1640,供应商表,0))),"※供应商不在基础资料里",""))))</f>
        <v/>
      </c>
    </row>
    <row r="1641">
      <c r="A1641" s="17">
        <f>IF($D1641="","",ROW()-3)</f>
        <v/>
      </c>
      <c r="B1641" s="18" t="n"/>
      <c r="C1641" s="13" t="n"/>
      <c r="D1641" s="13" t="n"/>
      <c r="E1641" s="13" t="n"/>
      <c r="F1641" s="17">
        <f>IF($D1641="","",IFERROR(VLOOKUP($E1641,材料归属,2,0),"※材料类别没选"))</f>
        <v/>
      </c>
      <c r="G1641" s="13" t="n"/>
      <c r="H1641" s="13" t="n"/>
      <c r="I1641" s="13" t="n"/>
      <c r="J1641" s="20" t="n"/>
      <c r="K1641" s="14" t="n"/>
      <c r="L1641" s="19">
        <f>IF($D1641="","",ROUND(IF($J1641="",1,$J1641)*N($K1641),2))</f>
        <v/>
      </c>
      <c r="M1641" s="13" t="n"/>
      <c r="N1641" s="17">
        <f>IF($D1641="","",IF(ISNA(MATCH($D1641,项目名表,0)),"※项目不在项目台账里",IF($F1641="※材料类别没选","※材料类别没选",IF(AND($C1641&lt;&gt;"",ISNA(MATCH($C1641,供应商表,0))),"※供应商不在基础资料里",""))))</f>
        <v/>
      </c>
    </row>
    <row r="1642">
      <c r="A1642" s="17">
        <f>IF($D1642="","",ROW()-3)</f>
        <v/>
      </c>
      <c r="B1642" s="18" t="n"/>
      <c r="C1642" s="13" t="n"/>
      <c r="D1642" s="13" t="n"/>
      <c r="E1642" s="13" t="n"/>
      <c r="F1642" s="17">
        <f>IF($D1642="","",IFERROR(VLOOKUP($E1642,材料归属,2,0),"※材料类别没选"))</f>
        <v/>
      </c>
      <c r="G1642" s="13" t="n"/>
      <c r="H1642" s="13" t="n"/>
      <c r="I1642" s="13" t="n"/>
      <c r="J1642" s="20" t="n"/>
      <c r="K1642" s="14" t="n"/>
      <c r="L1642" s="19">
        <f>IF($D1642="","",ROUND(IF($J1642="",1,$J1642)*N($K1642),2))</f>
        <v/>
      </c>
      <c r="M1642" s="13" t="n"/>
      <c r="N1642" s="17">
        <f>IF($D1642="","",IF(ISNA(MATCH($D1642,项目名表,0)),"※项目不在项目台账里",IF($F1642="※材料类别没选","※材料类别没选",IF(AND($C1642&lt;&gt;"",ISNA(MATCH($C1642,供应商表,0))),"※供应商不在基础资料里",""))))</f>
        <v/>
      </c>
    </row>
    <row r="1643">
      <c r="A1643" s="17">
        <f>IF($D1643="","",ROW()-3)</f>
        <v/>
      </c>
      <c r="B1643" s="18" t="n"/>
      <c r="C1643" s="13" t="n"/>
      <c r="D1643" s="13" t="n"/>
      <c r="E1643" s="13" t="n"/>
      <c r="F1643" s="17">
        <f>IF($D1643="","",IFERROR(VLOOKUP($E1643,材料归属,2,0),"※材料类别没选"))</f>
        <v/>
      </c>
      <c r="G1643" s="13" t="n"/>
      <c r="H1643" s="13" t="n"/>
      <c r="I1643" s="13" t="n"/>
      <c r="J1643" s="20" t="n"/>
      <c r="K1643" s="14" t="n"/>
      <c r="L1643" s="19">
        <f>IF($D1643="","",ROUND(IF($J1643="",1,$J1643)*N($K1643),2))</f>
        <v/>
      </c>
      <c r="M1643" s="13" t="n"/>
      <c r="N1643" s="17">
        <f>IF($D1643="","",IF(ISNA(MATCH($D1643,项目名表,0)),"※项目不在项目台账里",IF($F1643="※材料类别没选","※材料类别没选",IF(AND($C1643&lt;&gt;"",ISNA(MATCH($C1643,供应商表,0))),"※供应商不在基础资料里",""))))</f>
        <v/>
      </c>
    </row>
    <row r="1644">
      <c r="A1644" s="17">
        <f>IF($D1644="","",ROW()-3)</f>
        <v/>
      </c>
      <c r="B1644" s="18" t="n"/>
      <c r="C1644" s="13" t="n"/>
      <c r="D1644" s="13" t="n"/>
      <c r="E1644" s="13" t="n"/>
      <c r="F1644" s="17">
        <f>IF($D1644="","",IFERROR(VLOOKUP($E1644,材料归属,2,0),"※材料类别没选"))</f>
        <v/>
      </c>
      <c r="G1644" s="13" t="n"/>
      <c r="H1644" s="13" t="n"/>
      <c r="I1644" s="13" t="n"/>
      <c r="J1644" s="20" t="n"/>
      <c r="K1644" s="14" t="n"/>
      <c r="L1644" s="19">
        <f>IF($D1644="","",ROUND(IF($J1644="",1,$J1644)*N($K1644),2))</f>
        <v/>
      </c>
      <c r="M1644" s="13" t="n"/>
      <c r="N1644" s="17">
        <f>IF($D1644="","",IF(ISNA(MATCH($D1644,项目名表,0)),"※项目不在项目台账里",IF($F1644="※材料类别没选","※材料类别没选",IF(AND($C1644&lt;&gt;"",ISNA(MATCH($C1644,供应商表,0))),"※供应商不在基础资料里",""))))</f>
        <v/>
      </c>
    </row>
    <row r="1645">
      <c r="A1645" s="17">
        <f>IF($D1645="","",ROW()-3)</f>
        <v/>
      </c>
      <c r="B1645" s="18" t="n"/>
      <c r="C1645" s="13" t="n"/>
      <c r="D1645" s="13" t="n"/>
      <c r="E1645" s="13" t="n"/>
      <c r="F1645" s="17">
        <f>IF($D1645="","",IFERROR(VLOOKUP($E1645,材料归属,2,0),"※材料类别没选"))</f>
        <v/>
      </c>
      <c r="G1645" s="13" t="n"/>
      <c r="H1645" s="13" t="n"/>
      <c r="I1645" s="13" t="n"/>
      <c r="J1645" s="20" t="n"/>
      <c r="K1645" s="14" t="n"/>
      <c r="L1645" s="19">
        <f>IF($D1645="","",ROUND(IF($J1645="",1,$J1645)*N($K1645),2))</f>
        <v/>
      </c>
      <c r="M1645" s="13" t="n"/>
      <c r="N1645" s="17">
        <f>IF($D1645="","",IF(ISNA(MATCH($D1645,项目名表,0)),"※项目不在项目台账里",IF($F1645="※材料类别没选","※材料类别没选",IF(AND($C1645&lt;&gt;"",ISNA(MATCH($C1645,供应商表,0))),"※供应商不在基础资料里",""))))</f>
        <v/>
      </c>
    </row>
    <row r="1646">
      <c r="A1646" s="17">
        <f>IF($D1646="","",ROW()-3)</f>
        <v/>
      </c>
      <c r="B1646" s="18" t="n"/>
      <c r="C1646" s="13" t="n"/>
      <c r="D1646" s="13" t="n"/>
      <c r="E1646" s="13" t="n"/>
      <c r="F1646" s="17">
        <f>IF($D1646="","",IFERROR(VLOOKUP($E1646,材料归属,2,0),"※材料类别没选"))</f>
        <v/>
      </c>
      <c r="G1646" s="13" t="n"/>
      <c r="H1646" s="13" t="n"/>
      <c r="I1646" s="13" t="n"/>
      <c r="J1646" s="20" t="n"/>
      <c r="K1646" s="14" t="n"/>
      <c r="L1646" s="19">
        <f>IF($D1646="","",ROUND(IF($J1646="",1,$J1646)*N($K1646),2))</f>
        <v/>
      </c>
      <c r="M1646" s="13" t="n"/>
      <c r="N1646" s="17">
        <f>IF($D1646="","",IF(ISNA(MATCH($D1646,项目名表,0)),"※项目不在项目台账里",IF($F1646="※材料类别没选","※材料类别没选",IF(AND($C1646&lt;&gt;"",ISNA(MATCH($C1646,供应商表,0))),"※供应商不在基础资料里",""))))</f>
        <v/>
      </c>
    </row>
    <row r="1647">
      <c r="A1647" s="17">
        <f>IF($D1647="","",ROW()-3)</f>
        <v/>
      </c>
      <c r="B1647" s="18" t="n"/>
      <c r="C1647" s="13" t="n"/>
      <c r="D1647" s="13" t="n"/>
      <c r="E1647" s="13" t="n"/>
      <c r="F1647" s="17">
        <f>IF($D1647="","",IFERROR(VLOOKUP($E1647,材料归属,2,0),"※材料类别没选"))</f>
        <v/>
      </c>
      <c r="G1647" s="13" t="n"/>
      <c r="H1647" s="13" t="n"/>
      <c r="I1647" s="13" t="n"/>
      <c r="J1647" s="20" t="n"/>
      <c r="K1647" s="14" t="n"/>
      <c r="L1647" s="19">
        <f>IF($D1647="","",ROUND(IF($J1647="",1,$J1647)*N($K1647),2))</f>
        <v/>
      </c>
      <c r="M1647" s="13" t="n"/>
      <c r="N1647" s="17">
        <f>IF($D1647="","",IF(ISNA(MATCH($D1647,项目名表,0)),"※项目不在项目台账里",IF($F1647="※材料类别没选","※材料类别没选",IF(AND($C1647&lt;&gt;"",ISNA(MATCH($C1647,供应商表,0))),"※供应商不在基础资料里",""))))</f>
        <v/>
      </c>
    </row>
    <row r="1648">
      <c r="A1648" s="17">
        <f>IF($D1648="","",ROW()-3)</f>
        <v/>
      </c>
      <c r="B1648" s="18" t="n"/>
      <c r="C1648" s="13" t="n"/>
      <c r="D1648" s="13" t="n"/>
      <c r="E1648" s="13" t="n"/>
      <c r="F1648" s="17">
        <f>IF($D1648="","",IFERROR(VLOOKUP($E1648,材料归属,2,0),"※材料类别没选"))</f>
        <v/>
      </c>
      <c r="G1648" s="13" t="n"/>
      <c r="H1648" s="13" t="n"/>
      <c r="I1648" s="13" t="n"/>
      <c r="J1648" s="20" t="n"/>
      <c r="K1648" s="14" t="n"/>
      <c r="L1648" s="19">
        <f>IF($D1648="","",ROUND(IF($J1648="",1,$J1648)*N($K1648),2))</f>
        <v/>
      </c>
      <c r="M1648" s="13" t="n"/>
      <c r="N1648" s="17">
        <f>IF($D1648="","",IF(ISNA(MATCH($D1648,项目名表,0)),"※项目不在项目台账里",IF($F1648="※材料类别没选","※材料类别没选",IF(AND($C1648&lt;&gt;"",ISNA(MATCH($C1648,供应商表,0))),"※供应商不在基础资料里",""))))</f>
        <v/>
      </c>
    </row>
    <row r="1649">
      <c r="A1649" s="17">
        <f>IF($D1649="","",ROW()-3)</f>
        <v/>
      </c>
      <c r="B1649" s="18" t="n"/>
      <c r="C1649" s="13" t="n"/>
      <c r="D1649" s="13" t="n"/>
      <c r="E1649" s="13" t="n"/>
      <c r="F1649" s="17">
        <f>IF($D1649="","",IFERROR(VLOOKUP($E1649,材料归属,2,0),"※材料类别没选"))</f>
        <v/>
      </c>
      <c r="G1649" s="13" t="n"/>
      <c r="H1649" s="13" t="n"/>
      <c r="I1649" s="13" t="n"/>
      <c r="J1649" s="20" t="n"/>
      <c r="K1649" s="14" t="n"/>
      <c r="L1649" s="19">
        <f>IF($D1649="","",ROUND(IF($J1649="",1,$J1649)*N($K1649),2))</f>
        <v/>
      </c>
      <c r="M1649" s="13" t="n"/>
      <c r="N1649" s="17">
        <f>IF($D1649="","",IF(ISNA(MATCH($D1649,项目名表,0)),"※项目不在项目台账里",IF($F1649="※材料类别没选","※材料类别没选",IF(AND($C1649&lt;&gt;"",ISNA(MATCH($C1649,供应商表,0))),"※供应商不在基础资料里",""))))</f>
        <v/>
      </c>
    </row>
    <row r="1650">
      <c r="A1650" s="17">
        <f>IF($D1650="","",ROW()-3)</f>
        <v/>
      </c>
      <c r="B1650" s="18" t="n"/>
      <c r="C1650" s="13" t="n"/>
      <c r="D1650" s="13" t="n"/>
      <c r="E1650" s="13" t="n"/>
      <c r="F1650" s="17">
        <f>IF($D1650="","",IFERROR(VLOOKUP($E1650,材料归属,2,0),"※材料类别没选"))</f>
        <v/>
      </c>
      <c r="G1650" s="13" t="n"/>
      <c r="H1650" s="13" t="n"/>
      <c r="I1650" s="13" t="n"/>
      <c r="J1650" s="20" t="n"/>
      <c r="K1650" s="14" t="n"/>
      <c r="L1650" s="19">
        <f>IF($D1650="","",ROUND(IF($J1650="",1,$J1650)*N($K1650),2))</f>
        <v/>
      </c>
      <c r="M1650" s="13" t="n"/>
      <c r="N1650" s="17">
        <f>IF($D1650="","",IF(ISNA(MATCH($D1650,项目名表,0)),"※项目不在项目台账里",IF($F1650="※材料类别没选","※材料类别没选",IF(AND($C1650&lt;&gt;"",ISNA(MATCH($C1650,供应商表,0))),"※供应商不在基础资料里",""))))</f>
        <v/>
      </c>
    </row>
    <row r="1651">
      <c r="A1651" s="17">
        <f>IF($D1651="","",ROW()-3)</f>
        <v/>
      </c>
      <c r="B1651" s="18" t="n"/>
      <c r="C1651" s="13" t="n"/>
      <c r="D1651" s="13" t="n"/>
      <c r="E1651" s="13" t="n"/>
      <c r="F1651" s="17">
        <f>IF($D1651="","",IFERROR(VLOOKUP($E1651,材料归属,2,0),"※材料类别没选"))</f>
        <v/>
      </c>
      <c r="G1651" s="13" t="n"/>
      <c r="H1651" s="13" t="n"/>
      <c r="I1651" s="13" t="n"/>
      <c r="J1651" s="20" t="n"/>
      <c r="K1651" s="14" t="n"/>
      <c r="L1651" s="19">
        <f>IF($D1651="","",ROUND(IF($J1651="",1,$J1651)*N($K1651),2))</f>
        <v/>
      </c>
      <c r="M1651" s="13" t="n"/>
      <c r="N1651" s="17">
        <f>IF($D1651="","",IF(ISNA(MATCH($D1651,项目名表,0)),"※项目不在项目台账里",IF($F1651="※材料类别没选","※材料类别没选",IF(AND($C1651&lt;&gt;"",ISNA(MATCH($C1651,供应商表,0))),"※供应商不在基础资料里",""))))</f>
        <v/>
      </c>
    </row>
    <row r="1652">
      <c r="A1652" s="17">
        <f>IF($D1652="","",ROW()-3)</f>
        <v/>
      </c>
      <c r="B1652" s="18" t="n"/>
      <c r="C1652" s="13" t="n"/>
      <c r="D1652" s="13" t="n"/>
      <c r="E1652" s="13" t="n"/>
      <c r="F1652" s="17">
        <f>IF($D1652="","",IFERROR(VLOOKUP($E1652,材料归属,2,0),"※材料类别没选"))</f>
        <v/>
      </c>
      <c r="G1652" s="13" t="n"/>
      <c r="H1652" s="13" t="n"/>
      <c r="I1652" s="13" t="n"/>
      <c r="J1652" s="20" t="n"/>
      <c r="K1652" s="14" t="n"/>
      <c r="L1652" s="19">
        <f>IF($D1652="","",ROUND(IF($J1652="",1,$J1652)*N($K1652),2))</f>
        <v/>
      </c>
      <c r="M1652" s="13" t="n"/>
      <c r="N1652" s="17">
        <f>IF($D1652="","",IF(ISNA(MATCH($D1652,项目名表,0)),"※项目不在项目台账里",IF($F1652="※材料类别没选","※材料类别没选",IF(AND($C1652&lt;&gt;"",ISNA(MATCH($C1652,供应商表,0))),"※供应商不在基础资料里",""))))</f>
        <v/>
      </c>
    </row>
    <row r="1653">
      <c r="A1653" s="17">
        <f>IF($D1653="","",ROW()-3)</f>
        <v/>
      </c>
      <c r="B1653" s="18" t="n"/>
      <c r="C1653" s="13" t="n"/>
      <c r="D1653" s="13" t="n"/>
      <c r="E1653" s="13" t="n"/>
      <c r="F1653" s="17">
        <f>IF($D1653="","",IFERROR(VLOOKUP($E1653,材料归属,2,0),"※材料类别没选"))</f>
        <v/>
      </c>
      <c r="G1653" s="13" t="n"/>
      <c r="H1653" s="13" t="n"/>
      <c r="I1653" s="13" t="n"/>
      <c r="J1653" s="20" t="n"/>
      <c r="K1653" s="14" t="n"/>
      <c r="L1653" s="19">
        <f>IF($D1653="","",ROUND(IF($J1653="",1,$J1653)*N($K1653),2))</f>
        <v/>
      </c>
      <c r="M1653" s="13" t="n"/>
      <c r="N1653" s="17">
        <f>IF($D1653="","",IF(ISNA(MATCH($D1653,项目名表,0)),"※项目不在项目台账里",IF($F1653="※材料类别没选","※材料类别没选",IF(AND($C1653&lt;&gt;"",ISNA(MATCH($C1653,供应商表,0))),"※供应商不在基础资料里",""))))</f>
        <v/>
      </c>
    </row>
    <row r="1654">
      <c r="A1654" s="17">
        <f>IF($D1654="","",ROW()-3)</f>
        <v/>
      </c>
      <c r="B1654" s="18" t="n"/>
      <c r="C1654" s="13" t="n"/>
      <c r="D1654" s="13" t="n"/>
      <c r="E1654" s="13" t="n"/>
      <c r="F1654" s="17">
        <f>IF($D1654="","",IFERROR(VLOOKUP($E1654,材料归属,2,0),"※材料类别没选"))</f>
        <v/>
      </c>
      <c r="G1654" s="13" t="n"/>
      <c r="H1654" s="13" t="n"/>
      <c r="I1654" s="13" t="n"/>
      <c r="J1654" s="20" t="n"/>
      <c r="K1654" s="14" t="n"/>
      <c r="L1654" s="19">
        <f>IF($D1654="","",ROUND(IF($J1654="",1,$J1654)*N($K1654),2))</f>
        <v/>
      </c>
      <c r="M1654" s="13" t="n"/>
      <c r="N1654" s="17">
        <f>IF($D1654="","",IF(ISNA(MATCH($D1654,项目名表,0)),"※项目不在项目台账里",IF($F1654="※材料类别没选","※材料类别没选",IF(AND($C1654&lt;&gt;"",ISNA(MATCH($C1654,供应商表,0))),"※供应商不在基础资料里",""))))</f>
        <v/>
      </c>
    </row>
    <row r="1655">
      <c r="A1655" s="17">
        <f>IF($D1655="","",ROW()-3)</f>
        <v/>
      </c>
      <c r="B1655" s="18" t="n"/>
      <c r="C1655" s="13" t="n"/>
      <c r="D1655" s="13" t="n"/>
      <c r="E1655" s="13" t="n"/>
      <c r="F1655" s="17">
        <f>IF($D1655="","",IFERROR(VLOOKUP($E1655,材料归属,2,0),"※材料类别没选"))</f>
        <v/>
      </c>
      <c r="G1655" s="13" t="n"/>
      <c r="H1655" s="13" t="n"/>
      <c r="I1655" s="13" t="n"/>
      <c r="J1655" s="20" t="n"/>
      <c r="K1655" s="14" t="n"/>
      <c r="L1655" s="19">
        <f>IF($D1655="","",ROUND(IF($J1655="",1,$J1655)*N($K1655),2))</f>
        <v/>
      </c>
      <c r="M1655" s="13" t="n"/>
      <c r="N1655" s="17">
        <f>IF($D1655="","",IF(ISNA(MATCH($D1655,项目名表,0)),"※项目不在项目台账里",IF($F1655="※材料类别没选","※材料类别没选",IF(AND($C1655&lt;&gt;"",ISNA(MATCH($C1655,供应商表,0))),"※供应商不在基础资料里",""))))</f>
        <v/>
      </c>
    </row>
    <row r="1656">
      <c r="A1656" s="17">
        <f>IF($D1656="","",ROW()-3)</f>
        <v/>
      </c>
      <c r="B1656" s="18" t="n"/>
      <c r="C1656" s="13" t="n"/>
      <c r="D1656" s="13" t="n"/>
      <c r="E1656" s="13" t="n"/>
      <c r="F1656" s="17">
        <f>IF($D1656="","",IFERROR(VLOOKUP($E1656,材料归属,2,0),"※材料类别没选"))</f>
        <v/>
      </c>
      <c r="G1656" s="13" t="n"/>
      <c r="H1656" s="13" t="n"/>
      <c r="I1656" s="13" t="n"/>
      <c r="J1656" s="20" t="n"/>
      <c r="K1656" s="14" t="n"/>
      <c r="L1656" s="19">
        <f>IF($D1656="","",ROUND(IF($J1656="",1,$J1656)*N($K1656),2))</f>
        <v/>
      </c>
      <c r="M1656" s="13" t="n"/>
      <c r="N1656" s="17">
        <f>IF($D1656="","",IF(ISNA(MATCH($D1656,项目名表,0)),"※项目不在项目台账里",IF($F1656="※材料类别没选","※材料类别没选",IF(AND($C1656&lt;&gt;"",ISNA(MATCH($C1656,供应商表,0))),"※供应商不在基础资料里",""))))</f>
        <v/>
      </c>
    </row>
    <row r="1657">
      <c r="A1657" s="17">
        <f>IF($D1657="","",ROW()-3)</f>
        <v/>
      </c>
      <c r="B1657" s="18" t="n"/>
      <c r="C1657" s="13" t="n"/>
      <c r="D1657" s="13" t="n"/>
      <c r="E1657" s="13" t="n"/>
      <c r="F1657" s="17">
        <f>IF($D1657="","",IFERROR(VLOOKUP($E1657,材料归属,2,0),"※材料类别没选"))</f>
        <v/>
      </c>
      <c r="G1657" s="13" t="n"/>
      <c r="H1657" s="13" t="n"/>
      <c r="I1657" s="13" t="n"/>
      <c r="J1657" s="20" t="n"/>
      <c r="K1657" s="14" t="n"/>
      <c r="L1657" s="19">
        <f>IF($D1657="","",ROUND(IF($J1657="",1,$J1657)*N($K1657),2))</f>
        <v/>
      </c>
      <c r="M1657" s="13" t="n"/>
      <c r="N1657" s="17">
        <f>IF($D1657="","",IF(ISNA(MATCH($D1657,项目名表,0)),"※项目不在项目台账里",IF($F1657="※材料类别没选","※材料类别没选",IF(AND($C1657&lt;&gt;"",ISNA(MATCH($C1657,供应商表,0))),"※供应商不在基础资料里",""))))</f>
        <v/>
      </c>
    </row>
    <row r="1658">
      <c r="A1658" s="17">
        <f>IF($D1658="","",ROW()-3)</f>
        <v/>
      </c>
      <c r="B1658" s="18" t="n"/>
      <c r="C1658" s="13" t="n"/>
      <c r="D1658" s="13" t="n"/>
      <c r="E1658" s="13" t="n"/>
      <c r="F1658" s="17">
        <f>IF($D1658="","",IFERROR(VLOOKUP($E1658,材料归属,2,0),"※材料类别没选"))</f>
        <v/>
      </c>
      <c r="G1658" s="13" t="n"/>
      <c r="H1658" s="13" t="n"/>
      <c r="I1658" s="13" t="n"/>
      <c r="J1658" s="20" t="n"/>
      <c r="K1658" s="14" t="n"/>
      <c r="L1658" s="19">
        <f>IF($D1658="","",ROUND(IF($J1658="",1,$J1658)*N($K1658),2))</f>
        <v/>
      </c>
      <c r="M1658" s="13" t="n"/>
      <c r="N1658" s="17">
        <f>IF($D1658="","",IF(ISNA(MATCH($D1658,项目名表,0)),"※项目不在项目台账里",IF($F1658="※材料类别没选","※材料类别没选",IF(AND($C1658&lt;&gt;"",ISNA(MATCH($C1658,供应商表,0))),"※供应商不在基础资料里",""))))</f>
        <v/>
      </c>
    </row>
    <row r="1659">
      <c r="A1659" s="17">
        <f>IF($D1659="","",ROW()-3)</f>
        <v/>
      </c>
      <c r="B1659" s="18" t="n"/>
      <c r="C1659" s="13" t="n"/>
      <c r="D1659" s="13" t="n"/>
      <c r="E1659" s="13" t="n"/>
      <c r="F1659" s="17">
        <f>IF($D1659="","",IFERROR(VLOOKUP($E1659,材料归属,2,0),"※材料类别没选"))</f>
        <v/>
      </c>
      <c r="G1659" s="13" t="n"/>
      <c r="H1659" s="13" t="n"/>
      <c r="I1659" s="13" t="n"/>
      <c r="J1659" s="20" t="n"/>
      <c r="K1659" s="14" t="n"/>
      <c r="L1659" s="19">
        <f>IF($D1659="","",ROUND(IF($J1659="",1,$J1659)*N($K1659),2))</f>
        <v/>
      </c>
      <c r="M1659" s="13" t="n"/>
      <c r="N1659" s="17">
        <f>IF($D1659="","",IF(ISNA(MATCH($D1659,项目名表,0)),"※项目不在项目台账里",IF($F1659="※材料类别没选","※材料类别没选",IF(AND($C1659&lt;&gt;"",ISNA(MATCH($C1659,供应商表,0))),"※供应商不在基础资料里",""))))</f>
        <v/>
      </c>
    </row>
    <row r="1660">
      <c r="A1660" s="17">
        <f>IF($D1660="","",ROW()-3)</f>
        <v/>
      </c>
      <c r="B1660" s="18" t="n"/>
      <c r="C1660" s="13" t="n"/>
      <c r="D1660" s="13" t="n"/>
      <c r="E1660" s="13" t="n"/>
      <c r="F1660" s="17">
        <f>IF($D1660="","",IFERROR(VLOOKUP($E1660,材料归属,2,0),"※材料类别没选"))</f>
        <v/>
      </c>
      <c r="G1660" s="13" t="n"/>
      <c r="H1660" s="13" t="n"/>
      <c r="I1660" s="13" t="n"/>
      <c r="J1660" s="20" t="n"/>
      <c r="K1660" s="14" t="n"/>
      <c r="L1660" s="19">
        <f>IF($D1660="","",ROUND(IF($J1660="",1,$J1660)*N($K1660),2))</f>
        <v/>
      </c>
      <c r="M1660" s="13" t="n"/>
      <c r="N1660" s="17">
        <f>IF($D1660="","",IF(ISNA(MATCH($D1660,项目名表,0)),"※项目不在项目台账里",IF($F1660="※材料类别没选","※材料类别没选",IF(AND($C1660&lt;&gt;"",ISNA(MATCH($C1660,供应商表,0))),"※供应商不在基础资料里",""))))</f>
        <v/>
      </c>
    </row>
    <row r="1661">
      <c r="A1661" s="17">
        <f>IF($D1661="","",ROW()-3)</f>
        <v/>
      </c>
      <c r="B1661" s="18" t="n"/>
      <c r="C1661" s="13" t="n"/>
      <c r="D1661" s="13" t="n"/>
      <c r="E1661" s="13" t="n"/>
      <c r="F1661" s="17">
        <f>IF($D1661="","",IFERROR(VLOOKUP($E1661,材料归属,2,0),"※材料类别没选"))</f>
        <v/>
      </c>
      <c r="G1661" s="13" t="n"/>
      <c r="H1661" s="13" t="n"/>
      <c r="I1661" s="13" t="n"/>
      <c r="J1661" s="20" t="n"/>
      <c r="K1661" s="14" t="n"/>
      <c r="L1661" s="19">
        <f>IF($D1661="","",ROUND(IF($J1661="",1,$J1661)*N($K1661),2))</f>
        <v/>
      </c>
      <c r="M1661" s="13" t="n"/>
      <c r="N1661" s="17">
        <f>IF($D1661="","",IF(ISNA(MATCH($D1661,项目名表,0)),"※项目不在项目台账里",IF($F1661="※材料类别没选","※材料类别没选",IF(AND($C1661&lt;&gt;"",ISNA(MATCH($C1661,供应商表,0))),"※供应商不在基础资料里",""))))</f>
        <v/>
      </c>
    </row>
    <row r="1662">
      <c r="A1662" s="17">
        <f>IF($D1662="","",ROW()-3)</f>
        <v/>
      </c>
      <c r="B1662" s="18" t="n"/>
      <c r="C1662" s="13" t="n"/>
      <c r="D1662" s="13" t="n"/>
      <c r="E1662" s="13" t="n"/>
      <c r="F1662" s="17">
        <f>IF($D1662="","",IFERROR(VLOOKUP($E1662,材料归属,2,0),"※材料类别没选"))</f>
        <v/>
      </c>
      <c r="G1662" s="13" t="n"/>
      <c r="H1662" s="13" t="n"/>
      <c r="I1662" s="13" t="n"/>
      <c r="J1662" s="20" t="n"/>
      <c r="K1662" s="14" t="n"/>
      <c r="L1662" s="19">
        <f>IF($D1662="","",ROUND(IF($J1662="",1,$J1662)*N($K1662),2))</f>
        <v/>
      </c>
      <c r="M1662" s="13" t="n"/>
      <c r="N1662" s="17">
        <f>IF($D1662="","",IF(ISNA(MATCH($D1662,项目名表,0)),"※项目不在项目台账里",IF($F1662="※材料类别没选","※材料类别没选",IF(AND($C1662&lt;&gt;"",ISNA(MATCH($C1662,供应商表,0))),"※供应商不在基础资料里",""))))</f>
        <v/>
      </c>
    </row>
    <row r="1663">
      <c r="A1663" s="17">
        <f>IF($D1663="","",ROW()-3)</f>
        <v/>
      </c>
      <c r="B1663" s="18" t="n"/>
      <c r="C1663" s="13" t="n"/>
      <c r="D1663" s="13" t="n"/>
      <c r="E1663" s="13" t="n"/>
      <c r="F1663" s="17">
        <f>IF($D1663="","",IFERROR(VLOOKUP($E1663,材料归属,2,0),"※材料类别没选"))</f>
        <v/>
      </c>
      <c r="G1663" s="13" t="n"/>
      <c r="H1663" s="13" t="n"/>
      <c r="I1663" s="13" t="n"/>
      <c r="J1663" s="20" t="n"/>
      <c r="K1663" s="14" t="n"/>
      <c r="L1663" s="19">
        <f>IF($D1663="","",ROUND(IF($J1663="",1,$J1663)*N($K1663),2))</f>
        <v/>
      </c>
      <c r="M1663" s="13" t="n"/>
      <c r="N1663" s="17">
        <f>IF($D1663="","",IF(ISNA(MATCH($D1663,项目名表,0)),"※项目不在项目台账里",IF($F1663="※材料类别没选","※材料类别没选",IF(AND($C1663&lt;&gt;"",ISNA(MATCH($C1663,供应商表,0))),"※供应商不在基础资料里",""))))</f>
        <v/>
      </c>
    </row>
    <row r="1664">
      <c r="A1664" s="17">
        <f>IF($D1664="","",ROW()-3)</f>
        <v/>
      </c>
      <c r="B1664" s="18" t="n"/>
      <c r="C1664" s="13" t="n"/>
      <c r="D1664" s="13" t="n"/>
      <c r="E1664" s="13" t="n"/>
      <c r="F1664" s="17">
        <f>IF($D1664="","",IFERROR(VLOOKUP($E1664,材料归属,2,0),"※材料类别没选"))</f>
        <v/>
      </c>
      <c r="G1664" s="13" t="n"/>
      <c r="H1664" s="13" t="n"/>
      <c r="I1664" s="13" t="n"/>
      <c r="J1664" s="20" t="n"/>
      <c r="K1664" s="14" t="n"/>
      <c r="L1664" s="19">
        <f>IF($D1664="","",ROUND(IF($J1664="",1,$J1664)*N($K1664),2))</f>
        <v/>
      </c>
      <c r="M1664" s="13" t="n"/>
      <c r="N1664" s="17">
        <f>IF($D1664="","",IF(ISNA(MATCH($D1664,项目名表,0)),"※项目不在项目台账里",IF($F1664="※材料类别没选","※材料类别没选",IF(AND($C1664&lt;&gt;"",ISNA(MATCH($C1664,供应商表,0))),"※供应商不在基础资料里",""))))</f>
        <v/>
      </c>
    </row>
    <row r="1665">
      <c r="A1665" s="17">
        <f>IF($D1665="","",ROW()-3)</f>
        <v/>
      </c>
      <c r="B1665" s="18" t="n"/>
      <c r="C1665" s="13" t="n"/>
      <c r="D1665" s="13" t="n"/>
      <c r="E1665" s="13" t="n"/>
      <c r="F1665" s="17">
        <f>IF($D1665="","",IFERROR(VLOOKUP($E1665,材料归属,2,0),"※材料类别没选"))</f>
        <v/>
      </c>
      <c r="G1665" s="13" t="n"/>
      <c r="H1665" s="13" t="n"/>
      <c r="I1665" s="13" t="n"/>
      <c r="J1665" s="20" t="n"/>
      <c r="K1665" s="14" t="n"/>
      <c r="L1665" s="19">
        <f>IF($D1665="","",ROUND(IF($J1665="",1,$J1665)*N($K1665),2))</f>
        <v/>
      </c>
      <c r="M1665" s="13" t="n"/>
      <c r="N1665" s="17">
        <f>IF($D1665="","",IF(ISNA(MATCH($D1665,项目名表,0)),"※项目不在项目台账里",IF($F1665="※材料类别没选","※材料类别没选",IF(AND($C1665&lt;&gt;"",ISNA(MATCH($C1665,供应商表,0))),"※供应商不在基础资料里",""))))</f>
        <v/>
      </c>
    </row>
    <row r="1666">
      <c r="A1666" s="17">
        <f>IF($D1666="","",ROW()-3)</f>
        <v/>
      </c>
      <c r="B1666" s="18" t="n"/>
      <c r="C1666" s="13" t="n"/>
      <c r="D1666" s="13" t="n"/>
      <c r="E1666" s="13" t="n"/>
      <c r="F1666" s="17">
        <f>IF($D1666="","",IFERROR(VLOOKUP($E1666,材料归属,2,0),"※材料类别没选"))</f>
        <v/>
      </c>
      <c r="G1666" s="13" t="n"/>
      <c r="H1666" s="13" t="n"/>
      <c r="I1666" s="13" t="n"/>
      <c r="J1666" s="20" t="n"/>
      <c r="K1666" s="14" t="n"/>
      <c r="L1666" s="19">
        <f>IF($D1666="","",ROUND(IF($J1666="",1,$J1666)*N($K1666),2))</f>
        <v/>
      </c>
      <c r="M1666" s="13" t="n"/>
      <c r="N1666" s="17">
        <f>IF($D1666="","",IF(ISNA(MATCH($D1666,项目名表,0)),"※项目不在项目台账里",IF($F1666="※材料类别没选","※材料类别没选",IF(AND($C1666&lt;&gt;"",ISNA(MATCH($C1666,供应商表,0))),"※供应商不在基础资料里",""))))</f>
        <v/>
      </c>
    </row>
    <row r="1667">
      <c r="A1667" s="17">
        <f>IF($D1667="","",ROW()-3)</f>
        <v/>
      </c>
      <c r="B1667" s="18" t="n"/>
      <c r="C1667" s="13" t="n"/>
      <c r="D1667" s="13" t="n"/>
      <c r="E1667" s="13" t="n"/>
      <c r="F1667" s="17">
        <f>IF($D1667="","",IFERROR(VLOOKUP($E1667,材料归属,2,0),"※材料类别没选"))</f>
        <v/>
      </c>
      <c r="G1667" s="13" t="n"/>
      <c r="H1667" s="13" t="n"/>
      <c r="I1667" s="13" t="n"/>
      <c r="J1667" s="20" t="n"/>
      <c r="K1667" s="14" t="n"/>
      <c r="L1667" s="19">
        <f>IF($D1667="","",ROUND(IF($J1667="",1,$J1667)*N($K1667),2))</f>
        <v/>
      </c>
      <c r="M1667" s="13" t="n"/>
      <c r="N1667" s="17">
        <f>IF($D1667="","",IF(ISNA(MATCH($D1667,项目名表,0)),"※项目不在项目台账里",IF($F1667="※材料类别没选","※材料类别没选",IF(AND($C1667&lt;&gt;"",ISNA(MATCH($C1667,供应商表,0))),"※供应商不在基础资料里",""))))</f>
        <v/>
      </c>
    </row>
    <row r="1668">
      <c r="A1668" s="17">
        <f>IF($D1668="","",ROW()-3)</f>
        <v/>
      </c>
      <c r="B1668" s="18" t="n"/>
      <c r="C1668" s="13" t="n"/>
      <c r="D1668" s="13" t="n"/>
      <c r="E1668" s="13" t="n"/>
      <c r="F1668" s="17">
        <f>IF($D1668="","",IFERROR(VLOOKUP($E1668,材料归属,2,0),"※材料类别没选"))</f>
        <v/>
      </c>
      <c r="G1668" s="13" t="n"/>
      <c r="H1668" s="13" t="n"/>
      <c r="I1668" s="13" t="n"/>
      <c r="J1668" s="20" t="n"/>
      <c r="K1668" s="14" t="n"/>
      <c r="L1668" s="19">
        <f>IF($D1668="","",ROUND(IF($J1668="",1,$J1668)*N($K1668),2))</f>
        <v/>
      </c>
      <c r="M1668" s="13" t="n"/>
      <c r="N1668" s="17">
        <f>IF($D1668="","",IF(ISNA(MATCH($D1668,项目名表,0)),"※项目不在项目台账里",IF($F1668="※材料类别没选","※材料类别没选",IF(AND($C1668&lt;&gt;"",ISNA(MATCH($C1668,供应商表,0))),"※供应商不在基础资料里",""))))</f>
        <v/>
      </c>
    </row>
    <row r="1669">
      <c r="A1669" s="17">
        <f>IF($D1669="","",ROW()-3)</f>
        <v/>
      </c>
      <c r="B1669" s="18" t="n"/>
      <c r="C1669" s="13" t="n"/>
      <c r="D1669" s="13" t="n"/>
      <c r="E1669" s="13" t="n"/>
      <c r="F1669" s="17">
        <f>IF($D1669="","",IFERROR(VLOOKUP($E1669,材料归属,2,0),"※材料类别没选"))</f>
        <v/>
      </c>
      <c r="G1669" s="13" t="n"/>
      <c r="H1669" s="13" t="n"/>
      <c r="I1669" s="13" t="n"/>
      <c r="J1669" s="20" t="n"/>
      <c r="K1669" s="14" t="n"/>
      <c r="L1669" s="19">
        <f>IF($D1669="","",ROUND(IF($J1669="",1,$J1669)*N($K1669),2))</f>
        <v/>
      </c>
      <c r="M1669" s="13" t="n"/>
      <c r="N1669" s="17">
        <f>IF($D1669="","",IF(ISNA(MATCH($D1669,项目名表,0)),"※项目不在项目台账里",IF($F1669="※材料类别没选","※材料类别没选",IF(AND($C1669&lt;&gt;"",ISNA(MATCH($C1669,供应商表,0))),"※供应商不在基础资料里",""))))</f>
        <v/>
      </c>
    </row>
    <row r="1670">
      <c r="A1670" s="17">
        <f>IF($D1670="","",ROW()-3)</f>
        <v/>
      </c>
      <c r="B1670" s="18" t="n"/>
      <c r="C1670" s="13" t="n"/>
      <c r="D1670" s="13" t="n"/>
      <c r="E1670" s="13" t="n"/>
      <c r="F1670" s="17">
        <f>IF($D1670="","",IFERROR(VLOOKUP($E1670,材料归属,2,0),"※材料类别没选"))</f>
        <v/>
      </c>
      <c r="G1670" s="13" t="n"/>
      <c r="H1670" s="13" t="n"/>
      <c r="I1670" s="13" t="n"/>
      <c r="J1670" s="20" t="n"/>
      <c r="K1670" s="14" t="n"/>
      <c r="L1670" s="19">
        <f>IF($D1670="","",ROUND(IF($J1670="",1,$J1670)*N($K1670),2))</f>
        <v/>
      </c>
      <c r="M1670" s="13" t="n"/>
      <c r="N1670" s="17">
        <f>IF($D1670="","",IF(ISNA(MATCH($D1670,项目名表,0)),"※项目不在项目台账里",IF($F1670="※材料类别没选","※材料类别没选",IF(AND($C1670&lt;&gt;"",ISNA(MATCH($C1670,供应商表,0))),"※供应商不在基础资料里",""))))</f>
        <v/>
      </c>
    </row>
    <row r="1671">
      <c r="A1671" s="17">
        <f>IF($D1671="","",ROW()-3)</f>
        <v/>
      </c>
      <c r="B1671" s="18" t="n"/>
      <c r="C1671" s="13" t="n"/>
      <c r="D1671" s="13" t="n"/>
      <c r="E1671" s="13" t="n"/>
      <c r="F1671" s="17">
        <f>IF($D1671="","",IFERROR(VLOOKUP($E1671,材料归属,2,0),"※材料类别没选"))</f>
        <v/>
      </c>
      <c r="G1671" s="13" t="n"/>
      <c r="H1671" s="13" t="n"/>
      <c r="I1671" s="13" t="n"/>
      <c r="J1671" s="20" t="n"/>
      <c r="K1671" s="14" t="n"/>
      <c r="L1671" s="19">
        <f>IF($D1671="","",ROUND(IF($J1671="",1,$J1671)*N($K1671),2))</f>
        <v/>
      </c>
      <c r="M1671" s="13" t="n"/>
      <c r="N1671" s="17">
        <f>IF($D1671="","",IF(ISNA(MATCH($D1671,项目名表,0)),"※项目不在项目台账里",IF($F1671="※材料类别没选","※材料类别没选",IF(AND($C1671&lt;&gt;"",ISNA(MATCH($C1671,供应商表,0))),"※供应商不在基础资料里",""))))</f>
        <v/>
      </c>
    </row>
    <row r="1672">
      <c r="A1672" s="17">
        <f>IF($D1672="","",ROW()-3)</f>
        <v/>
      </c>
      <c r="B1672" s="18" t="n"/>
      <c r="C1672" s="13" t="n"/>
      <c r="D1672" s="13" t="n"/>
      <c r="E1672" s="13" t="n"/>
      <c r="F1672" s="17">
        <f>IF($D1672="","",IFERROR(VLOOKUP($E1672,材料归属,2,0),"※材料类别没选"))</f>
        <v/>
      </c>
      <c r="G1672" s="13" t="n"/>
      <c r="H1672" s="13" t="n"/>
      <c r="I1672" s="13" t="n"/>
      <c r="J1672" s="20" t="n"/>
      <c r="K1672" s="14" t="n"/>
      <c r="L1672" s="19">
        <f>IF($D1672="","",ROUND(IF($J1672="",1,$J1672)*N($K1672),2))</f>
        <v/>
      </c>
      <c r="M1672" s="13" t="n"/>
      <c r="N1672" s="17">
        <f>IF($D1672="","",IF(ISNA(MATCH($D1672,项目名表,0)),"※项目不在项目台账里",IF($F1672="※材料类别没选","※材料类别没选",IF(AND($C1672&lt;&gt;"",ISNA(MATCH($C1672,供应商表,0))),"※供应商不在基础资料里",""))))</f>
        <v/>
      </c>
    </row>
    <row r="1673">
      <c r="A1673" s="17">
        <f>IF($D1673="","",ROW()-3)</f>
        <v/>
      </c>
      <c r="B1673" s="18" t="n"/>
      <c r="C1673" s="13" t="n"/>
      <c r="D1673" s="13" t="n"/>
      <c r="E1673" s="13" t="n"/>
      <c r="F1673" s="17">
        <f>IF($D1673="","",IFERROR(VLOOKUP($E1673,材料归属,2,0),"※材料类别没选"))</f>
        <v/>
      </c>
      <c r="G1673" s="13" t="n"/>
      <c r="H1673" s="13" t="n"/>
      <c r="I1673" s="13" t="n"/>
      <c r="J1673" s="20" t="n"/>
      <c r="K1673" s="14" t="n"/>
      <c r="L1673" s="19">
        <f>IF($D1673="","",ROUND(IF($J1673="",1,$J1673)*N($K1673),2))</f>
        <v/>
      </c>
      <c r="M1673" s="13" t="n"/>
      <c r="N1673" s="17">
        <f>IF($D1673="","",IF(ISNA(MATCH($D1673,项目名表,0)),"※项目不在项目台账里",IF($F1673="※材料类别没选","※材料类别没选",IF(AND($C1673&lt;&gt;"",ISNA(MATCH($C1673,供应商表,0))),"※供应商不在基础资料里",""))))</f>
        <v/>
      </c>
    </row>
    <row r="1674">
      <c r="A1674" s="17">
        <f>IF($D1674="","",ROW()-3)</f>
        <v/>
      </c>
      <c r="B1674" s="18" t="n"/>
      <c r="C1674" s="13" t="n"/>
      <c r="D1674" s="13" t="n"/>
      <c r="E1674" s="13" t="n"/>
      <c r="F1674" s="17">
        <f>IF($D1674="","",IFERROR(VLOOKUP($E1674,材料归属,2,0),"※材料类别没选"))</f>
        <v/>
      </c>
      <c r="G1674" s="13" t="n"/>
      <c r="H1674" s="13" t="n"/>
      <c r="I1674" s="13" t="n"/>
      <c r="J1674" s="20" t="n"/>
      <c r="K1674" s="14" t="n"/>
      <c r="L1674" s="19">
        <f>IF($D1674="","",ROUND(IF($J1674="",1,$J1674)*N($K1674),2))</f>
        <v/>
      </c>
      <c r="M1674" s="13" t="n"/>
      <c r="N1674" s="17">
        <f>IF($D1674="","",IF(ISNA(MATCH($D1674,项目名表,0)),"※项目不在项目台账里",IF($F1674="※材料类别没选","※材料类别没选",IF(AND($C1674&lt;&gt;"",ISNA(MATCH($C1674,供应商表,0))),"※供应商不在基础资料里",""))))</f>
        <v/>
      </c>
    </row>
    <row r="1675">
      <c r="A1675" s="17">
        <f>IF($D1675="","",ROW()-3)</f>
        <v/>
      </c>
      <c r="B1675" s="18" t="n"/>
      <c r="C1675" s="13" t="n"/>
      <c r="D1675" s="13" t="n"/>
      <c r="E1675" s="13" t="n"/>
      <c r="F1675" s="17">
        <f>IF($D1675="","",IFERROR(VLOOKUP($E1675,材料归属,2,0),"※材料类别没选"))</f>
        <v/>
      </c>
      <c r="G1675" s="13" t="n"/>
      <c r="H1675" s="13" t="n"/>
      <c r="I1675" s="13" t="n"/>
      <c r="J1675" s="20" t="n"/>
      <c r="K1675" s="14" t="n"/>
      <c r="L1675" s="19">
        <f>IF($D1675="","",ROUND(IF($J1675="",1,$J1675)*N($K1675),2))</f>
        <v/>
      </c>
      <c r="M1675" s="13" t="n"/>
      <c r="N1675" s="17">
        <f>IF($D1675="","",IF(ISNA(MATCH($D1675,项目名表,0)),"※项目不在项目台账里",IF($F1675="※材料类别没选","※材料类别没选",IF(AND($C1675&lt;&gt;"",ISNA(MATCH($C1675,供应商表,0))),"※供应商不在基础资料里",""))))</f>
        <v/>
      </c>
    </row>
    <row r="1676">
      <c r="A1676" s="17">
        <f>IF($D1676="","",ROW()-3)</f>
        <v/>
      </c>
      <c r="B1676" s="18" t="n"/>
      <c r="C1676" s="13" t="n"/>
      <c r="D1676" s="13" t="n"/>
      <c r="E1676" s="13" t="n"/>
      <c r="F1676" s="17">
        <f>IF($D1676="","",IFERROR(VLOOKUP($E1676,材料归属,2,0),"※材料类别没选"))</f>
        <v/>
      </c>
      <c r="G1676" s="13" t="n"/>
      <c r="H1676" s="13" t="n"/>
      <c r="I1676" s="13" t="n"/>
      <c r="J1676" s="20" t="n"/>
      <c r="K1676" s="14" t="n"/>
      <c r="L1676" s="19">
        <f>IF($D1676="","",ROUND(IF($J1676="",1,$J1676)*N($K1676),2))</f>
        <v/>
      </c>
      <c r="M1676" s="13" t="n"/>
      <c r="N1676" s="17">
        <f>IF($D1676="","",IF(ISNA(MATCH($D1676,项目名表,0)),"※项目不在项目台账里",IF($F1676="※材料类别没选","※材料类别没选",IF(AND($C1676&lt;&gt;"",ISNA(MATCH($C1676,供应商表,0))),"※供应商不在基础资料里",""))))</f>
        <v/>
      </c>
    </row>
    <row r="1677">
      <c r="A1677" s="17">
        <f>IF($D1677="","",ROW()-3)</f>
        <v/>
      </c>
      <c r="B1677" s="18" t="n"/>
      <c r="C1677" s="13" t="n"/>
      <c r="D1677" s="13" t="n"/>
      <c r="E1677" s="13" t="n"/>
      <c r="F1677" s="17">
        <f>IF($D1677="","",IFERROR(VLOOKUP($E1677,材料归属,2,0),"※材料类别没选"))</f>
        <v/>
      </c>
      <c r="G1677" s="13" t="n"/>
      <c r="H1677" s="13" t="n"/>
      <c r="I1677" s="13" t="n"/>
      <c r="J1677" s="20" t="n"/>
      <c r="K1677" s="14" t="n"/>
      <c r="L1677" s="19">
        <f>IF($D1677="","",ROUND(IF($J1677="",1,$J1677)*N($K1677),2))</f>
        <v/>
      </c>
      <c r="M1677" s="13" t="n"/>
      <c r="N1677" s="17">
        <f>IF($D1677="","",IF(ISNA(MATCH($D1677,项目名表,0)),"※项目不在项目台账里",IF($F1677="※材料类别没选","※材料类别没选",IF(AND($C1677&lt;&gt;"",ISNA(MATCH($C1677,供应商表,0))),"※供应商不在基础资料里",""))))</f>
        <v/>
      </c>
    </row>
    <row r="1678">
      <c r="A1678" s="17">
        <f>IF($D1678="","",ROW()-3)</f>
        <v/>
      </c>
      <c r="B1678" s="18" t="n"/>
      <c r="C1678" s="13" t="n"/>
      <c r="D1678" s="13" t="n"/>
      <c r="E1678" s="13" t="n"/>
      <c r="F1678" s="17">
        <f>IF($D1678="","",IFERROR(VLOOKUP($E1678,材料归属,2,0),"※材料类别没选"))</f>
        <v/>
      </c>
      <c r="G1678" s="13" t="n"/>
      <c r="H1678" s="13" t="n"/>
      <c r="I1678" s="13" t="n"/>
      <c r="J1678" s="20" t="n"/>
      <c r="K1678" s="14" t="n"/>
      <c r="L1678" s="19">
        <f>IF($D1678="","",ROUND(IF($J1678="",1,$J1678)*N($K1678),2))</f>
        <v/>
      </c>
      <c r="M1678" s="13" t="n"/>
      <c r="N1678" s="17">
        <f>IF($D1678="","",IF(ISNA(MATCH($D1678,项目名表,0)),"※项目不在项目台账里",IF($F1678="※材料类别没选","※材料类别没选",IF(AND($C1678&lt;&gt;"",ISNA(MATCH($C1678,供应商表,0))),"※供应商不在基础资料里",""))))</f>
        <v/>
      </c>
    </row>
    <row r="1679">
      <c r="A1679" s="17">
        <f>IF($D1679="","",ROW()-3)</f>
        <v/>
      </c>
      <c r="B1679" s="18" t="n"/>
      <c r="C1679" s="13" t="n"/>
      <c r="D1679" s="13" t="n"/>
      <c r="E1679" s="13" t="n"/>
      <c r="F1679" s="17">
        <f>IF($D1679="","",IFERROR(VLOOKUP($E1679,材料归属,2,0),"※材料类别没选"))</f>
        <v/>
      </c>
      <c r="G1679" s="13" t="n"/>
      <c r="H1679" s="13" t="n"/>
      <c r="I1679" s="13" t="n"/>
      <c r="J1679" s="20" t="n"/>
      <c r="K1679" s="14" t="n"/>
      <c r="L1679" s="19">
        <f>IF($D1679="","",ROUND(IF($J1679="",1,$J1679)*N($K1679),2))</f>
        <v/>
      </c>
      <c r="M1679" s="13" t="n"/>
      <c r="N1679" s="17">
        <f>IF($D1679="","",IF(ISNA(MATCH($D1679,项目名表,0)),"※项目不在项目台账里",IF($F1679="※材料类别没选","※材料类别没选",IF(AND($C1679&lt;&gt;"",ISNA(MATCH($C1679,供应商表,0))),"※供应商不在基础资料里",""))))</f>
        <v/>
      </c>
    </row>
    <row r="1680">
      <c r="A1680" s="17">
        <f>IF($D1680="","",ROW()-3)</f>
        <v/>
      </c>
      <c r="B1680" s="18" t="n"/>
      <c r="C1680" s="13" t="n"/>
      <c r="D1680" s="13" t="n"/>
      <c r="E1680" s="13" t="n"/>
      <c r="F1680" s="17">
        <f>IF($D1680="","",IFERROR(VLOOKUP($E1680,材料归属,2,0),"※材料类别没选"))</f>
        <v/>
      </c>
      <c r="G1680" s="13" t="n"/>
      <c r="H1680" s="13" t="n"/>
      <c r="I1680" s="13" t="n"/>
      <c r="J1680" s="20" t="n"/>
      <c r="K1680" s="14" t="n"/>
      <c r="L1680" s="19">
        <f>IF($D1680="","",ROUND(IF($J1680="",1,$J1680)*N($K1680),2))</f>
        <v/>
      </c>
      <c r="M1680" s="13" t="n"/>
      <c r="N1680" s="17">
        <f>IF($D1680="","",IF(ISNA(MATCH($D1680,项目名表,0)),"※项目不在项目台账里",IF($F1680="※材料类别没选","※材料类别没选",IF(AND($C1680&lt;&gt;"",ISNA(MATCH($C1680,供应商表,0))),"※供应商不在基础资料里",""))))</f>
        <v/>
      </c>
    </row>
    <row r="1681">
      <c r="A1681" s="17">
        <f>IF($D1681="","",ROW()-3)</f>
        <v/>
      </c>
      <c r="B1681" s="18" t="n"/>
      <c r="C1681" s="13" t="n"/>
      <c r="D1681" s="13" t="n"/>
      <c r="E1681" s="13" t="n"/>
      <c r="F1681" s="17">
        <f>IF($D1681="","",IFERROR(VLOOKUP($E1681,材料归属,2,0),"※材料类别没选"))</f>
        <v/>
      </c>
      <c r="G1681" s="13" t="n"/>
      <c r="H1681" s="13" t="n"/>
      <c r="I1681" s="13" t="n"/>
      <c r="J1681" s="20" t="n"/>
      <c r="K1681" s="14" t="n"/>
      <c r="L1681" s="19">
        <f>IF($D1681="","",ROUND(IF($J1681="",1,$J1681)*N($K1681),2))</f>
        <v/>
      </c>
      <c r="M1681" s="13" t="n"/>
      <c r="N1681" s="17">
        <f>IF($D1681="","",IF(ISNA(MATCH($D1681,项目名表,0)),"※项目不在项目台账里",IF($F1681="※材料类别没选","※材料类别没选",IF(AND($C1681&lt;&gt;"",ISNA(MATCH($C1681,供应商表,0))),"※供应商不在基础资料里",""))))</f>
        <v/>
      </c>
    </row>
    <row r="1682">
      <c r="A1682" s="17">
        <f>IF($D1682="","",ROW()-3)</f>
        <v/>
      </c>
      <c r="B1682" s="18" t="n"/>
      <c r="C1682" s="13" t="n"/>
      <c r="D1682" s="13" t="n"/>
      <c r="E1682" s="13" t="n"/>
      <c r="F1682" s="17">
        <f>IF($D1682="","",IFERROR(VLOOKUP($E1682,材料归属,2,0),"※材料类别没选"))</f>
        <v/>
      </c>
      <c r="G1682" s="13" t="n"/>
      <c r="H1682" s="13" t="n"/>
      <c r="I1682" s="13" t="n"/>
      <c r="J1682" s="20" t="n"/>
      <c r="K1682" s="14" t="n"/>
      <c r="L1682" s="19">
        <f>IF($D1682="","",ROUND(IF($J1682="",1,$J1682)*N($K1682),2))</f>
        <v/>
      </c>
      <c r="M1682" s="13" t="n"/>
      <c r="N1682" s="17">
        <f>IF($D1682="","",IF(ISNA(MATCH($D1682,项目名表,0)),"※项目不在项目台账里",IF($F1682="※材料类别没选","※材料类别没选",IF(AND($C1682&lt;&gt;"",ISNA(MATCH($C1682,供应商表,0))),"※供应商不在基础资料里",""))))</f>
        <v/>
      </c>
    </row>
    <row r="1683">
      <c r="A1683" s="17">
        <f>IF($D1683="","",ROW()-3)</f>
        <v/>
      </c>
      <c r="B1683" s="18" t="n"/>
      <c r="C1683" s="13" t="n"/>
      <c r="D1683" s="13" t="n"/>
      <c r="E1683" s="13" t="n"/>
      <c r="F1683" s="17">
        <f>IF($D1683="","",IFERROR(VLOOKUP($E1683,材料归属,2,0),"※材料类别没选"))</f>
        <v/>
      </c>
      <c r="G1683" s="13" t="n"/>
      <c r="H1683" s="13" t="n"/>
      <c r="I1683" s="13" t="n"/>
      <c r="J1683" s="20" t="n"/>
      <c r="K1683" s="14" t="n"/>
      <c r="L1683" s="19">
        <f>IF($D1683="","",ROUND(IF($J1683="",1,$J1683)*N($K1683),2))</f>
        <v/>
      </c>
      <c r="M1683" s="13" t="n"/>
      <c r="N1683" s="17">
        <f>IF($D1683="","",IF(ISNA(MATCH($D1683,项目名表,0)),"※项目不在项目台账里",IF($F1683="※材料类别没选","※材料类别没选",IF(AND($C1683&lt;&gt;"",ISNA(MATCH($C1683,供应商表,0))),"※供应商不在基础资料里",""))))</f>
        <v/>
      </c>
    </row>
    <row r="1684">
      <c r="A1684" s="17">
        <f>IF($D1684="","",ROW()-3)</f>
        <v/>
      </c>
      <c r="B1684" s="18" t="n"/>
      <c r="C1684" s="13" t="n"/>
      <c r="D1684" s="13" t="n"/>
      <c r="E1684" s="13" t="n"/>
      <c r="F1684" s="17">
        <f>IF($D1684="","",IFERROR(VLOOKUP($E1684,材料归属,2,0),"※材料类别没选"))</f>
        <v/>
      </c>
      <c r="G1684" s="13" t="n"/>
      <c r="H1684" s="13" t="n"/>
      <c r="I1684" s="13" t="n"/>
      <c r="J1684" s="20" t="n"/>
      <c r="K1684" s="14" t="n"/>
      <c r="L1684" s="19">
        <f>IF($D1684="","",ROUND(IF($J1684="",1,$J1684)*N($K1684),2))</f>
        <v/>
      </c>
      <c r="M1684" s="13" t="n"/>
      <c r="N1684" s="17">
        <f>IF($D1684="","",IF(ISNA(MATCH($D1684,项目名表,0)),"※项目不在项目台账里",IF($F1684="※材料类别没选","※材料类别没选",IF(AND($C1684&lt;&gt;"",ISNA(MATCH($C1684,供应商表,0))),"※供应商不在基础资料里",""))))</f>
        <v/>
      </c>
    </row>
    <row r="1685">
      <c r="A1685" s="17">
        <f>IF($D1685="","",ROW()-3)</f>
        <v/>
      </c>
      <c r="B1685" s="18" t="n"/>
      <c r="C1685" s="13" t="n"/>
      <c r="D1685" s="13" t="n"/>
      <c r="E1685" s="13" t="n"/>
      <c r="F1685" s="17">
        <f>IF($D1685="","",IFERROR(VLOOKUP($E1685,材料归属,2,0),"※材料类别没选"))</f>
        <v/>
      </c>
      <c r="G1685" s="13" t="n"/>
      <c r="H1685" s="13" t="n"/>
      <c r="I1685" s="13" t="n"/>
      <c r="J1685" s="20" t="n"/>
      <c r="K1685" s="14" t="n"/>
      <c r="L1685" s="19">
        <f>IF($D1685="","",ROUND(IF($J1685="",1,$J1685)*N($K1685),2))</f>
        <v/>
      </c>
      <c r="M1685" s="13" t="n"/>
      <c r="N1685" s="17">
        <f>IF($D1685="","",IF(ISNA(MATCH($D1685,项目名表,0)),"※项目不在项目台账里",IF($F1685="※材料类别没选","※材料类别没选",IF(AND($C1685&lt;&gt;"",ISNA(MATCH($C1685,供应商表,0))),"※供应商不在基础资料里",""))))</f>
        <v/>
      </c>
    </row>
    <row r="1686">
      <c r="A1686" s="17">
        <f>IF($D1686="","",ROW()-3)</f>
        <v/>
      </c>
      <c r="B1686" s="18" t="n"/>
      <c r="C1686" s="13" t="n"/>
      <c r="D1686" s="13" t="n"/>
      <c r="E1686" s="13" t="n"/>
      <c r="F1686" s="17">
        <f>IF($D1686="","",IFERROR(VLOOKUP($E1686,材料归属,2,0),"※材料类别没选"))</f>
        <v/>
      </c>
      <c r="G1686" s="13" t="n"/>
      <c r="H1686" s="13" t="n"/>
      <c r="I1686" s="13" t="n"/>
      <c r="J1686" s="20" t="n"/>
      <c r="K1686" s="14" t="n"/>
      <c r="L1686" s="19">
        <f>IF($D1686="","",ROUND(IF($J1686="",1,$J1686)*N($K1686),2))</f>
        <v/>
      </c>
      <c r="M1686" s="13" t="n"/>
      <c r="N1686" s="17">
        <f>IF($D1686="","",IF(ISNA(MATCH($D1686,项目名表,0)),"※项目不在项目台账里",IF($F1686="※材料类别没选","※材料类别没选",IF(AND($C1686&lt;&gt;"",ISNA(MATCH($C1686,供应商表,0))),"※供应商不在基础资料里",""))))</f>
        <v/>
      </c>
    </row>
    <row r="1687">
      <c r="A1687" s="17">
        <f>IF($D1687="","",ROW()-3)</f>
        <v/>
      </c>
      <c r="B1687" s="18" t="n"/>
      <c r="C1687" s="13" t="n"/>
      <c r="D1687" s="13" t="n"/>
      <c r="E1687" s="13" t="n"/>
      <c r="F1687" s="17">
        <f>IF($D1687="","",IFERROR(VLOOKUP($E1687,材料归属,2,0),"※材料类别没选"))</f>
        <v/>
      </c>
      <c r="G1687" s="13" t="n"/>
      <c r="H1687" s="13" t="n"/>
      <c r="I1687" s="13" t="n"/>
      <c r="J1687" s="20" t="n"/>
      <c r="K1687" s="14" t="n"/>
      <c r="L1687" s="19">
        <f>IF($D1687="","",ROUND(IF($J1687="",1,$J1687)*N($K1687),2))</f>
        <v/>
      </c>
      <c r="M1687" s="13" t="n"/>
      <c r="N1687" s="17">
        <f>IF($D1687="","",IF(ISNA(MATCH($D1687,项目名表,0)),"※项目不在项目台账里",IF($F1687="※材料类别没选","※材料类别没选",IF(AND($C1687&lt;&gt;"",ISNA(MATCH($C1687,供应商表,0))),"※供应商不在基础资料里",""))))</f>
        <v/>
      </c>
    </row>
    <row r="1688">
      <c r="A1688" s="17">
        <f>IF($D1688="","",ROW()-3)</f>
        <v/>
      </c>
      <c r="B1688" s="18" t="n"/>
      <c r="C1688" s="13" t="n"/>
      <c r="D1688" s="13" t="n"/>
      <c r="E1688" s="13" t="n"/>
      <c r="F1688" s="17">
        <f>IF($D1688="","",IFERROR(VLOOKUP($E1688,材料归属,2,0),"※材料类别没选"))</f>
        <v/>
      </c>
      <c r="G1688" s="13" t="n"/>
      <c r="H1688" s="13" t="n"/>
      <c r="I1688" s="13" t="n"/>
      <c r="J1688" s="20" t="n"/>
      <c r="K1688" s="14" t="n"/>
      <c r="L1688" s="19">
        <f>IF($D1688="","",ROUND(IF($J1688="",1,$J1688)*N($K1688),2))</f>
        <v/>
      </c>
      <c r="M1688" s="13" t="n"/>
      <c r="N1688" s="17">
        <f>IF($D1688="","",IF(ISNA(MATCH($D1688,项目名表,0)),"※项目不在项目台账里",IF($F1688="※材料类别没选","※材料类别没选",IF(AND($C1688&lt;&gt;"",ISNA(MATCH($C1688,供应商表,0))),"※供应商不在基础资料里",""))))</f>
        <v/>
      </c>
    </row>
    <row r="1689">
      <c r="A1689" s="17">
        <f>IF($D1689="","",ROW()-3)</f>
        <v/>
      </c>
      <c r="B1689" s="18" t="n"/>
      <c r="C1689" s="13" t="n"/>
      <c r="D1689" s="13" t="n"/>
      <c r="E1689" s="13" t="n"/>
      <c r="F1689" s="17">
        <f>IF($D1689="","",IFERROR(VLOOKUP($E1689,材料归属,2,0),"※材料类别没选"))</f>
        <v/>
      </c>
      <c r="G1689" s="13" t="n"/>
      <c r="H1689" s="13" t="n"/>
      <c r="I1689" s="13" t="n"/>
      <c r="J1689" s="20" t="n"/>
      <c r="K1689" s="14" t="n"/>
      <c r="L1689" s="19">
        <f>IF($D1689="","",ROUND(IF($J1689="",1,$J1689)*N($K1689),2))</f>
        <v/>
      </c>
      <c r="M1689" s="13" t="n"/>
      <c r="N1689" s="17">
        <f>IF($D1689="","",IF(ISNA(MATCH($D1689,项目名表,0)),"※项目不在项目台账里",IF($F1689="※材料类别没选","※材料类别没选",IF(AND($C1689&lt;&gt;"",ISNA(MATCH($C1689,供应商表,0))),"※供应商不在基础资料里",""))))</f>
        <v/>
      </c>
    </row>
    <row r="1690">
      <c r="A1690" s="17">
        <f>IF($D1690="","",ROW()-3)</f>
        <v/>
      </c>
      <c r="B1690" s="18" t="n"/>
      <c r="C1690" s="13" t="n"/>
      <c r="D1690" s="13" t="n"/>
      <c r="E1690" s="13" t="n"/>
      <c r="F1690" s="17">
        <f>IF($D1690="","",IFERROR(VLOOKUP($E1690,材料归属,2,0),"※材料类别没选"))</f>
        <v/>
      </c>
      <c r="G1690" s="13" t="n"/>
      <c r="H1690" s="13" t="n"/>
      <c r="I1690" s="13" t="n"/>
      <c r="J1690" s="20" t="n"/>
      <c r="K1690" s="14" t="n"/>
      <c r="L1690" s="19">
        <f>IF($D1690="","",ROUND(IF($J1690="",1,$J1690)*N($K1690),2))</f>
        <v/>
      </c>
      <c r="M1690" s="13" t="n"/>
      <c r="N1690" s="17">
        <f>IF($D1690="","",IF(ISNA(MATCH($D1690,项目名表,0)),"※项目不在项目台账里",IF($F1690="※材料类别没选","※材料类别没选",IF(AND($C1690&lt;&gt;"",ISNA(MATCH($C1690,供应商表,0))),"※供应商不在基础资料里",""))))</f>
        <v/>
      </c>
    </row>
    <row r="1691">
      <c r="A1691" s="17">
        <f>IF($D1691="","",ROW()-3)</f>
        <v/>
      </c>
      <c r="B1691" s="18" t="n"/>
      <c r="C1691" s="13" t="n"/>
      <c r="D1691" s="13" t="n"/>
      <c r="E1691" s="13" t="n"/>
      <c r="F1691" s="17">
        <f>IF($D1691="","",IFERROR(VLOOKUP($E1691,材料归属,2,0),"※材料类别没选"))</f>
        <v/>
      </c>
      <c r="G1691" s="13" t="n"/>
      <c r="H1691" s="13" t="n"/>
      <c r="I1691" s="13" t="n"/>
      <c r="J1691" s="20" t="n"/>
      <c r="K1691" s="14" t="n"/>
      <c r="L1691" s="19">
        <f>IF($D1691="","",ROUND(IF($J1691="",1,$J1691)*N($K1691),2))</f>
        <v/>
      </c>
      <c r="M1691" s="13" t="n"/>
      <c r="N1691" s="17">
        <f>IF($D1691="","",IF(ISNA(MATCH($D1691,项目名表,0)),"※项目不在项目台账里",IF($F1691="※材料类别没选","※材料类别没选",IF(AND($C1691&lt;&gt;"",ISNA(MATCH($C1691,供应商表,0))),"※供应商不在基础资料里",""))))</f>
        <v/>
      </c>
    </row>
    <row r="1692">
      <c r="A1692" s="17">
        <f>IF($D1692="","",ROW()-3)</f>
        <v/>
      </c>
      <c r="B1692" s="18" t="n"/>
      <c r="C1692" s="13" t="n"/>
      <c r="D1692" s="13" t="n"/>
      <c r="E1692" s="13" t="n"/>
      <c r="F1692" s="17">
        <f>IF($D1692="","",IFERROR(VLOOKUP($E1692,材料归属,2,0),"※材料类别没选"))</f>
        <v/>
      </c>
      <c r="G1692" s="13" t="n"/>
      <c r="H1692" s="13" t="n"/>
      <c r="I1692" s="13" t="n"/>
      <c r="J1692" s="20" t="n"/>
      <c r="K1692" s="14" t="n"/>
      <c r="L1692" s="19">
        <f>IF($D1692="","",ROUND(IF($J1692="",1,$J1692)*N($K1692),2))</f>
        <v/>
      </c>
      <c r="M1692" s="13" t="n"/>
      <c r="N1692" s="17">
        <f>IF($D1692="","",IF(ISNA(MATCH($D1692,项目名表,0)),"※项目不在项目台账里",IF($F1692="※材料类别没选","※材料类别没选",IF(AND($C1692&lt;&gt;"",ISNA(MATCH($C1692,供应商表,0))),"※供应商不在基础资料里",""))))</f>
        <v/>
      </c>
    </row>
    <row r="1693">
      <c r="A1693" s="17">
        <f>IF($D1693="","",ROW()-3)</f>
        <v/>
      </c>
      <c r="B1693" s="18" t="n"/>
      <c r="C1693" s="13" t="n"/>
      <c r="D1693" s="13" t="n"/>
      <c r="E1693" s="13" t="n"/>
      <c r="F1693" s="17">
        <f>IF($D1693="","",IFERROR(VLOOKUP($E1693,材料归属,2,0),"※材料类别没选"))</f>
        <v/>
      </c>
      <c r="G1693" s="13" t="n"/>
      <c r="H1693" s="13" t="n"/>
      <c r="I1693" s="13" t="n"/>
      <c r="J1693" s="20" t="n"/>
      <c r="K1693" s="14" t="n"/>
      <c r="L1693" s="19">
        <f>IF($D1693="","",ROUND(IF($J1693="",1,$J1693)*N($K1693),2))</f>
        <v/>
      </c>
      <c r="M1693" s="13" t="n"/>
      <c r="N1693" s="17">
        <f>IF($D1693="","",IF(ISNA(MATCH($D1693,项目名表,0)),"※项目不在项目台账里",IF($F1693="※材料类别没选","※材料类别没选",IF(AND($C1693&lt;&gt;"",ISNA(MATCH($C1693,供应商表,0))),"※供应商不在基础资料里",""))))</f>
        <v/>
      </c>
    </row>
    <row r="1694">
      <c r="A1694" s="17">
        <f>IF($D1694="","",ROW()-3)</f>
        <v/>
      </c>
      <c r="B1694" s="18" t="n"/>
      <c r="C1694" s="13" t="n"/>
      <c r="D1694" s="13" t="n"/>
      <c r="E1694" s="13" t="n"/>
      <c r="F1694" s="17">
        <f>IF($D1694="","",IFERROR(VLOOKUP($E1694,材料归属,2,0),"※材料类别没选"))</f>
        <v/>
      </c>
      <c r="G1694" s="13" t="n"/>
      <c r="H1694" s="13" t="n"/>
      <c r="I1694" s="13" t="n"/>
      <c r="J1694" s="20" t="n"/>
      <c r="K1694" s="14" t="n"/>
      <c r="L1694" s="19">
        <f>IF($D1694="","",ROUND(IF($J1694="",1,$J1694)*N($K1694),2))</f>
        <v/>
      </c>
      <c r="M1694" s="13" t="n"/>
      <c r="N1694" s="17">
        <f>IF($D1694="","",IF(ISNA(MATCH($D1694,项目名表,0)),"※项目不在项目台账里",IF($F1694="※材料类别没选","※材料类别没选",IF(AND($C1694&lt;&gt;"",ISNA(MATCH($C1694,供应商表,0))),"※供应商不在基础资料里",""))))</f>
        <v/>
      </c>
    </row>
    <row r="1695">
      <c r="A1695" s="17">
        <f>IF($D1695="","",ROW()-3)</f>
        <v/>
      </c>
      <c r="B1695" s="18" t="n"/>
      <c r="C1695" s="13" t="n"/>
      <c r="D1695" s="13" t="n"/>
      <c r="E1695" s="13" t="n"/>
      <c r="F1695" s="17">
        <f>IF($D1695="","",IFERROR(VLOOKUP($E1695,材料归属,2,0),"※材料类别没选"))</f>
        <v/>
      </c>
      <c r="G1695" s="13" t="n"/>
      <c r="H1695" s="13" t="n"/>
      <c r="I1695" s="13" t="n"/>
      <c r="J1695" s="20" t="n"/>
      <c r="K1695" s="14" t="n"/>
      <c r="L1695" s="19">
        <f>IF($D1695="","",ROUND(IF($J1695="",1,$J1695)*N($K1695),2))</f>
        <v/>
      </c>
      <c r="M1695" s="13" t="n"/>
      <c r="N1695" s="17">
        <f>IF($D1695="","",IF(ISNA(MATCH($D1695,项目名表,0)),"※项目不在项目台账里",IF($F1695="※材料类别没选","※材料类别没选",IF(AND($C1695&lt;&gt;"",ISNA(MATCH($C1695,供应商表,0))),"※供应商不在基础资料里",""))))</f>
        <v/>
      </c>
    </row>
    <row r="1696">
      <c r="A1696" s="17">
        <f>IF($D1696="","",ROW()-3)</f>
        <v/>
      </c>
      <c r="B1696" s="18" t="n"/>
      <c r="C1696" s="13" t="n"/>
      <c r="D1696" s="13" t="n"/>
      <c r="E1696" s="13" t="n"/>
      <c r="F1696" s="17">
        <f>IF($D1696="","",IFERROR(VLOOKUP($E1696,材料归属,2,0),"※材料类别没选"))</f>
        <v/>
      </c>
      <c r="G1696" s="13" t="n"/>
      <c r="H1696" s="13" t="n"/>
      <c r="I1696" s="13" t="n"/>
      <c r="J1696" s="20" t="n"/>
      <c r="K1696" s="14" t="n"/>
      <c r="L1696" s="19">
        <f>IF($D1696="","",ROUND(IF($J1696="",1,$J1696)*N($K1696),2))</f>
        <v/>
      </c>
      <c r="M1696" s="13" t="n"/>
      <c r="N1696" s="17">
        <f>IF($D1696="","",IF(ISNA(MATCH($D1696,项目名表,0)),"※项目不在项目台账里",IF($F1696="※材料类别没选","※材料类别没选",IF(AND($C1696&lt;&gt;"",ISNA(MATCH($C1696,供应商表,0))),"※供应商不在基础资料里",""))))</f>
        <v/>
      </c>
    </row>
    <row r="1697">
      <c r="A1697" s="17">
        <f>IF($D1697="","",ROW()-3)</f>
        <v/>
      </c>
      <c r="B1697" s="18" t="n"/>
      <c r="C1697" s="13" t="n"/>
      <c r="D1697" s="13" t="n"/>
      <c r="E1697" s="13" t="n"/>
      <c r="F1697" s="17">
        <f>IF($D1697="","",IFERROR(VLOOKUP($E1697,材料归属,2,0),"※材料类别没选"))</f>
        <v/>
      </c>
      <c r="G1697" s="13" t="n"/>
      <c r="H1697" s="13" t="n"/>
      <c r="I1697" s="13" t="n"/>
      <c r="J1697" s="20" t="n"/>
      <c r="K1697" s="14" t="n"/>
      <c r="L1697" s="19">
        <f>IF($D1697="","",ROUND(IF($J1697="",1,$J1697)*N($K1697),2))</f>
        <v/>
      </c>
      <c r="M1697" s="13" t="n"/>
      <c r="N1697" s="17">
        <f>IF($D1697="","",IF(ISNA(MATCH($D1697,项目名表,0)),"※项目不在项目台账里",IF($F1697="※材料类别没选","※材料类别没选",IF(AND($C1697&lt;&gt;"",ISNA(MATCH($C1697,供应商表,0))),"※供应商不在基础资料里",""))))</f>
        <v/>
      </c>
    </row>
    <row r="1698">
      <c r="A1698" s="17">
        <f>IF($D1698="","",ROW()-3)</f>
        <v/>
      </c>
      <c r="B1698" s="18" t="n"/>
      <c r="C1698" s="13" t="n"/>
      <c r="D1698" s="13" t="n"/>
      <c r="E1698" s="13" t="n"/>
      <c r="F1698" s="17">
        <f>IF($D1698="","",IFERROR(VLOOKUP($E1698,材料归属,2,0),"※材料类别没选"))</f>
        <v/>
      </c>
      <c r="G1698" s="13" t="n"/>
      <c r="H1698" s="13" t="n"/>
      <c r="I1698" s="13" t="n"/>
      <c r="J1698" s="20" t="n"/>
      <c r="K1698" s="14" t="n"/>
      <c r="L1698" s="19">
        <f>IF($D1698="","",ROUND(IF($J1698="",1,$J1698)*N($K1698),2))</f>
        <v/>
      </c>
      <c r="M1698" s="13" t="n"/>
      <c r="N1698" s="17">
        <f>IF($D1698="","",IF(ISNA(MATCH($D1698,项目名表,0)),"※项目不在项目台账里",IF($F1698="※材料类别没选","※材料类别没选",IF(AND($C1698&lt;&gt;"",ISNA(MATCH($C1698,供应商表,0))),"※供应商不在基础资料里",""))))</f>
        <v/>
      </c>
    </row>
    <row r="1699">
      <c r="A1699" s="17">
        <f>IF($D1699="","",ROW()-3)</f>
        <v/>
      </c>
      <c r="B1699" s="18" t="n"/>
      <c r="C1699" s="13" t="n"/>
      <c r="D1699" s="13" t="n"/>
      <c r="E1699" s="13" t="n"/>
      <c r="F1699" s="17">
        <f>IF($D1699="","",IFERROR(VLOOKUP($E1699,材料归属,2,0),"※材料类别没选"))</f>
        <v/>
      </c>
      <c r="G1699" s="13" t="n"/>
      <c r="H1699" s="13" t="n"/>
      <c r="I1699" s="13" t="n"/>
      <c r="J1699" s="20" t="n"/>
      <c r="K1699" s="14" t="n"/>
      <c r="L1699" s="19">
        <f>IF($D1699="","",ROUND(IF($J1699="",1,$J1699)*N($K1699),2))</f>
        <v/>
      </c>
      <c r="M1699" s="13" t="n"/>
      <c r="N1699" s="17">
        <f>IF($D1699="","",IF(ISNA(MATCH($D1699,项目名表,0)),"※项目不在项目台账里",IF($F1699="※材料类别没选","※材料类别没选",IF(AND($C1699&lt;&gt;"",ISNA(MATCH($C1699,供应商表,0))),"※供应商不在基础资料里",""))))</f>
        <v/>
      </c>
    </row>
    <row r="1700">
      <c r="A1700" s="17">
        <f>IF($D1700="","",ROW()-3)</f>
        <v/>
      </c>
      <c r="B1700" s="18" t="n"/>
      <c r="C1700" s="13" t="n"/>
      <c r="D1700" s="13" t="n"/>
      <c r="E1700" s="13" t="n"/>
      <c r="F1700" s="17">
        <f>IF($D1700="","",IFERROR(VLOOKUP($E1700,材料归属,2,0),"※材料类别没选"))</f>
        <v/>
      </c>
      <c r="G1700" s="13" t="n"/>
      <c r="H1700" s="13" t="n"/>
      <c r="I1700" s="13" t="n"/>
      <c r="J1700" s="20" t="n"/>
      <c r="K1700" s="14" t="n"/>
      <c r="L1700" s="19">
        <f>IF($D1700="","",ROUND(IF($J1700="",1,$J1700)*N($K1700),2))</f>
        <v/>
      </c>
      <c r="M1700" s="13" t="n"/>
      <c r="N1700" s="17">
        <f>IF($D1700="","",IF(ISNA(MATCH($D1700,项目名表,0)),"※项目不在项目台账里",IF($F1700="※材料类别没选","※材料类别没选",IF(AND($C1700&lt;&gt;"",ISNA(MATCH($C1700,供应商表,0))),"※供应商不在基础资料里",""))))</f>
        <v/>
      </c>
    </row>
    <row r="1701">
      <c r="A1701" s="17">
        <f>IF($D1701="","",ROW()-3)</f>
        <v/>
      </c>
      <c r="B1701" s="18" t="n"/>
      <c r="C1701" s="13" t="n"/>
      <c r="D1701" s="13" t="n"/>
      <c r="E1701" s="13" t="n"/>
      <c r="F1701" s="17">
        <f>IF($D1701="","",IFERROR(VLOOKUP($E1701,材料归属,2,0),"※材料类别没选"))</f>
        <v/>
      </c>
      <c r="G1701" s="13" t="n"/>
      <c r="H1701" s="13" t="n"/>
      <c r="I1701" s="13" t="n"/>
      <c r="J1701" s="20" t="n"/>
      <c r="K1701" s="14" t="n"/>
      <c r="L1701" s="19">
        <f>IF($D1701="","",ROUND(IF($J1701="",1,$J1701)*N($K1701),2))</f>
        <v/>
      </c>
      <c r="M1701" s="13" t="n"/>
      <c r="N1701" s="17">
        <f>IF($D1701="","",IF(ISNA(MATCH($D1701,项目名表,0)),"※项目不在项目台账里",IF($F1701="※材料类别没选","※材料类别没选",IF(AND($C1701&lt;&gt;"",ISNA(MATCH($C1701,供应商表,0))),"※供应商不在基础资料里",""))))</f>
        <v/>
      </c>
    </row>
    <row r="1702">
      <c r="A1702" s="17">
        <f>IF($D1702="","",ROW()-3)</f>
        <v/>
      </c>
      <c r="B1702" s="18" t="n"/>
      <c r="C1702" s="13" t="n"/>
      <c r="D1702" s="13" t="n"/>
      <c r="E1702" s="13" t="n"/>
      <c r="F1702" s="17">
        <f>IF($D1702="","",IFERROR(VLOOKUP($E1702,材料归属,2,0),"※材料类别没选"))</f>
        <v/>
      </c>
      <c r="G1702" s="13" t="n"/>
      <c r="H1702" s="13" t="n"/>
      <c r="I1702" s="13" t="n"/>
      <c r="J1702" s="20" t="n"/>
      <c r="K1702" s="14" t="n"/>
      <c r="L1702" s="19">
        <f>IF($D1702="","",ROUND(IF($J1702="",1,$J1702)*N($K1702),2))</f>
        <v/>
      </c>
      <c r="M1702" s="13" t="n"/>
      <c r="N1702" s="17">
        <f>IF($D1702="","",IF(ISNA(MATCH($D1702,项目名表,0)),"※项目不在项目台账里",IF($F1702="※材料类别没选","※材料类别没选",IF(AND($C1702&lt;&gt;"",ISNA(MATCH($C1702,供应商表,0))),"※供应商不在基础资料里",""))))</f>
        <v/>
      </c>
    </row>
    <row r="1703">
      <c r="A1703" s="17">
        <f>IF($D1703="","",ROW()-3)</f>
        <v/>
      </c>
      <c r="B1703" s="18" t="n"/>
      <c r="C1703" s="13" t="n"/>
      <c r="D1703" s="13" t="n"/>
      <c r="E1703" s="13" t="n"/>
      <c r="F1703" s="17">
        <f>IF($D1703="","",IFERROR(VLOOKUP($E1703,材料归属,2,0),"※材料类别没选"))</f>
        <v/>
      </c>
      <c r="G1703" s="13" t="n"/>
      <c r="H1703" s="13" t="n"/>
      <c r="I1703" s="13" t="n"/>
      <c r="J1703" s="20" t="n"/>
      <c r="K1703" s="14" t="n"/>
      <c r="L1703" s="19">
        <f>IF($D1703="","",ROUND(IF($J1703="",1,$J1703)*N($K1703),2))</f>
        <v/>
      </c>
      <c r="M1703" s="13" t="n"/>
      <c r="N1703" s="17">
        <f>IF($D1703="","",IF(ISNA(MATCH($D1703,项目名表,0)),"※项目不在项目台账里",IF($F1703="※材料类别没选","※材料类别没选",IF(AND($C1703&lt;&gt;"",ISNA(MATCH($C1703,供应商表,0))),"※供应商不在基础资料里",""))))</f>
        <v/>
      </c>
    </row>
    <row r="1704">
      <c r="A1704" s="17">
        <f>IF($D1704="","",ROW()-3)</f>
        <v/>
      </c>
      <c r="B1704" s="18" t="n"/>
      <c r="C1704" s="13" t="n"/>
      <c r="D1704" s="13" t="n"/>
      <c r="E1704" s="13" t="n"/>
      <c r="F1704" s="17">
        <f>IF($D1704="","",IFERROR(VLOOKUP($E1704,材料归属,2,0),"※材料类别没选"))</f>
        <v/>
      </c>
      <c r="G1704" s="13" t="n"/>
      <c r="H1704" s="13" t="n"/>
      <c r="I1704" s="13" t="n"/>
      <c r="J1704" s="20" t="n"/>
      <c r="K1704" s="14" t="n"/>
      <c r="L1704" s="19">
        <f>IF($D1704="","",ROUND(IF($J1704="",1,$J1704)*N($K1704),2))</f>
        <v/>
      </c>
      <c r="M1704" s="13" t="n"/>
      <c r="N1704" s="17">
        <f>IF($D1704="","",IF(ISNA(MATCH($D1704,项目名表,0)),"※项目不在项目台账里",IF($F1704="※材料类别没选","※材料类别没选",IF(AND($C1704&lt;&gt;"",ISNA(MATCH($C1704,供应商表,0))),"※供应商不在基础资料里",""))))</f>
        <v/>
      </c>
    </row>
    <row r="1705">
      <c r="A1705" s="17">
        <f>IF($D1705="","",ROW()-3)</f>
        <v/>
      </c>
      <c r="B1705" s="18" t="n"/>
      <c r="C1705" s="13" t="n"/>
      <c r="D1705" s="13" t="n"/>
      <c r="E1705" s="13" t="n"/>
      <c r="F1705" s="17">
        <f>IF($D1705="","",IFERROR(VLOOKUP($E1705,材料归属,2,0),"※材料类别没选"))</f>
        <v/>
      </c>
      <c r="G1705" s="13" t="n"/>
      <c r="H1705" s="13" t="n"/>
      <c r="I1705" s="13" t="n"/>
      <c r="J1705" s="20" t="n"/>
      <c r="K1705" s="14" t="n"/>
      <c r="L1705" s="19">
        <f>IF($D1705="","",ROUND(IF($J1705="",1,$J1705)*N($K1705),2))</f>
        <v/>
      </c>
      <c r="M1705" s="13" t="n"/>
      <c r="N1705" s="17">
        <f>IF($D1705="","",IF(ISNA(MATCH($D1705,项目名表,0)),"※项目不在项目台账里",IF($F1705="※材料类别没选","※材料类别没选",IF(AND($C1705&lt;&gt;"",ISNA(MATCH($C1705,供应商表,0))),"※供应商不在基础资料里",""))))</f>
        <v/>
      </c>
    </row>
    <row r="1706">
      <c r="A1706" s="17">
        <f>IF($D1706="","",ROW()-3)</f>
        <v/>
      </c>
      <c r="B1706" s="18" t="n"/>
      <c r="C1706" s="13" t="n"/>
      <c r="D1706" s="13" t="n"/>
      <c r="E1706" s="13" t="n"/>
      <c r="F1706" s="17">
        <f>IF($D1706="","",IFERROR(VLOOKUP($E1706,材料归属,2,0),"※材料类别没选"))</f>
        <v/>
      </c>
      <c r="G1706" s="13" t="n"/>
      <c r="H1706" s="13" t="n"/>
      <c r="I1706" s="13" t="n"/>
      <c r="J1706" s="20" t="n"/>
      <c r="K1706" s="14" t="n"/>
      <c r="L1706" s="19">
        <f>IF($D1706="","",ROUND(IF($J1706="",1,$J1706)*N($K1706),2))</f>
        <v/>
      </c>
      <c r="M1706" s="13" t="n"/>
      <c r="N1706" s="17">
        <f>IF($D1706="","",IF(ISNA(MATCH($D1706,项目名表,0)),"※项目不在项目台账里",IF($F1706="※材料类别没选","※材料类别没选",IF(AND($C1706&lt;&gt;"",ISNA(MATCH($C1706,供应商表,0))),"※供应商不在基础资料里",""))))</f>
        <v/>
      </c>
    </row>
    <row r="1707">
      <c r="A1707" s="17">
        <f>IF($D1707="","",ROW()-3)</f>
        <v/>
      </c>
      <c r="B1707" s="18" t="n"/>
      <c r="C1707" s="13" t="n"/>
      <c r="D1707" s="13" t="n"/>
      <c r="E1707" s="13" t="n"/>
      <c r="F1707" s="17">
        <f>IF($D1707="","",IFERROR(VLOOKUP($E1707,材料归属,2,0),"※材料类别没选"))</f>
        <v/>
      </c>
      <c r="G1707" s="13" t="n"/>
      <c r="H1707" s="13" t="n"/>
      <c r="I1707" s="13" t="n"/>
      <c r="J1707" s="20" t="n"/>
      <c r="K1707" s="14" t="n"/>
      <c r="L1707" s="19">
        <f>IF($D1707="","",ROUND(IF($J1707="",1,$J1707)*N($K1707),2))</f>
        <v/>
      </c>
      <c r="M1707" s="13" t="n"/>
      <c r="N1707" s="17">
        <f>IF($D1707="","",IF(ISNA(MATCH($D1707,项目名表,0)),"※项目不在项目台账里",IF($F1707="※材料类别没选","※材料类别没选",IF(AND($C1707&lt;&gt;"",ISNA(MATCH($C1707,供应商表,0))),"※供应商不在基础资料里",""))))</f>
        <v/>
      </c>
    </row>
    <row r="1708">
      <c r="A1708" s="17">
        <f>IF($D1708="","",ROW()-3)</f>
        <v/>
      </c>
      <c r="B1708" s="18" t="n"/>
      <c r="C1708" s="13" t="n"/>
      <c r="D1708" s="13" t="n"/>
      <c r="E1708" s="13" t="n"/>
      <c r="F1708" s="17">
        <f>IF($D1708="","",IFERROR(VLOOKUP($E1708,材料归属,2,0),"※材料类别没选"))</f>
        <v/>
      </c>
      <c r="G1708" s="13" t="n"/>
      <c r="H1708" s="13" t="n"/>
      <c r="I1708" s="13" t="n"/>
      <c r="J1708" s="20" t="n"/>
      <c r="K1708" s="14" t="n"/>
      <c r="L1708" s="19">
        <f>IF($D1708="","",ROUND(IF($J1708="",1,$J1708)*N($K1708),2))</f>
        <v/>
      </c>
      <c r="M1708" s="13" t="n"/>
      <c r="N1708" s="17">
        <f>IF($D1708="","",IF(ISNA(MATCH($D1708,项目名表,0)),"※项目不在项目台账里",IF($F1708="※材料类别没选","※材料类别没选",IF(AND($C1708&lt;&gt;"",ISNA(MATCH($C1708,供应商表,0))),"※供应商不在基础资料里",""))))</f>
        <v/>
      </c>
    </row>
    <row r="1709">
      <c r="A1709" s="17">
        <f>IF($D1709="","",ROW()-3)</f>
        <v/>
      </c>
      <c r="B1709" s="18" t="n"/>
      <c r="C1709" s="13" t="n"/>
      <c r="D1709" s="13" t="n"/>
      <c r="E1709" s="13" t="n"/>
      <c r="F1709" s="17">
        <f>IF($D1709="","",IFERROR(VLOOKUP($E1709,材料归属,2,0),"※材料类别没选"))</f>
        <v/>
      </c>
      <c r="G1709" s="13" t="n"/>
      <c r="H1709" s="13" t="n"/>
      <c r="I1709" s="13" t="n"/>
      <c r="J1709" s="20" t="n"/>
      <c r="K1709" s="14" t="n"/>
      <c r="L1709" s="19">
        <f>IF($D1709="","",ROUND(IF($J1709="",1,$J1709)*N($K1709),2))</f>
        <v/>
      </c>
      <c r="M1709" s="13" t="n"/>
      <c r="N1709" s="17">
        <f>IF($D1709="","",IF(ISNA(MATCH($D1709,项目名表,0)),"※项目不在项目台账里",IF($F1709="※材料类别没选","※材料类别没选",IF(AND($C1709&lt;&gt;"",ISNA(MATCH($C1709,供应商表,0))),"※供应商不在基础资料里",""))))</f>
        <v/>
      </c>
    </row>
    <row r="1710">
      <c r="A1710" s="17">
        <f>IF($D1710="","",ROW()-3)</f>
        <v/>
      </c>
      <c r="B1710" s="18" t="n"/>
      <c r="C1710" s="13" t="n"/>
      <c r="D1710" s="13" t="n"/>
      <c r="E1710" s="13" t="n"/>
      <c r="F1710" s="17">
        <f>IF($D1710="","",IFERROR(VLOOKUP($E1710,材料归属,2,0),"※材料类别没选"))</f>
        <v/>
      </c>
      <c r="G1710" s="13" t="n"/>
      <c r="H1710" s="13" t="n"/>
      <c r="I1710" s="13" t="n"/>
      <c r="J1710" s="20" t="n"/>
      <c r="K1710" s="14" t="n"/>
      <c r="L1710" s="19">
        <f>IF($D1710="","",ROUND(IF($J1710="",1,$J1710)*N($K1710),2))</f>
        <v/>
      </c>
      <c r="M1710" s="13" t="n"/>
      <c r="N1710" s="17">
        <f>IF($D1710="","",IF(ISNA(MATCH($D1710,项目名表,0)),"※项目不在项目台账里",IF($F1710="※材料类别没选","※材料类别没选",IF(AND($C1710&lt;&gt;"",ISNA(MATCH($C1710,供应商表,0))),"※供应商不在基础资料里",""))))</f>
        <v/>
      </c>
    </row>
    <row r="1711">
      <c r="A1711" s="17">
        <f>IF($D1711="","",ROW()-3)</f>
        <v/>
      </c>
      <c r="B1711" s="18" t="n"/>
      <c r="C1711" s="13" t="n"/>
      <c r="D1711" s="13" t="n"/>
      <c r="E1711" s="13" t="n"/>
      <c r="F1711" s="17">
        <f>IF($D1711="","",IFERROR(VLOOKUP($E1711,材料归属,2,0),"※材料类别没选"))</f>
        <v/>
      </c>
      <c r="G1711" s="13" t="n"/>
      <c r="H1711" s="13" t="n"/>
      <c r="I1711" s="13" t="n"/>
      <c r="J1711" s="20" t="n"/>
      <c r="K1711" s="14" t="n"/>
      <c r="L1711" s="19">
        <f>IF($D1711="","",ROUND(IF($J1711="",1,$J1711)*N($K1711),2))</f>
        <v/>
      </c>
      <c r="M1711" s="13" t="n"/>
      <c r="N1711" s="17">
        <f>IF($D1711="","",IF(ISNA(MATCH($D1711,项目名表,0)),"※项目不在项目台账里",IF($F1711="※材料类别没选","※材料类别没选",IF(AND($C1711&lt;&gt;"",ISNA(MATCH($C1711,供应商表,0))),"※供应商不在基础资料里",""))))</f>
        <v/>
      </c>
    </row>
    <row r="1712">
      <c r="A1712" s="17">
        <f>IF($D1712="","",ROW()-3)</f>
        <v/>
      </c>
      <c r="B1712" s="18" t="n"/>
      <c r="C1712" s="13" t="n"/>
      <c r="D1712" s="13" t="n"/>
      <c r="E1712" s="13" t="n"/>
      <c r="F1712" s="17">
        <f>IF($D1712="","",IFERROR(VLOOKUP($E1712,材料归属,2,0),"※材料类别没选"))</f>
        <v/>
      </c>
      <c r="G1712" s="13" t="n"/>
      <c r="H1712" s="13" t="n"/>
      <c r="I1712" s="13" t="n"/>
      <c r="J1712" s="20" t="n"/>
      <c r="K1712" s="14" t="n"/>
      <c r="L1712" s="19">
        <f>IF($D1712="","",ROUND(IF($J1712="",1,$J1712)*N($K1712),2))</f>
        <v/>
      </c>
      <c r="M1712" s="13" t="n"/>
      <c r="N1712" s="17">
        <f>IF($D1712="","",IF(ISNA(MATCH($D1712,项目名表,0)),"※项目不在项目台账里",IF($F1712="※材料类别没选","※材料类别没选",IF(AND($C1712&lt;&gt;"",ISNA(MATCH($C1712,供应商表,0))),"※供应商不在基础资料里",""))))</f>
        <v/>
      </c>
    </row>
    <row r="1713">
      <c r="A1713" s="17">
        <f>IF($D1713="","",ROW()-3)</f>
        <v/>
      </c>
      <c r="B1713" s="18" t="n"/>
      <c r="C1713" s="13" t="n"/>
      <c r="D1713" s="13" t="n"/>
      <c r="E1713" s="13" t="n"/>
      <c r="F1713" s="17">
        <f>IF($D1713="","",IFERROR(VLOOKUP($E1713,材料归属,2,0),"※材料类别没选"))</f>
        <v/>
      </c>
      <c r="G1713" s="13" t="n"/>
      <c r="H1713" s="13" t="n"/>
      <c r="I1713" s="13" t="n"/>
      <c r="J1713" s="20" t="n"/>
      <c r="K1713" s="14" t="n"/>
      <c r="L1713" s="19">
        <f>IF($D1713="","",ROUND(IF($J1713="",1,$J1713)*N($K1713),2))</f>
        <v/>
      </c>
      <c r="M1713" s="13" t="n"/>
      <c r="N1713" s="17">
        <f>IF($D1713="","",IF(ISNA(MATCH($D1713,项目名表,0)),"※项目不在项目台账里",IF($F1713="※材料类别没选","※材料类别没选",IF(AND($C1713&lt;&gt;"",ISNA(MATCH($C1713,供应商表,0))),"※供应商不在基础资料里",""))))</f>
        <v/>
      </c>
    </row>
    <row r="1714">
      <c r="A1714" s="17">
        <f>IF($D1714="","",ROW()-3)</f>
        <v/>
      </c>
      <c r="B1714" s="18" t="n"/>
      <c r="C1714" s="13" t="n"/>
      <c r="D1714" s="13" t="n"/>
      <c r="E1714" s="13" t="n"/>
      <c r="F1714" s="17">
        <f>IF($D1714="","",IFERROR(VLOOKUP($E1714,材料归属,2,0),"※材料类别没选"))</f>
        <v/>
      </c>
      <c r="G1714" s="13" t="n"/>
      <c r="H1714" s="13" t="n"/>
      <c r="I1714" s="13" t="n"/>
      <c r="J1714" s="20" t="n"/>
      <c r="K1714" s="14" t="n"/>
      <c r="L1714" s="19">
        <f>IF($D1714="","",ROUND(IF($J1714="",1,$J1714)*N($K1714),2))</f>
        <v/>
      </c>
      <c r="M1714" s="13" t="n"/>
      <c r="N1714" s="17">
        <f>IF($D1714="","",IF(ISNA(MATCH($D1714,项目名表,0)),"※项目不在项目台账里",IF($F1714="※材料类别没选","※材料类别没选",IF(AND($C1714&lt;&gt;"",ISNA(MATCH($C1714,供应商表,0))),"※供应商不在基础资料里",""))))</f>
        <v/>
      </c>
    </row>
    <row r="1715">
      <c r="A1715" s="17">
        <f>IF($D1715="","",ROW()-3)</f>
        <v/>
      </c>
      <c r="B1715" s="18" t="n"/>
      <c r="C1715" s="13" t="n"/>
      <c r="D1715" s="13" t="n"/>
      <c r="E1715" s="13" t="n"/>
      <c r="F1715" s="17">
        <f>IF($D1715="","",IFERROR(VLOOKUP($E1715,材料归属,2,0),"※材料类别没选"))</f>
        <v/>
      </c>
      <c r="G1715" s="13" t="n"/>
      <c r="H1715" s="13" t="n"/>
      <c r="I1715" s="13" t="n"/>
      <c r="J1715" s="20" t="n"/>
      <c r="K1715" s="14" t="n"/>
      <c r="L1715" s="19">
        <f>IF($D1715="","",ROUND(IF($J1715="",1,$J1715)*N($K1715),2))</f>
        <v/>
      </c>
      <c r="M1715" s="13" t="n"/>
      <c r="N1715" s="17">
        <f>IF($D1715="","",IF(ISNA(MATCH($D1715,项目名表,0)),"※项目不在项目台账里",IF($F1715="※材料类别没选","※材料类别没选",IF(AND($C1715&lt;&gt;"",ISNA(MATCH($C1715,供应商表,0))),"※供应商不在基础资料里",""))))</f>
        <v/>
      </c>
    </row>
    <row r="1716">
      <c r="A1716" s="17">
        <f>IF($D1716="","",ROW()-3)</f>
        <v/>
      </c>
      <c r="B1716" s="18" t="n"/>
      <c r="C1716" s="13" t="n"/>
      <c r="D1716" s="13" t="n"/>
      <c r="E1716" s="13" t="n"/>
      <c r="F1716" s="17">
        <f>IF($D1716="","",IFERROR(VLOOKUP($E1716,材料归属,2,0),"※材料类别没选"))</f>
        <v/>
      </c>
      <c r="G1716" s="13" t="n"/>
      <c r="H1716" s="13" t="n"/>
      <c r="I1716" s="13" t="n"/>
      <c r="J1716" s="20" t="n"/>
      <c r="K1716" s="14" t="n"/>
      <c r="L1716" s="19">
        <f>IF($D1716="","",ROUND(IF($J1716="",1,$J1716)*N($K1716),2))</f>
        <v/>
      </c>
      <c r="M1716" s="13" t="n"/>
      <c r="N1716" s="17">
        <f>IF($D1716="","",IF(ISNA(MATCH($D1716,项目名表,0)),"※项目不在项目台账里",IF($F1716="※材料类别没选","※材料类别没选",IF(AND($C1716&lt;&gt;"",ISNA(MATCH($C1716,供应商表,0))),"※供应商不在基础资料里",""))))</f>
        <v/>
      </c>
    </row>
    <row r="1717">
      <c r="A1717" s="17">
        <f>IF($D1717="","",ROW()-3)</f>
        <v/>
      </c>
      <c r="B1717" s="18" t="n"/>
      <c r="C1717" s="13" t="n"/>
      <c r="D1717" s="13" t="n"/>
      <c r="E1717" s="13" t="n"/>
      <c r="F1717" s="17">
        <f>IF($D1717="","",IFERROR(VLOOKUP($E1717,材料归属,2,0),"※材料类别没选"))</f>
        <v/>
      </c>
      <c r="G1717" s="13" t="n"/>
      <c r="H1717" s="13" t="n"/>
      <c r="I1717" s="13" t="n"/>
      <c r="J1717" s="20" t="n"/>
      <c r="K1717" s="14" t="n"/>
      <c r="L1717" s="19">
        <f>IF($D1717="","",ROUND(IF($J1717="",1,$J1717)*N($K1717),2))</f>
        <v/>
      </c>
      <c r="M1717" s="13" t="n"/>
      <c r="N1717" s="17">
        <f>IF($D1717="","",IF(ISNA(MATCH($D1717,项目名表,0)),"※项目不在项目台账里",IF($F1717="※材料类别没选","※材料类别没选",IF(AND($C1717&lt;&gt;"",ISNA(MATCH($C1717,供应商表,0))),"※供应商不在基础资料里",""))))</f>
        <v/>
      </c>
    </row>
    <row r="1718">
      <c r="A1718" s="17">
        <f>IF($D1718="","",ROW()-3)</f>
        <v/>
      </c>
      <c r="B1718" s="18" t="n"/>
      <c r="C1718" s="13" t="n"/>
      <c r="D1718" s="13" t="n"/>
      <c r="E1718" s="13" t="n"/>
      <c r="F1718" s="17">
        <f>IF($D1718="","",IFERROR(VLOOKUP($E1718,材料归属,2,0),"※材料类别没选"))</f>
        <v/>
      </c>
      <c r="G1718" s="13" t="n"/>
      <c r="H1718" s="13" t="n"/>
      <c r="I1718" s="13" t="n"/>
      <c r="J1718" s="20" t="n"/>
      <c r="K1718" s="14" t="n"/>
      <c r="L1718" s="19">
        <f>IF($D1718="","",ROUND(IF($J1718="",1,$J1718)*N($K1718),2))</f>
        <v/>
      </c>
      <c r="M1718" s="13" t="n"/>
      <c r="N1718" s="17">
        <f>IF($D1718="","",IF(ISNA(MATCH($D1718,项目名表,0)),"※项目不在项目台账里",IF($F1718="※材料类别没选","※材料类别没选",IF(AND($C1718&lt;&gt;"",ISNA(MATCH($C1718,供应商表,0))),"※供应商不在基础资料里",""))))</f>
        <v/>
      </c>
    </row>
    <row r="1719">
      <c r="A1719" s="17">
        <f>IF($D1719="","",ROW()-3)</f>
        <v/>
      </c>
      <c r="B1719" s="18" t="n"/>
      <c r="C1719" s="13" t="n"/>
      <c r="D1719" s="13" t="n"/>
      <c r="E1719" s="13" t="n"/>
      <c r="F1719" s="17">
        <f>IF($D1719="","",IFERROR(VLOOKUP($E1719,材料归属,2,0),"※材料类别没选"))</f>
        <v/>
      </c>
      <c r="G1719" s="13" t="n"/>
      <c r="H1719" s="13" t="n"/>
      <c r="I1719" s="13" t="n"/>
      <c r="J1719" s="20" t="n"/>
      <c r="K1719" s="14" t="n"/>
      <c r="L1719" s="19">
        <f>IF($D1719="","",ROUND(IF($J1719="",1,$J1719)*N($K1719),2))</f>
        <v/>
      </c>
      <c r="M1719" s="13" t="n"/>
      <c r="N1719" s="17">
        <f>IF($D1719="","",IF(ISNA(MATCH($D1719,项目名表,0)),"※项目不在项目台账里",IF($F1719="※材料类别没选","※材料类别没选",IF(AND($C1719&lt;&gt;"",ISNA(MATCH($C1719,供应商表,0))),"※供应商不在基础资料里",""))))</f>
        <v/>
      </c>
    </row>
    <row r="1720">
      <c r="A1720" s="17">
        <f>IF($D1720="","",ROW()-3)</f>
        <v/>
      </c>
      <c r="B1720" s="18" t="n"/>
      <c r="C1720" s="13" t="n"/>
      <c r="D1720" s="13" t="n"/>
      <c r="E1720" s="13" t="n"/>
      <c r="F1720" s="17">
        <f>IF($D1720="","",IFERROR(VLOOKUP($E1720,材料归属,2,0),"※材料类别没选"))</f>
        <v/>
      </c>
      <c r="G1720" s="13" t="n"/>
      <c r="H1720" s="13" t="n"/>
      <c r="I1720" s="13" t="n"/>
      <c r="J1720" s="20" t="n"/>
      <c r="K1720" s="14" t="n"/>
      <c r="L1720" s="19">
        <f>IF($D1720="","",ROUND(IF($J1720="",1,$J1720)*N($K1720),2))</f>
        <v/>
      </c>
      <c r="M1720" s="13" t="n"/>
      <c r="N1720" s="17">
        <f>IF($D1720="","",IF(ISNA(MATCH($D1720,项目名表,0)),"※项目不在项目台账里",IF($F1720="※材料类别没选","※材料类别没选",IF(AND($C1720&lt;&gt;"",ISNA(MATCH($C1720,供应商表,0))),"※供应商不在基础资料里",""))))</f>
        <v/>
      </c>
    </row>
    <row r="1721">
      <c r="A1721" s="17">
        <f>IF($D1721="","",ROW()-3)</f>
        <v/>
      </c>
      <c r="B1721" s="18" t="n"/>
      <c r="C1721" s="13" t="n"/>
      <c r="D1721" s="13" t="n"/>
      <c r="E1721" s="13" t="n"/>
      <c r="F1721" s="17">
        <f>IF($D1721="","",IFERROR(VLOOKUP($E1721,材料归属,2,0),"※材料类别没选"))</f>
        <v/>
      </c>
      <c r="G1721" s="13" t="n"/>
      <c r="H1721" s="13" t="n"/>
      <c r="I1721" s="13" t="n"/>
      <c r="J1721" s="20" t="n"/>
      <c r="K1721" s="14" t="n"/>
      <c r="L1721" s="19">
        <f>IF($D1721="","",ROUND(IF($J1721="",1,$J1721)*N($K1721),2))</f>
        <v/>
      </c>
      <c r="M1721" s="13" t="n"/>
      <c r="N1721" s="17">
        <f>IF($D1721="","",IF(ISNA(MATCH($D1721,项目名表,0)),"※项目不在项目台账里",IF($F1721="※材料类别没选","※材料类别没选",IF(AND($C1721&lt;&gt;"",ISNA(MATCH($C1721,供应商表,0))),"※供应商不在基础资料里",""))))</f>
        <v/>
      </c>
    </row>
    <row r="1722">
      <c r="A1722" s="17">
        <f>IF($D1722="","",ROW()-3)</f>
        <v/>
      </c>
      <c r="B1722" s="18" t="n"/>
      <c r="C1722" s="13" t="n"/>
      <c r="D1722" s="13" t="n"/>
      <c r="E1722" s="13" t="n"/>
      <c r="F1722" s="17">
        <f>IF($D1722="","",IFERROR(VLOOKUP($E1722,材料归属,2,0),"※材料类别没选"))</f>
        <v/>
      </c>
      <c r="G1722" s="13" t="n"/>
      <c r="H1722" s="13" t="n"/>
      <c r="I1722" s="13" t="n"/>
      <c r="J1722" s="20" t="n"/>
      <c r="K1722" s="14" t="n"/>
      <c r="L1722" s="19">
        <f>IF($D1722="","",ROUND(IF($J1722="",1,$J1722)*N($K1722),2))</f>
        <v/>
      </c>
      <c r="M1722" s="13" t="n"/>
      <c r="N1722" s="17">
        <f>IF($D1722="","",IF(ISNA(MATCH($D1722,项目名表,0)),"※项目不在项目台账里",IF($F1722="※材料类别没选","※材料类别没选",IF(AND($C1722&lt;&gt;"",ISNA(MATCH($C1722,供应商表,0))),"※供应商不在基础资料里",""))))</f>
        <v/>
      </c>
    </row>
    <row r="1723">
      <c r="A1723" s="17">
        <f>IF($D1723="","",ROW()-3)</f>
        <v/>
      </c>
      <c r="B1723" s="18" t="n"/>
      <c r="C1723" s="13" t="n"/>
      <c r="D1723" s="13" t="n"/>
      <c r="E1723" s="13" t="n"/>
      <c r="F1723" s="17">
        <f>IF($D1723="","",IFERROR(VLOOKUP($E1723,材料归属,2,0),"※材料类别没选"))</f>
        <v/>
      </c>
      <c r="G1723" s="13" t="n"/>
      <c r="H1723" s="13" t="n"/>
      <c r="I1723" s="13" t="n"/>
      <c r="J1723" s="20" t="n"/>
      <c r="K1723" s="14" t="n"/>
      <c r="L1723" s="19">
        <f>IF($D1723="","",ROUND(IF($J1723="",1,$J1723)*N($K1723),2))</f>
        <v/>
      </c>
      <c r="M1723" s="13" t="n"/>
      <c r="N1723" s="17">
        <f>IF($D1723="","",IF(ISNA(MATCH($D1723,项目名表,0)),"※项目不在项目台账里",IF($F1723="※材料类别没选","※材料类别没选",IF(AND($C1723&lt;&gt;"",ISNA(MATCH($C1723,供应商表,0))),"※供应商不在基础资料里",""))))</f>
        <v/>
      </c>
    </row>
    <row r="1724">
      <c r="A1724" s="17">
        <f>IF($D1724="","",ROW()-3)</f>
        <v/>
      </c>
      <c r="B1724" s="18" t="n"/>
      <c r="C1724" s="13" t="n"/>
      <c r="D1724" s="13" t="n"/>
      <c r="E1724" s="13" t="n"/>
      <c r="F1724" s="17">
        <f>IF($D1724="","",IFERROR(VLOOKUP($E1724,材料归属,2,0),"※材料类别没选"))</f>
        <v/>
      </c>
      <c r="G1724" s="13" t="n"/>
      <c r="H1724" s="13" t="n"/>
      <c r="I1724" s="13" t="n"/>
      <c r="J1724" s="20" t="n"/>
      <c r="K1724" s="14" t="n"/>
      <c r="L1724" s="19">
        <f>IF($D1724="","",ROUND(IF($J1724="",1,$J1724)*N($K1724),2))</f>
        <v/>
      </c>
      <c r="M1724" s="13" t="n"/>
      <c r="N1724" s="17">
        <f>IF($D1724="","",IF(ISNA(MATCH($D1724,项目名表,0)),"※项目不在项目台账里",IF($F1724="※材料类别没选","※材料类别没选",IF(AND($C1724&lt;&gt;"",ISNA(MATCH($C1724,供应商表,0))),"※供应商不在基础资料里",""))))</f>
        <v/>
      </c>
    </row>
    <row r="1725">
      <c r="A1725" s="17">
        <f>IF($D1725="","",ROW()-3)</f>
        <v/>
      </c>
      <c r="B1725" s="18" t="n"/>
      <c r="C1725" s="13" t="n"/>
      <c r="D1725" s="13" t="n"/>
      <c r="E1725" s="13" t="n"/>
      <c r="F1725" s="17">
        <f>IF($D1725="","",IFERROR(VLOOKUP($E1725,材料归属,2,0),"※材料类别没选"))</f>
        <v/>
      </c>
      <c r="G1725" s="13" t="n"/>
      <c r="H1725" s="13" t="n"/>
      <c r="I1725" s="13" t="n"/>
      <c r="J1725" s="20" t="n"/>
      <c r="K1725" s="14" t="n"/>
      <c r="L1725" s="19">
        <f>IF($D1725="","",ROUND(IF($J1725="",1,$J1725)*N($K1725),2))</f>
        <v/>
      </c>
      <c r="M1725" s="13" t="n"/>
      <c r="N1725" s="17">
        <f>IF($D1725="","",IF(ISNA(MATCH($D1725,项目名表,0)),"※项目不在项目台账里",IF($F1725="※材料类别没选","※材料类别没选",IF(AND($C1725&lt;&gt;"",ISNA(MATCH($C1725,供应商表,0))),"※供应商不在基础资料里",""))))</f>
        <v/>
      </c>
    </row>
    <row r="1726">
      <c r="A1726" s="17">
        <f>IF($D1726="","",ROW()-3)</f>
        <v/>
      </c>
      <c r="B1726" s="18" t="n"/>
      <c r="C1726" s="13" t="n"/>
      <c r="D1726" s="13" t="n"/>
      <c r="E1726" s="13" t="n"/>
      <c r="F1726" s="17">
        <f>IF($D1726="","",IFERROR(VLOOKUP($E1726,材料归属,2,0),"※材料类别没选"))</f>
        <v/>
      </c>
      <c r="G1726" s="13" t="n"/>
      <c r="H1726" s="13" t="n"/>
      <c r="I1726" s="13" t="n"/>
      <c r="J1726" s="20" t="n"/>
      <c r="K1726" s="14" t="n"/>
      <c r="L1726" s="19">
        <f>IF($D1726="","",ROUND(IF($J1726="",1,$J1726)*N($K1726),2))</f>
        <v/>
      </c>
      <c r="M1726" s="13" t="n"/>
      <c r="N1726" s="17">
        <f>IF($D1726="","",IF(ISNA(MATCH($D1726,项目名表,0)),"※项目不在项目台账里",IF($F1726="※材料类别没选","※材料类别没选",IF(AND($C1726&lt;&gt;"",ISNA(MATCH($C1726,供应商表,0))),"※供应商不在基础资料里",""))))</f>
        <v/>
      </c>
    </row>
    <row r="1727">
      <c r="A1727" s="17">
        <f>IF($D1727="","",ROW()-3)</f>
        <v/>
      </c>
      <c r="B1727" s="18" t="n"/>
      <c r="C1727" s="13" t="n"/>
      <c r="D1727" s="13" t="n"/>
      <c r="E1727" s="13" t="n"/>
      <c r="F1727" s="17">
        <f>IF($D1727="","",IFERROR(VLOOKUP($E1727,材料归属,2,0),"※材料类别没选"))</f>
        <v/>
      </c>
      <c r="G1727" s="13" t="n"/>
      <c r="H1727" s="13" t="n"/>
      <c r="I1727" s="13" t="n"/>
      <c r="J1727" s="20" t="n"/>
      <c r="K1727" s="14" t="n"/>
      <c r="L1727" s="19">
        <f>IF($D1727="","",ROUND(IF($J1727="",1,$J1727)*N($K1727),2))</f>
        <v/>
      </c>
      <c r="M1727" s="13" t="n"/>
      <c r="N1727" s="17">
        <f>IF($D1727="","",IF(ISNA(MATCH($D1727,项目名表,0)),"※项目不在项目台账里",IF($F1727="※材料类别没选","※材料类别没选",IF(AND($C1727&lt;&gt;"",ISNA(MATCH($C1727,供应商表,0))),"※供应商不在基础资料里",""))))</f>
        <v/>
      </c>
    </row>
    <row r="1728">
      <c r="A1728" s="17">
        <f>IF($D1728="","",ROW()-3)</f>
        <v/>
      </c>
      <c r="B1728" s="18" t="n"/>
      <c r="C1728" s="13" t="n"/>
      <c r="D1728" s="13" t="n"/>
      <c r="E1728" s="13" t="n"/>
      <c r="F1728" s="17">
        <f>IF($D1728="","",IFERROR(VLOOKUP($E1728,材料归属,2,0),"※材料类别没选"))</f>
        <v/>
      </c>
      <c r="G1728" s="13" t="n"/>
      <c r="H1728" s="13" t="n"/>
      <c r="I1728" s="13" t="n"/>
      <c r="J1728" s="20" t="n"/>
      <c r="K1728" s="14" t="n"/>
      <c r="L1728" s="19">
        <f>IF($D1728="","",ROUND(IF($J1728="",1,$J1728)*N($K1728),2))</f>
        <v/>
      </c>
      <c r="M1728" s="13" t="n"/>
      <c r="N1728" s="17">
        <f>IF($D1728="","",IF(ISNA(MATCH($D1728,项目名表,0)),"※项目不在项目台账里",IF($F1728="※材料类别没选","※材料类别没选",IF(AND($C1728&lt;&gt;"",ISNA(MATCH($C1728,供应商表,0))),"※供应商不在基础资料里",""))))</f>
        <v/>
      </c>
    </row>
    <row r="1729">
      <c r="A1729" s="17">
        <f>IF($D1729="","",ROW()-3)</f>
        <v/>
      </c>
      <c r="B1729" s="18" t="n"/>
      <c r="C1729" s="13" t="n"/>
      <c r="D1729" s="13" t="n"/>
      <c r="E1729" s="13" t="n"/>
      <c r="F1729" s="17">
        <f>IF($D1729="","",IFERROR(VLOOKUP($E1729,材料归属,2,0),"※材料类别没选"))</f>
        <v/>
      </c>
      <c r="G1729" s="13" t="n"/>
      <c r="H1729" s="13" t="n"/>
      <c r="I1729" s="13" t="n"/>
      <c r="J1729" s="20" t="n"/>
      <c r="K1729" s="14" t="n"/>
      <c r="L1729" s="19">
        <f>IF($D1729="","",ROUND(IF($J1729="",1,$J1729)*N($K1729),2))</f>
        <v/>
      </c>
      <c r="M1729" s="13" t="n"/>
      <c r="N1729" s="17">
        <f>IF($D1729="","",IF(ISNA(MATCH($D1729,项目名表,0)),"※项目不在项目台账里",IF($F1729="※材料类别没选","※材料类别没选",IF(AND($C1729&lt;&gt;"",ISNA(MATCH($C1729,供应商表,0))),"※供应商不在基础资料里",""))))</f>
        <v/>
      </c>
    </row>
    <row r="1730">
      <c r="A1730" s="17">
        <f>IF($D1730="","",ROW()-3)</f>
        <v/>
      </c>
      <c r="B1730" s="18" t="n"/>
      <c r="C1730" s="13" t="n"/>
      <c r="D1730" s="13" t="n"/>
      <c r="E1730" s="13" t="n"/>
      <c r="F1730" s="17">
        <f>IF($D1730="","",IFERROR(VLOOKUP($E1730,材料归属,2,0),"※材料类别没选"))</f>
        <v/>
      </c>
      <c r="G1730" s="13" t="n"/>
      <c r="H1730" s="13" t="n"/>
      <c r="I1730" s="13" t="n"/>
      <c r="J1730" s="20" t="n"/>
      <c r="K1730" s="14" t="n"/>
      <c r="L1730" s="19">
        <f>IF($D1730="","",ROUND(IF($J1730="",1,$J1730)*N($K1730),2))</f>
        <v/>
      </c>
      <c r="M1730" s="13" t="n"/>
      <c r="N1730" s="17">
        <f>IF($D1730="","",IF(ISNA(MATCH($D1730,项目名表,0)),"※项目不在项目台账里",IF($F1730="※材料类别没选","※材料类别没选",IF(AND($C1730&lt;&gt;"",ISNA(MATCH($C1730,供应商表,0))),"※供应商不在基础资料里",""))))</f>
        <v/>
      </c>
    </row>
    <row r="1731">
      <c r="A1731" s="17">
        <f>IF($D1731="","",ROW()-3)</f>
        <v/>
      </c>
      <c r="B1731" s="18" t="n"/>
      <c r="C1731" s="13" t="n"/>
      <c r="D1731" s="13" t="n"/>
      <c r="E1731" s="13" t="n"/>
      <c r="F1731" s="17">
        <f>IF($D1731="","",IFERROR(VLOOKUP($E1731,材料归属,2,0),"※材料类别没选"))</f>
        <v/>
      </c>
      <c r="G1731" s="13" t="n"/>
      <c r="H1731" s="13" t="n"/>
      <c r="I1731" s="13" t="n"/>
      <c r="J1731" s="20" t="n"/>
      <c r="K1731" s="14" t="n"/>
      <c r="L1731" s="19">
        <f>IF($D1731="","",ROUND(IF($J1731="",1,$J1731)*N($K1731),2))</f>
        <v/>
      </c>
      <c r="M1731" s="13" t="n"/>
      <c r="N1731" s="17">
        <f>IF($D1731="","",IF(ISNA(MATCH($D1731,项目名表,0)),"※项目不在项目台账里",IF($F1731="※材料类别没选","※材料类别没选",IF(AND($C1731&lt;&gt;"",ISNA(MATCH($C1731,供应商表,0))),"※供应商不在基础资料里",""))))</f>
        <v/>
      </c>
    </row>
    <row r="1732">
      <c r="A1732" s="17">
        <f>IF($D1732="","",ROW()-3)</f>
        <v/>
      </c>
      <c r="B1732" s="18" t="n"/>
      <c r="C1732" s="13" t="n"/>
      <c r="D1732" s="13" t="n"/>
      <c r="E1732" s="13" t="n"/>
      <c r="F1732" s="17">
        <f>IF($D1732="","",IFERROR(VLOOKUP($E1732,材料归属,2,0),"※材料类别没选"))</f>
        <v/>
      </c>
      <c r="G1732" s="13" t="n"/>
      <c r="H1732" s="13" t="n"/>
      <c r="I1732" s="13" t="n"/>
      <c r="J1732" s="20" t="n"/>
      <c r="K1732" s="14" t="n"/>
      <c r="L1732" s="19">
        <f>IF($D1732="","",ROUND(IF($J1732="",1,$J1732)*N($K1732),2))</f>
        <v/>
      </c>
      <c r="M1732" s="13" t="n"/>
      <c r="N1732" s="17">
        <f>IF($D1732="","",IF(ISNA(MATCH($D1732,项目名表,0)),"※项目不在项目台账里",IF($F1732="※材料类别没选","※材料类别没选",IF(AND($C1732&lt;&gt;"",ISNA(MATCH($C1732,供应商表,0))),"※供应商不在基础资料里",""))))</f>
        <v/>
      </c>
    </row>
    <row r="1733">
      <c r="A1733" s="17">
        <f>IF($D1733="","",ROW()-3)</f>
        <v/>
      </c>
      <c r="B1733" s="18" t="n"/>
      <c r="C1733" s="13" t="n"/>
      <c r="D1733" s="13" t="n"/>
      <c r="E1733" s="13" t="n"/>
      <c r="F1733" s="17">
        <f>IF($D1733="","",IFERROR(VLOOKUP($E1733,材料归属,2,0),"※材料类别没选"))</f>
        <v/>
      </c>
      <c r="G1733" s="13" t="n"/>
      <c r="H1733" s="13" t="n"/>
      <c r="I1733" s="13" t="n"/>
      <c r="J1733" s="20" t="n"/>
      <c r="K1733" s="14" t="n"/>
      <c r="L1733" s="19">
        <f>IF($D1733="","",ROUND(IF($J1733="",1,$J1733)*N($K1733),2))</f>
        <v/>
      </c>
      <c r="M1733" s="13" t="n"/>
      <c r="N1733" s="17">
        <f>IF($D1733="","",IF(ISNA(MATCH($D1733,项目名表,0)),"※项目不在项目台账里",IF($F1733="※材料类别没选","※材料类别没选",IF(AND($C1733&lt;&gt;"",ISNA(MATCH($C1733,供应商表,0))),"※供应商不在基础资料里",""))))</f>
        <v/>
      </c>
    </row>
    <row r="1734">
      <c r="A1734" s="17">
        <f>IF($D1734="","",ROW()-3)</f>
        <v/>
      </c>
      <c r="B1734" s="18" t="n"/>
      <c r="C1734" s="13" t="n"/>
      <c r="D1734" s="13" t="n"/>
      <c r="E1734" s="13" t="n"/>
      <c r="F1734" s="17">
        <f>IF($D1734="","",IFERROR(VLOOKUP($E1734,材料归属,2,0),"※材料类别没选"))</f>
        <v/>
      </c>
      <c r="G1734" s="13" t="n"/>
      <c r="H1734" s="13" t="n"/>
      <c r="I1734" s="13" t="n"/>
      <c r="J1734" s="20" t="n"/>
      <c r="K1734" s="14" t="n"/>
      <c r="L1734" s="19">
        <f>IF($D1734="","",ROUND(IF($J1734="",1,$J1734)*N($K1734),2))</f>
        <v/>
      </c>
      <c r="M1734" s="13" t="n"/>
      <c r="N1734" s="17">
        <f>IF($D1734="","",IF(ISNA(MATCH($D1734,项目名表,0)),"※项目不在项目台账里",IF($F1734="※材料类别没选","※材料类别没选",IF(AND($C1734&lt;&gt;"",ISNA(MATCH($C1734,供应商表,0))),"※供应商不在基础资料里",""))))</f>
        <v/>
      </c>
    </row>
    <row r="1735">
      <c r="A1735" s="17">
        <f>IF($D1735="","",ROW()-3)</f>
        <v/>
      </c>
      <c r="B1735" s="18" t="n"/>
      <c r="C1735" s="13" t="n"/>
      <c r="D1735" s="13" t="n"/>
      <c r="E1735" s="13" t="n"/>
      <c r="F1735" s="17">
        <f>IF($D1735="","",IFERROR(VLOOKUP($E1735,材料归属,2,0),"※材料类别没选"))</f>
        <v/>
      </c>
      <c r="G1735" s="13" t="n"/>
      <c r="H1735" s="13" t="n"/>
      <c r="I1735" s="13" t="n"/>
      <c r="J1735" s="20" t="n"/>
      <c r="K1735" s="14" t="n"/>
      <c r="L1735" s="19">
        <f>IF($D1735="","",ROUND(IF($J1735="",1,$J1735)*N($K1735),2))</f>
        <v/>
      </c>
      <c r="M1735" s="13" t="n"/>
      <c r="N1735" s="17">
        <f>IF($D1735="","",IF(ISNA(MATCH($D1735,项目名表,0)),"※项目不在项目台账里",IF($F1735="※材料类别没选","※材料类别没选",IF(AND($C1735&lt;&gt;"",ISNA(MATCH($C1735,供应商表,0))),"※供应商不在基础资料里",""))))</f>
        <v/>
      </c>
    </row>
    <row r="1736">
      <c r="A1736" s="17">
        <f>IF($D1736="","",ROW()-3)</f>
        <v/>
      </c>
      <c r="B1736" s="18" t="n"/>
      <c r="C1736" s="13" t="n"/>
      <c r="D1736" s="13" t="n"/>
      <c r="E1736" s="13" t="n"/>
      <c r="F1736" s="17">
        <f>IF($D1736="","",IFERROR(VLOOKUP($E1736,材料归属,2,0),"※材料类别没选"))</f>
        <v/>
      </c>
      <c r="G1736" s="13" t="n"/>
      <c r="H1736" s="13" t="n"/>
      <c r="I1736" s="13" t="n"/>
      <c r="J1736" s="20" t="n"/>
      <c r="K1736" s="14" t="n"/>
      <c r="L1736" s="19">
        <f>IF($D1736="","",ROUND(IF($J1736="",1,$J1736)*N($K1736),2))</f>
        <v/>
      </c>
      <c r="M1736" s="13" t="n"/>
      <c r="N1736" s="17">
        <f>IF($D1736="","",IF(ISNA(MATCH($D1736,项目名表,0)),"※项目不在项目台账里",IF($F1736="※材料类别没选","※材料类别没选",IF(AND($C1736&lt;&gt;"",ISNA(MATCH($C1736,供应商表,0))),"※供应商不在基础资料里",""))))</f>
        <v/>
      </c>
    </row>
    <row r="1737">
      <c r="A1737" s="17">
        <f>IF($D1737="","",ROW()-3)</f>
        <v/>
      </c>
      <c r="B1737" s="18" t="n"/>
      <c r="C1737" s="13" t="n"/>
      <c r="D1737" s="13" t="n"/>
      <c r="E1737" s="13" t="n"/>
      <c r="F1737" s="17">
        <f>IF($D1737="","",IFERROR(VLOOKUP($E1737,材料归属,2,0),"※材料类别没选"))</f>
        <v/>
      </c>
      <c r="G1737" s="13" t="n"/>
      <c r="H1737" s="13" t="n"/>
      <c r="I1737" s="13" t="n"/>
      <c r="J1737" s="20" t="n"/>
      <c r="K1737" s="14" t="n"/>
      <c r="L1737" s="19">
        <f>IF($D1737="","",ROUND(IF($J1737="",1,$J1737)*N($K1737),2))</f>
        <v/>
      </c>
      <c r="M1737" s="13" t="n"/>
      <c r="N1737" s="17">
        <f>IF($D1737="","",IF(ISNA(MATCH($D1737,项目名表,0)),"※项目不在项目台账里",IF($F1737="※材料类别没选","※材料类别没选",IF(AND($C1737&lt;&gt;"",ISNA(MATCH($C1737,供应商表,0))),"※供应商不在基础资料里",""))))</f>
        <v/>
      </c>
    </row>
    <row r="1738">
      <c r="A1738" s="17">
        <f>IF($D1738="","",ROW()-3)</f>
        <v/>
      </c>
      <c r="B1738" s="18" t="n"/>
      <c r="C1738" s="13" t="n"/>
      <c r="D1738" s="13" t="n"/>
      <c r="E1738" s="13" t="n"/>
      <c r="F1738" s="17">
        <f>IF($D1738="","",IFERROR(VLOOKUP($E1738,材料归属,2,0),"※材料类别没选"))</f>
        <v/>
      </c>
      <c r="G1738" s="13" t="n"/>
      <c r="H1738" s="13" t="n"/>
      <c r="I1738" s="13" t="n"/>
      <c r="J1738" s="20" t="n"/>
      <c r="K1738" s="14" t="n"/>
      <c r="L1738" s="19">
        <f>IF($D1738="","",ROUND(IF($J1738="",1,$J1738)*N($K1738),2))</f>
        <v/>
      </c>
      <c r="M1738" s="13" t="n"/>
      <c r="N1738" s="17">
        <f>IF($D1738="","",IF(ISNA(MATCH($D1738,项目名表,0)),"※项目不在项目台账里",IF($F1738="※材料类别没选","※材料类别没选",IF(AND($C1738&lt;&gt;"",ISNA(MATCH($C1738,供应商表,0))),"※供应商不在基础资料里",""))))</f>
        <v/>
      </c>
    </row>
    <row r="1739">
      <c r="A1739" s="17">
        <f>IF($D1739="","",ROW()-3)</f>
        <v/>
      </c>
      <c r="B1739" s="18" t="n"/>
      <c r="C1739" s="13" t="n"/>
      <c r="D1739" s="13" t="n"/>
      <c r="E1739" s="13" t="n"/>
      <c r="F1739" s="17">
        <f>IF($D1739="","",IFERROR(VLOOKUP($E1739,材料归属,2,0),"※材料类别没选"))</f>
        <v/>
      </c>
      <c r="G1739" s="13" t="n"/>
      <c r="H1739" s="13" t="n"/>
      <c r="I1739" s="13" t="n"/>
      <c r="J1739" s="20" t="n"/>
      <c r="K1739" s="14" t="n"/>
      <c r="L1739" s="19">
        <f>IF($D1739="","",ROUND(IF($J1739="",1,$J1739)*N($K1739),2))</f>
        <v/>
      </c>
      <c r="M1739" s="13" t="n"/>
      <c r="N1739" s="17">
        <f>IF($D1739="","",IF(ISNA(MATCH($D1739,项目名表,0)),"※项目不在项目台账里",IF($F1739="※材料类别没选","※材料类别没选",IF(AND($C1739&lt;&gt;"",ISNA(MATCH($C1739,供应商表,0))),"※供应商不在基础资料里",""))))</f>
        <v/>
      </c>
    </row>
    <row r="1740">
      <c r="A1740" s="17">
        <f>IF($D1740="","",ROW()-3)</f>
        <v/>
      </c>
      <c r="B1740" s="18" t="n"/>
      <c r="C1740" s="13" t="n"/>
      <c r="D1740" s="13" t="n"/>
      <c r="E1740" s="13" t="n"/>
      <c r="F1740" s="17">
        <f>IF($D1740="","",IFERROR(VLOOKUP($E1740,材料归属,2,0),"※材料类别没选"))</f>
        <v/>
      </c>
      <c r="G1740" s="13" t="n"/>
      <c r="H1740" s="13" t="n"/>
      <c r="I1740" s="13" t="n"/>
      <c r="J1740" s="20" t="n"/>
      <c r="K1740" s="14" t="n"/>
      <c r="L1740" s="19">
        <f>IF($D1740="","",ROUND(IF($J1740="",1,$J1740)*N($K1740),2))</f>
        <v/>
      </c>
      <c r="M1740" s="13" t="n"/>
      <c r="N1740" s="17">
        <f>IF($D1740="","",IF(ISNA(MATCH($D1740,项目名表,0)),"※项目不在项目台账里",IF($F1740="※材料类别没选","※材料类别没选",IF(AND($C1740&lt;&gt;"",ISNA(MATCH($C1740,供应商表,0))),"※供应商不在基础资料里",""))))</f>
        <v/>
      </c>
    </row>
    <row r="1741">
      <c r="A1741" s="17">
        <f>IF($D1741="","",ROW()-3)</f>
        <v/>
      </c>
      <c r="B1741" s="18" t="n"/>
      <c r="C1741" s="13" t="n"/>
      <c r="D1741" s="13" t="n"/>
      <c r="E1741" s="13" t="n"/>
      <c r="F1741" s="17">
        <f>IF($D1741="","",IFERROR(VLOOKUP($E1741,材料归属,2,0),"※材料类别没选"))</f>
        <v/>
      </c>
      <c r="G1741" s="13" t="n"/>
      <c r="H1741" s="13" t="n"/>
      <c r="I1741" s="13" t="n"/>
      <c r="J1741" s="20" t="n"/>
      <c r="K1741" s="14" t="n"/>
      <c r="L1741" s="19">
        <f>IF($D1741="","",ROUND(IF($J1741="",1,$J1741)*N($K1741),2))</f>
        <v/>
      </c>
      <c r="M1741" s="13" t="n"/>
      <c r="N1741" s="17">
        <f>IF($D1741="","",IF(ISNA(MATCH($D1741,项目名表,0)),"※项目不在项目台账里",IF($F1741="※材料类别没选","※材料类别没选",IF(AND($C1741&lt;&gt;"",ISNA(MATCH($C1741,供应商表,0))),"※供应商不在基础资料里",""))))</f>
        <v/>
      </c>
    </row>
    <row r="1742">
      <c r="A1742" s="17">
        <f>IF($D1742="","",ROW()-3)</f>
        <v/>
      </c>
      <c r="B1742" s="18" t="n"/>
      <c r="C1742" s="13" t="n"/>
      <c r="D1742" s="13" t="n"/>
      <c r="E1742" s="13" t="n"/>
      <c r="F1742" s="17">
        <f>IF($D1742="","",IFERROR(VLOOKUP($E1742,材料归属,2,0),"※材料类别没选"))</f>
        <v/>
      </c>
      <c r="G1742" s="13" t="n"/>
      <c r="H1742" s="13" t="n"/>
      <c r="I1742" s="13" t="n"/>
      <c r="J1742" s="20" t="n"/>
      <c r="K1742" s="14" t="n"/>
      <c r="L1742" s="19">
        <f>IF($D1742="","",ROUND(IF($J1742="",1,$J1742)*N($K1742),2))</f>
        <v/>
      </c>
      <c r="M1742" s="13" t="n"/>
      <c r="N1742" s="17">
        <f>IF($D1742="","",IF(ISNA(MATCH($D1742,项目名表,0)),"※项目不在项目台账里",IF($F1742="※材料类别没选","※材料类别没选",IF(AND($C1742&lt;&gt;"",ISNA(MATCH($C1742,供应商表,0))),"※供应商不在基础资料里",""))))</f>
        <v/>
      </c>
    </row>
    <row r="1743">
      <c r="A1743" s="17">
        <f>IF($D1743="","",ROW()-3)</f>
        <v/>
      </c>
      <c r="B1743" s="18" t="n"/>
      <c r="C1743" s="13" t="n"/>
      <c r="D1743" s="13" t="n"/>
      <c r="E1743" s="13" t="n"/>
      <c r="F1743" s="17">
        <f>IF($D1743="","",IFERROR(VLOOKUP($E1743,材料归属,2,0),"※材料类别没选"))</f>
        <v/>
      </c>
      <c r="G1743" s="13" t="n"/>
      <c r="H1743" s="13" t="n"/>
      <c r="I1743" s="13" t="n"/>
      <c r="J1743" s="20" t="n"/>
      <c r="K1743" s="14" t="n"/>
      <c r="L1743" s="19">
        <f>IF($D1743="","",ROUND(IF($J1743="",1,$J1743)*N($K1743),2))</f>
        <v/>
      </c>
      <c r="M1743" s="13" t="n"/>
      <c r="N1743" s="17">
        <f>IF($D1743="","",IF(ISNA(MATCH($D1743,项目名表,0)),"※项目不在项目台账里",IF($F1743="※材料类别没选","※材料类别没选",IF(AND($C1743&lt;&gt;"",ISNA(MATCH($C1743,供应商表,0))),"※供应商不在基础资料里",""))))</f>
        <v/>
      </c>
    </row>
    <row r="1744">
      <c r="A1744" s="17">
        <f>IF($D1744="","",ROW()-3)</f>
        <v/>
      </c>
      <c r="B1744" s="18" t="n"/>
      <c r="C1744" s="13" t="n"/>
      <c r="D1744" s="13" t="n"/>
      <c r="E1744" s="13" t="n"/>
      <c r="F1744" s="17">
        <f>IF($D1744="","",IFERROR(VLOOKUP($E1744,材料归属,2,0),"※材料类别没选"))</f>
        <v/>
      </c>
      <c r="G1744" s="13" t="n"/>
      <c r="H1744" s="13" t="n"/>
      <c r="I1744" s="13" t="n"/>
      <c r="J1744" s="20" t="n"/>
      <c r="K1744" s="14" t="n"/>
      <c r="L1744" s="19">
        <f>IF($D1744="","",ROUND(IF($J1744="",1,$J1744)*N($K1744),2))</f>
        <v/>
      </c>
      <c r="M1744" s="13" t="n"/>
      <c r="N1744" s="17">
        <f>IF($D1744="","",IF(ISNA(MATCH($D1744,项目名表,0)),"※项目不在项目台账里",IF($F1744="※材料类别没选","※材料类别没选",IF(AND($C1744&lt;&gt;"",ISNA(MATCH($C1744,供应商表,0))),"※供应商不在基础资料里",""))))</f>
        <v/>
      </c>
    </row>
    <row r="1745">
      <c r="A1745" s="17">
        <f>IF($D1745="","",ROW()-3)</f>
        <v/>
      </c>
      <c r="B1745" s="18" t="n"/>
      <c r="C1745" s="13" t="n"/>
      <c r="D1745" s="13" t="n"/>
      <c r="E1745" s="13" t="n"/>
      <c r="F1745" s="17">
        <f>IF($D1745="","",IFERROR(VLOOKUP($E1745,材料归属,2,0),"※材料类别没选"))</f>
        <v/>
      </c>
      <c r="G1745" s="13" t="n"/>
      <c r="H1745" s="13" t="n"/>
      <c r="I1745" s="13" t="n"/>
      <c r="J1745" s="20" t="n"/>
      <c r="K1745" s="14" t="n"/>
      <c r="L1745" s="19">
        <f>IF($D1745="","",ROUND(IF($J1745="",1,$J1745)*N($K1745),2))</f>
        <v/>
      </c>
      <c r="M1745" s="13" t="n"/>
      <c r="N1745" s="17">
        <f>IF($D1745="","",IF(ISNA(MATCH($D1745,项目名表,0)),"※项目不在项目台账里",IF($F1745="※材料类别没选","※材料类别没选",IF(AND($C1745&lt;&gt;"",ISNA(MATCH($C1745,供应商表,0))),"※供应商不在基础资料里",""))))</f>
        <v/>
      </c>
    </row>
    <row r="1746">
      <c r="A1746" s="17">
        <f>IF($D1746="","",ROW()-3)</f>
        <v/>
      </c>
      <c r="B1746" s="18" t="n"/>
      <c r="C1746" s="13" t="n"/>
      <c r="D1746" s="13" t="n"/>
      <c r="E1746" s="13" t="n"/>
      <c r="F1746" s="17">
        <f>IF($D1746="","",IFERROR(VLOOKUP($E1746,材料归属,2,0),"※材料类别没选"))</f>
        <v/>
      </c>
      <c r="G1746" s="13" t="n"/>
      <c r="H1746" s="13" t="n"/>
      <c r="I1746" s="13" t="n"/>
      <c r="J1746" s="20" t="n"/>
      <c r="K1746" s="14" t="n"/>
      <c r="L1746" s="19">
        <f>IF($D1746="","",ROUND(IF($J1746="",1,$J1746)*N($K1746),2))</f>
        <v/>
      </c>
      <c r="M1746" s="13" t="n"/>
      <c r="N1746" s="17">
        <f>IF($D1746="","",IF(ISNA(MATCH($D1746,项目名表,0)),"※项目不在项目台账里",IF($F1746="※材料类别没选","※材料类别没选",IF(AND($C1746&lt;&gt;"",ISNA(MATCH($C1746,供应商表,0))),"※供应商不在基础资料里",""))))</f>
        <v/>
      </c>
    </row>
    <row r="1747">
      <c r="A1747" s="17">
        <f>IF($D1747="","",ROW()-3)</f>
        <v/>
      </c>
      <c r="B1747" s="18" t="n"/>
      <c r="C1747" s="13" t="n"/>
      <c r="D1747" s="13" t="n"/>
      <c r="E1747" s="13" t="n"/>
      <c r="F1747" s="17">
        <f>IF($D1747="","",IFERROR(VLOOKUP($E1747,材料归属,2,0),"※材料类别没选"))</f>
        <v/>
      </c>
      <c r="G1747" s="13" t="n"/>
      <c r="H1747" s="13" t="n"/>
      <c r="I1747" s="13" t="n"/>
      <c r="J1747" s="20" t="n"/>
      <c r="K1747" s="14" t="n"/>
      <c r="L1747" s="19">
        <f>IF($D1747="","",ROUND(IF($J1747="",1,$J1747)*N($K1747),2))</f>
        <v/>
      </c>
      <c r="M1747" s="13" t="n"/>
      <c r="N1747" s="17">
        <f>IF($D1747="","",IF(ISNA(MATCH($D1747,项目名表,0)),"※项目不在项目台账里",IF($F1747="※材料类别没选","※材料类别没选",IF(AND($C1747&lt;&gt;"",ISNA(MATCH($C1747,供应商表,0))),"※供应商不在基础资料里",""))))</f>
        <v/>
      </c>
    </row>
    <row r="1748">
      <c r="A1748" s="17">
        <f>IF($D1748="","",ROW()-3)</f>
        <v/>
      </c>
      <c r="B1748" s="18" t="n"/>
      <c r="C1748" s="13" t="n"/>
      <c r="D1748" s="13" t="n"/>
      <c r="E1748" s="13" t="n"/>
      <c r="F1748" s="17">
        <f>IF($D1748="","",IFERROR(VLOOKUP($E1748,材料归属,2,0),"※材料类别没选"))</f>
        <v/>
      </c>
      <c r="G1748" s="13" t="n"/>
      <c r="H1748" s="13" t="n"/>
      <c r="I1748" s="13" t="n"/>
      <c r="J1748" s="20" t="n"/>
      <c r="K1748" s="14" t="n"/>
      <c r="L1748" s="19">
        <f>IF($D1748="","",ROUND(IF($J1748="",1,$J1748)*N($K1748),2))</f>
        <v/>
      </c>
      <c r="M1748" s="13" t="n"/>
      <c r="N1748" s="17">
        <f>IF($D1748="","",IF(ISNA(MATCH($D1748,项目名表,0)),"※项目不在项目台账里",IF($F1748="※材料类别没选","※材料类别没选",IF(AND($C1748&lt;&gt;"",ISNA(MATCH($C1748,供应商表,0))),"※供应商不在基础资料里",""))))</f>
        <v/>
      </c>
    </row>
    <row r="1749">
      <c r="A1749" s="17">
        <f>IF($D1749="","",ROW()-3)</f>
        <v/>
      </c>
      <c r="B1749" s="18" t="n"/>
      <c r="C1749" s="13" t="n"/>
      <c r="D1749" s="13" t="n"/>
      <c r="E1749" s="13" t="n"/>
      <c r="F1749" s="17">
        <f>IF($D1749="","",IFERROR(VLOOKUP($E1749,材料归属,2,0),"※材料类别没选"))</f>
        <v/>
      </c>
      <c r="G1749" s="13" t="n"/>
      <c r="H1749" s="13" t="n"/>
      <c r="I1749" s="13" t="n"/>
      <c r="J1749" s="20" t="n"/>
      <c r="K1749" s="14" t="n"/>
      <c r="L1749" s="19">
        <f>IF($D1749="","",ROUND(IF($J1749="",1,$J1749)*N($K1749),2))</f>
        <v/>
      </c>
      <c r="M1749" s="13" t="n"/>
      <c r="N1749" s="17">
        <f>IF($D1749="","",IF(ISNA(MATCH($D1749,项目名表,0)),"※项目不在项目台账里",IF($F1749="※材料类别没选","※材料类别没选",IF(AND($C1749&lt;&gt;"",ISNA(MATCH($C1749,供应商表,0))),"※供应商不在基础资料里",""))))</f>
        <v/>
      </c>
    </row>
    <row r="1750">
      <c r="A1750" s="17">
        <f>IF($D1750="","",ROW()-3)</f>
        <v/>
      </c>
      <c r="B1750" s="18" t="n"/>
      <c r="C1750" s="13" t="n"/>
      <c r="D1750" s="13" t="n"/>
      <c r="E1750" s="13" t="n"/>
      <c r="F1750" s="17">
        <f>IF($D1750="","",IFERROR(VLOOKUP($E1750,材料归属,2,0),"※材料类别没选"))</f>
        <v/>
      </c>
      <c r="G1750" s="13" t="n"/>
      <c r="H1750" s="13" t="n"/>
      <c r="I1750" s="13" t="n"/>
      <c r="J1750" s="20" t="n"/>
      <c r="K1750" s="14" t="n"/>
      <c r="L1750" s="19">
        <f>IF($D1750="","",ROUND(IF($J1750="",1,$J1750)*N($K1750),2))</f>
        <v/>
      </c>
      <c r="M1750" s="13" t="n"/>
      <c r="N1750" s="17">
        <f>IF($D1750="","",IF(ISNA(MATCH($D1750,项目名表,0)),"※项目不在项目台账里",IF($F1750="※材料类别没选","※材料类别没选",IF(AND($C1750&lt;&gt;"",ISNA(MATCH($C1750,供应商表,0))),"※供应商不在基础资料里",""))))</f>
        <v/>
      </c>
    </row>
    <row r="1751">
      <c r="A1751" s="17">
        <f>IF($D1751="","",ROW()-3)</f>
        <v/>
      </c>
      <c r="B1751" s="18" t="n"/>
      <c r="C1751" s="13" t="n"/>
      <c r="D1751" s="13" t="n"/>
      <c r="E1751" s="13" t="n"/>
      <c r="F1751" s="17">
        <f>IF($D1751="","",IFERROR(VLOOKUP($E1751,材料归属,2,0),"※材料类别没选"))</f>
        <v/>
      </c>
      <c r="G1751" s="13" t="n"/>
      <c r="H1751" s="13" t="n"/>
      <c r="I1751" s="13" t="n"/>
      <c r="J1751" s="20" t="n"/>
      <c r="K1751" s="14" t="n"/>
      <c r="L1751" s="19">
        <f>IF($D1751="","",ROUND(IF($J1751="",1,$J1751)*N($K1751),2))</f>
        <v/>
      </c>
      <c r="M1751" s="13" t="n"/>
      <c r="N1751" s="17">
        <f>IF($D1751="","",IF(ISNA(MATCH($D1751,项目名表,0)),"※项目不在项目台账里",IF($F1751="※材料类别没选","※材料类别没选",IF(AND($C1751&lt;&gt;"",ISNA(MATCH($C1751,供应商表,0))),"※供应商不在基础资料里",""))))</f>
        <v/>
      </c>
    </row>
    <row r="1752">
      <c r="A1752" s="17">
        <f>IF($D1752="","",ROW()-3)</f>
        <v/>
      </c>
      <c r="B1752" s="18" t="n"/>
      <c r="C1752" s="13" t="n"/>
      <c r="D1752" s="13" t="n"/>
      <c r="E1752" s="13" t="n"/>
      <c r="F1752" s="17">
        <f>IF($D1752="","",IFERROR(VLOOKUP($E1752,材料归属,2,0),"※材料类别没选"))</f>
        <v/>
      </c>
      <c r="G1752" s="13" t="n"/>
      <c r="H1752" s="13" t="n"/>
      <c r="I1752" s="13" t="n"/>
      <c r="J1752" s="20" t="n"/>
      <c r="K1752" s="14" t="n"/>
      <c r="L1752" s="19">
        <f>IF($D1752="","",ROUND(IF($J1752="",1,$J1752)*N($K1752),2))</f>
        <v/>
      </c>
      <c r="M1752" s="13" t="n"/>
      <c r="N1752" s="17">
        <f>IF($D1752="","",IF(ISNA(MATCH($D1752,项目名表,0)),"※项目不在项目台账里",IF($F1752="※材料类别没选","※材料类别没选",IF(AND($C1752&lt;&gt;"",ISNA(MATCH($C1752,供应商表,0))),"※供应商不在基础资料里",""))))</f>
        <v/>
      </c>
    </row>
    <row r="1753">
      <c r="A1753" s="17">
        <f>IF($D1753="","",ROW()-3)</f>
        <v/>
      </c>
      <c r="B1753" s="18" t="n"/>
      <c r="C1753" s="13" t="n"/>
      <c r="D1753" s="13" t="n"/>
      <c r="E1753" s="13" t="n"/>
      <c r="F1753" s="17">
        <f>IF($D1753="","",IFERROR(VLOOKUP($E1753,材料归属,2,0),"※材料类别没选"))</f>
        <v/>
      </c>
      <c r="G1753" s="13" t="n"/>
      <c r="H1753" s="13" t="n"/>
      <c r="I1753" s="13" t="n"/>
      <c r="J1753" s="20" t="n"/>
      <c r="K1753" s="14" t="n"/>
      <c r="L1753" s="19">
        <f>IF($D1753="","",ROUND(IF($J1753="",1,$J1753)*N($K1753),2))</f>
        <v/>
      </c>
      <c r="M1753" s="13" t="n"/>
      <c r="N1753" s="17">
        <f>IF($D1753="","",IF(ISNA(MATCH($D1753,项目名表,0)),"※项目不在项目台账里",IF($F1753="※材料类别没选","※材料类别没选",IF(AND($C1753&lt;&gt;"",ISNA(MATCH($C1753,供应商表,0))),"※供应商不在基础资料里",""))))</f>
        <v/>
      </c>
    </row>
    <row r="1754">
      <c r="A1754" s="17">
        <f>IF($D1754="","",ROW()-3)</f>
        <v/>
      </c>
      <c r="B1754" s="18" t="n"/>
      <c r="C1754" s="13" t="n"/>
      <c r="D1754" s="13" t="n"/>
      <c r="E1754" s="13" t="n"/>
      <c r="F1754" s="17">
        <f>IF($D1754="","",IFERROR(VLOOKUP($E1754,材料归属,2,0),"※材料类别没选"))</f>
        <v/>
      </c>
      <c r="G1754" s="13" t="n"/>
      <c r="H1754" s="13" t="n"/>
      <c r="I1754" s="13" t="n"/>
      <c r="J1754" s="20" t="n"/>
      <c r="K1754" s="14" t="n"/>
      <c r="L1754" s="19">
        <f>IF($D1754="","",ROUND(IF($J1754="",1,$J1754)*N($K1754),2))</f>
        <v/>
      </c>
      <c r="M1754" s="13" t="n"/>
      <c r="N1754" s="17">
        <f>IF($D1754="","",IF(ISNA(MATCH($D1754,项目名表,0)),"※项目不在项目台账里",IF($F1754="※材料类别没选","※材料类别没选",IF(AND($C1754&lt;&gt;"",ISNA(MATCH($C1754,供应商表,0))),"※供应商不在基础资料里",""))))</f>
        <v/>
      </c>
    </row>
    <row r="1755">
      <c r="A1755" s="17">
        <f>IF($D1755="","",ROW()-3)</f>
        <v/>
      </c>
      <c r="B1755" s="18" t="n"/>
      <c r="C1755" s="13" t="n"/>
      <c r="D1755" s="13" t="n"/>
      <c r="E1755" s="13" t="n"/>
      <c r="F1755" s="17">
        <f>IF($D1755="","",IFERROR(VLOOKUP($E1755,材料归属,2,0),"※材料类别没选"))</f>
        <v/>
      </c>
      <c r="G1755" s="13" t="n"/>
      <c r="H1755" s="13" t="n"/>
      <c r="I1755" s="13" t="n"/>
      <c r="J1755" s="20" t="n"/>
      <c r="K1755" s="14" t="n"/>
      <c r="L1755" s="19">
        <f>IF($D1755="","",ROUND(IF($J1755="",1,$J1755)*N($K1755),2))</f>
        <v/>
      </c>
      <c r="M1755" s="13" t="n"/>
      <c r="N1755" s="17">
        <f>IF($D1755="","",IF(ISNA(MATCH($D1755,项目名表,0)),"※项目不在项目台账里",IF($F1755="※材料类别没选","※材料类别没选",IF(AND($C1755&lt;&gt;"",ISNA(MATCH($C1755,供应商表,0))),"※供应商不在基础资料里",""))))</f>
        <v/>
      </c>
    </row>
    <row r="1756">
      <c r="A1756" s="17">
        <f>IF($D1756="","",ROW()-3)</f>
        <v/>
      </c>
      <c r="B1756" s="18" t="n"/>
      <c r="C1756" s="13" t="n"/>
      <c r="D1756" s="13" t="n"/>
      <c r="E1756" s="13" t="n"/>
      <c r="F1756" s="17">
        <f>IF($D1756="","",IFERROR(VLOOKUP($E1756,材料归属,2,0),"※材料类别没选"))</f>
        <v/>
      </c>
      <c r="G1756" s="13" t="n"/>
      <c r="H1756" s="13" t="n"/>
      <c r="I1756" s="13" t="n"/>
      <c r="J1756" s="20" t="n"/>
      <c r="K1756" s="14" t="n"/>
      <c r="L1756" s="19">
        <f>IF($D1756="","",ROUND(IF($J1756="",1,$J1756)*N($K1756),2))</f>
        <v/>
      </c>
      <c r="M1756" s="13" t="n"/>
      <c r="N1756" s="17">
        <f>IF($D1756="","",IF(ISNA(MATCH($D1756,项目名表,0)),"※项目不在项目台账里",IF($F1756="※材料类别没选","※材料类别没选",IF(AND($C1756&lt;&gt;"",ISNA(MATCH($C1756,供应商表,0))),"※供应商不在基础资料里",""))))</f>
        <v/>
      </c>
    </row>
    <row r="1757">
      <c r="A1757" s="17">
        <f>IF($D1757="","",ROW()-3)</f>
        <v/>
      </c>
      <c r="B1757" s="18" t="n"/>
      <c r="C1757" s="13" t="n"/>
      <c r="D1757" s="13" t="n"/>
      <c r="E1757" s="13" t="n"/>
      <c r="F1757" s="17">
        <f>IF($D1757="","",IFERROR(VLOOKUP($E1757,材料归属,2,0),"※材料类别没选"))</f>
        <v/>
      </c>
      <c r="G1757" s="13" t="n"/>
      <c r="H1757" s="13" t="n"/>
      <c r="I1757" s="13" t="n"/>
      <c r="J1757" s="20" t="n"/>
      <c r="K1757" s="14" t="n"/>
      <c r="L1757" s="19">
        <f>IF($D1757="","",ROUND(IF($J1757="",1,$J1757)*N($K1757),2))</f>
        <v/>
      </c>
      <c r="M1757" s="13" t="n"/>
      <c r="N1757" s="17">
        <f>IF($D1757="","",IF(ISNA(MATCH($D1757,项目名表,0)),"※项目不在项目台账里",IF($F1757="※材料类别没选","※材料类别没选",IF(AND($C1757&lt;&gt;"",ISNA(MATCH($C1757,供应商表,0))),"※供应商不在基础资料里",""))))</f>
        <v/>
      </c>
    </row>
    <row r="1758">
      <c r="A1758" s="17">
        <f>IF($D1758="","",ROW()-3)</f>
        <v/>
      </c>
      <c r="B1758" s="18" t="n"/>
      <c r="C1758" s="13" t="n"/>
      <c r="D1758" s="13" t="n"/>
      <c r="E1758" s="13" t="n"/>
      <c r="F1758" s="17">
        <f>IF($D1758="","",IFERROR(VLOOKUP($E1758,材料归属,2,0),"※材料类别没选"))</f>
        <v/>
      </c>
      <c r="G1758" s="13" t="n"/>
      <c r="H1758" s="13" t="n"/>
      <c r="I1758" s="13" t="n"/>
      <c r="J1758" s="20" t="n"/>
      <c r="K1758" s="14" t="n"/>
      <c r="L1758" s="19">
        <f>IF($D1758="","",ROUND(IF($J1758="",1,$J1758)*N($K1758),2))</f>
        <v/>
      </c>
      <c r="M1758" s="13" t="n"/>
      <c r="N1758" s="17">
        <f>IF($D1758="","",IF(ISNA(MATCH($D1758,项目名表,0)),"※项目不在项目台账里",IF($F1758="※材料类别没选","※材料类别没选",IF(AND($C1758&lt;&gt;"",ISNA(MATCH($C1758,供应商表,0))),"※供应商不在基础资料里",""))))</f>
        <v/>
      </c>
    </row>
    <row r="1759">
      <c r="A1759" s="17">
        <f>IF($D1759="","",ROW()-3)</f>
        <v/>
      </c>
      <c r="B1759" s="18" t="n"/>
      <c r="C1759" s="13" t="n"/>
      <c r="D1759" s="13" t="n"/>
      <c r="E1759" s="13" t="n"/>
      <c r="F1759" s="17">
        <f>IF($D1759="","",IFERROR(VLOOKUP($E1759,材料归属,2,0),"※材料类别没选"))</f>
        <v/>
      </c>
      <c r="G1759" s="13" t="n"/>
      <c r="H1759" s="13" t="n"/>
      <c r="I1759" s="13" t="n"/>
      <c r="J1759" s="20" t="n"/>
      <c r="K1759" s="14" t="n"/>
      <c r="L1759" s="19">
        <f>IF($D1759="","",ROUND(IF($J1759="",1,$J1759)*N($K1759),2))</f>
        <v/>
      </c>
      <c r="M1759" s="13" t="n"/>
      <c r="N1759" s="17">
        <f>IF($D1759="","",IF(ISNA(MATCH($D1759,项目名表,0)),"※项目不在项目台账里",IF($F1759="※材料类别没选","※材料类别没选",IF(AND($C1759&lt;&gt;"",ISNA(MATCH($C1759,供应商表,0))),"※供应商不在基础资料里",""))))</f>
        <v/>
      </c>
    </row>
    <row r="1760">
      <c r="A1760" s="17">
        <f>IF($D1760="","",ROW()-3)</f>
        <v/>
      </c>
      <c r="B1760" s="18" t="n"/>
      <c r="C1760" s="13" t="n"/>
      <c r="D1760" s="13" t="n"/>
      <c r="E1760" s="13" t="n"/>
      <c r="F1760" s="17">
        <f>IF($D1760="","",IFERROR(VLOOKUP($E1760,材料归属,2,0),"※材料类别没选"))</f>
        <v/>
      </c>
      <c r="G1760" s="13" t="n"/>
      <c r="H1760" s="13" t="n"/>
      <c r="I1760" s="13" t="n"/>
      <c r="J1760" s="20" t="n"/>
      <c r="K1760" s="14" t="n"/>
      <c r="L1760" s="19">
        <f>IF($D1760="","",ROUND(IF($J1760="",1,$J1760)*N($K1760),2))</f>
        <v/>
      </c>
      <c r="M1760" s="13" t="n"/>
      <c r="N1760" s="17">
        <f>IF($D1760="","",IF(ISNA(MATCH($D1760,项目名表,0)),"※项目不在项目台账里",IF($F1760="※材料类别没选","※材料类别没选",IF(AND($C1760&lt;&gt;"",ISNA(MATCH($C1760,供应商表,0))),"※供应商不在基础资料里",""))))</f>
        <v/>
      </c>
    </row>
    <row r="1761">
      <c r="A1761" s="17">
        <f>IF($D1761="","",ROW()-3)</f>
        <v/>
      </c>
      <c r="B1761" s="18" t="n"/>
      <c r="C1761" s="13" t="n"/>
      <c r="D1761" s="13" t="n"/>
      <c r="E1761" s="13" t="n"/>
      <c r="F1761" s="17">
        <f>IF($D1761="","",IFERROR(VLOOKUP($E1761,材料归属,2,0),"※材料类别没选"))</f>
        <v/>
      </c>
      <c r="G1761" s="13" t="n"/>
      <c r="H1761" s="13" t="n"/>
      <c r="I1761" s="13" t="n"/>
      <c r="J1761" s="20" t="n"/>
      <c r="K1761" s="14" t="n"/>
      <c r="L1761" s="19">
        <f>IF($D1761="","",ROUND(IF($J1761="",1,$J1761)*N($K1761),2))</f>
        <v/>
      </c>
      <c r="M1761" s="13" t="n"/>
      <c r="N1761" s="17">
        <f>IF($D1761="","",IF(ISNA(MATCH($D1761,项目名表,0)),"※项目不在项目台账里",IF($F1761="※材料类别没选","※材料类别没选",IF(AND($C1761&lt;&gt;"",ISNA(MATCH($C1761,供应商表,0))),"※供应商不在基础资料里",""))))</f>
        <v/>
      </c>
    </row>
    <row r="1762">
      <c r="A1762" s="17">
        <f>IF($D1762="","",ROW()-3)</f>
        <v/>
      </c>
      <c r="B1762" s="18" t="n"/>
      <c r="C1762" s="13" t="n"/>
      <c r="D1762" s="13" t="n"/>
      <c r="E1762" s="13" t="n"/>
      <c r="F1762" s="17">
        <f>IF($D1762="","",IFERROR(VLOOKUP($E1762,材料归属,2,0),"※材料类别没选"))</f>
        <v/>
      </c>
      <c r="G1762" s="13" t="n"/>
      <c r="H1762" s="13" t="n"/>
      <c r="I1762" s="13" t="n"/>
      <c r="J1762" s="20" t="n"/>
      <c r="K1762" s="14" t="n"/>
      <c r="L1762" s="19">
        <f>IF($D1762="","",ROUND(IF($J1762="",1,$J1762)*N($K1762),2))</f>
        <v/>
      </c>
      <c r="M1762" s="13" t="n"/>
      <c r="N1762" s="17">
        <f>IF($D1762="","",IF(ISNA(MATCH($D1762,项目名表,0)),"※项目不在项目台账里",IF($F1762="※材料类别没选","※材料类别没选",IF(AND($C1762&lt;&gt;"",ISNA(MATCH($C1762,供应商表,0))),"※供应商不在基础资料里",""))))</f>
        <v/>
      </c>
    </row>
    <row r="1763">
      <c r="A1763" s="17">
        <f>IF($D1763="","",ROW()-3)</f>
        <v/>
      </c>
      <c r="B1763" s="18" t="n"/>
      <c r="C1763" s="13" t="n"/>
      <c r="D1763" s="13" t="n"/>
      <c r="E1763" s="13" t="n"/>
      <c r="F1763" s="17">
        <f>IF($D1763="","",IFERROR(VLOOKUP($E1763,材料归属,2,0),"※材料类别没选"))</f>
        <v/>
      </c>
      <c r="G1763" s="13" t="n"/>
      <c r="H1763" s="13" t="n"/>
      <c r="I1763" s="13" t="n"/>
      <c r="J1763" s="20" t="n"/>
      <c r="K1763" s="14" t="n"/>
      <c r="L1763" s="19">
        <f>IF($D1763="","",ROUND(IF($J1763="",1,$J1763)*N($K1763),2))</f>
        <v/>
      </c>
      <c r="M1763" s="13" t="n"/>
      <c r="N1763" s="17">
        <f>IF($D1763="","",IF(ISNA(MATCH($D1763,项目名表,0)),"※项目不在项目台账里",IF($F1763="※材料类别没选","※材料类别没选",IF(AND($C1763&lt;&gt;"",ISNA(MATCH($C1763,供应商表,0))),"※供应商不在基础资料里",""))))</f>
        <v/>
      </c>
    </row>
    <row r="1764">
      <c r="A1764" s="17">
        <f>IF($D1764="","",ROW()-3)</f>
        <v/>
      </c>
      <c r="B1764" s="18" t="n"/>
      <c r="C1764" s="13" t="n"/>
      <c r="D1764" s="13" t="n"/>
      <c r="E1764" s="13" t="n"/>
      <c r="F1764" s="17">
        <f>IF($D1764="","",IFERROR(VLOOKUP($E1764,材料归属,2,0),"※材料类别没选"))</f>
        <v/>
      </c>
      <c r="G1764" s="13" t="n"/>
      <c r="H1764" s="13" t="n"/>
      <c r="I1764" s="13" t="n"/>
      <c r="J1764" s="20" t="n"/>
      <c r="K1764" s="14" t="n"/>
      <c r="L1764" s="19">
        <f>IF($D1764="","",ROUND(IF($J1764="",1,$J1764)*N($K1764),2))</f>
        <v/>
      </c>
      <c r="M1764" s="13" t="n"/>
      <c r="N1764" s="17">
        <f>IF($D1764="","",IF(ISNA(MATCH($D1764,项目名表,0)),"※项目不在项目台账里",IF($F1764="※材料类别没选","※材料类别没选",IF(AND($C1764&lt;&gt;"",ISNA(MATCH($C1764,供应商表,0))),"※供应商不在基础资料里",""))))</f>
        <v/>
      </c>
    </row>
    <row r="1765">
      <c r="A1765" s="17">
        <f>IF($D1765="","",ROW()-3)</f>
        <v/>
      </c>
      <c r="B1765" s="18" t="n"/>
      <c r="C1765" s="13" t="n"/>
      <c r="D1765" s="13" t="n"/>
      <c r="E1765" s="13" t="n"/>
      <c r="F1765" s="17">
        <f>IF($D1765="","",IFERROR(VLOOKUP($E1765,材料归属,2,0),"※材料类别没选"))</f>
        <v/>
      </c>
      <c r="G1765" s="13" t="n"/>
      <c r="H1765" s="13" t="n"/>
      <c r="I1765" s="13" t="n"/>
      <c r="J1765" s="20" t="n"/>
      <c r="K1765" s="14" t="n"/>
      <c r="L1765" s="19">
        <f>IF($D1765="","",ROUND(IF($J1765="",1,$J1765)*N($K1765),2))</f>
        <v/>
      </c>
      <c r="M1765" s="13" t="n"/>
      <c r="N1765" s="17">
        <f>IF($D1765="","",IF(ISNA(MATCH($D1765,项目名表,0)),"※项目不在项目台账里",IF($F1765="※材料类别没选","※材料类别没选",IF(AND($C1765&lt;&gt;"",ISNA(MATCH($C1765,供应商表,0))),"※供应商不在基础资料里",""))))</f>
        <v/>
      </c>
    </row>
    <row r="1766">
      <c r="A1766" s="17">
        <f>IF($D1766="","",ROW()-3)</f>
        <v/>
      </c>
      <c r="B1766" s="18" t="n"/>
      <c r="C1766" s="13" t="n"/>
      <c r="D1766" s="13" t="n"/>
      <c r="E1766" s="13" t="n"/>
      <c r="F1766" s="17">
        <f>IF($D1766="","",IFERROR(VLOOKUP($E1766,材料归属,2,0),"※材料类别没选"))</f>
        <v/>
      </c>
      <c r="G1766" s="13" t="n"/>
      <c r="H1766" s="13" t="n"/>
      <c r="I1766" s="13" t="n"/>
      <c r="J1766" s="20" t="n"/>
      <c r="K1766" s="14" t="n"/>
      <c r="L1766" s="19">
        <f>IF($D1766="","",ROUND(IF($J1766="",1,$J1766)*N($K1766),2))</f>
        <v/>
      </c>
      <c r="M1766" s="13" t="n"/>
      <c r="N1766" s="17">
        <f>IF($D1766="","",IF(ISNA(MATCH($D1766,项目名表,0)),"※项目不在项目台账里",IF($F1766="※材料类别没选","※材料类别没选",IF(AND($C1766&lt;&gt;"",ISNA(MATCH($C1766,供应商表,0))),"※供应商不在基础资料里",""))))</f>
        <v/>
      </c>
    </row>
    <row r="1767">
      <c r="A1767" s="17">
        <f>IF($D1767="","",ROW()-3)</f>
        <v/>
      </c>
      <c r="B1767" s="18" t="n"/>
      <c r="C1767" s="13" t="n"/>
      <c r="D1767" s="13" t="n"/>
      <c r="E1767" s="13" t="n"/>
      <c r="F1767" s="17">
        <f>IF($D1767="","",IFERROR(VLOOKUP($E1767,材料归属,2,0),"※材料类别没选"))</f>
        <v/>
      </c>
      <c r="G1767" s="13" t="n"/>
      <c r="H1767" s="13" t="n"/>
      <c r="I1767" s="13" t="n"/>
      <c r="J1767" s="20" t="n"/>
      <c r="K1767" s="14" t="n"/>
      <c r="L1767" s="19">
        <f>IF($D1767="","",ROUND(IF($J1767="",1,$J1767)*N($K1767),2))</f>
        <v/>
      </c>
      <c r="M1767" s="13" t="n"/>
      <c r="N1767" s="17">
        <f>IF($D1767="","",IF(ISNA(MATCH($D1767,项目名表,0)),"※项目不在项目台账里",IF($F1767="※材料类别没选","※材料类别没选",IF(AND($C1767&lt;&gt;"",ISNA(MATCH($C1767,供应商表,0))),"※供应商不在基础资料里",""))))</f>
        <v/>
      </c>
    </row>
    <row r="1768">
      <c r="A1768" s="17">
        <f>IF($D1768="","",ROW()-3)</f>
        <v/>
      </c>
      <c r="B1768" s="18" t="n"/>
      <c r="C1768" s="13" t="n"/>
      <c r="D1768" s="13" t="n"/>
      <c r="E1768" s="13" t="n"/>
      <c r="F1768" s="17">
        <f>IF($D1768="","",IFERROR(VLOOKUP($E1768,材料归属,2,0),"※材料类别没选"))</f>
        <v/>
      </c>
      <c r="G1768" s="13" t="n"/>
      <c r="H1768" s="13" t="n"/>
      <c r="I1768" s="13" t="n"/>
      <c r="J1768" s="20" t="n"/>
      <c r="K1768" s="14" t="n"/>
      <c r="L1768" s="19">
        <f>IF($D1768="","",ROUND(IF($J1768="",1,$J1768)*N($K1768),2))</f>
        <v/>
      </c>
      <c r="M1768" s="13" t="n"/>
      <c r="N1768" s="17">
        <f>IF($D1768="","",IF(ISNA(MATCH($D1768,项目名表,0)),"※项目不在项目台账里",IF($F1768="※材料类别没选","※材料类别没选",IF(AND($C1768&lt;&gt;"",ISNA(MATCH($C1768,供应商表,0))),"※供应商不在基础资料里",""))))</f>
        <v/>
      </c>
    </row>
    <row r="1769">
      <c r="A1769" s="17">
        <f>IF($D1769="","",ROW()-3)</f>
        <v/>
      </c>
      <c r="B1769" s="18" t="n"/>
      <c r="C1769" s="13" t="n"/>
      <c r="D1769" s="13" t="n"/>
      <c r="E1769" s="13" t="n"/>
      <c r="F1769" s="17">
        <f>IF($D1769="","",IFERROR(VLOOKUP($E1769,材料归属,2,0),"※材料类别没选"))</f>
        <v/>
      </c>
      <c r="G1769" s="13" t="n"/>
      <c r="H1769" s="13" t="n"/>
      <c r="I1769" s="13" t="n"/>
      <c r="J1769" s="20" t="n"/>
      <c r="K1769" s="14" t="n"/>
      <c r="L1769" s="19">
        <f>IF($D1769="","",ROUND(IF($J1769="",1,$J1769)*N($K1769),2))</f>
        <v/>
      </c>
      <c r="M1769" s="13" t="n"/>
      <c r="N1769" s="17">
        <f>IF($D1769="","",IF(ISNA(MATCH($D1769,项目名表,0)),"※项目不在项目台账里",IF($F1769="※材料类别没选","※材料类别没选",IF(AND($C1769&lt;&gt;"",ISNA(MATCH($C1769,供应商表,0))),"※供应商不在基础资料里",""))))</f>
        <v/>
      </c>
    </row>
    <row r="1770">
      <c r="A1770" s="17">
        <f>IF($D1770="","",ROW()-3)</f>
        <v/>
      </c>
      <c r="B1770" s="18" t="n"/>
      <c r="C1770" s="13" t="n"/>
      <c r="D1770" s="13" t="n"/>
      <c r="E1770" s="13" t="n"/>
      <c r="F1770" s="17">
        <f>IF($D1770="","",IFERROR(VLOOKUP($E1770,材料归属,2,0),"※材料类别没选"))</f>
        <v/>
      </c>
      <c r="G1770" s="13" t="n"/>
      <c r="H1770" s="13" t="n"/>
      <c r="I1770" s="13" t="n"/>
      <c r="J1770" s="20" t="n"/>
      <c r="K1770" s="14" t="n"/>
      <c r="L1770" s="19">
        <f>IF($D1770="","",ROUND(IF($J1770="",1,$J1770)*N($K1770),2))</f>
        <v/>
      </c>
      <c r="M1770" s="13" t="n"/>
      <c r="N1770" s="17">
        <f>IF($D1770="","",IF(ISNA(MATCH($D1770,项目名表,0)),"※项目不在项目台账里",IF($F1770="※材料类别没选","※材料类别没选",IF(AND($C1770&lt;&gt;"",ISNA(MATCH($C1770,供应商表,0))),"※供应商不在基础资料里",""))))</f>
        <v/>
      </c>
    </row>
    <row r="1771">
      <c r="A1771" s="17">
        <f>IF($D1771="","",ROW()-3)</f>
        <v/>
      </c>
      <c r="B1771" s="18" t="n"/>
      <c r="C1771" s="13" t="n"/>
      <c r="D1771" s="13" t="n"/>
      <c r="E1771" s="13" t="n"/>
      <c r="F1771" s="17">
        <f>IF($D1771="","",IFERROR(VLOOKUP($E1771,材料归属,2,0),"※材料类别没选"))</f>
        <v/>
      </c>
      <c r="G1771" s="13" t="n"/>
      <c r="H1771" s="13" t="n"/>
      <c r="I1771" s="13" t="n"/>
      <c r="J1771" s="20" t="n"/>
      <c r="K1771" s="14" t="n"/>
      <c r="L1771" s="19">
        <f>IF($D1771="","",ROUND(IF($J1771="",1,$J1771)*N($K1771),2))</f>
        <v/>
      </c>
      <c r="M1771" s="13" t="n"/>
      <c r="N1771" s="17">
        <f>IF($D1771="","",IF(ISNA(MATCH($D1771,项目名表,0)),"※项目不在项目台账里",IF($F1771="※材料类别没选","※材料类别没选",IF(AND($C1771&lt;&gt;"",ISNA(MATCH($C1771,供应商表,0))),"※供应商不在基础资料里",""))))</f>
        <v/>
      </c>
    </row>
    <row r="1772">
      <c r="A1772" s="17">
        <f>IF($D1772="","",ROW()-3)</f>
        <v/>
      </c>
      <c r="B1772" s="18" t="n"/>
      <c r="C1772" s="13" t="n"/>
      <c r="D1772" s="13" t="n"/>
      <c r="E1772" s="13" t="n"/>
      <c r="F1772" s="17">
        <f>IF($D1772="","",IFERROR(VLOOKUP($E1772,材料归属,2,0),"※材料类别没选"))</f>
        <v/>
      </c>
      <c r="G1772" s="13" t="n"/>
      <c r="H1772" s="13" t="n"/>
      <c r="I1772" s="13" t="n"/>
      <c r="J1772" s="20" t="n"/>
      <c r="K1772" s="14" t="n"/>
      <c r="L1772" s="19">
        <f>IF($D1772="","",ROUND(IF($J1772="",1,$J1772)*N($K1772),2))</f>
        <v/>
      </c>
      <c r="M1772" s="13" t="n"/>
      <c r="N1772" s="17">
        <f>IF($D1772="","",IF(ISNA(MATCH($D1772,项目名表,0)),"※项目不在项目台账里",IF($F1772="※材料类别没选","※材料类别没选",IF(AND($C1772&lt;&gt;"",ISNA(MATCH($C1772,供应商表,0))),"※供应商不在基础资料里",""))))</f>
        <v/>
      </c>
    </row>
    <row r="1773">
      <c r="A1773" s="17">
        <f>IF($D1773="","",ROW()-3)</f>
        <v/>
      </c>
      <c r="B1773" s="18" t="n"/>
      <c r="C1773" s="13" t="n"/>
      <c r="D1773" s="13" t="n"/>
      <c r="E1773" s="13" t="n"/>
      <c r="F1773" s="17">
        <f>IF($D1773="","",IFERROR(VLOOKUP($E1773,材料归属,2,0),"※材料类别没选"))</f>
        <v/>
      </c>
      <c r="G1773" s="13" t="n"/>
      <c r="H1773" s="13" t="n"/>
      <c r="I1773" s="13" t="n"/>
      <c r="J1773" s="20" t="n"/>
      <c r="K1773" s="14" t="n"/>
      <c r="L1773" s="19">
        <f>IF($D1773="","",ROUND(IF($J1773="",1,$J1773)*N($K1773),2))</f>
        <v/>
      </c>
      <c r="M1773" s="13" t="n"/>
      <c r="N1773" s="17">
        <f>IF($D1773="","",IF(ISNA(MATCH($D1773,项目名表,0)),"※项目不在项目台账里",IF($F1773="※材料类别没选","※材料类别没选",IF(AND($C1773&lt;&gt;"",ISNA(MATCH($C1773,供应商表,0))),"※供应商不在基础资料里",""))))</f>
        <v/>
      </c>
    </row>
    <row r="1774">
      <c r="A1774" s="17">
        <f>IF($D1774="","",ROW()-3)</f>
        <v/>
      </c>
      <c r="B1774" s="18" t="n"/>
      <c r="C1774" s="13" t="n"/>
      <c r="D1774" s="13" t="n"/>
      <c r="E1774" s="13" t="n"/>
      <c r="F1774" s="17">
        <f>IF($D1774="","",IFERROR(VLOOKUP($E1774,材料归属,2,0),"※材料类别没选"))</f>
        <v/>
      </c>
      <c r="G1774" s="13" t="n"/>
      <c r="H1774" s="13" t="n"/>
      <c r="I1774" s="13" t="n"/>
      <c r="J1774" s="20" t="n"/>
      <c r="K1774" s="14" t="n"/>
      <c r="L1774" s="19">
        <f>IF($D1774="","",ROUND(IF($J1774="",1,$J1774)*N($K1774),2))</f>
        <v/>
      </c>
      <c r="M1774" s="13" t="n"/>
      <c r="N1774" s="17">
        <f>IF($D1774="","",IF(ISNA(MATCH($D1774,项目名表,0)),"※项目不在项目台账里",IF($F1774="※材料类别没选","※材料类别没选",IF(AND($C1774&lt;&gt;"",ISNA(MATCH($C1774,供应商表,0))),"※供应商不在基础资料里",""))))</f>
        <v/>
      </c>
    </row>
    <row r="1775">
      <c r="A1775" s="17">
        <f>IF($D1775="","",ROW()-3)</f>
        <v/>
      </c>
      <c r="B1775" s="18" t="n"/>
      <c r="C1775" s="13" t="n"/>
      <c r="D1775" s="13" t="n"/>
      <c r="E1775" s="13" t="n"/>
      <c r="F1775" s="17">
        <f>IF($D1775="","",IFERROR(VLOOKUP($E1775,材料归属,2,0),"※材料类别没选"))</f>
        <v/>
      </c>
      <c r="G1775" s="13" t="n"/>
      <c r="H1775" s="13" t="n"/>
      <c r="I1775" s="13" t="n"/>
      <c r="J1775" s="20" t="n"/>
      <c r="K1775" s="14" t="n"/>
      <c r="L1775" s="19">
        <f>IF($D1775="","",ROUND(IF($J1775="",1,$J1775)*N($K1775),2))</f>
        <v/>
      </c>
      <c r="M1775" s="13" t="n"/>
      <c r="N1775" s="17">
        <f>IF($D1775="","",IF(ISNA(MATCH($D1775,项目名表,0)),"※项目不在项目台账里",IF($F1775="※材料类别没选","※材料类别没选",IF(AND($C1775&lt;&gt;"",ISNA(MATCH($C1775,供应商表,0))),"※供应商不在基础资料里",""))))</f>
        <v/>
      </c>
    </row>
    <row r="1776">
      <c r="A1776" s="17">
        <f>IF($D1776="","",ROW()-3)</f>
        <v/>
      </c>
      <c r="B1776" s="18" t="n"/>
      <c r="C1776" s="13" t="n"/>
      <c r="D1776" s="13" t="n"/>
      <c r="E1776" s="13" t="n"/>
      <c r="F1776" s="17">
        <f>IF($D1776="","",IFERROR(VLOOKUP($E1776,材料归属,2,0),"※材料类别没选"))</f>
        <v/>
      </c>
      <c r="G1776" s="13" t="n"/>
      <c r="H1776" s="13" t="n"/>
      <c r="I1776" s="13" t="n"/>
      <c r="J1776" s="20" t="n"/>
      <c r="K1776" s="14" t="n"/>
      <c r="L1776" s="19">
        <f>IF($D1776="","",ROUND(IF($J1776="",1,$J1776)*N($K1776),2))</f>
        <v/>
      </c>
      <c r="M1776" s="13" t="n"/>
      <c r="N1776" s="17">
        <f>IF($D1776="","",IF(ISNA(MATCH($D1776,项目名表,0)),"※项目不在项目台账里",IF($F1776="※材料类别没选","※材料类别没选",IF(AND($C1776&lt;&gt;"",ISNA(MATCH($C1776,供应商表,0))),"※供应商不在基础资料里",""))))</f>
        <v/>
      </c>
    </row>
    <row r="1777">
      <c r="A1777" s="17">
        <f>IF($D1777="","",ROW()-3)</f>
        <v/>
      </c>
      <c r="B1777" s="18" t="n"/>
      <c r="C1777" s="13" t="n"/>
      <c r="D1777" s="13" t="n"/>
      <c r="E1777" s="13" t="n"/>
      <c r="F1777" s="17">
        <f>IF($D1777="","",IFERROR(VLOOKUP($E1777,材料归属,2,0),"※材料类别没选"))</f>
        <v/>
      </c>
      <c r="G1777" s="13" t="n"/>
      <c r="H1777" s="13" t="n"/>
      <c r="I1777" s="13" t="n"/>
      <c r="J1777" s="20" t="n"/>
      <c r="K1777" s="14" t="n"/>
      <c r="L1777" s="19">
        <f>IF($D1777="","",ROUND(IF($J1777="",1,$J1777)*N($K1777),2))</f>
        <v/>
      </c>
      <c r="M1777" s="13" t="n"/>
      <c r="N1777" s="17">
        <f>IF($D1777="","",IF(ISNA(MATCH($D1777,项目名表,0)),"※项目不在项目台账里",IF($F1777="※材料类别没选","※材料类别没选",IF(AND($C1777&lt;&gt;"",ISNA(MATCH($C1777,供应商表,0))),"※供应商不在基础资料里",""))))</f>
        <v/>
      </c>
    </row>
    <row r="1778">
      <c r="A1778" s="17">
        <f>IF($D1778="","",ROW()-3)</f>
        <v/>
      </c>
      <c r="B1778" s="18" t="n"/>
      <c r="C1778" s="13" t="n"/>
      <c r="D1778" s="13" t="n"/>
      <c r="E1778" s="13" t="n"/>
      <c r="F1778" s="17">
        <f>IF($D1778="","",IFERROR(VLOOKUP($E1778,材料归属,2,0),"※材料类别没选"))</f>
        <v/>
      </c>
      <c r="G1778" s="13" t="n"/>
      <c r="H1778" s="13" t="n"/>
      <c r="I1778" s="13" t="n"/>
      <c r="J1778" s="20" t="n"/>
      <c r="K1778" s="14" t="n"/>
      <c r="L1778" s="19">
        <f>IF($D1778="","",ROUND(IF($J1778="",1,$J1778)*N($K1778),2))</f>
        <v/>
      </c>
      <c r="M1778" s="13" t="n"/>
      <c r="N1778" s="17">
        <f>IF($D1778="","",IF(ISNA(MATCH($D1778,项目名表,0)),"※项目不在项目台账里",IF($F1778="※材料类别没选","※材料类别没选",IF(AND($C1778&lt;&gt;"",ISNA(MATCH($C1778,供应商表,0))),"※供应商不在基础资料里",""))))</f>
        <v/>
      </c>
    </row>
    <row r="1779">
      <c r="A1779" s="17">
        <f>IF($D1779="","",ROW()-3)</f>
        <v/>
      </c>
      <c r="B1779" s="18" t="n"/>
      <c r="C1779" s="13" t="n"/>
      <c r="D1779" s="13" t="n"/>
      <c r="E1779" s="13" t="n"/>
      <c r="F1779" s="17">
        <f>IF($D1779="","",IFERROR(VLOOKUP($E1779,材料归属,2,0),"※材料类别没选"))</f>
        <v/>
      </c>
      <c r="G1779" s="13" t="n"/>
      <c r="H1779" s="13" t="n"/>
      <c r="I1779" s="13" t="n"/>
      <c r="J1779" s="20" t="n"/>
      <c r="K1779" s="14" t="n"/>
      <c r="L1779" s="19">
        <f>IF($D1779="","",ROUND(IF($J1779="",1,$J1779)*N($K1779),2))</f>
        <v/>
      </c>
      <c r="M1779" s="13" t="n"/>
      <c r="N1779" s="17">
        <f>IF($D1779="","",IF(ISNA(MATCH($D1779,项目名表,0)),"※项目不在项目台账里",IF($F1779="※材料类别没选","※材料类别没选",IF(AND($C1779&lt;&gt;"",ISNA(MATCH($C1779,供应商表,0))),"※供应商不在基础资料里",""))))</f>
        <v/>
      </c>
    </row>
    <row r="1780">
      <c r="A1780" s="17">
        <f>IF($D1780="","",ROW()-3)</f>
        <v/>
      </c>
      <c r="B1780" s="18" t="n"/>
      <c r="C1780" s="13" t="n"/>
      <c r="D1780" s="13" t="n"/>
      <c r="E1780" s="13" t="n"/>
      <c r="F1780" s="17">
        <f>IF($D1780="","",IFERROR(VLOOKUP($E1780,材料归属,2,0),"※材料类别没选"))</f>
        <v/>
      </c>
      <c r="G1780" s="13" t="n"/>
      <c r="H1780" s="13" t="n"/>
      <c r="I1780" s="13" t="n"/>
      <c r="J1780" s="20" t="n"/>
      <c r="K1780" s="14" t="n"/>
      <c r="L1780" s="19">
        <f>IF($D1780="","",ROUND(IF($J1780="",1,$J1780)*N($K1780),2))</f>
        <v/>
      </c>
      <c r="M1780" s="13" t="n"/>
      <c r="N1780" s="17">
        <f>IF($D1780="","",IF(ISNA(MATCH($D1780,项目名表,0)),"※项目不在项目台账里",IF($F1780="※材料类别没选","※材料类别没选",IF(AND($C1780&lt;&gt;"",ISNA(MATCH($C1780,供应商表,0))),"※供应商不在基础资料里",""))))</f>
        <v/>
      </c>
    </row>
    <row r="1781">
      <c r="A1781" s="17">
        <f>IF($D1781="","",ROW()-3)</f>
        <v/>
      </c>
      <c r="B1781" s="18" t="n"/>
      <c r="C1781" s="13" t="n"/>
      <c r="D1781" s="13" t="n"/>
      <c r="E1781" s="13" t="n"/>
      <c r="F1781" s="17">
        <f>IF($D1781="","",IFERROR(VLOOKUP($E1781,材料归属,2,0),"※材料类别没选"))</f>
        <v/>
      </c>
      <c r="G1781" s="13" t="n"/>
      <c r="H1781" s="13" t="n"/>
      <c r="I1781" s="13" t="n"/>
      <c r="J1781" s="20" t="n"/>
      <c r="K1781" s="14" t="n"/>
      <c r="L1781" s="19">
        <f>IF($D1781="","",ROUND(IF($J1781="",1,$J1781)*N($K1781),2))</f>
        <v/>
      </c>
      <c r="M1781" s="13" t="n"/>
      <c r="N1781" s="17">
        <f>IF($D1781="","",IF(ISNA(MATCH($D1781,项目名表,0)),"※项目不在项目台账里",IF($F1781="※材料类别没选","※材料类别没选",IF(AND($C1781&lt;&gt;"",ISNA(MATCH($C1781,供应商表,0))),"※供应商不在基础资料里",""))))</f>
        <v/>
      </c>
    </row>
    <row r="1782">
      <c r="A1782" s="17">
        <f>IF($D1782="","",ROW()-3)</f>
        <v/>
      </c>
      <c r="B1782" s="18" t="n"/>
      <c r="C1782" s="13" t="n"/>
      <c r="D1782" s="13" t="n"/>
      <c r="E1782" s="13" t="n"/>
      <c r="F1782" s="17">
        <f>IF($D1782="","",IFERROR(VLOOKUP($E1782,材料归属,2,0),"※材料类别没选"))</f>
        <v/>
      </c>
      <c r="G1782" s="13" t="n"/>
      <c r="H1782" s="13" t="n"/>
      <c r="I1782" s="13" t="n"/>
      <c r="J1782" s="20" t="n"/>
      <c r="K1782" s="14" t="n"/>
      <c r="L1782" s="19">
        <f>IF($D1782="","",ROUND(IF($J1782="",1,$J1782)*N($K1782),2))</f>
        <v/>
      </c>
      <c r="M1782" s="13" t="n"/>
      <c r="N1782" s="17">
        <f>IF($D1782="","",IF(ISNA(MATCH($D1782,项目名表,0)),"※项目不在项目台账里",IF($F1782="※材料类别没选","※材料类别没选",IF(AND($C1782&lt;&gt;"",ISNA(MATCH($C1782,供应商表,0))),"※供应商不在基础资料里",""))))</f>
        <v/>
      </c>
    </row>
    <row r="1783">
      <c r="A1783" s="17">
        <f>IF($D1783="","",ROW()-3)</f>
        <v/>
      </c>
      <c r="B1783" s="18" t="n"/>
      <c r="C1783" s="13" t="n"/>
      <c r="D1783" s="13" t="n"/>
      <c r="E1783" s="13" t="n"/>
      <c r="F1783" s="17">
        <f>IF($D1783="","",IFERROR(VLOOKUP($E1783,材料归属,2,0),"※材料类别没选"))</f>
        <v/>
      </c>
      <c r="G1783" s="13" t="n"/>
      <c r="H1783" s="13" t="n"/>
      <c r="I1783" s="13" t="n"/>
      <c r="J1783" s="20" t="n"/>
      <c r="K1783" s="14" t="n"/>
      <c r="L1783" s="19">
        <f>IF($D1783="","",ROUND(IF($J1783="",1,$J1783)*N($K1783),2))</f>
        <v/>
      </c>
      <c r="M1783" s="13" t="n"/>
      <c r="N1783" s="17">
        <f>IF($D1783="","",IF(ISNA(MATCH($D1783,项目名表,0)),"※项目不在项目台账里",IF($F1783="※材料类别没选","※材料类别没选",IF(AND($C1783&lt;&gt;"",ISNA(MATCH($C1783,供应商表,0))),"※供应商不在基础资料里",""))))</f>
        <v/>
      </c>
    </row>
    <row r="1784">
      <c r="A1784" s="17">
        <f>IF($D1784="","",ROW()-3)</f>
        <v/>
      </c>
      <c r="B1784" s="18" t="n"/>
      <c r="C1784" s="13" t="n"/>
      <c r="D1784" s="13" t="n"/>
      <c r="E1784" s="13" t="n"/>
      <c r="F1784" s="17">
        <f>IF($D1784="","",IFERROR(VLOOKUP($E1784,材料归属,2,0),"※材料类别没选"))</f>
        <v/>
      </c>
      <c r="G1784" s="13" t="n"/>
      <c r="H1784" s="13" t="n"/>
      <c r="I1784" s="13" t="n"/>
      <c r="J1784" s="20" t="n"/>
      <c r="K1784" s="14" t="n"/>
      <c r="L1784" s="19">
        <f>IF($D1784="","",ROUND(IF($J1784="",1,$J1784)*N($K1784),2))</f>
        <v/>
      </c>
      <c r="M1784" s="13" t="n"/>
      <c r="N1784" s="17">
        <f>IF($D1784="","",IF(ISNA(MATCH($D1784,项目名表,0)),"※项目不在项目台账里",IF($F1784="※材料类别没选","※材料类别没选",IF(AND($C1784&lt;&gt;"",ISNA(MATCH($C1784,供应商表,0))),"※供应商不在基础资料里",""))))</f>
        <v/>
      </c>
    </row>
    <row r="1785">
      <c r="A1785" s="17">
        <f>IF($D1785="","",ROW()-3)</f>
        <v/>
      </c>
      <c r="B1785" s="18" t="n"/>
      <c r="C1785" s="13" t="n"/>
      <c r="D1785" s="13" t="n"/>
      <c r="E1785" s="13" t="n"/>
      <c r="F1785" s="17">
        <f>IF($D1785="","",IFERROR(VLOOKUP($E1785,材料归属,2,0),"※材料类别没选"))</f>
        <v/>
      </c>
      <c r="G1785" s="13" t="n"/>
      <c r="H1785" s="13" t="n"/>
      <c r="I1785" s="13" t="n"/>
      <c r="J1785" s="20" t="n"/>
      <c r="K1785" s="14" t="n"/>
      <c r="L1785" s="19">
        <f>IF($D1785="","",ROUND(IF($J1785="",1,$J1785)*N($K1785),2))</f>
        <v/>
      </c>
      <c r="M1785" s="13" t="n"/>
      <c r="N1785" s="17">
        <f>IF($D1785="","",IF(ISNA(MATCH($D1785,项目名表,0)),"※项目不在项目台账里",IF($F1785="※材料类别没选","※材料类别没选",IF(AND($C1785&lt;&gt;"",ISNA(MATCH($C1785,供应商表,0))),"※供应商不在基础资料里",""))))</f>
        <v/>
      </c>
    </row>
    <row r="1786">
      <c r="A1786" s="17">
        <f>IF($D1786="","",ROW()-3)</f>
        <v/>
      </c>
      <c r="B1786" s="18" t="n"/>
      <c r="C1786" s="13" t="n"/>
      <c r="D1786" s="13" t="n"/>
      <c r="E1786" s="13" t="n"/>
      <c r="F1786" s="17">
        <f>IF($D1786="","",IFERROR(VLOOKUP($E1786,材料归属,2,0),"※材料类别没选"))</f>
        <v/>
      </c>
      <c r="G1786" s="13" t="n"/>
      <c r="H1786" s="13" t="n"/>
      <c r="I1786" s="13" t="n"/>
      <c r="J1786" s="20" t="n"/>
      <c r="K1786" s="14" t="n"/>
      <c r="L1786" s="19">
        <f>IF($D1786="","",ROUND(IF($J1786="",1,$J1786)*N($K1786),2))</f>
        <v/>
      </c>
      <c r="M1786" s="13" t="n"/>
      <c r="N1786" s="17">
        <f>IF($D1786="","",IF(ISNA(MATCH($D1786,项目名表,0)),"※项目不在项目台账里",IF($F1786="※材料类别没选","※材料类别没选",IF(AND($C1786&lt;&gt;"",ISNA(MATCH($C1786,供应商表,0))),"※供应商不在基础资料里",""))))</f>
        <v/>
      </c>
    </row>
    <row r="1787">
      <c r="A1787" s="17">
        <f>IF($D1787="","",ROW()-3)</f>
        <v/>
      </c>
      <c r="B1787" s="18" t="n"/>
      <c r="C1787" s="13" t="n"/>
      <c r="D1787" s="13" t="n"/>
      <c r="E1787" s="13" t="n"/>
      <c r="F1787" s="17">
        <f>IF($D1787="","",IFERROR(VLOOKUP($E1787,材料归属,2,0),"※材料类别没选"))</f>
        <v/>
      </c>
      <c r="G1787" s="13" t="n"/>
      <c r="H1787" s="13" t="n"/>
      <c r="I1787" s="13" t="n"/>
      <c r="J1787" s="20" t="n"/>
      <c r="K1787" s="14" t="n"/>
      <c r="L1787" s="19">
        <f>IF($D1787="","",ROUND(IF($J1787="",1,$J1787)*N($K1787),2))</f>
        <v/>
      </c>
      <c r="M1787" s="13" t="n"/>
      <c r="N1787" s="17">
        <f>IF($D1787="","",IF(ISNA(MATCH($D1787,项目名表,0)),"※项目不在项目台账里",IF($F1787="※材料类别没选","※材料类别没选",IF(AND($C1787&lt;&gt;"",ISNA(MATCH($C1787,供应商表,0))),"※供应商不在基础资料里",""))))</f>
        <v/>
      </c>
    </row>
    <row r="1788">
      <c r="A1788" s="17">
        <f>IF($D1788="","",ROW()-3)</f>
        <v/>
      </c>
      <c r="B1788" s="18" t="n"/>
      <c r="C1788" s="13" t="n"/>
      <c r="D1788" s="13" t="n"/>
      <c r="E1788" s="13" t="n"/>
      <c r="F1788" s="17">
        <f>IF($D1788="","",IFERROR(VLOOKUP($E1788,材料归属,2,0),"※材料类别没选"))</f>
        <v/>
      </c>
      <c r="G1788" s="13" t="n"/>
      <c r="H1788" s="13" t="n"/>
      <c r="I1788" s="13" t="n"/>
      <c r="J1788" s="20" t="n"/>
      <c r="K1788" s="14" t="n"/>
      <c r="L1788" s="19">
        <f>IF($D1788="","",ROUND(IF($J1788="",1,$J1788)*N($K1788),2))</f>
        <v/>
      </c>
      <c r="M1788" s="13" t="n"/>
      <c r="N1788" s="17">
        <f>IF($D1788="","",IF(ISNA(MATCH($D1788,项目名表,0)),"※项目不在项目台账里",IF($F1788="※材料类别没选","※材料类别没选",IF(AND($C1788&lt;&gt;"",ISNA(MATCH($C1788,供应商表,0))),"※供应商不在基础资料里",""))))</f>
        <v/>
      </c>
    </row>
    <row r="1789">
      <c r="A1789" s="17">
        <f>IF($D1789="","",ROW()-3)</f>
        <v/>
      </c>
      <c r="B1789" s="18" t="n"/>
      <c r="C1789" s="13" t="n"/>
      <c r="D1789" s="13" t="n"/>
      <c r="E1789" s="13" t="n"/>
      <c r="F1789" s="17">
        <f>IF($D1789="","",IFERROR(VLOOKUP($E1789,材料归属,2,0),"※材料类别没选"))</f>
        <v/>
      </c>
      <c r="G1789" s="13" t="n"/>
      <c r="H1789" s="13" t="n"/>
      <c r="I1789" s="13" t="n"/>
      <c r="J1789" s="20" t="n"/>
      <c r="K1789" s="14" t="n"/>
      <c r="L1789" s="19">
        <f>IF($D1789="","",ROUND(IF($J1789="",1,$J1789)*N($K1789),2))</f>
        <v/>
      </c>
      <c r="M1789" s="13" t="n"/>
      <c r="N1789" s="17">
        <f>IF($D1789="","",IF(ISNA(MATCH($D1789,项目名表,0)),"※项目不在项目台账里",IF($F1789="※材料类别没选","※材料类别没选",IF(AND($C1789&lt;&gt;"",ISNA(MATCH($C1789,供应商表,0))),"※供应商不在基础资料里",""))))</f>
        <v/>
      </c>
    </row>
    <row r="1790">
      <c r="A1790" s="17">
        <f>IF($D1790="","",ROW()-3)</f>
        <v/>
      </c>
      <c r="B1790" s="18" t="n"/>
      <c r="C1790" s="13" t="n"/>
      <c r="D1790" s="13" t="n"/>
      <c r="E1790" s="13" t="n"/>
      <c r="F1790" s="17">
        <f>IF($D1790="","",IFERROR(VLOOKUP($E1790,材料归属,2,0),"※材料类别没选"))</f>
        <v/>
      </c>
      <c r="G1790" s="13" t="n"/>
      <c r="H1790" s="13" t="n"/>
      <c r="I1790" s="13" t="n"/>
      <c r="J1790" s="20" t="n"/>
      <c r="K1790" s="14" t="n"/>
      <c r="L1790" s="19">
        <f>IF($D1790="","",ROUND(IF($J1790="",1,$J1790)*N($K1790),2))</f>
        <v/>
      </c>
      <c r="M1790" s="13" t="n"/>
      <c r="N1790" s="17">
        <f>IF($D1790="","",IF(ISNA(MATCH($D1790,项目名表,0)),"※项目不在项目台账里",IF($F1790="※材料类别没选","※材料类别没选",IF(AND($C1790&lt;&gt;"",ISNA(MATCH($C1790,供应商表,0))),"※供应商不在基础资料里",""))))</f>
        <v/>
      </c>
    </row>
    <row r="1791">
      <c r="A1791" s="17">
        <f>IF($D1791="","",ROW()-3)</f>
        <v/>
      </c>
      <c r="B1791" s="18" t="n"/>
      <c r="C1791" s="13" t="n"/>
      <c r="D1791" s="13" t="n"/>
      <c r="E1791" s="13" t="n"/>
      <c r="F1791" s="17">
        <f>IF($D1791="","",IFERROR(VLOOKUP($E1791,材料归属,2,0),"※材料类别没选"))</f>
        <v/>
      </c>
      <c r="G1791" s="13" t="n"/>
      <c r="H1791" s="13" t="n"/>
      <c r="I1791" s="13" t="n"/>
      <c r="J1791" s="20" t="n"/>
      <c r="K1791" s="14" t="n"/>
      <c r="L1791" s="19">
        <f>IF($D1791="","",ROUND(IF($J1791="",1,$J1791)*N($K1791),2))</f>
        <v/>
      </c>
      <c r="M1791" s="13" t="n"/>
      <c r="N1791" s="17">
        <f>IF($D1791="","",IF(ISNA(MATCH($D1791,项目名表,0)),"※项目不在项目台账里",IF($F1791="※材料类别没选","※材料类别没选",IF(AND($C1791&lt;&gt;"",ISNA(MATCH($C1791,供应商表,0))),"※供应商不在基础资料里",""))))</f>
        <v/>
      </c>
    </row>
    <row r="1792">
      <c r="A1792" s="17">
        <f>IF($D1792="","",ROW()-3)</f>
        <v/>
      </c>
      <c r="B1792" s="18" t="n"/>
      <c r="C1792" s="13" t="n"/>
      <c r="D1792" s="13" t="n"/>
      <c r="E1792" s="13" t="n"/>
      <c r="F1792" s="17">
        <f>IF($D1792="","",IFERROR(VLOOKUP($E1792,材料归属,2,0),"※材料类别没选"))</f>
        <v/>
      </c>
      <c r="G1792" s="13" t="n"/>
      <c r="H1792" s="13" t="n"/>
      <c r="I1792" s="13" t="n"/>
      <c r="J1792" s="20" t="n"/>
      <c r="K1792" s="14" t="n"/>
      <c r="L1792" s="19">
        <f>IF($D1792="","",ROUND(IF($J1792="",1,$J1792)*N($K1792),2))</f>
        <v/>
      </c>
      <c r="M1792" s="13" t="n"/>
      <c r="N1792" s="17">
        <f>IF($D1792="","",IF(ISNA(MATCH($D1792,项目名表,0)),"※项目不在项目台账里",IF($F1792="※材料类别没选","※材料类别没选",IF(AND($C1792&lt;&gt;"",ISNA(MATCH($C1792,供应商表,0))),"※供应商不在基础资料里",""))))</f>
        <v/>
      </c>
    </row>
    <row r="1793">
      <c r="A1793" s="17">
        <f>IF($D1793="","",ROW()-3)</f>
        <v/>
      </c>
      <c r="B1793" s="18" t="n"/>
      <c r="C1793" s="13" t="n"/>
      <c r="D1793" s="13" t="n"/>
      <c r="E1793" s="13" t="n"/>
      <c r="F1793" s="17">
        <f>IF($D1793="","",IFERROR(VLOOKUP($E1793,材料归属,2,0),"※材料类别没选"))</f>
        <v/>
      </c>
      <c r="G1793" s="13" t="n"/>
      <c r="H1793" s="13" t="n"/>
      <c r="I1793" s="13" t="n"/>
      <c r="J1793" s="20" t="n"/>
      <c r="K1793" s="14" t="n"/>
      <c r="L1793" s="19">
        <f>IF($D1793="","",ROUND(IF($J1793="",1,$J1793)*N($K1793),2))</f>
        <v/>
      </c>
      <c r="M1793" s="13" t="n"/>
      <c r="N1793" s="17">
        <f>IF($D1793="","",IF(ISNA(MATCH($D1793,项目名表,0)),"※项目不在项目台账里",IF($F1793="※材料类别没选","※材料类别没选",IF(AND($C1793&lt;&gt;"",ISNA(MATCH($C1793,供应商表,0))),"※供应商不在基础资料里",""))))</f>
        <v/>
      </c>
    </row>
    <row r="1794">
      <c r="A1794" s="17">
        <f>IF($D1794="","",ROW()-3)</f>
        <v/>
      </c>
      <c r="B1794" s="18" t="n"/>
      <c r="C1794" s="13" t="n"/>
      <c r="D1794" s="13" t="n"/>
      <c r="E1794" s="13" t="n"/>
      <c r="F1794" s="17">
        <f>IF($D1794="","",IFERROR(VLOOKUP($E1794,材料归属,2,0),"※材料类别没选"))</f>
        <v/>
      </c>
      <c r="G1794" s="13" t="n"/>
      <c r="H1794" s="13" t="n"/>
      <c r="I1794" s="13" t="n"/>
      <c r="J1794" s="20" t="n"/>
      <c r="K1794" s="14" t="n"/>
      <c r="L1794" s="19">
        <f>IF($D1794="","",ROUND(IF($J1794="",1,$J1794)*N($K1794),2))</f>
        <v/>
      </c>
      <c r="M1794" s="13" t="n"/>
      <c r="N1794" s="17">
        <f>IF($D1794="","",IF(ISNA(MATCH($D1794,项目名表,0)),"※项目不在项目台账里",IF($F1794="※材料类别没选","※材料类别没选",IF(AND($C1794&lt;&gt;"",ISNA(MATCH($C1794,供应商表,0))),"※供应商不在基础资料里",""))))</f>
        <v/>
      </c>
    </row>
    <row r="1795">
      <c r="A1795" s="17">
        <f>IF($D1795="","",ROW()-3)</f>
        <v/>
      </c>
      <c r="B1795" s="18" t="n"/>
      <c r="C1795" s="13" t="n"/>
      <c r="D1795" s="13" t="n"/>
      <c r="E1795" s="13" t="n"/>
      <c r="F1795" s="17">
        <f>IF($D1795="","",IFERROR(VLOOKUP($E1795,材料归属,2,0),"※材料类别没选"))</f>
        <v/>
      </c>
      <c r="G1795" s="13" t="n"/>
      <c r="H1795" s="13" t="n"/>
      <c r="I1795" s="13" t="n"/>
      <c r="J1795" s="20" t="n"/>
      <c r="K1795" s="14" t="n"/>
      <c r="L1795" s="19">
        <f>IF($D1795="","",ROUND(IF($J1795="",1,$J1795)*N($K1795),2))</f>
        <v/>
      </c>
      <c r="M1795" s="13" t="n"/>
      <c r="N1795" s="17">
        <f>IF($D1795="","",IF(ISNA(MATCH($D1795,项目名表,0)),"※项目不在项目台账里",IF($F1795="※材料类别没选","※材料类别没选",IF(AND($C1795&lt;&gt;"",ISNA(MATCH($C1795,供应商表,0))),"※供应商不在基础资料里",""))))</f>
        <v/>
      </c>
    </row>
    <row r="1796">
      <c r="A1796" s="17">
        <f>IF($D1796="","",ROW()-3)</f>
        <v/>
      </c>
      <c r="B1796" s="18" t="n"/>
      <c r="C1796" s="13" t="n"/>
      <c r="D1796" s="13" t="n"/>
      <c r="E1796" s="13" t="n"/>
      <c r="F1796" s="17">
        <f>IF($D1796="","",IFERROR(VLOOKUP($E1796,材料归属,2,0),"※材料类别没选"))</f>
        <v/>
      </c>
      <c r="G1796" s="13" t="n"/>
      <c r="H1796" s="13" t="n"/>
      <c r="I1796" s="13" t="n"/>
      <c r="J1796" s="20" t="n"/>
      <c r="K1796" s="14" t="n"/>
      <c r="L1796" s="19">
        <f>IF($D1796="","",ROUND(IF($J1796="",1,$J1796)*N($K1796),2))</f>
        <v/>
      </c>
      <c r="M1796" s="13" t="n"/>
      <c r="N1796" s="17">
        <f>IF($D1796="","",IF(ISNA(MATCH($D1796,项目名表,0)),"※项目不在项目台账里",IF($F1796="※材料类别没选","※材料类别没选",IF(AND($C1796&lt;&gt;"",ISNA(MATCH($C1796,供应商表,0))),"※供应商不在基础资料里",""))))</f>
        <v/>
      </c>
    </row>
    <row r="1797">
      <c r="A1797" s="17">
        <f>IF($D1797="","",ROW()-3)</f>
        <v/>
      </c>
      <c r="B1797" s="18" t="n"/>
      <c r="C1797" s="13" t="n"/>
      <c r="D1797" s="13" t="n"/>
      <c r="E1797" s="13" t="n"/>
      <c r="F1797" s="17">
        <f>IF($D1797="","",IFERROR(VLOOKUP($E1797,材料归属,2,0),"※材料类别没选"))</f>
        <v/>
      </c>
      <c r="G1797" s="13" t="n"/>
      <c r="H1797" s="13" t="n"/>
      <c r="I1797" s="13" t="n"/>
      <c r="J1797" s="20" t="n"/>
      <c r="K1797" s="14" t="n"/>
      <c r="L1797" s="19">
        <f>IF($D1797="","",ROUND(IF($J1797="",1,$J1797)*N($K1797),2))</f>
        <v/>
      </c>
      <c r="M1797" s="13" t="n"/>
      <c r="N1797" s="17">
        <f>IF($D1797="","",IF(ISNA(MATCH($D1797,项目名表,0)),"※项目不在项目台账里",IF($F1797="※材料类别没选","※材料类别没选",IF(AND($C1797&lt;&gt;"",ISNA(MATCH($C1797,供应商表,0))),"※供应商不在基础资料里",""))))</f>
        <v/>
      </c>
    </row>
    <row r="1798">
      <c r="A1798" s="17">
        <f>IF($D1798="","",ROW()-3)</f>
        <v/>
      </c>
      <c r="B1798" s="18" t="n"/>
      <c r="C1798" s="13" t="n"/>
      <c r="D1798" s="13" t="n"/>
      <c r="E1798" s="13" t="n"/>
      <c r="F1798" s="17">
        <f>IF($D1798="","",IFERROR(VLOOKUP($E1798,材料归属,2,0),"※材料类别没选"))</f>
        <v/>
      </c>
      <c r="G1798" s="13" t="n"/>
      <c r="H1798" s="13" t="n"/>
      <c r="I1798" s="13" t="n"/>
      <c r="J1798" s="20" t="n"/>
      <c r="K1798" s="14" t="n"/>
      <c r="L1798" s="19">
        <f>IF($D1798="","",ROUND(IF($J1798="",1,$J1798)*N($K1798),2))</f>
        <v/>
      </c>
      <c r="M1798" s="13" t="n"/>
      <c r="N1798" s="17">
        <f>IF($D1798="","",IF(ISNA(MATCH($D1798,项目名表,0)),"※项目不在项目台账里",IF($F1798="※材料类别没选","※材料类别没选",IF(AND($C1798&lt;&gt;"",ISNA(MATCH($C1798,供应商表,0))),"※供应商不在基础资料里",""))))</f>
        <v/>
      </c>
    </row>
    <row r="1799">
      <c r="A1799" s="17">
        <f>IF($D1799="","",ROW()-3)</f>
        <v/>
      </c>
      <c r="B1799" s="18" t="n"/>
      <c r="C1799" s="13" t="n"/>
      <c r="D1799" s="13" t="n"/>
      <c r="E1799" s="13" t="n"/>
      <c r="F1799" s="17">
        <f>IF($D1799="","",IFERROR(VLOOKUP($E1799,材料归属,2,0),"※材料类别没选"))</f>
        <v/>
      </c>
      <c r="G1799" s="13" t="n"/>
      <c r="H1799" s="13" t="n"/>
      <c r="I1799" s="13" t="n"/>
      <c r="J1799" s="20" t="n"/>
      <c r="K1799" s="14" t="n"/>
      <c r="L1799" s="19">
        <f>IF($D1799="","",ROUND(IF($J1799="",1,$J1799)*N($K1799),2))</f>
        <v/>
      </c>
      <c r="M1799" s="13" t="n"/>
      <c r="N1799" s="17">
        <f>IF($D1799="","",IF(ISNA(MATCH($D1799,项目名表,0)),"※项目不在项目台账里",IF($F1799="※材料类别没选","※材料类别没选",IF(AND($C1799&lt;&gt;"",ISNA(MATCH($C1799,供应商表,0))),"※供应商不在基础资料里",""))))</f>
        <v/>
      </c>
    </row>
    <row r="1800">
      <c r="A1800" s="17">
        <f>IF($D1800="","",ROW()-3)</f>
        <v/>
      </c>
      <c r="B1800" s="18" t="n"/>
      <c r="C1800" s="13" t="n"/>
      <c r="D1800" s="13" t="n"/>
      <c r="E1800" s="13" t="n"/>
      <c r="F1800" s="17">
        <f>IF($D1800="","",IFERROR(VLOOKUP($E1800,材料归属,2,0),"※材料类别没选"))</f>
        <v/>
      </c>
      <c r="G1800" s="13" t="n"/>
      <c r="H1800" s="13" t="n"/>
      <c r="I1800" s="13" t="n"/>
      <c r="J1800" s="20" t="n"/>
      <c r="K1800" s="14" t="n"/>
      <c r="L1800" s="19">
        <f>IF($D1800="","",ROUND(IF($J1800="",1,$J1800)*N($K1800),2))</f>
        <v/>
      </c>
      <c r="M1800" s="13" t="n"/>
      <c r="N1800" s="17">
        <f>IF($D1800="","",IF(ISNA(MATCH($D1800,项目名表,0)),"※项目不在项目台账里",IF($F1800="※材料类别没选","※材料类别没选",IF(AND($C1800&lt;&gt;"",ISNA(MATCH($C1800,供应商表,0))),"※供应商不在基础资料里",""))))</f>
        <v/>
      </c>
    </row>
    <row r="1801">
      <c r="A1801" s="17">
        <f>IF($D1801="","",ROW()-3)</f>
        <v/>
      </c>
      <c r="B1801" s="18" t="n"/>
      <c r="C1801" s="13" t="n"/>
      <c r="D1801" s="13" t="n"/>
      <c r="E1801" s="13" t="n"/>
      <c r="F1801" s="17">
        <f>IF($D1801="","",IFERROR(VLOOKUP($E1801,材料归属,2,0),"※材料类别没选"))</f>
        <v/>
      </c>
      <c r="G1801" s="13" t="n"/>
      <c r="H1801" s="13" t="n"/>
      <c r="I1801" s="13" t="n"/>
      <c r="J1801" s="20" t="n"/>
      <c r="K1801" s="14" t="n"/>
      <c r="L1801" s="19">
        <f>IF($D1801="","",ROUND(IF($J1801="",1,$J1801)*N($K1801),2))</f>
        <v/>
      </c>
      <c r="M1801" s="13" t="n"/>
      <c r="N1801" s="17">
        <f>IF($D1801="","",IF(ISNA(MATCH($D1801,项目名表,0)),"※项目不在项目台账里",IF($F1801="※材料类别没选","※材料类别没选",IF(AND($C1801&lt;&gt;"",ISNA(MATCH($C1801,供应商表,0))),"※供应商不在基础资料里",""))))</f>
        <v/>
      </c>
    </row>
    <row r="1802">
      <c r="A1802" s="17">
        <f>IF($D1802="","",ROW()-3)</f>
        <v/>
      </c>
      <c r="B1802" s="18" t="n"/>
      <c r="C1802" s="13" t="n"/>
      <c r="D1802" s="13" t="n"/>
      <c r="E1802" s="13" t="n"/>
      <c r="F1802" s="17">
        <f>IF($D1802="","",IFERROR(VLOOKUP($E1802,材料归属,2,0),"※材料类别没选"))</f>
        <v/>
      </c>
      <c r="G1802" s="13" t="n"/>
      <c r="H1802" s="13" t="n"/>
      <c r="I1802" s="13" t="n"/>
      <c r="J1802" s="20" t="n"/>
      <c r="K1802" s="14" t="n"/>
      <c r="L1802" s="19">
        <f>IF($D1802="","",ROUND(IF($J1802="",1,$J1802)*N($K1802),2))</f>
        <v/>
      </c>
      <c r="M1802" s="13" t="n"/>
      <c r="N1802" s="17">
        <f>IF($D1802="","",IF(ISNA(MATCH($D1802,项目名表,0)),"※项目不在项目台账里",IF($F1802="※材料类别没选","※材料类别没选",IF(AND($C1802&lt;&gt;"",ISNA(MATCH($C1802,供应商表,0))),"※供应商不在基础资料里",""))))</f>
        <v/>
      </c>
    </row>
    <row r="1803">
      <c r="A1803" s="17">
        <f>IF($D1803="","",ROW()-3)</f>
        <v/>
      </c>
      <c r="B1803" s="18" t="n"/>
      <c r="C1803" s="13" t="n"/>
      <c r="D1803" s="13" t="n"/>
      <c r="E1803" s="13" t="n"/>
      <c r="F1803" s="17">
        <f>IF($D1803="","",IFERROR(VLOOKUP($E1803,材料归属,2,0),"※材料类别没选"))</f>
        <v/>
      </c>
      <c r="G1803" s="13" t="n"/>
      <c r="H1803" s="13" t="n"/>
      <c r="I1803" s="13" t="n"/>
      <c r="J1803" s="20" t="n"/>
      <c r="K1803" s="14" t="n"/>
      <c r="L1803" s="19">
        <f>IF($D1803="","",ROUND(IF($J1803="",1,$J1803)*N($K1803),2))</f>
        <v/>
      </c>
      <c r="M1803" s="13" t="n"/>
      <c r="N1803" s="17">
        <f>IF($D1803="","",IF(ISNA(MATCH($D1803,项目名表,0)),"※项目不在项目台账里",IF($F1803="※材料类别没选","※材料类别没选",IF(AND($C1803&lt;&gt;"",ISNA(MATCH($C1803,供应商表,0))),"※供应商不在基础资料里",""))))</f>
        <v/>
      </c>
    </row>
    <row r="1804">
      <c r="A1804" s="17">
        <f>IF($D1804="","",ROW()-3)</f>
        <v/>
      </c>
      <c r="B1804" s="18" t="n"/>
      <c r="C1804" s="13" t="n"/>
      <c r="D1804" s="13" t="n"/>
      <c r="E1804" s="13" t="n"/>
      <c r="F1804" s="17">
        <f>IF($D1804="","",IFERROR(VLOOKUP($E1804,材料归属,2,0),"※材料类别没选"))</f>
        <v/>
      </c>
      <c r="G1804" s="13" t="n"/>
      <c r="H1804" s="13" t="n"/>
      <c r="I1804" s="13" t="n"/>
      <c r="J1804" s="20" t="n"/>
      <c r="K1804" s="14" t="n"/>
      <c r="L1804" s="19">
        <f>IF($D1804="","",ROUND(IF($J1804="",1,$J1804)*N($K1804),2))</f>
        <v/>
      </c>
      <c r="M1804" s="13" t="n"/>
      <c r="N1804" s="17">
        <f>IF($D1804="","",IF(ISNA(MATCH($D1804,项目名表,0)),"※项目不在项目台账里",IF($F1804="※材料类别没选","※材料类别没选",IF(AND($C1804&lt;&gt;"",ISNA(MATCH($C1804,供应商表,0))),"※供应商不在基础资料里",""))))</f>
        <v/>
      </c>
    </row>
    <row r="1805">
      <c r="A1805" s="17">
        <f>IF($D1805="","",ROW()-3)</f>
        <v/>
      </c>
      <c r="B1805" s="18" t="n"/>
      <c r="C1805" s="13" t="n"/>
      <c r="D1805" s="13" t="n"/>
      <c r="E1805" s="13" t="n"/>
      <c r="F1805" s="17">
        <f>IF($D1805="","",IFERROR(VLOOKUP($E1805,材料归属,2,0),"※材料类别没选"))</f>
        <v/>
      </c>
      <c r="G1805" s="13" t="n"/>
      <c r="H1805" s="13" t="n"/>
      <c r="I1805" s="13" t="n"/>
      <c r="J1805" s="20" t="n"/>
      <c r="K1805" s="14" t="n"/>
      <c r="L1805" s="19">
        <f>IF($D1805="","",ROUND(IF($J1805="",1,$J1805)*N($K1805),2))</f>
        <v/>
      </c>
      <c r="M1805" s="13" t="n"/>
      <c r="N1805" s="17">
        <f>IF($D1805="","",IF(ISNA(MATCH($D1805,项目名表,0)),"※项目不在项目台账里",IF($F1805="※材料类别没选","※材料类别没选",IF(AND($C1805&lt;&gt;"",ISNA(MATCH($C1805,供应商表,0))),"※供应商不在基础资料里",""))))</f>
        <v/>
      </c>
    </row>
    <row r="1806">
      <c r="A1806" s="17">
        <f>IF($D1806="","",ROW()-3)</f>
        <v/>
      </c>
      <c r="B1806" s="18" t="n"/>
      <c r="C1806" s="13" t="n"/>
      <c r="D1806" s="13" t="n"/>
      <c r="E1806" s="13" t="n"/>
      <c r="F1806" s="17">
        <f>IF($D1806="","",IFERROR(VLOOKUP($E1806,材料归属,2,0),"※材料类别没选"))</f>
        <v/>
      </c>
      <c r="G1806" s="13" t="n"/>
      <c r="H1806" s="13" t="n"/>
      <c r="I1806" s="13" t="n"/>
      <c r="J1806" s="20" t="n"/>
      <c r="K1806" s="14" t="n"/>
      <c r="L1806" s="19">
        <f>IF($D1806="","",ROUND(IF($J1806="",1,$J1806)*N($K1806),2))</f>
        <v/>
      </c>
      <c r="M1806" s="13" t="n"/>
      <c r="N1806" s="17">
        <f>IF($D1806="","",IF(ISNA(MATCH($D1806,项目名表,0)),"※项目不在项目台账里",IF($F1806="※材料类别没选","※材料类别没选",IF(AND($C1806&lt;&gt;"",ISNA(MATCH($C1806,供应商表,0))),"※供应商不在基础资料里",""))))</f>
        <v/>
      </c>
    </row>
    <row r="1807">
      <c r="A1807" s="17">
        <f>IF($D1807="","",ROW()-3)</f>
        <v/>
      </c>
      <c r="B1807" s="18" t="n"/>
      <c r="C1807" s="13" t="n"/>
      <c r="D1807" s="13" t="n"/>
      <c r="E1807" s="13" t="n"/>
      <c r="F1807" s="17">
        <f>IF($D1807="","",IFERROR(VLOOKUP($E1807,材料归属,2,0),"※材料类别没选"))</f>
        <v/>
      </c>
      <c r="G1807" s="13" t="n"/>
      <c r="H1807" s="13" t="n"/>
      <c r="I1807" s="13" t="n"/>
      <c r="J1807" s="20" t="n"/>
      <c r="K1807" s="14" t="n"/>
      <c r="L1807" s="19">
        <f>IF($D1807="","",ROUND(IF($J1807="",1,$J1807)*N($K1807),2))</f>
        <v/>
      </c>
      <c r="M1807" s="13" t="n"/>
      <c r="N1807" s="17">
        <f>IF($D1807="","",IF(ISNA(MATCH($D1807,项目名表,0)),"※项目不在项目台账里",IF($F1807="※材料类别没选","※材料类别没选",IF(AND($C1807&lt;&gt;"",ISNA(MATCH($C1807,供应商表,0))),"※供应商不在基础资料里",""))))</f>
        <v/>
      </c>
    </row>
    <row r="1808">
      <c r="A1808" s="17">
        <f>IF($D1808="","",ROW()-3)</f>
        <v/>
      </c>
      <c r="B1808" s="18" t="n"/>
      <c r="C1808" s="13" t="n"/>
      <c r="D1808" s="13" t="n"/>
      <c r="E1808" s="13" t="n"/>
      <c r="F1808" s="17">
        <f>IF($D1808="","",IFERROR(VLOOKUP($E1808,材料归属,2,0),"※材料类别没选"))</f>
        <v/>
      </c>
      <c r="G1808" s="13" t="n"/>
      <c r="H1808" s="13" t="n"/>
      <c r="I1808" s="13" t="n"/>
      <c r="J1808" s="20" t="n"/>
      <c r="K1808" s="14" t="n"/>
      <c r="L1808" s="19">
        <f>IF($D1808="","",ROUND(IF($J1808="",1,$J1808)*N($K1808),2))</f>
        <v/>
      </c>
      <c r="M1808" s="13" t="n"/>
      <c r="N1808" s="17">
        <f>IF($D1808="","",IF(ISNA(MATCH($D1808,项目名表,0)),"※项目不在项目台账里",IF($F1808="※材料类别没选","※材料类别没选",IF(AND($C1808&lt;&gt;"",ISNA(MATCH($C1808,供应商表,0))),"※供应商不在基础资料里",""))))</f>
        <v/>
      </c>
    </row>
    <row r="1809">
      <c r="A1809" s="17">
        <f>IF($D1809="","",ROW()-3)</f>
        <v/>
      </c>
      <c r="B1809" s="18" t="n"/>
      <c r="C1809" s="13" t="n"/>
      <c r="D1809" s="13" t="n"/>
      <c r="E1809" s="13" t="n"/>
      <c r="F1809" s="17">
        <f>IF($D1809="","",IFERROR(VLOOKUP($E1809,材料归属,2,0),"※材料类别没选"))</f>
        <v/>
      </c>
      <c r="G1809" s="13" t="n"/>
      <c r="H1809" s="13" t="n"/>
      <c r="I1809" s="13" t="n"/>
      <c r="J1809" s="20" t="n"/>
      <c r="K1809" s="14" t="n"/>
      <c r="L1809" s="19">
        <f>IF($D1809="","",ROUND(IF($J1809="",1,$J1809)*N($K1809),2))</f>
        <v/>
      </c>
      <c r="M1809" s="13" t="n"/>
      <c r="N1809" s="17">
        <f>IF($D1809="","",IF(ISNA(MATCH($D1809,项目名表,0)),"※项目不在项目台账里",IF($F1809="※材料类别没选","※材料类别没选",IF(AND($C1809&lt;&gt;"",ISNA(MATCH($C1809,供应商表,0))),"※供应商不在基础资料里",""))))</f>
        <v/>
      </c>
    </row>
    <row r="1810">
      <c r="A1810" s="17">
        <f>IF($D1810="","",ROW()-3)</f>
        <v/>
      </c>
      <c r="B1810" s="18" t="n"/>
      <c r="C1810" s="13" t="n"/>
      <c r="D1810" s="13" t="n"/>
      <c r="E1810" s="13" t="n"/>
      <c r="F1810" s="17">
        <f>IF($D1810="","",IFERROR(VLOOKUP($E1810,材料归属,2,0),"※材料类别没选"))</f>
        <v/>
      </c>
      <c r="G1810" s="13" t="n"/>
      <c r="H1810" s="13" t="n"/>
      <c r="I1810" s="13" t="n"/>
      <c r="J1810" s="20" t="n"/>
      <c r="K1810" s="14" t="n"/>
      <c r="L1810" s="19">
        <f>IF($D1810="","",ROUND(IF($J1810="",1,$J1810)*N($K1810),2))</f>
        <v/>
      </c>
      <c r="M1810" s="13" t="n"/>
      <c r="N1810" s="17">
        <f>IF($D1810="","",IF(ISNA(MATCH($D1810,项目名表,0)),"※项目不在项目台账里",IF($F1810="※材料类别没选","※材料类别没选",IF(AND($C1810&lt;&gt;"",ISNA(MATCH($C1810,供应商表,0))),"※供应商不在基础资料里",""))))</f>
        <v/>
      </c>
    </row>
    <row r="1811">
      <c r="A1811" s="17">
        <f>IF($D1811="","",ROW()-3)</f>
        <v/>
      </c>
      <c r="B1811" s="18" t="n"/>
      <c r="C1811" s="13" t="n"/>
      <c r="D1811" s="13" t="n"/>
      <c r="E1811" s="13" t="n"/>
      <c r="F1811" s="17">
        <f>IF($D1811="","",IFERROR(VLOOKUP($E1811,材料归属,2,0),"※材料类别没选"))</f>
        <v/>
      </c>
      <c r="G1811" s="13" t="n"/>
      <c r="H1811" s="13" t="n"/>
      <c r="I1811" s="13" t="n"/>
      <c r="J1811" s="20" t="n"/>
      <c r="K1811" s="14" t="n"/>
      <c r="L1811" s="19">
        <f>IF($D1811="","",ROUND(IF($J1811="",1,$J1811)*N($K1811),2))</f>
        <v/>
      </c>
      <c r="M1811" s="13" t="n"/>
      <c r="N1811" s="17">
        <f>IF($D1811="","",IF(ISNA(MATCH($D1811,项目名表,0)),"※项目不在项目台账里",IF($F1811="※材料类别没选","※材料类别没选",IF(AND($C1811&lt;&gt;"",ISNA(MATCH($C1811,供应商表,0))),"※供应商不在基础资料里",""))))</f>
        <v/>
      </c>
    </row>
    <row r="1812">
      <c r="A1812" s="17">
        <f>IF($D1812="","",ROW()-3)</f>
        <v/>
      </c>
      <c r="B1812" s="18" t="n"/>
      <c r="C1812" s="13" t="n"/>
      <c r="D1812" s="13" t="n"/>
      <c r="E1812" s="13" t="n"/>
      <c r="F1812" s="17">
        <f>IF($D1812="","",IFERROR(VLOOKUP($E1812,材料归属,2,0),"※材料类别没选"))</f>
        <v/>
      </c>
      <c r="G1812" s="13" t="n"/>
      <c r="H1812" s="13" t="n"/>
      <c r="I1812" s="13" t="n"/>
      <c r="J1812" s="20" t="n"/>
      <c r="K1812" s="14" t="n"/>
      <c r="L1812" s="19">
        <f>IF($D1812="","",ROUND(IF($J1812="",1,$J1812)*N($K1812),2))</f>
        <v/>
      </c>
      <c r="M1812" s="13" t="n"/>
      <c r="N1812" s="17">
        <f>IF($D1812="","",IF(ISNA(MATCH($D1812,项目名表,0)),"※项目不在项目台账里",IF($F1812="※材料类别没选","※材料类别没选",IF(AND($C1812&lt;&gt;"",ISNA(MATCH($C1812,供应商表,0))),"※供应商不在基础资料里",""))))</f>
        <v/>
      </c>
    </row>
    <row r="1813">
      <c r="A1813" s="17">
        <f>IF($D1813="","",ROW()-3)</f>
        <v/>
      </c>
      <c r="B1813" s="18" t="n"/>
      <c r="C1813" s="13" t="n"/>
      <c r="D1813" s="13" t="n"/>
      <c r="E1813" s="13" t="n"/>
      <c r="F1813" s="17">
        <f>IF($D1813="","",IFERROR(VLOOKUP($E1813,材料归属,2,0),"※材料类别没选"))</f>
        <v/>
      </c>
      <c r="G1813" s="13" t="n"/>
      <c r="H1813" s="13" t="n"/>
      <c r="I1813" s="13" t="n"/>
      <c r="J1813" s="20" t="n"/>
      <c r="K1813" s="14" t="n"/>
      <c r="L1813" s="19">
        <f>IF($D1813="","",ROUND(IF($J1813="",1,$J1813)*N($K1813),2))</f>
        <v/>
      </c>
      <c r="M1813" s="13" t="n"/>
      <c r="N1813" s="17">
        <f>IF($D1813="","",IF(ISNA(MATCH($D1813,项目名表,0)),"※项目不在项目台账里",IF($F1813="※材料类别没选","※材料类别没选",IF(AND($C1813&lt;&gt;"",ISNA(MATCH($C1813,供应商表,0))),"※供应商不在基础资料里",""))))</f>
        <v/>
      </c>
    </row>
    <row r="1814">
      <c r="A1814" s="17">
        <f>IF($D1814="","",ROW()-3)</f>
        <v/>
      </c>
      <c r="B1814" s="18" t="n"/>
      <c r="C1814" s="13" t="n"/>
      <c r="D1814" s="13" t="n"/>
      <c r="E1814" s="13" t="n"/>
      <c r="F1814" s="17">
        <f>IF($D1814="","",IFERROR(VLOOKUP($E1814,材料归属,2,0),"※材料类别没选"))</f>
        <v/>
      </c>
      <c r="G1814" s="13" t="n"/>
      <c r="H1814" s="13" t="n"/>
      <c r="I1814" s="13" t="n"/>
      <c r="J1814" s="20" t="n"/>
      <c r="K1814" s="14" t="n"/>
      <c r="L1814" s="19">
        <f>IF($D1814="","",ROUND(IF($J1814="",1,$J1814)*N($K1814),2))</f>
        <v/>
      </c>
      <c r="M1814" s="13" t="n"/>
      <c r="N1814" s="17">
        <f>IF($D1814="","",IF(ISNA(MATCH($D1814,项目名表,0)),"※项目不在项目台账里",IF($F1814="※材料类别没选","※材料类别没选",IF(AND($C1814&lt;&gt;"",ISNA(MATCH($C1814,供应商表,0))),"※供应商不在基础资料里",""))))</f>
        <v/>
      </c>
    </row>
    <row r="1815">
      <c r="A1815" s="17">
        <f>IF($D1815="","",ROW()-3)</f>
        <v/>
      </c>
      <c r="B1815" s="18" t="n"/>
      <c r="C1815" s="13" t="n"/>
      <c r="D1815" s="13" t="n"/>
      <c r="E1815" s="13" t="n"/>
      <c r="F1815" s="17">
        <f>IF($D1815="","",IFERROR(VLOOKUP($E1815,材料归属,2,0),"※材料类别没选"))</f>
        <v/>
      </c>
      <c r="G1815" s="13" t="n"/>
      <c r="H1815" s="13" t="n"/>
      <c r="I1815" s="13" t="n"/>
      <c r="J1815" s="20" t="n"/>
      <c r="K1815" s="14" t="n"/>
      <c r="L1815" s="19">
        <f>IF($D1815="","",ROUND(IF($J1815="",1,$J1815)*N($K1815),2))</f>
        <v/>
      </c>
      <c r="M1815" s="13" t="n"/>
      <c r="N1815" s="17">
        <f>IF($D1815="","",IF(ISNA(MATCH($D1815,项目名表,0)),"※项目不在项目台账里",IF($F1815="※材料类别没选","※材料类别没选",IF(AND($C1815&lt;&gt;"",ISNA(MATCH($C1815,供应商表,0))),"※供应商不在基础资料里",""))))</f>
        <v/>
      </c>
    </row>
    <row r="1816">
      <c r="A1816" s="17">
        <f>IF($D1816="","",ROW()-3)</f>
        <v/>
      </c>
      <c r="B1816" s="18" t="n"/>
      <c r="C1816" s="13" t="n"/>
      <c r="D1816" s="13" t="n"/>
      <c r="E1816" s="13" t="n"/>
      <c r="F1816" s="17">
        <f>IF($D1816="","",IFERROR(VLOOKUP($E1816,材料归属,2,0),"※材料类别没选"))</f>
        <v/>
      </c>
      <c r="G1816" s="13" t="n"/>
      <c r="H1816" s="13" t="n"/>
      <c r="I1816" s="13" t="n"/>
      <c r="J1816" s="20" t="n"/>
      <c r="K1816" s="14" t="n"/>
      <c r="L1816" s="19">
        <f>IF($D1816="","",ROUND(IF($J1816="",1,$J1816)*N($K1816),2))</f>
        <v/>
      </c>
      <c r="M1816" s="13" t="n"/>
      <c r="N1816" s="17">
        <f>IF($D1816="","",IF(ISNA(MATCH($D1816,项目名表,0)),"※项目不在项目台账里",IF($F1816="※材料类别没选","※材料类别没选",IF(AND($C1816&lt;&gt;"",ISNA(MATCH($C1816,供应商表,0))),"※供应商不在基础资料里",""))))</f>
        <v/>
      </c>
    </row>
    <row r="1817">
      <c r="A1817" s="17">
        <f>IF($D1817="","",ROW()-3)</f>
        <v/>
      </c>
      <c r="B1817" s="18" t="n"/>
      <c r="C1817" s="13" t="n"/>
      <c r="D1817" s="13" t="n"/>
      <c r="E1817" s="13" t="n"/>
      <c r="F1817" s="17">
        <f>IF($D1817="","",IFERROR(VLOOKUP($E1817,材料归属,2,0),"※材料类别没选"))</f>
        <v/>
      </c>
      <c r="G1817" s="13" t="n"/>
      <c r="H1817" s="13" t="n"/>
      <c r="I1817" s="13" t="n"/>
      <c r="J1817" s="20" t="n"/>
      <c r="K1817" s="14" t="n"/>
      <c r="L1817" s="19">
        <f>IF($D1817="","",ROUND(IF($J1817="",1,$J1817)*N($K1817),2))</f>
        <v/>
      </c>
      <c r="M1817" s="13" t="n"/>
      <c r="N1817" s="17">
        <f>IF($D1817="","",IF(ISNA(MATCH($D1817,项目名表,0)),"※项目不在项目台账里",IF($F1817="※材料类别没选","※材料类别没选",IF(AND($C1817&lt;&gt;"",ISNA(MATCH($C1817,供应商表,0))),"※供应商不在基础资料里",""))))</f>
        <v/>
      </c>
    </row>
    <row r="1818">
      <c r="A1818" s="17">
        <f>IF($D1818="","",ROW()-3)</f>
        <v/>
      </c>
      <c r="B1818" s="18" t="n"/>
      <c r="C1818" s="13" t="n"/>
      <c r="D1818" s="13" t="n"/>
      <c r="E1818" s="13" t="n"/>
      <c r="F1818" s="17">
        <f>IF($D1818="","",IFERROR(VLOOKUP($E1818,材料归属,2,0),"※材料类别没选"))</f>
        <v/>
      </c>
      <c r="G1818" s="13" t="n"/>
      <c r="H1818" s="13" t="n"/>
      <c r="I1818" s="13" t="n"/>
      <c r="J1818" s="20" t="n"/>
      <c r="K1818" s="14" t="n"/>
      <c r="L1818" s="19">
        <f>IF($D1818="","",ROUND(IF($J1818="",1,$J1818)*N($K1818),2))</f>
        <v/>
      </c>
      <c r="M1818" s="13" t="n"/>
      <c r="N1818" s="17">
        <f>IF($D1818="","",IF(ISNA(MATCH($D1818,项目名表,0)),"※项目不在项目台账里",IF($F1818="※材料类别没选","※材料类别没选",IF(AND($C1818&lt;&gt;"",ISNA(MATCH($C1818,供应商表,0))),"※供应商不在基础资料里",""))))</f>
        <v/>
      </c>
    </row>
    <row r="1819">
      <c r="A1819" s="17">
        <f>IF($D1819="","",ROW()-3)</f>
        <v/>
      </c>
      <c r="B1819" s="18" t="n"/>
      <c r="C1819" s="13" t="n"/>
      <c r="D1819" s="13" t="n"/>
      <c r="E1819" s="13" t="n"/>
      <c r="F1819" s="17">
        <f>IF($D1819="","",IFERROR(VLOOKUP($E1819,材料归属,2,0),"※材料类别没选"))</f>
        <v/>
      </c>
      <c r="G1819" s="13" t="n"/>
      <c r="H1819" s="13" t="n"/>
      <c r="I1819" s="13" t="n"/>
      <c r="J1819" s="20" t="n"/>
      <c r="K1819" s="14" t="n"/>
      <c r="L1819" s="19">
        <f>IF($D1819="","",ROUND(IF($J1819="",1,$J1819)*N($K1819),2))</f>
        <v/>
      </c>
      <c r="M1819" s="13" t="n"/>
      <c r="N1819" s="17">
        <f>IF($D1819="","",IF(ISNA(MATCH($D1819,项目名表,0)),"※项目不在项目台账里",IF($F1819="※材料类别没选","※材料类别没选",IF(AND($C1819&lt;&gt;"",ISNA(MATCH($C1819,供应商表,0))),"※供应商不在基础资料里",""))))</f>
        <v/>
      </c>
    </row>
    <row r="1820">
      <c r="A1820" s="17">
        <f>IF($D1820="","",ROW()-3)</f>
        <v/>
      </c>
      <c r="B1820" s="18" t="n"/>
      <c r="C1820" s="13" t="n"/>
      <c r="D1820" s="13" t="n"/>
      <c r="E1820" s="13" t="n"/>
      <c r="F1820" s="17">
        <f>IF($D1820="","",IFERROR(VLOOKUP($E1820,材料归属,2,0),"※材料类别没选"))</f>
        <v/>
      </c>
      <c r="G1820" s="13" t="n"/>
      <c r="H1820" s="13" t="n"/>
      <c r="I1820" s="13" t="n"/>
      <c r="J1820" s="20" t="n"/>
      <c r="K1820" s="14" t="n"/>
      <c r="L1820" s="19">
        <f>IF($D1820="","",ROUND(IF($J1820="",1,$J1820)*N($K1820),2))</f>
        <v/>
      </c>
      <c r="M1820" s="13" t="n"/>
      <c r="N1820" s="17">
        <f>IF($D1820="","",IF(ISNA(MATCH($D1820,项目名表,0)),"※项目不在项目台账里",IF($F1820="※材料类别没选","※材料类别没选",IF(AND($C1820&lt;&gt;"",ISNA(MATCH($C1820,供应商表,0))),"※供应商不在基础资料里",""))))</f>
        <v/>
      </c>
    </row>
    <row r="1821">
      <c r="A1821" s="17">
        <f>IF($D1821="","",ROW()-3)</f>
        <v/>
      </c>
      <c r="B1821" s="18" t="n"/>
      <c r="C1821" s="13" t="n"/>
      <c r="D1821" s="13" t="n"/>
      <c r="E1821" s="13" t="n"/>
      <c r="F1821" s="17">
        <f>IF($D1821="","",IFERROR(VLOOKUP($E1821,材料归属,2,0),"※材料类别没选"))</f>
        <v/>
      </c>
      <c r="G1821" s="13" t="n"/>
      <c r="H1821" s="13" t="n"/>
      <c r="I1821" s="13" t="n"/>
      <c r="J1821" s="20" t="n"/>
      <c r="K1821" s="14" t="n"/>
      <c r="L1821" s="19">
        <f>IF($D1821="","",ROUND(IF($J1821="",1,$J1821)*N($K1821),2))</f>
        <v/>
      </c>
      <c r="M1821" s="13" t="n"/>
      <c r="N1821" s="17">
        <f>IF($D1821="","",IF(ISNA(MATCH($D1821,项目名表,0)),"※项目不在项目台账里",IF($F1821="※材料类别没选","※材料类别没选",IF(AND($C1821&lt;&gt;"",ISNA(MATCH($C1821,供应商表,0))),"※供应商不在基础资料里",""))))</f>
        <v/>
      </c>
    </row>
    <row r="1822">
      <c r="A1822" s="17">
        <f>IF($D1822="","",ROW()-3)</f>
        <v/>
      </c>
      <c r="B1822" s="18" t="n"/>
      <c r="C1822" s="13" t="n"/>
      <c r="D1822" s="13" t="n"/>
      <c r="E1822" s="13" t="n"/>
      <c r="F1822" s="17">
        <f>IF($D1822="","",IFERROR(VLOOKUP($E1822,材料归属,2,0),"※材料类别没选"))</f>
        <v/>
      </c>
      <c r="G1822" s="13" t="n"/>
      <c r="H1822" s="13" t="n"/>
      <c r="I1822" s="13" t="n"/>
      <c r="J1822" s="20" t="n"/>
      <c r="K1822" s="14" t="n"/>
      <c r="L1822" s="19">
        <f>IF($D1822="","",ROUND(IF($J1822="",1,$J1822)*N($K1822),2))</f>
        <v/>
      </c>
      <c r="M1822" s="13" t="n"/>
      <c r="N1822" s="17">
        <f>IF($D1822="","",IF(ISNA(MATCH($D1822,项目名表,0)),"※项目不在项目台账里",IF($F1822="※材料类别没选","※材料类别没选",IF(AND($C1822&lt;&gt;"",ISNA(MATCH($C1822,供应商表,0))),"※供应商不在基础资料里",""))))</f>
        <v/>
      </c>
    </row>
    <row r="1823">
      <c r="A1823" s="17">
        <f>IF($D1823="","",ROW()-3)</f>
        <v/>
      </c>
      <c r="B1823" s="18" t="n"/>
      <c r="C1823" s="13" t="n"/>
      <c r="D1823" s="13" t="n"/>
      <c r="E1823" s="13" t="n"/>
      <c r="F1823" s="17">
        <f>IF($D1823="","",IFERROR(VLOOKUP($E1823,材料归属,2,0),"※材料类别没选"))</f>
        <v/>
      </c>
      <c r="G1823" s="13" t="n"/>
      <c r="H1823" s="13" t="n"/>
      <c r="I1823" s="13" t="n"/>
      <c r="J1823" s="20" t="n"/>
      <c r="K1823" s="14" t="n"/>
      <c r="L1823" s="19">
        <f>IF($D1823="","",ROUND(IF($J1823="",1,$J1823)*N($K1823),2))</f>
        <v/>
      </c>
      <c r="M1823" s="13" t="n"/>
      <c r="N1823" s="17">
        <f>IF($D1823="","",IF(ISNA(MATCH($D1823,项目名表,0)),"※项目不在项目台账里",IF($F1823="※材料类别没选","※材料类别没选",IF(AND($C1823&lt;&gt;"",ISNA(MATCH($C1823,供应商表,0))),"※供应商不在基础资料里",""))))</f>
        <v/>
      </c>
    </row>
    <row r="1824">
      <c r="A1824" s="17">
        <f>IF($D1824="","",ROW()-3)</f>
        <v/>
      </c>
      <c r="B1824" s="18" t="n"/>
      <c r="C1824" s="13" t="n"/>
      <c r="D1824" s="13" t="n"/>
      <c r="E1824" s="13" t="n"/>
      <c r="F1824" s="17">
        <f>IF($D1824="","",IFERROR(VLOOKUP($E1824,材料归属,2,0),"※材料类别没选"))</f>
        <v/>
      </c>
      <c r="G1824" s="13" t="n"/>
      <c r="H1824" s="13" t="n"/>
      <c r="I1824" s="13" t="n"/>
      <c r="J1824" s="20" t="n"/>
      <c r="K1824" s="14" t="n"/>
      <c r="L1824" s="19">
        <f>IF($D1824="","",ROUND(IF($J1824="",1,$J1824)*N($K1824),2))</f>
        <v/>
      </c>
      <c r="M1824" s="13" t="n"/>
      <c r="N1824" s="17">
        <f>IF($D1824="","",IF(ISNA(MATCH($D1824,项目名表,0)),"※项目不在项目台账里",IF($F1824="※材料类别没选","※材料类别没选",IF(AND($C1824&lt;&gt;"",ISNA(MATCH($C1824,供应商表,0))),"※供应商不在基础资料里",""))))</f>
        <v/>
      </c>
    </row>
    <row r="1825">
      <c r="A1825" s="17">
        <f>IF($D1825="","",ROW()-3)</f>
        <v/>
      </c>
      <c r="B1825" s="18" t="n"/>
      <c r="C1825" s="13" t="n"/>
      <c r="D1825" s="13" t="n"/>
      <c r="E1825" s="13" t="n"/>
      <c r="F1825" s="17">
        <f>IF($D1825="","",IFERROR(VLOOKUP($E1825,材料归属,2,0),"※材料类别没选"))</f>
        <v/>
      </c>
      <c r="G1825" s="13" t="n"/>
      <c r="H1825" s="13" t="n"/>
      <c r="I1825" s="13" t="n"/>
      <c r="J1825" s="20" t="n"/>
      <c r="K1825" s="14" t="n"/>
      <c r="L1825" s="19">
        <f>IF($D1825="","",ROUND(IF($J1825="",1,$J1825)*N($K1825),2))</f>
        <v/>
      </c>
      <c r="M1825" s="13" t="n"/>
      <c r="N1825" s="17">
        <f>IF($D1825="","",IF(ISNA(MATCH($D1825,项目名表,0)),"※项目不在项目台账里",IF($F1825="※材料类别没选","※材料类别没选",IF(AND($C1825&lt;&gt;"",ISNA(MATCH($C1825,供应商表,0))),"※供应商不在基础资料里",""))))</f>
        <v/>
      </c>
    </row>
    <row r="1826">
      <c r="A1826" s="17">
        <f>IF($D1826="","",ROW()-3)</f>
        <v/>
      </c>
      <c r="B1826" s="18" t="n"/>
      <c r="C1826" s="13" t="n"/>
      <c r="D1826" s="13" t="n"/>
      <c r="E1826" s="13" t="n"/>
      <c r="F1826" s="17">
        <f>IF($D1826="","",IFERROR(VLOOKUP($E1826,材料归属,2,0),"※材料类别没选"))</f>
        <v/>
      </c>
      <c r="G1826" s="13" t="n"/>
      <c r="H1826" s="13" t="n"/>
      <c r="I1826" s="13" t="n"/>
      <c r="J1826" s="20" t="n"/>
      <c r="K1826" s="14" t="n"/>
      <c r="L1826" s="19">
        <f>IF($D1826="","",ROUND(IF($J1826="",1,$J1826)*N($K1826),2))</f>
        <v/>
      </c>
      <c r="M1826" s="13" t="n"/>
      <c r="N1826" s="17">
        <f>IF($D1826="","",IF(ISNA(MATCH($D1826,项目名表,0)),"※项目不在项目台账里",IF($F1826="※材料类别没选","※材料类别没选",IF(AND($C1826&lt;&gt;"",ISNA(MATCH($C1826,供应商表,0))),"※供应商不在基础资料里",""))))</f>
        <v/>
      </c>
    </row>
    <row r="1827">
      <c r="A1827" s="17">
        <f>IF($D1827="","",ROW()-3)</f>
        <v/>
      </c>
      <c r="B1827" s="18" t="n"/>
      <c r="C1827" s="13" t="n"/>
      <c r="D1827" s="13" t="n"/>
      <c r="E1827" s="13" t="n"/>
      <c r="F1827" s="17">
        <f>IF($D1827="","",IFERROR(VLOOKUP($E1827,材料归属,2,0),"※材料类别没选"))</f>
        <v/>
      </c>
      <c r="G1827" s="13" t="n"/>
      <c r="H1827" s="13" t="n"/>
      <c r="I1827" s="13" t="n"/>
      <c r="J1827" s="20" t="n"/>
      <c r="K1827" s="14" t="n"/>
      <c r="L1827" s="19">
        <f>IF($D1827="","",ROUND(IF($J1827="",1,$J1827)*N($K1827),2))</f>
        <v/>
      </c>
      <c r="M1827" s="13" t="n"/>
      <c r="N1827" s="17">
        <f>IF($D1827="","",IF(ISNA(MATCH($D1827,项目名表,0)),"※项目不在项目台账里",IF($F1827="※材料类别没选","※材料类别没选",IF(AND($C1827&lt;&gt;"",ISNA(MATCH($C1827,供应商表,0))),"※供应商不在基础资料里",""))))</f>
        <v/>
      </c>
    </row>
    <row r="1828">
      <c r="A1828" s="17">
        <f>IF($D1828="","",ROW()-3)</f>
        <v/>
      </c>
      <c r="B1828" s="18" t="n"/>
      <c r="C1828" s="13" t="n"/>
      <c r="D1828" s="13" t="n"/>
      <c r="E1828" s="13" t="n"/>
      <c r="F1828" s="17">
        <f>IF($D1828="","",IFERROR(VLOOKUP($E1828,材料归属,2,0),"※材料类别没选"))</f>
        <v/>
      </c>
      <c r="G1828" s="13" t="n"/>
      <c r="H1828" s="13" t="n"/>
      <c r="I1828" s="13" t="n"/>
      <c r="J1828" s="20" t="n"/>
      <c r="K1828" s="14" t="n"/>
      <c r="L1828" s="19">
        <f>IF($D1828="","",ROUND(IF($J1828="",1,$J1828)*N($K1828),2))</f>
        <v/>
      </c>
      <c r="M1828" s="13" t="n"/>
      <c r="N1828" s="17">
        <f>IF($D1828="","",IF(ISNA(MATCH($D1828,项目名表,0)),"※项目不在项目台账里",IF($F1828="※材料类别没选","※材料类别没选",IF(AND($C1828&lt;&gt;"",ISNA(MATCH($C1828,供应商表,0))),"※供应商不在基础资料里",""))))</f>
        <v/>
      </c>
    </row>
    <row r="1829">
      <c r="A1829" s="17">
        <f>IF($D1829="","",ROW()-3)</f>
        <v/>
      </c>
      <c r="B1829" s="18" t="n"/>
      <c r="C1829" s="13" t="n"/>
      <c r="D1829" s="13" t="n"/>
      <c r="E1829" s="13" t="n"/>
      <c r="F1829" s="17">
        <f>IF($D1829="","",IFERROR(VLOOKUP($E1829,材料归属,2,0),"※材料类别没选"))</f>
        <v/>
      </c>
      <c r="G1829" s="13" t="n"/>
      <c r="H1829" s="13" t="n"/>
      <c r="I1829" s="13" t="n"/>
      <c r="J1829" s="20" t="n"/>
      <c r="K1829" s="14" t="n"/>
      <c r="L1829" s="19">
        <f>IF($D1829="","",ROUND(IF($J1829="",1,$J1829)*N($K1829),2))</f>
        <v/>
      </c>
      <c r="M1829" s="13" t="n"/>
      <c r="N1829" s="17">
        <f>IF($D1829="","",IF(ISNA(MATCH($D1829,项目名表,0)),"※项目不在项目台账里",IF($F1829="※材料类别没选","※材料类别没选",IF(AND($C1829&lt;&gt;"",ISNA(MATCH($C1829,供应商表,0))),"※供应商不在基础资料里",""))))</f>
        <v/>
      </c>
    </row>
    <row r="1830">
      <c r="A1830" s="17">
        <f>IF($D1830="","",ROW()-3)</f>
        <v/>
      </c>
      <c r="B1830" s="18" t="n"/>
      <c r="C1830" s="13" t="n"/>
      <c r="D1830" s="13" t="n"/>
      <c r="E1830" s="13" t="n"/>
      <c r="F1830" s="17">
        <f>IF($D1830="","",IFERROR(VLOOKUP($E1830,材料归属,2,0),"※材料类别没选"))</f>
        <v/>
      </c>
      <c r="G1830" s="13" t="n"/>
      <c r="H1830" s="13" t="n"/>
      <c r="I1830" s="13" t="n"/>
      <c r="J1830" s="20" t="n"/>
      <c r="K1830" s="14" t="n"/>
      <c r="L1830" s="19">
        <f>IF($D1830="","",ROUND(IF($J1830="",1,$J1830)*N($K1830),2))</f>
        <v/>
      </c>
      <c r="M1830" s="13" t="n"/>
      <c r="N1830" s="17">
        <f>IF($D1830="","",IF(ISNA(MATCH($D1830,项目名表,0)),"※项目不在项目台账里",IF($F1830="※材料类别没选","※材料类别没选",IF(AND($C1830&lt;&gt;"",ISNA(MATCH($C1830,供应商表,0))),"※供应商不在基础资料里",""))))</f>
        <v/>
      </c>
    </row>
    <row r="1831">
      <c r="A1831" s="17">
        <f>IF($D1831="","",ROW()-3)</f>
        <v/>
      </c>
      <c r="B1831" s="18" t="n"/>
      <c r="C1831" s="13" t="n"/>
      <c r="D1831" s="13" t="n"/>
      <c r="E1831" s="13" t="n"/>
      <c r="F1831" s="17">
        <f>IF($D1831="","",IFERROR(VLOOKUP($E1831,材料归属,2,0),"※材料类别没选"))</f>
        <v/>
      </c>
      <c r="G1831" s="13" t="n"/>
      <c r="H1831" s="13" t="n"/>
      <c r="I1831" s="13" t="n"/>
      <c r="J1831" s="20" t="n"/>
      <c r="K1831" s="14" t="n"/>
      <c r="L1831" s="19">
        <f>IF($D1831="","",ROUND(IF($J1831="",1,$J1831)*N($K1831),2))</f>
        <v/>
      </c>
      <c r="M1831" s="13" t="n"/>
      <c r="N1831" s="17">
        <f>IF($D1831="","",IF(ISNA(MATCH($D1831,项目名表,0)),"※项目不在项目台账里",IF($F1831="※材料类别没选","※材料类别没选",IF(AND($C1831&lt;&gt;"",ISNA(MATCH($C1831,供应商表,0))),"※供应商不在基础资料里",""))))</f>
        <v/>
      </c>
    </row>
    <row r="1832">
      <c r="A1832" s="17">
        <f>IF($D1832="","",ROW()-3)</f>
        <v/>
      </c>
      <c r="B1832" s="18" t="n"/>
      <c r="C1832" s="13" t="n"/>
      <c r="D1832" s="13" t="n"/>
      <c r="E1832" s="13" t="n"/>
      <c r="F1832" s="17">
        <f>IF($D1832="","",IFERROR(VLOOKUP($E1832,材料归属,2,0),"※材料类别没选"))</f>
        <v/>
      </c>
      <c r="G1832" s="13" t="n"/>
      <c r="H1832" s="13" t="n"/>
      <c r="I1832" s="13" t="n"/>
      <c r="J1832" s="20" t="n"/>
      <c r="K1832" s="14" t="n"/>
      <c r="L1832" s="19">
        <f>IF($D1832="","",ROUND(IF($J1832="",1,$J1832)*N($K1832),2))</f>
        <v/>
      </c>
      <c r="M1832" s="13" t="n"/>
      <c r="N1832" s="17">
        <f>IF($D1832="","",IF(ISNA(MATCH($D1832,项目名表,0)),"※项目不在项目台账里",IF($F1832="※材料类别没选","※材料类别没选",IF(AND($C1832&lt;&gt;"",ISNA(MATCH($C1832,供应商表,0))),"※供应商不在基础资料里",""))))</f>
        <v/>
      </c>
    </row>
    <row r="1833">
      <c r="A1833" s="17">
        <f>IF($D1833="","",ROW()-3)</f>
        <v/>
      </c>
      <c r="B1833" s="18" t="n"/>
      <c r="C1833" s="13" t="n"/>
      <c r="D1833" s="13" t="n"/>
      <c r="E1833" s="13" t="n"/>
      <c r="F1833" s="17">
        <f>IF($D1833="","",IFERROR(VLOOKUP($E1833,材料归属,2,0),"※材料类别没选"))</f>
        <v/>
      </c>
      <c r="G1833" s="13" t="n"/>
      <c r="H1833" s="13" t="n"/>
      <c r="I1833" s="13" t="n"/>
      <c r="J1833" s="20" t="n"/>
      <c r="K1833" s="14" t="n"/>
      <c r="L1833" s="19">
        <f>IF($D1833="","",ROUND(IF($J1833="",1,$J1833)*N($K1833),2))</f>
        <v/>
      </c>
      <c r="M1833" s="13" t="n"/>
      <c r="N1833" s="17">
        <f>IF($D1833="","",IF(ISNA(MATCH($D1833,项目名表,0)),"※项目不在项目台账里",IF($F1833="※材料类别没选","※材料类别没选",IF(AND($C1833&lt;&gt;"",ISNA(MATCH($C1833,供应商表,0))),"※供应商不在基础资料里",""))))</f>
        <v/>
      </c>
    </row>
    <row r="1834">
      <c r="A1834" s="17">
        <f>IF($D1834="","",ROW()-3)</f>
        <v/>
      </c>
      <c r="B1834" s="18" t="n"/>
      <c r="C1834" s="13" t="n"/>
      <c r="D1834" s="13" t="n"/>
      <c r="E1834" s="13" t="n"/>
      <c r="F1834" s="17">
        <f>IF($D1834="","",IFERROR(VLOOKUP($E1834,材料归属,2,0),"※材料类别没选"))</f>
        <v/>
      </c>
      <c r="G1834" s="13" t="n"/>
      <c r="H1834" s="13" t="n"/>
      <c r="I1834" s="13" t="n"/>
      <c r="J1834" s="20" t="n"/>
      <c r="K1834" s="14" t="n"/>
      <c r="L1834" s="19">
        <f>IF($D1834="","",ROUND(IF($J1834="",1,$J1834)*N($K1834),2))</f>
        <v/>
      </c>
      <c r="M1834" s="13" t="n"/>
      <c r="N1834" s="17">
        <f>IF($D1834="","",IF(ISNA(MATCH($D1834,项目名表,0)),"※项目不在项目台账里",IF($F1834="※材料类别没选","※材料类别没选",IF(AND($C1834&lt;&gt;"",ISNA(MATCH($C1834,供应商表,0))),"※供应商不在基础资料里",""))))</f>
        <v/>
      </c>
    </row>
    <row r="1835">
      <c r="A1835" s="17">
        <f>IF($D1835="","",ROW()-3)</f>
        <v/>
      </c>
      <c r="B1835" s="18" t="n"/>
      <c r="C1835" s="13" t="n"/>
      <c r="D1835" s="13" t="n"/>
      <c r="E1835" s="13" t="n"/>
      <c r="F1835" s="17">
        <f>IF($D1835="","",IFERROR(VLOOKUP($E1835,材料归属,2,0),"※材料类别没选"))</f>
        <v/>
      </c>
      <c r="G1835" s="13" t="n"/>
      <c r="H1835" s="13" t="n"/>
      <c r="I1835" s="13" t="n"/>
      <c r="J1835" s="20" t="n"/>
      <c r="K1835" s="14" t="n"/>
      <c r="L1835" s="19">
        <f>IF($D1835="","",ROUND(IF($J1835="",1,$J1835)*N($K1835),2))</f>
        <v/>
      </c>
      <c r="M1835" s="13" t="n"/>
      <c r="N1835" s="17">
        <f>IF($D1835="","",IF(ISNA(MATCH($D1835,项目名表,0)),"※项目不在项目台账里",IF($F1835="※材料类别没选","※材料类别没选",IF(AND($C1835&lt;&gt;"",ISNA(MATCH($C1835,供应商表,0))),"※供应商不在基础资料里",""))))</f>
        <v/>
      </c>
    </row>
    <row r="1836">
      <c r="A1836" s="17">
        <f>IF($D1836="","",ROW()-3)</f>
        <v/>
      </c>
      <c r="B1836" s="18" t="n"/>
      <c r="C1836" s="13" t="n"/>
      <c r="D1836" s="13" t="n"/>
      <c r="E1836" s="13" t="n"/>
      <c r="F1836" s="17">
        <f>IF($D1836="","",IFERROR(VLOOKUP($E1836,材料归属,2,0),"※材料类别没选"))</f>
        <v/>
      </c>
      <c r="G1836" s="13" t="n"/>
      <c r="H1836" s="13" t="n"/>
      <c r="I1836" s="13" t="n"/>
      <c r="J1836" s="20" t="n"/>
      <c r="K1836" s="14" t="n"/>
      <c r="L1836" s="19">
        <f>IF($D1836="","",ROUND(IF($J1836="",1,$J1836)*N($K1836),2))</f>
        <v/>
      </c>
      <c r="M1836" s="13" t="n"/>
      <c r="N1836" s="17">
        <f>IF($D1836="","",IF(ISNA(MATCH($D1836,项目名表,0)),"※项目不在项目台账里",IF($F1836="※材料类别没选","※材料类别没选",IF(AND($C1836&lt;&gt;"",ISNA(MATCH($C1836,供应商表,0))),"※供应商不在基础资料里",""))))</f>
        <v/>
      </c>
    </row>
    <row r="1837">
      <c r="A1837" s="17">
        <f>IF($D1837="","",ROW()-3)</f>
        <v/>
      </c>
      <c r="B1837" s="18" t="n"/>
      <c r="C1837" s="13" t="n"/>
      <c r="D1837" s="13" t="n"/>
      <c r="E1837" s="13" t="n"/>
      <c r="F1837" s="17">
        <f>IF($D1837="","",IFERROR(VLOOKUP($E1837,材料归属,2,0),"※材料类别没选"))</f>
        <v/>
      </c>
      <c r="G1837" s="13" t="n"/>
      <c r="H1837" s="13" t="n"/>
      <c r="I1837" s="13" t="n"/>
      <c r="J1837" s="20" t="n"/>
      <c r="K1837" s="14" t="n"/>
      <c r="L1837" s="19">
        <f>IF($D1837="","",ROUND(IF($J1837="",1,$J1837)*N($K1837),2))</f>
        <v/>
      </c>
      <c r="M1837" s="13" t="n"/>
      <c r="N1837" s="17">
        <f>IF($D1837="","",IF(ISNA(MATCH($D1837,项目名表,0)),"※项目不在项目台账里",IF($F1837="※材料类别没选","※材料类别没选",IF(AND($C1837&lt;&gt;"",ISNA(MATCH($C1837,供应商表,0))),"※供应商不在基础资料里",""))))</f>
        <v/>
      </c>
    </row>
    <row r="1838">
      <c r="A1838" s="17">
        <f>IF($D1838="","",ROW()-3)</f>
        <v/>
      </c>
      <c r="B1838" s="18" t="n"/>
      <c r="C1838" s="13" t="n"/>
      <c r="D1838" s="13" t="n"/>
      <c r="E1838" s="13" t="n"/>
      <c r="F1838" s="17">
        <f>IF($D1838="","",IFERROR(VLOOKUP($E1838,材料归属,2,0),"※材料类别没选"))</f>
        <v/>
      </c>
      <c r="G1838" s="13" t="n"/>
      <c r="H1838" s="13" t="n"/>
      <c r="I1838" s="13" t="n"/>
      <c r="J1838" s="20" t="n"/>
      <c r="K1838" s="14" t="n"/>
      <c r="L1838" s="19">
        <f>IF($D1838="","",ROUND(IF($J1838="",1,$J1838)*N($K1838),2))</f>
        <v/>
      </c>
      <c r="M1838" s="13" t="n"/>
      <c r="N1838" s="17">
        <f>IF($D1838="","",IF(ISNA(MATCH($D1838,项目名表,0)),"※项目不在项目台账里",IF($F1838="※材料类别没选","※材料类别没选",IF(AND($C1838&lt;&gt;"",ISNA(MATCH($C1838,供应商表,0))),"※供应商不在基础资料里",""))))</f>
        <v/>
      </c>
    </row>
    <row r="1839">
      <c r="A1839" s="17">
        <f>IF($D1839="","",ROW()-3)</f>
        <v/>
      </c>
      <c r="B1839" s="18" t="n"/>
      <c r="C1839" s="13" t="n"/>
      <c r="D1839" s="13" t="n"/>
      <c r="E1839" s="13" t="n"/>
      <c r="F1839" s="17">
        <f>IF($D1839="","",IFERROR(VLOOKUP($E1839,材料归属,2,0),"※材料类别没选"))</f>
        <v/>
      </c>
      <c r="G1839" s="13" t="n"/>
      <c r="H1839" s="13" t="n"/>
      <c r="I1839" s="13" t="n"/>
      <c r="J1839" s="20" t="n"/>
      <c r="K1839" s="14" t="n"/>
      <c r="L1839" s="19">
        <f>IF($D1839="","",ROUND(IF($J1839="",1,$J1839)*N($K1839),2))</f>
        <v/>
      </c>
      <c r="M1839" s="13" t="n"/>
      <c r="N1839" s="17">
        <f>IF($D1839="","",IF(ISNA(MATCH($D1839,项目名表,0)),"※项目不在项目台账里",IF($F1839="※材料类别没选","※材料类别没选",IF(AND($C1839&lt;&gt;"",ISNA(MATCH($C1839,供应商表,0))),"※供应商不在基础资料里",""))))</f>
        <v/>
      </c>
    </row>
    <row r="1840">
      <c r="A1840" s="17">
        <f>IF($D1840="","",ROW()-3)</f>
        <v/>
      </c>
      <c r="B1840" s="18" t="n"/>
      <c r="C1840" s="13" t="n"/>
      <c r="D1840" s="13" t="n"/>
      <c r="E1840" s="13" t="n"/>
      <c r="F1840" s="17">
        <f>IF($D1840="","",IFERROR(VLOOKUP($E1840,材料归属,2,0),"※材料类别没选"))</f>
        <v/>
      </c>
      <c r="G1840" s="13" t="n"/>
      <c r="H1840" s="13" t="n"/>
      <c r="I1840" s="13" t="n"/>
      <c r="J1840" s="20" t="n"/>
      <c r="K1840" s="14" t="n"/>
      <c r="L1840" s="19">
        <f>IF($D1840="","",ROUND(IF($J1840="",1,$J1840)*N($K1840),2))</f>
        <v/>
      </c>
      <c r="M1840" s="13" t="n"/>
      <c r="N1840" s="17">
        <f>IF($D1840="","",IF(ISNA(MATCH($D1840,项目名表,0)),"※项目不在项目台账里",IF($F1840="※材料类别没选","※材料类别没选",IF(AND($C1840&lt;&gt;"",ISNA(MATCH($C1840,供应商表,0))),"※供应商不在基础资料里",""))))</f>
        <v/>
      </c>
    </row>
    <row r="1841">
      <c r="A1841" s="17">
        <f>IF($D1841="","",ROW()-3)</f>
        <v/>
      </c>
      <c r="B1841" s="18" t="n"/>
      <c r="C1841" s="13" t="n"/>
      <c r="D1841" s="13" t="n"/>
      <c r="E1841" s="13" t="n"/>
      <c r="F1841" s="17">
        <f>IF($D1841="","",IFERROR(VLOOKUP($E1841,材料归属,2,0),"※材料类别没选"))</f>
        <v/>
      </c>
      <c r="G1841" s="13" t="n"/>
      <c r="H1841" s="13" t="n"/>
      <c r="I1841" s="13" t="n"/>
      <c r="J1841" s="20" t="n"/>
      <c r="K1841" s="14" t="n"/>
      <c r="L1841" s="19">
        <f>IF($D1841="","",ROUND(IF($J1841="",1,$J1841)*N($K1841),2))</f>
        <v/>
      </c>
      <c r="M1841" s="13" t="n"/>
      <c r="N1841" s="17">
        <f>IF($D1841="","",IF(ISNA(MATCH($D1841,项目名表,0)),"※项目不在项目台账里",IF($F1841="※材料类别没选","※材料类别没选",IF(AND($C1841&lt;&gt;"",ISNA(MATCH($C1841,供应商表,0))),"※供应商不在基础资料里",""))))</f>
        <v/>
      </c>
    </row>
    <row r="1842">
      <c r="A1842" s="17">
        <f>IF($D1842="","",ROW()-3)</f>
        <v/>
      </c>
      <c r="B1842" s="18" t="n"/>
      <c r="C1842" s="13" t="n"/>
      <c r="D1842" s="13" t="n"/>
      <c r="E1842" s="13" t="n"/>
      <c r="F1842" s="17">
        <f>IF($D1842="","",IFERROR(VLOOKUP($E1842,材料归属,2,0),"※材料类别没选"))</f>
        <v/>
      </c>
      <c r="G1842" s="13" t="n"/>
      <c r="H1842" s="13" t="n"/>
      <c r="I1842" s="13" t="n"/>
      <c r="J1842" s="20" t="n"/>
      <c r="K1842" s="14" t="n"/>
      <c r="L1842" s="19">
        <f>IF($D1842="","",ROUND(IF($J1842="",1,$J1842)*N($K1842),2))</f>
        <v/>
      </c>
      <c r="M1842" s="13" t="n"/>
      <c r="N1842" s="17">
        <f>IF($D1842="","",IF(ISNA(MATCH($D1842,项目名表,0)),"※项目不在项目台账里",IF($F1842="※材料类别没选","※材料类别没选",IF(AND($C1842&lt;&gt;"",ISNA(MATCH($C1842,供应商表,0))),"※供应商不在基础资料里",""))))</f>
        <v/>
      </c>
    </row>
    <row r="1843">
      <c r="A1843" s="17">
        <f>IF($D1843="","",ROW()-3)</f>
        <v/>
      </c>
      <c r="B1843" s="18" t="n"/>
      <c r="C1843" s="13" t="n"/>
      <c r="D1843" s="13" t="n"/>
      <c r="E1843" s="13" t="n"/>
      <c r="F1843" s="17">
        <f>IF($D1843="","",IFERROR(VLOOKUP($E1843,材料归属,2,0),"※材料类别没选"))</f>
        <v/>
      </c>
      <c r="G1843" s="13" t="n"/>
      <c r="H1843" s="13" t="n"/>
      <c r="I1843" s="13" t="n"/>
      <c r="J1843" s="20" t="n"/>
      <c r="K1843" s="14" t="n"/>
      <c r="L1843" s="19">
        <f>IF($D1843="","",ROUND(IF($J1843="",1,$J1843)*N($K1843),2))</f>
        <v/>
      </c>
      <c r="M1843" s="13" t="n"/>
      <c r="N1843" s="17">
        <f>IF($D1843="","",IF(ISNA(MATCH($D1843,项目名表,0)),"※项目不在项目台账里",IF($F1843="※材料类别没选","※材料类别没选",IF(AND($C1843&lt;&gt;"",ISNA(MATCH($C1843,供应商表,0))),"※供应商不在基础资料里",""))))</f>
        <v/>
      </c>
    </row>
    <row r="1844">
      <c r="A1844" s="17">
        <f>IF($D1844="","",ROW()-3)</f>
        <v/>
      </c>
      <c r="B1844" s="18" t="n"/>
      <c r="C1844" s="13" t="n"/>
      <c r="D1844" s="13" t="n"/>
      <c r="E1844" s="13" t="n"/>
      <c r="F1844" s="17">
        <f>IF($D1844="","",IFERROR(VLOOKUP($E1844,材料归属,2,0),"※材料类别没选"))</f>
        <v/>
      </c>
      <c r="G1844" s="13" t="n"/>
      <c r="H1844" s="13" t="n"/>
      <c r="I1844" s="13" t="n"/>
      <c r="J1844" s="20" t="n"/>
      <c r="K1844" s="14" t="n"/>
      <c r="L1844" s="19">
        <f>IF($D1844="","",ROUND(IF($J1844="",1,$J1844)*N($K1844),2))</f>
        <v/>
      </c>
      <c r="M1844" s="13" t="n"/>
      <c r="N1844" s="17">
        <f>IF($D1844="","",IF(ISNA(MATCH($D1844,项目名表,0)),"※项目不在项目台账里",IF($F1844="※材料类别没选","※材料类别没选",IF(AND($C1844&lt;&gt;"",ISNA(MATCH($C1844,供应商表,0))),"※供应商不在基础资料里",""))))</f>
        <v/>
      </c>
    </row>
    <row r="1845">
      <c r="A1845" s="17">
        <f>IF($D1845="","",ROW()-3)</f>
        <v/>
      </c>
      <c r="B1845" s="18" t="n"/>
      <c r="C1845" s="13" t="n"/>
      <c r="D1845" s="13" t="n"/>
      <c r="E1845" s="13" t="n"/>
      <c r="F1845" s="17">
        <f>IF($D1845="","",IFERROR(VLOOKUP($E1845,材料归属,2,0),"※材料类别没选"))</f>
        <v/>
      </c>
      <c r="G1845" s="13" t="n"/>
      <c r="H1845" s="13" t="n"/>
      <c r="I1845" s="13" t="n"/>
      <c r="J1845" s="20" t="n"/>
      <c r="K1845" s="14" t="n"/>
      <c r="L1845" s="19">
        <f>IF($D1845="","",ROUND(IF($J1845="",1,$J1845)*N($K1845),2))</f>
        <v/>
      </c>
      <c r="M1845" s="13" t="n"/>
      <c r="N1845" s="17">
        <f>IF($D1845="","",IF(ISNA(MATCH($D1845,项目名表,0)),"※项目不在项目台账里",IF($F1845="※材料类别没选","※材料类别没选",IF(AND($C1845&lt;&gt;"",ISNA(MATCH($C1845,供应商表,0))),"※供应商不在基础资料里",""))))</f>
        <v/>
      </c>
    </row>
    <row r="1846">
      <c r="A1846" s="17">
        <f>IF($D1846="","",ROW()-3)</f>
        <v/>
      </c>
      <c r="B1846" s="18" t="n"/>
      <c r="C1846" s="13" t="n"/>
      <c r="D1846" s="13" t="n"/>
      <c r="E1846" s="13" t="n"/>
      <c r="F1846" s="17">
        <f>IF($D1846="","",IFERROR(VLOOKUP($E1846,材料归属,2,0),"※材料类别没选"))</f>
        <v/>
      </c>
      <c r="G1846" s="13" t="n"/>
      <c r="H1846" s="13" t="n"/>
      <c r="I1846" s="13" t="n"/>
      <c r="J1846" s="20" t="n"/>
      <c r="K1846" s="14" t="n"/>
      <c r="L1846" s="19">
        <f>IF($D1846="","",ROUND(IF($J1846="",1,$J1846)*N($K1846),2))</f>
        <v/>
      </c>
      <c r="M1846" s="13" t="n"/>
      <c r="N1846" s="17">
        <f>IF($D1846="","",IF(ISNA(MATCH($D1846,项目名表,0)),"※项目不在项目台账里",IF($F1846="※材料类别没选","※材料类别没选",IF(AND($C1846&lt;&gt;"",ISNA(MATCH($C1846,供应商表,0))),"※供应商不在基础资料里",""))))</f>
        <v/>
      </c>
    </row>
    <row r="1847">
      <c r="A1847" s="17">
        <f>IF($D1847="","",ROW()-3)</f>
        <v/>
      </c>
      <c r="B1847" s="18" t="n"/>
      <c r="C1847" s="13" t="n"/>
      <c r="D1847" s="13" t="n"/>
      <c r="E1847" s="13" t="n"/>
      <c r="F1847" s="17">
        <f>IF($D1847="","",IFERROR(VLOOKUP($E1847,材料归属,2,0),"※材料类别没选"))</f>
        <v/>
      </c>
      <c r="G1847" s="13" t="n"/>
      <c r="H1847" s="13" t="n"/>
      <c r="I1847" s="13" t="n"/>
      <c r="J1847" s="20" t="n"/>
      <c r="K1847" s="14" t="n"/>
      <c r="L1847" s="19">
        <f>IF($D1847="","",ROUND(IF($J1847="",1,$J1847)*N($K1847),2))</f>
        <v/>
      </c>
      <c r="M1847" s="13" t="n"/>
      <c r="N1847" s="17">
        <f>IF($D1847="","",IF(ISNA(MATCH($D1847,项目名表,0)),"※项目不在项目台账里",IF($F1847="※材料类别没选","※材料类别没选",IF(AND($C1847&lt;&gt;"",ISNA(MATCH($C1847,供应商表,0))),"※供应商不在基础资料里",""))))</f>
        <v/>
      </c>
    </row>
    <row r="1848">
      <c r="A1848" s="17">
        <f>IF($D1848="","",ROW()-3)</f>
        <v/>
      </c>
      <c r="B1848" s="18" t="n"/>
      <c r="C1848" s="13" t="n"/>
      <c r="D1848" s="13" t="n"/>
      <c r="E1848" s="13" t="n"/>
      <c r="F1848" s="17">
        <f>IF($D1848="","",IFERROR(VLOOKUP($E1848,材料归属,2,0),"※材料类别没选"))</f>
        <v/>
      </c>
      <c r="G1848" s="13" t="n"/>
      <c r="H1848" s="13" t="n"/>
      <c r="I1848" s="13" t="n"/>
      <c r="J1848" s="20" t="n"/>
      <c r="K1848" s="14" t="n"/>
      <c r="L1848" s="19">
        <f>IF($D1848="","",ROUND(IF($J1848="",1,$J1848)*N($K1848),2))</f>
        <v/>
      </c>
      <c r="M1848" s="13" t="n"/>
      <c r="N1848" s="17">
        <f>IF($D1848="","",IF(ISNA(MATCH($D1848,项目名表,0)),"※项目不在项目台账里",IF($F1848="※材料类别没选","※材料类别没选",IF(AND($C1848&lt;&gt;"",ISNA(MATCH($C1848,供应商表,0))),"※供应商不在基础资料里",""))))</f>
        <v/>
      </c>
    </row>
    <row r="1849">
      <c r="A1849" s="17">
        <f>IF($D1849="","",ROW()-3)</f>
        <v/>
      </c>
      <c r="B1849" s="18" t="n"/>
      <c r="C1849" s="13" t="n"/>
      <c r="D1849" s="13" t="n"/>
      <c r="E1849" s="13" t="n"/>
      <c r="F1849" s="17">
        <f>IF($D1849="","",IFERROR(VLOOKUP($E1849,材料归属,2,0),"※材料类别没选"))</f>
        <v/>
      </c>
      <c r="G1849" s="13" t="n"/>
      <c r="H1849" s="13" t="n"/>
      <c r="I1849" s="13" t="n"/>
      <c r="J1849" s="20" t="n"/>
      <c r="K1849" s="14" t="n"/>
      <c r="L1849" s="19">
        <f>IF($D1849="","",ROUND(IF($J1849="",1,$J1849)*N($K1849),2))</f>
        <v/>
      </c>
      <c r="M1849" s="13" t="n"/>
      <c r="N1849" s="17">
        <f>IF($D1849="","",IF(ISNA(MATCH($D1849,项目名表,0)),"※项目不在项目台账里",IF($F1849="※材料类别没选","※材料类别没选",IF(AND($C1849&lt;&gt;"",ISNA(MATCH($C1849,供应商表,0))),"※供应商不在基础资料里",""))))</f>
        <v/>
      </c>
    </row>
    <row r="1850">
      <c r="A1850" s="17">
        <f>IF($D1850="","",ROW()-3)</f>
        <v/>
      </c>
      <c r="B1850" s="18" t="n"/>
      <c r="C1850" s="13" t="n"/>
      <c r="D1850" s="13" t="n"/>
      <c r="E1850" s="13" t="n"/>
      <c r="F1850" s="17">
        <f>IF($D1850="","",IFERROR(VLOOKUP($E1850,材料归属,2,0),"※材料类别没选"))</f>
        <v/>
      </c>
      <c r="G1850" s="13" t="n"/>
      <c r="H1850" s="13" t="n"/>
      <c r="I1850" s="13" t="n"/>
      <c r="J1850" s="20" t="n"/>
      <c r="K1850" s="14" t="n"/>
      <c r="L1850" s="19">
        <f>IF($D1850="","",ROUND(IF($J1850="",1,$J1850)*N($K1850),2))</f>
        <v/>
      </c>
      <c r="M1850" s="13" t="n"/>
      <c r="N1850" s="17">
        <f>IF($D1850="","",IF(ISNA(MATCH($D1850,项目名表,0)),"※项目不在项目台账里",IF($F1850="※材料类别没选","※材料类别没选",IF(AND($C1850&lt;&gt;"",ISNA(MATCH($C1850,供应商表,0))),"※供应商不在基础资料里",""))))</f>
        <v/>
      </c>
    </row>
    <row r="1851">
      <c r="A1851" s="17">
        <f>IF($D1851="","",ROW()-3)</f>
        <v/>
      </c>
      <c r="B1851" s="18" t="n"/>
      <c r="C1851" s="13" t="n"/>
      <c r="D1851" s="13" t="n"/>
      <c r="E1851" s="13" t="n"/>
      <c r="F1851" s="17">
        <f>IF($D1851="","",IFERROR(VLOOKUP($E1851,材料归属,2,0),"※材料类别没选"))</f>
        <v/>
      </c>
      <c r="G1851" s="13" t="n"/>
      <c r="H1851" s="13" t="n"/>
      <c r="I1851" s="13" t="n"/>
      <c r="J1851" s="20" t="n"/>
      <c r="K1851" s="14" t="n"/>
      <c r="L1851" s="19">
        <f>IF($D1851="","",ROUND(IF($J1851="",1,$J1851)*N($K1851),2))</f>
        <v/>
      </c>
      <c r="M1851" s="13" t="n"/>
      <c r="N1851" s="17">
        <f>IF($D1851="","",IF(ISNA(MATCH($D1851,项目名表,0)),"※项目不在项目台账里",IF($F1851="※材料类别没选","※材料类别没选",IF(AND($C1851&lt;&gt;"",ISNA(MATCH($C1851,供应商表,0))),"※供应商不在基础资料里",""))))</f>
        <v/>
      </c>
    </row>
    <row r="1852">
      <c r="A1852" s="17">
        <f>IF($D1852="","",ROW()-3)</f>
        <v/>
      </c>
      <c r="B1852" s="18" t="n"/>
      <c r="C1852" s="13" t="n"/>
      <c r="D1852" s="13" t="n"/>
      <c r="E1852" s="13" t="n"/>
      <c r="F1852" s="17">
        <f>IF($D1852="","",IFERROR(VLOOKUP($E1852,材料归属,2,0),"※材料类别没选"))</f>
        <v/>
      </c>
      <c r="G1852" s="13" t="n"/>
      <c r="H1852" s="13" t="n"/>
      <c r="I1852" s="13" t="n"/>
      <c r="J1852" s="20" t="n"/>
      <c r="K1852" s="14" t="n"/>
      <c r="L1852" s="19">
        <f>IF($D1852="","",ROUND(IF($J1852="",1,$J1852)*N($K1852),2))</f>
        <v/>
      </c>
      <c r="M1852" s="13" t="n"/>
      <c r="N1852" s="17">
        <f>IF($D1852="","",IF(ISNA(MATCH($D1852,项目名表,0)),"※项目不在项目台账里",IF($F1852="※材料类别没选","※材料类别没选",IF(AND($C1852&lt;&gt;"",ISNA(MATCH($C1852,供应商表,0))),"※供应商不在基础资料里",""))))</f>
        <v/>
      </c>
    </row>
    <row r="1853">
      <c r="A1853" s="17">
        <f>IF($D1853="","",ROW()-3)</f>
        <v/>
      </c>
      <c r="B1853" s="18" t="n"/>
      <c r="C1853" s="13" t="n"/>
      <c r="D1853" s="13" t="n"/>
      <c r="E1853" s="13" t="n"/>
      <c r="F1853" s="17">
        <f>IF($D1853="","",IFERROR(VLOOKUP($E1853,材料归属,2,0),"※材料类别没选"))</f>
        <v/>
      </c>
      <c r="G1853" s="13" t="n"/>
      <c r="H1853" s="13" t="n"/>
      <c r="I1853" s="13" t="n"/>
      <c r="J1853" s="20" t="n"/>
      <c r="K1853" s="14" t="n"/>
      <c r="L1853" s="19">
        <f>IF($D1853="","",ROUND(IF($J1853="",1,$J1853)*N($K1853),2))</f>
        <v/>
      </c>
      <c r="M1853" s="13" t="n"/>
      <c r="N1853" s="17">
        <f>IF($D1853="","",IF(ISNA(MATCH($D1853,项目名表,0)),"※项目不在项目台账里",IF($F1853="※材料类别没选","※材料类别没选",IF(AND($C1853&lt;&gt;"",ISNA(MATCH($C1853,供应商表,0))),"※供应商不在基础资料里",""))))</f>
        <v/>
      </c>
    </row>
    <row r="1854">
      <c r="A1854" s="17">
        <f>IF($D1854="","",ROW()-3)</f>
        <v/>
      </c>
      <c r="B1854" s="18" t="n"/>
      <c r="C1854" s="13" t="n"/>
      <c r="D1854" s="13" t="n"/>
      <c r="E1854" s="13" t="n"/>
      <c r="F1854" s="17">
        <f>IF($D1854="","",IFERROR(VLOOKUP($E1854,材料归属,2,0),"※材料类别没选"))</f>
        <v/>
      </c>
      <c r="G1854" s="13" t="n"/>
      <c r="H1854" s="13" t="n"/>
      <c r="I1854" s="13" t="n"/>
      <c r="J1854" s="20" t="n"/>
      <c r="K1854" s="14" t="n"/>
      <c r="L1854" s="19">
        <f>IF($D1854="","",ROUND(IF($J1854="",1,$J1854)*N($K1854),2))</f>
        <v/>
      </c>
      <c r="M1854" s="13" t="n"/>
      <c r="N1854" s="17">
        <f>IF($D1854="","",IF(ISNA(MATCH($D1854,项目名表,0)),"※项目不在项目台账里",IF($F1854="※材料类别没选","※材料类别没选",IF(AND($C1854&lt;&gt;"",ISNA(MATCH($C1854,供应商表,0))),"※供应商不在基础资料里",""))))</f>
        <v/>
      </c>
    </row>
    <row r="1855">
      <c r="A1855" s="17">
        <f>IF($D1855="","",ROW()-3)</f>
        <v/>
      </c>
      <c r="B1855" s="18" t="n"/>
      <c r="C1855" s="13" t="n"/>
      <c r="D1855" s="13" t="n"/>
      <c r="E1855" s="13" t="n"/>
      <c r="F1855" s="17">
        <f>IF($D1855="","",IFERROR(VLOOKUP($E1855,材料归属,2,0),"※材料类别没选"))</f>
        <v/>
      </c>
      <c r="G1855" s="13" t="n"/>
      <c r="H1855" s="13" t="n"/>
      <c r="I1855" s="13" t="n"/>
      <c r="J1855" s="20" t="n"/>
      <c r="K1855" s="14" t="n"/>
      <c r="L1855" s="19">
        <f>IF($D1855="","",ROUND(IF($J1855="",1,$J1855)*N($K1855),2))</f>
        <v/>
      </c>
      <c r="M1855" s="13" t="n"/>
      <c r="N1855" s="17">
        <f>IF($D1855="","",IF(ISNA(MATCH($D1855,项目名表,0)),"※项目不在项目台账里",IF($F1855="※材料类别没选","※材料类别没选",IF(AND($C1855&lt;&gt;"",ISNA(MATCH($C1855,供应商表,0))),"※供应商不在基础资料里",""))))</f>
        <v/>
      </c>
    </row>
    <row r="1856">
      <c r="A1856" s="17">
        <f>IF($D1856="","",ROW()-3)</f>
        <v/>
      </c>
      <c r="B1856" s="18" t="n"/>
      <c r="C1856" s="13" t="n"/>
      <c r="D1856" s="13" t="n"/>
      <c r="E1856" s="13" t="n"/>
      <c r="F1856" s="17">
        <f>IF($D1856="","",IFERROR(VLOOKUP($E1856,材料归属,2,0),"※材料类别没选"))</f>
        <v/>
      </c>
      <c r="G1856" s="13" t="n"/>
      <c r="H1856" s="13" t="n"/>
      <c r="I1856" s="13" t="n"/>
      <c r="J1856" s="20" t="n"/>
      <c r="K1856" s="14" t="n"/>
      <c r="L1856" s="19">
        <f>IF($D1856="","",ROUND(IF($J1856="",1,$J1856)*N($K1856),2))</f>
        <v/>
      </c>
      <c r="M1856" s="13" t="n"/>
      <c r="N1856" s="17">
        <f>IF($D1856="","",IF(ISNA(MATCH($D1856,项目名表,0)),"※项目不在项目台账里",IF($F1856="※材料类别没选","※材料类别没选",IF(AND($C1856&lt;&gt;"",ISNA(MATCH($C1856,供应商表,0))),"※供应商不在基础资料里",""))))</f>
        <v/>
      </c>
    </row>
    <row r="1857">
      <c r="A1857" s="17">
        <f>IF($D1857="","",ROW()-3)</f>
        <v/>
      </c>
      <c r="B1857" s="18" t="n"/>
      <c r="C1857" s="13" t="n"/>
      <c r="D1857" s="13" t="n"/>
      <c r="E1857" s="13" t="n"/>
      <c r="F1857" s="17">
        <f>IF($D1857="","",IFERROR(VLOOKUP($E1857,材料归属,2,0),"※材料类别没选"))</f>
        <v/>
      </c>
      <c r="G1857" s="13" t="n"/>
      <c r="H1857" s="13" t="n"/>
      <c r="I1857" s="13" t="n"/>
      <c r="J1857" s="20" t="n"/>
      <c r="K1857" s="14" t="n"/>
      <c r="L1857" s="19">
        <f>IF($D1857="","",ROUND(IF($J1857="",1,$J1857)*N($K1857),2))</f>
        <v/>
      </c>
      <c r="M1857" s="13" t="n"/>
      <c r="N1857" s="17">
        <f>IF($D1857="","",IF(ISNA(MATCH($D1857,项目名表,0)),"※项目不在项目台账里",IF($F1857="※材料类别没选","※材料类别没选",IF(AND($C1857&lt;&gt;"",ISNA(MATCH($C1857,供应商表,0))),"※供应商不在基础资料里",""))))</f>
        <v/>
      </c>
    </row>
    <row r="1858">
      <c r="A1858" s="17">
        <f>IF($D1858="","",ROW()-3)</f>
        <v/>
      </c>
      <c r="B1858" s="18" t="n"/>
      <c r="C1858" s="13" t="n"/>
      <c r="D1858" s="13" t="n"/>
      <c r="E1858" s="13" t="n"/>
      <c r="F1858" s="17">
        <f>IF($D1858="","",IFERROR(VLOOKUP($E1858,材料归属,2,0),"※材料类别没选"))</f>
        <v/>
      </c>
      <c r="G1858" s="13" t="n"/>
      <c r="H1858" s="13" t="n"/>
      <c r="I1858" s="13" t="n"/>
      <c r="J1858" s="20" t="n"/>
      <c r="K1858" s="14" t="n"/>
      <c r="L1858" s="19">
        <f>IF($D1858="","",ROUND(IF($J1858="",1,$J1858)*N($K1858),2))</f>
        <v/>
      </c>
      <c r="M1858" s="13" t="n"/>
      <c r="N1858" s="17">
        <f>IF($D1858="","",IF(ISNA(MATCH($D1858,项目名表,0)),"※项目不在项目台账里",IF($F1858="※材料类别没选","※材料类别没选",IF(AND($C1858&lt;&gt;"",ISNA(MATCH($C1858,供应商表,0))),"※供应商不在基础资料里",""))))</f>
        <v/>
      </c>
    </row>
    <row r="1859">
      <c r="A1859" s="17">
        <f>IF($D1859="","",ROW()-3)</f>
        <v/>
      </c>
      <c r="B1859" s="18" t="n"/>
      <c r="C1859" s="13" t="n"/>
      <c r="D1859" s="13" t="n"/>
      <c r="E1859" s="13" t="n"/>
      <c r="F1859" s="17">
        <f>IF($D1859="","",IFERROR(VLOOKUP($E1859,材料归属,2,0),"※材料类别没选"))</f>
        <v/>
      </c>
      <c r="G1859" s="13" t="n"/>
      <c r="H1859" s="13" t="n"/>
      <c r="I1859" s="13" t="n"/>
      <c r="J1859" s="20" t="n"/>
      <c r="K1859" s="14" t="n"/>
      <c r="L1859" s="19">
        <f>IF($D1859="","",ROUND(IF($J1859="",1,$J1859)*N($K1859),2))</f>
        <v/>
      </c>
      <c r="M1859" s="13" t="n"/>
      <c r="N1859" s="17">
        <f>IF($D1859="","",IF(ISNA(MATCH($D1859,项目名表,0)),"※项目不在项目台账里",IF($F1859="※材料类别没选","※材料类别没选",IF(AND($C1859&lt;&gt;"",ISNA(MATCH($C1859,供应商表,0))),"※供应商不在基础资料里",""))))</f>
        <v/>
      </c>
    </row>
    <row r="1860">
      <c r="A1860" s="17">
        <f>IF($D1860="","",ROW()-3)</f>
        <v/>
      </c>
      <c r="B1860" s="18" t="n"/>
      <c r="C1860" s="13" t="n"/>
      <c r="D1860" s="13" t="n"/>
      <c r="E1860" s="13" t="n"/>
      <c r="F1860" s="17">
        <f>IF($D1860="","",IFERROR(VLOOKUP($E1860,材料归属,2,0),"※材料类别没选"))</f>
        <v/>
      </c>
      <c r="G1860" s="13" t="n"/>
      <c r="H1860" s="13" t="n"/>
      <c r="I1860" s="13" t="n"/>
      <c r="J1860" s="20" t="n"/>
      <c r="K1860" s="14" t="n"/>
      <c r="L1860" s="19">
        <f>IF($D1860="","",ROUND(IF($J1860="",1,$J1860)*N($K1860),2))</f>
        <v/>
      </c>
      <c r="M1860" s="13" t="n"/>
      <c r="N1860" s="17">
        <f>IF($D1860="","",IF(ISNA(MATCH($D1860,项目名表,0)),"※项目不在项目台账里",IF($F1860="※材料类别没选","※材料类别没选",IF(AND($C1860&lt;&gt;"",ISNA(MATCH($C1860,供应商表,0))),"※供应商不在基础资料里",""))))</f>
        <v/>
      </c>
    </row>
    <row r="1861">
      <c r="A1861" s="17">
        <f>IF($D1861="","",ROW()-3)</f>
        <v/>
      </c>
      <c r="B1861" s="18" t="n"/>
      <c r="C1861" s="13" t="n"/>
      <c r="D1861" s="13" t="n"/>
      <c r="E1861" s="13" t="n"/>
      <c r="F1861" s="17">
        <f>IF($D1861="","",IFERROR(VLOOKUP($E1861,材料归属,2,0),"※材料类别没选"))</f>
        <v/>
      </c>
      <c r="G1861" s="13" t="n"/>
      <c r="H1861" s="13" t="n"/>
      <c r="I1861" s="13" t="n"/>
      <c r="J1861" s="20" t="n"/>
      <c r="K1861" s="14" t="n"/>
      <c r="L1861" s="19">
        <f>IF($D1861="","",ROUND(IF($J1861="",1,$J1861)*N($K1861),2))</f>
        <v/>
      </c>
      <c r="M1861" s="13" t="n"/>
      <c r="N1861" s="17">
        <f>IF($D1861="","",IF(ISNA(MATCH($D1861,项目名表,0)),"※项目不在项目台账里",IF($F1861="※材料类别没选","※材料类别没选",IF(AND($C1861&lt;&gt;"",ISNA(MATCH($C1861,供应商表,0))),"※供应商不在基础资料里",""))))</f>
        <v/>
      </c>
    </row>
    <row r="1862">
      <c r="A1862" s="17">
        <f>IF($D1862="","",ROW()-3)</f>
        <v/>
      </c>
      <c r="B1862" s="18" t="n"/>
      <c r="C1862" s="13" t="n"/>
      <c r="D1862" s="13" t="n"/>
      <c r="E1862" s="13" t="n"/>
      <c r="F1862" s="17">
        <f>IF($D1862="","",IFERROR(VLOOKUP($E1862,材料归属,2,0),"※材料类别没选"))</f>
        <v/>
      </c>
      <c r="G1862" s="13" t="n"/>
      <c r="H1862" s="13" t="n"/>
      <c r="I1862" s="13" t="n"/>
      <c r="J1862" s="20" t="n"/>
      <c r="K1862" s="14" t="n"/>
      <c r="L1862" s="19">
        <f>IF($D1862="","",ROUND(IF($J1862="",1,$J1862)*N($K1862),2))</f>
        <v/>
      </c>
      <c r="M1862" s="13" t="n"/>
      <c r="N1862" s="17">
        <f>IF($D1862="","",IF(ISNA(MATCH($D1862,项目名表,0)),"※项目不在项目台账里",IF($F1862="※材料类别没选","※材料类别没选",IF(AND($C1862&lt;&gt;"",ISNA(MATCH($C1862,供应商表,0))),"※供应商不在基础资料里",""))))</f>
        <v/>
      </c>
    </row>
    <row r="1863">
      <c r="A1863" s="17">
        <f>IF($D1863="","",ROW()-3)</f>
        <v/>
      </c>
      <c r="B1863" s="18" t="n"/>
      <c r="C1863" s="13" t="n"/>
      <c r="D1863" s="13" t="n"/>
      <c r="E1863" s="13" t="n"/>
      <c r="F1863" s="17">
        <f>IF($D1863="","",IFERROR(VLOOKUP($E1863,材料归属,2,0),"※材料类别没选"))</f>
        <v/>
      </c>
      <c r="G1863" s="13" t="n"/>
      <c r="H1863" s="13" t="n"/>
      <c r="I1863" s="13" t="n"/>
      <c r="J1863" s="20" t="n"/>
      <c r="K1863" s="14" t="n"/>
      <c r="L1863" s="19">
        <f>IF($D1863="","",ROUND(IF($J1863="",1,$J1863)*N($K1863),2))</f>
        <v/>
      </c>
      <c r="M1863" s="13" t="n"/>
      <c r="N1863" s="17">
        <f>IF($D1863="","",IF(ISNA(MATCH($D1863,项目名表,0)),"※项目不在项目台账里",IF($F1863="※材料类别没选","※材料类别没选",IF(AND($C1863&lt;&gt;"",ISNA(MATCH($C1863,供应商表,0))),"※供应商不在基础资料里",""))))</f>
        <v/>
      </c>
    </row>
    <row r="1864">
      <c r="A1864" s="17">
        <f>IF($D1864="","",ROW()-3)</f>
        <v/>
      </c>
      <c r="B1864" s="18" t="n"/>
      <c r="C1864" s="13" t="n"/>
      <c r="D1864" s="13" t="n"/>
      <c r="E1864" s="13" t="n"/>
      <c r="F1864" s="17">
        <f>IF($D1864="","",IFERROR(VLOOKUP($E1864,材料归属,2,0),"※材料类别没选"))</f>
        <v/>
      </c>
      <c r="G1864" s="13" t="n"/>
      <c r="H1864" s="13" t="n"/>
      <c r="I1864" s="13" t="n"/>
      <c r="J1864" s="20" t="n"/>
      <c r="K1864" s="14" t="n"/>
      <c r="L1864" s="19">
        <f>IF($D1864="","",ROUND(IF($J1864="",1,$J1864)*N($K1864),2))</f>
        <v/>
      </c>
      <c r="M1864" s="13" t="n"/>
      <c r="N1864" s="17">
        <f>IF($D1864="","",IF(ISNA(MATCH($D1864,项目名表,0)),"※项目不在项目台账里",IF($F1864="※材料类别没选","※材料类别没选",IF(AND($C1864&lt;&gt;"",ISNA(MATCH($C1864,供应商表,0))),"※供应商不在基础资料里",""))))</f>
        <v/>
      </c>
    </row>
    <row r="1865">
      <c r="A1865" s="17">
        <f>IF($D1865="","",ROW()-3)</f>
        <v/>
      </c>
      <c r="B1865" s="18" t="n"/>
      <c r="C1865" s="13" t="n"/>
      <c r="D1865" s="13" t="n"/>
      <c r="E1865" s="13" t="n"/>
      <c r="F1865" s="17">
        <f>IF($D1865="","",IFERROR(VLOOKUP($E1865,材料归属,2,0),"※材料类别没选"))</f>
        <v/>
      </c>
      <c r="G1865" s="13" t="n"/>
      <c r="H1865" s="13" t="n"/>
      <c r="I1865" s="13" t="n"/>
      <c r="J1865" s="20" t="n"/>
      <c r="K1865" s="14" t="n"/>
      <c r="L1865" s="19">
        <f>IF($D1865="","",ROUND(IF($J1865="",1,$J1865)*N($K1865),2))</f>
        <v/>
      </c>
      <c r="M1865" s="13" t="n"/>
      <c r="N1865" s="17">
        <f>IF($D1865="","",IF(ISNA(MATCH($D1865,项目名表,0)),"※项目不在项目台账里",IF($F1865="※材料类别没选","※材料类别没选",IF(AND($C1865&lt;&gt;"",ISNA(MATCH($C1865,供应商表,0))),"※供应商不在基础资料里",""))))</f>
        <v/>
      </c>
    </row>
    <row r="1866">
      <c r="A1866" s="17">
        <f>IF($D1866="","",ROW()-3)</f>
        <v/>
      </c>
      <c r="B1866" s="18" t="n"/>
      <c r="C1866" s="13" t="n"/>
      <c r="D1866" s="13" t="n"/>
      <c r="E1866" s="13" t="n"/>
      <c r="F1866" s="17">
        <f>IF($D1866="","",IFERROR(VLOOKUP($E1866,材料归属,2,0),"※材料类别没选"))</f>
        <v/>
      </c>
      <c r="G1866" s="13" t="n"/>
      <c r="H1866" s="13" t="n"/>
      <c r="I1866" s="13" t="n"/>
      <c r="J1866" s="20" t="n"/>
      <c r="K1866" s="14" t="n"/>
      <c r="L1866" s="19">
        <f>IF($D1866="","",ROUND(IF($J1866="",1,$J1866)*N($K1866),2))</f>
        <v/>
      </c>
      <c r="M1866" s="13" t="n"/>
      <c r="N1866" s="17">
        <f>IF($D1866="","",IF(ISNA(MATCH($D1866,项目名表,0)),"※项目不在项目台账里",IF($F1866="※材料类别没选","※材料类别没选",IF(AND($C1866&lt;&gt;"",ISNA(MATCH($C1866,供应商表,0))),"※供应商不在基础资料里",""))))</f>
        <v/>
      </c>
    </row>
    <row r="1867">
      <c r="A1867" s="17">
        <f>IF($D1867="","",ROW()-3)</f>
        <v/>
      </c>
      <c r="B1867" s="18" t="n"/>
      <c r="C1867" s="13" t="n"/>
      <c r="D1867" s="13" t="n"/>
      <c r="E1867" s="13" t="n"/>
      <c r="F1867" s="17">
        <f>IF($D1867="","",IFERROR(VLOOKUP($E1867,材料归属,2,0),"※材料类别没选"))</f>
        <v/>
      </c>
      <c r="G1867" s="13" t="n"/>
      <c r="H1867" s="13" t="n"/>
      <c r="I1867" s="13" t="n"/>
      <c r="J1867" s="20" t="n"/>
      <c r="K1867" s="14" t="n"/>
      <c r="L1867" s="19">
        <f>IF($D1867="","",ROUND(IF($J1867="",1,$J1867)*N($K1867),2))</f>
        <v/>
      </c>
      <c r="M1867" s="13" t="n"/>
      <c r="N1867" s="17">
        <f>IF($D1867="","",IF(ISNA(MATCH($D1867,项目名表,0)),"※项目不在项目台账里",IF($F1867="※材料类别没选","※材料类别没选",IF(AND($C1867&lt;&gt;"",ISNA(MATCH($C1867,供应商表,0))),"※供应商不在基础资料里",""))))</f>
        <v/>
      </c>
    </row>
    <row r="1868">
      <c r="A1868" s="17">
        <f>IF($D1868="","",ROW()-3)</f>
        <v/>
      </c>
      <c r="B1868" s="18" t="n"/>
      <c r="C1868" s="13" t="n"/>
      <c r="D1868" s="13" t="n"/>
      <c r="E1868" s="13" t="n"/>
      <c r="F1868" s="17">
        <f>IF($D1868="","",IFERROR(VLOOKUP($E1868,材料归属,2,0),"※材料类别没选"))</f>
        <v/>
      </c>
      <c r="G1868" s="13" t="n"/>
      <c r="H1868" s="13" t="n"/>
      <c r="I1868" s="13" t="n"/>
      <c r="J1868" s="20" t="n"/>
      <c r="K1868" s="14" t="n"/>
      <c r="L1868" s="19">
        <f>IF($D1868="","",ROUND(IF($J1868="",1,$J1868)*N($K1868),2))</f>
        <v/>
      </c>
      <c r="M1868" s="13" t="n"/>
      <c r="N1868" s="17">
        <f>IF($D1868="","",IF(ISNA(MATCH($D1868,项目名表,0)),"※项目不在项目台账里",IF($F1868="※材料类别没选","※材料类别没选",IF(AND($C1868&lt;&gt;"",ISNA(MATCH($C1868,供应商表,0))),"※供应商不在基础资料里",""))))</f>
        <v/>
      </c>
    </row>
    <row r="1869">
      <c r="A1869" s="17">
        <f>IF($D1869="","",ROW()-3)</f>
        <v/>
      </c>
      <c r="B1869" s="18" t="n"/>
      <c r="C1869" s="13" t="n"/>
      <c r="D1869" s="13" t="n"/>
      <c r="E1869" s="13" t="n"/>
      <c r="F1869" s="17">
        <f>IF($D1869="","",IFERROR(VLOOKUP($E1869,材料归属,2,0),"※材料类别没选"))</f>
        <v/>
      </c>
      <c r="G1869" s="13" t="n"/>
      <c r="H1869" s="13" t="n"/>
      <c r="I1869" s="13" t="n"/>
      <c r="J1869" s="20" t="n"/>
      <c r="K1869" s="14" t="n"/>
      <c r="L1869" s="19">
        <f>IF($D1869="","",ROUND(IF($J1869="",1,$J1869)*N($K1869),2))</f>
        <v/>
      </c>
      <c r="M1869" s="13" t="n"/>
      <c r="N1869" s="17">
        <f>IF($D1869="","",IF(ISNA(MATCH($D1869,项目名表,0)),"※项目不在项目台账里",IF($F1869="※材料类别没选","※材料类别没选",IF(AND($C1869&lt;&gt;"",ISNA(MATCH($C1869,供应商表,0))),"※供应商不在基础资料里",""))))</f>
        <v/>
      </c>
    </row>
    <row r="1870">
      <c r="A1870" s="17">
        <f>IF($D1870="","",ROW()-3)</f>
        <v/>
      </c>
      <c r="B1870" s="18" t="n"/>
      <c r="C1870" s="13" t="n"/>
      <c r="D1870" s="13" t="n"/>
      <c r="E1870" s="13" t="n"/>
      <c r="F1870" s="17">
        <f>IF($D1870="","",IFERROR(VLOOKUP($E1870,材料归属,2,0),"※材料类别没选"))</f>
        <v/>
      </c>
      <c r="G1870" s="13" t="n"/>
      <c r="H1870" s="13" t="n"/>
      <c r="I1870" s="13" t="n"/>
      <c r="J1870" s="20" t="n"/>
      <c r="K1870" s="14" t="n"/>
      <c r="L1870" s="19">
        <f>IF($D1870="","",ROUND(IF($J1870="",1,$J1870)*N($K1870),2))</f>
        <v/>
      </c>
      <c r="M1870" s="13" t="n"/>
      <c r="N1870" s="17">
        <f>IF($D1870="","",IF(ISNA(MATCH($D1870,项目名表,0)),"※项目不在项目台账里",IF($F1870="※材料类别没选","※材料类别没选",IF(AND($C1870&lt;&gt;"",ISNA(MATCH($C1870,供应商表,0))),"※供应商不在基础资料里",""))))</f>
        <v/>
      </c>
    </row>
    <row r="1871">
      <c r="A1871" s="17">
        <f>IF($D1871="","",ROW()-3)</f>
        <v/>
      </c>
      <c r="B1871" s="18" t="n"/>
      <c r="C1871" s="13" t="n"/>
      <c r="D1871" s="13" t="n"/>
      <c r="E1871" s="13" t="n"/>
      <c r="F1871" s="17">
        <f>IF($D1871="","",IFERROR(VLOOKUP($E1871,材料归属,2,0),"※材料类别没选"))</f>
        <v/>
      </c>
      <c r="G1871" s="13" t="n"/>
      <c r="H1871" s="13" t="n"/>
      <c r="I1871" s="13" t="n"/>
      <c r="J1871" s="20" t="n"/>
      <c r="K1871" s="14" t="n"/>
      <c r="L1871" s="19">
        <f>IF($D1871="","",ROUND(IF($J1871="",1,$J1871)*N($K1871),2))</f>
        <v/>
      </c>
      <c r="M1871" s="13" t="n"/>
      <c r="N1871" s="17">
        <f>IF($D1871="","",IF(ISNA(MATCH($D1871,项目名表,0)),"※项目不在项目台账里",IF($F1871="※材料类别没选","※材料类别没选",IF(AND($C1871&lt;&gt;"",ISNA(MATCH($C1871,供应商表,0))),"※供应商不在基础资料里",""))))</f>
        <v/>
      </c>
    </row>
    <row r="1872">
      <c r="A1872" s="17">
        <f>IF($D1872="","",ROW()-3)</f>
        <v/>
      </c>
      <c r="B1872" s="18" t="n"/>
      <c r="C1872" s="13" t="n"/>
      <c r="D1872" s="13" t="n"/>
      <c r="E1872" s="13" t="n"/>
      <c r="F1872" s="17">
        <f>IF($D1872="","",IFERROR(VLOOKUP($E1872,材料归属,2,0),"※材料类别没选"))</f>
        <v/>
      </c>
      <c r="G1872" s="13" t="n"/>
      <c r="H1872" s="13" t="n"/>
      <c r="I1872" s="13" t="n"/>
      <c r="J1872" s="20" t="n"/>
      <c r="K1872" s="14" t="n"/>
      <c r="L1872" s="19">
        <f>IF($D1872="","",ROUND(IF($J1872="",1,$J1872)*N($K1872),2))</f>
        <v/>
      </c>
      <c r="M1872" s="13" t="n"/>
      <c r="N1872" s="17">
        <f>IF($D1872="","",IF(ISNA(MATCH($D1872,项目名表,0)),"※项目不在项目台账里",IF($F1872="※材料类别没选","※材料类别没选",IF(AND($C1872&lt;&gt;"",ISNA(MATCH($C1872,供应商表,0))),"※供应商不在基础资料里",""))))</f>
        <v/>
      </c>
    </row>
    <row r="1873">
      <c r="A1873" s="17">
        <f>IF($D1873="","",ROW()-3)</f>
        <v/>
      </c>
      <c r="B1873" s="18" t="n"/>
      <c r="C1873" s="13" t="n"/>
      <c r="D1873" s="13" t="n"/>
      <c r="E1873" s="13" t="n"/>
      <c r="F1873" s="17">
        <f>IF($D1873="","",IFERROR(VLOOKUP($E1873,材料归属,2,0),"※材料类别没选"))</f>
        <v/>
      </c>
      <c r="G1873" s="13" t="n"/>
      <c r="H1873" s="13" t="n"/>
      <c r="I1873" s="13" t="n"/>
      <c r="J1873" s="20" t="n"/>
      <c r="K1873" s="14" t="n"/>
      <c r="L1873" s="19">
        <f>IF($D1873="","",ROUND(IF($J1873="",1,$J1873)*N($K1873),2))</f>
        <v/>
      </c>
      <c r="M1873" s="13" t="n"/>
      <c r="N1873" s="17">
        <f>IF($D1873="","",IF(ISNA(MATCH($D1873,项目名表,0)),"※项目不在项目台账里",IF($F1873="※材料类别没选","※材料类别没选",IF(AND($C1873&lt;&gt;"",ISNA(MATCH($C1873,供应商表,0))),"※供应商不在基础资料里",""))))</f>
        <v/>
      </c>
    </row>
    <row r="1874">
      <c r="A1874" s="17">
        <f>IF($D1874="","",ROW()-3)</f>
        <v/>
      </c>
      <c r="B1874" s="18" t="n"/>
      <c r="C1874" s="13" t="n"/>
      <c r="D1874" s="13" t="n"/>
      <c r="E1874" s="13" t="n"/>
      <c r="F1874" s="17">
        <f>IF($D1874="","",IFERROR(VLOOKUP($E1874,材料归属,2,0),"※材料类别没选"))</f>
        <v/>
      </c>
      <c r="G1874" s="13" t="n"/>
      <c r="H1874" s="13" t="n"/>
      <c r="I1874" s="13" t="n"/>
      <c r="J1874" s="20" t="n"/>
      <c r="K1874" s="14" t="n"/>
      <c r="L1874" s="19">
        <f>IF($D1874="","",ROUND(IF($J1874="",1,$J1874)*N($K1874),2))</f>
        <v/>
      </c>
      <c r="M1874" s="13" t="n"/>
      <c r="N1874" s="17">
        <f>IF($D1874="","",IF(ISNA(MATCH($D1874,项目名表,0)),"※项目不在项目台账里",IF($F1874="※材料类别没选","※材料类别没选",IF(AND($C1874&lt;&gt;"",ISNA(MATCH($C1874,供应商表,0))),"※供应商不在基础资料里",""))))</f>
        <v/>
      </c>
    </row>
    <row r="1875">
      <c r="A1875" s="17">
        <f>IF($D1875="","",ROW()-3)</f>
        <v/>
      </c>
      <c r="B1875" s="18" t="n"/>
      <c r="C1875" s="13" t="n"/>
      <c r="D1875" s="13" t="n"/>
      <c r="E1875" s="13" t="n"/>
      <c r="F1875" s="17">
        <f>IF($D1875="","",IFERROR(VLOOKUP($E1875,材料归属,2,0),"※材料类别没选"))</f>
        <v/>
      </c>
      <c r="G1875" s="13" t="n"/>
      <c r="H1875" s="13" t="n"/>
      <c r="I1875" s="13" t="n"/>
      <c r="J1875" s="20" t="n"/>
      <c r="K1875" s="14" t="n"/>
      <c r="L1875" s="19">
        <f>IF($D1875="","",ROUND(IF($J1875="",1,$J1875)*N($K1875),2))</f>
        <v/>
      </c>
      <c r="M1875" s="13" t="n"/>
      <c r="N1875" s="17">
        <f>IF($D1875="","",IF(ISNA(MATCH($D1875,项目名表,0)),"※项目不在项目台账里",IF($F1875="※材料类别没选","※材料类别没选",IF(AND($C1875&lt;&gt;"",ISNA(MATCH($C1875,供应商表,0))),"※供应商不在基础资料里",""))))</f>
        <v/>
      </c>
    </row>
    <row r="1876">
      <c r="A1876" s="17">
        <f>IF($D1876="","",ROW()-3)</f>
        <v/>
      </c>
      <c r="B1876" s="18" t="n"/>
      <c r="C1876" s="13" t="n"/>
      <c r="D1876" s="13" t="n"/>
      <c r="E1876" s="13" t="n"/>
      <c r="F1876" s="17">
        <f>IF($D1876="","",IFERROR(VLOOKUP($E1876,材料归属,2,0),"※材料类别没选"))</f>
        <v/>
      </c>
      <c r="G1876" s="13" t="n"/>
      <c r="H1876" s="13" t="n"/>
      <c r="I1876" s="13" t="n"/>
      <c r="J1876" s="20" t="n"/>
      <c r="K1876" s="14" t="n"/>
      <c r="L1876" s="19">
        <f>IF($D1876="","",ROUND(IF($J1876="",1,$J1876)*N($K1876),2))</f>
        <v/>
      </c>
      <c r="M1876" s="13" t="n"/>
      <c r="N1876" s="17">
        <f>IF($D1876="","",IF(ISNA(MATCH($D1876,项目名表,0)),"※项目不在项目台账里",IF($F1876="※材料类别没选","※材料类别没选",IF(AND($C1876&lt;&gt;"",ISNA(MATCH($C1876,供应商表,0))),"※供应商不在基础资料里",""))))</f>
        <v/>
      </c>
    </row>
    <row r="1877">
      <c r="A1877" s="17">
        <f>IF($D1877="","",ROW()-3)</f>
        <v/>
      </c>
      <c r="B1877" s="18" t="n"/>
      <c r="C1877" s="13" t="n"/>
      <c r="D1877" s="13" t="n"/>
      <c r="E1877" s="13" t="n"/>
      <c r="F1877" s="17">
        <f>IF($D1877="","",IFERROR(VLOOKUP($E1877,材料归属,2,0),"※材料类别没选"))</f>
        <v/>
      </c>
      <c r="G1877" s="13" t="n"/>
      <c r="H1877" s="13" t="n"/>
      <c r="I1877" s="13" t="n"/>
      <c r="J1877" s="20" t="n"/>
      <c r="K1877" s="14" t="n"/>
      <c r="L1877" s="19">
        <f>IF($D1877="","",ROUND(IF($J1877="",1,$J1877)*N($K1877),2))</f>
        <v/>
      </c>
      <c r="M1877" s="13" t="n"/>
      <c r="N1877" s="17">
        <f>IF($D1877="","",IF(ISNA(MATCH($D1877,项目名表,0)),"※项目不在项目台账里",IF($F1877="※材料类别没选","※材料类别没选",IF(AND($C1877&lt;&gt;"",ISNA(MATCH($C1877,供应商表,0))),"※供应商不在基础资料里",""))))</f>
        <v/>
      </c>
    </row>
    <row r="1878">
      <c r="A1878" s="17">
        <f>IF($D1878="","",ROW()-3)</f>
        <v/>
      </c>
      <c r="B1878" s="18" t="n"/>
      <c r="C1878" s="13" t="n"/>
      <c r="D1878" s="13" t="n"/>
      <c r="E1878" s="13" t="n"/>
      <c r="F1878" s="17">
        <f>IF($D1878="","",IFERROR(VLOOKUP($E1878,材料归属,2,0),"※材料类别没选"))</f>
        <v/>
      </c>
      <c r="G1878" s="13" t="n"/>
      <c r="H1878" s="13" t="n"/>
      <c r="I1878" s="13" t="n"/>
      <c r="J1878" s="20" t="n"/>
      <c r="K1878" s="14" t="n"/>
      <c r="L1878" s="19">
        <f>IF($D1878="","",ROUND(IF($J1878="",1,$J1878)*N($K1878),2))</f>
        <v/>
      </c>
      <c r="M1878" s="13" t="n"/>
      <c r="N1878" s="17">
        <f>IF($D1878="","",IF(ISNA(MATCH($D1878,项目名表,0)),"※项目不在项目台账里",IF($F1878="※材料类别没选","※材料类别没选",IF(AND($C1878&lt;&gt;"",ISNA(MATCH($C1878,供应商表,0))),"※供应商不在基础资料里",""))))</f>
        <v/>
      </c>
    </row>
    <row r="1879">
      <c r="A1879" s="17">
        <f>IF($D1879="","",ROW()-3)</f>
        <v/>
      </c>
      <c r="B1879" s="18" t="n"/>
      <c r="C1879" s="13" t="n"/>
      <c r="D1879" s="13" t="n"/>
      <c r="E1879" s="13" t="n"/>
      <c r="F1879" s="17">
        <f>IF($D1879="","",IFERROR(VLOOKUP($E1879,材料归属,2,0),"※材料类别没选"))</f>
        <v/>
      </c>
      <c r="G1879" s="13" t="n"/>
      <c r="H1879" s="13" t="n"/>
      <c r="I1879" s="13" t="n"/>
      <c r="J1879" s="20" t="n"/>
      <c r="K1879" s="14" t="n"/>
      <c r="L1879" s="19">
        <f>IF($D1879="","",ROUND(IF($J1879="",1,$J1879)*N($K1879),2))</f>
        <v/>
      </c>
      <c r="M1879" s="13" t="n"/>
      <c r="N1879" s="17">
        <f>IF($D1879="","",IF(ISNA(MATCH($D1879,项目名表,0)),"※项目不在项目台账里",IF($F1879="※材料类别没选","※材料类别没选",IF(AND($C1879&lt;&gt;"",ISNA(MATCH($C1879,供应商表,0))),"※供应商不在基础资料里",""))))</f>
        <v/>
      </c>
    </row>
    <row r="1880">
      <c r="A1880" s="17">
        <f>IF($D1880="","",ROW()-3)</f>
        <v/>
      </c>
      <c r="B1880" s="18" t="n"/>
      <c r="C1880" s="13" t="n"/>
      <c r="D1880" s="13" t="n"/>
      <c r="E1880" s="13" t="n"/>
      <c r="F1880" s="17">
        <f>IF($D1880="","",IFERROR(VLOOKUP($E1880,材料归属,2,0),"※材料类别没选"))</f>
        <v/>
      </c>
      <c r="G1880" s="13" t="n"/>
      <c r="H1880" s="13" t="n"/>
      <c r="I1880" s="13" t="n"/>
      <c r="J1880" s="20" t="n"/>
      <c r="K1880" s="14" t="n"/>
      <c r="L1880" s="19">
        <f>IF($D1880="","",ROUND(IF($J1880="",1,$J1880)*N($K1880),2))</f>
        <v/>
      </c>
      <c r="M1880" s="13" t="n"/>
      <c r="N1880" s="17">
        <f>IF($D1880="","",IF(ISNA(MATCH($D1880,项目名表,0)),"※项目不在项目台账里",IF($F1880="※材料类别没选","※材料类别没选",IF(AND($C1880&lt;&gt;"",ISNA(MATCH($C1880,供应商表,0))),"※供应商不在基础资料里",""))))</f>
        <v/>
      </c>
    </row>
    <row r="1881">
      <c r="A1881" s="17">
        <f>IF($D1881="","",ROW()-3)</f>
        <v/>
      </c>
      <c r="B1881" s="18" t="n"/>
      <c r="C1881" s="13" t="n"/>
      <c r="D1881" s="13" t="n"/>
      <c r="E1881" s="13" t="n"/>
      <c r="F1881" s="17">
        <f>IF($D1881="","",IFERROR(VLOOKUP($E1881,材料归属,2,0),"※材料类别没选"))</f>
        <v/>
      </c>
      <c r="G1881" s="13" t="n"/>
      <c r="H1881" s="13" t="n"/>
      <c r="I1881" s="13" t="n"/>
      <c r="J1881" s="20" t="n"/>
      <c r="K1881" s="14" t="n"/>
      <c r="L1881" s="19">
        <f>IF($D1881="","",ROUND(IF($J1881="",1,$J1881)*N($K1881),2))</f>
        <v/>
      </c>
      <c r="M1881" s="13" t="n"/>
      <c r="N1881" s="17">
        <f>IF($D1881="","",IF(ISNA(MATCH($D1881,项目名表,0)),"※项目不在项目台账里",IF($F1881="※材料类别没选","※材料类别没选",IF(AND($C1881&lt;&gt;"",ISNA(MATCH($C1881,供应商表,0))),"※供应商不在基础资料里",""))))</f>
        <v/>
      </c>
    </row>
    <row r="1882">
      <c r="A1882" s="17">
        <f>IF($D1882="","",ROW()-3)</f>
        <v/>
      </c>
      <c r="B1882" s="18" t="n"/>
      <c r="C1882" s="13" t="n"/>
      <c r="D1882" s="13" t="n"/>
      <c r="E1882" s="13" t="n"/>
      <c r="F1882" s="17">
        <f>IF($D1882="","",IFERROR(VLOOKUP($E1882,材料归属,2,0),"※材料类别没选"))</f>
        <v/>
      </c>
      <c r="G1882" s="13" t="n"/>
      <c r="H1882" s="13" t="n"/>
      <c r="I1882" s="13" t="n"/>
      <c r="J1882" s="20" t="n"/>
      <c r="K1882" s="14" t="n"/>
      <c r="L1882" s="19">
        <f>IF($D1882="","",ROUND(IF($J1882="",1,$J1882)*N($K1882),2))</f>
        <v/>
      </c>
      <c r="M1882" s="13" t="n"/>
      <c r="N1882" s="17">
        <f>IF($D1882="","",IF(ISNA(MATCH($D1882,项目名表,0)),"※项目不在项目台账里",IF($F1882="※材料类别没选","※材料类别没选",IF(AND($C1882&lt;&gt;"",ISNA(MATCH($C1882,供应商表,0))),"※供应商不在基础资料里",""))))</f>
        <v/>
      </c>
    </row>
    <row r="1883">
      <c r="A1883" s="17">
        <f>IF($D1883="","",ROW()-3)</f>
        <v/>
      </c>
      <c r="B1883" s="18" t="n"/>
      <c r="C1883" s="13" t="n"/>
      <c r="D1883" s="13" t="n"/>
      <c r="E1883" s="13" t="n"/>
      <c r="F1883" s="17">
        <f>IF($D1883="","",IFERROR(VLOOKUP($E1883,材料归属,2,0),"※材料类别没选"))</f>
        <v/>
      </c>
      <c r="G1883" s="13" t="n"/>
      <c r="H1883" s="13" t="n"/>
      <c r="I1883" s="13" t="n"/>
      <c r="J1883" s="20" t="n"/>
      <c r="K1883" s="14" t="n"/>
      <c r="L1883" s="19">
        <f>IF($D1883="","",ROUND(IF($J1883="",1,$J1883)*N($K1883),2))</f>
        <v/>
      </c>
      <c r="M1883" s="13" t="n"/>
      <c r="N1883" s="17">
        <f>IF($D1883="","",IF(ISNA(MATCH($D1883,项目名表,0)),"※项目不在项目台账里",IF($F1883="※材料类别没选","※材料类别没选",IF(AND($C1883&lt;&gt;"",ISNA(MATCH($C1883,供应商表,0))),"※供应商不在基础资料里",""))))</f>
        <v/>
      </c>
    </row>
    <row r="1884">
      <c r="A1884" s="17">
        <f>IF($D1884="","",ROW()-3)</f>
        <v/>
      </c>
      <c r="B1884" s="18" t="n"/>
      <c r="C1884" s="13" t="n"/>
      <c r="D1884" s="13" t="n"/>
      <c r="E1884" s="13" t="n"/>
      <c r="F1884" s="17">
        <f>IF($D1884="","",IFERROR(VLOOKUP($E1884,材料归属,2,0),"※材料类别没选"))</f>
        <v/>
      </c>
      <c r="G1884" s="13" t="n"/>
      <c r="H1884" s="13" t="n"/>
      <c r="I1884" s="13" t="n"/>
      <c r="J1884" s="20" t="n"/>
      <c r="K1884" s="14" t="n"/>
      <c r="L1884" s="19">
        <f>IF($D1884="","",ROUND(IF($J1884="",1,$J1884)*N($K1884),2))</f>
        <v/>
      </c>
      <c r="M1884" s="13" t="n"/>
      <c r="N1884" s="17">
        <f>IF($D1884="","",IF(ISNA(MATCH($D1884,项目名表,0)),"※项目不在项目台账里",IF($F1884="※材料类别没选","※材料类别没选",IF(AND($C1884&lt;&gt;"",ISNA(MATCH($C1884,供应商表,0))),"※供应商不在基础资料里",""))))</f>
        <v/>
      </c>
    </row>
    <row r="1885">
      <c r="A1885" s="17">
        <f>IF($D1885="","",ROW()-3)</f>
        <v/>
      </c>
      <c r="B1885" s="18" t="n"/>
      <c r="C1885" s="13" t="n"/>
      <c r="D1885" s="13" t="n"/>
      <c r="E1885" s="13" t="n"/>
      <c r="F1885" s="17">
        <f>IF($D1885="","",IFERROR(VLOOKUP($E1885,材料归属,2,0),"※材料类别没选"))</f>
        <v/>
      </c>
      <c r="G1885" s="13" t="n"/>
      <c r="H1885" s="13" t="n"/>
      <c r="I1885" s="13" t="n"/>
      <c r="J1885" s="20" t="n"/>
      <c r="K1885" s="14" t="n"/>
      <c r="L1885" s="19">
        <f>IF($D1885="","",ROUND(IF($J1885="",1,$J1885)*N($K1885),2))</f>
        <v/>
      </c>
      <c r="M1885" s="13" t="n"/>
      <c r="N1885" s="17">
        <f>IF($D1885="","",IF(ISNA(MATCH($D1885,项目名表,0)),"※项目不在项目台账里",IF($F1885="※材料类别没选","※材料类别没选",IF(AND($C1885&lt;&gt;"",ISNA(MATCH($C1885,供应商表,0))),"※供应商不在基础资料里",""))))</f>
        <v/>
      </c>
    </row>
    <row r="1886">
      <c r="A1886" s="17">
        <f>IF($D1886="","",ROW()-3)</f>
        <v/>
      </c>
      <c r="B1886" s="18" t="n"/>
      <c r="C1886" s="13" t="n"/>
      <c r="D1886" s="13" t="n"/>
      <c r="E1886" s="13" t="n"/>
      <c r="F1886" s="17">
        <f>IF($D1886="","",IFERROR(VLOOKUP($E1886,材料归属,2,0),"※材料类别没选"))</f>
        <v/>
      </c>
      <c r="G1886" s="13" t="n"/>
      <c r="H1886" s="13" t="n"/>
      <c r="I1886" s="13" t="n"/>
      <c r="J1886" s="20" t="n"/>
      <c r="K1886" s="14" t="n"/>
      <c r="L1886" s="19">
        <f>IF($D1886="","",ROUND(IF($J1886="",1,$J1886)*N($K1886),2))</f>
        <v/>
      </c>
      <c r="M1886" s="13" t="n"/>
      <c r="N1886" s="17">
        <f>IF($D1886="","",IF(ISNA(MATCH($D1886,项目名表,0)),"※项目不在项目台账里",IF($F1886="※材料类别没选","※材料类别没选",IF(AND($C1886&lt;&gt;"",ISNA(MATCH($C1886,供应商表,0))),"※供应商不在基础资料里",""))))</f>
        <v/>
      </c>
    </row>
    <row r="1887">
      <c r="A1887" s="17">
        <f>IF($D1887="","",ROW()-3)</f>
        <v/>
      </c>
      <c r="B1887" s="18" t="n"/>
      <c r="C1887" s="13" t="n"/>
      <c r="D1887" s="13" t="n"/>
      <c r="E1887" s="13" t="n"/>
      <c r="F1887" s="17">
        <f>IF($D1887="","",IFERROR(VLOOKUP($E1887,材料归属,2,0),"※材料类别没选"))</f>
        <v/>
      </c>
      <c r="G1887" s="13" t="n"/>
      <c r="H1887" s="13" t="n"/>
      <c r="I1887" s="13" t="n"/>
      <c r="J1887" s="20" t="n"/>
      <c r="K1887" s="14" t="n"/>
      <c r="L1887" s="19">
        <f>IF($D1887="","",ROUND(IF($J1887="",1,$J1887)*N($K1887),2))</f>
        <v/>
      </c>
      <c r="M1887" s="13" t="n"/>
      <c r="N1887" s="17">
        <f>IF($D1887="","",IF(ISNA(MATCH($D1887,项目名表,0)),"※项目不在项目台账里",IF($F1887="※材料类别没选","※材料类别没选",IF(AND($C1887&lt;&gt;"",ISNA(MATCH($C1887,供应商表,0))),"※供应商不在基础资料里",""))))</f>
        <v/>
      </c>
    </row>
    <row r="1888">
      <c r="A1888" s="17">
        <f>IF($D1888="","",ROW()-3)</f>
        <v/>
      </c>
      <c r="B1888" s="18" t="n"/>
      <c r="C1888" s="13" t="n"/>
      <c r="D1888" s="13" t="n"/>
      <c r="E1888" s="13" t="n"/>
      <c r="F1888" s="17">
        <f>IF($D1888="","",IFERROR(VLOOKUP($E1888,材料归属,2,0),"※材料类别没选"))</f>
        <v/>
      </c>
      <c r="G1888" s="13" t="n"/>
      <c r="H1888" s="13" t="n"/>
      <c r="I1888" s="13" t="n"/>
      <c r="J1888" s="20" t="n"/>
      <c r="K1888" s="14" t="n"/>
      <c r="L1888" s="19">
        <f>IF($D1888="","",ROUND(IF($J1888="",1,$J1888)*N($K1888),2))</f>
        <v/>
      </c>
      <c r="M1888" s="13" t="n"/>
      <c r="N1888" s="17">
        <f>IF($D1888="","",IF(ISNA(MATCH($D1888,项目名表,0)),"※项目不在项目台账里",IF($F1888="※材料类别没选","※材料类别没选",IF(AND($C1888&lt;&gt;"",ISNA(MATCH($C1888,供应商表,0))),"※供应商不在基础资料里",""))))</f>
        <v/>
      </c>
    </row>
    <row r="1889">
      <c r="A1889" s="17">
        <f>IF($D1889="","",ROW()-3)</f>
        <v/>
      </c>
      <c r="B1889" s="18" t="n"/>
      <c r="C1889" s="13" t="n"/>
      <c r="D1889" s="13" t="n"/>
      <c r="E1889" s="13" t="n"/>
      <c r="F1889" s="17">
        <f>IF($D1889="","",IFERROR(VLOOKUP($E1889,材料归属,2,0),"※材料类别没选"))</f>
        <v/>
      </c>
      <c r="G1889" s="13" t="n"/>
      <c r="H1889" s="13" t="n"/>
      <c r="I1889" s="13" t="n"/>
      <c r="J1889" s="20" t="n"/>
      <c r="K1889" s="14" t="n"/>
      <c r="L1889" s="19">
        <f>IF($D1889="","",ROUND(IF($J1889="",1,$J1889)*N($K1889),2))</f>
        <v/>
      </c>
      <c r="M1889" s="13" t="n"/>
      <c r="N1889" s="17">
        <f>IF($D1889="","",IF(ISNA(MATCH($D1889,项目名表,0)),"※项目不在项目台账里",IF($F1889="※材料类别没选","※材料类别没选",IF(AND($C1889&lt;&gt;"",ISNA(MATCH($C1889,供应商表,0))),"※供应商不在基础资料里",""))))</f>
        <v/>
      </c>
    </row>
    <row r="1890">
      <c r="A1890" s="17">
        <f>IF($D1890="","",ROW()-3)</f>
        <v/>
      </c>
      <c r="B1890" s="18" t="n"/>
      <c r="C1890" s="13" t="n"/>
      <c r="D1890" s="13" t="n"/>
      <c r="E1890" s="13" t="n"/>
      <c r="F1890" s="17">
        <f>IF($D1890="","",IFERROR(VLOOKUP($E1890,材料归属,2,0),"※材料类别没选"))</f>
        <v/>
      </c>
      <c r="G1890" s="13" t="n"/>
      <c r="H1890" s="13" t="n"/>
      <c r="I1890" s="13" t="n"/>
      <c r="J1890" s="20" t="n"/>
      <c r="K1890" s="14" t="n"/>
      <c r="L1890" s="19">
        <f>IF($D1890="","",ROUND(IF($J1890="",1,$J1890)*N($K1890),2))</f>
        <v/>
      </c>
      <c r="M1890" s="13" t="n"/>
      <c r="N1890" s="17">
        <f>IF($D1890="","",IF(ISNA(MATCH($D1890,项目名表,0)),"※项目不在项目台账里",IF($F1890="※材料类别没选","※材料类别没选",IF(AND($C1890&lt;&gt;"",ISNA(MATCH($C1890,供应商表,0))),"※供应商不在基础资料里",""))))</f>
        <v/>
      </c>
    </row>
    <row r="1891">
      <c r="A1891" s="17">
        <f>IF($D1891="","",ROW()-3)</f>
        <v/>
      </c>
      <c r="B1891" s="18" t="n"/>
      <c r="C1891" s="13" t="n"/>
      <c r="D1891" s="13" t="n"/>
      <c r="E1891" s="13" t="n"/>
      <c r="F1891" s="17">
        <f>IF($D1891="","",IFERROR(VLOOKUP($E1891,材料归属,2,0),"※材料类别没选"))</f>
        <v/>
      </c>
      <c r="G1891" s="13" t="n"/>
      <c r="H1891" s="13" t="n"/>
      <c r="I1891" s="13" t="n"/>
      <c r="J1891" s="20" t="n"/>
      <c r="K1891" s="14" t="n"/>
      <c r="L1891" s="19">
        <f>IF($D1891="","",ROUND(IF($J1891="",1,$J1891)*N($K1891),2))</f>
        <v/>
      </c>
      <c r="M1891" s="13" t="n"/>
      <c r="N1891" s="17">
        <f>IF($D1891="","",IF(ISNA(MATCH($D1891,项目名表,0)),"※项目不在项目台账里",IF($F1891="※材料类别没选","※材料类别没选",IF(AND($C1891&lt;&gt;"",ISNA(MATCH($C1891,供应商表,0))),"※供应商不在基础资料里",""))))</f>
        <v/>
      </c>
    </row>
    <row r="1892">
      <c r="A1892" s="17">
        <f>IF($D1892="","",ROW()-3)</f>
        <v/>
      </c>
      <c r="B1892" s="18" t="n"/>
      <c r="C1892" s="13" t="n"/>
      <c r="D1892" s="13" t="n"/>
      <c r="E1892" s="13" t="n"/>
      <c r="F1892" s="17">
        <f>IF($D1892="","",IFERROR(VLOOKUP($E1892,材料归属,2,0),"※材料类别没选"))</f>
        <v/>
      </c>
      <c r="G1892" s="13" t="n"/>
      <c r="H1892" s="13" t="n"/>
      <c r="I1892" s="13" t="n"/>
      <c r="J1892" s="20" t="n"/>
      <c r="K1892" s="14" t="n"/>
      <c r="L1892" s="19">
        <f>IF($D1892="","",ROUND(IF($J1892="",1,$J1892)*N($K1892),2))</f>
        <v/>
      </c>
      <c r="M1892" s="13" t="n"/>
      <c r="N1892" s="17">
        <f>IF($D1892="","",IF(ISNA(MATCH($D1892,项目名表,0)),"※项目不在项目台账里",IF($F1892="※材料类别没选","※材料类别没选",IF(AND($C1892&lt;&gt;"",ISNA(MATCH($C1892,供应商表,0))),"※供应商不在基础资料里",""))))</f>
        <v/>
      </c>
    </row>
    <row r="1893">
      <c r="A1893" s="17">
        <f>IF($D1893="","",ROW()-3)</f>
        <v/>
      </c>
      <c r="B1893" s="18" t="n"/>
      <c r="C1893" s="13" t="n"/>
      <c r="D1893" s="13" t="n"/>
      <c r="E1893" s="13" t="n"/>
      <c r="F1893" s="17">
        <f>IF($D1893="","",IFERROR(VLOOKUP($E1893,材料归属,2,0),"※材料类别没选"))</f>
        <v/>
      </c>
      <c r="G1893" s="13" t="n"/>
      <c r="H1893" s="13" t="n"/>
      <c r="I1893" s="13" t="n"/>
      <c r="J1893" s="20" t="n"/>
      <c r="K1893" s="14" t="n"/>
      <c r="L1893" s="19">
        <f>IF($D1893="","",ROUND(IF($J1893="",1,$J1893)*N($K1893),2))</f>
        <v/>
      </c>
      <c r="M1893" s="13" t="n"/>
      <c r="N1893" s="17">
        <f>IF($D1893="","",IF(ISNA(MATCH($D1893,项目名表,0)),"※项目不在项目台账里",IF($F1893="※材料类别没选","※材料类别没选",IF(AND($C1893&lt;&gt;"",ISNA(MATCH($C1893,供应商表,0))),"※供应商不在基础资料里",""))))</f>
        <v/>
      </c>
    </row>
    <row r="1894">
      <c r="A1894" s="17">
        <f>IF($D1894="","",ROW()-3)</f>
        <v/>
      </c>
      <c r="B1894" s="18" t="n"/>
      <c r="C1894" s="13" t="n"/>
      <c r="D1894" s="13" t="n"/>
      <c r="E1894" s="13" t="n"/>
      <c r="F1894" s="17">
        <f>IF($D1894="","",IFERROR(VLOOKUP($E1894,材料归属,2,0),"※材料类别没选"))</f>
        <v/>
      </c>
      <c r="G1894" s="13" t="n"/>
      <c r="H1894" s="13" t="n"/>
      <c r="I1894" s="13" t="n"/>
      <c r="J1894" s="20" t="n"/>
      <c r="K1894" s="14" t="n"/>
      <c r="L1894" s="19">
        <f>IF($D1894="","",ROUND(IF($J1894="",1,$J1894)*N($K1894),2))</f>
        <v/>
      </c>
      <c r="M1894" s="13" t="n"/>
      <c r="N1894" s="17">
        <f>IF($D1894="","",IF(ISNA(MATCH($D1894,项目名表,0)),"※项目不在项目台账里",IF($F1894="※材料类别没选","※材料类别没选",IF(AND($C1894&lt;&gt;"",ISNA(MATCH($C1894,供应商表,0))),"※供应商不在基础资料里",""))))</f>
        <v/>
      </c>
    </row>
    <row r="1895">
      <c r="A1895" s="17">
        <f>IF($D1895="","",ROW()-3)</f>
        <v/>
      </c>
      <c r="B1895" s="18" t="n"/>
      <c r="C1895" s="13" t="n"/>
      <c r="D1895" s="13" t="n"/>
      <c r="E1895" s="13" t="n"/>
      <c r="F1895" s="17">
        <f>IF($D1895="","",IFERROR(VLOOKUP($E1895,材料归属,2,0),"※材料类别没选"))</f>
        <v/>
      </c>
      <c r="G1895" s="13" t="n"/>
      <c r="H1895" s="13" t="n"/>
      <c r="I1895" s="13" t="n"/>
      <c r="J1895" s="20" t="n"/>
      <c r="K1895" s="14" t="n"/>
      <c r="L1895" s="19">
        <f>IF($D1895="","",ROUND(IF($J1895="",1,$J1895)*N($K1895),2))</f>
        <v/>
      </c>
      <c r="M1895" s="13" t="n"/>
      <c r="N1895" s="17">
        <f>IF($D1895="","",IF(ISNA(MATCH($D1895,项目名表,0)),"※项目不在项目台账里",IF($F1895="※材料类别没选","※材料类别没选",IF(AND($C1895&lt;&gt;"",ISNA(MATCH($C1895,供应商表,0))),"※供应商不在基础资料里",""))))</f>
        <v/>
      </c>
    </row>
    <row r="1896">
      <c r="A1896" s="17">
        <f>IF($D1896="","",ROW()-3)</f>
        <v/>
      </c>
      <c r="B1896" s="18" t="n"/>
      <c r="C1896" s="13" t="n"/>
      <c r="D1896" s="13" t="n"/>
      <c r="E1896" s="13" t="n"/>
      <c r="F1896" s="17">
        <f>IF($D1896="","",IFERROR(VLOOKUP($E1896,材料归属,2,0),"※材料类别没选"))</f>
        <v/>
      </c>
      <c r="G1896" s="13" t="n"/>
      <c r="H1896" s="13" t="n"/>
      <c r="I1896" s="13" t="n"/>
      <c r="J1896" s="20" t="n"/>
      <c r="K1896" s="14" t="n"/>
      <c r="L1896" s="19">
        <f>IF($D1896="","",ROUND(IF($J1896="",1,$J1896)*N($K1896),2))</f>
        <v/>
      </c>
      <c r="M1896" s="13" t="n"/>
      <c r="N1896" s="17">
        <f>IF($D1896="","",IF(ISNA(MATCH($D1896,项目名表,0)),"※项目不在项目台账里",IF($F1896="※材料类别没选","※材料类别没选",IF(AND($C1896&lt;&gt;"",ISNA(MATCH($C1896,供应商表,0))),"※供应商不在基础资料里",""))))</f>
        <v/>
      </c>
    </row>
    <row r="1897">
      <c r="A1897" s="17">
        <f>IF($D1897="","",ROW()-3)</f>
        <v/>
      </c>
      <c r="B1897" s="18" t="n"/>
      <c r="C1897" s="13" t="n"/>
      <c r="D1897" s="13" t="n"/>
      <c r="E1897" s="13" t="n"/>
      <c r="F1897" s="17">
        <f>IF($D1897="","",IFERROR(VLOOKUP($E1897,材料归属,2,0),"※材料类别没选"))</f>
        <v/>
      </c>
      <c r="G1897" s="13" t="n"/>
      <c r="H1897" s="13" t="n"/>
      <c r="I1897" s="13" t="n"/>
      <c r="J1897" s="20" t="n"/>
      <c r="K1897" s="14" t="n"/>
      <c r="L1897" s="19">
        <f>IF($D1897="","",ROUND(IF($J1897="",1,$J1897)*N($K1897),2))</f>
        <v/>
      </c>
      <c r="M1897" s="13" t="n"/>
      <c r="N1897" s="17">
        <f>IF($D1897="","",IF(ISNA(MATCH($D1897,项目名表,0)),"※项目不在项目台账里",IF($F1897="※材料类别没选","※材料类别没选",IF(AND($C1897&lt;&gt;"",ISNA(MATCH($C1897,供应商表,0))),"※供应商不在基础资料里",""))))</f>
        <v/>
      </c>
    </row>
    <row r="1898">
      <c r="A1898" s="17">
        <f>IF($D1898="","",ROW()-3)</f>
        <v/>
      </c>
      <c r="B1898" s="18" t="n"/>
      <c r="C1898" s="13" t="n"/>
      <c r="D1898" s="13" t="n"/>
      <c r="E1898" s="13" t="n"/>
      <c r="F1898" s="17">
        <f>IF($D1898="","",IFERROR(VLOOKUP($E1898,材料归属,2,0),"※材料类别没选"))</f>
        <v/>
      </c>
      <c r="G1898" s="13" t="n"/>
      <c r="H1898" s="13" t="n"/>
      <c r="I1898" s="13" t="n"/>
      <c r="J1898" s="20" t="n"/>
      <c r="K1898" s="14" t="n"/>
      <c r="L1898" s="19">
        <f>IF($D1898="","",ROUND(IF($J1898="",1,$J1898)*N($K1898),2))</f>
        <v/>
      </c>
      <c r="M1898" s="13" t="n"/>
      <c r="N1898" s="17">
        <f>IF($D1898="","",IF(ISNA(MATCH($D1898,项目名表,0)),"※项目不在项目台账里",IF($F1898="※材料类别没选","※材料类别没选",IF(AND($C1898&lt;&gt;"",ISNA(MATCH($C1898,供应商表,0))),"※供应商不在基础资料里",""))))</f>
        <v/>
      </c>
    </row>
    <row r="1899">
      <c r="A1899" s="17">
        <f>IF($D1899="","",ROW()-3)</f>
        <v/>
      </c>
      <c r="B1899" s="18" t="n"/>
      <c r="C1899" s="13" t="n"/>
      <c r="D1899" s="13" t="n"/>
      <c r="E1899" s="13" t="n"/>
      <c r="F1899" s="17">
        <f>IF($D1899="","",IFERROR(VLOOKUP($E1899,材料归属,2,0),"※材料类别没选"))</f>
        <v/>
      </c>
      <c r="G1899" s="13" t="n"/>
      <c r="H1899" s="13" t="n"/>
      <c r="I1899" s="13" t="n"/>
      <c r="J1899" s="20" t="n"/>
      <c r="K1899" s="14" t="n"/>
      <c r="L1899" s="19">
        <f>IF($D1899="","",ROUND(IF($J1899="",1,$J1899)*N($K1899),2))</f>
        <v/>
      </c>
      <c r="M1899" s="13" t="n"/>
      <c r="N1899" s="17">
        <f>IF($D1899="","",IF(ISNA(MATCH($D1899,项目名表,0)),"※项目不在项目台账里",IF($F1899="※材料类别没选","※材料类别没选",IF(AND($C1899&lt;&gt;"",ISNA(MATCH($C1899,供应商表,0))),"※供应商不在基础资料里",""))))</f>
        <v/>
      </c>
    </row>
    <row r="1900">
      <c r="A1900" s="17">
        <f>IF($D1900="","",ROW()-3)</f>
        <v/>
      </c>
      <c r="B1900" s="18" t="n"/>
      <c r="C1900" s="13" t="n"/>
      <c r="D1900" s="13" t="n"/>
      <c r="E1900" s="13" t="n"/>
      <c r="F1900" s="17">
        <f>IF($D1900="","",IFERROR(VLOOKUP($E1900,材料归属,2,0),"※材料类别没选"))</f>
        <v/>
      </c>
      <c r="G1900" s="13" t="n"/>
      <c r="H1900" s="13" t="n"/>
      <c r="I1900" s="13" t="n"/>
      <c r="J1900" s="20" t="n"/>
      <c r="K1900" s="14" t="n"/>
      <c r="L1900" s="19">
        <f>IF($D1900="","",ROUND(IF($J1900="",1,$J1900)*N($K1900),2))</f>
        <v/>
      </c>
      <c r="M1900" s="13" t="n"/>
      <c r="N1900" s="17">
        <f>IF($D1900="","",IF(ISNA(MATCH($D1900,项目名表,0)),"※项目不在项目台账里",IF($F1900="※材料类别没选","※材料类别没选",IF(AND($C1900&lt;&gt;"",ISNA(MATCH($C1900,供应商表,0))),"※供应商不在基础资料里",""))))</f>
        <v/>
      </c>
    </row>
    <row r="1901">
      <c r="A1901" s="17">
        <f>IF($D1901="","",ROW()-3)</f>
        <v/>
      </c>
      <c r="B1901" s="18" t="n"/>
      <c r="C1901" s="13" t="n"/>
      <c r="D1901" s="13" t="n"/>
      <c r="E1901" s="13" t="n"/>
      <c r="F1901" s="17">
        <f>IF($D1901="","",IFERROR(VLOOKUP($E1901,材料归属,2,0),"※材料类别没选"))</f>
        <v/>
      </c>
      <c r="G1901" s="13" t="n"/>
      <c r="H1901" s="13" t="n"/>
      <c r="I1901" s="13" t="n"/>
      <c r="J1901" s="20" t="n"/>
      <c r="K1901" s="14" t="n"/>
      <c r="L1901" s="19">
        <f>IF($D1901="","",ROUND(IF($J1901="",1,$J1901)*N($K1901),2))</f>
        <v/>
      </c>
      <c r="M1901" s="13" t="n"/>
      <c r="N1901" s="17">
        <f>IF($D1901="","",IF(ISNA(MATCH($D1901,项目名表,0)),"※项目不在项目台账里",IF($F1901="※材料类别没选","※材料类别没选",IF(AND($C1901&lt;&gt;"",ISNA(MATCH($C1901,供应商表,0))),"※供应商不在基础资料里",""))))</f>
        <v/>
      </c>
    </row>
    <row r="1902">
      <c r="A1902" s="17">
        <f>IF($D1902="","",ROW()-3)</f>
        <v/>
      </c>
      <c r="B1902" s="18" t="n"/>
      <c r="C1902" s="13" t="n"/>
      <c r="D1902" s="13" t="n"/>
      <c r="E1902" s="13" t="n"/>
      <c r="F1902" s="17">
        <f>IF($D1902="","",IFERROR(VLOOKUP($E1902,材料归属,2,0),"※材料类别没选"))</f>
        <v/>
      </c>
      <c r="G1902" s="13" t="n"/>
      <c r="H1902" s="13" t="n"/>
      <c r="I1902" s="13" t="n"/>
      <c r="J1902" s="20" t="n"/>
      <c r="K1902" s="14" t="n"/>
      <c r="L1902" s="19">
        <f>IF($D1902="","",ROUND(IF($J1902="",1,$J1902)*N($K1902),2))</f>
        <v/>
      </c>
      <c r="M1902" s="13" t="n"/>
      <c r="N1902" s="17">
        <f>IF($D1902="","",IF(ISNA(MATCH($D1902,项目名表,0)),"※项目不在项目台账里",IF($F1902="※材料类别没选","※材料类别没选",IF(AND($C1902&lt;&gt;"",ISNA(MATCH($C1902,供应商表,0))),"※供应商不在基础资料里",""))))</f>
        <v/>
      </c>
    </row>
    <row r="1903">
      <c r="A1903" s="17">
        <f>IF($D1903="","",ROW()-3)</f>
        <v/>
      </c>
      <c r="B1903" s="18" t="n"/>
      <c r="C1903" s="13" t="n"/>
      <c r="D1903" s="13" t="n"/>
      <c r="E1903" s="13" t="n"/>
      <c r="F1903" s="17">
        <f>IF($D1903="","",IFERROR(VLOOKUP($E1903,材料归属,2,0),"※材料类别没选"))</f>
        <v/>
      </c>
      <c r="G1903" s="13" t="n"/>
      <c r="H1903" s="13" t="n"/>
      <c r="I1903" s="13" t="n"/>
      <c r="J1903" s="20" t="n"/>
      <c r="K1903" s="14" t="n"/>
      <c r="L1903" s="19">
        <f>IF($D1903="","",ROUND(IF($J1903="",1,$J1903)*N($K1903),2))</f>
        <v/>
      </c>
      <c r="M1903" s="13" t="n"/>
      <c r="N1903" s="17">
        <f>IF($D1903="","",IF(ISNA(MATCH($D1903,项目名表,0)),"※项目不在项目台账里",IF($F1903="※材料类别没选","※材料类别没选",IF(AND($C1903&lt;&gt;"",ISNA(MATCH($C1903,供应商表,0))),"※供应商不在基础资料里",""))))</f>
        <v/>
      </c>
    </row>
    <row r="1904">
      <c r="A1904" s="17">
        <f>IF($D1904="","",ROW()-3)</f>
        <v/>
      </c>
      <c r="B1904" s="18" t="n"/>
      <c r="C1904" s="13" t="n"/>
      <c r="D1904" s="13" t="n"/>
      <c r="E1904" s="13" t="n"/>
      <c r="F1904" s="17">
        <f>IF($D1904="","",IFERROR(VLOOKUP($E1904,材料归属,2,0),"※材料类别没选"))</f>
        <v/>
      </c>
      <c r="G1904" s="13" t="n"/>
      <c r="H1904" s="13" t="n"/>
      <c r="I1904" s="13" t="n"/>
      <c r="J1904" s="20" t="n"/>
      <c r="K1904" s="14" t="n"/>
      <c r="L1904" s="19">
        <f>IF($D1904="","",ROUND(IF($J1904="",1,$J1904)*N($K1904),2))</f>
        <v/>
      </c>
      <c r="M1904" s="13" t="n"/>
      <c r="N1904" s="17">
        <f>IF($D1904="","",IF(ISNA(MATCH($D1904,项目名表,0)),"※项目不在项目台账里",IF($F1904="※材料类别没选","※材料类别没选",IF(AND($C1904&lt;&gt;"",ISNA(MATCH($C1904,供应商表,0))),"※供应商不在基础资料里",""))))</f>
        <v/>
      </c>
    </row>
    <row r="1905">
      <c r="A1905" s="17">
        <f>IF($D1905="","",ROW()-3)</f>
        <v/>
      </c>
      <c r="B1905" s="18" t="n"/>
      <c r="C1905" s="13" t="n"/>
      <c r="D1905" s="13" t="n"/>
      <c r="E1905" s="13" t="n"/>
      <c r="F1905" s="17">
        <f>IF($D1905="","",IFERROR(VLOOKUP($E1905,材料归属,2,0),"※材料类别没选"))</f>
        <v/>
      </c>
      <c r="G1905" s="13" t="n"/>
      <c r="H1905" s="13" t="n"/>
      <c r="I1905" s="13" t="n"/>
      <c r="J1905" s="20" t="n"/>
      <c r="K1905" s="14" t="n"/>
      <c r="L1905" s="19">
        <f>IF($D1905="","",ROUND(IF($J1905="",1,$J1905)*N($K1905),2))</f>
        <v/>
      </c>
      <c r="M1905" s="13" t="n"/>
      <c r="N1905" s="17">
        <f>IF($D1905="","",IF(ISNA(MATCH($D1905,项目名表,0)),"※项目不在项目台账里",IF($F1905="※材料类别没选","※材料类别没选",IF(AND($C1905&lt;&gt;"",ISNA(MATCH($C1905,供应商表,0))),"※供应商不在基础资料里",""))))</f>
        <v/>
      </c>
    </row>
    <row r="1906">
      <c r="A1906" s="17">
        <f>IF($D1906="","",ROW()-3)</f>
        <v/>
      </c>
      <c r="B1906" s="18" t="n"/>
      <c r="C1906" s="13" t="n"/>
      <c r="D1906" s="13" t="n"/>
      <c r="E1906" s="13" t="n"/>
      <c r="F1906" s="17">
        <f>IF($D1906="","",IFERROR(VLOOKUP($E1906,材料归属,2,0),"※材料类别没选"))</f>
        <v/>
      </c>
      <c r="G1906" s="13" t="n"/>
      <c r="H1906" s="13" t="n"/>
      <c r="I1906" s="13" t="n"/>
      <c r="J1906" s="20" t="n"/>
      <c r="K1906" s="14" t="n"/>
      <c r="L1906" s="19">
        <f>IF($D1906="","",ROUND(IF($J1906="",1,$J1906)*N($K1906),2))</f>
        <v/>
      </c>
      <c r="M1906" s="13" t="n"/>
      <c r="N1906" s="17">
        <f>IF($D1906="","",IF(ISNA(MATCH($D1906,项目名表,0)),"※项目不在项目台账里",IF($F1906="※材料类别没选","※材料类别没选",IF(AND($C1906&lt;&gt;"",ISNA(MATCH($C1906,供应商表,0))),"※供应商不在基础资料里",""))))</f>
        <v/>
      </c>
    </row>
    <row r="1907">
      <c r="A1907" s="17">
        <f>IF($D1907="","",ROW()-3)</f>
        <v/>
      </c>
      <c r="B1907" s="18" t="n"/>
      <c r="C1907" s="13" t="n"/>
      <c r="D1907" s="13" t="n"/>
      <c r="E1907" s="13" t="n"/>
      <c r="F1907" s="17">
        <f>IF($D1907="","",IFERROR(VLOOKUP($E1907,材料归属,2,0),"※材料类别没选"))</f>
        <v/>
      </c>
      <c r="G1907" s="13" t="n"/>
      <c r="H1907" s="13" t="n"/>
      <c r="I1907" s="13" t="n"/>
      <c r="J1907" s="20" t="n"/>
      <c r="K1907" s="14" t="n"/>
      <c r="L1907" s="19">
        <f>IF($D1907="","",ROUND(IF($J1907="",1,$J1907)*N($K1907),2))</f>
        <v/>
      </c>
      <c r="M1907" s="13" t="n"/>
      <c r="N1907" s="17">
        <f>IF($D1907="","",IF(ISNA(MATCH($D1907,项目名表,0)),"※项目不在项目台账里",IF($F1907="※材料类别没选","※材料类别没选",IF(AND($C1907&lt;&gt;"",ISNA(MATCH($C1907,供应商表,0))),"※供应商不在基础资料里",""))))</f>
        <v/>
      </c>
    </row>
    <row r="1908">
      <c r="A1908" s="17">
        <f>IF($D1908="","",ROW()-3)</f>
        <v/>
      </c>
      <c r="B1908" s="18" t="n"/>
      <c r="C1908" s="13" t="n"/>
      <c r="D1908" s="13" t="n"/>
      <c r="E1908" s="13" t="n"/>
      <c r="F1908" s="17">
        <f>IF($D1908="","",IFERROR(VLOOKUP($E1908,材料归属,2,0),"※材料类别没选"))</f>
        <v/>
      </c>
      <c r="G1908" s="13" t="n"/>
      <c r="H1908" s="13" t="n"/>
      <c r="I1908" s="13" t="n"/>
      <c r="J1908" s="20" t="n"/>
      <c r="K1908" s="14" t="n"/>
      <c r="L1908" s="19">
        <f>IF($D1908="","",ROUND(IF($J1908="",1,$J1908)*N($K1908),2))</f>
        <v/>
      </c>
      <c r="M1908" s="13" t="n"/>
      <c r="N1908" s="17">
        <f>IF($D1908="","",IF(ISNA(MATCH($D1908,项目名表,0)),"※项目不在项目台账里",IF($F1908="※材料类别没选","※材料类别没选",IF(AND($C1908&lt;&gt;"",ISNA(MATCH($C1908,供应商表,0))),"※供应商不在基础资料里",""))))</f>
        <v/>
      </c>
    </row>
    <row r="1909">
      <c r="A1909" s="17">
        <f>IF($D1909="","",ROW()-3)</f>
        <v/>
      </c>
      <c r="B1909" s="18" t="n"/>
      <c r="C1909" s="13" t="n"/>
      <c r="D1909" s="13" t="n"/>
      <c r="E1909" s="13" t="n"/>
      <c r="F1909" s="17">
        <f>IF($D1909="","",IFERROR(VLOOKUP($E1909,材料归属,2,0),"※材料类别没选"))</f>
        <v/>
      </c>
      <c r="G1909" s="13" t="n"/>
      <c r="H1909" s="13" t="n"/>
      <c r="I1909" s="13" t="n"/>
      <c r="J1909" s="20" t="n"/>
      <c r="K1909" s="14" t="n"/>
      <c r="L1909" s="19">
        <f>IF($D1909="","",ROUND(IF($J1909="",1,$J1909)*N($K1909),2))</f>
        <v/>
      </c>
      <c r="M1909" s="13" t="n"/>
      <c r="N1909" s="17">
        <f>IF($D1909="","",IF(ISNA(MATCH($D1909,项目名表,0)),"※项目不在项目台账里",IF($F1909="※材料类别没选","※材料类别没选",IF(AND($C1909&lt;&gt;"",ISNA(MATCH($C1909,供应商表,0))),"※供应商不在基础资料里",""))))</f>
        <v/>
      </c>
    </row>
    <row r="1910">
      <c r="A1910" s="17">
        <f>IF($D1910="","",ROW()-3)</f>
        <v/>
      </c>
      <c r="B1910" s="18" t="n"/>
      <c r="C1910" s="13" t="n"/>
      <c r="D1910" s="13" t="n"/>
      <c r="E1910" s="13" t="n"/>
      <c r="F1910" s="17">
        <f>IF($D1910="","",IFERROR(VLOOKUP($E1910,材料归属,2,0),"※材料类别没选"))</f>
        <v/>
      </c>
      <c r="G1910" s="13" t="n"/>
      <c r="H1910" s="13" t="n"/>
      <c r="I1910" s="13" t="n"/>
      <c r="J1910" s="20" t="n"/>
      <c r="K1910" s="14" t="n"/>
      <c r="L1910" s="19">
        <f>IF($D1910="","",ROUND(IF($J1910="",1,$J1910)*N($K1910),2))</f>
        <v/>
      </c>
      <c r="M1910" s="13" t="n"/>
      <c r="N1910" s="17">
        <f>IF($D1910="","",IF(ISNA(MATCH($D1910,项目名表,0)),"※项目不在项目台账里",IF($F1910="※材料类别没选","※材料类别没选",IF(AND($C1910&lt;&gt;"",ISNA(MATCH($C1910,供应商表,0))),"※供应商不在基础资料里",""))))</f>
        <v/>
      </c>
    </row>
    <row r="1911">
      <c r="A1911" s="17">
        <f>IF($D1911="","",ROW()-3)</f>
        <v/>
      </c>
      <c r="B1911" s="18" t="n"/>
      <c r="C1911" s="13" t="n"/>
      <c r="D1911" s="13" t="n"/>
      <c r="E1911" s="13" t="n"/>
      <c r="F1911" s="17">
        <f>IF($D1911="","",IFERROR(VLOOKUP($E1911,材料归属,2,0),"※材料类别没选"))</f>
        <v/>
      </c>
      <c r="G1911" s="13" t="n"/>
      <c r="H1911" s="13" t="n"/>
      <c r="I1911" s="13" t="n"/>
      <c r="J1911" s="20" t="n"/>
      <c r="K1911" s="14" t="n"/>
      <c r="L1911" s="19">
        <f>IF($D1911="","",ROUND(IF($J1911="",1,$J1911)*N($K1911),2))</f>
        <v/>
      </c>
      <c r="M1911" s="13" t="n"/>
      <c r="N1911" s="17">
        <f>IF($D1911="","",IF(ISNA(MATCH($D1911,项目名表,0)),"※项目不在项目台账里",IF($F1911="※材料类别没选","※材料类别没选",IF(AND($C1911&lt;&gt;"",ISNA(MATCH($C1911,供应商表,0))),"※供应商不在基础资料里",""))))</f>
        <v/>
      </c>
    </row>
    <row r="1912">
      <c r="A1912" s="17">
        <f>IF($D1912="","",ROW()-3)</f>
        <v/>
      </c>
      <c r="B1912" s="18" t="n"/>
      <c r="C1912" s="13" t="n"/>
      <c r="D1912" s="13" t="n"/>
      <c r="E1912" s="13" t="n"/>
      <c r="F1912" s="17">
        <f>IF($D1912="","",IFERROR(VLOOKUP($E1912,材料归属,2,0),"※材料类别没选"))</f>
        <v/>
      </c>
      <c r="G1912" s="13" t="n"/>
      <c r="H1912" s="13" t="n"/>
      <c r="I1912" s="13" t="n"/>
      <c r="J1912" s="20" t="n"/>
      <c r="K1912" s="14" t="n"/>
      <c r="L1912" s="19">
        <f>IF($D1912="","",ROUND(IF($J1912="",1,$J1912)*N($K1912),2))</f>
        <v/>
      </c>
      <c r="M1912" s="13" t="n"/>
      <c r="N1912" s="17">
        <f>IF($D1912="","",IF(ISNA(MATCH($D1912,项目名表,0)),"※项目不在项目台账里",IF($F1912="※材料类别没选","※材料类别没选",IF(AND($C1912&lt;&gt;"",ISNA(MATCH($C1912,供应商表,0))),"※供应商不在基础资料里",""))))</f>
        <v/>
      </c>
    </row>
    <row r="1913">
      <c r="A1913" s="17">
        <f>IF($D1913="","",ROW()-3)</f>
        <v/>
      </c>
      <c r="B1913" s="18" t="n"/>
      <c r="C1913" s="13" t="n"/>
      <c r="D1913" s="13" t="n"/>
      <c r="E1913" s="13" t="n"/>
      <c r="F1913" s="17">
        <f>IF($D1913="","",IFERROR(VLOOKUP($E1913,材料归属,2,0),"※材料类别没选"))</f>
        <v/>
      </c>
      <c r="G1913" s="13" t="n"/>
      <c r="H1913" s="13" t="n"/>
      <c r="I1913" s="13" t="n"/>
      <c r="J1913" s="20" t="n"/>
      <c r="K1913" s="14" t="n"/>
      <c r="L1913" s="19">
        <f>IF($D1913="","",ROUND(IF($J1913="",1,$J1913)*N($K1913),2))</f>
        <v/>
      </c>
      <c r="M1913" s="13" t="n"/>
      <c r="N1913" s="17">
        <f>IF($D1913="","",IF(ISNA(MATCH($D1913,项目名表,0)),"※项目不在项目台账里",IF($F1913="※材料类别没选","※材料类别没选",IF(AND($C1913&lt;&gt;"",ISNA(MATCH($C1913,供应商表,0))),"※供应商不在基础资料里",""))))</f>
        <v/>
      </c>
    </row>
    <row r="1914">
      <c r="A1914" s="17">
        <f>IF($D1914="","",ROW()-3)</f>
        <v/>
      </c>
      <c r="B1914" s="18" t="n"/>
      <c r="C1914" s="13" t="n"/>
      <c r="D1914" s="13" t="n"/>
      <c r="E1914" s="13" t="n"/>
      <c r="F1914" s="17">
        <f>IF($D1914="","",IFERROR(VLOOKUP($E1914,材料归属,2,0),"※材料类别没选"))</f>
        <v/>
      </c>
      <c r="G1914" s="13" t="n"/>
      <c r="H1914" s="13" t="n"/>
      <c r="I1914" s="13" t="n"/>
      <c r="J1914" s="20" t="n"/>
      <c r="K1914" s="14" t="n"/>
      <c r="L1914" s="19">
        <f>IF($D1914="","",ROUND(IF($J1914="",1,$J1914)*N($K1914),2))</f>
        <v/>
      </c>
      <c r="M1914" s="13" t="n"/>
      <c r="N1914" s="17">
        <f>IF($D1914="","",IF(ISNA(MATCH($D1914,项目名表,0)),"※项目不在项目台账里",IF($F1914="※材料类别没选","※材料类别没选",IF(AND($C1914&lt;&gt;"",ISNA(MATCH($C1914,供应商表,0))),"※供应商不在基础资料里",""))))</f>
        <v/>
      </c>
    </row>
    <row r="1915">
      <c r="A1915" s="17">
        <f>IF($D1915="","",ROW()-3)</f>
        <v/>
      </c>
      <c r="B1915" s="18" t="n"/>
      <c r="C1915" s="13" t="n"/>
      <c r="D1915" s="13" t="n"/>
      <c r="E1915" s="13" t="n"/>
      <c r="F1915" s="17">
        <f>IF($D1915="","",IFERROR(VLOOKUP($E1915,材料归属,2,0),"※材料类别没选"))</f>
        <v/>
      </c>
      <c r="G1915" s="13" t="n"/>
      <c r="H1915" s="13" t="n"/>
      <c r="I1915" s="13" t="n"/>
      <c r="J1915" s="20" t="n"/>
      <c r="K1915" s="14" t="n"/>
      <c r="L1915" s="19">
        <f>IF($D1915="","",ROUND(IF($J1915="",1,$J1915)*N($K1915),2))</f>
        <v/>
      </c>
      <c r="M1915" s="13" t="n"/>
      <c r="N1915" s="17">
        <f>IF($D1915="","",IF(ISNA(MATCH($D1915,项目名表,0)),"※项目不在项目台账里",IF($F1915="※材料类别没选","※材料类别没选",IF(AND($C1915&lt;&gt;"",ISNA(MATCH($C1915,供应商表,0))),"※供应商不在基础资料里",""))))</f>
        <v/>
      </c>
    </row>
    <row r="1916">
      <c r="A1916" s="17">
        <f>IF($D1916="","",ROW()-3)</f>
        <v/>
      </c>
      <c r="B1916" s="18" t="n"/>
      <c r="C1916" s="13" t="n"/>
      <c r="D1916" s="13" t="n"/>
      <c r="E1916" s="13" t="n"/>
      <c r="F1916" s="17">
        <f>IF($D1916="","",IFERROR(VLOOKUP($E1916,材料归属,2,0),"※材料类别没选"))</f>
        <v/>
      </c>
      <c r="G1916" s="13" t="n"/>
      <c r="H1916" s="13" t="n"/>
      <c r="I1916" s="13" t="n"/>
      <c r="J1916" s="20" t="n"/>
      <c r="K1916" s="14" t="n"/>
      <c r="L1916" s="19">
        <f>IF($D1916="","",ROUND(IF($J1916="",1,$J1916)*N($K1916),2))</f>
        <v/>
      </c>
      <c r="M1916" s="13" t="n"/>
      <c r="N1916" s="17">
        <f>IF($D1916="","",IF(ISNA(MATCH($D1916,项目名表,0)),"※项目不在项目台账里",IF($F1916="※材料类别没选","※材料类别没选",IF(AND($C1916&lt;&gt;"",ISNA(MATCH($C1916,供应商表,0))),"※供应商不在基础资料里",""))))</f>
        <v/>
      </c>
    </row>
    <row r="1917">
      <c r="A1917" s="17">
        <f>IF($D1917="","",ROW()-3)</f>
        <v/>
      </c>
      <c r="B1917" s="18" t="n"/>
      <c r="C1917" s="13" t="n"/>
      <c r="D1917" s="13" t="n"/>
      <c r="E1917" s="13" t="n"/>
      <c r="F1917" s="17">
        <f>IF($D1917="","",IFERROR(VLOOKUP($E1917,材料归属,2,0),"※材料类别没选"))</f>
        <v/>
      </c>
      <c r="G1917" s="13" t="n"/>
      <c r="H1917" s="13" t="n"/>
      <c r="I1917" s="13" t="n"/>
      <c r="J1917" s="20" t="n"/>
      <c r="K1917" s="14" t="n"/>
      <c r="L1917" s="19">
        <f>IF($D1917="","",ROUND(IF($J1917="",1,$J1917)*N($K1917),2))</f>
        <v/>
      </c>
      <c r="M1917" s="13" t="n"/>
      <c r="N1917" s="17">
        <f>IF($D1917="","",IF(ISNA(MATCH($D1917,项目名表,0)),"※项目不在项目台账里",IF($F1917="※材料类别没选","※材料类别没选",IF(AND($C1917&lt;&gt;"",ISNA(MATCH($C1917,供应商表,0))),"※供应商不在基础资料里",""))))</f>
        <v/>
      </c>
    </row>
    <row r="1918">
      <c r="A1918" s="17">
        <f>IF($D1918="","",ROW()-3)</f>
        <v/>
      </c>
      <c r="B1918" s="18" t="n"/>
      <c r="C1918" s="13" t="n"/>
      <c r="D1918" s="13" t="n"/>
      <c r="E1918" s="13" t="n"/>
      <c r="F1918" s="17">
        <f>IF($D1918="","",IFERROR(VLOOKUP($E1918,材料归属,2,0),"※材料类别没选"))</f>
        <v/>
      </c>
      <c r="G1918" s="13" t="n"/>
      <c r="H1918" s="13" t="n"/>
      <c r="I1918" s="13" t="n"/>
      <c r="J1918" s="20" t="n"/>
      <c r="K1918" s="14" t="n"/>
      <c r="L1918" s="19">
        <f>IF($D1918="","",ROUND(IF($J1918="",1,$J1918)*N($K1918),2))</f>
        <v/>
      </c>
      <c r="M1918" s="13" t="n"/>
      <c r="N1918" s="17">
        <f>IF($D1918="","",IF(ISNA(MATCH($D1918,项目名表,0)),"※项目不在项目台账里",IF($F1918="※材料类别没选","※材料类别没选",IF(AND($C1918&lt;&gt;"",ISNA(MATCH($C1918,供应商表,0))),"※供应商不在基础资料里",""))))</f>
        <v/>
      </c>
    </row>
    <row r="1919">
      <c r="A1919" s="17">
        <f>IF($D1919="","",ROW()-3)</f>
        <v/>
      </c>
      <c r="B1919" s="18" t="n"/>
      <c r="C1919" s="13" t="n"/>
      <c r="D1919" s="13" t="n"/>
      <c r="E1919" s="13" t="n"/>
      <c r="F1919" s="17">
        <f>IF($D1919="","",IFERROR(VLOOKUP($E1919,材料归属,2,0),"※材料类别没选"))</f>
        <v/>
      </c>
      <c r="G1919" s="13" t="n"/>
      <c r="H1919" s="13" t="n"/>
      <c r="I1919" s="13" t="n"/>
      <c r="J1919" s="20" t="n"/>
      <c r="K1919" s="14" t="n"/>
      <c r="L1919" s="19">
        <f>IF($D1919="","",ROUND(IF($J1919="",1,$J1919)*N($K1919),2))</f>
        <v/>
      </c>
      <c r="M1919" s="13" t="n"/>
      <c r="N1919" s="17">
        <f>IF($D1919="","",IF(ISNA(MATCH($D1919,项目名表,0)),"※项目不在项目台账里",IF($F1919="※材料类别没选","※材料类别没选",IF(AND($C1919&lt;&gt;"",ISNA(MATCH($C1919,供应商表,0))),"※供应商不在基础资料里",""))))</f>
        <v/>
      </c>
    </row>
    <row r="1920">
      <c r="A1920" s="17">
        <f>IF($D1920="","",ROW()-3)</f>
        <v/>
      </c>
      <c r="B1920" s="18" t="n"/>
      <c r="C1920" s="13" t="n"/>
      <c r="D1920" s="13" t="n"/>
      <c r="E1920" s="13" t="n"/>
      <c r="F1920" s="17">
        <f>IF($D1920="","",IFERROR(VLOOKUP($E1920,材料归属,2,0),"※材料类别没选"))</f>
        <v/>
      </c>
      <c r="G1920" s="13" t="n"/>
      <c r="H1920" s="13" t="n"/>
      <c r="I1920" s="13" t="n"/>
      <c r="J1920" s="20" t="n"/>
      <c r="K1920" s="14" t="n"/>
      <c r="L1920" s="19">
        <f>IF($D1920="","",ROUND(IF($J1920="",1,$J1920)*N($K1920),2))</f>
        <v/>
      </c>
      <c r="M1920" s="13" t="n"/>
      <c r="N1920" s="17">
        <f>IF($D1920="","",IF(ISNA(MATCH($D1920,项目名表,0)),"※项目不在项目台账里",IF($F1920="※材料类别没选","※材料类别没选",IF(AND($C1920&lt;&gt;"",ISNA(MATCH($C1920,供应商表,0))),"※供应商不在基础资料里",""))))</f>
        <v/>
      </c>
    </row>
    <row r="1921">
      <c r="A1921" s="17">
        <f>IF($D1921="","",ROW()-3)</f>
        <v/>
      </c>
      <c r="B1921" s="18" t="n"/>
      <c r="C1921" s="13" t="n"/>
      <c r="D1921" s="13" t="n"/>
      <c r="E1921" s="13" t="n"/>
      <c r="F1921" s="17">
        <f>IF($D1921="","",IFERROR(VLOOKUP($E1921,材料归属,2,0),"※材料类别没选"))</f>
        <v/>
      </c>
      <c r="G1921" s="13" t="n"/>
      <c r="H1921" s="13" t="n"/>
      <c r="I1921" s="13" t="n"/>
      <c r="J1921" s="20" t="n"/>
      <c r="K1921" s="14" t="n"/>
      <c r="L1921" s="19">
        <f>IF($D1921="","",ROUND(IF($J1921="",1,$J1921)*N($K1921),2))</f>
        <v/>
      </c>
      <c r="M1921" s="13" t="n"/>
      <c r="N1921" s="17">
        <f>IF($D1921="","",IF(ISNA(MATCH($D1921,项目名表,0)),"※项目不在项目台账里",IF($F1921="※材料类别没选","※材料类别没选",IF(AND($C1921&lt;&gt;"",ISNA(MATCH($C1921,供应商表,0))),"※供应商不在基础资料里",""))))</f>
        <v/>
      </c>
    </row>
    <row r="1922">
      <c r="A1922" s="17">
        <f>IF($D1922="","",ROW()-3)</f>
        <v/>
      </c>
      <c r="B1922" s="18" t="n"/>
      <c r="C1922" s="13" t="n"/>
      <c r="D1922" s="13" t="n"/>
      <c r="E1922" s="13" t="n"/>
      <c r="F1922" s="17">
        <f>IF($D1922="","",IFERROR(VLOOKUP($E1922,材料归属,2,0),"※材料类别没选"))</f>
        <v/>
      </c>
      <c r="G1922" s="13" t="n"/>
      <c r="H1922" s="13" t="n"/>
      <c r="I1922" s="13" t="n"/>
      <c r="J1922" s="20" t="n"/>
      <c r="K1922" s="14" t="n"/>
      <c r="L1922" s="19">
        <f>IF($D1922="","",ROUND(IF($J1922="",1,$J1922)*N($K1922),2))</f>
        <v/>
      </c>
      <c r="M1922" s="13" t="n"/>
      <c r="N1922" s="17">
        <f>IF($D1922="","",IF(ISNA(MATCH($D1922,项目名表,0)),"※项目不在项目台账里",IF($F1922="※材料类别没选","※材料类别没选",IF(AND($C1922&lt;&gt;"",ISNA(MATCH($C1922,供应商表,0))),"※供应商不在基础资料里",""))))</f>
        <v/>
      </c>
    </row>
    <row r="1923">
      <c r="A1923" s="17">
        <f>IF($D1923="","",ROW()-3)</f>
        <v/>
      </c>
      <c r="B1923" s="18" t="n"/>
      <c r="C1923" s="13" t="n"/>
      <c r="D1923" s="13" t="n"/>
      <c r="E1923" s="13" t="n"/>
      <c r="F1923" s="17">
        <f>IF($D1923="","",IFERROR(VLOOKUP($E1923,材料归属,2,0),"※材料类别没选"))</f>
        <v/>
      </c>
      <c r="G1923" s="13" t="n"/>
      <c r="H1923" s="13" t="n"/>
      <c r="I1923" s="13" t="n"/>
      <c r="J1923" s="20" t="n"/>
      <c r="K1923" s="14" t="n"/>
      <c r="L1923" s="19">
        <f>IF($D1923="","",ROUND(IF($J1923="",1,$J1923)*N($K1923),2))</f>
        <v/>
      </c>
      <c r="M1923" s="13" t="n"/>
      <c r="N1923" s="17">
        <f>IF($D1923="","",IF(ISNA(MATCH($D1923,项目名表,0)),"※项目不在项目台账里",IF($F1923="※材料类别没选","※材料类别没选",IF(AND($C1923&lt;&gt;"",ISNA(MATCH($C1923,供应商表,0))),"※供应商不在基础资料里",""))))</f>
        <v/>
      </c>
    </row>
    <row r="1924">
      <c r="A1924" s="17">
        <f>IF($D1924="","",ROW()-3)</f>
        <v/>
      </c>
      <c r="B1924" s="18" t="n"/>
      <c r="C1924" s="13" t="n"/>
      <c r="D1924" s="13" t="n"/>
      <c r="E1924" s="13" t="n"/>
      <c r="F1924" s="17">
        <f>IF($D1924="","",IFERROR(VLOOKUP($E1924,材料归属,2,0),"※材料类别没选"))</f>
        <v/>
      </c>
      <c r="G1924" s="13" t="n"/>
      <c r="H1924" s="13" t="n"/>
      <c r="I1924" s="13" t="n"/>
      <c r="J1924" s="20" t="n"/>
      <c r="K1924" s="14" t="n"/>
      <c r="L1924" s="19">
        <f>IF($D1924="","",ROUND(IF($J1924="",1,$J1924)*N($K1924),2))</f>
        <v/>
      </c>
      <c r="M1924" s="13" t="n"/>
      <c r="N1924" s="17">
        <f>IF($D1924="","",IF(ISNA(MATCH($D1924,项目名表,0)),"※项目不在项目台账里",IF($F1924="※材料类别没选","※材料类别没选",IF(AND($C1924&lt;&gt;"",ISNA(MATCH($C1924,供应商表,0))),"※供应商不在基础资料里",""))))</f>
        <v/>
      </c>
    </row>
    <row r="1925">
      <c r="A1925" s="17">
        <f>IF($D1925="","",ROW()-3)</f>
        <v/>
      </c>
      <c r="B1925" s="18" t="n"/>
      <c r="C1925" s="13" t="n"/>
      <c r="D1925" s="13" t="n"/>
      <c r="E1925" s="13" t="n"/>
      <c r="F1925" s="17">
        <f>IF($D1925="","",IFERROR(VLOOKUP($E1925,材料归属,2,0),"※材料类别没选"))</f>
        <v/>
      </c>
      <c r="G1925" s="13" t="n"/>
      <c r="H1925" s="13" t="n"/>
      <c r="I1925" s="13" t="n"/>
      <c r="J1925" s="20" t="n"/>
      <c r="K1925" s="14" t="n"/>
      <c r="L1925" s="19">
        <f>IF($D1925="","",ROUND(IF($J1925="",1,$J1925)*N($K1925),2))</f>
        <v/>
      </c>
      <c r="M1925" s="13" t="n"/>
      <c r="N1925" s="17">
        <f>IF($D1925="","",IF(ISNA(MATCH($D1925,项目名表,0)),"※项目不在项目台账里",IF($F1925="※材料类别没选","※材料类别没选",IF(AND($C1925&lt;&gt;"",ISNA(MATCH($C1925,供应商表,0))),"※供应商不在基础资料里",""))))</f>
        <v/>
      </c>
    </row>
    <row r="1926">
      <c r="A1926" s="17">
        <f>IF($D1926="","",ROW()-3)</f>
        <v/>
      </c>
      <c r="B1926" s="18" t="n"/>
      <c r="C1926" s="13" t="n"/>
      <c r="D1926" s="13" t="n"/>
      <c r="E1926" s="13" t="n"/>
      <c r="F1926" s="17">
        <f>IF($D1926="","",IFERROR(VLOOKUP($E1926,材料归属,2,0),"※材料类别没选"))</f>
        <v/>
      </c>
      <c r="G1926" s="13" t="n"/>
      <c r="H1926" s="13" t="n"/>
      <c r="I1926" s="13" t="n"/>
      <c r="J1926" s="20" t="n"/>
      <c r="K1926" s="14" t="n"/>
      <c r="L1926" s="19">
        <f>IF($D1926="","",ROUND(IF($J1926="",1,$J1926)*N($K1926),2))</f>
        <v/>
      </c>
      <c r="M1926" s="13" t="n"/>
      <c r="N1926" s="17">
        <f>IF($D1926="","",IF(ISNA(MATCH($D1926,项目名表,0)),"※项目不在项目台账里",IF($F1926="※材料类别没选","※材料类别没选",IF(AND($C1926&lt;&gt;"",ISNA(MATCH($C1926,供应商表,0))),"※供应商不在基础资料里",""))))</f>
        <v/>
      </c>
    </row>
    <row r="1927">
      <c r="A1927" s="17">
        <f>IF($D1927="","",ROW()-3)</f>
        <v/>
      </c>
      <c r="B1927" s="18" t="n"/>
      <c r="C1927" s="13" t="n"/>
      <c r="D1927" s="13" t="n"/>
      <c r="E1927" s="13" t="n"/>
      <c r="F1927" s="17">
        <f>IF($D1927="","",IFERROR(VLOOKUP($E1927,材料归属,2,0),"※材料类别没选"))</f>
        <v/>
      </c>
      <c r="G1927" s="13" t="n"/>
      <c r="H1927" s="13" t="n"/>
      <c r="I1927" s="13" t="n"/>
      <c r="J1927" s="20" t="n"/>
      <c r="K1927" s="14" t="n"/>
      <c r="L1927" s="19">
        <f>IF($D1927="","",ROUND(IF($J1927="",1,$J1927)*N($K1927),2))</f>
        <v/>
      </c>
      <c r="M1927" s="13" t="n"/>
      <c r="N1927" s="17">
        <f>IF($D1927="","",IF(ISNA(MATCH($D1927,项目名表,0)),"※项目不在项目台账里",IF($F1927="※材料类别没选","※材料类别没选",IF(AND($C1927&lt;&gt;"",ISNA(MATCH($C1927,供应商表,0))),"※供应商不在基础资料里",""))))</f>
        <v/>
      </c>
    </row>
    <row r="1928">
      <c r="A1928" s="17">
        <f>IF($D1928="","",ROW()-3)</f>
        <v/>
      </c>
      <c r="B1928" s="18" t="n"/>
      <c r="C1928" s="13" t="n"/>
      <c r="D1928" s="13" t="n"/>
      <c r="E1928" s="13" t="n"/>
      <c r="F1928" s="17">
        <f>IF($D1928="","",IFERROR(VLOOKUP($E1928,材料归属,2,0),"※材料类别没选"))</f>
        <v/>
      </c>
      <c r="G1928" s="13" t="n"/>
      <c r="H1928" s="13" t="n"/>
      <c r="I1928" s="13" t="n"/>
      <c r="J1928" s="20" t="n"/>
      <c r="K1928" s="14" t="n"/>
      <c r="L1928" s="19">
        <f>IF($D1928="","",ROUND(IF($J1928="",1,$J1928)*N($K1928),2))</f>
        <v/>
      </c>
      <c r="M1928" s="13" t="n"/>
      <c r="N1928" s="17">
        <f>IF($D1928="","",IF(ISNA(MATCH($D1928,项目名表,0)),"※项目不在项目台账里",IF($F1928="※材料类别没选","※材料类别没选",IF(AND($C1928&lt;&gt;"",ISNA(MATCH($C1928,供应商表,0))),"※供应商不在基础资料里",""))))</f>
        <v/>
      </c>
    </row>
    <row r="1929">
      <c r="A1929" s="17">
        <f>IF($D1929="","",ROW()-3)</f>
        <v/>
      </c>
      <c r="B1929" s="18" t="n"/>
      <c r="C1929" s="13" t="n"/>
      <c r="D1929" s="13" t="n"/>
      <c r="E1929" s="13" t="n"/>
      <c r="F1929" s="17">
        <f>IF($D1929="","",IFERROR(VLOOKUP($E1929,材料归属,2,0),"※材料类别没选"))</f>
        <v/>
      </c>
      <c r="G1929" s="13" t="n"/>
      <c r="H1929" s="13" t="n"/>
      <c r="I1929" s="13" t="n"/>
      <c r="J1929" s="20" t="n"/>
      <c r="K1929" s="14" t="n"/>
      <c r="L1929" s="19">
        <f>IF($D1929="","",ROUND(IF($J1929="",1,$J1929)*N($K1929),2))</f>
        <v/>
      </c>
      <c r="M1929" s="13" t="n"/>
      <c r="N1929" s="17">
        <f>IF($D1929="","",IF(ISNA(MATCH($D1929,项目名表,0)),"※项目不在项目台账里",IF($F1929="※材料类别没选","※材料类别没选",IF(AND($C1929&lt;&gt;"",ISNA(MATCH($C1929,供应商表,0))),"※供应商不在基础资料里",""))))</f>
        <v/>
      </c>
    </row>
    <row r="1930">
      <c r="A1930" s="17">
        <f>IF($D1930="","",ROW()-3)</f>
        <v/>
      </c>
      <c r="B1930" s="18" t="n"/>
      <c r="C1930" s="13" t="n"/>
      <c r="D1930" s="13" t="n"/>
      <c r="E1930" s="13" t="n"/>
      <c r="F1930" s="17">
        <f>IF($D1930="","",IFERROR(VLOOKUP($E1930,材料归属,2,0),"※材料类别没选"))</f>
        <v/>
      </c>
      <c r="G1930" s="13" t="n"/>
      <c r="H1930" s="13" t="n"/>
      <c r="I1930" s="13" t="n"/>
      <c r="J1930" s="20" t="n"/>
      <c r="K1930" s="14" t="n"/>
      <c r="L1930" s="19">
        <f>IF($D1930="","",ROUND(IF($J1930="",1,$J1930)*N($K1930),2))</f>
        <v/>
      </c>
      <c r="M1930" s="13" t="n"/>
      <c r="N1930" s="17">
        <f>IF($D1930="","",IF(ISNA(MATCH($D1930,项目名表,0)),"※项目不在项目台账里",IF($F1930="※材料类别没选","※材料类别没选",IF(AND($C1930&lt;&gt;"",ISNA(MATCH($C1930,供应商表,0))),"※供应商不在基础资料里",""))))</f>
        <v/>
      </c>
    </row>
    <row r="1931">
      <c r="A1931" s="17">
        <f>IF($D1931="","",ROW()-3)</f>
        <v/>
      </c>
      <c r="B1931" s="18" t="n"/>
      <c r="C1931" s="13" t="n"/>
      <c r="D1931" s="13" t="n"/>
      <c r="E1931" s="13" t="n"/>
      <c r="F1931" s="17">
        <f>IF($D1931="","",IFERROR(VLOOKUP($E1931,材料归属,2,0),"※材料类别没选"))</f>
        <v/>
      </c>
      <c r="G1931" s="13" t="n"/>
      <c r="H1931" s="13" t="n"/>
      <c r="I1931" s="13" t="n"/>
      <c r="J1931" s="20" t="n"/>
      <c r="K1931" s="14" t="n"/>
      <c r="L1931" s="19">
        <f>IF($D1931="","",ROUND(IF($J1931="",1,$J1931)*N($K1931),2))</f>
        <v/>
      </c>
      <c r="M1931" s="13" t="n"/>
      <c r="N1931" s="17">
        <f>IF($D1931="","",IF(ISNA(MATCH($D1931,项目名表,0)),"※项目不在项目台账里",IF($F1931="※材料类别没选","※材料类别没选",IF(AND($C1931&lt;&gt;"",ISNA(MATCH($C1931,供应商表,0))),"※供应商不在基础资料里",""))))</f>
        <v/>
      </c>
    </row>
    <row r="1932">
      <c r="A1932" s="17">
        <f>IF($D1932="","",ROW()-3)</f>
        <v/>
      </c>
      <c r="B1932" s="18" t="n"/>
      <c r="C1932" s="13" t="n"/>
      <c r="D1932" s="13" t="n"/>
      <c r="E1932" s="13" t="n"/>
      <c r="F1932" s="17">
        <f>IF($D1932="","",IFERROR(VLOOKUP($E1932,材料归属,2,0),"※材料类别没选"))</f>
        <v/>
      </c>
      <c r="G1932" s="13" t="n"/>
      <c r="H1932" s="13" t="n"/>
      <c r="I1932" s="13" t="n"/>
      <c r="J1932" s="20" t="n"/>
      <c r="K1932" s="14" t="n"/>
      <c r="L1932" s="19">
        <f>IF($D1932="","",ROUND(IF($J1932="",1,$J1932)*N($K1932),2))</f>
        <v/>
      </c>
      <c r="M1932" s="13" t="n"/>
      <c r="N1932" s="17">
        <f>IF($D1932="","",IF(ISNA(MATCH($D1932,项目名表,0)),"※项目不在项目台账里",IF($F1932="※材料类别没选","※材料类别没选",IF(AND($C1932&lt;&gt;"",ISNA(MATCH($C1932,供应商表,0))),"※供应商不在基础资料里",""))))</f>
        <v/>
      </c>
    </row>
    <row r="1933">
      <c r="A1933" s="17">
        <f>IF($D1933="","",ROW()-3)</f>
        <v/>
      </c>
      <c r="B1933" s="18" t="n"/>
      <c r="C1933" s="13" t="n"/>
      <c r="D1933" s="13" t="n"/>
      <c r="E1933" s="13" t="n"/>
      <c r="F1933" s="17">
        <f>IF($D1933="","",IFERROR(VLOOKUP($E1933,材料归属,2,0),"※材料类别没选"))</f>
        <v/>
      </c>
      <c r="G1933" s="13" t="n"/>
      <c r="H1933" s="13" t="n"/>
      <c r="I1933" s="13" t="n"/>
      <c r="J1933" s="20" t="n"/>
      <c r="K1933" s="14" t="n"/>
      <c r="L1933" s="19">
        <f>IF($D1933="","",ROUND(IF($J1933="",1,$J1933)*N($K1933),2))</f>
        <v/>
      </c>
      <c r="M1933" s="13" t="n"/>
      <c r="N1933" s="17">
        <f>IF($D1933="","",IF(ISNA(MATCH($D1933,项目名表,0)),"※项目不在项目台账里",IF($F1933="※材料类别没选","※材料类别没选",IF(AND($C1933&lt;&gt;"",ISNA(MATCH($C1933,供应商表,0))),"※供应商不在基础资料里",""))))</f>
        <v/>
      </c>
    </row>
    <row r="1934">
      <c r="A1934" s="17">
        <f>IF($D1934="","",ROW()-3)</f>
        <v/>
      </c>
      <c r="B1934" s="18" t="n"/>
      <c r="C1934" s="13" t="n"/>
      <c r="D1934" s="13" t="n"/>
      <c r="E1934" s="13" t="n"/>
      <c r="F1934" s="17">
        <f>IF($D1934="","",IFERROR(VLOOKUP($E1934,材料归属,2,0),"※材料类别没选"))</f>
        <v/>
      </c>
      <c r="G1934" s="13" t="n"/>
      <c r="H1934" s="13" t="n"/>
      <c r="I1934" s="13" t="n"/>
      <c r="J1934" s="20" t="n"/>
      <c r="K1934" s="14" t="n"/>
      <c r="L1934" s="19">
        <f>IF($D1934="","",ROUND(IF($J1934="",1,$J1934)*N($K1934),2))</f>
        <v/>
      </c>
      <c r="M1934" s="13" t="n"/>
      <c r="N1934" s="17">
        <f>IF($D1934="","",IF(ISNA(MATCH($D1934,项目名表,0)),"※项目不在项目台账里",IF($F1934="※材料类别没选","※材料类别没选",IF(AND($C1934&lt;&gt;"",ISNA(MATCH($C1934,供应商表,0))),"※供应商不在基础资料里",""))))</f>
        <v/>
      </c>
    </row>
    <row r="1935">
      <c r="A1935" s="17">
        <f>IF($D1935="","",ROW()-3)</f>
        <v/>
      </c>
      <c r="B1935" s="18" t="n"/>
      <c r="C1935" s="13" t="n"/>
      <c r="D1935" s="13" t="n"/>
      <c r="E1935" s="13" t="n"/>
      <c r="F1935" s="17">
        <f>IF($D1935="","",IFERROR(VLOOKUP($E1935,材料归属,2,0),"※材料类别没选"))</f>
        <v/>
      </c>
      <c r="G1935" s="13" t="n"/>
      <c r="H1935" s="13" t="n"/>
      <c r="I1935" s="13" t="n"/>
      <c r="J1935" s="20" t="n"/>
      <c r="K1935" s="14" t="n"/>
      <c r="L1935" s="19">
        <f>IF($D1935="","",ROUND(IF($J1935="",1,$J1935)*N($K1935),2))</f>
        <v/>
      </c>
      <c r="M1935" s="13" t="n"/>
      <c r="N1935" s="17">
        <f>IF($D1935="","",IF(ISNA(MATCH($D1935,项目名表,0)),"※项目不在项目台账里",IF($F1935="※材料类别没选","※材料类别没选",IF(AND($C1935&lt;&gt;"",ISNA(MATCH($C1935,供应商表,0))),"※供应商不在基础资料里",""))))</f>
        <v/>
      </c>
    </row>
    <row r="1936">
      <c r="A1936" s="17">
        <f>IF($D1936="","",ROW()-3)</f>
        <v/>
      </c>
      <c r="B1936" s="18" t="n"/>
      <c r="C1936" s="13" t="n"/>
      <c r="D1936" s="13" t="n"/>
      <c r="E1936" s="13" t="n"/>
      <c r="F1936" s="17">
        <f>IF($D1936="","",IFERROR(VLOOKUP($E1936,材料归属,2,0),"※材料类别没选"))</f>
        <v/>
      </c>
      <c r="G1936" s="13" t="n"/>
      <c r="H1936" s="13" t="n"/>
      <c r="I1936" s="13" t="n"/>
      <c r="J1936" s="20" t="n"/>
      <c r="K1936" s="14" t="n"/>
      <c r="L1936" s="19">
        <f>IF($D1936="","",ROUND(IF($J1936="",1,$J1936)*N($K1936),2))</f>
        <v/>
      </c>
      <c r="M1936" s="13" t="n"/>
      <c r="N1936" s="17">
        <f>IF($D1936="","",IF(ISNA(MATCH($D1936,项目名表,0)),"※项目不在项目台账里",IF($F1936="※材料类别没选","※材料类别没选",IF(AND($C1936&lt;&gt;"",ISNA(MATCH($C1936,供应商表,0))),"※供应商不在基础资料里",""))))</f>
        <v/>
      </c>
    </row>
    <row r="1937">
      <c r="A1937" s="17">
        <f>IF($D1937="","",ROW()-3)</f>
        <v/>
      </c>
      <c r="B1937" s="18" t="n"/>
      <c r="C1937" s="13" t="n"/>
      <c r="D1937" s="13" t="n"/>
      <c r="E1937" s="13" t="n"/>
      <c r="F1937" s="17">
        <f>IF($D1937="","",IFERROR(VLOOKUP($E1937,材料归属,2,0),"※材料类别没选"))</f>
        <v/>
      </c>
      <c r="G1937" s="13" t="n"/>
      <c r="H1937" s="13" t="n"/>
      <c r="I1937" s="13" t="n"/>
      <c r="J1937" s="20" t="n"/>
      <c r="K1937" s="14" t="n"/>
      <c r="L1937" s="19">
        <f>IF($D1937="","",ROUND(IF($J1937="",1,$J1937)*N($K1937),2))</f>
        <v/>
      </c>
      <c r="M1937" s="13" t="n"/>
      <c r="N1937" s="17">
        <f>IF($D1937="","",IF(ISNA(MATCH($D1937,项目名表,0)),"※项目不在项目台账里",IF($F1937="※材料类别没选","※材料类别没选",IF(AND($C1937&lt;&gt;"",ISNA(MATCH($C1937,供应商表,0))),"※供应商不在基础资料里",""))))</f>
        <v/>
      </c>
    </row>
    <row r="1938">
      <c r="A1938" s="17">
        <f>IF($D1938="","",ROW()-3)</f>
        <v/>
      </c>
      <c r="B1938" s="18" t="n"/>
      <c r="C1938" s="13" t="n"/>
      <c r="D1938" s="13" t="n"/>
      <c r="E1938" s="13" t="n"/>
      <c r="F1938" s="17">
        <f>IF($D1938="","",IFERROR(VLOOKUP($E1938,材料归属,2,0),"※材料类别没选"))</f>
        <v/>
      </c>
      <c r="G1938" s="13" t="n"/>
      <c r="H1938" s="13" t="n"/>
      <c r="I1938" s="13" t="n"/>
      <c r="J1938" s="20" t="n"/>
      <c r="K1938" s="14" t="n"/>
      <c r="L1938" s="19">
        <f>IF($D1938="","",ROUND(IF($J1938="",1,$J1938)*N($K1938),2))</f>
        <v/>
      </c>
      <c r="M1938" s="13" t="n"/>
      <c r="N1938" s="17">
        <f>IF($D1938="","",IF(ISNA(MATCH($D1938,项目名表,0)),"※项目不在项目台账里",IF($F1938="※材料类别没选","※材料类别没选",IF(AND($C1938&lt;&gt;"",ISNA(MATCH($C1938,供应商表,0))),"※供应商不在基础资料里",""))))</f>
        <v/>
      </c>
    </row>
    <row r="1939">
      <c r="A1939" s="17">
        <f>IF($D1939="","",ROW()-3)</f>
        <v/>
      </c>
      <c r="B1939" s="18" t="n"/>
      <c r="C1939" s="13" t="n"/>
      <c r="D1939" s="13" t="n"/>
      <c r="E1939" s="13" t="n"/>
      <c r="F1939" s="17">
        <f>IF($D1939="","",IFERROR(VLOOKUP($E1939,材料归属,2,0),"※材料类别没选"))</f>
        <v/>
      </c>
      <c r="G1939" s="13" t="n"/>
      <c r="H1939" s="13" t="n"/>
      <c r="I1939" s="13" t="n"/>
      <c r="J1939" s="20" t="n"/>
      <c r="K1939" s="14" t="n"/>
      <c r="L1939" s="19">
        <f>IF($D1939="","",ROUND(IF($J1939="",1,$J1939)*N($K1939),2))</f>
        <v/>
      </c>
      <c r="M1939" s="13" t="n"/>
      <c r="N1939" s="17">
        <f>IF($D1939="","",IF(ISNA(MATCH($D1939,项目名表,0)),"※项目不在项目台账里",IF($F1939="※材料类别没选","※材料类别没选",IF(AND($C1939&lt;&gt;"",ISNA(MATCH($C1939,供应商表,0))),"※供应商不在基础资料里",""))))</f>
        <v/>
      </c>
    </row>
    <row r="1940">
      <c r="A1940" s="17">
        <f>IF($D1940="","",ROW()-3)</f>
        <v/>
      </c>
      <c r="B1940" s="18" t="n"/>
      <c r="C1940" s="13" t="n"/>
      <c r="D1940" s="13" t="n"/>
      <c r="E1940" s="13" t="n"/>
      <c r="F1940" s="17">
        <f>IF($D1940="","",IFERROR(VLOOKUP($E1940,材料归属,2,0),"※材料类别没选"))</f>
        <v/>
      </c>
      <c r="G1940" s="13" t="n"/>
      <c r="H1940" s="13" t="n"/>
      <c r="I1940" s="13" t="n"/>
      <c r="J1940" s="20" t="n"/>
      <c r="K1940" s="14" t="n"/>
      <c r="L1940" s="19">
        <f>IF($D1940="","",ROUND(IF($J1940="",1,$J1940)*N($K1940),2))</f>
        <v/>
      </c>
      <c r="M1940" s="13" t="n"/>
      <c r="N1940" s="17">
        <f>IF($D1940="","",IF(ISNA(MATCH($D1940,项目名表,0)),"※项目不在项目台账里",IF($F1940="※材料类别没选","※材料类别没选",IF(AND($C1940&lt;&gt;"",ISNA(MATCH($C1940,供应商表,0))),"※供应商不在基础资料里",""))))</f>
        <v/>
      </c>
    </row>
    <row r="1941">
      <c r="A1941" s="17">
        <f>IF($D1941="","",ROW()-3)</f>
        <v/>
      </c>
      <c r="B1941" s="18" t="n"/>
      <c r="C1941" s="13" t="n"/>
      <c r="D1941" s="13" t="n"/>
      <c r="E1941" s="13" t="n"/>
      <c r="F1941" s="17">
        <f>IF($D1941="","",IFERROR(VLOOKUP($E1941,材料归属,2,0),"※材料类别没选"))</f>
        <v/>
      </c>
      <c r="G1941" s="13" t="n"/>
      <c r="H1941" s="13" t="n"/>
      <c r="I1941" s="13" t="n"/>
      <c r="J1941" s="20" t="n"/>
      <c r="K1941" s="14" t="n"/>
      <c r="L1941" s="19">
        <f>IF($D1941="","",ROUND(IF($J1941="",1,$J1941)*N($K1941),2))</f>
        <v/>
      </c>
      <c r="M1941" s="13" t="n"/>
      <c r="N1941" s="17">
        <f>IF($D1941="","",IF(ISNA(MATCH($D1941,项目名表,0)),"※项目不在项目台账里",IF($F1941="※材料类别没选","※材料类别没选",IF(AND($C1941&lt;&gt;"",ISNA(MATCH($C1941,供应商表,0))),"※供应商不在基础资料里",""))))</f>
        <v/>
      </c>
    </row>
    <row r="1942">
      <c r="A1942" s="17">
        <f>IF($D1942="","",ROW()-3)</f>
        <v/>
      </c>
      <c r="B1942" s="18" t="n"/>
      <c r="C1942" s="13" t="n"/>
      <c r="D1942" s="13" t="n"/>
      <c r="E1942" s="13" t="n"/>
      <c r="F1942" s="17">
        <f>IF($D1942="","",IFERROR(VLOOKUP($E1942,材料归属,2,0),"※材料类别没选"))</f>
        <v/>
      </c>
      <c r="G1942" s="13" t="n"/>
      <c r="H1942" s="13" t="n"/>
      <c r="I1942" s="13" t="n"/>
      <c r="J1942" s="20" t="n"/>
      <c r="K1942" s="14" t="n"/>
      <c r="L1942" s="19">
        <f>IF($D1942="","",ROUND(IF($J1942="",1,$J1942)*N($K1942),2))</f>
        <v/>
      </c>
      <c r="M1942" s="13" t="n"/>
      <c r="N1942" s="17">
        <f>IF($D1942="","",IF(ISNA(MATCH($D1942,项目名表,0)),"※项目不在项目台账里",IF($F1942="※材料类别没选","※材料类别没选",IF(AND($C1942&lt;&gt;"",ISNA(MATCH($C1942,供应商表,0))),"※供应商不在基础资料里",""))))</f>
        <v/>
      </c>
    </row>
    <row r="1943">
      <c r="A1943" s="17">
        <f>IF($D1943="","",ROW()-3)</f>
        <v/>
      </c>
      <c r="B1943" s="18" t="n"/>
      <c r="C1943" s="13" t="n"/>
      <c r="D1943" s="13" t="n"/>
      <c r="E1943" s="13" t="n"/>
      <c r="F1943" s="17">
        <f>IF($D1943="","",IFERROR(VLOOKUP($E1943,材料归属,2,0),"※材料类别没选"))</f>
        <v/>
      </c>
      <c r="G1943" s="13" t="n"/>
      <c r="H1943" s="13" t="n"/>
      <c r="I1943" s="13" t="n"/>
      <c r="J1943" s="20" t="n"/>
      <c r="K1943" s="14" t="n"/>
      <c r="L1943" s="19">
        <f>IF($D1943="","",ROUND(IF($J1943="",1,$J1943)*N($K1943),2))</f>
        <v/>
      </c>
      <c r="M1943" s="13" t="n"/>
      <c r="N1943" s="17">
        <f>IF($D1943="","",IF(ISNA(MATCH($D1943,项目名表,0)),"※项目不在项目台账里",IF($F1943="※材料类别没选","※材料类别没选",IF(AND($C1943&lt;&gt;"",ISNA(MATCH($C1943,供应商表,0))),"※供应商不在基础资料里",""))))</f>
        <v/>
      </c>
    </row>
    <row r="1944">
      <c r="A1944" s="17">
        <f>IF($D1944="","",ROW()-3)</f>
        <v/>
      </c>
      <c r="B1944" s="18" t="n"/>
      <c r="C1944" s="13" t="n"/>
      <c r="D1944" s="13" t="n"/>
      <c r="E1944" s="13" t="n"/>
      <c r="F1944" s="17">
        <f>IF($D1944="","",IFERROR(VLOOKUP($E1944,材料归属,2,0),"※材料类别没选"))</f>
        <v/>
      </c>
      <c r="G1944" s="13" t="n"/>
      <c r="H1944" s="13" t="n"/>
      <c r="I1944" s="13" t="n"/>
      <c r="J1944" s="20" t="n"/>
      <c r="K1944" s="14" t="n"/>
      <c r="L1944" s="19">
        <f>IF($D1944="","",ROUND(IF($J1944="",1,$J1944)*N($K1944),2))</f>
        <v/>
      </c>
      <c r="M1944" s="13" t="n"/>
      <c r="N1944" s="17">
        <f>IF($D1944="","",IF(ISNA(MATCH($D1944,项目名表,0)),"※项目不在项目台账里",IF($F1944="※材料类别没选","※材料类别没选",IF(AND($C1944&lt;&gt;"",ISNA(MATCH($C1944,供应商表,0))),"※供应商不在基础资料里",""))))</f>
        <v/>
      </c>
    </row>
    <row r="1945">
      <c r="A1945" s="17">
        <f>IF($D1945="","",ROW()-3)</f>
        <v/>
      </c>
      <c r="B1945" s="18" t="n"/>
      <c r="C1945" s="13" t="n"/>
      <c r="D1945" s="13" t="n"/>
      <c r="E1945" s="13" t="n"/>
      <c r="F1945" s="17">
        <f>IF($D1945="","",IFERROR(VLOOKUP($E1945,材料归属,2,0),"※材料类别没选"))</f>
        <v/>
      </c>
      <c r="G1945" s="13" t="n"/>
      <c r="H1945" s="13" t="n"/>
      <c r="I1945" s="13" t="n"/>
      <c r="J1945" s="20" t="n"/>
      <c r="K1945" s="14" t="n"/>
      <c r="L1945" s="19">
        <f>IF($D1945="","",ROUND(IF($J1945="",1,$J1945)*N($K1945),2))</f>
        <v/>
      </c>
      <c r="M1945" s="13" t="n"/>
      <c r="N1945" s="17">
        <f>IF($D1945="","",IF(ISNA(MATCH($D1945,项目名表,0)),"※项目不在项目台账里",IF($F1945="※材料类别没选","※材料类别没选",IF(AND($C1945&lt;&gt;"",ISNA(MATCH($C1945,供应商表,0))),"※供应商不在基础资料里",""))))</f>
        <v/>
      </c>
    </row>
    <row r="1946">
      <c r="A1946" s="17">
        <f>IF($D1946="","",ROW()-3)</f>
        <v/>
      </c>
      <c r="B1946" s="18" t="n"/>
      <c r="C1946" s="13" t="n"/>
      <c r="D1946" s="13" t="n"/>
      <c r="E1946" s="13" t="n"/>
      <c r="F1946" s="17">
        <f>IF($D1946="","",IFERROR(VLOOKUP($E1946,材料归属,2,0),"※材料类别没选"))</f>
        <v/>
      </c>
      <c r="G1946" s="13" t="n"/>
      <c r="H1946" s="13" t="n"/>
      <c r="I1946" s="13" t="n"/>
      <c r="J1946" s="20" t="n"/>
      <c r="K1946" s="14" t="n"/>
      <c r="L1946" s="19">
        <f>IF($D1946="","",ROUND(IF($J1946="",1,$J1946)*N($K1946),2))</f>
        <v/>
      </c>
      <c r="M1946" s="13" t="n"/>
      <c r="N1946" s="17">
        <f>IF($D1946="","",IF(ISNA(MATCH($D1946,项目名表,0)),"※项目不在项目台账里",IF($F1946="※材料类别没选","※材料类别没选",IF(AND($C1946&lt;&gt;"",ISNA(MATCH($C1946,供应商表,0))),"※供应商不在基础资料里",""))))</f>
        <v/>
      </c>
    </row>
    <row r="1947">
      <c r="A1947" s="17">
        <f>IF($D1947="","",ROW()-3)</f>
        <v/>
      </c>
      <c r="B1947" s="18" t="n"/>
      <c r="C1947" s="13" t="n"/>
      <c r="D1947" s="13" t="n"/>
      <c r="E1947" s="13" t="n"/>
      <c r="F1947" s="17">
        <f>IF($D1947="","",IFERROR(VLOOKUP($E1947,材料归属,2,0),"※材料类别没选"))</f>
        <v/>
      </c>
      <c r="G1947" s="13" t="n"/>
      <c r="H1947" s="13" t="n"/>
      <c r="I1947" s="13" t="n"/>
      <c r="J1947" s="20" t="n"/>
      <c r="K1947" s="14" t="n"/>
      <c r="L1947" s="19">
        <f>IF($D1947="","",ROUND(IF($J1947="",1,$J1947)*N($K1947),2))</f>
        <v/>
      </c>
      <c r="M1947" s="13" t="n"/>
      <c r="N1947" s="17">
        <f>IF($D1947="","",IF(ISNA(MATCH($D1947,项目名表,0)),"※项目不在项目台账里",IF($F1947="※材料类别没选","※材料类别没选",IF(AND($C1947&lt;&gt;"",ISNA(MATCH($C1947,供应商表,0))),"※供应商不在基础资料里",""))))</f>
        <v/>
      </c>
    </row>
    <row r="1948">
      <c r="A1948" s="17">
        <f>IF($D1948="","",ROW()-3)</f>
        <v/>
      </c>
      <c r="B1948" s="18" t="n"/>
      <c r="C1948" s="13" t="n"/>
      <c r="D1948" s="13" t="n"/>
      <c r="E1948" s="13" t="n"/>
      <c r="F1948" s="17">
        <f>IF($D1948="","",IFERROR(VLOOKUP($E1948,材料归属,2,0),"※材料类别没选"))</f>
        <v/>
      </c>
      <c r="G1948" s="13" t="n"/>
      <c r="H1948" s="13" t="n"/>
      <c r="I1948" s="13" t="n"/>
      <c r="J1948" s="20" t="n"/>
      <c r="K1948" s="14" t="n"/>
      <c r="L1948" s="19">
        <f>IF($D1948="","",ROUND(IF($J1948="",1,$J1948)*N($K1948),2))</f>
        <v/>
      </c>
      <c r="M1948" s="13" t="n"/>
      <c r="N1948" s="17">
        <f>IF($D1948="","",IF(ISNA(MATCH($D1948,项目名表,0)),"※项目不在项目台账里",IF($F1948="※材料类别没选","※材料类别没选",IF(AND($C1948&lt;&gt;"",ISNA(MATCH($C1948,供应商表,0))),"※供应商不在基础资料里",""))))</f>
        <v/>
      </c>
    </row>
    <row r="1949">
      <c r="A1949" s="17">
        <f>IF($D1949="","",ROW()-3)</f>
        <v/>
      </c>
      <c r="B1949" s="18" t="n"/>
      <c r="C1949" s="13" t="n"/>
      <c r="D1949" s="13" t="n"/>
      <c r="E1949" s="13" t="n"/>
      <c r="F1949" s="17">
        <f>IF($D1949="","",IFERROR(VLOOKUP($E1949,材料归属,2,0),"※材料类别没选"))</f>
        <v/>
      </c>
      <c r="G1949" s="13" t="n"/>
      <c r="H1949" s="13" t="n"/>
      <c r="I1949" s="13" t="n"/>
      <c r="J1949" s="20" t="n"/>
      <c r="K1949" s="14" t="n"/>
      <c r="L1949" s="19">
        <f>IF($D1949="","",ROUND(IF($J1949="",1,$J1949)*N($K1949),2))</f>
        <v/>
      </c>
      <c r="M1949" s="13" t="n"/>
      <c r="N1949" s="17">
        <f>IF($D1949="","",IF(ISNA(MATCH($D1949,项目名表,0)),"※项目不在项目台账里",IF($F1949="※材料类别没选","※材料类别没选",IF(AND($C1949&lt;&gt;"",ISNA(MATCH($C1949,供应商表,0))),"※供应商不在基础资料里",""))))</f>
        <v/>
      </c>
    </row>
    <row r="1950">
      <c r="A1950" s="17">
        <f>IF($D1950="","",ROW()-3)</f>
        <v/>
      </c>
      <c r="B1950" s="18" t="n"/>
      <c r="C1950" s="13" t="n"/>
      <c r="D1950" s="13" t="n"/>
      <c r="E1950" s="13" t="n"/>
      <c r="F1950" s="17">
        <f>IF($D1950="","",IFERROR(VLOOKUP($E1950,材料归属,2,0),"※材料类别没选"))</f>
        <v/>
      </c>
      <c r="G1950" s="13" t="n"/>
      <c r="H1950" s="13" t="n"/>
      <c r="I1950" s="13" t="n"/>
      <c r="J1950" s="20" t="n"/>
      <c r="K1950" s="14" t="n"/>
      <c r="L1950" s="19">
        <f>IF($D1950="","",ROUND(IF($J1950="",1,$J1950)*N($K1950),2))</f>
        <v/>
      </c>
      <c r="M1950" s="13" t="n"/>
      <c r="N1950" s="17">
        <f>IF($D1950="","",IF(ISNA(MATCH($D1950,项目名表,0)),"※项目不在项目台账里",IF($F1950="※材料类别没选","※材料类别没选",IF(AND($C1950&lt;&gt;"",ISNA(MATCH($C1950,供应商表,0))),"※供应商不在基础资料里",""))))</f>
        <v/>
      </c>
    </row>
    <row r="1951">
      <c r="A1951" s="17">
        <f>IF($D1951="","",ROW()-3)</f>
        <v/>
      </c>
      <c r="B1951" s="18" t="n"/>
      <c r="C1951" s="13" t="n"/>
      <c r="D1951" s="13" t="n"/>
      <c r="E1951" s="13" t="n"/>
      <c r="F1951" s="17">
        <f>IF($D1951="","",IFERROR(VLOOKUP($E1951,材料归属,2,0),"※材料类别没选"))</f>
        <v/>
      </c>
      <c r="G1951" s="13" t="n"/>
      <c r="H1951" s="13" t="n"/>
      <c r="I1951" s="13" t="n"/>
      <c r="J1951" s="20" t="n"/>
      <c r="K1951" s="14" t="n"/>
      <c r="L1951" s="19">
        <f>IF($D1951="","",ROUND(IF($J1951="",1,$J1951)*N($K1951),2))</f>
        <v/>
      </c>
      <c r="M1951" s="13" t="n"/>
      <c r="N1951" s="17">
        <f>IF($D1951="","",IF(ISNA(MATCH($D1951,项目名表,0)),"※项目不在项目台账里",IF($F1951="※材料类别没选","※材料类别没选",IF(AND($C1951&lt;&gt;"",ISNA(MATCH($C1951,供应商表,0))),"※供应商不在基础资料里",""))))</f>
        <v/>
      </c>
    </row>
    <row r="1952">
      <c r="A1952" s="17">
        <f>IF($D1952="","",ROW()-3)</f>
        <v/>
      </c>
      <c r="B1952" s="18" t="n"/>
      <c r="C1952" s="13" t="n"/>
      <c r="D1952" s="13" t="n"/>
      <c r="E1952" s="13" t="n"/>
      <c r="F1952" s="17">
        <f>IF($D1952="","",IFERROR(VLOOKUP($E1952,材料归属,2,0),"※材料类别没选"))</f>
        <v/>
      </c>
      <c r="G1952" s="13" t="n"/>
      <c r="H1952" s="13" t="n"/>
      <c r="I1952" s="13" t="n"/>
      <c r="J1952" s="20" t="n"/>
      <c r="K1952" s="14" t="n"/>
      <c r="L1952" s="19">
        <f>IF($D1952="","",ROUND(IF($J1952="",1,$J1952)*N($K1952),2))</f>
        <v/>
      </c>
      <c r="M1952" s="13" t="n"/>
      <c r="N1952" s="17">
        <f>IF($D1952="","",IF(ISNA(MATCH($D1952,项目名表,0)),"※项目不在项目台账里",IF($F1952="※材料类别没选","※材料类别没选",IF(AND($C1952&lt;&gt;"",ISNA(MATCH($C1952,供应商表,0))),"※供应商不在基础资料里",""))))</f>
        <v/>
      </c>
    </row>
    <row r="1953">
      <c r="A1953" s="17">
        <f>IF($D1953="","",ROW()-3)</f>
        <v/>
      </c>
      <c r="B1953" s="18" t="n"/>
      <c r="C1953" s="13" t="n"/>
      <c r="D1953" s="13" t="n"/>
      <c r="E1953" s="13" t="n"/>
      <c r="F1953" s="17">
        <f>IF($D1953="","",IFERROR(VLOOKUP($E1953,材料归属,2,0),"※材料类别没选"))</f>
        <v/>
      </c>
      <c r="G1953" s="13" t="n"/>
      <c r="H1953" s="13" t="n"/>
      <c r="I1953" s="13" t="n"/>
      <c r="J1953" s="20" t="n"/>
      <c r="K1953" s="14" t="n"/>
      <c r="L1953" s="19">
        <f>IF($D1953="","",ROUND(IF($J1953="",1,$J1953)*N($K1953),2))</f>
        <v/>
      </c>
      <c r="M1953" s="13" t="n"/>
      <c r="N1953" s="17">
        <f>IF($D1953="","",IF(ISNA(MATCH($D1953,项目名表,0)),"※项目不在项目台账里",IF($F1953="※材料类别没选","※材料类别没选",IF(AND($C1953&lt;&gt;"",ISNA(MATCH($C1953,供应商表,0))),"※供应商不在基础资料里",""))))</f>
        <v/>
      </c>
    </row>
    <row r="1954">
      <c r="A1954" s="17">
        <f>IF($D1954="","",ROW()-3)</f>
        <v/>
      </c>
      <c r="B1954" s="18" t="n"/>
      <c r="C1954" s="13" t="n"/>
      <c r="D1954" s="13" t="n"/>
      <c r="E1954" s="13" t="n"/>
      <c r="F1954" s="17">
        <f>IF($D1954="","",IFERROR(VLOOKUP($E1954,材料归属,2,0),"※材料类别没选"))</f>
        <v/>
      </c>
      <c r="G1954" s="13" t="n"/>
      <c r="H1954" s="13" t="n"/>
      <c r="I1954" s="13" t="n"/>
      <c r="J1954" s="20" t="n"/>
      <c r="K1954" s="14" t="n"/>
      <c r="L1954" s="19">
        <f>IF($D1954="","",ROUND(IF($J1954="",1,$J1954)*N($K1954),2))</f>
        <v/>
      </c>
      <c r="M1954" s="13" t="n"/>
      <c r="N1954" s="17">
        <f>IF($D1954="","",IF(ISNA(MATCH($D1954,项目名表,0)),"※项目不在项目台账里",IF($F1954="※材料类别没选","※材料类别没选",IF(AND($C1954&lt;&gt;"",ISNA(MATCH($C1954,供应商表,0))),"※供应商不在基础资料里",""))))</f>
        <v/>
      </c>
    </row>
    <row r="1955">
      <c r="A1955" s="17">
        <f>IF($D1955="","",ROW()-3)</f>
        <v/>
      </c>
      <c r="B1955" s="18" t="n"/>
      <c r="C1955" s="13" t="n"/>
      <c r="D1955" s="13" t="n"/>
      <c r="E1955" s="13" t="n"/>
      <c r="F1955" s="17">
        <f>IF($D1955="","",IFERROR(VLOOKUP($E1955,材料归属,2,0),"※材料类别没选"))</f>
        <v/>
      </c>
      <c r="G1955" s="13" t="n"/>
      <c r="H1955" s="13" t="n"/>
      <c r="I1955" s="13" t="n"/>
      <c r="J1955" s="20" t="n"/>
      <c r="K1955" s="14" t="n"/>
      <c r="L1955" s="19">
        <f>IF($D1955="","",ROUND(IF($J1955="",1,$J1955)*N($K1955),2))</f>
        <v/>
      </c>
      <c r="M1955" s="13" t="n"/>
      <c r="N1955" s="17">
        <f>IF($D1955="","",IF(ISNA(MATCH($D1955,项目名表,0)),"※项目不在项目台账里",IF($F1955="※材料类别没选","※材料类别没选",IF(AND($C1955&lt;&gt;"",ISNA(MATCH($C1955,供应商表,0))),"※供应商不在基础资料里",""))))</f>
        <v/>
      </c>
    </row>
    <row r="1956">
      <c r="A1956" s="17">
        <f>IF($D1956="","",ROW()-3)</f>
        <v/>
      </c>
      <c r="B1956" s="18" t="n"/>
      <c r="C1956" s="13" t="n"/>
      <c r="D1956" s="13" t="n"/>
      <c r="E1956" s="13" t="n"/>
      <c r="F1956" s="17">
        <f>IF($D1956="","",IFERROR(VLOOKUP($E1956,材料归属,2,0),"※材料类别没选"))</f>
        <v/>
      </c>
      <c r="G1956" s="13" t="n"/>
      <c r="H1956" s="13" t="n"/>
      <c r="I1956" s="13" t="n"/>
      <c r="J1956" s="20" t="n"/>
      <c r="K1956" s="14" t="n"/>
      <c r="L1956" s="19">
        <f>IF($D1956="","",ROUND(IF($J1956="",1,$J1956)*N($K1956),2))</f>
        <v/>
      </c>
      <c r="M1956" s="13" t="n"/>
      <c r="N1956" s="17">
        <f>IF($D1956="","",IF(ISNA(MATCH($D1956,项目名表,0)),"※项目不在项目台账里",IF($F1956="※材料类别没选","※材料类别没选",IF(AND($C1956&lt;&gt;"",ISNA(MATCH($C1956,供应商表,0))),"※供应商不在基础资料里",""))))</f>
        <v/>
      </c>
    </row>
    <row r="1957">
      <c r="A1957" s="17">
        <f>IF($D1957="","",ROW()-3)</f>
        <v/>
      </c>
      <c r="B1957" s="18" t="n"/>
      <c r="C1957" s="13" t="n"/>
      <c r="D1957" s="13" t="n"/>
      <c r="E1957" s="13" t="n"/>
      <c r="F1957" s="17">
        <f>IF($D1957="","",IFERROR(VLOOKUP($E1957,材料归属,2,0),"※材料类别没选"))</f>
        <v/>
      </c>
      <c r="G1957" s="13" t="n"/>
      <c r="H1957" s="13" t="n"/>
      <c r="I1957" s="13" t="n"/>
      <c r="J1957" s="20" t="n"/>
      <c r="K1957" s="14" t="n"/>
      <c r="L1957" s="19">
        <f>IF($D1957="","",ROUND(IF($J1957="",1,$J1957)*N($K1957),2))</f>
        <v/>
      </c>
      <c r="M1957" s="13" t="n"/>
      <c r="N1957" s="17">
        <f>IF($D1957="","",IF(ISNA(MATCH($D1957,项目名表,0)),"※项目不在项目台账里",IF($F1957="※材料类别没选","※材料类别没选",IF(AND($C1957&lt;&gt;"",ISNA(MATCH($C1957,供应商表,0))),"※供应商不在基础资料里",""))))</f>
        <v/>
      </c>
    </row>
    <row r="1958">
      <c r="A1958" s="17">
        <f>IF($D1958="","",ROW()-3)</f>
        <v/>
      </c>
      <c r="B1958" s="18" t="n"/>
      <c r="C1958" s="13" t="n"/>
      <c r="D1958" s="13" t="n"/>
      <c r="E1958" s="13" t="n"/>
      <c r="F1958" s="17">
        <f>IF($D1958="","",IFERROR(VLOOKUP($E1958,材料归属,2,0),"※材料类别没选"))</f>
        <v/>
      </c>
      <c r="G1958" s="13" t="n"/>
      <c r="H1958" s="13" t="n"/>
      <c r="I1958" s="13" t="n"/>
      <c r="J1958" s="20" t="n"/>
      <c r="K1958" s="14" t="n"/>
      <c r="L1958" s="19">
        <f>IF($D1958="","",ROUND(IF($J1958="",1,$J1958)*N($K1958),2))</f>
        <v/>
      </c>
      <c r="M1958" s="13" t="n"/>
      <c r="N1958" s="17">
        <f>IF($D1958="","",IF(ISNA(MATCH($D1958,项目名表,0)),"※项目不在项目台账里",IF($F1958="※材料类别没选","※材料类别没选",IF(AND($C1958&lt;&gt;"",ISNA(MATCH($C1958,供应商表,0))),"※供应商不在基础资料里",""))))</f>
        <v/>
      </c>
    </row>
    <row r="1959">
      <c r="A1959" s="17">
        <f>IF($D1959="","",ROW()-3)</f>
        <v/>
      </c>
      <c r="B1959" s="18" t="n"/>
      <c r="C1959" s="13" t="n"/>
      <c r="D1959" s="13" t="n"/>
      <c r="E1959" s="13" t="n"/>
      <c r="F1959" s="17">
        <f>IF($D1959="","",IFERROR(VLOOKUP($E1959,材料归属,2,0),"※材料类别没选"))</f>
        <v/>
      </c>
      <c r="G1959" s="13" t="n"/>
      <c r="H1959" s="13" t="n"/>
      <c r="I1959" s="13" t="n"/>
      <c r="J1959" s="20" t="n"/>
      <c r="K1959" s="14" t="n"/>
      <c r="L1959" s="19">
        <f>IF($D1959="","",ROUND(IF($J1959="",1,$J1959)*N($K1959),2))</f>
        <v/>
      </c>
      <c r="M1959" s="13" t="n"/>
      <c r="N1959" s="17">
        <f>IF($D1959="","",IF(ISNA(MATCH($D1959,项目名表,0)),"※项目不在项目台账里",IF($F1959="※材料类别没选","※材料类别没选",IF(AND($C1959&lt;&gt;"",ISNA(MATCH($C1959,供应商表,0))),"※供应商不在基础资料里",""))))</f>
        <v/>
      </c>
    </row>
    <row r="1960">
      <c r="A1960" s="17">
        <f>IF($D1960="","",ROW()-3)</f>
        <v/>
      </c>
      <c r="B1960" s="18" t="n"/>
      <c r="C1960" s="13" t="n"/>
      <c r="D1960" s="13" t="n"/>
      <c r="E1960" s="13" t="n"/>
      <c r="F1960" s="17">
        <f>IF($D1960="","",IFERROR(VLOOKUP($E1960,材料归属,2,0),"※材料类别没选"))</f>
        <v/>
      </c>
      <c r="G1960" s="13" t="n"/>
      <c r="H1960" s="13" t="n"/>
      <c r="I1960" s="13" t="n"/>
      <c r="J1960" s="20" t="n"/>
      <c r="K1960" s="14" t="n"/>
      <c r="L1960" s="19">
        <f>IF($D1960="","",ROUND(IF($J1960="",1,$J1960)*N($K1960),2))</f>
        <v/>
      </c>
      <c r="M1960" s="13" t="n"/>
      <c r="N1960" s="17">
        <f>IF($D1960="","",IF(ISNA(MATCH($D1960,项目名表,0)),"※项目不在项目台账里",IF($F1960="※材料类别没选","※材料类别没选",IF(AND($C1960&lt;&gt;"",ISNA(MATCH($C1960,供应商表,0))),"※供应商不在基础资料里",""))))</f>
        <v/>
      </c>
    </row>
    <row r="1961">
      <c r="A1961" s="17">
        <f>IF($D1961="","",ROW()-3)</f>
        <v/>
      </c>
      <c r="B1961" s="18" t="n"/>
      <c r="C1961" s="13" t="n"/>
      <c r="D1961" s="13" t="n"/>
      <c r="E1961" s="13" t="n"/>
      <c r="F1961" s="17">
        <f>IF($D1961="","",IFERROR(VLOOKUP($E1961,材料归属,2,0),"※材料类别没选"))</f>
        <v/>
      </c>
      <c r="G1961" s="13" t="n"/>
      <c r="H1961" s="13" t="n"/>
      <c r="I1961" s="13" t="n"/>
      <c r="J1961" s="20" t="n"/>
      <c r="K1961" s="14" t="n"/>
      <c r="L1961" s="19">
        <f>IF($D1961="","",ROUND(IF($J1961="",1,$J1961)*N($K1961),2))</f>
        <v/>
      </c>
      <c r="M1961" s="13" t="n"/>
      <c r="N1961" s="17">
        <f>IF($D1961="","",IF(ISNA(MATCH($D1961,项目名表,0)),"※项目不在项目台账里",IF($F1961="※材料类别没选","※材料类别没选",IF(AND($C1961&lt;&gt;"",ISNA(MATCH($C1961,供应商表,0))),"※供应商不在基础资料里",""))))</f>
        <v/>
      </c>
    </row>
    <row r="1962">
      <c r="A1962" s="17">
        <f>IF($D1962="","",ROW()-3)</f>
        <v/>
      </c>
      <c r="B1962" s="18" t="n"/>
      <c r="C1962" s="13" t="n"/>
      <c r="D1962" s="13" t="n"/>
      <c r="E1962" s="13" t="n"/>
      <c r="F1962" s="17">
        <f>IF($D1962="","",IFERROR(VLOOKUP($E1962,材料归属,2,0),"※材料类别没选"))</f>
        <v/>
      </c>
      <c r="G1962" s="13" t="n"/>
      <c r="H1962" s="13" t="n"/>
      <c r="I1962" s="13" t="n"/>
      <c r="J1962" s="20" t="n"/>
      <c r="K1962" s="14" t="n"/>
      <c r="L1962" s="19">
        <f>IF($D1962="","",ROUND(IF($J1962="",1,$J1962)*N($K1962),2))</f>
        <v/>
      </c>
      <c r="M1962" s="13" t="n"/>
      <c r="N1962" s="17">
        <f>IF($D1962="","",IF(ISNA(MATCH($D1962,项目名表,0)),"※项目不在项目台账里",IF($F1962="※材料类别没选","※材料类别没选",IF(AND($C1962&lt;&gt;"",ISNA(MATCH($C1962,供应商表,0))),"※供应商不在基础资料里",""))))</f>
        <v/>
      </c>
    </row>
    <row r="1963">
      <c r="A1963" s="17">
        <f>IF($D1963="","",ROW()-3)</f>
        <v/>
      </c>
      <c r="B1963" s="18" t="n"/>
      <c r="C1963" s="13" t="n"/>
      <c r="D1963" s="13" t="n"/>
      <c r="E1963" s="13" t="n"/>
      <c r="F1963" s="17">
        <f>IF($D1963="","",IFERROR(VLOOKUP($E1963,材料归属,2,0),"※材料类别没选"))</f>
        <v/>
      </c>
      <c r="G1963" s="13" t="n"/>
      <c r="H1963" s="13" t="n"/>
      <c r="I1963" s="13" t="n"/>
      <c r="J1963" s="20" t="n"/>
      <c r="K1963" s="14" t="n"/>
      <c r="L1963" s="19">
        <f>IF($D1963="","",ROUND(IF($J1963="",1,$J1963)*N($K1963),2))</f>
        <v/>
      </c>
      <c r="M1963" s="13" t="n"/>
      <c r="N1963" s="17">
        <f>IF($D1963="","",IF(ISNA(MATCH($D1963,项目名表,0)),"※项目不在项目台账里",IF($F1963="※材料类别没选","※材料类别没选",IF(AND($C1963&lt;&gt;"",ISNA(MATCH($C1963,供应商表,0))),"※供应商不在基础资料里",""))))</f>
        <v/>
      </c>
    </row>
    <row r="1964">
      <c r="A1964" s="17">
        <f>IF($D1964="","",ROW()-3)</f>
        <v/>
      </c>
      <c r="B1964" s="18" t="n"/>
      <c r="C1964" s="13" t="n"/>
      <c r="D1964" s="13" t="n"/>
      <c r="E1964" s="13" t="n"/>
      <c r="F1964" s="17">
        <f>IF($D1964="","",IFERROR(VLOOKUP($E1964,材料归属,2,0),"※材料类别没选"))</f>
        <v/>
      </c>
      <c r="G1964" s="13" t="n"/>
      <c r="H1964" s="13" t="n"/>
      <c r="I1964" s="13" t="n"/>
      <c r="J1964" s="20" t="n"/>
      <c r="K1964" s="14" t="n"/>
      <c r="L1964" s="19">
        <f>IF($D1964="","",ROUND(IF($J1964="",1,$J1964)*N($K1964),2))</f>
        <v/>
      </c>
      <c r="M1964" s="13" t="n"/>
      <c r="N1964" s="17">
        <f>IF($D1964="","",IF(ISNA(MATCH($D1964,项目名表,0)),"※项目不在项目台账里",IF($F1964="※材料类别没选","※材料类别没选",IF(AND($C1964&lt;&gt;"",ISNA(MATCH($C1964,供应商表,0))),"※供应商不在基础资料里",""))))</f>
        <v/>
      </c>
    </row>
    <row r="1965">
      <c r="A1965" s="17">
        <f>IF($D1965="","",ROW()-3)</f>
        <v/>
      </c>
      <c r="B1965" s="18" t="n"/>
      <c r="C1965" s="13" t="n"/>
      <c r="D1965" s="13" t="n"/>
      <c r="E1965" s="13" t="n"/>
      <c r="F1965" s="17">
        <f>IF($D1965="","",IFERROR(VLOOKUP($E1965,材料归属,2,0),"※材料类别没选"))</f>
        <v/>
      </c>
      <c r="G1965" s="13" t="n"/>
      <c r="H1965" s="13" t="n"/>
      <c r="I1965" s="13" t="n"/>
      <c r="J1965" s="20" t="n"/>
      <c r="K1965" s="14" t="n"/>
      <c r="L1965" s="19">
        <f>IF($D1965="","",ROUND(IF($J1965="",1,$J1965)*N($K1965),2))</f>
        <v/>
      </c>
      <c r="M1965" s="13" t="n"/>
      <c r="N1965" s="17">
        <f>IF($D1965="","",IF(ISNA(MATCH($D1965,项目名表,0)),"※项目不在项目台账里",IF($F1965="※材料类别没选","※材料类别没选",IF(AND($C1965&lt;&gt;"",ISNA(MATCH($C1965,供应商表,0))),"※供应商不在基础资料里",""))))</f>
        <v/>
      </c>
    </row>
    <row r="1966">
      <c r="A1966" s="17">
        <f>IF($D1966="","",ROW()-3)</f>
        <v/>
      </c>
      <c r="B1966" s="18" t="n"/>
      <c r="C1966" s="13" t="n"/>
      <c r="D1966" s="13" t="n"/>
      <c r="E1966" s="13" t="n"/>
      <c r="F1966" s="17">
        <f>IF($D1966="","",IFERROR(VLOOKUP($E1966,材料归属,2,0),"※材料类别没选"))</f>
        <v/>
      </c>
      <c r="G1966" s="13" t="n"/>
      <c r="H1966" s="13" t="n"/>
      <c r="I1966" s="13" t="n"/>
      <c r="J1966" s="20" t="n"/>
      <c r="K1966" s="14" t="n"/>
      <c r="L1966" s="19">
        <f>IF($D1966="","",ROUND(IF($J1966="",1,$J1966)*N($K1966),2))</f>
        <v/>
      </c>
      <c r="M1966" s="13" t="n"/>
      <c r="N1966" s="17">
        <f>IF($D1966="","",IF(ISNA(MATCH($D1966,项目名表,0)),"※项目不在项目台账里",IF($F1966="※材料类别没选","※材料类别没选",IF(AND($C1966&lt;&gt;"",ISNA(MATCH($C1966,供应商表,0))),"※供应商不在基础资料里",""))))</f>
        <v/>
      </c>
    </row>
    <row r="1967">
      <c r="A1967" s="17">
        <f>IF($D1967="","",ROW()-3)</f>
        <v/>
      </c>
      <c r="B1967" s="18" t="n"/>
      <c r="C1967" s="13" t="n"/>
      <c r="D1967" s="13" t="n"/>
      <c r="E1967" s="13" t="n"/>
      <c r="F1967" s="17">
        <f>IF($D1967="","",IFERROR(VLOOKUP($E1967,材料归属,2,0),"※材料类别没选"))</f>
        <v/>
      </c>
      <c r="G1967" s="13" t="n"/>
      <c r="H1967" s="13" t="n"/>
      <c r="I1967" s="13" t="n"/>
      <c r="J1967" s="20" t="n"/>
      <c r="K1967" s="14" t="n"/>
      <c r="L1967" s="19">
        <f>IF($D1967="","",ROUND(IF($J1967="",1,$J1967)*N($K1967),2))</f>
        <v/>
      </c>
      <c r="M1967" s="13" t="n"/>
      <c r="N1967" s="17">
        <f>IF($D1967="","",IF(ISNA(MATCH($D1967,项目名表,0)),"※项目不在项目台账里",IF($F1967="※材料类别没选","※材料类别没选",IF(AND($C1967&lt;&gt;"",ISNA(MATCH($C1967,供应商表,0))),"※供应商不在基础资料里",""))))</f>
        <v/>
      </c>
    </row>
    <row r="1968">
      <c r="A1968" s="17">
        <f>IF($D1968="","",ROW()-3)</f>
        <v/>
      </c>
      <c r="B1968" s="18" t="n"/>
      <c r="C1968" s="13" t="n"/>
      <c r="D1968" s="13" t="n"/>
      <c r="E1968" s="13" t="n"/>
      <c r="F1968" s="17">
        <f>IF($D1968="","",IFERROR(VLOOKUP($E1968,材料归属,2,0),"※材料类别没选"))</f>
        <v/>
      </c>
      <c r="G1968" s="13" t="n"/>
      <c r="H1968" s="13" t="n"/>
      <c r="I1968" s="13" t="n"/>
      <c r="J1968" s="20" t="n"/>
      <c r="K1968" s="14" t="n"/>
      <c r="L1968" s="19">
        <f>IF($D1968="","",ROUND(IF($J1968="",1,$J1968)*N($K1968),2))</f>
        <v/>
      </c>
      <c r="M1968" s="13" t="n"/>
      <c r="N1968" s="17">
        <f>IF($D1968="","",IF(ISNA(MATCH($D1968,项目名表,0)),"※项目不在项目台账里",IF($F1968="※材料类别没选","※材料类别没选",IF(AND($C1968&lt;&gt;"",ISNA(MATCH($C1968,供应商表,0))),"※供应商不在基础资料里",""))))</f>
        <v/>
      </c>
    </row>
    <row r="1969">
      <c r="A1969" s="17">
        <f>IF($D1969="","",ROW()-3)</f>
        <v/>
      </c>
      <c r="B1969" s="18" t="n"/>
      <c r="C1969" s="13" t="n"/>
      <c r="D1969" s="13" t="n"/>
      <c r="E1969" s="13" t="n"/>
      <c r="F1969" s="17">
        <f>IF($D1969="","",IFERROR(VLOOKUP($E1969,材料归属,2,0),"※材料类别没选"))</f>
        <v/>
      </c>
      <c r="G1969" s="13" t="n"/>
      <c r="H1969" s="13" t="n"/>
      <c r="I1969" s="13" t="n"/>
      <c r="J1969" s="20" t="n"/>
      <c r="K1969" s="14" t="n"/>
      <c r="L1969" s="19">
        <f>IF($D1969="","",ROUND(IF($J1969="",1,$J1969)*N($K1969),2))</f>
        <v/>
      </c>
      <c r="M1969" s="13" t="n"/>
      <c r="N1969" s="17">
        <f>IF($D1969="","",IF(ISNA(MATCH($D1969,项目名表,0)),"※项目不在项目台账里",IF($F1969="※材料类别没选","※材料类别没选",IF(AND($C1969&lt;&gt;"",ISNA(MATCH($C1969,供应商表,0))),"※供应商不在基础资料里",""))))</f>
        <v/>
      </c>
    </row>
    <row r="1970">
      <c r="A1970" s="17">
        <f>IF($D1970="","",ROW()-3)</f>
        <v/>
      </c>
      <c r="B1970" s="18" t="n"/>
      <c r="C1970" s="13" t="n"/>
      <c r="D1970" s="13" t="n"/>
      <c r="E1970" s="13" t="n"/>
      <c r="F1970" s="17">
        <f>IF($D1970="","",IFERROR(VLOOKUP($E1970,材料归属,2,0),"※材料类别没选"))</f>
        <v/>
      </c>
      <c r="G1970" s="13" t="n"/>
      <c r="H1970" s="13" t="n"/>
      <c r="I1970" s="13" t="n"/>
      <c r="J1970" s="20" t="n"/>
      <c r="K1970" s="14" t="n"/>
      <c r="L1970" s="19">
        <f>IF($D1970="","",ROUND(IF($J1970="",1,$J1970)*N($K1970),2))</f>
        <v/>
      </c>
      <c r="M1970" s="13" t="n"/>
      <c r="N1970" s="17">
        <f>IF($D1970="","",IF(ISNA(MATCH($D1970,项目名表,0)),"※项目不在项目台账里",IF($F1970="※材料类别没选","※材料类别没选",IF(AND($C1970&lt;&gt;"",ISNA(MATCH($C1970,供应商表,0))),"※供应商不在基础资料里",""))))</f>
        <v/>
      </c>
    </row>
    <row r="1971">
      <c r="A1971" s="17">
        <f>IF($D1971="","",ROW()-3)</f>
        <v/>
      </c>
      <c r="B1971" s="18" t="n"/>
      <c r="C1971" s="13" t="n"/>
      <c r="D1971" s="13" t="n"/>
      <c r="E1971" s="13" t="n"/>
      <c r="F1971" s="17">
        <f>IF($D1971="","",IFERROR(VLOOKUP($E1971,材料归属,2,0),"※材料类别没选"))</f>
        <v/>
      </c>
      <c r="G1971" s="13" t="n"/>
      <c r="H1971" s="13" t="n"/>
      <c r="I1971" s="13" t="n"/>
      <c r="J1971" s="20" t="n"/>
      <c r="K1971" s="14" t="n"/>
      <c r="L1971" s="19">
        <f>IF($D1971="","",ROUND(IF($J1971="",1,$J1971)*N($K1971),2))</f>
        <v/>
      </c>
      <c r="M1971" s="13" t="n"/>
      <c r="N1971" s="17">
        <f>IF($D1971="","",IF(ISNA(MATCH($D1971,项目名表,0)),"※项目不在项目台账里",IF($F1971="※材料类别没选","※材料类别没选",IF(AND($C1971&lt;&gt;"",ISNA(MATCH($C1971,供应商表,0))),"※供应商不在基础资料里",""))))</f>
        <v/>
      </c>
    </row>
    <row r="1972">
      <c r="A1972" s="17">
        <f>IF($D1972="","",ROW()-3)</f>
        <v/>
      </c>
      <c r="B1972" s="18" t="n"/>
      <c r="C1972" s="13" t="n"/>
      <c r="D1972" s="13" t="n"/>
      <c r="E1972" s="13" t="n"/>
      <c r="F1972" s="17">
        <f>IF($D1972="","",IFERROR(VLOOKUP($E1972,材料归属,2,0),"※材料类别没选"))</f>
        <v/>
      </c>
      <c r="G1972" s="13" t="n"/>
      <c r="H1972" s="13" t="n"/>
      <c r="I1972" s="13" t="n"/>
      <c r="J1972" s="20" t="n"/>
      <c r="K1972" s="14" t="n"/>
      <c r="L1972" s="19">
        <f>IF($D1972="","",ROUND(IF($J1972="",1,$J1972)*N($K1972),2))</f>
        <v/>
      </c>
      <c r="M1972" s="13" t="n"/>
      <c r="N1972" s="17">
        <f>IF($D1972="","",IF(ISNA(MATCH($D1972,项目名表,0)),"※项目不在项目台账里",IF($F1972="※材料类别没选","※材料类别没选",IF(AND($C1972&lt;&gt;"",ISNA(MATCH($C1972,供应商表,0))),"※供应商不在基础资料里",""))))</f>
        <v/>
      </c>
    </row>
    <row r="1973">
      <c r="A1973" s="17">
        <f>IF($D1973="","",ROW()-3)</f>
        <v/>
      </c>
      <c r="B1973" s="18" t="n"/>
      <c r="C1973" s="13" t="n"/>
      <c r="D1973" s="13" t="n"/>
      <c r="E1973" s="13" t="n"/>
      <c r="F1973" s="17">
        <f>IF($D1973="","",IFERROR(VLOOKUP($E1973,材料归属,2,0),"※材料类别没选"))</f>
        <v/>
      </c>
      <c r="G1973" s="13" t="n"/>
      <c r="H1973" s="13" t="n"/>
      <c r="I1973" s="13" t="n"/>
      <c r="J1973" s="20" t="n"/>
      <c r="K1973" s="14" t="n"/>
      <c r="L1973" s="19">
        <f>IF($D1973="","",ROUND(IF($J1973="",1,$J1973)*N($K1973),2))</f>
        <v/>
      </c>
      <c r="M1973" s="13" t="n"/>
      <c r="N1973" s="17">
        <f>IF($D1973="","",IF(ISNA(MATCH($D1973,项目名表,0)),"※项目不在项目台账里",IF($F1973="※材料类别没选","※材料类别没选",IF(AND($C1973&lt;&gt;"",ISNA(MATCH($C1973,供应商表,0))),"※供应商不在基础资料里",""))))</f>
        <v/>
      </c>
    </row>
    <row r="1974">
      <c r="A1974" s="17">
        <f>IF($D1974="","",ROW()-3)</f>
        <v/>
      </c>
      <c r="B1974" s="18" t="n"/>
      <c r="C1974" s="13" t="n"/>
      <c r="D1974" s="13" t="n"/>
      <c r="E1974" s="13" t="n"/>
      <c r="F1974" s="17">
        <f>IF($D1974="","",IFERROR(VLOOKUP($E1974,材料归属,2,0),"※材料类别没选"))</f>
        <v/>
      </c>
      <c r="G1974" s="13" t="n"/>
      <c r="H1974" s="13" t="n"/>
      <c r="I1974" s="13" t="n"/>
      <c r="J1974" s="20" t="n"/>
      <c r="K1974" s="14" t="n"/>
      <c r="L1974" s="19">
        <f>IF($D1974="","",ROUND(IF($J1974="",1,$J1974)*N($K1974),2))</f>
        <v/>
      </c>
      <c r="M1974" s="13" t="n"/>
      <c r="N1974" s="17">
        <f>IF($D1974="","",IF(ISNA(MATCH($D1974,项目名表,0)),"※项目不在项目台账里",IF($F1974="※材料类别没选","※材料类别没选",IF(AND($C1974&lt;&gt;"",ISNA(MATCH($C1974,供应商表,0))),"※供应商不在基础资料里",""))))</f>
        <v/>
      </c>
    </row>
    <row r="1975">
      <c r="A1975" s="17">
        <f>IF($D1975="","",ROW()-3)</f>
        <v/>
      </c>
      <c r="B1975" s="18" t="n"/>
      <c r="C1975" s="13" t="n"/>
      <c r="D1975" s="13" t="n"/>
      <c r="E1975" s="13" t="n"/>
      <c r="F1975" s="17">
        <f>IF($D1975="","",IFERROR(VLOOKUP($E1975,材料归属,2,0),"※材料类别没选"))</f>
        <v/>
      </c>
      <c r="G1975" s="13" t="n"/>
      <c r="H1975" s="13" t="n"/>
      <c r="I1975" s="13" t="n"/>
      <c r="J1975" s="20" t="n"/>
      <c r="K1975" s="14" t="n"/>
      <c r="L1975" s="19">
        <f>IF($D1975="","",ROUND(IF($J1975="",1,$J1975)*N($K1975),2))</f>
        <v/>
      </c>
      <c r="M1975" s="13" t="n"/>
      <c r="N1975" s="17">
        <f>IF($D1975="","",IF(ISNA(MATCH($D1975,项目名表,0)),"※项目不在项目台账里",IF($F1975="※材料类别没选","※材料类别没选",IF(AND($C1975&lt;&gt;"",ISNA(MATCH($C1975,供应商表,0))),"※供应商不在基础资料里",""))))</f>
        <v/>
      </c>
    </row>
    <row r="1976">
      <c r="A1976" s="17">
        <f>IF($D1976="","",ROW()-3)</f>
        <v/>
      </c>
      <c r="B1976" s="18" t="n"/>
      <c r="C1976" s="13" t="n"/>
      <c r="D1976" s="13" t="n"/>
      <c r="E1976" s="13" t="n"/>
      <c r="F1976" s="17">
        <f>IF($D1976="","",IFERROR(VLOOKUP($E1976,材料归属,2,0),"※材料类别没选"))</f>
        <v/>
      </c>
      <c r="G1976" s="13" t="n"/>
      <c r="H1976" s="13" t="n"/>
      <c r="I1976" s="13" t="n"/>
      <c r="J1976" s="20" t="n"/>
      <c r="K1976" s="14" t="n"/>
      <c r="L1976" s="19">
        <f>IF($D1976="","",ROUND(IF($J1976="",1,$J1976)*N($K1976),2))</f>
        <v/>
      </c>
      <c r="M1976" s="13" t="n"/>
      <c r="N1976" s="17">
        <f>IF($D1976="","",IF(ISNA(MATCH($D1976,项目名表,0)),"※项目不在项目台账里",IF($F1976="※材料类别没选","※材料类别没选",IF(AND($C1976&lt;&gt;"",ISNA(MATCH($C1976,供应商表,0))),"※供应商不在基础资料里",""))))</f>
        <v/>
      </c>
    </row>
    <row r="1977">
      <c r="A1977" s="17">
        <f>IF($D1977="","",ROW()-3)</f>
        <v/>
      </c>
      <c r="B1977" s="18" t="n"/>
      <c r="C1977" s="13" t="n"/>
      <c r="D1977" s="13" t="n"/>
      <c r="E1977" s="13" t="n"/>
      <c r="F1977" s="17">
        <f>IF($D1977="","",IFERROR(VLOOKUP($E1977,材料归属,2,0),"※材料类别没选"))</f>
        <v/>
      </c>
      <c r="G1977" s="13" t="n"/>
      <c r="H1977" s="13" t="n"/>
      <c r="I1977" s="13" t="n"/>
      <c r="J1977" s="20" t="n"/>
      <c r="K1977" s="14" t="n"/>
      <c r="L1977" s="19">
        <f>IF($D1977="","",ROUND(IF($J1977="",1,$J1977)*N($K1977),2))</f>
        <v/>
      </c>
      <c r="M1977" s="13" t="n"/>
      <c r="N1977" s="17">
        <f>IF($D1977="","",IF(ISNA(MATCH($D1977,项目名表,0)),"※项目不在项目台账里",IF($F1977="※材料类别没选","※材料类别没选",IF(AND($C1977&lt;&gt;"",ISNA(MATCH($C1977,供应商表,0))),"※供应商不在基础资料里",""))))</f>
        <v/>
      </c>
    </row>
    <row r="1978">
      <c r="A1978" s="17">
        <f>IF($D1978="","",ROW()-3)</f>
        <v/>
      </c>
      <c r="B1978" s="18" t="n"/>
      <c r="C1978" s="13" t="n"/>
      <c r="D1978" s="13" t="n"/>
      <c r="E1978" s="13" t="n"/>
      <c r="F1978" s="17">
        <f>IF($D1978="","",IFERROR(VLOOKUP($E1978,材料归属,2,0),"※材料类别没选"))</f>
        <v/>
      </c>
      <c r="G1978" s="13" t="n"/>
      <c r="H1978" s="13" t="n"/>
      <c r="I1978" s="13" t="n"/>
      <c r="J1978" s="20" t="n"/>
      <c r="K1978" s="14" t="n"/>
      <c r="L1978" s="19">
        <f>IF($D1978="","",ROUND(IF($J1978="",1,$J1978)*N($K1978),2))</f>
        <v/>
      </c>
      <c r="M1978" s="13" t="n"/>
      <c r="N1978" s="17">
        <f>IF($D1978="","",IF(ISNA(MATCH($D1978,项目名表,0)),"※项目不在项目台账里",IF($F1978="※材料类别没选","※材料类别没选",IF(AND($C1978&lt;&gt;"",ISNA(MATCH($C1978,供应商表,0))),"※供应商不在基础资料里",""))))</f>
        <v/>
      </c>
    </row>
    <row r="1979">
      <c r="A1979" s="17">
        <f>IF($D1979="","",ROW()-3)</f>
        <v/>
      </c>
      <c r="B1979" s="18" t="n"/>
      <c r="C1979" s="13" t="n"/>
      <c r="D1979" s="13" t="n"/>
      <c r="E1979" s="13" t="n"/>
      <c r="F1979" s="17">
        <f>IF($D1979="","",IFERROR(VLOOKUP($E1979,材料归属,2,0),"※材料类别没选"))</f>
        <v/>
      </c>
      <c r="G1979" s="13" t="n"/>
      <c r="H1979" s="13" t="n"/>
      <c r="I1979" s="13" t="n"/>
      <c r="J1979" s="20" t="n"/>
      <c r="K1979" s="14" t="n"/>
      <c r="L1979" s="19">
        <f>IF($D1979="","",ROUND(IF($J1979="",1,$J1979)*N($K1979),2))</f>
        <v/>
      </c>
      <c r="M1979" s="13" t="n"/>
      <c r="N1979" s="17">
        <f>IF($D1979="","",IF(ISNA(MATCH($D1979,项目名表,0)),"※项目不在项目台账里",IF($F1979="※材料类别没选","※材料类别没选",IF(AND($C1979&lt;&gt;"",ISNA(MATCH($C1979,供应商表,0))),"※供应商不在基础资料里",""))))</f>
        <v/>
      </c>
    </row>
    <row r="1980">
      <c r="A1980" s="17">
        <f>IF($D1980="","",ROW()-3)</f>
        <v/>
      </c>
      <c r="B1980" s="18" t="n"/>
      <c r="C1980" s="13" t="n"/>
      <c r="D1980" s="13" t="n"/>
      <c r="E1980" s="13" t="n"/>
      <c r="F1980" s="17">
        <f>IF($D1980="","",IFERROR(VLOOKUP($E1980,材料归属,2,0),"※材料类别没选"))</f>
        <v/>
      </c>
      <c r="G1980" s="13" t="n"/>
      <c r="H1980" s="13" t="n"/>
      <c r="I1980" s="13" t="n"/>
      <c r="J1980" s="20" t="n"/>
      <c r="K1980" s="14" t="n"/>
      <c r="L1980" s="19">
        <f>IF($D1980="","",ROUND(IF($J1980="",1,$J1980)*N($K1980),2))</f>
        <v/>
      </c>
      <c r="M1980" s="13" t="n"/>
      <c r="N1980" s="17">
        <f>IF($D1980="","",IF(ISNA(MATCH($D1980,项目名表,0)),"※项目不在项目台账里",IF($F1980="※材料类别没选","※材料类别没选",IF(AND($C1980&lt;&gt;"",ISNA(MATCH($C1980,供应商表,0))),"※供应商不在基础资料里",""))))</f>
        <v/>
      </c>
    </row>
    <row r="1981">
      <c r="A1981" s="17">
        <f>IF($D1981="","",ROW()-3)</f>
        <v/>
      </c>
      <c r="B1981" s="18" t="n"/>
      <c r="C1981" s="13" t="n"/>
      <c r="D1981" s="13" t="n"/>
      <c r="E1981" s="13" t="n"/>
      <c r="F1981" s="17">
        <f>IF($D1981="","",IFERROR(VLOOKUP($E1981,材料归属,2,0),"※材料类别没选"))</f>
        <v/>
      </c>
      <c r="G1981" s="13" t="n"/>
      <c r="H1981" s="13" t="n"/>
      <c r="I1981" s="13" t="n"/>
      <c r="J1981" s="20" t="n"/>
      <c r="K1981" s="14" t="n"/>
      <c r="L1981" s="19">
        <f>IF($D1981="","",ROUND(IF($J1981="",1,$J1981)*N($K1981),2))</f>
        <v/>
      </c>
      <c r="M1981" s="13" t="n"/>
      <c r="N1981" s="17">
        <f>IF($D1981="","",IF(ISNA(MATCH($D1981,项目名表,0)),"※项目不在项目台账里",IF($F1981="※材料类别没选","※材料类别没选",IF(AND($C1981&lt;&gt;"",ISNA(MATCH($C1981,供应商表,0))),"※供应商不在基础资料里",""))))</f>
        <v/>
      </c>
    </row>
    <row r="1982">
      <c r="A1982" s="17">
        <f>IF($D1982="","",ROW()-3)</f>
        <v/>
      </c>
      <c r="B1982" s="18" t="n"/>
      <c r="C1982" s="13" t="n"/>
      <c r="D1982" s="13" t="n"/>
      <c r="E1982" s="13" t="n"/>
      <c r="F1982" s="17">
        <f>IF($D1982="","",IFERROR(VLOOKUP($E1982,材料归属,2,0),"※材料类别没选"))</f>
        <v/>
      </c>
      <c r="G1982" s="13" t="n"/>
      <c r="H1982" s="13" t="n"/>
      <c r="I1982" s="13" t="n"/>
      <c r="J1982" s="20" t="n"/>
      <c r="K1982" s="14" t="n"/>
      <c r="L1982" s="19">
        <f>IF($D1982="","",ROUND(IF($J1982="",1,$J1982)*N($K1982),2))</f>
        <v/>
      </c>
      <c r="M1982" s="13" t="n"/>
      <c r="N1982" s="17">
        <f>IF($D1982="","",IF(ISNA(MATCH($D1982,项目名表,0)),"※项目不在项目台账里",IF($F1982="※材料类别没选","※材料类别没选",IF(AND($C1982&lt;&gt;"",ISNA(MATCH($C1982,供应商表,0))),"※供应商不在基础资料里",""))))</f>
        <v/>
      </c>
    </row>
    <row r="1983">
      <c r="A1983" s="17">
        <f>IF($D1983="","",ROW()-3)</f>
        <v/>
      </c>
      <c r="B1983" s="18" t="n"/>
      <c r="C1983" s="13" t="n"/>
      <c r="D1983" s="13" t="n"/>
      <c r="E1983" s="13" t="n"/>
      <c r="F1983" s="17">
        <f>IF($D1983="","",IFERROR(VLOOKUP($E1983,材料归属,2,0),"※材料类别没选"))</f>
        <v/>
      </c>
      <c r="G1983" s="13" t="n"/>
      <c r="H1983" s="13" t="n"/>
      <c r="I1983" s="13" t="n"/>
      <c r="J1983" s="20" t="n"/>
      <c r="K1983" s="14" t="n"/>
      <c r="L1983" s="19">
        <f>IF($D1983="","",ROUND(IF($J1983="",1,$J1983)*N($K1983),2))</f>
        <v/>
      </c>
      <c r="M1983" s="13" t="n"/>
      <c r="N1983" s="17">
        <f>IF($D1983="","",IF(ISNA(MATCH($D1983,项目名表,0)),"※项目不在项目台账里",IF($F1983="※材料类别没选","※材料类别没选",IF(AND($C1983&lt;&gt;"",ISNA(MATCH($C1983,供应商表,0))),"※供应商不在基础资料里",""))))</f>
        <v/>
      </c>
    </row>
    <row r="1984">
      <c r="A1984" s="17">
        <f>IF($D1984="","",ROW()-3)</f>
        <v/>
      </c>
      <c r="B1984" s="18" t="n"/>
      <c r="C1984" s="13" t="n"/>
      <c r="D1984" s="13" t="n"/>
      <c r="E1984" s="13" t="n"/>
      <c r="F1984" s="17">
        <f>IF($D1984="","",IFERROR(VLOOKUP($E1984,材料归属,2,0),"※材料类别没选"))</f>
        <v/>
      </c>
      <c r="G1984" s="13" t="n"/>
      <c r="H1984" s="13" t="n"/>
      <c r="I1984" s="13" t="n"/>
      <c r="J1984" s="20" t="n"/>
      <c r="K1984" s="14" t="n"/>
      <c r="L1984" s="19">
        <f>IF($D1984="","",ROUND(IF($J1984="",1,$J1984)*N($K1984),2))</f>
        <v/>
      </c>
      <c r="M1984" s="13" t="n"/>
      <c r="N1984" s="17">
        <f>IF($D1984="","",IF(ISNA(MATCH($D1984,项目名表,0)),"※项目不在项目台账里",IF($F1984="※材料类别没选","※材料类别没选",IF(AND($C1984&lt;&gt;"",ISNA(MATCH($C1984,供应商表,0))),"※供应商不在基础资料里",""))))</f>
        <v/>
      </c>
    </row>
    <row r="1985">
      <c r="A1985" s="17">
        <f>IF($D1985="","",ROW()-3)</f>
        <v/>
      </c>
      <c r="B1985" s="18" t="n"/>
      <c r="C1985" s="13" t="n"/>
      <c r="D1985" s="13" t="n"/>
      <c r="E1985" s="13" t="n"/>
      <c r="F1985" s="17">
        <f>IF($D1985="","",IFERROR(VLOOKUP($E1985,材料归属,2,0),"※材料类别没选"))</f>
        <v/>
      </c>
      <c r="G1985" s="13" t="n"/>
      <c r="H1985" s="13" t="n"/>
      <c r="I1985" s="13" t="n"/>
      <c r="J1985" s="20" t="n"/>
      <c r="K1985" s="14" t="n"/>
      <c r="L1985" s="19">
        <f>IF($D1985="","",ROUND(IF($J1985="",1,$J1985)*N($K1985),2))</f>
        <v/>
      </c>
      <c r="M1985" s="13" t="n"/>
      <c r="N1985" s="17">
        <f>IF($D1985="","",IF(ISNA(MATCH($D1985,项目名表,0)),"※项目不在项目台账里",IF($F1985="※材料类别没选","※材料类别没选",IF(AND($C1985&lt;&gt;"",ISNA(MATCH($C1985,供应商表,0))),"※供应商不在基础资料里",""))))</f>
        <v/>
      </c>
    </row>
    <row r="1986">
      <c r="A1986" s="17">
        <f>IF($D1986="","",ROW()-3)</f>
        <v/>
      </c>
      <c r="B1986" s="18" t="n"/>
      <c r="C1986" s="13" t="n"/>
      <c r="D1986" s="13" t="n"/>
      <c r="E1986" s="13" t="n"/>
      <c r="F1986" s="17">
        <f>IF($D1986="","",IFERROR(VLOOKUP($E1986,材料归属,2,0),"※材料类别没选"))</f>
        <v/>
      </c>
      <c r="G1986" s="13" t="n"/>
      <c r="H1986" s="13" t="n"/>
      <c r="I1986" s="13" t="n"/>
      <c r="J1986" s="20" t="n"/>
      <c r="K1986" s="14" t="n"/>
      <c r="L1986" s="19">
        <f>IF($D1986="","",ROUND(IF($J1986="",1,$J1986)*N($K1986),2))</f>
        <v/>
      </c>
      <c r="M1986" s="13" t="n"/>
      <c r="N1986" s="17">
        <f>IF($D1986="","",IF(ISNA(MATCH($D1986,项目名表,0)),"※项目不在项目台账里",IF($F1986="※材料类别没选","※材料类别没选",IF(AND($C1986&lt;&gt;"",ISNA(MATCH($C1986,供应商表,0))),"※供应商不在基础资料里",""))))</f>
        <v/>
      </c>
    </row>
    <row r="1987">
      <c r="A1987" s="17">
        <f>IF($D1987="","",ROW()-3)</f>
        <v/>
      </c>
      <c r="B1987" s="18" t="n"/>
      <c r="C1987" s="13" t="n"/>
      <c r="D1987" s="13" t="n"/>
      <c r="E1987" s="13" t="n"/>
      <c r="F1987" s="17">
        <f>IF($D1987="","",IFERROR(VLOOKUP($E1987,材料归属,2,0),"※材料类别没选"))</f>
        <v/>
      </c>
      <c r="G1987" s="13" t="n"/>
      <c r="H1987" s="13" t="n"/>
      <c r="I1987" s="13" t="n"/>
      <c r="J1987" s="20" t="n"/>
      <c r="K1987" s="14" t="n"/>
      <c r="L1987" s="19">
        <f>IF($D1987="","",ROUND(IF($J1987="",1,$J1987)*N($K1987),2))</f>
        <v/>
      </c>
      <c r="M1987" s="13" t="n"/>
      <c r="N1987" s="17">
        <f>IF($D1987="","",IF(ISNA(MATCH($D1987,项目名表,0)),"※项目不在项目台账里",IF($F1987="※材料类别没选","※材料类别没选",IF(AND($C1987&lt;&gt;"",ISNA(MATCH($C1987,供应商表,0))),"※供应商不在基础资料里",""))))</f>
        <v/>
      </c>
    </row>
    <row r="1988">
      <c r="A1988" s="17">
        <f>IF($D1988="","",ROW()-3)</f>
        <v/>
      </c>
      <c r="B1988" s="18" t="n"/>
      <c r="C1988" s="13" t="n"/>
      <c r="D1988" s="13" t="n"/>
      <c r="E1988" s="13" t="n"/>
      <c r="F1988" s="17">
        <f>IF($D1988="","",IFERROR(VLOOKUP($E1988,材料归属,2,0),"※材料类别没选"))</f>
        <v/>
      </c>
      <c r="G1988" s="13" t="n"/>
      <c r="H1988" s="13" t="n"/>
      <c r="I1988" s="13" t="n"/>
      <c r="J1988" s="20" t="n"/>
      <c r="K1988" s="14" t="n"/>
      <c r="L1988" s="19">
        <f>IF($D1988="","",ROUND(IF($J1988="",1,$J1988)*N($K1988),2))</f>
        <v/>
      </c>
      <c r="M1988" s="13" t="n"/>
      <c r="N1988" s="17">
        <f>IF($D1988="","",IF(ISNA(MATCH($D1988,项目名表,0)),"※项目不在项目台账里",IF($F1988="※材料类别没选","※材料类别没选",IF(AND($C1988&lt;&gt;"",ISNA(MATCH($C1988,供应商表,0))),"※供应商不在基础资料里",""))))</f>
        <v/>
      </c>
    </row>
    <row r="1989">
      <c r="A1989" s="17">
        <f>IF($D1989="","",ROW()-3)</f>
        <v/>
      </c>
      <c r="B1989" s="18" t="n"/>
      <c r="C1989" s="13" t="n"/>
      <c r="D1989" s="13" t="n"/>
      <c r="E1989" s="13" t="n"/>
      <c r="F1989" s="17">
        <f>IF($D1989="","",IFERROR(VLOOKUP($E1989,材料归属,2,0),"※材料类别没选"))</f>
        <v/>
      </c>
      <c r="G1989" s="13" t="n"/>
      <c r="H1989" s="13" t="n"/>
      <c r="I1989" s="13" t="n"/>
      <c r="J1989" s="20" t="n"/>
      <c r="K1989" s="14" t="n"/>
      <c r="L1989" s="19">
        <f>IF($D1989="","",ROUND(IF($J1989="",1,$J1989)*N($K1989),2))</f>
        <v/>
      </c>
      <c r="M1989" s="13" t="n"/>
      <c r="N1989" s="17">
        <f>IF($D1989="","",IF(ISNA(MATCH($D1989,项目名表,0)),"※项目不在项目台账里",IF($F1989="※材料类别没选","※材料类别没选",IF(AND($C1989&lt;&gt;"",ISNA(MATCH($C1989,供应商表,0))),"※供应商不在基础资料里",""))))</f>
        <v/>
      </c>
    </row>
    <row r="1990">
      <c r="A1990" s="17">
        <f>IF($D1990="","",ROW()-3)</f>
        <v/>
      </c>
      <c r="B1990" s="18" t="n"/>
      <c r="C1990" s="13" t="n"/>
      <c r="D1990" s="13" t="n"/>
      <c r="E1990" s="13" t="n"/>
      <c r="F1990" s="17">
        <f>IF($D1990="","",IFERROR(VLOOKUP($E1990,材料归属,2,0),"※材料类别没选"))</f>
        <v/>
      </c>
      <c r="G1990" s="13" t="n"/>
      <c r="H1990" s="13" t="n"/>
      <c r="I1990" s="13" t="n"/>
      <c r="J1990" s="20" t="n"/>
      <c r="K1990" s="14" t="n"/>
      <c r="L1990" s="19">
        <f>IF($D1990="","",ROUND(IF($J1990="",1,$J1990)*N($K1990),2))</f>
        <v/>
      </c>
      <c r="M1990" s="13" t="n"/>
      <c r="N1990" s="17">
        <f>IF($D1990="","",IF(ISNA(MATCH($D1990,项目名表,0)),"※项目不在项目台账里",IF($F1990="※材料类别没选","※材料类别没选",IF(AND($C1990&lt;&gt;"",ISNA(MATCH($C1990,供应商表,0))),"※供应商不在基础资料里",""))))</f>
        <v/>
      </c>
    </row>
    <row r="1991">
      <c r="A1991" s="17">
        <f>IF($D1991="","",ROW()-3)</f>
        <v/>
      </c>
      <c r="B1991" s="18" t="n"/>
      <c r="C1991" s="13" t="n"/>
      <c r="D1991" s="13" t="n"/>
      <c r="E1991" s="13" t="n"/>
      <c r="F1991" s="17">
        <f>IF($D1991="","",IFERROR(VLOOKUP($E1991,材料归属,2,0),"※材料类别没选"))</f>
        <v/>
      </c>
      <c r="G1991" s="13" t="n"/>
      <c r="H1991" s="13" t="n"/>
      <c r="I1991" s="13" t="n"/>
      <c r="J1991" s="20" t="n"/>
      <c r="K1991" s="14" t="n"/>
      <c r="L1991" s="19">
        <f>IF($D1991="","",ROUND(IF($J1991="",1,$J1991)*N($K1991),2))</f>
        <v/>
      </c>
      <c r="M1991" s="13" t="n"/>
      <c r="N1991" s="17">
        <f>IF($D1991="","",IF(ISNA(MATCH($D1991,项目名表,0)),"※项目不在项目台账里",IF($F1991="※材料类别没选","※材料类别没选",IF(AND($C1991&lt;&gt;"",ISNA(MATCH($C1991,供应商表,0))),"※供应商不在基础资料里",""))))</f>
        <v/>
      </c>
    </row>
    <row r="1992">
      <c r="A1992" s="17">
        <f>IF($D1992="","",ROW()-3)</f>
        <v/>
      </c>
      <c r="B1992" s="18" t="n"/>
      <c r="C1992" s="13" t="n"/>
      <c r="D1992" s="13" t="n"/>
      <c r="E1992" s="13" t="n"/>
      <c r="F1992" s="17">
        <f>IF($D1992="","",IFERROR(VLOOKUP($E1992,材料归属,2,0),"※材料类别没选"))</f>
        <v/>
      </c>
      <c r="G1992" s="13" t="n"/>
      <c r="H1992" s="13" t="n"/>
      <c r="I1992" s="13" t="n"/>
      <c r="J1992" s="20" t="n"/>
      <c r="K1992" s="14" t="n"/>
      <c r="L1992" s="19">
        <f>IF($D1992="","",ROUND(IF($J1992="",1,$J1992)*N($K1992),2))</f>
        <v/>
      </c>
      <c r="M1992" s="13" t="n"/>
      <c r="N1992" s="17">
        <f>IF($D1992="","",IF(ISNA(MATCH($D1992,项目名表,0)),"※项目不在项目台账里",IF($F1992="※材料类别没选","※材料类别没选",IF(AND($C1992&lt;&gt;"",ISNA(MATCH($C1992,供应商表,0))),"※供应商不在基础资料里",""))))</f>
        <v/>
      </c>
    </row>
    <row r="1993">
      <c r="A1993" s="17">
        <f>IF($D1993="","",ROW()-3)</f>
        <v/>
      </c>
      <c r="B1993" s="18" t="n"/>
      <c r="C1993" s="13" t="n"/>
      <c r="D1993" s="13" t="n"/>
      <c r="E1993" s="13" t="n"/>
      <c r="F1993" s="17">
        <f>IF($D1993="","",IFERROR(VLOOKUP($E1993,材料归属,2,0),"※材料类别没选"))</f>
        <v/>
      </c>
      <c r="G1993" s="13" t="n"/>
      <c r="H1993" s="13" t="n"/>
      <c r="I1993" s="13" t="n"/>
      <c r="J1993" s="20" t="n"/>
      <c r="K1993" s="14" t="n"/>
      <c r="L1993" s="19">
        <f>IF($D1993="","",ROUND(IF($J1993="",1,$J1993)*N($K1993),2))</f>
        <v/>
      </c>
      <c r="M1993" s="13" t="n"/>
      <c r="N1993" s="17">
        <f>IF($D1993="","",IF(ISNA(MATCH($D1993,项目名表,0)),"※项目不在项目台账里",IF($F1993="※材料类别没选","※材料类别没选",IF(AND($C1993&lt;&gt;"",ISNA(MATCH($C1993,供应商表,0))),"※供应商不在基础资料里",""))))</f>
        <v/>
      </c>
    </row>
    <row r="1994">
      <c r="A1994" s="17">
        <f>IF($D1994="","",ROW()-3)</f>
        <v/>
      </c>
      <c r="B1994" s="18" t="n"/>
      <c r="C1994" s="13" t="n"/>
      <c r="D1994" s="13" t="n"/>
      <c r="E1994" s="13" t="n"/>
      <c r="F1994" s="17">
        <f>IF($D1994="","",IFERROR(VLOOKUP($E1994,材料归属,2,0),"※材料类别没选"))</f>
        <v/>
      </c>
      <c r="G1994" s="13" t="n"/>
      <c r="H1994" s="13" t="n"/>
      <c r="I1994" s="13" t="n"/>
      <c r="J1994" s="20" t="n"/>
      <c r="K1994" s="14" t="n"/>
      <c r="L1994" s="19">
        <f>IF($D1994="","",ROUND(IF($J1994="",1,$J1994)*N($K1994),2))</f>
        <v/>
      </c>
      <c r="M1994" s="13" t="n"/>
      <c r="N1994" s="17">
        <f>IF($D1994="","",IF(ISNA(MATCH($D1994,项目名表,0)),"※项目不在项目台账里",IF($F1994="※材料类别没选","※材料类别没选",IF(AND($C1994&lt;&gt;"",ISNA(MATCH($C1994,供应商表,0))),"※供应商不在基础资料里",""))))</f>
        <v/>
      </c>
    </row>
    <row r="1995">
      <c r="A1995" s="17">
        <f>IF($D1995="","",ROW()-3)</f>
        <v/>
      </c>
      <c r="B1995" s="18" t="n"/>
      <c r="C1995" s="13" t="n"/>
      <c r="D1995" s="13" t="n"/>
      <c r="E1995" s="13" t="n"/>
      <c r="F1995" s="17">
        <f>IF($D1995="","",IFERROR(VLOOKUP($E1995,材料归属,2,0),"※材料类别没选"))</f>
        <v/>
      </c>
      <c r="G1995" s="13" t="n"/>
      <c r="H1995" s="13" t="n"/>
      <c r="I1995" s="13" t="n"/>
      <c r="J1995" s="20" t="n"/>
      <c r="K1995" s="14" t="n"/>
      <c r="L1995" s="19">
        <f>IF($D1995="","",ROUND(IF($J1995="",1,$J1995)*N($K1995),2))</f>
        <v/>
      </c>
      <c r="M1995" s="13" t="n"/>
      <c r="N1995" s="17">
        <f>IF($D1995="","",IF(ISNA(MATCH($D1995,项目名表,0)),"※项目不在项目台账里",IF($F1995="※材料类别没选","※材料类别没选",IF(AND($C1995&lt;&gt;"",ISNA(MATCH($C1995,供应商表,0))),"※供应商不在基础资料里",""))))</f>
        <v/>
      </c>
    </row>
    <row r="1996">
      <c r="A1996" s="17">
        <f>IF($D1996="","",ROW()-3)</f>
        <v/>
      </c>
      <c r="B1996" s="18" t="n"/>
      <c r="C1996" s="13" t="n"/>
      <c r="D1996" s="13" t="n"/>
      <c r="E1996" s="13" t="n"/>
      <c r="F1996" s="17">
        <f>IF($D1996="","",IFERROR(VLOOKUP($E1996,材料归属,2,0),"※材料类别没选"))</f>
        <v/>
      </c>
      <c r="G1996" s="13" t="n"/>
      <c r="H1996" s="13" t="n"/>
      <c r="I1996" s="13" t="n"/>
      <c r="J1996" s="20" t="n"/>
      <c r="K1996" s="14" t="n"/>
      <c r="L1996" s="19">
        <f>IF($D1996="","",ROUND(IF($J1996="",1,$J1996)*N($K1996),2))</f>
        <v/>
      </c>
      <c r="M1996" s="13" t="n"/>
      <c r="N1996" s="17">
        <f>IF($D1996="","",IF(ISNA(MATCH($D1996,项目名表,0)),"※项目不在项目台账里",IF($F1996="※材料类别没选","※材料类别没选",IF(AND($C1996&lt;&gt;"",ISNA(MATCH($C1996,供应商表,0))),"※供应商不在基础资料里",""))))</f>
        <v/>
      </c>
    </row>
    <row r="1997">
      <c r="A1997" s="17">
        <f>IF($D1997="","",ROW()-3)</f>
        <v/>
      </c>
      <c r="B1997" s="18" t="n"/>
      <c r="C1997" s="13" t="n"/>
      <c r="D1997" s="13" t="n"/>
      <c r="E1997" s="13" t="n"/>
      <c r="F1997" s="17">
        <f>IF($D1997="","",IFERROR(VLOOKUP($E1997,材料归属,2,0),"※材料类别没选"))</f>
        <v/>
      </c>
      <c r="G1997" s="13" t="n"/>
      <c r="H1997" s="13" t="n"/>
      <c r="I1997" s="13" t="n"/>
      <c r="J1997" s="20" t="n"/>
      <c r="K1997" s="14" t="n"/>
      <c r="L1997" s="19">
        <f>IF($D1997="","",ROUND(IF($J1997="",1,$J1997)*N($K1997),2))</f>
        <v/>
      </c>
      <c r="M1997" s="13" t="n"/>
      <c r="N1997" s="17">
        <f>IF($D1997="","",IF(ISNA(MATCH($D1997,项目名表,0)),"※项目不在项目台账里",IF($F1997="※材料类别没选","※材料类别没选",IF(AND($C1997&lt;&gt;"",ISNA(MATCH($C1997,供应商表,0))),"※供应商不在基础资料里",""))))</f>
        <v/>
      </c>
    </row>
    <row r="1998">
      <c r="A1998" s="17">
        <f>IF($D1998="","",ROW()-3)</f>
        <v/>
      </c>
      <c r="B1998" s="18" t="n"/>
      <c r="C1998" s="13" t="n"/>
      <c r="D1998" s="13" t="n"/>
      <c r="E1998" s="13" t="n"/>
      <c r="F1998" s="17">
        <f>IF($D1998="","",IFERROR(VLOOKUP($E1998,材料归属,2,0),"※材料类别没选"))</f>
        <v/>
      </c>
      <c r="G1998" s="13" t="n"/>
      <c r="H1998" s="13" t="n"/>
      <c r="I1998" s="13" t="n"/>
      <c r="J1998" s="20" t="n"/>
      <c r="K1998" s="14" t="n"/>
      <c r="L1998" s="19">
        <f>IF($D1998="","",ROUND(IF($J1998="",1,$J1998)*N($K1998),2))</f>
        <v/>
      </c>
      <c r="M1998" s="13" t="n"/>
      <c r="N1998" s="17">
        <f>IF($D1998="","",IF(ISNA(MATCH($D1998,项目名表,0)),"※项目不在项目台账里",IF($F1998="※材料类别没选","※材料类别没选",IF(AND($C1998&lt;&gt;"",ISNA(MATCH($C1998,供应商表,0))),"※供应商不在基础资料里",""))))</f>
        <v/>
      </c>
    </row>
    <row r="1999">
      <c r="A1999" s="17">
        <f>IF($D1999="","",ROW()-3)</f>
        <v/>
      </c>
      <c r="B1999" s="18" t="n"/>
      <c r="C1999" s="13" t="n"/>
      <c r="D1999" s="13" t="n"/>
      <c r="E1999" s="13" t="n"/>
      <c r="F1999" s="17">
        <f>IF($D1999="","",IFERROR(VLOOKUP($E1999,材料归属,2,0),"※材料类别没选"))</f>
        <v/>
      </c>
      <c r="G1999" s="13" t="n"/>
      <c r="H1999" s="13" t="n"/>
      <c r="I1999" s="13" t="n"/>
      <c r="J1999" s="20" t="n"/>
      <c r="K1999" s="14" t="n"/>
      <c r="L1999" s="19">
        <f>IF($D1999="","",ROUND(IF($J1999="",1,$J1999)*N($K1999),2))</f>
        <v/>
      </c>
      <c r="M1999" s="13" t="n"/>
      <c r="N1999" s="17">
        <f>IF($D1999="","",IF(ISNA(MATCH($D1999,项目名表,0)),"※项目不在项目台账里",IF($F1999="※材料类别没选","※材料类别没选",IF(AND($C1999&lt;&gt;"",ISNA(MATCH($C1999,供应商表,0))),"※供应商不在基础资料里",""))))</f>
        <v/>
      </c>
    </row>
    <row r="2000">
      <c r="A2000" s="17">
        <f>IF($D2000="","",ROW()-3)</f>
        <v/>
      </c>
      <c r="B2000" s="18" t="n"/>
      <c r="C2000" s="13" t="n"/>
      <c r="D2000" s="13" t="n"/>
      <c r="E2000" s="13" t="n"/>
      <c r="F2000" s="17">
        <f>IF($D2000="","",IFERROR(VLOOKUP($E2000,材料归属,2,0),"※材料类别没选"))</f>
        <v/>
      </c>
      <c r="G2000" s="13" t="n"/>
      <c r="H2000" s="13" t="n"/>
      <c r="I2000" s="13" t="n"/>
      <c r="J2000" s="20" t="n"/>
      <c r="K2000" s="14" t="n"/>
      <c r="L2000" s="19">
        <f>IF($D2000="","",ROUND(IF($J2000="",1,$J2000)*N($K2000),2))</f>
        <v/>
      </c>
      <c r="M2000" s="13" t="n"/>
      <c r="N2000" s="17">
        <f>IF($D2000="","",IF(ISNA(MATCH($D2000,项目名表,0)),"※项目不在项目台账里",IF($F2000="※材料类别没选","※材料类别没选",IF(AND($C2000&lt;&gt;"",ISNA(MATCH($C2000,供应商表,0))),"※供应商不在基础资料里",""))))</f>
        <v/>
      </c>
    </row>
    <row r="2001">
      <c r="A2001" s="17">
        <f>IF($D2001="","",ROW()-3)</f>
        <v/>
      </c>
      <c r="B2001" s="18" t="n"/>
      <c r="C2001" s="13" t="n"/>
      <c r="D2001" s="13" t="n"/>
      <c r="E2001" s="13" t="n"/>
      <c r="F2001" s="17">
        <f>IF($D2001="","",IFERROR(VLOOKUP($E2001,材料归属,2,0),"※材料类别没选"))</f>
        <v/>
      </c>
      <c r="G2001" s="13" t="n"/>
      <c r="H2001" s="13" t="n"/>
      <c r="I2001" s="13" t="n"/>
      <c r="J2001" s="20" t="n"/>
      <c r="K2001" s="14" t="n"/>
      <c r="L2001" s="19">
        <f>IF($D2001="","",ROUND(IF($J2001="",1,$J2001)*N($K2001),2))</f>
        <v/>
      </c>
      <c r="M2001" s="13" t="n"/>
      <c r="N2001" s="17">
        <f>IF($D2001="","",IF(ISNA(MATCH($D2001,项目名表,0)),"※项目不在项目台账里",IF($F2001="※材料类别没选","※材料类别没选",IF(AND($C2001&lt;&gt;"",ISNA(MATCH($C2001,供应商表,0))),"※供应商不在基础资料里",""))))</f>
        <v/>
      </c>
    </row>
    <row r="2002">
      <c r="A2002" s="17">
        <f>IF($D2002="","",ROW()-3)</f>
        <v/>
      </c>
      <c r="B2002" s="18" t="n"/>
      <c r="C2002" s="13" t="n"/>
      <c r="D2002" s="13" t="n"/>
      <c r="E2002" s="13" t="n"/>
      <c r="F2002" s="17">
        <f>IF($D2002="","",IFERROR(VLOOKUP($E2002,材料归属,2,0),"※材料类别没选"))</f>
        <v/>
      </c>
      <c r="G2002" s="13" t="n"/>
      <c r="H2002" s="13" t="n"/>
      <c r="I2002" s="13" t="n"/>
      <c r="J2002" s="20" t="n"/>
      <c r="K2002" s="14" t="n"/>
      <c r="L2002" s="19">
        <f>IF($D2002="","",ROUND(IF($J2002="",1,$J2002)*N($K2002),2))</f>
        <v/>
      </c>
      <c r="M2002" s="13" t="n"/>
      <c r="N2002" s="17">
        <f>IF($D2002="","",IF(ISNA(MATCH($D2002,项目名表,0)),"※项目不在项目台账里",IF($F2002="※材料类别没选","※材料类别没选",IF(AND($C2002&lt;&gt;"",ISNA(MATCH($C2002,供应商表,0))),"※供应商不在基础资料里",""))))</f>
        <v/>
      </c>
    </row>
    <row r="2003">
      <c r="A2003" s="17">
        <f>IF($D2003="","",ROW()-3)</f>
        <v/>
      </c>
      <c r="B2003" s="18" t="n"/>
      <c r="C2003" s="13" t="n"/>
      <c r="D2003" s="13" t="n"/>
      <c r="E2003" s="13" t="n"/>
      <c r="F2003" s="17">
        <f>IF($D2003="","",IFERROR(VLOOKUP($E2003,材料归属,2,0),"※材料类别没选"))</f>
        <v/>
      </c>
      <c r="G2003" s="13" t="n"/>
      <c r="H2003" s="13" t="n"/>
      <c r="I2003" s="13" t="n"/>
      <c r="J2003" s="20" t="n"/>
      <c r="K2003" s="14" t="n"/>
      <c r="L2003" s="19">
        <f>IF($D2003="","",ROUND(IF($J2003="",1,$J2003)*N($K2003),2))</f>
        <v/>
      </c>
      <c r="M2003" s="13" t="n"/>
      <c r="N2003" s="17">
        <f>IF($D2003="","",IF(ISNA(MATCH($D2003,项目名表,0)),"※项目不在项目台账里",IF($F2003="※材料类别没选","※材料类别没选",IF(AND($C2003&lt;&gt;"",ISNA(MATCH($C2003,供应商表,0))),"※供应商不在基础资料里",""))))</f>
        <v/>
      </c>
    </row>
  </sheetData>
  <autoFilter ref="A3:N2003"/>
  <mergeCells count="2">
    <mergeCell ref="A2:N2"/>
    <mergeCell ref="A1:N1"/>
  </mergeCells>
  <conditionalFormatting sqref="F4:F2003">
    <cfRule type="expression" priority="1" dxfId="0">
      <formula>LEFT(F4,1)="※"</formula>
    </cfRule>
  </conditionalFormatting>
  <conditionalFormatting sqref="N4:N2003">
    <cfRule type="expression" priority="2" dxfId="0">
      <formula>LEFT(N4,1)="※"</formula>
    </cfRule>
  </conditionalFormatting>
  <dataValidations count="4">
    <dataValidation sqref="C4:C2003" showDropDown="0" showInputMessage="0" showErrorMessage="1" allowBlank="1" errorTitle="这一项没在名单里" error="不在名单里。先去【基础资料】把它加上，或者直接选一个已有的。" type="list" errorStyle="warning">
      <formula1>=供应商表</formula1>
    </dataValidation>
    <dataValidation sqref="D4:D2003" showDropDown="0" showInputMessage="0" showErrorMessage="1" allowBlank="1" errorTitle="这一项没在名单里" error="不在名单里。先去【基础资料】把它加上，或者直接选一个已有的。" type="list" errorStyle="warning">
      <formula1>=项目名表</formula1>
    </dataValidation>
    <dataValidation sqref="E4:E2003" showDropDown="0" showInputMessage="0" showErrorMessage="1" allowBlank="1" errorTitle="这一项没在名单里" error="不在名单里。先去【基础资料】把它加上，或者直接选一个已有的。" type="list" errorStyle="stop">
      <formula1>=材料类别表</formula1>
    </dataValidation>
    <dataValidation sqref="I4:I2003" showDropDown="0" showInputMessage="0" showErrorMessage="1" allowBlank="1" errorTitle="这一项没在名单里" error="不在名单里。先去【基础资料】把它加上，或者直接选一个已有的。" type="list" errorStyle="warning">
      <formula1>=单位表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M1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3" customWidth="1" min="4" max="4"/>
    <col width="12" customWidth="1" min="5" max="5"/>
    <col width="14" customWidth="1" min="6" max="6"/>
    <col width="8" customWidth="1" min="7" max="7"/>
    <col width="10" customWidth="1" min="8" max="8"/>
    <col width="10" customWidth="1" min="9" max="9"/>
    <col width="13" customWidth="1" min="10" max="10"/>
    <col width="11" customWidth="1" min="11" max="11"/>
    <col width="22" customWidth="1" min="12" max="12"/>
    <col width="24" customWidth="1" min="13" max="13"/>
  </cols>
  <sheetData>
    <row r="1" ht="30" customHeight="1">
      <c r="A1" s="1" t="inlineStr">
        <is>
          <t>生产安装 · 设计 / 制作 / 安装岗位填</t>
        </is>
      </c>
    </row>
    <row r="2" ht="22" customHeight="1">
      <c r="A2" s="2" t="inlineStr">
        <is>
          <t>设计费、制作工时、安装工时、加班、外叫小工、吊车租车都记这里，按项目分开记，会自动进项目成本。</t>
        </is>
      </c>
    </row>
    <row r="3" ht="34" customHeight="1">
      <c r="A3" s="16" t="inlineStr">
        <is>
          <t>序号</t>
        </is>
      </c>
      <c r="B3" s="16" t="inlineStr">
        <is>
          <t>日期 ★</t>
        </is>
      </c>
      <c r="C3" s="16" t="inlineStr">
        <is>
          <t>项目名称 ★</t>
        </is>
      </c>
      <c r="D3" s="16" t="inlineStr">
        <is>
          <t>工作类型 ★</t>
        </is>
      </c>
      <c r="E3" s="16" t="inlineStr">
        <is>
          <t>成本归属</t>
        </is>
      </c>
      <c r="F3" s="16" t="inlineStr">
        <is>
          <t>人员 / 班组</t>
        </is>
      </c>
      <c r="G3" s="16" t="inlineStr">
        <is>
          <t>单位</t>
        </is>
      </c>
      <c r="H3" s="16" t="inlineStr">
        <is>
          <t>数量</t>
        </is>
      </c>
      <c r="I3" s="16" t="inlineStr">
        <is>
          <t>单价</t>
        </is>
      </c>
      <c r="J3" s="16" t="inlineStr">
        <is>
          <t>金额</t>
        </is>
      </c>
      <c r="K3" s="16" t="inlineStr">
        <is>
          <t>自有/外叫</t>
        </is>
      </c>
      <c r="L3" s="16" t="inlineStr">
        <is>
          <t>备注</t>
        </is>
      </c>
      <c r="M3" s="16" t="inlineStr">
        <is>
          <t>核对</t>
        </is>
      </c>
    </row>
    <row r="4">
      <c r="A4" s="17">
        <f>IF($C4="","",ROW()-3)</f>
        <v/>
      </c>
      <c r="B4" s="18" t="n">
        <v>46043</v>
      </c>
      <c r="C4" s="13" t="inlineStr">
        <is>
          <t>南浔美食城</t>
        </is>
      </c>
      <c r="D4" s="13" t="inlineStr">
        <is>
          <t>安装工时</t>
        </is>
      </c>
      <c r="E4" s="17">
        <f>IF($C4="","",IFERROR(VLOOKUP($D4,工作归属,2,0),"※工作类型没选"))</f>
        <v/>
      </c>
      <c r="F4" s="13" t="n"/>
      <c r="G4" s="13" t="inlineStr">
        <is>
          <t>工</t>
        </is>
      </c>
      <c r="H4" s="20" t="n">
        <v>12</v>
      </c>
      <c r="I4" s="14" t="n">
        <v>450</v>
      </c>
      <c r="J4" s="19">
        <f>IF($C4="","",ROUND(IF($H4="",1,$H4)*N($I4),2))</f>
        <v/>
      </c>
      <c r="K4" s="13" t="n"/>
      <c r="L4" s="13" t="inlineStr">
        <is>
          <t>原表·人工</t>
        </is>
      </c>
      <c r="M4" s="17">
        <f>IF($C4="","",IF(ISNA(MATCH($C4,项目名表,0)),"※项目不在项目台账里",IF($E4="※工作类型没选","※工作类型没选","")))</f>
        <v/>
      </c>
    </row>
    <row r="5">
      <c r="A5" s="17">
        <f>IF($C5="","",ROW()-3)</f>
        <v/>
      </c>
      <c r="B5" s="18" t="n">
        <v>46043</v>
      </c>
      <c r="C5" s="13" t="inlineStr">
        <is>
          <t>南浔美食城</t>
        </is>
      </c>
      <c r="D5" s="13" t="inlineStr">
        <is>
          <t>吊车/租车</t>
        </is>
      </c>
      <c r="E5" s="17">
        <f>IF($C5="","",IFERROR(VLOOKUP($D5,工作归属,2,0),"※工作类型没选"))</f>
        <v/>
      </c>
      <c r="F5" s="13" t="n"/>
      <c r="G5" s="13" t="inlineStr">
        <is>
          <t>趟</t>
        </is>
      </c>
      <c r="H5" s="20" t="n">
        <v>6</v>
      </c>
      <c r="I5" s="14" t="n">
        <v>100</v>
      </c>
      <c r="J5" s="19">
        <f>IF($C5="","",ROUND(IF($H5="",1,$H5)*N($I5),2))</f>
        <v/>
      </c>
      <c r="K5" s="13" t="n"/>
      <c r="L5" s="13" t="inlineStr">
        <is>
          <t>原表·小车费</t>
        </is>
      </c>
      <c r="M5" s="17">
        <f>IF($C5="","",IF(ISNA(MATCH($C5,项目名表,0)),"※项目不在项目台账里",IF($E5="※工作类型没选","※工作类型没选","")))</f>
        <v/>
      </c>
    </row>
    <row r="6">
      <c r="A6" s="17">
        <f>IF($C6="","",ROW()-3)</f>
        <v/>
      </c>
      <c r="B6" s="18" t="n">
        <v>46060</v>
      </c>
      <c r="C6" s="13" t="inlineStr">
        <is>
          <t>德清津华钢铁</t>
        </is>
      </c>
      <c r="D6" s="13" t="inlineStr">
        <is>
          <t>安装工时</t>
        </is>
      </c>
      <c r="E6" s="17">
        <f>IF($C6="","",IFERROR(VLOOKUP($D6,工作归属,2,0),"※工作类型没选"))</f>
        <v/>
      </c>
      <c r="F6" s="13" t="n"/>
      <c r="G6" s="13" t="inlineStr">
        <is>
          <t>工</t>
        </is>
      </c>
      <c r="H6" s="20" t="n">
        <v>2</v>
      </c>
      <c r="I6" s="14" t="n">
        <v>450</v>
      </c>
      <c r="J6" s="19">
        <f>IF($C6="","",ROUND(IF($H6="",1,$H6)*N($I6),2))</f>
        <v/>
      </c>
      <c r="K6" s="13" t="n"/>
      <c r="L6" s="13" t="inlineStr">
        <is>
          <t>原表·人工</t>
        </is>
      </c>
      <c r="M6" s="17">
        <f>IF($C6="","",IF(ISNA(MATCH($C6,项目名表,0)),"※项目不在项目台账里",IF($E6="※工作类型没选","※工作类型没选","")))</f>
        <v/>
      </c>
    </row>
    <row r="7">
      <c r="A7" s="17">
        <f>IF($C7="","",ROW()-3)</f>
        <v/>
      </c>
      <c r="B7" s="18" t="n">
        <v>46060</v>
      </c>
      <c r="C7" s="13" t="inlineStr">
        <is>
          <t>德清津华钢铁</t>
        </is>
      </c>
      <c r="D7" s="13" t="inlineStr">
        <is>
          <t>加班费</t>
        </is>
      </c>
      <c r="E7" s="17">
        <f>IF($C7="","",IFERROR(VLOOKUP($D7,工作归属,2,0),"※工作类型没选"))</f>
        <v/>
      </c>
      <c r="F7" s="13" t="n"/>
      <c r="G7" s="13" t="inlineStr">
        <is>
          <t>小时</t>
        </is>
      </c>
      <c r="H7" s="20" t="n">
        <v>6</v>
      </c>
      <c r="I7" s="14" t="n">
        <v>50</v>
      </c>
      <c r="J7" s="19">
        <f>IF($C7="","",ROUND(IF($H7="",1,$H7)*N($I7),2))</f>
        <v/>
      </c>
      <c r="K7" s="13" t="n"/>
      <c r="L7" s="13" t="inlineStr">
        <is>
          <t>原表·人工</t>
        </is>
      </c>
      <c r="M7" s="17">
        <f>IF($C7="","",IF(ISNA(MATCH($C7,项目名表,0)),"※项目不在项目台账里",IF($E7="※工作类型没选","※工作类型没选","")))</f>
        <v/>
      </c>
    </row>
    <row r="8">
      <c r="A8" s="17">
        <f>IF($C8="","",ROW()-3)</f>
        <v/>
      </c>
      <c r="B8" s="18" t="n">
        <v>46060</v>
      </c>
      <c r="C8" s="13" t="inlineStr">
        <is>
          <t>德清津华钢铁</t>
        </is>
      </c>
      <c r="D8" s="13" t="inlineStr">
        <is>
          <t>外叫小工</t>
        </is>
      </c>
      <c r="E8" s="17">
        <f>IF($C8="","",IFERROR(VLOOKUP($D8,工作归属,2,0),"※工作类型没选"))</f>
        <v/>
      </c>
      <c r="F8" s="13" t="n"/>
      <c r="G8" s="13" t="inlineStr">
        <is>
          <t>工</t>
        </is>
      </c>
      <c r="H8" s="20" t="n">
        <v>2</v>
      </c>
      <c r="I8" s="14" t="n">
        <v>350</v>
      </c>
      <c r="J8" s="19">
        <f>IF($C8="","",ROUND(IF($H8="",1,$H8)*N($I8),2))</f>
        <v/>
      </c>
      <c r="K8" s="13" t="n"/>
      <c r="L8" s="13" t="inlineStr">
        <is>
          <t>原表·人工</t>
        </is>
      </c>
      <c r="M8" s="17">
        <f>IF($C8="","",IF(ISNA(MATCH($C8,项目名表,0)),"※项目不在项目台账里",IF($E8="※工作类型没选","※工作类型没选","")))</f>
        <v/>
      </c>
    </row>
    <row r="9">
      <c r="A9" s="17">
        <f>IF($C9="","",ROW()-3)</f>
        <v/>
      </c>
      <c r="B9" s="18" t="n">
        <v>46060</v>
      </c>
      <c r="C9" s="13" t="inlineStr">
        <is>
          <t>德清津华钢铁</t>
        </is>
      </c>
      <c r="D9" s="13" t="inlineStr">
        <is>
          <t>加班费</t>
        </is>
      </c>
      <c r="E9" s="17">
        <f>IF($C9="","",IFERROR(VLOOKUP($D9,工作归属,2,0),"※工作类型没选"))</f>
        <v/>
      </c>
      <c r="F9" s="13" t="n"/>
      <c r="G9" s="13" t="inlineStr">
        <is>
          <t>小时</t>
        </is>
      </c>
      <c r="H9" s="20" t="n">
        <v>6</v>
      </c>
      <c r="I9" s="14" t="n">
        <v>50</v>
      </c>
      <c r="J9" s="19">
        <f>IF($C9="","",ROUND(IF($H9="",1,$H9)*N($I9),2))</f>
        <v/>
      </c>
      <c r="K9" s="13" t="n"/>
      <c r="L9" s="13" t="inlineStr">
        <is>
          <t>原表·人工</t>
        </is>
      </c>
      <c r="M9" s="17">
        <f>IF($C9="","",IF(ISNA(MATCH($C9,项目名表,0)),"※项目不在项目台账里",IF($E9="※工作类型没选","※工作类型没选","")))</f>
        <v/>
      </c>
    </row>
    <row r="10">
      <c r="A10" s="17">
        <f>IF($C10="","",ROW()-3)</f>
        <v/>
      </c>
      <c r="B10" s="18" t="n">
        <v>46060</v>
      </c>
      <c r="C10" s="13" t="inlineStr">
        <is>
          <t>德清津华钢铁</t>
        </is>
      </c>
      <c r="D10" s="13" t="inlineStr">
        <is>
          <t>运费/搬运</t>
        </is>
      </c>
      <c r="E10" s="17">
        <f>IF($C10="","",IFERROR(VLOOKUP($D10,工作归属,2,0),"※工作类型没选"))</f>
        <v/>
      </c>
      <c r="F10" s="13" t="inlineStr">
        <is>
          <t>杨德</t>
        </is>
      </c>
      <c r="G10" s="13" t="inlineStr">
        <is>
          <t>趟</t>
        </is>
      </c>
      <c r="H10" s="20" t="n">
        <v>1</v>
      </c>
      <c r="I10" s="14" t="n">
        <v>68.11</v>
      </c>
      <c r="J10" s="19">
        <f>IF($C10="","",ROUND(IF($H10="",1,$H10)*N($I10),2))</f>
        <v/>
      </c>
      <c r="K10" s="13" t="n"/>
      <c r="L10" s="13" t="inlineStr">
        <is>
          <t>原表·运费/快递费</t>
        </is>
      </c>
      <c r="M10" s="17">
        <f>IF($C10="","",IF(ISNA(MATCH($C10,项目名表,0)),"※项目不在项目台账里",IF($E10="※工作类型没选","※工作类型没选","")))</f>
        <v/>
      </c>
    </row>
    <row r="11">
      <c r="A11" s="17">
        <f>IF($C11="","",ROW()-3)</f>
        <v/>
      </c>
      <c r="B11" s="18" t="n">
        <v>46060</v>
      </c>
      <c r="C11" s="13" t="inlineStr">
        <is>
          <t>德清津华钢铁</t>
        </is>
      </c>
      <c r="D11" s="13" t="inlineStr">
        <is>
          <t>吊车/租车</t>
        </is>
      </c>
      <c r="E11" s="17">
        <f>IF($C11="","",IFERROR(VLOOKUP($D11,工作归属,2,0),"※工作类型没选"))</f>
        <v/>
      </c>
      <c r="F11" s="13" t="inlineStr">
        <is>
          <t>杨德</t>
        </is>
      </c>
      <c r="G11" s="13" t="inlineStr">
        <is>
          <t>趟</t>
        </is>
      </c>
      <c r="H11" s="20" t="n">
        <v>2</v>
      </c>
      <c r="I11" s="14" t="n">
        <v>23</v>
      </c>
      <c r="J11" s="19">
        <f>IF($C11="","",ROUND(IF($H11="",1,$H11)*N($I11),2))</f>
        <v/>
      </c>
      <c r="K11" s="13" t="n"/>
      <c r="L11" s="13" t="inlineStr">
        <is>
          <t>原表·交通费/过路费</t>
        </is>
      </c>
      <c r="M11" s="17">
        <f>IF($C11="","",IF(ISNA(MATCH($C11,项目名表,0)),"※项目不在项目台账里",IF($E11="※工作类型没选","※工作类型没选","")))</f>
        <v/>
      </c>
    </row>
    <row r="12">
      <c r="A12" s="17">
        <f>IF($C12="","",ROW()-3)</f>
        <v/>
      </c>
      <c r="B12" s="18" t="n">
        <v>46060</v>
      </c>
      <c r="C12" s="13" t="inlineStr">
        <is>
          <t>德清津华钢铁</t>
        </is>
      </c>
      <c r="D12" s="13" t="inlineStr">
        <is>
          <t>吊车/租车</t>
        </is>
      </c>
      <c r="E12" s="17">
        <f>IF($C12="","",IFERROR(VLOOKUP($D12,工作归属,2,0),"※工作类型没选"))</f>
        <v/>
      </c>
      <c r="F12" s="13" t="inlineStr">
        <is>
          <t>外叫租赁</t>
        </is>
      </c>
      <c r="G12" s="13" t="inlineStr">
        <is>
          <t>天</t>
        </is>
      </c>
      <c r="H12" s="20" t="n">
        <v>1</v>
      </c>
      <c r="I12" s="14" t="n">
        <v>800</v>
      </c>
      <c r="J12" s="19">
        <f>IF($C12="","",ROUND(IF($H12="",1,$H12)*N($I12),2))</f>
        <v/>
      </c>
      <c r="K12" s="13" t="n"/>
      <c r="L12" s="13" t="inlineStr">
        <is>
          <t>原表·吊车费</t>
        </is>
      </c>
      <c r="M12" s="17">
        <f>IF($C12="","",IF(ISNA(MATCH($C12,项目名表,0)),"※项目不在项目台账里",IF($E12="※工作类型没选","※工作类型没选","")))</f>
        <v/>
      </c>
    </row>
    <row r="13">
      <c r="A13" s="17">
        <f>IF($C13="","",ROW()-3)</f>
        <v/>
      </c>
      <c r="B13" s="18" t="n">
        <v>46060</v>
      </c>
      <c r="C13" s="13" t="inlineStr">
        <is>
          <t>德清津华钢铁</t>
        </is>
      </c>
      <c r="D13" s="13" t="inlineStr">
        <is>
          <t>吊车/租车</t>
        </is>
      </c>
      <c r="E13" s="17">
        <f>IF($C13="","",IFERROR(VLOOKUP($D13,工作归属,2,0),"※工作类型没选"))</f>
        <v/>
      </c>
      <c r="F13" s="13" t="inlineStr">
        <is>
          <t>杨德</t>
        </is>
      </c>
      <c r="G13" s="13" t="inlineStr">
        <is>
          <t>次</t>
        </is>
      </c>
      <c r="H13" s="20" t="n">
        <v>1</v>
      </c>
      <c r="I13" s="14" t="n">
        <v>200</v>
      </c>
      <c r="J13" s="19">
        <f>IF($C13="","",ROUND(IF($H13="",1,$H13)*N($I13),2))</f>
        <v/>
      </c>
      <c r="K13" s="13" t="n"/>
      <c r="L13" s="13" t="inlineStr">
        <is>
          <t>原表·小车费</t>
        </is>
      </c>
      <c r="M13" s="17">
        <f>IF($C13="","",IF(ISNA(MATCH($C13,项目名表,0)),"※项目不在项目台账里",IF($E13="※工作类型没选","※工作类型没选","")))</f>
        <v/>
      </c>
    </row>
    <row r="14">
      <c r="A14" s="17">
        <f>IF($C14="","",ROW()-3)</f>
        <v/>
      </c>
      <c r="B14" s="18" t="n">
        <v>46060</v>
      </c>
      <c r="C14" s="13" t="inlineStr">
        <is>
          <t>德清津华钢铁</t>
        </is>
      </c>
      <c r="D14" s="13" t="inlineStr">
        <is>
          <t>其他人工</t>
        </is>
      </c>
      <c r="E14" s="17">
        <f>IF($C14="","",IFERROR(VLOOKUP($D14,工作归属,2,0),"※工作类型没选"))</f>
        <v/>
      </c>
      <c r="F14" s="13" t="inlineStr">
        <is>
          <t>杨德</t>
        </is>
      </c>
      <c r="G14" s="13" t="inlineStr">
        <is>
          <t>人</t>
        </is>
      </c>
      <c r="H14" s="20" t="n">
        <v>2</v>
      </c>
      <c r="I14" s="14" t="n">
        <v>18</v>
      </c>
      <c r="J14" s="19">
        <f>IF($C14="","",ROUND(IF($H14="",1,$H14)*N($I14),2))</f>
        <v/>
      </c>
      <c r="K14" s="13" t="n"/>
      <c r="L14" s="13" t="inlineStr">
        <is>
          <t>原表·其它补助</t>
        </is>
      </c>
      <c r="M14" s="17">
        <f>IF($C14="","",IF(ISNA(MATCH($C14,项目名表,0)),"※项目不在项目台账里",IF($E14="※工作类型没选","※工作类型没选","")))</f>
        <v/>
      </c>
    </row>
    <row r="15">
      <c r="A15" s="17">
        <f>IF($C15="","",ROW()-3)</f>
        <v/>
      </c>
      <c r="B15" s="18" t="n">
        <v>46083</v>
      </c>
      <c r="C15" s="13" t="inlineStr">
        <is>
          <t>兰溪手擀面</t>
        </is>
      </c>
      <c r="D15" s="13" t="inlineStr">
        <is>
          <t>安装工时</t>
        </is>
      </c>
      <c r="E15" s="17">
        <f>IF($C15="","",IFERROR(VLOOKUP($D15,工作归属,2,0),"※工作类型没选"))</f>
        <v/>
      </c>
      <c r="F15" s="13" t="n"/>
      <c r="G15" s="13" t="inlineStr">
        <is>
          <t>工</t>
        </is>
      </c>
      <c r="H15" s="20" t="n">
        <v>1</v>
      </c>
      <c r="I15" s="14" t="n">
        <v>400</v>
      </c>
      <c r="J15" s="19">
        <f>IF($C15="","",ROUND(IF($H15="",1,$H15)*N($I15),2))</f>
        <v/>
      </c>
      <c r="K15" s="13" t="n"/>
      <c r="L15" s="13" t="inlineStr">
        <is>
          <t>原表·人工</t>
        </is>
      </c>
      <c r="M15" s="17">
        <f>IF($C15="","",IF(ISNA(MATCH($C15,项目名表,0)),"※项目不在项目台账里",IF($E15="※工作类型没选","※工作类型没选","")))</f>
        <v/>
      </c>
    </row>
    <row r="16">
      <c r="A16" s="17">
        <f>IF($C16="","",ROW()-3)</f>
        <v/>
      </c>
      <c r="B16" s="18" t="n"/>
      <c r="C16" s="13" t="inlineStr">
        <is>
          <t>莫盾服饰</t>
        </is>
      </c>
      <c r="D16" s="13" t="inlineStr">
        <is>
          <t>安装工时</t>
        </is>
      </c>
      <c r="E16" s="17">
        <f>IF($C16="","",IFERROR(VLOOKUP($D16,工作归属,2,0),"※工作类型没选"))</f>
        <v/>
      </c>
      <c r="F16" s="13" t="inlineStr">
        <is>
          <t>点工</t>
        </is>
      </c>
      <c r="G16" s="13" t="inlineStr">
        <is>
          <t>工</t>
        </is>
      </c>
      <c r="H16" s="20" t="n">
        <v>4</v>
      </c>
      <c r="I16" s="14" t="n">
        <v>400</v>
      </c>
      <c r="J16" s="19">
        <f>IF($C16="","",ROUND(IF($H16="",1,$H16)*N($I16),2))</f>
        <v/>
      </c>
      <c r="K16" s="13" t="n"/>
      <c r="L16" s="13" t="inlineStr">
        <is>
          <t>原表·人工</t>
        </is>
      </c>
      <c r="M16" s="17">
        <f>IF($C16="","",IF(ISNA(MATCH($C16,项目名表,0)),"※项目不在项目台账里",IF($E16="※工作类型没选","※工作类型没选","")))</f>
        <v/>
      </c>
    </row>
    <row r="17">
      <c r="A17" s="17">
        <f>IF($C17="","",ROW()-3)</f>
        <v/>
      </c>
      <c r="B17" s="18" t="n">
        <v>46106</v>
      </c>
      <c r="C17" s="13" t="inlineStr">
        <is>
          <t>君澜服饰</t>
        </is>
      </c>
      <c r="D17" s="13" t="inlineStr">
        <is>
          <t>加班费</t>
        </is>
      </c>
      <c r="E17" s="17">
        <f>IF($C17="","",IFERROR(VLOOKUP($D17,工作归属,2,0),"※工作类型没选"))</f>
        <v/>
      </c>
      <c r="F17" s="13" t="n"/>
      <c r="G17" s="13" t="inlineStr">
        <is>
          <t>小时</t>
        </is>
      </c>
      <c r="H17" s="20" t="n">
        <v>6</v>
      </c>
      <c r="I17" s="14" t="n">
        <v>50</v>
      </c>
      <c r="J17" s="19">
        <f>IF($C17="","",ROUND(IF($H17="",1,$H17)*N($I17),2))</f>
        <v/>
      </c>
      <c r="K17" s="13" t="n"/>
      <c r="L17" s="13" t="inlineStr">
        <is>
          <t>原表·人工</t>
        </is>
      </c>
      <c r="M17" s="17">
        <f>IF($C17="","",IF(ISNA(MATCH($C17,项目名表,0)),"※项目不在项目台账里",IF($E17="※工作类型没选","※工作类型没选","")))</f>
        <v/>
      </c>
    </row>
    <row r="18">
      <c r="A18" s="17">
        <f>IF($C18="","",ROW()-3)</f>
        <v/>
      </c>
      <c r="B18" s="18" t="n">
        <v>46106</v>
      </c>
      <c r="C18" s="13" t="inlineStr">
        <is>
          <t>君澜服饰</t>
        </is>
      </c>
      <c r="D18" s="13" t="inlineStr">
        <is>
          <t>外叫小工</t>
        </is>
      </c>
      <c r="E18" s="17">
        <f>IF($C18="","",IFERROR(VLOOKUP($D18,工作归属,2,0),"※工作类型没选"))</f>
        <v/>
      </c>
      <c r="F18" s="13" t="n"/>
      <c r="G18" s="13" t="inlineStr">
        <is>
          <t>工</t>
        </is>
      </c>
      <c r="H18" s="20" t="n">
        <v>2</v>
      </c>
      <c r="I18" s="14" t="n">
        <v>350</v>
      </c>
      <c r="J18" s="19">
        <f>IF($C18="","",ROUND(IF($H18="",1,$H18)*N($I18),2))</f>
        <v/>
      </c>
      <c r="K18" s="13" t="n"/>
      <c r="L18" s="13" t="inlineStr">
        <is>
          <t>原表·人工</t>
        </is>
      </c>
      <c r="M18" s="17">
        <f>IF($C18="","",IF(ISNA(MATCH($C18,项目名表,0)),"※项目不在项目台账里",IF($E18="※工作类型没选","※工作类型没选","")))</f>
        <v/>
      </c>
    </row>
    <row r="19">
      <c r="A19" s="17">
        <f>IF($C19="","",ROW()-3)</f>
        <v/>
      </c>
      <c r="B19" s="18" t="n">
        <v>46106</v>
      </c>
      <c r="C19" s="13" t="inlineStr">
        <is>
          <t>君澜服饰</t>
        </is>
      </c>
      <c r="D19" s="13" t="inlineStr">
        <is>
          <t>加班费</t>
        </is>
      </c>
      <c r="E19" s="17">
        <f>IF($C19="","",IFERROR(VLOOKUP($D19,工作归属,2,0),"※工作类型没选"))</f>
        <v/>
      </c>
      <c r="F19" s="13" t="n"/>
      <c r="G19" s="13" t="inlineStr">
        <is>
          <t>小时</t>
        </is>
      </c>
      <c r="H19" s="20" t="n">
        <v>6</v>
      </c>
      <c r="I19" s="14" t="n">
        <v>50</v>
      </c>
      <c r="J19" s="19">
        <f>IF($C19="","",ROUND(IF($H19="",1,$H19)*N($I19),2))</f>
        <v/>
      </c>
      <c r="K19" s="13" t="n"/>
      <c r="L19" s="13" t="inlineStr">
        <is>
          <t>原表·人工</t>
        </is>
      </c>
      <c r="M19" s="17">
        <f>IF($C19="","",IF(ISNA(MATCH($C19,项目名表,0)),"※项目不在项目台账里",IF($E19="※工作类型没选","※工作类型没选","")))</f>
        <v/>
      </c>
    </row>
    <row r="20">
      <c r="A20" s="17">
        <f>IF($C20="","",ROW()-3)</f>
        <v/>
      </c>
      <c r="B20" s="18" t="n">
        <v>46082</v>
      </c>
      <c r="C20" s="13" t="inlineStr">
        <is>
          <t>芭比贝克</t>
        </is>
      </c>
      <c r="D20" s="13" t="inlineStr">
        <is>
          <t>安装工时</t>
        </is>
      </c>
      <c r="E20" s="17">
        <f>IF($C20="","",IFERROR(VLOOKUP($D20,工作归属,2,0),"※工作类型没选"))</f>
        <v/>
      </c>
      <c r="F20" s="13" t="n"/>
      <c r="G20" s="13" t="inlineStr">
        <is>
          <t>工</t>
        </is>
      </c>
      <c r="H20" s="20" t="n">
        <v>1</v>
      </c>
      <c r="I20" s="14" t="n">
        <v>350</v>
      </c>
      <c r="J20" s="19">
        <f>IF($C20="","",ROUND(IF($H20="",1,$H20)*N($I20),2))</f>
        <v/>
      </c>
      <c r="K20" s="13" t="n"/>
      <c r="L20" s="13" t="inlineStr">
        <is>
          <t>原表·人工</t>
        </is>
      </c>
      <c r="M20" s="17">
        <f>IF($C20="","",IF(ISNA(MATCH($C20,项目名表,0)),"※项目不在项目台账里",IF($E20="※工作类型没选","※工作类型没选","")))</f>
        <v/>
      </c>
    </row>
    <row r="21">
      <c r="A21" s="17">
        <f>IF($C21="","",ROW()-3)</f>
        <v/>
      </c>
      <c r="B21" s="18" t="n">
        <v>46100</v>
      </c>
      <c r="C21" s="13" t="inlineStr">
        <is>
          <t>铁柱烧烤店</t>
        </is>
      </c>
      <c r="D21" s="13" t="inlineStr">
        <is>
          <t>安装工时</t>
        </is>
      </c>
      <c r="E21" s="17">
        <f>IF($C21="","",IFERROR(VLOOKUP($D21,工作归属,2,0),"※工作类型没选"))</f>
        <v/>
      </c>
      <c r="F21" s="13" t="n"/>
      <c r="G21" s="13" t="inlineStr">
        <is>
          <t>工</t>
        </is>
      </c>
      <c r="H21" s="20" t="n">
        <v>3</v>
      </c>
      <c r="I21" s="14" t="n">
        <v>400</v>
      </c>
      <c r="J21" s="19">
        <f>IF($C21="","",ROUND(IF($H21="",1,$H21)*N($I21),2))</f>
        <v/>
      </c>
      <c r="K21" s="13" t="n"/>
      <c r="L21" s="13" t="inlineStr">
        <is>
          <t>原表·人工</t>
        </is>
      </c>
      <c r="M21" s="17">
        <f>IF($C21="","",IF(ISNA(MATCH($C21,项目名表,0)),"※项目不在项目台账里",IF($E21="※工作类型没选","※工作类型没选","")))</f>
        <v/>
      </c>
    </row>
    <row r="22">
      <c r="A22" s="17">
        <f>IF($C22="","",ROW()-3)</f>
        <v/>
      </c>
      <c r="B22" s="18" t="n">
        <v>46100</v>
      </c>
      <c r="C22" s="13" t="inlineStr">
        <is>
          <t>铁柱烧烤店</t>
        </is>
      </c>
      <c r="D22" s="13" t="inlineStr">
        <is>
          <t>加班费</t>
        </is>
      </c>
      <c r="E22" s="17">
        <f>IF($C22="","",IFERROR(VLOOKUP($D22,工作归属,2,0),"※工作类型没选"))</f>
        <v/>
      </c>
      <c r="F22" s="13" t="n"/>
      <c r="G22" s="13" t="inlineStr">
        <is>
          <t>小时</t>
        </is>
      </c>
      <c r="H22" s="20" t="n">
        <v>6</v>
      </c>
      <c r="I22" s="14" t="n">
        <v>50</v>
      </c>
      <c r="J22" s="19">
        <f>IF($C22="","",ROUND(IF($H22="",1,$H22)*N($I22),2))</f>
        <v/>
      </c>
      <c r="K22" s="13" t="n"/>
      <c r="L22" s="13" t="inlineStr">
        <is>
          <t>原表·人工</t>
        </is>
      </c>
      <c r="M22" s="17">
        <f>IF($C22="","",IF(ISNA(MATCH($C22,项目名表,0)),"※项目不在项目台账里",IF($E22="※工作类型没选","※工作类型没选","")))</f>
        <v/>
      </c>
    </row>
    <row r="23">
      <c r="A23" s="17">
        <f>IF($C23="","",ROW()-3)</f>
        <v/>
      </c>
      <c r="B23" s="18" t="n">
        <v>46084</v>
      </c>
      <c r="C23" s="13" t="inlineStr">
        <is>
          <t>钟管熟食店</t>
        </is>
      </c>
      <c r="D23" s="13" t="inlineStr">
        <is>
          <t>安装工时</t>
        </is>
      </c>
      <c r="E23" s="17">
        <f>IF($C23="","",IFERROR(VLOOKUP($D23,工作归属,2,0),"※工作类型没选"))</f>
        <v/>
      </c>
      <c r="F23" s="13" t="n"/>
      <c r="G23" s="13" t="n"/>
      <c r="H23" s="20" t="n">
        <v>1</v>
      </c>
      <c r="I23" s="14" t="n">
        <v>8500</v>
      </c>
      <c r="J23" s="19">
        <f>IF($C23="","",ROUND(IF($H23="",1,$H23)*N($I23),2))</f>
        <v/>
      </c>
      <c r="K23" s="13" t="n"/>
      <c r="L23" s="13" t="inlineStr">
        <is>
          <t>原表·人工</t>
        </is>
      </c>
      <c r="M23" s="17">
        <f>IF($C23="","",IF(ISNA(MATCH($C23,项目名表,0)),"※项目不在项目台账里",IF($E23="※工作类型没选","※工作类型没选","")))</f>
        <v/>
      </c>
    </row>
    <row r="24">
      <c r="A24" s="17">
        <f>IF($C24="","",ROW()-3)</f>
        <v/>
      </c>
      <c r="B24" s="18" t="n">
        <v>46100</v>
      </c>
      <c r="C24" s="13" t="inlineStr">
        <is>
          <t>螺有名灯箱门头</t>
        </is>
      </c>
      <c r="D24" s="13" t="inlineStr">
        <is>
          <t>安装工时</t>
        </is>
      </c>
      <c r="E24" s="17">
        <f>IF($C24="","",IFERROR(VLOOKUP($D24,工作归属,2,0),"※工作类型没选"))</f>
        <v/>
      </c>
      <c r="F24" s="13" t="n"/>
      <c r="G24" s="13" t="inlineStr">
        <is>
          <t>工</t>
        </is>
      </c>
      <c r="H24" s="20" t="n">
        <v>1</v>
      </c>
      <c r="I24" s="14" t="n">
        <v>400</v>
      </c>
      <c r="J24" s="19">
        <f>IF($C24="","",ROUND(IF($H24="",1,$H24)*N($I24),2))</f>
        <v/>
      </c>
      <c r="K24" s="13" t="n"/>
      <c r="L24" s="13" t="inlineStr">
        <is>
          <t>原表·人工</t>
        </is>
      </c>
      <c r="M24" s="17">
        <f>IF($C24="","",IF(ISNA(MATCH($C24,项目名表,0)),"※项目不在项目台账里",IF($E24="※工作类型没选","※工作类型没选","")))</f>
        <v/>
      </c>
    </row>
    <row r="25">
      <c r="A25" s="17">
        <f>IF($C25="","",ROW()-3)</f>
        <v/>
      </c>
      <c r="B25" s="18" t="n">
        <v>46102</v>
      </c>
      <c r="C25" s="13" t="inlineStr">
        <is>
          <t>汕味杏花室内项目</t>
        </is>
      </c>
      <c r="D25" s="13" t="inlineStr">
        <is>
          <t>安装工时</t>
        </is>
      </c>
      <c r="E25" s="17">
        <f>IF($C25="","",IFERROR(VLOOKUP($D25,工作归属,2,0),"※工作类型没选"))</f>
        <v/>
      </c>
      <c r="F25" s="13" t="n"/>
      <c r="G25" s="13" t="inlineStr">
        <is>
          <t>工</t>
        </is>
      </c>
      <c r="H25" s="20" t="n">
        <v>2</v>
      </c>
      <c r="I25" s="14" t="n">
        <v>400</v>
      </c>
      <c r="J25" s="19">
        <f>IF($C25="","",ROUND(IF($H25="",1,$H25)*N($I25),2))</f>
        <v/>
      </c>
      <c r="K25" s="13" t="n"/>
      <c r="L25" s="13" t="inlineStr">
        <is>
          <t>原表·人工</t>
        </is>
      </c>
      <c r="M25" s="17">
        <f>IF($C25="","",IF(ISNA(MATCH($C25,项目名表,0)),"※项目不在项目台账里",IF($E25="※工作类型没选","※工作类型没选","")))</f>
        <v/>
      </c>
    </row>
    <row r="26">
      <c r="A26" s="17">
        <f>IF($C26="","",ROW()-3)</f>
        <v/>
      </c>
      <c r="B26" s="18" t="n">
        <v>46086</v>
      </c>
      <c r="C26" s="13" t="inlineStr">
        <is>
          <t>双林面馆-滨河路</t>
        </is>
      </c>
      <c r="D26" s="13" t="inlineStr">
        <is>
          <t>安装工时</t>
        </is>
      </c>
      <c r="E26" s="17">
        <f>IF($C26="","",IFERROR(VLOOKUP($D26,工作归属,2,0),"※工作类型没选"))</f>
        <v/>
      </c>
      <c r="F26" s="13" t="n"/>
      <c r="G26" s="13" t="inlineStr">
        <is>
          <t>工</t>
        </is>
      </c>
      <c r="H26" s="20" t="n">
        <v>2</v>
      </c>
      <c r="I26" s="14" t="n">
        <v>400</v>
      </c>
      <c r="J26" s="19">
        <f>IF($C26="","",ROUND(IF($H26="",1,$H26)*N($I26),2))</f>
        <v/>
      </c>
      <c r="K26" s="13" t="n"/>
      <c r="L26" s="13" t="inlineStr">
        <is>
          <t>原表·人工</t>
        </is>
      </c>
      <c r="M26" s="17">
        <f>IF($C26="","",IF(ISNA(MATCH($C26,项目名表,0)),"※项目不在项目台账里",IF($E26="※工作类型没选","※工作类型没选","")))</f>
        <v/>
      </c>
    </row>
    <row r="27">
      <c r="A27" s="17">
        <f>IF($C27="","",ROW()-3)</f>
        <v/>
      </c>
      <c r="B27" s="18" t="n">
        <v>46102</v>
      </c>
      <c r="C27" s="13" t="inlineStr">
        <is>
          <t>梓灿软装</t>
        </is>
      </c>
      <c r="D27" s="13" t="inlineStr">
        <is>
          <t>安装工时</t>
        </is>
      </c>
      <c r="E27" s="17">
        <f>IF($C27="","",IFERROR(VLOOKUP($D27,工作归属,2,0),"※工作类型没选"))</f>
        <v/>
      </c>
      <c r="F27" s="13" t="n"/>
      <c r="G27" s="13" t="inlineStr">
        <is>
          <t>工</t>
        </is>
      </c>
      <c r="H27" s="20" t="n">
        <v>1</v>
      </c>
      <c r="I27" s="14" t="n">
        <v>1200</v>
      </c>
      <c r="J27" s="19">
        <f>IF($C27="","",ROUND(IF($H27="",1,$H27)*N($I27),2))</f>
        <v/>
      </c>
      <c r="K27" s="13" t="n"/>
      <c r="L27" s="13" t="inlineStr">
        <is>
          <t>原表·人工</t>
        </is>
      </c>
      <c r="M27" s="17">
        <f>IF($C27="","",IF(ISNA(MATCH($C27,项目名表,0)),"※项目不在项目台账里",IF($E27="※工作类型没选","※工作类型没选","")))</f>
        <v/>
      </c>
    </row>
    <row r="28">
      <c r="A28" s="17">
        <f>IF($C28="","",ROW()-3)</f>
        <v/>
      </c>
      <c r="B28" s="18" t="n">
        <v>46083</v>
      </c>
      <c r="C28" s="13" t="inlineStr">
        <is>
          <t>长颈鹿庄园</t>
        </is>
      </c>
      <c r="D28" s="13" t="inlineStr">
        <is>
          <t>安装工时</t>
        </is>
      </c>
      <c r="E28" s="17">
        <f>IF($C28="","",IFERROR(VLOOKUP($D28,工作归属,2,0),"※工作类型没选"))</f>
        <v/>
      </c>
      <c r="F28" s="13" t="n"/>
      <c r="G28" s="13" t="inlineStr">
        <is>
          <t>工</t>
        </is>
      </c>
      <c r="H28" s="20" t="n">
        <v>2.5</v>
      </c>
      <c r="I28" s="14" t="n">
        <v>400</v>
      </c>
      <c r="J28" s="19">
        <f>IF($C28="","",ROUND(IF($H28="",1,$H28)*N($I28),2))</f>
        <v/>
      </c>
      <c r="K28" s="13" t="n"/>
      <c r="L28" s="13" t="inlineStr">
        <is>
          <t>原表·人工</t>
        </is>
      </c>
      <c r="M28" s="17">
        <f>IF($C28="","",IF(ISNA(MATCH($C28,项目名表,0)),"※项目不在项目台账里",IF($E28="※工作类型没选","※工作类型没选","")))</f>
        <v/>
      </c>
    </row>
    <row r="29">
      <c r="A29" s="17">
        <f>IF($C29="","",ROW()-3)</f>
        <v/>
      </c>
      <c r="B29" s="18" t="n">
        <v>46083</v>
      </c>
      <c r="C29" s="13" t="inlineStr">
        <is>
          <t>国智校服</t>
        </is>
      </c>
      <c r="D29" s="13" t="inlineStr">
        <is>
          <t>安装工时</t>
        </is>
      </c>
      <c r="E29" s="17">
        <f>IF($C29="","",IFERROR(VLOOKUP($D29,工作归属,2,0),"※工作类型没选"))</f>
        <v/>
      </c>
      <c r="F29" s="13" t="n"/>
      <c r="G29" s="13" t="inlineStr">
        <is>
          <t>工</t>
        </is>
      </c>
      <c r="H29" s="20" t="n">
        <v>2.5</v>
      </c>
      <c r="I29" s="14" t="n">
        <v>400</v>
      </c>
      <c r="J29" s="19">
        <f>IF($C29="","",ROUND(IF($H29="",1,$H29)*N($I29),2))</f>
        <v/>
      </c>
      <c r="K29" s="13" t="n"/>
      <c r="L29" s="13" t="inlineStr">
        <is>
          <t>原表·人工</t>
        </is>
      </c>
      <c r="M29" s="17">
        <f>IF($C29="","",IF(ISNA(MATCH($C29,项目名表,0)),"※项目不在项目台账里",IF($E29="※工作类型没选","※工作类型没选","")))</f>
        <v/>
      </c>
    </row>
    <row r="30">
      <c r="A30" s="17">
        <f>IF($C30="","",ROW()-3)</f>
        <v/>
      </c>
      <c r="B30" s="18" t="n">
        <v>46108</v>
      </c>
      <c r="C30" s="13" t="inlineStr">
        <is>
          <t>睿芯行</t>
        </is>
      </c>
      <c r="D30" s="13" t="inlineStr">
        <is>
          <t>外叫小工</t>
        </is>
      </c>
      <c r="E30" s="17">
        <f>IF($C30="","",IFERROR(VLOOKUP($D30,工作归属,2,0),"※工作类型没选"))</f>
        <v/>
      </c>
      <c r="F30" s="13" t="n"/>
      <c r="G30" s="13" t="inlineStr">
        <is>
          <t>工</t>
        </is>
      </c>
      <c r="H30" s="20" t="n">
        <v>9</v>
      </c>
      <c r="I30" s="14" t="n">
        <v>350</v>
      </c>
      <c r="J30" s="19">
        <f>IF($C30="","",ROUND(IF($H30="",1,$H30)*N($I30),2))</f>
        <v/>
      </c>
      <c r="K30" s="13" t="n"/>
      <c r="L30" s="13" t="inlineStr">
        <is>
          <t>原表·人工</t>
        </is>
      </c>
      <c r="M30" s="17">
        <f>IF($C30="","",IF(ISNA(MATCH($C30,项目名表,0)),"※项目不在项目台账里",IF($E30="※工作类型没选","※工作类型没选","")))</f>
        <v/>
      </c>
    </row>
    <row r="31">
      <c r="A31" s="17">
        <f>IF($C31="","",ROW()-3)</f>
        <v/>
      </c>
      <c r="B31" s="18" t="n"/>
      <c r="C31" s="13" t="n"/>
      <c r="D31" s="13" t="n"/>
      <c r="E31" s="17">
        <f>IF($C31="","",IFERROR(VLOOKUP($D31,工作归属,2,0),"※工作类型没选"))</f>
        <v/>
      </c>
      <c r="F31" s="13" t="n"/>
      <c r="G31" s="13" t="n"/>
      <c r="H31" s="20" t="n"/>
      <c r="I31" s="14" t="n"/>
      <c r="J31" s="19">
        <f>IF($C31="","",ROUND(IF($H31="",1,$H31)*N($I31),2))</f>
        <v/>
      </c>
      <c r="K31" s="13" t="n"/>
      <c r="L31" s="13" t="n"/>
      <c r="M31" s="17">
        <f>IF($C31="","",IF(ISNA(MATCH($C31,项目名表,0)),"※项目不在项目台账里",IF($E31="※工作类型没选","※工作类型没选","")))</f>
        <v/>
      </c>
    </row>
    <row r="32">
      <c r="A32" s="17">
        <f>IF($C32="","",ROW()-3)</f>
        <v/>
      </c>
      <c r="B32" s="18" t="n"/>
      <c r="C32" s="13" t="n"/>
      <c r="D32" s="13" t="n"/>
      <c r="E32" s="17">
        <f>IF($C32="","",IFERROR(VLOOKUP($D32,工作归属,2,0),"※工作类型没选"))</f>
        <v/>
      </c>
      <c r="F32" s="13" t="n"/>
      <c r="G32" s="13" t="n"/>
      <c r="H32" s="20" t="n"/>
      <c r="I32" s="14" t="n"/>
      <c r="J32" s="19">
        <f>IF($C32="","",ROUND(IF($H32="",1,$H32)*N($I32),2))</f>
        <v/>
      </c>
      <c r="K32" s="13" t="n"/>
      <c r="L32" s="13" t="n"/>
      <c r="M32" s="17">
        <f>IF($C32="","",IF(ISNA(MATCH($C32,项目名表,0)),"※项目不在项目台账里",IF($E32="※工作类型没选","※工作类型没选","")))</f>
        <v/>
      </c>
    </row>
    <row r="33">
      <c r="A33" s="17">
        <f>IF($C33="","",ROW()-3)</f>
        <v/>
      </c>
      <c r="B33" s="18" t="n"/>
      <c r="C33" s="13" t="n"/>
      <c r="D33" s="13" t="n"/>
      <c r="E33" s="17">
        <f>IF($C33="","",IFERROR(VLOOKUP($D33,工作归属,2,0),"※工作类型没选"))</f>
        <v/>
      </c>
      <c r="F33" s="13" t="n"/>
      <c r="G33" s="13" t="n"/>
      <c r="H33" s="20" t="n"/>
      <c r="I33" s="14" t="n"/>
      <c r="J33" s="19">
        <f>IF($C33="","",ROUND(IF($H33="",1,$H33)*N($I33),2))</f>
        <v/>
      </c>
      <c r="K33" s="13" t="n"/>
      <c r="L33" s="13" t="n"/>
      <c r="M33" s="17">
        <f>IF($C33="","",IF(ISNA(MATCH($C33,项目名表,0)),"※项目不在项目台账里",IF($E33="※工作类型没选","※工作类型没选","")))</f>
        <v/>
      </c>
    </row>
    <row r="34">
      <c r="A34" s="17">
        <f>IF($C34="","",ROW()-3)</f>
        <v/>
      </c>
      <c r="B34" s="18" t="n"/>
      <c r="C34" s="13" t="n"/>
      <c r="D34" s="13" t="n"/>
      <c r="E34" s="17">
        <f>IF($C34="","",IFERROR(VLOOKUP($D34,工作归属,2,0),"※工作类型没选"))</f>
        <v/>
      </c>
      <c r="F34" s="13" t="n"/>
      <c r="G34" s="13" t="n"/>
      <c r="H34" s="20" t="n"/>
      <c r="I34" s="14" t="n"/>
      <c r="J34" s="19">
        <f>IF($C34="","",ROUND(IF($H34="",1,$H34)*N($I34),2))</f>
        <v/>
      </c>
      <c r="K34" s="13" t="n"/>
      <c r="L34" s="13" t="n"/>
      <c r="M34" s="17">
        <f>IF($C34="","",IF(ISNA(MATCH($C34,项目名表,0)),"※项目不在项目台账里",IF($E34="※工作类型没选","※工作类型没选","")))</f>
        <v/>
      </c>
    </row>
    <row r="35">
      <c r="A35" s="17">
        <f>IF($C35="","",ROW()-3)</f>
        <v/>
      </c>
      <c r="B35" s="18" t="n"/>
      <c r="C35" s="13" t="n"/>
      <c r="D35" s="13" t="n"/>
      <c r="E35" s="17">
        <f>IF($C35="","",IFERROR(VLOOKUP($D35,工作归属,2,0),"※工作类型没选"))</f>
        <v/>
      </c>
      <c r="F35" s="13" t="n"/>
      <c r="G35" s="13" t="n"/>
      <c r="H35" s="20" t="n"/>
      <c r="I35" s="14" t="n"/>
      <c r="J35" s="19">
        <f>IF($C35="","",ROUND(IF($H35="",1,$H35)*N($I35),2))</f>
        <v/>
      </c>
      <c r="K35" s="13" t="n"/>
      <c r="L35" s="13" t="n"/>
      <c r="M35" s="17">
        <f>IF($C35="","",IF(ISNA(MATCH($C35,项目名表,0)),"※项目不在项目台账里",IF($E35="※工作类型没选","※工作类型没选","")))</f>
        <v/>
      </c>
    </row>
    <row r="36">
      <c r="A36" s="17">
        <f>IF($C36="","",ROW()-3)</f>
        <v/>
      </c>
      <c r="B36" s="18" t="n"/>
      <c r="C36" s="13" t="n"/>
      <c r="D36" s="13" t="n"/>
      <c r="E36" s="17">
        <f>IF($C36="","",IFERROR(VLOOKUP($D36,工作归属,2,0),"※工作类型没选"))</f>
        <v/>
      </c>
      <c r="F36" s="13" t="n"/>
      <c r="G36" s="13" t="n"/>
      <c r="H36" s="20" t="n"/>
      <c r="I36" s="14" t="n"/>
      <c r="J36" s="19">
        <f>IF($C36="","",ROUND(IF($H36="",1,$H36)*N($I36),2))</f>
        <v/>
      </c>
      <c r="K36" s="13" t="n"/>
      <c r="L36" s="13" t="n"/>
      <c r="M36" s="17">
        <f>IF($C36="","",IF(ISNA(MATCH($C36,项目名表,0)),"※项目不在项目台账里",IF($E36="※工作类型没选","※工作类型没选","")))</f>
        <v/>
      </c>
    </row>
    <row r="37">
      <c r="A37" s="17">
        <f>IF($C37="","",ROW()-3)</f>
        <v/>
      </c>
      <c r="B37" s="18" t="n"/>
      <c r="C37" s="13" t="n"/>
      <c r="D37" s="13" t="n"/>
      <c r="E37" s="17">
        <f>IF($C37="","",IFERROR(VLOOKUP($D37,工作归属,2,0),"※工作类型没选"))</f>
        <v/>
      </c>
      <c r="F37" s="13" t="n"/>
      <c r="G37" s="13" t="n"/>
      <c r="H37" s="20" t="n"/>
      <c r="I37" s="14" t="n"/>
      <c r="J37" s="19">
        <f>IF($C37="","",ROUND(IF($H37="",1,$H37)*N($I37),2))</f>
        <v/>
      </c>
      <c r="K37" s="13" t="n"/>
      <c r="L37" s="13" t="n"/>
      <c r="M37" s="17">
        <f>IF($C37="","",IF(ISNA(MATCH($C37,项目名表,0)),"※项目不在项目台账里",IF($E37="※工作类型没选","※工作类型没选","")))</f>
        <v/>
      </c>
    </row>
    <row r="38">
      <c r="A38" s="17">
        <f>IF($C38="","",ROW()-3)</f>
        <v/>
      </c>
      <c r="B38" s="18" t="n"/>
      <c r="C38" s="13" t="n"/>
      <c r="D38" s="13" t="n"/>
      <c r="E38" s="17">
        <f>IF($C38="","",IFERROR(VLOOKUP($D38,工作归属,2,0),"※工作类型没选"))</f>
        <v/>
      </c>
      <c r="F38" s="13" t="n"/>
      <c r="G38" s="13" t="n"/>
      <c r="H38" s="20" t="n"/>
      <c r="I38" s="14" t="n"/>
      <c r="J38" s="19">
        <f>IF($C38="","",ROUND(IF($H38="",1,$H38)*N($I38),2))</f>
        <v/>
      </c>
      <c r="K38" s="13" t="n"/>
      <c r="L38" s="13" t="n"/>
      <c r="M38" s="17">
        <f>IF($C38="","",IF(ISNA(MATCH($C38,项目名表,0)),"※项目不在项目台账里",IF($E38="※工作类型没选","※工作类型没选","")))</f>
        <v/>
      </c>
    </row>
    <row r="39">
      <c r="A39" s="17">
        <f>IF($C39="","",ROW()-3)</f>
        <v/>
      </c>
      <c r="B39" s="18" t="n"/>
      <c r="C39" s="13" t="n"/>
      <c r="D39" s="13" t="n"/>
      <c r="E39" s="17">
        <f>IF($C39="","",IFERROR(VLOOKUP($D39,工作归属,2,0),"※工作类型没选"))</f>
        <v/>
      </c>
      <c r="F39" s="13" t="n"/>
      <c r="G39" s="13" t="n"/>
      <c r="H39" s="20" t="n"/>
      <c r="I39" s="14" t="n"/>
      <c r="J39" s="19">
        <f>IF($C39="","",ROUND(IF($H39="",1,$H39)*N($I39),2))</f>
        <v/>
      </c>
      <c r="K39" s="13" t="n"/>
      <c r="L39" s="13" t="n"/>
      <c r="M39" s="17">
        <f>IF($C39="","",IF(ISNA(MATCH($C39,项目名表,0)),"※项目不在项目台账里",IF($E39="※工作类型没选","※工作类型没选","")))</f>
        <v/>
      </c>
    </row>
    <row r="40">
      <c r="A40" s="17">
        <f>IF($C40="","",ROW()-3)</f>
        <v/>
      </c>
      <c r="B40" s="18" t="n"/>
      <c r="C40" s="13" t="n"/>
      <c r="D40" s="13" t="n"/>
      <c r="E40" s="17">
        <f>IF($C40="","",IFERROR(VLOOKUP($D40,工作归属,2,0),"※工作类型没选"))</f>
        <v/>
      </c>
      <c r="F40" s="13" t="n"/>
      <c r="G40" s="13" t="n"/>
      <c r="H40" s="20" t="n"/>
      <c r="I40" s="14" t="n"/>
      <c r="J40" s="19">
        <f>IF($C40="","",ROUND(IF($H40="",1,$H40)*N($I40),2))</f>
        <v/>
      </c>
      <c r="K40" s="13" t="n"/>
      <c r="L40" s="13" t="n"/>
      <c r="M40" s="17">
        <f>IF($C40="","",IF(ISNA(MATCH($C40,项目名表,0)),"※项目不在项目台账里",IF($E40="※工作类型没选","※工作类型没选","")))</f>
        <v/>
      </c>
    </row>
    <row r="41">
      <c r="A41" s="17">
        <f>IF($C41="","",ROW()-3)</f>
        <v/>
      </c>
      <c r="B41" s="18" t="n"/>
      <c r="C41" s="13" t="n"/>
      <c r="D41" s="13" t="n"/>
      <c r="E41" s="17">
        <f>IF($C41="","",IFERROR(VLOOKUP($D41,工作归属,2,0),"※工作类型没选"))</f>
        <v/>
      </c>
      <c r="F41" s="13" t="n"/>
      <c r="G41" s="13" t="n"/>
      <c r="H41" s="20" t="n"/>
      <c r="I41" s="14" t="n"/>
      <c r="J41" s="19">
        <f>IF($C41="","",ROUND(IF($H41="",1,$H41)*N($I41),2))</f>
        <v/>
      </c>
      <c r="K41" s="13" t="n"/>
      <c r="L41" s="13" t="n"/>
      <c r="M41" s="17">
        <f>IF($C41="","",IF(ISNA(MATCH($C41,项目名表,0)),"※项目不在项目台账里",IF($E41="※工作类型没选","※工作类型没选","")))</f>
        <v/>
      </c>
    </row>
    <row r="42">
      <c r="A42" s="17">
        <f>IF($C42="","",ROW()-3)</f>
        <v/>
      </c>
      <c r="B42" s="18" t="n"/>
      <c r="C42" s="13" t="n"/>
      <c r="D42" s="13" t="n"/>
      <c r="E42" s="17">
        <f>IF($C42="","",IFERROR(VLOOKUP($D42,工作归属,2,0),"※工作类型没选"))</f>
        <v/>
      </c>
      <c r="F42" s="13" t="n"/>
      <c r="G42" s="13" t="n"/>
      <c r="H42" s="20" t="n"/>
      <c r="I42" s="14" t="n"/>
      <c r="J42" s="19">
        <f>IF($C42="","",ROUND(IF($H42="",1,$H42)*N($I42),2))</f>
        <v/>
      </c>
      <c r="K42" s="13" t="n"/>
      <c r="L42" s="13" t="n"/>
      <c r="M42" s="17">
        <f>IF($C42="","",IF(ISNA(MATCH($C42,项目名表,0)),"※项目不在项目台账里",IF($E42="※工作类型没选","※工作类型没选","")))</f>
        <v/>
      </c>
    </row>
    <row r="43">
      <c r="A43" s="17">
        <f>IF($C43="","",ROW()-3)</f>
        <v/>
      </c>
      <c r="B43" s="18" t="n"/>
      <c r="C43" s="13" t="n"/>
      <c r="D43" s="13" t="n"/>
      <c r="E43" s="17">
        <f>IF($C43="","",IFERROR(VLOOKUP($D43,工作归属,2,0),"※工作类型没选"))</f>
        <v/>
      </c>
      <c r="F43" s="13" t="n"/>
      <c r="G43" s="13" t="n"/>
      <c r="H43" s="20" t="n"/>
      <c r="I43" s="14" t="n"/>
      <c r="J43" s="19">
        <f>IF($C43="","",ROUND(IF($H43="",1,$H43)*N($I43),2))</f>
        <v/>
      </c>
      <c r="K43" s="13" t="n"/>
      <c r="L43" s="13" t="n"/>
      <c r="M43" s="17">
        <f>IF($C43="","",IF(ISNA(MATCH($C43,项目名表,0)),"※项目不在项目台账里",IF($E43="※工作类型没选","※工作类型没选","")))</f>
        <v/>
      </c>
    </row>
    <row r="44">
      <c r="A44" s="17">
        <f>IF($C44="","",ROW()-3)</f>
        <v/>
      </c>
      <c r="B44" s="18" t="n"/>
      <c r="C44" s="13" t="n"/>
      <c r="D44" s="13" t="n"/>
      <c r="E44" s="17">
        <f>IF($C44="","",IFERROR(VLOOKUP($D44,工作归属,2,0),"※工作类型没选"))</f>
        <v/>
      </c>
      <c r="F44" s="13" t="n"/>
      <c r="G44" s="13" t="n"/>
      <c r="H44" s="20" t="n"/>
      <c r="I44" s="14" t="n"/>
      <c r="J44" s="19">
        <f>IF($C44="","",ROUND(IF($H44="",1,$H44)*N($I44),2))</f>
        <v/>
      </c>
      <c r="K44" s="13" t="n"/>
      <c r="L44" s="13" t="n"/>
      <c r="M44" s="17">
        <f>IF($C44="","",IF(ISNA(MATCH($C44,项目名表,0)),"※项目不在项目台账里",IF($E44="※工作类型没选","※工作类型没选","")))</f>
        <v/>
      </c>
    </row>
    <row r="45">
      <c r="A45" s="17">
        <f>IF($C45="","",ROW()-3)</f>
        <v/>
      </c>
      <c r="B45" s="18" t="n"/>
      <c r="C45" s="13" t="n"/>
      <c r="D45" s="13" t="n"/>
      <c r="E45" s="17">
        <f>IF($C45="","",IFERROR(VLOOKUP($D45,工作归属,2,0),"※工作类型没选"))</f>
        <v/>
      </c>
      <c r="F45" s="13" t="n"/>
      <c r="G45" s="13" t="n"/>
      <c r="H45" s="20" t="n"/>
      <c r="I45" s="14" t="n"/>
      <c r="J45" s="19">
        <f>IF($C45="","",ROUND(IF($H45="",1,$H45)*N($I45),2))</f>
        <v/>
      </c>
      <c r="K45" s="13" t="n"/>
      <c r="L45" s="13" t="n"/>
      <c r="M45" s="17">
        <f>IF($C45="","",IF(ISNA(MATCH($C45,项目名表,0)),"※项目不在项目台账里",IF($E45="※工作类型没选","※工作类型没选","")))</f>
        <v/>
      </c>
    </row>
    <row r="46">
      <c r="A46" s="17">
        <f>IF($C46="","",ROW()-3)</f>
        <v/>
      </c>
      <c r="B46" s="18" t="n"/>
      <c r="C46" s="13" t="n"/>
      <c r="D46" s="13" t="n"/>
      <c r="E46" s="17">
        <f>IF($C46="","",IFERROR(VLOOKUP($D46,工作归属,2,0),"※工作类型没选"))</f>
        <v/>
      </c>
      <c r="F46" s="13" t="n"/>
      <c r="G46" s="13" t="n"/>
      <c r="H46" s="20" t="n"/>
      <c r="I46" s="14" t="n"/>
      <c r="J46" s="19">
        <f>IF($C46="","",ROUND(IF($H46="",1,$H46)*N($I46),2))</f>
        <v/>
      </c>
      <c r="K46" s="13" t="n"/>
      <c r="L46" s="13" t="n"/>
      <c r="M46" s="17">
        <f>IF($C46="","",IF(ISNA(MATCH($C46,项目名表,0)),"※项目不在项目台账里",IF($E46="※工作类型没选","※工作类型没选","")))</f>
        <v/>
      </c>
    </row>
    <row r="47">
      <c r="A47" s="17">
        <f>IF($C47="","",ROW()-3)</f>
        <v/>
      </c>
      <c r="B47" s="18" t="n"/>
      <c r="C47" s="13" t="n"/>
      <c r="D47" s="13" t="n"/>
      <c r="E47" s="17">
        <f>IF($C47="","",IFERROR(VLOOKUP($D47,工作归属,2,0),"※工作类型没选"))</f>
        <v/>
      </c>
      <c r="F47" s="13" t="n"/>
      <c r="G47" s="13" t="n"/>
      <c r="H47" s="20" t="n"/>
      <c r="I47" s="14" t="n"/>
      <c r="J47" s="19">
        <f>IF($C47="","",ROUND(IF($H47="",1,$H47)*N($I47),2))</f>
        <v/>
      </c>
      <c r="K47" s="13" t="n"/>
      <c r="L47" s="13" t="n"/>
      <c r="M47" s="17">
        <f>IF($C47="","",IF(ISNA(MATCH($C47,项目名表,0)),"※项目不在项目台账里",IF($E47="※工作类型没选","※工作类型没选","")))</f>
        <v/>
      </c>
    </row>
    <row r="48">
      <c r="A48" s="17">
        <f>IF($C48="","",ROW()-3)</f>
        <v/>
      </c>
      <c r="B48" s="18" t="n"/>
      <c r="C48" s="13" t="n"/>
      <c r="D48" s="13" t="n"/>
      <c r="E48" s="17">
        <f>IF($C48="","",IFERROR(VLOOKUP($D48,工作归属,2,0),"※工作类型没选"))</f>
        <v/>
      </c>
      <c r="F48" s="13" t="n"/>
      <c r="G48" s="13" t="n"/>
      <c r="H48" s="20" t="n"/>
      <c r="I48" s="14" t="n"/>
      <c r="J48" s="19">
        <f>IF($C48="","",ROUND(IF($H48="",1,$H48)*N($I48),2))</f>
        <v/>
      </c>
      <c r="K48" s="13" t="n"/>
      <c r="L48" s="13" t="n"/>
      <c r="M48" s="17">
        <f>IF($C48="","",IF(ISNA(MATCH($C48,项目名表,0)),"※项目不在项目台账里",IF($E48="※工作类型没选","※工作类型没选","")))</f>
        <v/>
      </c>
    </row>
    <row r="49">
      <c r="A49" s="17">
        <f>IF($C49="","",ROW()-3)</f>
        <v/>
      </c>
      <c r="B49" s="18" t="n"/>
      <c r="C49" s="13" t="n"/>
      <c r="D49" s="13" t="n"/>
      <c r="E49" s="17">
        <f>IF($C49="","",IFERROR(VLOOKUP($D49,工作归属,2,0),"※工作类型没选"))</f>
        <v/>
      </c>
      <c r="F49" s="13" t="n"/>
      <c r="G49" s="13" t="n"/>
      <c r="H49" s="20" t="n"/>
      <c r="I49" s="14" t="n"/>
      <c r="J49" s="19">
        <f>IF($C49="","",ROUND(IF($H49="",1,$H49)*N($I49),2))</f>
        <v/>
      </c>
      <c r="K49" s="13" t="n"/>
      <c r="L49" s="13" t="n"/>
      <c r="M49" s="17">
        <f>IF($C49="","",IF(ISNA(MATCH($C49,项目名表,0)),"※项目不在项目台账里",IF($E49="※工作类型没选","※工作类型没选","")))</f>
        <v/>
      </c>
    </row>
    <row r="50">
      <c r="A50" s="17">
        <f>IF($C50="","",ROW()-3)</f>
        <v/>
      </c>
      <c r="B50" s="18" t="n"/>
      <c r="C50" s="13" t="n"/>
      <c r="D50" s="13" t="n"/>
      <c r="E50" s="17">
        <f>IF($C50="","",IFERROR(VLOOKUP($D50,工作归属,2,0),"※工作类型没选"))</f>
        <v/>
      </c>
      <c r="F50" s="13" t="n"/>
      <c r="G50" s="13" t="n"/>
      <c r="H50" s="20" t="n"/>
      <c r="I50" s="14" t="n"/>
      <c r="J50" s="19">
        <f>IF($C50="","",ROUND(IF($H50="",1,$H50)*N($I50),2))</f>
        <v/>
      </c>
      <c r="K50" s="13" t="n"/>
      <c r="L50" s="13" t="n"/>
      <c r="M50" s="17">
        <f>IF($C50="","",IF(ISNA(MATCH($C50,项目名表,0)),"※项目不在项目台账里",IF($E50="※工作类型没选","※工作类型没选","")))</f>
        <v/>
      </c>
    </row>
    <row r="51">
      <c r="A51" s="17">
        <f>IF($C51="","",ROW()-3)</f>
        <v/>
      </c>
      <c r="B51" s="18" t="n"/>
      <c r="C51" s="13" t="n"/>
      <c r="D51" s="13" t="n"/>
      <c r="E51" s="17">
        <f>IF($C51="","",IFERROR(VLOOKUP($D51,工作归属,2,0),"※工作类型没选"))</f>
        <v/>
      </c>
      <c r="F51" s="13" t="n"/>
      <c r="G51" s="13" t="n"/>
      <c r="H51" s="20" t="n"/>
      <c r="I51" s="14" t="n"/>
      <c r="J51" s="19">
        <f>IF($C51="","",ROUND(IF($H51="",1,$H51)*N($I51),2))</f>
        <v/>
      </c>
      <c r="K51" s="13" t="n"/>
      <c r="L51" s="13" t="n"/>
      <c r="M51" s="17">
        <f>IF($C51="","",IF(ISNA(MATCH($C51,项目名表,0)),"※项目不在项目台账里",IF($E51="※工作类型没选","※工作类型没选","")))</f>
        <v/>
      </c>
    </row>
    <row r="52">
      <c r="A52" s="17">
        <f>IF($C52="","",ROW()-3)</f>
        <v/>
      </c>
      <c r="B52" s="18" t="n"/>
      <c r="C52" s="13" t="n"/>
      <c r="D52" s="13" t="n"/>
      <c r="E52" s="17">
        <f>IF($C52="","",IFERROR(VLOOKUP($D52,工作归属,2,0),"※工作类型没选"))</f>
        <v/>
      </c>
      <c r="F52" s="13" t="n"/>
      <c r="G52" s="13" t="n"/>
      <c r="H52" s="20" t="n"/>
      <c r="I52" s="14" t="n"/>
      <c r="J52" s="19">
        <f>IF($C52="","",ROUND(IF($H52="",1,$H52)*N($I52),2))</f>
        <v/>
      </c>
      <c r="K52" s="13" t="n"/>
      <c r="L52" s="13" t="n"/>
      <c r="M52" s="17">
        <f>IF($C52="","",IF(ISNA(MATCH($C52,项目名表,0)),"※项目不在项目台账里",IF($E52="※工作类型没选","※工作类型没选","")))</f>
        <v/>
      </c>
    </row>
    <row r="53">
      <c r="A53" s="17">
        <f>IF($C53="","",ROW()-3)</f>
        <v/>
      </c>
      <c r="B53" s="18" t="n"/>
      <c r="C53" s="13" t="n"/>
      <c r="D53" s="13" t="n"/>
      <c r="E53" s="17">
        <f>IF($C53="","",IFERROR(VLOOKUP($D53,工作归属,2,0),"※工作类型没选"))</f>
        <v/>
      </c>
      <c r="F53" s="13" t="n"/>
      <c r="G53" s="13" t="n"/>
      <c r="H53" s="20" t="n"/>
      <c r="I53" s="14" t="n"/>
      <c r="J53" s="19">
        <f>IF($C53="","",ROUND(IF($H53="",1,$H53)*N($I53),2))</f>
        <v/>
      </c>
      <c r="K53" s="13" t="n"/>
      <c r="L53" s="13" t="n"/>
      <c r="M53" s="17">
        <f>IF($C53="","",IF(ISNA(MATCH($C53,项目名表,0)),"※项目不在项目台账里",IF($E53="※工作类型没选","※工作类型没选","")))</f>
        <v/>
      </c>
    </row>
    <row r="54">
      <c r="A54" s="17">
        <f>IF($C54="","",ROW()-3)</f>
        <v/>
      </c>
      <c r="B54" s="18" t="n"/>
      <c r="C54" s="13" t="n"/>
      <c r="D54" s="13" t="n"/>
      <c r="E54" s="17">
        <f>IF($C54="","",IFERROR(VLOOKUP($D54,工作归属,2,0),"※工作类型没选"))</f>
        <v/>
      </c>
      <c r="F54" s="13" t="n"/>
      <c r="G54" s="13" t="n"/>
      <c r="H54" s="20" t="n"/>
      <c r="I54" s="14" t="n"/>
      <c r="J54" s="19">
        <f>IF($C54="","",ROUND(IF($H54="",1,$H54)*N($I54),2))</f>
        <v/>
      </c>
      <c r="K54" s="13" t="n"/>
      <c r="L54" s="13" t="n"/>
      <c r="M54" s="17">
        <f>IF($C54="","",IF(ISNA(MATCH($C54,项目名表,0)),"※项目不在项目台账里",IF($E54="※工作类型没选","※工作类型没选","")))</f>
        <v/>
      </c>
    </row>
    <row r="55">
      <c r="A55" s="17">
        <f>IF($C55="","",ROW()-3)</f>
        <v/>
      </c>
      <c r="B55" s="18" t="n"/>
      <c r="C55" s="13" t="n"/>
      <c r="D55" s="13" t="n"/>
      <c r="E55" s="17">
        <f>IF($C55="","",IFERROR(VLOOKUP($D55,工作归属,2,0),"※工作类型没选"))</f>
        <v/>
      </c>
      <c r="F55" s="13" t="n"/>
      <c r="G55" s="13" t="n"/>
      <c r="H55" s="20" t="n"/>
      <c r="I55" s="14" t="n"/>
      <c r="J55" s="19">
        <f>IF($C55="","",ROUND(IF($H55="",1,$H55)*N($I55),2))</f>
        <v/>
      </c>
      <c r="K55" s="13" t="n"/>
      <c r="L55" s="13" t="n"/>
      <c r="M55" s="17">
        <f>IF($C55="","",IF(ISNA(MATCH($C55,项目名表,0)),"※项目不在项目台账里",IF($E55="※工作类型没选","※工作类型没选","")))</f>
        <v/>
      </c>
    </row>
    <row r="56">
      <c r="A56" s="17">
        <f>IF($C56="","",ROW()-3)</f>
        <v/>
      </c>
      <c r="B56" s="18" t="n"/>
      <c r="C56" s="13" t="n"/>
      <c r="D56" s="13" t="n"/>
      <c r="E56" s="17">
        <f>IF($C56="","",IFERROR(VLOOKUP($D56,工作归属,2,0),"※工作类型没选"))</f>
        <v/>
      </c>
      <c r="F56" s="13" t="n"/>
      <c r="G56" s="13" t="n"/>
      <c r="H56" s="20" t="n"/>
      <c r="I56" s="14" t="n"/>
      <c r="J56" s="19">
        <f>IF($C56="","",ROUND(IF($H56="",1,$H56)*N($I56),2))</f>
        <v/>
      </c>
      <c r="K56" s="13" t="n"/>
      <c r="L56" s="13" t="n"/>
      <c r="M56" s="17">
        <f>IF($C56="","",IF(ISNA(MATCH($C56,项目名表,0)),"※项目不在项目台账里",IF($E56="※工作类型没选","※工作类型没选","")))</f>
        <v/>
      </c>
    </row>
    <row r="57">
      <c r="A57" s="17">
        <f>IF($C57="","",ROW()-3)</f>
        <v/>
      </c>
      <c r="B57" s="18" t="n"/>
      <c r="C57" s="13" t="n"/>
      <c r="D57" s="13" t="n"/>
      <c r="E57" s="17">
        <f>IF($C57="","",IFERROR(VLOOKUP($D57,工作归属,2,0),"※工作类型没选"))</f>
        <v/>
      </c>
      <c r="F57" s="13" t="n"/>
      <c r="G57" s="13" t="n"/>
      <c r="H57" s="20" t="n"/>
      <c r="I57" s="14" t="n"/>
      <c r="J57" s="19">
        <f>IF($C57="","",ROUND(IF($H57="",1,$H57)*N($I57),2))</f>
        <v/>
      </c>
      <c r="K57" s="13" t="n"/>
      <c r="L57" s="13" t="n"/>
      <c r="M57" s="17">
        <f>IF($C57="","",IF(ISNA(MATCH($C57,项目名表,0)),"※项目不在项目台账里",IF($E57="※工作类型没选","※工作类型没选","")))</f>
        <v/>
      </c>
    </row>
    <row r="58">
      <c r="A58" s="17">
        <f>IF($C58="","",ROW()-3)</f>
        <v/>
      </c>
      <c r="B58" s="18" t="n"/>
      <c r="C58" s="13" t="n"/>
      <c r="D58" s="13" t="n"/>
      <c r="E58" s="17">
        <f>IF($C58="","",IFERROR(VLOOKUP($D58,工作归属,2,0),"※工作类型没选"))</f>
        <v/>
      </c>
      <c r="F58" s="13" t="n"/>
      <c r="G58" s="13" t="n"/>
      <c r="H58" s="20" t="n"/>
      <c r="I58" s="14" t="n"/>
      <c r="J58" s="19">
        <f>IF($C58="","",ROUND(IF($H58="",1,$H58)*N($I58),2))</f>
        <v/>
      </c>
      <c r="K58" s="13" t="n"/>
      <c r="L58" s="13" t="n"/>
      <c r="M58" s="17">
        <f>IF($C58="","",IF(ISNA(MATCH($C58,项目名表,0)),"※项目不在项目台账里",IF($E58="※工作类型没选","※工作类型没选","")))</f>
        <v/>
      </c>
    </row>
    <row r="59">
      <c r="A59" s="17">
        <f>IF($C59="","",ROW()-3)</f>
        <v/>
      </c>
      <c r="B59" s="18" t="n"/>
      <c r="C59" s="13" t="n"/>
      <c r="D59" s="13" t="n"/>
      <c r="E59" s="17">
        <f>IF($C59="","",IFERROR(VLOOKUP($D59,工作归属,2,0),"※工作类型没选"))</f>
        <v/>
      </c>
      <c r="F59" s="13" t="n"/>
      <c r="G59" s="13" t="n"/>
      <c r="H59" s="20" t="n"/>
      <c r="I59" s="14" t="n"/>
      <c r="J59" s="19">
        <f>IF($C59="","",ROUND(IF($H59="",1,$H59)*N($I59),2))</f>
        <v/>
      </c>
      <c r="K59" s="13" t="n"/>
      <c r="L59" s="13" t="n"/>
      <c r="M59" s="17">
        <f>IF($C59="","",IF(ISNA(MATCH($C59,项目名表,0)),"※项目不在项目台账里",IF($E59="※工作类型没选","※工作类型没选","")))</f>
        <v/>
      </c>
    </row>
    <row r="60">
      <c r="A60" s="17">
        <f>IF($C60="","",ROW()-3)</f>
        <v/>
      </c>
      <c r="B60" s="18" t="n"/>
      <c r="C60" s="13" t="n"/>
      <c r="D60" s="13" t="n"/>
      <c r="E60" s="17">
        <f>IF($C60="","",IFERROR(VLOOKUP($D60,工作归属,2,0),"※工作类型没选"))</f>
        <v/>
      </c>
      <c r="F60" s="13" t="n"/>
      <c r="G60" s="13" t="n"/>
      <c r="H60" s="20" t="n"/>
      <c r="I60" s="14" t="n"/>
      <c r="J60" s="19">
        <f>IF($C60="","",ROUND(IF($H60="",1,$H60)*N($I60),2))</f>
        <v/>
      </c>
      <c r="K60" s="13" t="n"/>
      <c r="L60" s="13" t="n"/>
      <c r="M60" s="17">
        <f>IF($C60="","",IF(ISNA(MATCH($C60,项目名表,0)),"※项目不在项目台账里",IF($E60="※工作类型没选","※工作类型没选","")))</f>
        <v/>
      </c>
    </row>
    <row r="61">
      <c r="A61" s="17">
        <f>IF($C61="","",ROW()-3)</f>
        <v/>
      </c>
      <c r="B61" s="18" t="n"/>
      <c r="C61" s="13" t="n"/>
      <c r="D61" s="13" t="n"/>
      <c r="E61" s="17">
        <f>IF($C61="","",IFERROR(VLOOKUP($D61,工作归属,2,0),"※工作类型没选"))</f>
        <v/>
      </c>
      <c r="F61" s="13" t="n"/>
      <c r="G61" s="13" t="n"/>
      <c r="H61" s="20" t="n"/>
      <c r="I61" s="14" t="n"/>
      <c r="J61" s="19">
        <f>IF($C61="","",ROUND(IF($H61="",1,$H61)*N($I61),2))</f>
        <v/>
      </c>
      <c r="K61" s="13" t="n"/>
      <c r="L61" s="13" t="n"/>
      <c r="M61" s="17">
        <f>IF($C61="","",IF(ISNA(MATCH($C61,项目名表,0)),"※项目不在项目台账里",IF($E61="※工作类型没选","※工作类型没选","")))</f>
        <v/>
      </c>
    </row>
    <row r="62">
      <c r="A62" s="17">
        <f>IF($C62="","",ROW()-3)</f>
        <v/>
      </c>
      <c r="B62" s="18" t="n"/>
      <c r="C62" s="13" t="n"/>
      <c r="D62" s="13" t="n"/>
      <c r="E62" s="17">
        <f>IF($C62="","",IFERROR(VLOOKUP($D62,工作归属,2,0),"※工作类型没选"))</f>
        <v/>
      </c>
      <c r="F62" s="13" t="n"/>
      <c r="G62" s="13" t="n"/>
      <c r="H62" s="20" t="n"/>
      <c r="I62" s="14" t="n"/>
      <c r="J62" s="19">
        <f>IF($C62="","",ROUND(IF($H62="",1,$H62)*N($I62),2))</f>
        <v/>
      </c>
      <c r="K62" s="13" t="n"/>
      <c r="L62" s="13" t="n"/>
      <c r="M62" s="17">
        <f>IF($C62="","",IF(ISNA(MATCH($C62,项目名表,0)),"※项目不在项目台账里",IF($E62="※工作类型没选","※工作类型没选","")))</f>
        <v/>
      </c>
    </row>
    <row r="63">
      <c r="A63" s="17">
        <f>IF($C63="","",ROW()-3)</f>
        <v/>
      </c>
      <c r="B63" s="18" t="n"/>
      <c r="C63" s="13" t="n"/>
      <c r="D63" s="13" t="n"/>
      <c r="E63" s="17">
        <f>IF($C63="","",IFERROR(VLOOKUP($D63,工作归属,2,0),"※工作类型没选"))</f>
        <v/>
      </c>
      <c r="F63" s="13" t="n"/>
      <c r="G63" s="13" t="n"/>
      <c r="H63" s="20" t="n"/>
      <c r="I63" s="14" t="n"/>
      <c r="J63" s="19">
        <f>IF($C63="","",ROUND(IF($H63="",1,$H63)*N($I63),2))</f>
        <v/>
      </c>
      <c r="K63" s="13" t="n"/>
      <c r="L63" s="13" t="n"/>
      <c r="M63" s="17">
        <f>IF($C63="","",IF(ISNA(MATCH($C63,项目名表,0)),"※项目不在项目台账里",IF($E63="※工作类型没选","※工作类型没选","")))</f>
        <v/>
      </c>
    </row>
    <row r="64">
      <c r="A64" s="17">
        <f>IF($C64="","",ROW()-3)</f>
        <v/>
      </c>
      <c r="B64" s="18" t="n"/>
      <c r="C64" s="13" t="n"/>
      <c r="D64" s="13" t="n"/>
      <c r="E64" s="17">
        <f>IF($C64="","",IFERROR(VLOOKUP($D64,工作归属,2,0),"※工作类型没选"))</f>
        <v/>
      </c>
      <c r="F64" s="13" t="n"/>
      <c r="G64" s="13" t="n"/>
      <c r="H64" s="20" t="n"/>
      <c r="I64" s="14" t="n"/>
      <c r="J64" s="19">
        <f>IF($C64="","",ROUND(IF($H64="",1,$H64)*N($I64),2))</f>
        <v/>
      </c>
      <c r="K64" s="13" t="n"/>
      <c r="L64" s="13" t="n"/>
      <c r="M64" s="17">
        <f>IF($C64="","",IF(ISNA(MATCH($C64,项目名表,0)),"※项目不在项目台账里",IF($E64="※工作类型没选","※工作类型没选","")))</f>
        <v/>
      </c>
    </row>
    <row r="65">
      <c r="A65" s="17">
        <f>IF($C65="","",ROW()-3)</f>
        <v/>
      </c>
      <c r="B65" s="18" t="n"/>
      <c r="C65" s="13" t="n"/>
      <c r="D65" s="13" t="n"/>
      <c r="E65" s="17">
        <f>IF($C65="","",IFERROR(VLOOKUP($D65,工作归属,2,0),"※工作类型没选"))</f>
        <v/>
      </c>
      <c r="F65" s="13" t="n"/>
      <c r="G65" s="13" t="n"/>
      <c r="H65" s="20" t="n"/>
      <c r="I65" s="14" t="n"/>
      <c r="J65" s="19">
        <f>IF($C65="","",ROUND(IF($H65="",1,$H65)*N($I65),2))</f>
        <v/>
      </c>
      <c r="K65" s="13" t="n"/>
      <c r="L65" s="13" t="n"/>
      <c r="M65" s="17">
        <f>IF($C65="","",IF(ISNA(MATCH($C65,项目名表,0)),"※项目不在项目台账里",IF($E65="※工作类型没选","※工作类型没选","")))</f>
        <v/>
      </c>
    </row>
    <row r="66">
      <c r="A66" s="17">
        <f>IF($C66="","",ROW()-3)</f>
        <v/>
      </c>
      <c r="B66" s="18" t="n"/>
      <c r="C66" s="13" t="n"/>
      <c r="D66" s="13" t="n"/>
      <c r="E66" s="17">
        <f>IF($C66="","",IFERROR(VLOOKUP($D66,工作归属,2,0),"※工作类型没选"))</f>
        <v/>
      </c>
      <c r="F66" s="13" t="n"/>
      <c r="G66" s="13" t="n"/>
      <c r="H66" s="20" t="n"/>
      <c r="I66" s="14" t="n"/>
      <c r="J66" s="19">
        <f>IF($C66="","",ROUND(IF($H66="",1,$H66)*N($I66),2))</f>
        <v/>
      </c>
      <c r="K66" s="13" t="n"/>
      <c r="L66" s="13" t="n"/>
      <c r="M66" s="17">
        <f>IF($C66="","",IF(ISNA(MATCH($C66,项目名表,0)),"※项目不在项目台账里",IF($E66="※工作类型没选","※工作类型没选","")))</f>
        <v/>
      </c>
    </row>
    <row r="67">
      <c r="A67" s="17">
        <f>IF($C67="","",ROW()-3)</f>
        <v/>
      </c>
      <c r="B67" s="18" t="n"/>
      <c r="C67" s="13" t="n"/>
      <c r="D67" s="13" t="n"/>
      <c r="E67" s="17">
        <f>IF($C67="","",IFERROR(VLOOKUP($D67,工作归属,2,0),"※工作类型没选"))</f>
        <v/>
      </c>
      <c r="F67" s="13" t="n"/>
      <c r="G67" s="13" t="n"/>
      <c r="H67" s="20" t="n"/>
      <c r="I67" s="14" t="n"/>
      <c r="J67" s="19">
        <f>IF($C67="","",ROUND(IF($H67="",1,$H67)*N($I67),2))</f>
        <v/>
      </c>
      <c r="K67" s="13" t="n"/>
      <c r="L67" s="13" t="n"/>
      <c r="M67" s="17">
        <f>IF($C67="","",IF(ISNA(MATCH($C67,项目名表,0)),"※项目不在项目台账里",IF($E67="※工作类型没选","※工作类型没选","")))</f>
        <v/>
      </c>
    </row>
    <row r="68">
      <c r="A68" s="17">
        <f>IF($C68="","",ROW()-3)</f>
        <v/>
      </c>
      <c r="B68" s="18" t="n"/>
      <c r="C68" s="13" t="n"/>
      <c r="D68" s="13" t="n"/>
      <c r="E68" s="17">
        <f>IF($C68="","",IFERROR(VLOOKUP($D68,工作归属,2,0),"※工作类型没选"))</f>
        <v/>
      </c>
      <c r="F68" s="13" t="n"/>
      <c r="G68" s="13" t="n"/>
      <c r="H68" s="20" t="n"/>
      <c r="I68" s="14" t="n"/>
      <c r="J68" s="19">
        <f>IF($C68="","",ROUND(IF($H68="",1,$H68)*N($I68),2))</f>
        <v/>
      </c>
      <c r="K68" s="13" t="n"/>
      <c r="L68" s="13" t="n"/>
      <c r="M68" s="17">
        <f>IF($C68="","",IF(ISNA(MATCH($C68,项目名表,0)),"※项目不在项目台账里",IF($E68="※工作类型没选","※工作类型没选","")))</f>
        <v/>
      </c>
    </row>
    <row r="69">
      <c r="A69" s="17">
        <f>IF($C69="","",ROW()-3)</f>
        <v/>
      </c>
      <c r="B69" s="18" t="n"/>
      <c r="C69" s="13" t="n"/>
      <c r="D69" s="13" t="n"/>
      <c r="E69" s="17">
        <f>IF($C69="","",IFERROR(VLOOKUP($D69,工作归属,2,0),"※工作类型没选"))</f>
        <v/>
      </c>
      <c r="F69" s="13" t="n"/>
      <c r="G69" s="13" t="n"/>
      <c r="H69" s="20" t="n"/>
      <c r="I69" s="14" t="n"/>
      <c r="J69" s="19">
        <f>IF($C69="","",ROUND(IF($H69="",1,$H69)*N($I69),2))</f>
        <v/>
      </c>
      <c r="K69" s="13" t="n"/>
      <c r="L69" s="13" t="n"/>
      <c r="M69" s="17">
        <f>IF($C69="","",IF(ISNA(MATCH($C69,项目名表,0)),"※项目不在项目台账里",IF($E69="※工作类型没选","※工作类型没选","")))</f>
        <v/>
      </c>
    </row>
    <row r="70">
      <c r="A70" s="17">
        <f>IF($C70="","",ROW()-3)</f>
        <v/>
      </c>
      <c r="B70" s="18" t="n"/>
      <c r="C70" s="13" t="n"/>
      <c r="D70" s="13" t="n"/>
      <c r="E70" s="17">
        <f>IF($C70="","",IFERROR(VLOOKUP($D70,工作归属,2,0),"※工作类型没选"))</f>
        <v/>
      </c>
      <c r="F70" s="13" t="n"/>
      <c r="G70" s="13" t="n"/>
      <c r="H70" s="20" t="n"/>
      <c r="I70" s="14" t="n"/>
      <c r="J70" s="19">
        <f>IF($C70="","",ROUND(IF($H70="",1,$H70)*N($I70),2))</f>
        <v/>
      </c>
      <c r="K70" s="13" t="n"/>
      <c r="L70" s="13" t="n"/>
      <c r="M70" s="17">
        <f>IF($C70="","",IF(ISNA(MATCH($C70,项目名表,0)),"※项目不在项目台账里",IF($E70="※工作类型没选","※工作类型没选","")))</f>
        <v/>
      </c>
    </row>
    <row r="71">
      <c r="A71" s="17">
        <f>IF($C71="","",ROW()-3)</f>
        <v/>
      </c>
      <c r="B71" s="18" t="n"/>
      <c r="C71" s="13" t="n"/>
      <c r="D71" s="13" t="n"/>
      <c r="E71" s="17">
        <f>IF($C71="","",IFERROR(VLOOKUP($D71,工作归属,2,0),"※工作类型没选"))</f>
        <v/>
      </c>
      <c r="F71" s="13" t="n"/>
      <c r="G71" s="13" t="n"/>
      <c r="H71" s="20" t="n"/>
      <c r="I71" s="14" t="n"/>
      <c r="J71" s="19">
        <f>IF($C71="","",ROUND(IF($H71="",1,$H71)*N($I71),2))</f>
        <v/>
      </c>
      <c r="K71" s="13" t="n"/>
      <c r="L71" s="13" t="n"/>
      <c r="M71" s="17">
        <f>IF($C71="","",IF(ISNA(MATCH($C71,项目名表,0)),"※项目不在项目台账里",IF($E71="※工作类型没选","※工作类型没选","")))</f>
        <v/>
      </c>
    </row>
    <row r="72">
      <c r="A72" s="17">
        <f>IF($C72="","",ROW()-3)</f>
        <v/>
      </c>
      <c r="B72" s="18" t="n"/>
      <c r="C72" s="13" t="n"/>
      <c r="D72" s="13" t="n"/>
      <c r="E72" s="17">
        <f>IF($C72="","",IFERROR(VLOOKUP($D72,工作归属,2,0),"※工作类型没选"))</f>
        <v/>
      </c>
      <c r="F72" s="13" t="n"/>
      <c r="G72" s="13" t="n"/>
      <c r="H72" s="20" t="n"/>
      <c r="I72" s="14" t="n"/>
      <c r="J72" s="19">
        <f>IF($C72="","",ROUND(IF($H72="",1,$H72)*N($I72),2))</f>
        <v/>
      </c>
      <c r="K72" s="13" t="n"/>
      <c r="L72" s="13" t="n"/>
      <c r="M72" s="17">
        <f>IF($C72="","",IF(ISNA(MATCH($C72,项目名表,0)),"※项目不在项目台账里",IF($E72="※工作类型没选","※工作类型没选","")))</f>
        <v/>
      </c>
    </row>
    <row r="73">
      <c r="A73" s="17">
        <f>IF($C73="","",ROW()-3)</f>
        <v/>
      </c>
      <c r="B73" s="18" t="n"/>
      <c r="C73" s="13" t="n"/>
      <c r="D73" s="13" t="n"/>
      <c r="E73" s="17">
        <f>IF($C73="","",IFERROR(VLOOKUP($D73,工作归属,2,0),"※工作类型没选"))</f>
        <v/>
      </c>
      <c r="F73" s="13" t="n"/>
      <c r="G73" s="13" t="n"/>
      <c r="H73" s="20" t="n"/>
      <c r="I73" s="14" t="n"/>
      <c r="J73" s="19">
        <f>IF($C73="","",ROUND(IF($H73="",1,$H73)*N($I73),2))</f>
        <v/>
      </c>
      <c r="K73" s="13" t="n"/>
      <c r="L73" s="13" t="n"/>
      <c r="M73" s="17">
        <f>IF($C73="","",IF(ISNA(MATCH($C73,项目名表,0)),"※项目不在项目台账里",IF($E73="※工作类型没选","※工作类型没选","")))</f>
        <v/>
      </c>
    </row>
    <row r="74">
      <c r="A74" s="17">
        <f>IF($C74="","",ROW()-3)</f>
        <v/>
      </c>
      <c r="B74" s="18" t="n"/>
      <c r="C74" s="13" t="n"/>
      <c r="D74" s="13" t="n"/>
      <c r="E74" s="17">
        <f>IF($C74="","",IFERROR(VLOOKUP($D74,工作归属,2,0),"※工作类型没选"))</f>
        <v/>
      </c>
      <c r="F74" s="13" t="n"/>
      <c r="G74" s="13" t="n"/>
      <c r="H74" s="20" t="n"/>
      <c r="I74" s="14" t="n"/>
      <c r="J74" s="19">
        <f>IF($C74="","",ROUND(IF($H74="",1,$H74)*N($I74),2))</f>
        <v/>
      </c>
      <c r="K74" s="13" t="n"/>
      <c r="L74" s="13" t="n"/>
      <c r="M74" s="17">
        <f>IF($C74="","",IF(ISNA(MATCH($C74,项目名表,0)),"※项目不在项目台账里",IF($E74="※工作类型没选","※工作类型没选","")))</f>
        <v/>
      </c>
    </row>
    <row r="75">
      <c r="A75" s="17">
        <f>IF($C75="","",ROW()-3)</f>
        <v/>
      </c>
      <c r="B75" s="18" t="n"/>
      <c r="C75" s="13" t="n"/>
      <c r="D75" s="13" t="n"/>
      <c r="E75" s="17">
        <f>IF($C75="","",IFERROR(VLOOKUP($D75,工作归属,2,0),"※工作类型没选"))</f>
        <v/>
      </c>
      <c r="F75" s="13" t="n"/>
      <c r="G75" s="13" t="n"/>
      <c r="H75" s="20" t="n"/>
      <c r="I75" s="14" t="n"/>
      <c r="J75" s="19">
        <f>IF($C75="","",ROUND(IF($H75="",1,$H75)*N($I75),2))</f>
        <v/>
      </c>
      <c r="K75" s="13" t="n"/>
      <c r="L75" s="13" t="n"/>
      <c r="M75" s="17">
        <f>IF($C75="","",IF(ISNA(MATCH($C75,项目名表,0)),"※项目不在项目台账里",IF($E75="※工作类型没选","※工作类型没选","")))</f>
        <v/>
      </c>
    </row>
    <row r="76">
      <c r="A76" s="17">
        <f>IF($C76="","",ROW()-3)</f>
        <v/>
      </c>
      <c r="B76" s="18" t="n"/>
      <c r="C76" s="13" t="n"/>
      <c r="D76" s="13" t="n"/>
      <c r="E76" s="17">
        <f>IF($C76="","",IFERROR(VLOOKUP($D76,工作归属,2,0),"※工作类型没选"))</f>
        <v/>
      </c>
      <c r="F76" s="13" t="n"/>
      <c r="G76" s="13" t="n"/>
      <c r="H76" s="20" t="n"/>
      <c r="I76" s="14" t="n"/>
      <c r="J76" s="19">
        <f>IF($C76="","",ROUND(IF($H76="",1,$H76)*N($I76),2))</f>
        <v/>
      </c>
      <c r="K76" s="13" t="n"/>
      <c r="L76" s="13" t="n"/>
      <c r="M76" s="17">
        <f>IF($C76="","",IF(ISNA(MATCH($C76,项目名表,0)),"※项目不在项目台账里",IF($E76="※工作类型没选","※工作类型没选","")))</f>
        <v/>
      </c>
    </row>
    <row r="77">
      <c r="A77" s="17">
        <f>IF($C77="","",ROW()-3)</f>
        <v/>
      </c>
      <c r="B77" s="18" t="n"/>
      <c r="C77" s="13" t="n"/>
      <c r="D77" s="13" t="n"/>
      <c r="E77" s="17">
        <f>IF($C77="","",IFERROR(VLOOKUP($D77,工作归属,2,0),"※工作类型没选"))</f>
        <v/>
      </c>
      <c r="F77" s="13" t="n"/>
      <c r="G77" s="13" t="n"/>
      <c r="H77" s="20" t="n"/>
      <c r="I77" s="14" t="n"/>
      <c r="J77" s="19">
        <f>IF($C77="","",ROUND(IF($H77="",1,$H77)*N($I77),2))</f>
        <v/>
      </c>
      <c r="K77" s="13" t="n"/>
      <c r="L77" s="13" t="n"/>
      <c r="M77" s="17">
        <f>IF($C77="","",IF(ISNA(MATCH($C77,项目名表,0)),"※项目不在项目台账里",IF($E77="※工作类型没选","※工作类型没选","")))</f>
        <v/>
      </c>
    </row>
    <row r="78">
      <c r="A78" s="17">
        <f>IF($C78="","",ROW()-3)</f>
        <v/>
      </c>
      <c r="B78" s="18" t="n"/>
      <c r="C78" s="13" t="n"/>
      <c r="D78" s="13" t="n"/>
      <c r="E78" s="17">
        <f>IF($C78="","",IFERROR(VLOOKUP($D78,工作归属,2,0),"※工作类型没选"))</f>
        <v/>
      </c>
      <c r="F78" s="13" t="n"/>
      <c r="G78" s="13" t="n"/>
      <c r="H78" s="20" t="n"/>
      <c r="I78" s="14" t="n"/>
      <c r="J78" s="19">
        <f>IF($C78="","",ROUND(IF($H78="",1,$H78)*N($I78),2))</f>
        <v/>
      </c>
      <c r="K78" s="13" t="n"/>
      <c r="L78" s="13" t="n"/>
      <c r="M78" s="17">
        <f>IF($C78="","",IF(ISNA(MATCH($C78,项目名表,0)),"※项目不在项目台账里",IF($E78="※工作类型没选","※工作类型没选","")))</f>
        <v/>
      </c>
    </row>
    <row r="79">
      <c r="A79" s="17">
        <f>IF($C79="","",ROW()-3)</f>
        <v/>
      </c>
      <c r="B79" s="18" t="n"/>
      <c r="C79" s="13" t="n"/>
      <c r="D79" s="13" t="n"/>
      <c r="E79" s="17">
        <f>IF($C79="","",IFERROR(VLOOKUP($D79,工作归属,2,0),"※工作类型没选"))</f>
        <v/>
      </c>
      <c r="F79" s="13" t="n"/>
      <c r="G79" s="13" t="n"/>
      <c r="H79" s="20" t="n"/>
      <c r="I79" s="14" t="n"/>
      <c r="J79" s="19">
        <f>IF($C79="","",ROUND(IF($H79="",1,$H79)*N($I79),2))</f>
        <v/>
      </c>
      <c r="K79" s="13" t="n"/>
      <c r="L79" s="13" t="n"/>
      <c r="M79" s="17">
        <f>IF($C79="","",IF(ISNA(MATCH($C79,项目名表,0)),"※项目不在项目台账里",IF($E79="※工作类型没选","※工作类型没选","")))</f>
        <v/>
      </c>
    </row>
    <row r="80">
      <c r="A80" s="17">
        <f>IF($C80="","",ROW()-3)</f>
        <v/>
      </c>
      <c r="B80" s="18" t="n"/>
      <c r="C80" s="13" t="n"/>
      <c r="D80" s="13" t="n"/>
      <c r="E80" s="17">
        <f>IF($C80="","",IFERROR(VLOOKUP($D80,工作归属,2,0),"※工作类型没选"))</f>
        <v/>
      </c>
      <c r="F80" s="13" t="n"/>
      <c r="G80" s="13" t="n"/>
      <c r="H80" s="20" t="n"/>
      <c r="I80" s="14" t="n"/>
      <c r="J80" s="19">
        <f>IF($C80="","",ROUND(IF($H80="",1,$H80)*N($I80),2))</f>
        <v/>
      </c>
      <c r="K80" s="13" t="n"/>
      <c r="L80" s="13" t="n"/>
      <c r="M80" s="17">
        <f>IF($C80="","",IF(ISNA(MATCH($C80,项目名表,0)),"※项目不在项目台账里",IF($E80="※工作类型没选","※工作类型没选","")))</f>
        <v/>
      </c>
    </row>
    <row r="81">
      <c r="A81" s="17">
        <f>IF($C81="","",ROW()-3)</f>
        <v/>
      </c>
      <c r="B81" s="18" t="n"/>
      <c r="C81" s="13" t="n"/>
      <c r="D81" s="13" t="n"/>
      <c r="E81" s="17">
        <f>IF($C81="","",IFERROR(VLOOKUP($D81,工作归属,2,0),"※工作类型没选"))</f>
        <v/>
      </c>
      <c r="F81" s="13" t="n"/>
      <c r="G81" s="13" t="n"/>
      <c r="H81" s="20" t="n"/>
      <c r="I81" s="14" t="n"/>
      <c r="J81" s="19">
        <f>IF($C81="","",ROUND(IF($H81="",1,$H81)*N($I81),2))</f>
        <v/>
      </c>
      <c r="K81" s="13" t="n"/>
      <c r="L81" s="13" t="n"/>
      <c r="M81" s="17">
        <f>IF($C81="","",IF(ISNA(MATCH($C81,项目名表,0)),"※项目不在项目台账里",IF($E81="※工作类型没选","※工作类型没选","")))</f>
        <v/>
      </c>
    </row>
    <row r="82">
      <c r="A82" s="17">
        <f>IF($C82="","",ROW()-3)</f>
        <v/>
      </c>
      <c r="B82" s="18" t="n"/>
      <c r="C82" s="13" t="n"/>
      <c r="D82" s="13" t="n"/>
      <c r="E82" s="17">
        <f>IF($C82="","",IFERROR(VLOOKUP($D82,工作归属,2,0),"※工作类型没选"))</f>
        <v/>
      </c>
      <c r="F82" s="13" t="n"/>
      <c r="G82" s="13" t="n"/>
      <c r="H82" s="20" t="n"/>
      <c r="I82" s="14" t="n"/>
      <c r="J82" s="19">
        <f>IF($C82="","",ROUND(IF($H82="",1,$H82)*N($I82),2))</f>
        <v/>
      </c>
      <c r="K82" s="13" t="n"/>
      <c r="L82" s="13" t="n"/>
      <c r="M82" s="17">
        <f>IF($C82="","",IF(ISNA(MATCH($C82,项目名表,0)),"※项目不在项目台账里",IF($E82="※工作类型没选","※工作类型没选","")))</f>
        <v/>
      </c>
    </row>
    <row r="83">
      <c r="A83" s="17">
        <f>IF($C83="","",ROW()-3)</f>
        <v/>
      </c>
      <c r="B83" s="18" t="n"/>
      <c r="C83" s="13" t="n"/>
      <c r="D83" s="13" t="n"/>
      <c r="E83" s="17">
        <f>IF($C83="","",IFERROR(VLOOKUP($D83,工作归属,2,0),"※工作类型没选"))</f>
        <v/>
      </c>
      <c r="F83" s="13" t="n"/>
      <c r="G83" s="13" t="n"/>
      <c r="H83" s="20" t="n"/>
      <c r="I83" s="14" t="n"/>
      <c r="J83" s="19">
        <f>IF($C83="","",ROUND(IF($H83="",1,$H83)*N($I83),2))</f>
        <v/>
      </c>
      <c r="K83" s="13" t="n"/>
      <c r="L83" s="13" t="n"/>
      <c r="M83" s="17">
        <f>IF($C83="","",IF(ISNA(MATCH($C83,项目名表,0)),"※项目不在项目台账里",IF($E83="※工作类型没选","※工作类型没选","")))</f>
        <v/>
      </c>
    </row>
    <row r="84">
      <c r="A84" s="17">
        <f>IF($C84="","",ROW()-3)</f>
        <v/>
      </c>
      <c r="B84" s="18" t="n"/>
      <c r="C84" s="13" t="n"/>
      <c r="D84" s="13" t="n"/>
      <c r="E84" s="17">
        <f>IF($C84="","",IFERROR(VLOOKUP($D84,工作归属,2,0),"※工作类型没选"))</f>
        <v/>
      </c>
      <c r="F84" s="13" t="n"/>
      <c r="G84" s="13" t="n"/>
      <c r="H84" s="20" t="n"/>
      <c r="I84" s="14" t="n"/>
      <c r="J84" s="19">
        <f>IF($C84="","",ROUND(IF($H84="",1,$H84)*N($I84),2))</f>
        <v/>
      </c>
      <c r="K84" s="13" t="n"/>
      <c r="L84" s="13" t="n"/>
      <c r="M84" s="17">
        <f>IF($C84="","",IF(ISNA(MATCH($C84,项目名表,0)),"※项目不在项目台账里",IF($E84="※工作类型没选","※工作类型没选","")))</f>
        <v/>
      </c>
    </row>
    <row r="85">
      <c r="A85" s="17">
        <f>IF($C85="","",ROW()-3)</f>
        <v/>
      </c>
      <c r="B85" s="18" t="n"/>
      <c r="C85" s="13" t="n"/>
      <c r="D85" s="13" t="n"/>
      <c r="E85" s="17">
        <f>IF($C85="","",IFERROR(VLOOKUP($D85,工作归属,2,0),"※工作类型没选"))</f>
        <v/>
      </c>
      <c r="F85" s="13" t="n"/>
      <c r="G85" s="13" t="n"/>
      <c r="H85" s="20" t="n"/>
      <c r="I85" s="14" t="n"/>
      <c r="J85" s="19">
        <f>IF($C85="","",ROUND(IF($H85="",1,$H85)*N($I85),2))</f>
        <v/>
      </c>
      <c r="K85" s="13" t="n"/>
      <c r="L85" s="13" t="n"/>
      <c r="M85" s="17">
        <f>IF($C85="","",IF(ISNA(MATCH($C85,项目名表,0)),"※项目不在项目台账里",IF($E85="※工作类型没选","※工作类型没选","")))</f>
        <v/>
      </c>
    </row>
    <row r="86">
      <c r="A86" s="17">
        <f>IF($C86="","",ROW()-3)</f>
        <v/>
      </c>
      <c r="B86" s="18" t="n"/>
      <c r="C86" s="13" t="n"/>
      <c r="D86" s="13" t="n"/>
      <c r="E86" s="17">
        <f>IF($C86="","",IFERROR(VLOOKUP($D86,工作归属,2,0),"※工作类型没选"))</f>
        <v/>
      </c>
      <c r="F86" s="13" t="n"/>
      <c r="G86" s="13" t="n"/>
      <c r="H86" s="20" t="n"/>
      <c r="I86" s="14" t="n"/>
      <c r="J86" s="19">
        <f>IF($C86="","",ROUND(IF($H86="",1,$H86)*N($I86),2))</f>
        <v/>
      </c>
      <c r="K86" s="13" t="n"/>
      <c r="L86" s="13" t="n"/>
      <c r="M86" s="17">
        <f>IF($C86="","",IF(ISNA(MATCH($C86,项目名表,0)),"※项目不在项目台账里",IF($E86="※工作类型没选","※工作类型没选","")))</f>
        <v/>
      </c>
    </row>
    <row r="87">
      <c r="A87" s="17">
        <f>IF($C87="","",ROW()-3)</f>
        <v/>
      </c>
      <c r="B87" s="18" t="n"/>
      <c r="C87" s="13" t="n"/>
      <c r="D87" s="13" t="n"/>
      <c r="E87" s="17">
        <f>IF($C87="","",IFERROR(VLOOKUP($D87,工作归属,2,0),"※工作类型没选"))</f>
        <v/>
      </c>
      <c r="F87" s="13" t="n"/>
      <c r="G87" s="13" t="n"/>
      <c r="H87" s="20" t="n"/>
      <c r="I87" s="14" t="n"/>
      <c r="J87" s="19">
        <f>IF($C87="","",ROUND(IF($H87="",1,$H87)*N($I87),2))</f>
        <v/>
      </c>
      <c r="K87" s="13" t="n"/>
      <c r="L87" s="13" t="n"/>
      <c r="M87" s="17">
        <f>IF($C87="","",IF(ISNA(MATCH($C87,项目名表,0)),"※项目不在项目台账里",IF($E87="※工作类型没选","※工作类型没选","")))</f>
        <v/>
      </c>
    </row>
    <row r="88">
      <c r="A88" s="17">
        <f>IF($C88="","",ROW()-3)</f>
        <v/>
      </c>
      <c r="B88" s="18" t="n"/>
      <c r="C88" s="13" t="n"/>
      <c r="D88" s="13" t="n"/>
      <c r="E88" s="17">
        <f>IF($C88="","",IFERROR(VLOOKUP($D88,工作归属,2,0),"※工作类型没选"))</f>
        <v/>
      </c>
      <c r="F88" s="13" t="n"/>
      <c r="G88" s="13" t="n"/>
      <c r="H88" s="20" t="n"/>
      <c r="I88" s="14" t="n"/>
      <c r="J88" s="19">
        <f>IF($C88="","",ROUND(IF($H88="",1,$H88)*N($I88),2))</f>
        <v/>
      </c>
      <c r="K88" s="13" t="n"/>
      <c r="L88" s="13" t="n"/>
      <c r="M88" s="17">
        <f>IF($C88="","",IF(ISNA(MATCH($C88,项目名表,0)),"※项目不在项目台账里",IF($E88="※工作类型没选","※工作类型没选","")))</f>
        <v/>
      </c>
    </row>
    <row r="89">
      <c r="A89" s="17">
        <f>IF($C89="","",ROW()-3)</f>
        <v/>
      </c>
      <c r="B89" s="18" t="n"/>
      <c r="C89" s="13" t="n"/>
      <c r="D89" s="13" t="n"/>
      <c r="E89" s="17">
        <f>IF($C89="","",IFERROR(VLOOKUP($D89,工作归属,2,0),"※工作类型没选"))</f>
        <v/>
      </c>
      <c r="F89" s="13" t="n"/>
      <c r="G89" s="13" t="n"/>
      <c r="H89" s="20" t="n"/>
      <c r="I89" s="14" t="n"/>
      <c r="J89" s="19">
        <f>IF($C89="","",ROUND(IF($H89="",1,$H89)*N($I89),2))</f>
        <v/>
      </c>
      <c r="K89" s="13" t="n"/>
      <c r="L89" s="13" t="n"/>
      <c r="M89" s="17">
        <f>IF($C89="","",IF(ISNA(MATCH($C89,项目名表,0)),"※项目不在项目台账里",IF($E89="※工作类型没选","※工作类型没选","")))</f>
        <v/>
      </c>
    </row>
    <row r="90">
      <c r="A90" s="17">
        <f>IF($C90="","",ROW()-3)</f>
        <v/>
      </c>
      <c r="B90" s="18" t="n"/>
      <c r="C90" s="13" t="n"/>
      <c r="D90" s="13" t="n"/>
      <c r="E90" s="17">
        <f>IF($C90="","",IFERROR(VLOOKUP($D90,工作归属,2,0),"※工作类型没选"))</f>
        <v/>
      </c>
      <c r="F90" s="13" t="n"/>
      <c r="G90" s="13" t="n"/>
      <c r="H90" s="20" t="n"/>
      <c r="I90" s="14" t="n"/>
      <c r="J90" s="19">
        <f>IF($C90="","",ROUND(IF($H90="",1,$H90)*N($I90),2))</f>
        <v/>
      </c>
      <c r="K90" s="13" t="n"/>
      <c r="L90" s="13" t="n"/>
      <c r="M90" s="17">
        <f>IF($C90="","",IF(ISNA(MATCH($C90,项目名表,0)),"※项目不在项目台账里",IF($E90="※工作类型没选","※工作类型没选","")))</f>
        <v/>
      </c>
    </row>
    <row r="91">
      <c r="A91" s="17">
        <f>IF($C91="","",ROW()-3)</f>
        <v/>
      </c>
      <c r="B91" s="18" t="n"/>
      <c r="C91" s="13" t="n"/>
      <c r="D91" s="13" t="n"/>
      <c r="E91" s="17">
        <f>IF($C91="","",IFERROR(VLOOKUP($D91,工作归属,2,0),"※工作类型没选"))</f>
        <v/>
      </c>
      <c r="F91" s="13" t="n"/>
      <c r="G91" s="13" t="n"/>
      <c r="H91" s="20" t="n"/>
      <c r="I91" s="14" t="n"/>
      <c r="J91" s="19">
        <f>IF($C91="","",ROUND(IF($H91="",1,$H91)*N($I91),2))</f>
        <v/>
      </c>
      <c r="K91" s="13" t="n"/>
      <c r="L91" s="13" t="n"/>
      <c r="M91" s="17">
        <f>IF($C91="","",IF(ISNA(MATCH($C91,项目名表,0)),"※项目不在项目台账里",IF($E91="※工作类型没选","※工作类型没选","")))</f>
        <v/>
      </c>
    </row>
    <row r="92">
      <c r="A92" s="17">
        <f>IF($C92="","",ROW()-3)</f>
        <v/>
      </c>
      <c r="B92" s="18" t="n"/>
      <c r="C92" s="13" t="n"/>
      <c r="D92" s="13" t="n"/>
      <c r="E92" s="17">
        <f>IF($C92="","",IFERROR(VLOOKUP($D92,工作归属,2,0),"※工作类型没选"))</f>
        <v/>
      </c>
      <c r="F92" s="13" t="n"/>
      <c r="G92" s="13" t="n"/>
      <c r="H92" s="20" t="n"/>
      <c r="I92" s="14" t="n"/>
      <c r="J92" s="19">
        <f>IF($C92="","",ROUND(IF($H92="",1,$H92)*N($I92),2))</f>
        <v/>
      </c>
      <c r="K92" s="13" t="n"/>
      <c r="L92" s="13" t="n"/>
      <c r="M92" s="17">
        <f>IF($C92="","",IF(ISNA(MATCH($C92,项目名表,0)),"※项目不在项目台账里",IF($E92="※工作类型没选","※工作类型没选","")))</f>
        <v/>
      </c>
    </row>
    <row r="93">
      <c r="A93" s="17">
        <f>IF($C93="","",ROW()-3)</f>
        <v/>
      </c>
      <c r="B93" s="18" t="n"/>
      <c r="C93" s="13" t="n"/>
      <c r="D93" s="13" t="n"/>
      <c r="E93" s="17">
        <f>IF($C93="","",IFERROR(VLOOKUP($D93,工作归属,2,0),"※工作类型没选"))</f>
        <v/>
      </c>
      <c r="F93" s="13" t="n"/>
      <c r="G93" s="13" t="n"/>
      <c r="H93" s="20" t="n"/>
      <c r="I93" s="14" t="n"/>
      <c r="J93" s="19">
        <f>IF($C93="","",ROUND(IF($H93="",1,$H93)*N($I93),2))</f>
        <v/>
      </c>
      <c r="K93" s="13" t="n"/>
      <c r="L93" s="13" t="n"/>
      <c r="M93" s="17">
        <f>IF($C93="","",IF(ISNA(MATCH($C93,项目名表,0)),"※项目不在项目台账里",IF($E93="※工作类型没选","※工作类型没选","")))</f>
        <v/>
      </c>
    </row>
    <row r="94">
      <c r="A94" s="17">
        <f>IF($C94="","",ROW()-3)</f>
        <v/>
      </c>
      <c r="B94" s="18" t="n"/>
      <c r="C94" s="13" t="n"/>
      <c r="D94" s="13" t="n"/>
      <c r="E94" s="17">
        <f>IF($C94="","",IFERROR(VLOOKUP($D94,工作归属,2,0),"※工作类型没选"))</f>
        <v/>
      </c>
      <c r="F94" s="13" t="n"/>
      <c r="G94" s="13" t="n"/>
      <c r="H94" s="20" t="n"/>
      <c r="I94" s="14" t="n"/>
      <c r="J94" s="19">
        <f>IF($C94="","",ROUND(IF($H94="",1,$H94)*N($I94),2))</f>
        <v/>
      </c>
      <c r="K94" s="13" t="n"/>
      <c r="L94" s="13" t="n"/>
      <c r="M94" s="17">
        <f>IF($C94="","",IF(ISNA(MATCH($C94,项目名表,0)),"※项目不在项目台账里",IF($E94="※工作类型没选","※工作类型没选","")))</f>
        <v/>
      </c>
    </row>
    <row r="95">
      <c r="A95" s="17">
        <f>IF($C95="","",ROW()-3)</f>
        <v/>
      </c>
      <c r="B95" s="18" t="n"/>
      <c r="C95" s="13" t="n"/>
      <c r="D95" s="13" t="n"/>
      <c r="E95" s="17">
        <f>IF($C95="","",IFERROR(VLOOKUP($D95,工作归属,2,0),"※工作类型没选"))</f>
        <v/>
      </c>
      <c r="F95" s="13" t="n"/>
      <c r="G95" s="13" t="n"/>
      <c r="H95" s="20" t="n"/>
      <c r="I95" s="14" t="n"/>
      <c r="J95" s="19">
        <f>IF($C95="","",ROUND(IF($H95="",1,$H95)*N($I95),2))</f>
        <v/>
      </c>
      <c r="K95" s="13" t="n"/>
      <c r="L95" s="13" t="n"/>
      <c r="M95" s="17">
        <f>IF($C95="","",IF(ISNA(MATCH($C95,项目名表,0)),"※项目不在项目台账里",IF($E95="※工作类型没选","※工作类型没选","")))</f>
        <v/>
      </c>
    </row>
    <row r="96">
      <c r="A96" s="17">
        <f>IF($C96="","",ROW()-3)</f>
        <v/>
      </c>
      <c r="B96" s="18" t="n"/>
      <c r="C96" s="13" t="n"/>
      <c r="D96" s="13" t="n"/>
      <c r="E96" s="17">
        <f>IF($C96="","",IFERROR(VLOOKUP($D96,工作归属,2,0),"※工作类型没选"))</f>
        <v/>
      </c>
      <c r="F96" s="13" t="n"/>
      <c r="G96" s="13" t="n"/>
      <c r="H96" s="20" t="n"/>
      <c r="I96" s="14" t="n"/>
      <c r="J96" s="19">
        <f>IF($C96="","",ROUND(IF($H96="",1,$H96)*N($I96),2))</f>
        <v/>
      </c>
      <c r="K96" s="13" t="n"/>
      <c r="L96" s="13" t="n"/>
      <c r="M96" s="17">
        <f>IF($C96="","",IF(ISNA(MATCH($C96,项目名表,0)),"※项目不在项目台账里",IF($E96="※工作类型没选","※工作类型没选","")))</f>
        <v/>
      </c>
    </row>
    <row r="97">
      <c r="A97" s="17">
        <f>IF($C97="","",ROW()-3)</f>
        <v/>
      </c>
      <c r="B97" s="18" t="n"/>
      <c r="C97" s="13" t="n"/>
      <c r="D97" s="13" t="n"/>
      <c r="E97" s="17">
        <f>IF($C97="","",IFERROR(VLOOKUP($D97,工作归属,2,0),"※工作类型没选"))</f>
        <v/>
      </c>
      <c r="F97" s="13" t="n"/>
      <c r="G97" s="13" t="n"/>
      <c r="H97" s="20" t="n"/>
      <c r="I97" s="14" t="n"/>
      <c r="J97" s="19">
        <f>IF($C97="","",ROUND(IF($H97="",1,$H97)*N($I97),2))</f>
        <v/>
      </c>
      <c r="K97" s="13" t="n"/>
      <c r="L97" s="13" t="n"/>
      <c r="M97" s="17">
        <f>IF($C97="","",IF(ISNA(MATCH($C97,项目名表,0)),"※项目不在项目台账里",IF($E97="※工作类型没选","※工作类型没选","")))</f>
        <v/>
      </c>
    </row>
    <row r="98">
      <c r="A98" s="17">
        <f>IF($C98="","",ROW()-3)</f>
        <v/>
      </c>
      <c r="B98" s="18" t="n"/>
      <c r="C98" s="13" t="n"/>
      <c r="D98" s="13" t="n"/>
      <c r="E98" s="17">
        <f>IF($C98="","",IFERROR(VLOOKUP($D98,工作归属,2,0),"※工作类型没选"))</f>
        <v/>
      </c>
      <c r="F98" s="13" t="n"/>
      <c r="G98" s="13" t="n"/>
      <c r="H98" s="20" t="n"/>
      <c r="I98" s="14" t="n"/>
      <c r="J98" s="19">
        <f>IF($C98="","",ROUND(IF($H98="",1,$H98)*N($I98),2))</f>
        <v/>
      </c>
      <c r="K98" s="13" t="n"/>
      <c r="L98" s="13" t="n"/>
      <c r="M98" s="17">
        <f>IF($C98="","",IF(ISNA(MATCH($C98,项目名表,0)),"※项目不在项目台账里",IF($E98="※工作类型没选","※工作类型没选","")))</f>
        <v/>
      </c>
    </row>
    <row r="99">
      <c r="A99" s="17">
        <f>IF($C99="","",ROW()-3)</f>
        <v/>
      </c>
      <c r="B99" s="18" t="n"/>
      <c r="C99" s="13" t="n"/>
      <c r="D99" s="13" t="n"/>
      <c r="E99" s="17">
        <f>IF($C99="","",IFERROR(VLOOKUP($D99,工作归属,2,0),"※工作类型没选"))</f>
        <v/>
      </c>
      <c r="F99" s="13" t="n"/>
      <c r="G99" s="13" t="n"/>
      <c r="H99" s="20" t="n"/>
      <c r="I99" s="14" t="n"/>
      <c r="J99" s="19">
        <f>IF($C99="","",ROUND(IF($H99="",1,$H99)*N($I99),2))</f>
        <v/>
      </c>
      <c r="K99" s="13" t="n"/>
      <c r="L99" s="13" t="n"/>
      <c r="M99" s="17">
        <f>IF($C99="","",IF(ISNA(MATCH($C99,项目名表,0)),"※项目不在项目台账里",IF($E99="※工作类型没选","※工作类型没选","")))</f>
        <v/>
      </c>
    </row>
    <row r="100">
      <c r="A100" s="17">
        <f>IF($C100="","",ROW()-3)</f>
        <v/>
      </c>
      <c r="B100" s="18" t="n"/>
      <c r="C100" s="13" t="n"/>
      <c r="D100" s="13" t="n"/>
      <c r="E100" s="17">
        <f>IF($C100="","",IFERROR(VLOOKUP($D100,工作归属,2,0),"※工作类型没选"))</f>
        <v/>
      </c>
      <c r="F100" s="13" t="n"/>
      <c r="G100" s="13" t="n"/>
      <c r="H100" s="20" t="n"/>
      <c r="I100" s="14" t="n"/>
      <c r="J100" s="19">
        <f>IF($C100="","",ROUND(IF($H100="",1,$H100)*N($I100),2))</f>
        <v/>
      </c>
      <c r="K100" s="13" t="n"/>
      <c r="L100" s="13" t="n"/>
      <c r="M100" s="17">
        <f>IF($C100="","",IF(ISNA(MATCH($C100,项目名表,0)),"※项目不在项目台账里",IF($E100="※工作类型没选","※工作类型没选","")))</f>
        <v/>
      </c>
    </row>
    <row r="101">
      <c r="A101" s="17">
        <f>IF($C101="","",ROW()-3)</f>
        <v/>
      </c>
      <c r="B101" s="18" t="n"/>
      <c r="C101" s="13" t="n"/>
      <c r="D101" s="13" t="n"/>
      <c r="E101" s="17">
        <f>IF($C101="","",IFERROR(VLOOKUP($D101,工作归属,2,0),"※工作类型没选"))</f>
        <v/>
      </c>
      <c r="F101" s="13" t="n"/>
      <c r="G101" s="13" t="n"/>
      <c r="H101" s="20" t="n"/>
      <c r="I101" s="14" t="n"/>
      <c r="J101" s="19">
        <f>IF($C101="","",ROUND(IF($H101="",1,$H101)*N($I101),2))</f>
        <v/>
      </c>
      <c r="K101" s="13" t="n"/>
      <c r="L101" s="13" t="n"/>
      <c r="M101" s="17">
        <f>IF($C101="","",IF(ISNA(MATCH($C101,项目名表,0)),"※项目不在项目台账里",IF($E101="※工作类型没选","※工作类型没选","")))</f>
        <v/>
      </c>
    </row>
    <row r="102">
      <c r="A102" s="17">
        <f>IF($C102="","",ROW()-3)</f>
        <v/>
      </c>
      <c r="B102" s="18" t="n"/>
      <c r="C102" s="13" t="n"/>
      <c r="D102" s="13" t="n"/>
      <c r="E102" s="17">
        <f>IF($C102="","",IFERROR(VLOOKUP($D102,工作归属,2,0),"※工作类型没选"))</f>
        <v/>
      </c>
      <c r="F102" s="13" t="n"/>
      <c r="G102" s="13" t="n"/>
      <c r="H102" s="20" t="n"/>
      <c r="I102" s="14" t="n"/>
      <c r="J102" s="19">
        <f>IF($C102="","",ROUND(IF($H102="",1,$H102)*N($I102),2))</f>
        <v/>
      </c>
      <c r="K102" s="13" t="n"/>
      <c r="L102" s="13" t="n"/>
      <c r="M102" s="17">
        <f>IF($C102="","",IF(ISNA(MATCH($C102,项目名表,0)),"※项目不在项目台账里",IF($E102="※工作类型没选","※工作类型没选","")))</f>
        <v/>
      </c>
    </row>
    <row r="103">
      <c r="A103" s="17">
        <f>IF($C103="","",ROW()-3)</f>
        <v/>
      </c>
      <c r="B103" s="18" t="n"/>
      <c r="C103" s="13" t="n"/>
      <c r="D103" s="13" t="n"/>
      <c r="E103" s="17">
        <f>IF($C103="","",IFERROR(VLOOKUP($D103,工作归属,2,0),"※工作类型没选"))</f>
        <v/>
      </c>
      <c r="F103" s="13" t="n"/>
      <c r="G103" s="13" t="n"/>
      <c r="H103" s="20" t="n"/>
      <c r="I103" s="14" t="n"/>
      <c r="J103" s="19">
        <f>IF($C103="","",ROUND(IF($H103="",1,$H103)*N($I103),2))</f>
        <v/>
      </c>
      <c r="K103" s="13" t="n"/>
      <c r="L103" s="13" t="n"/>
      <c r="M103" s="17">
        <f>IF($C103="","",IF(ISNA(MATCH($C103,项目名表,0)),"※项目不在项目台账里",IF($E103="※工作类型没选","※工作类型没选","")))</f>
        <v/>
      </c>
    </row>
    <row r="104">
      <c r="A104" s="17">
        <f>IF($C104="","",ROW()-3)</f>
        <v/>
      </c>
      <c r="B104" s="18" t="n"/>
      <c r="C104" s="13" t="n"/>
      <c r="D104" s="13" t="n"/>
      <c r="E104" s="17">
        <f>IF($C104="","",IFERROR(VLOOKUP($D104,工作归属,2,0),"※工作类型没选"))</f>
        <v/>
      </c>
      <c r="F104" s="13" t="n"/>
      <c r="G104" s="13" t="n"/>
      <c r="H104" s="20" t="n"/>
      <c r="I104" s="14" t="n"/>
      <c r="J104" s="19">
        <f>IF($C104="","",ROUND(IF($H104="",1,$H104)*N($I104),2))</f>
        <v/>
      </c>
      <c r="K104" s="13" t="n"/>
      <c r="L104" s="13" t="n"/>
      <c r="M104" s="17">
        <f>IF($C104="","",IF(ISNA(MATCH($C104,项目名表,0)),"※项目不在项目台账里",IF($E104="※工作类型没选","※工作类型没选","")))</f>
        <v/>
      </c>
    </row>
    <row r="105">
      <c r="A105" s="17">
        <f>IF($C105="","",ROW()-3)</f>
        <v/>
      </c>
      <c r="B105" s="18" t="n"/>
      <c r="C105" s="13" t="n"/>
      <c r="D105" s="13" t="n"/>
      <c r="E105" s="17">
        <f>IF($C105="","",IFERROR(VLOOKUP($D105,工作归属,2,0),"※工作类型没选"))</f>
        <v/>
      </c>
      <c r="F105" s="13" t="n"/>
      <c r="G105" s="13" t="n"/>
      <c r="H105" s="20" t="n"/>
      <c r="I105" s="14" t="n"/>
      <c r="J105" s="19">
        <f>IF($C105="","",ROUND(IF($H105="",1,$H105)*N($I105),2))</f>
        <v/>
      </c>
      <c r="K105" s="13" t="n"/>
      <c r="L105" s="13" t="n"/>
      <c r="M105" s="17">
        <f>IF($C105="","",IF(ISNA(MATCH($C105,项目名表,0)),"※项目不在项目台账里",IF($E105="※工作类型没选","※工作类型没选","")))</f>
        <v/>
      </c>
    </row>
    <row r="106">
      <c r="A106" s="17">
        <f>IF($C106="","",ROW()-3)</f>
        <v/>
      </c>
      <c r="B106" s="18" t="n"/>
      <c r="C106" s="13" t="n"/>
      <c r="D106" s="13" t="n"/>
      <c r="E106" s="17">
        <f>IF($C106="","",IFERROR(VLOOKUP($D106,工作归属,2,0),"※工作类型没选"))</f>
        <v/>
      </c>
      <c r="F106" s="13" t="n"/>
      <c r="G106" s="13" t="n"/>
      <c r="H106" s="20" t="n"/>
      <c r="I106" s="14" t="n"/>
      <c r="J106" s="19">
        <f>IF($C106="","",ROUND(IF($H106="",1,$H106)*N($I106),2))</f>
        <v/>
      </c>
      <c r="K106" s="13" t="n"/>
      <c r="L106" s="13" t="n"/>
      <c r="M106" s="17">
        <f>IF($C106="","",IF(ISNA(MATCH($C106,项目名表,0)),"※项目不在项目台账里",IF($E106="※工作类型没选","※工作类型没选","")))</f>
        <v/>
      </c>
    </row>
    <row r="107">
      <c r="A107" s="17">
        <f>IF($C107="","",ROW()-3)</f>
        <v/>
      </c>
      <c r="B107" s="18" t="n"/>
      <c r="C107" s="13" t="n"/>
      <c r="D107" s="13" t="n"/>
      <c r="E107" s="17">
        <f>IF($C107="","",IFERROR(VLOOKUP($D107,工作归属,2,0),"※工作类型没选"))</f>
        <v/>
      </c>
      <c r="F107" s="13" t="n"/>
      <c r="G107" s="13" t="n"/>
      <c r="H107" s="20" t="n"/>
      <c r="I107" s="14" t="n"/>
      <c r="J107" s="19">
        <f>IF($C107="","",ROUND(IF($H107="",1,$H107)*N($I107),2))</f>
        <v/>
      </c>
      <c r="K107" s="13" t="n"/>
      <c r="L107" s="13" t="n"/>
      <c r="M107" s="17">
        <f>IF($C107="","",IF(ISNA(MATCH($C107,项目名表,0)),"※项目不在项目台账里",IF($E107="※工作类型没选","※工作类型没选","")))</f>
        <v/>
      </c>
    </row>
    <row r="108">
      <c r="A108" s="17">
        <f>IF($C108="","",ROW()-3)</f>
        <v/>
      </c>
      <c r="B108" s="18" t="n"/>
      <c r="C108" s="13" t="n"/>
      <c r="D108" s="13" t="n"/>
      <c r="E108" s="17">
        <f>IF($C108="","",IFERROR(VLOOKUP($D108,工作归属,2,0),"※工作类型没选"))</f>
        <v/>
      </c>
      <c r="F108" s="13" t="n"/>
      <c r="G108" s="13" t="n"/>
      <c r="H108" s="20" t="n"/>
      <c r="I108" s="14" t="n"/>
      <c r="J108" s="19">
        <f>IF($C108="","",ROUND(IF($H108="",1,$H108)*N($I108),2))</f>
        <v/>
      </c>
      <c r="K108" s="13" t="n"/>
      <c r="L108" s="13" t="n"/>
      <c r="M108" s="17">
        <f>IF($C108="","",IF(ISNA(MATCH($C108,项目名表,0)),"※项目不在项目台账里",IF($E108="※工作类型没选","※工作类型没选","")))</f>
        <v/>
      </c>
    </row>
    <row r="109">
      <c r="A109" s="17">
        <f>IF($C109="","",ROW()-3)</f>
        <v/>
      </c>
      <c r="B109" s="18" t="n"/>
      <c r="C109" s="13" t="n"/>
      <c r="D109" s="13" t="n"/>
      <c r="E109" s="17">
        <f>IF($C109="","",IFERROR(VLOOKUP($D109,工作归属,2,0),"※工作类型没选"))</f>
        <v/>
      </c>
      <c r="F109" s="13" t="n"/>
      <c r="G109" s="13" t="n"/>
      <c r="H109" s="20" t="n"/>
      <c r="I109" s="14" t="n"/>
      <c r="J109" s="19">
        <f>IF($C109="","",ROUND(IF($H109="",1,$H109)*N($I109),2))</f>
        <v/>
      </c>
      <c r="K109" s="13" t="n"/>
      <c r="L109" s="13" t="n"/>
      <c r="M109" s="17">
        <f>IF($C109="","",IF(ISNA(MATCH($C109,项目名表,0)),"※项目不在项目台账里",IF($E109="※工作类型没选","※工作类型没选","")))</f>
        <v/>
      </c>
    </row>
    <row r="110">
      <c r="A110" s="17">
        <f>IF($C110="","",ROW()-3)</f>
        <v/>
      </c>
      <c r="B110" s="18" t="n"/>
      <c r="C110" s="13" t="n"/>
      <c r="D110" s="13" t="n"/>
      <c r="E110" s="17">
        <f>IF($C110="","",IFERROR(VLOOKUP($D110,工作归属,2,0),"※工作类型没选"))</f>
        <v/>
      </c>
      <c r="F110" s="13" t="n"/>
      <c r="G110" s="13" t="n"/>
      <c r="H110" s="20" t="n"/>
      <c r="I110" s="14" t="n"/>
      <c r="J110" s="19">
        <f>IF($C110="","",ROUND(IF($H110="",1,$H110)*N($I110),2))</f>
        <v/>
      </c>
      <c r="K110" s="13" t="n"/>
      <c r="L110" s="13" t="n"/>
      <c r="M110" s="17">
        <f>IF($C110="","",IF(ISNA(MATCH($C110,项目名表,0)),"※项目不在项目台账里",IF($E110="※工作类型没选","※工作类型没选","")))</f>
        <v/>
      </c>
    </row>
    <row r="111">
      <c r="A111" s="17">
        <f>IF($C111="","",ROW()-3)</f>
        <v/>
      </c>
      <c r="B111" s="18" t="n"/>
      <c r="C111" s="13" t="n"/>
      <c r="D111" s="13" t="n"/>
      <c r="E111" s="17">
        <f>IF($C111="","",IFERROR(VLOOKUP($D111,工作归属,2,0),"※工作类型没选"))</f>
        <v/>
      </c>
      <c r="F111" s="13" t="n"/>
      <c r="G111" s="13" t="n"/>
      <c r="H111" s="20" t="n"/>
      <c r="I111" s="14" t="n"/>
      <c r="J111" s="19">
        <f>IF($C111="","",ROUND(IF($H111="",1,$H111)*N($I111),2))</f>
        <v/>
      </c>
      <c r="K111" s="13" t="n"/>
      <c r="L111" s="13" t="n"/>
      <c r="M111" s="17">
        <f>IF($C111="","",IF(ISNA(MATCH($C111,项目名表,0)),"※项目不在项目台账里",IF($E111="※工作类型没选","※工作类型没选","")))</f>
        <v/>
      </c>
    </row>
    <row r="112">
      <c r="A112" s="17">
        <f>IF($C112="","",ROW()-3)</f>
        <v/>
      </c>
      <c r="B112" s="18" t="n"/>
      <c r="C112" s="13" t="n"/>
      <c r="D112" s="13" t="n"/>
      <c r="E112" s="17">
        <f>IF($C112="","",IFERROR(VLOOKUP($D112,工作归属,2,0),"※工作类型没选"))</f>
        <v/>
      </c>
      <c r="F112" s="13" t="n"/>
      <c r="G112" s="13" t="n"/>
      <c r="H112" s="20" t="n"/>
      <c r="I112" s="14" t="n"/>
      <c r="J112" s="19">
        <f>IF($C112="","",ROUND(IF($H112="",1,$H112)*N($I112),2))</f>
        <v/>
      </c>
      <c r="K112" s="13" t="n"/>
      <c r="L112" s="13" t="n"/>
      <c r="M112" s="17">
        <f>IF($C112="","",IF(ISNA(MATCH($C112,项目名表,0)),"※项目不在项目台账里",IF($E112="※工作类型没选","※工作类型没选","")))</f>
        <v/>
      </c>
    </row>
    <row r="113">
      <c r="A113" s="17">
        <f>IF($C113="","",ROW()-3)</f>
        <v/>
      </c>
      <c r="B113" s="18" t="n"/>
      <c r="C113" s="13" t="n"/>
      <c r="D113" s="13" t="n"/>
      <c r="E113" s="17">
        <f>IF($C113="","",IFERROR(VLOOKUP($D113,工作归属,2,0),"※工作类型没选"))</f>
        <v/>
      </c>
      <c r="F113" s="13" t="n"/>
      <c r="G113" s="13" t="n"/>
      <c r="H113" s="20" t="n"/>
      <c r="I113" s="14" t="n"/>
      <c r="J113" s="19">
        <f>IF($C113="","",ROUND(IF($H113="",1,$H113)*N($I113),2))</f>
        <v/>
      </c>
      <c r="K113" s="13" t="n"/>
      <c r="L113" s="13" t="n"/>
      <c r="M113" s="17">
        <f>IF($C113="","",IF(ISNA(MATCH($C113,项目名表,0)),"※项目不在项目台账里",IF($E113="※工作类型没选","※工作类型没选","")))</f>
        <v/>
      </c>
    </row>
    <row r="114">
      <c r="A114" s="17">
        <f>IF($C114="","",ROW()-3)</f>
        <v/>
      </c>
      <c r="B114" s="18" t="n"/>
      <c r="C114" s="13" t="n"/>
      <c r="D114" s="13" t="n"/>
      <c r="E114" s="17">
        <f>IF($C114="","",IFERROR(VLOOKUP($D114,工作归属,2,0),"※工作类型没选"))</f>
        <v/>
      </c>
      <c r="F114" s="13" t="n"/>
      <c r="G114" s="13" t="n"/>
      <c r="H114" s="20" t="n"/>
      <c r="I114" s="14" t="n"/>
      <c r="J114" s="19">
        <f>IF($C114="","",ROUND(IF($H114="",1,$H114)*N($I114),2))</f>
        <v/>
      </c>
      <c r="K114" s="13" t="n"/>
      <c r="L114" s="13" t="n"/>
      <c r="M114" s="17">
        <f>IF($C114="","",IF(ISNA(MATCH($C114,项目名表,0)),"※项目不在项目台账里",IF($E114="※工作类型没选","※工作类型没选","")))</f>
        <v/>
      </c>
    </row>
    <row r="115">
      <c r="A115" s="17">
        <f>IF($C115="","",ROW()-3)</f>
        <v/>
      </c>
      <c r="B115" s="18" t="n"/>
      <c r="C115" s="13" t="n"/>
      <c r="D115" s="13" t="n"/>
      <c r="E115" s="17">
        <f>IF($C115="","",IFERROR(VLOOKUP($D115,工作归属,2,0),"※工作类型没选"))</f>
        <v/>
      </c>
      <c r="F115" s="13" t="n"/>
      <c r="G115" s="13" t="n"/>
      <c r="H115" s="20" t="n"/>
      <c r="I115" s="14" t="n"/>
      <c r="J115" s="19">
        <f>IF($C115="","",ROUND(IF($H115="",1,$H115)*N($I115),2))</f>
        <v/>
      </c>
      <c r="K115" s="13" t="n"/>
      <c r="L115" s="13" t="n"/>
      <c r="M115" s="17">
        <f>IF($C115="","",IF(ISNA(MATCH($C115,项目名表,0)),"※项目不在项目台账里",IF($E115="※工作类型没选","※工作类型没选","")))</f>
        <v/>
      </c>
    </row>
    <row r="116">
      <c r="A116" s="17">
        <f>IF($C116="","",ROW()-3)</f>
        <v/>
      </c>
      <c r="B116" s="18" t="n"/>
      <c r="C116" s="13" t="n"/>
      <c r="D116" s="13" t="n"/>
      <c r="E116" s="17">
        <f>IF($C116="","",IFERROR(VLOOKUP($D116,工作归属,2,0),"※工作类型没选"))</f>
        <v/>
      </c>
      <c r="F116" s="13" t="n"/>
      <c r="G116" s="13" t="n"/>
      <c r="H116" s="20" t="n"/>
      <c r="I116" s="14" t="n"/>
      <c r="J116" s="19">
        <f>IF($C116="","",ROUND(IF($H116="",1,$H116)*N($I116),2))</f>
        <v/>
      </c>
      <c r="K116" s="13" t="n"/>
      <c r="L116" s="13" t="n"/>
      <c r="M116" s="17">
        <f>IF($C116="","",IF(ISNA(MATCH($C116,项目名表,0)),"※项目不在项目台账里",IF($E116="※工作类型没选","※工作类型没选","")))</f>
        <v/>
      </c>
    </row>
    <row r="117">
      <c r="A117" s="17">
        <f>IF($C117="","",ROW()-3)</f>
        <v/>
      </c>
      <c r="B117" s="18" t="n"/>
      <c r="C117" s="13" t="n"/>
      <c r="D117" s="13" t="n"/>
      <c r="E117" s="17">
        <f>IF($C117="","",IFERROR(VLOOKUP($D117,工作归属,2,0),"※工作类型没选"))</f>
        <v/>
      </c>
      <c r="F117" s="13" t="n"/>
      <c r="G117" s="13" t="n"/>
      <c r="H117" s="20" t="n"/>
      <c r="I117" s="14" t="n"/>
      <c r="J117" s="19">
        <f>IF($C117="","",ROUND(IF($H117="",1,$H117)*N($I117),2))</f>
        <v/>
      </c>
      <c r="K117" s="13" t="n"/>
      <c r="L117" s="13" t="n"/>
      <c r="M117" s="17">
        <f>IF($C117="","",IF(ISNA(MATCH($C117,项目名表,0)),"※项目不在项目台账里",IF($E117="※工作类型没选","※工作类型没选","")))</f>
        <v/>
      </c>
    </row>
    <row r="118">
      <c r="A118" s="17">
        <f>IF($C118="","",ROW()-3)</f>
        <v/>
      </c>
      <c r="B118" s="18" t="n"/>
      <c r="C118" s="13" t="n"/>
      <c r="D118" s="13" t="n"/>
      <c r="E118" s="17">
        <f>IF($C118="","",IFERROR(VLOOKUP($D118,工作归属,2,0),"※工作类型没选"))</f>
        <v/>
      </c>
      <c r="F118" s="13" t="n"/>
      <c r="G118" s="13" t="n"/>
      <c r="H118" s="20" t="n"/>
      <c r="I118" s="14" t="n"/>
      <c r="J118" s="19">
        <f>IF($C118="","",ROUND(IF($H118="",1,$H118)*N($I118),2))</f>
        <v/>
      </c>
      <c r="K118" s="13" t="n"/>
      <c r="L118" s="13" t="n"/>
      <c r="M118" s="17">
        <f>IF($C118="","",IF(ISNA(MATCH($C118,项目名表,0)),"※项目不在项目台账里",IF($E118="※工作类型没选","※工作类型没选","")))</f>
        <v/>
      </c>
    </row>
    <row r="119">
      <c r="A119" s="17">
        <f>IF($C119="","",ROW()-3)</f>
        <v/>
      </c>
      <c r="B119" s="18" t="n"/>
      <c r="C119" s="13" t="n"/>
      <c r="D119" s="13" t="n"/>
      <c r="E119" s="17">
        <f>IF($C119="","",IFERROR(VLOOKUP($D119,工作归属,2,0),"※工作类型没选"))</f>
        <v/>
      </c>
      <c r="F119" s="13" t="n"/>
      <c r="G119" s="13" t="n"/>
      <c r="H119" s="20" t="n"/>
      <c r="I119" s="14" t="n"/>
      <c r="J119" s="19">
        <f>IF($C119="","",ROUND(IF($H119="",1,$H119)*N($I119),2))</f>
        <v/>
      </c>
      <c r="K119" s="13" t="n"/>
      <c r="L119" s="13" t="n"/>
      <c r="M119" s="17">
        <f>IF($C119="","",IF(ISNA(MATCH($C119,项目名表,0)),"※项目不在项目台账里",IF($E119="※工作类型没选","※工作类型没选","")))</f>
        <v/>
      </c>
    </row>
    <row r="120">
      <c r="A120" s="17">
        <f>IF($C120="","",ROW()-3)</f>
        <v/>
      </c>
      <c r="B120" s="18" t="n"/>
      <c r="C120" s="13" t="n"/>
      <c r="D120" s="13" t="n"/>
      <c r="E120" s="17">
        <f>IF($C120="","",IFERROR(VLOOKUP($D120,工作归属,2,0),"※工作类型没选"))</f>
        <v/>
      </c>
      <c r="F120" s="13" t="n"/>
      <c r="G120" s="13" t="n"/>
      <c r="H120" s="20" t="n"/>
      <c r="I120" s="14" t="n"/>
      <c r="J120" s="19">
        <f>IF($C120="","",ROUND(IF($H120="",1,$H120)*N($I120),2))</f>
        <v/>
      </c>
      <c r="K120" s="13" t="n"/>
      <c r="L120" s="13" t="n"/>
      <c r="M120" s="17">
        <f>IF($C120="","",IF(ISNA(MATCH($C120,项目名表,0)),"※项目不在项目台账里",IF($E120="※工作类型没选","※工作类型没选","")))</f>
        <v/>
      </c>
    </row>
    <row r="121">
      <c r="A121" s="17">
        <f>IF($C121="","",ROW()-3)</f>
        <v/>
      </c>
      <c r="B121" s="18" t="n"/>
      <c r="C121" s="13" t="n"/>
      <c r="D121" s="13" t="n"/>
      <c r="E121" s="17">
        <f>IF($C121="","",IFERROR(VLOOKUP($D121,工作归属,2,0),"※工作类型没选"))</f>
        <v/>
      </c>
      <c r="F121" s="13" t="n"/>
      <c r="G121" s="13" t="n"/>
      <c r="H121" s="20" t="n"/>
      <c r="I121" s="14" t="n"/>
      <c r="J121" s="19">
        <f>IF($C121="","",ROUND(IF($H121="",1,$H121)*N($I121),2))</f>
        <v/>
      </c>
      <c r="K121" s="13" t="n"/>
      <c r="L121" s="13" t="n"/>
      <c r="M121" s="17">
        <f>IF($C121="","",IF(ISNA(MATCH($C121,项目名表,0)),"※项目不在项目台账里",IF($E121="※工作类型没选","※工作类型没选","")))</f>
        <v/>
      </c>
    </row>
    <row r="122">
      <c r="A122" s="17">
        <f>IF($C122="","",ROW()-3)</f>
        <v/>
      </c>
      <c r="B122" s="18" t="n"/>
      <c r="C122" s="13" t="n"/>
      <c r="D122" s="13" t="n"/>
      <c r="E122" s="17">
        <f>IF($C122="","",IFERROR(VLOOKUP($D122,工作归属,2,0),"※工作类型没选"))</f>
        <v/>
      </c>
      <c r="F122" s="13" t="n"/>
      <c r="G122" s="13" t="n"/>
      <c r="H122" s="20" t="n"/>
      <c r="I122" s="14" t="n"/>
      <c r="J122" s="19">
        <f>IF($C122="","",ROUND(IF($H122="",1,$H122)*N($I122),2))</f>
        <v/>
      </c>
      <c r="K122" s="13" t="n"/>
      <c r="L122" s="13" t="n"/>
      <c r="M122" s="17">
        <f>IF($C122="","",IF(ISNA(MATCH($C122,项目名表,0)),"※项目不在项目台账里",IF($E122="※工作类型没选","※工作类型没选","")))</f>
        <v/>
      </c>
    </row>
    <row r="123">
      <c r="A123" s="17">
        <f>IF($C123="","",ROW()-3)</f>
        <v/>
      </c>
      <c r="B123" s="18" t="n"/>
      <c r="C123" s="13" t="n"/>
      <c r="D123" s="13" t="n"/>
      <c r="E123" s="17">
        <f>IF($C123="","",IFERROR(VLOOKUP($D123,工作归属,2,0),"※工作类型没选"))</f>
        <v/>
      </c>
      <c r="F123" s="13" t="n"/>
      <c r="G123" s="13" t="n"/>
      <c r="H123" s="20" t="n"/>
      <c r="I123" s="14" t="n"/>
      <c r="J123" s="19">
        <f>IF($C123="","",ROUND(IF($H123="",1,$H123)*N($I123),2))</f>
        <v/>
      </c>
      <c r="K123" s="13" t="n"/>
      <c r="L123" s="13" t="n"/>
      <c r="M123" s="17">
        <f>IF($C123="","",IF(ISNA(MATCH($C123,项目名表,0)),"※项目不在项目台账里",IF($E123="※工作类型没选","※工作类型没选","")))</f>
        <v/>
      </c>
    </row>
    <row r="124">
      <c r="A124" s="17">
        <f>IF($C124="","",ROW()-3)</f>
        <v/>
      </c>
      <c r="B124" s="18" t="n"/>
      <c r="C124" s="13" t="n"/>
      <c r="D124" s="13" t="n"/>
      <c r="E124" s="17">
        <f>IF($C124="","",IFERROR(VLOOKUP($D124,工作归属,2,0),"※工作类型没选"))</f>
        <v/>
      </c>
      <c r="F124" s="13" t="n"/>
      <c r="G124" s="13" t="n"/>
      <c r="H124" s="20" t="n"/>
      <c r="I124" s="14" t="n"/>
      <c r="J124" s="19">
        <f>IF($C124="","",ROUND(IF($H124="",1,$H124)*N($I124),2))</f>
        <v/>
      </c>
      <c r="K124" s="13" t="n"/>
      <c r="L124" s="13" t="n"/>
      <c r="M124" s="17">
        <f>IF($C124="","",IF(ISNA(MATCH($C124,项目名表,0)),"※项目不在项目台账里",IF($E124="※工作类型没选","※工作类型没选","")))</f>
        <v/>
      </c>
    </row>
    <row r="125">
      <c r="A125" s="17">
        <f>IF($C125="","",ROW()-3)</f>
        <v/>
      </c>
      <c r="B125" s="18" t="n"/>
      <c r="C125" s="13" t="n"/>
      <c r="D125" s="13" t="n"/>
      <c r="E125" s="17">
        <f>IF($C125="","",IFERROR(VLOOKUP($D125,工作归属,2,0),"※工作类型没选"))</f>
        <v/>
      </c>
      <c r="F125" s="13" t="n"/>
      <c r="G125" s="13" t="n"/>
      <c r="H125" s="20" t="n"/>
      <c r="I125" s="14" t="n"/>
      <c r="J125" s="19">
        <f>IF($C125="","",ROUND(IF($H125="",1,$H125)*N($I125),2))</f>
        <v/>
      </c>
      <c r="K125" s="13" t="n"/>
      <c r="L125" s="13" t="n"/>
      <c r="M125" s="17">
        <f>IF($C125="","",IF(ISNA(MATCH($C125,项目名表,0)),"※项目不在项目台账里",IF($E125="※工作类型没选","※工作类型没选","")))</f>
        <v/>
      </c>
    </row>
    <row r="126">
      <c r="A126" s="17">
        <f>IF($C126="","",ROW()-3)</f>
        <v/>
      </c>
      <c r="B126" s="18" t="n"/>
      <c r="C126" s="13" t="n"/>
      <c r="D126" s="13" t="n"/>
      <c r="E126" s="17">
        <f>IF($C126="","",IFERROR(VLOOKUP($D126,工作归属,2,0),"※工作类型没选"))</f>
        <v/>
      </c>
      <c r="F126" s="13" t="n"/>
      <c r="G126" s="13" t="n"/>
      <c r="H126" s="20" t="n"/>
      <c r="I126" s="14" t="n"/>
      <c r="J126" s="19">
        <f>IF($C126="","",ROUND(IF($H126="",1,$H126)*N($I126),2))</f>
        <v/>
      </c>
      <c r="K126" s="13" t="n"/>
      <c r="L126" s="13" t="n"/>
      <c r="M126" s="17">
        <f>IF($C126="","",IF(ISNA(MATCH($C126,项目名表,0)),"※项目不在项目台账里",IF($E126="※工作类型没选","※工作类型没选","")))</f>
        <v/>
      </c>
    </row>
    <row r="127">
      <c r="A127" s="17">
        <f>IF($C127="","",ROW()-3)</f>
        <v/>
      </c>
      <c r="B127" s="18" t="n"/>
      <c r="C127" s="13" t="n"/>
      <c r="D127" s="13" t="n"/>
      <c r="E127" s="17">
        <f>IF($C127="","",IFERROR(VLOOKUP($D127,工作归属,2,0),"※工作类型没选"))</f>
        <v/>
      </c>
      <c r="F127" s="13" t="n"/>
      <c r="G127" s="13" t="n"/>
      <c r="H127" s="20" t="n"/>
      <c r="I127" s="14" t="n"/>
      <c r="J127" s="19">
        <f>IF($C127="","",ROUND(IF($H127="",1,$H127)*N($I127),2))</f>
        <v/>
      </c>
      <c r="K127" s="13" t="n"/>
      <c r="L127" s="13" t="n"/>
      <c r="M127" s="17">
        <f>IF($C127="","",IF(ISNA(MATCH($C127,项目名表,0)),"※项目不在项目台账里",IF($E127="※工作类型没选","※工作类型没选","")))</f>
        <v/>
      </c>
    </row>
    <row r="128">
      <c r="A128" s="17">
        <f>IF($C128="","",ROW()-3)</f>
        <v/>
      </c>
      <c r="B128" s="18" t="n"/>
      <c r="C128" s="13" t="n"/>
      <c r="D128" s="13" t="n"/>
      <c r="E128" s="17">
        <f>IF($C128="","",IFERROR(VLOOKUP($D128,工作归属,2,0),"※工作类型没选"))</f>
        <v/>
      </c>
      <c r="F128" s="13" t="n"/>
      <c r="G128" s="13" t="n"/>
      <c r="H128" s="20" t="n"/>
      <c r="I128" s="14" t="n"/>
      <c r="J128" s="19">
        <f>IF($C128="","",ROUND(IF($H128="",1,$H128)*N($I128),2))</f>
        <v/>
      </c>
      <c r="K128" s="13" t="n"/>
      <c r="L128" s="13" t="n"/>
      <c r="M128" s="17">
        <f>IF($C128="","",IF(ISNA(MATCH($C128,项目名表,0)),"※项目不在项目台账里",IF($E128="※工作类型没选","※工作类型没选","")))</f>
        <v/>
      </c>
    </row>
    <row r="129">
      <c r="A129" s="17">
        <f>IF($C129="","",ROW()-3)</f>
        <v/>
      </c>
      <c r="B129" s="18" t="n"/>
      <c r="C129" s="13" t="n"/>
      <c r="D129" s="13" t="n"/>
      <c r="E129" s="17">
        <f>IF($C129="","",IFERROR(VLOOKUP($D129,工作归属,2,0),"※工作类型没选"))</f>
        <v/>
      </c>
      <c r="F129" s="13" t="n"/>
      <c r="G129" s="13" t="n"/>
      <c r="H129" s="20" t="n"/>
      <c r="I129" s="14" t="n"/>
      <c r="J129" s="19">
        <f>IF($C129="","",ROUND(IF($H129="",1,$H129)*N($I129),2))</f>
        <v/>
      </c>
      <c r="K129" s="13" t="n"/>
      <c r="L129" s="13" t="n"/>
      <c r="M129" s="17">
        <f>IF($C129="","",IF(ISNA(MATCH($C129,项目名表,0)),"※项目不在项目台账里",IF($E129="※工作类型没选","※工作类型没选","")))</f>
        <v/>
      </c>
    </row>
    <row r="130">
      <c r="A130" s="17">
        <f>IF($C130="","",ROW()-3)</f>
        <v/>
      </c>
      <c r="B130" s="18" t="n"/>
      <c r="C130" s="13" t="n"/>
      <c r="D130" s="13" t="n"/>
      <c r="E130" s="17">
        <f>IF($C130="","",IFERROR(VLOOKUP($D130,工作归属,2,0),"※工作类型没选"))</f>
        <v/>
      </c>
      <c r="F130" s="13" t="n"/>
      <c r="G130" s="13" t="n"/>
      <c r="H130" s="20" t="n"/>
      <c r="I130" s="14" t="n"/>
      <c r="J130" s="19">
        <f>IF($C130="","",ROUND(IF($H130="",1,$H130)*N($I130),2))</f>
        <v/>
      </c>
      <c r="K130" s="13" t="n"/>
      <c r="L130" s="13" t="n"/>
      <c r="M130" s="17">
        <f>IF($C130="","",IF(ISNA(MATCH($C130,项目名表,0)),"※项目不在项目台账里",IF($E130="※工作类型没选","※工作类型没选","")))</f>
        <v/>
      </c>
    </row>
    <row r="131">
      <c r="A131" s="17">
        <f>IF($C131="","",ROW()-3)</f>
        <v/>
      </c>
      <c r="B131" s="18" t="n"/>
      <c r="C131" s="13" t="n"/>
      <c r="D131" s="13" t="n"/>
      <c r="E131" s="17">
        <f>IF($C131="","",IFERROR(VLOOKUP($D131,工作归属,2,0),"※工作类型没选"))</f>
        <v/>
      </c>
      <c r="F131" s="13" t="n"/>
      <c r="G131" s="13" t="n"/>
      <c r="H131" s="20" t="n"/>
      <c r="I131" s="14" t="n"/>
      <c r="J131" s="19">
        <f>IF($C131="","",ROUND(IF($H131="",1,$H131)*N($I131),2))</f>
        <v/>
      </c>
      <c r="K131" s="13" t="n"/>
      <c r="L131" s="13" t="n"/>
      <c r="M131" s="17">
        <f>IF($C131="","",IF(ISNA(MATCH($C131,项目名表,0)),"※项目不在项目台账里",IF($E131="※工作类型没选","※工作类型没选","")))</f>
        <v/>
      </c>
    </row>
    <row r="132">
      <c r="A132" s="17">
        <f>IF($C132="","",ROW()-3)</f>
        <v/>
      </c>
      <c r="B132" s="18" t="n"/>
      <c r="C132" s="13" t="n"/>
      <c r="D132" s="13" t="n"/>
      <c r="E132" s="17">
        <f>IF($C132="","",IFERROR(VLOOKUP($D132,工作归属,2,0),"※工作类型没选"))</f>
        <v/>
      </c>
      <c r="F132" s="13" t="n"/>
      <c r="G132" s="13" t="n"/>
      <c r="H132" s="20" t="n"/>
      <c r="I132" s="14" t="n"/>
      <c r="J132" s="19">
        <f>IF($C132="","",ROUND(IF($H132="",1,$H132)*N($I132),2))</f>
        <v/>
      </c>
      <c r="K132" s="13" t="n"/>
      <c r="L132" s="13" t="n"/>
      <c r="M132" s="17">
        <f>IF($C132="","",IF(ISNA(MATCH($C132,项目名表,0)),"※项目不在项目台账里",IF($E132="※工作类型没选","※工作类型没选","")))</f>
        <v/>
      </c>
    </row>
    <row r="133">
      <c r="A133" s="17">
        <f>IF($C133="","",ROW()-3)</f>
        <v/>
      </c>
      <c r="B133" s="18" t="n"/>
      <c r="C133" s="13" t="n"/>
      <c r="D133" s="13" t="n"/>
      <c r="E133" s="17">
        <f>IF($C133="","",IFERROR(VLOOKUP($D133,工作归属,2,0),"※工作类型没选"))</f>
        <v/>
      </c>
      <c r="F133" s="13" t="n"/>
      <c r="G133" s="13" t="n"/>
      <c r="H133" s="20" t="n"/>
      <c r="I133" s="14" t="n"/>
      <c r="J133" s="19">
        <f>IF($C133="","",ROUND(IF($H133="",1,$H133)*N($I133),2))</f>
        <v/>
      </c>
      <c r="K133" s="13" t="n"/>
      <c r="L133" s="13" t="n"/>
      <c r="M133" s="17">
        <f>IF($C133="","",IF(ISNA(MATCH($C133,项目名表,0)),"※项目不在项目台账里",IF($E133="※工作类型没选","※工作类型没选","")))</f>
        <v/>
      </c>
    </row>
    <row r="134">
      <c r="A134" s="17">
        <f>IF($C134="","",ROW()-3)</f>
        <v/>
      </c>
      <c r="B134" s="18" t="n"/>
      <c r="C134" s="13" t="n"/>
      <c r="D134" s="13" t="n"/>
      <c r="E134" s="17">
        <f>IF($C134="","",IFERROR(VLOOKUP($D134,工作归属,2,0),"※工作类型没选"))</f>
        <v/>
      </c>
      <c r="F134" s="13" t="n"/>
      <c r="G134" s="13" t="n"/>
      <c r="H134" s="20" t="n"/>
      <c r="I134" s="14" t="n"/>
      <c r="J134" s="19">
        <f>IF($C134="","",ROUND(IF($H134="",1,$H134)*N($I134),2))</f>
        <v/>
      </c>
      <c r="K134" s="13" t="n"/>
      <c r="L134" s="13" t="n"/>
      <c r="M134" s="17">
        <f>IF($C134="","",IF(ISNA(MATCH($C134,项目名表,0)),"※项目不在项目台账里",IF($E134="※工作类型没选","※工作类型没选","")))</f>
        <v/>
      </c>
    </row>
    <row r="135">
      <c r="A135" s="17">
        <f>IF($C135="","",ROW()-3)</f>
        <v/>
      </c>
      <c r="B135" s="18" t="n"/>
      <c r="C135" s="13" t="n"/>
      <c r="D135" s="13" t="n"/>
      <c r="E135" s="17">
        <f>IF($C135="","",IFERROR(VLOOKUP($D135,工作归属,2,0),"※工作类型没选"))</f>
        <v/>
      </c>
      <c r="F135" s="13" t="n"/>
      <c r="G135" s="13" t="n"/>
      <c r="H135" s="20" t="n"/>
      <c r="I135" s="14" t="n"/>
      <c r="J135" s="19">
        <f>IF($C135="","",ROUND(IF($H135="",1,$H135)*N($I135),2))</f>
        <v/>
      </c>
      <c r="K135" s="13" t="n"/>
      <c r="L135" s="13" t="n"/>
      <c r="M135" s="17">
        <f>IF($C135="","",IF(ISNA(MATCH($C135,项目名表,0)),"※项目不在项目台账里",IF($E135="※工作类型没选","※工作类型没选","")))</f>
        <v/>
      </c>
    </row>
    <row r="136">
      <c r="A136" s="17">
        <f>IF($C136="","",ROW()-3)</f>
        <v/>
      </c>
      <c r="B136" s="18" t="n"/>
      <c r="C136" s="13" t="n"/>
      <c r="D136" s="13" t="n"/>
      <c r="E136" s="17">
        <f>IF($C136="","",IFERROR(VLOOKUP($D136,工作归属,2,0),"※工作类型没选"))</f>
        <v/>
      </c>
      <c r="F136" s="13" t="n"/>
      <c r="G136" s="13" t="n"/>
      <c r="H136" s="20" t="n"/>
      <c r="I136" s="14" t="n"/>
      <c r="J136" s="19">
        <f>IF($C136="","",ROUND(IF($H136="",1,$H136)*N($I136),2))</f>
        <v/>
      </c>
      <c r="K136" s="13" t="n"/>
      <c r="L136" s="13" t="n"/>
      <c r="M136" s="17">
        <f>IF($C136="","",IF(ISNA(MATCH($C136,项目名表,0)),"※项目不在项目台账里",IF($E136="※工作类型没选","※工作类型没选","")))</f>
        <v/>
      </c>
    </row>
    <row r="137">
      <c r="A137" s="17">
        <f>IF($C137="","",ROW()-3)</f>
        <v/>
      </c>
      <c r="B137" s="18" t="n"/>
      <c r="C137" s="13" t="n"/>
      <c r="D137" s="13" t="n"/>
      <c r="E137" s="17">
        <f>IF($C137="","",IFERROR(VLOOKUP($D137,工作归属,2,0),"※工作类型没选"))</f>
        <v/>
      </c>
      <c r="F137" s="13" t="n"/>
      <c r="G137" s="13" t="n"/>
      <c r="H137" s="20" t="n"/>
      <c r="I137" s="14" t="n"/>
      <c r="J137" s="19">
        <f>IF($C137="","",ROUND(IF($H137="",1,$H137)*N($I137),2))</f>
        <v/>
      </c>
      <c r="K137" s="13" t="n"/>
      <c r="L137" s="13" t="n"/>
      <c r="M137" s="17">
        <f>IF($C137="","",IF(ISNA(MATCH($C137,项目名表,0)),"※项目不在项目台账里",IF($E137="※工作类型没选","※工作类型没选","")))</f>
        <v/>
      </c>
    </row>
    <row r="138">
      <c r="A138" s="17">
        <f>IF($C138="","",ROW()-3)</f>
        <v/>
      </c>
      <c r="B138" s="18" t="n"/>
      <c r="C138" s="13" t="n"/>
      <c r="D138" s="13" t="n"/>
      <c r="E138" s="17">
        <f>IF($C138="","",IFERROR(VLOOKUP($D138,工作归属,2,0),"※工作类型没选"))</f>
        <v/>
      </c>
      <c r="F138" s="13" t="n"/>
      <c r="G138" s="13" t="n"/>
      <c r="H138" s="20" t="n"/>
      <c r="I138" s="14" t="n"/>
      <c r="J138" s="19">
        <f>IF($C138="","",ROUND(IF($H138="",1,$H138)*N($I138),2))</f>
        <v/>
      </c>
      <c r="K138" s="13" t="n"/>
      <c r="L138" s="13" t="n"/>
      <c r="M138" s="17">
        <f>IF($C138="","",IF(ISNA(MATCH($C138,项目名表,0)),"※项目不在项目台账里",IF($E138="※工作类型没选","※工作类型没选","")))</f>
        <v/>
      </c>
    </row>
    <row r="139">
      <c r="A139" s="17">
        <f>IF($C139="","",ROW()-3)</f>
        <v/>
      </c>
      <c r="B139" s="18" t="n"/>
      <c r="C139" s="13" t="n"/>
      <c r="D139" s="13" t="n"/>
      <c r="E139" s="17">
        <f>IF($C139="","",IFERROR(VLOOKUP($D139,工作归属,2,0),"※工作类型没选"))</f>
        <v/>
      </c>
      <c r="F139" s="13" t="n"/>
      <c r="G139" s="13" t="n"/>
      <c r="H139" s="20" t="n"/>
      <c r="I139" s="14" t="n"/>
      <c r="J139" s="19">
        <f>IF($C139="","",ROUND(IF($H139="",1,$H139)*N($I139),2))</f>
        <v/>
      </c>
      <c r="K139" s="13" t="n"/>
      <c r="L139" s="13" t="n"/>
      <c r="M139" s="17">
        <f>IF($C139="","",IF(ISNA(MATCH($C139,项目名表,0)),"※项目不在项目台账里",IF($E139="※工作类型没选","※工作类型没选","")))</f>
        <v/>
      </c>
    </row>
    <row r="140">
      <c r="A140" s="17">
        <f>IF($C140="","",ROW()-3)</f>
        <v/>
      </c>
      <c r="B140" s="18" t="n"/>
      <c r="C140" s="13" t="n"/>
      <c r="D140" s="13" t="n"/>
      <c r="E140" s="17">
        <f>IF($C140="","",IFERROR(VLOOKUP($D140,工作归属,2,0),"※工作类型没选"))</f>
        <v/>
      </c>
      <c r="F140" s="13" t="n"/>
      <c r="G140" s="13" t="n"/>
      <c r="H140" s="20" t="n"/>
      <c r="I140" s="14" t="n"/>
      <c r="J140" s="19">
        <f>IF($C140="","",ROUND(IF($H140="",1,$H140)*N($I140),2))</f>
        <v/>
      </c>
      <c r="K140" s="13" t="n"/>
      <c r="L140" s="13" t="n"/>
      <c r="M140" s="17">
        <f>IF($C140="","",IF(ISNA(MATCH($C140,项目名表,0)),"※项目不在项目台账里",IF($E140="※工作类型没选","※工作类型没选","")))</f>
        <v/>
      </c>
    </row>
    <row r="141">
      <c r="A141" s="17">
        <f>IF($C141="","",ROW()-3)</f>
        <v/>
      </c>
      <c r="B141" s="18" t="n"/>
      <c r="C141" s="13" t="n"/>
      <c r="D141" s="13" t="n"/>
      <c r="E141" s="17">
        <f>IF($C141="","",IFERROR(VLOOKUP($D141,工作归属,2,0),"※工作类型没选"))</f>
        <v/>
      </c>
      <c r="F141" s="13" t="n"/>
      <c r="G141" s="13" t="n"/>
      <c r="H141" s="20" t="n"/>
      <c r="I141" s="14" t="n"/>
      <c r="J141" s="19">
        <f>IF($C141="","",ROUND(IF($H141="",1,$H141)*N($I141),2))</f>
        <v/>
      </c>
      <c r="K141" s="13" t="n"/>
      <c r="L141" s="13" t="n"/>
      <c r="M141" s="17">
        <f>IF($C141="","",IF(ISNA(MATCH($C141,项目名表,0)),"※项目不在项目台账里",IF($E141="※工作类型没选","※工作类型没选","")))</f>
        <v/>
      </c>
    </row>
    <row r="142">
      <c r="A142" s="17">
        <f>IF($C142="","",ROW()-3)</f>
        <v/>
      </c>
      <c r="B142" s="18" t="n"/>
      <c r="C142" s="13" t="n"/>
      <c r="D142" s="13" t="n"/>
      <c r="E142" s="17">
        <f>IF($C142="","",IFERROR(VLOOKUP($D142,工作归属,2,0),"※工作类型没选"))</f>
        <v/>
      </c>
      <c r="F142" s="13" t="n"/>
      <c r="G142" s="13" t="n"/>
      <c r="H142" s="20" t="n"/>
      <c r="I142" s="14" t="n"/>
      <c r="J142" s="19">
        <f>IF($C142="","",ROUND(IF($H142="",1,$H142)*N($I142),2))</f>
        <v/>
      </c>
      <c r="K142" s="13" t="n"/>
      <c r="L142" s="13" t="n"/>
      <c r="M142" s="17">
        <f>IF($C142="","",IF(ISNA(MATCH($C142,项目名表,0)),"※项目不在项目台账里",IF($E142="※工作类型没选","※工作类型没选","")))</f>
        <v/>
      </c>
    </row>
    <row r="143">
      <c r="A143" s="17">
        <f>IF($C143="","",ROW()-3)</f>
        <v/>
      </c>
      <c r="B143" s="18" t="n"/>
      <c r="C143" s="13" t="n"/>
      <c r="D143" s="13" t="n"/>
      <c r="E143" s="17">
        <f>IF($C143="","",IFERROR(VLOOKUP($D143,工作归属,2,0),"※工作类型没选"))</f>
        <v/>
      </c>
      <c r="F143" s="13" t="n"/>
      <c r="G143" s="13" t="n"/>
      <c r="H143" s="20" t="n"/>
      <c r="I143" s="14" t="n"/>
      <c r="J143" s="19">
        <f>IF($C143="","",ROUND(IF($H143="",1,$H143)*N($I143),2))</f>
        <v/>
      </c>
      <c r="K143" s="13" t="n"/>
      <c r="L143" s="13" t="n"/>
      <c r="M143" s="17">
        <f>IF($C143="","",IF(ISNA(MATCH($C143,项目名表,0)),"※项目不在项目台账里",IF($E143="※工作类型没选","※工作类型没选","")))</f>
        <v/>
      </c>
    </row>
    <row r="144">
      <c r="A144" s="17">
        <f>IF($C144="","",ROW()-3)</f>
        <v/>
      </c>
      <c r="B144" s="18" t="n"/>
      <c r="C144" s="13" t="n"/>
      <c r="D144" s="13" t="n"/>
      <c r="E144" s="17">
        <f>IF($C144="","",IFERROR(VLOOKUP($D144,工作归属,2,0),"※工作类型没选"))</f>
        <v/>
      </c>
      <c r="F144" s="13" t="n"/>
      <c r="G144" s="13" t="n"/>
      <c r="H144" s="20" t="n"/>
      <c r="I144" s="14" t="n"/>
      <c r="J144" s="19">
        <f>IF($C144="","",ROUND(IF($H144="",1,$H144)*N($I144),2))</f>
        <v/>
      </c>
      <c r="K144" s="13" t="n"/>
      <c r="L144" s="13" t="n"/>
      <c r="M144" s="17">
        <f>IF($C144="","",IF(ISNA(MATCH($C144,项目名表,0)),"※项目不在项目台账里",IF($E144="※工作类型没选","※工作类型没选","")))</f>
        <v/>
      </c>
    </row>
    <row r="145">
      <c r="A145" s="17">
        <f>IF($C145="","",ROW()-3)</f>
        <v/>
      </c>
      <c r="B145" s="18" t="n"/>
      <c r="C145" s="13" t="n"/>
      <c r="D145" s="13" t="n"/>
      <c r="E145" s="17">
        <f>IF($C145="","",IFERROR(VLOOKUP($D145,工作归属,2,0),"※工作类型没选"))</f>
        <v/>
      </c>
      <c r="F145" s="13" t="n"/>
      <c r="G145" s="13" t="n"/>
      <c r="H145" s="20" t="n"/>
      <c r="I145" s="14" t="n"/>
      <c r="J145" s="19">
        <f>IF($C145="","",ROUND(IF($H145="",1,$H145)*N($I145),2))</f>
        <v/>
      </c>
      <c r="K145" s="13" t="n"/>
      <c r="L145" s="13" t="n"/>
      <c r="M145" s="17">
        <f>IF($C145="","",IF(ISNA(MATCH($C145,项目名表,0)),"※项目不在项目台账里",IF($E145="※工作类型没选","※工作类型没选","")))</f>
        <v/>
      </c>
    </row>
    <row r="146">
      <c r="A146" s="17">
        <f>IF($C146="","",ROW()-3)</f>
        <v/>
      </c>
      <c r="B146" s="18" t="n"/>
      <c r="C146" s="13" t="n"/>
      <c r="D146" s="13" t="n"/>
      <c r="E146" s="17">
        <f>IF($C146="","",IFERROR(VLOOKUP($D146,工作归属,2,0),"※工作类型没选"))</f>
        <v/>
      </c>
      <c r="F146" s="13" t="n"/>
      <c r="G146" s="13" t="n"/>
      <c r="H146" s="20" t="n"/>
      <c r="I146" s="14" t="n"/>
      <c r="J146" s="19">
        <f>IF($C146="","",ROUND(IF($H146="",1,$H146)*N($I146),2))</f>
        <v/>
      </c>
      <c r="K146" s="13" t="n"/>
      <c r="L146" s="13" t="n"/>
      <c r="M146" s="17">
        <f>IF($C146="","",IF(ISNA(MATCH($C146,项目名表,0)),"※项目不在项目台账里",IF($E146="※工作类型没选","※工作类型没选","")))</f>
        <v/>
      </c>
    </row>
    <row r="147">
      <c r="A147" s="17">
        <f>IF($C147="","",ROW()-3)</f>
        <v/>
      </c>
      <c r="B147" s="18" t="n"/>
      <c r="C147" s="13" t="n"/>
      <c r="D147" s="13" t="n"/>
      <c r="E147" s="17">
        <f>IF($C147="","",IFERROR(VLOOKUP($D147,工作归属,2,0),"※工作类型没选"))</f>
        <v/>
      </c>
      <c r="F147" s="13" t="n"/>
      <c r="G147" s="13" t="n"/>
      <c r="H147" s="20" t="n"/>
      <c r="I147" s="14" t="n"/>
      <c r="J147" s="19">
        <f>IF($C147="","",ROUND(IF($H147="",1,$H147)*N($I147),2))</f>
        <v/>
      </c>
      <c r="K147" s="13" t="n"/>
      <c r="L147" s="13" t="n"/>
      <c r="M147" s="17">
        <f>IF($C147="","",IF(ISNA(MATCH($C147,项目名表,0)),"※项目不在项目台账里",IF($E147="※工作类型没选","※工作类型没选","")))</f>
        <v/>
      </c>
    </row>
    <row r="148">
      <c r="A148" s="17">
        <f>IF($C148="","",ROW()-3)</f>
        <v/>
      </c>
      <c r="B148" s="18" t="n"/>
      <c r="C148" s="13" t="n"/>
      <c r="D148" s="13" t="n"/>
      <c r="E148" s="17">
        <f>IF($C148="","",IFERROR(VLOOKUP($D148,工作归属,2,0),"※工作类型没选"))</f>
        <v/>
      </c>
      <c r="F148" s="13" t="n"/>
      <c r="G148" s="13" t="n"/>
      <c r="H148" s="20" t="n"/>
      <c r="I148" s="14" t="n"/>
      <c r="J148" s="19">
        <f>IF($C148="","",ROUND(IF($H148="",1,$H148)*N($I148),2))</f>
        <v/>
      </c>
      <c r="K148" s="13" t="n"/>
      <c r="L148" s="13" t="n"/>
      <c r="M148" s="17">
        <f>IF($C148="","",IF(ISNA(MATCH($C148,项目名表,0)),"※项目不在项目台账里",IF($E148="※工作类型没选","※工作类型没选","")))</f>
        <v/>
      </c>
    </row>
    <row r="149">
      <c r="A149" s="17">
        <f>IF($C149="","",ROW()-3)</f>
        <v/>
      </c>
      <c r="B149" s="18" t="n"/>
      <c r="C149" s="13" t="n"/>
      <c r="D149" s="13" t="n"/>
      <c r="E149" s="17">
        <f>IF($C149="","",IFERROR(VLOOKUP($D149,工作归属,2,0),"※工作类型没选"))</f>
        <v/>
      </c>
      <c r="F149" s="13" t="n"/>
      <c r="G149" s="13" t="n"/>
      <c r="H149" s="20" t="n"/>
      <c r="I149" s="14" t="n"/>
      <c r="J149" s="19">
        <f>IF($C149="","",ROUND(IF($H149="",1,$H149)*N($I149),2))</f>
        <v/>
      </c>
      <c r="K149" s="13" t="n"/>
      <c r="L149" s="13" t="n"/>
      <c r="M149" s="17">
        <f>IF($C149="","",IF(ISNA(MATCH($C149,项目名表,0)),"※项目不在项目台账里",IF($E149="※工作类型没选","※工作类型没选","")))</f>
        <v/>
      </c>
    </row>
    <row r="150">
      <c r="A150" s="17">
        <f>IF($C150="","",ROW()-3)</f>
        <v/>
      </c>
      <c r="B150" s="18" t="n"/>
      <c r="C150" s="13" t="n"/>
      <c r="D150" s="13" t="n"/>
      <c r="E150" s="17">
        <f>IF($C150="","",IFERROR(VLOOKUP($D150,工作归属,2,0),"※工作类型没选"))</f>
        <v/>
      </c>
      <c r="F150" s="13" t="n"/>
      <c r="G150" s="13" t="n"/>
      <c r="H150" s="20" t="n"/>
      <c r="I150" s="14" t="n"/>
      <c r="J150" s="19">
        <f>IF($C150="","",ROUND(IF($H150="",1,$H150)*N($I150),2))</f>
        <v/>
      </c>
      <c r="K150" s="13" t="n"/>
      <c r="L150" s="13" t="n"/>
      <c r="M150" s="17">
        <f>IF($C150="","",IF(ISNA(MATCH($C150,项目名表,0)),"※项目不在项目台账里",IF($E150="※工作类型没选","※工作类型没选","")))</f>
        <v/>
      </c>
    </row>
    <row r="151">
      <c r="A151" s="17">
        <f>IF($C151="","",ROW()-3)</f>
        <v/>
      </c>
      <c r="B151" s="18" t="n"/>
      <c r="C151" s="13" t="n"/>
      <c r="D151" s="13" t="n"/>
      <c r="E151" s="17">
        <f>IF($C151="","",IFERROR(VLOOKUP($D151,工作归属,2,0),"※工作类型没选"))</f>
        <v/>
      </c>
      <c r="F151" s="13" t="n"/>
      <c r="G151" s="13" t="n"/>
      <c r="H151" s="20" t="n"/>
      <c r="I151" s="14" t="n"/>
      <c r="J151" s="19">
        <f>IF($C151="","",ROUND(IF($H151="",1,$H151)*N($I151),2))</f>
        <v/>
      </c>
      <c r="K151" s="13" t="n"/>
      <c r="L151" s="13" t="n"/>
      <c r="M151" s="17">
        <f>IF($C151="","",IF(ISNA(MATCH($C151,项目名表,0)),"※项目不在项目台账里",IF($E151="※工作类型没选","※工作类型没选","")))</f>
        <v/>
      </c>
    </row>
    <row r="152">
      <c r="A152" s="17">
        <f>IF($C152="","",ROW()-3)</f>
        <v/>
      </c>
      <c r="B152" s="18" t="n"/>
      <c r="C152" s="13" t="n"/>
      <c r="D152" s="13" t="n"/>
      <c r="E152" s="17">
        <f>IF($C152="","",IFERROR(VLOOKUP($D152,工作归属,2,0),"※工作类型没选"))</f>
        <v/>
      </c>
      <c r="F152" s="13" t="n"/>
      <c r="G152" s="13" t="n"/>
      <c r="H152" s="20" t="n"/>
      <c r="I152" s="14" t="n"/>
      <c r="J152" s="19">
        <f>IF($C152="","",ROUND(IF($H152="",1,$H152)*N($I152),2))</f>
        <v/>
      </c>
      <c r="K152" s="13" t="n"/>
      <c r="L152" s="13" t="n"/>
      <c r="M152" s="17">
        <f>IF($C152="","",IF(ISNA(MATCH($C152,项目名表,0)),"※项目不在项目台账里",IF($E152="※工作类型没选","※工作类型没选","")))</f>
        <v/>
      </c>
    </row>
    <row r="153">
      <c r="A153" s="17">
        <f>IF($C153="","",ROW()-3)</f>
        <v/>
      </c>
      <c r="B153" s="18" t="n"/>
      <c r="C153" s="13" t="n"/>
      <c r="D153" s="13" t="n"/>
      <c r="E153" s="17">
        <f>IF($C153="","",IFERROR(VLOOKUP($D153,工作归属,2,0),"※工作类型没选"))</f>
        <v/>
      </c>
      <c r="F153" s="13" t="n"/>
      <c r="G153" s="13" t="n"/>
      <c r="H153" s="20" t="n"/>
      <c r="I153" s="14" t="n"/>
      <c r="J153" s="19">
        <f>IF($C153="","",ROUND(IF($H153="",1,$H153)*N($I153),2))</f>
        <v/>
      </c>
      <c r="K153" s="13" t="n"/>
      <c r="L153" s="13" t="n"/>
      <c r="M153" s="17">
        <f>IF($C153="","",IF(ISNA(MATCH($C153,项目名表,0)),"※项目不在项目台账里",IF($E153="※工作类型没选","※工作类型没选","")))</f>
        <v/>
      </c>
    </row>
    <row r="154">
      <c r="A154" s="17">
        <f>IF($C154="","",ROW()-3)</f>
        <v/>
      </c>
      <c r="B154" s="18" t="n"/>
      <c r="C154" s="13" t="n"/>
      <c r="D154" s="13" t="n"/>
      <c r="E154" s="17">
        <f>IF($C154="","",IFERROR(VLOOKUP($D154,工作归属,2,0),"※工作类型没选"))</f>
        <v/>
      </c>
      <c r="F154" s="13" t="n"/>
      <c r="G154" s="13" t="n"/>
      <c r="H154" s="20" t="n"/>
      <c r="I154" s="14" t="n"/>
      <c r="J154" s="19">
        <f>IF($C154="","",ROUND(IF($H154="",1,$H154)*N($I154),2))</f>
        <v/>
      </c>
      <c r="K154" s="13" t="n"/>
      <c r="L154" s="13" t="n"/>
      <c r="M154" s="17">
        <f>IF($C154="","",IF(ISNA(MATCH($C154,项目名表,0)),"※项目不在项目台账里",IF($E154="※工作类型没选","※工作类型没选","")))</f>
        <v/>
      </c>
    </row>
    <row r="155">
      <c r="A155" s="17">
        <f>IF($C155="","",ROW()-3)</f>
        <v/>
      </c>
      <c r="B155" s="18" t="n"/>
      <c r="C155" s="13" t="n"/>
      <c r="D155" s="13" t="n"/>
      <c r="E155" s="17">
        <f>IF($C155="","",IFERROR(VLOOKUP($D155,工作归属,2,0),"※工作类型没选"))</f>
        <v/>
      </c>
      <c r="F155" s="13" t="n"/>
      <c r="G155" s="13" t="n"/>
      <c r="H155" s="20" t="n"/>
      <c r="I155" s="14" t="n"/>
      <c r="J155" s="19">
        <f>IF($C155="","",ROUND(IF($H155="",1,$H155)*N($I155),2))</f>
        <v/>
      </c>
      <c r="K155" s="13" t="n"/>
      <c r="L155" s="13" t="n"/>
      <c r="M155" s="17">
        <f>IF($C155="","",IF(ISNA(MATCH($C155,项目名表,0)),"※项目不在项目台账里",IF($E155="※工作类型没选","※工作类型没选","")))</f>
        <v/>
      </c>
    </row>
    <row r="156">
      <c r="A156" s="17">
        <f>IF($C156="","",ROW()-3)</f>
        <v/>
      </c>
      <c r="B156" s="18" t="n"/>
      <c r="C156" s="13" t="n"/>
      <c r="D156" s="13" t="n"/>
      <c r="E156" s="17">
        <f>IF($C156="","",IFERROR(VLOOKUP($D156,工作归属,2,0),"※工作类型没选"))</f>
        <v/>
      </c>
      <c r="F156" s="13" t="n"/>
      <c r="G156" s="13" t="n"/>
      <c r="H156" s="20" t="n"/>
      <c r="I156" s="14" t="n"/>
      <c r="J156" s="19">
        <f>IF($C156="","",ROUND(IF($H156="",1,$H156)*N($I156),2))</f>
        <v/>
      </c>
      <c r="K156" s="13" t="n"/>
      <c r="L156" s="13" t="n"/>
      <c r="M156" s="17">
        <f>IF($C156="","",IF(ISNA(MATCH($C156,项目名表,0)),"※项目不在项目台账里",IF($E156="※工作类型没选","※工作类型没选","")))</f>
        <v/>
      </c>
    </row>
    <row r="157">
      <c r="A157" s="17">
        <f>IF($C157="","",ROW()-3)</f>
        <v/>
      </c>
      <c r="B157" s="18" t="n"/>
      <c r="C157" s="13" t="n"/>
      <c r="D157" s="13" t="n"/>
      <c r="E157" s="17">
        <f>IF($C157="","",IFERROR(VLOOKUP($D157,工作归属,2,0),"※工作类型没选"))</f>
        <v/>
      </c>
      <c r="F157" s="13" t="n"/>
      <c r="G157" s="13" t="n"/>
      <c r="H157" s="20" t="n"/>
      <c r="I157" s="14" t="n"/>
      <c r="J157" s="19">
        <f>IF($C157="","",ROUND(IF($H157="",1,$H157)*N($I157),2))</f>
        <v/>
      </c>
      <c r="K157" s="13" t="n"/>
      <c r="L157" s="13" t="n"/>
      <c r="M157" s="17">
        <f>IF($C157="","",IF(ISNA(MATCH($C157,项目名表,0)),"※项目不在项目台账里",IF($E157="※工作类型没选","※工作类型没选","")))</f>
        <v/>
      </c>
    </row>
    <row r="158">
      <c r="A158" s="17">
        <f>IF($C158="","",ROW()-3)</f>
        <v/>
      </c>
      <c r="B158" s="18" t="n"/>
      <c r="C158" s="13" t="n"/>
      <c r="D158" s="13" t="n"/>
      <c r="E158" s="17">
        <f>IF($C158="","",IFERROR(VLOOKUP($D158,工作归属,2,0),"※工作类型没选"))</f>
        <v/>
      </c>
      <c r="F158" s="13" t="n"/>
      <c r="G158" s="13" t="n"/>
      <c r="H158" s="20" t="n"/>
      <c r="I158" s="14" t="n"/>
      <c r="J158" s="19">
        <f>IF($C158="","",ROUND(IF($H158="",1,$H158)*N($I158),2))</f>
        <v/>
      </c>
      <c r="K158" s="13" t="n"/>
      <c r="L158" s="13" t="n"/>
      <c r="M158" s="17">
        <f>IF($C158="","",IF(ISNA(MATCH($C158,项目名表,0)),"※项目不在项目台账里",IF($E158="※工作类型没选","※工作类型没选","")))</f>
        <v/>
      </c>
    </row>
    <row r="159">
      <c r="A159" s="17">
        <f>IF($C159="","",ROW()-3)</f>
        <v/>
      </c>
      <c r="B159" s="18" t="n"/>
      <c r="C159" s="13" t="n"/>
      <c r="D159" s="13" t="n"/>
      <c r="E159" s="17">
        <f>IF($C159="","",IFERROR(VLOOKUP($D159,工作归属,2,0),"※工作类型没选"))</f>
        <v/>
      </c>
      <c r="F159" s="13" t="n"/>
      <c r="G159" s="13" t="n"/>
      <c r="H159" s="20" t="n"/>
      <c r="I159" s="14" t="n"/>
      <c r="J159" s="19">
        <f>IF($C159="","",ROUND(IF($H159="",1,$H159)*N($I159),2))</f>
        <v/>
      </c>
      <c r="K159" s="13" t="n"/>
      <c r="L159" s="13" t="n"/>
      <c r="M159" s="17">
        <f>IF($C159="","",IF(ISNA(MATCH($C159,项目名表,0)),"※项目不在项目台账里",IF($E159="※工作类型没选","※工作类型没选","")))</f>
        <v/>
      </c>
    </row>
    <row r="160">
      <c r="A160" s="17">
        <f>IF($C160="","",ROW()-3)</f>
        <v/>
      </c>
      <c r="B160" s="18" t="n"/>
      <c r="C160" s="13" t="n"/>
      <c r="D160" s="13" t="n"/>
      <c r="E160" s="17">
        <f>IF($C160="","",IFERROR(VLOOKUP($D160,工作归属,2,0),"※工作类型没选"))</f>
        <v/>
      </c>
      <c r="F160" s="13" t="n"/>
      <c r="G160" s="13" t="n"/>
      <c r="H160" s="20" t="n"/>
      <c r="I160" s="14" t="n"/>
      <c r="J160" s="19">
        <f>IF($C160="","",ROUND(IF($H160="",1,$H160)*N($I160),2))</f>
        <v/>
      </c>
      <c r="K160" s="13" t="n"/>
      <c r="L160" s="13" t="n"/>
      <c r="M160" s="17">
        <f>IF($C160="","",IF(ISNA(MATCH($C160,项目名表,0)),"※项目不在项目台账里",IF($E160="※工作类型没选","※工作类型没选","")))</f>
        <v/>
      </c>
    </row>
    <row r="161">
      <c r="A161" s="17">
        <f>IF($C161="","",ROW()-3)</f>
        <v/>
      </c>
      <c r="B161" s="18" t="n"/>
      <c r="C161" s="13" t="n"/>
      <c r="D161" s="13" t="n"/>
      <c r="E161" s="17">
        <f>IF($C161="","",IFERROR(VLOOKUP($D161,工作归属,2,0),"※工作类型没选"))</f>
        <v/>
      </c>
      <c r="F161" s="13" t="n"/>
      <c r="G161" s="13" t="n"/>
      <c r="H161" s="20" t="n"/>
      <c r="I161" s="14" t="n"/>
      <c r="J161" s="19">
        <f>IF($C161="","",ROUND(IF($H161="",1,$H161)*N($I161),2))</f>
        <v/>
      </c>
      <c r="K161" s="13" t="n"/>
      <c r="L161" s="13" t="n"/>
      <c r="M161" s="17">
        <f>IF($C161="","",IF(ISNA(MATCH($C161,项目名表,0)),"※项目不在项目台账里",IF($E161="※工作类型没选","※工作类型没选","")))</f>
        <v/>
      </c>
    </row>
    <row r="162">
      <c r="A162" s="17">
        <f>IF($C162="","",ROW()-3)</f>
        <v/>
      </c>
      <c r="B162" s="18" t="n"/>
      <c r="C162" s="13" t="n"/>
      <c r="D162" s="13" t="n"/>
      <c r="E162" s="17">
        <f>IF($C162="","",IFERROR(VLOOKUP($D162,工作归属,2,0),"※工作类型没选"))</f>
        <v/>
      </c>
      <c r="F162" s="13" t="n"/>
      <c r="G162" s="13" t="n"/>
      <c r="H162" s="20" t="n"/>
      <c r="I162" s="14" t="n"/>
      <c r="J162" s="19">
        <f>IF($C162="","",ROUND(IF($H162="",1,$H162)*N($I162),2))</f>
        <v/>
      </c>
      <c r="K162" s="13" t="n"/>
      <c r="L162" s="13" t="n"/>
      <c r="M162" s="17">
        <f>IF($C162="","",IF(ISNA(MATCH($C162,项目名表,0)),"※项目不在项目台账里",IF($E162="※工作类型没选","※工作类型没选","")))</f>
        <v/>
      </c>
    </row>
    <row r="163">
      <c r="A163" s="17">
        <f>IF($C163="","",ROW()-3)</f>
        <v/>
      </c>
      <c r="B163" s="18" t="n"/>
      <c r="C163" s="13" t="n"/>
      <c r="D163" s="13" t="n"/>
      <c r="E163" s="17">
        <f>IF($C163="","",IFERROR(VLOOKUP($D163,工作归属,2,0),"※工作类型没选"))</f>
        <v/>
      </c>
      <c r="F163" s="13" t="n"/>
      <c r="G163" s="13" t="n"/>
      <c r="H163" s="20" t="n"/>
      <c r="I163" s="14" t="n"/>
      <c r="J163" s="19">
        <f>IF($C163="","",ROUND(IF($H163="",1,$H163)*N($I163),2))</f>
        <v/>
      </c>
      <c r="K163" s="13" t="n"/>
      <c r="L163" s="13" t="n"/>
      <c r="M163" s="17">
        <f>IF($C163="","",IF(ISNA(MATCH($C163,项目名表,0)),"※项目不在项目台账里",IF($E163="※工作类型没选","※工作类型没选","")))</f>
        <v/>
      </c>
    </row>
    <row r="164">
      <c r="A164" s="17">
        <f>IF($C164="","",ROW()-3)</f>
        <v/>
      </c>
      <c r="B164" s="18" t="n"/>
      <c r="C164" s="13" t="n"/>
      <c r="D164" s="13" t="n"/>
      <c r="E164" s="17">
        <f>IF($C164="","",IFERROR(VLOOKUP($D164,工作归属,2,0),"※工作类型没选"))</f>
        <v/>
      </c>
      <c r="F164" s="13" t="n"/>
      <c r="G164" s="13" t="n"/>
      <c r="H164" s="20" t="n"/>
      <c r="I164" s="14" t="n"/>
      <c r="J164" s="19">
        <f>IF($C164="","",ROUND(IF($H164="",1,$H164)*N($I164),2))</f>
        <v/>
      </c>
      <c r="K164" s="13" t="n"/>
      <c r="L164" s="13" t="n"/>
      <c r="M164" s="17">
        <f>IF($C164="","",IF(ISNA(MATCH($C164,项目名表,0)),"※项目不在项目台账里",IF($E164="※工作类型没选","※工作类型没选","")))</f>
        <v/>
      </c>
    </row>
    <row r="165">
      <c r="A165" s="17">
        <f>IF($C165="","",ROW()-3)</f>
        <v/>
      </c>
      <c r="B165" s="18" t="n"/>
      <c r="C165" s="13" t="n"/>
      <c r="D165" s="13" t="n"/>
      <c r="E165" s="17">
        <f>IF($C165="","",IFERROR(VLOOKUP($D165,工作归属,2,0),"※工作类型没选"))</f>
        <v/>
      </c>
      <c r="F165" s="13" t="n"/>
      <c r="G165" s="13" t="n"/>
      <c r="H165" s="20" t="n"/>
      <c r="I165" s="14" t="n"/>
      <c r="J165" s="19">
        <f>IF($C165="","",ROUND(IF($H165="",1,$H165)*N($I165),2))</f>
        <v/>
      </c>
      <c r="K165" s="13" t="n"/>
      <c r="L165" s="13" t="n"/>
      <c r="M165" s="17">
        <f>IF($C165="","",IF(ISNA(MATCH($C165,项目名表,0)),"※项目不在项目台账里",IF($E165="※工作类型没选","※工作类型没选","")))</f>
        <v/>
      </c>
    </row>
    <row r="166">
      <c r="A166" s="17">
        <f>IF($C166="","",ROW()-3)</f>
        <v/>
      </c>
      <c r="B166" s="18" t="n"/>
      <c r="C166" s="13" t="n"/>
      <c r="D166" s="13" t="n"/>
      <c r="E166" s="17">
        <f>IF($C166="","",IFERROR(VLOOKUP($D166,工作归属,2,0),"※工作类型没选"))</f>
        <v/>
      </c>
      <c r="F166" s="13" t="n"/>
      <c r="G166" s="13" t="n"/>
      <c r="H166" s="20" t="n"/>
      <c r="I166" s="14" t="n"/>
      <c r="J166" s="19">
        <f>IF($C166="","",ROUND(IF($H166="",1,$H166)*N($I166),2))</f>
        <v/>
      </c>
      <c r="K166" s="13" t="n"/>
      <c r="L166" s="13" t="n"/>
      <c r="M166" s="17">
        <f>IF($C166="","",IF(ISNA(MATCH($C166,项目名表,0)),"※项目不在项目台账里",IF($E166="※工作类型没选","※工作类型没选","")))</f>
        <v/>
      </c>
    </row>
    <row r="167">
      <c r="A167" s="17">
        <f>IF($C167="","",ROW()-3)</f>
        <v/>
      </c>
      <c r="B167" s="18" t="n"/>
      <c r="C167" s="13" t="n"/>
      <c r="D167" s="13" t="n"/>
      <c r="E167" s="17">
        <f>IF($C167="","",IFERROR(VLOOKUP($D167,工作归属,2,0),"※工作类型没选"))</f>
        <v/>
      </c>
      <c r="F167" s="13" t="n"/>
      <c r="G167" s="13" t="n"/>
      <c r="H167" s="20" t="n"/>
      <c r="I167" s="14" t="n"/>
      <c r="J167" s="19">
        <f>IF($C167="","",ROUND(IF($H167="",1,$H167)*N($I167),2))</f>
        <v/>
      </c>
      <c r="K167" s="13" t="n"/>
      <c r="L167" s="13" t="n"/>
      <c r="M167" s="17">
        <f>IF($C167="","",IF(ISNA(MATCH($C167,项目名表,0)),"※项目不在项目台账里",IF($E167="※工作类型没选","※工作类型没选","")))</f>
        <v/>
      </c>
    </row>
    <row r="168">
      <c r="A168" s="17">
        <f>IF($C168="","",ROW()-3)</f>
        <v/>
      </c>
      <c r="B168" s="18" t="n"/>
      <c r="C168" s="13" t="n"/>
      <c r="D168" s="13" t="n"/>
      <c r="E168" s="17">
        <f>IF($C168="","",IFERROR(VLOOKUP($D168,工作归属,2,0),"※工作类型没选"))</f>
        <v/>
      </c>
      <c r="F168" s="13" t="n"/>
      <c r="G168" s="13" t="n"/>
      <c r="H168" s="20" t="n"/>
      <c r="I168" s="14" t="n"/>
      <c r="J168" s="19">
        <f>IF($C168="","",ROUND(IF($H168="",1,$H168)*N($I168),2))</f>
        <v/>
      </c>
      <c r="K168" s="13" t="n"/>
      <c r="L168" s="13" t="n"/>
      <c r="M168" s="17">
        <f>IF($C168="","",IF(ISNA(MATCH($C168,项目名表,0)),"※项目不在项目台账里",IF($E168="※工作类型没选","※工作类型没选","")))</f>
        <v/>
      </c>
    </row>
    <row r="169">
      <c r="A169" s="17">
        <f>IF($C169="","",ROW()-3)</f>
        <v/>
      </c>
      <c r="B169" s="18" t="n"/>
      <c r="C169" s="13" t="n"/>
      <c r="D169" s="13" t="n"/>
      <c r="E169" s="17">
        <f>IF($C169="","",IFERROR(VLOOKUP($D169,工作归属,2,0),"※工作类型没选"))</f>
        <v/>
      </c>
      <c r="F169" s="13" t="n"/>
      <c r="G169" s="13" t="n"/>
      <c r="H169" s="20" t="n"/>
      <c r="I169" s="14" t="n"/>
      <c r="J169" s="19">
        <f>IF($C169="","",ROUND(IF($H169="",1,$H169)*N($I169),2))</f>
        <v/>
      </c>
      <c r="K169" s="13" t="n"/>
      <c r="L169" s="13" t="n"/>
      <c r="M169" s="17">
        <f>IF($C169="","",IF(ISNA(MATCH($C169,项目名表,0)),"※项目不在项目台账里",IF($E169="※工作类型没选","※工作类型没选","")))</f>
        <v/>
      </c>
    </row>
    <row r="170">
      <c r="A170" s="17">
        <f>IF($C170="","",ROW()-3)</f>
        <v/>
      </c>
      <c r="B170" s="18" t="n"/>
      <c r="C170" s="13" t="n"/>
      <c r="D170" s="13" t="n"/>
      <c r="E170" s="17">
        <f>IF($C170="","",IFERROR(VLOOKUP($D170,工作归属,2,0),"※工作类型没选"))</f>
        <v/>
      </c>
      <c r="F170" s="13" t="n"/>
      <c r="G170" s="13" t="n"/>
      <c r="H170" s="20" t="n"/>
      <c r="I170" s="14" t="n"/>
      <c r="J170" s="19">
        <f>IF($C170="","",ROUND(IF($H170="",1,$H170)*N($I170),2))</f>
        <v/>
      </c>
      <c r="K170" s="13" t="n"/>
      <c r="L170" s="13" t="n"/>
      <c r="M170" s="17">
        <f>IF($C170="","",IF(ISNA(MATCH($C170,项目名表,0)),"※项目不在项目台账里",IF($E170="※工作类型没选","※工作类型没选","")))</f>
        <v/>
      </c>
    </row>
    <row r="171">
      <c r="A171" s="17">
        <f>IF($C171="","",ROW()-3)</f>
        <v/>
      </c>
      <c r="B171" s="18" t="n"/>
      <c r="C171" s="13" t="n"/>
      <c r="D171" s="13" t="n"/>
      <c r="E171" s="17">
        <f>IF($C171="","",IFERROR(VLOOKUP($D171,工作归属,2,0),"※工作类型没选"))</f>
        <v/>
      </c>
      <c r="F171" s="13" t="n"/>
      <c r="G171" s="13" t="n"/>
      <c r="H171" s="20" t="n"/>
      <c r="I171" s="14" t="n"/>
      <c r="J171" s="19">
        <f>IF($C171="","",ROUND(IF($H171="",1,$H171)*N($I171),2))</f>
        <v/>
      </c>
      <c r="K171" s="13" t="n"/>
      <c r="L171" s="13" t="n"/>
      <c r="M171" s="17">
        <f>IF($C171="","",IF(ISNA(MATCH($C171,项目名表,0)),"※项目不在项目台账里",IF($E171="※工作类型没选","※工作类型没选","")))</f>
        <v/>
      </c>
    </row>
    <row r="172">
      <c r="A172" s="17">
        <f>IF($C172="","",ROW()-3)</f>
        <v/>
      </c>
      <c r="B172" s="18" t="n"/>
      <c r="C172" s="13" t="n"/>
      <c r="D172" s="13" t="n"/>
      <c r="E172" s="17">
        <f>IF($C172="","",IFERROR(VLOOKUP($D172,工作归属,2,0),"※工作类型没选"))</f>
        <v/>
      </c>
      <c r="F172" s="13" t="n"/>
      <c r="G172" s="13" t="n"/>
      <c r="H172" s="20" t="n"/>
      <c r="I172" s="14" t="n"/>
      <c r="J172" s="19">
        <f>IF($C172="","",ROUND(IF($H172="",1,$H172)*N($I172),2))</f>
        <v/>
      </c>
      <c r="K172" s="13" t="n"/>
      <c r="L172" s="13" t="n"/>
      <c r="M172" s="17">
        <f>IF($C172="","",IF(ISNA(MATCH($C172,项目名表,0)),"※项目不在项目台账里",IF($E172="※工作类型没选","※工作类型没选","")))</f>
        <v/>
      </c>
    </row>
    <row r="173">
      <c r="A173" s="17">
        <f>IF($C173="","",ROW()-3)</f>
        <v/>
      </c>
      <c r="B173" s="18" t="n"/>
      <c r="C173" s="13" t="n"/>
      <c r="D173" s="13" t="n"/>
      <c r="E173" s="17">
        <f>IF($C173="","",IFERROR(VLOOKUP($D173,工作归属,2,0),"※工作类型没选"))</f>
        <v/>
      </c>
      <c r="F173" s="13" t="n"/>
      <c r="G173" s="13" t="n"/>
      <c r="H173" s="20" t="n"/>
      <c r="I173" s="14" t="n"/>
      <c r="J173" s="19">
        <f>IF($C173="","",ROUND(IF($H173="",1,$H173)*N($I173),2))</f>
        <v/>
      </c>
      <c r="K173" s="13" t="n"/>
      <c r="L173" s="13" t="n"/>
      <c r="M173" s="17">
        <f>IF($C173="","",IF(ISNA(MATCH($C173,项目名表,0)),"※项目不在项目台账里",IF($E173="※工作类型没选","※工作类型没选","")))</f>
        <v/>
      </c>
    </row>
    <row r="174">
      <c r="A174" s="17">
        <f>IF($C174="","",ROW()-3)</f>
        <v/>
      </c>
      <c r="B174" s="18" t="n"/>
      <c r="C174" s="13" t="n"/>
      <c r="D174" s="13" t="n"/>
      <c r="E174" s="17">
        <f>IF($C174="","",IFERROR(VLOOKUP($D174,工作归属,2,0),"※工作类型没选"))</f>
        <v/>
      </c>
      <c r="F174" s="13" t="n"/>
      <c r="G174" s="13" t="n"/>
      <c r="H174" s="20" t="n"/>
      <c r="I174" s="14" t="n"/>
      <c r="J174" s="19">
        <f>IF($C174="","",ROUND(IF($H174="",1,$H174)*N($I174),2))</f>
        <v/>
      </c>
      <c r="K174" s="13" t="n"/>
      <c r="L174" s="13" t="n"/>
      <c r="M174" s="17">
        <f>IF($C174="","",IF(ISNA(MATCH($C174,项目名表,0)),"※项目不在项目台账里",IF($E174="※工作类型没选","※工作类型没选","")))</f>
        <v/>
      </c>
    </row>
    <row r="175">
      <c r="A175" s="17">
        <f>IF($C175="","",ROW()-3)</f>
        <v/>
      </c>
      <c r="B175" s="18" t="n"/>
      <c r="C175" s="13" t="n"/>
      <c r="D175" s="13" t="n"/>
      <c r="E175" s="17">
        <f>IF($C175="","",IFERROR(VLOOKUP($D175,工作归属,2,0),"※工作类型没选"))</f>
        <v/>
      </c>
      <c r="F175" s="13" t="n"/>
      <c r="G175" s="13" t="n"/>
      <c r="H175" s="20" t="n"/>
      <c r="I175" s="14" t="n"/>
      <c r="J175" s="19">
        <f>IF($C175="","",ROUND(IF($H175="",1,$H175)*N($I175),2))</f>
        <v/>
      </c>
      <c r="K175" s="13" t="n"/>
      <c r="L175" s="13" t="n"/>
      <c r="M175" s="17">
        <f>IF($C175="","",IF(ISNA(MATCH($C175,项目名表,0)),"※项目不在项目台账里",IF($E175="※工作类型没选","※工作类型没选","")))</f>
        <v/>
      </c>
    </row>
    <row r="176">
      <c r="A176" s="17">
        <f>IF($C176="","",ROW()-3)</f>
        <v/>
      </c>
      <c r="B176" s="18" t="n"/>
      <c r="C176" s="13" t="n"/>
      <c r="D176" s="13" t="n"/>
      <c r="E176" s="17">
        <f>IF($C176="","",IFERROR(VLOOKUP($D176,工作归属,2,0),"※工作类型没选"))</f>
        <v/>
      </c>
      <c r="F176" s="13" t="n"/>
      <c r="G176" s="13" t="n"/>
      <c r="H176" s="20" t="n"/>
      <c r="I176" s="14" t="n"/>
      <c r="J176" s="19">
        <f>IF($C176="","",ROUND(IF($H176="",1,$H176)*N($I176),2))</f>
        <v/>
      </c>
      <c r="K176" s="13" t="n"/>
      <c r="L176" s="13" t="n"/>
      <c r="M176" s="17">
        <f>IF($C176="","",IF(ISNA(MATCH($C176,项目名表,0)),"※项目不在项目台账里",IF($E176="※工作类型没选","※工作类型没选","")))</f>
        <v/>
      </c>
    </row>
    <row r="177">
      <c r="A177" s="17">
        <f>IF($C177="","",ROW()-3)</f>
        <v/>
      </c>
      <c r="B177" s="18" t="n"/>
      <c r="C177" s="13" t="n"/>
      <c r="D177" s="13" t="n"/>
      <c r="E177" s="17">
        <f>IF($C177="","",IFERROR(VLOOKUP($D177,工作归属,2,0),"※工作类型没选"))</f>
        <v/>
      </c>
      <c r="F177" s="13" t="n"/>
      <c r="G177" s="13" t="n"/>
      <c r="H177" s="20" t="n"/>
      <c r="I177" s="14" t="n"/>
      <c r="J177" s="19">
        <f>IF($C177="","",ROUND(IF($H177="",1,$H177)*N($I177),2))</f>
        <v/>
      </c>
      <c r="K177" s="13" t="n"/>
      <c r="L177" s="13" t="n"/>
      <c r="M177" s="17">
        <f>IF($C177="","",IF(ISNA(MATCH($C177,项目名表,0)),"※项目不在项目台账里",IF($E177="※工作类型没选","※工作类型没选","")))</f>
        <v/>
      </c>
    </row>
    <row r="178">
      <c r="A178" s="17">
        <f>IF($C178="","",ROW()-3)</f>
        <v/>
      </c>
      <c r="B178" s="18" t="n"/>
      <c r="C178" s="13" t="n"/>
      <c r="D178" s="13" t="n"/>
      <c r="E178" s="17">
        <f>IF($C178="","",IFERROR(VLOOKUP($D178,工作归属,2,0),"※工作类型没选"))</f>
        <v/>
      </c>
      <c r="F178" s="13" t="n"/>
      <c r="G178" s="13" t="n"/>
      <c r="H178" s="20" t="n"/>
      <c r="I178" s="14" t="n"/>
      <c r="J178" s="19">
        <f>IF($C178="","",ROUND(IF($H178="",1,$H178)*N($I178),2))</f>
        <v/>
      </c>
      <c r="K178" s="13" t="n"/>
      <c r="L178" s="13" t="n"/>
      <c r="M178" s="17">
        <f>IF($C178="","",IF(ISNA(MATCH($C178,项目名表,0)),"※项目不在项目台账里",IF($E178="※工作类型没选","※工作类型没选","")))</f>
        <v/>
      </c>
    </row>
    <row r="179">
      <c r="A179" s="17">
        <f>IF($C179="","",ROW()-3)</f>
        <v/>
      </c>
      <c r="B179" s="18" t="n"/>
      <c r="C179" s="13" t="n"/>
      <c r="D179" s="13" t="n"/>
      <c r="E179" s="17">
        <f>IF($C179="","",IFERROR(VLOOKUP($D179,工作归属,2,0),"※工作类型没选"))</f>
        <v/>
      </c>
      <c r="F179" s="13" t="n"/>
      <c r="G179" s="13" t="n"/>
      <c r="H179" s="20" t="n"/>
      <c r="I179" s="14" t="n"/>
      <c r="J179" s="19">
        <f>IF($C179="","",ROUND(IF($H179="",1,$H179)*N($I179),2))</f>
        <v/>
      </c>
      <c r="K179" s="13" t="n"/>
      <c r="L179" s="13" t="n"/>
      <c r="M179" s="17">
        <f>IF($C179="","",IF(ISNA(MATCH($C179,项目名表,0)),"※项目不在项目台账里",IF($E179="※工作类型没选","※工作类型没选","")))</f>
        <v/>
      </c>
    </row>
    <row r="180">
      <c r="A180" s="17">
        <f>IF($C180="","",ROW()-3)</f>
        <v/>
      </c>
      <c r="B180" s="18" t="n"/>
      <c r="C180" s="13" t="n"/>
      <c r="D180" s="13" t="n"/>
      <c r="E180" s="17">
        <f>IF($C180="","",IFERROR(VLOOKUP($D180,工作归属,2,0),"※工作类型没选"))</f>
        <v/>
      </c>
      <c r="F180" s="13" t="n"/>
      <c r="G180" s="13" t="n"/>
      <c r="H180" s="20" t="n"/>
      <c r="I180" s="14" t="n"/>
      <c r="J180" s="19">
        <f>IF($C180="","",ROUND(IF($H180="",1,$H180)*N($I180),2))</f>
        <v/>
      </c>
      <c r="K180" s="13" t="n"/>
      <c r="L180" s="13" t="n"/>
      <c r="M180" s="17">
        <f>IF($C180="","",IF(ISNA(MATCH($C180,项目名表,0)),"※项目不在项目台账里",IF($E180="※工作类型没选","※工作类型没选","")))</f>
        <v/>
      </c>
    </row>
    <row r="181">
      <c r="A181" s="17">
        <f>IF($C181="","",ROW()-3)</f>
        <v/>
      </c>
      <c r="B181" s="18" t="n"/>
      <c r="C181" s="13" t="n"/>
      <c r="D181" s="13" t="n"/>
      <c r="E181" s="17">
        <f>IF($C181="","",IFERROR(VLOOKUP($D181,工作归属,2,0),"※工作类型没选"))</f>
        <v/>
      </c>
      <c r="F181" s="13" t="n"/>
      <c r="G181" s="13" t="n"/>
      <c r="H181" s="20" t="n"/>
      <c r="I181" s="14" t="n"/>
      <c r="J181" s="19">
        <f>IF($C181="","",ROUND(IF($H181="",1,$H181)*N($I181),2))</f>
        <v/>
      </c>
      <c r="K181" s="13" t="n"/>
      <c r="L181" s="13" t="n"/>
      <c r="M181" s="17">
        <f>IF($C181="","",IF(ISNA(MATCH($C181,项目名表,0)),"※项目不在项目台账里",IF($E181="※工作类型没选","※工作类型没选","")))</f>
        <v/>
      </c>
    </row>
    <row r="182">
      <c r="A182" s="17">
        <f>IF($C182="","",ROW()-3)</f>
        <v/>
      </c>
      <c r="B182" s="18" t="n"/>
      <c r="C182" s="13" t="n"/>
      <c r="D182" s="13" t="n"/>
      <c r="E182" s="17">
        <f>IF($C182="","",IFERROR(VLOOKUP($D182,工作归属,2,0),"※工作类型没选"))</f>
        <v/>
      </c>
      <c r="F182" s="13" t="n"/>
      <c r="G182" s="13" t="n"/>
      <c r="H182" s="20" t="n"/>
      <c r="I182" s="14" t="n"/>
      <c r="J182" s="19">
        <f>IF($C182="","",ROUND(IF($H182="",1,$H182)*N($I182),2))</f>
        <v/>
      </c>
      <c r="K182" s="13" t="n"/>
      <c r="L182" s="13" t="n"/>
      <c r="M182" s="17">
        <f>IF($C182="","",IF(ISNA(MATCH($C182,项目名表,0)),"※项目不在项目台账里",IF($E182="※工作类型没选","※工作类型没选","")))</f>
        <v/>
      </c>
    </row>
    <row r="183">
      <c r="A183" s="17">
        <f>IF($C183="","",ROW()-3)</f>
        <v/>
      </c>
      <c r="B183" s="18" t="n"/>
      <c r="C183" s="13" t="n"/>
      <c r="D183" s="13" t="n"/>
      <c r="E183" s="17">
        <f>IF($C183="","",IFERROR(VLOOKUP($D183,工作归属,2,0),"※工作类型没选"))</f>
        <v/>
      </c>
      <c r="F183" s="13" t="n"/>
      <c r="G183" s="13" t="n"/>
      <c r="H183" s="20" t="n"/>
      <c r="I183" s="14" t="n"/>
      <c r="J183" s="19">
        <f>IF($C183="","",ROUND(IF($H183="",1,$H183)*N($I183),2))</f>
        <v/>
      </c>
      <c r="K183" s="13" t="n"/>
      <c r="L183" s="13" t="n"/>
      <c r="M183" s="17">
        <f>IF($C183="","",IF(ISNA(MATCH($C183,项目名表,0)),"※项目不在项目台账里",IF($E183="※工作类型没选","※工作类型没选","")))</f>
        <v/>
      </c>
    </row>
    <row r="184">
      <c r="A184" s="17">
        <f>IF($C184="","",ROW()-3)</f>
        <v/>
      </c>
      <c r="B184" s="18" t="n"/>
      <c r="C184" s="13" t="n"/>
      <c r="D184" s="13" t="n"/>
      <c r="E184" s="17">
        <f>IF($C184="","",IFERROR(VLOOKUP($D184,工作归属,2,0),"※工作类型没选"))</f>
        <v/>
      </c>
      <c r="F184" s="13" t="n"/>
      <c r="G184" s="13" t="n"/>
      <c r="H184" s="20" t="n"/>
      <c r="I184" s="14" t="n"/>
      <c r="J184" s="19">
        <f>IF($C184="","",ROUND(IF($H184="",1,$H184)*N($I184),2))</f>
        <v/>
      </c>
      <c r="K184" s="13" t="n"/>
      <c r="L184" s="13" t="n"/>
      <c r="M184" s="17">
        <f>IF($C184="","",IF(ISNA(MATCH($C184,项目名表,0)),"※项目不在项目台账里",IF($E184="※工作类型没选","※工作类型没选","")))</f>
        <v/>
      </c>
    </row>
    <row r="185">
      <c r="A185" s="17">
        <f>IF($C185="","",ROW()-3)</f>
        <v/>
      </c>
      <c r="B185" s="18" t="n"/>
      <c r="C185" s="13" t="n"/>
      <c r="D185" s="13" t="n"/>
      <c r="E185" s="17">
        <f>IF($C185="","",IFERROR(VLOOKUP($D185,工作归属,2,0),"※工作类型没选"))</f>
        <v/>
      </c>
      <c r="F185" s="13" t="n"/>
      <c r="G185" s="13" t="n"/>
      <c r="H185" s="20" t="n"/>
      <c r="I185" s="14" t="n"/>
      <c r="J185" s="19">
        <f>IF($C185="","",ROUND(IF($H185="",1,$H185)*N($I185),2))</f>
        <v/>
      </c>
      <c r="K185" s="13" t="n"/>
      <c r="L185" s="13" t="n"/>
      <c r="M185" s="17">
        <f>IF($C185="","",IF(ISNA(MATCH($C185,项目名表,0)),"※项目不在项目台账里",IF($E185="※工作类型没选","※工作类型没选","")))</f>
        <v/>
      </c>
    </row>
    <row r="186">
      <c r="A186" s="17">
        <f>IF($C186="","",ROW()-3)</f>
        <v/>
      </c>
      <c r="B186" s="18" t="n"/>
      <c r="C186" s="13" t="n"/>
      <c r="D186" s="13" t="n"/>
      <c r="E186" s="17">
        <f>IF($C186="","",IFERROR(VLOOKUP($D186,工作归属,2,0),"※工作类型没选"))</f>
        <v/>
      </c>
      <c r="F186" s="13" t="n"/>
      <c r="G186" s="13" t="n"/>
      <c r="H186" s="20" t="n"/>
      <c r="I186" s="14" t="n"/>
      <c r="J186" s="19">
        <f>IF($C186="","",ROUND(IF($H186="",1,$H186)*N($I186),2))</f>
        <v/>
      </c>
      <c r="K186" s="13" t="n"/>
      <c r="L186" s="13" t="n"/>
      <c r="M186" s="17">
        <f>IF($C186="","",IF(ISNA(MATCH($C186,项目名表,0)),"※项目不在项目台账里",IF($E186="※工作类型没选","※工作类型没选","")))</f>
        <v/>
      </c>
    </row>
    <row r="187">
      <c r="A187" s="17">
        <f>IF($C187="","",ROW()-3)</f>
        <v/>
      </c>
      <c r="B187" s="18" t="n"/>
      <c r="C187" s="13" t="n"/>
      <c r="D187" s="13" t="n"/>
      <c r="E187" s="17">
        <f>IF($C187="","",IFERROR(VLOOKUP($D187,工作归属,2,0),"※工作类型没选"))</f>
        <v/>
      </c>
      <c r="F187" s="13" t="n"/>
      <c r="G187" s="13" t="n"/>
      <c r="H187" s="20" t="n"/>
      <c r="I187" s="14" t="n"/>
      <c r="J187" s="19">
        <f>IF($C187="","",ROUND(IF($H187="",1,$H187)*N($I187),2))</f>
        <v/>
      </c>
      <c r="K187" s="13" t="n"/>
      <c r="L187" s="13" t="n"/>
      <c r="M187" s="17">
        <f>IF($C187="","",IF(ISNA(MATCH($C187,项目名表,0)),"※项目不在项目台账里",IF($E187="※工作类型没选","※工作类型没选","")))</f>
        <v/>
      </c>
    </row>
    <row r="188">
      <c r="A188" s="17">
        <f>IF($C188="","",ROW()-3)</f>
        <v/>
      </c>
      <c r="B188" s="18" t="n"/>
      <c r="C188" s="13" t="n"/>
      <c r="D188" s="13" t="n"/>
      <c r="E188" s="17">
        <f>IF($C188="","",IFERROR(VLOOKUP($D188,工作归属,2,0),"※工作类型没选"))</f>
        <v/>
      </c>
      <c r="F188" s="13" t="n"/>
      <c r="G188" s="13" t="n"/>
      <c r="H188" s="20" t="n"/>
      <c r="I188" s="14" t="n"/>
      <c r="J188" s="19">
        <f>IF($C188="","",ROUND(IF($H188="",1,$H188)*N($I188),2))</f>
        <v/>
      </c>
      <c r="K188" s="13" t="n"/>
      <c r="L188" s="13" t="n"/>
      <c r="M188" s="17">
        <f>IF($C188="","",IF(ISNA(MATCH($C188,项目名表,0)),"※项目不在项目台账里",IF($E188="※工作类型没选","※工作类型没选","")))</f>
        <v/>
      </c>
    </row>
    <row r="189">
      <c r="A189" s="17">
        <f>IF($C189="","",ROW()-3)</f>
        <v/>
      </c>
      <c r="B189" s="18" t="n"/>
      <c r="C189" s="13" t="n"/>
      <c r="D189" s="13" t="n"/>
      <c r="E189" s="17">
        <f>IF($C189="","",IFERROR(VLOOKUP($D189,工作归属,2,0),"※工作类型没选"))</f>
        <v/>
      </c>
      <c r="F189" s="13" t="n"/>
      <c r="G189" s="13" t="n"/>
      <c r="H189" s="20" t="n"/>
      <c r="I189" s="14" t="n"/>
      <c r="J189" s="19">
        <f>IF($C189="","",ROUND(IF($H189="",1,$H189)*N($I189),2))</f>
        <v/>
      </c>
      <c r="K189" s="13" t="n"/>
      <c r="L189" s="13" t="n"/>
      <c r="M189" s="17">
        <f>IF($C189="","",IF(ISNA(MATCH($C189,项目名表,0)),"※项目不在项目台账里",IF($E189="※工作类型没选","※工作类型没选","")))</f>
        <v/>
      </c>
    </row>
    <row r="190">
      <c r="A190" s="17">
        <f>IF($C190="","",ROW()-3)</f>
        <v/>
      </c>
      <c r="B190" s="18" t="n"/>
      <c r="C190" s="13" t="n"/>
      <c r="D190" s="13" t="n"/>
      <c r="E190" s="17">
        <f>IF($C190="","",IFERROR(VLOOKUP($D190,工作归属,2,0),"※工作类型没选"))</f>
        <v/>
      </c>
      <c r="F190" s="13" t="n"/>
      <c r="G190" s="13" t="n"/>
      <c r="H190" s="20" t="n"/>
      <c r="I190" s="14" t="n"/>
      <c r="J190" s="19">
        <f>IF($C190="","",ROUND(IF($H190="",1,$H190)*N($I190),2))</f>
        <v/>
      </c>
      <c r="K190" s="13" t="n"/>
      <c r="L190" s="13" t="n"/>
      <c r="M190" s="17">
        <f>IF($C190="","",IF(ISNA(MATCH($C190,项目名表,0)),"※项目不在项目台账里",IF($E190="※工作类型没选","※工作类型没选","")))</f>
        <v/>
      </c>
    </row>
    <row r="191">
      <c r="A191" s="17">
        <f>IF($C191="","",ROW()-3)</f>
        <v/>
      </c>
      <c r="B191" s="18" t="n"/>
      <c r="C191" s="13" t="n"/>
      <c r="D191" s="13" t="n"/>
      <c r="E191" s="17">
        <f>IF($C191="","",IFERROR(VLOOKUP($D191,工作归属,2,0),"※工作类型没选"))</f>
        <v/>
      </c>
      <c r="F191" s="13" t="n"/>
      <c r="G191" s="13" t="n"/>
      <c r="H191" s="20" t="n"/>
      <c r="I191" s="14" t="n"/>
      <c r="J191" s="19">
        <f>IF($C191="","",ROUND(IF($H191="",1,$H191)*N($I191),2))</f>
        <v/>
      </c>
      <c r="K191" s="13" t="n"/>
      <c r="L191" s="13" t="n"/>
      <c r="M191" s="17">
        <f>IF($C191="","",IF(ISNA(MATCH($C191,项目名表,0)),"※项目不在项目台账里",IF($E191="※工作类型没选","※工作类型没选","")))</f>
        <v/>
      </c>
    </row>
    <row r="192">
      <c r="A192" s="17">
        <f>IF($C192="","",ROW()-3)</f>
        <v/>
      </c>
      <c r="B192" s="18" t="n"/>
      <c r="C192" s="13" t="n"/>
      <c r="D192" s="13" t="n"/>
      <c r="E192" s="17">
        <f>IF($C192="","",IFERROR(VLOOKUP($D192,工作归属,2,0),"※工作类型没选"))</f>
        <v/>
      </c>
      <c r="F192" s="13" t="n"/>
      <c r="G192" s="13" t="n"/>
      <c r="H192" s="20" t="n"/>
      <c r="I192" s="14" t="n"/>
      <c r="J192" s="19">
        <f>IF($C192="","",ROUND(IF($H192="",1,$H192)*N($I192),2))</f>
        <v/>
      </c>
      <c r="K192" s="13" t="n"/>
      <c r="L192" s="13" t="n"/>
      <c r="M192" s="17">
        <f>IF($C192="","",IF(ISNA(MATCH($C192,项目名表,0)),"※项目不在项目台账里",IF($E192="※工作类型没选","※工作类型没选","")))</f>
        <v/>
      </c>
    </row>
    <row r="193">
      <c r="A193" s="17">
        <f>IF($C193="","",ROW()-3)</f>
        <v/>
      </c>
      <c r="B193" s="18" t="n"/>
      <c r="C193" s="13" t="n"/>
      <c r="D193" s="13" t="n"/>
      <c r="E193" s="17">
        <f>IF($C193="","",IFERROR(VLOOKUP($D193,工作归属,2,0),"※工作类型没选"))</f>
        <v/>
      </c>
      <c r="F193" s="13" t="n"/>
      <c r="G193" s="13" t="n"/>
      <c r="H193" s="20" t="n"/>
      <c r="I193" s="14" t="n"/>
      <c r="J193" s="19">
        <f>IF($C193="","",ROUND(IF($H193="",1,$H193)*N($I193),2))</f>
        <v/>
      </c>
      <c r="K193" s="13" t="n"/>
      <c r="L193" s="13" t="n"/>
      <c r="M193" s="17">
        <f>IF($C193="","",IF(ISNA(MATCH($C193,项目名表,0)),"※项目不在项目台账里",IF($E193="※工作类型没选","※工作类型没选","")))</f>
        <v/>
      </c>
    </row>
    <row r="194">
      <c r="A194" s="17">
        <f>IF($C194="","",ROW()-3)</f>
        <v/>
      </c>
      <c r="B194" s="18" t="n"/>
      <c r="C194" s="13" t="n"/>
      <c r="D194" s="13" t="n"/>
      <c r="E194" s="17">
        <f>IF($C194="","",IFERROR(VLOOKUP($D194,工作归属,2,0),"※工作类型没选"))</f>
        <v/>
      </c>
      <c r="F194" s="13" t="n"/>
      <c r="G194" s="13" t="n"/>
      <c r="H194" s="20" t="n"/>
      <c r="I194" s="14" t="n"/>
      <c r="J194" s="19">
        <f>IF($C194="","",ROUND(IF($H194="",1,$H194)*N($I194),2))</f>
        <v/>
      </c>
      <c r="K194" s="13" t="n"/>
      <c r="L194" s="13" t="n"/>
      <c r="M194" s="17">
        <f>IF($C194="","",IF(ISNA(MATCH($C194,项目名表,0)),"※项目不在项目台账里",IF($E194="※工作类型没选","※工作类型没选","")))</f>
        <v/>
      </c>
    </row>
    <row r="195">
      <c r="A195" s="17">
        <f>IF($C195="","",ROW()-3)</f>
        <v/>
      </c>
      <c r="B195" s="18" t="n"/>
      <c r="C195" s="13" t="n"/>
      <c r="D195" s="13" t="n"/>
      <c r="E195" s="17">
        <f>IF($C195="","",IFERROR(VLOOKUP($D195,工作归属,2,0),"※工作类型没选"))</f>
        <v/>
      </c>
      <c r="F195" s="13" t="n"/>
      <c r="G195" s="13" t="n"/>
      <c r="H195" s="20" t="n"/>
      <c r="I195" s="14" t="n"/>
      <c r="J195" s="19">
        <f>IF($C195="","",ROUND(IF($H195="",1,$H195)*N($I195),2))</f>
        <v/>
      </c>
      <c r="K195" s="13" t="n"/>
      <c r="L195" s="13" t="n"/>
      <c r="M195" s="17">
        <f>IF($C195="","",IF(ISNA(MATCH($C195,项目名表,0)),"※项目不在项目台账里",IF($E195="※工作类型没选","※工作类型没选","")))</f>
        <v/>
      </c>
    </row>
    <row r="196">
      <c r="A196" s="17">
        <f>IF($C196="","",ROW()-3)</f>
        <v/>
      </c>
      <c r="B196" s="18" t="n"/>
      <c r="C196" s="13" t="n"/>
      <c r="D196" s="13" t="n"/>
      <c r="E196" s="17">
        <f>IF($C196="","",IFERROR(VLOOKUP($D196,工作归属,2,0),"※工作类型没选"))</f>
        <v/>
      </c>
      <c r="F196" s="13" t="n"/>
      <c r="G196" s="13" t="n"/>
      <c r="H196" s="20" t="n"/>
      <c r="I196" s="14" t="n"/>
      <c r="J196" s="19">
        <f>IF($C196="","",ROUND(IF($H196="",1,$H196)*N($I196),2))</f>
        <v/>
      </c>
      <c r="K196" s="13" t="n"/>
      <c r="L196" s="13" t="n"/>
      <c r="M196" s="17">
        <f>IF($C196="","",IF(ISNA(MATCH($C196,项目名表,0)),"※项目不在项目台账里",IF($E196="※工作类型没选","※工作类型没选","")))</f>
        <v/>
      </c>
    </row>
    <row r="197">
      <c r="A197" s="17">
        <f>IF($C197="","",ROW()-3)</f>
        <v/>
      </c>
      <c r="B197" s="18" t="n"/>
      <c r="C197" s="13" t="n"/>
      <c r="D197" s="13" t="n"/>
      <c r="E197" s="17">
        <f>IF($C197="","",IFERROR(VLOOKUP($D197,工作归属,2,0),"※工作类型没选"))</f>
        <v/>
      </c>
      <c r="F197" s="13" t="n"/>
      <c r="G197" s="13" t="n"/>
      <c r="H197" s="20" t="n"/>
      <c r="I197" s="14" t="n"/>
      <c r="J197" s="19">
        <f>IF($C197="","",ROUND(IF($H197="",1,$H197)*N($I197),2))</f>
        <v/>
      </c>
      <c r="K197" s="13" t="n"/>
      <c r="L197" s="13" t="n"/>
      <c r="M197" s="17">
        <f>IF($C197="","",IF(ISNA(MATCH($C197,项目名表,0)),"※项目不在项目台账里",IF($E197="※工作类型没选","※工作类型没选","")))</f>
        <v/>
      </c>
    </row>
    <row r="198">
      <c r="A198" s="17">
        <f>IF($C198="","",ROW()-3)</f>
        <v/>
      </c>
      <c r="B198" s="18" t="n"/>
      <c r="C198" s="13" t="n"/>
      <c r="D198" s="13" t="n"/>
      <c r="E198" s="17">
        <f>IF($C198="","",IFERROR(VLOOKUP($D198,工作归属,2,0),"※工作类型没选"))</f>
        <v/>
      </c>
      <c r="F198" s="13" t="n"/>
      <c r="G198" s="13" t="n"/>
      <c r="H198" s="20" t="n"/>
      <c r="I198" s="14" t="n"/>
      <c r="J198" s="19">
        <f>IF($C198="","",ROUND(IF($H198="",1,$H198)*N($I198),2))</f>
        <v/>
      </c>
      <c r="K198" s="13" t="n"/>
      <c r="L198" s="13" t="n"/>
      <c r="M198" s="17">
        <f>IF($C198="","",IF(ISNA(MATCH($C198,项目名表,0)),"※项目不在项目台账里",IF($E198="※工作类型没选","※工作类型没选","")))</f>
        <v/>
      </c>
    </row>
    <row r="199">
      <c r="A199" s="17">
        <f>IF($C199="","",ROW()-3)</f>
        <v/>
      </c>
      <c r="B199" s="18" t="n"/>
      <c r="C199" s="13" t="n"/>
      <c r="D199" s="13" t="n"/>
      <c r="E199" s="17">
        <f>IF($C199="","",IFERROR(VLOOKUP($D199,工作归属,2,0),"※工作类型没选"))</f>
        <v/>
      </c>
      <c r="F199" s="13" t="n"/>
      <c r="G199" s="13" t="n"/>
      <c r="H199" s="20" t="n"/>
      <c r="I199" s="14" t="n"/>
      <c r="J199" s="19">
        <f>IF($C199="","",ROUND(IF($H199="",1,$H199)*N($I199),2))</f>
        <v/>
      </c>
      <c r="K199" s="13" t="n"/>
      <c r="L199" s="13" t="n"/>
      <c r="M199" s="17">
        <f>IF($C199="","",IF(ISNA(MATCH($C199,项目名表,0)),"※项目不在项目台账里",IF($E199="※工作类型没选","※工作类型没选","")))</f>
        <v/>
      </c>
    </row>
    <row r="200">
      <c r="A200" s="17">
        <f>IF($C200="","",ROW()-3)</f>
        <v/>
      </c>
      <c r="B200" s="18" t="n"/>
      <c r="C200" s="13" t="n"/>
      <c r="D200" s="13" t="n"/>
      <c r="E200" s="17">
        <f>IF($C200="","",IFERROR(VLOOKUP($D200,工作归属,2,0),"※工作类型没选"))</f>
        <v/>
      </c>
      <c r="F200" s="13" t="n"/>
      <c r="G200" s="13" t="n"/>
      <c r="H200" s="20" t="n"/>
      <c r="I200" s="14" t="n"/>
      <c r="J200" s="19">
        <f>IF($C200="","",ROUND(IF($H200="",1,$H200)*N($I200),2))</f>
        <v/>
      </c>
      <c r="K200" s="13" t="n"/>
      <c r="L200" s="13" t="n"/>
      <c r="M200" s="17">
        <f>IF($C200="","",IF(ISNA(MATCH($C200,项目名表,0)),"※项目不在项目台账里",IF($E200="※工作类型没选","※工作类型没选","")))</f>
        <v/>
      </c>
    </row>
    <row r="201">
      <c r="A201" s="17">
        <f>IF($C201="","",ROW()-3)</f>
        <v/>
      </c>
      <c r="B201" s="18" t="n"/>
      <c r="C201" s="13" t="n"/>
      <c r="D201" s="13" t="n"/>
      <c r="E201" s="17">
        <f>IF($C201="","",IFERROR(VLOOKUP($D201,工作归属,2,0),"※工作类型没选"))</f>
        <v/>
      </c>
      <c r="F201" s="13" t="n"/>
      <c r="G201" s="13" t="n"/>
      <c r="H201" s="20" t="n"/>
      <c r="I201" s="14" t="n"/>
      <c r="J201" s="19">
        <f>IF($C201="","",ROUND(IF($H201="",1,$H201)*N($I201),2))</f>
        <v/>
      </c>
      <c r="K201" s="13" t="n"/>
      <c r="L201" s="13" t="n"/>
      <c r="M201" s="17">
        <f>IF($C201="","",IF(ISNA(MATCH($C201,项目名表,0)),"※项目不在项目台账里",IF($E201="※工作类型没选","※工作类型没选","")))</f>
        <v/>
      </c>
    </row>
    <row r="202">
      <c r="A202" s="17">
        <f>IF($C202="","",ROW()-3)</f>
        <v/>
      </c>
      <c r="B202" s="18" t="n"/>
      <c r="C202" s="13" t="n"/>
      <c r="D202" s="13" t="n"/>
      <c r="E202" s="17">
        <f>IF($C202="","",IFERROR(VLOOKUP($D202,工作归属,2,0),"※工作类型没选"))</f>
        <v/>
      </c>
      <c r="F202" s="13" t="n"/>
      <c r="G202" s="13" t="n"/>
      <c r="H202" s="20" t="n"/>
      <c r="I202" s="14" t="n"/>
      <c r="J202" s="19">
        <f>IF($C202="","",ROUND(IF($H202="",1,$H202)*N($I202),2))</f>
        <v/>
      </c>
      <c r="K202" s="13" t="n"/>
      <c r="L202" s="13" t="n"/>
      <c r="M202" s="17">
        <f>IF($C202="","",IF(ISNA(MATCH($C202,项目名表,0)),"※项目不在项目台账里",IF($E202="※工作类型没选","※工作类型没选","")))</f>
        <v/>
      </c>
    </row>
    <row r="203">
      <c r="A203" s="17">
        <f>IF($C203="","",ROW()-3)</f>
        <v/>
      </c>
      <c r="B203" s="18" t="n"/>
      <c r="C203" s="13" t="n"/>
      <c r="D203" s="13" t="n"/>
      <c r="E203" s="17">
        <f>IF($C203="","",IFERROR(VLOOKUP($D203,工作归属,2,0),"※工作类型没选"))</f>
        <v/>
      </c>
      <c r="F203" s="13" t="n"/>
      <c r="G203" s="13" t="n"/>
      <c r="H203" s="20" t="n"/>
      <c r="I203" s="14" t="n"/>
      <c r="J203" s="19">
        <f>IF($C203="","",ROUND(IF($H203="",1,$H203)*N($I203),2))</f>
        <v/>
      </c>
      <c r="K203" s="13" t="n"/>
      <c r="L203" s="13" t="n"/>
      <c r="M203" s="17">
        <f>IF($C203="","",IF(ISNA(MATCH($C203,项目名表,0)),"※项目不在项目台账里",IF($E203="※工作类型没选","※工作类型没选","")))</f>
        <v/>
      </c>
    </row>
    <row r="204">
      <c r="A204" s="17">
        <f>IF($C204="","",ROW()-3)</f>
        <v/>
      </c>
      <c r="B204" s="18" t="n"/>
      <c r="C204" s="13" t="n"/>
      <c r="D204" s="13" t="n"/>
      <c r="E204" s="17">
        <f>IF($C204="","",IFERROR(VLOOKUP($D204,工作归属,2,0),"※工作类型没选"))</f>
        <v/>
      </c>
      <c r="F204" s="13" t="n"/>
      <c r="G204" s="13" t="n"/>
      <c r="H204" s="20" t="n"/>
      <c r="I204" s="14" t="n"/>
      <c r="J204" s="19">
        <f>IF($C204="","",ROUND(IF($H204="",1,$H204)*N($I204),2))</f>
        <v/>
      </c>
      <c r="K204" s="13" t="n"/>
      <c r="L204" s="13" t="n"/>
      <c r="M204" s="17">
        <f>IF($C204="","",IF(ISNA(MATCH($C204,项目名表,0)),"※项目不在项目台账里",IF($E204="※工作类型没选","※工作类型没选","")))</f>
        <v/>
      </c>
    </row>
    <row r="205">
      <c r="A205" s="17">
        <f>IF($C205="","",ROW()-3)</f>
        <v/>
      </c>
      <c r="B205" s="18" t="n"/>
      <c r="C205" s="13" t="n"/>
      <c r="D205" s="13" t="n"/>
      <c r="E205" s="17">
        <f>IF($C205="","",IFERROR(VLOOKUP($D205,工作归属,2,0),"※工作类型没选"))</f>
        <v/>
      </c>
      <c r="F205" s="13" t="n"/>
      <c r="G205" s="13" t="n"/>
      <c r="H205" s="20" t="n"/>
      <c r="I205" s="14" t="n"/>
      <c r="J205" s="19">
        <f>IF($C205="","",ROUND(IF($H205="",1,$H205)*N($I205),2))</f>
        <v/>
      </c>
      <c r="K205" s="13" t="n"/>
      <c r="L205" s="13" t="n"/>
      <c r="M205" s="17">
        <f>IF($C205="","",IF(ISNA(MATCH($C205,项目名表,0)),"※项目不在项目台账里",IF($E205="※工作类型没选","※工作类型没选","")))</f>
        <v/>
      </c>
    </row>
    <row r="206">
      <c r="A206" s="17">
        <f>IF($C206="","",ROW()-3)</f>
        <v/>
      </c>
      <c r="B206" s="18" t="n"/>
      <c r="C206" s="13" t="n"/>
      <c r="D206" s="13" t="n"/>
      <c r="E206" s="17">
        <f>IF($C206="","",IFERROR(VLOOKUP($D206,工作归属,2,0),"※工作类型没选"))</f>
        <v/>
      </c>
      <c r="F206" s="13" t="n"/>
      <c r="G206" s="13" t="n"/>
      <c r="H206" s="20" t="n"/>
      <c r="I206" s="14" t="n"/>
      <c r="J206" s="19">
        <f>IF($C206="","",ROUND(IF($H206="",1,$H206)*N($I206),2))</f>
        <v/>
      </c>
      <c r="K206" s="13" t="n"/>
      <c r="L206" s="13" t="n"/>
      <c r="M206" s="17">
        <f>IF($C206="","",IF(ISNA(MATCH($C206,项目名表,0)),"※项目不在项目台账里",IF($E206="※工作类型没选","※工作类型没选","")))</f>
        <v/>
      </c>
    </row>
    <row r="207">
      <c r="A207" s="17">
        <f>IF($C207="","",ROW()-3)</f>
        <v/>
      </c>
      <c r="B207" s="18" t="n"/>
      <c r="C207" s="13" t="n"/>
      <c r="D207" s="13" t="n"/>
      <c r="E207" s="17">
        <f>IF($C207="","",IFERROR(VLOOKUP($D207,工作归属,2,0),"※工作类型没选"))</f>
        <v/>
      </c>
      <c r="F207" s="13" t="n"/>
      <c r="G207" s="13" t="n"/>
      <c r="H207" s="20" t="n"/>
      <c r="I207" s="14" t="n"/>
      <c r="J207" s="19">
        <f>IF($C207="","",ROUND(IF($H207="",1,$H207)*N($I207),2))</f>
        <v/>
      </c>
      <c r="K207" s="13" t="n"/>
      <c r="L207" s="13" t="n"/>
      <c r="M207" s="17">
        <f>IF($C207="","",IF(ISNA(MATCH($C207,项目名表,0)),"※项目不在项目台账里",IF($E207="※工作类型没选","※工作类型没选","")))</f>
        <v/>
      </c>
    </row>
    <row r="208">
      <c r="A208" s="17">
        <f>IF($C208="","",ROW()-3)</f>
        <v/>
      </c>
      <c r="B208" s="18" t="n"/>
      <c r="C208" s="13" t="n"/>
      <c r="D208" s="13" t="n"/>
      <c r="E208" s="17">
        <f>IF($C208="","",IFERROR(VLOOKUP($D208,工作归属,2,0),"※工作类型没选"))</f>
        <v/>
      </c>
      <c r="F208" s="13" t="n"/>
      <c r="G208" s="13" t="n"/>
      <c r="H208" s="20" t="n"/>
      <c r="I208" s="14" t="n"/>
      <c r="J208" s="19">
        <f>IF($C208="","",ROUND(IF($H208="",1,$H208)*N($I208),2))</f>
        <v/>
      </c>
      <c r="K208" s="13" t="n"/>
      <c r="L208" s="13" t="n"/>
      <c r="M208" s="17">
        <f>IF($C208="","",IF(ISNA(MATCH($C208,项目名表,0)),"※项目不在项目台账里",IF($E208="※工作类型没选","※工作类型没选","")))</f>
        <v/>
      </c>
    </row>
    <row r="209">
      <c r="A209" s="17">
        <f>IF($C209="","",ROW()-3)</f>
        <v/>
      </c>
      <c r="B209" s="18" t="n"/>
      <c r="C209" s="13" t="n"/>
      <c r="D209" s="13" t="n"/>
      <c r="E209" s="17">
        <f>IF($C209="","",IFERROR(VLOOKUP($D209,工作归属,2,0),"※工作类型没选"))</f>
        <v/>
      </c>
      <c r="F209" s="13" t="n"/>
      <c r="G209" s="13" t="n"/>
      <c r="H209" s="20" t="n"/>
      <c r="I209" s="14" t="n"/>
      <c r="J209" s="19">
        <f>IF($C209="","",ROUND(IF($H209="",1,$H209)*N($I209),2))</f>
        <v/>
      </c>
      <c r="K209" s="13" t="n"/>
      <c r="L209" s="13" t="n"/>
      <c r="M209" s="17">
        <f>IF($C209="","",IF(ISNA(MATCH($C209,项目名表,0)),"※项目不在项目台账里",IF($E209="※工作类型没选","※工作类型没选","")))</f>
        <v/>
      </c>
    </row>
    <row r="210">
      <c r="A210" s="17">
        <f>IF($C210="","",ROW()-3)</f>
        <v/>
      </c>
      <c r="B210" s="18" t="n"/>
      <c r="C210" s="13" t="n"/>
      <c r="D210" s="13" t="n"/>
      <c r="E210" s="17">
        <f>IF($C210="","",IFERROR(VLOOKUP($D210,工作归属,2,0),"※工作类型没选"))</f>
        <v/>
      </c>
      <c r="F210" s="13" t="n"/>
      <c r="G210" s="13" t="n"/>
      <c r="H210" s="20" t="n"/>
      <c r="I210" s="14" t="n"/>
      <c r="J210" s="19">
        <f>IF($C210="","",ROUND(IF($H210="",1,$H210)*N($I210),2))</f>
        <v/>
      </c>
      <c r="K210" s="13" t="n"/>
      <c r="L210" s="13" t="n"/>
      <c r="M210" s="17">
        <f>IF($C210="","",IF(ISNA(MATCH($C210,项目名表,0)),"※项目不在项目台账里",IF($E210="※工作类型没选","※工作类型没选","")))</f>
        <v/>
      </c>
    </row>
    <row r="211">
      <c r="A211" s="17">
        <f>IF($C211="","",ROW()-3)</f>
        <v/>
      </c>
      <c r="B211" s="18" t="n"/>
      <c r="C211" s="13" t="n"/>
      <c r="D211" s="13" t="n"/>
      <c r="E211" s="17">
        <f>IF($C211="","",IFERROR(VLOOKUP($D211,工作归属,2,0),"※工作类型没选"))</f>
        <v/>
      </c>
      <c r="F211" s="13" t="n"/>
      <c r="G211" s="13" t="n"/>
      <c r="H211" s="20" t="n"/>
      <c r="I211" s="14" t="n"/>
      <c r="J211" s="19">
        <f>IF($C211="","",ROUND(IF($H211="",1,$H211)*N($I211),2))</f>
        <v/>
      </c>
      <c r="K211" s="13" t="n"/>
      <c r="L211" s="13" t="n"/>
      <c r="M211" s="17">
        <f>IF($C211="","",IF(ISNA(MATCH($C211,项目名表,0)),"※项目不在项目台账里",IF($E211="※工作类型没选","※工作类型没选","")))</f>
        <v/>
      </c>
    </row>
    <row r="212">
      <c r="A212" s="17">
        <f>IF($C212="","",ROW()-3)</f>
        <v/>
      </c>
      <c r="B212" s="18" t="n"/>
      <c r="C212" s="13" t="n"/>
      <c r="D212" s="13" t="n"/>
      <c r="E212" s="17">
        <f>IF($C212="","",IFERROR(VLOOKUP($D212,工作归属,2,0),"※工作类型没选"))</f>
        <v/>
      </c>
      <c r="F212" s="13" t="n"/>
      <c r="G212" s="13" t="n"/>
      <c r="H212" s="20" t="n"/>
      <c r="I212" s="14" t="n"/>
      <c r="J212" s="19">
        <f>IF($C212="","",ROUND(IF($H212="",1,$H212)*N($I212),2))</f>
        <v/>
      </c>
      <c r="K212" s="13" t="n"/>
      <c r="L212" s="13" t="n"/>
      <c r="M212" s="17">
        <f>IF($C212="","",IF(ISNA(MATCH($C212,项目名表,0)),"※项目不在项目台账里",IF($E212="※工作类型没选","※工作类型没选","")))</f>
        <v/>
      </c>
    </row>
    <row r="213">
      <c r="A213" s="17">
        <f>IF($C213="","",ROW()-3)</f>
        <v/>
      </c>
      <c r="B213" s="18" t="n"/>
      <c r="C213" s="13" t="n"/>
      <c r="D213" s="13" t="n"/>
      <c r="E213" s="17">
        <f>IF($C213="","",IFERROR(VLOOKUP($D213,工作归属,2,0),"※工作类型没选"))</f>
        <v/>
      </c>
      <c r="F213" s="13" t="n"/>
      <c r="G213" s="13" t="n"/>
      <c r="H213" s="20" t="n"/>
      <c r="I213" s="14" t="n"/>
      <c r="J213" s="19">
        <f>IF($C213="","",ROUND(IF($H213="",1,$H213)*N($I213),2))</f>
        <v/>
      </c>
      <c r="K213" s="13" t="n"/>
      <c r="L213" s="13" t="n"/>
      <c r="M213" s="17">
        <f>IF($C213="","",IF(ISNA(MATCH($C213,项目名表,0)),"※项目不在项目台账里",IF($E213="※工作类型没选","※工作类型没选","")))</f>
        <v/>
      </c>
    </row>
    <row r="214">
      <c r="A214" s="17">
        <f>IF($C214="","",ROW()-3)</f>
        <v/>
      </c>
      <c r="B214" s="18" t="n"/>
      <c r="C214" s="13" t="n"/>
      <c r="D214" s="13" t="n"/>
      <c r="E214" s="17">
        <f>IF($C214="","",IFERROR(VLOOKUP($D214,工作归属,2,0),"※工作类型没选"))</f>
        <v/>
      </c>
      <c r="F214" s="13" t="n"/>
      <c r="G214" s="13" t="n"/>
      <c r="H214" s="20" t="n"/>
      <c r="I214" s="14" t="n"/>
      <c r="J214" s="19">
        <f>IF($C214="","",ROUND(IF($H214="",1,$H214)*N($I214),2))</f>
        <v/>
      </c>
      <c r="K214" s="13" t="n"/>
      <c r="L214" s="13" t="n"/>
      <c r="M214" s="17">
        <f>IF($C214="","",IF(ISNA(MATCH($C214,项目名表,0)),"※项目不在项目台账里",IF($E214="※工作类型没选","※工作类型没选","")))</f>
        <v/>
      </c>
    </row>
    <row r="215">
      <c r="A215" s="17">
        <f>IF($C215="","",ROW()-3)</f>
        <v/>
      </c>
      <c r="B215" s="18" t="n"/>
      <c r="C215" s="13" t="n"/>
      <c r="D215" s="13" t="n"/>
      <c r="E215" s="17">
        <f>IF($C215="","",IFERROR(VLOOKUP($D215,工作归属,2,0),"※工作类型没选"))</f>
        <v/>
      </c>
      <c r="F215" s="13" t="n"/>
      <c r="G215" s="13" t="n"/>
      <c r="H215" s="20" t="n"/>
      <c r="I215" s="14" t="n"/>
      <c r="J215" s="19">
        <f>IF($C215="","",ROUND(IF($H215="",1,$H215)*N($I215),2))</f>
        <v/>
      </c>
      <c r="K215" s="13" t="n"/>
      <c r="L215" s="13" t="n"/>
      <c r="M215" s="17">
        <f>IF($C215="","",IF(ISNA(MATCH($C215,项目名表,0)),"※项目不在项目台账里",IF($E215="※工作类型没选","※工作类型没选","")))</f>
        <v/>
      </c>
    </row>
    <row r="216">
      <c r="A216" s="17">
        <f>IF($C216="","",ROW()-3)</f>
        <v/>
      </c>
      <c r="B216" s="18" t="n"/>
      <c r="C216" s="13" t="n"/>
      <c r="D216" s="13" t="n"/>
      <c r="E216" s="17">
        <f>IF($C216="","",IFERROR(VLOOKUP($D216,工作归属,2,0),"※工作类型没选"))</f>
        <v/>
      </c>
      <c r="F216" s="13" t="n"/>
      <c r="G216" s="13" t="n"/>
      <c r="H216" s="20" t="n"/>
      <c r="I216" s="14" t="n"/>
      <c r="J216" s="19">
        <f>IF($C216="","",ROUND(IF($H216="",1,$H216)*N($I216),2))</f>
        <v/>
      </c>
      <c r="K216" s="13" t="n"/>
      <c r="L216" s="13" t="n"/>
      <c r="M216" s="17">
        <f>IF($C216="","",IF(ISNA(MATCH($C216,项目名表,0)),"※项目不在项目台账里",IF($E216="※工作类型没选","※工作类型没选","")))</f>
        <v/>
      </c>
    </row>
    <row r="217">
      <c r="A217" s="17">
        <f>IF($C217="","",ROW()-3)</f>
        <v/>
      </c>
      <c r="B217" s="18" t="n"/>
      <c r="C217" s="13" t="n"/>
      <c r="D217" s="13" t="n"/>
      <c r="E217" s="17">
        <f>IF($C217="","",IFERROR(VLOOKUP($D217,工作归属,2,0),"※工作类型没选"))</f>
        <v/>
      </c>
      <c r="F217" s="13" t="n"/>
      <c r="G217" s="13" t="n"/>
      <c r="H217" s="20" t="n"/>
      <c r="I217" s="14" t="n"/>
      <c r="J217" s="19">
        <f>IF($C217="","",ROUND(IF($H217="",1,$H217)*N($I217),2))</f>
        <v/>
      </c>
      <c r="K217" s="13" t="n"/>
      <c r="L217" s="13" t="n"/>
      <c r="M217" s="17">
        <f>IF($C217="","",IF(ISNA(MATCH($C217,项目名表,0)),"※项目不在项目台账里",IF($E217="※工作类型没选","※工作类型没选","")))</f>
        <v/>
      </c>
    </row>
    <row r="218">
      <c r="A218" s="17">
        <f>IF($C218="","",ROW()-3)</f>
        <v/>
      </c>
      <c r="B218" s="18" t="n"/>
      <c r="C218" s="13" t="n"/>
      <c r="D218" s="13" t="n"/>
      <c r="E218" s="17">
        <f>IF($C218="","",IFERROR(VLOOKUP($D218,工作归属,2,0),"※工作类型没选"))</f>
        <v/>
      </c>
      <c r="F218" s="13" t="n"/>
      <c r="G218" s="13" t="n"/>
      <c r="H218" s="20" t="n"/>
      <c r="I218" s="14" t="n"/>
      <c r="J218" s="19">
        <f>IF($C218="","",ROUND(IF($H218="",1,$H218)*N($I218),2))</f>
        <v/>
      </c>
      <c r="K218" s="13" t="n"/>
      <c r="L218" s="13" t="n"/>
      <c r="M218" s="17">
        <f>IF($C218="","",IF(ISNA(MATCH($C218,项目名表,0)),"※项目不在项目台账里",IF($E218="※工作类型没选","※工作类型没选","")))</f>
        <v/>
      </c>
    </row>
    <row r="219">
      <c r="A219" s="17">
        <f>IF($C219="","",ROW()-3)</f>
        <v/>
      </c>
      <c r="B219" s="18" t="n"/>
      <c r="C219" s="13" t="n"/>
      <c r="D219" s="13" t="n"/>
      <c r="E219" s="17">
        <f>IF($C219="","",IFERROR(VLOOKUP($D219,工作归属,2,0),"※工作类型没选"))</f>
        <v/>
      </c>
      <c r="F219" s="13" t="n"/>
      <c r="G219" s="13" t="n"/>
      <c r="H219" s="20" t="n"/>
      <c r="I219" s="14" t="n"/>
      <c r="J219" s="19">
        <f>IF($C219="","",ROUND(IF($H219="",1,$H219)*N($I219),2))</f>
        <v/>
      </c>
      <c r="K219" s="13" t="n"/>
      <c r="L219" s="13" t="n"/>
      <c r="M219" s="17">
        <f>IF($C219="","",IF(ISNA(MATCH($C219,项目名表,0)),"※项目不在项目台账里",IF($E219="※工作类型没选","※工作类型没选","")))</f>
        <v/>
      </c>
    </row>
    <row r="220">
      <c r="A220" s="17">
        <f>IF($C220="","",ROW()-3)</f>
        <v/>
      </c>
      <c r="B220" s="18" t="n"/>
      <c r="C220" s="13" t="n"/>
      <c r="D220" s="13" t="n"/>
      <c r="E220" s="17">
        <f>IF($C220="","",IFERROR(VLOOKUP($D220,工作归属,2,0),"※工作类型没选"))</f>
        <v/>
      </c>
      <c r="F220" s="13" t="n"/>
      <c r="G220" s="13" t="n"/>
      <c r="H220" s="20" t="n"/>
      <c r="I220" s="14" t="n"/>
      <c r="J220" s="19">
        <f>IF($C220="","",ROUND(IF($H220="",1,$H220)*N($I220),2))</f>
        <v/>
      </c>
      <c r="K220" s="13" t="n"/>
      <c r="L220" s="13" t="n"/>
      <c r="M220" s="17">
        <f>IF($C220="","",IF(ISNA(MATCH($C220,项目名表,0)),"※项目不在项目台账里",IF($E220="※工作类型没选","※工作类型没选","")))</f>
        <v/>
      </c>
    </row>
    <row r="221">
      <c r="A221" s="17">
        <f>IF($C221="","",ROW()-3)</f>
        <v/>
      </c>
      <c r="B221" s="18" t="n"/>
      <c r="C221" s="13" t="n"/>
      <c r="D221" s="13" t="n"/>
      <c r="E221" s="17">
        <f>IF($C221="","",IFERROR(VLOOKUP($D221,工作归属,2,0),"※工作类型没选"))</f>
        <v/>
      </c>
      <c r="F221" s="13" t="n"/>
      <c r="G221" s="13" t="n"/>
      <c r="H221" s="20" t="n"/>
      <c r="I221" s="14" t="n"/>
      <c r="J221" s="19">
        <f>IF($C221="","",ROUND(IF($H221="",1,$H221)*N($I221),2))</f>
        <v/>
      </c>
      <c r="K221" s="13" t="n"/>
      <c r="L221" s="13" t="n"/>
      <c r="M221" s="17">
        <f>IF($C221="","",IF(ISNA(MATCH($C221,项目名表,0)),"※项目不在项目台账里",IF($E221="※工作类型没选","※工作类型没选","")))</f>
        <v/>
      </c>
    </row>
    <row r="222">
      <c r="A222" s="17">
        <f>IF($C222="","",ROW()-3)</f>
        <v/>
      </c>
      <c r="B222" s="18" t="n"/>
      <c r="C222" s="13" t="n"/>
      <c r="D222" s="13" t="n"/>
      <c r="E222" s="17">
        <f>IF($C222="","",IFERROR(VLOOKUP($D222,工作归属,2,0),"※工作类型没选"))</f>
        <v/>
      </c>
      <c r="F222" s="13" t="n"/>
      <c r="G222" s="13" t="n"/>
      <c r="H222" s="20" t="n"/>
      <c r="I222" s="14" t="n"/>
      <c r="J222" s="19">
        <f>IF($C222="","",ROUND(IF($H222="",1,$H222)*N($I222),2))</f>
        <v/>
      </c>
      <c r="K222" s="13" t="n"/>
      <c r="L222" s="13" t="n"/>
      <c r="M222" s="17">
        <f>IF($C222="","",IF(ISNA(MATCH($C222,项目名表,0)),"※项目不在项目台账里",IF($E222="※工作类型没选","※工作类型没选","")))</f>
        <v/>
      </c>
    </row>
    <row r="223">
      <c r="A223" s="17">
        <f>IF($C223="","",ROW()-3)</f>
        <v/>
      </c>
      <c r="B223" s="18" t="n"/>
      <c r="C223" s="13" t="n"/>
      <c r="D223" s="13" t="n"/>
      <c r="E223" s="17">
        <f>IF($C223="","",IFERROR(VLOOKUP($D223,工作归属,2,0),"※工作类型没选"))</f>
        <v/>
      </c>
      <c r="F223" s="13" t="n"/>
      <c r="G223" s="13" t="n"/>
      <c r="H223" s="20" t="n"/>
      <c r="I223" s="14" t="n"/>
      <c r="J223" s="19">
        <f>IF($C223="","",ROUND(IF($H223="",1,$H223)*N($I223),2))</f>
        <v/>
      </c>
      <c r="K223" s="13" t="n"/>
      <c r="L223" s="13" t="n"/>
      <c r="M223" s="17">
        <f>IF($C223="","",IF(ISNA(MATCH($C223,项目名表,0)),"※项目不在项目台账里",IF($E223="※工作类型没选","※工作类型没选","")))</f>
        <v/>
      </c>
    </row>
    <row r="224">
      <c r="A224" s="17">
        <f>IF($C224="","",ROW()-3)</f>
        <v/>
      </c>
      <c r="B224" s="18" t="n"/>
      <c r="C224" s="13" t="n"/>
      <c r="D224" s="13" t="n"/>
      <c r="E224" s="17">
        <f>IF($C224="","",IFERROR(VLOOKUP($D224,工作归属,2,0),"※工作类型没选"))</f>
        <v/>
      </c>
      <c r="F224" s="13" t="n"/>
      <c r="G224" s="13" t="n"/>
      <c r="H224" s="20" t="n"/>
      <c r="I224" s="14" t="n"/>
      <c r="J224" s="19">
        <f>IF($C224="","",ROUND(IF($H224="",1,$H224)*N($I224),2))</f>
        <v/>
      </c>
      <c r="K224" s="13" t="n"/>
      <c r="L224" s="13" t="n"/>
      <c r="M224" s="17">
        <f>IF($C224="","",IF(ISNA(MATCH($C224,项目名表,0)),"※项目不在项目台账里",IF($E224="※工作类型没选","※工作类型没选","")))</f>
        <v/>
      </c>
    </row>
    <row r="225">
      <c r="A225" s="17">
        <f>IF($C225="","",ROW()-3)</f>
        <v/>
      </c>
      <c r="B225" s="18" t="n"/>
      <c r="C225" s="13" t="n"/>
      <c r="D225" s="13" t="n"/>
      <c r="E225" s="17">
        <f>IF($C225="","",IFERROR(VLOOKUP($D225,工作归属,2,0),"※工作类型没选"))</f>
        <v/>
      </c>
      <c r="F225" s="13" t="n"/>
      <c r="G225" s="13" t="n"/>
      <c r="H225" s="20" t="n"/>
      <c r="I225" s="14" t="n"/>
      <c r="J225" s="19">
        <f>IF($C225="","",ROUND(IF($H225="",1,$H225)*N($I225),2))</f>
        <v/>
      </c>
      <c r="K225" s="13" t="n"/>
      <c r="L225" s="13" t="n"/>
      <c r="M225" s="17">
        <f>IF($C225="","",IF(ISNA(MATCH($C225,项目名表,0)),"※项目不在项目台账里",IF($E225="※工作类型没选","※工作类型没选","")))</f>
        <v/>
      </c>
    </row>
    <row r="226">
      <c r="A226" s="17">
        <f>IF($C226="","",ROW()-3)</f>
        <v/>
      </c>
      <c r="B226" s="18" t="n"/>
      <c r="C226" s="13" t="n"/>
      <c r="D226" s="13" t="n"/>
      <c r="E226" s="17">
        <f>IF($C226="","",IFERROR(VLOOKUP($D226,工作归属,2,0),"※工作类型没选"))</f>
        <v/>
      </c>
      <c r="F226" s="13" t="n"/>
      <c r="G226" s="13" t="n"/>
      <c r="H226" s="20" t="n"/>
      <c r="I226" s="14" t="n"/>
      <c r="J226" s="19">
        <f>IF($C226="","",ROUND(IF($H226="",1,$H226)*N($I226),2))</f>
        <v/>
      </c>
      <c r="K226" s="13" t="n"/>
      <c r="L226" s="13" t="n"/>
      <c r="M226" s="17">
        <f>IF($C226="","",IF(ISNA(MATCH($C226,项目名表,0)),"※项目不在项目台账里",IF($E226="※工作类型没选","※工作类型没选","")))</f>
        <v/>
      </c>
    </row>
    <row r="227">
      <c r="A227" s="17">
        <f>IF($C227="","",ROW()-3)</f>
        <v/>
      </c>
      <c r="B227" s="18" t="n"/>
      <c r="C227" s="13" t="n"/>
      <c r="D227" s="13" t="n"/>
      <c r="E227" s="17">
        <f>IF($C227="","",IFERROR(VLOOKUP($D227,工作归属,2,0),"※工作类型没选"))</f>
        <v/>
      </c>
      <c r="F227" s="13" t="n"/>
      <c r="G227" s="13" t="n"/>
      <c r="H227" s="20" t="n"/>
      <c r="I227" s="14" t="n"/>
      <c r="J227" s="19">
        <f>IF($C227="","",ROUND(IF($H227="",1,$H227)*N($I227),2))</f>
        <v/>
      </c>
      <c r="K227" s="13" t="n"/>
      <c r="L227" s="13" t="n"/>
      <c r="M227" s="17">
        <f>IF($C227="","",IF(ISNA(MATCH($C227,项目名表,0)),"※项目不在项目台账里",IF($E227="※工作类型没选","※工作类型没选","")))</f>
        <v/>
      </c>
    </row>
    <row r="228">
      <c r="A228" s="17">
        <f>IF($C228="","",ROW()-3)</f>
        <v/>
      </c>
      <c r="B228" s="18" t="n"/>
      <c r="C228" s="13" t="n"/>
      <c r="D228" s="13" t="n"/>
      <c r="E228" s="17">
        <f>IF($C228="","",IFERROR(VLOOKUP($D228,工作归属,2,0),"※工作类型没选"))</f>
        <v/>
      </c>
      <c r="F228" s="13" t="n"/>
      <c r="G228" s="13" t="n"/>
      <c r="H228" s="20" t="n"/>
      <c r="I228" s="14" t="n"/>
      <c r="J228" s="19">
        <f>IF($C228="","",ROUND(IF($H228="",1,$H228)*N($I228),2))</f>
        <v/>
      </c>
      <c r="K228" s="13" t="n"/>
      <c r="L228" s="13" t="n"/>
      <c r="M228" s="17">
        <f>IF($C228="","",IF(ISNA(MATCH($C228,项目名表,0)),"※项目不在项目台账里",IF($E228="※工作类型没选","※工作类型没选","")))</f>
        <v/>
      </c>
    </row>
    <row r="229">
      <c r="A229" s="17">
        <f>IF($C229="","",ROW()-3)</f>
        <v/>
      </c>
      <c r="B229" s="18" t="n"/>
      <c r="C229" s="13" t="n"/>
      <c r="D229" s="13" t="n"/>
      <c r="E229" s="17">
        <f>IF($C229="","",IFERROR(VLOOKUP($D229,工作归属,2,0),"※工作类型没选"))</f>
        <v/>
      </c>
      <c r="F229" s="13" t="n"/>
      <c r="G229" s="13" t="n"/>
      <c r="H229" s="20" t="n"/>
      <c r="I229" s="14" t="n"/>
      <c r="J229" s="19">
        <f>IF($C229="","",ROUND(IF($H229="",1,$H229)*N($I229),2))</f>
        <v/>
      </c>
      <c r="K229" s="13" t="n"/>
      <c r="L229" s="13" t="n"/>
      <c r="M229" s="17">
        <f>IF($C229="","",IF(ISNA(MATCH($C229,项目名表,0)),"※项目不在项目台账里",IF($E229="※工作类型没选","※工作类型没选","")))</f>
        <v/>
      </c>
    </row>
    <row r="230">
      <c r="A230" s="17">
        <f>IF($C230="","",ROW()-3)</f>
        <v/>
      </c>
      <c r="B230" s="18" t="n"/>
      <c r="C230" s="13" t="n"/>
      <c r="D230" s="13" t="n"/>
      <c r="E230" s="17">
        <f>IF($C230="","",IFERROR(VLOOKUP($D230,工作归属,2,0),"※工作类型没选"))</f>
        <v/>
      </c>
      <c r="F230" s="13" t="n"/>
      <c r="G230" s="13" t="n"/>
      <c r="H230" s="20" t="n"/>
      <c r="I230" s="14" t="n"/>
      <c r="J230" s="19">
        <f>IF($C230="","",ROUND(IF($H230="",1,$H230)*N($I230),2))</f>
        <v/>
      </c>
      <c r="K230" s="13" t="n"/>
      <c r="L230" s="13" t="n"/>
      <c r="M230" s="17">
        <f>IF($C230="","",IF(ISNA(MATCH($C230,项目名表,0)),"※项目不在项目台账里",IF($E230="※工作类型没选","※工作类型没选","")))</f>
        <v/>
      </c>
    </row>
    <row r="231">
      <c r="A231" s="17">
        <f>IF($C231="","",ROW()-3)</f>
        <v/>
      </c>
      <c r="B231" s="18" t="n"/>
      <c r="C231" s="13" t="n"/>
      <c r="D231" s="13" t="n"/>
      <c r="E231" s="17">
        <f>IF($C231="","",IFERROR(VLOOKUP($D231,工作归属,2,0),"※工作类型没选"))</f>
        <v/>
      </c>
      <c r="F231" s="13" t="n"/>
      <c r="G231" s="13" t="n"/>
      <c r="H231" s="20" t="n"/>
      <c r="I231" s="14" t="n"/>
      <c r="J231" s="19">
        <f>IF($C231="","",ROUND(IF($H231="",1,$H231)*N($I231),2))</f>
        <v/>
      </c>
      <c r="K231" s="13" t="n"/>
      <c r="L231" s="13" t="n"/>
      <c r="M231" s="17">
        <f>IF($C231="","",IF(ISNA(MATCH($C231,项目名表,0)),"※项目不在项目台账里",IF($E231="※工作类型没选","※工作类型没选","")))</f>
        <v/>
      </c>
    </row>
    <row r="232">
      <c r="A232" s="17">
        <f>IF($C232="","",ROW()-3)</f>
        <v/>
      </c>
      <c r="B232" s="18" t="n"/>
      <c r="C232" s="13" t="n"/>
      <c r="D232" s="13" t="n"/>
      <c r="E232" s="17">
        <f>IF($C232="","",IFERROR(VLOOKUP($D232,工作归属,2,0),"※工作类型没选"))</f>
        <v/>
      </c>
      <c r="F232" s="13" t="n"/>
      <c r="G232" s="13" t="n"/>
      <c r="H232" s="20" t="n"/>
      <c r="I232" s="14" t="n"/>
      <c r="J232" s="19">
        <f>IF($C232="","",ROUND(IF($H232="",1,$H232)*N($I232),2))</f>
        <v/>
      </c>
      <c r="K232" s="13" t="n"/>
      <c r="L232" s="13" t="n"/>
      <c r="M232" s="17">
        <f>IF($C232="","",IF(ISNA(MATCH($C232,项目名表,0)),"※项目不在项目台账里",IF($E232="※工作类型没选","※工作类型没选","")))</f>
        <v/>
      </c>
    </row>
    <row r="233">
      <c r="A233" s="17">
        <f>IF($C233="","",ROW()-3)</f>
        <v/>
      </c>
      <c r="B233" s="18" t="n"/>
      <c r="C233" s="13" t="n"/>
      <c r="D233" s="13" t="n"/>
      <c r="E233" s="17">
        <f>IF($C233="","",IFERROR(VLOOKUP($D233,工作归属,2,0),"※工作类型没选"))</f>
        <v/>
      </c>
      <c r="F233" s="13" t="n"/>
      <c r="G233" s="13" t="n"/>
      <c r="H233" s="20" t="n"/>
      <c r="I233" s="14" t="n"/>
      <c r="J233" s="19">
        <f>IF($C233="","",ROUND(IF($H233="",1,$H233)*N($I233),2))</f>
        <v/>
      </c>
      <c r="K233" s="13" t="n"/>
      <c r="L233" s="13" t="n"/>
      <c r="M233" s="17">
        <f>IF($C233="","",IF(ISNA(MATCH($C233,项目名表,0)),"※项目不在项目台账里",IF($E233="※工作类型没选","※工作类型没选","")))</f>
        <v/>
      </c>
    </row>
    <row r="234">
      <c r="A234" s="17">
        <f>IF($C234="","",ROW()-3)</f>
        <v/>
      </c>
      <c r="B234" s="18" t="n"/>
      <c r="C234" s="13" t="n"/>
      <c r="D234" s="13" t="n"/>
      <c r="E234" s="17">
        <f>IF($C234="","",IFERROR(VLOOKUP($D234,工作归属,2,0),"※工作类型没选"))</f>
        <v/>
      </c>
      <c r="F234" s="13" t="n"/>
      <c r="G234" s="13" t="n"/>
      <c r="H234" s="20" t="n"/>
      <c r="I234" s="14" t="n"/>
      <c r="J234" s="19">
        <f>IF($C234="","",ROUND(IF($H234="",1,$H234)*N($I234),2))</f>
        <v/>
      </c>
      <c r="K234" s="13" t="n"/>
      <c r="L234" s="13" t="n"/>
      <c r="M234" s="17">
        <f>IF($C234="","",IF(ISNA(MATCH($C234,项目名表,0)),"※项目不在项目台账里",IF($E234="※工作类型没选","※工作类型没选","")))</f>
        <v/>
      </c>
    </row>
    <row r="235">
      <c r="A235" s="17">
        <f>IF($C235="","",ROW()-3)</f>
        <v/>
      </c>
      <c r="B235" s="18" t="n"/>
      <c r="C235" s="13" t="n"/>
      <c r="D235" s="13" t="n"/>
      <c r="E235" s="17">
        <f>IF($C235="","",IFERROR(VLOOKUP($D235,工作归属,2,0),"※工作类型没选"))</f>
        <v/>
      </c>
      <c r="F235" s="13" t="n"/>
      <c r="G235" s="13" t="n"/>
      <c r="H235" s="20" t="n"/>
      <c r="I235" s="14" t="n"/>
      <c r="J235" s="19">
        <f>IF($C235="","",ROUND(IF($H235="",1,$H235)*N($I235),2))</f>
        <v/>
      </c>
      <c r="K235" s="13" t="n"/>
      <c r="L235" s="13" t="n"/>
      <c r="M235" s="17">
        <f>IF($C235="","",IF(ISNA(MATCH($C235,项目名表,0)),"※项目不在项目台账里",IF($E235="※工作类型没选","※工作类型没选","")))</f>
        <v/>
      </c>
    </row>
    <row r="236">
      <c r="A236" s="17">
        <f>IF($C236="","",ROW()-3)</f>
        <v/>
      </c>
      <c r="B236" s="18" t="n"/>
      <c r="C236" s="13" t="n"/>
      <c r="D236" s="13" t="n"/>
      <c r="E236" s="17">
        <f>IF($C236="","",IFERROR(VLOOKUP($D236,工作归属,2,0),"※工作类型没选"))</f>
        <v/>
      </c>
      <c r="F236" s="13" t="n"/>
      <c r="G236" s="13" t="n"/>
      <c r="H236" s="20" t="n"/>
      <c r="I236" s="14" t="n"/>
      <c r="J236" s="19">
        <f>IF($C236="","",ROUND(IF($H236="",1,$H236)*N($I236),2))</f>
        <v/>
      </c>
      <c r="K236" s="13" t="n"/>
      <c r="L236" s="13" t="n"/>
      <c r="M236" s="17">
        <f>IF($C236="","",IF(ISNA(MATCH($C236,项目名表,0)),"※项目不在项目台账里",IF($E236="※工作类型没选","※工作类型没选","")))</f>
        <v/>
      </c>
    </row>
    <row r="237">
      <c r="A237" s="17">
        <f>IF($C237="","",ROW()-3)</f>
        <v/>
      </c>
      <c r="B237" s="18" t="n"/>
      <c r="C237" s="13" t="n"/>
      <c r="D237" s="13" t="n"/>
      <c r="E237" s="17">
        <f>IF($C237="","",IFERROR(VLOOKUP($D237,工作归属,2,0),"※工作类型没选"))</f>
        <v/>
      </c>
      <c r="F237" s="13" t="n"/>
      <c r="G237" s="13" t="n"/>
      <c r="H237" s="20" t="n"/>
      <c r="I237" s="14" t="n"/>
      <c r="J237" s="19">
        <f>IF($C237="","",ROUND(IF($H237="",1,$H237)*N($I237),2))</f>
        <v/>
      </c>
      <c r="K237" s="13" t="n"/>
      <c r="L237" s="13" t="n"/>
      <c r="M237" s="17">
        <f>IF($C237="","",IF(ISNA(MATCH($C237,项目名表,0)),"※项目不在项目台账里",IF($E237="※工作类型没选","※工作类型没选","")))</f>
        <v/>
      </c>
    </row>
    <row r="238">
      <c r="A238" s="17">
        <f>IF($C238="","",ROW()-3)</f>
        <v/>
      </c>
      <c r="B238" s="18" t="n"/>
      <c r="C238" s="13" t="n"/>
      <c r="D238" s="13" t="n"/>
      <c r="E238" s="17">
        <f>IF($C238="","",IFERROR(VLOOKUP($D238,工作归属,2,0),"※工作类型没选"))</f>
        <v/>
      </c>
      <c r="F238" s="13" t="n"/>
      <c r="G238" s="13" t="n"/>
      <c r="H238" s="20" t="n"/>
      <c r="I238" s="14" t="n"/>
      <c r="J238" s="19">
        <f>IF($C238="","",ROUND(IF($H238="",1,$H238)*N($I238),2))</f>
        <v/>
      </c>
      <c r="K238" s="13" t="n"/>
      <c r="L238" s="13" t="n"/>
      <c r="M238" s="17">
        <f>IF($C238="","",IF(ISNA(MATCH($C238,项目名表,0)),"※项目不在项目台账里",IF($E238="※工作类型没选","※工作类型没选","")))</f>
        <v/>
      </c>
    </row>
    <row r="239">
      <c r="A239" s="17">
        <f>IF($C239="","",ROW()-3)</f>
        <v/>
      </c>
      <c r="B239" s="18" t="n"/>
      <c r="C239" s="13" t="n"/>
      <c r="D239" s="13" t="n"/>
      <c r="E239" s="17">
        <f>IF($C239="","",IFERROR(VLOOKUP($D239,工作归属,2,0),"※工作类型没选"))</f>
        <v/>
      </c>
      <c r="F239" s="13" t="n"/>
      <c r="G239" s="13" t="n"/>
      <c r="H239" s="20" t="n"/>
      <c r="I239" s="14" t="n"/>
      <c r="J239" s="19">
        <f>IF($C239="","",ROUND(IF($H239="",1,$H239)*N($I239),2))</f>
        <v/>
      </c>
      <c r="K239" s="13" t="n"/>
      <c r="L239" s="13" t="n"/>
      <c r="M239" s="17">
        <f>IF($C239="","",IF(ISNA(MATCH($C239,项目名表,0)),"※项目不在项目台账里",IF($E239="※工作类型没选","※工作类型没选","")))</f>
        <v/>
      </c>
    </row>
    <row r="240">
      <c r="A240" s="17">
        <f>IF($C240="","",ROW()-3)</f>
        <v/>
      </c>
      <c r="B240" s="18" t="n"/>
      <c r="C240" s="13" t="n"/>
      <c r="D240" s="13" t="n"/>
      <c r="E240" s="17">
        <f>IF($C240="","",IFERROR(VLOOKUP($D240,工作归属,2,0),"※工作类型没选"))</f>
        <v/>
      </c>
      <c r="F240" s="13" t="n"/>
      <c r="G240" s="13" t="n"/>
      <c r="H240" s="20" t="n"/>
      <c r="I240" s="14" t="n"/>
      <c r="J240" s="19">
        <f>IF($C240="","",ROUND(IF($H240="",1,$H240)*N($I240),2))</f>
        <v/>
      </c>
      <c r="K240" s="13" t="n"/>
      <c r="L240" s="13" t="n"/>
      <c r="M240" s="17">
        <f>IF($C240="","",IF(ISNA(MATCH($C240,项目名表,0)),"※项目不在项目台账里",IF($E240="※工作类型没选","※工作类型没选","")))</f>
        <v/>
      </c>
    </row>
    <row r="241">
      <c r="A241" s="17">
        <f>IF($C241="","",ROW()-3)</f>
        <v/>
      </c>
      <c r="B241" s="18" t="n"/>
      <c r="C241" s="13" t="n"/>
      <c r="D241" s="13" t="n"/>
      <c r="E241" s="17">
        <f>IF($C241="","",IFERROR(VLOOKUP($D241,工作归属,2,0),"※工作类型没选"))</f>
        <v/>
      </c>
      <c r="F241" s="13" t="n"/>
      <c r="G241" s="13" t="n"/>
      <c r="H241" s="20" t="n"/>
      <c r="I241" s="14" t="n"/>
      <c r="J241" s="19">
        <f>IF($C241="","",ROUND(IF($H241="",1,$H241)*N($I241),2))</f>
        <v/>
      </c>
      <c r="K241" s="13" t="n"/>
      <c r="L241" s="13" t="n"/>
      <c r="M241" s="17">
        <f>IF($C241="","",IF(ISNA(MATCH($C241,项目名表,0)),"※项目不在项目台账里",IF($E241="※工作类型没选","※工作类型没选","")))</f>
        <v/>
      </c>
    </row>
    <row r="242">
      <c r="A242" s="17">
        <f>IF($C242="","",ROW()-3)</f>
        <v/>
      </c>
      <c r="B242" s="18" t="n"/>
      <c r="C242" s="13" t="n"/>
      <c r="D242" s="13" t="n"/>
      <c r="E242" s="17">
        <f>IF($C242="","",IFERROR(VLOOKUP($D242,工作归属,2,0),"※工作类型没选"))</f>
        <v/>
      </c>
      <c r="F242" s="13" t="n"/>
      <c r="G242" s="13" t="n"/>
      <c r="H242" s="20" t="n"/>
      <c r="I242" s="14" t="n"/>
      <c r="J242" s="19">
        <f>IF($C242="","",ROUND(IF($H242="",1,$H242)*N($I242),2))</f>
        <v/>
      </c>
      <c r="K242" s="13" t="n"/>
      <c r="L242" s="13" t="n"/>
      <c r="M242" s="17">
        <f>IF($C242="","",IF(ISNA(MATCH($C242,项目名表,0)),"※项目不在项目台账里",IF($E242="※工作类型没选","※工作类型没选","")))</f>
        <v/>
      </c>
    </row>
    <row r="243">
      <c r="A243" s="17">
        <f>IF($C243="","",ROW()-3)</f>
        <v/>
      </c>
      <c r="B243" s="18" t="n"/>
      <c r="C243" s="13" t="n"/>
      <c r="D243" s="13" t="n"/>
      <c r="E243" s="17">
        <f>IF($C243="","",IFERROR(VLOOKUP($D243,工作归属,2,0),"※工作类型没选"))</f>
        <v/>
      </c>
      <c r="F243" s="13" t="n"/>
      <c r="G243" s="13" t="n"/>
      <c r="H243" s="20" t="n"/>
      <c r="I243" s="14" t="n"/>
      <c r="J243" s="19">
        <f>IF($C243="","",ROUND(IF($H243="",1,$H243)*N($I243),2))</f>
        <v/>
      </c>
      <c r="K243" s="13" t="n"/>
      <c r="L243" s="13" t="n"/>
      <c r="M243" s="17">
        <f>IF($C243="","",IF(ISNA(MATCH($C243,项目名表,0)),"※项目不在项目台账里",IF($E243="※工作类型没选","※工作类型没选","")))</f>
        <v/>
      </c>
    </row>
    <row r="244">
      <c r="A244" s="17">
        <f>IF($C244="","",ROW()-3)</f>
        <v/>
      </c>
      <c r="B244" s="18" t="n"/>
      <c r="C244" s="13" t="n"/>
      <c r="D244" s="13" t="n"/>
      <c r="E244" s="17">
        <f>IF($C244="","",IFERROR(VLOOKUP($D244,工作归属,2,0),"※工作类型没选"))</f>
        <v/>
      </c>
      <c r="F244" s="13" t="n"/>
      <c r="G244" s="13" t="n"/>
      <c r="H244" s="20" t="n"/>
      <c r="I244" s="14" t="n"/>
      <c r="J244" s="19">
        <f>IF($C244="","",ROUND(IF($H244="",1,$H244)*N($I244),2))</f>
        <v/>
      </c>
      <c r="K244" s="13" t="n"/>
      <c r="L244" s="13" t="n"/>
      <c r="M244" s="17">
        <f>IF($C244="","",IF(ISNA(MATCH($C244,项目名表,0)),"※项目不在项目台账里",IF($E244="※工作类型没选","※工作类型没选","")))</f>
        <v/>
      </c>
    </row>
    <row r="245">
      <c r="A245" s="17">
        <f>IF($C245="","",ROW()-3)</f>
        <v/>
      </c>
      <c r="B245" s="18" t="n"/>
      <c r="C245" s="13" t="n"/>
      <c r="D245" s="13" t="n"/>
      <c r="E245" s="17">
        <f>IF($C245="","",IFERROR(VLOOKUP($D245,工作归属,2,0),"※工作类型没选"))</f>
        <v/>
      </c>
      <c r="F245" s="13" t="n"/>
      <c r="G245" s="13" t="n"/>
      <c r="H245" s="20" t="n"/>
      <c r="I245" s="14" t="n"/>
      <c r="J245" s="19">
        <f>IF($C245="","",ROUND(IF($H245="",1,$H245)*N($I245),2))</f>
        <v/>
      </c>
      <c r="K245" s="13" t="n"/>
      <c r="L245" s="13" t="n"/>
      <c r="M245" s="17">
        <f>IF($C245="","",IF(ISNA(MATCH($C245,项目名表,0)),"※项目不在项目台账里",IF($E245="※工作类型没选","※工作类型没选","")))</f>
        <v/>
      </c>
    </row>
    <row r="246">
      <c r="A246" s="17">
        <f>IF($C246="","",ROW()-3)</f>
        <v/>
      </c>
      <c r="B246" s="18" t="n"/>
      <c r="C246" s="13" t="n"/>
      <c r="D246" s="13" t="n"/>
      <c r="E246" s="17">
        <f>IF($C246="","",IFERROR(VLOOKUP($D246,工作归属,2,0),"※工作类型没选"))</f>
        <v/>
      </c>
      <c r="F246" s="13" t="n"/>
      <c r="G246" s="13" t="n"/>
      <c r="H246" s="20" t="n"/>
      <c r="I246" s="14" t="n"/>
      <c r="J246" s="19">
        <f>IF($C246="","",ROUND(IF($H246="",1,$H246)*N($I246),2))</f>
        <v/>
      </c>
      <c r="K246" s="13" t="n"/>
      <c r="L246" s="13" t="n"/>
      <c r="M246" s="17">
        <f>IF($C246="","",IF(ISNA(MATCH($C246,项目名表,0)),"※项目不在项目台账里",IF($E246="※工作类型没选","※工作类型没选","")))</f>
        <v/>
      </c>
    </row>
    <row r="247">
      <c r="A247" s="17">
        <f>IF($C247="","",ROW()-3)</f>
        <v/>
      </c>
      <c r="B247" s="18" t="n"/>
      <c r="C247" s="13" t="n"/>
      <c r="D247" s="13" t="n"/>
      <c r="E247" s="17">
        <f>IF($C247="","",IFERROR(VLOOKUP($D247,工作归属,2,0),"※工作类型没选"))</f>
        <v/>
      </c>
      <c r="F247" s="13" t="n"/>
      <c r="G247" s="13" t="n"/>
      <c r="H247" s="20" t="n"/>
      <c r="I247" s="14" t="n"/>
      <c r="J247" s="19">
        <f>IF($C247="","",ROUND(IF($H247="",1,$H247)*N($I247),2))</f>
        <v/>
      </c>
      <c r="K247" s="13" t="n"/>
      <c r="L247" s="13" t="n"/>
      <c r="M247" s="17">
        <f>IF($C247="","",IF(ISNA(MATCH($C247,项目名表,0)),"※项目不在项目台账里",IF($E247="※工作类型没选","※工作类型没选","")))</f>
        <v/>
      </c>
    </row>
    <row r="248">
      <c r="A248" s="17">
        <f>IF($C248="","",ROW()-3)</f>
        <v/>
      </c>
      <c r="B248" s="18" t="n"/>
      <c r="C248" s="13" t="n"/>
      <c r="D248" s="13" t="n"/>
      <c r="E248" s="17">
        <f>IF($C248="","",IFERROR(VLOOKUP($D248,工作归属,2,0),"※工作类型没选"))</f>
        <v/>
      </c>
      <c r="F248" s="13" t="n"/>
      <c r="G248" s="13" t="n"/>
      <c r="H248" s="20" t="n"/>
      <c r="I248" s="14" t="n"/>
      <c r="J248" s="19">
        <f>IF($C248="","",ROUND(IF($H248="",1,$H248)*N($I248),2))</f>
        <v/>
      </c>
      <c r="K248" s="13" t="n"/>
      <c r="L248" s="13" t="n"/>
      <c r="M248" s="17">
        <f>IF($C248="","",IF(ISNA(MATCH($C248,项目名表,0)),"※项目不在项目台账里",IF($E248="※工作类型没选","※工作类型没选","")))</f>
        <v/>
      </c>
    </row>
    <row r="249">
      <c r="A249" s="17">
        <f>IF($C249="","",ROW()-3)</f>
        <v/>
      </c>
      <c r="B249" s="18" t="n"/>
      <c r="C249" s="13" t="n"/>
      <c r="D249" s="13" t="n"/>
      <c r="E249" s="17">
        <f>IF($C249="","",IFERROR(VLOOKUP($D249,工作归属,2,0),"※工作类型没选"))</f>
        <v/>
      </c>
      <c r="F249" s="13" t="n"/>
      <c r="G249" s="13" t="n"/>
      <c r="H249" s="20" t="n"/>
      <c r="I249" s="14" t="n"/>
      <c r="J249" s="19">
        <f>IF($C249="","",ROUND(IF($H249="",1,$H249)*N($I249),2))</f>
        <v/>
      </c>
      <c r="K249" s="13" t="n"/>
      <c r="L249" s="13" t="n"/>
      <c r="M249" s="17">
        <f>IF($C249="","",IF(ISNA(MATCH($C249,项目名表,0)),"※项目不在项目台账里",IF($E249="※工作类型没选","※工作类型没选","")))</f>
        <v/>
      </c>
    </row>
    <row r="250">
      <c r="A250" s="17">
        <f>IF($C250="","",ROW()-3)</f>
        <v/>
      </c>
      <c r="B250" s="18" t="n"/>
      <c r="C250" s="13" t="n"/>
      <c r="D250" s="13" t="n"/>
      <c r="E250" s="17">
        <f>IF($C250="","",IFERROR(VLOOKUP($D250,工作归属,2,0),"※工作类型没选"))</f>
        <v/>
      </c>
      <c r="F250" s="13" t="n"/>
      <c r="G250" s="13" t="n"/>
      <c r="H250" s="20" t="n"/>
      <c r="I250" s="14" t="n"/>
      <c r="J250" s="19">
        <f>IF($C250="","",ROUND(IF($H250="",1,$H250)*N($I250),2))</f>
        <v/>
      </c>
      <c r="K250" s="13" t="n"/>
      <c r="L250" s="13" t="n"/>
      <c r="M250" s="17">
        <f>IF($C250="","",IF(ISNA(MATCH($C250,项目名表,0)),"※项目不在项目台账里",IF($E250="※工作类型没选","※工作类型没选","")))</f>
        <v/>
      </c>
    </row>
    <row r="251">
      <c r="A251" s="17">
        <f>IF($C251="","",ROW()-3)</f>
        <v/>
      </c>
      <c r="B251" s="18" t="n"/>
      <c r="C251" s="13" t="n"/>
      <c r="D251" s="13" t="n"/>
      <c r="E251" s="17">
        <f>IF($C251="","",IFERROR(VLOOKUP($D251,工作归属,2,0),"※工作类型没选"))</f>
        <v/>
      </c>
      <c r="F251" s="13" t="n"/>
      <c r="G251" s="13" t="n"/>
      <c r="H251" s="20" t="n"/>
      <c r="I251" s="14" t="n"/>
      <c r="J251" s="19">
        <f>IF($C251="","",ROUND(IF($H251="",1,$H251)*N($I251),2))</f>
        <v/>
      </c>
      <c r="K251" s="13" t="n"/>
      <c r="L251" s="13" t="n"/>
      <c r="M251" s="17">
        <f>IF($C251="","",IF(ISNA(MATCH($C251,项目名表,0)),"※项目不在项目台账里",IF($E251="※工作类型没选","※工作类型没选","")))</f>
        <v/>
      </c>
    </row>
    <row r="252">
      <c r="A252" s="17">
        <f>IF($C252="","",ROW()-3)</f>
        <v/>
      </c>
      <c r="B252" s="18" t="n"/>
      <c r="C252" s="13" t="n"/>
      <c r="D252" s="13" t="n"/>
      <c r="E252" s="17">
        <f>IF($C252="","",IFERROR(VLOOKUP($D252,工作归属,2,0),"※工作类型没选"))</f>
        <v/>
      </c>
      <c r="F252" s="13" t="n"/>
      <c r="G252" s="13" t="n"/>
      <c r="H252" s="20" t="n"/>
      <c r="I252" s="14" t="n"/>
      <c r="J252" s="19">
        <f>IF($C252="","",ROUND(IF($H252="",1,$H252)*N($I252),2))</f>
        <v/>
      </c>
      <c r="K252" s="13" t="n"/>
      <c r="L252" s="13" t="n"/>
      <c r="M252" s="17">
        <f>IF($C252="","",IF(ISNA(MATCH($C252,项目名表,0)),"※项目不在项目台账里",IF($E252="※工作类型没选","※工作类型没选","")))</f>
        <v/>
      </c>
    </row>
    <row r="253">
      <c r="A253" s="17">
        <f>IF($C253="","",ROW()-3)</f>
        <v/>
      </c>
      <c r="B253" s="18" t="n"/>
      <c r="C253" s="13" t="n"/>
      <c r="D253" s="13" t="n"/>
      <c r="E253" s="17">
        <f>IF($C253="","",IFERROR(VLOOKUP($D253,工作归属,2,0),"※工作类型没选"))</f>
        <v/>
      </c>
      <c r="F253" s="13" t="n"/>
      <c r="G253" s="13" t="n"/>
      <c r="H253" s="20" t="n"/>
      <c r="I253" s="14" t="n"/>
      <c r="J253" s="19">
        <f>IF($C253="","",ROUND(IF($H253="",1,$H253)*N($I253),2))</f>
        <v/>
      </c>
      <c r="K253" s="13" t="n"/>
      <c r="L253" s="13" t="n"/>
      <c r="M253" s="17">
        <f>IF($C253="","",IF(ISNA(MATCH($C253,项目名表,0)),"※项目不在项目台账里",IF($E253="※工作类型没选","※工作类型没选","")))</f>
        <v/>
      </c>
    </row>
    <row r="254">
      <c r="A254" s="17">
        <f>IF($C254="","",ROW()-3)</f>
        <v/>
      </c>
      <c r="B254" s="18" t="n"/>
      <c r="C254" s="13" t="n"/>
      <c r="D254" s="13" t="n"/>
      <c r="E254" s="17">
        <f>IF($C254="","",IFERROR(VLOOKUP($D254,工作归属,2,0),"※工作类型没选"))</f>
        <v/>
      </c>
      <c r="F254" s="13" t="n"/>
      <c r="G254" s="13" t="n"/>
      <c r="H254" s="20" t="n"/>
      <c r="I254" s="14" t="n"/>
      <c r="J254" s="19">
        <f>IF($C254="","",ROUND(IF($H254="",1,$H254)*N($I254),2))</f>
        <v/>
      </c>
      <c r="K254" s="13" t="n"/>
      <c r="L254" s="13" t="n"/>
      <c r="M254" s="17">
        <f>IF($C254="","",IF(ISNA(MATCH($C254,项目名表,0)),"※项目不在项目台账里",IF($E254="※工作类型没选","※工作类型没选","")))</f>
        <v/>
      </c>
    </row>
    <row r="255">
      <c r="A255" s="17">
        <f>IF($C255="","",ROW()-3)</f>
        <v/>
      </c>
      <c r="B255" s="18" t="n"/>
      <c r="C255" s="13" t="n"/>
      <c r="D255" s="13" t="n"/>
      <c r="E255" s="17">
        <f>IF($C255="","",IFERROR(VLOOKUP($D255,工作归属,2,0),"※工作类型没选"))</f>
        <v/>
      </c>
      <c r="F255" s="13" t="n"/>
      <c r="G255" s="13" t="n"/>
      <c r="H255" s="20" t="n"/>
      <c r="I255" s="14" t="n"/>
      <c r="J255" s="19">
        <f>IF($C255="","",ROUND(IF($H255="",1,$H255)*N($I255),2))</f>
        <v/>
      </c>
      <c r="K255" s="13" t="n"/>
      <c r="L255" s="13" t="n"/>
      <c r="M255" s="17">
        <f>IF($C255="","",IF(ISNA(MATCH($C255,项目名表,0)),"※项目不在项目台账里",IF($E255="※工作类型没选","※工作类型没选","")))</f>
        <v/>
      </c>
    </row>
    <row r="256">
      <c r="A256" s="17">
        <f>IF($C256="","",ROW()-3)</f>
        <v/>
      </c>
      <c r="B256" s="18" t="n"/>
      <c r="C256" s="13" t="n"/>
      <c r="D256" s="13" t="n"/>
      <c r="E256" s="17">
        <f>IF($C256="","",IFERROR(VLOOKUP($D256,工作归属,2,0),"※工作类型没选"))</f>
        <v/>
      </c>
      <c r="F256" s="13" t="n"/>
      <c r="G256" s="13" t="n"/>
      <c r="H256" s="20" t="n"/>
      <c r="I256" s="14" t="n"/>
      <c r="J256" s="19">
        <f>IF($C256="","",ROUND(IF($H256="",1,$H256)*N($I256),2))</f>
        <v/>
      </c>
      <c r="K256" s="13" t="n"/>
      <c r="L256" s="13" t="n"/>
      <c r="M256" s="17">
        <f>IF($C256="","",IF(ISNA(MATCH($C256,项目名表,0)),"※项目不在项目台账里",IF($E256="※工作类型没选","※工作类型没选","")))</f>
        <v/>
      </c>
    </row>
    <row r="257">
      <c r="A257" s="17">
        <f>IF($C257="","",ROW()-3)</f>
        <v/>
      </c>
      <c r="B257" s="18" t="n"/>
      <c r="C257" s="13" t="n"/>
      <c r="D257" s="13" t="n"/>
      <c r="E257" s="17">
        <f>IF($C257="","",IFERROR(VLOOKUP($D257,工作归属,2,0),"※工作类型没选"))</f>
        <v/>
      </c>
      <c r="F257" s="13" t="n"/>
      <c r="G257" s="13" t="n"/>
      <c r="H257" s="20" t="n"/>
      <c r="I257" s="14" t="n"/>
      <c r="J257" s="19">
        <f>IF($C257="","",ROUND(IF($H257="",1,$H257)*N($I257),2))</f>
        <v/>
      </c>
      <c r="K257" s="13" t="n"/>
      <c r="L257" s="13" t="n"/>
      <c r="M257" s="17">
        <f>IF($C257="","",IF(ISNA(MATCH($C257,项目名表,0)),"※项目不在项目台账里",IF($E257="※工作类型没选","※工作类型没选","")))</f>
        <v/>
      </c>
    </row>
    <row r="258">
      <c r="A258" s="17">
        <f>IF($C258="","",ROW()-3)</f>
        <v/>
      </c>
      <c r="B258" s="18" t="n"/>
      <c r="C258" s="13" t="n"/>
      <c r="D258" s="13" t="n"/>
      <c r="E258" s="17">
        <f>IF($C258="","",IFERROR(VLOOKUP($D258,工作归属,2,0),"※工作类型没选"))</f>
        <v/>
      </c>
      <c r="F258" s="13" t="n"/>
      <c r="G258" s="13" t="n"/>
      <c r="H258" s="20" t="n"/>
      <c r="I258" s="14" t="n"/>
      <c r="J258" s="19">
        <f>IF($C258="","",ROUND(IF($H258="",1,$H258)*N($I258),2))</f>
        <v/>
      </c>
      <c r="K258" s="13" t="n"/>
      <c r="L258" s="13" t="n"/>
      <c r="M258" s="17">
        <f>IF($C258="","",IF(ISNA(MATCH($C258,项目名表,0)),"※项目不在项目台账里",IF($E258="※工作类型没选","※工作类型没选","")))</f>
        <v/>
      </c>
    </row>
    <row r="259">
      <c r="A259" s="17">
        <f>IF($C259="","",ROW()-3)</f>
        <v/>
      </c>
      <c r="B259" s="18" t="n"/>
      <c r="C259" s="13" t="n"/>
      <c r="D259" s="13" t="n"/>
      <c r="E259" s="17">
        <f>IF($C259="","",IFERROR(VLOOKUP($D259,工作归属,2,0),"※工作类型没选"))</f>
        <v/>
      </c>
      <c r="F259" s="13" t="n"/>
      <c r="G259" s="13" t="n"/>
      <c r="H259" s="20" t="n"/>
      <c r="I259" s="14" t="n"/>
      <c r="J259" s="19">
        <f>IF($C259="","",ROUND(IF($H259="",1,$H259)*N($I259),2))</f>
        <v/>
      </c>
      <c r="K259" s="13" t="n"/>
      <c r="L259" s="13" t="n"/>
      <c r="M259" s="17">
        <f>IF($C259="","",IF(ISNA(MATCH($C259,项目名表,0)),"※项目不在项目台账里",IF($E259="※工作类型没选","※工作类型没选","")))</f>
        <v/>
      </c>
    </row>
    <row r="260">
      <c r="A260" s="17">
        <f>IF($C260="","",ROW()-3)</f>
        <v/>
      </c>
      <c r="B260" s="18" t="n"/>
      <c r="C260" s="13" t="n"/>
      <c r="D260" s="13" t="n"/>
      <c r="E260" s="17">
        <f>IF($C260="","",IFERROR(VLOOKUP($D260,工作归属,2,0),"※工作类型没选"))</f>
        <v/>
      </c>
      <c r="F260" s="13" t="n"/>
      <c r="G260" s="13" t="n"/>
      <c r="H260" s="20" t="n"/>
      <c r="I260" s="14" t="n"/>
      <c r="J260" s="19">
        <f>IF($C260="","",ROUND(IF($H260="",1,$H260)*N($I260),2))</f>
        <v/>
      </c>
      <c r="K260" s="13" t="n"/>
      <c r="L260" s="13" t="n"/>
      <c r="M260" s="17">
        <f>IF($C260="","",IF(ISNA(MATCH($C260,项目名表,0)),"※项目不在项目台账里",IF($E260="※工作类型没选","※工作类型没选","")))</f>
        <v/>
      </c>
    </row>
    <row r="261">
      <c r="A261" s="17">
        <f>IF($C261="","",ROW()-3)</f>
        <v/>
      </c>
      <c r="B261" s="18" t="n"/>
      <c r="C261" s="13" t="n"/>
      <c r="D261" s="13" t="n"/>
      <c r="E261" s="17">
        <f>IF($C261="","",IFERROR(VLOOKUP($D261,工作归属,2,0),"※工作类型没选"))</f>
        <v/>
      </c>
      <c r="F261" s="13" t="n"/>
      <c r="G261" s="13" t="n"/>
      <c r="H261" s="20" t="n"/>
      <c r="I261" s="14" t="n"/>
      <c r="J261" s="19">
        <f>IF($C261="","",ROUND(IF($H261="",1,$H261)*N($I261),2))</f>
        <v/>
      </c>
      <c r="K261" s="13" t="n"/>
      <c r="L261" s="13" t="n"/>
      <c r="M261" s="17">
        <f>IF($C261="","",IF(ISNA(MATCH($C261,项目名表,0)),"※项目不在项目台账里",IF($E261="※工作类型没选","※工作类型没选","")))</f>
        <v/>
      </c>
    </row>
    <row r="262">
      <c r="A262" s="17">
        <f>IF($C262="","",ROW()-3)</f>
        <v/>
      </c>
      <c r="B262" s="18" t="n"/>
      <c r="C262" s="13" t="n"/>
      <c r="D262" s="13" t="n"/>
      <c r="E262" s="17">
        <f>IF($C262="","",IFERROR(VLOOKUP($D262,工作归属,2,0),"※工作类型没选"))</f>
        <v/>
      </c>
      <c r="F262" s="13" t="n"/>
      <c r="G262" s="13" t="n"/>
      <c r="H262" s="20" t="n"/>
      <c r="I262" s="14" t="n"/>
      <c r="J262" s="19">
        <f>IF($C262="","",ROUND(IF($H262="",1,$H262)*N($I262),2))</f>
        <v/>
      </c>
      <c r="K262" s="13" t="n"/>
      <c r="L262" s="13" t="n"/>
      <c r="M262" s="17">
        <f>IF($C262="","",IF(ISNA(MATCH($C262,项目名表,0)),"※项目不在项目台账里",IF($E262="※工作类型没选","※工作类型没选","")))</f>
        <v/>
      </c>
    </row>
    <row r="263">
      <c r="A263" s="17">
        <f>IF($C263="","",ROW()-3)</f>
        <v/>
      </c>
      <c r="B263" s="18" t="n"/>
      <c r="C263" s="13" t="n"/>
      <c r="D263" s="13" t="n"/>
      <c r="E263" s="17">
        <f>IF($C263="","",IFERROR(VLOOKUP($D263,工作归属,2,0),"※工作类型没选"))</f>
        <v/>
      </c>
      <c r="F263" s="13" t="n"/>
      <c r="G263" s="13" t="n"/>
      <c r="H263" s="20" t="n"/>
      <c r="I263" s="14" t="n"/>
      <c r="J263" s="19">
        <f>IF($C263="","",ROUND(IF($H263="",1,$H263)*N($I263),2))</f>
        <v/>
      </c>
      <c r="K263" s="13" t="n"/>
      <c r="L263" s="13" t="n"/>
      <c r="M263" s="17">
        <f>IF($C263="","",IF(ISNA(MATCH($C263,项目名表,0)),"※项目不在项目台账里",IF($E263="※工作类型没选","※工作类型没选","")))</f>
        <v/>
      </c>
    </row>
    <row r="264">
      <c r="A264" s="17">
        <f>IF($C264="","",ROW()-3)</f>
        <v/>
      </c>
      <c r="B264" s="18" t="n"/>
      <c r="C264" s="13" t="n"/>
      <c r="D264" s="13" t="n"/>
      <c r="E264" s="17">
        <f>IF($C264="","",IFERROR(VLOOKUP($D264,工作归属,2,0),"※工作类型没选"))</f>
        <v/>
      </c>
      <c r="F264" s="13" t="n"/>
      <c r="G264" s="13" t="n"/>
      <c r="H264" s="20" t="n"/>
      <c r="I264" s="14" t="n"/>
      <c r="J264" s="19">
        <f>IF($C264="","",ROUND(IF($H264="",1,$H264)*N($I264),2))</f>
        <v/>
      </c>
      <c r="K264" s="13" t="n"/>
      <c r="L264" s="13" t="n"/>
      <c r="M264" s="17">
        <f>IF($C264="","",IF(ISNA(MATCH($C264,项目名表,0)),"※项目不在项目台账里",IF($E264="※工作类型没选","※工作类型没选","")))</f>
        <v/>
      </c>
    </row>
    <row r="265">
      <c r="A265" s="17">
        <f>IF($C265="","",ROW()-3)</f>
        <v/>
      </c>
      <c r="B265" s="18" t="n"/>
      <c r="C265" s="13" t="n"/>
      <c r="D265" s="13" t="n"/>
      <c r="E265" s="17">
        <f>IF($C265="","",IFERROR(VLOOKUP($D265,工作归属,2,0),"※工作类型没选"))</f>
        <v/>
      </c>
      <c r="F265" s="13" t="n"/>
      <c r="G265" s="13" t="n"/>
      <c r="H265" s="20" t="n"/>
      <c r="I265" s="14" t="n"/>
      <c r="J265" s="19">
        <f>IF($C265="","",ROUND(IF($H265="",1,$H265)*N($I265),2))</f>
        <v/>
      </c>
      <c r="K265" s="13" t="n"/>
      <c r="L265" s="13" t="n"/>
      <c r="M265" s="17">
        <f>IF($C265="","",IF(ISNA(MATCH($C265,项目名表,0)),"※项目不在项目台账里",IF($E265="※工作类型没选","※工作类型没选","")))</f>
        <v/>
      </c>
    </row>
    <row r="266">
      <c r="A266" s="17">
        <f>IF($C266="","",ROW()-3)</f>
        <v/>
      </c>
      <c r="B266" s="18" t="n"/>
      <c r="C266" s="13" t="n"/>
      <c r="D266" s="13" t="n"/>
      <c r="E266" s="17">
        <f>IF($C266="","",IFERROR(VLOOKUP($D266,工作归属,2,0),"※工作类型没选"))</f>
        <v/>
      </c>
      <c r="F266" s="13" t="n"/>
      <c r="G266" s="13" t="n"/>
      <c r="H266" s="20" t="n"/>
      <c r="I266" s="14" t="n"/>
      <c r="J266" s="19">
        <f>IF($C266="","",ROUND(IF($H266="",1,$H266)*N($I266),2))</f>
        <v/>
      </c>
      <c r="K266" s="13" t="n"/>
      <c r="L266" s="13" t="n"/>
      <c r="M266" s="17">
        <f>IF($C266="","",IF(ISNA(MATCH($C266,项目名表,0)),"※项目不在项目台账里",IF($E266="※工作类型没选","※工作类型没选","")))</f>
        <v/>
      </c>
    </row>
    <row r="267">
      <c r="A267" s="17">
        <f>IF($C267="","",ROW()-3)</f>
        <v/>
      </c>
      <c r="B267" s="18" t="n"/>
      <c r="C267" s="13" t="n"/>
      <c r="D267" s="13" t="n"/>
      <c r="E267" s="17">
        <f>IF($C267="","",IFERROR(VLOOKUP($D267,工作归属,2,0),"※工作类型没选"))</f>
        <v/>
      </c>
      <c r="F267" s="13" t="n"/>
      <c r="G267" s="13" t="n"/>
      <c r="H267" s="20" t="n"/>
      <c r="I267" s="14" t="n"/>
      <c r="J267" s="19">
        <f>IF($C267="","",ROUND(IF($H267="",1,$H267)*N($I267),2))</f>
        <v/>
      </c>
      <c r="K267" s="13" t="n"/>
      <c r="L267" s="13" t="n"/>
      <c r="M267" s="17">
        <f>IF($C267="","",IF(ISNA(MATCH($C267,项目名表,0)),"※项目不在项目台账里",IF($E267="※工作类型没选","※工作类型没选","")))</f>
        <v/>
      </c>
    </row>
    <row r="268">
      <c r="A268" s="17">
        <f>IF($C268="","",ROW()-3)</f>
        <v/>
      </c>
      <c r="B268" s="18" t="n"/>
      <c r="C268" s="13" t="n"/>
      <c r="D268" s="13" t="n"/>
      <c r="E268" s="17">
        <f>IF($C268="","",IFERROR(VLOOKUP($D268,工作归属,2,0),"※工作类型没选"))</f>
        <v/>
      </c>
      <c r="F268" s="13" t="n"/>
      <c r="G268" s="13" t="n"/>
      <c r="H268" s="20" t="n"/>
      <c r="I268" s="14" t="n"/>
      <c r="J268" s="19">
        <f>IF($C268="","",ROUND(IF($H268="",1,$H268)*N($I268),2))</f>
        <v/>
      </c>
      <c r="K268" s="13" t="n"/>
      <c r="L268" s="13" t="n"/>
      <c r="M268" s="17">
        <f>IF($C268="","",IF(ISNA(MATCH($C268,项目名表,0)),"※项目不在项目台账里",IF($E268="※工作类型没选","※工作类型没选","")))</f>
        <v/>
      </c>
    </row>
    <row r="269">
      <c r="A269" s="17">
        <f>IF($C269="","",ROW()-3)</f>
        <v/>
      </c>
      <c r="B269" s="18" t="n"/>
      <c r="C269" s="13" t="n"/>
      <c r="D269" s="13" t="n"/>
      <c r="E269" s="17">
        <f>IF($C269="","",IFERROR(VLOOKUP($D269,工作归属,2,0),"※工作类型没选"))</f>
        <v/>
      </c>
      <c r="F269" s="13" t="n"/>
      <c r="G269" s="13" t="n"/>
      <c r="H269" s="20" t="n"/>
      <c r="I269" s="14" t="n"/>
      <c r="J269" s="19">
        <f>IF($C269="","",ROUND(IF($H269="",1,$H269)*N($I269),2))</f>
        <v/>
      </c>
      <c r="K269" s="13" t="n"/>
      <c r="L269" s="13" t="n"/>
      <c r="M269" s="17">
        <f>IF($C269="","",IF(ISNA(MATCH($C269,项目名表,0)),"※项目不在项目台账里",IF($E269="※工作类型没选","※工作类型没选","")))</f>
        <v/>
      </c>
    </row>
    <row r="270">
      <c r="A270" s="17">
        <f>IF($C270="","",ROW()-3)</f>
        <v/>
      </c>
      <c r="B270" s="18" t="n"/>
      <c r="C270" s="13" t="n"/>
      <c r="D270" s="13" t="n"/>
      <c r="E270" s="17">
        <f>IF($C270="","",IFERROR(VLOOKUP($D270,工作归属,2,0),"※工作类型没选"))</f>
        <v/>
      </c>
      <c r="F270" s="13" t="n"/>
      <c r="G270" s="13" t="n"/>
      <c r="H270" s="20" t="n"/>
      <c r="I270" s="14" t="n"/>
      <c r="J270" s="19">
        <f>IF($C270="","",ROUND(IF($H270="",1,$H270)*N($I270),2))</f>
        <v/>
      </c>
      <c r="K270" s="13" t="n"/>
      <c r="L270" s="13" t="n"/>
      <c r="M270" s="17">
        <f>IF($C270="","",IF(ISNA(MATCH($C270,项目名表,0)),"※项目不在项目台账里",IF($E270="※工作类型没选","※工作类型没选","")))</f>
        <v/>
      </c>
    </row>
    <row r="271">
      <c r="A271" s="17">
        <f>IF($C271="","",ROW()-3)</f>
        <v/>
      </c>
      <c r="B271" s="18" t="n"/>
      <c r="C271" s="13" t="n"/>
      <c r="D271" s="13" t="n"/>
      <c r="E271" s="17">
        <f>IF($C271="","",IFERROR(VLOOKUP($D271,工作归属,2,0),"※工作类型没选"))</f>
        <v/>
      </c>
      <c r="F271" s="13" t="n"/>
      <c r="G271" s="13" t="n"/>
      <c r="H271" s="20" t="n"/>
      <c r="I271" s="14" t="n"/>
      <c r="J271" s="19">
        <f>IF($C271="","",ROUND(IF($H271="",1,$H271)*N($I271),2))</f>
        <v/>
      </c>
      <c r="K271" s="13" t="n"/>
      <c r="L271" s="13" t="n"/>
      <c r="M271" s="17">
        <f>IF($C271="","",IF(ISNA(MATCH($C271,项目名表,0)),"※项目不在项目台账里",IF($E271="※工作类型没选","※工作类型没选","")))</f>
        <v/>
      </c>
    </row>
    <row r="272">
      <c r="A272" s="17">
        <f>IF($C272="","",ROW()-3)</f>
        <v/>
      </c>
      <c r="B272" s="18" t="n"/>
      <c r="C272" s="13" t="n"/>
      <c r="D272" s="13" t="n"/>
      <c r="E272" s="17">
        <f>IF($C272="","",IFERROR(VLOOKUP($D272,工作归属,2,0),"※工作类型没选"))</f>
        <v/>
      </c>
      <c r="F272" s="13" t="n"/>
      <c r="G272" s="13" t="n"/>
      <c r="H272" s="20" t="n"/>
      <c r="I272" s="14" t="n"/>
      <c r="J272" s="19">
        <f>IF($C272="","",ROUND(IF($H272="",1,$H272)*N($I272),2))</f>
        <v/>
      </c>
      <c r="K272" s="13" t="n"/>
      <c r="L272" s="13" t="n"/>
      <c r="M272" s="17">
        <f>IF($C272="","",IF(ISNA(MATCH($C272,项目名表,0)),"※项目不在项目台账里",IF($E272="※工作类型没选","※工作类型没选","")))</f>
        <v/>
      </c>
    </row>
    <row r="273">
      <c r="A273" s="17">
        <f>IF($C273="","",ROW()-3)</f>
        <v/>
      </c>
      <c r="B273" s="18" t="n"/>
      <c r="C273" s="13" t="n"/>
      <c r="D273" s="13" t="n"/>
      <c r="E273" s="17">
        <f>IF($C273="","",IFERROR(VLOOKUP($D273,工作归属,2,0),"※工作类型没选"))</f>
        <v/>
      </c>
      <c r="F273" s="13" t="n"/>
      <c r="G273" s="13" t="n"/>
      <c r="H273" s="20" t="n"/>
      <c r="I273" s="14" t="n"/>
      <c r="J273" s="19">
        <f>IF($C273="","",ROUND(IF($H273="",1,$H273)*N($I273),2))</f>
        <v/>
      </c>
      <c r="K273" s="13" t="n"/>
      <c r="L273" s="13" t="n"/>
      <c r="M273" s="17">
        <f>IF($C273="","",IF(ISNA(MATCH($C273,项目名表,0)),"※项目不在项目台账里",IF($E273="※工作类型没选","※工作类型没选","")))</f>
        <v/>
      </c>
    </row>
    <row r="274">
      <c r="A274" s="17">
        <f>IF($C274="","",ROW()-3)</f>
        <v/>
      </c>
      <c r="B274" s="18" t="n"/>
      <c r="C274" s="13" t="n"/>
      <c r="D274" s="13" t="n"/>
      <c r="E274" s="17">
        <f>IF($C274="","",IFERROR(VLOOKUP($D274,工作归属,2,0),"※工作类型没选"))</f>
        <v/>
      </c>
      <c r="F274" s="13" t="n"/>
      <c r="G274" s="13" t="n"/>
      <c r="H274" s="20" t="n"/>
      <c r="I274" s="14" t="n"/>
      <c r="J274" s="19">
        <f>IF($C274="","",ROUND(IF($H274="",1,$H274)*N($I274),2))</f>
        <v/>
      </c>
      <c r="K274" s="13" t="n"/>
      <c r="L274" s="13" t="n"/>
      <c r="M274" s="17">
        <f>IF($C274="","",IF(ISNA(MATCH($C274,项目名表,0)),"※项目不在项目台账里",IF($E274="※工作类型没选","※工作类型没选","")))</f>
        <v/>
      </c>
    </row>
    <row r="275">
      <c r="A275" s="17">
        <f>IF($C275="","",ROW()-3)</f>
        <v/>
      </c>
      <c r="B275" s="18" t="n"/>
      <c r="C275" s="13" t="n"/>
      <c r="D275" s="13" t="n"/>
      <c r="E275" s="17">
        <f>IF($C275="","",IFERROR(VLOOKUP($D275,工作归属,2,0),"※工作类型没选"))</f>
        <v/>
      </c>
      <c r="F275" s="13" t="n"/>
      <c r="G275" s="13" t="n"/>
      <c r="H275" s="20" t="n"/>
      <c r="I275" s="14" t="n"/>
      <c r="J275" s="19">
        <f>IF($C275="","",ROUND(IF($H275="",1,$H275)*N($I275),2))</f>
        <v/>
      </c>
      <c r="K275" s="13" t="n"/>
      <c r="L275" s="13" t="n"/>
      <c r="M275" s="17">
        <f>IF($C275="","",IF(ISNA(MATCH($C275,项目名表,0)),"※项目不在项目台账里",IF($E275="※工作类型没选","※工作类型没选","")))</f>
        <v/>
      </c>
    </row>
    <row r="276">
      <c r="A276" s="17">
        <f>IF($C276="","",ROW()-3)</f>
        <v/>
      </c>
      <c r="B276" s="18" t="n"/>
      <c r="C276" s="13" t="n"/>
      <c r="D276" s="13" t="n"/>
      <c r="E276" s="17">
        <f>IF($C276="","",IFERROR(VLOOKUP($D276,工作归属,2,0),"※工作类型没选"))</f>
        <v/>
      </c>
      <c r="F276" s="13" t="n"/>
      <c r="G276" s="13" t="n"/>
      <c r="H276" s="20" t="n"/>
      <c r="I276" s="14" t="n"/>
      <c r="J276" s="19">
        <f>IF($C276="","",ROUND(IF($H276="",1,$H276)*N($I276),2))</f>
        <v/>
      </c>
      <c r="K276" s="13" t="n"/>
      <c r="L276" s="13" t="n"/>
      <c r="M276" s="17">
        <f>IF($C276="","",IF(ISNA(MATCH($C276,项目名表,0)),"※项目不在项目台账里",IF($E276="※工作类型没选","※工作类型没选","")))</f>
        <v/>
      </c>
    </row>
    <row r="277">
      <c r="A277" s="17">
        <f>IF($C277="","",ROW()-3)</f>
        <v/>
      </c>
      <c r="B277" s="18" t="n"/>
      <c r="C277" s="13" t="n"/>
      <c r="D277" s="13" t="n"/>
      <c r="E277" s="17">
        <f>IF($C277="","",IFERROR(VLOOKUP($D277,工作归属,2,0),"※工作类型没选"))</f>
        <v/>
      </c>
      <c r="F277" s="13" t="n"/>
      <c r="G277" s="13" t="n"/>
      <c r="H277" s="20" t="n"/>
      <c r="I277" s="14" t="n"/>
      <c r="J277" s="19">
        <f>IF($C277="","",ROUND(IF($H277="",1,$H277)*N($I277),2))</f>
        <v/>
      </c>
      <c r="K277" s="13" t="n"/>
      <c r="L277" s="13" t="n"/>
      <c r="M277" s="17">
        <f>IF($C277="","",IF(ISNA(MATCH($C277,项目名表,0)),"※项目不在项目台账里",IF($E277="※工作类型没选","※工作类型没选","")))</f>
        <v/>
      </c>
    </row>
    <row r="278">
      <c r="A278" s="17">
        <f>IF($C278="","",ROW()-3)</f>
        <v/>
      </c>
      <c r="B278" s="18" t="n"/>
      <c r="C278" s="13" t="n"/>
      <c r="D278" s="13" t="n"/>
      <c r="E278" s="17">
        <f>IF($C278="","",IFERROR(VLOOKUP($D278,工作归属,2,0),"※工作类型没选"))</f>
        <v/>
      </c>
      <c r="F278" s="13" t="n"/>
      <c r="G278" s="13" t="n"/>
      <c r="H278" s="20" t="n"/>
      <c r="I278" s="14" t="n"/>
      <c r="J278" s="19">
        <f>IF($C278="","",ROUND(IF($H278="",1,$H278)*N($I278),2))</f>
        <v/>
      </c>
      <c r="K278" s="13" t="n"/>
      <c r="L278" s="13" t="n"/>
      <c r="M278" s="17">
        <f>IF($C278="","",IF(ISNA(MATCH($C278,项目名表,0)),"※项目不在项目台账里",IF($E278="※工作类型没选","※工作类型没选","")))</f>
        <v/>
      </c>
    </row>
    <row r="279">
      <c r="A279" s="17">
        <f>IF($C279="","",ROW()-3)</f>
        <v/>
      </c>
      <c r="B279" s="18" t="n"/>
      <c r="C279" s="13" t="n"/>
      <c r="D279" s="13" t="n"/>
      <c r="E279" s="17">
        <f>IF($C279="","",IFERROR(VLOOKUP($D279,工作归属,2,0),"※工作类型没选"))</f>
        <v/>
      </c>
      <c r="F279" s="13" t="n"/>
      <c r="G279" s="13" t="n"/>
      <c r="H279" s="20" t="n"/>
      <c r="I279" s="14" t="n"/>
      <c r="J279" s="19">
        <f>IF($C279="","",ROUND(IF($H279="",1,$H279)*N($I279),2))</f>
        <v/>
      </c>
      <c r="K279" s="13" t="n"/>
      <c r="L279" s="13" t="n"/>
      <c r="M279" s="17">
        <f>IF($C279="","",IF(ISNA(MATCH($C279,项目名表,0)),"※项目不在项目台账里",IF($E279="※工作类型没选","※工作类型没选","")))</f>
        <v/>
      </c>
    </row>
    <row r="280">
      <c r="A280" s="17">
        <f>IF($C280="","",ROW()-3)</f>
        <v/>
      </c>
      <c r="B280" s="18" t="n"/>
      <c r="C280" s="13" t="n"/>
      <c r="D280" s="13" t="n"/>
      <c r="E280" s="17">
        <f>IF($C280="","",IFERROR(VLOOKUP($D280,工作归属,2,0),"※工作类型没选"))</f>
        <v/>
      </c>
      <c r="F280" s="13" t="n"/>
      <c r="G280" s="13" t="n"/>
      <c r="H280" s="20" t="n"/>
      <c r="I280" s="14" t="n"/>
      <c r="J280" s="19">
        <f>IF($C280="","",ROUND(IF($H280="",1,$H280)*N($I280),2))</f>
        <v/>
      </c>
      <c r="K280" s="13" t="n"/>
      <c r="L280" s="13" t="n"/>
      <c r="M280" s="17">
        <f>IF($C280="","",IF(ISNA(MATCH($C280,项目名表,0)),"※项目不在项目台账里",IF($E280="※工作类型没选","※工作类型没选","")))</f>
        <v/>
      </c>
    </row>
    <row r="281">
      <c r="A281" s="17">
        <f>IF($C281="","",ROW()-3)</f>
        <v/>
      </c>
      <c r="B281" s="18" t="n"/>
      <c r="C281" s="13" t="n"/>
      <c r="D281" s="13" t="n"/>
      <c r="E281" s="17">
        <f>IF($C281="","",IFERROR(VLOOKUP($D281,工作归属,2,0),"※工作类型没选"))</f>
        <v/>
      </c>
      <c r="F281" s="13" t="n"/>
      <c r="G281" s="13" t="n"/>
      <c r="H281" s="20" t="n"/>
      <c r="I281" s="14" t="n"/>
      <c r="J281" s="19">
        <f>IF($C281="","",ROUND(IF($H281="",1,$H281)*N($I281),2))</f>
        <v/>
      </c>
      <c r="K281" s="13" t="n"/>
      <c r="L281" s="13" t="n"/>
      <c r="M281" s="17">
        <f>IF($C281="","",IF(ISNA(MATCH($C281,项目名表,0)),"※项目不在项目台账里",IF($E281="※工作类型没选","※工作类型没选","")))</f>
        <v/>
      </c>
    </row>
    <row r="282">
      <c r="A282" s="17">
        <f>IF($C282="","",ROW()-3)</f>
        <v/>
      </c>
      <c r="B282" s="18" t="n"/>
      <c r="C282" s="13" t="n"/>
      <c r="D282" s="13" t="n"/>
      <c r="E282" s="17">
        <f>IF($C282="","",IFERROR(VLOOKUP($D282,工作归属,2,0),"※工作类型没选"))</f>
        <v/>
      </c>
      <c r="F282" s="13" t="n"/>
      <c r="G282" s="13" t="n"/>
      <c r="H282" s="20" t="n"/>
      <c r="I282" s="14" t="n"/>
      <c r="J282" s="19">
        <f>IF($C282="","",ROUND(IF($H282="",1,$H282)*N($I282),2))</f>
        <v/>
      </c>
      <c r="K282" s="13" t="n"/>
      <c r="L282" s="13" t="n"/>
      <c r="M282" s="17">
        <f>IF($C282="","",IF(ISNA(MATCH($C282,项目名表,0)),"※项目不在项目台账里",IF($E282="※工作类型没选","※工作类型没选","")))</f>
        <v/>
      </c>
    </row>
    <row r="283">
      <c r="A283" s="17">
        <f>IF($C283="","",ROW()-3)</f>
        <v/>
      </c>
      <c r="B283" s="18" t="n"/>
      <c r="C283" s="13" t="n"/>
      <c r="D283" s="13" t="n"/>
      <c r="E283" s="17">
        <f>IF($C283="","",IFERROR(VLOOKUP($D283,工作归属,2,0),"※工作类型没选"))</f>
        <v/>
      </c>
      <c r="F283" s="13" t="n"/>
      <c r="G283" s="13" t="n"/>
      <c r="H283" s="20" t="n"/>
      <c r="I283" s="14" t="n"/>
      <c r="J283" s="19">
        <f>IF($C283="","",ROUND(IF($H283="",1,$H283)*N($I283),2))</f>
        <v/>
      </c>
      <c r="K283" s="13" t="n"/>
      <c r="L283" s="13" t="n"/>
      <c r="M283" s="17">
        <f>IF($C283="","",IF(ISNA(MATCH($C283,项目名表,0)),"※项目不在项目台账里",IF($E283="※工作类型没选","※工作类型没选","")))</f>
        <v/>
      </c>
    </row>
    <row r="284">
      <c r="A284" s="17">
        <f>IF($C284="","",ROW()-3)</f>
        <v/>
      </c>
      <c r="B284" s="18" t="n"/>
      <c r="C284" s="13" t="n"/>
      <c r="D284" s="13" t="n"/>
      <c r="E284" s="17">
        <f>IF($C284="","",IFERROR(VLOOKUP($D284,工作归属,2,0),"※工作类型没选"))</f>
        <v/>
      </c>
      <c r="F284" s="13" t="n"/>
      <c r="G284" s="13" t="n"/>
      <c r="H284" s="20" t="n"/>
      <c r="I284" s="14" t="n"/>
      <c r="J284" s="19">
        <f>IF($C284="","",ROUND(IF($H284="",1,$H284)*N($I284),2))</f>
        <v/>
      </c>
      <c r="K284" s="13" t="n"/>
      <c r="L284" s="13" t="n"/>
      <c r="M284" s="17">
        <f>IF($C284="","",IF(ISNA(MATCH($C284,项目名表,0)),"※项目不在项目台账里",IF($E284="※工作类型没选","※工作类型没选","")))</f>
        <v/>
      </c>
    </row>
    <row r="285">
      <c r="A285" s="17">
        <f>IF($C285="","",ROW()-3)</f>
        <v/>
      </c>
      <c r="B285" s="18" t="n"/>
      <c r="C285" s="13" t="n"/>
      <c r="D285" s="13" t="n"/>
      <c r="E285" s="17">
        <f>IF($C285="","",IFERROR(VLOOKUP($D285,工作归属,2,0),"※工作类型没选"))</f>
        <v/>
      </c>
      <c r="F285" s="13" t="n"/>
      <c r="G285" s="13" t="n"/>
      <c r="H285" s="20" t="n"/>
      <c r="I285" s="14" t="n"/>
      <c r="J285" s="19">
        <f>IF($C285="","",ROUND(IF($H285="",1,$H285)*N($I285),2))</f>
        <v/>
      </c>
      <c r="K285" s="13" t="n"/>
      <c r="L285" s="13" t="n"/>
      <c r="M285" s="17">
        <f>IF($C285="","",IF(ISNA(MATCH($C285,项目名表,0)),"※项目不在项目台账里",IF($E285="※工作类型没选","※工作类型没选","")))</f>
        <v/>
      </c>
    </row>
    <row r="286">
      <c r="A286" s="17">
        <f>IF($C286="","",ROW()-3)</f>
        <v/>
      </c>
      <c r="B286" s="18" t="n"/>
      <c r="C286" s="13" t="n"/>
      <c r="D286" s="13" t="n"/>
      <c r="E286" s="17">
        <f>IF($C286="","",IFERROR(VLOOKUP($D286,工作归属,2,0),"※工作类型没选"))</f>
        <v/>
      </c>
      <c r="F286" s="13" t="n"/>
      <c r="G286" s="13" t="n"/>
      <c r="H286" s="20" t="n"/>
      <c r="I286" s="14" t="n"/>
      <c r="J286" s="19">
        <f>IF($C286="","",ROUND(IF($H286="",1,$H286)*N($I286),2))</f>
        <v/>
      </c>
      <c r="K286" s="13" t="n"/>
      <c r="L286" s="13" t="n"/>
      <c r="M286" s="17">
        <f>IF($C286="","",IF(ISNA(MATCH($C286,项目名表,0)),"※项目不在项目台账里",IF($E286="※工作类型没选","※工作类型没选","")))</f>
        <v/>
      </c>
    </row>
    <row r="287">
      <c r="A287" s="17">
        <f>IF($C287="","",ROW()-3)</f>
        <v/>
      </c>
      <c r="B287" s="18" t="n"/>
      <c r="C287" s="13" t="n"/>
      <c r="D287" s="13" t="n"/>
      <c r="E287" s="17">
        <f>IF($C287="","",IFERROR(VLOOKUP($D287,工作归属,2,0),"※工作类型没选"))</f>
        <v/>
      </c>
      <c r="F287" s="13" t="n"/>
      <c r="G287" s="13" t="n"/>
      <c r="H287" s="20" t="n"/>
      <c r="I287" s="14" t="n"/>
      <c r="J287" s="19">
        <f>IF($C287="","",ROUND(IF($H287="",1,$H287)*N($I287),2))</f>
        <v/>
      </c>
      <c r="K287" s="13" t="n"/>
      <c r="L287" s="13" t="n"/>
      <c r="M287" s="17">
        <f>IF($C287="","",IF(ISNA(MATCH($C287,项目名表,0)),"※项目不在项目台账里",IF($E287="※工作类型没选","※工作类型没选","")))</f>
        <v/>
      </c>
    </row>
    <row r="288">
      <c r="A288" s="17">
        <f>IF($C288="","",ROW()-3)</f>
        <v/>
      </c>
      <c r="B288" s="18" t="n"/>
      <c r="C288" s="13" t="n"/>
      <c r="D288" s="13" t="n"/>
      <c r="E288" s="17">
        <f>IF($C288="","",IFERROR(VLOOKUP($D288,工作归属,2,0),"※工作类型没选"))</f>
        <v/>
      </c>
      <c r="F288" s="13" t="n"/>
      <c r="G288" s="13" t="n"/>
      <c r="H288" s="20" t="n"/>
      <c r="I288" s="14" t="n"/>
      <c r="J288" s="19">
        <f>IF($C288="","",ROUND(IF($H288="",1,$H288)*N($I288),2))</f>
        <v/>
      </c>
      <c r="K288" s="13" t="n"/>
      <c r="L288" s="13" t="n"/>
      <c r="M288" s="17">
        <f>IF($C288="","",IF(ISNA(MATCH($C288,项目名表,0)),"※项目不在项目台账里",IF($E288="※工作类型没选","※工作类型没选","")))</f>
        <v/>
      </c>
    </row>
    <row r="289">
      <c r="A289" s="17">
        <f>IF($C289="","",ROW()-3)</f>
        <v/>
      </c>
      <c r="B289" s="18" t="n"/>
      <c r="C289" s="13" t="n"/>
      <c r="D289" s="13" t="n"/>
      <c r="E289" s="17">
        <f>IF($C289="","",IFERROR(VLOOKUP($D289,工作归属,2,0),"※工作类型没选"))</f>
        <v/>
      </c>
      <c r="F289" s="13" t="n"/>
      <c r="G289" s="13" t="n"/>
      <c r="H289" s="20" t="n"/>
      <c r="I289" s="14" t="n"/>
      <c r="J289" s="19">
        <f>IF($C289="","",ROUND(IF($H289="",1,$H289)*N($I289),2))</f>
        <v/>
      </c>
      <c r="K289" s="13" t="n"/>
      <c r="L289" s="13" t="n"/>
      <c r="M289" s="17">
        <f>IF($C289="","",IF(ISNA(MATCH($C289,项目名表,0)),"※项目不在项目台账里",IF($E289="※工作类型没选","※工作类型没选","")))</f>
        <v/>
      </c>
    </row>
    <row r="290">
      <c r="A290" s="17">
        <f>IF($C290="","",ROW()-3)</f>
        <v/>
      </c>
      <c r="B290" s="18" t="n"/>
      <c r="C290" s="13" t="n"/>
      <c r="D290" s="13" t="n"/>
      <c r="E290" s="17">
        <f>IF($C290="","",IFERROR(VLOOKUP($D290,工作归属,2,0),"※工作类型没选"))</f>
        <v/>
      </c>
      <c r="F290" s="13" t="n"/>
      <c r="G290" s="13" t="n"/>
      <c r="H290" s="20" t="n"/>
      <c r="I290" s="14" t="n"/>
      <c r="J290" s="19">
        <f>IF($C290="","",ROUND(IF($H290="",1,$H290)*N($I290),2))</f>
        <v/>
      </c>
      <c r="K290" s="13" t="n"/>
      <c r="L290" s="13" t="n"/>
      <c r="M290" s="17">
        <f>IF($C290="","",IF(ISNA(MATCH($C290,项目名表,0)),"※项目不在项目台账里",IF($E290="※工作类型没选","※工作类型没选","")))</f>
        <v/>
      </c>
    </row>
    <row r="291">
      <c r="A291" s="17">
        <f>IF($C291="","",ROW()-3)</f>
        <v/>
      </c>
      <c r="B291" s="18" t="n"/>
      <c r="C291" s="13" t="n"/>
      <c r="D291" s="13" t="n"/>
      <c r="E291" s="17">
        <f>IF($C291="","",IFERROR(VLOOKUP($D291,工作归属,2,0),"※工作类型没选"))</f>
        <v/>
      </c>
      <c r="F291" s="13" t="n"/>
      <c r="G291" s="13" t="n"/>
      <c r="H291" s="20" t="n"/>
      <c r="I291" s="14" t="n"/>
      <c r="J291" s="19">
        <f>IF($C291="","",ROUND(IF($H291="",1,$H291)*N($I291),2))</f>
        <v/>
      </c>
      <c r="K291" s="13" t="n"/>
      <c r="L291" s="13" t="n"/>
      <c r="M291" s="17">
        <f>IF($C291="","",IF(ISNA(MATCH($C291,项目名表,0)),"※项目不在项目台账里",IF($E291="※工作类型没选","※工作类型没选","")))</f>
        <v/>
      </c>
    </row>
    <row r="292">
      <c r="A292" s="17">
        <f>IF($C292="","",ROW()-3)</f>
        <v/>
      </c>
      <c r="B292" s="18" t="n"/>
      <c r="C292" s="13" t="n"/>
      <c r="D292" s="13" t="n"/>
      <c r="E292" s="17">
        <f>IF($C292="","",IFERROR(VLOOKUP($D292,工作归属,2,0),"※工作类型没选"))</f>
        <v/>
      </c>
      <c r="F292" s="13" t="n"/>
      <c r="G292" s="13" t="n"/>
      <c r="H292" s="20" t="n"/>
      <c r="I292" s="14" t="n"/>
      <c r="J292" s="19">
        <f>IF($C292="","",ROUND(IF($H292="",1,$H292)*N($I292),2))</f>
        <v/>
      </c>
      <c r="K292" s="13" t="n"/>
      <c r="L292" s="13" t="n"/>
      <c r="M292" s="17">
        <f>IF($C292="","",IF(ISNA(MATCH($C292,项目名表,0)),"※项目不在项目台账里",IF($E292="※工作类型没选","※工作类型没选","")))</f>
        <v/>
      </c>
    </row>
    <row r="293">
      <c r="A293" s="17">
        <f>IF($C293="","",ROW()-3)</f>
        <v/>
      </c>
      <c r="B293" s="18" t="n"/>
      <c r="C293" s="13" t="n"/>
      <c r="D293" s="13" t="n"/>
      <c r="E293" s="17">
        <f>IF($C293="","",IFERROR(VLOOKUP($D293,工作归属,2,0),"※工作类型没选"))</f>
        <v/>
      </c>
      <c r="F293" s="13" t="n"/>
      <c r="G293" s="13" t="n"/>
      <c r="H293" s="20" t="n"/>
      <c r="I293" s="14" t="n"/>
      <c r="J293" s="19">
        <f>IF($C293="","",ROUND(IF($H293="",1,$H293)*N($I293),2))</f>
        <v/>
      </c>
      <c r="K293" s="13" t="n"/>
      <c r="L293" s="13" t="n"/>
      <c r="M293" s="17">
        <f>IF($C293="","",IF(ISNA(MATCH($C293,项目名表,0)),"※项目不在项目台账里",IF($E293="※工作类型没选","※工作类型没选","")))</f>
        <v/>
      </c>
    </row>
    <row r="294">
      <c r="A294" s="17">
        <f>IF($C294="","",ROW()-3)</f>
        <v/>
      </c>
      <c r="B294" s="18" t="n"/>
      <c r="C294" s="13" t="n"/>
      <c r="D294" s="13" t="n"/>
      <c r="E294" s="17">
        <f>IF($C294="","",IFERROR(VLOOKUP($D294,工作归属,2,0),"※工作类型没选"))</f>
        <v/>
      </c>
      <c r="F294" s="13" t="n"/>
      <c r="G294" s="13" t="n"/>
      <c r="H294" s="20" t="n"/>
      <c r="I294" s="14" t="n"/>
      <c r="J294" s="19">
        <f>IF($C294="","",ROUND(IF($H294="",1,$H294)*N($I294),2))</f>
        <v/>
      </c>
      <c r="K294" s="13" t="n"/>
      <c r="L294" s="13" t="n"/>
      <c r="M294" s="17">
        <f>IF($C294="","",IF(ISNA(MATCH($C294,项目名表,0)),"※项目不在项目台账里",IF($E294="※工作类型没选","※工作类型没选","")))</f>
        <v/>
      </c>
    </row>
    <row r="295">
      <c r="A295" s="17">
        <f>IF($C295="","",ROW()-3)</f>
        <v/>
      </c>
      <c r="B295" s="18" t="n"/>
      <c r="C295" s="13" t="n"/>
      <c r="D295" s="13" t="n"/>
      <c r="E295" s="17">
        <f>IF($C295="","",IFERROR(VLOOKUP($D295,工作归属,2,0),"※工作类型没选"))</f>
        <v/>
      </c>
      <c r="F295" s="13" t="n"/>
      <c r="G295" s="13" t="n"/>
      <c r="H295" s="20" t="n"/>
      <c r="I295" s="14" t="n"/>
      <c r="J295" s="19">
        <f>IF($C295="","",ROUND(IF($H295="",1,$H295)*N($I295),2))</f>
        <v/>
      </c>
      <c r="K295" s="13" t="n"/>
      <c r="L295" s="13" t="n"/>
      <c r="M295" s="17">
        <f>IF($C295="","",IF(ISNA(MATCH($C295,项目名表,0)),"※项目不在项目台账里",IF($E295="※工作类型没选","※工作类型没选","")))</f>
        <v/>
      </c>
    </row>
    <row r="296">
      <c r="A296" s="17">
        <f>IF($C296="","",ROW()-3)</f>
        <v/>
      </c>
      <c r="B296" s="18" t="n"/>
      <c r="C296" s="13" t="n"/>
      <c r="D296" s="13" t="n"/>
      <c r="E296" s="17">
        <f>IF($C296="","",IFERROR(VLOOKUP($D296,工作归属,2,0),"※工作类型没选"))</f>
        <v/>
      </c>
      <c r="F296" s="13" t="n"/>
      <c r="G296" s="13" t="n"/>
      <c r="H296" s="20" t="n"/>
      <c r="I296" s="14" t="n"/>
      <c r="J296" s="19">
        <f>IF($C296="","",ROUND(IF($H296="",1,$H296)*N($I296),2))</f>
        <v/>
      </c>
      <c r="K296" s="13" t="n"/>
      <c r="L296" s="13" t="n"/>
      <c r="M296" s="17">
        <f>IF($C296="","",IF(ISNA(MATCH($C296,项目名表,0)),"※项目不在项目台账里",IF($E296="※工作类型没选","※工作类型没选","")))</f>
        <v/>
      </c>
    </row>
    <row r="297">
      <c r="A297" s="17">
        <f>IF($C297="","",ROW()-3)</f>
        <v/>
      </c>
      <c r="B297" s="18" t="n"/>
      <c r="C297" s="13" t="n"/>
      <c r="D297" s="13" t="n"/>
      <c r="E297" s="17">
        <f>IF($C297="","",IFERROR(VLOOKUP($D297,工作归属,2,0),"※工作类型没选"))</f>
        <v/>
      </c>
      <c r="F297" s="13" t="n"/>
      <c r="G297" s="13" t="n"/>
      <c r="H297" s="20" t="n"/>
      <c r="I297" s="14" t="n"/>
      <c r="J297" s="19">
        <f>IF($C297="","",ROUND(IF($H297="",1,$H297)*N($I297),2))</f>
        <v/>
      </c>
      <c r="K297" s="13" t="n"/>
      <c r="L297" s="13" t="n"/>
      <c r="M297" s="17">
        <f>IF($C297="","",IF(ISNA(MATCH($C297,项目名表,0)),"※项目不在项目台账里",IF($E297="※工作类型没选","※工作类型没选","")))</f>
        <v/>
      </c>
    </row>
    <row r="298">
      <c r="A298" s="17">
        <f>IF($C298="","",ROW()-3)</f>
        <v/>
      </c>
      <c r="B298" s="18" t="n"/>
      <c r="C298" s="13" t="n"/>
      <c r="D298" s="13" t="n"/>
      <c r="E298" s="17">
        <f>IF($C298="","",IFERROR(VLOOKUP($D298,工作归属,2,0),"※工作类型没选"))</f>
        <v/>
      </c>
      <c r="F298" s="13" t="n"/>
      <c r="G298" s="13" t="n"/>
      <c r="H298" s="20" t="n"/>
      <c r="I298" s="14" t="n"/>
      <c r="J298" s="19">
        <f>IF($C298="","",ROUND(IF($H298="",1,$H298)*N($I298),2))</f>
        <v/>
      </c>
      <c r="K298" s="13" t="n"/>
      <c r="L298" s="13" t="n"/>
      <c r="M298" s="17">
        <f>IF($C298="","",IF(ISNA(MATCH($C298,项目名表,0)),"※项目不在项目台账里",IF($E298="※工作类型没选","※工作类型没选","")))</f>
        <v/>
      </c>
    </row>
    <row r="299">
      <c r="A299" s="17">
        <f>IF($C299="","",ROW()-3)</f>
        <v/>
      </c>
      <c r="B299" s="18" t="n"/>
      <c r="C299" s="13" t="n"/>
      <c r="D299" s="13" t="n"/>
      <c r="E299" s="17">
        <f>IF($C299="","",IFERROR(VLOOKUP($D299,工作归属,2,0),"※工作类型没选"))</f>
        <v/>
      </c>
      <c r="F299" s="13" t="n"/>
      <c r="G299" s="13" t="n"/>
      <c r="H299" s="20" t="n"/>
      <c r="I299" s="14" t="n"/>
      <c r="J299" s="19">
        <f>IF($C299="","",ROUND(IF($H299="",1,$H299)*N($I299),2))</f>
        <v/>
      </c>
      <c r="K299" s="13" t="n"/>
      <c r="L299" s="13" t="n"/>
      <c r="M299" s="17">
        <f>IF($C299="","",IF(ISNA(MATCH($C299,项目名表,0)),"※项目不在项目台账里",IF($E299="※工作类型没选","※工作类型没选","")))</f>
        <v/>
      </c>
    </row>
    <row r="300">
      <c r="A300" s="17">
        <f>IF($C300="","",ROW()-3)</f>
        <v/>
      </c>
      <c r="B300" s="18" t="n"/>
      <c r="C300" s="13" t="n"/>
      <c r="D300" s="13" t="n"/>
      <c r="E300" s="17">
        <f>IF($C300="","",IFERROR(VLOOKUP($D300,工作归属,2,0),"※工作类型没选"))</f>
        <v/>
      </c>
      <c r="F300" s="13" t="n"/>
      <c r="G300" s="13" t="n"/>
      <c r="H300" s="20" t="n"/>
      <c r="I300" s="14" t="n"/>
      <c r="J300" s="19">
        <f>IF($C300="","",ROUND(IF($H300="",1,$H300)*N($I300),2))</f>
        <v/>
      </c>
      <c r="K300" s="13" t="n"/>
      <c r="L300" s="13" t="n"/>
      <c r="M300" s="17">
        <f>IF($C300="","",IF(ISNA(MATCH($C300,项目名表,0)),"※项目不在项目台账里",IF($E300="※工作类型没选","※工作类型没选","")))</f>
        <v/>
      </c>
    </row>
    <row r="301">
      <c r="A301" s="17">
        <f>IF($C301="","",ROW()-3)</f>
        <v/>
      </c>
      <c r="B301" s="18" t="n"/>
      <c r="C301" s="13" t="n"/>
      <c r="D301" s="13" t="n"/>
      <c r="E301" s="17">
        <f>IF($C301="","",IFERROR(VLOOKUP($D301,工作归属,2,0),"※工作类型没选"))</f>
        <v/>
      </c>
      <c r="F301" s="13" t="n"/>
      <c r="G301" s="13" t="n"/>
      <c r="H301" s="20" t="n"/>
      <c r="I301" s="14" t="n"/>
      <c r="J301" s="19">
        <f>IF($C301="","",ROUND(IF($H301="",1,$H301)*N($I301),2))</f>
        <v/>
      </c>
      <c r="K301" s="13" t="n"/>
      <c r="L301" s="13" t="n"/>
      <c r="M301" s="17">
        <f>IF($C301="","",IF(ISNA(MATCH($C301,项目名表,0)),"※项目不在项目台账里",IF($E301="※工作类型没选","※工作类型没选","")))</f>
        <v/>
      </c>
    </row>
    <row r="302">
      <c r="A302" s="17">
        <f>IF($C302="","",ROW()-3)</f>
        <v/>
      </c>
      <c r="B302" s="18" t="n"/>
      <c r="C302" s="13" t="n"/>
      <c r="D302" s="13" t="n"/>
      <c r="E302" s="17">
        <f>IF($C302="","",IFERROR(VLOOKUP($D302,工作归属,2,0),"※工作类型没选"))</f>
        <v/>
      </c>
      <c r="F302" s="13" t="n"/>
      <c r="G302" s="13" t="n"/>
      <c r="H302" s="20" t="n"/>
      <c r="I302" s="14" t="n"/>
      <c r="J302" s="19">
        <f>IF($C302="","",ROUND(IF($H302="",1,$H302)*N($I302),2))</f>
        <v/>
      </c>
      <c r="K302" s="13" t="n"/>
      <c r="L302" s="13" t="n"/>
      <c r="M302" s="17">
        <f>IF($C302="","",IF(ISNA(MATCH($C302,项目名表,0)),"※项目不在项目台账里",IF($E302="※工作类型没选","※工作类型没选","")))</f>
        <v/>
      </c>
    </row>
    <row r="303">
      <c r="A303" s="17">
        <f>IF($C303="","",ROW()-3)</f>
        <v/>
      </c>
      <c r="B303" s="18" t="n"/>
      <c r="C303" s="13" t="n"/>
      <c r="D303" s="13" t="n"/>
      <c r="E303" s="17">
        <f>IF($C303="","",IFERROR(VLOOKUP($D303,工作归属,2,0),"※工作类型没选"))</f>
        <v/>
      </c>
      <c r="F303" s="13" t="n"/>
      <c r="G303" s="13" t="n"/>
      <c r="H303" s="20" t="n"/>
      <c r="I303" s="14" t="n"/>
      <c r="J303" s="19">
        <f>IF($C303="","",ROUND(IF($H303="",1,$H303)*N($I303),2))</f>
        <v/>
      </c>
      <c r="K303" s="13" t="n"/>
      <c r="L303" s="13" t="n"/>
      <c r="M303" s="17">
        <f>IF($C303="","",IF(ISNA(MATCH($C303,项目名表,0)),"※项目不在项目台账里",IF($E303="※工作类型没选","※工作类型没选","")))</f>
        <v/>
      </c>
    </row>
    <row r="304">
      <c r="A304" s="17">
        <f>IF($C304="","",ROW()-3)</f>
        <v/>
      </c>
      <c r="B304" s="18" t="n"/>
      <c r="C304" s="13" t="n"/>
      <c r="D304" s="13" t="n"/>
      <c r="E304" s="17">
        <f>IF($C304="","",IFERROR(VLOOKUP($D304,工作归属,2,0),"※工作类型没选"))</f>
        <v/>
      </c>
      <c r="F304" s="13" t="n"/>
      <c r="G304" s="13" t="n"/>
      <c r="H304" s="20" t="n"/>
      <c r="I304" s="14" t="n"/>
      <c r="J304" s="19">
        <f>IF($C304="","",ROUND(IF($H304="",1,$H304)*N($I304),2))</f>
        <v/>
      </c>
      <c r="K304" s="13" t="n"/>
      <c r="L304" s="13" t="n"/>
      <c r="M304" s="17">
        <f>IF($C304="","",IF(ISNA(MATCH($C304,项目名表,0)),"※项目不在项目台账里",IF($E304="※工作类型没选","※工作类型没选","")))</f>
        <v/>
      </c>
    </row>
    <row r="305">
      <c r="A305" s="17">
        <f>IF($C305="","",ROW()-3)</f>
        <v/>
      </c>
      <c r="B305" s="18" t="n"/>
      <c r="C305" s="13" t="n"/>
      <c r="D305" s="13" t="n"/>
      <c r="E305" s="17">
        <f>IF($C305="","",IFERROR(VLOOKUP($D305,工作归属,2,0),"※工作类型没选"))</f>
        <v/>
      </c>
      <c r="F305" s="13" t="n"/>
      <c r="G305" s="13" t="n"/>
      <c r="H305" s="20" t="n"/>
      <c r="I305" s="14" t="n"/>
      <c r="J305" s="19">
        <f>IF($C305="","",ROUND(IF($H305="",1,$H305)*N($I305),2))</f>
        <v/>
      </c>
      <c r="K305" s="13" t="n"/>
      <c r="L305" s="13" t="n"/>
      <c r="M305" s="17">
        <f>IF($C305="","",IF(ISNA(MATCH($C305,项目名表,0)),"※项目不在项目台账里",IF($E305="※工作类型没选","※工作类型没选","")))</f>
        <v/>
      </c>
    </row>
    <row r="306">
      <c r="A306" s="17">
        <f>IF($C306="","",ROW()-3)</f>
        <v/>
      </c>
      <c r="B306" s="18" t="n"/>
      <c r="C306" s="13" t="n"/>
      <c r="D306" s="13" t="n"/>
      <c r="E306" s="17">
        <f>IF($C306="","",IFERROR(VLOOKUP($D306,工作归属,2,0),"※工作类型没选"))</f>
        <v/>
      </c>
      <c r="F306" s="13" t="n"/>
      <c r="G306" s="13" t="n"/>
      <c r="H306" s="20" t="n"/>
      <c r="I306" s="14" t="n"/>
      <c r="J306" s="19">
        <f>IF($C306="","",ROUND(IF($H306="",1,$H306)*N($I306),2))</f>
        <v/>
      </c>
      <c r="K306" s="13" t="n"/>
      <c r="L306" s="13" t="n"/>
      <c r="M306" s="17">
        <f>IF($C306="","",IF(ISNA(MATCH($C306,项目名表,0)),"※项目不在项目台账里",IF($E306="※工作类型没选","※工作类型没选","")))</f>
        <v/>
      </c>
    </row>
    <row r="307">
      <c r="A307" s="17">
        <f>IF($C307="","",ROW()-3)</f>
        <v/>
      </c>
      <c r="B307" s="18" t="n"/>
      <c r="C307" s="13" t="n"/>
      <c r="D307" s="13" t="n"/>
      <c r="E307" s="17">
        <f>IF($C307="","",IFERROR(VLOOKUP($D307,工作归属,2,0),"※工作类型没选"))</f>
        <v/>
      </c>
      <c r="F307" s="13" t="n"/>
      <c r="G307" s="13" t="n"/>
      <c r="H307" s="20" t="n"/>
      <c r="I307" s="14" t="n"/>
      <c r="J307" s="19">
        <f>IF($C307="","",ROUND(IF($H307="",1,$H307)*N($I307),2))</f>
        <v/>
      </c>
      <c r="K307" s="13" t="n"/>
      <c r="L307" s="13" t="n"/>
      <c r="M307" s="17">
        <f>IF($C307="","",IF(ISNA(MATCH($C307,项目名表,0)),"※项目不在项目台账里",IF($E307="※工作类型没选","※工作类型没选","")))</f>
        <v/>
      </c>
    </row>
    <row r="308">
      <c r="A308" s="17">
        <f>IF($C308="","",ROW()-3)</f>
        <v/>
      </c>
      <c r="B308" s="18" t="n"/>
      <c r="C308" s="13" t="n"/>
      <c r="D308" s="13" t="n"/>
      <c r="E308" s="17">
        <f>IF($C308="","",IFERROR(VLOOKUP($D308,工作归属,2,0),"※工作类型没选"))</f>
        <v/>
      </c>
      <c r="F308" s="13" t="n"/>
      <c r="G308" s="13" t="n"/>
      <c r="H308" s="20" t="n"/>
      <c r="I308" s="14" t="n"/>
      <c r="J308" s="19">
        <f>IF($C308="","",ROUND(IF($H308="",1,$H308)*N($I308),2))</f>
        <v/>
      </c>
      <c r="K308" s="13" t="n"/>
      <c r="L308" s="13" t="n"/>
      <c r="M308" s="17">
        <f>IF($C308="","",IF(ISNA(MATCH($C308,项目名表,0)),"※项目不在项目台账里",IF($E308="※工作类型没选","※工作类型没选","")))</f>
        <v/>
      </c>
    </row>
    <row r="309">
      <c r="A309" s="17">
        <f>IF($C309="","",ROW()-3)</f>
        <v/>
      </c>
      <c r="B309" s="18" t="n"/>
      <c r="C309" s="13" t="n"/>
      <c r="D309" s="13" t="n"/>
      <c r="E309" s="17">
        <f>IF($C309="","",IFERROR(VLOOKUP($D309,工作归属,2,0),"※工作类型没选"))</f>
        <v/>
      </c>
      <c r="F309" s="13" t="n"/>
      <c r="G309" s="13" t="n"/>
      <c r="H309" s="20" t="n"/>
      <c r="I309" s="14" t="n"/>
      <c r="J309" s="19">
        <f>IF($C309="","",ROUND(IF($H309="",1,$H309)*N($I309),2))</f>
        <v/>
      </c>
      <c r="K309" s="13" t="n"/>
      <c r="L309" s="13" t="n"/>
      <c r="M309" s="17">
        <f>IF($C309="","",IF(ISNA(MATCH($C309,项目名表,0)),"※项目不在项目台账里",IF($E309="※工作类型没选","※工作类型没选","")))</f>
        <v/>
      </c>
    </row>
    <row r="310">
      <c r="A310" s="17">
        <f>IF($C310="","",ROW()-3)</f>
        <v/>
      </c>
      <c r="B310" s="18" t="n"/>
      <c r="C310" s="13" t="n"/>
      <c r="D310" s="13" t="n"/>
      <c r="E310" s="17">
        <f>IF($C310="","",IFERROR(VLOOKUP($D310,工作归属,2,0),"※工作类型没选"))</f>
        <v/>
      </c>
      <c r="F310" s="13" t="n"/>
      <c r="G310" s="13" t="n"/>
      <c r="H310" s="20" t="n"/>
      <c r="I310" s="14" t="n"/>
      <c r="J310" s="19">
        <f>IF($C310="","",ROUND(IF($H310="",1,$H310)*N($I310),2))</f>
        <v/>
      </c>
      <c r="K310" s="13" t="n"/>
      <c r="L310" s="13" t="n"/>
      <c r="M310" s="17">
        <f>IF($C310="","",IF(ISNA(MATCH($C310,项目名表,0)),"※项目不在项目台账里",IF($E310="※工作类型没选","※工作类型没选","")))</f>
        <v/>
      </c>
    </row>
    <row r="311">
      <c r="A311" s="17">
        <f>IF($C311="","",ROW()-3)</f>
        <v/>
      </c>
      <c r="B311" s="18" t="n"/>
      <c r="C311" s="13" t="n"/>
      <c r="D311" s="13" t="n"/>
      <c r="E311" s="17">
        <f>IF($C311="","",IFERROR(VLOOKUP($D311,工作归属,2,0),"※工作类型没选"))</f>
        <v/>
      </c>
      <c r="F311" s="13" t="n"/>
      <c r="G311" s="13" t="n"/>
      <c r="H311" s="20" t="n"/>
      <c r="I311" s="14" t="n"/>
      <c r="J311" s="19">
        <f>IF($C311="","",ROUND(IF($H311="",1,$H311)*N($I311),2))</f>
        <v/>
      </c>
      <c r="K311" s="13" t="n"/>
      <c r="L311" s="13" t="n"/>
      <c r="M311" s="17">
        <f>IF($C311="","",IF(ISNA(MATCH($C311,项目名表,0)),"※项目不在项目台账里",IF($E311="※工作类型没选","※工作类型没选","")))</f>
        <v/>
      </c>
    </row>
    <row r="312">
      <c r="A312" s="17">
        <f>IF($C312="","",ROW()-3)</f>
        <v/>
      </c>
      <c r="B312" s="18" t="n"/>
      <c r="C312" s="13" t="n"/>
      <c r="D312" s="13" t="n"/>
      <c r="E312" s="17">
        <f>IF($C312="","",IFERROR(VLOOKUP($D312,工作归属,2,0),"※工作类型没选"))</f>
        <v/>
      </c>
      <c r="F312" s="13" t="n"/>
      <c r="G312" s="13" t="n"/>
      <c r="H312" s="20" t="n"/>
      <c r="I312" s="14" t="n"/>
      <c r="J312" s="19">
        <f>IF($C312="","",ROUND(IF($H312="",1,$H312)*N($I312),2))</f>
        <v/>
      </c>
      <c r="K312" s="13" t="n"/>
      <c r="L312" s="13" t="n"/>
      <c r="M312" s="17">
        <f>IF($C312="","",IF(ISNA(MATCH($C312,项目名表,0)),"※项目不在项目台账里",IF($E312="※工作类型没选","※工作类型没选","")))</f>
        <v/>
      </c>
    </row>
    <row r="313">
      <c r="A313" s="17">
        <f>IF($C313="","",ROW()-3)</f>
        <v/>
      </c>
      <c r="B313" s="18" t="n"/>
      <c r="C313" s="13" t="n"/>
      <c r="D313" s="13" t="n"/>
      <c r="E313" s="17">
        <f>IF($C313="","",IFERROR(VLOOKUP($D313,工作归属,2,0),"※工作类型没选"))</f>
        <v/>
      </c>
      <c r="F313" s="13" t="n"/>
      <c r="G313" s="13" t="n"/>
      <c r="H313" s="20" t="n"/>
      <c r="I313" s="14" t="n"/>
      <c r="J313" s="19">
        <f>IF($C313="","",ROUND(IF($H313="",1,$H313)*N($I313),2))</f>
        <v/>
      </c>
      <c r="K313" s="13" t="n"/>
      <c r="L313" s="13" t="n"/>
      <c r="M313" s="17">
        <f>IF($C313="","",IF(ISNA(MATCH($C313,项目名表,0)),"※项目不在项目台账里",IF($E313="※工作类型没选","※工作类型没选","")))</f>
        <v/>
      </c>
    </row>
    <row r="314">
      <c r="A314" s="17">
        <f>IF($C314="","",ROW()-3)</f>
        <v/>
      </c>
      <c r="B314" s="18" t="n"/>
      <c r="C314" s="13" t="n"/>
      <c r="D314" s="13" t="n"/>
      <c r="E314" s="17">
        <f>IF($C314="","",IFERROR(VLOOKUP($D314,工作归属,2,0),"※工作类型没选"))</f>
        <v/>
      </c>
      <c r="F314" s="13" t="n"/>
      <c r="G314" s="13" t="n"/>
      <c r="H314" s="20" t="n"/>
      <c r="I314" s="14" t="n"/>
      <c r="J314" s="19">
        <f>IF($C314="","",ROUND(IF($H314="",1,$H314)*N($I314),2))</f>
        <v/>
      </c>
      <c r="K314" s="13" t="n"/>
      <c r="L314" s="13" t="n"/>
      <c r="M314" s="17">
        <f>IF($C314="","",IF(ISNA(MATCH($C314,项目名表,0)),"※项目不在项目台账里",IF($E314="※工作类型没选","※工作类型没选","")))</f>
        <v/>
      </c>
    </row>
    <row r="315">
      <c r="A315" s="17">
        <f>IF($C315="","",ROW()-3)</f>
        <v/>
      </c>
      <c r="B315" s="18" t="n"/>
      <c r="C315" s="13" t="n"/>
      <c r="D315" s="13" t="n"/>
      <c r="E315" s="17">
        <f>IF($C315="","",IFERROR(VLOOKUP($D315,工作归属,2,0),"※工作类型没选"))</f>
        <v/>
      </c>
      <c r="F315" s="13" t="n"/>
      <c r="G315" s="13" t="n"/>
      <c r="H315" s="20" t="n"/>
      <c r="I315" s="14" t="n"/>
      <c r="J315" s="19">
        <f>IF($C315="","",ROUND(IF($H315="",1,$H315)*N($I315),2))</f>
        <v/>
      </c>
      <c r="K315" s="13" t="n"/>
      <c r="L315" s="13" t="n"/>
      <c r="M315" s="17">
        <f>IF($C315="","",IF(ISNA(MATCH($C315,项目名表,0)),"※项目不在项目台账里",IF($E315="※工作类型没选","※工作类型没选","")))</f>
        <v/>
      </c>
    </row>
    <row r="316">
      <c r="A316" s="17">
        <f>IF($C316="","",ROW()-3)</f>
        <v/>
      </c>
      <c r="B316" s="18" t="n"/>
      <c r="C316" s="13" t="n"/>
      <c r="D316" s="13" t="n"/>
      <c r="E316" s="17">
        <f>IF($C316="","",IFERROR(VLOOKUP($D316,工作归属,2,0),"※工作类型没选"))</f>
        <v/>
      </c>
      <c r="F316" s="13" t="n"/>
      <c r="G316" s="13" t="n"/>
      <c r="H316" s="20" t="n"/>
      <c r="I316" s="14" t="n"/>
      <c r="J316" s="19">
        <f>IF($C316="","",ROUND(IF($H316="",1,$H316)*N($I316),2))</f>
        <v/>
      </c>
      <c r="K316" s="13" t="n"/>
      <c r="L316" s="13" t="n"/>
      <c r="M316" s="17">
        <f>IF($C316="","",IF(ISNA(MATCH($C316,项目名表,0)),"※项目不在项目台账里",IF($E316="※工作类型没选","※工作类型没选","")))</f>
        <v/>
      </c>
    </row>
    <row r="317">
      <c r="A317" s="17">
        <f>IF($C317="","",ROW()-3)</f>
        <v/>
      </c>
      <c r="B317" s="18" t="n"/>
      <c r="C317" s="13" t="n"/>
      <c r="D317" s="13" t="n"/>
      <c r="E317" s="17">
        <f>IF($C317="","",IFERROR(VLOOKUP($D317,工作归属,2,0),"※工作类型没选"))</f>
        <v/>
      </c>
      <c r="F317" s="13" t="n"/>
      <c r="G317" s="13" t="n"/>
      <c r="H317" s="20" t="n"/>
      <c r="I317" s="14" t="n"/>
      <c r="J317" s="19">
        <f>IF($C317="","",ROUND(IF($H317="",1,$H317)*N($I317),2))</f>
        <v/>
      </c>
      <c r="K317" s="13" t="n"/>
      <c r="L317" s="13" t="n"/>
      <c r="M317" s="17">
        <f>IF($C317="","",IF(ISNA(MATCH($C317,项目名表,0)),"※项目不在项目台账里",IF($E317="※工作类型没选","※工作类型没选","")))</f>
        <v/>
      </c>
    </row>
    <row r="318">
      <c r="A318" s="17">
        <f>IF($C318="","",ROW()-3)</f>
        <v/>
      </c>
      <c r="B318" s="18" t="n"/>
      <c r="C318" s="13" t="n"/>
      <c r="D318" s="13" t="n"/>
      <c r="E318" s="17">
        <f>IF($C318="","",IFERROR(VLOOKUP($D318,工作归属,2,0),"※工作类型没选"))</f>
        <v/>
      </c>
      <c r="F318" s="13" t="n"/>
      <c r="G318" s="13" t="n"/>
      <c r="H318" s="20" t="n"/>
      <c r="I318" s="14" t="n"/>
      <c r="J318" s="19">
        <f>IF($C318="","",ROUND(IF($H318="",1,$H318)*N($I318),2))</f>
        <v/>
      </c>
      <c r="K318" s="13" t="n"/>
      <c r="L318" s="13" t="n"/>
      <c r="M318" s="17">
        <f>IF($C318="","",IF(ISNA(MATCH($C318,项目名表,0)),"※项目不在项目台账里",IF($E318="※工作类型没选","※工作类型没选","")))</f>
        <v/>
      </c>
    </row>
    <row r="319">
      <c r="A319" s="17">
        <f>IF($C319="","",ROW()-3)</f>
        <v/>
      </c>
      <c r="B319" s="18" t="n"/>
      <c r="C319" s="13" t="n"/>
      <c r="D319" s="13" t="n"/>
      <c r="E319" s="17">
        <f>IF($C319="","",IFERROR(VLOOKUP($D319,工作归属,2,0),"※工作类型没选"))</f>
        <v/>
      </c>
      <c r="F319" s="13" t="n"/>
      <c r="G319" s="13" t="n"/>
      <c r="H319" s="20" t="n"/>
      <c r="I319" s="14" t="n"/>
      <c r="J319" s="19">
        <f>IF($C319="","",ROUND(IF($H319="",1,$H319)*N($I319),2))</f>
        <v/>
      </c>
      <c r="K319" s="13" t="n"/>
      <c r="L319" s="13" t="n"/>
      <c r="M319" s="17">
        <f>IF($C319="","",IF(ISNA(MATCH($C319,项目名表,0)),"※项目不在项目台账里",IF($E319="※工作类型没选","※工作类型没选","")))</f>
        <v/>
      </c>
    </row>
    <row r="320">
      <c r="A320" s="17">
        <f>IF($C320="","",ROW()-3)</f>
        <v/>
      </c>
      <c r="B320" s="18" t="n"/>
      <c r="C320" s="13" t="n"/>
      <c r="D320" s="13" t="n"/>
      <c r="E320" s="17">
        <f>IF($C320="","",IFERROR(VLOOKUP($D320,工作归属,2,0),"※工作类型没选"))</f>
        <v/>
      </c>
      <c r="F320" s="13" t="n"/>
      <c r="G320" s="13" t="n"/>
      <c r="H320" s="20" t="n"/>
      <c r="I320" s="14" t="n"/>
      <c r="J320" s="19">
        <f>IF($C320="","",ROUND(IF($H320="",1,$H320)*N($I320),2))</f>
        <v/>
      </c>
      <c r="K320" s="13" t="n"/>
      <c r="L320" s="13" t="n"/>
      <c r="M320" s="17">
        <f>IF($C320="","",IF(ISNA(MATCH($C320,项目名表,0)),"※项目不在项目台账里",IF($E320="※工作类型没选","※工作类型没选","")))</f>
        <v/>
      </c>
    </row>
    <row r="321">
      <c r="A321" s="17">
        <f>IF($C321="","",ROW()-3)</f>
        <v/>
      </c>
      <c r="B321" s="18" t="n"/>
      <c r="C321" s="13" t="n"/>
      <c r="D321" s="13" t="n"/>
      <c r="E321" s="17">
        <f>IF($C321="","",IFERROR(VLOOKUP($D321,工作归属,2,0),"※工作类型没选"))</f>
        <v/>
      </c>
      <c r="F321" s="13" t="n"/>
      <c r="G321" s="13" t="n"/>
      <c r="H321" s="20" t="n"/>
      <c r="I321" s="14" t="n"/>
      <c r="J321" s="19">
        <f>IF($C321="","",ROUND(IF($H321="",1,$H321)*N($I321),2))</f>
        <v/>
      </c>
      <c r="K321" s="13" t="n"/>
      <c r="L321" s="13" t="n"/>
      <c r="M321" s="17">
        <f>IF($C321="","",IF(ISNA(MATCH($C321,项目名表,0)),"※项目不在项目台账里",IF($E321="※工作类型没选","※工作类型没选","")))</f>
        <v/>
      </c>
    </row>
    <row r="322">
      <c r="A322" s="17">
        <f>IF($C322="","",ROW()-3)</f>
        <v/>
      </c>
      <c r="B322" s="18" t="n"/>
      <c r="C322" s="13" t="n"/>
      <c r="D322" s="13" t="n"/>
      <c r="E322" s="17">
        <f>IF($C322="","",IFERROR(VLOOKUP($D322,工作归属,2,0),"※工作类型没选"))</f>
        <v/>
      </c>
      <c r="F322" s="13" t="n"/>
      <c r="G322" s="13" t="n"/>
      <c r="H322" s="20" t="n"/>
      <c r="I322" s="14" t="n"/>
      <c r="J322" s="19">
        <f>IF($C322="","",ROUND(IF($H322="",1,$H322)*N($I322),2))</f>
        <v/>
      </c>
      <c r="K322" s="13" t="n"/>
      <c r="L322" s="13" t="n"/>
      <c r="M322" s="17">
        <f>IF($C322="","",IF(ISNA(MATCH($C322,项目名表,0)),"※项目不在项目台账里",IF($E322="※工作类型没选","※工作类型没选","")))</f>
        <v/>
      </c>
    </row>
    <row r="323">
      <c r="A323" s="17">
        <f>IF($C323="","",ROW()-3)</f>
        <v/>
      </c>
      <c r="B323" s="18" t="n"/>
      <c r="C323" s="13" t="n"/>
      <c r="D323" s="13" t="n"/>
      <c r="E323" s="17">
        <f>IF($C323="","",IFERROR(VLOOKUP($D323,工作归属,2,0),"※工作类型没选"))</f>
        <v/>
      </c>
      <c r="F323" s="13" t="n"/>
      <c r="G323" s="13" t="n"/>
      <c r="H323" s="20" t="n"/>
      <c r="I323" s="14" t="n"/>
      <c r="J323" s="19">
        <f>IF($C323="","",ROUND(IF($H323="",1,$H323)*N($I323),2))</f>
        <v/>
      </c>
      <c r="K323" s="13" t="n"/>
      <c r="L323" s="13" t="n"/>
      <c r="M323" s="17">
        <f>IF($C323="","",IF(ISNA(MATCH($C323,项目名表,0)),"※项目不在项目台账里",IF($E323="※工作类型没选","※工作类型没选","")))</f>
        <v/>
      </c>
    </row>
    <row r="324">
      <c r="A324" s="17">
        <f>IF($C324="","",ROW()-3)</f>
        <v/>
      </c>
      <c r="B324" s="18" t="n"/>
      <c r="C324" s="13" t="n"/>
      <c r="D324" s="13" t="n"/>
      <c r="E324" s="17">
        <f>IF($C324="","",IFERROR(VLOOKUP($D324,工作归属,2,0),"※工作类型没选"))</f>
        <v/>
      </c>
      <c r="F324" s="13" t="n"/>
      <c r="G324" s="13" t="n"/>
      <c r="H324" s="20" t="n"/>
      <c r="I324" s="14" t="n"/>
      <c r="J324" s="19">
        <f>IF($C324="","",ROUND(IF($H324="",1,$H324)*N($I324),2))</f>
        <v/>
      </c>
      <c r="K324" s="13" t="n"/>
      <c r="L324" s="13" t="n"/>
      <c r="M324" s="17">
        <f>IF($C324="","",IF(ISNA(MATCH($C324,项目名表,0)),"※项目不在项目台账里",IF($E324="※工作类型没选","※工作类型没选","")))</f>
        <v/>
      </c>
    </row>
    <row r="325">
      <c r="A325" s="17">
        <f>IF($C325="","",ROW()-3)</f>
        <v/>
      </c>
      <c r="B325" s="18" t="n"/>
      <c r="C325" s="13" t="n"/>
      <c r="D325" s="13" t="n"/>
      <c r="E325" s="17">
        <f>IF($C325="","",IFERROR(VLOOKUP($D325,工作归属,2,0),"※工作类型没选"))</f>
        <v/>
      </c>
      <c r="F325" s="13" t="n"/>
      <c r="G325" s="13" t="n"/>
      <c r="H325" s="20" t="n"/>
      <c r="I325" s="14" t="n"/>
      <c r="J325" s="19">
        <f>IF($C325="","",ROUND(IF($H325="",1,$H325)*N($I325),2))</f>
        <v/>
      </c>
      <c r="K325" s="13" t="n"/>
      <c r="L325" s="13" t="n"/>
      <c r="M325" s="17">
        <f>IF($C325="","",IF(ISNA(MATCH($C325,项目名表,0)),"※项目不在项目台账里",IF($E325="※工作类型没选","※工作类型没选","")))</f>
        <v/>
      </c>
    </row>
    <row r="326">
      <c r="A326" s="17">
        <f>IF($C326="","",ROW()-3)</f>
        <v/>
      </c>
      <c r="B326" s="18" t="n"/>
      <c r="C326" s="13" t="n"/>
      <c r="D326" s="13" t="n"/>
      <c r="E326" s="17">
        <f>IF($C326="","",IFERROR(VLOOKUP($D326,工作归属,2,0),"※工作类型没选"))</f>
        <v/>
      </c>
      <c r="F326" s="13" t="n"/>
      <c r="G326" s="13" t="n"/>
      <c r="H326" s="20" t="n"/>
      <c r="I326" s="14" t="n"/>
      <c r="J326" s="19">
        <f>IF($C326="","",ROUND(IF($H326="",1,$H326)*N($I326),2))</f>
        <v/>
      </c>
      <c r="K326" s="13" t="n"/>
      <c r="L326" s="13" t="n"/>
      <c r="M326" s="17">
        <f>IF($C326="","",IF(ISNA(MATCH($C326,项目名表,0)),"※项目不在项目台账里",IF($E326="※工作类型没选","※工作类型没选","")))</f>
        <v/>
      </c>
    </row>
    <row r="327">
      <c r="A327" s="17">
        <f>IF($C327="","",ROW()-3)</f>
        <v/>
      </c>
      <c r="B327" s="18" t="n"/>
      <c r="C327" s="13" t="n"/>
      <c r="D327" s="13" t="n"/>
      <c r="E327" s="17">
        <f>IF($C327="","",IFERROR(VLOOKUP($D327,工作归属,2,0),"※工作类型没选"))</f>
        <v/>
      </c>
      <c r="F327" s="13" t="n"/>
      <c r="G327" s="13" t="n"/>
      <c r="H327" s="20" t="n"/>
      <c r="I327" s="14" t="n"/>
      <c r="J327" s="19">
        <f>IF($C327="","",ROUND(IF($H327="",1,$H327)*N($I327),2))</f>
        <v/>
      </c>
      <c r="K327" s="13" t="n"/>
      <c r="L327" s="13" t="n"/>
      <c r="M327" s="17">
        <f>IF($C327="","",IF(ISNA(MATCH($C327,项目名表,0)),"※项目不在项目台账里",IF($E327="※工作类型没选","※工作类型没选","")))</f>
        <v/>
      </c>
    </row>
    <row r="328">
      <c r="A328" s="17">
        <f>IF($C328="","",ROW()-3)</f>
        <v/>
      </c>
      <c r="B328" s="18" t="n"/>
      <c r="C328" s="13" t="n"/>
      <c r="D328" s="13" t="n"/>
      <c r="E328" s="17">
        <f>IF($C328="","",IFERROR(VLOOKUP($D328,工作归属,2,0),"※工作类型没选"))</f>
        <v/>
      </c>
      <c r="F328" s="13" t="n"/>
      <c r="G328" s="13" t="n"/>
      <c r="H328" s="20" t="n"/>
      <c r="I328" s="14" t="n"/>
      <c r="J328" s="19">
        <f>IF($C328="","",ROUND(IF($H328="",1,$H328)*N($I328),2))</f>
        <v/>
      </c>
      <c r="K328" s="13" t="n"/>
      <c r="L328" s="13" t="n"/>
      <c r="M328" s="17">
        <f>IF($C328="","",IF(ISNA(MATCH($C328,项目名表,0)),"※项目不在项目台账里",IF($E328="※工作类型没选","※工作类型没选","")))</f>
        <v/>
      </c>
    </row>
    <row r="329">
      <c r="A329" s="17">
        <f>IF($C329="","",ROW()-3)</f>
        <v/>
      </c>
      <c r="B329" s="18" t="n"/>
      <c r="C329" s="13" t="n"/>
      <c r="D329" s="13" t="n"/>
      <c r="E329" s="17">
        <f>IF($C329="","",IFERROR(VLOOKUP($D329,工作归属,2,0),"※工作类型没选"))</f>
        <v/>
      </c>
      <c r="F329" s="13" t="n"/>
      <c r="G329" s="13" t="n"/>
      <c r="H329" s="20" t="n"/>
      <c r="I329" s="14" t="n"/>
      <c r="J329" s="19">
        <f>IF($C329="","",ROUND(IF($H329="",1,$H329)*N($I329),2))</f>
        <v/>
      </c>
      <c r="K329" s="13" t="n"/>
      <c r="L329" s="13" t="n"/>
      <c r="M329" s="17">
        <f>IF($C329="","",IF(ISNA(MATCH($C329,项目名表,0)),"※项目不在项目台账里",IF($E329="※工作类型没选","※工作类型没选","")))</f>
        <v/>
      </c>
    </row>
    <row r="330">
      <c r="A330" s="17">
        <f>IF($C330="","",ROW()-3)</f>
        <v/>
      </c>
      <c r="B330" s="18" t="n"/>
      <c r="C330" s="13" t="n"/>
      <c r="D330" s="13" t="n"/>
      <c r="E330" s="17">
        <f>IF($C330="","",IFERROR(VLOOKUP($D330,工作归属,2,0),"※工作类型没选"))</f>
        <v/>
      </c>
      <c r="F330" s="13" t="n"/>
      <c r="G330" s="13" t="n"/>
      <c r="H330" s="20" t="n"/>
      <c r="I330" s="14" t="n"/>
      <c r="J330" s="19">
        <f>IF($C330="","",ROUND(IF($H330="",1,$H330)*N($I330),2))</f>
        <v/>
      </c>
      <c r="K330" s="13" t="n"/>
      <c r="L330" s="13" t="n"/>
      <c r="M330" s="17">
        <f>IF($C330="","",IF(ISNA(MATCH($C330,项目名表,0)),"※项目不在项目台账里",IF($E330="※工作类型没选","※工作类型没选","")))</f>
        <v/>
      </c>
    </row>
    <row r="331">
      <c r="A331" s="17">
        <f>IF($C331="","",ROW()-3)</f>
        <v/>
      </c>
      <c r="B331" s="18" t="n"/>
      <c r="C331" s="13" t="n"/>
      <c r="D331" s="13" t="n"/>
      <c r="E331" s="17">
        <f>IF($C331="","",IFERROR(VLOOKUP($D331,工作归属,2,0),"※工作类型没选"))</f>
        <v/>
      </c>
      <c r="F331" s="13" t="n"/>
      <c r="G331" s="13" t="n"/>
      <c r="H331" s="20" t="n"/>
      <c r="I331" s="14" t="n"/>
      <c r="J331" s="19">
        <f>IF($C331="","",ROUND(IF($H331="",1,$H331)*N($I331),2))</f>
        <v/>
      </c>
      <c r="K331" s="13" t="n"/>
      <c r="L331" s="13" t="n"/>
      <c r="M331" s="17">
        <f>IF($C331="","",IF(ISNA(MATCH($C331,项目名表,0)),"※项目不在项目台账里",IF($E331="※工作类型没选","※工作类型没选","")))</f>
        <v/>
      </c>
    </row>
    <row r="332">
      <c r="A332" s="17">
        <f>IF($C332="","",ROW()-3)</f>
        <v/>
      </c>
      <c r="B332" s="18" t="n"/>
      <c r="C332" s="13" t="n"/>
      <c r="D332" s="13" t="n"/>
      <c r="E332" s="17">
        <f>IF($C332="","",IFERROR(VLOOKUP($D332,工作归属,2,0),"※工作类型没选"))</f>
        <v/>
      </c>
      <c r="F332" s="13" t="n"/>
      <c r="G332" s="13" t="n"/>
      <c r="H332" s="20" t="n"/>
      <c r="I332" s="14" t="n"/>
      <c r="J332" s="19">
        <f>IF($C332="","",ROUND(IF($H332="",1,$H332)*N($I332),2))</f>
        <v/>
      </c>
      <c r="K332" s="13" t="n"/>
      <c r="L332" s="13" t="n"/>
      <c r="M332" s="17">
        <f>IF($C332="","",IF(ISNA(MATCH($C332,项目名表,0)),"※项目不在项目台账里",IF($E332="※工作类型没选","※工作类型没选","")))</f>
        <v/>
      </c>
    </row>
    <row r="333">
      <c r="A333" s="17">
        <f>IF($C333="","",ROW()-3)</f>
        <v/>
      </c>
      <c r="B333" s="18" t="n"/>
      <c r="C333" s="13" t="n"/>
      <c r="D333" s="13" t="n"/>
      <c r="E333" s="17">
        <f>IF($C333="","",IFERROR(VLOOKUP($D333,工作归属,2,0),"※工作类型没选"))</f>
        <v/>
      </c>
      <c r="F333" s="13" t="n"/>
      <c r="G333" s="13" t="n"/>
      <c r="H333" s="20" t="n"/>
      <c r="I333" s="14" t="n"/>
      <c r="J333" s="19">
        <f>IF($C333="","",ROUND(IF($H333="",1,$H333)*N($I333),2))</f>
        <v/>
      </c>
      <c r="K333" s="13" t="n"/>
      <c r="L333" s="13" t="n"/>
      <c r="M333" s="17">
        <f>IF($C333="","",IF(ISNA(MATCH($C333,项目名表,0)),"※项目不在项目台账里",IF($E333="※工作类型没选","※工作类型没选","")))</f>
        <v/>
      </c>
    </row>
    <row r="334">
      <c r="A334" s="17">
        <f>IF($C334="","",ROW()-3)</f>
        <v/>
      </c>
      <c r="B334" s="18" t="n"/>
      <c r="C334" s="13" t="n"/>
      <c r="D334" s="13" t="n"/>
      <c r="E334" s="17">
        <f>IF($C334="","",IFERROR(VLOOKUP($D334,工作归属,2,0),"※工作类型没选"))</f>
        <v/>
      </c>
      <c r="F334" s="13" t="n"/>
      <c r="G334" s="13" t="n"/>
      <c r="H334" s="20" t="n"/>
      <c r="I334" s="14" t="n"/>
      <c r="J334" s="19">
        <f>IF($C334="","",ROUND(IF($H334="",1,$H334)*N($I334),2))</f>
        <v/>
      </c>
      <c r="K334" s="13" t="n"/>
      <c r="L334" s="13" t="n"/>
      <c r="M334" s="17">
        <f>IF($C334="","",IF(ISNA(MATCH($C334,项目名表,0)),"※项目不在项目台账里",IF($E334="※工作类型没选","※工作类型没选","")))</f>
        <v/>
      </c>
    </row>
    <row r="335">
      <c r="A335" s="17">
        <f>IF($C335="","",ROW()-3)</f>
        <v/>
      </c>
      <c r="B335" s="18" t="n"/>
      <c r="C335" s="13" t="n"/>
      <c r="D335" s="13" t="n"/>
      <c r="E335" s="17">
        <f>IF($C335="","",IFERROR(VLOOKUP($D335,工作归属,2,0),"※工作类型没选"))</f>
        <v/>
      </c>
      <c r="F335" s="13" t="n"/>
      <c r="G335" s="13" t="n"/>
      <c r="H335" s="20" t="n"/>
      <c r="I335" s="14" t="n"/>
      <c r="J335" s="19">
        <f>IF($C335="","",ROUND(IF($H335="",1,$H335)*N($I335),2))</f>
        <v/>
      </c>
      <c r="K335" s="13" t="n"/>
      <c r="L335" s="13" t="n"/>
      <c r="M335" s="17">
        <f>IF($C335="","",IF(ISNA(MATCH($C335,项目名表,0)),"※项目不在项目台账里",IF($E335="※工作类型没选","※工作类型没选","")))</f>
        <v/>
      </c>
    </row>
    <row r="336">
      <c r="A336" s="17">
        <f>IF($C336="","",ROW()-3)</f>
        <v/>
      </c>
      <c r="B336" s="18" t="n"/>
      <c r="C336" s="13" t="n"/>
      <c r="D336" s="13" t="n"/>
      <c r="E336" s="17">
        <f>IF($C336="","",IFERROR(VLOOKUP($D336,工作归属,2,0),"※工作类型没选"))</f>
        <v/>
      </c>
      <c r="F336" s="13" t="n"/>
      <c r="G336" s="13" t="n"/>
      <c r="H336" s="20" t="n"/>
      <c r="I336" s="14" t="n"/>
      <c r="J336" s="19">
        <f>IF($C336="","",ROUND(IF($H336="",1,$H336)*N($I336),2))</f>
        <v/>
      </c>
      <c r="K336" s="13" t="n"/>
      <c r="L336" s="13" t="n"/>
      <c r="M336" s="17">
        <f>IF($C336="","",IF(ISNA(MATCH($C336,项目名表,0)),"※项目不在项目台账里",IF($E336="※工作类型没选","※工作类型没选","")))</f>
        <v/>
      </c>
    </row>
    <row r="337">
      <c r="A337" s="17">
        <f>IF($C337="","",ROW()-3)</f>
        <v/>
      </c>
      <c r="B337" s="18" t="n"/>
      <c r="C337" s="13" t="n"/>
      <c r="D337" s="13" t="n"/>
      <c r="E337" s="17">
        <f>IF($C337="","",IFERROR(VLOOKUP($D337,工作归属,2,0),"※工作类型没选"))</f>
        <v/>
      </c>
      <c r="F337" s="13" t="n"/>
      <c r="G337" s="13" t="n"/>
      <c r="H337" s="20" t="n"/>
      <c r="I337" s="14" t="n"/>
      <c r="J337" s="19">
        <f>IF($C337="","",ROUND(IF($H337="",1,$H337)*N($I337),2))</f>
        <v/>
      </c>
      <c r="K337" s="13" t="n"/>
      <c r="L337" s="13" t="n"/>
      <c r="M337" s="17">
        <f>IF($C337="","",IF(ISNA(MATCH($C337,项目名表,0)),"※项目不在项目台账里",IF($E337="※工作类型没选","※工作类型没选","")))</f>
        <v/>
      </c>
    </row>
    <row r="338">
      <c r="A338" s="17">
        <f>IF($C338="","",ROW()-3)</f>
        <v/>
      </c>
      <c r="B338" s="18" t="n"/>
      <c r="C338" s="13" t="n"/>
      <c r="D338" s="13" t="n"/>
      <c r="E338" s="17">
        <f>IF($C338="","",IFERROR(VLOOKUP($D338,工作归属,2,0),"※工作类型没选"))</f>
        <v/>
      </c>
      <c r="F338" s="13" t="n"/>
      <c r="G338" s="13" t="n"/>
      <c r="H338" s="20" t="n"/>
      <c r="I338" s="14" t="n"/>
      <c r="J338" s="19">
        <f>IF($C338="","",ROUND(IF($H338="",1,$H338)*N($I338),2))</f>
        <v/>
      </c>
      <c r="K338" s="13" t="n"/>
      <c r="L338" s="13" t="n"/>
      <c r="M338" s="17">
        <f>IF($C338="","",IF(ISNA(MATCH($C338,项目名表,0)),"※项目不在项目台账里",IF($E338="※工作类型没选","※工作类型没选","")))</f>
        <v/>
      </c>
    </row>
    <row r="339">
      <c r="A339" s="17">
        <f>IF($C339="","",ROW()-3)</f>
        <v/>
      </c>
      <c r="B339" s="18" t="n"/>
      <c r="C339" s="13" t="n"/>
      <c r="D339" s="13" t="n"/>
      <c r="E339" s="17">
        <f>IF($C339="","",IFERROR(VLOOKUP($D339,工作归属,2,0),"※工作类型没选"))</f>
        <v/>
      </c>
      <c r="F339" s="13" t="n"/>
      <c r="G339" s="13" t="n"/>
      <c r="H339" s="20" t="n"/>
      <c r="I339" s="14" t="n"/>
      <c r="J339" s="19">
        <f>IF($C339="","",ROUND(IF($H339="",1,$H339)*N($I339),2))</f>
        <v/>
      </c>
      <c r="K339" s="13" t="n"/>
      <c r="L339" s="13" t="n"/>
      <c r="M339" s="17">
        <f>IF($C339="","",IF(ISNA(MATCH($C339,项目名表,0)),"※项目不在项目台账里",IF($E339="※工作类型没选","※工作类型没选","")))</f>
        <v/>
      </c>
    </row>
    <row r="340">
      <c r="A340" s="17">
        <f>IF($C340="","",ROW()-3)</f>
        <v/>
      </c>
      <c r="B340" s="18" t="n"/>
      <c r="C340" s="13" t="n"/>
      <c r="D340" s="13" t="n"/>
      <c r="E340" s="17">
        <f>IF($C340="","",IFERROR(VLOOKUP($D340,工作归属,2,0),"※工作类型没选"))</f>
        <v/>
      </c>
      <c r="F340" s="13" t="n"/>
      <c r="G340" s="13" t="n"/>
      <c r="H340" s="20" t="n"/>
      <c r="I340" s="14" t="n"/>
      <c r="J340" s="19">
        <f>IF($C340="","",ROUND(IF($H340="",1,$H340)*N($I340),2))</f>
        <v/>
      </c>
      <c r="K340" s="13" t="n"/>
      <c r="L340" s="13" t="n"/>
      <c r="M340" s="17">
        <f>IF($C340="","",IF(ISNA(MATCH($C340,项目名表,0)),"※项目不在项目台账里",IF($E340="※工作类型没选","※工作类型没选","")))</f>
        <v/>
      </c>
    </row>
    <row r="341">
      <c r="A341" s="17">
        <f>IF($C341="","",ROW()-3)</f>
        <v/>
      </c>
      <c r="B341" s="18" t="n"/>
      <c r="C341" s="13" t="n"/>
      <c r="D341" s="13" t="n"/>
      <c r="E341" s="17">
        <f>IF($C341="","",IFERROR(VLOOKUP($D341,工作归属,2,0),"※工作类型没选"))</f>
        <v/>
      </c>
      <c r="F341" s="13" t="n"/>
      <c r="G341" s="13" t="n"/>
      <c r="H341" s="20" t="n"/>
      <c r="I341" s="14" t="n"/>
      <c r="J341" s="19">
        <f>IF($C341="","",ROUND(IF($H341="",1,$H341)*N($I341),2))</f>
        <v/>
      </c>
      <c r="K341" s="13" t="n"/>
      <c r="L341" s="13" t="n"/>
      <c r="M341" s="17">
        <f>IF($C341="","",IF(ISNA(MATCH($C341,项目名表,0)),"※项目不在项目台账里",IF($E341="※工作类型没选","※工作类型没选","")))</f>
        <v/>
      </c>
    </row>
    <row r="342">
      <c r="A342" s="17">
        <f>IF($C342="","",ROW()-3)</f>
        <v/>
      </c>
      <c r="B342" s="18" t="n"/>
      <c r="C342" s="13" t="n"/>
      <c r="D342" s="13" t="n"/>
      <c r="E342" s="17">
        <f>IF($C342="","",IFERROR(VLOOKUP($D342,工作归属,2,0),"※工作类型没选"))</f>
        <v/>
      </c>
      <c r="F342" s="13" t="n"/>
      <c r="G342" s="13" t="n"/>
      <c r="H342" s="20" t="n"/>
      <c r="I342" s="14" t="n"/>
      <c r="J342" s="19">
        <f>IF($C342="","",ROUND(IF($H342="",1,$H342)*N($I342),2))</f>
        <v/>
      </c>
      <c r="K342" s="13" t="n"/>
      <c r="L342" s="13" t="n"/>
      <c r="M342" s="17">
        <f>IF($C342="","",IF(ISNA(MATCH($C342,项目名表,0)),"※项目不在项目台账里",IF($E342="※工作类型没选","※工作类型没选","")))</f>
        <v/>
      </c>
    </row>
    <row r="343">
      <c r="A343" s="17">
        <f>IF($C343="","",ROW()-3)</f>
        <v/>
      </c>
      <c r="B343" s="18" t="n"/>
      <c r="C343" s="13" t="n"/>
      <c r="D343" s="13" t="n"/>
      <c r="E343" s="17">
        <f>IF($C343="","",IFERROR(VLOOKUP($D343,工作归属,2,0),"※工作类型没选"))</f>
        <v/>
      </c>
      <c r="F343" s="13" t="n"/>
      <c r="G343" s="13" t="n"/>
      <c r="H343" s="20" t="n"/>
      <c r="I343" s="14" t="n"/>
      <c r="J343" s="19">
        <f>IF($C343="","",ROUND(IF($H343="",1,$H343)*N($I343),2))</f>
        <v/>
      </c>
      <c r="K343" s="13" t="n"/>
      <c r="L343" s="13" t="n"/>
      <c r="M343" s="17">
        <f>IF($C343="","",IF(ISNA(MATCH($C343,项目名表,0)),"※项目不在项目台账里",IF($E343="※工作类型没选","※工作类型没选","")))</f>
        <v/>
      </c>
    </row>
    <row r="344">
      <c r="A344" s="17">
        <f>IF($C344="","",ROW()-3)</f>
        <v/>
      </c>
      <c r="B344" s="18" t="n"/>
      <c r="C344" s="13" t="n"/>
      <c r="D344" s="13" t="n"/>
      <c r="E344" s="17">
        <f>IF($C344="","",IFERROR(VLOOKUP($D344,工作归属,2,0),"※工作类型没选"))</f>
        <v/>
      </c>
      <c r="F344" s="13" t="n"/>
      <c r="G344" s="13" t="n"/>
      <c r="H344" s="20" t="n"/>
      <c r="I344" s="14" t="n"/>
      <c r="J344" s="19">
        <f>IF($C344="","",ROUND(IF($H344="",1,$H344)*N($I344),2))</f>
        <v/>
      </c>
      <c r="K344" s="13" t="n"/>
      <c r="L344" s="13" t="n"/>
      <c r="M344" s="17">
        <f>IF($C344="","",IF(ISNA(MATCH($C344,项目名表,0)),"※项目不在项目台账里",IF($E344="※工作类型没选","※工作类型没选","")))</f>
        <v/>
      </c>
    </row>
    <row r="345">
      <c r="A345" s="17">
        <f>IF($C345="","",ROW()-3)</f>
        <v/>
      </c>
      <c r="B345" s="18" t="n"/>
      <c r="C345" s="13" t="n"/>
      <c r="D345" s="13" t="n"/>
      <c r="E345" s="17">
        <f>IF($C345="","",IFERROR(VLOOKUP($D345,工作归属,2,0),"※工作类型没选"))</f>
        <v/>
      </c>
      <c r="F345" s="13" t="n"/>
      <c r="G345" s="13" t="n"/>
      <c r="H345" s="20" t="n"/>
      <c r="I345" s="14" t="n"/>
      <c r="J345" s="19">
        <f>IF($C345="","",ROUND(IF($H345="",1,$H345)*N($I345),2))</f>
        <v/>
      </c>
      <c r="K345" s="13" t="n"/>
      <c r="L345" s="13" t="n"/>
      <c r="M345" s="17">
        <f>IF($C345="","",IF(ISNA(MATCH($C345,项目名表,0)),"※项目不在项目台账里",IF($E345="※工作类型没选","※工作类型没选","")))</f>
        <v/>
      </c>
    </row>
    <row r="346">
      <c r="A346" s="17">
        <f>IF($C346="","",ROW()-3)</f>
        <v/>
      </c>
      <c r="B346" s="18" t="n"/>
      <c r="C346" s="13" t="n"/>
      <c r="D346" s="13" t="n"/>
      <c r="E346" s="17">
        <f>IF($C346="","",IFERROR(VLOOKUP($D346,工作归属,2,0),"※工作类型没选"))</f>
        <v/>
      </c>
      <c r="F346" s="13" t="n"/>
      <c r="G346" s="13" t="n"/>
      <c r="H346" s="20" t="n"/>
      <c r="I346" s="14" t="n"/>
      <c r="J346" s="19">
        <f>IF($C346="","",ROUND(IF($H346="",1,$H346)*N($I346),2))</f>
        <v/>
      </c>
      <c r="K346" s="13" t="n"/>
      <c r="L346" s="13" t="n"/>
      <c r="M346" s="17">
        <f>IF($C346="","",IF(ISNA(MATCH($C346,项目名表,0)),"※项目不在项目台账里",IF($E346="※工作类型没选","※工作类型没选","")))</f>
        <v/>
      </c>
    </row>
    <row r="347">
      <c r="A347" s="17">
        <f>IF($C347="","",ROW()-3)</f>
        <v/>
      </c>
      <c r="B347" s="18" t="n"/>
      <c r="C347" s="13" t="n"/>
      <c r="D347" s="13" t="n"/>
      <c r="E347" s="17">
        <f>IF($C347="","",IFERROR(VLOOKUP($D347,工作归属,2,0),"※工作类型没选"))</f>
        <v/>
      </c>
      <c r="F347" s="13" t="n"/>
      <c r="G347" s="13" t="n"/>
      <c r="H347" s="20" t="n"/>
      <c r="I347" s="14" t="n"/>
      <c r="J347" s="19">
        <f>IF($C347="","",ROUND(IF($H347="",1,$H347)*N($I347),2))</f>
        <v/>
      </c>
      <c r="K347" s="13" t="n"/>
      <c r="L347" s="13" t="n"/>
      <c r="M347" s="17">
        <f>IF($C347="","",IF(ISNA(MATCH($C347,项目名表,0)),"※项目不在项目台账里",IF($E347="※工作类型没选","※工作类型没选","")))</f>
        <v/>
      </c>
    </row>
    <row r="348">
      <c r="A348" s="17">
        <f>IF($C348="","",ROW()-3)</f>
        <v/>
      </c>
      <c r="B348" s="18" t="n"/>
      <c r="C348" s="13" t="n"/>
      <c r="D348" s="13" t="n"/>
      <c r="E348" s="17">
        <f>IF($C348="","",IFERROR(VLOOKUP($D348,工作归属,2,0),"※工作类型没选"))</f>
        <v/>
      </c>
      <c r="F348" s="13" t="n"/>
      <c r="G348" s="13" t="n"/>
      <c r="H348" s="20" t="n"/>
      <c r="I348" s="14" t="n"/>
      <c r="J348" s="19">
        <f>IF($C348="","",ROUND(IF($H348="",1,$H348)*N($I348),2))</f>
        <v/>
      </c>
      <c r="K348" s="13" t="n"/>
      <c r="L348" s="13" t="n"/>
      <c r="M348" s="17">
        <f>IF($C348="","",IF(ISNA(MATCH($C348,项目名表,0)),"※项目不在项目台账里",IF($E348="※工作类型没选","※工作类型没选","")))</f>
        <v/>
      </c>
    </row>
    <row r="349">
      <c r="A349" s="17">
        <f>IF($C349="","",ROW()-3)</f>
        <v/>
      </c>
      <c r="B349" s="18" t="n"/>
      <c r="C349" s="13" t="n"/>
      <c r="D349" s="13" t="n"/>
      <c r="E349" s="17">
        <f>IF($C349="","",IFERROR(VLOOKUP($D349,工作归属,2,0),"※工作类型没选"))</f>
        <v/>
      </c>
      <c r="F349" s="13" t="n"/>
      <c r="G349" s="13" t="n"/>
      <c r="H349" s="20" t="n"/>
      <c r="I349" s="14" t="n"/>
      <c r="J349" s="19">
        <f>IF($C349="","",ROUND(IF($H349="",1,$H349)*N($I349),2))</f>
        <v/>
      </c>
      <c r="K349" s="13" t="n"/>
      <c r="L349" s="13" t="n"/>
      <c r="M349" s="17">
        <f>IF($C349="","",IF(ISNA(MATCH($C349,项目名表,0)),"※项目不在项目台账里",IF($E349="※工作类型没选","※工作类型没选","")))</f>
        <v/>
      </c>
    </row>
    <row r="350">
      <c r="A350" s="17">
        <f>IF($C350="","",ROW()-3)</f>
        <v/>
      </c>
      <c r="B350" s="18" t="n"/>
      <c r="C350" s="13" t="n"/>
      <c r="D350" s="13" t="n"/>
      <c r="E350" s="17">
        <f>IF($C350="","",IFERROR(VLOOKUP($D350,工作归属,2,0),"※工作类型没选"))</f>
        <v/>
      </c>
      <c r="F350" s="13" t="n"/>
      <c r="G350" s="13" t="n"/>
      <c r="H350" s="20" t="n"/>
      <c r="I350" s="14" t="n"/>
      <c r="J350" s="19">
        <f>IF($C350="","",ROUND(IF($H350="",1,$H350)*N($I350),2))</f>
        <v/>
      </c>
      <c r="K350" s="13" t="n"/>
      <c r="L350" s="13" t="n"/>
      <c r="M350" s="17">
        <f>IF($C350="","",IF(ISNA(MATCH($C350,项目名表,0)),"※项目不在项目台账里",IF($E350="※工作类型没选","※工作类型没选","")))</f>
        <v/>
      </c>
    </row>
    <row r="351">
      <c r="A351" s="17">
        <f>IF($C351="","",ROW()-3)</f>
        <v/>
      </c>
      <c r="B351" s="18" t="n"/>
      <c r="C351" s="13" t="n"/>
      <c r="D351" s="13" t="n"/>
      <c r="E351" s="17">
        <f>IF($C351="","",IFERROR(VLOOKUP($D351,工作归属,2,0),"※工作类型没选"))</f>
        <v/>
      </c>
      <c r="F351" s="13" t="n"/>
      <c r="G351" s="13" t="n"/>
      <c r="H351" s="20" t="n"/>
      <c r="I351" s="14" t="n"/>
      <c r="J351" s="19">
        <f>IF($C351="","",ROUND(IF($H351="",1,$H351)*N($I351),2))</f>
        <v/>
      </c>
      <c r="K351" s="13" t="n"/>
      <c r="L351" s="13" t="n"/>
      <c r="M351" s="17">
        <f>IF($C351="","",IF(ISNA(MATCH($C351,项目名表,0)),"※项目不在项目台账里",IF($E351="※工作类型没选","※工作类型没选","")))</f>
        <v/>
      </c>
    </row>
    <row r="352">
      <c r="A352" s="17">
        <f>IF($C352="","",ROW()-3)</f>
        <v/>
      </c>
      <c r="B352" s="18" t="n"/>
      <c r="C352" s="13" t="n"/>
      <c r="D352" s="13" t="n"/>
      <c r="E352" s="17">
        <f>IF($C352="","",IFERROR(VLOOKUP($D352,工作归属,2,0),"※工作类型没选"))</f>
        <v/>
      </c>
      <c r="F352" s="13" t="n"/>
      <c r="G352" s="13" t="n"/>
      <c r="H352" s="20" t="n"/>
      <c r="I352" s="14" t="n"/>
      <c r="J352" s="19">
        <f>IF($C352="","",ROUND(IF($H352="",1,$H352)*N($I352),2))</f>
        <v/>
      </c>
      <c r="K352" s="13" t="n"/>
      <c r="L352" s="13" t="n"/>
      <c r="M352" s="17">
        <f>IF($C352="","",IF(ISNA(MATCH($C352,项目名表,0)),"※项目不在项目台账里",IF($E352="※工作类型没选","※工作类型没选","")))</f>
        <v/>
      </c>
    </row>
    <row r="353">
      <c r="A353" s="17">
        <f>IF($C353="","",ROW()-3)</f>
        <v/>
      </c>
      <c r="B353" s="18" t="n"/>
      <c r="C353" s="13" t="n"/>
      <c r="D353" s="13" t="n"/>
      <c r="E353" s="17">
        <f>IF($C353="","",IFERROR(VLOOKUP($D353,工作归属,2,0),"※工作类型没选"))</f>
        <v/>
      </c>
      <c r="F353" s="13" t="n"/>
      <c r="G353" s="13" t="n"/>
      <c r="H353" s="20" t="n"/>
      <c r="I353" s="14" t="n"/>
      <c r="J353" s="19">
        <f>IF($C353="","",ROUND(IF($H353="",1,$H353)*N($I353),2))</f>
        <v/>
      </c>
      <c r="K353" s="13" t="n"/>
      <c r="L353" s="13" t="n"/>
      <c r="M353" s="17">
        <f>IF($C353="","",IF(ISNA(MATCH($C353,项目名表,0)),"※项目不在项目台账里",IF($E353="※工作类型没选","※工作类型没选","")))</f>
        <v/>
      </c>
    </row>
    <row r="354">
      <c r="A354" s="17">
        <f>IF($C354="","",ROW()-3)</f>
        <v/>
      </c>
      <c r="B354" s="18" t="n"/>
      <c r="C354" s="13" t="n"/>
      <c r="D354" s="13" t="n"/>
      <c r="E354" s="17">
        <f>IF($C354="","",IFERROR(VLOOKUP($D354,工作归属,2,0),"※工作类型没选"))</f>
        <v/>
      </c>
      <c r="F354" s="13" t="n"/>
      <c r="G354" s="13" t="n"/>
      <c r="H354" s="20" t="n"/>
      <c r="I354" s="14" t="n"/>
      <c r="J354" s="19">
        <f>IF($C354="","",ROUND(IF($H354="",1,$H354)*N($I354),2))</f>
        <v/>
      </c>
      <c r="K354" s="13" t="n"/>
      <c r="L354" s="13" t="n"/>
      <c r="M354" s="17">
        <f>IF($C354="","",IF(ISNA(MATCH($C354,项目名表,0)),"※项目不在项目台账里",IF($E354="※工作类型没选","※工作类型没选","")))</f>
        <v/>
      </c>
    </row>
    <row r="355">
      <c r="A355" s="17">
        <f>IF($C355="","",ROW()-3)</f>
        <v/>
      </c>
      <c r="B355" s="18" t="n"/>
      <c r="C355" s="13" t="n"/>
      <c r="D355" s="13" t="n"/>
      <c r="E355" s="17">
        <f>IF($C355="","",IFERROR(VLOOKUP($D355,工作归属,2,0),"※工作类型没选"))</f>
        <v/>
      </c>
      <c r="F355" s="13" t="n"/>
      <c r="G355" s="13" t="n"/>
      <c r="H355" s="20" t="n"/>
      <c r="I355" s="14" t="n"/>
      <c r="J355" s="19">
        <f>IF($C355="","",ROUND(IF($H355="",1,$H355)*N($I355),2))</f>
        <v/>
      </c>
      <c r="K355" s="13" t="n"/>
      <c r="L355" s="13" t="n"/>
      <c r="M355" s="17">
        <f>IF($C355="","",IF(ISNA(MATCH($C355,项目名表,0)),"※项目不在项目台账里",IF($E355="※工作类型没选","※工作类型没选","")))</f>
        <v/>
      </c>
    </row>
    <row r="356">
      <c r="A356" s="17">
        <f>IF($C356="","",ROW()-3)</f>
        <v/>
      </c>
      <c r="B356" s="18" t="n"/>
      <c r="C356" s="13" t="n"/>
      <c r="D356" s="13" t="n"/>
      <c r="E356" s="17">
        <f>IF($C356="","",IFERROR(VLOOKUP($D356,工作归属,2,0),"※工作类型没选"))</f>
        <v/>
      </c>
      <c r="F356" s="13" t="n"/>
      <c r="G356" s="13" t="n"/>
      <c r="H356" s="20" t="n"/>
      <c r="I356" s="14" t="n"/>
      <c r="J356" s="19">
        <f>IF($C356="","",ROUND(IF($H356="",1,$H356)*N($I356),2))</f>
        <v/>
      </c>
      <c r="K356" s="13" t="n"/>
      <c r="L356" s="13" t="n"/>
      <c r="M356" s="17">
        <f>IF($C356="","",IF(ISNA(MATCH($C356,项目名表,0)),"※项目不在项目台账里",IF($E356="※工作类型没选","※工作类型没选","")))</f>
        <v/>
      </c>
    </row>
    <row r="357">
      <c r="A357" s="17">
        <f>IF($C357="","",ROW()-3)</f>
        <v/>
      </c>
      <c r="B357" s="18" t="n"/>
      <c r="C357" s="13" t="n"/>
      <c r="D357" s="13" t="n"/>
      <c r="E357" s="17">
        <f>IF($C357="","",IFERROR(VLOOKUP($D357,工作归属,2,0),"※工作类型没选"))</f>
        <v/>
      </c>
      <c r="F357" s="13" t="n"/>
      <c r="G357" s="13" t="n"/>
      <c r="H357" s="20" t="n"/>
      <c r="I357" s="14" t="n"/>
      <c r="J357" s="19">
        <f>IF($C357="","",ROUND(IF($H357="",1,$H357)*N($I357),2))</f>
        <v/>
      </c>
      <c r="K357" s="13" t="n"/>
      <c r="L357" s="13" t="n"/>
      <c r="M357" s="17">
        <f>IF($C357="","",IF(ISNA(MATCH($C357,项目名表,0)),"※项目不在项目台账里",IF($E357="※工作类型没选","※工作类型没选","")))</f>
        <v/>
      </c>
    </row>
    <row r="358">
      <c r="A358" s="17">
        <f>IF($C358="","",ROW()-3)</f>
        <v/>
      </c>
      <c r="B358" s="18" t="n"/>
      <c r="C358" s="13" t="n"/>
      <c r="D358" s="13" t="n"/>
      <c r="E358" s="17">
        <f>IF($C358="","",IFERROR(VLOOKUP($D358,工作归属,2,0),"※工作类型没选"))</f>
        <v/>
      </c>
      <c r="F358" s="13" t="n"/>
      <c r="G358" s="13" t="n"/>
      <c r="H358" s="20" t="n"/>
      <c r="I358" s="14" t="n"/>
      <c r="J358" s="19">
        <f>IF($C358="","",ROUND(IF($H358="",1,$H358)*N($I358),2))</f>
        <v/>
      </c>
      <c r="K358" s="13" t="n"/>
      <c r="L358" s="13" t="n"/>
      <c r="M358" s="17">
        <f>IF($C358="","",IF(ISNA(MATCH($C358,项目名表,0)),"※项目不在项目台账里",IF($E358="※工作类型没选","※工作类型没选","")))</f>
        <v/>
      </c>
    </row>
    <row r="359">
      <c r="A359" s="17">
        <f>IF($C359="","",ROW()-3)</f>
        <v/>
      </c>
      <c r="B359" s="18" t="n"/>
      <c r="C359" s="13" t="n"/>
      <c r="D359" s="13" t="n"/>
      <c r="E359" s="17">
        <f>IF($C359="","",IFERROR(VLOOKUP($D359,工作归属,2,0),"※工作类型没选"))</f>
        <v/>
      </c>
      <c r="F359" s="13" t="n"/>
      <c r="G359" s="13" t="n"/>
      <c r="H359" s="20" t="n"/>
      <c r="I359" s="14" t="n"/>
      <c r="J359" s="19">
        <f>IF($C359="","",ROUND(IF($H359="",1,$H359)*N($I359),2))</f>
        <v/>
      </c>
      <c r="K359" s="13" t="n"/>
      <c r="L359" s="13" t="n"/>
      <c r="M359" s="17">
        <f>IF($C359="","",IF(ISNA(MATCH($C359,项目名表,0)),"※项目不在项目台账里",IF($E359="※工作类型没选","※工作类型没选","")))</f>
        <v/>
      </c>
    </row>
    <row r="360">
      <c r="A360" s="17">
        <f>IF($C360="","",ROW()-3)</f>
        <v/>
      </c>
      <c r="B360" s="18" t="n"/>
      <c r="C360" s="13" t="n"/>
      <c r="D360" s="13" t="n"/>
      <c r="E360" s="17">
        <f>IF($C360="","",IFERROR(VLOOKUP($D360,工作归属,2,0),"※工作类型没选"))</f>
        <v/>
      </c>
      <c r="F360" s="13" t="n"/>
      <c r="G360" s="13" t="n"/>
      <c r="H360" s="20" t="n"/>
      <c r="I360" s="14" t="n"/>
      <c r="J360" s="19">
        <f>IF($C360="","",ROUND(IF($H360="",1,$H360)*N($I360),2))</f>
        <v/>
      </c>
      <c r="K360" s="13" t="n"/>
      <c r="L360" s="13" t="n"/>
      <c r="M360" s="17">
        <f>IF($C360="","",IF(ISNA(MATCH($C360,项目名表,0)),"※项目不在项目台账里",IF($E360="※工作类型没选","※工作类型没选","")))</f>
        <v/>
      </c>
    </row>
    <row r="361">
      <c r="A361" s="17">
        <f>IF($C361="","",ROW()-3)</f>
        <v/>
      </c>
      <c r="B361" s="18" t="n"/>
      <c r="C361" s="13" t="n"/>
      <c r="D361" s="13" t="n"/>
      <c r="E361" s="17">
        <f>IF($C361="","",IFERROR(VLOOKUP($D361,工作归属,2,0),"※工作类型没选"))</f>
        <v/>
      </c>
      <c r="F361" s="13" t="n"/>
      <c r="G361" s="13" t="n"/>
      <c r="H361" s="20" t="n"/>
      <c r="I361" s="14" t="n"/>
      <c r="J361" s="19">
        <f>IF($C361="","",ROUND(IF($H361="",1,$H361)*N($I361),2))</f>
        <v/>
      </c>
      <c r="K361" s="13" t="n"/>
      <c r="L361" s="13" t="n"/>
      <c r="M361" s="17">
        <f>IF($C361="","",IF(ISNA(MATCH($C361,项目名表,0)),"※项目不在项目台账里",IF($E361="※工作类型没选","※工作类型没选","")))</f>
        <v/>
      </c>
    </row>
    <row r="362">
      <c r="A362" s="17">
        <f>IF($C362="","",ROW()-3)</f>
        <v/>
      </c>
      <c r="B362" s="18" t="n"/>
      <c r="C362" s="13" t="n"/>
      <c r="D362" s="13" t="n"/>
      <c r="E362" s="17">
        <f>IF($C362="","",IFERROR(VLOOKUP($D362,工作归属,2,0),"※工作类型没选"))</f>
        <v/>
      </c>
      <c r="F362" s="13" t="n"/>
      <c r="G362" s="13" t="n"/>
      <c r="H362" s="20" t="n"/>
      <c r="I362" s="14" t="n"/>
      <c r="J362" s="19">
        <f>IF($C362="","",ROUND(IF($H362="",1,$H362)*N($I362),2))</f>
        <v/>
      </c>
      <c r="K362" s="13" t="n"/>
      <c r="L362" s="13" t="n"/>
      <c r="M362" s="17">
        <f>IF($C362="","",IF(ISNA(MATCH($C362,项目名表,0)),"※项目不在项目台账里",IF($E362="※工作类型没选","※工作类型没选","")))</f>
        <v/>
      </c>
    </row>
    <row r="363">
      <c r="A363" s="17">
        <f>IF($C363="","",ROW()-3)</f>
        <v/>
      </c>
      <c r="B363" s="18" t="n"/>
      <c r="C363" s="13" t="n"/>
      <c r="D363" s="13" t="n"/>
      <c r="E363" s="17">
        <f>IF($C363="","",IFERROR(VLOOKUP($D363,工作归属,2,0),"※工作类型没选"))</f>
        <v/>
      </c>
      <c r="F363" s="13" t="n"/>
      <c r="G363" s="13" t="n"/>
      <c r="H363" s="20" t="n"/>
      <c r="I363" s="14" t="n"/>
      <c r="J363" s="19">
        <f>IF($C363="","",ROUND(IF($H363="",1,$H363)*N($I363),2))</f>
        <v/>
      </c>
      <c r="K363" s="13" t="n"/>
      <c r="L363" s="13" t="n"/>
      <c r="M363" s="17">
        <f>IF($C363="","",IF(ISNA(MATCH($C363,项目名表,0)),"※项目不在项目台账里",IF($E363="※工作类型没选","※工作类型没选","")))</f>
        <v/>
      </c>
    </row>
    <row r="364">
      <c r="A364" s="17">
        <f>IF($C364="","",ROW()-3)</f>
        <v/>
      </c>
      <c r="B364" s="18" t="n"/>
      <c r="C364" s="13" t="n"/>
      <c r="D364" s="13" t="n"/>
      <c r="E364" s="17">
        <f>IF($C364="","",IFERROR(VLOOKUP($D364,工作归属,2,0),"※工作类型没选"))</f>
        <v/>
      </c>
      <c r="F364" s="13" t="n"/>
      <c r="G364" s="13" t="n"/>
      <c r="H364" s="20" t="n"/>
      <c r="I364" s="14" t="n"/>
      <c r="J364" s="19">
        <f>IF($C364="","",ROUND(IF($H364="",1,$H364)*N($I364),2))</f>
        <v/>
      </c>
      <c r="K364" s="13" t="n"/>
      <c r="L364" s="13" t="n"/>
      <c r="M364" s="17">
        <f>IF($C364="","",IF(ISNA(MATCH($C364,项目名表,0)),"※项目不在项目台账里",IF($E364="※工作类型没选","※工作类型没选","")))</f>
        <v/>
      </c>
    </row>
    <row r="365">
      <c r="A365" s="17">
        <f>IF($C365="","",ROW()-3)</f>
        <v/>
      </c>
      <c r="B365" s="18" t="n"/>
      <c r="C365" s="13" t="n"/>
      <c r="D365" s="13" t="n"/>
      <c r="E365" s="17">
        <f>IF($C365="","",IFERROR(VLOOKUP($D365,工作归属,2,0),"※工作类型没选"))</f>
        <v/>
      </c>
      <c r="F365" s="13" t="n"/>
      <c r="G365" s="13" t="n"/>
      <c r="H365" s="20" t="n"/>
      <c r="I365" s="14" t="n"/>
      <c r="J365" s="19">
        <f>IF($C365="","",ROUND(IF($H365="",1,$H365)*N($I365),2))</f>
        <v/>
      </c>
      <c r="K365" s="13" t="n"/>
      <c r="L365" s="13" t="n"/>
      <c r="M365" s="17">
        <f>IF($C365="","",IF(ISNA(MATCH($C365,项目名表,0)),"※项目不在项目台账里",IF($E365="※工作类型没选","※工作类型没选","")))</f>
        <v/>
      </c>
    </row>
    <row r="366">
      <c r="A366" s="17">
        <f>IF($C366="","",ROW()-3)</f>
        <v/>
      </c>
      <c r="B366" s="18" t="n"/>
      <c r="C366" s="13" t="n"/>
      <c r="D366" s="13" t="n"/>
      <c r="E366" s="17">
        <f>IF($C366="","",IFERROR(VLOOKUP($D366,工作归属,2,0),"※工作类型没选"))</f>
        <v/>
      </c>
      <c r="F366" s="13" t="n"/>
      <c r="G366" s="13" t="n"/>
      <c r="H366" s="20" t="n"/>
      <c r="I366" s="14" t="n"/>
      <c r="J366" s="19">
        <f>IF($C366="","",ROUND(IF($H366="",1,$H366)*N($I366),2))</f>
        <v/>
      </c>
      <c r="K366" s="13" t="n"/>
      <c r="L366" s="13" t="n"/>
      <c r="M366" s="17">
        <f>IF($C366="","",IF(ISNA(MATCH($C366,项目名表,0)),"※项目不在项目台账里",IF($E366="※工作类型没选","※工作类型没选","")))</f>
        <v/>
      </c>
    </row>
    <row r="367">
      <c r="A367" s="17">
        <f>IF($C367="","",ROW()-3)</f>
        <v/>
      </c>
      <c r="B367" s="18" t="n"/>
      <c r="C367" s="13" t="n"/>
      <c r="D367" s="13" t="n"/>
      <c r="E367" s="17">
        <f>IF($C367="","",IFERROR(VLOOKUP($D367,工作归属,2,0),"※工作类型没选"))</f>
        <v/>
      </c>
      <c r="F367" s="13" t="n"/>
      <c r="G367" s="13" t="n"/>
      <c r="H367" s="20" t="n"/>
      <c r="I367" s="14" t="n"/>
      <c r="J367" s="19">
        <f>IF($C367="","",ROUND(IF($H367="",1,$H367)*N($I367),2))</f>
        <v/>
      </c>
      <c r="K367" s="13" t="n"/>
      <c r="L367" s="13" t="n"/>
      <c r="M367" s="17">
        <f>IF($C367="","",IF(ISNA(MATCH($C367,项目名表,0)),"※项目不在项目台账里",IF($E367="※工作类型没选","※工作类型没选","")))</f>
        <v/>
      </c>
    </row>
    <row r="368">
      <c r="A368" s="17">
        <f>IF($C368="","",ROW()-3)</f>
        <v/>
      </c>
      <c r="B368" s="18" t="n"/>
      <c r="C368" s="13" t="n"/>
      <c r="D368" s="13" t="n"/>
      <c r="E368" s="17">
        <f>IF($C368="","",IFERROR(VLOOKUP($D368,工作归属,2,0),"※工作类型没选"))</f>
        <v/>
      </c>
      <c r="F368" s="13" t="n"/>
      <c r="G368" s="13" t="n"/>
      <c r="H368" s="20" t="n"/>
      <c r="I368" s="14" t="n"/>
      <c r="J368" s="19">
        <f>IF($C368="","",ROUND(IF($H368="",1,$H368)*N($I368),2))</f>
        <v/>
      </c>
      <c r="K368" s="13" t="n"/>
      <c r="L368" s="13" t="n"/>
      <c r="M368" s="17">
        <f>IF($C368="","",IF(ISNA(MATCH($C368,项目名表,0)),"※项目不在项目台账里",IF($E368="※工作类型没选","※工作类型没选","")))</f>
        <v/>
      </c>
    </row>
    <row r="369">
      <c r="A369" s="17">
        <f>IF($C369="","",ROW()-3)</f>
        <v/>
      </c>
      <c r="B369" s="18" t="n"/>
      <c r="C369" s="13" t="n"/>
      <c r="D369" s="13" t="n"/>
      <c r="E369" s="17">
        <f>IF($C369="","",IFERROR(VLOOKUP($D369,工作归属,2,0),"※工作类型没选"))</f>
        <v/>
      </c>
      <c r="F369" s="13" t="n"/>
      <c r="G369" s="13" t="n"/>
      <c r="H369" s="20" t="n"/>
      <c r="I369" s="14" t="n"/>
      <c r="J369" s="19">
        <f>IF($C369="","",ROUND(IF($H369="",1,$H369)*N($I369),2))</f>
        <v/>
      </c>
      <c r="K369" s="13" t="n"/>
      <c r="L369" s="13" t="n"/>
      <c r="M369" s="17">
        <f>IF($C369="","",IF(ISNA(MATCH($C369,项目名表,0)),"※项目不在项目台账里",IF($E369="※工作类型没选","※工作类型没选","")))</f>
        <v/>
      </c>
    </row>
    <row r="370">
      <c r="A370" s="17">
        <f>IF($C370="","",ROW()-3)</f>
        <v/>
      </c>
      <c r="B370" s="18" t="n"/>
      <c r="C370" s="13" t="n"/>
      <c r="D370" s="13" t="n"/>
      <c r="E370" s="17">
        <f>IF($C370="","",IFERROR(VLOOKUP($D370,工作归属,2,0),"※工作类型没选"))</f>
        <v/>
      </c>
      <c r="F370" s="13" t="n"/>
      <c r="G370" s="13" t="n"/>
      <c r="H370" s="20" t="n"/>
      <c r="I370" s="14" t="n"/>
      <c r="J370" s="19">
        <f>IF($C370="","",ROUND(IF($H370="",1,$H370)*N($I370),2))</f>
        <v/>
      </c>
      <c r="K370" s="13" t="n"/>
      <c r="L370" s="13" t="n"/>
      <c r="M370" s="17">
        <f>IF($C370="","",IF(ISNA(MATCH($C370,项目名表,0)),"※项目不在项目台账里",IF($E370="※工作类型没选","※工作类型没选","")))</f>
        <v/>
      </c>
    </row>
    <row r="371">
      <c r="A371" s="17">
        <f>IF($C371="","",ROW()-3)</f>
        <v/>
      </c>
      <c r="B371" s="18" t="n"/>
      <c r="C371" s="13" t="n"/>
      <c r="D371" s="13" t="n"/>
      <c r="E371" s="17">
        <f>IF($C371="","",IFERROR(VLOOKUP($D371,工作归属,2,0),"※工作类型没选"))</f>
        <v/>
      </c>
      <c r="F371" s="13" t="n"/>
      <c r="G371" s="13" t="n"/>
      <c r="H371" s="20" t="n"/>
      <c r="I371" s="14" t="n"/>
      <c r="J371" s="19">
        <f>IF($C371="","",ROUND(IF($H371="",1,$H371)*N($I371),2))</f>
        <v/>
      </c>
      <c r="K371" s="13" t="n"/>
      <c r="L371" s="13" t="n"/>
      <c r="M371" s="17">
        <f>IF($C371="","",IF(ISNA(MATCH($C371,项目名表,0)),"※项目不在项目台账里",IF($E371="※工作类型没选","※工作类型没选","")))</f>
        <v/>
      </c>
    </row>
    <row r="372">
      <c r="A372" s="17">
        <f>IF($C372="","",ROW()-3)</f>
        <v/>
      </c>
      <c r="B372" s="18" t="n"/>
      <c r="C372" s="13" t="n"/>
      <c r="D372" s="13" t="n"/>
      <c r="E372" s="17">
        <f>IF($C372="","",IFERROR(VLOOKUP($D372,工作归属,2,0),"※工作类型没选"))</f>
        <v/>
      </c>
      <c r="F372" s="13" t="n"/>
      <c r="G372" s="13" t="n"/>
      <c r="H372" s="20" t="n"/>
      <c r="I372" s="14" t="n"/>
      <c r="J372" s="19">
        <f>IF($C372="","",ROUND(IF($H372="",1,$H372)*N($I372),2))</f>
        <v/>
      </c>
      <c r="K372" s="13" t="n"/>
      <c r="L372" s="13" t="n"/>
      <c r="M372" s="17">
        <f>IF($C372="","",IF(ISNA(MATCH($C372,项目名表,0)),"※项目不在项目台账里",IF($E372="※工作类型没选","※工作类型没选","")))</f>
        <v/>
      </c>
    </row>
    <row r="373">
      <c r="A373" s="17">
        <f>IF($C373="","",ROW()-3)</f>
        <v/>
      </c>
      <c r="B373" s="18" t="n"/>
      <c r="C373" s="13" t="n"/>
      <c r="D373" s="13" t="n"/>
      <c r="E373" s="17">
        <f>IF($C373="","",IFERROR(VLOOKUP($D373,工作归属,2,0),"※工作类型没选"))</f>
        <v/>
      </c>
      <c r="F373" s="13" t="n"/>
      <c r="G373" s="13" t="n"/>
      <c r="H373" s="20" t="n"/>
      <c r="I373" s="14" t="n"/>
      <c r="J373" s="19">
        <f>IF($C373="","",ROUND(IF($H373="",1,$H373)*N($I373),2))</f>
        <v/>
      </c>
      <c r="K373" s="13" t="n"/>
      <c r="L373" s="13" t="n"/>
      <c r="M373" s="17">
        <f>IF($C373="","",IF(ISNA(MATCH($C373,项目名表,0)),"※项目不在项目台账里",IF($E373="※工作类型没选","※工作类型没选","")))</f>
        <v/>
      </c>
    </row>
    <row r="374">
      <c r="A374" s="17">
        <f>IF($C374="","",ROW()-3)</f>
        <v/>
      </c>
      <c r="B374" s="18" t="n"/>
      <c r="C374" s="13" t="n"/>
      <c r="D374" s="13" t="n"/>
      <c r="E374" s="17">
        <f>IF($C374="","",IFERROR(VLOOKUP($D374,工作归属,2,0),"※工作类型没选"))</f>
        <v/>
      </c>
      <c r="F374" s="13" t="n"/>
      <c r="G374" s="13" t="n"/>
      <c r="H374" s="20" t="n"/>
      <c r="I374" s="14" t="n"/>
      <c r="J374" s="19">
        <f>IF($C374="","",ROUND(IF($H374="",1,$H374)*N($I374),2))</f>
        <v/>
      </c>
      <c r="K374" s="13" t="n"/>
      <c r="L374" s="13" t="n"/>
      <c r="M374" s="17">
        <f>IF($C374="","",IF(ISNA(MATCH($C374,项目名表,0)),"※项目不在项目台账里",IF($E374="※工作类型没选","※工作类型没选","")))</f>
        <v/>
      </c>
    </row>
    <row r="375">
      <c r="A375" s="17">
        <f>IF($C375="","",ROW()-3)</f>
        <v/>
      </c>
      <c r="B375" s="18" t="n"/>
      <c r="C375" s="13" t="n"/>
      <c r="D375" s="13" t="n"/>
      <c r="E375" s="17">
        <f>IF($C375="","",IFERROR(VLOOKUP($D375,工作归属,2,0),"※工作类型没选"))</f>
        <v/>
      </c>
      <c r="F375" s="13" t="n"/>
      <c r="G375" s="13" t="n"/>
      <c r="H375" s="20" t="n"/>
      <c r="I375" s="14" t="n"/>
      <c r="J375" s="19">
        <f>IF($C375="","",ROUND(IF($H375="",1,$H375)*N($I375),2))</f>
        <v/>
      </c>
      <c r="K375" s="13" t="n"/>
      <c r="L375" s="13" t="n"/>
      <c r="M375" s="17">
        <f>IF($C375="","",IF(ISNA(MATCH($C375,项目名表,0)),"※项目不在项目台账里",IF($E375="※工作类型没选","※工作类型没选","")))</f>
        <v/>
      </c>
    </row>
    <row r="376">
      <c r="A376" s="17">
        <f>IF($C376="","",ROW()-3)</f>
        <v/>
      </c>
      <c r="B376" s="18" t="n"/>
      <c r="C376" s="13" t="n"/>
      <c r="D376" s="13" t="n"/>
      <c r="E376" s="17">
        <f>IF($C376="","",IFERROR(VLOOKUP($D376,工作归属,2,0),"※工作类型没选"))</f>
        <v/>
      </c>
      <c r="F376" s="13" t="n"/>
      <c r="G376" s="13" t="n"/>
      <c r="H376" s="20" t="n"/>
      <c r="I376" s="14" t="n"/>
      <c r="J376" s="19">
        <f>IF($C376="","",ROUND(IF($H376="",1,$H376)*N($I376),2))</f>
        <v/>
      </c>
      <c r="K376" s="13" t="n"/>
      <c r="L376" s="13" t="n"/>
      <c r="M376" s="17">
        <f>IF($C376="","",IF(ISNA(MATCH($C376,项目名表,0)),"※项目不在项目台账里",IF($E376="※工作类型没选","※工作类型没选","")))</f>
        <v/>
      </c>
    </row>
    <row r="377">
      <c r="A377" s="17">
        <f>IF($C377="","",ROW()-3)</f>
        <v/>
      </c>
      <c r="B377" s="18" t="n"/>
      <c r="C377" s="13" t="n"/>
      <c r="D377" s="13" t="n"/>
      <c r="E377" s="17">
        <f>IF($C377="","",IFERROR(VLOOKUP($D377,工作归属,2,0),"※工作类型没选"))</f>
        <v/>
      </c>
      <c r="F377" s="13" t="n"/>
      <c r="G377" s="13" t="n"/>
      <c r="H377" s="20" t="n"/>
      <c r="I377" s="14" t="n"/>
      <c r="J377" s="19">
        <f>IF($C377="","",ROUND(IF($H377="",1,$H377)*N($I377),2))</f>
        <v/>
      </c>
      <c r="K377" s="13" t="n"/>
      <c r="L377" s="13" t="n"/>
      <c r="M377" s="17">
        <f>IF($C377="","",IF(ISNA(MATCH($C377,项目名表,0)),"※项目不在项目台账里",IF($E377="※工作类型没选","※工作类型没选","")))</f>
        <v/>
      </c>
    </row>
    <row r="378">
      <c r="A378" s="17">
        <f>IF($C378="","",ROW()-3)</f>
        <v/>
      </c>
      <c r="B378" s="18" t="n"/>
      <c r="C378" s="13" t="n"/>
      <c r="D378" s="13" t="n"/>
      <c r="E378" s="17">
        <f>IF($C378="","",IFERROR(VLOOKUP($D378,工作归属,2,0),"※工作类型没选"))</f>
        <v/>
      </c>
      <c r="F378" s="13" t="n"/>
      <c r="G378" s="13" t="n"/>
      <c r="H378" s="20" t="n"/>
      <c r="I378" s="14" t="n"/>
      <c r="J378" s="19">
        <f>IF($C378="","",ROUND(IF($H378="",1,$H378)*N($I378),2))</f>
        <v/>
      </c>
      <c r="K378" s="13" t="n"/>
      <c r="L378" s="13" t="n"/>
      <c r="M378" s="17">
        <f>IF($C378="","",IF(ISNA(MATCH($C378,项目名表,0)),"※项目不在项目台账里",IF($E378="※工作类型没选","※工作类型没选","")))</f>
        <v/>
      </c>
    </row>
    <row r="379">
      <c r="A379" s="17">
        <f>IF($C379="","",ROW()-3)</f>
        <v/>
      </c>
      <c r="B379" s="18" t="n"/>
      <c r="C379" s="13" t="n"/>
      <c r="D379" s="13" t="n"/>
      <c r="E379" s="17">
        <f>IF($C379="","",IFERROR(VLOOKUP($D379,工作归属,2,0),"※工作类型没选"))</f>
        <v/>
      </c>
      <c r="F379" s="13" t="n"/>
      <c r="G379" s="13" t="n"/>
      <c r="H379" s="20" t="n"/>
      <c r="I379" s="14" t="n"/>
      <c r="J379" s="19">
        <f>IF($C379="","",ROUND(IF($H379="",1,$H379)*N($I379),2))</f>
        <v/>
      </c>
      <c r="K379" s="13" t="n"/>
      <c r="L379" s="13" t="n"/>
      <c r="M379" s="17">
        <f>IF($C379="","",IF(ISNA(MATCH($C379,项目名表,0)),"※项目不在项目台账里",IF($E379="※工作类型没选","※工作类型没选","")))</f>
        <v/>
      </c>
    </row>
    <row r="380">
      <c r="A380" s="17">
        <f>IF($C380="","",ROW()-3)</f>
        <v/>
      </c>
      <c r="B380" s="18" t="n"/>
      <c r="C380" s="13" t="n"/>
      <c r="D380" s="13" t="n"/>
      <c r="E380" s="17">
        <f>IF($C380="","",IFERROR(VLOOKUP($D380,工作归属,2,0),"※工作类型没选"))</f>
        <v/>
      </c>
      <c r="F380" s="13" t="n"/>
      <c r="G380" s="13" t="n"/>
      <c r="H380" s="20" t="n"/>
      <c r="I380" s="14" t="n"/>
      <c r="J380" s="19">
        <f>IF($C380="","",ROUND(IF($H380="",1,$H380)*N($I380),2))</f>
        <v/>
      </c>
      <c r="K380" s="13" t="n"/>
      <c r="L380" s="13" t="n"/>
      <c r="M380" s="17">
        <f>IF($C380="","",IF(ISNA(MATCH($C380,项目名表,0)),"※项目不在项目台账里",IF($E380="※工作类型没选","※工作类型没选","")))</f>
        <v/>
      </c>
    </row>
    <row r="381">
      <c r="A381" s="17">
        <f>IF($C381="","",ROW()-3)</f>
        <v/>
      </c>
      <c r="B381" s="18" t="n"/>
      <c r="C381" s="13" t="n"/>
      <c r="D381" s="13" t="n"/>
      <c r="E381" s="17">
        <f>IF($C381="","",IFERROR(VLOOKUP($D381,工作归属,2,0),"※工作类型没选"))</f>
        <v/>
      </c>
      <c r="F381" s="13" t="n"/>
      <c r="G381" s="13" t="n"/>
      <c r="H381" s="20" t="n"/>
      <c r="I381" s="14" t="n"/>
      <c r="J381" s="19">
        <f>IF($C381="","",ROUND(IF($H381="",1,$H381)*N($I381),2))</f>
        <v/>
      </c>
      <c r="K381" s="13" t="n"/>
      <c r="L381" s="13" t="n"/>
      <c r="M381" s="17">
        <f>IF($C381="","",IF(ISNA(MATCH($C381,项目名表,0)),"※项目不在项目台账里",IF($E381="※工作类型没选","※工作类型没选","")))</f>
        <v/>
      </c>
    </row>
    <row r="382">
      <c r="A382" s="17">
        <f>IF($C382="","",ROW()-3)</f>
        <v/>
      </c>
      <c r="B382" s="18" t="n"/>
      <c r="C382" s="13" t="n"/>
      <c r="D382" s="13" t="n"/>
      <c r="E382" s="17">
        <f>IF($C382="","",IFERROR(VLOOKUP($D382,工作归属,2,0),"※工作类型没选"))</f>
        <v/>
      </c>
      <c r="F382" s="13" t="n"/>
      <c r="G382" s="13" t="n"/>
      <c r="H382" s="20" t="n"/>
      <c r="I382" s="14" t="n"/>
      <c r="J382" s="19">
        <f>IF($C382="","",ROUND(IF($H382="",1,$H382)*N($I382),2))</f>
        <v/>
      </c>
      <c r="K382" s="13" t="n"/>
      <c r="L382" s="13" t="n"/>
      <c r="M382" s="17">
        <f>IF($C382="","",IF(ISNA(MATCH($C382,项目名表,0)),"※项目不在项目台账里",IF($E382="※工作类型没选","※工作类型没选","")))</f>
        <v/>
      </c>
    </row>
    <row r="383">
      <c r="A383" s="17">
        <f>IF($C383="","",ROW()-3)</f>
        <v/>
      </c>
      <c r="B383" s="18" t="n"/>
      <c r="C383" s="13" t="n"/>
      <c r="D383" s="13" t="n"/>
      <c r="E383" s="17">
        <f>IF($C383="","",IFERROR(VLOOKUP($D383,工作归属,2,0),"※工作类型没选"))</f>
        <v/>
      </c>
      <c r="F383" s="13" t="n"/>
      <c r="G383" s="13" t="n"/>
      <c r="H383" s="20" t="n"/>
      <c r="I383" s="14" t="n"/>
      <c r="J383" s="19">
        <f>IF($C383="","",ROUND(IF($H383="",1,$H383)*N($I383),2))</f>
        <v/>
      </c>
      <c r="K383" s="13" t="n"/>
      <c r="L383" s="13" t="n"/>
      <c r="M383" s="17">
        <f>IF($C383="","",IF(ISNA(MATCH($C383,项目名表,0)),"※项目不在项目台账里",IF($E383="※工作类型没选","※工作类型没选","")))</f>
        <v/>
      </c>
    </row>
    <row r="384">
      <c r="A384" s="17">
        <f>IF($C384="","",ROW()-3)</f>
        <v/>
      </c>
      <c r="B384" s="18" t="n"/>
      <c r="C384" s="13" t="n"/>
      <c r="D384" s="13" t="n"/>
      <c r="E384" s="17">
        <f>IF($C384="","",IFERROR(VLOOKUP($D384,工作归属,2,0),"※工作类型没选"))</f>
        <v/>
      </c>
      <c r="F384" s="13" t="n"/>
      <c r="G384" s="13" t="n"/>
      <c r="H384" s="20" t="n"/>
      <c r="I384" s="14" t="n"/>
      <c r="J384" s="19">
        <f>IF($C384="","",ROUND(IF($H384="",1,$H384)*N($I384),2))</f>
        <v/>
      </c>
      <c r="K384" s="13" t="n"/>
      <c r="L384" s="13" t="n"/>
      <c r="M384" s="17">
        <f>IF($C384="","",IF(ISNA(MATCH($C384,项目名表,0)),"※项目不在项目台账里",IF($E384="※工作类型没选","※工作类型没选","")))</f>
        <v/>
      </c>
    </row>
    <row r="385">
      <c r="A385" s="17">
        <f>IF($C385="","",ROW()-3)</f>
        <v/>
      </c>
      <c r="B385" s="18" t="n"/>
      <c r="C385" s="13" t="n"/>
      <c r="D385" s="13" t="n"/>
      <c r="E385" s="17">
        <f>IF($C385="","",IFERROR(VLOOKUP($D385,工作归属,2,0),"※工作类型没选"))</f>
        <v/>
      </c>
      <c r="F385" s="13" t="n"/>
      <c r="G385" s="13" t="n"/>
      <c r="H385" s="20" t="n"/>
      <c r="I385" s="14" t="n"/>
      <c r="J385" s="19">
        <f>IF($C385="","",ROUND(IF($H385="",1,$H385)*N($I385),2))</f>
        <v/>
      </c>
      <c r="K385" s="13" t="n"/>
      <c r="L385" s="13" t="n"/>
      <c r="M385" s="17">
        <f>IF($C385="","",IF(ISNA(MATCH($C385,项目名表,0)),"※项目不在项目台账里",IF($E385="※工作类型没选","※工作类型没选","")))</f>
        <v/>
      </c>
    </row>
    <row r="386">
      <c r="A386" s="17">
        <f>IF($C386="","",ROW()-3)</f>
        <v/>
      </c>
      <c r="B386" s="18" t="n"/>
      <c r="C386" s="13" t="n"/>
      <c r="D386" s="13" t="n"/>
      <c r="E386" s="17">
        <f>IF($C386="","",IFERROR(VLOOKUP($D386,工作归属,2,0),"※工作类型没选"))</f>
        <v/>
      </c>
      <c r="F386" s="13" t="n"/>
      <c r="G386" s="13" t="n"/>
      <c r="H386" s="20" t="n"/>
      <c r="I386" s="14" t="n"/>
      <c r="J386" s="19">
        <f>IF($C386="","",ROUND(IF($H386="",1,$H386)*N($I386),2))</f>
        <v/>
      </c>
      <c r="K386" s="13" t="n"/>
      <c r="L386" s="13" t="n"/>
      <c r="M386" s="17">
        <f>IF($C386="","",IF(ISNA(MATCH($C386,项目名表,0)),"※项目不在项目台账里",IF($E386="※工作类型没选","※工作类型没选","")))</f>
        <v/>
      </c>
    </row>
    <row r="387">
      <c r="A387" s="17">
        <f>IF($C387="","",ROW()-3)</f>
        <v/>
      </c>
      <c r="B387" s="18" t="n"/>
      <c r="C387" s="13" t="n"/>
      <c r="D387" s="13" t="n"/>
      <c r="E387" s="17">
        <f>IF($C387="","",IFERROR(VLOOKUP($D387,工作归属,2,0),"※工作类型没选"))</f>
        <v/>
      </c>
      <c r="F387" s="13" t="n"/>
      <c r="G387" s="13" t="n"/>
      <c r="H387" s="20" t="n"/>
      <c r="I387" s="14" t="n"/>
      <c r="J387" s="19">
        <f>IF($C387="","",ROUND(IF($H387="",1,$H387)*N($I387),2))</f>
        <v/>
      </c>
      <c r="K387" s="13" t="n"/>
      <c r="L387" s="13" t="n"/>
      <c r="M387" s="17">
        <f>IF($C387="","",IF(ISNA(MATCH($C387,项目名表,0)),"※项目不在项目台账里",IF($E387="※工作类型没选","※工作类型没选","")))</f>
        <v/>
      </c>
    </row>
    <row r="388">
      <c r="A388" s="17">
        <f>IF($C388="","",ROW()-3)</f>
        <v/>
      </c>
      <c r="B388" s="18" t="n"/>
      <c r="C388" s="13" t="n"/>
      <c r="D388" s="13" t="n"/>
      <c r="E388" s="17">
        <f>IF($C388="","",IFERROR(VLOOKUP($D388,工作归属,2,0),"※工作类型没选"))</f>
        <v/>
      </c>
      <c r="F388" s="13" t="n"/>
      <c r="G388" s="13" t="n"/>
      <c r="H388" s="20" t="n"/>
      <c r="I388" s="14" t="n"/>
      <c r="J388" s="19">
        <f>IF($C388="","",ROUND(IF($H388="",1,$H388)*N($I388),2))</f>
        <v/>
      </c>
      <c r="K388" s="13" t="n"/>
      <c r="L388" s="13" t="n"/>
      <c r="M388" s="17">
        <f>IF($C388="","",IF(ISNA(MATCH($C388,项目名表,0)),"※项目不在项目台账里",IF($E388="※工作类型没选","※工作类型没选","")))</f>
        <v/>
      </c>
    </row>
    <row r="389">
      <c r="A389" s="17">
        <f>IF($C389="","",ROW()-3)</f>
        <v/>
      </c>
      <c r="B389" s="18" t="n"/>
      <c r="C389" s="13" t="n"/>
      <c r="D389" s="13" t="n"/>
      <c r="E389" s="17">
        <f>IF($C389="","",IFERROR(VLOOKUP($D389,工作归属,2,0),"※工作类型没选"))</f>
        <v/>
      </c>
      <c r="F389" s="13" t="n"/>
      <c r="G389" s="13" t="n"/>
      <c r="H389" s="20" t="n"/>
      <c r="I389" s="14" t="n"/>
      <c r="J389" s="19">
        <f>IF($C389="","",ROUND(IF($H389="",1,$H389)*N($I389),2))</f>
        <v/>
      </c>
      <c r="K389" s="13" t="n"/>
      <c r="L389" s="13" t="n"/>
      <c r="M389" s="17">
        <f>IF($C389="","",IF(ISNA(MATCH($C389,项目名表,0)),"※项目不在项目台账里",IF($E389="※工作类型没选","※工作类型没选","")))</f>
        <v/>
      </c>
    </row>
    <row r="390">
      <c r="A390" s="17">
        <f>IF($C390="","",ROW()-3)</f>
        <v/>
      </c>
      <c r="B390" s="18" t="n"/>
      <c r="C390" s="13" t="n"/>
      <c r="D390" s="13" t="n"/>
      <c r="E390" s="17">
        <f>IF($C390="","",IFERROR(VLOOKUP($D390,工作归属,2,0),"※工作类型没选"))</f>
        <v/>
      </c>
      <c r="F390" s="13" t="n"/>
      <c r="G390" s="13" t="n"/>
      <c r="H390" s="20" t="n"/>
      <c r="I390" s="14" t="n"/>
      <c r="J390" s="19">
        <f>IF($C390="","",ROUND(IF($H390="",1,$H390)*N($I390),2))</f>
        <v/>
      </c>
      <c r="K390" s="13" t="n"/>
      <c r="L390" s="13" t="n"/>
      <c r="M390" s="17">
        <f>IF($C390="","",IF(ISNA(MATCH($C390,项目名表,0)),"※项目不在项目台账里",IF($E390="※工作类型没选","※工作类型没选","")))</f>
        <v/>
      </c>
    </row>
    <row r="391">
      <c r="A391" s="17">
        <f>IF($C391="","",ROW()-3)</f>
        <v/>
      </c>
      <c r="B391" s="18" t="n"/>
      <c r="C391" s="13" t="n"/>
      <c r="D391" s="13" t="n"/>
      <c r="E391" s="17">
        <f>IF($C391="","",IFERROR(VLOOKUP($D391,工作归属,2,0),"※工作类型没选"))</f>
        <v/>
      </c>
      <c r="F391" s="13" t="n"/>
      <c r="G391" s="13" t="n"/>
      <c r="H391" s="20" t="n"/>
      <c r="I391" s="14" t="n"/>
      <c r="J391" s="19">
        <f>IF($C391="","",ROUND(IF($H391="",1,$H391)*N($I391),2))</f>
        <v/>
      </c>
      <c r="K391" s="13" t="n"/>
      <c r="L391" s="13" t="n"/>
      <c r="M391" s="17">
        <f>IF($C391="","",IF(ISNA(MATCH($C391,项目名表,0)),"※项目不在项目台账里",IF($E391="※工作类型没选","※工作类型没选","")))</f>
        <v/>
      </c>
    </row>
    <row r="392">
      <c r="A392" s="17">
        <f>IF($C392="","",ROW()-3)</f>
        <v/>
      </c>
      <c r="B392" s="18" t="n"/>
      <c r="C392" s="13" t="n"/>
      <c r="D392" s="13" t="n"/>
      <c r="E392" s="17">
        <f>IF($C392="","",IFERROR(VLOOKUP($D392,工作归属,2,0),"※工作类型没选"))</f>
        <v/>
      </c>
      <c r="F392" s="13" t="n"/>
      <c r="G392" s="13" t="n"/>
      <c r="H392" s="20" t="n"/>
      <c r="I392" s="14" t="n"/>
      <c r="J392" s="19">
        <f>IF($C392="","",ROUND(IF($H392="",1,$H392)*N($I392),2))</f>
        <v/>
      </c>
      <c r="K392" s="13" t="n"/>
      <c r="L392" s="13" t="n"/>
      <c r="M392" s="17">
        <f>IF($C392="","",IF(ISNA(MATCH($C392,项目名表,0)),"※项目不在项目台账里",IF($E392="※工作类型没选","※工作类型没选","")))</f>
        <v/>
      </c>
    </row>
    <row r="393">
      <c r="A393" s="17">
        <f>IF($C393="","",ROW()-3)</f>
        <v/>
      </c>
      <c r="B393" s="18" t="n"/>
      <c r="C393" s="13" t="n"/>
      <c r="D393" s="13" t="n"/>
      <c r="E393" s="17">
        <f>IF($C393="","",IFERROR(VLOOKUP($D393,工作归属,2,0),"※工作类型没选"))</f>
        <v/>
      </c>
      <c r="F393" s="13" t="n"/>
      <c r="G393" s="13" t="n"/>
      <c r="H393" s="20" t="n"/>
      <c r="I393" s="14" t="n"/>
      <c r="J393" s="19">
        <f>IF($C393="","",ROUND(IF($H393="",1,$H393)*N($I393),2))</f>
        <v/>
      </c>
      <c r="K393" s="13" t="n"/>
      <c r="L393" s="13" t="n"/>
      <c r="M393" s="17">
        <f>IF($C393="","",IF(ISNA(MATCH($C393,项目名表,0)),"※项目不在项目台账里",IF($E393="※工作类型没选","※工作类型没选","")))</f>
        <v/>
      </c>
    </row>
    <row r="394">
      <c r="A394" s="17">
        <f>IF($C394="","",ROW()-3)</f>
        <v/>
      </c>
      <c r="B394" s="18" t="n"/>
      <c r="C394" s="13" t="n"/>
      <c r="D394" s="13" t="n"/>
      <c r="E394" s="17">
        <f>IF($C394="","",IFERROR(VLOOKUP($D394,工作归属,2,0),"※工作类型没选"))</f>
        <v/>
      </c>
      <c r="F394" s="13" t="n"/>
      <c r="G394" s="13" t="n"/>
      <c r="H394" s="20" t="n"/>
      <c r="I394" s="14" t="n"/>
      <c r="J394" s="19">
        <f>IF($C394="","",ROUND(IF($H394="",1,$H394)*N($I394),2))</f>
        <v/>
      </c>
      <c r="K394" s="13" t="n"/>
      <c r="L394" s="13" t="n"/>
      <c r="M394" s="17">
        <f>IF($C394="","",IF(ISNA(MATCH($C394,项目名表,0)),"※项目不在项目台账里",IF($E394="※工作类型没选","※工作类型没选","")))</f>
        <v/>
      </c>
    </row>
    <row r="395">
      <c r="A395" s="17">
        <f>IF($C395="","",ROW()-3)</f>
        <v/>
      </c>
      <c r="B395" s="18" t="n"/>
      <c r="C395" s="13" t="n"/>
      <c r="D395" s="13" t="n"/>
      <c r="E395" s="17">
        <f>IF($C395="","",IFERROR(VLOOKUP($D395,工作归属,2,0),"※工作类型没选"))</f>
        <v/>
      </c>
      <c r="F395" s="13" t="n"/>
      <c r="G395" s="13" t="n"/>
      <c r="H395" s="20" t="n"/>
      <c r="I395" s="14" t="n"/>
      <c r="J395" s="19">
        <f>IF($C395="","",ROUND(IF($H395="",1,$H395)*N($I395),2))</f>
        <v/>
      </c>
      <c r="K395" s="13" t="n"/>
      <c r="L395" s="13" t="n"/>
      <c r="M395" s="17">
        <f>IF($C395="","",IF(ISNA(MATCH($C395,项目名表,0)),"※项目不在项目台账里",IF($E395="※工作类型没选","※工作类型没选","")))</f>
        <v/>
      </c>
    </row>
    <row r="396">
      <c r="A396" s="17">
        <f>IF($C396="","",ROW()-3)</f>
        <v/>
      </c>
      <c r="B396" s="18" t="n"/>
      <c r="C396" s="13" t="n"/>
      <c r="D396" s="13" t="n"/>
      <c r="E396" s="17">
        <f>IF($C396="","",IFERROR(VLOOKUP($D396,工作归属,2,0),"※工作类型没选"))</f>
        <v/>
      </c>
      <c r="F396" s="13" t="n"/>
      <c r="G396" s="13" t="n"/>
      <c r="H396" s="20" t="n"/>
      <c r="I396" s="14" t="n"/>
      <c r="J396" s="19">
        <f>IF($C396="","",ROUND(IF($H396="",1,$H396)*N($I396),2))</f>
        <v/>
      </c>
      <c r="K396" s="13" t="n"/>
      <c r="L396" s="13" t="n"/>
      <c r="M396" s="17">
        <f>IF($C396="","",IF(ISNA(MATCH($C396,项目名表,0)),"※项目不在项目台账里",IF($E396="※工作类型没选","※工作类型没选","")))</f>
        <v/>
      </c>
    </row>
    <row r="397">
      <c r="A397" s="17">
        <f>IF($C397="","",ROW()-3)</f>
        <v/>
      </c>
      <c r="B397" s="18" t="n"/>
      <c r="C397" s="13" t="n"/>
      <c r="D397" s="13" t="n"/>
      <c r="E397" s="17">
        <f>IF($C397="","",IFERROR(VLOOKUP($D397,工作归属,2,0),"※工作类型没选"))</f>
        <v/>
      </c>
      <c r="F397" s="13" t="n"/>
      <c r="G397" s="13" t="n"/>
      <c r="H397" s="20" t="n"/>
      <c r="I397" s="14" t="n"/>
      <c r="J397" s="19">
        <f>IF($C397="","",ROUND(IF($H397="",1,$H397)*N($I397),2))</f>
        <v/>
      </c>
      <c r="K397" s="13" t="n"/>
      <c r="L397" s="13" t="n"/>
      <c r="M397" s="17">
        <f>IF($C397="","",IF(ISNA(MATCH($C397,项目名表,0)),"※项目不在项目台账里",IF($E397="※工作类型没选","※工作类型没选","")))</f>
        <v/>
      </c>
    </row>
    <row r="398">
      <c r="A398" s="17">
        <f>IF($C398="","",ROW()-3)</f>
        <v/>
      </c>
      <c r="B398" s="18" t="n"/>
      <c r="C398" s="13" t="n"/>
      <c r="D398" s="13" t="n"/>
      <c r="E398" s="17">
        <f>IF($C398="","",IFERROR(VLOOKUP($D398,工作归属,2,0),"※工作类型没选"))</f>
        <v/>
      </c>
      <c r="F398" s="13" t="n"/>
      <c r="G398" s="13" t="n"/>
      <c r="H398" s="20" t="n"/>
      <c r="I398" s="14" t="n"/>
      <c r="J398" s="19">
        <f>IF($C398="","",ROUND(IF($H398="",1,$H398)*N($I398),2))</f>
        <v/>
      </c>
      <c r="K398" s="13" t="n"/>
      <c r="L398" s="13" t="n"/>
      <c r="M398" s="17">
        <f>IF($C398="","",IF(ISNA(MATCH($C398,项目名表,0)),"※项目不在项目台账里",IF($E398="※工作类型没选","※工作类型没选","")))</f>
        <v/>
      </c>
    </row>
    <row r="399">
      <c r="A399" s="17">
        <f>IF($C399="","",ROW()-3)</f>
        <v/>
      </c>
      <c r="B399" s="18" t="n"/>
      <c r="C399" s="13" t="n"/>
      <c r="D399" s="13" t="n"/>
      <c r="E399" s="17">
        <f>IF($C399="","",IFERROR(VLOOKUP($D399,工作归属,2,0),"※工作类型没选"))</f>
        <v/>
      </c>
      <c r="F399" s="13" t="n"/>
      <c r="G399" s="13" t="n"/>
      <c r="H399" s="20" t="n"/>
      <c r="I399" s="14" t="n"/>
      <c r="J399" s="19">
        <f>IF($C399="","",ROUND(IF($H399="",1,$H399)*N($I399),2))</f>
        <v/>
      </c>
      <c r="K399" s="13" t="n"/>
      <c r="L399" s="13" t="n"/>
      <c r="M399" s="17">
        <f>IF($C399="","",IF(ISNA(MATCH($C399,项目名表,0)),"※项目不在项目台账里",IF($E399="※工作类型没选","※工作类型没选","")))</f>
        <v/>
      </c>
    </row>
    <row r="400">
      <c r="A400" s="17">
        <f>IF($C400="","",ROW()-3)</f>
        <v/>
      </c>
      <c r="B400" s="18" t="n"/>
      <c r="C400" s="13" t="n"/>
      <c r="D400" s="13" t="n"/>
      <c r="E400" s="17">
        <f>IF($C400="","",IFERROR(VLOOKUP($D400,工作归属,2,0),"※工作类型没选"))</f>
        <v/>
      </c>
      <c r="F400" s="13" t="n"/>
      <c r="G400" s="13" t="n"/>
      <c r="H400" s="20" t="n"/>
      <c r="I400" s="14" t="n"/>
      <c r="J400" s="19">
        <f>IF($C400="","",ROUND(IF($H400="",1,$H400)*N($I400),2))</f>
        <v/>
      </c>
      <c r="K400" s="13" t="n"/>
      <c r="L400" s="13" t="n"/>
      <c r="M400" s="17">
        <f>IF($C400="","",IF(ISNA(MATCH($C400,项目名表,0)),"※项目不在项目台账里",IF($E400="※工作类型没选","※工作类型没选","")))</f>
        <v/>
      </c>
    </row>
    <row r="401">
      <c r="A401" s="17">
        <f>IF($C401="","",ROW()-3)</f>
        <v/>
      </c>
      <c r="B401" s="18" t="n"/>
      <c r="C401" s="13" t="n"/>
      <c r="D401" s="13" t="n"/>
      <c r="E401" s="17">
        <f>IF($C401="","",IFERROR(VLOOKUP($D401,工作归属,2,0),"※工作类型没选"))</f>
        <v/>
      </c>
      <c r="F401" s="13" t="n"/>
      <c r="G401" s="13" t="n"/>
      <c r="H401" s="20" t="n"/>
      <c r="I401" s="14" t="n"/>
      <c r="J401" s="19">
        <f>IF($C401="","",ROUND(IF($H401="",1,$H401)*N($I401),2))</f>
        <v/>
      </c>
      <c r="K401" s="13" t="n"/>
      <c r="L401" s="13" t="n"/>
      <c r="M401" s="17">
        <f>IF($C401="","",IF(ISNA(MATCH($C401,项目名表,0)),"※项目不在项目台账里",IF($E401="※工作类型没选","※工作类型没选","")))</f>
        <v/>
      </c>
    </row>
    <row r="402">
      <c r="A402" s="17">
        <f>IF($C402="","",ROW()-3)</f>
        <v/>
      </c>
      <c r="B402" s="18" t="n"/>
      <c r="C402" s="13" t="n"/>
      <c r="D402" s="13" t="n"/>
      <c r="E402" s="17">
        <f>IF($C402="","",IFERROR(VLOOKUP($D402,工作归属,2,0),"※工作类型没选"))</f>
        <v/>
      </c>
      <c r="F402" s="13" t="n"/>
      <c r="G402" s="13" t="n"/>
      <c r="H402" s="20" t="n"/>
      <c r="I402" s="14" t="n"/>
      <c r="J402" s="19">
        <f>IF($C402="","",ROUND(IF($H402="",1,$H402)*N($I402),2))</f>
        <v/>
      </c>
      <c r="K402" s="13" t="n"/>
      <c r="L402" s="13" t="n"/>
      <c r="M402" s="17">
        <f>IF($C402="","",IF(ISNA(MATCH($C402,项目名表,0)),"※项目不在项目台账里",IF($E402="※工作类型没选","※工作类型没选","")))</f>
        <v/>
      </c>
    </row>
    <row r="403">
      <c r="A403" s="17">
        <f>IF($C403="","",ROW()-3)</f>
        <v/>
      </c>
      <c r="B403" s="18" t="n"/>
      <c r="C403" s="13" t="n"/>
      <c r="D403" s="13" t="n"/>
      <c r="E403" s="17">
        <f>IF($C403="","",IFERROR(VLOOKUP($D403,工作归属,2,0),"※工作类型没选"))</f>
        <v/>
      </c>
      <c r="F403" s="13" t="n"/>
      <c r="G403" s="13" t="n"/>
      <c r="H403" s="20" t="n"/>
      <c r="I403" s="14" t="n"/>
      <c r="J403" s="19">
        <f>IF($C403="","",ROUND(IF($H403="",1,$H403)*N($I403),2))</f>
        <v/>
      </c>
      <c r="K403" s="13" t="n"/>
      <c r="L403" s="13" t="n"/>
      <c r="M403" s="17">
        <f>IF($C403="","",IF(ISNA(MATCH($C403,项目名表,0)),"※项目不在项目台账里",IF($E403="※工作类型没选","※工作类型没选","")))</f>
        <v/>
      </c>
    </row>
    <row r="404">
      <c r="A404" s="17">
        <f>IF($C404="","",ROW()-3)</f>
        <v/>
      </c>
      <c r="B404" s="18" t="n"/>
      <c r="C404" s="13" t="n"/>
      <c r="D404" s="13" t="n"/>
      <c r="E404" s="17">
        <f>IF($C404="","",IFERROR(VLOOKUP($D404,工作归属,2,0),"※工作类型没选"))</f>
        <v/>
      </c>
      <c r="F404" s="13" t="n"/>
      <c r="G404" s="13" t="n"/>
      <c r="H404" s="20" t="n"/>
      <c r="I404" s="14" t="n"/>
      <c r="J404" s="19">
        <f>IF($C404="","",ROUND(IF($H404="",1,$H404)*N($I404),2))</f>
        <v/>
      </c>
      <c r="K404" s="13" t="n"/>
      <c r="L404" s="13" t="n"/>
      <c r="M404" s="17">
        <f>IF($C404="","",IF(ISNA(MATCH($C404,项目名表,0)),"※项目不在项目台账里",IF($E404="※工作类型没选","※工作类型没选","")))</f>
        <v/>
      </c>
    </row>
    <row r="405">
      <c r="A405" s="17">
        <f>IF($C405="","",ROW()-3)</f>
        <v/>
      </c>
      <c r="B405" s="18" t="n"/>
      <c r="C405" s="13" t="n"/>
      <c r="D405" s="13" t="n"/>
      <c r="E405" s="17">
        <f>IF($C405="","",IFERROR(VLOOKUP($D405,工作归属,2,0),"※工作类型没选"))</f>
        <v/>
      </c>
      <c r="F405" s="13" t="n"/>
      <c r="G405" s="13" t="n"/>
      <c r="H405" s="20" t="n"/>
      <c r="I405" s="14" t="n"/>
      <c r="J405" s="19">
        <f>IF($C405="","",ROUND(IF($H405="",1,$H405)*N($I405),2))</f>
        <v/>
      </c>
      <c r="K405" s="13" t="n"/>
      <c r="L405" s="13" t="n"/>
      <c r="M405" s="17">
        <f>IF($C405="","",IF(ISNA(MATCH($C405,项目名表,0)),"※项目不在项目台账里",IF($E405="※工作类型没选","※工作类型没选","")))</f>
        <v/>
      </c>
    </row>
    <row r="406">
      <c r="A406" s="17">
        <f>IF($C406="","",ROW()-3)</f>
        <v/>
      </c>
      <c r="B406" s="18" t="n"/>
      <c r="C406" s="13" t="n"/>
      <c r="D406" s="13" t="n"/>
      <c r="E406" s="17">
        <f>IF($C406="","",IFERROR(VLOOKUP($D406,工作归属,2,0),"※工作类型没选"))</f>
        <v/>
      </c>
      <c r="F406" s="13" t="n"/>
      <c r="G406" s="13" t="n"/>
      <c r="H406" s="20" t="n"/>
      <c r="I406" s="14" t="n"/>
      <c r="J406" s="19">
        <f>IF($C406="","",ROUND(IF($H406="",1,$H406)*N($I406),2))</f>
        <v/>
      </c>
      <c r="K406" s="13" t="n"/>
      <c r="L406" s="13" t="n"/>
      <c r="M406" s="17">
        <f>IF($C406="","",IF(ISNA(MATCH($C406,项目名表,0)),"※项目不在项目台账里",IF($E406="※工作类型没选","※工作类型没选","")))</f>
        <v/>
      </c>
    </row>
    <row r="407">
      <c r="A407" s="17">
        <f>IF($C407="","",ROW()-3)</f>
        <v/>
      </c>
      <c r="B407" s="18" t="n"/>
      <c r="C407" s="13" t="n"/>
      <c r="D407" s="13" t="n"/>
      <c r="E407" s="17">
        <f>IF($C407="","",IFERROR(VLOOKUP($D407,工作归属,2,0),"※工作类型没选"))</f>
        <v/>
      </c>
      <c r="F407" s="13" t="n"/>
      <c r="G407" s="13" t="n"/>
      <c r="H407" s="20" t="n"/>
      <c r="I407" s="14" t="n"/>
      <c r="J407" s="19">
        <f>IF($C407="","",ROUND(IF($H407="",1,$H407)*N($I407),2))</f>
        <v/>
      </c>
      <c r="K407" s="13" t="n"/>
      <c r="L407" s="13" t="n"/>
      <c r="M407" s="17">
        <f>IF($C407="","",IF(ISNA(MATCH($C407,项目名表,0)),"※项目不在项目台账里",IF($E407="※工作类型没选","※工作类型没选","")))</f>
        <v/>
      </c>
    </row>
    <row r="408">
      <c r="A408" s="17">
        <f>IF($C408="","",ROW()-3)</f>
        <v/>
      </c>
      <c r="B408" s="18" t="n"/>
      <c r="C408" s="13" t="n"/>
      <c r="D408" s="13" t="n"/>
      <c r="E408" s="17">
        <f>IF($C408="","",IFERROR(VLOOKUP($D408,工作归属,2,0),"※工作类型没选"))</f>
        <v/>
      </c>
      <c r="F408" s="13" t="n"/>
      <c r="G408" s="13" t="n"/>
      <c r="H408" s="20" t="n"/>
      <c r="I408" s="14" t="n"/>
      <c r="J408" s="19">
        <f>IF($C408="","",ROUND(IF($H408="",1,$H408)*N($I408),2))</f>
        <v/>
      </c>
      <c r="K408" s="13" t="n"/>
      <c r="L408" s="13" t="n"/>
      <c r="M408" s="17">
        <f>IF($C408="","",IF(ISNA(MATCH($C408,项目名表,0)),"※项目不在项目台账里",IF($E408="※工作类型没选","※工作类型没选","")))</f>
        <v/>
      </c>
    </row>
    <row r="409">
      <c r="A409" s="17">
        <f>IF($C409="","",ROW()-3)</f>
        <v/>
      </c>
      <c r="B409" s="18" t="n"/>
      <c r="C409" s="13" t="n"/>
      <c r="D409" s="13" t="n"/>
      <c r="E409" s="17">
        <f>IF($C409="","",IFERROR(VLOOKUP($D409,工作归属,2,0),"※工作类型没选"))</f>
        <v/>
      </c>
      <c r="F409" s="13" t="n"/>
      <c r="G409" s="13" t="n"/>
      <c r="H409" s="20" t="n"/>
      <c r="I409" s="14" t="n"/>
      <c r="J409" s="19">
        <f>IF($C409="","",ROUND(IF($H409="",1,$H409)*N($I409),2))</f>
        <v/>
      </c>
      <c r="K409" s="13" t="n"/>
      <c r="L409" s="13" t="n"/>
      <c r="M409" s="17">
        <f>IF($C409="","",IF(ISNA(MATCH($C409,项目名表,0)),"※项目不在项目台账里",IF($E409="※工作类型没选","※工作类型没选","")))</f>
        <v/>
      </c>
    </row>
    <row r="410">
      <c r="A410" s="17">
        <f>IF($C410="","",ROW()-3)</f>
        <v/>
      </c>
      <c r="B410" s="18" t="n"/>
      <c r="C410" s="13" t="n"/>
      <c r="D410" s="13" t="n"/>
      <c r="E410" s="17">
        <f>IF($C410="","",IFERROR(VLOOKUP($D410,工作归属,2,0),"※工作类型没选"))</f>
        <v/>
      </c>
      <c r="F410" s="13" t="n"/>
      <c r="G410" s="13" t="n"/>
      <c r="H410" s="20" t="n"/>
      <c r="I410" s="14" t="n"/>
      <c r="J410" s="19">
        <f>IF($C410="","",ROUND(IF($H410="",1,$H410)*N($I410),2))</f>
        <v/>
      </c>
      <c r="K410" s="13" t="n"/>
      <c r="L410" s="13" t="n"/>
      <c r="M410" s="17">
        <f>IF($C410="","",IF(ISNA(MATCH($C410,项目名表,0)),"※项目不在项目台账里",IF($E410="※工作类型没选","※工作类型没选","")))</f>
        <v/>
      </c>
    </row>
    <row r="411">
      <c r="A411" s="17">
        <f>IF($C411="","",ROW()-3)</f>
        <v/>
      </c>
      <c r="B411" s="18" t="n"/>
      <c r="C411" s="13" t="n"/>
      <c r="D411" s="13" t="n"/>
      <c r="E411" s="17">
        <f>IF($C411="","",IFERROR(VLOOKUP($D411,工作归属,2,0),"※工作类型没选"))</f>
        <v/>
      </c>
      <c r="F411" s="13" t="n"/>
      <c r="G411" s="13" t="n"/>
      <c r="H411" s="20" t="n"/>
      <c r="I411" s="14" t="n"/>
      <c r="J411" s="19">
        <f>IF($C411="","",ROUND(IF($H411="",1,$H411)*N($I411),2))</f>
        <v/>
      </c>
      <c r="K411" s="13" t="n"/>
      <c r="L411" s="13" t="n"/>
      <c r="M411" s="17">
        <f>IF($C411="","",IF(ISNA(MATCH($C411,项目名表,0)),"※项目不在项目台账里",IF($E411="※工作类型没选","※工作类型没选","")))</f>
        <v/>
      </c>
    </row>
    <row r="412">
      <c r="A412" s="17">
        <f>IF($C412="","",ROW()-3)</f>
        <v/>
      </c>
      <c r="B412" s="18" t="n"/>
      <c r="C412" s="13" t="n"/>
      <c r="D412" s="13" t="n"/>
      <c r="E412" s="17">
        <f>IF($C412="","",IFERROR(VLOOKUP($D412,工作归属,2,0),"※工作类型没选"))</f>
        <v/>
      </c>
      <c r="F412" s="13" t="n"/>
      <c r="G412" s="13" t="n"/>
      <c r="H412" s="20" t="n"/>
      <c r="I412" s="14" t="n"/>
      <c r="J412" s="19">
        <f>IF($C412="","",ROUND(IF($H412="",1,$H412)*N($I412),2))</f>
        <v/>
      </c>
      <c r="K412" s="13" t="n"/>
      <c r="L412" s="13" t="n"/>
      <c r="M412" s="17">
        <f>IF($C412="","",IF(ISNA(MATCH($C412,项目名表,0)),"※项目不在项目台账里",IF($E412="※工作类型没选","※工作类型没选","")))</f>
        <v/>
      </c>
    </row>
    <row r="413">
      <c r="A413" s="17">
        <f>IF($C413="","",ROW()-3)</f>
        <v/>
      </c>
      <c r="B413" s="18" t="n"/>
      <c r="C413" s="13" t="n"/>
      <c r="D413" s="13" t="n"/>
      <c r="E413" s="17">
        <f>IF($C413="","",IFERROR(VLOOKUP($D413,工作归属,2,0),"※工作类型没选"))</f>
        <v/>
      </c>
      <c r="F413" s="13" t="n"/>
      <c r="G413" s="13" t="n"/>
      <c r="H413" s="20" t="n"/>
      <c r="I413" s="14" t="n"/>
      <c r="J413" s="19">
        <f>IF($C413="","",ROUND(IF($H413="",1,$H413)*N($I413),2))</f>
        <v/>
      </c>
      <c r="K413" s="13" t="n"/>
      <c r="L413" s="13" t="n"/>
      <c r="M413" s="17">
        <f>IF($C413="","",IF(ISNA(MATCH($C413,项目名表,0)),"※项目不在项目台账里",IF($E413="※工作类型没选","※工作类型没选","")))</f>
        <v/>
      </c>
    </row>
    <row r="414">
      <c r="A414" s="17">
        <f>IF($C414="","",ROW()-3)</f>
        <v/>
      </c>
      <c r="B414" s="18" t="n"/>
      <c r="C414" s="13" t="n"/>
      <c r="D414" s="13" t="n"/>
      <c r="E414" s="17">
        <f>IF($C414="","",IFERROR(VLOOKUP($D414,工作归属,2,0),"※工作类型没选"))</f>
        <v/>
      </c>
      <c r="F414" s="13" t="n"/>
      <c r="G414" s="13" t="n"/>
      <c r="H414" s="20" t="n"/>
      <c r="I414" s="14" t="n"/>
      <c r="J414" s="19">
        <f>IF($C414="","",ROUND(IF($H414="",1,$H414)*N($I414),2))</f>
        <v/>
      </c>
      <c r="K414" s="13" t="n"/>
      <c r="L414" s="13" t="n"/>
      <c r="M414" s="17">
        <f>IF($C414="","",IF(ISNA(MATCH($C414,项目名表,0)),"※项目不在项目台账里",IF($E414="※工作类型没选","※工作类型没选","")))</f>
        <v/>
      </c>
    </row>
    <row r="415">
      <c r="A415" s="17">
        <f>IF($C415="","",ROW()-3)</f>
        <v/>
      </c>
      <c r="B415" s="18" t="n"/>
      <c r="C415" s="13" t="n"/>
      <c r="D415" s="13" t="n"/>
      <c r="E415" s="17">
        <f>IF($C415="","",IFERROR(VLOOKUP($D415,工作归属,2,0),"※工作类型没选"))</f>
        <v/>
      </c>
      <c r="F415" s="13" t="n"/>
      <c r="G415" s="13" t="n"/>
      <c r="H415" s="20" t="n"/>
      <c r="I415" s="14" t="n"/>
      <c r="J415" s="19">
        <f>IF($C415="","",ROUND(IF($H415="",1,$H415)*N($I415),2))</f>
        <v/>
      </c>
      <c r="K415" s="13" t="n"/>
      <c r="L415" s="13" t="n"/>
      <c r="M415" s="17">
        <f>IF($C415="","",IF(ISNA(MATCH($C415,项目名表,0)),"※项目不在项目台账里",IF($E415="※工作类型没选","※工作类型没选","")))</f>
        <v/>
      </c>
    </row>
    <row r="416">
      <c r="A416" s="17">
        <f>IF($C416="","",ROW()-3)</f>
        <v/>
      </c>
      <c r="B416" s="18" t="n"/>
      <c r="C416" s="13" t="n"/>
      <c r="D416" s="13" t="n"/>
      <c r="E416" s="17">
        <f>IF($C416="","",IFERROR(VLOOKUP($D416,工作归属,2,0),"※工作类型没选"))</f>
        <v/>
      </c>
      <c r="F416" s="13" t="n"/>
      <c r="G416" s="13" t="n"/>
      <c r="H416" s="20" t="n"/>
      <c r="I416" s="14" t="n"/>
      <c r="J416" s="19">
        <f>IF($C416="","",ROUND(IF($H416="",1,$H416)*N($I416),2))</f>
        <v/>
      </c>
      <c r="K416" s="13" t="n"/>
      <c r="L416" s="13" t="n"/>
      <c r="M416" s="17">
        <f>IF($C416="","",IF(ISNA(MATCH($C416,项目名表,0)),"※项目不在项目台账里",IF($E416="※工作类型没选","※工作类型没选","")))</f>
        <v/>
      </c>
    </row>
    <row r="417">
      <c r="A417" s="17">
        <f>IF($C417="","",ROW()-3)</f>
        <v/>
      </c>
      <c r="B417" s="18" t="n"/>
      <c r="C417" s="13" t="n"/>
      <c r="D417" s="13" t="n"/>
      <c r="E417" s="17">
        <f>IF($C417="","",IFERROR(VLOOKUP($D417,工作归属,2,0),"※工作类型没选"))</f>
        <v/>
      </c>
      <c r="F417" s="13" t="n"/>
      <c r="G417" s="13" t="n"/>
      <c r="H417" s="20" t="n"/>
      <c r="I417" s="14" t="n"/>
      <c r="J417" s="19">
        <f>IF($C417="","",ROUND(IF($H417="",1,$H417)*N($I417),2))</f>
        <v/>
      </c>
      <c r="K417" s="13" t="n"/>
      <c r="L417" s="13" t="n"/>
      <c r="M417" s="17">
        <f>IF($C417="","",IF(ISNA(MATCH($C417,项目名表,0)),"※项目不在项目台账里",IF($E417="※工作类型没选","※工作类型没选","")))</f>
        <v/>
      </c>
    </row>
    <row r="418">
      <c r="A418" s="17">
        <f>IF($C418="","",ROW()-3)</f>
        <v/>
      </c>
      <c r="B418" s="18" t="n"/>
      <c r="C418" s="13" t="n"/>
      <c r="D418" s="13" t="n"/>
      <c r="E418" s="17">
        <f>IF($C418="","",IFERROR(VLOOKUP($D418,工作归属,2,0),"※工作类型没选"))</f>
        <v/>
      </c>
      <c r="F418" s="13" t="n"/>
      <c r="G418" s="13" t="n"/>
      <c r="H418" s="20" t="n"/>
      <c r="I418" s="14" t="n"/>
      <c r="J418" s="19">
        <f>IF($C418="","",ROUND(IF($H418="",1,$H418)*N($I418),2))</f>
        <v/>
      </c>
      <c r="K418" s="13" t="n"/>
      <c r="L418" s="13" t="n"/>
      <c r="M418" s="17">
        <f>IF($C418="","",IF(ISNA(MATCH($C418,项目名表,0)),"※项目不在项目台账里",IF($E418="※工作类型没选","※工作类型没选","")))</f>
        <v/>
      </c>
    </row>
    <row r="419">
      <c r="A419" s="17">
        <f>IF($C419="","",ROW()-3)</f>
        <v/>
      </c>
      <c r="B419" s="18" t="n"/>
      <c r="C419" s="13" t="n"/>
      <c r="D419" s="13" t="n"/>
      <c r="E419" s="17">
        <f>IF($C419="","",IFERROR(VLOOKUP($D419,工作归属,2,0),"※工作类型没选"))</f>
        <v/>
      </c>
      <c r="F419" s="13" t="n"/>
      <c r="G419" s="13" t="n"/>
      <c r="H419" s="20" t="n"/>
      <c r="I419" s="14" t="n"/>
      <c r="J419" s="19">
        <f>IF($C419="","",ROUND(IF($H419="",1,$H419)*N($I419),2))</f>
        <v/>
      </c>
      <c r="K419" s="13" t="n"/>
      <c r="L419" s="13" t="n"/>
      <c r="M419" s="17">
        <f>IF($C419="","",IF(ISNA(MATCH($C419,项目名表,0)),"※项目不在项目台账里",IF($E419="※工作类型没选","※工作类型没选","")))</f>
        <v/>
      </c>
    </row>
    <row r="420">
      <c r="A420" s="17">
        <f>IF($C420="","",ROW()-3)</f>
        <v/>
      </c>
      <c r="B420" s="18" t="n"/>
      <c r="C420" s="13" t="n"/>
      <c r="D420" s="13" t="n"/>
      <c r="E420" s="17">
        <f>IF($C420="","",IFERROR(VLOOKUP($D420,工作归属,2,0),"※工作类型没选"))</f>
        <v/>
      </c>
      <c r="F420" s="13" t="n"/>
      <c r="G420" s="13" t="n"/>
      <c r="H420" s="20" t="n"/>
      <c r="I420" s="14" t="n"/>
      <c r="J420" s="19">
        <f>IF($C420="","",ROUND(IF($H420="",1,$H420)*N($I420),2))</f>
        <v/>
      </c>
      <c r="K420" s="13" t="n"/>
      <c r="L420" s="13" t="n"/>
      <c r="M420" s="17">
        <f>IF($C420="","",IF(ISNA(MATCH($C420,项目名表,0)),"※项目不在项目台账里",IF($E420="※工作类型没选","※工作类型没选","")))</f>
        <v/>
      </c>
    </row>
    <row r="421">
      <c r="A421" s="17">
        <f>IF($C421="","",ROW()-3)</f>
        <v/>
      </c>
      <c r="B421" s="18" t="n"/>
      <c r="C421" s="13" t="n"/>
      <c r="D421" s="13" t="n"/>
      <c r="E421" s="17">
        <f>IF($C421="","",IFERROR(VLOOKUP($D421,工作归属,2,0),"※工作类型没选"))</f>
        <v/>
      </c>
      <c r="F421" s="13" t="n"/>
      <c r="G421" s="13" t="n"/>
      <c r="H421" s="20" t="n"/>
      <c r="I421" s="14" t="n"/>
      <c r="J421" s="19">
        <f>IF($C421="","",ROUND(IF($H421="",1,$H421)*N($I421),2))</f>
        <v/>
      </c>
      <c r="K421" s="13" t="n"/>
      <c r="L421" s="13" t="n"/>
      <c r="M421" s="17">
        <f>IF($C421="","",IF(ISNA(MATCH($C421,项目名表,0)),"※项目不在项目台账里",IF($E421="※工作类型没选","※工作类型没选","")))</f>
        <v/>
      </c>
    </row>
    <row r="422">
      <c r="A422" s="17">
        <f>IF($C422="","",ROW()-3)</f>
        <v/>
      </c>
      <c r="B422" s="18" t="n"/>
      <c r="C422" s="13" t="n"/>
      <c r="D422" s="13" t="n"/>
      <c r="E422" s="17">
        <f>IF($C422="","",IFERROR(VLOOKUP($D422,工作归属,2,0),"※工作类型没选"))</f>
        <v/>
      </c>
      <c r="F422" s="13" t="n"/>
      <c r="G422" s="13" t="n"/>
      <c r="H422" s="20" t="n"/>
      <c r="I422" s="14" t="n"/>
      <c r="J422" s="19">
        <f>IF($C422="","",ROUND(IF($H422="",1,$H422)*N($I422),2))</f>
        <v/>
      </c>
      <c r="K422" s="13" t="n"/>
      <c r="L422" s="13" t="n"/>
      <c r="M422" s="17">
        <f>IF($C422="","",IF(ISNA(MATCH($C422,项目名表,0)),"※项目不在项目台账里",IF($E422="※工作类型没选","※工作类型没选","")))</f>
        <v/>
      </c>
    </row>
    <row r="423">
      <c r="A423" s="17">
        <f>IF($C423="","",ROW()-3)</f>
        <v/>
      </c>
      <c r="B423" s="18" t="n"/>
      <c r="C423" s="13" t="n"/>
      <c r="D423" s="13" t="n"/>
      <c r="E423" s="17">
        <f>IF($C423="","",IFERROR(VLOOKUP($D423,工作归属,2,0),"※工作类型没选"))</f>
        <v/>
      </c>
      <c r="F423" s="13" t="n"/>
      <c r="G423" s="13" t="n"/>
      <c r="H423" s="20" t="n"/>
      <c r="I423" s="14" t="n"/>
      <c r="J423" s="19">
        <f>IF($C423="","",ROUND(IF($H423="",1,$H423)*N($I423),2))</f>
        <v/>
      </c>
      <c r="K423" s="13" t="n"/>
      <c r="L423" s="13" t="n"/>
      <c r="M423" s="17">
        <f>IF($C423="","",IF(ISNA(MATCH($C423,项目名表,0)),"※项目不在项目台账里",IF($E423="※工作类型没选","※工作类型没选","")))</f>
        <v/>
      </c>
    </row>
    <row r="424">
      <c r="A424" s="17">
        <f>IF($C424="","",ROW()-3)</f>
        <v/>
      </c>
      <c r="B424" s="18" t="n"/>
      <c r="C424" s="13" t="n"/>
      <c r="D424" s="13" t="n"/>
      <c r="E424" s="17">
        <f>IF($C424="","",IFERROR(VLOOKUP($D424,工作归属,2,0),"※工作类型没选"))</f>
        <v/>
      </c>
      <c r="F424" s="13" t="n"/>
      <c r="G424" s="13" t="n"/>
      <c r="H424" s="20" t="n"/>
      <c r="I424" s="14" t="n"/>
      <c r="J424" s="19">
        <f>IF($C424="","",ROUND(IF($H424="",1,$H424)*N($I424),2))</f>
        <v/>
      </c>
      <c r="K424" s="13" t="n"/>
      <c r="L424" s="13" t="n"/>
      <c r="M424" s="17">
        <f>IF($C424="","",IF(ISNA(MATCH($C424,项目名表,0)),"※项目不在项目台账里",IF($E424="※工作类型没选","※工作类型没选","")))</f>
        <v/>
      </c>
    </row>
    <row r="425">
      <c r="A425" s="17">
        <f>IF($C425="","",ROW()-3)</f>
        <v/>
      </c>
      <c r="B425" s="18" t="n"/>
      <c r="C425" s="13" t="n"/>
      <c r="D425" s="13" t="n"/>
      <c r="E425" s="17">
        <f>IF($C425="","",IFERROR(VLOOKUP($D425,工作归属,2,0),"※工作类型没选"))</f>
        <v/>
      </c>
      <c r="F425" s="13" t="n"/>
      <c r="G425" s="13" t="n"/>
      <c r="H425" s="20" t="n"/>
      <c r="I425" s="14" t="n"/>
      <c r="J425" s="19">
        <f>IF($C425="","",ROUND(IF($H425="",1,$H425)*N($I425),2))</f>
        <v/>
      </c>
      <c r="K425" s="13" t="n"/>
      <c r="L425" s="13" t="n"/>
      <c r="M425" s="17">
        <f>IF($C425="","",IF(ISNA(MATCH($C425,项目名表,0)),"※项目不在项目台账里",IF($E425="※工作类型没选","※工作类型没选","")))</f>
        <v/>
      </c>
    </row>
    <row r="426">
      <c r="A426" s="17">
        <f>IF($C426="","",ROW()-3)</f>
        <v/>
      </c>
      <c r="B426" s="18" t="n"/>
      <c r="C426" s="13" t="n"/>
      <c r="D426" s="13" t="n"/>
      <c r="E426" s="17">
        <f>IF($C426="","",IFERROR(VLOOKUP($D426,工作归属,2,0),"※工作类型没选"))</f>
        <v/>
      </c>
      <c r="F426" s="13" t="n"/>
      <c r="G426" s="13" t="n"/>
      <c r="H426" s="20" t="n"/>
      <c r="I426" s="14" t="n"/>
      <c r="J426" s="19">
        <f>IF($C426="","",ROUND(IF($H426="",1,$H426)*N($I426),2))</f>
        <v/>
      </c>
      <c r="K426" s="13" t="n"/>
      <c r="L426" s="13" t="n"/>
      <c r="M426" s="17">
        <f>IF($C426="","",IF(ISNA(MATCH($C426,项目名表,0)),"※项目不在项目台账里",IF($E426="※工作类型没选","※工作类型没选","")))</f>
        <v/>
      </c>
    </row>
    <row r="427">
      <c r="A427" s="17">
        <f>IF($C427="","",ROW()-3)</f>
        <v/>
      </c>
      <c r="B427" s="18" t="n"/>
      <c r="C427" s="13" t="n"/>
      <c r="D427" s="13" t="n"/>
      <c r="E427" s="17">
        <f>IF($C427="","",IFERROR(VLOOKUP($D427,工作归属,2,0),"※工作类型没选"))</f>
        <v/>
      </c>
      <c r="F427" s="13" t="n"/>
      <c r="G427" s="13" t="n"/>
      <c r="H427" s="20" t="n"/>
      <c r="I427" s="14" t="n"/>
      <c r="J427" s="19">
        <f>IF($C427="","",ROUND(IF($H427="",1,$H427)*N($I427),2))</f>
        <v/>
      </c>
      <c r="K427" s="13" t="n"/>
      <c r="L427" s="13" t="n"/>
      <c r="M427" s="17">
        <f>IF($C427="","",IF(ISNA(MATCH($C427,项目名表,0)),"※项目不在项目台账里",IF($E427="※工作类型没选","※工作类型没选","")))</f>
        <v/>
      </c>
    </row>
    <row r="428">
      <c r="A428" s="17">
        <f>IF($C428="","",ROW()-3)</f>
        <v/>
      </c>
      <c r="B428" s="18" t="n"/>
      <c r="C428" s="13" t="n"/>
      <c r="D428" s="13" t="n"/>
      <c r="E428" s="17">
        <f>IF($C428="","",IFERROR(VLOOKUP($D428,工作归属,2,0),"※工作类型没选"))</f>
        <v/>
      </c>
      <c r="F428" s="13" t="n"/>
      <c r="G428" s="13" t="n"/>
      <c r="H428" s="20" t="n"/>
      <c r="I428" s="14" t="n"/>
      <c r="J428" s="19">
        <f>IF($C428="","",ROUND(IF($H428="",1,$H428)*N($I428),2))</f>
        <v/>
      </c>
      <c r="K428" s="13" t="n"/>
      <c r="L428" s="13" t="n"/>
      <c r="M428" s="17">
        <f>IF($C428="","",IF(ISNA(MATCH($C428,项目名表,0)),"※项目不在项目台账里",IF($E428="※工作类型没选","※工作类型没选","")))</f>
        <v/>
      </c>
    </row>
    <row r="429">
      <c r="A429" s="17">
        <f>IF($C429="","",ROW()-3)</f>
        <v/>
      </c>
      <c r="B429" s="18" t="n"/>
      <c r="C429" s="13" t="n"/>
      <c r="D429" s="13" t="n"/>
      <c r="E429" s="17">
        <f>IF($C429="","",IFERROR(VLOOKUP($D429,工作归属,2,0),"※工作类型没选"))</f>
        <v/>
      </c>
      <c r="F429" s="13" t="n"/>
      <c r="G429" s="13" t="n"/>
      <c r="H429" s="20" t="n"/>
      <c r="I429" s="14" t="n"/>
      <c r="J429" s="19">
        <f>IF($C429="","",ROUND(IF($H429="",1,$H429)*N($I429),2))</f>
        <v/>
      </c>
      <c r="K429" s="13" t="n"/>
      <c r="L429" s="13" t="n"/>
      <c r="M429" s="17">
        <f>IF($C429="","",IF(ISNA(MATCH($C429,项目名表,0)),"※项目不在项目台账里",IF($E429="※工作类型没选","※工作类型没选","")))</f>
        <v/>
      </c>
    </row>
    <row r="430">
      <c r="A430" s="17">
        <f>IF($C430="","",ROW()-3)</f>
        <v/>
      </c>
      <c r="B430" s="18" t="n"/>
      <c r="C430" s="13" t="n"/>
      <c r="D430" s="13" t="n"/>
      <c r="E430" s="17">
        <f>IF($C430="","",IFERROR(VLOOKUP($D430,工作归属,2,0),"※工作类型没选"))</f>
        <v/>
      </c>
      <c r="F430" s="13" t="n"/>
      <c r="G430" s="13" t="n"/>
      <c r="H430" s="20" t="n"/>
      <c r="I430" s="14" t="n"/>
      <c r="J430" s="19">
        <f>IF($C430="","",ROUND(IF($H430="",1,$H430)*N($I430),2))</f>
        <v/>
      </c>
      <c r="K430" s="13" t="n"/>
      <c r="L430" s="13" t="n"/>
      <c r="M430" s="17">
        <f>IF($C430="","",IF(ISNA(MATCH($C430,项目名表,0)),"※项目不在项目台账里",IF($E430="※工作类型没选","※工作类型没选","")))</f>
        <v/>
      </c>
    </row>
    <row r="431">
      <c r="A431" s="17">
        <f>IF($C431="","",ROW()-3)</f>
        <v/>
      </c>
      <c r="B431" s="18" t="n"/>
      <c r="C431" s="13" t="n"/>
      <c r="D431" s="13" t="n"/>
      <c r="E431" s="17">
        <f>IF($C431="","",IFERROR(VLOOKUP($D431,工作归属,2,0),"※工作类型没选"))</f>
        <v/>
      </c>
      <c r="F431" s="13" t="n"/>
      <c r="G431" s="13" t="n"/>
      <c r="H431" s="20" t="n"/>
      <c r="I431" s="14" t="n"/>
      <c r="J431" s="19">
        <f>IF($C431="","",ROUND(IF($H431="",1,$H431)*N($I431),2))</f>
        <v/>
      </c>
      <c r="K431" s="13" t="n"/>
      <c r="L431" s="13" t="n"/>
      <c r="M431" s="17">
        <f>IF($C431="","",IF(ISNA(MATCH($C431,项目名表,0)),"※项目不在项目台账里",IF($E431="※工作类型没选","※工作类型没选","")))</f>
        <v/>
      </c>
    </row>
    <row r="432">
      <c r="A432" s="17">
        <f>IF($C432="","",ROW()-3)</f>
        <v/>
      </c>
      <c r="B432" s="18" t="n"/>
      <c r="C432" s="13" t="n"/>
      <c r="D432" s="13" t="n"/>
      <c r="E432" s="17">
        <f>IF($C432="","",IFERROR(VLOOKUP($D432,工作归属,2,0),"※工作类型没选"))</f>
        <v/>
      </c>
      <c r="F432" s="13" t="n"/>
      <c r="G432" s="13" t="n"/>
      <c r="H432" s="20" t="n"/>
      <c r="I432" s="14" t="n"/>
      <c r="J432" s="19">
        <f>IF($C432="","",ROUND(IF($H432="",1,$H432)*N($I432),2))</f>
        <v/>
      </c>
      <c r="K432" s="13" t="n"/>
      <c r="L432" s="13" t="n"/>
      <c r="M432" s="17">
        <f>IF($C432="","",IF(ISNA(MATCH($C432,项目名表,0)),"※项目不在项目台账里",IF($E432="※工作类型没选","※工作类型没选","")))</f>
        <v/>
      </c>
    </row>
    <row r="433">
      <c r="A433" s="17">
        <f>IF($C433="","",ROW()-3)</f>
        <v/>
      </c>
      <c r="B433" s="18" t="n"/>
      <c r="C433" s="13" t="n"/>
      <c r="D433" s="13" t="n"/>
      <c r="E433" s="17">
        <f>IF($C433="","",IFERROR(VLOOKUP($D433,工作归属,2,0),"※工作类型没选"))</f>
        <v/>
      </c>
      <c r="F433" s="13" t="n"/>
      <c r="G433" s="13" t="n"/>
      <c r="H433" s="20" t="n"/>
      <c r="I433" s="14" t="n"/>
      <c r="J433" s="19">
        <f>IF($C433="","",ROUND(IF($H433="",1,$H433)*N($I433),2))</f>
        <v/>
      </c>
      <c r="K433" s="13" t="n"/>
      <c r="L433" s="13" t="n"/>
      <c r="M433" s="17">
        <f>IF($C433="","",IF(ISNA(MATCH($C433,项目名表,0)),"※项目不在项目台账里",IF($E433="※工作类型没选","※工作类型没选","")))</f>
        <v/>
      </c>
    </row>
    <row r="434">
      <c r="A434" s="17">
        <f>IF($C434="","",ROW()-3)</f>
        <v/>
      </c>
      <c r="B434" s="18" t="n"/>
      <c r="C434" s="13" t="n"/>
      <c r="D434" s="13" t="n"/>
      <c r="E434" s="17">
        <f>IF($C434="","",IFERROR(VLOOKUP($D434,工作归属,2,0),"※工作类型没选"))</f>
        <v/>
      </c>
      <c r="F434" s="13" t="n"/>
      <c r="G434" s="13" t="n"/>
      <c r="H434" s="20" t="n"/>
      <c r="I434" s="14" t="n"/>
      <c r="J434" s="19">
        <f>IF($C434="","",ROUND(IF($H434="",1,$H434)*N($I434),2))</f>
        <v/>
      </c>
      <c r="K434" s="13" t="n"/>
      <c r="L434" s="13" t="n"/>
      <c r="M434" s="17">
        <f>IF($C434="","",IF(ISNA(MATCH($C434,项目名表,0)),"※项目不在项目台账里",IF($E434="※工作类型没选","※工作类型没选","")))</f>
        <v/>
      </c>
    </row>
    <row r="435">
      <c r="A435" s="17">
        <f>IF($C435="","",ROW()-3)</f>
        <v/>
      </c>
      <c r="B435" s="18" t="n"/>
      <c r="C435" s="13" t="n"/>
      <c r="D435" s="13" t="n"/>
      <c r="E435" s="17">
        <f>IF($C435="","",IFERROR(VLOOKUP($D435,工作归属,2,0),"※工作类型没选"))</f>
        <v/>
      </c>
      <c r="F435" s="13" t="n"/>
      <c r="G435" s="13" t="n"/>
      <c r="H435" s="20" t="n"/>
      <c r="I435" s="14" t="n"/>
      <c r="J435" s="19">
        <f>IF($C435="","",ROUND(IF($H435="",1,$H435)*N($I435),2))</f>
        <v/>
      </c>
      <c r="K435" s="13" t="n"/>
      <c r="L435" s="13" t="n"/>
      <c r="M435" s="17">
        <f>IF($C435="","",IF(ISNA(MATCH($C435,项目名表,0)),"※项目不在项目台账里",IF($E435="※工作类型没选","※工作类型没选","")))</f>
        <v/>
      </c>
    </row>
    <row r="436">
      <c r="A436" s="17">
        <f>IF($C436="","",ROW()-3)</f>
        <v/>
      </c>
      <c r="B436" s="18" t="n"/>
      <c r="C436" s="13" t="n"/>
      <c r="D436" s="13" t="n"/>
      <c r="E436" s="17">
        <f>IF($C436="","",IFERROR(VLOOKUP($D436,工作归属,2,0),"※工作类型没选"))</f>
        <v/>
      </c>
      <c r="F436" s="13" t="n"/>
      <c r="G436" s="13" t="n"/>
      <c r="H436" s="20" t="n"/>
      <c r="I436" s="14" t="n"/>
      <c r="J436" s="19">
        <f>IF($C436="","",ROUND(IF($H436="",1,$H436)*N($I436),2))</f>
        <v/>
      </c>
      <c r="K436" s="13" t="n"/>
      <c r="L436" s="13" t="n"/>
      <c r="M436" s="17">
        <f>IF($C436="","",IF(ISNA(MATCH($C436,项目名表,0)),"※项目不在项目台账里",IF($E436="※工作类型没选","※工作类型没选","")))</f>
        <v/>
      </c>
    </row>
    <row r="437">
      <c r="A437" s="17">
        <f>IF($C437="","",ROW()-3)</f>
        <v/>
      </c>
      <c r="B437" s="18" t="n"/>
      <c r="C437" s="13" t="n"/>
      <c r="D437" s="13" t="n"/>
      <c r="E437" s="17">
        <f>IF($C437="","",IFERROR(VLOOKUP($D437,工作归属,2,0),"※工作类型没选"))</f>
        <v/>
      </c>
      <c r="F437" s="13" t="n"/>
      <c r="G437" s="13" t="n"/>
      <c r="H437" s="20" t="n"/>
      <c r="I437" s="14" t="n"/>
      <c r="J437" s="19">
        <f>IF($C437="","",ROUND(IF($H437="",1,$H437)*N($I437),2))</f>
        <v/>
      </c>
      <c r="K437" s="13" t="n"/>
      <c r="L437" s="13" t="n"/>
      <c r="M437" s="17">
        <f>IF($C437="","",IF(ISNA(MATCH($C437,项目名表,0)),"※项目不在项目台账里",IF($E437="※工作类型没选","※工作类型没选","")))</f>
        <v/>
      </c>
    </row>
    <row r="438">
      <c r="A438" s="17">
        <f>IF($C438="","",ROW()-3)</f>
        <v/>
      </c>
      <c r="B438" s="18" t="n"/>
      <c r="C438" s="13" t="n"/>
      <c r="D438" s="13" t="n"/>
      <c r="E438" s="17">
        <f>IF($C438="","",IFERROR(VLOOKUP($D438,工作归属,2,0),"※工作类型没选"))</f>
        <v/>
      </c>
      <c r="F438" s="13" t="n"/>
      <c r="G438" s="13" t="n"/>
      <c r="H438" s="20" t="n"/>
      <c r="I438" s="14" t="n"/>
      <c r="J438" s="19">
        <f>IF($C438="","",ROUND(IF($H438="",1,$H438)*N($I438),2))</f>
        <v/>
      </c>
      <c r="K438" s="13" t="n"/>
      <c r="L438" s="13" t="n"/>
      <c r="M438" s="17">
        <f>IF($C438="","",IF(ISNA(MATCH($C438,项目名表,0)),"※项目不在项目台账里",IF($E438="※工作类型没选","※工作类型没选","")))</f>
        <v/>
      </c>
    </row>
    <row r="439">
      <c r="A439" s="17">
        <f>IF($C439="","",ROW()-3)</f>
        <v/>
      </c>
      <c r="B439" s="18" t="n"/>
      <c r="C439" s="13" t="n"/>
      <c r="D439" s="13" t="n"/>
      <c r="E439" s="17">
        <f>IF($C439="","",IFERROR(VLOOKUP($D439,工作归属,2,0),"※工作类型没选"))</f>
        <v/>
      </c>
      <c r="F439" s="13" t="n"/>
      <c r="G439" s="13" t="n"/>
      <c r="H439" s="20" t="n"/>
      <c r="I439" s="14" t="n"/>
      <c r="J439" s="19">
        <f>IF($C439="","",ROUND(IF($H439="",1,$H439)*N($I439),2))</f>
        <v/>
      </c>
      <c r="K439" s="13" t="n"/>
      <c r="L439" s="13" t="n"/>
      <c r="M439" s="17">
        <f>IF($C439="","",IF(ISNA(MATCH($C439,项目名表,0)),"※项目不在项目台账里",IF($E439="※工作类型没选","※工作类型没选","")))</f>
        <v/>
      </c>
    </row>
    <row r="440">
      <c r="A440" s="17">
        <f>IF($C440="","",ROW()-3)</f>
        <v/>
      </c>
      <c r="B440" s="18" t="n"/>
      <c r="C440" s="13" t="n"/>
      <c r="D440" s="13" t="n"/>
      <c r="E440" s="17">
        <f>IF($C440="","",IFERROR(VLOOKUP($D440,工作归属,2,0),"※工作类型没选"))</f>
        <v/>
      </c>
      <c r="F440" s="13" t="n"/>
      <c r="G440" s="13" t="n"/>
      <c r="H440" s="20" t="n"/>
      <c r="I440" s="14" t="n"/>
      <c r="J440" s="19">
        <f>IF($C440="","",ROUND(IF($H440="",1,$H440)*N($I440),2))</f>
        <v/>
      </c>
      <c r="K440" s="13" t="n"/>
      <c r="L440" s="13" t="n"/>
      <c r="M440" s="17">
        <f>IF($C440="","",IF(ISNA(MATCH($C440,项目名表,0)),"※项目不在项目台账里",IF($E440="※工作类型没选","※工作类型没选","")))</f>
        <v/>
      </c>
    </row>
    <row r="441">
      <c r="A441" s="17">
        <f>IF($C441="","",ROW()-3)</f>
        <v/>
      </c>
      <c r="B441" s="18" t="n"/>
      <c r="C441" s="13" t="n"/>
      <c r="D441" s="13" t="n"/>
      <c r="E441" s="17">
        <f>IF($C441="","",IFERROR(VLOOKUP($D441,工作归属,2,0),"※工作类型没选"))</f>
        <v/>
      </c>
      <c r="F441" s="13" t="n"/>
      <c r="G441" s="13" t="n"/>
      <c r="H441" s="20" t="n"/>
      <c r="I441" s="14" t="n"/>
      <c r="J441" s="19">
        <f>IF($C441="","",ROUND(IF($H441="",1,$H441)*N($I441),2))</f>
        <v/>
      </c>
      <c r="K441" s="13" t="n"/>
      <c r="L441" s="13" t="n"/>
      <c r="M441" s="17">
        <f>IF($C441="","",IF(ISNA(MATCH($C441,项目名表,0)),"※项目不在项目台账里",IF($E441="※工作类型没选","※工作类型没选","")))</f>
        <v/>
      </c>
    </row>
    <row r="442">
      <c r="A442" s="17">
        <f>IF($C442="","",ROW()-3)</f>
        <v/>
      </c>
      <c r="B442" s="18" t="n"/>
      <c r="C442" s="13" t="n"/>
      <c r="D442" s="13" t="n"/>
      <c r="E442" s="17">
        <f>IF($C442="","",IFERROR(VLOOKUP($D442,工作归属,2,0),"※工作类型没选"))</f>
        <v/>
      </c>
      <c r="F442" s="13" t="n"/>
      <c r="G442" s="13" t="n"/>
      <c r="H442" s="20" t="n"/>
      <c r="I442" s="14" t="n"/>
      <c r="J442" s="19">
        <f>IF($C442="","",ROUND(IF($H442="",1,$H442)*N($I442),2))</f>
        <v/>
      </c>
      <c r="K442" s="13" t="n"/>
      <c r="L442" s="13" t="n"/>
      <c r="M442" s="17">
        <f>IF($C442="","",IF(ISNA(MATCH($C442,项目名表,0)),"※项目不在项目台账里",IF($E442="※工作类型没选","※工作类型没选","")))</f>
        <v/>
      </c>
    </row>
    <row r="443">
      <c r="A443" s="17">
        <f>IF($C443="","",ROW()-3)</f>
        <v/>
      </c>
      <c r="B443" s="18" t="n"/>
      <c r="C443" s="13" t="n"/>
      <c r="D443" s="13" t="n"/>
      <c r="E443" s="17">
        <f>IF($C443="","",IFERROR(VLOOKUP($D443,工作归属,2,0),"※工作类型没选"))</f>
        <v/>
      </c>
      <c r="F443" s="13" t="n"/>
      <c r="G443" s="13" t="n"/>
      <c r="H443" s="20" t="n"/>
      <c r="I443" s="14" t="n"/>
      <c r="J443" s="19">
        <f>IF($C443="","",ROUND(IF($H443="",1,$H443)*N($I443),2))</f>
        <v/>
      </c>
      <c r="K443" s="13" t="n"/>
      <c r="L443" s="13" t="n"/>
      <c r="M443" s="17">
        <f>IF($C443="","",IF(ISNA(MATCH($C443,项目名表,0)),"※项目不在项目台账里",IF($E443="※工作类型没选","※工作类型没选","")))</f>
        <v/>
      </c>
    </row>
    <row r="444">
      <c r="A444" s="17">
        <f>IF($C444="","",ROW()-3)</f>
        <v/>
      </c>
      <c r="B444" s="18" t="n"/>
      <c r="C444" s="13" t="n"/>
      <c r="D444" s="13" t="n"/>
      <c r="E444" s="17">
        <f>IF($C444="","",IFERROR(VLOOKUP($D444,工作归属,2,0),"※工作类型没选"))</f>
        <v/>
      </c>
      <c r="F444" s="13" t="n"/>
      <c r="G444" s="13" t="n"/>
      <c r="H444" s="20" t="n"/>
      <c r="I444" s="14" t="n"/>
      <c r="J444" s="19">
        <f>IF($C444="","",ROUND(IF($H444="",1,$H444)*N($I444),2))</f>
        <v/>
      </c>
      <c r="K444" s="13" t="n"/>
      <c r="L444" s="13" t="n"/>
      <c r="M444" s="17">
        <f>IF($C444="","",IF(ISNA(MATCH($C444,项目名表,0)),"※项目不在项目台账里",IF($E444="※工作类型没选","※工作类型没选","")))</f>
        <v/>
      </c>
    </row>
    <row r="445">
      <c r="A445" s="17">
        <f>IF($C445="","",ROW()-3)</f>
        <v/>
      </c>
      <c r="B445" s="18" t="n"/>
      <c r="C445" s="13" t="n"/>
      <c r="D445" s="13" t="n"/>
      <c r="E445" s="17">
        <f>IF($C445="","",IFERROR(VLOOKUP($D445,工作归属,2,0),"※工作类型没选"))</f>
        <v/>
      </c>
      <c r="F445" s="13" t="n"/>
      <c r="G445" s="13" t="n"/>
      <c r="H445" s="20" t="n"/>
      <c r="I445" s="14" t="n"/>
      <c r="J445" s="19">
        <f>IF($C445="","",ROUND(IF($H445="",1,$H445)*N($I445),2))</f>
        <v/>
      </c>
      <c r="K445" s="13" t="n"/>
      <c r="L445" s="13" t="n"/>
      <c r="M445" s="17">
        <f>IF($C445="","",IF(ISNA(MATCH($C445,项目名表,0)),"※项目不在项目台账里",IF($E445="※工作类型没选","※工作类型没选","")))</f>
        <v/>
      </c>
    </row>
    <row r="446">
      <c r="A446" s="17">
        <f>IF($C446="","",ROW()-3)</f>
        <v/>
      </c>
      <c r="B446" s="18" t="n"/>
      <c r="C446" s="13" t="n"/>
      <c r="D446" s="13" t="n"/>
      <c r="E446" s="17">
        <f>IF($C446="","",IFERROR(VLOOKUP($D446,工作归属,2,0),"※工作类型没选"))</f>
        <v/>
      </c>
      <c r="F446" s="13" t="n"/>
      <c r="G446" s="13" t="n"/>
      <c r="H446" s="20" t="n"/>
      <c r="I446" s="14" t="n"/>
      <c r="J446" s="19">
        <f>IF($C446="","",ROUND(IF($H446="",1,$H446)*N($I446),2))</f>
        <v/>
      </c>
      <c r="K446" s="13" t="n"/>
      <c r="L446" s="13" t="n"/>
      <c r="M446" s="17">
        <f>IF($C446="","",IF(ISNA(MATCH($C446,项目名表,0)),"※项目不在项目台账里",IF($E446="※工作类型没选","※工作类型没选","")))</f>
        <v/>
      </c>
    </row>
    <row r="447">
      <c r="A447" s="17">
        <f>IF($C447="","",ROW()-3)</f>
        <v/>
      </c>
      <c r="B447" s="18" t="n"/>
      <c r="C447" s="13" t="n"/>
      <c r="D447" s="13" t="n"/>
      <c r="E447" s="17">
        <f>IF($C447="","",IFERROR(VLOOKUP($D447,工作归属,2,0),"※工作类型没选"))</f>
        <v/>
      </c>
      <c r="F447" s="13" t="n"/>
      <c r="G447" s="13" t="n"/>
      <c r="H447" s="20" t="n"/>
      <c r="I447" s="14" t="n"/>
      <c r="J447" s="19">
        <f>IF($C447="","",ROUND(IF($H447="",1,$H447)*N($I447),2))</f>
        <v/>
      </c>
      <c r="K447" s="13" t="n"/>
      <c r="L447" s="13" t="n"/>
      <c r="M447" s="17">
        <f>IF($C447="","",IF(ISNA(MATCH($C447,项目名表,0)),"※项目不在项目台账里",IF($E447="※工作类型没选","※工作类型没选","")))</f>
        <v/>
      </c>
    </row>
    <row r="448">
      <c r="A448" s="17">
        <f>IF($C448="","",ROW()-3)</f>
        <v/>
      </c>
      <c r="B448" s="18" t="n"/>
      <c r="C448" s="13" t="n"/>
      <c r="D448" s="13" t="n"/>
      <c r="E448" s="17">
        <f>IF($C448="","",IFERROR(VLOOKUP($D448,工作归属,2,0),"※工作类型没选"))</f>
        <v/>
      </c>
      <c r="F448" s="13" t="n"/>
      <c r="G448" s="13" t="n"/>
      <c r="H448" s="20" t="n"/>
      <c r="I448" s="14" t="n"/>
      <c r="J448" s="19">
        <f>IF($C448="","",ROUND(IF($H448="",1,$H448)*N($I448),2))</f>
        <v/>
      </c>
      <c r="K448" s="13" t="n"/>
      <c r="L448" s="13" t="n"/>
      <c r="M448" s="17">
        <f>IF($C448="","",IF(ISNA(MATCH($C448,项目名表,0)),"※项目不在项目台账里",IF($E448="※工作类型没选","※工作类型没选","")))</f>
        <v/>
      </c>
    </row>
    <row r="449">
      <c r="A449" s="17">
        <f>IF($C449="","",ROW()-3)</f>
        <v/>
      </c>
      <c r="B449" s="18" t="n"/>
      <c r="C449" s="13" t="n"/>
      <c r="D449" s="13" t="n"/>
      <c r="E449" s="17">
        <f>IF($C449="","",IFERROR(VLOOKUP($D449,工作归属,2,0),"※工作类型没选"))</f>
        <v/>
      </c>
      <c r="F449" s="13" t="n"/>
      <c r="G449" s="13" t="n"/>
      <c r="H449" s="20" t="n"/>
      <c r="I449" s="14" t="n"/>
      <c r="J449" s="19">
        <f>IF($C449="","",ROUND(IF($H449="",1,$H449)*N($I449),2))</f>
        <v/>
      </c>
      <c r="K449" s="13" t="n"/>
      <c r="L449" s="13" t="n"/>
      <c r="M449" s="17">
        <f>IF($C449="","",IF(ISNA(MATCH($C449,项目名表,0)),"※项目不在项目台账里",IF($E449="※工作类型没选","※工作类型没选","")))</f>
        <v/>
      </c>
    </row>
    <row r="450">
      <c r="A450" s="17">
        <f>IF($C450="","",ROW()-3)</f>
        <v/>
      </c>
      <c r="B450" s="18" t="n"/>
      <c r="C450" s="13" t="n"/>
      <c r="D450" s="13" t="n"/>
      <c r="E450" s="17">
        <f>IF($C450="","",IFERROR(VLOOKUP($D450,工作归属,2,0),"※工作类型没选"))</f>
        <v/>
      </c>
      <c r="F450" s="13" t="n"/>
      <c r="G450" s="13" t="n"/>
      <c r="H450" s="20" t="n"/>
      <c r="I450" s="14" t="n"/>
      <c r="J450" s="19">
        <f>IF($C450="","",ROUND(IF($H450="",1,$H450)*N($I450),2))</f>
        <v/>
      </c>
      <c r="K450" s="13" t="n"/>
      <c r="L450" s="13" t="n"/>
      <c r="M450" s="17">
        <f>IF($C450="","",IF(ISNA(MATCH($C450,项目名表,0)),"※项目不在项目台账里",IF($E450="※工作类型没选","※工作类型没选","")))</f>
        <v/>
      </c>
    </row>
    <row r="451">
      <c r="A451" s="17">
        <f>IF($C451="","",ROW()-3)</f>
        <v/>
      </c>
      <c r="B451" s="18" t="n"/>
      <c r="C451" s="13" t="n"/>
      <c r="D451" s="13" t="n"/>
      <c r="E451" s="17">
        <f>IF($C451="","",IFERROR(VLOOKUP($D451,工作归属,2,0),"※工作类型没选"))</f>
        <v/>
      </c>
      <c r="F451" s="13" t="n"/>
      <c r="G451" s="13" t="n"/>
      <c r="H451" s="20" t="n"/>
      <c r="I451" s="14" t="n"/>
      <c r="J451" s="19">
        <f>IF($C451="","",ROUND(IF($H451="",1,$H451)*N($I451),2))</f>
        <v/>
      </c>
      <c r="K451" s="13" t="n"/>
      <c r="L451" s="13" t="n"/>
      <c r="M451" s="17">
        <f>IF($C451="","",IF(ISNA(MATCH($C451,项目名表,0)),"※项目不在项目台账里",IF($E451="※工作类型没选","※工作类型没选","")))</f>
        <v/>
      </c>
    </row>
    <row r="452">
      <c r="A452" s="17">
        <f>IF($C452="","",ROW()-3)</f>
        <v/>
      </c>
      <c r="B452" s="18" t="n"/>
      <c r="C452" s="13" t="n"/>
      <c r="D452" s="13" t="n"/>
      <c r="E452" s="17">
        <f>IF($C452="","",IFERROR(VLOOKUP($D452,工作归属,2,0),"※工作类型没选"))</f>
        <v/>
      </c>
      <c r="F452" s="13" t="n"/>
      <c r="G452" s="13" t="n"/>
      <c r="H452" s="20" t="n"/>
      <c r="I452" s="14" t="n"/>
      <c r="J452" s="19">
        <f>IF($C452="","",ROUND(IF($H452="",1,$H452)*N($I452),2))</f>
        <v/>
      </c>
      <c r="K452" s="13" t="n"/>
      <c r="L452" s="13" t="n"/>
      <c r="M452" s="17">
        <f>IF($C452="","",IF(ISNA(MATCH($C452,项目名表,0)),"※项目不在项目台账里",IF($E452="※工作类型没选","※工作类型没选","")))</f>
        <v/>
      </c>
    </row>
    <row r="453">
      <c r="A453" s="17">
        <f>IF($C453="","",ROW()-3)</f>
        <v/>
      </c>
      <c r="B453" s="18" t="n"/>
      <c r="C453" s="13" t="n"/>
      <c r="D453" s="13" t="n"/>
      <c r="E453" s="17">
        <f>IF($C453="","",IFERROR(VLOOKUP($D453,工作归属,2,0),"※工作类型没选"))</f>
        <v/>
      </c>
      <c r="F453" s="13" t="n"/>
      <c r="G453" s="13" t="n"/>
      <c r="H453" s="20" t="n"/>
      <c r="I453" s="14" t="n"/>
      <c r="J453" s="19">
        <f>IF($C453="","",ROUND(IF($H453="",1,$H453)*N($I453),2))</f>
        <v/>
      </c>
      <c r="K453" s="13" t="n"/>
      <c r="L453" s="13" t="n"/>
      <c r="M453" s="17">
        <f>IF($C453="","",IF(ISNA(MATCH($C453,项目名表,0)),"※项目不在项目台账里",IF($E453="※工作类型没选","※工作类型没选","")))</f>
        <v/>
      </c>
    </row>
    <row r="454">
      <c r="A454" s="17">
        <f>IF($C454="","",ROW()-3)</f>
        <v/>
      </c>
      <c r="B454" s="18" t="n"/>
      <c r="C454" s="13" t="n"/>
      <c r="D454" s="13" t="n"/>
      <c r="E454" s="17">
        <f>IF($C454="","",IFERROR(VLOOKUP($D454,工作归属,2,0),"※工作类型没选"))</f>
        <v/>
      </c>
      <c r="F454" s="13" t="n"/>
      <c r="G454" s="13" t="n"/>
      <c r="H454" s="20" t="n"/>
      <c r="I454" s="14" t="n"/>
      <c r="J454" s="19">
        <f>IF($C454="","",ROUND(IF($H454="",1,$H454)*N($I454),2))</f>
        <v/>
      </c>
      <c r="K454" s="13" t="n"/>
      <c r="L454" s="13" t="n"/>
      <c r="M454" s="17">
        <f>IF($C454="","",IF(ISNA(MATCH($C454,项目名表,0)),"※项目不在项目台账里",IF($E454="※工作类型没选","※工作类型没选","")))</f>
        <v/>
      </c>
    </row>
    <row r="455">
      <c r="A455" s="17">
        <f>IF($C455="","",ROW()-3)</f>
        <v/>
      </c>
      <c r="B455" s="18" t="n"/>
      <c r="C455" s="13" t="n"/>
      <c r="D455" s="13" t="n"/>
      <c r="E455" s="17">
        <f>IF($C455="","",IFERROR(VLOOKUP($D455,工作归属,2,0),"※工作类型没选"))</f>
        <v/>
      </c>
      <c r="F455" s="13" t="n"/>
      <c r="G455" s="13" t="n"/>
      <c r="H455" s="20" t="n"/>
      <c r="I455" s="14" t="n"/>
      <c r="J455" s="19">
        <f>IF($C455="","",ROUND(IF($H455="",1,$H455)*N($I455),2))</f>
        <v/>
      </c>
      <c r="K455" s="13" t="n"/>
      <c r="L455" s="13" t="n"/>
      <c r="M455" s="17">
        <f>IF($C455="","",IF(ISNA(MATCH($C455,项目名表,0)),"※项目不在项目台账里",IF($E455="※工作类型没选","※工作类型没选","")))</f>
        <v/>
      </c>
    </row>
    <row r="456">
      <c r="A456" s="17">
        <f>IF($C456="","",ROW()-3)</f>
        <v/>
      </c>
      <c r="B456" s="18" t="n"/>
      <c r="C456" s="13" t="n"/>
      <c r="D456" s="13" t="n"/>
      <c r="E456" s="17">
        <f>IF($C456="","",IFERROR(VLOOKUP($D456,工作归属,2,0),"※工作类型没选"))</f>
        <v/>
      </c>
      <c r="F456" s="13" t="n"/>
      <c r="G456" s="13" t="n"/>
      <c r="H456" s="20" t="n"/>
      <c r="I456" s="14" t="n"/>
      <c r="J456" s="19">
        <f>IF($C456="","",ROUND(IF($H456="",1,$H456)*N($I456),2))</f>
        <v/>
      </c>
      <c r="K456" s="13" t="n"/>
      <c r="L456" s="13" t="n"/>
      <c r="M456" s="17">
        <f>IF($C456="","",IF(ISNA(MATCH($C456,项目名表,0)),"※项目不在项目台账里",IF($E456="※工作类型没选","※工作类型没选","")))</f>
        <v/>
      </c>
    </row>
    <row r="457">
      <c r="A457" s="17">
        <f>IF($C457="","",ROW()-3)</f>
        <v/>
      </c>
      <c r="B457" s="18" t="n"/>
      <c r="C457" s="13" t="n"/>
      <c r="D457" s="13" t="n"/>
      <c r="E457" s="17">
        <f>IF($C457="","",IFERROR(VLOOKUP($D457,工作归属,2,0),"※工作类型没选"))</f>
        <v/>
      </c>
      <c r="F457" s="13" t="n"/>
      <c r="G457" s="13" t="n"/>
      <c r="H457" s="20" t="n"/>
      <c r="I457" s="14" t="n"/>
      <c r="J457" s="19">
        <f>IF($C457="","",ROUND(IF($H457="",1,$H457)*N($I457),2))</f>
        <v/>
      </c>
      <c r="K457" s="13" t="n"/>
      <c r="L457" s="13" t="n"/>
      <c r="M457" s="17">
        <f>IF($C457="","",IF(ISNA(MATCH($C457,项目名表,0)),"※项目不在项目台账里",IF($E457="※工作类型没选","※工作类型没选","")))</f>
        <v/>
      </c>
    </row>
    <row r="458">
      <c r="A458" s="17">
        <f>IF($C458="","",ROW()-3)</f>
        <v/>
      </c>
      <c r="B458" s="18" t="n"/>
      <c r="C458" s="13" t="n"/>
      <c r="D458" s="13" t="n"/>
      <c r="E458" s="17">
        <f>IF($C458="","",IFERROR(VLOOKUP($D458,工作归属,2,0),"※工作类型没选"))</f>
        <v/>
      </c>
      <c r="F458" s="13" t="n"/>
      <c r="G458" s="13" t="n"/>
      <c r="H458" s="20" t="n"/>
      <c r="I458" s="14" t="n"/>
      <c r="J458" s="19">
        <f>IF($C458="","",ROUND(IF($H458="",1,$H458)*N($I458),2))</f>
        <v/>
      </c>
      <c r="K458" s="13" t="n"/>
      <c r="L458" s="13" t="n"/>
      <c r="M458" s="17">
        <f>IF($C458="","",IF(ISNA(MATCH($C458,项目名表,0)),"※项目不在项目台账里",IF($E458="※工作类型没选","※工作类型没选","")))</f>
        <v/>
      </c>
    </row>
    <row r="459">
      <c r="A459" s="17">
        <f>IF($C459="","",ROW()-3)</f>
        <v/>
      </c>
      <c r="B459" s="18" t="n"/>
      <c r="C459" s="13" t="n"/>
      <c r="D459" s="13" t="n"/>
      <c r="E459" s="17">
        <f>IF($C459="","",IFERROR(VLOOKUP($D459,工作归属,2,0),"※工作类型没选"))</f>
        <v/>
      </c>
      <c r="F459" s="13" t="n"/>
      <c r="G459" s="13" t="n"/>
      <c r="H459" s="20" t="n"/>
      <c r="I459" s="14" t="n"/>
      <c r="J459" s="19">
        <f>IF($C459="","",ROUND(IF($H459="",1,$H459)*N($I459),2))</f>
        <v/>
      </c>
      <c r="K459" s="13" t="n"/>
      <c r="L459" s="13" t="n"/>
      <c r="M459" s="17">
        <f>IF($C459="","",IF(ISNA(MATCH($C459,项目名表,0)),"※项目不在项目台账里",IF($E459="※工作类型没选","※工作类型没选","")))</f>
        <v/>
      </c>
    </row>
    <row r="460">
      <c r="A460" s="17">
        <f>IF($C460="","",ROW()-3)</f>
        <v/>
      </c>
      <c r="B460" s="18" t="n"/>
      <c r="C460" s="13" t="n"/>
      <c r="D460" s="13" t="n"/>
      <c r="E460" s="17">
        <f>IF($C460="","",IFERROR(VLOOKUP($D460,工作归属,2,0),"※工作类型没选"))</f>
        <v/>
      </c>
      <c r="F460" s="13" t="n"/>
      <c r="G460" s="13" t="n"/>
      <c r="H460" s="20" t="n"/>
      <c r="I460" s="14" t="n"/>
      <c r="J460" s="19">
        <f>IF($C460="","",ROUND(IF($H460="",1,$H460)*N($I460),2))</f>
        <v/>
      </c>
      <c r="K460" s="13" t="n"/>
      <c r="L460" s="13" t="n"/>
      <c r="M460" s="17">
        <f>IF($C460="","",IF(ISNA(MATCH($C460,项目名表,0)),"※项目不在项目台账里",IF($E460="※工作类型没选","※工作类型没选","")))</f>
        <v/>
      </c>
    </row>
    <row r="461">
      <c r="A461" s="17">
        <f>IF($C461="","",ROW()-3)</f>
        <v/>
      </c>
      <c r="B461" s="18" t="n"/>
      <c r="C461" s="13" t="n"/>
      <c r="D461" s="13" t="n"/>
      <c r="E461" s="17">
        <f>IF($C461="","",IFERROR(VLOOKUP($D461,工作归属,2,0),"※工作类型没选"))</f>
        <v/>
      </c>
      <c r="F461" s="13" t="n"/>
      <c r="G461" s="13" t="n"/>
      <c r="H461" s="20" t="n"/>
      <c r="I461" s="14" t="n"/>
      <c r="J461" s="19">
        <f>IF($C461="","",ROUND(IF($H461="",1,$H461)*N($I461),2))</f>
        <v/>
      </c>
      <c r="K461" s="13" t="n"/>
      <c r="L461" s="13" t="n"/>
      <c r="M461" s="17">
        <f>IF($C461="","",IF(ISNA(MATCH($C461,项目名表,0)),"※项目不在项目台账里",IF($E461="※工作类型没选","※工作类型没选","")))</f>
        <v/>
      </c>
    </row>
    <row r="462">
      <c r="A462" s="17">
        <f>IF($C462="","",ROW()-3)</f>
        <v/>
      </c>
      <c r="B462" s="18" t="n"/>
      <c r="C462" s="13" t="n"/>
      <c r="D462" s="13" t="n"/>
      <c r="E462" s="17">
        <f>IF($C462="","",IFERROR(VLOOKUP($D462,工作归属,2,0),"※工作类型没选"))</f>
        <v/>
      </c>
      <c r="F462" s="13" t="n"/>
      <c r="G462" s="13" t="n"/>
      <c r="H462" s="20" t="n"/>
      <c r="I462" s="14" t="n"/>
      <c r="J462" s="19">
        <f>IF($C462="","",ROUND(IF($H462="",1,$H462)*N($I462),2))</f>
        <v/>
      </c>
      <c r="K462" s="13" t="n"/>
      <c r="L462" s="13" t="n"/>
      <c r="M462" s="17">
        <f>IF($C462="","",IF(ISNA(MATCH($C462,项目名表,0)),"※项目不在项目台账里",IF($E462="※工作类型没选","※工作类型没选","")))</f>
        <v/>
      </c>
    </row>
    <row r="463">
      <c r="A463" s="17">
        <f>IF($C463="","",ROW()-3)</f>
        <v/>
      </c>
      <c r="B463" s="18" t="n"/>
      <c r="C463" s="13" t="n"/>
      <c r="D463" s="13" t="n"/>
      <c r="E463" s="17">
        <f>IF($C463="","",IFERROR(VLOOKUP($D463,工作归属,2,0),"※工作类型没选"))</f>
        <v/>
      </c>
      <c r="F463" s="13" t="n"/>
      <c r="G463" s="13" t="n"/>
      <c r="H463" s="20" t="n"/>
      <c r="I463" s="14" t="n"/>
      <c r="J463" s="19">
        <f>IF($C463="","",ROUND(IF($H463="",1,$H463)*N($I463),2))</f>
        <v/>
      </c>
      <c r="K463" s="13" t="n"/>
      <c r="L463" s="13" t="n"/>
      <c r="M463" s="17">
        <f>IF($C463="","",IF(ISNA(MATCH($C463,项目名表,0)),"※项目不在项目台账里",IF($E463="※工作类型没选","※工作类型没选","")))</f>
        <v/>
      </c>
    </row>
    <row r="464">
      <c r="A464" s="17">
        <f>IF($C464="","",ROW()-3)</f>
        <v/>
      </c>
      <c r="B464" s="18" t="n"/>
      <c r="C464" s="13" t="n"/>
      <c r="D464" s="13" t="n"/>
      <c r="E464" s="17">
        <f>IF($C464="","",IFERROR(VLOOKUP($D464,工作归属,2,0),"※工作类型没选"))</f>
        <v/>
      </c>
      <c r="F464" s="13" t="n"/>
      <c r="G464" s="13" t="n"/>
      <c r="H464" s="20" t="n"/>
      <c r="I464" s="14" t="n"/>
      <c r="J464" s="19">
        <f>IF($C464="","",ROUND(IF($H464="",1,$H464)*N($I464),2))</f>
        <v/>
      </c>
      <c r="K464" s="13" t="n"/>
      <c r="L464" s="13" t="n"/>
      <c r="M464" s="17">
        <f>IF($C464="","",IF(ISNA(MATCH($C464,项目名表,0)),"※项目不在项目台账里",IF($E464="※工作类型没选","※工作类型没选","")))</f>
        <v/>
      </c>
    </row>
    <row r="465">
      <c r="A465" s="17">
        <f>IF($C465="","",ROW()-3)</f>
        <v/>
      </c>
      <c r="B465" s="18" t="n"/>
      <c r="C465" s="13" t="n"/>
      <c r="D465" s="13" t="n"/>
      <c r="E465" s="17">
        <f>IF($C465="","",IFERROR(VLOOKUP($D465,工作归属,2,0),"※工作类型没选"))</f>
        <v/>
      </c>
      <c r="F465" s="13" t="n"/>
      <c r="G465" s="13" t="n"/>
      <c r="H465" s="20" t="n"/>
      <c r="I465" s="14" t="n"/>
      <c r="J465" s="19">
        <f>IF($C465="","",ROUND(IF($H465="",1,$H465)*N($I465),2))</f>
        <v/>
      </c>
      <c r="K465" s="13" t="n"/>
      <c r="L465" s="13" t="n"/>
      <c r="M465" s="17">
        <f>IF($C465="","",IF(ISNA(MATCH($C465,项目名表,0)),"※项目不在项目台账里",IF($E465="※工作类型没选","※工作类型没选","")))</f>
        <v/>
      </c>
    </row>
    <row r="466">
      <c r="A466" s="17">
        <f>IF($C466="","",ROW()-3)</f>
        <v/>
      </c>
      <c r="B466" s="18" t="n"/>
      <c r="C466" s="13" t="n"/>
      <c r="D466" s="13" t="n"/>
      <c r="E466" s="17">
        <f>IF($C466="","",IFERROR(VLOOKUP($D466,工作归属,2,0),"※工作类型没选"))</f>
        <v/>
      </c>
      <c r="F466" s="13" t="n"/>
      <c r="G466" s="13" t="n"/>
      <c r="H466" s="20" t="n"/>
      <c r="I466" s="14" t="n"/>
      <c r="J466" s="19">
        <f>IF($C466="","",ROUND(IF($H466="",1,$H466)*N($I466),2))</f>
        <v/>
      </c>
      <c r="K466" s="13" t="n"/>
      <c r="L466" s="13" t="n"/>
      <c r="M466" s="17">
        <f>IF($C466="","",IF(ISNA(MATCH($C466,项目名表,0)),"※项目不在项目台账里",IF($E466="※工作类型没选","※工作类型没选","")))</f>
        <v/>
      </c>
    </row>
    <row r="467">
      <c r="A467" s="17">
        <f>IF($C467="","",ROW()-3)</f>
        <v/>
      </c>
      <c r="B467" s="18" t="n"/>
      <c r="C467" s="13" t="n"/>
      <c r="D467" s="13" t="n"/>
      <c r="E467" s="17">
        <f>IF($C467="","",IFERROR(VLOOKUP($D467,工作归属,2,0),"※工作类型没选"))</f>
        <v/>
      </c>
      <c r="F467" s="13" t="n"/>
      <c r="G467" s="13" t="n"/>
      <c r="H467" s="20" t="n"/>
      <c r="I467" s="14" t="n"/>
      <c r="J467" s="19">
        <f>IF($C467="","",ROUND(IF($H467="",1,$H467)*N($I467),2))</f>
        <v/>
      </c>
      <c r="K467" s="13" t="n"/>
      <c r="L467" s="13" t="n"/>
      <c r="M467" s="17">
        <f>IF($C467="","",IF(ISNA(MATCH($C467,项目名表,0)),"※项目不在项目台账里",IF($E467="※工作类型没选","※工作类型没选","")))</f>
        <v/>
      </c>
    </row>
    <row r="468">
      <c r="A468" s="17">
        <f>IF($C468="","",ROW()-3)</f>
        <v/>
      </c>
      <c r="B468" s="18" t="n"/>
      <c r="C468" s="13" t="n"/>
      <c r="D468" s="13" t="n"/>
      <c r="E468" s="17">
        <f>IF($C468="","",IFERROR(VLOOKUP($D468,工作归属,2,0),"※工作类型没选"))</f>
        <v/>
      </c>
      <c r="F468" s="13" t="n"/>
      <c r="G468" s="13" t="n"/>
      <c r="H468" s="20" t="n"/>
      <c r="I468" s="14" t="n"/>
      <c r="J468" s="19">
        <f>IF($C468="","",ROUND(IF($H468="",1,$H468)*N($I468),2))</f>
        <v/>
      </c>
      <c r="K468" s="13" t="n"/>
      <c r="L468" s="13" t="n"/>
      <c r="M468" s="17">
        <f>IF($C468="","",IF(ISNA(MATCH($C468,项目名表,0)),"※项目不在项目台账里",IF($E468="※工作类型没选","※工作类型没选","")))</f>
        <v/>
      </c>
    </row>
    <row r="469">
      <c r="A469" s="17">
        <f>IF($C469="","",ROW()-3)</f>
        <v/>
      </c>
      <c r="B469" s="18" t="n"/>
      <c r="C469" s="13" t="n"/>
      <c r="D469" s="13" t="n"/>
      <c r="E469" s="17">
        <f>IF($C469="","",IFERROR(VLOOKUP($D469,工作归属,2,0),"※工作类型没选"))</f>
        <v/>
      </c>
      <c r="F469" s="13" t="n"/>
      <c r="G469" s="13" t="n"/>
      <c r="H469" s="20" t="n"/>
      <c r="I469" s="14" t="n"/>
      <c r="J469" s="19">
        <f>IF($C469="","",ROUND(IF($H469="",1,$H469)*N($I469),2))</f>
        <v/>
      </c>
      <c r="K469" s="13" t="n"/>
      <c r="L469" s="13" t="n"/>
      <c r="M469" s="17">
        <f>IF($C469="","",IF(ISNA(MATCH($C469,项目名表,0)),"※项目不在项目台账里",IF($E469="※工作类型没选","※工作类型没选","")))</f>
        <v/>
      </c>
    </row>
    <row r="470">
      <c r="A470" s="17">
        <f>IF($C470="","",ROW()-3)</f>
        <v/>
      </c>
      <c r="B470" s="18" t="n"/>
      <c r="C470" s="13" t="n"/>
      <c r="D470" s="13" t="n"/>
      <c r="E470" s="17">
        <f>IF($C470="","",IFERROR(VLOOKUP($D470,工作归属,2,0),"※工作类型没选"))</f>
        <v/>
      </c>
      <c r="F470" s="13" t="n"/>
      <c r="G470" s="13" t="n"/>
      <c r="H470" s="20" t="n"/>
      <c r="I470" s="14" t="n"/>
      <c r="J470" s="19">
        <f>IF($C470="","",ROUND(IF($H470="",1,$H470)*N($I470),2))</f>
        <v/>
      </c>
      <c r="K470" s="13" t="n"/>
      <c r="L470" s="13" t="n"/>
      <c r="M470" s="17">
        <f>IF($C470="","",IF(ISNA(MATCH($C470,项目名表,0)),"※项目不在项目台账里",IF($E470="※工作类型没选","※工作类型没选","")))</f>
        <v/>
      </c>
    </row>
    <row r="471">
      <c r="A471" s="17">
        <f>IF($C471="","",ROW()-3)</f>
        <v/>
      </c>
      <c r="B471" s="18" t="n"/>
      <c r="C471" s="13" t="n"/>
      <c r="D471" s="13" t="n"/>
      <c r="E471" s="17">
        <f>IF($C471="","",IFERROR(VLOOKUP($D471,工作归属,2,0),"※工作类型没选"))</f>
        <v/>
      </c>
      <c r="F471" s="13" t="n"/>
      <c r="G471" s="13" t="n"/>
      <c r="H471" s="20" t="n"/>
      <c r="I471" s="14" t="n"/>
      <c r="J471" s="19">
        <f>IF($C471="","",ROUND(IF($H471="",1,$H471)*N($I471),2))</f>
        <v/>
      </c>
      <c r="K471" s="13" t="n"/>
      <c r="L471" s="13" t="n"/>
      <c r="M471" s="17">
        <f>IF($C471="","",IF(ISNA(MATCH($C471,项目名表,0)),"※项目不在项目台账里",IF($E471="※工作类型没选","※工作类型没选","")))</f>
        <v/>
      </c>
    </row>
    <row r="472">
      <c r="A472" s="17">
        <f>IF($C472="","",ROW()-3)</f>
        <v/>
      </c>
      <c r="B472" s="18" t="n"/>
      <c r="C472" s="13" t="n"/>
      <c r="D472" s="13" t="n"/>
      <c r="E472" s="17">
        <f>IF($C472="","",IFERROR(VLOOKUP($D472,工作归属,2,0),"※工作类型没选"))</f>
        <v/>
      </c>
      <c r="F472" s="13" t="n"/>
      <c r="G472" s="13" t="n"/>
      <c r="H472" s="20" t="n"/>
      <c r="I472" s="14" t="n"/>
      <c r="J472" s="19">
        <f>IF($C472="","",ROUND(IF($H472="",1,$H472)*N($I472),2))</f>
        <v/>
      </c>
      <c r="K472" s="13" t="n"/>
      <c r="L472" s="13" t="n"/>
      <c r="M472" s="17">
        <f>IF($C472="","",IF(ISNA(MATCH($C472,项目名表,0)),"※项目不在项目台账里",IF($E472="※工作类型没选","※工作类型没选","")))</f>
        <v/>
      </c>
    </row>
    <row r="473">
      <c r="A473" s="17">
        <f>IF($C473="","",ROW()-3)</f>
        <v/>
      </c>
      <c r="B473" s="18" t="n"/>
      <c r="C473" s="13" t="n"/>
      <c r="D473" s="13" t="n"/>
      <c r="E473" s="17">
        <f>IF($C473="","",IFERROR(VLOOKUP($D473,工作归属,2,0),"※工作类型没选"))</f>
        <v/>
      </c>
      <c r="F473" s="13" t="n"/>
      <c r="G473" s="13" t="n"/>
      <c r="H473" s="20" t="n"/>
      <c r="I473" s="14" t="n"/>
      <c r="J473" s="19">
        <f>IF($C473="","",ROUND(IF($H473="",1,$H473)*N($I473),2))</f>
        <v/>
      </c>
      <c r="K473" s="13" t="n"/>
      <c r="L473" s="13" t="n"/>
      <c r="M473" s="17">
        <f>IF($C473="","",IF(ISNA(MATCH($C473,项目名表,0)),"※项目不在项目台账里",IF($E473="※工作类型没选","※工作类型没选","")))</f>
        <v/>
      </c>
    </row>
    <row r="474">
      <c r="A474" s="17">
        <f>IF($C474="","",ROW()-3)</f>
        <v/>
      </c>
      <c r="B474" s="18" t="n"/>
      <c r="C474" s="13" t="n"/>
      <c r="D474" s="13" t="n"/>
      <c r="E474" s="17">
        <f>IF($C474="","",IFERROR(VLOOKUP($D474,工作归属,2,0),"※工作类型没选"))</f>
        <v/>
      </c>
      <c r="F474" s="13" t="n"/>
      <c r="G474" s="13" t="n"/>
      <c r="H474" s="20" t="n"/>
      <c r="I474" s="14" t="n"/>
      <c r="J474" s="19">
        <f>IF($C474="","",ROUND(IF($H474="",1,$H474)*N($I474),2))</f>
        <v/>
      </c>
      <c r="K474" s="13" t="n"/>
      <c r="L474" s="13" t="n"/>
      <c r="M474" s="17">
        <f>IF($C474="","",IF(ISNA(MATCH($C474,项目名表,0)),"※项目不在项目台账里",IF($E474="※工作类型没选","※工作类型没选","")))</f>
        <v/>
      </c>
    </row>
    <row r="475">
      <c r="A475" s="17">
        <f>IF($C475="","",ROW()-3)</f>
        <v/>
      </c>
      <c r="B475" s="18" t="n"/>
      <c r="C475" s="13" t="n"/>
      <c r="D475" s="13" t="n"/>
      <c r="E475" s="17">
        <f>IF($C475="","",IFERROR(VLOOKUP($D475,工作归属,2,0),"※工作类型没选"))</f>
        <v/>
      </c>
      <c r="F475" s="13" t="n"/>
      <c r="G475" s="13" t="n"/>
      <c r="H475" s="20" t="n"/>
      <c r="I475" s="14" t="n"/>
      <c r="J475" s="19">
        <f>IF($C475="","",ROUND(IF($H475="",1,$H475)*N($I475),2))</f>
        <v/>
      </c>
      <c r="K475" s="13" t="n"/>
      <c r="L475" s="13" t="n"/>
      <c r="M475" s="17">
        <f>IF($C475="","",IF(ISNA(MATCH($C475,项目名表,0)),"※项目不在项目台账里",IF($E475="※工作类型没选","※工作类型没选","")))</f>
        <v/>
      </c>
    </row>
    <row r="476">
      <c r="A476" s="17">
        <f>IF($C476="","",ROW()-3)</f>
        <v/>
      </c>
      <c r="B476" s="18" t="n"/>
      <c r="C476" s="13" t="n"/>
      <c r="D476" s="13" t="n"/>
      <c r="E476" s="17">
        <f>IF($C476="","",IFERROR(VLOOKUP($D476,工作归属,2,0),"※工作类型没选"))</f>
        <v/>
      </c>
      <c r="F476" s="13" t="n"/>
      <c r="G476" s="13" t="n"/>
      <c r="H476" s="20" t="n"/>
      <c r="I476" s="14" t="n"/>
      <c r="J476" s="19">
        <f>IF($C476="","",ROUND(IF($H476="",1,$H476)*N($I476),2))</f>
        <v/>
      </c>
      <c r="K476" s="13" t="n"/>
      <c r="L476" s="13" t="n"/>
      <c r="M476" s="17">
        <f>IF($C476="","",IF(ISNA(MATCH($C476,项目名表,0)),"※项目不在项目台账里",IF($E476="※工作类型没选","※工作类型没选","")))</f>
        <v/>
      </c>
    </row>
    <row r="477">
      <c r="A477" s="17">
        <f>IF($C477="","",ROW()-3)</f>
        <v/>
      </c>
      <c r="B477" s="18" t="n"/>
      <c r="C477" s="13" t="n"/>
      <c r="D477" s="13" t="n"/>
      <c r="E477" s="17">
        <f>IF($C477="","",IFERROR(VLOOKUP($D477,工作归属,2,0),"※工作类型没选"))</f>
        <v/>
      </c>
      <c r="F477" s="13" t="n"/>
      <c r="G477" s="13" t="n"/>
      <c r="H477" s="20" t="n"/>
      <c r="I477" s="14" t="n"/>
      <c r="J477" s="19">
        <f>IF($C477="","",ROUND(IF($H477="",1,$H477)*N($I477),2))</f>
        <v/>
      </c>
      <c r="K477" s="13" t="n"/>
      <c r="L477" s="13" t="n"/>
      <c r="M477" s="17">
        <f>IF($C477="","",IF(ISNA(MATCH($C477,项目名表,0)),"※项目不在项目台账里",IF($E477="※工作类型没选","※工作类型没选","")))</f>
        <v/>
      </c>
    </row>
    <row r="478">
      <c r="A478" s="17">
        <f>IF($C478="","",ROW()-3)</f>
        <v/>
      </c>
      <c r="B478" s="18" t="n"/>
      <c r="C478" s="13" t="n"/>
      <c r="D478" s="13" t="n"/>
      <c r="E478" s="17">
        <f>IF($C478="","",IFERROR(VLOOKUP($D478,工作归属,2,0),"※工作类型没选"))</f>
        <v/>
      </c>
      <c r="F478" s="13" t="n"/>
      <c r="G478" s="13" t="n"/>
      <c r="H478" s="20" t="n"/>
      <c r="I478" s="14" t="n"/>
      <c r="J478" s="19">
        <f>IF($C478="","",ROUND(IF($H478="",1,$H478)*N($I478),2))</f>
        <v/>
      </c>
      <c r="K478" s="13" t="n"/>
      <c r="L478" s="13" t="n"/>
      <c r="M478" s="17">
        <f>IF($C478="","",IF(ISNA(MATCH($C478,项目名表,0)),"※项目不在项目台账里",IF($E478="※工作类型没选","※工作类型没选","")))</f>
        <v/>
      </c>
    </row>
    <row r="479">
      <c r="A479" s="17">
        <f>IF($C479="","",ROW()-3)</f>
        <v/>
      </c>
      <c r="B479" s="18" t="n"/>
      <c r="C479" s="13" t="n"/>
      <c r="D479" s="13" t="n"/>
      <c r="E479" s="17">
        <f>IF($C479="","",IFERROR(VLOOKUP($D479,工作归属,2,0),"※工作类型没选"))</f>
        <v/>
      </c>
      <c r="F479" s="13" t="n"/>
      <c r="G479" s="13" t="n"/>
      <c r="H479" s="20" t="n"/>
      <c r="I479" s="14" t="n"/>
      <c r="J479" s="19">
        <f>IF($C479="","",ROUND(IF($H479="",1,$H479)*N($I479),2))</f>
        <v/>
      </c>
      <c r="K479" s="13" t="n"/>
      <c r="L479" s="13" t="n"/>
      <c r="M479" s="17">
        <f>IF($C479="","",IF(ISNA(MATCH($C479,项目名表,0)),"※项目不在项目台账里",IF($E479="※工作类型没选","※工作类型没选","")))</f>
        <v/>
      </c>
    </row>
    <row r="480">
      <c r="A480" s="17">
        <f>IF($C480="","",ROW()-3)</f>
        <v/>
      </c>
      <c r="B480" s="18" t="n"/>
      <c r="C480" s="13" t="n"/>
      <c r="D480" s="13" t="n"/>
      <c r="E480" s="17">
        <f>IF($C480="","",IFERROR(VLOOKUP($D480,工作归属,2,0),"※工作类型没选"))</f>
        <v/>
      </c>
      <c r="F480" s="13" t="n"/>
      <c r="G480" s="13" t="n"/>
      <c r="H480" s="20" t="n"/>
      <c r="I480" s="14" t="n"/>
      <c r="J480" s="19">
        <f>IF($C480="","",ROUND(IF($H480="",1,$H480)*N($I480),2))</f>
        <v/>
      </c>
      <c r="K480" s="13" t="n"/>
      <c r="L480" s="13" t="n"/>
      <c r="M480" s="17">
        <f>IF($C480="","",IF(ISNA(MATCH($C480,项目名表,0)),"※项目不在项目台账里",IF($E480="※工作类型没选","※工作类型没选","")))</f>
        <v/>
      </c>
    </row>
    <row r="481">
      <c r="A481" s="17">
        <f>IF($C481="","",ROW()-3)</f>
        <v/>
      </c>
      <c r="B481" s="18" t="n"/>
      <c r="C481" s="13" t="n"/>
      <c r="D481" s="13" t="n"/>
      <c r="E481" s="17">
        <f>IF($C481="","",IFERROR(VLOOKUP($D481,工作归属,2,0),"※工作类型没选"))</f>
        <v/>
      </c>
      <c r="F481" s="13" t="n"/>
      <c r="G481" s="13" t="n"/>
      <c r="H481" s="20" t="n"/>
      <c r="I481" s="14" t="n"/>
      <c r="J481" s="19">
        <f>IF($C481="","",ROUND(IF($H481="",1,$H481)*N($I481),2))</f>
        <v/>
      </c>
      <c r="K481" s="13" t="n"/>
      <c r="L481" s="13" t="n"/>
      <c r="M481" s="17">
        <f>IF($C481="","",IF(ISNA(MATCH($C481,项目名表,0)),"※项目不在项目台账里",IF($E481="※工作类型没选","※工作类型没选","")))</f>
        <v/>
      </c>
    </row>
    <row r="482">
      <c r="A482" s="17">
        <f>IF($C482="","",ROW()-3)</f>
        <v/>
      </c>
      <c r="B482" s="18" t="n"/>
      <c r="C482" s="13" t="n"/>
      <c r="D482" s="13" t="n"/>
      <c r="E482" s="17">
        <f>IF($C482="","",IFERROR(VLOOKUP($D482,工作归属,2,0),"※工作类型没选"))</f>
        <v/>
      </c>
      <c r="F482" s="13" t="n"/>
      <c r="G482" s="13" t="n"/>
      <c r="H482" s="20" t="n"/>
      <c r="I482" s="14" t="n"/>
      <c r="J482" s="19">
        <f>IF($C482="","",ROUND(IF($H482="",1,$H482)*N($I482),2))</f>
        <v/>
      </c>
      <c r="K482" s="13" t="n"/>
      <c r="L482" s="13" t="n"/>
      <c r="M482" s="17">
        <f>IF($C482="","",IF(ISNA(MATCH($C482,项目名表,0)),"※项目不在项目台账里",IF($E482="※工作类型没选","※工作类型没选","")))</f>
        <v/>
      </c>
    </row>
    <row r="483">
      <c r="A483" s="17">
        <f>IF($C483="","",ROW()-3)</f>
        <v/>
      </c>
      <c r="B483" s="18" t="n"/>
      <c r="C483" s="13" t="n"/>
      <c r="D483" s="13" t="n"/>
      <c r="E483" s="17">
        <f>IF($C483="","",IFERROR(VLOOKUP($D483,工作归属,2,0),"※工作类型没选"))</f>
        <v/>
      </c>
      <c r="F483" s="13" t="n"/>
      <c r="G483" s="13" t="n"/>
      <c r="H483" s="20" t="n"/>
      <c r="I483" s="14" t="n"/>
      <c r="J483" s="19">
        <f>IF($C483="","",ROUND(IF($H483="",1,$H483)*N($I483),2))</f>
        <v/>
      </c>
      <c r="K483" s="13" t="n"/>
      <c r="L483" s="13" t="n"/>
      <c r="M483" s="17">
        <f>IF($C483="","",IF(ISNA(MATCH($C483,项目名表,0)),"※项目不在项目台账里",IF($E483="※工作类型没选","※工作类型没选","")))</f>
        <v/>
      </c>
    </row>
    <row r="484">
      <c r="A484" s="17">
        <f>IF($C484="","",ROW()-3)</f>
        <v/>
      </c>
      <c r="B484" s="18" t="n"/>
      <c r="C484" s="13" t="n"/>
      <c r="D484" s="13" t="n"/>
      <c r="E484" s="17">
        <f>IF($C484="","",IFERROR(VLOOKUP($D484,工作归属,2,0),"※工作类型没选"))</f>
        <v/>
      </c>
      <c r="F484" s="13" t="n"/>
      <c r="G484" s="13" t="n"/>
      <c r="H484" s="20" t="n"/>
      <c r="I484" s="14" t="n"/>
      <c r="J484" s="19">
        <f>IF($C484="","",ROUND(IF($H484="",1,$H484)*N($I484),2))</f>
        <v/>
      </c>
      <c r="K484" s="13" t="n"/>
      <c r="L484" s="13" t="n"/>
      <c r="M484" s="17">
        <f>IF($C484="","",IF(ISNA(MATCH($C484,项目名表,0)),"※项目不在项目台账里",IF($E484="※工作类型没选","※工作类型没选","")))</f>
        <v/>
      </c>
    </row>
    <row r="485">
      <c r="A485" s="17">
        <f>IF($C485="","",ROW()-3)</f>
        <v/>
      </c>
      <c r="B485" s="18" t="n"/>
      <c r="C485" s="13" t="n"/>
      <c r="D485" s="13" t="n"/>
      <c r="E485" s="17">
        <f>IF($C485="","",IFERROR(VLOOKUP($D485,工作归属,2,0),"※工作类型没选"))</f>
        <v/>
      </c>
      <c r="F485" s="13" t="n"/>
      <c r="G485" s="13" t="n"/>
      <c r="H485" s="20" t="n"/>
      <c r="I485" s="14" t="n"/>
      <c r="J485" s="19">
        <f>IF($C485="","",ROUND(IF($H485="",1,$H485)*N($I485),2))</f>
        <v/>
      </c>
      <c r="K485" s="13" t="n"/>
      <c r="L485" s="13" t="n"/>
      <c r="M485" s="17">
        <f>IF($C485="","",IF(ISNA(MATCH($C485,项目名表,0)),"※项目不在项目台账里",IF($E485="※工作类型没选","※工作类型没选","")))</f>
        <v/>
      </c>
    </row>
    <row r="486">
      <c r="A486" s="17">
        <f>IF($C486="","",ROW()-3)</f>
        <v/>
      </c>
      <c r="B486" s="18" t="n"/>
      <c r="C486" s="13" t="n"/>
      <c r="D486" s="13" t="n"/>
      <c r="E486" s="17">
        <f>IF($C486="","",IFERROR(VLOOKUP($D486,工作归属,2,0),"※工作类型没选"))</f>
        <v/>
      </c>
      <c r="F486" s="13" t="n"/>
      <c r="G486" s="13" t="n"/>
      <c r="H486" s="20" t="n"/>
      <c r="I486" s="14" t="n"/>
      <c r="J486" s="19">
        <f>IF($C486="","",ROUND(IF($H486="",1,$H486)*N($I486),2))</f>
        <v/>
      </c>
      <c r="K486" s="13" t="n"/>
      <c r="L486" s="13" t="n"/>
      <c r="M486" s="17">
        <f>IF($C486="","",IF(ISNA(MATCH($C486,项目名表,0)),"※项目不在项目台账里",IF($E486="※工作类型没选","※工作类型没选","")))</f>
        <v/>
      </c>
    </row>
    <row r="487">
      <c r="A487" s="17">
        <f>IF($C487="","",ROW()-3)</f>
        <v/>
      </c>
      <c r="B487" s="18" t="n"/>
      <c r="C487" s="13" t="n"/>
      <c r="D487" s="13" t="n"/>
      <c r="E487" s="17">
        <f>IF($C487="","",IFERROR(VLOOKUP($D487,工作归属,2,0),"※工作类型没选"))</f>
        <v/>
      </c>
      <c r="F487" s="13" t="n"/>
      <c r="G487" s="13" t="n"/>
      <c r="H487" s="20" t="n"/>
      <c r="I487" s="14" t="n"/>
      <c r="J487" s="19">
        <f>IF($C487="","",ROUND(IF($H487="",1,$H487)*N($I487),2))</f>
        <v/>
      </c>
      <c r="K487" s="13" t="n"/>
      <c r="L487" s="13" t="n"/>
      <c r="M487" s="17">
        <f>IF($C487="","",IF(ISNA(MATCH($C487,项目名表,0)),"※项目不在项目台账里",IF($E487="※工作类型没选","※工作类型没选","")))</f>
        <v/>
      </c>
    </row>
    <row r="488">
      <c r="A488" s="17">
        <f>IF($C488="","",ROW()-3)</f>
        <v/>
      </c>
      <c r="B488" s="18" t="n"/>
      <c r="C488" s="13" t="n"/>
      <c r="D488" s="13" t="n"/>
      <c r="E488" s="17">
        <f>IF($C488="","",IFERROR(VLOOKUP($D488,工作归属,2,0),"※工作类型没选"))</f>
        <v/>
      </c>
      <c r="F488" s="13" t="n"/>
      <c r="G488" s="13" t="n"/>
      <c r="H488" s="20" t="n"/>
      <c r="I488" s="14" t="n"/>
      <c r="J488" s="19">
        <f>IF($C488="","",ROUND(IF($H488="",1,$H488)*N($I488),2))</f>
        <v/>
      </c>
      <c r="K488" s="13" t="n"/>
      <c r="L488" s="13" t="n"/>
      <c r="M488" s="17">
        <f>IF($C488="","",IF(ISNA(MATCH($C488,项目名表,0)),"※项目不在项目台账里",IF($E488="※工作类型没选","※工作类型没选","")))</f>
        <v/>
      </c>
    </row>
    <row r="489">
      <c r="A489" s="17">
        <f>IF($C489="","",ROW()-3)</f>
        <v/>
      </c>
      <c r="B489" s="18" t="n"/>
      <c r="C489" s="13" t="n"/>
      <c r="D489" s="13" t="n"/>
      <c r="E489" s="17">
        <f>IF($C489="","",IFERROR(VLOOKUP($D489,工作归属,2,0),"※工作类型没选"))</f>
        <v/>
      </c>
      <c r="F489" s="13" t="n"/>
      <c r="G489" s="13" t="n"/>
      <c r="H489" s="20" t="n"/>
      <c r="I489" s="14" t="n"/>
      <c r="J489" s="19">
        <f>IF($C489="","",ROUND(IF($H489="",1,$H489)*N($I489),2))</f>
        <v/>
      </c>
      <c r="K489" s="13" t="n"/>
      <c r="L489" s="13" t="n"/>
      <c r="M489" s="17">
        <f>IF($C489="","",IF(ISNA(MATCH($C489,项目名表,0)),"※项目不在项目台账里",IF($E489="※工作类型没选","※工作类型没选","")))</f>
        <v/>
      </c>
    </row>
    <row r="490">
      <c r="A490" s="17">
        <f>IF($C490="","",ROW()-3)</f>
        <v/>
      </c>
      <c r="B490" s="18" t="n"/>
      <c r="C490" s="13" t="n"/>
      <c r="D490" s="13" t="n"/>
      <c r="E490" s="17">
        <f>IF($C490="","",IFERROR(VLOOKUP($D490,工作归属,2,0),"※工作类型没选"))</f>
        <v/>
      </c>
      <c r="F490" s="13" t="n"/>
      <c r="G490" s="13" t="n"/>
      <c r="H490" s="20" t="n"/>
      <c r="I490" s="14" t="n"/>
      <c r="J490" s="19">
        <f>IF($C490="","",ROUND(IF($H490="",1,$H490)*N($I490),2))</f>
        <v/>
      </c>
      <c r="K490" s="13" t="n"/>
      <c r="L490" s="13" t="n"/>
      <c r="M490" s="17">
        <f>IF($C490="","",IF(ISNA(MATCH($C490,项目名表,0)),"※项目不在项目台账里",IF($E490="※工作类型没选","※工作类型没选","")))</f>
        <v/>
      </c>
    </row>
    <row r="491">
      <c r="A491" s="17">
        <f>IF($C491="","",ROW()-3)</f>
        <v/>
      </c>
      <c r="B491" s="18" t="n"/>
      <c r="C491" s="13" t="n"/>
      <c r="D491" s="13" t="n"/>
      <c r="E491" s="17">
        <f>IF($C491="","",IFERROR(VLOOKUP($D491,工作归属,2,0),"※工作类型没选"))</f>
        <v/>
      </c>
      <c r="F491" s="13" t="n"/>
      <c r="G491" s="13" t="n"/>
      <c r="H491" s="20" t="n"/>
      <c r="I491" s="14" t="n"/>
      <c r="J491" s="19">
        <f>IF($C491="","",ROUND(IF($H491="",1,$H491)*N($I491),2))</f>
        <v/>
      </c>
      <c r="K491" s="13" t="n"/>
      <c r="L491" s="13" t="n"/>
      <c r="M491" s="17">
        <f>IF($C491="","",IF(ISNA(MATCH($C491,项目名表,0)),"※项目不在项目台账里",IF($E491="※工作类型没选","※工作类型没选","")))</f>
        <v/>
      </c>
    </row>
    <row r="492">
      <c r="A492" s="17">
        <f>IF($C492="","",ROW()-3)</f>
        <v/>
      </c>
      <c r="B492" s="18" t="n"/>
      <c r="C492" s="13" t="n"/>
      <c r="D492" s="13" t="n"/>
      <c r="E492" s="17">
        <f>IF($C492="","",IFERROR(VLOOKUP($D492,工作归属,2,0),"※工作类型没选"))</f>
        <v/>
      </c>
      <c r="F492" s="13" t="n"/>
      <c r="G492" s="13" t="n"/>
      <c r="H492" s="20" t="n"/>
      <c r="I492" s="14" t="n"/>
      <c r="J492" s="19">
        <f>IF($C492="","",ROUND(IF($H492="",1,$H492)*N($I492),2))</f>
        <v/>
      </c>
      <c r="K492" s="13" t="n"/>
      <c r="L492" s="13" t="n"/>
      <c r="M492" s="17">
        <f>IF($C492="","",IF(ISNA(MATCH($C492,项目名表,0)),"※项目不在项目台账里",IF($E492="※工作类型没选","※工作类型没选","")))</f>
        <v/>
      </c>
    </row>
    <row r="493">
      <c r="A493" s="17">
        <f>IF($C493="","",ROW()-3)</f>
        <v/>
      </c>
      <c r="B493" s="18" t="n"/>
      <c r="C493" s="13" t="n"/>
      <c r="D493" s="13" t="n"/>
      <c r="E493" s="17">
        <f>IF($C493="","",IFERROR(VLOOKUP($D493,工作归属,2,0),"※工作类型没选"))</f>
        <v/>
      </c>
      <c r="F493" s="13" t="n"/>
      <c r="G493" s="13" t="n"/>
      <c r="H493" s="20" t="n"/>
      <c r="I493" s="14" t="n"/>
      <c r="J493" s="19">
        <f>IF($C493="","",ROUND(IF($H493="",1,$H493)*N($I493),2))</f>
        <v/>
      </c>
      <c r="K493" s="13" t="n"/>
      <c r="L493" s="13" t="n"/>
      <c r="M493" s="17">
        <f>IF($C493="","",IF(ISNA(MATCH($C493,项目名表,0)),"※项目不在项目台账里",IF($E493="※工作类型没选","※工作类型没选","")))</f>
        <v/>
      </c>
    </row>
    <row r="494">
      <c r="A494" s="17">
        <f>IF($C494="","",ROW()-3)</f>
        <v/>
      </c>
      <c r="B494" s="18" t="n"/>
      <c r="C494" s="13" t="n"/>
      <c r="D494" s="13" t="n"/>
      <c r="E494" s="17">
        <f>IF($C494="","",IFERROR(VLOOKUP($D494,工作归属,2,0),"※工作类型没选"))</f>
        <v/>
      </c>
      <c r="F494" s="13" t="n"/>
      <c r="G494" s="13" t="n"/>
      <c r="H494" s="20" t="n"/>
      <c r="I494" s="14" t="n"/>
      <c r="J494" s="19">
        <f>IF($C494="","",ROUND(IF($H494="",1,$H494)*N($I494),2))</f>
        <v/>
      </c>
      <c r="K494" s="13" t="n"/>
      <c r="L494" s="13" t="n"/>
      <c r="M494" s="17">
        <f>IF($C494="","",IF(ISNA(MATCH($C494,项目名表,0)),"※项目不在项目台账里",IF($E494="※工作类型没选","※工作类型没选","")))</f>
        <v/>
      </c>
    </row>
    <row r="495">
      <c r="A495" s="17">
        <f>IF($C495="","",ROW()-3)</f>
        <v/>
      </c>
      <c r="B495" s="18" t="n"/>
      <c r="C495" s="13" t="n"/>
      <c r="D495" s="13" t="n"/>
      <c r="E495" s="17">
        <f>IF($C495="","",IFERROR(VLOOKUP($D495,工作归属,2,0),"※工作类型没选"))</f>
        <v/>
      </c>
      <c r="F495" s="13" t="n"/>
      <c r="G495" s="13" t="n"/>
      <c r="H495" s="20" t="n"/>
      <c r="I495" s="14" t="n"/>
      <c r="J495" s="19">
        <f>IF($C495="","",ROUND(IF($H495="",1,$H495)*N($I495),2))</f>
        <v/>
      </c>
      <c r="K495" s="13" t="n"/>
      <c r="L495" s="13" t="n"/>
      <c r="M495" s="17">
        <f>IF($C495="","",IF(ISNA(MATCH($C495,项目名表,0)),"※项目不在项目台账里",IF($E495="※工作类型没选","※工作类型没选","")))</f>
        <v/>
      </c>
    </row>
    <row r="496">
      <c r="A496" s="17">
        <f>IF($C496="","",ROW()-3)</f>
        <v/>
      </c>
      <c r="B496" s="18" t="n"/>
      <c r="C496" s="13" t="n"/>
      <c r="D496" s="13" t="n"/>
      <c r="E496" s="17">
        <f>IF($C496="","",IFERROR(VLOOKUP($D496,工作归属,2,0),"※工作类型没选"))</f>
        <v/>
      </c>
      <c r="F496" s="13" t="n"/>
      <c r="G496" s="13" t="n"/>
      <c r="H496" s="20" t="n"/>
      <c r="I496" s="14" t="n"/>
      <c r="J496" s="19">
        <f>IF($C496="","",ROUND(IF($H496="",1,$H496)*N($I496),2))</f>
        <v/>
      </c>
      <c r="K496" s="13" t="n"/>
      <c r="L496" s="13" t="n"/>
      <c r="M496" s="17">
        <f>IF($C496="","",IF(ISNA(MATCH($C496,项目名表,0)),"※项目不在项目台账里",IF($E496="※工作类型没选","※工作类型没选","")))</f>
        <v/>
      </c>
    </row>
    <row r="497">
      <c r="A497" s="17">
        <f>IF($C497="","",ROW()-3)</f>
        <v/>
      </c>
      <c r="B497" s="18" t="n"/>
      <c r="C497" s="13" t="n"/>
      <c r="D497" s="13" t="n"/>
      <c r="E497" s="17">
        <f>IF($C497="","",IFERROR(VLOOKUP($D497,工作归属,2,0),"※工作类型没选"))</f>
        <v/>
      </c>
      <c r="F497" s="13" t="n"/>
      <c r="G497" s="13" t="n"/>
      <c r="H497" s="20" t="n"/>
      <c r="I497" s="14" t="n"/>
      <c r="J497" s="19">
        <f>IF($C497="","",ROUND(IF($H497="",1,$H497)*N($I497),2))</f>
        <v/>
      </c>
      <c r="K497" s="13" t="n"/>
      <c r="L497" s="13" t="n"/>
      <c r="M497" s="17">
        <f>IF($C497="","",IF(ISNA(MATCH($C497,项目名表,0)),"※项目不在项目台账里",IF($E497="※工作类型没选","※工作类型没选","")))</f>
        <v/>
      </c>
    </row>
    <row r="498">
      <c r="A498" s="17">
        <f>IF($C498="","",ROW()-3)</f>
        <v/>
      </c>
      <c r="B498" s="18" t="n"/>
      <c r="C498" s="13" t="n"/>
      <c r="D498" s="13" t="n"/>
      <c r="E498" s="17">
        <f>IF($C498="","",IFERROR(VLOOKUP($D498,工作归属,2,0),"※工作类型没选"))</f>
        <v/>
      </c>
      <c r="F498" s="13" t="n"/>
      <c r="G498" s="13" t="n"/>
      <c r="H498" s="20" t="n"/>
      <c r="I498" s="14" t="n"/>
      <c r="J498" s="19">
        <f>IF($C498="","",ROUND(IF($H498="",1,$H498)*N($I498),2))</f>
        <v/>
      </c>
      <c r="K498" s="13" t="n"/>
      <c r="L498" s="13" t="n"/>
      <c r="M498" s="17">
        <f>IF($C498="","",IF(ISNA(MATCH($C498,项目名表,0)),"※项目不在项目台账里",IF($E498="※工作类型没选","※工作类型没选","")))</f>
        <v/>
      </c>
    </row>
    <row r="499">
      <c r="A499" s="17">
        <f>IF($C499="","",ROW()-3)</f>
        <v/>
      </c>
      <c r="B499" s="18" t="n"/>
      <c r="C499" s="13" t="n"/>
      <c r="D499" s="13" t="n"/>
      <c r="E499" s="17">
        <f>IF($C499="","",IFERROR(VLOOKUP($D499,工作归属,2,0),"※工作类型没选"))</f>
        <v/>
      </c>
      <c r="F499" s="13" t="n"/>
      <c r="G499" s="13" t="n"/>
      <c r="H499" s="20" t="n"/>
      <c r="I499" s="14" t="n"/>
      <c r="J499" s="19">
        <f>IF($C499="","",ROUND(IF($H499="",1,$H499)*N($I499),2))</f>
        <v/>
      </c>
      <c r="K499" s="13" t="n"/>
      <c r="L499" s="13" t="n"/>
      <c r="M499" s="17">
        <f>IF($C499="","",IF(ISNA(MATCH($C499,项目名表,0)),"※项目不在项目台账里",IF($E499="※工作类型没选","※工作类型没选","")))</f>
        <v/>
      </c>
    </row>
    <row r="500">
      <c r="A500" s="17">
        <f>IF($C500="","",ROW()-3)</f>
        <v/>
      </c>
      <c r="B500" s="18" t="n"/>
      <c r="C500" s="13" t="n"/>
      <c r="D500" s="13" t="n"/>
      <c r="E500" s="17">
        <f>IF($C500="","",IFERROR(VLOOKUP($D500,工作归属,2,0),"※工作类型没选"))</f>
        <v/>
      </c>
      <c r="F500" s="13" t="n"/>
      <c r="G500" s="13" t="n"/>
      <c r="H500" s="20" t="n"/>
      <c r="I500" s="14" t="n"/>
      <c r="J500" s="19">
        <f>IF($C500="","",ROUND(IF($H500="",1,$H500)*N($I500),2))</f>
        <v/>
      </c>
      <c r="K500" s="13" t="n"/>
      <c r="L500" s="13" t="n"/>
      <c r="M500" s="17">
        <f>IF($C500="","",IF(ISNA(MATCH($C500,项目名表,0)),"※项目不在项目台账里",IF($E500="※工作类型没选","※工作类型没选","")))</f>
        <v/>
      </c>
    </row>
    <row r="501">
      <c r="A501" s="17">
        <f>IF($C501="","",ROW()-3)</f>
        <v/>
      </c>
      <c r="B501" s="18" t="n"/>
      <c r="C501" s="13" t="n"/>
      <c r="D501" s="13" t="n"/>
      <c r="E501" s="17">
        <f>IF($C501="","",IFERROR(VLOOKUP($D501,工作归属,2,0),"※工作类型没选"))</f>
        <v/>
      </c>
      <c r="F501" s="13" t="n"/>
      <c r="G501" s="13" t="n"/>
      <c r="H501" s="20" t="n"/>
      <c r="I501" s="14" t="n"/>
      <c r="J501" s="19">
        <f>IF($C501="","",ROUND(IF($H501="",1,$H501)*N($I501),2))</f>
        <v/>
      </c>
      <c r="K501" s="13" t="n"/>
      <c r="L501" s="13" t="n"/>
      <c r="M501" s="17">
        <f>IF($C501="","",IF(ISNA(MATCH($C501,项目名表,0)),"※项目不在项目台账里",IF($E501="※工作类型没选","※工作类型没选","")))</f>
        <v/>
      </c>
    </row>
    <row r="502">
      <c r="A502" s="17">
        <f>IF($C502="","",ROW()-3)</f>
        <v/>
      </c>
      <c r="B502" s="18" t="n"/>
      <c r="C502" s="13" t="n"/>
      <c r="D502" s="13" t="n"/>
      <c r="E502" s="17">
        <f>IF($C502="","",IFERROR(VLOOKUP($D502,工作归属,2,0),"※工作类型没选"))</f>
        <v/>
      </c>
      <c r="F502" s="13" t="n"/>
      <c r="G502" s="13" t="n"/>
      <c r="H502" s="20" t="n"/>
      <c r="I502" s="14" t="n"/>
      <c r="J502" s="19">
        <f>IF($C502="","",ROUND(IF($H502="",1,$H502)*N($I502),2))</f>
        <v/>
      </c>
      <c r="K502" s="13" t="n"/>
      <c r="L502" s="13" t="n"/>
      <c r="M502" s="17">
        <f>IF($C502="","",IF(ISNA(MATCH($C502,项目名表,0)),"※项目不在项目台账里",IF($E502="※工作类型没选","※工作类型没选","")))</f>
        <v/>
      </c>
    </row>
    <row r="503">
      <c r="A503" s="17">
        <f>IF($C503="","",ROW()-3)</f>
        <v/>
      </c>
      <c r="B503" s="18" t="n"/>
      <c r="C503" s="13" t="n"/>
      <c r="D503" s="13" t="n"/>
      <c r="E503" s="17">
        <f>IF($C503="","",IFERROR(VLOOKUP($D503,工作归属,2,0),"※工作类型没选"))</f>
        <v/>
      </c>
      <c r="F503" s="13" t="n"/>
      <c r="G503" s="13" t="n"/>
      <c r="H503" s="20" t="n"/>
      <c r="I503" s="14" t="n"/>
      <c r="J503" s="19">
        <f>IF($C503="","",ROUND(IF($H503="",1,$H503)*N($I503),2))</f>
        <v/>
      </c>
      <c r="K503" s="13" t="n"/>
      <c r="L503" s="13" t="n"/>
      <c r="M503" s="17">
        <f>IF($C503="","",IF(ISNA(MATCH($C503,项目名表,0)),"※项目不在项目台账里",IF($E503="※工作类型没选","※工作类型没选","")))</f>
        <v/>
      </c>
    </row>
    <row r="504">
      <c r="A504" s="17">
        <f>IF($C504="","",ROW()-3)</f>
        <v/>
      </c>
      <c r="B504" s="18" t="n"/>
      <c r="C504" s="13" t="n"/>
      <c r="D504" s="13" t="n"/>
      <c r="E504" s="17">
        <f>IF($C504="","",IFERROR(VLOOKUP($D504,工作归属,2,0),"※工作类型没选"))</f>
        <v/>
      </c>
      <c r="F504" s="13" t="n"/>
      <c r="G504" s="13" t="n"/>
      <c r="H504" s="20" t="n"/>
      <c r="I504" s="14" t="n"/>
      <c r="J504" s="19">
        <f>IF($C504="","",ROUND(IF($H504="",1,$H504)*N($I504),2))</f>
        <v/>
      </c>
      <c r="K504" s="13" t="n"/>
      <c r="L504" s="13" t="n"/>
      <c r="M504" s="17">
        <f>IF($C504="","",IF(ISNA(MATCH($C504,项目名表,0)),"※项目不在项目台账里",IF($E504="※工作类型没选","※工作类型没选","")))</f>
        <v/>
      </c>
    </row>
    <row r="505">
      <c r="A505" s="17">
        <f>IF($C505="","",ROW()-3)</f>
        <v/>
      </c>
      <c r="B505" s="18" t="n"/>
      <c r="C505" s="13" t="n"/>
      <c r="D505" s="13" t="n"/>
      <c r="E505" s="17">
        <f>IF($C505="","",IFERROR(VLOOKUP($D505,工作归属,2,0),"※工作类型没选"))</f>
        <v/>
      </c>
      <c r="F505" s="13" t="n"/>
      <c r="G505" s="13" t="n"/>
      <c r="H505" s="20" t="n"/>
      <c r="I505" s="14" t="n"/>
      <c r="J505" s="19">
        <f>IF($C505="","",ROUND(IF($H505="",1,$H505)*N($I505),2))</f>
        <v/>
      </c>
      <c r="K505" s="13" t="n"/>
      <c r="L505" s="13" t="n"/>
      <c r="M505" s="17">
        <f>IF($C505="","",IF(ISNA(MATCH($C505,项目名表,0)),"※项目不在项目台账里",IF($E505="※工作类型没选","※工作类型没选","")))</f>
        <v/>
      </c>
    </row>
    <row r="506">
      <c r="A506" s="17">
        <f>IF($C506="","",ROW()-3)</f>
        <v/>
      </c>
      <c r="B506" s="18" t="n"/>
      <c r="C506" s="13" t="n"/>
      <c r="D506" s="13" t="n"/>
      <c r="E506" s="17">
        <f>IF($C506="","",IFERROR(VLOOKUP($D506,工作归属,2,0),"※工作类型没选"))</f>
        <v/>
      </c>
      <c r="F506" s="13" t="n"/>
      <c r="G506" s="13" t="n"/>
      <c r="H506" s="20" t="n"/>
      <c r="I506" s="14" t="n"/>
      <c r="J506" s="19">
        <f>IF($C506="","",ROUND(IF($H506="",1,$H506)*N($I506),2))</f>
        <v/>
      </c>
      <c r="K506" s="13" t="n"/>
      <c r="L506" s="13" t="n"/>
      <c r="M506" s="17">
        <f>IF($C506="","",IF(ISNA(MATCH($C506,项目名表,0)),"※项目不在项目台账里",IF($E506="※工作类型没选","※工作类型没选","")))</f>
        <v/>
      </c>
    </row>
    <row r="507">
      <c r="A507" s="17">
        <f>IF($C507="","",ROW()-3)</f>
        <v/>
      </c>
      <c r="B507" s="18" t="n"/>
      <c r="C507" s="13" t="n"/>
      <c r="D507" s="13" t="n"/>
      <c r="E507" s="17">
        <f>IF($C507="","",IFERROR(VLOOKUP($D507,工作归属,2,0),"※工作类型没选"))</f>
        <v/>
      </c>
      <c r="F507" s="13" t="n"/>
      <c r="G507" s="13" t="n"/>
      <c r="H507" s="20" t="n"/>
      <c r="I507" s="14" t="n"/>
      <c r="J507" s="19">
        <f>IF($C507="","",ROUND(IF($H507="",1,$H507)*N($I507),2))</f>
        <v/>
      </c>
      <c r="K507" s="13" t="n"/>
      <c r="L507" s="13" t="n"/>
      <c r="M507" s="17">
        <f>IF($C507="","",IF(ISNA(MATCH($C507,项目名表,0)),"※项目不在项目台账里",IF($E507="※工作类型没选","※工作类型没选","")))</f>
        <v/>
      </c>
    </row>
    <row r="508">
      <c r="A508" s="17">
        <f>IF($C508="","",ROW()-3)</f>
        <v/>
      </c>
      <c r="B508" s="18" t="n"/>
      <c r="C508" s="13" t="n"/>
      <c r="D508" s="13" t="n"/>
      <c r="E508" s="17">
        <f>IF($C508="","",IFERROR(VLOOKUP($D508,工作归属,2,0),"※工作类型没选"))</f>
        <v/>
      </c>
      <c r="F508" s="13" t="n"/>
      <c r="G508" s="13" t="n"/>
      <c r="H508" s="20" t="n"/>
      <c r="I508" s="14" t="n"/>
      <c r="J508" s="19">
        <f>IF($C508="","",ROUND(IF($H508="",1,$H508)*N($I508),2))</f>
        <v/>
      </c>
      <c r="K508" s="13" t="n"/>
      <c r="L508" s="13" t="n"/>
      <c r="M508" s="17">
        <f>IF($C508="","",IF(ISNA(MATCH($C508,项目名表,0)),"※项目不在项目台账里",IF($E508="※工作类型没选","※工作类型没选","")))</f>
        <v/>
      </c>
    </row>
    <row r="509">
      <c r="A509" s="17">
        <f>IF($C509="","",ROW()-3)</f>
        <v/>
      </c>
      <c r="B509" s="18" t="n"/>
      <c r="C509" s="13" t="n"/>
      <c r="D509" s="13" t="n"/>
      <c r="E509" s="17">
        <f>IF($C509="","",IFERROR(VLOOKUP($D509,工作归属,2,0),"※工作类型没选"))</f>
        <v/>
      </c>
      <c r="F509" s="13" t="n"/>
      <c r="G509" s="13" t="n"/>
      <c r="H509" s="20" t="n"/>
      <c r="I509" s="14" t="n"/>
      <c r="J509" s="19">
        <f>IF($C509="","",ROUND(IF($H509="",1,$H509)*N($I509),2))</f>
        <v/>
      </c>
      <c r="K509" s="13" t="n"/>
      <c r="L509" s="13" t="n"/>
      <c r="M509" s="17">
        <f>IF($C509="","",IF(ISNA(MATCH($C509,项目名表,0)),"※项目不在项目台账里",IF($E509="※工作类型没选","※工作类型没选","")))</f>
        <v/>
      </c>
    </row>
    <row r="510">
      <c r="A510" s="17">
        <f>IF($C510="","",ROW()-3)</f>
        <v/>
      </c>
      <c r="B510" s="18" t="n"/>
      <c r="C510" s="13" t="n"/>
      <c r="D510" s="13" t="n"/>
      <c r="E510" s="17">
        <f>IF($C510="","",IFERROR(VLOOKUP($D510,工作归属,2,0),"※工作类型没选"))</f>
        <v/>
      </c>
      <c r="F510" s="13" t="n"/>
      <c r="G510" s="13" t="n"/>
      <c r="H510" s="20" t="n"/>
      <c r="I510" s="14" t="n"/>
      <c r="J510" s="19">
        <f>IF($C510="","",ROUND(IF($H510="",1,$H510)*N($I510),2))</f>
        <v/>
      </c>
      <c r="K510" s="13" t="n"/>
      <c r="L510" s="13" t="n"/>
      <c r="M510" s="17">
        <f>IF($C510="","",IF(ISNA(MATCH($C510,项目名表,0)),"※项目不在项目台账里",IF($E510="※工作类型没选","※工作类型没选","")))</f>
        <v/>
      </c>
    </row>
    <row r="511">
      <c r="A511" s="17">
        <f>IF($C511="","",ROW()-3)</f>
        <v/>
      </c>
      <c r="B511" s="18" t="n"/>
      <c r="C511" s="13" t="n"/>
      <c r="D511" s="13" t="n"/>
      <c r="E511" s="17">
        <f>IF($C511="","",IFERROR(VLOOKUP($D511,工作归属,2,0),"※工作类型没选"))</f>
        <v/>
      </c>
      <c r="F511" s="13" t="n"/>
      <c r="G511" s="13" t="n"/>
      <c r="H511" s="20" t="n"/>
      <c r="I511" s="14" t="n"/>
      <c r="J511" s="19">
        <f>IF($C511="","",ROUND(IF($H511="",1,$H511)*N($I511),2))</f>
        <v/>
      </c>
      <c r="K511" s="13" t="n"/>
      <c r="L511" s="13" t="n"/>
      <c r="M511" s="17">
        <f>IF($C511="","",IF(ISNA(MATCH($C511,项目名表,0)),"※项目不在项目台账里",IF($E511="※工作类型没选","※工作类型没选","")))</f>
        <v/>
      </c>
    </row>
    <row r="512">
      <c r="A512" s="17">
        <f>IF($C512="","",ROW()-3)</f>
        <v/>
      </c>
      <c r="B512" s="18" t="n"/>
      <c r="C512" s="13" t="n"/>
      <c r="D512" s="13" t="n"/>
      <c r="E512" s="17">
        <f>IF($C512="","",IFERROR(VLOOKUP($D512,工作归属,2,0),"※工作类型没选"))</f>
        <v/>
      </c>
      <c r="F512" s="13" t="n"/>
      <c r="G512" s="13" t="n"/>
      <c r="H512" s="20" t="n"/>
      <c r="I512" s="14" t="n"/>
      <c r="J512" s="19">
        <f>IF($C512="","",ROUND(IF($H512="",1,$H512)*N($I512),2))</f>
        <v/>
      </c>
      <c r="K512" s="13" t="n"/>
      <c r="L512" s="13" t="n"/>
      <c r="M512" s="17">
        <f>IF($C512="","",IF(ISNA(MATCH($C512,项目名表,0)),"※项目不在项目台账里",IF($E512="※工作类型没选","※工作类型没选","")))</f>
        <v/>
      </c>
    </row>
    <row r="513">
      <c r="A513" s="17">
        <f>IF($C513="","",ROW()-3)</f>
        <v/>
      </c>
      <c r="B513" s="18" t="n"/>
      <c r="C513" s="13" t="n"/>
      <c r="D513" s="13" t="n"/>
      <c r="E513" s="17">
        <f>IF($C513="","",IFERROR(VLOOKUP($D513,工作归属,2,0),"※工作类型没选"))</f>
        <v/>
      </c>
      <c r="F513" s="13" t="n"/>
      <c r="G513" s="13" t="n"/>
      <c r="H513" s="20" t="n"/>
      <c r="I513" s="14" t="n"/>
      <c r="J513" s="19">
        <f>IF($C513="","",ROUND(IF($H513="",1,$H513)*N($I513),2))</f>
        <v/>
      </c>
      <c r="K513" s="13" t="n"/>
      <c r="L513" s="13" t="n"/>
      <c r="M513" s="17">
        <f>IF($C513="","",IF(ISNA(MATCH($C513,项目名表,0)),"※项目不在项目台账里",IF($E513="※工作类型没选","※工作类型没选","")))</f>
        <v/>
      </c>
    </row>
    <row r="514">
      <c r="A514" s="17">
        <f>IF($C514="","",ROW()-3)</f>
        <v/>
      </c>
      <c r="B514" s="18" t="n"/>
      <c r="C514" s="13" t="n"/>
      <c r="D514" s="13" t="n"/>
      <c r="E514" s="17">
        <f>IF($C514="","",IFERROR(VLOOKUP($D514,工作归属,2,0),"※工作类型没选"))</f>
        <v/>
      </c>
      <c r="F514" s="13" t="n"/>
      <c r="G514" s="13" t="n"/>
      <c r="H514" s="20" t="n"/>
      <c r="I514" s="14" t="n"/>
      <c r="J514" s="19">
        <f>IF($C514="","",ROUND(IF($H514="",1,$H514)*N($I514),2))</f>
        <v/>
      </c>
      <c r="K514" s="13" t="n"/>
      <c r="L514" s="13" t="n"/>
      <c r="M514" s="17">
        <f>IF($C514="","",IF(ISNA(MATCH($C514,项目名表,0)),"※项目不在项目台账里",IF($E514="※工作类型没选","※工作类型没选","")))</f>
        <v/>
      </c>
    </row>
    <row r="515">
      <c r="A515" s="17">
        <f>IF($C515="","",ROW()-3)</f>
        <v/>
      </c>
      <c r="B515" s="18" t="n"/>
      <c r="C515" s="13" t="n"/>
      <c r="D515" s="13" t="n"/>
      <c r="E515" s="17">
        <f>IF($C515="","",IFERROR(VLOOKUP($D515,工作归属,2,0),"※工作类型没选"))</f>
        <v/>
      </c>
      <c r="F515" s="13" t="n"/>
      <c r="G515" s="13" t="n"/>
      <c r="H515" s="20" t="n"/>
      <c r="I515" s="14" t="n"/>
      <c r="J515" s="19">
        <f>IF($C515="","",ROUND(IF($H515="",1,$H515)*N($I515),2))</f>
        <v/>
      </c>
      <c r="K515" s="13" t="n"/>
      <c r="L515" s="13" t="n"/>
      <c r="M515" s="17">
        <f>IF($C515="","",IF(ISNA(MATCH($C515,项目名表,0)),"※项目不在项目台账里",IF($E515="※工作类型没选","※工作类型没选","")))</f>
        <v/>
      </c>
    </row>
    <row r="516">
      <c r="A516" s="17">
        <f>IF($C516="","",ROW()-3)</f>
        <v/>
      </c>
      <c r="B516" s="18" t="n"/>
      <c r="C516" s="13" t="n"/>
      <c r="D516" s="13" t="n"/>
      <c r="E516" s="17">
        <f>IF($C516="","",IFERROR(VLOOKUP($D516,工作归属,2,0),"※工作类型没选"))</f>
        <v/>
      </c>
      <c r="F516" s="13" t="n"/>
      <c r="G516" s="13" t="n"/>
      <c r="H516" s="20" t="n"/>
      <c r="I516" s="14" t="n"/>
      <c r="J516" s="19">
        <f>IF($C516="","",ROUND(IF($H516="",1,$H516)*N($I516),2))</f>
        <v/>
      </c>
      <c r="K516" s="13" t="n"/>
      <c r="L516" s="13" t="n"/>
      <c r="M516" s="17">
        <f>IF($C516="","",IF(ISNA(MATCH($C516,项目名表,0)),"※项目不在项目台账里",IF($E516="※工作类型没选","※工作类型没选","")))</f>
        <v/>
      </c>
    </row>
    <row r="517">
      <c r="A517" s="17">
        <f>IF($C517="","",ROW()-3)</f>
        <v/>
      </c>
      <c r="B517" s="18" t="n"/>
      <c r="C517" s="13" t="n"/>
      <c r="D517" s="13" t="n"/>
      <c r="E517" s="17">
        <f>IF($C517="","",IFERROR(VLOOKUP($D517,工作归属,2,0),"※工作类型没选"))</f>
        <v/>
      </c>
      <c r="F517" s="13" t="n"/>
      <c r="G517" s="13" t="n"/>
      <c r="H517" s="20" t="n"/>
      <c r="I517" s="14" t="n"/>
      <c r="J517" s="19">
        <f>IF($C517="","",ROUND(IF($H517="",1,$H517)*N($I517),2))</f>
        <v/>
      </c>
      <c r="K517" s="13" t="n"/>
      <c r="L517" s="13" t="n"/>
      <c r="M517" s="17">
        <f>IF($C517="","",IF(ISNA(MATCH($C517,项目名表,0)),"※项目不在项目台账里",IF($E517="※工作类型没选","※工作类型没选","")))</f>
        <v/>
      </c>
    </row>
    <row r="518">
      <c r="A518" s="17">
        <f>IF($C518="","",ROW()-3)</f>
        <v/>
      </c>
      <c r="B518" s="18" t="n"/>
      <c r="C518" s="13" t="n"/>
      <c r="D518" s="13" t="n"/>
      <c r="E518" s="17">
        <f>IF($C518="","",IFERROR(VLOOKUP($D518,工作归属,2,0),"※工作类型没选"))</f>
        <v/>
      </c>
      <c r="F518" s="13" t="n"/>
      <c r="G518" s="13" t="n"/>
      <c r="H518" s="20" t="n"/>
      <c r="I518" s="14" t="n"/>
      <c r="J518" s="19">
        <f>IF($C518="","",ROUND(IF($H518="",1,$H518)*N($I518),2))</f>
        <v/>
      </c>
      <c r="K518" s="13" t="n"/>
      <c r="L518" s="13" t="n"/>
      <c r="M518" s="17">
        <f>IF($C518="","",IF(ISNA(MATCH($C518,项目名表,0)),"※项目不在项目台账里",IF($E518="※工作类型没选","※工作类型没选","")))</f>
        <v/>
      </c>
    </row>
    <row r="519">
      <c r="A519" s="17">
        <f>IF($C519="","",ROW()-3)</f>
        <v/>
      </c>
      <c r="B519" s="18" t="n"/>
      <c r="C519" s="13" t="n"/>
      <c r="D519" s="13" t="n"/>
      <c r="E519" s="17">
        <f>IF($C519="","",IFERROR(VLOOKUP($D519,工作归属,2,0),"※工作类型没选"))</f>
        <v/>
      </c>
      <c r="F519" s="13" t="n"/>
      <c r="G519" s="13" t="n"/>
      <c r="H519" s="20" t="n"/>
      <c r="I519" s="14" t="n"/>
      <c r="J519" s="19">
        <f>IF($C519="","",ROUND(IF($H519="",1,$H519)*N($I519),2))</f>
        <v/>
      </c>
      <c r="K519" s="13" t="n"/>
      <c r="L519" s="13" t="n"/>
      <c r="M519" s="17">
        <f>IF($C519="","",IF(ISNA(MATCH($C519,项目名表,0)),"※项目不在项目台账里",IF($E519="※工作类型没选","※工作类型没选","")))</f>
        <v/>
      </c>
    </row>
    <row r="520">
      <c r="A520" s="17">
        <f>IF($C520="","",ROW()-3)</f>
        <v/>
      </c>
      <c r="B520" s="18" t="n"/>
      <c r="C520" s="13" t="n"/>
      <c r="D520" s="13" t="n"/>
      <c r="E520" s="17">
        <f>IF($C520="","",IFERROR(VLOOKUP($D520,工作归属,2,0),"※工作类型没选"))</f>
        <v/>
      </c>
      <c r="F520" s="13" t="n"/>
      <c r="G520" s="13" t="n"/>
      <c r="H520" s="20" t="n"/>
      <c r="I520" s="14" t="n"/>
      <c r="J520" s="19">
        <f>IF($C520="","",ROUND(IF($H520="",1,$H520)*N($I520),2))</f>
        <v/>
      </c>
      <c r="K520" s="13" t="n"/>
      <c r="L520" s="13" t="n"/>
      <c r="M520" s="17">
        <f>IF($C520="","",IF(ISNA(MATCH($C520,项目名表,0)),"※项目不在项目台账里",IF($E520="※工作类型没选","※工作类型没选","")))</f>
        <v/>
      </c>
    </row>
    <row r="521">
      <c r="A521" s="17">
        <f>IF($C521="","",ROW()-3)</f>
        <v/>
      </c>
      <c r="B521" s="18" t="n"/>
      <c r="C521" s="13" t="n"/>
      <c r="D521" s="13" t="n"/>
      <c r="E521" s="17">
        <f>IF($C521="","",IFERROR(VLOOKUP($D521,工作归属,2,0),"※工作类型没选"))</f>
        <v/>
      </c>
      <c r="F521" s="13" t="n"/>
      <c r="G521" s="13" t="n"/>
      <c r="H521" s="20" t="n"/>
      <c r="I521" s="14" t="n"/>
      <c r="J521" s="19">
        <f>IF($C521="","",ROUND(IF($H521="",1,$H521)*N($I521),2))</f>
        <v/>
      </c>
      <c r="K521" s="13" t="n"/>
      <c r="L521" s="13" t="n"/>
      <c r="M521" s="17">
        <f>IF($C521="","",IF(ISNA(MATCH($C521,项目名表,0)),"※项目不在项目台账里",IF($E521="※工作类型没选","※工作类型没选","")))</f>
        <v/>
      </c>
    </row>
    <row r="522">
      <c r="A522" s="17">
        <f>IF($C522="","",ROW()-3)</f>
        <v/>
      </c>
      <c r="B522" s="18" t="n"/>
      <c r="C522" s="13" t="n"/>
      <c r="D522" s="13" t="n"/>
      <c r="E522" s="17">
        <f>IF($C522="","",IFERROR(VLOOKUP($D522,工作归属,2,0),"※工作类型没选"))</f>
        <v/>
      </c>
      <c r="F522" s="13" t="n"/>
      <c r="G522" s="13" t="n"/>
      <c r="H522" s="20" t="n"/>
      <c r="I522" s="14" t="n"/>
      <c r="J522" s="19">
        <f>IF($C522="","",ROUND(IF($H522="",1,$H522)*N($I522),2))</f>
        <v/>
      </c>
      <c r="K522" s="13" t="n"/>
      <c r="L522" s="13" t="n"/>
      <c r="M522" s="17">
        <f>IF($C522="","",IF(ISNA(MATCH($C522,项目名表,0)),"※项目不在项目台账里",IF($E522="※工作类型没选","※工作类型没选","")))</f>
        <v/>
      </c>
    </row>
    <row r="523">
      <c r="A523" s="17">
        <f>IF($C523="","",ROW()-3)</f>
        <v/>
      </c>
      <c r="B523" s="18" t="n"/>
      <c r="C523" s="13" t="n"/>
      <c r="D523" s="13" t="n"/>
      <c r="E523" s="17">
        <f>IF($C523="","",IFERROR(VLOOKUP($D523,工作归属,2,0),"※工作类型没选"))</f>
        <v/>
      </c>
      <c r="F523" s="13" t="n"/>
      <c r="G523" s="13" t="n"/>
      <c r="H523" s="20" t="n"/>
      <c r="I523" s="14" t="n"/>
      <c r="J523" s="19">
        <f>IF($C523="","",ROUND(IF($H523="",1,$H523)*N($I523),2))</f>
        <v/>
      </c>
      <c r="K523" s="13" t="n"/>
      <c r="L523" s="13" t="n"/>
      <c r="M523" s="17">
        <f>IF($C523="","",IF(ISNA(MATCH($C523,项目名表,0)),"※项目不在项目台账里",IF($E523="※工作类型没选","※工作类型没选","")))</f>
        <v/>
      </c>
    </row>
    <row r="524">
      <c r="A524" s="17">
        <f>IF($C524="","",ROW()-3)</f>
        <v/>
      </c>
      <c r="B524" s="18" t="n"/>
      <c r="C524" s="13" t="n"/>
      <c r="D524" s="13" t="n"/>
      <c r="E524" s="17">
        <f>IF($C524="","",IFERROR(VLOOKUP($D524,工作归属,2,0),"※工作类型没选"))</f>
        <v/>
      </c>
      <c r="F524" s="13" t="n"/>
      <c r="G524" s="13" t="n"/>
      <c r="H524" s="20" t="n"/>
      <c r="I524" s="14" t="n"/>
      <c r="J524" s="19">
        <f>IF($C524="","",ROUND(IF($H524="",1,$H524)*N($I524),2))</f>
        <v/>
      </c>
      <c r="K524" s="13" t="n"/>
      <c r="L524" s="13" t="n"/>
      <c r="M524" s="17">
        <f>IF($C524="","",IF(ISNA(MATCH($C524,项目名表,0)),"※项目不在项目台账里",IF($E524="※工作类型没选","※工作类型没选","")))</f>
        <v/>
      </c>
    </row>
    <row r="525">
      <c r="A525" s="17">
        <f>IF($C525="","",ROW()-3)</f>
        <v/>
      </c>
      <c r="B525" s="18" t="n"/>
      <c r="C525" s="13" t="n"/>
      <c r="D525" s="13" t="n"/>
      <c r="E525" s="17">
        <f>IF($C525="","",IFERROR(VLOOKUP($D525,工作归属,2,0),"※工作类型没选"))</f>
        <v/>
      </c>
      <c r="F525" s="13" t="n"/>
      <c r="G525" s="13" t="n"/>
      <c r="H525" s="20" t="n"/>
      <c r="I525" s="14" t="n"/>
      <c r="J525" s="19">
        <f>IF($C525="","",ROUND(IF($H525="",1,$H525)*N($I525),2))</f>
        <v/>
      </c>
      <c r="K525" s="13" t="n"/>
      <c r="L525" s="13" t="n"/>
      <c r="M525" s="17">
        <f>IF($C525="","",IF(ISNA(MATCH($C525,项目名表,0)),"※项目不在项目台账里",IF($E525="※工作类型没选","※工作类型没选","")))</f>
        <v/>
      </c>
    </row>
    <row r="526">
      <c r="A526" s="17">
        <f>IF($C526="","",ROW()-3)</f>
        <v/>
      </c>
      <c r="B526" s="18" t="n"/>
      <c r="C526" s="13" t="n"/>
      <c r="D526" s="13" t="n"/>
      <c r="E526" s="17">
        <f>IF($C526="","",IFERROR(VLOOKUP($D526,工作归属,2,0),"※工作类型没选"))</f>
        <v/>
      </c>
      <c r="F526" s="13" t="n"/>
      <c r="G526" s="13" t="n"/>
      <c r="H526" s="20" t="n"/>
      <c r="I526" s="14" t="n"/>
      <c r="J526" s="19">
        <f>IF($C526="","",ROUND(IF($H526="",1,$H526)*N($I526),2))</f>
        <v/>
      </c>
      <c r="K526" s="13" t="n"/>
      <c r="L526" s="13" t="n"/>
      <c r="M526" s="17">
        <f>IF($C526="","",IF(ISNA(MATCH($C526,项目名表,0)),"※项目不在项目台账里",IF($E526="※工作类型没选","※工作类型没选","")))</f>
        <v/>
      </c>
    </row>
    <row r="527">
      <c r="A527" s="17">
        <f>IF($C527="","",ROW()-3)</f>
        <v/>
      </c>
      <c r="B527" s="18" t="n"/>
      <c r="C527" s="13" t="n"/>
      <c r="D527" s="13" t="n"/>
      <c r="E527" s="17">
        <f>IF($C527="","",IFERROR(VLOOKUP($D527,工作归属,2,0),"※工作类型没选"))</f>
        <v/>
      </c>
      <c r="F527" s="13" t="n"/>
      <c r="G527" s="13" t="n"/>
      <c r="H527" s="20" t="n"/>
      <c r="I527" s="14" t="n"/>
      <c r="J527" s="19">
        <f>IF($C527="","",ROUND(IF($H527="",1,$H527)*N($I527),2))</f>
        <v/>
      </c>
      <c r="K527" s="13" t="n"/>
      <c r="L527" s="13" t="n"/>
      <c r="M527" s="17">
        <f>IF($C527="","",IF(ISNA(MATCH($C527,项目名表,0)),"※项目不在项目台账里",IF($E527="※工作类型没选","※工作类型没选","")))</f>
        <v/>
      </c>
    </row>
    <row r="528">
      <c r="A528" s="17">
        <f>IF($C528="","",ROW()-3)</f>
        <v/>
      </c>
      <c r="B528" s="18" t="n"/>
      <c r="C528" s="13" t="n"/>
      <c r="D528" s="13" t="n"/>
      <c r="E528" s="17">
        <f>IF($C528="","",IFERROR(VLOOKUP($D528,工作归属,2,0),"※工作类型没选"))</f>
        <v/>
      </c>
      <c r="F528" s="13" t="n"/>
      <c r="G528" s="13" t="n"/>
      <c r="H528" s="20" t="n"/>
      <c r="I528" s="14" t="n"/>
      <c r="J528" s="19">
        <f>IF($C528="","",ROUND(IF($H528="",1,$H528)*N($I528),2))</f>
        <v/>
      </c>
      <c r="K528" s="13" t="n"/>
      <c r="L528" s="13" t="n"/>
      <c r="M528" s="17">
        <f>IF($C528="","",IF(ISNA(MATCH($C528,项目名表,0)),"※项目不在项目台账里",IF($E528="※工作类型没选","※工作类型没选","")))</f>
        <v/>
      </c>
    </row>
    <row r="529">
      <c r="A529" s="17">
        <f>IF($C529="","",ROW()-3)</f>
        <v/>
      </c>
      <c r="B529" s="18" t="n"/>
      <c r="C529" s="13" t="n"/>
      <c r="D529" s="13" t="n"/>
      <c r="E529" s="17">
        <f>IF($C529="","",IFERROR(VLOOKUP($D529,工作归属,2,0),"※工作类型没选"))</f>
        <v/>
      </c>
      <c r="F529" s="13" t="n"/>
      <c r="G529" s="13" t="n"/>
      <c r="H529" s="20" t="n"/>
      <c r="I529" s="14" t="n"/>
      <c r="J529" s="19">
        <f>IF($C529="","",ROUND(IF($H529="",1,$H529)*N($I529),2))</f>
        <v/>
      </c>
      <c r="K529" s="13" t="n"/>
      <c r="L529" s="13" t="n"/>
      <c r="M529" s="17">
        <f>IF($C529="","",IF(ISNA(MATCH($C529,项目名表,0)),"※项目不在项目台账里",IF($E529="※工作类型没选","※工作类型没选","")))</f>
        <v/>
      </c>
    </row>
    <row r="530">
      <c r="A530" s="17">
        <f>IF($C530="","",ROW()-3)</f>
        <v/>
      </c>
      <c r="B530" s="18" t="n"/>
      <c r="C530" s="13" t="n"/>
      <c r="D530" s="13" t="n"/>
      <c r="E530" s="17">
        <f>IF($C530="","",IFERROR(VLOOKUP($D530,工作归属,2,0),"※工作类型没选"))</f>
        <v/>
      </c>
      <c r="F530" s="13" t="n"/>
      <c r="G530" s="13" t="n"/>
      <c r="H530" s="20" t="n"/>
      <c r="I530" s="14" t="n"/>
      <c r="J530" s="19">
        <f>IF($C530="","",ROUND(IF($H530="",1,$H530)*N($I530),2))</f>
        <v/>
      </c>
      <c r="K530" s="13" t="n"/>
      <c r="L530" s="13" t="n"/>
      <c r="M530" s="17">
        <f>IF($C530="","",IF(ISNA(MATCH($C530,项目名表,0)),"※项目不在项目台账里",IF($E530="※工作类型没选","※工作类型没选","")))</f>
        <v/>
      </c>
    </row>
    <row r="531">
      <c r="A531" s="17">
        <f>IF($C531="","",ROW()-3)</f>
        <v/>
      </c>
      <c r="B531" s="18" t="n"/>
      <c r="C531" s="13" t="n"/>
      <c r="D531" s="13" t="n"/>
      <c r="E531" s="17">
        <f>IF($C531="","",IFERROR(VLOOKUP($D531,工作归属,2,0),"※工作类型没选"))</f>
        <v/>
      </c>
      <c r="F531" s="13" t="n"/>
      <c r="G531" s="13" t="n"/>
      <c r="H531" s="20" t="n"/>
      <c r="I531" s="14" t="n"/>
      <c r="J531" s="19">
        <f>IF($C531="","",ROUND(IF($H531="",1,$H531)*N($I531),2))</f>
        <v/>
      </c>
      <c r="K531" s="13" t="n"/>
      <c r="L531" s="13" t="n"/>
      <c r="M531" s="17">
        <f>IF($C531="","",IF(ISNA(MATCH($C531,项目名表,0)),"※项目不在项目台账里",IF($E531="※工作类型没选","※工作类型没选","")))</f>
        <v/>
      </c>
    </row>
    <row r="532">
      <c r="A532" s="17">
        <f>IF($C532="","",ROW()-3)</f>
        <v/>
      </c>
      <c r="B532" s="18" t="n"/>
      <c r="C532" s="13" t="n"/>
      <c r="D532" s="13" t="n"/>
      <c r="E532" s="17">
        <f>IF($C532="","",IFERROR(VLOOKUP($D532,工作归属,2,0),"※工作类型没选"))</f>
        <v/>
      </c>
      <c r="F532" s="13" t="n"/>
      <c r="G532" s="13" t="n"/>
      <c r="H532" s="20" t="n"/>
      <c r="I532" s="14" t="n"/>
      <c r="J532" s="19">
        <f>IF($C532="","",ROUND(IF($H532="",1,$H532)*N($I532),2))</f>
        <v/>
      </c>
      <c r="K532" s="13" t="n"/>
      <c r="L532" s="13" t="n"/>
      <c r="M532" s="17">
        <f>IF($C532="","",IF(ISNA(MATCH($C532,项目名表,0)),"※项目不在项目台账里",IF($E532="※工作类型没选","※工作类型没选","")))</f>
        <v/>
      </c>
    </row>
    <row r="533">
      <c r="A533" s="17">
        <f>IF($C533="","",ROW()-3)</f>
        <v/>
      </c>
      <c r="B533" s="18" t="n"/>
      <c r="C533" s="13" t="n"/>
      <c r="D533" s="13" t="n"/>
      <c r="E533" s="17">
        <f>IF($C533="","",IFERROR(VLOOKUP($D533,工作归属,2,0),"※工作类型没选"))</f>
        <v/>
      </c>
      <c r="F533" s="13" t="n"/>
      <c r="G533" s="13" t="n"/>
      <c r="H533" s="20" t="n"/>
      <c r="I533" s="14" t="n"/>
      <c r="J533" s="19">
        <f>IF($C533="","",ROUND(IF($H533="",1,$H533)*N($I533),2))</f>
        <v/>
      </c>
      <c r="K533" s="13" t="n"/>
      <c r="L533" s="13" t="n"/>
      <c r="M533" s="17">
        <f>IF($C533="","",IF(ISNA(MATCH($C533,项目名表,0)),"※项目不在项目台账里",IF($E533="※工作类型没选","※工作类型没选","")))</f>
        <v/>
      </c>
    </row>
    <row r="534">
      <c r="A534" s="17">
        <f>IF($C534="","",ROW()-3)</f>
        <v/>
      </c>
      <c r="B534" s="18" t="n"/>
      <c r="C534" s="13" t="n"/>
      <c r="D534" s="13" t="n"/>
      <c r="E534" s="17">
        <f>IF($C534="","",IFERROR(VLOOKUP($D534,工作归属,2,0),"※工作类型没选"))</f>
        <v/>
      </c>
      <c r="F534" s="13" t="n"/>
      <c r="G534" s="13" t="n"/>
      <c r="H534" s="20" t="n"/>
      <c r="I534" s="14" t="n"/>
      <c r="J534" s="19">
        <f>IF($C534="","",ROUND(IF($H534="",1,$H534)*N($I534),2))</f>
        <v/>
      </c>
      <c r="K534" s="13" t="n"/>
      <c r="L534" s="13" t="n"/>
      <c r="M534" s="17">
        <f>IF($C534="","",IF(ISNA(MATCH($C534,项目名表,0)),"※项目不在项目台账里",IF($E534="※工作类型没选","※工作类型没选","")))</f>
        <v/>
      </c>
    </row>
    <row r="535">
      <c r="A535" s="17">
        <f>IF($C535="","",ROW()-3)</f>
        <v/>
      </c>
      <c r="B535" s="18" t="n"/>
      <c r="C535" s="13" t="n"/>
      <c r="D535" s="13" t="n"/>
      <c r="E535" s="17">
        <f>IF($C535="","",IFERROR(VLOOKUP($D535,工作归属,2,0),"※工作类型没选"))</f>
        <v/>
      </c>
      <c r="F535" s="13" t="n"/>
      <c r="G535" s="13" t="n"/>
      <c r="H535" s="20" t="n"/>
      <c r="I535" s="14" t="n"/>
      <c r="J535" s="19">
        <f>IF($C535="","",ROUND(IF($H535="",1,$H535)*N($I535),2))</f>
        <v/>
      </c>
      <c r="K535" s="13" t="n"/>
      <c r="L535" s="13" t="n"/>
      <c r="M535" s="17">
        <f>IF($C535="","",IF(ISNA(MATCH($C535,项目名表,0)),"※项目不在项目台账里",IF($E535="※工作类型没选","※工作类型没选","")))</f>
        <v/>
      </c>
    </row>
    <row r="536">
      <c r="A536" s="17">
        <f>IF($C536="","",ROW()-3)</f>
        <v/>
      </c>
      <c r="B536" s="18" t="n"/>
      <c r="C536" s="13" t="n"/>
      <c r="D536" s="13" t="n"/>
      <c r="E536" s="17">
        <f>IF($C536="","",IFERROR(VLOOKUP($D536,工作归属,2,0),"※工作类型没选"))</f>
        <v/>
      </c>
      <c r="F536" s="13" t="n"/>
      <c r="G536" s="13" t="n"/>
      <c r="H536" s="20" t="n"/>
      <c r="I536" s="14" t="n"/>
      <c r="J536" s="19">
        <f>IF($C536="","",ROUND(IF($H536="",1,$H536)*N($I536),2))</f>
        <v/>
      </c>
      <c r="K536" s="13" t="n"/>
      <c r="L536" s="13" t="n"/>
      <c r="M536" s="17">
        <f>IF($C536="","",IF(ISNA(MATCH($C536,项目名表,0)),"※项目不在项目台账里",IF($E536="※工作类型没选","※工作类型没选","")))</f>
        <v/>
      </c>
    </row>
    <row r="537">
      <c r="A537" s="17">
        <f>IF($C537="","",ROW()-3)</f>
        <v/>
      </c>
      <c r="B537" s="18" t="n"/>
      <c r="C537" s="13" t="n"/>
      <c r="D537" s="13" t="n"/>
      <c r="E537" s="17">
        <f>IF($C537="","",IFERROR(VLOOKUP($D537,工作归属,2,0),"※工作类型没选"))</f>
        <v/>
      </c>
      <c r="F537" s="13" t="n"/>
      <c r="G537" s="13" t="n"/>
      <c r="H537" s="20" t="n"/>
      <c r="I537" s="14" t="n"/>
      <c r="J537" s="19">
        <f>IF($C537="","",ROUND(IF($H537="",1,$H537)*N($I537),2))</f>
        <v/>
      </c>
      <c r="K537" s="13" t="n"/>
      <c r="L537" s="13" t="n"/>
      <c r="M537" s="17">
        <f>IF($C537="","",IF(ISNA(MATCH($C537,项目名表,0)),"※项目不在项目台账里",IF($E537="※工作类型没选","※工作类型没选","")))</f>
        <v/>
      </c>
    </row>
    <row r="538">
      <c r="A538" s="17">
        <f>IF($C538="","",ROW()-3)</f>
        <v/>
      </c>
      <c r="B538" s="18" t="n"/>
      <c r="C538" s="13" t="n"/>
      <c r="D538" s="13" t="n"/>
      <c r="E538" s="17">
        <f>IF($C538="","",IFERROR(VLOOKUP($D538,工作归属,2,0),"※工作类型没选"))</f>
        <v/>
      </c>
      <c r="F538" s="13" t="n"/>
      <c r="G538" s="13" t="n"/>
      <c r="H538" s="20" t="n"/>
      <c r="I538" s="14" t="n"/>
      <c r="J538" s="19">
        <f>IF($C538="","",ROUND(IF($H538="",1,$H538)*N($I538),2))</f>
        <v/>
      </c>
      <c r="K538" s="13" t="n"/>
      <c r="L538" s="13" t="n"/>
      <c r="M538" s="17">
        <f>IF($C538="","",IF(ISNA(MATCH($C538,项目名表,0)),"※项目不在项目台账里",IF($E538="※工作类型没选","※工作类型没选","")))</f>
        <v/>
      </c>
    </row>
    <row r="539">
      <c r="A539" s="17">
        <f>IF($C539="","",ROW()-3)</f>
        <v/>
      </c>
      <c r="B539" s="18" t="n"/>
      <c r="C539" s="13" t="n"/>
      <c r="D539" s="13" t="n"/>
      <c r="E539" s="17">
        <f>IF($C539="","",IFERROR(VLOOKUP($D539,工作归属,2,0),"※工作类型没选"))</f>
        <v/>
      </c>
      <c r="F539" s="13" t="n"/>
      <c r="G539" s="13" t="n"/>
      <c r="H539" s="20" t="n"/>
      <c r="I539" s="14" t="n"/>
      <c r="J539" s="19">
        <f>IF($C539="","",ROUND(IF($H539="",1,$H539)*N($I539),2))</f>
        <v/>
      </c>
      <c r="K539" s="13" t="n"/>
      <c r="L539" s="13" t="n"/>
      <c r="M539" s="17">
        <f>IF($C539="","",IF(ISNA(MATCH($C539,项目名表,0)),"※项目不在项目台账里",IF($E539="※工作类型没选","※工作类型没选","")))</f>
        <v/>
      </c>
    </row>
    <row r="540">
      <c r="A540" s="17">
        <f>IF($C540="","",ROW()-3)</f>
        <v/>
      </c>
      <c r="B540" s="18" t="n"/>
      <c r="C540" s="13" t="n"/>
      <c r="D540" s="13" t="n"/>
      <c r="E540" s="17">
        <f>IF($C540="","",IFERROR(VLOOKUP($D540,工作归属,2,0),"※工作类型没选"))</f>
        <v/>
      </c>
      <c r="F540" s="13" t="n"/>
      <c r="G540" s="13" t="n"/>
      <c r="H540" s="20" t="n"/>
      <c r="I540" s="14" t="n"/>
      <c r="J540" s="19">
        <f>IF($C540="","",ROUND(IF($H540="",1,$H540)*N($I540),2))</f>
        <v/>
      </c>
      <c r="K540" s="13" t="n"/>
      <c r="L540" s="13" t="n"/>
      <c r="M540" s="17">
        <f>IF($C540="","",IF(ISNA(MATCH($C540,项目名表,0)),"※项目不在项目台账里",IF($E540="※工作类型没选","※工作类型没选","")))</f>
        <v/>
      </c>
    </row>
    <row r="541">
      <c r="A541" s="17">
        <f>IF($C541="","",ROW()-3)</f>
        <v/>
      </c>
      <c r="B541" s="18" t="n"/>
      <c r="C541" s="13" t="n"/>
      <c r="D541" s="13" t="n"/>
      <c r="E541" s="17">
        <f>IF($C541="","",IFERROR(VLOOKUP($D541,工作归属,2,0),"※工作类型没选"))</f>
        <v/>
      </c>
      <c r="F541" s="13" t="n"/>
      <c r="G541" s="13" t="n"/>
      <c r="H541" s="20" t="n"/>
      <c r="I541" s="14" t="n"/>
      <c r="J541" s="19">
        <f>IF($C541="","",ROUND(IF($H541="",1,$H541)*N($I541),2))</f>
        <v/>
      </c>
      <c r="K541" s="13" t="n"/>
      <c r="L541" s="13" t="n"/>
      <c r="M541" s="17">
        <f>IF($C541="","",IF(ISNA(MATCH($C541,项目名表,0)),"※项目不在项目台账里",IF($E541="※工作类型没选","※工作类型没选","")))</f>
        <v/>
      </c>
    </row>
    <row r="542">
      <c r="A542" s="17">
        <f>IF($C542="","",ROW()-3)</f>
        <v/>
      </c>
      <c r="B542" s="18" t="n"/>
      <c r="C542" s="13" t="n"/>
      <c r="D542" s="13" t="n"/>
      <c r="E542" s="17">
        <f>IF($C542="","",IFERROR(VLOOKUP($D542,工作归属,2,0),"※工作类型没选"))</f>
        <v/>
      </c>
      <c r="F542" s="13" t="n"/>
      <c r="G542" s="13" t="n"/>
      <c r="H542" s="20" t="n"/>
      <c r="I542" s="14" t="n"/>
      <c r="J542" s="19">
        <f>IF($C542="","",ROUND(IF($H542="",1,$H542)*N($I542),2))</f>
        <v/>
      </c>
      <c r="K542" s="13" t="n"/>
      <c r="L542" s="13" t="n"/>
      <c r="M542" s="17">
        <f>IF($C542="","",IF(ISNA(MATCH($C542,项目名表,0)),"※项目不在项目台账里",IF($E542="※工作类型没选","※工作类型没选","")))</f>
        <v/>
      </c>
    </row>
    <row r="543">
      <c r="A543" s="17">
        <f>IF($C543="","",ROW()-3)</f>
        <v/>
      </c>
      <c r="B543" s="18" t="n"/>
      <c r="C543" s="13" t="n"/>
      <c r="D543" s="13" t="n"/>
      <c r="E543" s="17">
        <f>IF($C543="","",IFERROR(VLOOKUP($D543,工作归属,2,0),"※工作类型没选"))</f>
        <v/>
      </c>
      <c r="F543" s="13" t="n"/>
      <c r="G543" s="13" t="n"/>
      <c r="H543" s="20" t="n"/>
      <c r="I543" s="14" t="n"/>
      <c r="J543" s="19">
        <f>IF($C543="","",ROUND(IF($H543="",1,$H543)*N($I543),2))</f>
        <v/>
      </c>
      <c r="K543" s="13" t="n"/>
      <c r="L543" s="13" t="n"/>
      <c r="M543" s="17">
        <f>IF($C543="","",IF(ISNA(MATCH($C543,项目名表,0)),"※项目不在项目台账里",IF($E543="※工作类型没选","※工作类型没选","")))</f>
        <v/>
      </c>
    </row>
    <row r="544">
      <c r="A544" s="17">
        <f>IF($C544="","",ROW()-3)</f>
        <v/>
      </c>
      <c r="B544" s="18" t="n"/>
      <c r="C544" s="13" t="n"/>
      <c r="D544" s="13" t="n"/>
      <c r="E544" s="17">
        <f>IF($C544="","",IFERROR(VLOOKUP($D544,工作归属,2,0),"※工作类型没选"))</f>
        <v/>
      </c>
      <c r="F544" s="13" t="n"/>
      <c r="G544" s="13" t="n"/>
      <c r="H544" s="20" t="n"/>
      <c r="I544" s="14" t="n"/>
      <c r="J544" s="19">
        <f>IF($C544="","",ROUND(IF($H544="",1,$H544)*N($I544),2))</f>
        <v/>
      </c>
      <c r="K544" s="13" t="n"/>
      <c r="L544" s="13" t="n"/>
      <c r="M544" s="17">
        <f>IF($C544="","",IF(ISNA(MATCH($C544,项目名表,0)),"※项目不在项目台账里",IF($E544="※工作类型没选","※工作类型没选","")))</f>
        <v/>
      </c>
    </row>
    <row r="545">
      <c r="A545" s="17">
        <f>IF($C545="","",ROW()-3)</f>
        <v/>
      </c>
      <c r="B545" s="18" t="n"/>
      <c r="C545" s="13" t="n"/>
      <c r="D545" s="13" t="n"/>
      <c r="E545" s="17">
        <f>IF($C545="","",IFERROR(VLOOKUP($D545,工作归属,2,0),"※工作类型没选"))</f>
        <v/>
      </c>
      <c r="F545" s="13" t="n"/>
      <c r="G545" s="13" t="n"/>
      <c r="H545" s="20" t="n"/>
      <c r="I545" s="14" t="n"/>
      <c r="J545" s="19">
        <f>IF($C545="","",ROUND(IF($H545="",1,$H545)*N($I545),2))</f>
        <v/>
      </c>
      <c r="K545" s="13" t="n"/>
      <c r="L545" s="13" t="n"/>
      <c r="M545" s="17">
        <f>IF($C545="","",IF(ISNA(MATCH($C545,项目名表,0)),"※项目不在项目台账里",IF($E545="※工作类型没选","※工作类型没选","")))</f>
        <v/>
      </c>
    </row>
    <row r="546">
      <c r="A546" s="17">
        <f>IF($C546="","",ROW()-3)</f>
        <v/>
      </c>
      <c r="B546" s="18" t="n"/>
      <c r="C546" s="13" t="n"/>
      <c r="D546" s="13" t="n"/>
      <c r="E546" s="17">
        <f>IF($C546="","",IFERROR(VLOOKUP($D546,工作归属,2,0),"※工作类型没选"))</f>
        <v/>
      </c>
      <c r="F546" s="13" t="n"/>
      <c r="G546" s="13" t="n"/>
      <c r="H546" s="20" t="n"/>
      <c r="I546" s="14" t="n"/>
      <c r="J546" s="19">
        <f>IF($C546="","",ROUND(IF($H546="",1,$H546)*N($I546),2))</f>
        <v/>
      </c>
      <c r="K546" s="13" t="n"/>
      <c r="L546" s="13" t="n"/>
      <c r="M546" s="17">
        <f>IF($C546="","",IF(ISNA(MATCH($C546,项目名表,0)),"※项目不在项目台账里",IF($E546="※工作类型没选","※工作类型没选","")))</f>
        <v/>
      </c>
    </row>
    <row r="547">
      <c r="A547" s="17">
        <f>IF($C547="","",ROW()-3)</f>
        <v/>
      </c>
      <c r="B547" s="18" t="n"/>
      <c r="C547" s="13" t="n"/>
      <c r="D547" s="13" t="n"/>
      <c r="E547" s="17">
        <f>IF($C547="","",IFERROR(VLOOKUP($D547,工作归属,2,0),"※工作类型没选"))</f>
        <v/>
      </c>
      <c r="F547" s="13" t="n"/>
      <c r="G547" s="13" t="n"/>
      <c r="H547" s="20" t="n"/>
      <c r="I547" s="14" t="n"/>
      <c r="J547" s="19">
        <f>IF($C547="","",ROUND(IF($H547="",1,$H547)*N($I547),2))</f>
        <v/>
      </c>
      <c r="K547" s="13" t="n"/>
      <c r="L547" s="13" t="n"/>
      <c r="M547" s="17">
        <f>IF($C547="","",IF(ISNA(MATCH($C547,项目名表,0)),"※项目不在项目台账里",IF($E547="※工作类型没选","※工作类型没选","")))</f>
        <v/>
      </c>
    </row>
    <row r="548">
      <c r="A548" s="17">
        <f>IF($C548="","",ROW()-3)</f>
        <v/>
      </c>
      <c r="B548" s="18" t="n"/>
      <c r="C548" s="13" t="n"/>
      <c r="D548" s="13" t="n"/>
      <c r="E548" s="17">
        <f>IF($C548="","",IFERROR(VLOOKUP($D548,工作归属,2,0),"※工作类型没选"))</f>
        <v/>
      </c>
      <c r="F548" s="13" t="n"/>
      <c r="G548" s="13" t="n"/>
      <c r="H548" s="20" t="n"/>
      <c r="I548" s="14" t="n"/>
      <c r="J548" s="19">
        <f>IF($C548="","",ROUND(IF($H548="",1,$H548)*N($I548),2))</f>
        <v/>
      </c>
      <c r="K548" s="13" t="n"/>
      <c r="L548" s="13" t="n"/>
      <c r="M548" s="17">
        <f>IF($C548="","",IF(ISNA(MATCH($C548,项目名表,0)),"※项目不在项目台账里",IF($E548="※工作类型没选","※工作类型没选","")))</f>
        <v/>
      </c>
    </row>
    <row r="549">
      <c r="A549" s="17">
        <f>IF($C549="","",ROW()-3)</f>
        <v/>
      </c>
      <c r="B549" s="18" t="n"/>
      <c r="C549" s="13" t="n"/>
      <c r="D549" s="13" t="n"/>
      <c r="E549" s="17">
        <f>IF($C549="","",IFERROR(VLOOKUP($D549,工作归属,2,0),"※工作类型没选"))</f>
        <v/>
      </c>
      <c r="F549" s="13" t="n"/>
      <c r="G549" s="13" t="n"/>
      <c r="H549" s="20" t="n"/>
      <c r="I549" s="14" t="n"/>
      <c r="J549" s="19">
        <f>IF($C549="","",ROUND(IF($H549="",1,$H549)*N($I549),2))</f>
        <v/>
      </c>
      <c r="K549" s="13" t="n"/>
      <c r="L549" s="13" t="n"/>
      <c r="M549" s="17">
        <f>IF($C549="","",IF(ISNA(MATCH($C549,项目名表,0)),"※项目不在项目台账里",IF($E549="※工作类型没选","※工作类型没选","")))</f>
        <v/>
      </c>
    </row>
    <row r="550">
      <c r="A550" s="17">
        <f>IF($C550="","",ROW()-3)</f>
        <v/>
      </c>
      <c r="B550" s="18" t="n"/>
      <c r="C550" s="13" t="n"/>
      <c r="D550" s="13" t="n"/>
      <c r="E550" s="17">
        <f>IF($C550="","",IFERROR(VLOOKUP($D550,工作归属,2,0),"※工作类型没选"))</f>
        <v/>
      </c>
      <c r="F550" s="13" t="n"/>
      <c r="G550" s="13" t="n"/>
      <c r="H550" s="20" t="n"/>
      <c r="I550" s="14" t="n"/>
      <c r="J550" s="19">
        <f>IF($C550="","",ROUND(IF($H550="",1,$H550)*N($I550),2))</f>
        <v/>
      </c>
      <c r="K550" s="13" t="n"/>
      <c r="L550" s="13" t="n"/>
      <c r="M550" s="17">
        <f>IF($C550="","",IF(ISNA(MATCH($C550,项目名表,0)),"※项目不在项目台账里",IF($E550="※工作类型没选","※工作类型没选","")))</f>
        <v/>
      </c>
    </row>
    <row r="551">
      <c r="A551" s="17">
        <f>IF($C551="","",ROW()-3)</f>
        <v/>
      </c>
      <c r="B551" s="18" t="n"/>
      <c r="C551" s="13" t="n"/>
      <c r="D551" s="13" t="n"/>
      <c r="E551" s="17">
        <f>IF($C551="","",IFERROR(VLOOKUP($D551,工作归属,2,0),"※工作类型没选"))</f>
        <v/>
      </c>
      <c r="F551" s="13" t="n"/>
      <c r="G551" s="13" t="n"/>
      <c r="H551" s="20" t="n"/>
      <c r="I551" s="14" t="n"/>
      <c r="J551" s="19">
        <f>IF($C551="","",ROUND(IF($H551="",1,$H551)*N($I551),2))</f>
        <v/>
      </c>
      <c r="K551" s="13" t="n"/>
      <c r="L551" s="13" t="n"/>
      <c r="M551" s="17">
        <f>IF($C551="","",IF(ISNA(MATCH($C551,项目名表,0)),"※项目不在项目台账里",IF($E551="※工作类型没选","※工作类型没选","")))</f>
        <v/>
      </c>
    </row>
    <row r="552">
      <c r="A552" s="17">
        <f>IF($C552="","",ROW()-3)</f>
        <v/>
      </c>
      <c r="B552" s="18" t="n"/>
      <c r="C552" s="13" t="n"/>
      <c r="D552" s="13" t="n"/>
      <c r="E552" s="17">
        <f>IF($C552="","",IFERROR(VLOOKUP($D552,工作归属,2,0),"※工作类型没选"))</f>
        <v/>
      </c>
      <c r="F552" s="13" t="n"/>
      <c r="G552" s="13" t="n"/>
      <c r="H552" s="20" t="n"/>
      <c r="I552" s="14" t="n"/>
      <c r="J552" s="19">
        <f>IF($C552="","",ROUND(IF($H552="",1,$H552)*N($I552),2))</f>
        <v/>
      </c>
      <c r="K552" s="13" t="n"/>
      <c r="L552" s="13" t="n"/>
      <c r="M552" s="17">
        <f>IF($C552="","",IF(ISNA(MATCH($C552,项目名表,0)),"※项目不在项目台账里",IF($E552="※工作类型没选","※工作类型没选","")))</f>
        <v/>
      </c>
    </row>
    <row r="553">
      <c r="A553" s="17">
        <f>IF($C553="","",ROW()-3)</f>
        <v/>
      </c>
      <c r="B553" s="18" t="n"/>
      <c r="C553" s="13" t="n"/>
      <c r="D553" s="13" t="n"/>
      <c r="E553" s="17">
        <f>IF($C553="","",IFERROR(VLOOKUP($D553,工作归属,2,0),"※工作类型没选"))</f>
        <v/>
      </c>
      <c r="F553" s="13" t="n"/>
      <c r="G553" s="13" t="n"/>
      <c r="H553" s="20" t="n"/>
      <c r="I553" s="14" t="n"/>
      <c r="J553" s="19">
        <f>IF($C553="","",ROUND(IF($H553="",1,$H553)*N($I553),2))</f>
        <v/>
      </c>
      <c r="K553" s="13" t="n"/>
      <c r="L553" s="13" t="n"/>
      <c r="M553" s="17">
        <f>IF($C553="","",IF(ISNA(MATCH($C553,项目名表,0)),"※项目不在项目台账里",IF($E553="※工作类型没选","※工作类型没选","")))</f>
        <v/>
      </c>
    </row>
    <row r="554">
      <c r="A554" s="17">
        <f>IF($C554="","",ROW()-3)</f>
        <v/>
      </c>
      <c r="B554" s="18" t="n"/>
      <c r="C554" s="13" t="n"/>
      <c r="D554" s="13" t="n"/>
      <c r="E554" s="17">
        <f>IF($C554="","",IFERROR(VLOOKUP($D554,工作归属,2,0),"※工作类型没选"))</f>
        <v/>
      </c>
      <c r="F554" s="13" t="n"/>
      <c r="G554" s="13" t="n"/>
      <c r="H554" s="20" t="n"/>
      <c r="I554" s="14" t="n"/>
      <c r="J554" s="19">
        <f>IF($C554="","",ROUND(IF($H554="",1,$H554)*N($I554),2))</f>
        <v/>
      </c>
      <c r="K554" s="13" t="n"/>
      <c r="L554" s="13" t="n"/>
      <c r="M554" s="17">
        <f>IF($C554="","",IF(ISNA(MATCH($C554,项目名表,0)),"※项目不在项目台账里",IF($E554="※工作类型没选","※工作类型没选","")))</f>
        <v/>
      </c>
    </row>
    <row r="555">
      <c r="A555" s="17">
        <f>IF($C555="","",ROW()-3)</f>
        <v/>
      </c>
      <c r="B555" s="18" t="n"/>
      <c r="C555" s="13" t="n"/>
      <c r="D555" s="13" t="n"/>
      <c r="E555" s="17">
        <f>IF($C555="","",IFERROR(VLOOKUP($D555,工作归属,2,0),"※工作类型没选"))</f>
        <v/>
      </c>
      <c r="F555" s="13" t="n"/>
      <c r="G555" s="13" t="n"/>
      <c r="H555" s="20" t="n"/>
      <c r="I555" s="14" t="n"/>
      <c r="J555" s="19">
        <f>IF($C555="","",ROUND(IF($H555="",1,$H555)*N($I555),2))</f>
        <v/>
      </c>
      <c r="K555" s="13" t="n"/>
      <c r="L555" s="13" t="n"/>
      <c r="M555" s="17">
        <f>IF($C555="","",IF(ISNA(MATCH($C555,项目名表,0)),"※项目不在项目台账里",IF($E555="※工作类型没选","※工作类型没选","")))</f>
        <v/>
      </c>
    </row>
    <row r="556">
      <c r="A556" s="17">
        <f>IF($C556="","",ROW()-3)</f>
        <v/>
      </c>
      <c r="B556" s="18" t="n"/>
      <c r="C556" s="13" t="n"/>
      <c r="D556" s="13" t="n"/>
      <c r="E556" s="17">
        <f>IF($C556="","",IFERROR(VLOOKUP($D556,工作归属,2,0),"※工作类型没选"))</f>
        <v/>
      </c>
      <c r="F556" s="13" t="n"/>
      <c r="G556" s="13" t="n"/>
      <c r="H556" s="20" t="n"/>
      <c r="I556" s="14" t="n"/>
      <c r="J556" s="19">
        <f>IF($C556="","",ROUND(IF($H556="",1,$H556)*N($I556),2))</f>
        <v/>
      </c>
      <c r="K556" s="13" t="n"/>
      <c r="L556" s="13" t="n"/>
      <c r="M556" s="17">
        <f>IF($C556="","",IF(ISNA(MATCH($C556,项目名表,0)),"※项目不在项目台账里",IF($E556="※工作类型没选","※工作类型没选","")))</f>
        <v/>
      </c>
    </row>
    <row r="557">
      <c r="A557" s="17">
        <f>IF($C557="","",ROW()-3)</f>
        <v/>
      </c>
      <c r="B557" s="18" t="n"/>
      <c r="C557" s="13" t="n"/>
      <c r="D557" s="13" t="n"/>
      <c r="E557" s="17">
        <f>IF($C557="","",IFERROR(VLOOKUP($D557,工作归属,2,0),"※工作类型没选"))</f>
        <v/>
      </c>
      <c r="F557" s="13" t="n"/>
      <c r="G557" s="13" t="n"/>
      <c r="H557" s="20" t="n"/>
      <c r="I557" s="14" t="n"/>
      <c r="J557" s="19">
        <f>IF($C557="","",ROUND(IF($H557="",1,$H557)*N($I557),2))</f>
        <v/>
      </c>
      <c r="K557" s="13" t="n"/>
      <c r="L557" s="13" t="n"/>
      <c r="M557" s="17">
        <f>IF($C557="","",IF(ISNA(MATCH($C557,项目名表,0)),"※项目不在项目台账里",IF($E557="※工作类型没选","※工作类型没选","")))</f>
        <v/>
      </c>
    </row>
    <row r="558">
      <c r="A558" s="17">
        <f>IF($C558="","",ROW()-3)</f>
        <v/>
      </c>
      <c r="B558" s="18" t="n"/>
      <c r="C558" s="13" t="n"/>
      <c r="D558" s="13" t="n"/>
      <c r="E558" s="17">
        <f>IF($C558="","",IFERROR(VLOOKUP($D558,工作归属,2,0),"※工作类型没选"))</f>
        <v/>
      </c>
      <c r="F558" s="13" t="n"/>
      <c r="G558" s="13" t="n"/>
      <c r="H558" s="20" t="n"/>
      <c r="I558" s="14" t="n"/>
      <c r="J558" s="19">
        <f>IF($C558="","",ROUND(IF($H558="",1,$H558)*N($I558),2))</f>
        <v/>
      </c>
      <c r="K558" s="13" t="n"/>
      <c r="L558" s="13" t="n"/>
      <c r="M558" s="17">
        <f>IF($C558="","",IF(ISNA(MATCH($C558,项目名表,0)),"※项目不在项目台账里",IF($E558="※工作类型没选","※工作类型没选","")))</f>
        <v/>
      </c>
    </row>
    <row r="559">
      <c r="A559" s="17">
        <f>IF($C559="","",ROW()-3)</f>
        <v/>
      </c>
      <c r="B559" s="18" t="n"/>
      <c r="C559" s="13" t="n"/>
      <c r="D559" s="13" t="n"/>
      <c r="E559" s="17">
        <f>IF($C559="","",IFERROR(VLOOKUP($D559,工作归属,2,0),"※工作类型没选"))</f>
        <v/>
      </c>
      <c r="F559" s="13" t="n"/>
      <c r="G559" s="13" t="n"/>
      <c r="H559" s="20" t="n"/>
      <c r="I559" s="14" t="n"/>
      <c r="J559" s="19">
        <f>IF($C559="","",ROUND(IF($H559="",1,$H559)*N($I559),2))</f>
        <v/>
      </c>
      <c r="K559" s="13" t="n"/>
      <c r="L559" s="13" t="n"/>
      <c r="M559" s="17">
        <f>IF($C559="","",IF(ISNA(MATCH($C559,项目名表,0)),"※项目不在项目台账里",IF($E559="※工作类型没选","※工作类型没选","")))</f>
        <v/>
      </c>
    </row>
    <row r="560">
      <c r="A560" s="17">
        <f>IF($C560="","",ROW()-3)</f>
        <v/>
      </c>
      <c r="B560" s="18" t="n"/>
      <c r="C560" s="13" t="n"/>
      <c r="D560" s="13" t="n"/>
      <c r="E560" s="17">
        <f>IF($C560="","",IFERROR(VLOOKUP($D560,工作归属,2,0),"※工作类型没选"))</f>
        <v/>
      </c>
      <c r="F560" s="13" t="n"/>
      <c r="G560" s="13" t="n"/>
      <c r="H560" s="20" t="n"/>
      <c r="I560" s="14" t="n"/>
      <c r="J560" s="19">
        <f>IF($C560="","",ROUND(IF($H560="",1,$H560)*N($I560),2))</f>
        <v/>
      </c>
      <c r="K560" s="13" t="n"/>
      <c r="L560" s="13" t="n"/>
      <c r="M560" s="17">
        <f>IF($C560="","",IF(ISNA(MATCH($C560,项目名表,0)),"※项目不在项目台账里",IF($E560="※工作类型没选","※工作类型没选","")))</f>
        <v/>
      </c>
    </row>
    <row r="561">
      <c r="A561" s="17">
        <f>IF($C561="","",ROW()-3)</f>
        <v/>
      </c>
      <c r="B561" s="18" t="n"/>
      <c r="C561" s="13" t="n"/>
      <c r="D561" s="13" t="n"/>
      <c r="E561" s="17">
        <f>IF($C561="","",IFERROR(VLOOKUP($D561,工作归属,2,0),"※工作类型没选"))</f>
        <v/>
      </c>
      <c r="F561" s="13" t="n"/>
      <c r="G561" s="13" t="n"/>
      <c r="H561" s="20" t="n"/>
      <c r="I561" s="14" t="n"/>
      <c r="J561" s="19">
        <f>IF($C561="","",ROUND(IF($H561="",1,$H561)*N($I561),2))</f>
        <v/>
      </c>
      <c r="K561" s="13" t="n"/>
      <c r="L561" s="13" t="n"/>
      <c r="M561" s="17">
        <f>IF($C561="","",IF(ISNA(MATCH($C561,项目名表,0)),"※项目不在项目台账里",IF($E561="※工作类型没选","※工作类型没选","")))</f>
        <v/>
      </c>
    </row>
    <row r="562">
      <c r="A562" s="17">
        <f>IF($C562="","",ROW()-3)</f>
        <v/>
      </c>
      <c r="B562" s="18" t="n"/>
      <c r="C562" s="13" t="n"/>
      <c r="D562" s="13" t="n"/>
      <c r="E562" s="17">
        <f>IF($C562="","",IFERROR(VLOOKUP($D562,工作归属,2,0),"※工作类型没选"))</f>
        <v/>
      </c>
      <c r="F562" s="13" t="n"/>
      <c r="G562" s="13" t="n"/>
      <c r="H562" s="20" t="n"/>
      <c r="I562" s="14" t="n"/>
      <c r="J562" s="19">
        <f>IF($C562="","",ROUND(IF($H562="",1,$H562)*N($I562),2))</f>
        <v/>
      </c>
      <c r="K562" s="13" t="n"/>
      <c r="L562" s="13" t="n"/>
      <c r="M562" s="17">
        <f>IF($C562="","",IF(ISNA(MATCH($C562,项目名表,0)),"※项目不在项目台账里",IF($E562="※工作类型没选","※工作类型没选","")))</f>
        <v/>
      </c>
    </row>
    <row r="563">
      <c r="A563" s="17">
        <f>IF($C563="","",ROW()-3)</f>
        <v/>
      </c>
      <c r="B563" s="18" t="n"/>
      <c r="C563" s="13" t="n"/>
      <c r="D563" s="13" t="n"/>
      <c r="E563" s="17">
        <f>IF($C563="","",IFERROR(VLOOKUP($D563,工作归属,2,0),"※工作类型没选"))</f>
        <v/>
      </c>
      <c r="F563" s="13" t="n"/>
      <c r="G563" s="13" t="n"/>
      <c r="H563" s="20" t="n"/>
      <c r="I563" s="14" t="n"/>
      <c r="J563" s="19">
        <f>IF($C563="","",ROUND(IF($H563="",1,$H563)*N($I563),2))</f>
        <v/>
      </c>
      <c r="K563" s="13" t="n"/>
      <c r="L563" s="13" t="n"/>
      <c r="M563" s="17">
        <f>IF($C563="","",IF(ISNA(MATCH($C563,项目名表,0)),"※项目不在项目台账里",IF($E563="※工作类型没选","※工作类型没选","")))</f>
        <v/>
      </c>
    </row>
    <row r="564">
      <c r="A564" s="17">
        <f>IF($C564="","",ROW()-3)</f>
        <v/>
      </c>
      <c r="B564" s="18" t="n"/>
      <c r="C564" s="13" t="n"/>
      <c r="D564" s="13" t="n"/>
      <c r="E564" s="17">
        <f>IF($C564="","",IFERROR(VLOOKUP($D564,工作归属,2,0),"※工作类型没选"))</f>
        <v/>
      </c>
      <c r="F564" s="13" t="n"/>
      <c r="G564" s="13" t="n"/>
      <c r="H564" s="20" t="n"/>
      <c r="I564" s="14" t="n"/>
      <c r="J564" s="19">
        <f>IF($C564="","",ROUND(IF($H564="",1,$H564)*N($I564),2))</f>
        <v/>
      </c>
      <c r="K564" s="13" t="n"/>
      <c r="L564" s="13" t="n"/>
      <c r="M564" s="17">
        <f>IF($C564="","",IF(ISNA(MATCH($C564,项目名表,0)),"※项目不在项目台账里",IF($E564="※工作类型没选","※工作类型没选","")))</f>
        <v/>
      </c>
    </row>
    <row r="565">
      <c r="A565" s="17">
        <f>IF($C565="","",ROW()-3)</f>
        <v/>
      </c>
      <c r="B565" s="18" t="n"/>
      <c r="C565" s="13" t="n"/>
      <c r="D565" s="13" t="n"/>
      <c r="E565" s="17">
        <f>IF($C565="","",IFERROR(VLOOKUP($D565,工作归属,2,0),"※工作类型没选"))</f>
        <v/>
      </c>
      <c r="F565" s="13" t="n"/>
      <c r="G565" s="13" t="n"/>
      <c r="H565" s="20" t="n"/>
      <c r="I565" s="14" t="n"/>
      <c r="J565" s="19">
        <f>IF($C565="","",ROUND(IF($H565="",1,$H565)*N($I565),2))</f>
        <v/>
      </c>
      <c r="K565" s="13" t="n"/>
      <c r="L565" s="13" t="n"/>
      <c r="M565" s="17">
        <f>IF($C565="","",IF(ISNA(MATCH($C565,项目名表,0)),"※项目不在项目台账里",IF($E565="※工作类型没选","※工作类型没选","")))</f>
        <v/>
      </c>
    </row>
    <row r="566">
      <c r="A566" s="17">
        <f>IF($C566="","",ROW()-3)</f>
        <v/>
      </c>
      <c r="B566" s="18" t="n"/>
      <c r="C566" s="13" t="n"/>
      <c r="D566" s="13" t="n"/>
      <c r="E566" s="17">
        <f>IF($C566="","",IFERROR(VLOOKUP($D566,工作归属,2,0),"※工作类型没选"))</f>
        <v/>
      </c>
      <c r="F566" s="13" t="n"/>
      <c r="G566" s="13" t="n"/>
      <c r="H566" s="20" t="n"/>
      <c r="I566" s="14" t="n"/>
      <c r="J566" s="19">
        <f>IF($C566="","",ROUND(IF($H566="",1,$H566)*N($I566),2))</f>
        <v/>
      </c>
      <c r="K566" s="13" t="n"/>
      <c r="L566" s="13" t="n"/>
      <c r="M566" s="17">
        <f>IF($C566="","",IF(ISNA(MATCH($C566,项目名表,0)),"※项目不在项目台账里",IF($E566="※工作类型没选","※工作类型没选","")))</f>
        <v/>
      </c>
    </row>
    <row r="567">
      <c r="A567" s="17">
        <f>IF($C567="","",ROW()-3)</f>
        <v/>
      </c>
      <c r="B567" s="18" t="n"/>
      <c r="C567" s="13" t="n"/>
      <c r="D567" s="13" t="n"/>
      <c r="E567" s="17">
        <f>IF($C567="","",IFERROR(VLOOKUP($D567,工作归属,2,0),"※工作类型没选"))</f>
        <v/>
      </c>
      <c r="F567" s="13" t="n"/>
      <c r="G567" s="13" t="n"/>
      <c r="H567" s="20" t="n"/>
      <c r="I567" s="14" t="n"/>
      <c r="J567" s="19">
        <f>IF($C567="","",ROUND(IF($H567="",1,$H567)*N($I567),2))</f>
        <v/>
      </c>
      <c r="K567" s="13" t="n"/>
      <c r="L567" s="13" t="n"/>
      <c r="M567" s="17">
        <f>IF($C567="","",IF(ISNA(MATCH($C567,项目名表,0)),"※项目不在项目台账里",IF($E567="※工作类型没选","※工作类型没选","")))</f>
        <v/>
      </c>
    </row>
    <row r="568">
      <c r="A568" s="17">
        <f>IF($C568="","",ROW()-3)</f>
        <v/>
      </c>
      <c r="B568" s="18" t="n"/>
      <c r="C568" s="13" t="n"/>
      <c r="D568" s="13" t="n"/>
      <c r="E568" s="17">
        <f>IF($C568="","",IFERROR(VLOOKUP($D568,工作归属,2,0),"※工作类型没选"))</f>
        <v/>
      </c>
      <c r="F568" s="13" t="n"/>
      <c r="G568" s="13" t="n"/>
      <c r="H568" s="20" t="n"/>
      <c r="I568" s="14" t="n"/>
      <c r="J568" s="19">
        <f>IF($C568="","",ROUND(IF($H568="",1,$H568)*N($I568),2))</f>
        <v/>
      </c>
      <c r="K568" s="13" t="n"/>
      <c r="L568" s="13" t="n"/>
      <c r="M568" s="17">
        <f>IF($C568="","",IF(ISNA(MATCH($C568,项目名表,0)),"※项目不在项目台账里",IF($E568="※工作类型没选","※工作类型没选","")))</f>
        <v/>
      </c>
    </row>
    <row r="569">
      <c r="A569" s="17">
        <f>IF($C569="","",ROW()-3)</f>
        <v/>
      </c>
      <c r="B569" s="18" t="n"/>
      <c r="C569" s="13" t="n"/>
      <c r="D569" s="13" t="n"/>
      <c r="E569" s="17">
        <f>IF($C569="","",IFERROR(VLOOKUP($D569,工作归属,2,0),"※工作类型没选"))</f>
        <v/>
      </c>
      <c r="F569" s="13" t="n"/>
      <c r="G569" s="13" t="n"/>
      <c r="H569" s="20" t="n"/>
      <c r="I569" s="14" t="n"/>
      <c r="J569" s="19">
        <f>IF($C569="","",ROUND(IF($H569="",1,$H569)*N($I569),2))</f>
        <v/>
      </c>
      <c r="K569" s="13" t="n"/>
      <c r="L569" s="13" t="n"/>
      <c r="M569" s="17">
        <f>IF($C569="","",IF(ISNA(MATCH($C569,项目名表,0)),"※项目不在项目台账里",IF($E569="※工作类型没选","※工作类型没选","")))</f>
        <v/>
      </c>
    </row>
    <row r="570">
      <c r="A570" s="17">
        <f>IF($C570="","",ROW()-3)</f>
        <v/>
      </c>
      <c r="B570" s="18" t="n"/>
      <c r="C570" s="13" t="n"/>
      <c r="D570" s="13" t="n"/>
      <c r="E570" s="17">
        <f>IF($C570="","",IFERROR(VLOOKUP($D570,工作归属,2,0),"※工作类型没选"))</f>
        <v/>
      </c>
      <c r="F570" s="13" t="n"/>
      <c r="G570" s="13" t="n"/>
      <c r="H570" s="20" t="n"/>
      <c r="I570" s="14" t="n"/>
      <c r="J570" s="19">
        <f>IF($C570="","",ROUND(IF($H570="",1,$H570)*N($I570),2))</f>
        <v/>
      </c>
      <c r="K570" s="13" t="n"/>
      <c r="L570" s="13" t="n"/>
      <c r="M570" s="17">
        <f>IF($C570="","",IF(ISNA(MATCH($C570,项目名表,0)),"※项目不在项目台账里",IF($E570="※工作类型没选","※工作类型没选","")))</f>
        <v/>
      </c>
    </row>
    <row r="571">
      <c r="A571" s="17">
        <f>IF($C571="","",ROW()-3)</f>
        <v/>
      </c>
      <c r="B571" s="18" t="n"/>
      <c r="C571" s="13" t="n"/>
      <c r="D571" s="13" t="n"/>
      <c r="E571" s="17">
        <f>IF($C571="","",IFERROR(VLOOKUP($D571,工作归属,2,0),"※工作类型没选"))</f>
        <v/>
      </c>
      <c r="F571" s="13" t="n"/>
      <c r="G571" s="13" t="n"/>
      <c r="H571" s="20" t="n"/>
      <c r="I571" s="14" t="n"/>
      <c r="J571" s="19">
        <f>IF($C571="","",ROUND(IF($H571="",1,$H571)*N($I571),2))</f>
        <v/>
      </c>
      <c r="K571" s="13" t="n"/>
      <c r="L571" s="13" t="n"/>
      <c r="M571" s="17">
        <f>IF($C571="","",IF(ISNA(MATCH($C571,项目名表,0)),"※项目不在项目台账里",IF($E571="※工作类型没选","※工作类型没选","")))</f>
        <v/>
      </c>
    </row>
    <row r="572">
      <c r="A572" s="17">
        <f>IF($C572="","",ROW()-3)</f>
        <v/>
      </c>
      <c r="B572" s="18" t="n"/>
      <c r="C572" s="13" t="n"/>
      <c r="D572" s="13" t="n"/>
      <c r="E572" s="17">
        <f>IF($C572="","",IFERROR(VLOOKUP($D572,工作归属,2,0),"※工作类型没选"))</f>
        <v/>
      </c>
      <c r="F572" s="13" t="n"/>
      <c r="G572" s="13" t="n"/>
      <c r="H572" s="20" t="n"/>
      <c r="I572" s="14" t="n"/>
      <c r="J572" s="19">
        <f>IF($C572="","",ROUND(IF($H572="",1,$H572)*N($I572),2))</f>
        <v/>
      </c>
      <c r="K572" s="13" t="n"/>
      <c r="L572" s="13" t="n"/>
      <c r="M572" s="17">
        <f>IF($C572="","",IF(ISNA(MATCH($C572,项目名表,0)),"※项目不在项目台账里",IF($E572="※工作类型没选","※工作类型没选","")))</f>
        <v/>
      </c>
    </row>
    <row r="573">
      <c r="A573" s="17">
        <f>IF($C573="","",ROW()-3)</f>
        <v/>
      </c>
      <c r="B573" s="18" t="n"/>
      <c r="C573" s="13" t="n"/>
      <c r="D573" s="13" t="n"/>
      <c r="E573" s="17">
        <f>IF($C573="","",IFERROR(VLOOKUP($D573,工作归属,2,0),"※工作类型没选"))</f>
        <v/>
      </c>
      <c r="F573" s="13" t="n"/>
      <c r="G573" s="13" t="n"/>
      <c r="H573" s="20" t="n"/>
      <c r="I573" s="14" t="n"/>
      <c r="J573" s="19">
        <f>IF($C573="","",ROUND(IF($H573="",1,$H573)*N($I573),2))</f>
        <v/>
      </c>
      <c r="K573" s="13" t="n"/>
      <c r="L573" s="13" t="n"/>
      <c r="M573" s="17">
        <f>IF($C573="","",IF(ISNA(MATCH($C573,项目名表,0)),"※项目不在项目台账里",IF($E573="※工作类型没选","※工作类型没选","")))</f>
        <v/>
      </c>
    </row>
    <row r="574">
      <c r="A574" s="17">
        <f>IF($C574="","",ROW()-3)</f>
        <v/>
      </c>
      <c r="B574" s="18" t="n"/>
      <c r="C574" s="13" t="n"/>
      <c r="D574" s="13" t="n"/>
      <c r="E574" s="17">
        <f>IF($C574="","",IFERROR(VLOOKUP($D574,工作归属,2,0),"※工作类型没选"))</f>
        <v/>
      </c>
      <c r="F574" s="13" t="n"/>
      <c r="G574" s="13" t="n"/>
      <c r="H574" s="20" t="n"/>
      <c r="I574" s="14" t="n"/>
      <c r="J574" s="19">
        <f>IF($C574="","",ROUND(IF($H574="",1,$H574)*N($I574),2))</f>
        <v/>
      </c>
      <c r="K574" s="13" t="n"/>
      <c r="L574" s="13" t="n"/>
      <c r="M574" s="17">
        <f>IF($C574="","",IF(ISNA(MATCH($C574,项目名表,0)),"※项目不在项目台账里",IF($E574="※工作类型没选","※工作类型没选","")))</f>
        <v/>
      </c>
    </row>
    <row r="575">
      <c r="A575" s="17">
        <f>IF($C575="","",ROW()-3)</f>
        <v/>
      </c>
      <c r="B575" s="18" t="n"/>
      <c r="C575" s="13" t="n"/>
      <c r="D575" s="13" t="n"/>
      <c r="E575" s="17">
        <f>IF($C575="","",IFERROR(VLOOKUP($D575,工作归属,2,0),"※工作类型没选"))</f>
        <v/>
      </c>
      <c r="F575" s="13" t="n"/>
      <c r="G575" s="13" t="n"/>
      <c r="H575" s="20" t="n"/>
      <c r="I575" s="14" t="n"/>
      <c r="J575" s="19">
        <f>IF($C575="","",ROUND(IF($H575="",1,$H575)*N($I575),2))</f>
        <v/>
      </c>
      <c r="K575" s="13" t="n"/>
      <c r="L575" s="13" t="n"/>
      <c r="M575" s="17">
        <f>IF($C575="","",IF(ISNA(MATCH($C575,项目名表,0)),"※项目不在项目台账里",IF($E575="※工作类型没选","※工作类型没选","")))</f>
        <v/>
      </c>
    </row>
    <row r="576">
      <c r="A576" s="17">
        <f>IF($C576="","",ROW()-3)</f>
        <v/>
      </c>
      <c r="B576" s="18" t="n"/>
      <c r="C576" s="13" t="n"/>
      <c r="D576" s="13" t="n"/>
      <c r="E576" s="17">
        <f>IF($C576="","",IFERROR(VLOOKUP($D576,工作归属,2,0),"※工作类型没选"))</f>
        <v/>
      </c>
      <c r="F576" s="13" t="n"/>
      <c r="G576" s="13" t="n"/>
      <c r="H576" s="20" t="n"/>
      <c r="I576" s="14" t="n"/>
      <c r="J576" s="19">
        <f>IF($C576="","",ROUND(IF($H576="",1,$H576)*N($I576),2))</f>
        <v/>
      </c>
      <c r="K576" s="13" t="n"/>
      <c r="L576" s="13" t="n"/>
      <c r="M576" s="17">
        <f>IF($C576="","",IF(ISNA(MATCH($C576,项目名表,0)),"※项目不在项目台账里",IF($E576="※工作类型没选","※工作类型没选","")))</f>
        <v/>
      </c>
    </row>
    <row r="577">
      <c r="A577" s="17">
        <f>IF($C577="","",ROW()-3)</f>
        <v/>
      </c>
      <c r="B577" s="18" t="n"/>
      <c r="C577" s="13" t="n"/>
      <c r="D577" s="13" t="n"/>
      <c r="E577" s="17">
        <f>IF($C577="","",IFERROR(VLOOKUP($D577,工作归属,2,0),"※工作类型没选"))</f>
        <v/>
      </c>
      <c r="F577" s="13" t="n"/>
      <c r="G577" s="13" t="n"/>
      <c r="H577" s="20" t="n"/>
      <c r="I577" s="14" t="n"/>
      <c r="J577" s="19">
        <f>IF($C577="","",ROUND(IF($H577="",1,$H577)*N($I577),2))</f>
        <v/>
      </c>
      <c r="K577" s="13" t="n"/>
      <c r="L577" s="13" t="n"/>
      <c r="M577" s="17">
        <f>IF($C577="","",IF(ISNA(MATCH($C577,项目名表,0)),"※项目不在项目台账里",IF($E577="※工作类型没选","※工作类型没选","")))</f>
        <v/>
      </c>
    </row>
    <row r="578">
      <c r="A578" s="17">
        <f>IF($C578="","",ROW()-3)</f>
        <v/>
      </c>
      <c r="B578" s="18" t="n"/>
      <c r="C578" s="13" t="n"/>
      <c r="D578" s="13" t="n"/>
      <c r="E578" s="17">
        <f>IF($C578="","",IFERROR(VLOOKUP($D578,工作归属,2,0),"※工作类型没选"))</f>
        <v/>
      </c>
      <c r="F578" s="13" t="n"/>
      <c r="G578" s="13" t="n"/>
      <c r="H578" s="20" t="n"/>
      <c r="I578" s="14" t="n"/>
      <c r="J578" s="19">
        <f>IF($C578="","",ROUND(IF($H578="",1,$H578)*N($I578),2))</f>
        <v/>
      </c>
      <c r="K578" s="13" t="n"/>
      <c r="L578" s="13" t="n"/>
      <c r="M578" s="17">
        <f>IF($C578="","",IF(ISNA(MATCH($C578,项目名表,0)),"※项目不在项目台账里",IF($E578="※工作类型没选","※工作类型没选","")))</f>
        <v/>
      </c>
    </row>
    <row r="579">
      <c r="A579" s="17">
        <f>IF($C579="","",ROW()-3)</f>
        <v/>
      </c>
      <c r="B579" s="18" t="n"/>
      <c r="C579" s="13" t="n"/>
      <c r="D579" s="13" t="n"/>
      <c r="E579" s="17">
        <f>IF($C579="","",IFERROR(VLOOKUP($D579,工作归属,2,0),"※工作类型没选"))</f>
        <v/>
      </c>
      <c r="F579" s="13" t="n"/>
      <c r="G579" s="13" t="n"/>
      <c r="H579" s="20" t="n"/>
      <c r="I579" s="14" t="n"/>
      <c r="J579" s="19">
        <f>IF($C579="","",ROUND(IF($H579="",1,$H579)*N($I579),2))</f>
        <v/>
      </c>
      <c r="K579" s="13" t="n"/>
      <c r="L579" s="13" t="n"/>
      <c r="M579" s="17">
        <f>IF($C579="","",IF(ISNA(MATCH($C579,项目名表,0)),"※项目不在项目台账里",IF($E579="※工作类型没选","※工作类型没选","")))</f>
        <v/>
      </c>
    </row>
    <row r="580">
      <c r="A580" s="17">
        <f>IF($C580="","",ROW()-3)</f>
        <v/>
      </c>
      <c r="B580" s="18" t="n"/>
      <c r="C580" s="13" t="n"/>
      <c r="D580" s="13" t="n"/>
      <c r="E580" s="17">
        <f>IF($C580="","",IFERROR(VLOOKUP($D580,工作归属,2,0),"※工作类型没选"))</f>
        <v/>
      </c>
      <c r="F580" s="13" t="n"/>
      <c r="G580" s="13" t="n"/>
      <c r="H580" s="20" t="n"/>
      <c r="I580" s="14" t="n"/>
      <c r="J580" s="19">
        <f>IF($C580="","",ROUND(IF($H580="",1,$H580)*N($I580),2))</f>
        <v/>
      </c>
      <c r="K580" s="13" t="n"/>
      <c r="L580" s="13" t="n"/>
      <c r="M580" s="17">
        <f>IF($C580="","",IF(ISNA(MATCH($C580,项目名表,0)),"※项目不在项目台账里",IF($E580="※工作类型没选","※工作类型没选","")))</f>
        <v/>
      </c>
    </row>
    <row r="581">
      <c r="A581" s="17">
        <f>IF($C581="","",ROW()-3)</f>
        <v/>
      </c>
      <c r="B581" s="18" t="n"/>
      <c r="C581" s="13" t="n"/>
      <c r="D581" s="13" t="n"/>
      <c r="E581" s="17">
        <f>IF($C581="","",IFERROR(VLOOKUP($D581,工作归属,2,0),"※工作类型没选"))</f>
        <v/>
      </c>
      <c r="F581" s="13" t="n"/>
      <c r="G581" s="13" t="n"/>
      <c r="H581" s="20" t="n"/>
      <c r="I581" s="14" t="n"/>
      <c r="J581" s="19">
        <f>IF($C581="","",ROUND(IF($H581="",1,$H581)*N($I581),2))</f>
        <v/>
      </c>
      <c r="K581" s="13" t="n"/>
      <c r="L581" s="13" t="n"/>
      <c r="M581" s="17">
        <f>IF($C581="","",IF(ISNA(MATCH($C581,项目名表,0)),"※项目不在项目台账里",IF($E581="※工作类型没选","※工作类型没选","")))</f>
        <v/>
      </c>
    </row>
    <row r="582">
      <c r="A582" s="17">
        <f>IF($C582="","",ROW()-3)</f>
        <v/>
      </c>
      <c r="B582" s="18" t="n"/>
      <c r="C582" s="13" t="n"/>
      <c r="D582" s="13" t="n"/>
      <c r="E582" s="17">
        <f>IF($C582="","",IFERROR(VLOOKUP($D582,工作归属,2,0),"※工作类型没选"))</f>
        <v/>
      </c>
      <c r="F582" s="13" t="n"/>
      <c r="G582" s="13" t="n"/>
      <c r="H582" s="20" t="n"/>
      <c r="I582" s="14" t="n"/>
      <c r="J582" s="19">
        <f>IF($C582="","",ROUND(IF($H582="",1,$H582)*N($I582),2))</f>
        <v/>
      </c>
      <c r="K582" s="13" t="n"/>
      <c r="L582" s="13" t="n"/>
      <c r="M582" s="17">
        <f>IF($C582="","",IF(ISNA(MATCH($C582,项目名表,0)),"※项目不在项目台账里",IF($E582="※工作类型没选","※工作类型没选","")))</f>
        <v/>
      </c>
    </row>
    <row r="583">
      <c r="A583" s="17">
        <f>IF($C583="","",ROW()-3)</f>
        <v/>
      </c>
      <c r="B583" s="18" t="n"/>
      <c r="C583" s="13" t="n"/>
      <c r="D583" s="13" t="n"/>
      <c r="E583" s="17">
        <f>IF($C583="","",IFERROR(VLOOKUP($D583,工作归属,2,0),"※工作类型没选"))</f>
        <v/>
      </c>
      <c r="F583" s="13" t="n"/>
      <c r="G583" s="13" t="n"/>
      <c r="H583" s="20" t="n"/>
      <c r="I583" s="14" t="n"/>
      <c r="J583" s="19">
        <f>IF($C583="","",ROUND(IF($H583="",1,$H583)*N($I583),2))</f>
        <v/>
      </c>
      <c r="K583" s="13" t="n"/>
      <c r="L583" s="13" t="n"/>
      <c r="M583" s="17">
        <f>IF($C583="","",IF(ISNA(MATCH($C583,项目名表,0)),"※项目不在项目台账里",IF($E583="※工作类型没选","※工作类型没选","")))</f>
        <v/>
      </c>
    </row>
    <row r="584">
      <c r="A584" s="17">
        <f>IF($C584="","",ROW()-3)</f>
        <v/>
      </c>
      <c r="B584" s="18" t="n"/>
      <c r="C584" s="13" t="n"/>
      <c r="D584" s="13" t="n"/>
      <c r="E584" s="17">
        <f>IF($C584="","",IFERROR(VLOOKUP($D584,工作归属,2,0),"※工作类型没选"))</f>
        <v/>
      </c>
      <c r="F584" s="13" t="n"/>
      <c r="G584" s="13" t="n"/>
      <c r="H584" s="20" t="n"/>
      <c r="I584" s="14" t="n"/>
      <c r="J584" s="19">
        <f>IF($C584="","",ROUND(IF($H584="",1,$H584)*N($I584),2))</f>
        <v/>
      </c>
      <c r="K584" s="13" t="n"/>
      <c r="L584" s="13" t="n"/>
      <c r="M584" s="17">
        <f>IF($C584="","",IF(ISNA(MATCH($C584,项目名表,0)),"※项目不在项目台账里",IF($E584="※工作类型没选","※工作类型没选","")))</f>
        <v/>
      </c>
    </row>
    <row r="585">
      <c r="A585" s="17">
        <f>IF($C585="","",ROW()-3)</f>
        <v/>
      </c>
      <c r="B585" s="18" t="n"/>
      <c r="C585" s="13" t="n"/>
      <c r="D585" s="13" t="n"/>
      <c r="E585" s="17">
        <f>IF($C585="","",IFERROR(VLOOKUP($D585,工作归属,2,0),"※工作类型没选"))</f>
        <v/>
      </c>
      <c r="F585" s="13" t="n"/>
      <c r="G585" s="13" t="n"/>
      <c r="H585" s="20" t="n"/>
      <c r="I585" s="14" t="n"/>
      <c r="J585" s="19">
        <f>IF($C585="","",ROUND(IF($H585="",1,$H585)*N($I585),2))</f>
        <v/>
      </c>
      <c r="K585" s="13" t="n"/>
      <c r="L585" s="13" t="n"/>
      <c r="M585" s="17">
        <f>IF($C585="","",IF(ISNA(MATCH($C585,项目名表,0)),"※项目不在项目台账里",IF($E585="※工作类型没选","※工作类型没选","")))</f>
        <v/>
      </c>
    </row>
    <row r="586">
      <c r="A586" s="17">
        <f>IF($C586="","",ROW()-3)</f>
        <v/>
      </c>
      <c r="B586" s="18" t="n"/>
      <c r="C586" s="13" t="n"/>
      <c r="D586" s="13" t="n"/>
      <c r="E586" s="17">
        <f>IF($C586="","",IFERROR(VLOOKUP($D586,工作归属,2,0),"※工作类型没选"))</f>
        <v/>
      </c>
      <c r="F586" s="13" t="n"/>
      <c r="G586" s="13" t="n"/>
      <c r="H586" s="20" t="n"/>
      <c r="I586" s="14" t="n"/>
      <c r="J586" s="19">
        <f>IF($C586="","",ROUND(IF($H586="",1,$H586)*N($I586),2))</f>
        <v/>
      </c>
      <c r="K586" s="13" t="n"/>
      <c r="L586" s="13" t="n"/>
      <c r="M586" s="17">
        <f>IF($C586="","",IF(ISNA(MATCH($C586,项目名表,0)),"※项目不在项目台账里",IF($E586="※工作类型没选","※工作类型没选","")))</f>
        <v/>
      </c>
    </row>
    <row r="587">
      <c r="A587" s="17">
        <f>IF($C587="","",ROW()-3)</f>
        <v/>
      </c>
      <c r="B587" s="18" t="n"/>
      <c r="C587" s="13" t="n"/>
      <c r="D587" s="13" t="n"/>
      <c r="E587" s="17">
        <f>IF($C587="","",IFERROR(VLOOKUP($D587,工作归属,2,0),"※工作类型没选"))</f>
        <v/>
      </c>
      <c r="F587" s="13" t="n"/>
      <c r="G587" s="13" t="n"/>
      <c r="H587" s="20" t="n"/>
      <c r="I587" s="14" t="n"/>
      <c r="J587" s="19">
        <f>IF($C587="","",ROUND(IF($H587="",1,$H587)*N($I587),2))</f>
        <v/>
      </c>
      <c r="K587" s="13" t="n"/>
      <c r="L587" s="13" t="n"/>
      <c r="M587" s="17">
        <f>IF($C587="","",IF(ISNA(MATCH($C587,项目名表,0)),"※项目不在项目台账里",IF($E587="※工作类型没选","※工作类型没选","")))</f>
        <v/>
      </c>
    </row>
    <row r="588">
      <c r="A588" s="17">
        <f>IF($C588="","",ROW()-3)</f>
        <v/>
      </c>
      <c r="B588" s="18" t="n"/>
      <c r="C588" s="13" t="n"/>
      <c r="D588" s="13" t="n"/>
      <c r="E588" s="17">
        <f>IF($C588="","",IFERROR(VLOOKUP($D588,工作归属,2,0),"※工作类型没选"))</f>
        <v/>
      </c>
      <c r="F588" s="13" t="n"/>
      <c r="G588" s="13" t="n"/>
      <c r="H588" s="20" t="n"/>
      <c r="I588" s="14" t="n"/>
      <c r="J588" s="19">
        <f>IF($C588="","",ROUND(IF($H588="",1,$H588)*N($I588),2))</f>
        <v/>
      </c>
      <c r="K588" s="13" t="n"/>
      <c r="L588" s="13" t="n"/>
      <c r="M588" s="17">
        <f>IF($C588="","",IF(ISNA(MATCH($C588,项目名表,0)),"※项目不在项目台账里",IF($E588="※工作类型没选","※工作类型没选","")))</f>
        <v/>
      </c>
    </row>
    <row r="589">
      <c r="A589" s="17">
        <f>IF($C589="","",ROW()-3)</f>
        <v/>
      </c>
      <c r="B589" s="18" t="n"/>
      <c r="C589" s="13" t="n"/>
      <c r="D589" s="13" t="n"/>
      <c r="E589" s="17">
        <f>IF($C589="","",IFERROR(VLOOKUP($D589,工作归属,2,0),"※工作类型没选"))</f>
        <v/>
      </c>
      <c r="F589" s="13" t="n"/>
      <c r="G589" s="13" t="n"/>
      <c r="H589" s="20" t="n"/>
      <c r="I589" s="14" t="n"/>
      <c r="J589" s="19">
        <f>IF($C589="","",ROUND(IF($H589="",1,$H589)*N($I589),2))</f>
        <v/>
      </c>
      <c r="K589" s="13" t="n"/>
      <c r="L589" s="13" t="n"/>
      <c r="M589" s="17">
        <f>IF($C589="","",IF(ISNA(MATCH($C589,项目名表,0)),"※项目不在项目台账里",IF($E589="※工作类型没选","※工作类型没选","")))</f>
        <v/>
      </c>
    </row>
    <row r="590">
      <c r="A590" s="17">
        <f>IF($C590="","",ROW()-3)</f>
        <v/>
      </c>
      <c r="B590" s="18" t="n"/>
      <c r="C590" s="13" t="n"/>
      <c r="D590" s="13" t="n"/>
      <c r="E590" s="17">
        <f>IF($C590="","",IFERROR(VLOOKUP($D590,工作归属,2,0),"※工作类型没选"))</f>
        <v/>
      </c>
      <c r="F590" s="13" t="n"/>
      <c r="G590" s="13" t="n"/>
      <c r="H590" s="20" t="n"/>
      <c r="I590" s="14" t="n"/>
      <c r="J590" s="19">
        <f>IF($C590="","",ROUND(IF($H590="",1,$H590)*N($I590),2))</f>
        <v/>
      </c>
      <c r="K590" s="13" t="n"/>
      <c r="L590" s="13" t="n"/>
      <c r="M590" s="17">
        <f>IF($C590="","",IF(ISNA(MATCH($C590,项目名表,0)),"※项目不在项目台账里",IF($E590="※工作类型没选","※工作类型没选","")))</f>
        <v/>
      </c>
    </row>
    <row r="591">
      <c r="A591" s="17">
        <f>IF($C591="","",ROW()-3)</f>
        <v/>
      </c>
      <c r="B591" s="18" t="n"/>
      <c r="C591" s="13" t="n"/>
      <c r="D591" s="13" t="n"/>
      <c r="E591" s="17">
        <f>IF($C591="","",IFERROR(VLOOKUP($D591,工作归属,2,0),"※工作类型没选"))</f>
        <v/>
      </c>
      <c r="F591" s="13" t="n"/>
      <c r="G591" s="13" t="n"/>
      <c r="H591" s="20" t="n"/>
      <c r="I591" s="14" t="n"/>
      <c r="J591" s="19">
        <f>IF($C591="","",ROUND(IF($H591="",1,$H591)*N($I591),2))</f>
        <v/>
      </c>
      <c r="K591" s="13" t="n"/>
      <c r="L591" s="13" t="n"/>
      <c r="M591" s="17">
        <f>IF($C591="","",IF(ISNA(MATCH($C591,项目名表,0)),"※项目不在项目台账里",IF($E591="※工作类型没选","※工作类型没选","")))</f>
        <v/>
      </c>
    </row>
    <row r="592">
      <c r="A592" s="17">
        <f>IF($C592="","",ROW()-3)</f>
        <v/>
      </c>
      <c r="B592" s="18" t="n"/>
      <c r="C592" s="13" t="n"/>
      <c r="D592" s="13" t="n"/>
      <c r="E592" s="17">
        <f>IF($C592="","",IFERROR(VLOOKUP($D592,工作归属,2,0),"※工作类型没选"))</f>
        <v/>
      </c>
      <c r="F592" s="13" t="n"/>
      <c r="G592" s="13" t="n"/>
      <c r="H592" s="20" t="n"/>
      <c r="I592" s="14" t="n"/>
      <c r="J592" s="19">
        <f>IF($C592="","",ROUND(IF($H592="",1,$H592)*N($I592),2))</f>
        <v/>
      </c>
      <c r="K592" s="13" t="n"/>
      <c r="L592" s="13" t="n"/>
      <c r="M592" s="17">
        <f>IF($C592="","",IF(ISNA(MATCH($C592,项目名表,0)),"※项目不在项目台账里",IF($E592="※工作类型没选","※工作类型没选","")))</f>
        <v/>
      </c>
    </row>
    <row r="593">
      <c r="A593" s="17">
        <f>IF($C593="","",ROW()-3)</f>
        <v/>
      </c>
      <c r="B593" s="18" t="n"/>
      <c r="C593" s="13" t="n"/>
      <c r="D593" s="13" t="n"/>
      <c r="E593" s="17">
        <f>IF($C593="","",IFERROR(VLOOKUP($D593,工作归属,2,0),"※工作类型没选"))</f>
        <v/>
      </c>
      <c r="F593" s="13" t="n"/>
      <c r="G593" s="13" t="n"/>
      <c r="H593" s="20" t="n"/>
      <c r="I593" s="14" t="n"/>
      <c r="J593" s="19">
        <f>IF($C593="","",ROUND(IF($H593="",1,$H593)*N($I593),2))</f>
        <v/>
      </c>
      <c r="K593" s="13" t="n"/>
      <c r="L593" s="13" t="n"/>
      <c r="M593" s="17">
        <f>IF($C593="","",IF(ISNA(MATCH($C593,项目名表,0)),"※项目不在项目台账里",IF($E593="※工作类型没选","※工作类型没选","")))</f>
        <v/>
      </c>
    </row>
    <row r="594">
      <c r="A594" s="17">
        <f>IF($C594="","",ROW()-3)</f>
        <v/>
      </c>
      <c r="B594" s="18" t="n"/>
      <c r="C594" s="13" t="n"/>
      <c r="D594" s="13" t="n"/>
      <c r="E594" s="17">
        <f>IF($C594="","",IFERROR(VLOOKUP($D594,工作归属,2,0),"※工作类型没选"))</f>
        <v/>
      </c>
      <c r="F594" s="13" t="n"/>
      <c r="G594" s="13" t="n"/>
      <c r="H594" s="20" t="n"/>
      <c r="I594" s="14" t="n"/>
      <c r="J594" s="19">
        <f>IF($C594="","",ROUND(IF($H594="",1,$H594)*N($I594),2))</f>
        <v/>
      </c>
      <c r="K594" s="13" t="n"/>
      <c r="L594" s="13" t="n"/>
      <c r="M594" s="17">
        <f>IF($C594="","",IF(ISNA(MATCH($C594,项目名表,0)),"※项目不在项目台账里",IF($E594="※工作类型没选","※工作类型没选","")))</f>
        <v/>
      </c>
    </row>
    <row r="595">
      <c r="A595" s="17">
        <f>IF($C595="","",ROW()-3)</f>
        <v/>
      </c>
      <c r="B595" s="18" t="n"/>
      <c r="C595" s="13" t="n"/>
      <c r="D595" s="13" t="n"/>
      <c r="E595" s="17">
        <f>IF($C595="","",IFERROR(VLOOKUP($D595,工作归属,2,0),"※工作类型没选"))</f>
        <v/>
      </c>
      <c r="F595" s="13" t="n"/>
      <c r="G595" s="13" t="n"/>
      <c r="H595" s="20" t="n"/>
      <c r="I595" s="14" t="n"/>
      <c r="J595" s="19">
        <f>IF($C595="","",ROUND(IF($H595="",1,$H595)*N($I595),2))</f>
        <v/>
      </c>
      <c r="K595" s="13" t="n"/>
      <c r="L595" s="13" t="n"/>
      <c r="M595" s="17">
        <f>IF($C595="","",IF(ISNA(MATCH($C595,项目名表,0)),"※项目不在项目台账里",IF($E595="※工作类型没选","※工作类型没选","")))</f>
        <v/>
      </c>
    </row>
    <row r="596">
      <c r="A596" s="17">
        <f>IF($C596="","",ROW()-3)</f>
        <v/>
      </c>
      <c r="B596" s="18" t="n"/>
      <c r="C596" s="13" t="n"/>
      <c r="D596" s="13" t="n"/>
      <c r="E596" s="17">
        <f>IF($C596="","",IFERROR(VLOOKUP($D596,工作归属,2,0),"※工作类型没选"))</f>
        <v/>
      </c>
      <c r="F596" s="13" t="n"/>
      <c r="G596" s="13" t="n"/>
      <c r="H596" s="20" t="n"/>
      <c r="I596" s="14" t="n"/>
      <c r="J596" s="19">
        <f>IF($C596="","",ROUND(IF($H596="",1,$H596)*N($I596),2))</f>
        <v/>
      </c>
      <c r="K596" s="13" t="n"/>
      <c r="L596" s="13" t="n"/>
      <c r="M596" s="17">
        <f>IF($C596="","",IF(ISNA(MATCH($C596,项目名表,0)),"※项目不在项目台账里",IF($E596="※工作类型没选","※工作类型没选","")))</f>
        <v/>
      </c>
    </row>
    <row r="597">
      <c r="A597" s="17">
        <f>IF($C597="","",ROW()-3)</f>
        <v/>
      </c>
      <c r="B597" s="18" t="n"/>
      <c r="C597" s="13" t="n"/>
      <c r="D597" s="13" t="n"/>
      <c r="E597" s="17">
        <f>IF($C597="","",IFERROR(VLOOKUP($D597,工作归属,2,0),"※工作类型没选"))</f>
        <v/>
      </c>
      <c r="F597" s="13" t="n"/>
      <c r="G597" s="13" t="n"/>
      <c r="H597" s="20" t="n"/>
      <c r="I597" s="14" t="n"/>
      <c r="J597" s="19">
        <f>IF($C597="","",ROUND(IF($H597="",1,$H597)*N($I597),2))</f>
        <v/>
      </c>
      <c r="K597" s="13" t="n"/>
      <c r="L597" s="13" t="n"/>
      <c r="M597" s="17">
        <f>IF($C597="","",IF(ISNA(MATCH($C597,项目名表,0)),"※项目不在项目台账里",IF($E597="※工作类型没选","※工作类型没选","")))</f>
        <v/>
      </c>
    </row>
    <row r="598">
      <c r="A598" s="17">
        <f>IF($C598="","",ROW()-3)</f>
        <v/>
      </c>
      <c r="B598" s="18" t="n"/>
      <c r="C598" s="13" t="n"/>
      <c r="D598" s="13" t="n"/>
      <c r="E598" s="17">
        <f>IF($C598="","",IFERROR(VLOOKUP($D598,工作归属,2,0),"※工作类型没选"))</f>
        <v/>
      </c>
      <c r="F598" s="13" t="n"/>
      <c r="G598" s="13" t="n"/>
      <c r="H598" s="20" t="n"/>
      <c r="I598" s="14" t="n"/>
      <c r="J598" s="19">
        <f>IF($C598="","",ROUND(IF($H598="",1,$H598)*N($I598),2))</f>
        <v/>
      </c>
      <c r="K598" s="13" t="n"/>
      <c r="L598" s="13" t="n"/>
      <c r="M598" s="17">
        <f>IF($C598="","",IF(ISNA(MATCH($C598,项目名表,0)),"※项目不在项目台账里",IF($E598="※工作类型没选","※工作类型没选","")))</f>
        <v/>
      </c>
    </row>
    <row r="599">
      <c r="A599" s="17">
        <f>IF($C599="","",ROW()-3)</f>
        <v/>
      </c>
      <c r="B599" s="18" t="n"/>
      <c r="C599" s="13" t="n"/>
      <c r="D599" s="13" t="n"/>
      <c r="E599" s="17">
        <f>IF($C599="","",IFERROR(VLOOKUP($D599,工作归属,2,0),"※工作类型没选"))</f>
        <v/>
      </c>
      <c r="F599" s="13" t="n"/>
      <c r="G599" s="13" t="n"/>
      <c r="H599" s="20" t="n"/>
      <c r="I599" s="14" t="n"/>
      <c r="J599" s="19">
        <f>IF($C599="","",ROUND(IF($H599="",1,$H599)*N($I599),2))</f>
        <v/>
      </c>
      <c r="K599" s="13" t="n"/>
      <c r="L599" s="13" t="n"/>
      <c r="M599" s="17">
        <f>IF($C599="","",IF(ISNA(MATCH($C599,项目名表,0)),"※项目不在项目台账里",IF($E599="※工作类型没选","※工作类型没选","")))</f>
        <v/>
      </c>
    </row>
    <row r="600">
      <c r="A600" s="17">
        <f>IF($C600="","",ROW()-3)</f>
        <v/>
      </c>
      <c r="B600" s="18" t="n"/>
      <c r="C600" s="13" t="n"/>
      <c r="D600" s="13" t="n"/>
      <c r="E600" s="17">
        <f>IF($C600="","",IFERROR(VLOOKUP($D600,工作归属,2,0),"※工作类型没选"))</f>
        <v/>
      </c>
      <c r="F600" s="13" t="n"/>
      <c r="G600" s="13" t="n"/>
      <c r="H600" s="20" t="n"/>
      <c r="I600" s="14" t="n"/>
      <c r="J600" s="19">
        <f>IF($C600="","",ROUND(IF($H600="",1,$H600)*N($I600),2))</f>
        <v/>
      </c>
      <c r="K600" s="13" t="n"/>
      <c r="L600" s="13" t="n"/>
      <c r="M600" s="17">
        <f>IF($C600="","",IF(ISNA(MATCH($C600,项目名表,0)),"※项目不在项目台账里",IF($E600="※工作类型没选","※工作类型没选","")))</f>
        <v/>
      </c>
    </row>
    <row r="601">
      <c r="A601" s="17">
        <f>IF($C601="","",ROW()-3)</f>
        <v/>
      </c>
      <c r="B601" s="18" t="n"/>
      <c r="C601" s="13" t="n"/>
      <c r="D601" s="13" t="n"/>
      <c r="E601" s="17">
        <f>IF($C601="","",IFERROR(VLOOKUP($D601,工作归属,2,0),"※工作类型没选"))</f>
        <v/>
      </c>
      <c r="F601" s="13" t="n"/>
      <c r="G601" s="13" t="n"/>
      <c r="H601" s="20" t="n"/>
      <c r="I601" s="14" t="n"/>
      <c r="J601" s="19">
        <f>IF($C601="","",ROUND(IF($H601="",1,$H601)*N($I601),2))</f>
        <v/>
      </c>
      <c r="K601" s="13" t="n"/>
      <c r="L601" s="13" t="n"/>
      <c r="M601" s="17">
        <f>IF($C601="","",IF(ISNA(MATCH($C601,项目名表,0)),"※项目不在项目台账里",IF($E601="※工作类型没选","※工作类型没选","")))</f>
        <v/>
      </c>
    </row>
    <row r="602">
      <c r="A602" s="17">
        <f>IF($C602="","",ROW()-3)</f>
        <v/>
      </c>
      <c r="B602" s="18" t="n"/>
      <c r="C602" s="13" t="n"/>
      <c r="D602" s="13" t="n"/>
      <c r="E602" s="17">
        <f>IF($C602="","",IFERROR(VLOOKUP($D602,工作归属,2,0),"※工作类型没选"))</f>
        <v/>
      </c>
      <c r="F602" s="13" t="n"/>
      <c r="G602" s="13" t="n"/>
      <c r="H602" s="20" t="n"/>
      <c r="I602" s="14" t="n"/>
      <c r="J602" s="19">
        <f>IF($C602="","",ROUND(IF($H602="",1,$H602)*N($I602),2))</f>
        <v/>
      </c>
      <c r="K602" s="13" t="n"/>
      <c r="L602" s="13" t="n"/>
      <c r="M602" s="17">
        <f>IF($C602="","",IF(ISNA(MATCH($C602,项目名表,0)),"※项目不在项目台账里",IF($E602="※工作类型没选","※工作类型没选","")))</f>
        <v/>
      </c>
    </row>
    <row r="603">
      <c r="A603" s="17">
        <f>IF($C603="","",ROW()-3)</f>
        <v/>
      </c>
      <c r="B603" s="18" t="n"/>
      <c r="C603" s="13" t="n"/>
      <c r="D603" s="13" t="n"/>
      <c r="E603" s="17">
        <f>IF($C603="","",IFERROR(VLOOKUP($D603,工作归属,2,0),"※工作类型没选"))</f>
        <v/>
      </c>
      <c r="F603" s="13" t="n"/>
      <c r="G603" s="13" t="n"/>
      <c r="H603" s="20" t="n"/>
      <c r="I603" s="14" t="n"/>
      <c r="J603" s="19">
        <f>IF($C603="","",ROUND(IF($H603="",1,$H603)*N($I603),2))</f>
        <v/>
      </c>
      <c r="K603" s="13" t="n"/>
      <c r="L603" s="13" t="n"/>
      <c r="M603" s="17">
        <f>IF($C603="","",IF(ISNA(MATCH($C603,项目名表,0)),"※项目不在项目台账里",IF($E603="※工作类型没选","※工作类型没选","")))</f>
        <v/>
      </c>
    </row>
    <row r="604">
      <c r="A604" s="17">
        <f>IF($C604="","",ROW()-3)</f>
        <v/>
      </c>
      <c r="B604" s="18" t="n"/>
      <c r="C604" s="13" t="n"/>
      <c r="D604" s="13" t="n"/>
      <c r="E604" s="17">
        <f>IF($C604="","",IFERROR(VLOOKUP($D604,工作归属,2,0),"※工作类型没选"))</f>
        <v/>
      </c>
      <c r="F604" s="13" t="n"/>
      <c r="G604" s="13" t="n"/>
      <c r="H604" s="20" t="n"/>
      <c r="I604" s="14" t="n"/>
      <c r="J604" s="19">
        <f>IF($C604="","",ROUND(IF($H604="",1,$H604)*N($I604),2))</f>
        <v/>
      </c>
      <c r="K604" s="13" t="n"/>
      <c r="L604" s="13" t="n"/>
      <c r="M604" s="17">
        <f>IF($C604="","",IF(ISNA(MATCH($C604,项目名表,0)),"※项目不在项目台账里",IF($E604="※工作类型没选","※工作类型没选","")))</f>
        <v/>
      </c>
    </row>
    <row r="605">
      <c r="A605" s="17">
        <f>IF($C605="","",ROW()-3)</f>
        <v/>
      </c>
      <c r="B605" s="18" t="n"/>
      <c r="C605" s="13" t="n"/>
      <c r="D605" s="13" t="n"/>
      <c r="E605" s="17">
        <f>IF($C605="","",IFERROR(VLOOKUP($D605,工作归属,2,0),"※工作类型没选"))</f>
        <v/>
      </c>
      <c r="F605" s="13" t="n"/>
      <c r="G605" s="13" t="n"/>
      <c r="H605" s="20" t="n"/>
      <c r="I605" s="14" t="n"/>
      <c r="J605" s="19">
        <f>IF($C605="","",ROUND(IF($H605="",1,$H605)*N($I605),2))</f>
        <v/>
      </c>
      <c r="K605" s="13" t="n"/>
      <c r="L605" s="13" t="n"/>
      <c r="M605" s="17">
        <f>IF($C605="","",IF(ISNA(MATCH($C605,项目名表,0)),"※项目不在项目台账里",IF($E605="※工作类型没选","※工作类型没选","")))</f>
        <v/>
      </c>
    </row>
    <row r="606">
      <c r="A606" s="17">
        <f>IF($C606="","",ROW()-3)</f>
        <v/>
      </c>
      <c r="B606" s="18" t="n"/>
      <c r="C606" s="13" t="n"/>
      <c r="D606" s="13" t="n"/>
      <c r="E606" s="17">
        <f>IF($C606="","",IFERROR(VLOOKUP($D606,工作归属,2,0),"※工作类型没选"))</f>
        <v/>
      </c>
      <c r="F606" s="13" t="n"/>
      <c r="G606" s="13" t="n"/>
      <c r="H606" s="20" t="n"/>
      <c r="I606" s="14" t="n"/>
      <c r="J606" s="19">
        <f>IF($C606="","",ROUND(IF($H606="",1,$H606)*N($I606),2))</f>
        <v/>
      </c>
      <c r="K606" s="13" t="n"/>
      <c r="L606" s="13" t="n"/>
      <c r="M606" s="17">
        <f>IF($C606="","",IF(ISNA(MATCH($C606,项目名表,0)),"※项目不在项目台账里",IF($E606="※工作类型没选","※工作类型没选","")))</f>
        <v/>
      </c>
    </row>
    <row r="607">
      <c r="A607" s="17">
        <f>IF($C607="","",ROW()-3)</f>
        <v/>
      </c>
      <c r="B607" s="18" t="n"/>
      <c r="C607" s="13" t="n"/>
      <c r="D607" s="13" t="n"/>
      <c r="E607" s="17">
        <f>IF($C607="","",IFERROR(VLOOKUP($D607,工作归属,2,0),"※工作类型没选"))</f>
        <v/>
      </c>
      <c r="F607" s="13" t="n"/>
      <c r="G607" s="13" t="n"/>
      <c r="H607" s="20" t="n"/>
      <c r="I607" s="14" t="n"/>
      <c r="J607" s="19">
        <f>IF($C607="","",ROUND(IF($H607="",1,$H607)*N($I607),2))</f>
        <v/>
      </c>
      <c r="K607" s="13" t="n"/>
      <c r="L607" s="13" t="n"/>
      <c r="M607" s="17">
        <f>IF($C607="","",IF(ISNA(MATCH($C607,项目名表,0)),"※项目不在项目台账里",IF($E607="※工作类型没选","※工作类型没选","")))</f>
        <v/>
      </c>
    </row>
    <row r="608">
      <c r="A608" s="17">
        <f>IF($C608="","",ROW()-3)</f>
        <v/>
      </c>
      <c r="B608" s="18" t="n"/>
      <c r="C608" s="13" t="n"/>
      <c r="D608" s="13" t="n"/>
      <c r="E608" s="17">
        <f>IF($C608="","",IFERROR(VLOOKUP($D608,工作归属,2,0),"※工作类型没选"))</f>
        <v/>
      </c>
      <c r="F608" s="13" t="n"/>
      <c r="G608" s="13" t="n"/>
      <c r="H608" s="20" t="n"/>
      <c r="I608" s="14" t="n"/>
      <c r="J608" s="19">
        <f>IF($C608="","",ROUND(IF($H608="",1,$H608)*N($I608),2))</f>
        <v/>
      </c>
      <c r="K608" s="13" t="n"/>
      <c r="L608" s="13" t="n"/>
      <c r="M608" s="17">
        <f>IF($C608="","",IF(ISNA(MATCH($C608,项目名表,0)),"※项目不在项目台账里",IF($E608="※工作类型没选","※工作类型没选","")))</f>
        <v/>
      </c>
    </row>
    <row r="609">
      <c r="A609" s="17">
        <f>IF($C609="","",ROW()-3)</f>
        <v/>
      </c>
      <c r="B609" s="18" t="n"/>
      <c r="C609" s="13" t="n"/>
      <c r="D609" s="13" t="n"/>
      <c r="E609" s="17">
        <f>IF($C609="","",IFERROR(VLOOKUP($D609,工作归属,2,0),"※工作类型没选"))</f>
        <v/>
      </c>
      <c r="F609" s="13" t="n"/>
      <c r="G609" s="13" t="n"/>
      <c r="H609" s="20" t="n"/>
      <c r="I609" s="14" t="n"/>
      <c r="J609" s="19">
        <f>IF($C609="","",ROUND(IF($H609="",1,$H609)*N($I609),2))</f>
        <v/>
      </c>
      <c r="K609" s="13" t="n"/>
      <c r="L609" s="13" t="n"/>
      <c r="M609" s="17">
        <f>IF($C609="","",IF(ISNA(MATCH($C609,项目名表,0)),"※项目不在项目台账里",IF($E609="※工作类型没选","※工作类型没选","")))</f>
        <v/>
      </c>
    </row>
    <row r="610">
      <c r="A610" s="17">
        <f>IF($C610="","",ROW()-3)</f>
        <v/>
      </c>
      <c r="B610" s="18" t="n"/>
      <c r="C610" s="13" t="n"/>
      <c r="D610" s="13" t="n"/>
      <c r="E610" s="17">
        <f>IF($C610="","",IFERROR(VLOOKUP($D610,工作归属,2,0),"※工作类型没选"))</f>
        <v/>
      </c>
      <c r="F610" s="13" t="n"/>
      <c r="G610" s="13" t="n"/>
      <c r="H610" s="20" t="n"/>
      <c r="I610" s="14" t="n"/>
      <c r="J610" s="19">
        <f>IF($C610="","",ROUND(IF($H610="",1,$H610)*N($I610),2))</f>
        <v/>
      </c>
      <c r="K610" s="13" t="n"/>
      <c r="L610" s="13" t="n"/>
      <c r="M610" s="17">
        <f>IF($C610="","",IF(ISNA(MATCH($C610,项目名表,0)),"※项目不在项目台账里",IF($E610="※工作类型没选","※工作类型没选","")))</f>
        <v/>
      </c>
    </row>
    <row r="611">
      <c r="A611" s="17">
        <f>IF($C611="","",ROW()-3)</f>
        <v/>
      </c>
      <c r="B611" s="18" t="n"/>
      <c r="C611" s="13" t="n"/>
      <c r="D611" s="13" t="n"/>
      <c r="E611" s="17">
        <f>IF($C611="","",IFERROR(VLOOKUP($D611,工作归属,2,0),"※工作类型没选"))</f>
        <v/>
      </c>
      <c r="F611" s="13" t="n"/>
      <c r="G611" s="13" t="n"/>
      <c r="H611" s="20" t="n"/>
      <c r="I611" s="14" t="n"/>
      <c r="J611" s="19">
        <f>IF($C611="","",ROUND(IF($H611="",1,$H611)*N($I611),2))</f>
        <v/>
      </c>
      <c r="K611" s="13" t="n"/>
      <c r="L611" s="13" t="n"/>
      <c r="M611" s="17">
        <f>IF($C611="","",IF(ISNA(MATCH($C611,项目名表,0)),"※项目不在项目台账里",IF($E611="※工作类型没选","※工作类型没选","")))</f>
        <v/>
      </c>
    </row>
    <row r="612">
      <c r="A612" s="17">
        <f>IF($C612="","",ROW()-3)</f>
        <v/>
      </c>
      <c r="B612" s="18" t="n"/>
      <c r="C612" s="13" t="n"/>
      <c r="D612" s="13" t="n"/>
      <c r="E612" s="17">
        <f>IF($C612="","",IFERROR(VLOOKUP($D612,工作归属,2,0),"※工作类型没选"))</f>
        <v/>
      </c>
      <c r="F612" s="13" t="n"/>
      <c r="G612" s="13" t="n"/>
      <c r="H612" s="20" t="n"/>
      <c r="I612" s="14" t="n"/>
      <c r="J612" s="19">
        <f>IF($C612="","",ROUND(IF($H612="",1,$H612)*N($I612),2))</f>
        <v/>
      </c>
      <c r="K612" s="13" t="n"/>
      <c r="L612" s="13" t="n"/>
      <c r="M612" s="17">
        <f>IF($C612="","",IF(ISNA(MATCH($C612,项目名表,0)),"※项目不在项目台账里",IF($E612="※工作类型没选","※工作类型没选","")))</f>
        <v/>
      </c>
    </row>
    <row r="613">
      <c r="A613" s="17">
        <f>IF($C613="","",ROW()-3)</f>
        <v/>
      </c>
      <c r="B613" s="18" t="n"/>
      <c r="C613" s="13" t="n"/>
      <c r="D613" s="13" t="n"/>
      <c r="E613" s="17">
        <f>IF($C613="","",IFERROR(VLOOKUP($D613,工作归属,2,0),"※工作类型没选"))</f>
        <v/>
      </c>
      <c r="F613" s="13" t="n"/>
      <c r="G613" s="13" t="n"/>
      <c r="H613" s="20" t="n"/>
      <c r="I613" s="14" t="n"/>
      <c r="J613" s="19">
        <f>IF($C613="","",ROUND(IF($H613="",1,$H613)*N($I613),2))</f>
        <v/>
      </c>
      <c r="K613" s="13" t="n"/>
      <c r="L613" s="13" t="n"/>
      <c r="M613" s="17">
        <f>IF($C613="","",IF(ISNA(MATCH($C613,项目名表,0)),"※项目不在项目台账里",IF($E613="※工作类型没选","※工作类型没选","")))</f>
        <v/>
      </c>
    </row>
    <row r="614">
      <c r="A614" s="17">
        <f>IF($C614="","",ROW()-3)</f>
        <v/>
      </c>
      <c r="B614" s="18" t="n"/>
      <c r="C614" s="13" t="n"/>
      <c r="D614" s="13" t="n"/>
      <c r="E614" s="17">
        <f>IF($C614="","",IFERROR(VLOOKUP($D614,工作归属,2,0),"※工作类型没选"))</f>
        <v/>
      </c>
      <c r="F614" s="13" t="n"/>
      <c r="G614" s="13" t="n"/>
      <c r="H614" s="20" t="n"/>
      <c r="I614" s="14" t="n"/>
      <c r="J614" s="19">
        <f>IF($C614="","",ROUND(IF($H614="",1,$H614)*N($I614),2))</f>
        <v/>
      </c>
      <c r="K614" s="13" t="n"/>
      <c r="L614" s="13" t="n"/>
      <c r="M614" s="17">
        <f>IF($C614="","",IF(ISNA(MATCH($C614,项目名表,0)),"※项目不在项目台账里",IF($E614="※工作类型没选","※工作类型没选","")))</f>
        <v/>
      </c>
    </row>
    <row r="615">
      <c r="A615" s="17">
        <f>IF($C615="","",ROW()-3)</f>
        <v/>
      </c>
      <c r="B615" s="18" t="n"/>
      <c r="C615" s="13" t="n"/>
      <c r="D615" s="13" t="n"/>
      <c r="E615" s="17">
        <f>IF($C615="","",IFERROR(VLOOKUP($D615,工作归属,2,0),"※工作类型没选"))</f>
        <v/>
      </c>
      <c r="F615" s="13" t="n"/>
      <c r="G615" s="13" t="n"/>
      <c r="H615" s="20" t="n"/>
      <c r="I615" s="14" t="n"/>
      <c r="J615" s="19">
        <f>IF($C615="","",ROUND(IF($H615="",1,$H615)*N($I615),2))</f>
        <v/>
      </c>
      <c r="K615" s="13" t="n"/>
      <c r="L615" s="13" t="n"/>
      <c r="M615" s="17">
        <f>IF($C615="","",IF(ISNA(MATCH($C615,项目名表,0)),"※项目不在项目台账里",IF($E615="※工作类型没选","※工作类型没选","")))</f>
        <v/>
      </c>
    </row>
    <row r="616">
      <c r="A616" s="17">
        <f>IF($C616="","",ROW()-3)</f>
        <v/>
      </c>
      <c r="B616" s="18" t="n"/>
      <c r="C616" s="13" t="n"/>
      <c r="D616" s="13" t="n"/>
      <c r="E616" s="17">
        <f>IF($C616="","",IFERROR(VLOOKUP($D616,工作归属,2,0),"※工作类型没选"))</f>
        <v/>
      </c>
      <c r="F616" s="13" t="n"/>
      <c r="G616" s="13" t="n"/>
      <c r="H616" s="20" t="n"/>
      <c r="I616" s="14" t="n"/>
      <c r="J616" s="19">
        <f>IF($C616="","",ROUND(IF($H616="",1,$H616)*N($I616),2))</f>
        <v/>
      </c>
      <c r="K616" s="13" t="n"/>
      <c r="L616" s="13" t="n"/>
      <c r="M616" s="17">
        <f>IF($C616="","",IF(ISNA(MATCH($C616,项目名表,0)),"※项目不在项目台账里",IF($E616="※工作类型没选","※工作类型没选","")))</f>
        <v/>
      </c>
    </row>
    <row r="617">
      <c r="A617" s="17">
        <f>IF($C617="","",ROW()-3)</f>
        <v/>
      </c>
      <c r="B617" s="18" t="n"/>
      <c r="C617" s="13" t="n"/>
      <c r="D617" s="13" t="n"/>
      <c r="E617" s="17">
        <f>IF($C617="","",IFERROR(VLOOKUP($D617,工作归属,2,0),"※工作类型没选"))</f>
        <v/>
      </c>
      <c r="F617" s="13" t="n"/>
      <c r="G617" s="13" t="n"/>
      <c r="H617" s="20" t="n"/>
      <c r="I617" s="14" t="n"/>
      <c r="J617" s="19">
        <f>IF($C617="","",ROUND(IF($H617="",1,$H617)*N($I617),2))</f>
        <v/>
      </c>
      <c r="K617" s="13" t="n"/>
      <c r="L617" s="13" t="n"/>
      <c r="M617" s="17">
        <f>IF($C617="","",IF(ISNA(MATCH($C617,项目名表,0)),"※项目不在项目台账里",IF($E617="※工作类型没选","※工作类型没选","")))</f>
        <v/>
      </c>
    </row>
    <row r="618">
      <c r="A618" s="17">
        <f>IF($C618="","",ROW()-3)</f>
        <v/>
      </c>
      <c r="B618" s="18" t="n"/>
      <c r="C618" s="13" t="n"/>
      <c r="D618" s="13" t="n"/>
      <c r="E618" s="17">
        <f>IF($C618="","",IFERROR(VLOOKUP($D618,工作归属,2,0),"※工作类型没选"))</f>
        <v/>
      </c>
      <c r="F618" s="13" t="n"/>
      <c r="G618" s="13" t="n"/>
      <c r="H618" s="20" t="n"/>
      <c r="I618" s="14" t="n"/>
      <c r="J618" s="19">
        <f>IF($C618="","",ROUND(IF($H618="",1,$H618)*N($I618),2))</f>
        <v/>
      </c>
      <c r="K618" s="13" t="n"/>
      <c r="L618" s="13" t="n"/>
      <c r="M618" s="17">
        <f>IF($C618="","",IF(ISNA(MATCH($C618,项目名表,0)),"※项目不在项目台账里",IF($E618="※工作类型没选","※工作类型没选","")))</f>
        <v/>
      </c>
    </row>
    <row r="619">
      <c r="A619" s="17">
        <f>IF($C619="","",ROW()-3)</f>
        <v/>
      </c>
      <c r="B619" s="18" t="n"/>
      <c r="C619" s="13" t="n"/>
      <c r="D619" s="13" t="n"/>
      <c r="E619" s="17">
        <f>IF($C619="","",IFERROR(VLOOKUP($D619,工作归属,2,0),"※工作类型没选"))</f>
        <v/>
      </c>
      <c r="F619" s="13" t="n"/>
      <c r="G619" s="13" t="n"/>
      <c r="H619" s="20" t="n"/>
      <c r="I619" s="14" t="n"/>
      <c r="J619" s="19">
        <f>IF($C619="","",ROUND(IF($H619="",1,$H619)*N($I619),2))</f>
        <v/>
      </c>
      <c r="K619" s="13" t="n"/>
      <c r="L619" s="13" t="n"/>
      <c r="M619" s="17">
        <f>IF($C619="","",IF(ISNA(MATCH($C619,项目名表,0)),"※项目不在项目台账里",IF($E619="※工作类型没选","※工作类型没选","")))</f>
        <v/>
      </c>
    </row>
    <row r="620">
      <c r="A620" s="17">
        <f>IF($C620="","",ROW()-3)</f>
        <v/>
      </c>
      <c r="B620" s="18" t="n"/>
      <c r="C620" s="13" t="n"/>
      <c r="D620" s="13" t="n"/>
      <c r="E620" s="17">
        <f>IF($C620="","",IFERROR(VLOOKUP($D620,工作归属,2,0),"※工作类型没选"))</f>
        <v/>
      </c>
      <c r="F620" s="13" t="n"/>
      <c r="G620" s="13" t="n"/>
      <c r="H620" s="20" t="n"/>
      <c r="I620" s="14" t="n"/>
      <c r="J620" s="19">
        <f>IF($C620="","",ROUND(IF($H620="",1,$H620)*N($I620),2))</f>
        <v/>
      </c>
      <c r="K620" s="13" t="n"/>
      <c r="L620" s="13" t="n"/>
      <c r="M620" s="17">
        <f>IF($C620="","",IF(ISNA(MATCH($C620,项目名表,0)),"※项目不在项目台账里",IF($E620="※工作类型没选","※工作类型没选","")))</f>
        <v/>
      </c>
    </row>
    <row r="621">
      <c r="A621" s="17">
        <f>IF($C621="","",ROW()-3)</f>
        <v/>
      </c>
      <c r="B621" s="18" t="n"/>
      <c r="C621" s="13" t="n"/>
      <c r="D621" s="13" t="n"/>
      <c r="E621" s="17">
        <f>IF($C621="","",IFERROR(VLOOKUP($D621,工作归属,2,0),"※工作类型没选"))</f>
        <v/>
      </c>
      <c r="F621" s="13" t="n"/>
      <c r="G621" s="13" t="n"/>
      <c r="H621" s="20" t="n"/>
      <c r="I621" s="14" t="n"/>
      <c r="J621" s="19">
        <f>IF($C621="","",ROUND(IF($H621="",1,$H621)*N($I621),2))</f>
        <v/>
      </c>
      <c r="K621" s="13" t="n"/>
      <c r="L621" s="13" t="n"/>
      <c r="M621" s="17">
        <f>IF($C621="","",IF(ISNA(MATCH($C621,项目名表,0)),"※项目不在项目台账里",IF($E621="※工作类型没选","※工作类型没选","")))</f>
        <v/>
      </c>
    </row>
    <row r="622">
      <c r="A622" s="17">
        <f>IF($C622="","",ROW()-3)</f>
        <v/>
      </c>
      <c r="B622" s="18" t="n"/>
      <c r="C622" s="13" t="n"/>
      <c r="D622" s="13" t="n"/>
      <c r="E622" s="17">
        <f>IF($C622="","",IFERROR(VLOOKUP($D622,工作归属,2,0),"※工作类型没选"))</f>
        <v/>
      </c>
      <c r="F622" s="13" t="n"/>
      <c r="G622" s="13" t="n"/>
      <c r="H622" s="20" t="n"/>
      <c r="I622" s="14" t="n"/>
      <c r="J622" s="19">
        <f>IF($C622="","",ROUND(IF($H622="",1,$H622)*N($I622),2))</f>
        <v/>
      </c>
      <c r="K622" s="13" t="n"/>
      <c r="L622" s="13" t="n"/>
      <c r="M622" s="17">
        <f>IF($C622="","",IF(ISNA(MATCH($C622,项目名表,0)),"※项目不在项目台账里",IF($E622="※工作类型没选","※工作类型没选","")))</f>
        <v/>
      </c>
    </row>
    <row r="623">
      <c r="A623" s="17">
        <f>IF($C623="","",ROW()-3)</f>
        <v/>
      </c>
      <c r="B623" s="18" t="n"/>
      <c r="C623" s="13" t="n"/>
      <c r="D623" s="13" t="n"/>
      <c r="E623" s="17">
        <f>IF($C623="","",IFERROR(VLOOKUP($D623,工作归属,2,0),"※工作类型没选"))</f>
        <v/>
      </c>
      <c r="F623" s="13" t="n"/>
      <c r="G623" s="13" t="n"/>
      <c r="H623" s="20" t="n"/>
      <c r="I623" s="14" t="n"/>
      <c r="J623" s="19">
        <f>IF($C623="","",ROUND(IF($H623="",1,$H623)*N($I623),2))</f>
        <v/>
      </c>
      <c r="K623" s="13" t="n"/>
      <c r="L623" s="13" t="n"/>
      <c r="M623" s="17">
        <f>IF($C623="","",IF(ISNA(MATCH($C623,项目名表,0)),"※项目不在项目台账里",IF($E623="※工作类型没选","※工作类型没选","")))</f>
        <v/>
      </c>
    </row>
    <row r="624">
      <c r="A624" s="17">
        <f>IF($C624="","",ROW()-3)</f>
        <v/>
      </c>
      <c r="B624" s="18" t="n"/>
      <c r="C624" s="13" t="n"/>
      <c r="D624" s="13" t="n"/>
      <c r="E624" s="17">
        <f>IF($C624="","",IFERROR(VLOOKUP($D624,工作归属,2,0),"※工作类型没选"))</f>
        <v/>
      </c>
      <c r="F624" s="13" t="n"/>
      <c r="G624" s="13" t="n"/>
      <c r="H624" s="20" t="n"/>
      <c r="I624" s="14" t="n"/>
      <c r="J624" s="19">
        <f>IF($C624="","",ROUND(IF($H624="",1,$H624)*N($I624),2))</f>
        <v/>
      </c>
      <c r="K624" s="13" t="n"/>
      <c r="L624" s="13" t="n"/>
      <c r="M624" s="17">
        <f>IF($C624="","",IF(ISNA(MATCH($C624,项目名表,0)),"※项目不在项目台账里",IF($E624="※工作类型没选","※工作类型没选","")))</f>
        <v/>
      </c>
    </row>
    <row r="625">
      <c r="A625" s="17">
        <f>IF($C625="","",ROW()-3)</f>
        <v/>
      </c>
      <c r="B625" s="18" t="n"/>
      <c r="C625" s="13" t="n"/>
      <c r="D625" s="13" t="n"/>
      <c r="E625" s="17">
        <f>IF($C625="","",IFERROR(VLOOKUP($D625,工作归属,2,0),"※工作类型没选"))</f>
        <v/>
      </c>
      <c r="F625" s="13" t="n"/>
      <c r="G625" s="13" t="n"/>
      <c r="H625" s="20" t="n"/>
      <c r="I625" s="14" t="n"/>
      <c r="J625" s="19">
        <f>IF($C625="","",ROUND(IF($H625="",1,$H625)*N($I625),2))</f>
        <v/>
      </c>
      <c r="K625" s="13" t="n"/>
      <c r="L625" s="13" t="n"/>
      <c r="M625" s="17">
        <f>IF($C625="","",IF(ISNA(MATCH($C625,项目名表,0)),"※项目不在项目台账里",IF($E625="※工作类型没选","※工作类型没选","")))</f>
        <v/>
      </c>
    </row>
    <row r="626">
      <c r="A626" s="17">
        <f>IF($C626="","",ROW()-3)</f>
        <v/>
      </c>
      <c r="B626" s="18" t="n"/>
      <c r="C626" s="13" t="n"/>
      <c r="D626" s="13" t="n"/>
      <c r="E626" s="17">
        <f>IF($C626="","",IFERROR(VLOOKUP($D626,工作归属,2,0),"※工作类型没选"))</f>
        <v/>
      </c>
      <c r="F626" s="13" t="n"/>
      <c r="G626" s="13" t="n"/>
      <c r="H626" s="20" t="n"/>
      <c r="I626" s="14" t="n"/>
      <c r="J626" s="19">
        <f>IF($C626="","",ROUND(IF($H626="",1,$H626)*N($I626),2))</f>
        <v/>
      </c>
      <c r="K626" s="13" t="n"/>
      <c r="L626" s="13" t="n"/>
      <c r="M626" s="17">
        <f>IF($C626="","",IF(ISNA(MATCH($C626,项目名表,0)),"※项目不在项目台账里",IF($E626="※工作类型没选","※工作类型没选","")))</f>
        <v/>
      </c>
    </row>
    <row r="627">
      <c r="A627" s="17">
        <f>IF($C627="","",ROW()-3)</f>
        <v/>
      </c>
      <c r="B627" s="18" t="n"/>
      <c r="C627" s="13" t="n"/>
      <c r="D627" s="13" t="n"/>
      <c r="E627" s="17">
        <f>IF($C627="","",IFERROR(VLOOKUP($D627,工作归属,2,0),"※工作类型没选"))</f>
        <v/>
      </c>
      <c r="F627" s="13" t="n"/>
      <c r="G627" s="13" t="n"/>
      <c r="H627" s="20" t="n"/>
      <c r="I627" s="14" t="n"/>
      <c r="J627" s="19">
        <f>IF($C627="","",ROUND(IF($H627="",1,$H627)*N($I627),2))</f>
        <v/>
      </c>
      <c r="K627" s="13" t="n"/>
      <c r="L627" s="13" t="n"/>
      <c r="M627" s="17">
        <f>IF($C627="","",IF(ISNA(MATCH($C627,项目名表,0)),"※项目不在项目台账里",IF($E627="※工作类型没选","※工作类型没选","")))</f>
        <v/>
      </c>
    </row>
    <row r="628">
      <c r="A628" s="17">
        <f>IF($C628="","",ROW()-3)</f>
        <v/>
      </c>
      <c r="B628" s="18" t="n"/>
      <c r="C628" s="13" t="n"/>
      <c r="D628" s="13" t="n"/>
      <c r="E628" s="17">
        <f>IF($C628="","",IFERROR(VLOOKUP($D628,工作归属,2,0),"※工作类型没选"))</f>
        <v/>
      </c>
      <c r="F628" s="13" t="n"/>
      <c r="G628" s="13" t="n"/>
      <c r="H628" s="20" t="n"/>
      <c r="I628" s="14" t="n"/>
      <c r="J628" s="19">
        <f>IF($C628="","",ROUND(IF($H628="",1,$H628)*N($I628),2))</f>
        <v/>
      </c>
      <c r="K628" s="13" t="n"/>
      <c r="L628" s="13" t="n"/>
      <c r="M628" s="17">
        <f>IF($C628="","",IF(ISNA(MATCH($C628,项目名表,0)),"※项目不在项目台账里",IF($E628="※工作类型没选","※工作类型没选","")))</f>
        <v/>
      </c>
    </row>
    <row r="629">
      <c r="A629" s="17">
        <f>IF($C629="","",ROW()-3)</f>
        <v/>
      </c>
      <c r="B629" s="18" t="n"/>
      <c r="C629" s="13" t="n"/>
      <c r="D629" s="13" t="n"/>
      <c r="E629" s="17">
        <f>IF($C629="","",IFERROR(VLOOKUP($D629,工作归属,2,0),"※工作类型没选"))</f>
        <v/>
      </c>
      <c r="F629" s="13" t="n"/>
      <c r="G629" s="13" t="n"/>
      <c r="H629" s="20" t="n"/>
      <c r="I629" s="14" t="n"/>
      <c r="J629" s="19">
        <f>IF($C629="","",ROUND(IF($H629="",1,$H629)*N($I629),2))</f>
        <v/>
      </c>
      <c r="K629" s="13" t="n"/>
      <c r="L629" s="13" t="n"/>
      <c r="M629" s="17">
        <f>IF($C629="","",IF(ISNA(MATCH($C629,项目名表,0)),"※项目不在项目台账里",IF($E629="※工作类型没选","※工作类型没选","")))</f>
        <v/>
      </c>
    </row>
    <row r="630">
      <c r="A630" s="17">
        <f>IF($C630="","",ROW()-3)</f>
        <v/>
      </c>
      <c r="B630" s="18" t="n"/>
      <c r="C630" s="13" t="n"/>
      <c r="D630" s="13" t="n"/>
      <c r="E630" s="17">
        <f>IF($C630="","",IFERROR(VLOOKUP($D630,工作归属,2,0),"※工作类型没选"))</f>
        <v/>
      </c>
      <c r="F630" s="13" t="n"/>
      <c r="G630" s="13" t="n"/>
      <c r="H630" s="20" t="n"/>
      <c r="I630" s="14" t="n"/>
      <c r="J630" s="19">
        <f>IF($C630="","",ROUND(IF($H630="",1,$H630)*N($I630),2))</f>
        <v/>
      </c>
      <c r="K630" s="13" t="n"/>
      <c r="L630" s="13" t="n"/>
      <c r="M630" s="17">
        <f>IF($C630="","",IF(ISNA(MATCH($C630,项目名表,0)),"※项目不在项目台账里",IF($E630="※工作类型没选","※工作类型没选","")))</f>
        <v/>
      </c>
    </row>
    <row r="631">
      <c r="A631" s="17">
        <f>IF($C631="","",ROW()-3)</f>
        <v/>
      </c>
      <c r="B631" s="18" t="n"/>
      <c r="C631" s="13" t="n"/>
      <c r="D631" s="13" t="n"/>
      <c r="E631" s="17">
        <f>IF($C631="","",IFERROR(VLOOKUP($D631,工作归属,2,0),"※工作类型没选"))</f>
        <v/>
      </c>
      <c r="F631" s="13" t="n"/>
      <c r="G631" s="13" t="n"/>
      <c r="H631" s="20" t="n"/>
      <c r="I631" s="14" t="n"/>
      <c r="J631" s="19">
        <f>IF($C631="","",ROUND(IF($H631="",1,$H631)*N($I631),2))</f>
        <v/>
      </c>
      <c r="K631" s="13" t="n"/>
      <c r="L631" s="13" t="n"/>
      <c r="M631" s="17">
        <f>IF($C631="","",IF(ISNA(MATCH($C631,项目名表,0)),"※项目不在项目台账里",IF($E631="※工作类型没选","※工作类型没选","")))</f>
        <v/>
      </c>
    </row>
    <row r="632">
      <c r="A632" s="17">
        <f>IF($C632="","",ROW()-3)</f>
        <v/>
      </c>
      <c r="B632" s="18" t="n"/>
      <c r="C632" s="13" t="n"/>
      <c r="D632" s="13" t="n"/>
      <c r="E632" s="17">
        <f>IF($C632="","",IFERROR(VLOOKUP($D632,工作归属,2,0),"※工作类型没选"))</f>
        <v/>
      </c>
      <c r="F632" s="13" t="n"/>
      <c r="G632" s="13" t="n"/>
      <c r="H632" s="20" t="n"/>
      <c r="I632" s="14" t="n"/>
      <c r="J632" s="19">
        <f>IF($C632="","",ROUND(IF($H632="",1,$H632)*N($I632),2))</f>
        <v/>
      </c>
      <c r="K632" s="13" t="n"/>
      <c r="L632" s="13" t="n"/>
      <c r="M632" s="17">
        <f>IF($C632="","",IF(ISNA(MATCH($C632,项目名表,0)),"※项目不在项目台账里",IF($E632="※工作类型没选","※工作类型没选","")))</f>
        <v/>
      </c>
    </row>
    <row r="633">
      <c r="A633" s="17">
        <f>IF($C633="","",ROW()-3)</f>
        <v/>
      </c>
      <c r="B633" s="18" t="n"/>
      <c r="C633" s="13" t="n"/>
      <c r="D633" s="13" t="n"/>
      <c r="E633" s="17">
        <f>IF($C633="","",IFERROR(VLOOKUP($D633,工作归属,2,0),"※工作类型没选"))</f>
        <v/>
      </c>
      <c r="F633" s="13" t="n"/>
      <c r="G633" s="13" t="n"/>
      <c r="H633" s="20" t="n"/>
      <c r="I633" s="14" t="n"/>
      <c r="J633" s="19">
        <f>IF($C633="","",ROUND(IF($H633="",1,$H633)*N($I633),2))</f>
        <v/>
      </c>
      <c r="K633" s="13" t="n"/>
      <c r="L633" s="13" t="n"/>
      <c r="M633" s="17">
        <f>IF($C633="","",IF(ISNA(MATCH($C633,项目名表,0)),"※项目不在项目台账里",IF($E633="※工作类型没选","※工作类型没选","")))</f>
        <v/>
      </c>
    </row>
    <row r="634">
      <c r="A634" s="17">
        <f>IF($C634="","",ROW()-3)</f>
        <v/>
      </c>
      <c r="B634" s="18" t="n"/>
      <c r="C634" s="13" t="n"/>
      <c r="D634" s="13" t="n"/>
      <c r="E634" s="17">
        <f>IF($C634="","",IFERROR(VLOOKUP($D634,工作归属,2,0),"※工作类型没选"))</f>
        <v/>
      </c>
      <c r="F634" s="13" t="n"/>
      <c r="G634" s="13" t="n"/>
      <c r="H634" s="20" t="n"/>
      <c r="I634" s="14" t="n"/>
      <c r="J634" s="19">
        <f>IF($C634="","",ROUND(IF($H634="",1,$H634)*N($I634),2))</f>
        <v/>
      </c>
      <c r="K634" s="13" t="n"/>
      <c r="L634" s="13" t="n"/>
      <c r="M634" s="17">
        <f>IF($C634="","",IF(ISNA(MATCH($C634,项目名表,0)),"※项目不在项目台账里",IF($E634="※工作类型没选","※工作类型没选","")))</f>
        <v/>
      </c>
    </row>
    <row r="635">
      <c r="A635" s="17">
        <f>IF($C635="","",ROW()-3)</f>
        <v/>
      </c>
      <c r="B635" s="18" t="n"/>
      <c r="C635" s="13" t="n"/>
      <c r="D635" s="13" t="n"/>
      <c r="E635" s="17">
        <f>IF($C635="","",IFERROR(VLOOKUP($D635,工作归属,2,0),"※工作类型没选"))</f>
        <v/>
      </c>
      <c r="F635" s="13" t="n"/>
      <c r="G635" s="13" t="n"/>
      <c r="H635" s="20" t="n"/>
      <c r="I635" s="14" t="n"/>
      <c r="J635" s="19">
        <f>IF($C635="","",ROUND(IF($H635="",1,$H635)*N($I635),2))</f>
        <v/>
      </c>
      <c r="K635" s="13" t="n"/>
      <c r="L635" s="13" t="n"/>
      <c r="M635" s="17">
        <f>IF($C635="","",IF(ISNA(MATCH($C635,项目名表,0)),"※项目不在项目台账里",IF($E635="※工作类型没选","※工作类型没选","")))</f>
        <v/>
      </c>
    </row>
    <row r="636">
      <c r="A636" s="17">
        <f>IF($C636="","",ROW()-3)</f>
        <v/>
      </c>
      <c r="B636" s="18" t="n"/>
      <c r="C636" s="13" t="n"/>
      <c r="D636" s="13" t="n"/>
      <c r="E636" s="17">
        <f>IF($C636="","",IFERROR(VLOOKUP($D636,工作归属,2,0),"※工作类型没选"))</f>
        <v/>
      </c>
      <c r="F636" s="13" t="n"/>
      <c r="G636" s="13" t="n"/>
      <c r="H636" s="20" t="n"/>
      <c r="I636" s="14" t="n"/>
      <c r="J636" s="19">
        <f>IF($C636="","",ROUND(IF($H636="",1,$H636)*N($I636),2))</f>
        <v/>
      </c>
      <c r="K636" s="13" t="n"/>
      <c r="L636" s="13" t="n"/>
      <c r="M636" s="17">
        <f>IF($C636="","",IF(ISNA(MATCH($C636,项目名表,0)),"※项目不在项目台账里",IF($E636="※工作类型没选","※工作类型没选","")))</f>
        <v/>
      </c>
    </row>
    <row r="637">
      <c r="A637" s="17">
        <f>IF($C637="","",ROW()-3)</f>
        <v/>
      </c>
      <c r="B637" s="18" t="n"/>
      <c r="C637" s="13" t="n"/>
      <c r="D637" s="13" t="n"/>
      <c r="E637" s="17">
        <f>IF($C637="","",IFERROR(VLOOKUP($D637,工作归属,2,0),"※工作类型没选"))</f>
        <v/>
      </c>
      <c r="F637" s="13" t="n"/>
      <c r="G637" s="13" t="n"/>
      <c r="H637" s="20" t="n"/>
      <c r="I637" s="14" t="n"/>
      <c r="J637" s="19">
        <f>IF($C637="","",ROUND(IF($H637="",1,$H637)*N($I637),2))</f>
        <v/>
      </c>
      <c r="K637" s="13" t="n"/>
      <c r="L637" s="13" t="n"/>
      <c r="M637" s="17">
        <f>IF($C637="","",IF(ISNA(MATCH($C637,项目名表,0)),"※项目不在项目台账里",IF($E637="※工作类型没选","※工作类型没选","")))</f>
        <v/>
      </c>
    </row>
    <row r="638">
      <c r="A638" s="17">
        <f>IF($C638="","",ROW()-3)</f>
        <v/>
      </c>
      <c r="B638" s="18" t="n"/>
      <c r="C638" s="13" t="n"/>
      <c r="D638" s="13" t="n"/>
      <c r="E638" s="17">
        <f>IF($C638="","",IFERROR(VLOOKUP($D638,工作归属,2,0),"※工作类型没选"))</f>
        <v/>
      </c>
      <c r="F638" s="13" t="n"/>
      <c r="G638" s="13" t="n"/>
      <c r="H638" s="20" t="n"/>
      <c r="I638" s="14" t="n"/>
      <c r="J638" s="19">
        <f>IF($C638="","",ROUND(IF($H638="",1,$H638)*N($I638),2))</f>
        <v/>
      </c>
      <c r="K638" s="13" t="n"/>
      <c r="L638" s="13" t="n"/>
      <c r="M638" s="17">
        <f>IF($C638="","",IF(ISNA(MATCH($C638,项目名表,0)),"※项目不在项目台账里",IF($E638="※工作类型没选","※工作类型没选","")))</f>
        <v/>
      </c>
    </row>
    <row r="639">
      <c r="A639" s="17">
        <f>IF($C639="","",ROW()-3)</f>
        <v/>
      </c>
      <c r="B639" s="18" t="n"/>
      <c r="C639" s="13" t="n"/>
      <c r="D639" s="13" t="n"/>
      <c r="E639" s="17">
        <f>IF($C639="","",IFERROR(VLOOKUP($D639,工作归属,2,0),"※工作类型没选"))</f>
        <v/>
      </c>
      <c r="F639" s="13" t="n"/>
      <c r="G639" s="13" t="n"/>
      <c r="H639" s="20" t="n"/>
      <c r="I639" s="14" t="n"/>
      <c r="J639" s="19">
        <f>IF($C639="","",ROUND(IF($H639="",1,$H639)*N($I639),2))</f>
        <v/>
      </c>
      <c r="K639" s="13" t="n"/>
      <c r="L639" s="13" t="n"/>
      <c r="M639" s="17">
        <f>IF($C639="","",IF(ISNA(MATCH($C639,项目名表,0)),"※项目不在项目台账里",IF($E639="※工作类型没选","※工作类型没选","")))</f>
        <v/>
      </c>
    </row>
    <row r="640">
      <c r="A640" s="17">
        <f>IF($C640="","",ROW()-3)</f>
        <v/>
      </c>
      <c r="B640" s="18" t="n"/>
      <c r="C640" s="13" t="n"/>
      <c r="D640" s="13" t="n"/>
      <c r="E640" s="17">
        <f>IF($C640="","",IFERROR(VLOOKUP($D640,工作归属,2,0),"※工作类型没选"))</f>
        <v/>
      </c>
      <c r="F640" s="13" t="n"/>
      <c r="G640" s="13" t="n"/>
      <c r="H640" s="20" t="n"/>
      <c r="I640" s="14" t="n"/>
      <c r="J640" s="19">
        <f>IF($C640="","",ROUND(IF($H640="",1,$H640)*N($I640),2))</f>
        <v/>
      </c>
      <c r="K640" s="13" t="n"/>
      <c r="L640" s="13" t="n"/>
      <c r="M640" s="17">
        <f>IF($C640="","",IF(ISNA(MATCH($C640,项目名表,0)),"※项目不在项目台账里",IF($E640="※工作类型没选","※工作类型没选","")))</f>
        <v/>
      </c>
    </row>
    <row r="641">
      <c r="A641" s="17">
        <f>IF($C641="","",ROW()-3)</f>
        <v/>
      </c>
      <c r="B641" s="18" t="n"/>
      <c r="C641" s="13" t="n"/>
      <c r="D641" s="13" t="n"/>
      <c r="E641" s="17">
        <f>IF($C641="","",IFERROR(VLOOKUP($D641,工作归属,2,0),"※工作类型没选"))</f>
        <v/>
      </c>
      <c r="F641" s="13" t="n"/>
      <c r="G641" s="13" t="n"/>
      <c r="H641" s="20" t="n"/>
      <c r="I641" s="14" t="n"/>
      <c r="J641" s="19">
        <f>IF($C641="","",ROUND(IF($H641="",1,$H641)*N($I641),2))</f>
        <v/>
      </c>
      <c r="K641" s="13" t="n"/>
      <c r="L641" s="13" t="n"/>
      <c r="M641" s="17">
        <f>IF($C641="","",IF(ISNA(MATCH($C641,项目名表,0)),"※项目不在项目台账里",IF($E641="※工作类型没选","※工作类型没选","")))</f>
        <v/>
      </c>
    </row>
    <row r="642">
      <c r="A642" s="17">
        <f>IF($C642="","",ROW()-3)</f>
        <v/>
      </c>
      <c r="B642" s="18" t="n"/>
      <c r="C642" s="13" t="n"/>
      <c r="D642" s="13" t="n"/>
      <c r="E642" s="17">
        <f>IF($C642="","",IFERROR(VLOOKUP($D642,工作归属,2,0),"※工作类型没选"))</f>
        <v/>
      </c>
      <c r="F642" s="13" t="n"/>
      <c r="G642" s="13" t="n"/>
      <c r="H642" s="20" t="n"/>
      <c r="I642" s="14" t="n"/>
      <c r="J642" s="19">
        <f>IF($C642="","",ROUND(IF($H642="",1,$H642)*N($I642),2))</f>
        <v/>
      </c>
      <c r="K642" s="13" t="n"/>
      <c r="L642" s="13" t="n"/>
      <c r="M642" s="17">
        <f>IF($C642="","",IF(ISNA(MATCH($C642,项目名表,0)),"※项目不在项目台账里",IF($E642="※工作类型没选","※工作类型没选","")))</f>
        <v/>
      </c>
    </row>
    <row r="643">
      <c r="A643" s="17">
        <f>IF($C643="","",ROW()-3)</f>
        <v/>
      </c>
      <c r="B643" s="18" t="n"/>
      <c r="C643" s="13" t="n"/>
      <c r="D643" s="13" t="n"/>
      <c r="E643" s="17">
        <f>IF($C643="","",IFERROR(VLOOKUP($D643,工作归属,2,0),"※工作类型没选"))</f>
        <v/>
      </c>
      <c r="F643" s="13" t="n"/>
      <c r="G643" s="13" t="n"/>
      <c r="H643" s="20" t="n"/>
      <c r="I643" s="14" t="n"/>
      <c r="J643" s="19">
        <f>IF($C643="","",ROUND(IF($H643="",1,$H643)*N($I643),2))</f>
        <v/>
      </c>
      <c r="K643" s="13" t="n"/>
      <c r="L643" s="13" t="n"/>
      <c r="M643" s="17">
        <f>IF($C643="","",IF(ISNA(MATCH($C643,项目名表,0)),"※项目不在项目台账里",IF($E643="※工作类型没选","※工作类型没选","")))</f>
        <v/>
      </c>
    </row>
    <row r="644">
      <c r="A644" s="17">
        <f>IF($C644="","",ROW()-3)</f>
        <v/>
      </c>
      <c r="B644" s="18" t="n"/>
      <c r="C644" s="13" t="n"/>
      <c r="D644" s="13" t="n"/>
      <c r="E644" s="17">
        <f>IF($C644="","",IFERROR(VLOOKUP($D644,工作归属,2,0),"※工作类型没选"))</f>
        <v/>
      </c>
      <c r="F644" s="13" t="n"/>
      <c r="G644" s="13" t="n"/>
      <c r="H644" s="20" t="n"/>
      <c r="I644" s="14" t="n"/>
      <c r="J644" s="19">
        <f>IF($C644="","",ROUND(IF($H644="",1,$H644)*N($I644),2))</f>
        <v/>
      </c>
      <c r="K644" s="13" t="n"/>
      <c r="L644" s="13" t="n"/>
      <c r="M644" s="17">
        <f>IF($C644="","",IF(ISNA(MATCH($C644,项目名表,0)),"※项目不在项目台账里",IF($E644="※工作类型没选","※工作类型没选","")))</f>
        <v/>
      </c>
    </row>
    <row r="645">
      <c r="A645" s="17">
        <f>IF($C645="","",ROW()-3)</f>
        <v/>
      </c>
      <c r="B645" s="18" t="n"/>
      <c r="C645" s="13" t="n"/>
      <c r="D645" s="13" t="n"/>
      <c r="E645" s="17">
        <f>IF($C645="","",IFERROR(VLOOKUP($D645,工作归属,2,0),"※工作类型没选"))</f>
        <v/>
      </c>
      <c r="F645" s="13" t="n"/>
      <c r="G645" s="13" t="n"/>
      <c r="H645" s="20" t="n"/>
      <c r="I645" s="14" t="n"/>
      <c r="J645" s="19">
        <f>IF($C645="","",ROUND(IF($H645="",1,$H645)*N($I645),2))</f>
        <v/>
      </c>
      <c r="K645" s="13" t="n"/>
      <c r="L645" s="13" t="n"/>
      <c r="M645" s="17">
        <f>IF($C645="","",IF(ISNA(MATCH($C645,项目名表,0)),"※项目不在项目台账里",IF($E645="※工作类型没选","※工作类型没选","")))</f>
        <v/>
      </c>
    </row>
    <row r="646">
      <c r="A646" s="17">
        <f>IF($C646="","",ROW()-3)</f>
        <v/>
      </c>
      <c r="B646" s="18" t="n"/>
      <c r="C646" s="13" t="n"/>
      <c r="D646" s="13" t="n"/>
      <c r="E646" s="17">
        <f>IF($C646="","",IFERROR(VLOOKUP($D646,工作归属,2,0),"※工作类型没选"))</f>
        <v/>
      </c>
      <c r="F646" s="13" t="n"/>
      <c r="G646" s="13" t="n"/>
      <c r="H646" s="20" t="n"/>
      <c r="I646" s="14" t="n"/>
      <c r="J646" s="19">
        <f>IF($C646="","",ROUND(IF($H646="",1,$H646)*N($I646),2))</f>
        <v/>
      </c>
      <c r="K646" s="13" t="n"/>
      <c r="L646" s="13" t="n"/>
      <c r="M646" s="17">
        <f>IF($C646="","",IF(ISNA(MATCH($C646,项目名表,0)),"※项目不在项目台账里",IF($E646="※工作类型没选","※工作类型没选","")))</f>
        <v/>
      </c>
    </row>
    <row r="647">
      <c r="A647" s="17">
        <f>IF($C647="","",ROW()-3)</f>
        <v/>
      </c>
      <c r="B647" s="18" t="n"/>
      <c r="C647" s="13" t="n"/>
      <c r="D647" s="13" t="n"/>
      <c r="E647" s="17">
        <f>IF($C647="","",IFERROR(VLOOKUP($D647,工作归属,2,0),"※工作类型没选"))</f>
        <v/>
      </c>
      <c r="F647" s="13" t="n"/>
      <c r="G647" s="13" t="n"/>
      <c r="H647" s="20" t="n"/>
      <c r="I647" s="14" t="n"/>
      <c r="J647" s="19">
        <f>IF($C647="","",ROUND(IF($H647="",1,$H647)*N($I647),2))</f>
        <v/>
      </c>
      <c r="K647" s="13" t="n"/>
      <c r="L647" s="13" t="n"/>
      <c r="M647" s="17">
        <f>IF($C647="","",IF(ISNA(MATCH($C647,项目名表,0)),"※项目不在项目台账里",IF($E647="※工作类型没选","※工作类型没选","")))</f>
        <v/>
      </c>
    </row>
    <row r="648">
      <c r="A648" s="17">
        <f>IF($C648="","",ROW()-3)</f>
        <v/>
      </c>
      <c r="B648" s="18" t="n"/>
      <c r="C648" s="13" t="n"/>
      <c r="D648" s="13" t="n"/>
      <c r="E648" s="17">
        <f>IF($C648="","",IFERROR(VLOOKUP($D648,工作归属,2,0),"※工作类型没选"))</f>
        <v/>
      </c>
      <c r="F648" s="13" t="n"/>
      <c r="G648" s="13" t="n"/>
      <c r="H648" s="20" t="n"/>
      <c r="I648" s="14" t="n"/>
      <c r="J648" s="19">
        <f>IF($C648="","",ROUND(IF($H648="",1,$H648)*N($I648),2))</f>
        <v/>
      </c>
      <c r="K648" s="13" t="n"/>
      <c r="L648" s="13" t="n"/>
      <c r="M648" s="17">
        <f>IF($C648="","",IF(ISNA(MATCH($C648,项目名表,0)),"※项目不在项目台账里",IF($E648="※工作类型没选","※工作类型没选","")))</f>
        <v/>
      </c>
    </row>
    <row r="649">
      <c r="A649" s="17">
        <f>IF($C649="","",ROW()-3)</f>
        <v/>
      </c>
      <c r="B649" s="18" t="n"/>
      <c r="C649" s="13" t="n"/>
      <c r="D649" s="13" t="n"/>
      <c r="E649" s="17">
        <f>IF($C649="","",IFERROR(VLOOKUP($D649,工作归属,2,0),"※工作类型没选"))</f>
        <v/>
      </c>
      <c r="F649" s="13" t="n"/>
      <c r="G649" s="13" t="n"/>
      <c r="H649" s="20" t="n"/>
      <c r="I649" s="14" t="n"/>
      <c r="J649" s="19">
        <f>IF($C649="","",ROUND(IF($H649="",1,$H649)*N($I649),2))</f>
        <v/>
      </c>
      <c r="K649" s="13" t="n"/>
      <c r="L649" s="13" t="n"/>
      <c r="M649" s="17">
        <f>IF($C649="","",IF(ISNA(MATCH($C649,项目名表,0)),"※项目不在项目台账里",IF($E649="※工作类型没选","※工作类型没选","")))</f>
        <v/>
      </c>
    </row>
    <row r="650">
      <c r="A650" s="17">
        <f>IF($C650="","",ROW()-3)</f>
        <v/>
      </c>
      <c r="B650" s="18" t="n"/>
      <c r="C650" s="13" t="n"/>
      <c r="D650" s="13" t="n"/>
      <c r="E650" s="17">
        <f>IF($C650="","",IFERROR(VLOOKUP($D650,工作归属,2,0),"※工作类型没选"))</f>
        <v/>
      </c>
      <c r="F650" s="13" t="n"/>
      <c r="G650" s="13" t="n"/>
      <c r="H650" s="20" t="n"/>
      <c r="I650" s="14" t="n"/>
      <c r="J650" s="19">
        <f>IF($C650="","",ROUND(IF($H650="",1,$H650)*N($I650),2))</f>
        <v/>
      </c>
      <c r="K650" s="13" t="n"/>
      <c r="L650" s="13" t="n"/>
      <c r="M650" s="17">
        <f>IF($C650="","",IF(ISNA(MATCH($C650,项目名表,0)),"※项目不在项目台账里",IF($E650="※工作类型没选","※工作类型没选","")))</f>
        <v/>
      </c>
    </row>
    <row r="651">
      <c r="A651" s="17">
        <f>IF($C651="","",ROW()-3)</f>
        <v/>
      </c>
      <c r="B651" s="18" t="n"/>
      <c r="C651" s="13" t="n"/>
      <c r="D651" s="13" t="n"/>
      <c r="E651" s="17">
        <f>IF($C651="","",IFERROR(VLOOKUP($D651,工作归属,2,0),"※工作类型没选"))</f>
        <v/>
      </c>
      <c r="F651" s="13" t="n"/>
      <c r="G651" s="13" t="n"/>
      <c r="H651" s="20" t="n"/>
      <c r="I651" s="14" t="n"/>
      <c r="J651" s="19">
        <f>IF($C651="","",ROUND(IF($H651="",1,$H651)*N($I651),2))</f>
        <v/>
      </c>
      <c r="K651" s="13" t="n"/>
      <c r="L651" s="13" t="n"/>
      <c r="M651" s="17">
        <f>IF($C651="","",IF(ISNA(MATCH($C651,项目名表,0)),"※项目不在项目台账里",IF($E651="※工作类型没选","※工作类型没选","")))</f>
        <v/>
      </c>
    </row>
    <row r="652">
      <c r="A652" s="17">
        <f>IF($C652="","",ROW()-3)</f>
        <v/>
      </c>
      <c r="B652" s="18" t="n"/>
      <c r="C652" s="13" t="n"/>
      <c r="D652" s="13" t="n"/>
      <c r="E652" s="17">
        <f>IF($C652="","",IFERROR(VLOOKUP($D652,工作归属,2,0),"※工作类型没选"))</f>
        <v/>
      </c>
      <c r="F652" s="13" t="n"/>
      <c r="G652" s="13" t="n"/>
      <c r="H652" s="20" t="n"/>
      <c r="I652" s="14" t="n"/>
      <c r="J652" s="19">
        <f>IF($C652="","",ROUND(IF($H652="",1,$H652)*N($I652),2))</f>
        <v/>
      </c>
      <c r="K652" s="13" t="n"/>
      <c r="L652" s="13" t="n"/>
      <c r="M652" s="17">
        <f>IF($C652="","",IF(ISNA(MATCH($C652,项目名表,0)),"※项目不在项目台账里",IF($E652="※工作类型没选","※工作类型没选","")))</f>
        <v/>
      </c>
    </row>
    <row r="653">
      <c r="A653" s="17">
        <f>IF($C653="","",ROW()-3)</f>
        <v/>
      </c>
      <c r="B653" s="18" t="n"/>
      <c r="C653" s="13" t="n"/>
      <c r="D653" s="13" t="n"/>
      <c r="E653" s="17">
        <f>IF($C653="","",IFERROR(VLOOKUP($D653,工作归属,2,0),"※工作类型没选"))</f>
        <v/>
      </c>
      <c r="F653" s="13" t="n"/>
      <c r="G653" s="13" t="n"/>
      <c r="H653" s="20" t="n"/>
      <c r="I653" s="14" t="n"/>
      <c r="J653" s="19">
        <f>IF($C653="","",ROUND(IF($H653="",1,$H653)*N($I653),2))</f>
        <v/>
      </c>
      <c r="K653" s="13" t="n"/>
      <c r="L653" s="13" t="n"/>
      <c r="M653" s="17">
        <f>IF($C653="","",IF(ISNA(MATCH($C653,项目名表,0)),"※项目不在项目台账里",IF($E653="※工作类型没选","※工作类型没选","")))</f>
        <v/>
      </c>
    </row>
    <row r="654">
      <c r="A654" s="17">
        <f>IF($C654="","",ROW()-3)</f>
        <v/>
      </c>
      <c r="B654" s="18" t="n"/>
      <c r="C654" s="13" t="n"/>
      <c r="D654" s="13" t="n"/>
      <c r="E654" s="17">
        <f>IF($C654="","",IFERROR(VLOOKUP($D654,工作归属,2,0),"※工作类型没选"))</f>
        <v/>
      </c>
      <c r="F654" s="13" t="n"/>
      <c r="G654" s="13" t="n"/>
      <c r="H654" s="20" t="n"/>
      <c r="I654" s="14" t="n"/>
      <c r="J654" s="19">
        <f>IF($C654="","",ROUND(IF($H654="",1,$H654)*N($I654),2))</f>
        <v/>
      </c>
      <c r="K654" s="13" t="n"/>
      <c r="L654" s="13" t="n"/>
      <c r="M654" s="17">
        <f>IF($C654="","",IF(ISNA(MATCH($C654,项目名表,0)),"※项目不在项目台账里",IF($E654="※工作类型没选","※工作类型没选","")))</f>
        <v/>
      </c>
    </row>
    <row r="655">
      <c r="A655" s="17">
        <f>IF($C655="","",ROW()-3)</f>
        <v/>
      </c>
      <c r="B655" s="18" t="n"/>
      <c r="C655" s="13" t="n"/>
      <c r="D655" s="13" t="n"/>
      <c r="E655" s="17">
        <f>IF($C655="","",IFERROR(VLOOKUP($D655,工作归属,2,0),"※工作类型没选"))</f>
        <v/>
      </c>
      <c r="F655" s="13" t="n"/>
      <c r="G655" s="13" t="n"/>
      <c r="H655" s="20" t="n"/>
      <c r="I655" s="14" t="n"/>
      <c r="J655" s="19">
        <f>IF($C655="","",ROUND(IF($H655="",1,$H655)*N($I655),2))</f>
        <v/>
      </c>
      <c r="K655" s="13" t="n"/>
      <c r="L655" s="13" t="n"/>
      <c r="M655" s="17">
        <f>IF($C655="","",IF(ISNA(MATCH($C655,项目名表,0)),"※项目不在项目台账里",IF($E655="※工作类型没选","※工作类型没选","")))</f>
        <v/>
      </c>
    </row>
    <row r="656">
      <c r="A656" s="17">
        <f>IF($C656="","",ROW()-3)</f>
        <v/>
      </c>
      <c r="B656" s="18" t="n"/>
      <c r="C656" s="13" t="n"/>
      <c r="D656" s="13" t="n"/>
      <c r="E656" s="17">
        <f>IF($C656="","",IFERROR(VLOOKUP($D656,工作归属,2,0),"※工作类型没选"))</f>
        <v/>
      </c>
      <c r="F656" s="13" t="n"/>
      <c r="G656" s="13" t="n"/>
      <c r="H656" s="20" t="n"/>
      <c r="I656" s="14" t="n"/>
      <c r="J656" s="19">
        <f>IF($C656="","",ROUND(IF($H656="",1,$H656)*N($I656),2))</f>
        <v/>
      </c>
      <c r="K656" s="13" t="n"/>
      <c r="L656" s="13" t="n"/>
      <c r="M656" s="17">
        <f>IF($C656="","",IF(ISNA(MATCH($C656,项目名表,0)),"※项目不在项目台账里",IF($E656="※工作类型没选","※工作类型没选","")))</f>
        <v/>
      </c>
    </row>
    <row r="657">
      <c r="A657" s="17">
        <f>IF($C657="","",ROW()-3)</f>
        <v/>
      </c>
      <c r="B657" s="18" t="n"/>
      <c r="C657" s="13" t="n"/>
      <c r="D657" s="13" t="n"/>
      <c r="E657" s="17">
        <f>IF($C657="","",IFERROR(VLOOKUP($D657,工作归属,2,0),"※工作类型没选"))</f>
        <v/>
      </c>
      <c r="F657" s="13" t="n"/>
      <c r="G657" s="13" t="n"/>
      <c r="H657" s="20" t="n"/>
      <c r="I657" s="14" t="n"/>
      <c r="J657" s="19">
        <f>IF($C657="","",ROUND(IF($H657="",1,$H657)*N($I657),2))</f>
        <v/>
      </c>
      <c r="K657" s="13" t="n"/>
      <c r="L657" s="13" t="n"/>
      <c r="M657" s="17">
        <f>IF($C657="","",IF(ISNA(MATCH($C657,项目名表,0)),"※项目不在项目台账里",IF($E657="※工作类型没选","※工作类型没选","")))</f>
        <v/>
      </c>
    </row>
    <row r="658">
      <c r="A658" s="17">
        <f>IF($C658="","",ROW()-3)</f>
        <v/>
      </c>
      <c r="B658" s="18" t="n"/>
      <c r="C658" s="13" t="n"/>
      <c r="D658" s="13" t="n"/>
      <c r="E658" s="17">
        <f>IF($C658="","",IFERROR(VLOOKUP($D658,工作归属,2,0),"※工作类型没选"))</f>
        <v/>
      </c>
      <c r="F658" s="13" t="n"/>
      <c r="G658" s="13" t="n"/>
      <c r="H658" s="20" t="n"/>
      <c r="I658" s="14" t="n"/>
      <c r="J658" s="19">
        <f>IF($C658="","",ROUND(IF($H658="",1,$H658)*N($I658),2))</f>
        <v/>
      </c>
      <c r="K658" s="13" t="n"/>
      <c r="L658" s="13" t="n"/>
      <c r="M658" s="17">
        <f>IF($C658="","",IF(ISNA(MATCH($C658,项目名表,0)),"※项目不在项目台账里",IF($E658="※工作类型没选","※工作类型没选","")))</f>
        <v/>
      </c>
    </row>
    <row r="659">
      <c r="A659" s="17">
        <f>IF($C659="","",ROW()-3)</f>
        <v/>
      </c>
      <c r="B659" s="18" t="n"/>
      <c r="C659" s="13" t="n"/>
      <c r="D659" s="13" t="n"/>
      <c r="E659" s="17">
        <f>IF($C659="","",IFERROR(VLOOKUP($D659,工作归属,2,0),"※工作类型没选"))</f>
        <v/>
      </c>
      <c r="F659" s="13" t="n"/>
      <c r="G659" s="13" t="n"/>
      <c r="H659" s="20" t="n"/>
      <c r="I659" s="14" t="n"/>
      <c r="J659" s="19">
        <f>IF($C659="","",ROUND(IF($H659="",1,$H659)*N($I659),2))</f>
        <v/>
      </c>
      <c r="K659" s="13" t="n"/>
      <c r="L659" s="13" t="n"/>
      <c r="M659" s="17">
        <f>IF($C659="","",IF(ISNA(MATCH($C659,项目名表,0)),"※项目不在项目台账里",IF($E659="※工作类型没选","※工作类型没选","")))</f>
        <v/>
      </c>
    </row>
    <row r="660">
      <c r="A660" s="17">
        <f>IF($C660="","",ROW()-3)</f>
        <v/>
      </c>
      <c r="B660" s="18" t="n"/>
      <c r="C660" s="13" t="n"/>
      <c r="D660" s="13" t="n"/>
      <c r="E660" s="17">
        <f>IF($C660="","",IFERROR(VLOOKUP($D660,工作归属,2,0),"※工作类型没选"))</f>
        <v/>
      </c>
      <c r="F660" s="13" t="n"/>
      <c r="G660" s="13" t="n"/>
      <c r="H660" s="20" t="n"/>
      <c r="I660" s="14" t="n"/>
      <c r="J660" s="19">
        <f>IF($C660="","",ROUND(IF($H660="",1,$H660)*N($I660),2))</f>
        <v/>
      </c>
      <c r="K660" s="13" t="n"/>
      <c r="L660" s="13" t="n"/>
      <c r="M660" s="17">
        <f>IF($C660="","",IF(ISNA(MATCH($C660,项目名表,0)),"※项目不在项目台账里",IF($E660="※工作类型没选","※工作类型没选","")))</f>
        <v/>
      </c>
    </row>
    <row r="661">
      <c r="A661" s="17">
        <f>IF($C661="","",ROW()-3)</f>
        <v/>
      </c>
      <c r="B661" s="18" t="n"/>
      <c r="C661" s="13" t="n"/>
      <c r="D661" s="13" t="n"/>
      <c r="E661" s="17">
        <f>IF($C661="","",IFERROR(VLOOKUP($D661,工作归属,2,0),"※工作类型没选"))</f>
        <v/>
      </c>
      <c r="F661" s="13" t="n"/>
      <c r="G661" s="13" t="n"/>
      <c r="H661" s="20" t="n"/>
      <c r="I661" s="14" t="n"/>
      <c r="J661" s="19">
        <f>IF($C661="","",ROUND(IF($H661="",1,$H661)*N($I661),2))</f>
        <v/>
      </c>
      <c r="K661" s="13" t="n"/>
      <c r="L661" s="13" t="n"/>
      <c r="M661" s="17">
        <f>IF($C661="","",IF(ISNA(MATCH($C661,项目名表,0)),"※项目不在项目台账里",IF($E661="※工作类型没选","※工作类型没选","")))</f>
        <v/>
      </c>
    </row>
    <row r="662">
      <c r="A662" s="17">
        <f>IF($C662="","",ROW()-3)</f>
        <v/>
      </c>
      <c r="B662" s="18" t="n"/>
      <c r="C662" s="13" t="n"/>
      <c r="D662" s="13" t="n"/>
      <c r="E662" s="17">
        <f>IF($C662="","",IFERROR(VLOOKUP($D662,工作归属,2,0),"※工作类型没选"))</f>
        <v/>
      </c>
      <c r="F662" s="13" t="n"/>
      <c r="G662" s="13" t="n"/>
      <c r="H662" s="20" t="n"/>
      <c r="I662" s="14" t="n"/>
      <c r="J662" s="19">
        <f>IF($C662="","",ROUND(IF($H662="",1,$H662)*N($I662),2))</f>
        <v/>
      </c>
      <c r="K662" s="13" t="n"/>
      <c r="L662" s="13" t="n"/>
      <c r="M662" s="17">
        <f>IF($C662="","",IF(ISNA(MATCH($C662,项目名表,0)),"※项目不在项目台账里",IF($E662="※工作类型没选","※工作类型没选","")))</f>
        <v/>
      </c>
    </row>
    <row r="663">
      <c r="A663" s="17">
        <f>IF($C663="","",ROW()-3)</f>
        <v/>
      </c>
      <c r="B663" s="18" t="n"/>
      <c r="C663" s="13" t="n"/>
      <c r="D663" s="13" t="n"/>
      <c r="E663" s="17">
        <f>IF($C663="","",IFERROR(VLOOKUP($D663,工作归属,2,0),"※工作类型没选"))</f>
        <v/>
      </c>
      <c r="F663" s="13" t="n"/>
      <c r="G663" s="13" t="n"/>
      <c r="H663" s="20" t="n"/>
      <c r="I663" s="14" t="n"/>
      <c r="J663" s="19">
        <f>IF($C663="","",ROUND(IF($H663="",1,$H663)*N($I663),2))</f>
        <v/>
      </c>
      <c r="K663" s="13" t="n"/>
      <c r="L663" s="13" t="n"/>
      <c r="M663" s="17">
        <f>IF($C663="","",IF(ISNA(MATCH($C663,项目名表,0)),"※项目不在项目台账里",IF($E663="※工作类型没选","※工作类型没选","")))</f>
        <v/>
      </c>
    </row>
    <row r="664">
      <c r="A664" s="17">
        <f>IF($C664="","",ROW()-3)</f>
        <v/>
      </c>
      <c r="B664" s="18" t="n"/>
      <c r="C664" s="13" t="n"/>
      <c r="D664" s="13" t="n"/>
      <c r="E664" s="17">
        <f>IF($C664="","",IFERROR(VLOOKUP($D664,工作归属,2,0),"※工作类型没选"))</f>
        <v/>
      </c>
      <c r="F664" s="13" t="n"/>
      <c r="G664" s="13" t="n"/>
      <c r="H664" s="20" t="n"/>
      <c r="I664" s="14" t="n"/>
      <c r="J664" s="19">
        <f>IF($C664="","",ROUND(IF($H664="",1,$H664)*N($I664),2))</f>
        <v/>
      </c>
      <c r="K664" s="13" t="n"/>
      <c r="L664" s="13" t="n"/>
      <c r="M664" s="17">
        <f>IF($C664="","",IF(ISNA(MATCH($C664,项目名表,0)),"※项目不在项目台账里",IF($E664="※工作类型没选","※工作类型没选","")))</f>
        <v/>
      </c>
    </row>
    <row r="665">
      <c r="A665" s="17">
        <f>IF($C665="","",ROW()-3)</f>
        <v/>
      </c>
      <c r="B665" s="18" t="n"/>
      <c r="C665" s="13" t="n"/>
      <c r="D665" s="13" t="n"/>
      <c r="E665" s="17">
        <f>IF($C665="","",IFERROR(VLOOKUP($D665,工作归属,2,0),"※工作类型没选"))</f>
        <v/>
      </c>
      <c r="F665" s="13" t="n"/>
      <c r="G665" s="13" t="n"/>
      <c r="H665" s="20" t="n"/>
      <c r="I665" s="14" t="n"/>
      <c r="J665" s="19">
        <f>IF($C665="","",ROUND(IF($H665="",1,$H665)*N($I665),2))</f>
        <v/>
      </c>
      <c r="K665" s="13" t="n"/>
      <c r="L665" s="13" t="n"/>
      <c r="M665" s="17">
        <f>IF($C665="","",IF(ISNA(MATCH($C665,项目名表,0)),"※项目不在项目台账里",IF($E665="※工作类型没选","※工作类型没选","")))</f>
        <v/>
      </c>
    </row>
    <row r="666">
      <c r="A666" s="17">
        <f>IF($C666="","",ROW()-3)</f>
        <v/>
      </c>
      <c r="B666" s="18" t="n"/>
      <c r="C666" s="13" t="n"/>
      <c r="D666" s="13" t="n"/>
      <c r="E666" s="17">
        <f>IF($C666="","",IFERROR(VLOOKUP($D666,工作归属,2,0),"※工作类型没选"))</f>
        <v/>
      </c>
      <c r="F666" s="13" t="n"/>
      <c r="G666" s="13" t="n"/>
      <c r="H666" s="20" t="n"/>
      <c r="I666" s="14" t="n"/>
      <c r="J666" s="19">
        <f>IF($C666="","",ROUND(IF($H666="",1,$H666)*N($I666),2))</f>
        <v/>
      </c>
      <c r="K666" s="13" t="n"/>
      <c r="L666" s="13" t="n"/>
      <c r="M666" s="17">
        <f>IF($C666="","",IF(ISNA(MATCH($C666,项目名表,0)),"※项目不在项目台账里",IF($E666="※工作类型没选","※工作类型没选","")))</f>
        <v/>
      </c>
    </row>
    <row r="667">
      <c r="A667" s="17">
        <f>IF($C667="","",ROW()-3)</f>
        <v/>
      </c>
      <c r="B667" s="18" t="n"/>
      <c r="C667" s="13" t="n"/>
      <c r="D667" s="13" t="n"/>
      <c r="E667" s="17">
        <f>IF($C667="","",IFERROR(VLOOKUP($D667,工作归属,2,0),"※工作类型没选"))</f>
        <v/>
      </c>
      <c r="F667" s="13" t="n"/>
      <c r="G667" s="13" t="n"/>
      <c r="H667" s="20" t="n"/>
      <c r="I667" s="14" t="n"/>
      <c r="J667" s="19">
        <f>IF($C667="","",ROUND(IF($H667="",1,$H667)*N($I667),2))</f>
        <v/>
      </c>
      <c r="K667" s="13" t="n"/>
      <c r="L667" s="13" t="n"/>
      <c r="M667" s="17">
        <f>IF($C667="","",IF(ISNA(MATCH($C667,项目名表,0)),"※项目不在项目台账里",IF($E667="※工作类型没选","※工作类型没选","")))</f>
        <v/>
      </c>
    </row>
    <row r="668">
      <c r="A668" s="17">
        <f>IF($C668="","",ROW()-3)</f>
        <v/>
      </c>
      <c r="B668" s="18" t="n"/>
      <c r="C668" s="13" t="n"/>
      <c r="D668" s="13" t="n"/>
      <c r="E668" s="17">
        <f>IF($C668="","",IFERROR(VLOOKUP($D668,工作归属,2,0),"※工作类型没选"))</f>
        <v/>
      </c>
      <c r="F668" s="13" t="n"/>
      <c r="G668" s="13" t="n"/>
      <c r="H668" s="20" t="n"/>
      <c r="I668" s="14" t="n"/>
      <c r="J668" s="19">
        <f>IF($C668="","",ROUND(IF($H668="",1,$H668)*N($I668),2))</f>
        <v/>
      </c>
      <c r="K668" s="13" t="n"/>
      <c r="L668" s="13" t="n"/>
      <c r="M668" s="17">
        <f>IF($C668="","",IF(ISNA(MATCH($C668,项目名表,0)),"※项目不在项目台账里",IF($E668="※工作类型没选","※工作类型没选","")))</f>
        <v/>
      </c>
    </row>
    <row r="669">
      <c r="A669" s="17">
        <f>IF($C669="","",ROW()-3)</f>
        <v/>
      </c>
      <c r="B669" s="18" t="n"/>
      <c r="C669" s="13" t="n"/>
      <c r="D669" s="13" t="n"/>
      <c r="E669" s="17">
        <f>IF($C669="","",IFERROR(VLOOKUP($D669,工作归属,2,0),"※工作类型没选"))</f>
        <v/>
      </c>
      <c r="F669" s="13" t="n"/>
      <c r="G669" s="13" t="n"/>
      <c r="H669" s="20" t="n"/>
      <c r="I669" s="14" t="n"/>
      <c r="J669" s="19">
        <f>IF($C669="","",ROUND(IF($H669="",1,$H669)*N($I669),2))</f>
        <v/>
      </c>
      <c r="K669" s="13" t="n"/>
      <c r="L669" s="13" t="n"/>
      <c r="M669" s="17">
        <f>IF($C669="","",IF(ISNA(MATCH($C669,项目名表,0)),"※项目不在项目台账里",IF($E669="※工作类型没选","※工作类型没选","")))</f>
        <v/>
      </c>
    </row>
    <row r="670">
      <c r="A670" s="17">
        <f>IF($C670="","",ROW()-3)</f>
        <v/>
      </c>
      <c r="B670" s="18" t="n"/>
      <c r="C670" s="13" t="n"/>
      <c r="D670" s="13" t="n"/>
      <c r="E670" s="17">
        <f>IF($C670="","",IFERROR(VLOOKUP($D670,工作归属,2,0),"※工作类型没选"))</f>
        <v/>
      </c>
      <c r="F670" s="13" t="n"/>
      <c r="G670" s="13" t="n"/>
      <c r="H670" s="20" t="n"/>
      <c r="I670" s="14" t="n"/>
      <c r="J670" s="19">
        <f>IF($C670="","",ROUND(IF($H670="",1,$H670)*N($I670),2))</f>
        <v/>
      </c>
      <c r="K670" s="13" t="n"/>
      <c r="L670" s="13" t="n"/>
      <c r="M670" s="17">
        <f>IF($C670="","",IF(ISNA(MATCH($C670,项目名表,0)),"※项目不在项目台账里",IF($E670="※工作类型没选","※工作类型没选","")))</f>
        <v/>
      </c>
    </row>
    <row r="671">
      <c r="A671" s="17">
        <f>IF($C671="","",ROW()-3)</f>
        <v/>
      </c>
      <c r="B671" s="18" t="n"/>
      <c r="C671" s="13" t="n"/>
      <c r="D671" s="13" t="n"/>
      <c r="E671" s="17">
        <f>IF($C671="","",IFERROR(VLOOKUP($D671,工作归属,2,0),"※工作类型没选"))</f>
        <v/>
      </c>
      <c r="F671" s="13" t="n"/>
      <c r="G671" s="13" t="n"/>
      <c r="H671" s="20" t="n"/>
      <c r="I671" s="14" t="n"/>
      <c r="J671" s="19">
        <f>IF($C671="","",ROUND(IF($H671="",1,$H671)*N($I671),2))</f>
        <v/>
      </c>
      <c r="K671" s="13" t="n"/>
      <c r="L671" s="13" t="n"/>
      <c r="M671" s="17">
        <f>IF($C671="","",IF(ISNA(MATCH($C671,项目名表,0)),"※项目不在项目台账里",IF($E671="※工作类型没选","※工作类型没选","")))</f>
        <v/>
      </c>
    </row>
    <row r="672">
      <c r="A672" s="17">
        <f>IF($C672="","",ROW()-3)</f>
        <v/>
      </c>
      <c r="B672" s="18" t="n"/>
      <c r="C672" s="13" t="n"/>
      <c r="D672" s="13" t="n"/>
      <c r="E672" s="17">
        <f>IF($C672="","",IFERROR(VLOOKUP($D672,工作归属,2,0),"※工作类型没选"))</f>
        <v/>
      </c>
      <c r="F672" s="13" t="n"/>
      <c r="G672" s="13" t="n"/>
      <c r="H672" s="20" t="n"/>
      <c r="I672" s="14" t="n"/>
      <c r="J672" s="19">
        <f>IF($C672="","",ROUND(IF($H672="",1,$H672)*N($I672),2))</f>
        <v/>
      </c>
      <c r="K672" s="13" t="n"/>
      <c r="L672" s="13" t="n"/>
      <c r="M672" s="17">
        <f>IF($C672="","",IF(ISNA(MATCH($C672,项目名表,0)),"※项目不在项目台账里",IF($E672="※工作类型没选","※工作类型没选","")))</f>
        <v/>
      </c>
    </row>
    <row r="673">
      <c r="A673" s="17">
        <f>IF($C673="","",ROW()-3)</f>
        <v/>
      </c>
      <c r="B673" s="18" t="n"/>
      <c r="C673" s="13" t="n"/>
      <c r="D673" s="13" t="n"/>
      <c r="E673" s="17">
        <f>IF($C673="","",IFERROR(VLOOKUP($D673,工作归属,2,0),"※工作类型没选"))</f>
        <v/>
      </c>
      <c r="F673" s="13" t="n"/>
      <c r="G673" s="13" t="n"/>
      <c r="H673" s="20" t="n"/>
      <c r="I673" s="14" t="n"/>
      <c r="J673" s="19">
        <f>IF($C673="","",ROUND(IF($H673="",1,$H673)*N($I673),2))</f>
        <v/>
      </c>
      <c r="K673" s="13" t="n"/>
      <c r="L673" s="13" t="n"/>
      <c r="M673" s="17">
        <f>IF($C673="","",IF(ISNA(MATCH($C673,项目名表,0)),"※项目不在项目台账里",IF($E673="※工作类型没选","※工作类型没选","")))</f>
        <v/>
      </c>
    </row>
    <row r="674">
      <c r="A674" s="17">
        <f>IF($C674="","",ROW()-3)</f>
        <v/>
      </c>
      <c r="B674" s="18" t="n"/>
      <c r="C674" s="13" t="n"/>
      <c r="D674" s="13" t="n"/>
      <c r="E674" s="17">
        <f>IF($C674="","",IFERROR(VLOOKUP($D674,工作归属,2,0),"※工作类型没选"))</f>
        <v/>
      </c>
      <c r="F674" s="13" t="n"/>
      <c r="G674" s="13" t="n"/>
      <c r="H674" s="20" t="n"/>
      <c r="I674" s="14" t="n"/>
      <c r="J674" s="19">
        <f>IF($C674="","",ROUND(IF($H674="",1,$H674)*N($I674),2))</f>
        <v/>
      </c>
      <c r="K674" s="13" t="n"/>
      <c r="L674" s="13" t="n"/>
      <c r="M674" s="17">
        <f>IF($C674="","",IF(ISNA(MATCH($C674,项目名表,0)),"※项目不在项目台账里",IF($E674="※工作类型没选","※工作类型没选","")))</f>
        <v/>
      </c>
    </row>
    <row r="675">
      <c r="A675" s="17">
        <f>IF($C675="","",ROW()-3)</f>
        <v/>
      </c>
      <c r="B675" s="18" t="n"/>
      <c r="C675" s="13" t="n"/>
      <c r="D675" s="13" t="n"/>
      <c r="E675" s="17">
        <f>IF($C675="","",IFERROR(VLOOKUP($D675,工作归属,2,0),"※工作类型没选"))</f>
        <v/>
      </c>
      <c r="F675" s="13" t="n"/>
      <c r="G675" s="13" t="n"/>
      <c r="H675" s="20" t="n"/>
      <c r="I675" s="14" t="n"/>
      <c r="J675" s="19">
        <f>IF($C675="","",ROUND(IF($H675="",1,$H675)*N($I675),2))</f>
        <v/>
      </c>
      <c r="K675" s="13" t="n"/>
      <c r="L675" s="13" t="n"/>
      <c r="M675" s="17">
        <f>IF($C675="","",IF(ISNA(MATCH($C675,项目名表,0)),"※项目不在项目台账里",IF($E675="※工作类型没选","※工作类型没选","")))</f>
        <v/>
      </c>
    </row>
    <row r="676">
      <c r="A676" s="17">
        <f>IF($C676="","",ROW()-3)</f>
        <v/>
      </c>
      <c r="B676" s="18" t="n"/>
      <c r="C676" s="13" t="n"/>
      <c r="D676" s="13" t="n"/>
      <c r="E676" s="17">
        <f>IF($C676="","",IFERROR(VLOOKUP($D676,工作归属,2,0),"※工作类型没选"))</f>
        <v/>
      </c>
      <c r="F676" s="13" t="n"/>
      <c r="G676" s="13" t="n"/>
      <c r="H676" s="20" t="n"/>
      <c r="I676" s="14" t="n"/>
      <c r="J676" s="19">
        <f>IF($C676="","",ROUND(IF($H676="",1,$H676)*N($I676),2))</f>
        <v/>
      </c>
      <c r="K676" s="13" t="n"/>
      <c r="L676" s="13" t="n"/>
      <c r="M676" s="17">
        <f>IF($C676="","",IF(ISNA(MATCH($C676,项目名表,0)),"※项目不在项目台账里",IF($E676="※工作类型没选","※工作类型没选","")))</f>
        <v/>
      </c>
    </row>
    <row r="677">
      <c r="A677" s="17">
        <f>IF($C677="","",ROW()-3)</f>
        <v/>
      </c>
      <c r="B677" s="18" t="n"/>
      <c r="C677" s="13" t="n"/>
      <c r="D677" s="13" t="n"/>
      <c r="E677" s="17">
        <f>IF($C677="","",IFERROR(VLOOKUP($D677,工作归属,2,0),"※工作类型没选"))</f>
        <v/>
      </c>
      <c r="F677" s="13" t="n"/>
      <c r="G677" s="13" t="n"/>
      <c r="H677" s="20" t="n"/>
      <c r="I677" s="14" t="n"/>
      <c r="J677" s="19">
        <f>IF($C677="","",ROUND(IF($H677="",1,$H677)*N($I677),2))</f>
        <v/>
      </c>
      <c r="K677" s="13" t="n"/>
      <c r="L677" s="13" t="n"/>
      <c r="M677" s="17">
        <f>IF($C677="","",IF(ISNA(MATCH($C677,项目名表,0)),"※项目不在项目台账里",IF($E677="※工作类型没选","※工作类型没选","")))</f>
        <v/>
      </c>
    </row>
    <row r="678">
      <c r="A678" s="17">
        <f>IF($C678="","",ROW()-3)</f>
        <v/>
      </c>
      <c r="B678" s="18" t="n"/>
      <c r="C678" s="13" t="n"/>
      <c r="D678" s="13" t="n"/>
      <c r="E678" s="17">
        <f>IF($C678="","",IFERROR(VLOOKUP($D678,工作归属,2,0),"※工作类型没选"))</f>
        <v/>
      </c>
      <c r="F678" s="13" t="n"/>
      <c r="G678" s="13" t="n"/>
      <c r="H678" s="20" t="n"/>
      <c r="I678" s="14" t="n"/>
      <c r="J678" s="19">
        <f>IF($C678="","",ROUND(IF($H678="",1,$H678)*N($I678),2))</f>
        <v/>
      </c>
      <c r="K678" s="13" t="n"/>
      <c r="L678" s="13" t="n"/>
      <c r="M678" s="17">
        <f>IF($C678="","",IF(ISNA(MATCH($C678,项目名表,0)),"※项目不在项目台账里",IF($E678="※工作类型没选","※工作类型没选","")))</f>
        <v/>
      </c>
    </row>
    <row r="679">
      <c r="A679" s="17">
        <f>IF($C679="","",ROW()-3)</f>
        <v/>
      </c>
      <c r="B679" s="18" t="n"/>
      <c r="C679" s="13" t="n"/>
      <c r="D679" s="13" t="n"/>
      <c r="E679" s="17">
        <f>IF($C679="","",IFERROR(VLOOKUP($D679,工作归属,2,0),"※工作类型没选"))</f>
        <v/>
      </c>
      <c r="F679" s="13" t="n"/>
      <c r="G679" s="13" t="n"/>
      <c r="H679" s="20" t="n"/>
      <c r="I679" s="14" t="n"/>
      <c r="J679" s="19">
        <f>IF($C679="","",ROUND(IF($H679="",1,$H679)*N($I679),2))</f>
        <v/>
      </c>
      <c r="K679" s="13" t="n"/>
      <c r="L679" s="13" t="n"/>
      <c r="M679" s="17">
        <f>IF($C679="","",IF(ISNA(MATCH($C679,项目名表,0)),"※项目不在项目台账里",IF($E679="※工作类型没选","※工作类型没选","")))</f>
        <v/>
      </c>
    </row>
    <row r="680">
      <c r="A680" s="17">
        <f>IF($C680="","",ROW()-3)</f>
        <v/>
      </c>
      <c r="B680" s="18" t="n"/>
      <c r="C680" s="13" t="n"/>
      <c r="D680" s="13" t="n"/>
      <c r="E680" s="17">
        <f>IF($C680="","",IFERROR(VLOOKUP($D680,工作归属,2,0),"※工作类型没选"))</f>
        <v/>
      </c>
      <c r="F680" s="13" t="n"/>
      <c r="G680" s="13" t="n"/>
      <c r="H680" s="20" t="n"/>
      <c r="I680" s="14" t="n"/>
      <c r="J680" s="19">
        <f>IF($C680="","",ROUND(IF($H680="",1,$H680)*N($I680),2))</f>
        <v/>
      </c>
      <c r="K680" s="13" t="n"/>
      <c r="L680" s="13" t="n"/>
      <c r="M680" s="17">
        <f>IF($C680="","",IF(ISNA(MATCH($C680,项目名表,0)),"※项目不在项目台账里",IF($E680="※工作类型没选","※工作类型没选","")))</f>
        <v/>
      </c>
    </row>
    <row r="681">
      <c r="A681" s="17">
        <f>IF($C681="","",ROW()-3)</f>
        <v/>
      </c>
      <c r="B681" s="18" t="n"/>
      <c r="C681" s="13" t="n"/>
      <c r="D681" s="13" t="n"/>
      <c r="E681" s="17">
        <f>IF($C681="","",IFERROR(VLOOKUP($D681,工作归属,2,0),"※工作类型没选"))</f>
        <v/>
      </c>
      <c r="F681" s="13" t="n"/>
      <c r="G681" s="13" t="n"/>
      <c r="H681" s="20" t="n"/>
      <c r="I681" s="14" t="n"/>
      <c r="J681" s="19">
        <f>IF($C681="","",ROUND(IF($H681="",1,$H681)*N($I681),2))</f>
        <v/>
      </c>
      <c r="K681" s="13" t="n"/>
      <c r="L681" s="13" t="n"/>
      <c r="M681" s="17">
        <f>IF($C681="","",IF(ISNA(MATCH($C681,项目名表,0)),"※项目不在项目台账里",IF($E681="※工作类型没选","※工作类型没选","")))</f>
        <v/>
      </c>
    </row>
    <row r="682">
      <c r="A682" s="17">
        <f>IF($C682="","",ROW()-3)</f>
        <v/>
      </c>
      <c r="B682" s="18" t="n"/>
      <c r="C682" s="13" t="n"/>
      <c r="D682" s="13" t="n"/>
      <c r="E682" s="17">
        <f>IF($C682="","",IFERROR(VLOOKUP($D682,工作归属,2,0),"※工作类型没选"))</f>
        <v/>
      </c>
      <c r="F682" s="13" t="n"/>
      <c r="G682" s="13" t="n"/>
      <c r="H682" s="20" t="n"/>
      <c r="I682" s="14" t="n"/>
      <c r="J682" s="19">
        <f>IF($C682="","",ROUND(IF($H682="",1,$H682)*N($I682),2))</f>
        <v/>
      </c>
      <c r="K682" s="13" t="n"/>
      <c r="L682" s="13" t="n"/>
      <c r="M682" s="17">
        <f>IF($C682="","",IF(ISNA(MATCH($C682,项目名表,0)),"※项目不在项目台账里",IF($E682="※工作类型没选","※工作类型没选","")))</f>
        <v/>
      </c>
    </row>
    <row r="683">
      <c r="A683" s="17">
        <f>IF($C683="","",ROW()-3)</f>
        <v/>
      </c>
      <c r="B683" s="18" t="n"/>
      <c r="C683" s="13" t="n"/>
      <c r="D683" s="13" t="n"/>
      <c r="E683" s="17">
        <f>IF($C683="","",IFERROR(VLOOKUP($D683,工作归属,2,0),"※工作类型没选"))</f>
        <v/>
      </c>
      <c r="F683" s="13" t="n"/>
      <c r="G683" s="13" t="n"/>
      <c r="H683" s="20" t="n"/>
      <c r="I683" s="14" t="n"/>
      <c r="J683" s="19">
        <f>IF($C683="","",ROUND(IF($H683="",1,$H683)*N($I683),2))</f>
        <v/>
      </c>
      <c r="K683" s="13" t="n"/>
      <c r="L683" s="13" t="n"/>
      <c r="M683" s="17">
        <f>IF($C683="","",IF(ISNA(MATCH($C683,项目名表,0)),"※项目不在项目台账里",IF($E683="※工作类型没选","※工作类型没选","")))</f>
        <v/>
      </c>
    </row>
    <row r="684">
      <c r="A684" s="17">
        <f>IF($C684="","",ROW()-3)</f>
        <v/>
      </c>
      <c r="B684" s="18" t="n"/>
      <c r="C684" s="13" t="n"/>
      <c r="D684" s="13" t="n"/>
      <c r="E684" s="17">
        <f>IF($C684="","",IFERROR(VLOOKUP($D684,工作归属,2,0),"※工作类型没选"))</f>
        <v/>
      </c>
      <c r="F684" s="13" t="n"/>
      <c r="G684" s="13" t="n"/>
      <c r="H684" s="20" t="n"/>
      <c r="I684" s="14" t="n"/>
      <c r="J684" s="19">
        <f>IF($C684="","",ROUND(IF($H684="",1,$H684)*N($I684),2))</f>
        <v/>
      </c>
      <c r="K684" s="13" t="n"/>
      <c r="L684" s="13" t="n"/>
      <c r="M684" s="17">
        <f>IF($C684="","",IF(ISNA(MATCH($C684,项目名表,0)),"※项目不在项目台账里",IF($E684="※工作类型没选","※工作类型没选","")))</f>
        <v/>
      </c>
    </row>
    <row r="685">
      <c r="A685" s="17">
        <f>IF($C685="","",ROW()-3)</f>
        <v/>
      </c>
      <c r="B685" s="18" t="n"/>
      <c r="C685" s="13" t="n"/>
      <c r="D685" s="13" t="n"/>
      <c r="E685" s="17">
        <f>IF($C685="","",IFERROR(VLOOKUP($D685,工作归属,2,0),"※工作类型没选"))</f>
        <v/>
      </c>
      <c r="F685" s="13" t="n"/>
      <c r="G685" s="13" t="n"/>
      <c r="H685" s="20" t="n"/>
      <c r="I685" s="14" t="n"/>
      <c r="J685" s="19">
        <f>IF($C685="","",ROUND(IF($H685="",1,$H685)*N($I685),2))</f>
        <v/>
      </c>
      <c r="K685" s="13" t="n"/>
      <c r="L685" s="13" t="n"/>
      <c r="M685" s="17">
        <f>IF($C685="","",IF(ISNA(MATCH($C685,项目名表,0)),"※项目不在项目台账里",IF($E685="※工作类型没选","※工作类型没选","")))</f>
        <v/>
      </c>
    </row>
    <row r="686">
      <c r="A686" s="17">
        <f>IF($C686="","",ROW()-3)</f>
        <v/>
      </c>
      <c r="B686" s="18" t="n"/>
      <c r="C686" s="13" t="n"/>
      <c r="D686" s="13" t="n"/>
      <c r="E686" s="17">
        <f>IF($C686="","",IFERROR(VLOOKUP($D686,工作归属,2,0),"※工作类型没选"))</f>
        <v/>
      </c>
      <c r="F686" s="13" t="n"/>
      <c r="G686" s="13" t="n"/>
      <c r="H686" s="20" t="n"/>
      <c r="I686" s="14" t="n"/>
      <c r="J686" s="19">
        <f>IF($C686="","",ROUND(IF($H686="",1,$H686)*N($I686),2))</f>
        <v/>
      </c>
      <c r="K686" s="13" t="n"/>
      <c r="L686" s="13" t="n"/>
      <c r="M686" s="17">
        <f>IF($C686="","",IF(ISNA(MATCH($C686,项目名表,0)),"※项目不在项目台账里",IF($E686="※工作类型没选","※工作类型没选","")))</f>
        <v/>
      </c>
    </row>
    <row r="687">
      <c r="A687" s="17">
        <f>IF($C687="","",ROW()-3)</f>
        <v/>
      </c>
      <c r="B687" s="18" t="n"/>
      <c r="C687" s="13" t="n"/>
      <c r="D687" s="13" t="n"/>
      <c r="E687" s="17">
        <f>IF($C687="","",IFERROR(VLOOKUP($D687,工作归属,2,0),"※工作类型没选"))</f>
        <v/>
      </c>
      <c r="F687" s="13" t="n"/>
      <c r="G687" s="13" t="n"/>
      <c r="H687" s="20" t="n"/>
      <c r="I687" s="14" t="n"/>
      <c r="J687" s="19">
        <f>IF($C687="","",ROUND(IF($H687="",1,$H687)*N($I687),2))</f>
        <v/>
      </c>
      <c r="K687" s="13" t="n"/>
      <c r="L687" s="13" t="n"/>
      <c r="M687" s="17">
        <f>IF($C687="","",IF(ISNA(MATCH($C687,项目名表,0)),"※项目不在项目台账里",IF($E687="※工作类型没选","※工作类型没选","")))</f>
        <v/>
      </c>
    </row>
    <row r="688">
      <c r="A688" s="17">
        <f>IF($C688="","",ROW()-3)</f>
        <v/>
      </c>
      <c r="B688" s="18" t="n"/>
      <c r="C688" s="13" t="n"/>
      <c r="D688" s="13" t="n"/>
      <c r="E688" s="17">
        <f>IF($C688="","",IFERROR(VLOOKUP($D688,工作归属,2,0),"※工作类型没选"))</f>
        <v/>
      </c>
      <c r="F688" s="13" t="n"/>
      <c r="G688" s="13" t="n"/>
      <c r="H688" s="20" t="n"/>
      <c r="I688" s="14" t="n"/>
      <c r="J688" s="19">
        <f>IF($C688="","",ROUND(IF($H688="",1,$H688)*N($I688),2))</f>
        <v/>
      </c>
      <c r="K688" s="13" t="n"/>
      <c r="L688" s="13" t="n"/>
      <c r="M688" s="17">
        <f>IF($C688="","",IF(ISNA(MATCH($C688,项目名表,0)),"※项目不在项目台账里",IF($E688="※工作类型没选","※工作类型没选","")))</f>
        <v/>
      </c>
    </row>
    <row r="689">
      <c r="A689" s="17">
        <f>IF($C689="","",ROW()-3)</f>
        <v/>
      </c>
      <c r="B689" s="18" t="n"/>
      <c r="C689" s="13" t="n"/>
      <c r="D689" s="13" t="n"/>
      <c r="E689" s="17">
        <f>IF($C689="","",IFERROR(VLOOKUP($D689,工作归属,2,0),"※工作类型没选"))</f>
        <v/>
      </c>
      <c r="F689" s="13" t="n"/>
      <c r="G689" s="13" t="n"/>
      <c r="H689" s="20" t="n"/>
      <c r="I689" s="14" t="n"/>
      <c r="J689" s="19">
        <f>IF($C689="","",ROUND(IF($H689="",1,$H689)*N($I689),2))</f>
        <v/>
      </c>
      <c r="K689" s="13" t="n"/>
      <c r="L689" s="13" t="n"/>
      <c r="M689" s="17">
        <f>IF($C689="","",IF(ISNA(MATCH($C689,项目名表,0)),"※项目不在项目台账里",IF($E689="※工作类型没选","※工作类型没选","")))</f>
        <v/>
      </c>
    </row>
    <row r="690">
      <c r="A690" s="17">
        <f>IF($C690="","",ROW()-3)</f>
        <v/>
      </c>
      <c r="B690" s="18" t="n"/>
      <c r="C690" s="13" t="n"/>
      <c r="D690" s="13" t="n"/>
      <c r="E690" s="17">
        <f>IF($C690="","",IFERROR(VLOOKUP($D690,工作归属,2,0),"※工作类型没选"))</f>
        <v/>
      </c>
      <c r="F690" s="13" t="n"/>
      <c r="G690" s="13" t="n"/>
      <c r="H690" s="20" t="n"/>
      <c r="I690" s="14" t="n"/>
      <c r="J690" s="19">
        <f>IF($C690="","",ROUND(IF($H690="",1,$H690)*N($I690),2))</f>
        <v/>
      </c>
      <c r="K690" s="13" t="n"/>
      <c r="L690" s="13" t="n"/>
      <c r="M690" s="17">
        <f>IF($C690="","",IF(ISNA(MATCH($C690,项目名表,0)),"※项目不在项目台账里",IF($E690="※工作类型没选","※工作类型没选","")))</f>
        <v/>
      </c>
    </row>
    <row r="691">
      <c r="A691" s="17">
        <f>IF($C691="","",ROW()-3)</f>
        <v/>
      </c>
      <c r="B691" s="18" t="n"/>
      <c r="C691" s="13" t="n"/>
      <c r="D691" s="13" t="n"/>
      <c r="E691" s="17">
        <f>IF($C691="","",IFERROR(VLOOKUP($D691,工作归属,2,0),"※工作类型没选"))</f>
        <v/>
      </c>
      <c r="F691" s="13" t="n"/>
      <c r="G691" s="13" t="n"/>
      <c r="H691" s="20" t="n"/>
      <c r="I691" s="14" t="n"/>
      <c r="J691" s="19">
        <f>IF($C691="","",ROUND(IF($H691="",1,$H691)*N($I691),2))</f>
        <v/>
      </c>
      <c r="K691" s="13" t="n"/>
      <c r="L691" s="13" t="n"/>
      <c r="M691" s="17">
        <f>IF($C691="","",IF(ISNA(MATCH($C691,项目名表,0)),"※项目不在项目台账里",IF($E691="※工作类型没选","※工作类型没选","")))</f>
        <v/>
      </c>
    </row>
    <row r="692">
      <c r="A692" s="17">
        <f>IF($C692="","",ROW()-3)</f>
        <v/>
      </c>
      <c r="B692" s="18" t="n"/>
      <c r="C692" s="13" t="n"/>
      <c r="D692" s="13" t="n"/>
      <c r="E692" s="17">
        <f>IF($C692="","",IFERROR(VLOOKUP($D692,工作归属,2,0),"※工作类型没选"))</f>
        <v/>
      </c>
      <c r="F692" s="13" t="n"/>
      <c r="G692" s="13" t="n"/>
      <c r="H692" s="20" t="n"/>
      <c r="I692" s="14" t="n"/>
      <c r="J692" s="19">
        <f>IF($C692="","",ROUND(IF($H692="",1,$H692)*N($I692),2))</f>
        <v/>
      </c>
      <c r="K692" s="13" t="n"/>
      <c r="L692" s="13" t="n"/>
      <c r="M692" s="17">
        <f>IF($C692="","",IF(ISNA(MATCH($C692,项目名表,0)),"※项目不在项目台账里",IF($E692="※工作类型没选","※工作类型没选","")))</f>
        <v/>
      </c>
    </row>
    <row r="693">
      <c r="A693" s="17">
        <f>IF($C693="","",ROW()-3)</f>
        <v/>
      </c>
      <c r="B693" s="18" t="n"/>
      <c r="C693" s="13" t="n"/>
      <c r="D693" s="13" t="n"/>
      <c r="E693" s="17">
        <f>IF($C693="","",IFERROR(VLOOKUP($D693,工作归属,2,0),"※工作类型没选"))</f>
        <v/>
      </c>
      <c r="F693" s="13" t="n"/>
      <c r="G693" s="13" t="n"/>
      <c r="H693" s="20" t="n"/>
      <c r="I693" s="14" t="n"/>
      <c r="J693" s="19">
        <f>IF($C693="","",ROUND(IF($H693="",1,$H693)*N($I693),2))</f>
        <v/>
      </c>
      <c r="K693" s="13" t="n"/>
      <c r="L693" s="13" t="n"/>
      <c r="M693" s="17">
        <f>IF($C693="","",IF(ISNA(MATCH($C693,项目名表,0)),"※项目不在项目台账里",IF($E693="※工作类型没选","※工作类型没选","")))</f>
        <v/>
      </c>
    </row>
    <row r="694">
      <c r="A694" s="17">
        <f>IF($C694="","",ROW()-3)</f>
        <v/>
      </c>
      <c r="B694" s="18" t="n"/>
      <c r="C694" s="13" t="n"/>
      <c r="D694" s="13" t="n"/>
      <c r="E694" s="17">
        <f>IF($C694="","",IFERROR(VLOOKUP($D694,工作归属,2,0),"※工作类型没选"))</f>
        <v/>
      </c>
      <c r="F694" s="13" t="n"/>
      <c r="G694" s="13" t="n"/>
      <c r="H694" s="20" t="n"/>
      <c r="I694" s="14" t="n"/>
      <c r="J694" s="19">
        <f>IF($C694="","",ROUND(IF($H694="",1,$H694)*N($I694),2))</f>
        <v/>
      </c>
      <c r="K694" s="13" t="n"/>
      <c r="L694" s="13" t="n"/>
      <c r="M694" s="17">
        <f>IF($C694="","",IF(ISNA(MATCH($C694,项目名表,0)),"※项目不在项目台账里",IF($E694="※工作类型没选","※工作类型没选","")))</f>
        <v/>
      </c>
    </row>
    <row r="695">
      <c r="A695" s="17">
        <f>IF($C695="","",ROW()-3)</f>
        <v/>
      </c>
      <c r="B695" s="18" t="n"/>
      <c r="C695" s="13" t="n"/>
      <c r="D695" s="13" t="n"/>
      <c r="E695" s="17">
        <f>IF($C695="","",IFERROR(VLOOKUP($D695,工作归属,2,0),"※工作类型没选"))</f>
        <v/>
      </c>
      <c r="F695" s="13" t="n"/>
      <c r="G695" s="13" t="n"/>
      <c r="H695" s="20" t="n"/>
      <c r="I695" s="14" t="n"/>
      <c r="J695" s="19">
        <f>IF($C695="","",ROUND(IF($H695="",1,$H695)*N($I695),2))</f>
        <v/>
      </c>
      <c r="K695" s="13" t="n"/>
      <c r="L695" s="13" t="n"/>
      <c r="M695" s="17">
        <f>IF($C695="","",IF(ISNA(MATCH($C695,项目名表,0)),"※项目不在项目台账里",IF($E695="※工作类型没选","※工作类型没选","")))</f>
        <v/>
      </c>
    </row>
    <row r="696">
      <c r="A696" s="17">
        <f>IF($C696="","",ROW()-3)</f>
        <v/>
      </c>
      <c r="B696" s="18" t="n"/>
      <c r="C696" s="13" t="n"/>
      <c r="D696" s="13" t="n"/>
      <c r="E696" s="17">
        <f>IF($C696="","",IFERROR(VLOOKUP($D696,工作归属,2,0),"※工作类型没选"))</f>
        <v/>
      </c>
      <c r="F696" s="13" t="n"/>
      <c r="G696" s="13" t="n"/>
      <c r="H696" s="20" t="n"/>
      <c r="I696" s="14" t="n"/>
      <c r="J696" s="19">
        <f>IF($C696="","",ROUND(IF($H696="",1,$H696)*N($I696),2))</f>
        <v/>
      </c>
      <c r="K696" s="13" t="n"/>
      <c r="L696" s="13" t="n"/>
      <c r="M696" s="17">
        <f>IF($C696="","",IF(ISNA(MATCH($C696,项目名表,0)),"※项目不在项目台账里",IF($E696="※工作类型没选","※工作类型没选","")))</f>
        <v/>
      </c>
    </row>
    <row r="697">
      <c r="A697" s="17">
        <f>IF($C697="","",ROW()-3)</f>
        <v/>
      </c>
      <c r="B697" s="18" t="n"/>
      <c r="C697" s="13" t="n"/>
      <c r="D697" s="13" t="n"/>
      <c r="E697" s="17">
        <f>IF($C697="","",IFERROR(VLOOKUP($D697,工作归属,2,0),"※工作类型没选"))</f>
        <v/>
      </c>
      <c r="F697" s="13" t="n"/>
      <c r="G697" s="13" t="n"/>
      <c r="H697" s="20" t="n"/>
      <c r="I697" s="14" t="n"/>
      <c r="J697" s="19">
        <f>IF($C697="","",ROUND(IF($H697="",1,$H697)*N($I697),2))</f>
        <v/>
      </c>
      <c r="K697" s="13" t="n"/>
      <c r="L697" s="13" t="n"/>
      <c r="M697" s="17">
        <f>IF($C697="","",IF(ISNA(MATCH($C697,项目名表,0)),"※项目不在项目台账里",IF($E697="※工作类型没选","※工作类型没选","")))</f>
        <v/>
      </c>
    </row>
    <row r="698">
      <c r="A698" s="17">
        <f>IF($C698="","",ROW()-3)</f>
        <v/>
      </c>
      <c r="B698" s="18" t="n"/>
      <c r="C698" s="13" t="n"/>
      <c r="D698" s="13" t="n"/>
      <c r="E698" s="17">
        <f>IF($C698="","",IFERROR(VLOOKUP($D698,工作归属,2,0),"※工作类型没选"))</f>
        <v/>
      </c>
      <c r="F698" s="13" t="n"/>
      <c r="G698" s="13" t="n"/>
      <c r="H698" s="20" t="n"/>
      <c r="I698" s="14" t="n"/>
      <c r="J698" s="19">
        <f>IF($C698="","",ROUND(IF($H698="",1,$H698)*N($I698),2))</f>
        <v/>
      </c>
      <c r="K698" s="13" t="n"/>
      <c r="L698" s="13" t="n"/>
      <c r="M698" s="17">
        <f>IF($C698="","",IF(ISNA(MATCH($C698,项目名表,0)),"※项目不在项目台账里",IF($E698="※工作类型没选","※工作类型没选","")))</f>
        <v/>
      </c>
    </row>
    <row r="699">
      <c r="A699" s="17">
        <f>IF($C699="","",ROW()-3)</f>
        <v/>
      </c>
      <c r="B699" s="18" t="n"/>
      <c r="C699" s="13" t="n"/>
      <c r="D699" s="13" t="n"/>
      <c r="E699" s="17">
        <f>IF($C699="","",IFERROR(VLOOKUP($D699,工作归属,2,0),"※工作类型没选"))</f>
        <v/>
      </c>
      <c r="F699" s="13" t="n"/>
      <c r="G699" s="13" t="n"/>
      <c r="H699" s="20" t="n"/>
      <c r="I699" s="14" t="n"/>
      <c r="J699" s="19">
        <f>IF($C699="","",ROUND(IF($H699="",1,$H699)*N($I699),2))</f>
        <v/>
      </c>
      <c r="K699" s="13" t="n"/>
      <c r="L699" s="13" t="n"/>
      <c r="M699" s="17">
        <f>IF($C699="","",IF(ISNA(MATCH($C699,项目名表,0)),"※项目不在项目台账里",IF($E699="※工作类型没选","※工作类型没选","")))</f>
        <v/>
      </c>
    </row>
    <row r="700">
      <c r="A700" s="17">
        <f>IF($C700="","",ROW()-3)</f>
        <v/>
      </c>
      <c r="B700" s="18" t="n"/>
      <c r="C700" s="13" t="n"/>
      <c r="D700" s="13" t="n"/>
      <c r="E700" s="17">
        <f>IF($C700="","",IFERROR(VLOOKUP($D700,工作归属,2,0),"※工作类型没选"))</f>
        <v/>
      </c>
      <c r="F700" s="13" t="n"/>
      <c r="G700" s="13" t="n"/>
      <c r="H700" s="20" t="n"/>
      <c r="I700" s="14" t="n"/>
      <c r="J700" s="19">
        <f>IF($C700="","",ROUND(IF($H700="",1,$H700)*N($I700),2))</f>
        <v/>
      </c>
      <c r="K700" s="13" t="n"/>
      <c r="L700" s="13" t="n"/>
      <c r="M700" s="17">
        <f>IF($C700="","",IF(ISNA(MATCH($C700,项目名表,0)),"※项目不在项目台账里",IF($E700="※工作类型没选","※工作类型没选","")))</f>
        <v/>
      </c>
    </row>
    <row r="701">
      <c r="A701" s="17">
        <f>IF($C701="","",ROW()-3)</f>
        <v/>
      </c>
      <c r="B701" s="18" t="n"/>
      <c r="C701" s="13" t="n"/>
      <c r="D701" s="13" t="n"/>
      <c r="E701" s="17">
        <f>IF($C701="","",IFERROR(VLOOKUP($D701,工作归属,2,0),"※工作类型没选"))</f>
        <v/>
      </c>
      <c r="F701" s="13" t="n"/>
      <c r="G701" s="13" t="n"/>
      <c r="H701" s="20" t="n"/>
      <c r="I701" s="14" t="n"/>
      <c r="J701" s="19">
        <f>IF($C701="","",ROUND(IF($H701="",1,$H701)*N($I701),2))</f>
        <v/>
      </c>
      <c r="K701" s="13" t="n"/>
      <c r="L701" s="13" t="n"/>
      <c r="M701" s="17">
        <f>IF($C701="","",IF(ISNA(MATCH($C701,项目名表,0)),"※项目不在项目台账里",IF($E701="※工作类型没选","※工作类型没选","")))</f>
        <v/>
      </c>
    </row>
    <row r="702">
      <c r="A702" s="17">
        <f>IF($C702="","",ROW()-3)</f>
        <v/>
      </c>
      <c r="B702" s="18" t="n"/>
      <c r="C702" s="13" t="n"/>
      <c r="D702" s="13" t="n"/>
      <c r="E702" s="17">
        <f>IF($C702="","",IFERROR(VLOOKUP($D702,工作归属,2,0),"※工作类型没选"))</f>
        <v/>
      </c>
      <c r="F702" s="13" t="n"/>
      <c r="G702" s="13" t="n"/>
      <c r="H702" s="20" t="n"/>
      <c r="I702" s="14" t="n"/>
      <c r="J702" s="19">
        <f>IF($C702="","",ROUND(IF($H702="",1,$H702)*N($I702),2))</f>
        <v/>
      </c>
      <c r="K702" s="13" t="n"/>
      <c r="L702" s="13" t="n"/>
      <c r="M702" s="17">
        <f>IF($C702="","",IF(ISNA(MATCH($C702,项目名表,0)),"※项目不在项目台账里",IF($E702="※工作类型没选","※工作类型没选","")))</f>
        <v/>
      </c>
    </row>
    <row r="703">
      <c r="A703" s="17">
        <f>IF($C703="","",ROW()-3)</f>
        <v/>
      </c>
      <c r="B703" s="18" t="n"/>
      <c r="C703" s="13" t="n"/>
      <c r="D703" s="13" t="n"/>
      <c r="E703" s="17">
        <f>IF($C703="","",IFERROR(VLOOKUP($D703,工作归属,2,0),"※工作类型没选"))</f>
        <v/>
      </c>
      <c r="F703" s="13" t="n"/>
      <c r="G703" s="13" t="n"/>
      <c r="H703" s="20" t="n"/>
      <c r="I703" s="14" t="n"/>
      <c r="J703" s="19">
        <f>IF($C703="","",ROUND(IF($H703="",1,$H703)*N($I703),2))</f>
        <v/>
      </c>
      <c r="K703" s="13" t="n"/>
      <c r="L703" s="13" t="n"/>
      <c r="M703" s="17">
        <f>IF($C703="","",IF(ISNA(MATCH($C703,项目名表,0)),"※项目不在项目台账里",IF($E703="※工作类型没选","※工作类型没选","")))</f>
        <v/>
      </c>
    </row>
    <row r="704">
      <c r="A704" s="17">
        <f>IF($C704="","",ROW()-3)</f>
        <v/>
      </c>
      <c r="B704" s="18" t="n"/>
      <c r="C704" s="13" t="n"/>
      <c r="D704" s="13" t="n"/>
      <c r="E704" s="17">
        <f>IF($C704="","",IFERROR(VLOOKUP($D704,工作归属,2,0),"※工作类型没选"))</f>
        <v/>
      </c>
      <c r="F704" s="13" t="n"/>
      <c r="G704" s="13" t="n"/>
      <c r="H704" s="20" t="n"/>
      <c r="I704" s="14" t="n"/>
      <c r="J704" s="19">
        <f>IF($C704="","",ROUND(IF($H704="",1,$H704)*N($I704),2))</f>
        <v/>
      </c>
      <c r="K704" s="13" t="n"/>
      <c r="L704" s="13" t="n"/>
      <c r="M704" s="17">
        <f>IF($C704="","",IF(ISNA(MATCH($C704,项目名表,0)),"※项目不在项目台账里",IF($E704="※工作类型没选","※工作类型没选","")))</f>
        <v/>
      </c>
    </row>
    <row r="705">
      <c r="A705" s="17">
        <f>IF($C705="","",ROW()-3)</f>
        <v/>
      </c>
      <c r="B705" s="18" t="n"/>
      <c r="C705" s="13" t="n"/>
      <c r="D705" s="13" t="n"/>
      <c r="E705" s="17">
        <f>IF($C705="","",IFERROR(VLOOKUP($D705,工作归属,2,0),"※工作类型没选"))</f>
        <v/>
      </c>
      <c r="F705" s="13" t="n"/>
      <c r="G705" s="13" t="n"/>
      <c r="H705" s="20" t="n"/>
      <c r="I705" s="14" t="n"/>
      <c r="J705" s="19">
        <f>IF($C705="","",ROUND(IF($H705="",1,$H705)*N($I705),2))</f>
        <v/>
      </c>
      <c r="K705" s="13" t="n"/>
      <c r="L705" s="13" t="n"/>
      <c r="M705" s="17">
        <f>IF($C705="","",IF(ISNA(MATCH($C705,项目名表,0)),"※项目不在项目台账里",IF($E705="※工作类型没选","※工作类型没选","")))</f>
        <v/>
      </c>
    </row>
    <row r="706">
      <c r="A706" s="17">
        <f>IF($C706="","",ROW()-3)</f>
        <v/>
      </c>
      <c r="B706" s="18" t="n"/>
      <c r="C706" s="13" t="n"/>
      <c r="D706" s="13" t="n"/>
      <c r="E706" s="17">
        <f>IF($C706="","",IFERROR(VLOOKUP($D706,工作归属,2,0),"※工作类型没选"))</f>
        <v/>
      </c>
      <c r="F706" s="13" t="n"/>
      <c r="G706" s="13" t="n"/>
      <c r="H706" s="20" t="n"/>
      <c r="I706" s="14" t="n"/>
      <c r="J706" s="19">
        <f>IF($C706="","",ROUND(IF($H706="",1,$H706)*N($I706),2))</f>
        <v/>
      </c>
      <c r="K706" s="13" t="n"/>
      <c r="L706" s="13" t="n"/>
      <c r="M706" s="17">
        <f>IF($C706="","",IF(ISNA(MATCH($C706,项目名表,0)),"※项目不在项目台账里",IF($E706="※工作类型没选","※工作类型没选","")))</f>
        <v/>
      </c>
    </row>
    <row r="707">
      <c r="A707" s="17">
        <f>IF($C707="","",ROW()-3)</f>
        <v/>
      </c>
      <c r="B707" s="18" t="n"/>
      <c r="C707" s="13" t="n"/>
      <c r="D707" s="13" t="n"/>
      <c r="E707" s="17">
        <f>IF($C707="","",IFERROR(VLOOKUP($D707,工作归属,2,0),"※工作类型没选"))</f>
        <v/>
      </c>
      <c r="F707" s="13" t="n"/>
      <c r="G707" s="13" t="n"/>
      <c r="H707" s="20" t="n"/>
      <c r="I707" s="14" t="n"/>
      <c r="J707" s="19">
        <f>IF($C707="","",ROUND(IF($H707="",1,$H707)*N($I707),2))</f>
        <v/>
      </c>
      <c r="K707" s="13" t="n"/>
      <c r="L707" s="13" t="n"/>
      <c r="M707" s="17">
        <f>IF($C707="","",IF(ISNA(MATCH($C707,项目名表,0)),"※项目不在项目台账里",IF($E707="※工作类型没选","※工作类型没选","")))</f>
        <v/>
      </c>
    </row>
    <row r="708">
      <c r="A708" s="17">
        <f>IF($C708="","",ROW()-3)</f>
        <v/>
      </c>
      <c r="B708" s="18" t="n"/>
      <c r="C708" s="13" t="n"/>
      <c r="D708" s="13" t="n"/>
      <c r="E708" s="17">
        <f>IF($C708="","",IFERROR(VLOOKUP($D708,工作归属,2,0),"※工作类型没选"))</f>
        <v/>
      </c>
      <c r="F708" s="13" t="n"/>
      <c r="G708" s="13" t="n"/>
      <c r="H708" s="20" t="n"/>
      <c r="I708" s="14" t="n"/>
      <c r="J708" s="19">
        <f>IF($C708="","",ROUND(IF($H708="",1,$H708)*N($I708),2))</f>
        <v/>
      </c>
      <c r="K708" s="13" t="n"/>
      <c r="L708" s="13" t="n"/>
      <c r="M708" s="17">
        <f>IF($C708="","",IF(ISNA(MATCH($C708,项目名表,0)),"※项目不在项目台账里",IF($E708="※工作类型没选","※工作类型没选","")))</f>
        <v/>
      </c>
    </row>
    <row r="709">
      <c r="A709" s="17">
        <f>IF($C709="","",ROW()-3)</f>
        <v/>
      </c>
      <c r="B709" s="18" t="n"/>
      <c r="C709" s="13" t="n"/>
      <c r="D709" s="13" t="n"/>
      <c r="E709" s="17">
        <f>IF($C709="","",IFERROR(VLOOKUP($D709,工作归属,2,0),"※工作类型没选"))</f>
        <v/>
      </c>
      <c r="F709" s="13" t="n"/>
      <c r="G709" s="13" t="n"/>
      <c r="H709" s="20" t="n"/>
      <c r="I709" s="14" t="n"/>
      <c r="J709" s="19">
        <f>IF($C709="","",ROUND(IF($H709="",1,$H709)*N($I709),2))</f>
        <v/>
      </c>
      <c r="K709" s="13" t="n"/>
      <c r="L709" s="13" t="n"/>
      <c r="M709" s="17">
        <f>IF($C709="","",IF(ISNA(MATCH($C709,项目名表,0)),"※项目不在项目台账里",IF($E709="※工作类型没选","※工作类型没选","")))</f>
        <v/>
      </c>
    </row>
    <row r="710">
      <c r="A710" s="17">
        <f>IF($C710="","",ROW()-3)</f>
        <v/>
      </c>
      <c r="B710" s="18" t="n"/>
      <c r="C710" s="13" t="n"/>
      <c r="D710" s="13" t="n"/>
      <c r="E710" s="17">
        <f>IF($C710="","",IFERROR(VLOOKUP($D710,工作归属,2,0),"※工作类型没选"))</f>
        <v/>
      </c>
      <c r="F710" s="13" t="n"/>
      <c r="G710" s="13" t="n"/>
      <c r="H710" s="20" t="n"/>
      <c r="I710" s="14" t="n"/>
      <c r="J710" s="19">
        <f>IF($C710="","",ROUND(IF($H710="",1,$H710)*N($I710),2))</f>
        <v/>
      </c>
      <c r="K710" s="13" t="n"/>
      <c r="L710" s="13" t="n"/>
      <c r="M710" s="17">
        <f>IF($C710="","",IF(ISNA(MATCH($C710,项目名表,0)),"※项目不在项目台账里",IF($E710="※工作类型没选","※工作类型没选","")))</f>
        <v/>
      </c>
    </row>
    <row r="711">
      <c r="A711" s="17">
        <f>IF($C711="","",ROW()-3)</f>
        <v/>
      </c>
      <c r="B711" s="18" t="n"/>
      <c r="C711" s="13" t="n"/>
      <c r="D711" s="13" t="n"/>
      <c r="E711" s="17">
        <f>IF($C711="","",IFERROR(VLOOKUP($D711,工作归属,2,0),"※工作类型没选"))</f>
        <v/>
      </c>
      <c r="F711" s="13" t="n"/>
      <c r="G711" s="13" t="n"/>
      <c r="H711" s="20" t="n"/>
      <c r="I711" s="14" t="n"/>
      <c r="J711" s="19">
        <f>IF($C711="","",ROUND(IF($H711="",1,$H711)*N($I711),2))</f>
        <v/>
      </c>
      <c r="K711" s="13" t="n"/>
      <c r="L711" s="13" t="n"/>
      <c r="M711" s="17">
        <f>IF($C711="","",IF(ISNA(MATCH($C711,项目名表,0)),"※项目不在项目台账里",IF($E711="※工作类型没选","※工作类型没选","")))</f>
        <v/>
      </c>
    </row>
    <row r="712">
      <c r="A712" s="17">
        <f>IF($C712="","",ROW()-3)</f>
        <v/>
      </c>
      <c r="B712" s="18" t="n"/>
      <c r="C712" s="13" t="n"/>
      <c r="D712" s="13" t="n"/>
      <c r="E712" s="17">
        <f>IF($C712="","",IFERROR(VLOOKUP($D712,工作归属,2,0),"※工作类型没选"))</f>
        <v/>
      </c>
      <c r="F712" s="13" t="n"/>
      <c r="G712" s="13" t="n"/>
      <c r="H712" s="20" t="n"/>
      <c r="I712" s="14" t="n"/>
      <c r="J712" s="19">
        <f>IF($C712="","",ROUND(IF($H712="",1,$H712)*N($I712),2))</f>
        <v/>
      </c>
      <c r="K712" s="13" t="n"/>
      <c r="L712" s="13" t="n"/>
      <c r="M712" s="17">
        <f>IF($C712="","",IF(ISNA(MATCH($C712,项目名表,0)),"※项目不在项目台账里",IF($E712="※工作类型没选","※工作类型没选","")))</f>
        <v/>
      </c>
    </row>
    <row r="713">
      <c r="A713" s="17">
        <f>IF($C713="","",ROW()-3)</f>
        <v/>
      </c>
      <c r="B713" s="18" t="n"/>
      <c r="C713" s="13" t="n"/>
      <c r="D713" s="13" t="n"/>
      <c r="E713" s="17">
        <f>IF($C713="","",IFERROR(VLOOKUP($D713,工作归属,2,0),"※工作类型没选"))</f>
        <v/>
      </c>
      <c r="F713" s="13" t="n"/>
      <c r="G713" s="13" t="n"/>
      <c r="H713" s="20" t="n"/>
      <c r="I713" s="14" t="n"/>
      <c r="J713" s="19">
        <f>IF($C713="","",ROUND(IF($H713="",1,$H713)*N($I713),2))</f>
        <v/>
      </c>
      <c r="K713" s="13" t="n"/>
      <c r="L713" s="13" t="n"/>
      <c r="M713" s="17">
        <f>IF($C713="","",IF(ISNA(MATCH($C713,项目名表,0)),"※项目不在项目台账里",IF($E713="※工作类型没选","※工作类型没选","")))</f>
        <v/>
      </c>
    </row>
    <row r="714">
      <c r="A714" s="17">
        <f>IF($C714="","",ROW()-3)</f>
        <v/>
      </c>
      <c r="B714" s="18" t="n"/>
      <c r="C714" s="13" t="n"/>
      <c r="D714" s="13" t="n"/>
      <c r="E714" s="17">
        <f>IF($C714="","",IFERROR(VLOOKUP($D714,工作归属,2,0),"※工作类型没选"))</f>
        <v/>
      </c>
      <c r="F714" s="13" t="n"/>
      <c r="G714" s="13" t="n"/>
      <c r="H714" s="20" t="n"/>
      <c r="I714" s="14" t="n"/>
      <c r="J714" s="19">
        <f>IF($C714="","",ROUND(IF($H714="",1,$H714)*N($I714),2))</f>
        <v/>
      </c>
      <c r="K714" s="13" t="n"/>
      <c r="L714" s="13" t="n"/>
      <c r="M714" s="17">
        <f>IF($C714="","",IF(ISNA(MATCH($C714,项目名表,0)),"※项目不在项目台账里",IF($E714="※工作类型没选","※工作类型没选","")))</f>
        <v/>
      </c>
    </row>
    <row r="715">
      <c r="A715" s="17">
        <f>IF($C715="","",ROW()-3)</f>
        <v/>
      </c>
      <c r="B715" s="18" t="n"/>
      <c r="C715" s="13" t="n"/>
      <c r="D715" s="13" t="n"/>
      <c r="E715" s="17">
        <f>IF($C715="","",IFERROR(VLOOKUP($D715,工作归属,2,0),"※工作类型没选"))</f>
        <v/>
      </c>
      <c r="F715" s="13" t="n"/>
      <c r="G715" s="13" t="n"/>
      <c r="H715" s="20" t="n"/>
      <c r="I715" s="14" t="n"/>
      <c r="J715" s="19">
        <f>IF($C715="","",ROUND(IF($H715="",1,$H715)*N($I715),2))</f>
        <v/>
      </c>
      <c r="K715" s="13" t="n"/>
      <c r="L715" s="13" t="n"/>
      <c r="M715" s="17">
        <f>IF($C715="","",IF(ISNA(MATCH($C715,项目名表,0)),"※项目不在项目台账里",IF($E715="※工作类型没选","※工作类型没选","")))</f>
        <v/>
      </c>
    </row>
    <row r="716">
      <c r="A716" s="17">
        <f>IF($C716="","",ROW()-3)</f>
        <v/>
      </c>
      <c r="B716" s="18" t="n"/>
      <c r="C716" s="13" t="n"/>
      <c r="D716" s="13" t="n"/>
      <c r="E716" s="17">
        <f>IF($C716="","",IFERROR(VLOOKUP($D716,工作归属,2,0),"※工作类型没选"))</f>
        <v/>
      </c>
      <c r="F716" s="13" t="n"/>
      <c r="G716" s="13" t="n"/>
      <c r="H716" s="20" t="n"/>
      <c r="I716" s="14" t="n"/>
      <c r="J716" s="19">
        <f>IF($C716="","",ROUND(IF($H716="",1,$H716)*N($I716),2))</f>
        <v/>
      </c>
      <c r="K716" s="13" t="n"/>
      <c r="L716" s="13" t="n"/>
      <c r="M716" s="17">
        <f>IF($C716="","",IF(ISNA(MATCH($C716,项目名表,0)),"※项目不在项目台账里",IF($E716="※工作类型没选","※工作类型没选","")))</f>
        <v/>
      </c>
    </row>
    <row r="717">
      <c r="A717" s="17">
        <f>IF($C717="","",ROW()-3)</f>
        <v/>
      </c>
      <c r="B717" s="18" t="n"/>
      <c r="C717" s="13" t="n"/>
      <c r="D717" s="13" t="n"/>
      <c r="E717" s="17">
        <f>IF($C717="","",IFERROR(VLOOKUP($D717,工作归属,2,0),"※工作类型没选"))</f>
        <v/>
      </c>
      <c r="F717" s="13" t="n"/>
      <c r="G717" s="13" t="n"/>
      <c r="H717" s="20" t="n"/>
      <c r="I717" s="14" t="n"/>
      <c r="J717" s="19">
        <f>IF($C717="","",ROUND(IF($H717="",1,$H717)*N($I717),2))</f>
        <v/>
      </c>
      <c r="K717" s="13" t="n"/>
      <c r="L717" s="13" t="n"/>
      <c r="M717" s="17">
        <f>IF($C717="","",IF(ISNA(MATCH($C717,项目名表,0)),"※项目不在项目台账里",IF($E717="※工作类型没选","※工作类型没选","")))</f>
        <v/>
      </c>
    </row>
    <row r="718">
      <c r="A718" s="17">
        <f>IF($C718="","",ROW()-3)</f>
        <v/>
      </c>
      <c r="B718" s="18" t="n"/>
      <c r="C718" s="13" t="n"/>
      <c r="D718" s="13" t="n"/>
      <c r="E718" s="17">
        <f>IF($C718="","",IFERROR(VLOOKUP($D718,工作归属,2,0),"※工作类型没选"))</f>
        <v/>
      </c>
      <c r="F718" s="13" t="n"/>
      <c r="G718" s="13" t="n"/>
      <c r="H718" s="20" t="n"/>
      <c r="I718" s="14" t="n"/>
      <c r="J718" s="19">
        <f>IF($C718="","",ROUND(IF($H718="",1,$H718)*N($I718),2))</f>
        <v/>
      </c>
      <c r="K718" s="13" t="n"/>
      <c r="L718" s="13" t="n"/>
      <c r="M718" s="17">
        <f>IF($C718="","",IF(ISNA(MATCH($C718,项目名表,0)),"※项目不在项目台账里",IF($E718="※工作类型没选","※工作类型没选","")))</f>
        <v/>
      </c>
    </row>
    <row r="719">
      <c r="A719" s="17">
        <f>IF($C719="","",ROW()-3)</f>
        <v/>
      </c>
      <c r="B719" s="18" t="n"/>
      <c r="C719" s="13" t="n"/>
      <c r="D719" s="13" t="n"/>
      <c r="E719" s="17">
        <f>IF($C719="","",IFERROR(VLOOKUP($D719,工作归属,2,0),"※工作类型没选"))</f>
        <v/>
      </c>
      <c r="F719" s="13" t="n"/>
      <c r="G719" s="13" t="n"/>
      <c r="H719" s="20" t="n"/>
      <c r="I719" s="14" t="n"/>
      <c r="J719" s="19">
        <f>IF($C719="","",ROUND(IF($H719="",1,$H719)*N($I719),2))</f>
        <v/>
      </c>
      <c r="K719" s="13" t="n"/>
      <c r="L719" s="13" t="n"/>
      <c r="M719" s="17">
        <f>IF($C719="","",IF(ISNA(MATCH($C719,项目名表,0)),"※项目不在项目台账里",IF($E719="※工作类型没选","※工作类型没选","")))</f>
        <v/>
      </c>
    </row>
    <row r="720">
      <c r="A720" s="17">
        <f>IF($C720="","",ROW()-3)</f>
        <v/>
      </c>
      <c r="B720" s="18" t="n"/>
      <c r="C720" s="13" t="n"/>
      <c r="D720" s="13" t="n"/>
      <c r="E720" s="17">
        <f>IF($C720="","",IFERROR(VLOOKUP($D720,工作归属,2,0),"※工作类型没选"))</f>
        <v/>
      </c>
      <c r="F720" s="13" t="n"/>
      <c r="G720" s="13" t="n"/>
      <c r="H720" s="20" t="n"/>
      <c r="I720" s="14" t="n"/>
      <c r="J720" s="19">
        <f>IF($C720="","",ROUND(IF($H720="",1,$H720)*N($I720),2))</f>
        <v/>
      </c>
      <c r="K720" s="13" t="n"/>
      <c r="L720" s="13" t="n"/>
      <c r="M720" s="17">
        <f>IF($C720="","",IF(ISNA(MATCH($C720,项目名表,0)),"※项目不在项目台账里",IF($E720="※工作类型没选","※工作类型没选","")))</f>
        <v/>
      </c>
    </row>
    <row r="721">
      <c r="A721" s="17">
        <f>IF($C721="","",ROW()-3)</f>
        <v/>
      </c>
      <c r="B721" s="18" t="n"/>
      <c r="C721" s="13" t="n"/>
      <c r="D721" s="13" t="n"/>
      <c r="E721" s="17">
        <f>IF($C721="","",IFERROR(VLOOKUP($D721,工作归属,2,0),"※工作类型没选"))</f>
        <v/>
      </c>
      <c r="F721" s="13" t="n"/>
      <c r="G721" s="13" t="n"/>
      <c r="H721" s="20" t="n"/>
      <c r="I721" s="14" t="n"/>
      <c r="J721" s="19">
        <f>IF($C721="","",ROUND(IF($H721="",1,$H721)*N($I721),2))</f>
        <v/>
      </c>
      <c r="K721" s="13" t="n"/>
      <c r="L721" s="13" t="n"/>
      <c r="M721" s="17">
        <f>IF($C721="","",IF(ISNA(MATCH($C721,项目名表,0)),"※项目不在项目台账里",IF($E721="※工作类型没选","※工作类型没选","")))</f>
        <v/>
      </c>
    </row>
    <row r="722">
      <c r="A722" s="17">
        <f>IF($C722="","",ROW()-3)</f>
        <v/>
      </c>
      <c r="B722" s="18" t="n"/>
      <c r="C722" s="13" t="n"/>
      <c r="D722" s="13" t="n"/>
      <c r="E722" s="17">
        <f>IF($C722="","",IFERROR(VLOOKUP($D722,工作归属,2,0),"※工作类型没选"))</f>
        <v/>
      </c>
      <c r="F722" s="13" t="n"/>
      <c r="G722" s="13" t="n"/>
      <c r="H722" s="20" t="n"/>
      <c r="I722" s="14" t="n"/>
      <c r="J722" s="19">
        <f>IF($C722="","",ROUND(IF($H722="",1,$H722)*N($I722),2))</f>
        <v/>
      </c>
      <c r="K722" s="13" t="n"/>
      <c r="L722" s="13" t="n"/>
      <c r="M722" s="17">
        <f>IF($C722="","",IF(ISNA(MATCH($C722,项目名表,0)),"※项目不在项目台账里",IF($E722="※工作类型没选","※工作类型没选","")))</f>
        <v/>
      </c>
    </row>
    <row r="723">
      <c r="A723" s="17">
        <f>IF($C723="","",ROW()-3)</f>
        <v/>
      </c>
      <c r="B723" s="18" t="n"/>
      <c r="C723" s="13" t="n"/>
      <c r="D723" s="13" t="n"/>
      <c r="E723" s="17">
        <f>IF($C723="","",IFERROR(VLOOKUP($D723,工作归属,2,0),"※工作类型没选"))</f>
        <v/>
      </c>
      <c r="F723" s="13" t="n"/>
      <c r="G723" s="13" t="n"/>
      <c r="H723" s="20" t="n"/>
      <c r="I723" s="14" t="n"/>
      <c r="J723" s="19">
        <f>IF($C723="","",ROUND(IF($H723="",1,$H723)*N($I723),2))</f>
        <v/>
      </c>
      <c r="K723" s="13" t="n"/>
      <c r="L723" s="13" t="n"/>
      <c r="M723" s="17">
        <f>IF($C723="","",IF(ISNA(MATCH($C723,项目名表,0)),"※项目不在项目台账里",IF($E723="※工作类型没选","※工作类型没选","")))</f>
        <v/>
      </c>
    </row>
    <row r="724">
      <c r="A724" s="17">
        <f>IF($C724="","",ROW()-3)</f>
        <v/>
      </c>
      <c r="B724" s="18" t="n"/>
      <c r="C724" s="13" t="n"/>
      <c r="D724" s="13" t="n"/>
      <c r="E724" s="17">
        <f>IF($C724="","",IFERROR(VLOOKUP($D724,工作归属,2,0),"※工作类型没选"))</f>
        <v/>
      </c>
      <c r="F724" s="13" t="n"/>
      <c r="G724" s="13" t="n"/>
      <c r="H724" s="20" t="n"/>
      <c r="I724" s="14" t="n"/>
      <c r="J724" s="19">
        <f>IF($C724="","",ROUND(IF($H724="",1,$H724)*N($I724),2))</f>
        <v/>
      </c>
      <c r="K724" s="13" t="n"/>
      <c r="L724" s="13" t="n"/>
      <c r="M724" s="17">
        <f>IF($C724="","",IF(ISNA(MATCH($C724,项目名表,0)),"※项目不在项目台账里",IF($E724="※工作类型没选","※工作类型没选","")))</f>
        <v/>
      </c>
    </row>
    <row r="725">
      <c r="A725" s="17">
        <f>IF($C725="","",ROW()-3)</f>
        <v/>
      </c>
      <c r="B725" s="18" t="n"/>
      <c r="C725" s="13" t="n"/>
      <c r="D725" s="13" t="n"/>
      <c r="E725" s="17">
        <f>IF($C725="","",IFERROR(VLOOKUP($D725,工作归属,2,0),"※工作类型没选"))</f>
        <v/>
      </c>
      <c r="F725" s="13" t="n"/>
      <c r="G725" s="13" t="n"/>
      <c r="H725" s="20" t="n"/>
      <c r="I725" s="14" t="n"/>
      <c r="J725" s="19">
        <f>IF($C725="","",ROUND(IF($H725="",1,$H725)*N($I725),2))</f>
        <v/>
      </c>
      <c r="K725" s="13" t="n"/>
      <c r="L725" s="13" t="n"/>
      <c r="M725" s="17">
        <f>IF($C725="","",IF(ISNA(MATCH($C725,项目名表,0)),"※项目不在项目台账里",IF($E725="※工作类型没选","※工作类型没选","")))</f>
        <v/>
      </c>
    </row>
    <row r="726">
      <c r="A726" s="17">
        <f>IF($C726="","",ROW()-3)</f>
        <v/>
      </c>
      <c r="B726" s="18" t="n"/>
      <c r="C726" s="13" t="n"/>
      <c r="D726" s="13" t="n"/>
      <c r="E726" s="17">
        <f>IF($C726="","",IFERROR(VLOOKUP($D726,工作归属,2,0),"※工作类型没选"))</f>
        <v/>
      </c>
      <c r="F726" s="13" t="n"/>
      <c r="G726" s="13" t="n"/>
      <c r="H726" s="20" t="n"/>
      <c r="I726" s="14" t="n"/>
      <c r="J726" s="19">
        <f>IF($C726="","",ROUND(IF($H726="",1,$H726)*N($I726),2))</f>
        <v/>
      </c>
      <c r="K726" s="13" t="n"/>
      <c r="L726" s="13" t="n"/>
      <c r="M726" s="17">
        <f>IF($C726="","",IF(ISNA(MATCH($C726,项目名表,0)),"※项目不在项目台账里",IF($E726="※工作类型没选","※工作类型没选","")))</f>
        <v/>
      </c>
    </row>
    <row r="727">
      <c r="A727" s="17">
        <f>IF($C727="","",ROW()-3)</f>
        <v/>
      </c>
      <c r="B727" s="18" t="n"/>
      <c r="C727" s="13" t="n"/>
      <c r="D727" s="13" t="n"/>
      <c r="E727" s="17">
        <f>IF($C727="","",IFERROR(VLOOKUP($D727,工作归属,2,0),"※工作类型没选"))</f>
        <v/>
      </c>
      <c r="F727" s="13" t="n"/>
      <c r="G727" s="13" t="n"/>
      <c r="H727" s="20" t="n"/>
      <c r="I727" s="14" t="n"/>
      <c r="J727" s="19">
        <f>IF($C727="","",ROUND(IF($H727="",1,$H727)*N($I727),2))</f>
        <v/>
      </c>
      <c r="K727" s="13" t="n"/>
      <c r="L727" s="13" t="n"/>
      <c r="M727" s="17">
        <f>IF($C727="","",IF(ISNA(MATCH($C727,项目名表,0)),"※项目不在项目台账里",IF($E727="※工作类型没选","※工作类型没选","")))</f>
        <v/>
      </c>
    </row>
    <row r="728">
      <c r="A728" s="17">
        <f>IF($C728="","",ROW()-3)</f>
        <v/>
      </c>
      <c r="B728" s="18" t="n"/>
      <c r="C728" s="13" t="n"/>
      <c r="D728" s="13" t="n"/>
      <c r="E728" s="17">
        <f>IF($C728="","",IFERROR(VLOOKUP($D728,工作归属,2,0),"※工作类型没选"))</f>
        <v/>
      </c>
      <c r="F728" s="13" t="n"/>
      <c r="G728" s="13" t="n"/>
      <c r="H728" s="20" t="n"/>
      <c r="I728" s="14" t="n"/>
      <c r="J728" s="19">
        <f>IF($C728="","",ROUND(IF($H728="",1,$H728)*N($I728),2))</f>
        <v/>
      </c>
      <c r="K728" s="13" t="n"/>
      <c r="L728" s="13" t="n"/>
      <c r="M728" s="17">
        <f>IF($C728="","",IF(ISNA(MATCH($C728,项目名表,0)),"※项目不在项目台账里",IF($E728="※工作类型没选","※工作类型没选","")))</f>
        <v/>
      </c>
    </row>
    <row r="729">
      <c r="A729" s="17">
        <f>IF($C729="","",ROW()-3)</f>
        <v/>
      </c>
      <c r="B729" s="18" t="n"/>
      <c r="C729" s="13" t="n"/>
      <c r="D729" s="13" t="n"/>
      <c r="E729" s="17">
        <f>IF($C729="","",IFERROR(VLOOKUP($D729,工作归属,2,0),"※工作类型没选"))</f>
        <v/>
      </c>
      <c r="F729" s="13" t="n"/>
      <c r="G729" s="13" t="n"/>
      <c r="H729" s="20" t="n"/>
      <c r="I729" s="14" t="n"/>
      <c r="J729" s="19">
        <f>IF($C729="","",ROUND(IF($H729="",1,$H729)*N($I729),2))</f>
        <v/>
      </c>
      <c r="K729" s="13" t="n"/>
      <c r="L729" s="13" t="n"/>
      <c r="M729" s="17">
        <f>IF($C729="","",IF(ISNA(MATCH($C729,项目名表,0)),"※项目不在项目台账里",IF($E729="※工作类型没选","※工作类型没选","")))</f>
        <v/>
      </c>
    </row>
    <row r="730">
      <c r="A730" s="17">
        <f>IF($C730="","",ROW()-3)</f>
        <v/>
      </c>
      <c r="B730" s="18" t="n"/>
      <c r="C730" s="13" t="n"/>
      <c r="D730" s="13" t="n"/>
      <c r="E730" s="17">
        <f>IF($C730="","",IFERROR(VLOOKUP($D730,工作归属,2,0),"※工作类型没选"))</f>
        <v/>
      </c>
      <c r="F730" s="13" t="n"/>
      <c r="G730" s="13" t="n"/>
      <c r="H730" s="20" t="n"/>
      <c r="I730" s="14" t="n"/>
      <c r="J730" s="19">
        <f>IF($C730="","",ROUND(IF($H730="",1,$H730)*N($I730),2))</f>
        <v/>
      </c>
      <c r="K730" s="13" t="n"/>
      <c r="L730" s="13" t="n"/>
      <c r="M730" s="17">
        <f>IF($C730="","",IF(ISNA(MATCH($C730,项目名表,0)),"※项目不在项目台账里",IF($E730="※工作类型没选","※工作类型没选","")))</f>
        <v/>
      </c>
    </row>
    <row r="731">
      <c r="A731" s="17">
        <f>IF($C731="","",ROW()-3)</f>
        <v/>
      </c>
      <c r="B731" s="18" t="n"/>
      <c r="C731" s="13" t="n"/>
      <c r="D731" s="13" t="n"/>
      <c r="E731" s="17">
        <f>IF($C731="","",IFERROR(VLOOKUP($D731,工作归属,2,0),"※工作类型没选"))</f>
        <v/>
      </c>
      <c r="F731" s="13" t="n"/>
      <c r="G731" s="13" t="n"/>
      <c r="H731" s="20" t="n"/>
      <c r="I731" s="14" t="n"/>
      <c r="J731" s="19">
        <f>IF($C731="","",ROUND(IF($H731="",1,$H731)*N($I731),2))</f>
        <v/>
      </c>
      <c r="K731" s="13" t="n"/>
      <c r="L731" s="13" t="n"/>
      <c r="M731" s="17">
        <f>IF($C731="","",IF(ISNA(MATCH($C731,项目名表,0)),"※项目不在项目台账里",IF($E731="※工作类型没选","※工作类型没选","")))</f>
        <v/>
      </c>
    </row>
    <row r="732">
      <c r="A732" s="17">
        <f>IF($C732="","",ROW()-3)</f>
        <v/>
      </c>
      <c r="B732" s="18" t="n"/>
      <c r="C732" s="13" t="n"/>
      <c r="D732" s="13" t="n"/>
      <c r="E732" s="17">
        <f>IF($C732="","",IFERROR(VLOOKUP($D732,工作归属,2,0),"※工作类型没选"))</f>
        <v/>
      </c>
      <c r="F732" s="13" t="n"/>
      <c r="G732" s="13" t="n"/>
      <c r="H732" s="20" t="n"/>
      <c r="I732" s="14" t="n"/>
      <c r="J732" s="19">
        <f>IF($C732="","",ROUND(IF($H732="",1,$H732)*N($I732),2))</f>
        <v/>
      </c>
      <c r="K732" s="13" t="n"/>
      <c r="L732" s="13" t="n"/>
      <c r="M732" s="17">
        <f>IF($C732="","",IF(ISNA(MATCH($C732,项目名表,0)),"※项目不在项目台账里",IF($E732="※工作类型没选","※工作类型没选","")))</f>
        <v/>
      </c>
    </row>
    <row r="733">
      <c r="A733" s="17">
        <f>IF($C733="","",ROW()-3)</f>
        <v/>
      </c>
      <c r="B733" s="18" t="n"/>
      <c r="C733" s="13" t="n"/>
      <c r="D733" s="13" t="n"/>
      <c r="E733" s="17">
        <f>IF($C733="","",IFERROR(VLOOKUP($D733,工作归属,2,0),"※工作类型没选"))</f>
        <v/>
      </c>
      <c r="F733" s="13" t="n"/>
      <c r="G733" s="13" t="n"/>
      <c r="H733" s="20" t="n"/>
      <c r="I733" s="14" t="n"/>
      <c r="J733" s="19">
        <f>IF($C733="","",ROUND(IF($H733="",1,$H733)*N($I733),2))</f>
        <v/>
      </c>
      <c r="K733" s="13" t="n"/>
      <c r="L733" s="13" t="n"/>
      <c r="M733" s="17">
        <f>IF($C733="","",IF(ISNA(MATCH($C733,项目名表,0)),"※项目不在项目台账里",IF($E733="※工作类型没选","※工作类型没选","")))</f>
        <v/>
      </c>
    </row>
    <row r="734">
      <c r="A734" s="17">
        <f>IF($C734="","",ROW()-3)</f>
        <v/>
      </c>
      <c r="B734" s="18" t="n"/>
      <c r="C734" s="13" t="n"/>
      <c r="D734" s="13" t="n"/>
      <c r="E734" s="17">
        <f>IF($C734="","",IFERROR(VLOOKUP($D734,工作归属,2,0),"※工作类型没选"))</f>
        <v/>
      </c>
      <c r="F734" s="13" t="n"/>
      <c r="G734" s="13" t="n"/>
      <c r="H734" s="20" t="n"/>
      <c r="I734" s="14" t="n"/>
      <c r="J734" s="19">
        <f>IF($C734="","",ROUND(IF($H734="",1,$H734)*N($I734),2))</f>
        <v/>
      </c>
      <c r="K734" s="13" t="n"/>
      <c r="L734" s="13" t="n"/>
      <c r="M734" s="17">
        <f>IF($C734="","",IF(ISNA(MATCH($C734,项目名表,0)),"※项目不在项目台账里",IF($E734="※工作类型没选","※工作类型没选","")))</f>
        <v/>
      </c>
    </row>
    <row r="735">
      <c r="A735" s="17">
        <f>IF($C735="","",ROW()-3)</f>
        <v/>
      </c>
      <c r="B735" s="18" t="n"/>
      <c r="C735" s="13" t="n"/>
      <c r="D735" s="13" t="n"/>
      <c r="E735" s="17">
        <f>IF($C735="","",IFERROR(VLOOKUP($D735,工作归属,2,0),"※工作类型没选"))</f>
        <v/>
      </c>
      <c r="F735" s="13" t="n"/>
      <c r="G735" s="13" t="n"/>
      <c r="H735" s="20" t="n"/>
      <c r="I735" s="14" t="n"/>
      <c r="J735" s="19">
        <f>IF($C735="","",ROUND(IF($H735="",1,$H735)*N($I735),2))</f>
        <v/>
      </c>
      <c r="K735" s="13" t="n"/>
      <c r="L735" s="13" t="n"/>
      <c r="M735" s="17">
        <f>IF($C735="","",IF(ISNA(MATCH($C735,项目名表,0)),"※项目不在项目台账里",IF($E735="※工作类型没选","※工作类型没选","")))</f>
        <v/>
      </c>
    </row>
    <row r="736">
      <c r="A736" s="17">
        <f>IF($C736="","",ROW()-3)</f>
        <v/>
      </c>
      <c r="B736" s="18" t="n"/>
      <c r="C736" s="13" t="n"/>
      <c r="D736" s="13" t="n"/>
      <c r="E736" s="17">
        <f>IF($C736="","",IFERROR(VLOOKUP($D736,工作归属,2,0),"※工作类型没选"))</f>
        <v/>
      </c>
      <c r="F736" s="13" t="n"/>
      <c r="G736" s="13" t="n"/>
      <c r="H736" s="20" t="n"/>
      <c r="I736" s="14" t="n"/>
      <c r="J736" s="19">
        <f>IF($C736="","",ROUND(IF($H736="",1,$H736)*N($I736),2))</f>
        <v/>
      </c>
      <c r="K736" s="13" t="n"/>
      <c r="L736" s="13" t="n"/>
      <c r="M736" s="17">
        <f>IF($C736="","",IF(ISNA(MATCH($C736,项目名表,0)),"※项目不在项目台账里",IF($E736="※工作类型没选","※工作类型没选","")))</f>
        <v/>
      </c>
    </row>
    <row r="737">
      <c r="A737" s="17">
        <f>IF($C737="","",ROW()-3)</f>
        <v/>
      </c>
      <c r="B737" s="18" t="n"/>
      <c r="C737" s="13" t="n"/>
      <c r="D737" s="13" t="n"/>
      <c r="E737" s="17">
        <f>IF($C737="","",IFERROR(VLOOKUP($D737,工作归属,2,0),"※工作类型没选"))</f>
        <v/>
      </c>
      <c r="F737" s="13" t="n"/>
      <c r="G737" s="13" t="n"/>
      <c r="H737" s="20" t="n"/>
      <c r="I737" s="14" t="n"/>
      <c r="J737" s="19">
        <f>IF($C737="","",ROUND(IF($H737="",1,$H737)*N($I737),2))</f>
        <v/>
      </c>
      <c r="K737" s="13" t="n"/>
      <c r="L737" s="13" t="n"/>
      <c r="M737" s="17">
        <f>IF($C737="","",IF(ISNA(MATCH($C737,项目名表,0)),"※项目不在项目台账里",IF($E737="※工作类型没选","※工作类型没选","")))</f>
        <v/>
      </c>
    </row>
    <row r="738">
      <c r="A738" s="17">
        <f>IF($C738="","",ROW()-3)</f>
        <v/>
      </c>
      <c r="B738" s="18" t="n"/>
      <c r="C738" s="13" t="n"/>
      <c r="D738" s="13" t="n"/>
      <c r="E738" s="17">
        <f>IF($C738="","",IFERROR(VLOOKUP($D738,工作归属,2,0),"※工作类型没选"))</f>
        <v/>
      </c>
      <c r="F738" s="13" t="n"/>
      <c r="G738" s="13" t="n"/>
      <c r="H738" s="20" t="n"/>
      <c r="I738" s="14" t="n"/>
      <c r="J738" s="19">
        <f>IF($C738="","",ROUND(IF($H738="",1,$H738)*N($I738),2))</f>
        <v/>
      </c>
      <c r="K738" s="13" t="n"/>
      <c r="L738" s="13" t="n"/>
      <c r="M738" s="17">
        <f>IF($C738="","",IF(ISNA(MATCH($C738,项目名表,0)),"※项目不在项目台账里",IF($E738="※工作类型没选","※工作类型没选","")))</f>
        <v/>
      </c>
    </row>
    <row r="739">
      <c r="A739" s="17">
        <f>IF($C739="","",ROW()-3)</f>
        <v/>
      </c>
      <c r="B739" s="18" t="n"/>
      <c r="C739" s="13" t="n"/>
      <c r="D739" s="13" t="n"/>
      <c r="E739" s="17">
        <f>IF($C739="","",IFERROR(VLOOKUP($D739,工作归属,2,0),"※工作类型没选"))</f>
        <v/>
      </c>
      <c r="F739" s="13" t="n"/>
      <c r="G739" s="13" t="n"/>
      <c r="H739" s="20" t="n"/>
      <c r="I739" s="14" t="n"/>
      <c r="J739" s="19">
        <f>IF($C739="","",ROUND(IF($H739="",1,$H739)*N($I739),2))</f>
        <v/>
      </c>
      <c r="K739" s="13" t="n"/>
      <c r="L739" s="13" t="n"/>
      <c r="M739" s="17">
        <f>IF($C739="","",IF(ISNA(MATCH($C739,项目名表,0)),"※项目不在项目台账里",IF($E739="※工作类型没选","※工作类型没选","")))</f>
        <v/>
      </c>
    </row>
    <row r="740">
      <c r="A740" s="17">
        <f>IF($C740="","",ROW()-3)</f>
        <v/>
      </c>
      <c r="B740" s="18" t="n"/>
      <c r="C740" s="13" t="n"/>
      <c r="D740" s="13" t="n"/>
      <c r="E740" s="17">
        <f>IF($C740="","",IFERROR(VLOOKUP($D740,工作归属,2,0),"※工作类型没选"))</f>
        <v/>
      </c>
      <c r="F740" s="13" t="n"/>
      <c r="G740" s="13" t="n"/>
      <c r="H740" s="20" t="n"/>
      <c r="I740" s="14" t="n"/>
      <c r="J740" s="19">
        <f>IF($C740="","",ROUND(IF($H740="",1,$H740)*N($I740),2))</f>
        <v/>
      </c>
      <c r="K740" s="13" t="n"/>
      <c r="L740" s="13" t="n"/>
      <c r="M740" s="17">
        <f>IF($C740="","",IF(ISNA(MATCH($C740,项目名表,0)),"※项目不在项目台账里",IF($E740="※工作类型没选","※工作类型没选","")))</f>
        <v/>
      </c>
    </row>
    <row r="741">
      <c r="A741" s="17">
        <f>IF($C741="","",ROW()-3)</f>
        <v/>
      </c>
      <c r="B741" s="18" t="n"/>
      <c r="C741" s="13" t="n"/>
      <c r="D741" s="13" t="n"/>
      <c r="E741" s="17">
        <f>IF($C741="","",IFERROR(VLOOKUP($D741,工作归属,2,0),"※工作类型没选"))</f>
        <v/>
      </c>
      <c r="F741" s="13" t="n"/>
      <c r="G741" s="13" t="n"/>
      <c r="H741" s="20" t="n"/>
      <c r="I741" s="14" t="n"/>
      <c r="J741" s="19">
        <f>IF($C741="","",ROUND(IF($H741="",1,$H741)*N($I741),2))</f>
        <v/>
      </c>
      <c r="K741" s="13" t="n"/>
      <c r="L741" s="13" t="n"/>
      <c r="M741" s="17">
        <f>IF($C741="","",IF(ISNA(MATCH($C741,项目名表,0)),"※项目不在项目台账里",IF($E741="※工作类型没选","※工作类型没选","")))</f>
        <v/>
      </c>
    </row>
    <row r="742">
      <c r="A742" s="17">
        <f>IF($C742="","",ROW()-3)</f>
        <v/>
      </c>
      <c r="B742" s="18" t="n"/>
      <c r="C742" s="13" t="n"/>
      <c r="D742" s="13" t="n"/>
      <c r="E742" s="17">
        <f>IF($C742="","",IFERROR(VLOOKUP($D742,工作归属,2,0),"※工作类型没选"))</f>
        <v/>
      </c>
      <c r="F742" s="13" t="n"/>
      <c r="G742" s="13" t="n"/>
      <c r="H742" s="20" t="n"/>
      <c r="I742" s="14" t="n"/>
      <c r="J742" s="19">
        <f>IF($C742="","",ROUND(IF($H742="",1,$H742)*N($I742),2))</f>
        <v/>
      </c>
      <c r="K742" s="13" t="n"/>
      <c r="L742" s="13" t="n"/>
      <c r="M742" s="17">
        <f>IF($C742="","",IF(ISNA(MATCH($C742,项目名表,0)),"※项目不在项目台账里",IF($E742="※工作类型没选","※工作类型没选","")))</f>
        <v/>
      </c>
    </row>
    <row r="743">
      <c r="A743" s="17">
        <f>IF($C743="","",ROW()-3)</f>
        <v/>
      </c>
      <c r="B743" s="18" t="n"/>
      <c r="C743" s="13" t="n"/>
      <c r="D743" s="13" t="n"/>
      <c r="E743" s="17">
        <f>IF($C743="","",IFERROR(VLOOKUP($D743,工作归属,2,0),"※工作类型没选"))</f>
        <v/>
      </c>
      <c r="F743" s="13" t="n"/>
      <c r="G743" s="13" t="n"/>
      <c r="H743" s="20" t="n"/>
      <c r="I743" s="14" t="n"/>
      <c r="J743" s="19">
        <f>IF($C743="","",ROUND(IF($H743="",1,$H743)*N($I743),2))</f>
        <v/>
      </c>
      <c r="K743" s="13" t="n"/>
      <c r="L743" s="13" t="n"/>
      <c r="M743" s="17">
        <f>IF($C743="","",IF(ISNA(MATCH($C743,项目名表,0)),"※项目不在项目台账里",IF($E743="※工作类型没选","※工作类型没选","")))</f>
        <v/>
      </c>
    </row>
    <row r="744">
      <c r="A744" s="17">
        <f>IF($C744="","",ROW()-3)</f>
        <v/>
      </c>
      <c r="B744" s="18" t="n"/>
      <c r="C744" s="13" t="n"/>
      <c r="D744" s="13" t="n"/>
      <c r="E744" s="17">
        <f>IF($C744="","",IFERROR(VLOOKUP($D744,工作归属,2,0),"※工作类型没选"))</f>
        <v/>
      </c>
      <c r="F744" s="13" t="n"/>
      <c r="G744" s="13" t="n"/>
      <c r="H744" s="20" t="n"/>
      <c r="I744" s="14" t="n"/>
      <c r="J744" s="19">
        <f>IF($C744="","",ROUND(IF($H744="",1,$H744)*N($I744),2))</f>
        <v/>
      </c>
      <c r="K744" s="13" t="n"/>
      <c r="L744" s="13" t="n"/>
      <c r="M744" s="17">
        <f>IF($C744="","",IF(ISNA(MATCH($C744,项目名表,0)),"※项目不在项目台账里",IF($E744="※工作类型没选","※工作类型没选","")))</f>
        <v/>
      </c>
    </row>
    <row r="745">
      <c r="A745" s="17">
        <f>IF($C745="","",ROW()-3)</f>
        <v/>
      </c>
      <c r="B745" s="18" t="n"/>
      <c r="C745" s="13" t="n"/>
      <c r="D745" s="13" t="n"/>
      <c r="E745" s="17">
        <f>IF($C745="","",IFERROR(VLOOKUP($D745,工作归属,2,0),"※工作类型没选"))</f>
        <v/>
      </c>
      <c r="F745" s="13" t="n"/>
      <c r="G745" s="13" t="n"/>
      <c r="H745" s="20" t="n"/>
      <c r="I745" s="14" t="n"/>
      <c r="J745" s="19">
        <f>IF($C745="","",ROUND(IF($H745="",1,$H745)*N($I745),2))</f>
        <v/>
      </c>
      <c r="K745" s="13" t="n"/>
      <c r="L745" s="13" t="n"/>
      <c r="M745" s="17">
        <f>IF($C745="","",IF(ISNA(MATCH($C745,项目名表,0)),"※项目不在项目台账里",IF($E745="※工作类型没选","※工作类型没选","")))</f>
        <v/>
      </c>
    </row>
    <row r="746">
      <c r="A746" s="17">
        <f>IF($C746="","",ROW()-3)</f>
        <v/>
      </c>
      <c r="B746" s="18" t="n"/>
      <c r="C746" s="13" t="n"/>
      <c r="D746" s="13" t="n"/>
      <c r="E746" s="17">
        <f>IF($C746="","",IFERROR(VLOOKUP($D746,工作归属,2,0),"※工作类型没选"))</f>
        <v/>
      </c>
      <c r="F746" s="13" t="n"/>
      <c r="G746" s="13" t="n"/>
      <c r="H746" s="20" t="n"/>
      <c r="I746" s="14" t="n"/>
      <c r="J746" s="19">
        <f>IF($C746="","",ROUND(IF($H746="",1,$H746)*N($I746),2))</f>
        <v/>
      </c>
      <c r="K746" s="13" t="n"/>
      <c r="L746" s="13" t="n"/>
      <c r="M746" s="17">
        <f>IF($C746="","",IF(ISNA(MATCH($C746,项目名表,0)),"※项目不在项目台账里",IF($E746="※工作类型没选","※工作类型没选","")))</f>
        <v/>
      </c>
    </row>
    <row r="747">
      <c r="A747" s="17">
        <f>IF($C747="","",ROW()-3)</f>
        <v/>
      </c>
      <c r="B747" s="18" t="n"/>
      <c r="C747" s="13" t="n"/>
      <c r="D747" s="13" t="n"/>
      <c r="E747" s="17">
        <f>IF($C747="","",IFERROR(VLOOKUP($D747,工作归属,2,0),"※工作类型没选"))</f>
        <v/>
      </c>
      <c r="F747" s="13" t="n"/>
      <c r="G747" s="13" t="n"/>
      <c r="H747" s="20" t="n"/>
      <c r="I747" s="14" t="n"/>
      <c r="J747" s="19">
        <f>IF($C747="","",ROUND(IF($H747="",1,$H747)*N($I747),2))</f>
        <v/>
      </c>
      <c r="K747" s="13" t="n"/>
      <c r="L747" s="13" t="n"/>
      <c r="M747" s="17">
        <f>IF($C747="","",IF(ISNA(MATCH($C747,项目名表,0)),"※项目不在项目台账里",IF($E747="※工作类型没选","※工作类型没选","")))</f>
        <v/>
      </c>
    </row>
    <row r="748">
      <c r="A748" s="17">
        <f>IF($C748="","",ROW()-3)</f>
        <v/>
      </c>
      <c r="B748" s="18" t="n"/>
      <c r="C748" s="13" t="n"/>
      <c r="D748" s="13" t="n"/>
      <c r="E748" s="17">
        <f>IF($C748="","",IFERROR(VLOOKUP($D748,工作归属,2,0),"※工作类型没选"))</f>
        <v/>
      </c>
      <c r="F748" s="13" t="n"/>
      <c r="G748" s="13" t="n"/>
      <c r="H748" s="20" t="n"/>
      <c r="I748" s="14" t="n"/>
      <c r="J748" s="19">
        <f>IF($C748="","",ROUND(IF($H748="",1,$H748)*N($I748),2))</f>
        <v/>
      </c>
      <c r="K748" s="13" t="n"/>
      <c r="L748" s="13" t="n"/>
      <c r="M748" s="17">
        <f>IF($C748="","",IF(ISNA(MATCH($C748,项目名表,0)),"※项目不在项目台账里",IF($E748="※工作类型没选","※工作类型没选","")))</f>
        <v/>
      </c>
    </row>
    <row r="749">
      <c r="A749" s="17">
        <f>IF($C749="","",ROW()-3)</f>
        <v/>
      </c>
      <c r="B749" s="18" t="n"/>
      <c r="C749" s="13" t="n"/>
      <c r="D749" s="13" t="n"/>
      <c r="E749" s="17">
        <f>IF($C749="","",IFERROR(VLOOKUP($D749,工作归属,2,0),"※工作类型没选"))</f>
        <v/>
      </c>
      <c r="F749" s="13" t="n"/>
      <c r="G749" s="13" t="n"/>
      <c r="H749" s="20" t="n"/>
      <c r="I749" s="14" t="n"/>
      <c r="J749" s="19">
        <f>IF($C749="","",ROUND(IF($H749="",1,$H749)*N($I749),2))</f>
        <v/>
      </c>
      <c r="K749" s="13" t="n"/>
      <c r="L749" s="13" t="n"/>
      <c r="M749" s="17">
        <f>IF($C749="","",IF(ISNA(MATCH($C749,项目名表,0)),"※项目不在项目台账里",IF($E749="※工作类型没选","※工作类型没选","")))</f>
        <v/>
      </c>
    </row>
    <row r="750">
      <c r="A750" s="17">
        <f>IF($C750="","",ROW()-3)</f>
        <v/>
      </c>
      <c r="B750" s="18" t="n"/>
      <c r="C750" s="13" t="n"/>
      <c r="D750" s="13" t="n"/>
      <c r="E750" s="17">
        <f>IF($C750="","",IFERROR(VLOOKUP($D750,工作归属,2,0),"※工作类型没选"))</f>
        <v/>
      </c>
      <c r="F750" s="13" t="n"/>
      <c r="G750" s="13" t="n"/>
      <c r="H750" s="20" t="n"/>
      <c r="I750" s="14" t="n"/>
      <c r="J750" s="19">
        <f>IF($C750="","",ROUND(IF($H750="",1,$H750)*N($I750),2))</f>
        <v/>
      </c>
      <c r="K750" s="13" t="n"/>
      <c r="L750" s="13" t="n"/>
      <c r="M750" s="17">
        <f>IF($C750="","",IF(ISNA(MATCH($C750,项目名表,0)),"※项目不在项目台账里",IF($E750="※工作类型没选","※工作类型没选","")))</f>
        <v/>
      </c>
    </row>
    <row r="751">
      <c r="A751" s="17">
        <f>IF($C751="","",ROW()-3)</f>
        <v/>
      </c>
      <c r="B751" s="18" t="n"/>
      <c r="C751" s="13" t="n"/>
      <c r="D751" s="13" t="n"/>
      <c r="E751" s="17">
        <f>IF($C751="","",IFERROR(VLOOKUP($D751,工作归属,2,0),"※工作类型没选"))</f>
        <v/>
      </c>
      <c r="F751" s="13" t="n"/>
      <c r="G751" s="13" t="n"/>
      <c r="H751" s="20" t="n"/>
      <c r="I751" s="14" t="n"/>
      <c r="J751" s="19">
        <f>IF($C751="","",ROUND(IF($H751="",1,$H751)*N($I751),2))</f>
        <v/>
      </c>
      <c r="K751" s="13" t="n"/>
      <c r="L751" s="13" t="n"/>
      <c r="M751" s="17">
        <f>IF($C751="","",IF(ISNA(MATCH($C751,项目名表,0)),"※项目不在项目台账里",IF($E751="※工作类型没选","※工作类型没选","")))</f>
        <v/>
      </c>
    </row>
    <row r="752">
      <c r="A752" s="17">
        <f>IF($C752="","",ROW()-3)</f>
        <v/>
      </c>
      <c r="B752" s="18" t="n"/>
      <c r="C752" s="13" t="n"/>
      <c r="D752" s="13" t="n"/>
      <c r="E752" s="17">
        <f>IF($C752="","",IFERROR(VLOOKUP($D752,工作归属,2,0),"※工作类型没选"))</f>
        <v/>
      </c>
      <c r="F752" s="13" t="n"/>
      <c r="G752" s="13" t="n"/>
      <c r="H752" s="20" t="n"/>
      <c r="I752" s="14" t="n"/>
      <c r="J752" s="19">
        <f>IF($C752="","",ROUND(IF($H752="",1,$H752)*N($I752),2))</f>
        <v/>
      </c>
      <c r="K752" s="13" t="n"/>
      <c r="L752" s="13" t="n"/>
      <c r="M752" s="17">
        <f>IF($C752="","",IF(ISNA(MATCH($C752,项目名表,0)),"※项目不在项目台账里",IF($E752="※工作类型没选","※工作类型没选","")))</f>
        <v/>
      </c>
    </row>
    <row r="753">
      <c r="A753" s="17">
        <f>IF($C753="","",ROW()-3)</f>
        <v/>
      </c>
      <c r="B753" s="18" t="n"/>
      <c r="C753" s="13" t="n"/>
      <c r="D753" s="13" t="n"/>
      <c r="E753" s="17">
        <f>IF($C753="","",IFERROR(VLOOKUP($D753,工作归属,2,0),"※工作类型没选"))</f>
        <v/>
      </c>
      <c r="F753" s="13" t="n"/>
      <c r="G753" s="13" t="n"/>
      <c r="H753" s="20" t="n"/>
      <c r="I753" s="14" t="n"/>
      <c r="J753" s="19">
        <f>IF($C753="","",ROUND(IF($H753="",1,$H753)*N($I753),2))</f>
        <v/>
      </c>
      <c r="K753" s="13" t="n"/>
      <c r="L753" s="13" t="n"/>
      <c r="M753" s="17">
        <f>IF($C753="","",IF(ISNA(MATCH($C753,项目名表,0)),"※项目不在项目台账里",IF($E753="※工作类型没选","※工作类型没选","")))</f>
        <v/>
      </c>
    </row>
    <row r="754">
      <c r="A754" s="17">
        <f>IF($C754="","",ROW()-3)</f>
        <v/>
      </c>
      <c r="B754" s="18" t="n"/>
      <c r="C754" s="13" t="n"/>
      <c r="D754" s="13" t="n"/>
      <c r="E754" s="17">
        <f>IF($C754="","",IFERROR(VLOOKUP($D754,工作归属,2,0),"※工作类型没选"))</f>
        <v/>
      </c>
      <c r="F754" s="13" t="n"/>
      <c r="G754" s="13" t="n"/>
      <c r="H754" s="20" t="n"/>
      <c r="I754" s="14" t="n"/>
      <c r="J754" s="19">
        <f>IF($C754="","",ROUND(IF($H754="",1,$H754)*N($I754),2))</f>
        <v/>
      </c>
      <c r="K754" s="13" t="n"/>
      <c r="L754" s="13" t="n"/>
      <c r="M754" s="17">
        <f>IF($C754="","",IF(ISNA(MATCH($C754,项目名表,0)),"※项目不在项目台账里",IF($E754="※工作类型没选","※工作类型没选","")))</f>
        <v/>
      </c>
    </row>
    <row r="755">
      <c r="A755" s="17">
        <f>IF($C755="","",ROW()-3)</f>
        <v/>
      </c>
      <c r="B755" s="18" t="n"/>
      <c r="C755" s="13" t="n"/>
      <c r="D755" s="13" t="n"/>
      <c r="E755" s="17">
        <f>IF($C755="","",IFERROR(VLOOKUP($D755,工作归属,2,0),"※工作类型没选"))</f>
        <v/>
      </c>
      <c r="F755" s="13" t="n"/>
      <c r="G755" s="13" t="n"/>
      <c r="H755" s="20" t="n"/>
      <c r="I755" s="14" t="n"/>
      <c r="J755" s="19">
        <f>IF($C755="","",ROUND(IF($H755="",1,$H755)*N($I755),2))</f>
        <v/>
      </c>
      <c r="K755" s="13" t="n"/>
      <c r="L755" s="13" t="n"/>
      <c r="M755" s="17">
        <f>IF($C755="","",IF(ISNA(MATCH($C755,项目名表,0)),"※项目不在项目台账里",IF($E755="※工作类型没选","※工作类型没选","")))</f>
        <v/>
      </c>
    </row>
    <row r="756">
      <c r="A756" s="17">
        <f>IF($C756="","",ROW()-3)</f>
        <v/>
      </c>
      <c r="B756" s="18" t="n"/>
      <c r="C756" s="13" t="n"/>
      <c r="D756" s="13" t="n"/>
      <c r="E756" s="17">
        <f>IF($C756="","",IFERROR(VLOOKUP($D756,工作归属,2,0),"※工作类型没选"))</f>
        <v/>
      </c>
      <c r="F756" s="13" t="n"/>
      <c r="G756" s="13" t="n"/>
      <c r="H756" s="20" t="n"/>
      <c r="I756" s="14" t="n"/>
      <c r="J756" s="19">
        <f>IF($C756="","",ROUND(IF($H756="",1,$H756)*N($I756),2))</f>
        <v/>
      </c>
      <c r="K756" s="13" t="n"/>
      <c r="L756" s="13" t="n"/>
      <c r="M756" s="17">
        <f>IF($C756="","",IF(ISNA(MATCH($C756,项目名表,0)),"※项目不在项目台账里",IF($E756="※工作类型没选","※工作类型没选","")))</f>
        <v/>
      </c>
    </row>
    <row r="757">
      <c r="A757" s="17">
        <f>IF($C757="","",ROW()-3)</f>
        <v/>
      </c>
      <c r="B757" s="18" t="n"/>
      <c r="C757" s="13" t="n"/>
      <c r="D757" s="13" t="n"/>
      <c r="E757" s="17">
        <f>IF($C757="","",IFERROR(VLOOKUP($D757,工作归属,2,0),"※工作类型没选"))</f>
        <v/>
      </c>
      <c r="F757" s="13" t="n"/>
      <c r="G757" s="13" t="n"/>
      <c r="H757" s="20" t="n"/>
      <c r="I757" s="14" t="n"/>
      <c r="J757" s="19">
        <f>IF($C757="","",ROUND(IF($H757="",1,$H757)*N($I757),2))</f>
        <v/>
      </c>
      <c r="K757" s="13" t="n"/>
      <c r="L757" s="13" t="n"/>
      <c r="M757" s="17">
        <f>IF($C757="","",IF(ISNA(MATCH($C757,项目名表,0)),"※项目不在项目台账里",IF($E757="※工作类型没选","※工作类型没选","")))</f>
        <v/>
      </c>
    </row>
    <row r="758">
      <c r="A758" s="17">
        <f>IF($C758="","",ROW()-3)</f>
        <v/>
      </c>
      <c r="B758" s="18" t="n"/>
      <c r="C758" s="13" t="n"/>
      <c r="D758" s="13" t="n"/>
      <c r="E758" s="17">
        <f>IF($C758="","",IFERROR(VLOOKUP($D758,工作归属,2,0),"※工作类型没选"))</f>
        <v/>
      </c>
      <c r="F758" s="13" t="n"/>
      <c r="G758" s="13" t="n"/>
      <c r="H758" s="20" t="n"/>
      <c r="I758" s="14" t="n"/>
      <c r="J758" s="19">
        <f>IF($C758="","",ROUND(IF($H758="",1,$H758)*N($I758),2))</f>
        <v/>
      </c>
      <c r="K758" s="13" t="n"/>
      <c r="L758" s="13" t="n"/>
      <c r="M758" s="17">
        <f>IF($C758="","",IF(ISNA(MATCH($C758,项目名表,0)),"※项目不在项目台账里",IF($E758="※工作类型没选","※工作类型没选","")))</f>
        <v/>
      </c>
    </row>
    <row r="759">
      <c r="A759" s="17">
        <f>IF($C759="","",ROW()-3)</f>
        <v/>
      </c>
      <c r="B759" s="18" t="n"/>
      <c r="C759" s="13" t="n"/>
      <c r="D759" s="13" t="n"/>
      <c r="E759" s="17">
        <f>IF($C759="","",IFERROR(VLOOKUP($D759,工作归属,2,0),"※工作类型没选"))</f>
        <v/>
      </c>
      <c r="F759" s="13" t="n"/>
      <c r="G759" s="13" t="n"/>
      <c r="H759" s="20" t="n"/>
      <c r="I759" s="14" t="n"/>
      <c r="J759" s="19">
        <f>IF($C759="","",ROUND(IF($H759="",1,$H759)*N($I759),2))</f>
        <v/>
      </c>
      <c r="K759" s="13" t="n"/>
      <c r="L759" s="13" t="n"/>
      <c r="M759" s="17">
        <f>IF($C759="","",IF(ISNA(MATCH($C759,项目名表,0)),"※项目不在项目台账里",IF($E759="※工作类型没选","※工作类型没选","")))</f>
        <v/>
      </c>
    </row>
    <row r="760">
      <c r="A760" s="17">
        <f>IF($C760="","",ROW()-3)</f>
        <v/>
      </c>
      <c r="B760" s="18" t="n"/>
      <c r="C760" s="13" t="n"/>
      <c r="D760" s="13" t="n"/>
      <c r="E760" s="17">
        <f>IF($C760="","",IFERROR(VLOOKUP($D760,工作归属,2,0),"※工作类型没选"))</f>
        <v/>
      </c>
      <c r="F760" s="13" t="n"/>
      <c r="G760" s="13" t="n"/>
      <c r="H760" s="20" t="n"/>
      <c r="I760" s="14" t="n"/>
      <c r="J760" s="19">
        <f>IF($C760="","",ROUND(IF($H760="",1,$H760)*N($I760),2))</f>
        <v/>
      </c>
      <c r="K760" s="13" t="n"/>
      <c r="L760" s="13" t="n"/>
      <c r="M760" s="17">
        <f>IF($C760="","",IF(ISNA(MATCH($C760,项目名表,0)),"※项目不在项目台账里",IF($E760="※工作类型没选","※工作类型没选","")))</f>
        <v/>
      </c>
    </row>
    <row r="761">
      <c r="A761" s="17">
        <f>IF($C761="","",ROW()-3)</f>
        <v/>
      </c>
      <c r="B761" s="18" t="n"/>
      <c r="C761" s="13" t="n"/>
      <c r="D761" s="13" t="n"/>
      <c r="E761" s="17">
        <f>IF($C761="","",IFERROR(VLOOKUP($D761,工作归属,2,0),"※工作类型没选"))</f>
        <v/>
      </c>
      <c r="F761" s="13" t="n"/>
      <c r="G761" s="13" t="n"/>
      <c r="H761" s="20" t="n"/>
      <c r="I761" s="14" t="n"/>
      <c r="J761" s="19">
        <f>IF($C761="","",ROUND(IF($H761="",1,$H761)*N($I761),2))</f>
        <v/>
      </c>
      <c r="K761" s="13" t="n"/>
      <c r="L761" s="13" t="n"/>
      <c r="M761" s="17">
        <f>IF($C761="","",IF(ISNA(MATCH($C761,项目名表,0)),"※项目不在项目台账里",IF($E761="※工作类型没选","※工作类型没选","")))</f>
        <v/>
      </c>
    </row>
    <row r="762">
      <c r="A762" s="17">
        <f>IF($C762="","",ROW()-3)</f>
        <v/>
      </c>
      <c r="B762" s="18" t="n"/>
      <c r="C762" s="13" t="n"/>
      <c r="D762" s="13" t="n"/>
      <c r="E762" s="17">
        <f>IF($C762="","",IFERROR(VLOOKUP($D762,工作归属,2,0),"※工作类型没选"))</f>
        <v/>
      </c>
      <c r="F762" s="13" t="n"/>
      <c r="G762" s="13" t="n"/>
      <c r="H762" s="20" t="n"/>
      <c r="I762" s="14" t="n"/>
      <c r="J762" s="19">
        <f>IF($C762="","",ROUND(IF($H762="",1,$H762)*N($I762),2))</f>
        <v/>
      </c>
      <c r="K762" s="13" t="n"/>
      <c r="L762" s="13" t="n"/>
      <c r="M762" s="17">
        <f>IF($C762="","",IF(ISNA(MATCH($C762,项目名表,0)),"※项目不在项目台账里",IF($E762="※工作类型没选","※工作类型没选","")))</f>
        <v/>
      </c>
    </row>
    <row r="763">
      <c r="A763" s="17">
        <f>IF($C763="","",ROW()-3)</f>
        <v/>
      </c>
      <c r="B763" s="18" t="n"/>
      <c r="C763" s="13" t="n"/>
      <c r="D763" s="13" t="n"/>
      <c r="E763" s="17">
        <f>IF($C763="","",IFERROR(VLOOKUP($D763,工作归属,2,0),"※工作类型没选"))</f>
        <v/>
      </c>
      <c r="F763" s="13" t="n"/>
      <c r="G763" s="13" t="n"/>
      <c r="H763" s="20" t="n"/>
      <c r="I763" s="14" t="n"/>
      <c r="J763" s="19">
        <f>IF($C763="","",ROUND(IF($H763="",1,$H763)*N($I763),2))</f>
        <v/>
      </c>
      <c r="K763" s="13" t="n"/>
      <c r="L763" s="13" t="n"/>
      <c r="M763" s="17">
        <f>IF($C763="","",IF(ISNA(MATCH($C763,项目名表,0)),"※项目不在项目台账里",IF($E763="※工作类型没选","※工作类型没选","")))</f>
        <v/>
      </c>
    </row>
    <row r="764">
      <c r="A764" s="17">
        <f>IF($C764="","",ROW()-3)</f>
        <v/>
      </c>
      <c r="B764" s="18" t="n"/>
      <c r="C764" s="13" t="n"/>
      <c r="D764" s="13" t="n"/>
      <c r="E764" s="17">
        <f>IF($C764="","",IFERROR(VLOOKUP($D764,工作归属,2,0),"※工作类型没选"))</f>
        <v/>
      </c>
      <c r="F764" s="13" t="n"/>
      <c r="G764" s="13" t="n"/>
      <c r="H764" s="20" t="n"/>
      <c r="I764" s="14" t="n"/>
      <c r="J764" s="19">
        <f>IF($C764="","",ROUND(IF($H764="",1,$H764)*N($I764),2))</f>
        <v/>
      </c>
      <c r="K764" s="13" t="n"/>
      <c r="L764" s="13" t="n"/>
      <c r="M764" s="17">
        <f>IF($C764="","",IF(ISNA(MATCH($C764,项目名表,0)),"※项目不在项目台账里",IF($E764="※工作类型没选","※工作类型没选","")))</f>
        <v/>
      </c>
    </row>
    <row r="765">
      <c r="A765" s="17">
        <f>IF($C765="","",ROW()-3)</f>
        <v/>
      </c>
      <c r="B765" s="18" t="n"/>
      <c r="C765" s="13" t="n"/>
      <c r="D765" s="13" t="n"/>
      <c r="E765" s="17">
        <f>IF($C765="","",IFERROR(VLOOKUP($D765,工作归属,2,0),"※工作类型没选"))</f>
        <v/>
      </c>
      <c r="F765" s="13" t="n"/>
      <c r="G765" s="13" t="n"/>
      <c r="H765" s="20" t="n"/>
      <c r="I765" s="14" t="n"/>
      <c r="J765" s="19">
        <f>IF($C765="","",ROUND(IF($H765="",1,$H765)*N($I765),2))</f>
        <v/>
      </c>
      <c r="K765" s="13" t="n"/>
      <c r="L765" s="13" t="n"/>
      <c r="M765" s="17">
        <f>IF($C765="","",IF(ISNA(MATCH($C765,项目名表,0)),"※项目不在项目台账里",IF($E765="※工作类型没选","※工作类型没选","")))</f>
        <v/>
      </c>
    </row>
    <row r="766">
      <c r="A766" s="17">
        <f>IF($C766="","",ROW()-3)</f>
        <v/>
      </c>
      <c r="B766" s="18" t="n"/>
      <c r="C766" s="13" t="n"/>
      <c r="D766" s="13" t="n"/>
      <c r="E766" s="17">
        <f>IF($C766="","",IFERROR(VLOOKUP($D766,工作归属,2,0),"※工作类型没选"))</f>
        <v/>
      </c>
      <c r="F766" s="13" t="n"/>
      <c r="G766" s="13" t="n"/>
      <c r="H766" s="20" t="n"/>
      <c r="I766" s="14" t="n"/>
      <c r="J766" s="19">
        <f>IF($C766="","",ROUND(IF($H766="",1,$H766)*N($I766),2))</f>
        <v/>
      </c>
      <c r="K766" s="13" t="n"/>
      <c r="L766" s="13" t="n"/>
      <c r="M766" s="17">
        <f>IF($C766="","",IF(ISNA(MATCH($C766,项目名表,0)),"※项目不在项目台账里",IF($E766="※工作类型没选","※工作类型没选","")))</f>
        <v/>
      </c>
    </row>
    <row r="767">
      <c r="A767" s="17">
        <f>IF($C767="","",ROW()-3)</f>
        <v/>
      </c>
      <c r="B767" s="18" t="n"/>
      <c r="C767" s="13" t="n"/>
      <c r="D767" s="13" t="n"/>
      <c r="E767" s="17">
        <f>IF($C767="","",IFERROR(VLOOKUP($D767,工作归属,2,0),"※工作类型没选"))</f>
        <v/>
      </c>
      <c r="F767" s="13" t="n"/>
      <c r="G767" s="13" t="n"/>
      <c r="H767" s="20" t="n"/>
      <c r="I767" s="14" t="n"/>
      <c r="J767" s="19">
        <f>IF($C767="","",ROUND(IF($H767="",1,$H767)*N($I767),2))</f>
        <v/>
      </c>
      <c r="K767" s="13" t="n"/>
      <c r="L767" s="13" t="n"/>
      <c r="M767" s="17">
        <f>IF($C767="","",IF(ISNA(MATCH($C767,项目名表,0)),"※项目不在项目台账里",IF($E767="※工作类型没选","※工作类型没选","")))</f>
        <v/>
      </c>
    </row>
    <row r="768">
      <c r="A768" s="17">
        <f>IF($C768="","",ROW()-3)</f>
        <v/>
      </c>
      <c r="B768" s="18" t="n"/>
      <c r="C768" s="13" t="n"/>
      <c r="D768" s="13" t="n"/>
      <c r="E768" s="17">
        <f>IF($C768="","",IFERROR(VLOOKUP($D768,工作归属,2,0),"※工作类型没选"))</f>
        <v/>
      </c>
      <c r="F768" s="13" t="n"/>
      <c r="G768" s="13" t="n"/>
      <c r="H768" s="20" t="n"/>
      <c r="I768" s="14" t="n"/>
      <c r="J768" s="19">
        <f>IF($C768="","",ROUND(IF($H768="",1,$H768)*N($I768),2))</f>
        <v/>
      </c>
      <c r="K768" s="13" t="n"/>
      <c r="L768" s="13" t="n"/>
      <c r="M768" s="17">
        <f>IF($C768="","",IF(ISNA(MATCH($C768,项目名表,0)),"※项目不在项目台账里",IF($E768="※工作类型没选","※工作类型没选","")))</f>
        <v/>
      </c>
    </row>
    <row r="769">
      <c r="A769" s="17">
        <f>IF($C769="","",ROW()-3)</f>
        <v/>
      </c>
      <c r="B769" s="18" t="n"/>
      <c r="C769" s="13" t="n"/>
      <c r="D769" s="13" t="n"/>
      <c r="E769" s="17">
        <f>IF($C769="","",IFERROR(VLOOKUP($D769,工作归属,2,0),"※工作类型没选"))</f>
        <v/>
      </c>
      <c r="F769" s="13" t="n"/>
      <c r="G769" s="13" t="n"/>
      <c r="H769" s="20" t="n"/>
      <c r="I769" s="14" t="n"/>
      <c r="J769" s="19">
        <f>IF($C769="","",ROUND(IF($H769="",1,$H769)*N($I769),2))</f>
        <v/>
      </c>
      <c r="K769" s="13" t="n"/>
      <c r="L769" s="13" t="n"/>
      <c r="M769" s="17">
        <f>IF($C769="","",IF(ISNA(MATCH($C769,项目名表,0)),"※项目不在项目台账里",IF($E769="※工作类型没选","※工作类型没选","")))</f>
        <v/>
      </c>
    </row>
    <row r="770">
      <c r="A770" s="17">
        <f>IF($C770="","",ROW()-3)</f>
        <v/>
      </c>
      <c r="B770" s="18" t="n"/>
      <c r="C770" s="13" t="n"/>
      <c r="D770" s="13" t="n"/>
      <c r="E770" s="17">
        <f>IF($C770="","",IFERROR(VLOOKUP($D770,工作归属,2,0),"※工作类型没选"))</f>
        <v/>
      </c>
      <c r="F770" s="13" t="n"/>
      <c r="G770" s="13" t="n"/>
      <c r="H770" s="20" t="n"/>
      <c r="I770" s="14" t="n"/>
      <c r="J770" s="19">
        <f>IF($C770="","",ROUND(IF($H770="",1,$H770)*N($I770),2))</f>
        <v/>
      </c>
      <c r="K770" s="13" t="n"/>
      <c r="L770" s="13" t="n"/>
      <c r="M770" s="17">
        <f>IF($C770="","",IF(ISNA(MATCH($C770,项目名表,0)),"※项目不在项目台账里",IF($E770="※工作类型没选","※工作类型没选","")))</f>
        <v/>
      </c>
    </row>
    <row r="771">
      <c r="A771" s="17">
        <f>IF($C771="","",ROW()-3)</f>
        <v/>
      </c>
      <c r="B771" s="18" t="n"/>
      <c r="C771" s="13" t="n"/>
      <c r="D771" s="13" t="n"/>
      <c r="E771" s="17">
        <f>IF($C771="","",IFERROR(VLOOKUP($D771,工作归属,2,0),"※工作类型没选"))</f>
        <v/>
      </c>
      <c r="F771" s="13" t="n"/>
      <c r="G771" s="13" t="n"/>
      <c r="H771" s="20" t="n"/>
      <c r="I771" s="14" t="n"/>
      <c r="J771" s="19">
        <f>IF($C771="","",ROUND(IF($H771="",1,$H771)*N($I771),2))</f>
        <v/>
      </c>
      <c r="K771" s="13" t="n"/>
      <c r="L771" s="13" t="n"/>
      <c r="M771" s="17">
        <f>IF($C771="","",IF(ISNA(MATCH($C771,项目名表,0)),"※项目不在项目台账里",IF($E771="※工作类型没选","※工作类型没选","")))</f>
        <v/>
      </c>
    </row>
    <row r="772">
      <c r="A772" s="17">
        <f>IF($C772="","",ROW()-3)</f>
        <v/>
      </c>
      <c r="B772" s="18" t="n"/>
      <c r="C772" s="13" t="n"/>
      <c r="D772" s="13" t="n"/>
      <c r="E772" s="17">
        <f>IF($C772="","",IFERROR(VLOOKUP($D772,工作归属,2,0),"※工作类型没选"))</f>
        <v/>
      </c>
      <c r="F772" s="13" t="n"/>
      <c r="G772" s="13" t="n"/>
      <c r="H772" s="20" t="n"/>
      <c r="I772" s="14" t="n"/>
      <c r="J772" s="19">
        <f>IF($C772="","",ROUND(IF($H772="",1,$H772)*N($I772),2))</f>
        <v/>
      </c>
      <c r="K772" s="13" t="n"/>
      <c r="L772" s="13" t="n"/>
      <c r="M772" s="17">
        <f>IF($C772="","",IF(ISNA(MATCH($C772,项目名表,0)),"※项目不在项目台账里",IF($E772="※工作类型没选","※工作类型没选","")))</f>
        <v/>
      </c>
    </row>
    <row r="773">
      <c r="A773" s="17">
        <f>IF($C773="","",ROW()-3)</f>
        <v/>
      </c>
      <c r="B773" s="18" t="n"/>
      <c r="C773" s="13" t="n"/>
      <c r="D773" s="13" t="n"/>
      <c r="E773" s="17">
        <f>IF($C773="","",IFERROR(VLOOKUP($D773,工作归属,2,0),"※工作类型没选"))</f>
        <v/>
      </c>
      <c r="F773" s="13" t="n"/>
      <c r="G773" s="13" t="n"/>
      <c r="H773" s="20" t="n"/>
      <c r="I773" s="14" t="n"/>
      <c r="J773" s="19">
        <f>IF($C773="","",ROUND(IF($H773="",1,$H773)*N($I773),2))</f>
        <v/>
      </c>
      <c r="K773" s="13" t="n"/>
      <c r="L773" s="13" t="n"/>
      <c r="M773" s="17">
        <f>IF($C773="","",IF(ISNA(MATCH($C773,项目名表,0)),"※项目不在项目台账里",IF($E773="※工作类型没选","※工作类型没选","")))</f>
        <v/>
      </c>
    </row>
    <row r="774">
      <c r="A774" s="17">
        <f>IF($C774="","",ROW()-3)</f>
        <v/>
      </c>
      <c r="B774" s="18" t="n"/>
      <c r="C774" s="13" t="n"/>
      <c r="D774" s="13" t="n"/>
      <c r="E774" s="17">
        <f>IF($C774="","",IFERROR(VLOOKUP($D774,工作归属,2,0),"※工作类型没选"))</f>
        <v/>
      </c>
      <c r="F774" s="13" t="n"/>
      <c r="G774" s="13" t="n"/>
      <c r="H774" s="20" t="n"/>
      <c r="I774" s="14" t="n"/>
      <c r="J774" s="19">
        <f>IF($C774="","",ROUND(IF($H774="",1,$H774)*N($I774),2))</f>
        <v/>
      </c>
      <c r="K774" s="13" t="n"/>
      <c r="L774" s="13" t="n"/>
      <c r="M774" s="17">
        <f>IF($C774="","",IF(ISNA(MATCH($C774,项目名表,0)),"※项目不在项目台账里",IF($E774="※工作类型没选","※工作类型没选","")))</f>
        <v/>
      </c>
    </row>
    <row r="775">
      <c r="A775" s="17">
        <f>IF($C775="","",ROW()-3)</f>
        <v/>
      </c>
      <c r="B775" s="18" t="n"/>
      <c r="C775" s="13" t="n"/>
      <c r="D775" s="13" t="n"/>
      <c r="E775" s="17">
        <f>IF($C775="","",IFERROR(VLOOKUP($D775,工作归属,2,0),"※工作类型没选"))</f>
        <v/>
      </c>
      <c r="F775" s="13" t="n"/>
      <c r="G775" s="13" t="n"/>
      <c r="H775" s="20" t="n"/>
      <c r="I775" s="14" t="n"/>
      <c r="J775" s="19">
        <f>IF($C775="","",ROUND(IF($H775="",1,$H775)*N($I775),2))</f>
        <v/>
      </c>
      <c r="K775" s="13" t="n"/>
      <c r="L775" s="13" t="n"/>
      <c r="M775" s="17">
        <f>IF($C775="","",IF(ISNA(MATCH($C775,项目名表,0)),"※项目不在项目台账里",IF($E775="※工作类型没选","※工作类型没选","")))</f>
        <v/>
      </c>
    </row>
    <row r="776">
      <c r="A776" s="17">
        <f>IF($C776="","",ROW()-3)</f>
        <v/>
      </c>
      <c r="B776" s="18" t="n"/>
      <c r="C776" s="13" t="n"/>
      <c r="D776" s="13" t="n"/>
      <c r="E776" s="17">
        <f>IF($C776="","",IFERROR(VLOOKUP($D776,工作归属,2,0),"※工作类型没选"))</f>
        <v/>
      </c>
      <c r="F776" s="13" t="n"/>
      <c r="G776" s="13" t="n"/>
      <c r="H776" s="20" t="n"/>
      <c r="I776" s="14" t="n"/>
      <c r="J776" s="19">
        <f>IF($C776="","",ROUND(IF($H776="",1,$H776)*N($I776),2))</f>
        <v/>
      </c>
      <c r="K776" s="13" t="n"/>
      <c r="L776" s="13" t="n"/>
      <c r="M776" s="17">
        <f>IF($C776="","",IF(ISNA(MATCH($C776,项目名表,0)),"※项目不在项目台账里",IF($E776="※工作类型没选","※工作类型没选","")))</f>
        <v/>
      </c>
    </row>
    <row r="777">
      <c r="A777" s="17">
        <f>IF($C777="","",ROW()-3)</f>
        <v/>
      </c>
      <c r="B777" s="18" t="n"/>
      <c r="C777" s="13" t="n"/>
      <c r="D777" s="13" t="n"/>
      <c r="E777" s="17">
        <f>IF($C777="","",IFERROR(VLOOKUP($D777,工作归属,2,0),"※工作类型没选"))</f>
        <v/>
      </c>
      <c r="F777" s="13" t="n"/>
      <c r="G777" s="13" t="n"/>
      <c r="H777" s="20" t="n"/>
      <c r="I777" s="14" t="n"/>
      <c r="J777" s="19">
        <f>IF($C777="","",ROUND(IF($H777="",1,$H777)*N($I777),2))</f>
        <v/>
      </c>
      <c r="K777" s="13" t="n"/>
      <c r="L777" s="13" t="n"/>
      <c r="M777" s="17">
        <f>IF($C777="","",IF(ISNA(MATCH($C777,项目名表,0)),"※项目不在项目台账里",IF($E777="※工作类型没选","※工作类型没选","")))</f>
        <v/>
      </c>
    </row>
    <row r="778">
      <c r="A778" s="17">
        <f>IF($C778="","",ROW()-3)</f>
        <v/>
      </c>
      <c r="B778" s="18" t="n"/>
      <c r="C778" s="13" t="n"/>
      <c r="D778" s="13" t="n"/>
      <c r="E778" s="17">
        <f>IF($C778="","",IFERROR(VLOOKUP($D778,工作归属,2,0),"※工作类型没选"))</f>
        <v/>
      </c>
      <c r="F778" s="13" t="n"/>
      <c r="G778" s="13" t="n"/>
      <c r="H778" s="20" t="n"/>
      <c r="I778" s="14" t="n"/>
      <c r="J778" s="19">
        <f>IF($C778="","",ROUND(IF($H778="",1,$H778)*N($I778),2))</f>
        <v/>
      </c>
      <c r="K778" s="13" t="n"/>
      <c r="L778" s="13" t="n"/>
      <c r="M778" s="17">
        <f>IF($C778="","",IF(ISNA(MATCH($C778,项目名表,0)),"※项目不在项目台账里",IF($E778="※工作类型没选","※工作类型没选","")))</f>
        <v/>
      </c>
    </row>
    <row r="779">
      <c r="A779" s="17">
        <f>IF($C779="","",ROW()-3)</f>
        <v/>
      </c>
      <c r="B779" s="18" t="n"/>
      <c r="C779" s="13" t="n"/>
      <c r="D779" s="13" t="n"/>
      <c r="E779" s="17">
        <f>IF($C779="","",IFERROR(VLOOKUP($D779,工作归属,2,0),"※工作类型没选"))</f>
        <v/>
      </c>
      <c r="F779" s="13" t="n"/>
      <c r="G779" s="13" t="n"/>
      <c r="H779" s="20" t="n"/>
      <c r="I779" s="14" t="n"/>
      <c r="J779" s="19">
        <f>IF($C779="","",ROUND(IF($H779="",1,$H779)*N($I779),2))</f>
        <v/>
      </c>
      <c r="K779" s="13" t="n"/>
      <c r="L779" s="13" t="n"/>
      <c r="M779" s="17">
        <f>IF($C779="","",IF(ISNA(MATCH($C779,项目名表,0)),"※项目不在项目台账里",IF($E779="※工作类型没选","※工作类型没选","")))</f>
        <v/>
      </c>
    </row>
    <row r="780">
      <c r="A780" s="17">
        <f>IF($C780="","",ROW()-3)</f>
        <v/>
      </c>
      <c r="B780" s="18" t="n"/>
      <c r="C780" s="13" t="n"/>
      <c r="D780" s="13" t="n"/>
      <c r="E780" s="17">
        <f>IF($C780="","",IFERROR(VLOOKUP($D780,工作归属,2,0),"※工作类型没选"))</f>
        <v/>
      </c>
      <c r="F780" s="13" t="n"/>
      <c r="G780" s="13" t="n"/>
      <c r="H780" s="20" t="n"/>
      <c r="I780" s="14" t="n"/>
      <c r="J780" s="19">
        <f>IF($C780="","",ROUND(IF($H780="",1,$H780)*N($I780),2))</f>
        <v/>
      </c>
      <c r="K780" s="13" t="n"/>
      <c r="L780" s="13" t="n"/>
      <c r="M780" s="17">
        <f>IF($C780="","",IF(ISNA(MATCH($C780,项目名表,0)),"※项目不在项目台账里",IF($E780="※工作类型没选","※工作类型没选","")))</f>
        <v/>
      </c>
    </row>
    <row r="781">
      <c r="A781" s="17">
        <f>IF($C781="","",ROW()-3)</f>
        <v/>
      </c>
      <c r="B781" s="18" t="n"/>
      <c r="C781" s="13" t="n"/>
      <c r="D781" s="13" t="n"/>
      <c r="E781" s="17">
        <f>IF($C781="","",IFERROR(VLOOKUP($D781,工作归属,2,0),"※工作类型没选"))</f>
        <v/>
      </c>
      <c r="F781" s="13" t="n"/>
      <c r="G781" s="13" t="n"/>
      <c r="H781" s="20" t="n"/>
      <c r="I781" s="14" t="n"/>
      <c r="J781" s="19">
        <f>IF($C781="","",ROUND(IF($H781="",1,$H781)*N($I781),2))</f>
        <v/>
      </c>
      <c r="K781" s="13" t="n"/>
      <c r="L781" s="13" t="n"/>
      <c r="M781" s="17">
        <f>IF($C781="","",IF(ISNA(MATCH($C781,项目名表,0)),"※项目不在项目台账里",IF($E781="※工作类型没选","※工作类型没选","")))</f>
        <v/>
      </c>
    </row>
    <row r="782">
      <c r="A782" s="17">
        <f>IF($C782="","",ROW()-3)</f>
        <v/>
      </c>
      <c r="B782" s="18" t="n"/>
      <c r="C782" s="13" t="n"/>
      <c r="D782" s="13" t="n"/>
      <c r="E782" s="17">
        <f>IF($C782="","",IFERROR(VLOOKUP($D782,工作归属,2,0),"※工作类型没选"))</f>
        <v/>
      </c>
      <c r="F782" s="13" t="n"/>
      <c r="G782" s="13" t="n"/>
      <c r="H782" s="20" t="n"/>
      <c r="I782" s="14" t="n"/>
      <c r="J782" s="19">
        <f>IF($C782="","",ROUND(IF($H782="",1,$H782)*N($I782),2))</f>
        <v/>
      </c>
      <c r="K782" s="13" t="n"/>
      <c r="L782" s="13" t="n"/>
      <c r="M782" s="17">
        <f>IF($C782="","",IF(ISNA(MATCH($C782,项目名表,0)),"※项目不在项目台账里",IF($E782="※工作类型没选","※工作类型没选","")))</f>
        <v/>
      </c>
    </row>
    <row r="783">
      <c r="A783" s="17">
        <f>IF($C783="","",ROW()-3)</f>
        <v/>
      </c>
      <c r="B783" s="18" t="n"/>
      <c r="C783" s="13" t="n"/>
      <c r="D783" s="13" t="n"/>
      <c r="E783" s="17">
        <f>IF($C783="","",IFERROR(VLOOKUP($D783,工作归属,2,0),"※工作类型没选"))</f>
        <v/>
      </c>
      <c r="F783" s="13" t="n"/>
      <c r="G783" s="13" t="n"/>
      <c r="H783" s="20" t="n"/>
      <c r="I783" s="14" t="n"/>
      <c r="J783" s="19">
        <f>IF($C783="","",ROUND(IF($H783="",1,$H783)*N($I783),2))</f>
        <v/>
      </c>
      <c r="K783" s="13" t="n"/>
      <c r="L783" s="13" t="n"/>
      <c r="M783" s="17">
        <f>IF($C783="","",IF(ISNA(MATCH($C783,项目名表,0)),"※项目不在项目台账里",IF($E783="※工作类型没选","※工作类型没选","")))</f>
        <v/>
      </c>
    </row>
    <row r="784">
      <c r="A784" s="17">
        <f>IF($C784="","",ROW()-3)</f>
        <v/>
      </c>
      <c r="B784" s="18" t="n"/>
      <c r="C784" s="13" t="n"/>
      <c r="D784" s="13" t="n"/>
      <c r="E784" s="17">
        <f>IF($C784="","",IFERROR(VLOOKUP($D784,工作归属,2,0),"※工作类型没选"))</f>
        <v/>
      </c>
      <c r="F784" s="13" t="n"/>
      <c r="G784" s="13" t="n"/>
      <c r="H784" s="20" t="n"/>
      <c r="I784" s="14" t="n"/>
      <c r="J784" s="19">
        <f>IF($C784="","",ROUND(IF($H784="",1,$H784)*N($I784),2))</f>
        <v/>
      </c>
      <c r="K784" s="13" t="n"/>
      <c r="L784" s="13" t="n"/>
      <c r="M784" s="17">
        <f>IF($C784="","",IF(ISNA(MATCH($C784,项目名表,0)),"※项目不在项目台账里",IF($E784="※工作类型没选","※工作类型没选","")))</f>
        <v/>
      </c>
    </row>
    <row r="785">
      <c r="A785" s="17">
        <f>IF($C785="","",ROW()-3)</f>
        <v/>
      </c>
      <c r="B785" s="18" t="n"/>
      <c r="C785" s="13" t="n"/>
      <c r="D785" s="13" t="n"/>
      <c r="E785" s="17">
        <f>IF($C785="","",IFERROR(VLOOKUP($D785,工作归属,2,0),"※工作类型没选"))</f>
        <v/>
      </c>
      <c r="F785" s="13" t="n"/>
      <c r="G785" s="13" t="n"/>
      <c r="H785" s="20" t="n"/>
      <c r="I785" s="14" t="n"/>
      <c r="J785" s="19">
        <f>IF($C785="","",ROUND(IF($H785="",1,$H785)*N($I785),2))</f>
        <v/>
      </c>
      <c r="K785" s="13" t="n"/>
      <c r="L785" s="13" t="n"/>
      <c r="M785" s="17">
        <f>IF($C785="","",IF(ISNA(MATCH($C785,项目名表,0)),"※项目不在项目台账里",IF($E785="※工作类型没选","※工作类型没选","")))</f>
        <v/>
      </c>
    </row>
    <row r="786">
      <c r="A786" s="17">
        <f>IF($C786="","",ROW()-3)</f>
        <v/>
      </c>
      <c r="B786" s="18" t="n"/>
      <c r="C786" s="13" t="n"/>
      <c r="D786" s="13" t="n"/>
      <c r="E786" s="17">
        <f>IF($C786="","",IFERROR(VLOOKUP($D786,工作归属,2,0),"※工作类型没选"))</f>
        <v/>
      </c>
      <c r="F786" s="13" t="n"/>
      <c r="G786" s="13" t="n"/>
      <c r="H786" s="20" t="n"/>
      <c r="I786" s="14" t="n"/>
      <c r="J786" s="19">
        <f>IF($C786="","",ROUND(IF($H786="",1,$H786)*N($I786),2))</f>
        <v/>
      </c>
      <c r="K786" s="13" t="n"/>
      <c r="L786" s="13" t="n"/>
      <c r="M786" s="17">
        <f>IF($C786="","",IF(ISNA(MATCH($C786,项目名表,0)),"※项目不在项目台账里",IF($E786="※工作类型没选","※工作类型没选","")))</f>
        <v/>
      </c>
    </row>
    <row r="787">
      <c r="A787" s="17">
        <f>IF($C787="","",ROW()-3)</f>
        <v/>
      </c>
      <c r="B787" s="18" t="n"/>
      <c r="C787" s="13" t="n"/>
      <c r="D787" s="13" t="n"/>
      <c r="E787" s="17">
        <f>IF($C787="","",IFERROR(VLOOKUP($D787,工作归属,2,0),"※工作类型没选"))</f>
        <v/>
      </c>
      <c r="F787" s="13" t="n"/>
      <c r="G787" s="13" t="n"/>
      <c r="H787" s="20" t="n"/>
      <c r="I787" s="14" t="n"/>
      <c r="J787" s="19">
        <f>IF($C787="","",ROUND(IF($H787="",1,$H787)*N($I787),2))</f>
        <v/>
      </c>
      <c r="K787" s="13" t="n"/>
      <c r="L787" s="13" t="n"/>
      <c r="M787" s="17">
        <f>IF($C787="","",IF(ISNA(MATCH($C787,项目名表,0)),"※项目不在项目台账里",IF($E787="※工作类型没选","※工作类型没选","")))</f>
        <v/>
      </c>
    </row>
    <row r="788">
      <c r="A788" s="17">
        <f>IF($C788="","",ROW()-3)</f>
        <v/>
      </c>
      <c r="B788" s="18" t="n"/>
      <c r="C788" s="13" t="n"/>
      <c r="D788" s="13" t="n"/>
      <c r="E788" s="17">
        <f>IF($C788="","",IFERROR(VLOOKUP($D788,工作归属,2,0),"※工作类型没选"))</f>
        <v/>
      </c>
      <c r="F788" s="13" t="n"/>
      <c r="G788" s="13" t="n"/>
      <c r="H788" s="20" t="n"/>
      <c r="I788" s="14" t="n"/>
      <c r="J788" s="19">
        <f>IF($C788="","",ROUND(IF($H788="",1,$H788)*N($I788),2))</f>
        <v/>
      </c>
      <c r="K788" s="13" t="n"/>
      <c r="L788" s="13" t="n"/>
      <c r="M788" s="17">
        <f>IF($C788="","",IF(ISNA(MATCH($C788,项目名表,0)),"※项目不在项目台账里",IF($E788="※工作类型没选","※工作类型没选","")))</f>
        <v/>
      </c>
    </row>
    <row r="789">
      <c r="A789" s="17">
        <f>IF($C789="","",ROW()-3)</f>
        <v/>
      </c>
      <c r="B789" s="18" t="n"/>
      <c r="C789" s="13" t="n"/>
      <c r="D789" s="13" t="n"/>
      <c r="E789" s="17">
        <f>IF($C789="","",IFERROR(VLOOKUP($D789,工作归属,2,0),"※工作类型没选"))</f>
        <v/>
      </c>
      <c r="F789" s="13" t="n"/>
      <c r="G789" s="13" t="n"/>
      <c r="H789" s="20" t="n"/>
      <c r="I789" s="14" t="n"/>
      <c r="J789" s="19">
        <f>IF($C789="","",ROUND(IF($H789="",1,$H789)*N($I789),2))</f>
        <v/>
      </c>
      <c r="K789" s="13" t="n"/>
      <c r="L789" s="13" t="n"/>
      <c r="M789" s="17">
        <f>IF($C789="","",IF(ISNA(MATCH($C789,项目名表,0)),"※项目不在项目台账里",IF($E789="※工作类型没选","※工作类型没选","")))</f>
        <v/>
      </c>
    </row>
    <row r="790">
      <c r="A790" s="17">
        <f>IF($C790="","",ROW()-3)</f>
        <v/>
      </c>
      <c r="B790" s="18" t="n"/>
      <c r="C790" s="13" t="n"/>
      <c r="D790" s="13" t="n"/>
      <c r="E790" s="17">
        <f>IF($C790="","",IFERROR(VLOOKUP($D790,工作归属,2,0),"※工作类型没选"))</f>
        <v/>
      </c>
      <c r="F790" s="13" t="n"/>
      <c r="G790" s="13" t="n"/>
      <c r="H790" s="20" t="n"/>
      <c r="I790" s="14" t="n"/>
      <c r="J790" s="19">
        <f>IF($C790="","",ROUND(IF($H790="",1,$H790)*N($I790),2))</f>
        <v/>
      </c>
      <c r="K790" s="13" t="n"/>
      <c r="L790" s="13" t="n"/>
      <c r="M790" s="17">
        <f>IF($C790="","",IF(ISNA(MATCH($C790,项目名表,0)),"※项目不在项目台账里",IF($E790="※工作类型没选","※工作类型没选","")))</f>
        <v/>
      </c>
    </row>
    <row r="791">
      <c r="A791" s="17">
        <f>IF($C791="","",ROW()-3)</f>
        <v/>
      </c>
      <c r="B791" s="18" t="n"/>
      <c r="C791" s="13" t="n"/>
      <c r="D791" s="13" t="n"/>
      <c r="E791" s="17">
        <f>IF($C791="","",IFERROR(VLOOKUP($D791,工作归属,2,0),"※工作类型没选"))</f>
        <v/>
      </c>
      <c r="F791" s="13" t="n"/>
      <c r="G791" s="13" t="n"/>
      <c r="H791" s="20" t="n"/>
      <c r="I791" s="14" t="n"/>
      <c r="J791" s="19">
        <f>IF($C791="","",ROUND(IF($H791="",1,$H791)*N($I791),2))</f>
        <v/>
      </c>
      <c r="K791" s="13" t="n"/>
      <c r="L791" s="13" t="n"/>
      <c r="M791" s="17">
        <f>IF($C791="","",IF(ISNA(MATCH($C791,项目名表,0)),"※项目不在项目台账里",IF($E791="※工作类型没选","※工作类型没选","")))</f>
        <v/>
      </c>
    </row>
    <row r="792">
      <c r="A792" s="17">
        <f>IF($C792="","",ROW()-3)</f>
        <v/>
      </c>
      <c r="B792" s="18" t="n"/>
      <c r="C792" s="13" t="n"/>
      <c r="D792" s="13" t="n"/>
      <c r="E792" s="17">
        <f>IF($C792="","",IFERROR(VLOOKUP($D792,工作归属,2,0),"※工作类型没选"))</f>
        <v/>
      </c>
      <c r="F792" s="13" t="n"/>
      <c r="G792" s="13" t="n"/>
      <c r="H792" s="20" t="n"/>
      <c r="I792" s="14" t="n"/>
      <c r="J792" s="19">
        <f>IF($C792="","",ROUND(IF($H792="",1,$H792)*N($I792),2))</f>
        <v/>
      </c>
      <c r="K792" s="13" t="n"/>
      <c r="L792" s="13" t="n"/>
      <c r="M792" s="17">
        <f>IF($C792="","",IF(ISNA(MATCH($C792,项目名表,0)),"※项目不在项目台账里",IF($E792="※工作类型没选","※工作类型没选","")))</f>
        <v/>
      </c>
    </row>
    <row r="793">
      <c r="A793" s="17">
        <f>IF($C793="","",ROW()-3)</f>
        <v/>
      </c>
      <c r="B793" s="18" t="n"/>
      <c r="C793" s="13" t="n"/>
      <c r="D793" s="13" t="n"/>
      <c r="E793" s="17">
        <f>IF($C793="","",IFERROR(VLOOKUP($D793,工作归属,2,0),"※工作类型没选"))</f>
        <v/>
      </c>
      <c r="F793" s="13" t="n"/>
      <c r="G793" s="13" t="n"/>
      <c r="H793" s="20" t="n"/>
      <c r="I793" s="14" t="n"/>
      <c r="J793" s="19">
        <f>IF($C793="","",ROUND(IF($H793="",1,$H793)*N($I793),2))</f>
        <v/>
      </c>
      <c r="K793" s="13" t="n"/>
      <c r="L793" s="13" t="n"/>
      <c r="M793" s="17">
        <f>IF($C793="","",IF(ISNA(MATCH($C793,项目名表,0)),"※项目不在项目台账里",IF($E793="※工作类型没选","※工作类型没选","")))</f>
        <v/>
      </c>
    </row>
    <row r="794">
      <c r="A794" s="17">
        <f>IF($C794="","",ROW()-3)</f>
        <v/>
      </c>
      <c r="B794" s="18" t="n"/>
      <c r="C794" s="13" t="n"/>
      <c r="D794" s="13" t="n"/>
      <c r="E794" s="17">
        <f>IF($C794="","",IFERROR(VLOOKUP($D794,工作归属,2,0),"※工作类型没选"))</f>
        <v/>
      </c>
      <c r="F794" s="13" t="n"/>
      <c r="G794" s="13" t="n"/>
      <c r="H794" s="20" t="n"/>
      <c r="I794" s="14" t="n"/>
      <c r="J794" s="19">
        <f>IF($C794="","",ROUND(IF($H794="",1,$H794)*N($I794),2))</f>
        <v/>
      </c>
      <c r="K794" s="13" t="n"/>
      <c r="L794" s="13" t="n"/>
      <c r="M794" s="17">
        <f>IF($C794="","",IF(ISNA(MATCH($C794,项目名表,0)),"※项目不在项目台账里",IF($E794="※工作类型没选","※工作类型没选","")))</f>
        <v/>
      </c>
    </row>
    <row r="795">
      <c r="A795" s="17">
        <f>IF($C795="","",ROW()-3)</f>
        <v/>
      </c>
      <c r="B795" s="18" t="n"/>
      <c r="C795" s="13" t="n"/>
      <c r="D795" s="13" t="n"/>
      <c r="E795" s="17">
        <f>IF($C795="","",IFERROR(VLOOKUP($D795,工作归属,2,0),"※工作类型没选"))</f>
        <v/>
      </c>
      <c r="F795" s="13" t="n"/>
      <c r="G795" s="13" t="n"/>
      <c r="H795" s="20" t="n"/>
      <c r="I795" s="14" t="n"/>
      <c r="J795" s="19">
        <f>IF($C795="","",ROUND(IF($H795="",1,$H795)*N($I795),2))</f>
        <v/>
      </c>
      <c r="K795" s="13" t="n"/>
      <c r="L795" s="13" t="n"/>
      <c r="M795" s="17">
        <f>IF($C795="","",IF(ISNA(MATCH($C795,项目名表,0)),"※项目不在项目台账里",IF($E795="※工作类型没选","※工作类型没选","")))</f>
        <v/>
      </c>
    </row>
    <row r="796">
      <c r="A796" s="17">
        <f>IF($C796="","",ROW()-3)</f>
        <v/>
      </c>
      <c r="B796" s="18" t="n"/>
      <c r="C796" s="13" t="n"/>
      <c r="D796" s="13" t="n"/>
      <c r="E796" s="17">
        <f>IF($C796="","",IFERROR(VLOOKUP($D796,工作归属,2,0),"※工作类型没选"))</f>
        <v/>
      </c>
      <c r="F796" s="13" t="n"/>
      <c r="G796" s="13" t="n"/>
      <c r="H796" s="20" t="n"/>
      <c r="I796" s="14" t="n"/>
      <c r="J796" s="19">
        <f>IF($C796="","",ROUND(IF($H796="",1,$H796)*N($I796),2))</f>
        <v/>
      </c>
      <c r="K796" s="13" t="n"/>
      <c r="L796" s="13" t="n"/>
      <c r="M796" s="17">
        <f>IF($C796="","",IF(ISNA(MATCH($C796,项目名表,0)),"※项目不在项目台账里",IF($E796="※工作类型没选","※工作类型没选","")))</f>
        <v/>
      </c>
    </row>
    <row r="797">
      <c r="A797" s="17">
        <f>IF($C797="","",ROW()-3)</f>
        <v/>
      </c>
      <c r="B797" s="18" t="n"/>
      <c r="C797" s="13" t="n"/>
      <c r="D797" s="13" t="n"/>
      <c r="E797" s="17">
        <f>IF($C797="","",IFERROR(VLOOKUP($D797,工作归属,2,0),"※工作类型没选"))</f>
        <v/>
      </c>
      <c r="F797" s="13" t="n"/>
      <c r="G797" s="13" t="n"/>
      <c r="H797" s="20" t="n"/>
      <c r="I797" s="14" t="n"/>
      <c r="J797" s="19">
        <f>IF($C797="","",ROUND(IF($H797="",1,$H797)*N($I797),2))</f>
        <v/>
      </c>
      <c r="K797" s="13" t="n"/>
      <c r="L797" s="13" t="n"/>
      <c r="M797" s="17">
        <f>IF($C797="","",IF(ISNA(MATCH($C797,项目名表,0)),"※项目不在项目台账里",IF($E797="※工作类型没选","※工作类型没选","")))</f>
        <v/>
      </c>
    </row>
    <row r="798">
      <c r="A798" s="17">
        <f>IF($C798="","",ROW()-3)</f>
        <v/>
      </c>
      <c r="B798" s="18" t="n"/>
      <c r="C798" s="13" t="n"/>
      <c r="D798" s="13" t="n"/>
      <c r="E798" s="17">
        <f>IF($C798="","",IFERROR(VLOOKUP($D798,工作归属,2,0),"※工作类型没选"))</f>
        <v/>
      </c>
      <c r="F798" s="13" t="n"/>
      <c r="G798" s="13" t="n"/>
      <c r="H798" s="20" t="n"/>
      <c r="I798" s="14" t="n"/>
      <c r="J798" s="19">
        <f>IF($C798="","",ROUND(IF($H798="",1,$H798)*N($I798),2))</f>
        <v/>
      </c>
      <c r="K798" s="13" t="n"/>
      <c r="L798" s="13" t="n"/>
      <c r="M798" s="17">
        <f>IF($C798="","",IF(ISNA(MATCH($C798,项目名表,0)),"※项目不在项目台账里",IF($E798="※工作类型没选","※工作类型没选","")))</f>
        <v/>
      </c>
    </row>
    <row r="799">
      <c r="A799" s="17">
        <f>IF($C799="","",ROW()-3)</f>
        <v/>
      </c>
      <c r="B799" s="18" t="n"/>
      <c r="C799" s="13" t="n"/>
      <c r="D799" s="13" t="n"/>
      <c r="E799" s="17">
        <f>IF($C799="","",IFERROR(VLOOKUP($D799,工作归属,2,0),"※工作类型没选"))</f>
        <v/>
      </c>
      <c r="F799" s="13" t="n"/>
      <c r="G799" s="13" t="n"/>
      <c r="H799" s="20" t="n"/>
      <c r="I799" s="14" t="n"/>
      <c r="J799" s="19">
        <f>IF($C799="","",ROUND(IF($H799="",1,$H799)*N($I799),2))</f>
        <v/>
      </c>
      <c r="K799" s="13" t="n"/>
      <c r="L799" s="13" t="n"/>
      <c r="M799" s="17">
        <f>IF($C799="","",IF(ISNA(MATCH($C799,项目名表,0)),"※项目不在项目台账里",IF($E799="※工作类型没选","※工作类型没选","")))</f>
        <v/>
      </c>
    </row>
    <row r="800">
      <c r="A800" s="17">
        <f>IF($C800="","",ROW()-3)</f>
        <v/>
      </c>
      <c r="B800" s="18" t="n"/>
      <c r="C800" s="13" t="n"/>
      <c r="D800" s="13" t="n"/>
      <c r="E800" s="17">
        <f>IF($C800="","",IFERROR(VLOOKUP($D800,工作归属,2,0),"※工作类型没选"))</f>
        <v/>
      </c>
      <c r="F800" s="13" t="n"/>
      <c r="G800" s="13" t="n"/>
      <c r="H800" s="20" t="n"/>
      <c r="I800" s="14" t="n"/>
      <c r="J800" s="19">
        <f>IF($C800="","",ROUND(IF($H800="",1,$H800)*N($I800),2))</f>
        <v/>
      </c>
      <c r="K800" s="13" t="n"/>
      <c r="L800" s="13" t="n"/>
      <c r="M800" s="17">
        <f>IF($C800="","",IF(ISNA(MATCH($C800,项目名表,0)),"※项目不在项目台账里",IF($E800="※工作类型没选","※工作类型没选","")))</f>
        <v/>
      </c>
    </row>
    <row r="801">
      <c r="A801" s="17">
        <f>IF($C801="","",ROW()-3)</f>
        <v/>
      </c>
      <c r="B801" s="18" t="n"/>
      <c r="C801" s="13" t="n"/>
      <c r="D801" s="13" t="n"/>
      <c r="E801" s="17">
        <f>IF($C801="","",IFERROR(VLOOKUP($D801,工作归属,2,0),"※工作类型没选"))</f>
        <v/>
      </c>
      <c r="F801" s="13" t="n"/>
      <c r="G801" s="13" t="n"/>
      <c r="H801" s="20" t="n"/>
      <c r="I801" s="14" t="n"/>
      <c r="J801" s="19">
        <f>IF($C801="","",ROUND(IF($H801="",1,$H801)*N($I801),2))</f>
        <v/>
      </c>
      <c r="K801" s="13" t="n"/>
      <c r="L801" s="13" t="n"/>
      <c r="M801" s="17">
        <f>IF($C801="","",IF(ISNA(MATCH($C801,项目名表,0)),"※项目不在项目台账里",IF($E801="※工作类型没选","※工作类型没选","")))</f>
        <v/>
      </c>
    </row>
    <row r="802">
      <c r="A802" s="17">
        <f>IF($C802="","",ROW()-3)</f>
        <v/>
      </c>
      <c r="B802" s="18" t="n"/>
      <c r="C802" s="13" t="n"/>
      <c r="D802" s="13" t="n"/>
      <c r="E802" s="17">
        <f>IF($C802="","",IFERROR(VLOOKUP($D802,工作归属,2,0),"※工作类型没选"))</f>
        <v/>
      </c>
      <c r="F802" s="13" t="n"/>
      <c r="G802" s="13" t="n"/>
      <c r="H802" s="20" t="n"/>
      <c r="I802" s="14" t="n"/>
      <c r="J802" s="19">
        <f>IF($C802="","",ROUND(IF($H802="",1,$H802)*N($I802),2))</f>
        <v/>
      </c>
      <c r="K802" s="13" t="n"/>
      <c r="L802" s="13" t="n"/>
      <c r="M802" s="17">
        <f>IF($C802="","",IF(ISNA(MATCH($C802,项目名表,0)),"※项目不在项目台账里",IF($E802="※工作类型没选","※工作类型没选","")))</f>
        <v/>
      </c>
    </row>
    <row r="803">
      <c r="A803" s="17">
        <f>IF($C803="","",ROW()-3)</f>
        <v/>
      </c>
      <c r="B803" s="18" t="n"/>
      <c r="C803" s="13" t="n"/>
      <c r="D803" s="13" t="n"/>
      <c r="E803" s="17">
        <f>IF($C803="","",IFERROR(VLOOKUP($D803,工作归属,2,0),"※工作类型没选"))</f>
        <v/>
      </c>
      <c r="F803" s="13" t="n"/>
      <c r="G803" s="13" t="n"/>
      <c r="H803" s="20" t="n"/>
      <c r="I803" s="14" t="n"/>
      <c r="J803" s="19">
        <f>IF($C803="","",ROUND(IF($H803="",1,$H803)*N($I803),2))</f>
        <v/>
      </c>
      <c r="K803" s="13" t="n"/>
      <c r="L803" s="13" t="n"/>
      <c r="M803" s="17">
        <f>IF($C803="","",IF(ISNA(MATCH($C803,项目名表,0)),"※项目不在项目台账里",IF($E803="※工作类型没选","※工作类型没选","")))</f>
        <v/>
      </c>
    </row>
    <row r="804">
      <c r="A804" s="17">
        <f>IF($C804="","",ROW()-3)</f>
        <v/>
      </c>
      <c r="B804" s="18" t="n"/>
      <c r="C804" s="13" t="n"/>
      <c r="D804" s="13" t="n"/>
      <c r="E804" s="17">
        <f>IF($C804="","",IFERROR(VLOOKUP($D804,工作归属,2,0),"※工作类型没选"))</f>
        <v/>
      </c>
      <c r="F804" s="13" t="n"/>
      <c r="G804" s="13" t="n"/>
      <c r="H804" s="20" t="n"/>
      <c r="I804" s="14" t="n"/>
      <c r="J804" s="19">
        <f>IF($C804="","",ROUND(IF($H804="",1,$H804)*N($I804),2))</f>
        <v/>
      </c>
      <c r="K804" s="13" t="n"/>
      <c r="L804" s="13" t="n"/>
      <c r="M804" s="17">
        <f>IF($C804="","",IF(ISNA(MATCH($C804,项目名表,0)),"※项目不在项目台账里",IF($E804="※工作类型没选","※工作类型没选","")))</f>
        <v/>
      </c>
    </row>
    <row r="805">
      <c r="A805" s="17">
        <f>IF($C805="","",ROW()-3)</f>
        <v/>
      </c>
      <c r="B805" s="18" t="n"/>
      <c r="C805" s="13" t="n"/>
      <c r="D805" s="13" t="n"/>
      <c r="E805" s="17">
        <f>IF($C805="","",IFERROR(VLOOKUP($D805,工作归属,2,0),"※工作类型没选"))</f>
        <v/>
      </c>
      <c r="F805" s="13" t="n"/>
      <c r="G805" s="13" t="n"/>
      <c r="H805" s="20" t="n"/>
      <c r="I805" s="14" t="n"/>
      <c r="J805" s="19">
        <f>IF($C805="","",ROUND(IF($H805="",1,$H805)*N($I805),2))</f>
        <v/>
      </c>
      <c r="K805" s="13" t="n"/>
      <c r="L805" s="13" t="n"/>
      <c r="M805" s="17">
        <f>IF($C805="","",IF(ISNA(MATCH($C805,项目名表,0)),"※项目不在项目台账里",IF($E805="※工作类型没选","※工作类型没选","")))</f>
        <v/>
      </c>
    </row>
    <row r="806">
      <c r="A806" s="17">
        <f>IF($C806="","",ROW()-3)</f>
        <v/>
      </c>
      <c r="B806" s="18" t="n"/>
      <c r="C806" s="13" t="n"/>
      <c r="D806" s="13" t="n"/>
      <c r="E806" s="17">
        <f>IF($C806="","",IFERROR(VLOOKUP($D806,工作归属,2,0),"※工作类型没选"))</f>
        <v/>
      </c>
      <c r="F806" s="13" t="n"/>
      <c r="G806" s="13" t="n"/>
      <c r="H806" s="20" t="n"/>
      <c r="I806" s="14" t="n"/>
      <c r="J806" s="19">
        <f>IF($C806="","",ROUND(IF($H806="",1,$H806)*N($I806),2))</f>
        <v/>
      </c>
      <c r="K806" s="13" t="n"/>
      <c r="L806" s="13" t="n"/>
      <c r="M806" s="17">
        <f>IF($C806="","",IF(ISNA(MATCH($C806,项目名表,0)),"※项目不在项目台账里",IF($E806="※工作类型没选","※工作类型没选","")))</f>
        <v/>
      </c>
    </row>
    <row r="807">
      <c r="A807" s="17">
        <f>IF($C807="","",ROW()-3)</f>
        <v/>
      </c>
      <c r="B807" s="18" t="n"/>
      <c r="C807" s="13" t="n"/>
      <c r="D807" s="13" t="n"/>
      <c r="E807" s="17">
        <f>IF($C807="","",IFERROR(VLOOKUP($D807,工作归属,2,0),"※工作类型没选"))</f>
        <v/>
      </c>
      <c r="F807" s="13" t="n"/>
      <c r="G807" s="13" t="n"/>
      <c r="H807" s="20" t="n"/>
      <c r="I807" s="14" t="n"/>
      <c r="J807" s="19">
        <f>IF($C807="","",ROUND(IF($H807="",1,$H807)*N($I807),2))</f>
        <v/>
      </c>
      <c r="K807" s="13" t="n"/>
      <c r="L807" s="13" t="n"/>
      <c r="M807" s="17">
        <f>IF($C807="","",IF(ISNA(MATCH($C807,项目名表,0)),"※项目不在项目台账里",IF($E807="※工作类型没选","※工作类型没选","")))</f>
        <v/>
      </c>
    </row>
    <row r="808">
      <c r="A808" s="17">
        <f>IF($C808="","",ROW()-3)</f>
        <v/>
      </c>
      <c r="B808" s="18" t="n"/>
      <c r="C808" s="13" t="n"/>
      <c r="D808" s="13" t="n"/>
      <c r="E808" s="17">
        <f>IF($C808="","",IFERROR(VLOOKUP($D808,工作归属,2,0),"※工作类型没选"))</f>
        <v/>
      </c>
      <c r="F808" s="13" t="n"/>
      <c r="G808" s="13" t="n"/>
      <c r="H808" s="20" t="n"/>
      <c r="I808" s="14" t="n"/>
      <c r="J808" s="19">
        <f>IF($C808="","",ROUND(IF($H808="",1,$H808)*N($I808),2))</f>
        <v/>
      </c>
      <c r="K808" s="13" t="n"/>
      <c r="L808" s="13" t="n"/>
      <c r="M808" s="17">
        <f>IF($C808="","",IF(ISNA(MATCH($C808,项目名表,0)),"※项目不在项目台账里",IF($E808="※工作类型没选","※工作类型没选","")))</f>
        <v/>
      </c>
    </row>
    <row r="809">
      <c r="A809" s="17">
        <f>IF($C809="","",ROW()-3)</f>
        <v/>
      </c>
      <c r="B809" s="18" t="n"/>
      <c r="C809" s="13" t="n"/>
      <c r="D809" s="13" t="n"/>
      <c r="E809" s="17">
        <f>IF($C809="","",IFERROR(VLOOKUP($D809,工作归属,2,0),"※工作类型没选"))</f>
        <v/>
      </c>
      <c r="F809" s="13" t="n"/>
      <c r="G809" s="13" t="n"/>
      <c r="H809" s="20" t="n"/>
      <c r="I809" s="14" t="n"/>
      <c r="J809" s="19">
        <f>IF($C809="","",ROUND(IF($H809="",1,$H809)*N($I809),2))</f>
        <v/>
      </c>
      <c r="K809" s="13" t="n"/>
      <c r="L809" s="13" t="n"/>
      <c r="M809" s="17">
        <f>IF($C809="","",IF(ISNA(MATCH($C809,项目名表,0)),"※项目不在项目台账里",IF($E809="※工作类型没选","※工作类型没选","")))</f>
        <v/>
      </c>
    </row>
    <row r="810">
      <c r="A810" s="17">
        <f>IF($C810="","",ROW()-3)</f>
        <v/>
      </c>
      <c r="B810" s="18" t="n"/>
      <c r="C810" s="13" t="n"/>
      <c r="D810" s="13" t="n"/>
      <c r="E810" s="17">
        <f>IF($C810="","",IFERROR(VLOOKUP($D810,工作归属,2,0),"※工作类型没选"))</f>
        <v/>
      </c>
      <c r="F810" s="13" t="n"/>
      <c r="G810" s="13" t="n"/>
      <c r="H810" s="20" t="n"/>
      <c r="I810" s="14" t="n"/>
      <c r="J810" s="19">
        <f>IF($C810="","",ROUND(IF($H810="",1,$H810)*N($I810),2))</f>
        <v/>
      </c>
      <c r="K810" s="13" t="n"/>
      <c r="L810" s="13" t="n"/>
      <c r="M810" s="17">
        <f>IF($C810="","",IF(ISNA(MATCH($C810,项目名表,0)),"※项目不在项目台账里",IF($E810="※工作类型没选","※工作类型没选","")))</f>
        <v/>
      </c>
    </row>
    <row r="811">
      <c r="A811" s="17">
        <f>IF($C811="","",ROW()-3)</f>
        <v/>
      </c>
      <c r="B811" s="18" t="n"/>
      <c r="C811" s="13" t="n"/>
      <c r="D811" s="13" t="n"/>
      <c r="E811" s="17">
        <f>IF($C811="","",IFERROR(VLOOKUP($D811,工作归属,2,0),"※工作类型没选"))</f>
        <v/>
      </c>
      <c r="F811" s="13" t="n"/>
      <c r="G811" s="13" t="n"/>
      <c r="H811" s="20" t="n"/>
      <c r="I811" s="14" t="n"/>
      <c r="J811" s="19">
        <f>IF($C811="","",ROUND(IF($H811="",1,$H811)*N($I811),2))</f>
        <v/>
      </c>
      <c r="K811" s="13" t="n"/>
      <c r="L811" s="13" t="n"/>
      <c r="M811" s="17">
        <f>IF($C811="","",IF(ISNA(MATCH($C811,项目名表,0)),"※项目不在项目台账里",IF($E811="※工作类型没选","※工作类型没选","")))</f>
        <v/>
      </c>
    </row>
    <row r="812">
      <c r="A812" s="17">
        <f>IF($C812="","",ROW()-3)</f>
        <v/>
      </c>
      <c r="B812" s="18" t="n"/>
      <c r="C812" s="13" t="n"/>
      <c r="D812" s="13" t="n"/>
      <c r="E812" s="17">
        <f>IF($C812="","",IFERROR(VLOOKUP($D812,工作归属,2,0),"※工作类型没选"))</f>
        <v/>
      </c>
      <c r="F812" s="13" t="n"/>
      <c r="G812" s="13" t="n"/>
      <c r="H812" s="20" t="n"/>
      <c r="I812" s="14" t="n"/>
      <c r="J812" s="19">
        <f>IF($C812="","",ROUND(IF($H812="",1,$H812)*N($I812),2))</f>
        <v/>
      </c>
      <c r="K812" s="13" t="n"/>
      <c r="L812" s="13" t="n"/>
      <c r="M812" s="17">
        <f>IF($C812="","",IF(ISNA(MATCH($C812,项目名表,0)),"※项目不在项目台账里",IF($E812="※工作类型没选","※工作类型没选","")))</f>
        <v/>
      </c>
    </row>
    <row r="813">
      <c r="A813" s="17">
        <f>IF($C813="","",ROW()-3)</f>
        <v/>
      </c>
      <c r="B813" s="18" t="n"/>
      <c r="C813" s="13" t="n"/>
      <c r="D813" s="13" t="n"/>
      <c r="E813" s="17">
        <f>IF($C813="","",IFERROR(VLOOKUP($D813,工作归属,2,0),"※工作类型没选"))</f>
        <v/>
      </c>
      <c r="F813" s="13" t="n"/>
      <c r="G813" s="13" t="n"/>
      <c r="H813" s="20" t="n"/>
      <c r="I813" s="14" t="n"/>
      <c r="J813" s="19">
        <f>IF($C813="","",ROUND(IF($H813="",1,$H813)*N($I813),2))</f>
        <v/>
      </c>
      <c r="K813" s="13" t="n"/>
      <c r="L813" s="13" t="n"/>
      <c r="M813" s="17">
        <f>IF($C813="","",IF(ISNA(MATCH($C813,项目名表,0)),"※项目不在项目台账里",IF($E813="※工作类型没选","※工作类型没选","")))</f>
        <v/>
      </c>
    </row>
    <row r="814">
      <c r="A814" s="17">
        <f>IF($C814="","",ROW()-3)</f>
        <v/>
      </c>
      <c r="B814" s="18" t="n"/>
      <c r="C814" s="13" t="n"/>
      <c r="D814" s="13" t="n"/>
      <c r="E814" s="17">
        <f>IF($C814="","",IFERROR(VLOOKUP($D814,工作归属,2,0),"※工作类型没选"))</f>
        <v/>
      </c>
      <c r="F814" s="13" t="n"/>
      <c r="G814" s="13" t="n"/>
      <c r="H814" s="20" t="n"/>
      <c r="I814" s="14" t="n"/>
      <c r="J814" s="19">
        <f>IF($C814="","",ROUND(IF($H814="",1,$H814)*N($I814),2))</f>
        <v/>
      </c>
      <c r="K814" s="13" t="n"/>
      <c r="L814" s="13" t="n"/>
      <c r="M814" s="17">
        <f>IF($C814="","",IF(ISNA(MATCH($C814,项目名表,0)),"※项目不在项目台账里",IF($E814="※工作类型没选","※工作类型没选","")))</f>
        <v/>
      </c>
    </row>
    <row r="815">
      <c r="A815" s="17">
        <f>IF($C815="","",ROW()-3)</f>
        <v/>
      </c>
      <c r="B815" s="18" t="n"/>
      <c r="C815" s="13" t="n"/>
      <c r="D815" s="13" t="n"/>
      <c r="E815" s="17">
        <f>IF($C815="","",IFERROR(VLOOKUP($D815,工作归属,2,0),"※工作类型没选"))</f>
        <v/>
      </c>
      <c r="F815" s="13" t="n"/>
      <c r="G815" s="13" t="n"/>
      <c r="H815" s="20" t="n"/>
      <c r="I815" s="14" t="n"/>
      <c r="J815" s="19">
        <f>IF($C815="","",ROUND(IF($H815="",1,$H815)*N($I815),2))</f>
        <v/>
      </c>
      <c r="K815" s="13" t="n"/>
      <c r="L815" s="13" t="n"/>
      <c r="M815" s="17">
        <f>IF($C815="","",IF(ISNA(MATCH($C815,项目名表,0)),"※项目不在项目台账里",IF($E815="※工作类型没选","※工作类型没选","")))</f>
        <v/>
      </c>
    </row>
    <row r="816">
      <c r="A816" s="17">
        <f>IF($C816="","",ROW()-3)</f>
        <v/>
      </c>
      <c r="B816" s="18" t="n"/>
      <c r="C816" s="13" t="n"/>
      <c r="D816" s="13" t="n"/>
      <c r="E816" s="17">
        <f>IF($C816="","",IFERROR(VLOOKUP($D816,工作归属,2,0),"※工作类型没选"))</f>
        <v/>
      </c>
      <c r="F816" s="13" t="n"/>
      <c r="G816" s="13" t="n"/>
      <c r="H816" s="20" t="n"/>
      <c r="I816" s="14" t="n"/>
      <c r="J816" s="19">
        <f>IF($C816="","",ROUND(IF($H816="",1,$H816)*N($I816),2))</f>
        <v/>
      </c>
      <c r="K816" s="13" t="n"/>
      <c r="L816" s="13" t="n"/>
      <c r="M816" s="17">
        <f>IF($C816="","",IF(ISNA(MATCH($C816,项目名表,0)),"※项目不在项目台账里",IF($E816="※工作类型没选","※工作类型没选","")))</f>
        <v/>
      </c>
    </row>
    <row r="817">
      <c r="A817" s="17">
        <f>IF($C817="","",ROW()-3)</f>
        <v/>
      </c>
      <c r="B817" s="18" t="n"/>
      <c r="C817" s="13" t="n"/>
      <c r="D817" s="13" t="n"/>
      <c r="E817" s="17">
        <f>IF($C817="","",IFERROR(VLOOKUP($D817,工作归属,2,0),"※工作类型没选"))</f>
        <v/>
      </c>
      <c r="F817" s="13" t="n"/>
      <c r="G817" s="13" t="n"/>
      <c r="H817" s="20" t="n"/>
      <c r="I817" s="14" t="n"/>
      <c r="J817" s="19">
        <f>IF($C817="","",ROUND(IF($H817="",1,$H817)*N($I817),2))</f>
        <v/>
      </c>
      <c r="K817" s="13" t="n"/>
      <c r="L817" s="13" t="n"/>
      <c r="M817" s="17">
        <f>IF($C817="","",IF(ISNA(MATCH($C817,项目名表,0)),"※项目不在项目台账里",IF($E817="※工作类型没选","※工作类型没选","")))</f>
        <v/>
      </c>
    </row>
    <row r="818">
      <c r="A818" s="17">
        <f>IF($C818="","",ROW()-3)</f>
        <v/>
      </c>
      <c r="B818" s="18" t="n"/>
      <c r="C818" s="13" t="n"/>
      <c r="D818" s="13" t="n"/>
      <c r="E818" s="17">
        <f>IF($C818="","",IFERROR(VLOOKUP($D818,工作归属,2,0),"※工作类型没选"))</f>
        <v/>
      </c>
      <c r="F818" s="13" t="n"/>
      <c r="G818" s="13" t="n"/>
      <c r="H818" s="20" t="n"/>
      <c r="I818" s="14" t="n"/>
      <c r="J818" s="19">
        <f>IF($C818="","",ROUND(IF($H818="",1,$H818)*N($I818),2))</f>
        <v/>
      </c>
      <c r="K818" s="13" t="n"/>
      <c r="L818" s="13" t="n"/>
      <c r="M818" s="17">
        <f>IF($C818="","",IF(ISNA(MATCH($C818,项目名表,0)),"※项目不在项目台账里",IF($E818="※工作类型没选","※工作类型没选","")))</f>
        <v/>
      </c>
    </row>
    <row r="819">
      <c r="A819" s="17">
        <f>IF($C819="","",ROW()-3)</f>
        <v/>
      </c>
      <c r="B819" s="18" t="n"/>
      <c r="C819" s="13" t="n"/>
      <c r="D819" s="13" t="n"/>
      <c r="E819" s="17">
        <f>IF($C819="","",IFERROR(VLOOKUP($D819,工作归属,2,0),"※工作类型没选"))</f>
        <v/>
      </c>
      <c r="F819" s="13" t="n"/>
      <c r="G819" s="13" t="n"/>
      <c r="H819" s="20" t="n"/>
      <c r="I819" s="14" t="n"/>
      <c r="J819" s="19">
        <f>IF($C819="","",ROUND(IF($H819="",1,$H819)*N($I819),2))</f>
        <v/>
      </c>
      <c r="K819" s="13" t="n"/>
      <c r="L819" s="13" t="n"/>
      <c r="M819" s="17">
        <f>IF($C819="","",IF(ISNA(MATCH($C819,项目名表,0)),"※项目不在项目台账里",IF($E819="※工作类型没选","※工作类型没选","")))</f>
        <v/>
      </c>
    </row>
    <row r="820">
      <c r="A820" s="17">
        <f>IF($C820="","",ROW()-3)</f>
        <v/>
      </c>
      <c r="B820" s="18" t="n"/>
      <c r="C820" s="13" t="n"/>
      <c r="D820" s="13" t="n"/>
      <c r="E820" s="17">
        <f>IF($C820="","",IFERROR(VLOOKUP($D820,工作归属,2,0),"※工作类型没选"))</f>
        <v/>
      </c>
      <c r="F820" s="13" t="n"/>
      <c r="G820" s="13" t="n"/>
      <c r="H820" s="20" t="n"/>
      <c r="I820" s="14" t="n"/>
      <c r="J820" s="19">
        <f>IF($C820="","",ROUND(IF($H820="",1,$H820)*N($I820),2))</f>
        <v/>
      </c>
      <c r="K820" s="13" t="n"/>
      <c r="L820" s="13" t="n"/>
      <c r="M820" s="17">
        <f>IF($C820="","",IF(ISNA(MATCH($C820,项目名表,0)),"※项目不在项目台账里",IF($E820="※工作类型没选","※工作类型没选","")))</f>
        <v/>
      </c>
    </row>
    <row r="821">
      <c r="A821" s="17">
        <f>IF($C821="","",ROW()-3)</f>
        <v/>
      </c>
      <c r="B821" s="18" t="n"/>
      <c r="C821" s="13" t="n"/>
      <c r="D821" s="13" t="n"/>
      <c r="E821" s="17">
        <f>IF($C821="","",IFERROR(VLOOKUP($D821,工作归属,2,0),"※工作类型没选"))</f>
        <v/>
      </c>
      <c r="F821" s="13" t="n"/>
      <c r="G821" s="13" t="n"/>
      <c r="H821" s="20" t="n"/>
      <c r="I821" s="14" t="n"/>
      <c r="J821" s="19">
        <f>IF($C821="","",ROUND(IF($H821="",1,$H821)*N($I821),2))</f>
        <v/>
      </c>
      <c r="K821" s="13" t="n"/>
      <c r="L821" s="13" t="n"/>
      <c r="M821" s="17">
        <f>IF($C821="","",IF(ISNA(MATCH($C821,项目名表,0)),"※项目不在项目台账里",IF($E821="※工作类型没选","※工作类型没选","")))</f>
        <v/>
      </c>
    </row>
    <row r="822">
      <c r="A822" s="17">
        <f>IF($C822="","",ROW()-3)</f>
        <v/>
      </c>
      <c r="B822" s="18" t="n"/>
      <c r="C822" s="13" t="n"/>
      <c r="D822" s="13" t="n"/>
      <c r="E822" s="17">
        <f>IF($C822="","",IFERROR(VLOOKUP($D822,工作归属,2,0),"※工作类型没选"))</f>
        <v/>
      </c>
      <c r="F822" s="13" t="n"/>
      <c r="G822" s="13" t="n"/>
      <c r="H822" s="20" t="n"/>
      <c r="I822" s="14" t="n"/>
      <c r="J822" s="19">
        <f>IF($C822="","",ROUND(IF($H822="",1,$H822)*N($I822),2))</f>
        <v/>
      </c>
      <c r="K822" s="13" t="n"/>
      <c r="L822" s="13" t="n"/>
      <c r="M822" s="17">
        <f>IF($C822="","",IF(ISNA(MATCH($C822,项目名表,0)),"※项目不在项目台账里",IF($E822="※工作类型没选","※工作类型没选","")))</f>
        <v/>
      </c>
    </row>
    <row r="823">
      <c r="A823" s="17">
        <f>IF($C823="","",ROW()-3)</f>
        <v/>
      </c>
      <c r="B823" s="18" t="n"/>
      <c r="C823" s="13" t="n"/>
      <c r="D823" s="13" t="n"/>
      <c r="E823" s="17">
        <f>IF($C823="","",IFERROR(VLOOKUP($D823,工作归属,2,0),"※工作类型没选"))</f>
        <v/>
      </c>
      <c r="F823" s="13" t="n"/>
      <c r="G823" s="13" t="n"/>
      <c r="H823" s="20" t="n"/>
      <c r="I823" s="14" t="n"/>
      <c r="J823" s="19">
        <f>IF($C823="","",ROUND(IF($H823="",1,$H823)*N($I823),2))</f>
        <v/>
      </c>
      <c r="K823" s="13" t="n"/>
      <c r="L823" s="13" t="n"/>
      <c r="M823" s="17">
        <f>IF($C823="","",IF(ISNA(MATCH($C823,项目名表,0)),"※项目不在项目台账里",IF($E823="※工作类型没选","※工作类型没选","")))</f>
        <v/>
      </c>
    </row>
    <row r="824">
      <c r="A824" s="17">
        <f>IF($C824="","",ROW()-3)</f>
        <v/>
      </c>
      <c r="B824" s="18" t="n"/>
      <c r="C824" s="13" t="n"/>
      <c r="D824" s="13" t="n"/>
      <c r="E824" s="17">
        <f>IF($C824="","",IFERROR(VLOOKUP($D824,工作归属,2,0),"※工作类型没选"))</f>
        <v/>
      </c>
      <c r="F824" s="13" t="n"/>
      <c r="G824" s="13" t="n"/>
      <c r="H824" s="20" t="n"/>
      <c r="I824" s="14" t="n"/>
      <c r="J824" s="19">
        <f>IF($C824="","",ROUND(IF($H824="",1,$H824)*N($I824),2))</f>
        <v/>
      </c>
      <c r="K824" s="13" t="n"/>
      <c r="L824" s="13" t="n"/>
      <c r="M824" s="17">
        <f>IF($C824="","",IF(ISNA(MATCH($C824,项目名表,0)),"※项目不在项目台账里",IF($E824="※工作类型没选","※工作类型没选","")))</f>
        <v/>
      </c>
    </row>
    <row r="825">
      <c r="A825" s="17">
        <f>IF($C825="","",ROW()-3)</f>
        <v/>
      </c>
      <c r="B825" s="18" t="n"/>
      <c r="C825" s="13" t="n"/>
      <c r="D825" s="13" t="n"/>
      <c r="E825" s="17">
        <f>IF($C825="","",IFERROR(VLOOKUP($D825,工作归属,2,0),"※工作类型没选"))</f>
        <v/>
      </c>
      <c r="F825" s="13" t="n"/>
      <c r="G825" s="13" t="n"/>
      <c r="H825" s="20" t="n"/>
      <c r="I825" s="14" t="n"/>
      <c r="J825" s="19">
        <f>IF($C825="","",ROUND(IF($H825="",1,$H825)*N($I825),2))</f>
        <v/>
      </c>
      <c r="K825" s="13" t="n"/>
      <c r="L825" s="13" t="n"/>
      <c r="M825" s="17">
        <f>IF($C825="","",IF(ISNA(MATCH($C825,项目名表,0)),"※项目不在项目台账里",IF($E825="※工作类型没选","※工作类型没选","")))</f>
        <v/>
      </c>
    </row>
    <row r="826">
      <c r="A826" s="17">
        <f>IF($C826="","",ROW()-3)</f>
        <v/>
      </c>
      <c r="B826" s="18" t="n"/>
      <c r="C826" s="13" t="n"/>
      <c r="D826" s="13" t="n"/>
      <c r="E826" s="17">
        <f>IF($C826="","",IFERROR(VLOOKUP($D826,工作归属,2,0),"※工作类型没选"))</f>
        <v/>
      </c>
      <c r="F826" s="13" t="n"/>
      <c r="G826" s="13" t="n"/>
      <c r="H826" s="20" t="n"/>
      <c r="I826" s="14" t="n"/>
      <c r="J826" s="19">
        <f>IF($C826="","",ROUND(IF($H826="",1,$H826)*N($I826),2))</f>
        <v/>
      </c>
      <c r="K826" s="13" t="n"/>
      <c r="L826" s="13" t="n"/>
      <c r="M826" s="17">
        <f>IF($C826="","",IF(ISNA(MATCH($C826,项目名表,0)),"※项目不在项目台账里",IF($E826="※工作类型没选","※工作类型没选","")))</f>
        <v/>
      </c>
    </row>
    <row r="827">
      <c r="A827" s="17">
        <f>IF($C827="","",ROW()-3)</f>
        <v/>
      </c>
      <c r="B827" s="18" t="n"/>
      <c r="C827" s="13" t="n"/>
      <c r="D827" s="13" t="n"/>
      <c r="E827" s="17">
        <f>IF($C827="","",IFERROR(VLOOKUP($D827,工作归属,2,0),"※工作类型没选"))</f>
        <v/>
      </c>
      <c r="F827" s="13" t="n"/>
      <c r="G827" s="13" t="n"/>
      <c r="H827" s="20" t="n"/>
      <c r="I827" s="14" t="n"/>
      <c r="J827" s="19">
        <f>IF($C827="","",ROUND(IF($H827="",1,$H827)*N($I827),2))</f>
        <v/>
      </c>
      <c r="K827" s="13" t="n"/>
      <c r="L827" s="13" t="n"/>
      <c r="M827" s="17">
        <f>IF($C827="","",IF(ISNA(MATCH($C827,项目名表,0)),"※项目不在项目台账里",IF($E827="※工作类型没选","※工作类型没选","")))</f>
        <v/>
      </c>
    </row>
    <row r="828">
      <c r="A828" s="17">
        <f>IF($C828="","",ROW()-3)</f>
        <v/>
      </c>
      <c r="B828" s="18" t="n"/>
      <c r="C828" s="13" t="n"/>
      <c r="D828" s="13" t="n"/>
      <c r="E828" s="17">
        <f>IF($C828="","",IFERROR(VLOOKUP($D828,工作归属,2,0),"※工作类型没选"))</f>
        <v/>
      </c>
      <c r="F828" s="13" t="n"/>
      <c r="G828" s="13" t="n"/>
      <c r="H828" s="20" t="n"/>
      <c r="I828" s="14" t="n"/>
      <c r="J828" s="19">
        <f>IF($C828="","",ROUND(IF($H828="",1,$H828)*N($I828),2))</f>
        <v/>
      </c>
      <c r="K828" s="13" t="n"/>
      <c r="L828" s="13" t="n"/>
      <c r="M828" s="17">
        <f>IF($C828="","",IF(ISNA(MATCH($C828,项目名表,0)),"※项目不在项目台账里",IF($E828="※工作类型没选","※工作类型没选","")))</f>
        <v/>
      </c>
    </row>
    <row r="829">
      <c r="A829" s="17">
        <f>IF($C829="","",ROW()-3)</f>
        <v/>
      </c>
      <c r="B829" s="18" t="n"/>
      <c r="C829" s="13" t="n"/>
      <c r="D829" s="13" t="n"/>
      <c r="E829" s="17">
        <f>IF($C829="","",IFERROR(VLOOKUP($D829,工作归属,2,0),"※工作类型没选"))</f>
        <v/>
      </c>
      <c r="F829" s="13" t="n"/>
      <c r="G829" s="13" t="n"/>
      <c r="H829" s="20" t="n"/>
      <c r="I829" s="14" t="n"/>
      <c r="J829" s="19">
        <f>IF($C829="","",ROUND(IF($H829="",1,$H829)*N($I829),2))</f>
        <v/>
      </c>
      <c r="K829" s="13" t="n"/>
      <c r="L829" s="13" t="n"/>
      <c r="M829" s="17">
        <f>IF($C829="","",IF(ISNA(MATCH($C829,项目名表,0)),"※项目不在项目台账里",IF($E829="※工作类型没选","※工作类型没选","")))</f>
        <v/>
      </c>
    </row>
    <row r="830">
      <c r="A830" s="17">
        <f>IF($C830="","",ROW()-3)</f>
        <v/>
      </c>
      <c r="B830" s="18" t="n"/>
      <c r="C830" s="13" t="n"/>
      <c r="D830" s="13" t="n"/>
      <c r="E830" s="17">
        <f>IF($C830="","",IFERROR(VLOOKUP($D830,工作归属,2,0),"※工作类型没选"))</f>
        <v/>
      </c>
      <c r="F830" s="13" t="n"/>
      <c r="G830" s="13" t="n"/>
      <c r="H830" s="20" t="n"/>
      <c r="I830" s="14" t="n"/>
      <c r="J830" s="19">
        <f>IF($C830="","",ROUND(IF($H830="",1,$H830)*N($I830),2))</f>
        <v/>
      </c>
      <c r="K830" s="13" t="n"/>
      <c r="L830" s="13" t="n"/>
      <c r="M830" s="17">
        <f>IF($C830="","",IF(ISNA(MATCH($C830,项目名表,0)),"※项目不在项目台账里",IF($E830="※工作类型没选","※工作类型没选","")))</f>
        <v/>
      </c>
    </row>
    <row r="831">
      <c r="A831" s="17">
        <f>IF($C831="","",ROW()-3)</f>
        <v/>
      </c>
      <c r="B831" s="18" t="n"/>
      <c r="C831" s="13" t="n"/>
      <c r="D831" s="13" t="n"/>
      <c r="E831" s="17">
        <f>IF($C831="","",IFERROR(VLOOKUP($D831,工作归属,2,0),"※工作类型没选"))</f>
        <v/>
      </c>
      <c r="F831" s="13" t="n"/>
      <c r="G831" s="13" t="n"/>
      <c r="H831" s="20" t="n"/>
      <c r="I831" s="14" t="n"/>
      <c r="J831" s="19">
        <f>IF($C831="","",ROUND(IF($H831="",1,$H831)*N($I831),2))</f>
        <v/>
      </c>
      <c r="K831" s="13" t="n"/>
      <c r="L831" s="13" t="n"/>
      <c r="M831" s="17">
        <f>IF($C831="","",IF(ISNA(MATCH($C831,项目名表,0)),"※项目不在项目台账里",IF($E831="※工作类型没选","※工作类型没选","")))</f>
        <v/>
      </c>
    </row>
    <row r="832">
      <c r="A832" s="17">
        <f>IF($C832="","",ROW()-3)</f>
        <v/>
      </c>
      <c r="B832" s="18" t="n"/>
      <c r="C832" s="13" t="n"/>
      <c r="D832" s="13" t="n"/>
      <c r="E832" s="17">
        <f>IF($C832="","",IFERROR(VLOOKUP($D832,工作归属,2,0),"※工作类型没选"))</f>
        <v/>
      </c>
      <c r="F832" s="13" t="n"/>
      <c r="G832" s="13" t="n"/>
      <c r="H832" s="20" t="n"/>
      <c r="I832" s="14" t="n"/>
      <c r="J832" s="19">
        <f>IF($C832="","",ROUND(IF($H832="",1,$H832)*N($I832),2))</f>
        <v/>
      </c>
      <c r="K832" s="13" t="n"/>
      <c r="L832" s="13" t="n"/>
      <c r="M832" s="17">
        <f>IF($C832="","",IF(ISNA(MATCH($C832,项目名表,0)),"※项目不在项目台账里",IF($E832="※工作类型没选","※工作类型没选","")))</f>
        <v/>
      </c>
    </row>
    <row r="833">
      <c r="A833" s="17">
        <f>IF($C833="","",ROW()-3)</f>
        <v/>
      </c>
      <c r="B833" s="18" t="n"/>
      <c r="C833" s="13" t="n"/>
      <c r="D833" s="13" t="n"/>
      <c r="E833" s="17">
        <f>IF($C833="","",IFERROR(VLOOKUP($D833,工作归属,2,0),"※工作类型没选"))</f>
        <v/>
      </c>
      <c r="F833" s="13" t="n"/>
      <c r="G833" s="13" t="n"/>
      <c r="H833" s="20" t="n"/>
      <c r="I833" s="14" t="n"/>
      <c r="J833" s="19">
        <f>IF($C833="","",ROUND(IF($H833="",1,$H833)*N($I833),2))</f>
        <v/>
      </c>
      <c r="K833" s="13" t="n"/>
      <c r="L833" s="13" t="n"/>
      <c r="M833" s="17">
        <f>IF($C833="","",IF(ISNA(MATCH($C833,项目名表,0)),"※项目不在项目台账里",IF($E833="※工作类型没选","※工作类型没选","")))</f>
        <v/>
      </c>
    </row>
    <row r="834">
      <c r="A834" s="17">
        <f>IF($C834="","",ROW()-3)</f>
        <v/>
      </c>
      <c r="B834" s="18" t="n"/>
      <c r="C834" s="13" t="n"/>
      <c r="D834" s="13" t="n"/>
      <c r="E834" s="17">
        <f>IF($C834="","",IFERROR(VLOOKUP($D834,工作归属,2,0),"※工作类型没选"))</f>
        <v/>
      </c>
      <c r="F834" s="13" t="n"/>
      <c r="G834" s="13" t="n"/>
      <c r="H834" s="20" t="n"/>
      <c r="I834" s="14" t="n"/>
      <c r="J834" s="19">
        <f>IF($C834="","",ROUND(IF($H834="",1,$H834)*N($I834),2))</f>
        <v/>
      </c>
      <c r="K834" s="13" t="n"/>
      <c r="L834" s="13" t="n"/>
      <c r="M834" s="17">
        <f>IF($C834="","",IF(ISNA(MATCH($C834,项目名表,0)),"※项目不在项目台账里",IF($E834="※工作类型没选","※工作类型没选","")))</f>
        <v/>
      </c>
    </row>
    <row r="835">
      <c r="A835" s="17">
        <f>IF($C835="","",ROW()-3)</f>
        <v/>
      </c>
      <c r="B835" s="18" t="n"/>
      <c r="C835" s="13" t="n"/>
      <c r="D835" s="13" t="n"/>
      <c r="E835" s="17">
        <f>IF($C835="","",IFERROR(VLOOKUP($D835,工作归属,2,0),"※工作类型没选"))</f>
        <v/>
      </c>
      <c r="F835" s="13" t="n"/>
      <c r="G835" s="13" t="n"/>
      <c r="H835" s="20" t="n"/>
      <c r="I835" s="14" t="n"/>
      <c r="J835" s="19">
        <f>IF($C835="","",ROUND(IF($H835="",1,$H835)*N($I835),2))</f>
        <v/>
      </c>
      <c r="K835" s="13" t="n"/>
      <c r="L835" s="13" t="n"/>
      <c r="M835" s="17">
        <f>IF($C835="","",IF(ISNA(MATCH($C835,项目名表,0)),"※项目不在项目台账里",IF($E835="※工作类型没选","※工作类型没选","")))</f>
        <v/>
      </c>
    </row>
    <row r="836">
      <c r="A836" s="17">
        <f>IF($C836="","",ROW()-3)</f>
        <v/>
      </c>
      <c r="B836" s="18" t="n"/>
      <c r="C836" s="13" t="n"/>
      <c r="D836" s="13" t="n"/>
      <c r="E836" s="17">
        <f>IF($C836="","",IFERROR(VLOOKUP($D836,工作归属,2,0),"※工作类型没选"))</f>
        <v/>
      </c>
      <c r="F836" s="13" t="n"/>
      <c r="G836" s="13" t="n"/>
      <c r="H836" s="20" t="n"/>
      <c r="I836" s="14" t="n"/>
      <c r="J836" s="19">
        <f>IF($C836="","",ROUND(IF($H836="",1,$H836)*N($I836),2))</f>
        <v/>
      </c>
      <c r="K836" s="13" t="n"/>
      <c r="L836" s="13" t="n"/>
      <c r="M836" s="17">
        <f>IF($C836="","",IF(ISNA(MATCH($C836,项目名表,0)),"※项目不在项目台账里",IF($E836="※工作类型没选","※工作类型没选","")))</f>
        <v/>
      </c>
    </row>
    <row r="837">
      <c r="A837" s="17">
        <f>IF($C837="","",ROW()-3)</f>
        <v/>
      </c>
      <c r="B837" s="18" t="n"/>
      <c r="C837" s="13" t="n"/>
      <c r="D837" s="13" t="n"/>
      <c r="E837" s="17">
        <f>IF($C837="","",IFERROR(VLOOKUP($D837,工作归属,2,0),"※工作类型没选"))</f>
        <v/>
      </c>
      <c r="F837" s="13" t="n"/>
      <c r="G837" s="13" t="n"/>
      <c r="H837" s="20" t="n"/>
      <c r="I837" s="14" t="n"/>
      <c r="J837" s="19">
        <f>IF($C837="","",ROUND(IF($H837="",1,$H837)*N($I837),2))</f>
        <v/>
      </c>
      <c r="K837" s="13" t="n"/>
      <c r="L837" s="13" t="n"/>
      <c r="M837" s="17">
        <f>IF($C837="","",IF(ISNA(MATCH($C837,项目名表,0)),"※项目不在项目台账里",IF($E837="※工作类型没选","※工作类型没选","")))</f>
        <v/>
      </c>
    </row>
    <row r="838">
      <c r="A838" s="17">
        <f>IF($C838="","",ROW()-3)</f>
        <v/>
      </c>
      <c r="B838" s="18" t="n"/>
      <c r="C838" s="13" t="n"/>
      <c r="D838" s="13" t="n"/>
      <c r="E838" s="17">
        <f>IF($C838="","",IFERROR(VLOOKUP($D838,工作归属,2,0),"※工作类型没选"))</f>
        <v/>
      </c>
      <c r="F838" s="13" t="n"/>
      <c r="G838" s="13" t="n"/>
      <c r="H838" s="20" t="n"/>
      <c r="I838" s="14" t="n"/>
      <c r="J838" s="19">
        <f>IF($C838="","",ROUND(IF($H838="",1,$H838)*N($I838),2))</f>
        <v/>
      </c>
      <c r="K838" s="13" t="n"/>
      <c r="L838" s="13" t="n"/>
      <c r="M838" s="17">
        <f>IF($C838="","",IF(ISNA(MATCH($C838,项目名表,0)),"※项目不在项目台账里",IF($E838="※工作类型没选","※工作类型没选","")))</f>
        <v/>
      </c>
    </row>
    <row r="839">
      <c r="A839" s="17">
        <f>IF($C839="","",ROW()-3)</f>
        <v/>
      </c>
      <c r="B839" s="18" t="n"/>
      <c r="C839" s="13" t="n"/>
      <c r="D839" s="13" t="n"/>
      <c r="E839" s="17">
        <f>IF($C839="","",IFERROR(VLOOKUP($D839,工作归属,2,0),"※工作类型没选"))</f>
        <v/>
      </c>
      <c r="F839" s="13" t="n"/>
      <c r="G839" s="13" t="n"/>
      <c r="H839" s="20" t="n"/>
      <c r="I839" s="14" t="n"/>
      <c r="J839" s="19">
        <f>IF($C839="","",ROUND(IF($H839="",1,$H839)*N($I839),2))</f>
        <v/>
      </c>
      <c r="K839" s="13" t="n"/>
      <c r="L839" s="13" t="n"/>
      <c r="M839" s="17">
        <f>IF($C839="","",IF(ISNA(MATCH($C839,项目名表,0)),"※项目不在项目台账里",IF($E839="※工作类型没选","※工作类型没选","")))</f>
        <v/>
      </c>
    </row>
    <row r="840">
      <c r="A840" s="17">
        <f>IF($C840="","",ROW()-3)</f>
        <v/>
      </c>
      <c r="B840" s="18" t="n"/>
      <c r="C840" s="13" t="n"/>
      <c r="D840" s="13" t="n"/>
      <c r="E840" s="17">
        <f>IF($C840="","",IFERROR(VLOOKUP($D840,工作归属,2,0),"※工作类型没选"))</f>
        <v/>
      </c>
      <c r="F840" s="13" t="n"/>
      <c r="G840" s="13" t="n"/>
      <c r="H840" s="20" t="n"/>
      <c r="I840" s="14" t="n"/>
      <c r="J840" s="19">
        <f>IF($C840="","",ROUND(IF($H840="",1,$H840)*N($I840),2))</f>
        <v/>
      </c>
      <c r="K840" s="13" t="n"/>
      <c r="L840" s="13" t="n"/>
      <c r="M840" s="17">
        <f>IF($C840="","",IF(ISNA(MATCH($C840,项目名表,0)),"※项目不在项目台账里",IF($E840="※工作类型没选","※工作类型没选","")))</f>
        <v/>
      </c>
    </row>
    <row r="841">
      <c r="A841" s="17">
        <f>IF($C841="","",ROW()-3)</f>
        <v/>
      </c>
      <c r="B841" s="18" t="n"/>
      <c r="C841" s="13" t="n"/>
      <c r="D841" s="13" t="n"/>
      <c r="E841" s="17">
        <f>IF($C841="","",IFERROR(VLOOKUP($D841,工作归属,2,0),"※工作类型没选"))</f>
        <v/>
      </c>
      <c r="F841" s="13" t="n"/>
      <c r="G841" s="13" t="n"/>
      <c r="H841" s="20" t="n"/>
      <c r="I841" s="14" t="n"/>
      <c r="J841" s="19">
        <f>IF($C841="","",ROUND(IF($H841="",1,$H841)*N($I841),2))</f>
        <v/>
      </c>
      <c r="K841" s="13" t="n"/>
      <c r="L841" s="13" t="n"/>
      <c r="M841" s="17">
        <f>IF($C841="","",IF(ISNA(MATCH($C841,项目名表,0)),"※项目不在项目台账里",IF($E841="※工作类型没选","※工作类型没选","")))</f>
        <v/>
      </c>
    </row>
    <row r="842">
      <c r="A842" s="17">
        <f>IF($C842="","",ROW()-3)</f>
        <v/>
      </c>
      <c r="B842" s="18" t="n"/>
      <c r="C842" s="13" t="n"/>
      <c r="D842" s="13" t="n"/>
      <c r="E842" s="17">
        <f>IF($C842="","",IFERROR(VLOOKUP($D842,工作归属,2,0),"※工作类型没选"))</f>
        <v/>
      </c>
      <c r="F842" s="13" t="n"/>
      <c r="G842" s="13" t="n"/>
      <c r="H842" s="20" t="n"/>
      <c r="I842" s="14" t="n"/>
      <c r="J842" s="19">
        <f>IF($C842="","",ROUND(IF($H842="",1,$H842)*N($I842),2))</f>
        <v/>
      </c>
      <c r="K842" s="13" t="n"/>
      <c r="L842" s="13" t="n"/>
      <c r="M842" s="17">
        <f>IF($C842="","",IF(ISNA(MATCH($C842,项目名表,0)),"※项目不在项目台账里",IF($E842="※工作类型没选","※工作类型没选","")))</f>
        <v/>
      </c>
    </row>
    <row r="843">
      <c r="A843" s="17">
        <f>IF($C843="","",ROW()-3)</f>
        <v/>
      </c>
      <c r="B843" s="18" t="n"/>
      <c r="C843" s="13" t="n"/>
      <c r="D843" s="13" t="n"/>
      <c r="E843" s="17">
        <f>IF($C843="","",IFERROR(VLOOKUP($D843,工作归属,2,0),"※工作类型没选"))</f>
        <v/>
      </c>
      <c r="F843" s="13" t="n"/>
      <c r="G843" s="13" t="n"/>
      <c r="H843" s="20" t="n"/>
      <c r="I843" s="14" t="n"/>
      <c r="J843" s="19">
        <f>IF($C843="","",ROUND(IF($H843="",1,$H843)*N($I843),2))</f>
        <v/>
      </c>
      <c r="K843" s="13" t="n"/>
      <c r="L843" s="13" t="n"/>
      <c r="M843" s="17">
        <f>IF($C843="","",IF(ISNA(MATCH($C843,项目名表,0)),"※项目不在项目台账里",IF($E843="※工作类型没选","※工作类型没选","")))</f>
        <v/>
      </c>
    </row>
    <row r="844">
      <c r="A844" s="17">
        <f>IF($C844="","",ROW()-3)</f>
        <v/>
      </c>
      <c r="B844" s="18" t="n"/>
      <c r="C844" s="13" t="n"/>
      <c r="D844" s="13" t="n"/>
      <c r="E844" s="17">
        <f>IF($C844="","",IFERROR(VLOOKUP($D844,工作归属,2,0),"※工作类型没选"))</f>
        <v/>
      </c>
      <c r="F844" s="13" t="n"/>
      <c r="G844" s="13" t="n"/>
      <c r="H844" s="20" t="n"/>
      <c r="I844" s="14" t="n"/>
      <c r="J844" s="19">
        <f>IF($C844="","",ROUND(IF($H844="",1,$H844)*N($I844),2))</f>
        <v/>
      </c>
      <c r="K844" s="13" t="n"/>
      <c r="L844" s="13" t="n"/>
      <c r="M844" s="17">
        <f>IF($C844="","",IF(ISNA(MATCH($C844,项目名表,0)),"※项目不在项目台账里",IF($E844="※工作类型没选","※工作类型没选","")))</f>
        <v/>
      </c>
    </row>
    <row r="845">
      <c r="A845" s="17">
        <f>IF($C845="","",ROW()-3)</f>
        <v/>
      </c>
      <c r="B845" s="18" t="n"/>
      <c r="C845" s="13" t="n"/>
      <c r="D845" s="13" t="n"/>
      <c r="E845" s="17">
        <f>IF($C845="","",IFERROR(VLOOKUP($D845,工作归属,2,0),"※工作类型没选"))</f>
        <v/>
      </c>
      <c r="F845" s="13" t="n"/>
      <c r="G845" s="13" t="n"/>
      <c r="H845" s="20" t="n"/>
      <c r="I845" s="14" t="n"/>
      <c r="J845" s="19">
        <f>IF($C845="","",ROUND(IF($H845="",1,$H845)*N($I845),2))</f>
        <v/>
      </c>
      <c r="K845" s="13" t="n"/>
      <c r="L845" s="13" t="n"/>
      <c r="M845" s="17">
        <f>IF($C845="","",IF(ISNA(MATCH($C845,项目名表,0)),"※项目不在项目台账里",IF($E845="※工作类型没选","※工作类型没选","")))</f>
        <v/>
      </c>
    </row>
    <row r="846">
      <c r="A846" s="17">
        <f>IF($C846="","",ROW()-3)</f>
        <v/>
      </c>
      <c r="B846" s="18" t="n"/>
      <c r="C846" s="13" t="n"/>
      <c r="D846" s="13" t="n"/>
      <c r="E846" s="17">
        <f>IF($C846="","",IFERROR(VLOOKUP($D846,工作归属,2,0),"※工作类型没选"))</f>
        <v/>
      </c>
      <c r="F846" s="13" t="n"/>
      <c r="G846" s="13" t="n"/>
      <c r="H846" s="20" t="n"/>
      <c r="I846" s="14" t="n"/>
      <c r="J846" s="19">
        <f>IF($C846="","",ROUND(IF($H846="",1,$H846)*N($I846),2))</f>
        <v/>
      </c>
      <c r="K846" s="13" t="n"/>
      <c r="L846" s="13" t="n"/>
      <c r="M846" s="17">
        <f>IF($C846="","",IF(ISNA(MATCH($C846,项目名表,0)),"※项目不在项目台账里",IF($E846="※工作类型没选","※工作类型没选","")))</f>
        <v/>
      </c>
    </row>
    <row r="847">
      <c r="A847" s="17">
        <f>IF($C847="","",ROW()-3)</f>
        <v/>
      </c>
      <c r="B847" s="18" t="n"/>
      <c r="C847" s="13" t="n"/>
      <c r="D847" s="13" t="n"/>
      <c r="E847" s="17">
        <f>IF($C847="","",IFERROR(VLOOKUP($D847,工作归属,2,0),"※工作类型没选"))</f>
        <v/>
      </c>
      <c r="F847" s="13" t="n"/>
      <c r="G847" s="13" t="n"/>
      <c r="H847" s="20" t="n"/>
      <c r="I847" s="14" t="n"/>
      <c r="J847" s="19">
        <f>IF($C847="","",ROUND(IF($H847="",1,$H847)*N($I847),2))</f>
        <v/>
      </c>
      <c r="K847" s="13" t="n"/>
      <c r="L847" s="13" t="n"/>
      <c r="M847" s="17">
        <f>IF($C847="","",IF(ISNA(MATCH($C847,项目名表,0)),"※项目不在项目台账里",IF($E847="※工作类型没选","※工作类型没选","")))</f>
        <v/>
      </c>
    </row>
    <row r="848">
      <c r="A848" s="17">
        <f>IF($C848="","",ROW()-3)</f>
        <v/>
      </c>
      <c r="B848" s="18" t="n"/>
      <c r="C848" s="13" t="n"/>
      <c r="D848" s="13" t="n"/>
      <c r="E848" s="17">
        <f>IF($C848="","",IFERROR(VLOOKUP($D848,工作归属,2,0),"※工作类型没选"))</f>
        <v/>
      </c>
      <c r="F848" s="13" t="n"/>
      <c r="G848" s="13" t="n"/>
      <c r="H848" s="20" t="n"/>
      <c r="I848" s="14" t="n"/>
      <c r="J848" s="19">
        <f>IF($C848="","",ROUND(IF($H848="",1,$H848)*N($I848),2))</f>
        <v/>
      </c>
      <c r="K848" s="13" t="n"/>
      <c r="L848" s="13" t="n"/>
      <c r="M848" s="17">
        <f>IF($C848="","",IF(ISNA(MATCH($C848,项目名表,0)),"※项目不在项目台账里",IF($E848="※工作类型没选","※工作类型没选","")))</f>
        <v/>
      </c>
    </row>
    <row r="849">
      <c r="A849" s="17">
        <f>IF($C849="","",ROW()-3)</f>
        <v/>
      </c>
      <c r="B849" s="18" t="n"/>
      <c r="C849" s="13" t="n"/>
      <c r="D849" s="13" t="n"/>
      <c r="E849" s="17">
        <f>IF($C849="","",IFERROR(VLOOKUP($D849,工作归属,2,0),"※工作类型没选"))</f>
        <v/>
      </c>
      <c r="F849" s="13" t="n"/>
      <c r="G849" s="13" t="n"/>
      <c r="H849" s="20" t="n"/>
      <c r="I849" s="14" t="n"/>
      <c r="J849" s="19">
        <f>IF($C849="","",ROUND(IF($H849="",1,$H849)*N($I849),2))</f>
        <v/>
      </c>
      <c r="K849" s="13" t="n"/>
      <c r="L849" s="13" t="n"/>
      <c r="M849" s="17">
        <f>IF($C849="","",IF(ISNA(MATCH($C849,项目名表,0)),"※项目不在项目台账里",IF($E849="※工作类型没选","※工作类型没选","")))</f>
        <v/>
      </c>
    </row>
    <row r="850">
      <c r="A850" s="17">
        <f>IF($C850="","",ROW()-3)</f>
        <v/>
      </c>
      <c r="B850" s="18" t="n"/>
      <c r="C850" s="13" t="n"/>
      <c r="D850" s="13" t="n"/>
      <c r="E850" s="17">
        <f>IF($C850="","",IFERROR(VLOOKUP($D850,工作归属,2,0),"※工作类型没选"))</f>
        <v/>
      </c>
      <c r="F850" s="13" t="n"/>
      <c r="G850" s="13" t="n"/>
      <c r="H850" s="20" t="n"/>
      <c r="I850" s="14" t="n"/>
      <c r="J850" s="19">
        <f>IF($C850="","",ROUND(IF($H850="",1,$H850)*N($I850),2))</f>
        <v/>
      </c>
      <c r="K850" s="13" t="n"/>
      <c r="L850" s="13" t="n"/>
      <c r="M850" s="17">
        <f>IF($C850="","",IF(ISNA(MATCH($C850,项目名表,0)),"※项目不在项目台账里",IF($E850="※工作类型没选","※工作类型没选","")))</f>
        <v/>
      </c>
    </row>
    <row r="851">
      <c r="A851" s="17">
        <f>IF($C851="","",ROW()-3)</f>
        <v/>
      </c>
      <c r="B851" s="18" t="n"/>
      <c r="C851" s="13" t="n"/>
      <c r="D851" s="13" t="n"/>
      <c r="E851" s="17">
        <f>IF($C851="","",IFERROR(VLOOKUP($D851,工作归属,2,0),"※工作类型没选"))</f>
        <v/>
      </c>
      <c r="F851" s="13" t="n"/>
      <c r="G851" s="13" t="n"/>
      <c r="H851" s="20" t="n"/>
      <c r="I851" s="14" t="n"/>
      <c r="J851" s="19">
        <f>IF($C851="","",ROUND(IF($H851="",1,$H851)*N($I851),2))</f>
        <v/>
      </c>
      <c r="K851" s="13" t="n"/>
      <c r="L851" s="13" t="n"/>
      <c r="M851" s="17">
        <f>IF($C851="","",IF(ISNA(MATCH($C851,项目名表,0)),"※项目不在项目台账里",IF($E851="※工作类型没选","※工作类型没选","")))</f>
        <v/>
      </c>
    </row>
    <row r="852">
      <c r="A852" s="17">
        <f>IF($C852="","",ROW()-3)</f>
        <v/>
      </c>
      <c r="B852" s="18" t="n"/>
      <c r="C852" s="13" t="n"/>
      <c r="D852" s="13" t="n"/>
      <c r="E852" s="17">
        <f>IF($C852="","",IFERROR(VLOOKUP($D852,工作归属,2,0),"※工作类型没选"))</f>
        <v/>
      </c>
      <c r="F852" s="13" t="n"/>
      <c r="G852" s="13" t="n"/>
      <c r="H852" s="20" t="n"/>
      <c r="I852" s="14" t="n"/>
      <c r="J852" s="19">
        <f>IF($C852="","",ROUND(IF($H852="",1,$H852)*N($I852),2))</f>
        <v/>
      </c>
      <c r="K852" s="13" t="n"/>
      <c r="L852" s="13" t="n"/>
      <c r="M852" s="17">
        <f>IF($C852="","",IF(ISNA(MATCH($C852,项目名表,0)),"※项目不在项目台账里",IF($E852="※工作类型没选","※工作类型没选","")))</f>
        <v/>
      </c>
    </row>
    <row r="853">
      <c r="A853" s="17">
        <f>IF($C853="","",ROW()-3)</f>
        <v/>
      </c>
      <c r="B853" s="18" t="n"/>
      <c r="C853" s="13" t="n"/>
      <c r="D853" s="13" t="n"/>
      <c r="E853" s="17">
        <f>IF($C853="","",IFERROR(VLOOKUP($D853,工作归属,2,0),"※工作类型没选"))</f>
        <v/>
      </c>
      <c r="F853" s="13" t="n"/>
      <c r="G853" s="13" t="n"/>
      <c r="H853" s="20" t="n"/>
      <c r="I853" s="14" t="n"/>
      <c r="J853" s="19">
        <f>IF($C853="","",ROUND(IF($H853="",1,$H853)*N($I853),2))</f>
        <v/>
      </c>
      <c r="K853" s="13" t="n"/>
      <c r="L853" s="13" t="n"/>
      <c r="M853" s="17">
        <f>IF($C853="","",IF(ISNA(MATCH($C853,项目名表,0)),"※项目不在项目台账里",IF($E853="※工作类型没选","※工作类型没选","")))</f>
        <v/>
      </c>
    </row>
    <row r="854">
      <c r="A854" s="17">
        <f>IF($C854="","",ROW()-3)</f>
        <v/>
      </c>
      <c r="B854" s="18" t="n"/>
      <c r="C854" s="13" t="n"/>
      <c r="D854" s="13" t="n"/>
      <c r="E854" s="17">
        <f>IF($C854="","",IFERROR(VLOOKUP($D854,工作归属,2,0),"※工作类型没选"))</f>
        <v/>
      </c>
      <c r="F854" s="13" t="n"/>
      <c r="G854" s="13" t="n"/>
      <c r="H854" s="20" t="n"/>
      <c r="I854" s="14" t="n"/>
      <c r="J854" s="19">
        <f>IF($C854="","",ROUND(IF($H854="",1,$H854)*N($I854),2))</f>
        <v/>
      </c>
      <c r="K854" s="13" t="n"/>
      <c r="L854" s="13" t="n"/>
      <c r="M854" s="17">
        <f>IF($C854="","",IF(ISNA(MATCH($C854,项目名表,0)),"※项目不在项目台账里",IF($E854="※工作类型没选","※工作类型没选","")))</f>
        <v/>
      </c>
    </row>
    <row r="855">
      <c r="A855" s="17">
        <f>IF($C855="","",ROW()-3)</f>
        <v/>
      </c>
      <c r="B855" s="18" t="n"/>
      <c r="C855" s="13" t="n"/>
      <c r="D855" s="13" t="n"/>
      <c r="E855" s="17">
        <f>IF($C855="","",IFERROR(VLOOKUP($D855,工作归属,2,0),"※工作类型没选"))</f>
        <v/>
      </c>
      <c r="F855" s="13" t="n"/>
      <c r="G855" s="13" t="n"/>
      <c r="H855" s="20" t="n"/>
      <c r="I855" s="14" t="n"/>
      <c r="J855" s="19">
        <f>IF($C855="","",ROUND(IF($H855="",1,$H855)*N($I855),2))</f>
        <v/>
      </c>
      <c r="K855" s="13" t="n"/>
      <c r="L855" s="13" t="n"/>
      <c r="M855" s="17">
        <f>IF($C855="","",IF(ISNA(MATCH($C855,项目名表,0)),"※项目不在项目台账里",IF($E855="※工作类型没选","※工作类型没选","")))</f>
        <v/>
      </c>
    </row>
    <row r="856">
      <c r="A856" s="17">
        <f>IF($C856="","",ROW()-3)</f>
        <v/>
      </c>
      <c r="B856" s="18" t="n"/>
      <c r="C856" s="13" t="n"/>
      <c r="D856" s="13" t="n"/>
      <c r="E856" s="17">
        <f>IF($C856="","",IFERROR(VLOOKUP($D856,工作归属,2,0),"※工作类型没选"))</f>
        <v/>
      </c>
      <c r="F856" s="13" t="n"/>
      <c r="G856" s="13" t="n"/>
      <c r="H856" s="20" t="n"/>
      <c r="I856" s="14" t="n"/>
      <c r="J856" s="19">
        <f>IF($C856="","",ROUND(IF($H856="",1,$H856)*N($I856),2))</f>
        <v/>
      </c>
      <c r="K856" s="13" t="n"/>
      <c r="L856" s="13" t="n"/>
      <c r="M856" s="17">
        <f>IF($C856="","",IF(ISNA(MATCH($C856,项目名表,0)),"※项目不在项目台账里",IF($E856="※工作类型没选","※工作类型没选","")))</f>
        <v/>
      </c>
    </row>
    <row r="857">
      <c r="A857" s="17">
        <f>IF($C857="","",ROW()-3)</f>
        <v/>
      </c>
      <c r="B857" s="18" t="n"/>
      <c r="C857" s="13" t="n"/>
      <c r="D857" s="13" t="n"/>
      <c r="E857" s="17">
        <f>IF($C857="","",IFERROR(VLOOKUP($D857,工作归属,2,0),"※工作类型没选"))</f>
        <v/>
      </c>
      <c r="F857" s="13" t="n"/>
      <c r="G857" s="13" t="n"/>
      <c r="H857" s="20" t="n"/>
      <c r="I857" s="14" t="n"/>
      <c r="J857" s="19">
        <f>IF($C857="","",ROUND(IF($H857="",1,$H857)*N($I857),2))</f>
        <v/>
      </c>
      <c r="K857" s="13" t="n"/>
      <c r="L857" s="13" t="n"/>
      <c r="M857" s="17">
        <f>IF($C857="","",IF(ISNA(MATCH($C857,项目名表,0)),"※项目不在项目台账里",IF($E857="※工作类型没选","※工作类型没选","")))</f>
        <v/>
      </c>
    </row>
    <row r="858">
      <c r="A858" s="17">
        <f>IF($C858="","",ROW()-3)</f>
        <v/>
      </c>
      <c r="B858" s="18" t="n"/>
      <c r="C858" s="13" t="n"/>
      <c r="D858" s="13" t="n"/>
      <c r="E858" s="17">
        <f>IF($C858="","",IFERROR(VLOOKUP($D858,工作归属,2,0),"※工作类型没选"))</f>
        <v/>
      </c>
      <c r="F858" s="13" t="n"/>
      <c r="G858" s="13" t="n"/>
      <c r="H858" s="20" t="n"/>
      <c r="I858" s="14" t="n"/>
      <c r="J858" s="19">
        <f>IF($C858="","",ROUND(IF($H858="",1,$H858)*N($I858),2))</f>
        <v/>
      </c>
      <c r="K858" s="13" t="n"/>
      <c r="L858" s="13" t="n"/>
      <c r="M858" s="17">
        <f>IF($C858="","",IF(ISNA(MATCH($C858,项目名表,0)),"※项目不在项目台账里",IF($E858="※工作类型没选","※工作类型没选","")))</f>
        <v/>
      </c>
    </row>
    <row r="859">
      <c r="A859" s="17">
        <f>IF($C859="","",ROW()-3)</f>
        <v/>
      </c>
      <c r="B859" s="18" t="n"/>
      <c r="C859" s="13" t="n"/>
      <c r="D859" s="13" t="n"/>
      <c r="E859" s="17">
        <f>IF($C859="","",IFERROR(VLOOKUP($D859,工作归属,2,0),"※工作类型没选"))</f>
        <v/>
      </c>
      <c r="F859" s="13" t="n"/>
      <c r="G859" s="13" t="n"/>
      <c r="H859" s="20" t="n"/>
      <c r="I859" s="14" t="n"/>
      <c r="J859" s="19">
        <f>IF($C859="","",ROUND(IF($H859="",1,$H859)*N($I859),2))</f>
        <v/>
      </c>
      <c r="K859" s="13" t="n"/>
      <c r="L859" s="13" t="n"/>
      <c r="M859" s="17">
        <f>IF($C859="","",IF(ISNA(MATCH($C859,项目名表,0)),"※项目不在项目台账里",IF($E859="※工作类型没选","※工作类型没选","")))</f>
        <v/>
      </c>
    </row>
    <row r="860">
      <c r="A860" s="17">
        <f>IF($C860="","",ROW()-3)</f>
        <v/>
      </c>
      <c r="B860" s="18" t="n"/>
      <c r="C860" s="13" t="n"/>
      <c r="D860" s="13" t="n"/>
      <c r="E860" s="17">
        <f>IF($C860="","",IFERROR(VLOOKUP($D860,工作归属,2,0),"※工作类型没选"))</f>
        <v/>
      </c>
      <c r="F860" s="13" t="n"/>
      <c r="G860" s="13" t="n"/>
      <c r="H860" s="20" t="n"/>
      <c r="I860" s="14" t="n"/>
      <c r="J860" s="19">
        <f>IF($C860="","",ROUND(IF($H860="",1,$H860)*N($I860),2))</f>
        <v/>
      </c>
      <c r="K860" s="13" t="n"/>
      <c r="L860" s="13" t="n"/>
      <c r="M860" s="17">
        <f>IF($C860="","",IF(ISNA(MATCH($C860,项目名表,0)),"※项目不在项目台账里",IF($E860="※工作类型没选","※工作类型没选","")))</f>
        <v/>
      </c>
    </row>
    <row r="861">
      <c r="A861" s="17">
        <f>IF($C861="","",ROW()-3)</f>
        <v/>
      </c>
      <c r="B861" s="18" t="n"/>
      <c r="C861" s="13" t="n"/>
      <c r="D861" s="13" t="n"/>
      <c r="E861" s="17">
        <f>IF($C861="","",IFERROR(VLOOKUP($D861,工作归属,2,0),"※工作类型没选"))</f>
        <v/>
      </c>
      <c r="F861" s="13" t="n"/>
      <c r="G861" s="13" t="n"/>
      <c r="H861" s="20" t="n"/>
      <c r="I861" s="14" t="n"/>
      <c r="J861" s="19">
        <f>IF($C861="","",ROUND(IF($H861="",1,$H861)*N($I861),2))</f>
        <v/>
      </c>
      <c r="K861" s="13" t="n"/>
      <c r="L861" s="13" t="n"/>
      <c r="M861" s="17">
        <f>IF($C861="","",IF(ISNA(MATCH($C861,项目名表,0)),"※项目不在项目台账里",IF($E861="※工作类型没选","※工作类型没选","")))</f>
        <v/>
      </c>
    </row>
    <row r="862">
      <c r="A862" s="17">
        <f>IF($C862="","",ROW()-3)</f>
        <v/>
      </c>
      <c r="B862" s="18" t="n"/>
      <c r="C862" s="13" t="n"/>
      <c r="D862" s="13" t="n"/>
      <c r="E862" s="17">
        <f>IF($C862="","",IFERROR(VLOOKUP($D862,工作归属,2,0),"※工作类型没选"))</f>
        <v/>
      </c>
      <c r="F862" s="13" t="n"/>
      <c r="G862" s="13" t="n"/>
      <c r="H862" s="20" t="n"/>
      <c r="I862" s="14" t="n"/>
      <c r="J862" s="19">
        <f>IF($C862="","",ROUND(IF($H862="",1,$H862)*N($I862),2))</f>
        <v/>
      </c>
      <c r="K862" s="13" t="n"/>
      <c r="L862" s="13" t="n"/>
      <c r="M862" s="17">
        <f>IF($C862="","",IF(ISNA(MATCH($C862,项目名表,0)),"※项目不在项目台账里",IF($E862="※工作类型没选","※工作类型没选","")))</f>
        <v/>
      </c>
    </row>
    <row r="863">
      <c r="A863" s="17">
        <f>IF($C863="","",ROW()-3)</f>
        <v/>
      </c>
      <c r="B863" s="18" t="n"/>
      <c r="C863" s="13" t="n"/>
      <c r="D863" s="13" t="n"/>
      <c r="E863" s="17">
        <f>IF($C863="","",IFERROR(VLOOKUP($D863,工作归属,2,0),"※工作类型没选"))</f>
        <v/>
      </c>
      <c r="F863" s="13" t="n"/>
      <c r="G863" s="13" t="n"/>
      <c r="H863" s="20" t="n"/>
      <c r="I863" s="14" t="n"/>
      <c r="J863" s="19">
        <f>IF($C863="","",ROUND(IF($H863="",1,$H863)*N($I863),2))</f>
        <v/>
      </c>
      <c r="K863" s="13" t="n"/>
      <c r="L863" s="13" t="n"/>
      <c r="M863" s="17">
        <f>IF($C863="","",IF(ISNA(MATCH($C863,项目名表,0)),"※项目不在项目台账里",IF($E863="※工作类型没选","※工作类型没选","")))</f>
        <v/>
      </c>
    </row>
    <row r="864">
      <c r="A864" s="17">
        <f>IF($C864="","",ROW()-3)</f>
        <v/>
      </c>
      <c r="B864" s="18" t="n"/>
      <c r="C864" s="13" t="n"/>
      <c r="D864" s="13" t="n"/>
      <c r="E864" s="17">
        <f>IF($C864="","",IFERROR(VLOOKUP($D864,工作归属,2,0),"※工作类型没选"))</f>
        <v/>
      </c>
      <c r="F864" s="13" t="n"/>
      <c r="G864" s="13" t="n"/>
      <c r="H864" s="20" t="n"/>
      <c r="I864" s="14" t="n"/>
      <c r="J864" s="19">
        <f>IF($C864="","",ROUND(IF($H864="",1,$H864)*N($I864),2))</f>
        <v/>
      </c>
      <c r="K864" s="13" t="n"/>
      <c r="L864" s="13" t="n"/>
      <c r="M864" s="17">
        <f>IF($C864="","",IF(ISNA(MATCH($C864,项目名表,0)),"※项目不在项目台账里",IF($E864="※工作类型没选","※工作类型没选","")))</f>
        <v/>
      </c>
    </row>
    <row r="865">
      <c r="A865" s="17">
        <f>IF($C865="","",ROW()-3)</f>
        <v/>
      </c>
      <c r="B865" s="18" t="n"/>
      <c r="C865" s="13" t="n"/>
      <c r="D865" s="13" t="n"/>
      <c r="E865" s="17">
        <f>IF($C865="","",IFERROR(VLOOKUP($D865,工作归属,2,0),"※工作类型没选"))</f>
        <v/>
      </c>
      <c r="F865" s="13" t="n"/>
      <c r="G865" s="13" t="n"/>
      <c r="H865" s="20" t="n"/>
      <c r="I865" s="14" t="n"/>
      <c r="J865" s="19">
        <f>IF($C865="","",ROUND(IF($H865="",1,$H865)*N($I865),2))</f>
        <v/>
      </c>
      <c r="K865" s="13" t="n"/>
      <c r="L865" s="13" t="n"/>
      <c r="M865" s="17">
        <f>IF($C865="","",IF(ISNA(MATCH($C865,项目名表,0)),"※项目不在项目台账里",IF($E865="※工作类型没选","※工作类型没选","")))</f>
        <v/>
      </c>
    </row>
    <row r="866">
      <c r="A866" s="17">
        <f>IF($C866="","",ROW()-3)</f>
        <v/>
      </c>
      <c r="B866" s="18" t="n"/>
      <c r="C866" s="13" t="n"/>
      <c r="D866" s="13" t="n"/>
      <c r="E866" s="17">
        <f>IF($C866="","",IFERROR(VLOOKUP($D866,工作归属,2,0),"※工作类型没选"))</f>
        <v/>
      </c>
      <c r="F866" s="13" t="n"/>
      <c r="G866" s="13" t="n"/>
      <c r="H866" s="20" t="n"/>
      <c r="I866" s="14" t="n"/>
      <c r="J866" s="19">
        <f>IF($C866="","",ROUND(IF($H866="",1,$H866)*N($I866),2))</f>
        <v/>
      </c>
      <c r="K866" s="13" t="n"/>
      <c r="L866" s="13" t="n"/>
      <c r="M866" s="17">
        <f>IF($C866="","",IF(ISNA(MATCH($C866,项目名表,0)),"※项目不在项目台账里",IF($E866="※工作类型没选","※工作类型没选","")))</f>
        <v/>
      </c>
    </row>
    <row r="867">
      <c r="A867" s="17">
        <f>IF($C867="","",ROW()-3)</f>
        <v/>
      </c>
      <c r="B867" s="18" t="n"/>
      <c r="C867" s="13" t="n"/>
      <c r="D867" s="13" t="n"/>
      <c r="E867" s="17">
        <f>IF($C867="","",IFERROR(VLOOKUP($D867,工作归属,2,0),"※工作类型没选"))</f>
        <v/>
      </c>
      <c r="F867" s="13" t="n"/>
      <c r="G867" s="13" t="n"/>
      <c r="H867" s="20" t="n"/>
      <c r="I867" s="14" t="n"/>
      <c r="J867" s="19">
        <f>IF($C867="","",ROUND(IF($H867="",1,$H867)*N($I867),2))</f>
        <v/>
      </c>
      <c r="K867" s="13" t="n"/>
      <c r="L867" s="13" t="n"/>
      <c r="M867" s="17">
        <f>IF($C867="","",IF(ISNA(MATCH($C867,项目名表,0)),"※项目不在项目台账里",IF($E867="※工作类型没选","※工作类型没选","")))</f>
        <v/>
      </c>
    </row>
    <row r="868">
      <c r="A868" s="17">
        <f>IF($C868="","",ROW()-3)</f>
        <v/>
      </c>
      <c r="B868" s="18" t="n"/>
      <c r="C868" s="13" t="n"/>
      <c r="D868" s="13" t="n"/>
      <c r="E868" s="17">
        <f>IF($C868="","",IFERROR(VLOOKUP($D868,工作归属,2,0),"※工作类型没选"))</f>
        <v/>
      </c>
      <c r="F868" s="13" t="n"/>
      <c r="G868" s="13" t="n"/>
      <c r="H868" s="20" t="n"/>
      <c r="I868" s="14" t="n"/>
      <c r="J868" s="19">
        <f>IF($C868="","",ROUND(IF($H868="",1,$H868)*N($I868),2))</f>
        <v/>
      </c>
      <c r="K868" s="13" t="n"/>
      <c r="L868" s="13" t="n"/>
      <c r="M868" s="17">
        <f>IF($C868="","",IF(ISNA(MATCH($C868,项目名表,0)),"※项目不在项目台账里",IF($E868="※工作类型没选","※工作类型没选","")))</f>
        <v/>
      </c>
    </row>
    <row r="869">
      <c r="A869" s="17">
        <f>IF($C869="","",ROW()-3)</f>
        <v/>
      </c>
      <c r="B869" s="18" t="n"/>
      <c r="C869" s="13" t="n"/>
      <c r="D869" s="13" t="n"/>
      <c r="E869" s="17">
        <f>IF($C869="","",IFERROR(VLOOKUP($D869,工作归属,2,0),"※工作类型没选"))</f>
        <v/>
      </c>
      <c r="F869" s="13" t="n"/>
      <c r="G869" s="13" t="n"/>
      <c r="H869" s="20" t="n"/>
      <c r="I869" s="14" t="n"/>
      <c r="J869" s="19">
        <f>IF($C869="","",ROUND(IF($H869="",1,$H869)*N($I869),2))</f>
        <v/>
      </c>
      <c r="K869" s="13" t="n"/>
      <c r="L869" s="13" t="n"/>
      <c r="M869" s="17">
        <f>IF($C869="","",IF(ISNA(MATCH($C869,项目名表,0)),"※项目不在项目台账里",IF($E869="※工作类型没选","※工作类型没选","")))</f>
        <v/>
      </c>
    </row>
    <row r="870">
      <c r="A870" s="17">
        <f>IF($C870="","",ROW()-3)</f>
        <v/>
      </c>
      <c r="B870" s="18" t="n"/>
      <c r="C870" s="13" t="n"/>
      <c r="D870" s="13" t="n"/>
      <c r="E870" s="17">
        <f>IF($C870="","",IFERROR(VLOOKUP($D870,工作归属,2,0),"※工作类型没选"))</f>
        <v/>
      </c>
      <c r="F870" s="13" t="n"/>
      <c r="G870" s="13" t="n"/>
      <c r="H870" s="20" t="n"/>
      <c r="I870" s="14" t="n"/>
      <c r="J870" s="19">
        <f>IF($C870="","",ROUND(IF($H870="",1,$H870)*N($I870),2))</f>
        <v/>
      </c>
      <c r="K870" s="13" t="n"/>
      <c r="L870" s="13" t="n"/>
      <c r="M870" s="17">
        <f>IF($C870="","",IF(ISNA(MATCH($C870,项目名表,0)),"※项目不在项目台账里",IF($E870="※工作类型没选","※工作类型没选","")))</f>
        <v/>
      </c>
    </row>
    <row r="871">
      <c r="A871" s="17">
        <f>IF($C871="","",ROW()-3)</f>
        <v/>
      </c>
      <c r="B871" s="18" t="n"/>
      <c r="C871" s="13" t="n"/>
      <c r="D871" s="13" t="n"/>
      <c r="E871" s="17">
        <f>IF($C871="","",IFERROR(VLOOKUP($D871,工作归属,2,0),"※工作类型没选"))</f>
        <v/>
      </c>
      <c r="F871" s="13" t="n"/>
      <c r="G871" s="13" t="n"/>
      <c r="H871" s="20" t="n"/>
      <c r="I871" s="14" t="n"/>
      <c r="J871" s="19">
        <f>IF($C871="","",ROUND(IF($H871="",1,$H871)*N($I871),2))</f>
        <v/>
      </c>
      <c r="K871" s="13" t="n"/>
      <c r="L871" s="13" t="n"/>
      <c r="M871" s="17">
        <f>IF($C871="","",IF(ISNA(MATCH($C871,项目名表,0)),"※项目不在项目台账里",IF($E871="※工作类型没选","※工作类型没选","")))</f>
        <v/>
      </c>
    </row>
    <row r="872">
      <c r="A872" s="17">
        <f>IF($C872="","",ROW()-3)</f>
        <v/>
      </c>
      <c r="B872" s="18" t="n"/>
      <c r="C872" s="13" t="n"/>
      <c r="D872" s="13" t="n"/>
      <c r="E872" s="17">
        <f>IF($C872="","",IFERROR(VLOOKUP($D872,工作归属,2,0),"※工作类型没选"))</f>
        <v/>
      </c>
      <c r="F872" s="13" t="n"/>
      <c r="G872" s="13" t="n"/>
      <c r="H872" s="20" t="n"/>
      <c r="I872" s="14" t="n"/>
      <c r="J872" s="19">
        <f>IF($C872="","",ROUND(IF($H872="",1,$H872)*N($I872),2))</f>
        <v/>
      </c>
      <c r="K872" s="13" t="n"/>
      <c r="L872" s="13" t="n"/>
      <c r="M872" s="17">
        <f>IF($C872="","",IF(ISNA(MATCH($C872,项目名表,0)),"※项目不在项目台账里",IF($E872="※工作类型没选","※工作类型没选","")))</f>
        <v/>
      </c>
    </row>
    <row r="873">
      <c r="A873" s="17">
        <f>IF($C873="","",ROW()-3)</f>
        <v/>
      </c>
      <c r="B873" s="18" t="n"/>
      <c r="C873" s="13" t="n"/>
      <c r="D873" s="13" t="n"/>
      <c r="E873" s="17">
        <f>IF($C873="","",IFERROR(VLOOKUP($D873,工作归属,2,0),"※工作类型没选"))</f>
        <v/>
      </c>
      <c r="F873" s="13" t="n"/>
      <c r="G873" s="13" t="n"/>
      <c r="H873" s="20" t="n"/>
      <c r="I873" s="14" t="n"/>
      <c r="J873" s="19">
        <f>IF($C873="","",ROUND(IF($H873="",1,$H873)*N($I873),2))</f>
        <v/>
      </c>
      <c r="K873" s="13" t="n"/>
      <c r="L873" s="13" t="n"/>
      <c r="M873" s="17">
        <f>IF($C873="","",IF(ISNA(MATCH($C873,项目名表,0)),"※项目不在项目台账里",IF($E873="※工作类型没选","※工作类型没选","")))</f>
        <v/>
      </c>
    </row>
    <row r="874">
      <c r="A874" s="17">
        <f>IF($C874="","",ROW()-3)</f>
        <v/>
      </c>
      <c r="B874" s="18" t="n"/>
      <c r="C874" s="13" t="n"/>
      <c r="D874" s="13" t="n"/>
      <c r="E874" s="17">
        <f>IF($C874="","",IFERROR(VLOOKUP($D874,工作归属,2,0),"※工作类型没选"))</f>
        <v/>
      </c>
      <c r="F874" s="13" t="n"/>
      <c r="G874" s="13" t="n"/>
      <c r="H874" s="20" t="n"/>
      <c r="I874" s="14" t="n"/>
      <c r="J874" s="19">
        <f>IF($C874="","",ROUND(IF($H874="",1,$H874)*N($I874),2))</f>
        <v/>
      </c>
      <c r="K874" s="13" t="n"/>
      <c r="L874" s="13" t="n"/>
      <c r="M874" s="17">
        <f>IF($C874="","",IF(ISNA(MATCH($C874,项目名表,0)),"※项目不在项目台账里",IF($E874="※工作类型没选","※工作类型没选","")))</f>
        <v/>
      </c>
    </row>
    <row r="875">
      <c r="A875" s="17">
        <f>IF($C875="","",ROW()-3)</f>
        <v/>
      </c>
      <c r="B875" s="18" t="n"/>
      <c r="C875" s="13" t="n"/>
      <c r="D875" s="13" t="n"/>
      <c r="E875" s="17">
        <f>IF($C875="","",IFERROR(VLOOKUP($D875,工作归属,2,0),"※工作类型没选"))</f>
        <v/>
      </c>
      <c r="F875" s="13" t="n"/>
      <c r="G875" s="13" t="n"/>
      <c r="H875" s="20" t="n"/>
      <c r="I875" s="14" t="n"/>
      <c r="J875" s="19">
        <f>IF($C875="","",ROUND(IF($H875="",1,$H875)*N($I875),2))</f>
        <v/>
      </c>
      <c r="K875" s="13" t="n"/>
      <c r="L875" s="13" t="n"/>
      <c r="M875" s="17">
        <f>IF($C875="","",IF(ISNA(MATCH($C875,项目名表,0)),"※项目不在项目台账里",IF($E875="※工作类型没选","※工作类型没选","")))</f>
        <v/>
      </c>
    </row>
    <row r="876">
      <c r="A876" s="17">
        <f>IF($C876="","",ROW()-3)</f>
        <v/>
      </c>
      <c r="B876" s="18" t="n"/>
      <c r="C876" s="13" t="n"/>
      <c r="D876" s="13" t="n"/>
      <c r="E876" s="17">
        <f>IF($C876="","",IFERROR(VLOOKUP($D876,工作归属,2,0),"※工作类型没选"))</f>
        <v/>
      </c>
      <c r="F876" s="13" t="n"/>
      <c r="G876" s="13" t="n"/>
      <c r="H876" s="20" t="n"/>
      <c r="I876" s="14" t="n"/>
      <c r="J876" s="19">
        <f>IF($C876="","",ROUND(IF($H876="",1,$H876)*N($I876),2))</f>
        <v/>
      </c>
      <c r="K876" s="13" t="n"/>
      <c r="L876" s="13" t="n"/>
      <c r="M876" s="17">
        <f>IF($C876="","",IF(ISNA(MATCH($C876,项目名表,0)),"※项目不在项目台账里",IF($E876="※工作类型没选","※工作类型没选","")))</f>
        <v/>
      </c>
    </row>
    <row r="877">
      <c r="A877" s="17">
        <f>IF($C877="","",ROW()-3)</f>
        <v/>
      </c>
      <c r="B877" s="18" t="n"/>
      <c r="C877" s="13" t="n"/>
      <c r="D877" s="13" t="n"/>
      <c r="E877" s="17">
        <f>IF($C877="","",IFERROR(VLOOKUP($D877,工作归属,2,0),"※工作类型没选"))</f>
        <v/>
      </c>
      <c r="F877" s="13" t="n"/>
      <c r="G877" s="13" t="n"/>
      <c r="H877" s="20" t="n"/>
      <c r="I877" s="14" t="n"/>
      <c r="J877" s="19">
        <f>IF($C877="","",ROUND(IF($H877="",1,$H877)*N($I877),2))</f>
        <v/>
      </c>
      <c r="K877" s="13" t="n"/>
      <c r="L877" s="13" t="n"/>
      <c r="M877" s="17">
        <f>IF($C877="","",IF(ISNA(MATCH($C877,项目名表,0)),"※项目不在项目台账里",IF($E877="※工作类型没选","※工作类型没选","")))</f>
        <v/>
      </c>
    </row>
    <row r="878">
      <c r="A878" s="17">
        <f>IF($C878="","",ROW()-3)</f>
        <v/>
      </c>
      <c r="B878" s="18" t="n"/>
      <c r="C878" s="13" t="n"/>
      <c r="D878" s="13" t="n"/>
      <c r="E878" s="17">
        <f>IF($C878="","",IFERROR(VLOOKUP($D878,工作归属,2,0),"※工作类型没选"))</f>
        <v/>
      </c>
      <c r="F878" s="13" t="n"/>
      <c r="G878" s="13" t="n"/>
      <c r="H878" s="20" t="n"/>
      <c r="I878" s="14" t="n"/>
      <c r="J878" s="19">
        <f>IF($C878="","",ROUND(IF($H878="",1,$H878)*N($I878),2))</f>
        <v/>
      </c>
      <c r="K878" s="13" t="n"/>
      <c r="L878" s="13" t="n"/>
      <c r="M878" s="17">
        <f>IF($C878="","",IF(ISNA(MATCH($C878,项目名表,0)),"※项目不在项目台账里",IF($E878="※工作类型没选","※工作类型没选","")))</f>
        <v/>
      </c>
    </row>
    <row r="879">
      <c r="A879" s="17">
        <f>IF($C879="","",ROW()-3)</f>
        <v/>
      </c>
      <c r="B879" s="18" t="n"/>
      <c r="C879" s="13" t="n"/>
      <c r="D879" s="13" t="n"/>
      <c r="E879" s="17">
        <f>IF($C879="","",IFERROR(VLOOKUP($D879,工作归属,2,0),"※工作类型没选"))</f>
        <v/>
      </c>
      <c r="F879" s="13" t="n"/>
      <c r="G879" s="13" t="n"/>
      <c r="H879" s="20" t="n"/>
      <c r="I879" s="14" t="n"/>
      <c r="J879" s="19">
        <f>IF($C879="","",ROUND(IF($H879="",1,$H879)*N($I879),2))</f>
        <v/>
      </c>
      <c r="K879" s="13" t="n"/>
      <c r="L879" s="13" t="n"/>
      <c r="M879" s="17">
        <f>IF($C879="","",IF(ISNA(MATCH($C879,项目名表,0)),"※项目不在项目台账里",IF($E879="※工作类型没选","※工作类型没选","")))</f>
        <v/>
      </c>
    </row>
    <row r="880">
      <c r="A880" s="17">
        <f>IF($C880="","",ROW()-3)</f>
        <v/>
      </c>
      <c r="B880" s="18" t="n"/>
      <c r="C880" s="13" t="n"/>
      <c r="D880" s="13" t="n"/>
      <c r="E880" s="17">
        <f>IF($C880="","",IFERROR(VLOOKUP($D880,工作归属,2,0),"※工作类型没选"))</f>
        <v/>
      </c>
      <c r="F880" s="13" t="n"/>
      <c r="G880" s="13" t="n"/>
      <c r="H880" s="20" t="n"/>
      <c r="I880" s="14" t="n"/>
      <c r="J880" s="19">
        <f>IF($C880="","",ROUND(IF($H880="",1,$H880)*N($I880),2))</f>
        <v/>
      </c>
      <c r="K880" s="13" t="n"/>
      <c r="L880" s="13" t="n"/>
      <c r="M880" s="17">
        <f>IF($C880="","",IF(ISNA(MATCH($C880,项目名表,0)),"※项目不在项目台账里",IF($E880="※工作类型没选","※工作类型没选","")))</f>
        <v/>
      </c>
    </row>
    <row r="881">
      <c r="A881" s="17">
        <f>IF($C881="","",ROW()-3)</f>
        <v/>
      </c>
      <c r="B881" s="18" t="n"/>
      <c r="C881" s="13" t="n"/>
      <c r="D881" s="13" t="n"/>
      <c r="E881" s="17">
        <f>IF($C881="","",IFERROR(VLOOKUP($D881,工作归属,2,0),"※工作类型没选"))</f>
        <v/>
      </c>
      <c r="F881" s="13" t="n"/>
      <c r="G881" s="13" t="n"/>
      <c r="H881" s="20" t="n"/>
      <c r="I881" s="14" t="n"/>
      <c r="J881" s="19">
        <f>IF($C881="","",ROUND(IF($H881="",1,$H881)*N($I881),2))</f>
        <v/>
      </c>
      <c r="K881" s="13" t="n"/>
      <c r="L881" s="13" t="n"/>
      <c r="M881" s="17">
        <f>IF($C881="","",IF(ISNA(MATCH($C881,项目名表,0)),"※项目不在项目台账里",IF($E881="※工作类型没选","※工作类型没选","")))</f>
        <v/>
      </c>
    </row>
    <row r="882">
      <c r="A882" s="17">
        <f>IF($C882="","",ROW()-3)</f>
        <v/>
      </c>
      <c r="B882" s="18" t="n"/>
      <c r="C882" s="13" t="n"/>
      <c r="D882" s="13" t="n"/>
      <c r="E882" s="17">
        <f>IF($C882="","",IFERROR(VLOOKUP($D882,工作归属,2,0),"※工作类型没选"))</f>
        <v/>
      </c>
      <c r="F882" s="13" t="n"/>
      <c r="G882" s="13" t="n"/>
      <c r="H882" s="20" t="n"/>
      <c r="I882" s="14" t="n"/>
      <c r="J882" s="19">
        <f>IF($C882="","",ROUND(IF($H882="",1,$H882)*N($I882),2))</f>
        <v/>
      </c>
      <c r="K882" s="13" t="n"/>
      <c r="L882" s="13" t="n"/>
      <c r="M882" s="17">
        <f>IF($C882="","",IF(ISNA(MATCH($C882,项目名表,0)),"※项目不在项目台账里",IF($E882="※工作类型没选","※工作类型没选","")))</f>
        <v/>
      </c>
    </row>
    <row r="883">
      <c r="A883" s="17">
        <f>IF($C883="","",ROW()-3)</f>
        <v/>
      </c>
      <c r="B883" s="18" t="n"/>
      <c r="C883" s="13" t="n"/>
      <c r="D883" s="13" t="n"/>
      <c r="E883" s="17">
        <f>IF($C883="","",IFERROR(VLOOKUP($D883,工作归属,2,0),"※工作类型没选"))</f>
        <v/>
      </c>
      <c r="F883" s="13" t="n"/>
      <c r="G883" s="13" t="n"/>
      <c r="H883" s="20" t="n"/>
      <c r="I883" s="14" t="n"/>
      <c r="J883" s="19">
        <f>IF($C883="","",ROUND(IF($H883="",1,$H883)*N($I883),2))</f>
        <v/>
      </c>
      <c r="K883" s="13" t="n"/>
      <c r="L883" s="13" t="n"/>
      <c r="M883" s="17">
        <f>IF($C883="","",IF(ISNA(MATCH($C883,项目名表,0)),"※项目不在项目台账里",IF($E883="※工作类型没选","※工作类型没选","")))</f>
        <v/>
      </c>
    </row>
    <row r="884">
      <c r="A884" s="17">
        <f>IF($C884="","",ROW()-3)</f>
        <v/>
      </c>
      <c r="B884" s="18" t="n"/>
      <c r="C884" s="13" t="n"/>
      <c r="D884" s="13" t="n"/>
      <c r="E884" s="17">
        <f>IF($C884="","",IFERROR(VLOOKUP($D884,工作归属,2,0),"※工作类型没选"))</f>
        <v/>
      </c>
      <c r="F884" s="13" t="n"/>
      <c r="G884" s="13" t="n"/>
      <c r="H884" s="20" t="n"/>
      <c r="I884" s="14" t="n"/>
      <c r="J884" s="19">
        <f>IF($C884="","",ROUND(IF($H884="",1,$H884)*N($I884),2))</f>
        <v/>
      </c>
      <c r="K884" s="13" t="n"/>
      <c r="L884" s="13" t="n"/>
      <c r="M884" s="17">
        <f>IF($C884="","",IF(ISNA(MATCH($C884,项目名表,0)),"※项目不在项目台账里",IF($E884="※工作类型没选","※工作类型没选","")))</f>
        <v/>
      </c>
    </row>
    <row r="885">
      <c r="A885" s="17">
        <f>IF($C885="","",ROW()-3)</f>
        <v/>
      </c>
      <c r="B885" s="18" t="n"/>
      <c r="C885" s="13" t="n"/>
      <c r="D885" s="13" t="n"/>
      <c r="E885" s="17">
        <f>IF($C885="","",IFERROR(VLOOKUP($D885,工作归属,2,0),"※工作类型没选"))</f>
        <v/>
      </c>
      <c r="F885" s="13" t="n"/>
      <c r="G885" s="13" t="n"/>
      <c r="H885" s="20" t="n"/>
      <c r="I885" s="14" t="n"/>
      <c r="J885" s="19">
        <f>IF($C885="","",ROUND(IF($H885="",1,$H885)*N($I885),2))</f>
        <v/>
      </c>
      <c r="K885" s="13" t="n"/>
      <c r="L885" s="13" t="n"/>
      <c r="M885" s="17">
        <f>IF($C885="","",IF(ISNA(MATCH($C885,项目名表,0)),"※项目不在项目台账里",IF($E885="※工作类型没选","※工作类型没选","")))</f>
        <v/>
      </c>
    </row>
    <row r="886">
      <c r="A886" s="17">
        <f>IF($C886="","",ROW()-3)</f>
        <v/>
      </c>
      <c r="B886" s="18" t="n"/>
      <c r="C886" s="13" t="n"/>
      <c r="D886" s="13" t="n"/>
      <c r="E886" s="17">
        <f>IF($C886="","",IFERROR(VLOOKUP($D886,工作归属,2,0),"※工作类型没选"))</f>
        <v/>
      </c>
      <c r="F886" s="13" t="n"/>
      <c r="G886" s="13" t="n"/>
      <c r="H886" s="20" t="n"/>
      <c r="I886" s="14" t="n"/>
      <c r="J886" s="19">
        <f>IF($C886="","",ROUND(IF($H886="",1,$H886)*N($I886),2))</f>
        <v/>
      </c>
      <c r="K886" s="13" t="n"/>
      <c r="L886" s="13" t="n"/>
      <c r="M886" s="17">
        <f>IF($C886="","",IF(ISNA(MATCH($C886,项目名表,0)),"※项目不在项目台账里",IF($E886="※工作类型没选","※工作类型没选","")))</f>
        <v/>
      </c>
    </row>
    <row r="887">
      <c r="A887" s="17">
        <f>IF($C887="","",ROW()-3)</f>
        <v/>
      </c>
      <c r="B887" s="18" t="n"/>
      <c r="C887" s="13" t="n"/>
      <c r="D887" s="13" t="n"/>
      <c r="E887" s="17">
        <f>IF($C887="","",IFERROR(VLOOKUP($D887,工作归属,2,0),"※工作类型没选"))</f>
        <v/>
      </c>
      <c r="F887" s="13" t="n"/>
      <c r="G887" s="13" t="n"/>
      <c r="H887" s="20" t="n"/>
      <c r="I887" s="14" t="n"/>
      <c r="J887" s="19">
        <f>IF($C887="","",ROUND(IF($H887="",1,$H887)*N($I887),2))</f>
        <v/>
      </c>
      <c r="K887" s="13" t="n"/>
      <c r="L887" s="13" t="n"/>
      <c r="M887" s="17">
        <f>IF($C887="","",IF(ISNA(MATCH($C887,项目名表,0)),"※项目不在项目台账里",IF($E887="※工作类型没选","※工作类型没选","")))</f>
        <v/>
      </c>
    </row>
    <row r="888">
      <c r="A888" s="17">
        <f>IF($C888="","",ROW()-3)</f>
        <v/>
      </c>
      <c r="B888" s="18" t="n"/>
      <c r="C888" s="13" t="n"/>
      <c r="D888" s="13" t="n"/>
      <c r="E888" s="17">
        <f>IF($C888="","",IFERROR(VLOOKUP($D888,工作归属,2,0),"※工作类型没选"))</f>
        <v/>
      </c>
      <c r="F888" s="13" t="n"/>
      <c r="G888" s="13" t="n"/>
      <c r="H888" s="20" t="n"/>
      <c r="I888" s="14" t="n"/>
      <c r="J888" s="19">
        <f>IF($C888="","",ROUND(IF($H888="",1,$H888)*N($I888),2))</f>
        <v/>
      </c>
      <c r="K888" s="13" t="n"/>
      <c r="L888" s="13" t="n"/>
      <c r="M888" s="17">
        <f>IF($C888="","",IF(ISNA(MATCH($C888,项目名表,0)),"※项目不在项目台账里",IF($E888="※工作类型没选","※工作类型没选","")))</f>
        <v/>
      </c>
    </row>
    <row r="889">
      <c r="A889" s="17">
        <f>IF($C889="","",ROW()-3)</f>
        <v/>
      </c>
      <c r="B889" s="18" t="n"/>
      <c r="C889" s="13" t="n"/>
      <c r="D889" s="13" t="n"/>
      <c r="E889" s="17">
        <f>IF($C889="","",IFERROR(VLOOKUP($D889,工作归属,2,0),"※工作类型没选"))</f>
        <v/>
      </c>
      <c r="F889" s="13" t="n"/>
      <c r="G889" s="13" t="n"/>
      <c r="H889" s="20" t="n"/>
      <c r="I889" s="14" t="n"/>
      <c r="J889" s="19">
        <f>IF($C889="","",ROUND(IF($H889="",1,$H889)*N($I889),2))</f>
        <v/>
      </c>
      <c r="K889" s="13" t="n"/>
      <c r="L889" s="13" t="n"/>
      <c r="M889" s="17">
        <f>IF($C889="","",IF(ISNA(MATCH($C889,项目名表,0)),"※项目不在项目台账里",IF($E889="※工作类型没选","※工作类型没选","")))</f>
        <v/>
      </c>
    </row>
    <row r="890">
      <c r="A890" s="17">
        <f>IF($C890="","",ROW()-3)</f>
        <v/>
      </c>
      <c r="B890" s="18" t="n"/>
      <c r="C890" s="13" t="n"/>
      <c r="D890" s="13" t="n"/>
      <c r="E890" s="17">
        <f>IF($C890="","",IFERROR(VLOOKUP($D890,工作归属,2,0),"※工作类型没选"))</f>
        <v/>
      </c>
      <c r="F890" s="13" t="n"/>
      <c r="G890" s="13" t="n"/>
      <c r="H890" s="20" t="n"/>
      <c r="I890" s="14" t="n"/>
      <c r="J890" s="19">
        <f>IF($C890="","",ROUND(IF($H890="",1,$H890)*N($I890),2))</f>
        <v/>
      </c>
      <c r="K890" s="13" t="n"/>
      <c r="L890" s="13" t="n"/>
      <c r="M890" s="17">
        <f>IF($C890="","",IF(ISNA(MATCH($C890,项目名表,0)),"※项目不在项目台账里",IF($E890="※工作类型没选","※工作类型没选","")))</f>
        <v/>
      </c>
    </row>
    <row r="891">
      <c r="A891" s="17">
        <f>IF($C891="","",ROW()-3)</f>
        <v/>
      </c>
      <c r="B891" s="18" t="n"/>
      <c r="C891" s="13" t="n"/>
      <c r="D891" s="13" t="n"/>
      <c r="E891" s="17">
        <f>IF($C891="","",IFERROR(VLOOKUP($D891,工作归属,2,0),"※工作类型没选"))</f>
        <v/>
      </c>
      <c r="F891" s="13" t="n"/>
      <c r="G891" s="13" t="n"/>
      <c r="H891" s="20" t="n"/>
      <c r="I891" s="14" t="n"/>
      <c r="J891" s="19">
        <f>IF($C891="","",ROUND(IF($H891="",1,$H891)*N($I891),2))</f>
        <v/>
      </c>
      <c r="K891" s="13" t="n"/>
      <c r="L891" s="13" t="n"/>
      <c r="M891" s="17">
        <f>IF($C891="","",IF(ISNA(MATCH($C891,项目名表,0)),"※项目不在项目台账里",IF($E891="※工作类型没选","※工作类型没选","")))</f>
        <v/>
      </c>
    </row>
    <row r="892">
      <c r="A892" s="17">
        <f>IF($C892="","",ROW()-3)</f>
        <v/>
      </c>
      <c r="B892" s="18" t="n"/>
      <c r="C892" s="13" t="n"/>
      <c r="D892" s="13" t="n"/>
      <c r="E892" s="17">
        <f>IF($C892="","",IFERROR(VLOOKUP($D892,工作归属,2,0),"※工作类型没选"))</f>
        <v/>
      </c>
      <c r="F892" s="13" t="n"/>
      <c r="G892" s="13" t="n"/>
      <c r="H892" s="20" t="n"/>
      <c r="I892" s="14" t="n"/>
      <c r="J892" s="19">
        <f>IF($C892="","",ROUND(IF($H892="",1,$H892)*N($I892),2))</f>
        <v/>
      </c>
      <c r="K892" s="13" t="n"/>
      <c r="L892" s="13" t="n"/>
      <c r="M892" s="17">
        <f>IF($C892="","",IF(ISNA(MATCH($C892,项目名表,0)),"※项目不在项目台账里",IF($E892="※工作类型没选","※工作类型没选","")))</f>
        <v/>
      </c>
    </row>
    <row r="893">
      <c r="A893" s="17">
        <f>IF($C893="","",ROW()-3)</f>
        <v/>
      </c>
      <c r="B893" s="18" t="n"/>
      <c r="C893" s="13" t="n"/>
      <c r="D893" s="13" t="n"/>
      <c r="E893" s="17">
        <f>IF($C893="","",IFERROR(VLOOKUP($D893,工作归属,2,0),"※工作类型没选"))</f>
        <v/>
      </c>
      <c r="F893" s="13" t="n"/>
      <c r="G893" s="13" t="n"/>
      <c r="H893" s="20" t="n"/>
      <c r="I893" s="14" t="n"/>
      <c r="J893" s="19">
        <f>IF($C893="","",ROUND(IF($H893="",1,$H893)*N($I893),2))</f>
        <v/>
      </c>
      <c r="K893" s="13" t="n"/>
      <c r="L893" s="13" t="n"/>
      <c r="M893" s="17">
        <f>IF($C893="","",IF(ISNA(MATCH($C893,项目名表,0)),"※项目不在项目台账里",IF($E893="※工作类型没选","※工作类型没选","")))</f>
        <v/>
      </c>
    </row>
    <row r="894">
      <c r="A894" s="17">
        <f>IF($C894="","",ROW()-3)</f>
        <v/>
      </c>
      <c r="B894" s="18" t="n"/>
      <c r="C894" s="13" t="n"/>
      <c r="D894" s="13" t="n"/>
      <c r="E894" s="17">
        <f>IF($C894="","",IFERROR(VLOOKUP($D894,工作归属,2,0),"※工作类型没选"))</f>
        <v/>
      </c>
      <c r="F894" s="13" t="n"/>
      <c r="G894" s="13" t="n"/>
      <c r="H894" s="20" t="n"/>
      <c r="I894" s="14" t="n"/>
      <c r="J894" s="19">
        <f>IF($C894="","",ROUND(IF($H894="",1,$H894)*N($I894),2))</f>
        <v/>
      </c>
      <c r="K894" s="13" t="n"/>
      <c r="L894" s="13" t="n"/>
      <c r="M894" s="17">
        <f>IF($C894="","",IF(ISNA(MATCH($C894,项目名表,0)),"※项目不在项目台账里",IF($E894="※工作类型没选","※工作类型没选","")))</f>
        <v/>
      </c>
    </row>
    <row r="895">
      <c r="A895" s="17">
        <f>IF($C895="","",ROW()-3)</f>
        <v/>
      </c>
      <c r="B895" s="18" t="n"/>
      <c r="C895" s="13" t="n"/>
      <c r="D895" s="13" t="n"/>
      <c r="E895" s="17">
        <f>IF($C895="","",IFERROR(VLOOKUP($D895,工作归属,2,0),"※工作类型没选"))</f>
        <v/>
      </c>
      <c r="F895" s="13" t="n"/>
      <c r="G895" s="13" t="n"/>
      <c r="H895" s="20" t="n"/>
      <c r="I895" s="14" t="n"/>
      <c r="J895" s="19">
        <f>IF($C895="","",ROUND(IF($H895="",1,$H895)*N($I895),2))</f>
        <v/>
      </c>
      <c r="K895" s="13" t="n"/>
      <c r="L895" s="13" t="n"/>
      <c r="M895" s="17">
        <f>IF($C895="","",IF(ISNA(MATCH($C895,项目名表,0)),"※项目不在项目台账里",IF($E895="※工作类型没选","※工作类型没选","")))</f>
        <v/>
      </c>
    </row>
    <row r="896">
      <c r="A896" s="17">
        <f>IF($C896="","",ROW()-3)</f>
        <v/>
      </c>
      <c r="B896" s="18" t="n"/>
      <c r="C896" s="13" t="n"/>
      <c r="D896" s="13" t="n"/>
      <c r="E896" s="17">
        <f>IF($C896="","",IFERROR(VLOOKUP($D896,工作归属,2,0),"※工作类型没选"))</f>
        <v/>
      </c>
      <c r="F896" s="13" t="n"/>
      <c r="G896" s="13" t="n"/>
      <c r="H896" s="20" t="n"/>
      <c r="I896" s="14" t="n"/>
      <c r="J896" s="19">
        <f>IF($C896="","",ROUND(IF($H896="",1,$H896)*N($I896),2))</f>
        <v/>
      </c>
      <c r="K896" s="13" t="n"/>
      <c r="L896" s="13" t="n"/>
      <c r="M896" s="17">
        <f>IF($C896="","",IF(ISNA(MATCH($C896,项目名表,0)),"※项目不在项目台账里",IF($E896="※工作类型没选","※工作类型没选","")))</f>
        <v/>
      </c>
    </row>
    <row r="897">
      <c r="A897" s="17">
        <f>IF($C897="","",ROW()-3)</f>
        <v/>
      </c>
      <c r="B897" s="18" t="n"/>
      <c r="C897" s="13" t="n"/>
      <c r="D897" s="13" t="n"/>
      <c r="E897" s="17">
        <f>IF($C897="","",IFERROR(VLOOKUP($D897,工作归属,2,0),"※工作类型没选"))</f>
        <v/>
      </c>
      <c r="F897" s="13" t="n"/>
      <c r="G897" s="13" t="n"/>
      <c r="H897" s="20" t="n"/>
      <c r="I897" s="14" t="n"/>
      <c r="J897" s="19">
        <f>IF($C897="","",ROUND(IF($H897="",1,$H897)*N($I897),2))</f>
        <v/>
      </c>
      <c r="K897" s="13" t="n"/>
      <c r="L897" s="13" t="n"/>
      <c r="M897" s="17">
        <f>IF($C897="","",IF(ISNA(MATCH($C897,项目名表,0)),"※项目不在项目台账里",IF($E897="※工作类型没选","※工作类型没选","")))</f>
        <v/>
      </c>
    </row>
    <row r="898">
      <c r="A898" s="17">
        <f>IF($C898="","",ROW()-3)</f>
        <v/>
      </c>
      <c r="B898" s="18" t="n"/>
      <c r="C898" s="13" t="n"/>
      <c r="D898" s="13" t="n"/>
      <c r="E898" s="17">
        <f>IF($C898="","",IFERROR(VLOOKUP($D898,工作归属,2,0),"※工作类型没选"))</f>
        <v/>
      </c>
      <c r="F898" s="13" t="n"/>
      <c r="G898" s="13" t="n"/>
      <c r="H898" s="20" t="n"/>
      <c r="I898" s="14" t="n"/>
      <c r="J898" s="19">
        <f>IF($C898="","",ROUND(IF($H898="",1,$H898)*N($I898),2))</f>
        <v/>
      </c>
      <c r="K898" s="13" t="n"/>
      <c r="L898" s="13" t="n"/>
      <c r="M898" s="17">
        <f>IF($C898="","",IF(ISNA(MATCH($C898,项目名表,0)),"※项目不在项目台账里",IF($E898="※工作类型没选","※工作类型没选","")))</f>
        <v/>
      </c>
    </row>
    <row r="899">
      <c r="A899" s="17">
        <f>IF($C899="","",ROW()-3)</f>
        <v/>
      </c>
      <c r="B899" s="18" t="n"/>
      <c r="C899" s="13" t="n"/>
      <c r="D899" s="13" t="n"/>
      <c r="E899" s="17">
        <f>IF($C899="","",IFERROR(VLOOKUP($D899,工作归属,2,0),"※工作类型没选"))</f>
        <v/>
      </c>
      <c r="F899" s="13" t="n"/>
      <c r="G899" s="13" t="n"/>
      <c r="H899" s="20" t="n"/>
      <c r="I899" s="14" t="n"/>
      <c r="J899" s="19">
        <f>IF($C899="","",ROUND(IF($H899="",1,$H899)*N($I899),2))</f>
        <v/>
      </c>
      <c r="K899" s="13" t="n"/>
      <c r="L899" s="13" t="n"/>
      <c r="M899" s="17">
        <f>IF($C899="","",IF(ISNA(MATCH($C899,项目名表,0)),"※项目不在项目台账里",IF($E899="※工作类型没选","※工作类型没选","")))</f>
        <v/>
      </c>
    </row>
    <row r="900">
      <c r="A900" s="17">
        <f>IF($C900="","",ROW()-3)</f>
        <v/>
      </c>
      <c r="B900" s="18" t="n"/>
      <c r="C900" s="13" t="n"/>
      <c r="D900" s="13" t="n"/>
      <c r="E900" s="17">
        <f>IF($C900="","",IFERROR(VLOOKUP($D900,工作归属,2,0),"※工作类型没选"))</f>
        <v/>
      </c>
      <c r="F900" s="13" t="n"/>
      <c r="G900" s="13" t="n"/>
      <c r="H900" s="20" t="n"/>
      <c r="I900" s="14" t="n"/>
      <c r="J900" s="19">
        <f>IF($C900="","",ROUND(IF($H900="",1,$H900)*N($I900),2))</f>
        <v/>
      </c>
      <c r="K900" s="13" t="n"/>
      <c r="L900" s="13" t="n"/>
      <c r="M900" s="17">
        <f>IF($C900="","",IF(ISNA(MATCH($C900,项目名表,0)),"※项目不在项目台账里",IF($E900="※工作类型没选","※工作类型没选","")))</f>
        <v/>
      </c>
    </row>
    <row r="901">
      <c r="A901" s="17">
        <f>IF($C901="","",ROW()-3)</f>
        <v/>
      </c>
      <c r="B901" s="18" t="n"/>
      <c r="C901" s="13" t="n"/>
      <c r="D901" s="13" t="n"/>
      <c r="E901" s="17">
        <f>IF($C901="","",IFERROR(VLOOKUP($D901,工作归属,2,0),"※工作类型没选"))</f>
        <v/>
      </c>
      <c r="F901" s="13" t="n"/>
      <c r="G901" s="13" t="n"/>
      <c r="H901" s="20" t="n"/>
      <c r="I901" s="14" t="n"/>
      <c r="J901" s="19">
        <f>IF($C901="","",ROUND(IF($H901="",1,$H901)*N($I901),2))</f>
        <v/>
      </c>
      <c r="K901" s="13" t="n"/>
      <c r="L901" s="13" t="n"/>
      <c r="M901" s="17">
        <f>IF($C901="","",IF(ISNA(MATCH($C901,项目名表,0)),"※项目不在项目台账里",IF($E901="※工作类型没选","※工作类型没选","")))</f>
        <v/>
      </c>
    </row>
    <row r="902">
      <c r="A902" s="17">
        <f>IF($C902="","",ROW()-3)</f>
        <v/>
      </c>
      <c r="B902" s="18" t="n"/>
      <c r="C902" s="13" t="n"/>
      <c r="D902" s="13" t="n"/>
      <c r="E902" s="17">
        <f>IF($C902="","",IFERROR(VLOOKUP($D902,工作归属,2,0),"※工作类型没选"))</f>
        <v/>
      </c>
      <c r="F902" s="13" t="n"/>
      <c r="G902" s="13" t="n"/>
      <c r="H902" s="20" t="n"/>
      <c r="I902" s="14" t="n"/>
      <c r="J902" s="19">
        <f>IF($C902="","",ROUND(IF($H902="",1,$H902)*N($I902),2))</f>
        <v/>
      </c>
      <c r="K902" s="13" t="n"/>
      <c r="L902" s="13" t="n"/>
      <c r="M902" s="17">
        <f>IF($C902="","",IF(ISNA(MATCH($C902,项目名表,0)),"※项目不在项目台账里",IF($E902="※工作类型没选","※工作类型没选","")))</f>
        <v/>
      </c>
    </row>
    <row r="903">
      <c r="A903" s="17">
        <f>IF($C903="","",ROW()-3)</f>
        <v/>
      </c>
      <c r="B903" s="18" t="n"/>
      <c r="C903" s="13" t="n"/>
      <c r="D903" s="13" t="n"/>
      <c r="E903" s="17">
        <f>IF($C903="","",IFERROR(VLOOKUP($D903,工作归属,2,0),"※工作类型没选"))</f>
        <v/>
      </c>
      <c r="F903" s="13" t="n"/>
      <c r="G903" s="13" t="n"/>
      <c r="H903" s="20" t="n"/>
      <c r="I903" s="14" t="n"/>
      <c r="J903" s="19">
        <f>IF($C903="","",ROUND(IF($H903="",1,$H903)*N($I903),2))</f>
        <v/>
      </c>
      <c r="K903" s="13" t="n"/>
      <c r="L903" s="13" t="n"/>
      <c r="M903" s="17">
        <f>IF($C903="","",IF(ISNA(MATCH($C903,项目名表,0)),"※项目不在项目台账里",IF($E903="※工作类型没选","※工作类型没选","")))</f>
        <v/>
      </c>
    </row>
    <row r="904">
      <c r="A904" s="17">
        <f>IF($C904="","",ROW()-3)</f>
        <v/>
      </c>
      <c r="B904" s="18" t="n"/>
      <c r="C904" s="13" t="n"/>
      <c r="D904" s="13" t="n"/>
      <c r="E904" s="17">
        <f>IF($C904="","",IFERROR(VLOOKUP($D904,工作归属,2,0),"※工作类型没选"))</f>
        <v/>
      </c>
      <c r="F904" s="13" t="n"/>
      <c r="G904" s="13" t="n"/>
      <c r="H904" s="20" t="n"/>
      <c r="I904" s="14" t="n"/>
      <c r="J904" s="19">
        <f>IF($C904="","",ROUND(IF($H904="",1,$H904)*N($I904),2))</f>
        <v/>
      </c>
      <c r="K904" s="13" t="n"/>
      <c r="L904" s="13" t="n"/>
      <c r="M904" s="17">
        <f>IF($C904="","",IF(ISNA(MATCH($C904,项目名表,0)),"※项目不在项目台账里",IF($E904="※工作类型没选","※工作类型没选","")))</f>
        <v/>
      </c>
    </row>
    <row r="905">
      <c r="A905" s="17">
        <f>IF($C905="","",ROW()-3)</f>
        <v/>
      </c>
      <c r="B905" s="18" t="n"/>
      <c r="C905" s="13" t="n"/>
      <c r="D905" s="13" t="n"/>
      <c r="E905" s="17">
        <f>IF($C905="","",IFERROR(VLOOKUP($D905,工作归属,2,0),"※工作类型没选"))</f>
        <v/>
      </c>
      <c r="F905" s="13" t="n"/>
      <c r="G905" s="13" t="n"/>
      <c r="H905" s="20" t="n"/>
      <c r="I905" s="14" t="n"/>
      <c r="J905" s="19">
        <f>IF($C905="","",ROUND(IF($H905="",1,$H905)*N($I905),2))</f>
        <v/>
      </c>
      <c r="K905" s="13" t="n"/>
      <c r="L905" s="13" t="n"/>
      <c r="M905" s="17">
        <f>IF($C905="","",IF(ISNA(MATCH($C905,项目名表,0)),"※项目不在项目台账里",IF($E905="※工作类型没选","※工作类型没选","")))</f>
        <v/>
      </c>
    </row>
    <row r="906">
      <c r="A906" s="17">
        <f>IF($C906="","",ROW()-3)</f>
        <v/>
      </c>
      <c r="B906" s="18" t="n"/>
      <c r="C906" s="13" t="n"/>
      <c r="D906" s="13" t="n"/>
      <c r="E906" s="17">
        <f>IF($C906="","",IFERROR(VLOOKUP($D906,工作归属,2,0),"※工作类型没选"))</f>
        <v/>
      </c>
      <c r="F906" s="13" t="n"/>
      <c r="G906" s="13" t="n"/>
      <c r="H906" s="20" t="n"/>
      <c r="I906" s="14" t="n"/>
      <c r="J906" s="19">
        <f>IF($C906="","",ROUND(IF($H906="",1,$H906)*N($I906),2))</f>
        <v/>
      </c>
      <c r="K906" s="13" t="n"/>
      <c r="L906" s="13" t="n"/>
      <c r="M906" s="17">
        <f>IF($C906="","",IF(ISNA(MATCH($C906,项目名表,0)),"※项目不在项目台账里",IF($E906="※工作类型没选","※工作类型没选","")))</f>
        <v/>
      </c>
    </row>
    <row r="907">
      <c r="A907" s="17">
        <f>IF($C907="","",ROW()-3)</f>
        <v/>
      </c>
      <c r="B907" s="18" t="n"/>
      <c r="C907" s="13" t="n"/>
      <c r="D907" s="13" t="n"/>
      <c r="E907" s="17">
        <f>IF($C907="","",IFERROR(VLOOKUP($D907,工作归属,2,0),"※工作类型没选"))</f>
        <v/>
      </c>
      <c r="F907" s="13" t="n"/>
      <c r="G907" s="13" t="n"/>
      <c r="H907" s="20" t="n"/>
      <c r="I907" s="14" t="n"/>
      <c r="J907" s="19">
        <f>IF($C907="","",ROUND(IF($H907="",1,$H907)*N($I907),2))</f>
        <v/>
      </c>
      <c r="K907" s="13" t="n"/>
      <c r="L907" s="13" t="n"/>
      <c r="M907" s="17">
        <f>IF($C907="","",IF(ISNA(MATCH($C907,项目名表,0)),"※项目不在项目台账里",IF($E907="※工作类型没选","※工作类型没选","")))</f>
        <v/>
      </c>
    </row>
    <row r="908">
      <c r="A908" s="17">
        <f>IF($C908="","",ROW()-3)</f>
        <v/>
      </c>
      <c r="B908" s="18" t="n"/>
      <c r="C908" s="13" t="n"/>
      <c r="D908" s="13" t="n"/>
      <c r="E908" s="17">
        <f>IF($C908="","",IFERROR(VLOOKUP($D908,工作归属,2,0),"※工作类型没选"))</f>
        <v/>
      </c>
      <c r="F908" s="13" t="n"/>
      <c r="G908" s="13" t="n"/>
      <c r="H908" s="20" t="n"/>
      <c r="I908" s="14" t="n"/>
      <c r="J908" s="19">
        <f>IF($C908="","",ROUND(IF($H908="",1,$H908)*N($I908),2))</f>
        <v/>
      </c>
      <c r="K908" s="13" t="n"/>
      <c r="L908" s="13" t="n"/>
      <c r="M908" s="17">
        <f>IF($C908="","",IF(ISNA(MATCH($C908,项目名表,0)),"※项目不在项目台账里",IF($E908="※工作类型没选","※工作类型没选","")))</f>
        <v/>
      </c>
    </row>
    <row r="909">
      <c r="A909" s="17">
        <f>IF($C909="","",ROW()-3)</f>
        <v/>
      </c>
      <c r="B909" s="18" t="n"/>
      <c r="C909" s="13" t="n"/>
      <c r="D909" s="13" t="n"/>
      <c r="E909" s="17">
        <f>IF($C909="","",IFERROR(VLOOKUP($D909,工作归属,2,0),"※工作类型没选"))</f>
        <v/>
      </c>
      <c r="F909" s="13" t="n"/>
      <c r="G909" s="13" t="n"/>
      <c r="H909" s="20" t="n"/>
      <c r="I909" s="14" t="n"/>
      <c r="J909" s="19">
        <f>IF($C909="","",ROUND(IF($H909="",1,$H909)*N($I909),2))</f>
        <v/>
      </c>
      <c r="K909" s="13" t="n"/>
      <c r="L909" s="13" t="n"/>
      <c r="M909" s="17">
        <f>IF($C909="","",IF(ISNA(MATCH($C909,项目名表,0)),"※项目不在项目台账里",IF($E909="※工作类型没选","※工作类型没选","")))</f>
        <v/>
      </c>
    </row>
    <row r="910">
      <c r="A910" s="17">
        <f>IF($C910="","",ROW()-3)</f>
        <v/>
      </c>
      <c r="B910" s="18" t="n"/>
      <c r="C910" s="13" t="n"/>
      <c r="D910" s="13" t="n"/>
      <c r="E910" s="17">
        <f>IF($C910="","",IFERROR(VLOOKUP($D910,工作归属,2,0),"※工作类型没选"))</f>
        <v/>
      </c>
      <c r="F910" s="13" t="n"/>
      <c r="G910" s="13" t="n"/>
      <c r="H910" s="20" t="n"/>
      <c r="I910" s="14" t="n"/>
      <c r="J910" s="19">
        <f>IF($C910="","",ROUND(IF($H910="",1,$H910)*N($I910),2))</f>
        <v/>
      </c>
      <c r="K910" s="13" t="n"/>
      <c r="L910" s="13" t="n"/>
      <c r="M910" s="17">
        <f>IF($C910="","",IF(ISNA(MATCH($C910,项目名表,0)),"※项目不在项目台账里",IF($E910="※工作类型没选","※工作类型没选","")))</f>
        <v/>
      </c>
    </row>
    <row r="911">
      <c r="A911" s="17">
        <f>IF($C911="","",ROW()-3)</f>
        <v/>
      </c>
      <c r="B911" s="18" t="n"/>
      <c r="C911" s="13" t="n"/>
      <c r="D911" s="13" t="n"/>
      <c r="E911" s="17">
        <f>IF($C911="","",IFERROR(VLOOKUP($D911,工作归属,2,0),"※工作类型没选"))</f>
        <v/>
      </c>
      <c r="F911" s="13" t="n"/>
      <c r="G911" s="13" t="n"/>
      <c r="H911" s="20" t="n"/>
      <c r="I911" s="14" t="n"/>
      <c r="J911" s="19">
        <f>IF($C911="","",ROUND(IF($H911="",1,$H911)*N($I911),2))</f>
        <v/>
      </c>
      <c r="K911" s="13" t="n"/>
      <c r="L911" s="13" t="n"/>
      <c r="M911" s="17">
        <f>IF($C911="","",IF(ISNA(MATCH($C911,项目名表,0)),"※项目不在项目台账里",IF($E911="※工作类型没选","※工作类型没选","")))</f>
        <v/>
      </c>
    </row>
    <row r="912">
      <c r="A912" s="17">
        <f>IF($C912="","",ROW()-3)</f>
        <v/>
      </c>
      <c r="B912" s="18" t="n"/>
      <c r="C912" s="13" t="n"/>
      <c r="D912" s="13" t="n"/>
      <c r="E912" s="17">
        <f>IF($C912="","",IFERROR(VLOOKUP($D912,工作归属,2,0),"※工作类型没选"))</f>
        <v/>
      </c>
      <c r="F912" s="13" t="n"/>
      <c r="G912" s="13" t="n"/>
      <c r="H912" s="20" t="n"/>
      <c r="I912" s="14" t="n"/>
      <c r="J912" s="19">
        <f>IF($C912="","",ROUND(IF($H912="",1,$H912)*N($I912),2))</f>
        <v/>
      </c>
      <c r="K912" s="13" t="n"/>
      <c r="L912" s="13" t="n"/>
      <c r="M912" s="17">
        <f>IF($C912="","",IF(ISNA(MATCH($C912,项目名表,0)),"※项目不在项目台账里",IF($E912="※工作类型没选","※工作类型没选","")))</f>
        <v/>
      </c>
    </row>
    <row r="913">
      <c r="A913" s="17">
        <f>IF($C913="","",ROW()-3)</f>
        <v/>
      </c>
      <c r="B913" s="18" t="n"/>
      <c r="C913" s="13" t="n"/>
      <c r="D913" s="13" t="n"/>
      <c r="E913" s="17">
        <f>IF($C913="","",IFERROR(VLOOKUP($D913,工作归属,2,0),"※工作类型没选"))</f>
        <v/>
      </c>
      <c r="F913" s="13" t="n"/>
      <c r="G913" s="13" t="n"/>
      <c r="H913" s="20" t="n"/>
      <c r="I913" s="14" t="n"/>
      <c r="J913" s="19">
        <f>IF($C913="","",ROUND(IF($H913="",1,$H913)*N($I913),2))</f>
        <v/>
      </c>
      <c r="K913" s="13" t="n"/>
      <c r="L913" s="13" t="n"/>
      <c r="M913" s="17">
        <f>IF($C913="","",IF(ISNA(MATCH($C913,项目名表,0)),"※项目不在项目台账里",IF($E913="※工作类型没选","※工作类型没选","")))</f>
        <v/>
      </c>
    </row>
    <row r="914">
      <c r="A914" s="17">
        <f>IF($C914="","",ROW()-3)</f>
        <v/>
      </c>
      <c r="B914" s="18" t="n"/>
      <c r="C914" s="13" t="n"/>
      <c r="D914" s="13" t="n"/>
      <c r="E914" s="17">
        <f>IF($C914="","",IFERROR(VLOOKUP($D914,工作归属,2,0),"※工作类型没选"))</f>
        <v/>
      </c>
      <c r="F914" s="13" t="n"/>
      <c r="G914" s="13" t="n"/>
      <c r="H914" s="20" t="n"/>
      <c r="I914" s="14" t="n"/>
      <c r="J914" s="19">
        <f>IF($C914="","",ROUND(IF($H914="",1,$H914)*N($I914),2))</f>
        <v/>
      </c>
      <c r="K914" s="13" t="n"/>
      <c r="L914" s="13" t="n"/>
      <c r="M914" s="17">
        <f>IF($C914="","",IF(ISNA(MATCH($C914,项目名表,0)),"※项目不在项目台账里",IF($E914="※工作类型没选","※工作类型没选","")))</f>
        <v/>
      </c>
    </row>
    <row r="915">
      <c r="A915" s="17">
        <f>IF($C915="","",ROW()-3)</f>
        <v/>
      </c>
      <c r="B915" s="18" t="n"/>
      <c r="C915" s="13" t="n"/>
      <c r="D915" s="13" t="n"/>
      <c r="E915" s="17">
        <f>IF($C915="","",IFERROR(VLOOKUP($D915,工作归属,2,0),"※工作类型没选"))</f>
        <v/>
      </c>
      <c r="F915" s="13" t="n"/>
      <c r="G915" s="13" t="n"/>
      <c r="H915" s="20" t="n"/>
      <c r="I915" s="14" t="n"/>
      <c r="J915" s="19">
        <f>IF($C915="","",ROUND(IF($H915="",1,$H915)*N($I915),2))</f>
        <v/>
      </c>
      <c r="K915" s="13" t="n"/>
      <c r="L915" s="13" t="n"/>
      <c r="M915" s="17">
        <f>IF($C915="","",IF(ISNA(MATCH($C915,项目名表,0)),"※项目不在项目台账里",IF($E915="※工作类型没选","※工作类型没选","")))</f>
        <v/>
      </c>
    </row>
    <row r="916">
      <c r="A916" s="17">
        <f>IF($C916="","",ROW()-3)</f>
        <v/>
      </c>
      <c r="B916" s="18" t="n"/>
      <c r="C916" s="13" t="n"/>
      <c r="D916" s="13" t="n"/>
      <c r="E916" s="17">
        <f>IF($C916="","",IFERROR(VLOOKUP($D916,工作归属,2,0),"※工作类型没选"))</f>
        <v/>
      </c>
      <c r="F916" s="13" t="n"/>
      <c r="G916" s="13" t="n"/>
      <c r="H916" s="20" t="n"/>
      <c r="I916" s="14" t="n"/>
      <c r="J916" s="19">
        <f>IF($C916="","",ROUND(IF($H916="",1,$H916)*N($I916),2))</f>
        <v/>
      </c>
      <c r="K916" s="13" t="n"/>
      <c r="L916" s="13" t="n"/>
      <c r="M916" s="17">
        <f>IF($C916="","",IF(ISNA(MATCH($C916,项目名表,0)),"※项目不在项目台账里",IF($E916="※工作类型没选","※工作类型没选","")))</f>
        <v/>
      </c>
    </row>
    <row r="917">
      <c r="A917" s="17">
        <f>IF($C917="","",ROW()-3)</f>
        <v/>
      </c>
      <c r="B917" s="18" t="n"/>
      <c r="C917" s="13" t="n"/>
      <c r="D917" s="13" t="n"/>
      <c r="E917" s="17">
        <f>IF($C917="","",IFERROR(VLOOKUP($D917,工作归属,2,0),"※工作类型没选"))</f>
        <v/>
      </c>
      <c r="F917" s="13" t="n"/>
      <c r="G917" s="13" t="n"/>
      <c r="H917" s="20" t="n"/>
      <c r="I917" s="14" t="n"/>
      <c r="J917" s="19">
        <f>IF($C917="","",ROUND(IF($H917="",1,$H917)*N($I917),2))</f>
        <v/>
      </c>
      <c r="K917" s="13" t="n"/>
      <c r="L917" s="13" t="n"/>
      <c r="M917" s="17">
        <f>IF($C917="","",IF(ISNA(MATCH($C917,项目名表,0)),"※项目不在项目台账里",IF($E917="※工作类型没选","※工作类型没选","")))</f>
        <v/>
      </c>
    </row>
    <row r="918">
      <c r="A918" s="17">
        <f>IF($C918="","",ROW()-3)</f>
        <v/>
      </c>
      <c r="B918" s="18" t="n"/>
      <c r="C918" s="13" t="n"/>
      <c r="D918" s="13" t="n"/>
      <c r="E918" s="17">
        <f>IF($C918="","",IFERROR(VLOOKUP($D918,工作归属,2,0),"※工作类型没选"))</f>
        <v/>
      </c>
      <c r="F918" s="13" t="n"/>
      <c r="G918" s="13" t="n"/>
      <c r="H918" s="20" t="n"/>
      <c r="I918" s="14" t="n"/>
      <c r="J918" s="19">
        <f>IF($C918="","",ROUND(IF($H918="",1,$H918)*N($I918),2))</f>
        <v/>
      </c>
      <c r="K918" s="13" t="n"/>
      <c r="L918" s="13" t="n"/>
      <c r="M918" s="17">
        <f>IF($C918="","",IF(ISNA(MATCH($C918,项目名表,0)),"※项目不在项目台账里",IF($E918="※工作类型没选","※工作类型没选","")))</f>
        <v/>
      </c>
    </row>
    <row r="919">
      <c r="A919" s="17">
        <f>IF($C919="","",ROW()-3)</f>
        <v/>
      </c>
      <c r="B919" s="18" t="n"/>
      <c r="C919" s="13" t="n"/>
      <c r="D919" s="13" t="n"/>
      <c r="E919" s="17">
        <f>IF($C919="","",IFERROR(VLOOKUP($D919,工作归属,2,0),"※工作类型没选"))</f>
        <v/>
      </c>
      <c r="F919" s="13" t="n"/>
      <c r="G919" s="13" t="n"/>
      <c r="H919" s="20" t="n"/>
      <c r="I919" s="14" t="n"/>
      <c r="J919" s="19">
        <f>IF($C919="","",ROUND(IF($H919="",1,$H919)*N($I919),2))</f>
        <v/>
      </c>
      <c r="K919" s="13" t="n"/>
      <c r="L919" s="13" t="n"/>
      <c r="M919" s="17">
        <f>IF($C919="","",IF(ISNA(MATCH($C919,项目名表,0)),"※项目不在项目台账里",IF($E919="※工作类型没选","※工作类型没选","")))</f>
        <v/>
      </c>
    </row>
    <row r="920">
      <c r="A920" s="17">
        <f>IF($C920="","",ROW()-3)</f>
        <v/>
      </c>
      <c r="B920" s="18" t="n"/>
      <c r="C920" s="13" t="n"/>
      <c r="D920" s="13" t="n"/>
      <c r="E920" s="17">
        <f>IF($C920="","",IFERROR(VLOOKUP($D920,工作归属,2,0),"※工作类型没选"))</f>
        <v/>
      </c>
      <c r="F920" s="13" t="n"/>
      <c r="G920" s="13" t="n"/>
      <c r="H920" s="20" t="n"/>
      <c r="I920" s="14" t="n"/>
      <c r="J920" s="19">
        <f>IF($C920="","",ROUND(IF($H920="",1,$H920)*N($I920),2))</f>
        <v/>
      </c>
      <c r="K920" s="13" t="n"/>
      <c r="L920" s="13" t="n"/>
      <c r="M920" s="17">
        <f>IF($C920="","",IF(ISNA(MATCH($C920,项目名表,0)),"※项目不在项目台账里",IF($E920="※工作类型没选","※工作类型没选","")))</f>
        <v/>
      </c>
    </row>
    <row r="921">
      <c r="A921" s="17">
        <f>IF($C921="","",ROW()-3)</f>
        <v/>
      </c>
      <c r="B921" s="18" t="n"/>
      <c r="C921" s="13" t="n"/>
      <c r="D921" s="13" t="n"/>
      <c r="E921" s="17">
        <f>IF($C921="","",IFERROR(VLOOKUP($D921,工作归属,2,0),"※工作类型没选"))</f>
        <v/>
      </c>
      <c r="F921" s="13" t="n"/>
      <c r="G921" s="13" t="n"/>
      <c r="H921" s="20" t="n"/>
      <c r="I921" s="14" t="n"/>
      <c r="J921" s="19">
        <f>IF($C921="","",ROUND(IF($H921="",1,$H921)*N($I921),2))</f>
        <v/>
      </c>
      <c r="K921" s="13" t="n"/>
      <c r="L921" s="13" t="n"/>
      <c r="M921" s="17">
        <f>IF($C921="","",IF(ISNA(MATCH($C921,项目名表,0)),"※项目不在项目台账里",IF($E921="※工作类型没选","※工作类型没选","")))</f>
        <v/>
      </c>
    </row>
    <row r="922">
      <c r="A922" s="17">
        <f>IF($C922="","",ROW()-3)</f>
        <v/>
      </c>
      <c r="B922" s="18" t="n"/>
      <c r="C922" s="13" t="n"/>
      <c r="D922" s="13" t="n"/>
      <c r="E922" s="17">
        <f>IF($C922="","",IFERROR(VLOOKUP($D922,工作归属,2,0),"※工作类型没选"))</f>
        <v/>
      </c>
      <c r="F922" s="13" t="n"/>
      <c r="G922" s="13" t="n"/>
      <c r="H922" s="20" t="n"/>
      <c r="I922" s="14" t="n"/>
      <c r="J922" s="19">
        <f>IF($C922="","",ROUND(IF($H922="",1,$H922)*N($I922),2))</f>
        <v/>
      </c>
      <c r="K922" s="13" t="n"/>
      <c r="L922" s="13" t="n"/>
      <c r="M922" s="17">
        <f>IF($C922="","",IF(ISNA(MATCH($C922,项目名表,0)),"※项目不在项目台账里",IF($E922="※工作类型没选","※工作类型没选","")))</f>
        <v/>
      </c>
    </row>
    <row r="923">
      <c r="A923" s="17">
        <f>IF($C923="","",ROW()-3)</f>
        <v/>
      </c>
      <c r="B923" s="18" t="n"/>
      <c r="C923" s="13" t="n"/>
      <c r="D923" s="13" t="n"/>
      <c r="E923" s="17">
        <f>IF($C923="","",IFERROR(VLOOKUP($D923,工作归属,2,0),"※工作类型没选"))</f>
        <v/>
      </c>
      <c r="F923" s="13" t="n"/>
      <c r="G923" s="13" t="n"/>
      <c r="H923" s="20" t="n"/>
      <c r="I923" s="14" t="n"/>
      <c r="J923" s="19">
        <f>IF($C923="","",ROUND(IF($H923="",1,$H923)*N($I923),2))</f>
        <v/>
      </c>
      <c r="K923" s="13" t="n"/>
      <c r="L923" s="13" t="n"/>
      <c r="M923" s="17">
        <f>IF($C923="","",IF(ISNA(MATCH($C923,项目名表,0)),"※项目不在项目台账里",IF($E923="※工作类型没选","※工作类型没选","")))</f>
        <v/>
      </c>
    </row>
    <row r="924">
      <c r="A924" s="17">
        <f>IF($C924="","",ROW()-3)</f>
        <v/>
      </c>
      <c r="B924" s="18" t="n"/>
      <c r="C924" s="13" t="n"/>
      <c r="D924" s="13" t="n"/>
      <c r="E924" s="17">
        <f>IF($C924="","",IFERROR(VLOOKUP($D924,工作归属,2,0),"※工作类型没选"))</f>
        <v/>
      </c>
      <c r="F924" s="13" t="n"/>
      <c r="G924" s="13" t="n"/>
      <c r="H924" s="20" t="n"/>
      <c r="I924" s="14" t="n"/>
      <c r="J924" s="19">
        <f>IF($C924="","",ROUND(IF($H924="",1,$H924)*N($I924),2))</f>
        <v/>
      </c>
      <c r="K924" s="13" t="n"/>
      <c r="L924" s="13" t="n"/>
      <c r="M924" s="17">
        <f>IF($C924="","",IF(ISNA(MATCH($C924,项目名表,0)),"※项目不在项目台账里",IF($E924="※工作类型没选","※工作类型没选","")))</f>
        <v/>
      </c>
    </row>
    <row r="925">
      <c r="A925" s="17">
        <f>IF($C925="","",ROW()-3)</f>
        <v/>
      </c>
      <c r="B925" s="18" t="n"/>
      <c r="C925" s="13" t="n"/>
      <c r="D925" s="13" t="n"/>
      <c r="E925" s="17">
        <f>IF($C925="","",IFERROR(VLOOKUP($D925,工作归属,2,0),"※工作类型没选"))</f>
        <v/>
      </c>
      <c r="F925" s="13" t="n"/>
      <c r="G925" s="13" t="n"/>
      <c r="H925" s="20" t="n"/>
      <c r="I925" s="14" t="n"/>
      <c r="J925" s="19">
        <f>IF($C925="","",ROUND(IF($H925="",1,$H925)*N($I925),2))</f>
        <v/>
      </c>
      <c r="K925" s="13" t="n"/>
      <c r="L925" s="13" t="n"/>
      <c r="M925" s="17">
        <f>IF($C925="","",IF(ISNA(MATCH($C925,项目名表,0)),"※项目不在项目台账里",IF($E925="※工作类型没选","※工作类型没选","")))</f>
        <v/>
      </c>
    </row>
    <row r="926">
      <c r="A926" s="17">
        <f>IF($C926="","",ROW()-3)</f>
        <v/>
      </c>
      <c r="B926" s="18" t="n"/>
      <c r="C926" s="13" t="n"/>
      <c r="D926" s="13" t="n"/>
      <c r="E926" s="17">
        <f>IF($C926="","",IFERROR(VLOOKUP($D926,工作归属,2,0),"※工作类型没选"))</f>
        <v/>
      </c>
      <c r="F926" s="13" t="n"/>
      <c r="G926" s="13" t="n"/>
      <c r="H926" s="20" t="n"/>
      <c r="I926" s="14" t="n"/>
      <c r="J926" s="19">
        <f>IF($C926="","",ROUND(IF($H926="",1,$H926)*N($I926),2))</f>
        <v/>
      </c>
      <c r="K926" s="13" t="n"/>
      <c r="L926" s="13" t="n"/>
      <c r="M926" s="17">
        <f>IF($C926="","",IF(ISNA(MATCH($C926,项目名表,0)),"※项目不在项目台账里",IF($E926="※工作类型没选","※工作类型没选","")))</f>
        <v/>
      </c>
    </row>
    <row r="927">
      <c r="A927" s="17">
        <f>IF($C927="","",ROW()-3)</f>
        <v/>
      </c>
      <c r="B927" s="18" t="n"/>
      <c r="C927" s="13" t="n"/>
      <c r="D927" s="13" t="n"/>
      <c r="E927" s="17">
        <f>IF($C927="","",IFERROR(VLOOKUP($D927,工作归属,2,0),"※工作类型没选"))</f>
        <v/>
      </c>
      <c r="F927" s="13" t="n"/>
      <c r="G927" s="13" t="n"/>
      <c r="H927" s="20" t="n"/>
      <c r="I927" s="14" t="n"/>
      <c r="J927" s="19">
        <f>IF($C927="","",ROUND(IF($H927="",1,$H927)*N($I927),2))</f>
        <v/>
      </c>
      <c r="K927" s="13" t="n"/>
      <c r="L927" s="13" t="n"/>
      <c r="M927" s="17">
        <f>IF($C927="","",IF(ISNA(MATCH($C927,项目名表,0)),"※项目不在项目台账里",IF($E927="※工作类型没选","※工作类型没选","")))</f>
        <v/>
      </c>
    </row>
    <row r="928">
      <c r="A928" s="17">
        <f>IF($C928="","",ROW()-3)</f>
        <v/>
      </c>
      <c r="B928" s="18" t="n"/>
      <c r="C928" s="13" t="n"/>
      <c r="D928" s="13" t="n"/>
      <c r="E928" s="17">
        <f>IF($C928="","",IFERROR(VLOOKUP($D928,工作归属,2,0),"※工作类型没选"))</f>
        <v/>
      </c>
      <c r="F928" s="13" t="n"/>
      <c r="G928" s="13" t="n"/>
      <c r="H928" s="20" t="n"/>
      <c r="I928" s="14" t="n"/>
      <c r="J928" s="19">
        <f>IF($C928="","",ROUND(IF($H928="",1,$H928)*N($I928),2))</f>
        <v/>
      </c>
      <c r="K928" s="13" t="n"/>
      <c r="L928" s="13" t="n"/>
      <c r="M928" s="17">
        <f>IF($C928="","",IF(ISNA(MATCH($C928,项目名表,0)),"※项目不在项目台账里",IF($E928="※工作类型没选","※工作类型没选","")))</f>
        <v/>
      </c>
    </row>
    <row r="929">
      <c r="A929" s="17">
        <f>IF($C929="","",ROW()-3)</f>
        <v/>
      </c>
      <c r="B929" s="18" t="n"/>
      <c r="C929" s="13" t="n"/>
      <c r="D929" s="13" t="n"/>
      <c r="E929" s="17">
        <f>IF($C929="","",IFERROR(VLOOKUP($D929,工作归属,2,0),"※工作类型没选"))</f>
        <v/>
      </c>
      <c r="F929" s="13" t="n"/>
      <c r="G929" s="13" t="n"/>
      <c r="H929" s="20" t="n"/>
      <c r="I929" s="14" t="n"/>
      <c r="J929" s="19">
        <f>IF($C929="","",ROUND(IF($H929="",1,$H929)*N($I929),2))</f>
        <v/>
      </c>
      <c r="K929" s="13" t="n"/>
      <c r="L929" s="13" t="n"/>
      <c r="M929" s="17">
        <f>IF($C929="","",IF(ISNA(MATCH($C929,项目名表,0)),"※项目不在项目台账里",IF($E929="※工作类型没选","※工作类型没选","")))</f>
        <v/>
      </c>
    </row>
    <row r="930">
      <c r="A930" s="17">
        <f>IF($C930="","",ROW()-3)</f>
        <v/>
      </c>
      <c r="B930" s="18" t="n"/>
      <c r="C930" s="13" t="n"/>
      <c r="D930" s="13" t="n"/>
      <c r="E930" s="17">
        <f>IF($C930="","",IFERROR(VLOOKUP($D930,工作归属,2,0),"※工作类型没选"))</f>
        <v/>
      </c>
      <c r="F930" s="13" t="n"/>
      <c r="G930" s="13" t="n"/>
      <c r="H930" s="20" t="n"/>
      <c r="I930" s="14" t="n"/>
      <c r="J930" s="19">
        <f>IF($C930="","",ROUND(IF($H930="",1,$H930)*N($I930),2))</f>
        <v/>
      </c>
      <c r="K930" s="13" t="n"/>
      <c r="L930" s="13" t="n"/>
      <c r="M930" s="17">
        <f>IF($C930="","",IF(ISNA(MATCH($C930,项目名表,0)),"※项目不在项目台账里",IF($E930="※工作类型没选","※工作类型没选","")))</f>
        <v/>
      </c>
    </row>
    <row r="931">
      <c r="A931" s="17">
        <f>IF($C931="","",ROW()-3)</f>
        <v/>
      </c>
      <c r="B931" s="18" t="n"/>
      <c r="C931" s="13" t="n"/>
      <c r="D931" s="13" t="n"/>
      <c r="E931" s="17">
        <f>IF($C931="","",IFERROR(VLOOKUP($D931,工作归属,2,0),"※工作类型没选"))</f>
        <v/>
      </c>
      <c r="F931" s="13" t="n"/>
      <c r="G931" s="13" t="n"/>
      <c r="H931" s="20" t="n"/>
      <c r="I931" s="14" t="n"/>
      <c r="J931" s="19">
        <f>IF($C931="","",ROUND(IF($H931="",1,$H931)*N($I931),2))</f>
        <v/>
      </c>
      <c r="K931" s="13" t="n"/>
      <c r="L931" s="13" t="n"/>
      <c r="M931" s="17">
        <f>IF($C931="","",IF(ISNA(MATCH($C931,项目名表,0)),"※项目不在项目台账里",IF($E931="※工作类型没选","※工作类型没选","")))</f>
        <v/>
      </c>
    </row>
    <row r="932">
      <c r="A932" s="17">
        <f>IF($C932="","",ROW()-3)</f>
        <v/>
      </c>
      <c r="B932" s="18" t="n"/>
      <c r="C932" s="13" t="n"/>
      <c r="D932" s="13" t="n"/>
      <c r="E932" s="17">
        <f>IF($C932="","",IFERROR(VLOOKUP($D932,工作归属,2,0),"※工作类型没选"))</f>
        <v/>
      </c>
      <c r="F932" s="13" t="n"/>
      <c r="G932" s="13" t="n"/>
      <c r="H932" s="20" t="n"/>
      <c r="I932" s="14" t="n"/>
      <c r="J932" s="19">
        <f>IF($C932="","",ROUND(IF($H932="",1,$H932)*N($I932),2))</f>
        <v/>
      </c>
      <c r="K932" s="13" t="n"/>
      <c r="L932" s="13" t="n"/>
      <c r="M932" s="17">
        <f>IF($C932="","",IF(ISNA(MATCH($C932,项目名表,0)),"※项目不在项目台账里",IF($E932="※工作类型没选","※工作类型没选","")))</f>
        <v/>
      </c>
    </row>
    <row r="933">
      <c r="A933" s="17">
        <f>IF($C933="","",ROW()-3)</f>
        <v/>
      </c>
      <c r="B933" s="18" t="n"/>
      <c r="C933" s="13" t="n"/>
      <c r="D933" s="13" t="n"/>
      <c r="E933" s="17">
        <f>IF($C933="","",IFERROR(VLOOKUP($D933,工作归属,2,0),"※工作类型没选"))</f>
        <v/>
      </c>
      <c r="F933" s="13" t="n"/>
      <c r="G933" s="13" t="n"/>
      <c r="H933" s="20" t="n"/>
      <c r="I933" s="14" t="n"/>
      <c r="J933" s="19">
        <f>IF($C933="","",ROUND(IF($H933="",1,$H933)*N($I933),2))</f>
        <v/>
      </c>
      <c r="K933" s="13" t="n"/>
      <c r="L933" s="13" t="n"/>
      <c r="M933" s="17">
        <f>IF($C933="","",IF(ISNA(MATCH($C933,项目名表,0)),"※项目不在项目台账里",IF($E933="※工作类型没选","※工作类型没选","")))</f>
        <v/>
      </c>
    </row>
    <row r="934">
      <c r="A934" s="17">
        <f>IF($C934="","",ROW()-3)</f>
        <v/>
      </c>
      <c r="B934" s="18" t="n"/>
      <c r="C934" s="13" t="n"/>
      <c r="D934" s="13" t="n"/>
      <c r="E934" s="17">
        <f>IF($C934="","",IFERROR(VLOOKUP($D934,工作归属,2,0),"※工作类型没选"))</f>
        <v/>
      </c>
      <c r="F934" s="13" t="n"/>
      <c r="G934" s="13" t="n"/>
      <c r="H934" s="20" t="n"/>
      <c r="I934" s="14" t="n"/>
      <c r="J934" s="19">
        <f>IF($C934="","",ROUND(IF($H934="",1,$H934)*N($I934),2))</f>
        <v/>
      </c>
      <c r="K934" s="13" t="n"/>
      <c r="L934" s="13" t="n"/>
      <c r="M934" s="17">
        <f>IF($C934="","",IF(ISNA(MATCH($C934,项目名表,0)),"※项目不在项目台账里",IF($E934="※工作类型没选","※工作类型没选","")))</f>
        <v/>
      </c>
    </row>
    <row r="935">
      <c r="A935" s="17">
        <f>IF($C935="","",ROW()-3)</f>
        <v/>
      </c>
      <c r="B935" s="18" t="n"/>
      <c r="C935" s="13" t="n"/>
      <c r="D935" s="13" t="n"/>
      <c r="E935" s="17">
        <f>IF($C935="","",IFERROR(VLOOKUP($D935,工作归属,2,0),"※工作类型没选"))</f>
        <v/>
      </c>
      <c r="F935" s="13" t="n"/>
      <c r="G935" s="13" t="n"/>
      <c r="H935" s="20" t="n"/>
      <c r="I935" s="14" t="n"/>
      <c r="J935" s="19">
        <f>IF($C935="","",ROUND(IF($H935="",1,$H935)*N($I935),2))</f>
        <v/>
      </c>
      <c r="K935" s="13" t="n"/>
      <c r="L935" s="13" t="n"/>
      <c r="M935" s="17">
        <f>IF($C935="","",IF(ISNA(MATCH($C935,项目名表,0)),"※项目不在项目台账里",IF($E935="※工作类型没选","※工作类型没选","")))</f>
        <v/>
      </c>
    </row>
    <row r="936">
      <c r="A936" s="17">
        <f>IF($C936="","",ROW()-3)</f>
        <v/>
      </c>
      <c r="B936" s="18" t="n"/>
      <c r="C936" s="13" t="n"/>
      <c r="D936" s="13" t="n"/>
      <c r="E936" s="17">
        <f>IF($C936="","",IFERROR(VLOOKUP($D936,工作归属,2,0),"※工作类型没选"))</f>
        <v/>
      </c>
      <c r="F936" s="13" t="n"/>
      <c r="G936" s="13" t="n"/>
      <c r="H936" s="20" t="n"/>
      <c r="I936" s="14" t="n"/>
      <c r="J936" s="19">
        <f>IF($C936="","",ROUND(IF($H936="",1,$H936)*N($I936),2))</f>
        <v/>
      </c>
      <c r="K936" s="13" t="n"/>
      <c r="L936" s="13" t="n"/>
      <c r="M936" s="17">
        <f>IF($C936="","",IF(ISNA(MATCH($C936,项目名表,0)),"※项目不在项目台账里",IF($E936="※工作类型没选","※工作类型没选","")))</f>
        <v/>
      </c>
    </row>
    <row r="937">
      <c r="A937" s="17">
        <f>IF($C937="","",ROW()-3)</f>
        <v/>
      </c>
      <c r="B937" s="18" t="n"/>
      <c r="C937" s="13" t="n"/>
      <c r="D937" s="13" t="n"/>
      <c r="E937" s="17">
        <f>IF($C937="","",IFERROR(VLOOKUP($D937,工作归属,2,0),"※工作类型没选"))</f>
        <v/>
      </c>
      <c r="F937" s="13" t="n"/>
      <c r="G937" s="13" t="n"/>
      <c r="H937" s="20" t="n"/>
      <c r="I937" s="14" t="n"/>
      <c r="J937" s="19">
        <f>IF($C937="","",ROUND(IF($H937="",1,$H937)*N($I937),2))</f>
        <v/>
      </c>
      <c r="K937" s="13" t="n"/>
      <c r="L937" s="13" t="n"/>
      <c r="M937" s="17">
        <f>IF($C937="","",IF(ISNA(MATCH($C937,项目名表,0)),"※项目不在项目台账里",IF($E937="※工作类型没选","※工作类型没选","")))</f>
        <v/>
      </c>
    </row>
    <row r="938">
      <c r="A938" s="17">
        <f>IF($C938="","",ROW()-3)</f>
        <v/>
      </c>
      <c r="B938" s="18" t="n"/>
      <c r="C938" s="13" t="n"/>
      <c r="D938" s="13" t="n"/>
      <c r="E938" s="17">
        <f>IF($C938="","",IFERROR(VLOOKUP($D938,工作归属,2,0),"※工作类型没选"))</f>
        <v/>
      </c>
      <c r="F938" s="13" t="n"/>
      <c r="G938" s="13" t="n"/>
      <c r="H938" s="20" t="n"/>
      <c r="I938" s="14" t="n"/>
      <c r="J938" s="19">
        <f>IF($C938="","",ROUND(IF($H938="",1,$H938)*N($I938),2))</f>
        <v/>
      </c>
      <c r="K938" s="13" t="n"/>
      <c r="L938" s="13" t="n"/>
      <c r="M938" s="17">
        <f>IF($C938="","",IF(ISNA(MATCH($C938,项目名表,0)),"※项目不在项目台账里",IF($E938="※工作类型没选","※工作类型没选","")))</f>
        <v/>
      </c>
    </row>
    <row r="939">
      <c r="A939" s="17">
        <f>IF($C939="","",ROW()-3)</f>
        <v/>
      </c>
      <c r="B939" s="18" t="n"/>
      <c r="C939" s="13" t="n"/>
      <c r="D939" s="13" t="n"/>
      <c r="E939" s="17">
        <f>IF($C939="","",IFERROR(VLOOKUP($D939,工作归属,2,0),"※工作类型没选"))</f>
        <v/>
      </c>
      <c r="F939" s="13" t="n"/>
      <c r="G939" s="13" t="n"/>
      <c r="H939" s="20" t="n"/>
      <c r="I939" s="14" t="n"/>
      <c r="J939" s="19">
        <f>IF($C939="","",ROUND(IF($H939="",1,$H939)*N($I939),2))</f>
        <v/>
      </c>
      <c r="K939" s="13" t="n"/>
      <c r="L939" s="13" t="n"/>
      <c r="M939" s="17">
        <f>IF($C939="","",IF(ISNA(MATCH($C939,项目名表,0)),"※项目不在项目台账里",IF($E939="※工作类型没选","※工作类型没选","")))</f>
        <v/>
      </c>
    </row>
    <row r="940">
      <c r="A940" s="17">
        <f>IF($C940="","",ROW()-3)</f>
        <v/>
      </c>
      <c r="B940" s="18" t="n"/>
      <c r="C940" s="13" t="n"/>
      <c r="D940" s="13" t="n"/>
      <c r="E940" s="17">
        <f>IF($C940="","",IFERROR(VLOOKUP($D940,工作归属,2,0),"※工作类型没选"))</f>
        <v/>
      </c>
      <c r="F940" s="13" t="n"/>
      <c r="G940" s="13" t="n"/>
      <c r="H940" s="20" t="n"/>
      <c r="I940" s="14" t="n"/>
      <c r="J940" s="19">
        <f>IF($C940="","",ROUND(IF($H940="",1,$H940)*N($I940),2))</f>
        <v/>
      </c>
      <c r="K940" s="13" t="n"/>
      <c r="L940" s="13" t="n"/>
      <c r="M940" s="17">
        <f>IF($C940="","",IF(ISNA(MATCH($C940,项目名表,0)),"※项目不在项目台账里",IF($E940="※工作类型没选","※工作类型没选","")))</f>
        <v/>
      </c>
    </row>
    <row r="941">
      <c r="A941" s="17">
        <f>IF($C941="","",ROW()-3)</f>
        <v/>
      </c>
      <c r="B941" s="18" t="n"/>
      <c r="C941" s="13" t="n"/>
      <c r="D941" s="13" t="n"/>
      <c r="E941" s="17">
        <f>IF($C941="","",IFERROR(VLOOKUP($D941,工作归属,2,0),"※工作类型没选"))</f>
        <v/>
      </c>
      <c r="F941" s="13" t="n"/>
      <c r="G941" s="13" t="n"/>
      <c r="H941" s="20" t="n"/>
      <c r="I941" s="14" t="n"/>
      <c r="J941" s="19">
        <f>IF($C941="","",ROUND(IF($H941="",1,$H941)*N($I941),2))</f>
        <v/>
      </c>
      <c r="K941" s="13" t="n"/>
      <c r="L941" s="13" t="n"/>
      <c r="M941" s="17">
        <f>IF($C941="","",IF(ISNA(MATCH($C941,项目名表,0)),"※项目不在项目台账里",IF($E941="※工作类型没选","※工作类型没选","")))</f>
        <v/>
      </c>
    </row>
    <row r="942">
      <c r="A942" s="17">
        <f>IF($C942="","",ROW()-3)</f>
        <v/>
      </c>
      <c r="B942" s="18" t="n"/>
      <c r="C942" s="13" t="n"/>
      <c r="D942" s="13" t="n"/>
      <c r="E942" s="17">
        <f>IF($C942="","",IFERROR(VLOOKUP($D942,工作归属,2,0),"※工作类型没选"))</f>
        <v/>
      </c>
      <c r="F942" s="13" t="n"/>
      <c r="G942" s="13" t="n"/>
      <c r="H942" s="20" t="n"/>
      <c r="I942" s="14" t="n"/>
      <c r="J942" s="19">
        <f>IF($C942="","",ROUND(IF($H942="",1,$H942)*N($I942),2))</f>
        <v/>
      </c>
      <c r="K942" s="13" t="n"/>
      <c r="L942" s="13" t="n"/>
      <c r="M942" s="17">
        <f>IF($C942="","",IF(ISNA(MATCH($C942,项目名表,0)),"※项目不在项目台账里",IF($E942="※工作类型没选","※工作类型没选","")))</f>
        <v/>
      </c>
    </row>
    <row r="943">
      <c r="A943" s="17">
        <f>IF($C943="","",ROW()-3)</f>
        <v/>
      </c>
      <c r="B943" s="18" t="n"/>
      <c r="C943" s="13" t="n"/>
      <c r="D943" s="13" t="n"/>
      <c r="E943" s="17">
        <f>IF($C943="","",IFERROR(VLOOKUP($D943,工作归属,2,0),"※工作类型没选"))</f>
        <v/>
      </c>
      <c r="F943" s="13" t="n"/>
      <c r="G943" s="13" t="n"/>
      <c r="H943" s="20" t="n"/>
      <c r="I943" s="14" t="n"/>
      <c r="J943" s="19">
        <f>IF($C943="","",ROUND(IF($H943="",1,$H943)*N($I943),2))</f>
        <v/>
      </c>
      <c r="K943" s="13" t="n"/>
      <c r="L943" s="13" t="n"/>
      <c r="M943" s="17">
        <f>IF($C943="","",IF(ISNA(MATCH($C943,项目名表,0)),"※项目不在项目台账里",IF($E943="※工作类型没选","※工作类型没选","")))</f>
        <v/>
      </c>
    </row>
    <row r="944">
      <c r="A944" s="17">
        <f>IF($C944="","",ROW()-3)</f>
        <v/>
      </c>
      <c r="B944" s="18" t="n"/>
      <c r="C944" s="13" t="n"/>
      <c r="D944" s="13" t="n"/>
      <c r="E944" s="17">
        <f>IF($C944="","",IFERROR(VLOOKUP($D944,工作归属,2,0),"※工作类型没选"))</f>
        <v/>
      </c>
      <c r="F944" s="13" t="n"/>
      <c r="G944" s="13" t="n"/>
      <c r="H944" s="20" t="n"/>
      <c r="I944" s="14" t="n"/>
      <c r="J944" s="19">
        <f>IF($C944="","",ROUND(IF($H944="",1,$H944)*N($I944),2))</f>
        <v/>
      </c>
      <c r="K944" s="13" t="n"/>
      <c r="L944" s="13" t="n"/>
      <c r="M944" s="17">
        <f>IF($C944="","",IF(ISNA(MATCH($C944,项目名表,0)),"※项目不在项目台账里",IF($E944="※工作类型没选","※工作类型没选","")))</f>
        <v/>
      </c>
    </row>
    <row r="945">
      <c r="A945" s="17">
        <f>IF($C945="","",ROW()-3)</f>
        <v/>
      </c>
      <c r="B945" s="18" t="n"/>
      <c r="C945" s="13" t="n"/>
      <c r="D945" s="13" t="n"/>
      <c r="E945" s="17">
        <f>IF($C945="","",IFERROR(VLOOKUP($D945,工作归属,2,0),"※工作类型没选"))</f>
        <v/>
      </c>
      <c r="F945" s="13" t="n"/>
      <c r="G945" s="13" t="n"/>
      <c r="H945" s="20" t="n"/>
      <c r="I945" s="14" t="n"/>
      <c r="J945" s="19">
        <f>IF($C945="","",ROUND(IF($H945="",1,$H945)*N($I945),2))</f>
        <v/>
      </c>
      <c r="K945" s="13" t="n"/>
      <c r="L945" s="13" t="n"/>
      <c r="M945" s="17">
        <f>IF($C945="","",IF(ISNA(MATCH($C945,项目名表,0)),"※项目不在项目台账里",IF($E945="※工作类型没选","※工作类型没选","")))</f>
        <v/>
      </c>
    </row>
    <row r="946">
      <c r="A946" s="17">
        <f>IF($C946="","",ROW()-3)</f>
        <v/>
      </c>
      <c r="B946" s="18" t="n"/>
      <c r="C946" s="13" t="n"/>
      <c r="D946" s="13" t="n"/>
      <c r="E946" s="17">
        <f>IF($C946="","",IFERROR(VLOOKUP($D946,工作归属,2,0),"※工作类型没选"))</f>
        <v/>
      </c>
      <c r="F946" s="13" t="n"/>
      <c r="G946" s="13" t="n"/>
      <c r="H946" s="20" t="n"/>
      <c r="I946" s="14" t="n"/>
      <c r="J946" s="19">
        <f>IF($C946="","",ROUND(IF($H946="",1,$H946)*N($I946),2))</f>
        <v/>
      </c>
      <c r="K946" s="13" t="n"/>
      <c r="L946" s="13" t="n"/>
      <c r="M946" s="17">
        <f>IF($C946="","",IF(ISNA(MATCH($C946,项目名表,0)),"※项目不在项目台账里",IF($E946="※工作类型没选","※工作类型没选","")))</f>
        <v/>
      </c>
    </row>
    <row r="947">
      <c r="A947" s="17">
        <f>IF($C947="","",ROW()-3)</f>
        <v/>
      </c>
      <c r="B947" s="18" t="n"/>
      <c r="C947" s="13" t="n"/>
      <c r="D947" s="13" t="n"/>
      <c r="E947" s="17">
        <f>IF($C947="","",IFERROR(VLOOKUP($D947,工作归属,2,0),"※工作类型没选"))</f>
        <v/>
      </c>
      <c r="F947" s="13" t="n"/>
      <c r="G947" s="13" t="n"/>
      <c r="H947" s="20" t="n"/>
      <c r="I947" s="14" t="n"/>
      <c r="J947" s="19">
        <f>IF($C947="","",ROUND(IF($H947="",1,$H947)*N($I947),2))</f>
        <v/>
      </c>
      <c r="K947" s="13" t="n"/>
      <c r="L947" s="13" t="n"/>
      <c r="M947" s="17">
        <f>IF($C947="","",IF(ISNA(MATCH($C947,项目名表,0)),"※项目不在项目台账里",IF($E947="※工作类型没选","※工作类型没选","")))</f>
        <v/>
      </c>
    </row>
    <row r="948">
      <c r="A948" s="17">
        <f>IF($C948="","",ROW()-3)</f>
        <v/>
      </c>
      <c r="B948" s="18" t="n"/>
      <c r="C948" s="13" t="n"/>
      <c r="D948" s="13" t="n"/>
      <c r="E948" s="17">
        <f>IF($C948="","",IFERROR(VLOOKUP($D948,工作归属,2,0),"※工作类型没选"))</f>
        <v/>
      </c>
      <c r="F948" s="13" t="n"/>
      <c r="G948" s="13" t="n"/>
      <c r="H948" s="20" t="n"/>
      <c r="I948" s="14" t="n"/>
      <c r="J948" s="19">
        <f>IF($C948="","",ROUND(IF($H948="",1,$H948)*N($I948),2))</f>
        <v/>
      </c>
      <c r="K948" s="13" t="n"/>
      <c r="L948" s="13" t="n"/>
      <c r="M948" s="17">
        <f>IF($C948="","",IF(ISNA(MATCH($C948,项目名表,0)),"※项目不在项目台账里",IF($E948="※工作类型没选","※工作类型没选","")))</f>
        <v/>
      </c>
    </row>
    <row r="949">
      <c r="A949" s="17">
        <f>IF($C949="","",ROW()-3)</f>
        <v/>
      </c>
      <c r="B949" s="18" t="n"/>
      <c r="C949" s="13" t="n"/>
      <c r="D949" s="13" t="n"/>
      <c r="E949" s="17">
        <f>IF($C949="","",IFERROR(VLOOKUP($D949,工作归属,2,0),"※工作类型没选"))</f>
        <v/>
      </c>
      <c r="F949" s="13" t="n"/>
      <c r="G949" s="13" t="n"/>
      <c r="H949" s="20" t="n"/>
      <c r="I949" s="14" t="n"/>
      <c r="J949" s="19">
        <f>IF($C949="","",ROUND(IF($H949="",1,$H949)*N($I949),2))</f>
        <v/>
      </c>
      <c r="K949" s="13" t="n"/>
      <c r="L949" s="13" t="n"/>
      <c r="M949" s="17">
        <f>IF($C949="","",IF(ISNA(MATCH($C949,项目名表,0)),"※项目不在项目台账里",IF($E949="※工作类型没选","※工作类型没选","")))</f>
        <v/>
      </c>
    </row>
    <row r="950">
      <c r="A950" s="17">
        <f>IF($C950="","",ROW()-3)</f>
        <v/>
      </c>
      <c r="B950" s="18" t="n"/>
      <c r="C950" s="13" t="n"/>
      <c r="D950" s="13" t="n"/>
      <c r="E950" s="17">
        <f>IF($C950="","",IFERROR(VLOOKUP($D950,工作归属,2,0),"※工作类型没选"))</f>
        <v/>
      </c>
      <c r="F950" s="13" t="n"/>
      <c r="G950" s="13" t="n"/>
      <c r="H950" s="20" t="n"/>
      <c r="I950" s="14" t="n"/>
      <c r="J950" s="19">
        <f>IF($C950="","",ROUND(IF($H950="",1,$H950)*N($I950),2))</f>
        <v/>
      </c>
      <c r="K950" s="13" t="n"/>
      <c r="L950" s="13" t="n"/>
      <c r="M950" s="17">
        <f>IF($C950="","",IF(ISNA(MATCH($C950,项目名表,0)),"※项目不在项目台账里",IF($E950="※工作类型没选","※工作类型没选","")))</f>
        <v/>
      </c>
    </row>
    <row r="951">
      <c r="A951" s="17">
        <f>IF($C951="","",ROW()-3)</f>
        <v/>
      </c>
      <c r="B951" s="18" t="n"/>
      <c r="C951" s="13" t="n"/>
      <c r="D951" s="13" t="n"/>
      <c r="E951" s="17">
        <f>IF($C951="","",IFERROR(VLOOKUP($D951,工作归属,2,0),"※工作类型没选"))</f>
        <v/>
      </c>
      <c r="F951" s="13" t="n"/>
      <c r="G951" s="13" t="n"/>
      <c r="H951" s="20" t="n"/>
      <c r="I951" s="14" t="n"/>
      <c r="J951" s="19">
        <f>IF($C951="","",ROUND(IF($H951="",1,$H951)*N($I951),2))</f>
        <v/>
      </c>
      <c r="K951" s="13" t="n"/>
      <c r="L951" s="13" t="n"/>
      <c r="M951" s="17">
        <f>IF($C951="","",IF(ISNA(MATCH($C951,项目名表,0)),"※项目不在项目台账里",IF($E951="※工作类型没选","※工作类型没选","")))</f>
        <v/>
      </c>
    </row>
    <row r="952">
      <c r="A952" s="17">
        <f>IF($C952="","",ROW()-3)</f>
        <v/>
      </c>
      <c r="B952" s="18" t="n"/>
      <c r="C952" s="13" t="n"/>
      <c r="D952" s="13" t="n"/>
      <c r="E952" s="17">
        <f>IF($C952="","",IFERROR(VLOOKUP($D952,工作归属,2,0),"※工作类型没选"))</f>
        <v/>
      </c>
      <c r="F952" s="13" t="n"/>
      <c r="G952" s="13" t="n"/>
      <c r="H952" s="20" t="n"/>
      <c r="I952" s="14" t="n"/>
      <c r="J952" s="19">
        <f>IF($C952="","",ROUND(IF($H952="",1,$H952)*N($I952),2))</f>
        <v/>
      </c>
      <c r="K952" s="13" t="n"/>
      <c r="L952" s="13" t="n"/>
      <c r="M952" s="17">
        <f>IF($C952="","",IF(ISNA(MATCH($C952,项目名表,0)),"※项目不在项目台账里",IF($E952="※工作类型没选","※工作类型没选","")))</f>
        <v/>
      </c>
    </row>
    <row r="953">
      <c r="A953" s="17">
        <f>IF($C953="","",ROW()-3)</f>
        <v/>
      </c>
      <c r="B953" s="18" t="n"/>
      <c r="C953" s="13" t="n"/>
      <c r="D953" s="13" t="n"/>
      <c r="E953" s="17">
        <f>IF($C953="","",IFERROR(VLOOKUP($D953,工作归属,2,0),"※工作类型没选"))</f>
        <v/>
      </c>
      <c r="F953" s="13" t="n"/>
      <c r="G953" s="13" t="n"/>
      <c r="H953" s="20" t="n"/>
      <c r="I953" s="14" t="n"/>
      <c r="J953" s="19">
        <f>IF($C953="","",ROUND(IF($H953="",1,$H953)*N($I953),2))</f>
        <v/>
      </c>
      <c r="K953" s="13" t="n"/>
      <c r="L953" s="13" t="n"/>
      <c r="M953" s="17">
        <f>IF($C953="","",IF(ISNA(MATCH($C953,项目名表,0)),"※项目不在项目台账里",IF($E953="※工作类型没选","※工作类型没选","")))</f>
        <v/>
      </c>
    </row>
    <row r="954">
      <c r="A954" s="17">
        <f>IF($C954="","",ROW()-3)</f>
        <v/>
      </c>
      <c r="B954" s="18" t="n"/>
      <c r="C954" s="13" t="n"/>
      <c r="D954" s="13" t="n"/>
      <c r="E954" s="17">
        <f>IF($C954="","",IFERROR(VLOOKUP($D954,工作归属,2,0),"※工作类型没选"))</f>
        <v/>
      </c>
      <c r="F954" s="13" t="n"/>
      <c r="G954" s="13" t="n"/>
      <c r="H954" s="20" t="n"/>
      <c r="I954" s="14" t="n"/>
      <c r="J954" s="19">
        <f>IF($C954="","",ROUND(IF($H954="",1,$H954)*N($I954),2))</f>
        <v/>
      </c>
      <c r="K954" s="13" t="n"/>
      <c r="L954" s="13" t="n"/>
      <c r="M954" s="17">
        <f>IF($C954="","",IF(ISNA(MATCH($C954,项目名表,0)),"※项目不在项目台账里",IF($E954="※工作类型没选","※工作类型没选","")))</f>
        <v/>
      </c>
    </row>
    <row r="955">
      <c r="A955" s="17">
        <f>IF($C955="","",ROW()-3)</f>
        <v/>
      </c>
      <c r="B955" s="18" t="n"/>
      <c r="C955" s="13" t="n"/>
      <c r="D955" s="13" t="n"/>
      <c r="E955" s="17">
        <f>IF($C955="","",IFERROR(VLOOKUP($D955,工作归属,2,0),"※工作类型没选"))</f>
        <v/>
      </c>
      <c r="F955" s="13" t="n"/>
      <c r="G955" s="13" t="n"/>
      <c r="H955" s="20" t="n"/>
      <c r="I955" s="14" t="n"/>
      <c r="J955" s="19">
        <f>IF($C955="","",ROUND(IF($H955="",1,$H955)*N($I955),2))</f>
        <v/>
      </c>
      <c r="K955" s="13" t="n"/>
      <c r="L955" s="13" t="n"/>
      <c r="M955" s="17">
        <f>IF($C955="","",IF(ISNA(MATCH($C955,项目名表,0)),"※项目不在项目台账里",IF($E955="※工作类型没选","※工作类型没选","")))</f>
        <v/>
      </c>
    </row>
    <row r="956">
      <c r="A956" s="17">
        <f>IF($C956="","",ROW()-3)</f>
        <v/>
      </c>
      <c r="B956" s="18" t="n"/>
      <c r="C956" s="13" t="n"/>
      <c r="D956" s="13" t="n"/>
      <c r="E956" s="17">
        <f>IF($C956="","",IFERROR(VLOOKUP($D956,工作归属,2,0),"※工作类型没选"))</f>
        <v/>
      </c>
      <c r="F956" s="13" t="n"/>
      <c r="G956" s="13" t="n"/>
      <c r="H956" s="20" t="n"/>
      <c r="I956" s="14" t="n"/>
      <c r="J956" s="19">
        <f>IF($C956="","",ROUND(IF($H956="",1,$H956)*N($I956),2))</f>
        <v/>
      </c>
      <c r="K956" s="13" t="n"/>
      <c r="L956" s="13" t="n"/>
      <c r="M956" s="17">
        <f>IF($C956="","",IF(ISNA(MATCH($C956,项目名表,0)),"※项目不在项目台账里",IF($E956="※工作类型没选","※工作类型没选","")))</f>
        <v/>
      </c>
    </row>
    <row r="957">
      <c r="A957" s="17">
        <f>IF($C957="","",ROW()-3)</f>
        <v/>
      </c>
      <c r="B957" s="18" t="n"/>
      <c r="C957" s="13" t="n"/>
      <c r="D957" s="13" t="n"/>
      <c r="E957" s="17">
        <f>IF($C957="","",IFERROR(VLOOKUP($D957,工作归属,2,0),"※工作类型没选"))</f>
        <v/>
      </c>
      <c r="F957" s="13" t="n"/>
      <c r="G957" s="13" t="n"/>
      <c r="H957" s="20" t="n"/>
      <c r="I957" s="14" t="n"/>
      <c r="J957" s="19">
        <f>IF($C957="","",ROUND(IF($H957="",1,$H957)*N($I957),2))</f>
        <v/>
      </c>
      <c r="K957" s="13" t="n"/>
      <c r="L957" s="13" t="n"/>
      <c r="M957" s="17">
        <f>IF($C957="","",IF(ISNA(MATCH($C957,项目名表,0)),"※项目不在项目台账里",IF($E957="※工作类型没选","※工作类型没选","")))</f>
        <v/>
      </c>
    </row>
    <row r="958">
      <c r="A958" s="17">
        <f>IF($C958="","",ROW()-3)</f>
        <v/>
      </c>
      <c r="B958" s="18" t="n"/>
      <c r="C958" s="13" t="n"/>
      <c r="D958" s="13" t="n"/>
      <c r="E958" s="17">
        <f>IF($C958="","",IFERROR(VLOOKUP($D958,工作归属,2,0),"※工作类型没选"))</f>
        <v/>
      </c>
      <c r="F958" s="13" t="n"/>
      <c r="G958" s="13" t="n"/>
      <c r="H958" s="20" t="n"/>
      <c r="I958" s="14" t="n"/>
      <c r="J958" s="19">
        <f>IF($C958="","",ROUND(IF($H958="",1,$H958)*N($I958),2))</f>
        <v/>
      </c>
      <c r="K958" s="13" t="n"/>
      <c r="L958" s="13" t="n"/>
      <c r="M958" s="17">
        <f>IF($C958="","",IF(ISNA(MATCH($C958,项目名表,0)),"※项目不在项目台账里",IF($E958="※工作类型没选","※工作类型没选","")))</f>
        <v/>
      </c>
    </row>
    <row r="959">
      <c r="A959" s="17">
        <f>IF($C959="","",ROW()-3)</f>
        <v/>
      </c>
      <c r="B959" s="18" t="n"/>
      <c r="C959" s="13" t="n"/>
      <c r="D959" s="13" t="n"/>
      <c r="E959" s="17">
        <f>IF($C959="","",IFERROR(VLOOKUP($D959,工作归属,2,0),"※工作类型没选"))</f>
        <v/>
      </c>
      <c r="F959" s="13" t="n"/>
      <c r="G959" s="13" t="n"/>
      <c r="H959" s="20" t="n"/>
      <c r="I959" s="14" t="n"/>
      <c r="J959" s="19">
        <f>IF($C959="","",ROUND(IF($H959="",1,$H959)*N($I959),2))</f>
        <v/>
      </c>
      <c r="K959" s="13" t="n"/>
      <c r="L959" s="13" t="n"/>
      <c r="M959" s="17">
        <f>IF($C959="","",IF(ISNA(MATCH($C959,项目名表,0)),"※项目不在项目台账里",IF($E959="※工作类型没选","※工作类型没选","")))</f>
        <v/>
      </c>
    </row>
    <row r="960">
      <c r="A960" s="17">
        <f>IF($C960="","",ROW()-3)</f>
        <v/>
      </c>
      <c r="B960" s="18" t="n"/>
      <c r="C960" s="13" t="n"/>
      <c r="D960" s="13" t="n"/>
      <c r="E960" s="17">
        <f>IF($C960="","",IFERROR(VLOOKUP($D960,工作归属,2,0),"※工作类型没选"))</f>
        <v/>
      </c>
      <c r="F960" s="13" t="n"/>
      <c r="G960" s="13" t="n"/>
      <c r="H960" s="20" t="n"/>
      <c r="I960" s="14" t="n"/>
      <c r="J960" s="19">
        <f>IF($C960="","",ROUND(IF($H960="",1,$H960)*N($I960),2))</f>
        <v/>
      </c>
      <c r="K960" s="13" t="n"/>
      <c r="L960" s="13" t="n"/>
      <c r="M960" s="17">
        <f>IF($C960="","",IF(ISNA(MATCH($C960,项目名表,0)),"※项目不在项目台账里",IF($E960="※工作类型没选","※工作类型没选","")))</f>
        <v/>
      </c>
    </row>
    <row r="961">
      <c r="A961" s="17">
        <f>IF($C961="","",ROW()-3)</f>
        <v/>
      </c>
      <c r="B961" s="18" t="n"/>
      <c r="C961" s="13" t="n"/>
      <c r="D961" s="13" t="n"/>
      <c r="E961" s="17">
        <f>IF($C961="","",IFERROR(VLOOKUP($D961,工作归属,2,0),"※工作类型没选"))</f>
        <v/>
      </c>
      <c r="F961" s="13" t="n"/>
      <c r="G961" s="13" t="n"/>
      <c r="H961" s="20" t="n"/>
      <c r="I961" s="14" t="n"/>
      <c r="J961" s="19">
        <f>IF($C961="","",ROUND(IF($H961="",1,$H961)*N($I961),2))</f>
        <v/>
      </c>
      <c r="K961" s="13" t="n"/>
      <c r="L961" s="13" t="n"/>
      <c r="M961" s="17">
        <f>IF($C961="","",IF(ISNA(MATCH($C961,项目名表,0)),"※项目不在项目台账里",IF($E961="※工作类型没选","※工作类型没选","")))</f>
        <v/>
      </c>
    </row>
    <row r="962">
      <c r="A962" s="17">
        <f>IF($C962="","",ROW()-3)</f>
        <v/>
      </c>
      <c r="B962" s="18" t="n"/>
      <c r="C962" s="13" t="n"/>
      <c r="D962" s="13" t="n"/>
      <c r="E962" s="17">
        <f>IF($C962="","",IFERROR(VLOOKUP($D962,工作归属,2,0),"※工作类型没选"))</f>
        <v/>
      </c>
      <c r="F962" s="13" t="n"/>
      <c r="G962" s="13" t="n"/>
      <c r="H962" s="20" t="n"/>
      <c r="I962" s="14" t="n"/>
      <c r="J962" s="19">
        <f>IF($C962="","",ROUND(IF($H962="",1,$H962)*N($I962),2))</f>
        <v/>
      </c>
      <c r="K962" s="13" t="n"/>
      <c r="L962" s="13" t="n"/>
      <c r="M962" s="17">
        <f>IF($C962="","",IF(ISNA(MATCH($C962,项目名表,0)),"※项目不在项目台账里",IF($E962="※工作类型没选","※工作类型没选","")))</f>
        <v/>
      </c>
    </row>
    <row r="963">
      <c r="A963" s="17">
        <f>IF($C963="","",ROW()-3)</f>
        <v/>
      </c>
      <c r="B963" s="18" t="n"/>
      <c r="C963" s="13" t="n"/>
      <c r="D963" s="13" t="n"/>
      <c r="E963" s="17">
        <f>IF($C963="","",IFERROR(VLOOKUP($D963,工作归属,2,0),"※工作类型没选"))</f>
        <v/>
      </c>
      <c r="F963" s="13" t="n"/>
      <c r="G963" s="13" t="n"/>
      <c r="H963" s="20" t="n"/>
      <c r="I963" s="14" t="n"/>
      <c r="J963" s="19">
        <f>IF($C963="","",ROUND(IF($H963="",1,$H963)*N($I963),2))</f>
        <v/>
      </c>
      <c r="K963" s="13" t="n"/>
      <c r="L963" s="13" t="n"/>
      <c r="M963" s="17">
        <f>IF($C963="","",IF(ISNA(MATCH($C963,项目名表,0)),"※项目不在项目台账里",IF($E963="※工作类型没选","※工作类型没选","")))</f>
        <v/>
      </c>
    </row>
    <row r="964">
      <c r="A964" s="17">
        <f>IF($C964="","",ROW()-3)</f>
        <v/>
      </c>
      <c r="B964" s="18" t="n"/>
      <c r="C964" s="13" t="n"/>
      <c r="D964" s="13" t="n"/>
      <c r="E964" s="17">
        <f>IF($C964="","",IFERROR(VLOOKUP($D964,工作归属,2,0),"※工作类型没选"))</f>
        <v/>
      </c>
      <c r="F964" s="13" t="n"/>
      <c r="G964" s="13" t="n"/>
      <c r="H964" s="20" t="n"/>
      <c r="I964" s="14" t="n"/>
      <c r="J964" s="19">
        <f>IF($C964="","",ROUND(IF($H964="",1,$H964)*N($I964),2))</f>
        <v/>
      </c>
      <c r="K964" s="13" t="n"/>
      <c r="L964" s="13" t="n"/>
      <c r="M964" s="17">
        <f>IF($C964="","",IF(ISNA(MATCH($C964,项目名表,0)),"※项目不在项目台账里",IF($E964="※工作类型没选","※工作类型没选","")))</f>
        <v/>
      </c>
    </row>
    <row r="965">
      <c r="A965" s="17">
        <f>IF($C965="","",ROW()-3)</f>
        <v/>
      </c>
      <c r="B965" s="18" t="n"/>
      <c r="C965" s="13" t="n"/>
      <c r="D965" s="13" t="n"/>
      <c r="E965" s="17">
        <f>IF($C965="","",IFERROR(VLOOKUP($D965,工作归属,2,0),"※工作类型没选"))</f>
        <v/>
      </c>
      <c r="F965" s="13" t="n"/>
      <c r="G965" s="13" t="n"/>
      <c r="H965" s="20" t="n"/>
      <c r="I965" s="14" t="n"/>
      <c r="J965" s="19">
        <f>IF($C965="","",ROUND(IF($H965="",1,$H965)*N($I965),2))</f>
        <v/>
      </c>
      <c r="K965" s="13" t="n"/>
      <c r="L965" s="13" t="n"/>
      <c r="M965" s="17">
        <f>IF($C965="","",IF(ISNA(MATCH($C965,项目名表,0)),"※项目不在项目台账里",IF($E965="※工作类型没选","※工作类型没选","")))</f>
        <v/>
      </c>
    </row>
    <row r="966">
      <c r="A966" s="17">
        <f>IF($C966="","",ROW()-3)</f>
        <v/>
      </c>
      <c r="B966" s="18" t="n"/>
      <c r="C966" s="13" t="n"/>
      <c r="D966" s="13" t="n"/>
      <c r="E966" s="17">
        <f>IF($C966="","",IFERROR(VLOOKUP($D966,工作归属,2,0),"※工作类型没选"))</f>
        <v/>
      </c>
      <c r="F966" s="13" t="n"/>
      <c r="G966" s="13" t="n"/>
      <c r="H966" s="20" t="n"/>
      <c r="I966" s="14" t="n"/>
      <c r="J966" s="19">
        <f>IF($C966="","",ROUND(IF($H966="",1,$H966)*N($I966),2))</f>
        <v/>
      </c>
      <c r="K966" s="13" t="n"/>
      <c r="L966" s="13" t="n"/>
      <c r="M966" s="17">
        <f>IF($C966="","",IF(ISNA(MATCH($C966,项目名表,0)),"※项目不在项目台账里",IF($E966="※工作类型没选","※工作类型没选","")))</f>
        <v/>
      </c>
    </row>
    <row r="967">
      <c r="A967" s="17">
        <f>IF($C967="","",ROW()-3)</f>
        <v/>
      </c>
      <c r="B967" s="18" t="n"/>
      <c r="C967" s="13" t="n"/>
      <c r="D967" s="13" t="n"/>
      <c r="E967" s="17">
        <f>IF($C967="","",IFERROR(VLOOKUP($D967,工作归属,2,0),"※工作类型没选"))</f>
        <v/>
      </c>
      <c r="F967" s="13" t="n"/>
      <c r="G967" s="13" t="n"/>
      <c r="H967" s="20" t="n"/>
      <c r="I967" s="14" t="n"/>
      <c r="J967" s="19">
        <f>IF($C967="","",ROUND(IF($H967="",1,$H967)*N($I967),2))</f>
        <v/>
      </c>
      <c r="K967" s="13" t="n"/>
      <c r="L967" s="13" t="n"/>
      <c r="M967" s="17">
        <f>IF($C967="","",IF(ISNA(MATCH($C967,项目名表,0)),"※项目不在项目台账里",IF($E967="※工作类型没选","※工作类型没选","")))</f>
        <v/>
      </c>
    </row>
    <row r="968">
      <c r="A968" s="17">
        <f>IF($C968="","",ROW()-3)</f>
        <v/>
      </c>
      <c r="B968" s="18" t="n"/>
      <c r="C968" s="13" t="n"/>
      <c r="D968" s="13" t="n"/>
      <c r="E968" s="17">
        <f>IF($C968="","",IFERROR(VLOOKUP($D968,工作归属,2,0),"※工作类型没选"))</f>
        <v/>
      </c>
      <c r="F968" s="13" t="n"/>
      <c r="G968" s="13" t="n"/>
      <c r="H968" s="20" t="n"/>
      <c r="I968" s="14" t="n"/>
      <c r="J968" s="19">
        <f>IF($C968="","",ROUND(IF($H968="",1,$H968)*N($I968),2))</f>
        <v/>
      </c>
      <c r="K968" s="13" t="n"/>
      <c r="L968" s="13" t="n"/>
      <c r="M968" s="17">
        <f>IF($C968="","",IF(ISNA(MATCH($C968,项目名表,0)),"※项目不在项目台账里",IF($E968="※工作类型没选","※工作类型没选","")))</f>
        <v/>
      </c>
    </row>
    <row r="969">
      <c r="A969" s="17">
        <f>IF($C969="","",ROW()-3)</f>
        <v/>
      </c>
      <c r="B969" s="18" t="n"/>
      <c r="C969" s="13" t="n"/>
      <c r="D969" s="13" t="n"/>
      <c r="E969" s="17">
        <f>IF($C969="","",IFERROR(VLOOKUP($D969,工作归属,2,0),"※工作类型没选"))</f>
        <v/>
      </c>
      <c r="F969" s="13" t="n"/>
      <c r="G969" s="13" t="n"/>
      <c r="H969" s="20" t="n"/>
      <c r="I969" s="14" t="n"/>
      <c r="J969" s="19">
        <f>IF($C969="","",ROUND(IF($H969="",1,$H969)*N($I969),2))</f>
        <v/>
      </c>
      <c r="K969" s="13" t="n"/>
      <c r="L969" s="13" t="n"/>
      <c r="M969" s="17">
        <f>IF($C969="","",IF(ISNA(MATCH($C969,项目名表,0)),"※项目不在项目台账里",IF($E969="※工作类型没选","※工作类型没选","")))</f>
        <v/>
      </c>
    </row>
    <row r="970">
      <c r="A970" s="17">
        <f>IF($C970="","",ROW()-3)</f>
        <v/>
      </c>
      <c r="B970" s="18" t="n"/>
      <c r="C970" s="13" t="n"/>
      <c r="D970" s="13" t="n"/>
      <c r="E970" s="17">
        <f>IF($C970="","",IFERROR(VLOOKUP($D970,工作归属,2,0),"※工作类型没选"))</f>
        <v/>
      </c>
      <c r="F970" s="13" t="n"/>
      <c r="G970" s="13" t="n"/>
      <c r="H970" s="20" t="n"/>
      <c r="I970" s="14" t="n"/>
      <c r="J970" s="19">
        <f>IF($C970="","",ROUND(IF($H970="",1,$H970)*N($I970),2))</f>
        <v/>
      </c>
      <c r="K970" s="13" t="n"/>
      <c r="L970" s="13" t="n"/>
      <c r="M970" s="17">
        <f>IF($C970="","",IF(ISNA(MATCH($C970,项目名表,0)),"※项目不在项目台账里",IF($E970="※工作类型没选","※工作类型没选","")))</f>
        <v/>
      </c>
    </row>
    <row r="971">
      <c r="A971" s="17">
        <f>IF($C971="","",ROW()-3)</f>
        <v/>
      </c>
      <c r="B971" s="18" t="n"/>
      <c r="C971" s="13" t="n"/>
      <c r="D971" s="13" t="n"/>
      <c r="E971" s="17">
        <f>IF($C971="","",IFERROR(VLOOKUP($D971,工作归属,2,0),"※工作类型没选"))</f>
        <v/>
      </c>
      <c r="F971" s="13" t="n"/>
      <c r="G971" s="13" t="n"/>
      <c r="H971" s="20" t="n"/>
      <c r="I971" s="14" t="n"/>
      <c r="J971" s="19">
        <f>IF($C971="","",ROUND(IF($H971="",1,$H971)*N($I971),2))</f>
        <v/>
      </c>
      <c r="K971" s="13" t="n"/>
      <c r="L971" s="13" t="n"/>
      <c r="M971" s="17">
        <f>IF($C971="","",IF(ISNA(MATCH($C971,项目名表,0)),"※项目不在项目台账里",IF($E971="※工作类型没选","※工作类型没选","")))</f>
        <v/>
      </c>
    </row>
    <row r="972">
      <c r="A972" s="17">
        <f>IF($C972="","",ROW()-3)</f>
        <v/>
      </c>
      <c r="B972" s="18" t="n"/>
      <c r="C972" s="13" t="n"/>
      <c r="D972" s="13" t="n"/>
      <c r="E972" s="17">
        <f>IF($C972="","",IFERROR(VLOOKUP($D972,工作归属,2,0),"※工作类型没选"))</f>
        <v/>
      </c>
      <c r="F972" s="13" t="n"/>
      <c r="G972" s="13" t="n"/>
      <c r="H972" s="20" t="n"/>
      <c r="I972" s="14" t="n"/>
      <c r="J972" s="19">
        <f>IF($C972="","",ROUND(IF($H972="",1,$H972)*N($I972),2))</f>
        <v/>
      </c>
      <c r="K972" s="13" t="n"/>
      <c r="L972" s="13" t="n"/>
      <c r="M972" s="17">
        <f>IF($C972="","",IF(ISNA(MATCH($C972,项目名表,0)),"※项目不在项目台账里",IF($E972="※工作类型没选","※工作类型没选","")))</f>
        <v/>
      </c>
    </row>
    <row r="973">
      <c r="A973" s="17">
        <f>IF($C973="","",ROW()-3)</f>
        <v/>
      </c>
      <c r="B973" s="18" t="n"/>
      <c r="C973" s="13" t="n"/>
      <c r="D973" s="13" t="n"/>
      <c r="E973" s="17">
        <f>IF($C973="","",IFERROR(VLOOKUP($D973,工作归属,2,0),"※工作类型没选"))</f>
        <v/>
      </c>
      <c r="F973" s="13" t="n"/>
      <c r="G973" s="13" t="n"/>
      <c r="H973" s="20" t="n"/>
      <c r="I973" s="14" t="n"/>
      <c r="J973" s="19">
        <f>IF($C973="","",ROUND(IF($H973="",1,$H973)*N($I973),2))</f>
        <v/>
      </c>
      <c r="K973" s="13" t="n"/>
      <c r="L973" s="13" t="n"/>
      <c r="M973" s="17">
        <f>IF($C973="","",IF(ISNA(MATCH($C973,项目名表,0)),"※项目不在项目台账里",IF($E973="※工作类型没选","※工作类型没选","")))</f>
        <v/>
      </c>
    </row>
    <row r="974">
      <c r="A974" s="17">
        <f>IF($C974="","",ROW()-3)</f>
        <v/>
      </c>
      <c r="B974" s="18" t="n"/>
      <c r="C974" s="13" t="n"/>
      <c r="D974" s="13" t="n"/>
      <c r="E974" s="17">
        <f>IF($C974="","",IFERROR(VLOOKUP($D974,工作归属,2,0),"※工作类型没选"))</f>
        <v/>
      </c>
      <c r="F974" s="13" t="n"/>
      <c r="G974" s="13" t="n"/>
      <c r="H974" s="20" t="n"/>
      <c r="I974" s="14" t="n"/>
      <c r="J974" s="19">
        <f>IF($C974="","",ROUND(IF($H974="",1,$H974)*N($I974),2))</f>
        <v/>
      </c>
      <c r="K974" s="13" t="n"/>
      <c r="L974" s="13" t="n"/>
      <c r="M974" s="17">
        <f>IF($C974="","",IF(ISNA(MATCH($C974,项目名表,0)),"※项目不在项目台账里",IF($E974="※工作类型没选","※工作类型没选","")))</f>
        <v/>
      </c>
    </row>
    <row r="975">
      <c r="A975" s="17">
        <f>IF($C975="","",ROW()-3)</f>
        <v/>
      </c>
      <c r="B975" s="18" t="n"/>
      <c r="C975" s="13" t="n"/>
      <c r="D975" s="13" t="n"/>
      <c r="E975" s="17">
        <f>IF($C975="","",IFERROR(VLOOKUP($D975,工作归属,2,0),"※工作类型没选"))</f>
        <v/>
      </c>
      <c r="F975" s="13" t="n"/>
      <c r="G975" s="13" t="n"/>
      <c r="H975" s="20" t="n"/>
      <c r="I975" s="14" t="n"/>
      <c r="J975" s="19">
        <f>IF($C975="","",ROUND(IF($H975="",1,$H975)*N($I975),2))</f>
        <v/>
      </c>
      <c r="K975" s="13" t="n"/>
      <c r="L975" s="13" t="n"/>
      <c r="M975" s="17">
        <f>IF($C975="","",IF(ISNA(MATCH($C975,项目名表,0)),"※项目不在项目台账里",IF($E975="※工作类型没选","※工作类型没选","")))</f>
        <v/>
      </c>
    </row>
    <row r="976">
      <c r="A976" s="17">
        <f>IF($C976="","",ROW()-3)</f>
        <v/>
      </c>
      <c r="B976" s="18" t="n"/>
      <c r="C976" s="13" t="n"/>
      <c r="D976" s="13" t="n"/>
      <c r="E976" s="17">
        <f>IF($C976="","",IFERROR(VLOOKUP($D976,工作归属,2,0),"※工作类型没选"))</f>
        <v/>
      </c>
      <c r="F976" s="13" t="n"/>
      <c r="G976" s="13" t="n"/>
      <c r="H976" s="20" t="n"/>
      <c r="I976" s="14" t="n"/>
      <c r="J976" s="19">
        <f>IF($C976="","",ROUND(IF($H976="",1,$H976)*N($I976),2))</f>
        <v/>
      </c>
      <c r="K976" s="13" t="n"/>
      <c r="L976" s="13" t="n"/>
      <c r="M976" s="17">
        <f>IF($C976="","",IF(ISNA(MATCH($C976,项目名表,0)),"※项目不在项目台账里",IF($E976="※工作类型没选","※工作类型没选","")))</f>
        <v/>
      </c>
    </row>
    <row r="977">
      <c r="A977" s="17">
        <f>IF($C977="","",ROW()-3)</f>
        <v/>
      </c>
      <c r="B977" s="18" t="n"/>
      <c r="C977" s="13" t="n"/>
      <c r="D977" s="13" t="n"/>
      <c r="E977" s="17">
        <f>IF($C977="","",IFERROR(VLOOKUP($D977,工作归属,2,0),"※工作类型没选"))</f>
        <v/>
      </c>
      <c r="F977" s="13" t="n"/>
      <c r="G977" s="13" t="n"/>
      <c r="H977" s="20" t="n"/>
      <c r="I977" s="14" t="n"/>
      <c r="J977" s="19">
        <f>IF($C977="","",ROUND(IF($H977="",1,$H977)*N($I977),2))</f>
        <v/>
      </c>
      <c r="K977" s="13" t="n"/>
      <c r="L977" s="13" t="n"/>
      <c r="M977" s="17">
        <f>IF($C977="","",IF(ISNA(MATCH($C977,项目名表,0)),"※项目不在项目台账里",IF($E977="※工作类型没选","※工作类型没选","")))</f>
        <v/>
      </c>
    </row>
    <row r="978">
      <c r="A978" s="17">
        <f>IF($C978="","",ROW()-3)</f>
        <v/>
      </c>
      <c r="B978" s="18" t="n"/>
      <c r="C978" s="13" t="n"/>
      <c r="D978" s="13" t="n"/>
      <c r="E978" s="17">
        <f>IF($C978="","",IFERROR(VLOOKUP($D978,工作归属,2,0),"※工作类型没选"))</f>
        <v/>
      </c>
      <c r="F978" s="13" t="n"/>
      <c r="G978" s="13" t="n"/>
      <c r="H978" s="20" t="n"/>
      <c r="I978" s="14" t="n"/>
      <c r="J978" s="19">
        <f>IF($C978="","",ROUND(IF($H978="",1,$H978)*N($I978),2))</f>
        <v/>
      </c>
      <c r="K978" s="13" t="n"/>
      <c r="L978" s="13" t="n"/>
      <c r="M978" s="17">
        <f>IF($C978="","",IF(ISNA(MATCH($C978,项目名表,0)),"※项目不在项目台账里",IF($E978="※工作类型没选","※工作类型没选","")))</f>
        <v/>
      </c>
    </row>
    <row r="979">
      <c r="A979" s="17">
        <f>IF($C979="","",ROW()-3)</f>
        <v/>
      </c>
      <c r="B979" s="18" t="n"/>
      <c r="C979" s="13" t="n"/>
      <c r="D979" s="13" t="n"/>
      <c r="E979" s="17">
        <f>IF($C979="","",IFERROR(VLOOKUP($D979,工作归属,2,0),"※工作类型没选"))</f>
        <v/>
      </c>
      <c r="F979" s="13" t="n"/>
      <c r="G979" s="13" t="n"/>
      <c r="H979" s="20" t="n"/>
      <c r="I979" s="14" t="n"/>
      <c r="J979" s="19">
        <f>IF($C979="","",ROUND(IF($H979="",1,$H979)*N($I979),2))</f>
        <v/>
      </c>
      <c r="K979" s="13" t="n"/>
      <c r="L979" s="13" t="n"/>
      <c r="M979" s="17">
        <f>IF($C979="","",IF(ISNA(MATCH($C979,项目名表,0)),"※项目不在项目台账里",IF($E979="※工作类型没选","※工作类型没选","")))</f>
        <v/>
      </c>
    </row>
    <row r="980">
      <c r="A980" s="17">
        <f>IF($C980="","",ROW()-3)</f>
        <v/>
      </c>
      <c r="B980" s="18" t="n"/>
      <c r="C980" s="13" t="n"/>
      <c r="D980" s="13" t="n"/>
      <c r="E980" s="17">
        <f>IF($C980="","",IFERROR(VLOOKUP($D980,工作归属,2,0),"※工作类型没选"))</f>
        <v/>
      </c>
      <c r="F980" s="13" t="n"/>
      <c r="G980" s="13" t="n"/>
      <c r="H980" s="20" t="n"/>
      <c r="I980" s="14" t="n"/>
      <c r="J980" s="19">
        <f>IF($C980="","",ROUND(IF($H980="",1,$H980)*N($I980),2))</f>
        <v/>
      </c>
      <c r="K980" s="13" t="n"/>
      <c r="L980" s="13" t="n"/>
      <c r="M980" s="17">
        <f>IF($C980="","",IF(ISNA(MATCH($C980,项目名表,0)),"※项目不在项目台账里",IF($E980="※工作类型没选","※工作类型没选","")))</f>
        <v/>
      </c>
    </row>
    <row r="981">
      <c r="A981" s="17">
        <f>IF($C981="","",ROW()-3)</f>
        <v/>
      </c>
      <c r="B981" s="18" t="n"/>
      <c r="C981" s="13" t="n"/>
      <c r="D981" s="13" t="n"/>
      <c r="E981" s="17">
        <f>IF($C981="","",IFERROR(VLOOKUP($D981,工作归属,2,0),"※工作类型没选"))</f>
        <v/>
      </c>
      <c r="F981" s="13" t="n"/>
      <c r="G981" s="13" t="n"/>
      <c r="H981" s="20" t="n"/>
      <c r="I981" s="14" t="n"/>
      <c r="J981" s="19">
        <f>IF($C981="","",ROUND(IF($H981="",1,$H981)*N($I981),2))</f>
        <v/>
      </c>
      <c r="K981" s="13" t="n"/>
      <c r="L981" s="13" t="n"/>
      <c r="M981" s="17">
        <f>IF($C981="","",IF(ISNA(MATCH($C981,项目名表,0)),"※项目不在项目台账里",IF($E981="※工作类型没选","※工作类型没选","")))</f>
        <v/>
      </c>
    </row>
    <row r="982">
      <c r="A982" s="17">
        <f>IF($C982="","",ROW()-3)</f>
        <v/>
      </c>
      <c r="B982" s="18" t="n"/>
      <c r="C982" s="13" t="n"/>
      <c r="D982" s="13" t="n"/>
      <c r="E982" s="17">
        <f>IF($C982="","",IFERROR(VLOOKUP($D982,工作归属,2,0),"※工作类型没选"))</f>
        <v/>
      </c>
      <c r="F982" s="13" t="n"/>
      <c r="G982" s="13" t="n"/>
      <c r="H982" s="20" t="n"/>
      <c r="I982" s="14" t="n"/>
      <c r="J982" s="19">
        <f>IF($C982="","",ROUND(IF($H982="",1,$H982)*N($I982),2))</f>
        <v/>
      </c>
      <c r="K982" s="13" t="n"/>
      <c r="L982" s="13" t="n"/>
      <c r="M982" s="17">
        <f>IF($C982="","",IF(ISNA(MATCH($C982,项目名表,0)),"※项目不在项目台账里",IF($E982="※工作类型没选","※工作类型没选","")))</f>
        <v/>
      </c>
    </row>
    <row r="983">
      <c r="A983" s="17">
        <f>IF($C983="","",ROW()-3)</f>
        <v/>
      </c>
      <c r="B983" s="18" t="n"/>
      <c r="C983" s="13" t="n"/>
      <c r="D983" s="13" t="n"/>
      <c r="E983" s="17">
        <f>IF($C983="","",IFERROR(VLOOKUP($D983,工作归属,2,0),"※工作类型没选"))</f>
        <v/>
      </c>
      <c r="F983" s="13" t="n"/>
      <c r="G983" s="13" t="n"/>
      <c r="H983" s="20" t="n"/>
      <c r="I983" s="14" t="n"/>
      <c r="J983" s="19">
        <f>IF($C983="","",ROUND(IF($H983="",1,$H983)*N($I983),2))</f>
        <v/>
      </c>
      <c r="K983" s="13" t="n"/>
      <c r="L983" s="13" t="n"/>
      <c r="M983" s="17">
        <f>IF($C983="","",IF(ISNA(MATCH($C983,项目名表,0)),"※项目不在项目台账里",IF($E983="※工作类型没选","※工作类型没选","")))</f>
        <v/>
      </c>
    </row>
    <row r="984">
      <c r="A984" s="17">
        <f>IF($C984="","",ROW()-3)</f>
        <v/>
      </c>
      <c r="B984" s="18" t="n"/>
      <c r="C984" s="13" t="n"/>
      <c r="D984" s="13" t="n"/>
      <c r="E984" s="17">
        <f>IF($C984="","",IFERROR(VLOOKUP($D984,工作归属,2,0),"※工作类型没选"))</f>
        <v/>
      </c>
      <c r="F984" s="13" t="n"/>
      <c r="G984" s="13" t="n"/>
      <c r="H984" s="20" t="n"/>
      <c r="I984" s="14" t="n"/>
      <c r="J984" s="19">
        <f>IF($C984="","",ROUND(IF($H984="",1,$H984)*N($I984),2))</f>
        <v/>
      </c>
      <c r="K984" s="13" t="n"/>
      <c r="L984" s="13" t="n"/>
      <c r="M984" s="17">
        <f>IF($C984="","",IF(ISNA(MATCH($C984,项目名表,0)),"※项目不在项目台账里",IF($E984="※工作类型没选","※工作类型没选","")))</f>
        <v/>
      </c>
    </row>
    <row r="985">
      <c r="A985" s="17">
        <f>IF($C985="","",ROW()-3)</f>
        <v/>
      </c>
      <c r="B985" s="18" t="n"/>
      <c r="C985" s="13" t="n"/>
      <c r="D985" s="13" t="n"/>
      <c r="E985" s="17">
        <f>IF($C985="","",IFERROR(VLOOKUP($D985,工作归属,2,0),"※工作类型没选"))</f>
        <v/>
      </c>
      <c r="F985" s="13" t="n"/>
      <c r="G985" s="13" t="n"/>
      <c r="H985" s="20" t="n"/>
      <c r="I985" s="14" t="n"/>
      <c r="J985" s="19">
        <f>IF($C985="","",ROUND(IF($H985="",1,$H985)*N($I985),2))</f>
        <v/>
      </c>
      <c r="K985" s="13" t="n"/>
      <c r="L985" s="13" t="n"/>
      <c r="M985" s="17">
        <f>IF($C985="","",IF(ISNA(MATCH($C985,项目名表,0)),"※项目不在项目台账里",IF($E985="※工作类型没选","※工作类型没选","")))</f>
        <v/>
      </c>
    </row>
    <row r="986">
      <c r="A986" s="17">
        <f>IF($C986="","",ROW()-3)</f>
        <v/>
      </c>
      <c r="B986" s="18" t="n"/>
      <c r="C986" s="13" t="n"/>
      <c r="D986" s="13" t="n"/>
      <c r="E986" s="17">
        <f>IF($C986="","",IFERROR(VLOOKUP($D986,工作归属,2,0),"※工作类型没选"))</f>
        <v/>
      </c>
      <c r="F986" s="13" t="n"/>
      <c r="G986" s="13" t="n"/>
      <c r="H986" s="20" t="n"/>
      <c r="I986" s="14" t="n"/>
      <c r="J986" s="19">
        <f>IF($C986="","",ROUND(IF($H986="",1,$H986)*N($I986),2))</f>
        <v/>
      </c>
      <c r="K986" s="13" t="n"/>
      <c r="L986" s="13" t="n"/>
      <c r="M986" s="17">
        <f>IF($C986="","",IF(ISNA(MATCH($C986,项目名表,0)),"※项目不在项目台账里",IF($E986="※工作类型没选","※工作类型没选","")))</f>
        <v/>
      </c>
    </row>
    <row r="987">
      <c r="A987" s="17">
        <f>IF($C987="","",ROW()-3)</f>
        <v/>
      </c>
      <c r="B987" s="18" t="n"/>
      <c r="C987" s="13" t="n"/>
      <c r="D987" s="13" t="n"/>
      <c r="E987" s="17">
        <f>IF($C987="","",IFERROR(VLOOKUP($D987,工作归属,2,0),"※工作类型没选"))</f>
        <v/>
      </c>
      <c r="F987" s="13" t="n"/>
      <c r="G987" s="13" t="n"/>
      <c r="H987" s="20" t="n"/>
      <c r="I987" s="14" t="n"/>
      <c r="J987" s="19">
        <f>IF($C987="","",ROUND(IF($H987="",1,$H987)*N($I987),2))</f>
        <v/>
      </c>
      <c r="K987" s="13" t="n"/>
      <c r="L987" s="13" t="n"/>
      <c r="M987" s="17">
        <f>IF($C987="","",IF(ISNA(MATCH($C987,项目名表,0)),"※项目不在项目台账里",IF($E987="※工作类型没选","※工作类型没选","")))</f>
        <v/>
      </c>
    </row>
    <row r="988">
      <c r="A988" s="17">
        <f>IF($C988="","",ROW()-3)</f>
        <v/>
      </c>
      <c r="B988" s="18" t="n"/>
      <c r="C988" s="13" t="n"/>
      <c r="D988" s="13" t="n"/>
      <c r="E988" s="17">
        <f>IF($C988="","",IFERROR(VLOOKUP($D988,工作归属,2,0),"※工作类型没选"))</f>
        <v/>
      </c>
      <c r="F988" s="13" t="n"/>
      <c r="G988" s="13" t="n"/>
      <c r="H988" s="20" t="n"/>
      <c r="I988" s="14" t="n"/>
      <c r="J988" s="19">
        <f>IF($C988="","",ROUND(IF($H988="",1,$H988)*N($I988),2))</f>
        <v/>
      </c>
      <c r="K988" s="13" t="n"/>
      <c r="L988" s="13" t="n"/>
      <c r="M988" s="17">
        <f>IF($C988="","",IF(ISNA(MATCH($C988,项目名表,0)),"※项目不在项目台账里",IF($E988="※工作类型没选","※工作类型没选","")))</f>
        <v/>
      </c>
    </row>
    <row r="989">
      <c r="A989" s="17">
        <f>IF($C989="","",ROW()-3)</f>
        <v/>
      </c>
      <c r="B989" s="18" t="n"/>
      <c r="C989" s="13" t="n"/>
      <c r="D989" s="13" t="n"/>
      <c r="E989" s="17">
        <f>IF($C989="","",IFERROR(VLOOKUP($D989,工作归属,2,0),"※工作类型没选"))</f>
        <v/>
      </c>
      <c r="F989" s="13" t="n"/>
      <c r="G989" s="13" t="n"/>
      <c r="H989" s="20" t="n"/>
      <c r="I989" s="14" t="n"/>
      <c r="J989" s="19">
        <f>IF($C989="","",ROUND(IF($H989="",1,$H989)*N($I989),2))</f>
        <v/>
      </c>
      <c r="K989" s="13" t="n"/>
      <c r="L989" s="13" t="n"/>
      <c r="M989" s="17">
        <f>IF($C989="","",IF(ISNA(MATCH($C989,项目名表,0)),"※项目不在项目台账里",IF($E989="※工作类型没选","※工作类型没选","")))</f>
        <v/>
      </c>
    </row>
    <row r="990">
      <c r="A990" s="17">
        <f>IF($C990="","",ROW()-3)</f>
        <v/>
      </c>
      <c r="B990" s="18" t="n"/>
      <c r="C990" s="13" t="n"/>
      <c r="D990" s="13" t="n"/>
      <c r="E990" s="17">
        <f>IF($C990="","",IFERROR(VLOOKUP($D990,工作归属,2,0),"※工作类型没选"))</f>
        <v/>
      </c>
      <c r="F990" s="13" t="n"/>
      <c r="G990" s="13" t="n"/>
      <c r="H990" s="20" t="n"/>
      <c r="I990" s="14" t="n"/>
      <c r="J990" s="19">
        <f>IF($C990="","",ROUND(IF($H990="",1,$H990)*N($I990),2))</f>
        <v/>
      </c>
      <c r="K990" s="13" t="n"/>
      <c r="L990" s="13" t="n"/>
      <c r="M990" s="17">
        <f>IF($C990="","",IF(ISNA(MATCH($C990,项目名表,0)),"※项目不在项目台账里",IF($E990="※工作类型没选","※工作类型没选","")))</f>
        <v/>
      </c>
    </row>
    <row r="991">
      <c r="A991" s="17">
        <f>IF($C991="","",ROW()-3)</f>
        <v/>
      </c>
      <c r="B991" s="18" t="n"/>
      <c r="C991" s="13" t="n"/>
      <c r="D991" s="13" t="n"/>
      <c r="E991" s="17">
        <f>IF($C991="","",IFERROR(VLOOKUP($D991,工作归属,2,0),"※工作类型没选"))</f>
        <v/>
      </c>
      <c r="F991" s="13" t="n"/>
      <c r="G991" s="13" t="n"/>
      <c r="H991" s="20" t="n"/>
      <c r="I991" s="14" t="n"/>
      <c r="J991" s="19">
        <f>IF($C991="","",ROUND(IF($H991="",1,$H991)*N($I991),2))</f>
        <v/>
      </c>
      <c r="K991" s="13" t="n"/>
      <c r="L991" s="13" t="n"/>
      <c r="M991" s="17">
        <f>IF($C991="","",IF(ISNA(MATCH($C991,项目名表,0)),"※项目不在项目台账里",IF($E991="※工作类型没选","※工作类型没选","")))</f>
        <v/>
      </c>
    </row>
    <row r="992">
      <c r="A992" s="17">
        <f>IF($C992="","",ROW()-3)</f>
        <v/>
      </c>
      <c r="B992" s="18" t="n"/>
      <c r="C992" s="13" t="n"/>
      <c r="D992" s="13" t="n"/>
      <c r="E992" s="17">
        <f>IF($C992="","",IFERROR(VLOOKUP($D992,工作归属,2,0),"※工作类型没选"))</f>
        <v/>
      </c>
      <c r="F992" s="13" t="n"/>
      <c r="G992" s="13" t="n"/>
      <c r="H992" s="20" t="n"/>
      <c r="I992" s="14" t="n"/>
      <c r="J992" s="19">
        <f>IF($C992="","",ROUND(IF($H992="",1,$H992)*N($I992),2))</f>
        <v/>
      </c>
      <c r="K992" s="13" t="n"/>
      <c r="L992" s="13" t="n"/>
      <c r="M992" s="17">
        <f>IF($C992="","",IF(ISNA(MATCH($C992,项目名表,0)),"※项目不在项目台账里",IF($E992="※工作类型没选","※工作类型没选","")))</f>
        <v/>
      </c>
    </row>
    <row r="993">
      <c r="A993" s="17">
        <f>IF($C993="","",ROW()-3)</f>
        <v/>
      </c>
      <c r="B993" s="18" t="n"/>
      <c r="C993" s="13" t="n"/>
      <c r="D993" s="13" t="n"/>
      <c r="E993" s="17">
        <f>IF($C993="","",IFERROR(VLOOKUP($D993,工作归属,2,0),"※工作类型没选"))</f>
        <v/>
      </c>
      <c r="F993" s="13" t="n"/>
      <c r="G993" s="13" t="n"/>
      <c r="H993" s="20" t="n"/>
      <c r="I993" s="14" t="n"/>
      <c r="J993" s="19">
        <f>IF($C993="","",ROUND(IF($H993="",1,$H993)*N($I993),2))</f>
        <v/>
      </c>
      <c r="K993" s="13" t="n"/>
      <c r="L993" s="13" t="n"/>
      <c r="M993" s="17">
        <f>IF($C993="","",IF(ISNA(MATCH($C993,项目名表,0)),"※项目不在项目台账里",IF($E993="※工作类型没选","※工作类型没选","")))</f>
        <v/>
      </c>
    </row>
    <row r="994">
      <c r="A994" s="17">
        <f>IF($C994="","",ROW()-3)</f>
        <v/>
      </c>
      <c r="B994" s="18" t="n"/>
      <c r="C994" s="13" t="n"/>
      <c r="D994" s="13" t="n"/>
      <c r="E994" s="17">
        <f>IF($C994="","",IFERROR(VLOOKUP($D994,工作归属,2,0),"※工作类型没选"))</f>
        <v/>
      </c>
      <c r="F994" s="13" t="n"/>
      <c r="G994" s="13" t="n"/>
      <c r="H994" s="20" t="n"/>
      <c r="I994" s="14" t="n"/>
      <c r="J994" s="19">
        <f>IF($C994="","",ROUND(IF($H994="",1,$H994)*N($I994),2))</f>
        <v/>
      </c>
      <c r="K994" s="13" t="n"/>
      <c r="L994" s="13" t="n"/>
      <c r="M994" s="17">
        <f>IF($C994="","",IF(ISNA(MATCH($C994,项目名表,0)),"※项目不在项目台账里",IF($E994="※工作类型没选","※工作类型没选","")))</f>
        <v/>
      </c>
    </row>
    <row r="995">
      <c r="A995" s="17">
        <f>IF($C995="","",ROW()-3)</f>
        <v/>
      </c>
      <c r="B995" s="18" t="n"/>
      <c r="C995" s="13" t="n"/>
      <c r="D995" s="13" t="n"/>
      <c r="E995" s="17">
        <f>IF($C995="","",IFERROR(VLOOKUP($D995,工作归属,2,0),"※工作类型没选"))</f>
        <v/>
      </c>
      <c r="F995" s="13" t="n"/>
      <c r="G995" s="13" t="n"/>
      <c r="H995" s="20" t="n"/>
      <c r="I995" s="14" t="n"/>
      <c r="J995" s="19">
        <f>IF($C995="","",ROUND(IF($H995="",1,$H995)*N($I995),2))</f>
        <v/>
      </c>
      <c r="K995" s="13" t="n"/>
      <c r="L995" s="13" t="n"/>
      <c r="M995" s="17">
        <f>IF($C995="","",IF(ISNA(MATCH($C995,项目名表,0)),"※项目不在项目台账里",IF($E995="※工作类型没选","※工作类型没选","")))</f>
        <v/>
      </c>
    </row>
    <row r="996">
      <c r="A996" s="17">
        <f>IF($C996="","",ROW()-3)</f>
        <v/>
      </c>
      <c r="B996" s="18" t="n"/>
      <c r="C996" s="13" t="n"/>
      <c r="D996" s="13" t="n"/>
      <c r="E996" s="17">
        <f>IF($C996="","",IFERROR(VLOOKUP($D996,工作归属,2,0),"※工作类型没选"))</f>
        <v/>
      </c>
      <c r="F996" s="13" t="n"/>
      <c r="G996" s="13" t="n"/>
      <c r="H996" s="20" t="n"/>
      <c r="I996" s="14" t="n"/>
      <c r="J996" s="19">
        <f>IF($C996="","",ROUND(IF($H996="",1,$H996)*N($I996),2))</f>
        <v/>
      </c>
      <c r="K996" s="13" t="n"/>
      <c r="L996" s="13" t="n"/>
      <c r="M996" s="17">
        <f>IF($C996="","",IF(ISNA(MATCH($C996,项目名表,0)),"※项目不在项目台账里",IF($E996="※工作类型没选","※工作类型没选","")))</f>
        <v/>
      </c>
    </row>
    <row r="997">
      <c r="A997" s="17">
        <f>IF($C997="","",ROW()-3)</f>
        <v/>
      </c>
      <c r="B997" s="18" t="n"/>
      <c r="C997" s="13" t="n"/>
      <c r="D997" s="13" t="n"/>
      <c r="E997" s="17">
        <f>IF($C997="","",IFERROR(VLOOKUP($D997,工作归属,2,0),"※工作类型没选"))</f>
        <v/>
      </c>
      <c r="F997" s="13" t="n"/>
      <c r="G997" s="13" t="n"/>
      <c r="H997" s="20" t="n"/>
      <c r="I997" s="14" t="n"/>
      <c r="J997" s="19">
        <f>IF($C997="","",ROUND(IF($H997="",1,$H997)*N($I997),2))</f>
        <v/>
      </c>
      <c r="K997" s="13" t="n"/>
      <c r="L997" s="13" t="n"/>
      <c r="M997" s="17">
        <f>IF($C997="","",IF(ISNA(MATCH($C997,项目名表,0)),"※项目不在项目台账里",IF($E997="※工作类型没选","※工作类型没选","")))</f>
        <v/>
      </c>
    </row>
    <row r="998">
      <c r="A998" s="17">
        <f>IF($C998="","",ROW()-3)</f>
        <v/>
      </c>
      <c r="B998" s="18" t="n"/>
      <c r="C998" s="13" t="n"/>
      <c r="D998" s="13" t="n"/>
      <c r="E998" s="17">
        <f>IF($C998="","",IFERROR(VLOOKUP($D998,工作归属,2,0),"※工作类型没选"))</f>
        <v/>
      </c>
      <c r="F998" s="13" t="n"/>
      <c r="G998" s="13" t="n"/>
      <c r="H998" s="20" t="n"/>
      <c r="I998" s="14" t="n"/>
      <c r="J998" s="19">
        <f>IF($C998="","",ROUND(IF($H998="",1,$H998)*N($I998),2))</f>
        <v/>
      </c>
      <c r="K998" s="13" t="n"/>
      <c r="L998" s="13" t="n"/>
      <c r="M998" s="17">
        <f>IF($C998="","",IF(ISNA(MATCH($C998,项目名表,0)),"※项目不在项目台账里",IF($E998="※工作类型没选","※工作类型没选","")))</f>
        <v/>
      </c>
    </row>
    <row r="999">
      <c r="A999" s="17">
        <f>IF($C999="","",ROW()-3)</f>
        <v/>
      </c>
      <c r="B999" s="18" t="n"/>
      <c r="C999" s="13" t="n"/>
      <c r="D999" s="13" t="n"/>
      <c r="E999" s="17">
        <f>IF($C999="","",IFERROR(VLOOKUP($D999,工作归属,2,0),"※工作类型没选"))</f>
        <v/>
      </c>
      <c r="F999" s="13" t="n"/>
      <c r="G999" s="13" t="n"/>
      <c r="H999" s="20" t="n"/>
      <c r="I999" s="14" t="n"/>
      <c r="J999" s="19">
        <f>IF($C999="","",ROUND(IF($H999="",1,$H999)*N($I999),2))</f>
        <v/>
      </c>
      <c r="K999" s="13" t="n"/>
      <c r="L999" s="13" t="n"/>
      <c r="M999" s="17">
        <f>IF($C999="","",IF(ISNA(MATCH($C999,项目名表,0)),"※项目不在项目台账里",IF($E999="※工作类型没选","※工作类型没选","")))</f>
        <v/>
      </c>
    </row>
    <row r="1000">
      <c r="A1000" s="17">
        <f>IF($C1000="","",ROW()-3)</f>
        <v/>
      </c>
      <c r="B1000" s="18" t="n"/>
      <c r="C1000" s="13" t="n"/>
      <c r="D1000" s="13" t="n"/>
      <c r="E1000" s="17">
        <f>IF($C1000="","",IFERROR(VLOOKUP($D1000,工作归属,2,0),"※工作类型没选"))</f>
        <v/>
      </c>
      <c r="F1000" s="13" t="n"/>
      <c r="G1000" s="13" t="n"/>
      <c r="H1000" s="20" t="n"/>
      <c r="I1000" s="14" t="n"/>
      <c r="J1000" s="19">
        <f>IF($C1000="","",ROUND(IF($H1000="",1,$H1000)*N($I1000),2))</f>
        <v/>
      </c>
      <c r="K1000" s="13" t="n"/>
      <c r="L1000" s="13" t="n"/>
      <c r="M1000" s="17">
        <f>IF($C1000="","",IF(ISNA(MATCH($C1000,项目名表,0)),"※项目不在项目台账里",IF($E1000="※工作类型没选","※工作类型没选","")))</f>
        <v/>
      </c>
    </row>
    <row r="1001">
      <c r="A1001" s="17">
        <f>IF($C1001="","",ROW()-3)</f>
        <v/>
      </c>
      <c r="B1001" s="18" t="n"/>
      <c r="C1001" s="13" t="n"/>
      <c r="D1001" s="13" t="n"/>
      <c r="E1001" s="17">
        <f>IF($C1001="","",IFERROR(VLOOKUP($D1001,工作归属,2,0),"※工作类型没选"))</f>
        <v/>
      </c>
      <c r="F1001" s="13" t="n"/>
      <c r="G1001" s="13" t="n"/>
      <c r="H1001" s="20" t="n"/>
      <c r="I1001" s="14" t="n"/>
      <c r="J1001" s="19">
        <f>IF($C1001="","",ROUND(IF($H1001="",1,$H1001)*N($I1001),2))</f>
        <v/>
      </c>
      <c r="K1001" s="13" t="n"/>
      <c r="L1001" s="13" t="n"/>
      <c r="M1001" s="17">
        <f>IF($C1001="","",IF(ISNA(MATCH($C1001,项目名表,0)),"※项目不在项目台账里",IF($E1001="※工作类型没选","※工作类型没选","")))</f>
        <v/>
      </c>
    </row>
    <row r="1002">
      <c r="A1002" s="17">
        <f>IF($C1002="","",ROW()-3)</f>
        <v/>
      </c>
      <c r="B1002" s="18" t="n"/>
      <c r="C1002" s="13" t="n"/>
      <c r="D1002" s="13" t="n"/>
      <c r="E1002" s="17">
        <f>IF($C1002="","",IFERROR(VLOOKUP($D1002,工作归属,2,0),"※工作类型没选"))</f>
        <v/>
      </c>
      <c r="F1002" s="13" t="n"/>
      <c r="G1002" s="13" t="n"/>
      <c r="H1002" s="20" t="n"/>
      <c r="I1002" s="14" t="n"/>
      <c r="J1002" s="19">
        <f>IF($C1002="","",ROUND(IF($H1002="",1,$H1002)*N($I1002),2))</f>
        <v/>
      </c>
      <c r="K1002" s="13" t="n"/>
      <c r="L1002" s="13" t="n"/>
      <c r="M1002" s="17">
        <f>IF($C1002="","",IF(ISNA(MATCH($C1002,项目名表,0)),"※项目不在项目台账里",IF($E1002="※工作类型没选","※工作类型没选","")))</f>
        <v/>
      </c>
    </row>
    <row r="1003">
      <c r="A1003" s="17">
        <f>IF($C1003="","",ROW()-3)</f>
        <v/>
      </c>
      <c r="B1003" s="18" t="n"/>
      <c r="C1003" s="13" t="n"/>
      <c r="D1003" s="13" t="n"/>
      <c r="E1003" s="17">
        <f>IF($C1003="","",IFERROR(VLOOKUP($D1003,工作归属,2,0),"※工作类型没选"))</f>
        <v/>
      </c>
      <c r="F1003" s="13" t="n"/>
      <c r="G1003" s="13" t="n"/>
      <c r="H1003" s="20" t="n"/>
      <c r="I1003" s="14" t="n"/>
      <c r="J1003" s="19">
        <f>IF($C1003="","",ROUND(IF($H1003="",1,$H1003)*N($I1003),2))</f>
        <v/>
      </c>
      <c r="K1003" s="13" t="n"/>
      <c r="L1003" s="13" t="n"/>
      <c r="M1003" s="17">
        <f>IF($C1003="","",IF(ISNA(MATCH($C1003,项目名表,0)),"※项目不在项目台账里",IF($E1003="※工作类型没选","※工作类型没选","")))</f>
        <v/>
      </c>
    </row>
    <row r="1004">
      <c r="A1004" s="17">
        <f>IF($C1004="","",ROW()-3)</f>
        <v/>
      </c>
      <c r="B1004" s="18" t="n"/>
      <c r="C1004" s="13" t="n"/>
      <c r="D1004" s="13" t="n"/>
      <c r="E1004" s="17">
        <f>IF($C1004="","",IFERROR(VLOOKUP($D1004,工作归属,2,0),"※工作类型没选"))</f>
        <v/>
      </c>
      <c r="F1004" s="13" t="n"/>
      <c r="G1004" s="13" t="n"/>
      <c r="H1004" s="20" t="n"/>
      <c r="I1004" s="14" t="n"/>
      <c r="J1004" s="19">
        <f>IF($C1004="","",ROUND(IF($H1004="",1,$H1004)*N($I1004),2))</f>
        <v/>
      </c>
      <c r="K1004" s="13" t="n"/>
      <c r="L1004" s="13" t="n"/>
      <c r="M1004" s="17">
        <f>IF($C1004="","",IF(ISNA(MATCH($C1004,项目名表,0)),"※项目不在项目台账里",IF($E1004="※工作类型没选","※工作类型没选","")))</f>
        <v/>
      </c>
    </row>
    <row r="1005">
      <c r="A1005" s="17">
        <f>IF($C1005="","",ROW()-3)</f>
        <v/>
      </c>
      <c r="B1005" s="18" t="n"/>
      <c r="C1005" s="13" t="n"/>
      <c r="D1005" s="13" t="n"/>
      <c r="E1005" s="17">
        <f>IF($C1005="","",IFERROR(VLOOKUP($D1005,工作归属,2,0),"※工作类型没选"))</f>
        <v/>
      </c>
      <c r="F1005" s="13" t="n"/>
      <c r="G1005" s="13" t="n"/>
      <c r="H1005" s="20" t="n"/>
      <c r="I1005" s="14" t="n"/>
      <c r="J1005" s="19">
        <f>IF($C1005="","",ROUND(IF($H1005="",1,$H1005)*N($I1005),2))</f>
        <v/>
      </c>
      <c r="K1005" s="13" t="n"/>
      <c r="L1005" s="13" t="n"/>
      <c r="M1005" s="17">
        <f>IF($C1005="","",IF(ISNA(MATCH($C1005,项目名表,0)),"※项目不在项目台账里",IF($E1005="※工作类型没选","※工作类型没选","")))</f>
        <v/>
      </c>
    </row>
    <row r="1006">
      <c r="A1006" s="17">
        <f>IF($C1006="","",ROW()-3)</f>
        <v/>
      </c>
      <c r="B1006" s="18" t="n"/>
      <c r="C1006" s="13" t="n"/>
      <c r="D1006" s="13" t="n"/>
      <c r="E1006" s="17">
        <f>IF($C1006="","",IFERROR(VLOOKUP($D1006,工作归属,2,0),"※工作类型没选"))</f>
        <v/>
      </c>
      <c r="F1006" s="13" t="n"/>
      <c r="G1006" s="13" t="n"/>
      <c r="H1006" s="20" t="n"/>
      <c r="I1006" s="14" t="n"/>
      <c r="J1006" s="19">
        <f>IF($C1006="","",ROUND(IF($H1006="",1,$H1006)*N($I1006),2))</f>
        <v/>
      </c>
      <c r="K1006" s="13" t="n"/>
      <c r="L1006" s="13" t="n"/>
      <c r="M1006" s="17">
        <f>IF($C1006="","",IF(ISNA(MATCH($C1006,项目名表,0)),"※项目不在项目台账里",IF($E1006="※工作类型没选","※工作类型没选","")))</f>
        <v/>
      </c>
    </row>
    <row r="1007">
      <c r="A1007" s="17">
        <f>IF($C1007="","",ROW()-3)</f>
        <v/>
      </c>
      <c r="B1007" s="18" t="n"/>
      <c r="C1007" s="13" t="n"/>
      <c r="D1007" s="13" t="n"/>
      <c r="E1007" s="17">
        <f>IF($C1007="","",IFERROR(VLOOKUP($D1007,工作归属,2,0),"※工作类型没选"))</f>
        <v/>
      </c>
      <c r="F1007" s="13" t="n"/>
      <c r="G1007" s="13" t="n"/>
      <c r="H1007" s="20" t="n"/>
      <c r="I1007" s="14" t="n"/>
      <c r="J1007" s="19">
        <f>IF($C1007="","",ROUND(IF($H1007="",1,$H1007)*N($I1007),2))</f>
        <v/>
      </c>
      <c r="K1007" s="13" t="n"/>
      <c r="L1007" s="13" t="n"/>
      <c r="M1007" s="17">
        <f>IF($C1007="","",IF(ISNA(MATCH($C1007,项目名表,0)),"※项目不在项目台账里",IF($E1007="※工作类型没选","※工作类型没选","")))</f>
        <v/>
      </c>
    </row>
    <row r="1008">
      <c r="A1008" s="17">
        <f>IF($C1008="","",ROW()-3)</f>
        <v/>
      </c>
      <c r="B1008" s="18" t="n"/>
      <c r="C1008" s="13" t="n"/>
      <c r="D1008" s="13" t="n"/>
      <c r="E1008" s="17">
        <f>IF($C1008="","",IFERROR(VLOOKUP($D1008,工作归属,2,0),"※工作类型没选"))</f>
        <v/>
      </c>
      <c r="F1008" s="13" t="n"/>
      <c r="G1008" s="13" t="n"/>
      <c r="H1008" s="20" t="n"/>
      <c r="I1008" s="14" t="n"/>
      <c r="J1008" s="19">
        <f>IF($C1008="","",ROUND(IF($H1008="",1,$H1008)*N($I1008),2))</f>
        <v/>
      </c>
      <c r="K1008" s="13" t="n"/>
      <c r="L1008" s="13" t="n"/>
      <c r="M1008" s="17">
        <f>IF($C1008="","",IF(ISNA(MATCH($C1008,项目名表,0)),"※项目不在项目台账里",IF($E1008="※工作类型没选","※工作类型没选","")))</f>
        <v/>
      </c>
    </row>
    <row r="1009">
      <c r="A1009" s="17">
        <f>IF($C1009="","",ROW()-3)</f>
        <v/>
      </c>
      <c r="B1009" s="18" t="n"/>
      <c r="C1009" s="13" t="n"/>
      <c r="D1009" s="13" t="n"/>
      <c r="E1009" s="17">
        <f>IF($C1009="","",IFERROR(VLOOKUP($D1009,工作归属,2,0),"※工作类型没选"))</f>
        <v/>
      </c>
      <c r="F1009" s="13" t="n"/>
      <c r="G1009" s="13" t="n"/>
      <c r="H1009" s="20" t="n"/>
      <c r="I1009" s="14" t="n"/>
      <c r="J1009" s="19">
        <f>IF($C1009="","",ROUND(IF($H1009="",1,$H1009)*N($I1009),2))</f>
        <v/>
      </c>
      <c r="K1009" s="13" t="n"/>
      <c r="L1009" s="13" t="n"/>
      <c r="M1009" s="17">
        <f>IF($C1009="","",IF(ISNA(MATCH($C1009,项目名表,0)),"※项目不在项目台账里",IF($E1009="※工作类型没选","※工作类型没选","")))</f>
        <v/>
      </c>
    </row>
    <row r="1010">
      <c r="A1010" s="17">
        <f>IF($C1010="","",ROW()-3)</f>
        <v/>
      </c>
      <c r="B1010" s="18" t="n"/>
      <c r="C1010" s="13" t="n"/>
      <c r="D1010" s="13" t="n"/>
      <c r="E1010" s="17">
        <f>IF($C1010="","",IFERROR(VLOOKUP($D1010,工作归属,2,0),"※工作类型没选"))</f>
        <v/>
      </c>
      <c r="F1010" s="13" t="n"/>
      <c r="G1010" s="13" t="n"/>
      <c r="H1010" s="20" t="n"/>
      <c r="I1010" s="14" t="n"/>
      <c r="J1010" s="19">
        <f>IF($C1010="","",ROUND(IF($H1010="",1,$H1010)*N($I1010),2))</f>
        <v/>
      </c>
      <c r="K1010" s="13" t="n"/>
      <c r="L1010" s="13" t="n"/>
      <c r="M1010" s="17">
        <f>IF($C1010="","",IF(ISNA(MATCH($C1010,项目名表,0)),"※项目不在项目台账里",IF($E1010="※工作类型没选","※工作类型没选","")))</f>
        <v/>
      </c>
    </row>
    <row r="1011">
      <c r="A1011" s="17">
        <f>IF($C1011="","",ROW()-3)</f>
        <v/>
      </c>
      <c r="B1011" s="18" t="n"/>
      <c r="C1011" s="13" t="n"/>
      <c r="D1011" s="13" t="n"/>
      <c r="E1011" s="17">
        <f>IF($C1011="","",IFERROR(VLOOKUP($D1011,工作归属,2,0),"※工作类型没选"))</f>
        <v/>
      </c>
      <c r="F1011" s="13" t="n"/>
      <c r="G1011" s="13" t="n"/>
      <c r="H1011" s="20" t="n"/>
      <c r="I1011" s="14" t="n"/>
      <c r="J1011" s="19">
        <f>IF($C1011="","",ROUND(IF($H1011="",1,$H1011)*N($I1011),2))</f>
        <v/>
      </c>
      <c r="K1011" s="13" t="n"/>
      <c r="L1011" s="13" t="n"/>
      <c r="M1011" s="17">
        <f>IF($C1011="","",IF(ISNA(MATCH($C1011,项目名表,0)),"※项目不在项目台账里",IF($E1011="※工作类型没选","※工作类型没选","")))</f>
        <v/>
      </c>
    </row>
    <row r="1012">
      <c r="A1012" s="17">
        <f>IF($C1012="","",ROW()-3)</f>
        <v/>
      </c>
      <c r="B1012" s="18" t="n"/>
      <c r="C1012" s="13" t="n"/>
      <c r="D1012" s="13" t="n"/>
      <c r="E1012" s="17">
        <f>IF($C1012="","",IFERROR(VLOOKUP($D1012,工作归属,2,0),"※工作类型没选"))</f>
        <v/>
      </c>
      <c r="F1012" s="13" t="n"/>
      <c r="G1012" s="13" t="n"/>
      <c r="H1012" s="20" t="n"/>
      <c r="I1012" s="14" t="n"/>
      <c r="J1012" s="19">
        <f>IF($C1012="","",ROUND(IF($H1012="",1,$H1012)*N($I1012),2))</f>
        <v/>
      </c>
      <c r="K1012" s="13" t="n"/>
      <c r="L1012" s="13" t="n"/>
      <c r="M1012" s="17">
        <f>IF($C1012="","",IF(ISNA(MATCH($C1012,项目名表,0)),"※项目不在项目台账里",IF($E1012="※工作类型没选","※工作类型没选","")))</f>
        <v/>
      </c>
    </row>
    <row r="1013">
      <c r="A1013" s="17">
        <f>IF($C1013="","",ROW()-3)</f>
        <v/>
      </c>
      <c r="B1013" s="18" t="n"/>
      <c r="C1013" s="13" t="n"/>
      <c r="D1013" s="13" t="n"/>
      <c r="E1013" s="17">
        <f>IF($C1013="","",IFERROR(VLOOKUP($D1013,工作归属,2,0),"※工作类型没选"))</f>
        <v/>
      </c>
      <c r="F1013" s="13" t="n"/>
      <c r="G1013" s="13" t="n"/>
      <c r="H1013" s="20" t="n"/>
      <c r="I1013" s="14" t="n"/>
      <c r="J1013" s="19">
        <f>IF($C1013="","",ROUND(IF($H1013="",1,$H1013)*N($I1013),2))</f>
        <v/>
      </c>
      <c r="K1013" s="13" t="n"/>
      <c r="L1013" s="13" t="n"/>
      <c r="M1013" s="17">
        <f>IF($C1013="","",IF(ISNA(MATCH($C1013,项目名表,0)),"※项目不在项目台账里",IF($E1013="※工作类型没选","※工作类型没选","")))</f>
        <v/>
      </c>
    </row>
    <row r="1014">
      <c r="A1014" s="17">
        <f>IF($C1014="","",ROW()-3)</f>
        <v/>
      </c>
      <c r="B1014" s="18" t="n"/>
      <c r="C1014" s="13" t="n"/>
      <c r="D1014" s="13" t="n"/>
      <c r="E1014" s="17">
        <f>IF($C1014="","",IFERROR(VLOOKUP($D1014,工作归属,2,0),"※工作类型没选"))</f>
        <v/>
      </c>
      <c r="F1014" s="13" t="n"/>
      <c r="G1014" s="13" t="n"/>
      <c r="H1014" s="20" t="n"/>
      <c r="I1014" s="14" t="n"/>
      <c r="J1014" s="19">
        <f>IF($C1014="","",ROUND(IF($H1014="",1,$H1014)*N($I1014),2))</f>
        <v/>
      </c>
      <c r="K1014" s="13" t="n"/>
      <c r="L1014" s="13" t="n"/>
      <c r="M1014" s="17">
        <f>IF($C1014="","",IF(ISNA(MATCH($C1014,项目名表,0)),"※项目不在项目台账里",IF($E1014="※工作类型没选","※工作类型没选","")))</f>
        <v/>
      </c>
    </row>
    <row r="1015">
      <c r="A1015" s="17">
        <f>IF($C1015="","",ROW()-3)</f>
        <v/>
      </c>
      <c r="B1015" s="18" t="n"/>
      <c r="C1015" s="13" t="n"/>
      <c r="D1015" s="13" t="n"/>
      <c r="E1015" s="17">
        <f>IF($C1015="","",IFERROR(VLOOKUP($D1015,工作归属,2,0),"※工作类型没选"))</f>
        <v/>
      </c>
      <c r="F1015" s="13" t="n"/>
      <c r="G1015" s="13" t="n"/>
      <c r="H1015" s="20" t="n"/>
      <c r="I1015" s="14" t="n"/>
      <c r="J1015" s="19">
        <f>IF($C1015="","",ROUND(IF($H1015="",1,$H1015)*N($I1015),2))</f>
        <v/>
      </c>
      <c r="K1015" s="13" t="n"/>
      <c r="L1015" s="13" t="n"/>
      <c r="M1015" s="17">
        <f>IF($C1015="","",IF(ISNA(MATCH($C1015,项目名表,0)),"※项目不在项目台账里",IF($E1015="※工作类型没选","※工作类型没选","")))</f>
        <v/>
      </c>
    </row>
    <row r="1016">
      <c r="A1016" s="17">
        <f>IF($C1016="","",ROW()-3)</f>
        <v/>
      </c>
      <c r="B1016" s="18" t="n"/>
      <c r="C1016" s="13" t="n"/>
      <c r="D1016" s="13" t="n"/>
      <c r="E1016" s="17">
        <f>IF($C1016="","",IFERROR(VLOOKUP($D1016,工作归属,2,0),"※工作类型没选"))</f>
        <v/>
      </c>
      <c r="F1016" s="13" t="n"/>
      <c r="G1016" s="13" t="n"/>
      <c r="H1016" s="20" t="n"/>
      <c r="I1016" s="14" t="n"/>
      <c r="J1016" s="19">
        <f>IF($C1016="","",ROUND(IF($H1016="",1,$H1016)*N($I1016),2))</f>
        <v/>
      </c>
      <c r="K1016" s="13" t="n"/>
      <c r="L1016" s="13" t="n"/>
      <c r="M1016" s="17">
        <f>IF($C1016="","",IF(ISNA(MATCH($C1016,项目名表,0)),"※项目不在项目台账里",IF($E1016="※工作类型没选","※工作类型没选","")))</f>
        <v/>
      </c>
    </row>
    <row r="1017">
      <c r="A1017" s="17">
        <f>IF($C1017="","",ROW()-3)</f>
        <v/>
      </c>
      <c r="B1017" s="18" t="n"/>
      <c r="C1017" s="13" t="n"/>
      <c r="D1017" s="13" t="n"/>
      <c r="E1017" s="17">
        <f>IF($C1017="","",IFERROR(VLOOKUP($D1017,工作归属,2,0),"※工作类型没选"))</f>
        <v/>
      </c>
      <c r="F1017" s="13" t="n"/>
      <c r="G1017" s="13" t="n"/>
      <c r="H1017" s="20" t="n"/>
      <c r="I1017" s="14" t="n"/>
      <c r="J1017" s="19">
        <f>IF($C1017="","",ROUND(IF($H1017="",1,$H1017)*N($I1017),2))</f>
        <v/>
      </c>
      <c r="K1017" s="13" t="n"/>
      <c r="L1017" s="13" t="n"/>
      <c r="M1017" s="17">
        <f>IF($C1017="","",IF(ISNA(MATCH($C1017,项目名表,0)),"※项目不在项目台账里",IF($E1017="※工作类型没选","※工作类型没选","")))</f>
        <v/>
      </c>
    </row>
    <row r="1018">
      <c r="A1018" s="17">
        <f>IF($C1018="","",ROW()-3)</f>
        <v/>
      </c>
      <c r="B1018" s="18" t="n"/>
      <c r="C1018" s="13" t="n"/>
      <c r="D1018" s="13" t="n"/>
      <c r="E1018" s="17">
        <f>IF($C1018="","",IFERROR(VLOOKUP($D1018,工作归属,2,0),"※工作类型没选"))</f>
        <v/>
      </c>
      <c r="F1018" s="13" t="n"/>
      <c r="G1018" s="13" t="n"/>
      <c r="H1018" s="20" t="n"/>
      <c r="I1018" s="14" t="n"/>
      <c r="J1018" s="19">
        <f>IF($C1018="","",ROUND(IF($H1018="",1,$H1018)*N($I1018),2))</f>
        <v/>
      </c>
      <c r="K1018" s="13" t="n"/>
      <c r="L1018" s="13" t="n"/>
      <c r="M1018" s="17">
        <f>IF($C1018="","",IF(ISNA(MATCH($C1018,项目名表,0)),"※项目不在项目台账里",IF($E1018="※工作类型没选","※工作类型没选","")))</f>
        <v/>
      </c>
    </row>
    <row r="1019">
      <c r="A1019" s="17">
        <f>IF($C1019="","",ROW()-3)</f>
        <v/>
      </c>
      <c r="B1019" s="18" t="n"/>
      <c r="C1019" s="13" t="n"/>
      <c r="D1019" s="13" t="n"/>
      <c r="E1019" s="17">
        <f>IF($C1019="","",IFERROR(VLOOKUP($D1019,工作归属,2,0),"※工作类型没选"))</f>
        <v/>
      </c>
      <c r="F1019" s="13" t="n"/>
      <c r="G1019" s="13" t="n"/>
      <c r="H1019" s="20" t="n"/>
      <c r="I1019" s="14" t="n"/>
      <c r="J1019" s="19">
        <f>IF($C1019="","",ROUND(IF($H1019="",1,$H1019)*N($I1019),2))</f>
        <v/>
      </c>
      <c r="K1019" s="13" t="n"/>
      <c r="L1019" s="13" t="n"/>
      <c r="M1019" s="17">
        <f>IF($C1019="","",IF(ISNA(MATCH($C1019,项目名表,0)),"※项目不在项目台账里",IF($E1019="※工作类型没选","※工作类型没选","")))</f>
        <v/>
      </c>
    </row>
    <row r="1020">
      <c r="A1020" s="17">
        <f>IF($C1020="","",ROW()-3)</f>
        <v/>
      </c>
      <c r="B1020" s="18" t="n"/>
      <c r="C1020" s="13" t="n"/>
      <c r="D1020" s="13" t="n"/>
      <c r="E1020" s="17">
        <f>IF($C1020="","",IFERROR(VLOOKUP($D1020,工作归属,2,0),"※工作类型没选"))</f>
        <v/>
      </c>
      <c r="F1020" s="13" t="n"/>
      <c r="G1020" s="13" t="n"/>
      <c r="H1020" s="20" t="n"/>
      <c r="I1020" s="14" t="n"/>
      <c r="J1020" s="19">
        <f>IF($C1020="","",ROUND(IF($H1020="",1,$H1020)*N($I1020),2))</f>
        <v/>
      </c>
      <c r="K1020" s="13" t="n"/>
      <c r="L1020" s="13" t="n"/>
      <c r="M1020" s="17">
        <f>IF($C1020="","",IF(ISNA(MATCH($C1020,项目名表,0)),"※项目不在项目台账里",IF($E1020="※工作类型没选","※工作类型没选","")))</f>
        <v/>
      </c>
    </row>
    <row r="1021">
      <c r="A1021" s="17">
        <f>IF($C1021="","",ROW()-3)</f>
        <v/>
      </c>
      <c r="B1021" s="18" t="n"/>
      <c r="C1021" s="13" t="n"/>
      <c r="D1021" s="13" t="n"/>
      <c r="E1021" s="17">
        <f>IF($C1021="","",IFERROR(VLOOKUP($D1021,工作归属,2,0),"※工作类型没选"))</f>
        <v/>
      </c>
      <c r="F1021" s="13" t="n"/>
      <c r="G1021" s="13" t="n"/>
      <c r="H1021" s="20" t="n"/>
      <c r="I1021" s="14" t="n"/>
      <c r="J1021" s="19">
        <f>IF($C1021="","",ROUND(IF($H1021="",1,$H1021)*N($I1021),2))</f>
        <v/>
      </c>
      <c r="K1021" s="13" t="n"/>
      <c r="L1021" s="13" t="n"/>
      <c r="M1021" s="17">
        <f>IF($C1021="","",IF(ISNA(MATCH($C1021,项目名表,0)),"※项目不在项目台账里",IF($E1021="※工作类型没选","※工作类型没选","")))</f>
        <v/>
      </c>
    </row>
    <row r="1022">
      <c r="A1022" s="17">
        <f>IF($C1022="","",ROW()-3)</f>
        <v/>
      </c>
      <c r="B1022" s="18" t="n"/>
      <c r="C1022" s="13" t="n"/>
      <c r="D1022" s="13" t="n"/>
      <c r="E1022" s="17">
        <f>IF($C1022="","",IFERROR(VLOOKUP($D1022,工作归属,2,0),"※工作类型没选"))</f>
        <v/>
      </c>
      <c r="F1022" s="13" t="n"/>
      <c r="G1022" s="13" t="n"/>
      <c r="H1022" s="20" t="n"/>
      <c r="I1022" s="14" t="n"/>
      <c r="J1022" s="19">
        <f>IF($C1022="","",ROUND(IF($H1022="",1,$H1022)*N($I1022),2))</f>
        <v/>
      </c>
      <c r="K1022" s="13" t="n"/>
      <c r="L1022" s="13" t="n"/>
      <c r="M1022" s="17">
        <f>IF($C1022="","",IF(ISNA(MATCH($C1022,项目名表,0)),"※项目不在项目台账里",IF($E1022="※工作类型没选","※工作类型没选","")))</f>
        <v/>
      </c>
    </row>
    <row r="1023">
      <c r="A1023" s="17">
        <f>IF($C1023="","",ROW()-3)</f>
        <v/>
      </c>
      <c r="B1023" s="18" t="n"/>
      <c r="C1023" s="13" t="n"/>
      <c r="D1023" s="13" t="n"/>
      <c r="E1023" s="17">
        <f>IF($C1023="","",IFERROR(VLOOKUP($D1023,工作归属,2,0),"※工作类型没选"))</f>
        <v/>
      </c>
      <c r="F1023" s="13" t="n"/>
      <c r="G1023" s="13" t="n"/>
      <c r="H1023" s="20" t="n"/>
      <c r="I1023" s="14" t="n"/>
      <c r="J1023" s="19">
        <f>IF($C1023="","",ROUND(IF($H1023="",1,$H1023)*N($I1023),2))</f>
        <v/>
      </c>
      <c r="K1023" s="13" t="n"/>
      <c r="L1023" s="13" t="n"/>
      <c r="M1023" s="17">
        <f>IF($C1023="","",IF(ISNA(MATCH($C1023,项目名表,0)),"※项目不在项目台账里",IF($E1023="※工作类型没选","※工作类型没选","")))</f>
        <v/>
      </c>
    </row>
    <row r="1024">
      <c r="A1024" s="17">
        <f>IF($C1024="","",ROW()-3)</f>
        <v/>
      </c>
      <c r="B1024" s="18" t="n"/>
      <c r="C1024" s="13" t="n"/>
      <c r="D1024" s="13" t="n"/>
      <c r="E1024" s="17">
        <f>IF($C1024="","",IFERROR(VLOOKUP($D1024,工作归属,2,0),"※工作类型没选"))</f>
        <v/>
      </c>
      <c r="F1024" s="13" t="n"/>
      <c r="G1024" s="13" t="n"/>
      <c r="H1024" s="20" t="n"/>
      <c r="I1024" s="14" t="n"/>
      <c r="J1024" s="19">
        <f>IF($C1024="","",ROUND(IF($H1024="",1,$H1024)*N($I1024),2))</f>
        <v/>
      </c>
      <c r="K1024" s="13" t="n"/>
      <c r="L1024" s="13" t="n"/>
      <c r="M1024" s="17">
        <f>IF($C1024="","",IF(ISNA(MATCH($C1024,项目名表,0)),"※项目不在项目台账里",IF($E1024="※工作类型没选","※工作类型没选","")))</f>
        <v/>
      </c>
    </row>
    <row r="1025">
      <c r="A1025" s="17">
        <f>IF($C1025="","",ROW()-3)</f>
        <v/>
      </c>
      <c r="B1025" s="18" t="n"/>
      <c r="C1025" s="13" t="n"/>
      <c r="D1025" s="13" t="n"/>
      <c r="E1025" s="17">
        <f>IF($C1025="","",IFERROR(VLOOKUP($D1025,工作归属,2,0),"※工作类型没选"))</f>
        <v/>
      </c>
      <c r="F1025" s="13" t="n"/>
      <c r="G1025" s="13" t="n"/>
      <c r="H1025" s="20" t="n"/>
      <c r="I1025" s="14" t="n"/>
      <c r="J1025" s="19">
        <f>IF($C1025="","",ROUND(IF($H1025="",1,$H1025)*N($I1025),2))</f>
        <v/>
      </c>
      <c r="K1025" s="13" t="n"/>
      <c r="L1025" s="13" t="n"/>
      <c r="M1025" s="17">
        <f>IF($C1025="","",IF(ISNA(MATCH($C1025,项目名表,0)),"※项目不在项目台账里",IF($E1025="※工作类型没选","※工作类型没选","")))</f>
        <v/>
      </c>
    </row>
    <row r="1026">
      <c r="A1026" s="17">
        <f>IF($C1026="","",ROW()-3)</f>
        <v/>
      </c>
      <c r="B1026" s="18" t="n"/>
      <c r="C1026" s="13" t="n"/>
      <c r="D1026" s="13" t="n"/>
      <c r="E1026" s="17">
        <f>IF($C1026="","",IFERROR(VLOOKUP($D1026,工作归属,2,0),"※工作类型没选"))</f>
        <v/>
      </c>
      <c r="F1026" s="13" t="n"/>
      <c r="G1026" s="13" t="n"/>
      <c r="H1026" s="20" t="n"/>
      <c r="I1026" s="14" t="n"/>
      <c r="J1026" s="19">
        <f>IF($C1026="","",ROUND(IF($H1026="",1,$H1026)*N($I1026),2))</f>
        <v/>
      </c>
      <c r="K1026" s="13" t="n"/>
      <c r="L1026" s="13" t="n"/>
      <c r="M1026" s="17">
        <f>IF($C1026="","",IF(ISNA(MATCH($C1026,项目名表,0)),"※项目不在项目台账里",IF($E1026="※工作类型没选","※工作类型没选","")))</f>
        <v/>
      </c>
    </row>
    <row r="1027">
      <c r="A1027" s="17">
        <f>IF($C1027="","",ROW()-3)</f>
        <v/>
      </c>
      <c r="B1027" s="18" t="n"/>
      <c r="C1027" s="13" t="n"/>
      <c r="D1027" s="13" t="n"/>
      <c r="E1027" s="17">
        <f>IF($C1027="","",IFERROR(VLOOKUP($D1027,工作归属,2,0),"※工作类型没选"))</f>
        <v/>
      </c>
      <c r="F1027" s="13" t="n"/>
      <c r="G1027" s="13" t="n"/>
      <c r="H1027" s="20" t="n"/>
      <c r="I1027" s="14" t="n"/>
      <c r="J1027" s="19">
        <f>IF($C1027="","",ROUND(IF($H1027="",1,$H1027)*N($I1027),2))</f>
        <v/>
      </c>
      <c r="K1027" s="13" t="n"/>
      <c r="L1027" s="13" t="n"/>
      <c r="M1027" s="17">
        <f>IF($C1027="","",IF(ISNA(MATCH($C1027,项目名表,0)),"※项目不在项目台账里",IF($E1027="※工作类型没选","※工作类型没选","")))</f>
        <v/>
      </c>
    </row>
    <row r="1028">
      <c r="A1028" s="17">
        <f>IF($C1028="","",ROW()-3)</f>
        <v/>
      </c>
      <c r="B1028" s="18" t="n"/>
      <c r="C1028" s="13" t="n"/>
      <c r="D1028" s="13" t="n"/>
      <c r="E1028" s="17">
        <f>IF($C1028="","",IFERROR(VLOOKUP($D1028,工作归属,2,0),"※工作类型没选"))</f>
        <v/>
      </c>
      <c r="F1028" s="13" t="n"/>
      <c r="G1028" s="13" t="n"/>
      <c r="H1028" s="20" t="n"/>
      <c r="I1028" s="14" t="n"/>
      <c r="J1028" s="19">
        <f>IF($C1028="","",ROUND(IF($H1028="",1,$H1028)*N($I1028),2))</f>
        <v/>
      </c>
      <c r="K1028" s="13" t="n"/>
      <c r="L1028" s="13" t="n"/>
      <c r="M1028" s="17">
        <f>IF($C1028="","",IF(ISNA(MATCH($C1028,项目名表,0)),"※项目不在项目台账里",IF($E1028="※工作类型没选","※工作类型没选","")))</f>
        <v/>
      </c>
    </row>
    <row r="1029">
      <c r="A1029" s="17">
        <f>IF($C1029="","",ROW()-3)</f>
        <v/>
      </c>
      <c r="B1029" s="18" t="n"/>
      <c r="C1029" s="13" t="n"/>
      <c r="D1029" s="13" t="n"/>
      <c r="E1029" s="17">
        <f>IF($C1029="","",IFERROR(VLOOKUP($D1029,工作归属,2,0),"※工作类型没选"))</f>
        <v/>
      </c>
      <c r="F1029" s="13" t="n"/>
      <c r="G1029" s="13" t="n"/>
      <c r="H1029" s="20" t="n"/>
      <c r="I1029" s="14" t="n"/>
      <c r="J1029" s="19">
        <f>IF($C1029="","",ROUND(IF($H1029="",1,$H1029)*N($I1029),2))</f>
        <v/>
      </c>
      <c r="K1029" s="13" t="n"/>
      <c r="L1029" s="13" t="n"/>
      <c r="M1029" s="17">
        <f>IF($C1029="","",IF(ISNA(MATCH($C1029,项目名表,0)),"※项目不在项目台账里",IF($E1029="※工作类型没选","※工作类型没选","")))</f>
        <v/>
      </c>
    </row>
    <row r="1030">
      <c r="A1030" s="17">
        <f>IF($C1030="","",ROW()-3)</f>
        <v/>
      </c>
      <c r="B1030" s="18" t="n"/>
      <c r="C1030" s="13" t="n"/>
      <c r="D1030" s="13" t="n"/>
      <c r="E1030" s="17">
        <f>IF($C1030="","",IFERROR(VLOOKUP($D1030,工作归属,2,0),"※工作类型没选"))</f>
        <v/>
      </c>
      <c r="F1030" s="13" t="n"/>
      <c r="G1030" s="13" t="n"/>
      <c r="H1030" s="20" t="n"/>
      <c r="I1030" s="14" t="n"/>
      <c r="J1030" s="19">
        <f>IF($C1030="","",ROUND(IF($H1030="",1,$H1030)*N($I1030),2))</f>
        <v/>
      </c>
      <c r="K1030" s="13" t="n"/>
      <c r="L1030" s="13" t="n"/>
      <c r="M1030" s="17">
        <f>IF($C1030="","",IF(ISNA(MATCH($C1030,项目名表,0)),"※项目不在项目台账里",IF($E1030="※工作类型没选","※工作类型没选","")))</f>
        <v/>
      </c>
    </row>
    <row r="1031">
      <c r="A1031" s="17">
        <f>IF($C1031="","",ROW()-3)</f>
        <v/>
      </c>
      <c r="B1031" s="18" t="n"/>
      <c r="C1031" s="13" t="n"/>
      <c r="D1031" s="13" t="n"/>
      <c r="E1031" s="17">
        <f>IF($C1031="","",IFERROR(VLOOKUP($D1031,工作归属,2,0),"※工作类型没选"))</f>
        <v/>
      </c>
      <c r="F1031" s="13" t="n"/>
      <c r="G1031" s="13" t="n"/>
      <c r="H1031" s="20" t="n"/>
      <c r="I1031" s="14" t="n"/>
      <c r="J1031" s="19">
        <f>IF($C1031="","",ROUND(IF($H1031="",1,$H1031)*N($I1031),2))</f>
        <v/>
      </c>
      <c r="K1031" s="13" t="n"/>
      <c r="L1031" s="13" t="n"/>
      <c r="M1031" s="17">
        <f>IF($C1031="","",IF(ISNA(MATCH($C1031,项目名表,0)),"※项目不在项目台账里",IF($E1031="※工作类型没选","※工作类型没选","")))</f>
        <v/>
      </c>
    </row>
    <row r="1032">
      <c r="A1032" s="17">
        <f>IF($C1032="","",ROW()-3)</f>
        <v/>
      </c>
      <c r="B1032" s="18" t="n"/>
      <c r="C1032" s="13" t="n"/>
      <c r="D1032" s="13" t="n"/>
      <c r="E1032" s="17">
        <f>IF($C1032="","",IFERROR(VLOOKUP($D1032,工作归属,2,0),"※工作类型没选"))</f>
        <v/>
      </c>
      <c r="F1032" s="13" t="n"/>
      <c r="G1032" s="13" t="n"/>
      <c r="H1032" s="20" t="n"/>
      <c r="I1032" s="14" t="n"/>
      <c r="J1032" s="19">
        <f>IF($C1032="","",ROUND(IF($H1032="",1,$H1032)*N($I1032),2))</f>
        <v/>
      </c>
      <c r="K1032" s="13" t="n"/>
      <c r="L1032" s="13" t="n"/>
      <c r="M1032" s="17">
        <f>IF($C1032="","",IF(ISNA(MATCH($C1032,项目名表,0)),"※项目不在项目台账里",IF($E1032="※工作类型没选","※工作类型没选","")))</f>
        <v/>
      </c>
    </row>
    <row r="1033">
      <c r="A1033" s="17">
        <f>IF($C1033="","",ROW()-3)</f>
        <v/>
      </c>
      <c r="B1033" s="18" t="n"/>
      <c r="C1033" s="13" t="n"/>
      <c r="D1033" s="13" t="n"/>
      <c r="E1033" s="17">
        <f>IF($C1033="","",IFERROR(VLOOKUP($D1033,工作归属,2,0),"※工作类型没选"))</f>
        <v/>
      </c>
      <c r="F1033" s="13" t="n"/>
      <c r="G1033" s="13" t="n"/>
      <c r="H1033" s="20" t="n"/>
      <c r="I1033" s="14" t="n"/>
      <c r="J1033" s="19">
        <f>IF($C1033="","",ROUND(IF($H1033="",1,$H1033)*N($I1033),2))</f>
        <v/>
      </c>
      <c r="K1033" s="13" t="n"/>
      <c r="L1033" s="13" t="n"/>
      <c r="M1033" s="17">
        <f>IF($C1033="","",IF(ISNA(MATCH($C1033,项目名表,0)),"※项目不在项目台账里",IF($E1033="※工作类型没选","※工作类型没选","")))</f>
        <v/>
      </c>
    </row>
    <row r="1034">
      <c r="A1034" s="17">
        <f>IF($C1034="","",ROW()-3)</f>
        <v/>
      </c>
      <c r="B1034" s="18" t="n"/>
      <c r="C1034" s="13" t="n"/>
      <c r="D1034" s="13" t="n"/>
      <c r="E1034" s="17">
        <f>IF($C1034="","",IFERROR(VLOOKUP($D1034,工作归属,2,0),"※工作类型没选"))</f>
        <v/>
      </c>
      <c r="F1034" s="13" t="n"/>
      <c r="G1034" s="13" t="n"/>
      <c r="H1034" s="20" t="n"/>
      <c r="I1034" s="14" t="n"/>
      <c r="J1034" s="19">
        <f>IF($C1034="","",ROUND(IF($H1034="",1,$H1034)*N($I1034),2))</f>
        <v/>
      </c>
      <c r="K1034" s="13" t="n"/>
      <c r="L1034" s="13" t="n"/>
      <c r="M1034" s="17">
        <f>IF($C1034="","",IF(ISNA(MATCH($C1034,项目名表,0)),"※项目不在项目台账里",IF($E1034="※工作类型没选","※工作类型没选","")))</f>
        <v/>
      </c>
    </row>
    <row r="1035">
      <c r="A1035" s="17">
        <f>IF($C1035="","",ROW()-3)</f>
        <v/>
      </c>
      <c r="B1035" s="18" t="n"/>
      <c r="C1035" s="13" t="n"/>
      <c r="D1035" s="13" t="n"/>
      <c r="E1035" s="17">
        <f>IF($C1035="","",IFERROR(VLOOKUP($D1035,工作归属,2,0),"※工作类型没选"))</f>
        <v/>
      </c>
      <c r="F1035" s="13" t="n"/>
      <c r="G1035" s="13" t="n"/>
      <c r="H1035" s="20" t="n"/>
      <c r="I1035" s="14" t="n"/>
      <c r="J1035" s="19">
        <f>IF($C1035="","",ROUND(IF($H1035="",1,$H1035)*N($I1035),2))</f>
        <v/>
      </c>
      <c r="K1035" s="13" t="n"/>
      <c r="L1035" s="13" t="n"/>
      <c r="M1035" s="17">
        <f>IF($C1035="","",IF(ISNA(MATCH($C1035,项目名表,0)),"※项目不在项目台账里",IF($E1035="※工作类型没选","※工作类型没选","")))</f>
        <v/>
      </c>
    </row>
    <row r="1036">
      <c r="A1036" s="17">
        <f>IF($C1036="","",ROW()-3)</f>
        <v/>
      </c>
      <c r="B1036" s="18" t="n"/>
      <c r="C1036" s="13" t="n"/>
      <c r="D1036" s="13" t="n"/>
      <c r="E1036" s="17">
        <f>IF($C1036="","",IFERROR(VLOOKUP($D1036,工作归属,2,0),"※工作类型没选"))</f>
        <v/>
      </c>
      <c r="F1036" s="13" t="n"/>
      <c r="G1036" s="13" t="n"/>
      <c r="H1036" s="20" t="n"/>
      <c r="I1036" s="14" t="n"/>
      <c r="J1036" s="19">
        <f>IF($C1036="","",ROUND(IF($H1036="",1,$H1036)*N($I1036),2))</f>
        <v/>
      </c>
      <c r="K1036" s="13" t="n"/>
      <c r="L1036" s="13" t="n"/>
      <c r="M1036" s="17">
        <f>IF($C1036="","",IF(ISNA(MATCH($C1036,项目名表,0)),"※项目不在项目台账里",IF($E1036="※工作类型没选","※工作类型没选","")))</f>
        <v/>
      </c>
    </row>
    <row r="1037">
      <c r="A1037" s="17">
        <f>IF($C1037="","",ROW()-3)</f>
        <v/>
      </c>
      <c r="B1037" s="18" t="n"/>
      <c r="C1037" s="13" t="n"/>
      <c r="D1037" s="13" t="n"/>
      <c r="E1037" s="17">
        <f>IF($C1037="","",IFERROR(VLOOKUP($D1037,工作归属,2,0),"※工作类型没选"))</f>
        <v/>
      </c>
      <c r="F1037" s="13" t="n"/>
      <c r="G1037" s="13" t="n"/>
      <c r="H1037" s="20" t="n"/>
      <c r="I1037" s="14" t="n"/>
      <c r="J1037" s="19">
        <f>IF($C1037="","",ROUND(IF($H1037="",1,$H1037)*N($I1037),2))</f>
        <v/>
      </c>
      <c r="K1037" s="13" t="n"/>
      <c r="L1037" s="13" t="n"/>
      <c r="M1037" s="17">
        <f>IF($C1037="","",IF(ISNA(MATCH($C1037,项目名表,0)),"※项目不在项目台账里",IF($E1037="※工作类型没选","※工作类型没选","")))</f>
        <v/>
      </c>
    </row>
    <row r="1038">
      <c r="A1038" s="17">
        <f>IF($C1038="","",ROW()-3)</f>
        <v/>
      </c>
      <c r="B1038" s="18" t="n"/>
      <c r="C1038" s="13" t="n"/>
      <c r="D1038" s="13" t="n"/>
      <c r="E1038" s="17">
        <f>IF($C1038="","",IFERROR(VLOOKUP($D1038,工作归属,2,0),"※工作类型没选"))</f>
        <v/>
      </c>
      <c r="F1038" s="13" t="n"/>
      <c r="G1038" s="13" t="n"/>
      <c r="H1038" s="20" t="n"/>
      <c r="I1038" s="14" t="n"/>
      <c r="J1038" s="19">
        <f>IF($C1038="","",ROUND(IF($H1038="",1,$H1038)*N($I1038),2))</f>
        <v/>
      </c>
      <c r="K1038" s="13" t="n"/>
      <c r="L1038" s="13" t="n"/>
      <c r="M1038" s="17">
        <f>IF($C1038="","",IF(ISNA(MATCH($C1038,项目名表,0)),"※项目不在项目台账里",IF($E1038="※工作类型没选","※工作类型没选","")))</f>
        <v/>
      </c>
    </row>
    <row r="1039">
      <c r="A1039" s="17">
        <f>IF($C1039="","",ROW()-3)</f>
        <v/>
      </c>
      <c r="B1039" s="18" t="n"/>
      <c r="C1039" s="13" t="n"/>
      <c r="D1039" s="13" t="n"/>
      <c r="E1039" s="17">
        <f>IF($C1039="","",IFERROR(VLOOKUP($D1039,工作归属,2,0),"※工作类型没选"))</f>
        <v/>
      </c>
      <c r="F1039" s="13" t="n"/>
      <c r="G1039" s="13" t="n"/>
      <c r="H1039" s="20" t="n"/>
      <c r="I1039" s="14" t="n"/>
      <c r="J1039" s="19">
        <f>IF($C1039="","",ROUND(IF($H1039="",1,$H1039)*N($I1039),2))</f>
        <v/>
      </c>
      <c r="K1039" s="13" t="n"/>
      <c r="L1039" s="13" t="n"/>
      <c r="M1039" s="17">
        <f>IF($C1039="","",IF(ISNA(MATCH($C1039,项目名表,0)),"※项目不在项目台账里",IF($E1039="※工作类型没选","※工作类型没选","")))</f>
        <v/>
      </c>
    </row>
    <row r="1040">
      <c r="A1040" s="17">
        <f>IF($C1040="","",ROW()-3)</f>
        <v/>
      </c>
      <c r="B1040" s="18" t="n"/>
      <c r="C1040" s="13" t="n"/>
      <c r="D1040" s="13" t="n"/>
      <c r="E1040" s="17">
        <f>IF($C1040="","",IFERROR(VLOOKUP($D1040,工作归属,2,0),"※工作类型没选"))</f>
        <v/>
      </c>
      <c r="F1040" s="13" t="n"/>
      <c r="G1040" s="13" t="n"/>
      <c r="H1040" s="20" t="n"/>
      <c r="I1040" s="14" t="n"/>
      <c r="J1040" s="19">
        <f>IF($C1040="","",ROUND(IF($H1040="",1,$H1040)*N($I1040),2))</f>
        <v/>
      </c>
      <c r="K1040" s="13" t="n"/>
      <c r="L1040" s="13" t="n"/>
      <c r="M1040" s="17">
        <f>IF($C1040="","",IF(ISNA(MATCH($C1040,项目名表,0)),"※项目不在项目台账里",IF($E1040="※工作类型没选","※工作类型没选","")))</f>
        <v/>
      </c>
    </row>
    <row r="1041">
      <c r="A1041" s="17">
        <f>IF($C1041="","",ROW()-3)</f>
        <v/>
      </c>
      <c r="B1041" s="18" t="n"/>
      <c r="C1041" s="13" t="n"/>
      <c r="D1041" s="13" t="n"/>
      <c r="E1041" s="17">
        <f>IF($C1041="","",IFERROR(VLOOKUP($D1041,工作归属,2,0),"※工作类型没选"))</f>
        <v/>
      </c>
      <c r="F1041" s="13" t="n"/>
      <c r="G1041" s="13" t="n"/>
      <c r="H1041" s="20" t="n"/>
      <c r="I1041" s="14" t="n"/>
      <c r="J1041" s="19">
        <f>IF($C1041="","",ROUND(IF($H1041="",1,$H1041)*N($I1041),2))</f>
        <v/>
      </c>
      <c r="K1041" s="13" t="n"/>
      <c r="L1041" s="13" t="n"/>
      <c r="M1041" s="17">
        <f>IF($C1041="","",IF(ISNA(MATCH($C1041,项目名表,0)),"※项目不在项目台账里",IF($E1041="※工作类型没选","※工作类型没选","")))</f>
        <v/>
      </c>
    </row>
    <row r="1042">
      <c r="A1042" s="17">
        <f>IF($C1042="","",ROW()-3)</f>
        <v/>
      </c>
      <c r="B1042" s="18" t="n"/>
      <c r="C1042" s="13" t="n"/>
      <c r="D1042" s="13" t="n"/>
      <c r="E1042" s="17">
        <f>IF($C1042="","",IFERROR(VLOOKUP($D1042,工作归属,2,0),"※工作类型没选"))</f>
        <v/>
      </c>
      <c r="F1042" s="13" t="n"/>
      <c r="G1042" s="13" t="n"/>
      <c r="H1042" s="20" t="n"/>
      <c r="I1042" s="14" t="n"/>
      <c r="J1042" s="19">
        <f>IF($C1042="","",ROUND(IF($H1042="",1,$H1042)*N($I1042),2))</f>
        <v/>
      </c>
      <c r="K1042" s="13" t="n"/>
      <c r="L1042" s="13" t="n"/>
      <c r="M1042" s="17">
        <f>IF($C1042="","",IF(ISNA(MATCH($C1042,项目名表,0)),"※项目不在项目台账里",IF($E1042="※工作类型没选","※工作类型没选","")))</f>
        <v/>
      </c>
    </row>
    <row r="1043">
      <c r="A1043" s="17">
        <f>IF($C1043="","",ROW()-3)</f>
        <v/>
      </c>
      <c r="B1043" s="18" t="n"/>
      <c r="C1043" s="13" t="n"/>
      <c r="D1043" s="13" t="n"/>
      <c r="E1043" s="17">
        <f>IF($C1043="","",IFERROR(VLOOKUP($D1043,工作归属,2,0),"※工作类型没选"))</f>
        <v/>
      </c>
      <c r="F1043" s="13" t="n"/>
      <c r="G1043" s="13" t="n"/>
      <c r="H1043" s="20" t="n"/>
      <c r="I1043" s="14" t="n"/>
      <c r="J1043" s="19">
        <f>IF($C1043="","",ROUND(IF($H1043="",1,$H1043)*N($I1043),2))</f>
        <v/>
      </c>
      <c r="K1043" s="13" t="n"/>
      <c r="L1043" s="13" t="n"/>
      <c r="M1043" s="17">
        <f>IF($C1043="","",IF(ISNA(MATCH($C1043,项目名表,0)),"※项目不在项目台账里",IF($E1043="※工作类型没选","※工作类型没选","")))</f>
        <v/>
      </c>
    </row>
    <row r="1044">
      <c r="A1044" s="17">
        <f>IF($C1044="","",ROW()-3)</f>
        <v/>
      </c>
      <c r="B1044" s="18" t="n"/>
      <c r="C1044" s="13" t="n"/>
      <c r="D1044" s="13" t="n"/>
      <c r="E1044" s="17">
        <f>IF($C1044="","",IFERROR(VLOOKUP($D1044,工作归属,2,0),"※工作类型没选"))</f>
        <v/>
      </c>
      <c r="F1044" s="13" t="n"/>
      <c r="G1044" s="13" t="n"/>
      <c r="H1044" s="20" t="n"/>
      <c r="I1044" s="14" t="n"/>
      <c r="J1044" s="19">
        <f>IF($C1044="","",ROUND(IF($H1044="",1,$H1044)*N($I1044),2))</f>
        <v/>
      </c>
      <c r="K1044" s="13" t="n"/>
      <c r="L1044" s="13" t="n"/>
      <c r="M1044" s="17">
        <f>IF($C1044="","",IF(ISNA(MATCH($C1044,项目名表,0)),"※项目不在项目台账里",IF($E1044="※工作类型没选","※工作类型没选","")))</f>
        <v/>
      </c>
    </row>
    <row r="1045">
      <c r="A1045" s="17">
        <f>IF($C1045="","",ROW()-3)</f>
        <v/>
      </c>
      <c r="B1045" s="18" t="n"/>
      <c r="C1045" s="13" t="n"/>
      <c r="D1045" s="13" t="n"/>
      <c r="E1045" s="17">
        <f>IF($C1045="","",IFERROR(VLOOKUP($D1045,工作归属,2,0),"※工作类型没选"))</f>
        <v/>
      </c>
      <c r="F1045" s="13" t="n"/>
      <c r="G1045" s="13" t="n"/>
      <c r="H1045" s="20" t="n"/>
      <c r="I1045" s="14" t="n"/>
      <c r="J1045" s="19">
        <f>IF($C1045="","",ROUND(IF($H1045="",1,$H1045)*N($I1045),2))</f>
        <v/>
      </c>
      <c r="K1045" s="13" t="n"/>
      <c r="L1045" s="13" t="n"/>
      <c r="M1045" s="17">
        <f>IF($C1045="","",IF(ISNA(MATCH($C1045,项目名表,0)),"※项目不在项目台账里",IF($E1045="※工作类型没选","※工作类型没选","")))</f>
        <v/>
      </c>
    </row>
    <row r="1046">
      <c r="A1046" s="17">
        <f>IF($C1046="","",ROW()-3)</f>
        <v/>
      </c>
      <c r="B1046" s="18" t="n"/>
      <c r="C1046" s="13" t="n"/>
      <c r="D1046" s="13" t="n"/>
      <c r="E1046" s="17">
        <f>IF($C1046="","",IFERROR(VLOOKUP($D1046,工作归属,2,0),"※工作类型没选"))</f>
        <v/>
      </c>
      <c r="F1046" s="13" t="n"/>
      <c r="G1046" s="13" t="n"/>
      <c r="H1046" s="20" t="n"/>
      <c r="I1046" s="14" t="n"/>
      <c r="J1046" s="19">
        <f>IF($C1046="","",ROUND(IF($H1046="",1,$H1046)*N($I1046),2))</f>
        <v/>
      </c>
      <c r="K1046" s="13" t="n"/>
      <c r="L1046" s="13" t="n"/>
      <c r="M1046" s="17">
        <f>IF($C1046="","",IF(ISNA(MATCH($C1046,项目名表,0)),"※项目不在项目台账里",IF($E1046="※工作类型没选","※工作类型没选","")))</f>
        <v/>
      </c>
    </row>
    <row r="1047">
      <c r="A1047" s="17">
        <f>IF($C1047="","",ROW()-3)</f>
        <v/>
      </c>
      <c r="B1047" s="18" t="n"/>
      <c r="C1047" s="13" t="n"/>
      <c r="D1047" s="13" t="n"/>
      <c r="E1047" s="17">
        <f>IF($C1047="","",IFERROR(VLOOKUP($D1047,工作归属,2,0),"※工作类型没选"))</f>
        <v/>
      </c>
      <c r="F1047" s="13" t="n"/>
      <c r="G1047" s="13" t="n"/>
      <c r="H1047" s="20" t="n"/>
      <c r="I1047" s="14" t="n"/>
      <c r="J1047" s="19">
        <f>IF($C1047="","",ROUND(IF($H1047="",1,$H1047)*N($I1047),2))</f>
        <v/>
      </c>
      <c r="K1047" s="13" t="n"/>
      <c r="L1047" s="13" t="n"/>
      <c r="M1047" s="17">
        <f>IF($C1047="","",IF(ISNA(MATCH($C1047,项目名表,0)),"※项目不在项目台账里",IF($E1047="※工作类型没选","※工作类型没选","")))</f>
        <v/>
      </c>
    </row>
    <row r="1048">
      <c r="A1048" s="17">
        <f>IF($C1048="","",ROW()-3)</f>
        <v/>
      </c>
      <c r="B1048" s="18" t="n"/>
      <c r="C1048" s="13" t="n"/>
      <c r="D1048" s="13" t="n"/>
      <c r="E1048" s="17">
        <f>IF($C1048="","",IFERROR(VLOOKUP($D1048,工作归属,2,0),"※工作类型没选"))</f>
        <v/>
      </c>
      <c r="F1048" s="13" t="n"/>
      <c r="G1048" s="13" t="n"/>
      <c r="H1048" s="20" t="n"/>
      <c r="I1048" s="14" t="n"/>
      <c r="J1048" s="19">
        <f>IF($C1048="","",ROUND(IF($H1048="",1,$H1048)*N($I1048),2))</f>
        <v/>
      </c>
      <c r="K1048" s="13" t="n"/>
      <c r="L1048" s="13" t="n"/>
      <c r="M1048" s="17">
        <f>IF($C1048="","",IF(ISNA(MATCH($C1048,项目名表,0)),"※项目不在项目台账里",IF($E1048="※工作类型没选","※工作类型没选","")))</f>
        <v/>
      </c>
    </row>
    <row r="1049">
      <c r="A1049" s="17">
        <f>IF($C1049="","",ROW()-3)</f>
        <v/>
      </c>
      <c r="B1049" s="18" t="n"/>
      <c r="C1049" s="13" t="n"/>
      <c r="D1049" s="13" t="n"/>
      <c r="E1049" s="17">
        <f>IF($C1049="","",IFERROR(VLOOKUP($D1049,工作归属,2,0),"※工作类型没选"))</f>
        <v/>
      </c>
      <c r="F1049" s="13" t="n"/>
      <c r="G1049" s="13" t="n"/>
      <c r="H1049" s="20" t="n"/>
      <c r="I1049" s="14" t="n"/>
      <c r="J1049" s="19">
        <f>IF($C1049="","",ROUND(IF($H1049="",1,$H1049)*N($I1049),2))</f>
        <v/>
      </c>
      <c r="K1049" s="13" t="n"/>
      <c r="L1049" s="13" t="n"/>
      <c r="M1049" s="17">
        <f>IF($C1049="","",IF(ISNA(MATCH($C1049,项目名表,0)),"※项目不在项目台账里",IF($E1049="※工作类型没选","※工作类型没选","")))</f>
        <v/>
      </c>
    </row>
    <row r="1050">
      <c r="A1050" s="17">
        <f>IF($C1050="","",ROW()-3)</f>
        <v/>
      </c>
      <c r="B1050" s="18" t="n"/>
      <c r="C1050" s="13" t="n"/>
      <c r="D1050" s="13" t="n"/>
      <c r="E1050" s="17">
        <f>IF($C1050="","",IFERROR(VLOOKUP($D1050,工作归属,2,0),"※工作类型没选"))</f>
        <v/>
      </c>
      <c r="F1050" s="13" t="n"/>
      <c r="G1050" s="13" t="n"/>
      <c r="H1050" s="20" t="n"/>
      <c r="I1050" s="14" t="n"/>
      <c r="J1050" s="19">
        <f>IF($C1050="","",ROUND(IF($H1050="",1,$H1050)*N($I1050),2))</f>
        <v/>
      </c>
      <c r="K1050" s="13" t="n"/>
      <c r="L1050" s="13" t="n"/>
      <c r="M1050" s="17">
        <f>IF($C1050="","",IF(ISNA(MATCH($C1050,项目名表,0)),"※项目不在项目台账里",IF($E1050="※工作类型没选","※工作类型没选","")))</f>
        <v/>
      </c>
    </row>
    <row r="1051">
      <c r="A1051" s="17">
        <f>IF($C1051="","",ROW()-3)</f>
        <v/>
      </c>
      <c r="B1051" s="18" t="n"/>
      <c r="C1051" s="13" t="n"/>
      <c r="D1051" s="13" t="n"/>
      <c r="E1051" s="17">
        <f>IF($C1051="","",IFERROR(VLOOKUP($D1051,工作归属,2,0),"※工作类型没选"))</f>
        <v/>
      </c>
      <c r="F1051" s="13" t="n"/>
      <c r="G1051" s="13" t="n"/>
      <c r="H1051" s="20" t="n"/>
      <c r="I1051" s="14" t="n"/>
      <c r="J1051" s="19">
        <f>IF($C1051="","",ROUND(IF($H1051="",1,$H1051)*N($I1051),2))</f>
        <v/>
      </c>
      <c r="K1051" s="13" t="n"/>
      <c r="L1051" s="13" t="n"/>
      <c r="M1051" s="17">
        <f>IF($C1051="","",IF(ISNA(MATCH($C1051,项目名表,0)),"※项目不在项目台账里",IF($E1051="※工作类型没选","※工作类型没选","")))</f>
        <v/>
      </c>
    </row>
    <row r="1052">
      <c r="A1052" s="17">
        <f>IF($C1052="","",ROW()-3)</f>
        <v/>
      </c>
      <c r="B1052" s="18" t="n"/>
      <c r="C1052" s="13" t="n"/>
      <c r="D1052" s="13" t="n"/>
      <c r="E1052" s="17">
        <f>IF($C1052="","",IFERROR(VLOOKUP($D1052,工作归属,2,0),"※工作类型没选"))</f>
        <v/>
      </c>
      <c r="F1052" s="13" t="n"/>
      <c r="G1052" s="13" t="n"/>
      <c r="H1052" s="20" t="n"/>
      <c r="I1052" s="14" t="n"/>
      <c r="J1052" s="19">
        <f>IF($C1052="","",ROUND(IF($H1052="",1,$H1052)*N($I1052),2))</f>
        <v/>
      </c>
      <c r="K1052" s="13" t="n"/>
      <c r="L1052" s="13" t="n"/>
      <c r="M1052" s="17">
        <f>IF($C1052="","",IF(ISNA(MATCH($C1052,项目名表,0)),"※项目不在项目台账里",IF($E1052="※工作类型没选","※工作类型没选","")))</f>
        <v/>
      </c>
    </row>
    <row r="1053">
      <c r="A1053" s="17">
        <f>IF($C1053="","",ROW()-3)</f>
        <v/>
      </c>
      <c r="B1053" s="18" t="n"/>
      <c r="C1053" s="13" t="n"/>
      <c r="D1053" s="13" t="n"/>
      <c r="E1053" s="17">
        <f>IF($C1053="","",IFERROR(VLOOKUP($D1053,工作归属,2,0),"※工作类型没选"))</f>
        <v/>
      </c>
      <c r="F1053" s="13" t="n"/>
      <c r="G1053" s="13" t="n"/>
      <c r="H1053" s="20" t="n"/>
      <c r="I1053" s="14" t="n"/>
      <c r="J1053" s="19">
        <f>IF($C1053="","",ROUND(IF($H1053="",1,$H1053)*N($I1053),2))</f>
        <v/>
      </c>
      <c r="K1053" s="13" t="n"/>
      <c r="L1053" s="13" t="n"/>
      <c r="M1053" s="17">
        <f>IF($C1053="","",IF(ISNA(MATCH($C1053,项目名表,0)),"※项目不在项目台账里",IF($E1053="※工作类型没选","※工作类型没选","")))</f>
        <v/>
      </c>
    </row>
    <row r="1054">
      <c r="A1054" s="17">
        <f>IF($C1054="","",ROW()-3)</f>
        <v/>
      </c>
      <c r="B1054" s="18" t="n"/>
      <c r="C1054" s="13" t="n"/>
      <c r="D1054" s="13" t="n"/>
      <c r="E1054" s="17">
        <f>IF($C1054="","",IFERROR(VLOOKUP($D1054,工作归属,2,0),"※工作类型没选"))</f>
        <v/>
      </c>
      <c r="F1054" s="13" t="n"/>
      <c r="G1054" s="13" t="n"/>
      <c r="H1054" s="20" t="n"/>
      <c r="I1054" s="14" t="n"/>
      <c r="J1054" s="19">
        <f>IF($C1054="","",ROUND(IF($H1054="",1,$H1054)*N($I1054),2))</f>
        <v/>
      </c>
      <c r="K1054" s="13" t="n"/>
      <c r="L1054" s="13" t="n"/>
      <c r="M1054" s="17">
        <f>IF($C1054="","",IF(ISNA(MATCH($C1054,项目名表,0)),"※项目不在项目台账里",IF($E1054="※工作类型没选","※工作类型没选","")))</f>
        <v/>
      </c>
    </row>
    <row r="1055">
      <c r="A1055" s="17">
        <f>IF($C1055="","",ROW()-3)</f>
        <v/>
      </c>
      <c r="B1055" s="18" t="n"/>
      <c r="C1055" s="13" t="n"/>
      <c r="D1055" s="13" t="n"/>
      <c r="E1055" s="17">
        <f>IF($C1055="","",IFERROR(VLOOKUP($D1055,工作归属,2,0),"※工作类型没选"))</f>
        <v/>
      </c>
      <c r="F1055" s="13" t="n"/>
      <c r="G1055" s="13" t="n"/>
      <c r="H1055" s="20" t="n"/>
      <c r="I1055" s="14" t="n"/>
      <c r="J1055" s="19">
        <f>IF($C1055="","",ROUND(IF($H1055="",1,$H1055)*N($I1055),2))</f>
        <v/>
      </c>
      <c r="K1055" s="13" t="n"/>
      <c r="L1055" s="13" t="n"/>
      <c r="M1055" s="17">
        <f>IF($C1055="","",IF(ISNA(MATCH($C1055,项目名表,0)),"※项目不在项目台账里",IF($E1055="※工作类型没选","※工作类型没选","")))</f>
        <v/>
      </c>
    </row>
    <row r="1056">
      <c r="A1056" s="17">
        <f>IF($C1056="","",ROW()-3)</f>
        <v/>
      </c>
      <c r="B1056" s="18" t="n"/>
      <c r="C1056" s="13" t="n"/>
      <c r="D1056" s="13" t="n"/>
      <c r="E1056" s="17">
        <f>IF($C1056="","",IFERROR(VLOOKUP($D1056,工作归属,2,0),"※工作类型没选"))</f>
        <v/>
      </c>
      <c r="F1056" s="13" t="n"/>
      <c r="G1056" s="13" t="n"/>
      <c r="H1056" s="20" t="n"/>
      <c r="I1056" s="14" t="n"/>
      <c r="J1056" s="19">
        <f>IF($C1056="","",ROUND(IF($H1056="",1,$H1056)*N($I1056),2))</f>
        <v/>
      </c>
      <c r="K1056" s="13" t="n"/>
      <c r="L1056" s="13" t="n"/>
      <c r="M1056" s="17">
        <f>IF($C1056="","",IF(ISNA(MATCH($C1056,项目名表,0)),"※项目不在项目台账里",IF($E1056="※工作类型没选","※工作类型没选","")))</f>
        <v/>
      </c>
    </row>
    <row r="1057">
      <c r="A1057" s="17">
        <f>IF($C1057="","",ROW()-3)</f>
        <v/>
      </c>
      <c r="B1057" s="18" t="n"/>
      <c r="C1057" s="13" t="n"/>
      <c r="D1057" s="13" t="n"/>
      <c r="E1057" s="17">
        <f>IF($C1057="","",IFERROR(VLOOKUP($D1057,工作归属,2,0),"※工作类型没选"))</f>
        <v/>
      </c>
      <c r="F1057" s="13" t="n"/>
      <c r="G1057" s="13" t="n"/>
      <c r="H1057" s="20" t="n"/>
      <c r="I1057" s="14" t="n"/>
      <c r="J1057" s="19">
        <f>IF($C1057="","",ROUND(IF($H1057="",1,$H1057)*N($I1057),2))</f>
        <v/>
      </c>
      <c r="K1057" s="13" t="n"/>
      <c r="L1057" s="13" t="n"/>
      <c r="M1057" s="17">
        <f>IF($C1057="","",IF(ISNA(MATCH($C1057,项目名表,0)),"※项目不在项目台账里",IF($E1057="※工作类型没选","※工作类型没选","")))</f>
        <v/>
      </c>
    </row>
    <row r="1058">
      <c r="A1058" s="17">
        <f>IF($C1058="","",ROW()-3)</f>
        <v/>
      </c>
      <c r="B1058" s="18" t="n"/>
      <c r="C1058" s="13" t="n"/>
      <c r="D1058" s="13" t="n"/>
      <c r="E1058" s="17">
        <f>IF($C1058="","",IFERROR(VLOOKUP($D1058,工作归属,2,0),"※工作类型没选"))</f>
        <v/>
      </c>
      <c r="F1058" s="13" t="n"/>
      <c r="G1058" s="13" t="n"/>
      <c r="H1058" s="20" t="n"/>
      <c r="I1058" s="14" t="n"/>
      <c r="J1058" s="19">
        <f>IF($C1058="","",ROUND(IF($H1058="",1,$H1058)*N($I1058),2))</f>
        <v/>
      </c>
      <c r="K1058" s="13" t="n"/>
      <c r="L1058" s="13" t="n"/>
      <c r="M1058" s="17">
        <f>IF($C1058="","",IF(ISNA(MATCH($C1058,项目名表,0)),"※项目不在项目台账里",IF($E1058="※工作类型没选","※工作类型没选","")))</f>
        <v/>
      </c>
    </row>
    <row r="1059">
      <c r="A1059" s="17">
        <f>IF($C1059="","",ROW()-3)</f>
        <v/>
      </c>
      <c r="B1059" s="18" t="n"/>
      <c r="C1059" s="13" t="n"/>
      <c r="D1059" s="13" t="n"/>
      <c r="E1059" s="17">
        <f>IF($C1059="","",IFERROR(VLOOKUP($D1059,工作归属,2,0),"※工作类型没选"))</f>
        <v/>
      </c>
      <c r="F1059" s="13" t="n"/>
      <c r="G1059" s="13" t="n"/>
      <c r="H1059" s="20" t="n"/>
      <c r="I1059" s="14" t="n"/>
      <c r="J1059" s="19">
        <f>IF($C1059="","",ROUND(IF($H1059="",1,$H1059)*N($I1059),2))</f>
        <v/>
      </c>
      <c r="K1059" s="13" t="n"/>
      <c r="L1059" s="13" t="n"/>
      <c r="M1059" s="17">
        <f>IF($C1059="","",IF(ISNA(MATCH($C1059,项目名表,0)),"※项目不在项目台账里",IF($E1059="※工作类型没选","※工作类型没选","")))</f>
        <v/>
      </c>
    </row>
    <row r="1060">
      <c r="A1060" s="17">
        <f>IF($C1060="","",ROW()-3)</f>
        <v/>
      </c>
      <c r="B1060" s="18" t="n"/>
      <c r="C1060" s="13" t="n"/>
      <c r="D1060" s="13" t="n"/>
      <c r="E1060" s="17">
        <f>IF($C1060="","",IFERROR(VLOOKUP($D1060,工作归属,2,0),"※工作类型没选"))</f>
        <v/>
      </c>
      <c r="F1060" s="13" t="n"/>
      <c r="G1060" s="13" t="n"/>
      <c r="H1060" s="20" t="n"/>
      <c r="I1060" s="14" t="n"/>
      <c r="J1060" s="19">
        <f>IF($C1060="","",ROUND(IF($H1060="",1,$H1060)*N($I1060),2))</f>
        <v/>
      </c>
      <c r="K1060" s="13" t="n"/>
      <c r="L1060" s="13" t="n"/>
      <c r="M1060" s="17">
        <f>IF($C1060="","",IF(ISNA(MATCH($C1060,项目名表,0)),"※项目不在项目台账里",IF($E1060="※工作类型没选","※工作类型没选","")))</f>
        <v/>
      </c>
    </row>
    <row r="1061">
      <c r="A1061" s="17">
        <f>IF($C1061="","",ROW()-3)</f>
        <v/>
      </c>
      <c r="B1061" s="18" t="n"/>
      <c r="C1061" s="13" t="n"/>
      <c r="D1061" s="13" t="n"/>
      <c r="E1061" s="17">
        <f>IF($C1061="","",IFERROR(VLOOKUP($D1061,工作归属,2,0),"※工作类型没选"))</f>
        <v/>
      </c>
      <c r="F1061" s="13" t="n"/>
      <c r="G1061" s="13" t="n"/>
      <c r="H1061" s="20" t="n"/>
      <c r="I1061" s="14" t="n"/>
      <c r="J1061" s="19">
        <f>IF($C1061="","",ROUND(IF($H1061="",1,$H1061)*N($I1061),2))</f>
        <v/>
      </c>
      <c r="K1061" s="13" t="n"/>
      <c r="L1061" s="13" t="n"/>
      <c r="M1061" s="17">
        <f>IF($C1061="","",IF(ISNA(MATCH($C1061,项目名表,0)),"※项目不在项目台账里",IF($E1061="※工作类型没选","※工作类型没选","")))</f>
        <v/>
      </c>
    </row>
    <row r="1062">
      <c r="A1062" s="17">
        <f>IF($C1062="","",ROW()-3)</f>
        <v/>
      </c>
      <c r="B1062" s="18" t="n"/>
      <c r="C1062" s="13" t="n"/>
      <c r="D1062" s="13" t="n"/>
      <c r="E1062" s="17">
        <f>IF($C1062="","",IFERROR(VLOOKUP($D1062,工作归属,2,0),"※工作类型没选"))</f>
        <v/>
      </c>
      <c r="F1062" s="13" t="n"/>
      <c r="G1062" s="13" t="n"/>
      <c r="H1062" s="20" t="n"/>
      <c r="I1062" s="14" t="n"/>
      <c r="J1062" s="19">
        <f>IF($C1062="","",ROUND(IF($H1062="",1,$H1062)*N($I1062),2))</f>
        <v/>
      </c>
      <c r="K1062" s="13" t="n"/>
      <c r="L1062" s="13" t="n"/>
      <c r="M1062" s="17">
        <f>IF($C1062="","",IF(ISNA(MATCH($C1062,项目名表,0)),"※项目不在项目台账里",IF($E1062="※工作类型没选","※工作类型没选","")))</f>
        <v/>
      </c>
    </row>
    <row r="1063">
      <c r="A1063" s="17">
        <f>IF($C1063="","",ROW()-3)</f>
        <v/>
      </c>
      <c r="B1063" s="18" t="n"/>
      <c r="C1063" s="13" t="n"/>
      <c r="D1063" s="13" t="n"/>
      <c r="E1063" s="17">
        <f>IF($C1063="","",IFERROR(VLOOKUP($D1063,工作归属,2,0),"※工作类型没选"))</f>
        <v/>
      </c>
      <c r="F1063" s="13" t="n"/>
      <c r="G1063" s="13" t="n"/>
      <c r="H1063" s="20" t="n"/>
      <c r="I1063" s="14" t="n"/>
      <c r="J1063" s="19">
        <f>IF($C1063="","",ROUND(IF($H1063="",1,$H1063)*N($I1063),2))</f>
        <v/>
      </c>
      <c r="K1063" s="13" t="n"/>
      <c r="L1063" s="13" t="n"/>
      <c r="M1063" s="17">
        <f>IF($C1063="","",IF(ISNA(MATCH($C1063,项目名表,0)),"※项目不在项目台账里",IF($E1063="※工作类型没选","※工作类型没选","")))</f>
        <v/>
      </c>
    </row>
    <row r="1064">
      <c r="A1064" s="17">
        <f>IF($C1064="","",ROW()-3)</f>
        <v/>
      </c>
      <c r="B1064" s="18" t="n"/>
      <c r="C1064" s="13" t="n"/>
      <c r="D1064" s="13" t="n"/>
      <c r="E1064" s="17">
        <f>IF($C1064="","",IFERROR(VLOOKUP($D1064,工作归属,2,0),"※工作类型没选"))</f>
        <v/>
      </c>
      <c r="F1064" s="13" t="n"/>
      <c r="G1064" s="13" t="n"/>
      <c r="H1064" s="20" t="n"/>
      <c r="I1064" s="14" t="n"/>
      <c r="J1064" s="19">
        <f>IF($C1064="","",ROUND(IF($H1064="",1,$H1064)*N($I1064),2))</f>
        <v/>
      </c>
      <c r="K1064" s="13" t="n"/>
      <c r="L1064" s="13" t="n"/>
      <c r="M1064" s="17">
        <f>IF($C1064="","",IF(ISNA(MATCH($C1064,项目名表,0)),"※项目不在项目台账里",IF($E1064="※工作类型没选","※工作类型没选","")))</f>
        <v/>
      </c>
    </row>
    <row r="1065">
      <c r="A1065" s="17">
        <f>IF($C1065="","",ROW()-3)</f>
        <v/>
      </c>
      <c r="B1065" s="18" t="n"/>
      <c r="C1065" s="13" t="n"/>
      <c r="D1065" s="13" t="n"/>
      <c r="E1065" s="17">
        <f>IF($C1065="","",IFERROR(VLOOKUP($D1065,工作归属,2,0),"※工作类型没选"))</f>
        <v/>
      </c>
      <c r="F1065" s="13" t="n"/>
      <c r="G1065" s="13" t="n"/>
      <c r="H1065" s="20" t="n"/>
      <c r="I1065" s="14" t="n"/>
      <c r="J1065" s="19">
        <f>IF($C1065="","",ROUND(IF($H1065="",1,$H1065)*N($I1065),2))</f>
        <v/>
      </c>
      <c r="K1065" s="13" t="n"/>
      <c r="L1065" s="13" t="n"/>
      <c r="M1065" s="17">
        <f>IF($C1065="","",IF(ISNA(MATCH($C1065,项目名表,0)),"※项目不在项目台账里",IF($E1065="※工作类型没选","※工作类型没选","")))</f>
        <v/>
      </c>
    </row>
    <row r="1066">
      <c r="A1066" s="17">
        <f>IF($C1066="","",ROW()-3)</f>
        <v/>
      </c>
      <c r="B1066" s="18" t="n"/>
      <c r="C1066" s="13" t="n"/>
      <c r="D1066" s="13" t="n"/>
      <c r="E1066" s="17">
        <f>IF($C1066="","",IFERROR(VLOOKUP($D1066,工作归属,2,0),"※工作类型没选"))</f>
        <v/>
      </c>
      <c r="F1066" s="13" t="n"/>
      <c r="G1066" s="13" t="n"/>
      <c r="H1066" s="20" t="n"/>
      <c r="I1066" s="14" t="n"/>
      <c r="J1066" s="19">
        <f>IF($C1066="","",ROUND(IF($H1066="",1,$H1066)*N($I1066),2))</f>
        <v/>
      </c>
      <c r="K1066" s="13" t="n"/>
      <c r="L1066" s="13" t="n"/>
      <c r="M1066" s="17">
        <f>IF($C1066="","",IF(ISNA(MATCH($C1066,项目名表,0)),"※项目不在项目台账里",IF($E1066="※工作类型没选","※工作类型没选","")))</f>
        <v/>
      </c>
    </row>
    <row r="1067">
      <c r="A1067" s="17">
        <f>IF($C1067="","",ROW()-3)</f>
        <v/>
      </c>
      <c r="B1067" s="18" t="n"/>
      <c r="C1067" s="13" t="n"/>
      <c r="D1067" s="13" t="n"/>
      <c r="E1067" s="17">
        <f>IF($C1067="","",IFERROR(VLOOKUP($D1067,工作归属,2,0),"※工作类型没选"))</f>
        <v/>
      </c>
      <c r="F1067" s="13" t="n"/>
      <c r="G1067" s="13" t="n"/>
      <c r="H1067" s="20" t="n"/>
      <c r="I1067" s="14" t="n"/>
      <c r="J1067" s="19">
        <f>IF($C1067="","",ROUND(IF($H1067="",1,$H1067)*N($I1067),2))</f>
        <v/>
      </c>
      <c r="K1067" s="13" t="n"/>
      <c r="L1067" s="13" t="n"/>
      <c r="M1067" s="17">
        <f>IF($C1067="","",IF(ISNA(MATCH($C1067,项目名表,0)),"※项目不在项目台账里",IF($E1067="※工作类型没选","※工作类型没选","")))</f>
        <v/>
      </c>
    </row>
    <row r="1068">
      <c r="A1068" s="17">
        <f>IF($C1068="","",ROW()-3)</f>
        <v/>
      </c>
      <c r="B1068" s="18" t="n"/>
      <c r="C1068" s="13" t="n"/>
      <c r="D1068" s="13" t="n"/>
      <c r="E1068" s="17">
        <f>IF($C1068="","",IFERROR(VLOOKUP($D1068,工作归属,2,0),"※工作类型没选"))</f>
        <v/>
      </c>
      <c r="F1068" s="13" t="n"/>
      <c r="G1068" s="13" t="n"/>
      <c r="H1068" s="20" t="n"/>
      <c r="I1068" s="14" t="n"/>
      <c r="J1068" s="19">
        <f>IF($C1068="","",ROUND(IF($H1068="",1,$H1068)*N($I1068),2))</f>
        <v/>
      </c>
      <c r="K1068" s="13" t="n"/>
      <c r="L1068" s="13" t="n"/>
      <c r="M1068" s="17">
        <f>IF($C1068="","",IF(ISNA(MATCH($C1068,项目名表,0)),"※项目不在项目台账里",IF($E1068="※工作类型没选","※工作类型没选","")))</f>
        <v/>
      </c>
    </row>
    <row r="1069">
      <c r="A1069" s="17">
        <f>IF($C1069="","",ROW()-3)</f>
        <v/>
      </c>
      <c r="B1069" s="18" t="n"/>
      <c r="C1069" s="13" t="n"/>
      <c r="D1069" s="13" t="n"/>
      <c r="E1069" s="17">
        <f>IF($C1069="","",IFERROR(VLOOKUP($D1069,工作归属,2,0),"※工作类型没选"))</f>
        <v/>
      </c>
      <c r="F1069" s="13" t="n"/>
      <c r="G1069" s="13" t="n"/>
      <c r="H1069" s="20" t="n"/>
      <c r="I1069" s="14" t="n"/>
      <c r="J1069" s="19">
        <f>IF($C1069="","",ROUND(IF($H1069="",1,$H1069)*N($I1069),2))</f>
        <v/>
      </c>
      <c r="K1069" s="13" t="n"/>
      <c r="L1069" s="13" t="n"/>
      <c r="M1069" s="17">
        <f>IF($C1069="","",IF(ISNA(MATCH($C1069,项目名表,0)),"※项目不在项目台账里",IF($E1069="※工作类型没选","※工作类型没选","")))</f>
        <v/>
      </c>
    </row>
    <row r="1070">
      <c r="A1070" s="17">
        <f>IF($C1070="","",ROW()-3)</f>
        <v/>
      </c>
      <c r="B1070" s="18" t="n"/>
      <c r="C1070" s="13" t="n"/>
      <c r="D1070" s="13" t="n"/>
      <c r="E1070" s="17">
        <f>IF($C1070="","",IFERROR(VLOOKUP($D1070,工作归属,2,0),"※工作类型没选"))</f>
        <v/>
      </c>
      <c r="F1070" s="13" t="n"/>
      <c r="G1070" s="13" t="n"/>
      <c r="H1070" s="20" t="n"/>
      <c r="I1070" s="14" t="n"/>
      <c r="J1070" s="19">
        <f>IF($C1070="","",ROUND(IF($H1070="",1,$H1070)*N($I1070),2))</f>
        <v/>
      </c>
      <c r="K1070" s="13" t="n"/>
      <c r="L1070" s="13" t="n"/>
      <c r="M1070" s="17">
        <f>IF($C1070="","",IF(ISNA(MATCH($C1070,项目名表,0)),"※项目不在项目台账里",IF($E1070="※工作类型没选","※工作类型没选","")))</f>
        <v/>
      </c>
    </row>
    <row r="1071">
      <c r="A1071" s="17">
        <f>IF($C1071="","",ROW()-3)</f>
        <v/>
      </c>
      <c r="B1071" s="18" t="n"/>
      <c r="C1071" s="13" t="n"/>
      <c r="D1071" s="13" t="n"/>
      <c r="E1071" s="17">
        <f>IF($C1071="","",IFERROR(VLOOKUP($D1071,工作归属,2,0),"※工作类型没选"))</f>
        <v/>
      </c>
      <c r="F1071" s="13" t="n"/>
      <c r="G1071" s="13" t="n"/>
      <c r="H1071" s="20" t="n"/>
      <c r="I1071" s="14" t="n"/>
      <c r="J1071" s="19">
        <f>IF($C1071="","",ROUND(IF($H1071="",1,$H1071)*N($I1071),2))</f>
        <v/>
      </c>
      <c r="K1071" s="13" t="n"/>
      <c r="L1071" s="13" t="n"/>
      <c r="M1071" s="17">
        <f>IF($C1071="","",IF(ISNA(MATCH($C1071,项目名表,0)),"※项目不在项目台账里",IF($E1071="※工作类型没选","※工作类型没选","")))</f>
        <v/>
      </c>
    </row>
    <row r="1072">
      <c r="A1072" s="17">
        <f>IF($C1072="","",ROW()-3)</f>
        <v/>
      </c>
      <c r="B1072" s="18" t="n"/>
      <c r="C1072" s="13" t="n"/>
      <c r="D1072" s="13" t="n"/>
      <c r="E1072" s="17">
        <f>IF($C1072="","",IFERROR(VLOOKUP($D1072,工作归属,2,0),"※工作类型没选"))</f>
        <v/>
      </c>
      <c r="F1072" s="13" t="n"/>
      <c r="G1072" s="13" t="n"/>
      <c r="H1072" s="20" t="n"/>
      <c r="I1072" s="14" t="n"/>
      <c r="J1072" s="19">
        <f>IF($C1072="","",ROUND(IF($H1072="",1,$H1072)*N($I1072),2))</f>
        <v/>
      </c>
      <c r="K1072" s="13" t="n"/>
      <c r="L1072" s="13" t="n"/>
      <c r="M1072" s="17">
        <f>IF($C1072="","",IF(ISNA(MATCH($C1072,项目名表,0)),"※项目不在项目台账里",IF($E1072="※工作类型没选","※工作类型没选","")))</f>
        <v/>
      </c>
    </row>
    <row r="1073">
      <c r="A1073" s="17">
        <f>IF($C1073="","",ROW()-3)</f>
        <v/>
      </c>
      <c r="B1073" s="18" t="n"/>
      <c r="C1073" s="13" t="n"/>
      <c r="D1073" s="13" t="n"/>
      <c r="E1073" s="17">
        <f>IF($C1073="","",IFERROR(VLOOKUP($D1073,工作归属,2,0),"※工作类型没选"))</f>
        <v/>
      </c>
      <c r="F1073" s="13" t="n"/>
      <c r="G1073" s="13" t="n"/>
      <c r="H1073" s="20" t="n"/>
      <c r="I1073" s="14" t="n"/>
      <c r="J1073" s="19">
        <f>IF($C1073="","",ROUND(IF($H1073="",1,$H1073)*N($I1073),2))</f>
        <v/>
      </c>
      <c r="K1073" s="13" t="n"/>
      <c r="L1073" s="13" t="n"/>
      <c r="M1073" s="17">
        <f>IF($C1073="","",IF(ISNA(MATCH($C1073,项目名表,0)),"※项目不在项目台账里",IF($E1073="※工作类型没选","※工作类型没选","")))</f>
        <v/>
      </c>
    </row>
    <row r="1074">
      <c r="A1074" s="17">
        <f>IF($C1074="","",ROW()-3)</f>
        <v/>
      </c>
      <c r="B1074" s="18" t="n"/>
      <c r="C1074" s="13" t="n"/>
      <c r="D1074" s="13" t="n"/>
      <c r="E1074" s="17">
        <f>IF($C1074="","",IFERROR(VLOOKUP($D1074,工作归属,2,0),"※工作类型没选"))</f>
        <v/>
      </c>
      <c r="F1074" s="13" t="n"/>
      <c r="G1074" s="13" t="n"/>
      <c r="H1074" s="20" t="n"/>
      <c r="I1074" s="14" t="n"/>
      <c r="J1074" s="19">
        <f>IF($C1074="","",ROUND(IF($H1074="",1,$H1074)*N($I1074),2))</f>
        <v/>
      </c>
      <c r="K1074" s="13" t="n"/>
      <c r="L1074" s="13" t="n"/>
      <c r="M1074" s="17">
        <f>IF($C1074="","",IF(ISNA(MATCH($C1074,项目名表,0)),"※项目不在项目台账里",IF($E1074="※工作类型没选","※工作类型没选","")))</f>
        <v/>
      </c>
    </row>
    <row r="1075">
      <c r="A1075" s="17">
        <f>IF($C1075="","",ROW()-3)</f>
        <v/>
      </c>
      <c r="B1075" s="18" t="n"/>
      <c r="C1075" s="13" t="n"/>
      <c r="D1075" s="13" t="n"/>
      <c r="E1075" s="17">
        <f>IF($C1075="","",IFERROR(VLOOKUP($D1075,工作归属,2,0),"※工作类型没选"))</f>
        <v/>
      </c>
      <c r="F1075" s="13" t="n"/>
      <c r="G1075" s="13" t="n"/>
      <c r="H1075" s="20" t="n"/>
      <c r="I1075" s="14" t="n"/>
      <c r="J1075" s="19">
        <f>IF($C1075="","",ROUND(IF($H1075="",1,$H1075)*N($I1075),2))</f>
        <v/>
      </c>
      <c r="K1075" s="13" t="n"/>
      <c r="L1075" s="13" t="n"/>
      <c r="M1075" s="17">
        <f>IF($C1075="","",IF(ISNA(MATCH($C1075,项目名表,0)),"※项目不在项目台账里",IF($E1075="※工作类型没选","※工作类型没选","")))</f>
        <v/>
      </c>
    </row>
    <row r="1076">
      <c r="A1076" s="17">
        <f>IF($C1076="","",ROW()-3)</f>
        <v/>
      </c>
      <c r="B1076" s="18" t="n"/>
      <c r="C1076" s="13" t="n"/>
      <c r="D1076" s="13" t="n"/>
      <c r="E1076" s="17">
        <f>IF($C1076="","",IFERROR(VLOOKUP($D1076,工作归属,2,0),"※工作类型没选"))</f>
        <v/>
      </c>
      <c r="F1076" s="13" t="n"/>
      <c r="G1076" s="13" t="n"/>
      <c r="H1076" s="20" t="n"/>
      <c r="I1076" s="14" t="n"/>
      <c r="J1076" s="19">
        <f>IF($C1076="","",ROUND(IF($H1076="",1,$H1076)*N($I1076),2))</f>
        <v/>
      </c>
      <c r="K1076" s="13" t="n"/>
      <c r="L1076" s="13" t="n"/>
      <c r="M1076" s="17">
        <f>IF($C1076="","",IF(ISNA(MATCH($C1076,项目名表,0)),"※项目不在项目台账里",IF($E1076="※工作类型没选","※工作类型没选","")))</f>
        <v/>
      </c>
    </row>
    <row r="1077">
      <c r="A1077" s="17">
        <f>IF($C1077="","",ROW()-3)</f>
        <v/>
      </c>
      <c r="B1077" s="18" t="n"/>
      <c r="C1077" s="13" t="n"/>
      <c r="D1077" s="13" t="n"/>
      <c r="E1077" s="17">
        <f>IF($C1077="","",IFERROR(VLOOKUP($D1077,工作归属,2,0),"※工作类型没选"))</f>
        <v/>
      </c>
      <c r="F1077" s="13" t="n"/>
      <c r="G1077" s="13" t="n"/>
      <c r="H1077" s="20" t="n"/>
      <c r="I1077" s="14" t="n"/>
      <c r="J1077" s="19">
        <f>IF($C1077="","",ROUND(IF($H1077="",1,$H1077)*N($I1077),2))</f>
        <v/>
      </c>
      <c r="K1077" s="13" t="n"/>
      <c r="L1077" s="13" t="n"/>
      <c r="M1077" s="17">
        <f>IF($C1077="","",IF(ISNA(MATCH($C1077,项目名表,0)),"※项目不在项目台账里",IF($E1077="※工作类型没选","※工作类型没选","")))</f>
        <v/>
      </c>
    </row>
    <row r="1078">
      <c r="A1078" s="17">
        <f>IF($C1078="","",ROW()-3)</f>
        <v/>
      </c>
      <c r="B1078" s="18" t="n"/>
      <c r="C1078" s="13" t="n"/>
      <c r="D1078" s="13" t="n"/>
      <c r="E1078" s="17">
        <f>IF($C1078="","",IFERROR(VLOOKUP($D1078,工作归属,2,0),"※工作类型没选"))</f>
        <v/>
      </c>
      <c r="F1078" s="13" t="n"/>
      <c r="G1078" s="13" t="n"/>
      <c r="H1078" s="20" t="n"/>
      <c r="I1078" s="14" t="n"/>
      <c r="J1078" s="19">
        <f>IF($C1078="","",ROUND(IF($H1078="",1,$H1078)*N($I1078),2))</f>
        <v/>
      </c>
      <c r="K1078" s="13" t="n"/>
      <c r="L1078" s="13" t="n"/>
      <c r="M1078" s="17">
        <f>IF($C1078="","",IF(ISNA(MATCH($C1078,项目名表,0)),"※项目不在项目台账里",IF($E1078="※工作类型没选","※工作类型没选","")))</f>
        <v/>
      </c>
    </row>
    <row r="1079">
      <c r="A1079" s="17">
        <f>IF($C1079="","",ROW()-3)</f>
        <v/>
      </c>
      <c r="B1079" s="18" t="n"/>
      <c r="C1079" s="13" t="n"/>
      <c r="D1079" s="13" t="n"/>
      <c r="E1079" s="17">
        <f>IF($C1079="","",IFERROR(VLOOKUP($D1079,工作归属,2,0),"※工作类型没选"))</f>
        <v/>
      </c>
      <c r="F1079" s="13" t="n"/>
      <c r="G1079" s="13" t="n"/>
      <c r="H1079" s="20" t="n"/>
      <c r="I1079" s="14" t="n"/>
      <c r="J1079" s="19">
        <f>IF($C1079="","",ROUND(IF($H1079="",1,$H1079)*N($I1079),2))</f>
        <v/>
      </c>
      <c r="K1079" s="13" t="n"/>
      <c r="L1079" s="13" t="n"/>
      <c r="M1079" s="17">
        <f>IF($C1079="","",IF(ISNA(MATCH($C1079,项目名表,0)),"※项目不在项目台账里",IF($E1079="※工作类型没选","※工作类型没选","")))</f>
        <v/>
      </c>
    </row>
    <row r="1080">
      <c r="A1080" s="17">
        <f>IF($C1080="","",ROW()-3)</f>
        <v/>
      </c>
      <c r="B1080" s="18" t="n"/>
      <c r="C1080" s="13" t="n"/>
      <c r="D1080" s="13" t="n"/>
      <c r="E1080" s="17">
        <f>IF($C1080="","",IFERROR(VLOOKUP($D1080,工作归属,2,0),"※工作类型没选"))</f>
        <v/>
      </c>
      <c r="F1080" s="13" t="n"/>
      <c r="G1080" s="13" t="n"/>
      <c r="H1080" s="20" t="n"/>
      <c r="I1080" s="14" t="n"/>
      <c r="J1080" s="19">
        <f>IF($C1080="","",ROUND(IF($H1080="",1,$H1080)*N($I1080),2))</f>
        <v/>
      </c>
      <c r="K1080" s="13" t="n"/>
      <c r="L1080" s="13" t="n"/>
      <c r="M1080" s="17">
        <f>IF($C1080="","",IF(ISNA(MATCH($C1080,项目名表,0)),"※项目不在项目台账里",IF($E1080="※工作类型没选","※工作类型没选","")))</f>
        <v/>
      </c>
    </row>
    <row r="1081">
      <c r="A1081" s="17">
        <f>IF($C1081="","",ROW()-3)</f>
        <v/>
      </c>
      <c r="B1081" s="18" t="n"/>
      <c r="C1081" s="13" t="n"/>
      <c r="D1081" s="13" t="n"/>
      <c r="E1081" s="17">
        <f>IF($C1081="","",IFERROR(VLOOKUP($D1081,工作归属,2,0),"※工作类型没选"))</f>
        <v/>
      </c>
      <c r="F1081" s="13" t="n"/>
      <c r="G1081" s="13" t="n"/>
      <c r="H1081" s="20" t="n"/>
      <c r="I1081" s="14" t="n"/>
      <c r="J1081" s="19">
        <f>IF($C1081="","",ROUND(IF($H1081="",1,$H1081)*N($I1081),2))</f>
        <v/>
      </c>
      <c r="K1081" s="13" t="n"/>
      <c r="L1081" s="13" t="n"/>
      <c r="M1081" s="17">
        <f>IF($C1081="","",IF(ISNA(MATCH($C1081,项目名表,0)),"※项目不在项目台账里",IF($E1081="※工作类型没选","※工作类型没选","")))</f>
        <v/>
      </c>
    </row>
    <row r="1082">
      <c r="A1082" s="17">
        <f>IF($C1082="","",ROW()-3)</f>
        <v/>
      </c>
      <c r="B1082" s="18" t="n"/>
      <c r="C1082" s="13" t="n"/>
      <c r="D1082" s="13" t="n"/>
      <c r="E1082" s="17">
        <f>IF($C1082="","",IFERROR(VLOOKUP($D1082,工作归属,2,0),"※工作类型没选"))</f>
        <v/>
      </c>
      <c r="F1082" s="13" t="n"/>
      <c r="G1082" s="13" t="n"/>
      <c r="H1082" s="20" t="n"/>
      <c r="I1082" s="14" t="n"/>
      <c r="J1082" s="19">
        <f>IF($C1082="","",ROUND(IF($H1082="",1,$H1082)*N($I1082),2))</f>
        <v/>
      </c>
      <c r="K1082" s="13" t="n"/>
      <c r="L1082" s="13" t="n"/>
      <c r="M1082" s="17">
        <f>IF($C1082="","",IF(ISNA(MATCH($C1082,项目名表,0)),"※项目不在项目台账里",IF($E1082="※工作类型没选","※工作类型没选","")))</f>
        <v/>
      </c>
    </row>
    <row r="1083">
      <c r="A1083" s="17">
        <f>IF($C1083="","",ROW()-3)</f>
        <v/>
      </c>
      <c r="B1083" s="18" t="n"/>
      <c r="C1083" s="13" t="n"/>
      <c r="D1083" s="13" t="n"/>
      <c r="E1083" s="17">
        <f>IF($C1083="","",IFERROR(VLOOKUP($D1083,工作归属,2,0),"※工作类型没选"))</f>
        <v/>
      </c>
      <c r="F1083" s="13" t="n"/>
      <c r="G1083" s="13" t="n"/>
      <c r="H1083" s="20" t="n"/>
      <c r="I1083" s="14" t="n"/>
      <c r="J1083" s="19">
        <f>IF($C1083="","",ROUND(IF($H1083="",1,$H1083)*N($I1083),2))</f>
        <v/>
      </c>
      <c r="K1083" s="13" t="n"/>
      <c r="L1083" s="13" t="n"/>
      <c r="M1083" s="17">
        <f>IF($C1083="","",IF(ISNA(MATCH($C1083,项目名表,0)),"※项目不在项目台账里",IF($E1083="※工作类型没选","※工作类型没选","")))</f>
        <v/>
      </c>
    </row>
    <row r="1084">
      <c r="A1084" s="17">
        <f>IF($C1084="","",ROW()-3)</f>
        <v/>
      </c>
      <c r="B1084" s="18" t="n"/>
      <c r="C1084" s="13" t="n"/>
      <c r="D1084" s="13" t="n"/>
      <c r="E1084" s="17">
        <f>IF($C1084="","",IFERROR(VLOOKUP($D1084,工作归属,2,0),"※工作类型没选"))</f>
        <v/>
      </c>
      <c r="F1084" s="13" t="n"/>
      <c r="G1084" s="13" t="n"/>
      <c r="H1084" s="20" t="n"/>
      <c r="I1084" s="14" t="n"/>
      <c r="J1084" s="19">
        <f>IF($C1084="","",ROUND(IF($H1084="",1,$H1084)*N($I1084),2))</f>
        <v/>
      </c>
      <c r="K1084" s="13" t="n"/>
      <c r="L1084" s="13" t="n"/>
      <c r="M1084" s="17">
        <f>IF($C1084="","",IF(ISNA(MATCH($C1084,项目名表,0)),"※项目不在项目台账里",IF($E1084="※工作类型没选","※工作类型没选","")))</f>
        <v/>
      </c>
    </row>
    <row r="1085">
      <c r="A1085" s="17">
        <f>IF($C1085="","",ROW()-3)</f>
        <v/>
      </c>
      <c r="B1085" s="18" t="n"/>
      <c r="C1085" s="13" t="n"/>
      <c r="D1085" s="13" t="n"/>
      <c r="E1085" s="17">
        <f>IF($C1085="","",IFERROR(VLOOKUP($D1085,工作归属,2,0),"※工作类型没选"))</f>
        <v/>
      </c>
      <c r="F1085" s="13" t="n"/>
      <c r="G1085" s="13" t="n"/>
      <c r="H1085" s="20" t="n"/>
      <c r="I1085" s="14" t="n"/>
      <c r="J1085" s="19">
        <f>IF($C1085="","",ROUND(IF($H1085="",1,$H1085)*N($I1085),2))</f>
        <v/>
      </c>
      <c r="K1085" s="13" t="n"/>
      <c r="L1085" s="13" t="n"/>
      <c r="M1085" s="17">
        <f>IF($C1085="","",IF(ISNA(MATCH($C1085,项目名表,0)),"※项目不在项目台账里",IF($E1085="※工作类型没选","※工作类型没选","")))</f>
        <v/>
      </c>
    </row>
    <row r="1086">
      <c r="A1086" s="17">
        <f>IF($C1086="","",ROW()-3)</f>
        <v/>
      </c>
      <c r="B1086" s="18" t="n"/>
      <c r="C1086" s="13" t="n"/>
      <c r="D1086" s="13" t="n"/>
      <c r="E1086" s="17">
        <f>IF($C1086="","",IFERROR(VLOOKUP($D1086,工作归属,2,0),"※工作类型没选"))</f>
        <v/>
      </c>
      <c r="F1086" s="13" t="n"/>
      <c r="G1086" s="13" t="n"/>
      <c r="H1086" s="20" t="n"/>
      <c r="I1086" s="14" t="n"/>
      <c r="J1086" s="19">
        <f>IF($C1086="","",ROUND(IF($H1086="",1,$H1086)*N($I1086),2))</f>
        <v/>
      </c>
      <c r="K1086" s="13" t="n"/>
      <c r="L1086" s="13" t="n"/>
      <c r="M1086" s="17">
        <f>IF($C1086="","",IF(ISNA(MATCH($C1086,项目名表,0)),"※项目不在项目台账里",IF($E1086="※工作类型没选","※工作类型没选","")))</f>
        <v/>
      </c>
    </row>
    <row r="1087">
      <c r="A1087" s="17">
        <f>IF($C1087="","",ROW()-3)</f>
        <v/>
      </c>
      <c r="B1087" s="18" t="n"/>
      <c r="C1087" s="13" t="n"/>
      <c r="D1087" s="13" t="n"/>
      <c r="E1087" s="17">
        <f>IF($C1087="","",IFERROR(VLOOKUP($D1087,工作归属,2,0),"※工作类型没选"))</f>
        <v/>
      </c>
      <c r="F1087" s="13" t="n"/>
      <c r="G1087" s="13" t="n"/>
      <c r="H1087" s="20" t="n"/>
      <c r="I1087" s="14" t="n"/>
      <c r="J1087" s="19">
        <f>IF($C1087="","",ROUND(IF($H1087="",1,$H1087)*N($I1087),2))</f>
        <v/>
      </c>
      <c r="K1087" s="13" t="n"/>
      <c r="L1087" s="13" t="n"/>
      <c r="M1087" s="17">
        <f>IF($C1087="","",IF(ISNA(MATCH($C1087,项目名表,0)),"※项目不在项目台账里",IF($E1087="※工作类型没选","※工作类型没选","")))</f>
        <v/>
      </c>
    </row>
    <row r="1088">
      <c r="A1088" s="17">
        <f>IF($C1088="","",ROW()-3)</f>
        <v/>
      </c>
      <c r="B1088" s="18" t="n"/>
      <c r="C1088" s="13" t="n"/>
      <c r="D1088" s="13" t="n"/>
      <c r="E1088" s="17">
        <f>IF($C1088="","",IFERROR(VLOOKUP($D1088,工作归属,2,0),"※工作类型没选"))</f>
        <v/>
      </c>
      <c r="F1088" s="13" t="n"/>
      <c r="G1088" s="13" t="n"/>
      <c r="H1088" s="20" t="n"/>
      <c r="I1088" s="14" t="n"/>
      <c r="J1088" s="19">
        <f>IF($C1088="","",ROUND(IF($H1088="",1,$H1088)*N($I1088),2))</f>
        <v/>
      </c>
      <c r="K1088" s="13" t="n"/>
      <c r="L1088" s="13" t="n"/>
      <c r="M1088" s="17">
        <f>IF($C1088="","",IF(ISNA(MATCH($C1088,项目名表,0)),"※项目不在项目台账里",IF($E1088="※工作类型没选","※工作类型没选","")))</f>
        <v/>
      </c>
    </row>
    <row r="1089">
      <c r="A1089" s="17">
        <f>IF($C1089="","",ROW()-3)</f>
        <v/>
      </c>
      <c r="B1089" s="18" t="n"/>
      <c r="C1089" s="13" t="n"/>
      <c r="D1089" s="13" t="n"/>
      <c r="E1089" s="17">
        <f>IF($C1089="","",IFERROR(VLOOKUP($D1089,工作归属,2,0),"※工作类型没选"))</f>
        <v/>
      </c>
      <c r="F1089" s="13" t="n"/>
      <c r="G1089" s="13" t="n"/>
      <c r="H1089" s="20" t="n"/>
      <c r="I1089" s="14" t="n"/>
      <c r="J1089" s="19">
        <f>IF($C1089="","",ROUND(IF($H1089="",1,$H1089)*N($I1089),2))</f>
        <v/>
      </c>
      <c r="K1089" s="13" t="n"/>
      <c r="L1089" s="13" t="n"/>
      <c r="M1089" s="17">
        <f>IF($C1089="","",IF(ISNA(MATCH($C1089,项目名表,0)),"※项目不在项目台账里",IF($E1089="※工作类型没选","※工作类型没选","")))</f>
        <v/>
      </c>
    </row>
    <row r="1090">
      <c r="A1090" s="17">
        <f>IF($C1090="","",ROW()-3)</f>
        <v/>
      </c>
      <c r="B1090" s="18" t="n"/>
      <c r="C1090" s="13" t="n"/>
      <c r="D1090" s="13" t="n"/>
      <c r="E1090" s="17">
        <f>IF($C1090="","",IFERROR(VLOOKUP($D1090,工作归属,2,0),"※工作类型没选"))</f>
        <v/>
      </c>
      <c r="F1090" s="13" t="n"/>
      <c r="G1090" s="13" t="n"/>
      <c r="H1090" s="20" t="n"/>
      <c r="I1090" s="14" t="n"/>
      <c r="J1090" s="19">
        <f>IF($C1090="","",ROUND(IF($H1090="",1,$H1090)*N($I1090),2))</f>
        <v/>
      </c>
      <c r="K1090" s="13" t="n"/>
      <c r="L1090" s="13" t="n"/>
      <c r="M1090" s="17">
        <f>IF($C1090="","",IF(ISNA(MATCH($C1090,项目名表,0)),"※项目不在项目台账里",IF($E1090="※工作类型没选","※工作类型没选","")))</f>
        <v/>
      </c>
    </row>
    <row r="1091">
      <c r="A1091" s="17">
        <f>IF($C1091="","",ROW()-3)</f>
        <v/>
      </c>
      <c r="B1091" s="18" t="n"/>
      <c r="C1091" s="13" t="n"/>
      <c r="D1091" s="13" t="n"/>
      <c r="E1091" s="17">
        <f>IF($C1091="","",IFERROR(VLOOKUP($D1091,工作归属,2,0),"※工作类型没选"))</f>
        <v/>
      </c>
      <c r="F1091" s="13" t="n"/>
      <c r="G1091" s="13" t="n"/>
      <c r="H1091" s="20" t="n"/>
      <c r="I1091" s="14" t="n"/>
      <c r="J1091" s="19">
        <f>IF($C1091="","",ROUND(IF($H1091="",1,$H1091)*N($I1091),2))</f>
        <v/>
      </c>
      <c r="K1091" s="13" t="n"/>
      <c r="L1091" s="13" t="n"/>
      <c r="M1091" s="17">
        <f>IF($C1091="","",IF(ISNA(MATCH($C1091,项目名表,0)),"※项目不在项目台账里",IF($E1091="※工作类型没选","※工作类型没选","")))</f>
        <v/>
      </c>
    </row>
    <row r="1092">
      <c r="A1092" s="17">
        <f>IF($C1092="","",ROW()-3)</f>
        <v/>
      </c>
      <c r="B1092" s="18" t="n"/>
      <c r="C1092" s="13" t="n"/>
      <c r="D1092" s="13" t="n"/>
      <c r="E1092" s="17">
        <f>IF($C1092="","",IFERROR(VLOOKUP($D1092,工作归属,2,0),"※工作类型没选"))</f>
        <v/>
      </c>
      <c r="F1092" s="13" t="n"/>
      <c r="G1092" s="13" t="n"/>
      <c r="H1092" s="20" t="n"/>
      <c r="I1092" s="14" t="n"/>
      <c r="J1092" s="19">
        <f>IF($C1092="","",ROUND(IF($H1092="",1,$H1092)*N($I1092),2))</f>
        <v/>
      </c>
      <c r="K1092" s="13" t="n"/>
      <c r="L1092" s="13" t="n"/>
      <c r="M1092" s="17">
        <f>IF($C1092="","",IF(ISNA(MATCH($C1092,项目名表,0)),"※项目不在项目台账里",IF($E1092="※工作类型没选","※工作类型没选","")))</f>
        <v/>
      </c>
    </row>
    <row r="1093">
      <c r="A1093" s="17">
        <f>IF($C1093="","",ROW()-3)</f>
        <v/>
      </c>
      <c r="B1093" s="18" t="n"/>
      <c r="C1093" s="13" t="n"/>
      <c r="D1093" s="13" t="n"/>
      <c r="E1093" s="17">
        <f>IF($C1093="","",IFERROR(VLOOKUP($D1093,工作归属,2,0),"※工作类型没选"))</f>
        <v/>
      </c>
      <c r="F1093" s="13" t="n"/>
      <c r="G1093" s="13" t="n"/>
      <c r="H1093" s="20" t="n"/>
      <c r="I1093" s="14" t="n"/>
      <c r="J1093" s="19">
        <f>IF($C1093="","",ROUND(IF($H1093="",1,$H1093)*N($I1093),2))</f>
        <v/>
      </c>
      <c r="K1093" s="13" t="n"/>
      <c r="L1093" s="13" t="n"/>
      <c r="M1093" s="17">
        <f>IF($C1093="","",IF(ISNA(MATCH($C1093,项目名表,0)),"※项目不在项目台账里",IF($E1093="※工作类型没选","※工作类型没选","")))</f>
        <v/>
      </c>
    </row>
    <row r="1094">
      <c r="A1094" s="17">
        <f>IF($C1094="","",ROW()-3)</f>
        <v/>
      </c>
      <c r="B1094" s="18" t="n"/>
      <c r="C1094" s="13" t="n"/>
      <c r="D1094" s="13" t="n"/>
      <c r="E1094" s="17">
        <f>IF($C1094="","",IFERROR(VLOOKUP($D1094,工作归属,2,0),"※工作类型没选"))</f>
        <v/>
      </c>
      <c r="F1094" s="13" t="n"/>
      <c r="G1094" s="13" t="n"/>
      <c r="H1094" s="20" t="n"/>
      <c r="I1094" s="14" t="n"/>
      <c r="J1094" s="19">
        <f>IF($C1094="","",ROUND(IF($H1094="",1,$H1094)*N($I1094),2))</f>
        <v/>
      </c>
      <c r="K1094" s="13" t="n"/>
      <c r="L1094" s="13" t="n"/>
      <c r="M1094" s="17">
        <f>IF($C1094="","",IF(ISNA(MATCH($C1094,项目名表,0)),"※项目不在项目台账里",IF($E1094="※工作类型没选","※工作类型没选","")))</f>
        <v/>
      </c>
    </row>
    <row r="1095">
      <c r="A1095" s="17">
        <f>IF($C1095="","",ROW()-3)</f>
        <v/>
      </c>
      <c r="B1095" s="18" t="n"/>
      <c r="C1095" s="13" t="n"/>
      <c r="D1095" s="13" t="n"/>
      <c r="E1095" s="17">
        <f>IF($C1095="","",IFERROR(VLOOKUP($D1095,工作归属,2,0),"※工作类型没选"))</f>
        <v/>
      </c>
      <c r="F1095" s="13" t="n"/>
      <c r="G1095" s="13" t="n"/>
      <c r="H1095" s="20" t="n"/>
      <c r="I1095" s="14" t="n"/>
      <c r="J1095" s="19">
        <f>IF($C1095="","",ROUND(IF($H1095="",1,$H1095)*N($I1095),2))</f>
        <v/>
      </c>
      <c r="K1095" s="13" t="n"/>
      <c r="L1095" s="13" t="n"/>
      <c r="M1095" s="17">
        <f>IF($C1095="","",IF(ISNA(MATCH($C1095,项目名表,0)),"※项目不在项目台账里",IF($E1095="※工作类型没选","※工作类型没选","")))</f>
        <v/>
      </c>
    </row>
    <row r="1096">
      <c r="A1096" s="17">
        <f>IF($C1096="","",ROW()-3)</f>
        <v/>
      </c>
      <c r="B1096" s="18" t="n"/>
      <c r="C1096" s="13" t="n"/>
      <c r="D1096" s="13" t="n"/>
      <c r="E1096" s="17">
        <f>IF($C1096="","",IFERROR(VLOOKUP($D1096,工作归属,2,0),"※工作类型没选"))</f>
        <v/>
      </c>
      <c r="F1096" s="13" t="n"/>
      <c r="G1096" s="13" t="n"/>
      <c r="H1096" s="20" t="n"/>
      <c r="I1096" s="14" t="n"/>
      <c r="J1096" s="19">
        <f>IF($C1096="","",ROUND(IF($H1096="",1,$H1096)*N($I1096),2))</f>
        <v/>
      </c>
      <c r="K1096" s="13" t="n"/>
      <c r="L1096" s="13" t="n"/>
      <c r="M1096" s="17">
        <f>IF($C1096="","",IF(ISNA(MATCH($C1096,项目名表,0)),"※项目不在项目台账里",IF($E1096="※工作类型没选","※工作类型没选","")))</f>
        <v/>
      </c>
    </row>
    <row r="1097">
      <c r="A1097" s="17">
        <f>IF($C1097="","",ROW()-3)</f>
        <v/>
      </c>
      <c r="B1097" s="18" t="n"/>
      <c r="C1097" s="13" t="n"/>
      <c r="D1097" s="13" t="n"/>
      <c r="E1097" s="17">
        <f>IF($C1097="","",IFERROR(VLOOKUP($D1097,工作归属,2,0),"※工作类型没选"))</f>
        <v/>
      </c>
      <c r="F1097" s="13" t="n"/>
      <c r="G1097" s="13" t="n"/>
      <c r="H1097" s="20" t="n"/>
      <c r="I1097" s="14" t="n"/>
      <c r="J1097" s="19">
        <f>IF($C1097="","",ROUND(IF($H1097="",1,$H1097)*N($I1097),2))</f>
        <v/>
      </c>
      <c r="K1097" s="13" t="n"/>
      <c r="L1097" s="13" t="n"/>
      <c r="M1097" s="17">
        <f>IF($C1097="","",IF(ISNA(MATCH($C1097,项目名表,0)),"※项目不在项目台账里",IF($E1097="※工作类型没选","※工作类型没选","")))</f>
        <v/>
      </c>
    </row>
    <row r="1098">
      <c r="A1098" s="17">
        <f>IF($C1098="","",ROW()-3)</f>
        <v/>
      </c>
      <c r="B1098" s="18" t="n"/>
      <c r="C1098" s="13" t="n"/>
      <c r="D1098" s="13" t="n"/>
      <c r="E1098" s="17">
        <f>IF($C1098="","",IFERROR(VLOOKUP($D1098,工作归属,2,0),"※工作类型没选"))</f>
        <v/>
      </c>
      <c r="F1098" s="13" t="n"/>
      <c r="G1098" s="13" t="n"/>
      <c r="H1098" s="20" t="n"/>
      <c r="I1098" s="14" t="n"/>
      <c r="J1098" s="19">
        <f>IF($C1098="","",ROUND(IF($H1098="",1,$H1098)*N($I1098),2))</f>
        <v/>
      </c>
      <c r="K1098" s="13" t="n"/>
      <c r="L1098" s="13" t="n"/>
      <c r="M1098" s="17">
        <f>IF($C1098="","",IF(ISNA(MATCH($C1098,项目名表,0)),"※项目不在项目台账里",IF($E1098="※工作类型没选","※工作类型没选","")))</f>
        <v/>
      </c>
    </row>
    <row r="1099">
      <c r="A1099" s="17">
        <f>IF($C1099="","",ROW()-3)</f>
        <v/>
      </c>
      <c r="B1099" s="18" t="n"/>
      <c r="C1099" s="13" t="n"/>
      <c r="D1099" s="13" t="n"/>
      <c r="E1099" s="17">
        <f>IF($C1099="","",IFERROR(VLOOKUP($D1099,工作归属,2,0),"※工作类型没选"))</f>
        <v/>
      </c>
      <c r="F1099" s="13" t="n"/>
      <c r="G1099" s="13" t="n"/>
      <c r="H1099" s="20" t="n"/>
      <c r="I1099" s="14" t="n"/>
      <c r="J1099" s="19">
        <f>IF($C1099="","",ROUND(IF($H1099="",1,$H1099)*N($I1099),2))</f>
        <v/>
      </c>
      <c r="K1099" s="13" t="n"/>
      <c r="L1099" s="13" t="n"/>
      <c r="M1099" s="17">
        <f>IF($C1099="","",IF(ISNA(MATCH($C1099,项目名表,0)),"※项目不在项目台账里",IF($E1099="※工作类型没选","※工作类型没选","")))</f>
        <v/>
      </c>
    </row>
    <row r="1100">
      <c r="A1100" s="17">
        <f>IF($C1100="","",ROW()-3)</f>
        <v/>
      </c>
      <c r="B1100" s="18" t="n"/>
      <c r="C1100" s="13" t="n"/>
      <c r="D1100" s="13" t="n"/>
      <c r="E1100" s="17">
        <f>IF($C1100="","",IFERROR(VLOOKUP($D1100,工作归属,2,0),"※工作类型没选"))</f>
        <v/>
      </c>
      <c r="F1100" s="13" t="n"/>
      <c r="G1100" s="13" t="n"/>
      <c r="H1100" s="20" t="n"/>
      <c r="I1100" s="14" t="n"/>
      <c r="J1100" s="19">
        <f>IF($C1100="","",ROUND(IF($H1100="",1,$H1100)*N($I1100),2))</f>
        <v/>
      </c>
      <c r="K1100" s="13" t="n"/>
      <c r="L1100" s="13" t="n"/>
      <c r="M1100" s="17">
        <f>IF($C1100="","",IF(ISNA(MATCH($C1100,项目名表,0)),"※项目不在项目台账里",IF($E1100="※工作类型没选","※工作类型没选","")))</f>
        <v/>
      </c>
    </row>
    <row r="1101">
      <c r="A1101" s="17">
        <f>IF($C1101="","",ROW()-3)</f>
        <v/>
      </c>
      <c r="B1101" s="18" t="n"/>
      <c r="C1101" s="13" t="n"/>
      <c r="D1101" s="13" t="n"/>
      <c r="E1101" s="17">
        <f>IF($C1101="","",IFERROR(VLOOKUP($D1101,工作归属,2,0),"※工作类型没选"))</f>
        <v/>
      </c>
      <c r="F1101" s="13" t="n"/>
      <c r="G1101" s="13" t="n"/>
      <c r="H1101" s="20" t="n"/>
      <c r="I1101" s="14" t="n"/>
      <c r="J1101" s="19">
        <f>IF($C1101="","",ROUND(IF($H1101="",1,$H1101)*N($I1101),2))</f>
        <v/>
      </c>
      <c r="K1101" s="13" t="n"/>
      <c r="L1101" s="13" t="n"/>
      <c r="M1101" s="17">
        <f>IF($C1101="","",IF(ISNA(MATCH($C1101,项目名表,0)),"※项目不在项目台账里",IF($E1101="※工作类型没选","※工作类型没选","")))</f>
        <v/>
      </c>
    </row>
    <row r="1102">
      <c r="A1102" s="17">
        <f>IF($C1102="","",ROW()-3)</f>
        <v/>
      </c>
      <c r="B1102" s="18" t="n"/>
      <c r="C1102" s="13" t="n"/>
      <c r="D1102" s="13" t="n"/>
      <c r="E1102" s="17">
        <f>IF($C1102="","",IFERROR(VLOOKUP($D1102,工作归属,2,0),"※工作类型没选"))</f>
        <v/>
      </c>
      <c r="F1102" s="13" t="n"/>
      <c r="G1102" s="13" t="n"/>
      <c r="H1102" s="20" t="n"/>
      <c r="I1102" s="14" t="n"/>
      <c r="J1102" s="19">
        <f>IF($C1102="","",ROUND(IF($H1102="",1,$H1102)*N($I1102),2))</f>
        <v/>
      </c>
      <c r="K1102" s="13" t="n"/>
      <c r="L1102" s="13" t="n"/>
      <c r="M1102" s="17">
        <f>IF($C1102="","",IF(ISNA(MATCH($C1102,项目名表,0)),"※项目不在项目台账里",IF($E1102="※工作类型没选","※工作类型没选","")))</f>
        <v/>
      </c>
    </row>
    <row r="1103">
      <c r="A1103" s="17">
        <f>IF($C1103="","",ROW()-3)</f>
        <v/>
      </c>
      <c r="B1103" s="18" t="n"/>
      <c r="C1103" s="13" t="n"/>
      <c r="D1103" s="13" t="n"/>
      <c r="E1103" s="17">
        <f>IF($C1103="","",IFERROR(VLOOKUP($D1103,工作归属,2,0),"※工作类型没选"))</f>
        <v/>
      </c>
      <c r="F1103" s="13" t="n"/>
      <c r="G1103" s="13" t="n"/>
      <c r="H1103" s="20" t="n"/>
      <c r="I1103" s="14" t="n"/>
      <c r="J1103" s="19">
        <f>IF($C1103="","",ROUND(IF($H1103="",1,$H1103)*N($I1103),2))</f>
        <v/>
      </c>
      <c r="K1103" s="13" t="n"/>
      <c r="L1103" s="13" t="n"/>
      <c r="M1103" s="17">
        <f>IF($C1103="","",IF(ISNA(MATCH($C1103,项目名表,0)),"※项目不在项目台账里",IF($E1103="※工作类型没选","※工作类型没选","")))</f>
        <v/>
      </c>
    </row>
    <row r="1104">
      <c r="A1104" s="17">
        <f>IF($C1104="","",ROW()-3)</f>
        <v/>
      </c>
      <c r="B1104" s="18" t="n"/>
      <c r="C1104" s="13" t="n"/>
      <c r="D1104" s="13" t="n"/>
      <c r="E1104" s="17">
        <f>IF($C1104="","",IFERROR(VLOOKUP($D1104,工作归属,2,0),"※工作类型没选"))</f>
        <v/>
      </c>
      <c r="F1104" s="13" t="n"/>
      <c r="G1104" s="13" t="n"/>
      <c r="H1104" s="20" t="n"/>
      <c r="I1104" s="14" t="n"/>
      <c r="J1104" s="19">
        <f>IF($C1104="","",ROUND(IF($H1104="",1,$H1104)*N($I1104),2))</f>
        <v/>
      </c>
      <c r="K1104" s="13" t="n"/>
      <c r="L1104" s="13" t="n"/>
      <c r="M1104" s="17">
        <f>IF($C1104="","",IF(ISNA(MATCH($C1104,项目名表,0)),"※项目不在项目台账里",IF($E1104="※工作类型没选","※工作类型没选","")))</f>
        <v/>
      </c>
    </row>
    <row r="1105">
      <c r="A1105" s="17">
        <f>IF($C1105="","",ROW()-3)</f>
        <v/>
      </c>
      <c r="B1105" s="18" t="n"/>
      <c r="C1105" s="13" t="n"/>
      <c r="D1105" s="13" t="n"/>
      <c r="E1105" s="17">
        <f>IF($C1105="","",IFERROR(VLOOKUP($D1105,工作归属,2,0),"※工作类型没选"))</f>
        <v/>
      </c>
      <c r="F1105" s="13" t="n"/>
      <c r="G1105" s="13" t="n"/>
      <c r="H1105" s="20" t="n"/>
      <c r="I1105" s="14" t="n"/>
      <c r="J1105" s="19">
        <f>IF($C1105="","",ROUND(IF($H1105="",1,$H1105)*N($I1105),2))</f>
        <v/>
      </c>
      <c r="K1105" s="13" t="n"/>
      <c r="L1105" s="13" t="n"/>
      <c r="M1105" s="17">
        <f>IF($C1105="","",IF(ISNA(MATCH($C1105,项目名表,0)),"※项目不在项目台账里",IF($E1105="※工作类型没选","※工作类型没选","")))</f>
        <v/>
      </c>
    </row>
    <row r="1106">
      <c r="A1106" s="17">
        <f>IF($C1106="","",ROW()-3)</f>
        <v/>
      </c>
      <c r="B1106" s="18" t="n"/>
      <c r="C1106" s="13" t="n"/>
      <c r="D1106" s="13" t="n"/>
      <c r="E1106" s="17">
        <f>IF($C1106="","",IFERROR(VLOOKUP($D1106,工作归属,2,0),"※工作类型没选"))</f>
        <v/>
      </c>
      <c r="F1106" s="13" t="n"/>
      <c r="G1106" s="13" t="n"/>
      <c r="H1106" s="20" t="n"/>
      <c r="I1106" s="14" t="n"/>
      <c r="J1106" s="19">
        <f>IF($C1106="","",ROUND(IF($H1106="",1,$H1106)*N($I1106),2))</f>
        <v/>
      </c>
      <c r="K1106" s="13" t="n"/>
      <c r="L1106" s="13" t="n"/>
      <c r="M1106" s="17">
        <f>IF($C1106="","",IF(ISNA(MATCH($C1106,项目名表,0)),"※项目不在项目台账里",IF($E1106="※工作类型没选","※工作类型没选","")))</f>
        <v/>
      </c>
    </row>
    <row r="1107">
      <c r="A1107" s="17">
        <f>IF($C1107="","",ROW()-3)</f>
        <v/>
      </c>
      <c r="B1107" s="18" t="n"/>
      <c r="C1107" s="13" t="n"/>
      <c r="D1107" s="13" t="n"/>
      <c r="E1107" s="17">
        <f>IF($C1107="","",IFERROR(VLOOKUP($D1107,工作归属,2,0),"※工作类型没选"))</f>
        <v/>
      </c>
      <c r="F1107" s="13" t="n"/>
      <c r="G1107" s="13" t="n"/>
      <c r="H1107" s="20" t="n"/>
      <c r="I1107" s="14" t="n"/>
      <c r="J1107" s="19">
        <f>IF($C1107="","",ROUND(IF($H1107="",1,$H1107)*N($I1107),2))</f>
        <v/>
      </c>
      <c r="K1107" s="13" t="n"/>
      <c r="L1107" s="13" t="n"/>
      <c r="M1107" s="17">
        <f>IF($C1107="","",IF(ISNA(MATCH($C1107,项目名表,0)),"※项目不在项目台账里",IF($E1107="※工作类型没选","※工作类型没选","")))</f>
        <v/>
      </c>
    </row>
    <row r="1108">
      <c r="A1108" s="17">
        <f>IF($C1108="","",ROW()-3)</f>
        <v/>
      </c>
      <c r="B1108" s="18" t="n"/>
      <c r="C1108" s="13" t="n"/>
      <c r="D1108" s="13" t="n"/>
      <c r="E1108" s="17">
        <f>IF($C1108="","",IFERROR(VLOOKUP($D1108,工作归属,2,0),"※工作类型没选"))</f>
        <v/>
      </c>
      <c r="F1108" s="13" t="n"/>
      <c r="G1108" s="13" t="n"/>
      <c r="H1108" s="20" t="n"/>
      <c r="I1108" s="14" t="n"/>
      <c r="J1108" s="19">
        <f>IF($C1108="","",ROUND(IF($H1108="",1,$H1108)*N($I1108),2))</f>
        <v/>
      </c>
      <c r="K1108" s="13" t="n"/>
      <c r="L1108" s="13" t="n"/>
      <c r="M1108" s="17">
        <f>IF($C1108="","",IF(ISNA(MATCH($C1108,项目名表,0)),"※项目不在项目台账里",IF($E1108="※工作类型没选","※工作类型没选","")))</f>
        <v/>
      </c>
    </row>
    <row r="1109">
      <c r="A1109" s="17">
        <f>IF($C1109="","",ROW()-3)</f>
        <v/>
      </c>
      <c r="B1109" s="18" t="n"/>
      <c r="C1109" s="13" t="n"/>
      <c r="D1109" s="13" t="n"/>
      <c r="E1109" s="17">
        <f>IF($C1109="","",IFERROR(VLOOKUP($D1109,工作归属,2,0),"※工作类型没选"))</f>
        <v/>
      </c>
      <c r="F1109" s="13" t="n"/>
      <c r="G1109" s="13" t="n"/>
      <c r="H1109" s="20" t="n"/>
      <c r="I1109" s="14" t="n"/>
      <c r="J1109" s="19">
        <f>IF($C1109="","",ROUND(IF($H1109="",1,$H1109)*N($I1109),2))</f>
        <v/>
      </c>
      <c r="K1109" s="13" t="n"/>
      <c r="L1109" s="13" t="n"/>
      <c r="M1109" s="17">
        <f>IF($C1109="","",IF(ISNA(MATCH($C1109,项目名表,0)),"※项目不在项目台账里",IF($E1109="※工作类型没选","※工作类型没选","")))</f>
        <v/>
      </c>
    </row>
    <row r="1110">
      <c r="A1110" s="17">
        <f>IF($C1110="","",ROW()-3)</f>
        <v/>
      </c>
      <c r="B1110" s="18" t="n"/>
      <c r="C1110" s="13" t="n"/>
      <c r="D1110" s="13" t="n"/>
      <c r="E1110" s="17">
        <f>IF($C1110="","",IFERROR(VLOOKUP($D1110,工作归属,2,0),"※工作类型没选"))</f>
        <v/>
      </c>
      <c r="F1110" s="13" t="n"/>
      <c r="G1110" s="13" t="n"/>
      <c r="H1110" s="20" t="n"/>
      <c r="I1110" s="14" t="n"/>
      <c r="J1110" s="19">
        <f>IF($C1110="","",ROUND(IF($H1110="",1,$H1110)*N($I1110),2))</f>
        <v/>
      </c>
      <c r="K1110" s="13" t="n"/>
      <c r="L1110" s="13" t="n"/>
      <c r="M1110" s="17">
        <f>IF($C1110="","",IF(ISNA(MATCH($C1110,项目名表,0)),"※项目不在项目台账里",IF($E1110="※工作类型没选","※工作类型没选","")))</f>
        <v/>
      </c>
    </row>
    <row r="1111">
      <c r="A1111" s="17">
        <f>IF($C1111="","",ROW()-3)</f>
        <v/>
      </c>
      <c r="B1111" s="18" t="n"/>
      <c r="C1111" s="13" t="n"/>
      <c r="D1111" s="13" t="n"/>
      <c r="E1111" s="17">
        <f>IF($C1111="","",IFERROR(VLOOKUP($D1111,工作归属,2,0),"※工作类型没选"))</f>
        <v/>
      </c>
      <c r="F1111" s="13" t="n"/>
      <c r="G1111" s="13" t="n"/>
      <c r="H1111" s="20" t="n"/>
      <c r="I1111" s="14" t="n"/>
      <c r="J1111" s="19">
        <f>IF($C1111="","",ROUND(IF($H1111="",1,$H1111)*N($I1111),2))</f>
        <v/>
      </c>
      <c r="K1111" s="13" t="n"/>
      <c r="L1111" s="13" t="n"/>
      <c r="M1111" s="17">
        <f>IF($C1111="","",IF(ISNA(MATCH($C1111,项目名表,0)),"※项目不在项目台账里",IF($E1111="※工作类型没选","※工作类型没选","")))</f>
        <v/>
      </c>
    </row>
    <row r="1112">
      <c r="A1112" s="17">
        <f>IF($C1112="","",ROW()-3)</f>
        <v/>
      </c>
      <c r="B1112" s="18" t="n"/>
      <c r="C1112" s="13" t="n"/>
      <c r="D1112" s="13" t="n"/>
      <c r="E1112" s="17">
        <f>IF($C1112="","",IFERROR(VLOOKUP($D1112,工作归属,2,0),"※工作类型没选"))</f>
        <v/>
      </c>
      <c r="F1112" s="13" t="n"/>
      <c r="G1112" s="13" t="n"/>
      <c r="H1112" s="20" t="n"/>
      <c r="I1112" s="14" t="n"/>
      <c r="J1112" s="19">
        <f>IF($C1112="","",ROUND(IF($H1112="",1,$H1112)*N($I1112),2))</f>
        <v/>
      </c>
      <c r="K1112" s="13" t="n"/>
      <c r="L1112" s="13" t="n"/>
      <c r="M1112" s="17">
        <f>IF($C1112="","",IF(ISNA(MATCH($C1112,项目名表,0)),"※项目不在项目台账里",IF($E1112="※工作类型没选","※工作类型没选","")))</f>
        <v/>
      </c>
    </row>
    <row r="1113">
      <c r="A1113" s="17">
        <f>IF($C1113="","",ROW()-3)</f>
        <v/>
      </c>
      <c r="B1113" s="18" t="n"/>
      <c r="C1113" s="13" t="n"/>
      <c r="D1113" s="13" t="n"/>
      <c r="E1113" s="17">
        <f>IF($C1113="","",IFERROR(VLOOKUP($D1113,工作归属,2,0),"※工作类型没选"))</f>
        <v/>
      </c>
      <c r="F1113" s="13" t="n"/>
      <c r="G1113" s="13" t="n"/>
      <c r="H1113" s="20" t="n"/>
      <c r="I1113" s="14" t="n"/>
      <c r="J1113" s="19">
        <f>IF($C1113="","",ROUND(IF($H1113="",1,$H1113)*N($I1113),2))</f>
        <v/>
      </c>
      <c r="K1113" s="13" t="n"/>
      <c r="L1113" s="13" t="n"/>
      <c r="M1113" s="17">
        <f>IF($C1113="","",IF(ISNA(MATCH($C1113,项目名表,0)),"※项目不在项目台账里",IF($E1113="※工作类型没选","※工作类型没选","")))</f>
        <v/>
      </c>
    </row>
    <row r="1114">
      <c r="A1114" s="17">
        <f>IF($C1114="","",ROW()-3)</f>
        <v/>
      </c>
      <c r="B1114" s="18" t="n"/>
      <c r="C1114" s="13" t="n"/>
      <c r="D1114" s="13" t="n"/>
      <c r="E1114" s="17">
        <f>IF($C1114="","",IFERROR(VLOOKUP($D1114,工作归属,2,0),"※工作类型没选"))</f>
        <v/>
      </c>
      <c r="F1114" s="13" t="n"/>
      <c r="G1114" s="13" t="n"/>
      <c r="H1114" s="20" t="n"/>
      <c r="I1114" s="14" t="n"/>
      <c r="J1114" s="19">
        <f>IF($C1114="","",ROUND(IF($H1114="",1,$H1114)*N($I1114),2))</f>
        <v/>
      </c>
      <c r="K1114" s="13" t="n"/>
      <c r="L1114" s="13" t="n"/>
      <c r="M1114" s="17">
        <f>IF($C1114="","",IF(ISNA(MATCH($C1114,项目名表,0)),"※项目不在项目台账里",IF($E1114="※工作类型没选","※工作类型没选","")))</f>
        <v/>
      </c>
    </row>
    <row r="1115">
      <c r="A1115" s="17">
        <f>IF($C1115="","",ROW()-3)</f>
        <v/>
      </c>
      <c r="B1115" s="18" t="n"/>
      <c r="C1115" s="13" t="n"/>
      <c r="D1115" s="13" t="n"/>
      <c r="E1115" s="17">
        <f>IF($C1115="","",IFERROR(VLOOKUP($D1115,工作归属,2,0),"※工作类型没选"))</f>
        <v/>
      </c>
      <c r="F1115" s="13" t="n"/>
      <c r="G1115" s="13" t="n"/>
      <c r="H1115" s="20" t="n"/>
      <c r="I1115" s="14" t="n"/>
      <c r="J1115" s="19">
        <f>IF($C1115="","",ROUND(IF($H1115="",1,$H1115)*N($I1115),2))</f>
        <v/>
      </c>
      <c r="K1115" s="13" t="n"/>
      <c r="L1115" s="13" t="n"/>
      <c r="M1115" s="17">
        <f>IF($C1115="","",IF(ISNA(MATCH($C1115,项目名表,0)),"※项目不在项目台账里",IF($E1115="※工作类型没选","※工作类型没选","")))</f>
        <v/>
      </c>
    </row>
    <row r="1116">
      <c r="A1116" s="17">
        <f>IF($C1116="","",ROW()-3)</f>
        <v/>
      </c>
      <c r="B1116" s="18" t="n"/>
      <c r="C1116" s="13" t="n"/>
      <c r="D1116" s="13" t="n"/>
      <c r="E1116" s="17">
        <f>IF($C1116="","",IFERROR(VLOOKUP($D1116,工作归属,2,0),"※工作类型没选"))</f>
        <v/>
      </c>
      <c r="F1116" s="13" t="n"/>
      <c r="G1116" s="13" t="n"/>
      <c r="H1116" s="20" t="n"/>
      <c r="I1116" s="14" t="n"/>
      <c r="J1116" s="19">
        <f>IF($C1116="","",ROUND(IF($H1116="",1,$H1116)*N($I1116),2))</f>
        <v/>
      </c>
      <c r="K1116" s="13" t="n"/>
      <c r="L1116" s="13" t="n"/>
      <c r="M1116" s="17">
        <f>IF($C1116="","",IF(ISNA(MATCH($C1116,项目名表,0)),"※项目不在项目台账里",IF($E1116="※工作类型没选","※工作类型没选","")))</f>
        <v/>
      </c>
    </row>
    <row r="1117">
      <c r="A1117" s="17">
        <f>IF($C1117="","",ROW()-3)</f>
        <v/>
      </c>
      <c r="B1117" s="18" t="n"/>
      <c r="C1117" s="13" t="n"/>
      <c r="D1117" s="13" t="n"/>
      <c r="E1117" s="17">
        <f>IF($C1117="","",IFERROR(VLOOKUP($D1117,工作归属,2,0),"※工作类型没选"))</f>
        <v/>
      </c>
      <c r="F1117" s="13" t="n"/>
      <c r="G1117" s="13" t="n"/>
      <c r="H1117" s="20" t="n"/>
      <c r="I1117" s="14" t="n"/>
      <c r="J1117" s="19">
        <f>IF($C1117="","",ROUND(IF($H1117="",1,$H1117)*N($I1117),2))</f>
        <v/>
      </c>
      <c r="K1117" s="13" t="n"/>
      <c r="L1117" s="13" t="n"/>
      <c r="M1117" s="17">
        <f>IF($C1117="","",IF(ISNA(MATCH($C1117,项目名表,0)),"※项目不在项目台账里",IF($E1117="※工作类型没选","※工作类型没选","")))</f>
        <v/>
      </c>
    </row>
    <row r="1118">
      <c r="A1118" s="17">
        <f>IF($C1118="","",ROW()-3)</f>
        <v/>
      </c>
      <c r="B1118" s="18" t="n"/>
      <c r="C1118" s="13" t="n"/>
      <c r="D1118" s="13" t="n"/>
      <c r="E1118" s="17">
        <f>IF($C1118="","",IFERROR(VLOOKUP($D1118,工作归属,2,0),"※工作类型没选"))</f>
        <v/>
      </c>
      <c r="F1118" s="13" t="n"/>
      <c r="G1118" s="13" t="n"/>
      <c r="H1118" s="20" t="n"/>
      <c r="I1118" s="14" t="n"/>
      <c r="J1118" s="19">
        <f>IF($C1118="","",ROUND(IF($H1118="",1,$H1118)*N($I1118),2))</f>
        <v/>
      </c>
      <c r="K1118" s="13" t="n"/>
      <c r="L1118" s="13" t="n"/>
      <c r="M1118" s="17">
        <f>IF($C1118="","",IF(ISNA(MATCH($C1118,项目名表,0)),"※项目不在项目台账里",IF($E1118="※工作类型没选","※工作类型没选","")))</f>
        <v/>
      </c>
    </row>
    <row r="1119">
      <c r="A1119" s="17">
        <f>IF($C1119="","",ROW()-3)</f>
        <v/>
      </c>
      <c r="B1119" s="18" t="n"/>
      <c r="C1119" s="13" t="n"/>
      <c r="D1119" s="13" t="n"/>
      <c r="E1119" s="17">
        <f>IF($C1119="","",IFERROR(VLOOKUP($D1119,工作归属,2,0),"※工作类型没选"))</f>
        <v/>
      </c>
      <c r="F1119" s="13" t="n"/>
      <c r="G1119" s="13" t="n"/>
      <c r="H1119" s="20" t="n"/>
      <c r="I1119" s="14" t="n"/>
      <c r="J1119" s="19">
        <f>IF($C1119="","",ROUND(IF($H1119="",1,$H1119)*N($I1119),2))</f>
        <v/>
      </c>
      <c r="K1119" s="13" t="n"/>
      <c r="L1119" s="13" t="n"/>
      <c r="M1119" s="17">
        <f>IF($C1119="","",IF(ISNA(MATCH($C1119,项目名表,0)),"※项目不在项目台账里",IF($E1119="※工作类型没选","※工作类型没选","")))</f>
        <v/>
      </c>
    </row>
    <row r="1120">
      <c r="A1120" s="17">
        <f>IF($C1120="","",ROW()-3)</f>
        <v/>
      </c>
      <c r="B1120" s="18" t="n"/>
      <c r="C1120" s="13" t="n"/>
      <c r="D1120" s="13" t="n"/>
      <c r="E1120" s="17">
        <f>IF($C1120="","",IFERROR(VLOOKUP($D1120,工作归属,2,0),"※工作类型没选"))</f>
        <v/>
      </c>
      <c r="F1120" s="13" t="n"/>
      <c r="G1120" s="13" t="n"/>
      <c r="H1120" s="20" t="n"/>
      <c r="I1120" s="14" t="n"/>
      <c r="J1120" s="19">
        <f>IF($C1120="","",ROUND(IF($H1120="",1,$H1120)*N($I1120),2))</f>
        <v/>
      </c>
      <c r="K1120" s="13" t="n"/>
      <c r="L1120" s="13" t="n"/>
      <c r="M1120" s="17">
        <f>IF($C1120="","",IF(ISNA(MATCH($C1120,项目名表,0)),"※项目不在项目台账里",IF($E1120="※工作类型没选","※工作类型没选","")))</f>
        <v/>
      </c>
    </row>
    <row r="1121">
      <c r="A1121" s="17">
        <f>IF($C1121="","",ROW()-3)</f>
        <v/>
      </c>
      <c r="B1121" s="18" t="n"/>
      <c r="C1121" s="13" t="n"/>
      <c r="D1121" s="13" t="n"/>
      <c r="E1121" s="17">
        <f>IF($C1121="","",IFERROR(VLOOKUP($D1121,工作归属,2,0),"※工作类型没选"))</f>
        <v/>
      </c>
      <c r="F1121" s="13" t="n"/>
      <c r="G1121" s="13" t="n"/>
      <c r="H1121" s="20" t="n"/>
      <c r="I1121" s="14" t="n"/>
      <c r="J1121" s="19">
        <f>IF($C1121="","",ROUND(IF($H1121="",1,$H1121)*N($I1121),2))</f>
        <v/>
      </c>
      <c r="K1121" s="13" t="n"/>
      <c r="L1121" s="13" t="n"/>
      <c r="M1121" s="17">
        <f>IF($C1121="","",IF(ISNA(MATCH($C1121,项目名表,0)),"※项目不在项目台账里",IF($E1121="※工作类型没选","※工作类型没选","")))</f>
        <v/>
      </c>
    </row>
    <row r="1122">
      <c r="A1122" s="17">
        <f>IF($C1122="","",ROW()-3)</f>
        <v/>
      </c>
      <c r="B1122" s="18" t="n"/>
      <c r="C1122" s="13" t="n"/>
      <c r="D1122" s="13" t="n"/>
      <c r="E1122" s="17">
        <f>IF($C1122="","",IFERROR(VLOOKUP($D1122,工作归属,2,0),"※工作类型没选"))</f>
        <v/>
      </c>
      <c r="F1122" s="13" t="n"/>
      <c r="G1122" s="13" t="n"/>
      <c r="H1122" s="20" t="n"/>
      <c r="I1122" s="14" t="n"/>
      <c r="J1122" s="19">
        <f>IF($C1122="","",ROUND(IF($H1122="",1,$H1122)*N($I1122),2))</f>
        <v/>
      </c>
      <c r="K1122" s="13" t="n"/>
      <c r="L1122" s="13" t="n"/>
      <c r="M1122" s="17">
        <f>IF($C1122="","",IF(ISNA(MATCH($C1122,项目名表,0)),"※项目不在项目台账里",IF($E1122="※工作类型没选","※工作类型没选","")))</f>
        <v/>
      </c>
    </row>
    <row r="1123">
      <c r="A1123" s="17">
        <f>IF($C1123="","",ROW()-3)</f>
        <v/>
      </c>
      <c r="B1123" s="18" t="n"/>
      <c r="C1123" s="13" t="n"/>
      <c r="D1123" s="13" t="n"/>
      <c r="E1123" s="17">
        <f>IF($C1123="","",IFERROR(VLOOKUP($D1123,工作归属,2,0),"※工作类型没选"))</f>
        <v/>
      </c>
      <c r="F1123" s="13" t="n"/>
      <c r="G1123" s="13" t="n"/>
      <c r="H1123" s="20" t="n"/>
      <c r="I1123" s="14" t="n"/>
      <c r="J1123" s="19">
        <f>IF($C1123="","",ROUND(IF($H1123="",1,$H1123)*N($I1123),2))</f>
        <v/>
      </c>
      <c r="K1123" s="13" t="n"/>
      <c r="L1123" s="13" t="n"/>
      <c r="M1123" s="17">
        <f>IF($C1123="","",IF(ISNA(MATCH($C1123,项目名表,0)),"※项目不在项目台账里",IF($E1123="※工作类型没选","※工作类型没选","")))</f>
        <v/>
      </c>
    </row>
    <row r="1124">
      <c r="A1124" s="17">
        <f>IF($C1124="","",ROW()-3)</f>
        <v/>
      </c>
      <c r="B1124" s="18" t="n"/>
      <c r="C1124" s="13" t="n"/>
      <c r="D1124" s="13" t="n"/>
      <c r="E1124" s="17">
        <f>IF($C1124="","",IFERROR(VLOOKUP($D1124,工作归属,2,0),"※工作类型没选"))</f>
        <v/>
      </c>
      <c r="F1124" s="13" t="n"/>
      <c r="G1124" s="13" t="n"/>
      <c r="H1124" s="20" t="n"/>
      <c r="I1124" s="14" t="n"/>
      <c r="J1124" s="19">
        <f>IF($C1124="","",ROUND(IF($H1124="",1,$H1124)*N($I1124),2))</f>
        <v/>
      </c>
      <c r="K1124" s="13" t="n"/>
      <c r="L1124" s="13" t="n"/>
      <c r="M1124" s="17">
        <f>IF($C1124="","",IF(ISNA(MATCH($C1124,项目名表,0)),"※项目不在项目台账里",IF($E1124="※工作类型没选","※工作类型没选","")))</f>
        <v/>
      </c>
    </row>
    <row r="1125">
      <c r="A1125" s="17">
        <f>IF($C1125="","",ROW()-3)</f>
        <v/>
      </c>
      <c r="B1125" s="18" t="n"/>
      <c r="C1125" s="13" t="n"/>
      <c r="D1125" s="13" t="n"/>
      <c r="E1125" s="17">
        <f>IF($C1125="","",IFERROR(VLOOKUP($D1125,工作归属,2,0),"※工作类型没选"))</f>
        <v/>
      </c>
      <c r="F1125" s="13" t="n"/>
      <c r="G1125" s="13" t="n"/>
      <c r="H1125" s="20" t="n"/>
      <c r="I1125" s="14" t="n"/>
      <c r="J1125" s="19">
        <f>IF($C1125="","",ROUND(IF($H1125="",1,$H1125)*N($I1125),2))</f>
        <v/>
      </c>
      <c r="K1125" s="13" t="n"/>
      <c r="L1125" s="13" t="n"/>
      <c r="M1125" s="17">
        <f>IF($C1125="","",IF(ISNA(MATCH($C1125,项目名表,0)),"※项目不在项目台账里",IF($E1125="※工作类型没选","※工作类型没选","")))</f>
        <v/>
      </c>
    </row>
    <row r="1126">
      <c r="A1126" s="17">
        <f>IF($C1126="","",ROW()-3)</f>
        <v/>
      </c>
      <c r="B1126" s="18" t="n"/>
      <c r="C1126" s="13" t="n"/>
      <c r="D1126" s="13" t="n"/>
      <c r="E1126" s="17">
        <f>IF($C1126="","",IFERROR(VLOOKUP($D1126,工作归属,2,0),"※工作类型没选"))</f>
        <v/>
      </c>
      <c r="F1126" s="13" t="n"/>
      <c r="G1126" s="13" t="n"/>
      <c r="H1126" s="20" t="n"/>
      <c r="I1126" s="14" t="n"/>
      <c r="J1126" s="19">
        <f>IF($C1126="","",ROUND(IF($H1126="",1,$H1126)*N($I1126),2))</f>
        <v/>
      </c>
      <c r="K1126" s="13" t="n"/>
      <c r="L1126" s="13" t="n"/>
      <c r="M1126" s="17">
        <f>IF($C1126="","",IF(ISNA(MATCH($C1126,项目名表,0)),"※项目不在项目台账里",IF($E1126="※工作类型没选","※工作类型没选","")))</f>
        <v/>
      </c>
    </row>
    <row r="1127">
      <c r="A1127" s="17">
        <f>IF($C1127="","",ROW()-3)</f>
        <v/>
      </c>
      <c r="B1127" s="18" t="n"/>
      <c r="C1127" s="13" t="n"/>
      <c r="D1127" s="13" t="n"/>
      <c r="E1127" s="17">
        <f>IF($C1127="","",IFERROR(VLOOKUP($D1127,工作归属,2,0),"※工作类型没选"))</f>
        <v/>
      </c>
      <c r="F1127" s="13" t="n"/>
      <c r="G1127" s="13" t="n"/>
      <c r="H1127" s="20" t="n"/>
      <c r="I1127" s="14" t="n"/>
      <c r="J1127" s="19">
        <f>IF($C1127="","",ROUND(IF($H1127="",1,$H1127)*N($I1127),2))</f>
        <v/>
      </c>
      <c r="K1127" s="13" t="n"/>
      <c r="L1127" s="13" t="n"/>
      <c r="M1127" s="17">
        <f>IF($C1127="","",IF(ISNA(MATCH($C1127,项目名表,0)),"※项目不在项目台账里",IF($E1127="※工作类型没选","※工作类型没选","")))</f>
        <v/>
      </c>
    </row>
    <row r="1128">
      <c r="A1128" s="17">
        <f>IF($C1128="","",ROW()-3)</f>
        <v/>
      </c>
      <c r="B1128" s="18" t="n"/>
      <c r="C1128" s="13" t="n"/>
      <c r="D1128" s="13" t="n"/>
      <c r="E1128" s="17">
        <f>IF($C1128="","",IFERROR(VLOOKUP($D1128,工作归属,2,0),"※工作类型没选"))</f>
        <v/>
      </c>
      <c r="F1128" s="13" t="n"/>
      <c r="G1128" s="13" t="n"/>
      <c r="H1128" s="20" t="n"/>
      <c r="I1128" s="14" t="n"/>
      <c r="J1128" s="19">
        <f>IF($C1128="","",ROUND(IF($H1128="",1,$H1128)*N($I1128),2))</f>
        <v/>
      </c>
      <c r="K1128" s="13" t="n"/>
      <c r="L1128" s="13" t="n"/>
      <c r="M1128" s="17">
        <f>IF($C1128="","",IF(ISNA(MATCH($C1128,项目名表,0)),"※项目不在项目台账里",IF($E1128="※工作类型没选","※工作类型没选","")))</f>
        <v/>
      </c>
    </row>
    <row r="1129">
      <c r="A1129" s="17">
        <f>IF($C1129="","",ROW()-3)</f>
        <v/>
      </c>
      <c r="B1129" s="18" t="n"/>
      <c r="C1129" s="13" t="n"/>
      <c r="D1129" s="13" t="n"/>
      <c r="E1129" s="17">
        <f>IF($C1129="","",IFERROR(VLOOKUP($D1129,工作归属,2,0),"※工作类型没选"))</f>
        <v/>
      </c>
      <c r="F1129" s="13" t="n"/>
      <c r="G1129" s="13" t="n"/>
      <c r="H1129" s="20" t="n"/>
      <c r="I1129" s="14" t="n"/>
      <c r="J1129" s="19">
        <f>IF($C1129="","",ROUND(IF($H1129="",1,$H1129)*N($I1129),2))</f>
        <v/>
      </c>
      <c r="K1129" s="13" t="n"/>
      <c r="L1129" s="13" t="n"/>
      <c r="M1129" s="17">
        <f>IF($C1129="","",IF(ISNA(MATCH($C1129,项目名表,0)),"※项目不在项目台账里",IF($E1129="※工作类型没选","※工作类型没选","")))</f>
        <v/>
      </c>
    </row>
    <row r="1130">
      <c r="A1130" s="17">
        <f>IF($C1130="","",ROW()-3)</f>
        <v/>
      </c>
      <c r="B1130" s="18" t="n"/>
      <c r="C1130" s="13" t="n"/>
      <c r="D1130" s="13" t="n"/>
      <c r="E1130" s="17">
        <f>IF($C1130="","",IFERROR(VLOOKUP($D1130,工作归属,2,0),"※工作类型没选"))</f>
        <v/>
      </c>
      <c r="F1130" s="13" t="n"/>
      <c r="G1130" s="13" t="n"/>
      <c r="H1130" s="20" t="n"/>
      <c r="I1130" s="14" t="n"/>
      <c r="J1130" s="19">
        <f>IF($C1130="","",ROUND(IF($H1130="",1,$H1130)*N($I1130),2))</f>
        <v/>
      </c>
      <c r="K1130" s="13" t="n"/>
      <c r="L1130" s="13" t="n"/>
      <c r="M1130" s="17">
        <f>IF($C1130="","",IF(ISNA(MATCH($C1130,项目名表,0)),"※项目不在项目台账里",IF($E1130="※工作类型没选","※工作类型没选","")))</f>
        <v/>
      </c>
    </row>
    <row r="1131">
      <c r="A1131" s="17">
        <f>IF($C1131="","",ROW()-3)</f>
        <v/>
      </c>
      <c r="B1131" s="18" t="n"/>
      <c r="C1131" s="13" t="n"/>
      <c r="D1131" s="13" t="n"/>
      <c r="E1131" s="17">
        <f>IF($C1131="","",IFERROR(VLOOKUP($D1131,工作归属,2,0),"※工作类型没选"))</f>
        <v/>
      </c>
      <c r="F1131" s="13" t="n"/>
      <c r="G1131" s="13" t="n"/>
      <c r="H1131" s="20" t="n"/>
      <c r="I1131" s="14" t="n"/>
      <c r="J1131" s="19">
        <f>IF($C1131="","",ROUND(IF($H1131="",1,$H1131)*N($I1131),2))</f>
        <v/>
      </c>
      <c r="K1131" s="13" t="n"/>
      <c r="L1131" s="13" t="n"/>
      <c r="M1131" s="17">
        <f>IF($C1131="","",IF(ISNA(MATCH($C1131,项目名表,0)),"※项目不在项目台账里",IF($E1131="※工作类型没选","※工作类型没选","")))</f>
        <v/>
      </c>
    </row>
    <row r="1132">
      <c r="A1132" s="17">
        <f>IF($C1132="","",ROW()-3)</f>
        <v/>
      </c>
      <c r="B1132" s="18" t="n"/>
      <c r="C1132" s="13" t="n"/>
      <c r="D1132" s="13" t="n"/>
      <c r="E1132" s="17">
        <f>IF($C1132="","",IFERROR(VLOOKUP($D1132,工作归属,2,0),"※工作类型没选"))</f>
        <v/>
      </c>
      <c r="F1132" s="13" t="n"/>
      <c r="G1132" s="13" t="n"/>
      <c r="H1132" s="20" t="n"/>
      <c r="I1132" s="14" t="n"/>
      <c r="J1132" s="19">
        <f>IF($C1132="","",ROUND(IF($H1132="",1,$H1132)*N($I1132),2))</f>
        <v/>
      </c>
      <c r="K1132" s="13" t="n"/>
      <c r="L1132" s="13" t="n"/>
      <c r="M1132" s="17">
        <f>IF($C1132="","",IF(ISNA(MATCH($C1132,项目名表,0)),"※项目不在项目台账里",IF($E1132="※工作类型没选","※工作类型没选","")))</f>
        <v/>
      </c>
    </row>
    <row r="1133">
      <c r="A1133" s="17">
        <f>IF($C1133="","",ROW()-3)</f>
        <v/>
      </c>
      <c r="B1133" s="18" t="n"/>
      <c r="C1133" s="13" t="n"/>
      <c r="D1133" s="13" t="n"/>
      <c r="E1133" s="17">
        <f>IF($C1133="","",IFERROR(VLOOKUP($D1133,工作归属,2,0),"※工作类型没选"))</f>
        <v/>
      </c>
      <c r="F1133" s="13" t="n"/>
      <c r="G1133" s="13" t="n"/>
      <c r="H1133" s="20" t="n"/>
      <c r="I1133" s="14" t="n"/>
      <c r="J1133" s="19">
        <f>IF($C1133="","",ROUND(IF($H1133="",1,$H1133)*N($I1133),2))</f>
        <v/>
      </c>
      <c r="K1133" s="13" t="n"/>
      <c r="L1133" s="13" t="n"/>
      <c r="M1133" s="17">
        <f>IF($C1133="","",IF(ISNA(MATCH($C1133,项目名表,0)),"※项目不在项目台账里",IF($E1133="※工作类型没选","※工作类型没选","")))</f>
        <v/>
      </c>
    </row>
    <row r="1134">
      <c r="A1134" s="17">
        <f>IF($C1134="","",ROW()-3)</f>
        <v/>
      </c>
      <c r="B1134" s="18" t="n"/>
      <c r="C1134" s="13" t="n"/>
      <c r="D1134" s="13" t="n"/>
      <c r="E1134" s="17">
        <f>IF($C1134="","",IFERROR(VLOOKUP($D1134,工作归属,2,0),"※工作类型没选"))</f>
        <v/>
      </c>
      <c r="F1134" s="13" t="n"/>
      <c r="G1134" s="13" t="n"/>
      <c r="H1134" s="20" t="n"/>
      <c r="I1134" s="14" t="n"/>
      <c r="J1134" s="19">
        <f>IF($C1134="","",ROUND(IF($H1134="",1,$H1134)*N($I1134),2))</f>
        <v/>
      </c>
      <c r="K1134" s="13" t="n"/>
      <c r="L1134" s="13" t="n"/>
      <c r="M1134" s="17">
        <f>IF($C1134="","",IF(ISNA(MATCH($C1134,项目名表,0)),"※项目不在项目台账里",IF($E1134="※工作类型没选","※工作类型没选","")))</f>
        <v/>
      </c>
    </row>
    <row r="1135">
      <c r="A1135" s="17">
        <f>IF($C1135="","",ROW()-3)</f>
        <v/>
      </c>
      <c r="B1135" s="18" t="n"/>
      <c r="C1135" s="13" t="n"/>
      <c r="D1135" s="13" t="n"/>
      <c r="E1135" s="17">
        <f>IF($C1135="","",IFERROR(VLOOKUP($D1135,工作归属,2,0),"※工作类型没选"))</f>
        <v/>
      </c>
      <c r="F1135" s="13" t="n"/>
      <c r="G1135" s="13" t="n"/>
      <c r="H1135" s="20" t="n"/>
      <c r="I1135" s="14" t="n"/>
      <c r="J1135" s="19">
        <f>IF($C1135="","",ROUND(IF($H1135="",1,$H1135)*N($I1135),2))</f>
        <v/>
      </c>
      <c r="K1135" s="13" t="n"/>
      <c r="L1135" s="13" t="n"/>
      <c r="M1135" s="17">
        <f>IF($C1135="","",IF(ISNA(MATCH($C1135,项目名表,0)),"※项目不在项目台账里",IF($E1135="※工作类型没选","※工作类型没选","")))</f>
        <v/>
      </c>
    </row>
    <row r="1136">
      <c r="A1136" s="17">
        <f>IF($C1136="","",ROW()-3)</f>
        <v/>
      </c>
      <c r="B1136" s="18" t="n"/>
      <c r="C1136" s="13" t="n"/>
      <c r="D1136" s="13" t="n"/>
      <c r="E1136" s="17">
        <f>IF($C1136="","",IFERROR(VLOOKUP($D1136,工作归属,2,0),"※工作类型没选"))</f>
        <v/>
      </c>
      <c r="F1136" s="13" t="n"/>
      <c r="G1136" s="13" t="n"/>
      <c r="H1136" s="20" t="n"/>
      <c r="I1136" s="14" t="n"/>
      <c r="J1136" s="19">
        <f>IF($C1136="","",ROUND(IF($H1136="",1,$H1136)*N($I1136),2))</f>
        <v/>
      </c>
      <c r="K1136" s="13" t="n"/>
      <c r="L1136" s="13" t="n"/>
      <c r="M1136" s="17">
        <f>IF($C1136="","",IF(ISNA(MATCH($C1136,项目名表,0)),"※项目不在项目台账里",IF($E1136="※工作类型没选","※工作类型没选","")))</f>
        <v/>
      </c>
    </row>
    <row r="1137">
      <c r="A1137" s="17">
        <f>IF($C1137="","",ROW()-3)</f>
        <v/>
      </c>
      <c r="B1137" s="18" t="n"/>
      <c r="C1137" s="13" t="n"/>
      <c r="D1137" s="13" t="n"/>
      <c r="E1137" s="17">
        <f>IF($C1137="","",IFERROR(VLOOKUP($D1137,工作归属,2,0),"※工作类型没选"))</f>
        <v/>
      </c>
      <c r="F1137" s="13" t="n"/>
      <c r="G1137" s="13" t="n"/>
      <c r="H1137" s="20" t="n"/>
      <c r="I1137" s="14" t="n"/>
      <c r="J1137" s="19">
        <f>IF($C1137="","",ROUND(IF($H1137="",1,$H1137)*N($I1137),2))</f>
        <v/>
      </c>
      <c r="K1137" s="13" t="n"/>
      <c r="L1137" s="13" t="n"/>
      <c r="M1137" s="17">
        <f>IF($C1137="","",IF(ISNA(MATCH($C1137,项目名表,0)),"※项目不在项目台账里",IF($E1137="※工作类型没选","※工作类型没选","")))</f>
        <v/>
      </c>
    </row>
    <row r="1138">
      <c r="A1138" s="17">
        <f>IF($C1138="","",ROW()-3)</f>
        <v/>
      </c>
      <c r="B1138" s="18" t="n"/>
      <c r="C1138" s="13" t="n"/>
      <c r="D1138" s="13" t="n"/>
      <c r="E1138" s="17">
        <f>IF($C1138="","",IFERROR(VLOOKUP($D1138,工作归属,2,0),"※工作类型没选"))</f>
        <v/>
      </c>
      <c r="F1138" s="13" t="n"/>
      <c r="G1138" s="13" t="n"/>
      <c r="H1138" s="20" t="n"/>
      <c r="I1138" s="14" t="n"/>
      <c r="J1138" s="19">
        <f>IF($C1138="","",ROUND(IF($H1138="",1,$H1138)*N($I1138),2))</f>
        <v/>
      </c>
      <c r="K1138" s="13" t="n"/>
      <c r="L1138" s="13" t="n"/>
      <c r="M1138" s="17">
        <f>IF($C1138="","",IF(ISNA(MATCH($C1138,项目名表,0)),"※项目不在项目台账里",IF($E1138="※工作类型没选","※工作类型没选","")))</f>
        <v/>
      </c>
    </row>
    <row r="1139">
      <c r="A1139" s="17">
        <f>IF($C1139="","",ROW()-3)</f>
        <v/>
      </c>
      <c r="B1139" s="18" t="n"/>
      <c r="C1139" s="13" t="n"/>
      <c r="D1139" s="13" t="n"/>
      <c r="E1139" s="17">
        <f>IF($C1139="","",IFERROR(VLOOKUP($D1139,工作归属,2,0),"※工作类型没选"))</f>
        <v/>
      </c>
      <c r="F1139" s="13" t="n"/>
      <c r="G1139" s="13" t="n"/>
      <c r="H1139" s="20" t="n"/>
      <c r="I1139" s="14" t="n"/>
      <c r="J1139" s="19">
        <f>IF($C1139="","",ROUND(IF($H1139="",1,$H1139)*N($I1139),2))</f>
        <v/>
      </c>
      <c r="K1139" s="13" t="n"/>
      <c r="L1139" s="13" t="n"/>
      <c r="M1139" s="17">
        <f>IF($C1139="","",IF(ISNA(MATCH($C1139,项目名表,0)),"※项目不在项目台账里",IF($E1139="※工作类型没选","※工作类型没选","")))</f>
        <v/>
      </c>
    </row>
    <row r="1140">
      <c r="A1140" s="17">
        <f>IF($C1140="","",ROW()-3)</f>
        <v/>
      </c>
      <c r="B1140" s="18" t="n"/>
      <c r="C1140" s="13" t="n"/>
      <c r="D1140" s="13" t="n"/>
      <c r="E1140" s="17">
        <f>IF($C1140="","",IFERROR(VLOOKUP($D1140,工作归属,2,0),"※工作类型没选"))</f>
        <v/>
      </c>
      <c r="F1140" s="13" t="n"/>
      <c r="G1140" s="13" t="n"/>
      <c r="H1140" s="20" t="n"/>
      <c r="I1140" s="14" t="n"/>
      <c r="J1140" s="19">
        <f>IF($C1140="","",ROUND(IF($H1140="",1,$H1140)*N($I1140),2))</f>
        <v/>
      </c>
      <c r="K1140" s="13" t="n"/>
      <c r="L1140" s="13" t="n"/>
      <c r="M1140" s="17">
        <f>IF($C1140="","",IF(ISNA(MATCH($C1140,项目名表,0)),"※项目不在项目台账里",IF($E1140="※工作类型没选","※工作类型没选","")))</f>
        <v/>
      </c>
    </row>
    <row r="1141">
      <c r="A1141" s="17">
        <f>IF($C1141="","",ROW()-3)</f>
        <v/>
      </c>
      <c r="B1141" s="18" t="n"/>
      <c r="C1141" s="13" t="n"/>
      <c r="D1141" s="13" t="n"/>
      <c r="E1141" s="17">
        <f>IF($C1141="","",IFERROR(VLOOKUP($D1141,工作归属,2,0),"※工作类型没选"))</f>
        <v/>
      </c>
      <c r="F1141" s="13" t="n"/>
      <c r="G1141" s="13" t="n"/>
      <c r="H1141" s="20" t="n"/>
      <c r="I1141" s="14" t="n"/>
      <c r="J1141" s="19">
        <f>IF($C1141="","",ROUND(IF($H1141="",1,$H1141)*N($I1141),2))</f>
        <v/>
      </c>
      <c r="K1141" s="13" t="n"/>
      <c r="L1141" s="13" t="n"/>
      <c r="M1141" s="17">
        <f>IF($C1141="","",IF(ISNA(MATCH($C1141,项目名表,0)),"※项目不在项目台账里",IF($E1141="※工作类型没选","※工作类型没选","")))</f>
        <v/>
      </c>
    </row>
    <row r="1142">
      <c r="A1142" s="17">
        <f>IF($C1142="","",ROW()-3)</f>
        <v/>
      </c>
      <c r="B1142" s="18" t="n"/>
      <c r="C1142" s="13" t="n"/>
      <c r="D1142" s="13" t="n"/>
      <c r="E1142" s="17">
        <f>IF($C1142="","",IFERROR(VLOOKUP($D1142,工作归属,2,0),"※工作类型没选"))</f>
        <v/>
      </c>
      <c r="F1142" s="13" t="n"/>
      <c r="G1142" s="13" t="n"/>
      <c r="H1142" s="20" t="n"/>
      <c r="I1142" s="14" t="n"/>
      <c r="J1142" s="19">
        <f>IF($C1142="","",ROUND(IF($H1142="",1,$H1142)*N($I1142),2))</f>
        <v/>
      </c>
      <c r="K1142" s="13" t="n"/>
      <c r="L1142" s="13" t="n"/>
      <c r="M1142" s="17">
        <f>IF($C1142="","",IF(ISNA(MATCH($C1142,项目名表,0)),"※项目不在项目台账里",IF($E1142="※工作类型没选","※工作类型没选","")))</f>
        <v/>
      </c>
    </row>
    <row r="1143">
      <c r="A1143" s="17">
        <f>IF($C1143="","",ROW()-3)</f>
        <v/>
      </c>
      <c r="B1143" s="18" t="n"/>
      <c r="C1143" s="13" t="n"/>
      <c r="D1143" s="13" t="n"/>
      <c r="E1143" s="17">
        <f>IF($C1143="","",IFERROR(VLOOKUP($D1143,工作归属,2,0),"※工作类型没选"))</f>
        <v/>
      </c>
      <c r="F1143" s="13" t="n"/>
      <c r="G1143" s="13" t="n"/>
      <c r="H1143" s="20" t="n"/>
      <c r="I1143" s="14" t="n"/>
      <c r="J1143" s="19">
        <f>IF($C1143="","",ROUND(IF($H1143="",1,$H1143)*N($I1143),2))</f>
        <v/>
      </c>
      <c r="K1143" s="13" t="n"/>
      <c r="L1143" s="13" t="n"/>
      <c r="M1143" s="17">
        <f>IF($C1143="","",IF(ISNA(MATCH($C1143,项目名表,0)),"※项目不在项目台账里",IF($E1143="※工作类型没选","※工作类型没选","")))</f>
        <v/>
      </c>
    </row>
    <row r="1144">
      <c r="A1144" s="17">
        <f>IF($C1144="","",ROW()-3)</f>
        <v/>
      </c>
      <c r="B1144" s="18" t="n"/>
      <c r="C1144" s="13" t="n"/>
      <c r="D1144" s="13" t="n"/>
      <c r="E1144" s="17">
        <f>IF($C1144="","",IFERROR(VLOOKUP($D1144,工作归属,2,0),"※工作类型没选"))</f>
        <v/>
      </c>
      <c r="F1144" s="13" t="n"/>
      <c r="G1144" s="13" t="n"/>
      <c r="H1144" s="20" t="n"/>
      <c r="I1144" s="14" t="n"/>
      <c r="J1144" s="19">
        <f>IF($C1144="","",ROUND(IF($H1144="",1,$H1144)*N($I1144),2))</f>
        <v/>
      </c>
      <c r="K1144" s="13" t="n"/>
      <c r="L1144" s="13" t="n"/>
      <c r="M1144" s="17">
        <f>IF($C1144="","",IF(ISNA(MATCH($C1144,项目名表,0)),"※项目不在项目台账里",IF($E1144="※工作类型没选","※工作类型没选","")))</f>
        <v/>
      </c>
    </row>
    <row r="1145">
      <c r="A1145" s="17">
        <f>IF($C1145="","",ROW()-3)</f>
        <v/>
      </c>
      <c r="B1145" s="18" t="n"/>
      <c r="C1145" s="13" t="n"/>
      <c r="D1145" s="13" t="n"/>
      <c r="E1145" s="17">
        <f>IF($C1145="","",IFERROR(VLOOKUP($D1145,工作归属,2,0),"※工作类型没选"))</f>
        <v/>
      </c>
      <c r="F1145" s="13" t="n"/>
      <c r="G1145" s="13" t="n"/>
      <c r="H1145" s="20" t="n"/>
      <c r="I1145" s="14" t="n"/>
      <c r="J1145" s="19">
        <f>IF($C1145="","",ROUND(IF($H1145="",1,$H1145)*N($I1145),2))</f>
        <v/>
      </c>
      <c r="K1145" s="13" t="n"/>
      <c r="L1145" s="13" t="n"/>
      <c r="M1145" s="17">
        <f>IF($C1145="","",IF(ISNA(MATCH($C1145,项目名表,0)),"※项目不在项目台账里",IF($E1145="※工作类型没选","※工作类型没选","")))</f>
        <v/>
      </c>
    </row>
    <row r="1146">
      <c r="A1146" s="17">
        <f>IF($C1146="","",ROW()-3)</f>
        <v/>
      </c>
      <c r="B1146" s="18" t="n"/>
      <c r="C1146" s="13" t="n"/>
      <c r="D1146" s="13" t="n"/>
      <c r="E1146" s="17">
        <f>IF($C1146="","",IFERROR(VLOOKUP($D1146,工作归属,2,0),"※工作类型没选"))</f>
        <v/>
      </c>
      <c r="F1146" s="13" t="n"/>
      <c r="G1146" s="13" t="n"/>
      <c r="H1146" s="20" t="n"/>
      <c r="I1146" s="14" t="n"/>
      <c r="J1146" s="19">
        <f>IF($C1146="","",ROUND(IF($H1146="",1,$H1146)*N($I1146),2))</f>
        <v/>
      </c>
      <c r="K1146" s="13" t="n"/>
      <c r="L1146" s="13" t="n"/>
      <c r="M1146" s="17">
        <f>IF($C1146="","",IF(ISNA(MATCH($C1146,项目名表,0)),"※项目不在项目台账里",IF($E1146="※工作类型没选","※工作类型没选","")))</f>
        <v/>
      </c>
    </row>
    <row r="1147">
      <c r="A1147" s="17">
        <f>IF($C1147="","",ROW()-3)</f>
        <v/>
      </c>
      <c r="B1147" s="18" t="n"/>
      <c r="C1147" s="13" t="n"/>
      <c r="D1147" s="13" t="n"/>
      <c r="E1147" s="17">
        <f>IF($C1147="","",IFERROR(VLOOKUP($D1147,工作归属,2,0),"※工作类型没选"))</f>
        <v/>
      </c>
      <c r="F1147" s="13" t="n"/>
      <c r="G1147" s="13" t="n"/>
      <c r="H1147" s="20" t="n"/>
      <c r="I1147" s="14" t="n"/>
      <c r="J1147" s="19">
        <f>IF($C1147="","",ROUND(IF($H1147="",1,$H1147)*N($I1147),2))</f>
        <v/>
      </c>
      <c r="K1147" s="13" t="n"/>
      <c r="L1147" s="13" t="n"/>
      <c r="M1147" s="17">
        <f>IF($C1147="","",IF(ISNA(MATCH($C1147,项目名表,0)),"※项目不在项目台账里",IF($E1147="※工作类型没选","※工作类型没选","")))</f>
        <v/>
      </c>
    </row>
    <row r="1148">
      <c r="A1148" s="17">
        <f>IF($C1148="","",ROW()-3)</f>
        <v/>
      </c>
      <c r="B1148" s="18" t="n"/>
      <c r="C1148" s="13" t="n"/>
      <c r="D1148" s="13" t="n"/>
      <c r="E1148" s="17">
        <f>IF($C1148="","",IFERROR(VLOOKUP($D1148,工作归属,2,0),"※工作类型没选"))</f>
        <v/>
      </c>
      <c r="F1148" s="13" t="n"/>
      <c r="G1148" s="13" t="n"/>
      <c r="H1148" s="20" t="n"/>
      <c r="I1148" s="14" t="n"/>
      <c r="J1148" s="19">
        <f>IF($C1148="","",ROUND(IF($H1148="",1,$H1148)*N($I1148),2))</f>
        <v/>
      </c>
      <c r="K1148" s="13" t="n"/>
      <c r="L1148" s="13" t="n"/>
      <c r="M1148" s="17">
        <f>IF($C1148="","",IF(ISNA(MATCH($C1148,项目名表,0)),"※项目不在项目台账里",IF($E1148="※工作类型没选","※工作类型没选","")))</f>
        <v/>
      </c>
    </row>
    <row r="1149">
      <c r="A1149" s="17">
        <f>IF($C1149="","",ROW()-3)</f>
        <v/>
      </c>
      <c r="B1149" s="18" t="n"/>
      <c r="C1149" s="13" t="n"/>
      <c r="D1149" s="13" t="n"/>
      <c r="E1149" s="17">
        <f>IF($C1149="","",IFERROR(VLOOKUP($D1149,工作归属,2,0),"※工作类型没选"))</f>
        <v/>
      </c>
      <c r="F1149" s="13" t="n"/>
      <c r="G1149" s="13" t="n"/>
      <c r="H1149" s="20" t="n"/>
      <c r="I1149" s="14" t="n"/>
      <c r="J1149" s="19">
        <f>IF($C1149="","",ROUND(IF($H1149="",1,$H1149)*N($I1149),2))</f>
        <v/>
      </c>
      <c r="K1149" s="13" t="n"/>
      <c r="L1149" s="13" t="n"/>
      <c r="M1149" s="17">
        <f>IF($C1149="","",IF(ISNA(MATCH($C1149,项目名表,0)),"※项目不在项目台账里",IF($E1149="※工作类型没选","※工作类型没选","")))</f>
        <v/>
      </c>
    </row>
    <row r="1150">
      <c r="A1150" s="17">
        <f>IF($C1150="","",ROW()-3)</f>
        <v/>
      </c>
      <c r="B1150" s="18" t="n"/>
      <c r="C1150" s="13" t="n"/>
      <c r="D1150" s="13" t="n"/>
      <c r="E1150" s="17">
        <f>IF($C1150="","",IFERROR(VLOOKUP($D1150,工作归属,2,0),"※工作类型没选"))</f>
        <v/>
      </c>
      <c r="F1150" s="13" t="n"/>
      <c r="G1150" s="13" t="n"/>
      <c r="H1150" s="20" t="n"/>
      <c r="I1150" s="14" t="n"/>
      <c r="J1150" s="19">
        <f>IF($C1150="","",ROUND(IF($H1150="",1,$H1150)*N($I1150),2))</f>
        <v/>
      </c>
      <c r="K1150" s="13" t="n"/>
      <c r="L1150" s="13" t="n"/>
      <c r="M1150" s="17">
        <f>IF($C1150="","",IF(ISNA(MATCH($C1150,项目名表,0)),"※项目不在项目台账里",IF($E1150="※工作类型没选","※工作类型没选","")))</f>
        <v/>
      </c>
    </row>
    <row r="1151">
      <c r="A1151" s="17">
        <f>IF($C1151="","",ROW()-3)</f>
        <v/>
      </c>
      <c r="B1151" s="18" t="n"/>
      <c r="C1151" s="13" t="n"/>
      <c r="D1151" s="13" t="n"/>
      <c r="E1151" s="17">
        <f>IF($C1151="","",IFERROR(VLOOKUP($D1151,工作归属,2,0),"※工作类型没选"))</f>
        <v/>
      </c>
      <c r="F1151" s="13" t="n"/>
      <c r="G1151" s="13" t="n"/>
      <c r="H1151" s="20" t="n"/>
      <c r="I1151" s="14" t="n"/>
      <c r="J1151" s="19">
        <f>IF($C1151="","",ROUND(IF($H1151="",1,$H1151)*N($I1151),2))</f>
        <v/>
      </c>
      <c r="K1151" s="13" t="n"/>
      <c r="L1151" s="13" t="n"/>
      <c r="M1151" s="17">
        <f>IF($C1151="","",IF(ISNA(MATCH($C1151,项目名表,0)),"※项目不在项目台账里",IF($E1151="※工作类型没选","※工作类型没选","")))</f>
        <v/>
      </c>
    </row>
    <row r="1152">
      <c r="A1152" s="17">
        <f>IF($C1152="","",ROW()-3)</f>
        <v/>
      </c>
      <c r="B1152" s="18" t="n"/>
      <c r="C1152" s="13" t="n"/>
      <c r="D1152" s="13" t="n"/>
      <c r="E1152" s="17">
        <f>IF($C1152="","",IFERROR(VLOOKUP($D1152,工作归属,2,0),"※工作类型没选"))</f>
        <v/>
      </c>
      <c r="F1152" s="13" t="n"/>
      <c r="G1152" s="13" t="n"/>
      <c r="H1152" s="20" t="n"/>
      <c r="I1152" s="14" t="n"/>
      <c r="J1152" s="19">
        <f>IF($C1152="","",ROUND(IF($H1152="",1,$H1152)*N($I1152),2))</f>
        <v/>
      </c>
      <c r="K1152" s="13" t="n"/>
      <c r="L1152" s="13" t="n"/>
      <c r="M1152" s="17">
        <f>IF($C1152="","",IF(ISNA(MATCH($C1152,项目名表,0)),"※项目不在项目台账里",IF($E1152="※工作类型没选","※工作类型没选","")))</f>
        <v/>
      </c>
    </row>
    <row r="1153">
      <c r="A1153" s="17">
        <f>IF($C1153="","",ROW()-3)</f>
        <v/>
      </c>
      <c r="B1153" s="18" t="n"/>
      <c r="C1153" s="13" t="n"/>
      <c r="D1153" s="13" t="n"/>
      <c r="E1153" s="17">
        <f>IF($C1153="","",IFERROR(VLOOKUP($D1153,工作归属,2,0),"※工作类型没选"))</f>
        <v/>
      </c>
      <c r="F1153" s="13" t="n"/>
      <c r="G1153" s="13" t="n"/>
      <c r="H1153" s="20" t="n"/>
      <c r="I1153" s="14" t="n"/>
      <c r="J1153" s="19">
        <f>IF($C1153="","",ROUND(IF($H1153="",1,$H1153)*N($I1153),2))</f>
        <v/>
      </c>
      <c r="K1153" s="13" t="n"/>
      <c r="L1153" s="13" t="n"/>
      <c r="M1153" s="17">
        <f>IF($C1153="","",IF(ISNA(MATCH($C1153,项目名表,0)),"※项目不在项目台账里",IF($E1153="※工作类型没选","※工作类型没选","")))</f>
        <v/>
      </c>
    </row>
    <row r="1154">
      <c r="A1154" s="17">
        <f>IF($C1154="","",ROW()-3)</f>
        <v/>
      </c>
      <c r="B1154" s="18" t="n"/>
      <c r="C1154" s="13" t="n"/>
      <c r="D1154" s="13" t="n"/>
      <c r="E1154" s="17">
        <f>IF($C1154="","",IFERROR(VLOOKUP($D1154,工作归属,2,0),"※工作类型没选"))</f>
        <v/>
      </c>
      <c r="F1154" s="13" t="n"/>
      <c r="G1154" s="13" t="n"/>
      <c r="H1154" s="20" t="n"/>
      <c r="I1154" s="14" t="n"/>
      <c r="J1154" s="19">
        <f>IF($C1154="","",ROUND(IF($H1154="",1,$H1154)*N($I1154),2))</f>
        <v/>
      </c>
      <c r="K1154" s="13" t="n"/>
      <c r="L1154" s="13" t="n"/>
      <c r="M1154" s="17">
        <f>IF($C1154="","",IF(ISNA(MATCH($C1154,项目名表,0)),"※项目不在项目台账里",IF($E1154="※工作类型没选","※工作类型没选","")))</f>
        <v/>
      </c>
    </row>
    <row r="1155">
      <c r="A1155" s="17">
        <f>IF($C1155="","",ROW()-3)</f>
        <v/>
      </c>
      <c r="B1155" s="18" t="n"/>
      <c r="C1155" s="13" t="n"/>
      <c r="D1155" s="13" t="n"/>
      <c r="E1155" s="17">
        <f>IF($C1155="","",IFERROR(VLOOKUP($D1155,工作归属,2,0),"※工作类型没选"))</f>
        <v/>
      </c>
      <c r="F1155" s="13" t="n"/>
      <c r="G1155" s="13" t="n"/>
      <c r="H1155" s="20" t="n"/>
      <c r="I1155" s="14" t="n"/>
      <c r="J1155" s="19">
        <f>IF($C1155="","",ROUND(IF($H1155="",1,$H1155)*N($I1155),2))</f>
        <v/>
      </c>
      <c r="K1155" s="13" t="n"/>
      <c r="L1155" s="13" t="n"/>
      <c r="M1155" s="17">
        <f>IF($C1155="","",IF(ISNA(MATCH($C1155,项目名表,0)),"※项目不在项目台账里",IF($E1155="※工作类型没选","※工作类型没选","")))</f>
        <v/>
      </c>
    </row>
    <row r="1156">
      <c r="A1156" s="17">
        <f>IF($C1156="","",ROW()-3)</f>
        <v/>
      </c>
      <c r="B1156" s="18" t="n"/>
      <c r="C1156" s="13" t="n"/>
      <c r="D1156" s="13" t="n"/>
      <c r="E1156" s="17">
        <f>IF($C1156="","",IFERROR(VLOOKUP($D1156,工作归属,2,0),"※工作类型没选"))</f>
        <v/>
      </c>
      <c r="F1156" s="13" t="n"/>
      <c r="G1156" s="13" t="n"/>
      <c r="H1156" s="20" t="n"/>
      <c r="I1156" s="14" t="n"/>
      <c r="J1156" s="19">
        <f>IF($C1156="","",ROUND(IF($H1156="",1,$H1156)*N($I1156),2))</f>
        <v/>
      </c>
      <c r="K1156" s="13" t="n"/>
      <c r="L1156" s="13" t="n"/>
      <c r="M1156" s="17">
        <f>IF($C1156="","",IF(ISNA(MATCH($C1156,项目名表,0)),"※项目不在项目台账里",IF($E1156="※工作类型没选","※工作类型没选","")))</f>
        <v/>
      </c>
    </row>
    <row r="1157">
      <c r="A1157" s="17">
        <f>IF($C1157="","",ROW()-3)</f>
        <v/>
      </c>
      <c r="B1157" s="18" t="n"/>
      <c r="C1157" s="13" t="n"/>
      <c r="D1157" s="13" t="n"/>
      <c r="E1157" s="17">
        <f>IF($C1157="","",IFERROR(VLOOKUP($D1157,工作归属,2,0),"※工作类型没选"))</f>
        <v/>
      </c>
      <c r="F1157" s="13" t="n"/>
      <c r="G1157" s="13" t="n"/>
      <c r="H1157" s="20" t="n"/>
      <c r="I1157" s="14" t="n"/>
      <c r="J1157" s="19">
        <f>IF($C1157="","",ROUND(IF($H1157="",1,$H1157)*N($I1157),2))</f>
        <v/>
      </c>
      <c r="K1157" s="13" t="n"/>
      <c r="L1157" s="13" t="n"/>
      <c r="M1157" s="17">
        <f>IF($C1157="","",IF(ISNA(MATCH($C1157,项目名表,0)),"※项目不在项目台账里",IF($E1157="※工作类型没选","※工作类型没选","")))</f>
        <v/>
      </c>
    </row>
    <row r="1158">
      <c r="A1158" s="17">
        <f>IF($C1158="","",ROW()-3)</f>
        <v/>
      </c>
      <c r="B1158" s="18" t="n"/>
      <c r="C1158" s="13" t="n"/>
      <c r="D1158" s="13" t="n"/>
      <c r="E1158" s="17">
        <f>IF($C1158="","",IFERROR(VLOOKUP($D1158,工作归属,2,0),"※工作类型没选"))</f>
        <v/>
      </c>
      <c r="F1158" s="13" t="n"/>
      <c r="G1158" s="13" t="n"/>
      <c r="H1158" s="20" t="n"/>
      <c r="I1158" s="14" t="n"/>
      <c r="J1158" s="19">
        <f>IF($C1158="","",ROUND(IF($H1158="",1,$H1158)*N($I1158),2))</f>
        <v/>
      </c>
      <c r="K1158" s="13" t="n"/>
      <c r="L1158" s="13" t="n"/>
      <c r="M1158" s="17">
        <f>IF($C1158="","",IF(ISNA(MATCH($C1158,项目名表,0)),"※项目不在项目台账里",IF($E1158="※工作类型没选","※工作类型没选","")))</f>
        <v/>
      </c>
    </row>
    <row r="1159">
      <c r="A1159" s="17">
        <f>IF($C1159="","",ROW()-3)</f>
        <v/>
      </c>
      <c r="B1159" s="18" t="n"/>
      <c r="C1159" s="13" t="n"/>
      <c r="D1159" s="13" t="n"/>
      <c r="E1159" s="17">
        <f>IF($C1159="","",IFERROR(VLOOKUP($D1159,工作归属,2,0),"※工作类型没选"))</f>
        <v/>
      </c>
      <c r="F1159" s="13" t="n"/>
      <c r="G1159" s="13" t="n"/>
      <c r="H1159" s="20" t="n"/>
      <c r="I1159" s="14" t="n"/>
      <c r="J1159" s="19">
        <f>IF($C1159="","",ROUND(IF($H1159="",1,$H1159)*N($I1159),2))</f>
        <v/>
      </c>
      <c r="K1159" s="13" t="n"/>
      <c r="L1159" s="13" t="n"/>
      <c r="M1159" s="17">
        <f>IF($C1159="","",IF(ISNA(MATCH($C1159,项目名表,0)),"※项目不在项目台账里",IF($E1159="※工作类型没选","※工作类型没选","")))</f>
        <v/>
      </c>
    </row>
    <row r="1160">
      <c r="A1160" s="17">
        <f>IF($C1160="","",ROW()-3)</f>
        <v/>
      </c>
      <c r="B1160" s="18" t="n"/>
      <c r="C1160" s="13" t="n"/>
      <c r="D1160" s="13" t="n"/>
      <c r="E1160" s="17">
        <f>IF($C1160="","",IFERROR(VLOOKUP($D1160,工作归属,2,0),"※工作类型没选"))</f>
        <v/>
      </c>
      <c r="F1160" s="13" t="n"/>
      <c r="G1160" s="13" t="n"/>
      <c r="H1160" s="20" t="n"/>
      <c r="I1160" s="14" t="n"/>
      <c r="J1160" s="19">
        <f>IF($C1160="","",ROUND(IF($H1160="",1,$H1160)*N($I1160),2))</f>
        <v/>
      </c>
      <c r="K1160" s="13" t="n"/>
      <c r="L1160" s="13" t="n"/>
      <c r="M1160" s="17">
        <f>IF($C1160="","",IF(ISNA(MATCH($C1160,项目名表,0)),"※项目不在项目台账里",IF($E1160="※工作类型没选","※工作类型没选","")))</f>
        <v/>
      </c>
    </row>
    <row r="1161">
      <c r="A1161" s="17">
        <f>IF($C1161="","",ROW()-3)</f>
        <v/>
      </c>
      <c r="B1161" s="18" t="n"/>
      <c r="C1161" s="13" t="n"/>
      <c r="D1161" s="13" t="n"/>
      <c r="E1161" s="17">
        <f>IF($C1161="","",IFERROR(VLOOKUP($D1161,工作归属,2,0),"※工作类型没选"))</f>
        <v/>
      </c>
      <c r="F1161" s="13" t="n"/>
      <c r="G1161" s="13" t="n"/>
      <c r="H1161" s="20" t="n"/>
      <c r="I1161" s="14" t="n"/>
      <c r="J1161" s="19">
        <f>IF($C1161="","",ROUND(IF($H1161="",1,$H1161)*N($I1161),2))</f>
        <v/>
      </c>
      <c r="K1161" s="13" t="n"/>
      <c r="L1161" s="13" t="n"/>
      <c r="M1161" s="17">
        <f>IF($C1161="","",IF(ISNA(MATCH($C1161,项目名表,0)),"※项目不在项目台账里",IF($E1161="※工作类型没选","※工作类型没选","")))</f>
        <v/>
      </c>
    </row>
    <row r="1162">
      <c r="A1162" s="17">
        <f>IF($C1162="","",ROW()-3)</f>
        <v/>
      </c>
      <c r="B1162" s="18" t="n"/>
      <c r="C1162" s="13" t="n"/>
      <c r="D1162" s="13" t="n"/>
      <c r="E1162" s="17">
        <f>IF($C1162="","",IFERROR(VLOOKUP($D1162,工作归属,2,0),"※工作类型没选"))</f>
        <v/>
      </c>
      <c r="F1162" s="13" t="n"/>
      <c r="G1162" s="13" t="n"/>
      <c r="H1162" s="20" t="n"/>
      <c r="I1162" s="14" t="n"/>
      <c r="J1162" s="19">
        <f>IF($C1162="","",ROUND(IF($H1162="",1,$H1162)*N($I1162),2))</f>
        <v/>
      </c>
      <c r="K1162" s="13" t="n"/>
      <c r="L1162" s="13" t="n"/>
      <c r="M1162" s="17">
        <f>IF($C1162="","",IF(ISNA(MATCH($C1162,项目名表,0)),"※项目不在项目台账里",IF($E1162="※工作类型没选","※工作类型没选","")))</f>
        <v/>
      </c>
    </row>
    <row r="1163">
      <c r="A1163" s="17">
        <f>IF($C1163="","",ROW()-3)</f>
        <v/>
      </c>
      <c r="B1163" s="18" t="n"/>
      <c r="C1163" s="13" t="n"/>
      <c r="D1163" s="13" t="n"/>
      <c r="E1163" s="17">
        <f>IF($C1163="","",IFERROR(VLOOKUP($D1163,工作归属,2,0),"※工作类型没选"))</f>
        <v/>
      </c>
      <c r="F1163" s="13" t="n"/>
      <c r="G1163" s="13" t="n"/>
      <c r="H1163" s="20" t="n"/>
      <c r="I1163" s="14" t="n"/>
      <c r="J1163" s="19">
        <f>IF($C1163="","",ROUND(IF($H1163="",1,$H1163)*N($I1163),2))</f>
        <v/>
      </c>
      <c r="K1163" s="13" t="n"/>
      <c r="L1163" s="13" t="n"/>
      <c r="M1163" s="17">
        <f>IF($C1163="","",IF(ISNA(MATCH($C1163,项目名表,0)),"※项目不在项目台账里",IF($E1163="※工作类型没选","※工作类型没选","")))</f>
        <v/>
      </c>
    </row>
    <row r="1164">
      <c r="A1164" s="17">
        <f>IF($C1164="","",ROW()-3)</f>
        <v/>
      </c>
      <c r="B1164" s="18" t="n"/>
      <c r="C1164" s="13" t="n"/>
      <c r="D1164" s="13" t="n"/>
      <c r="E1164" s="17">
        <f>IF($C1164="","",IFERROR(VLOOKUP($D1164,工作归属,2,0),"※工作类型没选"))</f>
        <v/>
      </c>
      <c r="F1164" s="13" t="n"/>
      <c r="G1164" s="13" t="n"/>
      <c r="H1164" s="20" t="n"/>
      <c r="I1164" s="14" t="n"/>
      <c r="J1164" s="19">
        <f>IF($C1164="","",ROUND(IF($H1164="",1,$H1164)*N($I1164),2))</f>
        <v/>
      </c>
      <c r="K1164" s="13" t="n"/>
      <c r="L1164" s="13" t="n"/>
      <c r="M1164" s="17">
        <f>IF($C1164="","",IF(ISNA(MATCH($C1164,项目名表,0)),"※项目不在项目台账里",IF($E1164="※工作类型没选","※工作类型没选","")))</f>
        <v/>
      </c>
    </row>
    <row r="1165">
      <c r="A1165" s="17">
        <f>IF($C1165="","",ROW()-3)</f>
        <v/>
      </c>
      <c r="B1165" s="18" t="n"/>
      <c r="C1165" s="13" t="n"/>
      <c r="D1165" s="13" t="n"/>
      <c r="E1165" s="17">
        <f>IF($C1165="","",IFERROR(VLOOKUP($D1165,工作归属,2,0),"※工作类型没选"))</f>
        <v/>
      </c>
      <c r="F1165" s="13" t="n"/>
      <c r="G1165" s="13" t="n"/>
      <c r="H1165" s="20" t="n"/>
      <c r="I1165" s="14" t="n"/>
      <c r="J1165" s="19">
        <f>IF($C1165="","",ROUND(IF($H1165="",1,$H1165)*N($I1165),2))</f>
        <v/>
      </c>
      <c r="K1165" s="13" t="n"/>
      <c r="L1165" s="13" t="n"/>
      <c r="M1165" s="17">
        <f>IF($C1165="","",IF(ISNA(MATCH($C1165,项目名表,0)),"※项目不在项目台账里",IF($E1165="※工作类型没选","※工作类型没选","")))</f>
        <v/>
      </c>
    </row>
    <row r="1166">
      <c r="A1166" s="17">
        <f>IF($C1166="","",ROW()-3)</f>
        <v/>
      </c>
      <c r="B1166" s="18" t="n"/>
      <c r="C1166" s="13" t="n"/>
      <c r="D1166" s="13" t="n"/>
      <c r="E1166" s="17">
        <f>IF($C1166="","",IFERROR(VLOOKUP($D1166,工作归属,2,0),"※工作类型没选"))</f>
        <v/>
      </c>
      <c r="F1166" s="13" t="n"/>
      <c r="G1166" s="13" t="n"/>
      <c r="H1166" s="20" t="n"/>
      <c r="I1166" s="14" t="n"/>
      <c r="J1166" s="19">
        <f>IF($C1166="","",ROUND(IF($H1166="",1,$H1166)*N($I1166),2))</f>
        <v/>
      </c>
      <c r="K1166" s="13" t="n"/>
      <c r="L1166" s="13" t="n"/>
      <c r="M1166" s="17">
        <f>IF($C1166="","",IF(ISNA(MATCH($C1166,项目名表,0)),"※项目不在项目台账里",IF($E1166="※工作类型没选","※工作类型没选","")))</f>
        <v/>
      </c>
    </row>
    <row r="1167">
      <c r="A1167" s="17">
        <f>IF($C1167="","",ROW()-3)</f>
        <v/>
      </c>
      <c r="B1167" s="18" t="n"/>
      <c r="C1167" s="13" t="n"/>
      <c r="D1167" s="13" t="n"/>
      <c r="E1167" s="17">
        <f>IF($C1167="","",IFERROR(VLOOKUP($D1167,工作归属,2,0),"※工作类型没选"))</f>
        <v/>
      </c>
      <c r="F1167" s="13" t="n"/>
      <c r="G1167" s="13" t="n"/>
      <c r="H1167" s="20" t="n"/>
      <c r="I1167" s="14" t="n"/>
      <c r="J1167" s="19">
        <f>IF($C1167="","",ROUND(IF($H1167="",1,$H1167)*N($I1167),2))</f>
        <v/>
      </c>
      <c r="K1167" s="13" t="n"/>
      <c r="L1167" s="13" t="n"/>
      <c r="M1167" s="17">
        <f>IF($C1167="","",IF(ISNA(MATCH($C1167,项目名表,0)),"※项目不在项目台账里",IF($E1167="※工作类型没选","※工作类型没选","")))</f>
        <v/>
      </c>
    </row>
    <row r="1168">
      <c r="A1168" s="17">
        <f>IF($C1168="","",ROW()-3)</f>
        <v/>
      </c>
      <c r="B1168" s="18" t="n"/>
      <c r="C1168" s="13" t="n"/>
      <c r="D1168" s="13" t="n"/>
      <c r="E1168" s="17">
        <f>IF($C1168="","",IFERROR(VLOOKUP($D1168,工作归属,2,0),"※工作类型没选"))</f>
        <v/>
      </c>
      <c r="F1168" s="13" t="n"/>
      <c r="G1168" s="13" t="n"/>
      <c r="H1168" s="20" t="n"/>
      <c r="I1168" s="14" t="n"/>
      <c r="J1168" s="19">
        <f>IF($C1168="","",ROUND(IF($H1168="",1,$H1168)*N($I1168),2))</f>
        <v/>
      </c>
      <c r="K1168" s="13" t="n"/>
      <c r="L1168" s="13" t="n"/>
      <c r="M1168" s="17">
        <f>IF($C1168="","",IF(ISNA(MATCH($C1168,项目名表,0)),"※项目不在项目台账里",IF($E1168="※工作类型没选","※工作类型没选","")))</f>
        <v/>
      </c>
    </row>
    <row r="1169">
      <c r="A1169" s="17">
        <f>IF($C1169="","",ROW()-3)</f>
        <v/>
      </c>
      <c r="B1169" s="18" t="n"/>
      <c r="C1169" s="13" t="n"/>
      <c r="D1169" s="13" t="n"/>
      <c r="E1169" s="17">
        <f>IF($C1169="","",IFERROR(VLOOKUP($D1169,工作归属,2,0),"※工作类型没选"))</f>
        <v/>
      </c>
      <c r="F1169" s="13" t="n"/>
      <c r="G1169" s="13" t="n"/>
      <c r="H1169" s="20" t="n"/>
      <c r="I1169" s="14" t="n"/>
      <c r="J1169" s="19">
        <f>IF($C1169="","",ROUND(IF($H1169="",1,$H1169)*N($I1169),2))</f>
        <v/>
      </c>
      <c r="K1169" s="13" t="n"/>
      <c r="L1169" s="13" t="n"/>
      <c r="M1169" s="17">
        <f>IF($C1169="","",IF(ISNA(MATCH($C1169,项目名表,0)),"※项目不在项目台账里",IF($E1169="※工作类型没选","※工作类型没选","")))</f>
        <v/>
      </c>
    </row>
    <row r="1170">
      <c r="A1170" s="17">
        <f>IF($C1170="","",ROW()-3)</f>
        <v/>
      </c>
      <c r="B1170" s="18" t="n"/>
      <c r="C1170" s="13" t="n"/>
      <c r="D1170" s="13" t="n"/>
      <c r="E1170" s="17">
        <f>IF($C1170="","",IFERROR(VLOOKUP($D1170,工作归属,2,0),"※工作类型没选"))</f>
        <v/>
      </c>
      <c r="F1170" s="13" t="n"/>
      <c r="G1170" s="13" t="n"/>
      <c r="H1170" s="20" t="n"/>
      <c r="I1170" s="14" t="n"/>
      <c r="J1170" s="19">
        <f>IF($C1170="","",ROUND(IF($H1170="",1,$H1170)*N($I1170),2))</f>
        <v/>
      </c>
      <c r="K1170" s="13" t="n"/>
      <c r="L1170" s="13" t="n"/>
      <c r="M1170" s="17">
        <f>IF($C1170="","",IF(ISNA(MATCH($C1170,项目名表,0)),"※项目不在项目台账里",IF($E1170="※工作类型没选","※工作类型没选","")))</f>
        <v/>
      </c>
    </row>
    <row r="1171">
      <c r="A1171" s="17">
        <f>IF($C1171="","",ROW()-3)</f>
        <v/>
      </c>
      <c r="B1171" s="18" t="n"/>
      <c r="C1171" s="13" t="n"/>
      <c r="D1171" s="13" t="n"/>
      <c r="E1171" s="17">
        <f>IF($C1171="","",IFERROR(VLOOKUP($D1171,工作归属,2,0),"※工作类型没选"))</f>
        <v/>
      </c>
      <c r="F1171" s="13" t="n"/>
      <c r="G1171" s="13" t="n"/>
      <c r="H1171" s="20" t="n"/>
      <c r="I1171" s="14" t="n"/>
      <c r="J1171" s="19">
        <f>IF($C1171="","",ROUND(IF($H1171="",1,$H1171)*N($I1171),2))</f>
        <v/>
      </c>
      <c r="K1171" s="13" t="n"/>
      <c r="L1171" s="13" t="n"/>
      <c r="M1171" s="17">
        <f>IF($C1171="","",IF(ISNA(MATCH($C1171,项目名表,0)),"※项目不在项目台账里",IF($E1171="※工作类型没选","※工作类型没选","")))</f>
        <v/>
      </c>
    </row>
    <row r="1172">
      <c r="A1172" s="17">
        <f>IF($C1172="","",ROW()-3)</f>
        <v/>
      </c>
      <c r="B1172" s="18" t="n"/>
      <c r="C1172" s="13" t="n"/>
      <c r="D1172" s="13" t="n"/>
      <c r="E1172" s="17">
        <f>IF($C1172="","",IFERROR(VLOOKUP($D1172,工作归属,2,0),"※工作类型没选"))</f>
        <v/>
      </c>
      <c r="F1172" s="13" t="n"/>
      <c r="G1172" s="13" t="n"/>
      <c r="H1172" s="20" t="n"/>
      <c r="I1172" s="14" t="n"/>
      <c r="J1172" s="19">
        <f>IF($C1172="","",ROUND(IF($H1172="",1,$H1172)*N($I1172),2))</f>
        <v/>
      </c>
      <c r="K1172" s="13" t="n"/>
      <c r="L1172" s="13" t="n"/>
      <c r="M1172" s="17">
        <f>IF($C1172="","",IF(ISNA(MATCH($C1172,项目名表,0)),"※项目不在项目台账里",IF($E1172="※工作类型没选","※工作类型没选","")))</f>
        <v/>
      </c>
    </row>
    <row r="1173">
      <c r="A1173" s="17">
        <f>IF($C1173="","",ROW()-3)</f>
        <v/>
      </c>
      <c r="B1173" s="18" t="n"/>
      <c r="C1173" s="13" t="n"/>
      <c r="D1173" s="13" t="n"/>
      <c r="E1173" s="17">
        <f>IF($C1173="","",IFERROR(VLOOKUP($D1173,工作归属,2,0),"※工作类型没选"))</f>
        <v/>
      </c>
      <c r="F1173" s="13" t="n"/>
      <c r="G1173" s="13" t="n"/>
      <c r="H1173" s="20" t="n"/>
      <c r="I1173" s="14" t="n"/>
      <c r="J1173" s="19">
        <f>IF($C1173="","",ROUND(IF($H1173="",1,$H1173)*N($I1173),2))</f>
        <v/>
      </c>
      <c r="K1173" s="13" t="n"/>
      <c r="L1173" s="13" t="n"/>
      <c r="M1173" s="17">
        <f>IF($C1173="","",IF(ISNA(MATCH($C1173,项目名表,0)),"※项目不在项目台账里",IF($E1173="※工作类型没选","※工作类型没选","")))</f>
        <v/>
      </c>
    </row>
    <row r="1174">
      <c r="A1174" s="17">
        <f>IF($C1174="","",ROW()-3)</f>
        <v/>
      </c>
      <c r="B1174" s="18" t="n"/>
      <c r="C1174" s="13" t="n"/>
      <c r="D1174" s="13" t="n"/>
      <c r="E1174" s="17">
        <f>IF($C1174="","",IFERROR(VLOOKUP($D1174,工作归属,2,0),"※工作类型没选"))</f>
        <v/>
      </c>
      <c r="F1174" s="13" t="n"/>
      <c r="G1174" s="13" t="n"/>
      <c r="H1174" s="20" t="n"/>
      <c r="I1174" s="14" t="n"/>
      <c r="J1174" s="19">
        <f>IF($C1174="","",ROUND(IF($H1174="",1,$H1174)*N($I1174),2))</f>
        <v/>
      </c>
      <c r="K1174" s="13" t="n"/>
      <c r="L1174" s="13" t="n"/>
      <c r="M1174" s="17">
        <f>IF($C1174="","",IF(ISNA(MATCH($C1174,项目名表,0)),"※项目不在项目台账里",IF($E1174="※工作类型没选","※工作类型没选","")))</f>
        <v/>
      </c>
    </row>
    <row r="1175">
      <c r="A1175" s="17">
        <f>IF($C1175="","",ROW()-3)</f>
        <v/>
      </c>
      <c r="B1175" s="18" t="n"/>
      <c r="C1175" s="13" t="n"/>
      <c r="D1175" s="13" t="n"/>
      <c r="E1175" s="17">
        <f>IF($C1175="","",IFERROR(VLOOKUP($D1175,工作归属,2,0),"※工作类型没选"))</f>
        <v/>
      </c>
      <c r="F1175" s="13" t="n"/>
      <c r="G1175" s="13" t="n"/>
      <c r="H1175" s="20" t="n"/>
      <c r="I1175" s="14" t="n"/>
      <c r="J1175" s="19">
        <f>IF($C1175="","",ROUND(IF($H1175="",1,$H1175)*N($I1175),2))</f>
        <v/>
      </c>
      <c r="K1175" s="13" t="n"/>
      <c r="L1175" s="13" t="n"/>
      <c r="M1175" s="17">
        <f>IF($C1175="","",IF(ISNA(MATCH($C1175,项目名表,0)),"※项目不在项目台账里",IF($E1175="※工作类型没选","※工作类型没选","")))</f>
        <v/>
      </c>
    </row>
    <row r="1176">
      <c r="A1176" s="17">
        <f>IF($C1176="","",ROW()-3)</f>
        <v/>
      </c>
      <c r="B1176" s="18" t="n"/>
      <c r="C1176" s="13" t="n"/>
      <c r="D1176" s="13" t="n"/>
      <c r="E1176" s="17">
        <f>IF($C1176="","",IFERROR(VLOOKUP($D1176,工作归属,2,0),"※工作类型没选"))</f>
        <v/>
      </c>
      <c r="F1176" s="13" t="n"/>
      <c r="G1176" s="13" t="n"/>
      <c r="H1176" s="20" t="n"/>
      <c r="I1176" s="14" t="n"/>
      <c r="J1176" s="19">
        <f>IF($C1176="","",ROUND(IF($H1176="",1,$H1176)*N($I1176),2))</f>
        <v/>
      </c>
      <c r="K1176" s="13" t="n"/>
      <c r="L1176" s="13" t="n"/>
      <c r="M1176" s="17">
        <f>IF($C1176="","",IF(ISNA(MATCH($C1176,项目名表,0)),"※项目不在项目台账里",IF($E1176="※工作类型没选","※工作类型没选","")))</f>
        <v/>
      </c>
    </row>
    <row r="1177">
      <c r="A1177" s="17">
        <f>IF($C1177="","",ROW()-3)</f>
        <v/>
      </c>
      <c r="B1177" s="18" t="n"/>
      <c r="C1177" s="13" t="n"/>
      <c r="D1177" s="13" t="n"/>
      <c r="E1177" s="17">
        <f>IF($C1177="","",IFERROR(VLOOKUP($D1177,工作归属,2,0),"※工作类型没选"))</f>
        <v/>
      </c>
      <c r="F1177" s="13" t="n"/>
      <c r="G1177" s="13" t="n"/>
      <c r="H1177" s="20" t="n"/>
      <c r="I1177" s="14" t="n"/>
      <c r="J1177" s="19">
        <f>IF($C1177="","",ROUND(IF($H1177="",1,$H1177)*N($I1177),2))</f>
        <v/>
      </c>
      <c r="K1177" s="13" t="n"/>
      <c r="L1177" s="13" t="n"/>
      <c r="M1177" s="17">
        <f>IF($C1177="","",IF(ISNA(MATCH($C1177,项目名表,0)),"※项目不在项目台账里",IF($E1177="※工作类型没选","※工作类型没选","")))</f>
        <v/>
      </c>
    </row>
    <row r="1178">
      <c r="A1178" s="17">
        <f>IF($C1178="","",ROW()-3)</f>
        <v/>
      </c>
      <c r="B1178" s="18" t="n"/>
      <c r="C1178" s="13" t="n"/>
      <c r="D1178" s="13" t="n"/>
      <c r="E1178" s="17">
        <f>IF($C1178="","",IFERROR(VLOOKUP($D1178,工作归属,2,0),"※工作类型没选"))</f>
        <v/>
      </c>
      <c r="F1178" s="13" t="n"/>
      <c r="G1178" s="13" t="n"/>
      <c r="H1178" s="20" t="n"/>
      <c r="I1178" s="14" t="n"/>
      <c r="J1178" s="19">
        <f>IF($C1178="","",ROUND(IF($H1178="",1,$H1178)*N($I1178),2))</f>
        <v/>
      </c>
      <c r="K1178" s="13" t="n"/>
      <c r="L1178" s="13" t="n"/>
      <c r="M1178" s="17">
        <f>IF($C1178="","",IF(ISNA(MATCH($C1178,项目名表,0)),"※项目不在项目台账里",IF($E1178="※工作类型没选","※工作类型没选","")))</f>
        <v/>
      </c>
    </row>
    <row r="1179">
      <c r="A1179" s="17">
        <f>IF($C1179="","",ROW()-3)</f>
        <v/>
      </c>
      <c r="B1179" s="18" t="n"/>
      <c r="C1179" s="13" t="n"/>
      <c r="D1179" s="13" t="n"/>
      <c r="E1179" s="17">
        <f>IF($C1179="","",IFERROR(VLOOKUP($D1179,工作归属,2,0),"※工作类型没选"))</f>
        <v/>
      </c>
      <c r="F1179" s="13" t="n"/>
      <c r="G1179" s="13" t="n"/>
      <c r="H1179" s="20" t="n"/>
      <c r="I1179" s="14" t="n"/>
      <c r="J1179" s="19">
        <f>IF($C1179="","",ROUND(IF($H1179="",1,$H1179)*N($I1179),2))</f>
        <v/>
      </c>
      <c r="K1179" s="13" t="n"/>
      <c r="L1179" s="13" t="n"/>
      <c r="M1179" s="17">
        <f>IF($C1179="","",IF(ISNA(MATCH($C1179,项目名表,0)),"※项目不在项目台账里",IF($E1179="※工作类型没选","※工作类型没选","")))</f>
        <v/>
      </c>
    </row>
    <row r="1180">
      <c r="A1180" s="17">
        <f>IF($C1180="","",ROW()-3)</f>
        <v/>
      </c>
      <c r="B1180" s="18" t="n"/>
      <c r="C1180" s="13" t="n"/>
      <c r="D1180" s="13" t="n"/>
      <c r="E1180" s="17">
        <f>IF($C1180="","",IFERROR(VLOOKUP($D1180,工作归属,2,0),"※工作类型没选"))</f>
        <v/>
      </c>
      <c r="F1180" s="13" t="n"/>
      <c r="G1180" s="13" t="n"/>
      <c r="H1180" s="20" t="n"/>
      <c r="I1180" s="14" t="n"/>
      <c r="J1180" s="19">
        <f>IF($C1180="","",ROUND(IF($H1180="",1,$H1180)*N($I1180),2))</f>
        <v/>
      </c>
      <c r="K1180" s="13" t="n"/>
      <c r="L1180" s="13" t="n"/>
      <c r="M1180" s="17">
        <f>IF($C1180="","",IF(ISNA(MATCH($C1180,项目名表,0)),"※项目不在项目台账里",IF($E1180="※工作类型没选","※工作类型没选","")))</f>
        <v/>
      </c>
    </row>
    <row r="1181">
      <c r="A1181" s="17">
        <f>IF($C1181="","",ROW()-3)</f>
        <v/>
      </c>
      <c r="B1181" s="18" t="n"/>
      <c r="C1181" s="13" t="n"/>
      <c r="D1181" s="13" t="n"/>
      <c r="E1181" s="17">
        <f>IF($C1181="","",IFERROR(VLOOKUP($D1181,工作归属,2,0),"※工作类型没选"))</f>
        <v/>
      </c>
      <c r="F1181" s="13" t="n"/>
      <c r="G1181" s="13" t="n"/>
      <c r="H1181" s="20" t="n"/>
      <c r="I1181" s="14" t="n"/>
      <c r="J1181" s="19">
        <f>IF($C1181="","",ROUND(IF($H1181="",1,$H1181)*N($I1181),2))</f>
        <v/>
      </c>
      <c r="K1181" s="13" t="n"/>
      <c r="L1181" s="13" t="n"/>
      <c r="M1181" s="17">
        <f>IF($C1181="","",IF(ISNA(MATCH($C1181,项目名表,0)),"※项目不在项目台账里",IF($E1181="※工作类型没选","※工作类型没选","")))</f>
        <v/>
      </c>
    </row>
    <row r="1182">
      <c r="A1182" s="17">
        <f>IF($C1182="","",ROW()-3)</f>
        <v/>
      </c>
      <c r="B1182" s="18" t="n"/>
      <c r="C1182" s="13" t="n"/>
      <c r="D1182" s="13" t="n"/>
      <c r="E1182" s="17">
        <f>IF($C1182="","",IFERROR(VLOOKUP($D1182,工作归属,2,0),"※工作类型没选"))</f>
        <v/>
      </c>
      <c r="F1182" s="13" t="n"/>
      <c r="G1182" s="13" t="n"/>
      <c r="H1182" s="20" t="n"/>
      <c r="I1182" s="14" t="n"/>
      <c r="J1182" s="19">
        <f>IF($C1182="","",ROUND(IF($H1182="",1,$H1182)*N($I1182),2))</f>
        <v/>
      </c>
      <c r="K1182" s="13" t="n"/>
      <c r="L1182" s="13" t="n"/>
      <c r="M1182" s="17">
        <f>IF($C1182="","",IF(ISNA(MATCH($C1182,项目名表,0)),"※项目不在项目台账里",IF($E1182="※工作类型没选","※工作类型没选","")))</f>
        <v/>
      </c>
    </row>
    <row r="1183">
      <c r="A1183" s="17">
        <f>IF($C1183="","",ROW()-3)</f>
        <v/>
      </c>
      <c r="B1183" s="18" t="n"/>
      <c r="C1183" s="13" t="n"/>
      <c r="D1183" s="13" t="n"/>
      <c r="E1183" s="17">
        <f>IF($C1183="","",IFERROR(VLOOKUP($D1183,工作归属,2,0),"※工作类型没选"))</f>
        <v/>
      </c>
      <c r="F1183" s="13" t="n"/>
      <c r="G1183" s="13" t="n"/>
      <c r="H1183" s="20" t="n"/>
      <c r="I1183" s="14" t="n"/>
      <c r="J1183" s="19">
        <f>IF($C1183="","",ROUND(IF($H1183="",1,$H1183)*N($I1183),2))</f>
        <v/>
      </c>
      <c r="K1183" s="13" t="n"/>
      <c r="L1183" s="13" t="n"/>
      <c r="M1183" s="17">
        <f>IF($C1183="","",IF(ISNA(MATCH($C1183,项目名表,0)),"※项目不在项目台账里",IF($E1183="※工作类型没选","※工作类型没选","")))</f>
        <v/>
      </c>
    </row>
    <row r="1184">
      <c r="A1184" s="17">
        <f>IF($C1184="","",ROW()-3)</f>
        <v/>
      </c>
      <c r="B1184" s="18" t="n"/>
      <c r="C1184" s="13" t="n"/>
      <c r="D1184" s="13" t="n"/>
      <c r="E1184" s="17">
        <f>IF($C1184="","",IFERROR(VLOOKUP($D1184,工作归属,2,0),"※工作类型没选"))</f>
        <v/>
      </c>
      <c r="F1184" s="13" t="n"/>
      <c r="G1184" s="13" t="n"/>
      <c r="H1184" s="20" t="n"/>
      <c r="I1184" s="14" t="n"/>
      <c r="J1184" s="19">
        <f>IF($C1184="","",ROUND(IF($H1184="",1,$H1184)*N($I1184),2))</f>
        <v/>
      </c>
      <c r="K1184" s="13" t="n"/>
      <c r="L1184" s="13" t="n"/>
      <c r="M1184" s="17">
        <f>IF($C1184="","",IF(ISNA(MATCH($C1184,项目名表,0)),"※项目不在项目台账里",IF($E1184="※工作类型没选","※工作类型没选","")))</f>
        <v/>
      </c>
    </row>
    <row r="1185">
      <c r="A1185" s="17">
        <f>IF($C1185="","",ROW()-3)</f>
        <v/>
      </c>
      <c r="B1185" s="18" t="n"/>
      <c r="C1185" s="13" t="n"/>
      <c r="D1185" s="13" t="n"/>
      <c r="E1185" s="17">
        <f>IF($C1185="","",IFERROR(VLOOKUP($D1185,工作归属,2,0),"※工作类型没选"))</f>
        <v/>
      </c>
      <c r="F1185" s="13" t="n"/>
      <c r="G1185" s="13" t="n"/>
      <c r="H1185" s="20" t="n"/>
      <c r="I1185" s="14" t="n"/>
      <c r="J1185" s="19">
        <f>IF($C1185="","",ROUND(IF($H1185="",1,$H1185)*N($I1185),2))</f>
        <v/>
      </c>
      <c r="K1185" s="13" t="n"/>
      <c r="L1185" s="13" t="n"/>
      <c r="M1185" s="17">
        <f>IF($C1185="","",IF(ISNA(MATCH($C1185,项目名表,0)),"※项目不在项目台账里",IF($E1185="※工作类型没选","※工作类型没选","")))</f>
        <v/>
      </c>
    </row>
    <row r="1186">
      <c r="A1186" s="17">
        <f>IF($C1186="","",ROW()-3)</f>
        <v/>
      </c>
      <c r="B1186" s="18" t="n"/>
      <c r="C1186" s="13" t="n"/>
      <c r="D1186" s="13" t="n"/>
      <c r="E1186" s="17">
        <f>IF($C1186="","",IFERROR(VLOOKUP($D1186,工作归属,2,0),"※工作类型没选"))</f>
        <v/>
      </c>
      <c r="F1186" s="13" t="n"/>
      <c r="G1186" s="13" t="n"/>
      <c r="H1186" s="20" t="n"/>
      <c r="I1186" s="14" t="n"/>
      <c r="J1186" s="19">
        <f>IF($C1186="","",ROUND(IF($H1186="",1,$H1186)*N($I1186),2))</f>
        <v/>
      </c>
      <c r="K1186" s="13" t="n"/>
      <c r="L1186" s="13" t="n"/>
      <c r="M1186" s="17">
        <f>IF($C1186="","",IF(ISNA(MATCH($C1186,项目名表,0)),"※项目不在项目台账里",IF($E1186="※工作类型没选","※工作类型没选","")))</f>
        <v/>
      </c>
    </row>
    <row r="1187">
      <c r="A1187" s="17">
        <f>IF($C1187="","",ROW()-3)</f>
        <v/>
      </c>
      <c r="B1187" s="18" t="n"/>
      <c r="C1187" s="13" t="n"/>
      <c r="D1187" s="13" t="n"/>
      <c r="E1187" s="17">
        <f>IF($C1187="","",IFERROR(VLOOKUP($D1187,工作归属,2,0),"※工作类型没选"))</f>
        <v/>
      </c>
      <c r="F1187" s="13" t="n"/>
      <c r="G1187" s="13" t="n"/>
      <c r="H1187" s="20" t="n"/>
      <c r="I1187" s="14" t="n"/>
      <c r="J1187" s="19">
        <f>IF($C1187="","",ROUND(IF($H1187="",1,$H1187)*N($I1187),2))</f>
        <v/>
      </c>
      <c r="K1187" s="13" t="n"/>
      <c r="L1187" s="13" t="n"/>
      <c r="M1187" s="17">
        <f>IF($C1187="","",IF(ISNA(MATCH($C1187,项目名表,0)),"※项目不在项目台账里",IF($E1187="※工作类型没选","※工作类型没选","")))</f>
        <v/>
      </c>
    </row>
    <row r="1188">
      <c r="A1188" s="17">
        <f>IF($C1188="","",ROW()-3)</f>
        <v/>
      </c>
      <c r="B1188" s="18" t="n"/>
      <c r="C1188" s="13" t="n"/>
      <c r="D1188" s="13" t="n"/>
      <c r="E1188" s="17">
        <f>IF($C1188="","",IFERROR(VLOOKUP($D1188,工作归属,2,0),"※工作类型没选"))</f>
        <v/>
      </c>
      <c r="F1188" s="13" t="n"/>
      <c r="G1188" s="13" t="n"/>
      <c r="H1188" s="20" t="n"/>
      <c r="I1188" s="14" t="n"/>
      <c r="J1188" s="19">
        <f>IF($C1188="","",ROUND(IF($H1188="",1,$H1188)*N($I1188),2))</f>
        <v/>
      </c>
      <c r="K1188" s="13" t="n"/>
      <c r="L1188" s="13" t="n"/>
      <c r="M1188" s="17">
        <f>IF($C1188="","",IF(ISNA(MATCH($C1188,项目名表,0)),"※项目不在项目台账里",IF($E1188="※工作类型没选","※工作类型没选","")))</f>
        <v/>
      </c>
    </row>
    <row r="1189">
      <c r="A1189" s="17">
        <f>IF($C1189="","",ROW()-3)</f>
        <v/>
      </c>
      <c r="B1189" s="18" t="n"/>
      <c r="C1189" s="13" t="n"/>
      <c r="D1189" s="13" t="n"/>
      <c r="E1189" s="17">
        <f>IF($C1189="","",IFERROR(VLOOKUP($D1189,工作归属,2,0),"※工作类型没选"))</f>
        <v/>
      </c>
      <c r="F1189" s="13" t="n"/>
      <c r="G1189" s="13" t="n"/>
      <c r="H1189" s="20" t="n"/>
      <c r="I1189" s="14" t="n"/>
      <c r="J1189" s="19">
        <f>IF($C1189="","",ROUND(IF($H1189="",1,$H1189)*N($I1189),2))</f>
        <v/>
      </c>
      <c r="K1189" s="13" t="n"/>
      <c r="L1189" s="13" t="n"/>
      <c r="M1189" s="17">
        <f>IF($C1189="","",IF(ISNA(MATCH($C1189,项目名表,0)),"※项目不在项目台账里",IF($E1189="※工作类型没选","※工作类型没选","")))</f>
        <v/>
      </c>
    </row>
    <row r="1190">
      <c r="A1190" s="17">
        <f>IF($C1190="","",ROW()-3)</f>
        <v/>
      </c>
      <c r="B1190" s="18" t="n"/>
      <c r="C1190" s="13" t="n"/>
      <c r="D1190" s="13" t="n"/>
      <c r="E1190" s="17">
        <f>IF($C1190="","",IFERROR(VLOOKUP($D1190,工作归属,2,0),"※工作类型没选"))</f>
        <v/>
      </c>
      <c r="F1190" s="13" t="n"/>
      <c r="G1190" s="13" t="n"/>
      <c r="H1190" s="20" t="n"/>
      <c r="I1190" s="14" t="n"/>
      <c r="J1190" s="19">
        <f>IF($C1190="","",ROUND(IF($H1190="",1,$H1190)*N($I1190),2))</f>
        <v/>
      </c>
      <c r="K1190" s="13" t="n"/>
      <c r="L1190" s="13" t="n"/>
      <c r="M1190" s="17">
        <f>IF($C1190="","",IF(ISNA(MATCH($C1190,项目名表,0)),"※项目不在项目台账里",IF($E1190="※工作类型没选","※工作类型没选","")))</f>
        <v/>
      </c>
    </row>
    <row r="1191">
      <c r="A1191" s="17">
        <f>IF($C1191="","",ROW()-3)</f>
        <v/>
      </c>
      <c r="B1191" s="18" t="n"/>
      <c r="C1191" s="13" t="n"/>
      <c r="D1191" s="13" t="n"/>
      <c r="E1191" s="17">
        <f>IF($C1191="","",IFERROR(VLOOKUP($D1191,工作归属,2,0),"※工作类型没选"))</f>
        <v/>
      </c>
      <c r="F1191" s="13" t="n"/>
      <c r="G1191" s="13" t="n"/>
      <c r="H1191" s="20" t="n"/>
      <c r="I1191" s="14" t="n"/>
      <c r="J1191" s="19">
        <f>IF($C1191="","",ROUND(IF($H1191="",1,$H1191)*N($I1191),2))</f>
        <v/>
      </c>
      <c r="K1191" s="13" t="n"/>
      <c r="L1191" s="13" t="n"/>
      <c r="M1191" s="17">
        <f>IF($C1191="","",IF(ISNA(MATCH($C1191,项目名表,0)),"※项目不在项目台账里",IF($E1191="※工作类型没选","※工作类型没选","")))</f>
        <v/>
      </c>
    </row>
    <row r="1192">
      <c r="A1192" s="17">
        <f>IF($C1192="","",ROW()-3)</f>
        <v/>
      </c>
      <c r="B1192" s="18" t="n"/>
      <c r="C1192" s="13" t="n"/>
      <c r="D1192" s="13" t="n"/>
      <c r="E1192" s="17">
        <f>IF($C1192="","",IFERROR(VLOOKUP($D1192,工作归属,2,0),"※工作类型没选"))</f>
        <v/>
      </c>
      <c r="F1192" s="13" t="n"/>
      <c r="G1192" s="13" t="n"/>
      <c r="H1192" s="20" t="n"/>
      <c r="I1192" s="14" t="n"/>
      <c r="J1192" s="19">
        <f>IF($C1192="","",ROUND(IF($H1192="",1,$H1192)*N($I1192),2))</f>
        <v/>
      </c>
      <c r="K1192" s="13" t="n"/>
      <c r="L1192" s="13" t="n"/>
      <c r="M1192" s="17">
        <f>IF($C1192="","",IF(ISNA(MATCH($C1192,项目名表,0)),"※项目不在项目台账里",IF($E1192="※工作类型没选","※工作类型没选","")))</f>
        <v/>
      </c>
    </row>
    <row r="1193">
      <c r="A1193" s="17">
        <f>IF($C1193="","",ROW()-3)</f>
        <v/>
      </c>
      <c r="B1193" s="18" t="n"/>
      <c r="C1193" s="13" t="n"/>
      <c r="D1193" s="13" t="n"/>
      <c r="E1193" s="17">
        <f>IF($C1193="","",IFERROR(VLOOKUP($D1193,工作归属,2,0),"※工作类型没选"))</f>
        <v/>
      </c>
      <c r="F1193" s="13" t="n"/>
      <c r="G1193" s="13" t="n"/>
      <c r="H1193" s="20" t="n"/>
      <c r="I1193" s="14" t="n"/>
      <c r="J1193" s="19">
        <f>IF($C1193="","",ROUND(IF($H1193="",1,$H1193)*N($I1193),2))</f>
        <v/>
      </c>
      <c r="K1193" s="13" t="n"/>
      <c r="L1193" s="13" t="n"/>
      <c r="M1193" s="17">
        <f>IF($C1193="","",IF(ISNA(MATCH($C1193,项目名表,0)),"※项目不在项目台账里",IF($E1193="※工作类型没选","※工作类型没选","")))</f>
        <v/>
      </c>
    </row>
    <row r="1194">
      <c r="A1194" s="17">
        <f>IF($C1194="","",ROW()-3)</f>
        <v/>
      </c>
      <c r="B1194" s="18" t="n"/>
      <c r="C1194" s="13" t="n"/>
      <c r="D1194" s="13" t="n"/>
      <c r="E1194" s="17">
        <f>IF($C1194="","",IFERROR(VLOOKUP($D1194,工作归属,2,0),"※工作类型没选"))</f>
        <v/>
      </c>
      <c r="F1194" s="13" t="n"/>
      <c r="G1194" s="13" t="n"/>
      <c r="H1194" s="20" t="n"/>
      <c r="I1194" s="14" t="n"/>
      <c r="J1194" s="19">
        <f>IF($C1194="","",ROUND(IF($H1194="",1,$H1194)*N($I1194),2))</f>
        <v/>
      </c>
      <c r="K1194" s="13" t="n"/>
      <c r="L1194" s="13" t="n"/>
      <c r="M1194" s="17">
        <f>IF($C1194="","",IF(ISNA(MATCH($C1194,项目名表,0)),"※项目不在项目台账里",IF($E1194="※工作类型没选","※工作类型没选","")))</f>
        <v/>
      </c>
    </row>
    <row r="1195">
      <c r="A1195" s="17">
        <f>IF($C1195="","",ROW()-3)</f>
        <v/>
      </c>
      <c r="B1195" s="18" t="n"/>
      <c r="C1195" s="13" t="n"/>
      <c r="D1195" s="13" t="n"/>
      <c r="E1195" s="17">
        <f>IF($C1195="","",IFERROR(VLOOKUP($D1195,工作归属,2,0),"※工作类型没选"))</f>
        <v/>
      </c>
      <c r="F1195" s="13" t="n"/>
      <c r="G1195" s="13" t="n"/>
      <c r="H1195" s="20" t="n"/>
      <c r="I1195" s="14" t="n"/>
      <c r="J1195" s="19">
        <f>IF($C1195="","",ROUND(IF($H1195="",1,$H1195)*N($I1195),2))</f>
        <v/>
      </c>
      <c r="K1195" s="13" t="n"/>
      <c r="L1195" s="13" t="n"/>
      <c r="M1195" s="17">
        <f>IF($C1195="","",IF(ISNA(MATCH($C1195,项目名表,0)),"※项目不在项目台账里",IF($E1195="※工作类型没选","※工作类型没选","")))</f>
        <v/>
      </c>
    </row>
    <row r="1196">
      <c r="A1196" s="17">
        <f>IF($C1196="","",ROW()-3)</f>
        <v/>
      </c>
      <c r="B1196" s="18" t="n"/>
      <c r="C1196" s="13" t="n"/>
      <c r="D1196" s="13" t="n"/>
      <c r="E1196" s="17">
        <f>IF($C1196="","",IFERROR(VLOOKUP($D1196,工作归属,2,0),"※工作类型没选"))</f>
        <v/>
      </c>
      <c r="F1196" s="13" t="n"/>
      <c r="G1196" s="13" t="n"/>
      <c r="H1196" s="20" t="n"/>
      <c r="I1196" s="14" t="n"/>
      <c r="J1196" s="19">
        <f>IF($C1196="","",ROUND(IF($H1196="",1,$H1196)*N($I1196),2))</f>
        <v/>
      </c>
      <c r="K1196" s="13" t="n"/>
      <c r="L1196" s="13" t="n"/>
      <c r="M1196" s="17">
        <f>IF($C1196="","",IF(ISNA(MATCH($C1196,项目名表,0)),"※项目不在项目台账里",IF($E1196="※工作类型没选","※工作类型没选","")))</f>
        <v/>
      </c>
    </row>
    <row r="1197">
      <c r="A1197" s="17">
        <f>IF($C1197="","",ROW()-3)</f>
        <v/>
      </c>
      <c r="B1197" s="18" t="n"/>
      <c r="C1197" s="13" t="n"/>
      <c r="D1197" s="13" t="n"/>
      <c r="E1197" s="17">
        <f>IF($C1197="","",IFERROR(VLOOKUP($D1197,工作归属,2,0),"※工作类型没选"))</f>
        <v/>
      </c>
      <c r="F1197" s="13" t="n"/>
      <c r="G1197" s="13" t="n"/>
      <c r="H1197" s="20" t="n"/>
      <c r="I1197" s="14" t="n"/>
      <c r="J1197" s="19">
        <f>IF($C1197="","",ROUND(IF($H1197="",1,$H1197)*N($I1197),2))</f>
        <v/>
      </c>
      <c r="K1197" s="13" t="n"/>
      <c r="L1197" s="13" t="n"/>
      <c r="M1197" s="17">
        <f>IF($C1197="","",IF(ISNA(MATCH($C1197,项目名表,0)),"※项目不在项目台账里",IF($E1197="※工作类型没选","※工作类型没选","")))</f>
        <v/>
      </c>
    </row>
    <row r="1198">
      <c r="A1198" s="17">
        <f>IF($C1198="","",ROW()-3)</f>
        <v/>
      </c>
      <c r="B1198" s="18" t="n"/>
      <c r="C1198" s="13" t="n"/>
      <c r="D1198" s="13" t="n"/>
      <c r="E1198" s="17">
        <f>IF($C1198="","",IFERROR(VLOOKUP($D1198,工作归属,2,0),"※工作类型没选"))</f>
        <v/>
      </c>
      <c r="F1198" s="13" t="n"/>
      <c r="G1198" s="13" t="n"/>
      <c r="H1198" s="20" t="n"/>
      <c r="I1198" s="14" t="n"/>
      <c r="J1198" s="19">
        <f>IF($C1198="","",ROUND(IF($H1198="",1,$H1198)*N($I1198),2))</f>
        <v/>
      </c>
      <c r="K1198" s="13" t="n"/>
      <c r="L1198" s="13" t="n"/>
      <c r="M1198" s="17">
        <f>IF($C1198="","",IF(ISNA(MATCH($C1198,项目名表,0)),"※项目不在项目台账里",IF($E1198="※工作类型没选","※工作类型没选","")))</f>
        <v/>
      </c>
    </row>
    <row r="1199">
      <c r="A1199" s="17">
        <f>IF($C1199="","",ROW()-3)</f>
        <v/>
      </c>
      <c r="B1199" s="18" t="n"/>
      <c r="C1199" s="13" t="n"/>
      <c r="D1199" s="13" t="n"/>
      <c r="E1199" s="17">
        <f>IF($C1199="","",IFERROR(VLOOKUP($D1199,工作归属,2,0),"※工作类型没选"))</f>
        <v/>
      </c>
      <c r="F1199" s="13" t="n"/>
      <c r="G1199" s="13" t="n"/>
      <c r="H1199" s="20" t="n"/>
      <c r="I1199" s="14" t="n"/>
      <c r="J1199" s="19">
        <f>IF($C1199="","",ROUND(IF($H1199="",1,$H1199)*N($I1199),2))</f>
        <v/>
      </c>
      <c r="K1199" s="13" t="n"/>
      <c r="L1199" s="13" t="n"/>
      <c r="M1199" s="17">
        <f>IF($C1199="","",IF(ISNA(MATCH($C1199,项目名表,0)),"※项目不在项目台账里",IF($E1199="※工作类型没选","※工作类型没选","")))</f>
        <v/>
      </c>
    </row>
    <row r="1200">
      <c r="A1200" s="17">
        <f>IF($C1200="","",ROW()-3)</f>
        <v/>
      </c>
      <c r="B1200" s="18" t="n"/>
      <c r="C1200" s="13" t="n"/>
      <c r="D1200" s="13" t="n"/>
      <c r="E1200" s="17">
        <f>IF($C1200="","",IFERROR(VLOOKUP($D1200,工作归属,2,0),"※工作类型没选"))</f>
        <v/>
      </c>
      <c r="F1200" s="13" t="n"/>
      <c r="G1200" s="13" t="n"/>
      <c r="H1200" s="20" t="n"/>
      <c r="I1200" s="14" t="n"/>
      <c r="J1200" s="19">
        <f>IF($C1200="","",ROUND(IF($H1200="",1,$H1200)*N($I1200),2))</f>
        <v/>
      </c>
      <c r="K1200" s="13" t="n"/>
      <c r="L1200" s="13" t="n"/>
      <c r="M1200" s="17">
        <f>IF($C1200="","",IF(ISNA(MATCH($C1200,项目名表,0)),"※项目不在项目台账里",IF($E1200="※工作类型没选","※工作类型没选","")))</f>
        <v/>
      </c>
    </row>
    <row r="1201">
      <c r="A1201" s="17">
        <f>IF($C1201="","",ROW()-3)</f>
        <v/>
      </c>
      <c r="B1201" s="18" t="n"/>
      <c r="C1201" s="13" t="n"/>
      <c r="D1201" s="13" t="n"/>
      <c r="E1201" s="17">
        <f>IF($C1201="","",IFERROR(VLOOKUP($D1201,工作归属,2,0),"※工作类型没选"))</f>
        <v/>
      </c>
      <c r="F1201" s="13" t="n"/>
      <c r="G1201" s="13" t="n"/>
      <c r="H1201" s="20" t="n"/>
      <c r="I1201" s="14" t="n"/>
      <c r="J1201" s="19">
        <f>IF($C1201="","",ROUND(IF($H1201="",1,$H1201)*N($I1201),2))</f>
        <v/>
      </c>
      <c r="K1201" s="13" t="n"/>
      <c r="L1201" s="13" t="n"/>
      <c r="M1201" s="17">
        <f>IF($C1201="","",IF(ISNA(MATCH($C1201,项目名表,0)),"※项目不在项目台账里",IF($E1201="※工作类型没选","※工作类型没选","")))</f>
        <v/>
      </c>
    </row>
    <row r="1202">
      <c r="A1202" s="17">
        <f>IF($C1202="","",ROW()-3)</f>
        <v/>
      </c>
      <c r="B1202" s="18" t="n"/>
      <c r="C1202" s="13" t="n"/>
      <c r="D1202" s="13" t="n"/>
      <c r="E1202" s="17">
        <f>IF($C1202="","",IFERROR(VLOOKUP($D1202,工作归属,2,0),"※工作类型没选"))</f>
        <v/>
      </c>
      <c r="F1202" s="13" t="n"/>
      <c r="G1202" s="13" t="n"/>
      <c r="H1202" s="20" t="n"/>
      <c r="I1202" s="14" t="n"/>
      <c r="J1202" s="19">
        <f>IF($C1202="","",ROUND(IF($H1202="",1,$H1202)*N($I1202),2))</f>
        <v/>
      </c>
      <c r="K1202" s="13" t="n"/>
      <c r="L1202" s="13" t="n"/>
      <c r="M1202" s="17">
        <f>IF($C1202="","",IF(ISNA(MATCH($C1202,项目名表,0)),"※项目不在项目台账里",IF($E1202="※工作类型没选","※工作类型没选","")))</f>
        <v/>
      </c>
    </row>
    <row r="1203">
      <c r="A1203" s="17">
        <f>IF($C1203="","",ROW()-3)</f>
        <v/>
      </c>
      <c r="B1203" s="18" t="n"/>
      <c r="C1203" s="13" t="n"/>
      <c r="D1203" s="13" t="n"/>
      <c r="E1203" s="17">
        <f>IF($C1203="","",IFERROR(VLOOKUP($D1203,工作归属,2,0),"※工作类型没选"))</f>
        <v/>
      </c>
      <c r="F1203" s="13" t="n"/>
      <c r="G1203" s="13" t="n"/>
      <c r="H1203" s="20" t="n"/>
      <c r="I1203" s="14" t="n"/>
      <c r="J1203" s="19">
        <f>IF($C1203="","",ROUND(IF($H1203="",1,$H1203)*N($I1203),2))</f>
        <v/>
      </c>
      <c r="K1203" s="13" t="n"/>
      <c r="L1203" s="13" t="n"/>
      <c r="M1203" s="17">
        <f>IF($C1203="","",IF(ISNA(MATCH($C1203,项目名表,0)),"※项目不在项目台账里",IF($E1203="※工作类型没选","※工作类型没选","")))</f>
        <v/>
      </c>
    </row>
  </sheetData>
  <autoFilter ref="A3:M1203"/>
  <mergeCells count="2">
    <mergeCell ref="A2:M2"/>
    <mergeCell ref="A1:M1"/>
  </mergeCells>
  <conditionalFormatting sqref="E4:E1203">
    <cfRule type="expression" priority="1" dxfId="0">
      <formula>LEFT(E4,1)="※"</formula>
    </cfRule>
  </conditionalFormatting>
  <conditionalFormatting sqref="M4:M1203">
    <cfRule type="expression" priority="2" dxfId="0">
      <formula>LEFT(M4,1)="※"</formula>
    </cfRule>
  </conditionalFormatting>
  <dataValidations count="5">
    <dataValidation sqref="C4:C1203" showDropDown="0" showInputMessage="0" showErrorMessage="1" allowBlank="1" errorTitle="这一项没在名单里" error="不在名单里。先去【基础资料】把它加上，或者直接选一个已有的。" type="list" errorStyle="warning">
      <formula1>=项目名表</formula1>
    </dataValidation>
    <dataValidation sqref="D4:D1203" showDropDown="0" showInputMessage="0" showErrorMessage="1" allowBlank="1" errorTitle="这一项没在名单里" error="不在名单里。先去【基础资料】把它加上，或者直接选一个已有的。" type="list" errorStyle="stop">
      <formula1>=工作类型表</formula1>
    </dataValidation>
    <dataValidation sqref="F4:F1203" showDropDown="0" showInputMessage="0" showErrorMessage="1" allowBlank="1" errorTitle="这一项没在名单里" error="不在名单里。先去【基础资料】把它加上，或者直接选一个已有的。" type="list" errorStyle="warning">
      <formula1>=人员表</formula1>
    </dataValidation>
    <dataValidation sqref="G4:G1203" showDropDown="0" showInputMessage="0" showErrorMessage="1" allowBlank="1" errorTitle="这一项没在名单里" error="不在名单里。先去【基础资料】把它加上，或者直接选一个已有的。" type="list" errorStyle="warning">
      <formula1>=单位表</formula1>
    </dataValidation>
    <dataValidation sqref="K4:K1203" showDropDown="0" showInputMessage="0" showErrorMessage="1" allowBlank="1" errorTitle="这一项没在名单里" error="不在名单里。先去【基础资料】把它加上，或者直接选一个已有的。" type="list" errorStyle="warning">
      <formula1>=外叫表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P2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9" customWidth="1" min="4" max="4"/>
    <col width="17" customWidth="1" min="5" max="5"/>
    <col width="14" customWidth="1" min="6" max="6"/>
    <col width="18" customWidth="1" min="7" max="7"/>
    <col width="18" customWidth="1" min="8" max="8"/>
    <col width="30" customWidth="1" min="9" max="9"/>
    <col width="13" customWidth="1" min="10" max="10"/>
    <col width="13" customWidth="1" min="11" max="11"/>
    <col width="14" customWidth="1" min="12" max="12"/>
    <col width="14" customWidth="1" min="13" max="13"/>
    <col width="10" customWidth="1" min="14" max="14"/>
    <col width="20" customWidth="1" min="15" max="15"/>
    <col width="26" customWidth="1" min="16" max="16"/>
  </cols>
  <sheetData>
    <row r="1" ht="30" customHeight="1">
      <c r="A1" s="1" t="inlineStr">
        <is>
          <t>资金日记账 · 出纳填（五个账户混在一起记）</t>
        </is>
      </c>
    </row>
    <row r="2" ht="22" customHeight="1">
      <c r="A2" s="2" t="inlineStr">
        <is>
          <t>五个账户的钱都记这一张，按日期顺着往下记就行。L 列自动结出「这个账户」当时的余额，M 列是全部账户合计。账户之间互转记两行（转出一行支出、转入一行收入），类别都选『账户互转』。</t>
        </is>
      </c>
    </row>
    <row r="3" ht="34" customHeight="1">
      <c r="A3" s="16" t="inlineStr">
        <is>
          <t>序号</t>
        </is>
      </c>
      <c r="B3" s="16" t="inlineStr">
        <is>
          <t>日期 ★</t>
        </is>
      </c>
      <c r="C3" s="16" t="inlineStr">
        <is>
          <t>账户 ★</t>
        </is>
      </c>
      <c r="D3" s="16" t="inlineStr">
        <is>
          <t>收/支 ★</t>
        </is>
      </c>
      <c r="E3" s="16" t="inlineStr">
        <is>
          <t>费用类别 ★</t>
        </is>
      </c>
      <c r="F3" s="16" t="inlineStr">
        <is>
          <t>归属大类</t>
        </is>
      </c>
      <c r="G3" s="16" t="inlineStr">
        <is>
          <t>项目名称</t>
        </is>
      </c>
      <c r="H3" s="16" t="inlineStr">
        <is>
          <t>往来单位</t>
        </is>
      </c>
      <c r="I3" s="16" t="inlineStr">
        <is>
          <t>摘要 ★</t>
        </is>
      </c>
      <c r="J3" s="16" t="inlineStr">
        <is>
          <t>收入金额</t>
        </is>
      </c>
      <c r="K3" s="16" t="inlineStr">
        <is>
          <t>支出金额</t>
        </is>
      </c>
      <c r="L3" s="16" t="inlineStr">
        <is>
          <t>本账户余额</t>
        </is>
      </c>
      <c r="M3" s="16" t="inlineStr">
        <is>
          <t>全账户合计</t>
        </is>
      </c>
      <c r="N3" s="16" t="inlineStr">
        <is>
          <t>经手人</t>
        </is>
      </c>
      <c r="O3" s="16" t="inlineStr">
        <is>
          <t>备注</t>
        </is>
      </c>
      <c r="P3" s="16" t="inlineStr">
        <is>
          <t>核对</t>
        </is>
      </c>
    </row>
    <row r="4">
      <c r="A4" s="17">
        <f>IF($B4="","",ROW()-3)</f>
        <v/>
      </c>
      <c r="B4" s="18" t="n"/>
      <c r="C4" s="13" t="inlineStr">
        <is>
          <t>微信1</t>
        </is>
      </c>
      <c r="D4" s="13" t="inlineStr">
        <is>
          <t>收入</t>
        </is>
      </c>
      <c r="E4" s="13" t="inlineStr">
        <is>
          <t>待分类</t>
        </is>
      </c>
      <c r="F4" s="17">
        <f>IF($E4="","",IFERROR(VLOOKUP($E4,类别归属,2,0),"※类别不在基础资料里"))</f>
        <v/>
      </c>
      <c r="G4" s="13" t="inlineStr">
        <is>
          <t>盛昊篷车</t>
        </is>
      </c>
      <c r="H4" s="13" t="n"/>
      <c r="I4" s="13" t="inlineStr">
        <is>
          <t>二维码收款</t>
        </is>
      </c>
      <c r="J4" s="14" t="n">
        <v>282</v>
      </c>
      <c r="K4" s="14" t="n"/>
      <c r="L4" s="19">
        <f>IF($C4="","",ROUND(IFERROR(VLOOKUP($C4,账户期初,2,0),0)+SUMIFS($J$4:J4,$C$4:C4,$C4)-SUMIFS($K$4:K4,$C$4:C4,$C4),2))</f>
        <v/>
      </c>
      <c r="M4" s="19">
        <f>IF($C4="","",ROUND(SUM(基础资料!$B$4:$B$13)+SUM($J$4:J4)-SUM($K$4:K4),2))</f>
        <v/>
      </c>
      <c r="N4" s="13" t="n"/>
      <c r="O4" s="13" t="n"/>
      <c r="P4" s="17">
        <f>IF($B4="","",IF($F4="※类别不在基础资料里","※费用类别不在基础资料里",IF(AND(N($J4)=0,N($K4)=0),"※这行没填金额",IF(AND(N($J4)&gt;0,N($K4)&gt;0),"※收入和支出不能同一行都填",IF(AND($D4="收入",N($J4)=0),"※收入行要填收入金额",IF(AND($D4="支出",N($K4)=0),"※支出行要填支出金额",IF(AND($C4&lt;&gt;"",ISNA(MATCH($C4,账户表,0))),"※账户不在基础资料里",IF(AND($G4&lt;&gt;"",ISNA(MATCH($G4,项目名表,0))),"※项目不在项目台账里",IF(AND(LEFT($F4,3)="成本-",$G4=""),"※成本类支出没填项目",IF(AND(LEFT($F4,3)="成本-",$H4&lt;&gt;"",N($K4)&gt;0,COUNTIFS(采购单!$B:$B,$B4,采购单!$C:$C,$H4,采购单!$L:$L,$K4)&gt;0),"※这笔可能和采购单重复了",""))))))))))</f>
        <v/>
      </c>
    </row>
    <row r="5">
      <c r="A5" s="17">
        <f>IF($B5="","",ROW()-3)</f>
        <v/>
      </c>
      <c r="B5" s="18" t="n">
        <v>46079</v>
      </c>
      <c r="C5" s="13" t="inlineStr">
        <is>
          <t>微信1</t>
        </is>
      </c>
      <c r="D5" s="13" t="inlineStr">
        <is>
          <t>收入</t>
        </is>
      </c>
      <c r="E5" s="13" t="inlineStr">
        <is>
          <t>待分类</t>
        </is>
      </c>
      <c r="F5" s="17">
        <f>IF($E5="","",IFERROR(VLOOKUP($E5,类别归属,2,0),"※类别不在基础资料里"))</f>
        <v/>
      </c>
      <c r="G5" s="13" t="inlineStr">
        <is>
          <t>盛昊篷车</t>
        </is>
      </c>
      <c r="H5" s="13" t="n"/>
      <c r="I5" s="13" t="inlineStr">
        <is>
          <t>二维码收款</t>
        </is>
      </c>
      <c r="J5" s="14" t="n">
        <v>190</v>
      </c>
      <c r="K5" s="14" t="n"/>
      <c r="L5" s="19">
        <f>IF($C5="","",ROUND(IFERROR(VLOOKUP($C5,账户期初,2,0),0)+SUMIFS($J$4:J5,$C$4:C5,$C5)-SUMIFS($K$4:K5,$C$4:C5,$C5),2))</f>
        <v/>
      </c>
      <c r="M5" s="19">
        <f>IF($C5="","",ROUND(SUM(基础资料!$B$4:$B$13)+SUM($J$4:J5)-SUM($K$4:K5),2))</f>
        <v/>
      </c>
      <c r="N5" s="13" t="n"/>
      <c r="O5" s="13" t="n"/>
      <c r="P5" s="17">
        <f>IF($B5="","",IF($F5="※类别不在基础资料里","※费用类别不在基础资料里",IF(AND(N($J5)=0,N($K5)=0),"※这行没填金额",IF(AND(N($J5)&gt;0,N($K5)&gt;0),"※收入和支出不能同一行都填",IF(AND($D5="收入",N($J5)=0),"※收入行要填收入金额",IF(AND($D5="支出",N($K5)=0),"※支出行要填支出金额",IF(AND($C5&lt;&gt;"",ISNA(MATCH($C5,账户表,0))),"※账户不在基础资料里",IF(AND($G5&lt;&gt;"",ISNA(MATCH($G5,项目名表,0))),"※项目不在项目台账里",IF(AND(LEFT($F5,3)="成本-",$G5=""),"※成本类支出没填项目",IF(AND(LEFT($F5,3)="成本-",$H5&lt;&gt;"",N($K5)&gt;0,COUNTIFS(采购单!$B:$B,$B5,采购单!$C:$C,$H5,采购单!$L:$L,$K5)&gt;0),"※这笔可能和采购单重复了",""))))))))))</f>
        <v/>
      </c>
    </row>
    <row r="6">
      <c r="A6" s="17">
        <f>IF($B6="","",ROW()-3)</f>
        <v/>
      </c>
      <c r="B6" s="18" t="n">
        <v>46080</v>
      </c>
      <c r="C6" s="13" t="inlineStr">
        <is>
          <t>微信1</t>
        </is>
      </c>
      <c r="D6" s="13" t="inlineStr">
        <is>
          <t>支出</t>
        </is>
      </c>
      <c r="E6" s="13" t="inlineStr">
        <is>
          <t>主材采购</t>
        </is>
      </c>
      <c r="F6" s="17">
        <f>IF($E6="","",IFERROR(VLOOKUP($E6,类别归属,2,0),"※类别不在基础资料里"))</f>
        <v/>
      </c>
      <c r="G6" s="13" t="n"/>
      <c r="H6" s="13" t="inlineStr">
        <is>
          <t>泰发五金</t>
        </is>
      </c>
      <c r="I6" s="13" t="inlineStr">
        <is>
          <t>付泰发五金</t>
        </is>
      </c>
      <c r="J6" s="14" t="n"/>
      <c r="K6" s="14" t="n">
        <v>45</v>
      </c>
      <c r="L6" s="19">
        <f>IF($C6="","",ROUND(IFERROR(VLOOKUP($C6,账户期初,2,0),0)+SUMIFS($J$4:J6,$C$4:C6,$C6)-SUMIFS($K$4:K6,$C$4:C6,$C6),2))</f>
        <v/>
      </c>
      <c r="M6" s="19">
        <f>IF($C6="","",ROUND(SUM(基础资料!$B$4:$B$13)+SUM($J$4:J6)-SUM($K$4:K6),2))</f>
        <v/>
      </c>
      <c r="N6" s="13" t="n"/>
      <c r="O6" s="13" t="inlineStr">
        <is>
          <t>焊把钳、接头</t>
        </is>
      </c>
      <c r="P6" s="17">
        <f>IF($B6="","",IF($F6="※类别不在基础资料里","※费用类别不在基础资料里",IF(AND(N($J6)=0,N($K6)=0),"※这行没填金额",IF(AND(N($J6)&gt;0,N($K6)&gt;0),"※收入和支出不能同一行都填",IF(AND($D6="收入",N($J6)=0),"※收入行要填收入金额",IF(AND($D6="支出",N($K6)=0),"※支出行要填支出金额",IF(AND($C6&lt;&gt;"",ISNA(MATCH($C6,账户表,0))),"※账户不在基础资料里",IF(AND($G6&lt;&gt;"",ISNA(MATCH($G6,项目名表,0))),"※项目不在项目台账里",IF(AND(LEFT($F6,3)="成本-",$G6=""),"※成本类支出没填项目",IF(AND(LEFT($F6,3)="成本-",$H6&lt;&gt;"",N($K6)&gt;0,COUNTIFS(采购单!$B:$B,$B6,采购单!$C:$C,$H6,采购单!$L:$L,$K6)&gt;0),"※这笔可能和采购单重复了",""))))))))))</f>
        <v/>
      </c>
    </row>
    <row r="7">
      <c r="A7" s="17">
        <f>IF($B7="","",ROW()-3)</f>
        <v/>
      </c>
      <c r="B7" s="18" t="n">
        <v>46080</v>
      </c>
      <c r="C7" s="13" t="inlineStr">
        <is>
          <t>微信1</t>
        </is>
      </c>
      <c r="D7" s="13" t="inlineStr">
        <is>
          <t>支出</t>
        </is>
      </c>
      <c r="E7" s="13" t="inlineStr">
        <is>
          <t>运费/快递费</t>
        </is>
      </c>
      <c r="F7" s="17">
        <f>IF($E7="","",IFERROR(VLOOKUP($E7,类别归属,2,0),"※类别不在基础资料里"))</f>
        <v/>
      </c>
      <c r="G7" s="13" t="inlineStr">
        <is>
          <t>付炳秀配送</t>
        </is>
      </c>
      <c r="H7" s="13" t="inlineStr">
        <is>
          <t>炳秀</t>
        </is>
      </c>
      <c r="I7" s="13" t="inlineStr">
        <is>
          <t>付炳秀</t>
        </is>
      </c>
      <c r="J7" s="14" t="n"/>
      <c r="K7" s="14" t="n">
        <v>330</v>
      </c>
      <c r="L7" s="19">
        <f>IF($C7="","",ROUND(IFERROR(VLOOKUP($C7,账户期初,2,0),0)+SUMIFS($J$4:J7,$C$4:C7,$C7)-SUMIFS($K$4:K7,$C$4:C7,$C7),2))</f>
        <v/>
      </c>
      <c r="M7" s="19">
        <f>IF($C7="","",ROUND(SUM(基础资料!$B$4:$B$13)+SUM($J$4:J7)-SUM($K$4:K7),2))</f>
        <v/>
      </c>
      <c r="N7" s="13" t="n"/>
      <c r="O7" s="13" t="n"/>
      <c r="P7" s="17">
        <f>IF($B7="","",IF($F7="※类别不在基础资料里","※费用类别不在基础资料里",IF(AND(N($J7)=0,N($K7)=0),"※这行没填金额",IF(AND(N($J7)&gt;0,N($K7)&gt;0),"※收入和支出不能同一行都填",IF(AND($D7="收入",N($J7)=0),"※收入行要填收入金额",IF(AND($D7="支出",N($K7)=0),"※支出行要填支出金额",IF(AND($C7&lt;&gt;"",ISNA(MATCH($C7,账户表,0))),"※账户不在基础资料里",IF(AND($G7&lt;&gt;"",ISNA(MATCH($G7,项目名表,0))),"※项目不在项目台账里",IF(AND(LEFT($F7,3)="成本-",$G7=""),"※成本类支出没填项目",IF(AND(LEFT($F7,3)="成本-",$H7&lt;&gt;"",N($K7)&gt;0,COUNTIFS(采购单!$B:$B,$B7,采购单!$C:$C,$H7,采购单!$L:$L,$K7)&gt;0),"※这笔可能和采购单重复了",""))))))))))</f>
        <v/>
      </c>
    </row>
    <row r="8">
      <c r="A8" s="17">
        <f>IF($B8="","",ROW()-3)</f>
        <v/>
      </c>
      <c r="B8" s="18" t="n"/>
      <c r="C8" s="13" t="inlineStr">
        <is>
          <t>微信1</t>
        </is>
      </c>
      <c r="D8" s="13" t="inlineStr">
        <is>
          <t>支出</t>
        </is>
      </c>
      <c r="E8" s="13" t="inlineStr">
        <is>
          <t>运费/快递费</t>
        </is>
      </c>
      <c r="F8" s="17">
        <f>IF($E8="","",IFERROR(VLOOKUP($E8,类别归属,2,0),"※类别不在基础资料里"))</f>
        <v/>
      </c>
      <c r="G8" s="13" t="n"/>
      <c r="H8" s="13" t="inlineStr">
        <is>
          <t>炳秀</t>
        </is>
      </c>
      <c r="I8" s="13" t="inlineStr">
        <is>
          <t>付炳秀配送</t>
        </is>
      </c>
      <c r="J8" s="14" t="n"/>
      <c r="K8" s="14" t="n">
        <v>10</v>
      </c>
      <c r="L8" s="19">
        <f>IF($C8="","",ROUND(IFERROR(VLOOKUP($C8,账户期初,2,0),0)+SUMIFS($J$4:J8,$C$4:C8,$C8)-SUMIFS($K$4:K8,$C$4:C8,$C8),2))</f>
        <v/>
      </c>
      <c r="M8" s="19">
        <f>IF($C8="","",ROUND(SUM(基础资料!$B$4:$B$13)+SUM($J$4:J8)-SUM($K$4:K8),2))</f>
        <v/>
      </c>
      <c r="N8" s="13" t="n"/>
      <c r="O8" s="13" t="n"/>
      <c r="P8" s="17">
        <f>IF($B8="","",IF($F8="※类别不在基础资料里","※费用类别不在基础资料里",IF(AND(N($J8)=0,N($K8)=0),"※这行没填金额",IF(AND(N($J8)&gt;0,N($K8)&gt;0),"※收入和支出不能同一行都填",IF(AND($D8="收入",N($J8)=0),"※收入行要填收入金额",IF(AND($D8="支出",N($K8)=0),"※支出行要填支出金额",IF(AND($C8&lt;&gt;"",ISNA(MATCH($C8,账户表,0))),"※账户不在基础资料里",IF(AND($G8&lt;&gt;"",ISNA(MATCH($G8,项目名表,0))),"※项目不在项目台账里",IF(AND(LEFT($F8,3)="成本-",$G8=""),"※成本类支出没填项目",IF(AND(LEFT($F8,3)="成本-",$H8&lt;&gt;"",N($K8)&gt;0,COUNTIFS(采购单!$B:$B,$B8,采购单!$C:$C,$H8,采购单!$L:$L,$K8)&gt;0),"※这笔可能和采购单重复了",""))))))))))</f>
        <v/>
      </c>
    </row>
    <row r="9">
      <c r="A9" s="17">
        <f>IF($B9="","",ROW()-3)</f>
        <v/>
      </c>
      <c r="B9" s="18" t="n">
        <v>46082</v>
      </c>
      <c r="C9" s="13" t="inlineStr">
        <is>
          <t>微信1</t>
        </is>
      </c>
      <c r="D9" s="13" t="inlineStr">
        <is>
          <t>收入</t>
        </is>
      </c>
      <c r="E9" s="13" t="inlineStr">
        <is>
          <t>项目收款</t>
        </is>
      </c>
      <c r="F9" s="17">
        <f>IF($E9="","",IFERROR(VLOOKUP($E9,类别归属,2,0),"※类别不在基础资料里"))</f>
        <v/>
      </c>
      <c r="G9" s="13" t="inlineStr">
        <is>
          <t>芭比贝克</t>
        </is>
      </c>
      <c r="H9" s="13" t="n"/>
      <c r="I9" s="13" t="inlineStr">
        <is>
          <t>叶永红</t>
        </is>
      </c>
      <c r="J9" s="14" t="n">
        <v>400</v>
      </c>
      <c r="K9" s="14" t="n"/>
      <c r="L9" s="19">
        <f>IF($C9="","",ROUND(IFERROR(VLOOKUP($C9,账户期初,2,0),0)+SUMIFS($J$4:J9,$C$4:C9,$C9)-SUMIFS($K$4:K9,$C$4:C9,$C9),2))</f>
        <v/>
      </c>
      <c r="M9" s="19">
        <f>IF($C9="","",ROUND(SUM(基础资料!$B$4:$B$13)+SUM($J$4:J9)-SUM($K$4:K9),2))</f>
        <v/>
      </c>
      <c r="N9" s="13" t="n"/>
      <c r="O9" s="13" t="n"/>
      <c r="P9" s="17">
        <f>IF($B9="","",IF($F9="※类别不在基础资料里","※费用类别不在基础资料里",IF(AND(N($J9)=0,N($K9)=0),"※这行没填金额",IF(AND(N($J9)&gt;0,N($K9)&gt;0),"※收入和支出不能同一行都填",IF(AND($D9="收入",N($J9)=0),"※收入行要填收入金额",IF(AND($D9="支出",N($K9)=0),"※支出行要填支出金额",IF(AND($C9&lt;&gt;"",ISNA(MATCH($C9,账户表,0))),"※账户不在基础资料里",IF(AND($G9&lt;&gt;"",ISNA(MATCH($G9,项目名表,0))),"※项目不在项目台账里",IF(AND(LEFT($F9,3)="成本-",$G9=""),"※成本类支出没填项目",IF(AND(LEFT($F9,3)="成本-",$H9&lt;&gt;"",N($K9)&gt;0,COUNTIFS(采购单!$B:$B,$B9,采购单!$C:$C,$H9,采购单!$L:$L,$K9)&gt;0),"※这笔可能和采购单重复了",""))))))))))</f>
        <v/>
      </c>
    </row>
    <row r="10">
      <c r="A10" s="17">
        <f>IF($B10="","",ROW()-3)</f>
        <v/>
      </c>
      <c r="B10" s="18" t="n">
        <v>46083</v>
      </c>
      <c r="C10" s="13" t="inlineStr">
        <is>
          <t>微信1</t>
        </is>
      </c>
      <c r="D10" s="13" t="inlineStr">
        <is>
          <t>收入</t>
        </is>
      </c>
      <c r="E10" s="13" t="inlineStr">
        <is>
          <t>项目收款</t>
        </is>
      </c>
      <c r="F10" s="17">
        <f>IF($E10="","",IFERROR(VLOOKUP($E10,类别归属,2,0),"※类别不在基础资料里"))</f>
        <v/>
      </c>
      <c r="G10" s="13" t="inlineStr">
        <is>
          <t>兰溪手擀面</t>
        </is>
      </c>
      <c r="H10" s="13" t="n"/>
      <c r="I10" s="13" t="inlineStr">
        <is>
          <t>收兰溪牛肉拉面</t>
        </is>
      </c>
      <c r="J10" s="14" t="n">
        <v>1400</v>
      </c>
      <c r="K10" s="14" t="n"/>
      <c r="L10" s="19">
        <f>IF($C10="","",ROUND(IFERROR(VLOOKUP($C10,账户期初,2,0),0)+SUMIFS($J$4:J10,$C$4:C10,$C10)-SUMIFS($K$4:K10,$C$4:C10,$C10),2))</f>
        <v/>
      </c>
      <c r="M10" s="19">
        <f>IF($C10="","",ROUND(SUM(基础资料!$B$4:$B$13)+SUM($J$4:J10)-SUM($K$4:K10),2))</f>
        <v/>
      </c>
      <c r="N10" s="13" t="n"/>
      <c r="O10" s="13" t="n"/>
      <c r="P10" s="17">
        <f>IF($B10="","",IF($F10="※类别不在基础资料里","※费用类别不在基础资料里",IF(AND(N($J10)=0,N($K10)=0),"※这行没填金额",IF(AND(N($J10)&gt;0,N($K10)&gt;0),"※收入和支出不能同一行都填",IF(AND($D10="收入",N($J10)=0),"※收入行要填收入金额",IF(AND($D10="支出",N($K10)=0),"※支出行要填支出金额",IF(AND($C10&lt;&gt;"",ISNA(MATCH($C10,账户表,0))),"※账户不在基础资料里",IF(AND($G10&lt;&gt;"",ISNA(MATCH($G10,项目名表,0))),"※项目不在项目台账里",IF(AND(LEFT($F10,3)="成本-",$G10=""),"※成本类支出没填项目",IF(AND(LEFT($F10,3)="成本-",$H10&lt;&gt;"",N($K10)&gt;0,COUNTIFS(采购单!$B:$B,$B10,采购单!$C:$C,$H10,采购单!$L:$L,$K10)&gt;0),"※这笔可能和采购单重复了",""))))))))))</f>
        <v/>
      </c>
    </row>
    <row r="11">
      <c r="A11" s="17">
        <f>IF($B11="","",ROW()-3)</f>
        <v/>
      </c>
      <c r="B11" s="18" t="n">
        <v>46083</v>
      </c>
      <c r="C11" s="13" t="inlineStr">
        <is>
          <t>微信1</t>
        </is>
      </c>
      <c r="D11" s="13" t="inlineStr">
        <is>
          <t>收入</t>
        </is>
      </c>
      <c r="E11" s="13" t="inlineStr">
        <is>
          <t>零星物料销售</t>
        </is>
      </c>
      <c r="F11" s="17">
        <f>IF($E11="","",IFERROR(VLOOKUP($E11,类别归属,2,0),"※类别不在基础资料里"))</f>
        <v/>
      </c>
      <c r="G11" s="13" t="inlineStr">
        <is>
          <t>万达kvv</t>
        </is>
      </c>
      <c r="H11" s="13" t="n"/>
      <c r="I11" s="13" t="inlineStr">
        <is>
          <t>万达-KVV乔金鑫</t>
        </is>
      </c>
      <c r="J11" s="14" t="n">
        <v>68</v>
      </c>
      <c r="K11" s="14" t="n"/>
      <c r="L11" s="19">
        <f>IF($C11="","",ROUND(IFERROR(VLOOKUP($C11,账户期初,2,0),0)+SUMIFS($J$4:J11,$C$4:C11,$C11)-SUMIFS($K$4:K11,$C$4:C11,$C11),2))</f>
        <v/>
      </c>
      <c r="M11" s="19">
        <f>IF($C11="","",ROUND(SUM(基础资料!$B$4:$B$13)+SUM($J$4:J11)-SUM($K$4:K11),2))</f>
        <v/>
      </c>
      <c r="N11" s="13" t="n"/>
      <c r="O11" s="13" t="n"/>
      <c r="P11" s="17">
        <f>IF($B11="","",IF($F11="※类别不在基础资料里","※费用类别不在基础资料里",IF(AND(N($J11)=0,N($K11)=0),"※这行没填金额",IF(AND(N($J11)&gt;0,N($K11)&gt;0),"※收入和支出不能同一行都填",IF(AND($D11="收入",N($J11)=0),"※收入行要填收入金额",IF(AND($D11="支出",N($K11)=0),"※支出行要填支出金额",IF(AND($C11&lt;&gt;"",ISNA(MATCH($C11,账户表,0))),"※账户不在基础资料里",IF(AND($G11&lt;&gt;"",ISNA(MATCH($G11,项目名表,0))),"※项目不在项目台账里",IF(AND(LEFT($F11,3)="成本-",$G11=""),"※成本类支出没填项目",IF(AND(LEFT($F11,3)="成本-",$H11&lt;&gt;"",N($K11)&gt;0,COUNTIFS(采购单!$B:$B,$B11,采购单!$C:$C,$H11,采购单!$L:$L,$K11)&gt;0),"※这笔可能和采购单重复了",""))))))))))</f>
        <v/>
      </c>
    </row>
    <row r="12">
      <c r="A12" s="17">
        <f>IF($B12="","",ROW()-3)</f>
        <v/>
      </c>
      <c r="B12" s="18" t="n">
        <v>46083</v>
      </c>
      <c r="C12" s="13" t="inlineStr">
        <is>
          <t>微信1</t>
        </is>
      </c>
      <c r="D12" s="13" t="inlineStr">
        <is>
          <t>支出</t>
        </is>
      </c>
      <c r="E12" s="13" t="inlineStr">
        <is>
          <t>运费/快递费</t>
        </is>
      </c>
      <c r="F12" s="17">
        <f>IF($E12="","",IFERROR(VLOOKUP($E12,类别归属,2,0),"※类别不在基础资料里"))</f>
        <v/>
      </c>
      <c r="G12" s="13" t="inlineStr">
        <is>
          <t>芭比贝克</t>
        </is>
      </c>
      <c r="H12" s="13" t="inlineStr">
        <is>
          <t>炳秀</t>
        </is>
      </c>
      <c r="I12" s="13" t="inlineStr">
        <is>
          <t>付炳秀配送</t>
        </is>
      </c>
      <c r="J12" s="14" t="n"/>
      <c r="K12" s="14" t="n">
        <v>38</v>
      </c>
      <c r="L12" s="19">
        <f>IF($C12="","",ROUND(IFERROR(VLOOKUP($C12,账户期初,2,0),0)+SUMIFS($J$4:J12,$C$4:C12,$C12)-SUMIFS($K$4:K12,$C$4:C12,$C12),2))</f>
        <v/>
      </c>
      <c r="M12" s="19">
        <f>IF($C12="","",ROUND(SUM(基础资料!$B$4:$B$13)+SUM($J$4:J12)-SUM($K$4:K12),2))</f>
        <v/>
      </c>
      <c r="N12" s="13" t="n"/>
      <c r="O12" s="13" t="n"/>
      <c r="P12" s="17">
        <f>IF($B12="","",IF($F12="※类别不在基础资料里","※费用类别不在基础资料里",IF(AND(N($J12)=0,N($K12)=0),"※这行没填金额",IF(AND(N($J12)&gt;0,N($K12)&gt;0),"※收入和支出不能同一行都填",IF(AND($D12="收入",N($J12)=0),"※收入行要填收入金额",IF(AND($D12="支出",N($K12)=0),"※支出行要填支出金额",IF(AND($C12&lt;&gt;"",ISNA(MATCH($C12,账户表,0))),"※账户不在基础资料里",IF(AND($G12&lt;&gt;"",ISNA(MATCH($G12,项目名表,0))),"※项目不在项目台账里",IF(AND(LEFT($F12,3)="成本-",$G12=""),"※成本类支出没填项目",IF(AND(LEFT($F12,3)="成本-",$H12&lt;&gt;"",N($K12)&gt;0,COUNTIFS(采购单!$B:$B,$B12,采购单!$C:$C,$H12,采购单!$L:$L,$K12)&gt;0),"※这笔可能和采购单重复了",""))))))))))</f>
        <v/>
      </c>
    </row>
    <row r="13">
      <c r="A13" s="17">
        <f>IF($B13="","",ROW()-3)</f>
        <v/>
      </c>
      <c r="B13" s="18" t="n">
        <v>46084</v>
      </c>
      <c r="C13" s="13" t="inlineStr">
        <is>
          <t>微信1</t>
        </is>
      </c>
      <c r="D13" s="13" t="inlineStr">
        <is>
          <t>支出</t>
        </is>
      </c>
      <c r="E13" s="13" t="inlineStr">
        <is>
          <t>安装工资</t>
        </is>
      </c>
      <c r="F13" s="17">
        <f>IF($E13="","",IFERROR(VLOOKUP($E13,类别归属,2,0),"※类别不在基础资料里"))</f>
        <v/>
      </c>
      <c r="G13" s="13" t="n"/>
      <c r="H13" s="13" t="n"/>
      <c r="I13" s="13" t="inlineStr">
        <is>
          <t>付章凡预支工资</t>
        </is>
      </c>
      <c r="J13" s="14" t="n"/>
      <c r="K13" s="14" t="n">
        <v>1000</v>
      </c>
      <c r="L13" s="19">
        <f>IF($C13="","",ROUND(IFERROR(VLOOKUP($C13,账户期初,2,0),0)+SUMIFS($J$4:J13,$C$4:C13,$C13)-SUMIFS($K$4:K13,$C$4:C13,$C13),2))</f>
        <v/>
      </c>
      <c r="M13" s="19">
        <f>IF($C13="","",ROUND(SUM(基础资料!$B$4:$B$13)+SUM($J$4:J13)-SUM($K$4:K13),2))</f>
        <v/>
      </c>
      <c r="N13" s="13" t="n"/>
      <c r="O13" s="13" t="n"/>
      <c r="P13" s="17">
        <f>IF($B13="","",IF($F13="※类别不在基础资料里","※费用类别不在基础资料里",IF(AND(N($J13)=0,N($K13)=0),"※这行没填金额",IF(AND(N($J13)&gt;0,N($K13)&gt;0),"※收入和支出不能同一行都填",IF(AND($D13="收入",N($J13)=0),"※收入行要填收入金额",IF(AND($D13="支出",N($K13)=0),"※支出行要填支出金额",IF(AND($C13&lt;&gt;"",ISNA(MATCH($C13,账户表,0))),"※账户不在基础资料里",IF(AND($G13&lt;&gt;"",ISNA(MATCH($G13,项目名表,0))),"※项目不在项目台账里",IF(AND(LEFT($F13,3)="成本-",$G13=""),"※成本类支出没填项目",IF(AND(LEFT($F13,3)="成本-",$H13&lt;&gt;"",N($K13)&gt;0,COUNTIFS(采购单!$B:$B,$B13,采购单!$C:$C,$H13,采购单!$L:$L,$K13)&gt;0),"※这笔可能和采购单重复了",""))))))))))</f>
        <v/>
      </c>
    </row>
    <row r="14">
      <c r="A14" s="17">
        <f>IF($B14="","",ROW()-3)</f>
        <v/>
      </c>
      <c r="B14" s="18" t="n">
        <v>46084</v>
      </c>
      <c r="C14" s="13" t="inlineStr">
        <is>
          <t>微信1</t>
        </is>
      </c>
      <c r="D14" s="13" t="inlineStr">
        <is>
          <t>支出</t>
        </is>
      </c>
      <c r="E14" s="13" t="inlineStr">
        <is>
          <t>运费/快递费</t>
        </is>
      </c>
      <c r="F14" s="17">
        <f>IF($E14="","",IFERROR(VLOOKUP($E14,类别归属,2,0),"※类别不在基础资料里"))</f>
        <v/>
      </c>
      <c r="G14" s="13" t="inlineStr">
        <is>
          <t>万达kvv</t>
        </is>
      </c>
      <c r="H14" s="13" t="inlineStr">
        <is>
          <t>炳秀</t>
        </is>
      </c>
      <c r="I14" s="13" t="inlineStr">
        <is>
          <t>付炳秀配送</t>
        </is>
      </c>
      <c r="J14" s="14" t="n"/>
      <c r="K14" s="14" t="n">
        <v>10</v>
      </c>
      <c r="L14" s="19">
        <f>IF($C14="","",ROUND(IFERROR(VLOOKUP($C14,账户期初,2,0),0)+SUMIFS($J$4:J14,$C$4:C14,$C14)-SUMIFS($K$4:K14,$C$4:C14,$C14),2))</f>
        <v/>
      </c>
      <c r="M14" s="19">
        <f>IF($C14="","",ROUND(SUM(基础资料!$B$4:$B$13)+SUM($J$4:J14)-SUM($K$4:K14),2))</f>
        <v/>
      </c>
      <c r="N14" s="13" t="n"/>
      <c r="O14" s="13" t="inlineStr">
        <is>
          <t>95</t>
        </is>
      </c>
      <c r="P14" s="17">
        <f>IF($B14="","",IF($F14="※类别不在基础资料里","※费用类别不在基础资料里",IF(AND(N($J14)=0,N($K14)=0),"※这行没填金额",IF(AND(N($J14)&gt;0,N($K14)&gt;0),"※收入和支出不能同一行都填",IF(AND($D14="收入",N($J14)=0),"※收入行要填收入金额",IF(AND($D14="支出",N($K14)=0),"※支出行要填支出金额",IF(AND($C14&lt;&gt;"",ISNA(MATCH($C14,账户表,0))),"※账户不在基础资料里",IF(AND($G14&lt;&gt;"",ISNA(MATCH($G14,项目名表,0))),"※项目不在项目台账里",IF(AND(LEFT($F14,3)="成本-",$G14=""),"※成本类支出没填项目",IF(AND(LEFT($F14,3)="成本-",$H14&lt;&gt;"",N($K14)&gt;0,COUNTIFS(采购单!$B:$B,$B14,采购单!$C:$C,$H14,采购单!$L:$L,$K14)&gt;0),"※这笔可能和采购单重复了",""))))))))))</f>
        <v/>
      </c>
    </row>
    <row r="15">
      <c r="A15" s="17">
        <f>IF($B15="","",ROW()-3)</f>
        <v/>
      </c>
      <c r="B15" s="18" t="n">
        <v>46084</v>
      </c>
      <c r="C15" s="13" t="inlineStr">
        <is>
          <t>微信1</t>
        </is>
      </c>
      <c r="D15" s="13" t="inlineStr">
        <is>
          <t>支出</t>
        </is>
      </c>
      <c r="E15" s="13" t="inlineStr">
        <is>
          <t>运费/快递费</t>
        </is>
      </c>
      <c r="F15" s="17">
        <f>IF($E15="","",IFERROR(VLOOKUP($E15,类别归属,2,0),"※类别不在基础资料里"))</f>
        <v/>
      </c>
      <c r="G15" s="13" t="inlineStr">
        <is>
          <t>万达kvv</t>
        </is>
      </c>
      <c r="H15" s="13" t="inlineStr">
        <is>
          <t>炳秀</t>
        </is>
      </c>
      <c r="I15" s="13" t="inlineStr">
        <is>
          <t>付炳秀配送</t>
        </is>
      </c>
      <c r="J15" s="14" t="n"/>
      <c r="K15" s="14" t="n">
        <v>5</v>
      </c>
      <c r="L15" s="19">
        <f>IF($C15="","",ROUND(IFERROR(VLOOKUP($C15,账户期初,2,0),0)+SUMIFS($J$4:J15,$C$4:C15,$C15)-SUMIFS($K$4:K15,$C$4:C15,$C15),2))</f>
        <v/>
      </c>
      <c r="M15" s="19">
        <f>IF($C15="","",ROUND(SUM(基础资料!$B$4:$B$13)+SUM($J$4:J15)-SUM($K$4:K15),2))</f>
        <v/>
      </c>
      <c r="N15" s="13" t="n"/>
      <c r="O15" s="13" t="n"/>
      <c r="P15" s="17">
        <f>IF($B15="","",IF($F15="※类别不在基础资料里","※费用类别不在基础资料里",IF(AND(N($J15)=0,N($K15)=0),"※这行没填金额",IF(AND(N($J15)&gt;0,N($K15)&gt;0),"※收入和支出不能同一行都填",IF(AND($D15="收入",N($J15)=0),"※收入行要填收入金额",IF(AND($D15="支出",N($K15)=0),"※支出行要填支出金额",IF(AND($C15&lt;&gt;"",ISNA(MATCH($C15,账户表,0))),"※账户不在基础资料里",IF(AND($G15&lt;&gt;"",ISNA(MATCH($G15,项目名表,0))),"※项目不在项目台账里",IF(AND(LEFT($F15,3)="成本-",$G15=""),"※成本类支出没填项目",IF(AND(LEFT($F15,3)="成本-",$H15&lt;&gt;"",N($K15)&gt;0,COUNTIFS(采购单!$B:$B,$B15,采购单!$C:$C,$H15,采购单!$L:$L,$K15)&gt;0),"※这笔可能和采购单重复了",""))))))))))</f>
        <v/>
      </c>
    </row>
    <row r="16">
      <c r="A16" s="17">
        <f>IF($B16="","",ROW()-3)</f>
        <v/>
      </c>
      <c r="B16" s="18" t="n">
        <v>46084</v>
      </c>
      <c r="C16" s="13" t="inlineStr">
        <is>
          <t>微信1</t>
        </is>
      </c>
      <c r="D16" s="13" t="inlineStr">
        <is>
          <t>支出</t>
        </is>
      </c>
      <c r="E16" s="13" t="inlineStr">
        <is>
          <t>运费/快递费</t>
        </is>
      </c>
      <c r="F16" s="17">
        <f>IF($E16="","",IFERROR(VLOOKUP($E16,类别归属,2,0),"※类别不在基础资料里"))</f>
        <v/>
      </c>
      <c r="G16" s="13" t="inlineStr">
        <is>
          <t>织里店</t>
        </is>
      </c>
      <c r="H16" s="13" t="inlineStr">
        <is>
          <t>炳秀</t>
        </is>
      </c>
      <c r="I16" s="13" t="inlineStr">
        <is>
          <t>付炳秀配送</t>
        </is>
      </c>
      <c r="J16" s="14" t="n"/>
      <c r="K16" s="14" t="n">
        <v>80</v>
      </c>
      <c r="L16" s="19">
        <f>IF($C16="","",ROUND(IFERROR(VLOOKUP($C16,账户期初,2,0),0)+SUMIFS($J$4:J16,$C$4:C16,$C16)-SUMIFS($K$4:K16,$C$4:C16,$C16),2))</f>
        <v/>
      </c>
      <c r="M16" s="19">
        <f>IF($C16="","",ROUND(SUM(基础资料!$B$4:$B$13)+SUM($J$4:J16)-SUM($K$4:K16),2))</f>
        <v/>
      </c>
      <c r="N16" s="13" t="n"/>
      <c r="O16" s="13" t="n"/>
      <c r="P16" s="17">
        <f>IF($B16="","",IF($F16="※类别不在基础资料里","※费用类别不在基础资料里",IF(AND(N($J16)=0,N($K16)=0),"※这行没填金额",IF(AND(N($J16)&gt;0,N($K16)&gt;0),"※收入和支出不能同一行都填",IF(AND($D16="收入",N($J16)=0),"※收入行要填收入金额",IF(AND($D16="支出",N($K16)=0),"※支出行要填支出金额",IF(AND($C16&lt;&gt;"",ISNA(MATCH($C16,账户表,0))),"※账户不在基础资料里",IF(AND($G16&lt;&gt;"",ISNA(MATCH($G16,项目名表,0))),"※项目不在项目台账里",IF(AND(LEFT($F16,3)="成本-",$G16=""),"※成本类支出没填项目",IF(AND(LEFT($F16,3)="成本-",$H16&lt;&gt;"",N($K16)&gt;0,COUNTIFS(采购单!$B:$B,$B16,采购单!$C:$C,$H16,采购单!$L:$L,$K16)&gt;0),"※这笔可能和采购单重复了",""))))))))))</f>
        <v/>
      </c>
    </row>
    <row r="17">
      <c r="A17" s="17">
        <f>IF($B17="","",ROW()-3)</f>
        <v/>
      </c>
      <c r="B17" s="18" t="n">
        <v>46084</v>
      </c>
      <c r="C17" s="13" t="inlineStr">
        <is>
          <t>微信1</t>
        </is>
      </c>
      <c r="D17" s="13" t="inlineStr">
        <is>
          <t>收入</t>
        </is>
      </c>
      <c r="E17" s="13" t="inlineStr">
        <is>
          <t>项目收款</t>
        </is>
      </c>
      <c r="F17" s="17">
        <f>IF($E17="","",IFERROR(VLOOKUP($E17,类别归属,2,0),"※类别不在基础资料里"))</f>
        <v/>
      </c>
      <c r="G17" s="13" t="inlineStr">
        <is>
          <t>高恒荣熟食店</t>
        </is>
      </c>
      <c r="H17" s="13" t="n"/>
      <c r="I17" s="13" t="inlineStr">
        <is>
          <t>收木森装饰公司-波</t>
        </is>
      </c>
      <c r="J17" s="14" t="n">
        <v>8000</v>
      </c>
      <c r="K17" s="14" t="n"/>
      <c r="L17" s="19">
        <f>IF($C17="","",ROUND(IFERROR(VLOOKUP($C17,账户期初,2,0),0)+SUMIFS($J$4:J17,$C$4:C17,$C17)-SUMIFS($K$4:K17,$C$4:C17,$C17),2))</f>
        <v/>
      </c>
      <c r="M17" s="19">
        <f>IF($C17="","",ROUND(SUM(基础资料!$B$4:$B$13)+SUM($J$4:J17)-SUM($K$4:K17),2))</f>
        <v/>
      </c>
      <c r="N17" s="13" t="n"/>
      <c r="O17" s="13" t="n"/>
      <c r="P17" s="17">
        <f>IF($B17="","",IF($F17="※类别不在基础资料里","※费用类别不在基础资料里",IF(AND(N($J17)=0,N($K17)=0),"※这行没填金额",IF(AND(N($J17)&gt;0,N($K17)&gt;0),"※收入和支出不能同一行都填",IF(AND($D17="收入",N($J17)=0),"※收入行要填收入金额",IF(AND($D17="支出",N($K17)=0),"※支出行要填支出金额",IF(AND($C17&lt;&gt;"",ISNA(MATCH($C17,账户表,0))),"※账户不在基础资料里",IF(AND($G17&lt;&gt;"",ISNA(MATCH($G17,项目名表,0))),"※项目不在项目台账里",IF(AND(LEFT($F17,3)="成本-",$G17=""),"※成本类支出没填项目",IF(AND(LEFT($F17,3)="成本-",$H17&lt;&gt;"",N($K17)&gt;0,COUNTIFS(采购单!$B:$B,$B17,采购单!$C:$C,$H17,采购单!$L:$L,$K17)&gt;0),"※这笔可能和采购单重复了",""))))))))))</f>
        <v/>
      </c>
    </row>
    <row r="18">
      <c r="A18" s="17">
        <f>IF($B18="","",ROW()-3)</f>
        <v/>
      </c>
      <c r="B18" s="18" t="n">
        <v>46084</v>
      </c>
      <c r="C18" s="13" t="inlineStr">
        <is>
          <t>微信1</t>
        </is>
      </c>
      <c r="D18" s="13" t="inlineStr">
        <is>
          <t>支出</t>
        </is>
      </c>
      <c r="E18" s="13" t="inlineStr">
        <is>
          <t>借出款</t>
        </is>
      </c>
      <c r="F18" s="17">
        <f>IF($E18="","",IFERROR(VLOOKUP($E18,类别归属,2,0),"※类别不在基础资料里"))</f>
        <v/>
      </c>
      <c r="G18" s="13" t="n"/>
      <c r="H18" s="13" t="inlineStr">
        <is>
          <t>往来款</t>
        </is>
      </c>
      <c r="I18" s="13" t="inlineStr">
        <is>
          <t>付给付久华(3.6退2000+付1000买方管）</t>
        </is>
      </c>
      <c r="J18" s="14" t="n"/>
      <c r="K18" s="14" t="n">
        <v>3000</v>
      </c>
      <c r="L18" s="19">
        <f>IF($C18="","",ROUND(IFERROR(VLOOKUP($C18,账户期初,2,0),0)+SUMIFS($J$4:J18,$C$4:C18,$C18)-SUMIFS($K$4:K18,$C$4:C18,$C18),2))</f>
        <v/>
      </c>
      <c r="M18" s="19">
        <f>IF($C18="","",ROUND(SUM(基础资料!$B$4:$B$13)+SUM($J$4:J18)-SUM($K$4:K18),2))</f>
        <v/>
      </c>
      <c r="N18" s="13" t="n"/>
      <c r="O18" s="13" t="n"/>
      <c r="P18" s="17">
        <f>IF($B18="","",IF($F18="※类别不在基础资料里","※费用类别不在基础资料里",IF(AND(N($J18)=0,N($K18)=0),"※这行没填金额",IF(AND(N($J18)&gt;0,N($K18)&gt;0),"※收入和支出不能同一行都填",IF(AND($D18="收入",N($J18)=0),"※收入行要填收入金额",IF(AND($D18="支出",N($K18)=0),"※支出行要填支出金额",IF(AND($C18&lt;&gt;"",ISNA(MATCH($C18,账户表,0))),"※账户不在基础资料里",IF(AND($G18&lt;&gt;"",ISNA(MATCH($G18,项目名表,0))),"※项目不在项目台账里",IF(AND(LEFT($F18,3)="成本-",$G18=""),"※成本类支出没填项目",IF(AND(LEFT($F18,3)="成本-",$H18&lt;&gt;"",N($K18)&gt;0,COUNTIFS(采购单!$B:$B,$B18,采购单!$C:$C,$H18,采购单!$L:$L,$K18)&gt;0),"※这笔可能和采购单重复了",""))))))))))</f>
        <v/>
      </c>
    </row>
    <row r="19">
      <c r="A19" s="17">
        <f>IF($B19="","",ROW()-3)</f>
        <v/>
      </c>
      <c r="B19" s="18" t="n">
        <v>46084</v>
      </c>
      <c r="C19" s="13" t="inlineStr">
        <is>
          <t>微信1</t>
        </is>
      </c>
      <c r="D19" s="13" t="inlineStr">
        <is>
          <t>支出</t>
        </is>
      </c>
      <c r="E19" s="13" t="inlineStr">
        <is>
          <t>团建费</t>
        </is>
      </c>
      <c r="F19" s="17">
        <f>IF($E19="","",IFERROR(VLOOKUP($E19,类别归属,2,0),"※类别不在基础资料里"))</f>
        <v/>
      </c>
      <c r="G19" s="13" t="n"/>
      <c r="H19" s="13" t="n"/>
      <c r="I19" s="13" t="inlineStr">
        <is>
          <t>付团建费</t>
        </is>
      </c>
      <c r="J19" s="14" t="n"/>
      <c r="K19" s="14" t="n">
        <v>376</v>
      </c>
      <c r="L19" s="19">
        <f>IF($C19="","",ROUND(IFERROR(VLOOKUP($C19,账户期初,2,0),0)+SUMIFS($J$4:J19,$C$4:C19,$C19)-SUMIFS($K$4:K19,$C$4:C19,$C19),2))</f>
        <v/>
      </c>
      <c r="M19" s="19">
        <f>IF($C19="","",ROUND(SUM(基础资料!$B$4:$B$13)+SUM($J$4:J19)-SUM($K$4:K19),2))</f>
        <v/>
      </c>
      <c r="N19" s="13" t="n"/>
      <c r="O19" s="13" t="n"/>
      <c r="P19" s="17">
        <f>IF($B19="","",IF($F19="※类别不在基础资料里","※费用类别不在基础资料里",IF(AND(N($J19)=0,N($K19)=0),"※这行没填金额",IF(AND(N($J19)&gt;0,N($K19)&gt;0),"※收入和支出不能同一行都填",IF(AND($D19="收入",N($J19)=0),"※收入行要填收入金额",IF(AND($D19="支出",N($K19)=0),"※支出行要填支出金额",IF(AND($C19&lt;&gt;"",ISNA(MATCH($C19,账户表,0))),"※账户不在基础资料里",IF(AND($G19&lt;&gt;"",ISNA(MATCH($G19,项目名表,0))),"※项目不在项目台账里",IF(AND(LEFT($F19,3)="成本-",$G19=""),"※成本类支出没填项目",IF(AND(LEFT($F19,3)="成本-",$H19&lt;&gt;"",N($K19)&gt;0,COUNTIFS(采购单!$B:$B,$B19,采购单!$C:$C,$H19,采购单!$L:$L,$K19)&gt;0),"※这笔可能和采购单重复了",""))))))))))</f>
        <v/>
      </c>
    </row>
    <row r="20">
      <c r="A20" s="17">
        <f>IF($B20="","",ROW()-3)</f>
        <v/>
      </c>
      <c r="B20" s="18" t="n">
        <v>46084</v>
      </c>
      <c r="C20" s="13" t="inlineStr">
        <is>
          <t>微信1</t>
        </is>
      </c>
      <c r="D20" s="13" t="inlineStr">
        <is>
          <t>支出</t>
        </is>
      </c>
      <c r="E20" s="13" t="inlineStr">
        <is>
          <t>团建费</t>
        </is>
      </c>
      <c r="F20" s="17">
        <f>IF($E20="","",IFERROR(VLOOKUP($E20,类别归属,2,0),"※类别不在基础资料里"))</f>
        <v/>
      </c>
      <c r="G20" s="13" t="n"/>
      <c r="H20" s="13" t="n"/>
      <c r="I20" s="13" t="inlineStr">
        <is>
          <t>付冠鸿餐饮团建-押金（已收回）</t>
        </is>
      </c>
      <c r="J20" s="14" t="n">
        <v>50</v>
      </c>
      <c r="K20" s="14" t="n">
        <v>50</v>
      </c>
      <c r="L20" s="19">
        <f>IF($C20="","",ROUND(IFERROR(VLOOKUP($C20,账户期初,2,0),0)+SUMIFS($J$4:J20,$C$4:C20,$C20)-SUMIFS($K$4:K20,$C$4:C20,$C20),2))</f>
        <v/>
      </c>
      <c r="M20" s="19">
        <f>IF($C20="","",ROUND(SUM(基础资料!$B$4:$B$13)+SUM($J$4:J20)-SUM($K$4:K20),2))</f>
        <v/>
      </c>
      <c r="N20" s="13" t="n"/>
      <c r="O20" s="13" t="n"/>
      <c r="P20" s="17">
        <f>IF($B20="","",IF($F20="※类别不在基础资料里","※费用类别不在基础资料里",IF(AND(N($J20)=0,N($K20)=0),"※这行没填金额",IF(AND(N($J20)&gt;0,N($K20)&gt;0),"※收入和支出不能同一行都填",IF(AND($D20="收入",N($J20)=0),"※收入行要填收入金额",IF(AND($D20="支出",N($K20)=0),"※支出行要填支出金额",IF(AND($C20&lt;&gt;"",ISNA(MATCH($C20,账户表,0))),"※账户不在基础资料里",IF(AND($G20&lt;&gt;"",ISNA(MATCH($G20,项目名表,0))),"※项目不在项目台账里",IF(AND(LEFT($F20,3)="成本-",$G20=""),"※成本类支出没填项目",IF(AND(LEFT($F20,3)="成本-",$H20&lt;&gt;"",N($K20)&gt;0,COUNTIFS(采购单!$B:$B,$B20,采购单!$C:$C,$H20,采购单!$L:$L,$K20)&gt;0),"※这笔可能和采购单重复了",""))))))))))</f>
        <v/>
      </c>
    </row>
    <row r="21">
      <c r="A21" s="17">
        <f>IF($B21="","",ROW()-3)</f>
        <v/>
      </c>
      <c r="B21" s="18" t="n">
        <v>46085</v>
      </c>
      <c r="C21" s="13" t="inlineStr">
        <is>
          <t>微信1</t>
        </is>
      </c>
      <c r="D21" s="13" t="inlineStr">
        <is>
          <t>支出</t>
        </is>
      </c>
      <c r="E21" s="13" t="inlineStr">
        <is>
          <t>主材采购</t>
        </is>
      </c>
      <c r="F21" s="17">
        <f>IF($E21="","",IFERROR(VLOOKUP($E21,类别归属,2,0),"※类别不在基础资料里"))</f>
        <v/>
      </c>
      <c r="G21" s="13" t="inlineStr">
        <is>
          <t>高恒荣熟食店</t>
        </is>
      </c>
      <c r="H21" s="13" t="n"/>
      <c r="I21" s="13" t="inlineStr">
        <is>
          <t>付采购长城板-杭州丽彩（常俊山）</t>
        </is>
      </c>
      <c r="J21" s="14" t="n"/>
      <c r="K21" s="14" t="n">
        <v>725</v>
      </c>
      <c r="L21" s="19">
        <f>IF($C21="","",ROUND(IFERROR(VLOOKUP($C21,账户期初,2,0),0)+SUMIFS($J$4:J21,$C$4:C21,$C21)-SUMIFS($K$4:K21,$C$4:C21,$C21),2))</f>
        <v/>
      </c>
      <c r="M21" s="19">
        <f>IF($C21="","",ROUND(SUM(基础资料!$B$4:$B$13)+SUM($J$4:J21)-SUM($K$4:K21),2))</f>
        <v/>
      </c>
      <c r="N21" s="13" t="n"/>
      <c r="O21" s="13" t="n"/>
      <c r="P21" s="17">
        <f>IF($B21="","",IF($F21="※类别不在基础资料里","※费用类别不在基础资料里",IF(AND(N($J21)=0,N($K21)=0),"※这行没填金额",IF(AND(N($J21)&gt;0,N($K21)&gt;0),"※收入和支出不能同一行都填",IF(AND($D21="收入",N($J21)=0),"※收入行要填收入金额",IF(AND($D21="支出",N($K21)=0),"※支出行要填支出金额",IF(AND($C21&lt;&gt;"",ISNA(MATCH($C21,账户表,0))),"※账户不在基础资料里",IF(AND($G21&lt;&gt;"",ISNA(MATCH($G21,项目名表,0))),"※项目不在项目台账里",IF(AND(LEFT($F21,3)="成本-",$G21=""),"※成本类支出没填项目",IF(AND(LEFT($F21,3)="成本-",$H21&lt;&gt;"",N($K21)&gt;0,COUNTIFS(采购单!$B:$B,$B21,采购单!$C:$C,$H21,采购单!$L:$L,$K21)&gt;0),"※这笔可能和采购单重复了",""))))))))))</f>
        <v/>
      </c>
    </row>
    <row r="22">
      <c r="A22" s="17">
        <f>IF($B22="","",ROW()-3)</f>
        <v/>
      </c>
      <c r="B22" s="18" t="n">
        <v>46085</v>
      </c>
      <c r="C22" s="13" t="inlineStr">
        <is>
          <t>微信1</t>
        </is>
      </c>
      <c r="D22" s="13" t="inlineStr">
        <is>
          <t>支出</t>
        </is>
      </c>
      <c r="E22" s="13" t="inlineStr">
        <is>
          <t>运费/快递费</t>
        </is>
      </c>
      <c r="F22" s="17">
        <f>IF($E22="","",IFERROR(VLOOKUP($E22,类别归属,2,0),"※类别不在基础资料里"))</f>
        <v/>
      </c>
      <c r="G22" s="13" t="inlineStr">
        <is>
          <t>织里店</t>
        </is>
      </c>
      <c r="H22" s="13" t="inlineStr">
        <is>
          <t>炳秀</t>
        </is>
      </c>
      <c r="I22" s="13" t="inlineStr">
        <is>
          <t>付炳秀配送</t>
        </is>
      </c>
      <c r="J22" s="14" t="n"/>
      <c r="K22" s="14" t="n">
        <v>55</v>
      </c>
      <c r="L22" s="19">
        <f>IF($C22="","",ROUND(IFERROR(VLOOKUP($C22,账户期初,2,0),0)+SUMIFS($J$4:J22,$C$4:C22,$C22)-SUMIFS($K$4:K22,$C$4:C22,$C22),2))</f>
        <v/>
      </c>
      <c r="M22" s="19">
        <f>IF($C22="","",ROUND(SUM(基础资料!$B$4:$B$13)+SUM($J$4:J22)-SUM($K$4:K22),2))</f>
        <v/>
      </c>
      <c r="N22" s="13" t="n"/>
      <c r="O22" s="13" t="n"/>
      <c r="P22" s="17">
        <f>IF($B22="","",IF($F22="※类别不在基础资料里","※费用类别不在基础资料里",IF(AND(N($J22)=0,N($K22)=0),"※这行没填金额",IF(AND(N($J22)&gt;0,N($K22)&gt;0),"※收入和支出不能同一行都填",IF(AND($D22="收入",N($J22)=0),"※收入行要填收入金额",IF(AND($D22="支出",N($K22)=0),"※支出行要填支出金额",IF(AND($C22&lt;&gt;"",ISNA(MATCH($C22,账户表,0))),"※账户不在基础资料里",IF(AND($G22&lt;&gt;"",ISNA(MATCH($G22,项目名表,0))),"※项目不在项目台账里",IF(AND(LEFT($F22,3)="成本-",$G22=""),"※成本类支出没填项目",IF(AND(LEFT($F22,3)="成本-",$H22&lt;&gt;"",N($K22)&gt;0,COUNTIFS(采购单!$B:$B,$B22,采购单!$C:$C,$H22,采购单!$L:$L,$K22)&gt;0),"※这笔可能和采购单重复了",""))))))))))</f>
        <v/>
      </c>
    </row>
    <row r="23">
      <c r="A23" s="17">
        <f>IF($B23="","",ROW()-3)</f>
        <v/>
      </c>
      <c r="B23" s="18" t="n">
        <v>46085</v>
      </c>
      <c r="C23" s="13" t="inlineStr">
        <is>
          <t>微信1</t>
        </is>
      </c>
      <c r="D23" s="13" t="inlineStr">
        <is>
          <t>支出</t>
        </is>
      </c>
      <c r="E23" s="13" t="inlineStr">
        <is>
          <t>运费/快递费</t>
        </is>
      </c>
      <c r="F23" s="17">
        <f>IF($E23="","",IFERROR(VLOOKUP($E23,类别归属,2,0),"※类别不在基础资料里"))</f>
        <v/>
      </c>
      <c r="G23" s="13" t="inlineStr">
        <is>
          <t>卓越桌球</t>
        </is>
      </c>
      <c r="H23" s="13" t="inlineStr">
        <is>
          <t>炳秀</t>
        </is>
      </c>
      <c r="I23" s="13" t="inlineStr">
        <is>
          <t>付炳秀配送</t>
        </is>
      </c>
      <c r="J23" s="14" t="n"/>
      <c r="K23" s="14" t="n">
        <v>17</v>
      </c>
      <c r="L23" s="19">
        <f>IF($C23="","",ROUND(IFERROR(VLOOKUP($C23,账户期初,2,0),0)+SUMIFS($J$4:J23,$C$4:C23,$C23)-SUMIFS($K$4:K23,$C$4:C23,$C23),2))</f>
        <v/>
      </c>
      <c r="M23" s="19">
        <f>IF($C23="","",ROUND(SUM(基础资料!$B$4:$B$13)+SUM($J$4:J23)-SUM($K$4:K23),2))</f>
        <v/>
      </c>
      <c r="N23" s="13" t="n"/>
      <c r="O23" s="13" t="n"/>
      <c r="P23" s="17">
        <f>IF($B23="","",IF($F23="※类别不在基础资料里","※费用类别不在基础资料里",IF(AND(N($J23)=0,N($K23)=0),"※这行没填金额",IF(AND(N($J23)&gt;0,N($K23)&gt;0),"※收入和支出不能同一行都填",IF(AND($D23="收入",N($J23)=0),"※收入行要填收入金额",IF(AND($D23="支出",N($K23)=0),"※支出行要填支出金额",IF(AND($C23&lt;&gt;"",ISNA(MATCH($C23,账户表,0))),"※账户不在基础资料里",IF(AND($G23&lt;&gt;"",ISNA(MATCH($G23,项目名表,0))),"※项目不在项目台账里",IF(AND(LEFT($F23,3)="成本-",$G23=""),"※成本类支出没填项目",IF(AND(LEFT($F23,3)="成本-",$H23&lt;&gt;"",N($K23)&gt;0,COUNTIFS(采购单!$B:$B,$B23,采购单!$C:$C,$H23,采购单!$L:$L,$K23)&gt;0),"※这笔可能和采购单重复了",""))))))))))</f>
        <v/>
      </c>
    </row>
    <row r="24">
      <c r="A24" s="17">
        <f>IF($B24="","",ROW()-3)</f>
        <v/>
      </c>
      <c r="B24" s="18" t="n">
        <v>46085</v>
      </c>
      <c r="C24" s="13" t="inlineStr">
        <is>
          <t>微信1</t>
        </is>
      </c>
      <c r="D24" s="13" t="inlineStr">
        <is>
          <t>支出</t>
        </is>
      </c>
      <c r="E24" s="13" t="inlineStr">
        <is>
          <t>运费/快递费</t>
        </is>
      </c>
      <c r="F24" s="17">
        <f>IF($E24="","",IFERROR(VLOOKUP($E24,类别归属,2,0),"※类别不在基础资料里"))</f>
        <v/>
      </c>
      <c r="G24" s="13" t="inlineStr">
        <is>
          <t>东尼电子</t>
        </is>
      </c>
      <c r="H24" s="13" t="inlineStr">
        <is>
          <t>炳秀</t>
        </is>
      </c>
      <c r="I24" s="13" t="inlineStr">
        <is>
          <t>付炳秀配送</t>
        </is>
      </c>
      <c r="J24" s="14" t="n"/>
      <c r="K24" s="14" t="n">
        <v>39</v>
      </c>
      <c r="L24" s="19">
        <f>IF($C24="","",ROUND(IFERROR(VLOOKUP($C24,账户期初,2,0),0)+SUMIFS($J$4:J24,$C$4:C24,$C24)-SUMIFS($K$4:K24,$C$4:C24,$C24),2))</f>
        <v/>
      </c>
      <c r="M24" s="19">
        <f>IF($C24="","",ROUND(SUM(基础资料!$B$4:$B$13)+SUM($J$4:J24)-SUM($K$4:K24),2))</f>
        <v/>
      </c>
      <c r="N24" s="13" t="n"/>
      <c r="O24" s="13" t="n"/>
      <c r="P24" s="17">
        <f>IF($B24="","",IF($F24="※类别不在基础资料里","※费用类别不在基础资料里",IF(AND(N($J24)=0,N($K24)=0),"※这行没填金额",IF(AND(N($J24)&gt;0,N($K24)&gt;0),"※收入和支出不能同一行都填",IF(AND($D24="收入",N($J24)=0),"※收入行要填收入金额",IF(AND($D24="支出",N($K24)=0),"※支出行要填支出金额",IF(AND($C24&lt;&gt;"",ISNA(MATCH($C24,账户表,0))),"※账户不在基础资料里",IF(AND($G24&lt;&gt;"",ISNA(MATCH($G24,项目名表,0))),"※项目不在项目台账里",IF(AND(LEFT($F24,3)="成本-",$G24=""),"※成本类支出没填项目",IF(AND(LEFT($F24,3)="成本-",$H24&lt;&gt;"",N($K24)&gt;0,COUNTIFS(采购单!$B:$B,$B24,采购单!$C:$C,$H24,采购单!$L:$L,$K24)&gt;0),"※这笔可能和采购单重复了",""))))))))))</f>
        <v/>
      </c>
    </row>
    <row r="25">
      <c r="A25" s="17">
        <f>IF($B25="","",ROW()-3)</f>
        <v/>
      </c>
      <c r="B25" s="18" t="n">
        <v>46085</v>
      </c>
      <c r="C25" s="13" t="inlineStr">
        <is>
          <t>微信1</t>
        </is>
      </c>
      <c r="D25" s="13" t="inlineStr">
        <is>
          <t>支出</t>
        </is>
      </c>
      <c r="E25" s="13" t="inlineStr">
        <is>
          <t>其他管理费用</t>
        </is>
      </c>
      <c r="F25" s="17">
        <f>IF($E25="","",IFERROR(VLOOKUP($E25,类别归属,2,0),"※类别不在基础资料里"))</f>
        <v/>
      </c>
      <c r="G25" s="13" t="n"/>
      <c r="H25" s="13" t="n"/>
      <c r="I25" s="13" t="inlineStr">
        <is>
          <t>付杨德报销费用</t>
        </is>
      </c>
      <c r="J25" s="14" t="n"/>
      <c r="K25" s="14" t="n">
        <v>1216</v>
      </c>
      <c r="L25" s="19">
        <f>IF($C25="","",ROUND(IFERROR(VLOOKUP($C25,账户期初,2,0),0)+SUMIFS($J$4:J25,$C$4:C25,$C25)-SUMIFS($K$4:K25,$C$4:C25,$C25),2))</f>
        <v/>
      </c>
      <c r="M25" s="19">
        <f>IF($C25="","",ROUND(SUM(基础资料!$B$4:$B$13)+SUM($J$4:J25)-SUM($K$4:K25),2))</f>
        <v/>
      </c>
      <c r="N25" s="13" t="n"/>
      <c r="O25" s="13" t="n"/>
      <c r="P25" s="17">
        <f>IF($B25="","",IF($F25="※类别不在基础资料里","※费用类别不在基础资料里",IF(AND(N($J25)=0,N($K25)=0),"※这行没填金额",IF(AND(N($J25)&gt;0,N($K25)&gt;0),"※收入和支出不能同一行都填",IF(AND($D25="收入",N($J25)=0),"※收入行要填收入金额",IF(AND($D25="支出",N($K25)=0),"※支出行要填支出金额",IF(AND($C25&lt;&gt;"",ISNA(MATCH($C25,账户表,0))),"※账户不在基础资料里",IF(AND($G25&lt;&gt;"",ISNA(MATCH($G25,项目名表,0))),"※项目不在项目台账里",IF(AND(LEFT($F25,3)="成本-",$G25=""),"※成本类支出没填项目",IF(AND(LEFT($F25,3)="成本-",$H25&lt;&gt;"",N($K25)&gt;0,COUNTIFS(采购单!$B:$B,$B25,采购单!$C:$C,$H25,采购单!$L:$L,$K25)&gt;0),"※这笔可能和采购单重复了",""))))))))))</f>
        <v/>
      </c>
    </row>
    <row r="26">
      <c r="A26" s="17">
        <f>IF($B26="","",ROW()-3)</f>
        <v/>
      </c>
      <c r="B26" s="18" t="n">
        <v>46086</v>
      </c>
      <c r="C26" s="13" t="inlineStr">
        <is>
          <t>微信1</t>
        </is>
      </c>
      <c r="D26" s="13" t="inlineStr">
        <is>
          <t>支出</t>
        </is>
      </c>
      <c r="E26" s="13" t="inlineStr">
        <is>
          <t>主材采购</t>
        </is>
      </c>
      <c r="F26" s="17">
        <f>IF($E26="","",IFERROR(VLOOKUP($E26,类别归属,2,0),"※类别不在基础资料里"))</f>
        <v/>
      </c>
      <c r="G26" s="13" t="n"/>
      <c r="H26" s="13" t="n"/>
      <c r="I26" s="13" t="inlineStr">
        <is>
          <t>付杭州杜邦纸-软膜</t>
        </is>
      </c>
      <c r="J26" s="14" t="n"/>
      <c r="K26" s="14" t="n">
        <v>520</v>
      </c>
      <c r="L26" s="19">
        <f>IF($C26="","",ROUND(IFERROR(VLOOKUP($C26,账户期初,2,0),0)+SUMIFS($J$4:J26,$C$4:C26,$C26)-SUMIFS($K$4:K26,$C$4:C26,$C26),2))</f>
        <v/>
      </c>
      <c r="M26" s="19">
        <f>IF($C26="","",ROUND(SUM(基础资料!$B$4:$B$13)+SUM($J$4:J26)-SUM($K$4:K26),2))</f>
        <v/>
      </c>
      <c r="N26" s="13" t="n"/>
      <c r="O26" s="13" t="n"/>
      <c r="P26" s="17">
        <f>IF($B26="","",IF($F26="※类别不在基础资料里","※费用类别不在基础资料里",IF(AND(N($J26)=0,N($K26)=0),"※这行没填金额",IF(AND(N($J26)&gt;0,N($K26)&gt;0),"※收入和支出不能同一行都填",IF(AND($D26="收入",N($J26)=0),"※收入行要填收入金额",IF(AND($D26="支出",N($K26)=0),"※支出行要填支出金额",IF(AND($C26&lt;&gt;"",ISNA(MATCH($C26,账户表,0))),"※账户不在基础资料里",IF(AND($G26&lt;&gt;"",ISNA(MATCH($G26,项目名表,0))),"※项目不在项目台账里",IF(AND(LEFT($F26,3)="成本-",$G26=""),"※成本类支出没填项目",IF(AND(LEFT($F26,3)="成本-",$H26&lt;&gt;"",N($K26)&gt;0,COUNTIFS(采购单!$B:$B,$B26,采购单!$C:$C,$H26,采购单!$L:$L,$K26)&gt;0),"※这笔可能和采购单重复了",""))))))))))</f>
        <v/>
      </c>
    </row>
    <row r="27">
      <c r="A27" s="17">
        <f>IF($B27="","",ROW()-3)</f>
        <v/>
      </c>
      <c r="B27" s="18" t="n">
        <v>46086</v>
      </c>
      <c r="C27" s="13" t="inlineStr">
        <is>
          <t>微信1</t>
        </is>
      </c>
      <c r="D27" s="13" t="inlineStr">
        <is>
          <t>支出</t>
        </is>
      </c>
      <c r="E27" s="13" t="inlineStr">
        <is>
          <t>主材采购</t>
        </is>
      </c>
      <c r="F27" s="17">
        <f>IF($E27="","",IFERROR(VLOOKUP($E27,类别归属,2,0),"※类别不在基础资料里"))</f>
        <v/>
      </c>
      <c r="G27" s="13" t="inlineStr">
        <is>
          <t>东尼电子</t>
        </is>
      </c>
      <c r="H27" s="13" t="n"/>
      <c r="I27" s="13" t="inlineStr">
        <is>
          <t>付采购呗彩-LED发光屏</t>
        </is>
      </c>
      <c r="J27" s="14" t="n"/>
      <c r="K27" s="14" t="n">
        <v>1580</v>
      </c>
      <c r="L27" s="19">
        <f>IF($C27="","",ROUND(IFERROR(VLOOKUP($C27,账户期初,2,0),0)+SUMIFS($J$4:J27,$C$4:C27,$C27)-SUMIFS($K$4:K27,$C$4:C27,$C27),2))</f>
        <v/>
      </c>
      <c r="M27" s="19">
        <f>IF($C27="","",ROUND(SUM(基础资料!$B$4:$B$13)+SUM($J$4:J27)-SUM($K$4:K27),2))</f>
        <v/>
      </c>
      <c r="N27" s="13" t="n"/>
      <c r="O27" s="13" t="inlineStr">
        <is>
          <t>应该是东尼的</t>
        </is>
      </c>
      <c r="P27" s="17">
        <f>IF($B27="","",IF($F27="※类别不在基础资料里","※费用类别不在基础资料里",IF(AND(N($J27)=0,N($K27)=0),"※这行没填金额",IF(AND(N($J27)&gt;0,N($K27)&gt;0),"※收入和支出不能同一行都填",IF(AND($D27="收入",N($J27)=0),"※收入行要填收入金额",IF(AND($D27="支出",N($K27)=0),"※支出行要填支出金额",IF(AND($C27&lt;&gt;"",ISNA(MATCH($C27,账户表,0))),"※账户不在基础资料里",IF(AND($G27&lt;&gt;"",ISNA(MATCH($G27,项目名表,0))),"※项目不在项目台账里",IF(AND(LEFT($F27,3)="成本-",$G27=""),"※成本类支出没填项目",IF(AND(LEFT($F27,3)="成本-",$H27&lt;&gt;"",N($K27)&gt;0,COUNTIFS(采购单!$B:$B,$B27,采购单!$C:$C,$H27,采购单!$L:$L,$K27)&gt;0),"※这笔可能和采购单重复了",""))))))))))</f>
        <v/>
      </c>
    </row>
    <row r="28">
      <c r="A28" s="17">
        <f>IF($B28="","",ROW()-3)</f>
        <v/>
      </c>
      <c r="B28" s="18" t="n">
        <v>46086</v>
      </c>
      <c r="C28" s="13" t="inlineStr">
        <is>
          <t>微信1</t>
        </is>
      </c>
      <c r="D28" s="13" t="inlineStr">
        <is>
          <t>支出</t>
        </is>
      </c>
      <c r="E28" s="13" t="inlineStr">
        <is>
          <t>运费/快递费</t>
        </is>
      </c>
      <c r="F28" s="17">
        <f>IF($E28="","",IFERROR(VLOOKUP($E28,类别归属,2,0),"※类别不在基础资料里"))</f>
        <v/>
      </c>
      <c r="G28" s="13" t="inlineStr">
        <is>
          <t>织里店</t>
        </is>
      </c>
      <c r="H28" s="13" t="inlineStr">
        <is>
          <t>炳秀</t>
        </is>
      </c>
      <c r="I28" s="13" t="inlineStr">
        <is>
          <t>付炳秀配送</t>
        </is>
      </c>
      <c r="J28" s="14" t="n"/>
      <c r="K28" s="14" t="n">
        <v>9</v>
      </c>
      <c r="L28" s="19">
        <f>IF($C28="","",ROUND(IFERROR(VLOOKUP($C28,账户期初,2,0),0)+SUMIFS($J$4:J28,$C$4:C28,$C28)-SUMIFS($K$4:K28,$C$4:C28,$C28),2))</f>
        <v/>
      </c>
      <c r="M28" s="19">
        <f>IF($C28="","",ROUND(SUM(基础资料!$B$4:$B$13)+SUM($J$4:J28)-SUM($K$4:K28),2))</f>
        <v/>
      </c>
      <c r="N28" s="13" t="n"/>
      <c r="O28" s="13" t="n"/>
      <c r="P28" s="17">
        <f>IF($B28="","",IF($F28="※类别不在基础资料里","※费用类别不在基础资料里",IF(AND(N($J28)=0,N($K28)=0),"※这行没填金额",IF(AND(N($J28)&gt;0,N($K28)&gt;0),"※收入和支出不能同一行都填",IF(AND($D28="收入",N($J28)=0),"※收入行要填收入金额",IF(AND($D28="支出",N($K28)=0),"※支出行要填支出金额",IF(AND($C28&lt;&gt;"",ISNA(MATCH($C28,账户表,0))),"※账户不在基础资料里",IF(AND($G28&lt;&gt;"",ISNA(MATCH($G28,项目名表,0))),"※项目不在项目台账里",IF(AND(LEFT($F28,3)="成本-",$G28=""),"※成本类支出没填项目",IF(AND(LEFT($F28,3)="成本-",$H28&lt;&gt;"",N($K28)&gt;0,COUNTIFS(采购单!$B:$B,$B28,采购单!$C:$C,$H28,采购单!$L:$L,$K28)&gt;0),"※这笔可能和采购单重复了",""))))))))))</f>
        <v/>
      </c>
    </row>
    <row r="29">
      <c r="A29" s="17">
        <f>IF($B29="","",ROW()-3)</f>
        <v/>
      </c>
      <c r="B29" s="18" t="n">
        <v>46086</v>
      </c>
      <c r="C29" s="13" t="inlineStr">
        <is>
          <t>微信1</t>
        </is>
      </c>
      <c r="D29" s="13" t="inlineStr">
        <is>
          <t>支出</t>
        </is>
      </c>
      <c r="E29" s="13" t="inlineStr">
        <is>
          <t>通讯费</t>
        </is>
      </c>
      <c r="F29" s="17">
        <f>IF($E29="","",IFERROR(VLOOKUP($E29,类别归属,2,0),"※类别不在基础资料里"))</f>
        <v/>
      </c>
      <c r="G29" s="13" t="n"/>
      <c r="H29" s="13" t="n"/>
      <c r="I29" s="13" t="inlineStr">
        <is>
          <t>付中国移动话费</t>
        </is>
      </c>
      <c r="J29" s="14" t="n"/>
      <c r="K29" s="14" t="n">
        <v>50</v>
      </c>
      <c r="L29" s="19">
        <f>IF($C29="","",ROUND(IFERROR(VLOOKUP($C29,账户期初,2,0),0)+SUMIFS($J$4:J29,$C$4:C29,$C29)-SUMIFS($K$4:K29,$C$4:C29,$C29),2))</f>
        <v/>
      </c>
      <c r="M29" s="19">
        <f>IF($C29="","",ROUND(SUM(基础资料!$B$4:$B$13)+SUM($J$4:J29)-SUM($K$4:K29),2))</f>
        <v/>
      </c>
      <c r="N29" s="13" t="n"/>
      <c r="O29" s="13" t="n"/>
      <c r="P29" s="17">
        <f>IF($B29="","",IF($F29="※类别不在基础资料里","※费用类别不在基础资料里",IF(AND(N($J29)=0,N($K29)=0),"※这行没填金额",IF(AND(N($J29)&gt;0,N($K29)&gt;0),"※收入和支出不能同一行都填",IF(AND($D29="收入",N($J29)=0),"※收入行要填收入金额",IF(AND($D29="支出",N($K29)=0),"※支出行要填支出金额",IF(AND($C29&lt;&gt;"",ISNA(MATCH($C29,账户表,0))),"※账户不在基础资料里",IF(AND($G29&lt;&gt;"",ISNA(MATCH($G29,项目名表,0))),"※项目不在项目台账里",IF(AND(LEFT($F29,3)="成本-",$G29=""),"※成本类支出没填项目",IF(AND(LEFT($F29,3)="成本-",$H29&lt;&gt;"",N($K29)&gt;0,COUNTIFS(采购单!$B:$B,$B29,采购单!$C:$C,$H29,采购单!$L:$L,$K29)&gt;0),"※这笔可能和采购单重复了",""))))))))))</f>
        <v/>
      </c>
    </row>
    <row r="30">
      <c r="A30" s="17">
        <f>IF($B30="","",ROW()-3)</f>
        <v/>
      </c>
      <c r="B30" s="18" t="n">
        <v>46087</v>
      </c>
      <c r="C30" s="13" t="inlineStr">
        <is>
          <t>微信1</t>
        </is>
      </c>
      <c r="D30" s="13" t="inlineStr">
        <is>
          <t>收入</t>
        </is>
      </c>
      <c r="E30" s="13" t="inlineStr">
        <is>
          <t>收回借出款</t>
        </is>
      </c>
      <c r="F30" s="17">
        <f>IF($E30="","",IFERROR(VLOOKUP($E30,类别归属,2,0),"※类别不在基础资料里"))</f>
        <v/>
      </c>
      <c r="G30" s="13" t="n"/>
      <c r="H30" s="13" t="inlineStr">
        <is>
          <t>往来款</t>
        </is>
      </c>
      <c r="I30" s="13" t="inlineStr">
        <is>
          <t>收付久华</t>
        </is>
      </c>
      <c r="J30" s="14" t="n">
        <v>2000</v>
      </c>
      <c r="K30" s="14" t="n"/>
      <c r="L30" s="19">
        <f>IF($C30="","",ROUND(IFERROR(VLOOKUP($C30,账户期初,2,0),0)+SUMIFS($J$4:J30,$C$4:C30,$C30)-SUMIFS($K$4:K30,$C$4:C30,$C30),2))</f>
        <v/>
      </c>
      <c r="M30" s="19">
        <f>IF($C30="","",ROUND(SUM(基础资料!$B$4:$B$13)+SUM($J$4:J30)-SUM($K$4:K30),2))</f>
        <v/>
      </c>
      <c r="N30" s="13" t="n"/>
      <c r="O30" s="13" t="inlineStr">
        <is>
          <t>3.6止凌实存3235</t>
        </is>
      </c>
      <c r="P30" s="17">
        <f>IF($B30="","",IF($F30="※类别不在基础资料里","※费用类别不在基础资料里",IF(AND(N($J30)=0,N($K30)=0),"※这行没填金额",IF(AND(N($J30)&gt;0,N($K30)&gt;0),"※收入和支出不能同一行都填",IF(AND($D30="收入",N($J30)=0),"※收入行要填收入金额",IF(AND($D30="支出",N($K30)=0),"※支出行要填支出金额",IF(AND($C30&lt;&gt;"",ISNA(MATCH($C30,账户表,0))),"※账户不在基础资料里",IF(AND($G30&lt;&gt;"",ISNA(MATCH($G30,项目名表,0))),"※项目不在项目台账里",IF(AND(LEFT($F30,3)="成本-",$G30=""),"※成本类支出没填项目",IF(AND(LEFT($F30,3)="成本-",$H30&lt;&gt;"",N($K30)&gt;0,COUNTIFS(采购单!$B:$B,$B30,采购单!$C:$C,$H30,采购单!$L:$L,$K30)&gt;0),"※这笔可能和采购单重复了",""))))))))))</f>
        <v/>
      </c>
    </row>
    <row r="31">
      <c r="A31" s="17">
        <f>IF($B31="","",ROW()-3)</f>
        <v/>
      </c>
      <c r="B31" s="18" t="n">
        <v>46087</v>
      </c>
      <c r="C31" s="13" t="inlineStr">
        <is>
          <t>微信1</t>
        </is>
      </c>
      <c r="D31" s="13" t="inlineStr">
        <is>
          <t>支出</t>
        </is>
      </c>
      <c r="E31" s="13" t="inlineStr">
        <is>
          <t>运费/快递费</t>
        </is>
      </c>
      <c r="F31" s="17">
        <f>IF($E31="","",IFERROR(VLOOKUP($E31,类别归属,2,0),"※类别不在基础资料里"))</f>
        <v/>
      </c>
      <c r="G31" s="13" t="inlineStr">
        <is>
          <t>织里店</t>
        </is>
      </c>
      <c r="H31" s="13" t="inlineStr">
        <is>
          <t>炳秀</t>
        </is>
      </c>
      <c r="I31" s="13" t="inlineStr">
        <is>
          <t>付炳秀配送</t>
        </is>
      </c>
      <c r="J31" s="14" t="n"/>
      <c r="K31" s="14" t="n">
        <v>55</v>
      </c>
      <c r="L31" s="19">
        <f>IF($C31="","",ROUND(IFERROR(VLOOKUP($C31,账户期初,2,0),0)+SUMIFS($J$4:J31,$C$4:C31,$C31)-SUMIFS($K$4:K31,$C$4:C31,$C31),2))</f>
        <v/>
      </c>
      <c r="M31" s="19">
        <f>IF($C31="","",ROUND(SUM(基础资料!$B$4:$B$13)+SUM($J$4:J31)-SUM($K$4:K31),2))</f>
        <v/>
      </c>
      <c r="N31" s="13" t="n"/>
      <c r="O31" s="13" t="n"/>
      <c r="P31" s="17">
        <f>IF($B31="","",IF($F31="※类别不在基础资料里","※费用类别不在基础资料里",IF(AND(N($J31)=0,N($K31)=0),"※这行没填金额",IF(AND(N($J31)&gt;0,N($K31)&gt;0),"※收入和支出不能同一行都填",IF(AND($D31="收入",N($J31)=0),"※收入行要填收入金额",IF(AND($D31="支出",N($K31)=0),"※支出行要填支出金额",IF(AND($C31&lt;&gt;"",ISNA(MATCH($C31,账户表,0))),"※账户不在基础资料里",IF(AND($G31&lt;&gt;"",ISNA(MATCH($G31,项目名表,0))),"※项目不在项目台账里",IF(AND(LEFT($F31,3)="成本-",$G31=""),"※成本类支出没填项目",IF(AND(LEFT($F31,3)="成本-",$H31&lt;&gt;"",N($K31)&gt;0,COUNTIFS(采购单!$B:$B,$B31,采购单!$C:$C,$H31,采购单!$L:$L,$K31)&gt;0),"※这笔可能和采购单重复了",""))))))))))</f>
        <v/>
      </c>
    </row>
    <row r="32">
      <c r="A32" s="17">
        <f>IF($B32="","",ROW()-3)</f>
        <v/>
      </c>
      <c r="B32" s="18" t="n">
        <v>46087</v>
      </c>
      <c r="C32" s="13" t="inlineStr">
        <is>
          <t>微信1</t>
        </is>
      </c>
      <c r="D32" s="13" t="inlineStr">
        <is>
          <t>收入</t>
        </is>
      </c>
      <c r="E32" s="13" t="inlineStr">
        <is>
          <t>零星物料销售</t>
        </is>
      </c>
      <c r="F32" s="17">
        <f>IF($E32="","",IFERROR(VLOOKUP($E32,类别归属,2,0),"※类别不在基础资料里"))</f>
        <v/>
      </c>
      <c r="G32" s="13" t="inlineStr">
        <is>
          <t>万达kvv</t>
        </is>
      </c>
      <c r="H32" s="13" t="n"/>
      <c r="I32" s="13" t="inlineStr">
        <is>
          <t>万达-KVV乔金鑫</t>
        </is>
      </c>
      <c r="J32" s="14" t="n">
        <v>40</v>
      </c>
      <c r="K32" s="14" t="n"/>
      <c r="L32" s="19">
        <f>IF($C32="","",ROUND(IFERROR(VLOOKUP($C32,账户期初,2,0),0)+SUMIFS($J$4:J32,$C$4:C32,$C32)-SUMIFS($K$4:K32,$C$4:C32,$C32),2))</f>
        <v/>
      </c>
      <c r="M32" s="19">
        <f>IF($C32="","",ROUND(SUM(基础资料!$B$4:$B$13)+SUM($J$4:J32)-SUM($K$4:K32),2))</f>
        <v/>
      </c>
      <c r="N32" s="13" t="n"/>
      <c r="O32" s="13" t="n"/>
      <c r="P32" s="17">
        <f>IF($B32="","",IF($F32="※类别不在基础资料里","※费用类别不在基础资料里",IF(AND(N($J32)=0,N($K32)=0),"※这行没填金额",IF(AND(N($J32)&gt;0,N($K32)&gt;0),"※收入和支出不能同一行都填",IF(AND($D32="收入",N($J32)=0),"※收入行要填收入金额",IF(AND($D32="支出",N($K32)=0),"※支出行要填支出金额",IF(AND($C32&lt;&gt;"",ISNA(MATCH($C32,账户表,0))),"※账户不在基础资料里",IF(AND($G32&lt;&gt;"",ISNA(MATCH($G32,项目名表,0))),"※项目不在项目台账里",IF(AND(LEFT($F32,3)="成本-",$G32=""),"※成本类支出没填项目",IF(AND(LEFT($F32,3)="成本-",$H32&lt;&gt;"",N($K32)&gt;0,COUNTIFS(采购单!$B:$B,$B32,采购单!$C:$C,$H32,采购单!$L:$L,$K32)&gt;0),"※这笔可能和采购单重复了",""))))))))))</f>
        <v/>
      </c>
    </row>
    <row r="33">
      <c r="A33" s="17">
        <f>IF($B33="","",ROW()-3)</f>
        <v/>
      </c>
      <c r="B33" s="18" t="n">
        <v>46088</v>
      </c>
      <c r="C33" s="13" t="inlineStr">
        <is>
          <t>微信1</t>
        </is>
      </c>
      <c r="D33" s="13" t="inlineStr">
        <is>
          <t>收入</t>
        </is>
      </c>
      <c r="E33" s="13" t="inlineStr">
        <is>
          <t>项目收款</t>
        </is>
      </c>
      <c r="F33" s="17">
        <f>IF($E33="","",IFERROR(VLOOKUP($E33,类别归属,2,0),"※类别不在基础资料里"))</f>
        <v/>
      </c>
      <c r="G33" s="13" t="inlineStr">
        <is>
          <t>高恒荣熟食店</t>
        </is>
      </c>
      <c r="H33" s="13" t="n"/>
      <c r="I33" s="13" t="inlineStr">
        <is>
          <t>收德清木森</t>
        </is>
      </c>
      <c r="J33" s="14" t="n">
        <v>4500</v>
      </c>
      <c r="K33" s="14" t="n"/>
      <c r="L33" s="19">
        <f>IF($C33="","",ROUND(IFERROR(VLOOKUP($C33,账户期初,2,0),0)+SUMIFS($J$4:J33,$C$4:C33,$C33)-SUMIFS($K$4:K33,$C$4:C33,$C33),2))</f>
        <v/>
      </c>
      <c r="M33" s="19">
        <f>IF($C33="","",ROUND(SUM(基础资料!$B$4:$B$13)+SUM($J$4:J33)-SUM($K$4:K33),2))</f>
        <v/>
      </c>
      <c r="N33" s="13" t="n"/>
      <c r="O33" s="13" t="n"/>
      <c r="P33" s="17">
        <f>IF($B33="","",IF($F33="※类别不在基础资料里","※费用类别不在基础资料里",IF(AND(N($J33)=0,N($K33)=0),"※这行没填金额",IF(AND(N($J33)&gt;0,N($K33)&gt;0),"※收入和支出不能同一行都填",IF(AND($D33="收入",N($J33)=0),"※收入行要填收入金额",IF(AND($D33="支出",N($K33)=0),"※支出行要填支出金额",IF(AND($C33&lt;&gt;"",ISNA(MATCH($C33,账户表,0))),"※账户不在基础资料里",IF(AND($G33&lt;&gt;"",ISNA(MATCH($G33,项目名表,0))),"※项目不在项目台账里",IF(AND(LEFT($F33,3)="成本-",$G33=""),"※成本类支出没填项目",IF(AND(LEFT($F33,3)="成本-",$H33&lt;&gt;"",N($K33)&gt;0,COUNTIFS(采购单!$B:$B,$B33,采购单!$C:$C,$H33,采购单!$L:$L,$K33)&gt;0),"※这笔可能和采购单重复了",""))))))))))</f>
        <v/>
      </c>
    </row>
    <row r="34">
      <c r="A34" s="17">
        <f>IF($B34="","",ROW()-3)</f>
        <v/>
      </c>
      <c r="B34" s="18" t="n">
        <v>46088</v>
      </c>
      <c r="C34" s="13" t="inlineStr">
        <is>
          <t>微信1</t>
        </is>
      </c>
      <c r="D34" s="13" t="inlineStr">
        <is>
          <t>支出</t>
        </is>
      </c>
      <c r="E34" s="13" t="inlineStr">
        <is>
          <t>主材采购</t>
        </is>
      </c>
      <c r="F34" s="17">
        <f>IF($E34="","",IFERROR(VLOOKUP($E34,类别归属,2,0),"※类别不在基础资料里"))</f>
        <v/>
      </c>
      <c r="G34" s="13" t="n"/>
      <c r="H34" s="13" t="n"/>
      <c r="I34" s="13" t="inlineStr">
        <is>
          <t>荣盛钢材镀锌角铁4*4（6*60）</t>
        </is>
      </c>
      <c r="J34" s="14" t="n"/>
      <c r="K34" s="14" t="n">
        <v>360</v>
      </c>
      <c r="L34" s="19">
        <f>IF($C34="","",ROUND(IFERROR(VLOOKUP($C34,账户期初,2,0),0)+SUMIFS($J$4:J34,$C$4:C34,$C34)-SUMIFS($K$4:K34,$C$4:C34,$C34),2))</f>
        <v/>
      </c>
      <c r="M34" s="19">
        <f>IF($C34="","",ROUND(SUM(基础资料!$B$4:$B$13)+SUM($J$4:J34)-SUM($K$4:K34),2))</f>
        <v/>
      </c>
      <c r="N34" s="13" t="n"/>
      <c r="O34" s="13" t="n"/>
      <c r="P34" s="17">
        <f>IF($B34="","",IF($F34="※类别不在基础资料里","※费用类别不在基础资料里",IF(AND(N($J34)=0,N($K34)=0),"※这行没填金额",IF(AND(N($J34)&gt;0,N($K34)&gt;0),"※收入和支出不能同一行都填",IF(AND($D34="收入",N($J34)=0),"※收入行要填收入金额",IF(AND($D34="支出",N($K34)=0),"※支出行要填支出金额",IF(AND($C34&lt;&gt;"",ISNA(MATCH($C34,账户表,0))),"※账户不在基础资料里",IF(AND($G34&lt;&gt;"",ISNA(MATCH($G34,项目名表,0))),"※项目不在项目台账里",IF(AND(LEFT($F34,3)="成本-",$G34=""),"※成本类支出没填项目",IF(AND(LEFT($F34,3)="成本-",$H34&lt;&gt;"",N($K34)&gt;0,COUNTIFS(采购单!$B:$B,$B34,采购单!$C:$C,$H34,采购单!$L:$L,$K34)&gt;0),"※这笔可能和采购单重复了",""))))))))))</f>
        <v/>
      </c>
    </row>
    <row r="35">
      <c r="A35" s="17">
        <f>IF($B35="","",ROW()-3)</f>
        <v/>
      </c>
      <c r="B35" s="18" t="n">
        <v>46088</v>
      </c>
      <c r="C35" s="13" t="inlineStr">
        <is>
          <t>微信1</t>
        </is>
      </c>
      <c r="D35" s="13" t="inlineStr">
        <is>
          <t>支出</t>
        </is>
      </c>
      <c r="E35" s="13" t="inlineStr">
        <is>
          <t>运费/快递费</t>
        </is>
      </c>
      <c r="F35" s="17">
        <f>IF($E35="","",IFERROR(VLOOKUP($E35,类别归属,2,0),"※类别不在基础资料里"))</f>
        <v/>
      </c>
      <c r="G35" s="13" t="inlineStr">
        <is>
          <t>犇腾牛排</t>
        </is>
      </c>
      <c r="H35" s="13" t="inlineStr">
        <is>
          <t>炳秀</t>
        </is>
      </c>
      <c r="I35" s="13" t="inlineStr">
        <is>
          <t>付炳秀配送</t>
        </is>
      </c>
      <c r="J35" s="14" t="n"/>
      <c r="K35" s="14" t="n">
        <v>28</v>
      </c>
      <c r="L35" s="19">
        <f>IF($C35="","",ROUND(IFERROR(VLOOKUP($C35,账户期初,2,0),0)+SUMIFS($J$4:J35,$C$4:C35,$C35)-SUMIFS($K$4:K35,$C$4:C35,$C35),2))</f>
        <v/>
      </c>
      <c r="M35" s="19">
        <f>IF($C35="","",ROUND(SUM(基础资料!$B$4:$B$13)+SUM($J$4:J35)-SUM($K$4:K35),2))</f>
        <v/>
      </c>
      <c r="N35" s="13" t="n"/>
      <c r="O35" s="13" t="n"/>
      <c r="P35" s="17">
        <f>IF($B35="","",IF($F35="※类别不在基础资料里","※费用类别不在基础资料里",IF(AND(N($J35)=0,N($K35)=0),"※这行没填金额",IF(AND(N($J35)&gt;0,N($K35)&gt;0),"※收入和支出不能同一行都填",IF(AND($D35="收入",N($J35)=0),"※收入行要填收入金额",IF(AND($D35="支出",N($K35)=0),"※支出行要填支出金额",IF(AND($C35&lt;&gt;"",ISNA(MATCH($C35,账户表,0))),"※账户不在基础资料里",IF(AND($G35&lt;&gt;"",ISNA(MATCH($G35,项目名表,0))),"※项目不在项目台账里",IF(AND(LEFT($F35,3)="成本-",$G35=""),"※成本类支出没填项目",IF(AND(LEFT($F35,3)="成本-",$H35&lt;&gt;"",N($K35)&gt;0,COUNTIFS(采购单!$B:$B,$B35,采购单!$C:$C,$H35,采购单!$L:$L,$K35)&gt;0),"※这笔可能和采购单重复了",""))))))))))</f>
        <v/>
      </c>
    </row>
    <row r="36">
      <c r="A36" s="17">
        <f>IF($B36="","",ROW()-3)</f>
        <v/>
      </c>
      <c r="B36" s="18" t="n">
        <v>46088</v>
      </c>
      <c r="C36" s="13" t="inlineStr">
        <is>
          <t>微信1</t>
        </is>
      </c>
      <c r="D36" s="13" t="inlineStr">
        <is>
          <t>支出</t>
        </is>
      </c>
      <c r="E36" s="13" t="inlineStr">
        <is>
          <t>主材采购</t>
        </is>
      </c>
      <c r="F36" s="17">
        <f>IF($E36="","",IFERROR(VLOOKUP($E36,类别归属,2,0),"※类别不在基础资料里"))</f>
        <v/>
      </c>
      <c r="G36" s="13" t="inlineStr">
        <is>
          <t>高恒荣熟食店</t>
        </is>
      </c>
      <c r="H36" s="13" t="n"/>
      <c r="I36" s="13" t="inlineStr">
        <is>
          <t>付南浔优丰建材-415中国红铝塑板</t>
        </is>
      </c>
      <c r="J36" s="14" t="n"/>
      <c r="K36" s="14" t="n">
        <v>1260</v>
      </c>
      <c r="L36" s="19">
        <f>IF($C36="","",ROUND(IFERROR(VLOOKUP($C36,账户期初,2,0),0)+SUMIFS($J$4:J36,$C$4:C36,$C36)-SUMIFS($K$4:K36,$C$4:C36,$C36),2))</f>
        <v/>
      </c>
      <c r="M36" s="19">
        <f>IF($C36="","",ROUND(SUM(基础资料!$B$4:$B$13)+SUM($J$4:J36)-SUM($K$4:K36),2))</f>
        <v/>
      </c>
      <c r="N36" s="13" t="n"/>
      <c r="O36" s="13" t="n"/>
      <c r="P36" s="17">
        <f>IF($B36="","",IF($F36="※类别不在基础资料里","※费用类别不在基础资料里",IF(AND(N($J36)=0,N($K36)=0),"※这行没填金额",IF(AND(N($J36)&gt;0,N($K36)&gt;0),"※收入和支出不能同一行都填",IF(AND($D36="收入",N($J36)=0),"※收入行要填收入金额",IF(AND($D36="支出",N($K36)=0),"※支出行要填支出金额",IF(AND($C36&lt;&gt;"",ISNA(MATCH($C36,账户表,0))),"※账户不在基础资料里",IF(AND($G36&lt;&gt;"",ISNA(MATCH($G36,项目名表,0))),"※项目不在项目台账里",IF(AND(LEFT($F36,3)="成本-",$G36=""),"※成本类支出没填项目",IF(AND(LEFT($F36,3)="成本-",$H36&lt;&gt;"",N($K36)&gt;0,COUNTIFS(采购单!$B:$B,$B36,采购单!$C:$C,$H36,采购单!$L:$L,$K36)&gt;0),"※这笔可能和采购单重复了",""))))))))))</f>
        <v/>
      </c>
    </row>
    <row r="37">
      <c r="A37" s="17">
        <f>IF($B37="","",ROW()-3)</f>
        <v/>
      </c>
      <c r="B37" s="18" t="n">
        <v>46089</v>
      </c>
      <c r="C37" s="13" t="inlineStr">
        <is>
          <t>微信1</t>
        </is>
      </c>
      <c r="D37" s="13" t="inlineStr">
        <is>
          <t>支出</t>
        </is>
      </c>
      <c r="E37" s="13" t="inlineStr">
        <is>
          <t>主材采购</t>
        </is>
      </c>
      <c r="F37" s="17">
        <f>IF($E37="","",IFERROR(VLOOKUP($E37,类别归属,2,0),"※类别不在基础资料里"))</f>
        <v/>
      </c>
      <c r="G37" s="13" t="inlineStr">
        <is>
          <t>高恒荣熟食店</t>
        </is>
      </c>
      <c r="H37" s="13" t="n"/>
      <c r="I37" s="13" t="inlineStr">
        <is>
          <t>镀锌方管2*4（14*28）</t>
        </is>
      </c>
      <c r="J37" s="14" t="n"/>
      <c r="K37" s="14" t="n">
        <v>392</v>
      </c>
      <c r="L37" s="19">
        <f>IF($C37="","",ROUND(IFERROR(VLOOKUP($C37,账户期初,2,0),0)+SUMIFS($J$4:J37,$C$4:C37,$C37)-SUMIFS($K$4:K37,$C$4:C37,$C37),2))</f>
        <v/>
      </c>
      <c r="M37" s="19">
        <f>IF($C37="","",ROUND(SUM(基础资料!$B$4:$B$13)+SUM($J$4:J37)-SUM($K$4:K37),2))</f>
        <v/>
      </c>
      <c r="N37" s="13" t="n"/>
      <c r="O37" s="13" t="n"/>
      <c r="P37" s="17">
        <f>IF($B37="","",IF($F37="※类别不在基础资料里","※费用类别不在基础资料里",IF(AND(N($J37)=0,N($K37)=0),"※这行没填金额",IF(AND(N($J37)&gt;0,N($K37)&gt;0),"※收入和支出不能同一行都填",IF(AND($D37="收入",N($J37)=0),"※收入行要填收入金额",IF(AND($D37="支出",N($K37)=0),"※支出行要填支出金额",IF(AND($C37&lt;&gt;"",ISNA(MATCH($C37,账户表,0))),"※账户不在基础资料里",IF(AND($G37&lt;&gt;"",ISNA(MATCH($G37,项目名表,0))),"※项目不在项目台账里",IF(AND(LEFT($F37,3)="成本-",$G37=""),"※成本类支出没填项目",IF(AND(LEFT($F37,3)="成本-",$H37&lt;&gt;"",N($K37)&gt;0,COUNTIFS(采购单!$B:$B,$B37,采购单!$C:$C,$H37,采购单!$L:$L,$K37)&gt;0),"※这笔可能和采购单重复了",""))))))))))</f>
        <v/>
      </c>
    </row>
    <row r="38">
      <c r="A38" s="17">
        <f>IF($B38="","",ROW()-3)</f>
        <v/>
      </c>
      <c r="B38" s="18" t="n">
        <v>46089</v>
      </c>
      <c r="C38" s="13" t="inlineStr">
        <is>
          <t>微信1</t>
        </is>
      </c>
      <c r="D38" s="13" t="inlineStr">
        <is>
          <t>支出</t>
        </is>
      </c>
      <c r="E38" s="13" t="inlineStr">
        <is>
          <t>运费/快递费</t>
        </is>
      </c>
      <c r="F38" s="17">
        <f>IF($E38="","",IFERROR(VLOOKUP($E38,类别归属,2,0),"※类别不在基础资料里"))</f>
        <v/>
      </c>
      <c r="G38" s="13" t="inlineStr">
        <is>
          <t>织里店</t>
        </is>
      </c>
      <c r="H38" s="13" t="inlineStr">
        <is>
          <t>炳秀</t>
        </is>
      </c>
      <c r="I38" s="13" t="inlineStr">
        <is>
          <t>付炳秀配送</t>
        </is>
      </c>
      <c r="J38" s="14" t="n"/>
      <c r="K38" s="14" t="n">
        <v>40</v>
      </c>
      <c r="L38" s="19">
        <f>IF($C38="","",ROUND(IFERROR(VLOOKUP($C38,账户期初,2,0),0)+SUMIFS($J$4:J38,$C$4:C38,$C38)-SUMIFS($K$4:K38,$C$4:C38,$C38),2))</f>
        <v/>
      </c>
      <c r="M38" s="19">
        <f>IF($C38="","",ROUND(SUM(基础资料!$B$4:$B$13)+SUM($J$4:J38)-SUM($K$4:K38),2))</f>
        <v/>
      </c>
      <c r="N38" s="13" t="n"/>
      <c r="O38" s="13" t="n"/>
      <c r="P38" s="17">
        <f>IF($B38="","",IF($F38="※类别不在基础资料里","※费用类别不在基础资料里",IF(AND(N($J38)=0,N($K38)=0),"※这行没填金额",IF(AND(N($J38)&gt;0,N($K38)&gt;0),"※收入和支出不能同一行都填",IF(AND($D38="收入",N($J38)=0),"※收入行要填收入金额",IF(AND($D38="支出",N($K38)=0),"※支出行要填支出金额",IF(AND($C38&lt;&gt;"",ISNA(MATCH($C38,账户表,0))),"※账户不在基础资料里",IF(AND($G38&lt;&gt;"",ISNA(MATCH($G38,项目名表,0))),"※项目不在项目台账里",IF(AND(LEFT($F38,3)="成本-",$G38=""),"※成本类支出没填项目",IF(AND(LEFT($F38,3)="成本-",$H38&lt;&gt;"",N($K38)&gt;0,COUNTIFS(采购单!$B:$B,$B38,采购单!$C:$C,$H38,采购单!$L:$L,$K38)&gt;0),"※这笔可能和采购单重复了",""))))))))))</f>
        <v/>
      </c>
    </row>
    <row r="39">
      <c r="A39" s="17">
        <f>IF($B39="","",ROW()-3)</f>
        <v/>
      </c>
      <c r="B39" s="18" t="n">
        <v>46089</v>
      </c>
      <c r="C39" s="13" t="inlineStr">
        <is>
          <t>微信1</t>
        </is>
      </c>
      <c r="D39" s="13" t="inlineStr">
        <is>
          <t>支出</t>
        </is>
      </c>
      <c r="E39" s="13" t="inlineStr">
        <is>
          <t>主材采购</t>
        </is>
      </c>
      <c r="F39" s="17">
        <f>IF($E39="","",IFERROR(VLOOKUP($E39,类别归属,2,0),"※类别不在基础资料里"))</f>
        <v/>
      </c>
      <c r="G39" s="13" t="inlineStr">
        <is>
          <t>高恒荣熟食店</t>
        </is>
      </c>
      <c r="H39" s="13" t="inlineStr">
        <is>
          <t>周学峰</t>
        </is>
      </c>
      <c r="I39" s="13" t="inlineStr">
        <is>
          <t>付周学峰</t>
        </is>
      </c>
      <c r="J39" s="14" t="n"/>
      <c r="K39" s="14" t="n">
        <v>40</v>
      </c>
      <c r="L39" s="19">
        <f>IF($C39="","",ROUND(IFERROR(VLOOKUP($C39,账户期初,2,0),0)+SUMIFS($J$4:J39,$C$4:C39,$C39)-SUMIFS($K$4:K39,$C$4:C39,$C39),2))</f>
        <v/>
      </c>
      <c r="M39" s="19">
        <f>IF($C39="","",ROUND(SUM(基础资料!$B$4:$B$13)+SUM($J$4:J39)-SUM($K$4:K39),2))</f>
        <v/>
      </c>
      <c r="N39" s="13" t="n"/>
      <c r="O39" s="13" t="inlineStr">
        <is>
          <t>红色结构胶</t>
        </is>
      </c>
      <c r="P39" s="17">
        <f>IF($B39="","",IF($F39="※类别不在基础资料里","※费用类别不在基础资料里",IF(AND(N($J39)=0,N($K39)=0),"※这行没填金额",IF(AND(N($J39)&gt;0,N($K39)&gt;0),"※收入和支出不能同一行都填",IF(AND($D39="收入",N($J39)=0),"※收入行要填收入金额",IF(AND($D39="支出",N($K39)=0),"※支出行要填支出金额",IF(AND($C39&lt;&gt;"",ISNA(MATCH($C39,账户表,0))),"※账户不在基础资料里",IF(AND($G39&lt;&gt;"",ISNA(MATCH($G39,项目名表,0))),"※项目不在项目台账里",IF(AND(LEFT($F39,3)="成本-",$G39=""),"※成本类支出没填项目",IF(AND(LEFT($F39,3)="成本-",$H39&lt;&gt;"",N($K39)&gt;0,COUNTIFS(采购单!$B:$B,$B39,采购单!$C:$C,$H39,采购单!$L:$L,$K39)&gt;0),"※这笔可能和采购单重复了",""))))))))))</f>
        <v/>
      </c>
    </row>
    <row r="40">
      <c r="A40" s="17">
        <f>IF($B40="","",ROW()-3)</f>
        <v/>
      </c>
      <c r="B40" s="18" t="n">
        <v>46090</v>
      </c>
      <c r="C40" s="13" t="inlineStr">
        <is>
          <t>微信1</t>
        </is>
      </c>
      <c r="D40" s="13" t="inlineStr">
        <is>
          <t>支出</t>
        </is>
      </c>
      <c r="E40" s="13" t="inlineStr">
        <is>
          <t>通讯费</t>
        </is>
      </c>
      <c r="F40" s="17">
        <f>IF($E40="","",IFERROR(VLOOKUP($E40,类别归属,2,0),"※类别不在基础资料里"))</f>
        <v/>
      </c>
      <c r="G40" s="13" t="n"/>
      <c r="H40" s="13" t="n"/>
      <c r="I40" s="13" t="inlineStr">
        <is>
          <t>电话费充值</t>
        </is>
      </c>
      <c r="J40" s="14" t="n"/>
      <c r="K40" s="14" t="n">
        <v>50</v>
      </c>
      <c r="L40" s="19">
        <f>IF($C40="","",ROUND(IFERROR(VLOOKUP($C40,账户期初,2,0),0)+SUMIFS($J$4:J40,$C$4:C40,$C40)-SUMIFS($K$4:K40,$C$4:C40,$C40),2))</f>
        <v/>
      </c>
      <c r="M40" s="19">
        <f>IF($C40="","",ROUND(SUM(基础资料!$B$4:$B$13)+SUM($J$4:J40)-SUM($K$4:K40),2))</f>
        <v/>
      </c>
      <c r="N40" s="13" t="n"/>
      <c r="O40" s="13" t="inlineStr">
        <is>
          <t>杨德本次报销 1027.2</t>
        </is>
      </c>
      <c r="P40" s="17">
        <f>IF($B40="","",IF($F40="※类别不在基础资料里","※费用类别不在基础资料里",IF(AND(N($J40)=0,N($K40)=0),"※这行没填金额",IF(AND(N($J40)&gt;0,N($K40)&gt;0),"※收入和支出不能同一行都填",IF(AND($D40="收入",N($J40)=0),"※收入行要填收入金额",IF(AND($D40="支出",N($K40)=0),"※支出行要填支出金额",IF(AND($C40&lt;&gt;"",ISNA(MATCH($C40,账户表,0))),"※账户不在基础资料里",IF(AND($G40&lt;&gt;"",ISNA(MATCH($G40,项目名表,0))),"※项目不在项目台账里",IF(AND(LEFT($F40,3)="成本-",$G40=""),"※成本类支出没填项目",IF(AND(LEFT($F40,3)="成本-",$H40&lt;&gt;"",N($K40)&gt;0,COUNTIFS(采购单!$B:$B,$B40,采购单!$C:$C,$H40,采购单!$L:$L,$K40)&gt;0),"※这笔可能和采购单重复了",""))))))))))</f>
        <v/>
      </c>
    </row>
    <row r="41">
      <c r="A41" s="17">
        <f>IF($B41="","",ROW()-3)</f>
        <v/>
      </c>
      <c r="B41" s="18" t="n">
        <v>46090</v>
      </c>
      <c r="C41" s="13" t="inlineStr">
        <is>
          <t>微信1</t>
        </is>
      </c>
      <c r="D41" s="13" t="inlineStr">
        <is>
          <t>支出</t>
        </is>
      </c>
      <c r="E41" s="13" t="inlineStr">
        <is>
          <t>运费/快递费</t>
        </is>
      </c>
      <c r="F41" s="17">
        <f>IF($E41="","",IFERROR(VLOOKUP($E41,类别归属,2,0),"※类别不在基础资料里"))</f>
        <v/>
      </c>
      <c r="G41" s="13" t="inlineStr">
        <is>
          <t>校服基地</t>
        </is>
      </c>
      <c r="H41" s="13" t="inlineStr">
        <is>
          <t>顺丰快递费</t>
        </is>
      </c>
      <c r="I41" s="13" t="inlineStr">
        <is>
          <t>顺丰快递费</t>
        </is>
      </c>
      <c r="J41" s="14" t="n"/>
      <c r="K41" s="14" t="n">
        <v>28</v>
      </c>
      <c r="L41" s="19">
        <f>IF($C41="","",ROUND(IFERROR(VLOOKUP($C41,账户期初,2,0),0)+SUMIFS($J$4:J41,$C$4:C41,$C41)-SUMIFS($K$4:K41,$C$4:C41,$C41),2))</f>
        <v/>
      </c>
      <c r="M41" s="19">
        <f>IF($C41="","",ROUND(SUM(基础资料!$B$4:$B$13)+SUM($J$4:J41)-SUM($K$4:K41),2))</f>
        <v/>
      </c>
      <c r="N41" s="13" t="n"/>
      <c r="O41" s="13" t="n"/>
      <c r="P41" s="17">
        <f>IF($B41="","",IF($F41="※类别不在基础资料里","※费用类别不在基础资料里",IF(AND(N($J41)=0,N($K41)=0),"※这行没填金额",IF(AND(N($J41)&gt;0,N($K41)&gt;0),"※收入和支出不能同一行都填",IF(AND($D41="收入",N($J41)=0),"※收入行要填收入金额",IF(AND($D41="支出",N($K41)=0),"※支出行要填支出金额",IF(AND($C41&lt;&gt;"",ISNA(MATCH($C41,账户表,0))),"※账户不在基础资料里",IF(AND($G41&lt;&gt;"",ISNA(MATCH($G41,项目名表,0))),"※项目不在项目台账里",IF(AND(LEFT($F41,3)="成本-",$G41=""),"※成本类支出没填项目",IF(AND(LEFT($F41,3)="成本-",$H41&lt;&gt;"",N($K41)&gt;0,COUNTIFS(采购单!$B:$B,$B41,采购单!$C:$C,$H41,采购单!$L:$L,$K41)&gt;0),"※这笔可能和采购单重复了",""))))))))))</f>
        <v/>
      </c>
    </row>
    <row r="42">
      <c r="A42" s="17">
        <f>IF($B42="","",ROW()-3)</f>
        <v/>
      </c>
      <c r="B42" s="18" t="n">
        <v>46090</v>
      </c>
      <c r="C42" s="13" t="inlineStr">
        <is>
          <t>微信1</t>
        </is>
      </c>
      <c r="D42" s="13" t="inlineStr">
        <is>
          <t>支出</t>
        </is>
      </c>
      <c r="E42" s="13" t="inlineStr">
        <is>
          <t>其他管理费用</t>
        </is>
      </c>
      <c r="F42" s="17">
        <f>IF($E42="","",IFERROR(VLOOKUP($E42,类别归属,2,0),"※类别不在基础资料里"))</f>
        <v/>
      </c>
      <c r="G42" s="13" t="inlineStr">
        <is>
          <t>南浔美食城</t>
        </is>
      </c>
      <c r="H42" s="13" t="n"/>
      <c r="I42" s="13" t="inlineStr">
        <is>
          <t>2mm镀锌钢丝绳200米</t>
        </is>
      </c>
      <c r="J42" s="14" t="n"/>
      <c r="K42" s="14" t="n">
        <v>160</v>
      </c>
      <c r="L42" s="19">
        <f>IF($C42="","",ROUND(IFERROR(VLOOKUP($C42,账户期初,2,0),0)+SUMIFS($J$4:J42,$C$4:C42,$C42)-SUMIFS($K$4:K42,$C$4:C42,$C42),2))</f>
        <v/>
      </c>
      <c r="M42" s="19">
        <f>IF($C42="","",ROUND(SUM(基础资料!$B$4:$B$13)+SUM($J$4:J42)-SUM($K$4:K42),2))</f>
        <v/>
      </c>
      <c r="N42" s="13" t="n"/>
      <c r="O42" s="13" t="n"/>
      <c r="P42" s="17">
        <f>IF($B42="","",IF($F42="※类别不在基础资料里","※费用类别不在基础资料里",IF(AND(N($J42)=0,N($K42)=0),"※这行没填金额",IF(AND(N($J42)&gt;0,N($K42)&gt;0),"※收入和支出不能同一行都填",IF(AND($D42="收入",N($J42)=0),"※收入行要填收入金额",IF(AND($D42="支出",N($K42)=0),"※支出行要填支出金额",IF(AND($C42&lt;&gt;"",ISNA(MATCH($C42,账户表,0))),"※账户不在基础资料里",IF(AND($G42&lt;&gt;"",ISNA(MATCH($G42,项目名表,0))),"※项目不在项目台账里",IF(AND(LEFT($F42,3)="成本-",$G42=""),"※成本类支出没填项目",IF(AND(LEFT($F42,3)="成本-",$H42&lt;&gt;"",N($K42)&gt;0,COUNTIFS(采购单!$B:$B,$B42,采购单!$C:$C,$H42,采购单!$L:$L,$K42)&gt;0),"※这笔可能和采购单重复了",""))))))))))</f>
        <v/>
      </c>
    </row>
    <row r="43">
      <c r="A43" s="17">
        <f>IF($B43="","",ROW()-3)</f>
        <v/>
      </c>
      <c r="B43" s="18" t="n">
        <v>46090</v>
      </c>
      <c r="C43" s="13" t="inlineStr">
        <is>
          <t>微信1</t>
        </is>
      </c>
      <c r="D43" s="13" t="inlineStr">
        <is>
          <t>支出</t>
        </is>
      </c>
      <c r="E43" s="13" t="inlineStr">
        <is>
          <t>其他管理费用</t>
        </is>
      </c>
      <c r="F43" s="17">
        <f>IF($E43="","",IFERROR(VLOOKUP($E43,类别归属,2,0),"※类别不在基础资料里"))</f>
        <v/>
      </c>
      <c r="G43" s="13" t="inlineStr">
        <is>
          <t>德清钟管菜市场</t>
        </is>
      </c>
      <c r="H43" s="13" t="n"/>
      <c r="I43" s="13" t="inlineStr">
        <is>
          <t>结构胶1箱</t>
        </is>
      </c>
      <c r="J43" s="14" t="n"/>
      <c r="K43" s="14" t="n">
        <v>190</v>
      </c>
      <c r="L43" s="19">
        <f>IF($C43="","",ROUND(IFERROR(VLOOKUP($C43,账户期初,2,0),0)+SUMIFS($J$4:J43,$C$4:C43,$C43)-SUMIFS($K$4:K43,$C$4:C43,$C43),2))</f>
        <v/>
      </c>
      <c r="M43" s="19">
        <f>IF($C43="","",ROUND(SUM(基础资料!$B$4:$B$13)+SUM($J$4:J43)-SUM($K$4:K43),2))</f>
        <v/>
      </c>
      <c r="N43" s="13" t="n"/>
      <c r="O43" s="13" t="n"/>
      <c r="P43" s="17">
        <f>IF($B43="","",IF($F43="※类别不在基础资料里","※费用类别不在基础资料里",IF(AND(N($J43)=0,N($K43)=0),"※这行没填金额",IF(AND(N($J43)&gt;0,N($K43)&gt;0),"※收入和支出不能同一行都填",IF(AND($D43="收入",N($J43)=0),"※收入行要填收入金额",IF(AND($D43="支出",N($K43)=0),"※支出行要填支出金额",IF(AND($C43&lt;&gt;"",ISNA(MATCH($C43,账户表,0))),"※账户不在基础资料里",IF(AND($G43&lt;&gt;"",ISNA(MATCH($G43,项目名表,0))),"※项目不在项目台账里",IF(AND(LEFT($F43,3)="成本-",$G43=""),"※成本类支出没填项目",IF(AND(LEFT($F43,3)="成本-",$H43&lt;&gt;"",N($K43)&gt;0,COUNTIFS(采购单!$B:$B,$B43,采购单!$C:$C,$H43,采购单!$L:$L,$K43)&gt;0),"※这笔可能和采购单重复了",""))))))))))</f>
        <v/>
      </c>
    </row>
    <row r="44">
      <c r="A44" s="17">
        <f>IF($B44="","",ROW()-3)</f>
        <v/>
      </c>
      <c r="B44" s="18" t="n">
        <v>46090</v>
      </c>
      <c r="C44" s="13" t="inlineStr">
        <is>
          <t>微信1</t>
        </is>
      </c>
      <c r="D44" s="13" t="inlineStr">
        <is>
          <t>支出</t>
        </is>
      </c>
      <c r="E44" s="13" t="inlineStr">
        <is>
          <t>其他管理费用</t>
        </is>
      </c>
      <c r="F44" s="17">
        <f>IF($E44="","",IFERROR(VLOOKUP($E44,类别归属,2,0),"※类别不在基础资料里"))</f>
        <v/>
      </c>
      <c r="G44" s="13" t="inlineStr">
        <is>
          <t>校服基地</t>
        </is>
      </c>
      <c r="H44" s="13" t="n"/>
      <c r="I44" s="13" t="inlineStr">
        <is>
          <t>打车费</t>
        </is>
      </c>
      <c r="J44" s="14" t="n"/>
      <c r="K44" s="14" t="n">
        <v>17.2</v>
      </c>
      <c r="L44" s="19">
        <f>IF($C44="","",ROUND(IFERROR(VLOOKUP($C44,账户期初,2,0),0)+SUMIFS($J$4:J44,$C$4:C44,$C44)-SUMIFS($K$4:K44,$C$4:C44,$C44),2))</f>
        <v/>
      </c>
      <c r="M44" s="19">
        <f>IF($C44="","",ROUND(SUM(基础资料!$B$4:$B$13)+SUM($J$4:J44)-SUM($K$4:K44),2))</f>
        <v/>
      </c>
      <c r="N44" s="13" t="n"/>
      <c r="O44" s="13" t="n"/>
      <c r="P44" s="17">
        <f>IF($B44="","",IF($F44="※类别不在基础资料里","※费用类别不在基础资料里",IF(AND(N($J44)=0,N($K44)=0),"※这行没填金额",IF(AND(N($J44)&gt;0,N($K44)&gt;0),"※收入和支出不能同一行都填",IF(AND($D44="收入",N($J44)=0),"※收入行要填收入金额",IF(AND($D44="支出",N($K44)=0),"※支出行要填支出金额",IF(AND($C44&lt;&gt;"",ISNA(MATCH($C44,账户表,0))),"※账户不在基础资料里",IF(AND($G44&lt;&gt;"",ISNA(MATCH($G44,项目名表,0))),"※项目不在项目台账里",IF(AND(LEFT($F44,3)="成本-",$G44=""),"※成本类支出没填项目",IF(AND(LEFT($F44,3)="成本-",$H44&lt;&gt;"",N($K44)&gt;0,COUNTIFS(采购单!$B:$B,$B44,采购单!$C:$C,$H44,采购单!$L:$L,$K44)&gt;0),"※这笔可能和采购单重复了",""))))))))))</f>
        <v/>
      </c>
    </row>
    <row r="45">
      <c r="A45" s="17">
        <f>IF($B45="","",ROW()-3)</f>
        <v/>
      </c>
      <c r="B45" s="18" t="n">
        <v>46090</v>
      </c>
      <c r="C45" s="13" t="inlineStr">
        <is>
          <t>微信1</t>
        </is>
      </c>
      <c r="D45" s="13" t="inlineStr">
        <is>
          <t>支出</t>
        </is>
      </c>
      <c r="E45" s="13" t="inlineStr">
        <is>
          <t>其他管理费用</t>
        </is>
      </c>
      <c r="F45" s="17">
        <f>IF($E45="","",IFERROR(VLOOKUP($E45,类别归属,2,0),"※类别不在基础资料里"))</f>
        <v/>
      </c>
      <c r="G45" s="13" t="inlineStr">
        <is>
          <t>德清钟管菜市场</t>
        </is>
      </c>
      <c r="H45" s="13" t="n"/>
      <c r="I45" s="13" t="inlineStr">
        <is>
          <t>筒灯6500K120mm8只</t>
        </is>
      </c>
      <c r="J45" s="14" t="n"/>
      <c r="K45" s="14" t="n">
        <v>120</v>
      </c>
      <c r="L45" s="19">
        <f>IF($C45="","",ROUND(IFERROR(VLOOKUP($C45,账户期初,2,0),0)+SUMIFS($J$4:J45,$C$4:C45,$C45)-SUMIFS($K$4:K45,$C$4:C45,$C45),2))</f>
        <v/>
      </c>
      <c r="M45" s="19">
        <f>IF($C45="","",ROUND(SUM(基础资料!$B$4:$B$13)+SUM($J$4:J45)-SUM($K$4:K45),2))</f>
        <v/>
      </c>
      <c r="N45" s="13" t="n"/>
      <c r="O45" s="13" t="n"/>
      <c r="P45" s="17">
        <f>IF($B45="","",IF($F45="※类别不在基础资料里","※费用类别不在基础资料里",IF(AND(N($J45)=0,N($K45)=0),"※这行没填金额",IF(AND(N($J45)&gt;0,N($K45)&gt;0),"※收入和支出不能同一行都填",IF(AND($D45="收入",N($J45)=0),"※收入行要填收入金额",IF(AND($D45="支出",N($K45)=0),"※支出行要填支出金额",IF(AND($C45&lt;&gt;"",ISNA(MATCH($C45,账户表,0))),"※账户不在基础资料里",IF(AND($G45&lt;&gt;"",ISNA(MATCH($G45,项目名表,0))),"※项目不在项目台账里",IF(AND(LEFT($F45,3)="成本-",$G45=""),"※成本类支出没填项目",IF(AND(LEFT($F45,3)="成本-",$H45&lt;&gt;"",N($K45)&gt;0,COUNTIFS(采购单!$B:$B,$B45,采购单!$C:$C,$H45,采购单!$L:$L,$K45)&gt;0),"※这笔可能和采购单重复了",""))))))))))</f>
        <v/>
      </c>
    </row>
    <row r="46">
      <c r="A46" s="17">
        <f>IF($B46="","",ROW()-3)</f>
        <v/>
      </c>
      <c r="B46" s="18" t="n">
        <v>46090</v>
      </c>
      <c r="C46" s="13" t="inlineStr">
        <is>
          <t>微信1</t>
        </is>
      </c>
      <c r="D46" s="13" t="inlineStr">
        <is>
          <t>支出</t>
        </is>
      </c>
      <c r="E46" s="13" t="inlineStr">
        <is>
          <t>其他管理费用</t>
        </is>
      </c>
      <c r="F46" s="17">
        <f>IF($E46="","",IFERROR(VLOOKUP($E46,类别归属,2,0),"※类别不在基础资料里"))</f>
        <v/>
      </c>
      <c r="G46" s="13" t="inlineStr">
        <is>
          <t>德清钟管菜市场</t>
        </is>
      </c>
      <c r="H46" s="13" t="n"/>
      <c r="I46" s="13" t="inlineStr">
        <is>
          <t>双面胶一箱</t>
        </is>
      </c>
      <c r="J46" s="14" t="n"/>
      <c r="K46" s="14" t="n">
        <v>120</v>
      </c>
      <c r="L46" s="19">
        <f>IF($C46="","",ROUND(IFERROR(VLOOKUP($C46,账户期初,2,0),0)+SUMIFS($J$4:J46,$C$4:C46,$C46)-SUMIFS($K$4:K46,$C$4:C46,$C46),2))</f>
        <v/>
      </c>
      <c r="M46" s="19">
        <f>IF($C46="","",ROUND(SUM(基础资料!$B$4:$B$13)+SUM($J$4:J46)-SUM($K$4:K46),2))</f>
        <v/>
      </c>
      <c r="N46" s="13" t="n"/>
      <c r="O46" s="13" t="n"/>
      <c r="P46" s="17">
        <f>IF($B46="","",IF($F46="※类别不在基础资料里","※费用类别不在基础资料里",IF(AND(N($J46)=0,N($K46)=0),"※这行没填金额",IF(AND(N($J46)&gt;0,N($K46)&gt;0),"※收入和支出不能同一行都填",IF(AND($D46="收入",N($J46)=0),"※收入行要填收入金额",IF(AND($D46="支出",N($K46)=0),"※支出行要填支出金额",IF(AND($C46&lt;&gt;"",ISNA(MATCH($C46,账户表,0))),"※账户不在基础资料里",IF(AND($G46&lt;&gt;"",ISNA(MATCH($G46,项目名表,0))),"※项目不在项目台账里",IF(AND(LEFT($F46,3)="成本-",$G46=""),"※成本类支出没填项目",IF(AND(LEFT($F46,3)="成本-",$H46&lt;&gt;"",N($K46)&gt;0,COUNTIFS(采购单!$B:$B,$B46,采购单!$C:$C,$H46,采购单!$L:$L,$K46)&gt;0),"※这笔可能和采购单重复了",""))))))))))</f>
        <v/>
      </c>
    </row>
    <row r="47">
      <c r="A47" s="17">
        <f>IF($B47="","",ROW()-3)</f>
        <v/>
      </c>
      <c r="B47" s="18" t="n">
        <v>46090</v>
      </c>
      <c r="C47" s="13" t="inlineStr">
        <is>
          <t>微信1</t>
        </is>
      </c>
      <c r="D47" s="13" t="inlineStr">
        <is>
          <t>支出</t>
        </is>
      </c>
      <c r="E47" s="13" t="inlineStr">
        <is>
          <t>其他管理费用</t>
        </is>
      </c>
      <c r="F47" s="17">
        <f>IF($E47="","",IFERROR(VLOOKUP($E47,类别归属,2,0),"※类别不在基础资料里"))</f>
        <v/>
      </c>
      <c r="G47" s="13" t="inlineStr">
        <is>
          <t>德清钟管菜市场</t>
        </is>
      </c>
      <c r="H47" s="13" t="n"/>
      <c r="I47" s="13" t="inlineStr">
        <is>
          <t>10mm阻燃版2张</t>
        </is>
      </c>
      <c r="J47" s="14" t="n"/>
      <c r="K47" s="14" t="n">
        <v>130</v>
      </c>
      <c r="L47" s="19">
        <f>IF($C47="","",ROUND(IFERROR(VLOOKUP($C47,账户期初,2,0),0)+SUMIFS($J$4:J47,$C$4:C47,$C47)-SUMIFS($K$4:K47,$C$4:C47,$C47),2))</f>
        <v/>
      </c>
      <c r="M47" s="19">
        <f>IF($C47="","",ROUND(SUM(基础资料!$B$4:$B$13)+SUM($J$4:J47)-SUM($K$4:K47),2))</f>
        <v/>
      </c>
      <c r="N47" s="13" t="n"/>
      <c r="O47" s="13" t="n"/>
      <c r="P47" s="17">
        <f>IF($B47="","",IF($F47="※类别不在基础资料里","※费用类别不在基础资料里",IF(AND(N($J47)=0,N($K47)=0),"※这行没填金额",IF(AND(N($J47)&gt;0,N($K47)&gt;0),"※收入和支出不能同一行都填",IF(AND($D47="收入",N($J47)=0),"※收入行要填收入金额",IF(AND($D47="支出",N($K47)=0),"※支出行要填支出金额",IF(AND($C47&lt;&gt;"",ISNA(MATCH($C47,账户表,0))),"※账户不在基础资料里",IF(AND($G47&lt;&gt;"",ISNA(MATCH($G47,项目名表,0))),"※项目不在项目台账里",IF(AND(LEFT($F47,3)="成本-",$G47=""),"※成本类支出没填项目",IF(AND(LEFT($F47,3)="成本-",$H47&lt;&gt;"",N($K47)&gt;0,COUNTIFS(采购单!$B:$B,$B47,采购单!$C:$C,$H47,采购单!$L:$L,$K47)&gt;0),"※这笔可能和采购单重复了",""))))))))))</f>
        <v/>
      </c>
    </row>
    <row r="48">
      <c r="A48" s="17">
        <f>IF($B48="","",ROW()-3)</f>
        <v/>
      </c>
      <c r="B48" s="18" t="n">
        <v>46090</v>
      </c>
      <c r="C48" s="13" t="inlineStr">
        <is>
          <t>微信1</t>
        </is>
      </c>
      <c r="D48" s="13" t="inlineStr">
        <is>
          <t>支出</t>
        </is>
      </c>
      <c r="E48" s="13" t="inlineStr">
        <is>
          <t>车费/油费/过路费</t>
        </is>
      </c>
      <c r="F48" s="17">
        <f>IF($E48="","",IFERROR(VLOOKUP($E48,类别归属,2,0),"※类别不在基础资料里"))</f>
        <v/>
      </c>
      <c r="G48" s="13" t="inlineStr">
        <is>
          <t>德清钟管菜市场</t>
        </is>
      </c>
      <c r="H48" s="13" t="n"/>
      <c r="I48" s="13" t="inlineStr">
        <is>
          <t>高速费</t>
        </is>
      </c>
      <c r="J48" s="14" t="n"/>
      <c r="K48" s="14" t="n">
        <v>12</v>
      </c>
      <c r="L48" s="19">
        <f>IF($C48="","",ROUND(IFERROR(VLOOKUP($C48,账户期初,2,0),0)+SUMIFS($J$4:J48,$C$4:C48,$C48)-SUMIFS($K$4:K48,$C$4:C48,$C48),2))</f>
        <v/>
      </c>
      <c r="M48" s="19">
        <f>IF($C48="","",ROUND(SUM(基础资料!$B$4:$B$13)+SUM($J$4:J48)-SUM($K$4:K48),2))</f>
        <v/>
      </c>
      <c r="N48" s="13" t="n"/>
      <c r="O48" s="13" t="n"/>
      <c r="P48" s="17">
        <f>IF($B48="","",IF($F48="※类别不在基础资料里","※费用类别不在基础资料里",IF(AND(N($J48)=0,N($K48)=0),"※这行没填金额",IF(AND(N($J48)&gt;0,N($K48)&gt;0),"※收入和支出不能同一行都填",IF(AND($D48="收入",N($J48)=0),"※收入行要填收入金额",IF(AND($D48="支出",N($K48)=0),"※支出行要填支出金额",IF(AND($C48&lt;&gt;"",ISNA(MATCH($C48,账户表,0))),"※账户不在基础资料里",IF(AND($G48&lt;&gt;"",ISNA(MATCH($G48,项目名表,0))),"※项目不在项目台账里",IF(AND(LEFT($F48,3)="成本-",$G48=""),"※成本类支出没填项目",IF(AND(LEFT($F48,3)="成本-",$H48&lt;&gt;"",N($K48)&gt;0,COUNTIFS(采购单!$B:$B,$B48,采购单!$C:$C,$H48,采购单!$L:$L,$K48)&gt;0),"※这笔可能和采购单重复了",""))))))))))</f>
        <v/>
      </c>
    </row>
    <row r="49">
      <c r="A49" s="17">
        <f>IF($B49="","",ROW()-3)</f>
        <v/>
      </c>
      <c r="B49" s="18" t="n">
        <v>46090</v>
      </c>
      <c r="C49" s="13" t="inlineStr">
        <is>
          <t>微信1</t>
        </is>
      </c>
      <c r="D49" s="13" t="inlineStr">
        <is>
          <t>支出</t>
        </is>
      </c>
      <c r="E49" s="13" t="inlineStr">
        <is>
          <t>车费/油费/过路费</t>
        </is>
      </c>
      <c r="F49" s="17">
        <f>IF($E49="","",IFERROR(VLOOKUP($E49,类别归属,2,0),"※类别不在基础资料里"))</f>
        <v/>
      </c>
      <c r="G49" s="13" t="n"/>
      <c r="H49" s="13" t="n"/>
      <c r="I49" s="13" t="inlineStr">
        <is>
          <t>312加油</t>
        </is>
      </c>
      <c r="J49" s="14" t="n"/>
      <c r="K49" s="14" t="n">
        <v>200</v>
      </c>
      <c r="L49" s="19">
        <f>IF($C49="","",ROUND(IFERROR(VLOOKUP($C49,账户期初,2,0),0)+SUMIFS($J$4:J49,$C$4:C49,$C49)-SUMIFS($K$4:K49,$C$4:C49,$C49),2))</f>
        <v/>
      </c>
      <c r="M49" s="19">
        <f>IF($C49="","",ROUND(SUM(基础资料!$B$4:$B$13)+SUM($J$4:J49)-SUM($K$4:K49),2))</f>
        <v/>
      </c>
      <c r="N49" s="13" t="n"/>
      <c r="O49" s="13" t="n"/>
      <c r="P49" s="17">
        <f>IF($B49="","",IF($F49="※类别不在基础资料里","※费用类别不在基础资料里",IF(AND(N($J49)=0,N($K49)=0),"※这行没填金额",IF(AND(N($J49)&gt;0,N($K49)&gt;0),"※收入和支出不能同一行都填",IF(AND($D49="收入",N($J49)=0),"※收入行要填收入金额",IF(AND($D49="支出",N($K49)=0),"※支出行要填支出金额",IF(AND($C49&lt;&gt;"",ISNA(MATCH($C49,账户表,0))),"※账户不在基础资料里",IF(AND($G49&lt;&gt;"",ISNA(MATCH($G49,项目名表,0))),"※项目不在项目台账里",IF(AND(LEFT($F49,3)="成本-",$G49=""),"※成本类支出没填项目",IF(AND(LEFT($F49,3)="成本-",$H49&lt;&gt;"",N($K49)&gt;0,COUNTIFS(采购单!$B:$B,$B49,采购单!$C:$C,$H49,采购单!$L:$L,$K49)&gt;0),"※这笔可能和采购单重复了",""))))))))))</f>
        <v/>
      </c>
    </row>
    <row r="50">
      <c r="A50" s="17">
        <f>IF($B50="","",ROW()-3)</f>
        <v/>
      </c>
      <c r="B50" s="18" t="n">
        <v>46090</v>
      </c>
      <c r="C50" s="13" t="inlineStr">
        <is>
          <t>微信1</t>
        </is>
      </c>
      <c r="D50" s="13" t="inlineStr">
        <is>
          <t>支出</t>
        </is>
      </c>
      <c r="E50" s="13" t="inlineStr">
        <is>
          <t>主材采购</t>
        </is>
      </c>
      <c r="F50" s="17">
        <f>IF($E50="","",IFERROR(VLOOKUP($E50,类别归属,2,0),"※类别不在基础资料里"))</f>
        <v/>
      </c>
      <c r="G50" s="13" t="inlineStr">
        <is>
          <t>高恒荣熟食店</t>
        </is>
      </c>
      <c r="H50" s="13" t="inlineStr">
        <is>
          <t>吴玲芳</t>
        </is>
      </c>
      <c r="I50" s="13" t="inlineStr">
        <is>
          <t>付吴玲芳</t>
        </is>
      </c>
      <c r="J50" s="14" t="n"/>
      <c r="K50" s="14" t="n">
        <v>900</v>
      </c>
      <c r="L50" s="19">
        <f>IF($C50="","",ROUND(IFERROR(VLOOKUP($C50,账户期初,2,0),0)+SUMIFS($J$4:J50,$C$4:C50,$C50)-SUMIFS($K$4:K50,$C$4:C50,$C50),2))</f>
        <v/>
      </c>
      <c r="M50" s="19">
        <f>IF($C50="","",ROUND(SUM(基础资料!$B$4:$B$13)+SUM($J$4:J50)-SUM($K$4:K50),2))</f>
        <v/>
      </c>
      <c r="N50" s="13" t="n"/>
      <c r="O50" s="13" t="n"/>
      <c r="P50" s="17">
        <f>IF($B50="","",IF($F50="※类别不在基础资料里","※费用类别不在基础资料里",IF(AND(N($J50)=0,N($K50)=0),"※这行没填金额",IF(AND(N($J50)&gt;0,N($K50)&gt;0),"※收入和支出不能同一行都填",IF(AND($D50="收入",N($J50)=0),"※收入行要填收入金额",IF(AND($D50="支出",N($K50)=0),"※支出行要填支出金额",IF(AND($C50&lt;&gt;"",ISNA(MATCH($C50,账户表,0))),"※账户不在基础资料里",IF(AND($G50&lt;&gt;"",ISNA(MATCH($G50,项目名表,0))),"※项目不在项目台账里",IF(AND(LEFT($F50,3)="成本-",$G50=""),"※成本类支出没填项目",IF(AND(LEFT($F50,3)="成本-",$H50&lt;&gt;"",N($K50)&gt;0,COUNTIFS(采购单!$B:$B,$B50,采购单!$C:$C,$H50,采购单!$L:$L,$K50)&gt;0),"※这笔可能和采购单重复了",""))))))))))</f>
        <v/>
      </c>
    </row>
    <row r="51">
      <c r="A51" s="17">
        <f>IF($B51="","",ROW()-3)</f>
        <v/>
      </c>
      <c r="B51" s="18" t="n">
        <v>46090</v>
      </c>
      <c r="C51" s="13" t="inlineStr">
        <is>
          <t>微信1</t>
        </is>
      </c>
      <c r="D51" s="13" t="inlineStr">
        <is>
          <t>支出</t>
        </is>
      </c>
      <c r="E51" s="13" t="inlineStr">
        <is>
          <t>运费/快递费</t>
        </is>
      </c>
      <c r="F51" s="17">
        <f>IF($E51="","",IFERROR(VLOOKUP($E51,类别归属,2,0),"※类别不在基础资料里"))</f>
        <v/>
      </c>
      <c r="G51" s="13" t="inlineStr">
        <is>
          <t>织里店</t>
        </is>
      </c>
      <c r="H51" s="13" t="inlineStr">
        <is>
          <t>炳秀</t>
        </is>
      </c>
      <c r="I51" s="13" t="inlineStr">
        <is>
          <t>付炳秀配送</t>
        </is>
      </c>
      <c r="J51" s="14" t="n"/>
      <c r="K51" s="14" t="n">
        <v>62</v>
      </c>
      <c r="L51" s="19">
        <f>IF($C51="","",ROUND(IFERROR(VLOOKUP($C51,账户期初,2,0),0)+SUMIFS($J$4:J51,$C$4:C51,$C51)-SUMIFS($K$4:K51,$C$4:C51,$C51),2))</f>
        <v/>
      </c>
      <c r="M51" s="19">
        <f>IF($C51="","",ROUND(SUM(基础资料!$B$4:$B$13)+SUM($J$4:J51)-SUM($K$4:K51),2))</f>
        <v/>
      </c>
      <c r="N51" s="13" t="n"/>
      <c r="O51" s="13" t="n"/>
      <c r="P51" s="17">
        <f>IF($B51="","",IF($F51="※类别不在基础资料里","※费用类别不在基础资料里",IF(AND(N($J51)=0,N($K51)=0),"※这行没填金额",IF(AND(N($J51)&gt;0,N($K51)&gt;0),"※收入和支出不能同一行都填",IF(AND($D51="收入",N($J51)=0),"※收入行要填收入金额",IF(AND($D51="支出",N($K51)=0),"※支出行要填支出金额",IF(AND($C51&lt;&gt;"",ISNA(MATCH($C51,账户表,0))),"※账户不在基础资料里",IF(AND($G51&lt;&gt;"",ISNA(MATCH($G51,项目名表,0))),"※项目不在项目台账里",IF(AND(LEFT($F51,3)="成本-",$G51=""),"※成本类支出没填项目",IF(AND(LEFT($F51,3)="成本-",$H51&lt;&gt;"",N($K51)&gt;0,COUNTIFS(采购单!$B:$B,$B51,采购单!$C:$C,$H51,采购单!$L:$L,$K51)&gt;0),"※这笔可能和采购单重复了",""))))))))))</f>
        <v/>
      </c>
    </row>
    <row r="52">
      <c r="A52" s="17">
        <f>IF($B52="","",ROW()-3)</f>
        <v/>
      </c>
      <c r="B52" s="18" t="n">
        <v>46090</v>
      </c>
      <c r="C52" s="13" t="inlineStr">
        <is>
          <t>微信1</t>
        </is>
      </c>
      <c r="D52" s="13" t="inlineStr">
        <is>
          <t>收入</t>
        </is>
      </c>
      <c r="E52" s="13" t="inlineStr">
        <is>
          <t>零星物料销售</t>
        </is>
      </c>
      <c r="F52" s="17">
        <f>IF($E52="","",IFERROR(VLOOKUP($E52,类别归属,2,0),"※类别不在基础资料里"))</f>
        <v/>
      </c>
      <c r="G52" s="13" t="n"/>
      <c r="H52" s="13" t="n"/>
      <c r="I52" s="13" t="inlineStr">
        <is>
          <t>锅贴菜单-收阿</t>
        </is>
      </c>
      <c r="J52" s="14" t="n">
        <v>30</v>
      </c>
      <c r="K52" s="14" t="n"/>
      <c r="L52" s="19">
        <f>IF($C52="","",ROUND(IFERROR(VLOOKUP($C52,账户期初,2,0),0)+SUMIFS($J$4:J52,$C$4:C52,$C52)-SUMIFS($K$4:K52,$C$4:C52,$C52),2))</f>
        <v/>
      </c>
      <c r="M52" s="19">
        <f>IF($C52="","",ROUND(SUM(基础资料!$B$4:$B$13)+SUM($J$4:J52)-SUM($K$4:K52),2))</f>
        <v/>
      </c>
      <c r="N52" s="13" t="n"/>
      <c r="O52" s="13" t="n"/>
      <c r="P52" s="17">
        <f>IF($B52="","",IF($F52="※类别不在基础资料里","※费用类别不在基础资料里",IF(AND(N($J52)=0,N($K52)=0),"※这行没填金额",IF(AND(N($J52)&gt;0,N($K52)&gt;0),"※收入和支出不能同一行都填",IF(AND($D52="收入",N($J52)=0),"※收入行要填收入金额",IF(AND($D52="支出",N($K52)=0),"※支出行要填支出金额",IF(AND($C52&lt;&gt;"",ISNA(MATCH($C52,账户表,0))),"※账户不在基础资料里",IF(AND($G52&lt;&gt;"",ISNA(MATCH($G52,项目名表,0))),"※项目不在项目台账里",IF(AND(LEFT($F52,3)="成本-",$G52=""),"※成本类支出没填项目",IF(AND(LEFT($F52,3)="成本-",$H52&lt;&gt;"",N($K52)&gt;0,COUNTIFS(采购单!$B:$B,$B52,采购单!$C:$C,$H52,采购单!$L:$L,$K52)&gt;0),"※这笔可能和采购单重复了",""))))))))))</f>
        <v/>
      </c>
    </row>
    <row r="53">
      <c r="A53" s="17">
        <f>IF($B53="","",ROW()-3)</f>
        <v/>
      </c>
      <c r="B53" s="18" t="n">
        <v>46082</v>
      </c>
      <c r="C53" s="13" t="inlineStr">
        <is>
          <t>微信1</t>
        </is>
      </c>
      <c r="D53" s="13" t="inlineStr">
        <is>
          <t>支出</t>
        </is>
      </c>
      <c r="E53" s="13" t="inlineStr">
        <is>
          <t>主材采购</t>
        </is>
      </c>
      <c r="F53" s="17">
        <f>IF($E53="","",IFERROR(VLOOKUP($E53,类别归属,2,0),"※类别不在基础资料里"))</f>
        <v/>
      </c>
      <c r="G53" s="13" t="inlineStr">
        <is>
          <t>德清津华钢铁</t>
        </is>
      </c>
      <c r="H53" s="13" t="inlineStr">
        <is>
          <t>津华钢铁张总</t>
        </is>
      </c>
      <c r="I53" s="13" t="inlineStr">
        <is>
          <t>付津华钢铁张总</t>
        </is>
      </c>
      <c r="J53" s="14" t="n"/>
      <c r="K53" s="14" t="n">
        <v>2000</v>
      </c>
      <c r="L53" s="19">
        <f>IF($C53="","",ROUND(IFERROR(VLOOKUP($C53,账户期初,2,0),0)+SUMIFS($J$4:J53,$C$4:C53,$C53)-SUMIFS($K$4:K53,$C$4:C53,$C53),2))</f>
        <v/>
      </c>
      <c r="M53" s="19">
        <f>IF($C53="","",ROUND(SUM(基础资料!$B$4:$B$13)+SUM($J$4:J53)-SUM($K$4:K53),2))</f>
        <v/>
      </c>
      <c r="N53" s="13" t="n"/>
      <c r="O53" s="13" t="n"/>
      <c r="P53" s="17">
        <f>IF($B53="","",IF($F53="※类别不在基础资料里","※费用类别不在基础资料里",IF(AND(N($J53)=0,N($K53)=0),"※这行没填金额",IF(AND(N($J53)&gt;0,N($K53)&gt;0),"※收入和支出不能同一行都填",IF(AND($D53="收入",N($J53)=0),"※收入行要填收入金额",IF(AND($D53="支出",N($K53)=0),"※支出行要填支出金额",IF(AND($C53&lt;&gt;"",ISNA(MATCH($C53,账户表,0))),"※账户不在基础资料里",IF(AND($G53&lt;&gt;"",ISNA(MATCH($G53,项目名表,0))),"※项目不在项目台账里",IF(AND(LEFT($F53,3)="成本-",$G53=""),"※成本类支出没填项目",IF(AND(LEFT($F53,3)="成本-",$H53&lt;&gt;"",N($K53)&gt;0,COUNTIFS(采购单!$B:$B,$B53,采购单!$C:$C,$H53,采购单!$L:$L,$K53)&gt;0),"※这笔可能和采购单重复了",""))))))))))</f>
        <v/>
      </c>
    </row>
    <row r="54">
      <c r="A54" s="17">
        <f>IF($B54="","",ROW()-3)</f>
        <v/>
      </c>
      <c r="B54" s="18" t="n">
        <v>46082</v>
      </c>
      <c r="C54" s="13" t="inlineStr">
        <is>
          <t>微信1</t>
        </is>
      </c>
      <c r="D54" s="13" t="inlineStr">
        <is>
          <t>收入</t>
        </is>
      </c>
      <c r="E54" s="13" t="inlineStr">
        <is>
          <t>收回借出款</t>
        </is>
      </c>
      <c r="F54" s="17">
        <f>IF($E54="","",IFERROR(VLOOKUP($E54,类别归属,2,0),"※类别不在基础资料里"))</f>
        <v/>
      </c>
      <c r="G54" s="13" t="n"/>
      <c r="H54" s="13" t="inlineStr">
        <is>
          <t>往来款</t>
        </is>
      </c>
      <c r="I54" s="13" t="inlineStr">
        <is>
          <t>收付久华借3000-2000还款</t>
        </is>
      </c>
      <c r="J54" s="14" t="n">
        <v>2000</v>
      </c>
      <c r="K54" s="14" t="n"/>
      <c r="L54" s="19">
        <f>IF($C54="","",ROUND(IFERROR(VLOOKUP($C54,账户期初,2,0),0)+SUMIFS($J$4:J54,$C$4:C54,$C54)-SUMIFS($K$4:K54,$C$4:C54,$C54),2))</f>
        <v/>
      </c>
      <c r="M54" s="19">
        <f>IF($C54="","",ROUND(SUM(基础资料!$B$4:$B$13)+SUM($J$4:J54)-SUM($K$4:K54),2))</f>
        <v/>
      </c>
      <c r="N54" s="13" t="n"/>
      <c r="O54" s="13" t="n"/>
      <c r="P54" s="17">
        <f>IF($B54="","",IF($F54="※类别不在基础资料里","※费用类别不在基础资料里",IF(AND(N($J54)=0,N($K54)=0),"※这行没填金额",IF(AND(N($J54)&gt;0,N($K54)&gt;0),"※收入和支出不能同一行都填",IF(AND($D54="收入",N($J54)=0),"※收入行要填收入金额",IF(AND($D54="支出",N($K54)=0),"※支出行要填支出金额",IF(AND($C54&lt;&gt;"",ISNA(MATCH($C54,账户表,0))),"※账户不在基础资料里",IF(AND($G54&lt;&gt;"",ISNA(MATCH($G54,项目名表,0))),"※项目不在项目台账里",IF(AND(LEFT($F54,3)="成本-",$G54=""),"※成本类支出没填项目",IF(AND(LEFT($F54,3)="成本-",$H54&lt;&gt;"",N($K54)&gt;0,COUNTIFS(采购单!$B:$B,$B54,采购单!$C:$C,$H54,采购单!$L:$L,$K54)&gt;0),"※这笔可能和采购单重复了",""))))))))))</f>
        <v/>
      </c>
    </row>
    <row r="55">
      <c r="A55" s="17">
        <f>IF($B55="","",ROW()-3)</f>
        <v/>
      </c>
      <c r="B55" s="18" t="n">
        <v>46082</v>
      </c>
      <c r="C55" s="13" t="inlineStr">
        <is>
          <t>微信1</t>
        </is>
      </c>
      <c r="D55" s="13" t="inlineStr">
        <is>
          <t>支出</t>
        </is>
      </c>
      <c r="E55" s="13" t="inlineStr">
        <is>
          <t>运费/快递费</t>
        </is>
      </c>
      <c r="F55" s="17">
        <f>IF($E55="","",IFERROR(VLOOKUP($E55,类别归属,2,0),"※类别不在基础资料里"))</f>
        <v/>
      </c>
      <c r="G55" s="13" t="inlineStr">
        <is>
          <t>织里店</t>
        </is>
      </c>
      <c r="H55" s="13" t="inlineStr">
        <is>
          <t>炳秀</t>
        </is>
      </c>
      <c r="I55" s="13" t="inlineStr">
        <is>
          <t>付炳秀配送</t>
        </is>
      </c>
      <c r="J55" s="14" t="n"/>
      <c r="K55" s="14" t="n">
        <v>94</v>
      </c>
      <c r="L55" s="19">
        <f>IF($C55="","",ROUND(IFERROR(VLOOKUP($C55,账户期初,2,0),0)+SUMIFS($J$4:J55,$C$4:C55,$C55)-SUMIFS($K$4:K55,$C$4:C55,$C55),2))</f>
        <v/>
      </c>
      <c r="M55" s="19">
        <f>IF($C55="","",ROUND(SUM(基础资料!$B$4:$B$13)+SUM($J$4:J55)-SUM($K$4:K55),2))</f>
        <v/>
      </c>
      <c r="N55" s="13" t="n"/>
      <c r="O55" s="13" t="n"/>
      <c r="P55" s="17">
        <f>IF($B55="","",IF($F55="※类别不在基础资料里","※费用类别不在基础资料里",IF(AND(N($J55)=0,N($K55)=0),"※这行没填金额",IF(AND(N($J55)&gt;0,N($K55)&gt;0),"※收入和支出不能同一行都填",IF(AND($D55="收入",N($J55)=0),"※收入行要填收入金额",IF(AND($D55="支出",N($K55)=0),"※支出行要填支出金额",IF(AND($C55&lt;&gt;"",ISNA(MATCH($C55,账户表,0))),"※账户不在基础资料里",IF(AND($G55&lt;&gt;"",ISNA(MATCH($G55,项目名表,0))),"※项目不在项目台账里",IF(AND(LEFT($F55,3)="成本-",$G55=""),"※成本类支出没填项目",IF(AND(LEFT($F55,3)="成本-",$H55&lt;&gt;"",N($K55)&gt;0,COUNTIFS(采购单!$B:$B,$B55,采购单!$C:$C,$H55,采购单!$L:$L,$K55)&gt;0),"※这笔可能和采购单重复了",""))))))))))</f>
        <v/>
      </c>
    </row>
    <row r="56">
      <c r="A56" s="17">
        <f>IF($B56="","",ROW()-3)</f>
        <v/>
      </c>
      <c r="B56" s="18" t="n">
        <v>46082</v>
      </c>
      <c r="C56" s="13" t="inlineStr">
        <is>
          <t>微信1</t>
        </is>
      </c>
      <c r="D56" s="13" t="inlineStr">
        <is>
          <t>支出</t>
        </is>
      </c>
      <c r="E56" s="13" t="inlineStr">
        <is>
          <t>运费/快递费</t>
        </is>
      </c>
      <c r="F56" s="17">
        <f>IF($E56="","",IFERROR(VLOOKUP($E56,类别归属,2,0),"※类别不在基础资料里"))</f>
        <v/>
      </c>
      <c r="G56" s="13" t="inlineStr">
        <is>
          <t>犇腾牛排</t>
        </is>
      </c>
      <c r="H56" s="13" t="inlineStr">
        <is>
          <t>炳秀</t>
        </is>
      </c>
      <c r="I56" s="13" t="inlineStr">
        <is>
          <t>付炳秀配送</t>
        </is>
      </c>
      <c r="J56" s="14" t="n"/>
      <c r="K56" s="14" t="n">
        <v>5</v>
      </c>
      <c r="L56" s="19">
        <f>IF($C56="","",ROUND(IFERROR(VLOOKUP($C56,账户期初,2,0),0)+SUMIFS($J$4:J56,$C$4:C56,$C56)-SUMIFS($K$4:K56,$C$4:C56,$C56),2))</f>
        <v/>
      </c>
      <c r="M56" s="19">
        <f>IF($C56="","",ROUND(SUM(基础资料!$B$4:$B$13)+SUM($J$4:J56)-SUM($K$4:K56),2))</f>
        <v/>
      </c>
      <c r="N56" s="13" t="n"/>
      <c r="O56" s="13" t="n"/>
      <c r="P56" s="17">
        <f>IF($B56="","",IF($F56="※类别不在基础资料里","※费用类别不在基础资料里",IF(AND(N($J56)=0,N($K56)=0),"※这行没填金额",IF(AND(N($J56)&gt;0,N($K56)&gt;0),"※收入和支出不能同一行都填",IF(AND($D56="收入",N($J56)=0),"※收入行要填收入金额",IF(AND($D56="支出",N($K56)=0),"※支出行要填支出金额",IF(AND($C56&lt;&gt;"",ISNA(MATCH($C56,账户表,0))),"※账户不在基础资料里",IF(AND($G56&lt;&gt;"",ISNA(MATCH($G56,项目名表,0))),"※项目不在项目台账里",IF(AND(LEFT($F56,3)="成本-",$G56=""),"※成本类支出没填项目",IF(AND(LEFT($F56,3)="成本-",$H56&lt;&gt;"",N($K56)&gt;0,COUNTIFS(采购单!$B:$B,$B56,采购单!$C:$C,$H56,采购单!$L:$L,$K56)&gt;0),"※这笔可能和采购单重复了",""))))))))))</f>
        <v/>
      </c>
    </row>
    <row r="57">
      <c r="A57" s="17">
        <f>IF($B57="","",ROW()-3)</f>
        <v/>
      </c>
      <c r="B57" s="18" t="n">
        <v>46082</v>
      </c>
      <c r="C57" s="13" t="inlineStr">
        <is>
          <t>微信1</t>
        </is>
      </c>
      <c r="D57" s="13" t="inlineStr">
        <is>
          <t>支出</t>
        </is>
      </c>
      <c r="E57" s="13" t="inlineStr">
        <is>
          <t>运费/快递费</t>
        </is>
      </c>
      <c r="F57" s="17">
        <f>IF($E57="","",IFERROR(VLOOKUP($E57,类别归属,2,0),"※类别不在基础资料里"))</f>
        <v/>
      </c>
      <c r="G57" s="13" t="inlineStr">
        <is>
          <t>犇腾牛排</t>
        </is>
      </c>
      <c r="H57" s="13" t="inlineStr">
        <is>
          <t>炳秀</t>
        </is>
      </c>
      <c r="I57" s="13" t="inlineStr">
        <is>
          <t>付炳秀配送</t>
        </is>
      </c>
      <c r="J57" s="14" t="n"/>
      <c r="K57" s="14" t="n">
        <v>23</v>
      </c>
      <c r="L57" s="19">
        <f>IF($C57="","",ROUND(IFERROR(VLOOKUP($C57,账户期初,2,0),0)+SUMIFS($J$4:J57,$C$4:C57,$C57)-SUMIFS($K$4:K57,$C$4:C57,$C57),2))</f>
        <v/>
      </c>
      <c r="M57" s="19">
        <f>IF($C57="","",ROUND(SUM(基础资料!$B$4:$B$13)+SUM($J$4:J57)-SUM($K$4:K57),2))</f>
        <v/>
      </c>
      <c r="N57" s="13" t="n"/>
      <c r="O57" s="13" t="n"/>
      <c r="P57" s="17">
        <f>IF($B57="","",IF($F57="※类别不在基础资料里","※费用类别不在基础资料里",IF(AND(N($J57)=0,N($K57)=0),"※这行没填金额",IF(AND(N($J57)&gt;0,N($K57)&gt;0),"※收入和支出不能同一行都填",IF(AND($D57="收入",N($J57)=0),"※收入行要填收入金额",IF(AND($D57="支出",N($K57)=0),"※支出行要填支出金额",IF(AND($C57&lt;&gt;"",ISNA(MATCH($C57,账户表,0))),"※账户不在基础资料里",IF(AND($G57&lt;&gt;"",ISNA(MATCH($G57,项目名表,0))),"※项目不在项目台账里",IF(AND(LEFT($F57,3)="成本-",$G57=""),"※成本类支出没填项目",IF(AND(LEFT($F57,3)="成本-",$H57&lt;&gt;"",N($K57)&gt;0,COUNTIFS(采购单!$B:$B,$B57,采购单!$C:$C,$H57,采购单!$L:$L,$K57)&gt;0),"※这笔可能和采购单重复了",""))))))))))</f>
        <v/>
      </c>
    </row>
    <row r="58">
      <c r="A58" s="17">
        <f>IF($B58="","",ROW()-3)</f>
        <v/>
      </c>
      <c r="B58" s="18" t="n">
        <v>46082</v>
      </c>
      <c r="C58" s="13" t="inlineStr">
        <is>
          <t>微信1</t>
        </is>
      </c>
      <c r="D58" s="13" t="inlineStr">
        <is>
          <t>支出</t>
        </is>
      </c>
      <c r="E58" s="13" t="inlineStr">
        <is>
          <t>主材采购</t>
        </is>
      </c>
      <c r="F58" s="17">
        <f>IF($E58="","",IFERROR(VLOOKUP($E58,类别归属,2,0),"※类别不在基础资料里"))</f>
        <v/>
      </c>
      <c r="G58" s="13" t="inlineStr">
        <is>
          <t>高恒荣熟食店</t>
        </is>
      </c>
      <c r="H58" s="13" t="n"/>
      <c r="I58" s="13" t="inlineStr">
        <is>
          <t>付杨老头电焊-钟管门头彩钢瓦雨棚</t>
        </is>
      </c>
      <c r="J58" s="14" t="n"/>
      <c r="K58" s="14" t="n">
        <v>270</v>
      </c>
      <c r="L58" s="19">
        <f>IF($C58="","",ROUND(IFERROR(VLOOKUP($C58,账户期初,2,0),0)+SUMIFS($J$4:J58,$C$4:C58,$C58)-SUMIFS($K$4:K58,$C$4:C58,$C58),2))</f>
        <v/>
      </c>
      <c r="M58" s="19">
        <f>IF($C58="","",ROUND(SUM(基础资料!$B$4:$B$13)+SUM($J$4:J58)-SUM($K$4:K58),2))</f>
        <v/>
      </c>
      <c r="N58" s="13" t="n"/>
      <c r="O58" s="13" t="n"/>
      <c r="P58" s="17">
        <f>IF($B58="","",IF($F58="※类别不在基础资料里","※费用类别不在基础资料里",IF(AND(N($J58)=0,N($K58)=0),"※这行没填金额",IF(AND(N($J58)&gt;0,N($K58)&gt;0),"※收入和支出不能同一行都填",IF(AND($D58="收入",N($J58)=0),"※收入行要填收入金额",IF(AND($D58="支出",N($K58)=0),"※支出行要填支出金额",IF(AND($C58&lt;&gt;"",ISNA(MATCH($C58,账户表,0))),"※账户不在基础资料里",IF(AND($G58&lt;&gt;"",ISNA(MATCH($G58,项目名表,0))),"※项目不在项目台账里",IF(AND(LEFT($F58,3)="成本-",$G58=""),"※成本类支出没填项目",IF(AND(LEFT($F58,3)="成本-",$H58&lt;&gt;"",N($K58)&gt;0,COUNTIFS(采购单!$B:$B,$B58,采购单!$C:$C,$H58,采购单!$L:$L,$K58)&gt;0),"※这笔可能和采购单重复了",""))))))))))</f>
        <v/>
      </c>
    </row>
    <row r="59">
      <c r="A59" s="17">
        <f>IF($B59="","",ROW()-3)</f>
        <v/>
      </c>
      <c r="B59" s="18" t="n">
        <v>46092</v>
      </c>
      <c r="C59" s="13" t="inlineStr">
        <is>
          <t>微信1</t>
        </is>
      </c>
      <c r="D59" s="13" t="inlineStr">
        <is>
          <t>支出</t>
        </is>
      </c>
      <c r="E59" s="13" t="inlineStr">
        <is>
          <t>主材采购</t>
        </is>
      </c>
      <c r="F59" s="17">
        <f>IF($E59="","",IFERROR(VLOOKUP($E59,类别归属,2,0),"※类别不在基础资料里"))</f>
        <v/>
      </c>
      <c r="G59" s="13" t="inlineStr">
        <is>
          <t>东尼电子</t>
        </is>
      </c>
      <c r="H59" s="13" t="n"/>
      <c r="I59" s="13" t="inlineStr">
        <is>
          <t>付杨采购东尼LED屏反场运费200元</t>
        </is>
      </c>
      <c r="J59" s="14" t="n"/>
      <c r="K59" s="14" t="n">
        <v>200</v>
      </c>
      <c r="L59" s="19">
        <f>IF($C59="","",ROUND(IFERROR(VLOOKUP($C59,账户期初,2,0),0)+SUMIFS($J$4:J59,$C$4:C59,$C59)-SUMIFS($K$4:K59,$C$4:C59,$C59),2))</f>
        <v/>
      </c>
      <c r="M59" s="19">
        <f>IF($C59="","",ROUND(SUM(基础资料!$B$4:$B$13)+SUM($J$4:J59)-SUM($K$4:K59),2))</f>
        <v/>
      </c>
      <c r="N59" s="13" t="n"/>
      <c r="O59" s="13" t="n"/>
      <c r="P59" s="17">
        <f>IF($B59="","",IF($F59="※类别不在基础资料里","※费用类别不在基础资料里",IF(AND(N($J59)=0,N($K59)=0),"※这行没填金额",IF(AND(N($J59)&gt;0,N($K59)&gt;0),"※收入和支出不能同一行都填",IF(AND($D59="收入",N($J59)=0),"※收入行要填收入金额",IF(AND($D59="支出",N($K59)=0),"※支出行要填支出金额",IF(AND($C59&lt;&gt;"",ISNA(MATCH($C59,账户表,0))),"※账户不在基础资料里",IF(AND($G59&lt;&gt;"",ISNA(MATCH($G59,项目名表,0))),"※项目不在项目台账里",IF(AND(LEFT($F59,3)="成本-",$G59=""),"※成本类支出没填项目",IF(AND(LEFT($F59,3)="成本-",$H59&lt;&gt;"",N($K59)&gt;0,COUNTIFS(采购单!$B:$B,$B59,采购单!$C:$C,$H59,采购单!$L:$L,$K59)&gt;0),"※这笔可能和采购单重复了",""))))))))))</f>
        <v/>
      </c>
    </row>
    <row r="60">
      <c r="A60" s="17">
        <f>IF($B60="","",ROW()-3)</f>
        <v/>
      </c>
      <c r="B60" s="18" t="n">
        <v>46092</v>
      </c>
      <c r="C60" s="13" t="inlineStr">
        <is>
          <t>微信1</t>
        </is>
      </c>
      <c r="D60" s="13" t="inlineStr">
        <is>
          <t>支出</t>
        </is>
      </c>
      <c r="E60" s="13" t="inlineStr">
        <is>
          <t>运费/快递费</t>
        </is>
      </c>
      <c r="F60" s="17">
        <f>IF($E60="","",IFERROR(VLOOKUP($E60,类别归属,2,0),"※类别不在基础资料里"))</f>
        <v/>
      </c>
      <c r="G60" s="13" t="inlineStr">
        <is>
          <t>织里店</t>
        </is>
      </c>
      <c r="H60" s="13" t="inlineStr">
        <is>
          <t>炳秀</t>
        </is>
      </c>
      <c r="I60" s="13" t="inlineStr">
        <is>
          <t>付炳秀配送</t>
        </is>
      </c>
      <c r="J60" s="14" t="n"/>
      <c r="K60" s="14" t="n">
        <v>137</v>
      </c>
      <c r="L60" s="19">
        <f>IF($C60="","",ROUND(IFERROR(VLOOKUP($C60,账户期初,2,0),0)+SUMIFS($J$4:J60,$C$4:C60,$C60)-SUMIFS($K$4:K60,$C$4:C60,$C60),2))</f>
        <v/>
      </c>
      <c r="M60" s="19">
        <f>IF($C60="","",ROUND(SUM(基础资料!$B$4:$B$13)+SUM($J$4:J60)-SUM($K$4:K60),2))</f>
        <v/>
      </c>
      <c r="N60" s="13" t="n"/>
      <c r="O60" s="13" t="n"/>
      <c r="P60" s="17">
        <f>IF($B60="","",IF($F60="※类别不在基础资料里","※费用类别不在基础资料里",IF(AND(N($J60)=0,N($K60)=0),"※这行没填金额",IF(AND(N($J60)&gt;0,N($K60)&gt;0),"※收入和支出不能同一行都填",IF(AND($D60="收入",N($J60)=0),"※收入行要填收入金额",IF(AND($D60="支出",N($K60)=0),"※支出行要填支出金额",IF(AND($C60&lt;&gt;"",ISNA(MATCH($C60,账户表,0))),"※账户不在基础资料里",IF(AND($G60&lt;&gt;"",ISNA(MATCH($G60,项目名表,0))),"※项目不在项目台账里",IF(AND(LEFT($F60,3)="成本-",$G60=""),"※成本类支出没填项目",IF(AND(LEFT($F60,3)="成本-",$H60&lt;&gt;"",N($K60)&gt;0,COUNTIFS(采购单!$B:$B,$B60,采购单!$C:$C,$H60,采购单!$L:$L,$K60)&gt;0),"※这笔可能和采购单重复了",""))))))))))</f>
        <v/>
      </c>
    </row>
    <row r="61">
      <c r="A61" s="17">
        <f>IF($B61="","",ROW()-3)</f>
        <v/>
      </c>
      <c r="B61" s="18" t="n">
        <v>46092</v>
      </c>
      <c r="C61" s="13" t="inlineStr">
        <is>
          <t>微信1</t>
        </is>
      </c>
      <c r="D61" s="13" t="inlineStr">
        <is>
          <t>支出</t>
        </is>
      </c>
      <c r="E61" s="13" t="inlineStr">
        <is>
          <t>运费/快递费</t>
        </is>
      </c>
      <c r="F61" s="17">
        <f>IF($E61="","",IFERROR(VLOOKUP($E61,类别归属,2,0),"※类别不在基础资料里"))</f>
        <v/>
      </c>
      <c r="G61" s="13" t="inlineStr">
        <is>
          <t>中交</t>
        </is>
      </c>
      <c r="H61" s="13" t="inlineStr">
        <is>
          <t>炳秀</t>
        </is>
      </c>
      <c r="I61" s="13" t="inlineStr">
        <is>
          <t>付炳秀配送</t>
        </is>
      </c>
      <c r="J61" s="14" t="n"/>
      <c r="K61" s="14" t="n">
        <v>6</v>
      </c>
      <c r="L61" s="19">
        <f>IF($C61="","",ROUND(IFERROR(VLOOKUP($C61,账户期初,2,0),0)+SUMIFS($J$4:J61,$C$4:C61,$C61)-SUMIFS($K$4:K61,$C$4:C61,$C61),2))</f>
        <v/>
      </c>
      <c r="M61" s="19">
        <f>IF($C61="","",ROUND(SUM(基础资料!$B$4:$B$13)+SUM($J$4:J61)-SUM($K$4:K61),2))</f>
        <v/>
      </c>
      <c r="N61" s="13" t="n"/>
      <c r="O61" s="13" t="n"/>
      <c r="P61" s="17">
        <f>IF($B61="","",IF($F61="※类别不在基础资料里","※费用类别不在基础资料里",IF(AND(N($J61)=0,N($K61)=0),"※这行没填金额",IF(AND(N($J61)&gt;0,N($K61)&gt;0),"※收入和支出不能同一行都填",IF(AND($D61="收入",N($J61)=0),"※收入行要填收入金额",IF(AND($D61="支出",N($K61)=0),"※支出行要填支出金额",IF(AND($C61&lt;&gt;"",ISNA(MATCH($C61,账户表,0))),"※账户不在基础资料里",IF(AND($G61&lt;&gt;"",ISNA(MATCH($G61,项目名表,0))),"※项目不在项目台账里",IF(AND(LEFT($F61,3)="成本-",$G61=""),"※成本类支出没填项目",IF(AND(LEFT($F61,3)="成本-",$H61&lt;&gt;"",N($K61)&gt;0,COUNTIFS(采购单!$B:$B,$B61,采购单!$C:$C,$H61,采购单!$L:$L,$K61)&gt;0),"※这笔可能和采购单重复了",""))))))))))</f>
        <v/>
      </c>
    </row>
    <row r="62">
      <c r="A62" s="17">
        <f>IF($B62="","",ROW()-3)</f>
        <v/>
      </c>
      <c r="B62" s="18" t="n">
        <v>46092</v>
      </c>
      <c r="C62" s="13" t="inlineStr">
        <is>
          <t>微信1</t>
        </is>
      </c>
      <c r="D62" s="13" t="inlineStr">
        <is>
          <t>收入</t>
        </is>
      </c>
      <c r="E62" s="13" t="inlineStr">
        <is>
          <t>项目收款</t>
        </is>
      </c>
      <c r="F62" s="17">
        <f>IF($E62="","",IFERROR(VLOOKUP($E62,类别归属,2,0),"※类别不在基础资料里"))</f>
        <v/>
      </c>
      <c r="G62" s="13" t="inlineStr">
        <is>
          <t>双林面馆-滨河路</t>
        </is>
      </c>
      <c r="H62" s="13" t="n"/>
      <c r="I62" s="13" t="inlineStr">
        <is>
          <t>双林面馆定金-钱多多</t>
        </is>
      </c>
      <c r="J62" s="14" t="n">
        <v>1000</v>
      </c>
      <c r="K62" s="14" t="n"/>
      <c r="L62" s="19">
        <f>IF($C62="","",ROUND(IFERROR(VLOOKUP($C62,账户期初,2,0),0)+SUMIFS($J$4:J62,$C$4:C62,$C62)-SUMIFS($K$4:K62,$C$4:C62,$C62),2))</f>
        <v/>
      </c>
      <c r="M62" s="19">
        <f>IF($C62="","",ROUND(SUM(基础资料!$B$4:$B$13)+SUM($J$4:J62)-SUM($K$4:K62),2))</f>
        <v/>
      </c>
      <c r="N62" s="13" t="n"/>
      <c r="O62" s="13" t="n"/>
      <c r="P62" s="17">
        <f>IF($B62="","",IF($F62="※类别不在基础资料里","※费用类别不在基础资料里",IF(AND(N($J62)=0,N($K62)=0),"※这行没填金额",IF(AND(N($J62)&gt;0,N($K62)&gt;0),"※收入和支出不能同一行都填",IF(AND($D62="收入",N($J62)=0),"※收入行要填收入金额",IF(AND($D62="支出",N($K62)=0),"※支出行要填支出金额",IF(AND($C62&lt;&gt;"",ISNA(MATCH($C62,账户表,0))),"※账户不在基础资料里",IF(AND($G62&lt;&gt;"",ISNA(MATCH($G62,项目名表,0))),"※项目不在项目台账里",IF(AND(LEFT($F62,3)="成本-",$G62=""),"※成本类支出没填项目",IF(AND(LEFT($F62,3)="成本-",$H62&lt;&gt;"",N($K62)&gt;0,COUNTIFS(采购单!$B:$B,$B62,采购单!$C:$C,$H62,采购单!$L:$L,$K62)&gt;0),"※这笔可能和采购单重复了",""))))))))))</f>
        <v/>
      </c>
    </row>
    <row r="63">
      <c r="A63" s="17">
        <f>IF($B63="","",ROW()-3)</f>
        <v/>
      </c>
      <c r="B63" s="18" t="n">
        <v>46092</v>
      </c>
      <c r="C63" s="13" t="inlineStr">
        <is>
          <t>微信1</t>
        </is>
      </c>
      <c r="D63" s="13" t="inlineStr">
        <is>
          <t>支出</t>
        </is>
      </c>
      <c r="E63" s="13" t="inlineStr">
        <is>
          <t>主材采购</t>
        </is>
      </c>
      <c r="F63" s="17">
        <f>IF($E63="","",IFERROR(VLOOKUP($E63,类别归属,2,0),"※类别不在基础资料里"))</f>
        <v/>
      </c>
      <c r="G63" s="13" t="n"/>
      <c r="H63" s="13" t="n"/>
      <c r="I63" s="13" t="inlineStr">
        <is>
          <t>外叫零时工南浔古镇450+450+450+津华钢铁450</t>
        </is>
      </c>
      <c r="J63" s="14" t="n"/>
      <c r="K63" s="14" t="n">
        <v>1900</v>
      </c>
      <c r="L63" s="19">
        <f>IF($C63="","",ROUND(IFERROR(VLOOKUP($C63,账户期初,2,0),0)+SUMIFS($J$4:J63,$C$4:C63,$C63)-SUMIFS($K$4:K63,$C$4:C63,$C63),2))</f>
        <v/>
      </c>
      <c r="M63" s="19">
        <f>IF($C63="","",ROUND(SUM(基础资料!$B$4:$B$13)+SUM($J$4:J63)-SUM($K$4:K63),2))</f>
        <v/>
      </c>
      <c r="N63" s="13" t="n"/>
      <c r="O63" s="13" t="n"/>
      <c r="P63" s="17">
        <f>IF($B63="","",IF($F63="※类别不在基础资料里","※费用类别不在基础资料里",IF(AND(N($J63)=0,N($K63)=0),"※这行没填金额",IF(AND(N($J63)&gt;0,N($K63)&gt;0),"※收入和支出不能同一行都填",IF(AND($D63="收入",N($J63)=0),"※收入行要填收入金额",IF(AND($D63="支出",N($K63)=0),"※支出行要填支出金额",IF(AND($C63&lt;&gt;"",ISNA(MATCH($C63,账户表,0))),"※账户不在基础资料里",IF(AND($G63&lt;&gt;"",ISNA(MATCH($G63,项目名表,0))),"※项目不在项目台账里",IF(AND(LEFT($F63,3)="成本-",$G63=""),"※成本类支出没填项目",IF(AND(LEFT($F63,3)="成本-",$H63&lt;&gt;"",N($K63)&gt;0,COUNTIFS(采购单!$B:$B,$B63,采购单!$C:$C,$H63,采购单!$L:$L,$K63)&gt;0),"※这笔可能和采购单重复了",""))))))))))</f>
        <v/>
      </c>
    </row>
    <row r="64">
      <c r="A64" s="17">
        <f>IF($B64="","",ROW()-3)</f>
        <v/>
      </c>
      <c r="B64" s="18" t="n">
        <v>46093</v>
      </c>
      <c r="C64" s="13" t="inlineStr">
        <is>
          <t>微信1</t>
        </is>
      </c>
      <c r="D64" s="13" t="inlineStr">
        <is>
          <t>支出</t>
        </is>
      </c>
      <c r="E64" s="13" t="inlineStr">
        <is>
          <t>运费/快递费</t>
        </is>
      </c>
      <c r="F64" s="17">
        <f>IF($E64="","",IFERROR(VLOOKUP($E64,类别归属,2,0),"※类别不在基础资料里"))</f>
        <v/>
      </c>
      <c r="G64" s="13" t="inlineStr">
        <is>
          <t>织里店</t>
        </is>
      </c>
      <c r="H64" s="13" t="inlineStr">
        <is>
          <t>炳秀</t>
        </is>
      </c>
      <c r="I64" s="13" t="inlineStr">
        <is>
          <t>付炳秀配送</t>
        </is>
      </c>
      <c r="J64" s="14" t="n"/>
      <c r="K64" s="14" t="n">
        <v>545</v>
      </c>
      <c r="L64" s="19">
        <f>IF($C64="","",ROUND(IFERROR(VLOOKUP($C64,账户期初,2,0),0)+SUMIFS($J$4:J64,$C$4:C64,$C64)-SUMIFS($K$4:K64,$C$4:C64,$C64),2))</f>
        <v/>
      </c>
      <c r="M64" s="19">
        <f>IF($C64="","",ROUND(SUM(基础资料!$B$4:$B$13)+SUM($J$4:J64)-SUM($K$4:K64),2))</f>
        <v/>
      </c>
      <c r="N64" s="13" t="n"/>
      <c r="O64" s="13" t="inlineStr">
        <is>
          <t>668</t>
        </is>
      </c>
      <c r="P64" s="17">
        <f>IF($B64="","",IF($F64="※类别不在基础资料里","※费用类别不在基础资料里",IF(AND(N($J64)=0,N($K64)=0),"※这行没填金额",IF(AND(N($J64)&gt;0,N($K64)&gt;0),"※收入和支出不能同一行都填",IF(AND($D64="收入",N($J64)=0),"※收入行要填收入金额",IF(AND($D64="支出",N($K64)=0),"※支出行要填支出金额",IF(AND($C64&lt;&gt;"",ISNA(MATCH($C64,账户表,0))),"※账户不在基础资料里",IF(AND($G64&lt;&gt;"",ISNA(MATCH($G64,项目名表,0))),"※项目不在项目台账里",IF(AND(LEFT($F64,3)="成本-",$G64=""),"※成本类支出没填项目",IF(AND(LEFT($F64,3)="成本-",$H64&lt;&gt;"",N($K64)&gt;0,COUNTIFS(采购单!$B:$B,$B64,采购单!$C:$C,$H64,采购单!$L:$L,$K64)&gt;0),"※这笔可能和采购单重复了",""))))))))))</f>
        <v/>
      </c>
    </row>
    <row r="65">
      <c r="A65" s="17">
        <f>IF($B65="","",ROW()-3)</f>
        <v/>
      </c>
      <c r="B65" s="18" t="n">
        <v>46093</v>
      </c>
      <c r="C65" s="13" t="inlineStr">
        <is>
          <t>微信1</t>
        </is>
      </c>
      <c r="D65" s="13" t="inlineStr">
        <is>
          <t>支出</t>
        </is>
      </c>
      <c r="E65" s="13" t="inlineStr">
        <is>
          <t>运费/快递费</t>
        </is>
      </c>
      <c r="F65" s="17">
        <f>IF($E65="","",IFERROR(VLOOKUP($E65,类别归属,2,0),"※类别不在基础资料里"))</f>
        <v/>
      </c>
      <c r="G65" s="13" t="inlineStr">
        <is>
          <t>vip宠物乐园</t>
        </is>
      </c>
      <c r="H65" s="13" t="inlineStr">
        <is>
          <t>炳秀</t>
        </is>
      </c>
      <c r="I65" s="13" t="inlineStr">
        <is>
          <t>付炳秀配送</t>
        </is>
      </c>
      <c r="J65" s="14" t="n"/>
      <c r="K65" s="14" t="n">
        <v>8</v>
      </c>
      <c r="L65" s="19">
        <f>IF($C65="","",ROUND(IFERROR(VLOOKUP($C65,账户期初,2,0),0)+SUMIFS($J$4:J65,$C$4:C65,$C65)-SUMIFS($K$4:K65,$C$4:C65,$C65),2))</f>
        <v/>
      </c>
      <c r="M65" s="19">
        <f>IF($C65="","",ROUND(SUM(基础资料!$B$4:$B$13)+SUM($J$4:J65)-SUM($K$4:K65),2))</f>
        <v/>
      </c>
      <c r="N65" s="13" t="n"/>
      <c r="O65" s="13" t="n"/>
      <c r="P65" s="17">
        <f>IF($B65="","",IF($F65="※类别不在基础资料里","※费用类别不在基础资料里",IF(AND(N($J65)=0,N($K65)=0),"※这行没填金额",IF(AND(N($J65)&gt;0,N($K65)&gt;0),"※收入和支出不能同一行都填",IF(AND($D65="收入",N($J65)=0),"※收入行要填收入金额",IF(AND($D65="支出",N($K65)=0),"※支出行要填支出金额",IF(AND($C65&lt;&gt;"",ISNA(MATCH($C65,账户表,0))),"※账户不在基础资料里",IF(AND($G65&lt;&gt;"",ISNA(MATCH($G65,项目名表,0))),"※项目不在项目台账里",IF(AND(LEFT($F65,3)="成本-",$G65=""),"※成本类支出没填项目",IF(AND(LEFT($F65,3)="成本-",$H65&lt;&gt;"",N($K65)&gt;0,COUNTIFS(采购单!$B:$B,$B65,采购单!$C:$C,$H65,采购单!$L:$L,$K65)&gt;0),"※这笔可能和采购单重复了",""))))))))))</f>
        <v/>
      </c>
    </row>
    <row r="66">
      <c r="A66" s="17">
        <f>IF($B66="","",ROW()-3)</f>
        <v/>
      </c>
      <c r="B66" s="18" t="n">
        <v>46093</v>
      </c>
      <c r="C66" s="13" t="inlineStr">
        <is>
          <t>微信1</t>
        </is>
      </c>
      <c r="D66" s="13" t="inlineStr">
        <is>
          <t>支出</t>
        </is>
      </c>
      <c r="E66" s="13" t="inlineStr">
        <is>
          <t>运费/快递费</t>
        </is>
      </c>
      <c r="F66" s="17">
        <f>IF($E66="","",IFERROR(VLOOKUP($E66,类别归属,2,0),"※类别不在基础资料里"))</f>
        <v/>
      </c>
      <c r="G66" s="13" t="inlineStr">
        <is>
          <t>双林面馆-滨河路</t>
        </is>
      </c>
      <c r="H66" s="13" t="inlineStr">
        <is>
          <t>炳秀</t>
        </is>
      </c>
      <c r="I66" s="13" t="inlineStr">
        <is>
          <t>付炳秀配送</t>
        </is>
      </c>
      <c r="J66" s="14" t="n"/>
      <c r="K66" s="14" t="n">
        <v>115</v>
      </c>
      <c r="L66" s="19">
        <f>IF($C66="","",ROUND(IFERROR(VLOOKUP($C66,账户期初,2,0),0)+SUMIFS($J$4:J66,$C$4:C66,$C66)-SUMIFS($K$4:K66,$C$4:C66,$C66),2))</f>
        <v/>
      </c>
      <c r="M66" s="19">
        <f>IF($C66="","",ROUND(SUM(基础资料!$B$4:$B$13)+SUM($J$4:J66)-SUM($K$4:K66),2))</f>
        <v/>
      </c>
      <c r="N66" s="13" t="n"/>
      <c r="O66" s="13" t="n"/>
      <c r="P66" s="17">
        <f>IF($B66="","",IF($F66="※类别不在基础资料里","※费用类别不在基础资料里",IF(AND(N($J66)=0,N($K66)=0),"※这行没填金额",IF(AND(N($J66)&gt;0,N($K66)&gt;0),"※收入和支出不能同一行都填",IF(AND($D66="收入",N($J66)=0),"※收入行要填收入金额",IF(AND($D66="支出",N($K66)=0),"※支出行要填支出金额",IF(AND($C66&lt;&gt;"",ISNA(MATCH($C66,账户表,0))),"※账户不在基础资料里",IF(AND($G66&lt;&gt;"",ISNA(MATCH($G66,项目名表,0))),"※项目不在项目台账里",IF(AND(LEFT($F66,3)="成本-",$G66=""),"※成本类支出没填项目",IF(AND(LEFT($F66,3)="成本-",$H66&lt;&gt;"",N($K66)&gt;0,COUNTIFS(采购单!$B:$B,$B66,采购单!$C:$C,$H66,采购单!$L:$L,$K66)&gt;0),"※这笔可能和采购单重复了",""))))))))))</f>
        <v/>
      </c>
    </row>
    <row r="67">
      <c r="A67" s="17">
        <f>IF($B67="","",ROW()-3)</f>
        <v/>
      </c>
      <c r="B67" s="18" t="n">
        <v>46093</v>
      </c>
      <c r="C67" s="13" t="inlineStr">
        <is>
          <t>微信1</t>
        </is>
      </c>
      <c r="D67" s="13" t="inlineStr">
        <is>
          <t>支出</t>
        </is>
      </c>
      <c r="E67" s="13" t="inlineStr">
        <is>
          <t>借出款</t>
        </is>
      </c>
      <c r="F67" s="17">
        <f>IF($E67="","",IFERROR(VLOOKUP($E67,类别归属,2,0),"※类别不在基础资料里"))</f>
        <v/>
      </c>
      <c r="G67" s="13" t="n"/>
      <c r="H67" s="13" t="inlineStr">
        <is>
          <t>章凡</t>
        </is>
      </c>
      <c r="I67" s="13" t="inlineStr">
        <is>
          <t>付章凡预支工资</t>
        </is>
      </c>
      <c r="J67" s="14" t="n"/>
      <c r="K67" s="14" t="n">
        <v>1000</v>
      </c>
      <c r="L67" s="19">
        <f>IF($C67="","",ROUND(IFERROR(VLOOKUP($C67,账户期初,2,0),0)+SUMIFS($J$4:J67,$C$4:C67,$C67)-SUMIFS($K$4:K67,$C$4:C67,$C67),2))</f>
        <v/>
      </c>
      <c r="M67" s="19">
        <f>IF($C67="","",ROUND(SUM(基础资料!$B$4:$B$13)+SUM($J$4:J67)-SUM($K$4:K67),2))</f>
        <v/>
      </c>
      <c r="N67" s="13" t="n"/>
      <c r="O67" s="13" t="n"/>
      <c r="P67" s="17">
        <f>IF($B67="","",IF($F67="※类别不在基础资料里","※费用类别不在基础资料里",IF(AND(N($J67)=0,N($K67)=0),"※这行没填金额",IF(AND(N($J67)&gt;0,N($K67)&gt;0),"※收入和支出不能同一行都填",IF(AND($D67="收入",N($J67)=0),"※收入行要填收入金额",IF(AND($D67="支出",N($K67)=0),"※支出行要填支出金额",IF(AND($C67&lt;&gt;"",ISNA(MATCH($C67,账户表,0))),"※账户不在基础资料里",IF(AND($G67&lt;&gt;"",ISNA(MATCH($G67,项目名表,0))),"※项目不在项目台账里",IF(AND(LEFT($F67,3)="成本-",$G67=""),"※成本类支出没填项目",IF(AND(LEFT($F67,3)="成本-",$H67&lt;&gt;"",N($K67)&gt;0,COUNTIFS(采购单!$B:$B,$B67,采购单!$C:$C,$H67,采购单!$L:$L,$K67)&gt;0),"※这笔可能和采购单重复了",""))))))))))</f>
        <v/>
      </c>
    </row>
    <row r="68">
      <c r="A68" s="17">
        <f>IF($B68="","",ROW()-3)</f>
        <v/>
      </c>
      <c r="B68" s="18" t="n">
        <v>46094</v>
      </c>
      <c r="C68" s="13" t="inlineStr">
        <is>
          <t>微信1</t>
        </is>
      </c>
      <c r="D68" s="13" t="inlineStr">
        <is>
          <t>支出</t>
        </is>
      </c>
      <c r="E68" s="13" t="inlineStr">
        <is>
          <t>主材采购</t>
        </is>
      </c>
      <c r="F68" s="17">
        <f>IF($E68="","",IFERROR(VLOOKUP($E68,类别归属,2,0),"※类别不在基础资料里"))</f>
        <v/>
      </c>
      <c r="G68" s="13" t="n"/>
      <c r="H68" s="13" t="inlineStr">
        <is>
          <t>220V不防水区块65</t>
        </is>
      </c>
      <c r="I68" s="13" t="inlineStr">
        <is>
          <t>220V不防水区块65（补LED屏星蓝光电）</t>
        </is>
      </c>
      <c r="J68" s="14" t="n"/>
      <c r="K68" s="14" t="n">
        <v>187</v>
      </c>
      <c r="L68" s="19">
        <f>IF($C68="","",ROUND(IFERROR(VLOOKUP($C68,账户期初,2,0),0)+SUMIFS($J$4:J68,$C$4:C68,$C68)-SUMIFS($K$4:K68,$C$4:C68,$C68),2))</f>
        <v/>
      </c>
      <c r="M68" s="19">
        <f>IF($C68="","",ROUND(SUM(基础资料!$B$4:$B$13)+SUM($J$4:J68)-SUM($K$4:K68),2))</f>
        <v/>
      </c>
      <c r="N68" s="13" t="n"/>
      <c r="O68" s="13" t="inlineStr">
        <is>
          <t>750片*0.75，，-500*0.75</t>
        </is>
      </c>
      <c r="P68" s="17">
        <f>IF($B68="","",IF($F68="※类别不在基础资料里","※费用类别不在基础资料里",IF(AND(N($J68)=0,N($K68)=0),"※这行没填金额",IF(AND(N($J68)&gt;0,N($K68)&gt;0),"※收入和支出不能同一行都填",IF(AND($D68="收入",N($J68)=0),"※收入行要填收入金额",IF(AND($D68="支出",N($K68)=0),"※支出行要填支出金额",IF(AND($C68&lt;&gt;"",ISNA(MATCH($C68,账户表,0))),"※账户不在基础资料里",IF(AND($G68&lt;&gt;"",ISNA(MATCH($G68,项目名表,0))),"※项目不在项目台账里",IF(AND(LEFT($F68,3)="成本-",$G68=""),"※成本类支出没填项目",IF(AND(LEFT($F68,3)="成本-",$H68&lt;&gt;"",N($K68)&gt;0,COUNTIFS(采购单!$B:$B,$B68,采购单!$C:$C,$H68,采购单!$L:$L,$K68)&gt;0),"※这笔可能和采购单重复了",""))))))))))</f>
        <v/>
      </c>
    </row>
    <row r="69">
      <c r="A69" s="17">
        <f>IF($B69="","",ROW()-3)</f>
        <v/>
      </c>
      <c r="B69" s="18" t="n">
        <v>46094</v>
      </c>
      <c r="C69" s="13" t="inlineStr">
        <is>
          <t>微信1</t>
        </is>
      </c>
      <c r="D69" s="13" t="inlineStr">
        <is>
          <t>支出</t>
        </is>
      </c>
      <c r="E69" s="13" t="inlineStr">
        <is>
          <t>其他直接费用</t>
        </is>
      </c>
      <c r="F69" s="17">
        <f>IF($E69="","",IFERROR(VLOOKUP($E69,类别归属,2,0),"※类别不在基础资料里"))</f>
        <v/>
      </c>
      <c r="G69" s="13" t="inlineStr">
        <is>
          <t>高恒荣熟食店</t>
        </is>
      </c>
      <c r="H69" s="13" t="n"/>
      <c r="I69" s="13" t="inlineStr">
        <is>
          <t>杨买玻璃胶嘴</t>
        </is>
      </c>
      <c r="J69" s="14" t="n"/>
      <c r="K69" s="14" t="n">
        <v>1</v>
      </c>
      <c r="L69" s="19">
        <f>IF($C69="","",ROUND(IFERROR(VLOOKUP($C69,账户期初,2,0),0)+SUMIFS($J$4:J69,$C$4:C69,$C69)-SUMIFS($K$4:K69,$C$4:C69,$C69),2))</f>
        <v/>
      </c>
      <c r="M69" s="19">
        <f>IF($C69="","",ROUND(SUM(基础资料!$B$4:$B$13)+SUM($J$4:J69)-SUM($K$4:K69),2))</f>
        <v/>
      </c>
      <c r="N69" s="13" t="n"/>
      <c r="O69" s="13" t="n"/>
      <c r="P69" s="17">
        <f>IF($B69="","",IF($F69="※类别不在基础资料里","※费用类别不在基础资料里",IF(AND(N($J69)=0,N($K69)=0),"※这行没填金额",IF(AND(N($J69)&gt;0,N($K69)&gt;0),"※收入和支出不能同一行都填",IF(AND($D69="收入",N($J69)=0),"※收入行要填收入金额",IF(AND($D69="支出",N($K69)=0),"※支出行要填支出金额",IF(AND($C69&lt;&gt;"",ISNA(MATCH($C69,账户表,0))),"※账户不在基础资料里",IF(AND($G69&lt;&gt;"",ISNA(MATCH($G69,项目名表,0))),"※项目不在项目台账里",IF(AND(LEFT($F69,3)="成本-",$G69=""),"※成本类支出没填项目",IF(AND(LEFT($F69,3)="成本-",$H69&lt;&gt;"",N($K69)&gt;0,COUNTIFS(采购单!$B:$B,$B69,采购单!$C:$C,$H69,采购单!$L:$L,$K69)&gt;0),"※这笔可能和采购单重复了",""))))))))))</f>
        <v/>
      </c>
    </row>
    <row r="70">
      <c r="A70" s="17">
        <f>IF($B70="","",ROW()-3)</f>
        <v/>
      </c>
      <c r="B70" s="18" t="n">
        <v>46095</v>
      </c>
      <c r="C70" s="13" t="inlineStr">
        <is>
          <t>微信1</t>
        </is>
      </c>
      <c r="D70" s="13" t="inlineStr">
        <is>
          <t>收入</t>
        </is>
      </c>
      <c r="E70" s="13" t="inlineStr">
        <is>
          <t>项目收款</t>
        </is>
      </c>
      <c r="F70" s="17">
        <f>IF($E70="","",IFERROR(VLOOKUP($E70,类别归属,2,0),"※类别不在基础资料里"))</f>
        <v/>
      </c>
      <c r="G70" s="13" t="inlineStr">
        <is>
          <t>高恒荣熟食店</t>
        </is>
      </c>
      <c r="H70" s="13" t="n"/>
      <c r="I70" s="13" t="inlineStr">
        <is>
          <t>收尾款-木森装饰公司-波</t>
        </is>
      </c>
      <c r="J70" s="14" t="n">
        <v>10000</v>
      </c>
      <c r="K70" s="14" t="n"/>
      <c r="L70" s="19">
        <f>IF($C70="","",ROUND(IFERROR(VLOOKUP($C70,账户期初,2,0),0)+SUMIFS($J$4:J70,$C$4:C70,$C70)-SUMIFS($K$4:K70,$C$4:C70,$C70),2))</f>
        <v/>
      </c>
      <c r="M70" s="19">
        <f>IF($C70="","",ROUND(SUM(基础资料!$B$4:$B$13)+SUM($J$4:J70)-SUM($K$4:K70),2))</f>
        <v/>
      </c>
      <c r="N70" s="13" t="n"/>
      <c r="O70" s="13" t="n"/>
      <c r="P70" s="17">
        <f>IF($B70="","",IF($F70="※类别不在基础资料里","※费用类别不在基础资料里",IF(AND(N($J70)=0,N($K70)=0),"※这行没填金额",IF(AND(N($J70)&gt;0,N($K70)&gt;0),"※收入和支出不能同一行都填",IF(AND($D70="收入",N($J70)=0),"※收入行要填收入金额",IF(AND($D70="支出",N($K70)=0),"※支出行要填支出金额",IF(AND($C70&lt;&gt;"",ISNA(MATCH($C70,账户表,0))),"※账户不在基础资料里",IF(AND($G70&lt;&gt;"",ISNA(MATCH($G70,项目名表,0))),"※项目不在项目台账里",IF(AND(LEFT($F70,3)="成本-",$G70=""),"※成本类支出没填项目",IF(AND(LEFT($F70,3)="成本-",$H70&lt;&gt;"",N($K70)&gt;0,COUNTIFS(采购单!$B:$B,$B70,采购单!$C:$C,$H70,采购单!$L:$L,$K70)&gt;0),"※这笔可能和采购单重复了",""))))))))))</f>
        <v/>
      </c>
    </row>
    <row r="71">
      <c r="A71" s="17">
        <f>IF($B71="","",ROW()-3)</f>
        <v/>
      </c>
      <c r="B71" s="18" t="n">
        <v>46095</v>
      </c>
      <c r="C71" s="13" t="inlineStr">
        <is>
          <t>微信1</t>
        </is>
      </c>
      <c r="D71" s="13" t="inlineStr">
        <is>
          <t>支出</t>
        </is>
      </c>
      <c r="E71" s="13" t="inlineStr">
        <is>
          <t>车费/油费/过路费</t>
        </is>
      </c>
      <c r="F71" s="17">
        <f>IF($E71="","",IFERROR(VLOOKUP($E71,类别归属,2,0),"※类别不在基础资料里"))</f>
        <v/>
      </c>
      <c r="G71" s="13" t="inlineStr">
        <is>
          <t>安吉车贴项目</t>
        </is>
      </c>
      <c r="H71" s="13" t="n"/>
      <c r="I71" s="13" t="inlineStr">
        <is>
          <t>高速费</t>
        </is>
      </c>
      <c r="J71" s="14" t="n"/>
      <c r="K71" s="14" t="n">
        <v>33</v>
      </c>
      <c r="L71" s="19">
        <f>IF($C71="","",ROUND(IFERROR(VLOOKUP($C71,账户期初,2,0),0)+SUMIFS($J$4:J71,$C$4:C71,$C71)-SUMIFS($K$4:K71,$C$4:C71,$C71),2))</f>
        <v/>
      </c>
      <c r="M71" s="19">
        <f>IF($C71="","",ROUND(SUM(基础资料!$B$4:$B$13)+SUM($J$4:J71)-SUM($K$4:K71),2))</f>
        <v/>
      </c>
      <c r="N71" s="13" t="n"/>
      <c r="O71" s="13" t="inlineStr">
        <is>
          <t>杨德 本次报销 345.4</t>
        </is>
      </c>
      <c r="P71" s="17">
        <f>IF($B71="","",IF($F71="※类别不在基础资料里","※费用类别不在基础资料里",IF(AND(N($J71)=0,N($K71)=0),"※这行没填金额",IF(AND(N($J71)&gt;0,N($K71)&gt;0),"※收入和支出不能同一行都填",IF(AND($D71="收入",N($J71)=0),"※收入行要填收入金额",IF(AND($D71="支出",N($K71)=0),"※支出行要填支出金额",IF(AND($C71&lt;&gt;"",ISNA(MATCH($C71,账户表,0))),"※账户不在基础资料里",IF(AND($G71&lt;&gt;"",ISNA(MATCH($G71,项目名表,0))),"※项目不在项目台账里",IF(AND(LEFT($F71,3)="成本-",$G71=""),"※成本类支出没填项目",IF(AND(LEFT($F71,3)="成本-",$H71&lt;&gt;"",N($K71)&gt;0,COUNTIFS(采购单!$B:$B,$B71,采购单!$C:$C,$H71,采购单!$L:$L,$K71)&gt;0),"※这笔可能和采购单重复了",""))))))))))</f>
        <v/>
      </c>
    </row>
    <row r="72">
      <c r="A72" s="17">
        <f>IF($B72="","",ROW()-3)</f>
        <v/>
      </c>
      <c r="B72" s="18" t="n">
        <v>46095</v>
      </c>
      <c r="C72" s="13" t="inlineStr">
        <is>
          <t>微信1</t>
        </is>
      </c>
      <c r="D72" s="13" t="inlineStr">
        <is>
          <t>支出</t>
        </is>
      </c>
      <c r="E72" s="13" t="inlineStr">
        <is>
          <t>车费/油费/过路费</t>
        </is>
      </c>
      <c r="F72" s="17">
        <f>IF($E72="","",IFERROR(VLOOKUP($E72,类别归属,2,0),"※类别不在基础资料里"))</f>
        <v/>
      </c>
      <c r="G72" s="13" t="inlineStr">
        <is>
          <t>安吉车贴项目</t>
        </is>
      </c>
      <c r="H72" s="13" t="n"/>
      <c r="I72" s="13" t="inlineStr">
        <is>
          <t>312加油</t>
        </is>
      </c>
      <c r="J72" s="14" t="n"/>
      <c r="K72" s="14" t="n">
        <v>200</v>
      </c>
      <c r="L72" s="19">
        <f>IF($C72="","",ROUND(IFERROR(VLOOKUP($C72,账户期初,2,0),0)+SUMIFS($J$4:J72,$C$4:C72,$C72)-SUMIFS($K$4:K72,$C$4:C72,$C72),2))</f>
        <v/>
      </c>
      <c r="M72" s="19">
        <f>IF($C72="","",ROUND(SUM(基础资料!$B$4:$B$13)+SUM($J$4:J72)-SUM($K$4:K72),2))</f>
        <v/>
      </c>
      <c r="N72" s="13" t="n"/>
      <c r="O72" s="13" t="n"/>
      <c r="P72" s="17">
        <f>IF($B72="","",IF($F72="※类别不在基础资料里","※费用类别不在基础资料里",IF(AND(N($J72)=0,N($K72)=0),"※这行没填金额",IF(AND(N($J72)&gt;0,N($K72)&gt;0),"※收入和支出不能同一行都填",IF(AND($D72="收入",N($J72)=0),"※收入行要填收入金额",IF(AND($D72="支出",N($K72)=0),"※支出行要填支出金额",IF(AND($C72&lt;&gt;"",ISNA(MATCH($C72,账户表,0))),"※账户不在基础资料里",IF(AND($G72&lt;&gt;"",ISNA(MATCH($G72,项目名表,0))),"※项目不在项目台账里",IF(AND(LEFT($F72,3)="成本-",$G72=""),"※成本类支出没填项目",IF(AND(LEFT($F72,3)="成本-",$H72&lt;&gt;"",N($K72)&gt;0,COUNTIFS(采购单!$B:$B,$B72,采购单!$C:$C,$H72,采购单!$L:$L,$K72)&gt;0),"※这笔可能和采购单重复了",""))))))))))</f>
        <v/>
      </c>
    </row>
    <row r="73">
      <c r="A73" s="17">
        <f>IF($B73="","",ROW()-3)</f>
        <v/>
      </c>
      <c r="B73" s="18" t="n">
        <v>46095</v>
      </c>
      <c r="C73" s="13" t="inlineStr">
        <is>
          <t>微信1</t>
        </is>
      </c>
      <c r="D73" s="13" t="inlineStr">
        <is>
          <t>支出</t>
        </is>
      </c>
      <c r="E73" s="13" t="inlineStr">
        <is>
          <t>车费/油费/过路费</t>
        </is>
      </c>
      <c r="F73" s="17">
        <f>IF($E73="","",IFERROR(VLOOKUP($E73,类别归属,2,0),"※类别不在基础资料里"))</f>
        <v/>
      </c>
      <c r="G73" s="13" t="inlineStr">
        <is>
          <t>安吉车贴项目</t>
        </is>
      </c>
      <c r="H73" s="13" t="n"/>
      <c r="I73" s="13" t="inlineStr">
        <is>
          <t>高速费</t>
        </is>
      </c>
      <c r="J73" s="14" t="n"/>
      <c r="K73" s="14" t="n">
        <v>32</v>
      </c>
      <c r="L73" s="19">
        <f>IF($C73="","",ROUND(IFERROR(VLOOKUP($C73,账户期初,2,0),0)+SUMIFS($J$4:J73,$C$4:C73,$C73)-SUMIFS($K$4:K73,$C$4:C73,$C73),2))</f>
        <v/>
      </c>
      <c r="M73" s="19">
        <f>IF($C73="","",ROUND(SUM(基础资料!$B$4:$B$13)+SUM($J$4:J73)-SUM($K$4:K73),2))</f>
        <v/>
      </c>
      <c r="N73" s="13" t="n"/>
      <c r="O73" s="13" t="n"/>
      <c r="P73" s="17">
        <f>IF($B73="","",IF($F73="※类别不在基础资料里","※费用类别不在基础资料里",IF(AND(N($J73)=0,N($K73)=0),"※这行没填金额",IF(AND(N($J73)&gt;0,N($K73)&gt;0),"※收入和支出不能同一行都填",IF(AND($D73="收入",N($J73)=0),"※收入行要填收入金额",IF(AND($D73="支出",N($K73)=0),"※支出行要填支出金额",IF(AND($C73&lt;&gt;"",ISNA(MATCH($C73,账户表,0))),"※账户不在基础资料里",IF(AND($G73&lt;&gt;"",ISNA(MATCH($G73,项目名表,0))),"※项目不在项目台账里",IF(AND(LEFT($F73,3)="成本-",$G73=""),"※成本类支出没填项目",IF(AND(LEFT($F73,3)="成本-",$H73&lt;&gt;"",N($K73)&gt;0,COUNTIFS(采购单!$B:$B,$B73,采购单!$C:$C,$H73,采购单!$L:$L,$K73)&gt;0),"※这笔可能和采购单重复了",""))))))))))</f>
        <v/>
      </c>
    </row>
    <row r="74">
      <c r="A74" s="17">
        <f>IF($B74="","",ROW()-3)</f>
        <v/>
      </c>
      <c r="B74" s="18" t="n">
        <v>46095</v>
      </c>
      <c r="C74" s="13" t="inlineStr">
        <is>
          <t>微信1</t>
        </is>
      </c>
      <c r="D74" s="13" t="inlineStr">
        <is>
          <t>支出</t>
        </is>
      </c>
      <c r="E74" s="13" t="inlineStr">
        <is>
          <t>其他管理费用</t>
        </is>
      </c>
      <c r="F74" s="17">
        <f>IF($E74="","",IFERROR(VLOOKUP($E74,类别归属,2,0),"※类别不在基础资料里"))</f>
        <v/>
      </c>
      <c r="G74" s="13" t="n"/>
      <c r="H74" s="13" t="n"/>
      <c r="I74" s="13" t="inlineStr">
        <is>
          <t>7.5米卷尺2把</t>
        </is>
      </c>
      <c r="J74" s="14" t="n"/>
      <c r="K74" s="14" t="n">
        <v>18.8</v>
      </c>
      <c r="L74" s="19">
        <f>IF($C74="","",ROUND(IFERROR(VLOOKUP($C74,账户期初,2,0),0)+SUMIFS($J$4:J74,$C$4:C74,$C74)-SUMIFS($K$4:K74,$C$4:C74,$C74),2))</f>
        <v/>
      </c>
      <c r="M74" s="19">
        <f>IF($C74="","",ROUND(SUM(基础资料!$B$4:$B$13)+SUM($J$4:J74)-SUM($K$4:K74),2))</f>
        <v/>
      </c>
      <c r="N74" s="13" t="n"/>
      <c r="O74" s="13" t="n"/>
      <c r="P74" s="17">
        <f>IF($B74="","",IF($F74="※类别不在基础资料里","※费用类别不在基础资料里",IF(AND(N($J74)=0,N($K74)=0),"※这行没填金额",IF(AND(N($J74)&gt;0,N($K74)&gt;0),"※收入和支出不能同一行都填",IF(AND($D74="收入",N($J74)=0),"※收入行要填收入金额",IF(AND($D74="支出",N($K74)=0),"※支出行要填支出金额",IF(AND($C74&lt;&gt;"",ISNA(MATCH($C74,账户表,0))),"※账户不在基础资料里",IF(AND($G74&lt;&gt;"",ISNA(MATCH($G74,项目名表,0))),"※项目不在项目台账里",IF(AND(LEFT($F74,3)="成本-",$G74=""),"※成本类支出没填项目",IF(AND(LEFT($F74,3)="成本-",$H74&lt;&gt;"",N($K74)&gt;0,COUNTIFS(采购单!$B:$B,$B74,采购单!$C:$C,$H74,采购单!$L:$L,$K74)&gt;0),"※这笔可能和采购单重复了",""))))))))))</f>
        <v/>
      </c>
    </row>
    <row r="75">
      <c r="A75" s="17">
        <f>IF($B75="","",ROW()-3)</f>
        <v/>
      </c>
      <c r="B75" s="18" t="n">
        <v>46095</v>
      </c>
      <c r="C75" s="13" t="inlineStr">
        <is>
          <t>微信1</t>
        </is>
      </c>
      <c r="D75" s="13" t="inlineStr">
        <is>
          <t>支出</t>
        </is>
      </c>
      <c r="E75" s="13" t="inlineStr">
        <is>
          <t>其他管理费用</t>
        </is>
      </c>
      <c r="F75" s="17">
        <f>IF($E75="","",IFERROR(VLOOKUP($E75,类别归属,2,0),"※类别不在基础资料里"))</f>
        <v/>
      </c>
      <c r="G75" s="13" t="n"/>
      <c r="H75" s="13" t="n"/>
      <c r="I75" s="13" t="inlineStr">
        <is>
          <t>10米卷尺2把</t>
        </is>
      </c>
      <c r="J75" s="14" t="n"/>
      <c r="K75" s="14" t="n">
        <v>26.8</v>
      </c>
      <c r="L75" s="19">
        <f>IF($C75="","",ROUND(IFERROR(VLOOKUP($C75,账户期初,2,0),0)+SUMIFS($J$4:J75,$C$4:C75,$C75)-SUMIFS($K$4:K75,$C$4:C75,$C75),2))</f>
        <v/>
      </c>
      <c r="M75" s="19">
        <f>IF($C75="","",ROUND(SUM(基础资料!$B$4:$B$13)+SUM($J$4:J75)-SUM($K$4:K75),2))</f>
        <v/>
      </c>
      <c r="N75" s="13" t="n"/>
      <c r="O75" s="13" t="n"/>
      <c r="P75" s="17">
        <f>IF($B75="","",IF($F75="※类别不在基础资料里","※费用类别不在基础资料里",IF(AND(N($J75)=0,N($K75)=0),"※这行没填金额",IF(AND(N($J75)&gt;0,N($K75)&gt;0),"※收入和支出不能同一行都填",IF(AND($D75="收入",N($J75)=0),"※收入行要填收入金额",IF(AND($D75="支出",N($K75)=0),"※支出行要填支出金额",IF(AND($C75&lt;&gt;"",ISNA(MATCH($C75,账户表,0))),"※账户不在基础资料里",IF(AND($G75&lt;&gt;"",ISNA(MATCH($G75,项目名表,0))),"※项目不在项目台账里",IF(AND(LEFT($F75,3)="成本-",$G75=""),"※成本类支出没填项目",IF(AND(LEFT($F75,3)="成本-",$H75&lt;&gt;"",N($K75)&gt;0,COUNTIFS(采购单!$B:$B,$B75,采购单!$C:$C,$H75,采购单!$L:$L,$K75)&gt;0),"※这笔可能和采购单重复了",""))))))))))</f>
        <v/>
      </c>
    </row>
    <row r="76">
      <c r="A76" s="17">
        <f>IF($B76="","",ROW()-3)</f>
        <v/>
      </c>
      <c r="B76" s="18" t="n">
        <v>46095</v>
      </c>
      <c r="C76" s="13" t="inlineStr">
        <is>
          <t>微信1</t>
        </is>
      </c>
      <c r="D76" s="13" t="inlineStr">
        <is>
          <t>支出</t>
        </is>
      </c>
      <c r="E76" s="13" t="inlineStr">
        <is>
          <t>其他管理费用</t>
        </is>
      </c>
      <c r="F76" s="17">
        <f>IF($E76="","",IFERROR(VLOOKUP($E76,类别归属,2,0),"※类别不在基础资料里"))</f>
        <v/>
      </c>
      <c r="G76" s="13" t="n"/>
      <c r="H76" s="13" t="n"/>
      <c r="I76" s="13" t="inlineStr">
        <is>
          <t>透明胶带</t>
        </is>
      </c>
      <c r="J76" s="14" t="n"/>
      <c r="K76" s="14" t="n">
        <v>34.8</v>
      </c>
      <c r="L76" s="19">
        <f>IF($C76="","",ROUND(IFERROR(VLOOKUP($C76,账户期初,2,0),0)+SUMIFS($J$4:J76,$C$4:C76,$C76)-SUMIFS($K$4:K76,$C$4:C76,$C76),2))</f>
        <v/>
      </c>
      <c r="M76" s="19">
        <f>IF($C76="","",ROUND(SUM(基础资料!$B$4:$B$13)+SUM($J$4:J76)-SUM($K$4:K76),2))</f>
        <v/>
      </c>
      <c r="N76" s="13" t="n"/>
      <c r="O76" s="13" t="n"/>
      <c r="P76" s="17">
        <f>IF($B76="","",IF($F76="※类别不在基础资料里","※费用类别不在基础资料里",IF(AND(N($J76)=0,N($K76)=0),"※这行没填金额",IF(AND(N($J76)&gt;0,N($K76)&gt;0),"※收入和支出不能同一行都填",IF(AND($D76="收入",N($J76)=0),"※收入行要填收入金额",IF(AND($D76="支出",N($K76)=0),"※支出行要填支出金额",IF(AND($C76&lt;&gt;"",ISNA(MATCH($C76,账户表,0))),"※账户不在基础资料里",IF(AND($G76&lt;&gt;"",ISNA(MATCH($G76,项目名表,0))),"※项目不在项目台账里",IF(AND(LEFT($F76,3)="成本-",$G76=""),"※成本类支出没填项目",IF(AND(LEFT($F76,3)="成本-",$H76&lt;&gt;"",N($K76)&gt;0,COUNTIFS(采购单!$B:$B,$B76,采购单!$C:$C,$H76,采购单!$L:$L,$K76)&gt;0),"※这笔可能和采购单重复了",""))))))))))</f>
        <v/>
      </c>
    </row>
    <row r="77">
      <c r="A77" s="17">
        <f>IF($B77="","",ROW()-3)</f>
        <v/>
      </c>
      <c r="B77" s="18" t="n">
        <v>46095</v>
      </c>
      <c r="C77" s="13" t="inlineStr">
        <is>
          <t>微信1</t>
        </is>
      </c>
      <c r="D77" s="13" t="inlineStr">
        <is>
          <t>支出</t>
        </is>
      </c>
      <c r="E77" s="13" t="inlineStr">
        <is>
          <t>运费/快递费</t>
        </is>
      </c>
      <c r="F77" s="17">
        <f>IF($E77="","",IFERROR(VLOOKUP($E77,类别归属,2,0),"※类别不在基础资料里"))</f>
        <v/>
      </c>
      <c r="G77" s="13" t="inlineStr">
        <is>
          <t>织里店</t>
        </is>
      </c>
      <c r="H77" s="13" t="inlineStr">
        <is>
          <t>炳秀</t>
        </is>
      </c>
      <c r="I77" s="13" t="inlineStr">
        <is>
          <t>付炳秀配送</t>
        </is>
      </c>
      <c r="J77" s="14" t="n"/>
      <c r="K77" s="14" t="n">
        <v>91</v>
      </c>
      <c r="L77" s="19">
        <f>IF($C77="","",ROUND(IFERROR(VLOOKUP($C77,账户期初,2,0),0)+SUMIFS($J$4:J77,$C$4:C77,$C77)-SUMIFS($K$4:K77,$C$4:C77,$C77),2))</f>
        <v/>
      </c>
      <c r="M77" s="19">
        <f>IF($C77="","",ROUND(SUM(基础资料!$B$4:$B$13)+SUM($J$4:J77)-SUM($K$4:K77),2))</f>
        <v/>
      </c>
      <c r="N77" s="13" t="n"/>
      <c r="O77" s="13" t="inlineStr">
        <is>
          <t>99</t>
        </is>
      </c>
      <c r="P77" s="17">
        <f>IF($B77="","",IF($F77="※类别不在基础资料里","※费用类别不在基础资料里",IF(AND(N($J77)=0,N($K77)=0),"※这行没填金额",IF(AND(N($J77)&gt;0,N($K77)&gt;0),"※收入和支出不能同一行都填",IF(AND($D77="收入",N($J77)=0),"※收入行要填收入金额",IF(AND($D77="支出",N($K77)=0),"※支出行要填支出金额",IF(AND($C77&lt;&gt;"",ISNA(MATCH($C77,账户表,0))),"※账户不在基础资料里",IF(AND($G77&lt;&gt;"",ISNA(MATCH($G77,项目名表,0))),"※项目不在项目台账里",IF(AND(LEFT($F77,3)="成本-",$G77=""),"※成本类支出没填项目",IF(AND(LEFT($F77,3)="成本-",$H77&lt;&gt;"",N($K77)&gt;0,COUNTIFS(采购单!$B:$B,$B77,采购单!$C:$C,$H77,采购单!$L:$L,$K77)&gt;0),"※这笔可能和采购单重复了",""))))))))))</f>
        <v/>
      </c>
    </row>
    <row r="78">
      <c r="A78" s="17">
        <f>IF($B78="","",ROW()-3)</f>
        <v/>
      </c>
      <c r="B78" s="18" t="n">
        <v>46095</v>
      </c>
      <c r="C78" s="13" t="inlineStr">
        <is>
          <t>微信1</t>
        </is>
      </c>
      <c r="D78" s="13" t="inlineStr">
        <is>
          <t>支出</t>
        </is>
      </c>
      <c r="E78" s="13" t="inlineStr">
        <is>
          <t>运费/快递费</t>
        </is>
      </c>
      <c r="F78" s="17">
        <f>IF($E78="","",IFERROR(VLOOKUP($E78,类别归属,2,0),"※类别不在基础资料里"))</f>
        <v/>
      </c>
      <c r="G78" s="13" t="inlineStr">
        <is>
          <t>犇腾牛排</t>
        </is>
      </c>
      <c r="H78" s="13" t="inlineStr">
        <is>
          <t>炳秀</t>
        </is>
      </c>
      <c r="I78" s="13" t="inlineStr">
        <is>
          <t>付炳秀配送</t>
        </is>
      </c>
      <c r="J78" s="14" t="n"/>
      <c r="K78" s="14" t="n">
        <v>8</v>
      </c>
      <c r="L78" s="19">
        <f>IF($C78="","",ROUND(IFERROR(VLOOKUP($C78,账户期初,2,0),0)+SUMIFS($J$4:J78,$C$4:C78,$C78)-SUMIFS($K$4:K78,$C$4:C78,$C78),2))</f>
        <v/>
      </c>
      <c r="M78" s="19">
        <f>IF($C78="","",ROUND(SUM(基础资料!$B$4:$B$13)+SUM($J$4:J78)-SUM($K$4:K78),2))</f>
        <v/>
      </c>
      <c r="N78" s="13" t="n"/>
      <c r="O78" s="13" t="n"/>
      <c r="P78" s="17">
        <f>IF($B78="","",IF($F78="※类别不在基础资料里","※费用类别不在基础资料里",IF(AND(N($J78)=0,N($K78)=0),"※这行没填金额",IF(AND(N($J78)&gt;0,N($K78)&gt;0),"※收入和支出不能同一行都填",IF(AND($D78="收入",N($J78)=0),"※收入行要填收入金额",IF(AND($D78="支出",N($K78)=0),"※支出行要填支出金额",IF(AND($C78&lt;&gt;"",ISNA(MATCH($C78,账户表,0))),"※账户不在基础资料里",IF(AND($G78&lt;&gt;"",ISNA(MATCH($G78,项目名表,0))),"※项目不在项目台账里",IF(AND(LEFT($F78,3)="成本-",$G78=""),"※成本类支出没填项目",IF(AND(LEFT($F78,3)="成本-",$H78&lt;&gt;"",N($K78)&gt;0,COUNTIFS(采购单!$B:$B,$B78,采购单!$C:$C,$H78,采购单!$L:$L,$K78)&gt;0),"※这笔可能和采购单重复了",""))))))))))</f>
        <v/>
      </c>
    </row>
    <row r="79">
      <c r="A79" s="17">
        <f>IF($B79="","",ROW()-3)</f>
        <v/>
      </c>
      <c r="B79" s="18" t="n">
        <v>46096</v>
      </c>
      <c r="C79" s="13" t="inlineStr">
        <is>
          <t>微信1</t>
        </is>
      </c>
      <c r="D79" s="13" t="inlineStr">
        <is>
          <t>支出</t>
        </is>
      </c>
      <c r="E79" s="13" t="inlineStr">
        <is>
          <t>主材采购</t>
        </is>
      </c>
      <c r="F79" s="17">
        <f>IF($E79="","",IFERROR(VLOOKUP($E79,类别归属,2,0),"※类别不在基础资料里"))</f>
        <v/>
      </c>
      <c r="G79" s="13" t="inlineStr">
        <is>
          <t>中交</t>
        </is>
      </c>
      <c r="H79" s="13" t="n"/>
      <c r="I79" s="13" t="inlineStr">
        <is>
          <t>付拉斯金2个-海天钛金-中交金属牌</t>
        </is>
      </c>
      <c r="J79" s="14" t="n"/>
      <c r="K79" s="14" t="n">
        <v>216</v>
      </c>
      <c r="L79" s="19">
        <f>IF($C79="","",ROUND(IFERROR(VLOOKUP($C79,账户期初,2,0),0)+SUMIFS($J$4:J79,$C$4:C79,$C79)-SUMIFS($K$4:K79,$C$4:C79,$C79),2))</f>
        <v/>
      </c>
      <c r="M79" s="19">
        <f>IF($C79="","",ROUND(SUM(基础资料!$B$4:$B$13)+SUM($J$4:J79)-SUM($K$4:K79),2))</f>
        <v/>
      </c>
      <c r="N79" s="13" t="n"/>
      <c r="O79" s="13" t="n"/>
      <c r="P79" s="17">
        <f>IF($B79="","",IF($F79="※类别不在基础资料里","※费用类别不在基础资料里",IF(AND(N($J79)=0,N($K79)=0),"※这行没填金额",IF(AND(N($J79)&gt;0,N($K79)&gt;0),"※收入和支出不能同一行都填",IF(AND($D79="收入",N($J79)=0),"※收入行要填收入金额",IF(AND($D79="支出",N($K79)=0),"※支出行要填支出金额",IF(AND($C79&lt;&gt;"",ISNA(MATCH($C79,账户表,0))),"※账户不在基础资料里",IF(AND($G79&lt;&gt;"",ISNA(MATCH($G79,项目名表,0))),"※项目不在项目台账里",IF(AND(LEFT($F79,3)="成本-",$G79=""),"※成本类支出没填项目",IF(AND(LEFT($F79,3)="成本-",$H79&lt;&gt;"",N($K79)&gt;0,COUNTIFS(采购单!$B:$B,$B79,采购单!$C:$C,$H79,采购单!$L:$L,$K79)&gt;0),"※这笔可能和采购单重复了",""))))))))))</f>
        <v/>
      </c>
    </row>
    <row r="80">
      <c r="A80" s="17">
        <f>IF($B80="","",ROW()-3)</f>
        <v/>
      </c>
      <c r="B80" s="18" t="n">
        <v>46096</v>
      </c>
      <c r="C80" s="13" t="inlineStr">
        <is>
          <t>微信1</t>
        </is>
      </c>
      <c r="D80" s="13" t="inlineStr">
        <is>
          <t>支出</t>
        </is>
      </c>
      <c r="E80" s="13" t="inlineStr">
        <is>
          <t>其他管理费用</t>
        </is>
      </c>
      <c r="F80" s="17">
        <f>IF($E80="","",IFERROR(VLOOKUP($E80,类别归属,2,0),"※类别不在基础资料里"))</f>
        <v/>
      </c>
      <c r="G80" s="13" t="inlineStr">
        <is>
          <t>东尼电子</t>
        </is>
      </c>
      <c r="H80" s="13" t="n"/>
      <c r="I80" s="13" t="inlineStr">
        <is>
          <t>付运费</t>
        </is>
      </c>
      <c r="J80" s="14" t="n"/>
      <c r="K80" s="14" t="n">
        <v>105</v>
      </c>
      <c r="L80" s="19">
        <f>IF($C80="","",ROUND(IFERROR(VLOOKUP($C80,账户期初,2,0),0)+SUMIFS($J$4:J80,$C$4:C80,$C80)-SUMIFS($K$4:K80,$C$4:C80,$C80),2))</f>
        <v/>
      </c>
      <c r="M80" s="19">
        <f>IF($C80="","",ROUND(SUM(基础资料!$B$4:$B$13)+SUM($J$4:J80)-SUM($K$4:K80),2))</f>
        <v/>
      </c>
      <c r="N80" s="13" t="n"/>
      <c r="O80" s="13" t="n"/>
      <c r="P80" s="17">
        <f>IF($B80="","",IF($F80="※类别不在基础资料里","※费用类别不在基础资料里",IF(AND(N($J80)=0,N($K80)=0),"※这行没填金额",IF(AND(N($J80)&gt;0,N($K80)&gt;0),"※收入和支出不能同一行都填",IF(AND($D80="收入",N($J80)=0),"※收入行要填收入金额",IF(AND($D80="支出",N($K80)=0),"※支出行要填支出金额",IF(AND($C80&lt;&gt;"",ISNA(MATCH($C80,账户表,0))),"※账户不在基础资料里",IF(AND($G80&lt;&gt;"",ISNA(MATCH($G80,项目名表,0))),"※项目不在项目台账里",IF(AND(LEFT($F80,3)="成本-",$G80=""),"※成本类支出没填项目",IF(AND(LEFT($F80,3)="成本-",$H80&lt;&gt;"",N($K80)&gt;0,COUNTIFS(采购单!$B:$B,$B80,采购单!$C:$C,$H80,采购单!$L:$L,$K80)&gt;0),"※这笔可能和采购单重复了",""))))))))))</f>
        <v/>
      </c>
    </row>
    <row r="81">
      <c r="A81" s="17">
        <f>IF($B81="","",ROW()-3)</f>
        <v/>
      </c>
      <c r="B81" s="18" t="n">
        <v>46096</v>
      </c>
      <c r="C81" s="13" t="inlineStr">
        <is>
          <t>微信1</t>
        </is>
      </c>
      <c r="D81" s="13" t="inlineStr">
        <is>
          <t>支出</t>
        </is>
      </c>
      <c r="E81" s="13" t="inlineStr">
        <is>
          <t>运费/快递费</t>
        </is>
      </c>
      <c r="F81" s="17">
        <f>IF($E81="","",IFERROR(VLOOKUP($E81,类别归属,2,0),"※类别不在基础资料里"))</f>
        <v/>
      </c>
      <c r="G81" s="13" t="inlineStr">
        <is>
          <t>织里店</t>
        </is>
      </c>
      <c r="H81" s="13" t="inlineStr">
        <is>
          <t>炳秀</t>
        </is>
      </c>
      <c r="I81" s="13" t="inlineStr">
        <is>
          <t>付炳秀配送</t>
        </is>
      </c>
      <c r="J81" s="14" t="n"/>
      <c r="K81" s="14" t="n">
        <v>197</v>
      </c>
      <c r="L81" s="19">
        <f>IF($C81="","",ROUND(IFERROR(VLOOKUP($C81,账户期初,2,0),0)+SUMIFS($J$4:J81,$C$4:C81,$C81)-SUMIFS($K$4:K81,$C$4:C81,$C81),2))</f>
        <v/>
      </c>
      <c r="M81" s="19">
        <f>IF($C81="","",ROUND(SUM(基础资料!$B$4:$B$13)+SUM($J$4:J81)-SUM($K$4:K81),2))</f>
        <v/>
      </c>
      <c r="N81" s="13" t="n"/>
      <c r="O81" s="13" t="n"/>
      <c r="P81" s="17">
        <f>IF($B81="","",IF($F81="※类别不在基础资料里","※费用类别不在基础资料里",IF(AND(N($J81)=0,N($K81)=0),"※这行没填金额",IF(AND(N($J81)&gt;0,N($K81)&gt;0),"※收入和支出不能同一行都填",IF(AND($D81="收入",N($J81)=0),"※收入行要填收入金额",IF(AND($D81="支出",N($K81)=0),"※支出行要填支出金额",IF(AND($C81&lt;&gt;"",ISNA(MATCH($C81,账户表,0))),"※账户不在基础资料里",IF(AND($G81&lt;&gt;"",ISNA(MATCH($G81,项目名表,0))),"※项目不在项目台账里",IF(AND(LEFT($F81,3)="成本-",$G81=""),"※成本类支出没填项目",IF(AND(LEFT($F81,3)="成本-",$H81&lt;&gt;"",N($K81)&gt;0,COUNTIFS(采购单!$B:$B,$B81,采购单!$C:$C,$H81,采购单!$L:$L,$K81)&gt;0),"※这笔可能和采购单重复了",""))))))))))</f>
        <v/>
      </c>
    </row>
    <row r="82">
      <c r="A82" s="17">
        <f>IF($B82="","",ROW()-3)</f>
        <v/>
      </c>
      <c r="B82" s="18" t="n">
        <v>46097</v>
      </c>
      <c r="C82" s="13" t="inlineStr">
        <is>
          <t>微信1</t>
        </is>
      </c>
      <c r="D82" s="13" t="inlineStr">
        <is>
          <t>支出</t>
        </is>
      </c>
      <c r="E82" s="13" t="inlineStr">
        <is>
          <t>借出款</t>
        </is>
      </c>
      <c r="F82" s="17">
        <f>IF($E82="","",IFERROR(VLOOKUP($E82,类别归属,2,0),"※类别不在基础资料里"))</f>
        <v/>
      </c>
      <c r="G82" s="13" t="n"/>
      <c r="H82" s="13" t="inlineStr">
        <is>
          <t>往来款</t>
        </is>
      </c>
      <c r="I82" s="13" t="inlineStr">
        <is>
          <t>付给付久华</t>
        </is>
      </c>
      <c r="J82" s="14" t="n"/>
      <c r="K82" s="14" t="n">
        <v>4000</v>
      </c>
      <c r="L82" s="19">
        <f>IF($C82="","",ROUND(IFERROR(VLOOKUP($C82,账户期初,2,0),0)+SUMIFS($J$4:J82,$C$4:C82,$C82)-SUMIFS($K$4:K82,$C$4:C82,$C82),2))</f>
        <v/>
      </c>
      <c r="M82" s="19">
        <f>IF($C82="","",ROUND(SUM(基础资料!$B$4:$B$13)+SUM($J$4:J82)-SUM($K$4:K82),2))</f>
        <v/>
      </c>
      <c r="N82" s="13" t="n"/>
      <c r="O82" s="13" t="n"/>
      <c r="P82" s="17">
        <f>IF($B82="","",IF($F82="※类别不在基础资料里","※费用类别不在基础资料里",IF(AND(N($J82)=0,N($K82)=0),"※这行没填金额",IF(AND(N($J82)&gt;0,N($K82)&gt;0),"※收入和支出不能同一行都填",IF(AND($D82="收入",N($J82)=0),"※收入行要填收入金额",IF(AND($D82="支出",N($K82)=0),"※支出行要填支出金额",IF(AND($C82&lt;&gt;"",ISNA(MATCH($C82,账户表,0))),"※账户不在基础资料里",IF(AND($G82&lt;&gt;"",ISNA(MATCH($G82,项目名表,0))),"※项目不在项目台账里",IF(AND(LEFT($F82,3)="成本-",$G82=""),"※成本类支出没填项目",IF(AND(LEFT($F82,3)="成本-",$H82&lt;&gt;"",N($K82)&gt;0,COUNTIFS(采购单!$B:$B,$B82,采购单!$C:$C,$H82,采购单!$L:$L,$K82)&gt;0),"※这笔可能和采购单重复了",""))))))))))</f>
        <v/>
      </c>
    </row>
    <row r="83">
      <c r="A83" s="17">
        <f>IF($B83="","",ROW()-3)</f>
        <v/>
      </c>
      <c r="B83" s="18" t="n">
        <v>46097</v>
      </c>
      <c r="C83" s="13" t="inlineStr">
        <is>
          <t>微信1</t>
        </is>
      </c>
      <c r="D83" s="13" t="inlineStr">
        <is>
          <t>支出</t>
        </is>
      </c>
      <c r="E83" s="13" t="inlineStr">
        <is>
          <t>借出款</t>
        </is>
      </c>
      <c r="F83" s="17">
        <f>IF($E83="","",IFERROR(VLOOKUP($E83,类别归属,2,0),"※类别不在基础资料里"))</f>
        <v/>
      </c>
      <c r="G83" s="13" t="inlineStr">
        <is>
          <t>织里店</t>
        </is>
      </c>
      <c r="H83" s="13" t="inlineStr">
        <is>
          <t>钮</t>
        </is>
      </c>
      <c r="I83" s="13" t="inlineStr">
        <is>
          <t>付鑫鑫30*30镀锌方管4*26=104元国威拼包</t>
        </is>
      </c>
      <c r="J83" s="14" t="n"/>
      <c r="K83" s="14" t="n">
        <v>100</v>
      </c>
      <c r="L83" s="19">
        <f>IF($C83="","",ROUND(IFERROR(VLOOKUP($C83,账户期初,2,0),0)+SUMIFS($J$4:J83,$C$4:C83,$C83)-SUMIFS($K$4:K83,$C$4:C83,$C83),2))</f>
        <v/>
      </c>
      <c r="M83" s="19">
        <f>IF($C83="","",ROUND(SUM(基础资料!$B$4:$B$13)+SUM($J$4:J83)-SUM($K$4:K83),2))</f>
        <v/>
      </c>
      <c r="N83" s="13" t="n"/>
      <c r="O83" s="13" t="n"/>
      <c r="P83" s="17">
        <f>IF($B83="","",IF($F83="※类别不在基础资料里","※费用类别不在基础资料里",IF(AND(N($J83)=0,N($K83)=0),"※这行没填金额",IF(AND(N($J83)&gt;0,N($K83)&gt;0),"※收入和支出不能同一行都填",IF(AND($D83="收入",N($J83)=0),"※收入行要填收入金额",IF(AND($D83="支出",N($K83)=0),"※支出行要填支出金额",IF(AND($C83&lt;&gt;"",ISNA(MATCH($C83,账户表,0))),"※账户不在基础资料里",IF(AND($G83&lt;&gt;"",ISNA(MATCH($G83,项目名表,0))),"※项目不在项目台账里",IF(AND(LEFT($F83,3)="成本-",$G83=""),"※成本类支出没填项目",IF(AND(LEFT($F83,3)="成本-",$H83&lt;&gt;"",N($K83)&gt;0,COUNTIFS(采购单!$B:$B,$B83,采购单!$C:$C,$H83,采购单!$L:$L,$K83)&gt;0),"※这笔可能和采购单重复了",""))))))))))</f>
        <v/>
      </c>
    </row>
    <row r="84">
      <c r="A84" s="17">
        <f>IF($B84="","",ROW()-3)</f>
        <v/>
      </c>
      <c r="B84" s="18" t="n">
        <v>46097</v>
      </c>
      <c r="C84" s="13" t="inlineStr">
        <is>
          <t>微信1</t>
        </is>
      </c>
      <c r="D84" s="13" t="inlineStr">
        <is>
          <t>收入</t>
        </is>
      </c>
      <c r="E84" s="13" t="inlineStr">
        <is>
          <t>零星物料销售</t>
        </is>
      </c>
      <c r="F84" s="17">
        <f>IF($E84="","",IFERROR(VLOOKUP($E84,类别归属,2,0),"※类别不在基础资料里"))</f>
        <v/>
      </c>
      <c r="G84" s="13" t="inlineStr">
        <is>
          <t>万达kvv</t>
        </is>
      </c>
      <c r="H84" s="13" t="n"/>
      <c r="I84" s="13" t="inlineStr">
        <is>
          <t>收万达KVV乔金鑫</t>
        </is>
      </c>
      <c r="J84" s="14" t="n">
        <v>70</v>
      </c>
      <c r="K84" s="14" t="n"/>
      <c r="L84" s="19">
        <f>IF($C84="","",ROUND(IFERROR(VLOOKUP($C84,账户期初,2,0),0)+SUMIFS($J$4:J84,$C$4:C84,$C84)-SUMIFS($K$4:K84,$C$4:C84,$C84),2))</f>
        <v/>
      </c>
      <c r="M84" s="19">
        <f>IF($C84="","",ROUND(SUM(基础资料!$B$4:$B$13)+SUM($J$4:J84)-SUM($K$4:K84),2))</f>
        <v/>
      </c>
      <c r="N84" s="13" t="n"/>
      <c r="O84" s="13" t="n"/>
      <c r="P84" s="17">
        <f>IF($B84="","",IF($F84="※类别不在基础资料里","※费用类别不在基础资料里",IF(AND(N($J84)=0,N($K84)=0),"※这行没填金额",IF(AND(N($J84)&gt;0,N($K84)&gt;0),"※收入和支出不能同一行都填",IF(AND($D84="收入",N($J84)=0),"※收入行要填收入金额",IF(AND($D84="支出",N($K84)=0),"※支出行要填支出金额",IF(AND($C84&lt;&gt;"",ISNA(MATCH($C84,账户表,0))),"※账户不在基础资料里",IF(AND($G84&lt;&gt;"",ISNA(MATCH($G84,项目名表,0))),"※项目不在项目台账里",IF(AND(LEFT($F84,3)="成本-",$G84=""),"※成本类支出没填项目",IF(AND(LEFT($F84,3)="成本-",$H84&lt;&gt;"",N($K84)&gt;0,COUNTIFS(采购单!$B:$B,$B84,采购单!$C:$C,$H84,采购单!$L:$L,$K84)&gt;0),"※这笔可能和采购单重复了",""))))))))))</f>
        <v/>
      </c>
    </row>
    <row r="85">
      <c r="A85" s="17">
        <f>IF($B85="","",ROW()-3)</f>
        <v/>
      </c>
      <c r="B85" s="18" t="n">
        <v>46097</v>
      </c>
      <c r="C85" s="13" t="inlineStr">
        <is>
          <t>微信1</t>
        </is>
      </c>
      <c r="D85" s="13" t="inlineStr">
        <is>
          <t>支出</t>
        </is>
      </c>
      <c r="E85" s="13" t="inlineStr">
        <is>
          <t>运费/快递费</t>
        </is>
      </c>
      <c r="F85" s="17">
        <f>IF($E85="","",IFERROR(VLOOKUP($E85,类别归属,2,0),"※类别不在基础资料里"))</f>
        <v/>
      </c>
      <c r="G85" s="13" t="inlineStr">
        <is>
          <t>万达kvv</t>
        </is>
      </c>
      <c r="H85" s="13" t="inlineStr">
        <is>
          <t>炳秀</t>
        </is>
      </c>
      <c r="I85" s="13" t="inlineStr">
        <is>
          <t>付炳秀配送</t>
        </is>
      </c>
      <c r="J85" s="14" t="n"/>
      <c r="K85" s="14" t="n">
        <v>13</v>
      </c>
      <c r="L85" s="19">
        <f>IF($C85="","",ROUND(IFERROR(VLOOKUP($C85,账户期初,2,0),0)+SUMIFS($J$4:J85,$C$4:C85,$C85)-SUMIFS($K$4:K85,$C$4:C85,$C85),2))</f>
        <v/>
      </c>
      <c r="M85" s="19">
        <f>IF($C85="","",ROUND(SUM(基础资料!$B$4:$B$13)+SUM($J$4:J85)-SUM($K$4:K85),2))</f>
        <v/>
      </c>
      <c r="N85" s="13" t="n"/>
      <c r="O85" s="13" t="inlineStr">
        <is>
          <t>58</t>
        </is>
      </c>
      <c r="P85" s="17">
        <f>IF($B85="","",IF($F85="※类别不在基础资料里","※费用类别不在基础资料里",IF(AND(N($J85)=0,N($K85)=0),"※这行没填金额",IF(AND(N($J85)&gt;0,N($K85)&gt;0),"※收入和支出不能同一行都填",IF(AND($D85="收入",N($J85)=0),"※收入行要填收入金额",IF(AND($D85="支出",N($K85)=0),"※支出行要填支出金额",IF(AND($C85&lt;&gt;"",ISNA(MATCH($C85,账户表,0))),"※账户不在基础资料里",IF(AND($G85&lt;&gt;"",ISNA(MATCH($G85,项目名表,0))),"※项目不在项目台账里",IF(AND(LEFT($F85,3)="成本-",$G85=""),"※成本类支出没填项目",IF(AND(LEFT($F85,3)="成本-",$H85&lt;&gt;"",N($K85)&gt;0,COUNTIFS(采购单!$B:$B,$B85,采购单!$C:$C,$H85,采购单!$L:$L,$K85)&gt;0),"※这笔可能和采购单重复了",""))))))))))</f>
        <v/>
      </c>
    </row>
    <row r="86">
      <c r="A86" s="17">
        <f>IF($B86="","",ROW()-3)</f>
        <v/>
      </c>
      <c r="B86" s="18" t="n">
        <v>46097</v>
      </c>
      <c r="C86" s="13" t="inlineStr">
        <is>
          <t>微信1</t>
        </is>
      </c>
      <c r="D86" s="13" t="inlineStr">
        <is>
          <t>支出</t>
        </is>
      </c>
      <c r="E86" s="13" t="inlineStr">
        <is>
          <t>运费/快递费</t>
        </is>
      </c>
      <c r="F86" s="17">
        <f>IF($E86="","",IFERROR(VLOOKUP($E86,类别归属,2,0),"※类别不在基础资料里"))</f>
        <v/>
      </c>
      <c r="G86" s="13" t="inlineStr">
        <is>
          <t>织里店</t>
        </is>
      </c>
      <c r="H86" s="13" t="inlineStr">
        <is>
          <t>炳秀</t>
        </is>
      </c>
      <c r="I86" s="13" t="inlineStr">
        <is>
          <t>付炳秀配送</t>
        </is>
      </c>
      <c r="J86" s="14" t="n"/>
      <c r="K86" s="14" t="n">
        <v>45</v>
      </c>
      <c r="L86" s="19">
        <f>IF($C86="","",ROUND(IFERROR(VLOOKUP($C86,账户期初,2,0),0)+SUMIFS($J$4:J86,$C$4:C86,$C86)-SUMIFS($K$4:K86,$C$4:C86,$C86),2))</f>
        <v/>
      </c>
      <c r="M86" s="19">
        <f>IF($C86="","",ROUND(SUM(基础资料!$B$4:$B$13)+SUM($J$4:J86)-SUM($K$4:K86),2))</f>
        <v/>
      </c>
      <c r="N86" s="13" t="n"/>
      <c r="O86" s="13" t="n"/>
      <c r="P86" s="17">
        <f>IF($B86="","",IF($F86="※类别不在基础资料里","※费用类别不在基础资料里",IF(AND(N($J86)=0,N($K86)=0),"※这行没填金额",IF(AND(N($J86)&gt;0,N($K86)&gt;0),"※收入和支出不能同一行都填",IF(AND($D86="收入",N($J86)=0),"※收入行要填收入金额",IF(AND($D86="支出",N($K86)=0),"※支出行要填支出金额",IF(AND($C86&lt;&gt;"",ISNA(MATCH($C86,账户表,0))),"※账户不在基础资料里",IF(AND($G86&lt;&gt;"",ISNA(MATCH($G86,项目名表,0))),"※项目不在项目台账里",IF(AND(LEFT($F86,3)="成本-",$G86=""),"※成本类支出没填项目",IF(AND(LEFT($F86,3)="成本-",$H86&lt;&gt;"",N($K86)&gt;0,COUNTIFS(采购单!$B:$B,$B86,采购单!$C:$C,$H86,采购单!$L:$L,$K86)&gt;0),"※这笔可能和采购单重复了",""))))))))))</f>
        <v/>
      </c>
    </row>
    <row r="87">
      <c r="A87" s="17">
        <f>IF($B87="","",ROW()-3)</f>
        <v/>
      </c>
      <c r="B87" s="18" t="n">
        <v>46097</v>
      </c>
      <c r="C87" s="13" t="inlineStr">
        <is>
          <t>微信1</t>
        </is>
      </c>
      <c r="D87" s="13" t="inlineStr">
        <is>
          <t>支出</t>
        </is>
      </c>
      <c r="E87" s="13" t="inlineStr">
        <is>
          <t>借出款</t>
        </is>
      </c>
      <c r="F87" s="17">
        <f>IF($E87="","",IFERROR(VLOOKUP($E87,类别归属,2,0),"※类别不在基础资料里"))</f>
        <v/>
      </c>
      <c r="G87" s="13" t="n"/>
      <c r="H87" s="13" t="n"/>
      <c r="I87" s="13" t="inlineStr">
        <is>
          <t>买桶装水 8*10+20*2空桶押金（40元）</t>
        </is>
      </c>
      <c r="J87" s="14" t="n"/>
      <c r="K87" s="14" t="n">
        <v>120</v>
      </c>
      <c r="L87" s="19">
        <f>IF($C87="","",ROUND(IFERROR(VLOOKUP($C87,账户期初,2,0),0)+SUMIFS($J$4:J87,$C$4:C87,$C87)-SUMIFS($K$4:K87,$C$4:C87,$C87),2))</f>
        <v/>
      </c>
      <c r="M87" s="19">
        <f>IF($C87="","",ROUND(SUM(基础资料!$B$4:$B$13)+SUM($J$4:J87)-SUM($K$4:K87),2))</f>
        <v/>
      </c>
      <c r="N87" s="13" t="n"/>
      <c r="O87" s="13" t="n"/>
      <c r="P87" s="17">
        <f>IF($B87="","",IF($F87="※类别不在基础资料里","※费用类别不在基础资料里",IF(AND(N($J87)=0,N($K87)=0),"※这行没填金额",IF(AND(N($J87)&gt;0,N($K87)&gt;0),"※收入和支出不能同一行都填",IF(AND($D87="收入",N($J87)=0),"※收入行要填收入金额",IF(AND($D87="支出",N($K87)=0),"※支出行要填支出金额",IF(AND($C87&lt;&gt;"",ISNA(MATCH($C87,账户表,0))),"※账户不在基础资料里",IF(AND($G87&lt;&gt;"",ISNA(MATCH($G87,项目名表,0))),"※项目不在项目台账里",IF(AND(LEFT($F87,3)="成本-",$G87=""),"※成本类支出没填项目",IF(AND(LEFT($F87,3)="成本-",$H87&lt;&gt;"",N($K87)&gt;0,COUNTIFS(采购单!$B:$B,$B87,采购单!$C:$C,$H87,采购单!$L:$L,$K87)&gt;0),"※这笔可能和采购单重复了",""))))))))))</f>
        <v/>
      </c>
    </row>
    <row r="88">
      <c r="A88" s="17">
        <f>IF($B88="","",ROW()-3)</f>
        <v/>
      </c>
      <c r="B88" s="18" t="n">
        <v>46098</v>
      </c>
      <c r="C88" s="13" t="inlineStr">
        <is>
          <t>微信1</t>
        </is>
      </c>
      <c r="D88" s="13" t="inlineStr">
        <is>
          <t>收入</t>
        </is>
      </c>
      <c r="E88" s="13" t="inlineStr">
        <is>
          <t>项目收款</t>
        </is>
      </c>
      <c r="F88" s="17">
        <f>IF($E88="","",IFERROR(VLOOKUP($E88,类别归属,2,0),"※类别不在基础资料里"))</f>
        <v/>
      </c>
      <c r="G88" s="13" t="inlineStr">
        <is>
          <t>最爱潘多拉ktv</t>
        </is>
      </c>
      <c r="H88" s="13" t="n"/>
      <c r="I88" s="13" t="inlineStr">
        <is>
          <t>应实收浩然如歌362（已付514）</t>
        </is>
      </c>
      <c r="J88" s="14" t="n">
        <v>514</v>
      </c>
      <c r="K88" s="14" t="n"/>
      <c r="L88" s="19">
        <f>IF($C88="","",ROUND(IFERROR(VLOOKUP($C88,账户期初,2,0),0)+SUMIFS($J$4:J88,$C$4:C88,$C88)-SUMIFS($K$4:K88,$C$4:C88,$C88),2))</f>
        <v/>
      </c>
      <c r="M88" s="19">
        <f>IF($C88="","",ROUND(SUM(基础资料!$B$4:$B$13)+SUM($J$4:J88)-SUM($K$4:K88),2))</f>
        <v/>
      </c>
      <c r="N88" s="13" t="n"/>
      <c r="O88" s="13" t="n"/>
      <c r="P88" s="17">
        <f>IF($B88="","",IF($F88="※类别不在基础资料里","※费用类别不在基础资料里",IF(AND(N($J88)=0,N($K88)=0),"※这行没填金额",IF(AND(N($J88)&gt;0,N($K88)&gt;0),"※收入和支出不能同一行都填",IF(AND($D88="收入",N($J88)=0),"※收入行要填收入金额",IF(AND($D88="支出",N($K88)=0),"※支出行要填支出金额",IF(AND($C88&lt;&gt;"",ISNA(MATCH($C88,账户表,0))),"※账户不在基础资料里",IF(AND($G88&lt;&gt;"",ISNA(MATCH($G88,项目名表,0))),"※项目不在项目台账里",IF(AND(LEFT($F88,3)="成本-",$G88=""),"※成本类支出没填项目",IF(AND(LEFT($F88,3)="成本-",$H88&lt;&gt;"",N($K88)&gt;0,COUNTIFS(采购单!$B:$B,$B88,采购单!$C:$C,$H88,采购单!$L:$L,$K88)&gt;0),"※这笔可能和采购单重复了",""))))))))))</f>
        <v/>
      </c>
    </row>
    <row r="89">
      <c r="A89" s="17">
        <f>IF($B89="","",ROW()-3)</f>
        <v/>
      </c>
      <c r="B89" s="18" t="n">
        <v>46098</v>
      </c>
      <c r="C89" s="13" t="inlineStr">
        <is>
          <t>微信1</t>
        </is>
      </c>
      <c r="D89" s="13" t="inlineStr">
        <is>
          <t>支出</t>
        </is>
      </c>
      <c r="E89" s="13" t="inlineStr">
        <is>
          <t>主材采购</t>
        </is>
      </c>
      <c r="F89" s="17">
        <f>IF($E89="","",IFERROR(VLOOKUP($E89,类别归属,2,0),"※类别不在基础资料里"))</f>
        <v/>
      </c>
      <c r="G89" s="13" t="inlineStr">
        <is>
          <t>最爱潘多拉ktv</t>
        </is>
      </c>
      <c r="H89" s="13" t="n"/>
      <c r="I89" s="13" t="inlineStr">
        <is>
          <t>退回多收浩然如歌付款514-152=362</t>
        </is>
      </c>
      <c r="J89" s="14" t="n"/>
      <c r="K89" s="14" t="n">
        <v>152</v>
      </c>
      <c r="L89" s="19">
        <f>IF($C89="","",ROUND(IFERROR(VLOOKUP($C89,账户期初,2,0),0)+SUMIFS($J$4:J89,$C$4:C89,$C89)-SUMIFS($K$4:K89,$C$4:C89,$C89),2))</f>
        <v/>
      </c>
      <c r="M89" s="19">
        <f>IF($C89="","",ROUND(SUM(基础资料!$B$4:$B$13)+SUM($J$4:J89)-SUM($K$4:K89),2))</f>
        <v/>
      </c>
      <c r="N89" s="13" t="n"/>
      <c r="O89" s="13" t="n"/>
      <c r="P89" s="17">
        <f>IF($B89="","",IF($F89="※类别不在基础资料里","※费用类别不在基础资料里",IF(AND(N($J89)=0,N($K89)=0),"※这行没填金额",IF(AND(N($J89)&gt;0,N($K89)&gt;0),"※收入和支出不能同一行都填",IF(AND($D89="收入",N($J89)=0),"※收入行要填收入金额",IF(AND($D89="支出",N($K89)=0),"※支出行要填支出金额",IF(AND($C89&lt;&gt;"",ISNA(MATCH($C89,账户表,0))),"※账户不在基础资料里",IF(AND($G89&lt;&gt;"",ISNA(MATCH($G89,项目名表,0))),"※项目不在项目台账里",IF(AND(LEFT($F89,3)="成本-",$G89=""),"※成本类支出没填项目",IF(AND(LEFT($F89,3)="成本-",$H89&lt;&gt;"",N($K89)&gt;0,COUNTIFS(采购单!$B:$B,$B89,采购单!$C:$C,$H89,采购单!$L:$L,$K89)&gt;0),"※这笔可能和采购单重复了",""))))))))))</f>
        <v/>
      </c>
    </row>
    <row r="90">
      <c r="A90" s="17">
        <f>IF($B90="","",ROW()-3)</f>
        <v/>
      </c>
      <c r="B90" s="18" t="n">
        <v>46097</v>
      </c>
      <c r="C90" s="13" t="inlineStr">
        <is>
          <t>微信1</t>
        </is>
      </c>
      <c r="D90" s="13" t="inlineStr">
        <is>
          <t>支出</t>
        </is>
      </c>
      <c r="E90" s="13" t="inlineStr">
        <is>
          <t>车费/油费/过路费</t>
        </is>
      </c>
      <c r="F90" s="17">
        <f>IF($E90="","",IFERROR(VLOOKUP($E90,类别归属,2,0),"※类别不在基础资料里"))</f>
        <v/>
      </c>
      <c r="G90" s="13" t="inlineStr">
        <is>
          <t>小谷姐姐</t>
        </is>
      </c>
      <c r="H90" s="13" t="n"/>
      <c r="I90" s="13" t="inlineStr">
        <is>
          <t>应付章凡垫付停车费</t>
        </is>
      </c>
      <c r="J90" s="14" t="n"/>
      <c r="K90" s="14" t="n">
        <v>67</v>
      </c>
      <c r="L90" s="19">
        <f>IF($C90="","",ROUND(IFERROR(VLOOKUP($C90,账户期初,2,0),0)+SUMIFS($J$4:J90,$C$4:C90,$C90)-SUMIFS($K$4:K90,$C$4:C90,$C90),2))</f>
        <v/>
      </c>
      <c r="M90" s="19">
        <f>IF($C90="","",ROUND(SUM(基础资料!$B$4:$B$13)+SUM($J$4:J90)-SUM($K$4:K90),2))</f>
        <v/>
      </c>
      <c r="N90" s="13" t="n"/>
      <c r="O90" s="13" t="inlineStr">
        <is>
          <t>中交、潮汕火锅、每甜</t>
        </is>
      </c>
      <c r="P90" s="17">
        <f>IF($B90="","",IF($F90="※类别不在基础资料里","※费用类别不在基础资料里",IF(AND(N($J90)=0,N($K90)=0),"※这行没填金额",IF(AND(N($J90)&gt;0,N($K90)&gt;0),"※收入和支出不能同一行都填",IF(AND($D90="收入",N($J90)=0),"※收入行要填收入金额",IF(AND($D90="支出",N($K90)=0),"※支出行要填支出金额",IF(AND($C90&lt;&gt;"",ISNA(MATCH($C90,账户表,0))),"※账户不在基础资料里",IF(AND($G90&lt;&gt;"",ISNA(MATCH($G90,项目名表,0))),"※项目不在项目台账里",IF(AND(LEFT($F90,3)="成本-",$G90=""),"※成本类支出没填项目",IF(AND(LEFT($F90,3)="成本-",$H90&lt;&gt;"",N($K90)&gt;0,COUNTIFS(采购单!$B:$B,$B90,采购单!$C:$C,$H90,采购单!$L:$L,$K90)&gt;0),"※这笔可能和采购单重复了",""))))))))))</f>
        <v/>
      </c>
    </row>
    <row r="91">
      <c r="A91" s="17">
        <f>IF($B91="","",ROW()-3)</f>
        <v/>
      </c>
      <c r="B91" s="18" t="n">
        <v>46098</v>
      </c>
      <c r="C91" s="13" t="inlineStr">
        <is>
          <t>微信1</t>
        </is>
      </c>
      <c r="D91" s="13" t="inlineStr">
        <is>
          <t>支出</t>
        </is>
      </c>
      <c r="E91" s="13" t="inlineStr">
        <is>
          <t>运费/快递费</t>
        </is>
      </c>
      <c r="F91" s="17">
        <f>IF($E91="","",IFERROR(VLOOKUP($E91,类别归属,2,0),"※类别不在基础资料里"))</f>
        <v/>
      </c>
      <c r="G91" s="13" t="inlineStr">
        <is>
          <t>织里店</t>
        </is>
      </c>
      <c r="H91" s="13" t="inlineStr">
        <is>
          <t>炳秀</t>
        </is>
      </c>
      <c r="I91" s="13" t="inlineStr">
        <is>
          <t>付炳秀配送</t>
        </is>
      </c>
      <c r="J91" s="14" t="n"/>
      <c r="K91" s="14" t="n">
        <v>18</v>
      </c>
      <c r="L91" s="19">
        <f>IF($C91="","",ROUND(IFERROR(VLOOKUP($C91,账户期初,2,0),0)+SUMIFS($J$4:J91,$C$4:C91,$C91)-SUMIFS($K$4:K91,$C$4:C91,$C91),2))</f>
        <v/>
      </c>
      <c r="M91" s="19">
        <f>IF($C91="","",ROUND(SUM(基础资料!$B$4:$B$13)+SUM($J$4:J91)-SUM($K$4:K91),2))</f>
        <v/>
      </c>
      <c r="N91" s="13" t="n"/>
      <c r="O91" s="13" t="n"/>
      <c r="P91" s="17">
        <f>IF($B91="","",IF($F91="※类别不在基础资料里","※费用类别不在基础资料里",IF(AND(N($J91)=0,N($K91)=0),"※这行没填金额",IF(AND(N($J91)&gt;0,N($K91)&gt;0),"※收入和支出不能同一行都填",IF(AND($D91="收入",N($J91)=0),"※收入行要填收入金额",IF(AND($D91="支出",N($K91)=0),"※支出行要填支出金额",IF(AND($C91&lt;&gt;"",ISNA(MATCH($C91,账户表,0))),"※账户不在基础资料里",IF(AND($G91&lt;&gt;"",ISNA(MATCH($G91,项目名表,0))),"※项目不在项目台账里",IF(AND(LEFT($F91,3)="成本-",$G91=""),"※成本类支出没填项目",IF(AND(LEFT($F91,3)="成本-",$H91&lt;&gt;"",N($K91)&gt;0,COUNTIFS(采购单!$B:$B,$B91,采购单!$C:$C,$H91,采购单!$L:$L,$K91)&gt;0),"※这笔可能和采购单重复了",""))))))))))</f>
        <v/>
      </c>
    </row>
    <row r="92">
      <c r="A92" s="17">
        <f>IF($B92="","",ROW()-3)</f>
        <v/>
      </c>
      <c r="B92" s="18" t="n">
        <v>46099</v>
      </c>
      <c r="C92" s="13" t="inlineStr">
        <is>
          <t>微信1</t>
        </is>
      </c>
      <c r="D92" s="13" t="inlineStr">
        <is>
          <t>支出</t>
        </is>
      </c>
      <c r="E92" s="13" t="inlineStr">
        <is>
          <t>其他管理费用</t>
        </is>
      </c>
      <c r="F92" s="17">
        <f>IF($E92="","",IFERROR(VLOOKUP($E92,类别归属,2,0),"※类别不在基础资料里"))</f>
        <v/>
      </c>
      <c r="G92" s="13" t="inlineStr">
        <is>
          <t>德清钟管菜市场</t>
        </is>
      </c>
      <c r="H92" s="13" t="n"/>
      <c r="I92" s="13" t="inlineStr">
        <is>
          <t>中国红结构胶2支</t>
        </is>
      </c>
      <c r="J92" s="14" t="n"/>
      <c r="K92" s="14" t="n">
        <v>24</v>
      </c>
      <c r="L92" s="19">
        <f>IF($C92="","",ROUND(IFERROR(VLOOKUP($C92,账户期初,2,0),0)+SUMIFS($J$4:J92,$C$4:C92,$C92)-SUMIFS($K$4:K92,$C$4:C92,$C92),2))</f>
        <v/>
      </c>
      <c r="M92" s="19">
        <f>IF($C92="","",ROUND(SUM(基础资料!$B$4:$B$13)+SUM($J$4:J92)-SUM($K$4:K92),2))</f>
        <v/>
      </c>
      <c r="N92" s="13" t="n"/>
      <c r="O92" s="13" t="inlineStr">
        <is>
          <t>本次杨德 报销660.5</t>
        </is>
      </c>
      <c r="P92" s="17">
        <f>IF($B92="","",IF($F92="※类别不在基础资料里","※费用类别不在基础资料里",IF(AND(N($J92)=0,N($K92)=0),"※这行没填金额",IF(AND(N($J92)&gt;0,N($K92)&gt;0),"※收入和支出不能同一行都填",IF(AND($D92="收入",N($J92)=0),"※收入行要填收入金额",IF(AND($D92="支出",N($K92)=0),"※支出行要填支出金额",IF(AND($C92&lt;&gt;"",ISNA(MATCH($C92,账户表,0))),"※账户不在基础资料里",IF(AND($G92&lt;&gt;"",ISNA(MATCH($G92,项目名表,0))),"※项目不在项目台账里",IF(AND(LEFT($F92,3)="成本-",$G92=""),"※成本类支出没填项目",IF(AND(LEFT($F92,3)="成本-",$H92&lt;&gt;"",N($K92)&gt;0,COUNTIFS(采购单!$B:$B,$B92,采购单!$C:$C,$H92,采购单!$L:$L,$K92)&gt;0),"※这笔可能和采购单重复了",""))))))))))</f>
        <v/>
      </c>
    </row>
    <row r="93">
      <c r="A93" s="17">
        <f>IF($B93="","",ROW()-3)</f>
        <v/>
      </c>
      <c r="B93" s="18" t="n">
        <v>46099</v>
      </c>
      <c r="C93" s="13" t="inlineStr">
        <is>
          <t>微信1</t>
        </is>
      </c>
      <c r="D93" s="13" t="inlineStr">
        <is>
          <t>支出</t>
        </is>
      </c>
      <c r="E93" s="13" t="inlineStr">
        <is>
          <t>车费/油费/过路费</t>
        </is>
      </c>
      <c r="F93" s="17">
        <f>IF($E93="","",IFERROR(VLOOKUP($E93,类别归属,2,0),"※类别不在基础资料里"))</f>
        <v/>
      </c>
      <c r="G93" s="13" t="inlineStr">
        <is>
          <t>安吉车贴项目</t>
        </is>
      </c>
      <c r="H93" s="13" t="n"/>
      <c r="I93" s="13" t="inlineStr">
        <is>
          <t>312加油</t>
        </is>
      </c>
      <c r="J93" s="14" t="n"/>
      <c r="K93" s="14" t="n">
        <v>200</v>
      </c>
      <c r="L93" s="19">
        <f>IF($C93="","",ROUND(IFERROR(VLOOKUP($C93,账户期初,2,0),0)+SUMIFS($J$4:J93,$C$4:C93,$C93)-SUMIFS($K$4:K93,$C$4:C93,$C93),2))</f>
        <v/>
      </c>
      <c r="M93" s="19">
        <f>IF($C93="","",ROUND(SUM(基础资料!$B$4:$B$13)+SUM($J$4:J93)-SUM($K$4:K93),2))</f>
        <v/>
      </c>
      <c r="N93" s="13" t="n"/>
      <c r="O93" s="13" t="n"/>
      <c r="P93" s="17">
        <f>IF($B93="","",IF($F93="※类别不在基础资料里","※费用类别不在基础资料里",IF(AND(N($J93)=0,N($K93)=0),"※这行没填金额",IF(AND(N($J93)&gt;0,N($K93)&gt;0),"※收入和支出不能同一行都填",IF(AND($D93="收入",N($J93)=0),"※收入行要填收入金额",IF(AND($D93="支出",N($K93)=0),"※支出行要填支出金额",IF(AND($C93&lt;&gt;"",ISNA(MATCH($C93,账户表,0))),"※账户不在基础资料里",IF(AND($G93&lt;&gt;"",ISNA(MATCH($G93,项目名表,0))),"※项目不在项目台账里",IF(AND(LEFT($F93,3)="成本-",$G93=""),"※成本类支出没填项目",IF(AND(LEFT($F93,3)="成本-",$H93&lt;&gt;"",N($K93)&gt;0,COUNTIFS(采购单!$B:$B,$B93,采购单!$C:$C,$H93,采购单!$L:$L,$K93)&gt;0),"※这笔可能和采购单重复了",""))))))))))</f>
        <v/>
      </c>
    </row>
    <row r="94">
      <c r="A94" s="17">
        <f>IF($B94="","",ROW()-3)</f>
        <v/>
      </c>
      <c r="B94" s="18" t="n">
        <v>46099</v>
      </c>
      <c r="C94" s="13" t="inlineStr">
        <is>
          <t>微信1</t>
        </is>
      </c>
      <c r="D94" s="13" t="inlineStr">
        <is>
          <t>支出</t>
        </is>
      </c>
      <c r="E94" s="13" t="inlineStr">
        <is>
          <t>车费/油费/过路费</t>
        </is>
      </c>
      <c r="F94" s="17">
        <f>IF($E94="","",IFERROR(VLOOKUP($E94,类别归属,2,0),"※类别不在基础资料里"))</f>
        <v/>
      </c>
      <c r="G94" s="13" t="inlineStr">
        <is>
          <t>安吉车贴项目</t>
        </is>
      </c>
      <c r="H94" s="13" t="n"/>
      <c r="I94" s="13" t="inlineStr">
        <is>
          <t>高速费（来回）</t>
        </is>
      </c>
      <c r="J94" s="14" t="n"/>
      <c r="K94" s="14" t="n">
        <v>64</v>
      </c>
      <c r="L94" s="19">
        <f>IF($C94="","",ROUND(IFERROR(VLOOKUP($C94,账户期初,2,0),0)+SUMIFS($J$4:J94,$C$4:C94,$C94)-SUMIFS($K$4:K94,$C$4:C94,$C94),2))</f>
        <v/>
      </c>
      <c r="M94" s="19">
        <f>IF($C94="","",ROUND(SUM(基础资料!$B$4:$B$13)+SUM($J$4:J94)-SUM($K$4:K94),2))</f>
        <v/>
      </c>
      <c r="N94" s="13" t="n"/>
      <c r="O94" s="13" t="n"/>
      <c r="P94" s="17">
        <f>IF($B94="","",IF($F94="※类别不在基础资料里","※费用类别不在基础资料里",IF(AND(N($J94)=0,N($K94)=0),"※这行没填金额",IF(AND(N($J94)&gt;0,N($K94)&gt;0),"※收入和支出不能同一行都填",IF(AND($D94="收入",N($J94)=0),"※收入行要填收入金额",IF(AND($D94="支出",N($K94)=0),"※支出行要填支出金额",IF(AND($C94&lt;&gt;"",ISNA(MATCH($C94,账户表,0))),"※账户不在基础资料里",IF(AND($G94&lt;&gt;"",ISNA(MATCH($G94,项目名表,0))),"※项目不在项目台账里",IF(AND(LEFT($F94,3)="成本-",$G94=""),"※成本类支出没填项目",IF(AND(LEFT($F94,3)="成本-",$H94&lt;&gt;"",N($K94)&gt;0,COUNTIFS(采购单!$B:$B,$B94,采购单!$C:$C,$H94,采购单!$L:$L,$K94)&gt;0),"※这笔可能和采购单重复了",""))))))))))</f>
        <v/>
      </c>
    </row>
    <row r="95">
      <c r="A95" s="17">
        <f>IF($B95="","",ROW()-3)</f>
        <v/>
      </c>
      <c r="B95" s="18" t="n">
        <v>46099</v>
      </c>
      <c r="C95" s="13" t="inlineStr">
        <is>
          <t>微信1</t>
        </is>
      </c>
      <c r="D95" s="13" t="inlineStr">
        <is>
          <t>支出</t>
        </is>
      </c>
      <c r="E95" s="13" t="inlineStr">
        <is>
          <t>其他管理费用</t>
        </is>
      </c>
      <c r="F95" s="17">
        <f>IF($E95="","",IFERROR(VLOOKUP($E95,类别归属,2,0),"※类别不在基础资料里"))</f>
        <v/>
      </c>
      <c r="G95" s="13" t="inlineStr">
        <is>
          <t>安吉车贴项目</t>
        </is>
      </c>
      <c r="H95" s="13" t="n"/>
      <c r="I95" s="13" t="inlineStr">
        <is>
          <t>刮板5块</t>
        </is>
      </c>
      <c r="J95" s="14" t="n"/>
      <c r="K95" s="14" t="n">
        <v>35</v>
      </c>
      <c r="L95" s="19">
        <f>IF($C95="","",ROUND(IFERROR(VLOOKUP($C95,账户期初,2,0),0)+SUMIFS($J$4:J95,$C$4:C95,$C95)-SUMIFS($K$4:K95,$C$4:C95,$C95),2))</f>
        <v/>
      </c>
      <c r="M95" s="19">
        <f>IF($C95="","",ROUND(SUM(基础资料!$B$4:$B$13)+SUM($J$4:J95)-SUM($K$4:K95),2))</f>
        <v/>
      </c>
      <c r="N95" s="13" t="n"/>
      <c r="O95" s="13" t="n"/>
      <c r="P95" s="17">
        <f>IF($B95="","",IF($F95="※类别不在基础资料里","※费用类别不在基础资料里",IF(AND(N($J95)=0,N($K95)=0),"※这行没填金额",IF(AND(N($J95)&gt;0,N($K95)&gt;0),"※收入和支出不能同一行都填",IF(AND($D95="收入",N($J95)=0),"※收入行要填收入金额",IF(AND($D95="支出",N($K95)=0),"※支出行要填支出金额",IF(AND($C95&lt;&gt;"",ISNA(MATCH($C95,账户表,0))),"※账户不在基础资料里",IF(AND($G95&lt;&gt;"",ISNA(MATCH($G95,项目名表,0))),"※项目不在项目台账里",IF(AND(LEFT($F95,3)="成本-",$G95=""),"※成本类支出没填项目",IF(AND(LEFT($F95,3)="成本-",$H95&lt;&gt;"",N($K95)&gt;0,COUNTIFS(采购单!$B:$B,$B95,采购单!$C:$C,$H95,采购单!$L:$L,$K95)&gt;0),"※这笔可能和采购单重复了",""))))))))))</f>
        <v/>
      </c>
    </row>
    <row r="96">
      <c r="A96" s="17">
        <f>IF($B96="","",ROW()-3)</f>
        <v/>
      </c>
      <c r="B96" s="18" t="n">
        <v>46099</v>
      </c>
      <c r="C96" s="13" t="inlineStr">
        <is>
          <t>微信1</t>
        </is>
      </c>
      <c r="D96" s="13" t="inlineStr">
        <is>
          <t>支出</t>
        </is>
      </c>
      <c r="E96" s="13" t="inlineStr">
        <is>
          <t>车费/油费/过路费</t>
        </is>
      </c>
      <c r="F96" s="17">
        <f>IF($E96="","",IFERROR(VLOOKUP($E96,类别归属,2,0),"※类别不在基础资料里"))</f>
        <v/>
      </c>
      <c r="G96" s="13" t="n"/>
      <c r="H96" s="13" t="n"/>
      <c r="I96" s="13" t="inlineStr">
        <is>
          <t>停车费</t>
        </is>
      </c>
      <c r="J96" s="14" t="n"/>
      <c r="K96" s="14" t="n">
        <v>12.5</v>
      </c>
      <c r="L96" s="19">
        <f>IF($C96="","",ROUND(IFERROR(VLOOKUP($C96,账户期初,2,0),0)+SUMIFS($J$4:J96,$C$4:C96,$C96)-SUMIFS($K$4:K96,$C$4:C96,$C96),2))</f>
        <v/>
      </c>
      <c r="M96" s="19">
        <f>IF($C96="","",ROUND(SUM(基础资料!$B$4:$B$13)+SUM($J$4:J96)-SUM($K$4:K96),2))</f>
        <v/>
      </c>
      <c r="N96" s="13" t="n"/>
      <c r="O96" s="13" t="n"/>
      <c r="P96" s="17">
        <f>IF($B96="","",IF($F96="※类别不在基础资料里","※费用类别不在基础资料里",IF(AND(N($J96)=0,N($K96)=0),"※这行没填金额",IF(AND(N($J96)&gt;0,N($K96)&gt;0),"※收入和支出不能同一行都填",IF(AND($D96="收入",N($J96)=0),"※收入行要填收入金额",IF(AND($D96="支出",N($K96)=0),"※支出行要填支出金额",IF(AND($C96&lt;&gt;"",ISNA(MATCH($C96,账户表,0))),"※账户不在基础资料里",IF(AND($G96&lt;&gt;"",ISNA(MATCH($G96,项目名表,0))),"※项目不在项目台账里",IF(AND(LEFT($F96,3)="成本-",$G96=""),"※成本类支出没填项目",IF(AND(LEFT($F96,3)="成本-",$H96&lt;&gt;"",N($K96)&gt;0,COUNTIFS(采购单!$B:$B,$B96,采购单!$C:$C,$H96,采购单!$L:$L,$K96)&gt;0),"※这笔可能和采购单重复了",""))))))))))</f>
        <v/>
      </c>
    </row>
    <row r="97">
      <c r="A97" s="17">
        <f>IF($B97="","",ROW()-3)</f>
        <v/>
      </c>
      <c r="B97" s="18" t="n">
        <v>46099</v>
      </c>
      <c r="C97" s="13" t="inlineStr">
        <is>
          <t>微信1</t>
        </is>
      </c>
      <c r="D97" s="13" t="inlineStr">
        <is>
          <t>支出</t>
        </is>
      </c>
      <c r="E97" s="13" t="inlineStr">
        <is>
          <t>车费/油费/过路费</t>
        </is>
      </c>
      <c r="F97" s="17">
        <f>IF($E97="","",IFERROR(VLOOKUP($E97,类别归属,2,0),"※类别不在基础资料里"))</f>
        <v/>
      </c>
      <c r="G97" s="13" t="n"/>
      <c r="H97" s="13" t="n"/>
      <c r="I97" s="13" t="inlineStr">
        <is>
          <t>312加油</t>
        </is>
      </c>
      <c r="J97" s="14" t="n"/>
      <c r="K97" s="14" t="n">
        <v>300</v>
      </c>
      <c r="L97" s="19">
        <f>IF($C97="","",ROUND(IFERROR(VLOOKUP($C97,账户期初,2,0),0)+SUMIFS($J$4:J97,$C$4:C97,$C97)-SUMIFS($K$4:K97,$C$4:C97,$C97),2))</f>
        <v/>
      </c>
      <c r="M97" s="19">
        <f>IF($C97="","",ROUND(SUM(基础资料!$B$4:$B$13)+SUM($J$4:J97)-SUM($K$4:K97),2))</f>
        <v/>
      </c>
      <c r="N97" s="13" t="n"/>
      <c r="O97" s="13" t="n"/>
      <c r="P97" s="17">
        <f>IF($B97="","",IF($F97="※类别不在基础资料里","※费用类别不在基础资料里",IF(AND(N($J97)=0,N($K97)=0),"※这行没填金额",IF(AND(N($J97)&gt;0,N($K97)&gt;0),"※收入和支出不能同一行都填",IF(AND($D97="收入",N($J97)=0),"※收入行要填收入金额",IF(AND($D97="支出",N($K97)=0),"※支出行要填支出金额",IF(AND($C97&lt;&gt;"",ISNA(MATCH($C97,账户表,0))),"※账户不在基础资料里",IF(AND($G97&lt;&gt;"",ISNA(MATCH($G97,项目名表,0))),"※项目不在项目台账里",IF(AND(LEFT($F97,3)="成本-",$G97=""),"※成本类支出没填项目",IF(AND(LEFT($F97,3)="成本-",$H97&lt;&gt;"",N($K97)&gt;0,COUNTIFS(采购单!$B:$B,$B97,采购单!$C:$C,$H97,采购单!$L:$L,$K97)&gt;0),"※这笔可能和采购单重复了",""))))))))))</f>
        <v/>
      </c>
    </row>
    <row r="98">
      <c r="A98" s="17">
        <f>IF($B98="","",ROW()-3)</f>
        <v/>
      </c>
      <c r="B98" s="18" t="n">
        <v>46099</v>
      </c>
      <c r="C98" s="13" t="inlineStr">
        <is>
          <t>微信1</t>
        </is>
      </c>
      <c r="D98" s="13" t="inlineStr">
        <is>
          <t>支出</t>
        </is>
      </c>
      <c r="E98" s="13" t="inlineStr">
        <is>
          <t>车费/油费/过路费</t>
        </is>
      </c>
      <c r="F98" s="17">
        <f>IF($E98="","",IFERROR(VLOOKUP($E98,类别归属,2,0),"※类别不在基础资料里"))</f>
        <v/>
      </c>
      <c r="G98" s="13" t="inlineStr">
        <is>
          <t>每甜</t>
        </is>
      </c>
      <c r="H98" s="13" t="n"/>
      <c r="I98" s="13" t="inlineStr">
        <is>
          <t>停车费</t>
        </is>
      </c>
      <c r="J98" s="14" t="n"/>
      <c r="K98" s="14" t="n">
        <v>25</v>
      </c>
      <c r="L98" s="19">
        <f>IF($C98="","",ROUND(IFERROR(VLOOKUP($C98,账户期初,2,0),0)+SUMIFS($J$4:J98,$C$4:C98,$C98)-SUMIFS($K$4:K98,$C$4:C98,$C98),2))</f>
        <v/>
      </c>
      <c r="M98" s="19">
        <f>IF($C98="","",ROUND(SUM(基础资料!$B$4:$B$13)+SUM($J$4:J98)-SUM($K$4:K98),2))</f>
        <v/>
      </c>
      <c r="N98" s="13" t="n"/>
      <c r="O98" s="13" t="n"/>
      <c r="P98" s="17">
        <f>IF($B98="","",IF($F98="※类别不在基础资料里","※费用类别不在基础资料里",IF(AND(N($J98)=0,N($K98)=0),"※这行没填金额",IF(AND(N($J98)&gt;0,N($K98)&gt;0),"※收入和支出不能同一行都填",IF(AND($D98="收入",N($J98)=0),"※收入行要填收入金额",IF(AND($D98="支出",N($K98)=0),"※支出行要填支出金额",IF(AND($C98&lt;&gt;"",ISNA(MATCH($C98,账户表,0))),"※账户不在基础资料里",IF(AND($G98&lt;&gt;"",ISNA(MATCH($G98,项目名表,0))),"※项目不在项目台账里",IF(AND(LEFT($F98,3)="成本-",$G98=""),"※成本类支出没填项目",IF(AND(LEFT($F98,3)="成本-",$H98&lt;&gt;"",N($K98)&gt;0,COUNTIFS(采购单!$B:$B,$B98,采购单!$C:$C,$H98,采购单!$L:$L,$K98)&gt;0),"※这笔可能和采购单重复了",""))))))))))</f>
        <v/>
      </c>
    </row>
    <row r="99">
      <c r="A99" s="17">
        <f>IF($B99="","",ROW()-3)</f>
        <v/>
      </c>
      <c r="B99" s="18" t="n">
        <v>46099</v>
      </c>
      <c r="C99" s="13" t="inlineStr">
        <is>
          <t>微信1</t>
        </is>
      </c>
      <c r="D99" s="13" t="inlineStr">
        <is>
          <t>支出</t>
        </is>
      </c>
      <c r="E99" s="13" t="inlineStr">
        <is>
          <t>主材采购</t>
        </is>
      </c>
      <c r="F99" s="17">
        <f>IF($E99="","",IFERROR(VLOOKUP($E99,类别归属,2,0),"※类别不在基础资料里"))</f>
        <v/>
      </c>
      <c r="G99" s="13" t="inlineStr">
        <is>
          <t>国智校服</t>
        </is>
      </c>
      <c r="H99" s="13" t="inlineStr">
        <is>
          <t>国智校服发光字背板</t>
        </is>
      </c>
      <c r="I99" s="13" t="inlineStr">
        <is>
          <t>付国智校服发光字背板（激光切割）27*21=4-30元+35*27=3-37元+加工80元</t>
        </is>
      </c>
      <c r="J99" s="14" t="n"/>
      <c r="K99" s="14" t="n">
        <v>147</v>
      </c>
      <c r="L99" s="19">
        <f>IF($C99="","",ROUND(IFERROR(VLOOKUP($C99,账户期初,2,0),0)+SUMIFS($J$4:J99,$C$4:C99,$C99)-SUMIFS($K$4:K99,$C$4:C99,$C99),2))</f>
        <v/>
      </c>
      <c r="M99" s="19">
        <f>IF($C99="","",ROUND(SUM(基础资料!$B$4:$B$13)+SUM($J$4:J99)-SUM($K$4:K99),2))</f>
        <v/>
      </c>
      <c r="N99" s="13" t="n"/>
      <c r="O99" s="13" t="n"/>
      <c r="P99" s="17">
        <f>IF($B99="","",IF($F99="※类别不在基础资料里","※费用类别不在基础资料里",IF(AND(N($J99)=0,N($K99)=0),"※这行没填金额",IF(AND(N($J99)&gt;0,N($K99)&gt;0),"※收入和支出不能同一行都填",IF(AND($D99="收入",N($J99)=0),"※收入行要填收入金额",IF(AND($D99="支出",N($K99)=0),"※支出行要填支出金额",IF(AND($C99&lt;&gt;"",ISNA(MATCH($C99,账户表,0))),"※账户不在基础资料里",IF(AND($G99&lt;&gt;"",ISNA(MATCH($G99,项目名表,0))),"※项目不在项目台账里",IF(AND(LEFT($F99,3)="成本-",$G99=""),"※成本类支出没填项目",IF(AND(LEFT($F99,3)="成本-",$H99&lt;&gt;"",N($K99)&gt;0,COUNTIFS(采购单!$B:$B,$B99,采购单!$C:$C,$H99,采购单!$L:$L,$K99)&gt;0),"※这笔可能和采购单重复了",""))))))))))</f>
        <v/>
      </c>
    </row>
    <row r="100">
      <c r="A100" s="17">
        <f>IF($B100="","",ROW()-3)</f>
        <v/>
      </c>
      <c r="B100" s="18" t="n">
        <v>46100</v>
      </c>
      <c r="C100" s="13" t="inlineStr">
        <is>
          <t>微信1</t>
        </is>
      </c>
      <c r="D100" s="13" t="inlineStr">
        <is>
          <t>支出</t>
        </is>
      </c>
      <c r="E100" s="13" t="inlineStr">
        <is>
          <t>运费/快递费</t>
        </is>
      </c>
      <c r="F100" s="17">
        <f>IF($E100="","",IFERROR(VLOOKUP($E100,类别归属,2,0),"※类别不在基础资料里"))</f>
        <v/>
      </c>
      <c r="G100" s="13" t="inlineStr">
        <is>
          <t>芒屿</t>
        </is>
      </c>
      <c r="H100" s="13" t="inlineStr">
        <is>
          <t>炳秀</t>
        </is>
      </c>
      <c r="I100" s="13" t="inlineStr">
        <is>
          <t>付炳秀配送</t>
        </is>
      </c>
      <c r="J100" s="14" t="n"/>
      <c r="K100" s="14" t="n">
        <v>47</v>
      </c>
      <c r="L100" s="19">
        <f>IF($C100="","",ROUND(IFERROR(VLOOKUP($C100,账户期初,2,0),0)+SUMIFS($J$4:J100,$C$4:C100,$C100)-SUMIFS($K$4:K100,$C$4:C100,$C100),2))</f>
        <v/>
      </c>
      <c r="M100" s="19">
        <f>IF($C100="","",ROUND(SUM(基础资料!$B$4:$B$13)+SUM($J$4:J100)-SUM($K$4:K100),2))</f>
        <v/>
      </c>
      <c r="N100" s="13" t="n"/>
      <c r="O100" s="13" t="inlineStr">
        <is>
          <t>68</t>
        </is>
      </c>
      <c r="P100" s="17">
        <f>IF($B100="","",IF($F100="※类别不在基础资料里","※费用类别不在基础资料里",IF(AND(N($J100)=0,N($K100)=0),"※这行没填金额",IF(AND(N($J100)&gt;0,N($K100)&gt;0),"※收入和支出不能同一行都填",IF(AND($D100="收入",N($J100)=0),"※收入行要填收入金额",IF(AND($D100="支出",N($K100)=0),"※支出行要填支出金额",IF(AND($C100&lt;&gt;"",ISNA(MATCH($C100,账户表,0))),"※账户不在基础资料里",IF(AND($G100&lt;&gt;"",ISNA(MATCH($G100,项目名表,0))),"※项目不在项目台账里",IF(AND(LEFT($F100,3)="成本-",$G100=""),"※成本类支出没填项目",IF(AND(LEFT($F100,3)="成本-",$H100&lt;&gt;"",N($K100)&gt;0,COUNTIFS(采购单!$B:$B,$B100,采购单!$C:$C,$H100,采购单!$L:$L,$K100)&gt;0),"※这笔可能和采购单重复了",""))))))))))</f>
        <v/>
      </c>
    </row>
    <row r="101">
      <c r="A101" s="17">
        <f>IF($B101="","",ROW()-3)</f>
        <v/>
      </c>
      <c r="B101" s="18" t="n">
        <v>46100</v>
      </c>
      <c r="C101" s="13" t="inlineStr">
        <is>
          <t>微信1</t>
        </is>
      </c>
      <c r="D101" s="13" t="inlineStr">
        <is>
          <t>支出</t>
        </is>
      </c>
      <c r="E101" s="13" t="inlineStr">
        <is>
          <t>运费/快递费</t>
        </is>
      </c>
      <c r="F101" s="17">
        <f>IF($E101="","",IFERROR(VLOOKUP($E101,类别归属,2,0),"※类别不在基础资料里"))</f>
        <v/>
      </c>
      <c r="G101" s="13" t="inlineStr">
        <is>
          <t>织里店</t>
        </is>
      </c>
      <c r="H101" s="13" t="inlineStr">
        <is>
          <t>炳秀</t>
        </is>
      </c>
      <c r="I101" s="13" t="inlineStr">
        <is>
          <t>付炳秀配送</t>
        </is>
      </c>
      <c r="J101" s="14" t="n"/>
      <c r="K101" s="14" t="n">
        <v>21</v>
      </c>
      <c r="L101" s="19">
        <f>IF($C101="","",ROUND(IFERROR(VLOOKUP($C101,账户期初,2,0),0)+SUMIFS($J$4:J101,$C$4:C101,$C101)-SUMIFS($K$4:K101,$C$4:C101,$C101),2))</f>
        <v/>
      </c>
      <c r="M101" s="19">
        <f>IF($C101="","",ROUND(SUM(基础资料!$B$4:$B$13)+SUM($J$4:J101)-SUM($K$4:K101),2))</f>
        <v/>
      </c>
      <c r="N101" s="13" t="n"/>
      <c r="O101" s="13" t="n"/>
      <c r="P101" s="17">
        <f>IF($B101="","",IF($F101="※类别不在基础资料里","※费用类别不在基础资料里",IF(AND(N($J101)=0,N($K101)=0),"※这行没填金额",IF(AND(N($J101)&gt;0,N($K101)&gt;0),"※收入和支出不能同一行都填",IF(AND($D101="收入",N($J101)=0),"※收入行要填收入金额",IF(AND($D101="支出",N($K101)=0),"※支出行要填支出金额",IF(AND($C101&lt;&gt;"",ISNA(MATCH($C101,账户表,0))),"※账户不在基础资料里",IF(AND($G101&lt;&gt;"",ISNA(MATCH($G101,项目名表,0))),"※项目不在项目台账里",IF(AND(LEFT($F101,3)="成本-",$G101=""),"※成本类支出没填项目",IF(AND(LEFT($F101,3)="成本-",$H101&lt;&gt;"",N($K101)&gt;0,COUNTIFS(采购单!$B:$B,$B101,采购单!$C:$C,$H101,采购单!$L:$L,$K101)&gt;0),"※这笔可能和采购单重复了",""))))))))))</f>
        <v/>
      </c>
    </row>
    <row r="102">
      <c r="A102" s="17">
        <f>IF($B102="","",ROW()-3)</f>
        <v/>
      </c>
      <c r="B102" s="18" t="n">
        <v>46100</v>
      </c>
      <c r="C102" s="13" t="inlineStr">
        <is>
          <t>微信1</t>
        </is>
      </c>
      <c r="D102" s="13" t="inlineStr">
        <is>
          <t>收入</t>
        </is>
      </c>
      <c r="E102" s="13" t="inlineStr">
        <is>
          <t>项目收款</t>
        </is>
      </c>
      <c r="F102" s="17">
        <f>IF($E102="","",IFERROR(VLOOKUP($E102,类别归属,2,0),"※类别不在基础资料里"))</f>
        <v/>
      </c>
      <c r="G102" s="13" t="inlineStr">
        <is>
          <t>铁柱烧烤店</t>
        </is>
      </c>
      <c r="H102" s="13" t="n"/>
      <c r="I102" s="13" t="inlineStr">
        <is>
          <t>铁柱烧烤定金</t>
        </is>
      </c>
      <c r="J102" s="14" t="n">
        <v>3800</v>
      </c>
      <c r="K102" s="14" t="n"/>
      <c r="L102" s="19">
        <f>IF($C102="","",ROUND(IFERROR(VLOOKUP($C102,账户期初,2,0),0)+SUMIFS($J$4:J102,$C$4:C102,$C102)-SUMIFS($K$4:K102,$C$4:C102,$C102),2))</f>
        <v/>
      </c>
      <c r="M102" s="19">
        <f>IF($C102="","",ROUND(SUM(基础资料!$B$4:$B$13)+SUM($J$4:J102)-SUM($K$4:K102),2))</f>
        <v/>
      </c>
      <c r="N102" s="13" t="n"/>
      <c r="O102" s="13" t="n"/>
      <c r="P102" s="17">
        <f>IF($B102="","",IF($F102="※类别不在基础资料里","※费用类别不在基础资料里",IF(AND(N($J102)=0,N($K102)=0),"※这行没填金额",IF(AND(N($J102)&gt;0,N($K102)&gt;0),"※收入和支出不能同一行都填",IF(AND($D102="收入",N($J102)=0),"※收入行要填收入金额",IF(AND($D102="支出",N($K102)=0),"※支出行要填支出金额",IF(AND($C102&lt;&gt;"",ISNA(MATCH($C102,账户表,0))),"※账户不在基础资料里",IF(AND($G102&lt;&gt;"",ISNA(MATCH($G102,项目名表,0))),"※项目不在项目台账里",IF(AND(LEFT($F102,3)="成本-",$G102=""),"※成本类支出没填项目",IF(AND(LEFT($F102,3)="成本-",$H102&lt;&gt;"",N($K102)&gt;0,COUNTIFS(采购单!$B:$B,$B102,采购单!$C:$C,$H102,采购单!$L:$L,$K102)&gt;0),"※这笔可能和采购单重复了",""))))))))))</f>
        <v/>
      </c>
    </row>
    <row r="103">
      <c r="A103" s="17">
        <f>IF($B103="","",ROW()-3)</f>
        <v/>
      </c>
      <c r="B103" s="18" t="n">
        <v>46100</v>
      </c>
      <c r="C103" s="13" t="inlineStr">
        <is>
          <t>微信1</t>
        </is>
      </c>
      <c r="D103" s="13" t="inlineStr">
        <is>
          <t>收入</t>
        </is>
      </c>
      <c r="E103" s="13" t="inlineStr">
        <is>
          <t>项目收款</t>
        </is>
      </c>
      <c r="F103" s="17">
        <f>IF($E103="","",IFERROR(VLOOKUP($E103,类别归属,2,0),"※类别不在基础资料里"))</f>
        <v/>
      </c>
      <c r="G103" s="13" t="inlineStr">
        <is>
          <t>小西街</t>
        </is>
      </c>
      <c r="H103" s="13" t="n"/>
      <c r="I103" s="13" t="inlineStr">
        <is>
          <t>正宗小西街 全款</t>
        </is>
      </c>
      <c r="J103" s="14" t="n">
        <v>1314</v>
      </c>
      <c r="K103" s="14" t="n"/>
      <c r="L103" s="19">
        <f>IF($C103="","",ROUND(IFERROR(VLOOKUP($C103,账户期初,2,0),0)+SUMIFS($J$4:J103,$C$4:C103,$C103)-SUMIFS($K$4:K103,$C$4:C103,$C103),2))</f>
        <v/>
      </c>
      <c r="M103" s="19">
        <f>IF($C103="","",ROUND(SUM(基础资料!$B$4:$B$13)+SUM($J$4:J103)-SUM($K$4:K103),2))</f>
        <v/>
      </c>
      <c r="N103" s="13" t="n"/>
      <c r="O103" s="13" t="inlineStr">
        <is>
          <t>3.19凌宇实存9494.9</t>
        </is>
      </c>
      <c r="P103" s="17">
        <f>IF($B103="","",IF($F103="※类别不在基础资料里","※费用类别不在基础资料里",IF(AND(N($J103)=0,N($K103)=0),"※这行没填金额",IF(AND(N($J103)&gt;0,N($K103)&gt;0),"※收入和支出不能同一行都填",IF(AND($D103="收入",N($J103)=0),"※收入行要填收入金额",IF(AND($D103="支出",N($K103)=0),"※支出行要填支出金额",IF(AND($C103&lt;&gt;"",ISNA(MATCH($C103,账户表,0))),"※账户不在基础资料里",IF(AND($G103&lt;&gt;"",ISNA(MATCH($G103,项目名表,0))),"※项目不在项目台账里",IF(AND(LEFT($F103,3)="成本-",$G103=""),"※成本类支出没填项目",IF(AND(LEFT($F103,3)="成本-",$H103&lt;&gt;"",N($K103)&gt;0,COUNTIFS(采购单!$B:$B,$B103,采购单!$C:$C,$H103,采购单!$L:$L,$K103)&gt;0),"※这笔可能和采购单重复了",""))))))))))</f>
        <v/>
      </c>
    </row>
    <row r="104">
      <c r="A104" s="17">
        <f>IF($B104="","",ROW()-3)</f>
        <v/>
      </c>
      <c r="B104" s="18" t="n">
        <v>46083</v>
      </c>
      <c r="C104" s="13" t="inlineStr">
        <is>
          <t>微信1</t>
        </is>
      </c>
      <c r="D104" s="13" t="inlineStr">
        <is>
          <t>收入</t>
        </is>
      </c>
      <c r="E104" s="13" t="inlineStr">
        <is>
          <t>项目收款</t>
        </is>
      </c>
      <c r="F104" s="17">
        <f>IF($E104="","",IFERROR(VLOOKUP($E104,类别归属,2,0),"※类别不在基础资料里"))</f>
        <v/>
      </c>
      <c r="G104" s="13" t="inlineStr">
        <is>
          <t>芭比贝克</t>
        </is>
      </c>
      <c r="H104" s="13" t="n"/>
      <c r="I104" s="13" t="inlineStr">
        <is>
          <t>芭比贝克校服</t>
        </is>
      </c>
      <c r="J104" s="14" t="n">
        <v>420</v>
      </c>
      <c r="K104" s="14" t="n"/>
      <c r="L104" s="19">
        <f>IF($C104="","",ROUND(IFERROR(VLOOKUP($C104,账户期初,2,0),0)+SUMIFS($J$4:J104,$C$4:C104,$C104)-SUMIFS($K$4:K104,$C$4:C104,$C104),2))</f>
        <v/>
      </c>
      <c r="M104" s="19">
        <f>IF($C104="","",ROUND(SUM(基础资料!$B$4:$B$13)+SUM($J$4:J104)-SUM($K$4:K104),2))</f>
        <v/>
      </c>
      <c r="N104" s="13" t="n"/>
      <c r="O104" s="13" t="n"/>
      <c r="P104" s="17">
        <f>IF($B104="","",IF($F104="※类别不在基础资料里","※费用类别不在基础资料里",IF(AND(N($J104)=0,N($K104)=0),"※这行没填金额",IF(AND(N($J104)&gt;0,N($K104)&gt;0),"※收入和支出不能同一行都填",IF(AND($D104="收入",N($J104)=0),"※收入行要填收入金额",IF(AND($D104="支出",N($K104)=0),"※支出行要填支出金额",IF(AND($C104&lt;&gt;"",ISNA(MATCH($C104,账户表,0))),"※账户不在基础资料里",IF(AND($G104&lt;&gt;"",ISNA(MATCH($G104,项目名表,0))),"※项目不在项目台账里",IF(AND(LEFT($F104,3)="成本-",$G104=""),"※成本类支出没填项目",IF(AND(LEFT($F104,3)="成本-",$H104&lt;&gt;"",N($K104)&gt;0,COUNTIFS(采购单!$B:$B,$B104,采购单!$C:$C,$H104,采购单!$L:$L,$K104)&gt;0),"※这笔可能和采购单重复了",""))))))))))</f>
        <v/>
      </c>
    </row>
    <row r="105">
      <c r="A105" s="17">
        <f>IF($B105="","",ROW()-3)</f>
        <v/>
      </c>
      <c r="B105" s="18" t="n">
        <v>46083</v>
      </c>
      <c r="C105" s="13" t="inlineStr">
        <is>
          <t>微信1</t>
        </is>
      </c>
      <c r="D105" s="13" t="inlineStr">
        <is>
          <t>收入</t>
        </is>
      </c>
      <c r="E105" s="13" t="inlineStr">
        <is>
          <t>项目收款</t>
        </is>
      </c>
      <c r="F105" s="17">
        <f>IF($E105="","",IFERROR(VLOOKUP($E105,类别归属,2,0),"※类别不在基础资料里"))</f>
        <v/>
      </c>
      <c r="G105" s="13" t="inlineStr">
        <is>
          <t>长颈鹿庄园</t>
        </is>
      </c>
      <c r="H105" s="13" t="n"/>
      <c r="I105" s="13" t="inlineStr">
        <is>
          <t>长颈鹿庄园</t>
        </is>
      </c>
      <c r="J105" s="14" t="n">
        <v>2100</v>
      </c>
      <c r="K105" s="14" t="n"/>
      <c r="L105" s="19">
        <f>IF($C105="","",ROUND(IFERROR(VLOOKUP($C105,账户期初,2,0),0)+SUMIFS($J$4:J105,$C$4:C105,$C105)-SUMIFS($K$4:K105,$C$4:C105,$C105),2))</f>
        <v/>
      </c>
      <c r="M105" s="19">
        <f>IF($C105="","",ROUND(SUM(基础资料!$B$4:$B$13)+SUM($J$4:J105)-SUM($K$4:K105),2))</f>
        <v/>
      </c>
      <c r="N105" s="13" t="n"/>
      <c r="O105" s="13" t="n"/>
      <c r="P105" s="17">
        <f>IF($B105="","",IF($F105="※类别不在基础资料里","※费用类别不在基础资料里",IF(AND(N($J105)=0,N($K105)=0),"※这行没填金额",IF(AND(N($J105)&gt;0,N($K105)&gt;0),"※收入和支出不能同一行都填",IF(AND($D105="收入",N($J105)=0),"※收入行要填收入金额",IF(AND($D105="支出",N($K105)=0),"※支出行要填支出金额",IF(AND($C105&lt;&gt;"",ISNA(MATCH($C105,账户表,0))),"※账户不在基础资料里",IF(AND($G105&lt;&gt;"",ISNA(MATCH($G105,项目名表,0))),"※项目不在项目台账里",IF(AND(LEFT($F105,3)="成本-",$G105=""),"※成本类支出没填项目",IF(AND(LEFT($F105,3)="成本-",$H105&lt;&gt;"",N($K105)&gt;0,COUNTIFS(采购单!$B:$B,$B105,采购单!$C:$C,$H105,采购单!$L:$L,$K105)&gt;0),"※这笔可能和采购单重复了",""))))))))))</f>
        <v/>
      </c>
    </row>
    <row r="106">
      <c r="A106" s="17">
        <f>IF($B106="","",ROW()-3)</f>
        <v/>
      </c>
      <c r="B106" s="18" t="n">
        <v>46083</v>
      </c>
      <c r="C106" s="13" t="inlineStr">
        <is>
          <t>微信1</t>
        </is>
      </c>
      <c r="D106" s="13" t="inlineStr">
        <is>
          <t>支出</t>
        </is>
      </c>
      <c r="E106" s="13" t="inlineStr">
        <is>
          <t>运费/快递费</t>
        </is>
      </c>
      <c r="F106" s="17">
        <f>IF($E106="","",IFERROR(VLOOKUP($E106,类别归属,2,0),"※类别不在基础资料里"))</f>
        <v/>
      </c>
      <c r="G106" s="13" t="inlineStr">
        <is>
          <t>螺有名灯箱门头</t>
        </is>
      </c>
      <c r="H106" s="13" t="inlineStr">
        <is>
          <t>炳秀</t>
        </is>
      </c>
      <c r="I106" s="13" t="inlineStr">
        <is>
          <t>付炳秀配送</t>
        </is>
      </c>
      <c r="J106" s="14" t="n"/>
      <c r="K106" s="14" t="n">
        <v>59</v>
      </c>
      <c r="L106" s="19">
        <f>IF($C106="","",ROUND(IFERROR(VLOOKUP($C106,账户期初,2,0),0)+SUMIFS($J$4:J106,$C$4:C106,$C106)-SUMIFS($K$4:K106,$C$4:C106,$C106),2))</f>
        <v/>
      </c>
      <c r="M106" s="19">
        <f>IF($C106="","",ROUND(SUM(基础资料!$B$4:$B$13)+SUM($J$4:J106)-SUM($K$4:K106),2))</f>
        <v/>
      </c>
      <c r="N106" s="13" t="n"/>
      <c r="O106" s="13" t="inlineStr">
        <is>
          <t>288</t>
        </is>
      </c>
      <c r="P106" s="17">
        <f>IF($B106="","",IF($F106="※类别不在基础资料里","※费用类别不在基础资料里",IF(AND(N($J106)=0,N($K106)=0),"※这行没填金额",IF(AND(N($J106)&gt;0,N($K106)&gt;0),"※收入和支出不能同一行都填",IF(AND($D106="收入",N($J106)=0),"※收入行要填收入金额",IF(AND($D106="支出",N($K106)=0),"※支出行要填支出金额",IF(AND($C106&lt;&gt;"",ISNA(MATCH($C106,账户表,0))),"※账户不在基础资料里",IF(AND($G106&lt;&gt;"",ISNA(MATCH($G106,项目名表,0))),"※项目不在项目台账里",IF(AND(LEFT($F106,3)="成本-",$G106=""),"※成本类支出没填项目",IF(AND(LEFT($F106,3)="成本-",$H106&lt;&gt;"",N($K106)&gt;0,COUNTIFS(采购单!$B:$B,$B106,采购单!$C:$C,$H106,采购单!$L:$L,$K106)&gt;0),"※这笔可能和采购单重复了",""))))))))))</f>
        <v/>
      </c>
    </row>
    <row r="107">
      <c r="A107" s="17">
        <f>IF($B107="","",ROW()-3)</f>
        <v/>
      </c>
      <c r="B107" s="18" t="n">
        <v>46083</v>
      </c>
      <c r="C107" s="13" t="inlineStr">
        <is>
          <t>微信1</t>
        </is>
      </c>
      <c r="D107" s="13" t="inlineStr">
        <is>
          <t>支出</t>
        </is>
      </c>
      <c r="E107" s="13" t="inlineStr">
        <is>
          <t>运费/快递费</t>
        </is>
      </c>
      <c r="F107" s="17">
        <f>IF($E107="","",IFERROR(VLOOKUP($E107,类别归属,2,0),"※类别不在基础资料里"))</f>
        <v/>
      </c>
      <c r="G107" s="13" t="inlineStr">
        <is>
          <t>织里店</t>
        </is>
      </c>
      <c r="H107" s="13" t="inlineStr">
        <is>
          <t>炳秀</t>
        </is>
      </c>
      <c r="I107" s="13" t="inlineStr">
        <is>
          <t>付炳秀配送</t>
        </is>
      </c>
      <c r="J107" s="14" t="n"/>
      <c r="K107" s="14" t="n">
        <v>229</v>
      </c>
      <c r="L107" s="19">
        <f>IF($C107="","",ROUND(IFERROR(VLOOKUP($C107,账户期初,2,0),0)+SUMIFS($J$4:J107,$C$4:C107,$C107)-SUMIFS($K$4:K107,$C$4:C107,$C107),2))</f>
        <v/>
      </c>
      <c r="M107" s="19">
        <f>IF($C107="","",ROUND(SUM(基础资料!$B$4:$B$13)+SUM($J$4:J107)-SUM($K$4:K107),2))</f>
        <v/>
      </c>
      <c r="N107" s="13" t="n"/>
      <c r="O107" s="13" t="n"/>
      <c r="P107" s="17">
        <f>IF($B107="","",IF($F107="※类别不在基础资料里","※费用类别不在基础资料里",IF(AND(N($J107)=0,N($K107)=0),"※这行没填金额",IF(AND(N($J107)&gt;0,N($K107)&gt;0),"※收入和支出不能同一行都填",IF(AND($D107="收入",N($J107)=0),"※收入行要填收入金额",IF(AND($D107="支出",N($K107)=0),"※支出行要填支出金额",IF(AND($C107&lt;&gt;"",ISNA(MATCH($C107,账户表,0))),"※账户不在基础资料里",IF(AND($G107&lt;&gt;"",ISNA(MATCH($G107,项目名表,0))),"※项目不在项目台账里",IF(AND(LEFT($F107,3)="成本-",$G107=""),"※成本类支出没填项目",IF(AND(LEFT($F107,3)="成本-",$H107&lt;&gt;"",N($K107)&gt;0,COUNTIFS(采购单!$B:$B,$B107,采购单!$C:$C,$H107,采购单!$L:$L,$K107)&gt;0),"※这笔可能和采购单重复了",""))))))))))</f>
        <v/>
      </c>
    </row>
    <row r="108">
      <c r="A108" s="17">
        <f>IF($B108="","",ROW()-3)</f>
        <v/>
      </c>
      <c r="B108" s="18" t="n">
        <v>46083</v>
      </c>
      <c r="C108" s="13" t="inlineStr">
        <is>
          <t>微信1</t>
        </is>
      </c>
      <c r="D108" s="13" t="inlineStr">
        <is>
          <t>支出</t>
        </is>
      </c>
      <c r="E108" s="13" t="inlineStr">
        <is>
          <t>借出款</t>
        </is>
      </c>
      <c r="F108" s="17">
        <f>IF($E108="","",IFERROR(VLOOKUP($E108,类别归属,2,0),"※类别不在基础资料里"))</f>
        <v/>
      </c>
      <c r="G108" s="13" t="n"/>
      <c r="H108" s="13" t="inlineStr">
        <is>
          <t>往来款</t>
        </is>
      </c>
      <c r="I108" s="13" t="inlineStr">
        <is>
          <t>付给付久华</t>
        </is>
      </c>
      <c r="J108" s="14" t="n"/>
      <c r="K108" s="14" t="n">
        <v>6000</v>
      </c>
      <c r="L108" s="19">
        <f>IF($C108="","",ROUND(IFERROR(VLOOKUP($C108,账户期初,2,0),0)+SUMIFS($J$4:J108,$C$4:C108,$C108)-SUMIFS($K$4:K108,$C$4:C108,$C108),2))</f>
        <v/>
      </c>
      <c r="M108" s="19">
        <f>IF($C108="","",ROUND(SUM(基础资料!$B$4:$B$13)+SUM($J$4:J108)-SUM($K$4:K108),2))</f>
        <v/>
      </c>
      <c r="N108" s="13" t="n"/>
      <c r="O108" s="13" t="n"/>
      <c r="P108" s="17">
        <f>IF($B108="","",IF($F108="※类别不在基础资料里","※费用类别不在基础资料里",IF(AND(N($J108)=0,N($K108)=0),"※这行没填金额",IF(AND(N($J108)&gt;0,N($K108)&gt;0),"※收入和支出不能同一行都填",IF(AND($D108="收入",N($J108)=0),"※收入行要填收入金额",IF(AND($D108="支出",N($K108)=0),"※支出行要填支出金额",IF(AND($C108&lt;&gt;"",ISNA(MATCH($C108,账户表,0))),"※账户不在基础资料里",IF(AND($G108&lt;&gt;"",ISNA(MATCH($G108,项目名表,0))),"※项目不在项目台账里",IF(AND(LEFT($F108,3)="成本-",$G108=""),"※成本类支出没填项目",IF(AND(LEFT($F108,3)="成本-",$H108&lt;&gt;"",N($K108)&gt;0,COUNTIFS(采购单!$B:$B,$B108,采购单!$C:$C,$H108,采购单!$L:$L,$K108)&gt;0),"※这笔可能和采购单重复了",""))))))))))</f>
        <v/>
      </c>
    </row>
    <row r="109">
      <c r="A109" s="17">
        <f>IF($B109="","",ROW()-3)</f>
        <v/>
      </c>
      <c r="B109" s="18" t="n">
        <v>46102</v>
      </c>
      <c r="C109" s="13" t="inlineStr">
        <is>
          <t>微信1</t>
        </is>
      </c>
      <c r="D109" s="13" t="inlineStr">
        <is>
          <t>支出</t>
        </is>
      </c>
      <c r="E109" s="13" t="inlineStr">
        <is>
          <t>办公用品</t>
        </is>
      </c>
      <c r="F109" s="17">
        <f>IF($E109="","",IFERROR(VLOOKUP($E109,类别归属,2,0),"※类别不在基础资料里"))</f>
        <v/>
      </c>
      <c r="G109" s="13" t="n"/>
      <c r="H109" s="13" t="n"/>
      <c r="I109" s="13" t="inlineStr">
        <is>
          <t>付徐可欣设计昵享网</t>
        </is>
      </c>
      <c r="J109" s="14" t="n"/>
      <c r="K109" s="14" t="n">
        <v>100</v>
      </c>
      <c r="L109" s="19">
        <f>IF($C109="","",ROUND(IFERROR(VLOOKUP($C109,账户期初,2,0),0)+SUMIFS($J$4:J109,$C$4:C109,$C109)-SUMIFS($K$4:K109,$C$4:C109,$C109),2))</f>
        <v/>
      </c>
      <c r="M109" s="19">
        <f>IF($C109="","",ROUND(SUM(基础资料!$B$4:$B$13)+SUM($J$4:J109)-SUM($K$4:K109),2))</f>
        <v/>
      </c>
      <c r="N109" s="13" t="n"/>
      <c r="O109" s="13" t="n"/>
      <c r="P109" s="17">
        <f>IF($B109="","",IF($F109="※类别不在基础资料里","※费用类别不在基础资料里",IF(AND(N($J109)=0,N($K109)=0),"※这行没填金额",IF(AND(N($J109)&gt;0,N($K109)&gt;0),"※收入和支出不能同一行都填",IF(AND($D109="收入",N($J109)=0),"※收入行要填收入金额",IF(AND($D109="支出",N($K109)=0),"※支出行要填支出金额",IF(AND($C109&lt;&gt;"",ISNA(MATCH($C109,账户表,0))),"※账户不在基础资料里",IF(AND($G109&lt;&gt;"",ISNA(MATCH($G109,项目名表,0))),"※项目不在项目台账里",IF(AND(LEFT($F109,3)="成本-",$G109=""),"※成本类支出没填项目",IF(AND(LEFT($F109,3)="成本-",$H109&lt;&gt;"",N($K109)&gt;0,COUNTIFS(采购单!$B:$B,$B109,采购单!$C:$C,$H109,采购单!$L:$L,$K109)&gt;0),"※这笔可能和采购单重复了",""))))))))))</f>
        <v/>
      </c>
    </row>
    <row r="110">
      <c r="A110" s="17">
        <f>IF($B110="","",ROW()-3)</f>
        <v/>
      </c>
      <c r="B110" s="18" t="n">
        <v>46102</v>
      </c>
      <c r="C110" s="13" t="inlineStr">
        <is>
          <t>微信1</t>
        </is>
      </c>
      <c r="D110" s="13" t="inlineStr">
        <is>
          <t>收入</t>
        </is>
      </c>
      <c r="E110" s="13" t="inlineStr">
        <is>
          <t>项目收款</t>
        </is>
      </c>
      <c r="F110" s="17">
        <f>IF($E110="","",IFERROR(VLOOKUP($E110,类别归属,2,0),"※类别不在基础资料里"))</f>
        <v/>
      </c>
      <c r="G110" s="13" t="inlineStr">
        <is>
          <t>梓灿软装</t>
        </is>
      </c>
      <c r="H110" s="13" t="n"/>
      <c r="I110" s="13" t="inlineStr">
        <is>
          <t>德清新合作梓灿软装定金</t>
        </is>
      </c>
      <c r="J110" s="14" t="n">
        <v>2000</v>
      </c>
      <c r="K110" s="14" t="n"/>
      <c r="L110" s="19">
        <f>IF($C110="","",ROUND(IFERROR(VLOOKUP($C110,账户期初,2,0),0)+SUMIFS($J$4:J110,$C$4:C110,$C110)-SUMIFS($K$4:K110,$C$4:C110,$C110),2))</f>
        <v/>
      </c>
      <c r="M110" s="19">
        <f>IF($C110="","",ROUND(SUM(基础资料!$B$4:$B$13)+SUM($J$4:J110)-SUM($K$4:K110),2))</f>
        <v/>
      </c>
      <c r="N110" s="13" t="n"/>
      <c r="O110" s="13" t="n"/>
      <c r="P110" s="17">
        <f>IF($B110="","",IF($F110="※类别不在基础资料里","※费用类别不在基础资料里",IF(AND(N($J110)=0,N($K110)=0),"※这行没填金额",IF(AND(N($J110)&gt;0,N($K110)&gt;0),"※收入和支出不能同一行都填",IF(AND($D110="收入",N($J110)=0),"※收入行要填收入金额",IF(AND($D110="支出",N($K110)=0),"※支出行要填支出金额",IF(AND($C110&lt;&gt;"",ISNA(MATCH($C110,账户表,0))),"※账户不在基础资料里",IF(AND($G110&lt;&gt;"",ISNA(MATCH($G110,项目名表,0))),"※项目不在项目台账里",IF(AND(LEFT($F110,3)="成本-",$G110=""),"※成本类支出没填项目",IF(AND(LEFT($F110,3)="成本-",$H110&lt;&gt;"",N($K110)&gt;0,COUNTIFS(采购单!$B:$B,$B110,采购单!$C:$C,$H110,采购单!$L:$L,$K110)&gt;0),"※这笔可能和采购单重复了",""))))))))))</f>
        <v/>
      </c>
    </row>
    <row r="111">
      <c r="A111" s="17">
        <f>IF($B111="","",ROW()-3)</f>
        <v/>
      </c>
      <c r="B111" s="18" t="n">
        <v>46102</v>
      </c>
      <c r="C111" s="13" t="inlineStr">
        <is>
          <t>微信1</t>
        </is>
      </c>
      <c r="D111" s="13" t="inlineStr">
        <is>
          <t>收入</t>
        </is>
      </c>
      <c r="E111" s="13" t="inlineStr">
        <is>
          <t>利息收入</t>
        </is>
      </c>
      <c r="F111" s="17">
        <f>IF($E111="","",IFERROR(VLOOKUP($E111,类别归属,2,0),"※类别不在基础资料里"))</f>
        <v/>
      </c>
      <c r="G111" s="13" t="n"/>
      <c r="H111" s="13" t="n"/>
      <c r="I111" s="13" t="inlineStr">
        <is>
          <t>账户服务升级收益</t>
        </is>
      </c>
      <c r="J111" s="14" t="n">
        <v>0.62</v>
      </c>
      <c r="K111" s="14" t="n"/>
      <c r="L111" s="19">
        <f>IF($C111="","",ROUND(IFERROR(VLOOKUP($C111,账户期初,2,0),0)+SUMIFS($J$4:J111,$C$4:C111,$C111)-SUMIFS($K$4:K111,$C$4:C111,$C111),2))</f>
        <v/>
      </c>
      <c r="M111" s="19">
        <f>IF($C111="","",ROUND(SUM(基础资料!$B$4:$B$13)+SUM($J$4:J111)-SUM($K$4:K111),2))</f>
        <v/>
      </c>
      <c r="N111" s="13" t="n"/>
      <c r="O111" s="13" t="n"/>
      <c r="P111" s="17">
        <f>IF($B111="","",IF($F111="※类别不在基础资料里","※费用类别不在基础资料里",IF(AND(N($J111)=0,N($K111)=0),"※这行没填金额",IF(AND(N($J111)&gt;0,N($K111)&gt;0),"※收入和支出不能同一行都填",IF(AND($D111="收入",N($J111)=0),"※收入行要填收入金额",IF(AND($D111="支出",N($K111)=0),"※支出行要填支出金额",IF(AND($C111&lt;&gt;"",ISNA(MATCH($C111,账户表,0))),"※账户不在基础资料里",IF(AND($G111&lt;&gt;"",ISNA(MATCH($G111,项目名表,0))),"※项目不在项目台账里",IF(AND(LEFT($F111,3)="成本-",$G111=""),"※成本类支出没填项目",IF(AND(LEFT($F111,3)="成本-",$H111&lt;&gt;"",N($K111)&gt;0,COUNTIFS(采购单!$B:$B,$B111,采购单!$C:$C,$H111,采购单!$L:$L,$K111)&gt;0),"※这笔可能和采购单重复了",""))))))))))</f>
        <v/>
      </c>
    </row>
    <row r="112">
      <c r="A112" s="17">
        <f>IF($B112="","",ROW()-3)</f>
        <v/>
      </c>
      <c r="B112" s="18" t="n">
        <v>46102</v>
      </c>
      <c r="C112" s="13" t="inlineStr">
        <is>
          <t>微信1</t>
        </is>
      </c>
      <c r="D112" s="13" t="inlineStr">
        <is>
          <t>收入</t>
        </is>
      </c>
      <c r="E112" s="13" t="inlineStr">
        <is>
          <t>项目收款</t>
        </is>
      </c>
      <c r="F112" s="17">
        <f>IF($E112="","",IFERROR(VLOOKUP($E112,类别归属,2,0),"※类别不在基础资料里"))</f>
        <v/>
      </c>
      <c r="G112" s="13" t="inlineStr">
        <is>
          <t>梦回唐朝</t>
        </is>
      </c>
      <c r="H112" s="13" t="n"/>
      <c r="I112" s="13" t="inlineStr">
        <is>
          <t>南浔古镇美食城-贝总（欠22000）</t>
        </is>
      </c>
      <c r="J112" s="14" t="n">
        <v>10000</v>
      </c>
      <c r="K112" s="14" t="n"/>
      <c r="L112" s="19">
        <f>IF($C112="","",ROUND(IFERROR(VLOOKUP($C112,账户期初,2,0),0)+SUMIFS($J$4:J112,$C$4:C112,$C112)-SUMIFS($K$4:K112,$C$4:C112,$C112),2))</f>
        <v/>
      </c>
      <c r="M112" s="19">
        <f>IF($C112="","",ROUND(SUM(基础资料!$B$4:$B$13)+SUM($J$4:J112)-SUM($K$4:K112),2))</f>
        <v/>
      </c>
      <c r="N112" s="13" t="n"/>
      <c r="O112" s="13" t="n"/>
      <c r="P112" s="17">
        <f>IF($B112="","",IF($F112="※类别不在基础资料里","※费用类别不在基础资料里",IF(AND(N($J112)=0,N($K112)=0),"※这行没填金额",IF(AND(N($J112)&gt;0,N($K112)&gt;0),"※收入和支出不能同一行都填",IF(AND($D112="收入",N($J112)=0),"※收入行要填收入金额",IF(AND($D112="支出",N($K112)=0),"※支出行要填支出金额",IF(AND($C112&lt;&gt;"",ISNA(MATCH($C112,账户表,0))),"※账户不在基础资料里",IF(AND($G112&lt;&gt;"",ISNA(MATCH($G112,项目名表,0))),"※项目不在项目台账里",IF(AND(LEFT($F112,3)="成本-",$G112=""),"※成本类支出没填项目",IF(AND(LEFT($F112,3)="成本-",$H112&lt;&gt;"",N($K112)&gt;0,COUNTIFS(采购单!$B:$B,$B112,采购单!$C:$C,$H112,采购单!$L:$L,$K112)&gt;0),"※这笔可能和采购单重复了",""))))))))))</f>
        <v/>
      </c>
    </row>
    <row r="113">
      <c r="A113" s="17">
        <f>IF($B113="","",ROW()-3)</f>
        <v/>
      </c>
      <c r="B113" s="18" t="n">
        <v>46102</v>
      </c>
      <c r="C113" s="13" t="inlineStr">
        <is>
          <t>微信1</t>
        </is>
      </c>
      <c r="D113" s="13" t="inlineStr">
        <is>
          <t>支出</t>
        </is>
      </c>
      <c r="E113" s="13" t="inlineStr">
        <is>
          <t>运费/快递费</t>
        </is>
      </c>
      <c r="F113" s="17">
        <f>IF($E113="","",IFERROR(VLOOKUP($E113,类别归属,2,0),"※类别不在基础资料里"))</f>
        <v/>
      </c>
      <c r="G113" s="13" t="inlineStr">
        <is>
          <t>南浔美食城</t>
        </is>
      </c>
      <c r="H113" s="13" t="inlineStr">
        <is>
          <t>炳秀</t>
        </is>
      </c>
      <c r="I113" s="13" t="inlineStr">
        <is>
          <t>付炳秀配送</t>
        </is>
      </c>
      <c r="J113" s="14" t="n"/>
      <c r="K113" s="14" t="n">
        <v>86</v>
      </c>
      <c r="L113" s="19">
        <f>IF($C113="","",ROUND(IFERROR(VLOOKUP($C113,账户期初,2,0),0)+SUMIFS($J$4:J113,$C$4:C113,$C113)-SUMIFS($K$4:K113,$C$4:C113,$C113),2))</f>
        <v/>
      </c>
      <c r="M113" s="19">
        <f>IF($C113="","",ROUND(SUM(基础资料!$B$4:$B$13)+SUM($J$4:J113)-SUM($K$4:K113),2))</f>
        <v/>
      </c>
      <c r="N113" s="13" t="n"/>
      <c r="O113" s="13" t="inlineStr">
        <is>
          <t>210</t>
        </is>
      </c>
      <c r="P113" s="17">
        <f>IF($B113="","",IF($F113="※类别不在基础资料里","※费用类别不在基础资料里",IF(AND(N($J113)=0,N($K113)=0),"※这行没填金额",IF(AND(N($J113)&gt;0,N($K113)&gt;0),"※收入和支出不能同一行都填",IF(AND($D113="收入",N($J113)=0),"※收入行要填收入金额",IF(AND($D113="支出",N($K113)=0),"※支出行要填支出金额",IF(AND($C113&lt;&gt;"",ISNA(MATCH($C113,账户表,0))),"※账户不在基础资料里",IF(AND($G113&lt;&gt;"",ISNA(MATCH($G113,项目名表,0))),"※项目不在项目台账里",IF(AND(LEFT($F113,3)="成本-",$G113=""),"※成本类支出没填项目",IF(AND(LEFT($F113,3)="成本-",$H113&lt;&gt;"",N($K113)&gt;0,COUNTIFS(采购单!$B:$B,$B113,采购单!$C:$C,$H113,采购单!$L:$L,$K113)&gt;0),"※这笔可能和采购单重复了",""))))))))))</f>
        <v/>
      </c>
    </row>
    <row r="114">
      <c r="A114" s="17">
        <f>IF($B114="","",ROW()-3)</f>
        <v/>
      </c>
      <c r="B114" s="18" t="n">
        <v>46102</v>
      </c>
      <c r="C114" s="13" t="inlineStr">
        <is>
          <t>微信1</t>
        </is>
      </c>
      <c r="D114" s="13" t="inlineStr">
        <is>
          <t>支出</t>
        </is>
      </c>
      <c r="E114" s="13" t="inlineStr">
        <is>
          <t>运费/快递费</t>
        </is>
      </c>
      <c r="F114" s="17">
        <f>IF($E114="","",IFERROR(VLOOKUP($E114,类别归属,2,0),"※类别不在基础资料里"))</f>
        <v/>
      </c>
      <c r="G114" s="13" t="inlineStr">
        <is>
          <t>kkv 犇腾牛排 朴太院</t>
        </is>
      </c>
      <c r="H114" s="13" t="inlineStr">
        <is>
          <t>炳秀</t>
        </is>
      </c>
      <c r="I114" s="13" t="inlineStr">
        <is>
          <t>付炳秀配送</t>
        </is>
      </c>
      <c r="J114" s="14" t="n"/>
      <c r="K114" s="14" t="n">
        <v>33</v>
      </c>
      <c r="L114" s="19">
        <f>IF($C114="","",ROUND(IFERROR(VLOOKUP($C114,账户期初,2,0),0)+SUMIFS($J$4:J114,$C$4:C114,$C114)-SUMIFS($K$4:K114,$C$4:C114,$C114),2))</f>
        <v/>
      </c>
      <c r="M114" s="19">
        <f>IF($C114="","",ROUND(SUM(基础资料!$B$4:$B$13)+SUM($J$4:J114)-SUM($K$4:K114),2))</f>
        <v/>
      </c>
      <c r="N114" s="13" t="n"/>
      <c r="O114" s="13" t="n"/>
      <c r="P114" s="17">
        <f>IF($B114="","",IF($F114="※类别不在基础资料里","※费用类别不在基础资料里",IF(AND(N($J114)=0,N($K114)=0),"※这行没填金额",IF(AND(N($J114)&gt;0,N($K114)&gt;0),"※收入和支出不能同一行都填",IF(AND($D114="收入",N($J114)=0),"※收入行要填收入金额",IF(AND($D114="支出",N($K114)=0),"※支出行要填支出金额",IF(AND($C114&lt;&gt;"",ISNA(MATCH($C114,账户表,0))),"※账户不在基础资料里",IF(AND($G114&lt;&gt;"",ISNA(MATCH($G114,项目名表,0))),"※项目不在项目台账里",IF(AND(LEFT($F114,3)="成本-",$G114=""),"※成本类支出没填项目",IF(AND(LEFT($F114,3)="成本-",$H114&lt;&gt;"",N($K114)&gt;0,COUNTIFS(采购单!$B:$B,$B114,采购单!$C:$C,$H114,采购单!$L:$L,$K114)&gt;0),"※这笔可能和采购单重复了",""))))))))))</f>
        <v/>
      </c>
    </row>
    <row r="115">
      <c r="A115" s="17">
        <f>IF($B115="","",ROW()-3)</f>
        <v/>
      </c>
      <c r="B115" s="18" t="n">
        <v>46102</v>
      </c>
      <c r="C115" s="13" t="inlineStr">
        <is>
          <t>微信1</t>
        </is>
      </c>
      <c r="D115" s="13" t="inlineStr">
        <is>
          <t>支出</t>
        </is>
      </c>
      <c r="E115" s="13" t="inlineStr">
        <is>
          <t>运费/快递费</t>
        </is>
      </c>
      <c r="F115" s="17">
        <f>IF($E115="","",IFERROR(VLOOKUP($E115,类别归属,2,0),"※类别不在基础资料里"))</f>
        <v/>
      </c>
      <c r="G115" s="13" t="inlineStr">
        <is>
          <t>织里店</t>
        </is>
      </c>
      <c r="H115" s="13" t="inlineStr">
        <is>
          <t>炳秀</t>
        </is>
      </c>
      <c r="I115" s="13" t="inlineStr">
        <is>
          <t>付炳秀配送</t>
        </is>
      </c>
      <c r="J115" s="14" t="n"/>
      <c r="K115" s="14" t="n">
        <v>91</v>
      </c>
      <c r="L115" s="19">
        <f>IF($C115="","",ROUND(IFERROR(VLOOKUP($C115,账户期初,2,0),0)+SUMIFS($J$4:J115,$C$4:C115,$C115)-SUMIFS($K$4:K115,$C$4:C115,$C115),2))</f>
        <v/>
      </c>
      <c r="M115" s="19">
        <f>IF($C115="","",ROUND(SUM(基础资料!$B$4:$B$13)+SUM($J$4:J115)-SUM($K$4:K115),2))</f>
        <v/>
      </c>
      <c r="N115" s="13" t="n"/>
      <c r="O115" s="13" t="n"/>
      <c r="P115" s="17">
        <f>IF($B115="","",IF($F115="※类别不在基础资料里","※费用类别不在基础资料里",IF(AND(N($J115)=0,N($K115)=0),"※这行没填金额",IF(AND(N($J115)&gt;0,N($K115)&gt;0),"※收入和支出不能同一行都填",IF(AND($D115="收入",N($J115)=0),"※收入行要填收入金额",IF(AND($D115="支出",N($K115)=0),"※支出行要填支出金额",IF(AND($C115&lt;&gt;"",ISNA(MATCH($C115,账户表,0))),"※账户不在基础资料里",IF(AND($G115&lt;&gt;"",ISNA(MATCH($G115,项目名表,0))),"※项目不在项目台账里",IF(AND(LEFT($F115,3)="成本-",$G115=""),"※成本类支出没填项目",IF(AND(LEFT($F115,3)="成本-",$H115&lt;&gt;"",N($K115)&gt;0,COUNTIFS(采购单!$B:$B,$B115,采购单!$C:$C,$H115,采购单!$L:$L,$K115)&gt;0),"※这笔可能和采购单重复了",""))))))))))</f>
        <v/>
      </c>
    </row>
    <row r="116">
      <c r="A116" s="17">
        <f>IF($B116="","",ROW()-3)</f>
        <v/>
      </c>
      <c r="B116" s="18" t="n">
        <v>46102</v>
      </c>
      <c r="C116" s="13" t="inlineStr">
        <is>
          <t>微信1</t>
        </is>
      </c>
      <c r="D116" s="13" t="inlineStr">
        <is>
          <t>支出</t>
        </is>
      </c>
      <c r="E116" s="13" t="inlineStr">
        <is>
          <t>借出款</t>
        </is>
      </c>
      <c r="F116" s="17">
        <f>IF($E116="","",IFERROR(VLOOKUP($E116,类别归属,2,0),"※类别不在基础资料里"))</f>
        <v/>
      </c>
      <c r="G116" s="13" t="n"/>
      <c r="H116" s="13" t="inlineStr">
        <is>
          <t>付久华</t>
        </is>
      </c>
      <c r="I116" s="13" t="inlineStr">
        <is>
          <t>付给付久华</t>
        </is>
      </c>
      <c r="J116" s="14" t="n"/>
      <c r="K116" s="14" t="n">
        <v>10000</v>
      </c>
      <c r="L116" s="19">
        <f>IF($C116="","",ROUND(IFERROR(VLOOKUP($C116,账户期初,2,0),0)+SUMIFS($J$4:J116,$C$4:C116,$C116)-SUMIFS($K$4:K116,$C$4:C116,$C116),2))</f>
        <v/>
      </c>
      <c r="M116" s="19">
        <f>IF($C116="","",ROUND(SUM(基础资料!$B$4:$B$13)+SUM($J$4:J116)-SUM($K$4:K116),2))</f>
        <v/>
      </c>
      <c r="N116" s="13" t="n"/>
      <c r="O116" s="13" t="n"/>
      <c r="P116" s="17">
        <f>IF($B116="","",IF($F116="※类别不在基础资料里","※费用类别不在基础资料里",IF(AND(N($J116)=0,N($K116)=0),"※这行没填金额",IF(AND(N($J116)&gt;0,N($K116)&gt;0),"※收入和支出不能同一行都填",IF(AND($D116="收入",N($J116)=0),"※收入行要填收入金额",IF(AND($D116="支出",N($K116)=0),"※支出行要填支出金额",IF(AND($C116&lt;&gt;"",ISNA(MATCH($C116,账户表,0))),"※账户不在基础资料里",IF(AND($G116&lt;&gt;"",ISNA(MATCH($G116,项目名表,0))),"※项目不在项目台账里",IF(AND(LEFT($F116,3)="成本-",$G116=""),"※成本类支出没填项目",IF(AND(LEFT($F116,3)="成本-",$H116&lt;&gt;"",N($K116)&gt;0,COUNTIFS(采购单!$B:$B,$B116,采购单!$C:$C,$H116,采购单!$L:$L,$K116)&gt;0),"※这笔可能和采购单重复了",""))))))))))</f>
        <v/>
      </c>
    </row>
    <row r="117">
      <c r="A117" s="17">
        <f>IF($B117="","",ROW()-3)</f>
        <v/>
      </c>
      <c r="B117" s="18" t="n">
        <v>46102</v>
      </c>
      <c r="C117" s="13" t="inlineStr">
        <is>
          <t>微信1</t>
        </is>
      </c>
      <c r="D117" s="13" t="inlineStr">
        <is>
          <t>收入</t>
        </is>
      </c>
      <c r="E117" s="13" t="inlineStr">
        <is>
          <t>项目收款</t>
        </is>
      </c>
      <c r="F117" s="17">
        <f>IF($E117="","",IFERROR(VLOOKUP($E117,类别归属,2,0),"※类别不在基础资料里"))</f>
        <v/>
      </c>
      <c r="G117" s="13" t="inlineStr">
        <is>
          <t>定金-叶勇宾</t>
        </is>
      </c>
      <c r="H117" s="13" t="n"/>
      <c r="I117" s="13" t="inlineStr">
        <is>
          <t>收增项定金-叶勇宾</t>
        </is>
      </c>
      <c r="J117" s="14" t="n">
        <v>3000</v>
      </c>
      <c r="K117" s="14" t="n"/>
      <c r="L117" s="19">
        <f>IF($C117="","",ROUND(IFERROR(VLOOKUP($C117,账户期初,2,0),0)+SUMIFS($J$4:J117,$C$4:C117,$C117)-SUMIFS($K$4:K117,$C$4:C117,$C117),2))</f>
        <v/>
      </c>
      <c r="M117" s="19">
        <f>IF($C117="","",ROUND(SUM(基础资料!$B$4:$B$13)+SUM($J$4:J117)-SUM($K$4:K117),2))</f>
        <v/>
      </c>
      <c r="N117" s="13" t="n"/>
      <c r="O117" s="13" t="n"/>
      <c r="P117" s="17">
        <f>IF($B117="","",IF($F117="※类别不在基础资料里","※费用类别不在基础资料里",IF(AND(N($J117)=0,N($K117)=0),"※这行没填金额",IF(AND(N($J117)&gt;0,N($K117)&gt;0),"※收入和支出不能同一行都填",IF(AND($D117="收入",N($J117)=0),"※收入行要填收入金额",IF(AND($D117="支出",N($K117)=0),"※支出行要填支出金额",IF(AND($C117&lt;&gt;"",ISNA(MATCH($C117,账户表,0))),"※账户不在基础资料里",IF(AND($G117&lt;&gt;"",ISNA(MATCH($G117,项目名表,0))),"※项目不在项目台账里",IF(AND(LEFT($F117,3)="成本-",$G117=""),"※成本类支出没填项目",IF(AND(LEFT($F117,3)="成本-",$H117&lt;&gt;"",N($K117)&gt;0,COUNTIFS(采购单!$B:$B,$B117,采购单!$C:$C,$H117,采购单!$L:$L,$K117)&gt;0),"※这笔可能和采购单重复了",""))))))))))</f>
        <v/>
      </c>
    </row>
    <row r="118">
      <c r="A118" s="17">
        <f>IF($B118="","",ROW()-3)</f>
        <v/>
      </c>
      <c r="B118" s="18" t="n">
        <v>46103</v>
      </c>
      <c r="C118" s="13" t="inlineStr">
        <is>
          <t>微信1</t>
        </is>
      </c>
      <c r="D118" s="13" t="inlineStr">
        <is>
          <t>支出</t>
        </is>
      </c>
      <c r="E118" s="13" t="inlineStr">
        <is>
          <t>主材采购</t>
        </is>
      </c>
      <c r="F118" s="17">
        <f>IF($E118="","",IFERROR(VLOOKUP($E118,类别归属,2,0),"※类别不在基础资料里"))</f>
        <v/>
      </c>
      <c r="G118" s="13" t="inlineStr">
        <is>
          <t>织里店</t>
        </is>
      </c>
      <c r="H118" s="13" t="inlineStr">
        <is>
          <t>铝塑板</t>
        </is>
      </c>
      <c r="I118" s="13" t="inlineStr">
        <is>
          <t>付铝塑板</t>
        </is>
      </c>
      <c r="J118" s="14" t="n"/>
      <c r="K118" s="14" t="n">
        <v>2160</v>
      </c>
      <c r="L118" s="19">
        <f>IF($C118="","",ROUND(IFERROR(VLOOKUP($C118,账户期初,2,0),0)+SUMIFS($J$4:J118,$C$4:C118,$C118)-SUMIFS($K$4:K118,$C$4:C118,$C118),2))</f>
        <v/>
      </c>
      <c r="M118" s="19">
        <f>IF($C118="","",ROUND(SUM(基础资料!$B$4:$B$13)+SUM($J$4:J118)-SUM($K$4:K118),2))</f>
        <v/>
      </c>
      <c r="N118" s="13" t="n"/>
      <c r="O118" s="13" t="n"/>
      <c r="P118" s="17">
        <f>IF($B118="","",IF($F118="※类别不在基础资料里","※费用类别不在基础资料里",IF(AND(N($J118)=0,N($K118)=0),"※这行没填金额",IF(AND(N($J118)&gt;0,N($K118)&gt;0),"※收入和支出不能同一行都填",IF(AND($D118="收入",N($J118)=0),"※收入行要填收入金额",IF(AND($D118="支出",N($K118)=0),"※支出行要填支出金额",IF(AND($C118&lt;&gt;"",ISNA(MATCH($C118,账户表,0))),"※账户不在基础资料里",IF(AND($G118&lt;&gt;"",ISNA(MATCH($G118,项目名表,0))),"※项目不在项目台账里",IF(AND(LEFT($F118,3)="成本-",$G118=""),"※成本类支出没填项目",IF(AND(LEFT($F118,3)="成本-",$H118&lt;&gt;"",N($K118)&gt;0,COUNTIFS(采购单!$B:$B,$B118,采购单!$C:$C,$H118,采购单!$L:$L,$K118)&gt;0),"※这笔可能和采购单重复了",""))))))))))</f>
        <v/>
      </c>
    </row>
    <row r="119">
      <c r="A119" s="17">
        <f>IF($B119="","",ROW()-3)</f>
        <v/>
      </c>
      <c r="B119" s="18" t="n">
        <v>46103</v>
      </c>
      <c r="C119" s="13" t="inlineStr">
        <is>
          <t>微信1</t>
        </is>
      </c>
      <c r="D119" s="13" t="inlineStr">
        <is>
          <t>支出</t>
        </is>
      </c>
      <c r="E119" s="13" t="inlineStr">
        <is>
          <t>运费/快递费</t>
        </is>
      </c>
      <c r="F119" s="17">
        <f>IF($E119="","",IFERROR(VLOOKUP($E119,类别归属,2,0),"※类别不在基础资料里"))</f>
        <v/>
      </c>
      <c r="G119" s="13" t="inlineStr">
        <is>
          <t>织里店</t>
        </is>
      </c>
      <c r="H119" s="13" t="inlineStr">
        <is>
          <t>炳秀</t>
        </is>
      </c>
      <c r="I119" s="13" t="inlineStr">
        <is>
          <t>付炳秀配送</t>
        </is>
      </c>
      <c r="J119" s="14" t="n"/>
      <c r="K119" s="14" t="n">
        <v>235</v>
      </c>
      <c r="L119" s="19">
        <f>IF($C119="","",ROUND(IFERROR(VLOOKUP($C119,账户期初,2,0),0)+SUMIFS($J$4:J119,$C$4:C119,$C119)-SUMIFS($K$4:K119,$C$4:C119,$C119),2))</f>
        <v/>
      </c>
      <c r="M119" s="19">
        <f>IF($C119="","",ROUND(SUM(基础资料!$B$4:$B$13)+SUM($J$4:J119)-SUM($K$4:K119),2))</f>
        <v/>
      </c>
      <c r="N119" s="13" t="n"/>
      <c r="O119" s="13" t="n"/>
      <c r="P119" s="17">
        <f>IF($B119="","",IF($F119="※类别不在基础资料里","※费用类别不在基础资料里",IF(AND(N($J119)=0,N($K119)=0),"※这行没填金额",IF(AND(N($J119)&gt;0,N($K119)&gt;0),"※收入和支出不能同一行都填",IF(AND($D119="收入",N($J119)=0),"※收入行要填收入金额",IF(AND($D119="支出",N($K119)=0),"※支出行要填支出金额",IF(AND($C119&lt;&gt;"",ISNA(MATCH($C119,账户表,0))),"※账户不在基础资料里",IF(AND($G119&lt;&gt;"",ISNA(MATCH($G119,项目名表,0))),"※项目不在项目台账里",IF(AND(LEFT($F119,3)="成本-",$G119=""),"※成本类支出没填项目",IF(AND(LEFT($F119,3)="成本-",$H119&lt;&gt;"",N($K119)&gt;0,COUNTIFS(采购单!$B:$B,$B119,采购单!$C:$C,$H119,采购单!$L:$L,$K119)&gt;0),"※这笔可能和采购单重复了",""))))))))))</f>
        <v/>
      </c>
    </row>
    <row r="120">
      <c r="A120" s="17">
        <f>IF($B120="","",ROW()-3)</f>
        <v/>
      </c>
      <c r="B120" s="18" t="n">
        <v>46103</v>
      </c>
      <c r="C120" s="13" t="inlineStr">
        <is>
          <t>微信1</t>
        </is>
      </c>
      <c r="D120" s="13" t="inlineStr">
        <is>
          <t>支出</t>
        </is>
      </c>
      <c r="E120" s="13" t="inlineStr">
        <is>
          <t>设计费</t>
        </is>
      </c>
      <c r="F120" s="17">
        <f>IF($E120="","",IFERROR(VLOOKUP($E120,类别归属,2,0),"※类别不在基础资料里"))</f>
        <v/>
      </c>
      <c r="G120" s="13" t="inlineStr">
        <is>
          <t>铁柱烧烤店</t>
        </is>
      </c>
      <c r="H120" s="13" t="n"/>
      <c r="I120" s="13" t="inlineStr">
        <is>
          <t>付芜湖图腾广告设计公司-铁柱烧烤社</t>
        </is>
      </c>
      <c r="J120" s="14" t="n"/>
      <c r="K120" s="14" t="n">
        <v>741</v>
      </c>
      <c r="L120" s="19">
        <f>IF($C120="","",ROUND(IFERROR(VLOOKUP($C120,账户期初,2,0),0)+SUMIFS($J$4:J120,$C$4:C120,$C120)-SUMIFS($K$4:K120,$C$4:C120,$C120),2))</f>
        <v/>
      </c>
      <c r="M120" s="19">
        <f>IF($C120="","",ROUND(SUM(基础资料!$B$4:$B$13)+SUM($J$4:J120)-SUM($K$4:K120),2))</f>
        <v/>
      </c>
      <c r="N120" s="13" t="n"/>
      <c r="O120" s="13" t="n"/>
      <c r="P120" s="17">
        <f>IF($B120="","",IF($F120="※类别不在基础资料里","※费用类别不在基础资料里",IF(AND(N($J120)=0,N($K120)=0),"※这行没填金额",IF(AND(N($J120)&gt;0,N($K120)&gt;0),"※收入和支出不能同一行都填",IF(AND($D120="收入",N($J120)=0),"※收入行要填收入金额",IF(AND($D120="支出",N($K120)=0),"※支出行要填支出金额",IF(AND($C120&lt;&gt;"",ISNA(MATCH($C120,账户表,0))),"※账户不在基础资料里",IF(AND($G120&lt;&gt;"",ISNA(MATCH($G120,项目名表,0))),"※项目不在项目台账里",IF(AND(LEFT($F120,3)="成本-",$G120=""),"※成本类支出没填项目",IF(AND(LEFT($F120,3)="成本-",$H120&lt;&gt;"",N($K120)&gt;0,COUNTIFS(采购单!$B:$B,$B120,采购单!$C:$C,$H120,采购单!$L:$L,$K120)&gt;0),"※这笔可能和采购单重复了",""))))))))))</f>
        <v/>
      </c>
    </row>
    <row r="121">
      <c r="A121" s="17">
        <f>IF($B121="","",ROW()-3)</f>
        <v/>
      </c>
      <c r="B121" s="18" t="n">
        <v>46103</v>
      </c>
      <c r="C121" s="13" t="inlineStr">
        <is>
          <t>微信1</t>
        </is>
      </c>
      <c r="D121" s="13" t="inlineStr">
        <is>
          <t>支出</t>
        </is>
      </c>
      <c r="E121" s="13" t="inlineStr">
        <is>
          <t>借出款</t>
        </is>
      </c>
      <c r="F121" s="17">
        <f>IF($E121="","",IFERROR(VLOOKUP($E121,类别归属,2,0),"※类别不在基础资料里"))</f>
        <v/>
      </c>
      <c r="G121" s="13" t="n"/>
      <c r="H121" s="13" t="inlineStr">
        <is>
          <t>章凡</t>
        </is>
      </c>
      <c r="I121" s="13" t="inlineStr">
        <is>
          <t>付章凡预支工资</t>
        </is>
      </c>
      <c r="J121" s="14" t="n"/>
      <c r="K121" s="14" t="n">
        <v>1000</v>
      </c>
      <c r="L121" s="19">
        <f>IF($C121="","",ROUND(IFERROR(VLOOKUP($C121,账户期初,2,0),0)+SUMIFS($J$4:J121,$C$4:C121,$C121)-SUMIFS($K$4:K121,$C$4:C121,$C121),2))</f>
        <v/>
      </c>
      <c r="M121" s="19">
        <f>IF($C121="","",ROUND(SUM(基础资料!$B$4:$B$13)+SUM($J$4:J121)-SUM($K$4:K121),2))</f>
        <v/>
      </c>
      <c r="N121" s="13" t="n"/>
      <c r="O121" s="13" t="n"/>
      <c r="P121" s="17">
        <f>IF($B121="","",IF($F121="※类别不在基础资料里","※费用类别不在基础资料里",IF(AND(N($J121)=0,N($K121)=0),"※这行没填金额",IF(AND(N($J121)&gt;0,N($K121)&gt;0),"※收入和支出不能同一行都填",IF(AND($D121="收入",N($J121)=0),"※收入行要填收入金额",IF(AND($D121="支出",N($K121)=0),"※支出行要填支出金额",IF(AND($C121&lt;&gt;"",ISNA(MATCH($C121,账户表,0))),"※账户不在基础资料里",IF(AND($G121&lt;&gt;"",ISNA(MATCH($G121,项目名表,0))),"※项目不在项目台账里",IF(AND(LEFT($F121,3)="成本-",$G121=""),"※成本类支出没填项目",IF(AND(LEFT($F121,3)="成本-",$H121&lt;&gt;"",N($K121)&gt;0,COUNTIFS(采购单!$B:$B,$B121,采购单!$C:$C,$H121,采购单!$L:$L,$K121)&gt;0),"※这笔可能和采购单重复了",""))))))))))</f>
        <v/>
      </c>
    </row>
    <row r="122">
      <c r="A122" s="17">
        <f>IF($B122="","",ROW()-3)</f>
        <v/>
      </c>
      <c r="B122" s="18" t="n">
        <v>46103</v>
      </c>
      <c r="C122" s="13" t="inlineStr">
        <is>
          <t>微信1</t>
        </is>
      </c>
      <c r="D122" s="13" t="inlineStr">
        <is>
          <t>支出</t>
        </is>
      </c>
      <c r="E122" s="13" t="inlineStr">
        <is>
          <t>其他管理费用</t>
        </is>
      </c>
      <c r="F122" s="17">
        <f>IF($E122="","",IFERROR(VLOOKUP($E122,类别归属,2,0),"※类别不在基础资料里"))</f>
        <v/>
      </c>
      <c r="G122" s="13" t="n"/>
      <c r="H122" s="13" t="n"/>
      <c r="I122" s="13" t="inlineStr">
        <is>
          <t>付凌宇3.2-3.18垫油费（见清单）</t>
        </is>
      </c>
      <c r="J122" s="14" t="n"/>
      <c r="K122" s="14" t="n">
        <v>657</v>
      </c>
      <c r="L122" s="19">
        <f>IF($C122="","",ROUND(IFERROR(VLOOKUP($C122,账户期初,2,0),0)+SUMIFS($J$4:J122,$C$4:C122,$C122)-SUMIFS($K$4:K122,$C$4:C122,$C122),2))</f>
        <v/>
      </c>
      <c r="M122" s="19">
        <f>IF($C122="","",ROUND(SUM(基础资料!$B$4:$B$13)+SUM($J$4:J122)-SUM($K$4:K122),2))</f>
        <v/>
      </c>
      <c r="N122" s="13" t="n"/>
      <c r="O122" s="13" t="inlineStr">
        <is>
          <t>高恒荣熟食店、湖州远东宏信普惠、校服基地、小西街、梦回唐朝、汕味杏花、泰纳水果店</t>
        </is>
      </c>
      <c r="P122" s="17">
        <f>IF($B122="","",IF($F122="※类别不在基础资料里","※费用类别不在基础资料里",IF(AND(N($J122)=0,N($K122)=0),"※这行没填金额",IF(AND(N($J122)&gt;0,N($K122)&gt;0),"※收入和支出不能同一行都填",IF(AND($D122="收入",N($J122)=0),"※收入行要填收入金额",IF(AND($D122="支出",N($K122)=0),"※支出行要填支出金额",IF(AND($C122&lt;&gt;"",ISNA(MATCH($C122,账户表,0))),"※账户不在基础资料里",IF(AND($G122&lt;&gt;"",ISNA(MATCH($G122,项目名表,0))),"※项目不在项目台账里",IF(AND(LEFT($F122,3)="成本-",$G122=""),"※成本类支出没填项目",IF(AND(LEFT($F122,3)="成本-",$H122&lt;&gt;"",N($K122)&gt;0,COUNTIFS(采购单!$B:$B,$B122,采购单!$C:$C,$H122,采购单!$L:$L,$K122)&gt;0),"※这笔可能和采购单重复了",""))))))))))</f>
        <v/>
      </c>
    </row>
    <row r="123">
      <c r="A123" s="17">
        <f>IF($B123="","",ROW()-3)</f>
        <v/>
      </c>
      <c r="B123" s="18" t="n">
        <v>46103</v>
      </c>
      <c r="C123" s="13" t="inlineStr">
        <is>
          <t>微信1</t>
        </is>
      </c>
      <c r="D123" s="13" t="inlineStr">
        <is>
          <t>支出</t>
        </is>
      </c>
      <c r="E123" s="13" t="inlineStr">
        <is>
          <t>团建费</t>
        </is>
      </c>
      <c r="F123" s="17">
        <f>IF($E123="","",IFERROR(VLOOKUP($E123,类别归属,2,0),"※类别不在基础资料里"))</f>
        <v/>
      </c>
      <c r="G123" s="13" t="n"/>
      <c r="H123" s="13" t="n"/>
      <c r="I123" s="13" t="inlineStr">
        <is>
          <t>招待费（凌宇/杨德/徐可欣等6人</t>
        </is>
      </c>
      <c r="J123" s="14" t="n"/>
      <c r="K123" s="14" t="n">
        <v>280</v>
      </c>
      <c r="L123" s="19">
        <f>IF($C123="","",ROUND(IFERROR(VLOOKUP($C123,账户期初,2,0),0)+SUMIFS($J$4:J123,$C$4:C123,$C123)-SUMIFS($K$4:K123,$C$4:C123,$C123),2))</f>
        <v/>
      </c>
      <c r="M123" s="19">
        <f>IF($C123="","",ROUND(SUM(基础资料!$B$4:$B$13)+SUM($J$4:J123)-SUM($K$4:K123),2))</f>
        <v/>
      </c>
      <c r="N123" s="13" t="n"/>
      <c r="O123" s="13" t="n"/>
      <c r="P123" s="17">
        <f>IF($B123="","",IF($F123="※类别不在基础资料里","※费用类别不在基础资料里",IF(AND(N($J123)=0,N($K123)=0),"※这行没填金额",IF(AND(N($J123)&gt;0,N($K123)&gt;0),"※收入和支出不能同一行都填",IF(AND($D123="收入",N($J123)=0),"※收入行要填收入金额",IF(AND($D123="支出",N($K123)=0),"※支出行要填支出金额",IF(AND($C123&lt;&gt;"",ISNA(MATCH($C123,账户表,0))),"※账户不在基础资料里",IF(AND($G123&lt;&gt;"",ISNA(MATCH($G123,项目名表,0))),"※项目不在项目台账里",IF(AND(LEFT($F123,3)="成本-",$G123=""),"※成本类支出没填项目",IF(AND(LEFT($F123,3)="成本-",$H123&lt;&gt;"",N($K123)&gt;0,COUNTIFS(采购单!$B:$B,$B123,采购单!$C:$C,$H123,采购单!$L:$L,$K123)&gt;0),"※这笔可能和采购单重复了",""))))))))))</f>
        <v/>
      </c>
    </row>
    <row r="124">
      <c r="A124" s="17">
        <f>IF($B124="","",ROW()-3)</f>
        <v/>
      </c>
      <c r="B124" s="18" t="n">
        <v>46104</v>
      </c>
      <c r="C124" s="13" t="inlineStr">
        <is>
          <t>微信1</t>
        </is>
      </c>
      <c r="D124" s="13" t="inlineStr">
        <is>
          <t>支出</t>
        </is>
      </c>
      <c r="E124" s="13" t="inlineStr">
        <is>
          <t>主材采购</t>
        </is>
      </c>
      <c r="F124" s="17">
        <f>IF($E124="","",IFERROR(VLOOKUP($E124,类别归属,2,0),"※类别不在基础资料里"))</f>
        <v/>
      </c>
      <c r="G124" s="13" t="inlineStr">
        <is>
          <t>每甜</t>
        </is>
      </c>
      <c r="H124" s="13" t="n"/>
      <c r="I124" s="13" t="inlineStr">
        <is>
          <t>3.18控制开关</t>
        </is>
      </c>
      <c r="J124" s="14" t="n"/>
      <c r="K124" s="14" t="n">
        <v>43.9</v>
      </c>
      <c r="L124" s="19">
        <f>IF($C124="","",ROUND(IFERROR(VLOOKUP($C124,账户期初,2,0),0)+SUMIFS($J$4:J124,$C$4:C124,$C124)-SUMIFS($K$4:K124,$C$4:C124,$C124),2))</f>
        <v/>
      </c>
      <c r="M124" s="19">
        <f>IF($C124="","",ROUND(SUM(基础资料!$B$4:$B$13)+SUM($J$4:J124)-SUM($K$4:K124),2))</f>
        <v/>
      </c>
      <c r="N124" s="13" t="n"/>
      <c r="O124" s="13" t="inlineStr">
        <is>
          <t>每甜灯泡字</t>
        </is>
      </c>
      <c r="P124" s="17">
        <f>IF($B124="","",IF($F124="※类别不在基础资料里","※费用类别不在基础资料里",IF(AND(N($J124)=0,N($K124)=0),"※这行没填金额",IF(AND(N($J124)&gt;0,N($K124)&gt;0),"※收入和支出不能同一行都填",IF(AND($D124="收入",N($J124)=0),"※收入行要填收入金额",IF(AND($D124="支出",N($K124)=0),"※支出行要填支出金额",IF(AND($C124&lt;&gt;"",ISNA(MATCH($C124,账户表,0))),"※账户不在基础资料里",IF(AND($G124&lt;&gt;"",ISNA(MATCH($G124,项目名表,0))),"※项目不在项目台账里",IF(AND(LEFT($F124,3)="成本-",$G124=""),"※成本类支出没填项目",IF(AND(LEFT($F124,3)="成本-",$H124&lt;&gt;"",N($K124)&gt;0,COUNTIFS(采购单!$B:$B,$B124,采购单!$C:$C,$H124,采购单!$L:$L,$K124)&gt;0),"※这笔可能和采购单重复了",""))))))))))</f>
        <v/>
      </c>
    </row>
    <row r="125">
      <c r="A125" s="17">
        <f>IF($B125="","",ROW()-3)</f>
        <v/>
      </c>
      <c r="B125" s="18" t="n"/>
      <c r="C125" s="13" t="inlineStr">
        <is>
          <t>微信1</t>
        </is>
      </c>
      <c r="D125" s="13" t="inlineStr">
        <is>
          <t>支出</t>
        </is>
      </c>
      <c r="E125" s="13" t="inlineStr">
        <is>
          <t>运费/快递费</t>
        </is>
      </c>
      <c r="F125" s="17">
        <f>IF($E125="","",IFERROR(VLOOKUP($E125,类别归属,2,0),"※类别不在基础资料里"))</f>
        <v/>
      </c>
      <c r="G125" s="13" t="n"/>
      <c r="H125" s="13" t="n"/>
      <c r="I125" s="13" t="inlineStr">
        <is>
          <t>3.19发快递</t>
        </is>
      </c>
      <c r="J125" s="14" t="n"/>
      <c r="K125" s="14" t="n">
        <v>47.9</v>
      </c>
      <c r="L125" s="19">
        <f>IF($C125="","",ROUND(IFERROR(VLOOKUP($C125,账户期初,2,0),0)+SUMIFS($J$4:J125,$C$4:C125,$C125)-SUMIFS($K$4:K125,$C$4:C125,$C125),2))</f>
        <v/>
      </c>
      <c r="M125" s="19">
        <f>IF($C125="","",ROUND(SUM(基础资料!$B$4:$B$13)+SUM($J$4:J125)-SUM($K$4:K125),2))</f>
        <v/>
      </c>
      <c r="N125" s="13" t="n"/>
      <c r="O125" s="13" t="inlineStr">
        <is>
          <t>公司</t>
        </is>
      </c>
      <c r="P125" s="17">
        <f>IF($B125="","",IF($F125="※类别不在基础资料里","※费用类别不在基础资料里",IF(AND(N($J125)=0,N($K125)=0),"※这行没填金额",IF(AND(N($J125)&gt;0,N($K125)&gt;0),"※收入和支出不能同一行都填",IF(AND($D125="收入",N($J125)=0),"※收入行要填收入金额",IF(AND($D125="支出",N($K125)=0),"※支出行要填支出金额",IF(AND($C125&lt;&gt;"",ISNA(MATCH($C125,账户表,0))),"※账户不在基础资料里",IF(AND($G125&lt;&gt;"",ISNA(MATCH($G125,项目名表,0))),"※项目不在项目台账里",IF(AND(LEFT($F125,3)="成本-",$G125=""),"※成本类支出没填项目",IF(AND(LEFT($F125,3)="成本-",$H125&lt;&gt;"",N($K125)&gt;0,COUNTIFS(采购单!$B:$B,$B125,采购单!$C:$C,$H125,采购单!$L:$L,$K125)&gt;0),"※这笔可能和采购单重复了",""))))))))))</f>
        <v/>
      </c>
    </row>
    <row r="126">
      <c r="A126" s="17">
        <f>IF($B126="","",ROW()-3)</f>
        <v/>
      </c>
      <c r="B126" s="18" t="n"/>
      <c r="C126" s="13" t="inlineStr">
        <is>
          <t>微信1</t>
        </is>
      </c>
      <c r="D126" s="13" t="inlineStr">
        <is>
          <t>支出</t>
        </is>
      </c>
      <c r="E126" s="13" t="inlineStr">
        <is>
          <t>车费/油费/过路费</t>
        </is>
      </c>
      <c r="F126" s="17">
        <f>IF($E126="","",IFERROR(VLOOKUP($E126,类别归属,2,0),"※类别不在基础资料里"))</f>
        <v/>
      </c>
      <c r="G126" s="13" t="inlineStr">
        <is>
          <t>汕味杏花室内项目</t>
        </is>
      </c>
      <c r="H126" s="13" t="n"/>
      <c r="I126" s="13" t="inlineStr">
        <is>
          <t>3.20停车费</t>
        </is>
      </c>
      <c r="J126" s="14" t="n"/>
      <c r="K126" s="14" t="n">
        <v>5</v>
      </c>
      <c r="L126" s="19">
        <f>IF($C126="","",ROUND(IFERROR(VLOOKUP($C126,账户期初,2,0),0)+SUMIFS($J$4:J126,$C$4:C126,$C126)-SUMIFS($K$4:K126,$C$4:C126,$C126),2))</f>
        <v/>
      </c>
      <c r="M126" s="19">
        <f>IF($C126="","",ROUND(SUM(基础资料!$B$4:$B$13)+SUM($J$4:J126)-SUM($K$4:K126),2))</f>
        <v/>
      </c>
      <c r="N126" s="13" t="n"/>
      <c r="O126" s="13" t="inlineStr">
        <is>
          <t>潮汕火锅</t>
        </is>
      </c>
      <c r="P126" s="17">
        <f>IF($B126="","",IF($F126="※类别不在基础资料里","※费用类别不在基础资料里",IF(AND(N($J126)=0,N($K126)=0),"※这行没填金额",IF(AND(N($J126)&gt;0,N($K126)&gt;0),"※收入和支出不能同一行都填",IF(AND($D126="收入",N($J126)=0),"※收入行要填收入金额",IF(AND($D126="支出",N($K126)=0),"※支出行要填支出金额",IF(AND($C126&lt;&gt;"",ISNA(MATCH($C126,账户表,0))),"※账户不在基础资料里",IF(AND($G126&lt;&gt;"",ISNA(MATCH($G126,项目名表,0))),"※项目不在项目台账里",IF(AND(LEFT($F126,3)="成本-",$G126=""),"※成本类支出没填项目",IF(AND(LEFT($F126,3)="成本-",$H126&lt;&gt;"",N($K126)&gt;0,COUNTIFS(采购单!$B:$B,$B126,采购单!$C:$C,$H126,采购单!$L:$L,$K126)&gt;0),"※这笔可能和采购单重复了",""))))))))))</f>
        <v/>
      </c>
    </row>
    <row r="127">
      <c r="A127" s="17">
        <f>IF($B127="","",ROW()-3)</f>
        <v/>
      </c>
      <c r="B127" s="18" t="n"/>
      <c r="C127" s="13" t="inlineStr">
        <is>
          <t>微信1</t>
        </is>
      </c>
      <c r="D127" s="13" t="inlineStr">
        <is>
          <t>支出</t>
        </is>
      </c>
      <c r="E127" s="13" t="inlineStr">
        <is>
          <t>主材采购</t>
        </is>
      </c>
      <c r="F127" s="17">
        <f>IF($E127="","",IFERROR(VLOOKUP($E127,类别归属,2,0),"※类别不在基础资料里"))</f>
        <v/>
      </c>
      <c r="G127" s="13" t="n"/>
      <c r="H127" s="13" t="n"/>
      <c r="I127" s="13" t="inlineStr">
        <is>
          <t>3.20-3.5cm彩钢螺丝2盒</t>
        </is>
      </c>
      <c r="J127" s="14" t="n"/>
      <c r="K127" s="14" t="n">
        <v>45</v>
      </c>
      <c r="L127" s="19">
        <f>IF($C127="","",ROUND(IFERROR(VLOOKUP($C127,账户期初,2,0),0)+SUMIFS($J$4:J127,$C$4:C127,$C127)-SUMIFS($K$4:K127,$C$4:C127,$C127),2))</f>
        <v/>
      </c>
      <c r="M127" s="19">
        <f>IF($C127="","",ROUND(SUM(基础资料!$B$4:$B$13)+SUM($J$4:J127)-SUM($K$4:K127),2))</f>
        <v/>
      </c>
      <c r="N127" s="13" t="n"/>
      <c r="O127" s="13" t="inlineStr">
        <is>
          <t>公司</t>
        </is>
      </c>
      <c r="P127" s="17">
        <f>IF($B127="","",IF($F127="※类别不在基础资料里","※费用类别不在基础资料里",IF(AND(N($J127)=0,N($K127)=0),"※这行没填金额",IF(AND(N($J127)&gt;0,N($K127)&gt;0),"※收入和支出不能同一行都填",IF(AND($D127="收入",N($J127)=0),"※收入行要填收入金额",IF(AND($D127="支出",N($K127)=0),"※支出行要填支出金额",IF(AND($C127&lt;&gt;"",ISNA(MATCH($C127,账户表,0))),"※账户不在基础资料里",IF(AND($G127&lt;&gt;"",ISNA(MATCH($G127,项目名表,0))),"※项目不在项目台账里",IF(AND(LEFT($F127,3)="成本-",$G127=""),"※成本类支出没填项目",IF(AND(LEFT($F127,3)="成本-",$H127&lt;&gt;"",N($K127)&gt;0,COUNTIFS(采购单!$B:$B,$B127,采购单!$C:$C,$H127,采购单!$L:$L,$K127)&gt;0),"※这笔可能和采购单重复了",""))))))))))</f>
        <v/>
      </c>
    </row>
    <row r="128">
      <c r="A128" s="17">
        <f>IF($B128="","",ROW()-3)</f>
        <v/>
      </c>
      <c r="B128" s="18" t="n"/>
      <c r="C128" s="13" t="inlineStr">
        <is>
          <t>微信1</t>
        </is>
      </c>
      <c r="D128" s="13" t="inlineStr">
        <is>
          <t>支出</t>
        </is>
      </c>
      <c r="E128" s="13" t="inlineStr">
        <is>
          <t>主材采购</t>
        </is>
      </c>
      <c r="F128" s="17">
        <f>IF($E128="","",IFERROR(VLOOKUP($E128,类别归属,2,0),"※类别不在基础资料里"))</f>
        <v/>
      </c>
      <c r="G128" s="13" t="inlineStr">
        <is>
          <t>织里店</t>
        </is>
      </c>
      <c r="H128" s="13" t="n"/>
      <c r="I128" s="13" t="inlineStr">
        <is>
          <t>3.20织里店门头软膜灯箱辅材</t>
        </is>
      </c>
      <c r="J128" s="14" t="n"/>
      <c r="K128" s="14" t="n">
        <v>130</v>
      </c>
      <c r="L128" s="19">
        <f>IF($C128="","",ROUND(IFERROR(VLOOKUP($C128,账户期初,2,0),0)+SUMIFS($J$4:J128,$C$4:C128,$C128)-SUMIFS($K$4:K128,$C$4:C128,$C128),2))</f>
        <v/>
      </c>
      <c r="M128" s="19">
        <f>IF($C128="","",ROUND(SUM(基础资料!$B$4:$B$13)+SUM($J$4:J128)-SUM($K$4:K128),2))</f>
        <v/>
      </c>
      <c r="N128" s="13" t="n"/>
      <c r="O128" s="13" t="inlineStr">
        <is>
          <t>织里店安装软膜灯箱</t>
        </is>
      </c>
      <c r="P128" s="17">
        <f>IF($B128="","",IF($F128="※类别不在基础资料里","※费用类别不在基础资料里",IF(AND(N($J128)=0,N($K128)=0),"※这行没填金额",IF(AND(N($J128)&gt;0,N($K128)&gt;0),"※收入和支出不能同一行都填",IF(AND($D128="收入",N($J128)=0),"※收入行要填收入金额",IF(AND($D128="支出",N($K128)=0),"※支出行要填支出金额",IF(AND($C128&lt;&gt;"",ISNA(MATCH($C128,账户表,0))),"※账户不在基础资料里",IF(AND($G128&lt;&gt;"",ISNA(MATCH($G128,项目名表,0))),"※项目不在项目台账里",IF(AND(LEFT($F128,3)="成本-",$G128=""),"※成本类支出没填项目",IF(AND(LEFT($F128,3)="成本-",$H128&lt;&gt;"",N($K128)&gt;0,COUNTIFS(采购单!$B:$B,$B128,采购单!$C:$C,$H128,采购单!$L:$L,$K128)&gt;0),"※这笔可能和采购单重复了",""))))))))))</f>
        <v/>
      </c>
    </row>
    <row r="129">
      <c r="A129" s="17">
        <f>IF($B129="","",ROW()-3)</f>
        <v/>
      </c>
      <c r="B129" s="18" t="n"/>
      <c r="C129" s="13" t="inlineStr">
        <is>
          <t>微信1</t>
        </is>
      </c>
      <c r="D129" s="13" t="inlineStr">
        <is>
          <t>支出</t>
        </is>
      </c>
      <c r="E129" s="13" t="inlineStr">
        <is>
          <t>安装工资</t>
        </is>
      </c>
      <c r="F129" s="17">
        <f>IF($E129="","",IFERROR(VLOOKUP($E129,类别归属,2,0),"※类别不在基础资料里"))</f>
        <v/>
      </c>
      <c r="G129" s="13" t="n"/>
      <c r="H129" s="13" t="n"/>
      <c r="I129" s="13" t="inlineStr">
        <is>
          <t>3.21外叫人员餐费2人</t>
        </is>
      </c>
      <c r="J129" s="14" t="n"/>
      <c r="K129" s="14" t="n">
        <v>36</v>
      </c>
      <c r="L129" s="19">
        <f>IF($C129="","",ROUND(IFERROR(VLOOKUP($C129,账户期初,2,0),0)+SUMIFS($J$4:J129,$C$4:C129,$C129)-SUMIFS($K$4:K129,$C$4:C129,$C129),2))</f>
        <v/>
      </c>
      <c r="M129" s="19">
        <f>IF($C129="","",ROUND(SUM(基础资料!$B$4:$B$13)+SUM($J$4:J129)-SUM($K$4:K129),2))</f>
        <v/>
      </c>
      <c r="N129" s="13" t="n"/>
      <c r="O129" s="13" t="inlineStr">
        <is>
          <t>织里店安装发光字</t>
        </is>
      </c>
      <c r="P129" s="17">
        <f>IF($B129="","",IF($F129="※类别不在基础资料里","※费用类别不在基础资料里",IF(AND(N($J129)=0,N($K129)=0),"※这行没填金额",IF(AND(N($J129)&gt;0,N($K129)&gt;0),"※收入和支出不能同一行都填",IF(AND($D129="收入",N($J129)=0),"※收入行要填收入金额",IF(AND($D129="支出",N($K129)=0),"※支出行要填支出金额",IF(AND($C129&lt;&gt;"",ISNA(MATCH($C129,账户表,0))),"※账户不在基础资料里",IF(AND($G129&lt;&gt;"",ISNA(MATCH($G129,项目名表,0))),"※项目不在项目台账里",IF(AND(LEFT($F129,3)="成本-",$G129=""),"※成本类支出没填项目",IF(AND(LEFT($F129,3)="成本-",$H129&lt;&gt;"",N($K129)&gt;0,COUNTIFS(采购单!$B:$B,$B129,采购单!$C:$C,$H129,采购单!$L:$L,$K129)&gt;0),"※这笔可能和采购单重复了",""))))))))))</f>
        <v/>
      </c>
    </row>
    <row r="130">
      <c r="A130" s="17">
        <f>IF($B130="","",ROW()-3)</f>
        <v/>
      </c>
      <c r="B130" s="18" t="n"/>
      <c r="C130" s="13" t="inlineStr">
        <is>
          <t>微信1</t>
        </is>
      </c>
      <c r="D130" s="13" t="inlineStr">
        <is>
          <t>支出</t>
        </is>
      </c>
      <c r="E130" s="13" t="inlineStr">
        <is>
          <t>车费/油费/过路费</t>
        </is>
      </c>
      <c r="F130" s="17">
        <f>IF($E130="","",IFERROR(VLOOKUP($E130,类别归属,2,0),"※类别不在基础资料里"))</f>
        <v/>
      </c>
      <c r="G130" s="13" t="inlineStr">
        <is>
          <t>织里店</t>
        </is>
      </c>
      <c r="H130" s="13" t="n"/>
      <c r="I130" s="13" t="inlineStr">
        <is>
          <t>3.21停车费</t>
        </is>
      </c>
      <c r="J130" s="14" t="n"/>
      <c r="K130" s="14" t="n">
        <v>20</v>
      </c>
      <c r="L130" s="19">
        <f>IF($C130="","",ROUND(IFERROR(VLOOKUP($C130,账户期初,2,0),0)+SUMIFS($J$4:J130,$C$4:C130,$C130)-SUMIFS($K$4:K130,$C$4:C130,$C130),2))</f>
        <v/>
      </c>
      <c r="M130" s="19">
        <f>IF($C130="","",ROUND(SUM(基础资料!$B$4:$B$13)+SUM($J$4:J130)-SUM($K$4:K130),2))</f>
        <v/>
      </c>
      <c r="N130" s="13" t="n"/>
      <c r="O130" s="13" t="inlineStr">
        <is>
          <t>织里店安装发光字</t>
        </is>
      </c>
      <c r="P130" s="17">
        <f>IF($B130="","",IF($F130="※类别不在基础资料里","※费用类别不在基础资料里",IF(AND(N($J130)=0,N($K130)=0),"※这行没填金额",IF(AND(N($J130)&gt;0,N($K130)&gt;0),"※收入和支出不能同一行都填",IF(AND($D130="收入",N($J130)=0),"※收入行要填收入金额",IF(AND($D130="支出",N($K130)=0),"※支出行要填支出金额",IF(AND($C130&lt;&gt;"",ISNA(MATCH($C130,账户表,0))),"※账户不在基础资料里",IF(AND($G130&lt;&gt;"",ISNA(MATCH($G130,项目名表,0))),"※项目不在项目台账里",IF(AND(LEFT($F130,3)="成本-",$G130=""),"※成本类支出没填项目",IF(AND(LEFT($F130,3)="成本-",$H130&lt;&gt;"",N($K130)&gt;0,COUNTIFS(采购单!$B:$B,$B130,采购单!$C:$C,$H130,采购单!$L:$L,$K130)&gt;0),"※这笔可能和采购单重复了",""))))))))))</f>
        <v/>
      </c>
    </row>
    <row r="131">
      <c r="A131" s="17">
        <f>IF($B131="","",ROW()-3)</f>
        <v/>
      </c>
      <c r="B131" s="18" t="n"/>
      <c r="C131" s="13" t="inlineStr">
        <is>
          <t>微信1</t>
        </is>
      </c>
      <c r="D131" s="13" t="inlineStr">
        <is>
          <t>支出</t>
        </is>
      </c>
      <c r="E131" s="13" t="inlineStr">
        <is>
          <t>运费/快递费</t>
        </is>
      </c>
      <c r="F131" s="17">
        <f>IF($E131="","",IFERROR(VLOOKUP($E131,类别归属,2,0),"※类别不在基础资料里"))</f>
        <v/>
      </c>
      <c r="G131" s="13" t="inlineStr">
        <is>
          <t>铁柱烧烤店</t>
        </is>
      </c>
      <c r="H131" s="13" t="n"/>
      <c r="I131" s="13" t="inlineStr">
        <is>
          <t>3.21顺丰快递费</t>
        </is>
      </c>
      <c r="J131" s="14" t="n"/>
      <c r="K131" s="14" t="n">
        <v>16.1</v>
      </c>
      <c r="L131" s="19">
        <f>IF($C131="","",ROUND(IFERROR(VLOOKUP($C131,账户期初,2,0),0)+SUMIFS($J$4:J131,$C$4:C131,$C131)-SUMIFS($K$4:K131,$C$4:C131,$C131),2))</f>
        <v/>
      </c>
      <c r="M131" s="19">
        <f>IF($C131="","",ROUND(SUM(基础资料!$B$4:$B$13)+SUM($J$4:J131)-SUM($K$4:K131),2))</f>
        <v/>
      </c>
      <c r="N131" s="13" t="n"/>
      <c r="O131" s="13" t="inlineStr">
        <is>
          <t>铁柱烧烤样品</t>
        </is>
      </c>
      <c r="P131" s="17">
        <f>IF($B131="","",IF($F131="※类别不在基础资料里","※费用类别不在基础资料里",IF(AND(N($J131)=0,N($K131)=0),"※这行没填金额",IF(AND(N($J131)&gt;0,N($K131)&gt;0),"※收入和支出不能同一行都填",IF(AND($D131="收入",N($J131)=0),"※收入行要填收入金额",IF(AND($D131="支出",N($K131)=0),"※支出行要填支出金额",IF(AND($C131&lt;&gt;"",ISNA(MATCH($C131,账户表,0))),"※账户不在基础资料里",IF(AND($G131&lt;&gt;"",ISNA(MATCH($G131,项目名表,0))),"※项目不在项目台账里",IF(AND(LEFT($F131,3)="成本-",$G131=""),"※成本类支出没填项目",IF(AND(LEFT($F131,3)="成本-",$H131&lt;&gt;"",N($K131)&gt;0,COUNTIFS(采购单!$B:$B,$B131,采购单!$C:$C,$H131,采购单!$L:$L,$K131)&gt;0),"※这笔可能和采购单重复了",""))))))))))</f>
        <v/>
      </c>
    </row>
    <row r="132">
      <c r="A132" s="17">
        <f>IF($B132="","",ROW()-3)</f>
        <v/>
      </c>
      <c r="B132" s="18" t="n"/>
      <c r="C132" s="13" t="inlineStr">
        <is>
          <t>微信1</t>
        </is>
      </c>
      <c r="D132" s="13" t="inlineStr">
        <is>
          <t>支出</t>
        </is>
      </c>
      <c r="E132" s="13" t="inlineStr">
        <is>
          <t>运费/快递费</t>
        </is>
      </c>
      <c r="F132" s="17">
        <f>IF($E132="","",IFERROR(VLOOKUP($E132,类别归属,2,0),"※类别不在基础资料里"))</f>
        <v/>
      </c>
      <c r="G132" s="13" t="inlineStr">
        <is>
          <t>织里店</t>
        </is>
      </c>
      <c r="H132" s="13" t="n"/>
      <c r="I132" s="13" t="inlineStr">
        <is>
          <t>3.2货拉拉运费</t>
        </is>
      </c>
      <c r="J132" s="14" t="n"/>
      <c r="K132" s="14" t="n">
        <v>51.56</v>
      </c>
      <c r="L132" s="19">
        <f>IF($C132="","",ROUND(IFERROR(VLOOKUP($C132,账户期初,2,0),0)+SUMIFS($J$4:J132,$C$4:C132,$C132)-SUMIFS($K$4:K132,$C$4:C132,$C132),2))</f>
        <v/>
      </c>
      <c r="M132" s="19">
        <f>IF($C132="","",ROUND(SUM(基础资料!$B$4:$B$13)+SUM($J$4:J132)-SUM($K$4:K132),2))</f>
        <v/>
      </c>
      <c r="N132" s="13" t="n"/>
      <c r="O132" s="13" t="inlineStr">
        <is>
          <t>织里店门头铝塑板</t>
        </is>
      </c>
      <c r="P132" s="17">
        <f>IF($B132="","",IF($F132="※类别不在基础资料里","※费用类别不在基础资料里",IF(AND(N($J132)=0,N($K132)=0),"※这行没填金额",IF(AND(N($J132)&gt;0,N($K132)&gt;0),"※收入和支出不能同一行都填",IF(AND($D132="收入",N($J132)=0),"※收入行要填收入金额",IF(AND($D132="支出",N($K132)=0),"※支出行要填支出金额",IF(AND($C132&lt;&gt;"",ISNA(MATCH($C132,账户表,0))),"※账户不在基础资料里",IF(AND($G132&lt;&gt;"",ISNA(MATCH($G132,项目名表,0))),"※项目不在项目台账里",IF(AND(LEFT($F132,3)="成本-",$G132=""),"※成本类支出没填项目",IF(AND(LEFT($F132,3)="成本-",$H132&lt;&gt;"",N($K132)&gt;0,COUNTIFS(采购单!$B:$B,$B132,采购单!$C:$C,$H132,采购单!$L:$L,$K132)&gt;0),"※这笔可能和采购单重复了",""))))))))))</f>
        <v/>
      </c>
    </row>
    <row r="133">
      <c r="A133" s="17">
        <f>IF($B133="","",ROW()-3)</f>
        <v/>
      </c>
      <c r="B133" s="18" t="n"/>
      <c r="C133" s="13" t="inlineStr">
        <is>
          <t>微信1</t>
        </is>
      </c>
      <c r="D133" s="13" t="inlineStr">
        <is>
          <t>支出</t>
        </is>
      </c>
      <c r="E133" s="13" t="inlineStr">
        <is>
          <t>安装工资</t>
        </is>
      </c>
      <c r="F133" s="17">
        <f>IF($E133="","",IFERROR(VLOOKUP($E133,类别归属,2,0),"※类别不在基础资料里"))</f>
        <v/>
      </c>
      <c r="G133" s="13" t="n"/>
      <c r="H133" s="13" t="n"/>
      <c r="I133" s="13" t="inlineStr">
        <is>
          <t>3.22外叫人员餐费人</t>
        </is>
      </c>
      <c r="J133" s="14" t="n"/>
      <c r="K133" s="14" t="n">
        <v>18</v>
      </c>
      <c r="L133" s="19">
        <f>IF($C133="","",ROUND(IFERROR(VLOOKUP($C133,账户期初,2,0),0)+SUMIFS($J$4:J133,$C$4:C133,$C133)-SUMIFS($K$4:K133,$C$4:C133,$C133),2))</f>
        <v/>
      </c>
      <c r="M133" s="19">
        <f>IF($C133="","",ROUND(SUM(基础资料!$B$4:$B$13)+SUM($J$4:J133)-SUM($K$4:K133),2))</f>
        <v/>
      </c>
      <c r="N133" s="13" t="n"/>
      <c r="O133" s="13" t="inlineStr">
        <is>
          <t>织里店安装软膜灯箱</t>
        </is>
      </c>
      <c r="P133" s="17">
        <f>IF($B133="","",IF($F133="※类别不在基础资料里","※费用类别不在基础资料里",IF(AND(N($J133)=0,N($K133)=0),"※这行没填金额",IF(AND(N($J133)&gt;0,N($K133)&gt;0),"※收入和支出不能同一行都填",IF(AND($D133="收入",N($J133)=0),"※收入行要填收入金额",IF(AND($D133="支出",N($K133)=0),"※支出行要填支出金额",IF(AND($C133&lt;&gt;"",ISNA(MATCH($C133,账户表,0))),"※账户不在基础资料里",IF(AND($G133&lt;&gt;"",ISNA(MATCH($G133,项目名表,0))),"※项目不在项目台账里",IF(AND(LEFT($F133,3)="成本-",$G133=""),"※成本类支出没填项目",IF(AND(LEFT($F133,3)="成本-",$H133&lt;&gt;"",N($K133)&gt;0,COUNTIFS(采购单!$B:$B,$B133,采购单!$C:$C,$H133,采购单!$L:$L,$K133)&gt;0),"※这笔可能和采购单重复了",""))))))))))</f>
        <v/>
      </c>
    </row>
    <row r="134">
      <c r="A134" s="17">
        <f>IF($B134="","",ROW()-3)</f>
        <v/>
      </c>
      <c r="B134" s="18" t="n"/>
      <c r="C134" s="13" t="inlineStr">
        <is>
          <t>微信1</t>
        </is>
      </c>
      <c r="D134" s="13" t="inlineStr">
        <is>
          <t>支出</t>
        </is>
      </c>
      <c r="E134" s="13" t="inlineStr">
        <is>
          <t>主材采购</t>
        </is>
      </c>
      <c r="F134" s="17">
        <f>IF($E134="","",IFERROR(VLOOKUP($E134,类别归属,2,0),"※类别不在基础资料里"))</f>
        <v/>
      </c>
      <c r="G134" s="13" t="inlineStr">
        <is>
          <t>织里店</t>
        </is>
      </c>
      <c r="H134" s="13" t="n"/>
      <c r="I134" s="13" t="inlineStr">
        <is>
          <t>3.22筒灯6500K80mm5只</t>
        </is>
      </c>
      <c r="J134" s="14" t="n"/>
      <c r="K134" s="14" t="n">
        <v>50</v>
      </c>
      <c r="L134" s="19">
        <f>IF($C134="","",ROUND(IFERROR(VLOOKUP($C134,账户期初,2,0),0)+SUMIFS($J$4:J134,$C$4:C134,$C134)-SUMIFS($K$4:K134,$C$4:C134,$C134),2))</f>
        <v/>
      </c>
      <c r="M134" s="19">
        <f>IF($C134="","",ROUND(SUM(基础资料!$B$4:$B$13)+SUM($J$4:J134)-SUM($K$4:K134),2))</f>
        <v/>
      </c>
      <c r="N134" s="13" t="n"/>
      <c r="O134" s="13" t="inlineStr">
        <is>
          <t>织里店安装软膜灯箱</t>
        </is>
      </c>
      <c r="P134" s="17">
        <f>IF($B134="","",IF($F134="※类别不在基础资料里","※费用类别不在基础资料里",IF(AND(N($J134)=0,N($K134)=0),"※这行没填金额",IF(AND(N($J134)&gt;0,N($K134)&gt;0),"※收入和支出不能同一行都填",IF(AND($D134="收入",N($J134)=0),"※收入行要填收入金额",IF(AND($D134="支出",N($K134)=0),"※支出行要填支出金额",IF(AND($C134&lt;&gt;"",ISNA(MATCH($C134,账户表,0))),"※账户不在基础资料里",IF(AND($G134&lt;&gt;"",ISNA(MATCH($G134,项目名表,0))),"※项目不在项目台账里",IF(AND(LEFT($F134,3)="成本-",$G134=""),"※成本类支出没填项目",IF(AND(LEFT($F134,3)="成本-",$H134&lt;&gt;"",N($K134)&gt;0,COUNTIFS(采购单!$B:$B,$B134,采购单!$C:$C,$H134,采购单!$L:$L,$K134)&gt;0),"※这笔可能和采购单重复了",""))))))))))</f>
        <v/>
      </c>
    </row>
    <row r="135">
      <c r="A135" s="17">
        <f>IF($B135="","",ROW()-3)</f>
        <v/>
      </c>
      <c r="B135" s="18" t="n"/>
      <c r="C135" s="13" t="inlineStr">
        <is>
          <t>微信1</t>
        </is>
      </c>
      <c r="D135" s="13" t="inlineStr">
        <is>
          <t>支出</t>
        </is>
      </c>
      <c r="E135" s="13" t="inlineStr">
        <is>
          <t>主材采购</t>
        </is>
      </c>
      <c r="F135" s="17">
        <f>IF($E135="","",IFERROR(VLOOKUP($E135,类别归属,2,0),"※类别不在基础资料里"))</f>
        <v/>
      </c>
      <c r="G135" s="13" t="inlineStr">
        <is>
          <t>织里店</t>
        </is>
      </c>
      <c r="H135" s="13" t="n"/>
      <c r="I135" s="13" t="inlineStr">
        <is>
          <t>3.22彩钢瓦</t>
        </is>
      </c>
      <c r="J135" s="14" t="n"/>
      <c r="K135" s="14" t="n">
        <v>63</v>
      </c>
      <c r="L135" s="19">
        <f>IF($C135="","",ROUND(IFERROR(VLOOKUP($C135,账户期初,2,0),0)+SUMIFS($J$4:J135,$C$4:C135,$C135)-SUMIFS($K$4:K135,$C$4:C135,$C135),2))</f>
        <v/>
      </c>
      <c r="M135" s="19">
        <f>IF($C135="","",ROUND(SUM(基础资料!$B$4:$B$13)+SUM($J$4:J135)-SUM($K$4:K135),2))</f>
        <v/>
      </c>
      <c r="N135" s="13" t="n"/>
      <c r="O135" s="13" t="inlineStr">
        <is>
          <t>织里店安装软膜灯箱</t>
        </is>
      </c>
      <c r="P135" s="17">
        <f>IF($B135="","",IF($F135="※类别不在基础资料里","※费用类别不在基础资料里",IF(AND(N($J135)=0,N($K135)=0),"※这行没填金额",IF(AND(N($J135)&gt;0,N($K135)&gt;0),"※收入和支出不能同一行都填",IF(AND($D135="收入",N($J135)=0),"※收入行要填收入金额",IF(AND($D135="支出",N($K135)=0),"※支出行要填支出金额",IF(AND($C135&lt;&gt;"",ISNA(MATCH($C135,账户表,0))),"※账户不在基础资料里",IF(AND($G135&lt;&gt;"",ISNA(MATCH($G135,项目名表,0))),"※项目不在项目台账里",IF(AND(LEFT($F135,3)="成本-",$G135=""),"※成本类支出没填项目",IF(AND(LEFT($F135,3)="成本-",$H135&lt;&gt;"",N($K135)&gt;0,COUNTIFS(采购单!$B:$B,$B135,采购单!$C:$C,$H135,采购单!$L:$L,$K135)&gt;0),"※这笔可能和采购单重复了",""))))))))))</f>
        <v/>
      </c>
    </row>
    <row r="136">
      <c r="A136" s="17">
        <f>IF($B136="","",ROW()-3)</f>
        <v/>
      </c>
      <c r="B136" s="18" t="n"/>
      <c r="C136" s="13" t="inlineStr">
        <is>
          <t>微信1</t>
        </is>
      </c>
      <c r="D136" s="13" t="inlineStr">
        <is>
          <t>支出</t>
        </is>
      </c>
      <c r="E136" s="13" t="inlineStr">
        <is>
          <t>主材采购</t>
        </is>
      </c>
      <c r="F136" s="17">
        <f>IF($E136="","",IFERROR(VLOOKUP($E136,类别归属,2,0),"※类别不在基础资料里"))</f>
        <v/>
      </c>
      <c r="G136" s="13" t="inlineStr">
        <is>
          <t>每甜</t>
        </is>
      </c>
      <c r="H136" s="13" t="n"/>
      <c r="I136" s="13" t="inlineStr">
        <is>
          <t>3.22电表，空开，时空</t>
        </is>
      </c>
      <c r="J136" s="14" t="n"/>
      <c r="K136" s="14" t="n">
        <v>108</v>
      </c>
      <c r="L136" s="19">
        <f>IF($C136="","",ROUND(IFERROR(VLOOKUP($C136,账户期初,2,0),0)+SUMIFS($J$4:J136,$C$4:C136,$C136)-SUMIFS($K$4:K136,$C$4:C136,$C136),2))</f>
        <v/>
      </c>
      <c r="M136" s="19">
        <f>IF($C136="","",ROUND(SUM(基础资料!$B$4:$B$13)+SUM($J$4:J136)-SUM($K$4:K136),2))</f>
        <v/>
      </c>
      <c r="N136" s="13" t="n"/>
      <c r="O136" s="13" t="inlineStr">
        <is>
          <t>万达每甜</t>
        </is>
      </c>
      <c r="P136" s="17">
        <f>IF($B136="","",IF($F136="※类别不在基础资料里","※费用类别不在基础资料里",IF(AND(N($J136)=0,N($K136)=0),"※这行没填金额",IF(AND(N($J136)&gt;0,N($K136)&gt;0),"※收入和支出不能同一行都填",IF(AND($D136="收入",N($J136)=0),"※收入行要填收入金额",IF(AND($D136="支出",N($K136)=0),"※支出行要填支出金额",IF(AND($C136&lt;&gt;"",ISNA(MATCH($C136,账户表,0))),"※账户不在基础资料里",IF(AND($G136&lt;&gt;"",ISNA(MATCH($G136,项目名表,0))),"※项目不在项目台账里",IF(AND(LEFT($F136,3)="成本-",$G136=""),"※成本类支出没填项目",IF(AND(LEFT($F136,3)="成本-",$H136&lt;&gt;"",N($K136)&gt;0,COUNTIFS(采购单!$B:$B,$B136,采购单!$C:$C,$H136,采购单!$L:$L,$K136)&gt;0),"※这笔可能和采购单重复了",""))))))))))</f>
        <v/>
      </c>
    </row>
    <row r="137">
      <c r="A137" s="17">
        <f>IF($B137="","",ROW()-3)</f>
        <v/>
      </c>
      <c r="B137" s="18" t="n"/>
      <c r="C137" s="13" t="inlineStr">
        <is>
          <t>微信1</t>
        </is>
      </c>
      <c r="D137" s="13" t="inlineStr">
        <is>
          <t>支出</t>
        </is>
      </c>
      <c r="E137" s="13" t="inlineStr">
        <is>
          <t>主材采购</t>
        </is>
      </c>
      <c r="F137" s="17">
        <f>IF($E137="","",IFERROR(VLOOKUP($E137,类别归属,2,0),"※类别不在基础资料里"))</f>
        <v/>
      </c>
      <c r="G137" s="13" t="inlineStr">
        <is>
          <t>每甜</t>
        </is>
      </c>
      <c r="H137" s="13" t="n"/>
      <c r="I137" s="13" t="inlineStr">
        <is>
          <t>3.22万达安装工人保险</t>
        </is>
      </c>
      <c r="J137" s="14" t="n"/>
      <c r="K137" s="14" t="n">
        <v>10</v>
      </c>
      <c r="L137" s="19">
        <f>IF($C137="","",ROUND(IFERROR(VLOOKUP($C137,账户期初,2,0),0)+SUMIFS($J$4:J137,$C$4:C137,$C137)-SUMIFS($K$4:K137,$C$4:C137,$C137),2))</f>
        <v/>
      </c>
      <c r="M137" s="19">
        <f>IF($C137="","",ROUND(SUM(基础资料!$B$4:$B$13)+SUM($J$4:J137)-SUM($K$4:K137),2))</f>
        <v/>
      </c>
      <c r="N137" s="13" t="n"/>
      <c r="O137" s="13" t="inlineStr">
        <is>
          <t>万达每甜</t>
        </is>
      </c>
      <c r="P137" s="17">
        <f>IF($B137="","",IF($F137="※类别不在基础资料里","※费用类别不在基础资料里",IF(AND(N($J137)=0,N($K137)=0),"※这行没填金额",IF(AND(N($J137)&gt;0,N($K137)&gt;0),"※收入和支出不能同一行都填",IF(AND($D137="收入",N($J137)=0),"※收入行要填收入金额",IF(AND($D137="支出",N($K137)=0),"※支出行要填支出金额",IF(AND($C137&lt;&gt;"",ISNA(MATCH($C137,账户表,0))),"※账户不在基础资料里",IF(AND($G137&lt;&gt;"",ISNA(MATCH($G137,项目名表,0))),"※项目不在项目台账里",IF(AND(LEFT($F137,3)="成本-",$G137=""),"※成本类支出没填项目",IF(AND(LEFT($F137,3)="成本-",$H137&lt;&gt;"",N($K137)&gt;0,COUNTIFS(采购单!$B:$B,$B137,采购单!$C:$C,$H137,采购单!$L:$L,$K137)&gt;0),"※这笔可能和采购单重复了",""))))))))))</f>
        <v/>
      </c>
    </row>
    <row r="138">
      <c r="A138" s="17">
        <f>IF($B138="","",ROW()-3)</f>
        <v/>
      </c>
      <c r="B138" s="18" t="n">
        <v>46104</v>
      </c>
      <c r="C138" s="13" t="inlineStr">
        <is>
          <t>微信1</t>
        </is>
      </c>
      <c r="D138" s="13" t="inlineStr">
        <is>
          <t>支出</t>
        </is>
      </c>
      <c r="E138" s="13" t="inlineStr">
        <is>
          <t>运费/快递费</t>
        </is>
      </c>
      <c r="F138" s="17">
        <f>IF($E138="","",IFERROR(VLOOKUP($E138,类别归属,2,0),"※类别不在基础资料里"))</f>
        <v/>
      </c>
      <c r="G138" s="13" t="inlineStr">
        <is>
          <t>织里店</t>
        </is>
      </c>
      <c r="H138" s="13" t="inlineStr">
        <is>
          <t>炳秀</t>
        </is>
      </c>
      <c r="I138" s="13" t="inlineStr">
        <is>
          <t>付炳秀配送</t>
        </is>
      </c>
      <c r="J138" s="14" t="n"/>
      <c r="K138" s="14" t="n">
        <v>35</v>
      </c>
      <c r="L138" s="19">
        <f>IF($C138="","",ROUND(IFERROR(VLOOKUP($C138,账户期初,2,0),0)+SUMIFS($J$4:J138,$C$4:C138,$C138)-SUMIFS($K$4:K138,$C$4:C138,$C138),2))</f>
        <v/>
      </c>
      <c r="M138" s="19">
        <f>IF($C138="","",ROUND(SUM(基础资料!$B$4:$B$13)+SUM($J$4:J138)-SUM($K$4:K138),2))</f>
        <v/>
      </c>
      <c r="N138" s="13" t="n"/>
      <c r="O138" s="13" t="n"/>
      <c r="P138" s="17">
        <f>IF($B138="","",IF($F138="※类别不在基础资料里","※费用类别不在基础资料里",IF(AND(N($J138)=0,N($K138)=0),"※这行没填金额",IF(AND(N($J138)&gt;0,N($K138)&gt;0),"※收入和支出不能同一行都填",IF(AND($D138="收入",N($J138)=0),"※收入行要填收入金额",IF(AND($D138="支出",N($K138)=0),"※支出行要填支出金额",IF(AND($C138&lt;&gt;"",ISNA(MATCH($C138,账户表,0))),"※账户不在基础资料里",IF(AND($G138&lt;&gt;"",ISNA(MATCH($G138,项目名表,0))),"※项目不在项目台账里",IF(AND(LEFT($F138,3)="成本-",$G138=""),"※成本类支出没填项目",IF(AND(LEFT($F138,3)="成本-",$H138&lt;&gt;"",N($K138)&gt;0,COUNTIFS(采购单!$B:$B,$B138,采购单!$C:$C,$H138,采购单!$L:$L,$K138)&gt;0),"※这笔可能和采购单重复了",""))))))))))</f>
        <v/>
      </c>
    </row>
    <row r="139">
      <c r="A139" s="17">
        <f>IF($B139="","",ROW()-3)</f>
        <v/>
      </c>
      <c r="B139" s="18" t="n">
        <v>46105</v>
      </c>
      <c r="C139" s="13" t="inlineStr">
        <is>
          <t>微信1</t>
        </is>
      </c>
      <c r="D139" s="13" t="inlineStr">
        <is>
          <t>收入</t>
        </is>
      </c>
      <c r="E139" s="13" t="inlineStr">
        <is>
          <t>项目收款</t>
        </is>
      </c>
      <c r="F139" s="17">
        <f>IF($E139="","",IFERROR(VLOOKUP($E139,类别归属,2,0),"※类别不在基础资料里"))</f>
        <v/>
      </c>
      <c r="G139" s="13" t="inlineStr">
        <is>
          <t>盐池滩羊</t>
        </is>
      </c>
      <c r="H139" s="13" t="n"/>
      <c r="I139" s="13" t="inlineStr">
        <is>
          <t>宝玥盐池</t>
        </is>
      </c>
      <c r="J139" s="14" t="n">
        <v>160</v>
      </c>
      <c r="K139" s="14" t="n"/>
      <c r="L139" s="19">
        <f>IF($C139="","",ROUND(IFERROR(VLOOKUP($C139,账户期初,2,0),0)+SUMIFS($J$4:J139,$C$4:C139,$C139)-SUMIFS($K$4:K139,$C$4:C139,$C139),2))</f>
        <v/>
      </c>
      <c r="M139" s="19">
        <f>IF($C139="","",ROUND(SUM(基础资料!$B$4:$B$13)+SUM($J$4:J139)-SUM($K$4:K139),2))</f>
        <v/>
      </c>
      <c r="N139" s="13" t="n"/>
      <c r="O139" s="13" t="n"/>
      <c r="P139" s="17">
        <f>IF($B139="","",IF($F139="※类别不在基础资料里","※费用类别不在基础资料里",IF(AND(N($J139)=0,N($K139)=0),"※这行没填金额",IF(AND(N($J139)&gt;0,N($K139)&gt;0),"※收入和支出不能同一行都填",IF(AND($D139="收入",N($J139)=0),"※收入行要填收入金额",IF(AND($D139="支出",N($K139)=0),"※支出行要填支出金额",IF(AND($C139&lt;&gt;"",ISNA(MATCH($C139,账户表,0))),"※账户不在基础资料里",IF(AND($G139&lt;&gt;"",ISNA(MATCH($G139,项目名表,0))),"※项目不在项目台账里",IF(AND(LEFT($F139,3)="成本-",$G139=""),"※成本类支出没填项目",IF(AND(LEFT($F139,3)="成本-",$H139&lt;&gt;"",N($K139)&gt;0,COUNTIFS(采购单!$B:$B,$B139,采购单!$C:$C,$H139,采购单!$L:$L,$K139)&gt;0),"※这笔可能和采购单重复了",""))))))))))</f>
        <v/>
      </c>
    </row>
    <row r="140">
      <c r="A140" s="17">
        <f>IF($B140="","",ROW()-3)</f>
        <v/>
      </c>
      <c r="B140" s="18" t="n">
        <v>46105</v>
      </c>
      <c r="C140" s="13" t="inlineStr">
        <is>
          <t>微信1</t>
        </is>
      </c>
      <c r="D140" s="13" t="inlineStr">
        <is>
          <t>支出</t>
        </is>
      </c>
      <c r="E140" s="13" t="inlineStr">
        <is>
          <t>运费/快递费</t>
        </is>
      </c>
      <c r="F140" s="17">
        <f>IF($E140="","",IFERROR(VLOOKUP($E140,类别归属,2,0),"※类别不在基础资料里"))</f>
        <v/>
      </c>
      <c r="G140" s="13" t="inlineStr">
        <is>
          <t>汕味杏花室内项目</t>
        </is>
      </c>
      <c r="H140" s="13" t="inlineStr">
        <is>
          <t>炳秀</t>
        </is>
      </c>
      <c r="I140" s="13" t="inlineStr">
        <is>
          <t>付炳秀配送</t>
        </is>
      </c>
      <c r="J140" s="14" t="n"/>
      <c r="K140" s="14" t="n">
        <v>165</v>
      </c>
      <c r="L140" s="19">
        <f>IF($C140="","",ROUND(IFERROR(VLOOKUP($C140,账户期初,2,0),0)+SUMIFS($J$4:J140,$C$4:C140,$C140)-SUMIFS($K$4:K140,$C$4:C140,$C140),2))</f>
        <v/>
      </c>
      <c r="M140" s="19">
        <f>IF($C140="","",ROUND(SUM(基础资料!$B$4:$B$13)+SUM($J$4:J140)-SUM($K$4:K140),2))</f>
        <v/>
      </c>
      <c r="N140" s="13" t="n"/>
      <c r="O140" s="13" t="inlineStr">
        <is>
          <t>351</t>
        </is>
      </c>
      <c r="P140" s="17">
        <f>IF($B140="","",IF($F140="※类别不在基础资料里","※费用类别不在基础资料里",IF(AND(N($J140)=0,N($K140)=0),"※这行没填金额",IF(AND(N($J140)&gt;0,N($K140)&gt;0),"※收入和支出不能同一行都填",IF(AND($D140="收入",N($J140)=0),"※收入行要填收入金额",IF(AND($D140="支出",N($K140)=0),"※支出行要填支出金额",IF(AND($C140&lt;&gt;"",ISNA(MATCH($C140,账户表,0))),"※账户不在基础资料里",IF(AND($G140&lt;&gt;"",ISNA(MATCH($G140,项目名表,0))),"※项目不在项目台账里",IF(AND(LEFT($F140,3)="成本-",$G140=""),"※成本类支出没填项目",IF(AND(LEFT($F140,3)="成本-",$H140&lt;&gt;"",N($K140)&gt;0,COUNTIFS(采购单!$B:$B,$B140,采购单!$C:$C,$H140,采购单!$L:$L,$K140)&gt;0),"※这笔可能和采购单重复了",""))))))))))</f>
        <v/>
      </c>
    </row>
    <row r="141">
      <c r="A141" s="17">
        <f>IF($B141="","",ROW()-3)</f>
        <v/>
      </c>
      <c r="B141" s="18" t="n">
        <v>46105</v>
      </c>
      <c r="C141" s="13" t="inlineStr">
        <is>
          <t>微信1</t>
        </is>
      </c>
      <c r="D141" s="13" t="inlineStr">
        <is>
          <t>支出</t>
        </is>
      </c>
      <c r="E141" s="13" t="inlineStr">
        <is>
          <t>运费/快递费</t>
        </is>
      </c>
      <c r="F141" s="17">
        <f>IF($E141="","",IFERROR(VLOOKUP($E141,类别归属,2,0),"※类别不在基础资料里"))</f>
        <v/>
      </c>
      <c r="G141" s="13" t="inlineStr">
        <is>
          <t>织里店</t>
        </is>
      </c>
      <c r="H141" s="13" t="inlineStr">
        <is>
          <t>炳秀</t>
        </is>
      </c>
      <c r="I141" s="13" t="inlineStr">
        <is>
          <t>付炳秀配送</t>
        </is>
      </c>
      <c r="J141" s="14" t="n"/>
      <c r="K141" s="14" t="n">
        <v>186</v>
      </c>
      <c r="L141" s="19">
        <f>IF($C141="","",ROUND(IFERROR(VLOOKUP($C141,账户期初,2,0),0)+SUMIFS($J$4:J141,$C$4:C141,$C141)-SUMIFS($K$4:K141,$C$4:C141,$C141),2))</f>
        <v/>
      </c>
      <c r="M141" s="19">
        <f>IF($C141="","",ROUND(SUM(基础资料!$B$4:$B$13)+SUM($J$4:J141)-SUM($K$4:K141),2))</f>
        <v/>
      </c>
      <c r="N141" s="13" t="n"/>
      <c r="O141" s="13" t="n"/>
      <c r="P141" s="17">
        <f>IF($B141="","",IF($F141="※类别不在基础资料里","※费用类别不在基础资料里",IF(AND(N($J141)=0,N($K141)=0),"※这行没填金额",IF(AND(N($J141)&gt;0,N($K141)&gt;0),"※收入和支出不能同一行都填",IF(AND($D141="收入",N($J141)=0),"※收入行要填收入金额",IF(AND($D141="支出",N($K141)=0),"※支出行要填支出金额",IF(AND($C141&lt;&gt;"",ISNA(MATCH($C141,账户表,0))),"※账户不在基础资料里",IF(AND($G141&lt;&gt;"",ISNA(MATCH($G141,项目名表,0))),"※项目不在项目台账里",IF(AND(LEFT($F141,3)="成本-",$G141=""),"※成本类支出没填项目",IF(AND(LEFT($F141,3)="成本-",$H141&lt;&gt;"",N($K141)&gt;0,COUNTIFS(采购单!$B:$B,$B141,采购单!$C:$C,$H141,采购单!$L:$L,$K141)&gt;0),"※这笔可能和采购单重复了",""))))))))))</f>
        <v/>
      </c>
    </row>
    <row r="142">
      <c r="A142" s="17">
        <f>IF($B142="","",ROW()-3)</f>
        <v/>
      </c>
      <c r="B142" s="18" t="n">
        <v>46106</v>
      </c>
      <c r="C142" s="13" t="inlineStr">
        <is>
          <t>微信1</t>
        </is>
      </c>
      <c r="D142" s="13" t="inlineStr">
        <is>
          <t>支出</t>
        </is>
      </c>
      <c r="E142" s="13" t="inlineStr">
        <is>
          <t>安装工资</t>
        </is>
      </c>
      <c r="F142" s="17">
        <f>IF($E142="","",IFERROR(VLOOKUP($E142,类别归属,2,0),"※类别不在基础资料里"))</f>
        <v/>
      </c>
      <c r="G142" s="13" t="n"/>
      <c r="H142" s="13" t="n"/>
      <c r="I142" s="13" t="inlineStr">
        <is>
          <t>付章凡报销停车费等</t>
        </is>
      </c>
      <c r="J142" s="14" t="n"/>
      <c r="K142" s="14" t="n">
        <v>138</v>
      </c>
      <c r="L142" s="19">
        <f>IF($C142="","",ROUND(IFERROR(VLOOKUP($C142,账户期初,2,0),0)+SUMIFS($J$4:J142,$C$4:C142,$C142)-SUMIFS($K$4:K142,$C$4:C142,$C142),2))</f>
        <v/>
      </c>
      <c r="M142" s="19">
        <f>IF($C142="","",ROUND(SUM(基础资料!$B$4:$B$13)+SUM($J$4:J142)-SUM($K$4:K142),2))</f>
        <v/>
      </c>
      <c r="N142" s="13" t="n"/>
      <c r="O142" s="13" t="n"/>
      <c r="P142" s="17">
        <f>IF($B142="","",IF($F142="※类别不在基础资料里","※费用类别不在基础资料里",IF(AND(N($J142)=0,N($K142)=0),"※这行没填金额",IF(AND(N($J142)&gt;0,N($K142)&gt;0),"※收入和支出不能同一行都填",IF(AND($D142="收入",N($J142)=0),"※收入行要填收入金额",IF(AND($D142="支出",N($K142)=0),"※支出行要填支出金额",IF(AND($C142&lt;&gt;"",ISNA(MATCH($C142,账户表,0))),"※账户不在基础资料里",IF(AND($G142&lt;&gt;"",ISNA(MATCH($G142,项目名表,0))),"※项目不在项目台账里",IF(AND(LEFT($F142,3)="成本-",$G142=""),"※成本类支出没填项目",IF(AND(LEFT($F142,3)="成本-",$H142&lt;&gt;"",N($K142)&gt;0,COUNTIFS(采购单!$B:$B,$B142,采购单!$C:$C,$H142,采购单!$L:$L,$K142)&gt;0),"※这笔可能和采购单重复了",""))))))))))</f>
        <v/>
      </c>
    </row>
    <row r="143">
      <c r="A143" s="17">
        <f>IF($B143="","",ROW()-3)</f>
        <v/>
      </c>
      <c r="B143" s="18" t="n">
        <v>46106</v>
      </c>
      <c r="C143" s="13" t="inlineStr">
        <is>
          <t>微信1</t>
        </is>
      </c>
      <c r="D143" s="13" t="inlineStr">
        <is>
          <t>支出</t>
        </is>
      </c>
      <c r="E143" s="13" t="inlineStr">
        <is>
          <t>主材采购</t>
        </is>
      </c>
      <c r="F143" s="17">
        <f>IF($E143="","",IFERROR(VLOOKUP($E143,类别归属,2,0),"※类别不在基础资料里"))</f>
        <v/>
      </c>
      <c r="G143" s="13" t="n"/>
      <c r="H143" s="13" t="n"/>
      <c r="I143" s="13" t="inlineStr">
        <is>
          <t>006+233白色？？</t>
        </is>
      </c>
      <c r="J143" s="14" t="n"/>
      <c r="K143" s="14" t="n">
        <v>410</v>
      </c>
      <c r="L143" s="19">
        <f>IF($C143="","",ROUND(IFERROR(VLOOKUP($C143,账户期初,2,0),0)+SUMIFS($J$4:J143,$C$4:C143,$C143)-SUMIFS($K$4:K143,$C$4:C143,$C143),2))</f>
        <v/>
      </c>
      <c r="M143" s="19">
        <f>IF($C143="","",ROUND(SUM(基础资料!$B$4:$B$13)+SUM($J$4:J143)-SUM($K$4:K143),2))</f>
        <v/>
      </c>
      <c r="N143" s="13" t="n"/>
      <c r="O143" s="13" t="inlineStr">
        <is>
          <t>结构胶、玻璃胶</t>
        </is>
      </c>
      <c r="P143" s="17">
        <f>IF($B143="","",IF($F143="※类别不在基础资料里","※费用类别不在基础资料里",IF(AND(N($J143)=0,N($K143)=0),"※这行没填金额",IF(AND(N($J143)&gt;0,N($K143)&gt;0),"※收入和支出不能同一行都填",IF(AND($D143="收入",N($J143)=0),"※收入行要填收入金额",IF(AND($D143="支出",N($K143)=0),"※支出行要填支出金额",IF(AND($C143&lt;&gt;"",ISNA(MATCH($C143,账户表,0))),"※账户不在基础资料里",IF(AND($G143&lt;&gt;"",ISNA(MATCH($G143,项目名表,0))),"※项目不在项目台账里",IF(AND(LEFT($F143,3)="成本-",$G143=""),"※成本类支出没填项目",IF(AND(LEFT($F143,3)="成本-",$H143&lt;&gt;"",N($K143)&gt;0,COUNTIFS(采购单!$B:$B,$B143,采购单!$C:$C,$H143,采购单!$L:$L,$K143)&gt;0),"※这笔可能和采购单重复了",""))))))))))</f>
        <v/>
      </c>
    </row>
    <row r="144">
      <c r="A144" s="17">
        <f>IF($B144="","",ROW()-3)</f>
        <v/>
      </c>
      <c r="B144" s="18" t="n">
        <v>46106</v>
      </c>
      <c r="C144" s="13" t="inlineStr">
        <is>
          <t>微信1</t>
        </is>
      </c>
      <c r="D144" s="13" t="inlineStr">
        <is>
          <t>支出</t>
        </is>
      </c>
      <c r="E144" s="13" t="inlineStr">
        <is>
          <t>主材采购</t>
        </is>
      </c>
      <c r="F144" s="17">
        <f>IF($E144="","",IFERROR(VLOOKUP($E144,类别归属,2,0),"※类别不在基础资料里"))</f>
        <v/>
      </c>
      <c r="G144" s="13" t="inlineStr">
        <is>
          <t>东尼电子</t>
        </is>
      </c>
      <c r="H144" s="13" t="inlineStr">
        <is>
          <t>亿优门牌</t>
        </is>
      </c>
      <c r="I144" s="13" t="inlineStr">
        <is>
          <t>亿优门牌</t>
        </is>
      </c>
      <c r="J144" s="14" t="n"/>
      <c r="K144" s="14" t="n">
        <v>110</v>
      </c>
      <c r="L144" s="19">
        <f>IF($C144="","",ROUND(IFERROR(VLOOKUP($C144,账户期初,2,0),0)+SUMIFS($J$4:J144,$C$4:C144,$C144)-SUMIFS($K$4:K144,$C$4:C144,$C144),2))</f>
        <v/>
      </c>
      <c r="M144" s="19">
        <f>IF($C144="","",ROUND(SUM(基础资料!$B$4:$B$13)+SUM($J$4:J144)-SUM($K$4:K144),2))</f>
        <v/>
      </c>
      <c r="N144" s="13" t="n"/>
      <c r="O144" s="13" t="n"/>
      <c r="P144" s="17">
        <f>IF($B144="","",IF($F144="※类别不在基础资料里","※费用类别不在基础资料里",IF(AND(N($J144)=0,N($K144)=0),"※这行没填金额",IF(AND(N($J144)&gt;0,N($K144)&gt;0),"※收入和支出不能同一行都填",IF(AND($D144="收入",N($J144)=0),"※收入行要填收入金额",IF(AND($D144="支出",N($K144)=0),"※支出行要填支出金额",IF(AND($C144&lt;&gt;"",ISNA(MATCH($C144,账户表,0))),"※账户不在基础资料里",IF(AND($G144&lt;&gt;"",ISNA(MATCH($G144,项目名表,0))),"※项目不在项目台账里",IF(AND(LEFT($F144,3)="成本-",$G144=""),"※成本类支出没填项目",IF(AND(LEFT($F144,3)="成本-",$H144&lt;&gt;"",N($K144)&gt;0,COUNTIFS(采购单!$B:$B,$B144,采购单!$C:$C,$H144,采购单!$L:$L,$K144)&gt;0),"※这笔可能和采购单重复了",""))))))))))</f>
        <v/>
      </c>
    </row>
    <row r="145">
      <c r="A145" s="17">
        <f>IF($B145="","",ROW()-3)</f>
        <v/>
      </c>
      <c r="B145" s="18" t="n">
        <v>46106</v>
      </c>
      <c r="C145" s="13" t="inlineStr">
        <is>
          <t>微信1</t>
        </is>
      </c>
      <c r="D145" s="13" t="inlineStr">
        <is>
          <t>支出</t>
        </is>
      </c>
      <c r="E145" s="13" t="inlineStr">
        <is>
          <t>运费/快递费</t>
        </is>
      </c>
      <c r="F145" s="17">
        <f>IF($E145="","",IFERROR(VLOOKUP($E145,类别归属,2,0),"※类别不在基础资料里"))</f>
        <v/>
      </c>
      <c r="G145" s="13" t="inlineStr">
        <is>
          <t>织里店</t>
        </is>
      </c>
      <c r="H145" s="13" t="inlineStr">
        <is>
          <t>炳秀</t>
        </is>
      </c>
      <c r="I145" s="13" t="inlineStr">
        <is>
          <t>付炳秀配送</t>
        </is>
      </c>
      <c r="J145" s="14" t="n"/>
      <c r="K145" s="14" t="n">
        <v>66</v>
      </c>
      <c r="L145" s="19">
        <f>IF($C145="","",ROUND(IFERROR(VLOOKUP($C145,账户期初,2,0),0)+SUMIFS($J$4:J145,$C$4:C145,$C145)-SUMIFS($K$4:K145,$C$4:C145,$C145),2))</f>
        <v/>
      </c>
      <c r="M145" s="19">
        <f>IF($C145="","",ROUND(SUM(基础资料!$B$4:$B$13)+SUM($J$4:J145)-SUM($K$4:K145),2))</f>
        <v/>
      </c>
      <c r="N145" s="13" t="n"/>
      <c r="O145" s="13" t="n"/>
      <c r="P145" s="17">
        <f>IF($B145="","",IF($F145="※类别不在基础资料里","※费用类别不在基础资料里",IF(AND(N($J145)=0,N($K145)=0),"※这行没填金额",IF(AND(N($J145)&gt;0,N($K145)&gt;0),"※收入和支出不能同一行都填",IF(AND($D145="收入",N($J145)=0),"※收入行要填收入金额",IF(AND($D145="支出",N($K145)=0),"※支出行要填支出金额",IF(AND($C145&lt;&gt;"",ISNA(MATCH($C145,账户表,0))),"※账户不在基础资料里",IF(AND($G145&lt;&gt;"",ISNA(MATCH($G145,项目名表,0))),"※项目不在项目台账里",IF(AND(LEFT($F145,3)="成本-",$G145=""),"※成本类支出没填项目",IF(AND(LEFT($F145,3)="成本-",$H145&lt;&gt;"",N($K145)&gt;0,COUNTIFS(采购单!$B:$B,$B145,采购单!$C:$C,$H145,采购单!$L:$L,$K145)&gt;0),"※这笔可能和采购单重复了",""))))))))))</f>
        <v/>
      </c>
    </row>
    <row r="146">
      <c r="A146" s="17">
        <f>IF($B146="","",ROW()-3)</f>
        <v/>
      </c>
      <c r="B146" s="18" t="n">
        <v>46106</v>
      </c>
      <c r="C146" s="13" t="inlineStr">
        <is>
          <t>微信1</t>
        </is>
      </c>
      <c r="D146" s="13" t="inlineStr">
        <is>
          <t>收入</t>
        </is>
      </c>
      <c r="E146" s="13" t="inlineStr">
        <is>
          <t>项目收款</t>
        </is>
      </c>
      <c r="F146" s="17">
        <f>IF($E146="","",IFERROR(VLOOKUP($E146,类别归属,2,0),"※类别不在基础资料里"))</f>
        <v/>
      </c>
      <c r="G146" s="13" t="inlineStr">
        <is>
          <t>高恒荣熟食店</t>
        </is>
      </c>
      <c r="H146" s="13" t="n"/>
      <c r="I146" s="13" t="inlineStr">
        <is>
          <t>德清木森装饰-熟食店尾款</t>
        </is>
      </c>
      <c r="J146" s="14" t="n">
        <v>1500</v>
      </c>
      <c r="K146" s="14" t="n"/>
      <c r="L146" s="19">
        <f>IF($C146="","",ROUND(IFERROR(VLOOKUP($C146,账户期初,2,0),0)+SUMIFS($J$4:J146,$C$4:C146,$C146)-SUMIFS($K$4:K146,$C$4:C146,$C146),2))</f>
        <v/>
      </c>
      <c r="M146" s="19">
        <f>IF($C146="","",ROUND(SUM(基础资料!$B$4:$B$13)+SUM($J$4:J146)-SUM($K$4:K146),2))</f>
        <v/>
      </c>
      <c r="N146" s="13" t="n"/>
      <c r="O146" s="13" t="n"/>
      <c r="P146" s="17">
        <f>IF($B146="","",IF($F146="※类别不在基础资料里","※费用类别不在基础资料里",IF(AND(N($J146)=0,N($K146)=0),"※这行没填金额",IF(AND(N($J146)&gt;0,N($K146)&gt;0),"※收入和支出不能同一行都填",IF(AND($D146="收入",N($J146)=0),"※收入行要填收入金额",IF(AND($D146="支出",N($K146)=0),"※支出行要填支出金额",IF(AND($C146&lt;&gt;"",ISNA(MATCH($C146,账户表,0))),"※账户不在基础资料里",IF(AND($G146&lt;&gt;"",ISNA(MATCH($G146,项目名表,0))),"※项目不在项目台账里",IF(AND(LEFT($F146,3)="成本-",$G146=""),"※成本类支出没填项目",IF(AND(LEFT($F146,3)="成本-",$H146&lt;&gt;"",N($K146)&gt;0,COUNTIFS(采购单!$B:$B,$B146,采购单!$C:$C,$H146,采购单!$L:$L,$K146)&gt;0),"※这笔可能和采购单重复了",""))))))))))</f>
        <v/>
      </c>
    </row>
    <row r="147">
      <c r="A147" s="17">
        <f>IF($B147="","",ROW()-3)</f>
        <v/>
      </c>
      <c r="B147" s="18" t="n">
        <v>46106</v>
      </c>
      <c r="C147" s="13" t="inlineStr">
        <is>
          <t>微信1</t>
        </is>
      </c>
      <c r="D147" s="13" t="inlineStr">
        <is>
          <t>支出</t>
        </is>
      </c>
      <c r="E147" s="13" t="inlineStr">
        <is>
          <t>安装工资</t>
        </is>
      </c>
      <c r="F147" s="17">
        <f>IF($E147="","",IFERROR(VLOOKUP($E147,类别归属,2,0),"※类别不在基础资料里"))</f>
        <v/>
      </c>
      <c r="G147" s="13" t="n"/>
      <c r="H147" s="13" t="n"/>
      <c r="I147" s="13" t="inlineStr">
        <is>
          <t>广告制作安装-令（外叫人员工资）</t>
        </is>
      </c>
      <c r="J147" s="14" t="n"/>
      <c r="K147" s="14" t="n">
        <v>1200</v>
      </c>
      <c r="L147" s="19">
        <f>IF($C147="","",ROUND(IFERROR(VLOOKUP($C147,账户期初,2,0),0)+SUMIFS($J$4:J147,$C$4:C147,$C147)-SUMIFS($K$4:K147,$C$4:C147,$C147),2))</f>
        <v/>
      </c>
      <c r="M147" s="19">
        <f>IF($C147="","",ROUND(SUM(基础资料!$B$4:$B$13)+SUM($J$4:J147)-SUM($K$4:K147),2))</f>
        <v/>
      </c>
      <c r="N147" s="13" t="n"/>
      <c r="O147" s="13" t="n"/>
      <c r="P147" s="17">
        <f>IF($B147="","",IF($F147="※类别不在基础资料里","※费用类别不在基础资料里",IF(AND(N($J147)=0,N($K147)=0),"※这行没填金额",IF(AND(N($J147)&gt;0,N($K147)&gt;0),"※收入和支出不能同一行都填",IF(AND($D147="收入",N($J147)=0),"※收入行要填收入金额",IF(AND($D147="支出",N($K147)=0),"※支出行要填支出金额",IF(AND($C147&lt;&gt;"",ISNA(MATCH($C147,账户表,0))),"※账户不在基础资料里",IF(AND($G147&lt;&gt;"",ISNA(MATCH($G147,项目名表,0))),"※项目不在项目台账里",IF(AND(LEFT($F147,3)="成本-",$G147=""),"※成本类支出没填项目",IF(AND(LEFT($F147,3)="成本-",$H147&lt;&gt;"",N($K147)&gt;0,COUNTIFS(采购单!$B:$B,$B147,采购单!$C:$C,$H147,采购单!$L:$L,$K147)&gt;0),"※这笔可能和采购单重复了",""))))))))))</f>
        <v/>
      </c>
    </row>
    <row r="148">
      <c r="A148" s="17">
        <f>IF($B148="","",ROW()-3)</f>
        <v/>
      </c>
      <c r="B148" s="18" t="n">
        <v>46106</v>
      </c>
      <c r="C148" s="13" t="inlineStr">
        <is>
          <t>微信1</t>
        </is>
      </c>
      <c r="D148" s="13" t="inlineStr">
        <is>
          <t>收入</t>
        </is>
      </c>
      <c r="E148" s="13" t="inlineStr">
        <is>
          <t>项目收款</t>
        </is>
      </c>
      <c r="F148" s="17">
        <f>IF($E148="","",IFERROR(VLOOKUP($E148,类别归属,2,0),"※类别不在基础资料里"))</f>
        <v/>
      </c>
      <c r="G148" s="13" t="inlineStr">
        <is>
          <t>君澜服饰</t>
        </is>
      </c>
      <c r="H148" s="13" t="n"/>
      <c r="I148" s="13" t="inlineStr">
        <is>
          <t>君澜服饰</t>
        </is>
      </c>
      <c r="J148" s="14" t="n">
        <v>5000</v>
      </c>
      <c r="K148" s="14" t="n"/>
      <c r="L148" s="19">
        <f>IF($C148="","",ROUND(IFERROR(VLOOKUP($C148,账户期初,2,0),0)+SUMIFS($J$4:J148,$C$4:C148,$C148)-SUMIFS($K$4:K148,$C$4:C148,$C148),2))</f>
        <v/>
      </c>
      <c r="M148" s="19">
        <f>IF($C148="","",ROUND(SUM(基础资料!$B$4:$B$13)+SUM($J$4:J148)-SUM($K$4:K148),2))</f>
        <v/>
      </c>
      <c r="N148" s="13" t="n"/>
      <c r="O148" s="13" t="n"/>
      <c r="P148" s="17">
        <f>IF($B148="","",IF($F148="※类别不在基础资料里","※费用类别不在基础资料里",IF(AND(N($J148)=0,N($K148)=0),"※这行没填金额",IF(AND(N($J148)&gt;0,N($K148)&gt;0),"※收入和支出不能同一行都填",IF(AND($D148="收入",N($J148)=0),"※收入行要填收入金额",IF(AND($D148="支出",N($K148)=0),"※支出行要填支出金额",IF(AND($C148&lt;&gt;"",ISNA(MATCH($C148,账户表,0))),"※账户不在基础资料里",IF(AND($G148&lt;&gt;"",ISNA(MATCH($G148,项目名表,0))),"※项目不在项目台账里",IF(AND(LEFT($F148,3)="成本-",$G148=""),"※成本类支出没填项目",IF(AND(LEFT($F148,3)="成本-",$H148&lt;&gt;"",N($K148)&gt;0,COUNTIFS(采购单!$B:$B,$B148,采购单!$C:$C,$H148,采购单!$L:$L,$K148)&gt;0),"※这笔可能和采购单重复了",""))))))))))</f>
        <v/>
      </c>
    </row>
    <row r="149">
      <c r="A149" s="17">
        <f>IF($B149="","",ROW()-3)</f>
        <v/>
      </c>
      <c r="B149" s="18" t="n">
        <v>46107</v>
      </c>
      <c r="C149" s="13" t="inlineStr">
        <is>
          <t>微信1</t>
        </is>
      </c>
      <c r="D149" s="13" t="inlineStr">
        <is>
          <t>收入</t>
        </is>
      </c>
      <c r="E149" s="13" t="inlineStr">
        <is>
          <t>项目收款</t>
        </is>
      </c>
      <c r="F149" s="17">
        <f>IF($E149="","",IFERROR(VLOOKUP($E149,类别归属,2,0),"※类别不在基础资料里"))</f>
        <v/>
      </c>
      <c r="G149" s="13" t="inlineStr">
        <is>
          <t>民盛生鲜店</t>
        </is>
      </c>
      <c r="H149" s="13" t="n"/>
      <c r="I149" s="13" t="inlineStr">
        <is>
          <t>刘磊-定金</t>
        </is>
      </c>
      <c r="J149" s="14" t="n">
        <v>1000</v>
      </c>
      <c r="K149" s="14" t="n"/>
      <c r="L149" s="19">
        <f>IF($C149="","",ROUND(IFERROR(VLOOKUP($C149,账户期初,2,0),0)+SUMIFS($J$4:J149,$C$4:C149,$C149)-SUMIFS($K$4:K149,$C$4:C149,$C149),2))</f>
        <v/>
      </c>
      <c r="M149" s="19">
        <f>IF($C149="","",ROUND(SUM(基础资料!$B$4:$B$13)+SUM($J$4:J149)-SUM($K$4:K149),2))</f>
        <v/>
      </c>
      <c r="N149" s="13" t="n"/>
      <c r="O149" s="13" t="n"/>
      <c r="P149" s="17">
        <f>IF($B149="","",IF($F149="※类别不在基础资料里","※费用类别不在基础资料里",IF(AND(N($J149)=0,N($K149)=0),"※这行没填金额",IF(AND(N($J149)&gt;0,N($K149)&gt;0),"※收入和支出不能同一行都填",IF(AND($D149="收入",N($J149)=0),"※收入行要填收入金额",IF(AND($D149="支出",N($K149)=0),"※支出行要填支出金额",IF(AND($C149&lt;&gt;"",ISNA(MATCH($C149,账户表,0))),"※账户不在基础资料里",IF(AND($G149&lt;&gt;"",ISNA(MATCH($G149,项目名表,0))),"※项目不在项目台账里",IF(AND(LEFT($F149,3)="成本-",$G149=""),"※成本类支出没填项目",IF(AND(LEFT($F149,3)="成本-",$H149&lt;&gt;"",N($K149)&gt;0,COUNTIFS(采购单!$B:$B,$B149,采购单!$C:$C,$H149,采购单!$L:$L,$K149)&gt;0),"※这笔可能和采购单重复了",""))))))))))</f>
        <v/>
      </c>
    </row>
    <row r="150">
      <c r="A150" s="17">
        <f>IF($B150="","",ROW()-3)</f>
        <v/>
      </c>
      <c r="B150" s="18" t="n">
        <v>46107</v>
      </c>
      <c r="C150" s="13" t="inlineStr">
        <is>
          <t>微信1</t>
        </is>
      </c>
      <c r="D150" s="13" t="inlineStr">
        <is>
          <t>支出</t>
        </is>
      </c>
      <c r="E150" s="13" t="inlineStr">
        <is>
          <t>其他管理费用</t>
        </is>
      </c>
      <c r="F150" s="17">
        <f>IF($E150="","",IFERROR(VLOOKUP($E150,类别归属,2,0),"※类别不在基础资料里"))</f>
        <v/>
      </c>
      <c r="G150" s="13" t="n"/>
      <c r="H150" s="13" t="n"/>
      <c r="I150" s="13" t="inlineStr">
        <is>
          <t>付织里店小钮跑腿费</t>
        </is>
      </c>
      <c r="J150" s="14" t="n"/>
      <c r="K150" s="14" t="n">
        <v>17</v>
      </c>
      <c r="L150" s="19">
        <f>IF($C150="","",ROUND(IFERROR(VLOOKUP($C150,账户期初,2,0),0)+SUMIFS($J$4:J150,$C$4:C150,$C150)-SUMIFS($K$4:K150,$C$4:C150,$C150),2))</f>
        <v/>
      </c>
      <c r="M150" s="19">
        <f>IF($C150="","",ROUND(SUM(基础资料!$B$4:$B$13)+SUM($J$4:J150)-SUM($K$4:K150),2))</f>
        <v/>
      </c>
      <c r="N150" s="13" t="n"/>
      <c r="O150" s="13" t="n"/>
      <c r="P150" s="17">
        <f>IF($B150="","",IF($F150="※类别不在基础资料里","※费用类别不在基础资料里",IF(AND(N($J150)=0,N($K150)=0),"※这行没填金额",IF(AND(N($J150)&gt;0,N($K150)&gt;0),"※收入和支出不能同一行都填",IF(AND($D150="收入",N($J150)=0),"※收入行要填收入金额",IF(AND($D150="支出",N($K150)=0),"※支出行要填支出金额",IF(AND($C150&lt;&gt;"",ISNA(MATCH($C150,账户表,0))),"※账户不在基础资料里",IF(AND($G150&lt;&gt;"",ISNA(MATCH($G150,项目名表,0))),"※项目不在项目台账里",IF(AND(LEFT($F150,3)="成本-",$G150=""),"※成本类支出没填项目",IF(AND(LEFT($F150,3)="成本-",$H150&lt;&gt;"",N($K150)&gt;0,COUNTIFS(采购单!$B:$B,$B150,采购单!$C:$C,$H150,采购单!$L:$L,$K150)&gt;0),"※这笔可能和采购单重复了",""))))))))))</f>
        <v/>
      </c>
    </row>
    <row r="151">
      <c r="A151" s="17">
        <f>IF($B151="","",ROW()-3)</f>
        <v/>
      </c>
      <c r="B151" s="18" t="n">
        <v>46107</v>
      </c>
      <c r="C151" s="13" t="inlineStr">
        <is>
          <t>微信1</t>
        </is>
      </c>
      <c r="D151" s="13" t="inlineStr">
        <is>
          <t>支出</t>
        </is>
      </c>
      <c r="E151" s="13" t="inlineStr">
        <is>
          <t>借出款</t>
        </is>
      </c>
      <c r="F151" s="17">
        <f>IF($E151="","",IFERROR(VLOOKUP($E151,类别归属,2,0),"※类别不在基础资料里"))</f>
        <v/>
      </c>
      <c r="G151" s="13" t="n"/>
      <c r="H151" s="13" t="inlineStr">
        <is>
          <t>付久华</t>
        </is>
      </c>
      <c r="I151" s="13" t="inlineStr">
        <is>
          <t>付给付久华</t>
        </is>
      </c>
      <c r="J151" s="14" t="n"/>
      <c r="K151" s="14" t="n">
        <v>5000</v>
      </c>
      <c r="L151" s="19">
        <f>IF($C151="","",ROUND(IFERROR(VLOOKUP($C151,账户期初,2,0),0)+SUMIFS($J$4:J151,$C$4:C151,$C151)-SUMIFS($K$4:K151,$C$4:C151,$C151),2))</f>
        <v/>
      </c>
      <c r="M151" s="19">
        <f>IF($C151="","",ROUND(SUM(基础资料!$B$4:$B$13)+SUM($J$4:J151)-SUM($K$4:K151),2))</f>
        <v/>
      </c>
      <c r="N151" s="13" t="n"/>
      <c r="O151" s="13" t="n"/>
      <c r="P151" s="17">
        <f>IF($B151="","",IF($F151="※类别不在基础资料里","※费用类别不在基础资料里",IF(AND(N($J151)=0,N($K151)=0),"※这行没填金额",IF(AND(N($J151)&gt;0,N($K151)&gt;0),"※收入和支出不能同一行都填",IF(AND($D151="收入",N($J151)=0),"※收入行要填收入金额",IF(AND($D151="支出",N($K151)=0),"※支出行要填支出金额",IF(AND($C151&lt;&gt;"",ISNA(MATCH($C151,账户表,0))),"※账户不在基础资料里",IF(AND($G151&lt;&gt;"",ISNA(MATCH($G151,项目名表,0))),"※项目不在项目台账里",IF(AND(LEFT($F151,3)="成本-",$G151=""),"※成本类支出没填项目",IF(AND(LEFT($F151,3)="成本-",$H151&lt;&gt;"",N($K151)&gt;0,COUNTIFS(采购单!$B:$B,$B151,采购单!$C:$C,$H151,采购单!$L:$L,$K151)&gt;0),"※这笔可能和采购单重复了",""))))))))))</f>
        <v/>
      </c>
    </row>
    <row r="152">
      <c r="A152" s="17">
        <f>IF($B152="","",ROW()-3)</f>
        <v/>
      </c>
      <c r="B152" s="18" t="n">
        <v>46108</v>
      </c>
      <c r="C152" s="13" t="inlineStr">
        <is>
          <t>微信1</t>
        </is>
      </c>
      <c r="D152" s="13" t="inlineStr">
        <is>
          <t>支出</t>
        </is>
      </c>
      <c r="E152" s="13" t="inlineStr">
        <is>
          <t>安装工资</t>
        </is>
      </c>
      <c r="F152" s="17">
        <f>IF($E152="","",IFERROR(VLOOKUP($E152,类别归属,2,0),"※类别不在基础资料里"))</f>
        <v/>
      </c>
      <c r="G152" s="13" t="inlineStr">
        <is>
          <t>铁柱烧烤店</t>
        </is>
      </c>
      <c r="H152" s="13" t="n"/>
      <c r="I152" s="13" t="inlineStr">
        <is>
          <t>章凡南浔铁柱烧烤-买钢材</t>
        </is>
      </c>
      <c r="J152" s="14" t="n"/>
      <c r="K152" s="14" t="n">
        <v>514</v>
      </c>
      <c r="L152" s="19">
        <f>IF($C152="","",ROUND(IFERROR(VLOOKUP($C152,账户期初,2,0),0)+SUMIFS($J$4:J152,$C$4:C152,$C152)-SUMIFS($K$4:K152,$C$4:C152,$C152),2))</f>
        <v/>
      </c>
      <c r="M152" s="19">
        <f>IF($C152="","",ROUND(SUM(基础资料!$B$4:$B$13)+SUM($J$4:J152)-SUM($K$4:K152),2))</f>
        <v/>
      </c>
      <c r="N152" s="13" t="n"/>
      <c r="O152" s="13" t="inlineStr">
        <is>
          <t>3.27凌宇实存4519.06</t>
        </is>
      </c>
      <c r="P152" s="17">
        <f>IF($B152="","",IF($F152="※类别不在基础资料里","※费用类别不在基础资料里",IF(AND(N($J152)=0,N($K152)=0),"※这行没填金额",IF(AND(N($J152)&gt;0,N($K152)&gt;0),"※收入和支出不能同一行都填",IF(AND($D152="收入",N($J152)=0),"※收入行要填收入金额",IF(AND($D152="支出",N($K152)=0),"※支出行要填支出金额",IF(AND($C152&lt;&gt;"",ISNA(MATCH($C152,账户表,0))),"※账户不在基础资料里",IF(AND($G152&lt;&gt;"",ISNA(MATCH($G152,项目名表,0))),"※项目不在项目台账里",IF(AND(LEFT($F152,3)="成本-",$G152=""),"※成本类支出没填项目",IF(AND(LEFT($F152,3)="成本-",$H152&lt;&gt;"",N($K152)&gt;0,COUNTIFS(采购单!$B:$B,$B152,采购单!$C:$C,$H152,采购单!$L:$L,$K152)&gt;0),"※这笔可能和采购单重复了",""))))))))))</f>
        <v/>
      </c>
    </row>
    <row r="153">
      <c r="A153" s="17">
        <f>IF($B153="","",ROW()-3)</f>
        <v/>
      </c>
      <c r="B153" s="18" t="n">
        <v>46108</v>
      </c>
      <c r="C153" s="13" t="inlineStr">
        <is>
          <t>微信1</t>
        </is>
      </c>
      <c r="D153" s="13" t="inlineStr">
        <is>
          <t>收入</t>
        </is>
      </c>
      <c r="E153" s="13" t="inlineStr">
        <is>
          <t>项目收款</t>
        </is>
      </c>
      <c r="F153" s="17">
        <f>IF($E153="","",IFERROR(VLOOKUP($E153,类别归属,2,0),"※类别不在基础资料里"))</f>
        <v/>
      </c>
      <c r="G153" s="13" t="inlineStr">
        <is>
          <t>饺子店</t>
        </is>
      </c>
      <c r="H153" s="13" t="n"/>
      <c r="I153" s="13" t="inlineStr">
        <is>
          <t>手工水饺-定金</t>
        </is>
      </c>
      <c r="J153" s="14" t="n">
        <v>800</v>
      </c>
      <c r="K153" s="14" t="n"/>
      <c r="L153" s="19">
        <f>IF($C153="","",ROUND(IFERROR(VLOOKUP($C153,账户期初,2,0),0)+SUMIFS($J$4:J153,$C$4:C153,$C153)-SUMIFS($K$4:K153,$C$4:C153,$C153),2))</f>
        <v/>
      </c>
      <c r="M153" s="19">
        <f>IF($C153="","",ROUND(SUM(基础资料!$B$4:$B$13)+SUM($J$4:J153)-SUM($K$4:K153),2))</f>
        <v/>
      </c>
      <c r="N153" s="13" t="n"/>
      <c r="O153" s="13" t="n"/>
      <c r="P153" s="17">
        <f>IF($B153="","",IF($F153="※类别不在基础资料里","※费用类别不在基础资料里",IF(AND(N($J153)=0,N($K153)=0),"※这行没填金额",IF(AND(N($J153)&gt;0,N($K153)&gt;0),"※收入和支出不能同一行都填",IF(AND($D153="收入",N($J153)=0),"※收入行要填收入金额",IF(AND($D153="支出",N($K153)=0),"※支出行要填支出金额",IF(AND($C153&lt;&gt;"",ISNA(MATCH($C153,账户表,0))),"※账户不在基础资料里",IF(AND($G153&lt;&gt;"",ISNA(MATCH($G153,项目名表,0))),"※项目不在项目台账里",IF(AND(LEFT($F153,3)="成本-",$G153=""),"※成本类支出没填项目",IF(AND(LEFT($F153,3)="成本-",$H153&lt;&gt;"",N($K153)&gt;0,COUNTIFS(采购单!$B:$B,$B153,采购单!$C:$C,$H153,采购单!$L:$L,$K153)&gt;0),"※这笔可能和采购单重复了",""))))))))))</f>
        <v/>
      </c>
    </row>
    <row r="154">
      <c r="A154" s="17">
        <f>IF($B154="","",ROW()-3)</f>
        <v/>
      </c>
      <c r="B154" s="18" t="n">
        <v>46108</v>
      </c>
      <c r="C154" s="13" t="inlineStr">
        <is>
          <t>微信1</t>
        </is>
      </c>
      <c r="D154" s="13" t="inlineStr">
        <is>
          <t>支出</t>
        </is>
      </c>
      <c r="E154" s="13" t="inlineStr">
        <is>
          <t>其他管理费用</t>
        </is>
      </c>
      <c r="F154" s="17">
        <f>IF($E154="","",IFERROR(VLOOKUP($E154,类别归属,2,0),"※类别不在基础资料里"))</f>
        <v/>
      </c>
      <c r="G154" s="13" t="n"/>
      <c r="H154" s="13" t="n"/>
      <c r="I154" s="13" t="inlineStr">
        <is>
          <t>徐工作手机充值</t>
        </is>
      </c>
      <c r="J154" s="14" t="n"/>
      <c r="K154" s="14" t="n">
        <v>100</v>
      </c>
      <c r="L154" s="19">
        <f>IF($C154="","",ROUND(IFERROR(VLOOKUP($C154,账户期初,2,0),0)+SUMIFS($J$4:J154,$C$4:C154,$C154)-SUMIFS($K$4:K154,$C$4:C154,$C154),2))</f>
        <v/>
      </c>
      <c r="M154" s="19">
        <f>IF($C154="","",ROUND(SUM(基础资料!$B$4:$B$13)+SUM($J$4:J154)-SUM($K$4:K154),2))</f>
        <v/>
      </c>
      <c r="N154" s="13" t="n"/>
      <c r="O154" s="13" t="n"/>
      <c r="P154" s="17">
        <f>IF($B154="","",IF($F154="※类别不在基础资料里","※费用类别不在基础资料里",IF(AND(N($J154)=0,N($K154)=0),"※这行没填金额",IF(AND(N($J154)&gt;0,N($K154)&gt;0),"※收入和支出不能同一行都填",IF(AND($D154="收入",N($J154)=0),"※收入行要填收入金额",IF(AND($D154="支出",N($K154)=0),"※支出行要填支出金额",IF(AND($C154&lt;&gt;"",ISNA(MATCH($C154,账户表,0))),"※账户不在基础资料里",IF(AND($G154&lt;&gt;"",ISNA(MATCH($G154,项目名表,0))),"※项目不在项目台账里",IF(AND(LEFT($F154,3)="成本-",$G154=""),"※成本类支出没填项目",IF(AND(LEFT($F154,3)="成本-",$H154&lt;&gt;"",N($K154)&gt;0,COUNTIFS(采购单!$B:$B,$B154,采购单!$C:$C,$H154,采购单!$L:$L,$K154)&gt;0),"※这笔可能和采购单重复了",""))))))))))</f>
        <v/>
      </c>
    </row>
    <row r="155">
      <c r="A155" s="17">
        <f>IF($B155="","",ROW()-3)</f>
        <v/>
      </c>
      <c r="B155" s="18" t="n">
        <v>46108</v>
      </c>
      <c r="C155" s="13" t="inlineStr">
        <is>
          <t>微信1</t>
        </is>
      </c>
      <c r="D155" s="13" t="inlineStr">
        <is>
          <t>收入</t>
        </is>
      </c>
      <c r="E155" s="13" t="inlineStr">
        <is>
          <t>项目收款</t>
        </is>
      </c>
      <c r="F155" s="17">
        <f>IF($E155="","",IFERROR(VLOOKUP($E155,类别归属,2,0),"※类别不在基础资料里"))</f>
        <v/>
      </c>
      <c r="G155" s="13" t="inlineStr">
        <is>
          <t>铁柱烧烤店</t>
        </is>
      </c>
      <c r="H155" s="13" t="n"/>
      <c r="I155" s="13" t="inlineStr">
        <is>
          <t>收铁柱尾款</t>
        </is>
      </c>
      <c r="J155" s="14" t="n">
        <v>4000</v>
      </c>
      <c r="K155" s="14" t="n"/>
      <c r="L155" s="19">
        <f>IF($C155="","",ROUND(IFERROR(VLOOKUP($C155,账户期初,2,0),0)+SUMIFS($J$4:J155,$C$4:C155,$C155)-SUMIFS($K$4:K155,$C$4:C155,$C155),2))</f>
        <v/>
      </c>
      <c r="M155" s="19">
        <f>IF($C155="","",ROUND(SUM(基础资料!$B$4:$B$13)+SUM($J$4:J155)-SUM($K$4:K155),2))</f>
        <v/>
      </c>
      <c r="N155" s="13" t="n"/>
      <c r="O155" s="13" t="n"/>
      <c r="P155" s="17">
        <f>IF($B155="","",IF($F155="※类别不在基础资料里","※费用类别不在基础资料里",IF(AND(N($J155)=0,N($K155)=0),"※这行没填金额",IF(AND(N($J155)&gt;0,N($K155)&gt;0),"※收入和支出不能同一行都填",IF(AND($D155="收入",N($J155)=0),"※收入行要填收入金额",IF(AND($D155="支出",N($K155)=0),"※支出行要填支出金额",IF(AND($C155&lt;&gt;"",ISNA(MATCH($C155,账户表,0))),"※账户不在基础资料里",IF(AND($G155&lt;&gt;"",ISNA(MATCH($G155,项目名表,0))),"※项目不在项目台账里",IF(AND(LEFT($F155,3)="成本-",$G155=""),"※成本类支出没填项目",IF(AND(LEFT($F155,3)="成本-",$H155&lt;&gt;"",N($K155)&gt;0,COUNTIFS(采购单!$B:$B,$B155,采购单!$C:$C,$H155,采购单!$L:$L,$K155)&gt;0),"※这笔可能和采购单重复了",""))))))))))</f>
        <v/>
      </c>
    </row>
    <row r="156">
      <c r="A156" s="17">
        <f>IF($B156="","",ROW()-3)</f>
        <v/>
      </c>
      <c r="B156" s="18" t="n">
        <v>46108</v>
      </c>
      <c r="C156" s="13" t="inlineStr">
        <is>
          <t>微信1</t>
        </is>
      </c>
      <c r="D156" s="13" t="inlineStr">
        <is>
          <t>收入</t>
        </is>
      </c>
      <c r="E156" s="13" t="inlineStr">
        <is>
          <t>借入款</t>
        </is>
      </c>
      <c r="F156" s="17">
        <f>IF($E156="","",IFERROR(VLOOKUP($E156,类别归属,2,0),"※类别不在基础资料里"))</f>
        <v/>
      </c>
      <c r="G156" s="13" t="inlineStr">
        <is>
          <t>睿芯行</t>
        </is>
      </c>
      <c r="H156" s="13" t="n"/>
      <c r="I156" s="13" t="inlineStr">
        <is>
          <t>收睿芯行个人垫付1500（3.31已退1500）</t>
        </is>
      </c>
      <c r="J156" s="14" t="n">
        <v>1500</v>
      </c>
      <c r="K156" s="14" t="n"/>
      <c r="L156" s="19">
        <f>IF($C156="","",ROUND(IFERROR(VLOOKUP($C156,账户期初,2,0),0)+SUMIFS($J$4:J156,$C$4:C156,$C156)-SUMIFS($K$4:K156,$C$4:C156,$C156),2))</f>
        <v/>
      </c>
      <c r="M156" s="19">
        <f>IF($C156="","",ROUND(SUM(基础资料!$B$4:$B$13)+SUM($J$4:J156)-SUM($K$4:K156),2))</f>
        <v/>
      </c>
      <c r="N156" s="13" t="n"/>
      <c r="O156" s="13" t="n"/>
      <c r="P156" s="17">
        <f>IF($B156="","",IF($F156="※类别不在基础资料里","※费用类别不在基础资料里",IF(AND(N($J156)=0,N($K156)=0),"※这行没填金额",IF(AND(N($J156)&gt;0,N($K156)&gt;0),"※收入和支出不能同一行都填",IF(AND($D156="收入",N($J156)=0),"※收入行要填收入金额",IF(AND($D156="支出",N($K156)=0),"※支出行要填支出金额",IF(AND($C156&lt;&gt;"",ISNA(MATCH($C156,账户表,0))),"※账户不在基础资料里",IF(AND($G156&lt;&gt;"",ISNA(MATCH($G156,项目名表,0))),"※项目不在项目台账里",IF(AND(LEFT($F156,3)="成本-",$G156=""),"※成本类支出没填项目",IF(AND(LEFT($F156,3)="成本-",$H156&lt;&gt;"",N($K156)&gt;0,COUNTIFS(采购单!$B:$B,$B156,采购单!$C:$C,$H156,采购单!$L:$L,$K156)&gt;0),"※这笔可能和采购单重复了",""))))))))))</f>
        <v/>
      </c>
    </row>
    <row r="157">
      <c r="A157" s="17">
        <f>IF($B157="","",ROW()-3)</f>
        <v/>
      </c>
      <c r="B157" s="18" t="n">
        <v>46108</v>
      </c>
      <c r="C157" s="13" t="inlineStr">
        <is>
          <t>微信1</t>
        </is>
      </c>
      <c r="D157" s="13" t="inlineStr">
        <is>
          <t>支出</t>
        </is>
      </c>
      <c r="E157" s="13" t="inlineStr">
        <is>
          <t>借出款</t>
        </is>
      </c>
      <c r="F157" s="17">
        <f>IF($E157="","",IFERROR(VLOOKUP($E157,类别归属,2,0),"※类别不在基础资料里"))</f>
        <v/>
      </c>
      <c r="G157" s="13" t="n"/>
      <c r="H157" s="13" t="inlineStr">
        <is>
          <t>往来款</t>
        </is>
      </c>
      <c r="I157" s="13" t="inlineStr">
        <is>
          <t>付给付久华</t>
        </is>
      </c>
      <c r="J157" s="14" t="n"/>
      <c r="K157" s="14" t="n">
        <v>3500</v>
      </c>
      <c r="L157" s="19">
        <f>IF($C157="","",ROUND(IFERROR(VLOOKUP($C157,账户期初,2,0),0)+SUMIFS($J$4:J157,$C$4:C157,$C157)-SUMIFS($K$4:K157,$C$4:C157,$C157),2))</f>
        <v/>
      </c>
      <c r="M157" s="19">
        <f>IF($C157="","",ROUND(SUM(基础资料!$B$4:$B$13)+SUM($J$4:J157)-SUM($K$4:K157),2))</f>
        <v/>
      </c>
      <c r="N157" s="13" t="n"/>
      <c r="O157" s="13" t="n"/>
      <c r="P157" s="17">
        <f>IF($B157="","",IF($F157="※类别不在基础资料里","※费用类别不在基础资料里",IF(AND(N($J157)=0,N($K157)=0),"※这行没填金额",IF(AND(N($J157)&gt;0,N($K157)&gt;0),"※收入和支出不能同一行都填",IF(AND($D157="收入",N($J157)=0),"※收入行要填收入金额",IF(AND($D157="支出",N($K157)=0),"※支出行要填支出金额",IF(AND($C157&lt;&gt;"",ISNA(MATCH($C157,账户表,0))),"※账户不在基础资料里",IF(AND($G157&lt;&gt;"",ISNA(MATCH($G157,项目名表,0))),"※项目不在项目台账里",IF(AND(LEFT($F157,3)="成本-",$G157=""),"※成本类支出没填项目",IF(AND(LEFT($F157,3)="成本-",$H157&lt;&gt;"",N($K157)&gt;0,COUNTIFS(采购单!$B:$B,$B157,采购单!$C:$C,$H157,采购单!$L:$L,$K157)&gt;0),"※这笔可能和采购单重复了",""))))))))))</f>
        <v/>
      </c>
    </row>
    <row r="158">
      <c r="A158" s="17">
        <f>IF($B158="","",ROW()-3)</f>
        <v/>
      </c>
      <c r="B158" s="18" t="n">
        <v>46109</v>
      </c>
      <c r="C158" s="13" t="inlineStr">
        <is>
          <t>微信1</t>
        </is>
      </c>
      <c r="D158" s="13" t="inlineStr">
        <is>
          <t>支出</t>
        </is>
      </c>
      <c r="E158" s="13" t="inlineStr">
        <is>
          <t>其他管理费用</t>
        </is>
      </c>
      <c r="F158" s="17">
        <f>IF($E158="","",IFERROR(VLOOKUP($E158,类别归属,2,0),"※类别不在基础资料里"))</f>
        <v/>
      </c>
      <c r="G158" s="13" t="n"/>
      <c r="H158" s="13" t="n"/>
      <c r="I158" s="13" t="inlineStr">
        <is>
          <t>付久华工作手机充值</t>
        </is>
      </c>
      <c r="J158" s="14" t="n"/>
      <c r="K158" s="14" t="n">
        <v>50</v>
      </c>
      <c r="L158" s="19">
        <f>IF($C158="","",ROUND(IFERROR(VLOOKUP($C158,账户期初,2,0),0)+SUMIFS($J$4:J158,$C$4:C158,$C158)-SUMIFS($K$4:K158,$C$4:C158,$C158),2))</f>
        <v/>
      </c>
      <c r="M158" s="19">
        <f>IF($C158="","",ROUND(SUM(基础资料!$B$4:$B$13)+SUM($J$4:J158)-SUM($K$4:K158),2))</f>
        <v/>
      </c>
      <c r="N158" s="13" t="n"/>
      <c r="O158" s="13" t="n"/>
      <c r="P158" s="17">
        <f>IF($B158="","",IF($F158="※类别不在基础资料里","※费用类别不在基础资料里",IF(AND(N($J158)=0,N($K158)=0),"※这行没填金额",IF(AND(N($J158)&gt;0,N($K158)&gt;0),"※收入和支出不能同一行都填",IF(AND($D158="收入",N($J158)=0),"※收入行要填收入金额",IF(AND($D158="支出",N($K158)=0),"※支出行要填支出金额",IF(AND($C158&lt;&gt;"",ISNA(MATCH($C158,账户表,0))),"※账户不在基础资料里",IF(AND($G158&lt;&gt;"",ISNA(MATCH($G158,项目名表,0))),"※项目不在项目台账里",IF(AND(LEFT($F158,3)="成本-",$G158=""),"※成本类支出没填项目",IF(AND(LEFT($F158,3)="成本-",$H158&lt;&gt;"",N($K158)&gt;0,COUNTIFS(采购单!$B:$B,$B158,采购单!$C:$C,$H158,采购单!$L:$L,$K158)&gt;0),"※这笔可能和采购单重复了",""))))))))))</f>
        <v/>
      </c>
    </row>
    <row r="159">
      <c r="A159" s="17">
        <f>IF($B159="","",ROW()-3)</f>
        <v/>
      </c>
      <c r="B159" s="18" t="n">
        <v>46109</v>
      </c>
      <c r="C159" s="13" t="inlineStr">
        <is>
          <t>微信1</t>
        </is>
      </c>
      <c r="D159" s="13" t="inlineStr">
        <is>
          <t>支出</t>
        </is>
      </c>
      <c r="E159" s="13" t="inlineStr">
        <is>
          <t>运费/快递费</t>
        </is>
      </c>
      <c r="F159" s="17">
        <f>IF($E159="","",IFERROR(VLOOKUP($E159,类别归属,2,0),"※类别不在基础资料里"))</f>
        <v/>
      </c>
      <c r="G159" s="13" t="inlineStr">
        <is>
          <t>织里店</t>
        </is>
      </c>
      <c r="H159" s="13" t="inlineStr">
        <is>
          <t>炳秀</t>
        </is>
      </c>
      <c r="I159" s="13" t="inlineStr">
        <is>
          <t>付炳秀配送</t>
        </is>
      </c>
      <c r="J159" s="14" t="n"/>
      <c r="K159" s="14" t="n">
        <v>443</v>
      </c>
      <c r="L159" s="19">
        <f>IF($C159="","",ROUND(IFERROR(VLOOKUP($C159,账户期初,2,0),0)+SUMIFS($J$4:J159,$C$4:C159,$C159)-SUMIFS($K$4:K159,$C$4:C159,$C159),2))</f>
        <v/>
      </c>
      <c r="M159" s="19">
        <f>IF($C159="","",ROUND(SUM(基础资料!$B$4:$B$13)+SUM($J$4:J159)-SUM($K$4:K159),2))</f>
        <v/>
      </c>
      <c r="N159" s="13" t="n"/>
      <c r="O159" s="13" t="n"/>
      <c r="P159" s="17">
        <f>IF($B159="","",IF($F159="※类别不在基础资料里","※费用类别不在基础资料里",IF(AND(N($J159)=0,N($K159)=0),"※这行没填金额",IF(AND(N($J159)&gt;0,N($K159)&gt;0),"※收入和支出不能同一行都填",IF(AND($D159="收入",N($J159)=0),"※收入行要填收入金额",IF(AND($D159="支出",N($K159)=0),"※支出行要填支出金额",IF(AND($C159&lt;&gt;"",ISNA(MATCH($C159,账户表,0))),"※账户不在基础资料里",IF(AND($G159&lt;&gt;"",ISNA(MATCH($G159,项目名表,0))),"※项目不在项目台账里",IF(AND(LEFT($F159,3)="成本-",$G159=""),"※成本类支出没填项目",IF(AND(LEFT($F159,3)="成本-",$H159&lt;&gt;"",N($K159)&gt;0,COUNTIFS(采购单!$B:$B,$B159,采购单!$C:$C,$H159,采购单!$L:$L,$K159)&gt;0),"※这笔可能和采购单重复了",""))))))))))</f>
        <v/>
      </c>
    </row>
    <row r="160">
      <c r="A160" s="17">
        <f>IF($B160="","",ROW()-3)</f>
        <v/>
      </c>
      <c r="B160" s="18" t="n">
        <v>46109</v>
      </c>
      <c r="C160" s="13" t="inlineStr">
        <is>
          <t>微信1</t>
        </is>
      </c>
      <c r="D160" s="13" t="inlineStr">
        <is>
          <t>支出</t>
        </is>
      </c>
      <c r="E160" s="13" t="inlineStr">
        <is>
          <t>运费/快递费</t>
        </is>
      </c>
      <c r="F160" s="17">
        <f>IF($E160="","",IFERROR(VLOOKUP($E160,类别归属,2,0),"※类别不在基础资料里"))</f>
        <v/>
      </c>
      <c r="G160" s="13" t="inlineStr">
        <is>
          <t>织里店</t>
        </is>
      </c>
      <c r="H160" s="13" t="inlineStr">
        <is>
          <t>炳秀</t>
        </is>
      </c>
      <c r="I160" s="13" t="inlineStr">
        <is>
          <t>付炳秀配送</t>
        </is>
      </c>
      <c r="J160" s="14" t="n"/>
      <c r="K160" s="14" t="n">
        <v>218</v>
      </c>
      <c r="L160" s="19">
        <f>IF($C160="","",ROUND(IFERROR(VLOOKUP($C160,账户期初,2,0),0)+SUMIFS($J$4:J160,$C$4:C160,$C160)-SUMIFS($K$4:K160,$C$4:C160,$C160),2))</f>
        <v/>
      </c>
      <c r="M160" s="19">
        <f>IF($C160="","",ROUND(SUM(基础资料!$B$4:$B$13)+SUM($J$4:J160)-SUM($K$4:K160),2))</f>
        <v/>
      </c>
      <c r="N160" s="13" t="n"/>
      <c r="O160" s="13" t="n"/>
      <c r="P160" s="17">
        <f>IF($B160="","",IF($F160="※类别不在基础资料里","※费用类别不在基础资料里",IF(AND(N($J160)=0,N($K160)=0),"※这行没填金额",IF(AND(N($J160)&gt;0,N($K160)&gt;0),"※收入和支出不能同一行都填",IF(AND($D160="收入",N($J160)=0),"※收入行要填收入金额",IF(AND($D160="支出",N($K160)=0),"※支出行要填支出金额",IF(AND($C160&lt;&gt;"",ISNA(MATCH($C160,账户表,0))),"※账户不在基础资料里",IF(AND($G160&lt;&gt;"",ISNA(MATCH($G160,项目名表,0))),"※项目不在项目台账里",IF(AND(LEFT($F160,3)="成本-",$G160=""),"※成本类支出没填项目",IF(AND(LEFT($F160,3)="成本-",$H160&lt;&gt;"",N($K160)&gt;0,COUNTIFS(采购单!$B:$B,$B160,采购单!$C:$C,$H160,采购单!$L:$L,$K160)&gt;0),"※这笔可能和采购单重复了",""))))))))))</f>
        <v/>
      </c>
    </row>
    <row r="161">
      <c r="A161" s="17">
        <f>IF($B161="","",ROW()-3)</f>
        <v/>
      </c>
      <c r="B161" s="18" t="n">
        <v>46110</v>
      </c>
      <c r="C161" s="13" t="inlineStr">
        <is>
          <t>微信1</t>
        </is>
      </c>
      <c r="D161" s="13" t="inlineStr">
        <is>
          <t>支出</t>
        </is>
      </c>
      <c r="E161" s="13" t="inlineStr">
        <is>
          <t>主材采购</t>
        </is>
      </c>
      <c r="F161" s="17">
        <f>IF($E161="","",IFERROR(VLOOKUP($E161,类别归属,2,0),"※类别不在基础资料里"))</f>
        <v/>
      </c>
      <c r="G161" s="13" t="inlineStr">
        <is>
          <t>睿芯行</t>
        </is>
      </c>
      <c r="H161" s="13" t="inlineStr">
        <is>
          <t>定金</t>
        </is>
      </c>
      <c r="I161" s="13" t="inlineStr">
        <is>
          <t>付定金（首付款）安徽三青鸟UV雕刻-文画墙-焗漆</t>
        </is>
      </c>
      <c r="J161" s="14" t="n"/>
      <c r="K161" s="14" t="n">
        <v>2300</v>
      </c>
      <c r="L161" s="19">
        <f>IF($C161="","",ROUND(IFERROR(VLOOKUP($C161,账户期初,2,0),0)+SUMIFS($J$4:J161,$C$4:C161,$C161)-SUMIFS($K$4:K161,$C$4:C161,$C161),2))</f>
        <v/>
      </c>
      <c r="M161" s="19">
        <f>IF($C161="","",ROUND(SUM(基础资料!$B$4:$B$13)+SUM($J$4:J161)-SUM($K$4:K161),2))</f>
        <v/>
      </c>
      <c r="N161" s="13" t="n"/>
      <c r="O161" s="13" t="n"/>
      <c r="P161" s="17">
        <f>IF($B161="","",IF($F161="※类别不在基础资料里","※费用类别不在基础资料里",IF(AND(N($J161)=0,N($K161)=0),"※这行没填金额",IF(AND(N($J161)&gt;0,N($K161)&gt;0),"※收入和支出不能同一行都填",IF(AND($D161="收入",N($J161)=0),"※收入行要填收入金额",IF(AND($D161="支出",N($K161)=0),"※支出行要填支出金额",IF(AND($C161&lt;&gt;"",ISNA(MATCH($C161,账户表,0))),"※账户不在基础资料里",IF(AND($G161&lt;&gt;"",ISNA(MATCH($G161,项目名表,0))),"※项目不在项目台账里",IF(AND(LEFT($F161,3)="成本-",$G161=""),"※成本类支出没填项目",IF(AND(LEFT($F161,3)="成本-",$H161&lt;&gt;"",N($K161)&gt;0,COUNTIFS(采购单!$B:$B,$B161,采购单!$C:$C,$H161,采购单!$L:$L,$K161)&gt;0),"※这笔可能和采购单重复了",""))))))))))</f>
        <v/>
      </c>
    </row>
    <row r="162">
      <c r="A162" s="17">
        <f>IF($B162="","",ROW()-3)</f>
        <v/>
      </c>
      <c r="B162" s="18" t="n">
        <v>46084</v>
      </c>
      <c r="C162" s="13" t="inlineStr">
        <is>
          <t>微信1</t>
        </is>
      </c>
      <c r="D162" s="13" t="inlineStr">
        <is>
          <t>支出</t>
        </is>
      </c>
      <c r="E162" s="13" t="inlineStr">
        <is>
          <t>主材采购</t>
        </is>
      </c>
      <c r="F162" s="17">
        <f>IF($E162="","",IFERROR(VLOOKUP($E162,类别归属,2,0),"※类别不在基础资料里"))</f>
        <v/>
      </c>
      <c r="G162" s="13" t="n"/>
      <c r="H162" s="13" t="inlineStr">
        <is>
          <t>吉祥铝板</t>
        </is>
      </c>
      <c r="I162" s="13" t="inlineStr">
        <is>
          <t>付吉祥铝板</t>
        </is>
      </c>
      <c r="J162" s="14" t="n"/>
      <c r="K162" s="14" t="n">
        <v>130</v>
      </c>
      <c r="L162" s="19">
        <f>IF($C162="","",ROUND(IFERROR(VLOOKUP($C162,账户期初,2,0),0)+SUMIFS($J$4:J162,$C$4:C162,$C162)-SUMIFS($K$4:K162,$C$4:C162,$C162),2))</f>
        <v/>
      </c>
      <c r="M162" s="19">
        <f>IF($C162="","",ROUND(SUM(基础资料!$B$4:$B$13)+SUM($J$4:J162)-SUM($K$4:K162),2))</f>
        <v/>
      </c>
      <c r="N162" s="13" t="n"/>
      <c r="O162" s="13" t="n"/>
      <c r="P162" s="17">
        <f>IF($B162="","",IF($F162="※类别不在基础资料里","※费用类别不在基础资料里",IF(AND(N($J162)=0,N($K162)=0),"※这行没填金额",IF(AND(N($J162)&gt;0,N($K162)&gt;0),"※收入和支出不能同一行都填",IF(AND($D162="收入",N($J162)=0),"※收入行要填收入金额",IF(AND($D162="支出",N($K162)=0),"※支出行要填支出金额",IF(AND($C162&lt;&gt;"",ISNA(MATCH($C162,账户表,0))),"※账户不在基础资料里",IF(AND($G162&lt;&gt;"",ISNA(MATCH($G162,项目名表,0))),"※项目不在项目台账里",IF(AND(LEFT($F162,3)="成本-",$G162=""),"※成本类支出没填项目",IF(AND(LEFT($F162,3)="成本-",$H162&lt;&gt;"",N($K162)&gt;0,COUNTIFS(采购单!$B:$B,$B162,采购单!$C:$C,$H162,采购单!$L:$L,$K162)&gt;0),"※这笔可能和采购单重复了",""))))))))))</f>
        <v/>
      </c>
    </row>
    <row r="163">
      <c r="A163" s="17">
        <f>IF($B163="","",ROW()-3)</f>
        <v/>
      </c>
      <c r="B163" s="18" t="n"/>
      <c r="C163" s="13" t="inlineStr">
        <is>
          <t>微信1</t>
        </is>
      </c>
      <c r="D163" s="13" t="inlineStr">
        <is>
          <t>收入</t>
        </is>
      </c>
      <c r="E163" s="13" t="inlineStr">
        <is>
          <t>零星物料销售</t>
        </is>
      </c>
      <c r="F163" s="17">
        <f>IF($E163="","",IFERROR(VLOOKUP($E163,类别归属,2,0),"※类别不在基础资料里"))</f>
        <v/>
      </c>
      <c r="G163" s="13" t="inlineStr">
        <is>
          <t>万达kvv</t>
        </is>
      </c>
      <c r="H163" s="13" t="n"/>
      <c r="I163" s="13" t="inlineStr">
        <is>
          <t>收万达KVV乔金鑫-物料</t>
        </is>
      </c>
      <c r="J163" s="14" t="n">
        <v>80</v>
      </c>
      <c r="K163" s="14" t="n"/>
      <c r="L163" s="19">
        <f>IF($C163="","",ROUND(IFERROR(VLOOKUP($C163,账户期初,2,0),0)+SUMIFS($J$4:J163,$C$4:C163,$C163)-SUMIFS($K$4:K163,$C$4:C163,$C163),2))</f>
        <v/>
      </c>
      <c r="M163" s="19">
        <f>IF($C163="","",ROUND(SUM(基础资料!$B$4:$B$13)+SUM($J$4:J163)-SUM($K$4:K163),2))</f>
        <v/>
      </c>
      <c r="N163" s="13" t="n"/>
      <c r="O163" s="13" t="n"/>
      <c r="P163" s="17">
        <f>IF($B163="","",IF($F163="※类别不在基础资料里","※费用类别不在基础资料里",IF(AND(N($J163)=0,N($K163)=0),"※这行没填金额",IF(AND(N($J163)&gt;0,N($K163)&gt;0),"※收入和支出不能同一行都填",IF(AND($D163="收入",N($J163)=0),"※收入行要填收入金额",IF(AND($D163="支出",N($K163)=0),"※支出行要填支出金额",IF(AND($C163&lt;&gt;"",ISNA(MATCH($C163,账户表,0))),"※账户不在基础资料里",IF(AND($G163&lt;&gt;"",ISNA(MATCH($G163,项目名表,0))),"※项目不在项目台账里",IF(AND(LEFT($F163,3)="成本-",$G163=""),"※成本类支出没填项目",IF(AND(LEFT($F163,3)="成本-",$H163&lt;&gt;"",N($K163)&gt;0,COUNTIFS(采购单!$B:$B,$B163,采购单!$C:$C,$H163,采购单!$L:$L,$K163)&gt;0),"※这笔可能和采购单重复了",""))))))))))</f>
        <v/>
      </c>
    </row>
    <row r="164">
      <c r="A164" s="17">
        <f>IF($B164="","",ROW()-3)</f>
        <v/>
      </c>
      <c r="B164" s="18" t="n">
        <v>46084</v>
      </c>
      <c r="C164" s="13" t="inlineStr">
        <is>
          <t>微信1</t>
        </is>
      </c>
      <c r="D164" s="13" t="inlineStr">
        <is>
          <t>支出</t>
        </is>
      </c>
      <c r="E164" s="13" t="inlineStr">
        <is>
          <t>车费/油费/过路费</t>
        </is>
      </c>
      <c r="F164" s="17">
        <f>IF($E164="","",IFERROR(VLOOKUP($E164,类别归属,2,0),"※类别不在基础资料里"))</f>
        <v/>
      </c>
      <c r="G164" s="13" t="n"/>
      <c r="H164" s="13" t="n"/>
      <c r="I164" s="13" t="inlineStr">
        <is>
          <t>312加油</t>
        </is>
      </c>
      <c r="J164" s="14" t="n"/>
      <c r="K164" s="14" t="n">
        <v>385</v>
      </c>
      <c r="L164" s="19">
        <f>IF($C164="","",ROUND(IFERROR(VLOOKUP($C164,账户期初,2,0),0)+SUMIFS($J$4:J164,$C$4:C164,$C164)-SUMIFS($K$4:K164,$C$4:C164,$C164),2))</f>
        <v/>
      </c>
      <c r="M164" s="19">
        <f>IF($C164="","",ROUND(SUM(基础资料!$B$4:$B$13)+SUM($J$4:J164)-SUM($K$4:K164),2))</f>
        <v/>
      </c>
      <c r="N164" s="13" t="n"/>
      <c r="O164" s="13" t="inlineStr">
        <is>
          <t>本次杨德 报销 2278.8</t>
        </is>
      </c>
      <c r="P164" s="17">
        <f>IF($B164="","",IF($F164="※类别不在基础资料里","※费用类别不在基础资料里",IF(AND(N($J164)=0,N($K164)=0),"※这行没填金额",IF(AND(N($J164)&gt;0,N($K164)&gt;0),"※收入和支出不能同一行都填",IF(AND($D164="收入",N($J164)=0),"※收入行要填收入金额",IF(AND($D164="支出",N($K164)=0),"※支出行要填支出金额",IF(AND($C164&lt;&gt;"",ISNA(MATCH($C164,账户表,0))),"※账户不在基础资料里",IF(AND($G164&lt;&gt;"",ISNA(MATCH($G164,项目名表,0))),"※项目不在项目台账里",IF(AND(LEFT($F164,3)="成本-",$G164=""),"※成本类支出没填项目",IF(AND(LEFT($F164,3)="成本-",$H164&lt;&gt;"",N($K164)&gt;0,COUNTIFS(采购单!$B:$B,$B164,采购单!$C:$C,$H164,采购单!$L:$L,$K164)&gt;0),"※这笔可能和采购单重复了",""))))))))))</f>
        <v/>
      </c>
    </row>
    <row r="165">
      <c r="A165" s="17">
        <f>IF($B165="","",ROW()-3)</f>
        <v/>
      </c>
      <c r="B165" s="18" t="n">
        <v>46084</v>
      </c>
      <c r="C165" s="13" t="inlineStr">
        <is>
          <t>微信1</t>
        </is>
      </c>
      <c r="D165" s="13" t="inlineStr">
        <is>
          <t>支出</t>
        </is>
      </c>
      <c r="E165" s="13" t="inlineStr">
        <is>
          <t>运费/快递费</t>
        </is>
      </c>
      <c r="F165" s="17">
        <f>IF($E165="","",IFERROR(VLOOKUP($E165,类别归属,2,0),"※类别不在基础资料里"))</f>
        <v/>
      </c>
      <c r="G165" s="13" t="inlineStr">
        <is>
          <t>铁柱烧烤店</t>
        </is>
      </c>
      <c r="H165" s="13" t="inlineStr">
        <is>
          <t>壹米滴答快递费</t>
        </is>
      </c>
      <c r="I165" s="13" t="inlineStr">
        <is>
          <t>壹米滴答快递费</t>
        </is>
      </c>
      <c r="J165" s="14" t="n"/>
      <c r="K165" s="14" t="n">
        <v>37</v>
      </c>
      <c r="L165" s="19">
        <f>IF($C165="","",ROUND(IFERROR(VLOOKUP($C165,账户期初,2,0),0)+SUMIFS($J$4:J165,$C$4:C165,$C165)-SUMIFS($K$4:K165,$C$4:C165,$C165),2))</f>
        <v/>
      </c>
      <c r="M165" s="19">
        <f>IF($C165="","",ROUND(SUM(基础资料!$B$4:$B$13)+SUM($J$4:J165)-SUM($K$4:K165),2))</f>
        <v/>
      </c>
      <c r="N165" s="13" t="n"/>
      <c r="O165" s="13" t="n"/>
      <c r="P165" s="17">
        <f>IF($B165="","",IF($F165="※类别不在基础资料里","※费用类别不在基础资料里",IF(AND(N($J165)=0,N($K165)=0),"※这行没填金额",IF(AND(N($J165)&gt;0,N($K165)&gt;0),"※收入和支出不能同一行都填",IF(AND($D165="收入",N($J165)=0),"※收入行要填收入金额",IF(AND($D165="支出",N($K165)=0),"※支出行要填支出金额",IF(AND($C165&lt;&gt;"",ISNA(MATCH($C165,账户表,0))),"※账户不在基础资料里",IF(AND($G165&lt;&gt;"",ISNA(MATCH($G165,项目名表,0))),"※项目不在项目台账里",IF(AND(LEFT($F165,3)="成本-",$G165=""),"※成本类支出没填项目",IF(AND(LEFT($F165,3)="成本-",$H165&lt;&gt;"",N($K165)&gt;0,COUNTIFS(采购单!$B:$B,$B165,采购单!$C:$C,$H165,采购单!$L:$L,$K165)&gt;0),"※这笔可能和采购单重复了",""))))))))))</f>
        <v/>
      </c>
    </row>
    <row r="166">
      <c r="A166" s="17">
        <f>IF($B166="","",ROW()-3)</f>
        <v/>
      </c>
      <c r="B166" s="18" t="n">
        <v>46084</v>
      </c>
      <c r="C166" s="13" t="inlineStr">
        <is>
          <t>微信1</t>
        </is>
      </c>
      <c r="D166" s="13" t="inlineStr">
        <is>
          <t>支出</t>
        </is>
      </c>
      <c r="E166" s="13" t="inlineStr">
        <is>
          <t>其他管理费用</t>
        </is>
      </c>
      <c r="F166" s="17">
        <f>IF($E166="","",IFERROR(VLOOKUP($E166,类别归属,2,0),"※类别不在基础资料里"))</f>
        <v/>
      </c>
      <c r="G166" s="13" t="n"/>
      <c r="H166" s="13" t="n"/>
      <c r="I166" s="13" t="inlineStr">
        <is>
          <t>软膜灯箱型材运费+货车费用</t>
        </is>
      </c>
      <c r="J166" s="14" t="n"/>
      <c r="K166" s="14" t="n">
        <v>560</v>
      </c>
      <c r="L166" s="19">
        <f>IF($C166="","",ROUND(IFERROR(VLOOKUP($C166,账户期初,2,0),0)+SUMIFS($J$4:J166,$C$4:C166,$C166)-SUMIFS($K$4:K166,$C$4:C166,$C166),2))</f>
        <v/>
      </c>
      <c r="M166" s="19">
        <f>IF($C166="","",ROUND(SUM(基础资料!$B$4:$B$13)+SUM($J$4:J166)-SUM($K$4:K166),2))</f>
        <v/>
      </c>
      <c r="N166" s="13" t="n"/>
      <c r="O166" s="13" t="n"/>
      <c r="P166" s="17">
        <f>IF($B166="","",IF($F166="※类别不在基础资料里","※费用类别不在基础资料里",IF(AND(N($J166)=0,N($K166)=0),"※这行没填金额",IF(AND(N($J166)&gt;0,N($K166)&gt;0),"※收入和支出不能同一行都填",IF(AND($D166="收入",N($J166)=0),"※收入行要填收入金额",IF(AND($D166="支出",N($K166)=0),"※支出行要填支出金额",IF(AND($C166&lt;&gt;"",ISNA(MATCH($C166,账户表,0))),"※账户不在基础资料里",IF(AND($G166&lt;&gt;"",ISNA(MATCH($G166,项目名表,0))),"※项目不在项目台账里",IF(AND(LEFT($F166,3)="成本-",$G166=""),"※成本类支出没填项目",IF(AND(LEFT($F166,3)="成本-",$H166&lt;&gt;"",N($K166)&gt;0,COUNTIFS(采购单!$B:$B,$B166,采购单!$C:$C,$H166,采购单!$L:$L,$K166)&gt;0),"※这笔可能和采购单重复了",""))))))))))</f>
        <v/>
      </c>
    </row>
    <row r="167">
      <c r="A167" s="17">
        <f>IF($B167="","",ROW()-3)</f>
        <v/>
      </c>
      <c r="B167" s="18" t="n">
        <v>46084</v>
      </c>
      <c r="C167" s="13" t="inlineStr">
        <is>
          <t>微信1</t>
        </is>
      </c>
      <c r="D167" s="13" t="inlineStr">
        <is>
          <t>支出</t>
        </is>
      </c>
      <c r="E167" s="13" t="inlineStr">
        <is>
          <t>其他管理费用</t>
        </is>
      </c>
      <c r="F167" s="17">
        <f>IF($E167="","",IFERROR(VLOOKUP($E167,类别归属,2,0),"※类别不在基础资料里"))</f>
        <v/>
      </c>
      <c r="G167" s="13" t="n"/>
      <c r="H167" s="13" t="n"/>
      <c r="I167" s="13" t="inlineStr">
        <is>
          <t>10*15塑封袋</t>
        </is>
      </c>
      <c r="J167" s="14" t="n"/>
      <c r="K167" s="14" t="n">
        <v>16.8</v>
      </c>
      <c r="L167" s="19">
        <f>IF($C167="","",ROUND(IFERROR(VLOOKUP($C167,账户期初,2,0),0)+SUMIFS($J$4:J167,$C$4:C167,$C167)-SUMIFS($K$4:K167,$C$4:C167,$C167),2))</f>
        <v/>
      </c>
      <c r="M167" s="19">
        <f>IF($C167="","",ROUND(SUM(基础资料!$B$4:$B$13)+SUM($J$4:J167)-SUM($K$4:K167),2))</f>
        <v/>
      </c>
      <c r="N167" s="13" t="n"/>
      <c r="O167" s="13" t="n"/>
      <c r="P167" s="17">
        <f>IF($B167="","",IF($F167="※类别不在基础资料里","※费用类别不在基础资料里",IF(AND(N($J167)=0,N($K167)=0),"※这行没填金额",IF(AND(N($J167)&gt;0,N($K167)&gt;0),"※收入和支出不能同一行都填",IF(AND($D167="收入",N($J167)=0),"※收入行要填收入金额",IF(AND($D167="支出",N($K167)=0),"※支出行要填支出金额",IF(AND($C167&lt;&gt;"",ISNA(MATCH($C167,账户表,0))),"※账户不在基础资料里",IF(AND($G167&lt;&gt;"",ISNA(MATCH($G167,项目名表,0))),"※项目不在项目台账里",IF(AND(LEFT($F167,3)="成本-",$G167=""),"※成本类支出没填项目",IF(AND(LEFT($F167,3)="成本-",$H167&lt;&gt;"",N($K167)&gt;0,COUNTIFS(采购单!$B:$B,$B167,采购单!$C:$C,$H167,采购单!$L:$L,$K167)&gt;0),"※这笔可能和采购单重复了",""))))))))))</f>
        <v/>
      </c>
    </row>
    <row r="168">
      <c r="A168" s="17">
        <f>IF($B168="","",ROW()-3)</f>
        <v/>
      </c>
      <c r="B168" s="18" t="n">
        <v>46084</v>
      </c>
      <c r="C168" s="13" t="inlineStr">
        <is>
          <t>微信1</t>
        </is>
      </c>
      <c r="D168" s="13" t="inlineStr">
        <is>
          <t>支出</t>
        </is>
      </c>
      <c r="E168" s="13" t="inlineStr">
        <is>
          <t>业务招待/餐费</t>
        </is>
      </c>
      <c r="F168" s="17">
        <f>IF($E168="","",IFERROR(VLOOKUP($E168,类别归属,2,0),"※类别不在基础资料里"))</f>
        <v/>
      </c>
      <c r="G168" s="13" t="inlineStr">
        <is>
          <t>铁柱烧烤店</t>
        </is>
      </c>
      <c r="H168" s="13" t="n"/>
      <c r="I168" s="13" t="inlineStr">
        <is>
          <t>外叫工人餐费</t>
        </is>
      </c>
      <c r="J168" s="14" t="n"/>
      <c r="K168" s="14" t="n">
        <v>18</v>
      </c>
      <c r="L168" s="19">
        <f>IF($C168="","",ROUND(IFERROR(VLOOKUP($C168,账户期初,2,0),0)+SUMIFS($J$4:J168,$C$4:C168,$C168)-SUMIFS($K$4:K168,$C$4:C168,$C168),2))</f>
        <v/>
      </c>
      <c r="M168" s="19">
        <f>IF($C168="","",ROUND(SUM(基础资料!$B$4:$B$13)+SUM($J$4:J168)-SUM($K$4:K168),2))</f>
        <v/>
      </c>
      <c r="N168" s="13" t="n"/>
      <c r="O168" s="13" t="n"/>
      <c r="P168" s="17">
        <f>IF($B168="","",IF($F168="※类别不在基础资料里","※费用类别不在基础资料里",IF(AND(N($J168)=0,N($K168)=0),"※这行没填金额",IF(AND(N($J168)&gt;0,N($K168)&gt;0),"※收入和支出不能同一行都填",IF(AND($D168="收入",N($J168)=0),"※收入行要填收入金额",IF(AND($D168="支出",N($K168)=0),"※支出行要填支出金额",IF(AND($C168&lt;&gt;"",ISNA(MATCH($C168,账户表,0))),"※账户不在基础资料里",IF(AND($G168&lt;&gt;"",ISNA(MATCH($G168,项目名表,0))),"※项目不在项目台账里",IF(AND(LEFT($F168,3)="成本-",$G168=""),"※成本类支出没填项目",IF(AND(LEFT($F168,3)="成本-",$H168&lt;&gt;"",N($K168)&gt;0,COUNTIFS(采购单!$B:$B,$B168,采购单!$C:$C,$H168,采购单!$L:$L,$K168)&gt;0),"※这笔可能和采购单重复了",""))))))))))</f>
        <v/>
      </c>
    </row>
    <row r="169">
      <c r="A169" s="17">
        <f>IF($B169="","",ROW()-3)</f>
        <v/>
      </c>
      <c r="B169" s="18" t="n">
        <v>46084</v>
      </c>
      <c r="C169" s="13" t="inlineStr">
        <is>
          <t>微信1</t>
        </is>
      </c>
      <c r="D169" s="13" t="inlineStr">
        <is>
          <t>支出</t>
        </is>
      </c>
      <c r="E169" s="13" t="inlineStr">
        <is>
          <t>其他管理费用</t>
        </is>
      </c>
      <c r="F169" s="17">
        <f>IF($E169="","",IFERROR(VLOOKUP($E169,类别归属,2,0),"※类别不在基础资料里"))</f>
        <v/>
      </c>
      <c r="G169" s="13" t="inlineStr">
        <is>
          <t>铁柱烧烤店</t>
        </is>
      </c>
      <c r="H169" s="13" t="n"/>
      <c r="I169" s="13" t="inlineStr">
        <is>
          <t>黑钛拉丝包边</t>
        </is>
      </c>
      <c r="J169" s="14" t="n"/>
      <c r="K169" s="14" t="n">
        <v>286</v>
      </c>
      <c r="L169" s="19">
        <f>IF($C169="","",ROUND(IFERROR(VLOOKUP($C169,账户期初,2,0),0)+SUMIFS($J$4:J169,$C$4:C169,$C169)-SUMIFS($K$4:K169,$C$4:C169,$C169),2))</f>
        <v/>
      </c>
      <c r="M169" s="19">
        <f>IF($C169="","",ROUND(SUM(基础资料!$B$4:$B$13)+SUM($J$4:J169)-SUM($K$4:K169),2))</f>
        <v/>
      </c>
      <c r="N169" s="13" t="n"/>
      <c r="O169" s="13" t="n"/>
      <c r="P169" s="17">
        <f>IF($B169="","",IF($F169="※类别不在基础资料里","※费用类别不在基础资料里",IF(AND(N($J169)=0,N($K169)=0),"※这行没填金额",IF(AND(N($J169)&gt;0,N($K169)&gt;0),"※收入和支出不能同一行都填",IF(AND($D169="收入",N($J169)=0),"※收入行要填收入金额",IF(AND($D169="支出",N($K169)=0),"※支出行要填支出金额",IF(AND($C169&lt;&gt;"",ISNA(MATCH($C169,账户表,0))),"※账户不在基础资料里",IF(AND($G169&lt;&gt;"",ISNA(MATCH($G169,项目名表,0))),"※项目不在项目台账里",IF(AND(LEFT($F169,3)="成本-",$G169=""),"※成本类支出没填项目",IF(AND(LEFT($F169,3)="成本-",$H169&lt;&gt;"",N($K169)&gt;0,COUNTIFS(采购单!$B:$B,$B169,采购单!$C:$C,$H169,采购单!$L:$L,$K169)&gt;0),"※这笔可能和采购单重复了",""))))))))))</f>
        <v/>
      </c>
    </row>
    <row r="170">
      <c r="A170" s="17">
        <f>IF($B170="","",ROW()-3)</f>
        <v/>
      </c>
      <c r="B170" s="18" t="n">
        <v>46084</v>
      </c>
      <c r="C170" s="13" t="inlineStr">
        <is>
          <t>微信1</t>
        </is>
      </c>
      <c r="D170" s="13" t="inlineStr">
        <is>
          <t>支出</t>
        </is>
      </c>
      <c r="E170" s="13" t="inlineStr">
        <is>
          <t>其他管理费用</t>
        </is>
      </c>
      <c r="F170" s="17">
        <f>IF($E170="","",IFERROR(VLOOKUP($E170,类别归属,2,0),"※类别不在基础资料里"))</f>
        <v/>
      </c>
      <c r="G170" s="13" t="inlineStr">
        <is>
          <t>织里水果店</t>
        </is>
      </c>
      <c r="H170" s="13" t="n"/>
      <c r="I170" s="13" t="inlineStr">
        <is>
          <t>手套1包</t>
        </is>
      </c>
      <c r="J170" s="14" t="n"/>
      <c r="K170" s="14" t="n">
        <v>20</v>
      </c>
      <c r="L170" s="19">
        <f>IF($C170="","",ROUND(IFERROR(VLOOKUP($C170,账户期初,2,0),0)+SUMIFS($J$4:J170,$C$4:C170,$C170)-SUMIFS($K$4:K170,$C$4:C170,$C170),2))</f>
        <v/>
      </c>
      <c r="M170" s="19">
        <f>IF($C170="","",ROUND(SUM(基础资料!$B$4:$B$13)+SUM($J$4:J170)-SUM($K$4:K170),2))</f>
        <v/>
      </c>
      <c r="N170" s="13" t="n"/>
      <c r="O170" s="13" t="n"/>
      <c r="P170" s="17">
        <f>IF($B170="","",IF($F170="※类别不在基础资料里","※费用类别不在基础资料里",IF(AND(N($J170)=0,N($K170)=0),"※这行没填金额",IF(AND(N($J170)&gt;0,N($K170)&gt;0),"※收入和支出不能同一行都填",IF(AND($D170="收入",N($J170)=0),"※收入行要填收入金额",IF(AND($D170="支出",N($K170)=0),"※支出行要填支出金额",IF(AND($C170&lt;&gt;"",ISNA(MATCH($C170,账户表,0))),"※账户不在基础资料里",IF(AND($G170&lt;&gt;"",ISNA(MATCH($G170,项目名表,0))),"※项目不在项目台账里",IF(AND(LEFT($F170,3)="成本-",$G170=""),"※成本类支出没填项目",IF(AND(LEFT($F170,3)="成本-",$H170&lt;&gt;"",N($K170)&gt;0,COUNTIFS(采购单!$B:$B,$B170,采购单!$C:$C,$H170,采购单!$L:$L,$K170)&gt;0),"※这笔可能和采购单重复了",""))))))))))</f>
        <v/>
      </c>
    </row>
    <row r="171">
      <c r="A171" s="17">
        <f>IF($B171="","",ROW()-3)</f>
        <v/>
      </c>
      <c r="B171" s="18" t="n">
        <v>46084</v>
      </c>
      <c r="C171" s="13" t="inlineStr">
        <is>
          <t>微信1</t>
        </is>
      </c>
      <c r="D171" s="13" t="inlineStr">
        <is>
          <t>支出</t>
        </is>
      </c>
      <c r="E171" s="13" t="inlineStr">
        <is>
          <t>其他管理费用</t>
        </is>
      </c>
      <c r="F171" s="17">
        <f>IF($E171="","",IFERROR(VLOOKUP($E171,类别归属,2,0),"※类别不在基础资料里"))</f>
        <v/>
      </c>
      <c r="G171" s="13" t="inlineStr">
        <is>
          <t>织里水果店</t>
        </is>
      </c>
      <c r="H171" s="13" t="n"/>
      <c r="I171" s="13" t="inlineStr">
        <is>
          <t>手锤一把</t>
        </is>
      </c>
      <c r="J171" s="14" t="n"/>
      <c r="K171" s="14" t="n">
        <v>15</v>
      </c>
      <c r="L171" s="19">
        <f>IF($C171="","",ROUND(IFERROR(VLOOKUP($C171,账户期初,2,0),0)+SUMIFS($J$4:J171,$C$4:C171,$C171)-SUMIFS($K$4:K171,$C$4:C171,$C171),2))</f>
        <v/>
      </c>
      <c r="M171" s="19">
        <f>IF($C171="","",ROUND(SUM(基础资料!$B$4:$B$13)+SUM($J$4:J171)-SUM($K$4:K171),2))</f>
        <v/>
      </c>
      <c r="N171" s="13" t="n"/>
      <c r="O171" s="13" t="n"/>
      <c r="P171" s="17">
        <f>IF($B171="","",IF($F171="※类别不在基础资料里","※费用类别不在基础资料里",IF(AND(N($J171)=0,N($K171)=0),"※这行没填金额",IF(AND(N($J171)&gt;0,N($K171)&gt;0),"※收入和支出不能同一行都填",IF(AND($D171="收入",N($J171)=0),"※收入行要填收入金额",IF(AND($D171="支出",N($K171)=0),"※支出行要填支出金额",IF(AND($C171&lt;&gt;"",ISNA(MATCH($C171,账户表,0))),"※账户不在基础资料里",IF(AND($G171&lt;&gt;"",ISNA(MATCH($G171,项目名表,0))),"※项目不在项目台账里",IF(AND(LEFT($F171,3)="成本-",$G171=""),"※成本类支出没填项目",IF(AND(LEFT($F171,3)="成本-",$H171&lt;&gt;"",N($K171)&gt;0,COUNTIFS(采购单!$B:$B,$B171,采购单!$C:$C,$H171,采购单!$L:$L,$K171)&gt;0),"※这笔可能和采购单重复了",""))))))))))</f>
        <v/>
      </c>
    </row>
    <row r="172">
      <c r="A172" s="17">
        <f>IF($B172="","",ROW()-3)</f>
        <v/>
      </c>
      <c r="B172" s="18" t="n">
        <v>46084</v>
      </c>
      <c r="C172" s="13" t="inlineStr">
        <is>
          <t>微信1</t>
        </is>
      </c>
      <c r="D172" s="13" t="inlineStr">
        <is>
          <t>支出</t>
        </is>
      </c>
      <c r="E172" s="13" t="inlineStr">
        <is>
          <t>其他管理费用</t>
        </is>
      </c>
      <c r="F172" s="17">
        <f>IF($E172="","",IFERROR(VLOOKUP($E172,类别归属,2,0),"※类别不在基础资料里"))</f>
        <v/>
      </c>
      <c r="G172" s="13" t="inlineStr">
        <is>
          <t>织里水果店</t>
        </is>
      </c>
      <c r="H172" s="13" t="n"/>
      <c r="I172" s="13" t="inlineStr">
        <is>
          <t>活动扳手+300切割片</t>
        </is>
      </c>
      <c r="J172" s="14" t="n"/>
      <c r="K172" s="14" t="n">
        <v>30</v>
      </c>
      <c r="L172" s="19">
        <f>IF($C172="","",ROUND(IFERROR(VLOOKUP($C172,账户期初,2,0),0)+SUMIFS($J$4:J172,$C$4:C172,$C172)-SUMIFS($K$4:K172,$C$4:C172,$C172),2))</f>
        <v/>
      </c>
      <c r="M172" s="19">
        <f>IF($C172="","",ROUND(SUM(基础资料!$B$4:$B$13)+SUM($J$4:J172)-SUM($K$4:K172),2))</f>
        <v/>
      </c>
      <c r="N172" s="13" t="n"/>
      <c r="O172" s="13" t="n"/>
      <c r="P172" s="17">
        <f>IF($B172="","",IF($F172="※类别不在基础资料里","※费用类别不在基础资料里",IF(AND(N($J172)=0,N($K172)=0),"※这行没填金额",IF(AND(N($J172)&gt;0,N($K172)&gt;0),"※收入和支出不能同一行都填",IF(AND($D172="收入",N($J172)=0),"※收入行要填收入金额",IF(AND($D172="支出",N($K172)=0),"※支出行要填支出金额",IF(AND($C172&lt;&gt;"",ISNA(MATCH($C172,账户表,0))),"※账户不在基础资料里",IF(AND($G172&lt;&gt;"",ISNA(MATCH($G172,项目名表,0))),"※项目不在项目台账里",IF(AND(LEFT($F172,3)="成本-",$G172=""),"※成本类支出没填项目",IF(AND(LEFT($F172,3)="成本-",$H172&lt;&gt;"",N($K172)&gt;0,COUNTIFS(采购单!$B:$B,$B172,采购单!$C:$C,$H172,采购单!$L:$L,$K172)&gt;0),"※这笔可能和采购单重复了",""))))))))))</f>
        <v/>
      </c>
    </row>
    <row r="173">
      <c r="A173" s="17">
        <f>IF($B173="","",ROW()-3)</f>
        <v/>
      </c>
      <c r="B173" s="18" t="n">
        <v>46084</v>
      </c>
      <c r="C173" s="13" t="inlineStr">
        <is>
          <t>微信1</t>
        </is>
      </c>
      <c r="D173" s="13" t="inlineStr">
        <is>
          <t>支出</t>
        </is>
      </c>
      <c r="E173" s="13" t="inlineStr">
        <is>
          <t>其他管理费用</t>
        </is>
      </c>
      <c r="F173" s="17">
        <f>IF($E173="","",IFERROR(VLOOKUP($E173,类别归属,2,0),"※类别不在基础资料里"))</f>
        <v/>
      </c>
      <c r="G173" s="13" t="inlineStr">
        <is>
          <t>织里水果店</t>
        </is>
      </c>
      <c r="H173" s="13" t="n"/>
      <c r="I173" s="13" t="inlineStr">
        <is>
          <t>2.5焊条1包</t>
        </is>
      </c>
      <c r="J173" s="14" t="n"/>
      <c r="K173" s="14" t="n">
        <v>30</v>
      </c>
      <c r="L173" s="19">
        <f>IF($C173="","",ROUND(IFERROR(VLOOKUP($C173,账户期初,2,0),0)+SUMIFS($J$4:J173,$C$4:C173,$C173)-SUMIFS($K$4:K173,$C$4:C173,$C173),2))</f>
        <v/>
      </c>
      <c r="M173" s="19">
        <f>IF($C173="","",ROUND(SUM(基础资料!$B$4:$B$13)+SUM($J$4:J173)-SUM($K$4:K173),2))</f>
        <v/>
      </c>
      <c r="N173" s="13" t="n"/>
      <c r="O173" s="13" t="n"/>
      <c r="P173" s="17">
        <f>IF($B173="","",IF($F173="※类别不在基础资料里","※费用类别不在基础资料里",IF(AND(N($J173)=0,N($K173)=0),"※这行没填金额",IF(AND(N($J173)&gt;0,N($K173)&gt;0),"※收入和支出不能同一行都填",IF(AND($D173="收入",N($J173)=0),"※收入行要填收入金额",IF(AND($D173="支出",N($K173)=0),"※支出行要填支出金额",IF(AND($C173&lt;&gt;"",ISNA(MATCH($C173,账户表,0))),"※账户不在基础资料里",IF(AND($G173&lt;&gt;"",ISNA(MATCH($G173,项目名表,0))),"※项目不在项目台账里",IF(AND(LEFT($F173,3)="成本-",$G173=""),"※成本类支出没填项目",IF(AND(LEFT($F173,3)="成本-",$H173&lt;&gt;"",N($K173)&gt;0,COUNTIFS(采购单!$B:$B,$B173,采购单!$C:$C,$H173,采购单!$L:$L,$K173)&gt;0),"※这笔可能和采购单重复了",""))))))))))</f>
        <v/>
      </c>
    </row>
    <row r="174">
      <c r="A174" s="17">
        <f>IF($B174="","",ROW()-3)</f>
        <v/>
      </c>
      <c r="B174" s="18" t="n">
        <v>46084</v>
      </c>
      <c r="C174" s="13" t="inlineStr">
        <is>
          <t>微信1</t>
        </is>
      </c>
      <c r="D174" s="13" t="inlineStr">
        <is>
          <t>支出</t>
        </is>
      </c>
      <c r="E174" s="13" t="inlineStr">
        <is>
          <t>其他管理费用</t>
        </is>
      </c>
      <c r="F174" s="17">
        <f>IF($E174="","",IFERROR(VLOOKUP($E174,类别归属,2,0),"※类别不在基础资料里"))</f>
        <v/>
      </c>
      <c r="G174" s="13" t="inlineStr">
        <is>
          <t>织里水果店</t>
        </is>
      </c>
      <c r="H174" s="13" t="n"/>
      <c r="I174" s="13" t="inlineStr">
        <is>
          <t>2*4*1.2镀锌钢管10根</t>
        </is>
      </c>
      <c r="J174" s="14" t="n"/>
      <c r="K174" s="14" t="n">
        <v>248</v>
      </c>
      <c r="L174" s="19">
        <f>IF($C174="","",ROUND(IFERROR(VLOOKUP($C174,账户期初,2,0),0)+SUMIFS($J$4:J174,$C$4:C174,$C174)-SUMIFS($K$4:K174,$C$4:C174,$C174),2))</f>
        <v/>
      </c>
      <c r="M174" s="19">
        <f>IF($C174="","",ROUND(SUM(基础资料!$B$4:$B$13)+SUM($J$4:J174)-SUM($K$4:K174),2))</f>
        <v/>
      </c>
      <c r="N174" s="13" t="n"/>
      <c r="O174" s="13" t="n"/>
      <c r="P174" s="17">
        <f>IF($B174="","",IF($F174="※类别不在基础资料里","※费用类别不在基础资料里",IF(AND(N($J174)=0,N($K174)=0),"※这行没填金额",IF(AND(N($J174)&gt;0,N($K174)&gt;0),"※收入和支出不能同一行都填",IF(AND($D174="收入",N($J174)=0),"※收入行要填收入金额",IF(AND($D174="支出",N($K174)=0),"※支出行要填支出金额",IF(AND($C174&lt;&gt;"",ISNA(MATCH($C174,账户表,0))),"※账户不在基础资料里",IF(AND($G174&lt;&gt;"",ISNA(MATCH($G174,项目名表,0))),"※项目不在项目台账里",IF(AND(LEFT($F174,3)="成本-",$G174=""),"※成本类支出没填项目",IF(AND(LEFT($F174,3)="成本-",$H174&lt;&gt;"",N($K174)&gt;0,COUNTIFS(采购单!$B:$B,$B174,采购单!$C:$C,$H174,采购单!$L:$L,$K174)&gt;0),"※这笔可能和采购单重复了",""))))))))))</f>
        <v/>
      </c>
    </row>
    <row r="175">
      <c r="A175" s="17">
        <f>IF($B175="","",ROW()-3)</f>
        <v/>
      </c>
      <c r="B175" s="18" t="n">
        <v>46084</v>
      </c>
      <c r="C175" s="13" t="inlineStr">
        <is>
          <t>微信1</t>
        </is>
      </c>
      <c r="D175" s="13" t="inlineStr">
        <is>
          <t>支出</t>
        </is>
      </c>
      <c r="E175" s="13" t="inlineStr">
        <is>
          <t>其他管理费用</t>
        </is>
      </c>
      <c r="F175" s="17">
        <f>IF($E175="","",IFERROR(VLOOKUP($E175,类别归属,2,0),"※类别不在基础资料里"))</f>
        <v/>
      </c>
      <c r="G175" s="13" t="inlineStr">
        <is>
          <t>织里水果店</t>
        </is>
      </c>
      <c r="H175" s="13" t="n"/>
      <c r="I175" s="13" t="inlineStr">
        <is>
          <t>10开槽机刀头</t>
        </is>
      </c>
      <c r="J175" s="14" t="n"/>
      <c r="K175" s="14" t="n">
        <v>20</v>
      </c>
      <c r="L175" s="19">
        <f>IF($C175="","",ROUND(IFERROR(VLOOKUP($C175,账户期初,2,0),0)+SUMIFS($J$4:J175,$C$4:C175,$C175)-SUMIFS($K$4:K175,$C$4:C175,$C175),2))</f>
        <v/>
      </c>
      <c r="M175" s="19">
        <f>IF($C175="","",ROUND(SUM(基础资料!$B$4:$B$13)+SUM($J$4:J175)-SUM($K$4:K175),2))</f>
        <v/>
      </c>
      <c r="N175" s="13" t="n"/>
      <c r="O175" s="13" t="n"/>
      <c r="P175" s="17">
        <f>IF($B175="","",IF($F175="※类别不在基础资料里","※费用类别不在基础资料里",IF(AND(N($J175)=0,N($K175)=0),"※这行没填金额",IF(AND(N($J175)&gt;0,N($K175)&gt;0),"※收入和支出不能同一行都填",IF(AND($D175="收入",N($J175)=0),"※收入行要填收入金额",IF(AND($D175="支出",N($K175)=0),"※支出行要填支出金额",IF(AND($C175&lt;&gt;"",ISNA(MATCH($C175,账户表,0))),"※账户不在基础资料里",IF(AND($G175&lt;&gt;"",ISNA(MATCH($G175,项目名表,0))),"※项目不在项目台账里",IF(AND(LEFT($F175,3)="成本-",$G175=""),"※成本类支出没填项目",IF(AND(LEFT($F175,3)="成本-",$H175&lt;&gt;"",N($K175)&gt;0,COUNTIFS(采购单!$B:$B,$B175,采购单!$C:$C,$H175,采购单!$L:$L,$K175)&gt;0),"※这笔可能和采购单重复了",""))))))))))</f>
        <v/>
      </c>
    </row>
    <row r="176">
      <c r="A176" s="17">
        <f>IF($B176="","",ROW()-3)</f>
        <v/>
      </c>
      <c r="B176" s="18" t="n">
        <v>46084</v>
      </c>
      <c r="C176" s="13" t="inlineStr">
        <is>
          <t>微信1</t>
        </is>
      </c>
      <c r="D176" s="13" t="inlineStr">
        <is>
          <t>支出</t>
        </is>
      </c>
      <c r="E176" s="13" t="inlineStr">
        <is>
          <t>业务招待/餐费</t>
        </is>
      </c>
      <c r="F176" s="17">
        <f>IF($E176="","",IFERROR(VLOOKUP($E176,类别归属,2,0),"※类别不在基础资料里"))</f>
        <v/>
      </c>
      <c r="G176" s="13" t="inlineStr">
        <is>
          <t>织里水果店</t>
        </is>
      </c>
      <c r="H176" s="13" t="n"/>
      <c r="I176" s="13" t="inlineStr">
        <is>
          <t>外叫工人餐费</t>
        </is>
      </c>
      <c r="J176" s="14" t="n"/>
      <c r="K176" s="14" t="n">
        <v>18</v>
      </c>
      <c r="L176" s="19">
        <f>IF($C176="","",ROUND(IFERROR(VLOOKUP($C176,账户期初,2,0),0)+SUMIFS($J$4:J176,$C$4:C176,$C176)-SUMIFS($K$4:K176,$C$4:C176,$C176),2))</f>
        <v/>
      </c>
      <c r="M176" s="19">
        <f>IF($C176="","",ROUND(SUM(基础资料!$B$4:$B$13)+SUM($J$4:J176)-SUM($K$4:K176),2))</f>
        <v/>
      </c>
      <c r="N176" s="13" t="n"/>
      <c r="O176" s="13" t="n"/>
      <c r="P176" s="17">
        <f>IF($B176="","",IF($F176="※类别不在基础资料里","※费用类别不在基础资料里",IF(AND(N($J176)=0,N($K176)=0),"※这行没填金额",IF(AND(N($J176)&gt;0,N($K176)&gt;0),"※收入和支出不能同一行都填",IF(AND($D176="收入",N($J176)=0),"※收入行要填收入金额",IF(AND($D176="支出",N($K176)=0),"※支出行要填支出金额",IF(AND($C176&lt;&gt;"",ISNA(MATCH($C176,账户表,0))),"※账户不在基础资料里",IF(AND($G176&lt;&gt;"",ISNA(MATCH($G176,项目名表,0))),"※项目不在项目台账里",IF(AND(LEFT($F176,3)="成本-",$G176=""),"※成本类支出没填项目",IF(AND(LEFT($F176,3)="成本-",$H176&lt;&gt;"",N($K176)&gt;0,COUNTIFS(采购单!$B:$B,$B176,采购单!$C:$C,$H176,采购单!$L:$L,$K176)&gt;0),"※这笔可能和采购单重复了",""))))))))))</f>
        <v/>
      </c>
    </row>
    <row r="177">
      <c r="A177" s="17">
        <f>IF($B177="","",ROW()-3)</f>
        <v/>
      </c>
      <c r="B177" s="18" t="n">
        <v>46084</v>
      </c>
      <c r="C177" s="13" t="inlineStr">
        <is>
          <t>微信1</t>
        </is>
      </c>
      <c r="D177" s="13" t="inlineStr">
        <is>
          <t>支出</t>
        </is>
      </c>
      <c r="E177" s="13" t="inlineStr">
        <is>
          <t>业务招待/餐费</t>
        </is>
      </c>
      <c r="F177" s="17">
        <f>IF($E177="","",IFERROR(VLOOKUP($E177,类别归属,2,0),"※类别不在基础资料里"))</f>
        <v/>
      </c>
      <c r="G177" s="13" t="inlineStr">
        <is>
          <t>织里水果店</t>
        </is>
      </c>
      <c r="H177" s="13" t="n"/>
      <c r="I177" s="13" t="inlineStr">
        <is>
          <t>外叫工人餐费</t>
        </is>
      </c>
      <c r="J177" s="14" t="n"/>
      <c r="K177" s="14" t="n">
        <v>18</v>
      </c>
      <c r="L177" s="19">
        <f>IF($C177="","",ROUND(IFERROR(VLOOKUP($C177,账户期初,2,0),0)+SUMIFS($J$4:J177,$C$4:C177,$C177)-SUMIFS($K$4:K177,$C$4:C177,$C177),2))</f>
        <v/>
      </c>
      <c r="M177" s="19">
        <f>IF($C177="","",ROUND(SUM(基础资料!$B$4:$B$13)+SUM($J$4:J177)-SUM($K$4:K177),2))</f>
        <v/>
      </c>
      <c r="N177" s="13" t="n"/>
      <c r="O177" s="13" t="n"/>
      <c r="P177" s="17">
        <f>IF($B177="","",IF($F177="※类别不在基础资料里","※费用类别不在基础资料里",IF(AND(N($J177)=0,N($K177)=0),"※这行没填金额",IF(AND(N($J177)&gt;0,N($K177)&gt;0),"※收入和支出不能同一行都填",IF(AND($D177="收入",N($J177)=0),"※收入行要填收入金额",IF(AND($D177="支出",N($K177)=0),"※支出行要填支出金额",IF(AND($C177&lt;&gt;"",ISNA(MATCH($C177,账户表,0))),"※账户不在基础资料里",IF(AND($G177&lt;&gt;"",ISNA(MATCH($G177,项目名表,0))),"※项目不在项目台账里",IF(AND(LEFT($F177,3)="成本-",$G177=""),"※成本类支出没填项目",IF(AND(LEFT($F177,3)="成本-",$H177&lt;&gt;"",N($K177)&gt;0,COUNTIFS(采购单!$B:$B,$B177,采购单!$C:$C,$H177,采购单!$L:$L,$K177)&gt;0),"※这笔可能和采购单重复了",""))))))))))</f>
        <v/>
      </c>
    </row>
    <row r="178">
      <c r="A178" s="17">
        <f>IF($B178="","",ROW()-3)</f>
        <v/>
      </c>
      <c r="B178" s="18" t="n">
        <v>46084</v>
      </c>
      <c r="C178" s="13" t="inlineStr">
        <is>
          <t>微信1</t>
        </is>
      </c>
      <c r="D178" s="13" t="inlineStr">
        <is>
          <t>支出</t>
        </is>
      </c>
      <c r="E178" s="13" t="inlineStr">
        <is>
          <t>车费/油费/过路费</t>
        </is>
      </c>
      <c r="F178" s="17">
        <f>IF($E178="","",IFERROR(VLOOKUP($E178,类别归属,2,0),"※类别不在基础资料里"))</f>
        <v/>
      </c>
      <c r="G178" s="13" t="inlineStr">
        <is>
          <t>牛羊肉门头维修</t>
        </is>
      </c>
      <c r="H178" s="13" t="n"/>
      <c r="I178" s="13" t="inlineStr">
        <is>
          <t>停车费</t>
        </is>
      </c>
      <c r="J178" s="14" t="n"/>
      <c r="K178" s="14" t="n">
        <v>15</v>
      </c>
      <c r="L178" s="19">
        <f>IF($C178="","",ROUND(IFERROR(VLOOKUP($C178,账户期初,2,0),0)+SUMIFS($J$4:J178,$C$4:C178,$C178)-SUMIFS($K$4:K178,$C$4:C178,$C178),2))</f>
        <v/>
      </c>
      <c r="M178" s="19">
        <f>IF($C178="","",ROUND(SUM(基础资料!$B$4:$B$13)+SUM($J$4:J178)-SUM($K$4:K178),2))</f>
        <v/>
      </c>
      <c r="N178" s="13" t="n"/>
      <c r="O178" s="13" t="n"/>
      <c r="P178" s="17">
        <f>IF($B178="","",IF($F178="※类别不在基础资料里","※费用类别不在基础资料里",IF(AND(N($J178)=0,N($K178)=0),"※这行没填金额",IF(AND(N($J178)&gt;0,N($K178)&gt;0),"※收入和支出不能同一行都填",IF(AND($D178="收入",N($J178)=0),"※收入行要填收入金额",IF(AND($D178="支出",N($K178)=0),"※支出行要填支出金额",IF(AND($C178&lt;&gt;"",ISNA(MATCH($C178,账户表,0))),"※账户不在基础资料里",IF(AND($G178&lt;&gt;"",ISNA(MATCH($G178,项目名表,0))),"※项目不在项目台账里",IF(AND(LEFT($F178,3)="成本-",$G178=""),"※成本类支出没填项目",IF(AND(LEFT($F178,3)="成本-",$H178&lt;&gt;"",N($K178)&gt;0,COUNTIFS(采购单!$B:$B,$B178,采购单!$C:$C,$H178,采购单!$L:$L,$K178)&gt;0),"※这笔可能和采购单重复了",""))))))))))</f>
        <v/>
      </c>
    </row>
    <row r="179">
      <c r="A179" s="17">
        <f>IF($B179="","",ROW()-3)</f>
        <v/>
      </c>
      <c r="B179" s="18" t="n">
        <v>46084</v>
      </c>
      <c r="C179" s="13" t="inlineStr">
        <is>
          <t>微信1</t>
        </is>
      </c>
      <c r="D179" s="13" t="inlineStr">
        <is>
          <t>支出</t>
        </is>
      </c>
      <c r="E179" s="13" t="inlineStr">
        <is>
          <t>其他管理费用</t>
        </is>
      </c>
      <c r="F179" s="17">
        <f>IF($E179="","",IFERROR(VLOOKUP($E179,类别归属,2,0),"※类别不在基础资料里"))</f>
        <v/>
      </c>
      <c r="G179" s="13" t="inlineStr">
        <is>
          <t>织里水果店</t>
        </is>
      </c>
      <c r="H179" s="13" t="n"/>
      <c r="I179" s="13" t="inlineStr">
        <is>
          <t>美缝胶5支</t>
        </is>
      </c>
      <c r="J179" s="14" t="n"/>
      <c r="K179" s="14" t="n">
        <v>75</v>
      </c>
      <c r="L179" s="19">
        <f>IF($C179="","",ROUND(IFERROR(VLOOKUP($C179,账户期初,2,0),0)+SUMIFS($J$4:J179,$C$4:C179,$C179)-SUMIFS($K$4:K179,$C$4:C179,$C179),2))</f>
        <v/>
      </c>
      <c r="M179" s="19">
        <f>IF($C179="","",ROUND(SUM(基础资料!$B$4:$B$13)+SUM($J$4:J179)-SUM($K$4:K179),2))</f>
        <v/>
      </c>
      <c r="N179" s="13" t="n"/>
      <c r="O179" s="13" t="n"/>
      <c r="P179" s="17">
        <f>IF($B179="","",IF($F179="※类别不在基础资料里","※费用类别不在基础资料里",IF(AND(N($J179)=0,N($K179)=0),"※这行没填金额",IF(AND(N($J179)&gt;0,N($K179)&gt;0),"※收入和支出不能同一行都填",IF(AND($D179="收入",N($J179)=0),"※收入行要填收入金额",IF(AND($D179="支出",N($K179)=0),"※支出行要填支出金额",IF(AND($C179&lt;&gt;"",ISNA(MATCH($C179,账户表,0))),"※账户不在基础资料里",IF(AND($G179&lt;&gt;"",ISNA(MATCH($G179,项目名表,0))),"※项目不在项目台账里",IF(AND(LEFT($F179,3)="成本-",$G179=""),"※成本类支出没填项目",IF(AND(LEFT($F179,3)="成本-",$H179&lt;&gt;"",N($K179)&gt;0,COUNTIFS(采购单!$B:$B,$B179,采购单!$C:$C,$H179,采购单!$L:$L,$K179)&gt;0),"※这笔可能和采购单重复了",""))))))))))</f>
        <v/>
      </c>
    </row>
    <row r="180">
      <c r="A180" s="17">
        <f>IF($B180="","",ROW()-3)</f>
        <v/>
      </c>
      <c r="B180" s="18" t="n">
        <v>46084</v>
      </c>
      <c r="C180" s="13" t="inlineStr">
        <is>
          <t>微信1</t>
        </is>
      </c>
      <c r="D180" s="13" t="inlineStr">
        <is>
          <t>支出</t>
        </is>
      </c>
      <c r="E180" s="13" t="inlineStr">
        <is>
          <t>其他管理费用</t>
        </is>
      </c>
      <c r="F180" s="17">
        <f>IF($E180="","",IFERROR(VLOOKUP($E180,类别归属,2,0),"※类别不在基础资料里"))</f>
        <v/>
      </c>
      <c r="G180" s="13" t="inlineStr">
        <is>
          <t>织里水果店</t>
        </is>
      </c>
      <c r="H180" s="13" t="n"/>
      <c r="I180" s="13" t="inlineStr">
        <is>
          <t>6000K灯带2盘</t>
        </is>
      </c>
      <c r="J180" s="14" t="n"/>
      <c r="K180" s="14" t="n">
        <v>120</v>
      </c>
      <c r="L180" s="19">
        <f>IF($C180="","",ROUND(IFERROR(VLOOKUP($C180,账户期初,2,0),0)+SUMIFS($J$4:J180,$C$4:C180,$C180)-SUMIFS($K$4:K180,$C$4:C180,$C180),2))</f>
        <v/>
      </c>
      <c r="M180" s="19">
        <f>IF($C180="","",ROUND(SUM(基础资料!$B$4:$B$13)+SUM($J$4:J180)-SUM($K$4:K180),2))</f>
        <v/>
      </c>
      <c r="N180" s="13" t="n"/>
      <c r="O180" s="13" t="n"/>
      <c r="P180" s="17">
        <f>IF($B180="","",IF($F180="※类别不在基础资料里","※费用类别不在基础资料里",IF(AND(N($J180)=0,N($K180)=0),"※这行没填金额",IF(AND(N($J180)&gt;0,N($K180)&gt;0),"※收入和支出不能同一行都填",IF(AND($D180="收入",N($J180)=0),"※收入行要填收入金额",IF(AND($D180="支出",N($K180)=0),"※支出行要填支出金额",IF(AND($C180&lt;&gt;"",ISNA(MATCH($C180,账户表,0))),"※账户不在基础资料里",IF(AND($G180&lt;&gt;"",ISNA(MATCH($G180,项目名表,0))),"※项目不在项目台账里",IF(AND(LEFT($F180,3)="成本-",$G180=""),"※成本类支出没填项目",IF(AND(LEFT($F180,3)="成本-",$H180&lt;&gt;"",N($K180)&gt;0,COUNTIFS(采购单!$B:$B,$B180,采购单!$C:$C,$H180,采购单!$L:$L,$K180)&gt;0),"※这笔可能和采购单重复了",""))))))))))</f>
        <v/>
      </c>
    </row>
    <row r="181">
      <c r="A181" s="17">
        <f>IF($B181="","",ROW()-3)</f>
        <v/>
      </c>
      <c r="B181" s="18" t="n">
        <v>46084</v>
      </c>
      <c r="C181" s="13" t="inlineStr">
        <is>
          <t>微信1</t>
        </is>
      </c>
      <c r="D181" s="13" t="inlineStr">
        <is>
          <t>支出</t>
        </is>
      </c>
      <c r="E181" s="13" t="inlineStr">
        <is>
          <t>其他管理费用</t>
        </is>
      </c>
      <c r="F181" s="17">
        <f>IF($E181="","",IFERROR(VLOOKUP($E181,类别归属,2,0),"※类别不在基础资料里"))</f>
        <v/>
      </c>
      <c r="G181" s="13" t="inlineStr">
        <is>
          <t>织里水果店</t>
        </is>
      </c>
      <c r="H181" s="13" t="n"/>
      <c r="I181" s="13" t="inlineStr">
        <is>
          <t>筒灯6500K120mm5只</t>
        </is>
      </c>
      <c r="J181" s="14" t="n"/>
      <c r="K181" s="14" t="n">
        <v>75</v>
      </c>
      <c r="L181" s="19">
        <f>IF($C181="","",ROUND(IFERROR(VLOOKUP($C181,账户期初,2,0),0)+SUMIFS($J$4:J181,$C$4:C181,$C181)-SUMIFS($K$4:K181,$C$4:C181,$C181),2))</f>
        <v/>
      </c>
      <c r="M181" s="19">
        <f>IF($C181="","",ROUND(SUM(基础资料!$B$4:$B$13)+SUM($J$4:J181)-SUM($K$4:K181),2))</f>
        <v/>
      </c>
      <c r="N181" s="13" t="n"/>
      <c r="O181" s="13" t="n"/>
      <c r="P181" s="17">
        <f>IF($B181="","",IF($F181="※类别不在基础资料里","※费用类别不在基础资料里",IF(AND(N($J181)=0,N($K181)=0),"※这行没填金额",IF(AND(N($J181)&gt;0,N($K181)&gt;0),"※收入和支出不能同一行都填",IF(AND($D181="收入",N($J181)=0),"※收入行要填收入金额",IF(AND($D181="支出",N($K181)=0),"※支出行要填支出金额",IF(AND($C181&lt;&gt;"",ISNA(MATCH($C181,账户表,0))),"※账户不在基础资料里",IF(AND($G181&lt;&gt;"",ISNA(MATCH($G181,项目名表,0))),"※项目不在项目台账里",IF(AND(LEFT($F181,3)="成本-",$G181=""),"※成本类支出没填项目",IF(AND(LEFT($F181,3)="成本-",$H181&lt;&gt;"",N($K181)&gt;0,COUNTIFS(采购单!$B:$B,$B181,采购单!$C:$C,$H181,采购单!$L:$L,$K181)&gt;0),"※这笔可能和采购单重复了",""))))))))))</f>
        <v/>
      </c>
    </row>
    <row r="182">
      <c r="A182" s="17">
        <f>IF($B182="","",ROW()-3)</f>
        <v/>
      </c>
      <c r="B182" s="18" t="n">
        <v>46084</v>
      </c>
      <c r="C182" s="13" t="inlineStr">
        <is>
          <t>微信1</t>
        </is>
      </c>
      <c r="D182" s="13" t="inlineStr">
        <is>
          <t>支出</t>
        </is>
      </c>
      <c r="E182" s="13" t="inlineStr">
        <is>
          <t>其他管理费用</t>
        </is>
      </c>
      <c r="F182" s="17">
        <f>IF($E182="","",IFERROR(VLOOKUP($E182,类别归属,2,0),"※类别不在基础资料里"))</f>
        <v/>
      </c>
      <c r="G182" s="13" t="inlineStr">
        <is>
          <t>织里水果店</t>
        </is>
      </c>
      <c r="H182" s="13" t="n"/>
      <c r="I182" s="13" t="inlineStr">
        <is>
          <t>成套开孔器</t>
        </is>
      </c>
      <c r="J182" s="14" t="n"/>
      <c r="K182" s="14" t="n">
        <v>40</v>
      </c>
      <c r="L182" s="19">
        <f>IF($C182="","",ROUND(IFERROR(VLOOKUP($C182,账户期初,2,0),0)+SUMIFS($J$4:J182,$C$4:C182,$C182)-SUMIFS($K$4:K182,$C$4:C182,$C182),2))</f>
        <v/>
      </c>
      <c r="M182" s="19">
        <f>IF($C182="","",ROUND(SUM(基础资料!$B$4:$B$13)+SUM($J$4:J182)-SUM($K$4:K182),2))</f>
        <v/>
      </c>
      <c r="N182" s="13" t="n"/>
      <c r="O182" s="13" t="n"/>
      <c r="P182" s="17">
        <f>IF($B182="","",IF($F182="※类别不在基础资料里","※费用类别不在基础资料里",IF(AND(N($J182)=0,N($K182)=0),"※这行没填金额",IF(AND(N($J182)&gt;0,N($K182)&gt;0),"※收入和支出不能同一行都填",IF(AND($D182="收入",N($J182)=0),"※收入行要填收入金额",IF(AND($D182="支出",N($K182)=0),"※支出行要填支出金额",IF(AND($C182&lt;&gt;"",ISNA(MATCH($C182,账户表,0))),"※账户不在基础资料里",IF(AND($G182&lt;&gt;"",ISNA(MATCH($G182,项目名表,0))),"※项目不在项目台账里",IF(AND(LEFT($F182,3)="成本-",$G182=""),"※成本类支出没填项目",IF(AND(LEFT($F182,3)="成本-",$H182&lt;&gt;"",N($K182)&gt;0,COUNTIFS(采购单!$B:$B,$B182,采购单!$C:$C,$H182,采购单!$L:$L,$K182)&gt;0),"※这笔可能和采购单重复了",""))))))))))</f>
        <v/>
      </c>
    </row>
    <row r="183">
      <c r="A183" s="17">
        <f>IF($B183="","",ROW()-3)</f>
        <v/>
      </c>
      <c r="B183" s="18" t="n">
        <v>46084</v>
      </c>
      <c r="C183" s="13" t="inlineStr">
        <is>
          <t>微信1</t>
        </is>
      </c>
      <c r="D183" s="13" t="inlineStr">
        <is>
          <t>支出</t>
        </is>
      </c>
      <c r="E183" s="13" t="inlineStr">
        <is>
          <t>其他管理费用</t>
        </is>
      </c>
      <c r="F183" s="17">
        <f>IF($E183="","",IFERROR(VLOOKUP($E183,类别归属,2,0),"※类别不在基础资料里"))</f>
        <v/>
      </c>
      <c r="G183" s="13" t="inlineStr">
        <is>
          <t>织里水果店</t>
        </is>
      </c>
      <c r="H183" s="13" t="n"/>
      <c r="I183" s="13" t="inlineStr">
        <is>
          <t>门头防水彩钢外</t>
        </is>
      </c>
      <c r="J183" s="14" t="n"/>
      <c r="K183" s="14" t="n">
        <v>252</v>
      </c>
      <c r="L183" s="19">
        <f>IF($C183="","",ROUND(IFERROR(VLOOKUP($C183,账户期初,2,0),0)+SUMIFS($J$4:J183,$C$4:C183,$C183)-SUMIFS($K$4:K183,$C$4:C183,$C183),2))</f>
        <v/>
      </c>
      <c r="M183" s="19">
        <f>IF($C183="","",ROUND(SUM(基础资料!$B$4:$B$13)+SUM($J$4:J183)-SUM($K$4:K183),2))</f>
        <v/>
      </c>
      <c r="N183" s="13" t="n"/>
      <c r="O183" s="13" t="n"/>
      <c r="P183" s="17">
        <f>IF($B183="","",IF($F183="※类别不在基础资料里","※费用类别不在基础资料里",IF(AND(N($J183)=0,N($K183)=0),"※这行没填金额",IF(AND(N($J183)&gt;0,N($K183)&gt;0),"※收入和支出不能同一行都填",IF(AND($D183="收入",N($J183)=0),"※收入行要填收入金额",IF(AND($D183="支出",N($K183)=0),"※支出行要填支出金额",IF(AND($C183&lt;&gt;"",ISNA(MATCH($C183,账户表,0))),"※账户不在基础资料里",IF(AND($G183&lt;&gt;"",ISNA(MATCH($G183,项目名表,0))),"※项目不在项目台账里",IF(AND(LEFT($F183,3)="成本-",$G183=""),"※成本类支出没填项目",IF(AND(LEFT($F183,3)="成本-",$H183&lt;&gt;"",N($K183)&gt;0,COUNTIFS(采购单!$B:$B,$B183,采购单!$C:$C,$H183,采购单!$L:$L,$K183)&gt;0),"※这笔可能和采购单重复了",""))))))))))</f>
        <v/>
      </c>
    </row>
    <row r="184">
      <c r="A184" s="17">
        <f>IF($B184="","",ROW()-3)</f>
        <v/>
      </c>
      <c r="B184" s="18" t="n">
        <v>46112</v>
      </c>
      <c r="C184" s="13" t="inlineStr">
        <is>
          <t>微信1</t>
        </is>
      </c>
      <c r="D184" s="13" t="inlineStr">
        <is>
          <t>收入</t>
        </is>
      </c>
      <c r="E184" s="13" t="inlineStr">
        <is>
          <t>项目收款</t>
        </is>
      </c>
      <c r="F184" s="17">
        <f>IF($E184="","",IFERROR(VLOOKUP($E184,类别归属,2,0),"※类别不在基础资料里"))</f>
        <v/>
      </c>
      <c r="G184" s="13" t="inlineStr">
        <is>
          <t>长颈鹿庄园</t>
        </is>
      </c>
      <c r="H184" s="13" t="n"/>
      <c r="I184" s="13" t="inlineStr">
        <is>
          <t>收长颈鹿尾款</t>
        </is>
      </c>
      <c r="J184" s="14" t="n">
        <v>1950</v>
      </c>
      <c r="K184" s="14" t="n"/>
      <c r="L184" s="19">
        <f>IF($C184="","",ROUND(IFERROR(VLOOKUP($C184,账户期初,2,0),0)+SUMIFS($J$4:J184,$C$4:C184,$C184)-SUMIFS($K$4:K184,$C$4:C184,$C184),2))</f>
        <v/>
      </c>
      <c r="M184" s="19">
        <f>IF($C184="","",ROUND(SUM(基础资料!$B$4:$B$13)+SUM($J$4:J184)-SUM($K$4:K184),2))</f>
        <v/>
      </c>
      <c r="N184" s="13" t="n"/>
      <c r="O184" s="13" t="n"/>
      <c r="P184" s="17">
        <f>IF($B184="","",IF($F184="※类别不在基础资料里","※费用类别不在基础资料里",IF(AND(N($J184)=0,N($K184)=0),"※这行没填金额",IF(AND(N($J184)&gt;0,N($K184)&gt;0),"※收入和支出不能同一行都填",IF(AND($D184="收入",N($J184)=0),"※收入行要填收入金额",IF(AND($D184="支出",N($K184)=0),"※支出行要填支出金额",IF(AND($C184&lt;&gt;"",ISNA(MATCH($C184,账户表,0))),"※账户不在基础资料里",IF(AND($G184&lt;&gt;"",ISNA(MATCH($G184,项目名表,0))),"※项目不在项目台账里",IF(AND(LEFT($F184,3)="成本-",$G184=""),"※成本类支出没填项目",IF(AND(LEFT($F184,3)="成本-",$H184&lt;&gt;"",N($K184)&gt;0,COUNTIFS(采购单!$B:$B,$B184,采购单!$C:$C,$H184,采购单!$L:$L,$K184)&gt;0),"※这笔可能和采购单重复了",""))))))))))</f>
        <v/>
      </c>
    </row>
    <row r="185">
      <c r="A185" s="17">
        <f>IF($B185="","",ROW()-3)</f>
        <v/>
      </c>
      <c r="B185" s="18" t="n">
        <v>46112</v>
      </c>
      <c r="C185" s="13" t="inlineStr">
        <is>
          <t>微信1</t>
        </is>
      </c>
      <c r="D185" s="13" t="inlineStr">
        <is>
          <t>支出</t>
        </is>
      </c>
      <c r="E185" s="13" t="inlineStr">
        <is>
          <t>归还借入款</t>
        </is>
      </c>
      <c r="F185" s="17">
        <f>IF($E185="","",IFERROR(VLOOKUP($E185,类别归属,2,0),"※类别不在基础资料里"))</f>
        <v/>
      </c>
      <c r="G185" s="13" t="inlineStr">
        <is>
          <t>睿芯行</t>
        </is>
      </c>
      <c r="H185" s="13" t="n"/>
      <c r="I185" s="13" t="inlineStr">
        <is>
          <t>退睿芯行个人垫付1500（公账已收19800）</t>
        </is>
      </c>
      <c r="J185" s="14" t="n"/>
      <c r="K185" s="14" t="n">
        <v>1500</v>
      </c>
      <c r="L185" s="19">
        <f>IF($C185="","",ROUND(IFERROR(VLOOKUP($C185,账户期初,2,0),0)+SUMIFS($J$4:J185,$C$4:C185,$C185)-SUMIFS($K$4:K185,$C$4:C185,$C185),2))</f>
        <v/>
      </c>
      <c r="M185" s="19">
        <f>IF($C185="","",ROUND(SUM(基础资料!$B$4:$B$13)+SUM($J$4:J185)-SUM($K$4:K185),2))</f>
        <v/>
      </c>
      <c r="N185" s="13" t="n"/>
      <c r="O185" s="13" t="n"/>
      <c r="P185" s="17">
        <f>IF($B185="","",IF($F185="※类别不在基础资料里","※费用类别不在基础资料里",IF(AND(N($J185)=0,N($K185)=0),"※这行没填金额",IF(AND(N($J185)&gt;0,N($K185)&gt;0),"※收入和支出不能同一行都填",IF(AND($D185="收入",N($J185)=0),"※收入行要填收入金额",IF(AND($D185="支出",N($K185)=0),"※支出行要填支出金额",IF(AND($C185&lt;&gt;"",ISNA(MATCH($C185,账户表,0))),"※账户不在基础资料里",IF(AND($G185&lt;&gt;"",ISNA(MATCH($G185,项目名表,0))),"※项目不在项目台账里",IF(AND(LEFT($F185,3)="成本-",$G185=""),"※成本类支出没填项目",IF(AND(LEFT($F185,3)="成本-",$H185&lt;&gt;"",N($K185)&gt;0,COUNTIFS(采购单!$B:$B,$B185,采购单!$C:$C,$H185,采购单!$L:$L,$K185)&gt;0),"※这笔可能和采购单重复了",""))))))))))</f>
        <v/>
      </c>
    </row>
    <row r="186">
      <c r="A186" s="17">
        <f>IF($B186="","",ROW()-3)</f>
        <v/>
      </c>
      <c r="B186" s="18" t="n">
        <v>46113</v>
      </c>
      <c r="C186" s="13" t="inlineStr">
        <is>
          <t>微信1</t>
        </is>
      </c>
      <c r="D186" s="13" t="inlineStr">
        <is>
          <t>支出</t>
        </is>
      </c>
      <c r="E186" s="13" t="inlineStr">
        <is>
          <t>安装工资</t>
        </is>
      </c>
      <c r="F186" s="17">
        <f>IF($E186="","",IFERROR(VLOOKUP($E186,类别归属,2,0),"※类别不在基础资料里"))</f>
        <v/>
      </c>
      <c r="G186" s="13" t="inlineStr">
        <is>
          <t>汕味杏花室内项目</t>
        </is>
      </c>
      <c r="H186" s="13" t="n"/>
      <c r="I186" s="13" t="inlineStr">
        <is>
          <t>付章凡停车费15+5+7+11+买玻璃胶24=62</t>
        </is>
      </c>
      <c r="J186" s="14" t="n"/>
      <c r="K186" s="14" t="n">
        <v>62</v>
      </c>
      <c r="L186" s="19">
        <f>IF($C186="","",ROUND(IFERROR(VLOOKUP($C186,账户期初,2,0),0)+SUMIFS($J$4:J186,$C$4:C186,$C186)-SUMIFS($K$4:K186,$C$4:C186,$C186),2))</f>
        <v/>
      </c>
      <c r="M186" s="19">
        <f>IF($C186="","",ROUND(SUM(基础资料!$B$4:$B$13)+SUM($J$4:J186)-SUM($K$4:K186),2))</f>
        <v/>
      </c>
      <c r="N186" s="13" t="n"/>
      <c r="O186" s="13" t="inlineStr">
        <is>
          <t>中交、国智校服、</t>
        </is>
      </c>
      <c r="P186" s="17">
        <f>IF($B186="","",IF($F186="※类别不在基础资料里","※费用类别不在基础资料里",IF(AND(N($J186)=0,N($K186)=0),"※这行没填金额",IF(AND(N($J186)&gt;0,N($K186)&gt;0),"※收入和支出不能同一行都填",IF(AND($D186="收入",N($J186)=0),"※收入行要填收入金额",IF(AND($D186="支出",N($K186)=0),"※支出行要填支出金额",IF(AND($C186&lt;&gt;"",ISNA(MATCH($C186,账户表,0))),"※账户不在基础资料里",IF(AND($G186&lt;&gt;"",ISNA(MATCH($G186,项目名表,0))),"※项目不在项目台账里",IF(AND(LEFT($F186,3)="成本-",$G186=""),"※成本类支出没填项目",IF(AND(LEFT($F186,3)="成本-",$H186&lt;&gt;"",N($K186)&gt;0,COUNTIFS(采购单!$B:$B,$B186,采购单!$C:$C,$H186,采购单!$L:$L,$K186)&gt;0),"※这笔可能和采购单重复了",""))))))))))</f>
        <v/>
      </c>
    </row>
    <row r="187">
      <c r="A187" s="17">
        <f>IF($B187="","",ROW()-3)</f>
        <v/>
      </c>
      <c r="B187" s="18" t="n">
        <v>46113</v>
      </c>
      <c r="C187" s="13" t="inlineStr">
        <is>
          <t>微信1</t>
        </is>
      </c>
      <c r="D187" s="13" t="inlineStr">
        <is>
          <t>支出</t>
        </is>
      </c>
      <c r="E187" s="13" t="inlineStr">
        <is>
          <t>运费/快递费</t>
        </is>
      </c>
      <c r="F187" s="17">
        <f>IF($E187="","",IFERROR(VLOOKUP($E187,类别归属,2,0),"※类别不在基础资料里"))</f>
        <v/>
      </c>
      <c r="G187" s="13" t="inlineStr">
        <is>
          <t>织里店</t>
        </is>
      </c>
      <c r="H187" s="13" t="inlineStr">
        <is>
          <t>炳秀</t>
        </is>
      </c>
      <c r="I187" s="13" t="inlineStr">
        <is>
          <t>付炳秀配送</t>
        </is>
      </c>
      <c r="J187" s="14" t="n"/>
      <c r="K187" s="14" t="n">
        <v>296</v>
      </c>
      <c r="L187" s="19">
        <f>IF($C187="","",ROUND(IFERROR(VLOOKUP($C187,账户期初,2,0),0)+SUMIFS($J$4:J187,$C$4:C187,$C187)-SUMIFS($K$4:K187,$C$4:C187,$C187),2))</f>
        <v/>
      </c>
      <c r="M187" s="19">
        <f>IF($C187="","",ROUND(SUM(基础资料!$B$4:$B$13)+SUM($J$4:J187)-SUM($K$4:K187),2))</f>
        <v/>
      </c>
      <c r="N187" s="13" t="n"/>
      <c r="O187" s="13" t="inlineStr">
        <is>
          <t>4.1凌宇实存1951.26
炳秀总共316</t>
        </is>
      </c>
      <c r="P187" s="17">
        <f>IF($B187="","",IF($F187="※类别不在基础资料里","※费用类别不在基础资料里",IF(AND(N($J187)=0,N($K187)=0),"※这行没填金额",IF(AND(N($J187)&gt;0,N($K187)&gt;0),"※收入和支出不能同一行都填",IF(AND($D187="收入",N($J187)=0),"※收入行要填收入金额",IF(AND($D187="支出",N($K187)=0),"※支出行要填支出金额",IF(AND($C187&lt;&gt;"",ISNA(MATCH($C187,账户表,0))),"※账户不在基础资料里",IF(AND($G187&lt;&gt;"",ISNA(MATCH($G187,项目名表,0))),"※项目不在项目台账里",IF(AND(LEFT($F187,3)="成本-",$G187=""),"※成本类支出没填项目",IF(AND(LEFT($F187,3)="成本-",$H187&lt;&gt;"",N($K187)&gt;0,COUNTIFS(采购单!$B:$B,$B187,采购单!$C:$C,$H187,采购单!$L:$L,$K187)&gt;0),"※这笔可能和采购单重复了",""))))))))))</f>
        <v/>
      </c>
    </row>
    <row r="188">
      <c r="A188" s="17">
        <f>IF($B188="","",ROW()-3)</f>
        <v/>
      </c>
      <c r="B188" s="18" t="n">
        <v>46113</v>
      </c>
      <c r="C188" s="13" t="inlineStr">
        <is>
          <t>微信1</t>
        </is>
      </c>
      <c r="D188" s="13" t="inlineStr">
        <is>
          <t>支出</t>
        </is>
      </c>
      <c r="E188" s="13" t="inlineStr">
        <is>
          <t>运费/快递费</t>
        </is>
      </c>
      <c r="F188" s="17">
        <f>IF($E188="","",IFERROR(VLOOKUP($E188,类别归属,2,0),"※类别不在基础资料里"))</f>
        <v/>
      </c>
      <c r="G188" s="13" t="inlineStr">
        <is>
          <t>东尼电子</t>
        </is>
      </c>
      <c r="H188" s="13" t="inlineStr">
        <is>
          <t>炳秀</t>
        </is>
      </c>
      <c r="I188" s="13" t="inlineStr">
        <is>
          <t>付炳秀配送</t>
        </is>
      </c>
      <c r="J188" s="14" t="n"/>
      <c r="K188" s="14" t="n">
        <v>20</v>
      </c>
      <c r="L188" s="19">
        <f>IF($C188="","",ROUND(IFERROR(VLOOKUP($C188,账户期初,2,0),0)+SUMIFS($J$4:J188,$C$4:C188,$C188)-SUMIFS($K$4:K188,$C$4:C188,$C188),2))</f>
        <v/>
      </c>
      <c r="M188" s="19">
        <f>IF($C188="","",ROUND(SUM(基础资料!$B$4:$B$13)+SUM($J$4:J188)-SUM($K$4:K188),2))</f>
        <v/>
      </c>
      <c r="N188" s="13" t="n"/>
      <c r="O188" s="13" t="n"/>
      <c r="P188" s="17">
        <f>IF($B188="","",IF($F188="※类别不在基础资料里","※费用类别不在基础资料里",IF(AND(N($J188)=0,N($K188)=0),"※这行没填金额",IF(AND(N($J188)&gt;0,N($K188)&gt;0),"※收入和支出不能同一行都填",IF(AND($D188="收入",N($J188)=0),"※收入行要填收入金额",IF(AND($D188="支出",N($K188)=0),"※支出行要填支出金额",IF(AND($C188&lt;&gt;"",ISNA(MATCH($C188,账户表,0))),"※账户不在基础资料里",IF(AND($G188&lt;&gt;"",ISNA(MATCH($G188,项目名表,0))),"※项目不在项目台账里",IF(AND(LEFT($F188,3)="成本-",$G188=""),"※成本类支出没填项目",IF(AND(LEFT($F188,3)="成本-",$H188&lt;&gt;"",N($K188)&gt;0,COUNTIFS(采购单!$B:$B,$B188,采购单!$C:$C,$H188,采购单!$L:$L,$K188)&gt;0),"※这笔可能和采购单重复了",""))))))))))</f>
        <v/>
      </c>
    </row>
    <row r="189">
      <c r="A189" s="17">
        <f>IF($B189="","",ROW()-3)</f>
        <v/>
      </c>
      <c r="B189" s="18" t="n">
        <v>46113</v>
      </c>
      <c r="C189" s="13" t="inlineStr">
        <is>
          <t>微信1</t>
        </is>
      </c>
      <c r="D189" s="13" t="inlineStr">
        <is>
          <t>收入</t>
        </is>
      </c>
      <c r="E189" s="13" t="inlineStr">
        <is>
          <t>零星物料销售</t>
        </is>
      </c>
      <c r="F189" s="17">
        <f>IF($E189="","",IFERROR(VLOOKUP($E189,类别归属,2,0),"※类别不在基础资料里"))</f>
        <v/>
      </c>
      <c r="G189" s="13" t="inlineStr">
        <is>
          <t>万达kvv</t>
        </is>
      </c>
      <c r="H189" s="13" t="n"/>
      <c r="I189" s="13" t="inlineStr">
        <is>
          <t>收万达KVV乔金鑫-物料</t>
        </is>
      </c>
      <c r="J189" s="14" t="n">
        <v>40</v>
      </c>
      <c r="K189" s="14" t="n"/>
      <c r="L189" s="19">
        <f>IF($C189="","",ROUND(IFERROR(VLOOKUP($C189,账户期初,2,0),0)+SUMIFS($J$4:J189,$C$4:C189,$C189)-SUMIFS($K$4:K189,$C$4:C189,$C189),2))</f>
        <v/>
      </c>
      <c r="M189" s="19">
        <f>IF($C189="","",ROUND(SUM(基础资料!$B$4:$B$13)+SUM($J$4:J189)-SUM($K$4:K189),2))</f>
        <v/>
      </c>
      <c r="N189" s="13" t="n"/>
      <c r="O189" s="13" t="n"/>
      <c r="P189" s="17">
        <f>IF($B189="","",IF($F189="※类别不在基础资料里","※费用类别不在基础资料里",IF(AND(N($J189)=0,N($K189)=0),"※这行没填金额",IF(AND(N($J189)&gt;0,N($K189)&gt;0),"※收入和支出不能同一行都填",IF(AND($D189="收入",N($J189)=0),"※收入行要填收入金额",IF(AND($D189="支出",N($K189)=0),"※支出行要填支出金额",IF(AND($C189&lt;&gt;"",ISNA(MATCH($C189,账户表,0))),"※账户不在基础资料里",IF(AND($G189&lt;&gt;"",ISNA(MATCH($G189,项目名表,0))),"※项目不在项目台账里",IF(AND(LEFT($F189,3)="成本-",$G189=""),"※成本类支出没填项目",IF(AND(LEFT($F189,3)="成本-",$H189&lt;&gt;"",N($K189)&gt;0,COUNTIFS(采购单!$B:$B,$B189,采购单!$C:$C,$H189,采购单!$L:$L,$K189)&gt;0),"※这笔可能和采购单重复了",""))))))))))</f>
        <v/>
      </c>
    </row>
    <row r="190">
      <c r="A190" s="17">
        <f>IF($B190="","",ROW()-3)</f>
        <v/>
      </c>
      <c r="B190" s="18" t="n">
        <v>46113</v>
      </c>
      <c r="C190" s="13" t="inlineStr">
        <is>
          <t>微信1</t>
        </is>
      </c>
      <c r="D190" s="13" t="inlineStr">
        <is>
          <t>收入</t>
        </is>
      </c>
      <c r="E190" s="13" t="inlineStr">
        <is>
          <t>项目收款</t>
        </is>
      </c>
      <c r="F190" s="17">
        <f>IF($E190="","",IFERROR(VLOOKUP($E190,类别归属,2,0),"※类别不在基础资料里"))</f>
        <v/>
      </c>
      <c r="G190" s="13" t="inlineStr">
        <is>
          <t>朴太院</t>
        </is>
      </c>
      <c r="H190" s="13" t="n"/>
      <c r="I190" s="13" t="inlineStr">
        <is>
          <t>朴太院</t>
        </is>
      </c>
      <c r="J190" s="14" t="n">
        <v>200</v>
      </c>
      <c r="K190" s="14" t="n"/>
      <c r="L190" s="19">
        <f>IF($C190="","",ROUND(IFERROR(VLOOKUP($C190,账户期初,2,0),0)+SUMIFS($J$4:J190,$C$4:C190,$C190)-SUMIFS($K$4:K190,$C$4:C190,$C190),2))</f>
        <v/>
      </c>
      <c r="M190" s="19">
        <f>IF($C190="","",ROUND(SUM(基础资料!$B$4:$B$13)+SUM($J$4:J190)-SUM($K$4:K190),2))</f>
        <v/>
      </c>
      <c r="N190" s="13" t="n"/>
      <c r="O190" s="13" t="n"/>
      <c r="P190" s="17">
        <f>IF($B190="","",IF($F190="※类别不在基础资料里","※费用类别不在基础资料里",IF(AND(N($J190)=0,N($K190)=0),"※这行没填金额",IF(AND(N($J190)&gt;0,N($K190)&gt;0),"※收入和支出不能同一行都填",IF(AND($D190="收入",N($J190)=0),"※收入行要填收入金额",IF(AND($D190="支出",N($K190)=0),"※支出行要填支出金额",IF(AND($C190&lt;&gt;"",ISNA(MATCH($C190,账户表,0))),"※账户不在基础资料里",IF(AND($G190&lt;&gt;"",ISNA(MATCH($G190,项目名表,0))),"※项目不在项目台账里",IF(AND(LEFT($F190,3)="成本-",$G190=""),"※成本类支出没填项目",IF(AND(LEFT($F190,3)="成本-",$H190&lt;&gt;"",N($K190)&gt;0,COUNTIFS(采购单!$B:$B,$B190,采购单!$C:$C,$H190,采购单!$L:$L,$K190)&gt;0),"※这笔可能和采购单重复了",""))))))))))</f>
        <v/>
      </c>
    </row>
    <row r="191">
      <c r="A191" s="17">
        <f>IF($B191="","",ROW()-3)</f>
        <v/>
      </c>
      <c r="B191" s="18" t="n">
        <v>46113</v>
      </c>
      <c r="C191" s="13" t="inlineStr">
        <is>
          <t>微信1</t>
        </is>
      </c>
      <c r="D191" s="13" t="inlineStr">
        <is>
          <t>支出</t>
        </is>
      </c>
      <c r="E191" s="13" t="inlineStr">
        <is>
          <t>运费/快递费</t>
        </is>
      </c>
      <c r="F191" s="17">
        <f>IF($E191="","",IFERROR(VLOOKUP($E191,类别归属,2,0),"※类别不在基础资料里"))</f>
        <v/>
      </c>
      <c r="G191" s="13" t="inlineStr">
        <is>
          <t>睿芯行</t>
        </is>
      </c>
      <c r="H191" s="13" t="inlineStr">
        <is>
          <t>炳秀</t>
        </is>
      </c>
      <c r="I191" s="13" t="inlineStr">
        <is>
          <t>付炳秀配送</t>
        </is>
      </c>
      <c r="J191" s="14" t="n"/>
      <c r="K191" s="14" t="n">
        <v>221</v>
      </c>
      <c r="L191" s="19">
        <f>IF($C191="","",ROUND(IFERROR(VLOOKUP($C191,账户期初,2,0),0)+SUMIFS($J$4:J191,$C$4:C191,$C191)-SUMIFS($K$4:K191,$C$4:C191,$C191),2))</f>
        <v/>
      </c>
      <c r="M191" s="19">
        <f>IF($C191="","",ROUND(SUM(基础资料!$B$4:$B$13)+SUM($J$4:J191)-SUM($K$4:K191),2))</f>
        <v/>
      </c>
      <c r="N191" s="13" t="n"/>
      <c r="O191" s="13" t="inlineStr">
        <is>
          <t>716</t>
        </is>
      </c>
      <c r="P191" s="17">
        <f>IF($B191="","",IF($F191="※类别不在基础资料里","※费用类别不在基础资料里",IF(AND(N($J191)=0,N($K191)=0),"※这行没填金额",IF(AND(N($J191)&gt;0,N($K191)&gt;0),"※收入和支出不能同一行都填",IF(AND($D191="收入",N($J191)=0),"※收入行要填收入金额",IF(AND($D191="支出",N($K191)=0),"※支出行要填支出金额",IF(AND($C191&lt;&gt;"",ISNA(MATCH($C191,账户表,0))),"※账户不在基础资料里",IF(AND($G191&lt;&gt;"",ISNA(MATCH($G191,项目名表,0))),"※项目不在项目台账里",IF(AND(LEFT($F191,3)="成本-",$G191=""),"※成本类支出没填项目",IF(AND(LEFT($F191,3)="成本-",$H191&lt;&gt;"",N($K191)&gt;0,COUNTIFS(采购单!$B:$B,$B191,采购单!$C:$C,$H191,采购单!$L:$L,$K191)&gt;0),"※这笔可能和采购单重复了",""))))))))))</f>
        <v/>
      </c>
    </row>
    <row r="192">
      <c r="A192" s="17">
        <f>IF($B192="","",ROW()-3)</f>
        <v/>
      </c>
      <c r="B192" s="18" t="n">
        <v>46113</v>
      </c>
      <c r="C192" s="13" t="inlineStr">
        <is>
          <t>微信1</t>
        </is>
      </c>
      <c r="D192" s="13" t="inlineStr">
        <is>
          <t>支出</t>
        </is>
      </c>
      <c r="E192" s="13" t="inlineStr">
        <is>
          <t>运费/快递费</t>
        </is>
      </c>
      <c r="F192" s="17">
        <f>IF($E192="","",IFERROR(VLOOKUP($E192,类别归属,2,0),"※类别不在基础资料里"))</f>
        <v/>
      </c>
      <c r="G192" s="13" t="inlineStr">
        <is>
          <t>织里店</t>
        </is>
      </c>
      <c r="H192" s="13" t="inlineStr">
        <is>
          <t>炳秀</t>
        </is>
      </c>
      <c r="I192" s="13" t="inlineStr">
        <is>
          <t>付炳秀配送</t>
        </is>
      </c>
      <c r="J192" s="14" t="n"/>
      <c r="K192" s="14" t="n">
        <v>495</v>
      </c>
      <c r="L192" s="19">
        <f>IF($C192="","",ROUND(IFERROR(VLOOKUP($C192,账户期初,2,0),0)+SUMIFS($J$4:J192,$C$4:C192,$C192)-SUMIFS($K$4:K192,$C$4:C192,$C192),2))</f>
        <v/>
      </c>
      <c r="M192" s="19">
        <f>IF($C192="","",ROUND(SUM(基础资料!$B$4:$B$13)+SUM($J$4:J192)-SUM($K$4:K192),2))</f>
        <v/>
      </c>
      <c r="N192" s="13" t="n"/>
      <c r="O192" s="13" t="n"/>
      <c r="P192" s="17">
        <f>IF($B192="","",IF($F192="※类别不在基础资料里","※费用类别不在基础资料里",IF(AND(N($J192)=0,N($K192)=0),"※这行没填金额",IF(AND(N($J192)&gt;0,N($K192)&gt;0),"※收入和支出不能同一行都填",IF(AND($D192="收入",N($J192)=0),"※收入行要填收入金额",IF(AND($D192="支出",N($K192)=0),"※支出行要填支出金额",IF(AND($C192&lt;&gt;"",ISNA(MATCH($C192,账户表,0))),"※账户不在基础资料里",IF(AND($G192&lt;&gt;"",ISNA(MATCH($G192,项目名表,0))),"※项目不在项目台账里",IF(AND(LEFT($F192,3)="成本-",$G192=""),"※成本类支出没填项目",IF(AND(LEFT($F192,3)="成本-",$H192&lt;&gt;"",N($K192)&gt;0,COUNTIFS(采购单!$B:$B,$B192,采购单!$C:$C,$H192,采购单!$L:$L,$K192)&gt;0),"※这笔可能和采购单重复了",""))))))))))</f>
        <v/>
      </c>
    </row>
    <row r="193">
      <c r="A193" s="17">
        <f>IF($B193="","",ROW()-3)</f>
        <v/>
      </c>
      <c r="B193" s="18" t="n">
        <v>46114</v>
      </c>
      <c r="C193" s="13" t="inlineStr">
        <is>
          <t>微信1</t>
        </is>
      </c>
      <c r="D193" s="13" t="inlineStr">
        <is>
          <t>支出</t>
        </is>
      </c>
      <c r="E193" s="13" t="inlineStr">
        <is>
          <t>主材采购</t>
        </is>
      </c>
      <c r="F193" s="17">
        <f>IF($E193="","",IFERROR(VLOOKUP($E193,类别归属,2,0),"※类别不在基础资料里"))</f>
        <v/>
      </c>
      <c r="G193" s="13" t="inlineStr">
        <is>
          <t>君澜服饰</t>
        </is>
      </c>
      <c r="H193" s="13" t="n"/>
      <c r="I193" s="13" t="inlineStr">
        <is>
          <t>付杭州杜邦纸软膜-王</t>
        </is>
      </c>
      <c r="J193" s="14" t="n"/>
      <c r="K193" s="14" t="n">
        <v>214</v>
      </c>
      <c r="L193" s="19">
        <f>IF($C193="","",ROUND(IFERROR(VLOOKUP($C193,账户期初,2,0),0)+SUMIFS($J$4:J193,$C$4:C193,$C193)-SUMIFS($K$4:K193,$C$4:C193,$C193),2))</f>
        <v/>
      </c>
      <c r="M193" s="19">
        <f>IF($C193="","",ROUND(SUM(基础资料!$B$4:$B$13)+SUM($J$4:J193)-SUM($K$4:K193),2))</f>
        <v/>
      </c>
      <c r="N193" s="13" t="n"/>
      <c r="O193" s="13" t="n"/>
      <c r="P193" s="17">
        <f>IF($B193="","",IF($F193="※类别不在基础资料里","※费用类别不在基础资料里",IF(AND(N($J193)=0,N($K193)=0),"※这行没填金额",IF(AND(N($J193)&gt;0,N($K193)&gt;0),"※收入和支出不能同一行都填",IF(AND($D193="收入",N($J193)=0),"※收入行要填收入金额",IF(AND($D193="支出",N($K193)=0),"※支出行要填支出金额",IF(AND($C193&lt;&gt;"",ISNA(MATCH($C193,账户表,0))),"※账户不在基础资料里",IF(AND($G193&lt;&gt;"",ISNA(MATCH($G193,项目名表,0))),"※项目不在项目台账里",IF(AND(LEFT($F193,3)="成本-",$G193=""),"※成本类支出没填项目",IF(AND(LEFT($F193,3)="成本-",$H193&lt;&gt;"",N($K193)&gt;0,COUNTIFS(采购单!$B:$B,$B193,采购单!$C:$C,$H193,采购单!$L:$L,$K193)&gt;0),"※这笔可能和采购单重复了",""))))))))))</f>
        <v/>
      </c>
    </row>
    <row r="194">
      <c r="A194" s="17">
        <f>IF($B194="","",ROW()-3)</f>
        <v/>
      </c>
      <c r="B194" s="18" t="n">
        <v>46114</v>
      </c>
      <c r="C194" s="13" t="inlineStr">
        <is>
          <t>微信1</t>
        </is>
      </c>
      <c r="D194" s="13" t="inlineStr">
        <is>
          <t>支出</t>
        </is>
      </c>
      <c r="E194" s="13" t="inlineStr">
        <is>
          <t>运费/快递费</t>
        </is>
      </c>
      <c r="F194" s="17">
        <f>IF($E194="","",IFERROR(VLOOKUP($E194,类别归属,2,0),"※类别不在基础资料里"))</f>
        <v/>
      </c>
      <c r="G194" s="13" t="inlineStr">
        <is>
          <t>织里店</t>
        </is>
      </c>
      <c r="H194" s="13" t="inlineStr">
        <is>
          <t>炳秀</t>
        </is>
      </c>
      <c r="I194" s="13" t="inlineStr">
        <is>
          <t>付炳秀配送</t>
        </is>
      </c>
      <c r="J194" s="14" t="n"/>
      <c r="K194" s="14" t="n">
        <v>16</v>
      </c>
      <c r="L194" s="19">
        <f>IF($C194="","",ROUND(IFERROR(VLOOKUP($C194,账户期初,2,0),0)+SUMIFS($J$4:J194,$C$4:C194,$C194)-SUMIFS($K$4:K194,$C$4:C194,$C194),2))</f>
        <v/>
      </c>
      <c r="M194" s="19">
        <f>IF($C194="","",ROUND(SUM(基础资料!$B$4:$B$13)+SUM($J$4:J194)-SUM($K$4:K194),2))</f>
        <v/>
      </c>
      <c r="N194" s="13" t="n"/>
      <c r="O194" s="13" t="n"/>
      <c r="P194" s="17">
        <f>IF($B194="","",IF($F194="※类别不在基础资料里","※费用类别不在基础资料里",IF(AND(N($J194)=0,N($K194)=0),"※这行没填金额",IF(AND(N($J194)&gt;0,N($K194)&gt;0),"※收入和支出不能同一行都填",IF(AND($D194="收入",N($J194)=0),"※收入行要填收入金额",IF(AND($D194="支出",N($K194)=0),"※支出行要填支出金额",IF(AND($C194&lt;&gt;"",ISNA(MATCH($C194,账户表,0))),"※账户不在基础资料里",IF(AND($G194&lt;&gt;"",ISNA(MATCH($G194,项目名表,0))),"※项目不在项目台账里",IF(AND(LEFT($F194,3)="成本-",$G194=""),"※成本类支出没填项目",IF(AND(LEFT($F194,3)="成本-",$H194&lt;&gt;"",N($K194)&gt;0,COUNTIFS(采购单!$B:$B,$B194,采购单!$C:$C,$H194,采购单!$L:$L,$K194)&gt;0),"※这笔可能和采购单重复了",""))))))))))</f>
        <v/>
      </c>
    </row>
    <row r="195">
      <c r="A195" s="17">
        <f>IF($B195="","",ROW()-3)</f>
        <v/>
      </c>
      <c r="B195" s="18" t="n">
        <v>46114</v>
      </c>
      <c r="C195" s="13" t="inlineStr">
        <is>
          <t>微信1</t>
        </is>
      </c>
      <c r="D195" s="13" t="inlineStr">
        <is>
          <t>支出</t>
        </is>
      </c>
      <c r="E195" s="13" t="inlineStr">
        <is>
          <t>主材采购</t>
        </is>
      </c>
      <c r="F195" s="17">
        <f>IF($E195="","",IFERROR(VLOOKUP($E195,类别归属,2,0),"※类别不在基础资料里"))</f>
        <v/>
      </c>
      <c r="G195" s="13" t="n"/>
      <c r="H195" s="13" t="inlineStr">
        <is>
          <t>浙江星蓝思光电科技</t>
        </is>
      </c>
      <c r="I195" s="13" t="inlineStr">
        <is>
          <t>浙江星蓝思光电科技</t>
        </is>
      </c>
      <c r="J195" s="14" t="n"/>
      <c r="K195" s="14" t="n">
        <v>750</v>
      </c>
      <c r="L195" s="19">
        <f>IF($C195="","",ROUND(IFERROR(VLOOKUP($C195,账户期初,2,0),0)+SUMIFS($J$4:J195,$C$4:C195,$C195)-SUMIFS($K$4:K195,$C$4:C195,$C195),2))</f>
        <v/>
      </c>
      <c r="M195" s="19">
        <f>IF($C195="","",ROUND(SUM(基础资料!$B$4:$B$13)+SUM($J$4:J195)-SUM($K$4:K195),2))</f>
        <v/>
      </c>
      <c r="N195" s="13" t="n"/>
      <c r="O195" s="13" t="n"/>
      <c r="P195" s="17">
        <f>IF($B195="","",IF($F195="※类别不在基础资料里","※费用类别不在基础资料里",IF(AND(N($J195)=0,N($K195)=0),"※这行没填金额",IF(AND(N($J195)&gt;0,N($K195)&gt;0),"※收入和支出不能同一行都填",IF(AND($D195="收入",N($J195)=0),"※收入行要填收入金额",IF(AND($D195="支出",N($K195)=0),"※支出行要填支出金额",IF(AND($C195&lt;&gt;"",ISNA(MATCH($C195,账户表,0))),"※账户不在基础资料里",IF(AND($G195&lt;&gt;"",ISNA(MATCH($G195,项目名表,0))),"※项目不在项目台账里",IF(AND(LEFT($F195,3)="成本-",$G195=""),"※成本类支出没填项目",IF(AND(LEFT($F195,3)="成本-",$H195&lt;&gt;"",N($K195)&gt;0,COUNTIFS(采购单!$B:$B,$B195,采购单!$C:$C,$H195,采购单!$L:$L,$K195)&gt;0),"※这笔可能和采购单重复了",""))))))))))</f>
        <v/>
      </c>
    </row>
    <row r="196">
      <c r="A196" s="17">
        <f>IF($B196="","",ROW()-3)</f>
        <v/>
      </c>
      <c r="B196" s="18" t="n">
        <v>46115</v>
      </c>
      <c r="C196" s="13" t="inlineStr">
        <is>
          <t>微信1</t>
        </is>
      </c>
      <c r="D196" s="13" t="inlineStr">
        <is>
          <t>支出</t>
        </is>
      </c>
      <c r="E196" s="13" t="inlineStr">
        <is>
          <t>运费/快递费</t>
        </is>
      </c>
      <c r="F196" s="17">
        <f>IF($E196="","",IFERROR(VLOOKUP($E196,类别归属,2,0),"※类别不在基础资料里"))</f>
        <v/>
      </c>
      <c r="G196" s="13" t="inlineStr">
        <is>
          <t>织里店</t>
        </is>
      </c>
      <c r="H196" s="13" t="inlineStr">
        <is>
          <t>炳秀</t>
        </is>
      </c>
      <c r="I196" s="13" t="inlineStr">
        <is>
          <t>付炳秀配送</t>
        </is>
      </c>
      <c r="J196" s="14" t="n"/>
      <c r="K196" s="14" t="n">
        <v>33</v>
      </c>
      <c r="L196" s="19">
        <f>IF($C196="","",ROUND(IFERROR(VLOOKUP($C196,账户期初,2,0),0)+SUMIFS($J$4:J196,$C$4:C196,$C196)-SUMIFS($K$4:K196,$C$4:C196,$C196),2))</f>
        <v/>
      </c>
      <c r="M196" s="19">
        <f>IF($C196="","",ROUND(SUM(基础资料!$B$4:$B$13)+SUM($J$4:J196)-SUM($K$4:K196),2))</f>
        <v/>
      </c>
      <c r="N196" s="13" t="n"/>
      <c r="O196" s="13" t="inlineStr">
        <is>
          <t>456</t>
        </is>
      </c>
      <c r="P196" s="17">
        <f>IF($B196="","",IF($F196="※类别不在基础资料里","※费用类别不在基础资料里",IF(AND(N($J196)=0,N($K196)=0),"※这行没填金额",IF(AND(N($J196)&gt;0,N($K196)&gt;0),"※收入和支出不能同一行都填",IF(AND($D196="收入",N($J196)=0),"※收入行要填收入金额",IF(AND($D196="支出",N($K196)=0),"※支出行要填支出金额",IF(AND($C196&lt;&gt;"",ISNA(MATCH($C196,账户表,0))),"※账户不在基础资料里",IF(AND($G196&lt;&gt;"",ISNA(MATCH($G196,项目名表,0))),"※项目不在项目台账里",IF(AND(LEFT($F196,3)="成本-",$G196=""),"※成本类支出没填项目",IF(AND(LEFT($F196,3)="成本-",$H196&lt;&gt;"",N($K196)&gt;0,COUNTIFS(采购单!$B:$B,$B196,采购单!$C:$C,$H196,采购单!$L:$L,$K196)&gt;0),"※这笔可能和采购单重复了",""))))))))))</f>
        <v/>
      </c>
    </row>
    <row r="197">
      <c r="A197" s="17">
        <f>IF($B197="","",ROW()-3)</f>
        <v/>
      </c>
      <c r="B197" s="18" t="n">
        <v>46115</v>
      </c>
      <c r="C197" s="13" t="inlineStr">
        <is>
          <t>微信1</t>
        </is>
      </c>
      <c r="D197" s="13" t="inlineStr">
        <is>
          <t>支出</t>
        </is>
      </c>
      <c r="E197" s="13" t="inlineStr">
        <is>
          <t>运费/快递费</t>
        </is>
      </c>
      <c r="F197" s="17">
        <f>IF($E197="","",IFERROR(VLOOKUP($E197,类别归属,2,0),"※类别不在基础资料里"))</f>
        <v/>
      </c>
      <c r="G197" s="13" t="inlineStr">
        <is>
          <t>君澜服饰</t>
        </is>
      </c>
      <c r="H197" s="13" t="inlineStr">
        <is>
          <t>炳秀</t>
        </is>
      </c>
      <c r="I197" s="13" t="inlineStr">
        <is>
          <t>付炳秀配送</t>
        </is>
      </c>
      <c r="J197" s="14" t="n"/>
      <c r="K197" s="14" t="n">
        <v>244</v>
      </c>
      <c r="L197" s="19">
        <f>IF($C197="","",ROUND(IFERROR(VLOOKUP($C197,账户期初,2,0),0)+SUMIFS($J$4:J197,$C$4:C197,$C197)-SUMIFS($K$4:K197,$C$4:C197,$C197),2))</f>
        <v/>
      </c>
      <c r="M197" s="19">
        <f>IF($C197="","",ROUND(SUM(基础资料!$B$4:$B$13)+SUM($J$4:J197)-SUM($K$4:K197),2))</f>
        <v/>
      </c>
      <c r="N197" s="13" t="n"/>
      <c r="O197" s="13" t="n"/>
      <c r="P197" s="17">
        <f>IF($B197="","",IF($F197="※类别不在基础资料里","※费用类别不在基础资料里",IF(AND(N($J197)=0,N($K197)=0),"※这行没填金额",IF(AND(N($J197)&gt;0,N($K197)&gt;0),"※收入和支出不能同一行都填",IF(AND($D197="收入",N($J197)=0),"※收入行要填收入金额",IF(AND($D197="支出",N($K197)=0),"※支出行要填支出金额",IF(AND($C197&lt;&gt;"",ISNA(MATCH($C197,账户表,0))),"※账户不在基础资料里",IF(AND($G197&lt;&gt;"",ISNA(MATCH($G197,项目名表,0))),"※项目不在项目台账里",IF(AND(LEFT($F197,3)="成本-",$G197=""),"※成本类支出没填项目",IF(AND(LEFT($F197,3)="成本-",$H197&lt;&gt;"",N($K197)&gt;0,COUNTIFS(采购单!$B:$B,$B197,采购单!$C:$C,$H197,采购单!$L:$L,$K197)&gt;0),"※这笔可能和采购单重复了",""))))))))))</f>
        <v/>
      </c>
    </row>
    <row r="198">
      <c r="A198" s="17">
        <f>IF($B198="","",ROW()-3)</f>
        <v/>
      </c>
      <c r="B198" s="18" t="n">
        <v>46115</v>
      </c>
      <c r="C198" s="13" t="inlineStr">
        <is>
          <t>微信1</t>
        </is>
      </c>
      <c r="D198" s="13" t="inlineStr">
        <is>
          <t>支出</t>
        </is>
      </c>
      <c r="E198" s="13" t="inlineStr">
        <is>
          <t>运费/快递费</t>
        </is>
      </c>
      <c r="F198" s="17">
        <f>IF($E198="","",IFERROR(VLOOKUP($E198,类别归属,2,0),"※类别不在基础资料里"))</f>
        <v/>
      </c>
      <c r="G198" s="13" t="inlineStr">
        <is>
          <t>饺子店</t>
        </is>
      </c>
      <c r="H198" s="13" t="inlineStr">
        <is>
          <t>炳秀</t>
        </is>
      </c>
      <c r="I198" s="13" t="inlineStr">
        <is>
          <t>付炳秀配送</t>
        </is>
      </c>
      <c r="J198" s="14" t="n"/>
      <c r="K198" s="14" t="n">
        <v>116</v>
      </c>
      <c r="L198" s="19">
        <f>IF($C198="","",ROUND(IFERROR(VLOOKUP($C198,账户期初,2,0),0)+SUMIFS($J$4:J198,$C$4:C198,$C198)-SUMIFS($K$4:K198,$C$4:C198,$C198),2))</f>
        <v/>
      </c>
      <c r="M198" s="19">
        <f>IF($C198="","",ROUND(SUM(基础资料!$B$4:$B$13)+SUM($J$4:J198)-SUM($K$4:K198),2))</f>
        <v/>
      </c>
      <c r="N198" s="13" t="n"/>
      <c r="O198" s="13" t="n"/>
      <c r="P198" s="17">
        <f>IF($B198="","",IF($F198="※类别不在基础资料里","※费用类别不在基础资料里",IF(AND(N($J198)=0,N($K198)=0),"※这行没填金额",IF(AND(N($J198)&gt;0,N($K198)&gt;0),"※收入和支出不能同一行都填",IF(AND($D198="收入",N($J198)=0),"※收入行要填收入金额",IF(AND($D198="支出",N($K198)=0),"※支出行要填支出金额",IF(AND($C198&lt;&gt;"",ISNA(MATCH($C198,账户表,0))),"※账户不在基础资料里",IF(AND($G198&lt;&gt;"",ISNA(MATCH($G198,项目名表,0))),"※项目不在项目台账里",IF(AND(LEFT($F198,3)="成本-",$G198=""),"※成本类支出没填项目",IF(AND(LEFT($F198,3)="成本-",$H198&lt;&gt;"",N($K198)&gt;0,COUNTIFS(采购单!$B:$B,$B198,采购单!$C:$C,$H198,采购单!$L:$L,$K198)&gt;0),"※这笔可能和采购单重复了",""))))))))))</f>
        <v/>
      </c>
    </row>
    <row r="199">
      <c r="A199" s="17">
        <f>IF($B199="","",ROW()-3)</f>
        <v/>
      </c>
      <c r="B199" s="18" t="n">
        <v>46115</v>
      </c>
      <c r="C199" s="13" t="inlineStr">
        <is>
          <t>微信1</t>
        </is>
      </c>
      <c r="D199" s="13" t="inlineStr">
        <is>
          <t>支出</t>
        </is>
      </c>
      <c r="E199" s="13" t="inlineStr">
        <is>
          <t>运费/快递费</t>
        </is>
      </c>
      <c r="F199" s="17">
        <f>IF($E199="","",IFERROR(VLOOKUP($E199,类别归属,2,0),"※类别不在基础资料里"))</f>
        <v/>
      </c>
      <c r="G199" s="13" t="inlineStr">
        <is>
          <t>铁柱烧烤店</t>
        </is>
      </c>
      <c r="H199" s="13" t="inlineStr">
        <is>
          <t>炳秀</t>
        </is>
      </c>
      <c r="I199" s="13" t="inlineStr">
        <is>
          <t>付炳秀配送</t>
        </is>
      </c>
      <c r="J199" s="14" t="n"/>
      <c r="K199" s="14" t="n">
        <v>63</v>
      </c>
      <c r="L199" s="19">
        <f>IF($C199="","",ROUND(IFERROR(VLOOKUP($C199,账户期初,2,0),0)+SUMIFS($J$4:J199,$C$4:C199,$C199)-SUMIFS($K$4:K199,$C$4:C199,$C199),2))</f>
        <v/>
      </c>
      <c r="M199" s="19">
        <f>IF($C199="","",ROUND(SUM(基础资料!$B$4:$B$13)+SUM($J$4:J199)-SUM($K$4:K199),2))</f>
        <v/>
      </c>
      <c r="N199" s="13" t="n"/>
      <c r="O199" s="13" t="n"/>
      <c r="P199" s="17">
        <f>IF($B199="","",IF($F199="※类别不在基础资料里","※费用类别不在基础资料里",IF(AND(N($J199)=0,N($K199)=0),"※这行没填金额",IF(AND(N($J199)&gt;0,N($K199)&gt;0),"※收入和支出不能同一行都填",IF(AND($D199="收入",N($J199)=0),"※收入行要填收入金额",IF(AND($D199="支出",N($K199)=0),"※支出行要填支出金额",IF(AND($C199&lt;&gt;"",ISNA(MATCH($C199,账户表,0))),"※账户不在基础资料里",IF(AND($G199&lt;&gt;"",ISNA(MATCH($G199,项目名表,0))),"※项目不在项目台账里",IF(AND(LEFT($F199,3)="成本-",$G199=""),"※成本类支出没填项目",IF(AND(LEFT($F199,3)="成本-",$H199&lt;&gt;"",N($K199)&gt;0,COUNTIFS(采购单!$B:$B,$B199,采购单!$C:$C,$H199,采购单!$L:$L,$K199)&gt;0),"※这笔可能和采购单重复了",""))))))))))</f>
        <v/>
      </c>
    </row>
    <row r="200">
      <c r="A200" s="17">
        <f>IF($B200="","",ROW()-3)</f>
        <v/>
      </c>
      <c r="B200" s="18" t="n">
        <v>46116</v>
      </c>
      <c r="C200" s="13" t="inlineStr">
        <is>
          <t>微信1</t>
        </is>
      </c>
      <c r="D200" s="13" t="inlineStr">
        <is>
          <t>支出</t>
        </is>
      </c>
      <c r="E200" s="13" t="inlineStr">
        <is>
          <t>主材采购</t>
        </is>
      </c>
      <c r="F200" s="17">
        <f>IF($E200="","",IFERROR(VLOOKUP($E200,类别归属,2,0),"※类别不在基础资料里"))</f>
        <v/>
      </c>
      <c r="G200" s="13" t="inlineStr">
        <is>
          <t>君澜服饰</t>
        </is>
      </c>
      <c r="H200" s="13" t="n"/>
      <c r="I200" s="13" t="inlineStr">
        <is>
          <t>付杭州杜邦纸软膜-王</t>
        </is>
      </c>
      <c r="J200" s="14" t="n"/>
      <c r="K200" s="14" t="n">
        <v>38</v>
      </c>
      <c r="L200" s="19">
        <f>IF($C200="","",ROUND(IFERROR(VLOOKUP($C200,账户期初,2,0),0)+SUMIFS($J$4:J200,$C$4:C200,$C200)-SUMIFS($K$4:K200,$C$4:C200,$C200),2))</f>
        <v/>
      </c>
      <c r="M200" s="19">
        <f>IF($C200="","",ROUND(SUM(基础资料!$B$4:$B$13)+SUM($J$4:J200)-SUM($K$4:K200),2))</f>
        <v/>
      </c>
      <c r="N200" s="13" t="n"/>
      <c r="O200" s="13" t="n"/>
      <c r="P200" s="17">
        <f>IF($B200="","",IF($F200="※类别不在基础资料里","※费用类别不在基础资料里",IF(AND(N($J200)=0,N($K200)=0),"※这行没填金额",IF(AND(N($J200)&gt;0,N($K200)&gt;0),"※收入和支出不能同一行都填",IF(AND($D200="收入",N($J200)=0),"※收入行要填收入金额",IF(AND($D200="支出",N($K200)=0),"※支出行要填支出金额",IF(AND($C200&lt;&gt;"",ISNA(MATCH($C200,账户表,0))),"※账户不在基础资料里",IF(AND($G200&lt;&gt;"",ISNA(MATCH($G200,项目名表,0))),"※项目不在项目台账里",IF(AND(LEFT($F200,3)="成本-",$G200=""),"※成本类支出没填项目",IF(AND(LEFT($F200,3)="成本-",$H200&lt;&gt;"",N($K200)&gt;0,COUNTIFS(采购单!$B:$B,$B200,采购单!$C:$C,$H200,采购单!$L:$L,$K200)&gt;0),"※这笔可能和采购单重复了",""))))))))))</f>
        <v/>
      </c>
    </row>
    <row r="201">
      <c r="A201" s="17">
        <f>IF($B201="","",ROW()-3)</f>
        <v/>
      </c>
      <c r="B201" s="18" t="n">
        <v>46116</v>
      </c>
      <c r="C201" s="13" t="inlineStr">
        <is>
          <t>微信1</t>
        </is>
      </c>
      <c r="D201" s="13" t="inlineStr">
        <is>
          <t>收入</t>
        </is>
      </c>
      <c r="E201" s="13" t="inlineStr">
        <is>
          <t>项目收款</t>
        </is>
      </c>
      <c r="F201" s="17">
        <f>IF($E201="","",IFERROR(VLOOKUP($E201,类别归属,2,0),"※类别不在基础资料里"))</f>
        <v/>
      </c>
      <c r="G201" s="13" t="inlineStr">
        <is>
          <t>中医院</t>
        </is>
      </c>
      <c r="H201" s="13" t="n"/>
      <c r="I201" s="13" t="inlineStr">
        <is>
          <t>林立</t>
        </is>
      </c>
      <c r="J201" s="14" t="n">
        <v>1000</v>
      </c>
      <c r="K201" s="14" t="n"/>
      <c r="L201" s="19">
        <f>IF($C201="","",ROUND(IFERROR(VLOOKUP($C201,账户期初,2,0),0)+SUMIFS($J$4:J201,$C$4:C201,$C201)-SUMIFS($K$4:K201,$C$4:C201,$C201),2))</f>
        <v/>
      </c>
      <c r="M201" s="19">
        <f>IF($C201="","",ROUND(SUM(基础资料!$B$4:$B$13)+SUM($J$4:J201)-SUM($K$4:K201),2))</f>
        <v/>
      </c>
      <c r="N201" s="13" t="n"/>
      <c r="O201" s="13" t="n"/>
      <c r="P201" s="17">
        <f>IF($B201="","",IF($F201="※类别不在基础资料里","※费用类别不在基础资料里",IF(AND(N($J201)=0,N($K201)=0),"※这行没填金额",IF(AND(N($J201)&gt;0,N($K201)&gt;0),"※收入和支出不能同一行都填",IF(AND($D201="收入",N($J201)=0),"※收入行要填收入金额",IF(AND($D201="支出",N($K201)=0),"※支出行要填支出金额",IF(AND($C201&lt;&gt;"",ISNA(MATCH($C201,账户表,0))),"※账户不在基础资料里",IF(AND($G201&lt;&gt;"",ISNA(MATCH($G201,项目名表,0))),"※项目不在项目台账里",IF(AND(LEFT($F201,3)="成本-",$G201=""),"※成本类支出没填项目",IF(AND(LEFT($F201,3)="成本-",$H201&lt;&gt;"",N($K201)&gt;0,COUNTIFS(采购单!$B:$B,$B201,采购单!$C:$C,$H201,采购单!$L:$L,$K201)&gt;0),"※这笔可能和采购单重复了",""))))))))))</f>
        <v/>
      </c>
    </row>
    <row r="202">
      <c r="A202" s="17">
        <f>IF($B202="","",ROW()-3)</f>
        <v/>
      </c>
      <c r="B202" s="18" t="n">
        <v>46116</v>
      </c>
      <c r="C202" s="13" t="inlineStr">
        <is>
          <t>微信1</t>
        </is>
      </c>
      <c r="D202" s="13" t="inlineStr">
        <is>
          <t>支出</t>
        </is>
      </c>
      <c r="E202" s="13" t="inlineStr">
        <is>
          <t>运费/快递费</t>
        </is>
      </c>
      <c r="F202" s="17">
        <f>IF($E202="","",IFERROR(VLOOKUP($E202,类别归属,2,0),"※类别不在基础资料里"))</f>
        <v/>
      </c>
      <c r="G202" s="13" t="inlineStr">
        <is>
          <t>织里店</t>
        </is>
      </c>
      <c r="H202" s="13" t="inlineStr">
        <is>
          <t>炳秀</t>
        </is>
      </c>
      <c r="I202" s="13" t="inlineStr">
        <is>
          <t>付炳秀配送</t>
        </is>
      </c>
      <c r="J202" s="14" t="n"/>
      <c r="K202" s="14" t="n">
        <v>14</v>
      </c>
      <c r="L202" s="19">
        <f>IF($C202="","",ROUND(IFERROR(VLOOKUP($C202,账户期初,2,0),0)+SUMIFS($J$4:J202,$C$4:C202,$C202)-SUMIFS($K$4:K202,$C$4:C202,$C202),2))</f>
        <v/>
      </c>
      <c r="M202" s="19">
        <f>IF($C202="","",ROUND(SUM(基础资料!$B$4:$B$13)+SUM($J$4:J202)-SUM($K$4:K202),2))</f>
        <v/>
      </c>
      <c r="N202" s="13" t="n"/>
      <c r="O202" s="13" t="n"/>
      <c r="P202" s="17">
        <f>IF($B202="","",IF($F202="※类别不在基础资料里","※费用类别不在基础资料里",IF(AND(N($J202)=0,N($K202)=0),"※这行没填金额",IF(AND(N($J202)&gt;0,N($K202)&gt;0),"※收入和支出不能同一行都填",IF(AND($D202="收入",N($J202)=0),"※收入行要填收入金额",IF(AND($D202="支出",N($K202)=0),"※支出行要填支出金额",IF(AND($C202&lt;&gt;"",ISNA(MATCH($C202,账户表,0))),"※账户不在基础资料里",IF(AND($G202&lt;&gt;"",ISNA(MATCH($G202,项目名表,0))),"※项目不在项目台账里",IF(AND(LEFT($F202,3)="成本-",$G202=""),"※成本类支出没填项目",IF(AND(LEFT($F202,3)="成本-",$H202&lt;&gt;"",N($K202)&gt;0,COUNTIFS(采购单!$B:$B,$B202,采购单!$C:$C,$H202,采购单!$L:$L,$K202)&gt;0),"※这笔可能和采购单重复了",""))))))))))</f>
        <v/>
      </c>
    </row>
    <row r="203">
      <c r="A203" s="17">
        <f>IF($B203="","",ROW()-3)</f>
        <v/>
      </c>
      <c r="B203" s="18" t="n">
        <v>46116</v>
      </c>
      <c r="C203" s="13" t="inlineStr">
        <is>
          <t>微信1</t>
        </is>
      </c>
      <c r="D203" s="13" t="inlineStr">
        <is>
          <t>支出</t>
        </is>
      </c>
      <c r="E203" s="13" t="inlineStr">
        <is>
          <t>运费/快递费</t>
        </is>
      </c>
      <c r="F203" s="17">
        <f>IF($E203="","",IFERROR(VLOOKUP($E203,类别归属,2,0),"※类别不在基础资料里"))</f>
        <v/>
      </c>
      <c r="G203" s="13" t="inlineStr">
        <is>
          <t>织里店</t>
        </is>
      </c>
      <c r="H203" s="13" t="inlineStr">
        <is>
          <t>炳秀</t>
        </is>
      </c>
      <c r="I203" s="13" t="inlineStr">
        <is>
          <t>付炳秀配送</t>
        </is>
      </c>
      <c r="J203" s="14" t="n"/>
      <c r="K203" s="14" t="n">
        <v>134</v>
      </c>
      <c r="L203" s="19">
        <f>IF($C203="","",ROUND(IFERROR(VLOOKUP($C203,账户期初,2,0),0)+SUMIFS($J$4:J203,$C$4:C203,$C203)-SUMIFS($K$4:K203,$C$4:C203,$C203),2))</f>
        <v/>
      </c>
      <c r="M203" s="19">
        <f>IF($C203="","",ROUND(SUM(基础资料!$B$4:$B$13)+SUM($J$4:J203)-SUM($K$4:K203),2))</f>
        <v/>
      </c>
      <c r="N203" s="13" t="n"/>
      <c r="O203" s="13" t="n"/>
      <c r="P203" s="17">
        <f>IF($B203="","",IF($F203="※类别不在基础资料里","※费用类别不在基础资料里",IF(AND(N($J203)=0,N($K203)=0),"※这行没填金额",IF(AND(N($J203)&gt;0,N($K203)&gt;0),"※收入和支出不能同一行都填",IF(AND($D203="收入",N($J203)=0),"※收入行要填收入金额",IF(AND($D203="支出",N($K203)=0),"※支出行要填支出金额",IF(AND($C203&lt;&gt;"",ISNA(MATCH($C203,账户表,0))),"※账户不在基础资料里",IF(AND($G203&lt;&gt;"",ISNA(MATCH($G203,项目名表,0))),"※项目不在项目台账里",IF(AND(LEFT($F203,3)="成本-",$G203=""),"※成本类支出没填项目",IF(AND(LEFT($F203,3)="成本-",$H203&lt;&gt;"",N($K203)&gt;0,COUNTIFS(采购单!$B:$B,$B203,采购单!$C:$C,$H203,采购单!$L:$L,$K203)&gt;0),"※这笔可能和采购单重复了",""))))))))))</f>
        <v/>
      </c>
    </row>
    <row r="204">
      <c r="A204" s="17">
        <f>IF($B204="","",ROW()-3)</f>
        <v/>
      </c>
      <c r="B204" s="18" t="n">
        <v>46118</v>
      </c>
      <c r="C204" s="13" t="inlineStr">
        <is>
          <t>微信1</t>
        </is>
      </c>
      <c r="D204" s="13" t="inlineStr">
        <is>
          <t>支出</t>
        </is>
      </c>
      <c r="E204" s="13" t="inlineStr">
        <is>
          <t>主材采购</t>
        </is>
      </c>
      <c r="F204" s="17">
        <f>IF($E204="","",IFERROR(VLOOKUP($E204,类别归属,2,0),"※类别不在基础资料里"))</f>
        <v/>
      </c>
      <c r="G204" s="13" t="n"/>
      <c r="H204" s="13" t="inlineStr">
        <is>
          <t>千里马</t>
        </is>
      </c>
      <c r="I204" s="13" t="inlineStr">
        <is>
          <t>付千里马 30mm双面胶</t>
        </is>
      </c>
      <c r="J204" s="14" t="n"/>
      <c r="K204" s="14" t="n">
        <v>120</v>
      </c>
      <c r="L204" s="19">
        <f>IF($C204="","",ROUND(IFERROR(VLOOKUP($C204,账户期初,2,0),0)+SUMIFS($J$4:J204,$C$4:C204,$C204)-SUMIFS($K$4:K204,$C$4:C204,$C204),2))</f>
        <v/>
      </c>
      <c r="M204" s="19">
        <f>IF($C204="","",ROUND(SUM(基础资料!$B$4:$B$13)+SUM($J$4:J204)-SUM($K$4:K204),2))</f>
        <v/>
      </c>
      <c r="N204" s="13" t="n"/>
      <c r="O204" s="13" t="n"/>
      <c r="P204" s="17">
        <f>IF($B204="","",IF($F204="※类别不在基础资料里","※费用类别不在基础资料里",IF(AND(N($J204)=0,N($K204)=0),"※这行没填金额",IF(AND(N($J204)&gt;0,N($K204)&gt;0),"※收入和支出不能同一行都填",IF(AND($D204="收入",N($J204)=0),"※收入行要填收入金额",IF(AND($D204="支出",N($K204)=0),"※支出行要填支出金额",IF(AND($C204&lt;&gt;"",ISNA(MATCH($C204,账户表,0))),"※账户不在基础资料里",IF(AND($G204&lt;&gt;"",ISNA(MATCH($G204,项目名表,0))),"※项目不在项目台账里",IF(AND(LEFT($F204,3)="成本-",$G204=""),"※成本类支出没填项目",IF(AND(LEFT($F204,3)="成本-",$H204&lt;&gt;"",N($K204)&gt;0,COUNTIFS(采购单!$B:$B,$B204,采购单!$C:$C,$H204,采购单!$L:$L,$K204)&gt;0),"※这笔可能和采购单重复了",""))))))))))</f>
        <v/>
      </c>
    </row>
    <row r="205">
      <c r="A205" s="17">
        <f>IF($B205="","",ROW()-3)</f>
        <v/>
      </c>
      <c r="B205" s="18" t="n">
        <v>46118</v>
      </c>
      <c r="C205" s="13" t="inlineStr">
        <is>
          <t>微信1</t>
        </is>
      </c>
      <c r="D205" s="13" t="inlineStr">
        <is>
          <t>收入</t>
        </is>
      </c>
      <c r="E205" s="13" t="inlineStr">
        <is>
          <t>收回借出款</t>
        </is>
      </c>
      <c r="F205" s="17">
        <f>IF($E205="","",IFERROR(VLOOKUP($E205,类别归属,2,0),"※类别不在基础资料里"))</f>
        <v/>
      </c>
      <c r="G205" s="13" t="n"/>
      <c r="H205" s="13" t="inlineStr">
        <is>
          <t>付久华</t>
        </is>
      </c>
      <c r="I205" s="13" t="inlineStr">
        <is>
          <t>付给付久华</t>
        </is>
      </c>
      <c r="J205" s="14" t="n">
        <v>5000</v>
      </c>
      <c r="K205" s="14" t="n"/>
      <c r="L205" s="19">
        <f>IF($C205="","",ROUND(IFERROR(VLOOKUP($C205,账户期初,2,0),0)+SUMIFS($J$4:J205,$C$4:C205,$C205)-SUMIFS($K$4:K205,$C$4:C205,$C205),2))</f>
        <v/>
      </c>
      <c r="M205" s="19">
        <f>IF($C205="","",ROUND(SUM(基础资料!$B$4:$B$13)+SUM($J$4:J205)-SUM($K$4:K205),2))</f>
        <v/>
      </c>
      <c r="N205" s="13" t="n"/>
      <c r="O205" s="13" t="n"/>
      <c r="P205" s="17">
        <f>IF($B205="","",IF($F205="※类别不在基础资料里","※费用类别不在基础资料里",IF(AND(N($J205)=0,N($K205)=0),"※这行没填金额",IF(AND(N($J205)&gt;0,N($K205)&gt;0),"※收入和支出不能同一行都填",IF(AND($D205="收入",N($J205)=0),"※收入行要填收入金额",IF(AND($D205="支出",N($K205)=0),"※支出行要填支出金额",IF(AND($C205&lt;&gt;"",ISNA(MATCH($C205,账户表,0))),"※账户不在基础资料里",IF(AND($G205&lt;&gt;"",ISNA(MATCH($G205,项目名表,0))),"※项目不在项目台账里",IF(AND(LEFT($F205,3)="成本-",$G205=""),"※成本类支出没填项目",IF(AND(LEFT($F205,3)="成本-",$H205&lt;&gt;"",N($K205)&gt;0,COUNTIFS(采购单!$B:$B,$B205,采购单!$C:$C,$H205,采购单!$L:$L,$K205)&gt;0),"※这笔可能和采购单重复了",""))))))))))</f>
        <v/>
      </c>
    </row>
    <row r="206">
      <c r="A206" s="17">
        <f>IF($B206="","",ROW()-3)</f>
        <v/>
      </c>
      <c r="B206" s="18" t="n">
        <v>46118</v>
      </c>
      <c r="C206" s="13" t="inlineStr">
        <is>
          <t>微信1</t>
        </is>
      </c>
      <c r="D206" s="13" t="inlineStr">
        <is>
          <t>支出</t>
        </is>
      </c>
      <c r="E206" s="13" t="inlineStr">
        <is>
          <t>安装工资</t>
        </is>
      </c>
      <c r="F206" s="17">
        <f>IF($E206="","",IFERROR(VLOOKUP($E206,类别归属,2,0),"※类别不在基础资料里"))</f>
        <v/>
      </c>
      <c r="G206" s="13" t="n"/>
      <c r="H206" s="13" t="n"/>
      <c r="I206" s="13" t="inlineStr">
        <is>
          <t>付专业广告-小宋</t>
        </is>
      </c>
      <c r="J206" s="14" t="n"/>
      <c r="K206" s="14" t="n">
        <v>5000</v>
      </c>
      <c r="L206" s="19">
        <f>IF($C206="","",ROUND(IFERROR(VLOOKUP($C206,账户期初,2,0),0)+SUMIFS($J$4:J206,$C$4:C206,$C206)-SUMIFS($K$4:K206,$C$4:C206,$C206),2))</f>
        <v/>
      </c>
      <c r="M206" s="19">
        <f>IF($C206="","",ROUND(SUM(基础资料!$B$4:$B$13)+SUM($J$4:J206)-SUM($K$4:K206),2))</f>
        <v/>
      </c>
      <c r="N206" s="13" t="n"/>
      <c r="O206" s="13" t="n"/>
      <c r="P206" s="17">
        <f>IF($B206="","",IF($F206="※类别不在基础资料里","※费用类别不在基础资料里",IF(AND(N($J206)=0,N($K206)=0),"※这行没填金额",IF(AND(N($J206)&gt;0,N($K206)&gt;0),"※收入和支出不能同一行都填",IF(AND($D206="收入",N($J206)=0),"※收入行要填收入金额",IF(AND($D206="支出",N($K206)=0),"※支出行要填支出金额",IF(AND($C206&lt;&gt;"",ISNA(MATCH($C206,账户表,0))),"※账户不在基础资料里",IF(AND($G206&lt;&gt;"",ISNA(MATCH($G206,项目名表,0))),"※项目不在项目台账里",IF(AND(LEFT($F206,3)="成本-",$G206=""),"※成本类支出没填项目",IF(AND(LEFT($F206,3)="成本-",$H206&lt;&gt;"",N($K206)&gt;0,COUNTIFS(采购单!$B:$B,$B206,采购单!$C:$C,$H206,采购单!$L:$L,$K206)&gt;0),"※这笔可能和采购单重复了",""))))))))))</f>
        <v/>
      </c>
    </row>
    <row r="207">
      <c r="A207" s="17">
        <f>IF($B207="","",ROW()-3)</f>
        <v/>
      </c>
      <c r="B207" s="18" t="n">
        <v>46118</v>
      </c>
      <c r="C207" s="13" t="inlineStr">
        <is>
          <t>微信1</t>
        </is>
      </c>
      <c r="D207" s="13" t="inlineStr">
        <is>
          <t>支出</t>
        </is>
      </c>
      <c r="E207" s="13" t="inlineStr">
        <is>
          <t>运费/快递费</t>
        </is>
      </c>
      <c r="F207" s="17">
        <f>IF($E207="","",IFERROR(VLOOKUP($E207,类别归属,2,0),"※类别不在基础资料里"))</f>
        <v/>
      </c>
      <c r="G207" s="13" t="inlineStr">
        <is>
          <t>织里店</t>
        </is>
      </c>
      <c r="H207" s="13" t="inlineStr">
        <is>
          <t>炳秀</t>
        </is>
      </c>
      <c r="I207" s="13" t="inlineStr">
        <is>
          <t>付炳秀配送</t>
        </is>
      </c>
      <c r="J207" s="14" t="n"/>
      <c r="K207" s="14" t="n">
        <v>38</v>
      </c>
      <c r="L207" s="19">
        <f>IF($C207="","",ROUND(IFERROR(VLOOKUP($C207,账户期初,2,0),0)+SUMIFS($J$4:J207,$C$4:C207,$C207)-SUMIFS($K$4:K207,$C$4:C207,$C207),2))</f>
        <v/>
      </c>
      <c r="M207" s="19">
        <f>IF($C207="","",ROUND(SUM(基础资料!$B$4:$B$13)+SUM($J$4:J207)-SUM($K$4:K207),2))</f>
        <v/>
      </c>
      <c r="N207" s="13" t="n"/>
      <c r="O207" s="13" t="n"/>
      <c r="P207" s="17">
        <f>IF($B207="","",IF($F207="※类别不在基础资料里","※费用类别不在基础资料里",IF(AND(N($J207)=0,N($K207)=0),"※这行没填金额",IF(AND(N($J207)&gt;0,N($K207)&gt;0),"※收入和支出不能同一行都填",IF(AND($D207="收入",N($J207)=0),"※收入行要填收入金额",IF(AND($D207="支出",N($K207)=0),"※支出行要填支出金额",IF(AND($C207&lt;&gt;"",ISNA(MATCH($C207,账户表,0))),"※账户不在基础资料里",IF(AND($G207&lt;&gt;"",ISNA(MATCH($G207,项目名表,0))),"※项目不在项目台账里",IF(AND(LEFT($F207,3)="成本-",$G207=""),"※成本类支出没填项目",IF(AND(LEFT($F207,3)="成本-",$H207&lt;&gt;"",N($K207)&gt;0,COUNTIFS(采购单!$B:$B,$B207,采购单!$C:$C,$H207,采购单!$L:$L,$K207)&gt;0),"※这笔可能和采购单重复了",""))))))))))</f>
        <v/>
      </c>
    </row>
    <row r="208">
      <c r="A208" s="17">
        <f>IF($B208="","",ROW()-3)</f>
        <v/>
      </c>
      <c r="B208" s="18" t="n">
        <v>46119</v>
      </c>
      <c r="C208" s="13" t="inlineStr">
        <is>
          <t>微信1</t>
        </is>
      </c>
      <c r="D208" s="13" t="inlineStr">
        <is>
          <t>收入</t>
        </is>
      </c>
      <c r="E208" s="13" t="inlineStr">
        <is>
          <t>项目收款</t>
        </is>
      </c>
      <c r="F208" s="17">
        <f>IF($E208="","",IFERROR(VLOOKUP($E208,类别归属,2,0),"※类别不在基础资料里"))</f>
        <v/>
      </c>
      <c r="G208" s="13" t="inlineStr">
        <is>
          <t>饺子店</t>
        </is>
      </c>
      <c r="H208" s="13" t="n"/>
      <c r="I208" s="13" t="inlineStr">
        <is>
          <t>手工水饺</t>
        </is>
      </c>
      <c r="J208" s="14" t="n">
        <v>1128</v>
      </c>
      <c r="K208" s="14" t="n"/>
      <c r="L208" s="19">
        <f>IF($C208="","",ROUND(IFERROR(VLOOKUP($C208,账户期初,2,0),0)+SUMIFS($J$4:J208,$C$4:C208,$C208)-SUMIFS($K$4:K208,$C$4:C208,$C208),2))</f>
        <v/>
      </c>
      <c r="M208" s="19">
        <f>IF($C208="","",ROUND(SUM(基础资料!$B$4:$B$13)+SUM($J$4:J208)-SUM($K$4:K208),2))</f>
        <v/>
      </c>
      <c r="N208" s="13" t="n"/>
      <c r="O208" s="13" t="n"/>
      <c r="P208" s="17">
        <f>IF($B208="","",IF($F208="※类别不在基础资料里","※费用类别不在基础资料里",IF(AND(N($J208)=0,N($K208)=0),"※这行没填金额",IF(AND(N($J208)&gt;0,N($K208)&gt;0),"※收入和支出不能同一行都填",IF(AND($D208="收入",N($J208)=0),"※收入行要填收入金额",IF(AND($D208="支出",N($K208)=0),"※支出行要填支出金额",IF(AND($C208&lt;&gt;"",ISNA(MATCH($C208,账户表,0))),"※账户不在基础资料里",IF(AND($G208&lt;&gt;"",ISNA(MATCH($G208,项目名表,0))),"※项目不在项目台账里",IF(AND(LEFT($F208,3)="成本-",$G208=""),"※成本类支出没填项目",IF(AND(LEFT($F208,3)="成本-",$H208&lt;&gt;"",N($K208)&gt;0,COUNTIFS(采购单!$B:$B,$B208,采购单!$C:$C,$H208,采购单!$L:$L,$K208)&gt;0),"※这笔可能和采购单重复了",""))))))))))</f>
        <v/>
      </c>
    </row>
    <row r="209">
      <c r="A209" s="17">
        <f>IF($B209="","",ROW()-3)</f>
        <v/>
      </c>
      <c r="B209" s="18" t="n">
        <v>46119</v>
      </c>
      <c r="C209" s="13" t="inlineStr">
        <is>
          <t>微信1</t>
        </is>
      </c>
      <c r="D209" s="13" t="inlineStr">
        <is>
          <t>支出</t>
        </is>
      </c>
      <c r="E209" s="13" t="inlineStr">
        <is>
          <t>运费/快递费</t>
        </is>
      </c>
      <c r="F209" s="17">
        <f>IF($E209="","",IFERROR(VLOOKUP($E209,类别归属,2,0),"※类别不在基础资料里"))</f>
        <v/>
      </c>
      <c r="G209" s="13" t="inlineStr">
        <is>
          <t>铁柱烧烤店</t>
        </is>
      </c>
      <c r="H209" s="13" t="inlineStr">
        <is>
          <t>炳秀</t>
        </is>
      </c>
      <c r="I209" s="13" t="inlineStr">
        <is>
          <t>付炳秀配送</t>
        </is>
      </c>
      <c r="J209" s="14" t="n"/>
      <c r="K209" s="14" t="n">
        <v>28</v>
      </c>
      <c r="L209" s="19">
        <f>IF($C209="","",ROUND(IFERROR(VLOOKUP($C209,账户期初,2,0),0)+SUMIFS($J$4:J209,$C$4:C209,$C209)-SUMIFS($K$4:K209,$C$4:C209,$C209),2))</f>
        <v/>
      </c>
      <c r="M209" s="19">
        <f>IF($C209="","",ROUND(SUM(基础资料!$B$4:$B$13)+SUM($J$4:J209)-SUM($K$4:K209),2))</f>
        <v/>
      </c>
      <c r="N209" s="13" t="n"/>
      <c r="O209" s="13" t="inlineStr">
        <is>
          <t>81</t>
        </is>
      </c>
      <c r="P209" s="17">
        <f>IF($B209="","",IF($F209="※类别不在基础资料里","※费用类别不在基础资料里",IF(AND(N($J209)=0,N($K209)=0),"※这行没填金额",IF(AND(N($J209)&gt;0,N($K209)&gt;0),"※收入和支出不能同一行都填",IF(AND($D209="收入",N($J209)=0),"※收入行要填收入金额",IF(AND($D209="支出",N($K209)=0),"※支出行要填支出金额",IF(AND($C209&lt;&gt;"",ISNA(MATCH($C209,账户表,0))),"※账户不在基础资料里",IF(AND($G209&lt;&gt;"",ISNA(MATCH($G209,项目名表,0))),"※项目不在项目台账里",IF(AND(LEFT($F209,3)="成本-",$G209=""),"※成本类支出没填项目",IF(AND(LEFT($F209,3)="成本-",$H209&lt;&gt;"",N($K209)&gt;0,COUNTIFS(采购单!$B:$B,$B209,采购单!$C:$C,$H209,采购单!$L:$L,$K209)&gt;0),"※这笔可能和采购单重复了",""))))))))))</f>
        <v/>
      </c>
    </row>
    <row r="210">
      <c r="A210" s="17">
        <f>IF($B210="","",ROW()-3)</f>
        <v/>
      </c>
      <c r="B210" s="18" t="n">
        <v>46119</v>
      </c>
      <c r="C210" s="13" t="inlineStr">
        <is>
          <t>微信1</t>
        </is>
      </c>
      <c r="D210" s="13" t="inlineStr">
        <is>
          <t>支出</t>
        </is>
      </c>
      <c r="E210" s="13" t="inlineStr">
        <is>
          <t>运费/快递费</t>
        </is>
      </c>
      <c r="F210" s="17">
        <f>IF($E210="","",IFERROR(VLOOKUP($E210,类别归属,2,0),"※类别不在基础资料里"))</f>
        <v/>
      </c>
      <c r="G210" s="13" t="inlineStr">
        <is>
          <t>东尼电子</t>
        </is>
      </c>
      <c r="H210" s="13" t="inlineStr">
        <is>
          <t>炳秀</t>
        </is>
      </c>
      <c r="I210" s="13" t="inlineStr">
        <is>
          <t>付炳秀配送</t>
        </is>
      </c>
      <c r="J210" s="14" t="n"/>
      <c r="K210" s="14" t="n">
        <v>53</v>
      </c>
      <c r="L210" s="19">
        <f>IF($C210="","",ROUND(IFERROR(VLOOKUP($C210,账户期初,2,0),0)+SUMIFS($J$4:J210,$C$4:C210,$C210)-SUMIFS($K$4:K210,$C$4:C210,$C210),2))</f>
        <v/>
      </c>
      <c r="M210" s="19">
        <f>IF($C210="","",ROUND(SUM(基础资料!$B$4:$B$13)+SUM($J$4:J210)-SUM($K$4:K210),2))</f>
        <v/>
      </c>
      <c r="N210" s="13" t="n"/>
      <c r="O210" s="13" t="n"/>
      <c r="P210" s="17">
        <f>IF($B210="","",IF($F210="※类别不在基础资料里","※费用类别不在基础资料里",IF(AND(N($J210)=0,N($K210)=0),"※这行没填金额",IF(AND(N($J210)&gt;0,N($K210)&gt;0),"※收入和支出不能同一行都填",IF(AND($D210="收入",N($J210)=0),"※收入行要填收入金额",IF(AND($D210="支出",N($K210)=0),"※支出行要填支出金额",IF(AND($C210&lt;&gt;"",ISNA(MATCH($C210,账户表,0))),"※账户不在基础资料里",IF(AND($G210&lt;&gt;"",ISNA(MATCH($G210,项目名表,0))),"※项目不在项目台账里",IF(AND(LEFT($F210,3)="成本-",$G210=""),"※成本类支出没填项目",IF(AND(LEFT($F210,3)="成本-",$H210&lt;&gt;"",N($K210)&gt;0,COUNTIFS(采购单!$B:$B,$B210,采购单!$C:$C,$H210,采购单!$L:$L,$K210)&gt;0),"※这笔可能和采购单重复了",""))))))))))</f>
        <v/>
      </c>
    </row>
    <row r="211">
      <c r="A211" s="17">
        <f>IF($B211="","",ROW()-3)</f>
        <v/>
      </c>
      <c r="B211" s="18" t="n">
        <v>46120</v>
      </c>
      <c r="C211" s="13" t="inlineStr">
        <is>
          <t>微信1</t>
        </is>
      </c>
      <c r="D211" s="13" t="inlineStr">
        <is>
          <t>收入</t>
        </is>
      </c>
      <c r="E211" s="13" t="inlineStr">
        <is>
          <t>项目收款</t>
        </is>
      </c>
      <c r="F211" s="17">
        <f>IF($E211="","",IFERROR(VLOOKUP($E211,类别归属,2,0),"※类别不在基础资料里"))</f>
        <v/>
      </c>
      <c r="G211" s="13" t="inlineStr">
        <is>
          <t>汕味杏花室内项目</t>
        </is>
      </c>
      <c r="H211" s="13" t="n"/>
      <c r="I211" s="13" t="inlineStr">
        <is>
          <t>叶勇宾</t>
        </is>
      </c>
      <c r="J211" s="14" t="n">
        <v>6000</v>
      </c>
      <c r="K211" s="14" t="n"/>
      <c r="L211" s="19">
        <f>IF($C211="","",ROUND(IFERROR(VLOOKUP($C211,账户期初,2,0),0)+SUMIFS($J$4:J211,$C$4:C211,$C211)-SUMIFS($K$4:K211,$C$4:C211,$C211),2))</f>
        <v/>
      </c>
      <c r="M211" s="19">
        <f>IF($C211="","",ROUND(SUM(基础资料!$B$4:$B$13)+SUM($J$4:J211)-SUM($K$4:K211),2))</f>
        <v/>
      </c>
      <c r="N211" s="13" t="n"/>
      <c r="O211" s="13" t="n"/>
      <c r="P211" s="17">
        <f>IF($B211="","",IF($F211="※类别不在基础资料里","※费用类别不在基础资料里",IF(AND(N($J211)=0,N($K211)=0),"※这行没填金额",IF(AND(N($J211)&gt;0,N($K211)&gt;0),"※收入和支出不能同一行都填",IF(AND($D211="收入",N($J211)=0),"※收入行要填收入金额",IF(AND($D211="支出",N($K211)=0),"※支出行要填支出金额",IF(AND($C211&lt;&gt;"",ISNA(MATCH($C211,账户表,0))),"※账户不在基础资料里",IF(AND($G211&lt;&gt;"",ISNA(MATCH($G211,项目名表,0))),"※项目不在项目台账里",IF(AND(LEFT($F211,3)="成本-",$G211=""),"※成本类支出没填项目",IF(AND(LEFT($F211,3)="成本-",$H211&lt;&gt;"",N($K211)&gt;0,COUNTIFS(采购单!$B:$B,$B211,采购单!$C:$C,$H211,采购单!$L:$L,$K211)&gt;0),"※这笔可能和采购单重复了",""))))))))))</f>
        <v/>
      </c>
    </row>
    <row r="212">
      <c r="A212" s="17">
        <f>IF($B212="","",ROW()-3)</f>
        <v/>
      </c>
      <c r="B212" s="18" t="n">
        <v>46120</v>
      </c>
      <c r="C212" s="13" t="inlineStr">
        <is>
          <t>微信1</t>
        </is>
      </c>
      <c r="D212" s="13" t="inlineStr">
        <is>
          <t>支出</t>
        </is>
      </c>
      <c r="E212" s="13" t="inlineStr">
        <is>
          <t>主材采购</t>
        </is>
      </c>
      <c r="F212" s="17">
        <f>IF($E212="","",IFERROR(VLOOKUP($E212,类别归属,2,0),"※类别不在基础资料里"))</f>
        <v/>
      </c>
      <c r="G212" s="13" t="inlineStr">
        <is>
          <t>国智校服</t>
        </is>
      </c>
      <c r="H212" s="13" t="inlineStr">
        <is>
          <t>浩智蚀刻标识标牌</t>
        </is>
      </c>
      <c r="I212" s="13" t="inlineStr">
        <is>
          <t>浩智蚀刻标识标牌</t>
        </is>
      </c>
      <c r="J212" s="14" t="n"/>
      <c r="K212" s="14" t="n">
        <v>85</v>
      </c>
      <c r="L212" s="19">
        <f>IF($C212="","",ROUND(IFERROR(VLOOKUP($C212,账户期初,2,0),0)+SUMIFS($J$4:J212,$C$4:C212,$C212)-SUMIFS($K$4:K212,$C$4:C212,$C212),2))</f>
        <v/>
      </c>
      <c r="M212" s="19">
        <f>IF($C212="","",ROUND(SUM(基础资料!$B$4:$B$13)+SUM($J$4:J212)-SUM($K$4:K212),2))</f>
        <v/>
      </c>
      <c r="N212" s="13" t="n"/>
      <c r="O212" s="13" t="n"/>
      <c r="P212" s="17">
        <f>IF($B212="","",IF($F212="※类别不在基础资料里","※费用类别不在基础资料里",IF(AND(N($J212)=0,N($K212)=0),"※这行没填金额",IF(AND(N($J212)&gt;0,N($K212)&gt;0),"※收入和支出不能同一行都填",IF(AND($D212="收入",N($J212)=0),"※收入行要填收入金额",IF(AND($D212="支出",N($K212)=0),"※支出行要填支出金额",IF(AND($C212&lt;&gt;"",ISNA(MATCH($C212,账户表,0))),"※账户不在基础资料里",IF(AND($G212&lt;&gt;"",ISNA(MATCH($G212,项目名表,0))),"※项目不在项目台账里",IF(AND(LEFT($F212,3)="成本-",$G212=""),"※成本类支出没填项目",IF(AND(LEFT($F212,3)="成本-",$H212&lt;&gt;"",N($K212)&gt;0,COUNTIFS(采购单!$B:$B,$B212,采购单!$C:$C,$H212,采购单!$L:$L,$K212)&gt;0),"※这笔可能和采购单重复了",""))))))))))</f>
        <v/>
      </c>
    </row>
    <row r="213">
      <c r="A213" s="17">
        <f>IF($B213="","",ROW()-3)</f>
        <v/>
      </c>
      <c r="B213" s="18" t="n">
        <v>46120</v>
      </c>
      <c r="C213" s="13" t="inlineStr">
        <is>
          <t>微信1</t>
        </is>
      </c>
      <c r="D213" s="13" t="inlineStr">
        <is>
          <t>支出</t>
        </is>
      </c>
      <c r="E213" s="13" t="inlineStr">
        <is>
          <t>其他管理费用</t>
        </is>
      </c>
      <c r="F213" s="17">
        <f>IF($E213="","",IFERROR(VLOOKUP($E213,类别归属,2,0),"※类别不在基础资料里"))</f>
        <v/>
      </c>
      <c r="G213" s="13" t="n"/>
      <c r="H213" s="13" t="n"/>
      <c r="I213" s="13" t="inlineStr">
        <is>
          <t>杨德报销费用</t>
        </is>
      </c>
      <c r="J213" s="14" t="n"/>
      <c r="K213" s="14" t="n">
        <v>894.04</v>
      </c>
      <c r="L213" s="19">
        <f>IF($C213="","",ROUND(IFERROR(VLOOKUP($C213,账户期初,2,0),0)+SUMIFS($J$4:J213,$C$4:C213,$C213)-SUMIFS($K$4:K213,$C$4:C213,$C213),2))</f>
        <v/>
      </c>
      <c r="M213" s="19">
        <f>IF($C213="","",ROUND(SUM(基础资料!$B$4:$B$13)+SUM($J$4:J213)-SUM($K$4:K213),2))</f>
        <v/>
      </c>
      <c r="N213" s="13" t="n"/>
      <c r="O213" s="13" t="n"/>
      <c r="P213" s="17">
        <f>IF($B213="","",IF($F213="※类别不在基础资料里","※费用类别不在基础资料里",IF(AND(N($J213)=0,N($K213)=0),"※这行没填金额",IF(AND(N($J213)&gt;0,N($K213)&gt;0),"※收入和支出不能同一行都填",IF(AND($D213="收入",N($J213)=0),"※收入行要填收入金额",IF(AND($D213="支出",N($K213)=0),"※支出行要填支出金额",IF(AND($C213&lt;&gt;"",ISNA(MATCH($C213,账户表,0))),"※账户不在基础资料里",IF(AND($G213&lt;&gt;"",ISNA(MATCH($G213,项目名表,0))),"※项目不在项目台账里",IF(AND(LEFT($F213,3)="成本-",$G213=""),"※成本类支出没填项目",IF(AND(LEFT($F213,3)="成本-",$H213&lt;&gt;"",N($K213)&gt;0,COUNTIFS(采购单!$B:$B,$B213,采购单!$C:$C,$H213,采购单!$L:$L,$K213)&gt;0),"※这笔可能和采购单重复了",""))))))))))</f>
        <v/>
      </c>
    </row>
    <row r="214">
      <c r="A214" s="17">
        <f>IF($B214="","",ROW()-3)</f>
        <v/>
      </c>
      <c r="B214" s="18" t="n">
        <v>46120</v>
      </c>
      <c r="C214" s="13" t="inlineStr">
        <is>
          <t>微信1</t>
        </is>
      </c>
      <c r="D214" s="13" t="inlineStr">
        <is>
          <t>支出</t>
        </is>
      </c>
      <c r="E214" s="13" t="inlineStr">
        <is>
          <t>主材采购</t>
        </is>
      </c>
      <c r="F214" s="17">
        <f>IF($E214="","",IFERROR(VLOOKUP($E214,类别归属,2,0),"※类别不在基础资料里"))</f>
        <v/>
      </c>
      <c r="G214" s="13" t="inlineStr">
        <is>
          <t>睿芯行</t>
        </is>
      </c>
      <c r="H214" s="13" t="inlineStr">
        <is>
          <t>凌宇报销车费用</t>
        </is>
      </c>
      <c r="I214" s="13" t="inlineStr">
        <is>
          <t>凌宇报销车费用</t>
        </is>
      </c>
      <c r="J214" s="14" t="n"/>
      <c r="K214" s="14" t="n">
        <v>815.7</v>
      </c>
      <c r="L214" s="19">
        <f>IF($C214="","",ROUND(IFERROR(VLOOKUP($C214,账户期初,2,0),0)+SUMIFS($J$4:J214,$C$4:C214,$C214)-SUMIFS($K$4:K214,$C$4:C214,$C214),2))</f>
        <v/>
      </c>
      <c r="M214" s="19">
        <f>IF($C214="","",ROUND(SUM(基础资料!$B$4:$B$13)+SUM($J$4:J214)-SUM($K$4:K214),2))</f>
        <v/>
      </c>
      <c r="N214" s="13" t="n"/>
      <c r="O214" s="13" t="inlineStr">
        <is>
          <t>治盛科技、国智校服、东尼电子、汕味杏花、君澜服饰、力高、手工鲜水饺、梦回唐朝、中医院、小刀电动车、雷丹科技</t>
        </is>
      </c>
      <c r="P214" s="17">
        <f>IF($B214="","",IF($F214="※类别不在基础资料里","※费用类别不在基础资料里",IF(AND(N($J214)=0,N($K214)=0),"※这行没填金额",IF(AND(N($J214)&gt;0,N($K214)&gt;0),"※收入和支出不能同一行都填",IF(AND($D214="收入",N($J214)=0),"※收入行要填收入金额",IF(AND($D214="支出",N($K214)=0),"※支出行要填支出金额",IF(AND($C214&lt;&gt;"",ISNA(MATCH($C214,账户表,0))),"※账户不在基础资料里",IF(AND($G214&lt;&gt;"",ISNA(MATCH($G214,项目名表,0))),"※项目不在项目台账里",IF(AND(LEFT($F214,3)="成本-",$G214=""),"※成本类支出没填项目",IF(AND(LEFT($F214,3)="成本-",$H214&lt;&gt;"",N($K214)&gt;0,COUNTIFS(采购单!$B:$B,$B214,采购单!$C:$C,$H214,采购单!$L:$L,$K214)&gt;0),"※这笔可能和采购单重复了",""))))))))))</f>
        <v/>
      </c>
    </row>
    <row r="215">
      <c r="A215" s="17">
        <f>IF($B215="","",ROW()-3)</f>
        <v/>
      </c>
      <c r="B215" s="18" t="n">
        <v>46120</v>
      </c>
      <c r="C215" s="13" t="inlineStr">
        <is>
          <t>微信1</t>
        </is>
      </c>
      <c r="D215" s="13" t="inlineStr">
        <is>
          <t>支出</t>
        </is>
      </c>
      <c r="E215" s="13" t="inlineStr">
        <is>
          <t>运费/快递费</t>
        </is>
      </c>
      <c r="F215" s="17">
        <f>IF($E215="","",IFERROR(VLOOKUP($E215,类别归属,2,0),"※类别不在基础资料里"))</f>
        <v/>
      </c>
      <c r="G215" s="13" t="inlineStr">
        <is>
          <t>织里店</t>
        </is>
      </c>
      <c r="H215" s="13" t="inlineStr">
        <is>
          <t>炳秀</t>
        </is>
      </c>
      <c r="I215" s="13" t="inlineStr">
        <is>
          <t>付炳秀配送</t>
        </is>
      </c>
      <c r="J215" s="14" t="n"/>
      <c r="K215" s="14" t="n">
        <v>16</v>
      </c>
      <c r="L215" s="19">
        <f>IF($C215="","",ROUND(IFERROR(VLOOKUP($C215,账户期初,2,0),0)+SUMIFS($J$4:J215,$C$4:C215,$C215)-SUMIFS($K$4:K215,$C$4:C215,$C215),2))</f>
        <v/>
      </c>
      <c r="M215" s="19">
        <f>IF($C215="","",ROUND(SUM(基础资料!$B$4:$B$13)+SUM($J$4:J215)-SUM($K$4:K215),2))</f>
        <v/>
      </c>
      <c r="N215" s="13" t="n"/>
      <c r="O215" s="13" t="inlineStr">
        <is>
          <t>102</t>
        </is>
      </c>
      <c r="P215" s="17">
        <f>IF($B215="","",IF($F215="※类别不在基础资料里","※费用类别不在基础资料里",IF(AND(N($J215)=0,N($K215)=0),"※这行没填金额",IF(AND(N($J215)&gt;0,N($K215)&gt;0),"※收入和支出不能同一行都填",IF(AND($D215="收入",N($J215)=0),"※收入行要填收入金额",IF(AND($D215="支出",N($K215)=0),"※支出行要填支出金额",IF(AND($C215&lt;&gt;"",ISNA(MATCH($C215,账户表,0))),"※账户不在基础资料里",IF(AND($G215&lt;&gt;"",ISNA(MATCH($G215,项目名表,0))),"※项目不在项目台账里",IF(AND(LEFT($F215,3)="成本-",$G215=""),"※成本类支出没填项目",IF(AND(LEFT($F215,3)="成本-",$H215&lt;&gt;"",N($K215)&gt;0,COUNTIFS(采购单!$B:$B,$B215,采购单!$C:$C,$H215,采购单!$L:$L,$K215)&gt;0),"※这笔可能和采购单重复了",""))))))))))</f>
        <v/>
      </c>
    </row>
    <row r="216">
      <c r="A216" s="17">
        <f>IF($B216="","",ROW()-3)</f>
        <v/>
      </c>
      <c r="B216" s="18" t="n">
        <v>46120</v>
      </c>
      <c r="C216" s="13" t="inlineStr">
        <is>
          <t>微信1</t>
        </is>
      </c>
      <c r="D216" s="13" t="inlineStr">
        <is>
          <t>支出</t>
        </is>
      </c>
      <c r="E216" s="13" t="inlineStr">
        <is>
          <t>运费/快递费</t>
        </is>
      </c>
      <c r="F216" s="17">
        <f>IF($E216="","",IFERROR(VLOOKUP($E216,类别归属,2,0),"※类别不在基础资料里"))</f>
        <v/>
      </c>
      <c r="G216" s="13" t="inlineStr">
        <is>
          <t>民盛生鲜店</t>
        </is>
      </c>
      <c r="H216" s="13" t="inlineStr">
        <is>
          <t>炳秀</t>
        </is>
      </c>
      <c r="I216" s="13" t="inlineStr">
        <is>
          <t>付炳秀配送</t>
        </is>
      </c>
      <c r="J216" s="14" t="n"/>
      <c r="K216" s="14" t="n">
        <v>86</v>
      </c>
      <c r="L216" s="19">
        <f>IF($C216="","",ROUND(IFERROR(VLOOKUP($C216,账户期初,2,0),0)+SUMIFS($J$4:J216,$C$4:C216,$C216)-SUMIFS($K$4:K216,$C$4:C216,$C216),2))</f>
        <v/>
      </c>
      <c r="M216" s="19">
        <f>IF($C216="","",ROUND(SUM(基础资料!$B$4:$B$13)+SUM($J$4:J216)-SUM($K$4:K216),2))</f>
        <v/>
      </c>
      <c r="N216" s="13" t="n"/>
      <c r="O216" s="13" t="n"/>
      <c r="P216" s="17">
        <f>IF($B216="","",IF($F216="※类别不在基础资料里","※费用类别不在基础资料里",IF(AND(N($J216)=0,N($K216)=0),"※这行没填金额",IF(AND(N($J216)&gt;0,N($K216)&gt;0),"※收入和支出不能同一行都填",IF(AND($D216="收入",N($J216)=0),"※收入行要填收入金额",IF(AND($D216="支出",N($K216)=0),"※支出行要填支出金额",IF(AND($C216&lt;&gt;"",ISNA(MATCH($C216,账户表,0))),"※账户不在基础资料里",IF(AND($G216&lt;&gt;"",ISNA(MATCH($G216,项目名表,0))),"※项目不在项目台账里",IF(AND(LEFT($F216,3)="成本-",$G216=""),"※成本类支出没填项目",IF(AND(LEFT($F216,3)="成本-",$H216&lt;&gt;"",N($K216)&gt;0,COUNTIFS(采购单!$B:$B,$B216,采购单!$C:$C,$H216,采购单!$L:$L,$K216)&gt;0),"※这笔可能和采购单重复了",""))))))))))</f>
        <v/>
      </c>
    </row>
    <row r="217">
      <c r="A217" s="17">
        <f>IF($B217="","",ROW()-3)</f>
        <v/>
      </c>
      <c r="B217" s="18" t="n">
        <v>46120</v>
      </c>
      <c r="C217" s="13" t="inlineStr">
        <is>
          <t>微信1</t>
        </is>
      </c>
      <c r="D217" s="13" t="inlineStr">
        <is>
          <t>支出</t>
        </is>
      </c>
      <c r="E217" s="13" t="inlineStr">
        <is>
          <t>安装工资</t>
        </is>
      </c>
      <c r="F217" s="17">
        <f>IF($E217="","",IFERROR(VLOOKUP($E217,类别归属,2,0),"※类别不在基础资料里"))</f>
        <v/>
      </c>
      <c r="G217" s="13" t="n"/>
      <c r="H217" s="13" t="n"/>
      <c r="I217" s="13" t="inlineStr">
        <is>
          <t>付广告安装-令？</t>
        </is>
      </c>
      <c r="J217" s="14" t="n"/>
      <c r="K217" s="14" t="n">
        <v>3500</v>
      </c>
      <c r="L217" s="19">
        <f>IF($C217="","",ROUND(IFERROR(VLOOKUP($C217,账户期初,2,0),0)+SUMIFS($J$4:J217,$C$4:C217,$C217)-SUMIFS($K$4:K217,$C$4:C217,$C217),2))</f>
        <v/>
      </c>
      <c r="M217" s="19">
        <f>IF($C217="","",ROUND(SUM(基础资料!$B$4:$B$13)+SUM($J$4:J217)-SUM($K$4:K217),2))</f>
        <v/>
      </c>
      <c r="N217" s="13" t="n"/>
      <c r="O217" s="13" t="n"/>
      <c r="P217" s="17">
        <f>IF($B217="","",IF($F217="※类别不在基础资料里","※费用类别不在基础资料里",IF(AND(N($J217)=0,N($K217)=0),"※这行没填金额",IF(AND(N($J217)&gt;0,N($K217)&gt;0),"※收入和支出不能同一行都填",IF(AND($D217="收入",N($J217)=0),"※收入行要填收入金额",IF(AND($D217="支出",N($K217)=0),"※支出行要填支出金额",IF(AND($C217&lt;&gt;"",ISNA(MATCH($C217,账户表,0))),"※账户不在基础资料里",IF(AND($G217&lt;&gt;"",ISNA(MATCH($G217,项目名表,0))),"※项目不在项目台账里",IF(AND(LEFT($F217,3)="成本-",$G217=""),"※成本类支出没填项目",IF(AND(LEFT($F217,3)="成本-",$H217&lt;&gt;"",N($K217)&gt;0,COUNTIFS(采购单!$B:$B,$B217,采购单!$C:$C,$H217,采购单!$L:$L,$K217)&gt;0),"※这笔可能和采购单重复了",""))))))))))</f>
        <v/>
      </c>
    </row>
    <row r="218">
      <c r="A218" s="17">
        <f>IF($B218="","",ROW()-3)</f>
        <v/>
      </c>
      <c r="B218" s="18" t="n">
        <v>46121</v>
      </c>
      <c r="C218" s="13" t="inlineStr">
        <is>
          <t>微信1</t>
        </is>
      </c>
      <c r="D218" s="13" t="inlineStr">
        <is>
          <t>支出</t>
        </is>
      </c>
      <c r="E218" s="13" t="inlineStr">
        <is>
          <t>待分类</t>
        </is>
      </c>
      <c r="F218" s="17">
        <f>IF($E218="","",IFERROR(VLOOKUP($E218,类别归属,2,0),"※类别不在基础资料里"))</f>
        <v/>
      </c>
      <c r="G218" s="13" t="inlineStr">
        <is>
          <t>梦回唐朝</t>
        </is>
      </c>
      <c r="H218" s="13" t="n"/>
      <c r="I218" s="13" t="inlineStr">
        <is>
          <t>南浔古镇美食城-贝总（欠22000-10000）</t>
        </is>
      </c>
      <c r="J218" s="14" t="n">
        <v>10000</v>
      </c>
      <c r="K218" s="14" t="n"/>
      <c r="L218" s="19">
        <f>IF($C218="","",ROUND(IFERROR(VLOOKUP($C218,账户期初,2,0),0)+SUMIFS($J$4:J218,$C$4:C218,$C218)-SUMIFS($K$4:K218,$C$4:C218,$C218),2))</f>
        <v/>
      </c>
      <c r="M218" s="19">
        <f>IF($C218="","",ROUND(SUM(基础资料!$B$4:$B$13)+SUM($J$4:J218)-SUM($K$4:K218),2))</f>
        <v/>
      </c>
      <c r="N218" s="13" t="n"/>
      <c r="O218" s="13" t="n"/>
      <c r="P218" s="17">
        <f>IF($B218="","",IF($F218="※类别不在基础资料里","※费用类别不在基础资料里",IF(AND(N($J218)=0,N($K218)=0),"※这行没填金额",IF(AND(N($J218)&gt;0,N($K218)&gt;0),"※收入和支出不能同一行都填",IF(AND($D218="收入",N($J218)=0),"※收入行要填收入金额",IF(AND($D218="支出",N($K218)=0),"※支出行要填支出金额",IF(AND($C218&lt;&gt;"",ISNA(MATCH($C218,账户表,0))),"※账户不在基础资料里",IF(AND($G218&lt;&gt;"",ISNA(MATCH($G218,项目名表,0))),"※项目不在项目台账里",IF(AND(LEFT($F218,3)="成本-",$G218=""),"※成本类支出没填项目",IF(AND(LEFT($F218,3)="成本-",$H218&lt;&gt;"",N($K218)&gt;0,COUNTIFS(采购单!$B:$B,$B218,采购单!$C:$C,$H218,采购单!$L:$L,$K218)&gt;0),"※这笔可能和采购单重复了",""))))))))))</f>
        <v/>
      </c>
    </row>
    <row r="219">
      <c r="A219" s="17">
        <f>IF($B219="","",ROW()-3)</f>
        <v/>
      </c>
      <c r="B219" s="18" t="n">
        <v>46121</v>
      </c>
      <c r="C219" s="13" t="inlineStr">
        <is>
          <t>微信1</t>
        </is>
      </c>
      <c r="D219" s="13" t="inlineStr">
        <is>
          <t>收入</t>
        </is>
      </c>
      <c r="E219" s="13" t="inlineStr">
        <is>
          <t>项目收款</t>
        </is>
      </c>
      <c r="F219" s="17">
        <f>IF($E219="","",IFERROR(VLOOKUP($E219,类别归属,2,0),"※类别不在基础资料里"))</f>
        <v/>
      </c>
      <c r="G219" s="13" t="inlineStr">
        <is>
          <t>小刀电动车</t>
        </is>
      </c>
      <c r="H219" s="13" t="n"/>
      <c r="I219" s="13" t="inlineStr">
        <is>
          <t>百道-周锋</t>
        </is>
      </c>
      <c r="J219" s="14" t="n">
        <v>300</v>
      </c>
      <c r="K219" s="14" t="n"/>
      <c r="L219" s="19">
        <f>IF($C219="","",ROUND(IFERROR(VLOOKUP($C219,账户期初,2,0),0)+SUMIFS($J$4:J219,$C$4:C219,$C219)-SUMIFS($K$4:K219,$C$4:C219,$C219),2))</f>
        <v/>
      </c>
      <c r="M219" s="19">
        <f>IF($C219="","",ROUND(SUM(基础资料!$B$4:$B$13)+SUM($J$4:J219)-SUM($K$4:K219),2))</f>
        <v/>
      </c>
      <c r="N219" s="13" t="n"/>
      <c r="O219" s="13" t="n"/>
      <c r="P219" s="17">
        <f>IF($B219="","",IF($F219="※类别不在基础资料里","※费用类别不在基础资料里",IF(AND(N($J219)=0,N($K219)=0),"※这行没填金额",IF(AND(N($J219)&gt;0,N($K219)&gt;0),"※收入和支出不能同一行都填",IF(AND($D219="收入",N($J219)=0),"※收入行要填收入金额",IF(AND($D219="支出",N($K219)=0),"※支出行要填支出金额",IF(AND($C219&lt;&gt;"",ISNA(MATCH($C219,账户表,0))),"※账户不在基础资料里",IF(AND($G219&lt;&gt;"",ISNA(MATCH($G219,项目名表,0))),"※项目不在项目台账里",IF(AND(LEFT($F219,3)="成本-",$G219=""),"※成本类支出没填项目",IF(AND(LEFT($F219,3)="成本-",$H219&lt;&gt;"",N($K219)&gt;0,COUNTIFS(采购单!$B:$B,$B219,采购单!$C:$C,$H219,采购单!$L:$L,$K219)&gt;0),"※这笔可能和采购单重复了",""))))))))))</f>
        <v/>
      </c>
    </row>
    <row r="220">
      <c r="A220" s="17">
        <f>IF($B220="","",ROW()-3)</f>
        <v/>
      </c>
      <c r="B220" s="18" t="n">
        <v>46121</v>
      </c>
      <c r="C220" s="13" t="inlineStr">
        <is>
          <t>微信1</t>
        </is>
      </c>
      <c r="D220" s="13" t="inlineStr">
        <is>
          <t>收入</t>
        </is>
      </c>
      <c r="E220" s="13" t="inlineStr">
        <is>
          <t>项目收款</t>
        </is>
      </c>
      <c r="F220" s="17">
        <f>IF($E220="","",IFERROR(VLOOKUP($E220,类别归属,2,0),"※类别不在基础资料里"))</f>
        <v/>
      </c>
      <c r="G220" s="13" t="inlineStr">
        <is>
          <t>中医院</t>
        </is>
      </c>
      <c r="H220" s="13" t="n"/>
      <c r="I220" s="13" t="inlineStr">
        <is>
          <t>林立</t>
        </is>
      </c>
      <c r="J220" s="14" t="n">
        <v>700</v>
      </c>
      <c r="K220" s="14" t="n"/>
      <c r="L220" s="19">
        <f>IF($C220="","",ROUND(IFERROR(VLOOKUP($C220,账户期初,2,0),0)+SUMIFS($J$4:J220,$C$4:C220,$C220)-SUMIFS($K$4:K220,$C$4:C220,$C220),2))</f>
        <v/>
      </c>
      <c r="M220" s="19">
        <f>IF($C220="","",ROUND(SUM(基础资料!$B$4:$B$13)+SUM($J$4:J220)-SUM($K$4:K220),2))</f>
        <v/>
      </c>
      <c r="N220" s="13" t="n"/>
      <c r="O220" s="13" t="n"/>
      <c r="P220" s="17">
        <f>IF($B220="","",IF($F220="※类别不在基础资料里","※费用类别不在基础资料里",IF(AND(N($J220)=0,N($K220)=0),"※这行没填金额",IF(AND(N($J220)&gt;0,N($K220)&gt;0),"※收入和支出不能同一行都填",IF(AND($D220="收入",N($J220)=0),"※收入行要填收入金额",IF(AND($D220="支出",N($K220)=0),"※支出行要填支出金额",IF(AND($C220&lt;&gt;"",ISNA(MATCH($C220,账户表,0))),"※账户不在基础资料里",IF(AND($G220&lt;&gt;"",ISNA(MATCH($G220,项目名表,0))),"※项目不在项目台账里",IF(AND(LEFT($F220,3)="成本-",$G220=""),"※成本类支出没填项目",IF(AND(LEFT($F220,3)="成本-",$H220&lt;&gt;"",N($K220)&gt;0,COUNTIFS(采购单!$B:$B,$B220,采购单!$C:$C,$H220,采购单!$L:$L,$K220)&gt;0),"※这笔可能和采购单重复了",""))))))))))</f>
        <v/>
      </c>
    </row>
    <row r="221">
      <c r="A221" s="17">
        <f>IF($B221="","",ROW()-3)</f>
        <v/>
      </c>
      <c r="B221" s="18" t="n">
        <v>46121</v>
      </c>
      <c r="C221" s="13" t="inlineStr">
        <is>
          <t>微信1</t>
        </is>
      </c>
      <c r="D221" s="13" t="inlineStr">
        <is>
          <t>支出</t>
        </is>
      </c>
      <c r="E221" s="13" t="inlineStr">
        <is>
          <t>运费/快递费</t>
        </is>
      </c>
      <c r="F221" s="17">
        <f>IF($E221="","",IFERROR(VLOOKUP($E221,类别归属,2,0),"※类别不在基础资料里"))</f>
        <v/>
      </c>
      <c r="G221" s="13" t="inlineStr">
        <is>
          <t>织里店</t>
        </is>
      </c>
      <c r="H221" s="13" t="inlineStr">
        <is>
          <t>炳秀</t>
        </is>
      </c>
      <c r="I221" s="13" t="inlineStr">
        <is>
          <t>付炳秀配送</t>
        </is>
      </c>
      <c r="J221" s="14" t="n"/>
      <c r="K221" s="14" t="n">
        <v>35</v>
      </c>
      <c r="L221" s="19">
        <f>IF($C221="","",ROUND(IFERROR(VLOOKUP($C221,账户期初,2,0),0)+SUMIFS($J$4:J221,$C$4:C221,$C221)-SUMIFS($K$4:K221,$C$4:C221,$C221),2))</f>
        <v/>
      </c>
      <c r="M221" s="19">
        <f>IF($C221="","",ROUND(SUM(基础资料!$B$4:$B$13)+SUM($J$4:J221)-SUM($K$4:K221),2))</f>
        <v/>
      </c>
      <c r="N221" s="13" t="n"/>
      <c r="O221" s="13" t="n"/>
      <c r="P221" s="17">
        <f>IF($B221="","",IF($F221="※类别不在基础资料里","※费用类别不在基础资料里",IF(AND(N($J221)=0,N($K221)=0),"※这行没填金额",IF(AND(N($J221)&gt;0,N($K221)&gt;0),"※收入和支出不能同一行都填",IF(AND($D221="收入",N($J221)=0),"※收入行要填收入金额",IF(AND($D221="支出",N($K221)=0),"※支出行要填支出金额",IF(AND($C221&lt;&gt;"",ISNA(MATCH($C221,账户表,0))),"※账户不在基础资料里",IF(AND($G221&lt;&gt;"",ISNA(MATCH($G221,项目名表,0))),"※项目不在项目台账里",IF(AND(LEFT($F221,3)="成本-",$G221=""),"※成本类支出没填项目",IF(AND(LEFT($F221,3)="成本-",$H221&lt;&gt;"",N($K221)&gt;0,COUNTIFS(采购单!$B:$B,$B221,采购单!$C:$C,$H221,采购单!$L:$L,$K221)&gt;0),"※这笔可能和采购单重复了",""))))))))))</f>
        <v/>
      </c>
    </row>
    <row r="222">
      <c r="A222" s="17">
        <f>IF($B222="","",ROW()-3)</f>
        <v/>
      </c>
      <c r="B222" s="18" t="n">
        <v>46113</v>
      </c>
      <c r="C222" s="13" t="inlineStr">
        <is>
          <t>微信1</t>
        </is>
      </c>
      <c r="D222" s="13" t="inlineStr">
        <is>
          <t>收入</t>
        </is>
      </c>
      <c r="E222" s="13" t="inlineStr">
        <is>
          <t>项目收款</t>
        </is>
      </c>
      <c r="F222" s="17">
        <f>IF($E222="","",IFERROR(VLOOKUP($E222,类别归属,2,0),"※类别不在基础资料里"))</f>
        <v/>
      </c>
      <c r="G222" s="13" t="inlineStr">
        <is>
          <t>vip宠物乐园</t>
        </is>
      </c>
      <c r="H222" s="13" t="n"/>
      <c r="I222" s="13" t="inlineStr">
        <is>
          <t>宠物乐园</t>
        </is>
      </c>
      <c r="J222" s="14" t="n">
        <v>200</v>
      </c>
      <c r="K222" s="14" t="n"/>
      <c r="L222" s="19">
        <f>IF($C222="","",ROUND(IFERROR(VLOOKUP($C222,账户期初,2,0),0)+SUMIFS($J$4:J222,$C$4:C222,$C222)-SUMIFS($K$4:K222,$C$4:C222,$C222),2))</f>
        <v/>
      </c>
      <c r="M222" s="19">
        <f>IF($C222="","",ROUND(SUM(基础资料!$B$4:$B$13)+SUM($J$4:J222)-SUM($K$4:K222),2))</f>
        <v/>
      </c>
      <c r="N222" s="13" t="n"/>
      <c r="O222" s="13" t="n"/>
      <c r="P222" s="17">
        <f>IF($B222="","",IF($F222="※类别不在基础资料里","※费用类别不在基础资料里",IF(AND(N($J222)=0,N($K222)=0),"※这行没填金额",IF(AND(N($J222)&gt;0,N($K222)&gt;0),"※收入和支出不能同一行都填",IF(AND($D222="收入",N($J222)=0),"※收入行要填收入金额",IF(AND($D222="支出",N($K222)=0),"※支出行要填支出金额",IF(AND($C222&lt;&gt;"",ISNA(MATCH($C222,账户表,0))),"※账户不在基础资料里",IF(AND($G222&lt;&gt;"",ISNA(MATCH($G222,项目名表,0))),"※项目不在项目台账里",IF(AND(LEFT($F222,3)="成本-",$G222=""),"※成本类支出没填项目",IF(AND(LEFT($F222,3)="成本-",$H222&lt;&gt;"",N($K222)&gt;0,COUNTIFS(采购单!$B:$B,$B222,采购单!$C:$C,$H222,采购单!$L:$L,$K222)&gt;0),"※这笔可能和采购单重复了",""))))))))))</f>
        <v/>
      </c>
    </row>
    <row r="223">
      <c r="A223" s="17">
        <f>IF($B223="","",ROW()-3)</f>
        <v/>
      </c>
      <c r="B223" s="18" t="n">
        <v>46113</v>
      </c>
      <c r="C223" s="13" t="inlineStr">
        <is>
          <t>微信1</t>
        </is>
      </c>
      <c r="D223" s="13" t="inlineStr">
        <is>
          <t>支出</t>
        </is>
      </c>
      <c r="E223" s="13" t="inlineStr">
        <is>
          <t>主材采购</t>
        </is>
      </c>
      <c r="F223" s="17">
        <f>IF($E223="","",IFERROR(VLOOKUP($E223,类别归属,2,0),"※类别不在基础资料里"))</f>
        <v/>
      </c>
      <c r="G223" s="13" t="inlineStr">
        <is>
          <t>梦回唐朝</t>
        </is>
      </c>
      <c r="H223" s="13" t="n"/>
      <c r="I223" s="13" t="inlineStr">
        <is>
          <t>付杭州杜邦纸-软膜</t>
        </is>
      </c>
      <c r="J223" s="14" t="n"/>
      <c r="K223" s="14" t="n">
        <v>1660</v>
      </c>
      <c r="L223" s="19">
        <f>IF($C223="","",ROUND(IFERROR(VLOOKUP($C223,账户期初,2,0),0)+SUMIFS($J$4:J223,$C$4:C223,$C223)-SUMIFS($K$4:K223,$C$4:C223,$C223),2))</f>
        <v/>
      </c>
      <c r="M223" s="19">
        <f>IF($C223="","",ROUND(SUM(基础资料!$B$4:$B$13)+SUM($J$4:J223)-SUM($K$4:K223),2))</f>
        <v/>
      </c>
      <c r="N223" s="13" t="n"/>
      <c r="O223" s="13" t="n"/>
      <c r="P223" s="17">
        <f>IF($B223="","",IF($F223="※类别不在基础资料里","※费用类别不在基础资料里",IF(AND(N($J223)=0,N($K223)=0),"※这行没填金额",IF(AND(N($J223)&gt;0,N($K223)&gt;0),"※收入和支出不能同一行都填",IF(AND($D223="收入",N($J223)=0),"※收入行要填收入金额",IF(AND($D223="支出",N($K223)=0),"※支出行要填支出金额",IF(AND($C223&lt;&gt;"",ISNA(MATCH($C223,账户表,0))),"※账户不在基础资料里",IF(AND($G223&lt;&gt;"",ISNA(MATCH($G223,项目名表,0))),"※项目不在项目台账里",IF(AND(LEFT($F223,3)="成本-",$G223=""),"※成本类支出没填项目",IF(AND(LEFT($F223,3)="成本-",$H223&lt;&gt;"",N($K223)&gt;0,COUNTIFS(采购单!$B:$B,$B223,采购单!$C:$C,$H223,采购单!$L:$L,$K223)&gt;0),"※这笔可能和采购单重复了",""))))))))))</f>
        <v/>
      </c>
    </row>
    <row r="224">
      <c r="A224" s="17">
        <f>IF($B224="","",ROW()-3)</f>
        <v/>
      </c>
      <c r="B224" s="18" t="n">
        <v>46113</v>
      </c>
      <c r="C224" s="13" t="inlineStr">
        <is>
          <t>微信1</t>
        </is>
      </c>
      <c r="D224" s="13" t="inlineStr">
        <is>
          <t>支出</t>
        </is>
      </c>
      <c r="E224" s="13" t="inlineStr">
        <is>
          <t>主材采购</t>
        </is>
      </c>
      <c r="F224" s="17">
        <f>IF($E224="","",IFERROR(VLOOKUP($E224,类别归属,2,0),"※类别不在基础资料里"))</f>
        <v/>
      </c>
      <c r="G224" s="13" t="inlineStr">
        <is>
          <t>治盛科技</t>
        </is>
      </c>
      <c r="H224" s="13" t="n"/>
      <c r="I224" s="13" t="inlineStr">
        <is>
          <t>付采购长城板-杭州丽彩（常俊山）</t>
        </is>
      </c>
      <c r="J224" s="14" t="n"/>
      <c r="K224" s="14" t="n">
        <v>280</v>
      </c>
      <c r="L224" s="19">
        <f>IF($C224="","",ROUND(IFERROR(VLOOKUP($C224,账户期初,2,0),0)+SUMIFS($J$4:J224,$C$4:C224,$C224)-SUMIFS($K$4:K224,$C$4:C224,$C224),2))</f>
        <v/>
      </c>
      <c r="M224" s="19">
        <f>IF($C224="","",ROUND(SUM(基础资料!$B$4:$B$13)+SUM($J$4:J224)-SUM($K$4:K224),2))</f>
        <v/>
      </c>
      <c r="N224" s="13" t="n"/>
      <c r="O224" s="13" t="n"/>
      <c r="P224" s="17">
        <f>IF($B224="","",IF($F224="※类别不在基础资料里","※费用类别不在基础资料里",IF(AND(N($J224)=0,N($K224)=0),"※这行没填金额",IF(AND(N($J224)&gt;0,N($K224)&gt;0),"※收入和支出不能同一行都填",IF(AND($D224="收入",N($J224)=0),"※收入行要填收入金额",IF(AND($D224="支出",N($K224)=0),"※支出行要填支出金额",IF(AND($C224&lt;&gt;"",ISNA(MATCH($C224,账户表,0))),"※账户不在基础资料里",IF(AND($G224&lt;&gt;"",ISNA(MATCH($G224,项目名表,0))),"※项目不在项目台账里",IF(AND(LEFT($F224,3)="成本-",$G224=""),"※成本类支出没填项目",IF(AND(LEFT($F224,3)="成本-",$H224&lt;&gt;"",N($K224)&gt;0,COUNTIFS(采购单!$B:$B,$B224,采购单!$C:$C,$H224,采购单!$L:$L,$K224)&gt;0),"※这笔可能和采购单重复了",""))))))))))</f>
        <v/>
      </c>
    </row>
    <row r="225">
      <c r="A225" s="17">
        <f>IF($B225="","",ROW()-3)</f>
        <v/>
      </c>
      <c r="B225" s="18" t="n">
        <v>46113</v>
      </c>
      <c r="C225" s="13" t="inlineStr">
        <is>
          <t>微信1</t>
        </is>
      </c>
      <c r="D225" s="13" t="inlineStr">
        <is>
          <t>支出</t>
        </is>
      </c>
      <c r="E225" s="13" t="inlineStr">
        <is>
          <t>安装工资</t>
        </is>
      </c>
      <c r="F225" s="17">
        <f>IF($E225="","",IFERROR(VLOOKUP($E225,类别归属,2,0),"※类别不在基础资料里"))</f>
        <v/>
      </c>
      <c r="G225" s="13" t="n"/>
      <c r="H225" s="13" t="n"/>
      <c r="I225" s="13" t="inlineStr">
        <is>
          <t>付张三润 4.2-4.9外包安装工资</t>
        </is>
      </c>
      <c r="J225" s="14" t="n"/>
      <c r="K225" s="14" t="n">
        <v>3158</v>
      </c>
      <c r="L225" s="19">
        <f>IF($C225="","",ROUND(IFERROR(VLOOKUP($C225,账户期初,2,0),0)+SUMIFS($J$4:J225,$C$4:C225,$C225)-SUMIFS($K$4:K225,$C$4:C225,$C225),2))</f>
        <v/>
      </c>
      <c r="M225" s="19">
        <f>IF($C225="","",ROUND(SUM(基础资料!$B$4:$B$13)+SUM($J$4:J225)-SUM($K$4:K225),2))</f>
        <v/>
      </c>
      <c r="N225" s="13" t="n"/>
      <c r="O225" s="13" t="n"/>
      <c r="P225" s="17">
        <f>IF($B225="","",IF($F225="※类别不在基础资料里","※费用类别不在基础资料里",IF(AND(N($J225)=0,N($K225)=0),"※这行没填金额",IF(AND(N($J225)&gt;0,N($K225)&gt;0),"※收入和支出不能同一行都填",IF(AND($D225="收入",N($J225)=0),"※收入行要填收入金额",IF(AND($D225="支出",N($K225)=0),"※支出行要填支出金额",IF(AND($C225&lt;&gt;"",ISNA(MATCH($C225,账户表,0))),"※账户不在基础资料里",IF(AND($G225&lt;&gt;"",ISNA(MATCH($G225,项目名表,0))),"※项目不在项目台账里",IF(AND(LEFT($F225,3)="成本-",$G225=""),"※成本类支出没填项目",IF(AND(LEFT($F225,3)="成本-",$H225&lt;&gt;"",N($K225)&gt;0,COUNTIFS(采购单!$B:$B,$B225,采购单!$C:$C,$H225,采购单!$L:$L,$K225)&gt;0),"※这笔可能和采购单重复了",""))))))))))</f>
        <v/>
      </c>
    </row>
    <row r="226">
      <c r="A226" s="17">
        <f>IF($B226="","",ROW()-3)</f>
        <v/>
      </c>
      <c r="B226" s="18" t="n">
        <v>46113</v>
      </c>
      <c r="C226" s="13" t="inlineStr">
        <is>
          <t>微信1</t>
        </is>
      </c>
      <c r="D226" s="13" t="inlineStr">
        <is>
          <t>支出</t>
        </is>
      </c>
      <c r="E226" s="13" t="inlineStr">
        <is>
          <t>安装工资</t>
        </is>
      </c>
      <c r="F226" s="17">
        <f>IF($E226="","",IFERROR(VLOOKUP($E226,类别归属,2,0),"※类别不在基础资料里"))</f>
        <v/>
      </c>
      <c r="G226" s="13" t="n"/>
      <c r="H226" s="13" t="n"/>
      <c r="I226" s="13" t="inlineStr">
        <is>
          <t>付专业广告-小宋</t>
        </is>
      </c>
      <c r="J226" s="14" t="n"/>
      <c r="K226" s="14" t="n">
        <v>2134</v>
      </c>
      <c r="L226" s="19">
        <f>IF($C226="","",ROUND(IFERROR(VLOOKUP($C226,账户期初,2,0),0)+SUMIFS($J$4:J226,$C$4:C226,$C226)-SUMIFS($K$4:K226,$C$4:C226,$C226),2))</f>
        <v/>
      </c>
      <c r="M226" s="19">
        <f>IF($C226="","",ROUND(SUM(基础资料!$B$4:$B$13)+SUM($J$4:J226)-SUM($K$4:K226),2))</f>
        <v/>
      </c>
      <c r="N226" s="13" t="n"/>
      <c r="O226" s="13" t="n"/>
      <c r="P226" s="17">
        <f>IF($B226="","",IF($F226="※类别不在基础资料里","※费用类别不在基础资料里",IF(AND(N($J226)=0,N($K226)=0),"※这行没填金额",IF(AND(N($J226)&gt;0,N($K226)&gt;0),"※收入和支出不能同一行都填",IF(AND($D226="收入",N($J226)=0),"※收入行要填收入金额",IF(AND($D226="支出",N($K226)=0),"※支出行要填支出金额",IF(AND($C226&lt;&gt;"",ISNA(MATCH($C226,账户表,0))),"※账户不在基础资料里",IF(AND($G226&lt;&gt;"",ISNA(MATCH($G226,项目名表,0))),"※项目不在项目台账里",IF(AND(LEFT($F226,3)="成本-",$G226=""),"※成本类支出没填项目",IF(AND(LEFT($F226,3)="成本-",$H226&lt;&gt;"",N($K226)&gt;0,COUNTIFS(采购单!$B:$B,$B226,采购单!$C:$C,$H226,采购单!$L:$L,$K226)&gt;0),"※这笔可能和采购单重复了",""))))))))))</f>
        <v/>
      </c>
    </row>
    <row r="227">
      <c r="A227" s="17">
        <f>IF($B227="","",ROW()-3)</f>
        <v/>
      </c>
      <c r="B227" s="18" t="n">
        <v>46113</v>
      </c>
      <c r="C227" s="13" t="inlineStr">
        <is>
          <t>微信1</t>
        </is>
      </c>
      <c r="D227" s="13" t="inlineStr">
        <is>
          <t>支出</t>
        </is>
      </c>
      <c r="E227" s="13" t="inlineStr">
        <is>
          <t>运费/快递费</t>
        </is>
      </c>
      <c r="F227" s="17">
        <f>IF($E227="","",IFERROR(VLOOKUP($E227,类别归属,2,0),"※类别不在基础资料里"))</f>
        <v/>
      </c>
      <c r="G227" s="13" t="inlineStr">
        <is>
          <t>织里店</t>
        </is>
      </c>
      <c r="H227" s="13" t="inlineStr">
        <is>
          <t>炳秀</t>
        </is>
      </c>
      <c r="I227" s="13" t="inlineStr">
        <is>
          <t>付炳秀配送</t>
        </is>
      </c>
      <c r="J227" s="14" t="n"/>
      <c r="K227" s="14" t="n">
        <v>450</v>
      </c>
      <c r="L227" s="19">
        <f>IF($C227="","",ROUND(IFERROR(VLOOKUP($C227,账户期初,2,0),0)+SUMIFS($J$4:J227,$C$4:C227,$C227)-SUMIFS($K$4:K227,$C$4:C227,$C227),2))</f>
        <v/>
      </c>
      <c r="M227" s="19">
        <f>IF($C227="","",ROUND(SUM(基础资料!$B$4:$B$13)+SUM($J$4:J227)-SUM($K$4:K227),2))</f>
        <v/>
      </c>
      <c r="N227" s="13" t="n"/>
      <c r="O227" s="13" t="inlineStr">
        <is>
          <t>507</t>
        </is>
      </c>
      <c r="P227" s="17">
        <f>IF($B227="","",IF($F227="※类别不在基础资料里","※费用类别不在基础资料里",IF(AND(N($J227)=0,N($K227)=0),"※这行没填金额",IF(AND(N($J227)&gt;0,N($K227)&gt;0),"※收入和支出不能同一行都填",IF(AND($D227="收入",N($J227)=0),"※收入行要填收入金额",IF(AND($D227="支出",N($K227)=0),"※支出行要填支出金额",IF(AND($C227&lt;&gt;"",ISNA(MATCH($C227,账户表,0))),"※账户不在基础资料里",IF(AND($G227&lt;&gt;"",ISNA(MATCH($G227,项目名表,0))),"※项目不在项目台账里",IF(AND(LEFT($F227,3)="成本-",$G227=""),"※成本类支出没填项目",IF(AND(LEFT($F227,3)="成本-",$H227&lt;&gt;"",N($K227)&gt;0,COUNTIFS(采购单!$B:$B,$B227,采购单!$C:$C,$H227,采购单!$L:$L,$K227)&gt;0),"※这笔可能和采购单重复了",""))))))))))</f>
        <v/>
      </c>
    </row>
    <row r="228">
      <c r="A228" s="17">
        <f>IF($B228="","",ROW()-3)</f>
        <v/>
      </c>
      <c r="B228" s="18" t="n">
        <v>46113</v>
      </c>
      <c r="C228" s="13" t="inlineStr">
        <is>
          <t>微信1</t>
        </is>
      </c>
      <c r="D228" s="13" t="inlineStr">
        <is>
          <t>支出</t>
        </is>
      </c>
      <c r="E228" s="13" t="inlineStr">
        <is>
          <t>运费/快递费</t>
        </is>
      </c>
      <c r="F228" s="17">
        <f>IF($E228="","",IFERROR(VLOOKUP($E228,类别归属,2,0),"※类别不在基础资料里"))</f>
        <v/>
      </c>
      <c r="G228" s="13" t="inlineStr">
        <is>
          <t>东尼电子</t>
        </is>
      </c>
      <c r="H228" s="13" t="inlineStr">
        <is>
          <t>炳秀</t>
        </is>
      </c>
      <c r="I228" s="13" t="inlineStr">
        <is>
          <t>付炳秀配送</t>
        </is>
      </c>
      <c r="J228" s="14" t="n"/>
      <c r="K228" s="14" t="n">
        <v>57</v>
      </c>
      <c r="L228" s="19">
        <f>IF($C228="","",ROUND(IFERROR(VLOOKUP($C228,账户期初,2,0),0)+SUMIFS($J$4:J228,$C$4:C228,$C228)-SUMIFS($K$4:K228,$C$4:C228,$C228),2))</f>
        <v/>
      </c>
      <c r="M228" s="19">
        <f>IF($C228="","",ROUND(SUM(基础资料!$B$4:$B$13)+SUM($J$4:J228)-SUM($K$4:K228),2))</f>
        <v/>
      </c>
      <c r="N228" s="13" t="n"/>
      <c r="O228" s="13" t="n"/>
      <c r="P228" s="17">
        <f>IF($B228="","",IF($F228="※类别不在基础资料里","※费用类别不在基础资料里",IF(AND(N($J228)=0,N($K228)=0),"※这行没填金额",IF(AND(N($J228)&gt;0,N($K228)&gt;0),"※收入和支出不能同一行都填",IF(AND($D228="收入",N($J228)=0),"※收入行要填收入金额",IF(AND($D228="支出",N($K228)=0),"※支出行要填支出金额",IF(AND($C228&lt;&gt;"",ISNA(MATCH($C228,账户表,0))),"※账户不在基础资料里",IF(AND($G228&lt;&gt;"",ISNA(MATCH($G228,项目名表,0))),"※项目不在项目台账里",IF(AND(LEFT($F228,3)="成本-",$G228=""),"※成本类支出没填项目",IF(AND(LEFT($F228,3)="成本-",$H228&lt;&gt;"",N($K228)&gt;0,COUNTIFS(采购单!$B:$B,$B228,采购单!$C:$C,$H228,采购单!$L:$L,$K228)&gt;0),"※这笔可能和采购单重复了",""))))))))))</f>
        <v/>
      </c>
    </row>
    <row r="229">
      <c r="A229" s="17">
        <f>IF($B229="","",ROW()-3)</f>
        <v/>
      </c>
      <c r="B229" s="18" t="n">
        <v>46123</v>
      </c>
      <c r="C229" s="13" t="inlineStr">
        <is>
          <t>微信1</t>
        </is>
      </c>
      <c r="D229" s="13" t="inlineStr">
        <is>
          <t>支出</t>
        </is>
      </c>
      <c r="E229" s="13" t="inlineStr">
        <is>
          <t>安装工资</t>
        </is>
      </c>
      <c r="F229" s="17">
        <f>IF($E229="","",IFERROR(VLOOKUP($E229,类别归属,2,0),"※类别不在基础资料里"))</f>
        <v/>
      </c>
      <c r="G229" s="13" t="inlineStr">
        <is>
          <t>高恒荣熟食店</t>
        </is>
      </c>
      <c r="H229" s="13" t="n"/>
      <c r="I229" s="13" t="inlineStr">
        <is>
          <t>付章凡校服基地买钻头30+荣记熟食切割片记号笔卷尺100+钟管到长兴加油100报销等</t>
        </is>
      </c>
      <c r="J229" s="14" t="n"/>
      <c r="K229" s="14" t="n">
        <v>230</v>
      </c>
      <c r="L229" s="19">
        <f>IF($C229="","",ROUND(IFERROR(VLOOKUP($C229,账户期初,2,0),0)+SUMIFS($J$4:J229,$C$4:C229,$C229)-SUMIFS($K$4:K229,$C$4:C229,$C229),2))</f>
        <v/>
      </c>
      <c r="M229" s="19">
        <f>IF($C229="","",ROUND(SUM(基础资料!$B$4:$B$13)+SUM($J$4:J229)-SUM($K$4:K229),2))</f>
        <v/>
      </c>
      <c r="N229" s="13" t="n"/>
      <c r="O229" s="13" t="n"/>
      <c r="P229" s="17">
        <f>IF($B229="","",IF($F229="※类别不在基础资料里","※费用类别不在基础资料里",IF(AND(N($J229)=0,N($K229)=0),"※这行没填金额",IF(AND(N($J229)&gt;0,N($K229)&gt;0),"※收入和支出不能同一行都填",IF(AND($D229="收入",N($J229)=0),"※收入行要填收入金额",IF(AND($D229="支出",N($K229)=0),"※支出行要填支出金额",IF(AND($C229&lt;&gt;"",ISNA(MATCH($C229,账户表,0))),"※账户不在基础资料里",IF(AND($G229&lt;&gt;"",ISNA(MATCH($G229,项目名表,0))),"※项目不在项目台账里",IF(AND(LEFT($F229,3)="成本-",$G229=""),"※成本类支出没填项目",IF(AND(LEFT($F229,3)="成本-",$H229&lt;&gt;"",N($K229)&gt;0,COUNTIFS(采购单!$B:$B,$B229,采购单!$C:$C,$H229,采购单!$L:$L,$K229)&gt;0),"※这笔可能和采购单重复了",""))))))))))</f>
        <v/>
      </c>
    </row>
    <row r="230">
      <c r="A230" s="17">
        <f>IF($B230="","",ROW()-3)</f>
        <v/>
      </c>
      <c r="B230" s="18" t="n">
        <v>46123</v>
      </c>
      <c r="C230" s="13" t="inlineStr">
        <is>
          <t>微信1</t>
        </is>
      </c>
      <c r="D230" s="13" t="inlineStr">
        <is>
          <t>支出</t>
        </is>
      </c>
      <c r="E230" s="13" t="inlineStr">
        <is>
          <t>运费/快递费</t>
        </is>
      </c>
      <c r="F230" s="17">
        <f>IF($E230="","",IFERROR(VLOOKUP($E230,类别归属,2,0),"※类别不在基础资料里"))</f>
        <v/>
      </c>
      <c r="G230" s="13" t="inlineStr">
        <is>
          <t>织里店</t>
        </is>
      </c>
      <c r="H230" s="13" t="inlineStr">
        <is>
          <t>炳秀</t>
        </is>
      </c>
      <c r="I230" s="13" t="inlineStr">
        <is>
          <t>付炳秀配送</t>
        </is>
      </c>
      <c r="J230" s="14" t="n"/>
      <c r="K230" s="14" t="n">
        <v>103</v>
      </c>
      <c r="L230" s="19">
        <f>IF($C230="","",ROUND(IFERROR(VLOOKUP($C230,账户期初,2,0),0)+SUMIFS($J$4:J230,$C$4:C230,$C230)-SUMIFS($K$4:K230,$C$4:C230,$C230),2))</f>
        <v/>
      </c>
      <c r="M230" s="19">
        <f>IF($C230="","",ROUND(SUM(基础资料!$B$4:$B$13)+SUM($J$4:J230)-SUM($K$4:K230),2))</f>
        <v/>
      </c>
      <c r="N230" s="13" t="n"/>
      <c r="O230" s="13" t="n"/>
      <c r="P230" s="17">
        <f>IF($B230="","",IF($F230="※类别不在基础资料里","※费用类别不在基础资料里",IF(AND(N($J230)=0,N($K230)=0),"※这行没填金额",IF(AND(N($J230)&gt;0,N($K230)&gt;0),"※收入和支出不能同一行都填",IF(AND($D230="收入",N($J230)=0),"※收入行要填收入金额",IF(AND($D230="支出",N($K230)=0),"※支出行要填支出金额",IF(AND($C230&lt;&gt;"",ISNA(MATCH($C230,账户表,0))),"※账户不在基础资料里",IF(AND($G230&lt;&gt;"",ISNA(MATCH($G230,项目名表,0))),"※项目不在项目台账里",IF(AND(LEFT($F230,3)="成本-",$G230=""),"※成本类支出没填项目",IF(AND(LEFT($F230,3)="成本-",$H230&lt;&gt;"",N($K230)&gt;0,COUNTIFS(采购单!$B:$B,$B230,采购单!$C:$C,$H230,采购单!$L:$L,$K230)&gt;0),"※这笔可能和采购单重复了",""))))))))))</f>
        <v/>
      </c>
    </row>
    <row r="231">
      <c r="A231" s="17">
        <f>IF($B231="","",ROW()-3)</f>
        <v/>
      </c>
      <c r="B231" s="18" t="n">
        <v>46123</v>
      </c>
      <c r="C231" s="13" t="inlineStr">
        <is>
          <t>微信1</t>
        </is>
      </c>
      <c r="D231" s="13" t="inlineStr">
        <is>
          <t>支出</t>
        </is>
      </c>
      <c r="E231" s="13" t="inlineStr">
        <is>
          <t>运费/快递费</t>
        </is>
      </c>
      <c r="F231" s="17">
        <f>IF($E231="","",IFERROR(VLOOKUP($E231,类别归属,2,0),"※类别不在基础资料里"))</f>
        <v/>
      </c>
      <c r="G231" s="13" t="inlineStr">
        <is>
          <t>织里店</t>
        </is>
      </c>
      <c r="H231" s="13" t="inlineStr">
        <is>
          <t>炳秀</t>
        </is>
      </c>
      <c r="I231" s="13" t="inlineStr">
        <is>
          <t>付炳秀配送</t>
        </is>
      </c>
      <c r="J231" s="14" t="n"/>
      <c r="K231" s="14" t="n">
        <v>21</v>
      </c>
      <c r="L231" s="19">
        <f>IF($C231="","",ROUND(IFERROR(VLOOKUP($C231,账户期初,2,0),0)+SUMIFS($J$4:J231,$C$4:C231,$C231)-SUMIFS($K$4:K231,$C$4:C231,$C231),2))</f>
        <v/>
      </c>
      <c r="M231" s="19">
        <f>IF($C231="","",ROUND(SUM(基础资料!$B$4:$B$13)+SUM($J$4:J231)-SUM($K$4:K231),2))</f>
        <v/>
      </c>
      <c r="N231" s="13" t="n"/>
      <c r="O231" s="13" t="n"/>
      <c r="P231" s="17">
        <f>IF($B231="","",IF($F231="※类别不在基础资料里","※费用类别不在基础资料里",IF(AND(N($J231)=0,N($K231)=0),"※这行没填金额",IF(AND(N($J231)&gt;0,N($K231)&gt;0),"※收入和支出不能同一行都填",IF(AND($D231="收入",N($J231)=0),"※收入行要填收入金额",IF(AND($D231="支出",N($K231)=0),"※支出行要填支出金额",IF(AND($C231&lt;&gt;"",ISNA(MATCH($C231,账户表,0))),"※账户不在基础资料里",IF(AND($G231&lt;&gt;"",ISNA(MATCH($G231,项目名表,0))),"※项目不在项目台账里",IF(AND(LEFT($F231,3)="成本-",$G231=""),"※成本类支出没填项目",IF(AND(LEFT($F231,3)="成本-",$H231&lt;&gt;"",N($K231)&gt;0,COUNTIFS(采购单!$B:$B,$B231,采购单!$C:$C,$H231,采购单!$L:$L,$K231)&gt;0),"※这笔可能和采购单重复了",""))))))))))</f>
        <v/>
      </c>
    </row>
    <row r="232">
      <c r="A232" s="17">
        <f>IF($B232="","",ROW()-3)</f>
        <v/>
      </c>
      <c r="B232" s="18" t="n">
        <v>46123</v>
      </c>
      <c r="C232" s="13" t="inlineStr">
        <is>
          <t>微信1</t>
        </is>
      </c>
      <c r="D232" s="13" t="inlineStr">
        <is>
          <t>支出</t>
        </is>
      </c>
      <c r="E232" s="13" t="inlineStr">
        <is>
          <t>待分类</t>
        </is>
      </c>
      <c r="F232" s="17">
        <f>IF($E232="","",IFERROR(VLOOKUP($E232,类别归属,2,0),"※类别不在基础资料里"))</f>
        <v/>
      </c>
      <c r="G232" s="13" t="inlineStr">
        <is>
          <t>治盛科技</t>
        </is>
      </c>
      <c r="H232" s="13" t="n"/>
      <c r="I232" s="13" t="inlineStr">
        <is>
          <t>付郁郁葱葱</t>
        </is>
      </c>
      <c r="J232" s="14" t="n"/>
      <c r="K232" s="14" t="n">
        <v>40</v>
      </c>
      <c r="L232" s="19">
        <f>IF($C232="","",ROUND(IFERROR(VLOOKUP($C232,账户期初,2,0),0)+SUMIFS($J$4:J232,$C$4:C232,$C232)-SUMIFS($K$4:K232,$C$4:C232,$C232),2))</f>
        <v/>
      </c>
      <c r="M232" s="19">
        <f>IF($C232="","",ROUND(SUM(基础资料!$B$4:$B$13)+SUM($J$4:J232)-SUM($K$4:K232),2))</f>
        <v/>
      </c>
      <c r="N232" s="13" t="n"/>
      <c r="O232" s="13" t="n"/>
      <c r="P232" s="17">
        <f>IF($B232="","",IF($F232="※类别不在基础资料里","※费用类别不在基础资料里",IF(AND(N($J232)=0,N($K232)=0),"※这行没填金额",IF(AND(N($J232)&gt;0,N($K232)&gt;0),"※收入和支出不能同一行都填",IF(AND($D232="收入",N($J232)=0),"※收入行要填收入金额",IF(AND($D232="支出",N($K232)=0),"※支出行要填支出金额",IF(AND($C232&lt;&gt;"",ISNA(MATCH($C232,账户表,0))),"※账户不在基础资料里",IF(AND($G232&lt;&gt;"",ISNA(MATCH($G232,项目名表,0))),"※项目不在项目台账里",IF(AND(LEFT($F232,3)="成本-",$G232=""),"※成本类支出没填项目",IF(AND(LEFT($F232,3)="成本-",$H232&lt;&gt;"",N($K232)&gt;0,COUNTIFS(采购单!$B:$B,$B232,采购单!$C:$C,$H232,采购单!$L:$L,$K232)&gt;0),"※这笔可能和采购单重复了",""))))))))))</f>
        <v/>
      </c>
    </row>
    <row r="233">
      <c r="A233" s="17">
        <f>IF($B233="","",ROW()-3)</f>
        <v/>
      </c>
      <c r="B233" s="18" t="n">
        <v>46123</v>
      </c>
      <c r="C233" s="13" t="inlineStr">
        <is>
          <t>微信1</t>
        </is>
      </c>
      <c r="D233" s="13" t="inlineStr">
        <is>
          <t>支出</t>
        </is>
      </c>
      <c r="E233" s="13" t="inlineStr">
        <is>
          <t>待分类</t>
        </is>
      </c>
      <c r="F233" s="17">
        <f>IF($E233="","",IFERROR(VLOOKUP($E233,类别归属,2,0),"※类别不在基础资料里"))</f>
        <v/>
      </c>
      <c r="G233" s="13" t="n"/>
      <c r="H233" s="13" t="n"/>
      <c r="I233" s="13" t="inlineStr">
        <is>
          <t>物流运费</t>
        </is>
      </c>
      <c r="J233" s="14" t="n"/>
      <c r="K233" s="14" t="n">
        <v>57</v>
      </c>
      <c r="L233" s="19">
        <f>IF($C233="","",ROUND(IFERROR(VLOOKUP($C233,账户期初,2,0),0)+SUMIFS($J$4:J233,$C$4:C233,$C233)-SUMIFS($K$4:K233,$C$4:C233,$C233),2))</f>
        <v/>
      </c>
      <c r="M233" s="19">
        <f>IF($C233="","",ROUND(SUM(基础资料!$B$4:$B$13)+SUM($J$4:J233)-SUM($K$4:K233),2))</f>
        <v/>
      </c>
      <c r="N233" s="13" t="n"/>
      <c r="O233" s="13" t="n"/>
      <c r="P233" s="17">
        <f>IF($B233="","",IF($F233="※类别不在基础资料里","※费用类别不在基础资料里",IF(AND(N($J233)=0,N($K233)=0),"※这行没填金额",IF(AND(N($J233)&gt;0,N($K233)&gt;0),"※收入和支出不能同一行都填",IF(AND($D233="收入",N($J233)=0),"※收入行要填收入金额",IF(AND($D233="支出",N($K233)=0),"※支出行要填支出金额",IF(AND($C233&lt;&gt;"",ISNA(MATCH($C233,账户表,0))),"※账户不在基础资料里",IF(AND($G233&lt;&gt;"",ISNA(MATCH($G233,项目名表,0))),"※项目不在项目台账里",IF(AND(LEFT($F233,3)="成本-",$G233=""),"※成本类支出没填项目",IF(AND(LEFT($F233,3)="成本-",$H233&lt;&gt;"",N($K233)&gt;0,COUNTIFS(采购单!$B:$B,$B233,采购单!$C:$C,$H233,采购单!$L:$L,$K233)&gt;0),"※这笔可能和采购单重复了",""))))))))))</f>
        <v/>
      </c>
    </row>
    <row r="234">
      <c r="A234" s="17">
        <f>IF($B234="","",ROW()-3)</f>
        <v/>
      </c>
      <c r="B234" s="18" t="n">
        <v>46123</v>
      </c>
      <c r="C234" s="13" t="inlineStr">
        <is>
          <t>微信1</t>
        </is>
      </c>
      <c r="D234" s="13" t="inlineStr">
        <is>
          <t>支出</t>
        </is>
      </c>
      <c r="E234" s="13" t="inlineStr">
        <is>
          <t>主材采购</t>
        </is>
      </c>
      <c r="F234" s="17">
        <f>IF($E234="","",IFERROR(VLOOKUP($E234,类别归属,2,0),"※类别不在基础资料里"))</f>
        <v/>
      </c>
      <c r="G234" s="13" t="inlineStr">
        <is>
          <t>卓越桌球</t>
        </is>
      </c>
      <c r="H234" s="13" t="inlineStr">
        <is>
          <t>新鸿业</t>
        </is>
      </c>
      <c r="I234" s="13" t="inlineStr">
        <is>
          <t>新鸿业</t>
        </is>
      </c>
      <c r="J234" s="14" t="n"/>
      <c r="K234" s="14" t="n">
        <v>420</v>
      </c>
      <c r="L234" s="19">
        <f>IF($C234="","",ROUND(IFERROR(VLOOKUP($C234,账户期初,2,0),0)+SUMIFS($J$4:J234,$C$4:C234,$C234)-SUMIFS($K$4:K234,$C$4:C234,$C234),2))</f>
        <v/>
      </c>
      <c r="M234" s="19">
        <f>IF($C234="","",ROUND(SUM(基础资料!$B$4:$B$13)+SUM($J$4:J234)-SUM($K$4:K234),2))</f>
        <v/>
      </c>
      <c r="N234" s="13" t="n"/>
      <c r="O234" s="13" t="n"/>
      <c r="P234" s="17">
        <f>IF($B234="","",IF($F234="※类别不在基础资料里","※费用类别不在基础资料里",IF(AND(N($J234)=0,N($K234)=0),"※这行没填金额",IF(AND(N($J234)&gt;0,N($K234)&gt;0),"※收入和支出不能同一行都填",IF(AND($D234="收入",N($J234)=0),"※收入行要填收入金额",IF(AND($D234="支出",N($K234)=0),"※支出行要填支出金额",IF(AND($C234&lt;&gt;"",ISNA(MATCH($C234,账户表,0))),"※账户不在基础资料里",IF(AND($G234&lt;&gt;"",ISNA(MATCH($G234,项目名表,0))),"※项目不在项目台账里",IF(AND(LEFT($F234,3)="成本-",$G234=""),"※成本类支出没填项目",IF(AND(LEFT($F234,3)="成本-",$H234&lt;&gt;"",N($K234)&gt;0,COUNTIFS(采购单!$B:$B,$B234,采购单!$C:$C,$H234,采购单!$L:$L,$K234)&gt;0),"※这笔可能和采购单重复了",""))))))))))</f>
        <v/>
      </c>
    </row>
    <row r="235">
      <c r="A235" s="17">
        <f>IF($B235="","",ROW()-3)</f>
        <v/>
      </c>
      <c r="B235" s="18" t="n">
        <v>46124</v>
      </c>
      <c r="C235" s="13" t="inlineStr">
        <is>
          <t>微信1</t>
        </is>
      </c>
      <c r="D235" s="13" t="inlineStr">
        <is>
          <t>支出</t>
        </is>
      </c>
      <c r="E235" s="13" t="inlineStr">
        <is>
          <t>运费/快递费</t>
        </is>
      </c>
      <c r="F235" s="17">
        <f>IF($E235="","",IFERROR(VLOOKUP($E235,类别归属,2,0),"※类别不在基础资料里"))</f>
        <v/>
      </c>
      <c r="G235" s="13" t="inlineStr">
        <is>
          <t>织里店</t>
        </is>
      </c>
      <c r="H235" s="13" t="inlineStr">
        <is>
          <t>炳秀</t>
        </is>
      </c>
      <c r="I235" s="13" t="inlineStr">
        <is>
          <t>付炳秀配送</t>
        </is>
      </c>
      <c r="J235" s="14" t="n"/>
      <c r="K235" s="14" t="n">
        <v>14</v>
      </c>
      <c r="L235" s="19">
        <f>IF($C235="","",ROUND(IFERROR(VLOOKUP($C235,账户期初,2,0),0)+SUMIFS($J$4:J235,$C$4:C235,$C235)-SUMIFS($K$4:K235,$C$4:C235,$C235),2))</f>
        <v/>
      </c>
      <c r="M235" s="19">
        <f>IF($C235="","",ROUND(SUM(基础资料!$B$4:$B$13)+SUM($J$4:J235)-SUM($K$4:K235),2))</f>
        <v/>
      </c>
      <c r="N235" s="13" t="n"/>
      <c r="O235" s="13" t="inlineStr">
        <is>
          <t>176</t>
        </is>
      </c>
      <c r="P235" s="17">
        <f>IF($B235="","",IF($F235="※类别不在基础资料里","※费用类别不在基础资料里",IF(AND(N($J235)=0,N($K235)=0),"※这行没填金额",IF(AND(N($J235)&gt;0,N($K235)&gt;0),"※收入和支出不能同一行都填",IF(AND($D235="收入",N($J235)=0),"※收入行要填收入金额",IF(AND($D235="支出",N($K235)=0),"※支出行要填支出金额",IF(AND($C235&lt;&gt;"",ISNA(MATCH($C235,账户表,0))),"※账户不在基础资料里",IF(AND($G235&lt;&gt;"",ISNA(MATCH($G235,项目名表,0))),"※项目不在项目台账里",IF(AND(LEFT($F235,3)="成本-",$G235=""),"※成本类支出没填项目",IF(AND(LEFT($F235,3)="成本-",$H235&lt;&gt;"",N($K235)&gt;0,COUNTIFS(采购单!$B:$B,$B235,采购单!$C:$C,$H235,采购单!$L:$L,$K235)&gt;0),"※这笔可能和采购单重复了",""))))))))))</f>
        <v/>
      </c>
    </row>
    <row r="236">
      <c r="A236" s="17">
        <f>IF($B236="","",ROW()-3)</f>
        <v/>
      </c>
      <c r="B236" s="18" t="n">
        <v>46124</v>
      </c>
      <c r="C236" s="13" t="inlineStr">
        <is>
          <t>微信1</t>
        </is>
      </c>
      <c r="D236" s="13" t="inlineStr">
        <is>
          <t>支出</t>
        </is>
      </c>
      <c r="E236" s="13" t="inlineStr">
        <is>
          <t>运费/快递费</t>
        </is>
      </c>
      <c r="F236" s="17">
        <f>IF($E236="","",IFERROR(VLOOKUP($E236,类别归属,2,0),"※类别不在基础资料里"))</f>
        <v/>
      </c>
      <c r="G236" s="13" t="inlineStr">
        <is>
          <t>tk桌球</t>
        </is>
      </c>
      <c r="H236" s="13" t="inlineStr">
        <is>
          <t>炳秀</t>
        </is>
      </c>
      <c r="I236" s="13" t="inlineStr">
        <is>
          <t>付炳秀配送</t>
        </is>
      </c>
      <c r="J236" s="14" t="n"/>
      <c r="K236" s="14" t="n">
        <v>118</v>
      </c>
      <c r="L236" s="19">
        <f>IF($C236="","",ROUND(IFERROR(VLOOKUP($C236,账户期初,2,0),0)+SUMIFS($J$4:J236,$C$4:C236,$C236)-SUMIFS($K$4:K236,$C$4:C236,$C236),2))</f>
        <v/>
      </c>
      <c r="M236" s="19">
        <f>IF($C236="","",ROUND(SUM(基础资料!$B$4:$B$13)+SUM($J$4:J236)-SUM($K$4:K236),2))</f>
        <v/>
      </c>
      <c r="N236" s="13" t="n"/>
      <c r="O236" s="13" t="n"/>
      <c r="P236" s="17">
        <f>IF($B236="","",IF($F236="※类别不在基础资料里","※费用类别不在基础资料里",IF(AND(N($J236)=0,N($K236)=0),"※这行没填金额",IF(AND(N($J236)&gt;0,N($K236)&gt;0),"※收入和支出不能同一行都填",IF(AND($D236="收入",N($J236)=0),"※收入行要填收入金额",IF(AND($D236="支出",N($K236)=0),"※支出行要填支出金额",IF(AND($C236&lt;&gt;"",ISNA(MATCH($C236,账户表,0))),"※账户不在基础资料里",IF(AND($G236&lt;&gt;"",ISNA(MATCH($G236,项目名表,0))),"※项目不在项目台账里",IF(AND(LEFT($F236,3)="成本-",$G236=""),"※成本类支出没填项目",IF(AND(LEFT($F236,3)="成本-",$H236&lt;&gt;"",N($K236)&gt;0,COUNTIFS(采购单!$B:$B,$B236,采购单!$C:$C,$H236,采购单!$L:$L,$K236)&gt;0),"※这笔可能和采购单重复了",""))))))))))</f>
        <v/>
      </c>
    </row>
    <row r="237">
      <c r="A237" s="17">
        <f>IF($B237="","",ROW()-3)</f>
        <v/>
      </c>
      <c r="B237" s="18" t="n">
        <v>46124</v>
      </c>
      <c r="C237" s="13" t="inlineStr">
        <is>
          <t>微信1</t>
        </is>
      </c>
      <c r="D237" s="13" t="inlineStr">
        <is>
          <t>支出</t>
        </is>
      </c>
      <c r="E237" s="13" t="inlineStr">
        <is>
          <t>运费/快递费</t>
        </is>
      </c>
      <c r="F237" s="17">
        <f>IF($E237="","",IFERROR(VLOOKUP($E237,类别归属,2,0),"※类别不在基础资料里"))</f>
        <v/>
      </c>
      <c r="G237" s="13" t="inlineStr">
        <is>
          <t>tk桌球</t>
        </is>
      </c>
      <c r="H237" s="13" t="inlineStr">
        <is>
          <t>炳秀</t>
        </is>
      </c>
      <c r="I237" s="13" t="inlineStr">
        <is>
          <t>付炳秀配送</t>
        </is>
      </c>
      <c r="J237" s="14" t="n"/>
      <c r="K237" s="14" t="n">
        <v>5</v>
      </c>
      <c r="L237" s="19">
        <f>IF($C237="","",ROUND(IFERROR(VLOOKUP($C237,账户期初,2,0),0)+SUMIFS($J$4:J237,$C$4:C237,$C237)-SUMIFS($K$4:K237,$C$4:C237,$C237),2))</f>
        <v/>
      </c>
      <c r="M237" s="19">
        <f>IF($C237="","",ROUND(SUM(基础资料!$B$4:$B$13)+SUM($J$4:J237)-SUM($K$4:K237),2))</f>
        <v/>
      </c>
      <c r="N237" s="13" t="n"/>
      <c r="O237" s="13" t="n"/>
      <c r="P237" s="17">
        <f>IF($B237="","",IF($F237="※类别不在基础资料里","※费用类别不在基础资料里",IF(AND(N($J237)=0,N($K237)=0),"※这行没填金额",IF(AND(N($J237)&gt;0,N($K237)&gt;0),"※收入和支出不能同一行都填",IF(AND($D237="收入",N($J237)=0),"※收入行要填收入金额",IF(AND($D237="支出",N($K237)=0),"※支出行要填支出金额",IF(AND($C237&lt;&gt;"",ISNA(MATCH($C237,账户表,0))),"※账户不在基础资料里",IF(AND($G237&lt;&gt;"",ISNA(MATCH($G237,项目名表,0))),"※项目不在项目台账里",IF(AND(LEFT($F237,3)="成本-",$G237=""),"※成本类支出没填项目",IF(AND(LEFT($F237,3)="成本-",$H237&lt;&gt;"",N($K237)&gt;0,COUNTIFS(采购单!$B:$B,$B237,采购单!$C:$C,$H237,采购单!$L:$L,$K237)&gt;0),"※这笔可能和采购单重复了",""))))))))))</f>
        <v/>
      </c>
    </row>
    <row r="238">
      <c r="A238" s="17">
        <f>IF($B238="","",ROW()-3)</f>
        <v/>
      </c>
      <c r="B238" s="18" t="n">
        <v>46124</v>
      </c>
      <c r="C238" s="13" t="inlineStr">
        <is>
          <t>微信1</t>
        </is>
      </c>
      <c r="D238" s="13" t="inlineStr">
        <is>
          <t>支出</t>
        </is>
      </c>
      <c r="E238" s="13" t="inlineStr">
        <is>
          <t>运费/快递费</t>
        </is>
      </c>
      <c r="F238" s="17">
        <f>IF($E238="","",IFERROR(VLOOKUP($E238,类别归属,2,0),"※类别不在基础资料里"))</f>
        <v/>
      </c>
      <c r="G238" s="13" t="inlineStr">
        <is>
          <t>vip宠物乐园</t>
        </is>
      </c>
      <c r="H238" s="13" t="inlineStr">
        <is>
          <t>炳秀</t>
        </is>
      </c>
      <c r="I238" s="13" t="inlineStr">
        <is>
          <t>付炳秀配送</t>
        </is>
      </c>
      <c r="J238" s="14" t="n"/>
      <c r="K238" s="14" t="n">
        <v>39</v>
      </c>
      <c r="L238" s="19">
        <f>IF($C238="","",ROUND(IFERROR(VLOOKUP($C238,账户期初,2,0),0)+SUMIFS($J$4:J238,$C$4:C238,$C238)-SUMIFS($K$4:K238,$C$4:C238,$C238),2))</f>
        <v/>
      </c>
      <c r="M238" s="19">
        <f>IF($C238="","",ROUND(SUM(基础资料!$B$4:$B$13)+SUM($J$4:J238)-SUM($K$4:K238),2))</f>
        <v/>
      </c>
      <c r="N238" s="13" t="n"/>
      <c r="O238" s="13" t="n"/>
      <c r="P238" s="17">
        <f>IF($B238="","",IF($F238="※类别不在基础资料里","※费用类别不在基础资料里",IF(AND(N($J238)=0,N($K238)=0),"※这行没填金额",IF(AND(N($J238)&gt;0,N($K238)&gt;0),"※收入和支出不能同一行都填",IF(AND($D238="收入",N($J238)=0),"※收入行要填收入金额",IF(AND($D238="支出",N($K238)=0),"※支出行要填支出金额",IF(AND($C238&lt;&gt;"",ISNA(MATCH($C238,账户表,0))),"※账户不在基础资料里",IF(AND($G238&lt;&gt;"",ISNA(MATCH($G238,项目名表,0))),"※项目不在项目台账里",IF(AND(LEFT($F238,3)="成本-",$G238=""),"※成本类支出没填项目",IF(AND(LEFT($F238,3)="成本-",$H238&lt;&gt;"",N($K238)&gt;0,COUNTIFS(采购单!$B:$B,$B238,采购单!$C:$C,$H238,采购单!$L:$L,$K238)&gt;0),"※这笔可能和采购单重复了",""))))))))))</f>
        <v/>
      </c>
    </row>
    <row r="239">
      <c r="A239" s="17">
        <f>IF($B239="","",ROW()-3)</f>
        <v/>
      </c>
      <c r="B239" s="18" t="n">
        <v>46125</v>
      </c>
      <c r="C239" s="13" t="inlineStr">
        <is>
          <t>微信1</t>
        </is>
      </c>
      <c r="D239" s="13" t="inlineStr">
        <is>
          <t>支出</t>
        </is>
      </c>
      <c r="E239" s="13" t="inlineStr">
        <is>
          <t>主材采购</t>
        </is>
      </c>
      <c r="F239" s="17">
        <f>IF($E239="","",IFERROR(VLOOKUP($E239,类别归属,2,0),"※类别不在基础资料里"))</f>
        <v/>
      </c>
      <c r="G239" s="13" t="inlineStr">
        <is>
          <t>梦回唐朝</t>
        </is>
      </c>
      <c r="H239" s="13" t="inlineStr">
        <is>
          <t>临沂方正</t>
        </is>
      </c>
      <c r="I239" s="13" t="inlineStr">
        <is>
          <t>临沂方正</t>
        </is>
      </c>
      <c r="J239" s="14" t="n"/>
      <c r="K239" s="14" t="n">
        <v>156</v>
      </c>
      <c r="L239" s="19">
        <f>IF($C239="","",ROUND(IFERROR(VLOOKUP($C239,账户期初,2,0),0)+SUMIFS($J$4:J239,$C$4:C239,$C239)-SUMIFS($K$4:K239,$C$4:C239,$C239),2))</f>
        <v/>
      </c>
      <c r="M239" s="19">
        <f>IF($C239="","",ROUND(SUM(基础资料!$B$4:$B$13)+SUM($J$4:J239)-SUM($K$4:K239),2))</f>
        <v/>
      </c>
      <c r="N239" s="13" t="n"/>
      <c r="O239" s="13" t="n"/>
      <c r="P239" s="17">
        <f>IF($B239="","",IF($F239="※类别不在基础资料里","※费用类别不在基础资料里",IF(AND(N($J239)=0,N($K239)=0),"※这行没填金额",IF(AND(N($J239)&gt;0,N($K239)&gt;0),"※收入和支出不能同一行都填",IF(AND($D239="收入",N($J239)=0),"※收入行要填收入金额",IF(AND($D239="支出",N($K239)=0),"※支出行要填支出金额",IF(AND($C239&lt;&gt;"",ISNA(MATCH($C239,账户表,0))),"※账户不在基础资料里",IF(AND($G239&lt;&gt;"",ISNA(MATCH($G239,项目名表,0))),"※项目不在项目台账里",IF(AND(LEFT($F239,3)="成本-",$G239=""),"※成本类支出没填项目",IF(AND(LEFT($F239,3)="成本-",$H239&lt;&gt;"",N($K239)&gt;0,COUNTIFS(采购单!$B:$B,$B239,采购单!$C:$C,$H239,采购单!$L:$L,$K239)&gt;0),"※这笔可能和采购单重复了",""))))))))))</f>
        <v/>
      </c>
    </row>
    <row r="240">
      <c r="A240" s="17">
        <f>IF($B240="","",ROW()-3)</f>
        <v/>
      </c>
      <c r="B240" s="18" t="n">
        <v>46125</v>
      </c>
      <c r="C240" s="13" t="inlineStr">
        <is>
          <t>微信1</t>
        </is>
      </c>
      <c r="D240" s="13" t="inlineStr">
        <is>
          <t>收入</t>
        </is>
      </c>
      <c r="E240" s="13" t="inlineStr">
        <is>
          <t>项目收款</t>
        </is>
      </c>
      <c r="F240" s="17">
        <f>IF($E240="","",IFERROR(VLOOKUP($E240,类别归属,2,0),"※类别不在基础资料里"))</f>
        <v/>
      </c>
      <c r="G240" s="13" t="inlineStr">
        <is>
          <t>小刀电动车</t>
        </is>
      </c>
      <c r="H240" s="13" t="n"/>
      <c r="I240" s="13" t="inlineStr">
        <is>
          <t>百道-周锋</t>
        </is>
      </c>
      <c r="J240" s="14" t="n">
        <v>1000</v>
      </c>
      <c r="K240" s="14" t="n"/>
      <c r="L240" s="19">
        <f>IF($C240="","",ROUND(IFERROR(VLOOKUP($C240,账户期初,2,0),0)+SUMIFS($J$4:J240,$C$4:C240,$C240)-SUMIFS($K$4:K240,$C$4:C240,$C240),2))</f>
        <v/>
      </c>
      <c r="M240" s="19">
        <f>IF($C240="","",ROUND(SUM(基础资料!$B$4:$B$13)+SUM($J$4:J240)-SUM($K$4:K240),2))</f>
        <v/>
      </c>
      <c r="N240" s="13" t="n"/>
      <c r="O240" s="13" t="n"/>
      <c r="P240" s="17">
        <f>IF($B240="","",IF($F240="※类别不在基础资料里","※费用类别不在基础资料里",IF(AND(N($J240)=0,N($K240)=0),"※这行没填金额",IF(AND(N($J240)&gt;0,N($K240)&gt;0),"※收入和支出不能同一行都填",IF(AND($D240="收入",N($J240)=0),"※收入行要填收入金额",IF(AND($D240="支出",N($K240)=0),"※支出行要填支出金额",IF(AND($C240&lt;&gt;"",ISNA(MATCH($C240,账户表,0))),"※账户不在基础资料里",IF(AND($G240&lt;&gt;"",ISNA(MATCH($G240,项目名表,0))),"※项目不在项目台账里",IF(AND(LEFT($F240,3)="成本-",$G240=""),"※成本类支出没填项目",IF(AND(LEFT($F240,3)="成本-",$H240&lt;&gt;"",N($K240)&gt;0,COUNTIFS(采购单!$B:$B,$B240,采购单!$C:$C,$H240,采购单!$L:$L,$K240)&gt;0),"※这笔可能和采购单重复了",""))))))))))</f>
        <v/>
      </c>
    </row>
    <row r="241">
      <c r="A241" s="17">
        <f>IF($B241="","",ROW()-3)</f>
        <v/>
      </c>
      <c r="B241" s="18" t="n">
        <v>46125</v>
      </c>
      <c r="C241" s="13" t="inlineStr">
        <is>
          <t>微信1</t>
        </is>
      </c>
      <c r="D241" s="13" t="inlineStr">
        <is>
          <t>支出</t>
        </is>
      </c>
      <c r="E241" s="13" t="inlineStr">
        <is>
          <t>主材采购</t>
        </is>
      </c>
      <c r="F241" s="17">
        <f>IF($E241="","",IFERROR(VLOOKUP($E241,类别归属,2,0),"※类别不在基础资料里"))</f>
        <v/>
      </c>
      <c r="G241" s="13" t="n"/>
      <c r="H241" s="13" t="inlineStr">
        <is>
          <t>浙江星蓝光电科技</t>
        </is>
      </c>
      <c r="I241" s="13" t="inlineStr">
        <is>
          <t>浙江星蓝光电科技公司</t>
        </is>
      </c>
      <c r="J241" s="14" t="n"/>
      <c r="K241" s="14" t="n">
        <v>750</v>
      </c>
      <c r="L241" s="19">
        <f>IF($C241="","",ROUND(IFERROR(VLOOKUP($C241,账户期初,2,0),0)+SUMIFS($J$4:J241,$C$4:C241,$C241)-SUMIFS($K$4:K241,$C$4:C241,$C241),2))</f>
        <v/>
      </c>
      <c r="M241" s="19">
        <f>IF($C241="","",ROUND(SUM(基础资料!$B$4:$B$13)+SUM($J$4:J241)-SUM($K$4:K241),2))</f>
        <v/>
      </c>
      <c r="N241" s="13" t="n"/>
      <c r="O241" s="13" t="inlineStr">
        <is>
          <t>4.12凌宇实存4818.52</t>
        </is>
      </c>
      <c r="P241" s="17">
        <f>IF($B241="","",IF($F241="※类别不在基础资料里","※费用类别不在基础资料里",IF(AND(N($J241)=0,N($K241)=0),"※这行没填金额",IF(AND(N($J241)&gt;0,N($K241)&gt;0),"※收入和支出不能同一行都填",IF(AND($D241="收入",N($J241)=0),"※收入行要填收入金额",IF(AND($D241="支出",N($K241)=0),"※支出行要填支出金额",IF(AND($C241&lt;&gt;"",ISNA(MATCH($C241,账户表,0))),"※账户不在基础资料里",IF(AND($G241&lt;&gt;"",ISNA(MATCH($G241,项目名表,0))),"※项目不在项目台账里",IF(AND(LEFT($F241,3)="成本-",$G241=""),"※成本类支出没填项目",IF(AND(LEFT($F241,3)="成本-",$H241&lt;&gt;"",N($K241)&gt;0,COUNTIFS(采购单!$B:$B,$B241,采购单!$C:$C,$H241,采购单!$L:$L,$K241)&gt;0),"※这笔可能和采购单重复了",""))))))))))</f>
        <v/>
      </c>
    </row>
    <row r="242">
      <c r="A242" s="17">
        <f>IF($B242="","",ROW()-3)</f>
        <v/>
      </c>
      <c r="B242" s="18" t="n">
        <v>46125</v>
      </c>
      <c r="C242" s="13" t="inlineStr">
        <is>
          <t>微信1</t>
        </is>
      </c>
      <c r="D242" s="13" t="inlineStr">
        <is>
          <t>支出</t>
        </is>
      </c>
      <c r="E242" s="13" t="inlineStr">
        <is>
          <t>运费/快递费</t>
        </is>
      </c>
      <c r="F242" s="17">
        <f>IF($E242="","",IFERROR(VLOOKUP($E242,类别归属,2,0),"※类别不在基础资料里"))</f>
        <v/>
      </c>
      <c r="G242" s="13" t="inlineStr">
        <is>
          <t>织里店</t>
        </is>
      </c>
      <c r="H242" s="13" t="inlineStr">
        <is>
          <t>炳秀</t>
        </is>
      </c>
      <c r="I242" s="13" t="inlineStr">
        <is>
          <t>付炳秀配送</t>
        </is>
      </c>
      <c r="J242" s="14" t="n"/>
      <c r="K242" s="14" t="n">
        <v>57</v>
      </c>
      <c r="L242" s="19">
        <f>IF($C242="","",ROUND(IFERROR(VLOOKUP($C242,账户期初,2,0),0)+SUMIFS($J$4:J242,$C$4:C242,$C242)-SUMIFS($K$4:K242,$C$4:C242,$C242),2))</f>
        <v/>
      </c>
      <c r="M242" s="19">
        <f>IF($C242="","",ROUND(SUM(基础资料!$B$4:$B$13)+SUM($J$4:J242)-SUM($K$4:K242),2))</f>
        <v/>
      </c>
      <c r="N242" s="13" t="n"/>
      <c r="O242" s="13" t="inlineStr">
        <is>
          <t>342</t>
        </is>
      </c>
      <c r="P242" s="17">
        <f>IF($B242="","",IF($F242="※类别不在基础资料里","※费用类别不在基础资料里",IF(AND(N($J242)=0,N($K242)=0),"※这行没填金额",IF(AND(N($J242)&gt;0,N($K242)&gt;0),"※收入和支出不能同一行都填",IF(AND($D242="收入",N($J242)=0),"※收入行要填收入金额",IF(AND($D242="支出",N($K242)=0),"※支出行要填支出金额",IF(AND($C242&lt;&gt;"",ISNA(MATCH($C242,账户表,0))),"※账户不在基础资料里",IF(AND($G242&lt;&gt;"",ISNA(MATCH($G242,项目名表,0))),"※项目不在项目台账里",IF(AND(LEFT($F242,3)="成本-",$G242=""),"※成本类支出没填项目",IF(AND(LEFT($F242,3)="成本-",$H242&lt;&gt;"",N($K242)&gt;0,COUNTIFS(采购单!$B:$B,$B242,采购单!$C:$C,$H242,采购单!$L:$L,$K242)&gt;0),"※这笔可能和采购单重复了",""))))))))))</f>
        <v/>
      </c>
    </row>
    <row r="243">
      <c r="A243" s="17">
        <f>IF($B243="","",ROW()-3)</f>
        <v/>
      </c>
      <c r="B243" s="18" t="n">
        <v>46125</v>
      </c>
      <c r="C243" s="13" t="inlineStr">
        <is>
          <t>微信1</t>
        </is>
      </c>
      <c r="D243" s="13" t="inlineStr">
        <is>
          <t>支出</t>
        </is>
      </c>
      <c r="E243" s="13" t="inlineStr">
        <is>
          <t>运费/快递费</t>
        </is>
      </c>
      <c r="F243" s="17">
        <f>IF($E243="","",IFERROR(VLOOKUP($E243,类别归属,2,0),"※类别不在基础资料里"))</f>
        <v/>
      </c>
      <c r="G243" s="13" t="inlineStr">
        <is>
          <t>梦回唐朝</t>
        </is>
      </c>
      <c r="H243" s="13" t="inlineStr">
        <is>
          <t>炳秀</t>
        </is>
      </c>
      <c r="I243" s="13" t="inlineStr">
        <is>
          <t>付炳秀配送</t>
        </is>
      </c>
      <c r="J243" s="14" t="n"/>
      <c r="K243" s="14" t="n">
        <v>269</v>
      </c>
      <c r="L243" s="19">
        <f>IF($C243="","",ROUND(IFERROR(VLOOKUP($C243,账户期初,2,0),0)+SUMIFS($J$4:J243,$C$4:C243,$C243)-SUMIFS($K$4:K243,$C$4:C243,$C243),2))</f>
        <v/>
      </c>
      <c r="M243" s="19">
        <f>IF($C243="","",ROUND(SUM(基础资料!$B$4:$B$13)+SUM($J$4:J243)-SUM($K$4:K243),2))</f>
        <v/>
      </c>
      <c r="N243" s="13" t="n"/>
      <c r="O243" s="13" t="n"/>
      <c r="P243" s="17">
        <f>IF($B243="","",IF($F243="※类别不在基础资料里","※费用类别不在基础资料里",IF(AND(N($J243)=0,N($K243)=0),"※这行没填金额",IF(AND(N($J243)&gt;0,N($K243)&gt;0),"※收入和支出不能同一行都填",IF(AND($D243="收入",N($J243)=0),"※收入行要填收入金额",IF(AND($D243="支出",N($K243)=0),"※支出行要填支出金额",IF(AND($C243&lt;&gt;"",ISNA(MATCH($C243,账户表,0))),"※账户不在基础资料里",IF(AND($G243&lt;&gt;"",ISNA(MATCH($G243,项目名表,0))),"※项目不在项目台账里",IF(AND(LEFT($F243,3)="成本-",$G243=""),"※成本类支出没填项目",IF(AND(LEFT($F243,3)="成本-",$H243&lt;&gt;"",N($K243)&gt;0,COUNTIFS(采购单!$B:$B,$B243,采购单!$C:$C,$H243,采购单!$L:$L,$K243)&gt;0),"※这笔可能和采购单重复了",""))))))))))</f>
        <v/>
      </c>
    </row>
    <row r="244">
      <c r="A244" s="17">
        <f>IF($B244="","",ROW()-3)</f>
        <v/>
      </c>
      <c r="B244" s="18" t="n">
        <v>46125</v>
      </c>
      <c r="C244" s="13" t="inlineStr">
        <is>
          <t>微信1</t>
        </is>
      </c>
      <c r="D244" s="13" t="inlineStr">
        <is>
          <t>支出</t>
        </is>
      </c>
      <c r="E244" s="13" t="inlineStr">
        <is>
          <t>运费/快递费</t>
        </is>
      </c>
      <c r="F244" s="17">
        <f>IF($E244="","",IFERROR(VLOOKUP($E244,类别归属,2,0),"※类别不在基础资料里"))</f>
        <v/>
      </c>
      <c r="G244" s="13" t="inlineStr">
        <is>
          <t>tk桌球</t>
        </is>
      </c>
      <c r="H244" s="13" t="inlineStr">
        <is>
          <t>炳秀</t>
        </is>
      </c>
      <c r="I244" s="13" t="inlineStr">
        <is>
          <t>付炳秀配送</t>
        </is>
      </c>
      <c r="J244" s="14" t="n"/>
      <c r="K244" s="14" t="n">
        <v>16</v>
      </c>
      <c r="L244" s="19">
        <f>IF($C244="","",ROUND(IFERROR(VLOOKUP($C244,账户期初,2,0),0)+SUMIFS($J$4:J244,$C$4:C244,$C244)-SUMIFS($K$4:K244,$C$4:C244,$C244),2))</f>
        <v/>
      </c>
      <c r="M244" s="19">
        <f>IF($C244="","",ROUND(SUM(基础资料!$B$4:$B$13)+SUM($J$4:J244)-SUM($K$4:K244),2))</f>
        <v/>
      </c>
      <c r="N244" s="13" t="n"/>
      <c r="O244" s="13" t="n"/>
      <c r="P244" s="17">
        <f>IF($B244="","",IF($F244="※类别不在基础资料里","※费用类别不在基础资料里",IF(AND(N($J244)=0,N($K244)=0),"※这行没填金额",IF(AND(N($J244)&gt;0,N($K244)&gt;0),"※收入和支出不能同一行都填",IF(AND($D244="收入",N($J244)=0),"※收入行要填收入金额",IF(AND($D244="支出",N($K244)=0),"※支出行要填支出金额",IF(AND($C244&lt;&gt;"",ISNA(MATCH($C244,账户表,0))),"※账户不在基础资料里",IF(AND($G244&lt;&gt;"",ISNA(MATCH($G244,项目名表,0))),"※项目不在项目台账里",IF(AND(LEFT($F244,3)="成本-",$G244=""),"※成本类支出没填项目",IF(AND(LEFT($F244,3)="成本-",$H244&lt;&gt;"",N($K244)&gt;0,COUNTIFS(采购单!$B:$B,$B244,采购单!$C:$C,$H244,采购单!$L:$L,$K244)&gt;0),"※这笔可能和采购单重复了",""))))))))))</f>
        <v/>
      </c>
    </row>
    <row r="245">
      <c r="A245" s="17">
        <f>IF($B245="","",ROW()-3)</f>
        <v/>
      </c>
      <c r="B245" s="18" t="n">
        <v>46125</v>
      </c>
      <c r="C245" s="13" t="inlineStr">
        <is>
          <t>微信1</t>
        </is>
      </c>
      <c r="D245" s="13" t="inlineStr">
        <is>
          <t>支出</t>
        </is>
      </c>
      <c r="E245" s="13" t="inlineStr">
        <is>
          <t>主材采购</t>
        </is>
      </c>
      <c r="F245" s="17">
        <f>IF($E245="","",IFERROR(VLOOKUP($E245,类别归属,2,0),"※类别不在基础资料里"))</f>
        <v/>
      </c>
      <c r="G245" s="13" t="n"/>
      <c r="H245" s="13" t="inlineStr">
        <is>
          <t>临沂匠心</t>
        </is>
      </c>
      <c r="I245" s="13" t="inlineStr">
        <is>
          <t>付临沂匠心</t>
        </is>
      </c>
      <c r="J245" s="14" t="n"/>
      <c r="K245" s="14" t="n">
        <v>1000</v>
      </c>
      <c r="L245" s="19">
        <f>IF($C245="","",ROUND(IFERROR(VLOOKUP($C245,账户期初,2,0),0)+SUMIFS($J$4:J245,$C$4:C245,$C245)-SUMIFS($K$4:K245,$C$4:C245,$C245),2))</f>
        <v/>
      </c>
      <c r="M245" s="19">
        <f>IF($C245="","",ROUND(SUM(基础资料!$B$4:$B$13)+SUM($J$4:J245)-SUM($K$4:K245),2))</f>
        <v/>
      </c>
      <c r="N245" s="13" t="n"/>
      <c r="O245" s="13" t="inlineStr">
        <is>
          <t>定金</t>
        </is>
      </c>
      <c r="P245" s="17">
        <f>IF($B245="","",IF($F245="※类别不在基础资料里","※费用类别不在基础资料里",IF(AND(N($J245)=0,N($K245)=0),"※这行没填金额",IF(AND(N($J245)&gt;0,N($K245)&gt;0),"※收入和支出不能同一行都填",IF(AND($D245="收入",N($J245)=0),"※收入行要填收入金额",IF(AND($D245="支出",N($K245)=0),"※支出行要填支出金额",IF(AND($C245&lt;&gt;"",ISNA(MATCH($C245,账户表,0))),"※账户不在基础资料里",IF(AND($G245&lt;&gt;"",ISNA(MATCH($G245,项目名表,0))),"※项目不在项目台账里",IF(AND(LEFT($F245,3)="成本-",$G245=""),"※成本类支出没填项目",IF(AND(LEFT($F245,3)="成本-",$H245&lt;&gt;"",N($K245)&gt;0,COUNTIFS(采购单!$B:$B,$B245,采购单!$C:$C,$H245,采购单!$L:$L,$K245)&gt;0),"※这笔可能和采购单重复了",""))))))))))</f>
        <v/>
      </c>
    </row>
    <row r="246">
      <c r="A246" s="17">
        <f>IF($B246="","",ROW()-3)</f>
        <v/>
      </c>
      <c r="B246" s="18" t="n">
        <v>46126</v>
      </c>
      <c r="C246" s="13" t="inlineStr">
        <is>
          <t>微信1</t>
        </is>
      </c>
      <c r="D246" s="13" t="inlineStr">
        <is>
          <t>支出</t>
        </is>
      </c>
      <c r="E246" s="13" t="inlineStr">
        <is>
          <t>运费/快递费</t>
        </is>
      </c>
      <c r="F246" s="17">
        <f>IF($E246="","",IFERROR(VLOOKUP($E246,类别归属,2,0),"※类别不在基础资料里"))</f>
        <v/>
      </c>
      <c r="G246" s="13" t="inlineStr">
        <is>
          <t>织里店</t>
        </is>
      </c>
      <c r="H246" s="13" t="inlineStr">
        <is>
          <t>炳秀</t>
        </is>
      </c>
      <c r="I246" s="13" t="inlineStr">
        <is>
          <t>付炳秀配送</t>
        </is>
      </c>
      <c r="J246" s="14" t="n"/>
      <c r="K246" s="14" t="n">
        <v>19</v>
      </c>
      <c r="L246" s="19">
        <f>IF($C246="","",ROUND(IFERROR(VLOOKUP($C246,账户期初,2,0),0)+SUMIFS($J$4:J246,$C$4:C246,$C246)-SUMIFS($K$4:K246,$C$4:C246,$C246),2))</f>
        <v/>
      </c>
      <c r="M246" s="19">
        <f>IF($C246="","",ROUND(SUM(基础资料!$B$4:$B$13)+SUM($J$4:J246)-SUM($K$4:K246),2))</f>
        <v/>
      </c>
      <c r="N246" s="13" t="n"/>
      <c r="O246" s="13" t="n"/>
      <c r="P246" s="17">
        <f>IF($B246="","",IF($F246="※类别不在基础资料里","※费用类别不在基础资料里",IF(AND(N($J246)=0,N($K246)=0),"※这行没填金额",IF(AND(N($J246)&gt;0,N($K246)&gt;0),"※收入和支出不能同一行都填",IF(AND($D246="收入",N($J246)=0),"※收入行要填收入金额",IF(AND($D246="支出",N($K246)=0),"※支出行要填支出金额",IF(AND($C246&lt;&gt;"",ISNA(MATCH($C246,账户表,0))),"※账户不在基础资料里",IF(AND($G246&lt;&gt;"",ISNA(MATCH($G246,项目名表,0))),"※项目不在项目台账里",IF(AND(LEFT($F246,3)="成本-",$G246=""),"※成本类支出没填项目",IF(AND(LEFT($F246,3)="成本-",$H246&lt;&gt;"",N($K246)&gt;0,COUNTIFS(采购单!$B:$B,$B246,采购单!$C:$C,$H246,采购单!$L:$L,$K246)&gt;0),"※这笔可能和采购单重复了",""))))))))))</f>
        <v/>
      </c>
    </row>
    <row r="247">
      <c r="A247" s="17">
        <f>IF($B247="","",ROW()-3)</f>
        <v/>
      </c>
      <c r="B247" s="18" t="n">
        <v>46126</v>
      </c>
      <c r="C247" s="13" t="inlineStr">
        <is>
          <t>微信1</t>
        </is>
      </c>
      <c r="D247" s="13" t="inlineStr">
        <is>
          <t>支出</t>
        </is>
      </c>
      <c r="E247" s="13" t="inlineStr">
        <is>
          <t>运费/快递费</t>
        </is>
      </c>
      <c r="F247" s="17">
        <f>IF($E247="","",IFERROR(VLOOKUP($E247,类别归属,2,0),"※类别不在基础资料里"))</f>
        <v/>
      </c>
      <c r="G247" s="13" t="inlineStr">
        <is>
          <t>梦回唐朝</t>
        </is>
      </c>
      <c r="H247" s="13" t="inlineStr">
        <is>
          <t>炳秀</t>
        </is>
      </c>
      <c r="I247" s="13" t="inlineStr">
        <is>
          <t>付炳秀配送</t>
        </is>
      </c>
      <c r="J247" s="14" t="n"/>
      <c r="K247" s="14" t="n">
        <v>18</v>
      </c>
      <c r="L247" s="19">
        <f>IF($C247="","",ROUND(IFERROR(VLOOKUP($C247,账户期初,2,0),0)+SUMIFS($J$4:J247,$C$4:C247,$C247)-SUMIFS($K$4:K247,$C$4:C247,$C247),2))</f>
        <v/>
      </c>
      <c r="M247" s="19">
        <f>IF($C247="","",ROUND(SUM(基础资料!$B$4:$B$13)+SUM($J$4:J247)-SUM($K$4:K247),2))</f>
        <v/>
      </c>
      <c r="N247" s="13" t="n"/>
      <c r="O247" s="13" t="n"/>
      <c r="P247" s="17">
        <f>IF($B247="","",IF($F247="※类别不在基础资料里","※费用类别不在基础资料里",IF(AND(N($J247)=0,N($K247)=0),"※这行没填金额",IF(AND(N($J247)&gt;0,N($K247)&gt;0),"※收入和支出不能同一行都填",IF(AND($D247="收入",N($J247)=0),"※收入行要填收入金额",IF(AND($D247="支出",N($K247)=0),"※支出行要填支出金额",IF(AND($C247&lt;&gt;"",ISNA(MATCH($C247,账户表,0))),"※账户不在基础资料里",IF(AND($G247&lt;&gt;"",ISNA(MATCH($G247,项目名表,0))),"※项目不在项目台账里",IF(AND(LEFT($F247,3)="成本-",$G247=""),"※成本类支出没填项目",IF(AND(LEFT($F247,3)="成本-",$H247&lt;&gt;"",N($K247)&gt;0,COUNTIFS(采购单!$B:$B,$B247,采购单!$C:$C,$H247,采购单!$L:$L,$K247)&gt;0),"※这笔可能和采购单重复了",""))))))))))</f>
        <v/>
      </c>
    </row>
    <row r="248">
      <c r="A248" s="17">
        <f>IF($B248="","",ROW()-3)</f>
        <v/>
      </c>
      <c r="B248" s="18" t="n">
        <v>46127</v>
      </c>
      <c r="C248" s="13" t="inlineStr">
        <is>
          <t>微信1</t>
        </is>
      </c>
      <c r="D248" s="13" t="inlineStr">
        <is>
          <t>收入</t>
        </is>
      </c>
      <c r="E248" s="13" t="inlineStr">
        <is>
          <t>收回借出款</t>
        </is>
      </c>
      <c r="F248" s="17">
        <f>IF($E248="","",IFERROR(VLOOKUP($E248,类别归属,2,0),"※类别不在基础资料里"))</f>
        <v/>
      </c>
      <c r="G248" s="13" t="n"/>
      <c r="H248" s="13" t="inlineStr">
        <is>
          <t>付久华</t>
        </is>
      </c>
      <c r="I248" s="13" t="inlineStr">
        <is>
          <t>付给付久华</t>
        </is>
      </c>
      <c r="J248" s="14" t="n">
        <v>3000</v>
      </c>
      <c r="K248" s="14" t="n"/>
      <c r="L248" s="19">
        <f>IF($C248="","",ROUND(IFERROR(VLOOKUP($C248,账户期初,2,0),0)+SUMIFS($J$4:J248,$C$4:C248,$C248)-SUMIFS($K$4:K248,$C$4:C248,$C248),2))</f>
        <v/>
      </c>
      <c r="M248" s="19">
        <f>IF($C248="","",ROUND(SUM(基础资料!$B$4:$B$13)+SUM($J$4:J248)-SUM($K$4:K248),2))</f>
        <v/>
      </c>
      <c r="N248" s="13" t="n"/>
      <c r="O248" s="13" t="n"/>
      <c r="P248" s="17">
        <f>IF($B248="","",IF($F248="※类别不在基础资料里","※费用类别不在基础资料里",IF(AND(N($J248)=0,N($K248)=0),"※这行没填金额",IF(AND(N($J248)&gt;0,N($K248)&gt;0),"※收入和支出不能同一行都填",IF(AND($D248="收入",N($J248)=0),"※收入行要填收入金额",IF(AND($D248="支出",N($K248)=0),"※支出行要填支出金额",IF(AND($C248&lt;&gt;"",ISNA(MATCH($C248,账户表,0))),"※账户不在基础资料里",IF(AND($G248&lt;&gt;"",ISNA(MATCH($G248,项目名表,0))),"※项目不在项目台账里",IF(AND(LEFT($F248,3)="成本-",$G248=""),"※成本类支出没填项目",IF(AND(LEFT($F248,3)="成本-",$H248&lt;&gt;"",N($K248)&gt;0,COUNTIFS(采购单!$B:$B,$B248,采购单!$C:$C,$H248,采购单!$L:$L,$K248)&gt;0),"※这笔可能和采购单重复了",""))))))))))</f>
        <v/>
      </c>
    </row>
    <row r="249">
      <c r="A249" s="17">
        <f>IF($B249="","",ROW()-3)</f>
        <v/>
      </c>
      <c r="B249" s="18" t="n">
        <v>46127</v>
      </c>
      <c r="C249" s="13" t="inlineStr">
        <is>
          <t>微信1</t>
        </is>
      </c>
      <c r="D249" s="13" t="inlineStr">
        <is>
          <t>支出</t>
        </is>
      </c>
      <c r="E249" s="13" t="inlineStr">
        <is>
          <t>安装工资</t>
        </is>
      </c>
      <c r="F249" s="17">
        <f>IF($E249="","",IFERROR(VLOOKUP($E249,类别归属,2,0),"※类别不在基础资料里"))</f>
        <v/>
      </c>
      <c r="G249" s="13" t="n"/>
      <c r="H249" s="13" t="n"/>
      <c r="I249" s="13" t="inlineStr">
        <is>
          <t>付广告安装-令？（付余款）</t>
        </is>
      </c>
      <c r="J249" s="14" t="n"/>
      <c r="K249" s="14" t="n">
        <v>5000</v>
      </c>
      <c r="L249" s="19">
        <f>IF($C249="","",ROUND(IFERROR(VLOOKUP($C249,账户期初,2,0),0)+SUMIFS($J$4:J249,$C$4:C249,$C249)-SUMIFS($K$4:K249,$C$4:C249,$C249),2))</f>
        <v/>
      </c>
      <c r="M249" s="19">
        <f>IF($C249="","",ROUND(SUM(基础资料!$B$4:$B$13)+SUM($J$4:J249)-SUM($K$4:K249),2))</f>
        <v/>
      </c>
      <c r="N249" s="13" t="n"/>
      <c r="O249" s="13" t="n"/>
      <c r="P249" s="17">
        <f>IF($B249="","",IF($F249="※类别不在基础资料里","※费用类别不在基础资料里",IF(AND(N($J249)=0,N($K249)=0),"※这行没填金额",IF(AND(N($J249)&gt;0,N($K249)&gt;0),"※收入和支出不能同一行都填",IF(AND($D249="收入",N($J249)=0),"※收入行要填收入金额",IF(AND($D249="支出",N($K249)=0),"※支出行要填支出金额",IF(AND($C249&lt;&gt;"",ISNA(MATCH($C249,账户表,0))),"※账户不在基础资料里",IF(AND($G249&lt;&gt;"",ISNA(MATCH($G249,项目名表,0))),"※项目不在项目台账里",IF(AND(LEFT($F249,3)="成本-",$G249=""),"※成本类支出没填项目",IF(AND(LEFT($F249,3)="成本-",$H249&lt;&gt;"",N($K249)&gt;0,COUNTIFS(采购单!$B:$B,$B249,采购单!$C:$C,$H249,采购单!$L:$L,$K249)&gt;0),"※这笔可能和采购单重复了",""))))))))))</f>
        <v/>
      </c>
    </row>
    <row r="250">
      <c r="A250" s="17">
        <f>IF($B250="","",ROW()-3)</f>
        <v/>
      </c>
      <c r="B250" s="18" t="n">
        <v>46127</v>
      </c>
      <c r="C250" s="13" t="inlineStr">
        <is>
          <t>微信1</t>
        </is>
      </c>
      <c r="D250" s="13" t="inlineStr">
        <is>
          <t>支出</t>
        </is>
      </c>
      <c r="E250" s="13" t="inlineStr">
        <is>
          <t>其他管理费用</t>
        </is>
      </c>
      <c r="F250" s="17">
        <f>IF($E250="","",IFERROR(VLOOKUP($E250,类别归属,2,0),"※类别不在基础资料里"))</f>
        <v/>
      </c>
      <c r="G250" s="13" t="n"/>
      <c r="H250" s="13" t="n"/>
      <c r="I250" s="13" t="inlineStr">
        <is>
          <t>杨德报销费用</t>
        </is>
      </c>
      <c r="J250" s="14" t="n"/>
      <c r="K250" s="14" t="n">
        <v>790</v>
      </c>
      <c r="L250" s="19">
        <f>IF($C250="","",ROUND(IFERROR(VLOOKUP($C250,账户期初,2,0),0)+SUMIFS($J$4:J250,$C$4:C250,$C250)-SUMIFS($K$4:K250,$C$4:C250,$C250),2))</f>
        <v/>
      </c>
      <c r="M250" s="19">
        <f>IF($C250="","",ROUND(SUM(基础资料!$B$4:$B$13)+SUM($J$4:J250)-SUM($K$4:K250),2))</f>
        <v/>
      </c>
      <c r="N250" s="13" t="n"/>
      <c r="O250" s="13" t="n"/>
      <c r="P250" s="17">
        <f>IF($B250="","",IF($F250="※类别不在基础资料里","※费用类别不在基础资料里",IF(AND(N($J250)=0,N($K250)=0),"※这行没填金额",IF(AND(N($J250)&gt;0,N($K250)&gt;0),"※收入和支出不能同一行都填",IF(AND($D250="收入",N($J250)=0),"※收入行要填收入金额",IF(AND($D250="支出",N($K250)=0),"※支出行要填支出金额",IF(AND($C250&lt;&gt;"",ISNA(MATCH($C250,账户表,0))),"※账户不在基础资料里",IF(AND($G250&lt;&gt;"",ISNA(MATCH($G250,项目名表,0))),"※项目不在项目台账里",IF(AND(LEFT($F250,3)="成本-",$G250=""),"※成本类支出没填项目",IF(AND(LEFT($F250,3)="成本-",$H250&lt;&gt;"",N($K250)&gt;0,COUNTIFS(采购单!$B:$B,$B250,采购单!$C:$C,$H250,采购单!$L:$L,$K250)&gt;0),"※这笔可能和采购单重复了",""))))))))))</f>
        <v/>
      </c>
    </row>
    <row r="251">
      <c r="A251" s="17">
        <f>IF($B251="","",ROW()-3)</f>
        <v/>
      </c>
      <c r="B251" s="18" t="n">
        <v>46127</v>
      </c>
      <c r="C251" s="13" t="inlineStr">
        <is>
          <t>微信1</t>
        </is>
      </c>
      <c r="D251" s="13" t="inlineStr">
        <is>
          <t>收入</t>
        </is>
      </c>
      <c r="E251" s="13" t="inlineStr">
        <is>
          <t>项目收款</t>
        </is>
      </c>
      <c r="F251" s="17">
        <f>IF($E251="","",IFERROR(VLOOKUP($E251,类别归属,2,0),"※类别不在基础资料里"))</f>
        <v/>
      </c>
      <c r="G251" s="13" t="inlineStr">
        <is>
          <t>范博嘉超市</t>
        </is>
      </c>
      <c r="H251" s="13" t="n"/>
      <c r="I251" s="13" t="inlineStr">
        <is>
          <t>范博嘉超市定金</t>
        </is>
      </c>
      <c r="J251" s="14" t="n">
        <v>1000</v>
      </c>
      <c r="K251" s="14" t="n"/>
      <c r="L251" s="19">
        <f>IF($C251="","",ROUND(IFERROR(VLOOKUP($C251,账户期初,2,0),0)+SUMIFS($J$4:J251,$C$4:C251,$C251)-SUMIFS($K$4:K251,$C$4:C251,$C251),2))</f>
        <v/>
      </c>
      <c r="M251" s="19">
        <f>IF($C251="","",ROUND(SUM(基础资料!$B$4:$B$13)+SUM($J$4:J251)-SUM($K$4:K251),2))</f>
        <v/>
      </c>
      <c r="N251" s="13" t="n"/>
      <c r="O251" s="13" t="n"/>
      <c r="P251" s="17">
        <f>IF($B251="","",IF($F251="※类别不在基础资料里","※费用类别不在基础资料里",IF(AND(N($J251)=0,N($K251)=0),"※这行没填金额",IF(AND(N($J251)&gt;0,N($K251)&gt;0),"※收入和支出不能同一行都填",IF(AND($D251="收入",N($J251)=0),"※收入行要填收入金额",IF(AND($D251="支出",N($K251)=0),"※支出行要填支出金额",IF(AND($C251&lt;&gt;"",ISNA(MATCH($C251,账户表,0))),"※账户不在基础资料里",IF(AND($G251&lt;&gt;"",ISNA(MATCH($G251,项目名表,0))),"※项目不在项目台账里",IF(AND(LEFT($F251,3)="成本-",$G251=""),"※成本类支出没填项目",IF(AND(LEFT($F251,3)="成本-",$H251&lt;&gt;"",N($K251)&gt;0,COUNTIFS(采购单!$B:$B,$B251,采购单!$C:$C,$H251,采购单!$L:$L,$K251)&gt;0),"※这笔可能和采购单重复了",""))))))))))</f>
        <v/>
      </c>
    </row>
    <row r="252">
      <c r="A252" s="17">
        <f>IF($B252="","",ROW()-3)</f>
        <v/>
      </c>
      <c r="B252" s="18" t="n">
        <v>46127</v>
      </c>
      <c r="C252" s="13" t="inlineStr">
        <is>
          <t>微信1</t>
        </is>
      </c>
      <c r="D252" s="13" t="inlineStr">
        <is>
          <t>收入</t>
        </is>
      </c>
      <c r="E252" s="13" t="inlineStr">
        <is>
          <t>项目收款</t>
        </is>
      </c>
      <c r="F252" s="17">
        <f>IF($E252="","",IFERROR(VLOOKUP($E252,类别归属,2,0),"※类别不在基础资料里"))</f>
        <v/>
      </c>
      <c r="G252" s="13" t="inlineStr">
        <is>
          <t>小谷姐姐</t>
        </is>
      </c>
      <c r="H252" s="13" t="n"/>
      <c r="I252" s="13" t="inlineStr">
        <is>
          <t>小谷姐姐余款（欠2670）</t>
        </is>
      </c>
      <c r="J252" s="14" t="n">
        <v>3000</v>
      </c>
      <c r="K252" s="14" t="n"/>
      <c r="L252" s="19">
        <f>IF($C252="","",ROUND(IFERROR(VLOOKUP($C252,账户期初,2,0),0)+SUMIFS($J$4:J252,$C$4:C252,$C252)-SUMIFS($K$4:K252,$C$4:C252,$C252),2))</f>
        <v/>
      </c>
      <c r="M252" s="19">
        <f>IF($C252="","",ROUND(SUM(基础资料!$B$4:$B$13)+SUM($J$4:J252)-SUM($K$4:K252),2))</f>
        <v/>
      </c>
      <c r="N252" s="13" t="n"/>
      <c r="O252" s="13" t="n"/>
      <c r="P252" s="17">
        <f>IF($B252="","",IF($F252="※类别不在基础资料里","※费用类别不在基础资料里",IF(AND(N($J252)=0,N($K252)=0),"※这行没填金额",IF(AND(N($J252)&gt;0,N($K252)&gt;0),"※收入和支出不能同一行都填",IF(AND($D252="收入",N($J252)=0),"※收入行要填收入金额",IF(AND($D252="支出",N($K252)=0),"※支出行要填支出金额",IF(AND($C252&lt;&gt;"",ISNA(MATCH($C252,账户表,0))),"※账户不在基础资料里",IF(AND($G252&lt;&gt;"",ISNA(MATCH($G252,项目名表,0))),"※项目不在项目台账里",IF(AND(LEFT($F252,3)="成本-",$G252=""),"※成本类支出没填项目",IF(AND(LEFT($F252,3)="成本-",$H252&lt;&gt;"",N($K252)&gt;0,COUNTIFS(采购单!$B:$B,$B252,采购单!$C:$C,$H252,采购单!$L:$L,$K252)&gt;0),"※这笔可能和采购单重复了",""))))))))))</f>
        <v/>
      </c>
    </row>
    <row r="253">
      <c r="A253" s="17">
        <f>IF($B253="","",ROW()-3)</f>
        <v/>
      </c>
      <c r="B253" s="18" t="n">
        <v>46127</v>
      </c>
      <c r="C253" s="13" t="inlineStr">
        <is>
          <t>微信1</t>
        </is>
      </c>
      <c r="D253" s="13" t="inlineStr">
        <is>
          <t>收入</t>
        </is>
      </c>
      <c r="E253" s="13" t="inlineStr">
        <is>
          <t>项目收款</t>
        </is>
      </c>
      <c r="F253" s="17">
        <f>IF($E253="","",IFERROR(VLOOKUP($E253,类别归属,2,0),"※类别不在基础资料里"))</f>
        <v/>
      </c>
      <c r="G253" s="13" t="inlineStr">
        <is>
          <t>民盛生鲜店</t>
        </is>
      </c>
      <c r="H253" s="13" t="n"/>
      <c r="I253" s="13" t="inlineStr">
        <is>
          <t>民盛生鲜店-物料</t>
        </is>
      </c>
      <c r="J253" s="14" t="n">
        <v>200</v>
      </c>
      <c r="K253" s="14" t="n"/>
      <c r="L253" s="19">
        <f>IF($C253="","",ROUND(IFERROR(VLOOKUP($C253,账户期初,2,0),0)+SUMIFS($J$4:J253,$C$4:C253,$C253)-SUMIFS($K$4:K253,$C$4:C253,$C253),2))</f>
        <v/>
      </c>
      <c r="M253" s="19">
        <f>IF($C253="","",ROUND(SUM(基础资料!$B$4:$B$13)+SUM($J$4:J253)-SUM($K$4:K253),2))</f>
        <v/>
      </c>
      <c r="N253" s="13" t="n"/>
      <c r="O253" s="13" t="n"/>
      <c r="P253" s="17">
        <f>IF($B253="","",IF($F253="※类别不在基础资料里","※费用类别不在基础资料里",IF(AND(N($J253)=0,N($K253)=0),"※这行没填金额",IF(AND(N($J253)&gt;0,N($K253)&gt;0),"※收入和支出不能同一行都填",IF(AND($D253="收入",N($J253)=0),"※收入行要填收入金额",IF(AND($D253="支出",N($K253)=0),"※支出行要填支出金额",IF(AND($C253&lt;&gt;"",ISNA(MATCH($C253,账户表,0))),"※账户不在基础资料里",IF(AND($G253&lt;&gt;"",ISNA(MATCH($G253,项目名表,0))),"※项目不在项目台账里",IF(AND(LEFT($F253,3)="成本-",$G253=""),"※成本类支出没填项目",IF(AND(LEFT($F253,3)="成本-",$H253&lt;&gt;"",N($K253)&gt;0,COUNTIFS(采购单!$B:$B,$B253,采购单!$C:$C,$H253,采购单!$L:$L,$K253)&gt;0),"※这笔可能和采购单重复了",""))))))))))</f>
        <v/>
      </c>
    </row>
    <row r="254">
      <c r="A254" s="17">
        <f>IF($B254="","",ROW()-3)</f>
        <v/>
      </c>
      <c r="B254" s="18" t="n">
        <v>46128</v>
      </c>
      <c r="C254" s="13" t="inlineStr">
        <is>
          <t>微信1</t>
        </is>
      </c>
      <c r="D254" s="13" t="inlineStr">
        <is>
          <t>支出</t>
        </is>
      </c>
      <c r="E254" s="13" t="inlineStr">
        <is>
          <t>办公用品</t>
        </is>
      </c>
      <c r="F254" s="17">
        <f>IF($E254="","",IFERROR(VLOOKUP($E254,类别归属,2,0),"※类别不在基础资料里"))</f>
        <v/>
      </c>
      <c r="G254" s="13" t="n"/>
      <c r="H254" s="13" t="n"/>
      <c r="I254" s="13" t="inlineStr">
        <is>
          <t>买打印机墨水</t>
        </is>
      </c>
      <c r="J254" s="14" t="n"/>
      <c r="K254" s="14" t="n">
        <v>98.58</v>
      </c>
      <c r="L254" s="19">
        <f>IF($C254="","",ROUND(IFERROR(VLOOKUP($C254,账户期初,2,0),0)+SUMIFS($J$4:J254,$C$4:C254,$C254)-SUMIFS($K$4:K254,$C$4:C254,$C254),2))</f>
        <v/>
      </c>
      <c r="M254" s="19">
        <f>IF($C254="","",ROUND(SUM(基础资料!$B$4:$B$13)+SUM($J$4:J254)-SUM($K$4:K254),2))</f>
        <v/>
      </c>
      <c r="N254" s="13" t="n"/>
      <c r="O254" s="13" t="n"/>
      <c r="P254" s="17">
        <f>IF($B254="","",IF($F254="※类别不在基础资料里","※费用类别不在基础资料里",IF(AND(N($J254)=0,N($K254)=0),"※这行没填金额",IF(AND(N($J254)&gt;0,N($K254)&gt;0),"※收入和支出不能同一行都填",IF(AND($D254="收入",N($J254)=0),"※收入行要填收入金额",IF(AND($D254="支出",N($K254)=0),"※支出行要填支出金额",IF(AND($C254&lt;&gt;"",ISNA(MATCH($C254,账户表,0))),"※账户不在基础资料里",IF(AND($G254&lt;&gt;"",ISNA(MATCH($G254,项目名表,0))),"※项目不在项目台账里",IF(AND(LEFT($F254,3)="成本-",$G254=""),"※成本类支出没填项目",IF(AND(LEFT($F254,3)="成本-",$H254&lt;&gt;"",N($K254)&gt;0,COUNTIFS(采购单!$B:$B,$B254,采购单!$C:$C,$H254,采购单!$L:$L,$K254)&gt;0),"※这笔可能和采购单重复了",""))))))))))</f>
        <v/>
      </c>
    </row>
    <row r="255">
      <c r="A255" s="17">
        <f>IF($B255="","",ROW()-3)</f>
        <v/>
      </c>
      <c r="B255" s="18" t="n">
        <v>46128</v>
      </c>
      <c r="C255" s="13" t="inlineStr">
        <is>
          <t>微信1</t>
        </is>
      </c>
      <c r="D255" s="13" t="inlineStr">
        <is>
          <t>收入</t>
        </is>
      </c>
      <c r="E255" s="13" t="inlineStr">
        <is>
          <t>项目收款</t>
        </is>
      </c>
      <c r="F255" s="17">
        <f>IF($E255="","",IFERROR(VLOOKUP($E255,类别归属,2,0),"※类别不在基础资料里"))</f>
        <v/>
      </c>
      <c r="G255" s="13" t="inlineStr">
        <is>
          <t>盛昊篷车</t>
        </is>
      </c>
      <c r="H255" s="13" t="n"/>
      <c r="I255" s="13" t="inlineStr">
        <is>
          <t>雨篷余款</t>
        </is>
      </c>
      <c r="J255" s="14" t="n">
        <v>3700</v>
      </c>
      <c r="K255" s="14" t="n"/>
      <c r="L255" s="19">
        <f>IF($C255="","",ROUND(IFERROR(VLOOKUP($C255,账户期初,2,0),0)+SUMIFS($J$4:J255,$C$4:C255,$C255)-SUMIFS($K$4:K255,$C$4:C255,$C255),2))</f>
        <v/>
      </c>
      <c r="M255" s="19">
        <f>IF($C255="","",ROUND(SUM(基础资料!$B$4:$B$13)+SUM($J$4:J255)-SUM($K$4:K255),2))</f>
        <v/>
      </c>
      <c r="N255" s="13" t="n"/>
      <c r="O255" s="13" t="n"/>
      <c r="P255" s="17">
        <f>IF($B255="","",IF($F255="※类别不在基础资料里","※费用类别不在基础资料里",IF(AND(N($J255)=0,N($K255)=0),"※这行没填金额",IF(AND(N($J255)&gt;0,N($K255)&gt;0),"※收入和支出不能同一行都填",IF(AND($D255="收入",N($J255)=0),"※收入行要填收入金额",IF(AND($D255="支出",N($K255)=0),"※支出行要填支出金额",IF(AND($C255&lt;&gt;"",ISNA(MATCH($C255,账户表,0))),"※账户不在基础资料里",IF(AND($G255&lt;&gt;"",ISNA(MATCH($G255,项目名表,0))),"※项目不在项目台账里",IF(AND(LEFT($F255,3)="成本-",$G255=""),"※成本类支出没填项目",IF(AND(LEFT($F255,3)="成本-",$H255&lt;&gt;"",N($K255)&gt;0,COUNTIFS(采购单!$B:$B,$B255,采购单!$C:$C,$H255,采购单!$L:$L,$K255)&gt;0),"※这笔可能和采购单重复了",""))))))))))</f>
        <v/>
      </c>
    </row>
    <row r="256">
      <c r="A256" s="17">
        <f>IF($B256="","",ROW()-3)</f>
        <v/>
      </c>
      <c r="B256" s="18" t="n">
        <v>46128</v>
      </c>
      <c r="C256" s="13" t="inlineStr">
        <is>
          <t>微信1</t>
        </is>
      </c>
      <c r="D256" s="13" t="inlineStr">
        <is>
          <t>支出</t>
        </is>
      </c>
      <c r="E256" s="13" t="inlineStr">
        <is>
          <t>运费/快递费</t>
        </is>
      </c>
      <c r="F256" s="17">
        <f>IF($E256="","",IFERROR(VLOOKUP($E256,类别归属,2,0),"※类别不在基础资料里"))</f>
        <v/>
      </c>
      <c r="G256" s="13" t="inlineStr">
        <is>
          <t>芭比贝克</t>
        </is>
      </c>
      <c r="H256" s="13" t="inlineStr">
        <is>
          <t>炳秀</t>
        </is>
      </c>
      <c r="I256" s="13" t="inlineStr">
        <is>
          <t>付炳秀配送</t>
        </is>
      </c>
      <c r="J256" s="14" t="n"/>
      <c r="K256" s="14" t="n">
        <v>5</v>
      </c>
      <c r="L256" s="19">
        <f>IF($C256="","",ROUND(IFERROR(VLOOKUP($C256,账户期初,2,0),0)+SUMIFS($J$4:J256,$C$4:C256,$C256)-SUMIFS($K$4:K256,$C$4:C256,$C256),2))</f>
        <v/>
      </c>
      <c r="M256" s="19">
        <f>IF($C256="","",ROUND(SUM(基础资料!$B$4:$B$13)+SUM($J$4:J256)-SUM($K$4:K256),2))</f>
        <v/>
      </c>
      <c r="N256" s="13" t="n"/>
      <c r="O256" s="13" t="inlineStr">
        <is>
          <t>117</t>
        </is>
      </c>
      <c r="P256" s="17">
        <f>IF($B256="","",IF($F256="※类别不在基础资料里","※费用类别不在基础资料里",IF(AND(N($J256)=0,N($K256)=0),"※这行没填金额",IF(AND(N($J256)&gt;0,N($K256)&gt;0),"※收入和支出不能同一行都填",IF(AND($D256="收入",N($J256)=0),"※收入行要填收入金额",IF(AND($D256="支出",N($K256)=0),"※支出行要填支出金额",IF(AND($C256&lt;&gt;"",ISNA(MATCH($C256,账户表,0))),"※账户不在基础资料里",IF(AND($G256&lt;&gt;"",ISNA(MATCH($G256,项目名表,0))),"※项目不在项目台账里",IF(AND(LEFT($F256,3)="成本-",$G256=""),"※成本类支出没填项目",IF(AND(LEFT($F256,3)="成本-",$H256&lt;&gt;"",N($K256)&gt;0,COUNTIFS(采购单!$B:$B,$B256,采购单!$C:$C,$H256,采购单!$L:$L,$K256)&gt;0),"※这笔可能和采购单重复了",""))))))))))</f>
        <v/>
      </c>
    </row>
    <row r="257">
      <c r="A257" s="17">
        <f>IF($B257="","",ROW()-3)</f>
        <v/>
      </c>
      <c r="B257" s="18" t="n">
        <v>46128</v>
      </c>
      <c r="C257" s="13" t="inlineStr">
        <is>
          <t>微信1</t>
        </is>
      </c>
      <c r="D257" s="13" t="inlineStr">
        <is>
          <t>支出</t>
        </is>
      </c>
      <c r="E257" s="13" t="inlineStr">
        <is>
          <t>运费/快递费</t>
        </is>
      </c>
      <c r="F257" s="17">
        <f>IF($E257="","",IFERROR(VLOOKUP($E257,类别归属,2,0),"※类别不在基础资料里"))</f>
        <v/>
      </c>
      <c r="G257" s="13" t="inlineStr">
        <is>
          <t>范博嘉超市</t>
        </is>
      </c>
      <c r="H257" s="13" t="inlineStr">
        <is>
          <t>炳秀</t>
        </is>
      </c>
      <c r="I257" s="13" t="inlineStr">
        <is>
          <t>付炳秀配送</t>
        </is>
      </c>
      <c r="J257" s="14" t="n"/>
      <c r="K257" s="14" t="n">
        <v>88</v>
      </c>
      <c r="L257" s="19">
        <f>IF($C257="","",ROUND(IFERROR(VLOOKUP($C257,账户期初,2,0),0)+SUMIFS($J$4:J257,$C$4:C257,$C257)-SUMIFS($K$4:K257,$C$4:C257,$C257),2))</f>
        <v/>
      </c>
      <c r="M257" s="19">
        <f>IF($C257="","",ROUND(SUM(基础资料!$B$4:$B$13)+SUM($J$4:J257)-SUM($K$4:K257),2))</f>
        <v/>
      </c>
      <c r="N257" s="13" t="n"/>
      <c r="O257" s="13" t="n"/>
      <c r="P257" s="17">
        <f>IF($B257="","",IF($F257="※类别不在基础资料里","※费用类别不在基础资料里",IF(AND(N($J257)=0,N($K257)=0),"※这行没填金额",IF(AND(N($J257)&gt;0,N($K257)&gt;0),"※收入和支出不能同一行都填",IF(AND($D257="收入",N($J257)=0),"※收入行要填收入金额",IF(AND($D257="支出",N($K257)=0),"※支出行要填支出金额",IF(AND($C257&lt;&gt;"",ISNA(MATCH($C257,账户表,0))),"※账户不在基础资料里",IF(AND($G257&lt;&gt;"",ISNA(MATCH($G257,项目名表,0))),"※项目不在项目台账里",IF(AND(LEFT($F257,3)="成本-",$G257=""),"※成本类支出没填项目",IF(AND(LEFT($F257,3)="成本-",$H257&lt;&gt;"",N($K257)&gt;0,COUNTIFS(采购单!$B:$B,$B257,采购单!$C:$C,$H257,采购单!$L:$L,$K257)&gt;0),"※这笔可能和采购单重复了",""))))))))))</f>
        <v/>
      </c>
    </row>
    <row r="258">
      <c r="A258" s="17">
        <f>IF($B258="","",ROW()-3)</f>
        <v/>
      </c>
      <c r="B258" s="18" t="n">
        <v>46128</v>
      </c>
      <c r="C258" s="13" t="inlineStr">
        <is>
          <t>微信1</t>
        </is>
      </c>
      <c r="D258" s="13" t="inlineStr">
        <is>
          <t>支出</t>
        </is>
      </c>
      <c r="E258" s="13" t="inlineStr">
        <is>
          <t>运费/快递费</t>
        </is>
      </c>
      <c r="F258" s="17">
        <f>IF($E258="","",IFERROR(VLOOKUP($E258,类别归属,2,0),"※类别不在基础资料里"))</f>
        <v/>
      </c>
      <c r="G258" s="13" t="inlineStr">
        <is>
          <t>织里店</t>
        </is>
      </c>
      <c r="H258" s="13" t="inlineStr">
        <is>
          <t>炳秀</t>
        </is>
      </c>
      <c r="I258" s="13" t="inlineStr">
        <is>
          <t>付炳秀配送</t>
        </is>
      </c>
      <c r="J258" s="14" t="n"/>
      <c r="K258" s="14" t="n">
        <v>24</v>
      </c>
      <c r="L258" s="19">
        <f>IF($C258="","",ROUND(IFERROR(VLOOKUP($C258,账户期初,2,0),0)+SUMIFS($J$4:J258,$C$4:C258,$C258)-SUMIFS($K$4:K258,$C$4:C258,$C258),2))</f>
        <v/>
      </c>
      <c r="M258" s="19">
        <f>IF($C258="","",ROUND(SUM(基础资料!$B$4:$B$13)+SUM($J$4:J258)-SUM($K$4:K258),2))</f>
        <v/>
      </c>
      <c r="N258" s="13" t="n"/>
      <c r="O258" s="13" t="n"/>
      <c r="P258" s="17">
        <f>IF($B258="","",IF($F258="※类别不在基础资料里","※费用类别不在基础资料里",IF(AND(N($J258)=0,N($K258)=0),"※这行没填金额",IF(AND(N($J258)&gt;0,N($K258)&gt;0),"※收入和支出不能同一行都填",IF(AND($D258="收入",N($J258)=0),"※收入行要填收入金额",IF(AND($D258="支出",N($K258)=0),"※支出行要填支出金额",IF(AND($C258&lt;&gt;"",ISNA(MATCH($C258,账户表,0))),"※账户不在基础资料里",IF(AND($G258&lt;&gt;"",ISNA(MATCH($G258,项目名表,0))),"※项目不在项目台账里",IF(AND(LEFT($F258,3)="成本-",$G258=""),"※成本类支出没填项目",IF(AND(LEFT($F258,3)="成本-",$H258&lt;&gt;"",N($K258)&gt;0,COUNTIFS(采购单!$B:$B,$B258,采购单!$C:$C,$H258,采购单!$L:$L,$K258)&gt;0),"※这笔可能和采购单重复了",""))))))))))</f>
        <v/>
      </c>
    </row>
    <row r="259">
      <c r="A259" s="17">
        <f>IF($B259="","",ROW()-3)</f>
        <v/>
      </c>
      <c r="B259" s="18" t="n">
        <v>46129</v>
      </c>
      <c r="C259" s="13" t="inlineStr">
        <is>
          <t>微信1</t>
        </is>
      </c>
      <c r="D259" s="13" t="inlineStr">
        <is>
          <t>支出</t>
        </is>
      </c>
      <c r="E259" s="13" t="inlineStr">
        <is>
          <t>主材采购</t>
        </is>
      </c>
      <c r="F259" s="17">
        <f>IF($E259="","",IFERROR(VLOOKUP($E259,类别归属,2,0),"※类别不在基础资料里"))</f>
        <v/>
      </c>
      <c r="G259" s="13" t="inlineStr">
        <is>
          <t>睿芯行</t>
        </is>
      </c>
      <c r="H259" s="13" t="n"/>
      <c r="I259" s="13" t="inlineStr">
        <is>
          <t>收睿芯行补文化墙-三青鸟UV雕刻</t>
        </is>
      </c>
      <c r="J259" s="14" t="n"/>
      <c r="K259" s="14" t="n">
        <v>240</v>
      </c>
      <c r="L259" s="19">
        <f>IF($C259="","",ROUND(IFERROR(VLOOKUP($C259,账户期初,2,0),0)+SUMIFS($J$4:J259,$C$4:C259,$C259)-SUMIFS($K$4:K259,$C$4:C259,$C259),2))</f>
        <v/>
      </c>
      <c r="M259" s="19">
        <f>IF($C259="","",ROUND(SUM(基础资料!$B$4:$B$13)+SUM($J$4:J259)-SUM($K$4:K259),2))</f>
        <v/>
      </c>
      <c r="N259" s="13" t="n"/>
      <c r="O259" s="13" t="n"/>
      <c r="P259" s="17">
        <f>IF($B259="","",IF($F259="※类别不在基础资料里","※费用类别不在基础资料里",IF(AND(N($J259)=0,N($K259)=0),"※这行没填金额",IF(AND(N($J259)&gt;0,N($K259)&gt;0),"※收入和支出不能同一行都填",IF(AND($D259="收入",N($J259)=0),"※收入行要填收入金额",IF(AND($D259="支出",N($K259)=0),"※支出行要填支出金额",IF(AND($C259&lt;&gt;"",ISNA(MATCH($C259,账户表,0))),"※账户不在基础资料里",IF(AND($G259&lt;&gt;"",ISNA(MATCH($G259,项目名表,0))),"※项目不在项目台账里",IF(AND(LEFT($F259,3)="成本-",$G259=""),"※成本类支出没填项目",IF(AND(LEFT($F259,3)="成本-",$H259&lt;&gt;"",N($K259)&gt;0,COUNTIFS(采购单!$B:$B,$B259,采购单!$C:$C,$H259,采购单!$L:$L,$K259)&gt;0),"※这笔可能和采购单重复了",""))))))))))</f>
        <v/>
      </c>
    </row>
    <row r="260">
      <c r="A260" s="17">
        <f>IF($B260="","",ROW()-3)</f>
        <v/>
      </c>
      <c r="B260" s="18" t="n">
        <v>46129</v>
      </c>
      <c r="C260" s="13" t="inlineStr">
        <is>
          <t>微信1</t>
        </is>
      </c>
      <c r="D260" s="13" t="inlineStr">
        <is>
          <t>支出</t>
        </is>
      </c>
      <c r="E260" s="13" t="inlineStr">
        <is>
          <t>待分类</t>
        </is>
      </c>
      <c r="F260" s="17">
        <f>IF($E260="","",IFERROR(VLOOKUP($E260,类别归属,2,0),"※类别不在基础资料里"))</f>
        <v/>
      </c>
      <c r="G260" s="13" t="n"/>
      <c r="H260" s="13" t="n"/>
      <c r="I260" s="13" t="inlineStr">
        <is>
          <t>付杨德日报奖</t>
        </is>
      </c>
      <c r="J260" s="14" t="n"/>
      <c r="K260" s="14" t="n">
        <v>465</v>
      </c>
      <c r="L260" s="19">
        <f>IF($C260="","",ROUND(IFERROR(VLOOKUP($C260,账户期初,2,0),0)+SUMIFS($J$4:J260,$C$4:C260,$C260)-SUMIFS($K$4:K260,$C$4:C260,$C260),2))</f>
        <v/>
      </c>
      <c r="M260" s="19">
        <f>IF($C260="","",ROUND(SUM(基础资料!$B$4:$B$13)+SUM($J$4:J260)-SUM($K$4:K260),2))</f>
        <v/>
      </c>
      <c r="N260" s="13" t="n"/>
      <c r="O260" s="13" t="n"/>
      <c r="P260" s="17">
        <f>IF($B260="","",IF($F260="※类别不在基础资料里","※费用类别不在基础资料里",IF(AND(N($J260)=0,N($K260)=0),"※这行没填金额",IF(AND(N($J260)&gt;0,N($K260)&gt;0),"※收入和支出不能同一行都填",IF(AND($D260="收入",N($J260)=0),"※收入行要填收入金额",IF(AND($D260="支出",N($K260)=0),"※支出行要填支出金额",IF(AND($C260&lt;&gt;"",ISNA(MATCH($C260,账户表,0))),"※账户不在基础资料里",IF(AND($G260&lt;&gt;"",ISNA(MATCH($G260,项目名表,0))),"※项目不在项目台账里",IF(AND(LEFT($F260,3)="成本-",$G260=""),"※成本类支出没填项目",IF(AND(LEFT($F260,3)="成本-",$H260&lt;&gt;"",N($K260)&gt;0,COUNTIFS(采购单!$B:$B,$B260,采购单!$C:$C,$H260,采购单!$L:$L,$K260)&gt;0),"※这笔可能和采购单重复了",""))))))))))</f>
        <v/>
      </c>
    </row>
    <row r="261">
      <c r="A261" s="17">
        <f>IF($B261="","",ROW()-3)</f>
        <v/>
      </c>
      <c r="B261" s="18" t="n">
        <v>46129</v>
      </c>
      <c r="C261" s="13" t="inlineStr">
        <is>
          <t>微信1</t>
        </is>
      </c>
      <c r="D261" s="13" t="inlineStr">
        <is>
          <t>支出</t>
        </is>
      </c>
      <c r="E261" s="13" t="inlineStr">
        <is>
          <t>待分类</t>
        </is>
      </c>
      <c r="F261" s="17">
        <f>IF($E261="","",IFERROR(VLOOKUP($E261,类别归属,2,0),"※类别不在基础资料里"))</f>
        <v/>
      </c>
      <c r="G261" s="13" t="n"/>
      <c r="H261" s="13" t="n"/>
      <c r="I261" s="13" t="inlineStr">
        <is>
          <t>付徐可欣日报奖</t>
        </is>
      </c>
      <c r="J261" s="14" t="n"/>
      <c r="K261" s="14" t="n">
        <v>465</v>
      </c>
      <c r="L261" s="19">
        <f>IF($C261="","",ROUND(IFERROR(VLOOKUP($C261,账户期初,2,0),0)+SUMIFS($J$4:J261,$C$4:C261,$C261)-SUMIFS($K$4:K261,$C$4:C261,$C261),2))</f>
        <v/>
      </c>
      <c r="M261" s="19">
        <f>IF($C261="","",ROUND(SUM(基础资料!$B$4:$B$13)+SUM($J$4:J261)-SUM($K$4:K261),2))</f>
        <v/>
      </c>
      <c r="N261" s="13" t="n"/>
      <c r="O261" s="13" t="n"/>
      <c r="P261" s="17">
        <f>IF($B261="","",IF($F261="※类别不在基础资料里","※费用类别不在基础资料里",IF(AND(N($J261)=0,N($K261)=0),"※这行没填金额",IF(AND(N($J261)&gt;0,N($K261)&gt;0),"※收入和支出不能同一行都填",IF(AND($D261="收入",N($J261)=0),"※收入行要填收入金额",IF(AND($D261="支出",N($K261)=0),"※支出行要填支出金额",IF(AND($C261&lt;&gt;"",ISNA(MATCH($C261,账户表,0))),"※账户不在基础资料里",IF(AND($G261&lt;&gt;"",ISNA(MATCH($G261,项目名表,0))),"※项目不在项目台账里",IF(AND(LEFT($F261,3)="成本-",$G261=""),"※成本类支出没填项目",IF(AND(LEFT($F261,3)="成本-",$H261&lt;&gt;"",N($K261)&gt;0,COUNTIFS(采购单!$B:$B,$B261,采购单!$C:$C,$H261,采购单!$L:$L,$K261)&gt;0),"※这笔可能和采购单重复了",""))))))))))</f>
        <v/>
      </c>
    </row>
    <row r="262">
      <c r="A262" s="17">
        <f>IF($B262="","",ROW()-3)</f>
        <v/>
      </c>
      <c r="B262" s="18" t="n">
        <v>46129</v>
      </c>
      <c r="C262" s="13" t="inlineStr">
        <is>
          <t>微信1</t>
        </is>
      </c>
      <c r="D262" s="13" t="inlineStr">
        <is>
          <t>支出</t>
        </is>
      </c>
      <c r="E262" s="13" t="inlineStr">
        <is>
          <t>待分类</t>
        </is>
      </c>
      <c r="F262" s="17">
        <f>IF($E262="","",IFERROR(VLOOKUP($E262,类别归属,2,0),"※类别不在基础资料里"))</f>
        <v/>
      </c>
      <c r="G262" s="13" t="n"/>
      <c r="H262" s="13" t="n"/>
      <c r="I262" s="13" t="inlineStr">
        <is>
          <t>付凌宇日报奖</t>
        </is>
      </c>
      <c r="J262" s="14" t="n"/>
      <c r="K262" s="14" t="n">
        <v>450</v>
      </c>
      <c r="L262" s="19">
        <f>IF($C262="","",ROUND(IFERROR(VLOOKUP($C262,账户期初,2,0),0)+SUMIFS($J$4:J262,$C$4:C262,$C262)-SUMIFS($K$4:K262,$C$4:C262,$C262),2))</f>
        <v/>
      </c>
      <c r="M262" s="19">
        <f>IF($C262="","",ROUND(SUM(基础资料!$B$4:$B$13)+SUM($J$4:J262)-SUM($K$4:K262),2))</f>
        <v/>
      </c>
      <c r="N262" s="13" t="n"/>
      <c r="O262" s="13" t="n"/>
      <c r="P262" s="17">
        <f>IF($B262="","",IF($F262="※类别不在基础资料里","※费用类别不在基础资料里",IF(AND(N($J262)=0,N($K262)=0),"※这行没填金额",IF(AND(N($J262)&gt;0,N($K262)&gt;0),"※收入和支出不能同一行都填",IF(AND($D262="收入",N($J262)=0),"※收入行要填收入金额",IF(AND($D262="支出",N($K262)=0),"※支出行要填支出金额",IF(AND($C262&lt;&gt;"",ISNA(MATCH($C262,账户表,0))),"※账户不在基础资料里",IF(AND($G262&lt;&gt;"",ISNA(MATCH($G262,项目名表,0))),"※项目不在项目台账里",IF(AND(LEFT($F262,3)="成本-",$G262=""),"※成本类支出没填项目",IF(AND(LEFT($F262,3)="成本-",$H262&lt;&gt;"",N($K262)&gt;0,COUNTIFS(采购单!$B:$B,$B262,采购单!$C:$C,$H262,采购单!$L:$L,$K262)&gt;0),"※这笔可能和采购单重复了",""))))))))))</f>
        <v/>
      </c>
    </row>
    <row r="263">
      <c r="A263" s="17">
        <f>IF($B263="","",ROW()-3)</f>
        <v/>
      </c>
      <c r="B263" s="18" t="n">
        <v>46129</v>
      </c>
      <c r="C263" s="13" t="inlineStr">
        <is>
          <t>微信1</t>
        </is>
      </c>
      <c r="D263" s="13" t="inlineStr">
        <is>
          <t>收入</t>
        </is>
      </c>
      <c r="E263" s="13" t="inlineStr">
        <is>
          <t>项目收款</t>
        </is>
      </c>
      <c r="F263" s="17">
        <f>IF($E263="","",IFERROR(VLOOKUP($E263,类别归属,2,0),"※类别不在基础资料里"))</f>
        <v/>
      </c>
      <c r="G263" s="13" t="inlineStr">
        <is>
          <t>民盛生鲜店</t>
        </is>
      </c>
      <c r="H263" s="13" t="n"/>
      <c r="I263" s="13" t="inlineStr">
        <is>
          <t>收民盛生鲜店（刘磊）-尾款</t>
        </is>
      </c>
      <c r="J263" s="14" t="n">
        <v>1000</v>
      </c>
      <c r="K263" s="14" t="n"/>
      <c r="L263" s="19">
        <f>IF($C263="","",ROUND(IFERROR(VLOOKUP($C263,账户期初,2,0),0)+SUMIFS($J$4:J263,$C$4:C263,$C263)-SUMIFS($K$4:K263,$C$4:C263,$C263),2))</f>
        <v/>
      </c>
      <c r="M263" s="19">
        <f>IF($C263="","",ROUND(SUM(基础资料!$B$4:$B$13)+SUM($J$4:J263)-SUM($K$4:K263),2))</f>
        <v/>
      </c>
      <c r="N263" s="13" t="n"/>
      <c r="O263" s="13" t="n"/>
      <c r="P263" s="17">
        <f>IF($B263="","",IF($F263="※类别不在基础资料里","※费用类别不在基础资料里",IF(AND(N($J263)=0,N($K263)=0),"※这行没填金额",IF(AND(N($J263)&gt;0,N($K263)&gt;0),"※收入和支出不能同一行都填",IF(AND($D263="收入",N($J263)=0),"※收入行要填收入金额",IF(AND($D263="支出",N($K263)=0),"※支出行要填支出金额",IF(AND($C263&lt;&gt;"",ISNA(MATCH($C263,账户表,0))),"※账户不在基础资料里",IF(AND($G263&lt;&gt;"",ISNA(MATCH($G263,项目名表,0))),"※项目不在项目台账里",IF(AND(LEFT($F263,3)="成本-",$G263=""),"※成本类支出没填项目",IF(AND(LEFT($F263,3)="成本-",$H263&lt;&gt;"",N($K263)&gt;0,COUNTIFS(采购单!$B:$B,$B263,采购单!$C:$C,$H263,采购单!$L:$L,$K263)&gt;0),"※这笔可能和采购单重复了",""))))))))))</f>
        <v/>
      </c>
    </row>
    <row r="264">
      <c r="A264" s="17">
        <f>IF($B264="","",ROW()-3)</f>
        <v/>
      </c>
      <c r="B264" s="18" t="n">
        <v>46129</v>
      </c>
      <c r="C264" s="13" t="inlineStr">
        <is>
          <t>微信1</t>
        </is>
      </c>
      <c r="D264" s="13" t="inlineStr">
        <is>
          <t>支出</t>
        </is>
      </c>
      <c r="E264" s="13" t="inlineStr">
        <is>
          <t>安装工资</t>
        </is>
      </c>
      <c r="F264" s="17">
        <f>IF($E264="","",IFERROR(VLOOKUP($E264,类别归属,2,0),"※类别不在基础资料里"))</f>
        <v/>
      </c>
      <c r="G264" s="13" t="n"/>
      <c r="H264" s="13" t="n"/>
      <c r="I264" s="13" t="inlineStr">
        <is>
          <t>付安装工资-姚泰安</t>
        </is>
      </c>
      <c r="J264" s="14" t="n"/>
      <c r="K264" s="14" t="n">
        <v>820</v>
      </c>
      <c r="L264" s="19">
        <f>IF($C264="","",ROUND(IFERROR(VLOOKUP($C264,账户期初,2,0),0)+SUMIFS($J$4:J264,$C$4:C264,$C264)-SUMIFS($K$4:K264,$C$4:C264,$C264),2))</f>
        <v/>
      </c>
      <c r="M264" s="19">
        <f>IF($C264="","",ROUND(SUM(基础资料!$B$4:$B$13)+SUM($J$4:J264)-SUM($K$4:K264),2))</f>
        <v/>
      </c>
      <c r="N264" s="13" t="n"/>
      <c r="O264" s="13" t="inlineStr">
        <is>
          <t>4.17凌宇实存6893.94</t>
        </is>
      </c>
      <c r="P264" s="17">
        <f>IF($B264="","",IF($F264="※类别不在基础资料里","※费用类别不在基础资料里",IF(AND(N($J264)=0,N($K264)=0),"※这行没填金额",IF(AND(N($J264)&gt;0,N($K264)&gt;0),"※收入和支出不能同一行都填",IF(AND($D264="收入",N($J264)=0),"※收入行要填收入金额",IF(AND($D264="支出",N($K264)=0),"※支出行要填支出金额",IF(AND($C264&lt;&gt;"",ISNA(MATCH($C264,账户表,0))),"※账户不在基础资料里",IF(AND($G264&lt;&gt;"",ISNA(MATCH($G264,项目名表,0))),"※项目不在项目台账里",IF(AND(LEFT($F264,3)="成本-",$G264=""),"※成本类支出没填项目",IF(AND(LEFT($F264,3)="成本-",$H264&lt;&gt;"",N($K264)&gt;0,COUNTIFS(采购单!$B:$B,$B264,采购单!$C:$C,$H264,采购单!$L:$L,$K264)&gt;0),"※这笔可能和采购单重复了",""))))))))))</f>
        <v/>
      </c>
    </row>
    <row r="265">
      <c r="A265" s="17">
        <f>IF($B265="","",ROW()-3)</f>
        <v/>
      </c>
      <c r="B265" s="18" t="n">
        <v>46129</v>
      </c>
      <c r="C265" s="13" t="inlineStr">
        <is>
          <t>微信1</t>
        </is>
      </c>
      <c r="D265" s="13" t="inlineStr">
        <is>
          <t>支出</t>
        </is>
      </c>
      <c r="E265" s="13" t="inlineStr">
        <is>
          <t>运费/快递费</t>
        </is>
      </c>
      <c r="F265" s="17">
        <f>IF($E265="","",IFERROR(VLOOKUP($E265,类别归属,2,0),"※类别不在基础资料里"))</f>
        <v/>
      </c>
      <c r="G265" s="13" t="inlineStr">
        <is>
          <t>织里店</t>
        </is>
      </c>
      <c r="H265" s="13" t="inlineStr">
        <is>
          <t>炳秀</t>
        </is>
      </c>
      <c r="I265" s="13" t="inlineStr">
        <is>
          <t>付炳秀配送</t>
        </is>
      </c>
      <c r="J265" s="14" t="n"/>
      <c r="K265" s="14" t="n">
        <v>722</v>
      </c>
      <c r="L265" s="19">
        <f>IF($C265="","",ROUND(IFERROR(VLOOKUP($C265,账户期初,2,0),0)+SUMIFS($J$4:J265,$C$4:C265,$C265)-SUMIFS($K$4:K265,$C$4:C265,$C265),2))</f>
        <v/>
      </c>
      <c r="M265" s="19">
        <f>IF($C265="","",ROUND(SUM(基础资料!$B$4:$B$13)+SUM($J$4:J265)-SUM($K$4:K265),2))</f>
        <v/>
      </c>
      <c r="N265" s="13" t="n"/>
      <c r="O265" s="13" t="inlineStr">
        <is>
          <t>822</t>
        </is>
      </c>
      <c r="P265" s="17">
        <f>IF($B265="","",IF($F265="※类别不在基础资料里","※费用类别不在基础资料里",IF(AND(N($J265)=0,N($K265)=0),"※这行没填金额",IF(AND(N($J265)&gt;0,N($K265)&gt;0),"※收入和支出不能同一行都填",IF(AND($D265="收入",N($J265)=0),"※收入行要填收入金额",IF(AND($D265="支出",N($K265)=0),"※支出行要填支出金额",IF(AND($C265&lt;&gt;"",ISNA(MATCH($C265,账户表,0))),"※账户不在基础资料里",IF(AND($G265&lt;&gt;"",ISNA(MATCH($G265,项目名表,0))),"※项目不在项目台账里",IF(AND(LEFT($F265,3)="成本-",$G265=""),"※成本类支出没填项目",IF(AND(LEFT($F265,3)="成本-",$H265&lt;&gt;"",N($K265)&gt;0,COUNTIFS(采购单!$B:$B,$B265,采购单!$C:$C,$H265,采购单!$L:$L,$K265)&gt;0),"※这笔可能和采购单重复了",""))))))))))</f>
        <v/>
      </c>
    </row>
    <row r="266">
      <c r="A266" s="17">
        <f>IF($B266="","",ROW()-3)</f>
        <v/>
      </c>
      <c r="B266" s="18" t="n">
        <v>46129</v>
      </c>
      <c r="C266" s="13" t="inlineStr">
        <is>
          <t>微信1</t>
        </is>
      </c>
      <c r="D266" s="13" t="inlineStr">
        <is>
          <t>支出</t>
        </is>
      </c>
      <c r="E266" s="13" t="inlineStr">
        <is>
          <t>运费/快递费</t>
        </is>
      </c>
      <c r="F266" s="17">
        <f>IF($E266="","",IFERROR(VLOOKUP($E266,类别归属,2,0),"※类别不在基础资料里"))</f>
        <v/>
      </c>
      <c r="G266" s="13" t="inlineStr">
        <is>
          <t>梦回唐朝</t>
        </is>
      </c>
      <c r="H266" s="13" t="inlineStr">
        <is>
          <t>炳秀</t>
        </is>
      </c>
      <c r="I266" s="13" t="inlineStr">
        <is>
          <t>付炳秀配送</t>
        </is>
      </c>
      <c r="J266" s="14" t="n"/>
      <c r="K266" s="14" t="n">
        <v>100</v>
      </c>
      <c r="L266" s="19">
        <f>IF($C266="","",ROUND(IFERROR(VLOOKUP($C266,账户期初,2,0),0)+SUMIFS($J$4:J266,$C$4:C266,$C266)-SUMIFS($K$4:K266,$C$4:C266,$C266),2))</f>
        <v/>
      </c>
      <c r="M266" s="19">
        <f>IF($C266="","",ROUND(SUM(基础资料!$B$4:$B$13)+SUM($J$4:J266)-SUM($K$4:K266),2))</f>
        <v/>
      </c>
      <c r="N266" s="13" t="n"/>
      <c r="O266" s="13" t="n"/>
      <c r="P266" s="17">
        <f>IF($B266="","",IF($F266="※类别不在基础资料里","※费用类别不在基础资料里",IF(AND(N($J266)=0,N($K266)=0),"※这行没填金额",IF(AND(N($J266)&gt;0,N($K266)&gt;0),"※收入和支出不能同一行都填",IF(AND($D266="收入",N($J266)=0),"※收入行要填收入金额",IF(AND($D266="支出",N($K266)=0),"※支出行要填支出金额",IF(AND($C266&lt;&gt;"",ISNA(MATCH($C266,账户表,0))),"※账户不在基础资料里",IF(AND($G266&lt;&gt;"",ISNA(MATCH($G266,项目名表,0))),"※项目不在项目台账里",IF(AND(LEFT($F266,3)="成本-",$G266=""),"※成本类支出没填项目",IF(AND(LEFT($F266,3)="成本-",$H266&lt;&gt;"",N($K266)&gt;0,COUNTIFS(采购单!$B:$B,$B266,采购单!$C:$C,$H266,采购单!$L:$L,$K266)&gt;0),"※这笔可能和采购单重复了",""))))))))))</f>
        <v/>
      </c>
    </row>
    <row r="267">
      <c r="A267" s="17">
        <f>IF($B267="","",ROW()-3)</f>
        <v/>
      </c>
      <c r="B267" s="18" t="n">
        <v>46130</v>
      </c>
      <c r="C267" s="13" t="inlineStr">
        <is>
          <t>微信1</t>
        </is>
      </c>
      <c r="D267" s="13" t="inlineStr">
        <is>
          <t>支出</t>
        </is>
      </c>
      <c r="E267" s="13" t="inlineStr">
        <is>
          <t>运费/快递费</t>
        </is>
      </c>
      <c r="F267" s="17">
        <f>IF($E267="","",IFERROR(VLOOKUP($E267,类别归属,2,0),"※类别不在基础资料里"))</f>
        <v/>
      </c>
      <c r="G267" s="13" t="inlineStr">
        <is>
          <t>织里店</t>
        </is>
      </c>
      <c r="H267" s="13" t="inlineStr">
        <is>
          <t>炳秀</t>
        </is>
      </c>
      <c r="I267" s="13" t="inlineStr">
        <is>
          <t>付炳秀配送</t>
        </is>
      </c>
      <c r="J267" s="14" t="n"/>
      <c r="K267" s="14" t="n">
        <v>68</v>
      </c>
      <c r="L267" s="19">
        <f>IF($C267="","",ROUND(IFERROR(VLOOKUP($C267,账户期初,2,0),0)+SUMIFS($J$4:J267,$C$4:C267,$C267)-SUMIFS($K$4:K267,$C$4:C267,$C267),2))</f>
        <v/>
      </c>
      <c r="M267" s="19">
        <f>IF($C267="","",ROUND(SUM(基础资料!$B$4:$B$13)+SUM($J$4:J267)-SUM($K$4:K267),2))</f>
        <v/>
      </c>
      <c r="N267" s="13" t="n"/>
      <c r="O267" s="13" t="n"/>
      <c r="P267" s="17">
        <f>IF($B267="","",IF($F267="※类别不在基础资料里","※费用类别不在基础资料里",IF(AND(N($J267)=0,N($K267)=0),"※这行没填金额",IF(AND(N($J267)&gt;0,N($K267)&gt;0),"※收入和支出不能同一行都填",IF(AND($D267="收入",N($J267)=0),"※收入行要填收入金额",IF(AND($D267="支出",N($K267)=0),"※支出行要填支出金额",IF(AND($C267&lt;&gt;"",ISNA(MATCH($C267,账户表,0))),"※账户不在基础资料里",IF(AND($G267&lt;&gt;"",ISNA(MATCH($G267,项目名表,0))),"※项目不在项目台账里",IF(AND(LEFT($F267,3)="成本-",$G267=""),"※成本类支出没填项目",IF(AND(LEFT($F267,3)="成本-",$H267&lt;&gt;"",N($K267)&gt;0,COUNTIFS(采购单!$B:$B,$B267,采购单!$C:$C,$H267,采购单!$L:$L,$K267)&gt;0),"※这笔可能和采购单重复了",""))))))))))</f>
        <v/>
      </c>
    </row>
    <row r="268">
      <c r="A268" s="17">
        <f>IF($B268="","",ROW()-3)</f>
        <v/>
      </c>
      <c r="B268" s="18" t="n">
        <v>46131</v>
      </c>
      <c r="C268" s="13" t="inlineStr">
        <is>
          <t>微信1</t>
        </is>
      </c>
      <c r="D268" s="13" t="inlineStr">
        <is>
          <t>支出</t>
        </is>
      </c>
      <c r="E268" s="13" t="inlineStr">
        <is>
          <t>主材采购</t>
        </is>
      </c>
      <c r="F268" s="17">
        <f>IF($E268="","",IFERROR(VLOOKUP($E268,类别归属,2,0),"※类别不在基础资料里"))</f>
        <v/>
      </c>
      <c r="G268" s="13" t="n"/>
      <c r="H268" s="13" t="inlineStr">
        <is>
          <t>正利金属</t>
        </is>
      </c>
      <c r="I268" s="13" t="inlineStr">
        <is>
          <t>付正利金属</t>
        </is>
      </c>
      <c r="J268" s="14" t="n"/>
      <c r="K268" s="14" t="n">
        <v>1170</v>
      </c>
      <c r="L268" s="19">
        <f>IF($C268="","",ROUND(IFERROR(VLOOKUP($C268,账户期初,2,0),0)+SUMIFS($J$4:J268,$C$4:C268,$C268)-SUMIFS($K$4:K268,$C$4:C268,$C268),2))</f>
        <v/>
      </c>
      <c r="M268" s="19">
        <f>IF($C268="","",ROUND(SUM(基础资料!$B$4:$B$13)+SUM($J$4:J268)-SUM($K$4:K268),2))</f>
        <v/>
      </c>
      <c r="N268" s="13" t="n"/>
      <c r="O268" s="13" t="inlineStr">
        <is>
          <t>钢管</t>
        </is>
      </c>
      <c r="P268" s="17">
        <f>IF($B268="","",IF($F268="※类别不在基础资料里","※费用类别不在基础资料里",IF(AND(N($J268)=0,N($K268)=0),"※这行没填金额",IF(AND(N($J268)&gt;0,N($K268)&gt;0),"※收入和支出不能同一行都填",IF(AND($D268="收入",N($J268)=0),"※收入行要填收入金额",IF(AND($D268="支出",N($K268)=0),"※支出行要填支出金额",IF(AND($C268&lt;&gt;"",ISNA(MATCH($C268,账户表,0))),"※账户不在基础资料里",IF(AND($G268&lt;&gt;"",ISNA(MATCH($G268,项目名表,0))),"※项目不在项目台账里",IF(AND(LEFT($F268,3)="成本-",$G268=""),"※成本类支出没填项目",IF(AND(LEFT($F268,3)="成本-",$H268&lt;&gt;"",N($K268)&gt;0,COUNTIFS(采购单!$B:$B,$B268,采购单!$C:$C,$H268,采购单!$L:$L,$K268)&gt;0),"※这笔可能和采购单重复了",""))))))))))</f>
        <v/>
      </c>
    </row>
    <row r="269">
      <c r="A269" s="17">
        <f>IF($B269="","",ROW()-3)</f>
        <v/>
      </c>
      <c r="B269" s="18" t="n">
        <v>46131</v>
      </c>
      <c r="C269" s="13" t="inlineStr">
        <is>
          <t>微信1</t>
        </is>
      </c>
      <c r="D269" s="13" t="inlineStr">
        <is>
          <t>收入</t>
        </is>
      </c>
      <c r="E269" s="13" t="inlineStr">
        <is>
          <t>项目收款</t>
        </is>
      </c>
      <c r="F269" s="17">
        <f>IF($E269="","",IFERROR(VLOOKUP($E269,类别归属,2,0),"※类别不在基础资料里"))</f>
        <v/>
      </c>
      <c r="G269" s="13" t="inlineStr">
        <is>
          <t>如意茶馆</t>
        </is>
      </c>
      <c r="H269" s="13" t="n"/>
      <c r="I269" s="13" t="inlineStr">
        <is>
          <t>如意茶馆-定金</t>
        </is>
      </c>
      <c r="J269" s="14" t="n">
        <v>200</v>
      </c>
      <c r="K269" s="14" t="n"/>
      <c r="L269" s="19">
        <f>IF($C269="","",ROUND(IFERROR(VLOOKUP($C269,账户期初,2,0),0)+SUMIFS($J$4:J269,$C$4:C269,$C269)-SUMIFS($K$4:K269,$C$4:C269,$C269),2))</f>
        <v/>
      </c>
      <c r="M269" s="19">
        <f>IF($C269="","",ROUND(SUM(基础资料!$B$4:$B$13)+SUM($J$4:J269)-SUM($K$4:K269),2))</f>
        <v/>
      </c>
      <c r="N269" s="13" t="n"/>
      <c r="O269" s="13" t="n"/>
      <c r="P269" s="17">
        <f>IF($B269="","",IF($F269="※类别不在基础资料里","※费用类别不在基础资料里",IF(AND(N($J269)=0,N($K269)=0),"※这行没填金额",IF(AND(N($J269)&gt;0,N($K269)&gt;0),"※收入和支出不能同一行都填",IF(AND($D269="收入",N($J269)=0),"※收入行要填收入金额",IF(AND($D269="支出",N($K269)=0),"※支出行要填支出金额",IF(AND($C269&lt;&gt;"",ISNA(MATCH($C269,账户表,0))),"※账户不在基础资料里",IF(AND($G269&lt;&gt;"",ISNA(MATCH($G269,项目名表,0))),"※项目不在项目台账里",IF(AND(LEFT($F269,3)="成本-",$G269=""),"※成本类支出没填项目",IF(AND(LEFT($F269,3)="成本-",$H269&lt;&gt;"",N($K269)&gt;0,COUNTIFS(采购单!$B:$B,$B269,采购单!$C:$C,$H269,采购单!$L:$L,$K269)&gt;0),"※这笔可能和采购单重复了",""))))))))))</f>
        <v/>
      </c>
    </row>
    <row r="270">
      <c r="A270" s="17">
        <f>IF($B270="","",ROW()-3)</f>
        <v/>
      </c>
      <c r="B270" s="18" t="n">
        <v>46131</v>
      </c>
      <c r="C270" s="13" t="inlineStr">
        <is>
          <t>微信1</t>
        </is>
      </c>
      <c r="D270" s="13" t="inlineStr">
        <is>
          <t>支出</t>
        </is>
      </c>
      <c r="E270" s="13" t="inlineStr">
        <is>
          <t>运费/快递费</t>
        </is>
      </c>
      <c r="F270" s="17">
        <f>IF($E270="","",IFERROR(VLOOKUP($E270,类别归属,2,0),"※类别不在基础资料里"))</f>
        <v/>
      </c>
      <c r="G270" s="13" t="inlineStr">
        <is>
          <t>织里店</t>
        </is>
      </c>
      <c r="H270" s="13" t="inlineStr">
        <is>
          <t>炳秀</t>
        </is>
      </c>
      <c r="I270" s="13" t="inlineStr">
        <is>
          <t>付炳秀配送</t>
        </is>
      </c>
      <c r="J270" s="14" t="n"/>
      <c r="K270" s="14" t="n">
        <v>68</v>
      </c>
      <c r="L270" s="19">
        <f>IF($C270="","",ROUND(IFERROR(VLOOKUP($C270,账户期初,2,0),0)+SUMIFS($J$4:J270,$C$4:C270,$C270)-SUMIFS($K$4:K270,$C$4:C270,$C270),2))</f>
        <v/>
      </c>
      <c r="M270" s="19">
        <f>IF($C270="","",ROUND(SUM(基础资料!$B$4:$B$13)+SUM($J$4:J270)-SUM($K$4:K270),2))</f>
        <v/>
      </c>
      <c r="N270" s="13" t="n"/>
      <c r="O270" s="13" t="inlineStr">
        <is>
          <t>182</t>
        </is>
      </c>
      <c r="P270" s="17">
        <f>IF($B270="","",IF($F270="※类别不在基础资料里","※费用类别不在基础资料里",IF(AND(N($J270)=0,N($K270)=0),"※这行没填金额",IF(AND(N($J270)&gt;0,N($K270)&gt;0),"※收入和支出不能同一行都填",IF(AND($D270="收入",N($J270)=0),"※收入行要填收入金额",IF(AND($D270="支出",N($K270)=0),"※支出行要填支出金额",IF(AND($C270&lt;&gt;"",ISNA(MATCH($C270,账户表,0))),"※账户不在基础资料里",IF(AND($G270&lt;&gt;"",ISNA(MATCH($G270,项目名表,0))),"※项目不在项目台账里",IF(AND(LEFT($F270,3)="成本-",$G270=""),"※成本类支出没填项目",IF(AND(LEFT($F270,3)="成本-",$H270&lt;&gt;"",N($K270)&gt;0,COUNTIFS(采购单!$B:$B,$B270,采购单!$C:$C,$H270,采购单!$L:$L,$K270)&gt;0),"※这笔可能和采购单重复了",""))))))))))</f>
        <v/>
      </c>
    </row>
    <row r="271">
      <c r="A271" s="17">
        <f>IF($B271="","",ROW()-3)</f>
        <v/>
      </c>
      <c r="B271" s="18" t="n">
        <v>46131</v>
      </c>
      <c r="C271" s="13" t="inlineStr">
        <is>
          <t>微信1</t>
        </is>
      </c>
      <c r="D271" s="13" t="inlineStr">
        <is>
          <t>支出</t>
        </is>
      </c>
      <c r="E271" s="13" t="inlineStr">
        <is>
          <t>运费/快递费</t>
        </is>
      </c>
      <c r="F271" s="17">
        <f>IF($E271="","",IFERROR(VLOOKUP($E271,类别归属,2,0),"※类别不在基础资料里"))</f>
        <v/>
      </c>
      <c r="G271" s="13" t="inlineStr">
        <is>
          <t>东尼电子</t>
        </is>
      </c>
      <c r="H271" s="13" t="inlineStr">
        <is>
          <t>炳秀</t>
        </is>
      </c>
      <c r="I271" s="13" t="inlineStr">
        <is>
          <t>付炳秀配送</t>
        </is>
      </c>
      <c r="J271" s="14" t="n"/>
      <c r="K271" s="14" t="n">
        <v>6</v>
      </c>
      <c r="L271" s="19">
        <f>IF($C271="","",ROUND(IFERROR(VLOOKUP($C271,账户期初,2,0),0)+SUMIFS($J$4:J271,$C$4:C271,$C271)-SUMIFS($K$4:K271,$C$4:C271,$C271),2))</f>
        <v/>
      </c>
      <c r="M271" s="19">
        <f>IF($C271="","",ROUND(SUM(基础资料!$B$4:$B$13)+SUM($J$4:J271)-SUM($K$4:K271),2))</f>
        <v/>
      </c>
      <c r="N271" s="13" t="n"/>
      <c r="O271" s="13" t="n"/>
      <c r="P271" s="17">
        <f>IF($B271="","",IF($F271="※类别不在基础资料里","※费用类别不在基础资料里",IF(AND(N($J271)=0,N($K271)=0),"※这行没填金额",IF(AND(N($J271)&gt;0,N($K271)&gt;0),"※收入和支出不能同一行都填",IF(AND($D271="收入",N($J271)=0),"※收入行要填收入金额",IF(AND($D271="支出",N($K271)=0),"※支出行要填支出金额",IF(AND($C271&lt;&gt;"",ISNA(MATCH($C271,账户表,0))),"※账户不在基础资料里",IF(AND($G271&lt;&gt;"",ISNA(MATCH($G271,项目名表,0))),"※项目不在项目台账里",IF(AND(LEFT($F271,3)="成本-",$G271=""),"※成本类支出没填项目",IF(AND(LEFT($F271,3)="成本-",$H271&lt;&gt;"",N($K271)&gt;0,COUNTIFS(采购单!$B:$B,$B271,采购单!$C:$C,$H271,采购单!$L:$L,$K271)&gt;0),"※这笔可能和采购单重复了",""))))))))))</f>
        <v/>
      </c>
    </row>
    <row r="272">
      <c r="A272" s="17">
        <f>IF($B272="","",ROW()-3)</f>
        <v/>
      </c>
      <c r="B272" s="18" t="n">
        <v>46131</v>
      </c>
      <c r="C272" s="13" t="inlineStr">
        <is>
          <t>微信1</t>
        </is>
      </c>
      <c r="D272" s="13" t="inlineStr">
        <is>
          <t>支出</t>
        </is>
      </c>
      <c r="E272" s="13" t="inlineStr">
        <is>
          <t>运费/快递费</t>
        </is>
      </c>
      <c r="F272" s="17">
        <f>IF($E272="","",IFERROR(VLOOKUP($E272,类别归属,2,0),"※类别不在基础资料里"))</f>
        <v/>
      </c>
      <c r="G272" s="13" t="inlineStr">
        <is>
          <t>卓越桌球</t>
        </is>
      </c>
      <c r="H272" s="13" t="inlineStr">
        <is>
          <t>炳秀</t>
        </is>
      </c>
      <c r="I272" s="13" t="inlineStr">
        <is>
          <t>付炳秀配送</t>
        </is>
      </c>
      <c r="J272" s="14" t="n"/>
      <c r="K272" s="14" t="n">
        <v>16</v>
      </c>
      <c r="L272" s="19">
        <f>IF($C272="","",ROUND(IFERROR(VLOOKUP($C272,账户期初,2,0),0)+SUMIFS($J$4:J272,$C$4:C272,$C272)-SUMIFS($K$4:K272,$C$4:C272,$C272),2))</f>
        <v/>
      </c>
      <c r="M272" s="19">
        <f>IF($C272="","",ROUND(SUM(基础资料!$B$4:$B$13)+SUM($J$4:J272)-SUM($K$4:K272),2))</f>
        <v/>
      </c>
      <c r="N272" s="13" t="n"/>
      <c r="O272" s="13" t="n"/>
      <c r="P272" s="17">
        <f>IF($B272="","",IF($F272="※类别不在基础资料里","※费用类别不在基础资料里",IF(AND(N($J272)=0,N($K272)=0),"※这行没填金额",IF(AND(N($J272)&gt;0,N($K272)&gt;0),"※收入和支出不能同一行都填",IF(AND($D272="收入",N($J272)=0),"※收入行要填收入金额",IF(AND($D272="支出",N($K272)=0),"※支出行要填支出金额",IF(AND($C272&lt;&gt;"",ISNA(MATCH($C272,账户表,0))),"※账户不在基础资料里",IF(AND($G272&lt;&gt;"",ISNA(MATCH($G272,项目名表,0))),"※项目不在项目台账里",IF(AND(LEFT($F272,3)="成本-",$G272=""),"※成本类支出没填项目",IF(AND(LEFT($F272,3)="成本-",$H272&lt;&gt;"",N($K272)&gt;0,COUNTIFS(采购单!$B:$B,$B272,采购单!$C:$C,$H272,采购单!$L:$L,$K272)&gt;0),"※这笔可能和采购单重复了",""))))))))))</f>
        <v/>
      </c>
    </row>
    <row r="273">
      <c r="A273" s="17">
        <f>IF($B273="","",ROW()-3)</f>
        <v/>
      </c>
      <c r="B273" s="18" t="n">
        <v>46131</v>
      </c>
      <c r="C273" s="13" t="inlineStr">
        <is>
          <t>微信1</t>
        </is>
      </c>
      <c r="D273" s="13" t="inlineStr">
        <is>
          <t>支出</t>
        </is>
      </c>
      <c r="E273" s="13" t="inlineStr">
        <is>
          <t>运费/快递费</t>
        </is>
      </c>
      <c r="F273" s="17">
        <f>IF($E273="","",IFERROR(VLOOKUP($E273,类别归属,2,0),"※类别不在基础资料里"))</f>
        <v/>
      </c>
      <c r="G273" s="13" t="inlineStr">
        <is>
          <t>犇腾牛排</t>
        </is>
      </c>
      <c r="H273" s="13" t="inlineStr">
        <is>
          <t>炳秀</t>
        </is>
      </c>
      <c r="I273" s="13" t="inlineStr">
        <is>
          <t>付炳秀配送</t>
        </is>
      </c>
      <c r="J273" s="14" t="n"/>
      <c r="K273" s="14" t="n">
        <v>92</v>
      </c>
      <c r="L273" s="19">
        <f>IF($C273="","",ROUND(IFERROR(VLOOKUP($C273,账户期初,2,0),0)+SUMIFS($J$4:J273,$C$4:C273,$C273)-SUMIFS($K$4:K273,$C$4:C273,$C273),2))</f>
        <v/>
      </c>
      <c r="M273" s="19">
        <f>IF($C273="","",ROUND(SUM(基础资料!$B$4:$B$13)+SUM($J$4:J273)-SUM($K$4:K273),2))</f>
        <v/>
      </c>
      <c r="N273" s="13" t="n"/>
      <c r="O273" s="13" t="n"/>
      <c r="P273" s="17">
        <f>IF($B273="","",IF($F273="※类别不在基础资料里","※费用类别不在基础资料里",IF(AND(N($J273)=0,N($K273)=0),"※这行没填金额",IF(AND(N($J273)&gt;0,N($K273)&gt;0),"※收入和支出不能同一行都填",IF(AND($D273="收入",N($J273)=0),"※收入行要填收入金额",IF(AND($D273="支出",N($K273)=0),"※支出行要填支出金额",IF(AND($C273&lt;&gt;"",ISNA(MATCH($C273,账户表,0))),"※账户不在基础资料里",IF(AND($G273&lt;&gt;"",ISNA(MATCH($G273,项目名表,0))),"※项目不在项目台账里",IF(AND(LEFT($F273,3)="成本-",$G273=""),"※成本类支出没填项目",IF(AND(LEFT($F273,3)="成本-",$H273&lt;&gt;"",N($K273)&gt;0,COUNTIFS(采购单!$B:$B,$B273,采购单!$C:$C,$H273,采购单!$L:$L,$K273)&gt;0),"※这笔可能和采购单重复了",""))))))))))</f>
        <v/>
      </c>
    </row>
    <row r="274">
      <c r="A274" s="17">
        <f>IF($B274="","",ROW()-3)</f>
        <v/>
      </c>
      <c r="B274" s="18" t="n">
        <v>46131</v>
      </c>
      <c r="C274" s="13" t="inlineStr">
        <is>
          <t>微信1</t>
        </is>
      </c>
      <c r="D274" s="13" t="inlineStr">
        <is>
          <t>支出</t>
        </is>
      </c>
      <c r="E274" s="13" t="inlineStr">
        <is>
          <t>主材采购</t>
        </is>
      </c>
      <c r="F274" s="17">
        <f>IF($E274="","",IFERROR(VLOOKUP($E274,类别归属,2,0),"※类别不在基础资料里"))</f>
        <v/>
      </c>
      <c r="G274" s="13" t="inlineStr">
        <is>
          <t>九熠装饰</t>
        </is>
      </c>
      <c r="H274" s="13" t="inlineStr">
        <is>
          <t>杭州杜邦软膜</t>
        </is>
      </c>
      <c r="I274" s="13" t="inlineStr">
        <is>
          <t>付杭州杜邦软膜</t>
        </is>
      </c>
      <c r="J274" s="14" t="n"/>
      <c r="K274" s="14" t="n">
        <v>170</v>
      </c>
      <c r="L274" s="19">
        <f>IF($C274="","",ROUND(IFERROR(VLOOKUP($C274,账户期初,2,0),0)+SUMIFS($J$4:J274,$C$4:C274,$C274)-SUMIFS($K$4:K274,$C$4:C274,$C274),2))</f>
        <v/>
      </c>
      <c r="M274" s="19">
        <f>IF($C274="","",ROUND(SUM(基础资料!$B$4:$B$13)+SUM($J$4:J274)-SUM($K$4:K274),2))</f>
        <v/>
      </c>
      <c r="N274" s="13" t="n"/>
      <c r="O274" s="13" t="inlineStr">
        <is>
          <t>莫盾服饰</t>
        </is>
      </c>
      <c r="P274" s="17">
        <f>IF($B274="","",IF($F274="※类别不在基础资料里","※费用类别不在基础资料里",IF(AND(N($J274)=0,N($K274)=0),"※这行没填金额",IF(AND(N($J274)&gt;0,N($K274)&gt;0),"※收入和支出不能同一行都填",IF(AND($D274="收入",N($J274)=0),"※收入行要填收入金额",IF(AND($D274="支出",N($K274)=0),"※支出行要填支出金额",IF(AND($C274&lt;&gt;"",ISNA(MATCH($C274,账户表,0))),"※账户不在基础资料里",IF(AND($G274&lt;&gt;"",ISNA(MATCH($G274,项目名表,0))),"※项目不在项目台账里",IF(AND(LEFT($F274,3)="成本-",$G274=""),"※成本类支出没填项目",IF(AND(LEFT($F274,3)="成本-",$H274&lt;&gt;"",N($K274)&gt;0,COUNTIFS(采购单!$B:$B,$B274,采购单!$C:$C,$H274,采购单!$L:$L,$K274)&gt;0),"※这笔可能和采购单重复了",""))))))))))</f>
        <v/>
      </c>
    </row>
    <row r="275">
      <c r="A275" s="17">
        <f>IF($B275="","",ROW()-3)</f>
        <v/>
      </c>
      <c r="B275" s="18" t="n">
        <v>46114</v>
      </c>
      <c r="C275" s="13" t="inlineStr">
        <is>
          <t>微信1</t>
        </is>
      </c>
      <c r="D275" s="13" t="inlineStr">
        <is>
          <t>支出</t>
        </is>
      </c>
      <c r="E275" s="13" t="inlineStr">
        <is>
          <t>通讯费</t>
        </is>
      </c>
      <c r="F275" s="17">
        <f>IF($E275="","",IFERROR(VLOOKUP($E275,类别归属,2,0),"※类别不在基础资料里"))</f>
        <v/>
      </c>
      <c r="G275" s="13" t="n"/>
      <c r="H275" s="13" t="n"/>
      <c r="I275" s="13" t="inlineStr">
        <is>
          <t>付移动</t>
        </is>
      </c>
      <c r="J275" s="14" t="n"/>
      <c r="K275" s="14" t="n">
        <v>50</v>
      </c>
      <c r="L275" s="19">
        <f>IF($C275="","",ROUND(IFERROR(VLOOKUP($C275,账户期初,2,0),0)+SUMIFS($J$4:J275,$C$4:C275,$C275)-SUMIFS($K$4:K275,$C$4:C275,$C275),2))</f>
        <v/>
      </c>
      <c r="M275" s="19">
        <f>IF($C275="","",ROUND(SUM(基础资料!$B$4:$B$13)+SUM($J$4:J275)-SUM($K$4:K275),2))</f>
        <v/>
      </c>
      <c r="N275" s="13" t="n"/>
      <c r="O275" s="13" t="n"/>
      <c r="P275" s="17">
        <f>IF($B275="","",IF($F275="※类别不在基础资料里","※费用类别不在基础资料里",IF(AND(N($J275)=0,N($K275)=0),"※这行没填金额",IF(AND(N($J275)&gt;0,N($K275)&gt;0),"※收入和支出不能同一行都填",IF(AND($D275="收入",N($J275)=0),"※收入行要填收入金额",IF(AND($D275="支出",N($K275)=0),"※支出行要填支出金额",IF(AND($C275&lt;&gt;"",ISNA(MATCH($C275,账户表,0))),"※账户不在基础资料里",IF(AND($G275&lt;&gt;"",ISNA(MATCH($G275,项目名表,0))),"※项目不在项目台账里",IF(AND(LEFT($F275,3)="成本-",$G275=""),"※成本类支出没填项目",IF(AND(LEFT($F275,3)="成本-",$H275&lt;&gt;"",N($K275)&gt;0,COUNTIFS(采购单!$B:$B,$B275,采购单!$C:$C,$H275,采购单!$L:$L,$K275)&gt;0),"※这笔可能和采购单重复了",""))))))))))</f>
        <v/>
      </c>
    </row>
    <row r="276">
      <c r="A276" s="17">
        <f>IF($B276="","",ROW()-3)</f>
        <v/>
      </c>
      <c r="B276" s="18" t="n">
        <v>46114</v>
      </c>
      <c r="C276" s="13" t="inlineStr">
        <is>
          <t>微信1</t>
        </is>
      </c>
      <c r="D276" s="13" t="inlineStr">
        <is>
          <t>支出</t>
        </is>
      </c>
      <c r="E276" s="13" t="inlineStr">
        <is>
          <t>其他管理费用</t>
        </is>
      </c>
      <c r="F276" s="17">
        <f>IF($E276="","",IFERROR(VLOOKUP($E276,类别归属,2,0),"※类别不在基础资料里"))</f>
        <v/>
      </c>
      <c r="G276" s="13" t="n"/>
      <c r="H276" s="13" t="n"/>
      <c r="I276" s="13" t="inlineStr">
        <is>
          <t>付杨德报销费用</t>
        </is>
      </c>
      <c r="J276" s="14" t="n"/>
      <c r="K276" s="14" t="n">
        <v>1197</v>
      </c>
      <c r="L276" s="19">
        <f>IF($C276="","",ROUND(IFERROR(VLOOKUP($C276,账户期初,2,0),0)+SUMIFS($J$4:J276,$C$4:C276,$C276)-SUMIFS($K$4:K276,$C$4:C276,$C276),2))</f>
        <v/>
      </c>
      <c r="M276" s="19">
        <f>IF($C276="","",ROUND(SUM(基础资料!$B$4:$B$13)+SUM($J$4:J276)-SUM($K$4:K276),2))</f>
        <v/>
      </c>
      <c r="N276" s="13" t="n"/>
      <c r="O276" s="13" t="n"/>
      <c r="P276" s="17">
        <f>IF($B276="","",IF($F276="※类别不在基础资料里","※费用类别不在基础资料里",IF(AND(N($J276)=0,N($K276)=0),"※这行没填金额",IF(AND(N($J276)&gt;0,N($K276)&gt;0),"※收入和支出不能同一行都填",IF(AND($D276="收入",N($J276)=0),"※收入行要填收入金额",IF(AND($D276="支出",N($K276)=0),"※支出行要填支出金额",IF(AND($C276&lt;&gt;"",ISNA(MATCH($C276,账户表,0))),"※账户不在基础资料里",IF(AND($G276&lt;&gt;"",ISNA(MATCH($G276,项目名表,0))),"※项目不在项目台账里",IF(AND(LEFT($F276,3)="成本-",$G276=""),"※成本类支出没填项目",IF(AND(LEFT($F276,3)="成本-",$H276&lt;&gt;"",N($K276)&gt;0,COUNTIFS(采购单!$B:$B,$B276,采购单!$C:$C,$H276,采购单!$L:$L,$K276)&gt;0),"※这笔可能和采购单重复了",""))))))))))</f>
        <v/>
      </c>
    </row>
    <row r="277">
      <c r="A277" s="17">
        <f>IF($B277="","",ROW()-3)</f>
        <v/>
      </c>
      <c r="B277" s="18" t="n">
        <v>46114</v>
      </c>
      <c r="C277" s="13" t="inlineStr">
        <is>
          <t>微信1</t>
        </is>
      </c>
      <c r="D277" s="13" t="inlineStr">
        <is>
          <t>支出</t>
        </is>
      </c>
      <c r="E277" s="13" t="inlineStr">
        <is>
          <t>运费/快递费</t>
        </is>
      </c>
      <c r="F277" s="17">
        <f>IF($E277="","",IFERROR(VLOOKUP($E277,类别归属,2,0),"※类别不在基础资料里"))</f>
        <v/>
      </c>
      <c r="G277" s="13" t="inlineStr">
        <is>
          <t>织里店</t>
        </is>
      </c>
      <c r="H277" s="13" t="inlineStr">
        <is>
          <t>炳秀</t>
        </is>
      </c>
      <c r="I277" s="13" t="inlineStr">
        <is>
          <t>付炳秀配送</t>
        </is>
      </c>
      <c r="J277" s="14" t="n"/>
      <c r="K277" s="14" t="n">
        <v>119</v>
      </c>
      <c r="L277" s="19">
        <f>IF($C277="","",ROUND(IFERROR(VLOOKUP($C277,账户期初,2,0),0)+SUMIFS($J$4:J277,$C$4:C277,$C277)-SUMIFS($K$4:K277,$C$4:C277,$C277),2))</f>
        <v/>
      </c>
      <c r="M277" s="19">
        <f>IF($C277="","",ROUND(SUM(基础资料!$B$4:$B$13)+SUM($J$4:J277)-SUM($K$4:K277),2))</f>
        <v/>
      </c>
      <c r="N277" s="13" t="n"/>
      <c r="O277" s="13" t="n"/>
      <c r="P277" s="17">
        <f>IF($B277="","",IF($F277="※类别不在基础资料里","※费用类别不在基础资料里",IF(AND(N($J277)=0,N($K277)=0),"※这行没填金额",IF(AND(N($J277)&gt;0,N($K277)&gt;0),"※收入和支出不能同一行都填",IF(AND($D277="收入",N($J277)=0),"※收入行要填收入金额",IF(AND($D277="支出",N($K277)=0),"※支出行要填支出金额",IF(AND($C277&lt;&gt;"",ISNA(MATCH($C277,账户表,0))),"※账户不在基础资料里",IF(AND($G277&lt;&gt;"",ISNA(MATCH($G277,项目名表,0))),"※项目不在项目台账里",IF(AND(LEFT($F277,3)="成本-",$G277=""),"※成本类支出没填项目",IF(AND(LEFT($F277,3)="成本-",$H277&lt;&gt;"",N($K277)&gt;0,COUNTIFS(采购单!$B:$B,$B277,采购单!$C:$C,$H277,采购单!$L:$L,$K277)&gt;0),"※这笔可能和采购单重复了",""))))))))))</f>
        <v/>
      </c>
    </row>
    <row r="278">
      <c r="A278" s="17">
        <f>IF($B278="","",ROW()-3)</f>
        <v/>
      </c>
      <c r="B278" s="18" t="n">
        <v>46114</v>
      </c>
      <c r="C278" s="13" t="inlineStr">
        <is>
          <t>微信1</t>
        </is>
      </c>
      <c r="D278" s="13" t="inlineStr">
        <is>
          <t>支出</t>
        </is>
      </c>
      <c r="E278" s="13" t="inlineStr">
        <is>
          <t>主材采购</t>
        </is>
      </c>
      <c r="F278" s="17">
        <f>IF($E278="","",IFERROR(VLOOKUP($E278,类别归属,2,0),"※类别不在基础资料里"))</f>
        <v/>
      </c>
      <c r="G278" s="13" t="inlineStr">
        <is>
          <t>梦回唐朝</t>
        </is>
      </c>
      <c r="H278" s="13" t="n"/>
      <c r="I278" s="13" t="inlineStr">
        <is>
          <t>超薄灯箱-快到碗里来</t>
        </is>
      </c>
      <c r="J278" s="14" t="n"/>
      <c r="K278" s="14" t="n">
        <v>175</v>
      </c>
      <c r="L278" s="19">
        <f>IF($C278="","",ROUND(IFERROR(VLOOKUP($C278,账户期初,2,0),0)+SUMIFS($J$4:J278,$C$4:C278,$C278)-SUMIFS($K$4:K278,$C$4:C278,$C278),2))</f>
        <v/>
      </c>
      <c r="M278" s="19">
        <f>IF($C278="","",ROUND(SUM(基础资料!$B$4:$B$13)+SUM($J$4:J278)-SUM($K$4:K278),2))</f>
        <v/>
      </c>
      <c r="N278" s="13" t="n"/>
      <c r="O278" s="13" t="n"/>
      <c r="P278" s="17">
        <f>IF($B278="","",IF($F278="※类别不在基础资料里","※费用类别不在基础资料里",IF(AND(N($J278)=0,N($K278)=0),"※这行没填金额",IF(AND(N($J278)&gt;0,N($K278)&gt;0),"※收入和支出不能同一行都填",IF(AND($D278="收入",N($J278)=0),"※收入行要填收入金额",IF(AND($D278="支出",N($K278)=0),"※支出行要填支出金额",IF(AND($C278&lt;&gt;"",ISNA(MATCH($C278,账户表,0))),"※账户不在基础资料里",IF(AND($G278&lt;&gt;"",ISNA(MATCH($G278,项目名表,0))),"※项目不在项目台账里",IF(AND(LEFT($F278,3)="成本-",$G278=""),"※成本类支出没填项目",IF(AND(LEFT($F278,3)="成本-",$H278&lt;&gt;"",N($K278)&gt;0,COUNTIFS(采购单!$B:$B,$B278,采购单!$C:$C,$H278,采购单!$L:$L,$K278)&gt;0),"※这笔可能和采购单重复了",""))))))))))</f>
        <v/>
      </c>
    </row>
    <row r="279">
      <c r="A279" s="17">
        <f>IF($B279="","",ROW()-3)</f>
        <v/>
      </c>
      <c r="B279" s="18" t="n">
        <v>46133</v>
      </c>
      <c r="C279" s="13" t="inlineStr">
        <is>
          <t>微信1</t>
        </is>
      </c>
      <c r="D279" s="13" t="inlineStr">
        <is>
          <t>支出</t>
        </is>
      </c>
      <c r="E279" s="13" t="inlineStr">
        <is>
          <t>主材采购</t>
        </is>
      </c>
      <c r="F279" s="17">
        <f>IF($E279="","",IFERROR(VLOOKUP($E279,类别归属,2,0),"※类别不在基础资料里"))</f>
        <v/>
      </c>
      <c r="G279" s="13" t="inlineStr">
        <is>
          <t>东尼电子</t>
        </is>
      </c>
      <c r="H279" s="13" t="inlineStr">
        <is>
          <t>LED显示屏</t>
        </is>
      </c>
      <c r="I279" s="13" t="inlineStr">
        <is>
          <t>LED显示屏</t>
        </is>
      </c>
      <c r="J279" s="14" t="n"/>
      <c r="K279" s="14" t="n">
        <v>30</v>
      </c>
      <c r="L279" s="19">
        <f>IF($C279="","",ROUND(IFERROR(VLOOKUP($C279,账户期初,2,0),0)+SUMIFS($J$4:J279,$C$4:C279,$C279)-SUMIFS($K$4:K279,$C$4:C279,$C279),2))</f>
        <v/>
      </c>
      <c r="M279" s="19">
        <f>IF($C279="","",ROUND(SUM(基础资料!$B$4:$B$13)+SUM($J$4:J279)-SUM($K$4:K279),2))</f>
        <v/>
      </c>
      <c r="N279" s="13" t="n"/>
      <c r="O279" s="13" t="n"/>
      <c r="P279" s="17">
        <f>IF($B279="","",IF($F279="※类别不在基础资料里","※费用类别不在基础资料里",IF(AND(N($J279)=0,N($K279)=0),"※这行没填金额",IF(AND(N($J279)&gt;0,N($K279)&gt;0),"※收入和支出不能同一行都填",IF(AND($D279="收入",N($J279)=0),"※收入行要填收入金额",IF(AND($D279="支出",N($K279)=0),"※支出行要填支出金额",IF(AND($C279&lt;&gt;"",ISNA(MATCH($C279,账户表,0))),"※账户不在基础资料里",IF(AND($G279&lt;&gt;"",ISNA(MATCH($G279,项目名表,0))),"※项目不在项目台账里",IF(AND(LEFT($F279,3)="成本-",$G279=""),"※成本类支出没填项目",IF(AND(LEFT($F279,3)="成本-",$H279&lt;&gt;"",N($K279)&gt;0,COUNTIFS(采购单!$B:$B,$B279,采购单!$C:$C,$H279,采购单!$L:$L,$K279)&gt;0),"※这笔可能和采购单重复了",""))))))))))</f>
        <v/>
      </c>
    </row>
    <row r="280">
      <c r="A280" s="17">
        <f>IF($B280="","",ROW()-3)</f>
        <v/>
      </c>
      <c r="B280" s="18" t="n">
        <v>46133</v>
      </c>
      <c r="C280" s="13" t="inlineStr">
        <is>
          <t>微信1</t>
        </is>
      </c>
      <c r="D280" s="13" t="inlineStr">
        <is>
          <t>支出</t>
        </is>
      </c>
      <c r="E280" s="13" t="inlineStr">
        <is>
          <t>广告推广</t>
        </is>
      </c>
      <c r="F280" s="17">
        <f>IF($E280="","",IFERROR(VLOOKUP($E280,类别归属,2,0),"※类别不在基础资料里"))</f>
        <v/>
      </c>
      <c r="G280" s="13" t="n"/>
      <c r="H280" s="13" t="n"/>
      <c r="I280" s="13" t="inlineStr">
        <is>
          <t>巨量地推-抖音（凌宇）</t>
        </is>
      </c>
      <c r="J280" s="14" t="n"/>
      <c r="K280" s="14" t="n">
        <v>100</v>
      </c>
      <c r="L280" s="19">
        <f>IF($C280="","",ROUND(IFERROR(VLOOKUP($C280,账户期初,2,0),0)+SUMIFS($J$4:J280,$C$4:C280,$C280)-SUMIFS($K$4:K280,$C$4:C280,$C280),2))</f>
        <v/>
      </c>
      <c r="M280" s="19">
        <f>IF($C280="","",ROUND(SUM(基础资料!$B$4:$B$13)+SUM($J$4:J280)-SUM($K$4:K280),2))</f>
        <v/>
      </c>
      <c r="N280" s="13" t="n"/>
      <c r="O280" s="13" t="n"/>
      <c r="P280" s="17">
        <f>IF($B280="","",IF($F280="※类别不在基础资料里","※费用类别不在基础资料里",IF(AND(N($J280)=0,N($K280)=0),"※这行没填金额",IF(AND(N($J280)&gt;0,N($K280)&gt;0),"※收入和支出不能同一行都填",IF(AND($D280="收入",N($J280)=0),"※收入行要填收入金额",IF(AND($D280="支出",N($K280)=0),"※支出行要填支出金额",IF(AND($C280&lt;&gt;"",ISNA(MATCH($C280,账户表,0))),"※账户不在基础资料里",IF(AND($G280&lt;&gt;"",ISNA(MATCH($G280,项目名表,0))),"※项目不在项目台账里",IF(AND(LEFT($F280,3)="成本-",$G280=""),"※成本类支出没填项目",IF(AND(LEFT($F280,3)="成本-",$H280&lt;&gt;"",N($K280)&gt;0,COUNTIFS(采购单!$B:$B,$B280,采购单!$C:$C,$H280,采购单!$L:$L,$K280)&gt;0),"※这笔可能和采购单重复了",""))))))))))</f>
        <v/>
      </c>
    </row>
    <row r="281">
      <c r="A281" s="17">
        <f>IF($B281="","",ROW()-3)</f>
        <v/>
      </c>
      <c r="B281" s="18" t="n">
        <v>46133</v>
      </c>
      <c r="C281" s="13" t="inlineStr">
        <is>
          <t>微信1</t>
        </is>
      </c>
      <c r="D281" s="13" t="inlineStr">
        <is>
          <t>收入</t>
        </is>
      </c>
      <c r="E281" s="13" t="inlineStr">
        <is>
          <t>项目收款</t>
        </is>
      </c>
      <c r="F281" s="17">
        <f>IF($E281="","",IFERROR(VLOOKUP($E281,类别归属,2,0),"※类别不在基础资料里"))</f>
        <v/>
      </c>
      <c r="G281" s="13" t="inlineStr">
        <is>
          <t>凤姐早餐店</t>
        </is>
      </c>
      <c r="H281" s="13" t="n"/>
      <c r="I281" s="13" t="inlineStr">
        <is>
          <t>早餐店-定金（宋）</t>
        </is>
      </c>
      <c r="J281" s="14" t="n">
        <v>800</v>
      </c>
      <c r="K281" s="14" t="n"/>
      <c r="L281" s="19">
        <f>IF($C281="","",ROUND(IFERROR(VLOOKUP($C281,账户期初,2,0),0)+SUMIFS($J$4:J281,$C$4:C281,$C281)-SUMIFS($K$4:K281,$C$4:C281,$C281),2))</f>
        <v/>
      </c>
      <c r="M281" s="19">
        <f>IF($C281="","",ROUND(SUM(基础资料!$B$4:$B$13)+SUM($J$4:J281)-SUM($K$4:K281),2))</f>
        <v/>
      </c>
      <c r="N281" s="13" t="n"/>
      <c r="O281" s="13" t="n"/>
      <c r="P281" s="17">
        <f>IF($B281="","",IF($F281="※类别不在基础资料里","※费用类别不在基础资料里",IF(AND(N($J281)=0,N($K281)=0),"※这行没填金额",IF(AND(N($J281)&gt;0,N($K281)&gt;0),"※收入和支出不能同一行都填",IF(AND($D281="收入",N($J281)=0),"※收入行要填收入金额",IF(AND($D281="支出",N($K281)=0),"※支出行要填支出金额",IF(AND($C281&lt;&gt;"",ISNA(MATCH($C281,账户表,0))),"※账户不在基础资料里",IF(AND($G281&lt;&gt;"",ISNA(MATCH($G281,项目名表,0))),"※项目不在项目台账里",IF(AND(LEFT($F281,3)="成本-",$G281=""),"※成本类支出没填项目",IF(AND(LEFT($F281,3)="成本-",$H281&lt;&gt;"",N($K281)&gt;0,COUNTIFS(采购单!$B:$B,$B281,采购单!$C:$C,$H281,采购单!$L:$L,$K281)&gt;0),"※这笔可能和采购单重复了",""))))))))))</f>
        <v/>
      </c>
    </row>
    <row r="282">
      <c r="A282" s="17">
        <f>IF($B282="","",ROW()-3)</f>
        <v/>
      </c>
      <c r="B282" s="18" t="n">
        <v>46133</v>
      </c>
      <c r="C282" s="13" t="inlineStr">
        <is>
          <t>微信1</t>
        </is>
      </c>
      <c r="D282" s="13" t="inlineStr">
        <is>
          <t>支出</t>
        </is>
      </c>
      <c r="E282" s="13" t="inlineStr">
        <is>
          <t>主材采购</t>
        </is>
      </c>
      <c r="F282" s="17">
        <f>IF($E282="","",IFERROR(VLOOKUP($E282,类别归属,2,0),"※类别不在基础资料里"))</f>
        <v/>
      </c>
      <c r="G282" s="13" t="inlineStr">
        <is>
          <t>梦回唐朝</t>
        </is>
      </c>
      <c r="H282" s="13" t="n"/>
      <c r="I282" s="13" t="inlineStr">
        <is>
          <t>付买电线Rw2*1.5</t>
        </is>
      </c>
      <c r="J282" s="14" t="n"/>
      <c r="K282" s="14" t="n">
        <v>410</v>
      </c>
      <c r="L282" s="19">
        <f>IF($C282="","",ROUND(IFERROR(VLOOKUP($C282,账户期初,2,0),0)+SUMIFS($J$4:J282,$C$4:C282,$C282)-SUMIFS($K$4:K282,$C$4:C282,$C282),2))</f>
        <v/>
      </c>
      <c r="M282" s="19">
        <f>IF($C282="","",ROUND(SUM(基础资料!$B$4:$B$13)+SUM($J$4:J282)-SUM($K$4:K282),2))</f>
        <v/>
      </c>
      <c r="N282" s="13" t="n"/>
      <c r="O282" s="13" t="n"/>
      <c r="P282" s="17">
        <f>IF($B282="","",IF($F282="※类别不在基础资料里","※费用类别不在基础资料里",IF(AND(N($J282)=0,N($K282)=0),"※这行没填金额",IF(AND(N($J282)&gt;0,N($K282)&gt;0),"※收入和支出不能同一行都填",IF(AND($D282="收入",N($J282)=0),"※收入行要填收入金额",IF(AND($D282="支出",N($K282)=0),"※支出行要填支出金额",IF(AND($C282&lt;&gt;"",ISNA(MATCH($C282,账户表,0))),"※账户不在基础资料里",IF(AND($G282&lt;&gt;"",ISNA(MATCH($G282,项目名表,0))),"※项目不在项目台账里",IF(AND(LEFT($F282,3)="成本-",$G282=""),"※成本类支出没填项目",IF(AND(LEFT($F282,3)="成本-",$H282&lt;&gt;"",N($K282)&gt;0,COUNTIFS(采购单!$B:$B,$B282,采购单!$C:$C,$H282,采购单!$L:$L,$K282)&gt;0),"※这笔可能和采购单重复了",""))))))))))</f>
        <v/>
      </c>
    </row>
    <row r="283">
      <c r="A283" s="17">
        <f>IF($B283="","",ROW()-3)</f>
        <v/>
      </c>
      <c r="B283" s="18" t="n">
        <v>46133</v>
      </c>
      <c r="C283" s="13" t="inlineStr">
        <is>
          <t>微信1</t>
        </is>
      </c>
      <c r="D283" s="13" t="inlineStr">
        <is>
          <t>支出</t>
        </is>
      </c>
      <c r="E283" s="13" t="inlineStr">
        <is>
          <t>办公用品</t>
        </is>
      </c>
      <c r="F283" s="17">
        <f>IF($E283="","",IFERROR(VLOOKUP($E283,类别归属,2,0),"※类别不在基础资料里"))</f>
        <v/>
      </c>
      <c r="G283" s="13" t="n"/>
      <c r="H283" s="13" t="n"/>
      <c r="I283" s="13" t="inlineStr">
        <is>
          <t>买皮尺30米*60元+50米*90=150-洪琳</t>
        </is>
      </c>
      <c r="J283" s="14" t="n"/>
      <c r="K283" s="14" t="n">
        <v>150</v>
      </c>
      <c r="L283" s="19">
        <f>IF($C283="","",ROUND(IFERROR(VLOOKUP($C283,账户期初,2,0),0)+SUMIFS($J$4:J283,$C$4:C283,$C283)-SUMIFS($K$4:K283,$C$4:C283,$C283),2))</f>
        <v/>
      </c>
      <c r="M283" s="19">
        <f>IF($C283="","",ROUND(SUM(基础资料!$B$4:$B$13)+SUM($J$4:J283)-SUM($K$4:K283),2))</f>
        <v/>
      </c>
      <c r="N283" s="13" t="n"/>
      <c r="O283" s="13" t="n"/>
      <c r="P283" s="17">
        <f>IF($B283="","",IF($F283="※类别不在基础资料里","※费用类别不在基础资料里",IF(AND(N($J283)=0,N($K283)=0),"※这行没填金额",IF(AND(N($J283)&gt;0,N($K283)&gt;0),"※收入和支出不能同一行都填",IF(AND($D283="收入",N($J283)=0),"※收入行要填收入金额",IF(AND($D283="支出",N($K283)=0),"※支出行要填支出金额",IF(AND($C283&lt;&gt;"",ISNA(MATCH($C283,账户表,0))),"※账户不在基础资料里",IF(AND($G283&lt;&gt;"",ISNA(MATCH($G283,项目名表,0))),"※项目不在项目台账里",IF(AND(LEFT($F283,3)="成本-",$G283=""),"※成本类支出没填项目",IF(AND(LEFT($F283,3)="成本-",$H283&lt;&gt;"",N($K283)&gt;0,COUNTIFS(采购单!$B:$B,$B283,采购单!$C:$C,$H283,采购单!$L:$L,$K283)&gt;0),"※这笔可能和采购单重复了",""))))))))))</f>
        <v/>
      </c>
    </row>
    <row r="284">
      <c r="A284" s="17">
        <f>IF($B284="","",ROW()-3)</f>
        <v/>
      </c>
      <c r="B284" s="18" t="n">
        <v>46133</v>
      </c>
      <c r="C284" s="13" t="inlineStr">
        <is>
          <t>微信1</t>
        </is>
      </c>
      <c r="D284" s="13" t="inlineStr">
        <is>
          <t>支出</t>
        </is>
      </c>
      <c r="E284" s="13" t="inlineStr">
        <is>
          <t>运费/快递费</t>
        </is>
      </c>
      <c r="F284" s="17">
        <f>IF($E284="","",IFERROR(VLOOKUP($E284,类别归属,2,0),"※类别不在基础资料里"))</f>
        <v/>
      </c>
      <c r="G284" s="13" t="inlineStr">
        <is>
          <t>铁柱烧烤店</t>
        </is>
      </c>
      <c r="H284" s="13" t="inlineStr">
        <is>
          <t>炳秀</t>
        </is>
      </c>
      <c r="I284" s="13" t="inlineStr">
        <is>
          <t>付炳秀配送</t>
        </is>
      </c>
      <c r="J284" s="14" t="n"/>
      <c r="K284" s="14" t="n">
        <v>10</v>
      </c>
      <c r="L284" s="19">
        <f>IF($C284="","",ROUND(IFERROR(VLOOKUP($C284,账户期初,2,0),0)+SUMIFS($J$4:J284,$C$4:C284,$C284)-SUMIFS($K$4:K284,$C$4:C284,$C284),2))</f>
        <v/>
      </c>
      <c r="M284" s="19">
        <f>IF($C284="","",ROUND(SUM(基础资料!$B$4:$B$13)+SUM($J$4:J284)-SUM($K$4:K284),2))</f>
        <v/>
      </c>
      <c r="N284" s="13" t="n"/>
      <c r="O284" s="13" t="inlineStr">
        <is>
          <t>16</t>
        </is>
      </c>
      <c r="P284" s="17">
        <f>IF($B284="","",IF($F284="※类别不在基础资料里","※费用类别不在基础资料里",IF(AND(N($J284)=0,N($K284)=0),"※这行没填金额",IF(AND(N($J284)&gt;0,N($K284)&gt;0),"※收入和支出不能同一行都填",IF(AND($D284="收入",N($J284)=0),"※收入行要填收入金额",IF(AND($D284="支出",N($K284)=0),"※支出行要填支出金额",IF(AND($C284&lt;&gt;"",ISNA(MATCH($C284,账户表,0))),"※账户不在基础资料里",IF(AND($G284&lt;&gt;"",ISNA(MATCH($G284,项目名表,0))),"※项目不在项目台账里",IF(AND(LEFT($F284,3)="成本-",$G284=""),"※成本类支出没填项目",IF(AND(LEFT($F284,3)="成本-",$H284&lt;&gt;"",N($K284)&gt;0,COUNTIFS(采购单!$B:$B,$B284,采购单!$C:$C,$H284,采购单!$L:$L,$K284)&gt;0),"※这笔可能和采购单重复了",""))))))))))</f>
        <v/>
      </c>
    </row>
    <row r="285">
      <c r="A285" s="17">
        <f>IF($B285="","",ROW()-3)</f>
        <v/>
      </c>
      <c r="B285" s="18" t="n">
        <v>46133</v>
      </c>
      <c r="C285" s="13" t="inlineStr">
        <is>
          <t>微信1</t>
        </is>
      </c>
      <c r="D285" s="13" t="inlineStr">
        <is>
          <t>支出</t>
        </is>
      </c>
      <c r="E285" s="13" t="inlineStr">
        <is>
          <t>运费/快递费</t>
        </is>
      </c>
      <c r="F285" s="17">
        <f>IF($E285="","",IFERROR(VLOOKUP($E285,类别归属,2,0),"※类别不在基础资料里"))</f>
        <v/>
      </c>
      <c r="G285" s="13" t="inlineStr">
        <is>
          <t>焰燃烧烤</t>
        </is>
      </c>
      <c r="H285" s="13" t="inlineStr">
        <is>
          <t>炳秀</t>
        </is>
      </c>
      <c r="I285" s="13" t="inlineStr">
        <is>
          <t>付炳秀配送</t>
        </is>
      </c>
      <c r="J285" s="14" t="n"/>
      <c r="K285" s="14" t="n">
        <v>6</v>
      </c>
      <c r="L285" s="19">
        <f>IF($C285="","",ROUND(IFERROR(VLOOKUP($C285,账户期初,2,0),0)+SUMIFS($J$4:J285,$C$4:C285,$C285)-SUMIFS($K$4:K285,$C$4:C285,$C285),2))</f>
        <v/>
      </c>
      <c r="M285" s="19">
        <f>IF($C285="","",ROUND(SUM(基础资料!$B$4:$B$13)+SUM($J$4:J285)-SUM($K$4:K285),2))</f>
        <v/>
      </c>
      <c r="N285" s="13" t="n"/>
      <c r="O285" s="13" t="n"/>
      <c r="P285" s="17">
        <f>IF($B285="","",IF($F285="※类别不在基础资料里","※费用类别不在基础资料里",IF(AND(N($J285)=0,N($K285)=0),"※这行没填金额",IF(AND(N($J285)&gt;0,N($K285)&gt;0),"※收入和支出不能同一行都填",IF(AND($D285="收入",N($J285)=0),"※收入行要填收入金额",IF(AND($D285="支出",N($K285)=0),"※支出行要填支出金额",IF(AND($C285&lt;&gt;"",ISNA(MATCH($C285,账户表,0))),"※账户不在基础资料里",IF(AND($G285&lt;&gt;"",ISNA(MATCH($G285,项目名表,0))),"※项目不在项目台账里",IF(AND(LEFT($F285,3)="成本-",$G285=""),"※成本类支出没填项目",IF(AND(LEFT($F285,3)="成本-",$H285&lt;&gt;"",N($K285)&gt;0,COUNTIFS(采购单!$B:$B,$B285,采购单!$C:$C,$H285,采购单!$L:$L,$K285)&gt;0),"※这笔可能和采购单重复了",""))))))))))</f>
        <v/>
      </c>
    </row>
    <row r="286">
      <c r="A286" s="17">
        <f>IF($B286="","",ROW()-3)</f>
        <v/>
      </c>
      <c r="B286" s="18" t="n">
        <v>46133</v>
      </c>
      <c r="C286" s="13" t="inlineStr">
        <is>
          <t>微信1</t>
        </is>
      </c>
      <c r="D286" s="13" t="inlineStr">
        <is>
          <t>收入</t>
        </is>
      </c>
      <c r="E286" s="13" t="inlineStr">
        <is>
          <t>收回借出款</t>
        </is>
      </c>
      <c r="F286" s="17">
        <f>IF($E286="","",IFERROR(VLOOKUP($E286,类别归属,2,0),"※类别不在基础资料里"))</f>
        <v/>
      </c>
      <c r="G286" s="13" t="n"/>
      <c r="H286" s="13" t="inlineStr">
        <is>
          <t>往来款</t>
        </is>
      </c>
      <c r="I286" s="13" t="inlineStr">
        <is>
          <t>客户已付给付久华</t>
        </is>
      </c>
      <c r="J286" s="14" t="n">
        <v>2000</v>
      </c>
      <c r="K286" s="14" t="n"/>
      <c r="L286" s="19">
        <f>IF($C286="","",ROUND(IFERROR(VLOOKUP($C286,账户期初,2,0),0)+SUMIFS($J$4:J286,$C$4:C286,$C286)-SUMIFS($K$4:K286,$C$4:C286,$C286),2))</f>
        <v/>
      </c>
      <c r="M286" s="19">
        <f>IF($C286="","",ROUND(SUM(基础资料!$B$4:$B$13)+SUM($J$4:J286)-SUM($K$4:K286),2))</f>
        <v/>
      </c>
      <c r="N286" s="13" t="n"/>
      <c r="O286" s="13" t="n"/>
      <c r="P286" s="17">
        <f>IF($B286="","",IF($F286="※类别不在基础资料里","※费用类别不在基础资料里",IF(AND(N($J286)=0,N($K286)=0),"※这行没填金额",IF(AND(N($J286)&gt;0,N($K286)&gt;0),"※收入和支出不能同一行都填",IF(AND($D286="收入",N($J286)=0),"※收入行要填收入金额",IF(AND($D286="支出",N($K286)=0),"※支出行要填支出金额",IF(AND($C286&lt;&gt;"",ISNA(MATCH($C286,账户表,0))),"※账户不在基础资料里",IF(AND($G286&lt;&gt;"",ISNA(MATCH($G286,项目名表,0))),"※项目不在项目台账里",IF(AND(LEFT($F286,3)="成本-",$G286=""),"※成本类支出没填项目",IF(AND(LEFT($F286,3)="成本-",$H286&lt;&gt;"",N($K286)&gt;0,COUNTIFS(采购单!$B:$B,$B286,采购单!$C:$C,$H286,采购单!$L:$L,$K286)&gt;0),"※这笔可能和采购单重复了",""))))))))))</f>
        <v/>
      </c>
    </row>
    <row r="287">
      <c r="A287" s="17">
        <f>IF($B287="","",ROW()-3)</f>
        <v/>
      </c>
      <c r="B287" s="18" t="n">
        <v>46133</v>
      </c>
      <c r="C287" s="13" t="inlineStr">
        <is>
          <t>微信1</t>
        </is>
      </c>
      <c r="D287" s="13" t="inlineStr">
        <is>
          <t>支出</t>
        </is>
      </c>
      <c r="E287" s="13" t="inlineStr">
        <is>
          <t>借出款</t>
        </is>
      </c>
      <c r="F287" s="17">
        <f>IF($E287="","",IFERROR(VLOOKUP($E287,类别归属,2,0),"※类别不在基础资料里"))</f>
        <v/>
      </c>
      <c r="G287" s="13" t="n"/>
      <c r="H287" s="13" t="inlineStr">
        <is>
          <t>往来款</t>
        </is>
      </c>
      <c r="I287" s="13" t="inlineStr">
        <is>
          <t>应付给客户</t>
        </is>
      </c>
      <c r="J287" s="14" t="n"/>
      <c r="K287" s="14" t="n">
        <v>2000</v>
      </c>
      <c r="L287" s="19">
        <f>IF($C287="","",ROUND(IFERROR(VLOOKUP($C287,账户期初,2,0),0)+SUMIFS($J$4:J287,$C$4:C287,$C287)-SUMIFS($K$4:K287,$C$4:C287,$C287),2))</f>
        <v/>
      </c>
      <c r="M287" s="19">
        <f>IF($C287="","",ROUND(SUM(基础资料!$B$4:$B$13)+SUM($J$4:J287)-SUM($K$4:K287),2))</f>
        <v/>
      </c>
      <c r="N287" s="13" t="n"/>
      <c r="O287" s="13" t="n"/>
      <c r="P287" s="17">
        <f>IF($B287="","",IF($F287="※类别不在基础资料里","※费用类别不在基础资料里",IF(AND(N($J287)=0,N($K287)=0),"※这行没填金额",IF(AND(N($J287)&gt;0,N($K287)&gt;0),"※收入和支出不能同一行都填",IF(AND($D287="收入",N($J287)=0),"※收入行要填收入金额",IF(AND($D287="支出",N($K287)=0),"※支出行要填支出金额",IF(AND($C287&lt;&gt;"",ISNA(MATCH($C287,账户表,0))),"※账户不在基础资料里",IF(AND($G287&lt;&gt;"",ISNA(MATCH($G287,项目名表,0))),"※项目不在项目台账里",IF(AND(LEFT($F287,3)="成本-",$G287=""),"※成本类支出没填项目",IF(AND(LEFT($F287,3)="成本-",$H287&lt;&gt;"",N($K287)&gt;0,COUNTIFS(采购单!$B:$B,$B287,采购单!$C:$C,$H287,采购单!$L:$L,$K287)&gt;0),"※这笔可能和采购单重复了",""))))))))))</f>
        <v/>
      </c>
    </row>
    <row r="288">
      <c r="A288" s="17">
        <f>IF($B288="","",ROW()-3)</f>
        <v/>
      </c>
      <c r="B288" s="18" t="n">
        <v>46133</v>
      </c>
      <c r="C288" s="13" t="inlineStr">
        <is>
          <t>微信1</t>
        </is>
      </c>
      <c r="D288" s="13" t="inlineStr">
        <is>
          <t>收入</t>
        </is>
      </c>
      <c r="E288" s="13" t="inlineStr">
        <is>
          <t>收回借出款</t>
        </is>
      </c>
      <c r="F288" s="17">
        <f>IF($E288="","",IFERROR(VLOOKUP($E288,类别归属,2,0),"※类别不在基础资料里"))</f>
        <v/>
      </c>
      <c r="G288" s="13" t="n"/>
      <c r="H288" s="13" t="inlineStr">
        <is>
          <t>往来款</t>
        </is>
      </c>
      <c r="I288" s="13" t="inlineStr">
        <is>
          <t>客户退回付久华</t>
        </is>
      </c>
      <c r="J288" s="14" t="n">
        <v>2000</v>
      </c>
      <c r="K288" s="14" t="n"/>
      <c r="L288" s="19">
        <f>IF($C288="","",ROUND(IFERROR(VLOOKUP($C288,账户期初,2,0),0)+SUMIFS($J$4:J288,$C$4:C288,$C288)-SUMIFS($K$4:K288,$C$4:C288,$C288),2))</f>
        <v/>
      </c>
      <c r="M288" s="19">
        <f>IF($C288="","",ROUND(SUM(基础资料!$B$4:$B$13)+SUM($J$4:J288)-SUM($K$4:K288),2))</f>
        <v/>
      </c>
      <c r="N288" s="13" t="n"/>
      <c r="O288" s="13" t="n"/>
      <c r="P288" s="17">
        <f>IF($B288="","",IF($F288="※类别不在基础资料里","※费用类别不在基础资料里",IF(AND(N($J288)=0,N($K288)=0),"※这行没填金额",IF(AND(N($J288)&gt;0,N($K288)&gt;0),"※收入和支出不能同一行都填",IF(AND($D288="收入",N($J288)=0),"※收入行要填收入金额",IF(AND($D288="支出",N($K288)=0),"※支出行要填支出金额",IF(AND($C288&lt;&gt;"",ISNA(MATCH($C288,账户表,0))),"※账户不在基础资料里",IF(AND($G288&lt;&gt;"",ISNA(MATCH($G288,项目名表,0))),"※项目不在项目台账里",IF(AND(LEFT($F288,3)="成本-",$G288=""),"※成本类支出没填项目",IF(AND(LEFT($F288,3)="成本-",$H288&lt;&gt;"",N($K288)&gt;0,COUNTIFS(采购单!$B:$B,$B288,采购单!$C:$C,$H288,采购单!$L:$L,$K288)&gt;0),"※这笔可能和采购单重复了",""))))))))))</f>
        <v/>
      </c>
    </row>
    <row r="289">
      <c r="A289" s="17">
        <f>IF($B289="","",ROW()-3)</f>
        <v/>
      </c>
      <c r="B289" s="18" t="n">
        <v>46133</v>
      </c>
      <c r="C289" s="13" t="inlineStr">
        <is>
          <t>微信1</t>
        </is>
      </c>
      <c r="D289" s="13" t="inlineStr">
        <is>
          <t>支出</t>
        </is>
      </c>
      <c r="E289" s="13" t="inlineStr">
        <is>
          <t>借出款</t>
        </is>
      </c>
      <c r="F289" s="17">
        <f>IF($E289="","",IFERROR(VLOOKUP($E289,类别归属,2,0),"※类别不在基础资料里"))</f>
        <v/>
      </c>
      <c r="G289" s="13" t="n"/>
      <c r="H289" s="13" t="inlineStr">
        <is>
          <t>往来款</t>
        </is>
      </c>
      <c r="I289" s="13" t="inlineStr">
        <is>
          <t>付给客户</t>
        </is>
      </c>
      <c r="J289" s="14" t="n"/>
      <c r="K289" s="14" t="n">
        <v>2000</v>
      </c>
      <c r="L289" s="19">
        <f>IF($C289="","",ROUND(IFERROR(VLOOKUP($C289,账户期初,2,0),0)+SUMIFS($J$4:J289,$C$4:C289,$C289)-SUMIFS($K$4:K289,$C$4:C289,$C289),2))</f>
        <v/>
      </c>
      <c r="M289" s="19">
        <f>IF($C289="","",ROUND(SUM(基础资料!$B$4:$B$13)+SUM($J$4:J289)-SUM($K$4:K289),2))</f>
        <v/>
      </c>
      <c r="N289" s="13" t="n"/>
      <c r="O289" s="13" t="n"/>
      <c r="P289" s="17">
        <f>IF($B289="","",IF($F289="※类别不在基础资料里","※费用类别不在基础资料里",IF(AND(N($J289)=0,N($K289)=0),"※这行没填金额",IF(AND(N($J289)&gt;0,N($K289)&gt;0),"※收入和支出不能同一行都填",IF(AND($D289="收入",N($J289)=0),"※收入行要填收入金额",IF(AND($D289="支出",N($K289)=0),"※支出行要填支出金额",IF(AND($C289&lt;&gt;"",ISNA(MATCH($C289,账户表,0))),"※账户不在基础资料里",IF(AND($G289&lt;&gt;"",ISNA(MATCH($G289,项目名表,0))),"※项目不在项目台账里",IF(AND(LEFT($F289,3)="成本-",$G289=""),"※成本类支出没填项目",IF(AND(LEFT($F289,3)="成本-",$H289&lt;&gt;"",N($K289)&gt;0,COUNTIFS(采购单!$B:$B,$B289,采购单!$C:$C,$H289,采购单!$L:$L,$K289)&gt;0),"※这笔可能和采购单重复了",""))))))))))</f>
        <v/>
      </c>
    </row>
    <row r="290">
      <c r="A290" s="17">
        <f>IF($B290="","",ROW()-3)</f>
        <v/>
      </c>
      <c r="B290" s="18" t="n">
        <v>46133</v>
      </c>
      <c r="C290" s="13" t="inlineStr">
        <is>
          <t>微信1</t>
        </is>
      </c>
      <c r="D290" s="13" t="inlineStr">
        <is>
          <t>支出</t>
        </is>
      </c>
      <c r="E290" s="13" t="inlineStr">
        <is>
          <t>主材采购</t>
        </is>
      </c>
      <c r="F290" s="17">
        <f>IF($E290="","",IFERROR(VLOOKUP($E290,类别归属,2,0),"※类别不在基础资料里"))</f>
        <v/>
      </c>
      <c r="G290" s="13" t="inlineStr">
        <is>
          <t>梦回唐朝</t>
        </is>
      </c>
      <c r="H290" s="13" t="inlineStr">
        <is>
          <t>浙江孚泰</t>
        </is>
      </c>
      <c r="I290" s="13" t="inlineStr">
        <is>
          <t>浙江孚泰</t>
        </is>
      </c>
      <c r="J290" s="14" t="n"/>
      <c r="K290" s="14" t="n">
        <v>995</v>
      </c>
      <c r="L290" s="19">
        <f>IF($C290="","",ROUND(IFERROR(VLOOKUP($C290,账户期初,2,0),0)+SUMIFS($J$4:J290,$C$4:C290,$C290)-SUMIFS($K$4:K290,$C$4:C290,$C290),2))</f>
        <v/>
      </c>
      <c r="M290" s="19">
        <f>IF($C290="","",ROUND(SUM(基础资料!$B$4:$B$13)+SUM($J$4:J290)-SUM($K$4:K290),2))</f>
        <v/>
      </c>
      <c r="N290" s="13" t="n"/>
      <c r="O290" s="13" t="n"/>
      <c r="P290" s="17">
        <f>IF($B290="","",IF($F290="※类别不在基础资料里","※费用类别不在基础资料里",IF(AND(N($J290)=0,N($K290)=0),"※这行没填金额",IF(AND(N($J290)&gt;0,N($K290)&gt;0),"※收入和支出不能同一行都填",IF(AND($D290="收入",N($J290)=0),"※收入行要填收入金额",IF(AND($D290="支出",N($K290)=0),"※支出行要填支出金额",IF(AND($C290&lt;&gt;"",ISNA(MATCH($C290,账户表,0))),"※账户不在基础资料里",IF(AND($G290&lt;&gt;"",ISNA(MATCH($G290,项目名表,0))),"※项目不在项目台账里",IF(AND(LEFT($F290,3)="成本-",$G290=""),"※成本类支出没填项目",IF(AND(LEFT($F290,3)="成本-",$H290&lt;&gt;"",N($K290)&gt;0,COUNTIFS(采购单!$B:$B,$B290,采购单!$C:$C,$H290,采购单!$L:$L,$K290)&gt;0),"※这笔可能和采购单重复了",""))))))))))</f>
        <v/>
      </c>
    </row>
    <row r="291">
      <c r="A291" s="17">
        <f>IF($B291="","",ROW()-3)</f>
        <v/>
      </c>
      <c r="B291" s="18" t="n">
        <v>46134</v>
      </c>
      <c r="C291" s="13" t="inlineStr">
        <is>
          <t>微信1</t>
        </is>
      </c>
      <c r="D291" s="13" t="inlineStr">
        <is>
          <t>支出</t>
        </is>
      </c>
      <c r="E291" s="13" t="inlineStr">
        <is>
          <t>运费/快递费</t>
        </is>
      </c>
      <c r="F291" s="17">
        <f>IF($E291="","",IFERROR(VLOOKUP($E291,类别归属,2,0),"※类别不在基础资料里"))</f>
        <v/>
      </c>
      <c r="G291" s="13" t="inlineStr">
        <is>
          <t>东尼电子</t>
        </is>
      </c>
      <c r="H291" s="13" t="inlineStr">
        <is>
          <t>炳秀</t>
        </is>
      </c>
      <c r="I291" s="13" t="inlineStr">
        <is>
          <t>付炳秀配送</t>
        </is>
      </c>
      <c r="J291" s="14" t="n"/>
      <c r="K291" s="14" t="n">
        <v>36</v>
      </c>
      <c r="L291" s="19">
        <f>IF($C291="","",ROUND(IFERROR(VLOOKUP($C291,账户期初,2,0),0)+SUMIFS($J$4:J291,$C$4:C291,$C291)-SUMIFS($K$4:K291,$C$4:C291,$C291),2))</f>
        <v/>
      </c>
      <c r="M291" s="19">
        <f>IF($C291="","",ROUND(SUM(基础资料!$B$4:$B$13)+SUM($J$4:J291)-SUM($K$4:K291),2))</f>
        <v/>
      </c>
      <c r="N291" s="13" t="n"/>
      <c r="O291" s="13" t="inlineStr">
        <is>
          <t>4.22凌宇实存2169.94
炳秀一块70</t>
        </is>
      </c>
      <c r="P291" s="17">
        <f>IF($B291="","",IF($F291="※类别不在基础资料里","※费用类别不在基础资料里",IF(AND(N($J291)=0,N($K291)=0),"※这行没填金额",IF(AND(N($J291)&gt;0,N($K291)&gt;0),"※收入和支出不能同一行都填",IF(AND($D291="收入",N($J291)=0),"※收入行要填收入金额",IF(AND($D291="支出",N($K291)=0),"※支出行要填支出金额",IF(AND($C291&lt;&gt;"",ISNA(MATCH($C291,账户表,0))),"※账户不在基础资料里",IF(AND($G291&lt;&gt;"",ISNA(MATCH($G291,项目名表,0))),"※项目不在项目台账里",IF(AND(LEFT($F291,3)="成本-",$G291=""),"※成本类支出没填项目",IF(AND(LEFT($F291,3)="成本-",$H291&lt;&gt;"",N($K291)&gt;0,COUNTIFS(采购单!$B:$B,$B291,采购单!$C:$C,$H291,采购单!$L:$L,$K291)&gt;0),"※这笔可能和采购单重复了",""))))))))))</f>
        <v/>
      </c>
    </row>
    <row r="292">
      <c r="A292" s="17">
        <f>IF($B292="","",ROW()-3)</f>
        <v/>
      </c>
      <c r="B292" s="18" t="n">
        <v>46134</v>
      </c>
      <c r="C292" s="13" t="inlineStr">
        <is>
          <t>微信1</t>
        </is>
      </c>
      <c r="D292" s="13" t="inlineStr">
        <is>
          <t>支出</t>
        </is>
      </c>
      <c r="E292" s="13" t="inlineStr">
        <is>
          <t>运费/快递费</t>
        </is>
      </c>
      <c r="F292" s="17">
        <f>IF($E292="","",IFERROR(VLOOKUP($E292,类别归属,2,0),"※类别不在基础资料里"))</f>
        <v/>
      </c>
      <c r="G292" s="13" t="inlineStr">
        <is>
          <t>织里店</t>
        </is>
      </c>
      <c r="H292" s="13" t="inlineStr">
        <is>
          <t>炳秀</t>
        </is>
      </c>
      <c r="I292" s="13" t="inlineStr">
        <is>
          <t>付炳秀配送</t>
        </is>
      </c>
      <c r="J292" s="14" t="n"/>
      <c r="K292" s="14" t="n">
        <v>34</v>
      </c>
      <c r="L292" s="19">
        <f>IF($C292="","",ROUND(IFERROR(VLOOKUP($C292,账户期初,2,0),0)+SUMIFS($J$4:J292,$C$4:C292,$C292)-SUMIFS($K$4:K292,$C$4:C292,$C292),2))</f>
        <v/>
      </c>
      <c r="M292" s="19">
        <f>IF($C292="","",ROUND(SUM(基础资料!$B$4:$B$13)+SUM($J$4:J292)-SUM($K$4:K292),2))</f>
        <v/>
      </c>
      <c r="N292" s="13" t="n"/>
      <c r="O292" s="13" t="n"/>
      <c r="P292" s="17">
        <f>IF($B292="","",IF($F292="※类别不在基础资料里","※费用类别不在基础资料里",IF(AND(N($J292)=0,N($K292)=0),"※这行没填金额",IF(AND(N($J292)&gt;0,N($K292)&gt;0),"※收入和支出不能同一行都填",IF(AND($D292="收入",N($J292)=0),"※收入行要填收入金额",IF(AND($D292="支出",N($K292)=0),"※支出行要填支出金额",IF(AND($C292&lt;&gt;"",ISNA(MATCH($C292,账户表,0))),"※账户不在基础资料里",IF(AND($G292&lt;&gt;"",ISNA(MATCH($G292,项目名表,0))),"※项目不在项目台账里",IF(AND(LEFT($F292,3)="成本-",$G292=""),"※成本类支出没填项目",IF(AND(LEFT($F292,3)="成本-",$H292&lt;&gt;"",N($K292)&gt;0,COUNTIFS(采购单!$B:$B,$B292,采购单!$C:$C,$H292,采购单!$L:$L,$K292)&gt;0),"※这笔可能和采购单重复了",""))))))))))</f>
        <v/>
      </c>
    </row>
    <row r="293">
      <c r="A293" s="17">
        <f>IF($B293="","",ROW()-3)</f>
        <v/>
      </c>
      <c r="B293" s="18" t="n">
        <v>46134</v>
      </c>
      <c r="C293" s="13" t="inlineStr">
        <is>
          <t>微信1</t>
        </is>
      </c>
      <c r="D293" s="13" t="inlineStr">
        <is>
          <t>支出</t>
        </is>
      </c>
      <c r="E293" s="13" t="inlineStr">
        <is>
          <t>车费/油费/过路费</t>
        </is>
      </c>
      <c r="F293" s="17">
        <f>IF($E293="","",IFERROR(VLOOKUP($E293,类别归属,2,0),"※类别不在基础资料里"))</f>
        <v/>
      </c>
      <c r="G293" s="13" t="inlineStr">
        <is>
          <t>梦回唐朝</t>
        </is>
      </c>
      <c r="H293" s="13" t="n"/>
      <c r="I293" s="13" t="inlineStr">
        <is>
          <t>南浔美食城-停车5+安专高速60</t>
        </is>
      </c>
      <c r="J293" s="14" t="n"/>
      <c r="K293" s="14" t="n">
        <v>65</v>
      </c>
      <c r="L293" s="19">
        <f>IF($C293="","",ROUND(IFERROR(VLOOKUP($C293,账户期初,2,0),0)+SUMIFS($J$4:J293,$C$4:C293,$C293)-SUMIFS($K$4:K293,$C$4:C293,$C293),2))</f>
        <v/>
      </c>
      <c r="M293" s="19">
        <f>IF($C293="","",ROUND(SUM(基础资料!$B$4:$B$13)+SUM($J$4:J293)-SUM($K$4:K293),2))</f>
        <v/>
      </c>
      <c r="N293" s="13" t="n"/>
      <c r="O293" s="13" t="inlineStr">
        <is>
          <t>合计 194+3=197</t>
        </is>
      </c>
      <c r="P293" s="17">
        <f>IF($B293="","",IF($F293="※类别不在基础资料里","※费用类别不在基础资料里",IF(AND(N($J293)=0,N($K293)=0),"※这行没填金额",IF(AND(N($J293)&gt;0,N($K293)&gt;0),"※收入和支出不能同一行都填",IF(AND($D293="收入",N($J293)=0),"※收入行要填收入金额",IF(AND($D293="支出",N($K293)=0),"※支出行要填支出金额",IF(AND($C293&lt;&gt;"",ISNA(MATCH($C293,账户表,0))),"※账户不在基础资料里",IF(AND($G293&lt;&gt;"",ISNA(MATCH($G293,项目名表,0))),"※项目不在项目台账里",IF(AND(LEFT($F293,3)="成本-",$G293=""),"※成本类支出没填项目",IF(AND(LEFT($F293,3)="成本-",$H293&lt;&gt;"",N($K293)&gt;0,COUNTIFS(采购单!$B:$B,$B293,采购单!$C:$C,$H293,采购单!$L:$L,$K293)&gt;0),"※这笔可能和采购单重复了",""))))))))))</f>
        <v/>
      </c>
    </row>
    <row r="294">
      <c r="A294" s="17">
        <f>IF($B294="","",ROW()-3)</f>
        <v/>
      </c>
      <c r="B294" s="18" t="n"/>
      <c r="C294" s="13" t="inlineStr">
        <is>
          <t>微信1</t>
        </is>
      </c>
      <c r="D294" s="13" t="inlineStr">
        <is>
          <t>支出</t>
        </is>
      </c>
      <c r="E294" s="13" t="inlineStr">
        <is>
          <t>待分类</t>
        </is>
      </c>
      <c r="F294" s="17">
        <f>IF($E294="","",IFERROR(VLOOKUP($E294,类别归属,2,0),"※类别不在基础资料里"))</f>
        <v/>
      </c>
      <c r="G294" s="13" t="inlineStr">
        <is>
          <t>湖岸漫食</t>
        </is>
      </c>
      <c r="H294" s="13" t="n"/>
      <c r="I294" s="13" t="inlineStr">
        <is>
          <t>湖岸漫食防水辅料88+3</t>
        </is>
      </c>
      <c r="J294" s="14" t="n"/>
      <c r="K294" s="14" t="n">
        <v>91</v>
      </c>
      <c r="L294" s="19">
        <f>IF($C294="","",ROUND(IFERROR(VLOOKUP($C294,账户期初,2,0),0)+SUMIFS($J$4:J294,$C$4:C294,$C294)-SUMIFS($K$4:K294,$C$4:C294,$C294),2))</f>
        <v/>
      </c>
      <c r="M294" s="19">
        <f>IF($C294="","",ROUND(SUM(基础资料!$B$4:$B$13)+SUM($J$4:J294)-SUM($K$4:K294),2))</f>
        <v/>
      </c>
      <c r="N294" s="13" t="n"/>
      <c r="O294" s="13" t="n"/>
      <c r="P294" s="17">
        <f>IF($B294="","",IF($F294="※类别不在基础资料里","※费用类别不在基础资料里",IF(AND(N($J294)=0,N($K294)=0),"※这行没填金额",IF(AND(N($J294)&gt;0,N($K294)&gt;0),"※收入和支出不能同一行都填",IF(AND($D294="收入",N($J294)=0),"※收入行要填收入金额",IF(AND($D294="支出",N($K294)=0),"※支出行要填支出金额",IF(AND($C294&lt;&gt;"",ISNA(MATCH($C294,账户表,0))),"※账户不在基础资料里",IF(AND($G294&lt;&gt;"",ISNA(MATCH($G294,项目名表,0))),"※项目不在项目台账里",IF(AND(LEFT($F294,3)="成本-",$G294=""),"※成本类支出没填项目",IF(AND(LEFT($F294,3)="成本-",$H294&lt;&gt;"",N($K294)&gt;0,COUNTIFS(采购单!$B:$B,$B294,采购单!$C:$C,$H294,采购单!$L:$L,$K294)&gt;0),"※这笔可能和采购单重复了",""))))))))))</f>
        <v/>
      </c>
    </row>
    <row r="295">
      <c r="A295" s="17">
        <f>IF($B295="","",ROW()-3)</f>
        <v/>
      </c>
      <c r="B295" s="18" t="n"/>
      <c r="C295" s="13" t="inlineStr">
        <is>
          <t>微信1</t>
        </is>
      </c>
      <c r="D295" s="13" t="inlineStr">
        <is>
          <t>支出</t>
        </is>
      </c>
      <c r="E295" s="13" t="inlineStr">
        <is>
          <t>待分类</t>
        </is>
      </c>
      <c r="F295" s="17">
        <f>IF($E295="","",IFERROR(VLOOKUP($E295,类别归属,2,0),"※类别不在基础资料里"))</f>
        <v/>
      </c>
      <c r="G295" s="13" t="inlineStr">
        <is>
          <t>梦回唐朝</t>
        </is>
      </c>
      <c r="H295" s="13" t="n"/>
      <c r="I295" s="13" t="inlineStr">
        <is>
          <t>钻头及螺丝（南浔美食城/湖岸漫食）</t>
        </is>
      </c>
      <c r="J295" s="14" t="n"/>
      <c r="K295" s="14" t="n">
        <v>41</v>
      </c>
      <c r="L295" s="19">
        <f>IF($C295="","",ROUND(IFERROR(VLOOKUP($C295,账户期初,2,0),0)+SUMIFS($J$4:J295,$C$4:C295,$C295)-SUMIFS($K$4:K295,$C$4:C295,$C295),2))</f>
        <v/>
      </c>
      <c r="M295" s="19">
        <f>IF($C295="","",ROUND(SUM(基础资料!$B$4:$B$13)+SUM($J$4:J295)-SUM($K$4:K295),2))</f>
        <v/>
      </c>
      <c r="N295" s="13" t="n"/>
      <c r="O295" s="13" t="n"/>
      <c r="P295" s="17">
        <f>IF($B295="","",IF($F295="※类别不在基础资料里","※费用类别不在基础资料里",IF(AND(N($J295)=0,N($K295)=0),"※这行没填金额",IF(AND(N($J295)&gt;0,N($K295)&gt;0),"※收入和支出不能同一行都填",IF(AND($D295="收入",N($J295)=0),"※收入行要填收入金额",IF(AND($D295="支出",N($K295)=0),"※支出行要填支出金额",IF(AND($C295&lt;&gt;"",ISNA(MATCH($C295,账户表,0))),"※账户不在基础资料里",IF(AND($G295&lt;&gt;"",ISNA(MATCH($G295,项目名表,0))),"※项目不在项目台账里",IF(AND(LEFT($F295,3)="成本-",$G295=""),"※成本类支出没填项目",IF(AND(LEFT($F295,3)="成本-",$H295&lt;&gt;"",N($K295)&gt;0,COUNTIFS(采购单!$B:$B,$B295,采购单!$C:$C,$H295,采购单!$L:$L,$K295)&gt;0),"※这笔可能和采购单重复了",""))))))))))</f>
        <v/>
      </c>
    </row>
    <row r="296">
      <c r="A296" s="17">
        <f>IF($B296="","",ROW()-3)</f>
        <v/>
      </c>
      <c r="B296" s="18" t="n">
        <v>46134</v>
      </c>
      <c r="C296" s="13" t="inlineStr">
        <is>
          <t>微信1</t>
        </is>
      </c>
      <c r="D296" s="13" t="inlineStr">
        <is>
          <t>支出</t>
        </is>
      </c>
      <c r="E296" s="13" t="inlineStr">
        <is>
          <t>主材采购</t>
        </is>
      </c>
      <c r="F296" s="17">
        <f>IF($E296="","",IFERROR(VLOOKUP($E296,类别归属,2,0),"※类别不在基础资料里"))</f>
        <v/>
      </c>
      <c r="G296" s="13" t="inlineStr">
        <is>
          <t>睿芯行</t>
        </is>
      </c>
      <c r="H296" s="13" t="inlineStr">
        <is>
          <t>广迅UV雕刻文化墙展厅</t>
        </is>
      </c>
      <c r="I296" s="13" t="inlineStr">
        <is>
          <t>付广迅UV雕刻文化墙展厅</t>
        </is>
      </c>
      <c r="J296" s="14" t="n"/>
      <c r="K296" s="14" t="n">
        <v>240</v>
      </c>
      <c r="L296" s="19">
        <f>IF($C296="","",ROUND(IFERROR(VLOOKUP($C296,账户期初,2,0),0)+SUMIFS($J$4:J296,$C$4:C296,$C296)-SUMIFS($K$4:K296,$C$4:C296,$C296),2))</f>
        <v/>
      </c>
      <c r="M296" s="19">
        <f>IF($C296="","",ROUND(SUM(基础资料!$B$4:$B$13)+SUM($J$4:J296)-SUM($K$4:K296),2))</f>
        <v/>
      </c>
      <c r="N296" s="13" t="n"/>
      <c r="O296" s="13" t="n"/>
      <c r="P296" s="17">
        <f>IF($B296="","",IF($F296="※类别不在基础资料里","※费用类别不在基础资料里",IF(AND(N($J296)=0,N($K296)=0),"※这行没填金额",IF(AND(N($J296)&gt;0,N($K296)&gt;0),"※收入和支出不能同一行都填",IF(AND($D296="收入",N($J296)=0),"※收入行要填收入金额",IF(AND($D296="支出",N($K296)=0),"※支出行要填支出金额",IF(AND($C296&lt;&gt;"",ISNA(MATCH($C296,账户表,0))),"※账户不在基础资料里",IF(AND($G296&lt;&gt;"",ISNA(MATCH($G296,项目名表,0))),"※项目不在项目台账里",IF(AND(LEFT($F296,3)="成本-",$G296=""),"※成本类支出没填项目",IF(AND(LEFT($F296,3)="成本-",$H296&lt;&gt;"",N($K296)&gt;0,COUNTIFS(采购单!$B:$B,$B296,采购单!$C:$C,$H296,采购单!$L:$L,$K296)&gt;0),"※这笔可能和采购单重复了",""))))))))))</f>
        <v/>
      </c>
    </row>
    <row r="297">
      <c r="A297" s="17">
        <f>IF($B297="","",ROW()-3)</f>
        <v/>
      </c>
      <c r="B297" s="18" t="n">
        <v>46135</v>
      </c>
      <c r="C297" s="13" t="inlineStr">
        <is>
          <t>微信1</t>
        </is>
      </c>
      <c r="D297" s="13" t="inlineStr">
        <is>
          <t>收入</t>
        </is>
      </c>
      <c r="E297" s="13" t="inlineStr">
        <is>
          <t>收回借出款</t>
        </is>
      </c>
      <c r="F297" s="17">
        <f>IF($E297="","",IFERROR(VLOOKUP($E297,类别归属,2,0),"※类别不在基础资料里"))</f>
        <v/>
      </c>
      <c r="G297" s="13" t="n"/>
      <c r="H297" s="13" t="inlineStr">
        <is>
          <t>付久华</t>
        </is>
      </c>
      <c r="I297" s="13" t="inlineStr">
        <is>
          <t>付给付久华</t>
        </is>
      </c>
      <c r="J297" s="14" t="n">
        <v>5000</v>
      </c>
      <c r="K297" s="14" t="n"/>
      <c r="L297" s="19">
        <f>IF($C297="","",ROUND(IFERROR(VLOOKUP($C297,账户期初,2,0),0)+SUMIFS($J$4:J297,$C$4:C297,$C297)-SUMIFS($K$4:K297,$C$4:C297,$C297),2))</f>
        <v/>
      </c>
      <c r="M297" s="19">
        <f>IF($C297="","",ROUND(SUM(基础资料!$B$4:$B$13)+SUM($J$4:J297)-SUM($K$4:K297),2))</f>
        <v/>
      </c>
      <c r="N297" s="13" t="n"/>
      <c r="O297" s="13" t="n"/>
      <c r="P297" s="17">
        <f>IF($B297="","",IF($F297="※类别不在基础资料里","※费用类别不在基础资料里",IF(AND(N($J297)=0,N($K297)=0),"※这行没填金额",IF(AND(N($J297)&gt;0,N($K297)&gt;0),"※收入和支出不能同一行都填",IF(AND($D297="收入",N($J297)=0),"※收入行要填收入金额",IF(AND($D297="支出",N($K297)=0),"※支出行要填支出金额",IF(AND($C297&lt;&gt;"",ISNA(MATCH($C297,账户表,0))),"※账户不在基础资料里",IF(AND($G297&lt;&gt;"",ISNA(MATCH($G297,项目名表,0))),"※项目不在项目台账里",IF(AND(LEFT($F297,3)="成本-",$G297=""),"※成本类支出没填项目",IF(AND(LEFT($F297,3)="成本-",$H297&lt;&gt;"",N($K297)&gt;0,COUNTIFS(采购单!$B:$B,$B297,采购单!$C:$C,$H297,采购单!$L:$L,$K297)&gt;0),"※这笔可能和采购单重复了",""))))))))))</f>
        <v/>
      </c>
    </row>
    <row r="298">
      <c r="A298" s="17">
        <f>IF($B298="","",ROW()-3)</f>
        <v/>
      </c>
      <c r="B298" s="18" t="n">
        <v>46135</v>
      </c>
      <c r="C298" s="13" t="inlineStr">
        <is>
          <t>微信1</t>
        </is>
      </c>
      <c r="D298" s="13" t="inlineStr">
        <is>
          <t>支出</t>
        </is>
      </c>
      <c r="E298" s="13" t="inlineStr">
        <is>
          <t>安装工资</t>
        </is>
      </c>
      <c r="F298" s="17">
        <f>IF($E298="","",IFERROR(VLOOKUP($E298,类别归属,2,0),"※类别不在基础资料里"))</f>
        <v/>
      </c>
      <c r="G298" s="13" t="n"/>
      <c r="H298" s="13" t="n"/>
      <c r="I298" s="13" t="inlineStr">
        <is>
          <t>付安装老姚工资</t>
        </is>
      </c>
      <c r="J298" s="14" t="n"/>
      <c r="K298" s="14" t="n">
        <v>3477</v>
      </c>
      <c r="L298" s="19">
        <f>IF($C298="","",ROUND(IFERROR(VLOOKUP($C298,账户期初,2,0),0)+SUMIFS($J$4:J298,$C$4:C298,$C298)-SUMIFS($K$4:K298,$C$4:C298,$C298),2))</f>
        <v/>
      </c>
      <c r="M298" s="19">
        <f>IF($C298="","",ROUND(SUM(基础资料!$B$4:$B$13)+SUM($J$4:J298)-SUM($K$4:K298),2))</f>
        <v/>
      </c>
      <c r="N298" s="13" t="n"/>
      <c r="O298" s="13" t="n"/>
      <c r="P298" s="17">
        <f>IF($B298="","",IF($F298="※类别不在基础资料里","※费用类别不在基础资料里",IF(AND(N($J298)=0,N($K298)=0),"※这行没填金额",IF(AND(N($J298)&gt;0,N($K298)&gt;0),"※收入和支出不能同一行都填",IF(AND($D298="收入",N($J298)=0),"※收入行要填收入金额",IF(AND($D298="支出",N($K298)=0),"※支出行要填支出金额",IF(AND($C298&lt;&gt;"",ISNA(MATCH($C298,账户表,0))),"※账户不在基础资料里",IF(AND($G298&lt;&gt;"",ISNA(MATCH($G298,项目名表,0))),"※项目不在项目台账里",IF(AND(LEFT($F298,3)="成本-",$G298=""),"※成本类支出没填项目",IF(AND(LEFT($F298,3)="成本-",$H298&lt;&gt;"",N($K298)&gt;0,COUNTIFS(采购单!$B:$B,$B298,采购单!$C:$C,$H298,采购单!$L:$L,$K298)&gt;0),"※这笔可能和采购单重复了",""))))))))))</f>
        <v/>
      </c>
    </row>
    <row r="299">
      <c r="A299" s="17">
        <f>IF($B299="","",ROW()-3)</f>
        <v/>
      </c>
      <c r="B299" s="18" t="n">
        <v>46135</v>
      </c>
      <c r="C299" s="13" t="inlineStr">
        <is>
          <t>微信1</t>
        </is>
      </c>
      <c r="D299" s="13" t="inlineStr">
        <is>
          <t>收入</t>
        </is>
      </c>
      <c r="E299" s="13" t="inlineStr">
        <is>
          <t>待分类</t>
        </is>
      </c>
      <c r="F299" s="17">
        <f>IF($E299="","",IFERROR(VLOOKUP($E299,类别归属,2,0),"※类别不在基础资料里"))</f>
        <v/>
      </c>
      <c r="G299" s="13" t="inlineStr">
        <is>
          <t>万达荣泰</t>
        </is>
      </c>
      <c r="H299" s="13" t="n"/>
      <c r="I299" s="13" t="inlineStr">
        <is>
          <t>二维码收款</t>
        </is>
      </c>
      <c r="J299" s="14" t="n">
        <v>130</v>
      </c>
      <c r="K299" s="14" t="n"/>
      <c r="L299" s="19">
        <f>IF($C299="","",ROUND(IFERROR(VLOOKUP($C299,账户期初,2,0),0)+SUMIFS($J$4:J299,$C$4:C299,$C299)-SUMIFS($K$4:K299,$C$4:C299,$C299),2))</f>
        <v/>
      </c>
      <c r="M299" s="19">
        <f>IF($C299="","",ROUND(SUM(基础资料!$B$4:$B$13)+SUM($J$4:J299)-SUM($K$4:K299),2))</f>
        <v/>
      </c>
      <c r="N299" s="13" t="n"/>
      <c r="O299" s="13" t="n"/>
      <c r="P299" s="17">
        <f>IF($B299="","",IF($F299="※类别不在基础资料里","※费用类别不在基础资料里",IF(AND(N($J299)=0,N($K299)=0),"※这行没填金额",IF(AND(N($J299)&gt;0,N($K299)&gt;0),"※收入和支出不能同一行都填",IF(AND($D299="收入",N($J299)=0),"※收入行要填收入金额",IF(AND($D299="支出",N($K299)=0),"※支出行要填支出金额",IF(AND($C299&lt;&gt;"",ISNA(MATCH($C299,账户表,0))),"※账户不在基础资料里",IF(AND($G299&lt;&gt;"",ISNA(MATCH($G299,项目名表,0))),"※项目不在项目台账里",IF(AND(LEFT($F299,3)="成本-",$G299=""),"※成本类支出没填项目",IF(AND(LEFT($F299,3)="成本-",$H299&lt;&gt;"",N($K299)&gt;0,COUNTIFS(采购单!$B:$B,$B299,采购单!$C:$C,$H299,采购单!$L:$L,$K299)&gt;0),"※这笔可能和采购单重复了",""))))))))))</f>
        <v/>
      </c>
    </row>
    <row r="300">
      <c r="A300" s="17">
        <f>IF($B300="","",ROW()-3)</f>
        <v/>
      </c>
      <c r="B300" s="18" t="n">
        <v>46135</v>
      </c>
      <c r="C300" s="13" t="inlineStr">
        <is>
          <t>微信1</t>
        </is>
      </c>
      <c r="D300" s="13" t="inlineStr">
        <is>
          <t>支出</t>
        </is>
      </c>
      <c r="E300" s="13" t="inlineStr">
        <is>
          <t>办公用品</t>
        </is>
      </c>
      <c r="F300" s="17">
        <f>IF($E300="","",IFERROR(VLOOKUP($E300,类别归属,2,0),"※类别不在基础资料里"))</f>
        <v/>
      </c>
      <c r="G300" s="13" t="n"/>
      <c r="H300" s="13" t="n"/>
      <c r="I300" s="13" t="inlineStr">
        <is>
          <t>拼多多</t>
        </is>
      </c>
      <c r="J300" s="14" t="n"/>
      <c r="K300" s="14" t="n">
        <v>33.89</v>
      </c>
      <c r="L300" s="19">
        <f>IF($C300="","",ROUND(IFERROR(VLOOKUP($C300,账户期初,2,0),0)+SUMIFS($J$4:J300,$C$4:C300,$C300)-SUMIFS($K$4:K300,$C$4:C300,$C300),2))</f>
        <v/>
      </c>
      <c r="M300" s="19">
        <f>IF($C300="","",ROUND(SUM(基础资料!$B$4:$B$13)+SUM($J$4:J300)-SUM($K$4:K300),2))</f>
        <v/>
      </c>
      <c r="N300" s="13" t="n"/>
      <c r="O300" s="13" t="n"/>
      <c r="P300" s="17">
        <f>IF($B300="","",IF($F300="※类别不在基础资料里","※费用类别不在基础资料里",IF(AND(N($J300)=0,N($K300)=0),"※这行没填金额",IF(AND(N($J300)&gt;0,N($K300)&gt;0),"※收入和支出不能同一行都填",IF(AND($D300="收入",N($J300)=0),"※收入行要填收入金额",IF(AND($D300="支出",N($K300)=0),"※支出行要填支出金额",IF(AND($C300&lt;&gt;"",ISNA(MATCH($C300,账户表,0))),"※账户不在基础资料里",IF(AND($G300&lt;&gt;"",ISNA(MATCH($G300,项目名表,0))),"※项目不在项目台账里",IF(AND(LEFT($F300,3)="成本-",$G300=""),"※成本类支出没填项目",IF(AND(LEFT($F300,3)="成本-",$H300&lt;&gt;"",N($K300)&gt;0,COUNTIFS(采购单!$B:$B,$B300,采购单!$C:$C,$H300,采购单!$L:$L,$K300)&gt;0),"※这笔可能和采购单重复了",""))))))))))</f>
        <v/>
      </c>
    </row>
    <row r="301">
      <c r="A301" s="17">
        <f>IF($B301="","",ROW()-3)</f>
        <v/>
      </c>
      <c r="B301" s="18" t="n">
        <v>46135</v>
      </c>
      <c r="C301" s="13" t="inlineStr">
        <is>
          <t>微信1</t>
        </is>
      </c>
      <c r="D301" s="13" t="inlineStr">
        <is>
          <t>支出</t>
        </is>
      </c>
      <c r="E301" s="13" t="inlineStr">
        <is>
          <t>运费/快递费</t>
        </is>
      </c>
      <c r="F301" s="17">
        <f>IF($E301="","",IFERROR(VLOOKUP($E301,类别归属,2,0),"※类别不在基础资料里"))</f>
        <v/>
      </c>
      <c r="G301" s="13" t="inlineStr">
        <is>
          <t>凤姐早餐店</t>
        </is>
      </c>
      <c r="H301" s="13" t="inlineStr">
        <is>
          <t>炳秀</t>
        </is>
      </c>
      <c r="I301" s="13" t="inlineStr">
        <is>
          <t>付炳秀配送</t>
        </is>
      </c>
      <c r="J301" s="14" t="n"/>
      <c r="K301" s="14" t="n">
        <v>20</v>
      </c>
      <c r="L301" s="19">
        <f>IF($C301="","",ROUND(IFERROR(VLOOKUP($C301,账户期初,2,0),0)+SUMIFS($J$4:J301,$C$4:C301,$C301)-SUMIFS($K$4:K301,$C$4:C301,$C301),2))</f>
        <v/>
      </c>
      <c r="M301" s="19">
        <f>IF($C301="","",ROUND(SUM(基础资料!$B$4:$B$13)+SUM($J$4:J301)-SUM($K$4:K301),2))</f>
        <v/>
      </c>
      <c r="N301" s="13" t="n"/>
      <c r="O301" s="13" t="n"/>
      <c r="P301" s="17">
        <f>IF($B301="","",IF($F301="※类别不在基础资料里","※费用类别不在基础资料里",IF(AND(N($J301)=0,N($K301)=0),"※这行没填金额",IF(AND(N($J301)&gt;0,N($K301)&gt;0),"※收入和支出不能同一行都填",IF(AND($D301="收入",N($J301)=0),"※收入行要填收入金额",IF(AND($D301="支出",N($K301)=0),"※支出行要填支出金额",IF(AND($C301&lt;&gt;"",ISNA(MATCH($C301,账户表,0))),"※账户不在基础资料里",IF(AND($G301&lt;&gt;"",ISNA(MATCH($G301,项目名表,0))),"※项目不在项目台账里",IF(AND(LEFT($F301,3)="成本-",$G301=""),"※成本类支出没填项目",IF(AND(LEFT($F301,3)="成本-",$H301&lt;&gt;"",N($K301)&gt;0,COUNTIFS(采购单!$B:$B,$B301,采购单!$C:$C,$H301,采购单!$L:$L,$K301)&gt;0),"※这笔可能和采购单重复了",""))))))))))</f>
        <v/>
      </c>
    </row>
    <row r="302">
      <c r="A302" s="17">
        <f>IF($B302="","",ROW()-3)</f>
        <v/>
      </c>
      <c r="B302" s="18" t="n">
        <v>46136</v>
      </c>
      <c r="C302" s="13" t="inlineStr">
        <is>
          <t>微信1</t>
        </is>
      </c>
      <c r="D302" s="13" t="inlineStr">
        <is>
          <t>支出</t>
        </is>
      </c>
      <c r="E302" s="13" t="inlineStr">
        <is>
          <t>运费/快递费</t>
        </is>
      </c>
      <c r="F302" s="17">
        <f>IF($E302="","",IFERROR(VLOOKUP($E302,类别归属,2,0),"※类别不在基础资料里"))</f>
        <v/>
      </c>
      <c r="G302" s="13" t="inlineStr">
        <is>
          <t>梦回唐朝</t>
        </is>
      </c>
      <c r="H302" s="13" t="n"/>
      <c r="I302" s="13" t="inlineStr">
        <is>
          <t>货拉拉-超薄灯箱</t>
        </is>
      </c>
      <c r="J302" s="14" t="n"/>
      <c r="K302" s="14" t="n">
        <v>71.59999999999999</v>
      </c>
      <c r="L302" s="19">
        <f>IF($C302="","",ROUND(IFERROR(VLOOKUP($C302,账户期初,2,0),0)+SUMIFS($J$4:J302,$C$4:C302,$C302)-SUMIFS($K$4:K302,$C$4:C302,$C302),2))</f>
        <v/>
      </c>
      <c r="M302" s="19">
        <f>IF($C302="","",ROUND(SUM(基础资料!$B$4:$B$13)+SUM($J$4:J302)-SUM($K$4:K302),2))</f>
        <v/>
      </c>
      <c r="N302" s="13" t="n"/>
      <c r="O302" s="13" t="inlineStr">
        <is>
          <t>南浔美食城</t>
        </is>
      </c>
      <c r="P302" s="17">
        <f>IF($B302="","",IF($F302="※类别不在基础资料里","※费用类别不在基础资料里",IF(AND(N($J302)=0,N($K302)=0),"※这行没填金额",IF(AND(N($J302)&gt;0,N($K302)&gt;0),"※收入和支出不能同一行都填",IF(AND($D302="收入",N($J302)=0),"※收入行要填收入金额",IF(AND($D302="支出",N($K302)=0),"※支出行要填支出金额",IF(AND($C302&lt;&gt;"",ISNA(MATCH($C302,账户表,0))),"※账户不在基础资料里",IF(AND($G302&lt;&gt;"",ISNA(MATCH($G302,项目名表,0))),"※项目不在项目台账里",IF(AND(LEFT($F302,3)="成本-",$G302=""),"※成本类支出没填项目",IF(AND(LEFT($F302,3)="成本-",$H302&lt;&gt;"",N($K302)&gt;0,COUNTIFS(采购单!$B:$B,$B302,采购单!$C:$C,$H302,采购单!$L:$L,$K302)&gt;0),"※这笔可能和采购单重复了",""))))))))))</f>
        <v/>
      </c>
    </row>
    <row r="303">
      <c r="A303" s="17">
        <f>IF($B303="","",ROW()-3)</f>
        <v/>
      </c>
      <c r="B303" s="18" t="n">
        <v>46136</v>
      </c>
      <c r="C303" s="13" t="inlineStr">
        <is>
          <t>微信1</t>
        </is>
      </c>
      <c r="D303" s="13" t="inlineStr">
        <is>
          <t>支出</t>
        </is>
      </c>
      <c r="E303" s="13" t="inlineStr">
        <is>
          <t>主材采购</t>
        </is>
      </c>
      <c r="F303" s="17">
        <f>IF($E303="","",IFERROR(VLOOKUP($E303,类别归属,2,0),"※类别不在基础资料里"))</f>
        <v/>
      </c>
      <c r="G303" s="13" t="inlineStr">
        <is>
          <t>梦回唐朝</t>
        </is>
      </c>
      <c r="H303" s="13" t="n"/>
      <c r="I303" s="13" t="inlineStr">
        <is>
          <t>顺丰快递费-超薄灯箱</t>
        </is>
      </c>
      <c r="J303" s="14" t="n"/>
      <c r="K303" s="14" t="n">
        <v>436</v>
      </c>
      <c r="L303" s="19">
        <f>IF($C303="","",ROUND(IFERROR(VLOOKUP($C303,账户期初,2,0),0)+SUMIFS($J$4:J303,$C$4:C303,$C303)-SUMIFS($K$4:K303,$C$4:C303,$C303),2))</f>
        <v/>
      </c>
      <c r="M303" s="19">
        <f>IF($C303="","",ROUND(SUM(基础资料!$B$4:$B$13)+SUM($J$4:J303)-SUM($K$4:K303),2))</f>
        <v/>
      </c>
      <c r="N303" s="13" t="n"/>
      <c r="O303" s="13" t="inlineStr">
        <is>
          <t>南浔美食城</t>
        </is>
      </c>
      <c r="P303" s="17">
        <f>IF($B303="","",IF($F303="※类别不在基础资料里","※费用类别不在基础资料里",IF(AND(N($J303)=0,N($K303)=0),"※这行没填金额",IF(AND(N($J303)&gt;0,N($K303)&gt;0),"※收入和支出不能同一行都填",IF(AND($D303="收入",N($J303)=0),"※收入行要填收入金额",IF(AND($D303="支出",N($K303)=0),"※支出行要填支出金额",IF(AND($C303&lt;&gt;"",ISNA(MATCH($C303,账户表,0))),"※账户不在基础资料里",IF(AND($G303&lt;&gt;"",ISNA(MATCH($G303,项目名表,0))),"※项目不在项目台账里",IF(AND(LEFT($F303,3)="成本-",$G303=""),"※成本类支出没填项目",IF(AND(LEFT($F303,3)="成本-",$H303&lt;&gt;"",N($K303)&gt;0,COUNTIFS(采购单!$B:$B,$B303,采购单!$C:$C,$H303,采购单!$L:$L,$K303)&gt;0),"※这笔可能和采购单重复了",""))))))))))</f>
        <v/>
      </c>
    </row>
    <row r="304">
      <c r="A304" s="17">
        <f>IF($B304="","",ROW()-3)</f>
        <v/>
      </c>
      <c r="B304" s="18" t="n">
        <v>46136</v>
      </c>
      <c r="C304" s="13" t="inlineStr">
        <is>
          <t>微信1</t>
        </is>
      </c>
      <c r="D304" s="13" t="inlineStr">
        <is>
          <t>支出</t>
        </is>
      </c>
      <c r="E304" s="13" t="inlineStr">
        <is>
          <t>运费/快递费</t>
        </is>
      </c>
      <c r="F304" s="17">
        <f>IF($E304="","",IFERROR(VLOOKUP($E304,类别归属,2,0),"※类别不在基础资料里"))</f>
        <v/>
      </c>
      <c r="G304" s="13" t="inlineStr">
        <is>
          <t>织里店</t>
        </is>
      </c>
      <c r="H304" s="13" t="inlineStr">
        <is>
          <t>炳秀</t>
        </is>
      </c>
      <c r="I304" s="13" t="inlineStr">
        <is>
          <t>付炳秀配送</t>
        </is>
      </c>
      <c r="J304" s="14" t="n"/>
      <c r="K304" s="14" t="n">
        <v>115</v>
      </c>
      <c r="L304" s="19">
        <f>IF($C304="","",ROUND(IFERROR(VLOOKUP($C304,账户期初,2,0),0)+SUMIFS($J$4:J304,$C$4:C304,$C304)-SUMIFS($K$4:K304,$C$4:C304,$C304),2))</f>
        <v/>
      </c>
      <c r="M304" s="19">
        <f>IF($C304="","",ROUND(SUM(基础资料!$B$4:$B$13)+SUM($J$4:J304)-SUM($K$4:K304),2))</f>
        <v/>
      </c>
      <c r="N304" s="13" t="n"/>
      <c r="O304" s="13" t="inlineStr">
        <is>
          <t>189</t>
        </is>
      </c>
      <c r="P304" s="17">
        <f>IF($B304="","",IF($F304="※类别不在基础资料里","※费用类别不在基础资料里",IF(AND(N($J304)=0,N($K304)=0),"※这行没填金额",IF(AND(N($J304)&gt;0,N($K304)&gt;0),"※收入和支出不能同一行都填",IF(AND($D304="收入",N($J304)=0),"※收入行要填收入金额",IF(AND($D304="支出",N($K304)=0),"※支出行要填支出金额",IF(AND($C304&lt;&gt;"",ISNA(MATCH($C304,账户表,0))),"※账户不在基础资料里",IF(AND($G304&lt;&gt;"",ISNA(MATCH($G304,项目名表,0))),"※项目不在项目台账里",IF(AND(LEFT($F304,3)="成本-",$G304=""),"※成本类支出没填项目",IF(AND(LEFT($F304,3)="成本-",$H304&lt;&gt;"",N($K304)&gt;0,COUNTIFS(采购单!$B:$B,$B304,采购单!$C:$C,$H304,采购单!$L:$L,$K304)&gt;0),"※这笔可能和采购单重复了",""))))))))))</f>
        <v/>
      </c>
    </row>
    <row r="305">
      <c r="A305" s="17">
        <f>IF($B305="","",ROW()-3)</f>
        <v/>
      </c>
      <c r="B305" s="18" t="n">
        <v>46136</v>
      </c>
      <c r="C305" s="13" t="inlineStr">
        <is>
          <t>微信1</t>
        </is>
      </c>
      <c r="D305" s="13" t="inlineStr">
        <is>
          <t>支出</t>
        </is>
      </c>
      <c r="E305" s="13" t="inlineStr">
        <is>
          <t>运费/快递费</t>
        </is>
      </c>
      <c r="F305" s="17">
        <f>IF($E305="","",IFERROR(VLOOKUP($E305,类别归属,2,0),"※类别不在基础资料里"))</f>
        <v/>
      </c>
      <c r="G305" s="13" t="inlineStr">
        <is>
          <t>万达荣泰</t>
        </is>
      </c>
      <c r="H305" s="13" t="inlineStr">
        <is>
          <t>炳秀</t>
        </is>
      </c>
      <c r="I305" s="13" t="inlineStr">
        <is>
          <t>付炳秀配送</t>
        </is>
      </c>
      <c r="J305" s="14" t="n"/>
      <c r="K305" s="14" t="n">
        <v>74</v>
      </c>
      <c r="L305" s="19">
        <f>IF($C305="","",ROUND(IFERROR(VLOOKUP($C305,账户期初,2,0),0)+SUMIFS($J$4:J305,$C$4:C305,$C305)-SUMIFS($K$4:K305,$C$4:C305,$C305),2))</f>
        <v/>
      </c>
      <c r="M305" s="19">
        <f>IF($C305="","",ROUND(SUM(基础资料!$B$4:$B$13)+SUM($J$4:J305)-SUM($K$4:K305),2))</f>
        <v/>
      </c>
      <c r="N305" s="13" t="n"/>
      <c r="O305" s="13" t="n"/>
      <c r="P305" s="17">
        <f>IF($B305="","",IF($F305="※类别不在基础资料里","※费用类别不在基础资料里",IF(AND(N($J305)=0,N($K305)=0),"※这行没填金额",IF(AND(N($J305)&gt;0,N($K305)&gt;0),"※收入和支出不能同一行都填",IF(AND($D305="收入",N($J305)=0),"※收入行要填收入金额",IF(AND($D305="支出",N($K305)=0),"※支出行要填支出金额",IF(AND($C305&lt;&gt;"",ISNA(MATCH($C305,账户表,0))),"※账户不在基础资料里",IF(AND($G305&lt;&gt;"",ISNA(MATCH($G305,项目名表,0))),"※项目不在项目台账里",IF(AND(LEFT($F305,3)="成本-",$G305=""),"※成本类支出没填项目",IF(AND(LEFT($F305,3)="成本-",$H305&lt;&gt;"",N($K305)&gt;0,COUNTIFS(采购单!$B:$B,$B305,采购单!$C:$C,$H305,采购单!$L:$L,$K305)&gt;0),"※这笔可能和采购单重复了",""))))))))))</f>
        <v/>
      </c>
    </row>
    <row r="306">
      <c r="A306" s="17">
        <f>IF($B306="","",ROW()-3)</f>
        <v/>
      </c>
      <c r="B306" s="18" t="n">
        <v>46137</v>
      </c>
      <c r="C306" s="13" t="inlineStr">
        <is>
          <t>微信1</t>
        </is>
      </c>
      <c r="D306" s="13" t="inlineStr">
        <is>
          <t>支出</t>
        </is>
      </c>
      <c r="E306" s="13" t="inlineStr">
        <is>
          <t>运费/快递费</t>
        </is>
      </c>
      <c r="F306" s="17">
        <f>IF($E306="","",IFERROR(VLOOKUP($E306,类别归属,2,0),"※类别不在基础资料里"))</f>
        <v/>
      </c>
      <c r="G306" s="13" t="inlineStr">
        <is>
          <t>织里店</t>
        </is>
      </c>
      <c r="H306" s="13" t="inlineStr">
        <is>
          <t>炳秀</t>
        </is>
      </c>
      <c r="I306" s="13" t="inlineStr">
        <is>
          <t>付炳秀配送</t>
        </is>
      </c>
      <c r="J306" s="14" t="n"/>
      <c r="K306" s="14" t="n">
        <v>37</v>
      </c>
      <c r="L306" s="19">
        <f>IF($C306="","",ROUND(IFERROR(VLOOKUP($C306,账户期初,2,0),0)+SUMIFS($J$4:J306,$C$4:C306,$C306)-SUMIFS($K$4:K306,$C$4:C306,$C306),2))</f>
        <v/>
      </c>
      <c r="M306" s="19">
        <f>IF($C306="","",ROUND(SUM(基础资料!$B$4:$B$13)+SUM($J$4:J306)-SUM($K$4:K306),2))</f>
        <v/>
      </c>
      <c r="N306" s="13" t="n"/>
      <c r="O306" s="13" t="inlineStr">
        <is>
          <t>424</t>
        </is>
      </c>
      <c r="P306" s="17">
        <f>IF($B306="","",IF($F306="※类别不在基础资料里","※费用类别不在基础资料里",IF(AND(N($J306)=0,N($K306)=0),"※这行没填金额",IF(AND(N($J306)&gt;0,N($K306)&gt;0),"※收入和支出不能同一行都填",IF(AND($D306="收入",N($J306)=0),"※收入行要填收入金额",IF(AND($D306="支出",N($K306)=0),"※支出行要填支出金额",IF(AND($C306&lt;&gt;"",ISNA(MATCH($C306,账户表,0))),"※账户不在基础资料里",IF(AND($G306&lt;&gt;"",ISNA(MATCH($G306,项目名表,0))),"※项目不在项目台账里",IF(AND(LEFT($F306,3)="成本-",$G306=""),"※成本类支出没填项目",IF(AND(LEFT($F306,3)="成本-",$H306&lt;&gt;"",N($K306)&gt;0,COUNTIFS(采购单!$B:$B,$B306,采购单!$C:$C,$H306,采购单!$L:$L,$K306)&gt;0),"※这笔可能和采购单重复了",""))))))))))</f>
        <v/>
      </c>
    </row>
    <row r="307">
      <c r="A307" s="17">
        <f>IF($B307="","",ROW()-3)</f>
        <v/>
      </c>
      <c r="B307" s="18" t="n">
        <v>46137</v>
      </c>
      <c r="C307" s="13" t="inlineStr">
        <is>
          <t>微信1</t>
        </is>
      </c>
      <c r="D307" s="13" t="inlineStr">
        <is>
          <t>支出</t>
        </is>
      </c>
      <c r="E307" s="13" t="inlineStr">
        <is>
          <t>运费/快递费</t>
        </is>
      </c>
      <c r="F307" s="17">
        <f>IF($E307="","",IFERROR(VLOOKUP($E307,类别归属,2,0),"※类别不在基础资料里"))</f>
        <v/>
      </c>
      <c r="G307" s="13" t="inlineStr">
        <is>
          <t>梦回唐朝</t>
        </is>
      </c>
      <c r="H307" s="13" t="inlineStr">
        <is>
          <t>炳秀</t>
        </is>
      </c>
      <c r="I307" s="13" t="inlineStr">
        <is>
          <t>付炳秀配送</t>
        </is>
      </c>
      <c r="J307" s="14" t="n"/>
      <c r="K307" s="14" t="n">
        <v>32</v>
      </c>
      <c r="L307" s="19">
        <f>IF($C307="","",ROUND(IFERROR(VLOOKUP($C307,账户期初,2,0),0)+SUMIFS($J$4:J307,$C$4:C307,$C307)-SUMIFS($K$4:K307,$C$4:C307,$C307),2))</f>
        <v/>
      </c>
      <c r="M307" s="19">
        <f>IF($C307="","",ROUND(SUM(基础资料!$B$4:$B$13)+SUM($J$4:J307)-SUM($K$4:K307),2))</f>
        <v/>
      </c>
      <c r="N307" s="13" t="n"/>
      <c r="O307" s="13" t="n"/>
      <c r="P307" s="17">
        <f>IF($B307="","",IF($F307="※类别不在基础资料里","※费用类别不在基础资料里",IF(AND(N($J307)=0,N($K307)=0),"※这行没填金额",IF(AND(N($J307)&gt;0,N($K307)&gt;0),"※收入和支出不能同一行都填",IF(AND($D307="收入",N($J307)=0),"※收入行要填收入金额",IF(AND($D307="支出",N($K307)=0),"※支出行要填支出金额",IF(AND($C307&lt;&gt;"",ISNA(MATCH($C307,账户表,0))),"※账户不在基础资料里",IF(AND($G307&lt;&gt;"",ISNA(MATCH($G307,项目名表,0))),"※项目不在项目台账里",IF(AND(LEFT($F307,3)="成本-",$G307=""),"※成本类支出没填项目",IF(AND(LEFT($F307,3)="成本-",$H307&lt;&gt;"",N($K307)&gt;0,COUNTIFS(采购单!$B:$B,$B307,采购单!$C:$C,$H307,采购单!$L:$L,$K307)&gt;0),"※这笔可能和采购单重复了",""))))))))))</f>
        <v/>
      </c>
    </row>
    <row r="308">
      <c r="A308" s="17">
        <f>IF($B308="","",ROW()-3)</f>
        <v/>
      </c>
      <c r="B308" s="18" t="n">
        <v>46137</v>
      </c>
      <c r="C308" s="13" t="inlineStr">
        <is>
          <t>微信1</t>
        </is>
      </c>
      <c r="D308" s="13" t="inlineStr">
        <is>
          <t>支出</t>
        </is>
      </c>
      <c r="E308" s="13" t="inlineStr">
        <is>
          <t>运费/快递费</t>
        </is>
      </c>
      <c r="F308" s="17">
        <f>IF($E308="","",IFERROR(VLOOKUP($E308,类别归属,2,0),"※类别不在基础资料里"))</f>
        <v/>
      </c>
      <c r="G308" s="13" t="inlineStr">
        <is>
          <t>每甜</t>
        </is>
      </c>
      <c r="H308" s="13" t="inlineStr">
        <is>
          <t>炳秀</t>
        </is>
      </c>
      <c r="I308" s="13" t="inlineStr">
        <is>
          <t>付炳秀配送</t>
        </is>
      </c>
      <c r="J308" s="14" t="n"/>
      <c r="K308" s="14" t="n">
        <v>355</v>
      </c>
      <c r="L308" s="19">
        <f>IF($C308="","",ROUND(IFERROR(VLOOKUP($C308,账户期初,2,0),0)+SUMIFS($J$4:J308,$C$4:C308,$C308)-SUMIFS($K$4:K308,$C$4:C308,$C308),2))</f>
        <v/>
      </c>
      <c r="M308" s="19">
        <f>IF($C308="","",ROUND(SUM(基础资料!$B$4:$B$13)+SUM($J$4:J308)-SUM($K$4:K308),2))</f>
        <v/>
      </c>
      <c r="N308" s="13" t="n"/>
      <c r="O308" s="13" t="n"/>
      <c r="P308" s="17">
        <f>IF($B308="","",IF($F308="※类别不在基础资料里","※费用类别不在基础资料里",IF(AND(N($J308)=0,N($K308)=0),"※这行没填金额",IF(AND(N($J308)&gt;0,N($K308)&gt;0),"※收入和支出不能同一行都填",IF(AND($D308="收入",N($J308)=0),"※收入行要填收入金额",IF(AND($D308="支出",N($K308)=0),"※支出行要填支出金额",IF(AND($C308&lt;&gt;"",ISNA(MATCH($C308,账户表,0))),"※账户不在基础资料里",IF(AND($G308&lt;&gt;"",ISNA(MATCH($G308,项目名表,0))),"※项目不在项目台账里",IF(AND(LEFT($F308,3)="成本-",$G308=""),"※成本类支出没填项目",IF(AND(LEFT($F308,3)="成本-",$H308&lt;&gt;"",N($K308)&gt;0,COUNTIFS(采购单!$B:$B,$B308,采购单!$C:$C,$H308,采购单!$L:$L,$K308)&gt;0),"※这笔可能和采购单重复了",""))))))))))</f>
        <v/>
      </c>
    </row>
    <row r="309">
      <c r="A309" s="17">
        <f>IF($B309="","",ROW()-3)</f>
        <v/>
      </c>
      <c r="B309" s="18" t="n">
        <v>46137</v>
      </c>
      <c r="C309" s="13" t="inlineStr">
        <is>
          <t>微信1</t>
        </is>
      </c>
      <c r="D309" s="13" t="inlineStr">
        <is>
          <t>支出</t>
        </is>
      </c>
      <c r="E309" s="13" t="inlineStr">
        <is>
          <t>其他管理费用</t>
        </is>
      </c>
      <c r="F309" s="17">
        <f>IF($E309="","",IFERROR(VLOOKUP($E309,类别归属,2,0),"※类别不在基础资料里"))</f>
        <v/>
      </c>
      <c r="G309" s="13" t="n"/>
      <c r="H309" s="13" t="n"/>
      <c r="I309" s="13" t="inlineStr">
        <is>
          <t>凌宇报销费用</t>
        </is>
      </c>
      <c r="J309" s="14" t="n"/>
      <c r="K309" s="14" t="n">
        <v>479.9</v>
      </c>
      <c r="L309" s="19">
        <f>IF($C309="","",ROUND(IFERROR(VLOOKUP($C309,账户期初,2,0),0)+SUMIFS($J$4:J309,$C$4:C309,$C309)-SUMIFS($K$4:K309,$C$4:C309,$C309),2))</f>
        <v/>
      </c>
      <c r="M309" s="19">
        <f>IF($C309="","",ROUND(SUM(基础资料!$B$4:$B$13)+SUM($J$4:J309)-SUM($K$4:K309),2))</f>
        <v/>
      </c>
      <c r="N309" s="13" t="n"/>
      <c r="O309" s="13" t="n"/>
      <c r="P309" s="17">
        <f>IF($B309="","",IF($F309="※类别不在基础资料里","※费用类别不在基础资料里",IF(AND(N($J309)=0,N($K309)=0),"※这行没填金额",IF(AND(N($J309)&gt;0,N($K309)&gt;0),"※收入和支出不能同一行都填",IF(AND($D309="收入",N($J309)=0),"※收入行要填收入金额",IF(AND($D309="支出",N($K309)=0),"※支出行要填支出金额",IF(AND($C309&lt;&gt;"",ISNA(MATCH($C309,账户表,0))),"※账户不在基础资料里",IF(AND($G309&lt;&gt;"",ISNA(MATCH($G309,项目名表,0))),"※项目不在项目台账里",IF(AND(LEFT($F309,3)="成本-",$G309=""),"※成本类支出没填项目",IF(AND(LEFT($F309,3)="成本-",$H309&lt;&gt;"",N($K309)&gt;0,COUNTIFS(采购单!$B:$B,$B309,采购单!$C:$C,$H309,采购单!$L:$L,$K309)&gt;0),"※这笔可能和采购单重复了",""))))))))))</f>
        <v/>
      </c>
    </row>
    <row r="310">
      <c r="A310" s="17">
        <f>IF($B310="","",ROW()-3)</f>
        <v/>
      </c>
      <c r="B310" s="18" t="n">
        <v>46137</v>
      </c>
      <c r="C310" s="13" t="inlineStr">
        <is>
          <t>微信1</t>
        </is>
      </c>
      <c r="D310" s="13" t="inlineStr">
        <is>
          <t>支出</t>
        </is>
      </c>
      <c r="E310" s="13" t="inlineStr">
        <is>
          <t>主材采购</t>
        </is>
      </c>
      <c r="F310" s="17">
        <f>IF($E310="","",IFERROR(VLOOKUP($E310,类别归属,2,0),"※类别不在基础资料里"))</f>
        <v/>
      </c>
      <c r="G310" s="13" t="n"/>
      <c r="H310" s="13" t="n"/>
      <c r="I310" s="13" t="inlineStr">
        <is>
          <t>临沂方正-中空板</t>
        </is>
      </c>
      <c r="J310" s="14" t="n"/>
      <c r="K310" s="14" t="n">
        <v>1600</v>
      </c>
      <c r="L310" s="19">
        <f>IF($C310="","",ROUND(IFERROR(VLOOKUP($C310,账户期初,2,0),0)+SUMIFS($J$4:J310,$C$4:C310,$C310)-SUMIFS($K$4:K310,$C$4:C310,$C310),2))</f>
        <v/>
      </c>
      <c r="M310" s="19">
        <f>IF($C310="","",ROUND(SUM(基础资料!$B$4:$B$13)+SUM($J$4:J310)-SUM($K$4:K310),2))</f>
        <v/>
      </c>
      <c r="N310" s="13" t="n"/>
      <c r="O310" s="13" t="n"/>
      <c r="P310" s="17">
        <f>IF($B310="","",IF($F310="※类别不在基础资料里","※费用类别不在基础资料里",IF(AND(N($J310)=0,N($K310)=0),"※这行没填金额",IF(AND(N($J310)&gt;0,N($K310)&gt;0),"※收入和支出不能同一行都填",IF(AND($D310="收入",N($J310)=0),"※收入行要填收入金额",IF(AND($D310="支出",N($K310)=0),"※支出行要填支出金额",IF(AND($C310&lt;&gt;"",ISNA(MATCH($C310,账户表,0))),"※账户不在基础资料里",IF(AND($G310&lt;&gt;"",ISNA(MATCH($G310,项目名表,0))),"※项目不在项目台账里",IF(AND(LEFT($F310,3)="成本-",$G310=""),"※成本类支出没填项目",IF(AND(LEFT($F310,3)="成本-",$H310&lt;&gt;"",N($K310)&gt;0,COUNTIFS(采购单!$B:$B,$B310,采购单!$C:$C,$H310,采购单!$L:$L,$K310)&gt;0),"※这笔可能和采购单重复了",""))))))))))</f>
        <v/>
      </c>
    </row>
    <row r="311">
      <c r="A311" s="17">
        <f>IF($B311="","",ROW()-3)</f>
        <v/>
      </c>
      <c r="B311" s="18" t="n">
        <v>46137</v>
      </c>
      <c r="C311" s="13" t="inlineStr">
        <is>
          <t>微信1</t>
        </is>
      </c>
      <c r="D311" s="13" t="inlineStr">
        <is>
          <t>收入</t>
        </is>
      </c>
      <c r="E311" s="13" t="inlineStr">
        <is>
          <t>项目收款</t>
        </is>
      </c>
      <c r="F311" s="17">
        <f>IF($E311="","",IFERROR(VLOOKUP($E311,类别归属,2,0),"※类别不在基础资料里"))</f>
        <v/>
      </c>
      <c r="G311" s="13" t="inlineStr">
        <is>
          <t>玖味卤味</t>
        </is>
      </c>
      <c r="H311" s="13" t="n"/>
      <c r="I311" s="13" t="inlineStr">
        <is>
          <t>定金-玖味卤味（伴</t>
        </is>
      </c>
      <c r="J311" s="14" t="n">
        <v>1000</v>
      </c>
      <c r="K311" s="14" t="n"/>
      <c r="L311" s="19">
        <f>IF($C311="","",ROUND(IFERROR(VLOOKUP($C311,账户期初,2,0),0)+SUMIFS($J$4:J311,$C$4:C311,$C311)-SUMIFS($K$4:K311,$C$4:C311,$C311),2))</f>
        <v/>
      </c>
      <c r="M311" s="19">
        <f>IF($C311="","",ROUND(SUM(基础资料!$B$4:$B$13)+SUM($J$4:J311)-SUM($K$4:K311),2))</f>
        <v/>
      </c>
      <c r="N311" s="13" t="n"/>
      <c r="O311" s="13" t="n"/>
      <c r="P311" s="17">
        <f>IF($B311="","",IF($F311="※类别不在基础资料里","※费用类别不在基础资料里",IF(AND(N($J311)=0,N($K311)=0),"※这行没填金额",IF(AND(N($J311)&gt;0,N($K311)&gt;0),"※收入和支出不能同一行都填",IF(AND($D311="收入",N($J311)=0),"※收入行要填收入金额",IF(AND($D311="支出",N($K311)=0),"※支出行要填支出金额",IF(AND($C311&lt;&gt;"",ISNA(MATCH($C311,账户表,0))),"※账户不在基础资料里",IF(AND($G311&lt;&gt;"",ISNA(MATCH($G311,项目名表,0))),"※项目不在项目台账里",IF(AND(LEFT($F311,3)="成本-",$G311=""),"※成本类支出没填项目",IF(AND(LEFT($F311,3)="成本-",$H311&lt;&gt;"",N($K311)&gt;0,COUNTIFS(采购单!$B:$B,$B311,采购单!$C:$C,$H311,采购单!$L:$L,$K311)&gt;0),"※这笔可能和采购单重复了",""))))))))))</f>
        <v/>
      </c>
    </row>
    <row r="312">
      <c r="A312" s="17">
        <f>IF($B312="","",ROW()-3)</f>
        <v/>
      </c>
      <c r="B312" s="18" t="n">
        <v>46137</v>
      </c>
      <c r="C312" s="13" t="inlineStr">
        <is>
          <t>微信1</t>
        </is>
      </c>
      <c r="D312" s="13" t="inlineStr">
        <is>
          <t>支出</t>
        </is>
      </c>
      <c r="E312" s="13" t="inlineStr">
        <is>
          <t>主材采购</t>
        </is>
      </c>
      <c r="F312" s="17">
        <f>IF($E312="","",IFERROR(VLOOKUP($E312,类别归属,2,0),"※类别不在基础资料里"))</f>
        <v/>
      </c>
      <c r="G312" s="13" t="inlineStr">
        <is>
          <t>玖味卤味</t>
        </is>
      </c>
      <c r="H312" s="13" t="inlineStr">
        <is>
          <t>浙江孚泰</t>
        </is>
      </c>
      <c r="I312" s="13" t="inlineStr">
        <is>
          <t>浙江孚泰</t>
        </is>
      </c>
      <c r="J312" s="14" t="n"/>
      <c r="K312" s="14" t="n">
        <v>465</v>
      </c>
      <c r="L312" s="19">
        <f>IF($C312="","",ROUND(IFERROR(VLOOKUP($C312,账户期初,2,0),0)+SUMIFS($J$4:J312,$C$4:C312,$C312)-SUMIFS($K$4:K312,$C$4:C312,$C312),2))</f>
        <v/>
      </c>
      <c r="M312" s="19">
        <f>IF($C312="","",ROUND(SUM(基础资料!$B$4:$B$13)+SUM($J$4:J312)-SUM($K$4:K312),2))</f>
        <v/>
      </c>
      <c r="N312" s="13" t="n"/>
      <c r="O312" s="13" t="n"/>
      <c r="P312" s="17">
        <f>IF($B312="","",IF($F312="※类别不在基础资料里","※费用类别不在基础资料里",IF(AND(N($J312)=0,N($K312)=0),"※这行没填金额",IF(AND(N($J312)&gt;0,N($K312)&gt;0),"※收入和支出不能同一行都填",IF(AND($D312="收入",N($J312)=0),"※收入行要填收入金额",IF(AND($D312="支出",N($K312)=0),"※支出行要填支出金额",IF(AND($C312&lt;&gt;"",ISNA(MATCH($C312,账户表,0))),"※账户不在基础资料里",IF(AND($G312&lt;&gt;"",ISNA(MATCH($G312,项目名表,0))),"※项目不在项目台账里",IF(AND(LEFT($F312,3)="成本-",$G312=""),"※成本类支出没填项目",IF(AND(LEFT($F312,3)="成本-",$H312&lt;&gt;"",N($K312)&gt;0,COUNTIFS(采购单!$B:$B,$B312,采购单!$C:$C,$H312,采购单!$L:$L,$K312)&gt;0),"※这笔可能和采购单重复了",""))))))))))</f>
        <v/>
      </c>
    </row>
    <row r="313">
      <c r="A313" s="17">
        <f>IF($B313="","",ROW()-3)</f>
        <v/>
      </c>
      <c r="B313" s="18" t="n">
        <v>46137</v>
      </c>
      <c r="C313" s="13" t="inlineStr">
        <is>
          <t>微信1</t>
        </is>
      </c>
      <c r="D313" s="13" t="inlineStr">
        <is>
          <t>收入</t>
        </is>
      </c>
      <c r="E313" s="13" t="inlineStr">
        <is>
          <t>项目收款</t>
        </is>
      </c>
      <c r="F313" s="17">
        <f>IF($E313="","",IFERROR(VLOOKUP($E313,类别归属,2,0),"※类别不在基础资料里"))</f>
        <v/>
      </c>
      <c r="G313" s="13" t="inlineStr">
        <is>
          <t>焰燃烧烤店</t>
        </is>
      </c>
      <c r="H313" s="13" t="n"/>
      <c r="I313" s="13" t="inlineStr">
        <is>
          <t>炎燃烧烤-定金（周洁</t>
        </is>
      </c>
      <c r="J313" s="14" t="n">
        <v>5000</v>
      </c>
      <c r="K313" s="14" t="n"/>
      <c r="L313" s="19">
        <f>IF($C313="","",ROUND(IFERROR(VLOOKUP($C313,账户期初,2,0),0)+SUMIFS($J$4:J313,$C$4:C313,$C313)-SUMIFS($K$4:K313,$C$4:C313,$C313),2))</f>
        <v/>
      </c>
      <c r="M313" s="19">
        <f>IF($C313="","",ROUND(SUM(基础资料!$B$4:$B$13)+SUM($J$4:J313)-SUM($K$4:K313),2))</f>
        <v/>
      </c>
      <c r="N313" s="13" t="n"/>
      <c r="O313" s="13" t="n"/>
      <c r="P313" s="17">
        <f>IF($B313="","",IF($F313="※类别不在基础资料里","※费用类别不在基础资料里",IF(AND(N($J313)=0,N($K313)=0),"※这行没填金额",IF(AND(N($J313)&gt;0,N($K313)&gt;0),"※收入和支出不能同一行都填",IF(AND($D313="收入",N($J313)=0),"※收入行要填收入金额",IF(AND($D313="支出",N($K313)=0),"※支出行要填支出金额",IF(AND($C313&lt;&gt;"",ISNA(MATCH($C313,账户表,0))),"※账户不在基础资料里",IF(AND($G313&lt;&gt;"",ISNA(MATCH($G313,项目名表,0))),"※项目不在项目台账里",IF(AND(LEFT($F313,3)="成本-",$G313=""),"※成本类支出没填项目",IF(AND(LEFT($F313,3)="成本-",$H313&lt;&gt;"",N($K313)&gt;0,COUNTIFS(采购单!$B:$B,$B313,采购单!$C:$C,$H313,采购单!$L:$L,$K313)&gt;0),"※这笔可能和采购单重复了",""))))))))))</f>
        <v/>
      </c>
    </row>
    <row r="314">
      <c r="A314" s="17">
        <f>IF($B314="","",ROW()-3)</f>
        <v/>
      </c>
      <c r="B314" s="18" t="n">
        <v>46138</v>
      </c>
      <c r="C314" s="13" t="inlineStr">
        <is>
          <t>微信1</t>
        </is>
      </c>
      <c r="D314" s="13" t="inlineStr">
        <is>
          <t>支出</t>
        </is>
      </c>
      <c r="E314" s="13" t="inlineStr">
        <is>
          <t>运费/快递费</t>
        </is>
      </c>
      <c r="F314" s="17">
        <f>IF($E314="","",IFERROR(VLOOKUP($E314,类别归属,2,0),"※类别不在基础资料里"))</f>
        <v/>
      </c>
      <c r="G314" s="13" t="inlineStr">
        <is>
          <t>梦回唐朝</t>
        </is>
      </c>
      <c r="H314" s="13" t="inlineStr">
        <is>
          <t>炳秀</t>
        </is>
      </c>
      <c r="I314" s="13" t="inlineStr">
        <is>
          <t>付炳秀配送</t>
        </is>
      </c>
      <c r="J314" s="14" t="n"/>
      <c r="K314" s="14" t="n">
        <v>24</v>
      </c>
      <c r="L314" s="19">
        <f>IF($C314="","",ROUND(IFERROR(VLOOKUP($C314,账户期初,2,0),0)+SUMIFS($J$4:J314,$C$4:C314,$C314)-SUMIFS($K$4:K314,$C$4:C314,$C314),2))</f>
        <v/>
      </c>
      <c r="M314" s="19">
        <f>IF($C314="","",ROUND(SUM(基础资料!$B$4:$B$13)+SUM($J$4:J314)-SUM($K$4:K314),2))</f>
        <v/>
      </c>
      <c r="N314" s="13" t="n"/>
      <c r="O314" s="13" t="n"/>
      <c r="P314" s="17">
        <f>IF($B314="","",IF($F314="※类别不在基础资料里","※费用类别不在基础资料里",IF(AND(N($J314)=0,N($K314)=0),"※这行没填金额",IF(AND(N($J314)&gt;0,N($K314)&gt;0),"※收入和支出不能同一行都填",IF(AND($D314="收入",N($J314)=0),"※收入行要填收入金额",IF(AND($D314="支出",N($K314)=0),"※支出行要填支出金额",IF(AND($C314&lt;&gt;"",ISNA(MATCH($C314,账户表,0))),"※账户不在基础资料里",IF(AND($G314&lt;&gt;"",ISNA(MATCH($G314,项目名表,0))),"※项目不在项目台账里",IF(AND(LEFT($F314,3)="成本-",$G314=""),"※成本类支出没填项目",IF(AND(LEFT($F314,3)="成本-",$H314&lt;&gt;"",N($K314)&gt;0,COUNTIFS(采购单!$B:$B,$B314,采购单!$C:$C,$H314,采购单!$L:$L,$K314)&gt;0),"※这笔可能和采购单重复了",""))))))))))</f>
        <v/>
      </c>
    </row>
    <row r="315">
      <c r="A315" s="17">
        <f>IF($B315="","",ROW()-3)</f>
        <v/>
      </c>
      <c r="B315" s="18" t="n">
        <v>46139</v>
      </c>
      <c r="C315" s="13" t="inlineStr">
        <is>
          <t>微信1</t>
        </is>
      </c>
      <c r="D315" s="13" t="inlineStr">
        <is>
          <t>支出</t>
        </is>
      </c>
      <c r="E315" s="13" t="inlineStr">
        <is>
          <t>待分类</t>
        </is>
      </c>
      <c r="F315" s="17">
        <f>IF($E315="","",IFERROR(VLOOKUP($E315,类别归属,2,0),"※类别不在基础资料里"))</f>
        <v/>
      </c>
      <c r="G315" s="13" t="n"/>
      <c r="H315" s="13" t="n"/>
      <c r="I315" s="13" t="inlineStr">
        <is>
          <t>周学锋</t>
        </is>
      </c>
      <c r="J315" s="14" t="n"/>
      <c r="K315" s="14" t="n">
        <v>180</v>
      </c>
      <c r="L315" s="19">
        <f>IF($C315="","",ROUND(IFERROR(VLOOKUP($C315,账户期初,2,0),0)+SUMIFS($J$4:J315,$C$4:C315,$C315)-SUMIFS($K$4:K315,$C$4:C315,$C315),2))</f>
        <v/>
      </c>
      <c r="M315" s="19">
        <f>IF($C315="","",ROUND(SUM(基础资料!$B$4:$B$13)+SUM($J$4:J315)-SUM($K$4:K315),2))</f>
        <v/>
      </c>
      <c r="N315" s="13" t="n"/>
      <c r="O315" s="13" t="inlineStr">
        <is>
          <t>4.27凌宇实存5462.55、黑色结构胶</t>
        </is>
      </c>
      <c r="P315" s="17">
        <f>IF($B315="","",IF($F315="※类别不在基础资料里","※费用类别不在基础资料里",IF(AND(N($J315)=0,N($K315)=0),"※这行没填金额",IF(AND(N($J315)&gt;0,N($K315)&gt;0),"※收入和支出不能同一行都填",IF(AND($D315="收入",N($J315)=0),"※收入行要填收入金额",IF(AND($D315="支出",N($K315)=0),"※支出行要填支出金额",IF(AND($C315&lt;&gt;"",ISNA(MATCH($C315,账户表,0))),"※账户不在基础资料里",IF(AND($G315&lt;&gt;"",ISNA(MATCH($G315,项目名表,0))),"※项目不在项目台账里",IF(AND(LEFT($F315,3)="成本-",$G315=""),"※成本类支出没填项目",IF(AND(LEFT($F315,3)="成本-",$H315&lt;&gt;"",N($K315)&gt;0,COUNTIFS(采购单!$B:$B,$B315,采购单!$C:$C,$H315,采购单!$L:$L,$K315)&gt;0),"※这笔可能和采购单重复了",""))))))))))</f>
        <v/>
      </c>
    </row>
    <row r="316">
      <c r="A316" s="17">
        <f>IF($B316="","",ROW()-3)</f>
        <v/>
      </c>
      <c r="B316" s="18" t="n">
        <v>46139</v>
      </c>
      <c r="C316" s="13" t="inlineStr">
        <is>
          <t>微信1</t>
        </is>
      </c>
      <c r="D316" s="13" t="inlineStr">
        <is>
          <t>支出</t>
        </is>
      </c>
      <c r="E316" s="13" t="inlineStr">
        <is>
          <t>其他管理费用</t>
        </is>
      </c>
      <c r="F316" s="17">
        <f>IF($E316="","",IFERROR(VLOOKUP($E316,类别归属,2,0),"※类别不在基础资料里"))</f>
        <v/>
      </c>
      <c r="G316" s="13" t="n"/>
      <c r="H316" s="13" t="n"/>
      <c r="I316" s="13" t="inlineStr">
        <is>
          <t>付杨德报销费用</t>
        </is>
      </c>
      <c r="J316" s="14" t="n"/>
      <c r="K316" s="14" t="n">
        <v>1301.5</v>
      </c>
      <c r="L316" s="19">
        <f>IF($C316="","",ROUND(IFERROR(VLOOKUP($C316,账户期初,2,0),0)+SUMIFS($J$4:J316,$C$4:C316,$C316)-SUMIFS($K$4:K316,$C$4:C316,$C316),2))</f>
        <v/>
      </c>
      <c r="M316" s="19">
        <f>IF($C316="","",ROUND(SUM(基础资料!$B$4:$B$13)+SUM($J$4:J316)-SUM($K$4:K316),2))</f>
        <v/>
      </c>
      <c r="N316" s="13" t="n"/>
      <c r="O316" s="13" t="n"/>
      <c r="P316" s="17">
        <f>IF($B316="","",IF($F316="※类别不在基础资料里","※费用类别不在基础资料里",IF(AND(N($J316)=0,N($K316)=0),"※这行没填金额",IF(AND(N($J316)&gt;0,N($K316)&gt;0),"※收入和支出不能同一行都填",IF(AND($D316="收入",N($J316)=0),"※收入行要填收入金额",IF(AND($D316="支出",N($K316)=0),"※支出行要填支出金额",IF(AND($C316&lt;&gt;"",ISNA(MATCH($C316,账户表,0))),"※账户不在基础资料里",IF(AND($G316&lt;&gt;"",ISNA(MATCH($G316,项目名表,0))),"※项目不在项目台账里",IF(AND(LEFT($F316,3)="成本-",$G316=""),"※成本类支出没填项目",IF(AND(LEFT($F316,3)="成本-",$H316&lt;&gt;"",N($K316)&gt;0,COUNTIFS(采购单!$B:$B,$B316,采购单!$C:$C,$H316,采购单!$L:$L,$K316)&gt;0),"※这笔可能和采购单重复了",""))))))))))</f>
        <v/>
      </c>
    </row>
    <row r="317">
      <c r="A317" s="17">
        <f>IF($B317="","",ROW()-3)</f>
        <v/>
      </c>
      <c r="B317" s="18" t="n">
        <v>46139</v>
      </c>
      <c r="C317" s="13" t="inlineStr">
        <is>
          <t>微信1</t>
        </is>
      </c>
      <c r="D317" s="13" t="inlineStr">
        <is>
          <t>支出</t>
        </is>
      </c>
      <c r="E317" s="13" t="inlineStr">
        <is>
          <t>主材采购</t>
        </is>
      </c>
      <c r="F317" s="17">
        <f>IF($E317="","",IFERROR(VLOOKUP($E317,类别归属,2,0),"※类别不在基础资料里"))</f>
        <v/>
      </c>
      <c r="G317" s="13" t="n"/>
      <c r="H317" s="13" t="inlineStr">
        <is>
          <t>吉祥铝板吴玲芳</t>
        </is>
      </c>
      <c r="I317" s="13" t="inlineStr">
        <is>
          <t>付吉祥铝板吴玲芳</t>
        </is>
      </c>
      <c r="J317" s="14" t="n"/>
      <c r="K317" s="14" t="n">
        <v>220</v>
      </c>
      <c r="L317" s="19">
        <f>IF($C317="","",ROUND(IFERROR(VLOOKUP($C317,账户期初,2,0),0)+SUMIFS($J$4:J317,$C$4:C317,$C317)-SUMIFS($K$4:K317,$C$4:C317,$C317),2))</f>
        <v/>
      </c>
      <c r="M317" s="19">
        <f>IF($C317="","",ROUND(SUM(基础资料!$B$4:$B$13)+SUM($J$4:J317)-SUM($K$4:K317),2))</f>
        <v/>
      </c>
      <c r="N317" s="13" t="n"/>
      <c r="O317" s="13" t="inlineStr">
        <is>
          <t>白色板、疑似赵总的活</t>
        </is>
      </c>
      <c r="P317" s="17">
        <f>IF($B317="","",IF($F317="※类别不在基础资料里","※费用类别不在基础资料里",IF(AND(N($J317)=0,N($K317)=0),"※这行没填金额",IF(AND(N($J317)&gt;0,N($K317)&gt;0),"※收入和支出不能同一行都填",IF(AND($D317="收入",N($J317)=0),"※收入行要填收入金额",IF(AND($D317="支出",N($K317)=0),"※支出行要填支出金额",IF(AND($C317&lt;&gt;"",ISNA(MATCH($C317,账户表,0))),"※账户不在基础资料里",IF(AND($G317&lt;&gt;"",ISNA(MATCH($G317,项目名表,0))),"※项目不在项目台账里",IF(AND(LEFT($F317,3)="成本-",$G317=""),"※成本类支出没填项目",IF(AND(LEFT($F317,3)="成本-",$H317&lt;&gt;"",N($K317)&gt;0,COUNTIFS(采购单!$B:$B,$B317,采购单!$C:$C,$H317,采购单!$L:$L,$K317)&gt;0),"※这笔可能和采购单重复了",""))))))))))</f>
        <v/>
      </c>
    </row>
    <row r="318">
      <c r="A318" s="17">
        <f>IF($B318="","",ROW()-3)</f>
        <v/>
      </c>
      <c r="B318" s="18" t="n">
        <v>46139</v>
      </c>
      <c r="C318" s="13" t="inlineStr">
        <is>
          <t>微信1</t>
        </is>
      </c>
      <c r="D318" s="13" t="inlineStr">
        <is>
          <t>收入</t>
        </is>
      </c>
      <c r="E318" s="13" t="inlineStr">
        <is>
          <t>项目收款</t>
        </is>
      </c>
      <c r="F318" s="17">
        <f>IF($E318="","",IFERROR(VLOOKUP($E318,类别归属,2,0),"※类别不在基础资料里"))</f>
        <v/>
      </c>
      <c r="G318" s="13" t="inlineStr">
        <is>
          <t>铁柱烧烤店</t>
        </is>
      </c>
      <c r="H318" s="13" t="n"/>
      <c r="I318" s="13" t="inlineStr">
        <is>
          <t>铁柱烧烤-增项费</t>
        </is>
      </c>
      <c r="J318" s="14" t="n">
        <v>1300</v>
      </c>
      <c r="K318" s="14" t="n"/>
      <c r="L318" s="19">
        <f>IF($C318="","",ROUND(IFERROR(VLOOKUP($C318,账户期初,2,0),0)+SUMIFS($J$4:J318,$C$4:C318,$C318)-SUMIFS($K$4:K318,$C$4:C318,$C318),2))</f>
        <v/>
      </c>
      <c r="M318" s="19">
        <f>IF($C318="","",ROUND(SUM(基础资料!$B$4:$B$13)+SUM($J$4:J318)-SUM($K$4:K318),2))</f>
        <v/>
      </c>
      <c r="N318" s="13" t="n"/>
      <c r="O318" s="13" t="n"/>
      <c r="P318" s="17">
        <f>IF($B318="","",IF($F318="※类别不在基础资料里","※费用类别不在基础资料里",IF(AND(N($J318)=0,N($K318)=0),"※这行没填金额",IF(AND(N($J318)&gt;0,N($K318)&gt;0),"※收入和支出不能同一行都填",IF(AND($D318="收入",N($J318)=0),"※收入行要填收入金额",IF(AND($D318="支出",N($K318)=0),"※支出行要填支出金额",IF(AND($C318&lt;&gt;"",ISNA(MATCH($C318,账户表,0))),"※账户不在基础资料里",IF(AND($G318&lt;&gt;"",ISNA(MATCH($G318,项目名表,0))),"※项目不在项目台账里",IF(AND(LEFT($F318,3)="成本-",$G318=""),"※成本类支出没填项目",IF(AND(LEFT($F318,3)="成本-",$H318&lt;&gt;"",N($K318)&gt;0,COUNTIFS(采购单!$B:$B,$B318,采购单!$C:$C,$H318,采购单!$L:$L,$K318)&gt;0),"※这笔可能和采购单重复了",""))))))))))</f>
        <v/>
      </c>
    </row>
    <row r="319">
      <c r="A319" s="17">
        <f>IF($B319="","",ROW()-3)</f>
        <v/>
      </c>
      <c r="B319" s="18" t="n">
        <v>46139</v>
      </c>
      <c r="C319" s="13" t="inlineStr">
        <is>
          <t>微信1</t>
        </is>
      </c>
      <c r="D319" s="13" t="inlineStr">
        <is>
          <t>支出</t>
        </is>
      </c>
      <c r="E319" s="13" t="inlineStr">
        <is>
          <t>运费/快递费</t>
        </is>
      </c>
      <c r="F319" s="17">
        <f>IF($E319="","",IFERROR(VLOOKUP($E319,类别归属,2,0),"※类别不在基础资料里"))</f>
        <v/>
      </c>
      <c r="G319" s="13" t="inlineStr">
        <is>
          <t>织里店</t>
        </is>
      </c>
      <c r="H319" s="13" t="inlineStr">
        <is>
          <t>炳秀</t>
        </is>
      </c>
      <c r="I319" s="13" t="inlineStr">
        <is>
          <t>付炳秀配送</t>
        </is>
      </c>
      <c r="J319" s="14" t="n"/>
      <c r="K319" s="14" t="n">
        <v>7</v>
      </c>
      <c r="L319" s="19">
        <f>IF($C319="","",ROUND(IFERROR(VLOOKUP($C319,账户期初,2,0),0)+SUMIFS($J$4:J319,$C$4:C319,$C319)-SUMIFS($K$4:K319,$C$4:C319,$C319),2))</f>
        <v/>
      </c>
      <c r="M319" s="19">
        <f>IF($C319="","",ROUND(SUM(基础资料!$B$4:$B$13)+SUM($J$4:J319)-SUM($K$4:K319),2))</f>
        <v/>
      </c>
      <c r="N319" s="13" t="n"/>
      <c r="O319" s="13" t="n"/>
      <c r="P319" s="17">
        <f>IF($B319="","",IF($F319="※类别不在基础资料里","※费用类别不在基础资料里",IF(AND(N($J319)=0,N($K319)=0),"※这行没填金额",IF(AND(N($J319)&gt;0,N($K319)&gt;0),"※收入和支出不能同一行都填",IF(AND($D319="收入",N($J319)=0),"※收入行要填收入金额",IF(AND($D319="支出",N($K319)=0),"※支出行要填支出金额",IF(AND($C319&lt;&gt;"",ISNA(MATCH($C319,账户表,0))),"※账户不在基础资料里",IF(AND($G319&lt;&gt;"",ISNA(MATCH($G319,项目名表,0))),"※项目不在项目台账里",IF(AND(LEFT($F319,3)="成本-",$G319=""),"※成本类支出没填项目",IF(AND(LEFT($F319,3)="成本-",$H319&lt;&gt;"",N($K319)&gt;0,COUNTIFS(采购单!$B:$B,$B319,采购单!$C:$C,$H319,采购单!$L:$L,$K319)&gt;0),"※这笔可能和采购单重复了",""))))))))))</f>
        <v/>
      </c>
    </row>
    <row r="320">
      <c r="A320" s="17">
        <f>IF($B320="","",ROW()-3)</f>
        <v/>
      </c>
      <c r="B320" s="18" t="n">
        <v>46140</v>
      </c>
      <c r="C320" s="13" t="inlineStr">
        <is>
          <t>微信1</t>
        </is>
      </c>
      <c r="D320" s="13" t="inlineStr">
        <is>
          <t>支出</t>
        </is>
      </c>
      <c r="E320" s="13" t="inlineStr">
        <is>
          <t>运费/快递费</t>
        </is>
      </c>
      <c r="F320" s="17">
        <f>IF($E320="","",IFERROR(VLOOKUP($E320,类别归属,2,0),"※类别不在基础资料里"))</f>
        <v/>
      </c>
      <c r="G320" s="13" t="inlineStr">
        <is>
          <t>国智校服</t>
        </is>
      </c>
      <c r="H320" s="13" t="inlineStr">
        <is>
          <t>货拉拉运费</t>
        </is>
      </c>
      <c r="I320" s="13" t="inlineStr">
        <is>
          <t>货拉拉运费</t>
        </is>
      </c>
      <c r="J320" s="14" t="n"/>
      <c r="K320" s="14" t="n">
        <v>22.8</v>
      </c>
      <c r="L320" s="19">
        <f>IF($C320="","",ROUND(IFERROR(VLOOKUP($C320,账户期初,2,0),0)+SUMIFS($J$4:J320,$C$4:C320,$C320)-SUMIFS($K$4:K320,$C$4:C320,$C320),2))</f>
        <v/>
      </c>
      <c r="M320" s="19">
        <f>IF($C320="","",ROUND(SUM(基础资料!$B$4:$B$13)+SUM($J$4:J320)-SUM($K$4:K320),2))</f>
        <v/>
      </c>
      <c r="N320" s="13" t="n"/>
      <c r="O320" s="13" t="inlineStr">
        <is>
          <t>君澜服饰、甄铭快递费</t>
        </is>
      </c>
      <c r="P320" s="17">
        <f>IF($B320="","",IF($F320="※类别不在基础资料里","※费用类别不在基础资料里",IF(AND(N($J320)=0,N($K320)=0),"※这行没填金额",IF(AND(N($J320)&gt;0,N($K320)&gt;0),"※收入和支出不能同一行都填",IF(AND($D320="收入",N($J320)=0),"※收入行要填收入金额",IF(AND($D320="支出",N($K320)=0),"※支出行要填支出金额",IF(AND($C320&lt;&gt;"",ISNA(MATCH($C320,账户表,0))),"※账户不在基础资料里",IF(AND($G320&lt;&gt;"",ISNA(MATCH($G320,项目名表,0))),"※项目不在项目台账里",IF(AND(LEFT($F320,3)="成本-",$G320=""),"※成本类支出没填项目",IF(AND(LEFT($F320,3)="成本-",$H320&lt;&gt;"",N($K320)&gt;0,COUNTIFS(采购单!$B:$B,$B320,采购单!$C:$C,$H320,采购单!$L:$L,$K320)&gt;0),"※这笔可能和采购单重复了",""))))))))))</f>
        <v/>
      </c>
    </row>
    <row r="321">
      <c r="A321" s="17">
        <f>IF($B321="","",ROW()-3)</f>
        <v/>
      </c>
      <c r="B321" s="18" t="n">
        <v>46140</v>
      </c>
      <c r="C321" s="13" t="inlineStr">
        <is>
          <t>微信1</t>
        </is>
      </c>
      <c r="D321" s="13" t="inlineStr">
        <is>
          <t>支出</t>
        </is>
      </c>
      <c r="E321" s="13" t="inlineStr">
        <is>
          <t>运费/快递费</t>
        </is>
      </c>
      <c r="F321" s="17">
        <f>IF($E321="","",IFERROR(VLOOKUP($E321,类别归属,2,0),"※类别不在基础资料里"))</f>
        <v/>
      </c>
      <c r="G321" s="13" t="inlineStr">
        <is>
          <t>织里店</t>
        </is>
      </c>
      <c r="H321" s="13" t="inlineStr">
        <is>
          <t>炳秀</t>
        </is>
      </c>
      <c r="I321" s="13" t="inlineStr">
        <is>
          <t>付炳秀配送</t>
        </is>
      </c>
      <c r="J321" s="14" t="n"/>
      <c r="K321" s="14" t="n">
        <v>67</v>
      </c>
      <c r="L321" s="19">
        <f>IF($C321="","",ROUND(IFERROR(VLOOKUP($C321,账户期初,2,0),0)+SUMIFS($J$4:J321,$C$4:C321,$C321)-SUMIFS($K$4:K321,$C$4:C321,$C321),2))</f>
        <v/>
      </c>
      <c r="M321" s="19">
        <f>IF($C321="","",ROUND(SUM(基础资料!$B$4:$B$13)+SUM($J$4:J321)-SUM($K$4:K321),2))</f>
        <v/>
      </c>
      <c r="N321" s="13" t="n"/>
      <c r="O321" s="13" t="inlineStr">
        <is>
          <t>85</t>
        </is>
      </c>
      <c r="P321" s="17">
        <f>IF($B321="","",IF($F321="※类别不在基础资料里","※费用类别不在基础资料里",IF(AND(N($J321)=0,N($K321)=0),"※这行没填金额",IF(AND(N($J321)&gt;0,N($K321)&gt;0),"※收入和支出不能同一行都填",IF(AND($D321="收入",N($J321)=0),"※收入行要填收入金额",IF(AND($D321="支出",N($K321)=0),"※支出行要填支出金额",IF(AND($C321&lt;&gt;"",ISNA(MATCH($C321,账户表,0))),"※账户不在基础资料里",IF(AND($G321&lt;&gt;"",ISNA(MATCH($G321,项目名表,0))),"※项目不在项目台账里",IF(AND(LEFT($F321,3)="成本-",$G321=""),"※成本类支出没填项目",IF(AND(LEFT($F321,3)="成本-",$H321&lt;&gt;"",N($K321)&gt;0,COUNTIFS(采购单!$B:$B,$B321,采购单!$C:$C,$H321,采购单!$L:$L,$K321)&gt;0),"※这笔可能和采购单重复了",""))))))))))</f>
        <v/>
      </c>
    </row>
    <row r="322">
      <c r="A322" s="17">
        <f>IF($B322="","",ROW()-3)</f>
        <v/>
      </c>
      <c r="B322" s="18" t="n">
        <v>46140</v>
      </c>
      <c r="C322" s="13" t="inlineStr">
        <is>
          <t>微信1</t>
        </is>
      </c>
      <c r="D322" s="13" t="inlineStr">
        <is>
          <t>支出</t>
        </is>
      </c>
      <c r="E322" s="13" t="inlineStr">
        <is>
          <t>运费/快递费</t>
        </is>
      </c>
      <c r="F322" s="17">
        <f>IF($E322="","",IFERROR(VLOOKUP($E322,类别归属,2,0),"※类别不在基础资料里"))</f>
        <v/>
      </c>
      <c r="G322" s="13" t="inlineStr">
        <is>
          <t>东北烧烤大转盘店</t>
        </is>
      </c>
      <c r="H322" s="13" t="inlineStr">
        <is>
          <t>炳秀</t>
        </is>
      </c>
      <c r="I322" s="13" t="inlineStr">
        <is>
          <t>付炳秀配送</t>
        </is>
      </c>
      <c r="J322" s="14" t="n"/>
      <c r="K322" s="14" t="n">
        <v>18</v>
      </c>
      <c r="L322" s="19">
        <f>IF($C322="","",ROUND(IFERROR(VLOOKUP($C322,账户期初,2,0),0)+SUMIFS($J$4:J322,$C$4:C322,$C322)-SUMIFS($K$4:K322,$C$4:C322,$C322),2))</f>
        <v/>
      </c>
      <c r="M322" s="19">
        <f>IF($C322="","",ROUND(SUM(基础资料!$B$4:$B$13)+SUM($J$4:J322)-SUM($K$4:K322),2))</f>
        <v/>
      </c>
      <c r="N322" s="13" t="n"/>
      <c r="O322" s="13" t="n"/>
      <c r="P322" s="17">
        <f>IF($B322="","",IF($F322="※类别不在基础资料里","※费用类别不在基础资料里",IF(AND(N($J322)=0,N($K322)=0),"※这行没填金额",IF(AND(N($J322)&gt;0,N($K322)&gt;0),"※收入和支出不能同一行都填",IF(AND($D322="收入",N($J322)=0),"※收入行要填收入金额",IF(AND($D322="支出",N($K322)=0),"※支出行要填支出金额",IF(AND($C322&lt;&gt;"",ISNA(MATCH($C322,账户表,0))),"※账户不在基础资料里",IF(AND($G322&lt;&gt;"",ISNA(MATCH($G322,项目名表,0))),"※项目不在项目台账里",IF(AND(LEFT($F322,3)="成本-",$G322=""),"※成本类支出没填项目",IF(AND(LEFT($F322,3)="成本-",$H322&lt;&gt;"",N($K322)&gt;0,COUNTIFS(采购单!$B:$B,$B322,采购单!$C:$C,$H322,采购单!$L:$L,$K322)&gt;0),"※这笔可能和采购单重复了",""))))))))))</f>
        <v/>
      </c>
    </row>
    <row r="323">
      <c r="A323" s="17">
        <f>IF($B323="","",ROW()-3)</f>
        <v/>
      </c>
      <c r="B323" s="18" t="n">
        <v>46140</v>
      </c>
      <c r="C323" s="13" t="inlineStr">
        <is>
          <t>微信1</t>
        </is>
      </c>
      <c r="D323" s="13" t="inlineStr">
        <is>
          <t>收入</t>
        </is>
      </c>
      <c r="E323" s="13" t="inlineStr">
        <is>
          <t>项目收款</t>
        </is>
      </c>
      <c r="F323" s="17">
        <f>IF($E323="","",IFERROR(VLOOKUP($E323,类别归属,2,0),"※类别不在基础资料里"))</f>
        <v/>
      </c>
      <c r="G323" s="13" t="inlineStr">
        <is>
          <t>创艺装饰</t>
        </is>
      </c>
      <c r="H323" s="13" t="n"/>
      <c r="I323" s="13" t="inlineStr">
        <is>
          <t>收张学锋-定金</t>
        </is>
      </c>
      <c r="J323" s="14" t="n">
        <v>10000</v>
      </c>
      <c r="K323" s="14" t="n"/>
      <c r="L323" s="19">
        <f>IF($C323="","",ROUND(IFERROR(VLOOKUP($C323,账户期初,2,0),0)+SUMIFS($J$4:J323,$C$4:C323,$C323)-SUMIFS($K$4:K323,$C$4:C323,$C323),2))</f>
        <v/>
      </c>
      <c r="M323" s="19">
        <f>IF($C323="","",ROUND(SUM(基础资料!$B$4:$B$13)+SUM($J$4:J323)-SUM($K$4:K323),2))</f>
        <v/>
      </c>
      <c r="N323" s="13" t="n"/>
      <c r="O323" s="13" t="n"/>
      <c r="P323" s="17">
        <f>IF($B323="","",IF($F323="※类别不在基础资料里","※费用类别不在基础资料里",IF(AND(N($J323)=0,N($K323)=0),"※这行没填金额",IF(AND(N($J323)&gt;0,N($K323)&gt;0),"※收入和支出不能同一行都填",IF(AND($D323="收入",N($J323)=0),"※收入行要填收入金额",IF(AND($D323="支出",N($K323)=0),"※支出行要填支出金额",IF(AND($C323&lt;&gt;"",ISNA(MATCH($C323,账户表,0))),"※账户不在基础资料里",IF(AND($G323&lt;&gt;"",ISNA(MATCH($G323,项目名表,0))),"※项目不在项目台账里",IF(AND(LEFT($F323,3)="成本-",$G323=""),"※成本类支出没填项目",IF(AND(LEFT($F323,3)="成本-",$H323&lt;&gt;"",N($K323)&gt;0,COUNTIFS(采购单!$B:$B,$B323,采购单!$C:$C,$H323,采购单!$L:$L,$K323)&gt;0),"※这笔可能和采购单重复了",""))))))))))</f>
        <v/>
      </c>
    </row>
    <row r="324">
      <c r="A324" s="17">
        <f>IF($B324="","",ROW()-3)</f>
        <v/>
      </c>
      <c r="B324" s="18" t="n">
        <v>46141</v>
      </c>
      <c r="C324" s="13" t="inlineStr">
        <is>
          <t>微信1</t>
        </is>
      </c>
      <c r="D324" s="13" t="inlineStr">
        <is>
          <t>支出</t>
        </is>
      </c>
      <c r="E324" s="13" t="inlineStr">
        <is>
          <t>待分类</t>
        </is>
      </c>
      <c r="F324" s="17">
        <f>IF($E324="","",IFERROR(VLOOKUP($E324,类别归属,2,0),"※类别不在基础资料里"))</f>
        <v/>
      </c>
      <c r="G324" s="13" t="n"/>
      <c r="H324" s="13" t="n"/>
      <c r="I324" s="13" t="inlineStr">
        <is>
          <t>得邦运费</t>
        </is>
      </c>
      <c r="J324" s="14" t="n"/>
      <c r="K324" s="14" t="n">
        <v>122</v>
      </c>
      <c r="L324" s="19">
        <f>IF($C324="","",ROUND(IFERROR(VLOOKUP($C324,账户期初,2,0),0)+SUMIFS($J$4:J324,$C$4:C324,$C324)-SUMIFS($K$4:K324,$C$4:C324,$C324),2))</f>
        <v/>
      </c>
      <c r="M324" s="19">
        <f>IF($C324="","",ROUND(SUM(基础资料!$B$4:$B$13)+SUM($J$4:J324)-SUM($K$4:K324),2))</f>
        <v/>
      </c>
      <c r="N324" s="13" t="n"/>
      <c r="O324" s="13" t="n"/>
      <c r="P324" s="17">
        <f>IF($B324="","",IF($F324="※类别不在基础资料里","※费用类别不在基础资料里",IF(AND(N($J324)=0,N($K324)=0),"※这行没填金额",IF(AND(N($J324)&gt;0,N($K324)&gt;0),"※收入和支出不能同一行都填",IF(AND($D324="收入",N($J324)=0),"※收入行要填收入金额",IF(AND($D324="支出",N($K324)=0),"※支出行要填支出金额",IF(AND($C324&lt;&gt;"",ISNA(MATCH($C324,账户表,0))),"※账户不在基础资料里",IF(AND($G324&lt;&gt;"",ISNA(MATCH($G324,项目名表,0))),"※项目不在项目台账里",IF(AND(LEFT($F324,3)="成本-",$G324=""),"※成本类支出没填项目",IF(AND(LEFT($F324,3)="成本-",$H324&lt;&gt;"",N($K324)&gt;0,COUNTIFS(采购单!$B:$B,$B324,采购单!$C:$C,$H324,采购单!$L:$L,$K324)&gt;0),"※这笔可能和采购单重复了",""))))))))))</f>
        <v/>
      </c>
    </row>
    <row r="325">
      <c r="A325" s="17">
        <f>IF($B325="","",ROW()-3)</f>
        <v/>
      </c>
      <c r="B325" s="18" t="n">
        <v>46141</v>
      </c>
      <c r="C325" s="13" t="inlineStr">
        <is>
          <t>微信1</t>
        </is>
      </c>
      <c r="D325" s="13" t="inlineStr">
        <is>
          <t>支出</t>
        </is>
      </c>
      <c r="E325" s="13" t="inlineStr">
        <is>
          <t>主材采购</t>
        </is>
      </c>
      <c r="F325" s="17">
        <f>IF($E325="","",IFERROR(VLOOKUP($E325,类别归属,2,0),"※类别不在基础资料里"))</f>
        <v/>
      </c>
      <c r="G325" s="13" t="inlineStr">
        <is>
          <t>创艺装饰</t>
        </is>
      </c>
      <c r="H325" s="13" t="n"/>
      <c r="I325" s="13" t="inlineStr">
        <is>
          <t>付中空板-冲孔字</t>
        </is>
      </c>
      <c r="J325" s="14" t="n"/>
      <c r="K325" s="14" t="n">
        <v>1670</v>
      </c>
      <c r="L325" s="19">
        <f>IF($C325="","",ROUND(IFERROR(VLOOKUP($C325,账户期初,2,0),0)+SUMIFS($J$4:J325,$C$4:C325,$C325)-SUMIFS($K$4:K325,$C$4:C325,$C325),2))</f>
        <v/>
      </c>
      <c r="M325" s="19">
        <f>IF($C325="","",ROUND(SUM(基础资料!$B$4:$B$13)+SUM($J$4:J325)-SUM($K$4:K325),2))</f>
        <v/>
      </c>
      <c r="N325" s="13" t="n"/>
      <c r="O325" s="13" t="n"/>
      <c r="P325" s="17">
        <f>IF($B325="","",IF($F325="※类别不在基础资料里","※费用类别不在基础资料里",IF(AND(N($J325)=0,N($K325)=0),"※这行没填金额",IF(AND(N($J325)&gt;0,N($K325)&gt;0),"※收入和支出不能同一行都填",IF(AND($D325="收入",N($J325)=0),"※收入行要填收入金额",IF(AND($D325="支出",N($K325)=0),"※支出行要填支出金额",IF(AND($C325&lt;&gt;"",ISNA(MATCH($C325,账户表,0))),"※账户不在基础资料里",IF(AND($G325&lt;&gt;"",ISNA(MATCH($G325,项目名表,0))),"※项目不在项目台账里",IF(AND(LEFT($F325,3)="成本-",$G325=""),"※成本类支出没填项目",IF(AND(LEFT($F325,3)="成本-",$H325&lt;&gt;"",N($K325)&gt;0,COUNTIFS(采购单!$B:$B,$B325,采购单!$C:$C,$H325,采购单!$L:$L,$K325)&gt;0),"※这笔可能和采购单重复了",""))))))))))</f>
        <v/>
      </c>
    </row>
    <row r="326">
      <c r="A326" s="17">
        <f>IF($B326="","",ROW()-3)</f>
        <v/>
      </c>
      <c r="B326" s="18" t="n">
        <v>46141</v>
      </c>
      <c r="C326" s="13" t="inlineStr">
        <is>
          <t>微信1</t>
        </is>
      </c>
      <c r="D326" s="13" t="inlineStr">
        <is>
          <t>支出</t>
        </is>
      </c>
      <c r="E326" s="13" t="inlineStr">
        <is>
          <t>主材采购</t>
        </is>
      </c>
      <c r="F326" s="17">
        <f>IF($E326="","",IFERROR(VLOOKUP($E326,类别归属,2,0),"※类别不在基础资料里"))</f>
        <v/>
      </c>
      <c r="G326" s="13" t="inlineStr">
        <is>
          <t>创艺装饰</t>
        </is>
      </c>
      <c r="H326" s="13" t="n"/>
      <c r="I326" s="13" t="inlineStr">
        <is>
          <t>付冲孔字-创意项目</t>
        </is>
      </c>
      <c r="J326" s="14" t="n"/>
      <c r="K326" s="14" t="n">
        <v>4940</v>
      </c>
      <c r="L326" s="19">
        <f>IF($C326="","",ROUND(IFERROR(VLOOKUP($C326,账户期初,2,0),0)+SUMIFS($J$4:J326,$C$4:C326,$C326)-SUMIFS($K$4:K326,$C$4:C326,$C326),2))</f>
        <v/>
      </c>
      <c r="M326" s="19">
        <f>IF($C326="","",ROUND(SUM(基础资料!$B$4:$B$13)+SUM($J$4:J326)-SUM($K$4:K326),2))</f>
        <v/>
      </c>
      <c r="N326" s="13" t="n"/>
      <c r="O326" s="13" t="n"/>
      <c r="P326" s="17">
        <f>IF($B326="","",IF($F326="※类别不在基础资料里","※费用类别不在基础资料里",IF(AND(N($J326)=0,N($K326)=0),"※这行没填金额",IF(AND(N($J326)&gt;0,N($K326)&gt;0),"※收入和支出不能同一行都填",IF(AND($D326="收入",N($J326)=0),"※收入行要填收入金额",IF(AND($D326="支出",N($K326)=0),"※支出行要填支出金额",IF(AND($C326&lt;&gt;"",ISNA(MATCH($C326,账户表,0))),"※账户不在基础资料里",IF(AND($G326&lt;&gt;"",ISNA(MATCH($G326,项目名表,0))),"※项目不在项目台账里",IF(AND(LEFT($F326,3)="成本-",$G326=""),"※成本类支出没填项目",IF(AND(LEFT($F326,3)="成本-",$H326&lt;&gt;"",N($K326)&gt;0,COUNTIFS(采购单!$B:$B,$B326,采购单!$C:$C,$H326,采购单!$L:$L,$K326)&gt;0),"※这笔可能和采购单重复了",""))))))))))</f>
        <v/>
      </c>
    </row>
    <row r="327">
      <c r="A327" s="17">
        <f>IF($B327="","",ROW()-3)</f>
        <v/>
      </c>
      <c r="B327" s="18" t="n">
        <v>46141</v>
      </c>
      <c r="C327" s="13" t="inlineStr">
        <is>
          <t>微信1</t>
        </is>
      </c>
      <c r="D327" s="13" t="inlineStr">
        <is>
          <t>收入</t>
        </is>
      </c>
      <c r="E327" s="13" t="inlineStr">
        <is>
          <t>待分类</t>
        </is>
      </c>
      <c r="F327" s="17">
        <f>IF($E327="","",IFERROR(VLOOKUP($E327,类别归属,2,0),"※类别不在基础资料里"))</f>
        <v/>
      </c>
      <c r="G327" s="13" t="inlineStr">
        <is>
          <t>东北烧烤大转盘店</t>
        </is>
      </c>
      <c r="H327" s="13" t="n"/>
      <c r="I327" s="13" t="inlineStr">
        <is>
          <t>东北串烧</t>
        </is>
      </c>
      <c r="J327" s="14" t="n">
        <v>100</v>
      </c>
      <c r="K327" s="14" t="n"/>
      <c r="L327" s="19">
        <f>IF($C327="","",ROUND(IFERROR(VLOOKUP($C327,账户期初,2,0),0)+SUMIFS($J$4:J327,$C$4:C327,$C327)-SUMIFS($K$4:K327,$C$4:C327,$C327),2))</f>
        <v/>
      </c>
      <c r="M327" s="19">
        <f>IF($C327="","",ROUND(SUM(基础资料!$B$4:$B$13)+SUM($J$4:J327)-SUM($K$4:K327),2))</f>
        <v/>
      </c>
      <c r="N327" s="13" t="n"/>
      <c r="O327" s="13" t="n"/>
      <c r="P327" s="17">
        <f>IF($B327="","",IF($F327="※类别不在基础资料里","※费用类别不在基础资料里",IF(AND(N($J327)=0,N($K327)=0),"※这行没填金额",IF(AND(N($J327)&gt;0,N($K327)&gt;0),"※收入和支出不能同一行都填",IF(AND($D327="收入",N($J327)=0),"※收入行要填收入金额",IF(AND($D327="支出",N($K327)=0),"※支出行要填支出金额",IF(AND($C327&lt;&gt;"",ISNA(MATCH($C327,账户表,0))),"※账户不在基础资料里",IF(AND($G327&lt;&gt;"",ISNA(MATCH($G327,项目名表,0))),"※项目不在项目台账里",IF(AND(LEFT($F327,3)="成本-",$G327=""),"※成本类支出没填项目",IF(AND(LEFT($F327,3)="成本-",$H327&lt;&gt;"",N($K327)&gt;0,COUNTIFS(采购单!$B:$B,$B327,采购单!$C:$C,$H327,采购单!$L:$L,$K327)&gt;0),"※这笔可能和采购单重复了",""))))))))))</f>
        <v/>
      </c>
    </row>
    <row r="328">
      <c r="A328" s="17">
        <f>IF($B328="","",ROW()-3)</f>
        <v/>
      </c>
      <c r="B328" s="18" t="n">
        <v>46115</v>
      </c>
      <c r="C328" s="13" t="inlineStr">
        <is>
          <t>微信1</t>
        </is>
      </c>
      <c r="D328" s="13" t="inlineStr">
        <is>
          <t>支出</t>
        </is>
      </c>
      <c r="E328" s="13" t="inlineStr">
        <is>
          <t>借出款</t>
        </is>
      </c>
      <c r="F328" s="17">
        <f>IF($E328="","",IFERROR(VLOOKUP($E328,类别归属,2,0),"※类别不在基础资料里"))</f>
        <v/>
      </c>
      <c r="G328" s="13" t="n"/>
      <c r="H328" s="13" t="inlineStr">
        <is>
          <t>章凡</t>
        </is>
      </c>
      <c r="I328" s="13" t="inlineStr">
        <is>
          <t>付章凡预支工资</t>
        </is>
      </c>
      <c r="J328" s="14" t="n"/>
      <c r="K328" s="14" t="n">
        <v>3000</v>
      </c>
      <c r="L328" s="19">
        <f>IF($C328="","",ROUND(IFERROR(VLOOKUP($C328,账户期初,2,0),0)+SUMIFS($J$4:J328,$C$4:C328,$C328)-SUMIFS($K$4:K328,$C$4:C328,$C328),2))</f>
        <v/>
      </c>
      <c r="M328" s="19">
        <f>IF($C328="","",ROUND(SUM(基础资料!$B$4:$B$13)+SUM($J$4:J328)-SUM($K$4:K328),2))</f>
        <v/>
      </c>
      <c r="N328" s="13" t="n"/>
      <c r="O328" s="13" t="n"/>
      <c r="P328" s="17">
        <f>IF($B328="","",IF($F328="※类别不在基础资料里","※费用类别不在基础资料里",IF(AND(N($J328)=0,N($K328)=0),"※这行没填金额",IF(AND(N($J328)&gt;0,N($K328)&gt;0),"※收入和支出不能同一行都填",IF(AND($D328="收入",N($J328)=0),"※收入行要填收入金额",IF(AND($D328="支出",N($K328)=0),"※支出行要填支出金额",IF(AND($C328&lt;&gt;"",ISNA(MATCH($C328,账户表,0))),"※账户不在基础资料里",IF(AND($G328&lt;&gt;"",ISNA(MATCH($G328,项目名表,0))),"※项目不在项目台账里",IF(AND(LEFT($F328,3)="成本-",$G328=""),"※成本类支出没填项目",IF(AND(LEFT($F328,3)="成本-",$H328&lt;&gt;"",N($K328)&gt;0,COUNTIFS(采购单!$B:$B,$B328,采购单!$C:$C,$H328,采购单!$L:$L,$K328)&gt;0),"※这笔可能和采购单重复了",""))))))))))</f>
        <v/>
      </c>
    </row>
    <row r="329">
      <c r="A329" s="17">
        <f>IF($B329="","",ROW()-3)</f>
        <v/>
      </c>
      <c r="B329" s="18" t="n">
        <v>46115</v>
      </c>
      <c r="C329" s="13" t="inlineStr">
        <is>
          <t>微信1</t>
        </is>
      </c>
      <c r="D329" s="13" t="inlineStr">
        <is>
          <t>收入</t>
        </is>
      </c>
      <c r="E329" s="13" t="inlineStr">
        <is>
          <t>待分类</t>
        </is>
      </c>
      <c r="F329" s="17">
        <f>IF($E329="","",IFERROR(VLOOKUP($E329,类别归属,2,0),"※类别不在基础资料里"))</f>
        <v/>
      </c>
      <c r="G329" s="13" t="inlineStr">
        <is>
          <t>凤姐早餐店</t>
        </is>
      </c>
      <c r="H329" s="13" t="n"/>
      <c r="I329" s="13" t="inlineStr">
        <is>
          <t>收宋-凤姐早餐店尾款</t>
        </is>
      </c>
      <c r="J329" s="14" t="n">
        <v>300</v>
      </c>
      <c r="K329" s="14" t="n"/>
      <c r="L329" s="19">
        <f>IF($C329="","",ROUND(IFERROR(VLOOKUP($C329,账户期初,2,0),0)+SUMIFS($J$4:J329,$C$4:C329,$C329)-SUMIFS($K$4:K329,$C$4:C329,$C329),2))</f>
        <v/>
      </c>
      <c r="M329" s="19">
        <f>IF($C329="","",ROUND(SUM(基础资料!$B$4:$B$13)+SUM($J$4:J329)-SUM($K$4:K329),2))</f>
        <v/>
      </c>
      <c r="N329" s="13" t="n"/>
      <c r="O329" s="13" t="n"/>
      <c r="P329" s="17">
        <f>IF($B329="","",IF($F329="※类别不在基础资料里","※费用类别不在基础资料里",IF(AND(N($J329)=0,N($K329)=0),"※这行没填金额",IF(AND(N($J329)&gt;0,N($K329)&gt;0),"※收入和支出不能同一行都填",IF(AND($D329="收入",N($J329)=0),"※收入行要填收入金额",IF(AND($D329="支出",N($K329)=0),"※支出行要填支出金额",IF(AND($C329&lt;&gt;"",ISNA(MATCH($C329,账户表,0))),"※账户不在基础资料里",IF(AND($G329&lt;&gt;"",ISNA(MATCH($G329,项目名表,0))),"※项目不在项目台账里",IF(AND(LEFT($F329,3)="成本-",$G329=""),"※成本类支出没填项目",IF(AND(LEFT($F329,3)="成本-",$H329&lt;&gt;"",N($K329)&gt;0,COUNTIFS(采购单!$B:$B,$B329,采购单!$C:$C,$H329,采购单!$L:$L,$K329)&gt;0),"※这笔可能和采购单重复了",""))))))))))</f>
        <v/>
      </c>
    </row>
    <row r="330">
      <c r="A330" s="17">
        <f>IF($B330="","",ROW()-3)</f>
        <v/>
      </c>
      <c r="B330" s="18" t="n">
        <v>46115</v>
      </c>
      <c r="C330" s="13" t="inlineStr">
        <is>
          <t>微信1</t>
        </is>
      </c>
      <c r="D330" s="13" t="inlineStr">
        <is>
          <t>支出</t>
        </is>
      </c>
      <c r="E330" s="13" t="inlineStr">
        <is>
          <t>待分类</t>
        </is>
      </c>
      <c r="F330" s="17">
        <f>IF($E330="","",IFERROR(VLOOKUP($E330,类别归属,2,0),"※类别不在基础资料里"))</f>
        <v/>
      </c>
      <c r="G330" s="13" t="n"/>
      <c r="H330" s="13" t="n"/>
      <c r="I330" s="13" t="inlineStr">
        <is>
          <t>买东西-付葛秀梅</t>
        </is>
      </c>
      <c r="J330" s="14" t="n"/>
      <c r="K330" s="14" t="n">
        <v>150</v>
      </c>
      <c r="L330" s="19">
        <f>IF($C330="","",ROUND(IFERROR(VLOOKUP($C330,账户期初,2,0),0)+SUMIFS($J$4:J330,$C$4:C330,$C330)-SUMIFS($K$4:K330,$C$4:C330,$C330),2))</f>
        <v/>
      </c>
      <c r="M330" s="19">
        <f>IF($C330="","",ROUND(SUM(基础资料!$B$4:$B$13)+SUM($J$4:J330)-SUM($K$4:K330),2))</f>
        <v/>
      </c>
      <c r="N330" s="13" t="n"/>
      <c r="O330" s="13" t="inlineStr">
        <is>
          <t>方正中空板运费</t>
        </is>
      </c>
      <c r="P330" s="17">
        <f>IF($B330="","",IF($F330="※类别不在基础资料里","※费用类别不在基础资料里",IF(AND(N($J330)=0,N($K330)=0),"※这行没填金额",IF(AND(N($J330)&gt;0,N($K330)&gt;0),"※收入和支出不能同一行都填",IF(AND($D330="收入",N($J330)=0),"※收入行要填收入金额",IF(AND($D330="支出",N($K330)=0),"※支出行要填支出金额",IF(AND($C330&lt;&gt;"",ISNA(MATCH($C330,账户表,0))),"※账户不在基础资料里",IF(AND($G330&lt;&gt;"",ISNA(MATCH($G330,项目名表,0))),"※项目不在项目台账里",IF(AND(LEFT($F330,3)="成本-",$G330=""),"※成本类支出没填项目",IF(AND(LEFT($F330,3)="成本-",$H330&lt;&gt;"",N($K330)&gt;0,COUNTIFS(采购单!$B:$B,$B330,采购单!$C:$C,$H330,采购单!$L:$L,$K330)&gt;0),"※这笔可能和采购单重复了",""))))))))))</f>
        <v/>
      </c>
    </row>
    <row r="331">
      <c r="A331" s="17">
        <f>IF($B331="","",ROW()-3)</f>
        <v/>
      </c>
      <c r="B331" s="18" t="n">
        <v>46115</v>
      </c>
      <c r="C331" s="13" t="inlineStr">
        <is>
          <t>微信1</t>
        </is>
      </c>
      <c r="D331" s="13" t="inlineStr">
        <is>
          <t>收入</t>
        </is>
      </c>
      <c r="E331" s="13" t="inlineStr">
        <is>
          <t>收回借出款</t>
        </is>
      </c>
      <c r="F331" s="17">
        <f>IF($E331="","",IFERROR(VLOOKUP($E331,类别归属,2,0),"※类别不在基础资料里"))</f>
        <v/>
      </c>
      <c r="G331" s="13" t="inlineStr">
        <is>
          <t>创艺装饰</t>
        </is>
      </c>
      <c r="H331" s="13" t="n"/>
      <c r="I331" s="13" t="inlineStr">
        <is>
          <t>往来款</t>
        </is>
      </c>
      <c r="J331" s="14" t="n">
        <v>10000</v>
      </c>
      <c r="K331" s="14" t="n"/>
      <c r="L331" s="19">
        <f>IF($C331="","",ROUND(IFERROR(VLOOKUP($C331,账户期初,2,0),0)+SUMIFS($J$4:J331,$C$4:C331,$C331)-SUMIFS($K$4:K331,$C$4:C331,$C331),2))</f>
        <v/>
      </c>
      <c r="M331" s="19">
        <f>IF($C331="","",ROUND(SUM(基础资料!$B$4:$B$13)+SUM($J$4:J331)-SUM($K$4:K331),2))</f>
        <v/>
      </c>
      <c r="N331" s="13" t="n"/>
      <c r="O331" s="13" t="n"/>
      <c r="P331" s="17">
        <f>IF($B331="","",IF($F331="※类别不在基础资料里","※费用类别不在基础资料里",IF(AND(N($J331)=0,N($K331)=0),"※这行没填金额",IF(AND(N($J331)&gt;0,N($K331)&gt;0),"※收入和支出不能同一行都填",IF(AND($D331="收入",N($J331)=0),"※收入行要填收入金额",IF(AND($D331="支出",N($K331)=0),"※支出行要填支出金额",IF(AND($C331&lt;&gt;"",ISNA(MATCH($C331,账户表,0))),"※账户不在基础资料里",IF(AND($G331&lt;&gt;"",ISNA(MATCH($G331,项目名表,0))),"※项目不在项目台账里",IF(AND(LEFT($F331,3)="成本-",$G331=""),"※成本类支出没填项目",IF(AND(LEFT($F331,3)="成本-",$H331&lt;&gt;"",N($K331)&gt;0,COUNTIFS(采购单!$B:$B,$B331,采购单!$C:$C,$H331,采购单!$L:$L,$K331)&gt;0),"※这笔可能和采购单重复了",""))))))))))</f>
        <v/>
      </c>
    </row>
    <row r="332">
      <c r="A332" s="17">
        <f>IF($B332="","",ROW()-3)</f>
        <v/>
      </c>
      <c r="B332" s="18" t="n">
        <v>46115</v>
      </c>
      <c r="C332" s="13" t="inlineStr">
        <is>
          <t>微信1</t>
        </is>
      </c>
      <c r="D332" s="13" t="inlineStr">
        <is>
          <t>支出</t>
        </is>
      </c>
      <c r="E332" s="13" t="inlineStr">
        <is>
          <t>借出款</t>
        </is>
      </c>
      <c r="F332" s="17">
        <f>IF($E332="","",IFERROR(VLOOKUP($E332,类别归属,2,0),"※类别不在基础资料里"))</f>
        <v/>
      </c>
      <c r="G332" s="13" t="inlineStr">
        <is>
          <t>创艺装饰</t>
        </is>
      </c>
      <c r="H332" s="13" t="n"/>
      <c r="I332" s="13" t="inlineStr">
        <is>
          <t>往来款</t>
        </is>
      </c>
      <c r="J332" s="14" t="n"/>
      <c r="K332" s="14" t="n">
        <v>10000</v>
      </c>
      <c r="L332" s="19">
        <f>IF($C332="","",ROUND(IFERROR(VLOOKUP($C332,账户期初,2,0),0)+SUMIFS($J$4:J332,$C$4:C332,$C332)-SUMIFS($K$4:K332,$C$4:C332,$C332),2))</f>
        <v/>
      </c>
      <c r="M332" s="19">
        <f>IF($C332="","",ROUND(SUM(基础资料!$B$4:$B$13)+SUM($J$4:J332)-SUM($K$4:K332),2))</f>
        <v/>
      </c>
      <c r="N332" s="13" t="n"/>
      <c r="O332" s="13" t="inlineStr">
        <is>
          <t>4月30止凌宇存5644.25元</t>
        </is>
      </c>
      <c r="P332" s="17">
        <f>IF($B332="","",IF($F332="※类别不在基础资料里","※费用类别不在基础资料里",IF(AND(N($J332)=0,N($K332)=0),"※这行没填金额",IF(AND(N($J332)&gt;0,N($K332)&gt;0),"※收入和支出不能同一行都填",IF(AND($D332="收入",N($J332)=0),"※收入行要填收入金额",IF(AND($D332="支出",N($K332)=0),"※支出行要填支出金额",IF(AND($C332&lt;&gt;"",ISNA(MATCH($C332,账户表,0))),"※账户不在基础资料里",IF(AND($G332&lt;&gt;"",ISNA(MATCH($G332,项目名表,0))),"※项目不在项目台账里",IF(AND(LEFT($F332,3)="成本-",$G332=""),"※成本类支出没填项目",IF(AND(LEFT($F332,3)="成本-",$H332&lt;&gt;"",N($K332)&gt;0,COUNTIFS(采购单!$B:$B,$B332,采购单!$C:$C,$H332,采购单!$L:$L,$K332)&gt;0),"※这笔可能和采购单重复了",""))))))))))</f>
        <v/>
      </c>
    </row>
    <row r="333">
      <c r="A333" s="17">
        <f>IF($B333="","",ROW()-3)</f>
        <v/>
      </c>
      <c r="B333" s="18" t="n">
        <v>46146</v>
      </c>
      <c r="C333" s="13" t="inlineStr">
        <is>
          <t>微信1</t>
        </is>
      </c>
      <c r="D333" s="13" t="inlineStr">
        <is>
          <t>支出</t>
        </is>
      </c>
      <c r="E333" s="13" t="inlineStr">
        <is>
          <t>待分类</t>
        </is>
      </c>
      <c r="F333" s="17">
        <f>IF($E333="","",IFERROR(VLOOKUP($E333,类别归属,2,0),"※类别不在基础资料里"))</f>
        <v/>
      </c>
      <c r="G333" s="13" t="n"/>
      <c r="H333" s="13" t="n"/>
      <c r="I333" s="13" t="inlineStr">
        <is>
          <t>付千里马 30mm双面胶</t>
        </is>
      </c>
      <c r="J333" s="14" t="n"/>
      <c r="K333" s="14" t="n">
        <v>120</v>
      </c>
      <c r="L333" s="19">
        <f>IF($C333="","",ROUND(IFERROR(VLOOKUP($C333,账户期初,2,0),0)+SUMIFS($J$4:J333,$C$4:C333,$C333)-SUMIFS($K$4:K333,$C$4:C333,$C333),2))</f>
        <v/>
      </c>
      <c r="M333" s="19">
        <f>IF($C333="","",ROUND(SUM(基础资料!$B$4:$B$13)+SUM($J$4:J333)-SUM($K$4:K333),2))</f>
        <v/>
      </c>
      <c r="N333" s="13" t="n"/>
      <c r="O333" s="13" t="n"/>
      <c r="P333" s="17">
        <f>IF($B333="","",IF($F333="※类别不在基础资料里","※费用类别不在基础资料里",IF(AND(N($J333)=0,N($K333)=0),"※这行没填金额",IF(AND(N($J333)&gt;0,N($K333)&gt;0),"※收入和支出不能同一行都填",IF(AND($D333="收入",N($J333)=0),"※收入行要填收入金额",IF(AND($D333="支出",N($K333)=0),"※支出行要填支出金额",IF(AND($C333&lt;&gt;"",ISNA(MATCH($C333,账户表,0))),"※账户不在基础资料里",IF(AND($G333&lt;&gt;"",ISNA(MATCH($G333,项目名表,0))),"※项目不在项目台账里",IF(AND(LEFT($F333,3)="成本-",$G333=""),"※成本类支出没填项目",IF(AND(LEFT($F333,3)="成本-",$H333&lt;&gt;"",N($K333)&gt;0,COUNTIFS(采购单!$B:$B,$B333,采购单!$C:$C,$H333,采购单!$L:$L,$K333)&gt;0),"※这笔可能和采购单重复了",""))))))))))</f>
        <v/>
      </c>
    </row>
    <row r="334">
      <c r="A334" s="17">
        <f>IF($B334="","",ROW()-3)</f>
        <v/>
      </c>
      <c r="B334" s="18" t="n">
        <v>46147</v>
      </c>
      <c r="C334" s="13" t="inlineStr">
        <is>
          <t>微信1</t>
        </is>
      </c>
      <c r="D334" s="13" t="inlineStr">
        <is>
          <t>支出</t>
        </is>
      </c>
      <c r="E334" s="13" t="inlineStr">
        <is>
          <t>待分类</t>
        </is>
      </c>
      <c r="F334" s="17">
        <f>IF($E334="","",IFERROR(VLOOKUP($E334,类别归属,2,0),"※类别不在基础资料里"))</f>
        <v/>
      </c>
      <c r="G334" s="13" t="n"/>
      <c r="H334" s="13" t="n"/>
      <c r="I334" s="13" t="inlineStr">
        <is>
          <t>杨德买钻头等（有收款收据537）</t>
        </is>
      </c>
      <c r="J334" s="14" t="n"/>
      <c r="K334" s="14" t="n">
        <v>537</v>
      </c>
      <c r="L334" s="19">
        <f>IF($C334="","",ROUND(IFERROR(VLOOKUP($C334,账户期初,2,0),0)+SUMIFS($J$4:J334,$C$4:C334,$C334)-SUMIFS($K$4:K334,$C$4:C334,$C334),2))</f>
        <v/>
      </c>
      <c r="M334" s="19">
        <f>IF($C334="","",ROUND(SUM(基础资料!$B$4:$B$13)+SUM($J$4:J334)-SUM($K$4:K334),2))</f>
        <v/>
      </c>
      <c r="N334" s="13" t="n"/>
      <c r="O334" s="13" t="n"/>
      <c r="P334" s="17">
        <f>IF($B334="","",IF($F334="※类别不在基础资料里","※费用类别不在基础资料里",IF(AND(N($J334)=0,N($K334)=0),"※这行没填金额",IF(AND(N($J334)&gt;0,N($K334)&gt;0),"※收入和支出不能同一行都填",IF(AND($D334="收入",N($J334)=0),"※收入行要填收入金额",IF(AND($D334="支出",N($K334)=0),"※支出行要填支出金额",IF(AND($C334&lt;&gt;"",ISNA(MATCH($C334,账户表,0))),"※账户不在基础资料里",IF(AND($G334&lt;&gt;"",ISNA(MATCH($G334,项目名表,0))),"※项目不在项目台账里",IF(AND(LEFT($F334,3)="成本-",$G334=""),"※成本类支出没填项目",IF(AND(LEFT($F334,3)="成本-",$H334&lt;&gt;"",N($K334)&gt;0,COUNTIFS(采购单!$B:$B,$B334,采购单!$C:$C,$H334,采购单!$L:$L,$K334)&gt;0),"※这笔可能和采购单重复了",""))))))))))</f>
        <v/>
      </c>
    </row>
    <row r="335">
      <c r="A335" s="17">
        <f>IF($B335="","",ROW()-3)</f>
        <v/>
      </c>
      <c r="B335" s="18" t="n">
        <v>46147</v>
      </c>
      <c r="C335" s="13" t="inlineStr">
        <is>
          <t>微信1</t>
        </is>
      </c>
      <c r="D335" s="13" t="inlineStr">
        <is>
          <t>支出</t>
        </is>
      </c>
      <c r="E335" s="13" t="inlineStr">
        <is>
          <t>待分类</t>
        </is>
      </c>
      <c r="F335" s="17">
        <f>IF($E335="","",IFERROR(VLOOKUP($E335,类别归属,2,0),"※类别不在基础资料里"))</f>
        <v/>
      </c>
      <c r="G335" s="13" t="inlineStr">
        <is>
          <t>九熠装饰</t>
        </is>
      </c>
      <c r="H335" s="13" t="n"/>
      <c r="I335" s="13" t="inlineStr">
        <is>
          <t>凌宇买 5.59米x5条=135元</t>
        </is>
      </c>
      <c r="J335" s="14" t="n"/>
      <c r="K335" s="14" t="n">
        <v>135</v>
      </c>
      <c r="L335" s="19">
        <f>IF($C335="","",ROUND(IFERROR(VLOOKUP($C335,账户期初,2,0),0)+SUMIFS($J$4:J335,$C$4:C335,$C335)-SUMIFS($K$4:K335,$C$4:C335,$C335),2))</f>
        <v/>
      </c>
      <c r="M335" s="19">
        <f>IF($C335="","",ROUND(SUM(基础资料!$B$4:$B$13)+SUM($J$4:J335)-SUM($K$4:K335),2))</f>
        <v/>
      </c>
      <c r="N335" s="13" t="n"/>
      <c r="O335" s="13" t="inlineStr">
        <is>
          <t>横幅</t>
        </is>
      </c>
      <c r="P335" s="17">
        <f>IF($B335="","",IF($F335="※类别不在基础资料里","※费用类别不在基础资料里",IF(AND(N($J335)=0,N($K335)=0),"※这行没填金额",IF(AND(N($J335)&gt;0,N($K335)&gt;0),"※收入和支出不能同一行都填",IF(AND($D335="收入",N($J335)=0),"※收入行要填收入金额",IF(AND($D335="支出",N($K335)=0),"※支出行要填支出金额",IF(AND($C335&lt;&gt;"",ISNA(MATCH($C335,账户表,0))),"※账户不在基础资料里",IF(AND($G335&lt;&gt;"",ISNA(MATCH($G335,项目名表,0))),"※项目不在项目台账里",IF(AND(LEFT($F335,3)="成本-",$G335=""),"※成本类支出没填项目",IF(AND(LEFT($F335,3)="成本-",$H335&lt;&gt;"",N($K335)&gt;0,COUNTIFS(采购单!$B:$B,$B335,采购单!$C:$C,$H335,采购单!$L:$L,$K335)&gt;0),"※这笔可能和采购单重复了",""))))))))))</f>
        <v/>
      </c>
    </row>
    <row r="336">
      <c r="A336" s="17">
        <f>IF($B336="","",ROW()-3)</f>
        <v/>
      </c>
      <c r="B336" s="18" t="n">
        <v>46148</v>
      </c>
      <c r="C336" s="13" t="inlineStr">
        <is>
          <t>微信1</t>
        </is>
      </c>
      <c r="D336" s="13" t="inlineStr">
        <is>
          <t>支出</t>
        </is>
      </c>
      <c r="E336" s="13" t="inlineStr">
        <is>
          <t>待分类</t>
        </is>
      </c>
      <c r="F336" s="17">
        <f>IF($E336="","",IFERROR(VLOOKUP($E336,类别归属,2,0),"※类别不在基础资料里"))</f>
        <v/>
      </c>
      <c r="G336" s="13" t="n"/>
      <c r="H336" s="13" t="n"/>
      <c r="I336" s="13" t="inlineStr">
        <is>
          <t>章凡买膨胀丝。角码</t>
        </is>
      </c>
      <c r="J336" s="14" t="n"/>
      <c r="K336" s="14" t="n">
        <v>65</v>
      </c>
      <c r="L336" s="19">
        <f>IF($C336="","",ROUND(IFERROR(VLOOKUP($C336,账户期初,2,0),0)+SUMIFS($J$4:J336,$C$4:C336,$C336)-SUMIFS($K$4:K336,$C$4:C336,$C336),2))</f>
        <v/>
      </c>
      <c r="M336" s="19">
        <f>IF($C336="","",ROUND(SUM(基础资料!$B$4:$B$13)+SUM($J$4:J336)-SUM($K$4:K336),2))</f>
        <v/>
      </c>
      <c r="N336" s="13" t="n"/>
      <c r="O336" s="13" t="n"/>
      <c r="P336" s="17">
        <f>IF($B336="","",IF($F336="※类别不在基础资料里","※费用类别不在基础资料里",IF(AND(N($J336)=0,N($K336)=0),"※这行没填金额",IF(AND(N($J336)&gt;0,N($K336)&gt;0),"※收入和支出不能同一行都填",IF(AND($D336="收入",N($J336)=0),"※收入行要填收入金额",IF(AND($D336="支出",N($K336)=0),"※支出行要填支出金额",IF(AND($C336&lt;&gt;"",ISNA(MATCH($C336,账户表,0))),"※账户不在基础资料里",IF(AND($G336&lt;&gt;"",ISNA(MATCH($G336,项目名表,0))),"※项目不在项目台账里",IF(AND(LEFT($F336,3)="成本-",$G336=""),"※成本类支出没填项目",IF(AND(LEFT($F336,3)="成本-",$H336&lt;&gt;"",N($K336)&gt;0,COUNTIFS(采购单!$B:$B,$B336,采购单!$C:$C,$H336,采购单!$L:$L,$K336)&gt;0),"※这笔可能和采购单重复了",""))))))))))</f>
        <v/>
      </c>
    </row>
    <row r="337">
      <c r="A337" s="17">
        <f>IF($B337="","",ROW()-3)</f>
        <v/>
      </c>
      <c r="B337" s="18" t="n">
        <v>46143</v>
      </c>
      <c r="C337" s="13" t="inlineStr">
        <is>
          <t>微信1</t>
        </is>
      </c>
      <c r="D337" s="13" t="inlineStr">
        <is>
          <t>支出</t>
        </is>
      </c>
      <c r="E337" s="13" t="inlineStr">
        <is>
          <t>待分类</t>
        </is>
      </c>
      <c r="F337" s="17">
        <f>IF($E337="","",IFERROR(VLOOKUP($E337,类别归属,2,0),"※类别不在基础资料里"))</f>
        <v/>
      </c>
      <c r="G337" s="13" t="n"/>
      <c r="H337" s="13" t="n"/>
      <c r="I337" s="13" t="inlineStr">
        <is>
          <t>章凡买防水铁皮 112元</t>
        </is>
      </c>
      <c r="J337" s="14" t="n"/>
      <c r="K337" s="14" t="n">
        <v>112</v>
      </c>
      <c r="L337" s="19">
        <f>IF($C337="","",ROUND(IFERROR(VLOOKUP($C337,账户期初,2,0),0)+SUMIFS($J$4:J337,$C$4:C337,$C337)-SUMIFS($K$4:K337,$C$4:C337,$C337),2))</f>
        <v/>
      </c>
      <c r="M337" s="19">
        <f>IF($C337="","",ROUND(SUM(基础资料!$B$4:$B$13)+SUM($J$4:J337)-SUM($K$4:K337),2))</f>
        <v/>
      </c>
      <c r="N337" s="13" t="n"/>
      <c r="O337" s="13" t="n"/>
      <c r="P337" s="17">
        <f>IF($B337="","",IF($F337="※类别不在基础资料里","※费用类别不在基础资料里",IF(AND(N($J337)=0,N($K337)=0),"※这行没填金额",IF(AND(N($J337)&gt;0,N($K337)&gt;0),"※收入和支出不能同一行都填",IF(AND($D337="收入",N($J337)=0),"※收入行要填收入金额",IF(AND($D337="支出",N($K337)=0),"※支出行要填支出金额",IF(AND($C337&lt;&gt;"",ISNA(MATCH($C337,账户表,0))),"※账户不在基础资料里",IF(AND($G337&lt;&gt;"",ISNA(MATCH($G337,项目名表,0))),"※项目不在项目台账里",IF(AND(LEFT($F337,3)="成本-",$G337=""),"※成本类支出没填项目",IF(AND(LEFT($F337,3)="成本-",$H337&lt;&gt;"",N($K337)&gt;0,COUNTIFS(采购单!$B:$B,$B337,采购单!$C:$C,$H337,采购单!$L:$L,$K337)&gt;0),"※这笔可能和采购单重复了",""))))))))))</f>
        <v/>
      </c>
    </row>
    <row r="338">
      <c r="A338" s="17">
        <f>IF($B338="","",ROW()-3)</f>
        <v/>
      </c>
      <c r="B338" s="18" t="n">
        <v>46153</v>
      </c>
      <c r="C338" s="13" t="inlineStr">
        <is>
          <t>微信1</t>
        </is>
      </c>
      <c r="D338" s="13" t="inlineStr">
        <is>
          <t>支出</t>
        </is>
      </c>
      <c r="E338" s="13" t="inlineStr">
        <is>
          <t>待分类</t>
        </is>
      </c>
      <c r="F338" s="17">
        <f>IF($E338="","",IFERROR(VLOOKUP($E338,类别归属,2,0),"※类别不在基础资料里"))</f>
        <v/>
      </c>
      <c r="G338" s="13" t="n"/>
      <c r="H338" s="13" t="n"/>
      <c r="I338" s="13" t="inlineStr">
        <is>
          <t>章凡买二个时控器 118元</t>
        </is>
      </c>
      <c r="J338" s="14" t="n"/>
      <c r="K338" s="14" t="n">
        <v>118</v>
      </c>
      <c r="L338" s="19">
        <f>IF($C338="","",ROUND(IFERROR(VLOOKUP($C338,账户期初,2,0),0)+SUMIFS($J$4:J338,$C$4:C338,$C338)-SUMIFS($K$4:K338,$C$4:C338,$C338),2))</f>
        <v/>
      </c>
      <c r="M338" s="19">
        <f>IF($C338="","",ROUND(SUM(基础资料!$B$4:$B$13)+SUM($J$4:J338)-SUM($K$4:K338),2))</f>
        <v/>
      </c>
      <c r="N338" s="13" t="n"/>
      <c r="O338" s="13" t="n"/>
      <c r="P338" s="17">
        <f>IF($B338="","",IF($F338="※类别不在基础资料里","※费用类别不在基础资料里",IF(AND(N($J338)=0,N($K338)=0),"※这行没填金额",IF(AND(N($J338)&gt;0,N($K338)&gt;0),"※收入和支出不能同一行都填",IF(AND($D338="收入",N($J338)=0),"※收入行要填收入金额",IF(AND($D338="支出",N($K338)=0),"※支出行要填支出金额",IF(AND($C338&lt;&gt;"",ISNA(MATCH($C338,账户表,0))),"※账户不在基础资料里",IF(AND($G338&lt;&gt;"",ISNA(MATCH($G338,项目名表,0))),"※项目不在项目台账里",IF(AND(LEFT($F338,3)="成本-",$G338=""),"※成本类支出没填项目",IF(AND(LEFT($F338,3)="成本-",$H338&lt;&gt;"",N($K338)&gt;0,COUNTIFS(采购单!$B:$B,$B338,采购单!$C:$C,$H338,采购单!$L:$L,$K338)&gt;0),"※这笔可能和采购单重复了",""))))))))))</f>
        <v/>
      </c>
    </row>
    <row r="339">
      <c r="A339" s="17">
        <f>IF($B339="","",ROW()-3)</f>
        <v/>
      </c>
      <c r="B339" s="18" t="n">
        <v>46155</v>
      </c>
      <c r="C339" s="13" t="inlineStr">
        <is>
          <t>微信1</t>
        </is>
      </c>
      <c r="D339" s="13" t="inlineStr">
        <is>
          <t>支出</t>
        </is>
      </c>
      <c r="E339" s="13" t="inlineStr">
        <is>
          <t>其他管理费用</t>
        </is>
      </c>
      <c r="F339" s="17">
        <f>IF($E339="","",IFERROR(VLOOKUP($E339,类别归属,2,0),"※类别不在基础资料里"))</f>
        <v/>
      </c>
      <c r="G339" s="13" t="n"/>
      <c r="H339" s="13" t="n"/>
      <c r="I339" s="13" t="inlineStr">
        <is>
          <t>章凡报销费用</t>
        </is>
      </c>
      <c r="J339" s="14" t="n"/>
      <c r="K339" s="14" t="n">
        <v>175</v>
      </c>
      <c r="L339" s="19">
        <f>IF($C339="","",ROUND(IFERROR(VLOOKUP($C339,账户期初,2,0),0)+SUMIFS($J$4:J339,$C$4:C339,$C339)-SUMIFS($K$4:K339,$C$4:C339,$C339),2))</f>
        <v/>
      </c>
      <c r="M339" s="19">
        <f>IF($C339="","",ROUND(SUM(基础资料!$B$4:$B$13)+SUM($J$4:J339)-SUM($K$4:K339),2))</f>
        <v/>
      </c>
      <c r="N339" s="13" t="n"/>
      <c r="O339" s="13" t="n"/>
      <c r="P339" s="17">
        <f>IF($B339="","",IF($F339="※类别不在基础资料里","※费用类别不在基础资料里",IF(AND(N($J339)=0,N($K339)=0),"※这行没填金额",IF(AND(N($J339)&gt;0,N($K339)&gt;0),"※收入和支出不能同一行都填",IF(AND($D339="收入",N($J339)=0),"※收入行要填收入金额",IF(AND($D339="支出",N($K339)=0),"※支出行要填支出金额",IF(AND($C339&lt;&gt;"",ISNA(MATCH($C339,账户表,0))),"※账户不在基础资料里",IF(AND($G339&lt;&gt;"",ISNA(MATCH($G339,项目名表,0))),"※项目不在项目台账里",IF(AND(LEFT($F339,3)="成本-",$G339=""),"※成本类支出没填项目",IF(AND(LEFT($F339,3)="成本-",$H339&lt;&gt;"",N($K339)&gt;0,COUNTIFS(采购单!$B:$B,$B339,采购单!$C:$C,$H339,采购单!$L:$L,$K339)&gt;0),"※这笔可能和采购单重复了",""))))))))))</f>
        <v/>
      </c>
    </row>
    <row r="340">
      <c r="A340" s="17">
        <f>IF($B340="","",ROW()-3)</f>
        <v/>
      </c>
      <c r="B340" s="18" t="n">
        <v>46155</v>
      </c>
      <c r="C340" s="13" t="inlineStr">
        <is>
          <t>微信1</t>
        </is>
      </c>
      <c r="D340" s="13" t="inlineStr">
        <is>
          <t>支出</t>
        </is>
      </c>
      <c r="E340" s="13" t="inlineStr">
        <is>
          <t>其他管理费用</t>
        </is>
      </c>
      <c r="F340" s="17">
        <f>IF($E340="","",IFERROR(VLOOKUP($E340,类别归属,2,0),"※类别不在基础资料里"))</f>
        <v/>
      </c>
      <c r="G340" s="13" t="n"/>
      <c r="H340" s="13" t="n"/>
      <c r="I340" s="13" t="inlineStr">
        <is>
          <t>杨德报销费用2868.3</t>
        </is>
      </c>
      <c r="J340" s="14" t="n"/>
      <c r="K340" s="14" t="n">
        <v>1000</v>
      </c>
      <c r="L340" s="19">
        <f>IF($C340="","",ROUND(IFERROR(VLOOKUP($C340,账户期初,2,0),0)+SUMIFS($J$4:J340,$C$4:C340,$C340)-SUMIFS($K$4:K340,$C$4:C340,$C340),2))</f>
        <v/>
      </c>
      <c r="M340" s="19">
        <f>IF($C340="","",ROUND(SUM(基础资料!$B$4:$B$13)+SUM($J$4:J340)-SUM($K$4:K340),2))</f>
        <v/>
      </c>
      <c r="N340" s="13" t="n"/>
      <c r="O340" s="13" t="n"/>
      <c r="P340" s="17">
        <f>IF($B340="","",IF($F340="※类别不在基础资料里","※费用类别不在基础资料里",IF(AND(N($J340)=0,N($K340)=0),"※这行没填金额",IF(AND(N($J340)&gt;0,N($K340)&gt;0),"※收入和支出不能同一行都填",IF(AND($D340="收入",N($J340)=0),"※收入行要填收入金额",IF(AND($D340="支出",N($K340)=0),"※支出行要填支出金额",IF(AND($C340&lt;&gt;"",ISNA(MATCH($C340,账户表,0))),"※账户不在基础资料里",IF(AND($G340&lt;&gt;"",ISNA(MATCH($G340,项目名表,0))),"※项目不在项目台账里",IF(AND(LEFT($F340,3)="成本-",$G340=""),"※成本类支出没填项目",IF(AND(LEFT($F340,3)="成本-",$H340&lt;&gt;"",N($K340)&gt;0,COUNTIFS(采购单!$B:$B,$B340,采购单!$C:$C,$H340,采购单!$L:$L,$K340)&gt;0),"※这笔可能和采购单重复了",""))))))))))</f>
        <v/>
      </c>
    </row>
    <row r="341">
      <c r="A341" s="17">
        <f>IF($B341="","",ROW()-3)</f>
        <v/>
      </c>
      <c r="B341" s="18" t="n"/>
      <c r="C341" s="13" t="inlineStr">
        <is>
          <t>微信1</t>
        </is>
      </c>
      <c r="D341" s="13" t="inlineStr">
        <is>
          <t>支出</t>
        </is>
      </c>
      <c r="E341" s="13" t="inlineStr">
        <is>
          <t>待分类</t>
        </is>
      </c>
      <c r="F341" s="17">
        <f>IF($E341="","",IFERROR(VLOOKUP($E341,类别归属,2,0),"※类别不在基础资料里"))</f>
        <v/>
      </c>
      <c r="G341" s="13" t="n"/>
      <c r="H341" s="13" t="n"/>
      <c r="I341" s="13" t="inlineStr"/>
      <c r="J341" s="14" t="n"/>
      <c r="K341" s="14" t="n">
        <v>1868.3</v>
      </c>
      <c r="L341" s="19">
        <f>IF($C341="","",ROUND(IFERROR(VLOOKUP($C341,账户期初,2,0),0)+SUMIFS($J$4:J341,$C$4:C341,$C341)-SUMIFS($K$4:K341,$C$4:C341,$C341),2))</f>
        <v/>
      </c>
      <c r="M341" s="19">
        <f>IF($C341="","",ROUND(SUM(基础资料!$B$4:$B$13)+SUM($J$4:J341)-SUM($K$4:K341),2))</f>
        <v/>
      </c>
      <c r="N341" s="13" t="n"/>
      <c r="O341" s="13" t="n"/>
      <c r="P341" s="17">
        <f>IF($B341="","",IF($F341="※类别不在基础资料里","※费用类别不在基础资料里",IF(AND(N($J341)=0,N($K341)=0),"※这行没填金额",IF(AND(N($J341)&gt;0,N($K341)&gt;0),"※收入和支出不能同一行都填",IF(AND($D341="收入",N($J341)=0),"※收入行要填收入金额",IF(AND($D341="支出",N($K341)=0),"※支出行要填支出金额",IF(AND($C341&lt;&gt;"",ISNA(MATCH($C341,账户表,0))),"※账户不在基础资料里",IF(AND($G341&lt;&gt;"",ISNA(MATCH($G341,项目名表,0))),"※项目不在项目台账里",IF(AND(LEFT($F341,3)="成本-",$G341=""),"※成本类支出没填项目",IF(AND(LEFT($F341,3)="成本-",$H341&lt;&gt;"",N($K341)&gt;0,COUNTIFS(采购单!$B:$B,$B341,采购单!$C:$C,$H341,采购单!$L:$L,$K341)&gt;0),"※这笔可能和采购单重复了",""))))))))))</f>
        <v/>
      </c>
    </row>
    <row r="342">
      <c r="A342" s="17">
        <f>IF($B342="","",ROW()-3)</f>
        <v/>
      </c>
      <c r="B342" s="18" t="n">
        <v>46164</v>
      </c>
      <c r="C342" s="13" t="inlineStr">
        <is>
          <t>微信1</t>
        </is>
      </c>
      <c r="D342" s="13" t="inlineStr">
        <is>
          <t>支出</t>
        </is>
      </c>
      <c r="E342" s="13" t="inlineStr">
        <is>
          <t>其他管理费用</t>
        </is>
      </c>
      <c r="F342" s="17">
        <f>IF($E342="","",IFERROR(VLOOKUP($E342,类别归属,2,0),"※类别不在基础资料里"))</f>
        <v/>
      </c>
      <c r="G342" s="13" t="n"/>
      <c r="H342" s="13" t="n"/>
      <c r="I342" s="13" t="inlineStr">
        <is>
          <t>章凡报销费用</t>
        </is>
      </c>
      <c r="J342" s="14" t="n"/>
      <c r="K342" s="14" t="n">
        <v>446</v>
      </c>
      <c r="L342" s="19">
        <f>IF($C342="","",ROUND(IFERROR(VLOOKUP($C342,账户期初,2,0),0)+SUMIFS($J$4:J342,$C$4:C342,$C342)-SUMIFS($K$4:K342,$C$4:C342,$C342),2))</f>
        <v/>
      </c>
      <c r="M342" s="19">
        <f>IF($C342="","",ROUND(SUM(基础资料!$B$4:$B$13)+SUM($J$4:J342)-SUM($K$4:K342),2))</f>
        <v/>
      </c>
      <c r="N342" s="13" t="n"/>
      <c r="O342" s="13" t="n"/>
      <c r="P342" s="17">
        <f>IF($B342="","",IF($F342="※类别不在基础资料里","※费用类别不在基础资料里",IF(AND(N($J342)=0,N($K342)=0),"※这行没填金额",IF(AND(N($J342)&gt;0,N($K342)&gt;0),"※收入和支出不能同一行都填",IF(AND($D342="收入",N($J342)=0),"※收入行要填收入金额",IF(AND($D342="支出",N($K342)=0),"※支出行要填支出金额",IF(AND($C342&lt;&gt;"",ISNA(MATCH($C342,账户表,0))),"※账户不在基础资料里",IF(AND($G342&lt;&gt;"",ISNA(MATCH($G342,项目名表,0))),"※项目不在项目台账里",IF(AND(LEFT($F342,3)="成本-",$G342=""),"※成本类支出没填项目",IF(AND(LEFT($F342,3)="成本-",$H342&lt;&gt;"",N($K342)&gt;0,COUNTIFS(采购单!$B:$B,$B342,采购单!$C:$C,$H342,采购单!$L:$L,$K342)&gt;0),"※这笔可能和采购单重复了",""))))))))))</f>
        <v/>
      </c>
    </row>
    <row r="343">
      <c r="A343" s="17">
        <f>IF($B343="","",ROW()-3)</f>
        <v/>
      </c>
      <c r="B343" s="18" t="n">
        <v>46168</v>
      </c>
      <c r="C343" s="13" t="inlineStr">
        <is>
          <t>微信1</t>
        </is>
      </c>
      <c r="D343" s="13" t="inlineStr">
        <is>
          <t>支出</t>
        </is>
      </c>
      <c r="E343" s="13" t="inlineStr">
        <is>
          <t>其他管理费用</t>
        </is>
      </c>
      <c r="F343" s="17">
        <f>IF($E343="","",IFERROR(VLOOKUP($E343,类别归属,2,0),"※类别不在基础资料里"))</f>
        <v/>
      </c>
      <c r="G343" s="13" t="n"/>
      <c r="H343" s="13" t="n"/>
      <c r="I343" s="13" t="inlineStr">
        <is>
          <t>徐可欣报销费用</t>
        </is>
      </c>
      <c r="J343" s="14" t="n"/>
      <c r="K343" s="14" t="n">
        <v>552</v>
      </c>
      <c r="L343" s="19">
        <f>IF($C343="","",ROUND(IFERROR(VLOOKUP($C343,账户期初,2,0),0)+SUMIFS($J$4:J343,$C$4:C343,$C343)-SUMIFS($K$4:K343,$C$4:C343,$C343),2))</f>
        <v/>
      </c>
      <c r="M343" s="19">
        <f>IF($C343="","",ROUND(SUM(基础资料!$B$4:$B$13)+SUM($J$4:J343)-SUM($K$4:K343),2))</f>
        <v/>
      </c>
      <c r="N343" s="13" t="n"/>
      <c r="O343" s="13" t="n"/>
      <c r="P343" s="17">
        <f>IF($B343="","",IF($F343="※类别不在基础资料里","※费用类别不在基础资料里",IF(AND(N($J343)=0,N($K343)=0),"※这行没填金额",IF(AND(N($J343)&gt;0,N($K343)&gt;0),"※收入和支出不能同一行都填",IF(AND($D343="收入",N($J343)=0),"※收入行要填收入金额",IF(AND($D343="支出",N($K343)=0),"※支出行要填支出金额",IF(AND($C343&lt;&gt;"",ISNA(MATCH($C343,账户表,0))),"※账户不在基础资料里",IF(AND($G343&lt;&gt;"",ISNA(MATCH($G343,项目名表,0))),"※项目不在项目台账里",IF(AND(LEFT($F343,3)="成本-",$G343=""),"※成本类支出没填项目",IF(AND(LEFT($F343,3)="成本-",$H343&lt;&gt;"",N($K343)&gt;0,COUNTIFS(采购单!$B:$B,$B343,采购单!$C:$C,$H343,采购单!$L:$L,$K343)&gt;0),"※这笔可能和采购单重复了",""))))))))))</f>
        <v/>
      </c>
    </row>
    <row r="344">
      <c r="A344" s="17">
        <f>IF($B344="","",ROW()-3)</f>
        <v/>
      </c>
      <c r="B344" s="18" t="n">
        <v>46145</v>
      </c>
      <c r="C344" s="13" t="inlineStr">
        <is>
          <t>微信1</t>
        </is>
      </c>
      <c r="D344" s="13" t="inlineStr">
        <is>
          <t>支出</t>
        </is>
      </c>
      <c r="E344" s="13" t="inlineStr">
        <is>
          <t>主材采购</t>
        </is>
      </c>
      <c r="F344" s="17">
        <f>IF($E344="","",IFERROR(VLOOKUP($E344,类别归属,2,0),"※类别不在基础资料里"))</f>
        <v/>
      </c>
      <c r="G344" s="13" t="n"/>
      <c r="H344" s="13" t="n"/>
      <c r="I344" s="13" t="inlineStr">
        <is>
          <t>付玻璃胶一箱-章凡</t>
        </is>
      </c>
      <c r="J344" s="14" t="n"/>
      <c r="K344" s="14" t="n">
        <v>240</v>
      </c>
      <c r="L344" s="19">
        <f>IF($C344="","",ROUND(IFERROR(VLOOKUP($C344,账户期初,2,0),0)+SUMIFS($J$4:J344,$C$4:C344,$C344)-SUMIFS($K$4:K344,$C$4:C344,$C344),2))</f>
        <v/>
      </c>
      <c r="M344" s="19">
        <f>IF($C344="","",ROUND(SUM(基础资料!$B$4:$B$13)+SUM($J$4:J344)-SUM($K$4:K344),2))</f>
        <v/>
      </c>
      <c r="N344" s="13" t="n"/>
      <c r="O344" s="13" t="n"/>
      <c r="P344" s="17">
        <f>IF($B344="","",IF($F344="※类别不在基础资料里","※费用类别不在基础资料里",IF(AND(N($J344)=0,N($K344)=0),"※这行没填金额",IF(AND(N($J344)&gt;0,N($K344)&gt;0),"※收入和支出不能同一行都填",IF(AND($D344="收入",N($J344)=0),"※收入行要填收入金额",IF(AND($D344="支出",N($K344)=0),"※支出行要填支出金额",IF(AND($C344&lt;&gt;"",ISNA(MATCH($C344,账户表,0))),"※账户不在基础资料里",IF(AND($G344&lt;&gt;"",ISNA(MATCH($G344,项目名表,0))),"※项目不在项目台账里",IF(AND(LEFT($F344,3)="成本-",$G344=""),"※成本类支出没填项目",IF(AND(LEFT($F344,3)="成本-",$H344&lt;&gt;"",N($K344)&gt;0,COUNTIFS(采购单!$B:$B,$B344,采购单!$C:$C,$H344,采购单!$L:$L,$K344)&gt;0),"※这笔可能和采购单重复了",""))))))))))</f>
        <v/>
      </c>
    </row>
    <row r="345">
      <c r="A345" s="17">
        <f>IF($B345="","",ROW()-3)</f>
        <v/>
      </c>
      <c r="B345" s="18" t="n">
        <v>46143</v>
      </c>
      <c r="C345" s="13" t="inlineStr">
        <is>
          <t>微信1</t>
        </is>
      </c>
      <c r="D345" s="13" t="inlineStr">
        <is>
          <t>收入</t>
        </is>
      </c>
      <c r="E345" s="13" t="inlineStr">
        <is>
          <t>待分类</t>
        </is>
      </c>
      <c r="F345" s="17">
        <f>IF($E345="","",IFERROR(VLOOKUP($E345,类别归属,2,0),"※类别不在基础资料里"))</f>
        <v/>
      </c>
      <c r="G345" s="13" t="n"/>
      <c r="H345" s="13" t="n"/>
      <c r="I345" s="13" t="inlineStr">
        <is>
          <t>※原表这里余额跳了 5368.30，但没有对应的收支行</t>
        </is>
      </c>
      <c r="J345" s="14" t="n">
        <v>5368.3</v>
      </c>
      <c r="K345" s="14" t="n"/>
      <c r="L345" s="19">
        <f>IF($C345="","",ROUND(IFERROR(VLOOKUP($C345,账户期初,2,0),0)+SUMIFS($J$4:J345,$C$4:C345,$C345)-SUMIFS($K$4:K345,$C$4:C345,$C345),2))</f>
        <v/>
      </c>
      <c r="M345" s="19">
        <f>IF($C345="","",ROUND(SUM(基础资料!$B$4:$B$13)+SUM($J$4:J345)-SUM($K$4:K345),2))</f>
        <v/>
      </c>
      <c r="N345" s="13" t="n"/>
      <c r="O345" s="13" t="inlineStr">
        <is>
          <t>导入时按原表「结余」列补平，请核实这笔钱是什么再改类别</t>
        </is>
      </c>
      <c r="P345" s="17">
        <f>IF($B345="","",IF($F345="※类别不在基础资料里","※费用类别不在基础资料里",IF(AND(N($J345)=0,N($K345)=0),"※这行没填金额",IF(AND(N($J345)&gt;0,N($K345)&gt;0),"※收入和支出不能同一行都填",IF(AND($D345="收入",N($J345)=0),"※收入行要填收入金额",IF(AND($D345="支出",N($K345)=0),"※支出行要填支出金额",IF(AND($C345&lt;&gt;"",ISNA(MATCH($C345,账户表,0))),"※账户不在基础资料里",IF(AND($G345&lt;&gt;"",ISNA(MATCH($G345,项目名表,0))),"※项目不在项目台账里",IF(AND(LEFT($F345,3)="成本-",$G345=""),"※成本类支出没填项目",IF(AND(LEFT($F345,3)="成本-",$H345&lt;&gt;"",N($K345)&gt;0,COUNTIFS(采购单!$B:$B,$B345,采购单!$C:$C,$H345,采购单!$L:$L,$K345)&gt;0),"※这笔可能和采购单重复了",""))))))))))</f>
        <v/>
      </c>
    </row>
    <row r="346">
      <c r="A346" s="17">
        <f>IF($B346="","",ROW()-3)</f>
        <v/>
      </c>
      <c r="B346" s="18" t="n">
        <v>46143</v>
      </c>
      <c r="C346" s="13" t="inlineStr">
        <is>
          <t>微信1</t>
        </is>
      </c>
      <c r="D346" s="13" t="inlineStr">
        <is>
          <t>支出</t>
        </is>
      </c>
      <c r="E346" s="13" t="inlineStr">
        <is>
          <t>业务招待/餐费</t>
        </is>
      </c>
      <c r="F346" s="17">
        <f>IF($E346="","",IFERROR(VLOOKUP($E346,类别归属,2,0),"※类别不在基础资料里"))</f>
        <v/>
      </c>
      <c r="G346" s="13" t="inlineStr">
        <is>
          <t>梦回唐朝</t>
        </is>
      </c>
      <c r="H346" s="13" t="n"/>
      <c r="I346" s="13" t="inlineStr">
        <is>
          <t>美团-花篮</t>
        </is>
      </c>
      <c r="J346" s="14" t="n"/>
      <c r="K346" s="14" t="n">
        <v>142</v>
      </c>
      <c r="L346" s="19">
        <f>IF($C346="","",ROUND(IFERROR(VLOOKUP($C346,账户期初,2,0),0)+SUMIFS($J$4:J346,$C$4:C346,$C346)-SUMIFS($K$4:K346,$C$4:C346,$C346),2))</f>
        <v/>
      </c>
      <c r="M346" s="19">
        <f>IF($C346="","",ROUND(SUM(基础资料!$B$4:$B$13)+SUM($J$4:J346)-SUM($K$4:K346),2))</f>
        <v/>
      </c>
      <c r="N346" s="13" t="n"/>
      <c r="O346" s="13" t="n"/>
      <c r="P346" s="17">
        <f>IF($B346="","",IF($F346="※类别不在基础资料里","※费用类别不在基础资料里",IF(AND(N($J346)=0,N($K346)=0),"※这行没填金额",IF(AND(N($J346)&gt;0,N($K346)&gt;0),"※收入和支出不能同一行都填",IF(AND($D346="收入",N($J346)=0),"※收入行要填收入金额",IF(AND($D346="支出",N($K346)=0),"※支出行要填支出金额",IF(AND($C346&lt;&gt;"",ISNA(MATCH($C346,账户表,0))),"※账户不在基础资料里",IF(AND($G346&lt;&gt;"",ISNA(MATCH($G346,项目名表,0))),"※项目不在项目台账里",IF(AND(LEFT($F346,3)="成本-",$G346=""),"※成本类支出没填项目",IF(AND(LEFT($F346,3)="成本-",$H346&lt;&gt;"",N($K346)&gt;0,COUNTIFS(采购单!$B:$B,$B346,采购单!$C:$C,$H346,采购单!$L:$L,$K346)&gt;0),"※这笔可能和采购单重复了",""))))))))))</f>
        <v/>
      </c>
    </row>
    <row r="347">
      <c r="A347" s="17">
        <f>IF($B347="","",ROW()-3)</f>
        <v/>
      </c>
      <c r="B347" s="18" t="n">
        <v>46143</v>
      </c>
      <c r="C347" s="13" t="inlineStr">
        <is>
          <t>微信1</t>
        </is>
      </c>
      <c r="D347" s="13" t="inlineStr">
        <is>
          <t>支出</t>
        </is>
      </c>
      <c r="E347" s="13" t="inlineStr">
        <is>
          <t>待分类</t>
        </is>
      </c>
      <c r="F347" s="17">
        <f>IF($E347="","",IFERROR(VLOOKUP($E347,类别归属,2,0),"※类别不在基础资料里"))</f>
        <v/>
      </c>
      <c r="G347" s="13" t="inlineStr">
        <is>
          <t>织里店</t>
        </is>
      </c>
      <c r="H347" s="13" t="n"/>
      <c r="I347" s="13" t="inlineStr">
        <is>
          <t>吉祥     吴玲芳13567289348</t>
        </is>
      </c>
      <c r="J347" s="14" t="n"/>
      <c r="K347" s="14" t="n">
        <v>270</v>
      </c>
      <c r="L347" s="19">
        <f>IF($C347="","",ROUND(IFERROR(VLOOKUP($C347,账户期初,2,0),0)+SUMIFS($J$4:J347,$C$4:C347,$C347)-SUMIFS($K$4:K347,$C$4:C347,$C347),2))</f>
        <v/>
      </c>
      <c r="M347" s="19">
        <f>IF($C347="","",ROUND(SUM(基础资料!$B$4:$B$13)+SUM($J$4:J347)-SUM($K$4:K347),2))</f>
        <v/>
      </c>
      <c r="N347" s="13" t="n"/>
      <c r="O347" s="13" t="n"/>
      <c r="P347" s="17">
        <f>IF($B347="","",IF($F347="※类别不在基础资料里","※费用类别不在基础资料里",IF(AND(N($J347)=0,N($K347)=0),"※这行没填金额",IF(AND(N($J347)&gt;0,N($K347)&gt;0),"※收入和支出不能同一行都填",IF(AND($D347="收入",N($J347)=0),"※收入行要填收入金额",IF(AND($D347="支出",N($K347)=0),"※支出行要填支出金额",IF(AND($C347&lt;&gt;"",ISNA(MATCH($C347,账户表,0))),"※账户不在基础资料里",IF(AND($G347&lt;&gt;"",ISNA(MATCH($G347,项目名表,0))),"※项目不在项目台账里",IF(AND(LEFT($F347,3)="成本-",$G347=""),"※成本类支出没填项目",IF(AND(LEFT($F347,3)="成本-",$H347&lt;&gt;"",N($K347)&gt;0,COUNTIFS(采购单!$B:$B,$B347,采购单!$C:$C,$H347,采购单!$L:$L,$K347)&gt;0),"※这笔可能和采购单重复了",""))))))))))</f>
        <v/>
      </c>
    </row>
    <row r="348">
      <c r="A348" s="17">
        <f>IF($B348="","",ROW()-3)</f>
        <v/>
      </c>
      <c r="B348" s="18" t="n">
        <v>46143</v>
      </c>
      <c r="C348" s="13" t="inlineStr">
        <is>
          <t>微信1</t>
        </is>
      </c>
      <c r="D348" s="13" t="inlineStr">
        <is>
          <t>支出</t>
        </is>
      </c>
      <c r="E348" s="13" t="inlineStr">
        <is>
          <t>安装工资</t>
        </is>
      </c>
      <c r="F348" s="17">
        <f>IF($E348="","",IFERROR(VLOOKUP($E348,类别归属,2,0),"※类别不在基础资料里"))</f>
        <v/>
      </c>
      <c r="G348" s="13" t="n"/>
      <c r="H348" s="13" t="n"/>
      <c r="I348" s="13" t="inlineStr">
        <is>
          <t>付鸡哥-安装工</t>
        </is>
      </c>
      <c r="J348" s="14" t="n"/>
      <c r="K348" s="14" t="n">
        <v>2000</v>
      </c>
      <c r="L348" s="19">
        <f>IF($C348="","",ROUND(IFERROR(VLOOKUP($C348,账户期初,2,0),0)+SUMIFS($J$4:J348,$C$4:C348,$C348)-SUMIFS($K$4:K348,$C$4:C348,$C348),2))</f>
        <v/>
      </c>
      <c r="M348" s="19">
        <f>IF($C348="","",ROUND(SUM(基础资料!$B$4:$B$13)+SUM($J$4:J348)-SUM($K$4:K348),2))</f>
        <v/>
      </c>
      <c r="N348" s="13" t="n"/>
      <c r="O348" s="13" t="n"/>
      <c r="P348" s="17">
        <f>IF($B348="","",IF($F348="※类别不在基础资料里","※费用类别不在基础资料里",IF(AND(N($J348)=0,N($K348)=0),"※这行没填金额",IF(AND(N($J348)&gt;0,N($K348)&gt;0),"※收入和支出不能同一行都填",IF(AND($D348="收入",N($J348)=0),"※收入行要填收入金额",IF(AND($D348="支出",N($K348)=0),"※支出行要填支出金额",IF(AND($C348&lt;&gt;"",ISNA(MATCH($C348,账户表,0))),"※账户不在基础资料里",IF(AND($G348&lt;&gt;"",ISNA(MATCH($G348,项目名表,0))),"※项目不在项目台账里",IF(AND(LEFT($F348,3)="成本-",$G348=""),"※成本类支出没填项目",IF(AND(LEFT($F348,3)="成本-",$H348&lt;&gt;"",N($K348)&gt;0,COUNTIFS(采购单!$B:$B,$B348,采购单!$C:$C,$H348,采购单!$L:$L,$K348)&gt;0),"※这笔可能和采购单重复了",""))))))))))</f>
        <v/>
      </c>
    </row>
    <row r="349">
      <c r="A349" s="17">
        <f>IF($B349="","",ROW()-3)</f>
        <v/>
      </c>
      <c r="B349" s="18" t="n">
        <v>46145</v>
      </c>
      <c r="C349" s="13" t="inlineStr">
        <is>
          <t>微信1</t>
        </is>
      </c>
      <c r="D349" s="13" t="inlineStr">
        <is>
          <t>收入</t>
        </is>
      </c>
      <c r="E349" s="13" t="inlineStr">
        <is>
          <t>待分类</t>
        </is>
      </c>
      <c r="F349" s="17">
        <f>IF($E349="","",IFERROR(VLOOKUP($E349,类别归属,2,0),"※类别不在基础资料里"))</f>
        <v/>
      </c>
      <c r="G349" s="13" t="inlineStr">
        <is>
          <t>玖味卤味</t>
        </is>
      </c>
      <c r="H349" s="13" t="n"/>
      <c r="I349" s="13" t="inlineStr">
        <is>
          <t>玖味卤味店-定金</t>
        </is>
      </c>
      <c r="J349" s="14" t="n">
        <v>500</v>
      </c>
      <c r="K349" s="14" t="n"/>
      <c r="L349" s="19">
        <f>IF($C349="","",ROUND(IFERROR(VLOOKUP($C349,账户期初,2,0),0)+SUMIFS($J$4:J349,$C$4:C349,$C349)-SUMIFS($K$4:K349,$C$4:C349,$C349),2))</f>
        <v/>
      </c>
      <c r="M349" s="19">
        <f>IF($C349="","",ROUND(SUM(基础资料!$B$4:$B$13)+SUM($J$4:J349)-SUM($K$4:K349),2))</f>
        <v/>
      </c>
      <c r="N349" s="13" t="n"/>
      <c r="O349" s="13" t="n"/>
      <c r="P349" s="17">
        <f>IF($B349="","",IF($F349="※类别不在基础资料里","※费用类别不在基础资料里",IF(AND(N($J349)=0,N($K349)=0),"※这行没填金额",IF(AND(N($J349)&gt;0,N($K349)&gt;0),"※收入和支出不能同一行都填",IF(AND($D349="收入",N($J349)=0),"※收入行要填收入金额",IF(AND($D349="支出",N($K349)=0),"※支出行要填支出金额",IF(AND($C349&lt;&gt;"",ISNA(MATCH($C349,账户表,0))),"※账户不在基础资料里",IF(AND($G349&lt;&gt;"",ISNA(MATCH($G349,项目名表,0))),"※项目不在项目台账里",IF(AND(LEFT($F349,3)="成本-",$G349=""),"※成本类支出没填项目",IF(AND(LEFT($F349,3)="成本-",$H349&lt;&gt;"",N($K349)&gt;0,COUNTIFS(采购单!$B:$B,$B349,采购单!$C:$C,$H349,采购单!$L:$L,$K349)&gt;0),"※这笔可能和采购单重复了",""))))))))))</f>
        <v/>
      </c>
    </row>
    <row r="350">
      <c r="A350" s="17">
        <f>IF($B350="","",ROW()-3)</f>
        <v/>
      </c>
      <c r="B350" s="18" t="n">
        <v>46145</v>
      </c>
      <c r="C350" s="13" t="inlineStr">
        <is>
          <t>微信1</t>
        </is>
      </c>
      <c r="D350" s="13" t="inlineStr">
        <is>
          <t>收入</t>
        </is>
      </c>
      <c r="E350" s="13" t="inlineStr">
        <is>
          <t>收回借出款</t>
        </is>
      </c>
      <c r="F350" s="17">
        <f>IF($E350="","",IFERROR(VLOOKUP($E350,类别归属,2,0),"※类别不在基础资料里"))</f>
        <v/>
      </c>
      <c r="G350" s="13" t="n"/>
      <c r="H350" s="13" t="inlineStr">
        <is>
          <t>付久华</t>
        </is>
      </c>
      <c r="I350" s="13" t="inlineStr">
        <is>
          <t>付久华</t>
        </is>
      </c>
      <c r="J350" s="14" t="n">
        <v>2000</v>
      </c>
      <c r="K350" s="14" t="n"/>
      <c r="L350" s="19">
        <f>IF($C350="","",ROUND(IFERROR(VLOOKUP($C350,账户期初,2,0),0)+SUMIFS($J$4:J350,$C$4:C350,$C350)-SUMIFS($K$4:K350,$C$4:C350,$C350),2))</f>
        <v/>
      </c>
      <c r="M350" s="19">
        <f>IF($C350="","",ROUND(SUM(基础资料!$B$4:$B$13)+SUM($J$4:J350)-SUM($K$4:K350),2))</f>
        <v/>
      </c>
      <c r="N350" s="13" t="n"/>
      <c r="O350" s="13" t="n"/>
      <c r="P350" s="17">
        <f>IF($B350="","",IF($F350="※类别不在基础资料里","※费用类别不在基础资料里",IF(AND(N($J350)=0,N($K350)=0),"※这行没填金额",IF(AND(N($J350)&gt;0,N($K350)&gt;0),"※收入和支出不能同一行都填",IF(AND($D350="收入",N($J350)=0),"※收入行要填收入金额",IF(AND($D350="支出",N($K350)=0),"※支出行要填支出金额",IF(AND($C350&lt;&gt;"",ISNA(MATCH($C350,账户表,0))),"※账户不在基础资料里",IF(AND($G350&lt;&gt;"",ISNA(MATCH($G350,项目名表,0))),"※项目不在项目台账里",IF(AND(LEFT($F350,3)="成本-",$G350=""),"※成本类支出没填项目",IF(AND(LEFT($F350,3)="成本-",$H350&lt;&gt;"",N($K350)&gt;0,COUNTIFS(采购单!$B:$B,$B350,采购单!$C:$C,$H350,采购单!$L:$L,$K350)&gt;0),"※这笔可能和采购单重复了",""))))))))))</f>
        <v/>
      </c>
    </row>
    <row r="351">
      <c r="A351" s="17">
        <f>IF($B351="","",ROW()-3)</f>
        <v/>
      </c>
      <c r="B351" s="18" t="n">
        <v>46145</v>
      </c>
      <c r="C351" s="13" t="inlineStr">
        <is>
          <t>微信1</t>
        </is>
      </c>
      <c r="D351" s="13" t="inlineStr">
        <is>
          <t>支出</t>
        </is>
      </c>
      <c r="E351" s="13" t="inlineStr">
        <is>
          <t>待分类</t>
        </is>
      </c>
      <c r="F351" s="17">
        <f>IF($E351="","",IFERROR(VLOOKUP($E351,类别归属,2,0),"※类别不在基础资料里"))</f>
        <v/>
      </c>
      <c r="G351" s="13" t="inlineStr">
        <is>
          <t>创艺装饰</t>
        </is>
      </c>
      <c r="H351" s="13" t="n"/>
      <c r="I351" s="13" t="inlineStr">
        <is>
          <t>ζ  A冲孔网爬架网厂家15227161111</t>
        </is>
      </c>
      <c r="J351" s="14" t="n"/>
      <c r="K351" s="14" t="n">
        <v>4000</v>
      </c>
      <c r="L351" s="19">
        <f>IF($C351="","",ROUND(IFERROR(VLOOKUP($C351,账户期初,2,0),0)+SUMIFS($J$4:J351,$C$4:C351,$C351)-SUMIFS($K$4:K351,$C$4:C351,$C351),2))</f>
        <v/>
      </c>
      <c r="M351" s="19">
        <f>IF($C351="","",ROUND(SUM(基础资料!$B$4:$B$13)+SUM($J$4:J351)-SUM($K$4:K351),2))</f>
        <v/>
      </c>
      <c r="N351" s="13" t="n"/>
      <c r="O351" s="13" t="n"/>
      <c r="P351" s="17">
        <f>IF($B351="","",IF($F351="※类别不在基础资料里","※费用类别不在基础资料里",IF(AND(N($J351)=0,N($K351)=0),"※这行没填金额",IF(AND(N($J351)&gt;0,N($K351)&gt;0),"※收入和支出不能同一行都填",IF(AND($D351="收入",N($J351)=0),"※收入行要填收入金额",IF(AND($D351="支出",N($K351)=0),"※支出行要填支出金额",IF(AND($C351&lt;&gt;"",ISNA(MATCH($C351,账户表,0))),"※账户不在基础资料里",IF(AND($G351&lt;&gt;"",ISNA(MATCH($G351,项目名表,0))),"※项目不在项目台账里",IF(AND(LEFT($F351,3)="成本-",$G351=""),"※成本类支出没填项目",IF(AND(LEFT($F351,3)="成本-",$H351&lt;&gt;"",N($K351)&gt;0,COUNTIFS(采购单!$B:$B,$B351,采购单!$C:$C,$H351,采购单!$L:$L,$K351)&gt;0),"※这笔可能和采购单重复了",""))))))))))</f>
        <v/>
      </c>
    </row>
    <row r="352">
      <c r="A352" s="17">
        <f>IF($B352="","",ROW()-3)</f>
        <v/>
      </c>
      <c r="B352" s="18" t="n">
        <v>46146</v>
      </c>
      <c r="C352" s="13" t="inlineStr">
        <is>
          <t>微信1</t>
        </is>
      </c>
      <c r="D352" s="13" t="inlineStr">
        <is>
          <t>支出</t>
        </is>
      </c>
      <c r="E352" s="13" t="inlineStr">
        <is>
          <t>待分类</t>
        </is>
      </c>
      <c r="F352" s="17">
        <f>IF($E352="","",IFERROR(VLOOKUP($E352,类别归属,2,0),"※类别不在基础资料里"))</f>
        <v/>
      </c>
      <c r="G352" s="13" t="inlineStr">
        <is>
          <t>创艺装饰</t>
        </is>
      </c>
      <c r="H352" s="13" t="n"/>
      <c r="I352" s="13" t="inlineStr">
        <is>
          <t>运费-冲空板</t>
        </is>
      </c>
      <c r="J352" s="14" t="n"/>
      <c r="K352" s="14" t="n">
        <v>1600</v>
      </c>
      <c r="L352" s="19">
        <f>IF($C352="","",ROUND(IFERROR(VLOOKUP($C352,账户期初,2,0),0)+SUMIFS($J$4:J352,$C$4:C352,$C352)-SUMIFS($K$4:K352,$C$4:C352,$C352),2))</f>
        <v/>
      </c>
      <c r="M352" s="19">
        <f>IF($C352="","",ROUND(SUM(基础资料!$B$4:$B$13)+SUM($J$4:J352)-SUM($K$4:K352),2))</f>
        <v/>
      </c>
      <c r="N352" s="13" t="n"/>
      <c r="O352" s="13" t="n"/>
      <c r="P352" s="17">
        <f>IF($B352="","",IF($F352="※类别不在基础资料里","※费用类别不在基础资料里",IF(AND(N($J352)=0,N($K352)=0),"※这行没填金额",IF(AND(N($J352)&gt;0,N($K352)&gt;0),"※收入和支出不能同一行都填",IF(AND($D352="收入",N($J352)=0),"※收入行要填收入金额",IF(AND($D352="支出",N($K352)=0),"※支出行要填支出金额",IF(AND($C352&lt;&gt;"",ISNA(MATCH($C352,账户表,0))),"※账户不在基础资料里",IF(AND($G352&lt;&gt;"",ISNA(MATCH($G352,项目名表,0))),"※项目不在项目台账里",IF(AND(LEFT($F352,3)="成本-",$G352=""),"※成本类支出没填项目",IF(AND(LEFT($F352,3)="成本-",$H352&lt;&gt;"",N($K352)&gt;0,COUNTIFS(采购单!$B:$B,$B352,采购单!$C:$C,$H352,采购单!$L:$L,$K352)&gt;0),"※这笔可能和采购单重复了",""))))))))))</f>
        <v/>
      </c>
    </row>
    <row r="353">
      <c r="A353" s="17">
        <f>IF($B353="","",ROW()-3)</f>
        <v/>
      </c>
      <c r="B353" s="18" t="n">
        <v>46146</v>
      </c>
      <c r="C353" s="13" t="inlineStr">
        <is>
          <t>微信1</t>
        </is>
      </c>
      <c r="D353" s="13" t="inlineStr">
        <is>
          <t>支出</t>
        </is>
      </c>
      <c r="E353" s="13" t="inlineStr">
        <is>
          <t>待分类</t>
        </is>
      </c>
      <c r="F353" s="17">
        <f>IF($E353="","",IFERROR(VLOOKUP($E353,类别归属,2,0),"※类别不在基础资料里"))</f>
        <v/>
      </c>
      <c r="G353" s="13" t="n"/>
      <c r="H353" s="13" t="n"/>
      <c r="I353" s="13" t="inlineStr">
        <is>
          <t>双面胶-南浔大秦建筑材料经营部</t>
        </is>
      </c>
      <c r="J353" s="14" t="n"/>
      <c r="K353" s="14" t="n">
        <v>120</v>
      </c>
      <c r="L353" s="19">
        <f>IF($C353="","",ROUND(IFERROR(VLOOKUP($C353,账户期初,2,0),0)+SUMIFS($J$4:J353,$C$4:C353,$C353)-SUMIFS($K$4:K353,$C$4:C353,$C353),2))</f>
        <v/>
      </c>
      <c r="M353" s="19">
        <f>IF($C353="","",ROUND(SUM(基础资料!$B$4:$B$13)+SUM($J$4:J353)-SUM($K$4:K353),2))</f>
        <v/>
      </c>
      <c r="N353" s="13" t="n"/>
      <c r="O353" s="13" t="n"/>
      <c r="P353" s="17">
        <f>IF($B353="","",IF($F353="※类别不在基础资料里","※费用类别不在基础资料里",IF(AND(N($J353)=0,N($K353)=0),"※这行没填金额",IF(AND(N($J353)&gt;0,N($K353)&gt;0),"※收入和支出不能同一行都填",IF(AND($D353="收入",N($J353)=0),"※收入行要填收入金额",IF(AND($D353="支出",N($K353)=0),"※支出行要填支出金额",IF(AND($C353&lt;&gt;"",ISNA(MATCH($C353,账户表,0))),"※账户不在基础资料里",IF(AND($G353&lt;&gt;"",ISNA(MATCH($G353,项目名表,0))),"※项目不在项目台账里",IF(AND(LEFT($F353,3)="成本-",$G353=""),"※成本类支出没填项目",IF(AND(LEFT($F353,3)="成本-",$H353&lt;&gt;"",N($K353)&gt;0,COUNTIFS(采购单!$B:$B,$B353,采购单!$C:$C,$H353,采购单!$L:$L,$K353)&gt;0),"※这笔可能和采购单重复了",""))))))))))</f>
        <v/>
      </c>
    </row>
    <row r="354">
      <c r="A354" s="17">
        <f>IF($B354="","",ROW()-3)</f>
        <v/>
      </c>
      <c r="B354" s="18" t="n">
        <v>46146</v>
      </c>
      <c r="C354" s="13" t="inlineStr">
        <is>
          <t>微信1</t>
        </is>
      </c>
      <c r="D354" s="13" t="inlineStr">
        <is>
          <t>收入</t>
        </is>
      </c>
      <c r="E354" s="13" t="inlineStr">
        <is>
          <t>收回借出款</t>
        </is>
      </c>
      <c r="F354" s="17">
        <f>IF($E354="","",IFERROR(VLOOKUP($E354,类别归属,2,0),"※类别不在基础资料里"))</f>
        <v/>
      </c>
      <c r="G354" s="13" t="n"/>
      <c r="H354" s="13" t="inlineStr">
        <is>
          <t>付久华</t>
        </is>
      </c>
      <c r="I354" s="13" t="inlineStr">
        <is>
          <t>付久华</t>
        </is>
      </c>
      <c r="J354" s="14" t="n">
        <v>2000</v>
      </c>
      <c r="K354" s="14" t="n"/>
      <c r="L354" s="19">
        <f>IF($C354="","",ROUND(IFERROR(VLOOKUP($C354,账户期初,2,0),0)+SUMIFS($J$4:J354,$C$4:C354,$C354)-SUMIFS($K$4:K354,$C$4:C354,$C354),2))</f>
        <v/>
      </c>
      <c r="M354" s="19">
        <f>IF($C354="","",ROUND(SUM(基础资料!$B$4:$B$13)+SUM($J$4:J354)-SUM($K$4:K354),2))</f>
        <v/>
      </c>
      <c r="N354" s="13" t="n"/>
      <c r="O354" s="13" t="n"/>
      <c r="P354" s="17">
        <f>IF($B354="","",IF($F354="※类别不在基础资料里","※费用类别不在基础资料里",IF(AND(N($J354)=0,N($K354)=0),"※这行没填金额",IF(AND(N($J354)&gt;0,N($K354)&gt;0),"※收入和支出不能同一行都填",IF(AND($D354="收入",N($J354)=0),"※收入行要填收入金额",IF(AND($D354="支出",N($K354)=0),"※支出行要填支出金额",IF(AND($C354&lt;&gt;"",ISNA(MATCH($C354,账户表,0))),"※账户不在基础资料里",IF(AND($G354&lt;&gt;"",ISNA(MATCH($G354,项目名表,0))),"※项目不在项目台账里",IF(AND(LEFT($F354,3)="成本-",$G354=""),"※成本类支出没填项目",IF(AND(LEFT($F354,3)="成本-",$H354&lt;&gt;"",N($K354)&gt;0,COUNTIFS(采购单!$B:$B,$B354,采购单!$C:$C,$H354,采购单!$L:$L,$K354)&gt;0),"※这笔可能和采购单重复了",""))))))))))</f>
        <v/>
      </c>
    </row>
    <row r="355">
      <c r="A355" s="17">
        <f>IF($B355="","",ROW()-3)</f>
        <v/>
      </c>
      <c r="B355" s="18" t="n">
        <v>46146</v>
      </c>
      <c r="C355" s="13" t="inlineStr">
        <is>
          <t>微信1</t>
        </is>
      </c>
      <c r="D355" s="13" t="inlineStr">
        <is>
          <t>支出</t>
        </is>
      </c>
      <c r="E355" s="13" t="inlineStr">
        <is>
          <t>待分类</t>
        </is>
      </c>
      <c r="F355" s="17">
        <f>IF($E355="","",IFERROR(VLOOKUP($E355,类别归属,2,0),"※类别不在基础资料里"))</f>
        <v/>
      </c>
      <c r="G355" s="13" t="n"/>
      <c r="H355" s="13" t="n"/>
      <c r="I355" s="13" t="inlineStr">
        <is>
          <t>吉祥     吴玲芳13567289348</t>
        </is>
      </c>
      <c r="J355" s="14" t="n"/>
      <c r="K355" s="14" t="n">
        <v>1350</v>
      </c>
      <c r="L355" s="19">
        <f>IF($C355="","",ROUND(IFERROR(VLOOKUP($C355,账户期初,2,0),0)+SUMIFS($J$4:J355,$C$4:C355,$C355)-SUMIFS($K$4:K355,$C$4:C355,$C355),2))</f>
        <v/>
      </c>
      <c r="M355" s="19">
        <f>IF($C355="","",ROUND(SUM(基础资料!$B$4:$B$13)+SUM($J$4:J355)-SUM($K$4:K355),2))</f>
        <v/>
      </c>
      <c r="N355" s="13" t="n"/>
      <c r="O355" s="13" t="n"/>
      <c r="P355" s="17">
        <f>IF($B355="","",IF($F355="※类别不在基础资料里","※费用类别不在基础资料里",IF(AND(N($J355)=0,N($K355)=0),"※这行没填金额",IF(AND(N($J355)&gt;0,N($K355)&gt;0),"※收入和支出不能同一行都填",IF(AND($D355="收入",N($J355)=0),"※收入行要填收入金额",IF(AND($D355="支出",N($K355)=0),"※支出行要填支出金额",IF(AND($C355&lt;&gt;"",ISNA(MATCH($C355,账户表,0))),"※账户不在基础资料里",IF(AND($G355&lt;&gt;"",ISNA(MATCH($G355,项目名表,0))),"※项目不在项目台账里",IF(AND(LEFT($F355,3)="成本-",$G355=""),"※成本类支出没填项目",IF(AND(LEFT($F355,3)="成本-",$H355&lt;&gt;"",N($K355)&gt;0,COUNTIFS(采购单!$B:$B,$B355,采购单!$C:$C,$H355,采购单!$L:$L,$K355)&gt;0),"※这笔可能和采购单重复了",""))))))))))</f>
        <v/>
      </c>
    </row>
    <row r="356">
      <c r="A356" s="17">
        <f>IF($B356="","",ROW()-3)</f>
        <v/>
      </c>
      <c r="B356" s="18" t="n">
        <v>46146</v>
      </c>
      <c r="C356" s="13" t="inlineStr">
        <is>
          <t>微信1</t>
        </is>
      </c>
      <c r="D356" s="13" t="inlineStr">
        <is>
          <t>支出</t>
        </is>
      </c>
      <c r="E356" s="13" t="inlineStr">
        <is>
          <t>运费/快递费</t>
        </is>
      </c>
      <c r="F356" s="17">
        <f>IF($E356="","",IFERROR(VLOOKUP($E356,类别归属,2,0),"※类别不在基础资料里"))</f>
        <v/>
      </c>
      <c r="G356" s="13" t="inlineStr">
        <is>
          <t>焰燃烧烤</t>
        </is>
      </c>
      <c r="H356" s="13" t="inlineStr">
        <is>
          <t>炳秀</t>
        </is>
      </c>
      <c r="I356" s="13" t="inlineStr">
        <is>
          <t>杭州炳秀湖州26-28武晓军</t>
        </is>
      </c>
      <c r="J356" s="14" t="n"/>
      <c r="K356" s="14" t="n">
        <v>325</v>
      </c>
      <c r="L356" s="19">
        <f>IF($C356="","",ROUND(IFERROR(VLOOKUP($C356,账户期初,2,0),0)+SUMIFS($J$4:J356,$C$4:C356,$C356)-SUMIFS($K$4:K356,$C$4:C356,$C356),2))</f>
        <v/>
      </c>
      <c r="M356" s="19">
        <f>IF($C356="","",ROUND(SUM(基础资料!$B$4:$B$13)+SUM($J$4:J356)-SUM($K$4:K356),2))</f>
        <v/>
      </c>
      <c r="N356" s="13" t="n"/>
      <c r="O356" s="13" t="inlineStr">
        <is>
          <t>330</t>
        </is>
      </c>
      <c r="P356" s="17">
        <f>IF($B356="","",IF($F356="※类别不在基础资料里","※费用类别不在基础资料里",IF(AND(N($J356)=0,N($K356)=0),"※这行没填金额",IF(AND(N($J356)&gt;0,N($K356)&gt;0),"※收入和支出不能同一行都填",IF(AND($D356="收入",N($J356)=0),"※收入行要填收入金额",IF(AND($D356="支出",N($K356)=0),"※支出行要填支出金额",IF(AND($C356&lt;&gt;"",ISNA(MATCH($C356,账户表,0))),"※账户不在基础资料里",IF(AND($G356&lt;&gt;"",ISNA(MATCH($G356,项目名表,0))),"※项目不在项目台账里",IF(AND(LEFT($F356,3)="成本-",$G356=""),"※成本类支出没填项目",IF(AND(LEFT($F356,3)="成本-",$H356&lt;&gt;"",N($K356)&gt;0,COUNTIFS(采购单!$B:$B,$B356,采购单!$C:$C,$H356,采购单!$L:$L,$K356)&gt;0),"※这笔可能和采购单重复了",""))))))))))</f>
        <v/>
      </c>
    </row>
    <row r="357">
      <c r="A357" s="17">
        <f>IF($B357="","",ROW()-3)</f>
        <v/>
      </c>
      <c r="B357" s="18" t="n">
        <v>46146</v>
      </c>
      <c r="C357" s="13" t="inlineStr">
        <is>
          <t>微信1</t>
        </is>
      </c>
      <c r="D357" s="13" t="inlineStr">
        <is>
          <t>支出</t>
        </is>
      </c>
      <c r="E357" s="13" t="inlineStr">
        <is>
          <t>运费/快递费</t>
        </is>
      </c>
      <c r="F357" s="17">
        <f>IF($E357="","",IFERROR(VLOOKUP($E357,类别归属,2,0),"※类别不在基础资料里"))</f>
        <v/>
      </c>
      <c r="G357" s="13" t="inlineStr">
        <is>
          <t>织里店</t>
        </is>
      </c>
      <c r="H357" s="13" t="inlineStr">
        <is>
          <t>炳秀</t>
        </is>
      </c>
      <c r="I357" s="13" t="inlineStr">
        <is>
          <t>杭州炳秀湖州26-28武晓军</t>
        </is>
      </c>
      <c r="J357" s="14" t="n"/>
      <c r="K357" s="14" t="n">
        <v>5</v>
      </c>
      <c r="L357" s="19">
        <f>IF($C357="","",ROUND(IFERROR(VLOOKUP($C357,账户期初,2,0),0)+SUMIFS($J$4:J357,$C$4:C357,$C357)-SUMIFS($K$4:K357,$C$4:C357,$C357),2))</f>
        <v/>
      </c>
      <c r="M357" s="19">
        <f>IF($C357="","",ROUND(SUM(基础资料!$B$4:$B$13)+SUM($J$4:J357)-SUM($K$4:K357),2))</f>
        <v/>
      </c>
      <c r="N357" s="13" t="n"/>
      <c r="O357" s="13" t="n"/>
      <c r="P357" s="17">
        <f>IF($B357="","",IF($F357="※类别不在基础资料里","※费用类别不在基础资料里",IF(AND(N($J357)=0,N($K357)=0),"※这行没填金额",IF(AND(N($J357)&gt;0,N($K357)&gt;0),"※收入和支出不能同一行都填",IF(AND($D357="收入",N($J357)=0),"※收入行要填收入金额",IF(AND($D357="支出",N($K357)=0),"※支出行要填支出金额",IF(AND($C357&lt;&gt;"",ISNA(MATCH($C357,账户表,0))),"※账户不在基础资料里",IF(AND($G357&lt;&gt;"",ISNA(MATCH($G357,项目名表,0))),"※项目不在项目台账里",IF(AND(LEFT($F357,3)="成本-",$G357=""),"※成本类支出没填项目",IF(AND(LEFT($F357,3)="成本-",$H357&lt;&gt;"",N($K357)&gt;0,COUNTIFS(采购单!$B:$B,$B357,采购单!$C:$C,$H357,采购单!$L:$L,$K357)&gt;0),"※这笔可能和采购单重复了",""))))))))))</f>
        <v/>
      </c>
    </row>
    <row r="358">
      <c r="A358" s="17">
        <f>IF($B358="","",ROW()-3)</f>
        <v/>
      </c>
      <c r="B358" s="18" t="n">
        <v>46147</v>
      </c>
      <c r="C358" s="13" t="inlineStr">
        <is>
          <t>微信1</t>
        </is>
      </c>
      <c r="D358" s="13" t="inlineStr">
        <is>
          <t>收入</t>
        </is>
      </c>
      <c r="E358" s="13" t="inlineStr">
        <is>
          <t>待分类</t>
        </is>
      </c>
      <c r="F358" s="17">
        <f>IF($E358="","",IFERROR(VLOOKUP($E358,类别归属,2,0),"※类别不在基础资料里"))</f>
        <v/>
      </c>
      <c r="G358" s="13" t="n"/>
      <c r="H358" s="13" t="n"/>
      <c r="I358" s="13" t="inlineStr">
        <is>
          <t>项目款-（杨德-往后余生）</t>
        </is>
      </c>
      <c r="J358" s="14" t="n">
        <v>500</v>
      </c>
      <c r="K358" s="14" t="n"/>
      <c r="L358" s="19">
        <f>IF($C358="","",ROUND(IFERROR(VLOOKUP($C358,账户期初,2,0),0)+SUMIFS($J$4:J358,$C$4:C358,$C358)-SUMIFS($K$4:K358,$C$4:C358,$C358),2))</f>
        <v/>
      </c>
      <c r="M358" s="19">
        <f>IF($C358="","",ROUND(SUM(基础资料!$B$4:$B$13)+SUM($J$4:J358)-SUM($K$4:K358),2))</f>
        <v/>
      </c>
      <c r="N358" s="13" t="n"/>
      <c r="O358" s="13" t="n"/>
      <c r="P358" s="17">
        <f>IF($B358="","",IF($F358="※类别不在基础资料里","※费用类别不在基础资料里",IF(AND(N($J358)=0,N($K358)=0),"※这行没填金额",IF(AND(N($J358)&gt;0,N($K358)&gt;0),"※收入和支出不能同一行都填",IF(AND($D358="收入",N($J358)=0),"※收入行要填收入金额",IF(AND($D358="支出",N($K358)=0),"※支出行要填支出金额",IF(AND($C358&lt;&gt;"",ISNA(MATCH($C358,账户表,0))),"※账户不在基础资料里",IF(AND($G358&lt;&gt;"",ISNA(MATCH($G358,项目名表,0))),"※项目不在项目台账里",IF(AND(LEFT($F358,3)="成本-",$G358=""),"※成本类支出没填项目",IF(AND(LEFT($F358,3)="成本-",$H358&lt;&gt;"",N($K358)&gt;0,COUNTIFS(采购单!$B:$B,$B358,采购单!$C:$C,$H358,采购单!$L:$L,$K358)&gt;0),"※这笔可能和采购单重复了",""))))))))))</f>
        <v/>
      </c>
    </row>
    <row r="359">
      <c r="A359" s="17">
        <f>IF($B359="","",ROW()-3)</f>
        <v/>
      </c>
      <c r="B359" s="18" t="n">
        <v>46147</v>
      </c>
      <c r="C359" s="13" t="inlineStr">
        <is>
          <t>微信1</t>
        </is>
      </c>
      <c r="D359" s="13" t="inlineStr">
        <is>
          <t>支出</t>
        </is>
      </c>
      <c r="E359" s="13" t="inlineStr">
        <is>
          <t>待分类</t>
        </is>
      </c>
      <c r="F359" s="17">
        <f>IF($E359="","",IFERROR(VLOOKUP($E359,类别归属,2,0),"※类别不在基础资料里"))</f>
        <v/>
      </c>
      <c r="G359" s="13" t="n"/>
      <c r="H359" s="13" t="n"/>
      <c r="I359" s="13" t="inlineStr">
        <is>
          <t>501+36-湖州骏轩机电有限公司</t>
        </is>
      </c>
      <c r="J359" s="14" t="n"/>
      <c r="K359" s="14" t="n">
        <v>537</v>
      </c>
      <c r="L359" s="19">
        <f>IF($C359="","",ROUND(IFERROR(VLOOKUP($C359,账户期初,2,0),0)+SUMIFS($J$4:J359,$C$4:C359,$C359)-SUMIFS($K$4:K359,$C$4:C359,$C359),2))</f>
        <v/>
      </c>
      <c r="M359" s="19">
        <f>IF($C359="","",ROUND(SUM(基础资料!$B$4:$B$13)+SUM($J$4:J359)-SUM($K$4:K359),2))</f>
        <v/>
      </c>
      <c r="N359" s="13" t="n"/>
      <c r="O359" s="13" t="n"/>
      <c r="P359" s="17">
        <f>IF($B359="","",IF($F359="※类别不在基础资料里","※费用类别不在基础资料里",IF(AND(N($J359)=0,N($K359)=0),"※这行没填金额",IF(AND(N($J359)&gt;0,N($K359)&gt;0),"※收入和支出不能同一行都填",IF(AND($D359="收入",N($J359)=0),"※收入行要填收入金额",IF(AND($D359="支出",N($K359)=0),"※支出行要填支出金额",IF(AND($C359&lt;&gt;"",ISNA(MATCH($C359,账户表,0))),"※账户不在基础资料里",IF(AND($G359&lt;&gt;"",ISNA(MATCH($G359,项目名表,0))),"※项目不在项目台账里",IF(AND(LEFT($F359,3)="成本-",$G359=""),"※成本类支出没填项目",IF(AND(LEFT($F359,3)="成本-",$H359&lt;&gt;"",N($K359)&gt;0,COUNTIFS(采购单!$B:$B,$B359,采购单!$C:$C,$H359,采购单!$L:$L,$K359)&gt;0),"※这笔可能和采购单重复了",""))))))))))</f>
        <v/>
      </c>
    </row>
    <row r="360">
      <c r="A360" s="17">
        <f>IF($B360="","",ROW()-3)</f>
        <v/>
      </c>
      <c r="B360" s="18" t="n">
        <v>46147</v>
      </c>
      <c r="C360" s="13" t="inlineStr">
        <is>
          <t>微信1</t>
        </is>
      </c>
      <c r="D360" s="13" t="inlineStr">
        <is>
          <t>收入</t>
        </is>
      </c>
      <c r="E360" s="13" t="inlineStr">
        <is>
          <t>待分类</t>
        </is>
      </c>
      <c r="F360" s="17">
        <f>IF($E360="","",IFERROR(VLOOKUP($E360,类别归属,2,0),"※类别不在基础资料里"))</f>
        <v/>
      </c>
      <c r="G360" s="13" t="inlineStr">
        <is>
          <t>万达荣泰</t>
        </is>
      </c>
      <c r="H360" s="13" t="n"/>
      <c r="I360" s="13" t="inlineStr">
        <is>
          <t>物料款</t>
        </is>
      </c>
      <c r="J360" s="14" t="n">
        <v>110</v>
      </c>
      <c r="K360" s="14" t="n"/>
      <c r="L360" s="19">
        <f>IF($C360="","",ROUND(IFERROR(VLOOKUP($C360,账户期初,2,0),0)+SUMIFS($J$4:J360,$C$4:C360,$C360)-SUMIFS($K$4:K360,$C$4:C360,$C360),2))</f>
        <v/>
      </c>
      <c r="M360" s="19">
        <f>IF($C360="","",ROUND(SUM(基础资料!$B$4:$B$13)+SUM($J$4:J360)-SUM($K$4:K360),2))</f>
        <v/>
      </c>
      <c r="N360" s="13" t="n"/>
      <c r="O360" s="13" t="inlineStr">
        <is>
          <t>变压器</t>
        </is>
      </c>
      <c r="P360" s="17">
        <f>IF($B360="","",IF($F360="※类别不在基础资料里","※费用类别不在基础资料里",IF(AND(N($J360)=0,N($K360)=0),"※这行没填金额",IF(AND(N($J360)&gt;0,N($K360)&gt;0),"※收入和支出不能同一行都填",IF(AND($D360="收入",N($J360)=0),"※收入行要填收入金额",IF(AND($D360="支出",N($K360)=0),"※支出行要填支出金额",IF(AND($C360&lt;&gt;"",ISNA(MATCH($C360,账户表,0))),"※账户不在基础资料里",IF(AND($G360&lt;&gt;"",ISNA(MATCH($G360,项目名表,0))),"※项目不在项目台账里",IF(AND(LEFT($F360,3)="成本-",$G360=""),"※成本类支出没填项目",IF(AND(LEFT($F360,3)="成本-",$H360&lt;&gt;"",N($K360)&gt;0,COUNTIFS(采购单!$B:$B,$B360,采购单!$C:$C,$H360,采购单!$L:$L,$K360)&gt;0),"※这笔可能和采购单重复了",""))))))))))</f>
        <v/>
      </c>
    </row>
    <row r="361">
      <c r="A361" s="17">
        <f>IF($B361="","",ROW()-3)</f>
        <v/>
      </c>
      <c r="B361" s="18" t="n">
        <v>46147</v>
      </c>
      <c r="C361" s="13" t="inlineStr">
        <is>
          <t>微信1</t>
        </is>
      </c>
      <c r="D361" s="13" t="inlineStr">
        <is>
          <t>支出</t>
        </is>
      </c>
      <c r="E361" s="13" t="inlineStr">
        <is>
          <t>业务招待/餐费</t>
        </is>
      </c>
      <c r="F361" s="17">
        <f>IF($E361="","",IFERROR(VLOOKUP($E361,类别归属,2,0),"※类别不在基础资料里"))</f>
        <v/>
      </c>
      <c r="G361" s="13" t="inlineStr">
        <is>
          <t>九熠装饰</t>
        </is>
      </c>
      <c r="H361" s="13" t="n"/>
      <c r="I361" s="13" t="inlineStr">
        <is>
          <t>美团-花篮</t>
        </is>
      </c>
      <c r="J361" s="14" t="n"/>
      <c r="K361" s="14" t="n">
        <v>187</v>
      </c>
      <c r="L361" s="19">
        <f>IF($C361="","",ROUND(IFERROR(VLOOKUP($C361,账户期初,2,0),0)+SUMIFS($J$4:J361,$C$4:C361,$C361)-SUMIFS($K$4:K361,$C$4:C361,$C361),2))</f>
        <v/>
      </c>
      <c r="M361" s="19">
        <f>IF($C361="","",ROUND(SUM(基础资料!$B$4:$B$13)+SUM($J$4:J361)-SUM($K$4:K361),2))</f>
        <v/>
      </c>
      <c r="N361" s="13" t="n"/>
      <c r="O361" s="13" t="n"/>
      <c r="P361" s="17">
        <f>IF($B361="","",IF($F361="※类别不在基础资料里","※费用类别不在基础资料里",IF(AND(N($J361)=0,N($K361)=0),"※这行没填金额",IF(AND(N($J361)&gt;0,N($K361)&gt;0),"※收入和支出不能同一行都填",IF(AND($D361="收入",N($J361)=0),"※收入行要填收入金额",IF(AND($D361="支出",N($K361)=0),"※支出行要填支出金额",IF(AND($C361&lt;&gt;"",ISNA(MATCH($C361,账户表,0))),"※账户不在基础资料里",IF(AND($G361&lt;&gt;"",ISNA(MATCH($G361,项目名表,0))),"※项目不在项目台账里",IF(AND(LEFT($F361,3)="成本-",$G361=""),"※成本类支出没填项目",IF(AND(LEFT($F361,3)="成本-",$H361&lt;&gt;"",N($K361)&gt;0,COUNTIFS(采购单!$B:$B,$B361,采购单!$C:$C,$H361,采购单!$L:$L,$K361)&gt;0),"※这笔可能和采购单重复了",""))))))))))</f>
        <v/>
      </c>
    </row>
    <row r="362">
      <c r="A362" s="17">
        <f>IF($B362="","",ROW()-3)</f>
        <v/>
      </c>
      <c r="B362" s="18" t="n">
        <v>46147</v>
      </c>
      <c r="C362" s="13" t="inlineStr">
        <is>
          <t>微信1</t>
        </is>
      </c>
      <c r="D362" s="13" t="inlineStr">
        <is>
          <t>收入</t>
        </is>
      </c>
      <c r="E362" s="13" t="inlineStr">
        <is>
          <t>收回借出款</t>
        </is>
      </c>
      <c r="F362" s="17">
        <f>IF($E362="","",IFERROR(VLOOKUP($E362,类别归属,2,0),"※类别不在基础资料里"))</f>
        <v/>
      </c>
      <c r="G362" s="13" t="n"/>
      <c r="H362" s="13" t="inlineStr">
        <is>
          <t>往来款</t>
        </is>
      </c>
      <c r="I362" s="13" t="inlineStr">
        <is>
          <t>虞红华-物料</t>
        </is>
      </c>
      <c r="J362" s="14" t="n">
        <v>467</v>
      </c>
      <c r="K362" s="14" t="n"/>
      <c r="L362" s="19">
        <f>IF($C362="","",ROUND(IFERROR(VLOOKUP($C362,账户期初,2,0),0)+SUMIFS($J$4:J362,$C$4:C362,$C362)-SUMIFS($K$4:K362,$C$4:C362,$C362),2))</f>
        <v/>
      </c>
      <c r="M362" s="19">
        <f>IF($C362="","",ROUND(SUM(基础资料!$B$4:$B$13)+SUM($J$4:J362)-SUM($K$4:K362),2))</f>
        <v/>
      </c>
      <c r="N362" s="13" t="n"/>
      <c r="O362" s="13" t="n"/>
      <c r="P362" s="17">
        <f>IF($B362="","",IF($F362="※类别不在基础资料里","※费用类别不在基础资料里",IF(AND(N($J362)=0,N($K362)=0),"※这行没填金额",IF(AND(N($J362)&gt;0,N($K362)&gt;0),"※收入和支出不能同一行都填",IF(AND($D362="收入",N($J362)=0),"※收入行要填收入金额",IF(AND($D362="支出",N($K362)=0),"※支出行要填支出金额",IF(AND($C362&lt;&gt;"",ISNA(MATCH($C362,账户表,0))),"※账户不在基础资料里",IF(AND($G362&lt;&gt;"",ISNA(MATCH($G362,项目名表,0))),"※项目不在项目台账里",IF(AND(LEFT($F362,3)="成本-",$G362=""),"※成本类支出没填项目",IF(AND(LEFT($F362,3)="成本-",$H362&lt;&gt;"",N($K362)&gt;0,COUNTIFS(采购单!$B:$B,$B362,采购单!$C:$C,$H362,采购单!$L:$L,$K362)&gt;0),"※这笔可能和采购单重复了",""))))))))))</f>
        <v/>
      </c>
    </row>
    <row r="363">
      <c r="A363" s="17">
        <f>IF($B363="","",ROW()-3)</f>
        <v/>
      </c>
      <c r="B363" s="18" t="n">
        <v>46147</v>
      </c>
      <c r="C363" s="13" t="inlineStr">
        <is>
          <t>微信1</t>
        </is>
      </c>
      <c r="D363" s="13" t="inlineStr">
        <is>
          <t>支出</t>
        </is>
      </c>
      <c r="E363" s="13" t="inlineStr">
        <is>
          <t>借出款</t>
        </is>
      </c>
      <c r="F363" s="17">
        <f>IF($E363="","",IFERROR(VLOOKUP($E363,类别归属,2,0),"※类别不在基础资料里"))</f>
        <v/>
      </c>
      <c r="G363" s="13" t="n"/>
      <c r="H363" s="13" t="inlineStr">
        <is>
          <t>往来款</t>
        </is>
      </c>
      <c r="I363" s="13" t="inlineStr">
        <is>
          <t>美团-花篮</t>
        </is>
      </c>
      <c r="J363" s="14" t="n"/>
      <c r="K363" s="14" t="n">
        <v>469</v>
      </c>
      <c r="L363" s="19">
        <f>IF($C363="","",ROUND(IFERROR(VLOOKUP($C363,账户期初,2,0),0)+SUMIFS($J$4:J363,$C$4:C363,$C363)-SUMIFS($K$4:K363,$C$4:C363,$C363),2))</f>
        <v/>
      </c>
      <c r="M363" s="19">
        <f>IF($C363="","",ROUND(SUM(基础资料!$B$4:$B$13)+SUM($J$4:J363)-SUM($K$4:K363),2))</f>
        <v/>
      </c>
      <c r="N363" s="13" t="n"/>
      <c r="O363" s="13" t="n"/>
      <c r="P363" s="17">
        <f>IF($B363="","",IF($F363="※类别不在基础资料里","※费用类别不在基础资料里",IF(AND(N($J363)=0,N($K363)=0),"※这行没填金额",IF(AND(N($J363)&gt;0,N($K363)&gt;0),"※收入和支出不能同一行都填",IF(AND($D363="收入",N($J363)=0),"※收入行要填收入金额",IF(AND($D363="支出",N($K363)=0),"※支出行要填支出金额",IF(AND($C363&lt;&gt;"",ISNA(MATCH($C363,账户表,0))),"※账户不在基础资料里",IF(AND($G363&lt;&gt;"",ISNA(MATCH($G363,项目名表,0))),"※项目不在项目台账里",IF(AND(LEFT($F363,3)="成本-",$G363=""),"※成本类支出没填项目",IF(AND(LEFT($F363,3)="成本-",$H363&lt;&gt;"",N($K363)&gt;0,COUNTIFS(采购单!$B:$B,$B363,采购单!$C:$C,$H363,采购单!$L:$L,$K363)&gt;0),"※这笔可能和采购单重复了",""))))))))))</f>
        <v/>
      </c>
    </row>
    <row r="364">
      <c r="A364" s="17">
        <f>IF($B364="","",ROW()-3)</f>
        <v/>
      </c>
      <c r="B364" s="18" t="n">
        <v>46147</v>
      </c>
      <c r="C364" s="13" t="inlineStr">
        <is>
          <t>微信1</t>
        </is>
      </c>
      <c r="D364" s="13" t="inlineStr">
        <is>
          <t>收入</t>
        </is>
      </c>
      <c r="E364" s="13" t="inlineStr">
        <is>
          <t>收回借出款</t>
        </is>
      </c>
      <c r="F364" s="17">
        <f>IF($E364="","",IFERROR(VLOOKUP($E364,类别归属,2,0),"※类别不在基础资料里"))</f>
        <v/>
      </c>
      <c r="G364" s="13" t="n"/>
      <c r="H364" s="13" t="inlineStr">
        <is>
          <t>往来款</t>
        </is>
      </c>
      <c r="I364" s="13" t="inlineStr">
        <is>
          <t>虞红华-花篮</t>
        </is>
      </c>
      <c r="J364" s="14" t="n">
        <v>2</v>
      </c>
      <c r="K364" s="14" t="n"/>
      <c r="L364" s="19">
        <f>IF($C364="","",ROUND(IFERROR(VLOOKUP($C364,账户期初,2,0),0)+SUMIFS($J$4:J364,$C$4:C364,$C364)-SUMIFS($K$4:K364,$C$4:C364,$C364),2))</f>
        <v/>
      </c>
      <c r="M364" s="19">
        <f>IF($C364="","",ROUND(SUM(基础资料!$B$4:$B$13)+SUM($J$4:J364)-SUM($K$4:K364),2))</f>
        <v/>
      </c>
      <c r="N364" s="13" t="n"/>
      <c r="O364" s="13" t="n"/>
      <c r="P364" s="17">
        <f>IF($B364="","",IF($F364="※类别不在基础资料里","※费用类别不在基础资料里",IF(AND(N($J364)=0,N($K364)=0),"※这行没填金额",IF(AND(N($J364)&gt;0,N($K364)&gt;0),"※收入和支出不能同一行都填",IF(AND($D364="收入",N($J364)=0),"※收入行要填收入金额",IF(AND($D364="支出",N($K364)=0),"※支出行要填支出金额",IF(AND($C364&lt;&gt;"",ISNA(MATCH($C364,账户表,0))),"※账户不在基础资料里",IF(AND($G364&lt;&gt;"",ISNA(MATCH($G364,项目名表,0))),"※项目不在项目台账里",IF(AND(LEFT($F364,3)="成本-",$G364=""),"※成本类支出没填项目",IF(AND(LEFT($F364,3)="成本-",$H364&lt;&gt;"",N($K364)&gt;0,COUNTIFS(采购单!$B:$B,$B364,采购单!$C:$C,$H364,采购单!$L:$L,$K364)&gt;0),"※这笔可能和采购单重复了",""))))))))))</f>
        <v/>
      </c>
    </row>
    <row r="365">
      <c r="A365" s="17">
        <f>IF($B365="","",ROW()-3)</f>
        <v/>
      </c>
      <c r="B365" s="18" t="n">
        <v>46147</v>
      </c>
      <c r="C365" s="13" t="inlineStr">
        <is>
          <t>微信1</t>
        </is>
      </c>
      <c r="D365" s="13" t="inlineStr">
        <is>
          <t>收入</t>
        </is>
      </c>
      <c r="E365" s="13" t="inlineStr">
        <is>
          <t>收回借出款</t>
        </is>
      </c>
      <c r="F365" s="17">
        <f>IF($E365="","",IFERROR(VLOOKUP($E365,类别归属,2,0),"※类别不在基础资料里"))</f>
        <v/>
      </c>
      <c r="G365" s="13" t="n"/>
      <c r="H365" s="13" t="inlineStr">
        <is>
          <t>付久华</t>
        </is>
      </c>
      <c r="I365" s="13" t="inlineStr">
        <is>
          <t>付久华</t>
        </is>
      </c>
      <c r="J365" s="14" t="n">
        <v>2000</v>
      </c>
      <c r="K365" s="14" t="n"/>
      <c r="L365" s="19">
        <f>IF($C365="","",ROUND(IFERROR(VLOOKUP($C365,账户期初,2,0),0)+SUMIFS($J$4:J365,$C$4:C365,$C365)-SUMIFS($K$4:K365,$C$4:C365,$C365),2))</f>
        <v/>
      </c>
      <c r="M365" s="19">
        <f>IF($C365="","",ROUND(SUM(基础资料!$B$4:$B$13)+SUM($J$4:J365)-SUM($K$4:K365),2))</f>
        <v/>
      </c>
      <c r="N365" s="13" t="n"/>
      <c r="O365" s="13" t="n"/>
      <c r="P365" s="17">
        <f>IF($B365="","",IF($F365="※类别不在基础资料里","※费用类别不在基础资料里",IF(AND(N($J365)=0,N($K365)=0),"※这行没填金额",IF(AND(N($J365)&gt;0,N($K365)&gt;0),"※收入和支出不能同一行都填",IF(AND($D365="收入",N($J365)=0),"※收入行要填收入金额",IF(AND($D365="支出",N($K365)=0),"※支出行要填支出金额",IF(AND($C365&lt;&gt;"",ISNA(MATCH($C365,账户表,0))),"※账户不在基础资料里",IF(AND($G365&lt;&gt;"",ISNA(MATCH($G365,项目名表,0))),"※项目不在项目台账里",IF(AND(LEFT($F365,3)="成本-",$G365=""),"※成本类支出没填项目",IF(AND(LEFT($F365,3)="成本-",$H365&lt;&gt;"",N($K365)&gt;0,COUNTIFS(采购单!$B:$B,$B365,采购单!$C:$C,$H365,采购单!$L:$L,$K365)&gt;0),"※这笔可能和采购单重复了",""))))))))))</f>
        <v/>
      </c>
    </row>
    <row r="366">
      <c r="A366" s="17">
        <f>IF($B366="","",ROW()-3)</f>
        <v/>
      </c>
      <c r="B366" s="18" t="n">
        <v>46147</v>
      </c>
      <c r="C366" s="13" t="inlineStr">
        <is>
          <t>微信1</t>
        </is>
      </c>
      <c r="D366" s="13" t="inlineStr">
        <is>
          <t>支出</t>
        </is>
      </c>
      <c r="E366" s="13" t="inlineStr">
        <is>
          <t>待分类</t>
        </is>
      </c>
      <c r="F366" s="17">
        <f>IF($E366="","",IFERROR(VLOOKUP($E366,类别归属,2,0),"※类别不在基础资料里"))</f>
        <v/>
      </c>
      <c r="G366" s="13" t="inlineStr">
        <is>
          <t>九熠装饰</t>
        </is>
      </c>
      <c r="H366" s="13" t="n"/>
      <c r="I366" s="13" t="inlineStr">
        <is>
          <t>横幅-钱国锋</t>
        </is>
      </c>
      <c r="J366" s="14" t="n"/>
      <c r="K366" s="14" t="n">
        <v>135</v>
      </c>
      <c r="L366" s="19">
        <f>IF($C366="","",ROUND(IFERROR(VLOOKUP($C366,账户期初,2,0),0)+SUMIFS($J$4:J366,$C$4:C366,$C366)-SUMIFS($K$4:K366,$C$4:C366,$C366),2))</f>
        <v/>
      </c>
      <c r="M366" s="19">
        <f>IF($C366="","",ROUND(SUM(基础资料!$B$4:$B$13)+SUM($J$4:J366)-SUM($K$4:K366),2))</f>
        <v/>
      </c>
      <c r="N366" s="13" t="n"/>
      <c r="O366" s="13" t="n"/>
      <c r="P366" s="17">
        <f>IF($B366="","",IF($F366="※类别不在基础资料里","※费用类别不在基础资料里",IF(AND(N($J366)=0,N($K366)=0),"※这行没填金额",IF(AND(N($J366)&gt;0,N($K366)&gt;0),"※收入和支出不能同一行都填",IF(AND($D366="收入",N($J366)=0),"※收入行要填收入金额",IF(AND($D366="支出",N($K366)=0),"※支出行要填支出金额",IF(AND($C366&lt;&gt;"",ISNA(MATCH($C366,账户表,0))),"※账户不在基础资料里",IF(AND($G366&lt;&gt;"",ISNA(MATCH($G366,项目名表,0))),"※项目不在项目台账里",IF(AND(LEFT($F366,3)="成本-",$G366=""),"※成本类支出没填项目",IF(AND(LEFT($F366,3)="成本-",$H366&lt;&gt;"",N($K366)&gt;0,COUNTIFS(采购单!$B:$B,$B366,采购单!$C:$C,$H366,采购单!$L:$L,$K366)&gt;0),"※这笔可能和采购单重复了",""))))))))))</f>
        <v/>
      </c>
    </row>
    <row r="367">
      <c r="A367" s="17">
        <f>IF($B367="","",ROW()-3)</f>
        <v/>
      </c>
      <c r="B367" s="18" t="n">
        <v>46147</v>
      </c>
      <c r="C367" s="13" t="inlineStr">
        <is>
          <t>微信1</t>
        </is>
      </c>
      <c r="D367" s="13" t="inlineStr">
        <is>
          <t>支出</t>
        </is>
      </c>
      <c r="E367" s="13" t="inlineStr">
        <is>
          <t>运费/快递费</t>
        </is>
      </c>
      <c r="F367" s="17">
        <f>IF($E367="","",IFERROR(VLOOKUP($E367,类别归属,2,0),"※类别不在基础资料里"))</f>
        <v/>
      </c>
      <c r="G367" s="13" t="inlineStr">
        <is>
          <t>九熠装饰</t>
        </is>
      </c>
      <c r="H367" s="13" t="inlineStr">
        <is>
          <t>炳秀</t>
        </is>
      </c>
      <c r="I367" s="13" t="inlineStr">
        <is>
          <t>杭州炳秀-湖州26-28武晓军</t>
        </is>
      </c>
      <c r="J367" s="14" t="n"/>
      <c r="K367" s="14" t="n">
        <v>309</v>
      </c>
      <c r="L367" s="19">
        <f>IF($C367="","",ROUND(IFERROR(VLOOKUP($C367,账户期初,2,0),0)+SUMIFS($J$4:J367,$C$4:C367,$C367)-SUMIFS($K$4:K367,$C$4:C367,$C367),2))</f>
        <v/>
      </c>
      <c r="M367" s="19">
        <f>IF($C367="","",ROUND(SUM(基础资料!$B$4:$B$13)+SUM($J$4:J367)-SUM($K$4:K367),2))</f>
        <v/>
      </c>
      <c r="N367" s="13" t="n"/>
      <c r="O367" s="13" t="inlineStr">
        <is>
          <t>338</t>
        </is>
      </c>
      <c r="P367" s="17">
        <f>IF($B367="","",IF($F367="※类别不在基础资料里","※费用类别不在基础资料里",IF(AND(N($J367)=0,N($K367)=0),"※这行没填金额",IF(AND(N($J367)&gt;0,N($K367)&gt;0),"※收入和支出不能同一行都填",IF(AND($D367="收入",N($J367)=0),"※收入行要填收入金额",IF(AND($D367="支出",N($K367)=0),"※支出行要填支出金额",IF(AND($C367&lt;&gt;"",ISNA(MATCH($C367,账户表,0))),"※账户不在基础资料里",IF(AND($G367&lt;&gt;"",ISNA(MATCH($G367,项目名表,0))),"※项目不在项目台账里",IF(AND(LEFT($F367,3)="成本-",$G367=""),"※成本类支出没填项目",IF(AND(LEFT($F367,3)="成本-",$H367&lt;&gt;"",N($K367)&gt;0,COUNTIFS(采购单!$B:$B,$B367,采购单!$C:$C,$H367,采购单!$L:$L,$K367)&gt;0),"※这笔可能和采购单重复了",""))))))))))</f>
        <v/>
      </c>
    </row>
    <row r="368">
      <c r="A368" s="17">
        <f>IF($B368="","",ROW()-3)</f>
        <v/>
      </c>
      <c r="B368" s="18" t="n">
        <v>46147</v>
      </c>
      <c r="C368" s="13" t="inlineStr">
        <is>
          <t>微信1</t>
        </is>
      </c>
      <c r="D368" s="13" t="inlineStr">
        <is>
          <t>支出</t>
        </is>
      </c>
      <c r="E368" s="13" t="inlineStr">
        <is>
          <t>运费/快递费</t>
        </is>
      </c>
      <c r="F368" s="17">
        <f>IF($E368="","",IFERROR(VLOOKUP($E368,类别归属,2,0),"※类别不在基础资料里"))</f>
        <v/>
      </c>
      <c r="G368" s="13" t="inlineStr">
        <is>
          <t>万达kvv</t>
        </is>
      </c>
      <c r="H368" s="13" t="inlineStr">
        <is>
          <t>炳秀</t>
        </is>
      </c>
      <c r="I368" s="13" t="inlineStr">
        <is>
          <t>杭州炳秀-湖州26-28武晓军</t>
        </is>
      </c>
      <c r="J368" s="14" t="n"/>
      <c r="K368" s="14" t="n">
        <v>29</v>
      </c>
      <c r="L368" s="19">
        <f>IF($C368="","",ROUND(IFERROR(VLOOKUP($C368,账户期初,2,0),0)+SUMIFS($J$4:J368,$C$4:C368,$C368)-SUMIFS($K$4:K368,$C$4:C368,$C368),2))</f>
        <v/>
      </c>
      <c r="M368" s="19">
        <f>IF($C368="","",ROUND(SUM(基础资料!$B$4:$B$13)+SUM($J$4:J368)-SUM($K$4:K368),2))</f>
        <v/>
      </c>
      <c r="N368" s="13" t="n"/>
      <c r="O368" s="13" t="n"/>
      <c r="P368" s="17">
        <f>IF($B368="","",IF($F368="※类别不在基础资料里","※费用类别不在基础资料里",IF(AND(N($J368)=0,N($K368)=0),"※这行没填金额",IF(AND(N($J368)&gt;0,N($K368)&gt;0),"※收入和支出不能同一行都填",IF(AND($D368="收入",N($J368)=0),"※收入行要填收入金额",IF(AND($D368="支出",N($K368)=0),"※支出行要填支出金额",IF(AND($C368&lt;&gt;"",ISNA(MATCH($C368,账户表,0))),"※账户不在基础资料里",IF(AND($G368&lt;&gt;"",ISNA(MATCH($G368,项目名表,0))),"※项目不在项目台账里",IF(AND(LEFT($F368,3)="成本-",$G368=""),"※成本类支出没填项目",IF(AND(LEFT($F368,3)="成本-",$H368&lt;&gt;"",N($K368)&gt;0,COUNTIFS(采购单!$B:$B,$B368,采购单!$C:$C,$H368,采购单!$L:$L,$K368)&gt;0),"※这笔可能和采购单重复了",""))))))))))</f>
        <v/>
      </c>
    </row>
    <row r="369">
      <c r="A369" s="17">
        <f>IF($B369="","",ROW()-3)</f>
        <v/>
      </c>
      <c r="B369" s="18" t="n">
        <v>46147</v>
      </c>
      <c r="C369" s="13" t="inlineStr">
        <is>
          <t>微信1</t>
        </is>
      </c>
      <c r="D369" s="13" t="inlineStr">
        <is>
          <t>支出</t>
        </is>
      </c>
      <c r="E369" s="13" t="inlineStr">
        <is>
          <t>运费/快递费</t>
        </is>
      </c>
      <c r="F369" s="17">
        <f>IF($E369="","",IFERROR(VLOOKUP($E369,类别归属,2,0),"※类别不在基础资料里"))</f>
        <v/>
      </c>
      <c r="G369" s="13" t="inlineStr">
        <is>
          <t>九熠装饰</t>
        </is>
      </c>
      <c r="H369" s="13" t="inlineStr">
        <is>
          <t>货拉拉</t>
        </is>
      </c>
      <c r="I369" s="13" t="inlineStr">
        <is>
          <t>货拉拉</t>
        </is>
      </c>
      <c r="J369" s="14" t="n"/>
      <c r="K369" s="14" t="n">
        <v>32.89</v>
      </c>
      <c r="L369" s="19">
        <f>IF($C369="","",ROUND(IFERROR(VLOOKUP($C369,账户期初,2,0),0)+SUMIFS($J$4:J369,$C$4:C369,$C369)-SUMIFS($K$4:K369,$C$4:C369,$C369),2))</f>
        <v/>
      </c>
      <c r="M369" s="19">
        <f>IF($C369="","",ROUND(SUM(基础资料!$B$4:$B$13)+SUM($J$4:J369)-SUM($K$4:K369),2))</f>
        <v/>
      </c>
      <c r="N369" s="13" t="n"/>
      <c r="O369" s="13" t="inlineStr">
        <is>
          <t>茶闹闹</t>
        </is>
      </c>
      <c r="P369" s="17">
        <f>IF($B369="","",IF($F369="※类别不在基础资料里","※费用类别不在基础资料里",IF(AND(N($J369)=0,N($K369)=0),"※这行没填金额",IF(AND(N($J369)&gt;0,N($K369)&gt;0),"※收入和支出不能同一行都填",IF(AND($D369="收入",N($J369)=0),"※收入行要填收入金额",IF(AND($D369="支出",N($K369)=0),"※支出行要填支出金额",IF(AND($C369&lt;&gt;"",ISNA(MATCH($C369,账户表,0))),"※账户不在基础资料里",IF(AND($G369&lt;&gt;"",ISNA(MATCH($G369,项目名表,0))),"※项目不在项目台账里",IF(AND(LEFT($F369,3)="成本-",$G369=""),"※成本类支出没填项目",IF(AND(LEFT($F369,3)="成本-",$H369&lt;&gt;"",N($K369)&gt;0,COUNTIFS(采购单!$B:$B,$B369,采购单!$C:$C,$H369,采购单!$L:$L,$K369)&gt;0),"※这笔可能和采购单重复了",""))))))))))</f>
        <v/>
      </c>
    </row>
    <row r="370">
      <c r="A370" s="17">
        <f>IF($B370="","",ROW()-3)</f>
        <v/>
      </c>
      <c r="B370" s="18" t="n">
        <v>46148</v>
      </c>
      <c r="C370" s="13" t="inlineStr">
        <is>
          <t>微信1</t>
        </is>
      </c>
      <c r="D370" s="13" t="inlineStr">
        <is>
          <t>支出</t>
        </is>
      </c>
      <c r="E370" s="13" t="inlineStr">
        <is>
          <t>业务招待/餐费</t>
        </is>
      </c>
      <c r="F370" s="17">
        <f>IF($E370="","",IFERROR(VLOOKUP($E370,类别归属,2,0),"※类别不在基础资料里"))</f>
        <v/>
      </c>
      <c r="G370" s="13" t="inlineStr">
        <is>
          <t>九熠装饰</t>
        </is>
      </c>
      <c r="H370" s="13" t="n"/>
      <c r="I370" s="13" t="inlineStr">
        <is>
          <t>买鲜花-美团</t>
        </is>
      </c>
      <c r="J370" s="14" t="n"/>
      <c r="K370" s="14" t="n">
        <v>93</v>
      </c>
      <c r="L370" s="19">
        <f>IF($C370="","",ROUND(IFERROR(VLOOKUP($C370,账户期初,2,0),0)+SUMIFS($J$4:J370,$C$4:C370,$C370)-SUMIFS($K$4:K370,$C$4:C370,$C370),2))</f>
        <v/>
      </c>
      <c r="M370" s="19">
        <f>IF($C370="","",ROUND(SUM(基础资料!$B$4:$B$13)+SUM($J$4:J370)-SUM($K$4:K370),2))</f>
        <v/>
      </c>
      <c r="N370" s="13" t="n"/>
      <c r="O370" s="13" t="n"/>
      <c r="P370" s="17">
        <f>IF($B370="","",IF($F370="※类别不在基础资料里","※费用类别不在基础资料里",IF(AND(N($J370)=0,N($K370)=0),"※这行没填金额",IF(AND(N($J370)&gt;0,N($K370)&gt;0),"※收入和支出不能同一行都填",IF(AND($D370="收入",N($J370)=0),"※收入行要填收入金额",IF(AND($D370="支出",N($K370)=0),"※支出行要填支出金额",IF(AND($C370&lt;&gt;"",ISNA(MATCH($C370,账户表,0))),"※账户不在基础资料里",IF(AND($G370&lt;&gt;"",ISNA(MATCH($G370,项目名表,0))),"※项目不在项目台账里",IF(AND(LEFT($F370,3)="成本-",$G370=""),"※成本类支出没填项目",IF(AND(LEFT($F370,3)="成本-",$H370&lt;&gt;"",N($K370)&gt;0,COUNTIFS(采购单!$B:$B,$B370,采购单!$C:$C,$H370,采购单!$L:$L,$K370)&gt;0),"※这笔可能和采购单重复了",""))))))))))</f>
        <v/>
      </c>
    </row>
    <row r="371">
      <c r="A371" s="17">
        <f>IF($B371="","",ROW()-3)</f>
        <v/>
      </c>
      <c r="B371" s="18" t="n">
        <v>46148</v>
      </c>
      <c r="C371" s="13" t="inlineStr">
        <is>
          <t>微信1</t>
        </is>
      </c>
      <c r="D371" s="13" t="inlineStr">
        <is>
          <t>支出</t>
        </is>
      </c>
      <c r="E371" s="13" t="inlineStr">
        <is>
          <t>待分类</t>
        </is>
      </c>
      <c r="F371" s="17">
        <f>IF($E371="","",IFERROR(VLOOKUP($E371,类别归属,2,0),"※类别不在基础资料里"))</f>
        <v/>
      </c>
      <c r="G371" s="13" t="n"/>
      <c r="H371" s="13" t="n"/>
      <c r="I371" s="13" t="inlineStr">
        <is>
          <t>买角码-湖州骏轩机电有限公司</t>
        </is>
      </c>
      <c r="J371" s="14" t="n"/>
      <c r="K371" s="14" t="n">
        <v>65</v>
      </c>
      <c r="L371" s="19">
        <f>IF($C371="","",ROUND(IFERROR(VLOOKUP($C371,账户期初,2,0),0)+SUMIFS($J$4:J371,$C$4:C371,$C371)-SUMIFS($K$4:K371,$C$4:C371,$C371),2))</f>
        <v/>
      </c>
      <c r="M371" s="19">
        <f>IF($C371="","",ROUND(SUM(基础资料!$B$4:$B$13)+SUM($J$4:J371)-SUM($K$4:K371),2))</f>
        <v/>
      </c>
      <c r="N371" s="13" t="n"/>
      <c r="O371" s="13" t="n"/>
      <c r="P371" s="17">
        <f>IF($B371="","",IF($F371="※类别不在基础资料里","※费用类别不在基础资料里",IF(AND(N($J371)=0,N($K371)=0),"※这行没填金额",IF(AND(N($J371)&gt;0,N($K371)&gt;0),"※收入和支出不能同一行都填",IF(AND($D371="收入",N($J371)=0),"※收入行要填收入金额",IF(AND($D371="支出",N($K371)=0),"※支出行要填支出金额",IF(AND($C371&lt;&gt;"",ISNA(MATCH($C371,账户表,0))),"※账户不在基础资料里",IF(AND($G371&lt;&gt;"",ISNA(MATCH($G371,项目名表,0))),"※项目不在项目台账里",IF(AND(LEFT($F371,3)="成本-",$G371=""),"※成本类支出没填项目",IF(AND(LEFT($F371,3)="成本-",$H371&lt;&gt;"",N($K371)&gt;0,COUNTIFS(采购单!$B:$B,$B371,采购单!$C:$C,$H371,采购单!$L:$L,$K371)&gt;0),"※这笔可能和采购单重复了",""))))))))))</f>
        <v/>
      </c>
    </row>
    <row r="372">
      <c r="A372" s="17">
        <f>IF($B372="","",ROW()-3)</f>
        <v/>
      </c>
      <c r="B372" s="18" t="n">
        <v>46148</v>
      </c>
      <c r="C372" s="13" t="inlineStr">
        <is>
          <t>微信1</t>
        </is>
      </c>
      <c r="D372" s="13" t="inlineStr">
        <is>
          <t>支出</t>
        </is>
      </c>
      <c r="E372" s="13" t="inlineStr">
        <is>
          <t>运费/快递费</t>
        </is>
      </c>
      <c r="F372" s="17">
        <f>IF($E372="","",IFERROR(VLOOKUP($E372,类别归属,2,0),"※类别不在基础资料里"))</f>
        <v/>
      </c>
      <c r="G372" s="13" t="inlineStr">
        <is>
          <t>坚蛋健身</t>
        </is>
      </c>
      <c r="H372" s="13" t="n"/>
      <c r="I372" s="13" t="inlineStr">
        <is>
          <t>运费-北京京邦达贸易有限公司</t>
        </is>
      </c>
      <c r="J372" s="14" t="n"/>
      <c r="K372" s="14" t="n">
        <v>59.4</v>
      </c>
      <c r="L372" s="19">
        <f>IF($C372="","",ROUND(IFERROR(VLOOKUP($C372,账户期初,2,0),0)+SUMIFS($J$4:J372,$C$4:C372,$C372)-SUMIFS($K$4:K372,$C$4:C372,$C372),2))</f>
        <v/>
      </c>
      <c r="M372" s="19">
        <f>IF($C372="","",ROUND(SUM(基础资料!$B$4:$B$13)+SUM($J$4:J372)-SUM($K$4:K372),2))</f>
        <v/>
      </c>
      <c r="N372" s="13" t="n"/>
      <c r="O372" s="13" t="n"/>
      <c r="P372" s="17">
        <f>IF($B372="","",IF($F372="※类别不在基础资料里","※费用类别不在基础资料里",IF(AND(N($J372)=0,N($K372)=0),"※这行没填金额",IF(AND(N($J372)&gt;0,N($K372)&gt;0),"※收入和支出不能同一行都填",IF(AND($D372="收入",N($J372)=0),"※收入行要填收入金额",IF(AND($D372="支出",N($K372)=0),"※支出行要填支出金额",IF(AND($C372&lt;&gt;"",ISNA(MATCH($C372,账户表,0))),"※账户不在基础资料里",IF(AND($G372&lt;&gt;"",ISNA(MATCH($G372,项目名表,0))),"※项目不在项目台账里",IF(AND(LEFT($F372,3)="成本-",$G372=""),"※成本类支出没填项目",IF(AND(LEFT($F372,3)="成本-",$H372&lt;&gt;"",N($K372)&gt;0,COUNTIFS(采购单!$B:$B,$B372,采购单!$C:$C,$H372,采购单!$L:$L,$K372)&gt;0),"※这笔可能和采购单重复了",""))))))))))</f>
        <v/>
      </c>
    </row>
    <row r="373">
      <c r="A373" s="17">
        <f>IF($B373="","",ROW()-3)</f>
        <v/>
      </c>
      <c r="B373" s="18" t="n">
        <v>46148</v>
      </c>
      <c r="C373" s="13" t="inlineStr">
        <is>
          <t>微信1</t>
        </is>
      </c>
      <c r="D373" s="13" t="inlineStr">
        <is>
          <t>支出</t>
        </is>
      </c>
      <c r="E373" s="13" t="inlineStr">
        <is>
          <t>运费/快递费</t>
        </is>
      </c>
      <c r="F373" s="17">
        <f>IF($E373="","",IFERROR(VLOOKUP($E373,类别归属,2,0),"※类别不在基础资料里"))</f>
        <v/>
      </c>
      <c r="G373" s="13" t="inlineStr">
        <is>
          <t>织里店</t>
        </is>
      </c>
      <c r="H373" s="13" t="inlineStr">
        <is>
          <t>炳秀</t>
        </is>
      </c>
      <c r="I373" s="13" t="inlineStr">
        <is>
          <t>杭州炳秀-湖州26-28武晓军</t>
        </is>
      </c>
      <c r="J373" s="14" t="n"/>
      <c r="K373" s="14" t="n">
        <v>56</v>
      </c>
      <c r="L373" s="19">
        <f>IF($C373="","",ROUND(IFERROR(VLOOKUP($C373,账户期初,2,0),0)+SUMIFS($J$4:J373,$C$4:C373,$C373)-SUMIFS($K$4:K373,$C$4:C373,$C373),2))</f>
        <v/>
      </c>
      <c r="M373" s="19">
        <f>IF($C373="","",ROUND(SUM(基础资料!$B$4:$B$13)+SUM($J$4:J373)-SUM($K$4:K373),2))</f>
        <v/>
      </c>
      <c r="N373" s="13" t="n"/>
      <c r="O373" s="13" t="n"/>
      <c r="P373" s="17">
        <f>IF($B373="","",IF($F373="※类别不在基础资料里","※费用类别不在基础资料里",IF(AND(N($J373)=0,N($K373)=0),"※这行没填金额",IF(AND(N($J373)&gt;0,N($K373)&gt;0),"※收入和支出不能同一行都填",IF(AND($D373="收入",N($J373)=0),"※收入行要填收入金额",IF(AND($D373="支出",N($K373)=0),"※支出行要填支出金额",IF(AND($C373&lt;&gt;"",ISNA(MATCH($C373,账户表,0))),"※账户不在基础资料里",IF(AND($G373&lt;&gt;"",ISNA(MATCH($G373,项目名表,0))),"※项目不在项目台账里",IF(AND(LEFT($F373,3)="成本-",$G373=""),"※成本类支出没填项目",IF(AND(LEFT($F373,3)="成本-",$H373&lt;&gt;"",N($K373)&gt;0,COUNTIFS(采购单!$B:$B,$B373,采购单!$C:$C,$H373,采购单!$L:$L,$K373)&gt;0),"※这笔可能和采购单重复了",""))))))))))</f>
        <v/>
      </c>
    </row>
    <row r="374">
      <c r="A374" s="17">
        <f>IF($B374="","",ROW()-3)</f>
        <v/>
      </c>
      <c r="B374" s="18" t="n">
        <v>46148</v>
      </c>
      <c r="C374" s="13" t="inlineStr">
        <is>
          <t>微信1</t>
        </is>
      </c>
      <c r="D374" s="13" t="inlineStr">
        <is>
          <t>支出</t>
        </is>
      </c>
      <c r="E374" s="13" t="inlineStr">
        <is>
          <t>运费/快递费</t>
        </is>
      </c>
      <c r="F374" s="17">
        <f>IF($E374="","",IFERROR(VLOOKUP($E374,类别归属,2,0),"※类别不在基础资料里"))</f>
        <v/>
      </c>
      <c r="G374" s="13" t="inlineStr">
        <is>
          <t>梦回唐朝</t>
        </is>
      </c>
      <c r="H374" s="13" t="inlineStr">
        <is>
          <t>炳秀</t>
        </is>
      </c>
      <c r="I374" s="13" t="inlineStr">
        <is>
          <t>杭州炳秀-湖州26-28武晓军</t>
        </is>
      </c>
      <c r="J374" s="14" t="n"/>
      <c r="K374" s="14" t="n">
        <v>191</v>
      </c>
      <c r="L374" s="19">
        <f>IF($C374="","",ROUND(IFERROR(VLOOKUP($C374,账户期初,2,0),0)+SUMIFS($J$4:J374,$C$4:C374,$C374)-SUMIFS($K$4:K374,$C$4:C374,$C374),2))</f>
        <v/>
      </c>
      <c r="M374" s="19">
        <f>IF($C374="","",ROUND(SUM(基础资料!$B$4:$B$13)+SUM($J$4:J374)-SUM($K$4:K374),2))</f>
        <v/>
      </c>
      <c r="N374" s="13" t="n"/>
      <c r="O374" s="13" t="inlineStr">
        <is>
          <t>213</t>
        </is>
      </c>
      <c r="P374" s="17">
        <f>IF($B374="","",IF($F374="※类别不在基础资料里","※费用类别不在基础资料里",IF(AND(N($J374)=0,N($K374)=0),"※这行没填金额",IF(AND(N($J374)&gt;0,N($K374)&gt;0),"※收入和支出不能同一行都填",IF(AND($D374="收入",N($J374)=0),"※收入行要填收入金额",IF(AND($D374="支出",N($K374)=0),"※支出行要填支出金额",IF(AND($C374&lt;&gt;"",ISNA(MATCH($C374,账户表,0))),"※账户不在基础资料里",IF(AND($G374&lt;&gt;"",ISNA(MATCH($G374,项目名表,0))),"※项目不在项目台账里",IF(AND(LEFT($F374,3)="成本-",$G374=""),"※成本类支出没填项目",IF(AND(LEFT($F374,3)="成本-",$H374&lt;&gt;"",N($K374)&gt;0,COUNTIFS(采购单!$B:$B,$B374,采购单!$C:$C,$H374,采购单!$L:$L,$K374)&gt;0),"※这笔可能和采购单重复了",""))))))))))</f>
        <v/>
      </c>
    </row>
    <row r="375">
      <c r="A375" s="17">
        <f>IF($B375="","",ROW()-3)</f>
        <v/>
      </c>
      <c r="B375" s="18" t="n">
        <v>46148</v>
      </c>
      <c r="C375" s="13" t="inlineStr">
        <is>
          <t>微信1</t>
        </is>
      </c>
      <c r="D375" s="13" t="inlineStr">
        <is>
          <t>支出</t>
        </is>
      </c>
      <c r="E375" s="13" t="inlineStr">
        <is>
          <t>运费/快递费</t>
        </is>
      </c>
      <c r="F375" s="17">
        <f>IF($E375="","",IFERROR(VLOOKUP($E375,类别归属,2,0),"※类别不在基础资料里"))</f>
        <v/>
      </c>
      <c r="G375" s="13" t="inlineStr">
        <is>
          <t>织里店</t>
        </is>
      </c>
      <c r="H375" s="13" t="inlineStr">
        <is>
          <t>炳秀</t>
        </is>
      </c>
      <c r="I375" s="13" t="inlineStr">
        <is>
          <t>杭州炳秀-湖州26-28武晓军</t>
        </is>
      </c>
      <c r="J375" s="14" t="n"/>
      <c r="K375" s="14" t="n">
        <v>22</v>
      </c>
      <c r="L375" s="19">
        <f>IF($C375="","",ROUND(IFERROR(VLOOKUP($C375,账户期初,2,0),0)+SUMIFS($J$4:J375,$C$4:C375,$C375)-SUMIFS($K$4:K375,$C$4:C375,$C375),2))</f>
        <v/>
      </c>
      <c r="M375" s="19">
        <f>IF($C375="","",ROUND(SUM(基础资料!$B$4:$B$13)+SUM($J$4:J375)-SUM($K$4:K375),2))</f>
        <v/>
      </c>
      <c r="N375" s="13" t="n"/>
      <c r="O375" s="13" t="n"/>
      <c r="P375" s="17">
        <f>IF($B375="","",IF($F375="※类别不在基础资料里","※费用类别不在基础资料里",IF(AND(N($J375)=0,N($K375)=0),"※这行没填金额",IF(AND(N($J375)&gt;0,N($K375)&gt;0),"※收入和支出不能同一行都填",IF(AND($D375="收入",N($J375)=0),"※收入行要填收入金额",IF(AND($D375="支出",N($K375)=0),"※支出行要填支出金额",IF(AND($C375&lt;&gt;"",ISNA(MATCH($C375,账户表,0))),"※账户不在基础资料里",IF(AND($G375&lt;&gt;"",ISNA(MATCH($G375,项目名表,0))),"※项目不在项目台账里",IF(AND(LEFT($F375,3)="成本-",$G375=""),"※成本类支出没填项目",IF(AND(LEFT($F375,3)="成本-",$H375&lt;&gt;"",N($K375)&gt;0,COUNTIFS(采购单!$B:$B,$B375,采购单!$C:$C,$H375,采购单!$L:$L,$K375)&gt;0),"※这笔可能和采购单重复了",""))))))))))</f>
        <v/>
      </c>
    </row>
    <row r="376">
      <c r="A376" s="17">
        <f>IF($B376="","",ROW()-3)</f>
        <v/>
      </c>
      <c r="B376" s="18" t="n">
        <v>46148</v>
      </c>
      <c r="C376" s="13" t="inlineStr">
        <is>
          <t>微信1</t>
        </is>
      </c>
      <c r="D376" s="13" t="inlineStr">
        <is>
          <t>收入</t>
        </is>
      </c>
      <c r="E376" s="13" t="inlineStr">
        <is>
          <t>待分类</t>
        </is>
      </c>
      <c r="F376" s="17">
        <f>IF($E376="","",IFERROR(VLOOKUP($E376,类别归属,2,0),"※类别不在基础资料里"))</f>
        <v/>
      </c>
      <c r="G376" s="13" t="inlineStr">
        <is>
          <t>如意茶馆</t>
        </is>
      </c>
      <c r="H376" s="13" t="n"/>
      <c r="I376" s="13" t="inlineStr">
        <is>
          <t>如意茶馆-天空先生¹⁸⁰⁷⁸⁴¹⁶⁵⁵⁸</t>
        </is>
      </c>
      <c r="J376" s="14" t="n">
        <v>1200</v>
      </c>
      <c r="K376" s="14" t="n"/>
      <c r="L376" s="19">
        <f>IF($C376="","",ROUND(IFERROR(VLOOKUP($C376,账户期初,2,0),0)+SUMIFS($J$4:J376,$C$4:C376,$C376)-SUMIFS($K$4:K376,$C$4:C376,$C376),2))</f>
        <v/>
      </c>
      <c r="M376" s="19">
        <f>IF($C376="","",ROUND(SUM(基础资料!$B$4:$B$13)+SUM($J$4:J376)-SUM($K$4:K376),2))</f>
        <v/>
      </c>
      <c r="N376" s="13" t="n"/>
      <c r="O376" s="13" t="n"/>
      <c r="P376" s="17">
        <f>IF($B376="","",IF($F376="※类别不在基础资料里","※费用类别不在基础资料里",IF(AND(N($J376)=0,N($K376)=0),"※这行没填金额",IF(AND(N($J376)&gt;0,N($K376)&gt;0),"※收入和支出不能同一行都填",IF(AND($D376="收入",N($J376)=0),"※收入行要填收入金额",IF(AND($D376="支出",N($K376)=0),"※支出行要填支出金额",IF(AND($C376&lt;&gt;"",ISNA(MATCH($C376,账户表,0))),"※账户不在基础资料里",IF(AND($G376&lt;&gt;"",ISNA(MATCH($G376,项目名表,0))),"※项目不在项目台账里",IF(AND(LEFT($F376,3)="成本-",$G376=""),"※成本类支出没填项目",IF(AND(LEFT($F376,3)="成本-",$H376&lt;&gt;"",N($K376)&gt;0,COUNTIFS(采购单!$B:$B,$B376,采购单!$C:$C,$H376,采购单!$L:$L,$K376)&gt;0),"※这笔可能和采购单重复了",""))))))))))</f>
        <v/>
      </c>
    </row>
    <row r="377">
      <c r="A377" s="17">
        <f>IF($B377="","",ROW()-3)</f>
        <v/>
      </c>
      <c r="B377" s="18" t="n">
        <v>46149</v>
      </c>
      <c r="C377" s="13" t="inlineStr">
        <is>
          <t>微信1</t>
        </is>
      </c>
      <c r="D377" s="13" t="inlineStr">
        <is>
          <t>支出</t>
        </is>
      </c>
      <c r="E377" s="13" t="inlineStr">
        <is>
          <t>待分类</t>
        </is>
      </c>
      <c r="F377" s="17">
        <f>IF($E377="","",IFERROR(VLOOKUP($E377,类别归属,2,0),"※类别不在基础资料里"))</f>
        <v/>
      </c>
      <c r="G377" s="13" t="n"/>
      <c r="H377" s="13" t="n"/>
      <c r="I377" s="13" t="inlineStr">
        <is>
          <t>采购焊架-杨老头电焊</t>
        </is>
      </c>
      <c r="J377" s="14" t="n"/>
      <c r="K377" s="14" t="n">
        <v>390</v>
      </c>
      <c r="L377" s="19">
        <f>IF($C377="","",ROUND(IFERROR(VLOOKUP($C377,账户期初,2,0),0)+SUMIFS($J$4:J377,$C$4:C377,$C377)-SUMIFS($K$4:K377,$C$4:C377,$C377),2))</f>
        <v/>
      </c>
      <c r="M377" s="19">
        <f>IF($C377="","",ROUND(SUM(基础资料!$B$4:$B$13)+SUM($J$4:J377)-SUM($K$4:K377),2))</f>
        <v/>
      </c>
      <c r="N377" s="13" t="n"/>
      <c r="O377" s="13" t="n"/>
      <c r="P377" s="17">
        <f>IF($B377="","",IF($F377="※类别不在基础资料里","※费用类别不在基础资料里",IF(AND(N($J377)=0,N($K377)=0),"※这行没填金额",IF(AND(N($J377)&gt;0,N($K377)&gt;0),"※收入和支出不能同一行都填",IF(AND($D377="收入",N($J377)=0),"※收入行要填收入金额",IF(AND($D377="支出",N($K377)=0),"※支出行要填支出金额",IF(AND($C377&lt;&gt;"",ISNA(MATCH($C377,账户表,0))),"※账户不在基础资料里",IF(AND($G377&lt;&gt;"",ISNA(MATCH($G377,项目名表,0))),"※项目不在项目台账里",IF(AND(LEFT($F377,3)="成本-",$G377=""),"※成本类支出没填项目",IF(AND(LEFT($F377,3)="成本-",$H377&lt;&gt;"",N($K377)&gt;0,COUNTIFS(采购单!$B:$B,$B377,采购单!$C:$C,$H377,采购单!$L:$L,$K377)&gt;0),"※这笔可能和采购单重复了",""))))))))))</f>
        <v/>
      </c>
    </row>
    <row r="378">
      <c r="A378" s="17">
        <f>IF($B378="","",ROW()-3)</f>
        <v/>
      </c>
      <c r="B378" s="18" t="n">
        <v>46149</v>
      </c>
      <c r="C378" s="13" t="inlineStr">
        <is>
          <t>微信1</t>
        </is>
      </c>
      <c r="D378" s="13" t="inlineStr">
        <is>
          <t>收入</t>
        </is>
      </c>
      <c r="E378" s="13" t="inlineStr">
        <is>
          <t>待分类</t>
        </is>
      </c>
      <c r="F378" s="17">
        <f>IF($E378="","",IFERROR(VLOOKUP($E378,类别归属,2,0),"※类别不在基础资料里"))</f>
        <v/>
      </c>
      <c r="G378" s="13" t="inlineStr">
        <is>
          <t>万达kvv</t>
        </is>
      </c>
      <c r="H378" s="13" t="n"/>
      <c r="I378" s="13" t="inlineStr">
        <is>
          <t>KTV物料-乔金鑫</t>
        </is>
      </c>
      <c r="J378" s="14" t="n">
        <v>62</v>
      </c>
      <c r="K378" s="14" t="n"/>
      <c r="L378" s="19">
        <f>IF($C378="","",ROUND(IFERROR(VLOOKUP($C378,账户期初,2,0),0)+SUMIFS($J$4:J378,$C$4:C378,$C378)-SUMIFS($K$4:K378,$C$4:C378,$C378),2))</f>
        <v/>
      </c>
      <c r="M378" s="19">
        <f>IF($C378="","",ROUND(SUM(基础资料!$B$4:$B$13)+SUM($J$4:J378)-SUM($K$4:K378),2))</f>
        <v/>
      </c>
      <c r="N378" s="13" t="n"/>
      <c r="O378" s="13" t="n"/>
      <c r="P378" s="17">
        <f>IF($B378="","",IF($F378="※类别不在基础资料里","※费用类别不在基础资料里",IF(AND(N($J378)=0,N($K378)=0),"※这行没填金额",IF(AND(N($J378)&gt;0,N($K378)&gt;0),"※收入和支出不能同一行都填",IF(AND($D378="收入",N($J378)=0),"※收入行要填收入金额",IF(AND($D378="支出",N($K378)=0),"※支出行要填支出金额",IF(AND($C378&lt;&gt;"",ISNA(MATCH($C378,账户表,0))),"※账户不在基础资料里",IF(AND($G378&lt;&gt;"",ISNA(MATCH($G378,项目名表,0))),"※项目不在项目台账里",IF(AND(LEFT($F378,3)="成本-",$G378=""),"※成本类支出没填项目",IF(AND(LEFT($F378,3)="成本-",$H378&lt;&gt;"",N($K378)&gt;0,COUNTIFS(采购单!$B:$B,$B378,采购单!$C:$C,$H378,采购单!$L:$L,$K378)&gt;0),"※这笔可能和采购单重复了",""))))))))))</f>
        <v/>
      </c>
    </row>
    <row r="379">
      <c r="A379" s="17">
        <f>IF($B379="","",ROW()-3)</f>
        <v/>
      </c>
      <c r="B379" s="18" t="n">
        <v>46149</v>
      </c>
      <c r="C379" s="13" t="inlineStr">
        <is>
          <t>微信1</t>
        </is>
      </c>
      <c r="D379" s="13" t="inlineStr">
        <is>
          <t>支出</t>
        </is>
      </c>
      <c r="E379" s="13" t="inlineStr">
        <is>
          <t>运费/快递费</t>
        </is>
      </c>
      <c r="F379" s="17">
        <f>IF($E379="","",IFERROR(VLOOKUP($E379,类别归属,2,0),"※类别不在基础资料里"))</f>
        <v/>
      </c>
      <c r="G379" s="13" t="inlineStr">
        <is>
          <t>织里店</t>
        </is>
      </c>
      <c r="H379" s="13" t="inlineStr">
        <is>
          <t>炳秀</t>
        </is>
      </c>
      <c r="I379" s="13" t="inlineStr">
        <is>
          <t>杭州炳秀-湖州26-28武晓军</t>
        </is>
      </c>
      <c r="J379" s="14" t="n"/>
      <c r="K379" s="14" t="n">
        <v>24</v>
      </c>
      <c r="L379" s="19">
        <f>IF($C379="","",ROUND(IFERROR(VLOOKUP($C379,账户期初,2,0),0)+SUMIFS($J$4:J379,$C$4:C379,$C379)-SUMIFS($K$4:K379,$C$4:C379,$C379),2))</f>
        <v/>
      </c>
      <c r="M379" s="19">
        <f>IF($C379="","",ROUND(SUM(基础资料!$B$4:$B$13)+SUM($J$4:J379)-SUM($K$4:K379),2))</f>
        <v/>
      </c>
      <c r="N379" s="13" t="n"/>
      <c r="O379" s="13" t="inlineStr">
        <is>
          <t>336</t>
        </is>
      </c>
      <c r="P379" s="17">
        <f>IF($B379="","",IF($F379="※类别不在基础资料里","※费用类别不在基础资料里",IF(AND(N($J379)=0,N($K379)=0),"※这行没填金额",IF(AND(N($J379)&gt;0,N($K379)&gt;0),"※收入和支出不能同一行都填",IF(AND($D379="收入",N($J379)=0),"※收入行要填收入金额",IF(AND($D379="支出",N($K379)=0),"※支出行要填支出金额",IF(AND($C379&lt;&gt;"",ISNA(MATCH($C379,账户表,0))),"※账户不在基础资料里",IF(AND($G379&lt;&gt;"",ISNA(MATCH($G379,项目名表,0))),"※项目不在项目台账里",IF(AND(LEFT($F379,3)="成本-",$G379=""),"※成本类支出没填项目",IF(AND(LEFT($F379,3)="成本-",$H379&lt;&gt;"",N($K379)&gt;0,COUNTIFS(采购单!$B:$B,$B379,采购单!$C:$C,$H379,采购单!$L:$L,$K379)&gt;0),"※这笔可能和采购单重复了",""))))))))))</f>
        <v/>
      </c>
    </row>
    <row r="380">
      <c r="A380" s="17">
        <f>IF($B380="","",ROW()-3)</f>
        <v/>
      </c>
      <c r="B380" s="18" t="n">
        <v>46149</v>
      </c>
      <c r="C380" s="13" t="inlineStr">
        <is>
          <t>微信1</t>
        </is>
      </c>
      <c r="D380" s="13" t="inlineStr">
        <is>
          <t>支出</t>
        </is>
      </c>
      <c r="E380" s="13" t="inlineStr">
        <is>
          <t>运费/快递费</t>
        </is>
      </c>
      <c r="F380" s="17">
        <f>IF($E380="","",IFERROR(VLOOKUP($E380,类别归属,2,0),"※类别不在基础资料里"))</f>
        <v/>
      </c>
      <c r="G380" s="13" t="inlineStr">
        <is>
          <t>东尼电子</t>
        </is>
      </c>
      <c r="H380" s="13" t="inlineStr">
        <is>
          <t>炳秀</t>
        </is>
      </c>
      <c r="I380" s="13" t="inlineStr">
        <is>
          <t>杭州炳秀-湖州26-28武晓军</t>
        </is>
      </c>
      <c r="J380" s="14" t="n"/>
      <c r="K380" s="14" t="n">
        <v>235</v>
      </c>
      <c r="L380" s="19">
        <f>IF($C380="","",ROUND(IFERROR(VLOOKUP($C380,账户期初,2,0),0)+SUMIFS($J$4:J380,$C$4:C380,$C380)-SUMIFS($K$4:K380,$C$4:C380,$C380),2))</f>
        <v/>
      </c>
      <c r="M380" s="19">
        <f>IF($C380="","",ROUND(SUM(基础资料!$B$4:$B$13)+SUM($J$4:J380)-SUM($K$4:K380),2))</f>
        <v/>
      </c>
      <c r="N380" s="13" t="n"/>
      <c r="O380" s="13" t="n"/>
      <c r="P380" s="17">
        <f>IF($B380="","",IF($F380="※类别不在基础资料里","※费用类别不在基础资料里",IF(AND(N($J380)=0,N($K380)=0),"※这行没填金额",IF(AND(N($J380)&gt;0,N($K380)&gt;0),"※收入和支出不能同一行都填",IF(AND($D380="收入",N($J380)=0),"※收入行要填收入金额",IF(AND($D380="支出",N($K380)=0),"※支出行要填支出金额",IF(AND($C380&lt;&gt;"",ISNA(MATCH($C380,账户表,0))),"※账户不在基础资料里",IF(AND($G380&lt;&gt;"",ISNA(MATCH($G380,项目名表,0))),"※项目不在项目台账里",IF(AND(LEFT($F380,3)="成本-",$G380=""),"※成本类支出没填项目",IF(AND(LEFT($F380,3)="成本-",$H380&lt;&gt;"",N($K380)&gt;0,COUNTIFS(采购单!$B:$B,$B380,采购单!$C:$C,$H380,采购单!$L:$L,$K380)&gt;0),"※这笔可能和采购单重复了",""))))))))))</f>
        <v/>
      </c>
    </row>
    <row r="381">
      <c r="A381" s="17">
        <f>IF($B381="","",ROW()-3)</f>
        <v/>
      </c>
      <c r="B381" s="18" t="n">
        <v>46149</v>
      </c>
      <c r="C381" s="13" t="inlineStr">
        <is>
          <t>微信1</t>
        </is>
      </c>
      <c r="D381" s="13" t="inlineStr">
        <is>
          <t>支出</t>
        </is>
      </c>
      <c r="E381" s="13" t="inlineStr">
        <is>
          <t>运费/快递费</t>
        </is>
      </c>
      <c r="F381" s="17">
        <f>IF($E381="","",IFERROR(VLOOKUP($E381,类别归属,2,0),"※类别不在基础资料里"))</f>
        <v/>
      </c>
      <c r="G381" s="13" t="inlineStr">
        <is>
          <t>国智校服</t>
        </is>
      </c>
      <c r="H381" s="13" t="inlineStr">
        <is>
          <t>炳秀</t>
        </is>
      </c>
      <c r="I381" s="13" t="inlineStr">
        <is>
          <t>杭州炳秀-湖州26-28武晓军</t>
        </is>
      </c>
      <c r="J381" s="14" t="n"/>
      <c r="K381" s="14" t="n">
        <v>19</v>
      </c>
      <c r="L381" s="19">
        <f>IF($C381="","",ROUND(IFERROR(VLOOKUP($C381,账户期初,2,0),0)+SUMIFS($J$4:J381,$C$4:C381,$C381)-SUMIFS($K$4:K381,$C$4:C381,$C381),2))</f>
        <v/>
      </c>
      <c r="M381" s="19">
        <f>IF($C381="","",ROUND(SUM(基础资料!$B$4:$B$13)+SUM($J$4:J381)-SUM($K$4:K381),2))</f>
        <v/>
      </c>
      <c r="N381" s="13" t="n"/>
      <c r="O381" s="13" t="n"/>
      <c r="P381" s="17">
        <f>IF($B381="","",IF($F381="※类别不在基础资料里","※费用类别不在基础资料里",IF(AND(N($J381)=0,N($K381)=0),"※这行没填金额",IF(AND(N($J381)&gt;0,N($K381)&gt;0),"※收入和支出不能同一行都填",IF(AND($D381="收入",N($J381)=0),"※收入行要填收入金额",IF(AND($D381="支出",N($K381)=0),"※支出行要填支出金额",IF(AND($C381&lt;&gt;"",ISNA(MATCH($C381,账户表,0))),"※账户不在基础资料里",IF(AND($G381&lt;&gt;"",ISNA(MATCH($G381,项目名表,0))),"※项目不在项目台账里",IF(AND(LEFT($F381,3)="成本-",$G381=""),"※成本类支出没填项目",IF(AND(LEFT($F381,3)="成本-",$H381&lt;&gt;"",N($K381)&gt;0,COUNTIFS(采购单!$B:$B,$B381,采购单!$C:$C,$H381,采购单!$L:$L,$K381)&gt;0),"※这笔可能和采购单重复了",""))))))))))</f>
        <v/>
      </c>
    </row>
    <row r="382">
      <c r="A382" s="17">
        <f>IF($B382="","",ROW()-3)</f>
        <v/>
      </c>
      <c r="B382" s="18" t="n">
        <v>46149</v>
      </c>
      <c r="C382" s="13" t="inlineStr">
        <is>
          <t>微信1</t>
        </is>
      </c>
      <c r="D382" s="13" t="inlineStr">
        <is>
          <t>支出</t>
        </is>
      </c>
      <c r="E382" s="13" t="inlineStr">
        <is>
          <t>运费/快递费</t>
        </is>
      </c>
      <c r="F382" s="17">
        <f>IF($E382="","",IFERROR(VLOOKUP($E382,类别归属,2,0),"※类别不在基础资料里"))</f>
        <v/>
      </c>
      <c r="G382" s="13" t="inlineStr">
        <is>
          <t>九熠装饰</t>
        </is>
      </c>
      <c r="H382" s="13" t="inlineStr">
        <is>
          <t>炳秀</t>
        </is>
      </c>
      <c r="I382" s="13" t="inlineStr">
        <is>
          <t>杭州炳秀-湖州26-28武晓军</t>
        </is>
      </c>
      <c r="J382" s="14" t="n"/>
      <c r="K382" s="14" t="n">
        <v>58</v>
      </c>
      <c r="L382" s="19">
        <f>IF($C382="","",ROUND(IFERROR(VLOOKUP($C382,账户期初,2,0),0)+SUMIFS($J$4:J382,$C$4:C382,$C382)-SUMIFS($K$4:K382,$C$4:C382,$C382),2))</f>
        <v/>
      </c>
      <c r="M382" s="19">
        <f>IF($C382="","",ROUND(SUM(基础资料!$B$4:$B$13)+SUM($J$4:J382)-SUM($K$4:K382),2))</f>
        <v/>
      </c>
      <c r="N382" s="13" t="n"/>
      <c r="O382" s="13" t="n"/>
      <c r="P382" s="17">
        <f>IF($B382="","",IF($F382="※类别不在基础资料里","※费用类别不在基础资料里",IF(AND(N($J382)=0,N($K382)=0),"※这行没填金额",IF(AND(N($J382)&gt;0,N($K382)&gt;0),"※收入和支出不能同一行都填",IF(AND($D382="收入",N($J382)=0),"※收入行要填收入金额",IF(AND($D382="支出",N($K382)=0),"※支出行要填支出金额",IF(AND($C382&lt;&gt;"",ISNA(MATCH($C382,账户表,0))),"※账户不在基础资料里",IF(AND($G382&lt;&gt;"",ISNA(MATCH($G382,项目名表,0))),"※项目不在项目台账里",IF(AND(LEFT($F382,3)="成本-",$G382=""),"※成本类支出没填项目",IF(AND(LEFT($F382,3)="成本-",$H382&lt;&gt;"",N($K382)&gt;0,COUNTIFS(采购单!$B:$B,$B382,采购单!$C:$C,$H382,采购单!$L:$L,$K382)&gt;0),"※这笔可能和采购单重复了",""))))))))))</f>
        <v/>
      </c>
    </row>
    <row r="383">
      <c r="A383" s="17">
        <f>IF($B383="","",ROW()-3)</f>
        <v/>
      </c>
      <c r="B383" s="18" t="n">
        <v>46150</v>
      </c>
      <c r="C383" s="13" t="inlineStr">
        <is>
          <t>微信1</t>
        </is>
      </c>
      <c r="D383" s="13" t="inlineStr">
        <is>
          <t>支出</t>
        </is>
      </c>
      <c r="E383" s="13" t="inlineStr">
        <is>
          <t>主材采购</t>
        </is>
      </c>
      <c r="F383" s="17">
        <f>IF($E383="","",IFERROR(VLOOKUP($E383,类别归属,2,0),"※类别不在基础资料里"))</f>
        <v/>
      </c>
      <c r="G383" s="13" t="n"/>
      <c r="H383" s="13" t="n"/>
      <c r="I383" s="13" t="inlineStr">
        <is>
          <t>灯条-浙江星蓝思光电科技有限公司</t>
        </is>
      </c>
      <c r="J383" s="14" t="n"/>
      <c r="K383" s="14" t="n">
        <v>1050</v>
      </c>
      <c r="L383" s="19">
        <f>IF($C383="","",ROUND(IFERROR(VLOOKUP($C383,账户期初,2,0),0)+SUMIFS($J$4:J383,$C$4:C383,$C383)-SUMIFS($K$4:K383,$C$4:C383,$C383),2))</f>
        <v/>
      </c>
      <c r="M383" s="19">
        <f>IF($C383="","",ROUND(SUM(基础资料!$B$4:$B$13)+SUM($J$4:J383)-SUM($K$4:K383),2))</f>
        <v/>
      </c>
      <c r="N383" s="13" t="n"/>
      <c r="O383" s="13" t="n"/>
      <c r="P383" s="17">
        <f>IF($B383="","",IF($F383="※类别不在基础资料里","※费用类别不在基础资料里",IF(AND(N($J383)=0,N($K383)=0),"※这行没填金额",IF(AND(N($J383)&gt;0,N($K383)&gt;0),"※收入和支出不能同一行都填",IF(AND($D383="收入",N($J383)=0),"※收入行要填收入金额",IF(AND($D383="支出",N($K383)=0),"※支出行要填支出金额",IF(AND($C383&lt;&gt;"",ISNA(MATCH($C383,账户表,0))),"※账户不在基础资料里",IF(AND($G383&lt;&gt;"",ISNA(MATCH($G383,项目名表,0))),"※项目不在项目台账里",IF(AND(LEFT($F383,3)="成本-",$G383=""),"※成本类支出没填项目",IF(AND(LEFT($F383,3)="成本-",$H383&lt;&gt;"",N($K383)&gt;0,COUNTIFS(采购单!$B:$B,$B383,采购单!$C:$C,$H383,采购单!$L:$L,$K383)&gt;0),"※这笔可能和采购单重复了",""))))))))))</f>
        <v/>
      </c>
    </row>
    <row r="384">
      <c r="A384" s="17">
        <f>IF($B384="","",ROW()-3)</f>
        <v/>
      </c>
      <c r="B384" s="18" t="n">
        <v>46150</v>
      </c>
      <c r="C384" s="13" t="inlineStr">
        <is>
          <t>微信1</t>
        </is>
      </c>
      <c r="D384" s="13" t="inlineStr">
        <is>
          <t>收入</t>
        </is>
      </c>
      <c r="E384" s="13" t="inlineStr">
        <is>
          <t>待分类</t>
        </is>
      </c>
      <c r="F384" s="17">
        <f>IF($E384="","",IFERROR(VLOOKUP($E384,类别归属,2,0),"※类别不在基础资料里"))</f>
        <v/>
      </c>
      <c r="G384" s="13" t="inlineStr">
        <is>
          <t>vip宠物乐园</t>
        </is>
      </c>
      <c r="H384" s="13" t="n"/>
      <c r="I384" s="13" t="inlineStr">
        <is>
          <t>V.I.P宠物乐园-定金</t>
        </is>
      </c>
      <c r="J384" s="14" t="n">
        <v>620</v>
      </c>
      <c r="K384" s="14" t="n"/>
      <c r="L384" s="19">
        <f>IF($C384="","",ROUND(IFERROR(VLOOKUP($C384,账户期初,2,0),0)+SUMIFS($J$4:J384,$C$4:C384,$C384)-SUMIFS($K$4:K384,$C$4:C384,$C384),2))</f>
        <v/>
      </c>
      <c r="M384" s="19">
        <f>IF($C384="","",ROUND(SUM(基础资料!$B$4:$B$13)+SUM($J$4:J384)-SUM($K$4:K384),2))</f>
        <v/>
      </c>
      <c r="N384" s="13" t="n"/>
      <c r="O384" s="13" t="n"/>
      <c r="P384" s="17">
        <f>IF($B384="","",IF($F384="※类别不在基础资料里","※费用类别不在基础资料里",IF(AND(N($J384)=0,N($K384)=0),"※这行没填金额",IF(AND(N($J384)&gt;0,N($K384)&gt;0),"※收入和支出不能同一行都填",IF(AND($D384="收入",N($J384)=0),"※收入行要填收入金额",IF(AND($D384="支出",N($K384)=0),"※支出行要填支出金额",IF(AND($C384&lt;&gt;"",ISNA(MATCH($C384,账户表,0))),"※账户不在基础资料里",IF(AND($G384&lt;&gt;"",ISNA(MATCH($G384,项目名表,0))),"※项目不在项目台账里",IF(AND(LEFT($F384,3)="成本-",$G384=""),"※成本类支出没填项目",IF(AND(LEFT($F384,3)="成本-",$H384&lt;&gt;"",N($K384)&gt;0,COUNTIFS(采购单!$B:$B,$B384,采购单!$C:$C,$H384,采购单!$L:$L,$K384)&gt;0),"※这笔可能和采购单重复了",""))))))))))</f>
        <v/>
      </c>
    </row>
    <row r="385">
      <c r="A385" s="17">
        <f>IF($B385="","",ROW()-3)</f>
        <v/>
      </c>
      <c r="B385" s="18" t="n">
        <v>46150</v>
      </c>
      <c r="C385" s="13" t="inlineStr">
        <is>
          <t>微信1</t>
        </is>
      </c>
      <c r="D385" s="13" t="inlineStr">
        <is>
          <t>支出</t>
        </is>
      </c>
      <c r="E385" s="13" t="inlineStr">
        <is>
          <t>运费/快递费</t>
        </is>
      </c>
      <c r="F385" s="17">
        <f>IF($E385="","",IFERROR(VLOOKUP($E385,类别归属,2,0),"※类别不在基础资料里"))</f>
        <v/>
      </c>
      <c r="G385" s="13" t="inlineStr">
        <is>
          <t>织里店</t>
        </is>
      </c>
      <c r="H385" s="13" t="inlineStr">
        <is>
          <t>炳秀</t>
        </is>
      </c>
      <c r="I385" s="13" t="inlineStr">
        <is>
          <t>杭州炳秀湖州26-28武晓军</t>
        </is>
      </c>
      <c r="J385" s="14" t="n"/>
      <c r="K385" s="14" t="n">
        <v>30</v>
      </c>
      <c r="L385" s="19">
        <f>IF($C385="","",ROUND(IFERROR(VLOOKUP($C385,账户期初,2,0),0)+SUMIFS($J$4:J385,$C$4:C385,$C385)-SUMIFS($K$4:K385,$C$4:C385,$C385),2))</f>
        <v/>
      </c>
      <c r="M385" s="19">
        <f>IF($C385="","",ROUND(SUM(基础资料!$B$4:$B$13)+SUM($J$4:J385)-SUM($K$4:K385),2))</f>
        <v/>
      </c>
      <c r="N385" s="13" t="n"/>
      <c r="O385" s="13" t="inlineStr">
        <is>
          <t>91</t>
        </is>
      </c>
      <c r="P385" s="17">
        <f>IF($B385="","",IF($F385="※类别不在基础资料里","※费用类别不在基础资料里",IF(AND(N($J385)=0,N($K385)=0),"※这行没填金额",IF(AND(N($J385)&gt;0,N($K385)&gt;0),"※收入和支出不能同一行都填",IF(AND($D385="收入",N($J385)=0),"※收入行要填收入金额",IF(AND($D385="支出",N($K385)=0),"※支出行要填支出金额",IF(AND($C385&lt;&gt;"",ISNA(MATCH($C385,账户表,0))),"※账户不在基础资料里",IF(AND($G385&lt;&gt;"",ISNA(MATCH($G385,项目名表,0))),"※项目不在项目台账里",IF(AND(LEFT($F385,3)="成本-",$G385=""),"※成本类支出没填项目",IF(AND(LEFT($F385,3)="成本-",$H385&lt;&gt;"",N($K385)&gt;0,COUNTIFS(采购单!$B:$B,$B385,采购单!$C:$C,$H385,采购单!$L:$L,$K385)&gt;0),"※这笔可能和采购单重复了",""))))))))))</f>
        <v/>
      </c>
    </row>
    <row r="386">
      <c r="A386" s="17">
        <f>IF($B386="","",ROW()-3)</f>
        <v/>
      </c>
      <c r="B386" s="18" t="n">
        <v>46150</v>
      </c>
      <c r="C386" s="13" t="inlineStr">
        <is>
          <t>微信1</t>
        </is>
      </c>
      <c r="D386" s="13" t="inlineStr">
        <is>
          <t>支出</t>
        </is>
      </c>
      <c r="E386" s="13" t="inlineStr">
        <is>
          <t>运费/快递费</t>
        </is>
      </c>
      <c r="F386" s="17">
        <f>IF($E386="","",IFERROR(VLOOKUP($E386,类别归属,2,0),"※类别不在基础资料里"))</f>
        <v/>
      </c>
      <c r="G386" s="13" t="inlineStr">
        <is>
          <t>焰燃烧烤</t>
        </is>
      </c>
      <c r="H386" s="13" t="inlineStr">
        <is>
          <t>炳秀</t>
        </is>
      </c>
      <c r="I386" s="13" t="inlineStr">
        <is>
          <t>杭州炳秀湖州26-28武晓军</t>
        </is>
      </c>
      <c r="J386" s="14" t="n"/>
      <c r="K386" s="14" t="n">
        <v>61</v>
      </c>
      <c r="L386" s="19">
        <f>IF($C386="","",ROUND(IFERROR(VLOOKUP($C386,账户期初,2,0),0)+SUMIFS($J$4:J386,$C$4:C386,$C386)-SUMIFS($K$4:K386,$C$4:C386,$C386),2))</f>
        <v/>
      </c>
      <c r="M386" s="19">
        <f>IF($C386="","",ROUND(SUM(基础资料!$B$4:$B$13)+SUM($J$4:J386)-SUM($K$4:K386),2))</f>
        <v/>
      </c>
      <c r="N386" s="13" t="n"/>
      <c r="O386" s="13" t="n"/>
      <c r="P386" s="17">
        <f>IF($B386="","",IF($F386="※类别不在基础资料里","※费用类别不在基础资料里",IF(AND(N($J386)=0,N($K386)=0),"※这行没填金额",IF(AND(N($J386)&gt;0,N($K386)&gt;0),"※收入和支出不能同一行都填",IF(AND($D386="收入",N($J386)=0),"※收入行要填收入金额",IF(AND($D386="支出",N($K386)=0),"※支出行要填支出金额",IF(AND($C386&lt;&gt;"",ISNA(MATCH($C386,账户表,0))),"※账户不在基础资料里",IF(AND($G386&lt;&gt;"",ISNA(MATCH($G386,项目名表,0))),"※项目不在项目台账里",IF(AND(LEFT($F386,3)="成本-",$G386=""),"※成本类支出没填项目",IF(AND(LEFT($F386,3)="成本-",$H386&lt;&gt;"",N($K386)&gt;0,COUNTIFS(采购单!$B:$B,$B386,采购单!$C:$C,$H386,采购单!$L:$L,$K386)&gt;0),"※这笔可能和采购单重复了",""))))))))))</f>
        <v/>
      </c>
    </row>
    <row r="387">
      <c r="A387" s="17">
        <f>IF($B387="","",ROW()-3)</f>
        <v/>
      </c>
      <c r="B387" s="18" t="n">
        <v>46150</v>
      </c>
      <c r="C387" s="13" t="inlineStr">
        <is>
          <t>微信1</t>
        </is>
      </c>
      <c r="D387" s="13" t="inlineStr">
        <is>
          <t>收入</t>
        </is>
      </c>
      <c r="E387" s="13" t="inlineStr">
        <is>
          <t>主材采购</t>
        </is>
      </c>
      <c r="F387" s="17">
        <f>IF($E387="","",IFERROR(VLOOKUP($E387,类别归属,2,0),"※类别不在基础资料里"))</f>
        <v/>
      </c>
      <c r="G387" s="13" t="inlineStr">
        <is>
          <t>许多多超市</t>
        </is>
      </c>
      <c r="H387" s="13" t="n"/>
      <c r="I387" s="13" t="inlineStr">
        <is>
          <t>更换软膜-许多多（霞霞）</t>
        </is>
      </c>
      <c r="J387" s="14" t="n">
        <v>480</v>
      </c>
      <c r="K387" s="14" t="n"/>
      <c r="L387" s="19">
        <f>IF($C387="","",ROUND(IFERROR(VLOOKUP($C387,账户期初,2,0),0)+SUMIFS($J$4:J387,$C$4:C387,$C387)-SUMIFS($K$4:K387,$C$4:C387,$C387),2))</f>
        <v/>
      </c>
      <c r="M387" s="19">
        <f>IF($C387="","",ROUND(SUM(基础资料!$B$4:$B$13)+SUM($J$4:J387)-SUM($K$4:K387),2))</f>
        <v/>
      </c>
      <c r="N387" s="13" t="n"/>
      <c r="O387" s="13" t="inlineStr">
        <is>
          <t>全款</t>
        </is>
      </c>
      <c r="P387" s="17">
        <f>IF($B387="","",IF($F387="※类别不在基础资料里","※费用类别不在基础资料里",IF(AND(N($J387)=0,N($K387)=0),"※这行没填金额",IF(AND(N($J387)&gt;0,N($K387)&gt;0),"※收入和支出不能同一行都填",IF(AND($D387="收入",N($J387)=0),"※收入行要填收入金额",IF(AND($D387="支出",N($K387)=0),"※支出行要填支出金额",IF(AND($C387&lt;&gt;"",ISNA(MATCH($C387,账户表,0))),"※账户不在基础资料里",IF(AND($G387&lt;&gt;"",ISNA(MATCH($G387,项目名表,0))),"※项目不在项目台账里",IF(AND(LEFT($F387,3)="成本-",$G387=""),"※成本类支出没填项目",IF(AND(LEFT($F387,3)="成本-",$H387&lt;&gt;"",N($K387)&gt;0,COUNTIFS(采购单!$B:$B,$B387,采购单!$C:$C,$H387,采购单!$L:$L,$K387)&gt;0),"※这笔可能和采购单重复了",""))))))))))</f>
        <v/>
      </c>
    </row>
    <row r="388">
      <c r="A388" s="17">
        <f>IF($B388="","",ROW()-3)</f>
        <v/>
      </c>
      <c r="B388" s="18" t="n">
        <v>46151</v>
      </c>
      <c r="C388" s="13" t="inlineStr">
        <is>
          <t>微信1</t>
        </is>
      </c>
      <c r="D388" s="13" t="inlineStr">
        <is>
          <t>支出</t>
        </is>
      </c>
      <c r="E388" s="13" t="inlineStr">
        <is>
          <t>安装工资</t>
        </is>
      </c>
      <c r="F388" s="17">
        <f>IF($E388="","",IFERROR(VLOOKUP($E388,类别归属,2,0),"※类别不在基础资料里"))</f>
        <v/>
      </c>
      <c r="G388" s="13" t="n"/>
      <c r="H388" s="13" t="n"/>
      <c r="I388" s="13" t="inlineStr">
        <is>
          <t>灬鸡哥ღ²º²⁶₀₁₀₂-安装工资</t>
        </is>
      </c>
      <c r="J388" s="14" t="n"/>
      <c r="K388" s="14" t="n">
        <v>1350</v>
      </c>
      <c r="L388" s="19">
        <f>IF($C388="","",ROUND(IFERROR(VLOOKUP($C388,账户期初,2,0),0)+SUMIFS($J$4:J388,$C$4:C388,$C388)-SUMIFS($K$4:K388,$C$4:C388,$C388),2))</f>
        <v/>
      </c>
      <c r="M388" s="19">
        <f>IF($C388="","",ROUND(SUM(基础资料!$B$4:$B$13)+SUM($J$4:J388)-SUM($K$4:K388),2))</f>
        <v/>
      </c>
      <c r="N388" s="13" t="n"/>
      <c r="O388" s="13" t="n"/>
      <c r="P388" s="17">
        <f>IF($B388="","",IF($F388="※类别不在基础资料里","※费用类别不在基础资料里",IF(AND(N($J388)=0,N($K388)=0),"※这行没填金额",IF(AND(N($J388)&gt;0,N($K388)&gt;0),"※收入和支出不能同一行都填",IF(AND($D388="收入",N($J388)=0),"※收入行要填收入金额",IF(AND($D388="支出",N($K388)=0),"※支出行要填支出金额",IF(AND($C388&lt;&gt;"",ISNA(MATCH($C388,账户表,0))),"※账户不在基础资料里",IF(AND($G388&lt;&gt;"",ISNA(MATCH($G388,项目名表,0))),"※项目不在项目台账里",IF(AND(LEFT($F388,3)="成本-",$G388=""),"※成本类支出没填项目",IF(AND(LEFT($F388,3)="成本-",$H388&lt;&gt;"",N($K388)&gt;0,COUNTIFS(采购单!$B:$B,$B388,采购单!$C:$C,$H388,采购单!$L:$L,$K388)&gt;0),"※这笔可能和采购单重复了",""))))))))))</f>
        <v/>
      </c>
    </row>
    <row r="389">
      <c r="A389" s="17">
        <f>IF($B389="","",ROW()-3)</f>
        <v/>
      </c>
      <c r="B389" s="18" t="n">
        <v>46151</v>
      </c>
      <c r="C389" s="13" t="inlineStr">
        <is>
          <t>微信1</t>
        </is>
      </c>
      <c r="D389" s="13" t="inlineStr">
        <is>
          <t>收入</t>
        </is>
      </c>
      <c r="E389" s="13" t="inlineStr">
        <is>
          <t>待分类</t>
        </is>
      </c>
      <c r="F389" s="17">
        <f>IF($E389="","",IFERROR(VLOOKUP($E389,类别归属,2,0),"※类别不在基础资料里"))</f>
        <v/>
      </c>
      <c r="G389" s="13" t="inlineStr">
        <is>
          <t>圣薇依儿</t>
        </is>
      </c>
      <c r="H389" s="13" t="n"/>
      <c r="I389" s="13" t="inlineStr">
        <is>
          <t>圣微依儿.校服.总经理</t>
        </is>
      </c>
      <c r="J389" s="14" t="n">
        <v>96</v>
      </c>
      <c r="K389" s="14" t="n"/>
      <c r="L389" s="19">
        <f>IF($C389="","",ROUND(IFERROR(VLOOKUP($C389,账户期初,2,0),0)+SUMIFS($J$4:J389,$C$4:C389,$C389)-SUMIFS($K$4:K389,$C$4:C389,$C389),2))</f>
        <v/>
      </c>
      <c r="M389" s="19">
        <f>IF($C389="","",ROUND(SUM(基础资料!$B$4:$B$13)+SUM($J$4:J389)-SUM($K$4:K389),2))</f>
        <v/>
      </c>
      <c r="N389" s="13" t="n"/>
      <c r="O389" s="13" t="n"/>
      <c r="P389" s="17">
        <f>IF($B389="","",IF($F389="※类别不在基础资料里","※费用类别不在基础资料里",IF(AND(N($J389)=0,N($K389)=0),"※这行没填金额",IF(AND(N($J389)&gt;0,N($K389)&gt;0),"※收入和支出不能同一行都填",IF(AND($D389="收入",N($J389)=0),"※收入行要填收入金额",IF(AND($D389="支出",N($K389)=0),"※支出行要填支出金额",IF(AND($C389&lt;&gt;"",ISNA(MATCH($C389,账户表,0))),"※账户不在基础资料里",IF(AND($G389&lt;&gt;"",ISNA(MATCH($G389,项目名表,0))),"※项目不在项目台账里",IF(AND(LEFT($F389,3)="成本-",$G389=""),"※成本类支出没填项目",IF(AND(LEFT($F389,3)="成本-",$H389&lt;&gt;"",N($K389)&gt;0,COUNTIFS(采购单!$B:$B,$B389,采购单!$C:$C,$H389,采购单!$L:$L,$K389)&gt;0),"※这笔可能和采购单重复了",""))))))))))</f>
        <v/>
      </c>
    </row>
    <row r="390">
      <c r="A390" s="17">
        <f>IF($B390="","",ROW()-3)</f>
        <v/>
      </c>
      <c r="B390" s="18" t="n">
        <v>46151</v>
      </c>
      <c r="C390" s="13" t="inlineStr">
        <is>
          <t>微信1</t>
        </is>
      </c>
      <c r="D390" s="13" t="inlineStr">
        <is>
          <t>收入</t>
        </is>
      </c>
      <c r="E390" s="13" t="inlineStr">
        <is>
          <t>待分类</t>
        </is>
      </c>
      <c r="F390" s="17">
        <f>IF($E390="","",IFERROR(VLOOKUP($E390,类别归属,2,0),"※类别不在基础资料里"))</f>
        <v/>
      </c>
      <c r="G390" s="13" t="inlineStr">
        <is>
          <t>浙江戴纳</t>
        </is>
      </c>
      <c r="H390" s="13" t="n"/>
      <c r="I390" s="13" t="inlineStr">
        <is>
          <t>💕龙小妞💕</t>
        </is>
      </c>
      <c r="J390" s="14" t="n">
        <v>90</v>
      </c>
      <c r="K390" s="14" t="n"/>
      <c r="L390" s="19">
        <f>IF($C390="","",ROUND(IFERROR(VLOOKUP($C390,账户期初,2,0),0)+SUMIFS($J$4:J390,$C$4:C390,$C390)-SUMIFS($K$4:K390,$C$4:C390,$C390),2))</f>
        <v/>
      </c>
      <c r="M390" s="19">
        <f>IF($C390="","",ROUND(SUM(基础资料!$B$4:$B$13)+SUM($J$4:J390)-SUM($K$4:K390),2))</f>
        <v/>
      </c>
      <c r="N390" s="13" t="n"/>
      <c r="O390" s="13" t="inlineStr">
        <is>
          <t>亚克力条</t>
        </is>
      </c>
      <c r="P390" s="17">
        <f>IF($B390="","",IF($F390="※类别不在基础资料里","※费用类别不在基础资料里",IF(AND(N($J390)=0,N($K390)=0),"※这行没填金额",IF(AND(N($J390)&gt;0,N($K390)&gt;0),"※收入和支出不能同一行都填",IF(AND($D390="收入",N($J390)=0),"※收入行要填收入金额",IF(AND($D390="支出",N($K390)=0),"※支出行要填支出金额",IF(AND($C390&lt;&gt;"",ISNA(MATCH($C390,账户表,0))),"※账户不在基础资料里",IF(AND($G390&lt;&gt;"",ISNA(MATCH($G390,项目名表,0))),"※项目不在项目台账里",IF(AND(LEFT($F390,3)="成本-",$G390=""),"※成本类支出没填项目",IF(AND(LEFT($F390,3)="成本-",$H390&lt;&gt;"",N($K390)&gt;0,COUNTIFS(采购单!$B:$B,$B390,采购单!$C:$C,$H390,采购单!$L:$L,$K390)&gt;0),"※这笔可能和采购单重复了",""))))))))))</f>
        <v/>
      </c>
    </row>
    <row r="391">
      <c r="A391" s="17">
        <f>IF($B391="","",ROW()-3)</f>
        <v/>
      </c>
      <c r="B391" s="18" t="n">
        <v>46151</v>
      </c>
      <c r="C391" s="13" t="inlineStr">
        <is>
          <t>微信1</t>
        </is>
      </c>
      <c r="D391" s="13" t="inlineStr">
        <is>
          <t>收入</t>
        </is>
      </c>
      <c r="E391" s="13" t="inlineStr">
        <is>
          <t>收回借出款</t>
        </is>
      </c>
      <c r="F391" s="17">
        <f>IF($E391="","",IFERROR(VLOOKUP($E391,类别归属,2,0),"※类别不在基础资料里"))</f>
        <v/>
      </c>
      <c r="G391" s="13" t="n"/>
      <c r="H391" s="13" t="inlineStr">
        <is>
          <t>付久华</t>
        </is>
      </c>
      <c r="I391" s="13" t="inlineStr">
        <is>
          <t>付久华</t>
        </is>
      </c>
      <c r="J391" s="14" t="n">
        <v>1000</v>
      </c>
      <c r="K391" s="14" t="n"/>
      <c r="L391" s="19">
        <f>IF($C391="","",ROUND(IFERROR(VLOOKUP($C391,账户期初,2,0),0)+SUMIFS($J$4:J391,$C$4:C391,$C391)-SUMIFS($K$4:K391,$C$4:C391,$C391),2))</f>
        <v/>
      </c>
      <c r="M391" s="19">
        <f>IF($C391="","",ROUND(SUM(基础资料!$B$4:$B$13)+SUM($J$4:J391)-SUM($K$4:K391),2))</f>
        <v/>
      </c>
      <c r="N391" s="13" t="n"/>
      <c r="O391" s="13" t="n"/>
      <c r="P391" s="17">
        <f>IF($B391="","",IF($F391="※类别不在基础资料里","※费用类别不在基础资料里",IF(AND(N($J391)=0,N($K391)=0),"※这行没填金额",IF(AND(N($J391)&gt;0,N($K391)&gt;0),"※收入和支出不能同一行都填",IF(AND($D391="收入",N($J391)=0),"※收入行要填收入金额",IF(AND($D391="支出",N($K391)=0),"※支出行要填支出金额",IF(AND($C391&lt;&gt;"",ISNA(MATCH($C391,账户表,0))),"※账户不在基础资料里",IF(AND($G391&lt;&gt;"",ISNA(MATCH($G391,项目名表,0))),"※项目不在项目台账里",IF(AND(LEFT($F391,3)="成本-",$G391=""),"※成本类支出没填项目",IF(AND(LEFT($F391,3)="成本-",$H391&lt;&gt;"",N($K391)&gt;0,COUNTIFS(采购单!$B:$B,$B391,采购单!$C:$C,$H391,采购单!$L:$L,$K391)&gt;0),"※这笔可能和采购单重复了",""))))))))))</f>
        <v/>
      </c>
    </row>
    <row r="392">
      <c r="A392" s="17">
        <f>IF($B392="","",ROW()-3)</f>
        <v/>
      </c>
      <c r="B392" s="18" t="n">
        <v>46151</v>
      </c>
      <c r="C392" s="13" t="inlineStr">
        <is>
          <t>微信1</t>
        </is>
      </c>
      <c r="D392" s="13" t="inlineStr">
        <is>
          <t>支出</t>
        </is>
      </c>
      <c r="E392" s="13" t="inlineStr">
        <is>
          <t>运费/快递费</t>
        </is>
      </c>
      <c r="F392" s="17">
        <f>IF($E392="","",IFERROR(VLOOKUP($E392,类别归属,2,0),"※类别不在基础资料里"))</f>
        <v/>
      </c>
      <c r="G392" s="13" t="inlineStr">
        <is>
          <t>织里店</t>
        </is>
      </c>
      <c r="H392" s="13" t="inlineStr">
        <is>
          <t>炳秀</t>
        </is>
      </c>
      <c r="I392" s="13" t="inlineStr">
        <is>
          <t>杭州炳秀湖州26-28武晓军</t>
        </is>
      </c>
      <c r="J392" s="14" t="n"/>
      <c r="K392" s="14" t="n">
        <v>33</v>
      </c>
      <c r="L392" s="19">
        <f>IF($C392="","",ROUND(IFERROR(VLOOKUP($C392,账户期初,2,0),0)+SUMIFS($J$4:J392,$C$4:C392,$C392)-SUMIFS($K$4:K392,$C$4:C392,$C392),2))</f>
        <v/>
      </c>
      <c r="M392" s="19">
        <f>IF($C392="","",ROUND(SUM(基础资料!$B$4:$B$13)+SUM($J$4:J392)-SUM($K$4:K392),2))</f>
        <v/>
      </c>
      <c r="N392" s="13" t="n"/>
      <c r="O392" s="13" t="inlineStr">
        <is>
          <t>775</t>
        </is>
      </c>
      <c r="P392" s="17">
        <f>IF($B392="","",IF($F392="※类别不在基础资料里","※费用类别不在基础资料里",IF(AND(N($J392)=0,N($K392)=0),"※这行没填金额",IF(AND(N($J392)&gt;0,N($K392)&gt;0),"※收入和支出不能同一行都填",IF(AND($D392="收入",N($J392)=0),"※收入行要填收入金额",IF(AND($D392="支出",N($K392)=0),"※支出行要填支出金额",IF(AND($C392&lt;&gt;"",ISNA(MATCH($C392,账户表,0))),"※账户不在基础资料里",IF(AND($G392&lt;&gt;"",ISNA(MATCH($G392,项目名表,0))),"※项目不在项目台账里",IF(AND(LEFT($F392,3)="成本-",$G392=""),"※成本类支出没填项目",IF(AND(LEFT($F392,3)="成本-",$H392&lt;&gt;"",N($K392)&gt;0,COUNTIFS(采购单!$B:$B,$B392,采购单!$C:$C,$H392,采购单!$L:$L,$K392)&gt;0),"※这笔可能和采购单重复了",""))))))))))</f>
        <v/>
      </c>
    </row>
    <row r="393">
      <c r="A393" s="17">
        <f>IF($B393="","",ROW()-3)</f>
        <v/>
      </c>
      <c r="B393" s="18" t="n">
        <v>46151</v>
      </c>
      <c r="C393" s="13" t="inlineStr">
        <is>
          <t>微信1</t>
        </is>
      </c>
      <c r="D393" s="13" t="inlineStr">
        <is>
          <t>支出</t>
        </is>
      </c>
      <c r="E393" s="13" t="inlineStr">
        <is>
          <t>运费/快递费</t>
        </is>
      </c>
      <c r="F393" s="17">
        <f>IF($E393="","",IFERROR(VLOOKUP($E393,类别归属,2,0),"※类别不在基础资料里"))</f>
        <v/>
      </c>
      <c r="G393" s="13" t="inlineStr">
        <is>
          <t>九熠装饰</t>
        </is>
      </c>
      <c r="H393" s="13" t="inlineStr">
        <is>
          <t>炳秀</t>
        </is>
      </c>
      <c r="I393" s="13" t="inlineStr">
        <is>
          <t>杭州炳秀湖州26-28武晓军</t>
        </is>
      </c>
      <c r="J393" s="14" t="n"/>
      <c r="K393" s="14" t="n">
        <v>520</v>
      </c>
      <c r="L393" s="19">
        <f>IF($C393="","",ROUND(IFERROR(VLOOKUP($C393,账户期初,2,0),0)+SUMIFS($J$4:J393,$C$4:C393,$C393)-SUMIFS($K$4:K393,$C$4:C393,$C393),2))</f>
        <v/>
      </c>
      <c r="M393" s="19">
        <f>IF($C393="","",ROUND(SUM(基础资料!$B$4:$B$13)+SUM($J$4:J393)-SUM($K$4:K393),2))</f>
        <v/>
      </c>
      <c r="N393" s="13" t="n"/>
      <c r="O393" s="13" t="n"/>
      <c r="P393" s="17">
        <f>IF($B393="","",IF($F393="※类别不在基础资料里","※费用类别不在基础资料里",IF(AND(N($J393)=0,N($K393)=0),"※这行没填金额",IF(AND(N($J393)&gt;0,N($K393)&gt;0),"※收入和支出不能同一行都填",IF(AND($D393="收入",N($J393)=0),"※收入行要填收入金额",IF(AND($D393="支出",N($K393)=0),"※支出行要填支出金额",IF(AND($C393&lt;&gt;"",ISNA(MATCH($C393,账户表,0))),"※账户不在基础资料里",IF(AND($G393&lt;&gt;"",ISNA(MATCH($G393,项目名表,0))),"※项目不在项目台账里",IF(AND(LEFT($F393,3)="成本-",$G393=""),"※成本类支出没填项目",IF(AND(LEFT($F393,3)="成本-",$H393&lt;&gt;"",N($K393)&gt;0,COUNTIFS(采购单!$B:$B,$B393,采购单!$C:$C,$H393,采购单!$L:$L,$K393)&gt;0),"※这笔可能和采购单重复了",""))))))))))</f>
        <v/>
      </c>
    </row>
    <row r="394">
      <c r="A394" s="17">
        <f>IF($B394="","",ROW()-3)</f>
        <v/>
      </c>
      <c r="B394" s="18" t="n">
        <v>46151</v>
      </c>
      <c r="C394" s="13" t="inlineStr">
        <is>
          <t>微信1</t>
        </is>
      </c>
      <c r="D394" s="13" t="inlineStr">
        <is>
          <t>支出</t>
        </is>
      </c>
      <c r="E394" s="13" t="inlineStr">
        <is>
          <t>运费/快递费</t>
        </is>
      </c>
      <c r="F394" s="17">
        <f>IF($E394="","",IFERROR(VLOOKUP($E394,类别归属,2,0),"※类别不在基础资料里"))</f>
        <v/>
      </c>
      <c r="G394" s="13" t="inlineStr">
        <is>
          <t>东尼电子</t>
        </is>
      </c>
      <c r="H394" s="13" t="inlineStr">
        <is>
          <t>炳秀</t>
        </is>
      </c>
      <c r="I394" s="13" t="inlineStr">
        <is>
          <t>杭州炳秀湖州26-28武晓军</t>
        </is>
      </c>
      <c r="J394" s="14" t="n"/>
      <c r="K394" s="14" t="n">
        <v>170</v>
      </c>
      <c r="L394" s="19">
        <f>IF($C394="","",ROUND(IFERROR(VLOOKUP($C394,账户期初,2,0),0)+SUMIFS($J$4:J394,$C$4:C394,$C394)-SUMIFS($K$4:K394,$C$4:C394,$C394),2))</f>
        <v/>
      </c>
      <c r="M394" s="19">
        <f>IF($C394="","",ROUND(SUM(基础资料!$B$4:$B$13)+SUM($J$4:J394)-SUM($K$4:K394),2))</f>
        <v/>
      </c>
      <c r="N394" s="13" t="n"/>
      <c r="O394" s="13" t="n"/>
      <c r="P394" s="17">
        <f>IF($B394="","",IF($F394="※类别不在基础资料里","※费用类别不在基础资料里",IF(AND(N($J394)=0,N($K394)=0),"※这行没填金额",IF(AND(N($J394)&gt;0,N($K394)&gt;0),"※收入和支出不能同一行都填",IF(AND($D394="收入",N($J394)=0),"※收入行要填收入金额",IF(AND($D394="支出",N($K394)=0),"※支出行要填支出金额",IF(AND($C394&lt;&gt;"",ISNA(MATCH($C394,账户表,0))),"※账户不在基础资料里",IF(AND($G394&lt;&gt;"",ISNA(MATCH($G394,项目名表,0))),"※项目不在项目台账里",IF(AND(LEFT($F394,3)="成本-",$G394=""),"※成本类支出没填项目",IF(AND(LEFT($F394,3)="成本-",$H394&lt;&gt;"",N($K394)&gt;0,COUNTIFS(采购单!$B:$B,$B394,采购单!$C:$C,$H394,采购单!$L:$L,$K394)&gt;0),"※这笔可能和采购单重复了",""))))))))))</f>
        <v/>
      </c>
    </row>
    <row r="395">
      <c r="A395" s="17">
        <f>IF($B395="","",ROW()-3)</f>
        <v/>
      </c>
      <c r="B395" s="18" t="n">
        <v>46151</v>
      </c>
      <c r="C395" s="13" t="inlineStr">
        <is>
          <t>微信1</t>
        </is>
      </c>
      <c r="D395" s="13" t="inlineStr">
        <is>
          <t>支出</t>
        </is>
      </c>
      <c r="E395" s="13" t="inlineStr">
        <is>
          <t>运费/快递费</t>
        </is>
      </c>
      <c r="F395" s="17">
        <f>IF($E395="","",IFERROR(VLOOKUP($E395,类别归属,2,0),"※类别不在基础资料里"))</f>
        <v/>
      </c>
      <c r="G395" s="13" t="inlineStr">
        <is>
          <t>许多多超市</t>
        </is>
      </c>
      <c r="H395" s="13" t="inlineStr">
        <is>
          <t>炳秀</t>
        </is>
      </c>
      <c r="I395" s="13" t="inlineStr">
        <is>
          <t>杭州炳秀湖州26-28武晓军</t>
        </is>
      </c>
      <c r="J395" s="14" t="n"/>
      <c r="K395" s="14" t="n">
        <v>52</v>
      </c>
      <c r="L395" s="19">
        <f>IF($C395="","",ROUND(IFERROR(VLOOKUP($C395,账户期初,2,0),0)+SUMIFS($J$4:J395,$C$4:C395,$C395)-SUMIFS($K$4:K395,$C$4:C395,$C395),2))</f>
        <v/>
      </c>
      <c r="M395" s="19">
        <f>IF($C395="","",ROUND(SUM(基础资料!$B$4:$B$13)+SUM($J$4:J395)-SUM($K$4:K395),2))</f>
        <v/>
      </c>
      <c r="N395" s="13" t="n"/>
      <c r="O395" s="13" t="n"/>
      <c r="P395" s="17">
        <f>IF($B395="","",IF($F395="※类别不在基础资料里","※费用类别不在基础资料里",IF(AND(N($J395)=0,N($K395)=0),"※这行没填金额",IF(AND(N($J395)&gt;0,N($K395)&gt;0),"※收入和支出不能同一行都填",IF(AND($D395="收入",N($J395)=0),"※收入行要填收入金额",IF(AND($D395="支出",N($K395)=0),"※支出行要填支出金额",IF(AND($C395&lt;&gt;"",ISNA(MATCH($C395,账户表,0))),"※账户不在基础资料里",IF(AND($G395&lt;&gt;"",ISNA(MATCH($G395,项目名表,0))),"※项目不在项目台账里",IF(AND(LEFT($F395,3)="成本-",$G395=""),"※成本类支出没填项目",IF(AND(LEFT($F395,3)="成本-",$H395&lt;&gt;"",N($K395)&gt;0,COUNTIFS(采购单!$B:$B,$B395,采购单!$C:$C,$H395,采购单!$L:$L,$K395)&gt;0),"※这笔可能和采购单重复了",""))))))))))</f>
        <v/>
      </c>
    </row>
    <row r="396">
      <c r="A396" s="17">
        <f>IF($B396="","",ROW()-3)</f>
        <v/>
      </c>
      <c r="B396" s="18" t="n">
        <v>46151</v>
      </c>
      <c r="C396" s="13" t="inlineStr">
        <is>
          <t>微信1</t>
        </is>
      </c>
      <c r="D396" s="13" t="inlineStr">
        <is>
          <t>支出</t>
        </is>
      </c>
      <c r="E396" s="13" t="inlineStr">
        <is>
          <t>运费/快递费</t>
        </is>
      </c>
      <c r="F396" s="17">
        <f>IF($E396="","",IFERROR(VLOOKUP($E396,类别归属,2,0),"※类别不在基础资料里"))</f>
        <v/>
      </c>
      <c r="G396" s="13" t="inlineStr">
        <is>
          <t>凤姐早餐店</t>
        </is>
      </c>
      <c r="H396" s="13" t="inlineStr">
        <is>
          <t>炳秀</t>
        </is>
      </c>
      <c r="I396" s="13" t="inlineStr">
        <is>
          <t>杭州炳秀湖州26-28武晓军</t>
        </is>
      </c>
      <c r="J396" s="14" t="n"/>
      <c r="K396" s="14" t="n">
        <v>14</v>
      </c>
      <c r="L396" s="19">
        <f>IF($C396="","",ROUND(IFERROR(VLOOKUP($C396,账户期初,2,0),0)+SUMIFS($J$4:J396,$C$4:C396,$C396)-SUMIFS($K$4:K396,$C$4:C396,$C396),2))</f>
        <v/>
      </c>
      <c r="M396" s="19">
        <f>IF($C396="","",ROUND(SUM(基础资料!$B$4:$B$13)+SUM($J$4:J396)-SUM($K$4:K396),2))</f>
        <v/>
      </c>
      <c r="N396" s="13" t="n"/>
      <c r="O396" s="13" t="inlineStr">
        <is>
          <t>719</t>
        </is>
      </c>
      <c r="P396" s="17">
        <f>IF($B396="","",IF($F396="※类别不在基础资料里","※费用类别不在基础资料里",IF(AND(N($J396)=0,N($K396)=0),"※这行没填金额",IF(AND(N($J396)&gt;0,N($K396)&gt;0),"※收入和支出不能同一行都填",IF(AND($D396="收入",N($J396)=0),"※收入行要填收入金额",IF(AND($D396="支出",N($K396)=0),"※支出行要填支出金额",IF(AND($C396&lt;&gt;"",ISNA(MATCH($C396,账户表,0))),"※账户不在基础资料里",IF(AND($G396&lt;&gt;"",ISNA(MATCH($G396,项目名表,0))),"※项目不在项目台账里",IF(AND(LEFT($F396,3)="成本-",$G396=""),"※成本类支出没填项目",IF(AND(LEFT($F396,3)="成本-",$H396&lt;&gt;"",N($K396)&gt;0,COUNTIFS(采购单!$B:$B,$B396,采购单!$C:$C,$H396,采购单!$L:$L,$K396)&gt;0),"※这笔可能和采购单重复了",""))))))))))</f>
        <v/>
      </c>
    </row>
    <row r="397">
      <c r="A397" s="17">
        <f>IF($B397="","",ROW()-3)</f>
        <v/>
      </c>
      <c r="B397" s="18" t="n">
        <v>46151</v>
      </c>
      <c r="C397" s="13" t="inlineStr">
        <is>
          <t>微信1</t>
        </is>
      </c>
      <c r="D397" s="13" t="inlineStr">
        <is>
          <t>支出</t>
        </is>
      </c>
      <c r="E397" s="13" t="inlineStr">
        <is>
          <t>运费/快递费</t>
        </is>
      </c>
      <c r="F397" s="17">
        <f>IF($E397="","",IFERROR(VLOOKUP($E397,类别归属,2,0),"※类别不在基础资料里"))</f>
        <v/>
      </c>
      <c r="G397" s="13" t="inlineStr">
        <is>
          <t>中交</t>
        </is>
      </c>
      <c r="H397" s="13" t="inlineStr">
        <is>
          <t>炳秀</t>
        </is>
      </c>
      <c r="I397" s="13" t="inlineStr">
        <is>
          <t>杭州炳秀湖州26-28武晓军</t>
        </is>
      </c>
      <c r="J397" s="14" t="n"/>
      <c r="K397" s="14" t="n">
        <v>5</v>
      </c>
      <c r="L397" s="19">
        <f>IF($C397="","",ROUND(IFERROR(VLOOKUP($C397,账户期初,2,0),0)+SUMIFS($J$4:J397,$C$4:C397,$C397)-SUMIFS($K$4:K397,$C$4:C397,$C397),2))</f>
        <v/>
      </c>
      <c r="M397" s="19">
        <f>IF($C397="","",ROUND(SUM(基础资料!$B$4:$B$13)+SUM($J$4:J397)-SUM($K$4:K397),2))</f>
        <v/>
      </c>
      <c r="N397" s="13" t="n"/>
      <c r="O397" s="13" t="n"/>
      <c r="P397" s="17">
        <f>IF($B397="","",IF($F397="※类别不在基础资料里","※费用类别不在基础资料里",IF(AND(N($J397)=0,N($K397)=0),"※这行没填金额",IF(AND(N($J397)&gt;0,N($K397)&gt;0),"※收入和支出不能同一行都填",IF(AND($D397="收入",N($J397)=0),"※收入行要填收入金额",IF(AND($D397="支出",N($K397)=0),"※支出行要填支出金额",IF(AND($C397&lt;&gt;"",ISNA(MATCH($C397,账户表,0))),"※账户不在基础资料里",IF(AND($G397&lt;&gt;"",ISNA(MATCH($G397,项目名表,0))),"※项目不在项目台账里",IF(AND(LEFT($F397,3)="成本-",$G397=""),"※成本类支出没填项目",IF(AND(LEFT($F397,3)="成本-",$H397&lt;&gt;"",N($K397)&gt;0,COUNTIFS(采购单!$B:$B,$B397,采购单!$C:$C,$H397,采购单!$L:$L,$K397)&gt;0),"※这笔可能和采购单重复了",""))))))))))</f>
        <v/>
      </c>
    </row>
    <row r="398">
      <c r="A398" s="17">
        <f>IF($B398="","",ROW()-3)</f>
        <v/>
      </c>
      <c r="B398" s="18" t="n">
        <v>46151</v>
      </c>
      <c r="C398" s="13" t="inlineStr">
        <is>
          <t>微信1</t>
        </is>
      </c>
      <c r="D398" s="13" t="inlineStr">
        <is>
          <t>支出</t>
        </is>
      </c>
      <c r="E398" s="13" t="inlineStr">
        <is>
          <t>运费/快递费</t>
        </is>
      </c>
      <c r="F398" s="17">
        <f>IF($E398="","",IFERROR(VLOOKUP($E398,类别归属,2,0),"※类别不在基础资料里"))</f>
        <v/>
      </c>
      <c r="G398" s="13" t="inlineStr">
        <is>
          <t>梦回唐朝</t>
        </is>
      </c>
      <c r="H398" s="13" t="inlineStr">
        <is>
          <t>炳秀</t>
        </is>
      </c>
      <c r="I398" s="13" t="inlineStr">
        <is>
          <t>杭州炳秀湖州26-28武晓军</t>
        </is>
      </c>
      <c r="J398" s="14" t="n"/>
      <c r="K398" s="14" t="n">
        <v>700</v>
      </c>
      <c r="L398" s="19">
        <f>IF($C398="","",ROUND(IFERROR(VLOOKUP($C398,账户期初,2,0),0)+SUMIFS($J$4:J398,$C$4:C398,$C398)-SUMIFS($K$4:K398,$C$4:C398,$C398),2))</f>
        <v/>
      </c>
      <c r="M398" s="19">
        <f>IF($C398="","",ROUND(SUM(基础资料!$B$4:$B$13)+SUM($J$4:J398)-SUM($K$4:K398),2))</f>
        <v/>
      </c>
      <c r="N398" s="13" t="n"/>
      <c r="O398" s="13" t="n"/>
      <c r="P398" s="17">
        <f>IF($B398="","",IF($F398="※类别不在基础资料里","※费用类别不在基础资料里",IF(AND(N($J398)=0,N($K398)=0),"※这行没填金额",IF(AND(N($J398)&gt;0,N($K398)&gt;0),"※收入和支出不能同一行都填",IF(AND($D398="收入",N($J398)=0),"※收入行要填收入金额",IF(AND($D398="支出",N($K398)=0),"※支出行要填支出金额",IF(AND($C398&lt;&gt;"",ISNA(MATCH($C398,账户表,0))),"※账户不在基础资料里",IF(AND($G398&lt;&gt;"",ISNA(MATCH($G398,项目名表,0))),"※项目不在项目台账里",IF(AND(LEFT($F398,3)="成本-",$G398=""),"※成本类支出没填项目",IF(AND(LEFT($F398,3)="成本-",$H398&lt;&gt;"",N($K398)&gt;0,COUNTIFS(采购单!$B:$B,$B398,采购单!$C:$C,$H398,采购单!$L:$L,$K398)&gt;0),"※这笔可能和采购单重复了",""))))))))))</f>
        <v/>
      </c>
    </row>
    <row r="399">
      <c r="A399" s="17">
        <f>IF($B399="","",ROW()-3)</f>
        <v/>
      </c>
      <c r="B399" s="18" t="n">
        <v>46152</v>
      </c>
      <c r="C399" s="13" t="inlineStr">
        <is>
          <t>微信1</t>
        </is>
      </c>
      <c r="D399" s="13" t="inlineStr">
        <is>
          <t>收入</t>
        </is>
      </c>
      <c r="E399" s="13" t="inlineStr">
        <is>
          <t>收回借出款</t>
        </is>
      </c>
      <c r="F399" s="17">
        <f>IF($E399="","",IFERROR(VLOOKUP($E399,类别归属,2,0),"※类别不在基础资料里"))</f>
        <v/>
      </c>
      <c r="G399" s="13" t="n"/>
      <c r="H399" s="13" t="inlineStr">
        <is>
          <t>付久华</t>
        </is>
      </c>
      <c r="I399" s="13" t="inlineStr">
        <is>
          <t>付久华</t>
        </is>
      </c>
      <c r="J399" s="14" t="n">
        <v>500</v>
      </c>
      <c r="K399" s="14" t="n"/>
      <c r="L399" s="19">
        <f>IF($C399="","",ROUND(IFERROR(VLOOKUP($C399,账户期初,2,0),0)+SUMIFS($J$4:J399,$C$4:C399,$C399)-SUMIFS($K$4:K399,$C$4:C399,$C399),2))</f>
        <v/>
      </c>
      <c r="M399" s="19">
        <f>IF($C399="","",ROUND(SUM(基础资料!$B$4:$B$13)+SUM($J$4:J399)-SUM($K$4:K399),2))</f>
        <v/>
      </c>
      <c r="N399" s="13" t="n"/>
      <c r="O399" s="13" t="n"/>
      <c r="P399" s="17">
        <f>IF($B399="","",IF($F399="※类别不在基础资料里","※费用类别不在基础资料里",IF(AND(N($J399)=0,N($K399)=0),"※这行没填金额",IF(AND(N($J399)&gt;0,N($K399)&gt;0),"※收入和支出不能同一行都填",IF(AND($D399="收入",N($J399)=0),"※收入行要填收入金额",IF(AND($D399="支出",N($K399)=0),"※支出行要填支出金额",IF(AND($C399&lt;&gt;"",ISNA(MATCH($C399,账户表,0))),"※账户不在基础资料里",IF(AND($G399&lt;&gt;"",ISNA(MATCH($G399,项目名表,0))),"※项目不在项目台账里",IF(AND(LEFT($F399,3)="成本-",$G399=""),"※成本类支出没填项目",IF(AND(LEFT($F399,3)="成本-",$H399&lt;&gt;"",N($K399)&gt;0,COUNTIFS(采购单!$B:$B,$B399,采购单!$C:$C,$H399,采购单!$L:$L,$K399)&gt;0),"※这笔可能和采购单重复了",""))))))))))</f>
        <v/>
      </c>
    </row>
    <row r="400">
      <c r="A400" s="17">
        <f>IF($B400="","",ROW()-3)</f>
        <v/>
      </c>
      <c r="B400" s="18" t="n">
        <v>46152</v>
      </c>
      <c r="C400" s="13" t="inlineStr">
        <is>
          <t>微信1</t>
        </is>
      </c>
      <c r="D400" s="13" t="inlineStr">
        <is>
          <t>支出</t>
        </is>
      </c>
      <c r="E400" s="13" t="inlineStr">
        <is>
          <t>待分类</t>
        </is>
      </c>
      <c r="F400" s="17">
        <f>IF($E400="","",IFERROR(VLOOKUP($E400,类别归属,2,0),"※类别不在基础资料里"))</f>
        <v/>
      </c>
      <c r="G400" s="13" t="n"/>
      <c r="H400" s="13" t="n"/>
      <c r="I400" s="13" t="inlineStr">
        <is>
          <t>垫付物流费-杨老头电焊</t>
        </is>
      </c>
      <c r="J400" s="14" t="n"/>
      <c r="K400" s="14" t="n">
        <v>112</v>
      </c>
      <c r="L400" s="19">
        <f>IF($C400="","",ROUND(IFERROR(VLOOKUP($C400,账户期初,2,0),0)+SUMIFS($J$4:J400,$C$4:C400,$C400)-SUMIFS($K$4:K400,$C$4:C400,$C400),2))</f>
        <v/>
      </c>
      <c r="M400" s="19">
        <f>IF($C400="","",ROUND(SUM(基础资料!$B$4:$B$13)+SUM($J$4:J400)-SUM($K$4:K400),2))</f>
        <v/>
      </c>
      <c r="N400" s="13" t="n"/>
      <c r="O400" s="13" t="n"/>
      <c r="P400" s="17">
        <f>IF($B400="","",IF($F400="※类别不在基础资料里","※费用类别不在基础资料里",IF(AND(N($J400)=0,N($K400)=0),"※这行没填金额",IF(AND(N($J400)&gt;0,N($K400)&gt;0),"※收入和支出不能同一行都填",IF(AND($D400="收入",N($J400)=0),"※收入行要填收入金额",IF(AND($D400="支出",N($K400)=0),"※支出行要填支出金额",IF(AND($C400&lt;&gt;"",ISNA(MATCH($C400,账户表,0))),"※账户不在基础资料里",IF(AND($G400&lt;&gt;"",ISNA(MATCH($G400,项目名表,0))),"※项目不在项目台账里",IF(AND(LEFT($F400,3)="成本-",$G400=""),"※成本类支出没填项目",IF(AND(LEFT($F400,3)="成本-",$H400&lt;&gt;"",N($K400)&gt;0,COUNTIFS(采购单!$B:$B,$B400,采购单!$C:$C,$H400,采购单!$L:$L,$K400)&gt;0),"※这笔可能和采购单重复了",""))))))))))</f>
        <v/>
      </c>
    </row>
    <row r="401">
      <c r="A401" s="17">
        <f>IF($B401="","",ROW()-3)</f>
        <v/>
      </c>
      <c r="B401" s="18" t="n">
        <v>46152</v>
      </c>
      <c r="C401" s="13" t="inlineStr">
        <is>
          <t>微信1</t>
        </is>
      </c>
      <c r="D401" s="13" t="inlineStr">
        <is>
          <t>支出</t>
        </is>
      </c>
      <c r="E401" s="13" t="inlineStr">
        <is>
          <t>运费/快递费</t>
        </is>
      </c>
      <c r="F401" s="17">
        <f>IF($E401="","",IFERROR(VLOOKUP($E401,类别归属,2,0),"※类别不在基础资料里"))</f>
        <v/>
      </c>
      <c r="G401" s="13" t="inlineStr">
        <is>
          <t>织里店</t>
        </is>
      </c>
      <c r="H401" s="13" t="inlineStr">
        <is>
          <t>炳秀</t>
        </is>
      </c>
      <c r="I401" s="13" t="inlineStr">
        <is>
          <t>杭州炳秀-湖州26-28武晓军</t>
        </is>
      </c>
      <c r="J401" s="14" t="n"/>
      <c r="K401" s="14" t="n">
        <v>41</v>
      </c>
      <c r="L401" s="19">
        <f>IF($C401="","",ROUND(IFERROR(VLOOKUP($C401,账户期初,2,0),0)+SUMIFS($J$4:J401,$C$4:C401,$C401)-SUMIFS($K$4:K401,$C$4:C401,$C401),2))</f>
        <v/>
      </c>
      <c r="M401" s="19">
        <f>IF($C401="","",ROUND(SUM(基础资料!$B$4:$B$13)+SUM($J$4:J401)-SUM($K$4:K401),2))</f>
        <v/>
      </c>
      <c r="N401" s="13" t="n"/>
      <c r="O401" s="13" t="inlineStr">
        <is>
          <t>139</t>
        </is>
      </c>
      <c r="P401" s="17">
        <f>IF($B401="","",IF($F401="※类别不在基础资料里","※费用类别不在基础资料里",IF(AND(N($J401)=0,N($K401)=0),"※这行没填金额",IF(AND(N($J401)&gt;0,N($K401)&gt;0),"※收入和支出不能同一行都填",IF(AND($D401="收入",N($J401)=0),"※收入行要填收入金额",IF(AND($D401="支出",N($K401)=0),"※支出行要填支出金额",IF(AND($C401&lt;&gt;"",ISNA(MATCH($C401,账户表,0))),"※账户不在基础资料里",IF(AND($G401&lt;&gt;"",ISNA(MATCH($G401,项目名表,0))),"※项目不在项目台账里",IF(AND(LEFT($F401,3)="成本-",$G401=""),"※成本类支出没填项目",IF(AND(LEFT($F401,3)="成本-",$H401&lt;&gt;"",N($K401)&gt;0,COUNTIFS(采购单!$B:$B,$B401,采购单!$C:$C,$H401,采购单!$L:$L,$K401)&gt;0),"※这笔可能和采购单重复了",""))))))))))</f>
        <v/>
      </c>
    </row>
    <row r="402">
      <c r="A402" s="17">
        <f>IF($B402="","",ROW()-3)</f>
        <v/>
      </c>
      <c r="B402" s="18" t="n">
        <v>46152</v>
      </c>
      <c r="C402" s="13" t="inlineStr">
        <is>
          <t>微信1</t>
        </is>
      </c>
      <c r="D402" s="13" t="inlineStr">
        <is>
          <t>支出</t>
        </is>
      </c>
      <c r="E402" s="13" t="inlineStr">
        <is>
          <t>运费/快递费</t>
        </is>
      </c>
      <c r="F402" s="17">
        <f>IF($E402="","",IFERROR(VLOOKUP($E402,类别归属,2,0),"※类别不在基础资料里"))</f>
        <v/>
      </c>
      <c r="G402" s="13" t="inlineStr">
        <is>
          <t>纳载智能</t>
        </is>
      </c>
      <c r="H402" s="13" t="inlineStr">
        <is>
          <t>炳秀</t>
        </is>
      </c>
      <c r="I402" s="13" t="inlineStr">
        <is>
          <t>杭州炳秀-湖州26-28武晓军</t>
        </is>
      </c>
      <c r="J402" s="14" t="n"/>
      <c r="K402" s="14" t="n">
        <v>50</v>
      </c>
      <c r="L402" s="19">
        <f>IF($C402="","",ROUND(IFERROR(VLOOKUP($C402,账户期初,2,0),0)+SUMIFS($J$4:J402,$C$4:C402,$C402)-SUMIFS($K$4:K402,$C$4:C402,$C402),2))</f>
        <v/>
      </c>
      <c r="M402" s="19">
        <f>IF($C402="","",ROUND(SUM(基础资料!$B$4:$B$13)+SUM($J$4:J402)-SUM($K$4:K402),2))</f>
        <v/>
      </c>
      <c r="N402" s="13" t="n"/>
      <c r="O402" s="13" t="n"/>
      <c r="P402" s="17">
        <f>IF($B402="","",IF($F402="※类别不在基础资料里","※费用类别不在基础资料里",IF(AND(N($J402)=0,N($K402)=0),"※这行没填金额",IF(AND(N($J402)&gt;0,N($K402)&gt;0),"※收入和支出不能同一行都填",IF(AND($D402="收入",N($J402)=0),"※收入行要填收入金额",IF(AND($D402="支出",N($K402)=0),"※支出行要填支出金额",IF(AND($C402&lt;&gt;"",ISNA(MATCH($C402,账户表,0))),"※账户不在基础资料里",IF(AND($G402&lt;&gt;"",ISNA(MATCH($G402,项目名表,0))),"※项目不在项目台账里",IF(AND(LEFT($F402,3)="成本-",$G402=""),"※成本类支出没填项目",IF(AND(LEFT($F402,3)="成本-",$H402&lt;&gt;"",N($K402)&gt;0,COUNTIFS(采购单!$B:$B,$B402,采购单!$C:$C,$H402,采购单!$L:$L,$K402)&gt;0),"※这笔可能和采购单重复了",""))))))))))</f>
        <v/>
      </c>
    </row>
    <row r="403">
      <c r="A403" s="17">
        <f>IF($B403="","",ROW()-3)</f>
        <v/>
      </c>
      <c r="B403" s="18" t="n">
        <v>46152</v>
      </c>
      <c r="C403" s="13" t="inlineStr">
        <is>
          <t>微信1</t>
        </is>
      </c>
      <c r="D403" s="13" t="inlineStr">
        <is>
          <t>支出</t>
        </is>
      </c>
      <c r="E403" s="13" t="inlineStr">
        <is>
          <t>运费/快递费</t>
        </is>
      </c>
      <c r="F403" s="17">
        <f>IF($E403="","",IFERROR(VLOOKUP($E403,类别归属,2,0),"※类别不在基础资料里"))</f>
        <v/>
      </c>
      <c r="G403" s="13" t="inlineStr">
        <is>
          <t>每甜</t>
        </is>
      </c>
      <c r="H403" s="13" t="inlineStr">
        <is>
          <t>炳秀</t>
        </is>
      </c>
      <c r="I403" s="13" t="inlineStr">
        <is>
          <t>杭州炳秀-湖州26-28武晓军</t>
        </is>
      </c>
      <c r="J403" s="14" t="n"/>
      <c r="K403" s="14" t="n">
        <v>30</v>
      </c>
      <c r="L403" s="19">
        <f>IF($C403="","",ROUND(IFERROR(VLOOKUP($C403,账户期初,2,0),0)+SUMIFS($J$4:J403,$C$4:C403,$C403)-SUMIFS($K$4:K403,$C$4:C403,$C403),2))</f>
        <v/>
      </c>
      <c r="M403" s="19">
        <f>IF($C403="","",ROUND(SUM(基础资料!$B$4:$B$13)+SUM($J$4:J403)-SUM($K$4:K403),2))</f>
        <v/>
      </c>
      <c r="N403" s="13" t="n"/>
      <c r="O403" s="13" t="n"/>
      <c r="P403" s="17">
        <f>IF($B403="","",IF($F403="※类别不在基础资料里","※费用类别不在基础资料里",IF(AND(N($J403)=0,N($K403)=0),"※这行没填金额",IF(AND(N($J403)&gt;0,N($K403)&gt;0),"※收入和支出不能同一行都填",IF(AND($D403="收入",N($J403)=0),"※收入行要填收入金额",IF(AND($D403="支出",N($K403)=0),"※支出行要填支出金额",IF(AND($C403&lt;&gt;"",ISNA(MATCH($C403,账户表,0))),"※账户不在基础资料里",IF(AND($G403&lt;&gt;"",ISNA(MATCH($G403,项目名表,0))),"※项目不在项目台账里",IF(AND(LEFT($F403,3)="成本-",$G403=""),"※成本类支出没填项目",IF(AND(LEFT($F403,3)="成本-",$H403&lt;&gt;"",N($K403)&gt;0,COUNTIFS(采购单!$B:$B,$B403,采购单!$C:$C,$H403,采购单!$L:$L,$K403)&gt;0),"※这笔可能和采购单重复了",""))))))))))</f>
        <v/>
      </c>
    </row>
    <row r="404">
      <c r="A404" s="17">
        <f>IF($B404="","",ROW()-3)</f>
        <v/>
      </c>
      <c r="B404" s="18" t="n">
        <v>46152</v>
      </c>
      <c r="C404" s="13" t="inlineStr">
        <is>
          <t>微信1</t>
        </is>
      </c>
      <c r="D404" s="13" t="inlineStr">
        <is>
          <t>支出</t>
        </is>
      </c>
      <c r="E404" s="13" t="inlineStr">
        <is>
          <t>运费/快递费</t>
        </is>
      </c>
      <c r="F404" s="17">
        <f>IF($E404="","",IFERROR(VLOOKUP($E404,类别归属,2,0),"※类别不在基础资料里"))</f>
        <v/>
      </c>
      <c r="G404" s="13" t="inlineStr">
        <is>
          <t>东尼电子</t>
        </is>
      </c>
      <c r="H404" s="13" t="inlineStr">
        <is>
          <t>炳秀</t>
        </is>
      </c>
      <c r="I404" s="13" t="inlineStr">
        <is>
          <t>杭州炳秀-湖州26-28武晓军</t>
        </is>
      </c>
      <c r="J404" s="14" t="n"/>
      <c r="K404" s="14" t="n">
        <v>18</v>
      </c>
      <c r="L404" s="19">
        <f>IF($C404="","",ROUND(IFERROR(VLOOKUP($C404,账户期初,2,0),0)+SUMIFS($J$4:J404,$C$4:C404,$C404)-SUMIFS($K$4:K404,$C$4:C404,$C404),2))</f>
        <v/>
      </c>
      <c r="M404" s="19">
        <f>IF($C404="","",ROUND(SUM(基础资料!$B$4:$B$13)+SUM($J$4:J404)-SUM($K$4:K404),2))</f>
        <v/>
      </c>
      <c r="N404" s="13" t="n"/>
      <c r="O404" s="13" t="n"/>
      <c r="P404" s="17">
        <f>IF($B404="","",IF($F404="※类别不在基础资料里","※费用类别不在基础资料里",IF(AND(N($J404)=0,N($K404)=0),"※这行没填金额",IF(AND(N($J404)&gt;0,N($K404)&gt;0),"※收入和支出不能同一行都填",IF(AND($D404="收入",N($J404)=0),"※收入行要填收入金额",IF(AND($D404="支出",N($K404)=0),"※支出行要填支出金额",IF(AND($C404&lt;&gt;"",ISNA(MATCH($C404,账户表,0))),"※账户不在基础资料里",IF(AND($G404&lt;&gt;"",ISNA(MATCH($G404,项目名表,0))),"※项目不在项目台账里",IF(AND(LEFT($F404,3)="成本-",$G404=""),"※成本类支出没填项目",IF(AND(LEFT($F404,3)="成本-",$H404&lt;&gt;"",N($K404)&gt;0,COUNTIFS(采购单!$B:$B,$B404,采购单!$C:$C,$H404,采购单!$L:$L,$K404)&gt;0),"※这笔可能和采购单重复了",""))))))))))</f>
        <v/>
      </c>
    </row>
    <row r="405">
      <c r="A405" s="17">
        <f>IF($B405="","",ROW()-3)</f>
        <v/>
      </c>
      <c r="B405" s="18" t="n">
        <v>46153</v>
      </c>
      <c r="C405" s="13" t="inlineStr">
        <is>
          <t>微信1</t>
        </is>
      </c>
      <c r="D405" s="13" t="inlineStr">
        <is>
          <t>支出</t>
        </is>
      </c>
      <c r="E405" s="13" t="inlineStr">
        <is>
          <t>通讯费</t>
        </is>
      </c>
      <c r="F405" s="17">
        <f>IF($E405="","",IFERROR(VLOOKUP($E405,类别归属,2,0),"※类别不在基础资料里"))</f>
        <v/>
      </c>
      <c r="G405" s="13" t="n"/>
      <c r="H405" s="13" t="n"/>
      <c r="I405" s="13" t="inlineStr">
        <is>
          <t>中国移动</t>
        </is>
      </c>
      <c r="J405" s="14" t="n"/>
      <c r="K405" s="14" t="n">
        <v>50</v>
      </c>
      <c r="L405" s="19">
        <f>IF($C405="","",ROUND(IFERROR(VLOOKUP($C405,账户期初,2,0),0)+SUMIFS($J$4:J405,$C$4:C405,$C405)-SUMIFS($K$4:K405,$C$4:C405,$C405),2))</f>
        <v/>
      </c>
      <c r="M405" s="19">
        <f>IF($C405="","",ROUND(SUM(基础资料!$B$4:$B$13)+SUM($J$4:J405)-SUM($K$4:K405),2))</f>
        <v/>
      </c>
      <c r="N405" s="13" t="n"/>
      <c r="O405" s="13" t="n"/>
      <c r="P405" s="17">
        <f>IF($B405="","",IF($F405="※类别不在基础资料里","※费用类别不在基础资料里",IF(AND(N($J405)=0,N($K405)=0),"※这行没填金额",IF(AND(N($J405)&gt;0,N($K405)&gt;0),"※收入和支出不能同一行都填",IF(AND($D405="收入",N($J405)=0),"※收入行要填收入金额",IF(AND($D405="支出",N($K405)=0),"※支出行要填支出金额",IF(AND($C405&lt;&gt;"",ISNA(MATCH($C405,账户表,0))),"※账户不在基础资料里",IF(AND($G405&lt;&gt;"",ISNA(MATCH($G405,项目名表,0))),"※项目不在项目台账里",IF(AND(LEFT($F405,3)="成本-",$G405=""),"※成本类支出没填项目",IF(AND(LEFT($F405,3)="成本-",$H405&lt;&gt;"",N($K405)&gt;0,COUNTIFS(采购单!$B:$B,$B405,采购单!$C:$C,$H405,采购单!$L:$L,$K405)&gt;0),"※这笔可能和采购单重复了",""))))))))))</f>
        <v/>
      </c>
    </row>
    <row r="406">
      <c r="A406" s="17">
        <f>IF($B406="","",ROW()-3)</f>
        <v/>
      </c>
      <c r="B406" s="18" t="n">
        <v>46153</v>
      </c>
      <c r="C406" s="13" t="inlineStr">
        <is>
          <t>微信1</t>
        </is>
      </c>
      <c r="D406" s="13" t="inlineStr">
        <is>
          <t>支出</t>
        </is>
      </c>
      <c r="E406" s="13" t="inlineStr">
        <is>
          <t>运费/快递费</t>
        </is>
      </c>
      <c r="F406" s="17">
        <f>IF($E406="","",IFERROR(VLOOKUP($E406,类别归属,2,0),"※类别不在基础资料里"))</f>
        <v/>
      </c>
      <c r="G406" s="13" t="inlineStr">
        <is>
          <t>织里店</t>
        </is>
      </c>
      <c r="H406" s="13" t="inlineStr">
        <is>
          <t>炳秀</t>
        </is>
      </c>
      <c r="I406" s="13" t="inlineStr">
        <is>
          <t>杭州炳秀-湖州26-28武晓军</t>
        </is>
      </c>
      <c r="J406" s="14" t="n"/>
      <c r="K406" s="14" t="n">
        <v>53</v>
      </c>
      <c r="L406" s="19">
        <f>IF($C406="","",ROUND(IFERROR(VLOOKUP($C406,账户期初,2,0),0)+SUMIFS($J$4:J406,$C$4:C406,$C406)-SUMIFS($K$4:K406,$C$4:C406,$C406),2))</f>
        <v/>
      </c>
      <c r="M406" s="19">
        <f>IF($C406="","",ROUND(SUM(基础资料!$B$4:$B$13)+SUM($J$4:J406)-SUM($K$4:K406),2))</f>
        <v/>
      </c>
      <c r="N406" s="13" t="n"/>
      <c r="O406" s="13" t="n"/>
      <c r="P406" s="17">
        <f>IF($B406="","",IF($F406="※类别不在基础资料里","※费用类别不在基础资料里",IF(AND(N($J406)=0,N($K406)=0),"※这行没填金额",IF(AND(N($J406)&gt;0,N($K406)&gt;0),"※收入和支出不能同一行都填",IF(AND($D406="收入",N($J406)=0),"※收入行要填收入金额",IF(AND($D406="支出",N($K406)=0),"※支出行要填支出金额",IF(AND($C406&lt;&gt;"",ISNA(MATCH($C406,账户表,0))),"※账户不在基础资料里",IF(AND($G406&lt;&gt;"",ISNA(MATCH($G406,项目名表,0))),"※项目不在项目台账里",IF(AND(LEFT($F406,3)="成本-",$G406=""),"※成本类支出没填项目",IF(AND(LEFT($F406,3)="成本-",$H406&lt;&gt;"",N($K406)&gt;0,COUNTIFS(采购单!$B:$B,$B406,采购单!$C:$C,$H406,采购单!$L:$L,$K406)&gt;0),"※这笔可能和采购单重复了",""))))))))))</f>
        <v/>
      </c>
    </row>
    <row r="407">
      <c r="A407" s="17">
        <f>IF($B407="","",ROW()-3)</f>
        <v/>
      </c>
      <c r="B407" s="18" t="n">
        <v>46153</v>
      </c>
      <c r="C407" s="13" t="inlineStr">
        <is>
          <t>微信1</t>
        </is>
      </c>
      <c r="D407" s="13" t="inlineStr">
        <is>
          <t>支出</t>
        </is>
      </c>
      <c r="E407" s="13" t="inlineStr">
        <is>
          <t>主材采购</t>
        </is>
      </c>
      <c r="F407" s="17">
        <f>IF($E407="","",IFERROR(VLOOKUP($E407,类别归属,2,0),"※类别不在基础资料里"))</f>
        <v/>
      </c>
      <c r="G407" s="13" t="inlineStr">
        <is>
          <t>湖岸漫食</t>
        </is>
      </c>
      <c r="H407" s="13" t="inlineStr">
        <is>
          <t>温州五金</t>
        </is>
      </c>
      <c r="I407" s="13" t="inlineStr">
        <is>
          <t>温州五金</t>
        </is>
      </c>
      <c r="J407" s="14" t="n"/>
      <c r="K407" s="14" t="n">
        <v>118</v>
      </c>
      <c r="L407" s="19">
        <f>IF($C407="","",ROUND(IFERROR(VLOOKUP($C407,账户期初,2,0),0)+SUMIFS($J$4:J407,$C$4:C407,$C407)-SUMIFS($K$4:K407,$C$4:C407,$C407),2))</f>
        <v/>
      </c>
      <c r="M407" s="19">
        <f>IF($C407="","",ROUND(SUM(基础资料!$B$4:$B$13)+SUM($J$4:J407)-SUM($K$4:K407),2))</f>
        <v/>
      </c>
      <c r="N407" s="13" t="n"/>
      <c r="O407" s="13" t="inlineStr">
        <is>
          <t>时控器</t>
        </is>
      </c>
      <c r="P407" s="17">
        <f>IF($B407="","",IF($F407="※类别不在基础资料里","※费用类别不在基础资料里",IF(AND(N($J407)=0,N($K407)=0),"※这行没填金额",IF(AND(N($J407)&gt;0,N($K407)&gt;0),"※收入和支出不能同一行都填",IF(AND($D407="收入",N($J407)=0),"※收入行要填收入金额",IF(AND($D407="支出",N($K407)=0),"※支出行要填支出金额",IF(AND($C407&lt;&gt;"",ISNA(MATCH($C407,账户表,0))),"※账户不在基础资料里",IF(AND($G407&lt;&gt;"",ISNA(MATCH($G407,项目名表,0))),"※项目不在项目台账里",IF(AND(LEFT($F407,3)="成本-",$G407=""),"※成本类支出没填项目",IF(AND(LEFT($F407,3)="成本-",$H407&lt;&gt;"",N($K407)&gt;0,COUNTIFS(采购单!$B:$B,$B407,采购单!$C:$C,$H407,采购单!$L:$L,$K407)&gt;0),"※这笔可能和采购单重复了",""))))))))))</f>
        <v/>
      </c>
    </row>
    <row r="408">
      <c r="A408" s="17">
        <f>IF($B408="","",ROW()-3)</f>
        <v/>
      </c>
      <c r="B408" s="18" t="n">
        <v>46153</v>
      </c>
      <c r="C408" s="13" t="inlineStr">
        <is>
          <t>微信1</t>
        </is>
      </c>
      <c r="D408" s="13" t="inlineStr">
        <is>
          <t>收入</t>
        </is>
      </c>
      <c r="E408" s="13" t="inlineStr">
        <is>
          <t>待分类</t>
        </is>
      </c>
      <c r="F408" s="17">
        <f>IF($E408="","",IFERROR(VLOOKUP($E408,类别归属,2,0),"※类别不在基础资料里"))</f>
        <v/>
      </c>
      <c r="G408" s="13" t="inlineStr">
        <is>
          <t>创艺装饰</t>
        </is>
      </c>
      <c r="H408" s="13" t="n"/>
      <c r="I408" s="13" t="inlineStr">
        <is>
          <t>章凡-收项目款</t>
        </is>
      </c>
      <c r="J408" s="14" t="n">
        <v>400</v>
      </c>
      <c r="K408" s="14" t="n"/>
      <c r="L408" s="19">
        <f>IF($C408="","",ROUND(IFERROR(VLOOKUP($C408,账户期初,2,0),0)+SUMIFS($J$4:J408,$C$4:C408,$C408)-SUMIFS($K$4:K408,$C$4:C408,$C408),2))</f>
        <v/>
      </c>
      <c r="M408" s="19">
        <f>IF($C408="","",ROUND(SUM(基础资料!$B$4:$B$13)+SUM($J$4:J408)-SUM($K$4:K408),2))</f>
        <v/>
      </c>
      <c r="N408" s="13" t="n"/>
      <c r="O408" s="13" t="inlineStr">
        <is>
          <t>焊接</t>
        </is>
      </c>
      <c r="P408" s="17">
        <f>IF($B408="","",IF($F408="※类别不在基础资料里","※费用类别不在基础资料里",IF(AND(N($J408)=0,N($K408)=0),"※这行没填金额",IF(AND(N($J408)&gt;0,N($K408)&gt;0),"※收入和支出不能同一行都填",IF(AND($D408="收入",N($J408)=0),"※收入行要填收入金额",IF(AND($D408="支出",N($K408)=0),"※支出行要填支出金额",IF(AND($C408&lt;&gt;"",ISNA(MATCH($C408,账户表,0))),"※账户不在基础资料里",IF(AND($G408&lt;&gt;"",ISNA(MATCH($G408,项目名表,0))),"※项目不在项目台账里",IF(AND(LEFT($F408,3)="成本-",$G408=""),"※成本类支出没填项目",IF(AND(LEFT($F408,3)="成本-",$H408&lt;&gt;"",N($K408)&gt;0,COUNTIFS(采购单!$B:$B,$B408,采购单!$C:$C,$H408,采购单!$L:$L,$K408)&gt;0),"※这笔可能和采购单重复了",""))))))))))</f>
        <v/>
      </c>
    </row>
    <row r="409">
      <c r="A409" s="17">
        <f>IF($B409="","",ROW()-3)</f>
        <v/>
      </c>
      <c r="B409" s="18" t="n">
        <v>46153</v>
      </c>
      <c r="C409" s="13" t="inlineStr">
        <is>
          <t>微信1</t>
        </is>
      </c>
      <c r="D409" s="13" t="inlineStr">
        <is>
          <t>收入</t>
        </is>
      </c>
      <c r="E409" s="13" t="inlineStr">
        <is>
          <t>待分类</t>
        </is>
      </c>
      <c r="F409" s="17">
        <f>IF($E409="","",IFERROR(VLOOKUP($E409,类别归属,2,0),"※类别不在基础资料里"))</f>
        <v/>
      </c>
      <c r="G409" s="13" t="inlineStr">
        <is>
          <t>梦回唐朝</t>
        </is>
      </c>
      <c r="H409" s="13" t="n"/>
      <c r="I409" s="13" t="inlineStr">
        <is>
          <t>🍬</t>
        </is>
      </c>
      <c r="J409" s="14" t="n">
        <v>240</v>
      </c>
      <c r="K409" s="14" t="n"/>
      <c r="L409" s="19">
        <f>IF($C409="","",ROUND(IFERROR(VLOOKUP($C409,账户期初,2,0),0)+SUMIFS($J$4:J409,$C$4:C409,$C409)-SUMIFS($K$4:K409,$C$4:C409,$C409),2))</f>
        <v/>
      </c>
      <c r="M409" s="19">
        <f>IF($C409="","",ROUND(SUM(基础资料!$B$4:$B$13)+SUM($J$4:J409)-SUM($K$4:K409),2))</f>
        <v/>
      </c>
      <c r="N409" s="13" t="n"/>
      <c r="O409" s="13" t="n"/>
      <c r="P409" s="17">
        <f>IF($B409="","",IF($F409="※类别不在基础资料里","※费用类别不在基础资料里",IF(AND(N($J409)=0,N($K409)=0),"※这行没填金额",IF(AND(N($J409)&gt;0,N($K409)&gt;0),"※收入和支出不能同一行都填",IF(AND($D409="收入",N($J409)=0),"※收入行要填收入金额",IF(AND($D409="支出",N($K409)=0),"※支出行要填支出金额",IF(AND($C409&lt;&gt;"",ISNA(MATCH($C409,账户表,0))),"※账户不在基础资料里",IF(AND($G409&lt;&gt;"",ISNA(MATCH($G409,项目名表,0))),"※项目不在项目台账里",IF(AND(LEFT($F409,3)="成本-",$G409=""),"※成本类支出没填项目",IF(AND(LEFT($F409,3)="成本-",$H409&lt;&gt;"",N($K409)&gt;0,COUNTIFS(采购单!$B:$B,$B409,采购单!$C:$C,$H409,采购单!$L:$L,$K409)&gt;0),"※这笔可能和采购单重复了",""))))))))))</f>
        <v/>
      </c>
    </row>
    <row r="410">
      <c r="A410" s="17">
        <f>IF($B410="","",ROW()-3)</f>
        <v/>
      </c>
      <c r="B410" s="18" t="n">
        <v>46154</v>
      </c>
      <c r="C410" s="13" t="inlineStr">
        <is>
          <t>微信1</t>
        </is>
      </c>
      <c r="D410" s="13" t="inlineStr">
        <is>
          <t>支出</t>
        </is>
      </c>
      <c r="E410" s="13" t="inlineStr">
        <is>
          <t>主材采购</t>
        </is>
      </c>
      <c r="F410" s="17">
        <f>IF($E410="","",IFERROR(VLOOKUP($E410,类别归属,2,0),"※类别不在基础资料里"))</f>
        <v/>
      </c>
      <c r="G410" s="13" t="inlineStr">
        <is>
          <t>瑞佳装饰</t>
        </is>
      </c>
      <c r="H410" s="13" t="inlineStr">
        <is>
          <t>杭州杜邦软膜</t>
        </is>
      </c>
      <c r="I410" s="13" t="inlineStr">
        <is>
          <t>付杭州杜邦软膜</t>
        </is>
      </c>
      <c r="J410" s="14" t="n"/>
      <c r="K410" s="14" t="n">
        <v>148</v>
      </c>
      <c r="L410" s="19">
        <f>IF($C410="","",ROUND(IFERROR(VLOOKUP($C410,账户期初,2,0),0)+SUMIFS($J$4:J410,$C$4:C410,$C410)-SUMIFS($K$4:K410,$C$4:C410,$C410),2))</f>
        <v/>
      </c>
      <c r="M410" s="19">
        <f>IF($C410="","",ROUND(SUM(基础资料!$B$4:$B$13)+SUM($J$4:J410)-SUM($K$4:K410),2))</f>
        <v/>
      </c>
      <c r="N410" s="13" t="n"/>
      <c r="O410" s="13" t="inlineStr">
        <is>
          <t>软膜天花</t>
        </is>
      </c>
      <c r="P410" s="17">
        <f>IF($B410="","",IF($F410="※类别不在基础资料里","※费用类别不在基础资料里",IF(AND(N($J410)=0,N($K410)=0),"※这行没填金额",IF(AND(N($J410)&gt;0,N($K410)&gt;0),"※收入和支出不能同一行都填",IF(AND($D410="收入",N($J410)=0),"※收入行要填收入金额",IF(AND($D410="支出",N($K410)=0),"※支出行要填支出金额",IF(AND($C410&lt;&gt;"",ISNA(MATCH($C410,账户表,0))),"※账户不在基础资料里",IF(AND($G410&lt;&gt;"",ISNA(MATCH($G410,项目名表,0))),"※项目不在项目台账里",IF(AND(LEFT($F410,3)="成本-",$G410=""),"※成本类支出没填项目",IF(AND(LEFT($F410,3)="成本-",$H410&lt;&gt;"",N($K410)&gt;0,COUNTIFS(采购单!$B:$B,$B410,采购单!$C:$C,$H410,采购单!$L:$L,$K410)&gt;0),"※这笔可能和采购单重复了",""))))))))))</f>
        <v/>
      </c>
    </row>
    <row r="411">
      <c r="A411" s="17">
        <f>IF($B411="","",ROW()-3)</f>
        <v/>
      </c>
      <c r="B411" s="18" t="n">
        <v>46154</v>
      </c>
      <c r="C411" s="13" t="inlineStr">
        <is>
          <t>微信1</t>
        </is>
      </c>
      <c r="D411" s="13" t="inlineStr">
        <is>
          <t>支出</t>
        </is>
      </c>
      <c r="E411" s="13" t="inlineStr">
        <is>
          <t>待分类</t>
        </is>
      </c>
      <c r="F411" s="17">
        <f>IF($E411="","",IFERROR(VLOOKUP($E411,类别归属,2,0),"※类别不在基础资料里"))</f>
        <v/>
      </c>
      <c r="G411" s="13" t="n"/>
      <c r="H411" s="13" t="n"/>
      <c r="I411" s="13" t="inlineStr">
        <is>
          <t>杨德-往后余生</t>
        </is>
      </c>
      <c r="J411" s="14" t="n"/>
      <c r="K411" s="14" t="n">
        <v>400</v>
      </c>
      <c r="L411" s="19">
        <f>IF($C411="","",ROUND(IFERROR(VLOOKUP($C411,账户期初,2,0),0)+SUMIFS($J$4:J411,$C$4:C411,$C411)-SUMIFS($K$4:K411,$C$4:C411,$C411),2))</f>
        <v/>
      </c>
      <c r="M411" s="19">
        <f>IF($C411="","",ROUND(SUM(基础资料!$B$4:$B$13)+SUM($J$4:J411)-SUM($K$4:K411),2))</f>
        <v/>
      </c>
      <c r="N411" s="13" t="n"/>
      <c r="O411" s="13" t="n"/>
      <c r="P411" s="17">
        <f>IF($B411="","",IF($F411="※类别不在基础资料里","※费用类别不在基础资料里",IF(AND(N($J411)=0,N($K411)=0),"※这行没填金额",IF(AND(N($J411)&gt;0,N($K411)&gt;0),"※收入和支出不能同一行都填",IF(AND($D411="收入",N($J411)=0),"※收入行要填收入金额",IF(AND($D411="支出",N($K411)=0),"※支出行要填支出金额",IF(AND($C411&lt;&gt;"",ISNA(MATCH($C411,账户表,0))),"※账户不在基础资料里",IF(AND($G411&lt;&gt;"",ISNA(MATCH($G411,项目名表,0))),"※项目不在项目台账里",IF(AND(LEFT($F411,3)="成本-",$G411=""),"※成本类支出没填项目",IF(AND(LEFT($F411,3)="成本-",$H411&lt;&gt;"",N($K411)&gt;0,COUNTIFS(采购单!$B:$B,$B411,采购单!$C:$C,$H411,采购单!$L:$L,$K411)&gt;0),"※这笔可能和采购单重复了",""))))))))))</f>
        <v/>
      </c>
    </row>
    <row r="412">
      <c r="A412" s="17">
        <f>IF($B412="","",ROW()-3)</f>
        <v/>
      </c>
      <c r="B412" s="18" t="n">
        <v>46154</v>
      </c>
      <c r="C412" s="13" t="inlineStr">
        <is>
          <t>微信1</t>
        </is>
      </c>
      <c r="D412" s="13" t="inlineStr">
        <is>
          <t>收入</t>
        </is>
      </c>
      <c r="E412" s="13" t="inlineStr">
        <is>
          <t>待分类</t>
        </is>
      </c>
      <c r="F412" s="17">
        <f>IF($E412="","",IFERROR(VLOOKUP($E412,类别归属,2,0),"※类别不在基础资料里"))</f>
        <v/>
      </c>
      <c r="G412" s="13" t="inlineStr">
        <is>
          <t>启航烟酒</t>
        </is>
      </c>
      <c r="H412" s="13" t="n"/>
      <c r="I412" s="13" t="inlineStr">
        <is>
          <t>江南韵-嫩草</t>
        </is>
      </c>
      <c r="J412" s="14" t="n">
        <v>90</v>
      </c>
      <c r="K412" s="14" t="n"/>
      <c r="L412" s="19">
        <f>IF($C412="","",ROUND(IFERROR(VLOOKUP($C412,账户期初,2,0),0)+SUMIFS($J$4:J412,$C$4:C412,$C412)-SUMIFS($K$4:K412,$C$4:C412,$C412),2))</f>
        <v/>
      </c>
      <c r="M412" s="19">
        <f>IF($C412="","",ROUND(SUM(基础资料!$B$4:$B$13)+SUM($J$4:J412)-SUM($K$4:K412),2))</f>
        <v/>
      </c>
      <c r="N412" s="13" t="n"/>
      <c r="O412" s="13" t="n"/>
      <c r="P412" s="17">
        <f>IF($B412="","",IF($F412="※类别不在基础资料里","※费用类别不在基础资料里",IF(AND(N($J412)=0,N($K412)=0),"※这行没填金额",IF(AND(N($J412)&gt;0,N($K412)&gt;0),"※收入和支出不能同一行都填",IF(AND($D412="收入",N($J412)=0),"※收入行要填收入金额",IF(AND($D412="支出",N($K412)=0),"※支出行要填支出金额",IF(AND($C412&lt;&gt;"",ISNA(MATCH($C412,账户表,0))),"※账户不在基础资料里",IF(AND($G412&lt;&gt;"",ISNA(MATCH($G412,项目名表,0))),"※项目不在项目台账里",IF(AND(LEFT($F412,3)="成本-",$G412=""),"※成本类支出没填项目",IF(AND(LEFT($F412,3)="成本-",$H412&lt;&gt;"",N($K412)&gt;0,COUNTIFS(采购单!$B:$B,$B412,采购单!$C:$C,$H412,采购单!$L:$L,$K412)&gt;0),"※这笔可能和采购单重复了",""))))))))))</f>
        <v/>
      </c>
    </row>
    <row r="413">
      <c r="A413" s="17">
        <f>IF($B413="","",ROW()-3)</f>
        <v/>
      </c>
      <c r="B413" s="18" t="n">
        <v>46154</v>
      </c>
      <c r="C413" s="13" t="inlineStr">
        <is>
          <t>微信1</t>
        </is>
      </c>
      <c r="D413" s="13" t="inlineStr">
        <is>
          <t>收入</t>
        </is>
      </c>
      <c r="E413" s="13" t="inlineStr">
        <is>
          <t>待分类</t>
        </is>
      </c>
      <c r="F413" s="17">
        <f>IF($E413="","",IFERROR(VLOOKUP($E413,类别归属,2,0),"※类别不在基础资料里"))</f>
        <v/>
      </c>
      <c r="G413" s="13" t="inlineStr">
        <is>
          <t>全球购</t>
        </is>
      </c>
      <c r="H413" s="13" t="n"/>
      <c r="I413" s="13" t="inlineStr">
        <is>
          <t>全球购-4月物料</t>
        </is>
      </c>
      <c r="J413" s="14" t="n">
        <v>70</v>
      </c>
      <c r="K413" s="14" t="n"/>
      <c r="L413" s="19">
        <f>IF($C413="","",ROUND(IFERROR(VLOOKUP($C413,账户期初,2,0),0)+SUMIFS($J$4:J413,$C$4:C413,$C413)-SUMIFS($K$4:K413,$C$4:C413,$C413),2))</f>
        <v/>
      </c>
      <c r="M413" s="19">
        <f>IF($C413="","",ROUND(SUM(基础资料!$B$4:$B$13)+SUM($J$4:J413)-SUM($K$4:K413),2))</f>
        <v/>
      </c>
      <c r="N413" s="13" t="n"/>
      <c r="O413" s="13" t="n"/>
      <c r="P413" s="17">
        <f>IF($B413="","",IF($F413="※类别不在基础资料里","※费用类别不在基础资料里",IF(AND(N($J413)=0,N($K413)=0),"※这行没填金额",IF(AND(N($J413)&gt;0,N($K413)&gt;0),"※收入和支出不能同一行都填",IF(AND($D413="收入",N($J413)=0),"※收入行要填收入金额",IF(AND($D413="支出",N($K413)=0),"※支出行要填支出金额",IF(AND($C413&lt;&gt;"",ISNA(MATCH($C413,账户表,0))),"※账户不在基础资料里",IF(AND($G413&lt;&gt;"",ISNA(MATCH($G413,项目名表,0))),"※项目不在项目台账里",IF(AND(LEFT($F413,3)="成本-",$G413=""),"※成本类支出没填项目",IF(AND(LEFT($F413,3)="成本-",$H413&lt;&gt;"",N($K413)&gt;0,COUNTIFS(采购单!$B:$B,$B413,采购单!$C:$C,$H413,采购单!$L:$L,$K413)&gt;0),"※这笔可能和采购单重复了",""))))))))))</f>
        <v/>
      </c>
    </row>
    <row r="414">
      <c r="A414" s="17">
        <f>IF($B414="","",ROW()-3)</f>
        <v/>
      </c>
      <c r="B414" s="18" t="n">
        <v>46154</v>
      </c>
      <c r="C414" s="13" t="inlineStr">
        <is>
          <t>微信1</t>
        </is>
      </c>
      <c r="D414" s="13" t="inlineStr">
        <is>
          <t>收入</t>
        </is>
      </c>
      <c r="E414" s="13" t="inlineStr">
        <is>
          <t>待分类</t>
        </is>
      </c>
      <c r="F414" s="17">
        <f>IF($E414="","",IFERROR(VLOOKUP($E414,类别归属,2,0),"※类别不在基础资料里"))</f>
        <v/>
      </c>
      <c r="G414" s="13" t="inlineStr">
        <is>
          <t>安格斯烤串</t>
        </is>
      </c>
      <c r="H414" s="13" t="n"/>
      <c r="I414" s="13" t="inlineStr">
        <is>
          <t>安格斯-烤串</t>
        </is>
      </c>
      <c r="J414" s="14" t="n">
        <v>2500</v>
      </c>
      <c r="K414" s="14" t="n"/>
      <c r="L414" s="19">
        <f>IF($C414="","",ROUND(IFERROR(VLOOKUP($C414,账户期初,2,0),0)+SUMIFS($J$4:J414,$C$4:C414,$C414)-SUMIFS($K$4:K414,$C$4:C414,$C414),2))</f>
        <v/>
      </c>
      <c r="M414" s="19">
        <f>IF($C414="","",ROUND(SUM(基础资料!$B$4:$B$13)+SUM($J$4:J414)-SUM($K$4:K414),2))</f>
        <v/>
      </c>
      <c r="N414" s="13" t="n"/>
      <c r="O414" s="13" t="n"/>
      <c r="P414" s="17">
        <f>IF($B414="","",IF($F414="※类别不在基础资料里","※费用类别不在基础资料里",IF(AND(N($J414)=0,N($K414)=0),"※这行没填金额",IF(AND(N($J414)&gt;0,N($K414)&gt;0),"※收入和支出不能同一行都填",IF(AND($D414="收入",N($J414)=0),"※收入行要填收入金额",IF(AND($D414="支出",N($K414)=0),"※支出行要填支出金额",IF(AND($C414&lt;&gt;"",ISNA(MATCH($C414,账户表,0))),"※账户不在基础资料里",IF(AND($G414&lt;&gt;"",ISNA(MATCH($G414,项目名表,0))),"※项目不在项目台账里",IF(AND(LEFT($F414,3)="成本-",$G414=""),"※成本类支出没填项目",IF(AND(LEFT($F414,3)="成本-",$H414&lt;&gt;"",N($K414)&gt;0,COUNTIFS(采购单!$B:$B,$B414,采购单!$C:$C,$H414,采购单!$L:$L,$K414)&gt;0),"※这笔可能和采购单重复了",""))))))))))</f>
        <v/>
      </c>
    </row>
    <row r="415">
      <c r="A415" s="17">
        <f>IF($B415="","",ROW()-3)</f>
        <v/>
      </c>
      <c r="B415" s="18" t="n">
        <v>46154</v>
      </c>
      <c r="C415" s="13" t="inlineStr">
        <is>
          <t>微信1</t>
        </is>
      </c>
      <c r="D415" s="13" t="inlineStr">
        <is>
          <t>支出</t>
        </is>
      </c>
      <c r="E415" s="13" t="inlineStr">
        <is>
          <t>运费/快递费</t>
        </is>
      </c>
      <c r="F415" s="17">
        <f>IF($E415="","",IFERROR(VLOOKUP($E415,类别归属,2,0),"※类别不在基础资料里"))</f>
        <v/>
      </c>
      <c r="G415" s="13" t="inlineStr">
        <is>
          <t>织里店</t>
        </is>
      </c>
      <c r="H415" s="13" t="inlineStr">
        <is>
          <t>炳秀</t>
        </is>
      </c>
      <c r="I415" s="13" t="inlineStr">
        <is>
          <t>杭州炳秀-湖州26-28武晓军</t>
        </is>
      </c>
      <c r="J415" s="14" t="n"/>
      <c r="K415" s="14" t="n">
        <v>55</v>
      </c>
      <c r="L415" s="19">
        <f>IF($C415="","",ROUND(IFERROR(VLOOKUP($C415,账户期初,2,0),0)+SUMIFS($J$4:J415,$C$4:C415,$C415)-SUMIFS($K$4:K415,$C$4:C415,$C415),2))</f>
        <v/>
      </c>
      <c r="M415" s="19">
        <f>IF($C415="","",ROUND(SUM(基础资料!$B$4:$B$13)+SUM($J$4:J415)-SUM($K$4:K415),2))</f>
        <v/>
      </c>
      <c r="N415" s="13" t="n"/>
      <c r="O415" s="13" t="inlineStr">
        <is>
          <t>82</t>
        </is>
      </c>
      <c r="P415" s="17">
        <f>IF($B415="","",IF($F415="※类别不在基础资料里","※费用类别不在基础资料里",IF(AND(N($J415)=0,N($K415)=0),"※这行没填金额",IF(AND(N($J415)&gt;0,N($K415)&gt;0),"※收入和支出不能同一行都填",IF(AND($D415="收入",N($J415)=0),"※收入行要填收入金额",IF(AND($D415="支出",N($K415)=0),"※支出行要填支出金额",IF(AND($C415&lt;&gt;"",ISNA(MATCH($C415,账户表,0))),"※账户不在基础资料里",IF(AND($G415&lt;&gt;"",ISNA(MATCH($G415,项目名表,0))),"※项目不在项目台账里",IF(AND(LEFT($F415,3)="成本-",$G415=""),"※成本类支出没填项目",IF(AND(LEFT($F415,3)="成本-",$H415&lt;&gt;"",N($K415)&gt;0,COUNTIFS(采购单!$B:$B,$B415,采购单!$C:$C,$H415,采购单!$L:$L,$K415)&gt;0),"※这笔可能和采购单重复了",""))))))))))</f>
        <v/>
      </c>
    </row>
    <row r="416">
      <c r="A416" s="17">
        <f>IF($B416="","",ROW()-3)</f>
        <v/>
      </c>
      <c r="B416" s="18" t="n">
        <v>46154</v>
      </c>
      <c r="C416" s="13" t="inlineStr">
        <is>
          <t>微信1</t>
        </is>
      </c>
      <c r="D416" s="13" t="inlineStr">
        <is>
          <t>支出</t>
        </is>
      </c>
      <c r="E416" s="13" t="inlineStr">
        <is>
          <t>运费/快递费</t>
        </is>
      </c>
      <c r="F416" s="17">
        <f>IF($E416="","",IFERROR(VLOOKUP($E416,类别归属,2,0),"※类别不在基础资料里"))</f>
        <v/>
      </c>
      <c r="G416" s="13" t="inlineStr">
        <is>
          <t>焰燃烧烤</t>
        </is>
      </c>
      <c r="H416" s="13" t="inlineStr">
        <is>
          <t>炳秀</t>
        </is>
      </c>
      <c r="I416" s="13" t="inlineStr">
        <is>
          <t>杭州炳秀-湖州26-28武晓军</t>
        </is>
      </c>
      <c r="J416" s="14" t="n"/>
      <c r="K416" s="14" t="n">
        <v>27</v>
      </c>
      <c r="L416" s="19">
        <f>IF($C416="","",ROUND(IFERROR(VLOOKUP($C416,账户期初,2,0),0)+SUMIFS($J$4:J416,$C$4:C416,$C416)-SUMIFS($K$4:K416,$C$4:C416,$C416),2))</f>
        <v/>
      </c>
      <c r="M416" s="19">
        <f>IF($C416="","",ROUND(SUM(基础资料!$B$4:$B$13)+SUM($J$4:J416)-SUM($K$4:K416),2))</f>
        <v/>
      </c>
      <c r="N416" s="13" t="n"/>
      <c r="O416" s="13" t="n"/>
      <c r="P416" s="17">
        <f>IF($B416="","",IF($F416="※类别不在基础资料里","※费用类别不在基础资料里",IF(AND(N($J416)=0,N($K416)=0),"※这行没填金额",IF(AND(N($J416)&gt;0,N($K416)&gt;0),"※收入和支出不能同一行都填",IF(AND($D416="收入",N($J416)=0),"※收入行要填收入金额",IF(AND($D416="支出",N($K416)=0),"※支出行要填支出金额",IF(AND($C416&lt;&gt;"",ISNA(MATCH($C416,账户表,0))),"※账户不在基础资料里",IF(AND($G416&lt;&gt;"",ISNA(MATCH($G416,项目名表,0))),"※项目不在项目台账里",IF(AND(LEFT($F416,3)="成本-",$G416=""),"※成本类支出没填项目",IF(AND(LEFT($F416,3)="成本-",$H416&lt;&gt;"",N($K416)&gt;0,COUNTIFS(采购单!$B:$B,$B416,采购单!$C:$C,$H416,采购单!$L:$L,$K416)&gt;0),"※这笔可能和采购单重复了",""))))))))))</f>
        <v/>
      </c>
    </row>
    <row r="417">
      <c r="A417" s="17">
        <f>IF($B417="","",ROW()-3)</f>
        <v/>
      </c>
      <c r="B417" s="18" t="n">
        <v>46155</v>
      </c>
      <c r="C417" s="13" t="inlineStr">
        <is>
          <t>微信1</t>
        </is>
      </c>
      <c r="D417" s="13" t="inlineStr">
        <is>
          <t>支出</t>
        </is>
      </c>
      <c r="E417" s="13" t="inlineStr">
        <is>
          <t>其他管理费用</t>
        </is>
      </c>
      <c r="F417" s="17">
        <f>IF($E417="","",IFERROR(VLOOKUP($E417,类别归属,2,0),"※类别不在基础资料里"))</f>
        <v/>
      </c>
      <c r="G417" s="13" t="inlineStr">
        <is>
          <t>梦回唐朝</t>
        </is>
      </c>
      <c r="H417" s="13" t="n"/>
      <c r="I417" s="13" t="inlineStr">
        <is>
          <t>章凡报销费用</t>
        </is>
      </c>
      <c r="J417" s="14" t="n"/>
      <c r="K417" s="14" t="n">
        <v>175</v>
      </c>
      <c r="L417" s="19">
        <f>IF($C417="","",ROUND(IFERROR(VLOOKUP($C417,账户期初,2,0),0)+SUMIFS($J$4:J417,$C$4:C417,$C417)-SUMIFS($K$4:K417,$C$4:C417,$C417),2))</f>
        <v/>
      </c>
      <c r="M417" s="19">
        <f>IF($C417="","",ROUND(SUM(基础资料!$B$4:$B$13)+SUM($J$4:J417)-SUM($K$4:K417),2))</f>
        <v/>
      </c>
      <c r="N417" s="13" t="n"/>
      <c r="O417" s="13" t="n"/>
      <c r="P417" s="17">
        <f>IF($B417="","",IF($F417="※类别不在基础资料里","※费用类别不在基础资料里",IF(AND(N($J417)=0,N($K417)=0),"※这行没填金额",IF(AND(N($J417)&gt;0,N($K417)&gt;0),"※收入和支出不能同一行都填",IF(AND($D417="收入",N($J417)=0),"※收入行要填收入金额",IF(AND($D417="支出",N($K417)=0),"※支出行要填支出金额",IF(AND($C417&lt;&gt;"",ISNA(MATCH($C417,账户表,0))),"※账户不在基础资料里",IF(AND($G417&lt;&gt;"",ISNA(MATCH($G417,项目名表,0))),"※项目不在项目台账里",IF(AND(LEFT($F417,3)="成本-",$G417=""),"※成本类支出没填项目",IF(AND(LEFT($F417,3)="成本-",$H417&lt;&gt;"",N($K417)&gt;0,COUNTIFS(采购单!$B:$B,$B417,采购单!$C:$C,$H417,采购单!$L:$L,$K417)&gt;0),"※这笔可能和采购单重复了",""))))))))))</f>
        <v/>
      </c>
    </row>
    <row r="418">
      <c r="A418" s="17">
        <f>IF($B418="","",ROW()-3)</f>
        <v/>
      </c>
      <c r="B418" s="18" t="n">
        <v>46155</v>
      </c>
      <c r="C418" s="13" t="inlineStr">
        <is>
          <t>微信1</t>
        </is>
      </c>
      <c r="D418" s="13" t="inlineStr">
        <is>
          <t>支出</t>
        </is>
      </c>
      <c r="E418" s="13" t="inlineStr">
        <is>
          <t>其他管理费用</t>
        </is>
      </c>
      <c r="F418" s="17">
        <f>IF($E418="","",IFERROR(VLOOKUP($E418,类别归属,2,0),"※类别不在基础资料里"))</f>
        <v/>
      </c>
      <c r="G418" s="13" t="inlineStr">
        <is>
          <t>湖岸漫食</t>
        </is>
      </c>
      <c r="H418" s="13" t="n"/>
      <c r="I418" s="13" t="inlineStr">
        <is>
          <t>杨德报销</t>
        </is>
      </c>
      <c r="J418" s="14" t="n"/>
      <c r="K418" s="14" t="n">
        <v>1000</v>
      </c>
      <c r="L418" s="19">
        <f>IF($C418="","",ROUND(IFERROR(VLOOKUP($C418,账户期初,2,0),0)+SUMIFS($J$4:J418,$C$4:C418,$C418)-SUMIFS($K$4:K418,$C$4:C418,$C418),2))</f>
        <v/>
      </c>
      <c r="M418" s="19">
        <f>IF($C418="","",ROUND(SUM(基础资料!$B$4:$B$13)+SUM($J$4:J418)-SUM($K$4:K418),2))</f>
        <v/>
      </c>
      <c r="N418" s="13" t="n"/>
      <c r="O418" s="13" t="inlineStr">
        <is>
          <t>tk桌球、焰燃烧烤、校服基地、创艺装饰</t>
        </is>
      </c>
      <c r="P418" s="17">
        <f>IF($B418="","",IF($F418="※类别不在基础资料里","※费用类别不在基础资料里",IF(AND(N($J418)=0,N($K418)=0),"※这行没填金额",IF(AND(N($J418)&gt;0,N($K418)&gt;0),"※收入和支出不能同一行都填",IF(AND($D418="收入",N($J418)=0),"※收入行要填收入金额",IF(AND($D418="支出",N($K418)=0),"※支出行要填支出金额",IF(AND($C418&lt;&gt;"",ISNA(MATCH($C418,账户表,0))),"※账户不在基础资料里",IF(AND($G418&lt;&gt;"",ISNA(MATCH($G418,项目名表,0))),"※项目不在项目台账里",IF(AND(LEFT($F418,3)="成本-",$G418=""),"※成本类支出没填项目",IF(AND(LEFT($F418,3)="成本-",$H418&lt;&gt;"",N($K418)&gt;0,COUNTIFS(采购单!$B:$B,$B418,采购单!$C:$C,$H418,采购单!$L:$L,$K418)&gt;0),"※这笔可能和采购单重复了",""))))))))))</f>
        <v/>
      </c>
    </row>
    <row r="419">
      <c r="A419" s="17">
        <f>IF($B419="","",ROW()-3)</f>
        <v/>
      </c>
      <c r="B419" s="18" t="n">
        <v>46155</v>
      </c>
      <c r="C419" s="13" t="inlineStr">
        <is>
          <t>微信1</t>
        </is>
      </c>
      <c r="D419" s="13" t="inlineStr">
        <is>
          <t>收入</t>
        </is>
      </c>
      <c r="E419" s="13" t="inlineStr">
        <is>
          <t>待分类</t>
        </is>
      </c>
      <c r="F419" s="17">
        <f>IF($E419="","",IFERROR(VLOOKUP($E419,类别归属,2,0),"※类别不在基础资料里"))</f>
        <v/>
      </c>
      <c r="G419" s="13" t="inlineStr">
        <is>
          <t>焰燃烧烤店</t>
        </is>
      </c>
      <c r="H419" s="13" t="n"/>
      <c r="I419" s="13" t="inlineStr">
        <is>
          <t>焰燃串烧</t>
        </is>
      </c>
      <c r="J419" s="14" t="n">
        <v>13288</v>
      </c>
      <c r="K419" s="14" t="n"/>
      <c r="L419" s="19">
        <f>IF($C419="","",ROUND(IFERROR(VLOOKUP($C419,账户期初,2,0),0)+SUMIFS($J$4:J419,$C$4:C419,$C419)-SUMIFS($K$4:K419,$C$4:C419,$C419),2))</f>
        <v/>
      </c>
      <c r="M419" s="19">
        <f>IF($C419="","",ROUND(SUM(基础资料!$B$4:$B$13)+SUM($J$4:J419)-SUM($K$4:K419),2))</f>
        <v/>
      </c>
      <c r="N419" s="13" t="n"/>
      <c r="O419" s="13" t="n"/>
      <c r="P419" s="17">
        <f>IF($B419="","",IF($F419="※类别不在基础资料里","※费用类别不在基础资料里",IF(AND(N($J419)=0,N($K419)=0),"※这行没填金额",IF(AND(N($J419)&gt;0,N($K419)&gt;0),"※收入和支出不能同一行都填",IF(AND($D419="收入",N($J419)=0),"※收入行要填收入金额",IF(AND($D419="支出",N($K419)=0),"※支出行要填支出金额",IF(AND($C419&lt;&gt;"",ISNA(MATCH($C419,账户表,0))),"※账户不在基础资料里",IF(AND($G419&lt;&gt;"",ISNA(MATCH($G419,项目名表,0))),"※项目不在项目台账里",IF(AND(LEFT($F419,3)="成本-",$G419=""),"※成本类支出没填项目",IF(AND(LEFT($F419,3)="成本-",$H419&lt;&gt;"",N($K419)&gt;0,COUNTIFS(采购单!$B:$B,$B419,采购单!$C:$C,$H419,采购单!$L:$L,$K419)&gt;0),"※这笔可能和采购单重复了",""))))))))))</f>
        <v/>
      </c>
    </row>
    <row r="420">
      <c r="A420" s="17">
        <f>IF($B420="","",ROW()-3)</f>
        <v/>
      </c>
      <c r="B420" s="18" t="n">
        <v>46155</v>
      </c>
      <c r="C420" s="13" t="inlineStr">
        <is>
          <t>微信1</t>
        </is>
      </c>
      <c r="D420" s="13" t="inlineStr">
        <is>
          <t>支出</t>
        </is>
      </c>
      <c r="E420" s="13" t="inlineStr">
        <is>
          <t>其他管理费用</t>
        </is>
      </c>
      <c r="F420" s="17">
        <f>IF($E420="","",IFERROR(VLOOKUP($E420,类别归属,2,0),"※类别不在基础资料里"))</f>
        <v/>
      </c>
      <c r="G420" s="13" t="inlineStr">
        <is>
          <t>湖岸漫食</t>
        </is>
      </c>
      <c r="H420" s="13" t="n"/>
      <c r="I420" s="13" t="inlineStr">
        <is>
          <t>杨德报销</t>
        </is>
      </c>
      <c r="J420" s="14" t="n"/>
      <c r="K420" s="14" t="n">
        <v>1868.3</v>
      </c>
      <c r="L420" s="19">
        <f>IF($C420="","",ROUND(IFERROR(VLOOKUP($C420,账户期初,2,0),0)+SUMIFS($J$4:J420,$C$4:C420,$C420)-SUMIFS($K$4:K420,$C$4:C420,$C420),2))</f>
        <v/>
      </c>
      <c r="M420" s="19">
        <f>IF($C420="","",ROUND(SUM(基础资料!$B$4:$B$13)+SUM($J$4:J420)-SUM($K$4:K420),2))</f>
        <v/>
      </c>
      <c r="N420" s="13" t="n"/>
      <c r="O420" s="13" t="inlineStr">
        <is>
          <t>tk桌球、焰燃烧烤、校服基地、创艺装饰</t>
        </is>
      </c>
      <c r="P420" s="17">
        <f>IF($B420="","",IF($F420="※类别不在基础资料里","※费用类别不在基础资料里",IF(AND(N($J420)=0,N($K420)=0),"※这行没填金额",IF(AND(N($J420)&gt;0,N($K420)&gt;0),"※收入和支出不能同一行都填",IF(AND($D420="收入",N($J420)=0),"※收入行要填收入金额",IF(AND($D420="支出",N($K420)=0),"※支出行要填支出金额",IF(AND($C420&lt;&gt;"",ISNA(MATCH($C420,账户表,0))),"※账户不在基础资料里",IF(AND($G420&lt;&gt;"",ISNA(MATCH($G420,项目名表,0))),"※项目不在项目台账里",IF(AND(LEFT($F420,3)="成本-",$G420=""),"※成本类支出没填项目",IF(AND(LEFT($F420,3)="成本-",$H420&lt;&gt;"",N($K420)&gt;0,COUNTIFS(采购单!$B:$B,$B420,采购单!$C:$C,$H420,采购单!$L:$L,$K420)&gt;0),"※这笔可能和采购单重复了",""))))))))))</f>
        <v/>
      </c>
    </row>
    <row r="421">
      <c r="A421" s="17">
        <f>IF($B421="","",ROW()-3)</f>
        <v/>
      </c>
      <c r="B421" s="18" t="n">
        <v>46155</v>
      </c>
      <c r="C421" s="13" t="inlineStr">
        <is>
          <t>微信1</t>
        </is>
      </c>
      <c r="D421" s="13" t="inlineStr">
        <is>
          <t>支出</t>
        </is>
      </c>
      <c r="E421" s="13" t="inlineStr">
        <is>
          <t>借出款</t>
        </is>
      </c>
      <c r="F421" s="17">
        <f>IF($E421="","",IFERROR(VLOOKUP($E421,类别归属,2,0),"※类别不在基础资料里"))</f>
        <v/>
      </c>
      <c r="G421" s="13" t="n"/>
      <c r="H421" s="13" t="inlineStr">
        <is>
          <t>徐可欣借款</t>
        </is>
      </c>
      <c r="I421" s="13" t="inlineStr">
        <is>
          <t>付徐可欣预支工资</t>
        </is>
      </c>
      <c r="J421" s="14" t="n"/>
      <c r="K421" s="14" t="n">
        <v>2000</v>
      </c>
      <c r="L421" s="19">
        <f>IF($C421="","",ROUND(IFERROR(VLOOKUP($C421,账户期初,2,0),0)+SUMIFS($J$4:J421,$C$4:C421,$C421)-SUMIFS($K$4:K421,$C$4:C421,$C421),2))</f>
        <v/>
      </c>
      <c r="M421" s="19">
        <f>IF($C421="","",ROUND(SUM(基础资料!$B$4:$B$13)+SUM($J$4:J421)-SUM($K$4:K421),2))</f>
        <v/>
      </c>
      <c r="N421" s="13" t="n"/>
      <c r="O421" s="13" t="n"/>
      <c r="P421" s="17">
        <f>IF($B421="","",IF($F421="※类别不在基础资料里","※费用类别不在基础资料里",IF(AND(N($J421)=0,N($K421)=0),"※这行没填金额",IF(AND(N($J421)&gt;0,N($K421)&gt;0),"※收入和支出不能同一行都填",IF(AND($D421="收入",N($J421)=0),"※收入行要填收入金额",IF(AND($D421="支出",N($K421)=0),"※支出行要填支出金额",IF(AND($C421&lt;&gt;"",ISNA(MATCH($C421,账户表,0))),"※账户不在基础资料里",IF(AND($G421&lt;&gt;"",ISNA(MATCH($G421,项目名表,0))),"※项目不在项目台账里",IF(AND(LEFT($F421,3)="成本-",$G421=""),"※成本类支出没填项目",IF(AND(LEFT($F421,3)="成本-",$H421&lt;&gt;"",N($K421)&gt;0,COUNTIFS(采购单!$B:$B,$B421,采购单!$C:$C,$H421,采购单!$L:$L,$K421)&gt;0),"※这笔可能和采购单重复了",""))))))))))</f>
        <v/>
      </c>
    </row>
    <row r="422">
      <c r="A422" s="17">
        <f>IF($B422="","",ROW()-3)</f>
        <v/>
      </c>
      <c r="B422" s="18" t="n">
        <v>46155</v>
      </c>
      <c r="C422" s="13" t="inlineStr">
        <is>
          <t>微信1</t>
        </is>
      </c>
      <c r="D422" s="13" t="inlineStr">
        <is>
          <t>支出</t>
        </is>
      </c>
      <c r="E422" s="13" t="inlineStr">
        <is>
          <t>借出款</t>
        </is>
      </c>
      <c r="F422" s="17">
        <f>IF($E422="","",IFERROR(VLOOKUP($E422,类别归属,2,0),"※类别不在基础资料里"))</f>
        <v/>
      </c>
      <c r="G422" s="13" t="n"/>
      <c r="H422" s="13" t="inlineStr">
        <is>
          <t>凌宇借款</t>
        </is>
      </c>
      <c r="I422" s="13" t="inlineStr">
        <is>
          <t>付凌宇预支工资</t>
        </is>
      </c>
      <c r="J422" s="14" t="n"/>
      <c r="K422" s="14" t="n">
        <v>1000</v>
      </c>
      <c r="L422" s="19">
        <f>IF($C422="","",ROUND(IFERROR(VLOOKUP($C422,账户期初,2,0),0)+SUMIFS($J$4:J422,$C$4:C422,$C422)-SUMIFS($K$4:K422,$C$4:C422,$C422),2))</f>
        <v/>
      </c>
      <c r="M422" s="19">
        <f>IF($C422="","",ROUND(SUM(基础资料!$B$4:$B$13)+SUM($J$4:J422)-SUM($K$4:K422),2))</f>
        <v/>
      </c>
      <c r="N422" s="13" t="n"/>
      <c r="O422" s="13" t="n"/>
      <c r="P422" s="17">
        <f>IF($B422="","",IF($F422="※类别不在基础资料里","※费用类别不在基础资料里",IF(AND(N($J422)=0,N($K422)=0),"※这行没填金额",IF(AND(N($J422)&gt;0,N($K422)&gt;0),"※收入和支出不能同一行都填",IF(AND($D422="收入",N($J422)=0),"※收入行要填收入金额",IF(AND($D422="支出",N($K422)=0),"※支出行要填支出金额",IF(AND($C422&lt;&gt;"",ISNA(MATCH($C422,账户表,0))),"※账户不在基础资料里",IF(AND($G422&lt;&gt;"",ISNA(MATCH($G422,项目名表,0))),"※项目不在项目台账里",IF(AND(LEFT($F422,3)="成本-",$G422=""),"※成本类支出没填项目",IF(AND(LEFT($F422,3)="成本-",$H422&lt;&gt;"",N($K422)&gt;0,COUNTIFS(采购单!$B:$B,$B422,采购单!$C:$C,$H422,采购单!$L:$L,$K422)&gt;0),"※这笔可能和采购单重复了",""))))))))))</f>
        <v/>
      </c>
    </row>
    <row r="423">
      <c r="A423" s="17">
        <f>IF($B423="","",ROW()-3)</f>
        <v/>
      </c>
      <c r="B423" s="18" t="n">
        <v>46155</v>
      </c>
      <c r="C423" s="13" t="inlineStr">
        <is>
          <t>微信1</t>
        </is>
      </c>
      <c r="D423" s="13" t="inlineStr">
        <is>
          <t>支出</t>
        </is>
      </c>
      <c r="E423" s="13" t="inlineStr">
        <is>
          <t>借出款</t>
        </is>
      </c>
      <c r="F423" s="17">
        <f>IF($E423="","",IFERROR(VLOOKUP($E423,类别归属,2,0),"※类别不在基础资料里"))</f>
        <v/>
      </c>
      <c r="G423" s="13" t="n"/>
      <c r="H423" s="13" t="inlineStr">
        <is>
          <t>付久华</t>
        </is>
      </c>
      <c r="I423" s="13" t="inlineStr">
        <is>
          <t>付久华</t>
        </is>
      </c>
      <c r="J423" s="14" t="n"/>
      <c r="K423" s="14" t="n">
        <v>5000</v>
      </c>
      <c r="L423" s="19">
        <f>IF($C423="","",ROUND(IFERROR(VLOOKUP($C423,账户期初,2,0),0)+SUMIFS($J$4:J423,$C$4:C423,$C423)-SUMIFS($K$4:K423,$C$4:C423,$C423),2))</f>
        <v/>
      </c>
      <c r="M423" s="19">
        <f>IF($C423="","",ROUND(SUM(基础资料!$B$4:$B$13)+SUM($J$4:J423)-SUM($K$4:K423),2))</f>
        <v/>
      </c>
      <c r="N423" s="13" t="n"/>
      <c r="O423" s="13" t="n"/>
      <c r="P423" s="17">
        <f>IF($B423="","",IF($F423="※类别不在基础资料里","※费用类别不在基础资料里",IF(AND(N($J423)=0,N($K423)=0),"※这行没填金额",IF(AND(N($J423)&gt;0,N($K423)&gt;0),"※收入和支出不能同一行都填",IF(AND($D423="收入",N($J423)=0),"※收入行要填收入金额",IF(AND($D423="支出",N($K423)=0),"※支出行要填支出金额",IF(AND($C423&lt;&gt;"",ISNA(MATCH($C423,账户表,0))),"※账户不在基础资料里",IF(AND($G423&lt;&gt;"",ISNA(MATCH($G423,项目名表,0))),"※项目不在项目台账里",IF(AND(LEFT($F423,3)="成本-",$G423=""),"※成本类支出没填项目",IF(AND(LEFT($F423,3)="成本-",$H423&lt;&gt;"",N($K423)&gt;0,COUNTIFS(采购单!$B:$B,$B423,采购单!$C:$C,$H423,采购单!$L:$L,$K423)&gt;0),"※这笔可能和采购单重复了",""))))))))))</f>
        <v/>
      </c>
    </row>
    <row r="424">
      <c r="A424" s="17">
        <f>IF($B424="","",ROW()-3)</f>
        <v/>
      </c>
      <c r="B424" s="18" t="n">
        <v>46155</v>
      </c>
      <c r="C424" s="13" t="inlineStr">
        <is>
          <t>微信1</t>
        </is>
      </c>
      <c r="D424" s="13" t="inlineStr">
        <is>
          <t>支出</t>
        </is>
      </c>
      <c r="E424" s="13" t="inlineStr">
        <is>
          <t>运费/快递费</t>
        </is>
      </c>
      <c r="F424" s="17">
        <f>IF($E424="","",IFERROR(VLOOKUP($E424,类别归属,2,0),"※类别不在基础资料里"))</f>
        <v/>
      </c>
      <c r="G424" s="13" t="inlineStr">
        <is>
          <t>织里店</t>
        </is>
      </c>
      <c r="H424" s="13" t="inlineStr">
        <is>
          <t>炳秀</t>
        </is>
      </c>
      <c r="I424" s="13" t="inlineStr">
        <is>
          <t>杭州炳秀-湖州26-28武晓军</t>
        </is>
      </c>
      <c r="J424" s="14" t="n"/>
      <c r="K424" s="14" t="n">
        <v>108</v>
      </c>
      <c r="L424" s="19">
        <f>IF($C424="","",ROUND(IFERROR(VLOOKUP($C424,账户期初,2,0),0)+SUMIFS($J$4:J424,$C$4:C424,$C424)-SUMIFS($K$4:K424,$C$4:C424,$C424),2))</f>
        <v/>
      </c>
      <c r="M424" s="19">
        <f>IF($C424="","",ROUND(SUM(基础资料!$B$4:$B$13)+SUM($J$4:J424)-SUM($K$4:K424),2))</f>
        <v/>
      </c>
      <c r="N424" s="13" t="n"/>
      <c r="O424" s="13" t="inlineStr">
        <is>
          <t>289</t>
        </is>
      </c>
      <c r="P424" s="17">
        <f>IF($B424="","",IF($F424="※类别不在基础资料里","※费用类别不在基础资料里",IF(AND(N($J424)=0,N($K424)=0),"※这行没填金额",IF(AND(N($J424)&gt;0,N($K424)&gt;0),"※收入和支出不能同一行都填",IF(AND($D424="收入",N($J424)=0),"※收入行要填收入金额",IF(AND($D424="支出",N($K424)=0),"※支出行要填支出金额",IF(AND($C424&lt;&gt;"",ISNA(MATCH($C424,账户表,0))),"※账户不在基础资料里",IF(AND($G424&lt;&gt;"",ISNA(MATCH($G424,项目名表,0))),"※项目不在项目台账里",IF(AND(LEFT($F424,3)="成本-",$G424=""),"※成本类支出没填项目",IF(AND(LEFT($F424,3)="成本-",$H424&lt;&gt;"",N($K424)&gt;0,COUNTIFS(采购单!$B:$B,$B424,采购单!$C:$C,$H424,采购单!$L:$L,$K424)&gt;0),"※这笔可能和采购单重复了",""))))))))))</f>
        <v/>
      </c>
    </row>
    <row r="425">
      <c r="A425" s="17">
        <f>IF($B425="","",ROW()-3)</f>
        <v/>
      </c>
      <c r="B425" s="18" t="n">
        <v>46155</v>
      </c>
      <c r="C425" s="13" t="inlineStr">
        <is>
          <t>微信1</t>
        </is>
      </c>
      <c r="D425" s="13" t="inlineStr">
        <is>
          <t>支出</t>
        </is>
      </c>
      <c r="E425" s="13" t="inlineStr">
        <is>
          <t>运费/快递费</t>
        </is>
      </c>
      <c r="F425" s="17">
        <f>IF($E425="","",IFERROR(VLOOKUP($E425,类别归属,2,0),"※类别不在基础资料里"))</f>
        <v/>
      </c>
      <c r="G425" s="13" t="inlineStr">
        <is>
          <t>启航烟酒</t>
        </is>
      </c>
      <c r="H425" s="13" t="inlineStr">
        <is>
          <t>炳秀</t>
        </is>
      </c>
      <c r="I425" s="13" t="inlineStr">
        <is>
          <t>杭州炳秀-湖州26-28武晓军</t>
        </is>
      </c>
      <c r="J425" s="14" t="n"/>
      <c r="K425" s="14" t="n">
        <v>11</v>
      </c>
      <c r="L425" s="19">
        <f>IF($C425="","",ROUND(IFERROR(VLOOKUP($C425,账户期初,2,0),0)+SUMIFS($J$4:J425,$C$4:C425,$C425)-SUMIFS($K$4:K425,$C$4:C425,$C425),2))</f>
        <v/>
      </c>
      <c r="M425" s="19">
        <f>IF($C425="","",ROUND(SUM(基础资料!$B$4:$B$13)+SUM($J$4:J425)-SUM($K$4:K425),2))</f>
        <v/>
      </c>
      <c r="N425" s="13" t="n"/>
      <c r="O425" s="13" t="n"/>
      <c r="P425" s="17">
        <f>IF($B425="","",IF($F425="※类别不在基础资料里","※费用类别不在基础资料里",IF(AND(N($J425)=0,N($K425)=0),"※这行没填金额",IF(AND(N($J425)&gt;0,N($K425)&gt;0),"※收入和支出不能同一行都填",IF(AND($D425="收入",N($J425)=0),"※收入行要填收入金额",IF(AND($D425="支出",N($K425)=0),"※支出行要填支出金额",IF(AND($C425&lt;&gt;"",ISNA(MATCH($C425,账户表,0))),"※账户不在基础资料里",IF(AND($G425&lt;&gt;"",ISNA(MATCH($G425,项目名表,0))),"※项目不在项目台账里",IF(AND(LEFT($F425,3)="成本-",$G425=""),"※成本类支出没填项目",IF(AND(LEFT($F425,3)="成本-",$H425&lt;&gt;"",N($K425)&gt;0,COUNTIFS(采购单!$B:$B,$B425,采购单!$C:$C,$H425,采购单!$L:$L,$K425)&gt;0),"※这笔可能和采购单重复了",""))))))))))</f>
        <v/>
      </c>
    </row>
    <row r="426">
      <c r="A426" s="17">
        <f>IF($B426="","",ROW()-3)</f>
        <v/>
      </c>
      <c r="B426" s="18" t="n">
        <v>46155</v>
      </c>
      <c r="C426" s="13" t="inlineStr">
        <is>
          <t>微信1</t>
        </is>
      </c>
      <c r="D426" s="13" t="inlineStr">
        <is>
          <t>支出</t>
        </is>
      </c>
      <c r="E426" s="13" t="inlineStr">
        <is>
          <t>运费/快递费</t>
        </is>
      </c>
      <c r="F426" s="17">
        <f>IF($E426="","",IFERROR(VLOOKUP($E426,类别归属,2,0),"※类别不在基础资料里"))</f>
        <v/>
      </c>
      <c r="G426" s="13" t="inlineStr">
        <is>
          <t>东尼电子</t>
        </is>
      </c>
      <c r="H426" s="13" t="inlineStr">
        <is>
          <t>炳秀</t>
        </is>
      </c>
      <c r="I426" s="13" t="inlineStr">
        <is>
          <t>杭州炳秀-湖州26-28武晓军</t>
        </is>
      </c>
      <c r="J426" s="14" t="n"/>
      <c r="K426" s="14" t="n">
        <v>170</v>
      </c>
      <c r="L426" s="19">
        <f>IF($C426="","",ROUND(IFERROR(VLOOKUP($C426,账户期初,2,0),0)+SUMIFS($J$4:J426,$C$4:C426,$C426)-SUMIFS($K$4:K426,$C$4:C426,$C426),2))</f>
        <v/>
      </c>
      <c r="M426" s="19">
        <f>IF($C426="","",ROUND(SUM(基础资料!$B$4:$B$13)+SUM($J$4:J426)-SUM($K$4:K426),2))</f>
        <v/>
      </c>
      <c r="N426" s="13" t="n"/>
      <c r="O426" s="13" t="n"/>
      <c r="P426" s="17">
        <f>IF($B426="","",IF($F426="※类别不在基础资料里","※费用类别不在基础资料里",IF(AND(N($J426)=0,N($K426)=0),"※这行没填金额",IF(AND(N($J426)&gt;0,N($K426)&gt;0),"※收入和支出不能同一行都填",IF(AND($D426="收入",N($J426)=0),"※收入行要填收入金额",IF(AND($D426="支出",N($K426)=0),"※支出行要填支出金额",IF(AND($C426&lt;&gt;"",ISNA(MATCH($C426,账户表,0))),"※账户不在基础资料里",IF(AND($G426&lt;&gt;"",ISNA(MATCH($G426,项目名表,0))),"※项目不在项目台账里",IF(AND(LEFT($F426,3)="成本-",$G426=""),"※成本类支出没填项目",IF(AND(LEFT($F426,3)="成本-",$H426&lt;&gt;"",N($K426)&gt;0,COUNTIFS(采购单!$B:$B,$B426,采购单!$C:$C,$H426,采购单!$L:$L,$K426)&gt;0),"※这笔可能和采购单重复了",""))))))))))</f>
        <v/>
      </c>
    </row>
    <row r="427">
      <c r="A427" s="17">
        <f>IF($B427="","",ROW()-3)</f>
        <v/>
      </c>
      <c r="B427" s="18" t="n">
        <v>46156</v>
      </c>
      <c r="C427" s="13" t="inlineStr">
        <is>
          <t>微信1</t>
        </is>
      </c>
      <c r="D427" s="13" t="inlineStr">
        <is>
          <t>收入</t>
        </is>
      </c>
      <c r="E427" s="13" t="inlineStr">
        <is>
          <t>待分类</t>
        </is>
      </c>
      <c r="F427" s="17">
        <f>IF($E427="","",IFERROR(VLOOKUP($E427,类别归属,2,0),"※类别不在基础资料里"))</f>
        <v/>
      </c>
      <c r="G427" s="13" t="n"/>
      <c r="H427" s="13" t="n"/>
      <c r="I427" s="13" t="inlineStr">
        <is>
          <t>句号</t>
        </is>
      </c>
      <c r="J427" s="14" t="n">
        <v>260</v>
      </c>
      <c r="K427" s="14" t="n"/>
      <c r="L427" s="19">
        <f>IF($C427="","",ROUND(IFERROR(VLOOKUP($C427,账户期初,2,0),0)+SUMIFS($J$4:J427,$C$4:C427,$C427)-SUMIFS($K$4:K427,$C$4:C427,$C427),2))</f>
        <v/>
      </c>
      <c r="M427" s="19">
        <f>IF($C427="","",ROUND(SUM(基础资料!$B$4:$B$13)+SUM($J$4:J427)-SUM($K$4:K427),2))</f>
        <v/>
      </c>
      <c r="N427" s="13" t="n"/>
      <c r="O427" s="13" t="n"/>
      <c r="P427" s="17">
        <f>IF($B427="","",IF($F427="※类别不在基础资料里","※费用类别不在基础资料里",IF(AND(N($J427)=0,N($K427)=0),"※这行没填金额",IF(AND(N($J427)&gt;0,N($K427)&gt;0),"※收入和支出不能同一行都填",IF(AND($D427="收入",N($J427)=0),"※收入行要填收入金额",IF(AND($D427="支出",N($K427)=0),"※支出行要填支出金额",IF(AND($C427&lt;&gt;"",ISNA(MATCH($C427,账户表,0))),"※账户不在基础资料里",IF(AND($G427&lt;&gt;"",ISNA(MATCH($G427,项目名表,0))),"※项目不在项目台账里",IF(AND(LEFT($F427,3)="成本-",$G427=""),"※成本类支出没填项目",IF(AND(LEFT($F427,3)="成本-",$H427&lt;&gt;"",N($K427)&gt;0,COUNTIFS(采购单!$B:$B,$B427,采购单!$C:$C,$H427,采购单!$L:$L,$K427)&gt;0),"※这笔可能和采购单重复了",""))))))))))</f>
        <v/>
      </c>
    </row>
    <row r="428">
      <c r="A428" s="17">
        <f>IF($B428="","",ROW()-3)</f>
        <v/>
      </c>
      <c r="B428" s="18" t="n">
        <v>46156</v>
      </c>
      <c r="C428" s="13" t="inlineStr">
        <is>
          <t>微信1</t>
        </is>
      </c>
      <c r="D428" s="13" t="inlineStr">
        <is>
          <t>收入</t>
        </is>
      </c>
      <c r="E428" s="13" t="inlineStr">
        <is>
          <t>待分类</t>
        </is>
      </c>
      <c r="F428" s="17">
        <f>IF($E428="","",IFERROR(VLOOKUP($E428,类别归属,2,0),"※类别不在基础资料里"))</f>
        <v/>
      </c>
      <c r="G428" s="13" t="inlineStr">
        <is>
          <t>浙江戴纳</t>
        </is>
      </c>
      <c r="H428" s="13" t="n"/>
      <c r="I428" s="13" t="inlineStr">
        <is>
          <t>💕龙小妞💕</t>
        </is>
      </c>
      <c r="J428" s="14" t="n">
        <v>204</v>
      </c>
      <c r="K428" s="14" t="n"/>
      <c r="L428" s="19">
        <f>IF($C428="","",ROUND(IFERROR(VLOOKUP($C428,账户期初,2,0),0)+SUMIFS($J$4:J428,$C$4:C428,$C428)-SUMIFS($K$4:K428,$C$4:C428,$C428),2))</f>
        <v/>
      </c>
      <c r="M428" s="19">
        <f>IF($C428="","",ROUND(SUM(基础资料!$B$4:$B$13)+SUM($J$4:J428)-SUM($K$4:K428),2))</f>
        <v/>
      </c>
      <c r="N428" s="13" t="n"/>
      <c r="O428" s="13" t="n"/>
      <c r="P428" s="17">
        <f>IF($B428="","",IF($F428="※类别不在基础资料里","※费用类别不在基础资料里",IF(AND(N($J428)=0,N($K428)=0),"※这行没填金额",IF(AND(N($J428)&gt;0,N($K428)&gt;0),"※收入和支出不能同一行都填",IF(AND($D428="收入",N($J428)=0),"※收入行要填收入金额",IF(AND($D428="支出",N($K428)=0),"※支出行要填支出金额",IF(AND($C428&lt;&gt;"",ISNA(MATCH($C428,账户表,0))),"※账户不在基础资料里",IF(AND($G428&lt;&gt;"",ISNA(MATCH($G428,项目名表,0))),"※项目不在项目台账里",IF(AND(LEFT($F428,3)="成本-",$G428=""),"※成本类支出没填项目",IF(AND(LEFT($F428,3)="成本-",$H428&lt;&gt;"",N($K428)&gt;0,COUNTIFS(采购单!$B:$B,$B428,采购单!$C:$C,$H428,采购单!$L:$L,$K428)&gt;0),"※这笔可能和采购单重复了",""))))))))))</f>
        <v/>
      </c>
    </row>
    <row r="429">
      <c r="A429" s="17">
        <f>IF($B429="","",ROW()-3)</f>
        <v/>
      </c>
      <c r="B429" s="18" t="n">
        <v>46156</v>
      </c>
      <c r="C429" s="13" t="inlineStr">
        <is>
          <t>微信1</t>
        </is>
      </c>
      <c r="D429" s="13" t="inlineStr">
        <is>
          <t>支出</t>
        </is>
      </c>
      <c r="E429" s="13" t="inlineStr">
        <is>
          <t>运费/快递费</t>
        </is>
      </c>
      <c r="F429" s="17">
        <f>IF($E429="","",IFERROR(VLOOKUP($E429,类别归属,2,0),"※类别不在基础资料里"))</f>
        <v/>
      </c>
      <c r="G429" s="13" t="inlineStr">
        <is>
          <t>织里店</t>
        </is>
      </c>
      <c r="H429" s="13" t="inlineStr">
        <is>
          <t>炳秀</t>
        </is>
      </c>
      <c r="I429" s="13" t="inlineStr">
        <is>
          <t>杭州炳秀-湖州26-28武晓军</t>
        </is>
      </c>
      <c r="J429" s="14" t="n"/>
      <c r="K429" s="14" t="n">
        <v>139</v>
      </c>
      <c r="L429" s="19">
        <f>IF($C429="","",ROUND(IFERROR(VLOOKUP($C429,账户期初,2,0),0)+SUMIFS($J$4:J429,$C$4:C429,$C429)-SUMIFS($K$4:K429,$C$4:C429,$C429),2))</f>
        <v/>
      </c>
      <c r="M429" s="19">
        <f>IF($C429="","",ROUND(SUM(基础资料!$B$4:$B$13)+SUM($J$4:J429)-SUM($K$4:K429),2))</f>
        <v/>
      </c>
      <c r="N429" s="13" t="n"/>
      <c r="O429" s="13" t="inlineStr">
        <is>
          <t>393</t>
        </is>
      </c>
      <c r="P429" s="17">
        <f>IF($B429="","",IF($F429="※类别不在基础资料里","※费用类别不在基础资料里",IF(AND(N($J429)=0,N($K429)=0),"※这行没填金额",IF(AND(N($J429)&gt;0,N($K429)&gt;0),"※收入和支出不能同一行都填",IF(AND($D429="收入",N($J429)=0),"※收入行要填收入金额",IF(AND($D429="支出",N($K429)=0),"※支出行要填支出金额",IF(AND($C429&lt;&gt;"",ISNA(MATCH($C429,账户表,0))),"※账户不在基础资料里",IF(AND($G429&lt;&gt;"",ISNA(MATCH($G429,项目名表,0))),"※项目不在项目台账里",IF(AND(LEFT($F429,3)="成本-",$G429=""),"※成本类支出没填项目",IF(AND(LEFT($F429,3)="成本-",$H429&lt;&gt;"",N($K429)&gt;0,COUNTIFS(采购单!$B:$B,$B429,采购单!$C:$C,$H429,采购单!$L:$L,$K429)&gt;0),"※这笔可能和采购单重复了",""))))))))))</f>
        <v/>
      </c>
    </row>
    <row r="430">
      <c r="A430" s="17">
        <f>IF($B430="","",ROW()-3)</f>
        <v/>
      </c>
      <c r="B430" s="18" t="n">
        <v>46156</v>
      </c>
      <c r="C430" s="13" t="inlineStr">
        <is>
          <t>微信1</t>
        </is>
      </c>
      <c r="D430" s="13" t="inlineStr">
        <is>
          <t>支出</t>
        </is>
      </c>
      <c r="E430" s="13" t="inlineStr">
        <is>
          <t>运费/快递费</t>
        </is>
      </c>
      <c r="F430" s="17">
        <f>IF($E430="","",IFERROR(VLOOKUP($E430,类别归属,2,0),"※类别不在基础资料里"))</f>
        <v/>
      </c>
      <c r="G430" s="13" t="inlineStr">
        <is>
          <t>行一文化</t>
        </is>
      </c>
      <c r="H430" s="13" t="inlineStr">
        <is>
          <t>炳秀</t>
        </is>
      </c>
      <c r="I430" s="13" t="inlineStr">
        <is>
          <t>杭州炳秀-湖州26-28武晓军</t>
        </is>
      </c>
      <c r="J430" s="14" t="n"/>
      <c r="K430" s="14" t="n">
        <v>174</v>
      </c>
      <c r="L430" s="19">
        <f>IF($C430="","",ROUND(IFERROR(VLOOKUP($C430,账户期初,2,0),0)+SUMIFS($J$4:J430,$C$4:C430,$C430)-SUMIFS($K$4:K430,$C$4:C430,$C430),2))</f>
        <v/>
      </c>
      <c r="M430" s="19">
        <f>IF($C430="","",ROUND(SUM(基础资料!$B$4:$B$13)+SUM($J$4:J430)-SUM($K$4:K430),2))</f>
        <v/>
      </c>
      <c r="N430" s="13" t="n"/>
      <c r="O430" s="13" t="n"/>
      <c r="P430" s="17">
        <f>IF($B430="","",IF($F430="※类别不在基础资料里","※费用类别不在基础资料里",IF(AND(N($J430)=0,N($K430)=0),"※这行没填金额",IF(AND(N($J430)&gt;0,N($K430)&gt;0),"※收入和支出不能同一行都填",IF(AND($D430="收入",N($J430)=0),"※收入行要填收入金额",IF(AND($D430="支出",N($K430)=0),"※支出行要填支出金额",IF(AND($C430&lt;&gt;"",ISNA(MATCH($C430,账户表,0))),"※账户不在基础资料里",IF(AND($G430&lt;&gt;"",ISNA(MATCH($G430,项目名表,0))),"※项目不在项目台账里",IF(AND(LEFT($F430,3)="成本-",$G430=""),"※成本类支出没填项目",IF(AND(LEFT($F430,3)="成本-",$H430&lt;&gt;"",N($K430)&gt;0,COUNTIFS(采购单!$B:$B,$B430,采购单!$C:$C,$H430,采购单!$L:$L,$K430)&gt;0),"※这笔可能和采购单重复了",""))))))))))</f>
        <v/>
      </c>
    </row>
    <row r="431">
      <c r="A431" s="17">
        <f>IF($B431="","",ROW()-3)</f>
        <v/>
      </c>
      <c r="B431" s="18" t="n">
        <v>46156</v>
      </c>
      <c r="C431" s="13" t="inlineStr">
        <is>
          <t>微信1</t>
        </is>
      </c>
      <c r="D431" s="13" t="inlineStr">
        <is>
          <t>支出</t>
        </is>
      </c>
      <c r="E431" s="13" t="inlineStr">
        <is>
          <t>运费/快递费</t>
        </is>
      </c>
      <c r="F431" s="17">
        <f>IF($E431="","",IFERROR(VLOOKUP($E431,类别归属,2,0),"※类别不在基础资料里"))</f>
        <v/>
      </c>
      <c r="G431" s="13" t="inlineStr">
        <is>
          <t>tk桌球</t>
        </is>
      </c>
      <c r="H431" s="13" t="inlineStr">
        <is>
          <t>炳秀</t>
        </is>
      </c>
      <c r="I431" s="13" t="inlineStr">
        <is>
          <t>杭州炳秀-湖州26-28武晓军</t>
        </is>
      </c>
      <c r="J431" s="14" t="n"/>
      <c r="K431" s="14" t="n">
        <v>80</v>
      </c>
      <c r="L431" s="19">
        <f>IF($C431="","",ROUND(IFERROR(VLOOKUP($C431,账户期初,2,0),0)+SUMIFS($J$4:J431,$C$4:C431,$C431)-SUMIFS($K$4:K431,$C$4:C431,$C431),2))</f>
        <v/>
      </c>
      <c r="M431" s="19">
        <f>IF($C431="","",ROUND(SUM(基础资料!$B$4:$B$13)+SUM($J$4:J431)-SUM($K$4:K431),2))</f>
        <v/>
      </c>
      <c r="N431" s="13" t="n"/>
      <c r="O431" s="13" t="n"/>
      <c r="P431" s="17">
        <f>IF($B431="","",IF($F431="※类别不在基础资料里","※费用类别不在基础资料里",IF(AND(N($J431)=0,N($K431)=0),"※这行没填金额",IF(AND(N($J431)&gt;0,N($K431)&gt;0),"※收入和支出不能同一行都填",IF(AND($D431="收入",N($J431)=0),"※收入行要填收入金额",IF(AND($D431="支出",N($K431)=0),"※支出行要填支出金额",IF(AND($C431&lt;&gt;"",ISNA(MATCH($C431,账户表,0))),"※账户不在基础资料里",IF(AND($G431&lt;&gt;"",ISNA(MATCH($G431,项目名表,0))),"※项目不在项目台账里",IF(AND(LEFT($F431,3)="成本-",$G431=""),"※成本类支出没填项目",IF(AND(LEFT($F431,3)="成本-",$H431&lt;&gt;"",N($K431)&gt;0,COUNTIFS(采购单!$B:$B,$B431,采购单!$C:$C,$H431,采购单!$L:$L,$K431)&gt;0),"※这笔可能和采购单重复了",""))))))))))</f>
        <v/>
      </c>
    </row>
    <row r="432">
      <c r="A432" s="17">
        <f>IF($B432="","",ROW()-3)</f>
        <v/>
      </c>
      <c r="B432" s="18" t="n">
        <v>46157</v>
      </c>
      <c r="C432" s="13" t="inlineStr">
        <is>
          <t>微信1</t>
        </is>
      </c>
      <c r="D432" s="13" t="inlineStr">
        <is>
          <t>支出</t>
        </is>
      </c>
      <c r="E432" s="13" t="inlineStr">
        <is>
          <t>主材采购</t>
        </is>
      </c>
      <c r="F432" s="17">
        <f>IF($E432="","",IFERROR(VLOOKUP($E432,类别归属,2,0),"※类别不在基础资料里"))</f>
        <v/>
      </c>
      <c r="G432" s="13" t="n"/>
      <c r="H432" s="13" t="n"/>
      <c r="I432" s="13" t="inlineStr">
        <is>
          <t>灯条-浙江星蓝思光电科技有限公司</t>
        </is>
      </c>
      <c r="J432" s="14" t="n"/>
      <c r="K432" s="14" t="n">
        <v>750</v>
      </c>
      <c r="L432" s="19">
        <f>IF($C432="","",ROUND(IFERROR(VLOOKUP($C432,账户期初,2,0),0)+SUMIFS($J$4:J432,$C$4:C432,$C432)-SUMIFS($K$4:K432,$C$4:C432,$C432),2))</f>
        <v/>
      </c>
      <c r="M432" s="19">
        <f>IF($C432="","",ROUND(SUM(基础资料!$B$4:$B$13)+SUM($J$4:J432)-SUM($K$4:K432),2))</f>
        <v/>
      </c>
      <c r="N432" s="13" t="n"/>
      <c r="O432" s="13" t="n"/>
      <c r="P432" s="17">
        <f>IF($B432="","",IF($F432="※类别不在基础资料里","※费用类别不在基础资料里",IF(AND(N($J432)=0,N($K432)=0),"※这行没填金额",IF(AND(N($J432)&gt;0,N($K432)&gt;0),"※收入和支出不能同一行都填",IF(AND($D432="收入",N($J432)=0),"※收入行要填收入金额",IF(AND($D432="支出",N($K432)=0),"※支出行要填支出金额",IF(AND($C432&lt;&gt;"",ISNA(MATCH($C432,账户表,0))),"※账户不在基础资料里",IF(AND($G432&lt;&gt;"",ISNA(MATCH($G432,项目名表,0))),"※项目不在项目台账里",IF(AND(LEFT($F432,3)="成本-",$G432=""),"※成本类支出没填项目",IF(AND(LEFT($F432,3)="成本-",$H432&lt;&gt;"",N($K432)&gt;0,COUNTIFS(采购单!$B:$B,$B432,采购单!$C:$C,$H432,采购单!$L:$L,$K432)&gt;0),"※这笔可能和采购单重复了",""))))))))))</f>
        <v/>
      </c>
    </row>
    <row r="433">
      <c r="A433" s="17">
        <f>IF($B433="","",ROW()-3)</f>
        <v/>
      </c>
      <c r="B433" s="18" t="n">
        <v>46157</v>
      </c>
      <c r="C433" s="13" t="inlineStr">
        <is>
          <t>微信1</t>
        </is>
      </c>
      <c r="D433" s="13" t="inlineStr">
        <is>
          <t>支出</t>
        </is>
      </c>
      <c r="E433" s="13" t="inlineStr">
        <is>
          <t>运费/快递费</t>
        </is>
      </c>
      <c r="F433" s="17">
        <f>IF($E433="","",IFERROR(VLOOKUP($E433,类别归属,2,0),"※类别不在基础资料里"))</f>
        <v/>
      </c>
      <c r="G433" s="13" t="inlineStr">
        <is>
          <t>安格斯牛肉串</t>
        </is>
      </c>
      <c r="H433" s="13" t="inlineStr">
        <is>
          <t>炳秀</t>
        </is>
      </c>
      <c r="I433" s="13" t="inlineStr">
        <is>
          <t>杭州炳秀湖州26-28武晓军</t>
        </is>
      </c>
      <c r="J433" s="14" t="n"/>
      <c r="K433" s="14" t="n">
        <v>99</v>
      </c>
      <c r="L433" s="19">
        <f>IF($C433="","",ROUND(IFERROR(VLOOKUP($C433,账户期初,2,0),0)+SUMIFS($J$4:J433,$C$4:C433,$C433)-SUMIFS($K$4:K433,$C$4:C433,$C433),2))</f>
        <v/>
      </c>
      <c r="M433" s="19">
        <f>IF($C433="","",ROUND(SUM(基础资料!$B$4:$B$13)+SUM($J$4:J433)-SUM($K$4:K433),2))</f>
        <v/>
      </c>
      <c r="N433" s="13" t="n"/>
      <c r="O433" s="13" t="n"/>
      <c r="P433" s="17">
        <f>IF($B433="","",IF($F433="※类别不在基础资料里","※费用类别不在基础资料里",IF(AND(N($J433)=0,N($K433)=0),"※这行没填金额",IF(AND(N($J433)&gt;0,N($K433)&gt;0),"※收入和支出不能同一行都填",IF(AND($D433="收入",N($J433)=0),"※收入行要填收入金额",IF(AND($D433="支出",N($K433)=0),"※支出行要填支出金额",IF(AND($C433&lt;&gt;"",ISNA(MATCH($C433,账户表,0))),"※账户不在基础资料里",IF(AND($G433&lt;&gt;"",ISNA(MATCH($G433,项目名表,0))),"※项目不在项目台账里",IF(AND(LEFT($F433,3)="成本-",$G433=""),"※成本类支出没填项目",IF(AND(LEFT($F433,3)="成本-",$H433&lt;&gt;"",N($K433)&gt;0,COUNTIFS(采购单!$B:$B,$B433,采购单!$C:$C,$H433,采购单!$L:$L,$K433)&gt;0),"※这笔可能和采购单重复了",""))))))))))</f>
        <v/>
      </c>
    </row>
    <row r="434">
      <c r="A434" s="17">
        <f>IF($B434="","",ROW()-3)</f>
        <v/>
      </c>
      <c r="B434" s="18" t="n">
        <v>46157</v>
      </c>
      <c r="C434" s="13" t="inlineStr">
        <is>
          <t>微信1</t>
        </is>
      </c>
      <c r="D434" s="13" t="inlineStr">
        <is>
          <t>支出</t>
        </is>
      </c>
      <c r="E434" s="13" t="inlineStr">
        <is>
          <t>办公用品</t>
        </is>
      </c>
      <c r="F434" s="17">
        <f>IF($E434="","",IFERROR(VLOOKUP($E434,类别归属,2,0),"※类别不在基础资料里"))</f>
        <v/>
      </c>
      <c r="G434" s="13" t="n"/>
      <c r="H434" s="13" t="n"/>
      <c r="I434" s="13" t="inlineStr">
        <is>
          <t>拼多多平台商户</t>
        </is>
      </c>
      <c r="J434" s="14" t="n"/>
      <c r="K434" s="14" t="n">
        <v>78.98999999999999</v>
      </c>
      <c r="L434" s="19">
        <f>IF($C434="","",ROUND(IFERROR(VLOOKUP($C434,账户期初,2,0),0)+SUMIFS($J$4:J434,$C$4:C434,$C434)-SUMIFS($K$4:K434,$C$4:C434,$C434),2))</f>
        <v/>
      </c>
      <c r="M434" s="19">
        <f>IF($C434="","",ROUND(SUM(基础资料!$B$4:$B$13)+SUM($J$4:J434)-SUM($K$4:K434),2))</f>
        <v/>
      </c>
      <c r="N434" s="13" t="n"/>
      <c r="O434" s="13" t="n"/>
      <c r="P434" s="17">
        <f>IF($B434="","",IF($F434="※类别不在基础资料里","※费用类别不在基础资料里",IF(AND(N($J434)=0,N($K434)=0),"※这行没填金额",IF(AND(N($J434)&gt;0,N($K434)&gt;0),"※收入和支出不能同一行都填",IF(AND($D434="收入",N($J434)=0),"※收入行要填收入金额",IF(AND($D434="支出",N($K434)=0),"※支出行要填支出金额",IF(AND($C434&lt;&gt;"",ISNA(MATCH($C434,账户表,0))),"※账户不在基础资料里",IF(AND($G434&lt;&gt;"",ISNA(MATCH($G434,项目名表,0))),"※项目不在项目台账里",IF(AND(LEFT($F434,3)="成本-",$G434=""),"※成本类支出没填项目",IF(AND(LEFT($F434,3)="成本-",$H434&lt;&gt;"",N($K434)&gt;0,COUNTIFS(采购单!$B:$B,$B434,采购单!$C:$C,$H434,采购单!$L:$L,$K434)&gt;0),"※这笔可能和采购单重复了",""))))))))))</f>
        <v/>
      </c>
    </row>
    <row r="435">
      <c r="A435" s="17">
        <f>IF($B435="","",ROW()-3)</f>
        <v/>
      </c>
      <c r="B435" s="18" t="n">
        <v>46157</v>
      </c>
      <c r="C435" s="13" t="inlineStr">
        <is>
          <t>微信1</t>
        </is>
      </c>
      <c r="D435" s="13" t="inlineStr">
        <is>
          <t>收入</t>
        </is>
      </c>
      <c r="E435" s="13" t="inlineStr">
        <is>
          <t>待分类</t>
        </is>
      </c>
      <c r="F435" s="17">
        <f>IF($E435="","",IFERROR(VLOOKUP($E435,类别归属,2,0),"※类别不在基础资料里"))</f>
        <v/>
      </c>
      <c r="G435" s="13" t="inlineStr">
        <is>
          <t>犇腾牛排</t>
        </is>
      </c>
      <c r="H435" s="13" t="n"/>
      <c r="I435" s="13" t="inlineStr">
        <is>
          <t>物料-知心网友</t>
        </is>
      </c>
      <c r="J435" s="14" t="n">
        <v>300</v>
      </c>
      <c r="K435" s="14" t="n"/>
      <c r="L435" s="19">
        <f>IF($C435="","",ROUND(IFERROR(VLOOKUP($C435,账户期初,2,0),0)+SUMIFS($J$4:J435,$C$4:C435,$C435)-SUMIFS($K$4:K435,$C$4:C435,$C435),2))</f>
        <v/>
      </c>
      <c r="M435" s="19">
        <f>IF($C435="","",ROUND(SUM(基础资料!$B$4:$B$13)+SUM($J$4:J435)-SUM($K$4:K435),2))</f>
        <v/>
      </c>
      <c r="N435" s="13" t="n"/>
      <c r="O435" s="13" t="n"/>
      <c r="P435" s="17">
        <f>IF($B435="","",IF($F435="※类别不在基础资料里","※费用类别不在基础资料里",IF(AND(N($J435)=0,N($K435)=0),"※这行没填金额",IF(AND(N($J435)&gt;0,N($K435)&gt;0),"※收入和支出不能同一行都填",IF(AND($D435="收入",N($J435)=0),"※收入行要填收入金额",IF(AND($D435="支出",N($K435)=0),"※支出行要填支出金额",IF(AND($C435&lt;&gt;"",ISNA(MATCH($C435,账户表,0))),"※账户不在基础资料里",IF(AND($G435&lt;&gt;"",ISNA(MATCH($G435,项目名表,0))),"※项目不在项目台账里",IF(AND(LEFT($F435,3)="成本-",$G435=""),"※成本类支出没填项目",IF(AND(LEFT($F435,3)="成本-",$H435&lt;&gt;"",N($K435)&gt;0,COUNTIFS(采购单!$B:$B,$B435,采购单!$C:$C,$H435,采购单!$L:$L,$K435)&gt;0),"※这笔可能和采购单重复了",""))))))))))</f>
        <v/>
      </c>
    </row>
    <row r="436">
      <c r="A436" s="17">
        <f>IF($B436="","",ROW()-3)</f>
        <v/>
      </c>
      <c r="B436" s="18" t="n">
        <v>46157</v>
      </c>
      <c r="C436" s="13" t="inlineStr">
        <is>
          <t>微信1</t>
        </is>
      </c>
      <c r="D436" s="13" t="inlineStr">
        <is>
          <t>支出</t>
        </is>
      </c>
      <c r="E436" s="13" t="inlineStr">
        <is>
          <t>广告推广</t>
        </is>
      </c>
      <c r="F436" s="17">
        <f>IF($E436="","",IFERROR(VLOOKUP($E436,类别归属,2,0),"※类别不在基础资料里"))</f>
        <v/>
      </c>
      <c r="G436" s="13" t="n"/>
      <c r="H436" s="13" t="n"/>
      <c r="I436" s="13" t="inlineStr">
        <is>
          <t>巨量本地推</t>
        </is>
      </c>
      <c r="J436" s="14" t="n"/>
      <c r="K436" s="14" t="n">
        <v>300</v>
      </c>
      <c r="L436" s="19">
        <f>IF($C436="","",ROUND(IFERROR(VLOOKUP($C436,账户期初,2,0),0)+SUMIFS($J$4:J436,$C$4:C436,$C436)-SUMIFS($K$4:K436,$C$4:C436,$C436),2))</f>
        <v/>
      </c>
      <c r="M436" s="19">
        <f>IF($C436="","",ROUND(SUM(基础资料!$B$4:$B$13)+SUM($J$4:J436)-SUM($K$4:K436),2))</f>
        <v/>
      </c>
      <c r="N436" s="13" t="n"/>
      <c r="O436" s="13" t="n"/>
      <c r="P436" s="17">
        <f>IF($B436="","",IF($F436="※类别不在基础资料里","※费用类别不在基础资料里",IF(AND(N($J436)=0,N($K436)=0),"※这行没填金额",IF(AND(N($J436)&gt;0,N($K436)&gt;0),"※收入和支出不能同一行都填",IF(AND($D436="收入",N($J436)=0),"※收入行要填收入金额",IF(AND($D436="支出",N($K436)=0),"※支出行要填支出金额",IF(AND($C436&lt;&gt;"",ISNA(MATCH($C436,账户表,0))),"※账户不在基础资料里",IF(AND($G436&lt;&gt;"",ISNA(MATCH($G436,项目名表,0))),"※项目不在项目台账里",IF(AND(LEFT($F436,3)="成本-",$G436=""),"※成本类支出没填项目",IF(AND(LEFT($F436,3)="成本-",$H436&lt;&gt;"",N($K436)&gt;0,COUNTIFS(采购单!$B:$B,$B436,采购单!$C:$C,$H436,采购单!$L:$L,$K436)&gt;0),"※这笔可能和采购单重复了",""))))))))))</f>
        <v/>
      </c>
    </row>
    <row r="437">
      <c r="A437" s="17">
        <f>IF($B437="","",ROW()-3)</f>
        <v/>
      </c>
      <c r="B437" s="18" t="n">
        <v>46158</v>
      </c>
      <c r="C437" s="13" t="inlineStr">
        <is>
          <t>微信1</t>
        </is>
      </c>
      <c r="D437" s="13" t="inlineStr">
        <is>
          <t>收入</t>
        </is>
      </c>
      <c r="E437" s="13" t="inlineStr">
        <is>
          <t>待分类</t>
        </is>
      </c>
      <c r="F437" s="17">
        <f>IF($E437="","",IFERROR(VLOOKUP($E437,类别归属,2,0),"※类别不在基础资料里"))</f>
        <v/>
      </c>
      <c r="G437" s="13" t="inlineStr">
        <is>
          <t>万达kvv</t>
        </is>
      </c>
      <c r="H437" s="13" t="n"/>
      <c r="I437" s="13" t="inlineStr">
        <is>
          <t>乔金鑫</t>
        </is>
      </c>
      <c r="J437" s="14" t="n">
        <v>180</v>
      </c>
      <c r="K437" s="14" t="n"/>
      <c r="L437" s="19">
        <f>IF($C437="","",ROUND(IFERROR(VLOOKUP($C437,账户期初,2,0),0)+SUMIFS($J$4:J437,$C$4:C437,$C437)-SUMIFS($K$4:K437,$C$4:C437,$C437),2))</f>
        <v/>
      </c>
      <c r="M437" s="19">
        <f>IF($C437="","",ROUND(SUM(基础资料!$B$4:$B$13)+SUM($J$4:J437)-SUM($K$4:K437),2))</f>
        <v/>
      </c>
      <c r="N437" s="13" t="n"/>
      <c r="O437" s="13" t="n"/>
      <c r="P437" s="17">
        <f>IF($B437="","",IF($F437="※类别不在基础资料里","※费用类别不在基础资料里",IF(AND(N($J437)=0,N($K437)=0),"※这行没填金额",IF(AND(N($J437)&gt;0,N($K437)&gt;0),"※收入和支出不能同一行都填",IF(AND($D437="收入",N($J437)=0),"※收入行要填收入金额",IF(AND($D437="支出",N($K437)=0),"※支出行要填支出金额",IF(AND($C437&lt;&gt;"",ISNA(MATCH($C437,账户表,0))),"※账户不在基础资料里",IF(AND($G437&lt;&gt;"",ISNA(MATCH($G437,项目名表,0))),"※项目不在项目台账里",IF(AND(LEFT($F437,3)="成本-",$G437=""),"※成本类支出没填项目",IF(AND(LEFT($F437,3)="成本-",$H437&lt;&gt;"",N($K437)&gt;0,COUNTIFS(采购单!$B:$B,$B437,采购单!$C:$C,$H437,采购单!$L:$L,$K437)&gt;0),"※这笔可能和采购单重复了",""))))))))))</f>
        <v/>
      </c>
    </row>
    <row r="438">
      <c r="A438" s="17">
        <f>IF($B438="","",ROW()-3)</f>
        <v/>
      </c>
      <c r="B438" s="18" t="n">
        <v>46158</v>
      </c>
      <c r="C438" s="13" t="inlineStr">
        <is>
          <t>微信1</t>
        </is>
      </c>
      <c r="D438" s="13" t="inlineStr">
        <is>
          <t>支出</t>
        </is>
      </c>
      <c r="E438" s="13" t="inlineStr">
        <is>
          <t>运费/快递费</t>
        </is>
      </c>
      <c r="F438" s="17">
        <f>IF($E438="","",IFERROR(VLOOKUP($E438,类别归属,2,0),"※类别不在基础资料里"))</f>
        <v/>
      </c>
      <c r="G438" s="13" t="inlineStr">
        <is>
          <t>织里店</t>
        </is>
      </c>
      <c r="H438" s="13" t="inlineStr">
        <is>
          <t>炳秀</t>
        </is>
      </c>
      <c r="I438" s="13" t="inlineStr">
        <is>
          <t>杭州炳秀-湖州26-28武晓军</t>
        </is>
      </c>
      <c r="J438" s="14" t="n"/>
      <c r="K438" s="14" t="n">
        <v>81</v>
      </c>
      <c r="L438" s="19">
        <f>IF($C438="","",ROUND(IFERROR(VLOOKUP($C438,账户期初,2,0),0)+SUMIFS($J$4:J438,$C$4:C438,$C438)-SUMIFS($K$4:K438,$C$4:C438,$C438),2))</f>
        <v/>
      </c>
      <c r="M438" s="19">
        <f>IF($C438="","",ROUND(SUM(基础资料!$B$4:$B$13)+SUM($J$4:J438)-SUM($K$4:K438),2))</f>
        <v/>
      </c>
      <c r="N438" s="13" t="n"/>
      <c r="O438" s="13" t="n"/>
      <c r="P438" s="17">
        <f>IF($B438="","",IF($F438="※类别不在基础资料里","※费用类别不在基础资料里",IF(AND(N($J438)=0,N($K438)=0),"※这行没填金额",IF(AND(N($J438)&gt;0,N($K438)&gt;0),"※收入和支出不能同一行都填",IF(AND($D438="收入",N($J438)=0),"※收入行要填收入金额",IF(AND($D438="支出",N($K438)=0),"※支出行要填支出金额",IF(AND($C438&lt;&gt;"",ISNA(MATCH($C438,账户表,0))),"※账户不在基础资料里",IF(AND($G438&lt;&gt;"",ISNA(MATCH($G438,项目名表,0))),"※项目不在项目台账里",IF(AND(LEFT($F438,3)="成本-",$G438=""),"※成本类支出没填项目",IF(AND(LEFT($F438,3)="成本-",$H438&lt;&gt;"",N($K438)&gt;0,COUNTIFS(采购单!$B:$B,$B438,采购单!$C:$C,$H438,采购单!$L:$L,$K438)&gt;0),"※这笔可能和采购单重复了",""))))))))))</f>
        <v/>
      </c>
    </row>
    <row r="439">
      <c r="A439" s="17">
        <f>IF($B439="","",ROW()-3)</f>
        <v/>
      </c>
      <c r="B439" s="18" t="n">
        <v>46159</v>
      </c>
      <c r="C439" s="13" t="inlineStr">
        <is>
          <t>微信1</t>
        </is>
      </c>
      <c r="D439" s="13" t="inlineStr">
        <is>
          <t>支出</t>
        </is>
      </c>
      <c r="E439" s="13" t="inlineStr">
        <is>
          <t>运费/快递费</t>
        </is>
      </c>
      <c r="F439" s="17">
        <f>IF($E439="","",IFERROR(VLOOKUP($E439,类别归属,2,0),"※类别不在基础资料里"))</f>
        <v/>
      </c>
      <c r="G439" s="13" t="inlineStr">
        <is>
          <t>织里店</t>
        </is>
      </c>
      <c r="H439" s="13" t="inlineStr">
        <is>
          <t>炳秀</t>
        </is>
      </c>
      <c r="I439" s="13" t="inlineStr">
        <is>
          <t>杭州炳秀-湖州26-28武晓军</t>
        </is>
      </c>
      <c r="J439" s="14" t="n"/>
      <c r="K439" s="14" t="n">
        <v>17</v>
      </c>
      <c r="L439" s="19">
        <f>IF($C439="","",ROUND(IFERROR(VLOOKUP($C439,账户期初,2,0),0)+SUMIFS($J$4:J439,$C$4:C439,$C439)-SUMIFS($K$4:K439,$C$4:C439,$C439),2))</f>
        <v/>
      </c>
      <c r="M439" s="19">
        <f>IF($C439="","",ROUND(SUM(基础资料!$B$4:$B$13)+SUM($J$4:J439)-SUM($K$4:K439),2))</f>
        <v/>
      </c>
      <c r="N439" s="13" t="n"/>
      <c r="O439" s="13" t="n"/>
      <c r="P439" s="17">
        <f>IF($B439="","",IF($F439="※类别不在基础资料里","※费用类别不在基础资料里",IF(AND(N($J439)=0,N($K439)=0),"※这行没填金额",IF(AND(N($J439)&gt;0,N($K439)&gt;0),"※收入和支出不能同一行都填",IF(AND($D439="收入",N($J439)=0),"※收入行要填收入金额",IF(AND($D439="支出",N($K439)=0),"※支出行要填支出金额",IF(AND($C439&lt;&gt;"",ISNA(MATCH($C439,账户表,0))),"※账户不在基础资料里",IF(AND($G439&lt;&gt;"",ISNA(MATCH($G439,项目名表,0))),"※项目不在项目台账里",IF(AND(LEFT($F439,3)="成本-",$G439=""),"※成本类支出没填项目",IF(AND(LEFT($F439,3)="成本-",$H439&lt;&gt;"",N($K439)&gt;0,COUNTIFS(采购单!$B:$B,$B439,采购单!$C:$C,$H439,采购单!$L:$L,$K439)&gt;0),"※这笔可能和采购单重复了",""))))))))))</f>
        <v/>
      </c>
    </row>
    <row r="440">
      <c r="A440" s="17">
        <f>IF($B440="","",ROW()-3)</f>
        <v/>
      </c>
      <c r="B440" s="18" t="n">
        <v>46160</v>
      </c>
      <c r="C440" s="13" t="inlineStr">
        <is>
          <t>微信1</t>
        </is>
      </c>
      <c r="D440" s="13" t="inlineStr">
        <is>
          <t>支出</t>
        </is>
      </c>
      <c r="E440" s="13" t="inlineStr">
        <is>
          <t>主材采购</t>
        </is>
      </c>
      <c r="F440" s="17">
        <f>IF($E440="","",IFERROR(VLOOKUP($E440,类别归属,2,0),"※类别不在基础资料里"))</f>
        <v/>
      </c>
      <c r="G440" s="13" t="inlineStr">
        <is>
          <t>tk桌球</t>
        </is>
      </c>
      <c r="H440" s="13" t="n"/>
      <c r="I440" s="13" t="inlineStr">
        <is>
          <t>新鸿业印刷-金俊13971397479</t>
        </is>
      </c>
      <c r="J440" s="14" t="n"/>
      <c r="K440" s="14" t="n">
        <v>160</v>
      </c>
      <c r="L440" s="19">
        <f>IF($C440="","",ROUND(IFERROR(VLOOKUP($C440,账户期初,2,0),0)+SUMIFS($J$4:J440,$C$4:C440,$C440)-SUMIFS($K$4:K440,$C$4:C440,$C440),2))</f>
        <v/>
      </c>
      <c r="M440" s="19">
        <f>IF($C440="","",ROUND(SUM(基础资料!$B$4:$B$13)+SUM($J$4:J440)-SUM($K$4:K440),2))</f>
        <v/>
      </c>
      <c r="N440" s="13" t="n"/>
      <c r="O440" s="13" t="n"/>
      <c r="P440" s="17">
        <f>IF($B440="","",IF($F440="※类别不在基础资料里","※费用类别不在基础资料里",IF(AND(N($J440)=0,N($K440)=0),"※这行没填金额",IF(AND(N($J440)&gt;0,N($K440)&gt;0),"※收入和支出不能同一行都填",IF(AND($D440="收入",N($J440)=0),"※收入行要填收入金额",IF(AND($D440="支出",N($K440)=0),"※支出行要填支出金额",IF(AND($C440&lt;&gt;"",ISNA(MATCH($C440,账户表,0))),"※账户不在基础资料里",IF(AND($G440&lt;&gt;"",ISNA(MATCH($G440,项目名表,0))),"※项目不在项目台账里",IF(AND(LEFT($F440,3)="成本-",$G440=""),"※成本类支出没填项目",IF(AND(LEFT($F440,3)="成本-",$H440&lt;&gt;"",N($K440)&gt;0,COUNTIFS(采购单!$B:$B,$B440,采购单!$C:$C,$H440,采购单!$L:$L,$K440)&gt;0),"※这笔可能和采购单重复了",""))))))))))</f>
        <v/>
      </c>
    </row>
    <row r="441">
      <c r="A441" s="17">
        <f>IF($B441="","",ROW()-3)</f>
        <v/>
      </c>
      <c r="B441" s="18" t="n">
        <v>46160</v>
      </c>
      <c r="C441" s="13" t="inlineStr">
        <is>
          <t>微信1</t>
        </is>
      </c>
      <c r="D441" s="13" t="inlineStr">
        <is>
          <t>收入</t>
        </is>
      </c>
      <c r="E441" s="13" t="inlineStr">
        <is>
          <t>广告推广</t>
        </is>
      </c>
      <c r="F441" s="17">
        <f>IF($E441="","",IFERROR(VLOOKUP($E441,类别归属,2,0),"※类别不在基础资料里"))</f>
        <v/>
      </c>
      <c r="G441" s="13" t="n"/>
      <c r="H441" s="13" t="n"/>
      <c r="I441" s="13" t="inlineStr">
        <is>
          <t>巨量本地推</t>
        </is>
      </c>
      <c r="J441" s="14" t="n">
        <v>4.89</v>
      </c>
      <c r="K441" s="14" t="n"/>
      <c r="L441" s="19">
        <f>IF($C441="","",ROUND(IFERROR(VLOOKUP($C441,账户期初,2,0),0)+SUMIFS($J$4:J441,$C$4:C441,$C441)-SUMIFS($K$4:K441,$C$4:C441,$C441),2))</f>
        <v/>
      </c>
      <c r="M441" s="19">
        <f>IF($C441="","",ROUND(SUM(基础资料!$B$4:$B$13)+SUM($J$4:J441)-SUM($K$4:K441),2))</f>
        <v/>
      </c>
      <c r="N441" s="13" t="n"/>
      <c r="O441" s="13" t="n"/>
      <c r="P441" s="17">
        <f>IF($B441="","",IF($F441="※类别不在基础资料里","※费用类别不在基础资料里",IF(AND(N($J441)=0,N($K441)=0),"※这行没填金额",IF(AND(N($J441)&gt;0,N($K441)&gt;0),"※收入和支出不能同一行都填",IF(AND($D441="收入",N($J441)=0),"※收入行要填收入金额",IF(AND($D441="支出",N($K441)=0),"※支出行要填支出金额",IF(AND($C441&lt;&gt;"",ISNA(MATCH($C441,账户表,0))),"※账户不在基础资料里",IF(AND($G441&lt;&gt;"",ISNA(MATCH($G441,项目名表,0))),"※项目不在项目台账里",IF(AND(LEFT($F441,3)="成本-",$G441=""),"※成本类支出没填项目",IF(AND(LEFT($F441,3)="成本-",$H441&lt;&gt;"",N($K441)&gt;0,COUNTIFS(采购单!$B:$B,$B441,采购单!$C:$C,$H441,采购单!$L:$L,$K441)&gt;0),"※这笔可能和采购单重复了",""))))))))))</f>
        <v/>
      </c>
    </row>
    <row r="442">
      <c r="A442" s="17">
        <f>IF($B442="","",ROW()-3)</f>
        <v/>
      </c>
      <c r="B442" s="18" t="n">
        <v>46161</v>
      </c>
      <c r="C442" s="13" t="inlineStr">
        <is>
          <t>微信1</t>
        </is>
      </c>
      <c r="D442" s="13" t="inlineStr">
        <is>
          <t>支出</t>
        </is>
      </c>
      <c r="E442" s="13" t="inlineStr">
        <is>
          <t>业务招待/餐费</t>
        </is>
      </c>
      <c r="F442" s="17">
        <f>IF($E442="","",IFERROR(VLOOKUP($E442,类别归属,2,0),"※类别不在基础资料里"))</f>
        <v/>
      </c>
      <c r="G442" s="13" t="inlineStr">
        <is>
          <t>焰燃烧烤店</t>
        </is>
      </c>
      <c r="H442" s="13" t="n"/>
      <c r="I442" s="13" t="inlineStr">
        <is>
          <t>运费-美团</t>
        </is>
      </c>
      <c r="J442" s="14" t="n"/>
      <c r="K442" s="14" t="n">
        <v>21</v>
      </c>
      <c r="L442" s="19">
        <f>IF($C442="","",ROUND(IFERROR(VLOOKUP($C442,账户期初,2,0),0)+SUMIFS($J$4:J442,$C$4:C442,$C442)-SUMIFS($K$4:K442,$C$4:C442,$C442),2))</f>
        <v/>
      </c>
      <c r="M442" s="19">
        <f>IF($C442="","",ROUND(SUM(基础资料!$B$4:$B$13)+SUM($J$4:J442)-SUM($K$4:K442),2))</f>
        <v/>
      </c>
      <c r="N442" s="13" t="n"/>
      <c r="O442" s="13" t="n"/>
      <c r="P442" s="17">
        <f>IF($B442="","",IF($F442="※类别不在基础资料里","※费用类别不在基础资料里",IF(AND(N($J442)=0,N($K442)=0),"※这行没填金额",IF(AND(N($J442)&gt;0,N($K442)&gt;0),"※收入和支出不能同一行都填",IF(AND($D442="收入",N($J442)=0),"※收入行要填收入金额",IF(AND($D442="支出",N($K442)=0),"※支出行要填支出金额",IF(AND($C442&lt;&gt;"",ISNA(MATCH($C442,账户表,0))),"※账户不在基础资料里",IF(AND($G442&lt;&gt;"",ISNA(MATCH($G442,项目名表,0))),"※项目不在项目台账里",IF(AND(LEFT($F442,3)="成本-",$G442=""),"※成本类支出没填项目",IF(AND(LEFT($F442,3)="成本-",$H442&lt;&gt;"",N($K442)&gt;0,COUNTIFS(采购单!$B:$B,$B442,采购单!$C:$C,$H442,采购单!$L:$L,$K442)&gt;0),"※这笔可能和采购单重复了",""))))))))))</f>
        <v/>
      </c>
    </row>
    <row r="443">
      <c r="A443" s="17">
        <f>IF($B443="","",ROW()-3)</f>
        <v/>
      </c>
      <c r="B443" s="18" t="n">
        <v>46161</v>
      </c>
      <c r="C443" s="13" t="inlineStr">
        <is>
          <t>微信1</t>
        </is>
      </c>
      <c r="D443" s="13" t="inlineStr">
        <is>
          <t>支出</t>
        </is>
      </c>
      <c r="E443" s="13" t="inlineStr">
        <is>
          <t>运费/快递费</t>
        </is>
      </c>
      <c r="F443" s="17">
        <f>IF($E443="","",IFERROR(VLOOKUP($E443,类别归属,2,0),"※类别不在基础资料里"))</f>
        <v/>
      </c>
      <c r="G443" s="13" t="inlineStr">
        <is>
          <t>织里店</t>
        </is>
      </c>
      <c r="H443" s="13" t="inlineStr">
        <is>
          <t>炳秀</t>
        </is>
      </c>
      <c r="I443" s="13" t="inlineStr">
        <is>
          <t>杭州炳秀-湖州26-28武晓军</t>
        </is>
      </c>
      <c r="J443" s="14" t="n"/>
      <c r="K443" s="14" t="n">
        <v>7</v>
      </c>
      <c r="L443" s="19">
        <f>IF($C443="","",ROUND(IFERROR(VLOOKUP($C443,账户期初,2,0),0)+SUMIFS($J$4:J443,$C$4:C443,$C443)-SUMIFS($K$4:K443,$C$4:C443,$C443),2))</f>
        <v/>
      </c>
      <c r="M443" s="19">
        <f>IF($C443="","",ROUND(SUM(基础资料!$B$4:$B$13)+SUM($J$4:J443)-SUM($K$4:K443),2))</f>
        <v/>
      </c>
      <c r="N443" s="13" t="n"/>
      <c r="O443" s="13" t="inlineStr">
        <is>
          <t>14</t>
        </is>
      </c>
      <c r="P443" s="17">
        <f>IF($B443="","",IF($F443="※类别不在基础资料里","※费用类别不在基础资料里",IF(AND(N($J443)=0,N($K443)=0),"※这行没填金额",IF(AND(N($J443)&gt;0,N($K443)&gt;0),"※收入和支出不能同一行都填",IF(AND($D443="收入",N($J443)=0),"※收入行要填收入金额",IF(AND($D443="支出",N($K443)=0),"※支出行要填支出金额",IF(AND($C443&lt;&gt;"",ISNA(MATCH($C443,账户表,0))),"※账户不在基础资料里",IF(AND($G443&lt;&gt;"",ISNA(MATCH($G443,项目名表,0))),"※项目不在项目台账里",IF(AND(LEFT($F443,3)="成本-",$G443=""),"※成本类支出没填项目",IF(AND(LEFT($F443,3)="成本-",$H443&lt;&gt;"",N($K443)&gt;0,COUNTIFS(采购单!$B:$B,$B443,采购单!$C:$C,$H443,采购单!$L:$L,$K443)&gt;0),"※这笔可能和采购单重复了",""))))))))))</f>
        <v/>
      </c>
    </row>
    <row r="444">
      <c r="A444" s="17">
        <f>IF($B444="","",ROW()-3)</f>
        <v/>
      </c>
      <c r="B444" s="18" t="n">
        <v>46161</v>
      </c>
      <c r="C444" s="13" t="inlineStr">
        <is>
          <t>微信1</t>
        </is>
      </c>
      <c r="D444" s="13" t="inlineStr">
        <is>
          <t>支出</t>
        </is>
      </c>
      <c r="E444" s="13" t="inlineStr">
        <is>
          <t>运费/快递费</t>
        </is>
      </c>
      <c r="F444" s="17">
        <f>IF($E444="","",IFERROR(VLOOKUP($E444,类别归属,2,0),"※类别不在基础资料里"))</f>
        <v/>
      </c>
      <c r="G444" s="13" t="inlineStr">
        <is>
          <t>焰燃烧烤</t>
        </is>
      </c>
      <c r="H444" s="13" t="inlineStr">
        <is>
          <t>炳秀</t>
        </is>
      </c>
      <c r="I444" s="13" t="inlineStr">
        <is>
          <t>杭州炳秀-湖州26-28武晓军</t>
        </is>
      </c>
      <c r="J444" s="14" t="n"/>
      <c r="K444" s="14" t="n">
        <v>7</v>
      </c>
      <c r="L444" s="19">
        <f>IF($C444="","",ROUND(IFERROR(VLOOKUP($C444,账户期初,2,0),0)+SUMIFS($J$4:J444,$C$4:C444,$C444)-SUMIFS($K$4:K444,$C$4:C444,$C444),2))</f>
        <v/>
      </c>
      <c r="M444" s="19">
        <f>IF($C444="","",ROUND(SUM(基础资料!$B$4:$B$13)+SUM($J$4:J444)-SUM($K$4:K444),2))</f>
        <v/>
      </c>
      <c r="N444" s="13" t="n"/>
      <c r="O444" s="13" t="n"/>
      <c r="P444" s="17">
        <f>IF($B444="","",IF($F444="※类别不在基础资料里","※费用类别不在基础资料里",IF(AND(N($J444)=0,N($K444)=0),"※这行没填金额",IF(AND(N($J444)&gt;0,N($K444)&gt;0),"※收入和支出不能同一行都填",IF(AND($D444="收入",N($J444)=0),"※收入行要填收入金额",IF(AND($D444="支出",N($K444)=0),"※支出行要填支出金额",IF(AND($C444&lt;&gt;"",ISNA(MATCH($C444,账户表,0))),"※账户不在基础资料里",IF(AND($G444&lt;&gt;"",ISNA(MATCH($G444,项目名表,0))),"※项目不在项目台账里",IF(AND(LEFT($F444,3)="成本-",$G444=""),"※成本类支出没填项目",IF(AND(LEFT($F444,3)="成本-",$H444&lt;&gt;"",N($K444)&gt;0,COUNTIFS(采购单!$B:$B,$B444,采购单!$C:$C,$H444,采购单!$L:$L,$K444)&gt;0),"※这笔可能和采购单重复了",""))))))))))</f>
        <v/>
      </c>
    </row>
    <row r="445">
      <c r="A445" s="17">
        <f>IF($B445="","",ROW()-3)</f>
        <v/>
      </c>
      <c r="B445" s="18" t="n">
        <v>46162</v>
      </c>
      <c r="C445" s="13" t="inlineStr">
        <is>
          <t>微信1</t>
        </is>
      </c>
      <c r="D445" s="13" t="inlineStr">
        <is>
          <t>支出</t>
        </is>
      </c>
      <c r="E445" s="13" t="inlineStr">
        <is>
          <t>运费/快递费</t>
        </is>
      </c>
      <c r="F445" s="17">
        <f>IF($E445="","",IFERROR(VLOOKUP($E445,类别归属,2,0),"※类别不在基础资料里"))</f>
        <v/>
      </c>
      <c r="G445" s="13" t="inlineStr">
        <is>
          <t>织里店</t>
        </is>
      </c>
      <c r="H445" s="13" t="inlineStr">
        <is>
          <t>炳秀</t>
        </is>
      </c>
      <c r="I445" s="13" t="inlineStr">
        <is>
          <t>杭州炳秀-湖州26-28武晓军</t>
        </is>
      </c>
      <c r="J445" s="14" t="n"/>
      <c r="K445" s="14" t="n">
        <v>23</v>
      </c>
      <c r="L445" s="19">
        <f>IF($C445="","",ROUND(IFERROR(VLOOKUP($C445,账户期初,2,0),0)+SUMIFS($J$4:J445,$C$4:C445,$C445)-SUMIFS($K$4:K445,$C$4:C445,$C445),2))</f>
        <v/>
      </c>
      <c r="M445" s="19">
        <f>IF($C445="","",ROUND(SUM(基础资料!$B$4:$B$13)+SUM($J$4:J445)-SUM($K$4:K445),2))</f>
        <v/>
      </c>
      <c r="N445" s="13" t="n"/>
      <c r="O445" s="13" t="n"/>
      <c r="P445" s="17">
        <f>IF($B445="","",IF($F445="※类别不在基础资料里","※费用类别不在基础资料里",IF(AND(N($J445)=0,N($K445)=0),"※这行没填金额",IF(AND(N($J445)&gt;0,N($K445)&gt;0),"※收入和支出不能同一行都填",IF(AND($D445="收入",N($J445)=0),"※收入行要填收入金额",IF(AND($D445="支出",N($K445)=0),"※支出行要填支出金额",IF(AND($C445&lt;&gt;"",ISNA(MATCH($C445,账户表,0))),"※账户不在基础资料里",IF(AND($G445&lt;&gt;"",ISNA(MATCH($G445,项目名表,0))),"※项目不在项目台账里",IF(AND(LEFT($F445,3)="成本-",$G445=""),"※成本类支出没填项目",IF(AND(LEFT($F445,3)="成本-",$H445&lt;&gt;"",N($K445)&gt;0,COUNTIFS(采购单!$B:$B,$B445,采购单!$C:$C,$H445,采购单!$L:$L,$K445)&gt;0),"※这笔可能和采购单重复了",""))))))))))</f>
        <v/>
      </c>
    </row>
    <row r="446">
      <c r="A446" s="17">
        <f>IF($B446="","",ROW()-3)</f>
        <v/>
      </c>
      <c r="B446" s="18" t="n">
        <v>46163</v>
      </c>
      <c r="C446" s="13" t="inlineStr">
        <is>
          <t>微信1</t>
        </is>
      </c>
      <c r="D446" s="13" t="inlineStr">
        <is>
          <t>收入</t>
        </is>
      </c>
      <c r="E446" s="13" t="inlineStr">
        <is>
          <t>收回借出款</t>
        </is>
      </c>
      <c r="F446" s="17">
        <f>IF($E446="","",IFERROR(VLOOKUP($E446,类别归属,2,0),"※类别不在基础资料里"))</f>
        <v/>
      </c>
      <c r="G446" s="13" t="n"/>
      <c r="H446" s="13" t="inlineStr">
        <is>
          <t>付久华</t>
        </is>
      </c>
      <c r="I446" s="13" t="inlineStr">
        <is>
          <t>付久华</t>
        </is>
      </c>
      <c r="J446" s="14" t="n">
        <v>10000</v>
      </c>
      <c r="K446" s="14" t="n"/>
      <c r="L446" s="19">
        <f>IF($C446="","",ROUND(IFERROR(VLOOKUP($C446,账户期初,2,0),0)+SUMIFS($J$4:J446,$C$4:C446,$C446)-SUMIFS($K$4:K446,$C$4:C446,$C446),2))</f>
        <v/>
      </c>
      <c r="M446" s="19">
        <f>IF($C446="","",ROUND(SUM(基础资料!$B$4:$B$13)+SUM($J$4:J446)-SUM($K$4:K446),2))</f>
        <v/>
      </c>
      <c r="N446" s="13" t="n"/>
      <c r="O446" s="13" t="n"/>
      <c r="P446" s="17">
        <f>IF($B446="","",IF($F446="※类别不在基础资料里","※费用类别不在基础资料里",IF(AND(N($J446)=0,N($K446)=0),"※这行没填金额",IF(AND(N($J446)&gt;0,N($K446)&gt;0),"※收入和支出不能同一行都填",IF(AND($D446="收入",N($J446)=0),"※收入行要填收入金额",IF(AND($D446="支出",N($K446)=0),"※支出行要填支出金额",IF(AND($C446&lt;&gt;"",ISNA(MATCH($C446,账户表,0))),"※账户不在基础资料里",IF(AND($G446&lt;&gt;"",ISNA(MATCH($G446,项目名表,0))),"※项目不在项目台账里",IF(AND(LEFT($F446,3)="成本-",$G446=""),"※成本类支出没填项目",IF(AND(LEFT($F446,3)="成本-",$H446&lt;&gt;"",N($K446)&gt;0,COUNTIFS(采购单!$B:$B,$B446,采购单!$C:$C,$H446,采购单!$L:$L,$K446)&gt;0),"※这笔可能和采购单重复了",""))))))))))</f>
        <v/>
      </c>
    </row>
    <row r="447">
      <c r="A447" s="17">
        <f>IF($B447="","",ROW()-3)</f>
        <v/>
      </c>
      <c r="B447" s="18" t="n">
        <v>46163</v>
      </c>
      <c r="C447" s="13" t="inlineStr">
        <is>
          <t>微信1</t>
        </is>
      </c>
      <c r="D447" s="13" t="inlineStr">
        <is>
          <t>支出</t>
        </is>
      </c>
      <c r="E447" s="13" t="inlineStr">
        <is>
          <t>安装工资</t>
        </is>
      </c>
      <c r="F447" s="17">
        <f>IF($E447="","",IFERROR(VLOOKUP($E447,类别归属,2,0),"※类别不在基础资料里"))</f>
        <v/>
      </c>
      <c r="G447" s="13" t="n"/>
      <c r="H447" s="13" t="n"/>
      <c r="I447" s="13" t="inlineStr">
        <is>
          <t>付宋-安装工资</t>
        </is>
      </c>
      <c r="J447" s="14" t="n"/>
      <c r="K447" s="14" t="n">
        <v>10278</v>
      </c>
      <c r="L447" s="19">
        <f>IF($C447="","",ROUND(IFERROR(VLOOKUP($C447,账户期初,2,0),0)+SUMIFS($J$4:J447,$C$4:C447,$C447)-SUMIFS($K$4:K447,$C$4:C447,$C447),2))</f>
        <v/>
      </c>
      <c r="M447" s="19">
        <f>IF($C447="","",ROUND(SUM(基础资料!$B$4:$B$13)+SUM($J$4:J447)-SUM($K$4:K447),2))</f>
        <v/>
      </c>
      <c r="N447" s="13" t="n"/>
      <c r="O447" s="13" t="n"/>
      <c r="P447" s="17">
        <f>IF($B447="","",IF($F447="※类别不在基础资料里","※费用类别不在基础资料里",IF(AND(N($J447)=0,N($K447)=0),"※这行没填金额",IF(AND(N($J447)&gt;0,N($K447)&gt;0),"※收入和支出不能同一行都填",IF(AND($D447="收入",N($J447)=0),"※收入行要填收入金额",IF(AND($D447="支出",N($K447)=0),"※支出行要填支出金额",IF(AND($C447&lt;&gt;"",ISNA(MATCH($C447,账户表,0))),"※账户不在基础资料里",IF(AND($G447&lt;&gt;"",ISNA(MATCH($G447,项目名表,0))),"※项目不在项目台账里",IF(AND(LEFT($F447,3)="成本-",$G447=""),"※成本类支出没填项目",IF(AND(LEFT($F447,3)="成本-",$H447&lt;&gt;"",N($K447)&gt;0,COUNTIFS(采购单!$B:$B,$B447,采购单!$C:$C,$H447,采购单!$L:$L,$K447)&gt;0),"※这笔可能和采购单重复了",""))))))))))</f>
        <v/>
      </c>
    </row>
    <row r="448">
      <c r="A448" s="17">
        <f>IF($B448="","",ROW()-3)</f>
        <v/>
      </c>
      <c r="B448" s="18" t="n">
        <v>46163</v>
      </c>
      <c r="C448" s="13" t="inlineStr">
        <is>
          <t>微信1</t>
        </is>
      </c>
      <c r="D448" s="13" t="inlineStr">
        <is>
          <t>收入</t>
        </is>
      </c>
      <c r="E448" s="13" t="inlineStr">
        <is>
          <t>网购材料耗材</t>
        </is>
      </c>
      <c r="F448" s="17">
        <f>IF($E448="","",IFERROR(VLOOKUP($E448,类别归属,2,0),"※类别不在基础资料里"))</f>
        <v/>
      </c>
      <c r="G448" s="13" t="inlineStr">
        <is>
          <t>创艺装饰</t>
        </is>
      </c>
      <c r="H448" s="13" t="n"/>
      <c r="I448" s="13" t="inlineStr">
        <is>
          <t>您的拼多多订单260429-201934773912828已完成补偿</t>
        </is>
      </c>
      <c r="J448" s="14" t="n">
        <v>100</v>
      </c>
      <c r="K448" s="14" t="n"/>
      <c r="L448" s="19">
        <f>IF($C448="","",ROUND(IFERROR(VLOOKUP($C448,账户期初,2,0),0)+SUMIFS($J$4:J448,$C$4:C448,$C448)-SUMIFS($K$4:K448,$C$4:C448,$C448),2))</f>
        <v/>
      </c>
      <c r="M448" s="19">
        <f>IF($C448="","",ROUND(SUM(基础资料!$B$4:$B$13)+SUM($J$4:J448)-SUM($K$4:K448),2))</f>
        <v/>
      </c>
      <c r="N448" s="13" t="n"/>
      <c r="O448" s="13" t="inlineStr">
        <is>
          <t>冲孔字补偿款</t>
        </is>
      </c>
      <c r="P448" s="17">
        <f>IF($B448="","",IF($F448="※类别不在基础资料里","※费用类别不在基础资料里",IF(AND(N($J448)=0,N($K448)=0),"※这行没填金额",IF(AND(N($J448)&gt;0,N($K448)&gt;0),"※收入和支出不能同一行都填",IF(AND($D448="收入",N($J448)=0),"※收入行要填收入金额",IF(AND($D448="支出",N($K448)=0),"※支出行要填支出金额",IF(AND($C448&lt;&gt;"",ISNA(MATCH($C448,账户表,0))),"※账户不在基础资料里",IF(AND($G448&lt;&gt;"",ISNA(MATCH($G448,项目名表,0))),"※项目不在项目台账里",IF(AND(LEFT($F448,3)="成本-",$G448=""),"※成本类支出没填项目",IF(AND(LEFT($F448,3)="成本-",$H448&lt;&gt;"",N($K448)&gt;0,COUNTIFS(采购单!$B:$B,$B448,采购单!$C:$C,$H448,采购单!$L:$L,$K448)&gt;0),"※这笔可能和采购单重复了",""))))))))))</f>
        <v/>
      </c>
    </row>
    <row r="449">
      <c r="A449" s="17">
        <f>IF($B449="","",ROW()-3)</f>
        <v/>
      </c>
      <c r="B449" s="18" t="n">
        <v>46163</v>
      </c>
      <c r="C449" s="13" t="inlineStr">
        <is>
          <t>微信1</t>
        </is>
      </c>
      <c r="D449" s="13" t="inlineStr">
        <is>
          <t>支出</t>
        </is>
      </c>
      <c r="E449" s="13" t="inlineStr">
        <is>
          <t>待分类</t>
        </is>
      </c>
      <c r="F449" s="17">
        <f>IF($E449="","",IFERROR(VLOOKUP($E449,类别归属,2,0),"※类别不在基础资料里"))</f>
        <v/>
      </c>
      <c r="G449" s="13" t="n"/>
      <c r="H449" s="13" t="n"/>
      <c r="I449" s="13" t="inlineStr">
        <is>
          <t>付凌宇3垫油费（见清单？）</t>
        </is>
      </c>
      <c r="J449" s="14" t="n"/>
      <c r="K449" s="14" t="n">
        <v>623</v>
      </c>
      <c r="L449" s="19">
        <f>IF($C449="","",ROUND(IFERROR(VLOOKUP($C449,账户期初,2,0),0)+SUMIFS($J$4:J449,$C$4:C449,$C449)-SUMIFS($K$4:K449,$C$4:C449,$C449),2))</f>
        <v/>
      </c>
      <c r="M449" s="19">
        <f>IF($C449="","",ROUND(SUM(基础资料!$B$4:$B$13)+SUM($J$4:J449)-SUM($K$4:K449),2))</f>
        <v/>
      </c>
      <c r="N449" s="13" t="n"/>
      <c r="O449" s="13" t="n"/>
      <c r="P449" s="17">
        <f>IF($B449="","",IF($F449="※类别不在基础资料里","※费用类别不在基础资料里",IF(AND(N($J449)=0,N($K449)=0),"※这行没填金额",IF(AND(N($J449)&gt;0,N($K449)&gt;0),"※收入和支出不能同一行都填",IF(AND($D449="收入",N($J449)=0),"※收入行要填收入金额",IF(AND($D449="支出",N($K449)=0),"※支出行要填支出金额",IF(AND($C449&lt;&gt;"",ISNA(MATCH($C449,账户表,0))),"※账户不在基础资料里",IF(AND($G449&lt;&gt;"",ISNA(MATCH($G449,项目名表,0))),"※项目不在项目台账里",IF(AND(LEFT($F449,3)="成本-",$G449=""),"※成本类支出没填项目",IF(AND(LEFT($F449,3)="成本-",$H449&lt;&gt;"",N($K449)&gt;0,COUNTIFS(采购单!$B:$B,$B449,采购单!$C:$C,$H449,采购单!$L:$L,$K449)&gt;0),"※这笔可能和采购单重复了",""))))))))))</f>
        <v/>
      </c>
    </row>
    <row r="450">
      <c r="A450" s="17">
        <f>IF($B450="","",ROW()-3)</f>
        <v/>
      </c>
      <c r="B450" s="18" t="n">
        <v>46163</v>
      </c>
      <c r="C450" s="13" t="inlineStr">
        <is>
          <t>微信1</t>
        </is>
      </c>
      <c r="D450" s="13" t="inlineStr">
        <is>
          <t>收入</t>
        </is>
      </c>
      <c r="E450" s="13" t="inlineStr">
        <is>
          <t>网购材料耗材</t>
        </is>
      </c>
      <c r="F450" s="17">
        <f>IF($E450="","",IFERROR(VLOOKUP($E450,类别归属,2,0),"※类别不在基础资料里"))</f>
        <v/>
      </c>
      <c r="G450" s="13" t="inlineStr">
        <is>
          <t>创艺装饰</t>
        </is>
      </c>
      <c r="H450" s="13" t="n"/>
      <c r="I450" s="13" t="inlineStr">
        <is>
          <t>您的拼多多订单260429-201934773912828已完成补偿</t>
        </is>
      </c>
      <c r="J450" s="14" t="n">
        <v>300</v>
      </c>
      <c r="K450" s="14" t="n"/>
      <c r="L450" s="19">
        <f>IF($C450="","",ROUND(IFERROR(VLOOKUP($C450,账户期初,2,0),0)+SUMIFS($J$4:J450,$C$4:C450,$C450)-SUMIFS($K$4:K450,$C$4:C450,$C450),2))</f>
        <v/>
      </c>
      <c r="M450" s="19">
        <f>IF($C450="","",ROUND(SUM(基础资料!$B$4:$B$13)+SUM($J$4:J450)-SUM($K$4:K450),2))</f>
        <v/>
      </c>
      <c r="N450" s="13" t="n"/>
      <c r="O450" s="13" t="inlineStr">
        <is>
          <t>冲孔字补偿款</t>
        </is>
      </c>
      <c r="P450" s="17">
        <f>IF($B450="","",IF($F450="※类别不在基础资料里","※费用类别不在基础资料里",IF(AND(N($J450)=0,N($K450)=0),"※这行没填金额",IF(AND(N($J450)&gt;0,N($K450)&gt;0),"※收入和支出不能同一行都填",IF(AND($D450="收入",N($J450)=0),"※收入行要填收入金额",IF(AND($D450="支出",N($K450)=0),"※支出行要填支出金额",IF(AND($C450&lt;&gt;"",ISNA(MATCH($C450,账户表,0))),"※账户不在基础资料里",IF(AND($G450&lt;&gt;"",ISNA(MATCH($G450,项目名表,0))),"※项目不在项目台账里",IF(AND(LEFT($F450,3)="成本-",$G450=""),"※成本类支出没填项目",IF(AND(LEFT($F450,3)="成本-",$H450&lt;&gt;"",N($K450)&gt;0,COUNTIFS(采购单!$B:$B,$B450,采购单!$C:$C,$H450,采购单!$L:$L,$K450)&gt;0),"※这笔可能和采购单重复了",""))))))))))</f>
        <v/>
      </c>
    </row>
    <row r="451">
      <c r="A451" s="17">
        <f>IF($B451="","",ROW()-3)</f>
        <v/>
      </c>
      <c r="B451" s="18" t="n">
        <v>46163</v>
      </c>
      <c r="C451" s="13" t="inlineStr">
        <is>
          <t>微信1</t>
        </is>
      </c>
      <c r="D451" s="13" t="inlineStr">
        <is>
          <t>支出</t>
        </is>
      </c>
      <c r="E451" s="13" t="inlineStr">
        <is>
          <t>运费/快递费</t>
        </is>
      </c>
      <c r="F451" s="17">
        <f>IF($E451="","",IFERROR(VLOOKUP($E451,类别归属,2,0),"※类别不在基础资料里"))</f>
        <v/>
      </c>
      <c r="G451" s="13" t="inlineStr">
        <is>
          <t>tk桌球</t>
        </is>
      </c>
      <c r="H451" s="13" t="n"/>
      <c r="I451" s="13" t="inlineStr">
        <is>
          <t>运费-北京京邦达贸易有限公司</t>
        </is>
      </c>
      <c r="J451" s="14" t="n"/>
      <c r="K451" s="14" t="n">
        <v>37.4</v>
      </c>
      <c r="L451" s="19">
        <f>IF($C451="","",ROUND(IFERROR(VLOOKUP($C451,账户期初,2,0),0)+SUMIFS($J$4:J451,$C$4:C451,$C451)-SUMIFS($K$4:K451,$C$4:C451,$C451),2))</f>
        <v/>
      </c>
      <c r="M451" s="19">
        <f>IF($C451="","",ROUND(SUM(基础资料!$B$4:$B$13)+SUM($J$4:J451)-SUM($K$4:K451),2))</f>
        <v/>
      </c>
      <c r="N451" s="13" t="n"/>
      <c r="O451" s="13" t="n"/>
      <c r="P451" s="17">
        <f>IF($B451="","",IF($F451="※类别不在基础资料里","※费用类别不在基础资料里",IF(AND(N($J451)=0,N($K451)=0),"※这行没填金额",IF(AND(N($J451)&gt;0,N($K451)&gt;0),"※收入和支出不能同一行都填",IF(AND($D451="收入",N($J451)=0),"※收入行要填收入金额",IF(AND($D451="支出",N($K451)=0),"※支出行要填支出金额",IF(AND($C451&lt;&gt;"",ISNA(MATCH($C451,账户表,0))),"※账户不在基础资料里",IF(AND($G451&lt;&gt;"",ISNA(MATCH($G451,项目名表,0))),"※项目不在项目台账里",IF(AND(LEFT($F451,3)="成本-",$G451=""),"※成本类支出没填项目",IF(AND(LEFT($F451,3)="成本-",$H451&lt;&gt;"",N($K451)&gt;0,COUNTIFS(采购单!$B:$B,$B451,采购单!$C:$C,$H451,采购单!$L:$L,$K451)&gt;0),"※这笔可能和采购单重复了",""))))))))))</f>
        <v/>
      </c>
    </row>
    <row r="452">
      <c r="A452" s="17">
        <f>IF($B452="","",ROW()-3)</f>
        <v/>
      </c>
      <c r="B452" s="18" t="n">
        <v>46163</v>
      </c>
      <c r="C452" s="13" t="inlineStr">
        <is>
          <t>微信1</t>
        </is>
      </c>
      <c r="D452" s="13" t="inlineStr">
        <is>
          <t>支出</t>
        </is>
      </c>
      <c r="E452" s="13" t="inlineStr">
        <is>
          <t>运费/快递费</t>
        </is>
      </c>
      <c r="F452" s="17">
        <f>IF($E452="","",IFERROR(VLOOKUP($E452,类别归属,2,0),"※类别不在基础资料里"))</f>
        <v/>
      </c>
      <c r="G452" s="13" t="inlineStr">
        <is>
          <t>tk桌球</t>
        </is>
      </c>
      <c r="H452" s="13" t="n"/>
      <c r="I452" s="13" t="inlineStr">
        <is>
          <t>运费-北京京邦达贸易有限公司</t>
        </is>
      </c>
      <c r="J452" s="14" t="n"/>
      <c r="K452" s="14" t="n">
        <v>55.2</v>
      </c>
      <c r="L452" s="19">
        <f>IF($C452="","",ROUND(IFERROR(VLOOKUP($C452,账户期初,2,0),0)+SUMIFS($J$4:J452,$C$4:C452,$C452)-SUMIFS($K$4:K452,$C$4:C452,$C452),2))</f>
        <v/>
      </c>
      <c r="M452" s="19">
        <f>IF($C452="","",ROUND(SUM(基础资料!$B$4:$B$13)+SUM($J$4:J452)-SUM($K$4:K452),2))</f>
        <v/>
      </c>
      <c r="N452" s="13" t="n"/>
      <c r="O452" s="13" t="n"/>
      <c r="P452" s="17">
        <f>IF($B452="","",IF($F452="※类别不在基础资料里","※费用类别不在基础资料里",IF(AND(N($J452)=0,N($K452)=0),"※这行没填金额",IF(AND(N($J452)&gt;0,N($K452)&gt;0),"※收入和支出不能同一行都填",IF(AND($D452="收入",N($J452)=0),"※收入行要填收入金额",IF(AND($D452="支出",N($K452)=0),"※支出行要填支出金额",IF(AND($C452&lt;&gt;"",ISNA(MATCH($C452,账户表,0))),"※账户不在基础资料里",IF(AND($G452&lt;&gt;"",ISNA(MATCH($G452,项目名表,0))),"※项目不在项目台账里",IF(AND(LEFT($F452,3)="成本-",$G452=""),"※成本类支出没填项目",IF(AND(LEFT($F452,3)="成本-",$H452&lt;&gt;"",N($K452)&gt;0,COUNTIFS(采购单!$B:$B,$B452,采购单!$C:$C,$H452,采购单!$L:$L,$K452)&gt;0),"※这笔可能和采购单重复了",""))))))))))</f>
        <v/>
      </c>
    </row>
    <row r="453">
      <c r="A453" s="17">
        <f>IF($B453="","",ROW()-3)</f>
        <v/>
      </c>
      <c r="B453" s="18" t="n">
        <v>46163</v>
      </c>
      <c r="C453" s="13" t="inlineStr">
        <is>
          <t>微信1</t>
        </is>
      </c>
      <c r="D453" s="13" t="inlineStr">
        <is>
          <t>支出</t>
        </is>
      </c>
      <c r="E453" s="13" t="inlineStr">
        <is>
          <t>运费/快递费</t>
        </is>
      </c>
      <c r="F453" s="17">
        <f>IF($E453="","",IFERROR(VLOOKUP($E453,类别归属,2,0),"※类别不在基础资料里"))</f>
        <v/>
      </c>
      <c r="G453" s="13" t="inlineStr">
        <is>
          <t>织里店</t>
        </is>
      </c>
      <c r="H453" s="13" t="inlineStr">
        <is>
          <t>炳秀</t>
        </is>
      </c>
      <c r="I453" s="13" t="inlineStr">
        <is>
          <t>杭州炳秀-湖州26-28武晓军</t>
        </is>
      </c>
      <c r="J453" s="14" t="n"/>
      <c r="K453" s="14" t="n">
        <v>41</v>
      </c>
      <c r="L453" s="19">
        <f>IF($C453="","",ROUND(IFERROR(VLOOKUP($C453,账户期初,2,0),0)+SUMIFS($J$4:J453,$C$4:C453,$C453)-SUMIFS($K$4:K453,$C$4:C453,$C453),2))</f>
        <v/>
      </c>
      <c r="M453" s="19">
        <f>IF($C453="","",ROUND(SUM(基础资料!$B$4:$B$13)+SUM($J$4:J453)-SUM($K$4:K453),2))</f>
        <v/>
      </c>
      <c r="N453" s="13" t="n"/>
      <c r="O453" s="13" t="n"/>
      <c r="P453" s="17">
        <f>IF($B453="","",IF($F453="※类别不在基础资料里","※费用类别不在基础资料里",IF(AND(N($J453)=0,N($K453)=0),"※这行没填金额",IF(AND(N($J453)&gt;0,N($K453)&gt;0),"※收入和支出不能同一行都填",IF(AND($D453="收入",N($J453)=0),"※收入行要填收入金额",IF(AND($D453="支出",N($K453)=0),"※支出行要填支出金额",IF(AND($C453&lt;&gt;"",ISNA(MATCH($C453,账户表,0))),"※账户不在基础资料里",IF(AND($G453&lt;&gt;"",ISNA(MATCH($G453,项目名表,0))),"※项目不在项目台账里",IF(AND(LEFT($F453,3)="成本-",$G453=""),"※成本类支出没填项目",IF(AND(LEFT($F453,3)="成本-",$H453&lt;&gt;"",N($K453)&gt;0,COUNTIFS(采购单!$B:$B,$B453,采购单!$C:$C,$H453,采购单!$L:$L,$K453)&gt;0),"※这笔可能和采购单重复了",""))))))))))</f>
        <v/>
      </c>
    </row>
    <row r="454">
      <c r="A454" s="17">
        <f>IF($B454="","",ROW()-3)</f>
        <v/>
      </c>
      <c r="B454" s="18" t="n">
        <v>46164</v>
      </c>
      <c r="C454" s="13" t="inlineStr">
        <is>
          <t>微信1</t>
        </is>
      </c>
      <c r="D454" s="13" t="inlineStr">
        <is>
          <t>收入</t>
        </is>
      </c>
      <c r="E454" s="13" t="inlineStr">
        <is>
          <t>待分类</t>
        </is>
      </c>
      <c r="F454" s="17">
        <f>IF($E454="","",IFERROR(VLOOKUP($E454,类别归属,2,0),"※类别不在基础资料里"))</f>
        <v/>
      </c>
      <c r="G454" s="13" t="inlineStr">
        <is>
          <t>旺牛鲜牛鱼火锅</t>
        </is>
      </c>
      <c r="H454" s="13" t="n"/>
      <c r="I454" s="13" t="inlineStr">
        <is>
          <t>叶（夜）不归宿13345741833</t>
        </is>
      </c>
      <c r="J454" s="14" t="n">
        <v>400</v>
      </c>
      <c r="K454" s="14" t="n"/>
      <c r="L454" s="19">
        <f>IF($C454="","",ROUND(IFERROR(VLOOKUP($C454,账户期初,2,0),0)+SUMIFS($J$4:J454,$C$4:C454,$C454)-SUMIFS($K$4:K454,$C$4:C454,$C454),2))</f>
        <v/>
      </c>
      <c r="M454" s="19">
        <f>IF($C454="","",ROUND(SUM(基础资料!$B$4:$B$13)+SUM($J$4:J454)-SUM($K$4:K454),2))</f>
        <v/>
      </c>
      <c r="N454" s="13" t="n"/>
      <c r="O454" s="13" t="inlineStr">
        <is>
          <t>软膜灯箱</t>
        </is>
      </c>
      <c r="P454" s="17">
        <f>IF($B454="","",IF($F454="※类别不在基础资料里","※费用类别不在基础资料里",IF(AND(N($J454)=0,N($K454)=0),"※这行没填金额",IF(AND(N($J454)&gt;0,N($K454)&gt;0),"※收入和支出不能同一行都填",IF(AND($D454="收入",N($J454)=0),"※收入行要填收入金额",IF(AND($D454="支出",N($K454)=0),"※支出行要填支出金额",IF(AND($C454&lt;&gt;"",ISNA(MATCH($C454,账户表,0))),"※账户不在基础资料里",IF(AND($G454&lt;&gt;"",ISNA(MATCH($G454,项目名表,0))),"※项目不在项目台账里",IF(AND(LEFT($F454,3)="成本-",$G454=""),"※成本类支出没填项目",IF(AND(LEFT($F454,3)="成本-",$H454&lt;&gt;"",N($K454)&gt;0,COUNTIFS(采购单!$B:$B,$B454,采购单!$C:$C,$H454,采购单!$L:$L,$K454)&gt;0),"※这笔可能和采购单重复了",""))))))))))</f>
        <v/>
      </c>
    </row>
    <row r="455">
      <c r="A455" s="17">
        <f>IF($B455="","",ROW()-3)</f>
        <v/>
      </c>
      <c r="B455" s="18" t="n">
        <v>46164</v>
      </c>
      <c r="C455" s="13" t="inlineStr">
        <is>
          <t>微信1</t>
        </is>
      </c>
      <c r="D455" s="13" t="inlineStr">
        <is>
          <t>支出</t>
        </is>
      </c>
      <c r="E455" s="13" t="inlineStr">
        <is>
          <t>运费/快递费</t>
        </is>
      </c>
      <c r="F455" s="17">
        <f>IF($E455="","",IFERROR(VLOOKUP($E455,类别归属,2,0),"※类别不在基础资料里"))</f>
        <v/>
      </c>
      <c r="G455" s="13" t="inlineStr">
        <is>
          <t>坚蛋健身</t>
        </is>
      </c>
      <c r="H455" s="13" t="n"/>
      <c r="I455" s="13" t="inlineStr">
        <is>
          <t>杭州炳秀-湖州26-28武晓军</t>
        </is>
      </c>
      <c r="J455" s="14" t="n"/>
      <c r="K455" s="14" t="n">
        <v>26</v>
      </c>
      <c r="L455" s="19">
        <f>IF($C455="","",ROUND(IFERROR(VLOOKUP($C455,账户期初,2,0),0)+SUMIFS($J$4:J455,$C$4:C455,$C455)-SUMIFS($K$4:K455,$C$4:C455,$C455),2))</f>
        <v/>
      </c>
      <c r="M455" s="19">
        <f>IF($C455="","",ROUND(SUM(基础资料!$B$4:$B$13)+SUM($J$4:J455)-SUM($K$4:K455),2))</f>
        <v/>
      </c>
      <c r="N455" s="13" t="n"/>
      <c r="O455" s="13" t="inlineStr">
        <is>
          <t>283</t>
        </is>
      </c>
      <c r="P455" s="17">
        <f>IF($B455="","",IF($F455="※类别不在基础资料里","※费用类别不在基础资料里",IF(AND(N($J455)=0,N($K455)=0),"※这行没填金额",IF(AND(N($J455)&gt;0,N($K455)&gt;0),"※收入和支出不能同一行都填",IF(AND($D455="收入",N($J455)=0),"※收入行要填收入金额",IF(AND($D455="支出",N($K455)=0),"※支出行要填支出金额",IF(AND($C455&lt;&gt;"",ISNA(MATCH($C455,账户表,0))),"※账户不在基础资料里",IF(AND($G455&lt;&gt;"",ISNA(MATCH($G455,项目名表,0))),"※项目不在项目台账里",IF(AND(LEFT($F455,3)="成本-",$G455=""),"※成本类支出没填项目",IF(AND(LEFT($F455,3)="成本-",$H455&lt;&gt;"",N($K455)&gt;0,COUNTIFS(采购单!$B:$B,$B455,采购单!$C:$C,$H455,采购单!$L:$L,$K455)&gt;0),"※这笔可能和采购单重复了",""))))))))))</f>
        <v/>
      </c>
    </row>
    <row r="456">
      <c r="A456" s="17">
        <f>IF($B456="","",ROW()-3)</f>
        <v/>
      </c>
      <c r="B456" s="18" t="n">
        <v>46164</v>
      </c>
      <c r="C456" s="13" t="inlineStr">
        <is>
          <t>微信1</t>
        </is>
      </c>
      <c r="D456" s="13" t="inlineStr">
        <is>
          <t>支出</t>
        </is>
      </c>
      <c r="E456" s="13" t="inlineStr">
        <is>
          <t>运费/快递费</t>
        </is>
      </c>
      <c r="F456" s="17">
        <f>IF($E456="","",IFERROR(VLOOKUP($E456,类别归属,2,0),"※类别不在基础资料里"))</f>
        <v/>
      </c>
      <c r="G456" s="13" t="inlineStr">
        <is>
          <t>安格斯牛肉串</t>
        </is>
      </c>
      <c r="H456" s="13" t="inlineStr">
        <is>
          <t>炳秀</t>
        </is>
      </c>
      <c r="I456" s="13" t="inlineStr">
        <is>
          <t>杭州炳秀-湖州26-28武晓军</t>
        </is>
      </c>
      <c r="J456" s="14" t="n"/>
      <c r="K456" s="14" t="n">
        <v>72</v>
      </c>
      <c r="L456" s="19">
        <f>IF($C456="","",ROUND(IFERROR(VLOOKUP($C456,账户期初,2,0),0)+SUMIFS($J$4:J456,$C$4:C456,$C456)-SUMIFS($K$4:K456,$C$4:C456,$C456),2))</f>
        <v/>
      </c>
      <c r="M456" s="19">
        <f>IF($C456="","",ROUND(SUM(基础资料!$B$4:$B$13)+SUM($J$4:J456)-SUM($K$4:K456),2))</f>
        <v/>
      </c>
      <c r="N456" s="13" t="n"/>
      <c r="O456" s="13" t="n"/>
      <c r="P456" s="17">
        <f>IF($B456="","",IF($F456="※类别不在基础资料里","※费用类别不在基础资料里",IF(AND(N($J456)=0,N($K456)=0),"※这行没填金额",IF(AND(N($J456)&gt;0,N($K456)&gt;0),"※收入和支出不能同一行都填",IF(AND($D456="收入",N($J456)=0),"※收入行要填收入金额",IF(AND($D456="支出",N($K456)=0),"※支出行要填支出金额",IF(AND($C456&lt;&gt;"",ISNA(MATCH($C456,账户表,0))),"※账户不在基础资料里",IF(AND($G456&lt;&gt;"",ISNA(MATCH($G456,项目名表,0))),"※项目不在项目台账里",IF(AND(LEFT($F456,3)="成本-",$G456=""),"※成本类支出没填项目",IF(AND(LEFT($F456,3)="成本-",$H456&lt;&gt;"",N($K456)&gt;0,COUNTIFS(采购单!$B:$B,$B456,采购单!$C:$C,$H456,采购单!$L:$L,$K456)&gt;0),"※这笔可能和采购单重复了",""))))))))))</f>
        <v/>
      </c>
    </row>
    <row r="457">
      <c r="A457" s="17">
        <f>IF($B457="","",ROW()-3)</f>
        <v/>
      </c>
      <c r="B457" s="18" t="n">
        <v>46164</v>
      </c>
      <c r="C457" s="13" t="inlineStr">
        <is>
          <t>微信1</t>
        </is>
      </c>
      <c r="D457" s="13" t="inlineStr">
        <is>
          <t>支出</t>
        </is>
      </c>
      <c r="E457" s="13" t="inlineStr">
        <is>
          <t>运费/快递费</t>
        </is>
      </c>
      <c r="F457" s="17">
        <f>IF($E457="","",IFERROR(VLOOKUP($E457,类别归属,2,0),"※类别不在基础资料里"))</f>
        <v/>
      </c>
      <c r="G457" s="13" t="inlineStr">
        <is>
          <t>东尼电子</t>
        </is>
      </c>
      <c r="H457" s="13" t="inlineStr">
        <is>
          <t>炳秀</t>
        </is>
      </c>
      <c r="I457" s="13" t="inlineStr">
        <is>
          <t>杭州炳秀-湖州26-28武晓军</t>
        </is>
      </c>
      <c r="J457" s="14" t="n"/>
      <c r="K457" s="14" t="n">
        <v>185</v>
      </c>
      <c r="L457" s="19">
        <f>IF($C457="","",ROUND(IFERROR(VLOOKUP($C457,账户期初,2,0),0)+SUMIFS($J$4:J457,$C$4:C457,$C457)-SUMIFS($K$4:K457,$C$4:C457,$C457),2))</f>
        <v/>
      </c>
      <c r="M457" s="19">
        <f>IF($C457="","",ROUND(SUM(基础资料!$B$4:$B$13)+SUM($J$4:J457)-SUM($K$4:K457),2))</f>
        <v/>
      </c>
      <c r="N457" s="13" t="n"/>
      <c r="O457" s="13" t="n"/>
      <c r="P457" s="17">
        <f>IF($B457="","",IF($F457="※类别不在基础资料里","※费用类别不在基础资料里",IF(AND(N($J457)=0,N($K457)=0),"※这行没填金额",IF(AND(N($J457)&gt;0,N($K457)&gt;0),"※收入和支出不能同一行都填",IF(AND($D457="收入",N($J457)=0),"※收入行要填收入金额",IF(AND($D457="支出",N($K457)=0),"※支出行要填支出金额",IF(AND($C457&lt;&gt;"",ISNA(MATCH($C457,账户表,0))),"※账户不在基础资料里",IF(AND($G457&lt;&gt;"",ISNA(MATCH($G457,项目名表,0))),"※项目不在项目台账里",IF(AND(LEFT($F457,3)="成本-",$G457=""),"※成本类支出没填项目",IF(AND(LEFT($F457,3)="成本-",$H457&lt;&gt;"",N($K457)&gt;0,COUNTIFS(采购单!$B:$B,$B457,采购单!$C:$C,$H457,采购单!$L:$L,$K457)&gt;0),"※这笔可能和采购单重复了",""))))))))))</f>
        <v/>
      </c>
    </row>
    <row r="458">
      <c r="A458" s="17">
        <f>IF($B458="","",ROW()-3)</f>
        <v/>
      </c>
      <c r="B458" s="18" t="n">
        <v>46164</v>
      </c>
      <c r="C458" s="13" t="inlineStr">
        <is>
          <t>微信1</t>
        </is>
      </c>
      <c r="D458" s="13" t="inlineStr">
        <is>
          <t>支出</t>
        </is>
      </c>
      <c r="E458" s="13" t="inlineStr">
        <is>
          <t>其他管理费用</t>
        </is>
      </c>
      <c r="F458" s="17">
        <f>IF($E458="","",IFERROR(VLOOKUP($E458,类别归属,2,0),"※类别不在基础资料里"))</f>
        <v/>
      </c>
      <c r="G458" s="13" t="inlineStr">
        <is>
          <t>tk桌球</t>
        </is>
      </c>
      <c r="H458" s="13" t="n"/>
      <c r="I458" s="13" t="inlineStr">
        <is>
          <t>章凡报销费用</t>
        </is>
      </c>
      <c r="J458" s="14" t="n"/>
      <c r="K458" s="14" t="n">
        <v>446</v>
      </c>
      <c r="L458" s="19">
        <f>IF($C458="","",ROUND(IFERROR(VLOOKUP($C458,账户期初,2,0),0)+SUMIFS($J$4:J458,$C$4:C458,$C458)-SUMIFS($K$4:K458,$C$4:C458,$C458),2))</f>
        <v/>
      </c>
      <c r="M458" s="19">
        <f>IF($C458="","",ROUND(SUM(基础资料!$B$4:$B$13)+SUM($J$4:J458)-SUM($K$4:K458),2))</f>
        <v/>
      </c>
      <c r="N458" s="13" t="n"/>
      <c r="O458" s="13" t="inlineStr">
        <is>
          <t>瑞佳软膜天花</t>
        </is>
      </c>
      <c r="P458" s="17">
        <f>IF($B458="","",IF($F458="※类别不在基础资料里","※费用类别不在基础资料里",IF(AND(N($J458)=0,N($K458)=0),"※这行没填金额",IF(AND(N($J458)&gt;0,N($K458)&gt;0),"※收入和支出不能同一行都填",IF(AND($D458="收入",N($J458)=0),"※收入行要填收入金额",IF(AND($D458="支出",N($K458)=0),"※支出行要填支出金额",IF(AND($C458&lt;&gt;"",ISNA(MATCH($C458,账户表,0))),"※账户不在基础资料里",IF(AND($G458&lt;&gt;"",ISNA(MATCH($G458,项目名表,0))),"※项目不在项目台账里",IF(AND(LEFT($F458,3)="成本-",$G458=""),"※成本类支出没填项目",IF(AND(LEFT($F458,3)="成本-",$H458&lt;&gt;"",N($K458)&gt;0,COUNTIFS(采购单!$B:$B,$B458,采购单!$C:$C,$H458,采购单!$L:$L,$K458)&gt;0),"※这笔可能和采购单重复了",""))))))))))</f>
        <v/>
      </c>
    </row>
    <row r="459">
      <c r="A459" s="17">
        <f>IF($B459="","",ROW()-3)</f>
        <v/>
      </c>
      <c r="B459" s="18" t="n">
        <v>46165</v>
      </c>
      <c r="C459" s="13" t="inlineStr">
        <is>
          <t>微信1</t>
        </is>
      </c>
      <c r="D459" s="13" t="inlineStr">
        <is>
          <t>支出</t>
        </is>
      </c>
      <c r="E459" s="13" t="inlineStr">
        <is>
          <t>主材采购</t>
        </is>
      </c>
      <c r="F459" s="17">
        <f>IF($E459="","",IFERROR(VLOOKUP($E459,类别归属,2,0),"※类别不在基础资料里"))</f>
        <v/>
      </c>
      <c r="G459" s="13" t="inlineStr">
        <is>
          <t>沁心境界</t>
        </is>
      </c>
      <c r="H459" s="13" t="n"/>
      <c r="I459" s="13" t="inlineStr">
        <is>
          <t>上达铝单板铝方通孙13913803884</t>
        </is>
      </c>
      <c r="J459" s="14" t="n"/>
      <c r="K459" s="14" t="n">
        <v>1000</v>
      </c>
      <c r="L459" s="19">
        <f>IF($C459="","",ROUND(IFERROR(VLOOKUP($C459,账户期初,2,0),0)+SUMIFS($J$4:J459,$C$4:C459,$C459)-SUMIFS($K$4:K459,$C$4:C459,$C459),2))</f>
        <v/>
      </c>
      <c r="M459" s="19">
        <f>IF($C459="","",ROUND(SUM(基础资料!$B$4:$B$13)+SUM($J$4:J459)-SUM($K$4:K459),2))</f>
        <v/>
      </c>
      <c r="N459" s="13" t="n"/>
      <c r="O459" s="13" t="n"/>
      <c r="P459" s="17">
        <f>IF($B459="","",IF($F459="※类别不在基础资料里","※费用类别不在基础资料里",IF(AND(N($J459)=0,N($K459)=0),"※这行没填金额",IF(AND(N($J459)&gt;0,N($K459)&gt;0),"※收入和支出不能同一行都填",IF(AND($D459="收入",N($J459)=0),"※收入行要填收入金额",IF(AND($D459="支出",N($K459)=0),"※支出行要填支出金额",IF(AND($C459&lt;&gt;"",ISNA(MATCH($C459,账户表,0))),"※账户不在基础资料里",IF(AND($G459&lt;&gt;"",ISNA(MATCH($G459,项目名表,0))),"※项目不在项目台账里",IF(AND(LEFT($F459,3)="成本-",$G459=""),"※成本类支出没填项目",IF(AND(LEFT($F459,3)="成本-",$H459&lt;&gt;"",N($K459)&gt;0,COUNTIFS(采购单!$B:$B,$B459,采购单!$C:$C,$H459,采购单!$L:$L,$K459)&gt;0),"※这笔可能和采购单重复了",""))))))))))</f>
        <v/>
      </c>
    </row>
    <row r="460">
      <c r="A460" s="17">
        <f>IF($B460="","",ROW()-3)</f>
        <v/>
      </c>
      <c r="B460" s="18" t="n">
        <v>46165</v>
      </c>
      <c r="C460" s="13" t="inlineStr">
        <is>
          <t>微信1</t>
        </is>
      </c>
      <c r="D460" s="13" t="inlineStr">
        <is>
          <t>收入</t>
        </is>
      </c>
      <c r="E460" s="13" t="inlineStr">
        <is>
          <t>待分类</t>
        </is>
      </c>
      <c r="F460" s="17">
        <f>IF($E460="","",IFERROR(VLOOKUP($E460,类别归属,2,0),"※类别不在基础资料里"))</f>
        <v/>
      </c>
      <c r="G460" s="13" t="inlineStr">
        <is>
          <t>七欣天</t>
        </is>
      </c>
      <c r="H460" s="13" t="n"/>
      <c r="I460" s="13" t="inlineStr">
        <is>
          <t>章凡-收项目款</t>
        </is>
      </c>
      <c r="J460" s="14" t="n">
        <v>300</v>
      </c>
      <c r="K460" s="14" t="n"/>
      <c r="L460" s="19">
        <f>IF($C460="","",ROUND(IFERROR(VLOOKUP($C460,账户期初,2,0),0)+SUMIFS($J$4:J460,$C$4:C460,$C460)-SUMIFS($K$4:K460,$C$4:C460,$C460),2))</f>
        <v/>
      </c>
      <c r="M460" s="19">
        <f>IF($C460="","",ROUND(SUM(基础资料!$B$4:$B$13)+SUM($J$4:J460)-SUM($K$4:K460),2))</f>
        <v/>
      </c>
      <c r="N460" s="13" t="n"/>
      <c r="O460" s="13" t="inlineStr">
        <is>
          <t>南太湖吾悦维修费收入</t>
        </is>
      </c>
      <c r="P460" s="17">
        <f>IF($B460="","",IF($F460="※类别不在基础资料里","※费用类别不在基础资料里",IF(AND(N($J460)=0,N($K460)=0),"※这行没填金额",IF(AND(N($J460)&gt;0,N($K460)&gt;0),"※收入和支出不能同一行都填",IF(AND($D460="收入",N($J460)=0),"※收入行要填收入金额",IF(AND($D460="支出",N($K460)=0),"※支出行要填支出金额",IF(AND($C460&lt;&gt;"",ISNA(MATCH($C460,账户表,0))),"※账户不在基础资料里",IF(AND($G460&lt;&gt;"",ISNA(MATCH($G460,项目名表,0))),"※项目不在项目台账里",IF(AND(LEFT($F460,3)="成本-",$G460=""),"※成本类支出没填项目",IF(AND(LEFT($F460,3)="成本-",$H460&lt;&gt;"",N($K460)&gt;0,COUNTIFS(采购单!$B:$B,$B460,采购单!$C:$C,$H460,采购单!$L:$L,$K460)&gt;0),"※这笔可能和采购单重复了",""))))))))))</f>
        <v/>
      </c>
    </row>
    <row r="461">
      <c r="A461" s="17">
        <f>IF($B461="","",ROW()-3)</f>
        <v/>
      </c>
      <c r="B461" s="18" t="n">
        <v>46165</v>
      </c>
      <c r="C461" s="13" t="inlineStr">
        <is>
          <t>微信1</t>
        </is>
      </c>
      <c r="D461" s="13" t="inlineStr">
        <is>
          <t>支出</t>
        </is>
      </c>
      <c r="E461" s="13" t="inlineStr">
        <is>
          <t>运费/快递费</t>
        </is>
      </c>
      <c r="F461" s="17">
        <f>IF($E461="","",IFERROR(VLOOKUP($E461,类别归属,2,0),"※类别不在基础资料里"))</f>
        <v/>
      </c>
      <c r="G461" s="13" t="inlineStr">
        <is>
          <t>贵州烙锅</t>
        </is>
      </c>
      <c r="H461" s="13" t="inlineStr">
        <is>
          <t>炳秀</t>
        </is>
      </c>
      <c r="I461" s="13" t="inlineStr">
        <is>
          <t>杭州炳秀湖州26-28武晓军</t>
        </is>
      </c>
      <c r="J461" s="14" t="n"/>
      <c r="K461" s="14" t="n">
        <v>13</v>
      </c>
      <c r="L461" s="19">
        <f>IF($C461="","",ROUND(IFERROR(VLOOKUP($C461,账户期初,2,0),0)+SUMIFS($J$4:J461,$C$4:C461,$C461)-SUMIFS($K$4:K461,$C$4:C461,$C461),2))</f>
        <v/>
      </c>
      <c r="M461" s="19">
        <f>IF($C461="","",ROUND(SUM(基础资料!$B$4:$B$13)+SUM($J$4:J461)-SUM($K$4:K461),2))</f>
        <v/>
      </c>
      <c r="N461" s="13" t="n"/>
      <c r="O461" s="13" t="inlineStr">
        <is>
          <t>92</t>
        </is>
      </c>
      <c r="P461" s="17">
        <f>IF($B461="","",IF($F461="※类别不在基础资料里","※费用类别不在基础资料里",IF(AND(N($J461)=0,N($K461)=0),"※这行没填金额",IF(AND(N($J461)&gt;0,N($K461)&gt;0),"※收入和支出不能同一行都填",IF(AND($D461="收入",N($J461)=0),"※收入行要填收入金额",IF(AND($D461="支出",N($K461)=0),"※支出行要填支出金额",IF(AND($C461&lt;&gt;"",ISNA(MATCH($C461,账户表,0))),"※账户不在基础资料里",IF(AND($G461&lt;&gt;"",ISNA(MATCH($G461,项目名表,0))),"※项目不在项目台账里",IF(AND(LEFT($F461,3)="成本-",$G461=""),"※成本类支出没填项目",IF(AND(LEFT($F461,3)="成本-",$H461&lt;&gt;"",N($K461)&gt;0,COUNTIFS(采购单!$B:$B,$B461,采购单!$C:$C,$H461,采购单!$L:$L,$K461)&gt;0),"※这笔可能和采购单重复了",""))))))))))</f>
        <v/>
      </c>
    </row>
    <row r="462">
      <c r="A462" s="17">
        <f>IF($B462="","",ROW()-3)</f>
        <v/>
      </c>
      <c r="B462" s="18" t="n">
        <v>46165</v>
      </c>
      <c r="C462" s="13" t="inlineStr">
        <is>
          <t>微信1</t>
        </is>
      </c>
      <c r="D462" s="13" t="inlineStr">
        <is>
          <t>支出</t>
        </is>
      </c>
      <c r="E462" s="13" t="inlineStr">
        <is>
          <t>运费/快递费</t>
        </is>
      </c>
      <c r="F462" s="17">
        <f>IF($E462="","",IFERROR(VLOOKUP($E462,类别归属,2,0),"※类别不在基础资料里"))</f>
        <v/>
      </c>
      <c r="G462" s="13" t="inlineStr">
        <is>
          <t>tk桌球</t>
        </is>
      </c>
      <c r="H462" s="13" t="inlineStr">
        <is>
          <t>炳秀</t>
        </is>
      </c>
      <c r="I462" s="13" t="inlineStr">
        <is>
          <t>杭州炳秀湖州26-28武晓军</t>
        </is>
      </c>
      <c r="J462" s="14" t="n"/>
      <c r="K462" s="14" t="n">
        <v>79</v>
      </c>
      <c r="L462" s="19">
        <f>IF($C462="","",ROUND(IFERROR(VLOOKUP($C462,账户期初,2,0),0)+SUMIFS($J$4:J462,$C$4:C462,$C462)-SUMIFS($K$4:K462,$C$4:C462,$C462),2))</f>
        <v/>
      </c>
      <c r="M462" s="19">
        <f>IF($C462="","",ROUND(SUM(基础资料!$B$4:$B$13)+SUM($J$4:J462)-SUM($K$4:K462),2))</f>
        <v/>
      </c>
      <c r="N462" s="13" t="n"/>
      <c r="O462" s="13" t="n"/>
      <c r="P462" s="17">
        <f>IF($B462="","",IF($F462="※类别不在基础资料里","※费用类别不在基础资料里",IF(AND(N($J462)=0,N($K462)=0),"※这行没填金额",IF(AND(N($J462)&gt;0,N($K462)&gt;0),"※收入和支出不能同一行都填",IF(AND($D462="收入",N($J462)=0),"※收入行要填收入金额",IF(AND($D462="支出",N($K462)=0),"※支出行要填支出金额",IF(AND($C462&lt;&gt;"",ISNA(MATCH($C462,账户表,0))),"※账户不在基础资料里",IF(AND($G462&lt;&gt;"",ISNA(MATCH($G462,项目名表,0))),"※项目不在项目台账里",IF(AND(LEFT($F462,3)="成本-",$G462=""),"※成本类支出没填项目",IF(AND(LEFT($F462,3)="成本-",$H462&lt;&gt;"",N($K462)&gt;0,COUNTIFS(采购单!$B:$B,$B462,采购单!$C:$C,$H462,采购单!$L:$L,$K462)&gt;0),"※这笔可能和采购单重复了",""))))))))))</f>
        <v/>
      </c>
    </row>
    <row r="463">
      <c r="A463" s="17">
        <f>IF($B463="","",ROW()-3)</f>
        <v/>
      </c>
      <c r="B463" s="18" t="n">
        <v>46166</v>
      </c>
      <c r="C463" s="13" t="inlineStr">
        <is>
          <t>微信1</t>
        </is>
      </c>
      <c r="D463" s="13" t="inlineStr">
        <is>
          <t>支出</t>
        </is>
      </c>
      <c r="E463" s="13" t="inlineStr">
        <is>
          <t>运费/快递费</t>
        </is>
      </c>
      <c r="F463" s="17">
        <f>IF($E463="","",IFERROR(VLOOKUP($E463,类别归属,2,0),"※类别不在基础资料里"))</f>
        <v/>
      </c>
      <c r="G463" s="13" t="inlineStr">
        <is>
          <t>东尼电子</t>
        </is>
      </c>
      <c r="H463" s="13" t="inlineStr">
        <is>
          <t>炳秀</t>
        </is>
      </c>
      <c r="I463" s="13" t="inlineStr">
        <is>
          <t>杭州炳秀湖州26-28武晓军</t>
        </is>
      </c>
      <c r="J463" s="14" t="n"/>
      <c r="K463" s="14" t="n">
        <v>36</v>
      </c>
      <c r="L463" s="19">
        <f>IF($C463="","",ROUND(IFERROR(VLOOKUP($C463,账户期初,2,0),0)+SUMIFS($J$4:J463,$C$4:C463,$C463)-SUMIFS($K$4:K463,$C$4:C463,$C463),2))</f>
        <v/>
      </c>
      <c r="M463" s="19">
        <f>IF($C463="","",ROUND(SUM(基础资料!$B$4:$B$13)+SUM($J$4:J463)-SUM($K$4:K463),2))</f>
        <v/>
      </c>
      <c r="N463" s="13" t="n"/>
      <c r="O463" s="13" t="inlineStr">
        <is>
          <t>42</t>
        </is>
      </c>
      <c r="P463" s="17">
        <f>IF($B463="","",IF($F463="※类别不在基础资料里","※费用类别不在基础资料里",IF(AND(N($J463)=0,N($K463)=0),"※这行没填金额",IF(AND(N($J463)&gt;0,N($K463)&gt;0),"※收入和支出不能同一行都填",IF(AND($D463="收入",N($J463)=0),"※收入行要填收入金额",IF(AND($D463="支出",N($K463)=0),"※支出行要填支出金额",IF(AND($C463&lt;&gt;"",ISNA(MATCH($C463,账户表,0))),"※账户不在基础资料里",IF(AND($G463&lt;&gt;"",ISNA(MATCH($G463,项目名表,0))),"※项目不在项目台账里",IF(AND(LEFT($F463,3)="成本-",$G463=""),"※成本类支出没填项目",IF(AND(LEFT($F463,3)="成本-",$H463&lt;&gt;"",N($K463)&gt;0,COUNTIFS(采购单!$B:$B,$B463,采购单!$C:$C,$H463,采购单!$L:$L,$K463)&gt;0),"※这笔可能和采购单重复了",""))))))))))</f>
        <v/>
      </c>
    </row>
    <row r="464">
      <c r="A464" s="17">
        <f>IF($B464="","",ROW()-3)</f>
        <v/>
      </c>
      <c r="B464" s="18" t="n">
        <v>46166</v>
      </c>
      <c r="C464" s="13" t="inlineStr">
        <is>
          <t>微信1</t>
        </is>
      </c>
      <c r="D464" s="13" t="inlineStr">
        <is>
          <t>支出</t>
        </is>
      </c>
      <c r="E464" s="13" t="inlineStr">
        <is>
          <t>运费/快递费</t>
        </is>
      </c>
      <c r="F464" s="17">
        <f>IF($E464="","",IFERROR(VLOOKUP($E464,类别归属,2,0),"※类别不在基础资料里"))</f>
        <v/>
      </c>
      <c r="G464" s="13" t="inlineStr">
        <is>
          <t>织里店</t>
        </is>
      </c>
      <c r="H464" s="13" t="inlineStr">
        <is>
          <t>炳秀</t>
        </is>
      </c>
      <c r="I464" s="13" t="inlineStr">
        <is>
          <t>杭州炳秀湖州26-28武晓军</t>
        </is>
      </c>
      <c r="J464" s="14" t="n"/>
      <c r="K464" s="14" t="n">
        <v>6</v>
      </c>
      <c r="L464" s="19">
        <f>IF($C464="","",ROUND(IFERROR(VLOOKUP($C464,账户期初,2,0),0)+SUMIFS($J$4:J464,$C$4:C464,$C464)-SUMIFS($K$4:K464,$C$4:C464,$C464),2))</f>
        <v/>
      </c>
      <c r="M464" s="19">
        <f>IF($C464="","",ROUND(SUM(基础资料!$B$4:$B$13)+SUM($J$4:J464)-SUM($K$4:K464),2))</f>
        <v/>
      </c>
      <c r="N464" s="13" t="n"/>
      <c r="O464" s="13" t="n"/>
      <c r="P464" s="17">
        <f>IF($B464="","",IF($F464="※类别不在基础资料里","※费用类别不在基础资料里",IF(AND(N($J464)=0,N($K464)=0),"※这行没填金额",IF(AND(N($J464)&gt;0,N($K464)&gt;0),"※收入和支出不能同一行都填",IF(AND($D464="收入",N($J464)=0),"※收入行要填收入金额",IF(AND($D464="支出",N($K464)=0),"※支出行要填支出金额",IF(AND($C464&lt;&gt;"",ISNA(MATCH($C464,账户表,0))),"※账户不在基础资料里",IF(AND($G464&lt;&gt;"",ISNA(MATCH($G464,项目名表,0))),"※项目不在项目台账里",IF(AND(LEFT($F464,3)="成本-",$G464=""),"※成本类支出没填项目",IF(AND(LEFT($F464,3)="成本-",$H464&lt;&gt;"",N($K464)&gt;0,COUNTIFS(采购单!$B:$B,$B464,采购单!$C:$C,$H464,采购单!$L:$L,$K464)&gt;0),"※这笔可能和采购单重复了",""))))))))))</f>
        <v/>
      </c>
    </row>
    <row r="465">
      <c r="A465" s="17">
        <f>IF($B465="","",ROW()-3)</f>
        <v/>
      </c>
      <c r="B465" s="18" t="n">
        <v>46167</v>
      </c>
      <c r="C465" s="13" t="inlineStr">
        <is>
          <t>微信1</t>
        </is>
      </c>
      <c r="D465" s="13" t="inlineStr">
        <is>
          <t>收入</t>
        </is>
      </c>
      <c r="E465" s="13" t="inlineStr">
        <is>
          <t>待分类</t>
        </is>
      </c>
      <c r="F465" s="17">
        <f>IF($E465="","",IFERROR(VLOOKUP($E465,类别归属,2,0),"※类别不在基础资料里"))</f>
        <v/>
      </c>
      <c r="G465" s="13" t="inlineStr">
        <is>
          <t>全球购</t>
        </is>
      </c>
      <c r="H465" s="13" t="n"/>
      <c r="I465" s="13" t="inlineStr">
        <is>
          <t>小小谭先生</t>
        </is>
      </c>
      <c r="J465" s="14" t="n">
        <v>135</v>
      </c>
      <c r="K465" s="14" t="n"/>
      <c r="L465" s="19">
        <f>IF($C465="","",ROUND(IFERROR(VLOOKUP($C465,账户期初,2,0),0)+SUMIFS($J$4:J465,$C$4:C465,$C465)-SUMIFS($K$4:K465,$C$4:C465,$C465),2))</f>
        <v/>
      </c>
      <c r="M465" s="19">
        <f>IF($C465="","",ROUND(SUM(基础资料!$B$4:$B$13)+SUM($J$4:J465)-SUM($K$4:K465),2))</f>
        <v/>
      </c>
      <c r="N465" s="13" t="n"/>
      <c r="O465" s="13" t="n"/>
      <c r="P465" s="17">
        <f>IF($B465="","",IF($F465="※类别不在基础资料里","※费用类别不在基础资料里",IF(AND(N($J465)=0,N($K465)=0),"※这行没填金额",IF(AND(N($J465)&gt;0,N($K465)&gt;0),"※收入和支出不能同一行都填",IF(AND($D465="收入",N($J465)=0),"※收入行要填收入金额",IF(AND($D465="支出",N($K465)=0),"※支出行要填支出金额",IF(AND($C465&lt;&gt;"",ISNA(MATCH($C465,账户表,0))),"※账户不在基础资料里",IF(AND($G465&lt;&gt;"",ISNA(MATCH($G465,项目名表,0))),"※项目不在项目台账里",IF(AND(LEFT($F465,3)="成本-",$G465=""),"※成本类支出没填项目",IF(AND(LEFT($F465,3)="成本-",$H465&lt;&gt;"",N($K465)&gt;0,COUNTIFS(采购单!$B:$B,$B465,采购单!$C:$C,$H465,采购单!$L:$L,$K465)&gt;0),"※这笔可能和采购单重复了",""))))))))))</f>
        <v/>
      </c>
    </row>
    <row r="466">
      <c r="A466" s="17">
        <f>IF($B466="","",ROW()-3)</f>
        <v/>
      </c>
      <c r="B466" s="18" t="n">
        <v>46168</v>
      </c>
      <c r="C466" s="13" t="inlineStr">
        <is>
          <t>微信1</t>
        </is>
      </c>
      <c r="D466" s="13" t="inlineStr">
        <is>
          <t>支出</t>
        </is>
      </c>
      <c r="E466" s="13" t="inlineStr">
        <is>
          <t>运费/快递费</t>
        </is>
      </c>
      <c r="F466" s="17">
        <f>IF($E466="","",IFERROR(VLOOKUP($E466,类别归属,2,0),"※类别不在基础资料里"))</f>
        <v/>
      </c>
      <c r="G466" s="13" t="inlineStr">
        <is>
          <t>七欣天</t>
        </is>
      </c>
      <c r="H466" s="13" t="n"/>
      <c r="I466" s="13" t="inlineStr">
        <is>
          <t>运费-圆通速递有限公司</t>
        </is>
      </c>
      <c r="J466" s="14" t="n"/>
      <c r="K466" s="14" t="n">
        <v>6</v>
      </c>
      <c r="L466" s="19">
        <f>IF($C466="","",ROUND(IFERROR(VLOOKUP($C466,账户期初,2,0),0)+SUMIFS($J$4:J466,$C$4:C466,$C466)-SUMIFS($K$4:K466,$C$4:C466,$C466),2))</f>
        <v/>
      </c>
      <c r="M466" s="19">
        <f>IF($C466="","",ROUND(SUM(基础资料!$B$4:$B$13)+SUM($J$4:J466)-SUM($K$4:K466),2))</f>
        <v/>
      </c>
      <c r="N466" s="13" t="n"/>
      <c r="O466" s="13" t="inlineStr">
        <is>
          <t>寄发票</t>
        </is>
      </c>
      <c r="P466" s="17">
        <f>IF($B466="","",IF($F466="※类别不在基础资料里","※费用类别不在基础资料里",IF(AND(N($J466)=0,N($K466)=0),"※这行没填金额",IF(AND(N($J466)&gt;0,N($K466)&gt;0),"※收入和支出不能同一行都填",IF(AND($D466="收入",N($J466)=0),"※收入行要填收入金额",IF(AND($D466="支出",N($K466)=0),"※支出行要填支出金额",IF(AND($C466&lt;&gt;"",ISNA(MATCH($C466,账户表,0))),"※账户不在基础资料里",IF(AND($G466&lt;&gt;"",ISNA(MATCH($G466,项目名表,0))),"※项目不在项目台账里",IF(AND(LEFT($F466,3)="成本-",$G466=""),"※成本类支出没填项目",IF(AND(LEFT($F466,3)="成本-",$H466&lt;&gt;"",N($K466)&gt;0,COUNTIFS(采购单!$B:$B,$B466,采购单!$C:$C,$H466,采购单!$L:$L,$K466)&gt;0),"※这笔可能和采购单重复了",""))))))))))</f>
        <v/>
      </c>
    </row>
    <row r="467">
      <c r="A467" s="17">
        <f>IF($B467="","",ROW()-3)</f>
        <v/>
      </c>
      <c r="B467" s="18" t="n">
        <v>46168</v>
      </c>
      <c r="C467" s="13" t="inlineStr">
        <is>
          <t>微信1</t>
        </is>
      </c>
      <c r="D467" s="13" t="inlineStr">
        <is>
          <t>支出</t>
        </is>
      </c>
      <c r="E467" s="13" t="inlineStr">
        <is>
          <t>运费/快递费</t>
        </is>
      </c>
      <c r="F467" s="17">
        <f>IF($E467="","",IFERROR(VLOOKUP($E467,类别归属,2,0),"※类别不在基础资料里"))</f>
        <v/>
      </c>
      <c r="G467" s="13" t="n"/>
      <c r="H467" s="13" t="n"/>
      <c r="I467" s="13" t="inlineStr">
        <is>
          <t>运费-北京京邦达贸易有限公司</t>
        </is>
      </c>
      <c r="J467" s="14" t="n"/>
      <c r="K467" s="14" t="n">
        <v>55.2</v>
      </c>
      <c r="L467" s="19">
        <f>IF($C467="","",ROUND(IFERROR(VLOOKUP($C467,账户期初,2,0),0)+SUMIFS($J$4:J467,$C$4:C467,$C467)-SUMIFS($K$4:K467,$C$4:C467,$C467),2))</f>
        <v/>
      </c>
      <c r="M467" s="19">
        <f>IF($C467="","",ROUND(SUM(基础资料!$B$4:$B$13)+SUM($J$4:J467)-SUM($K$4:K467),2))</f>
        <v/>
      </c>
      <c r="N467" s="13" t="n"/>
      <c r="O467" s="13" t="n"/>
      <c r="P467" s="17">
        <f>IF($B467="","",IF($F467="※类别不在基础资料里","※费用类别不在基础资料里",IF(AND(N($J467)=0,N($K467)=0),"※这行没填金额",IF(AND(N($J467)&gt;0,N($K467)&gt;0),"※收入和支出不能同一行都填",IF(AND($D467="收入",N($J467)=0),"※收入行要填收入金额",IF(AND($D467="支出",N($K467)=0),"※支出行要填支出金额",IF(AND($C467&lt;&gt;"",ISNA(MATCH($C467,账户表,0))),"※账户不在基础资料里",IF(AND($G467&lt;&gt;"",ISNA(MATCH($G467,项目名表,0))),"※项目不在项目台账里",IF(AND(LEFT($F467,3)="成本-",$G467=""),"※成本类支出没填项目",IF(AND(LEFT($F467,3)="成本-",$H467&lt;&gt;"",N($K467)&gt;0,COUNTIFS(采购单!$B:$B,$B467,采购单!$C:$C,$H467,采购单!$L:$L,$K467)&gt;0),"※这笔可能和采购单重复了",""))))))))))</f>
        <v/>
      </c>
    </row>
    <row r="468">
      <c r="A468" s="17">
        <f>IF($B468="","",ROW()-3)</f>
        <v/>
      </c>
      <c r="B468" s="18" t="n">
        <v>46168</v>
      </c>
      <c r="C468" s="13" t="inlineStr">
        <is>
          <t>微信1</t>
        </is>
      </c>
      <c r="D468" s="13" t="inlineStr">
        <is>
          <t>支出</t>
        </is>
      </c>
      <c r="E468" s="13" t="inlineStr">
        <is>
          <t>运费/快递费</t>
        </is>
      </c>
      <c r="F468" s="17">
        <f>IF($E468="","",IFERROR(VLOOKUP($E468,类别归属,2,0),"※类别不在基础资料里"))</f>
        <v/>
      </c>
      <c r="G468" s="13" t="inlineStr">
        <is>
          <t>织里店</t>
        </is>
      </c>
      <c r="H468" s="13" t="inlineStr">
        <is>
          <t>炳秀</t>
        </is>
      </c>
      <c r="I468" s="13" t="inlineStr">
        <is>
          <t>杭州炳秀-湖州26-28武晓军</t>
        </is>
      </c>
      <c r="J468" s="14" t="n"/>
      <c r="K468" s="14" t="n">
        <v>165</v>
      </c>
      <c r="L468" s="19">
        <f>IF($C468="","",ROUND(IFERROR(VLOOKUP($C468,账户期初,2,0),0)+SUMIFS($J$4:J468,$C$4:C468,$C468)-SUMIFS($K$4:K468,$C$4:C468,$C468),2))</f>
        <v/>
      </c>
      <c r="M468" s="19">
        <f>IF($C468="","",ROUND(SUM(基础资料!$B$4:$B$13)+SUM($J$4:J468)-SUM($K$4:K468),2))</f>
        <v/>
      </c>
      <c r="N468" s="13" t="n"/>
      <c r="O468" s="13" t="inlineStr">
        <is>
          <t>170</t>
        </is>
      </c>
      <c r="P468" s="17">
        <f>IF($B468="","",IF($F468="※类别不在基础资料里","※费用类别不在基础资料里",IF(AND(N($J468)=0,N($K468)=0),"※这行没填金额",IF(AND(N($J468)&gt;0,N($K468)&gt;0),"※收入和支出不能同一行都填",IF(AND($D468="收入",N($J468)=0),"※收入行要填收入金额",IF(AND($D468="支出",N($K468)=0),"※支出行要填支出金额",IF(AND($C468&lt;&gt;"",ISNA(MATCH($C468,账户表,0))),"※账户不在基础资料里",IF(AND($G468&lt;&gt;"",ISNA(MATCH($G468,项目名表,0))),"※项目不在项目台账里",IF(AND(LEFT($F468,3)="成本-",$G468=""),"※成本类支出没填项目",IF(AND(LEFT($F468,3)="成本-",$H468&lt;&gt;"",N($K468)&gt;0,COUNTIFS(采购单!$B:$B,$B468,采购单!$C:$C,$H468,采购单!$L:$L,$K468)&gt;0),"※这笔可能和采购单重复了",""))))))))))</f>
        <v/>
      </c>
    </row>
    <row r="469">
      <c r="A469" s="17">
        <f>IF($B469="","",ROW()-3)</f>
        <v/>
      </c>
      <c r="B469" s="18" t="n">
        <v>46168</v>
      </c>
      <c r="C469" s="13" t="inlineStr">
        <is>
          <t>微信1</t>
        </is>
      </c>
      <c r="D469" s="13" t="inlineStr">
        <is>
          <t>支出</t>
        </is>
      </c>
      <c r="E469" s="13" t="inlineStr">
        <is>
          <t>运费/快递费</t>
        </is>
      </c>
      <c r="F469" s="17">
        <f>IF($E469="","",IFERROR(VLOOKUP($E469,类别归属,2,0),"※类别不在基础资料里"))</f>
        <v/>
      </c>
      <c r="G469" s="13" t="inlineStr">
        <is>
          <t>东尼电子</t>
        </is>
      </c>
      <c r="H469" s="13" t="inlineStr">
        <is>
          <t>炳秀</t>
        </is>
      </c>
      <c r="I469" s="13" t="inlineStr">
        <is>
          <t>杭州炳秀-湖州26-28武晓军</t>
        </is>
      </c>
      <c r="J469" s="14" t="n"/>
      <c r="K469" s="14" t="n">
        <v>5</v>
      </c>
      <c r="L469" s="19">
        <f>IF($C469="","",ROUND(IFERROR(VLOOKUP($C469,账户期初,2,0),0)+SUMIFS($J$4:J469,$C$4:C469,$C469)-SUMIFS($K$4:K469,$C$4:C469,$C469),2))</f>
        <v/>
      </c>
      <c r="M469" s="19">
        <f>IF($C469="","",ROUND(SUM(基础资料!$B$4:$B$13)+SUM($J$4:J469)-SUM($K$4:K469),2))</f>
        <v/>
      </c>
      <c r="N469" s="13" t="n"/>
      <c r="O469" s="13" t="n"/>
      <c r="P469" s="17">
        <f>IF($B469="","",IF($F469="※类别不在基础资料里","※费用类别不在基础资料里",IF(AND(N($J469)=0,N($K469)=0),"※这行没填金额",IF(AND(N($J469)&gt;0,N($K469)&gt;0),"※收入和支出不能同一行都填",IF(AND($D469="收入",N($J469)=0),"※收入行要填收入金额",IF(AND($D469="支出",N($K469)=0),"※支出行要填支出金额",IF(AND($C469&lt;&gt;"",ISNA(MATCH($C469,账户表,0))),"※账户不在基础资料里",IF(AND($G469&lt;&gt;"",ISNA(MATCH($G469,项目名表,0))),"※项目不在项目台账里",IF(AND(LEFT($F469,3)="成本-",$G469=""),"※成本类支出没填项目",IF(AND(LEFT($F469,3)="成本-",$H469&lt;&gt;"",N($K469)&gt;0,COUNTIFS(采购单!$B:$B,$B469,采购单!$C:$C,$H469,采购单!$L:$L,$K469)&gt;0),"※这笔可能和采购单重复了",""))))))))))</f>
        <v/>
      </c>
    </row>
    <row r="470">
      <c r="A470" s="17">
        <f>IF($B470="","",ROW()-3)</f>
        <v/>
      </c>
      <c r="B470" s="18" t="n">
        <v>46169</v>
      </c>
      <c r="C470" s="13" t="inlineStr">
        <is>
          <t>微信1</t>
        </is>
      </c>
      <c r="D470" s="13" t="inlineStr">
        <is>
          <t>支出</t>
        </is>
      </c>
      <c r="E470" s="13" t="inlineStr">
        <is>
          <t>运费/快递费</t>
        </is>
      </c>
      <c r="F470" s="17">
        <f>IF($E470="","",IFERROR(VLOOKUP($E470,类别归属,2,0),"※类别不在基础资料里"))</f>
        <v/>
      </c>
      <c r="G470" s="13" t="inlineStr">
        <is>
          <t>顺丰月结</t>
        </is>
      </c>
      <c r="H470" s="13" t="inlineStr">
        <is>
          <t>顺丰速运</t>
        </is>
      </c>
      <c r="I470" s="13" t="inlineStr">
        <is>
          <t>顺丰速运</t>
        </is>
      </c>
      <c r="J470" s="14" t="n"/>
      <c r="K470" s="14" t="n">
        <v>254</v>
      </c>
      <c r="L470" s="19">
        <f>IF($C470="","",ROUND(IFERROR(VLOOKUP($C470,账户期初,2,0),0)+SUMIFS($J$4:J470,$C$4:C470,$C470)-SUMIFS($K$4:K470,$C$4:C470,$C470),2))</f>
        <v/>
      </c>
      <c r="M470" s="19">
        <f>IF($C470="","",ROUND(SUM(基础资料!$B$4:$B$13)+SUM($J$4:J470)-SUM($K$4:K470),2))</f>
        <v/>
      </c>
      <c r="N470" s="13" t="n"/>
      <c r="O470" s="13" t="n"/>
      <c r="P470" s="17">
        <f>IF($B470="","",IF($F470="※类别不在基础资料里","※费用类别不在基础资料里",IF(AND(N($J470)=0,N($K470)=0),"※这行没填金额",IF(AND(N($J470)&gt;0,N($K470)&gt;0),"※收入和支出不能同一行都填",IF(AND($D470="收入",N($J470)=0),"※收入行要填收入金额",IF(AND($D470="支出",N($K470)=0),"※支出行要填支出金额",IF(AND($C470&lt;&gt;"",ISNA(MATCH($C470,账户表,0))),"※账户不在基础资料里",IF(AND($G470&lt;&gt;"",ISNA(MATCH($G470,项目名表,0))),"※项目不在项目台账里",IF(AND(LEFT($F470,3)="成本-",$G470=""),"※成本类支出没填项目",IF(AND(LEFT($F470,3)="成本-",$H470&lt;&gt;"",N($K470)&gt;0,COUNTIFS(采购单!$B:$B,$B470,采购单!$C:$C,$H470,采购单!$L:$L,$K470)&gt;0),"※这笔可能和采购单重复了",""))))))))))</f>
        <v/>
      </c>
    </row>
    <row r="471">
      <c r="A471" s="17">
        <f>IF($B471="","",ROW()-3)</f>
        <v/>
      </c>
      <c r="B471" s="18" t="n">
        <v>46169</v>
      </c>
      <c r="C471" s="13" t="inlineStr">
        <is>
          <t>微信1</t>
        </is>
      </c>
      <c r="D471" s="13" t="inlineStr">
        <is>
          <t>支出</t>
        </is>
      </c>
      <c r="E471" s="13" t="inlineStr">
        <is>
          <t>运费/快递费</t>
        </is>
      </c>
      <c r="F471" s="17">
        <f>IF($E471="","",IFERROR(VLOOKUP($E471,类别归属,2,0),"※类别不在基础资料里"))</f>
        <v/>
      </c>
      <c r="G471" s="13" t="inlineStr">
        <is>
          <t>织里店</t>
        </is>
      </c>
      <c r="H471" s="13" t="inlineStr">
        <is>
          <t>炳秀</t>
        </is>
      </c>
      <c r="I471" s="13" t="inlineStr">
        <is>
          <t>杭州炳秀-湖州26-28武晓军</t>
        </is>
      </c>
      <c r="J471" s="14" t="n"/>
      <c r="K471" s="14" t="n">
        <v>10</v>
      </c>
      <c r="L471" s="19">
        <f>IF($C471="","",ROUND(IFERROR(VLOOKUP($C471,账户期初,2,0),0)+SUMIFS($J$4:J471,$C$4:C471,$C471)-SUMIFS($K$4:K471,$C$4:C471,$C471),2))</f>
        <v/>
      </c>
      <c r="M471" s="19">
        <f>IF($C471="","",ROUND(SUM(基础资料!$B$4:$B$13)+SUM($J$4:J471)-SUM($K$4:K471),2))</f>
        <v/>
      </c>
      <c r="N471" s="13" t="n"/>
      <c r="O471" s="13" t="n"/>
      <c r="P471" s="17">
        <f>IF($B471="","",IF($F471="※类别不在基础资料里","※费用类别不在基础资料里",IF(AND(N($J471)=0,N($K471)=0),"※这行没填金额",IF(AND(N($J471)&gt;0,N($K471)&gt;0),"※收入和支出不能同一行都填",IF(AND($D471="收入",N($J471)=0),"※收入行要填收入金额",IF(AND($D471="支出",N($K471)=0),"※支出行要填支出金额",IF(AND($C471&lt;&gt;"",ISNA(MATCH($C471,账户表,0))),"※账户不在基础资料里",IF(AND($G471&lt;&gt;"",ISNA(MATCH($G471,项目名表,0))),"※项目不在项目台账里",IF(AND(LEFT($F471,3)="成本-",$G471=""),"※成本类支出没填项目",IF(AND(LEFT($F471,3)="成本-",$H471&lt;&gt;"",N($K471)&gt;0,COUNTIFS(采购单!$B:$B,$B471,采购单!$C:$C,$H471,采购单!$L:$L,$K471)&gt;0),"※这笔可能和采购单重复了",""))))))))))</f>
        <v/>
      </c>
    </row>
    <row r="472">
      <c r="A472" s="17">
        <f>IF($B472="","",ROW()-3)</f>
        <v/>
      </c>
      <c r="B472" s="18" t="n">
        <v>46170</v>
      </c>
      <c r="C472" s="13" t="inlineStr">
        <is>
          <t>微信1</t>
        </is>
      </c>
      <c r="D472" s="13" t="inlineStr">
        <is>
          <t>支出</t>
        </is>
      </c>
      <c r="E472" s="13" t="inlineStr">
        <is>
          <t>运费/快递费</t>
        </is>
      </c>
      <c r="F472" s="17">
        <f>IF($E472="","",IFERROR(VLOOKUP($E472,类别归属,2,0),"※类别不在基础资料里"))</f>
        <v/>
      </c>
      <c r="G472" s="13" t="inlineStr">
        <is>
          <t>东尼电子</t>
        </is>
      </c>
      <c r="H472" s="13" t="inlineStr">
        <is>
          <t>炳秀</t>
        </is>
      </c>
      <c r="I472" s="13" t="inlineStr">
        <is>
          <t>杭州炳秀-湖州26-28武晓军</t>
        </is>
      </c>
      <c r="J472" s="14" t="n"/>
      <c r="K472" s="14" t="n">
        <v>82</v>
      </c>
      <c r="L472" s="19">
        <f>IF($C472="","",ROUND(IFERROR(VLOOKUP($C472,账户期初,2,0),0)+SUMIFS($J$4:J472,$C$4:C472,$C472)-SUMIFS($K$4:K472,$C$4:C472,$C472),2))</f>
        <v/>
      </c>
      <c r="M472" s="19">
        <f>IF($C472="","",ROUND(SUM(基础资料!$B$4:$B$13)+SUM($J$4:J472)-SUM($K$4:K472),2))</f>
        <v/>
      </c>
      <c r="N472" s="13" t="n"/>
      <c r="O472" s="13" t="inlineStr">
        <is>
          <t>104</t>
        </is>
      </c>
      <c r="P472" s="17">
        <f>IF($B472="","",IF($F472="※类别不在基础资料里","※费用类别不在基础资料里",IF(AND(N($J472)=0,N($K472)=0),"※这行没填金额",IF(AND(N($J472)&gt;0,N($K472)&gt;0),"※收入和支出不能同一行都填",IF(AND($D472="收入",N($J472)=0),"※收入行要填收入金额",IF(AND($D472="支出",N($K472)=0),"※支出行要填支出金额",IF(AND($C472&lt;&gt;"",ISNA(MATCH($C472,账户表,0))),"※账户不在基础资料里",IF(AND($G472&lt;&gt;"",ISNA(MATCH($G472,项目名表,0))),"※项目不在项目台账里",IF(AND(LEFT($F472,3)="成本-",$G472=""),"※成本类支出没填项目",IF(AND(LEFT($F472,3)="成本-",$H472&lt;&gt;"",N($K472)&gt;0,COUNTIFS(采购单!$B:$B,$B472,采购单!$C:$C,$H472,采购单!$L:$L,$K472)&gt;0),"※这笔可能和采购单重复了",""))))))))))</f>
        <v/>
      </c>
    </row>
    <row r="473">
      <c r="A473" s="17">
        <f>IF($B473="","",ROW()-3)</f>
        <v/>
      </c>
      <c r="B473" s="18" t="n">
        <v>46170</v>
      </c>
      <c r="C473" s="13" t="inlineStr">
        <is>
          <t>微信1</t>
        </is>
      </c>
      <c r="D473" s="13" t="inlineStr">
        <is>
          <t>支出</t>
        </is>
      </c>
      <c r="E473" s="13" t="inlineStr">
        <is>
          <t>运费/快递费</t>
        </is>
      </c>
      <c r="F473" s="17">
        <f>IF($E473="","",IFERROR(VLOOKUP($E473,类别归属,2,0),"※类别不在基础资料里"))</f>
        <v/>
      </c>
      <c r="G473" s="13" t="inlineStr">
        <is>
          <t>tk桌球</t>
        </is>
      </c>
      <c r="H473" s="13" t="inlineStr">
        <is>
          <t>炳秀</t>
        </is>
      </c>
      <c r="I473" s="13" t="inlineStr">
        <is>
          <t>杭州炳秀-湖州26-28武晓军</t>
        </is>
      </c>
      <c r="J473" s="14" t="n"/>
      <c r="K473" s="14" t="n">
        <v>22</v>
      </c>
      <c r="L473" s="19">
        <f>IF($C473="","",ROUND(IFERROR(VLOOKUP($C473,账户期初,2,0),0)+SUMIFS($J$4:J473,$C$4:C473,$C473)-SUMIFS($K$4:K473,$C$4:C473,$C473),2))</f>
        <v/>
      </c>
      <c r="M473" s="19">
        <f>IF($C473="","",ROUND(SUM(基础资料!$B$4:$B$13)+SUM($J$4:J473)-SUM($K$4:K473),2))</f>
        <v/>
      </c>
      <c r="N473" s="13" t="n"/>
      <c r="O473" s="13" t="n"/>
      <c r="P473" s="17">
        <f>IF($B473="","",IF($F473="※类别不在基础资料里","※费用类别不在基础资料里",IF(AND(N($J473)=0,N($K473)=0),"※这行没填金额",IF(AND(N($J473)&gt;0,N($K473)&gt;0),"※收入和支出不能同一行都填",IF(AND($D473="收入",N($J473)=0),"※收入行要填收入金额",IF(AND($D473="支出",N($K473)=0),"※支出行要填支出金额",IF(AND($C473&lt;&gt;"",ISNA(MATCH($C473,账户表,0))),"※账户不在基础资料里",IF(AND($G473&lt;&gt;"",ISNA(MATCH($G473,项目名表,0))),"※项目不在项目台账里",IF(AND(LEFT($F473,3)="成本-",$G473=""),"※成本类支出没填项目",IF(AND(LEFT($F473,3)="成本-",$H473&lt;&gt;"",N($K473)&gt;0,COUNTIFS(采购单!$B:$B,$B473,采购单!$C:$C,$H473,采购单!$L:$L,$K473)&gt;0),"※这笔可能和采购单重复了",""))))))))))</f>
        <v/>
      </c>
    </row>
    <row r="474">
      <c r="A474" s="17">
        <f>IF($B474="","",ROW()-3)</f>
        <v/>
      </c>
      <c r="B474" s="18" t="n">
        <v>46171</v>
      </c>
      <c r="C474" s="13" t="inlineStr">
        <is>
          <t>微信1</t>
        </is>
      </c>
      <c r="D474" s="13" t="inlineStr">
        <is>
          <t>收入</t>
        </is>
      </c>
      <c r="E474" s="13" t="inlineStr">
        <is>
          <t>待分类</t>
        </is>
      </c>
      <c r="F474" s="17">
        <f>IF($E474="","",IFERROR(VLOOKUP($E474,类别归属,2,0),"※类别不在基础资料里"))</f>
        <v/>
      </c>
      <c r="G474" s="13" t="inlineStr">
        <is>
          <t>安格斯烤串</t>
        </is>
      </c>
      <c r="H474" s="13" t="n"/>
      <c r="I474" s="13" t="inlineStr">
        <is>
          <t>Old－Nothing</t>
        </is>
      </c>
      <c r="J474" s="14" t="n">
        <v>400</v>
      </c>
      <c r="K474" s="14" t="n"/>
      <c r="L474" s="19">
        <f>IF($C474="","",ROUND(IFERROR(VLOOKUP($C474,账户期初,2,0),0)+SUMIFS($J$4:J474,$C$4:C474,$C474)-SUMIFS($K$4:K474,$C$4:C474,$C474),2))</f>
        <v/>
      </c>
      <c r="M474" s="19">
        <f>IF($C474="","",ROUND(SUM(基础资料!$B$4:$B$13)+SUM($J$4:J474)-SUM($K$4:K474),2))</f>
        <v/>
      </c>
      <c r="N474" s="13" t="n"/>
      <c r="O474" s="13" t="n"/>
      <c r="P474" s="17">
        <f>IF($B474="","",IF($F474="※类别不在基础资料里","※费用类别不在基础资料里",IF(AND(N($J474)=0,N($K474)=0),"※这行没填金额",IF(AND(N($J474)&gt;0,N($K474)&gt;0),"※收入和支出不能同一行都填",IF(AND($D474="收入",N($J474)=0),"※收入行要填收入金额",IF(AND($D474="支出",N($K474)=0),"※支出行要填支出金额",IF(AND($C474&lt;&gt;"",ISNA(MATCH($C474,账户表,0))),"※账户不在基础资料里",IF(AND($G474&lt;&gt;"",ISNA(MATCH($G474,项目名表,0))),"※项目不在项目台账里",IF(AND(LEFT($F474,3)="成本-",$G474=""),"※成本类支出没填项目",IF(AND(LEFT($F474,3)="成本-",$H474&lt;&gt;"",N($K474)&gt;0,COUNTIFS(采购单!$B:$B,$B474,采购单!$C:$C,$H474,采购单!$L:$L,$K474)&gt;0),"※这笔可能和采购单重复了",""))))))))))</f>
        <v/>
      </c>
    </row>
    <row r="475">
      <c r="A475" s="17">
        <f>IF($B475="","",ROW()-3)</f>
        <v/>
      </c>
      <c r="B475" s="18" t="n">
        <v>46171</v>
      </c>
      <c r="C475" s="13" t="inlineStr">
        <is>
          <t>微信1</t>
        </is>
      </c>
      <c r="D475" s="13" t="inlineStr">
        <is>
          <t>支出</t>
        </is>
      </c>
      <c r="E475" s="13" t="inlineStr">
        <is>
          <t>业务招待/餐费</t>
        </is>
      </c>
      <c r="F475" s="17">
        <f>IF($E475="","",IFERROR(VLOOKUP($E475,类别归属,2,0),"※类别不在基础资料里"))</f>
        <v/>
      </c>
      <c r="G475" s="13" t="inlineStr">
        <is>
          <t>东尼电子</t>
        </is>
      </c>
      <c r="H475" s="13" t="n"/>
      <c r="I475" s="13" t="inlineStr">
        <is>
          <t>跑腿费-美团</t>
        </is>
      </c>
      <c r="J475" s="14" t="n"/>
      <c r="K475" s="14" t="n">
        <v>13</v>
      </c>
      <c r="L475" s="19">
        <f>IF($C475="","",ROUND(IFERROR(VLOOKUP($C475,账户期初,2,0),0)+SUMIFS($J$4:J475,$C$4:C475,$C475)-SUMIFS($K$4:K475,$C$4:C475,$C475),2))</f>
        <v/>
      </c>
      <c r="M475" s="19">
        <f>IF($C475="","",ROUND(SUM(基础资料!$B$4:$B$13)+SUM($J$4:J475)-SUM($K$4:K475),2))</f>
        <v/>
      </c>
      <c r="N475" s="13" t="n"/>
      <c r="O475" s="13" t="n"/>
      <c r="P475" s="17">
        <f>IF($B475="","",IF($F475="※类别不在基础资料里","※费用类别不在基础资料里",IF(AND(N($J475)=0,N($K475)=0),"※这行没填金额",IF(AND(N($J475)&gt;0,N($K475)&gt;0),"※收入和支出不能同一行都填",IF(AND($D475="收入",N($J475)=0),"※收入行要填收入金额",IF(AND($D475="支出",N($K475)=0),"※支出行要填支出金额",IF(AND($C475&lt;&gt;"",ISNA(MATCH($C475,账户表,0))),"※账户不在基础资料里",IF(AND($G475&lt;&gt;"",ISNA(MATCH($G475,项目名表,0))),"※项目不在项目台账里",IF(AND(LEFT($F475,3)="成本-",$G475=""),"※成本类支出没填项目",IF(AND(LEFT($F475,3)="成本-",$H475&lt;&gt;"",N($K475)&gt;0,COUNTIFS(采购单!$B:$B,$B475,采购单!$C:$C,$H475,采购单!$L:$L,$K475)&gt;0),"※这笔可能和采购单重复了",""))))))))))</f>
        <v/>
      </c>
    </row>
    <row r="476">
      <c r="A476" s="17">
        <f>IF($B476="","",ROW()-3)</f>
        <v/>
      </c>
      <c r="B476" s="18" t="n">
        <v>46171</v>
      </c>
      <c r="C476" s="13" t="inlineStr">
        <is>
          <t>微信1</t>
        </is>
      </c>
      <c r="D476" s="13" t="inlineStr">
        <is>
          <t>支出</t>
        </is>
      </c>
      <c r="E476" s="13" t="inlineStr">
        <is>
          <t>运费/快递费</t>
        </is>
      </c>
      <c r="F476" s="17">
        <f>IF($E476="","",IFERROR(VLOOKUP($E476,类别归属,2,0),"※类别不在基础资料里"))</f>
        <v/>
      </c>
      <c r="G476" s="13" t="inlineStr">
        <is>
          <t>东尼电子</t>
        </is>
      </c>
      <c r="H476" s="13" t="inlineStr">
        <is>
          <t>炳秀</t>
        </is>
      </c>
      <c r="I476" s="13" t="inlineStr">
        <is>
          <t>杭州炳秀-湖州26-28武晓军</t>
        </is>
      </c>
      <c r="J476" s="14" t="n"/>
      <c r="K476" s="14" t="n">
        <v>22</v>
      </c>
      <c r="L476" s="19">
        <f>IF($C476="","",ROUND(IFERROR(VLOOKUP($C476,账户期初,2,0),0)+SUMIFS($J$4:J476,$C$4:C476,$C476)-SUMIFS($K$4:K476,$C$4:C476,$C476),2))</f>
        <v/>
      </c>
      <c r="M476" s="19">
        <f>IF($C476="","",ROUND(SUM(基础资料!$B$4:$B$13)+SUM($J$4:J476)-SUM($K$4:K476),2))</f>
        <v/>
      </c>
      <c r="N476" s="13" t="n"/>
      <c r="O476" s="13" t="inlineStr">
        <is>
          <t>27</t>
        </is>
      </c>
      <c r="P476" s="17">
        <f>IF($B476="","",IF($F476="※类别不在基础资料里","※费用类别不在基础资料里",IF(AND(N($J476)=0,N($K476)=0),"※这行没填金额",IF(AND(N($J476)&gt;0,N($K476)&gt;0),"※收入和支出不能同一行都填",IF(AND($D476="收入",N($J476)=0),"※收入行要填收入金额",IF(AND($D476="支出",N($K476)=0),"※支出行要填支出金额",IF(AND($C476&lt;&gt;"",ISNA(MATCH($C476,账户表,0))),"※账户不在基础资料里",IF(AND($G476&lt;&gt;"",ISNA(MATCH($G476,项目名表,0))),"※项目不在项目台账里",IF(AND(LEFT($F476,3)="成本-",$G476=""),"※成本类支出没填项目",IF(AND(LEFT($F476,3)="成本-",$H476&lt;&gt;"",N($K476)&gt;0,COUNTIFS(采购单!$B:$B,$B476,采购单!$C:$C,$H476,采购单!$L:$L,$K476)&gt;0),"※这笔可能和采购单重复了",""))))))))))</f>
        <v/>
      </c>
    </row>
    <row r="477">
      <c r="A477" s="17">
        <f>IF($B477="","",ROW()-3)</f>
        <v/>
      </c>
      <c r="B477" s="18" t="n">
        <v>46171</v>
      </c>
      <c r="C477" s="13" t="inlineStr">
        <is>
          <t>微信1</t>
        </is>
      </c>
      <c r="D477" s="13" t="inlineStr">
        <is>
          <t>支出</t>
        </is>
      </c>
      <c r="E477" s="13" t="inlineStr">
        <is>
          <t>运费/快递费</t>
        </is>
      </c>
      <c r="F477" s="17">
        <f>IF($E477="","",IFERROR(VLOOKUP($E477,类别归属,2,0),"※类别不在基础资料里"))</f>
        <v/>
      </c>
      <c r="G477" s="13" t="inlineStr">
        <is>
          <t>织里店</t>
        </is>
      </c>
      <c r="H477" s="13" t="inlineStr">
        <is>
          <t>炳秀</t>
        </is>
      </c>
      <c r="I477" s="13" t="inlineStr">
        <is>
          <t>杭州炳秀-湖州26-28武晓军</t>
        </is>
      </c>
      <c r="J477" s="14" t="n"/>
      <c r="K477" s="14" t="n">
        <v>5</v>
      </c>
      <c r="L477" s="19">
        <f>IF($C477="","",ROUND(IFERROR(VLOOKUP($C477,账户期初,2,0),0)+SUMIFS($J$4:J477,$C$4:C477,$C477)-SUMIFS($K$4:K477,$C$4:C477,$C477),2))</f>
        <v/>
      </c>
      <c r="M477" s="19">
        <f>IF($C477="","",ROUND(SUM(基础资料!$B$4:$B$13)+SUM($J$4:J477)-SUM($K$4:K477),2))</f>
        <v/>
      </c>
      <c r="N477" s="13" t="n"/>
      <c r="O477" s="13" t="n"/>
      <c r="P477" s="17">
        <f>IF($B477="","",IF($F477="※类别不在基础资料里","※费用类别不在基础资料里",IF(AND(N($J477)=0,N($K477)=0),"※这行没填金额",IF(AND(N($J477)&gt;0,N($K477)&gt;0),"※收入和支出不能同一行都填",IF(AND($D477="收入",N($J477)=0),"※收入行要填收入金额",IF(AND($D477="支出",N($K477)=0),"※支出行要填支出金额",IF(AND($C477&lt;&gt;"",ISNA(MATCH($C477,账户表,0))),"※账户不在基础资料里",IF(AND($G477&lt;&gt;"",ISNA(MATCH($G477,项目名表,0))),"※项目不在项目台账里",IF(AND(LEFT($F477,3)="成本-",$G477=""),"※成本类支出没填项目",IF(AND(LEFT($F477,3)="成本-",$H477&lt;&gt;"",N($K477)&gt;0,COUNTIFS(采购单!$B:$B,$B477,采购单!$C:$C,$H477,采购单!$L:$L,$K477)&gt;0),"※这笔可能和采购单重复了",""))))))))))</f>
        <v/>
      </c>
    </row>
    <row r="478">
      <c r="A478" s="17">
        <f>IF($B478="","",ROW()-3)</f>
        <v/>
      </c>
      <c r="B478" s="18" t="n">
        <v>46171</v>
      </c>
      <c r="C478" s="13" t="inlineStr">
        <is>
          <t>微信1</t>
        </is>
      </c>
      <c r="D478" s="13" t="inlineStr">
        <is>
          <t>支出</t>
        </is>
      </c>
      <c r="E478" s="13" t="inlineStr">
        <is>
          <t>网购材料耗材</t>
        </is>
      </c>
      <c r="F478" s="17">
        <f>IF($E478="","",IFERROR(VLOOKUP($E478,类别归属,2,0),"※类别不在基础资料里"))</f>
        <v/>
      </c>
      <c r="G478" s="13" t="inlineStr">
        <is>
          <t>沁心境界</t>
        </is>
      </c>
      <c r="H478" s="13" t="inlineStr">
        <is>
          <t>淘宝</t>
        </is>
      </c>
      <c r="I478" s="13" t="inlineStr">
        <is>
          <t>淘宝平台商户</t>
        </is>
      </c>
      <c r="J478" s="14" t="n"/>
      <c r="K478" s="14" t="n">
        <v>251.1</v>
      </c>
      <c r="L478" s="19">
        <f>IF($C478="","",ROUND(IFERROR(VLOOKUP($C478,账户期初,2,0),0)+SUMIFS($J$4:J478,$C$4:C478,$C478)-SUMIFS($K$4:K478,$C$4:C478,$C478),2))</f>
        <v/>
      </c>
      <c r="M478" s="19">
        <f>IF($C478="","",ROUND(SUM(基础资料!$B$4:$B$13)+SUM($J$4:J478)-SUM($K$4:K478),2))</f>
        <v/>
      </c>
      <c r="N478" s="13" t="n"/>
      <c r="O478" s="13" t="n"/>
      <c r="P478" s="17">
        <f>IF($B478="","",IF($F478="※类别不在基础资料里","※费用类别不在基础资料里",IF(AND(N($J478)=0,N($K478)=0),"※这行没填金额",IF(AND(N($J478)&gt;0,N($K478)&gt;0),"※收入和支出不能同一行都填",IF(AND($D478="收入",N($J478)=0),"※收入行要填收入金额",IF(AND($D478="支出",N($K478)=0),"※支出行要填支出金额",IF(AND($C478&lt;&gt;"",ISNA(MATCH($C478,账户表,0))),"※账户不在基础资料里",IF(AND($G478&lt;&gt;"",ISNA(MATCH($G478,项目名表,0))),"※项目不在项目台账里",IF(AND(LEFT($F478,3)="成本-",$G478=""),"※成本类支出没填项目",IF(AND(LEFT($F478,3)="成本-",$H478&lt;&gt;"",N($K478)&gt;0,COUNTIFS(采购单!$B:$B,$B478,采购单!$C:$C,$H478,采购单!$L:$L,$K478)&gt;0),"※这笔可能和采购单重复了",""))))))))))</f>
        <v/>
      </c>
    </row>
    <row r="479">
      <c r="A479" s="17">
        <f>IF($B479="","",ROW()-3)</f>
        <v/>
      </c>
      <c r="B479" s="18" t="n">
        <v>46172</v>
      </c>
      <c r="C479" s="13" t="inlineStr">
        <is>
          <t>微信1</t>
        </is>
      </c>
      <c r="D479" s="13" t="inlineStr">
        <is>
          <t>支出</t>
        </is>
      </c>
      <c r="E479" s="13" t="inlineStr">
        <is>
          <t>待分类</t>
        </is>
      </c>
      <c r="F479" s="17">
        <f>IF($E479="","",IFERROR(VLOOKUP($E479,类别归属,2,0),"※类别不在基础资料里"))</f>
        <v/>
      </c>
      <c r="G479" s="13" t="n"/>
      <c r="H479" s="13" t="n"/>
      <c r="I479" s="13" t="inlineStr">
        <is>
          <t>邓姐姐</t>
        </is>
      </c>
      <c r="J479" s="14" t="n"/>
      <c r="K479" s="14" t="n">
        <v>240</v>
      </c>
      <c r="L479" s="19">
        <f>IF($C479="","",ROUND(IFERROR(VLOOKUP($C479,账户期初,2,0),0)+SUMIFS($J$4:J479,$C$4:C479,$C479)-SUMIFS($K$4:K479,$C$4:C479,$C479),2))</f>
        <v/>
      </c>
      <c r="M479" s="19">
        <f>IF($C479="","",ROUND(SUM(基础资料!$B$4:$B$13)+SUM($J$4:J479)-SUM($K$4:K479),2))</f>
        <v/>
      </c>
      <c r="N479" s="13" t="n"/>
      <c r="O479" s="13" t="inlineStr">
        <is>
          <t>玻璃胶一箱</t>
        </is>
      </c>
      <c r="P479" s="17">
        <f>IF($B479="","",IF($F479="※类别不在基础资料里","※费用类别不在基础资料里",IF(AND(N($J479)=0,N($K479)=0),"※这行没填金额",IF(AND(N($J479)&gt;0,N($K479)&gt;0),"※收入和支出不能同一行都填",IF(AND($D479="收入",N($J479)=0),"※收入行要填收入金额",IF(AND($D479="支出",N($K479)=0),"※支出行要填支出金额",IF(AND($C479&lt;&gt;"",ISNA(MATCH($C479,账户表,0))),"※账户不在基础资料里",IF(AND($G479&lt;&gt;"",ISNA(MATCH($G479,项目名表,0))),"※项目不在项目台账里",IF(AND(LEFT($F479,3)="成本-",$G479=""),"※成本类支出没填项目",IF(AND(LEFT($F479,3)="成本-",$H479&lt;&gt;"",N($K479)&gt;0,COUNTIFS(采购单!$B:$B,$B479,采购单!$C:$C,$H479,采购单!$L:$L,$K479)&gt;0),"※这笔可能和采购单重复了",""))))))))))</f>
        <v/>
      </c>
    </row>
    <row r="480">
      <c r="A480" s="17">
        <f>IF($B480="","",ROW()-3)</f>
        <v/>
      </c>
      <c r="B480" s="18" t="n">
        <v>46172</v>
      </c>
      <c r="C480" s="13" t="inlineStr">
        <is>
          <t>微信1</t>
        </is>
      </c>
      <c r="D480" s="13" t="inlineStr">
        <is>
          <t>收入</t>
        </is>
      </c>
      <c r="E480" s="13" t="inlineStr">
        <is>
          <t>待分类</t>
        </is>
      </c>
      <c r="F480" s="17">
        <f>IF($E480="","",IFERROR(VLOOKUP($E480,类别归属,2,0),"※类别不在基础资料里"))</f>
        <v/>
      </c>
      <c r="G480" s="13" t="inlineStr">
        <is>
          <t>兴成公寓</t>
        </is>
      </c>
      <c r="H480" s="13" t="n"/>
      <c r="I480" s="13" t="inlineStr">
        <is>
          <t>杨家林</t>
        </is>
      </c>
      <c r="J480" s="14" t="n">
        <v>2000</v>
      </c>
      <c r="K480" s="14" t="n"/>
      <c r="L480" s="19">
        <f>IF($C480="","",ROUND(IFERROR(VLOOKUP($C480,账户期初,2,0),0)+SUMIFS($J$4:J480,$C$4:C480,$C480)-SUMIFS($K$4:K480,$C$4:C480,$C480),2))</f>
        <v/>
      </c>
      <c r="M480" s="19">
        <f>IF($C480="","",ROUND(SUM(基础资料!$B$4:$B$13)+SUM($J$4:J480)-SUM($K$4:K480),2))</f>
        <v/>
      </c>
      <c r="N480" s="13" t="n"/>
      <c r="O480" s="13" t="n"/>
      <c r="P480" s="17">
        <f>IF($B480="","",IF($F480="※类别不在基础资料里","※费用类别不在基础资料里",IF(AND(N($J480)=0,N($K480)=0),"※这行没填金额",IF(AND(N($J480)&gt;0,N($K480)&gt;0),"※收入和支出不能同一行都填",IF(AND($D480="收入",N($J480)=0),"※收入行要填收入金额",IF(AND($D480="支出",N($K480)=0),"※支出行要填支出金额",IF(AND($C480&lt;&gt;"",ISNA(MATCH($C480,账户表,0))),"※账户不在基础资料里",IF(AND($G480&lt;&gt;"",ISNA(MATCH($G480,项目名表,0))),"※项目不在项目台账里",IF(AND(LEFT($F480,3)="成本-",$G480=""),"※成本类支出没填项目",IF(AND(LEFT($F480,3)="成本-",$H480&lt;&gt;"",N($K480)&gt;0,COUNTIFS(采购单!$B:$B,$B480,采购单!$C:$C,$H480,采购单!$L:$L,$K480)&gt;0),"※这笔可能和采购单重复了",""))))))))))</f>
        <v/>
      </c>
    </row>
    <row r="481">
      <c r="A481" s="17">
        <f>IF($B481="","",ROW()-3)</f>
        <v/>
      </c>
      <c r="B481" s="18" t="n">
        <v>46172</v>
      </c>
      <c r="C481" s="13" t="inlineStr">
        <is>
          <t>微信1</t>
        </is>
      </c>
      <c r="D481" s="13" t="inlineStr">
        <is>
          <t>支出</t>
        </is>
      </c>
      <c r="E481" s="13" t="inlineStr">
        <is>
          <t>运费/快递费</t>
        </is>
      </c>
      <c r="F481" s="17">
        <f>IF($E481="","",IFERROR(VLOOKUP($E481,类别归属,2,0),"※类别不在基础资料里"))</f>
        <v/>
      </c>
      <c r="G481" s="13" t="inlineStr">
        <is>
          <t>织里店</t>
        </is>
      </c>
      <c r="H481" s="13" t="inlineStr">
        <is>
          <t>炳秀</t>
        </is>
      </c>
      <c r="I481" s="13" t="inlineStr">
        <is>
          <t>杭州炳秀-湖州26-28武晓军</t>
        </is>
      </c>
      <c r="J481" s="14" t="n"/>
      <c r="K481" s="14" t="n">
        <v>32</v>
      </c>
      <c r="L481" s="19">
        <f>IF($C481="","",ROUND(IFERROR(VLOOKUP($C481,账户期初,2,0),0)+SUMIFS($J$4:J481,$C$4:C481,$C481)-SUMIFS($K$4:K481,$C$4:C481,$C481),2))</f>
        <v/>
      </c>
      <c r="M481" s="19">
        <f>IF($C481="","",ROUND(SUM(基础资料!$B$4:$B$13)+SUM($J$4:J481)-SUM($K$4:K481),2))</f>
        <v/>
      </c>
      <c r="N481" s="13" t="n"/>
      <c r="O481" s="13" t="n"/>
      <c r="P481" s="17">
        <f>IF($B481="","",IF($F481="※类别不在基础资料里","※费用类别不在基础资料里",IF(AND(N($J481)=0,N($K481)=0),"※这行没填金额",IF(AND(N($J481)&gt;0,N($K481)&gt;0),"※收入和支出不能同一行都填",IF(AND($D481="收入",N($J481)=0),"※收入行要填收入金额",IF(AND($D481="支出",N($K481)=0),"※支出行要填支出金额",IF(AND($C481&lt;&gt;"",ISNA(MATCH($C481,账户表,0))),"※账户不在基础资料里",IF(AND($G481&lt;&gt;"",ISNA(MATCH($G481,项目名表,0))),"※项目不在项目台账里",IF(AND(LEFT($F481,3)="成本-",$G481=""),"※成本类支出没填项目",IF(AND(LEFT($F481,3)="成本-",$H481&lt;&gt;"",N($K481)&gt;0,COUNTIFS(采购单!$B:$B,$B481,采购单!$C:$C,$H481,采购单!$L:$L,$K481)&gt;0),"※这笔可能和采购单重复了",""))))))))))</f>
        <v/>
      </c>
    </row>
    <row r="482">
      <c r="A482" s="17">
        <f>IF($B482="","",ROW()-3)</f>
        <v/>
      </c>
      <c r="B482" s="18" t="n">
        <v>46172</v>
      </c>
      <c r="C482" s="13" t="inlineStr">
        <is>
          <t>微信1</t>
        </is>
      </c>
      <c r="D482" s="13" t="inlineStr">
        <is>
          <t>收入</t>
        </is>
      </c>
      <c r="E482" s="13" t="inlineStr">
        <is>
          <t>待分类</t>
        </is>
      </c>
      <c r="F482" s="17">
        <f>IF($E482="","",IFERROR(VLOOKUP($E482,类别归属,2,0),"※类别不在基础资料里"))</f>
        <v/>
      </c>
      <c r="G482" s="13" t="inlineStr">
        <is>
          <t>丰汇新材料</t>
        </is>
      </c>
      <c r="H482" s="13" t="n"/>
      <c r="I482" s="13" t="inlineStr">
        <is>
          <t>侯娟</t>
        </is>
      </c>
      <c r="J482" s="14" t="n">
        <v>80</v>
      </c>
      <c r="K482" s="14" t="n"/>
      <c r="L482" s="19">
        <f>IF($C482="","",ROUND(IFERROR(VLOOKUP($C482,账户期初,2,0),0)+SUMIFS($J$4:J482,$C$4:C482,$C482)-SUMIFS($K$4:K482,$C$4:C482,$C482),2))</f>
        <v/>
      </c>
      <c r="M482" s="19">
        <f>IF($C482="","",ROUND(SUM(基础资料!$B$4:$B$13)+SUM($J$4:J482)-SUM($K$4:K482),2))</f>
        <v/>
      </c>
      <c r="N482" s="13" t="n"/>
      <c r="O482" s="13" t="n"/>
      <c r="P482" s="17">
        <f>IF($B482="","",IF($F482="※类别不在基础资料里","※费用类别不在基础资料里",IF(AND(N($J482)=0,N($K482)=0),"※这行没填金额",IF(AND(N($J482)&gt;0,N($K482)&gt;0),"※收入和支出不能同一行都填",IF(AND($D482="收入",N($J482)=0),"※收入行要填收入金额",IF(AND($D482="支出",N($K482)=0),"※支出行要填支出金额",IF(AND($C482&lt;&gt;"",ISNA(MATCH($C482,账户表,0))),"※账户不在基础资料里",IF(AND($G482&lt;&gt;"",ISNA(MATCH($G482,项目名表,0))),"※项目不在项目台账里",IF(AND(LEFT($F482,3)="成本-",$G482=""),"※成本类支出没填项目",IF(AND(LEFT($F482,3)="成本-",$H482&lt;&gt;"",N($K482)&gt;0,COUNTIFS(采购单!$B:$B,$B482,采购单!$C:$C,$H482,采购单!$L:$L,$K482)&gt;0),"※这笔可能和采购单重复了",""))))))))))</f>
        <v/>
      </c>
    </row>
    <row r="483">
      <c r="A483" s="17">
        <f>IF($B483="","",ROW()-3)</f>
        <v/>
      </c>
      <c r="B483" s="18" t="n">
        <v>46173</v>
      </c>
      <c r="C483" s="13" t="inlineStr">
        <is>
          <t>微信1</t>
        </is>
      </c>
      <c r="D483" s="13" t="inlineStr">
        <is>
          <t>支出</t>
        </is>
      </c>
      <c r="E483" s="13" t="inlineStr">
        <is>
          <t>运费/快递费</t>
        </is>
      </c>
      <c r="F483" s="17">
        <f>IF($E483="","",IFERROR(VLOOKUP($E483,类别归属,2,0),"※类别不在基础资料里"))</f>
        <v/>
      </c>
      <c r="G483" s="13" t="inlineStr">
        <is>
          <t>织里店</t>
        </is>
      </c>
      <c r="H483" s="13" t="inlineStr">
        <is>
          <t>炳秀</t>
        </is>
      </c>
      <c r="I483" s="13" t="inlineStr">
        <is>
          <t>付炳秀</t>
        </is>
      </c>
      <c r="J483" s="14" t="n"/>
      <c r="K483" s="14" t="n">
        <v>254</v>
      </c>
      <c r="L483" s="19">
        <f>IF($C483="","",ROUND(IFERROR(VLOOKUP($C483,账户期初,2,0),0)+SUMIFS($J$4:J483,$C$4:C483,$C483)-SUMIFS($K$4:K483,$C$4:C483,$C483),2))</f>
        <v/>
      </c>
      <c r="M483" s="19">
        <f>IF($C483="","",ROUND(SUM(基础资料!$B$4:$B$13)+SUM($J$4:J483)-SUM($K$4:K483),2))</f>
        <v/>
      </c>
      <c r="N483" s="13" t="n"/>
      <c r="O483" s="13" t="inlineStr">
        <is>
          <t>276</t>
        </is>
      </c>
      <c r="P483" s="17">
        <f>IF($B483="","",IF($F483="※类别不在基础资料里","※费用类别不在基础资料里",IF(AND(N($J483)=0,N($K483)=0),"※这行没填金额",IF(AND(N($J483)&gt;0,N($K483)&gt;0),"※收入和支出不能同一行都填",IF(AND($D483="收入",N($J483)=0),"※收入行要填收入金额",IF(AND($D483="支出",N($K483)=0),"※支出行要填支出金额",IF(AND($C483&lt;&gt;"",ISNA(MATCH($C483,账户表,0))),"※账户不在基础资料里",IF(AND($G483&lt;&gt;"",ISNA(MATCH($G483,项目名表,0))),"※项目不在项目台账里",IF(AND(LEFT($F483,3)="成本-",$G483=""),"※成本类支出没填项目",IF(AND(LEFT($F483,3)="成本-",$H483&lt;&gt;"",N($K483)&gt;0,COUNTIFS(采购单!$B:$B,$B483,采购单!$C:$C,$H483,采购单!$L:$L,$K483)&gt;0),"※这笔可能和采购单重复了",""))))))))))</f>
        <v/>
      </c>
    </row>
    <row r="484">
      <c r="A484" s="17">
        <f>IF($B484="","",ROW()-3)</f>
        <v/>
      </c>
      <c r="B484" s="18" t="n">
        <v>46173</v>
      </c>
      <c r="C484" s="13" t="inlineStr">
        <is>
          <t>微信1</t>
        </is>
      </c>
      <c r="D484" s="13" t="inlineStr">
        <is>
          <t>支出</t>
        </is>
      </c>
      <c r="E484" s="13" t="inlineStr">
        <is>
          <t>运费/快递费</t>
        </is>
      </c>
      <c r="F484" s="17">
        <f>IF($E484="","",IFERROR(VLOOKUP($E484,类别归属,2,0),"※类别不在基础资料里"))</f>
        <v/>
      </c>
      <c r="G484" s="13" t="inlineStr">
        <is>
          <t>丰汇新材料</t>
        </is>
      </c>
      <c r="H484" s="13" t="inlineStr">
        <is>
          <t>炳秀</t>
        </is>
      </c>
      <c r="I484" s="13" t="inlineStr">
        <is>
          <t>付炳秀</t>
        </is>
      </c>
      <c r="J484" s="14" t="n"/>
      <c r="K484" s="14" t="n">
        <v>10</v>
      </c>
      <c r="L484" s="19">
        <f>IF($C484="","",ROUND(IFERROR(VLOOKUP($C484,账户期初,2,0),0)+SUMIFS($J$4:J484,$C$4:C484,$C484)-SUMIFS($K$4:K484,$C$4:C484,$C484),2))</f>
        <v/>
      </c>
      <c r="M484" s="19">
        <f>IF($C484="","",ROUND(SUM(基础资料!$B$4:$B$13)+SUM($J$4:J484)-SUM($K$4:K484),2))</f>
        <v/>
      </c>
      <c r="N484" s="13" t="n"/>
      <c r="O484" s="13" t="n"/>
      <c r="P484" s="17">
        <f>IF($B484="","",IF($F484="※类别不在基础资料里","※费用类别不在基础资料里",IF(AND(N($J484)=0,N($K484)=0),"※这行没填金额",IF(AND(N($J484)&gt;0,N($K484)&gt;0),"※收入和支出不能同一行都填",IF(AND($D484="收入",N($J484)=0),"※收入行要填收入金额",IF(AND($D484="支出",N($K484)=0),"※支出行要填支出金额",IF(AND($C484&lt;&gt;"",ISNA(MATCH($C484,账户表,0))),"※账户不在基础资料里",IF(AND($G484&lt;&gt;"",ISNA(MATCH($G484,项目名表,0))),"※项目不在项目台账里",IF(AND(LEFT($F484,3)="成本-",$G484=""),"※成本类支出没填项目",IF(AND(LEFT($F484,3)="成本-",$H484&lt;&gt;"",N($K484)&gt;0,COUNTIFS(采购单!$B:$B,$B484,采购单!$C:$C,$H484,采购单!$L:$L,$K484)&gt;0),"※这笔可能和采购单重复了",""))))))))))</f>
        <v/>
      </c>
    </row>
    <row r="485">
      <c r="A485" s="17">
        <f>IF($B485="","",ROW()-3)</f>
        <v/>
      </c>
      <c r="B485" s="18" t="n">
        <v>46173</v>
      </c>
      <c r="C485" s="13" t="inlineStr">
        <is>
          <t>微信1</t>
        </is>
      </c>
      <c r="D485" s="13" t="inlineStr">
        <is>
          <t>支出</t>
        </is>
      </c>
      <c r="E485" s="13" t="inlineStr">
        <is>
          <t>运费/快递费</t>
        </is>
      </c>
      <c r="F485" s="17">
        <f>IF($E485="","",IFERROR(VLOOKUP($E485,类别归属,2,0),"※类别不在基础资料里"))</f>
        <v/>
      </c>
      <c r="G485" s="13" t="inlineStr">
        <is>
          <t>全球购</t>
        </is>
      </c>
      <c r="H485" s="13" t="inlineStr">
        <is>
          <t>炳秀</t>
        </is>
      </c>
      <c r="I485" s="13" t="inlineStr">
        <is>
          <t>付炳秀</t>
        </is>
      </c>
      <c r="J485" s="14" t="n"/>
      <c r="K485" s="14" t="n">
        <v>12</v>
      </c>
      <c r="L485" s="19">
        <f>IF($C485="","",ROUND(IFERROR(VLOOKUP($C485,账户期初,2,0),0)+SUMIFS($J$4:J485,$C$4:C485,$C485)-SUMIFS($K$4:K485,$C$4:C485,$C485),2))</f>
        <v/>
      </c>
      <c r="M485" s="19">
        <f>IF($C485="","",ROUND(SUM(基础资料!$B$4:$B$13)+SUM($J$4:J485)-SUM($K$4:K485),2))</f>
        <v/>
      </c>
      <c r="N485" s="13" t="n"/>
      <c r="O485" s="13" t="n"/>
      <c r="P485" s="17">
        <f>IF($B485="","",IF($F485="※类别不在基础资料里","※费用类别不在基础资料里",IF(AND(N($J485)=0,N($K485)=0),"※这行没填金额",IF(AND(N($J485)&gt;0,N($K485)&gt;0),"※收入和支出不能同一行都填",IF(AND($D485="收入",N($J485)=0),"※收入行要填收入金额",IF(AND($D485="支出",N($K485)=0),"※支出行要填支出金额",IF(AND($C485&lt;&gt;"",ISNA(MATCH($C485,账户表,0))),"※账户不在基础资料里",IF(AND($G485&lt;&gt;"",ISNA(MATCH($G485,项目名表,0))),"※项目不在项目台账里",IF(AND(LEFT($F485,3)="成本-",$G485=""),"※成本类支出没填项目",IF(AND(LEFT($F485,3)="成本-",$H485&lt;&gt;"",N($K485)&gt;0,COUNTIFS(采购单!$B:$B,$B485,采购单!$C:$C,$H485,采购单!$L:$L,$K485)&gt;0),"※这笔可能和采购单重复了",""))))))))))</f>
        <v/>
      </c>
    </row>
    <row r="486">
      <c r="A486" s="17">
        <f>IF($B486="","",ROW()-3)</f>
        <v/>
      </c>
      <c r="B486" s="18" t="n">
        <v>46173</v>
      </c>
      <c r="C486" s="13" t="inlineStr">
        <is>
          <t>微信1</t>
        </is>
      </c>
      <c r="D486" s="13" t="inlineStr">
        <is>
          <t>支出</t>
        </is>
      </c>
      <c r="E486" s="13" t="inlineStr">
        <is>
          <t>运费/快递费</t>
        </is>
      </c>
      <c r="F486" s="17">
        <f>IF($E486="","",IFERROR(VLOOKUP($E486,类别归属,2,0),"※类别不在基础资料里"))</f>
        <v/>
      </c>
      <c r="G486" s="13" t="inlineStr">
        <is>
          <t>tk桌球</t>
        </is>
      </c>
      <c r="H486" s="13" t="inlineStr">
        <is>
          <t>京东货拉拉运费</t>
        </is>
      </c>
      <c r="I486" s="13" t="inlineStr">
        <is>
          <t>付京东货拉拉运费</t>
        </is>
      </c>
      <c r="J486" s="14" t="n"/>
      <c r="K486" s="14" t="n">
        <v>161.95</v>
      </c>
      <c r="L486" s="19">
        <f>IF($C486="","",ROUND(IFERROR(VLOOKUP($C486,账户期初,2,0),0)+SUMIFS($J$4:J486,$C$4:C486,$C486)-SUMIFS($K$4:K486,$C$4:C486,$C486),2))</f>
        <v/>
      </c>
      <c r="M486" s="19">
        <f>IF($C486="","",ROUND(SUM(基础资料!$B$4:$B$13)+SUM($J$4:J486)-SUM($K$4:K486),2))</f>
        <v/>
      </c>
      <c r="N486" s="13" t="n"/>
      <c r="O486" s="13" t="inlineStr">
        <is>
          <t>本哺未来、5.31凌宇实存2945.71</t>
        </is>
      </c>
      <c r="P486" s="17">
        <f>IF($B486="","",IF($F486="※类别不在基础资料里","※费用类别不在基础资料里",IF(AND(N($J486)=0,N($K486)=0),"※这行没填金额",IF(AND(N($J486)&gt;0,N($K486)&gt;0),"※收入和支出不能同一行都填",IF(AND($D486="收入",N($J486)=0),"※收入行要填收入金额",IF(AND($D486="支出",N($K486)=0),"※支出行要填支出金额",IF(AND($C486&lt;&gt;"",ISNA(MATCH($C486,账户表,0))),"※账户不在基础资料里",IF(AND($G486&lt;&gt;"",ISNA(MATCH($G486,项目名表,0))),"※项目不在项目台账里",IF(AND(LEFT($F486,3)="成本-",$G486=""),"※成本类支出没填项目",IF(AND(LEFT($F486,3)="成本-",$H486&lt;&gt;"",N($K486)&gt;0,COUNTIFS(采购单!$B:$B,$B486,采购单!$C:$C,$H486,采购单!$L:$L,$K486)&gt;0),"※这笔可能和采购单重复了",""))))))))))</f>
        <v/>
      </c>
    </row>
    <row r="487">
      <c r="A487" s="17">
        <f>IF($B487="","",ROW()-3)</f>
        <v/>
      </c>
      <c r="B487" s="18" t="n">
        <v>46174</v>
      </c>
      <c r="C487" s="13" t="inlineStr">
        <is>
          <t>微信1</t>
        </is>
      </c>
      <c r="D487" s="13" t="inlineStr">
        <is>
          <t>支出</t>
        </is>
      </c>
      <c r="E487" s="13" t="inlineStr">
        <is>
          <t>运费/快递费</t>
        </is>
      </c>
      <c r="F487" s="17">
        <f>IF($E487="","",IFERROR(VLOOKUP($E487,类别归属,2,0),"※类别不在基础资料里"))</f>
        <v/>
      </c>
      <c r="G487" s="13" t="inlineStr">
        <is>
          <t>织里店</t>
        </is>
      </c>
      <c r="H487" s="13" t="inlineStr">
        <is>
          <t>炳秀</t>
        </is>
      </c>
      <c r="I487" s="13" t="inlineStr">
        <is>
          <t>杭州炳秀-湖州26-28武晓军</t>
        </is>
      </c>
      <c r="J487" s="14" t="n"/>
      <c r="K487" s="14" t="n">
        <v>53</v>
      </c>
      <c r="L487" s="19">
        <f>IF($C487="","",ROUND(IFERROR(VLOOKUP($C487,账户期初,2,0),0)+SUMIFS($J$4:J487,$C$4:C487,$C487)-SUMIFS($K$4:K487,$C$4:C487,$C487),2))</f>
        <v/>
      </c>
      <c r="M487" s="19">
        <f>IF($C487="","",ROUND(SUM(基础资料!$B$4:$B$13)+SUM($J$4:J487)-SUM($K$4:K487),2))</f>
        <v/>
      </c>
      <c r="N487" s="13" t="n"/>
      <c r="O487" s="13" t="n"/>
      <c r="P487" s="17">
        <f>IF($B487="","",IF($F487="※类别不在基础资料里","※费用类别不在基础资料里",IF(AND(N($J487)=0,N($K487)=0),"※这行没填金额",IF(AND(N($J487)&gt;0,N($K487)&gt;0),"※收入和支出不能同一行都填",IF(AND($D487="收入",N($J487)=0),"※收入行要填收入金额",IF(AND($D487="支出",N($K487)=0),"※支出行要填支出金额",IF(AND($C487&lt;&gt;"",ISNA(MATCH($C487,账户表,0))),"※账户不在基础资料里",IF(AND($G487&lt;&gt;"",ISNA(MATCH($G487,项目名表,0))),"※项目不在项目台账里",IF(AND(LEFT($F487,3)="成本-",$G487=""),"※成本类支出没填项目",IF(AND(LEFT($F487,3)="成本-",$H487&lt;&gt;"",N($K487)&gt;0,COUNTIFS(采购单!$B:$B,$B487,采购单!$C:$C,$H487,采购单!$L:$L,$K487)&gt;0),"※这笔可能和采购单重复了",""))))))))))</f>
        <v/>
      </c>
    </row>
    <row r="488">
      <c r="A488" s="17">
        <f>IF($B488="","",ROW()-3)</f>
        <v/>
      </c>
      <c r="B488" s="18" t="n">
        <v>46174</v>
      </c>
      <c r="C488" s="13" t="inlineStr">
        <is>
          <t>微信1</t>
        </is>
      </c>
      <c r="D488" s="13" t="inlineStr">
        <is>
          <t>收入</t>
        </is>
      </c>
      <c r="E488" s="13" t="inlineStr">
        <is>
          <t>待分类</t>
        </is>
      </c>
      <c r="F488" s="17">
        <f>IF($E488="","",IFERROR(VLOOKUP($E488,类别归属,2,0),"※类别不在基础资料里"))</f>
        <v/>
      </c>
      <c r="G488" s="13" t="inlineStr">
        <is>
          <t>丰汇新材料</t>
        </is>
      </c>
      <c r="H488" s="13" t="n"/>
      <c r="I488" s="13" t="inlineStr">
        <is>
          <t>娟</t>
        </is>
      </c>
      <c r="J488" s="14" t="n">
        <v>15</v>
      </c>
      <c r="K488" s="14" t="n"/>
      <c r="L488" s="19">
        <f>IF($C488="","",ROUND(IFERROR(VLOOKUP($C488,账户期初,2,0),0)+SUMIFS($J$4:J488,$C$4:C488,$C488)-SUMIFS($K$4:K488,$C$4:C488,$C488),2))</f>
        <v/>
      </c>
      <c r="M488" s="19">
        <f>IF($C488="","",ROUND(SUM(基础资料!$B$4:$B$13)+SUM($J$4:J488)-SUM($K$4:K488),2))</f>
        <v/>
      </c>
      <c r="N488" s="13" t="n"/>
      <c r="O488" s="13" t="n"/>
      <c r="P488" s="17">
        <f>IF($B488="","",IF($F488="※类别不在基础资料里","※费用类别不在基础资料里",IF(AND(N($J488)=0,N($K488)=0),"※这行没填金额",IF(AND(N($J488)&gt;0,N($K488)&gt;0),"※收入和支出不能同一行都填",IF(AND($D488="收入",N($J488)=0),"※收入行要填收入金额",IF(AND($D488="支出",N($K488)=0),"※支出行要填支出金额",IF(AND($C488&lt;&gt;"",ISNA(MATCH($C488,账户表,0))),"※账户不在基础资料里",IF(AND($G488&lt;&gt;"",ISNA(MATCH($G488,项目名表,0))),"※项目不在项目台账里",IF(AND(LEFT($F488,3)="成本-",$G488=""),"※成本类支出没填项目",IF(AND(LEFT($F488,3)="成本-",$H488&lt;&gt;"",N($K488)&gt;0,COUNTIFS(采购单!$B:$B,$B488,采购单!$C:$C,$H488,采购单!$L:$L,$K488)&gt;0),"※这笔可能和采购单重复了",""))))))))))</f>
        <v/>
      </c>
    </row>
    <row r="489">
      <c r="A489" s="17">
        <f>IF($B489="","",ROW()-3)</f>
        <v/>
      </c>
      <c r="B489" s="18" t="n">
        <v>46174</v>
      </c>
      <c r="C489" s="13" t="inlineStr">
        <is>
          <t>微信1</t>
        </is>
      </c>
      <c r="D489" s="13" t="inlineStr">
        <is>
          <t>支出</t>
        </is>
      </c>
      <c r="E489" s="13" t="inlineStr">
        <is>
          <t>广告推广</t>
        </is>
      </c>
      <c r="F489" s="17">
        <f>IF($E489="","",IFERROR(VLOOKUP($E489,类别归属,2,0),"※类别不在基础资料里"))</f>
        <v/>
      </c>
      <c r="G489" s="13" t="n"/>
      <c r="H489" s="13" t="n"/>
      <c r="I489" s="13" t="inlineStr">
        <is>
          <t>巨量本地推-(已退费）</t>
        </is>
      </c>
      <c r="J489" s="14" t="n"/>
      <c r="K489" s="14" t="n">
        <v>200</v>
      </c>
      <c r="L489" s="19">
        <f>IF($C489="","",ROUND(IFERROR(VLOOKUP($C489,账户期初,2,0),0)+SUMIFS($J$4:J489,$C$4:C489,$C489)-SUMIFS($K$4:K489,$C$4:C489,$C489),2))</f>
        <v/>
      </c>
      <c r="M489" s="19">
        <f>IF($C489="","",ROUND(SUM(基础资料!$B$4:$B$13)+SUM($J$4:J489)-SUM($K$4:K489),2))</f>
        <v/>
      </c>
      <c r="N489" s="13" t="n"/>
      <c r="O489" s="13" t="n"/>
      <c r="P489" s="17">
        <f>IF($B489="","",IF($F489="※类别不在基础资料里","※费用类别不在基础资料里",IF(AND(N($J489)=0,N($K489)=0),"※这行没填金额",IF(AND(N($J489)&gt;0,N($K489)&gt;0),"※收入和支出不能同一行都填",IF(AND($D489="收入",N($J489)=0),"※收入行要填收入金额",IF(AND($D489="支出",N($K489)=0),"※支出行要填支出金额",IF(AND($C489&lt;&gt;"",ISNA(MATCH($C489,账户表,0))),"※账户不在基础资料里",IF(AND($G489&lt;&gt;"",ISNA(MATCH($G489,项目名表,0))),"※项目不在项目台账里",IF(AND(LEFT($F489,3)="成本-",$G489=""),"※成本类支出没填项目",IF(AND(LEFT($F489,3)="成本-",$H489&lt;&gt;"",N($K489)&gt;0,COUNTIFS(采购单!$B:$B,$B489,采购单!$C:$C,$H489,采购单!$L:$L,$K489)&gt;0),"※这笔可能和采购单重复了",""))))))))))</f>
        <v/>
      </c>
    </row>
    <row r="490">
      <c r="A490" s="17">
        <f>IF($B490="","",ROW()-3)</f>
        <v/>
      </c>
      <c r="B490" s="18" t="n">
        <v>46174</v>
      </c>
      <c r="C490" s="13" t="inlineStr">
        <is>
          <t>微信1</t>
        </is>
      </c>
      <c r="D490" s="13" t="inlineStr">
        <is>
          <t>收入</t>
        </is>
      </c>
      <c r="E490" s="13" t="inlineStr">
        <is>
          <t>待分类</t>
        </is>
      </c>
      <c r="F490" s="17">
        <f>IF($E490="","",IFERROR(VLOOKUP($E490,类别归属,2,0),"※类别不在基础资料里"))</f>
        <v/>
      </c>
      <c r="G490" s="13" t="inlineStr">
        <is>
          <t>容研秀</t>
        </is>
      </c>
      <c r="H490" s="13" t="n"/>
      <c r="I490" s="13" t="inlineStr">
        <is>
          <t>容妍秀</t>
        </is>
      </c>
      <c r="J490" s="14" t="n">
        <v>5000</v>
      </c>
      <c r="K490" s="14" t="n"/>
      <c r="L490" s="19">
        <f>IF($C490="","",ROUND(IFERROR(VLOOKUP($C490,账户期初,2,0),0)+SUMIFS($J$4:J490,$C$4:C490,$C490)-SUMIFS($K$4:K490,$C$4:C490,$C490),2))</f>
        <v/>
      </c>
      <c r="M490" s="19">
        <f>IF($C490="","",ROUND(SUM(基础资料!$B$4:$B$13)+SUM($J$4:J490)-SUM($K$4:K490),2))</f>
        <v/>
      </c>
      <c r="N490" s="13" t="n"/>
      <c r="O490" s="13" t="n"/>
      <c r="P490" s="17">
        <f>IF($B490="","",IF($F490="※类别不在基础资料里","※费用类别不在基础资料里",IF(AND(N($J490)=0,N($K490)=0),"※这行没填金额",IF(AND(N($J490)&gt;0,N($K490)&gt;0),"※收入和支出不能同一行都填",IF(AND($D490="收入",N($J490)=0),"※收入行要填收入金额",IF(AND($D490="支出",N($K490)=0),"※支出行要填支出金额",IF(AND($C490&lt;&gt;"",ISNA(MATCH($C490,账户表,0))),"※账户不在基础资料里",IF(AND($G490&lt;&gt;"",ISNA(MATCH($G490,项目名表,0))),"※项目不在项目台账里",IF(AND(LEFT($F490,3)="成本-",$G490=""),"※成本类支出没填项目",IF(AND(LEFT($F490,3)="成本-",$H490&lt;&gt;"",N($K490)&gt;0,COUNTIFS(采购单!$B:$B,$B490,采购单!$C:$C,$H490,采购单!$L:$L,$K490)&gt;0),"※这笔可能和采购单重复了",""))))))))))</f>
        <v/>
      </c>
    </row>
    <row r="491">
      <c r="A491" s="17">
        <f>IF($B491="","",ROW()-3)</f>
        <v/>
      </c>
      <c r="B491" s="18" t="n">
        <v>46174</v>
      </c>
      <c r="C491" s="13" t="inlineStr">
        <is>
          <t>微信1</t>
        </is>
      </c>
      <c r="D491" s="13" t="inlineStr">
        <is>
          <t>支出</t>
        </is>
      </c>
      <c r="E491" s="13" t="inlineStr">
        <is>
          <t>其他管理费用</t>
        </is>
      </c>
      <c r="F491" s="17">
        <f>IF($E491="","",IFERROR(VLOOKUP($E491,类别归属,2,0),"※类别不在基础资料里"))</f>
        <v/>
      </c>
      <c r="G491" s="13" t="n"/>
      <c r="H491" s="13" t="n"/>
      <c r="I491" s="13" t="inlineStr">
        <is>
          <t>凌宇报销费用</t>
        </is>
      </c>
      <c r="J491" s="14" t="n"/>
      <c r="K491" s="14" t="n">
        <v>275.6</v>
      </c>
      <c r="L491" s="19">
        <f>IF($C491="","",ROUND(IFERROR(VLOOKUP($C491,账户期初,2,0),0)+SUMIFS($J$4:J491,$C$4:C491,$C491)-SUMIFS($K$4:K491,$C$4:C491,$C491),2))</f>
        <v/>
      </c>
      <c r="M491" s="19">
        <f>IF($C491="","",ROUND(SUM(基础资料!$B$4:$B$13)+SUM($J$4:J491)-SUM($K$4:K491),2))</f>
        <v/>
      </c>
      <c r="N491" s="13" t="n"/>
      <c r="O491" s="13" t="n"/>
      <c r="P491" s="17">
        <f>IF($B491="","",IF($F491="※类别不在基础资料里","※费用类别不在基础资料里",IF(AND(N($J491)=0,N($K491)=0),"※这行没填金额",IF(AND(N($J491)&gt;0,N($K491)&gt;0),"※收入和支出不能同一行都填",IF(AND($D491="收入",N($J491)=0),"※收入行要填收入金额",IF(AND($D491="支出",N($K491)=0),"※支出行要填支出金额",IF(AND($C491&lt;&gt;"",ISNA(MATCH($C491,账户表,0))),"※账户不在基础资料里",IF(AND($G491&lt;&gt;"",ISNA(MATCH($G491,项目名表,0))),"※项目不在项目台账里",IF(AND(LEFT($F491,3)="成本-",$G491=""),"※成本类支出没填项目",IF(AND(LEFT($F491,3)="成本-",$H491&lt;&gt;"",N($K491)&gt;0,COUNTIFS(采购单!$B:$B,$B491,采购单!$C:$C,$H491,采购单!$L:$L,$K491)&gt;0),"※这笔可能和采购单重复了",""))))))))))</f>
        <v/>
      </c>
    </row>
    <row r="492">
      <c r="A492" s="17">
        <f>IF($B492="","",ROW()-3)</f>
        <v/>
      </c>
      <c r="B492" s="18" t="n">
        <v>46174</v>
      </c>
      <c r="C492" s="13" t="inlineStr">
        <is>
          <t>微信1</t>
        </is>
      </c>
      <c r="D492" s="13" t="inlineStr">
        <is>
          <t>支出</t>
        </is>
      </c>
      <c r="E492" s="13" t="inlineStr">
        <is>
          <t>运费/快递费</t>
        </is>
      </c>
      <c r="F492" s="17">
        <f>IF($E492="","",IFERROR(VLOOKUP($E492,类别归属,2,0),"※类别不在基础资料里"))</f>
        <v/>
      </c>
      <c r="G492" s="13" t="inlineStr">
        <is>
          <t>织里店</t>
        </is>
      </c>
      <c r="H492" s="13" t="inlineStr">
        <is>
          <t>炳秀</t>
        </is>
      </c>
      <c r="I492" s="13" t="inlineStr">
        <is>
          <t>杭州炳秀-湖州26-28武晓军</t>
        </is>
      </c>
      <c r="J492" s="14" t="n"/>
      <c r="K492" s="14" t="n">
        <v>26</v>
      </c>
      <c r="L492" s="19">
        <f>IF($C492="","",ROUND(IFERROR(VLOOKUP($C492,账户期初,2,0),0)+SUMIFS($J$4:J492,$C$4:C492,$C492)-SUMIFS($K$4:K492,$C$4:C492,$C492),2))</f>
        <v/>
      </c>
      <c r="M492" s="19">
        <f>IF($C492="","",ROUND(SUM(基础资料!$B$4:$B$13)+SUM($J$4:J492)-SUM($K$4:K492),2))</f>
        <v/>
      </c>
      <c r="N492" s="13" t="n"/>
      <c r="O492" s="13" t="n"/>
      <c r="P492" s="17">
        <f>IF($B492="","",IF($F492="※类别不在基础资料里","※费用类别不在基础资料里",IF(AND(N($J492)=0,N($K492)=0),"※这行没填金额",IF(AND(N($J492)&gt;0,N($K492)&gt;0),"※收入和支出不能同一行都填",IF(AND($D492="收入",N($J492)=0),"※收入行要填收入金额",IF(AND($D492="支出",N($K492)=0),"※支出行要填支出金额",IF(AND($C492&lt;&gt;"",ISNA(MATCH($C492,账户表,0))),"※账户不在基础资料里",IF(AND($G492&lt;&gt;"",ISNA(MATCH($G492,项目名表,0))),"※项目不在项目台账里",IF(AND(LEFT($F492,3)="成本-",$G492=""),"※成本类支出没填项目",IF(AND(LEFT($F492,3)="成本-",$H492&lt;&gt;"",N($K492)&gt;0,COUNTIFS(采购单!$B:$B,$B492,采购单!$C:$C,$H492,采购单!$L:$L,$K492)&gt;0),"※这笔可能和采购单重复了",""))))))))))</f>
        <v/>
      </c>
    </row>
    <row r="493">
      <c r="A493" s="17">
        <f>IF($B493="","",ROW()-3)</f>
        <v/>
      </c>
      <c r="B493" s="18" t="n">
        <v>46174</v>
      </c>
      <c r="C493" s="13" t="inlineStr">
        <is>
          <t>微信1</t>
        </is>
      </c>
      <c r="D493" s="13" t="inlineStr">
        <is>
          <t>收入</t>
        </is>
      </c>
      <c r="E493" s="13" t="inlineStr">
        <is>
          <t>待分类</t>
        </is>
      </c>
      <c r="F493" s="17">
        <f>IF($E493="","",IFERROR(VLOOKUP($E493,类别归属,2,0),"※类别不在基础资料里"))</f>
        <v/>
      </c>
      <c r="G493" s="13" t="inlineStr">
        <is>
          <t>泰纳水果店</t>
        </is>
      </c>
      <c r="H493" s="13" t="n"/>
      <c r="I493" s="13" t="inlineStr">
        <is>
          <t>泰纳水果-定金</t>
        </is>
      </c>
      <c r="J493" s="14" t="n">
        <v>8000</v>
      </c>
      <c r="K493" s="14" t="n"/>
      <c r="L493" s="19">
        <f>IF($C493="","",ROUND(IFERROR(VLOOKUP($C493,账户期初,2,0),0)+SUMIFS($J$4:J493,$C$4:C493,$C493)-SUMIFS($K$4:K493,$C$4:C493,$C493),2))</f>
        <v/>
      </c>
      <c r="M493" s="19">
        <f>IF($C493="","",ROUND(SUM(基础资料!$B$4:$B$13)+SUM($J$4:J493)-SUM($K$4:K493),2))</f>
        <v/>
      </c>
      <c r="N493" s="13" t="n"/>
      <c r="O493" s="13" t="n"/>
      <c r="P493" s="17">
        <f>IF($B493="","",IF($F493="※类别不在基础资料里","※费用类别不在基础资料里",IF(AND(N($J493)=0,N($K493)=0),"※这行没填金额",IF(AND(N($J493)&gt;0,N($K493)&gt;0),"※收入和支出不能同一行都填",IF(AND($D493="收入",N($J493)=0),"※收入行要填收入金额",IF(AND($D493="支出",N($K493)=0),"※支出行要填支出金额",IF(AND($C493&lt;&gt;"",ISNA(MATCH($C493,账户表,0))),"※账户不在基础资料里",IF(AND($G493&lt;&gt;"",ISNA(MATCH($G493,项目名表,0))),"※项目不在项目台账里",IF(AND(LEFT($F493,3)="成本-",$G493=""),"※成本类支出没填项目",IF(AND(LEFT($F493,3)="成本-",$H493&lt;&gt;"",N($K493)&gt;0,COUNTIFS(采购单!$B:$B,$B493,采购单!$C:$C,$H493,采购单!$L:$L,$K493)&gt;0),"※这笔可能和采购单重复了",""))))))))))</f>
        <v/>
      </c>
    </row>
    <row r="494">
      <c r="A494" s="17">
        <f>IF($B494="","",ROW()-3)</f>
        <v/>
      </c>
      <c r="B494" s="18" t="n">
        <v>46175</v>
      </c>
      <c r="C494" s="13" t="inlineStr">
        <is>
          <t>微信1</t>
        </is>
      </c>
      <c r="D494" s="13" t="inlineStr">
        <is>
          <t>支出</t>
        </is>
      </c>
      <c r="E494" s="13" t="inlineStr">
        <is>
          <t>安装工资</t>
        </is>
      </c>
      <c r="F494" s="17">
        <f>IF($E494="","",IFERROR(VLOOKUP($E494,类别归属,2,0),"※类别不在基础资料里"))</f>
        <v/>
      </c>
      <c r="G494" s="13" t="n"/>
      <c r="H494" s="13" t="n"/>
      <c r="I494" s="13" t="inlineStr">
        <is>
          <t>付姜-安装工资</t>
        </is>
      </c>
      <c r="J494" s="14" t="n"/>
      <c r="K494" s="14" t="n">
        <v>2000</v>
      </c>
      <c r="L494" s="19">
        <f>IF($C494="","",ROUND(IFERROR(VLOOKUP($C494,账户期初,2,0),0)+SUMIFS($J$4:J494,$C$4:C494,$C494)-SUMIFS($K$4:K494,$C$4:C494,$C494),2))</f>
        <v/>
      </c>
      <c r="M494" s="19">
        <f>IF($C494="","",ROUND(SUM(基础资料!$B$4:$B$13)+SUM($J$4:J494)-SUM($K$4:K494),2))</f>
        <v/>
      </c>
      <c r="N494" s="13" t="n"/>
      <c r="O494" s="13" t="n"/>
      <c r="P494" s="17">
        <f>IF($B494="","",IF($F494="※类别不在基础资料里","※费用类别不在基础资料里",IF(AND(N($J494)=0,N($K494)=0),"※这行没填金额",IF(AND(N($J494)&gt;0,N($K494)&gt;0),"※收入和支出不能同一行都填",IF(AND($D494="收入",N($J494)=0),"※收入行要填收入金额",IF(AND($D494="支出",N($K494)=0),"※支出行要填支出金额",IF(AND($C494&lt;&gt;"",ISNA(MATCH($C494,账户表,0))),"※账户不在基础资料里",IF(AND($G494&lt;&gt;"",ISNA(MATCH($G494,项目名表,0))),"※项目不在项目台账里",IF(AND(LEFT($F494,3)="成本-",$G494=""),"※成本类支出没填项目",IF(AND(LEFT($F494,3)="成本-",$H494&lt;&gt;"",N($K494)&gt;0,COUNTIFS(采购单!$B:$B,$B494,采购单!$C:$C,$H494,采购单!$L:$L,$K494)&gt;0),"※这笔可能和采购单重复了",""))))))))))</f>
        <v/>
      </c>
    </row>
    <row r="495">
      <c r="A495" s="17">
        <f>IF($B495="","",ROW()-3)</f>
        <v/>
      </c>
      <c r="B495" s="18" t="n">
        <v>46175</v>
      </c>
      <c r="C495" s="13" t="inlineStr">
        <is>
          <t>微信1</t>
        </is>
      </c>
      <c r="D495" s="13" t="inlineStr">
        <is>
          <t>支出</t>
        </is>
      </c>
      <c r="E495" s="13" t="inlineStr">
        <is>
          <t>主材采购</t>
        </is>
      </c>
      <c r="F495" s="17">
        <f>IF($E495="","",IFERROR(VLOOKUP($E495,类别归属,2,0),"※类别不在基础资料里"))</f>
        <v/>
      </c>
      <c r="G495" s="13" t="n"/>
      <c r="H495" s="13" t="inlineStr">
        <is>
          <t>吉祥铝板吴玲芳</t>
        </is>
      </c>
      <c r="I495" s="13" t="inlineStr">
        <is>
          <t>付吉祥铝板吴玲芳</t>
        </is>
      </c>
      <c r="J495" s="14" t="n"/>
      <c r="K495" s="14" t="n">
        <v>360</v>
      </c>
      <c r="L495" s="19">
        <f>IF($C495="","",ROUND(IFERROR(VLOOKUP($C495,账户期初,2,0),0)+SUMIFS($J$4:J495,$C$4:C495,$C495)-SUMIFS($K$4:K495,$C$4:C495,$C495),2))</f>
        <v/>
      </c>
      <c r="M495" s="19">
        <f>IF($C495="","",ROUND(SUM(基础资料!$B$4:$B$13)+SUM($J$4:J495)-SUM($K$4:K495),2))</f>
        <v/>
      </c>
      <c r="N495" s="13" t="n"/>
      <c r="O495" s="13" t="n"/>
      <c r="P495" s="17">
        <f>IF($B495="","",IF($F495="※类别不在基础资料里","※费用类别不在基础资料里",IF(AND(N($J495)=0,N($K495)=0),"※这行没填金额",IF(AND(N($J495)&gt;0,N($K495)&gt;0),"※收入和支出不能同一行都填",IF(AND($D495="收入",N($J495)=0),"※收入行要填收入金额",IF(AND($D495="支出",N($K495)=0),"※支出行要填支出金额",IF(AND($C495&lt;&gt;"",ISNA(MATCH($C495,账户表,0))),"※账户不在基础资料里",IF(AND($G495&lt;&gt;"",ISNA(MATCH($G495,项目名表,0))),"※项目不在项目台账里",IF(AND(LEFT($F495,3)="成本-",$G495=""),"※成本类支出没填项目",IF(AND(LEFT($F495,3)="成本-",$H495&lt;&gt;"",N($K495)&gt;0,COUNTIFS(采购单!$B:$B,$B495,采购单!$C:$C,$H495,采购单!$L:$L,$K495)&gt;0),"※这笔可能和采购单重复了",""))))))))))</f>
        <v/>
      </c>
    </row>
    <row r="496">
      <c r="A496" s="17">
        <f>IF($B496="","",ROW()-3)</f>
        <v/>
      </c>
      <c r="B496" s="18" t="n">
        <v>46175</v>
      </c>
      <c r="C496" s="13" t="inlineStr">
        <is>
          <t>微信1</t>
        </is>
      </c>
      <c r="D496" s="13" t="inlineStr">
        <is>
          <t>收入</t>
        </is>
      </c>
      <c r="E496" s="13" t="inlineStr">
        <is>
          <t>主材采购</t>
        </is>
      </c>
      <c r="F496" s="17">
        <f>IF($E496="","",IFERROR(VLOOKUP($E496,类别归属,2,0),"※类别不在基础资料里"))</f>
        <v/>
      </c>
      <c r="G496" s="13" t="inlineStr">
        <is>
          <t>本哺未来</t>
        </is>
      </c>
      <c r="H496" s="13" t="n"/>
      <c r="I496" s="13" t="inlineStr">
        <is>
          <t>软膜-杨德本哺未来发光字，灯箱。</t>
        </is>
      </c>
      <c r="J496" s="14" t="n">
        <v>2770</v>
      </c>
      <c r="K496" s="14" t="n"/>
      <c r="L496" s="19">
        <f>IF($C496="","",ROUND(IFERROR(VLOOKUP($C496,账户期初,2,0),0)+SUMIFS($J$4:J496,$C$4:C496,$C496)-SUMIFS($K$4:K496,$C$4:C496,$C496),2))</f>
        <v/>
      </c>
      <c r="M496" s="19">
        <f>IF($C496="","",ROUND(SUM(基础资料!$B$4:$B$13)+SUM($J$4:J496)-SUM($K$4:K496),2))</f>
        <v/>
      </c>
      <c r="N496" s="13" t="n"/>
      <c r="O496" s="13" t="n"/>
      <c r="P496" s="17">
        <f>IF($B496="","",IF($F496="※类别不在基础资料里","※费用类别不在基础资料里",IF(AND(N($J496)=0,N($K496)=0),"※这行没填金额",IF(AND(N($J496)&gt;0,N($K496)&gt;0),"※收入和支出不能同一行都填",IF(AND($D496="收入",N($J496)=0),"※收入行要填收入金额",IF(AND($D496="支出",N($K496)=0),"※支出行要填支出金额",IF(AND($C496&lt;&gt;"",ISNA(MATCH($C496,账户表,0))),"※账户不在基础资料里",IF(AND($G496&lt;&gt;"",ISNA(MATCH($G496,项目名表,0))),"※项目不在项目台账里",IF(AND(LEFT($F496,3)="成本-",$G496=""),"※成本类支出没填项目",IF(AND(LEFT($F496,3)="成本-",$H496&lt;&gt;"",N($K496)&gt;0,COUNTIFS(采购单!$B:$B,$B496,采购单!$C:$C,$H496,采购单!$L:$L,$K496)&gt;0),"※这笔可能和采购单重复了",""))))))))))</f>
        <v/>
      </c>
    </row>
    <row r="497">
      <c r="A497" s="17">
        <f>IF($B497="","",ROW()-3)</f>
        <v/>
      </c>
      <c r="B497" s="18" t="n">
        <v>46175</v>
      </c>
      <c r="C497" s="13" t="inlineStr">
        <is>
          <t>微信1</t>
        </is>
      </c>
      <c r="D497" s="13" t="inlineStr">
        <is>
          <t>支出</t>
        </is>
      </c>
      <c r="E497" s="13" t="inlineStr">
        <is>
          <t>主材采购</t>
        </is>
      </c>
      <c r="F497" s="17">
        <f>IF($E497="","",IFERROR(VLOOKUP($E497,类别归属,2,0),"※类别不在基础资料里"))</f>
        <v/>
      </c>
      <c r="G497" s="13" t="inlineStr">
        <is>
          <t>本哺未来</t>
        </is>
      </c>
      <c r="H497" s="13" t="n"/>
      <c r="I497" s="13" t="inlineStr">
        <is>
          <t>软膜-杨德本哺未来发光字，灯箱。</t>
        </is>
      </c>
      <c r="J497" s="14" t="n"/>
      <c r="K497" s="14" t="n">
        <v>1330</v>
      </c>
      <c r="L497" s="19">
        <f>IF($C497="","",ROUND(IFERROR(VLOOKUP($C497,账户期初,2,0),0)+SUMIFS($J$4:J497,$C$4:C497,$C497)-SUMIFS($K$4:K497,$C$4:C497,$C497),2))</f>
        <v/>
      </c>
      <c r="M497" s="19">
        <f>IF($C497="","",ROUND(SUM(基础资料!$B$4:$B$13)+SUM($J$4:J497)-SUM($K$4:K497),2))</f>
        <v/>
      </c>
      <c r="N497" s="13" t="n"/>
      <c r="O497" s="13" t="n"/>
      <c r="P497" s="17">
        <f>IF($B497="","",IF($F497="※类别不在基础资料里","※费用类别不在基础资料里",IF(AND(N($J497)=0,N($K497)=0),"※这行没填金额",IF(AND(N($J497)&gt;0,N($K497)&gt;0),"※收入和支出不能同一行都填",IF(AND($D497="收入",N($J497)=0),"※收入行要填收入金额",IF(AND($D497="支出",N($K497)=0),"※支出行要填支出金额",IF(AND($C497&lt;&gt;"",ISNA(MATCH($C497,账户表,0))),"※账户不在基础资料里",IF(AND($G497&lt;&gt;"",ISNA(MATCH($G497,项目名表,0))),"※项目不在项目台账里",IF(AND(LEFT($F497,3)="成本-",$G497=""),"※成本类支出没填项目",IF(AND(LEFT($F497,3)="成本-",$H497&lt;&gt;"",N($K497)&gt;0,COUNTIFS(采购单!$B:$B,$B497,采购单!$C:$C,$H497,采购单!$L:$L,$K497)&gt;0),"※这笔可能和采购单重复了",""))))))))))</f>
        <v/>
      </c>
    </row>
    <row r="498">
      <c r="A498" s="17">
        <f>IF($B498="","",ROW()-3)</f>
        <v/>
      </c>
      <c r="B498" s="18" t="n">
        <v>46175</v>
      </c>
      <c r="C498" s="13" t="inlineStr">
        <is>
          <t>微信1</t>
        </is>
      </c>
      <c r="D498" s="13" t="inlineStr">
        <is>
          <t>支出</t>
        </is>
      </c>
      <c r="E498" s="13" t="inlineStr">
        <is>
          <t>主材采购</t>
        </is>
      </c>
      <c r="F498" s="17">
        <f>IF($E498="","",IFERROR(VLOOKUP($E498,类别归属,2,0),"※类别不在基础资料里"))</f>
        <v/>
      </c>
      <c r="G498" s="13" t="inlineStr">
        <is>
          <t>沁心境界</t>
        </is>
      </c>
      <c r="H498" s="13" t="inlineStr">
        <is>
          <t>上达铝板</t>
        </is>
      </c>
      <c r="I498" s="13" t="inlineStr">
        <is>
          <t>付上达铝板</t>
        </is>
      </c>
      <c r="J498" s="14" t="n"/>
      <c r="K498" s="14" t="n">
        <v>3000</v>
      </c>
      <c r="L498" s="19">
        <f>IF($C498="","",ROUND(IFERROR(VLOOKUP($C498,账户期初,2,0),0)+SUMIFS($J$4:J498,$C$4:C498,$C498)-SUMIFS($K$4:K498,$C$4:C498,$C498),2))</f>
        <v/>
      </c>
      <c r="M498" s="19">
        <f>IF($C498="","",ROUND(SUM(基础资料!$B$4:$B$13)+SUM($J$4:J498)-SUM($K$4:K498),2))</f>
        <v/>
      </c>
      <c r="N498" s="13" t="n"/>
      <c r="O498" s="13" t="n"/>
      <c r="P498" s="17">
        <f>IF($B498="","",IF($F498="※类别不在基础资料里","※费用类别不在基础资料里",IF(AND(N($J498)=0,N($K498)=0),"※这行没填金额",IF(AND(N($J498)&gt;0,N($K498)&gt;0),"※收入和支出不能同一行都填",IF(AND($D498="收入",N($J498)=0),"※收入行要填收入金额",IF(AND($D498="支出",N($K498)=0),"※支出行要填支出金额",IF(AND($C498&lt;&gt;"",ISNA(MATCH($C498,账户表,0))),"※账户不在基础资料里",IF(AND($G498&lt;&gt;"",ISNA(MATCH($G498,项目名表,0))),"※项目不在项目台账里",IF(AND(LEFT($F498,3)="成本-",$G498=""),"※成本类支出没填项目",IF(AND(LEFT($F498,3)="成本-",$H498&lt;&gt;"",N($K498)&gt;0,COUNTIFS(采购单!$B:$B,$B498,采购单!$C:$C,$H498,采购单!$L:$L,$K498)&gt;0),"※这笔可能和采购单重复了",""))))))))))</f>
        <v/>
      </c>
    </row>
    <row r="499">
      <c r="A499" s="17">
        <f>IF($B499="","",ROW()-3)</f>
        <v/>
      </c>
      <c r="B499" s="18" t="n">
        <v>46175</v>
      </c>
      <c r="C499" s="13" t="inlineStr">
        <is>
          <t>微信1</t>
        </is>
      </c>
      <c r="D499" s="13" t="inlineStr">
        <is>
          <t>支出</t>
        </is>
      </c>
      <c r="E499" s="13" t="inlineStr">
        <is>
          <t>运费/快递费</t>
        </is>
      </c>
      <c r="F499" s="17">
        <f>IF($E499="","",IFERROR(VLOOKUP($E499,类别归属,2,0),"※类别不在基础资料里"))</f>
        <v/>
      </c>
      <c r="G499" s="13" t="inlineStr">
        <is>
          <t>织里店</t>
        </is>
      </c>
      <c r="H499" s="13" t="inlineStr">
        <is>
          <t>炳秀</t>
        </is>
      </c>
      <c r="I499" s="13" t="inlineStr">
        <is>
          <t>杭州炳秀-湖州26-28武晓军</t>
        </is>
      </c>
      <c r="J499" s="14" t="n"/>
      <c r="K499" s="14" t="n">
        <v>66</v>
      </c>
      <c r="L499" s="19">
        <f>IF($C499="","",ROUND(IFERROR(VLOOKUP($C499,账户期初,2,0),0)+SUMIFS($J$4:J499,$C$4:C499,$C499)-SUMIFS($K$4:K499,$C$4:C499,$C499),2))</f>
        <v/>
      </c>
      <c r="M499" s="19">
        <f>IF($C499="","",ROUND(SUM(基础资料!$B$4:$B$13)+SUM($J$4:J499)-SUM($K$4:K499),2))</f>
        <v/>
      </c>
      <c r="N499" s="13" t="n"/>
      <c r="O499" s="13" t="inlineStr">
        <is>
          <t>71</t>
        </is>
      </c>
      <c r="P499" s="17">
        <f>IF($B499="","",IF($F499="※类别不在基础资料里","※费用类别不在基础资料里",IF(AND(N($J499)=0,N($K499)=0),"※这行没填金额",IF(AND(N($J499)&gt;0,N($K499)&gt;0),"※收入和支出不能同一行都填",IF(AND($D499="收入",N($J499)=0),"※收入行要填收入金额",IF(AND($D499="支出",N($K499)=0),"※支出行要填支出金额",IF(AND($C499&lt;&gt;"",ISNA(MATCH($C499,账户表,0))),"※账户不在基础资料里",IF(AND($G499&lt;&gt;"",ISNA(MATCH($G499,项目名表,0))),"※项目不在项目台账里",IF(AND(LEFT($F499,3)="成本-",$G499=""),"※成本类支出没填项目",IF(AND(LEFT($F499,3)="成本-",$H499&lt;&gt;"",N($K499)&gt;0,COUNTIFS(采购单!$B:$B,$B499,采购单!$C:$C,$H499,采购单!$L:$L,$K499)&gt;0),"※这笔可能和采购单重复了",""))))))))))</f>
        <v/>
      </c>
    </row>
    <row r="500">
      <c r="A500" s="17">
        <f>IF($B500="","",ROW()-3)</f>
        <v/>
      </c>
      <c r="B500" s="18" t="n">
        <v>46175</v>
      </c>
      <c r="C500" s="13" t="inlineStr">
        <is>
          <t>微信1</t>
        </is>
      </c>
      <c r="D500" s="13" t="inlineStr">
        <is>
          <t>支出</t>
        </is>
      </c>
      <c r="E500" s="13" t="inlineStr">
        <is>
          <t>运费/快递费</t>
        </is>
      </c>
      <c r="F500" s="17">
        <f>IF($E500="","",IFERROR(VLOOKUP($E500,类别归属,2,0),"※类别不在基础资料里"))</f>
        <v/>
      </c>
      <c r="G500" s="13" t="inlineStr">
        <is>
          <t>丰汇新材料</t>
        </is>
      </c>
      <c r="H500" s="13" t="inlineStr">
        <is>
          <t>炳秀</t>
        </is>
      </c>
      <c r="I500" s="13" t="inlineStr">
        <is>
          <t>杭州炳秀-湖州26-28武晓军</t>
        </is>
      </c>
      <c r="J500" s="14" t="n"/>
      <c r="K500" s="14" t="n">
        <v>5</v>
      </c>
      <c r="L500" s="19">
        <f>IF($C500="","",ROUND(IFERROR(VLOOKUP($C500,账户期初,2,0),0)+SUMIFS($J$4:J500,$C$4:C500,$C500)-SUMIFS($K$4:K500,$C$4:C500,$C500),2))</f>
        <v/>
      </c>
      <c r="M500" s="19">
        <f>IF($C500="","",ROUND(SUM(基础资料!$B$4:$B$13)+SUM($J$4:J500)-SUM($K$4:K500),2))</f>
        <v/>
      </c>
      <c r="N500" s="13" t="n"/>
      <c r="O500" s="13" t="n"/>
      <c r="P500" s="17">
        <f>IF($B500="","",IF($F500="※类别不在基础资料里","※费用类别不在基础资料里",IF(AND(N($J500)=0,N($K500)=0),"※这行没填金额",IF(AND(N($J500)&gt;0,N($K500)&gt;0),"※收入和支出不能同一行都填",IF(AND($D500="收入",N($J500)=0),"※收入行要填收入金额",IF(AND($D500="支出",N($K500)=0),"※支出行要填支出金额",IF(AND($C500&lt;&gt;"",ISNA(MATCH($C500,账户表,0))),"※账户不在基础资料里",IF(AND($G500&lt;&gt;"",ISNA(MATCH($G500,项目名表,0))),"※项目不在项目台账里",IF(AND(LEFT($F500,3)="成本-",$G500=""),"※成本类支出没填项目",IF(AND(LEFT($F500,3)="成本-",$H500&lt;&gt;"",N($K500)&gt;0,COUNTIFS(采购单!$B:$B,$B500,采购单!$C:$C,$H500,采购单!$L:$L,$K500)&gt;0),"※这笔可能和采购单重复了",""))))))))))</f>
        <v/>
      </c>
    </row>
    <row r="501">
      <c r="A501" s="17">
        <f>IF($B501="","",ROW()-3)</f>
        <v/>
      </c>
      <c r="B501" s="18" t="n">
        <v>46175</v>
      </c>
      <c r="C501" s="13" t="inlineStr">
        <is>
          <t>微信1</t>
        </is>
      </c>
      <c r="D501" s="13" t="inlineStr">
        <is>
          <t>支出</t>
        </is>
      </c>
      <c r="E501" s="13" t="inlineStr">
        <is>
          <t>其他管理费用</t>
        </is>
      </c>
      <c r="F501" s="17">
        <f>IF($E501="","",IFERROR(VLOOKUP($E501,类别归属,2,0),"※类别不在基础资料里"))</f>
        <v/>
      </c>
      <c r="G501" s="13" t="n"/>
      <c r="H501" s="13" t="n"/>
      <c r="I501" s="13" t="inlineStr">
        <is>
          <t>付章凡报销</t>
        </is>
      </c>
      <c r="J501" s="14" t="n"/>
      <c r="K501" s="14" t="n">
        <v>197</v>
      </c>
      <c r="L501" s="19">
        <f>IF($C501="","",ROUND(IFERROR(VLOOKUP($C501,账户期初,2,0),0)+SUMIFS($J$4:J501,$C$4:C501,$C501)-SUMIFS($K$4:K501,$C$4:C501,$C501),2))</f>
        <v/>
      </c>
      <c r="M501" s="19">
        <f>IF($C501="","",ROUND(SUM(基础资料!$B$4:$B$13)+SUM($J$4:J501)-SUM($K$4:K501),2))</f>
        <v/>
      </c>
      <c r="N501" s="13" t="n"/>
      <c r="O501" s="13" t="n"/>
      <c r="P501" s="17">
        <f>IF($B501="","",IF($F501="※类别不在基础资料里","※费用类别不在基础资料里",IF(AND(N($J501)=0,N($K501)=0),"※这行没填金额",IF(AND(N($J501)&gt;0,N($K501)&gt;0),"※收入和支出不能同一行都填",IF(AND($D501="收入",N($J501)=0),"※收入行要填收入金额",IF(AND($D501="支出",N($K501)=0),"※支出行要填支出金额",IF(AND($C501&lt;&gt;"",ISNA(MATCH($C501,账户表,0))),"※账户不在基础资料里",IF(AND($G501&lt;&gt;"",ISNA(MATCH($G501,项目名表,0))),"※项目不在项目台账里",IF(AND(LEFT($F501,3)="成本-",$G501=""),"※成本类支出没填项目",IF(AND(LEFT($F501,3)="成本-",$H501&lt;&gt;"",N($K501)&gt;0,COUNTIFS(采购单!$B:$B,$B501,采购单!$C:$C,$H501,采购单!$L:$L,$K501)&gt;0),"※这笔可能和采购单重复了",""))))))))))</f>
        <v/>
      </c>
    </row>
    <row r="502">
      <c r="A502" s="17">
        <f>IF($B502="","",ROW()-3)</f>
        <v/>
      </c>
      <c r="B502" s="18" t="n">
        <v>46175</v>
      </c>
      <c r="C502" s="13" t="inlineStr">
        <is>
          <t>微信1</t>
        </is>
      </c>
      <c r="D502" s="13" t="inlineStr">
        <is>
          <t>支出</t>
        </is>
      </c>
      <c r="E502" s="13" t="inlineStr">
        <is>
          <t>主材采购</t>
        </is>
      </c>
      <c r="F502" s="17">
        <f>IF($E502="","",IFERROR(VLOOKUP($E502,类别归属,2,0),"※类别不在基础资料里"))</f>
        <v/>
      </c>
      <c r="G502" s="13" t="inlineStr">
        <is>
          <t>沁心境界</t>
        </is>
      </c>
      <c r="H502" s="13" t="inlineStr">
        <is>
          <t>上达铝板</t>
        </is>
      </c>
      <c r="I502" s="13" t="inlineStr">
        <is>
          <t>付上达铝板</t>
        </is>
      </c>
      <c r="J502" s="14" t="n"/>
      <c r="K502" s="14" t="n">
        <v>748</v>
      </c>
      <c r="L502" s="19">
        <f>IF($C502="","",ROUND(IFERROR(VLOOKUP($C502,账户期初,2,0),0)+SUMIFS($J$4:J502,$C$4:C502,$C502)-SUMIFS($K$4:K502,$C$4:C502,$C502),2))</f>
        <v/>
      </c>
      <c r="M502" s="19">
        <f>IF($C502="","",ROUND(SUM(基础资料!$B$4:$B$13)+SUM($J$4:J502)-SUM($K$4:K502),2))</f>
        <v/>
      </c>
      <c r="N502" s="13" t="n"/>
      <c r="O502" s="13" t="n"/>
      <c r="P502" s="17">
        <f>IF($B502="","",IF($F502="※类别不在基础资料里","※费用类别不在基础资料里",IF(AND(N($J502)=0,N($K502)=0),"※这行没填金额",IF(AND(N($J502)&gt;0,N($K502)&gt;0),"※收入和支出不能同一行都填",IF(AND($D502="收入",N($J502)=0),"※收入行要填收入金额",IF(AND($D502="支出",N($K502)=0),"※支出行要填支出金额",IF(AND($C502&lt;&gt;"",ISNA(MATCH($C502,账户表,0))),"※账户不在基础资料里",IF(AND($G502&lt;&gt;"",ISNA(MATCH($G502,项目名表,0))),"※项目不在项目台账里",IF(AND(LEFT($F502,3)="成本-",$G502=""),"※成本类支出没填项目",IF(AND(LEFT($F502,3)="成本-",$H502&lt;&gt;"",N($K502)&gt;0,COUNTIFS(采购单!$B:$B,$B502,采购单!$C:$C,$H502,采购单!$L:$L,$K502)&gt;0),"※这笔可能和采购单重复了",""))))))))))</f>
        <v/>
      </c>
    </row>
    <row r="503">
      <c r="A503" s="17">
        <f>IF($B503="","",ROW()-3)</f>
        <v/>
      </c>
      <c r="B503" s="18" t="n">
        <v>46175</v>
      </c>
      <c r="C503" s="13" t="inlineStr">
        <is>
          <t>微信1</t>
        </is>
      </c>
      <c r="D503" s="13" t="inlineStr">
        <is>
          <t>支出</t>
        </is>
      </c>
      <c r="E503" s="13" t="inlineStr">
        <is>
          <t>主材采购</t>
        </is>
      </c>
      <c r="F503" s="17">
        <f>IF($E503="","",IFERROR(VLOOKUP($E503,类别归属,2,0),"※类别不在基础资料里"))</f>
        <v/>
      </c>
      <c r="G503" s="13" t="inlineStr">
        <is>
          <t>沁心境界</t>
        </is>
      </c>
      <c r="H503" s="13" t="inlineStr">
        <is>
          <t>铝板运费</t>
        </is>
      </c>
      <c r="I503" s="13" t="inlineStr">
        <is>
          <t>铝板运费</t>
        </is>
      </c>
      <c r="J503" s="14" t="n"/>
      <c r="K503" s="14" t="n">
        <v>260</v>
      </c>
      <c r="L503" s="19">
        <f>IF($C503="","",ROUND(IFERROR(VLOOKUP($C503,账户期初,2,0),0)+SUMIFS($J$4:J503,$C$4:C503,$C503)-SUMIFS($K$4:K503,$C$4:C503,$C503),2))</f>
        <v/>
      </c>
      <c r="M503" s="19">
        <f>IF($C503="","",ROUND(SUM(基础资料!$B$4:$B$13)+SUM($J$4:J503)-SUM($K$4:K503),2))</f>
        <v/>
      </c>
      <c r="N503" s="13" t="n"/>
      <c r="O503" s="13" t="n"/>
      <c r="P503" s="17">
        <f>IF($B503="","",IF($F503="※类别不在基础资料里","※费用类别不在基础资料里",IF(AND(N($J503)=0,N($K503)=0),"※这行没填金额",IF(AND(N($J503)&gt;0,N($K503)&gt;0),"※收入和支出不能同一行都填",IF(AND($D503="收入",N($J503)=0),"※收入行要填收入金额",IF(AND($D503="支出",N($K503)=0),"※支出行要填支出金额",IF(AND($C503&lt;&gt;"",ISNA(MATCH($C503,账户表,0))),"※账户不在基础资料里",IF(AND($G503&lt;&gt;"",ISNA(MATCH($G503,项目名表,0))),"※项目不在项目台账里",IF(AND(LEFT($F503,3)="成本-",$G503=""),"※成本类支出没填项目",IF(AND(LEFT($F503,3)="成本-",$H503&lt;&gt;"",N($K503)&gt;0,COUNTIFS(采购单!$B:$B,$B503,采购单!$C:$C,$H503,采购单!$L:$L,$K503)&gt;0),"※这笔可能和采购单重复了",""))))))))))</f>
        <v/>
      </c>
    </row>
    <row r="504">
      <c r="A504" s="17">
        <f>IF($B504="","",ROW()-3)</f>
        <v/>
      </c>
      <c r="B504" s="18" t="n">
        <v>46176</v>
      </c>
      <c r="C504" s="13" t="inlineStr">
        <is>
          <t>微信1</t>
        </is>
      </c>
      <c r="D504" s="13" t="inlineStr">
        <is>
          <t>支出</t>
        </is>
      </c>
      <c r="E504" s="13" t="inlineStr">
        <is>
          <t>通讯费</t>
        </is>
      </c>
      <c r="F504" s="17">
        <f>IF($E504="","",IFERROR(VLOOKUP($E504,类别归属,2,0),"※类别不在基础资料里"))</f>
        <v/>
      </c>
      <c r="G504" s="13" t="n"/>
      <c r="H504" s="13" t="n"/>
      <c r="I504" s="13" t="inlineStr">
        <is>
          <t>中国移动</t>
        </is>
      </c>
      <c r="J504" s="14" t="n"/>
      <c r="K504" s="14" t="n">
        <v>50</v>
      </c>
      <c r="L504" s="19">
        <f>IF($C504="","",ROUND(IFERROR(VLOOKUP($C504,账户期初,2,0),0)+SUMIFS($J$4:J504,$C$4:C504,$C504)-SUMIFS($K$4:K504,$C$4:C504,$C504),2))</f>
        <v/>
      </c>
      <c r="M504" s="19">
        <f>IF($C504="","",ROUND(SUM(基础资料!$B$4:$B$13)+SUM($J$4:J504)-SUM($K$4:K504),2))</f>
        <v/>
      </c>
      <c r="N504" s="13" t="n"/>
      <c r="O504" s="13" t="inlineStr">
        <is>
          <t>凌-自动扣</t>
        </is>
      </c>
      <c r="P504" s="17">
        <f>IF($B504="","",IF($F504="※类别不在基础资料里","※费用类别不在基础资料里",IF(AND(N($J504)=0,N($K504)=0),"※这行没填金额",IF(AND(N($J504)&gt;0,N($K504)&gt;0),"※收入和支出不能同一行都填",IF(AND($D504="收入",N($J504)=0),"※收入行要填收入金额",IF(AND($D504="支出",N($K504)=0),"※支出行要填支出金额",IF(AND($C504&lt;&gt;"",ISNA(MATCH($C504,账户表,0))),"※账户不在基础资料里",IF(AND($G504&lt;&gt;"",ISNA(MATCH($G504,项目名表,0))),"※项目不在项目台账里",IF(AND(LEFT($F504,3)="成本-",$G504=""),"※成本类支出没填项目",IF(AND(LEFT($F504,3)="成本-",$H504&lt;&gt;"",N($K504)&gt;0,COUNTIFS(采购单!$B:$B,$B504,采购单!$C:$C,$H504,采购单!$L:$L,$K504)&gt;0),"※这笔可能和采购单重复了",""))))))))))</f>
        <v/>
      </c>
    </row>
    <row r="505">
      <c r="A505" s="17">
        <f>IF($B505="","",ROW()-3)</f>
        <v/>
      </c>
      <c r="B505" s="18" t="n">
        <v>46176</v>
      </c>
      <c r="C505" s="13" t="inlineStr">
        <is>
          <t>微信1</t>
        </is>
      </c>
      <c r="D505" s="13" t="inlineStr">
        <is>
          <t>支出</t>
        </is>
      </c>
      <c r="E505" s="13" t="inlineStr">
        <is>
          <t>运费/快递费</t>
        </is>
      </c>
      <c r="F505" s="17">
        <f>IF($E505="","",IFERROR(VLOOKUP($E505,类别归属,2,0),"※类别不在基础资料里"))</f>
        <v/>
      </c>
      <c r="G505" s="13" t="inlineStr">
        <is>
          <t>坚蛋健身</t>
        </is>
      </c>
      <c r="H505" s="13" t="inlineStr">
        <is>
          <t>炳秀</t>
        </is>
      </c>
      <c r="I505" s="13" t="inlineStr">
        <is>
          <t>杭州炳秀-湖州26-28武晓军</t>
        </is>
      </c>
      <c r="J505" s="14" t="n"/>
      <c r="K505" s="14" t="n">
        <v>26</v>
      </c>
      <c r="L505" s="19">
        <f>IF($C505="","",ROUND(IFERROR(VLOOKUP($C505,账户期初,2,0),0)+SUMIFS($J$4:J505,$C$4:C505,$C505)-SUMIFS($K$4:K505,$C$4:C505,$C505),2))</f>
        <v/>
      </c>
      <c r="M505" s="19">
        <f>IF($C505="","",ROUND(SUM(基础资料!$B$4:$B$13)+SUM($J$4:J505)-SUM($K$4:K505),2))</f>
        <v/>
      </c>
      <c r="N505" s="13" t="n"/>
      <c r="O505" s="13" t="inlineStr">
        <is>
          <t>81</t>
        </is>
      </c>
      <c r="P505" s="17">
        <f>IF($B505="","",IF($F505="※类别不在基础资料里","※费用类别不在基础资料里",IF(AND(N($J505)=0,N($K505)=0),"※这行没填金额",IF(AND(N($J505)&gt;0,N($K505)&gt;0),"※收入和支出不能同一行都填",IF(AND($D505="收入",N($J505)=0),"※收入行要填收入金额",IF(AND($D505="支出",N($K505)=0),"※支出行要填支出金额",IF(AND($C505&lt;&gt;"",ISNA(MATCH($C505,账户表,0))),"※账户不在基础资料里",IF(AND($G505&lt;&gt;"",ISNA(MATCH($G505,项目名表,0))),"※项目不在项目台账里",IF(AND(LEFT($F505,3)="成本-",$G505=""),"※成本类支出没填项目",IF(AND(LEFT($F505,3)="成本-",$H505&lt;&gt;"",N($K505)&gt;0,COUNTIFS(采购单!$B:$B,$B505,采购单!$C:$C,$H505,采购单!$L:$L,$K505)&gt;0),"※这笔可能和采购单重复了",""))))))))))</f>
        <v/>
      </c>
    </row>
    <row r="506">
      <c r="A506" s="17">
        <f>IF($B506="","",ROW()-3)</f>
        <v/>
      </c>
      <c r="B506" s="18" t="n">
        <v>46176</v>
      </c>
      <c r="C506" s="13" t="inlineStr">
        <is>
          <t>微信1</t>
        </is>
      </c>
      <c r="D506" s="13" t="inlineStr">
        <is>
          <t>支出</t>
        </is>
      </c>
      <c r="E506" s="13" t="inlineStr">
        <is>
          <t>运费/快递费</t>
        </is>
      </c>
      <c r="F506" s="17">
        <f>IF($E506="","",IFERROR(VLOOKUP($E506,类别归属,2,0),"※类别不在基础资料里"))</f>
        <v/>
      </c>
      <c r="G506" s="13" t="inlineStr">
        <is>
          <t>织里店</t>
        </is>
      </c>
      <c r="H506" s="13" t="inlineStr">
        <is>
          <t>炳秀</t>
        </is>
      </c>
      <c r="I506" s="13" t="inlineStr">
        <is>
          <t>杭州炳秀-湖州26-28武晓军</t>
        </is>
      </c>
      <c r="J506" s="14" t="n"/>
      <c r="K506" s="14" t="n">
        <v>55</v>
      </c>
      <c r="L506" s="19">
        <f>IF($C506="","",ROUND(IFERROR(VLOOKUP($C506,账户期初,2,0),0)+SUMIFS($J$4:J506,$C$4:C506,$C506)-SUMIFS($K$4:K506,$C$4:C506,$C506),2))</f>
        <v/>
      </c>
      <c r="M506" s="19">
        <f>IF($C506="","",ROUND(SUM(基础资料!$B$4:$B$13)+SUM($J$4:J506)-SUM($K$4:K506),2))</f>
        <v/>
      </c>
      <c r="N506" s="13" t="n"/>
      <c r="O506" s="13" t="n"/>
      <c r="P506" s="17">
        <f>IF($B506="","",IF($F506="※类别不在基础资料里","※费用类别不在基础资料里",IF(AND(N($J506)=0,N($K506)=0),"※这行没填金额",IF(AND(N($J506)&gt;0,N($K506)&gt;0),"※收入和支出不能同一行都填",IF(AND($D506="收入",N($J506)=0),"※收入行要填收入金额",IF(AND($D506="支出",N($K506)=0),"※支出行要填支出金额",IF(AND($C506&lt;&gt;"",ISNA(MATCH($C506,账户表,0))),"※账户不在基础资料里",IF(AND($G506&lt;&gt;"",ISNA(MATCH($G506,项目名表,0))),"※项目不在项目台账里",IF(AND(LEFT($F506,3)="成本-",$G506=""),"※成本类支出没填项目",IF(AND(LEFT($F506,3)="成本-",$H506&lt;&gt;"",N($K506)&gt;0,COUNTIFS(采购单!$B:$B,$B506,采购单!$C:$C,$H506,采购单!$L:$L,$K506)&gt;0),"※这笔可能和采购单重复了",""))))))))))</f>
        <v/>
      </c>
    </row>
    <row r="507">
      <c r="A507" s="17">
        <f>IF($B507="","",ROW()-3)</f>
        <v/>
      </c>
      <c r="B507" s="18" t="n">
        <v>46176</v>
      </c>
      <c r="C507" s="13" t="inlineStr">
        <is>
          <t>微信1</t>
        </is>
      </c>
      <c r="D507" s="13" t="inlineStr">
        <is>
          <t>支出</t>
        </is>
      </c>
      <c r="E507" s="13" t="inlineStr">
        <is>
          <t>借出款</t>
        </is>
      </c>
      <c r="F507" s="17">
        <f>IF($E507="","",IFERROR(VLOOKUP($E507,类别归属,2,0),"※类别不在基础资料里"))</f>
        <v/>
      </c>
      <c r="G507" s="13" t="n"/>
      <c r="H507" s="13" t="inlineStr">
        <is>
          <t>凌宇借款</t>
        </is>
      </c>
      <c r="I507" s="13" t="inlineStr">
        <is>
          <t>付凌宇预支工资</t>
        </is>
      </c>
      <c r="J507" s="14" t="n"/>
      <c r="K507" s="14" t="n">
        <v>2000</v>
      </c>
      <c r="L507" s="19">
        <f>IF($C507="","",ROUND(IFERROR(VLOOKUP($C507,账户期初,2,0),0)+SUMIFS($J$4:J507,$C$4:C507,$C507)-SUMIFS($K$4:K507,$C$4:C507,$C507),2))</f>
        <v/>
      </c>
      <c r="M507" s="19">
        <f>IF($C507="","",ROUND(SUM(基础资料!$B$4:$B$13)+SUM($J$4:J507)-SUM($K$4:K507),2))</f>
        <v/>
      </c>
      <c r="N507" s="13" t="n"/>
      <c r="O507" s="13" t="n"/>
      <c r="P507" s="17">
        <f>IF($B507="","",IF($F507="※类别不在基础资料里","※费用类别不在基础资料里",IF(AND(N($J507)=0,N($K507)=0),"※这行没填金额",IF(AND(N($J507)&gt;0,N($K507)&gt;0),"※收入和支出不能同一行都填",IF(AND($D507="收入",N($J507)=0),"※收入行要填收入金额",IF(AND($D507="支出",N($K507)=0),"※支出行要填支出金额",IF(AND($C507&lt;&gt;"",ISNA(MATCH($C507,账户表,0))),"※账户不在基础资料里",IF(AND($G507&lt;&gt;"",ISNA(MATCH($G507,项目名表,0))),"※项目不在项目台账里",IF(AND(LEFT($F507,3)="成本-",$G507=""),"※成本类支出没填项目",IF(AND(LEFT($F507,3)="成本-",$H507&lt;&gt;"",N($K507)&gt;0,COUNTIFS(采购单!$B:$B,$B507,采购单!$C:$C,$H507,采购单!$L:$L,$K507)&gt;0),"※这笔可能和采购单重复了",""))))))))))</f>
        <v/>
      </c>
    </row>
    <row r="508">
      <c r="A508" s="17">
        <f>IF($B508="","",ROW()-3)</f>
        <v/>
      </c>
      <c r="B508" s="18" t="n">
        <v>46176</v>
      </c>
      <c r="C508" s="13" t="inlineStr">
        <is>
          <t>微信1</t>
        </is>
      </c>
      <c r="D508" s="13" t="inlineStr">
        <is>
          <t>收入</t>
        </is>
      </c>
      <c r="E508" s="13" t="inlineStr">
        <is>
          <t>广告推广</t>
        </is>
      </c>
      <c r="F508" s="17">
        <f>IF($E508="","",IFERROR(VLOOKUP($E508,类别归属,2,0),"※类别不在基础资料里"))</f>
        <v/>
      </c>
      <c r="G508" s="13" t="n"/>
      <c r="H508" s="13" t="n"/>
      <c r="I508" s="13" t="inlineStr">
        <is>
          <t>巨量本地推-(退费）</t>
        </is>
      </c>
      <c r="J508" s="14" t="n">
        <v>8.380000000000001</v>
      </c>
      <c r="K508" s="14" t="n"/>
      <c r="L508" s="19">
        <f>IF($C508="","",ROUND(IFERROR(VLOOKUP($C508,账户期初,2,0),0)+SUMIFS($J$4:J508,$C$4:C508,$C508)-SUMIFS($K$4:K508,$C$4:C508,$C508),2))</f>
        <v/>
      </c>
      <c r="M508" s="19">
        <f>IF($C508="","",ROUND(SUM(基础资料!$B$4:$B$13)+SUM($J$4:J508)-SUM($K$4:K508),2))</f>
        <v/>
      </c>
      <c r="N508" s="13" t="n"/>
      <c r="O508" s="13" t="n"/>
      <c r="P508" s="17">
        <f>IF($B508="","",IF($F508="※类别不在基础资料里","※费用类别不在基础资料里",IF(AND(N($J508)=0,N($K508)=0),"※这行没填金额",IF(AND(N($J508)&gt;0,N($K508)&gt;0),"※收入和支出不能同一行都填",IF(AND($D508="收入",N($J508)=0),"※收入行要填收入金额",IF(AND($D508="支出",N($K508)=0),"※支出行要填支出金额",IF(AND($C508&lt;&gt;"",ISNA(MATCH($C508,账户表,0))),"※账户不在基础资料里",IF(AND($G508&lt;&gt;"",ISNA(MATCH($G508,项目名表,0))),"※项目不在项目台账里",IF(AND(LEFT($F508,3)="成本-",$G508=""),"※成本类支出没填项目",IF(AND(LEFT($F508,3)="成本-",$H508&lt;&gt;"",N($K508)&gt;0,COUNTIFS(采购单!$B:$B,$B508,采购单!$C:$C,$H508,采购单!$L:$L,$K508)&gt;0),"※这笔可能和采购单重复了",""))))))))))</f>
        <v/>
      </c>
    </row>
    <row r="509">
      <c r="A509" s="17">
        <f>IF($B509="","",ROW()-3)</f>
        <v/>
      </c>
      <c r="B509" s="18" t="n">
        <v>46177</v>
      </c>
      <c r="C509" s="13" t="inlineStr">
        <is>
          <t>微信1</t>
        </is>
      </c>
      <c r="D509" s="13" t="inlineStr">
        <is>
          <t>支出</t>
        </is>
      </c>
      <c r="E509" s="13" t="inlineStr">
        <is>
          <t>通讯费</t>
        </is>
      </c>
      <c r="F509" s="17">
        <f>IF($E509="","",IFERROR(VLOOKUP($E509,类别归属,2,0),"※类别不在基础资料里"))</f>
        <v/>
      </c>
      <c r="G509" s="13" t="n"/>
      <c r="H509" s="13" t="n"/>
      <c r="I509" s="13" t="inlineStr">
        <is>
          <t>中国移动</t>
        </is>
      </c>
      <c r="J509" s="14" t="n"/>
      <c r="K509" s="14" t="n">
        <v>50</v>
      </c>
      <c r="L509" s="19">
        <f>IF($C509="","",ROUND(IFERROR(VLOOKUP($C509,账户期初,2,0),0)+SUMIFS($J$4:J509,$C$4:C509,$C509)-SUMIFS($K$4:K509,$C$4:C509,$C509),2))</f>
        <v/>
      </c>
      <c r="M509" s="19">
        <f>IF($C509="","",ROUND(SUM(基础资料!$B$4:$B$13)+SUM($J$4:J509)-SUM($K$4:K509),2))</f>
        <v/>
      </c>
      <c r="N509" s="13" t="n"/>
      <c r="O509" s="13" t="inlineStr">
        <is>
          <t>杨德</t>
        </is>
      </c>
      <c r="P509" s="17">
        <f>IF($B509="","",IF($F509="※类别不在基础资料里","※费用类别不在基础资料里",IF(AND(N($J509)=0,N($K509)=0),"※这行没填金额",IF(AND(N($J509)&gt;0,N($K509)&gt;0),"※收入和支出不能同一行都填",IF(AND($D509="收入",N($J509)=0),"※收入行要填收入金额",IF(AND($D509="支出",N($K509)=0),"※支出行要填支出金额",IF(AND($C509&lt;&gt;"",ISNA(MATCH($C509,账户表,0))),"※账户不在基础资料里",IF(AND($G509&lt;&gt;"",ISNA(MATCH($G509,项目名表,0))),"※项目不在项目台账里",IF(AND(LEFT($F509,3)="成本-",$G509=""),"※成本类支出没填项目",IF(AND(LEFT($F509,3)="成本-",$H509&lt;&gt;"",N($K509)&gt;0,COUNTIFS(采购单!$B:$B,$B509,采购单!$C:$C,$H509,采购单!$L:$L,$K509)&gt;0),"※这笔可能和采购单重复了",""))))))))))</f>
        <v/>
      </c>
    </row>
    <row r="510">
      <c r="A510" s="17">
        <f>IF($B510="","",ROW()-3)</f>
        <v/>
      </c>
      <c r="B510" s="18" t="n">
        <v>46177</v>
      </c>
      <c r="C510" s="13" t="inlineStr">
        <is>
          <t>微信1</t>
        </is>
      </c>
      <c r="D510" s="13" t="inlineStr">
        <is>
          <t>支出</t>
        </is>
      </c>
      <c r="E510" s="13" t="inlineStr">
        <is>
          <t>通讯费</t>
        </is>
      </c>
      <c r="F510" s="17">
        <f>IF($E510="","",IFERROR(VLOOKUP($E510,类别归属,2,0),"※类别不在基础资料里"))</f>
        <v/>
      </c>
      <c r="G510" s="13" t="n"/>
      <c r="H510" s="13" t="n"/>
      <c r="I510" s="13" t="inlineStr">
        <is>
          <t>中国移动</t>
        </is>
      </c>
      <c r="J510" s="14" t="n"/>
      <c r="K510" s="14" t="n">
        <v>50</v>
      </c>
      <c r="L510" s="19">
        <f>IF($C510="","",ROUND(IFERROR(VLOOKUP($C510,账户期初,2,0),0)+SUMIFS($J$4:J510,$C$4:C510,$C510)-SUMIFS($K$4:K510,$C$4:C510,$C510),2))</f>
        <v/>
      </c>
      <c r="M510" s="19">
        <f>IF($C510="","",ROUND(SUM(基础资料!$B$4:$B$13)+SUM($J$4:J510)-SUM($K$4:K510),2))</f>
        <v/>
      </c>
      <c r="N510" s="13" t="n"/>
      <c r="O510" s="13" t="inlineStr">
        <is>
          <t>徐</t>
        </is>
      </c>
      <c r="P510" s="17">
        <f>IF($B510="","",IF($F510="※类别不在基础资料里","※费用类别不在基础资料里",IF(AND(N($J510)=0,N($K510)=0),"※这行没填金额",IF(AND(N($J510)&gt;0,N($K510)&gt;0),"※收入和支出不能同一行都填",IF(AND($D510="收入",N($J510)=0),"※收入行要填收入金额",IF(AND($D510="支出",N($K510)=0),"※支出行要填支出金额",IF(AND($C510&lt;&gt;"",ISNA(MATCH($C510,账户表,0))),"※账户不在基础资料里",IF(AND($G510&lt;&gt;"",ISNA(MATCH($G510,项目名表,0))),"※项目不在项目台账里",IF(AND(LEFT($F510,3)="成本-",$G510=""),"※成本类支出没填项目",IF(AND(LEFT($F510,3)="成本-",$H510&lt;&gt;"",N($K510)&gt;0,COUNTIFS(采购单!$B:$B,$B510,采购单!$C:$C,$H510,采购单!$L:$L,$K510)&gt;0),"※这笔可能和采购单重复了",""))))))))))</f>
        <v/>
      </c>
    </row>
    <row r="511">
      <c r="A511" s="17">
        <f>IF($B511="","",ROW()-3)</f>
        <v/>
      </c>
      <c r="B511" s="18" t="n">
        <v>46177</v>
      </c>
      <c r="C511" s="13" t="inlineStr">
        <is>
          <t>微信1</t>
        </is>
      </c>
      <c r="D511" s="13" t="inlineStr">
        <is>
          <t>支出</t>
        </is>
      </c>
      <c r="E511" s="13" t="inlineStr">
        <is>
          <t>办公用品</t>
        </is>
      </c>
      <c r="F511" s="17">
        <f>IF($E511="","",IFERROR(VLOOKUP($E511,类别归属,2,0),"※类别不在基础资料里"))</f>
        <v/>
      </c>
      <c r="G511" s="13" t="n"/>
      <c r="H511" s="13" t="n"/>
      <c r="I511" s="13" t="inlineStr">
        <is>
          <t>抖音电商商家</t>
        </is>
      </c>
      <c r="J511" s="14" t="n"/>
      <c r="K511" s="14" t="n">
        <v>14.9</v>
      </c>
      <c r="L511" s="19">
        <f>IF($C511="","",ROUND(IFERROR(VLOOKUP($C511,账户期初,2,0),0)+SUMIFS($J$4:J511,$C$4:C511,$C511)-SUMIFS($K$4:K511,$C$4:C511,$C511),2))</f>
        <v/>
      </c>
      <c r="M511" s="19">
        <f>IF($C511="","",ROUND(SUM(基础资料!$B$4:$B$13)+SUM($J$4:J511)-SUM($K$4:K511),2))</f>
        <v/>
      </c>
      <c r="N511" s="13" t="n"/>
      <c r="O511" s="13" t="n"/>
      <c r="P511" s="17">
        <f>IF($B511="","",IF($F511="※类别不在基础资料里","※费用类别不在基础资料里",IF(AND(N($J511)=0,N($K511)=0),"※这行没填金额",IF(AND(N($J511)&gt;0,N($K511)&gt;0),"※收入和支出不能同一行都填",IF(AND($D511="收入",N($J511)=0),"※收入行要填收入金额",IF(AND($D511="支出",N($K511)=0),"※支出行要填支出金额",IF(AND($C511&lt;&gt;"",ISNA(MATCH($C511,账户表,0))),"※账户不在基础资料里",IF(AND($G511&lt;&gt;"",ISNA(MATCH($G511,项目名表,0))),"※项目不在项目台账里",IF(AND(LEFT($F511,3)="成本-",$G511=""),"※成本类支出没填项目",IF(AND(LEFT($F511,3)="成本-",$H511&lt;&gt;"",N($K511)&gt;0,COUNTIFS(采购单!$B:$B,$B511,采购单!$C:$C,$H511,采购单!$L:$L,$K511)&gt;0),"※这笔可能和采购单重复了",""))))))))))</f>
        <v/>
      </c>
    </row>
    <row r="512">
      <c r="A512" s="17">
        <f>IF($B512="","",ROW()-3)</f>
        <v/>
      </c>
      <c r="B512" s="18" t="n">
        <v>46177</v>
      </c>
      <c r="C512" s="13" t="inlineStr">
        <is>
          <t>微信1</t>
        </is>
      </c>
      <c r="D512" s="13" t="inlineStr">
        <is>
          <t>支出</t>
        </is>
      </c>
      <c r="E512" s="13" t="inlineStr">
        <is>
          <t>业务招待/餐费</t>
        </is>
      </c>
      <c r="F512" s="17">
        <f>IF($E512="","",IFERROR(VLOOKUP($E512,类别归属,2,0),"※类别不在基础资料里"))</f>
        <v/>
      </c>
      <c r="G512" s="13" t="inlineStr">
        <is>
          <t>乔兴装饰</t>
        </is>
      </c>
      <c r="H512" s="13" t="n"/>
      <c r="I512" s="13" t="inlineStr">
        <is>
          <t>运费-美团</t>
        </is>
      </c>
      <c r="J512" s="14" t="n"/>
      <c r="K512" s="14" t="n">
        <v>23</v>
      </c>
      <c r="L512" s="19">
        <f>IF($C512="","",ROUND(IFERROR(VLOOKUP($C512,账户期初,2,0),0)+SUMIFS($J$4:J512,$C$4:C512,$C512)-SUMIFS($K$4:K512,$C$4:C512,$C512),2))</f>
        <v/>
      </c>
      <c r="M512" s="19">
        <f>IF($C512="","",ROUND(SUM(基础资料!$B$4:$B$13)+SUM($J$4:J512)-SUM($K$4:K512),2))</f>
        <v/>
      </c>
      <c r="N512" s="13" t="n"/>
      <c r="O512" s="13" t="inlineStr">
        <is>
          <t>送合同</t>
        </is>
      </c>
      <c r="P512" s="17">
        <f>IF($B512="","",IF($F512="※类别不在基础资料里","※费用类别不在基础资料里",IF(AND(N($J512)=0,N($K512)=0),"※这行没填金额",IF(AND(N($J512)&gt;0,N($K512)&gt;0),"※收入和支出不能同一行都填",IF(AND($D512="收入",N($J512)=0),"※收入行要填收入金额",IF(AND($D512="支出",N($K512)=0),"※支出行要填支出金额",IF(AND($C512&lt;&gt;"",ISNA(MATCH($C512,账户表,0))),"※账户不在基础资料里",IF(AND($G512&lt;&gt;"",ISNA(MATCH($G512,项目名表,0))),"※项目不在项目台账里",IF(AND(LEFT($F512,3)="成本-",$G512=""),"※成本类支出没填项目",IF(AND(LEFT($F512,3)="成本-",$H512&lt;&gt;"",N($K512)&gt;0,COUNTIFS(采购单!$B:$B,$B512,采购单!$C:$C,$H512,采购单!$L:$L,$K512)&gt;0),"※这笔可能和采购单重复了",""))))))))))</f>
        <v/>
      </c>
    </row>
    <row r="513">
      <c r="A513" s="17">
        <f>IF($B513="","",ROW()-3)</f>
        <v/>
      </c>
      <c r="B513" s="18" t="n">
        <v>46177</v>
      </c>
      <c r="C513" s="13" t="inlineStr">
        <is>
          <t>微信1</t>
        </is>
      </c>
      <c r="D513" s="13" t="inlineStr">
        <is>
          <t>支出</t>
        </is>
      </c>
      <c r="E513" s="13" t="inlineStr">
        <is>
          <t>运费/快递费</t>
        </is>
      </c>
      <c r="F513" s="17">
        <f>IF($E513="","",IFERROR(VLOOKUP($E513,类别归属,2,0),"※类别不在基础资料里"))</f>
        <v/>
      </c>
      <c r="G513" s="13" t="inlineStr">
        <is>
          <t>春风十里</t>
        </is>
      </c>
      <c r="H513" s="13" t="inlineStr">
        <is>
          <t>炳秀</t>
        </is>
      </c>
      <c r="I513" s="13" t="inlineStr">
        <is>
          <t>杭州炳秀-湖州26-28武晓军</t>
        </is>
      </c>
      <c r="J513" s="14" t="n"/>
      <c r="K513" s="14" t="n">
        <v>123</v>
      </c>
      <c r="L513" s="19">
        <f>IF($C513="","",ROUND(IFERROR(VLOOKUP($C513,账户期初,2,0),0)+SUMIFS($J$4:J513,$C$4:C513,$C513)-SUMIFS($K$4:K513,$C$4:C513,$C513),2))</f>
        <v/>
      </c>
      <c r="M513" s="19">
        <f>IF($C513="","",ROUND(SUM(基础资料!$B$4:$B$13)+SUM($J$4:J513)-SUM($K$4:K513),2))</f>
        <v/>
      </c>
      <c r="N513" s="13" t="n"/>
      <c r="O513" s="13" t="n"/>
      <c r="P513" s="17">
        <f>IF($B513="","",IF($F513="※类别不在基础资料里","※费用类别不在基础资料里",IF(AND(N($J513)=0,N($K513)=0),"※这行没填金额",IF(AND(N($J513)&gt;0,N($K513)&gt;0),"※收入和支出不能同一行都填",IF(AND($D513="收入",N($J513)=0),"※收入行要填收入金额",IF(AND($D513="支出",N($K513)=0),"※支出行要填支出金额",IF(AND($C513&lt;&gt;"",ISNA(MATCH($C513,账户表,0))),"※账户不在基础资料里",IF(AND($G513&lt;&gt;"",ISNA(MATCH($G513,项目名表,0))),"※项目不在项目台账里",IF(AND(LEFT($F513,3)="成本-",$G513=""),"※成本类支出没填项目",IF(AND(LEFT($F513,3)="成本-",$H513&lt;&gt;"",N($K513)&gt;0,COUNTIFS(采购单!$B:$B,$B513,采购单!$C:$C,$H513,采购单!$L:$L,$K513)&gt;0),"※这笔可能和采购单重复了",""))))))))))</f>
        <v/>
      </c>
    </row>
    <row r="514">
      <c r="A514" s="17">
        <f>IF($B514="","",ROW()-3)</f>
        <v/>
      </c>
      <c r="B514" s="18" t="n">
        <v>46177</v>
      </c>
      <c r="C514" s="13" t="inlineStr">
        <is>
          <t>微信1</t>
        </is>
      </c>
      <c r="D514" s="13" t="inlineStr">
        <is>
          <t>支出</t>
        </is>
      </c>
      <c r="E514" s="13" t="inlineStr">
        <is>
          <t>安装工资</t>
        </is>
      </c>
      <c r="F514" s="17">
        <f>IF($E514="","",IFERROR(VLOOKUP($E514,类别归属,2,0),"※类别不在基础资料里"))</f>
        <v/>
      </c>
      <c r="G514" s="13" t="n"/>
      <c r="H514" s="13" t="n"/>
      <c r="I514" s="13" t="inlineStr">
        <is>
          <t>付安装老姚工资</t>
        </is>
      </c>
      <c r="J514" s="14" t="n"/>
      <c r="K514" s="14" t="n">
        <v>800</v>
      </c>
      <c r="L514" s="19">
        <f>IF($C514="","",ROUND(IFERROR(VLOOKUP($C514,账户期初,2,0),0)+SUMIFS($J$4:J514,$C$4:C514,$C514)-SUMIFS($K$4:K514,$C$4:C514,$C514),2))</f>
        <v/>
      </c>
      <c r="M514" s="19">
        <f>IF($C514="","",ROUND(SUM(基础资料!$B$4:$B$13)+SUM($J$4:J514)-SUM($K$4:K514),2))</f>
        <v/>
      </c>
      <c r="N514" s="13" t="n"/>
      <c r="O514" s="13" t="n"/>
      <c r="P514" s="17">
        <f>IF($B514="","",IF($F514="※类别不在基础资料里","※费用类别不在基础资料里",IF(AND(N($J514)=0,N($K514)=0),"※这行没填金额",IF(AND(N($J514)&gt;0,N($K514)&gt;0),"※收入和支出不能同一行都填",IF(AND($D514="收入",N($J514)=0),"※收入行要填收入金额",IF(AND($D514="支出",N($K514)=0),"※支出行要填支出金额",IF(AND($C514&lt;&gt;"",ISNA(MATCH($C514,账户表,0))),"※账户不在基础资料里",IF(AND($G514&lt;&gt;"",ISNA(MATCH($G514,项目名表,0))),"※项目不在项目台账里",IF(AND(LEFT($F514,3)="成本-",$G514=""),"※成本类支出没填项目",IF(AND(LEFT($F514,3)="成本-",$H514&lt;&gt;"",N($K514)&gt;0,COUNTIFS(采购单!$B:$B,$B514,采购单!$C:$C,$H514,采购单!$L:$L,$K514)&gt;0),"※这笔可能和采购单重复了",""))))))))))</f>
        <v/>
      </c>
    </row>
    <row r="515">
      <c r="A515" s="17">
        <f>IF($B515="","",ROW()-3)</f>
        <v/>
      </c>
      <c r="B515" s="18" t="n">
        <v>46177</v>
      </c>
      <c r="C515" s="13" t="inlineStr">
        <is>
          <t>微信1</t>
        </is>
      </c>
      <c r="D515" s="13" t="inlineStr">
        <is>
          <t>支出</t>
        </is>
      </c>
      <c r="E515" s="13" t="inlineStr">
        <is>
          <t>安装工资</t>
        </is>
      </c>
      <c r="F515" s="17">
        <f>IF($E515="","",IFERROR(VLOOKUP($E515,类别归属,2,0),"※类别不在基础资料里"))</f>
        <v/>
      </c>
      <c r="G515" s="13" t="n"/>
      <c r="H515" s="13" t="n"/>
      <c r="I515" s="13" t="inlineStr">
        <is>
          <t>付安装老姚工资</t>
        </is>
      </c>
      <c r="J515" s="14" t="n"/>
      <c r="K515" s="14" t="n">
        <v>18</v>
      </c>
      <c r="L515" s="19">
        <f>IF($C515="","",ROUND(IFERROR(VLOOKUP($C515,账户期初,2,0),0)+SUMIFS($J$4:J515,$C$4:C515,$C515)-SUMIFS($K$4:K515,$C$4:C515,$C515),2))</f>
        <v/>
      </c>
      <c r="M515" s="19">
        <f>IF($C515="","",ROUND(SUM(基础资料!$B$4:$B$13)+SUM($J$4:J515)-SUM($K$4:K515),2))</f>
        <v/>
      </c>
      <c r="N515" s="13" t="n"/>
      <c r="O515" s="13" t="n"/>
      <c r="P515" s="17">
        <f>IF($B515="","",IF($F515="※类别不在基础资料里","※费用类别不在基础资料里",IF(AND(N($J515)=0,N($K515)=0),"※这行没填金额",IF(AND(N($J515)&gt;0,N($K515)&gt;0),"※收入和支出不能同一行都填",IF(AND($D515="收入",N($J515)=0),"※收入行要填收入金额",IF(AND($D515="支出",N($K515)=0),"※支出行要填支出金额",IF(AND($C515&lt;&gt;"",ISNA(MATCH($C515,账户表,0))),"※账户不在基础资料里",IF(AND($G515&lt;&gt;"",ISNA(MATCH($G515,项目名表,0))),"※项目不在项目台账里",IF(AND(LEFT($F515,3)="成本-",$G515=""),"※成本类支出没填项目",IF(AND(LEFT($F515,3)="成本-",$H515&lt;&gt;"",N($K515)&gt;0,COUNTIFS(采购单!$B:$B,$B515,采购单!$C:$C,$H515,采购单!$L:$L,$K515)&gt;0),"※这笔可能和采购单重复了",""))))))))))</f>
        <v/>
      </c>
    </row>
    <row r="516">
      <c r="A516" s="17">
        <f>IF($B516="","",ROW()-3)</f>
        <v/>
      </c>
      <c r="B516" s="18" t="n">
        <v>46178</v>
      </c>
      <c r="C516" s="13" t="inlineStr">
        <is>
          <t>微信1</t>
        </is>
      </c>
      <c r="D516" s="13" t="inlineStr">
        <is>
          <t>支出</t>
        </is>
      </c>
      <c r="E516" s="13" t="inlineStr">
        <is>
          <t>待分类</t>
        </is>
      </c>
      <c r="F516" s="17">
        <f>IF($E516="","",IFERROR(VLOOKUP($E516,类别归属,2,0),"※类别不在基础资料里"))</f>
        <v/>
      </c>
      <c r="G516" s="13" t="inlineStr">
        <is>
          <t>泰纳水果店</t>
        </is>
      </c>
      <c r="H516" s="13" t="n"/>
      <c r="I516" s="13" t="inlineStr">
        <is>
          <t>水果店项目-定金</t>
        </is>
      </c>
      <c r="J516" s="14" t="n"/>
      <c r="K516" s="14" t="n">
        <v>600</v>
      </c>
      <c r="L516" s="19">
        <f>IF($C516="","",ROUND(IFERROR(VLOOKUP($C516,账户期初,2,0),0)+SUMIFS($J$4:J516,$C$4:C516,$C516)-SUMIFS($K$4:K516,$C$4:C516,$C516),2))</f>
        <v/>
      </c>
      <c r="M516" s="19">
        <f>IF($C516="","",ROUND(SUM(基础资料!$B$4:$B$13)+SUM($J$4:J516)-SUM($K$4:K516),2))</f>
        <v/>
      </c>
      <c r="N516" s="13" t="n"/>
      <c r="O516" s="13" t="n"/>
      <c r="P516" s="17">
        <f>IF($B516="","",IF($F516="※类别不在基础资料里","※费用类别不在基础资料里",IF(AND(N($J516)=0,N($K516)=0),"※这行没填金额",IF(AND(N($J516)&gt;0,N($K516)&gt;0),"※收入和支出不能同一行都填",IF(AND($D516="收入",N($J516)=0),"※收入行要填收入金额",IF(AND($D516="支出",N($K516)=0),"※支出行要填支出金额",IF(AND($C516&lt;&gt;"",ISNA(MATCH($C516,账户表,0))),"※账户不在基础资料里",IF(AND($G516&lt;&gt;"",ISNA(MATCH($G516,项目名表,0))),"※项目不在项目台账里",IF(AND(LEFT($F516,3)="成本-",$G516=""),"※成本类支出没填项目",IF(AND(LEFT($F516,3)="成本-",$H516&lt;&gt;"",N($K516)&gt;0,COUNTIFS(采购单!$B:$B,$B516,采购单!$C:$C,$H516,采购单!$L:$L,$K516)&gt;0),"※这笔可能和采购单重复了",""))))))))))</f>
        <v/>
      </c>
    </row>
    <row r="517">
      <c r="A517" s="17">
        <f>IF($B517="","",ROW()-3)</f>
        <v/>
      </c>
      <c r="B517" s="18" t="n">
        <v>46178</v>
      </c>
      <c r="C517" s="13" t="inlineStr">
        <is>
          <t>微信1</t>
        </is>
      </c>
      <c r="D517" s="13" t="inlineStr">
        <is>
          <t>支出</t>
        </is>
      </c>
      <c r="E517" s="13" t="inlineStr">
        <is>
          <t>运费/快递费</t>
        </is>
      </c>
      <c r="F517" s="17">
        <f>IF($E517="","",IFERROR(VLOOKUP($E517,类别归属,2,0),"※类别不在基础资料里"))</f>
        <v/>
      </c>
      <c r="G517" s="13" t="inlineStr">
        <is>
          <t>织里店</t>
        </is>
      </c>
      <c r="H517" s="13" t="inlineStr">
        <is>
          <t>炳秀</t>
        </is>
      </c>
      <c r="I517" s="13" t="inlineStr">
        <is>
          <t>杭州炳秀-湖州26-28武晓军</t>
        </is>
      </c>
      <c r="J517" s="14" t="n"/>
      <c r="K517" s="14" t="n">
        <v>14</v>
      </c>
      <c r="L517" s="19">
        <f>IF($C517="","",ROUND(IFERROR(VLOOKUP($C517,账户期初,2,0),0)+SUMIFS($J$4:J517,$C$4:C517,$C517)-SUMIFS($K$4:K517,$C$4:C517,$C517),2))</f>
        <v/>
      </c>
      <c r="M517" s="19">
        <f>IF($C517="","",ROUND(SUM(基础资料!$B$4:$B$13)+SUM($J$4:J517)-SUM($K$4:K517),2))</f>
        <v/>
      </c>
      <c r="N517" s="13" t="n"/>
      <c r="O517" s="13" t="inlineStr">
        <is>
          <t>49</t>
        </is>
      </c>
      <c r="P517" s="17">
        <f>IF($B517="","",IF($F517="※类别不在基础资料里","※费用类别不在基础资料里",IF(AND(N($J517)=0,N($K517)=0),"※这行没填金额",IF(AND(N($J517)&gt;0,N($K517)&gt;0),"※收入和支出不能同一行都填",IF(AND($D517="收入",N($J517)=0),"※收入行要填收入金额",IF(AND($D517="支出",N($K517)=0),"※支出行要填支出金额",IF(AND($C517&lt;&gt;"",ISNA(MATCH($C517,账户表,0))),"※账户不在基础资料里",IF(AND($G517&lt;&gt;"",ISNA(MATCH($G517,项目名表,0))),"※项目不在项目台账里",IF(AND(LEFT($F517,3)="成本-",$G517=""),"※成本类支出没填项目",IF(AND(LEFT($F517,3)="成本-",$H517&lt;&gt;"",N($K517)&gt;0,COUNTIFS(采购单!$B:$B,$B517,采购单!$C:$C,$H517,采购单!$L:$L,$K517)&gt;0),"※这笔可能和采购单重复了",""))))))))))</f>
        <v/>
      </c>
    </row>
    <row r="518">
      <c r="A518" s="17">
        <f>IF($B518="","",ROW()-3)</f>
        <v/>
      </c>
      <c r="B518" s="18" t="n">
        <v>46178</v>
      </c>
      <c r="C518" s="13" t="inlineStr">
        <is>
          <t>微信1</t>
        </is>
      </c>
      <c r="D518" s="13" t="inlineStr">
        <is>
          <t>支出</t>
        </is>
      </c>
      <c r="E518" s="13" t="inlineStr">
        <is>
          <t>运费/快递费</t>
        </is>
      </c>
      <c r="F518" s="17">
        <f>IF($E518="","",IFERROR(VLOOKUP($E518,类别归属,2,0),"※类别不在基础资料里"))</f>
        <v/>
      </c>
      <c r="G518" s="13" t="inlineStr">
        <is>
          <t>tk桌球</t>
        </is>
      </c>
      <c r="H518" s="13" t="inlineStr">
        <is>
          <t>炳秀</t>
        </is>
      </c>
      <c r="I518" s="13" t="inlineStr">
        <is>
          <t>杭州炳秀-湖州26-28武晓军</t>
        </is>
      </c>
      <c r="J518" s="14" t="n"/>
      <c r="K518" s="14" t="n">
        <v>35</v>
      </c>
      <c r="L518" s="19">
        <f>IF($C518="","",ROUND(IFERROR(VLOOKUP($C518,账户期初,2,0),0)+SUMIFS($J$4:J518,$C$4:C518,$C518)-SUMIFS($K$4:K518,$C$4:C518,$C518),2))</f>
        <v/>
      </c>
      <c r="M518" s="19">
        <f>IF($C518="","",ROUND(SUM(基础资料!$B$4:$B$13)+SUM($J$4:J518)-SUM($K$4:K518),2))</f>
        <v/>
      </c>
      <c r="N518" s="13" t="n"/>
      <c r="O518" s="13" t="n"/>
      <c r="P518" s="17">
        <f>IF($B518="","",IF($F518="※类别不在基础资料里","※费用类别不在基础资料里",IF(AND(N($J518)=0,N($K518)=0),"※这行没填金额",IF(AND(N($J518)&gt;0,N($K518)&gt;0),"※收入和支出不能同一行都填",IF(AND($D518="收入",N($J518)=0),"※收入行要填收入金额",IF(AND($D518="支出",N($K518)=0),"※支出行要填支出金额",IF(AND($C518&lt;&gt;"",ISNA(MATCH($C518,账户表,0))),"※账户不在基础资料里",IF(AND($G518&lt;&gt;"",ISNA(MATCH($G518,项目名表,0))),"※项目不在项目台账里",IF(AND(LEFT($F518,3)="成本-",$G518=""),"※成本类支出没填项目",IF(AND(LEFT($F518,3)="成本-",$H518&lt;&gt;"",N($K518)&gt;0,COUNTIFS(采购单!$B:$B,$B518,采购单!$C:$C,$H518,采购单!$L:$L,$K518)&gt;0),"※这笔可能和采购单重复了",""))))))))))</f>
        <v/>
      </c>
    </row>
    <row r="519">
      <c r="A519" s="17">
        <f>IF($B519="","",ROW()-3)</f>
        <v/>
      </c>
      <c r="B519" s="18" t="n">
        <v>46178</v>
      </c>
      <c r="C519" s="13" t="inlineStr">
        <is>
          <t>微信1</t>
        </is>
      </c>
      <c r="D519" s="13" t="inlineStr">
        <is>
          <t>收入</t>
        </is>
      </c>
      <c r="E519" s="13" t="inlineStr">
        <is>
          <t>待分类</t>
        </is>
      </c>
      <c r="F519" s="17">
        <f>IF($E519="","",IFERROR(VLOOKUP($E519,类别归属,2,0),"※类别不在基础资料里"))</f>
        <v/>
      </c>
      <c r="G519" s="13" t="inlineStr">
        <is>
          <t>万达kvv</t>
        </is>
      </c>
      <c r="H519" s="13" t="n"/>
      <c r="I519" s="13" t="inlineStr">
        <is>
          <t>万达-KVV乔金鑫</t>
        </is>
      </c>
      <c r="J519" s="14" t="n">
        <v>70</v>
      </c>
      <c r="K519" s="14" t="n"/>
      <c r="L519" s="19">
        <f>IF($C519="","",ROUND(IFERROR(VLOOKUP($C519,账户期初,2,0),0)+SUMIFS($J$4:J519,$C$4:C519,$C519)-SUMIFS($K$4:K519,$C$4:C519,$C519),2))</f>
        <v/>
      </c>
      <c r="M519" s="19">
        <f>IF($C519="","",ROUND(SUM(基础资料!$B$4:$B$13)+SUM($J$4:J519)-SUM($K$4:K519),2))</f>
        <v/>
      </c>
      <c r="N519" s="13" t="n"/>
      <c r="O519" s="13" t="n"/>
      <c r="P519" s="17">
        <f>IF($B519="","",IF($F519="※类别不在基础资料里","※费用类别不在基础资料里",IF(AND(N($J519)=0,N($K519)=0),"※这行没填金额",IF(AND(N($J519)&gt;0,N($K519)&gt;0),"※收入和支出不能同一行都填",IF(AND($D519="收入",N($J519)=0),"※收入行要填收入金额",IF(AND($D519="支出",N($K519)=0),"※支出行要填支出金额",IF(AND($C519&lt;&gt;"",ISNA(MATCH($C519,账户表,0))),"※账户不在基础资料里",IF(AND($G519&lt;&gt;"",ISNA(MATCH($G519,项目名表,0))),"※项目不在项目台账里",IF(AND(LEFT($F519,3)="成本-",$G519=""),"※成本类支出没填项目",IF(AND(LEFT($F519,3)="成本-",$H519&lt;&gt;"",N($K519)&gt;0,COUNTIFS(采购单!$B:$B,$B519,采购单!$C:$C,$H519,采购单!$L:$L,$K519)&gt;0),"※这笔可能和采购单重复了",""))))))))))</f>
        <v/>
      </c>
    </row>
    <row r="520">
      <c r="A520" s="17">
        <f>IF($B520="","",ROW()-3)</f>
        <v/>
      </c>
      <c r="B520" s="18" t="n">
        <v>46178</v>
      </c>
      <c r="C520" s="13" t="inlineStr">
        <is>
          <t>微信1</t>
        </is>
      </c>
      <c r="D520" s="13" t="inlineStr">
        <is>
          <t>收入</t>
        </is>
      </c>
      <c r="E520" s="13" t="inlineStr">
        <is>
          <t>待分类</t>
        </is>
      </c>
      <c r="F520" s="17">
        <f>IF($E520="","",IFERROR(VLOOKUP($E520,类别归属,2,0),"※类别不在基础资料里"))</f>
        <v/>
      </c>
      <c r="G520" s="13" t="inlineStr">
        <is>
          <t>万达kvv</t>
        </is>
      </c>
      <c r="H520" s="13" t="n"/>
      <c r="I520" s="13" t="inlineStr">
        <is>
          <t>万达-KVV乔金鑫</t>
        </is>
      </c>
      <c r="J520" s="14" t="n">
        <v>214</v>
      </c>
      <c r="K520" s="14" t="n"/>
      <c r="L520" s="19">
        <f>IF($C520="","",ROUND(IFERROR(VLOOKUP($C520,账户期初,2,0),0)+SUMIFS($J$4:J520,$C$4:C520,$C520)-SUMIFS($K$4:K520,$C$4:C520,$C520),2))</f>
        <v/>
      </c>
      <c r="M520" s="19">
        <f>IF($C520="","",ROUND(SUM(基础资料!$B$4:$B$13)+SUM($J$4:J520)-SUM($K$4:K520),2))</f>
        <v/>
      </c>
      <c r="N520" s="13" t="n"/>
      <c r="O520" s="13" t="n"/>
      <c r="P520" s="17">
        <f>IF($B520="","",IF($F520="※类别不在基础资料里","※费用类别不在基础资料里",IF(AND(N($J520)=0,N($K520)=0),"※这行没填金额",IF(AND(N($J520)&gt;0,N($K520)&gt;0),"※收入和支出不能同一行都填",IF(AND($D520="收入",N($J520)=0),"※收入行要填收入金额",IF(AND($D520="支出",N($K520)=0),"※支出行要填支出金额",IF(AND($C520&lt;&gt;"",ISNA(MATCH($C520,账户表,0))),"※账户不在基础资料里",IF(AND($G520&lt;&gt;"",ISNA(MATCH($G520,项目名表,0))),"※项目不在项目台账里",IF(AND(LEFT($F520,3)="成本-",$G520=""),"※成本类支出没填项目",IF(AND(LEFT($F520,3)="成本-",$H520&lt;&gt;"",N($K520)&gt;0,COUNTIFS(采购单!$B:$B,$B520,采购单!$C:$C,$H520,采购单!$L:$L,$K520)&gt;0),"※这笔可能和采购单重复了",""))))))))))</f>
        <v/>
      </c>
    </row>
    <row r="521">
      <c r="A521" s="17">
        <f>IF($B521="","",ROW()-3)</f>
        <v/>
      </c>
      <c r="B521" s="18" t="n">
        <v>46179</v>
      </c>
      <c r="C521" s="13" t="inlineStr">
        <is>
          <t>微信1</t>
        </is>
      </c>
      <c r="D521" s="13" t="inlineStr">
        <is>
          <t>支出</t>
        </is>
      </c>
      <c r="E521" s="13" t="inlineStr">
        <is>
          <t>运费/快递费</t>
        </is>
      </c>
      <c r="F521" s="17">
        <f>IF($E521="","",IFERROR(VLOOKUP($E521,类别归属,2,0),"※类别不在基础资料里"))</f>
        <v/>
      </c>
      <c r="G521" s="13" t="inlineStr">
        <is>
          <t>织里店</t>
        </is>
      </c>
      <c r="H521" s="13" t="inlineStr">
        <is>
          <t>炳秀</t>
        </is>
      </c>
      <c r="I521" s="13" t="inlineStr">
        <is>
          <t>杭州炳秀-湖州26-28武晓军</t>
        </is>
      </c>
      <c r="J521" s="14" t="n"/>
      <c r="K521" s="14" t="n">
        <v>77</v>
      </c>
      <c r="L521" s="19">
        <f>IF($C521="","",ROUND(IFERROR(VLOOKUP($C521,账户期初,2,0),0)+SUMIFS($J$4:J521,$C$4:C521,$C521)-SUMIFS($K$4:K521,$C$4:C521,$C521),2))</f>
        <v/>
      </c>
      <c r="M521" s="19">
        <f>IF($C521="","",ROUND(SUM(基础资料!$B$4:$B$13)+SUM($J$4:J521)-SUM($K$4:K521),2))</f>
        <v/>
      </c>
      <c r="N521" s="13" t="n"/>
      <c r="O521" s="13" t="inlineStr">
        <is>
          <t>112</t>
        </is>
      </c>
      <c r="P521" s="17">
        <f>IF($B521="","",IF($F521="※类别不在基础资料里","※费用类别不在基础资料里",IF(AND(N($J521)=0,N($K521)=0),"※这行没填金额",IF(AND(N($J521)&gt;0,N($K521)&gt;0),"※收入和支出不能同一行都填",IF(AND($D521="收入",N($J521)=0),"※收入行要填收入金额",IF(AND($D521="支出",N($K521)=0),"※支出行要填支出金额",IF(AND($C521&lt;&gt;"",ISNA(MATCH($C521,账户表,0))),"※账户不在基础资料里",IF(AND($G521&lt;&gt;"",ISNA(MATCH($G521,项目名表,0))),"※项目不在项目台账里",IF(AND(LEFT($F521,3)="成本-",$G521=""),"※成本类支出没填项目",IF(AND(LEFT($F521,3)="成本-",$H521&lt;&gt;"",N($K521)&gt;0,COUNTIFS(采购单!$B:$B,$B521,采购单!$C:$C,$H521,采购单!$L:$L,$K521)&gt;0),"※这笔可能和采购单重复了",""))))))))))</f>
        <v/>
      </c>
    </row>
    <row r="522">
      <c r="A522" s="17">
        <f>IF($B522="","",ROW()-3)</f>
        <v/>
      </c>
      <c r="B522" s="18" t="n">
        <v>46179</v>
      </c>
      <c r="C522" s="13" t="inlineStr">
        <is>
          <t>微信1</t>
        </is>
      </c>
      <c r="D522" s="13" t="inlineStr">
        <is>
          <t>支出</t>
        </is>
      </c>
      <c r="E522" s="13" t="inlineStr">
        <is>
          <t>运费/快递费</t>
        </is>
      </c>
      <c r="F522" s="17">
        <f>IF($E522="","",IFERROR(VLOOKUP($E522,类别归属,2,0),"※类别不在基础资料里"))</f>
        <v/>
      </c>
      <c r="G522" s="13" t="inlineStr">
        <is>
          <t>tk桌球</t>
        </is>
      </c>
      <c r="H522" s="13" t="inlineStr">
        <is>
          <t>炳秀</t>
        </is>
      </c>
      <c r="I522" s="13" t="inlineStr">
        <is>
          <t>杭州炳秀-湖州26-28武晓军</t>
        </is>
      </c>
      <c r="J522" s="14" t="n"/>
      <c r="K522" s="14" t="n">
        <v>10</v>
      </c>
      <c r="L522" s="19">
        <f>IF($C522="","",ROUND(IFERROR(VLOOKUP($C522,账户期初,2,0),0)+SUMIFS($J$4:J522,$C$4:C522,$C522)-SUMIFS($K$4:K522,$C$4:C522,$C522),2))</f>
        <v/>
      </c>
      <c r="M522" s="19">
        <f>IF($C522="","",ROUND(SUM(基础资料!$B$4:$B$13)+SUM($J$4:J522)-SUM($K$4:K522),2))</f>
        <v/>
      </c>
      <c r="N522" s="13" t="n"/>
      <c r="O522" s="13" t="n"/>
      <c r="P522" s="17">
        <f>IF($B522="","",IF($F522="※类别不在基础资料里","※费用类别不在基础资料里",IF(AND(N($J522)=0,N($K522)=0),"※这行没填金额",IF(AND(N($J522)&gt;0,N($K522)&gt;0),"※收入和支出不能同一行都填",IF(AND($D522="收入",N($J522)=0),"※收入行要填收入金额",IF(AND($D522="支出",N($K522)=0),"※支出行要填支出金额",IF(AND($C522&lt;&gt;"",ISNA(MATCH($C522,账户表,0))),"※账户不在基础资料里",IF(AND($G522&lt;&gt;"",ISNA(MATCH($G522,项目名表,0))),"※项目不在项目台账里",IF(AND(LEFT($F522,3)="成本-",$G522=""),"※成本类支出没填项目",IF(AND(LEFT($F522,3)="成本-",$H522&lt;&gt;"",N($K522)&gt;0,COUNTIFS(采购单!$B:$B,$B522,采购单!$C:$C,$H522,采购单!$L:$L,$K522)&gt;0),"※这笔可能和采购单重复了",""))))))))))</f>
        <v/>
      </c>
    </row>
    <row r="523">
      <c r="A523" s="17">
        <f>IF($B523="","",ROW()-3)</f>
        <v/>
      </c>
      <c r="B523" s="18" t="n">
        <v>46179</v>
      </c>
      <c r="C523" s="13" t="inlineStr">
        <is>
          <t>微信1</t>
        </is>
      </c>
      <c r="D523" s="13" t="inlineStr">
        <is>
          <t>支出</t>
        </is>
      </c>
      <c r="E523" s="13" t="inlineStr">
        <is>
          <t>运费/快递费</t>
        </is>
      </c>
      <c r="F523" s="17">
        <f>IF($E523="","",IFERROR(VLOOKUP($E523,类别归属,2,0),"※类别不在基础资料里"))</f>
        <v/>
      </c>
      <c r="G523" s="13" t="inlineStr">
        <is>
          <t>万达kvv</t>
        </is>
      </c>
      <c r="H523" s="13" t="inlineStr">
        <is>
          <t>炳秀</t>
        </is>
      </c>
      <c r="I523" s="13" t="inlineStr">
        <is>
          <t>杭州炳秀-湖州26-28武晓军</t>
        </is>
      </c>
      <c r="J523" s="14" t="n"/>
      <c r="K523" s="14" t="n">
        <v>25</v>
      </c>
      <c r="L523" s="19">
        <f>IF($C523="","",ROUND(IFERROR(VLOOKUP($C523,账户期初,2,0),0)+SUMIFS($J$4:J523,$C$4:C523,$C523)-SUMIFS($K$4:K523,$C$4:C523,$C523),2))</f>
        <v/>
      </c>
      <c r="M523" s="19">
        <f>IF($C523="","",ROUND(SUM(基础资料!$B$4:$B$13)+SUM($J$4:J523)-SUM($K$4:K523),2))</f>
        <v/>
      </c>
      <c r="N523" s="13" t="n"/>
      <c r="O523" s="13" t="n"/>
      <c r="P523" s="17">
        <f>IF($B523="","",IF($F523="※类别不在基础资料里","※费用类别不在基础资料里",IF(AND(N($J523)=0,N($K523)=0),"※这行没填金额",IF(AND(N($J523)&gt;0,N($K523)&gt;0),"※收入和支出不能同一行都填",IF(AND($D523="收入",N($J523)=0),"※收入行要填收入金额",IF(AND($D523="支出",N($K523)=0),"※支出行要填支出金额",IF(AND($C523&lt;&gt;"",ISNA(MATCH($C523,账户表,0))),"※账户不在基础资料里",IF(AND($G523&lt;&gt;"",ISNA(MATCH($G523,项目名表,0))),"※项目不在项目台账里",IF(AND(LEFT($F523,3)="成本-",$G523=""),"※成本类支出没填项目",IF(AND(LEFT($F523,3)="成本-",$H523&lt;&gt;"",N($K523)&gt;0,COUNTIFS(采购单!$B:$B,$B523,采购单!$C:$C,$H523,采购单!$L:$L,$K523)&gt;0),"※这笔可能和采购单重复了",""))))))))))</f>
        <v/>
      </c>
    </row>
    <row r="524">
      <c r="A524" s="17">
        <f>IF($B524="","",ROW()-3)</f>
        <v/>
      </c>
      <c r="B524" s="18" t="n">
        <v>46179</v>
      </c>
      <c r="C524" s="13" t="inlineStr">
        <is>
          <t>微信1</t>
        </is>
      </c>
      <c r="D524" s="13" t="inlineStr">
        <is>
          <t>收入</t>
        </is>
      </c>
      <c r="E524" s="13" t="inlineStr">
        <is>
          <t>收回借出款</t>
        </is>
      </c>
      <c r="F524" s="17">
        <f>IF($E524="","",IFERROR(VLOOKUP($E524,类别归属,2,0),"※类别不在基础资料里"))</f>
        <v/>
      </c>
      <c r="G524" s="13" t="n"/>
      <c r="H524" s="13" t="inlineStr">
        <is>
          <t>付久华</t>
        </is>
      </c>
      <c r="I524" s="13" t="inlineStr">
        <is>
          <t>付久华</t>
        </is>
      </c>
      <c r="J524" s="14" t="n">
        <v>10000</v>
      </c>
      <c r="K524" s="14" t="n"/>
      <c r="L524" s="19">
        <f>IF($C524="","",ROUND(IFERROR(VLOOKUP($C524,账户期初,2,0),0)+SUMIFS($J$4:J524,$C$4:C524,$C524)-SUMIFS($K$4:K524,$C$4:C524,$C524),2))</f>
        <v/>
      </c>
      <c r="M524" s="19">
        <f>IF($C524="","",ROUND(SUM(基础资料!$B$4:$B$13)+SUM($J$4:J524)-SUM($K$4:K524),2))</f>
        <v/>
      </c>
      <c r="N524" s="13" t="n"/>
      <c r="O524" s="13" t="n"/>
      <c r="P524" s="17">
        <f>IF($B524="","",IF($F524="※类别不在基础资料里","※费用类别不在基础资料里",IF(AND(N($J524)=0,N($K524)=0),"※这行没填金额",IF(AND(N($J524)&gt;0,N($K524)&gt;0),"※收入和支出不能同一行都填",IF(AND($D524="收入",N($J524)=0),"※收入行要填收入金额",IF(AND($D524="支出",N($K524)=0),"※支出行要填支出金额",IF(AND($C524&lt;&gt;"",ISNA(MATCH($C524,账户表,0))),"※账户不在基础资料里",IF(AND($G524&lt;&gt;"",ISNA(MATCH($G524,项目名表,0))),"※项目不在项目台账里",IF(AND(LEFT($F524,3)="成本-",$G524=""),"※成本类支出没填项目",IF(AND(LEFT($F524,3)="成本-",$H524&lt;&gt;"",N($K524)&gt;0,COUNTIFS(采购单!$B:$B,$B524,采购单!$C:$C,$H524,采购单!$L:$L,$K524)&gt;0),"※这笔可能和采购单重复了",""))))))))))</f>
        <v/>
      </c>
    </row>
    <row r="525">
      <c r="A525" s="17">
        <f>IF($B525="","",ROW()-3)</f>
        <v/>
      </c>
      <c r="B525" s="18" t="n">
        <v>46179</v>
      </c>
      <c r="C525" s="13" t="inlineStr">
        <is>
          <t>微信1</t>
        </is>
      </c>
      <c r="D525" s="13" t="inlineStr">
        <is>
          <t>支出</t>
        </is>
      </c>
      <c r="E525" s="13" t="inlineStr">
        <is>
          <t>待分类</t>
        </is>
      </c>
      <c r="F525" s="17">
        <f>IF($E525="","",IFERROR(VLOOKUP($E525,类别归属,2,0),"※类别不在基础资料里"))</f>
        <v/>
      </c>
      <c r="G525" s="13" t="n"/>
      <c r="H525" s="13" t="n"/>
      <c r="I525" s="13" t="inlineStr">
        <is>
          <t>付移沿山房租</t>
        </is>
      </c>
      <c r="J525" s="14" t="n"/>
      <c r="K525" s="14" t="n">
        <v>10000</v>
      </c>
      <c r="L525" s="19">
        <f>IF($C525="","",ROUND(IFERROR(VLOOKUP($C525,账户期初,2,0),0)+SUMIFS($J$4:J525,$C$4:C525,$C525)-SUMIFS($K$4:K525,$C$4:C525,$C525),2))</f>
        <v/>
      </c>
      <c r="M525" s="19">
        <f>IF($C525="","",ROUND(SUM(基础资料!$B$4:$B$13)+SUM($J$4:J525)-SUM($K$4:K525),2))</f>
        <v/>
      </c>
      <c r="N525" s="13" t="n"/>
      <c r="O525" s="13" t="n"/>
      <c r="P525" s="17">
        <f>IF($B525="","",IF($F525="※类别不在基础资料里","※费用类别不在基础资料里",IF(AND(N($J525)=0,N($K525)=0),"※这行没填金额",IF(AND(N($J525)&gt;0,N($K525)&gt;0),"※收入和支出不能同一行都填",IF(AND($D525="收入",N($J525)=0),"※收入行要填收入金额",IF(AND($D525="支出",N($K525)=0),"※支出行要填支出金额",IF(AND($C525&lt;&gt;"",ISNA(MATCH($C525,账户表,0))),"※账户不在基础资料里",IF(AND($G525&lt;&gt;"",ISNA(MATCH($G525,项目名表,0))),"※项目不在项目台账里",IF(AND(LEFT($F525,3)="成本-",$G525=""),"※成本类支出没填项目",IF(AND(LEFT($F525,3)="成本-",$H525&lt;&gt;"",N($K525)&gt;0,COUNTIFS(采购单!$B:$B,$B525,采购单!$C:$C,$H525,采购单!$L:$L,$K525)&gt;0),"※这笔可能和采购单重复了",""))))))))))</f>
        <v/>
      </c>
    </row>
    <row r="526">
      <c r="A526" s="17">
        <f>IF($B526="","",ROW()-3)</f>
        <v/>
      </c>
      <c r="B526" s="18" t="n">
        <v>46180</v>
      </c>
      <c r="C526" s="13" t="inlineStr">
        <is>
          <t>微信1</t>
        </is>
      </c>
      <c r="D526" s="13" t="inlineStr">
        <is>
          <t>支出</t>
        </is>
      </c>
      <c r="E526" s="13" t="inlineStr">
        <is>
          <t>待分类</t>
        </is>
      </c>
      <c r="F526" s="17">
        <f>IF($E526="","",IFERROR(VLOOKUP($E526,类别归属,2,0),"※类别不在基础资料里"))</f>
        <v/>
      </c>
      <c r="G526" s="13" t="inlineStr">
        <is>
          <t>泰纳水果店</t>
        </is>
      </c>
      <c r="H526" s="13" t="n"/>
      <c r="I526" s="13" t="inlineStr">
        <is>
          <t>采购泰纳水果店材料</t>
        </is>
      </c>
      <c r="J526" s="14" t="n"/>
      <c r="K526" s="14" t="n">
        <v>1496</v>
      </c>
      <c r="L526" s="19">
        <f>IF($C526="","",ROUND(IFERROR(VLOOKUP($C526,账户期初,2,0),0)+SUMIFS($J$4:J526,$C$4:C526,$C526)-SUMIFS($K$4:K526,$C$4:C526,$C526),2))</f>
        <v/>
      </c>
      <c r="M526" s="19">
        <f>IF($C526="","",ROUND(SUM(基础资料!$B$4:$B$13)+SUM($J$4:J526)-SUM($K$4:K526),2))</f>
        <v/>
      </c>
      <c r="N526" s="13" t="n"/>
      <c r="O526" s="13" t="n"/>
      <c r="P526" s="17">
        <f>IF($B526="","",IF($F526="※类别不在基础资料里","※费用类别不在基础资料里",IF(AND(N($J526)=0,N($K526)=0),"※这行没填金额",IF(AND(N($J526)&gt;0,N($K526)&gt;0),"※收入和支出不能同一行都填",IF(AND($D526="收入",N($J526)=0),"※收入行要填收入金额",IF(AND($D526="支出",N($K526)=0),"※支出行要填支出金额",IF(AND($C526&lt;&gt;"",ISNA(MATCH($C526,账户表,0))),"※账户不在基础资料里",IF(AND($G526&lt;&gt;"",ISNA(MATCH($G526,项目名表,0))),"※项目不在项目台账里",IF(AND(LEFT($F526,3)="成本-",$G526=""),"※成本类支出没填项目",IF(AND(LEFT($F526,3)="成本-",$H526&lt;&gt;"",N($K526)&gt;0,COUNTIFS(采购单!$B:$B,$B526,采购单!$C:$C,$H526,采购单!$L:$L,$K526)&gt;0),"※这笔可能和采购单重复了",""))))))))))</f>
        <v/>
      </c>
    </row>
    <row r="527">
      <c r="A527" s="17">
        <f>IF($B527="","",ROW()-3)</f>
        <v/>
      </c>
      <c r="B527" s="18" t="n">
        <v>46180</v>
      </c>
      <c r="C527" s="13" t="inlineStr">
        <is>
          <t>微信1</t>
        </is>
      </c>
      <c r="D527" s="13" t="inlineStr">
        <is>
          <t>支出</t>
        </is>
      </c>
      <c r="E527" s="13" t="inlineStr">
        <is>
          <t>网购材料耗材</t>
        </is>
      </c>
      <c r="F527" s="17">
        <f>IF($E527="","",IFERROR(VLOOKUP($E527,类别归属,2,0),"※类别不在基础资料里"))</f>
        <v/>
      </c>
      <c r="G527" s="13" t="inlineStr">
        <is>
          <t>沁心境界</t>
        </is>
      </c>
      <c r="H527" s="13" t="n"/>
      <c r="I527" s="13" t="inlineStr">
        <is>
          <t>淘宝支付-雨篷射灯</t>
        </is>
      </c>
      <c r="J527" s="14" t="n"/>
      <c r="K527" s="14" t="n">
        <v>173.1</v>
      </c>
      <c r="L527" s="19">
        <f>IF($C527="","",ROUND(IFERROR(VLOOKUP($C527,账户期初,2,0),0)+SUMIFS($J$4:J527,$C$4:C527,$C527)-SUMIFS($K$4:K527,$C$4:C527,$C527),2))</f>
        <v/>
      </c>
      <c r="M527" s="19">
        <f>IF($C527="","",ROUND(SUM(基础资料!$B$4:$B$13)+SUM($J$4:J527)-SUM($K$4:K527),2))</f>
        <v/>
      </c>
      <c r="N527" s="13" t="n"/>
      <c r="O527" s="13" t="n"/>
      <c r="P527" s="17">
        <f>IF($B527="","",IF($F527="※类别不在基础资料里","※费用类别不在基础资料里",IF(AND(N($J527)=0,N($K527)=0),"※这行没填金额",IF(AND(N($J527)&gt;0,N($K527)&gt;0),"※收入和支出不能同一行都填",IF(AND($D527="收入",N($J527)=0),"※收入行要填收入金额",IF(AND($D527="支出",N($K527)=0),"※支出行要填支出金额",IF(AND($C527&lt;&gt;"",ISNA(MATCH($C527,账户表,0))),"※账户不在基础资料里",IF(AND($G527&lt;&gt;"",ISNA(MATCH($G527,项目名表,0))),"※项目不在项目台账里",IF(AND(LEFT($F527,3)="成本-",$G527=""),"※成本类支出没填项目",IF(AND(LEFT($F527,3)="成本-",$H527&lt;&gt;"",N($K527)&gt;0,COUNTIFS(采购单!$B:$B,$B527,采购单!$C:$C,$H527,采购单!$L:$L,$K527)&gt;0),"※这笔可能和采购单重复了",""))))))))))</f>
        <v/>
      </c>
    </row>
    <row r="528">
      <c r="A528" s="17">
        <f>IF($B528="","",ROW()-3)</f>
        <v/>
      </c>
      <c r="B528" s="18" t="n">
        <v>46180</v>
      </c>
      <c r="C528" s="13" t="inlineStr">
        <is>
          <t>微信1</t>
        </is>
      </c>
      <c r="D528" s="13" t="inlineStr">
        <is>
          <t>支出</t>
        </is>
      </c>
      <c r="E528" s="13" t="inlineStr">
        <is>
          <t>运费/快递费</t>
        </is>
      </c>
      <c r="F528" s="17">
        <f>IF($E528="","",IFERROR(VLOOKUP($E528,类别归属,2,0),"※类别不在基础资料里"))</f>
        <v/>
      </c>
      <c r="G528" s="13" t="inlineStr">
        <is>
          <t>织里店</t>
        </is>
      </c>
      <c r="H528" s="13" t="inlineStr">
        <is>
          <t>炳秀</t>
        </is>
      </c>
      <c r="I528" s="13" t="inlineStr">
        <is>
          <t>杭州炳秀-湖州26-28武晓军</t>
        </is>
      </c>
      <c r="J528" s="14" t="n"/>
      <c r="K528" s="14" t="n">
        <v>24</v>
      </c>
      <c r="L528" s="19">
        <f>IF($C528="","",ROUND(IFERROR(VLOOKUP($C528,账户期初,2,0),0)+SUMIFS($J$4:J528,$C$4:C528,$C528)-SUMIFS($K$4:K528,$C$4:C528,$C528),2))</f>
        <v/>
      </c>
      <c r="M528" s="19">
        <f>IF($C528="","",ROUND(SUM(基础资料!$B$4:$B$13)+SUM($J$4:J528)-SUM($K$4:K528),2))</f>
        <v/>
      </c>
      <c r="N528" s="13" t="n"/>
      <c r="O528" s="13" t="inlineStr">
        <is>
          <t>123</t>
        </is>
      </c>
      <c r="P528" s="17">
        <f>IF($B528="","",IF($F528="※类别不在基础资料里","※费用类别不在基础资料里",IF(AND(N($J528)=0,N($K528)=0),"※这行没填金额",IF(AND(N($J528)&gt;0,N($K528)&gt;0),"※收入和支出不能同一行都填",IF(AND($D528="收入",N($J528)=0),"※收入行要填收入金额",IF(AND($D528="支出",N($K528)=0),"※支出行要填支出金额",IF(AND($C528&lt;&gt;"",ISNA(MATCH($C528,账户表,0))),"※账户不在基础资料里",IF(AND($G528&lt;&gt;"",ISNA(MATCH($G528,项目名表,0))),"※项目不在项目台账里",IF(AND(LEFT($F528,3)="成本-",$G528=""),"※成本类支出没填项目",IF(AND(LEFT($F528,3)="成本-",$H528&lt;&gt;"",N($K528)&gt;0,COUNTIFS(采购单!$B:$B,$B528,采购单!$C:$C,$H528,采购单!$L:$L,$K528)&gt;0),"※这笔可能和采购单重复了",""))))))))))</f>
        <v/>
      </c>
    </row>
    <row r="529">
      <c r="A529" s="17">
        <f>IF($B529="","",ROW()-3)</f>
        <v/>
      </c>
      <c r="B529" s="18" t="n">
        <v>46180</v>
      </c>
      <c r="C529" s="13" t="inlineStr">
        <is>
          <t>微信1</t>
        </is>
      </c>
      <c r="D529" s="13" t="inlineStr">
        <is>
          <t>支出</t>
        </is>
      </c>
      <c r="E529" s="13" t="inlineStr">
        <is>
          <t>运费/快递费</t>
        </is>
      </c>
      <c r="F529" s="17">
        <f>IF($E529="","",IFERROR(VLOOKUP($E529,类别归属,2,0),"※类别不在基础资料里"))</f>
        <v/>
      </c>
      <c r="G529" s="13" t="inlineStr">
        <is>
          <t>tk桌球</t>
        </is>
      </c>
      <c r="H529" s="13" t="inlineStr">
        <is>
          <t>炳秀</t>
        </is>
      </c>
      <c r="I529" s="13" t="inlineStr">
        <is>
          <t>杭州炳秀-湖州26-28武晓军</t>
        </is>
      </c>
      <c r="J529" s="14" t="n"/>
      <c r="K529" s="14" t="n">
        <v>99</v>
      </c>
      <c r="L529" s="19">
        <f>IF($C529="","",ROUND(IFERROR(VLOOKUP($C529,账户期初,2,0),0)+SUMIFS($J$4:J529,$C$4:C529,$C529)-SUMIFS($K$4:K529,$C$4:C529,$C529),2))</f>
        <v/>
      </c>
      <c r="M529" s="19">
        <f>IF($C529="","",ROUND(SUM(基础资料!$B$4:$B$13)+SUM($J$4:J529)-SUM($K$4:K529),2))</f>
        <v/>
      </c>
      <c r="N529" s="13" t="n"/>
      <c r="O529" s="13" t="n"/>
      <c r="P529" s="17">
        <f>IF($B529="","",IF($F529="※类别不在基础资料里","※费用类别不在基础资料里",IF(AND(N($J529)=0,N($K529)=0),"※这行没填金额",IF(AND(N($J529)&gt;0,N($K529)&gt;0),"※收入和支出不能同一行都填",IF(AND($D529="收入",N($J529)=0),"※收入行要填收入金额",IF(AND($D529="支出",N($K529)=0),"※支出行要填支出金额",IF(AND($C529&lt;&gt;"",ISNA(MATCH($C529,账户表,0))),"※账户不在基础资料里",IF(AND($G529&lt;&gt;"",ISNA(MATCH($G529,项目名表,0))),"※项目不在项目台账里",IF(AND(LEFT($F529,3)="成本-",$G529=""),"※成本类支出没填项目",IF(AND(LEFT($F529,3)="成本-",$H529&lt;&gt;"",N($K529)&gt;0,COUNTIFS(采购单!$B:$B,$B529,采购单!$C:$C,$H529,采购单!$L:$L,$K529)&gt;0),"※这笔可能和采购单重复了",""))))))))))</f>
        <v/>
      </c>
    </row>
    <row r="530">
      <c r="A530" s="17">
        <f>IF($B530="","",ROW()-3)</f>
        <v/>
      </c>
      <c r="B530" s="18" t="n">
        <v>46181</v>
      </c>
      <c r="C530" s="13" t="inlineStr">
        <is>
          <t>微信1</t>
        </is>
      </c>
      <c r="D530" s="13" t="inlineStr">
        <is>
          <t>支出</t>
        </is>
      </c>
      <c r="E530" s="13" t="inlineStr">
        <is>
          <t>运费/快递费</t>
        </is>
      </c>
      <c r="F530" s="17">
        <f>IF($E530="","",IFERROR(VLOOKUP($E530,类别归属,2,0),"※类别不在基础资料里"))</f>
        <v/>
      </c>
      <c r="G530" s="13" t="inlineStr">
        <is>
          <t>织里店</t>
        </is>
      </c>
      <c r="H530" s="13" t="inlineStr">
        <is>
          <t>炳秀</t>
        </is>
      </c>
      <c r="I530" s="13" t="inlineStr">
        <is>
          <t>杭州炳秀-湖州26-28武晓军</t>
        </is>
      </c>
      <c r="J530" s="14" t="n"/>
      <c r="K530" s="14" t="n">
        <v>44</v>
      </c>
      <c r="L530" s="19">
        <f>IF($C530="","",ROUND(IFERROR(VLOOKUP($C530,账户期初,2,0),0)+SUMIFS($J$4:J530,$C$4:C530,$C530)-SUMIFS($K$4:K530,$C$4:C530,$C530),2))</f>
        <v/>
      </c>
      <c r="M530" s="19">
        <f>IF($C530="","",ROUND(SUM(基础资料!$B$4:$B$13)+SUM($J$4:J530)-SUM($K$4:K530),2))</f>
        <v/>
      </c>
      <c r="N530" s="13" t="n"/>
      <c r="O530" s="13" t="n"/>
      <c r="P530" s="17">
        <f>IF($B530="","",IF($F530="※类别不在基础资料里","※费用类别不在基础资料里",IF(AND(N($J530)=0,N($K530)=0),"※这行没填金额",IF(AND(N($J530)&gt;0,N($K530)&gt;0),"※收入和支出不能同一行都填",IF(AND($D530="收入",N($J530)=0),"※收入行要填收入金额",IF(AND($D530="支出",N($K530)=0),"※支出行要填支出金额",IF(AND($C530&lt;&gt;"",ISNA(MATCH($C530,账户表,0))),"※账户不在基础资料里",IF(AND($G530&lt;&gt;"",ISNA(MATCH($G530,项目名表,0))),"※项目不在项目台账里",IF(AND(LEFT($F530,3)="成本-",$G530=""),"※成本类支出没填项目",IF(AND(LEFT($F530,3)="成本-",$H530&lt;&gt;"",N($K530)&gt;0,COUNTIFS(采购单!$B:$B,$B530,采购单!$C:$C,$H530,采购单!$L:$L,$K530)&gt;0),"※这笔可能和采购单重复了",""))))))))))</f>
        <v/>
      </c>
    </row>
    <row r="531">
      <c r="A531" s="17">
        <f>IF($B531="","",ROW()-3)</f>
        <v/>
      </c>
      <c r="B531" s="18" t="n">
        <v>46181</v>
      </c>
      <c r="C531" s="13" t="inlineStr">
        <is>
          <t>微信1</t>
        </is>
      </c>
      <c r="D531" s="13" t="inlineStr">
        <is>
          <t>支出</t>
        </is>
      </c>
      <c r="E531" s="13" t="inlineStr">
        <is>
          <t>安装工资</t>
        </is>
      </c>
      <c r="F531" s="17">
        <f>IF($E531="","",IFERROR(VLOOKUP($E531,类别归属,2,0),"※类别不在基础资料里"))</f>
        <v/>
      </c>
      <c r="G531" s="13" t="n"/>
      <c r="H531" s="13" t="n"/>
      <c r="I531" s="13" t="inlineStr">
        <is>
          <t>付老张-安装工资</t>
        </is>
      </c>
      <c r="J531" s="14" t="n"/>
      <c r="K531" s="14" t="n">
        <v>120</v>
      </c>
      <c r="L531" s="19">
        <f>IF($C531="","",ROUND(IFERROR(VLOOKUP($C531,账户期初,2,0),0)+SUMIFS($J$4:J531,$C$4:C531,$C531)-SUMIFS($K$4:K531,$C$4:C531,$C531),2))</f>
        <v/>
      </c>
      <c r="M531" s="19">
        <f>IF($C531="","",ROUND(SUM(基础资料!$B$4:$B$13)+SUM($J$4:J531)-SUM($K$4:K531),2))</f>
        <v/>
      </c>
      <c r="N531" s="13" t="n"/>
      <c r="O531" s="13" t="n"/>
      <c r="P531" s="17">
        <f>IF($B531="","",IF($F531="※类别不在基础资料里","※费用类别不在基础资料里",IF(AND(N($J531)=0,N($K531)=0),"※这行没填金额",IF(AND(N($J531)&gt;0,N($K531)&gt;0),"※收入和支出不能同一行都填",IF(AND($D531="收入",N($J531)=0),"※收入行要填收入金额",IF(AND($D531="支出",N($K531)=0),"※支出行要填支出金额",IF(AND($C531&lt;&gt;"",ISNA(MATCH($C531,账户表,0))),"※账户不在基础资料里",IF(AND($G531&lt;&gt;"",ISNA(MATCH($G531,项目名表,0))),"※项目不在项目台账里",IF(AND(LEFT($F531,3)="成本-",$G531=""),"※成本类支出没填项目",IF(AND(LEFT($F531,3)="成本-",$H531&lt;&gt;"",N($K531)&gt;0,COUNTIFS(采购单!$B:$B,$B531,采购单!$C:$C,$H531,采购单!$L:$L,$K531)&gt;0),"※这笔可能和采购单重复了",""))))))))))</f>
        <v/>
      </c>
    </row>
    <row r="532">
      <c r="A532" s="17">
        <f>IF($B532="","",ROW()-3)</f>
        <v/>
      </c>
      <c r="B532" s="18" t="n">
        <v>46182</v>
      </c>
      <c r="C532" s="13" t="inlineStr">
        <is>
          <t>微信1</t>
        </is>
      </c>
      <c r="D532" s="13" t="inlineStr">
        <is>
          <t>支出</t>
        </is>
      </c>
      <c r="E532" s="13" t="inlineStr">
        <is>
          <t>办公用品</t>
        </is>
      </c>
      <c r="F532" s="17">
        <f>IF($E532="","",IFERROR(VLOOKUP($E532,类别归属,2,0),"※类别不在基础资料里"))</f>
        <v/>
      </c>
      <c r="G532" s="13" t="n"/>
      <c r="H532" s="13" t="n"/>
      <c r="I532" s="13" t="inlineStr">
        <is>
          <t>洁柔抽纸</t>
        </is>
      </c>
      <c r="J532" s="14" t="n"/>
      <c r="K532" s="14" t="n">
        <v>34.16</v>
      </c>
      <c r="L532" s="19">
        <f>IF($C532="","",ROUND(IFERROR(VLOOKUP($C532,账户期初,2,0),0)+SUMIFS($J$4:J532,$C$4:C532,$C532)-SUMIFS($K$4:K532,$C$4:C532,$C532),2))</f>
        <v/>
      </c>
      <c r="M532" s="19">
        <f>IF($C532="","",ROUND(SUM(基础资料!$B$4:$B$13)+SUM($J$4:J532)-SUM($K$4:K532),2))</f>
        <v/>
      </c>
      <c r="N532" s="13" t="n"/>
      <c r="O532" s="13" t="n"/>
      <c r="P532" s="17">
        <f>IF($B532="","",IF($F532="※类别不在基础资料里","※费用类别不在基础资料里",IF(AND(N($J532)=0,N($K532)=0),"※这行没填金额",IF(AND(N($J532)&gt;0,N($K532)&gt;0),"※收入和支出不能同一行都填",IF(AND($D532="收入",N($J532)=0),"※收入行要填收入金额",IF(AND($D532="支出",N($K532)=0),"※支出行要填支出金额",IF(AND($C532&lt;&gt;"",ISNA(MATCH($C532,账户表,0))),"※账户不在基础资料里",IF(AND($G532&lt;&gt;"",ISNA(MATCH($G532,项目名表,0))),"※项目不在项目台账里",IF(AND(LEFT($F532,3)="成本-",$G532=""),"※成本类支出没填项目",IF(AND(LEFT($F532,3)="成本-",$H532&lt;&gt;"",N($K532)&gt;0,COUNTIFS(采购单!$B:$B,$B532,采购单!$C:$C,$H532,采购单!$L:$L,$K532)&gt;0),"※这笔可能和采购单重复了",""))))))))))</f>
        <v/>
      </c>
    </row>
    <row r="533">
      <c r="A533" s="17">
        <f>IF($B533="","",ROW()-3)</f>
        <v/>
      </c>
      <c r="B533" s="18" t="n">
        <v>46182</v>
      </c>
      <c r="C533" s="13" t="inlineStr">
        <is>
          <t>微信1</t>
        </is>
      </c>
      <c r="D533" s="13" t="inlineStr">
        <is>
          <t>支出</t>
        </is>
      </c>
      <c r="E533" s="13" t="inlineStr">
        <is>
          <t>办公用品</t>
        </is>
      </c>
      <c r="F533" s="17">
        <f>IF($E533="","",IFERROR(VLOOKUP($E533,类别归属,2,0),"※类别不在基础资料里"))</f>
        <v/>
      </c>
      <c r="G533" s="13" t="n"/>
      <c r="H533" s="13" t="n"/>
      <c r="I533" s="13" t="inlineStr">
        <is>
          <t>清风抽纸</t>
        </is>
      </c>
      <c r="J533" s="14" t="n"/>
      <c r="K533" s="14" t="n">
        <v>65.90000000000001</v>
      </c>
      <c r="L533" s="19">
        <f>IF($C533="","",ROUND(IFERROR(VLOOKUP($C533,账户期初,2,0),0)+SUMIFS($J$4:J533,$C$4:C533,$C533)-SUMIFS($K$4:K533,$C$4:C533,$C533),2))</f>
        <v/>
      </c>
      <c r="M533" s="19">
        <f>IF($C533="","",ROUND(SUM(基础资料!$B$4:$B$13)+SUM($J$4:J533)-SUM($K$4:K533),2))</f>
        <v/>
      </c>
      <c r="N533" s="13" t="n"/>
      <c r="O533" s="13" t="n"/>
      <c r="P533" s="17">
        <f>IF($B533="","",IF($F533="※类别不在基础资料里","※费用类别不在基础资料里",IF(AND(N($J533)=0,N($K533)=0),"※这行没填金额",IF(AND(N($J533)&gt;0,N($K533)&gt;0),"※收入和支出不能同一行都填",IF(AND($D533="收入",N($J533)=0),"※收入行要填收入金额",IF(AND($D533="支出",N($K533)=0),"※支出行要填支出金额",IF(AND($C533&lt;&gt;"",ISNA(MATCH($C533,账户表,0))),"※账户不在基础资料里",IF(AND($G533&lt;&gt;"",ISNA(MATCH($G533,项目名表,0))),"※项目不在项目台账里",IF(AND(LEFT($F533,3)="成本-",$G533=""),"※成本类支出没填项目",IF(AND(LEFT($F533,3)="成本-",$H533&lt;&gt;"",N($K533)&gt;0,COUNTIFS(采购单!$B:$B,$B533,采购单!$C:$C,$H533,采购单!$L:$L,$K533)&gt;0),"※这笔可能和采购单重复了",""))))))))))</f>
        <v/>
      </c>
    </row>
    <row r="534">
      <c r="A534" s="17">
        <f>IF($B534="","",ROW()-3)</f>
        <v/>
      </c>
      <c r="B534" s="18" t="n">
        <v>46182</v>
      </c>
      <c r="C534" s="13" t="inlineStr">
        <is>
          <t>微信1</t>
        </is>
      </c>
      <c r="D534" s="13" t="inlineStr">
        <is>
          <t>支出</t>
        </is>
      </c>
      <c r="E534" s="13" t="inlineStr">
        <is>
          <t>待分类</t>
        </is>
      </c>
      <c r="F534" s="17">
        <f>IF($E534="","",IFERROR(VLOOKUP($E534,类别归属,2,0),"※类别不在基础资料里"))</f>
        <v/>
      </c>
      <c r="G534" s="13" t="inlineStr">
        <is>
          <t>泰纳水果店</t>
        </is>
      </c>
      <c r="H534" s="13" t="n"/>
      <c r="I534" s="13" t="inlineStr">
        <is>
          <t>付吉祥铝塑板</t>
        </is>
      </c>
      <c r="J534" s="14" t="n"/>
      <c r="K534" s="14" t="n">
        <v>940</v>
      </c>
      <c r="L534" s="19">
        <f>IF($C534="","",ROUND(IFERROR(VLOOKUP($C534,账户期初,2,0),0)+SUMIFS($J$4:J534,$C$4:C534,$C534)-SUMIFS($K$4:K534,$C$4:C534,$C534),2))</f>
        <v/>
      </c>
      <c r="M534" s="19">
        <f>IF($C534="","",ROUND(SUM(基础资料!$B$4:$B$13)+SUM($J$4:J534)-SUM($K$4:K534),2))</f>
        <v/>
      </c>
      <c r="N534" s="13" t="n"/>
      <c r="O534" s="13" t="n"/>
      <c r="P534" s="17">
        <f>IF($B534="","",IF($F534="※类别不在基础资料里","※费用类别不在基础资料里",IF(AND(N($J534)=0,N($K534)=0),"※这行没填金额",IF(AND(N($J534)&gt;0,N($K534)&gt;0),"※收入和支出不能同一行都填",IF(AND($D534="收入",N($J534)=0),"※收入行要填收入金额",IF(AND($D534="支出",N($K534)=0),"※支出行要填支出金额",IF(AND($C534&lt;&gt;"",ISNA(MATCH($C534,账户表,0))),"※账户不在基础资料里",IF(AND($G534&lt;&gt;"",ISNA(MATCH($G534,项目名表,0))),"※项目不在项目台账里",IF(AND(LEFT($F534,3)="成本-",$G534=""),"※成本类支出没填项目",IF(AND(LEFT($F534,3)="成本-",$H534&lt;&gt;"",N($K534)&gt;0,COUNTIFS(采购单!$B:$B,$B534,采购单!$C:$C,$H534,采购单!$L:$L,$K534)&gt;0),"※这笔可能和采购单重复了",""))))))))))</f>
        <v/>
      </c>
    </row>
    <row r="535">
      <c r="A535" s="17">
        <f>IF($B535="","",ROW()-3)</f>
        <v/>
      </c>
      <c r="B535" s="18" t="n">
        <v>46182</v>
      </c>
      <c r="C535" s="13" t="inlineStr">
        <is>
          <t>微信1</t>
        </is>
      </c>
      <c r="D535" s="13" t="inlineStr">
        <is>
          <t>支出</t>
        </is>
      </c>
      <c r="E535" s="13" t="inlineStr">
        <is>
          <t>运费/快递费</t>
        </is>
      </c>
      <c r="F535" s="17">
        <f>IF($E535="","",IFERROR(VLOOKUP($E535,类别归属,2,0),"※类别不在基础资料里"))</f>
        <v/>
      </c>
      <c r="G535" s="13" t="inlineStr">
        <is>
          <t>织里店</t>
        </is>
      </c>
      <c r="H535" s="13" t="inlineStr">
        <is>
          <t>炳秀</t>
        </is>
      </c>
      <c r="I535" s="13" t="inlineStr">
        <is>
          <t>杭州炳秀-湖州26-28武晓军</t>
        </is>
      </c>
      <c r="J535" s="14" t="n"/>
      <c r="K535" s="14" t="n">
        <v>30</v>
      </c>
      <c r="L535" s="19">
        <f>IF($C535="","",ROUND(IFERROR(VLOOKUP($C535,账户期初,2,0),0)+SUMIFS($J$4:J535,$C$4:C535,$C535)-SUMIFS($K$4:K535,$C$4:C535,$C535),2))</f>
        <v/>
      </c>
      <c r="M535" s="19">
        <f>IF($C535="","",ROUND(SUM(基础资料!$B$4:$B$13)+SUM($J$4:J535)-SUM($K$4:K535),2))</f>
        <v/>
      </c>
      <c r="N535" s="13" t="n"/>
      <c r="O535" s="13" t="inlineStr">
        <is>
          <t>38</t>
        </is>
      </c>
      <c r="P535" s="17">
        <f>IF($B535="","",IF($F535="※类别不在基础资料里","※费用类别不在基础资料里",IF(AND(N($J535)=0,N($K535)=0),"※这行没填金额",IF(AND(N($J535)&gt;0,N($K535)&gt;0),"※收入和支出不能同一行都填",IF(AND($D535="收入",N($J535)=0),"※收入行要填收入金额",IF(AND($D535="支出",N($K535)=0),"※支出行要填支出金额",IF(AND($C535&lt;&gt;"",ISNA(MATCH($C535,账户表,0))),"※账户不在基础资料里",IF(AND($G535&lt;&gt;"",ISNA(MATCH($G535,项目名表,0))),"※项目不在项目台账里",IF(AND(LEFT($F535,3)="成本-",$G535=""),"※成本类支出没填项目",IF(AND(LEFT($F535,3)="成本-",$H535&lt;&gt;"",N($K535)&gt;0,COUNTIFS(采购单!$B:$B,$B535,采购单!$C:$C,$H535,采购单!$L:$L,$K535)&gt;0),"※这笔可能和采购单重复了",""))))))))))</f>
        <v/>
      </c>
    </row>
    <row r="536">
      <c r="A536" s="17">
        <f>IF($B536="","",ROW()-3)</f>
        <v/>
      </c>
      <c r="B536" s="18" t="n">
        <v>46182</v>
      </c>
      <c r="C536" s="13" t="inlineStr">
        <is>
          <t>微信1</t>
        </is>
      </c>
      <c r="D536" s="13" t="inlineStr">
        <is>
          <t>支出</t>
        </is>
      </c>
      <c r="E536" s="13" t="inlineStr">
        <is>
          <t>运费/快递费</t>
        </is>
      </c>
      <c r="F536" s="17">
        <f>IF($E536="","",IFERROR(VLOOKUP($E536,类别归属,2,0),"※类别不在基础资料里"))</f>
        <v/>
      </c>
      <c r="G536" s="13" t="inlineStr">
        <is>
          <t>东尼电子</t>
        </is>
      </c>
      <c r="H536" s="13" t="inlineStr">
        <is>
          <t>炳秀</t>
        </is>
      </c>
      <c r="I536" s="13" t="inlineStr">
        <is>
          <t>杭州炳秀-湖州26-28武晓军</t>
        </is>
      </c>
      <c r="J536" s="14" t="n"/>
      <c r="K536" s="14" t="n">
        <v>8</v>
      </c>
      <c r="L536" s="19">
        <f>IF($C536="","",ROUND(IFERROR(VLOOKUP($C536,账户期初,2,0),0)+SUMIFS($J$4:J536,$C$4:C536,$C536)-SUMIFS($K$4:K536,$C$4:C536,$C536),2))</f>
        <v/>
      </c>
      <c r="M536" s="19">
        <f>IF($C536="","",ROUND(SUM(基础资料!$B$4:$B$13)+SUM($J$4:J536)-SUM($K$4:K536),2))</f>
        <v/>
      </c>
      <c r="N536" s="13" t="n"/>
      <c r="O536" s="13" t="n"/>
      <c r="P536" s="17">
        <f>IF($B536="","",IF($F536="※类别不在基础资料里","※费用类别不在基础资料里",IF(AND(N($J536)=0,N($K536)=0),"※这行没填金额",IF(AND(N($J536)&gt;0,N($K536)&gt;0),"※收入和支出不能同一行都填",IF(AND($D536="收入",N($J536)=0),"※收入行要填收入金额",IF(AND($D536="支出",N($K536)=0),"※支出行要填支出金额",IF(AND($C536&lt;&gt;"",ISNA(MATCH($C536,账户表,0))),"※账户不在基础资料里",IF(AND($G536&lt;&gt;"",ISNA(MATCH($G536,项目名表,0))),"※项目不在项目台账里",IF(AND(LEFT($F536,3)="成本-",$G536=""),"※成本类支出没填项目",IF(AND(LEFT($F536,3)="成本-",$H536&lt;&gt;"",N($K536)&gt;0,COUNTIFS(采购单!$B:$B,$B536,采购单!$C:$C,$H536,采购单!$L:$L,$K536)&gt;0),"※这笔可能和采购单重复了",""))))))))))</f>
        <v/>
      </c>
    </row>
    <row r="537">
      <c r="A537" s="17">
        <f>IF($B537="","",ROW()-3)</f>
        <v/>
      </c>
      <c r="B537" s="18" t="n">
        <v>46183</v>
      </c>
      <c r="C537" s="13" t="inlineStr">
        <is>
          <t>微信1</t>
        </is>
      </c>
      <c r="D537" s="13" t="inlineStr">
        <is>
          <t>支出</t>
        </is>
      </c>
      <c r="E537" s="13" t="inlineStr">
        <is>
          <t>待分类</t>
        </is>
      </c>
      <c r="F537" s="17">
        <f>IF($E537="","",IFERROR(VLOOKUP($E537,类别归属,2,0),"※类别不在基础资料里"))</f>
        <v/>
      </c>
      <c r="G537" s="13" t="inlineStr">
        <is>
          <t>泰纳水果店</t>
        </is>
      </c>
      <c r="H537" s="13" t="n"/>
      <c r="I537" s="13" t="inlineStr">
        <is>
          <t>补包边-泰纳水果店</t>
        </is>
      </c>
      <c r="J537" s="14" t="n"/>
      <c r="K537" s="14" t="n">
        <v>42</v>
      </c>
      <c r="L537" s="19">
        <f>IF($C537="","",ROUND(IFERROR(VLOOKUP($C537,账户期初,2,0),0)+SUMIFS($J$4:J537,$C$4:C537,$C537)-SUMIFS($K$4:K537,$C$4:C537,$C537),2))</f>
        <v/>
      </c>
      <c r="M537" s="19">
        <f>IF($C537="","",ROUND(SUM(基础资料!$B$4:$B$13)+SUM($J$4:J537)-SUM($K$4:K537),2))</f>
        <v/>
      </c>
      <c r="N537" s="13" t="n"/>
      <c r="O537" s="13" t="n"/>
      <c r="P537" s="17">
        <f>IF($B537="","",IF($F537="※类别不在基础资料里","※费用类别不在基础资料里",IF(AND(N($J537)=0,N($K537)=0),"※这行没填金额",IF(AND(N($J537)&gt;0,N($K537)&gt;0),"※收入和支出不能同一行都填",IF(AND($D537="收入",N($J537)=0),"※收入行要填收入金额",IF(AND($D537="支出",N($K537)=0),"※支出行要填支出金额",IF(AND($C537&lt;&gt;"",ISNA(MATCH($C537,账户表,0))),"※账户不在基础资料里",IF(AND($G537&lt;&gt;"",ISNA(MATCH($G537,项目名表,0))),"※项目不在项目台账里",IF(AND(LEFT($F537,3)="成本-",$G537=""),"※成本类支出没填项目",IF(AND(LEFT($F537,3)="成本-",$H537&lt;&gt;"",N($K537)&gt;0,COUNTIFS(采购单!$B:$B,$B537,采购单!$C:$C,$H537,采购单!$L:$L,$K537)&gt;0),"※这笔可能和采购单重复了",""))))))))))</f>
        <v/>
      </c>
    </row>
    <row r="538">
      <c r="A538" s="17">
        <f>IF($B538="","",ROW()-3)</f>
        <v/>
      </c>
      <c r="B538" s="18" t="n">
        <v>46183</v>
      </c>
      <c r="C538" s="13" t="inlineStr">
        <is>
          <t>微信1</t>
        </is>
      </c>
      <c r="D538" s="13" t="inlineStr">
        <is>
          <t>支出</t>
        </is>
      </c>
      <c r="E538" s="13" t="inlineStr">
        <is>
          <t>其他管理费用</t>
        </is>
      </c>
      <c r="F538" s="17">
        <f>IF($E538="","",IFERROR(VLOOKUP($E538,类别归属,2,0),"※类别不在基础资料里"))</f>
        <v/>
      </c>
      <c r="G538" s="13" t="n"/>
      <c r="H538" s="13" t="n"/>
      <c r="I538" s="13" t="inlineStr">
        <is>
          <t>杨德报销费用</t>
        </is>
      </c>
      <c r="J538" s="14" t="n"/>
      <c r="K538" s="14" t="n">
        <v>1619.6</v>
      </c>
      <c r="L538" s="19">
        <f>IF($C538="","",ROUND(IFERROR(VLOOKUP($C538,账户期初,2,0),0)+SUMIFS($J$4:J538,$C$4:C538,$C538)-SUMIFS($K$4:K538,$C$4:C538,$C538),2))</f>
        <v/>
      </c>
      <c r="M538" s="19">
        <f>IF($C538="","",ROUND(SUM(基础资料!$B$4:$B$13)+SUM($J$4:J538)-SUM($K$4:K538),2))</f>
        <v/>
      </c>
      <c r="N538" s="13" t="n"/>
      <c r="O538" s="13" t="n"/>
      <c r="P538" s="17">
        <f>IF($B538="","",IF($F538="※类别不在基础资料里","※费用类别不在基础资料里",IF(AND(N($J538)=0,N($K538)=0),"※这行没填金额",IF(AND(N($J538)&gt;0,N($K538)&gt;0),"※收入和支出不能同一行都填",IF(AND($D538="收入",N($J538)=0),"※收入行要填收入金额",IF(AND($D538="支出",N($K538)=0),"※支出行要填支出金额",IF(AND($C538&lt;&gt;"",ISNA(MATCH($C538,账户表,0))),"※账户不在基础资料里",IF(AND($G538&lt;&gt;"",ISNA(MATCH($G538,项目名表,0))),"※项目不在项目台账里",IF(AND(LEFT($F538,3)="成本-",$G538=""),"※成本类支出没填项目",IF(AND(LEFT($F538,3)="成本-",$H538&lt;&gt;"",N($K538)&gt;0,COUNTIFS(采购单!$B:$B,$B538,采购单!$C:$C,$H538,采购单!$L:$L,$K538)&gt;0),"※这笔可能和采购单重复了",""))))))))))</f>
        <v/>
      </c>
    </row>
    <row r="539">
      <c r="A539" s="17">
        <f>IF($B539="","",ROW()-3)</f>
        <v/>
      </c>
      <c r="B539" s="18" t="n">
        <v>46183</v>
      </c>
      <c r="C539" s="13" t="inlineStr">
        <is>
          <t>微信1</t>
        </is>
      </c>
      <c r="D539" s="13" t="inlineStr">
        <is>
          <t>支出</t>
        </is>
      </c>
      <c r="E539" s="13" t="inlineStr">
        <is>
          <t>待分类</t>
        </is>
      </c>
      <c r="F539" s="17">
        <f>IF($E539="","",IFERROR(VLOOKUP($E539,类别归属,2,0),"※类别不在基础资料里"))</f>
        <v/>
      </c>
      <c r="G539" s="13" t="n"/>
      <c r="H539" s="13" t="n"/>
      <c r="I539" s="13" t="inlineStr">
        <is>
          <t>送水</t>
        </is>
      </c>
      <c r="J539" s="14" t="n"/>
      <c r="K539" s="14" t="n">
        <v>56</v>
      </c>
      <c r="L539" s="19">
        <f>IF($C539="","",ROUND(IFERROR(VLOOKUP($C539,账户期初,2,0),0)+SUMIFS($J$4:J539,$C$4:C539,$C539)-SUMIFS($K$4:K539,$C$4:C539,$C539),2))</f>
        <v/>
      </c>
      <c r="M539" s="19">
        <f>IF($C539="","",ROUND(SUM(基础资料!$B$4:$B$13)+SUM($J$4:J539)-SUM($K$4:K539),2))</f>
        <v/>
      </c>
      <c r="N539" s="13" t="n"/>
      <c r="O539" s="13" t="n"/>
      <c r="P539" s="17">
        <f>IF($B539="","",IF($F539="※类别不在基础资料里","※费用类别不在基础资料里",IF(AND(N($J539)=0,N($K539)=0),"※这行没填金额",IF(AND(N($J539)&gt;0,N($K539)&gt;0),"※收入和支出不能同一行都填",IF(AND($D539="收入",N($J539)=0),"※收入行要填收入金额",IF(AND($D539="支出",N($K539)=0),"※支出行要填支出金额",IF(AND($C539&lt;&gt;"",ISNA(MATCH($C539,账户表,0))),"※账户不在基础资料里",IF(AND($G539&lt;&gt;"",ISNA(MATCH($G539,项目名表,0))),"※项目不在项目台账里",IF(AND(LEFT($F539,3)="成本-",$G539=""),"※成本类支出没填项目",IF(AND(LEFT($F539,3)="成本-",$H539&lt;&gt;"",N($K539)&gt;0,COUNTIFS(采购单!$B:$B,$B539,采购单!$C:$C,$H539,采购单!$L:$L,$K539)&gt;0),"※这笔可能和采购单重复了",""))))))))))</f>
        <v/>
      </c>
    </row>
    <row r="540">
      <c r="A540" s="17">
        <f>IF($B540="","",ROW()-3)</f>
        <v/>
      </c>
      <c r="B540" s="18" t="n">
        <v>46183</v>
      </c>
      <c r="C540" s="13" t="inlineStr">
        <is>
          <t>微信1</t>
        </is>
      </c>
      <c r="D540" s="13" t="inlineStr">
        <is>
          <t>支出</t>
        </is>
      </c>
      <c r="E540" s="13" t="inlineStr">
        <is>
          <t>运费/快递费</t>
        </is>
      </c>
      <c r="F540" s="17">
        <f>IF($E540="","",IFERROR(VLOOKUP($E540,类别归属,2,0),"※类别不在基础资料里"))</f>
        <v/>
      </c>
      <c r="G540" s="13" t="inlineStr">
        <is>
          <t>织里店</t>
        </is>
      </c>
      <c r="H540" s="13" t="inlineStr">
        <is>
          <t>炳秀</t>
        </is>
      </c>
      <c r="I540" s="13" t="inlineStr">
        <is>
          <t>杭州炳秀-湖州26-28武晓军</t>
        </is>
      </c>
      <c r="J540" s="14" t="n"/>
      <c r="K540" s="14" t="n">
        <v>95</v>
      </c>
      <c r="L540" s="19">
        <f>IF($C540="","",ROUND(IFERROR(VLOOKUP($C540,账户期初,2,0),0)+SUMIFS($J$4:J540,$C$4:C540,$C540)-SUMIFS($K$4:K540,$C$4:C540,$C540),2))</f>
        <v/>
      </c>
      <c r="M540" s="19">
        <f>IF($C540="","",ROUND(SUM(基础资料!$B$4:$B$13)+SUM($J$4:J540)-SUM($K$4:K540),2))</f>
        <v/>
      </c>
      <c r="N540" s="13" t="n"/>
      <c r="O540" s="13" t="n"/>
      <c r="P540" s="17">
        <f>IF($B540="","",IF($F540="※类别不在基础资料里","※费用类别不在基础资料里",IF(AND(N($J540)=0,N($K540)=0),"※这行没填金额",IF(AND(N($J540)&gt;0,N($K540)&gt;0),"※收入和支出不能同一行都填",IF(AND($D540="收入",N($J540)=0),"※收入行要填收入金额",IF(AND($D540="支出",N($K540)=0),"※支出行要填支出金额",IF(AND($C540&lt;&gt;"",ISNA(MATCH($C540,账户表,0))),"※账户不在基础资料里",IF(AND($G540&lt;&gt;"",ISNA(MATCH($G540,项目名表,0))),"※项目不在项目台账里",IF(AND(LEFT($F540,3)="成本-",$G540=""),"※成本类支出没填项目",IF(AND(LEFT($F540,3)="成本-",$H540&lt;&gt;"",N($K540)&gt;0,COUNTIFS(采购单!$B:$B,$B540,采购单!$C:$C,$H540,采购单!$L:$L,$K540)&gt;0),"※这笔可能和采购单重复了",""))))))))))</f>
        <v/>
      </c>
    </row>
    <row r="541">
      <c r="A541" s="17">
        <f>IF($B541="","",ROW()-3)</f>
        <v/>
      </c>
      <c r="B541" s="18" t="n">
        <v>46183</v>
      </c>
      <c r="C541" s="13" t="inlineStr">
        <is>
          <t>微信1</t>
        </is>
      </c>
      <c r="D541" s="13" t="inlineStr">
        <is>
          <t>支出</t>
        </is>
      </c>
      <c r="E541" s="13" t="inlineStr">
        <is>
          <t>其他管理费用</t>
        </is>
      </c>
      <c r="F541" s="17">
        <f>IF($E541="","",IFERROR(VLOOKUP($E541,类别归属,2,0),"※类别不在基础资料里"))</f>
        <v/>
      </c>
      <c r="G541" s="13" t="n"/>
      <c r="H541" s="13" t="n"/>
      <c r="I541" s="13" t="inlineStr">
        <is>
          <t>章凡报销费用</t>
        </is>
      </c>
      <c r="J541" s="14" t="n"/>
      <c r="K541" s="14" t="n">
        <v>260</v>
      </c>
      <c r="L541" s="19">
        <f>IF($C541="","",ROUND(IFERROR(VLOOKUP($C541,账户期初,2,0),0)+SUMIFS($J$4:J541,$C$4:C541,$C541)-SUMIFS($K$4:K541,$C$4:C541,$C541),2))</f>
        <v/>
      </c>
      <c r="M541" s="19">
        <f>IF($C541="","",ROUND(SUM(基础资料!$B$4:$B$13)+SUM($J$4:J541)-SUM($K$4:K541),2))</f>
        <v/>
      </c>
      <c r="N541" s="13" t="n"/>
      <c r="O541" s="13" t="n"/>
      <c r="P541" s="17">
        <f>IF($B541="","",IF($F541="※类别不在基础资料里","※费用类别不在基础资料里",IF(AND(N($J541)=0,N($K541)=0),"※这行没填金额",IF(AND(N($J541)&gt;0,N($K541)&gt;0),"※收入和支出不能同一行都填",IF(AND($D541="收入",N($J541)=0),"※收入行要填收入金额",IF(AND($D541="支出",N($K541)=0),"※支出行要填支出金额",IF(AND($C541&lt;&gt;"",ISNA(MATCH($C541,账户表,0))),"※账户不在基础资料里",IF(AND($G541&lt;&gt;"",ISNA(MATCH($G541,项目名表,0))),"※项目不在项目台账里",IF(AND(LEFT($F541,3)="成本-",$G541=""),"※成本类支出没填项目",IF(AND(LEFT($F541,3)="成本-",$H541&lt;&gt;"",N($K541)&gt;0,COUNTIFS(采购单!$B:$B,$B541,采购单!$C:$C,$H541,采购单!$L:$L,$K541)&gt;0),"※这笔可能和采购单重复了",""))))))))))</f>
        <v/>
      </c>
    </row>
    <row r="542">
      <c r="A542" s="17">
        <f>IF($B542="","",ROW()-3)</f>
        <v/>
      </c>
      <c r="B542" s="18" t="n">
        <v>46184</v>
      </c>
      <c r="C542" s="13" t="inlineStr">
        <is>
          <t>微信1</t>
        </is>
      </c>
      <c r="D542" s="13" t="inlineStr">
        <is>
          <t>支出</t>
        </is>
      </c>
      <c r="E542" s="13" t="inlineStr">
        <is>
          <t>主材采购</t>
        </is>
      </c>
      <c r="F542" s="17">
        <f>IF($E542="","",IFERROR(VLOOKUP($E542,类别归属,2,0),"※类别不在基础资料里"))</f>
        <v/>
      </c>
      <c r="G542" s="13" t="inlineStr">
        <is>
          <t>荣创达</t>
        </is>
      </c>
      <c r="H542" s="13" t="inlineStr">
        <is>
          <t>万马不锈钢牌</t>
        </is>
      </c>
      <c r="I542" s="13" t="inlineStr">
        <is>
          <t>万马不锈钢牌</t>
        </is>
      </c>
      <c r="J542" s="14" t="n"/>
      <c r="K542" s="14" t="n">
        <v>200</v>
      </c>
      <c r="L542" s="19">
        <f>IF($C542="","",ROUND(IFERROR(VLOOKUP($C542,账户期初,2,0),0)+SUMIFS($J$4:J542,$C$4:C542,$C542)-SUMIFS($K$4:K542,$C$4:C542,$C542),2))</f>
        <v/>
      </c>
      <c r="M542" s="19">
        <f>IF($C542="","",ROUND(SUM(基础资料!$B$4:$B$13)+SUM($J$4:J542)-SUM($K$4:K542),2))</f>
        <v/>
      </c>
      <c r="N542" s="13" t="n"/>
      <c r="O542" s="13" t="inlineStr">
        <is>
          <t>万马智造园</t>
        </is>
      </c>
      <c r="P542" s="17">
        <f>IF($B542="","",IF($F542="※类别不在基础资料里","※费用类别不在基础资料里",IF(AND(N($J542)=0,N($K542)=0),"※这行没填金额",IF(AND(N($J542)&gt;0,N($K542)&gt;0),"※收入和支出不能同一行都填",IF(AND($D542="收入",N($J542)=0),"※收入行要填收入金额",IF(AND($D542="支出",N($K542)=0),"※支出行要填支出金额",IF(AND($C542&lt;&gt;"",ISNA(MATCH($C542,账户表,0))),"※账户不在基础资料里",IF(AND($G542&lt;&gt;"",ISNA(MATCH($G542,项目名表,0))),"※项目不在项目台账里",IF(AND(LEFT($F542,3)="成本-",$G542=""),"※成本类支出没填项目",IF(AND(LEFT($F542,3)="成本-",$H542&lt;&gt;"",N($K542)&gt;0,COUNTIFS(采购单!$B:$B,$B542,采购单!$C:$C,$H542,采购单!$L:$L,$K542)&gt;0),"※这笔可能和采购单重复了",""))))))))))</f>
        <v/>
      </c>
    </row>
    <row r="543">
      <c r="A543" s="17">
        <f>IF($B543="","",ROW()-3)</f>
        <v/>
      </c>
      <c r="B543" s="18" t="n">
        <v>46184</v>
      </c>
      <c r="C543" s="13" t="inlineStr">
        <is>
          <t>微信1</t>
        </is>
      </c>
      <c r="D543" s="13" t="inlineStr">
        <is>
          <t>支出</t>
        </is>
      </c>
      <c r="E543" s="13" t="inlineStr">
        <is>
          <t>运费/快递费</t>
        </is>
      </c>
      <c r="F543" s="17">
        <f>IF($E543="","",IFERROR(VLOOKUP($E543,类别归属,2,0),"※类别不在基础资料里"))</f>
        <v/>
      </c>
      <c r="G543" s="13" t="inlineStr">
        <is>
          <t>织里店</t>
        </is>
      </c>
      <c r="H543" s="13" t="inlineStr">
        <is>
          <t>炳秀</t>
        </is>
      </c>
      <c r="I543" s="13" t="inlineStr">
        <is>
          <t>杭州炳秀-湖州26-28武晓军</t>
        </is>
      </c>
      <c r="J543" s="14" t="n"/>
      <c r="K543" s="14" t="n">
        <v>98</v>
      </c>
      <c r="L543" s="19">
        <f>IF($C543="","",ROUND(IFERROR(VLOOKUP($C543,账户期初,2,0),0)+SUMIFS($J$4:J543,$C$4:C543,$C543)-SUMIFS($K$4:K543,$C$4:C543,$C543),2))</f>
        <v/>
      </c>
      <c r="M543" s="19">
        <f>IF($C543="","",ROUND(SUM(基础资料!$B$4:$B$13)+SUM($J$4:J543)-SUM($K$4:K543),2))</f>
        <v/>
      </c>
      <c r="N543" s="13" t="n"/>
      <c r="O543" s="13" t="inlineStr">
        <is>
          <t>147</t>
        </is>
      </c>
      <c r="P543" s="17">
        <f>IF($B543="","",IF($F543="※类别不在基础资料里","※费用类别不在基础资料里",IF(AND(N($J543)=0,N($K543)=0),"※这行没填金额",IF(AND(N($J543)&gt;0,N($K543)&gt;0),"※收入和支出不能同一行都填",IF(AND($D543="收入",N($J543)=0),"※收入行要填收入金额",IF(AND($D543="支出",N($K543)=0),"※支出行要填支出金额",IF(AND($C543&lt;&gt;"",ISNA(MATCH($C543,账户表,0))),"※账户不在基础资料里",IF(AND($G543&lt;&gt;"",ISNA(MATCH($G543,项目名表,0))),"※项目不在项目台账里",IF(AND(LEFT($F543,3)="成本-",$G543=""),"※成本类支出没填项目",IF(AND(LEFT($F543,3)="成本-",$H543&lt;&gt;"",N($K543)&gt;0,COUNTIFS(采购单!$B:$B,$B543,采购单!$C:$C,$H543,采购单!$L:$L,$K543)&gt;0),"※这笔可能和采购单重复了",""))))))))))</f>
        <v/>
      </c>
    </row>
    <row r="544">
      <c r="A544" s="17">
        <f>IF($B544="","",ROW()-3)</f>
        <v/>
      </c>
      <c r="B544" s="18" t="n">
        <v>46184</v>
      </c>
      <c r="C544" s="13" t="inlineStr">
        <is>
          <t>微信1</t>
        </is>
      </c>
      <c r="D544" s="13" t="inlineStr">
        <is>
          <t>支出</t>
        </is>
      </c>
      <c r="E544" s="13" t="inlineStr">
        <is>
          <t>运费/快递费</t>
        </is>
      </c>
      <c r="F544" s="17">
        <f>IF($E544="","",IFERROR(VLOOKUP($E544,类别归属,2,0),"※类别不在基础资料里"))</f>
        <v/>
      </c>
      <c r="G544" s="13" t="inlineStr">
        <is>
          <t>tk桌球</t>
        </is>
      </c>
      <c r="H544" s="13" t="inlineStr">
        <is>
          <t>炳秀</t>
        </is>
      </c>
      <c r="I544" s="13" t="inlineStr">
        <is>
          <t>杭州炳秀-湖州26-28武晓军</t>
        </is>
      </c>
      <c r="J544" s="14" t="n"/>
      <c r="K544" s="14" t="n">
        <v>24</v>
      </c>
      <c r="L544" s="19">
        <f>IF($C544="","",ROUND(IFERROR(VLOOKUP($C544,账户期初,2,0),0)+SUMIFS($J$4:J544,$C$4:C544,$C544)-SUMIFS($K$4:K544,$C$4:C544,$C544),2))</f>
        <v/>
      </c>
      <c r="M544" s="19">
        <f>IF($C544="","",ROUND(SUM(基础资料!$B$4:$B$13)+SUM($J$4:J544)-SUM($K$4:K544),2))</f>
        <v/>
      </c>
      <c r="N544" s="13" t="n"/>
      <c r="O544" s="13" t="n"/>
      <c r="P544" s="17">
        <f>IF($B544="","",IF($F544="※类别不在基础资料里","※费用类别不在基础资料里",IF(AND(N($J544)=0,N($K544)=0),"※这行没填金额",IF(AND(N($J544)&gt;0,N($K544)&gt;0),"※收入和支出不能同一行都填",IF(AND($D544="收入",N($J544)=0),"※收入行要填收入金额",IF(AND($D544="支出",N($K544)=0),"※支出行要填支出金额",IF(AND($C544&lt;&gt;"",ISNA(MATCH($C544,账户表,0))),"※账户不在基础资料里",IF(AND($G544&lt;&gt;"",ISNA(MATCH($G544,项目名表,0))),"※项目不在项目台账里",IF(AND(LEFT($F544,3)="成本-",$G544=""),"※成本类支出没填项目",IF(AND(LEFT($F544,3)="成本-",$H544&lt;&gt;"",N($K544)&gt;0,COUNTIFS(采购单!$B:$B,$B544,采购单!$C:$C,$H544,采购单!$L:$L,$K544)&gt;0),"※这笔可能和采购单重复了",""))))))))))</f>
        <v/>
      </c>
    </row>
    <row r="545">
      <c r="A545" s="17">
        <f>IF($B545="","",ROW()-3)</f>
        <v/>
      </c>
      <c r="B545" s="18" t="n">
        <v>46184</v>
      </c>
      <c r="C545" s="13" t="inlineStr">
        <is>
          <t>微信1</t>
        </is>
      </c>
      <c r="D545" s="13" t="inlineStr">
        <is>
          <t>支出</t>
        </is>
      </c>
      <c r="E545" s="13" t="inlineStr">
        <is>
          <t>运费/快递费</t>
        </is>
      </c>
      <c r="F545" s="17">
        <f>IF($E545="","",IFERROR(VLOOKUP($E545,类别归属,2,0),"※类别不在基础资料里"))</f>
        <v/>
      </c>
      <c r="G545" s="13" t="inlineStr">
        <is>
          <t>坚蛋健身</t>
        </is>
      </c>
      <c r="H545" s="13" t="inlineStr">
        <is>
          <t>炳秀</t>
        </is>
      </c>
      <c r="I545" s="13" t="inlineStr">
        <is>
          <t>杭州炳秀-湖州26-28武晓军</t>
        </is>
      </c>
      <c r="J545" s="14" t="n"/>
      <c r="K545" s="14" t="n">
        <v>25</v>
      </c>
      <c r="L545" s="19">
        <f>IF($C545="","",ROUND(IFERROR(VLOOKUP($C545,账户期初,2,0),0)+SUMIFS($J$4:J545,$C$4:C545,$C545)-SUMIFS($K$4:K545,$C$4:C545,$C545),2))</f>
        <v/>
      </c>
      <c r="M545" s="19">
        <f>IF($C545="","",ROUND(SUM(基础资料!$B$4:$B$13)+SUM($J$4:J545)-SUM($K$4:K545),2))</f>
        <v/>
      </c>
      <c r="N545" s="13" t="n"/>
      <c r="O545" s="13" t="n"/>
      <c r="P545" s="17">
        <f>IF($B545="","",IF($F545="※类别不在基础资料里","※费用类别不在基础资料里",IF(AND(N($J545)=0,N($K545)=0),"※这行没填金额",IF(AND(N($J545)&gt;0,N($K545)&gt;0),"※收入和支出不能同一行都填",IF(AND($D545="收入",N($J545)=0),"※收入行要填收入金额",IF(AND($D545="支出",N($K545)=0),"※支出行要填支出金额",IF(AND($C545&lt;&gt;"",ISNA(MATCH($C545,账户表,0))),"※账户不在基础资料里",IF(AND($G545&lt;&gt;"",ISNA(MATCH($G545,项目名表,0))),"※项目不在项目台账里",IF(AND(LEFT($F545,3)="成本-",$G545=""),"※成本类支出没填项目",IF(AND(LEFT($F545,3)="成本-",$H545&lt;&gt;"",N($K545)&gt;0,COUNTIFS(采购单!$B:$B,$B545,采购单!$C:$C,$H545,采购单!$L:$L,$K545)&gt;0),"※这笔可能和采购单重复了",""))))))))))</f>
        <v/>
      </c>
    </row>
    <row r="546">
      <c r="A546" s="17">
        <f>IF($B546="","",ROW()-3)</f>
        <v/>
      </c>
      <c r="B546" s="18" t="n">
        <v>46184</v>
      </c>
      <c r="C546" s="13" t="inlineStr">
        <is>
          <t>微信1</t>
        </is>
      </c>
      <c r="D546" s="13" t="inlineStr">
        <is>
          <t>支出</t>
        </is>
      </c>
      <c r="E546" s="13" t="inlineStr">
        <is>
          <t>网购材料耗材</t>
        </is>
      </c>
      <c r="F546" s="17">
        <f>IF($E546="","",IFERROR(VLOOKUP($E546,类别归属,2,0),"※类别不在基础资料里"))</f>
        <v/>
      </c>
      <c r="G546" s="13" t="inlineStr">
        <is>
          <t>泰纳水果店</t>
        </is>
      </c>
      <c r="H546" s="13" t="n"/>
      <c r="I546" s="13" t="inlineStr">
        <is>
          <t>退货运费-拼多多</t>
        </is>
      </c>
      <c r="J546" s="14" t="n"/>
      <c r="K546" s="14" t="n">
        <v>5.05</v>
      </c>
      <c r="L546" s="19">
        <f>IF($C546="","",ROUND(IFERROR(VLOOKUP($C546,账户期初,2,0),0)+SUMIFS($J$4:J546,$C$4:C546,$C546)-SUMIFS($K$4:K546,$C$4:C546,$C546),2))</f>
        <v/>
      </c>
      <c r="M546" s="19">
        <f>IF($C546="","",ROUND(SUM(基础资料!$B$4:$B$13)+SUM($J$4:J546)-SUM($K$4:K546),2))</f>
        <v/>
      </c>
      <c r="N546" s="13" t="n"/>
      <c r="O546" s="13" t="n"/>
      <c r="P546" s="17">
        <f>IF($B546="","",IF($F546="※类别不在基础资料里","※费用类别不在基础资料里",IF(AND(N($J546)=0,N($K546)=0),"※这行没填金额",IF(AND(N($J546)&gt;0,N($K546)&gt;0),"※收入和支出不能同一行都填",IF(AND($D546="收入",N($J546)=0),"※收入行要填收入金额",IF(AND($D546="支出",N($K546)=0),"※支出行要填支出金额",IF(AND($C546&lt;&gt;"",ISNA(MATCH($C546,账户表,0))),"※账户不在基础资料里",IF(AND($G546&lt;&gt;"",ISNA(MATCH($G546,项目名表,0))),"※项目不在项目台账里",IF(AND(LEFT($F546,3)="成本-",$G546=""),"※成本类支出没填项目",IF(AND(LEFT($F546,3)="成本-",$H546&lt;&gt;"",N($K546)&gt;0,COUNTIFS(采购单!$B:$B,$B546,采购单!$C:$C,$H546,采购单!$L:$L,$K546)&gt;0),"※这笔可能和采购单重复了",""))))))))))</f>
        <v/>
      </c>
    </row>
    <row r="547">
      <c r="A547" s="17">
        <f>IF($B547="","",ROW()-3)</f>
        <v/>
      </c>
      <c r="B547" s="18" t="n">
        <v>46185</v>
      </c>
      <c r="C547" s="13" t="inlineStr">
        <is>
          <t>微信1</t>
        </is>
      </c>
      <c r="D547" s="13" t="inlineStr">
        <is>
          <t>支出</t>
        </is>
      </c>
      <c r="E547" s="13" t="inlineStr">
        <is>
          <t>待分类</t>
        </is>
      </c>
      <c r="F547" s="17">
        <f>IF($E547="","",IFERROR(VLOOKUP($E547,类别归属,2,0),"※类别不在基础资料里"))</f>
        <v/>
      </c>
      <c r="G547" s="13" t="inlineStr">
        <is>
          <t>赛港文化</t>
        </is>
      </c>
      <c r="H547" s="13" t="n"/>
      <c r="I547" s="13" t="inlineStr">
        <is>
          <t>给海天钛金属牌-金属字加工*小陈</t>
        </is>
      </c>
      <c r="J547" s="14" t="n"/>
      <c r="K547" s="14" t="n">
        <v>93</v>
      </c>
      <c r="L547" s="19">
        <f>IF($C547="","",ROUND(IFERROR(VLOOKUP($C547,账户期初,2,0),0)+SUMIFS($J$4:J547,$C$4:C547,$C547)-SUMIFS($K$4:K547,$C$4:C547,$C547),2))</f>
        <v/>
      </c>
      <c r="M547" s="19">
        <f>IF($C547="","",ROUND(SUM(基础资料!$B$4:$B$13)+SUM($J$4:J547)-SUM($K$4:K547),2))</f>
        <v/>
      </c>
      <c r="N547" s="13" t="n"/>
      <c r="O547" s="13" t="n"/>
      <c r="P547" s="17">
        <f>IF($B547="","",IF($F547="※类别不在基础资料里","※费用类别不在基础资料里",IF(AND(N($J547)=0,N($K547)=0),"※这行没填金额",IF(AND(N($J547)&gt;0,N($K547)&gt;0),"※收入和支出不能同一行都填",IF(AND($D547="收入",N($J547)=0),"※收入行要填收入金额",IF(AND($D547="支出",N($K547)=0),"※支出行要填支出金额",IF(AND($C547&lt;&gt;"",ISNA(MATCH($C547,账户表,0))),"※账户不在基础资料里",IF(AND($G547&lt;&gt;"",ISNA(MATCH($G547,项目名表,0))),"※项目不在项目台账里",IF(AND(LEFT($F547,3)="成本-",$G547=""),"※成本类支出没填项目",IF(AND(LEFT($F547,3)="成本-",$H547&lt;&gt;"",N($K547)&gt;0,COUNTIFS(采购单!$B:$B,$B547,采购单!$C:$C,$H547,采购单!$L:$L,$K547)&gt;0),"※这笔可能和采购单重复了",""))))))))))</f>
        <v/>
      </c>
    </row>
    <row r="548">
      <c r="A548" s="17">
        <f>IF($B548="","",ROW()-3)</f>
        <v/>
      </c>
      <c r="B548" s="18" t="n">
        <v>46185</v>
      </c>
      <c r="C548" s="13" t="inlineStr">
        <is>
          <t>微信1</t>
        </is>
      </c>
      <c r="D548" s="13" t="inlineStr">
        <is>
          <t>支出</t>
        </is>
      </c>
      <c r="E548" s="13" t="inlineStr">
        <is>
          <t>车费/油费/过路费</t>
        </is>
      </c>
      <c r="F548" s="17">
        <f>IF($E548="","",IFERROR(VLOOKUP($E548,类别归属,2,0),"※类别不在基础资料里"))</f>
        <v/>
      </c>
      <c r="G548" s="13" t="inlineStr">
        <is>
          <t>泰纳水果店</t>
        </is>
      </c>
      <c r="H548" s="13" t="n"/>
      <c r="I548" s="13" t="inlineStr">
        <is>
          <t>滴滴费</t>
        </is>
      </c>
      <c r="J548" s="14" t="n"/>
      <c r="K548" s="14" t="n">
        <v>31.81</v>
      </c>
      <c r="L548" s="19">
        <f>IF($C548="","",ROUND(IFERROR(VLOOKUP($C548,账户期初,2,0),0)+SUMIFS($J$4:J548,$C$4:C548,$C548)-SUMIFS($K$4:K548,$C$4:C548,$C548),2))</f>
        <v/>
      </c>
      <c r="M548" s="19">
        <f>IF($C548="","",ROUND(SUM(基础资料!$B$4:$B$13)+SUM($J$4:J548)-SUM($K$4:K548),2))</f>
        <v/>
      </c>
      <c r="N548" s="13" t="n"/>
      <c r="O548" s="13" t="n"/>
      <c r="P548" s="17">
        <f>IF($B548="","",IF($F548="※类别不在基础资料里","※费用类别不在基础资料里",IF(AND(N($J548)=0,N($K548)=0),"※这行没填金额",IF(AND(N($J548)&gt;0,N($K548)&gt;0),"※收入和支出不能同一行都填",IF(AND($D548="收入",N($J548)=0),"※收入行要填收入金额",IF(AND($D548="支出",N($K548)=0),"※支出行要填支出金额",IF(AND($C548&lt;&gt;"",ISNA(MATCH($C548,账户表,0))),"※账户不在基础资料里",IF(AND($G548&lt;&gt;"",ISNA(MATCH($G548,项目名表,0))),"※项目不在项目台账里",IF(AND(LEFT($F548,3)="成本-",$G548=""),"※成本类支出没填项目",IF(AND(LEFT($F548,3)="成本-",$H548&lt;&gt;"",N($K548)&gt;0,COUNTIFS(采购单!$B:$B,$B548,采购单!$C:$C,$H548,采购单!$L:$L,$K548)&gt;0),"※这笔可能和采购单重复了",""))))))))))</f>
        <v/>
      </c>
    </row>
    <row r="549">
      <c r="A549" s="17">
        <f>IF($B549="","",ROW()-3)</f>
        <v/>
      </c>
      <c r="B549" s="18" t="n">
        <v>46185</v>
      </c>
      <c r="C549" s="13" t="inlineStr">
        <is>
          <t>微信1</t>
        </is>
      </c>
      <c r="D549" s="13" t="inlineStr">
        <is>
          <t>支出</t>
        </is>
      </c>
      <c r="E549" s="13" t="inlineStr">
        <is>
          <t>办公用品</t>
        </is>
      </c>
      <c r="F549" s="17">
        <f>IF($E549="","",IFERROR(VLOOKUP($E549,类别归属,2,0),"※类别不在基础资料里"))</f>
        <v/>
      </c>
      <c r="G549" s="13" t="n"/>
      <c r="H549" s="13" t="n"/>
      <c r="I549" s="13" t="inlineStr">
        <is>
          <t>拼多多平台商户</t>
        </is>
      </c>
      <c r="J549" s="14" t="n"/>
      <c r="K549" s="14" t="n">
        <v>8.44</v>
      </c>
      <c r="L549" s="19">
        <f>IF($C549="","",ROUND(IFERROR(VLOOKUP($C549,账户期初,2,0),0)+SUMIFS($J$4:J549,$C$4:C549,$C549)-SUMIFS($K$4:K549,$C$4:C549,$C549),2))</f>
        <v/>
      </c>
      <c r="M549" s="19">
        <f>IF($C549="","",ROUND(SUM(基础资料!$B$4:$B$13)+SUM($J$4:J549)-SUM($K$4:K549),2))</f>
        <v/>
      </c>
      <c r="N549" s="13" t="n"/>
      <c r="O549" s="13" t="inlineStr">
        <is>
          <t>杨德文件夹</t>
        </is>
      </c>
      <c r="P549" s="17">
        <f>IF($B549="","",IF($F549="※类别不在基础资料里","※费用类别不在基础资料里",IF(AND(N($J549)=0,N($K549)=0),"※这行没填金额",IF(AND(N($J549)&gt;0,N($K549)&gt;0),"※收入和支出不能同一行都填",IF(AND($D549="收入",N($J549)=0),"※收入行要填收入金额",IF(AND($D549="支出",N($K549)=0),"※支出行要填支出金额",IF(AND($C549&lt;&gt;"",ISNA(MATCH($C549,账户表,0))),"※账户不在基础资料里",IF(AND($G549&lt;&gt;"",ISNA(MATCH($G549,项目名表,0))),"※项目不在项目台账里",IF(AND(LEFT($F549,3)="成本-",$G549=""),"※成本类支出没填项目",IF(AND(LEFT($F549,3)="成本-",$H549&lt;&gt;"",N($K549)&gt;0,COUNTIFS(采购单!$B:$B,$B549,采购单!$C:$C,$H549,采购单!$L:$L,$K549)&gt;0),"※这笔可能和采购单重复了",""))))))))))</f>
        <v/>
      </c>
    </row>
    <row r="550">
      <c r="A550" s="17">
        <f>IF($B550="","",ROW()-3)</f>
        <v/>
      </c>
      <c r="B550" s="18" t="n">
        <v>46185</v>
      </c>
      <c r="C550" s="13" t="inlineStr">
        <is>
          <t>微信1</t>
        </is>
      </c>
      <c r="D550" s="13" t="inlineStr">
        <is>
          <t>收入</t>
        </is>
      </c>
      <c r="E550" s="13" t="inlineStr">
        <is>
          <t>收回借出款</t>
        </is>
      </c>
      <c r="F550" s="17">
        <f>IF($E550="","",IFERROR(VLOOKUP($E550,类别归属,2,0),"※类别不在基础资料里"))</f>
        <v/>
      </c>
      <c r="G550" s="13" t="n"/>
      <c r="H550" s="13" t="inlineStr">
        <is>
          <t>付久华</t>
        </is>
      </c>
      <c r="I550" s="13" t="inlineStr">
        <is>
          <t>付久华</t>
        </is>
      </c>
      <c r="J550" s="14" t="n">
        <v>3000</v>
      </c>
      <c r="K550" s="14" t="n"/>
      <c r="L550" s="19">
        <f>IF($C550="","",ROUND(IFERROR(VLOOKUP($C550,账户期初,2,0),0)+SUMIFS($J$4:J550,$C$4:C550,$C550)-SUMIFS($K$4:K550,$C$4:C550,$C550),2))</f>
        <v/>
      </c>
      <c r="M550" s="19">
        <f>IF($C550="","",ROUND(SUM(基础资料!$B$4:$B$13)+SUM($J$4:J550)-SUM($K$4:K550),2))</f>
        <v/>
      </c>
      <c r="N550" s="13" t="n"/>
      <c r="O550" s="13" t="n"/>
      <c r="P550" s="17">
        <f>IF($B550="","",IF($F550="※类别不在基础资料里","※费用类别不在基础资料里",IF(AND(N($J550)=0,N($K550)=0),"※这行没填金额",IF(AND(N($J550)&gt;0,N($K550)&gt;0),"※收入和支出不能同一行都填",IF(AND($D550="收入",N($J550)=0),"※收入行要填收入金额",IF(AND($D550="支出",N($K550)=0),"※支出行要填支出金额",IF(AND($C550&lt;&gt;"",ISNA(MATCH($C550,账户表,0))),"※账户不在基础资料里",IF(AND($G550&lt;&gt;"",ISNA(MATCH($G550,项目名表,0))),"※项目不在项目台账里",IF(AND(LEFT($F550,3)="成本-",$G550=""),"※成本类支出没填项目",IF(AND(LEFT($F550,3)="成本-",$H550&lt;&gt;"",N($K550)&gt;0,COUNTIFS(采购单!$B:$B,$B550,采购单!$C:$C,$H550,采购单!$L:$L,$K550)&gt;0),"※这笔可能和采购单重复了",""))))))))))</f>
        <v/>
      </c>
    </row>
    <row r="551">
      <c r="A551" s="17">
        <f>IF($B551="","",ROW()-3)</f>
        <v/>
      </c>
      <c r="B551" s="18" t="n">
        <v>46185</v>
      </c>
      <c r="C551" s="13" t="inlineStr">
        <is>
          <t>微信1</t>
        </is>
      </c>
      <c r="D551" s="13" t="inlineStr">
        <is>
          <t>支出</t>
        </is>
      </c>
      <c r="E551" s="13" t="inlineStr">
        <is>
          <t>运费/快递费</t>
        </is>
      </c>
      <c r="F551" s="17">
        <f>IF($E551="","",IFERROR(VLOOKUP($E551,类别归属,2,0),"※类别不在基础资料里"))</f>
        <v/>
      </c>
      <c r="G551" s="13" t="inlineStr">
        <is>
          <t>织里店</t>
        </is>
      </c>
      <c r="H551" s="13" t="inlineStr">
        <is>
          <t>炳秀</t>
        </is>
      </c>
      <c r="I551" s="13" t="inlineStr">
        <is>
          <t>杭州炳秀-湖州26-28武晓军</t>
        </is>
      </c>
      <c r="J551" s="14" t="n"/>
      <c r="K551" s="14" t="n">
        <v>148</v>
      </c>
      <c r="L551" s="19">
        <f>IF($C551="","",ROUND(IFERROR(VLOOKUP($C551,账户期初,2,0),0)+SUMIFS($J$4:J551,$C$4:C551,$C551)-SUMIFS($K$4:K551,$C$4:C551,$C551),2))</f>
        <v/>
      </c>
      <c r="M551" s="19">
        <f>IF($C551="","",ROUND(SUM(基础资料!$B$4:$B$13)+SUM($J$4:J551)-SUM($K$4:K551),2))</f>
        <v/>
      </c>
      <c r="N551" s="13" t="n"/>
      <c r="O551" s="13" t="inlineStr">
        <is>
          <t>988</t>
        </is>
      </c>
      <c r="P551" s="17">
        <f>IF($B551="","",IF($F551="※类别不在基础资料里","※费用类别不在基础资料里",IF(AND(N($J551)=0,N($K551)=0),"※这行没填金额",IF(AND(N($J551)&gt;0,N($K551)&gt;0),"※收入和支出不能同一行都填",IF(AND($D551="收入",N($J551)=0),"※收入行要填收入金额",IF(AND($D551="支出",N($K551)=0),"※支出行要填支出金额",IF(AND($C551&lt;&gt;"",ISNA(MATCH($C551,账户表,0))),"※账户不在基础资料里",IF(AND($G551&lt;&gt;"",ISNA(MATCH($G551,项目名表,0))),"※项目不在项目台账里",IF(AND(LEFT($F551,3)="成本-",$G551=""),"※成本类支出没填项目",IF(AND(LEFT($F551,3)="成本-",$H551&lt;&gt;"",N($K551)&gt;0,COUNTIFS(采购单!$B:$B,$B551,采购单!$C:$C,$H551,采购单!$L:$L,$K551)&gt;0),"※这笔可能和采购单重复了",""))))))))))</f>
        <v/>
      </c>
    </row>
    <row r="552">
      <c r="A552" s="17">
        <f>IF($B552="","",ROW()-3)</f>
        <v/>
      </c>
      <c r="B552" s="18" t="n">
        <v>46185</v>
      </c>
      <c r="C552" s="13" t="inlineStr">
        <is>
          <t>微信1</t>
        </is>
      </c>
      <c r="D552" s="13" t="inlineStr">
        <is>
          <t>支出</t>
        </is>
      </c>
      <c r="E552" s="13" t="inlineStr">
        <is>
          <t>运费/快递费</t>
        </is>
      </c>
      <c r="F552" s="17">
        <f>IF($E552="","",IFERROR(VLOOKUP($E552,类别归属,2,0),"※类别不在基础资料里"))</f>
        <v/>
      </c>
      <c r="G552" s="13" t="inlineStr">
        <is>
          <t>东尼电子</t>
        </is>
      </c>
      <c r="H552" s="13" t="inlineStr">
        <is>
          <t>炳秀</t>
        </is>
      </c>
      <c r="I552" s="13" t="inlineStr">
        <is>
          <t>杭州炳秀-湖州26-28武晓军</t>
        </is>
      </c>
      <c r="J552" s="14" t="n"/>
      <c r="K552" s="14" t="n">
        <v>30</v>
      </c>
      <c r="L552" s="19">
        <f>IF($C552="","",ROUND(IFERROR(VLOOKUP($C552,账户期初,2,0),0)+SUMIFS($J$4:J552,$C$4:C552,$C552)-SUMIFS($K$4:K552,$C$4:C552,$C552),2))</f>
        <v/>
      </c>
      <c r="M552" s="19">
        <f>IF($C552="","",ROUND(SUM(基础资料!$B$4:$B$13)+SUM($J$4:J552)-SUM($K$4:K552),2))</f>
        <v/>
      </c>
      <c r="N552" s="13" t="n"/>
      <c r="O552" s="13" t="n"/>
      <c r="P552" s="17">
        <f>IF($B552="","",IF($F552="※类别不在基础资料里","※费用类别不在基础资料里",IF(AND(N($J552)=0,N($K552)=0),"※这行没填金额",IF(AND(N($J552)&gt;0,N($K552)&gt;0),"※收入和支出不能同一行都填",IF(AND($D552="收入",N($J552)=0),"※收入行要填收入金额",IF(AND($D552="支出",N($K552)=0),"※支出行要填支出金额",IF(AND($C552&lt;&gt;"",ISNA(MATCH($C552,账户表,0))),"※账户不在基础资料里",IF(AND($G552&lt;&gt;"",ISNA(MATCH($G552,项目名表,0))),"※项目不在项目台账里",IF(AND(LEFT($F552,3)="成本-",$G552=""),"※成本类支出没填项目",IF(AND(LEFT($F552,3)="成本-",$H552&lt;&gt;"",N($K552)&gt;0,COUNTIFS(采购单!$B:$B,$B552,采购单!$C:$C,$H552,采购单!$L:$L,$K552)&gt;0),"※这笔可能和采购单重复了",""))))))))))</f>
        <v/>
      </c>
    </row>
    <row r="553">
      <c r="A553" s="17">
        <f>IF($B553="","",ROW()-3)</f>
        <v/>
      </c>
      <c r="B553" s="18" t="n">
        <v>46185</v>
      </c>
      <c r="C553" s="13" t="inlineStr">
        <is>
          <t>微信1</t>
        </is>
      </c>
      <c r="D553" s="13" t="inlineStr">
        <is>
          <t>支出</t>
        </is>
      </c>
      <c r="E553" s="13" t="inlineStr">
        <is>
          <t>运费/快递费</t>
        </is>
      </c>
      <c r="F553" s="17">
        <f>IF($E553="","",IFERROR(VLOOKUP($E553,类别归属,2,0),"※类别不在基础资料里"))</f>
        <v/>
      </c>
      <c r="G553" s="13" t="inlineStr">
        <is>
          <t>赛港文化</t>
        </is>
      </c>
      <c r="H553" s="13" t="inlineStr">
        <is>
          <t>炳秀</t>
        </is>
      </c>
      <c r="I553" s="13" t="inlineStr">
        <is>
          <t>杭州炳秀-湖州26-28武晓军</t>
        </is>
      </c>
      <c r="J553" s="14" t="n"/>
      <c r="K553" s="14" t="n">
        <v>810</v>
      </c>
      <c r="L553" s="19">
        <f>IF($C553="","",ROUND(IFERROR(VLOOKUP($C553,账户期初,2,0),0)+SUMIFS($J$4:J553,$C$4:C553,$C553)-SUMIFS($K$4:K553,$C$4:C553,$C553),2))</f>
        <v/>
      </c>
      <c r="M553" s="19">
        <f>IF($C553="","",ROUND(SUM(基础资料!$B$4:$B$13)+SUM($J$4:J553)-SUM($K$4:K553),2))</f>
        <v/>
      </c>
      <c r="N553" s="13" t="n"/>
      <c r="O553" s="13" t="n"/>
      <c r="P553" s="17">
        <f>IF($B553="","",IF($F553="※类别不在基础资料里","※费用类别不在基础资料里",IF(AND(N($J553)=0,N($K553)=0),"※这行没填金额",IF(AND(N($J553)&gt;0,N($K553)&gt;0),"※收入和支出不能同一行都填",IF(AND($D553="收入",N($J553)=0),"※收入行要填收入金额",IF(AND($D553="支出",N($K553)=0),"※支出行要填支出金额",IF(AND($C553&lt;&gt;"",ISNA(MATCH($C553,账户表,0))),"※账户不在基础资料里",IF(AND($G553&lt;&gt;"",ISNA(MATCH($G553,项目名表,0))),"※项目不在项目台账里",IF(AND(LEFT($F553,3)="成本-",$G553=""),"※成本类支出没填项目",IF(AND(LEFT($F553,3)="成本-",$H553&lt;&gt;"",N($K553)&gt;0,COUNTIFS(采购单!$B:$B,$B553,采购单!$C:$C,$H553,采购单!$L:$L,$K553)&gt;0),"※这笔可能和采购单重复了",""))))))))))</f>
        <v/>
      </c>
    </row>
    <row r="554">
      <c r="A554" s="17">
        <f>IF($B554="","",ROW()-3)</f>
        <v/>
      </c>
      <c r="B554" s="18" t="n">
        <v>46185</v>
      </c>
      <c r="C554" s="13" t="inlineStr">
        <is>
          <t>微信1</t>
        </is>
      </c>
      <c r="D554" s="13" t="inlineStr">
        <is>
          <t>收入</t>
        </is>
      </c>
      <c r="E554" s="13" t="inlineStr">
        <is>
          <t>待分类</t>
        </is>
      </c>
      <c r="F554" s="17">
        <f>IF($E554="","",IFERROR(VLOOKUP($E554,类别归属,2,0),"※类别不在基础资料里"))</f>
        <v/>
      </c>
      <c r="G554" s="13" t="inlineStr">
        <is>
          <t>双林面馆-滨河路</t>
        </is>
      </c>
      <c r="H554" s="13" t="n"/>
      <c r="I554" s="13" t="inlineStr">
        <is>
          <t>双林面馆-定金</t>
        </is>
      </c>
      <c r="J554" s="14" t="n">
        <v>2100</v>
      </c>
      <c r="K554" s="14" t="n"/>
      <c r="L554" s="19">
        <f>IF($C554="","",ROUND(IFERROR(VLOOKUP($C554,账户期初,2,0),0)+SUMIFS($J$4:J554,$C$4:C554,$C554)-SUMIFS($K$4:K554,$C$4:C554,$C554),2))</f>
        <v/>
      </c>
      <c r="M554" s="19">
        <f>IF($C554="","",ROUND(SUM(基础资料!$B$4:$B$13)+SUM($J$4:J554)-SUM($K$4:K554),2))</f>
        <v/>
      </c>
      <c r="N554" s="13" t="n"/>
      <c r="O554" s="13" t="n"/>
      <c r="P554" s="17">
        <f>IF($B554="","",IF($F554="※类别不在基础资料里","※费用类别不在基础资料里",IF(AND(N($J554)=0,N($K554)=0),"※这行没填金额",IF(AND(N($J554)&gt;0,N($K554)&gt;0),"※收入和支出不能同一行都填",IF(AND($D554="收入",N($J554)=0),"※收入行要填收入金额",IF(AND($D554="支出",N($K554)=0),"※支出行要填支出金额",IF(AND($C554&lt;&gt;"",ISNA(MATCH($C554,账户表,0))),"※账户不在基础资料里",IF(AND($G554&lt;&gt;"",ISNA(MATCH($G554,项目名表,0))),"※项目不在项目台账里",IF(AND(LEFT($F554,3)="成本-",$G554=""),"※成本类支出没填项目",IF(AND(LEFT($F554,3)="成本-",$H554&lt;&gt;"",N($K554)&gt;0,COUNTIFS(采购单!$B:$B,$B554,采购单!$C:$C,$H554,采购单!$L:$L,$K554)&gt;0),"※这笔可能和采购单重复了",""))))))))))</f>
        <v/>
      </c>
    </row>
    <row r="555">
      <c r="A555" s="17">
        <f>IF($B555="","",ROW()-3)</f>
        <v/>
      </c>
      <c r="B555" s="18" t="n">
        <v>46185</v>
      </c>
      <c r="C555" s="13" t="inlineStr">
        <is>
          <t>微信1</t>
        </is>
      </c>
      <c r="D555" s="13" t="inlineStr">
        <is>
          <t>支出</t>
        </is>
      </c>
      <c r="E555" s="13" t="inlineStr">
        <is>
          <t>安装工资</t>
        </is>
      </c>
      <c r="F555" s="17">
        <f>IF($E555="","",IFERROR(VLOOKUP($E555,类别归属,2,0),"※类别不在基础资料里"))</f>
        <v/>
      </c>
      <c r="G555" s="13" t="n"/>
      <c r="H555" s="13" t="n"/>
      <c r="I555" s="13" t="inlineStr">
        <is>
          <t>老姜-安装工资</t>
        </is>
      </c>
      <c r="J555" s="14" t="n"/>
      <c r="K555" s="14" t="n">
        <v>2472</v>
      </c>
      <c r="L555" s="19">
        <f>IF($C555="","",ROUND(IFERROR(VLOOKUP($C555,账户期初,2,0),0)+SUMIFS($J$4:J555,$C$4:C555,$C555)-SUMIFS($K$4:K555,$C$4:C555,$C555),2))</f>
        <v/>
      </c>
      <c r="M555" s="19">
        <f>IF($C555="","",ROUND(SUM(基础资料!$B$4:$B$13)+SUM($J$4:J555)-SUM($K$4:K555),2))</f>
        <v/>
      </c>
      <c r="N555" s="13" t="n"/>
      <c r="O555" s="13" t="n"/>
      <c r="P555" s="17">
        <f>IF($B555="","",IF($F555="※类别不在基础资料里","※费用类别不在基础资料里",IF(AND(N($J555)=0,N($K555)=0),"※这行没填金额",IF(AND(N($J555)&gt;0,N($K555)&gt;0),"※收入和支出不能同一行都填",IF(AND($D555="收入",N($J555)=0),"※收入行要填收入金额",IF(AND($D555="支出",N($K555)=0),"※支出行要填支出金额",IF(AND($C555&lt;&gt;"",ISNA(MATCH($C555,账户表,0))),"※账户不在基础资料里",IF(AND($G555&lt;&gt;"",ISNA(MATCH($G555,项目名表,0))),"※项目不在项目台账里",IF(AND(LEFT($F555,3)="成本-",$G555=""),"※成本类支出没填项目",IF(AND(LEFT($F555,3)="成本-",$H555&lt;&gt;"",N($K555)&gt;0,COUNTIFS(采购单!$B:$B,$B555,采购单!$C:$C,$H555,采购单!$L:$L,$K555)&gt;0),"※这笔可能和采购单重复了",""))))))))))</f>
        <v/>
      </c>
    </row>
    <row r="556">
      <c r="A556" s="17">
        <f>IF($B556="","",ROW()-3)</f>
        <v/>
      </c>
      <c r="B556" s="18" t="n">
        <v>46186</v>
      </c>
      <c r="C556" s="13" t="inlineStr">
        <is>
          <t>微信1</t>
        </is>
      </c>
      <c r="D556" s="13" t="inlineStr">
        <is>
          <t>收入</t>
        </is>
      </c>
      <c r="E556" s="13" t="inlineStr">
        <is>
          <t>主材采购</t>
        </is>
      </c>
      <c r="F556" s="17">
        <f>IF($E556="","",IFERROR(VLOOKUP($E556,类别归属,2,0),"※类别不在基础资料里"))</f>
        <v/>
      </c>
      <c r="G556" s="13" t="inlineStr">
        <is>
          <t>nook咖啡店</t>
        </is>
      </c>
      <c r="H556" s="13" t="n"/>
      <c r="I556" s="13" t="inlineStr">
        <is>
          <t>咖啡店-发光字定金</t>
        </is>
      </c>
      <c r="J556" s="14" t="n">
        <v>790</v>
      </c>
      <c r="K556" s="14" t="n"/>
      <c r="L556" s="19">
        <f>IF($C556="","",ROUND(IFERROR(VLOOKUP($C556,账户期初,2,0),0)+SUMIFS($J$4:J556,$C$4:C556,$C556)-SUMIFS($K$4:K556,$C$4:C556,$C556),2))</f>
        <v/>
      </c>
      <c r="M556" s="19">
        <f>IF($C556="","",ROUND(SUM(基础资料!$B$4:$B$13)+SUM($J$4:J556)-SUM($K$4:K556),2))</f>
        <v/>
      </c>
      <c r="N556" s="13" t="n"/>
      <c r="O556" s="13" t="inlineStr">
        <is>
          <t>6.13凌宇实存3369.53</t>
        </is>
      </c>
      <c r="P556" s="17">
        <f>IF($B556="","",IF($F556="※类别不在基础资料里","※费用类别不在基础资料里",IF(AND(N($J556)=0,N($K556)=0),"※这行没填金额",IF(AND(N($J556)&gt;0,N($K556)&gt;0),"※收入和支出不能同一行都填",IF(AND($D556="收入",N($J556)=0),"※收入行要填收入金额",IF(AND($D556="支出",N($K556)=0),"※支出行要填支出金额",IF(AND($C556&lt;&gt;"",ISNA(MATCH($C556,账户表,0))),"※账户不在基础资料里",IF(AND($G556&lt;&gt;"",ISNA(MATCH($G556,项目名表,0))),"※项目不在项目台账里",IF(AND(LEFT($F556,3)="成本-",$G556=""),"※成本类支出没填项目",IF(AND(LEFT($F556,3)="成本-",$H556&lt;&gt;"",N($K556)&gt;0,COUNTIFS(采购单!$B:$B,$B556,采购单!$C:$C,$H556,采购单!$L:$L,$K556)&gt;0),"※这笔可能和采购单重复了",""))))))))))</f>
        <v/>
      </c>
    </row>
    <row r="557">
      <c r="A557" s="17">
        <f>IF($B557="","",ROW()-3)</f>
        <v/>
      </c>
      <c r="B557" s="18" t="n">
        <v>46186</v>
      </c>
      <c r="C557" s="13" t="inlineStr">
        <is>
          <t>微信1</t>
        </is>
      </c>
      <c r="D557" s="13" t="inlineStr">
        <is>
          <t>支出</t>
        </is>
      </c>
      <c r="E557" s="13" t="inlineStr">
        <is>
          <t>待分类</t>
        </is>
      </c>
      <c r="F557" s="17">
        <f>IF($E557="","",IFERROR(VLOOKUP($E557,类别归属,2,0),"※类别不在基础资料里"))</f>
        <v/>
      </c>
      <c r="G557" s="13" t="inlineStr">
        <is>
          <t>沁心境界</t>
        </is>
      </c>
      <c r="H557" s="13" t="n"/>
      <c r="I557" s="13" t="inlineStr">
        <is>
          <t>付凌宇6.5-6.13垫油费（见清单）</t>
        </is>
      </c>
      <c r="J557" s="14" t="n"/>
      <c r="K557" s="14" t="n">
        <v>343.8</v>
      </c>
      <c r="L557" s="19">
        <f>IF($C557="","",ROUND(IFERROR(VLOOKUP($C557,账户期初,2,0),0)+SUMIFS($J$4:J557,$C$4:C557,$C557)-SUMIFS($K$4:K557,$C$4:C557,$C557),2))</f>
        <v/>
      </c>
      <c r="M557" s="19">
        <f>IF($C557="","",ROUND(SUM(基础资料!$B$4:$B$13)+SUM($J$4:J557)-SUM($K$4:K557),2))</f>
        <v/>
      </c>
      <c r="N557" s="13" t="n"/>
      <c r="O557" s="13" t="inlineStr">
        <is>
          <t>坚蛋、tk桌球、双林面馆、云栖酒店</t>
        </is>
      </c>
      <c r="P557" s="17">
        <f>IF($B557="","",IF($F557="※类别不在基础资料里","※费用类别不在基础资料里",IF(AND(N($J557)=0,N($K557)=0),"※这行没填金额",IF(AND(N($J557)&gt;0,N($K557)&gt;0),"※收入和支出不能同一行都填",IF(AND($D557="收入",N($J557)=0),"※收入行要填收入金额",IF(AND($D557="支出",N($K557)=0),"※支出行要填支出金额",IF(AND($C557&lt;&gt;"",ISNA(MATCH($C557,账户表,0))),"※账户不在基础资料里",IF(AND($G557&lt;&gt;"",ISNA(MATCH($G557,项目名表,0))),"※项目不在项目台账里",IF(AND(LEFT($F557,3)="成本-",$G557=""),"※成本类支出没填项目",IF(AND(LEFT($F557,3)="成本-",$H557&lt;&gt;"",N($K557)&gt;0,COUNTIFS(采购单!$B:$B,$B557,采购单!$C:$C,$H557,采购单!$L:$L,$K557)&gt;0),"※这笔可能和采购单重复了",""))))))))))</f>
        <v/>
      </c>
    </row>
    <row r="558">
      <c r="A558" s="17">
        <f>IF($B558="","",ROW()-3)</f>
        <v/>
      </c>
      <c r="B558" s="18" t="n">
        <v>46186</v>
      </c>
      <c r="C558" s="13" t="inlineStr">
        <is>
          <t>微信1</t>
        </is>
      </c>
      <c r="D558" s="13" t="inlineStr">
        <is>
          <t>收入</t>
        </is>
      </c>
      <c r="E558" s="13" t="inlineStr">
        <is>
          <t>待分类</t>
        </is>
      </c>
      <c r="F558" s="17">
        <f>IF($E558="","",IFERROR(VLOOKUP($E558,类别归属,2,0),"※类别不在基础资料里"))</f>
        <v/>
      </c>
      <c r="G558" s="13" t="inlineStr">
        <is>
          <t>君澜服饰</t>
        </is>
      </c>
      <c r="H558" s="13" t="n"/>
      <c r="I558" s="13" t="inlineStr">
        <is>
          <t>【君澜服饰】叶勇君 (【君澜服饰】叶勇君)</t>
        </is>
      </c>
      <c r="J558" s="14" t="n">
        <v>4400</v>
      </c>
      <c r="K558" s="14" t="n"/>
      <c r="L558" s="19">
        <f>IF($C558="","",ROUND(IFERROR(VLOOKUP($C558,账户期初,2,0),0)+SUMIFS($J$4:J558,$C$4:C558,$C558)-SUMIFS($K$4:K558,$C$4:C558,$C558),2))</f>
        <v/>
      </c>
      <c r="M558" s="19">
        <f>IF($C558="","",ROUND(SUM(基础资料!$B$4:$B$13)+SUM($J$4:J558)-SUM($K$4:K558),2))</f>
        <v/>
      </c>
      <c r="N558" s="13" t="n"/>
      <c r="O558" s="13" t="n"/>
      <c r="P558" s="17">
        <f>IF($B558="","",IF($F558="※类别不在基础资料里","※费用类别不在基础资料里",IF(AND(N($J558)=0,N($K558)=0),"※这行没填金额",IF(AND(N($J558)&gt;0,N($K558)&gt;0),"※收入和支出不能同一行都填",IF(AND($D558="收入",N($J558)=0),"※收入行要填收入金额",IF(AND($D558="支出",N($K558)=0),"※支出行要填支出金额",IF(AND($C558&lt;&gt;"",ISNA(MATCH($C558,账户表,0))),"※账户不在基础资料里",IF(AND($G558&lt;&gt;"",ISNA(MATCH($G558,项目名表,0))),"※项目不在项目台账里",IF(AND(LEFT($F558,3)="成本-",$G558=""),"※成本类支出没填项目",IF(AND(LEFT($F558,3)="成本-",$H558&lt;&gt;"",N($K558)&gt;0,COUNTIFS(采购单!$B:$B,$B558,采购单!$C:$C,$H558,采购单!$L:$L,$K558)&gt;0),"※这笔可能和采购单重复了",""))))))))))</f>
        <v/>
      </c>
    </row>
    <row r="559">
      <c r="A559" s="17">
        <f>IF($B559="","",ROW()-3)</f>
        <v/>
      </c>
      <c r="B559" s="18" t="n">
        <v>46186</v>
      </c>
      <c r="C559" s="13" t="inlineStr">
        <is>
          <t>微信1</t>
        </is>
      </c>
      <c r="D559" s="13" t="inlineStr">
        <is>
          <t>支出</t>
        </is>
      </c>
      <c r="E559" s="13" t="inlineStr">
        <is>
          <t>运费/快递费</t>
        </is>
      </c>
      <c r="F559" s="17">
        <f>IF($E559="","",IFERROR(VLOOKUP($E559,类别归属,2,0),"※类别不在基础资料里"))</f>
        <v/>
      </c>
      <c r="G559" s="13" t="inlineStr">
        <is>
          <t>织里店</t>
        </is>
      </c>
      <c r="H559" s="13" t="inlineStr">
        <is>
          <t>炳秀</t>
        </is>
      </c>
      <c r="I559" s="13" t="inlineStr">
        <is>
          <t>杭州炳秀湖州26-28武晓军 (杭州炳秀湖州26-28武晓军)</t>
        </is>
      </c>
      <c r="J559" s="14" t="n"/>
      <c r="K559" s="14" t="n">
        <v>32</v>
      </c>
      <c r="L559" s="19">
        <f>IF($C559="","",ROUND(IFERROR(VLOOKUP($C559,账户期初,2,0),0)+SUMIFS($J$4:J559,$C$4:C559,$C559)-SUMIFS($K$4:K559,$C$4:C559,$C559),2))</f>
        <v/>
      </c>
      <c r="M559" s="19">
        <f>IF($C559="","",ROUND(SUM(基础资料!$B$4:$B$13)+SUM($J$4:J559)-SUM($K$4:K559),2))</f>
        <v/>
      </c>
      <c r="N559" s="13" t="n"/>
      <c r="O559" s="13" t="n"/>
      <c r="P559" s="17">
        <f>IF($B559="","",IF($F559="※类别不在基础资料里","※费用类别不在基础资料里",IF(AND(N($J559)=0,N($K559)=0),"※这行没填金额",IF(AND(N($J559)&gt;0,N($K559)&gt;0),"※收入和支出不能同一行都填",IF(AND($D559="收入",N($J559)=0),"※收入行要填收入金额",IF(AND($D559="支出",N($K559)=0),"※支出行要填支出金额",IF(AND($C559&lt;&gt;"",ISNA(MATCH($C559,账户表,0))),"※账户不在基础资料里",IF(AND($G559&lt;&gt;"",ISNA(MATCH($G559,项目名表,0))),"※项目不在项目台账里",IF(AND(LEFT($F559,3)="成本-",$G559=""),"※成本类支出没填项目",IF(AND(LEFT($F559,3)="成本-",$H559&lt;&gt;"",N($K559)&gt;0,COUNTIFS(采购单!$B:$B,$B559,采购单!$C:$C,$H559,采购单!$L:$L,$K559)&gt;0),"※这笔可能和采购单重复了",""))))))))))</f>
        <v/>
      </c>
    </row>
    <row r="560">
      <c r="A560" s="17">
        <f>IF($B560="","",ROW()-3)</f>
        <v/>
      </c>
      <c r="B560" s="18" t="n">
        <v>46187</v>
      </c>
      <c r="C560" s="13" t="inlineStr">
        <is>
          <t>微信1</t>
        </is>
      </c>
      <c r="D560" s="13" t="inlineStr">
        <is>
          <t>支出</t>
        </is>
      </c>
      <c r="E560" s="13" t="inlineStr">
        <is>
          <t>待分类</t>
        </is>
      </c>
      <c r="F560" s="17">
        <f>IF($E560="","",IFERROR(VLOOKUP($E560,类别归属,2,0),"※类别不在基础资料里"))</f>
        <v/>
      </c>
      <c r="G560" s="13" t="inlineStr">
        <is>
          <t>泰纳水果店</t>
        </is>
      </c>
      <c r="H560" s="13" t="n"/>
      <c r="I560" s="13" t="inlineStr">
        <is>
          <t>吉祥     吴玲芳13567289348 (吉祥     吴玲芳13567289348)</t>
        </is>
      </c>
      <c r="J560" s="14" t="n"/>
      <c r="K560" s="14" t="n">
        <v>112</v>
      </c>
      <c r="L560" s="19">
        <f>IF($C560="","",ROUND(IFERROR(VLOOKUP($C560,账户期初,2,0),0)+SUMIFS($J$4:J560,$C$4:C560,$C560)-SUMIFS($K$4:K560,$C$4:C560,$C560),2))</f>
        <v/>
      </c>
      <c r="M560" s="19">
        <f>IF($C560="","",ROUND(SUM(基础资料!$B$4:$B$13)+SUM($J$4:J560)-SUM($K$4:K560),2))</f>
        <v/>
      </c>
      <c r="N560" s="13" t="n"/>
      <c r="O560" s="13" t="n"/>
      <c r="P560" s="17">
        <f>IF($B560="","",IF($F560="※类别不在基础资料里","※费用类别不在基础资料里",IF(AND(N($J560)=0,N($K560)=0),"※这行没填金额",IF(AND(N($J560)&gt;0,N($K560)&gt;0),"※收入和支出不能同一行都填",IF(AND($D560="收入",N($J560)=0),"※收入行要填收入金额",IF(AND($D560="支出",N($K560)=0),"※支出行要填支出金额",IF(AND($C560&lt;&gt;"",ISNA(MATCH($C560,账户表,0))),"※账户不在基础资料里",IF(AND($G560&lt;&gt;"",ISNA(MATCH($G560,项目名表,0))),"※项目不在项目台账里",IF(AND(LEFT($F560,3)="成本-",$G560=""),"※成本类支出没填项目",IF(AND(LEFT($F560,3)="成本-",$H560&lt;&gt;"",N($K560)&gt;0,COUNTIFS(采购单!$B:$B,$B560,采购单!$C:$C,$H560,采购单!$L:$L,$K560)&gt;0),"※这笔可能和采购单重复了",""))))))))))</f>
        <v/>
      </c>
    </row>
    <row r="561">
      <c r="A561" s="17">
        <f>IF($B561="","",ROW()-3)</f>
        <v/>
      </c>
      <c r="B561" s="18" t="n">
        <v>46187</v>
      </c>
      <c r="C561" s="13" t="inlineStr">
        <is>
          <t>微信1</t>
        </is>
      </c>
      <c r="D561" s="13" t="inlineStr">
        <is>
          <t>支出</t>
        </is>
      </c>
      <c r="E561" s="13" t="inlineStr">
        <is>
          <t>安装工资</t>
        </is>
      </c>
      <c r="F561" s="17">
        <f>IF($E561="","",IFERROR(VLOOKUP($E561,类别归属,2,0),"※类别不在基础资料里"))</f>
        <v/>
      </c>
      <c r="G561" s="13" t="n"/>
      <c r="H561" s="13" t="n"/>
      <c r="I561" s="13" t="inlineStr">
        <is>
          <t>设计 徐可欣 (4ever)</t>
        </is>
      </c>
      <c r="J561" s="14" t="n"/>
      <c r="K561" s="14" t="n">
        <v>3000</v>
      </c>
      <c r="L561" s="19">
        <f>IF($C561="","",ROUND(IFERROR(VLOOKUP($C561,账户期初,2,0),0)+SUMIFS($J$4:J561,$C$4:C561,$C561)-SUMIFS($K$4:K561,$C$4:C561,$C561),2))</f>
        <v/>
      </c>
      <c r="M561" s="19">
        <f>IF($C561="","",ROUND(SUM(基础资料!$B$4:$B$13)+SUM($J$4:J561)-SUM($K$4:K561),2))</f>
        <v/>
      </c>
      <c r="N561" s="13" t="n"/>
      <c r="O561" s="13" t="n"/>
      <c r="P561" s="17">
        <f>IF($B561="","",IF($F561="※类别不在基础资料里","※费用类别不在基础资料里",IF(AND(N($J561)=0,N($K561)=0),"※这行没填金额",IF(AND(N($J561)&gt;0,N($K561)&gt;0),"※收入和支出不能同一行都填",IF(AND($D561="收入",N($J561)=0),"※收入行要填收入金额",IF(AND($D561="支出",N($K561)=0),"※支出行要填支出金额",IF(AND($C561&lt;&gt;"",ISNA(MATCH($C561,账户表,0))),"※账户不在基础资料里",IF(AND($G561&lt;&gt;"",ISNA(MATCH($G561,项目名表,0))),"※项目不在项目台账里",IF(AND(LEFT($F561,3)="成本-",$G561=""),"※成本类支出没填项目",IF(AND(LEFT($F561,3)="成本-",$H561&lt;&gt;"",N($K561)&gt;0,COUNTIFS(采购单!$B:$B,$B561,采购单!$C:$C,$H561,采购单!$L:$L,$K561)&gt;0),"※这笔可能和采购单重复了",""))))))))))</f>
        <v/>
      </c>
    </row>
    <row r="562">
      <c r="A562" s="17">
        <f>IF($B562="","",ROW()-3)</f>
        <v/>
      </c>
      <c r="B562" s="18" t="n">
        <v>46187</v>
      </c>
      <c r="C562" s="13" t="inlineStr">
        <is>
          <t>微信1</t>
        </is>
      </c>
      <c r="D562" s="13" t="inlineStr">
        <is>
          <t>支出</t>
        </is>
      </c>
      <c r="E562" s="13" t="inlineStr">
        <is>
          <t>运费/快递费</t>
        </is>
      </c>
      <c r="F562" s="17">
        <f>IF($E562="","",IFERROR(VLOOKUP($E562,类别归属,2,0),"※类别不在基础资料里"))</f>
        <v/>
      </c>
      <c r="G562" s="13" t="inlineStr">
        <is>
          <t>织里店</t>
        </is>
      </c>
      <c r="H562" s="13" t="inlineStr">
        <is>
          <t>炳秀</t>
        </is>
      </c>
      <c r="I562" s="13" t="inlineStr">
        <is>
          <t>杭州炳秀湖州26-28武晓军 (杭州炳秀湖州26-28武晓军)</t>
        </is>
      </c>
      <c r="J562" s="14" t="n"/>
      <c r="K562" s="14" t="n">
        <v>48</v>
      </c>
      <c r="L562" s="19">
        <f>IF($C562="","",ROUND(IFERROR(VLOOKUP($C562,账户期初,2,0),0)+SUMIFS($J$4:J562,$C$4:C562,$C562)-SUMIFS($K$4:K562,$C$4:C562,$C562),2))</f>
        <v/>
      </c>
      <c r="M562" s="19">
        <f>IF($C562="","",ROUND(SUM(基础资料!$B$4:$B$13)+SUM($J$4:J562)-SUM($K$4:K562),2))</f>
        <v/>
      </c>
      <c r="N562" s="13" t="n"/>
      <c r="O562" s="13" t="inlineStr">
        <is>
          <t>95</t>
        </is>
      </c>
      <c r="P562" s="17">
        <f>IF($B562="","",IF($F562="※类别不在基础资料里","※费用类别不在基础资料里",IF(AND(N($J562)=0,N($K562)=0),"※这行没填金额",IF(AND(N($J562)&gt;0,N($K562)&gt;0),"※收入和支出不能同一行都填",IF(AND($D562="收入",N($J562)=0),"※收入行要填收入金额",IF(AND($D562="支出",N($K562)=0),"※支出行要填支出金额",IF(AND($C562&lt;&gt;"",ISNA(MATCH($C562,账户表,0))),"※账户不在基础资料里",IF(AND($G562&lt;&gt;"",ISNA(MATCH($G562,项目名表,0))),"※项目不在项目台账里",IF(AND(LEFT($F562,3)="成本-",$G562=""),"※成本类支出没填项目",IF(AND(LEFT($F562,3)="成本-",$H562&lt;&gt;"",N($K562)&gt;0,COUNTIFS(采购单!$B:$B,$B562,采购单!$C:$C,$H562,采购单!$L:$L,$K562)&gt;0),"※这笔可能和采购单重复了",""))))))))))</f>
        <v/>
      </c>
    </row>
    <row r="563">
      <c r="A563" s="17">
        <f>IF($B563="","",ROW()-3)</f>
        <v/>
      </c>
      <c r="B563" s="18" t="n">
        <v>46187</v>
      </c>
      <c r="C563" s="13" t="inlineStr">
        <is>
          <t>微信1</t>
        </is>
      </c>
      <c r="D563" s="13" t="inlineStr">
        <is>
          <t>支出</t>
        </is>
      </c>
      <c r="E563" s="13" t="inlineStr">
        <is>
          <t>运费/快递费</t>
        </is>
      </c>
      <c r="F563" s="17">
        <f>IF($E563="","",IFERROR(VLOOKUP($E563,类别归属,2,0),"※类别不在基础资料里"))</f>
        <v/>
      </c>
      <c r="G563" s="13" t="inlineStr">
        <is>
          <t>tk桌球</t>
        </is>
      </c>
      <c r="H563" s="13" t="inlineStr">
        <is>
          <t>炳秀</t>
        </is>
      </c>
      <c r="I563" s="13" t="inlineStr">
        <is>
          <t>杭州炳秀湖州26-28武晓军 (杭州炳秀湖州26-28武晓军)</t>
        </is>
      </c>
      <c r="J563" s="14" t="n"/>
      <c r="K563" s="14" t="n">
        <v>47</v>
      </c>
      <c r="L563" s="19">
        <f>IF($C563="","",ROUND(IFERROR(VLOOKUP($C563,账户期初,2,0),0)+SUMIFS($J$4:J563,$C$4:C563,$C563)-SUMIFS($K$4:K563,$C$4:C563,$C563),2))</f>
        <v/>
      </c>
      <c r="M563" s="19">
        <f>IF($C563="","",ROUND(SUM(基础资料!$B$4:$B$13)+SUM($J$4:J563)-SUM($K$4:K563),2))</f>
        <v/>
      </c>
      <c r="N563" s="13" t="n"/>
      <c r="O563" s="13" t="n"/>
      <c r="P563" s="17">
        <f>IF($B563="","",IF($F563="※类别不在基础资料里","※费用类别不在基础资料里",IF(AND(N($J563)=0,N($K563)=0),"※这行没填金额",IF(AND(N($J563)&gt;0,N($K563)&gt;0),"※收入和支出不能同一行都填",IF(AND($D563="收入",N($J563)=0),"※收入行要填收入金额",IF(AND($D563="支出",N($K563)=0),"※支出行要填支出金额",IF(AND($C563&lt;&gt;"",ISNA(MATCH($C563,账户表,0))),"※账户不在基础资料里",IF(AND($G563&lt;&gt;"",ISNA(MATCH($G563,项目名表,0))),"※项目不在项目台账里",IF(AND(LEFT($F563,3)="成本-",$G563=""),"※成本类支出没填项目",IF(AND(LEFT($F563,3)="成本-",$H563&lt;&gt;"",N($K563)&gt;0,COUNTIFS(采购单!$B:$B,$B563,采购单!$C:$C,$H563,采购单!$L:$L,$K563)&gt;0),"※这笔可能和采购单重复了",""))))))))))</f>
        <v/>
      </c>
    </row>
    <row r="564">
      <c r="A564" s="17">
        <f>IF($B564="","",ROW()-3)</f>
        <v/>
      </c>
      <c r="B564" s="18" t="n">
        <v>46187</v>
      </c>
      <c r="C564" s="13" t="inlineStr">
        <is>
          <t>微信1</t>
        </is>
      </c>
      <c r="D564" s="13" t="inlineStr">
        <is>
          <t>收入</t>
        </is>
      </c>
      <c r="E564" s="13" t="inlineStr">
        <is>
          <t>待分类</t>
        </is>
      </c>
      <c r="F564" s="17">
        <f>IF($E564="","",IFERROR(VLOOKUP($E564,类别归属,2,0),"※类别不在基础资料里"))</f>
        <v/>
      </c>
      <c r="G564" s="13" t="inlineStr">
        <is>
          <t>兴成公寓</t>
        </is>
      </c>
      <c r="H564" s="13" t="n"/>
      <c r="I564" s="13" t="inlineStr">
        <is>
          <t>杨家林 (杨家林)</t>
        </is>
      </c>
      <c r="J564" s="14" t="n">
        <v>2269</v>
      </c>
      <c r="K564" s="14" t="n"/>
      <c r="L564" s="19">
        <f>IF($C564="","",ROUND(IFERROR(VLOOKUP($C564,账户期初,2,0),0)+SUMIFS($J$4:J564,$C$4:C564,$C564)-SUMIFS($K$4:K564,$C$4:C564,$C564),2))</f>
        <v/>
      </c>
      <c r="M564" s="19">
        <f>IF($C564="","",ROUND(SUM(基础资料!$B$4:$B$13)+SUM($J$4:J564)-SUM($K$4:K564),2))</f>
        <v/>
      </c>
      <c r="N564" s="13" t="n"/>
      <c r="O564" s="13" t="n"/>
      <c r="P564" s="17">
        <f>IF($B564="","",IF($F564="※类别不在基础资料里","※费用类别不在基础资料里",IF(AND(N($J564)=0,N($K564)=0),"※这行没填金额",IF(AND(N($J564)&gt;0,N($K564)&gt;0),"※收入和支出不能同一行都填",IF(AND($D564="收入",N($J564)=0),"※收入行要填收入金额",IF(AND($D564="支出",N($K564)=0),"※支出行要填支出金额",IF(AND($C564&lt;&gt;"",ISNA(MATCH($C564,账户表,0))),"※账户不在基础资料里",IF(AND($G564&lt;&gt;"",ISNA(MATCH($G564,项目名表,0))),"※项目不在项目台账里",IF(AND(LEFT($F564,3)="成本-",$G564=""),"※成本类支出没填项目",IF(AND(LEFT($F564,3)="成本-",$H564&lt;&gt;"",N($K564)&gt;0,COUNTIFS(采购单!$B:$B,$B564,采购单!$C:$C,$H564,采购单!$L:$L,$K564)&gt;0),"※这笔可能和采购单重复了",""))))))))))</f>
        <v/>
      </c>
    </row>
    <row r="565">
      <c r="A565" s="17">
        <f>IF($B565="","",ROW()-3)</f>
        <v/>
      </c>
      <c r="B565" s="18" t="n">
        <v>46187</v>
      </c>
      <c r="C565" s="13" t="inlineStr">
        <is>
          <t>微信1</t>
        </is>
      </c>
      <c r="D565" s="13" t="inlineStr">
        <is>
          <t>收入</t>
        </is>
      </c>
      <c r="E565" s="13" t="inlineStr">
        <is>
          <t>待分类</t>
        </is>
      </c>
      <c r="F565" s="17">
        <f>IF($E565="","",IFERROR(VLOOKUP($E565,类别归属,2,0),"※类别不在基础资料里"))</f>
        <v/>
      </c>
      <c r="G565" s="13" t="inlineStr">
        <is>
          <t>万达荣泰</t>
        </is>
      </c>
      <c r="H565" s="13" t="n"/>
      <c r="I565" s="13" t="inlineStr">
        <is>
          <t>Dylan (Dylan)</t>
        </is>
      </c>
      <c r="J565" s="14" t="n">
        <v>110</v>
      </c>
      <c r="K565" s="14" t="n"/>
      <c r="L565" s="19">
        <f>IF($C565="","",ROUND(IFERROR(VLOOKUP($C565,账户期初,2,0),0)+SUMIFS($J$4:J565,$C$4:C565,$C565)-SUMIFS($K$4:K565,$C$4:C565,$C565),2))</f>
        <v/>
      </c>
      <c r="M565" s="19">
        <f>IF($C565="","",ROUND(SUM(基础资料!$B$4:$B$13)+SUM($J$4:J565)-SUM($K$4:K565),2))</f>
        <v/>
      </c>
      <c r="N565" s="13" t="n"/>
      <c r="O565" s="13" t="n"/>
      <c r="P565" s="17">
        <f>IF($B565="","",IF($F565="※类别不在基础资料里","※费用类别不在基础资料里",IF(AND(N($J565)=0,N($K565)=0),"※这行没填金额",IF(AND(N($J565)&gt;0,N($K565)&gt;0),"※收入和支出不能同一行都填",IF(AND($D565="收入",N($J565)=0),"※收入行要填收入金额",IF(AND($D565="支出",N($K565)=0),"※支出行要填支出金额",IF(AND($C565&lt;&gt;"",ISNA(MATCH($C565,账户表,0))),"※账户不在基础资料里",IF(AND($G565&lt;&gt;"",ISNA(MATCH($G565,项目名表,0))),"※项目不在项目台账里",IF(AND(LEFT($F565,3)="成本-",$G565=""),"※成本类支出没填项目",IF(AND(LEFT($F565,3)="成本-",$H565&lt;&gt;"",N($K565)&gt;0,COUNTIFS(采购单!$B:$B,$B565,采购单!$C:$C,$H565,采购单!$L:$L,$K565)&gt;0),"※这笔可能和采购单重复了",""))))))))))</f>
        <v/>
      </c>
    </row>
    <row r="566">
      <c r="A566" s="17">
        <f>IF($B566="","",ROW()-3)</f>
        <v/>
      </c>
      <c r="B566" s="18" t="n">
        <v>46187</v>
      </c>
      <c r="C566" s="13" t="inlineStr">
        <is>
          <t>微信1</t>
        </is>
      </c>
      <c r="D566" s="13" t="inlineStr">
        <is>
          <t>收入</t>
        </is>
      </c>
      <c r="E566" s="13" t="inlineStr">
        <is>
          <t>待分类</t>
        </is>
      </c>
      <c r="F566" s="17">
        <f>IF($E566="","",IFERROR(VLOOKUP($E566,类别归属,2,0),"※类别不在基础资料里"))</f>
        <v/>
      </c>
      <c r="G566" s="13" t="inlineStr">
        <is>
          <t>万达kvv</t>
        </is>
      </c>
      <c r="H566" s="13" t="n"/>
      <c r="I566" s="13" t="inlineStr">
        <is>
          <t>万达-kvv乔金鑫 (乔金鑫)</t>
        </is>
      </c>
      <c r="J566" s="14" t="n">
        <v>120</v>
      </c>
      <c r="K566" s="14" t="n"/>
      <c r="L566" s="19">
        <f>IF($C566="","",ROUND(IFERROR(VLOOKUP($C566,账户期初,2,0),0)+SUMIFS($J$4:J566,$C$4:C566,$C566)-SUMIFS($K$4:K566,$C$4:C566,$C566),2))</f>
        <v/>
      </c>
      <c r="M566" s="19">
        <f>IF($C566="","",ROUND(SUM(基础资料!$B$4:$B$13)+SUM($J$4:J566)-SUM($K$4:K566),2))</f>
        <v/>
      </c>
      <c r="N566" s="13" t="n"/>
      <c r="O566" s="13" t="n"/>
      <c r="P566" s="17">
        <f>IF($B566="","",IF($F566="※类别不在基础资料里","※费用类别不在基础资料里",IF(AND(N($J566)=0,N($K566)=0),"※这行没填金额",IF(AND(N($J566)&gt;0,N($K566)&gt;0),"※收入和支出不能同一行都填",IF(AND($D566="收入",N($J566)=0),"※收入行要填收入金额",IF(AND($D566="支出",N($K566)=0),"※支出行要填支出金额",IF(AND($C566&lt;&gt;"",ISNA(MATCH($C566,账户表,0))),"※账户不在基础资料里",IF(AND($G566&lt;&gt;"",ISNA(MATCH($G566,项目名表,0))),"※项目不在项目台账里",IF(AND(LEFT($F566,3)="成本-",$G566=""),"※成本类支出没填项目",IF(AND(LEFT($F566,3)="成本-",$H566&lt;&gt;"",N($K566)&gt;0,COUNTIFS(采购单!$B:$B,$B566,采购单!$C:$C,$H566,采购单!$L:$L,$K566)&gt;0),"※这笔可能和采购单重复了",""))))))))))</f>
        <v/>
      </c>
    </row>
    <row r="567">
      <c r="A567" s="17">
        <f>IF($B567="","",ROW()-3)</f>
        <v/>
      </c>
      <c r="B567" s="18" t="n">
        <v>46187</v>
      </c>
      <c r="C567" s="13" t="inlineStr">
        <is>
          <t>微信1</t>
        </is>
      </c>
      <c r="D567" s="13" t="inlineStr">
        <is>
          <t>收入</t>
        </is>
      </c>
      <c r="E567" s="13" t="inlineStr">
        <is>
          <t>待分类</t>
        </is>
      </c>
      <c r="F567" s="17">
        <f>IF($E567="","",IFERROR(VLOOKUP($E567,类别归属,2,0),"※类别不在基础资料里"))</f>
        <v/>
      </c>
      <c r="G567" s="13" t="inlineStr">
        <is>
          <t>泰纳水果店</t>
        </is>
      </c>
      <c r="H567" s="13" t="n"/>
      <c r="I567" s="13" t="inlineStr">
        <is>
          <t>泰纳水果（水果零食全球臻选） (泰纳水果（水果零食全球臻选）)</t>
        </is>
      </c>
      <c r="J567" s="14" t="n">
        <v>8000</v>
      </c>
      <c r="K567" s="14" t="n"/>
      <c r="L567" s="19">
        <f>IF($C567="","",ROUND(IFERROR(VLOOKUP($C567,账户期初,2,0),0)+SUMIFS($J$4:J567,$C$4:C567,$C567)-SUMIFS($K$4:K567,$C$4:C567,$C567),2))</f>
        <v/>
      </c>
      <c r="M567" s="19">
        <f>IF($C567="","",ROUND(SUM(基础资料!$B$4:$B$13)+SUM($J$4:J567)-SUM($K$4:K567),2))</f>
        <v/>
      </c>
      <c r="N567" s="13" t="n"/>
      <c r="O567" s="13" t="n"/>
      <c r="P567" s="17">
        <f>IF($B567="","",IF($F567="※类别不在基础资料里","※费用类别不在基础资料里",IF(AND(N($J567)=0,N($K567)=0),"※这行没填金额",IF(AND(N($J567)&gt;0,N($K567)&gt;0),"※收入和支出不能同一行都填",IF(AND($D567="收入",N($J567)=0),"※收入行要填收入金额",IF(AND($D567="支出",N($K567)=0),"※支出行要填支出金额",IF(AND($C567&lt;&gt;"",ISNA(MATCH($C567,账户表,0))),"※账户不在基础资料里",IF(AND($G567&lt;&gt;"",ISNA(MATCH($G567,项目名表,0))),"※项目不在项目台账里",IF(AND(LEFT($F567,3)="成本-",$G567=""),"※成本类支出没填项目",IF(AND(LEFT($F567,3)="成本-",$H567&lt;&gt;"",N($K567)&gt;0,COUNTIFS(采购单!$B:$B,$B567,采购单!$C:$C,$H567,采购单!$L:$L,$K567)&gt;0),"※这笔可能和采购单重复了",""))))))))))</f>
        <v/>
      </c>
    </row>
    <row r="568">
      <c r="A568" s="17">
        <f>IF($B568="","",ROW()-3)</f>
        <v/>
      </c>
      <c r="B568" s="18" t="n">
        <v>46186</v>
      </c>
      <c r="C568" s="13" t="inlineStr">
        <is>
          <t>微信1</t>
        </is>
      </c>
      <c r="D568" s="13" t="inlineStr">
        <is>
          <t>收入</t>
        </is>
      </c>
      <c r="E568" s="13" t="inlineStr">
        <is>
          <t>待分类</t>
        </is>
      </c>
      <c r="F568" s="17">
        <f>IF($E568="","",IFERROR(VLOOKUP($E568,类别归属,2,0),"※类别不在基础资料里"))</f>
        <v/>
      </c>
      <c r="G568" s="13" t="inlineStr">
        <is>
          <t>nook咖啡店</t>
        </is>
      </c>
      <c r="H568" s="13" t="n"/>
      <c r="I568" s="13" t="inlineStr">
        <is>
          <t>笨笨. (笨笨.)</t>
        </is>
      </c>
      <c r="J568" s="14" t="n">
        <v>790</v>
      </c>
      <c r="K568" s="14" t="n"/>
      <c r="L568" s="19">
        <f>IF($C568="","",ROUND(IFERROR(VLOOKUP($C568,账户期初,2,0),0)+SUMIFS($J$4:J568,$C$4:C568,$C568)-SUMIFS($K$4:K568,$C$4:C568,$C568),2))</f>
        <v/>
      </c>
      <c r="M568" s="19">
        <f>IF($C568="","",ROUND(SUM(基础资料!$B$4:$B$13)+SUM($J$4:J568)-SUM($K$4:K568),2))</f>
        <v/>
      </c>
      <c r="N568" s="13" t="n"/>
      <c r="O568" s="13" t="n"/>
      <c r="P568" s="17">
        <f>IF($B568="","",IF($F568="※类别不在基础资料里","※费用类别不在基础资料里",IF(AND(N($J568)=0,N($K568)=0),"※这行没填金额",IF(AND(N($J568)&gt;0,N($K568)&gt;0),"※收入和支出不能同一行都填",IF(AND($D568="收入",N($J568)=0),"※收入行要填收入金额",IF(AND($D568="支出",N($K568)=0),"※支出行要填支出金额",IF(AND($C568&lt;&gt;"",ISNA(MATCH($C568,账户表,0))),"※账户不在基础资料里",IF(AND($G568&lt;&gt;"",ISNA(MATCH($G568,项目名表,0))),"※项目不在项目台账里",IF(AND(LEFT($F568,3)="成本-",$G568=""),"※成本类支出没填项目",IF(AND(LEFT($F568,3)="成本-",$H568&lt;&gt;"",N($K568)&gt;0,COUNTIFS(采购单!$B:$B,$B568,采购单!$C:$C,$H568,采购单!$L:$L,$K568)&gt;0),"※这笔可能和采购单重复了",""))))))))))</f>
        <v/>
      </c>
    </row>
    <row r="569">
      <c r="A569" s="17">
        <f>IF($B569="","",ROW()-3)</f>
        <v/>
      </c>
      <c r="B569" s="18" t="n">
        <v>46188</v>
      </c>
      <c r="C569" s="13" t="inlineStr">
        <is>
          <t>微信1</t>
        </is>
      </c>
      <c r="D569" s="13" t="inlineStr">
        <is>
          <t>支出</t>
        </is>
      </c>
      <c r="E569" s="13" t="inlineStr">
        <is>
          <t>运费/快递费</t>
        </is>
      </c>
      <c r="F569" s="17">
        <f>IF($E569="","",IFERROR(VLOOKUP($E569,类别归属,2,0),"※类别不在基础资料里"))</f>
        <v/>
      </c>
      <c r="G569" s="13" t="inlineStr">
        <is>
          <t>织里店</t>
        </is>
      </c>
      <c r="H569" s="13" t="inlineStr">
        <is>
          <t>炳秀</t>
        </is>
      </c>
      <c r="I569" s="13" t="inlineStr">
        <is>
          <t>杭州炳秀湖州26-28武晓军 (杭州炳秀湖州26-28武晓军)</t>
        </is>
      </c>
      <c r="J569" s="14" t="n"/>
      <c r="K569" s="14" t="n">
        <v>6</v>
      </c>
      <c r="L569" s="19">
        <f>IF($C569="","",ROUND(IFERROR(VLOOKUP($C569,账户期初,2,0),0)+SUMIFS($J$4:J569,$C$4:C569,$C569)-SUMIFS($K$4:K569,$C$4:C569,$C569),2))</f>
        <v/>
      </c>
      <c r="M569" s="19">
        <f>IF($C569="","",ROUND(SUM(基础资料!$B$4:$B$13)+SUM($J$4:J569)-SUM($K$4:K569),2))</f>
        <v/>
      </c>
      <c r="N569" s="13" t="n"/>
      <c r="O569" s="13" t="inlineStr">
        <is>
          <t>70</t>
        </is>
      </c>
      <c r="P569" s="17">
        <f>IF($B569="","",IF($F569="※类别不在基础资料里","※费用类别不在基础资料里",IF(AND(N($J569)=0,N($K569)=0),"※这行没填金额",IF(AND(N($J569)&gt;0,N($K569)&gt;0),"※收入和支出不能同一行都填",IF(AND($D569="收入",N($J569)=0),"※收入行要填收入金额",IF(AND($D569="支出",N($K569)=0),"※支出行要填支出金额",IF(AND($C569&lt;&gt;"",ISNA(MATCH($C569,账户表,0))),"※账户不在基础资料里",IF(AND($G569&lt;&gt;"",ISNA(MATCH($G569,项目名表,0))),"※项目不在项目台账里",IF(AND(LEFT($F569,3)="成本-",$G569=""),"※成本类支出没填项目",IF(AND(LEFT($F569,3)="成本-",$H569&lt;&gt;"",N($K569)&gt;0,COUNTIFS(采购单!$B:$B,$B569,采购单!$C:$C,$H569,采购单!$L:$L,$K569)&gt;0),"※这笔可能和采购单重复了",""))))))))))</f>
        <v/>
      </c>
    </row>
    <row r="570">
      <c r="A570" s="17">
        <f>IF($B570="","",ROW()-3)</f>
        <v/>
      </c>
      <c r="B570" s="18" t="n">
        <v>46188</v>
      </c>
      <c r="C570" s="13" t="inlineStr">
        <is>
          <t>微信1</t>
        </is>
      </c>
      <c r="D570" s="13" t="inlineStr">
        <is>
          <t>支出</t>
        </is>
      </c>
      <c r="E570" s="13" t="inlineStr">
        <is>
          <t>运费/快递费</t>
        </is>
      </c>
      <c r="F570" s="17">
        <f>IF($E570="","",IFERROR(VLOOKUP($E570,类别归属,2,0),"※类别不在基础资料里"))</f>
        <v/>
      </c>
      <c r="G570" s="13" t="inlineStr">
        <is>
          <t>万达荣泰</t>
        </is>
      </c>
      <c r="H570" s="13" t="inlineStr">
        <is>
          <t>炳秀</t>
        </is>
      </c>
      <c r="I570" s="13" t="inlineStr">
        <is>
          <t>杭州炳秀湖州26-28武晓军 (杭州炳秀湖州26-28武晓军)</t>
        </is>
      </c>
      <c r="J570" s="14" t="n"/>
      <c r="K570" s="14" t="n">
        <v>64</v>
      </c>
      <c r="L570" s="19">
        <f>IF($C570="","",ROUND(IFERROR(VLOOKUP($C570,账户期初,2,0),0)+SUMIFS($J$4:J570,$C$4:C570,$C570)-SUMIFS($K$4:K570,$C$4:C570,$C570),2))</f>
        <v/>
      </c>
      <c r="M570" s="19">
        <f>IF($C570="","",ROUND(SUM(基础资料!$B$4:$B$13)+SUM($J$4:J570)-SUM($K$4:K570),2))</f>
        <v/>
      </c>
      <c r="N570" s="13" t="n"/>
      <c r="O570" s="13" t="n"/>
      <c r="P570" s="17">
        <f>IF($B570="","",IF($F570="※类别不在基础资料里","※费用类别不在基础资料里",IF(AND(N($J570)=0,N($K570)=0),"※这行没填金额",IF(AND(N($J570)&gt;0,N($K570)&gt;0),"※收入和支出不能同一行都填",IF(AND($D570="收入",N($J570)=0),"※收入行要填收入金额",IF(AND($D570="支出",N($K570)=0),"※支出行要填支出金额",IF(AND($C570&lt;&gt;"",ISNA(MATCH($C570,账户表,0))),"※账户不在基础资料里",IF(AND($G570&lt;&gt;"",ISNA(MATCH($G570,项目名表,0))),"※项目不在项目台账里",IF(AND(LEFT($F570,3)="成本-",$G570=""),"※成本类支出没填项目",IF(AND(LEFT($F570,3)="成本-",$H570&lt;&gt;"",N($K570)&gt;0,COUNTIFS(采购单!$B:$B,$B570,采购单!$C:$C,$H570,采购单!$L:$L,$K570)&gt;0),"※这笔可能和采购单重复了",""))))))))))</f>
        <v/>
      </c>
    </row>
    <row r="571">
      <c r="A571" s="17">
        <f>IF($B571="","",ROW()-3)</f>
        <v/>
      </c>
      <c r="B571" s="18" t="n">
        <v>46188</v>
      </c>
      <c r="C571" s="13" t="inlineStr">
        <is>
          <t>微信1</t>
        </is>
      </c>
      <c r="D571" s="13" t="inlineStr">
        <is>
          <t>支出</t>
        </is>
      </c>
      <c r="E571" s="13" t="inlineStr">
        <is>
          <t>安装工资</t>
        </is>
      </c>
      <c r="F571" s="17">
        <f>IF($E571="","",IFERROR(VLOOKUP($E571,类别归属,2,0),"※类别不在基础资料里"))</f>
        <v/>
      </c>
      <c r="G571" s="13" t="n"/>
      <c r="H571" s="13" t="n"/>
      <c r="I571" s="13" t="inlineStr">
        <is>
          <t>《广告制作安装》令 (《焊》武帝《广告制作安装》)</t>
        </is>
      </c>
      <c r="J571" s="14" t="n"/>
      <c r="K571" s="14" t="n">
        <v>9000</v>
      </c>
      <c r="L571" s="19">
        <f>IF($C571="","",ROUND(IFERROR(VLOOKUP($C571,账户期初,2,0),0)+SUMIFS($J$4:J571,$C$4:C571,$C571)-SUMIFS($K$4:K571,$C$4:C571,$C571),2))</f>
        <v/>
      </c>
      <c r="M571" s="19">
        <f>IF($C571="","",ROUND(SUM(基础资料!$B$4:$B$13)+SUM($J$4:J571)-SUM($K$4:K571),2))</f>
        <v/>
      </c>
      <c r="N571" s="13" t="n"/>
      <c r="O571" s="13" t="n"/>
      <c r="P571" s="17">
        <f>IF($B571="","",IF($F571="※类别不在基础资料里","※费用类别不在基础资料里",IF(AND(N($J571)=0,N($K571)=0),"※这行没填金额",IF(AND(N($J571)&gt;0,N($K571)&gt;0),"※收入和支出不能同一行都填",IF(AND($D571="收入",N($J571)=0),"※收入行要填收入金额",IF(AND($D571="支出",N($K571)=0),"※支出行要填支出金额",IF(AND($C571&lt;&gt;"",ISNA(MATCH($C571,账户表,0))),"※账户不在基础资料里",IF(AND($G571&lt;&gt;"",ISNA(MATCH($G571,项目名表,0))),"※项目不在项目台账里",IF(AND(LEFT($F571,3)="成本-",$G571=""),"※成本类支出没填项目",IF(AND(LEFT($F571,3)="成本-",$H571&lt;&gt;"",N($K571)&gt;0,COUNTIFS(采购单!$B:$B,$B571,采购单!$C:$C,$H571,采购单!$L:$L,$K571)&gt;0),"※这笔可能和采购单重复了",""))))))))))</f>
        <v/>
      </c>
    </row>
    <row r="572">
      <c r="A572" s="17">
        <f>IF($B572="","",ROW()-3)</f>
        <v/>
      </c>
      <c r="B572" s="18" t="n">
        <v>46188</v>
      </c>
      <c r="C572" s="13" t="inlineStr">
        <is>
          <t>微信1</t>
        </is>
      </c>
      <c r="D572" s="13" t="inlineStr">
        <is>
          <t>支出</t>
        </is>
      </c>
      <c r="E572" s="13" t="inlineStr">
        <is>
          <t>待分类</t>
        </is>
      </c>
      <c r="F572" s="17">
        <f>IF($E572="","",IFERROR(VLOOKUP($E572,类别归属,2,0),"※类别不在基础资料里"))</f>
        <v/>
      </c>
      <c r="G572" s="13" t="inlineStr">
        <is>
          <t>沁心境界</t>
        </is>
      </c>
      <c r="H572" s="13" t="n"/>
      <c r="I572" s="13" t="inlineStr">
        <is>
          <t>六安市开发区绘屿广告策划经营部</t>
        </is>
      </c>
      <c r="J572" s="14" t="n"/>
      <c r="K572" s="14" t="n">
        <v>1900</v>
      </c>
      <c r="L572" s="19">
        <f>IF($C572="","",ROUND(IFERROR(VLOOKUP($C572,账户期初,2,0),0)+SUMIFS($J$4:J572,$C$4:C572,$C572)-SUMIFS($K$4:K572,$C$4:C572,$C572),2))</f>
        <v/>
      </c>
      <c r="M572" s="19">
        <f>IF($C572="","",ROUND(SUM(基础资料!$B$4:$B$13)+SUM($J$4:J572)-SUM($K$4:K572),2))</f>
        <v/>
      </c>
      <c r="N572" s="13" t="n"/>
      <c r="O572" s="13" t="n"/>
      <c r="P572" s="17">
        <f>IF($B572="","",IF($F572="※类别不在基础资料里","※费用类别不在基础资料里",IF(AND(N($J572)=0,N($K572)=0),"※这行没填金额",IF(AND(N($J572)&gt;0,N($K572)&gt;0),"※收入和支出不能同一行都填",IF(AND($D572="收入",N($J572)=0),"※收入行要填收入金额",IF(AND($D572="支出",N($K572)=0),"※支出行要填支出金额",IF(AND($C572&lt;&gt;"",ISNA(MATCH($C572,账户表,0))),"※账户不在基础资料里",IF(AND($G572&lt;&gt;"",ISNA(MATCH($G572,项目名表,0))),"※项目不在项目台账里",IF(AND(LEFT($F572,3)="成本-",$G572=""),"※成本类支出没填项目",IF(AND(LEFT($F572,3)="成本-",$H572&lt;&gt;"",N($K572)&gt;0,COUNTIFS(采购单!$B:$B,$B572,采购单!$C:$C,$H572,采购单!$L:$L,$K572)&gt;0),"※这笔可能和采购单重复了",""))))))))))</f>
        <v/>
      </c>
    </row>
    <row r="573">
      <c r="A573" s="17">
        <f>IF($B573="","",ROW()-3)</f>
        <v/>
      </c>
      <c r="B573" s="18" t="n">
        <v>46188</v>
      </c>
      <c r="C573" s="13" t="inlineStr">
        <is>
          <t>微信1</t>
        </is>
      </c>
      <c r="D573" s="13" t="inlineStr">
        <is>
          <t>支出</t>
        </is>
      </c>
      <c r="E573" s="13" t="inlineStr">
        <is>
          <t>安装工资</t>
        </is>
      </c>
      <c r="F573" s="17">
        <f>IF($E573="","",IFERROR(VLOOKUP($E573,类别归属,2,0),"※类别不在基础资料里"))</f>
        <v/>
      </c>
      <c r="G573" s="13" t="n"/>
      <c r="H573" s="13" t="n"/>
      <c r="I573" s="13" t="inlineStr">
        <is>
          <t>幸福💖常伴 (幸福💖常伴)</t>
        </is>
      </c>
      <c r="J573" s="14" t="n"/>
      <c r="K573" s="14" t="n">
        <v>900</v>
      </c>
      <c r="L573" s="19">
        <f>IF($C573="","",ROUND(IFERROR(VLOOKUP($C573,账户期初,2,0),0)+SUMIFS($J$4:J573,$C$4:C573,$C573)-SUMIFS($K$4:K573,$C$4:C573,$C573),2))</f>
        <v/>
      </c>
      <c r="M573" s="19">
        <f>IF($C573="","",ROUND(SUM(基础资料!$B$4:$B$13)+SUM($J$4:J573)-SUM($K$4:K573),2))</f>
        <v/>
      </c>
      <c r="N573" s="13" t="n"/>
      <c r="O573" s="13" t="inlineStr">
        <is>
          <t>tk桌球</t>
        </is>
      </c>
      <c r="P573" s="17">
        <f>IF($B573="","",IF($F573="※类别不在基础资料里","※费用类别不在基础资料里",IF(AND(N($J573)=0,N($K573)=0),"※这行没填金额",IF(AND(N($J573)&gt;0,N($K573)&gt;0),"※收入和支出不能同一行都填",IF(AND($D573="收入",N($J573)=0),"※收入行要填收入金额",IF(AND($D573="支出",N($K573)=0),"※支出行要填支出金额",IF(AND($C573&lt;&gt;"",ISNA(MATCH($C573,账户表,0))),"※账户不在基础资料里",IF(AND($G573&lt;&gt;"",ISNA(MATCH($G573,项目名表,0))),"※项目不在项目台账里",IF(AND(LEFT($F573,3)="成本-",$G573=""),"※成本类支出没填项目",IF(AND(LEFT($F573,3)="成本-",$H573&lt;&gt;"",N($K573)&gt;0,COUNTIFS(采购单!$B:$B,$B573,采购单!$C:$C,$H573,采购单!$L:$L,$K573)&gt;0),"※这笔可能和采购单重复了",""))))))))))</f>
        <v/>
      </c>
    </row>
    <row r="574">
      <c r="A574" s="17">
        <f>IF($B574="","",ROW()-3)</f>
        <v/>
      </c>
      <c r="B574" s="18" t="n">
        <v>46189</v>
      </c>
      <c r="C574" s="13" t="inlineStr">
        <is>
          <t>微信1</t>
        </is>
      </c>
      <c r="D574" s="13" t="inlineStr">
        <is>
          <t>支出</t>
        </is>
      </c>
      <c r="E574" s="13" t="inlineStr">
        <is>
          <t>待分类</t>
        </is>
      </c>
      <c r="F574" s="17">
        <f>IF($E574="","",IFERROR(VLOOKUP($E574,类别归属,2,0),"※类别不在基础资料里"))</f>
        <v/>
      </c>
      <c r="G574" s="13" t="n"/>
      <c r="H574" s="13" t="n"/>
      <c r="I574" s="13" t="inlineStr">
        <is>
          <t>杨德 (往后余生)</t>
        </is>
      </c>
      <c r="J574" s="14" t="n"/>
      <c r="K574" s="14" t="n">
        <v>5000</v>
      </c>
      <c r="L574" s="19">
        <f>IF($C574="","",ROUND(IFERROR(VLOOKUP($C574,账户期初,2,0),0)+SUMIFS($J$4:J574,$C$4:C574,$C574)-SUMIFS($K$4:K574,$C$4:C574,$C574),2))</f>
        <v/>
      </c>
      <c r="M574" s="19">
        <f>IF($C574="","",ROUND(SUM(基础资料!$B$4:$B$13)+SUM($J$4:J574)-SUM($K$4:K574),2))</f>
        <v/>
      </c>
      <c r="N574" s="13" t="n"/>
      <c r="O574" s="13" t="n"/>
      <c r="P574" s="17">
        <f>IF($B574="","",IF($F574="※类别不在基础资料里","※费用类别不在基础资料里",IF(AND(N($J574)=0,N($K574)=0),"※这行没填金额",IF(AND(N($J574)&gt;0,N($K574)&gt;0),"※收入和支出不能同一行都填",IF(AND($D574="收入",N($J574)=0),"※收入行要填收入金额",IF(AND($D574="支出",N($K574)=0),"※支出行要填支出金额",IF(AND($C574&lt;&gt;"",ISNA(MATCH($C574,账户表,0))),"※账户不在基础资料里",IF(AND($G574&lt;&gt;"",ISNA(MATCH($G574,项目名表,0))),"※项目不在项目台账里",IF(AND(LEFT($F574,3)="成本-",$G574=""),"※成本类支出没填项目",IF(AND(LEFT($F574,3)="成本-",$H574&lt;&gt;"",N($K574)&gt;0,COUNTIFS(采购单!$B:$B,$B574,采购单!$C:$C,$H574,采购单!$L:$L,$K574)&gt;0),"※这笔可能和采购单重复了",""))))))))))</f>
        <v/>
      </c>
    </row>
    <row r="575">
      <c r="A575" s="17">
        <f>IF($B575="","",ROW()-3)</f>
        <v/>
      </c>
      <c r="B575" s="18" t="n">
        <v>46189</v>
      </c>
      <c r="C575" s="13" t="inlineStr">
        <is>
          <t>微信1</t>
        </is>
      </c>
      <c r="D575" s="13" t="inlineStr">
        <is>
          <t>收入</t>
        </is>
      </c>
      <c r="E575" s="13" t="inlineStr">
        <is>
          <t>待分类</t>
        </is>
      </c>
      <c r="F575" s="17">
        <f>IF($E575="","",IFERROR(VLOOKUP($E575,类别归属,2,0),"※类别不在基础资料里"))</f>
        <v/>
      </c>
      <c r="G575" s="13" t="n"/>
      <c r="H575" s="13" t="n"/>
      <c r="I575" s="13" t="inlineStr">
        <is>
          <t>付久华 (付久华)</t>
        </is>
      </c>
      <c r="J575" s="14" t="n">
        <v>3000</v>
      </c>
      <c r="K575" s="14" t="n"/>
      <c r="L575" s="19">
        <f>IF($C575="","",ROUND(IFERROR(VLOOKUP($C575,账户期初,2,0),0)+SUMIFS($J$4:J575,$C$4:C575,$C575)-SUMIFS($K$4:K575,$C$4:C575,$C575),2))</f>
        <v/>
      </c>
      <c r="M575" s="19">
        <f>IF($C575="","",ROUND(SUM(基础资料!$B$4:$B$13)+SUM($J$4:J575)-SUM($K$4:K575),2))</f>
        <v/>
      </c>
      <c r="N575" s="13" t="n"/>
      <c r="O575" s="13" t="n"/>
      <c r="P575" s="17">
        <f>IF($B575="","",IF($F575="※类别不在基础资料里","※费用类别不在基础资料里",IF(AND(N($J575)=0,N($K575)=0),"※这行没填金额",IF(AND(N($J575)&gt;0,N($K575)&gt;0),"※收入和支出不能同一行都填",IF(AND($D575="收入",N($J575)=0),"※收入行要填收入金额",IF(AND($D575="支出",N($K575)=0),"※支出行要填支出金额",IF(AND($C575&lt;&gt;"",ISNA(MATCH($C575,账户表,0))),"※账户不在基础资料里",IF(AND($G575&lt;&gt;"",ISNA(MATCH($G575,项目名表,0))),"※项目不在项目台账里",IF(AND(LEFT($F575,3)="成本-",$G575=""),"※成本类支出没填项目",IF(AND(LEFT($F575,3)="成本-",$H575&lt;&gt;"",N($K575)&gt;0,COUNTIFS(采购单!$B:$B,$B575,采购单!$C:$C,$H575,采购单!$L:$L,$K575)&gt;0),"※这笔可能和采购单重复了",""))))))))))</f>
        <v/>
      </c>
    </row>
    <row r="576">
      <c r="A576" s="17">
        <f>IF($B576="","",ROW()-3)</f>
        <v/>
      </c>
      <c r="B576" s="18" t="n">
        <v>46189</v>
      </c>
      <c r="C576" s="13" t="inlineStr">
        <is>
          <t>微信1</t>
        </is>
      </c>
      <c r="D576" s="13" t="inlineStr">
        <is>
          <t>支出</t>
        </is>
      </c>
      <c r="E576" s="13" t="inlineStr">
        <is>
          <t>运费/快递费</t>
        </is>
      </c>
      <c r="F576" s="17">
        <f>IF($E576="","",IFERROR(VLOOKUP($E576,类别归属,2,0),"※类别不在基础资料里"))</f>
        <v/>
      </c>
      <c r="G576" s="13" t="n"/>
      <c r="H576" s="13" t="n"/>
      <c r="I576" s="13" t="inlineStr">
        <is>
          <t>杭州炳秀湖州26-28武晓军 (杭州炳秀湖州26-28武晓军)</t>
        </is>
      </c>
      <c r="J576" s="14" t="n"/>
      <c r="K576" s="14" t="n">
        <v>110</v>
      </c>
      <c r="L576" s="19">
        <f>IF($C576="","",ROUND(IFERROR(VLOOKUP($C576,账户期初,2,0),0)+SUMIFS($J$4:J576,$C$4:C576,$C576)-SUMIFS($K$4:K576,$C$4:C576,$C576),2))</f>
        <v/>
      </c>
      <c r="M576" s="19">
        <f>IF($C576="","",ROUND(SUM(基础资料!$B$4:$B$13)+SUM($J$4:J576)-SUM($K$4:K576),2))</f>
        <v/>
      </c>
      <c r="N576" s="13" t="n"/>
      <c r="O576" s="13" t="n"/>
      <c r="P576" s="17">
        <f>IF($B576="","",IF($F576="※类别不在基础资料里","※费用类别不在基础资料里",IF(AND(N($J576)=0,N($K576)=0),"※这行没填金额",IF(AND(N($J576)&gt;0,N($K576)&gt;0),"※收入和支出不能同一行都填",IF(AND($D576="收入",N($J576)=0),"※收入行要填收入金额",IF(AND($D576="支出",N($K576)=0),"※支出行要填支出金额",IF(AND($C576&lt;&gt;"",ISNA(MATCH($C576,账户表,0))),"※账户不在基础资料里",IF(AND($G576&lt;&gt;"",ISNA(MATCH($G576,项目名表,0))),"※项目不在项目台账里",IF(AND(LEFT($F576,3)="成本-",$G576=""),"※成本类支出没填项目",IF(AND(LEFT($F576,3)="成本-",$H576&lt;&gt;"",N($K576)&gt;0,COUNTIFS(采购单!$B:$B,$B576,采购单!$C:$C,$H576,采购单!$L:$L,$K576)&gt;0),"※这笔可能和采购单重复了",""))))))))))</f>
        <v/>
      </c>
    </row>
    <row r="577">
      <c r="A577" s="17">
        <f>IF($B577="","",ROW()-3)</f>
        <v/>
      </c>
      <c r="B577" s="18" t="n">
        <v>46190</v>
      </c>
      <c r="C577" s="13" t="inlineStr">
        <is>
          <t>微信1</t>
        </is>
      </c>
      <c r="D577" s="13" t="inlineStr">
        <is>
          <t>支出</t>
        </is>
      </c>
      <c r="E577" s="13" t="inlineStr">
        <is>
          <t>运费/快递费</t>
        </is>
      </c>
      <c r="F577" s="17">
        <f>IF($E577="","",IFERROR(VLOOKUP($E577,类别归属,2,0),"※类别不在基础资料里"))</f>
        <v/>
      </c>
      <c r="G577" s="13" t="n"/>
      <c r="H577" s="13" t="n"/>
      <c r="I577" s="13" t="inlineStr">
        <is>
          <t>杭州炳秀湖州26-28武晓军 (杭州炳秀湖州26-28武晓军)</t>
        </is>
      </c>
      <c r="J577" s="14" t="n"/>
      <c r="K577" s="14" t="n">
        <v>27</v>
      </c>
      <c r="L577" s="19">
        <f>IF($C577="","",ROUND(IFERROR(VLOOKUP($C577,账户期初,2,0),0)+SUMIFS($J$4:J577,$C$4:C577,$C577)-SUMIFS($K$4:K577,$C$4:C577,$C577),2))</f>
        <v/>
      </c>
      <c r="M577" s="19">
        <f>IF($C577="","",ROUND(SUM(基础资料!$B$4:$B$13)+SUM($J$4:J577)-SUM($K$4:K577),2))</f>
        <v/>
      </c>
      <c r="N577" s="13" t="n"/>
      <c r="O577" s="13" t="n"/>
      <c r="P577" s="17">
        <f>IF($B577="","",IF($F577="※类别不在基础资料里","※费用类别不在基础资料里",IF(AND(N($J577)=0,N($K577)=0),"※这行没填金额",IF(AND(N($J577)&gt;0,N($K577)&gt;0),"※收入和支出不能同一行都填",IF(AND($D577="收入",N($J577)=0),"※收入行要填收入金额",IF(AND($D577="支出",N($K577)=0),"※支出行要填支出金额",IF(AND($C577&lt;&gt;"",ISNA(MATCH($C577,账户表,0))),"※账户不在基础资料里",IF(AND($G577&lt;&gt;"",ISNA(MATCH($G577,项目名表,0))),"※项目不在项目台账里",IF(AND(LEFT($F577,3)="成本-",$G577=""),"※成本类支出没填项目",IF(AND(LEFT($F577,3)="成本-",$H577&lt;&gt;"",N($K577)&gt;0,COUNTIFS(采购单!$B:$B,$B577,采购单!$C:$C,$H577,采购单!$L:$L,$K577)&gt;0),"※这笔可能和采购单重复了",""))))))))))</f>
        <v/>
      </c>
    </row>
    <row r="578">
      <c r="A578" s="17">
        <f>IF($B578="","",ROW()-3)</f>
        <v/>
      </c>
      <c r="B578" s="18" t="n">
        <v>46191</v>
      </c>
      <c r="C578" s="13" t="inlineStr">
        <is>
          <t>微信1</t>
        </is>
      </c>
      <c r="D578" s="13" t="inlineStr">
        <is>
          <t>收入</t>
        </is>
      </c>
      <c r="E578" s="13" t="inlineStr">
        <is>
          <t>待分类</t>
        </is>
      </c>
      <c r="F578" s="17">
        <f>IF($E578="","",IFERROR(VLOOKUP($E578,类别归属,2,0),"※类别不在基础资料里"))</f>
        <v/>
      </c>
      <c r="G578" s="13" t="n"/>
      <c r="H578" s="13" t="n"/>
      <c r="I578" s="13" t="inlineStr">
        <is>
          <t>A AA众𨫎志在四方(韩总) (A AA众𨫎毛纱)</t>
        </is>
      </c>
      <c r="J578" s="14" t="n">
        <v>1297</v>
      </c>
      <c r="K578" s="14" t="n"/>
      <c r="L578" s="19">
        <f>IF($C578="","",ROUND(IFERROR(VLOOKUP($C578,账户期初,2,0),0)+SUMIFS($J$4:J578,$C$4:C578,$C578)-SUMIFS($K$4:K578,$C$4:C578,$C578),2))</f>
        <v/>
      </c>
      <c r="M578" s="19">
        <f>IF($C578="","",ROUND(SUM(基础资料!$B$4:$B$13)+SUM($J$4:J578)-SUM($K$4:K578),2))</f>
        <v/>
      </c>
      <c r="N578" s="13" t="n"/>
      <c r="O578" s="13" t="n"/>
      <c r="P578" s="17">
        <f>IF($B578="","",IF($F578="※类别不在基础资料里","※费用类别不在基础资料里",IF(AND(N($J578)=0,N($K578)=0),"※这行没填金额",IF(AND(N($J578)&gt;0,N($K578)&gt;0),"※收入和支出不能同一行都填",IF(AND($D578="收入",N($J578)=0),"※收入行要填收入金额",IF(AND($D578="支出",N($K578)=0),"※支出行要填支出金额",IF(AND($C578&lt;&gt;"",ISNA(MATCH($C578,账户表,0))),"※账户不在基础资料里",IF(AND($G578&lt;&gt;"",ISNA(MATCH($G578,项目名表,0))),"※项目不在项目台账里",IF(AND(LEFT($F578,3)="成本-",$G578=""),"※成本类支出没填项目",IF(AND(LEFT($F578,3)="成本-",$H578&lt;&gt;"",N($K578)&gt;0,COUNTIFS(采购单!$B:$B,$B578,采购单!$C:$C,$H578,采购单!$L:$L,$K578)&gt;0),"※这笔可能和采购单重复了",""))))))))))</f>
        <v/>
      </c>
    </row>
    <row r="579">
      <c r="A579" s="17">
        <f>IF($B579="","",ROW()-3)</f>
        <v/>
      </c>
      <c r="B579" s="18" t="n">
        <v>46191</v>
      </c>
      <c r="C579" s="13" t="inlineStr">
        <is>
          <t>微信1</t>
        </is>
      </c>
      <c r="D579" s="13" t="inlineStr">
        <is>
          <t>支出</t>
        </is>
      </c>
      <c r="E579" s="13" t="inlineStr">
        <is>
          <t>待分类</t>
        </is>
      </c>
      <c r="F579" s="17">
        <f>IF($E579="","",IFERROR(VLOOKUP($E579,类别归属,2,0),"※类别不在基础资料里"))</f>
        <v/>
      </c>
      <c r="G579" s="13" t="n"/>
      <c r="H579" s="13" t="n"/>
      <c r="I579" s="13" t="inlineStr">
        <is>
          <t>杨德 (往后余生)</t>
        </is>
      </c>
      <c r="J579" s="14" t="n"/>
      <c r="K579" s="14" t="n">
        <v>90</v>
      </c>
      <c r="L579" s="19">
        <f>IF($C579="","",ROUND(IFERROR(VLOOKUP($C579,账户期初,2,0),0)+SUMIFS($J$4:J579,$C$4:C579,$C579)-SUMIFS($K$4:K579,$C$4:C579,$C579),2))</f>
        <v/>
      </c>
      <c r="M579" s="19">
        <f>IF($C579="","",ROUND(SUM(基础资料!$B$4:$B$13)+SUM($J$4:J579)-SUM($K$4:K579),2))</f>
        <v/>
      </c>
      <c r="N579" s="13" t="n"/>
      <c r="O579" s="13" t="n"/>
      <c r="P579" s="17">
        <f>IF($B579="","",IF($F579="※类别不在基础资料里","※费用类别不在基础资料里",IF(AND(N($J579)=0,N($K579)=0),"※这行没填金额",IF(AND(N($J579)&gt;0,N($K579)&gt;0),"※收入和支出不能同一行都填",IF(AND($D579="收入",N($J579)=0),"※收入行要填收入金额",IF(AND($D579="支出",N($K579)=0),"※支出行要填支出金额",IF(AND($C579&lt;&gt;"",ISNA(MATCH($C579,账户表,0))),"※账户不在基础资料里",IF(AND($G579&lt;&gt;"",ISNA(MATCH($G579,项目名表,0))),"※项目不在项目台账里",IF(AND(LEFT($F579,3)="成本-",$G579=""),"※成本类支出没填项目",IF(AND(LEFT($F579,3)="成本-",$H579&lt;&gt;"",N($K579)&gt;0,COUNTIFS(采购单!$B:$B,$B579,采购单!$C:$C,$H579,采购单!$L:$L,$K579)&gt;0),"※这笔可能和采购单重复了",""))))))))))</f>
        <v/>
      </c>
    </row>
    <row r="580">
      <c r="A580" s="17">
        <f>IF($B580="","",ROW()-3)</f>
        <v/>
      </c>
      <c r="B580" s="18" t="n">
        <v>46191</v>
      </c>
      <c r="C580" s="13" t="inlineStr">
        <is>
          <t>微信1</t>
        </is>
      </c>
      <c r="D580" s="13" t="inlineStr">
        <is>
          <t>支出</t>
        </is>
      </c>
      <c r="E580" s="13" t="inlineStr">
        <is>
          <t>待分类</t>
        </is>
      </c>
      <c r="F580" s="17">
        <f>IF($E580="","",IFERROR(VLOOKUP($E580,类别归属,2,0),"※类别不在基础资料里"))</f>
        <v/>
      </c>
      <c r="G580" s="13" t="n"/>
      <c r="H580" s="13" t="n"/>
      <c r="I580" s="13" t="inlineStr">
        <is>
          <t>凌宇 (🐟)</t>
        </is>
      </c>
      <c r="J580" s="14" t="n"/>
      <c r="K580" s="14" t="n">
        <v>2000</v>
      </c>
      <c r="L580" s="19">
        <f>IF($C580="","",ROUND(IFERROR(VLOOKUP($C580,账户期初,2,0),0)+SUMIFS($J$4:J580,$C$4:C580,$C580)-SUMIFS($K$4:K580,$C$4:C580,$C580),2))</f>
        <v/>
      </c>
      <c r="M580" s="19">
        <f>IF($C580="","",ROUND(SUM(基础资料!$B$4:$B$13)+SUM($J$4:J580)-SUM($K$4:K580),2))</f>
        <v/>
      </c>
      <c r="N580" s="13" t="n"/>
      <c r="O580" s="13" t="n"/>
      <c r="P580" s="17">
        <f>IF($B580="","",IF($F580="※类别不在基础资料里","※费用类别不在基础资料里",IF(AND(N($J580)=0,N($K580)=0),"※这行没填金额",IF(AND(N($J580)&gt;0,N($K580)&gt;0),"※收入和支出不能同一行都填",IF(AND($D580="收入",N($J580)=0),"※收入行要填收入金额",IF(AND($D580="支出",N($K580)=0),"※支出行要填支出金额",IF(AND($C580&lt;&gt;"",ISNA(MATCH($C580,账户表,0))),"※账户不在基础资料里",IF(AND($G580&lt;&gt;"",ISNA(MATCH($G580,项目名表,0))),"※项目不在项目台账里",IF(AND(LEFT($F580,3)="成本-",$G580=""),"※成本类支出没填项目",IF(AND(LEFT($F580,3)="成本-",$H580&lt;&gt;"",N($K580)&gt;0,COUNTIFS(采购单!$B:$B,$B580,采购单!$C:$C,$H580,采购单!$L:$L,$K580)&gt;0),"※这笔可能和采购单重复了",""))))))))))</f>
        <v/>
      </c>
    </row>
    <row r="581">
      <c r="A581" s="17">
        <f>IF($B581="","",ROW()-3)</f>
        <v/>
      </c>
      <c r="B581" s="18" t="n">
        <v>46191</v>
      </c>
      <c r="C581" s="13" t="inlineStr">
        <is>
          <t>微信1</t>
        </is>
      </c>
      <c r="D581" s="13" t="inlineStr">
        <is>
          <t>收入</t>
        </is>
      </c>
      <c r="E581" s="13" t="inlineStr">
        <is>
          <t>待分类</t>
        </is>
      </c>
      <c r="F581" s="17">
        <f>IF($E581="","",IFERROR(VLOOKUP($E581,类别归属,2,0),"※类别不在基础资料里"))</f>
        <v/>
      </c>
      <c r="G581" s="13" t="n"/>
      <c r="H581" s="13" t="n"/>
      <c r="I581" s="13" t="inlineStr">
        <is>
          <t>付久华 (付久华)</t>
        </is>
      </c>
      <c r="J581" s="14" t="n">
        <v>2000</v>
      </c>
      <c r="K581" s="14" t="n"/>
      <c r="L581" s="19">
        <f>IF($C581="","",ROUND(IFERROR(VLOOKUP($C581,账户期初,2,0),0)+SUMIFS($J$4:J581,$C$4:C581,$C581)-SUMIFS($K$4:K581,$C$4:C581,$C581),2))</f>
        <v/>
      </c>
      <c r="M581" s="19">
        <f>IF($C581="","",ROUND(SUM(基础资料!$B$4:$B$13)+SUM($J$4:J581)-SUM($K$4:K581),2))</f>
        <v/>
      </c>
      <c r="N581" s="13" t="n"/>
      <c r="O581" s="13" t="n"/>
      <c r="P581" s="17">
        <f>IF($B581="","",IF($F581="※类别不在基础资料里","※费用类别不在基础资料里",IF(AND(N($J581)=0,N($K581)=0),"※这行没填金额",IF(AND(N($J581)&gt;0,N($K581)&gt;0),"※收入和支出不能同一行都填",IF(AND($D581="收入",N($J581)=0),"※收入行要填收入金额",IF(AND($D581="支出",N($K581)=0),"※支出行要填支出金额",IF(AND($C581&lt;&gt;"",ISNA(MATCH($C581,账户表,0))),"※账户不在基础资料里",IF(AND($G581&lt;&gt;"",ISNA(MATCH($G581,项目名表,0))),"※项目不在项目台账里",IF(AND(LEFT($F581,3)="成本-",$G581=""),"※成本类支出没填项目",IF(AND(LEFT($F581,3)="成本-",$H581&lt;&gt;"",N($K581)&gt;0,COUNTIFS(采购单!$B:$B,$B581,采购单!$C:$C,$H581,采购单!$L:$L,$K581)&gt;0),"※这笔可能和采购单重复了",""))))))))))</f>
        <v/>
      </c>
    </row>
    <row r="582">
      <c r="A582" s="17">
        <f>IF($B582="","",ROW()-3)</f>
        <v/>
      </c>
      <c r="B582" s="18" t="n">
        <v>46191</v>
      </c>
      <c r="C582" s="13" t="inlineStr">
        <is>
          <t>微信1</t>
        </is>
      </c>
      <c r="D582" s="13" t="inlineStr">
        <is>
          <t>支出</t>
        </is>
      </c>
      <c r="E582" s="13" t="inlineStr">
        <is>
          <t>网购材料耗材</t>
        </is>
      </c>
      <c r="F582" s="17">
        <f>IF($E582="","",IFERROR(VLOOKUP($E582,类别归属,2,0),"※类别不在基础资料里"))</f>
        <v/>
      </c>
      <c r="G582" s="13" t="n"/>
      <c r="H582" s="13" t="inlineStr">
        <is>
          <t>拼多多</t>
        </is>
      </c>
      <c r="I582" s="13" t="inlineStr">
        <is>
          <t>拼多多平台商户</t>
        </is>
      </c>
      <c r="J582" s="14" t="n"/>
      <c r="K582" s="14" t="n">
        <v>89.45999999999999</v>
      </c>
      <c r="L582" s="19">
        <f>IF($C582="","",ROUND(IFERROR(VLOOKUP($C582,账户期初,2,0),0)+SUMIFS($J$4:J582,$C$4:C582,$C582)-SUMIFS($K$4:K582,$C$4:C582,$C582),2))</f>
        <v/>
      </c>
      <c r="M582" s="19">
        <f>IF($C582="","",ROUND(SUM(基础资料!$B$4:$B$13)+SUM($J$4:J582)-SUM($K$4:K582),2))</f>
        <v/>
      </c>
      <c r="N582" s="13" t="n"/>
      <c r="O582" s="13" t="n"/>
      <c r="P582" s="17">
        <f>IF($B582="","",IF($F582="※类别不在基础资料里","※费用类别不在基础资料里",IF(AND(N($J582)=0,N($K582)=0),"※这行没填金额",IF(AND(N($J582)&gt;0,N($K582)&gt;0),"※收入和支出不能同一行都填",IF(AND($D582="收入",N($J582)=0),"※收入行要填收入金额",IF(AND($D582="支出",N($K582)=0),"※支出行要填支出金额",IF(AND($C582&lt;&gt;"",ISNA(MATCH($C582,账户表,0))),"※账户不在基础资料里",IF(AND($G582&lt;&gt;"",ISNA(MATCH($G582,项目名表,0))),"※项目不在项目台账里",IF(AND(LEFT($F582,3)="成本-",$G582=""),"※成本类支出没填项目",IF(AND(LEFT($F582,3)="成本-",$H582&lt;&gt;"",N($K582)&gt;0,COUNTIFS(采购单!$B:$B,$B582,采购单!$C:$C,$H582,采购单!$L:$L,$K582)&gt;0),"※这笔可能和采购单重复了",""))))))))))</f>
        <v/>
      </c>
    </row>
    <row r="583">
      <c r="A583" s="17">
        <f>IF($B583="","",ROW()-3)</f>
        <v/>
      </c>
      <c r="B583" s="18" t="n">
        <v>46192</v>
      </c>
      <c r="C583" s="13" t="inlineStr">
        <is>
          <t>微信1</t>
        </is>
      </c>
      <c r="D583" s="13" t="inlineStr">
        <is>
          <t>支出</t>
        </is>
      </c>
      <c r="E583" s="13" t="inlineStr">
        <is>
          <t>运费/快递费</t>
        </is>
      </c>
      <c r="F583" s="17">
        <f>IF($E583="","",IFERROR(VLOOKUP($E583,类别归属,2,0),"※类别不在基础资料里"))</f>
        <v/>
      </c>
      <c r="G583" s="13" t="n"/>
      <c r="H583" s="13" t="n"/>
      <c r="I583" s="13" t="inlineStr">
        <is>
          <t>杭州炳秀湖州26-28武晓军 (杭州炳秀湖州26-28武晓军)</t>
        </is>
      </c>
      <c r="J583" s="14" t="n"/>
      <c r="K583" s="14" t="n">
        <v>18</v>
      </c>
      <c r="L583" s="19">
        <f>IF($C583="","",ROUND(IFERROR(VLOOKUP($C583,账户期初,2,0),0)+SUMIFS($J$4:J583,$C$4:C583,$C583)-SUMIFS($K$4:K583,$C$4:C583,$C583),2))</f>
        <v/>
      </c>
      <c r="M583" s="19">
        <f>IF($C583="","",ROUND(SUM(基础资料!$B$4:$B$13)+SUM($J$4:J583)-SUM($K$4:K583),2))</f>
        <v/>
      </c>
      <c r="N583" s="13" t="n"/>
      <c r="O583" s="13" t="n"/>
      <c r="P583" s="17">
        <f>IF($B583="","",IF($F583="※类别不在基础资料里","※费用类别不在基础资料里",IF(AND(N($J583)=0,N($K583)=0),"※这行没填金额",IF(AND(N($J583)&gt;0,N($K583)&gt;0),"※收入和支出不能同一行都填",IF(AND($D583="收入",N($J583)=0),"※收入行要填收入金额",IF(AND($D583="支出",N($K583)=0),"※支出行要填支出金额",IF(AND($C583&lt;&gt;"",ISNA(MATCH($C583,账户表,0))),"※账户不在基础资料里",IF(AND($G583&lt;&gt;"",ISNA(MATCH($G583,项目名表,0))),"※项目不在项目台账里",IF(AND(LEFT($F583,3)="成本-",$G583=""),"※成本类支出没填项目",IF(AND(LEFT($F583,3)="成本-",$H583&lt;&gt;"",N($K583)&gt;0,COUNTIFS(采购单!$B:$B,$B583,采购单!$C:$C,$H583,采购单!$L:$L,$K583)&gt;0),"※这笔可能和采购单重复了",""))))))))))</f>
        <v/>
      </c>
    </row>
    <row r="584">
      <c r="A584" s="17">
        <f>IF($B584="","",ROW()-3)</f>
        <v/>
      </c>
      <c r="B584" s="18" t="n">
        <v>46193</v>
      </c>
      <c r="C584" s="13" t="inlineStr">
        <is>
          <t>微信1</t>
        </is>
      </c>
      <c r="D584" s="13" t="inlineStr">
        <is>
          <t>支出</t>
        </is>
      </c>
      <c r="E584" s="13" t="inlineStr">
        <is>
          <t>待分类</t>
        </is>
      </c>
      <c r="F584" s="17">
        <f>IF($E584="","",IFERROR(VLOOKUP($E584,类别归属,2,0),"※类别不在基础资料里"))</f>
        <v/>
      </c>
      <c r="G584" s="13" t="n"/>
      <c r="H584" s="13" t="n"/>
      <c r="I584" s="13" t="inlineStr">
        <is>
          <t>海燕东北菜康泰西路17号 (海燕东北菜康泰西路17号)</t>
        </is>
      </c>
      <c r="J584" s="14" t="n"/>
      <c r="K584" s="14" t="n">
        <v>247</v>
      </c>
      <c r="L584" s="19">
        <f>IF($C584="","",ROUND(IFERROR(VLOOKUP($C584,账户期初,2,0),0)+SUMIFS($J$4:J584,$C$4:C584,$C584)-SUMIFS($K$4:K584,$C$4:C584,$C584),2))</f>
        <v/>
      </c>
      <c r="M584" s="19">
        <f>IF($C584="","",ROUND(SUM(基础资料!$B$4:$B$13)+SUM($J$4:J584)-SUM($K$4:K584),2))</f>
        <v/>
      </c>
      <c r="N584" s="13" t="n"/>
      <c r="O584" s="13" t="n"/>
      <c r="P584" s="17">
        <f>IF($B584="","",IF($F584="※类别不在基础资料里","※费用类别不在基础资料里",IF(AND(N($J584)=0,N($K584)=0),"※这行没填金额",IF(AND(N($J584)&gt;0,N($K584)&gt;0),"※收入和支出不能同一行都填",IF(AND($D584="收入",N($J584)=0),"※收入行要填收入金额",IF(AND($D584="支出",N($K584)=0),"※支出行要填支出金额",IF(AND($C584&lt;&gt;"",ISNA(MATCH($C584,账户表,0))),"※账户不在基础资料里",IF(AND($G584&lt;&gt;"",ISNA(MATCH($G584,项目名表,0))),"※项目不在项目台账里",IF(AND(LEFT($F584,3)="成本-",$G584=""),"※成本类支出没填项目",IF(AND(LEFT($F584,3)="成本-",$H584&lt;&gt;"",N($K584)&gt;0,COUNTIFS(采购单!$B:$B,$B584,采购单!$C:$C,$H584,采购单!$L:$L,$K584)&gt;0),"※这笔可能和采购单重复了",""))))))))))</f>
        <v/>
      </c>
    </row>
    <row r="585">
      <c r="A585" s="17">
        <f>IF($B585="","",ROW()-3)</f>
        <v/>
      </c>
      <c r="B585" s="18" t="n">
        <v>46193</v>
      </c>
      <c r="C585" s="13" t="inlineStr">
        <is>
          <t>微信1</t>
        </is>
      </c>
      <c r="D585" s="13" t="inlineStr">
        <is>
          <t>收入</t>
        </is>
      </c>
      <c r="E585" s="13" t="inlineStr">
        <is>
          <t>待分类</t>
        </is>
      </c>
      <c r="F585" s="17">
        <f>IF($E585="","",IFERROR(VLOOKUP($E585,类别归属,2,0),"※类别不在基础资料里"))</f>
        <v/>
      </c>
      <c r="G585" s="13" t="n"/>
      <c r="H585" s="13" t="n"/>
      <c r="I585" s="13" t="inlineStr">
        <is>
          <t>带着壳的兔兔 (带着壳的兔兔)</t>
        </is>
      </c>
      <c r="J585" s="14" t="n">
        <v>2000</v>
      </c>
      <c r="K585" s="14" t="n"/>
      <c r="L585" s="19">
        <f>IF($C585="","",ROUND(IFERROR(VLOOKUP($C585,账户期初,2,0),0)+SUMIFS($J$4:J585,$C$4:C585,$C585)-SUMIFS($K$4:K585,$C$4:C585,$C585),2))</f>
        <v/>
      </c>
      <c r="M585" s="19">
        <f>IF($C585="","",ROUND(SUM(基础资料!$B$4:$B$13)+SUM($J$4:J585)-SUM($K$4:K585),2))</f>
        <v/>
      </c>
      <c r="N585" s="13" t="n"/>
      <c r="O585" s="13" t="n"/>
      <c r="P585" s="17">
        <f>IF($B585="","",IF($F585="※类别不在基础资料里","※费用类别不在基础资料里",IF(AND(N($J585)=0,N($K585)=0),"※这行没填金额",IF(AND(N($J585)&gt;0,N($K585)&gt;0),"※收入和支出不能同一行都填",IF(AND($D585="收入",N($J585)=0),"※收入行要填收入金额",IF(AND($D585="支出",N($K585)=0),"※支出行要填支出金额",IF(AND($C585&lt;&gt;"",ISNA(MATCH($C585,账户表,0))),"※账户不在基础资料里",IF(AND($G585&lt;&gt;"",ISNA(MATCH($G585,项目名表,0))),"※项目不在项目台账里",IF(AND(LEFT($F585,3)="成本-",$G585=""),"※成本类支出没填项目",IF(AND(LEFT($F585,3)="成本-",$H585&lt;&gt;"",N($K585)&gt;0,COUNTIFS(采购单!$B:$B,$B585,采购单!$C:$C,$H585,采购单!$L:$L,$K585)&gt;0),"※这笔可能和采购单重复了",""))))))))))</f>
        <v/>
      </c>
    </row>
    <row r="586">
      <c r="A586" s="17">
        <f>IF($B586="","",ROW()-3)</f>
        <v/>
      </c>
      <c r="B586" s="18" t="n">
        <v>46193</v>
      </c>
      <c r="C586" s="13" t="inlineStr">
        <is>
          <t>微信1</t>
        </is>
      </c>
      <c r="D586" s="13" t="inlineStr">
        <is>
          <t>支出</t>
        </is>
      </c>
      <c r="E586" s="13" t="inlineStr">
        <is>
          <t>待分类</t>
        </is>
      </c>
      <c r="F586" s="17">
        <f>IF($E586="","",IFERROR(VLOOKUP($E586,类别归属,2,0),"※类别不在基础资料里"))</f>
        <v/>
      </c>
      <c r="G586" s="13" t="n"/>
      <c r="H586" s="13" t="n"/>
      <c r="I586" s="13" t="inlineStr">
        <is>
          <t>恒亚标识杨勋芳 (恒亚标识杨勋芳)</t>
        </is>
      </c>
      <c r="J586" s="14" t="n"/>
      <c r="K586" s="14" t="n">
        <v>310</v>
      </c>
      <c r="L586" s="19">
        <f>IF($C586="","",ROUND(IFERROR(VLOOKUP($C586,账户期初,2,0),0)+SUMIFS($J$4:J586,$C$4:C586,$C586)-SUMIFS($K$4:K586,$C$4:C586,$C586),2))</f>
        <v/>
      </c>
      <c r="M586" s="19">
        <f>IF($C586="","",ROUND(SUM(基础资料!$B$4:$B$13)+SUM($J$4:J586)-SUM($K$4:K586),2))</f>
        <v/>
      </c>
      <c r="N586" s="13" t="n"/>
      <c r="O586" s="13" t="n"/>
      <c r="P586" s="17">
        <f>IF($B586="","",IF($F586="※类别不在基础资料里","※费用类别不在基础资料里",IF(AND(N($J586)=0,N($K586)=0),"※这行没填金额",IF(AND(N($J586)&gt;0,N($K586)&gt;0),"※收入和支出不能同一行都填",IF(AND($D586="收入",N($J586)=0),"※收入行要填收入金额",IF(AND($D586="支出",N($K586)=0),"※支出行要填支出金额",IF(AND($C586&lt;&gt;"",ISNA(MATCH($C586,账户表,0))),"※账户不在基础资料里",IF(AND($G586&lt;&gt;"",ISNA(MATCH($G586,项目名表,0))),"※项目不在项目台账里",IF(AND(LEFT($F586,3)="成本-",$G586=""),"※成本类支出没填项目",IF(AND(LEFT($F586,3)="成本-",$H586&lt;&gt;"",N($K586)&gt;0,COUNTIFS(采购单!$B:$B,$B586,采购单!$C:$C,$H586,采购单!$L:$L,$K586)&gt;0),"※这笔可能和采购单重复了",""))))))))))</f>
        <v/>
      </c>
    </row>
    <row r="587">
      <c r="A587" s="17">
        <f>IF($B587="","",ROW()-3)</f>
        <v/>
      </c>
      <c r="B587" s="18" t="n">
        <v>46193</v>
      </c>
      <c r="C587" s="13" t="inlineStr">
        <is>
          <t>微信1</t>
        </is>
      </c>
      <c r="D587" s="13" t="inlineStr">
        <is>
          <t>支出</t>
        </is>
      </c>
      <c r="E587" s="13" t="inlineStr">
        <is>
          <t>网购材料耗材</t>
        </is>
      </c>
      <c r="F587" s="17">
        <f>IF($E587="","",IFERROR(VLOOKUP($E587,类别归属,2,0),"※类别不在基础资料里"))</f>
        <v/>
      </c>
      <c r="G587" s="13" t="n"/>
      <c r="H587" s="13" t="inlineStr">
        <is>
          <t>拼多多</t>
        </is>
      </c>
      <c r="I587" s="13" t="inlineStr">
        <is>
          <t>拼多多平台商户</t>
        </is>
      </c>
      <c r="J587" s="14" t="n"/>
      <c r="K587" s="14" t="n">
        <v>110.58</v>
      </c>
      <c r="L587" s="19">
        <f>IF($C587="","",ROUND(IFERROR(VLOOKUP($C587,账户期初,2,0),0)+SUMIFS($J$4:J587,$C$4:C587,$C587)-SUMIFS($K$4:K587,$C$4:C587,$C587),2))</f>
        <v/>
      </c>
      <c r="M587" s="19">
        <f>IF($C587="","",ROUND(SUM(基础资料!$B$4:$B$13)+SUM($J$4:J587)-SUM($K$4:K587),2))</f>
        <v/>
      </c>
      <c r="N587" s="13" t="n"/>
      <c r="O587" s="13" t="n"/>
      <c r="P587" s="17">
        <f>IF($B587="","",IF($F587="※类别不在基础资料里","※费用类别不在基础资料里",IF(AND(N($J587)=0,N($K587)=0),"※这行没填金额",IF(AND(N($J587)&gt;0,N($K587)&gt;0),"※收入和支出不能同一行都填",IF(AND($D587="收入",N($J587)=0),"※收入行要填收入金额",IF(AND($D587="支出",N($K587)=0),"※支出行要填支出金额",IF(AND($C587&lt;&gt;"",ISNA(MATCH($C587,账户表,0))),"※账户不在基础资料里",IF(AND($G587&lt;&gt;"",ISNA(MATCH($G587,项目名表,0))),"※项目不在项目台账里",IF(AND(LEFT($F587,3)="成本-",$G587=""),"※成本类支出没填项目",IF(AND(LEFT($F587,3)="成本-",$H587&lt;&gt;"",N($K587)&gt;0,COUNTIFS(采购单!$B:$B,$B587,采购单!$C:$C,$H587,采购单!$L:$L,$K587)&gt;0),"※这笔可能和采购单重复了",""))))))))))</f>
        <v/>
      </c>
    </row>
    <row r="588">
      <c r="A588" s="17">
        <f>IF($B588="","",ROW()-3)</f>
        <v/>
      </c>
      <c r="B588" s="18" t="n">
        <v>46194</v>
      </c>
      <c r="C588" s="13" t="inlineStr">
        <is>
          <t>微信1</t>
        </is>
      </c>
      <c r="D588" s="13" t="inlineStr">
        <is>
          <t>支出</t>
        </is>
      </c>
      <c r="E588" s="13" t="inlineStr">
        <is>
          <t>网购材料耗材</t>
        </is>
      </c>
      <c r="F588" s="17">
        <f>IF($E588="","",IFERROR(VLOOKUP($E588,类别归属,2,0),"※类别不在基础资料里"))</f>
        <v/>
      </c>
      <c r="G588" s="13" t="n"/>
      <c r="H588" s="13" t="inlineStr">
        <is>
          <t>拼多多</t>
        </is>
      </c>
      <c r="I588" s="13" t="inlineStr">
        <is>
          <t>拼多多平台商户</t>
        </is>
      </c>
      <c r="J588" s="14" t="n"/>
      <c r="K588" s="14" t="n">
        <v>46.18</v>
      </c>
      <c r="L588" s="19">
        <f>IF($C588="","",ROUND(IFERROR(VLOOKUP($C588,账户期初,2,0),0)+SUMIFS($J$4:J588,$C$4:C588,$C588)-SUMIFS($K$4:K588,$C$4:C588,$C588),2))</f>
        <v/>
      </c>
      <c r="M588" s="19">
        <f>IF($C588="","",ROUND(SUM(基础资料!$B$4:$B$13)+SUM($J$4:J588)-SUM($K$4:K588),2))</f>
        <v/>
      </c>
      <c r="N588" s="13" t="n"/>
      <c r="O588" s="13" t="n"/>
      <c r="P588" s="17">
        <f>IF($B588="","",IF($F588="※类别不在基础资料里","※费用类别不在基础资料里",IF(AND(N($J588)=0,N($K588)=0),"※这行没填金额",IF(AND(N($J588)&gt;0,N($K588)&gt;0),"※收入和支出不能同一行都填",IF(AND($D588="收入",N($J588)=0),"※收入行要填收入金额",IF(AND($D588="支出",N($K588)=0),"※支出行要填支出金额",IF(AND($C588&lt;&gt;"",ISNA(MATCH($C588,账户表,0))),"※账户不在基础资料里",IF(AND($G588&lt;&gt;"",ISNA(MATCH($G588,项目名表,0))),"※项目不在项目台账里",IF(AND(LEFT($F588,3)="成本-",$G588=""),"※成本类支出没填项目",IF(AND(LEFT($F588,3)="成本-",$H588&lt;&gt;"",N($K588)&gt;0,COUNTIFS(采购单!$B:$B,$B588,采购单!$C:$C,$H588,采购单!$L:$L,$K588)&gt;0),"※这笔可能和采购单重复了",""))))))))))</f>
        <v/>
      </c>
    </row>
    <row r="589">
      <c r="A589" s="17">
        <f>IF($B589="","",ROW()-3)</f>
        <v/>
      </c>
      <c r="B589" s="18" t="n">
        <v>46194</v>
      </c>
      <c r="C589" s="13" t="inlineStr">
        <is>
          <t>微信1</t>
        </is>
      </c>
      <c r="D589" s="13" t="inlineStr">
        <is>
          <t>收入</t>
        </is>
      </c>
      <c r="E589" s="13" t="inlineStr">
        <is>
          <t>待分类</t>
        </is>
      </c>
      <c r="F589" s="17">
        <f>IF($E589="","",IFERROR(VLOOKUP($E589,类别归属,2,0),"※类别不在基础资料里"))</f>
        <v/>
      </c>
      <c r="G589" s="13" t="n"/>
      <c r="H589" s="13" t="n"/>
      <c r="I589" s="13" t="inlineStr">
        <is>
          <t>/</t>
        </is>
      </c>
      <c r="J589" s="14" t="n">
        <v>0.54</v>
      </c>
      <c r="K589" s="14" t="n"/>
      <c r="L589" s="19">
        <f>IF($C589="","",ROUND(IFERROR(VLOOKUP($C589,账户期初,2,0),0)+SUMIFS($J$4:J589,$C$4:C589,$C589)-SUMIFS($K$4:K589,$C$4:C589,$C589),2))</f>
        <v/>
      </c>
      <c r="M589" s="19">
        <f>IF($C589="","",ROUND(SUM(基础资料!$B$4:$B$13)+SUM($J$4:J589)-SUM($K$4:K589),2))</f>
        <v/>
      </c>
      <c r="N589" s="13" t="n"/>
      <c r="O589" s="13" t="n"/>
      <c r="P589" s="17">
        <f>IF($B589="","",IF($F589="※类别不在基础资料里","※费用类别不在基础资料里",IF(AND(N($J589)=0,N($K589)=0),"※这行没填金额",IF(AND(N($J589)&gt;0,N($K589)&gt;0),"※收入和支出不能同一行都填",IF(AND($D589="收入",N($J589)=0),"※收入行要填收入金额",IF(AND($D589="支出",N($K589)=0),"※支出行要填支出金额",IF(AND($C589&lt;&gt;"",ISNA(MATCH($C589,账户表,0))),"※账户不在基础资料里",IF(AND($G589&lt;&gt;"",ISNA(MATCH($G589,项目名表,0))),"※项目不在项目台账里",IF(AND(LEFT($F589,3)="成本-",$G589=""),"※成本类支出没填项目",IF(AND(LEFT($F589,3)="成本-",$H589&lt;&gt;"",N($K589)&gt;0,COUNTIFS(采购单!$B:$B,$B589,采购单!$C:$C,$H589,采购单!$L:$L,$K589)&gt;0),"※这笔可能和采购单重复了",""))))))))))</f>
        <v/>
      </c>
    </row>
    <row r="590">
      <c r="A590" s="17">
        <f>IF($B590="","",ROW()-3)</f>
        <v/>
      </c>
      <c r="B590" s="18" t="n">
        <v>46194</v>
      </c>
      <c r="C590" s="13" t="inlineStr">
        <is>
          <t>微信1</t>
        </is>
      </c>
      <c r="D590" s="13" t="inlineStr">
        <is>
          <t>支出</t>
        </is>
      </c>
      <c r="E590" s="13" t="inlineStr">
        <is>
          <t>运费/快递费</t>
        </is>
      </c>
      <c r="F590" s="17">
        <f>IF($E590="","",IFERROR(VLOOKUP($E590,类别归属,2,0),"※类别不在基础资料里"))</f>
        <v/>
      </c>
      <c r="G590" s="13" t="n"/>
      <c r="H590" s="13" t="n"/>
      <c r="I590" s="13" t="inlineStr">
        <is>
          <t>杭州炳秀湖州26-28武晓军 (杭州炳秀湖州26-28武晓军)</t>
        </is>
      </c>
      <c r="J590" s="14" t="n"/>
      <c r="K590" s="14" t="n">
        <v>394</v>
      </c>
      <c r="L590" s="19">
        <f>IF($C590="","",ROUND(IFERROR(VLOOKUP($C590,账户期初,2,0),0)+SUMIFS($J$4:J590,$C$4:C590,$C590)-SUMIFS($K$4:K590,$C$4:C590,$C590),2))</f>
        <v/>
      </c>
      <c r="M590" s="19">
        <f>IF($C590="","",ROUND(SUM(基础资料!$B$4:$B$13)+SUM($J$4:J590)-SUM($K$4:K590),2))</f>
        <v/>
      </c>
      <c r="N590" s="13" t="n"/>
      <c r="O590" s="13" t="n"/>
      <c r="P590" s="17">
        <f>IF($B590="","",IF($F590="※类别不在基础资料里","※费用类别不在基础资料里",IF(AND(N($J590)=0,N($K590)=0),"※这行没填金额",IF(AND(N($J590)&gt;0,N($K590)&gt;0),"※收入和支出不能同一行都填",IF(AND($D590="收入",N($J590)=0),"※收入行要填收入金额",IF(AND($D590="支出",N($K590)=0),"※支出行要填支出金额",IF(AND($C590&lt;&gt;"",ISNA(MATCH($C590,账户表,0))),"※账户不在基础资料里",IF(AND($G590&lt;&gt;"",ISNA(MATCH($G590,项目名表,0))),"※项目不在项目台账里",IF(AND(LEFT($F590,3)="成本-",$G590=""),"※成本类支出没填项目",IF(AND(LEFT($F590,3)="成本-",$H590&lt;&gt;"",N($K590)&gt;0,COUNTIFS(采购单!$B:$B,$B590,采购单!$C:$C,$H590,采购单!$L:$L,$K590)&gt;0),"※这笔可能和采购单重复了",""))))))))))</f>
        <v/>
      </c>
    </row>
    <row r="591">
      <c r="A591" s="17">
        <f>IF($B591="","",ROW()-3)</f>
        <v/>
      </c>
      <c r="B591" s="18" t="n">
        <v>46195</v>
      </c>
      <c r="C591" s="13" t="inlineStr">
        <is>
          <t>微信1</t>
        </is>
      </c>
      <c r="D591" s="13" t="inlineStr">
        <is>
          <t>支出</t>
        </is>
      </c>
      <c r="E591" s="13" t="inlineStr">
        <is>
          <t>运费/快递费</t>
        </is>
      </c>
      <c r="F591" s="17">
        <f>IF($E591="","",IFERROR(VLOOKUP($E591,类别归属,2,0),"※类别不在基础资料里"))</f>
        <v/>
      </c>
      <c r="G591" s="13" t="n"/>
      <c r="H591" s="13" t="n"/>
      <c r="I591" s="13" t="inlineStr">
        <is>
          <t>杭州炳秀湖州26-28武晓军 (杭州炳秀湖州26-28武晓军)</t>
        </is>
      </c>
      <c r="J591" s="14" t="n"/>
      <c r="K591" s="14" t="n">
        <v>30</v>
      </c>
      <c r="L591" s="19">
        <f>IF($C591="","",ROUND(IFERROR(VLOOKUP($C591,账户期初,2,0),0)+SUMIFS($J$4:J591,$C$4:C591,$C591)-SUMIFS($K$4:K591,$C$4:C591,$C591),2))</f>
        <v/>
      </c>
      <c r="M591" s="19">
        <f>IF($C591="","",ROUND(SUM(基础资料!$B$4:$B$13)+SUM($J$4:J591)-SUM($K$4:K591),2))</f>
        <v/>
      </c>
      <c r="N591" s="13" t="n"/>
      <c r="O591" s="13" t="n"/>
      <c r="P591" s="17">
        <f>IF($B591="","",IF($F591="※类别不在基础资料里","※费用类别不在基础资料里",IF(AND(N($J591)=0,N($K591)=0),"※这行没填金额",IF(AND(N($J591)&gt;0,N($K591)&gt;0),"※收入和支出不能同一行都填",IF(AND($D591="收入",N($J591)=0),"※收入行要填收入金额",IF(AND($D591="支出",N($K591)=0),"※支出行要填支出金额",IF(AND($C591&lt;&gt;"",ISNA(MATCH($C591,账户表,0))),"※账户不在基础资料里",IF(AND($G591&lt;&gt;"",ISNA(MATCH($G591,项目名表,0))),"※项目不在项目台账里",IF(AND(LEFT($F591,3)="成本-",$G591=""),"※成本类支出没填项目",IF(AND(LEFT($F591,3)="成本-",$H591&lt;&gt;"",N($K591)&gt;0,COUNTIFS(采购单!$B:$B,$B591,采购单!$C:$C,$H591,采购单!$L:$L,$K591)&gt;0),"※这笔可能和采购单重复了",""))))))))))</f>
        <v/>
      </c>
    </row>
    <row r="592">
      <c r="A592" s="17">
        <f>IF($B592="","",ROW()-3)</f>
        <v/>
      </c>
      <c r="B592" s="18" t="n">
        <v>46195</v>
      </c>
      <c r="C592" s="13" t="inlineStr">
        <is>
          <t>微信1</t>
        </is>
      </c>
      <c r="D592" s="13" t="inlineStr">
        <is>
          <t>支出</t>
        </is>
      </c>
      <c r="E592" s="13" t="inlineStr">
        <is>
          <t>广告推广</t>
        </is>
      </c>
      <c r="F592" s="17">
        <f>IF($E592="","",IFERROR(VLOOKUP($E592,类别归属,2,0),"※类别不在基础资料里"))</f>
        <v/>
      </c>
      <c r="G592" s="13" t="n"/>
      <c r="H592" s="13" t="n"/>
      <c r="I592" s="13" t="inlineStr">
        <is>
          <t>巨量本地推</t>
        </is>
      </c>
      <c r="J592" s="14" t="n"/>
      <c r="K592" s="14" t="n">
        <v>200</v>
      </c>
      <c r="L592" s="19">
        <f>IF($C592="","",ROUND(IFERROR(VLOOKUP($C592,账户期初,2,0),0)+SUMIFS($J$4:J592,$C$4:C592,$C592)-SUMIFS($K$4:K592,$C$4:C592,$C592),2))</f>
        <v/>
      </c>
      <c r="M592" s="19">
        <f>IF($C592="","",ROUND(SUM(基础资料!$B$4:$B$13)+SUM($J$4:J592)-SUM($K$4:K592),2))</f>
        <v/>
      </c>
      <c r="N592" s="13" t="n"/>
      <c r="O592" s="13" t="n"/>
      <c r="P592" s="17">
        <f>IF($B592="","",IF($F592="※类别不在基础资料里","※费用类别不在基础资料里",IF(AND(N($J592)=0,N($K592)=0),"※这行没填金额",IF(AND(N($J592)&gt;0,N($K592)&gt;0),"※收入和支出不能同一行都填",IF(AND($D592="收入",N($J592)=0),"※收入行要填收入金额",IF(AND($D592="支出",N($K592)=0),"※支出行要填支出金额",IF(AND($C592&lt;&gt;"",ISNA(MATCH($C592,账户表,0))),"※账户不在基础资料里",IF(AND($G592&lt;&gt;"",ISNA(MATCH($G592,项目名表,0))),"※项目不在项目台账里",IF(AND(LEFT($F592,3)="成本-",$G592=""),"※成本类支出没填项目",IF(AND(LEFT($F592,3)="成本-",$H592&lt;&gt;"",N($K592)&gt;0,COUNTIFS(采购单!$B:$B,$B592,采购单!$C:$C,$H592,采购单!$L:$L,$K592)&gt;0),"※这笔可能和采购单重复了",""))))))))))</f>
        <v/>
      </c>
    </row>
    <row r="593">
      <c r="A593" s="17">
        <f>IF($B593="","",ROW()-3)</f>
        <v/>
      </c>
      <c r="B593" s="18" t="n">
        <v>46195</v>
      </c>
      <c r="C593" s="13" t="inlineStr">
        <is>
          <t>微信1</t>
        </is>
      </c>
      <c r="D593" s="13" t="inlineStr">
        <is>
          <t>收入</t>
        </is>
      </c>
      <c r="E593" s="13" t="inlineStr">
        <is>
          <t>待分类</t>
        </is>
      </c>
      <c r="F593" s="17">
        <f>IF($E593="","",IFERROR(VLOOKUP($E593,类别归属,2,0),"※类别不在基础资料里"))</f>
        <v/>
      </c>
      <c r="G593" s="13" t="n"/>
      <c r="H593" s="13" t="n"/>
      <c r="I593" s="13" t="inlineStr">
        <is>
          <t>大胖陈 (大胖)</t>
        </is>
      </c>
      <c r="J593" s="14" t="n">
        <v>240</v>
      </c>
      <c r="K593" s="14" t="n"/>
      <c r="L593" s="19">
        <f>IF($C593="","",ROUND(IFERROR(VLOOKUP($C593,账户期初,2,0),0)+SUMIFS($J$4:J593,$C$4:C593,$C593)-SUMIFS($K$4:K593,$C$4:C593,$C593),2))</f>
        <v/>
      </c>
      <c r="M593" s="19">
        <f>IF($C593="","",ROUND(SUM(基础资料!$B$4:$B$13)+SUM($J$4:J593)-SUM($K$4:K593),2))</f>
        <v/>
      </c>
      <c r="N593" s="13" t="n"/>
      <c r="O593" s="13" t="n"/>
      <c r="P593" s="17">
        <f>IF($B593="","",IF($F593="※类别不在基础资料里","※费用类别不在基础资料里",IF(AND(N($J593)=0,N($K593)=0),"※这行没填金额",IF(AND(N($J593)&gt;0,N($K593)&gt;0),"※收入和支出不能同一行都填",IF(AND($D593="收入",N($J593)=0),"※收入行要填收入金额",IF(AND($D593="支出",N($K593)=0),"※支出行要填支出金额",IF(AND($C593&lt;&gt;"",ISNA(MATCH($C593,账户表,0))),"※账户不在基础资料里",IF(AND($G593&lt;&gt;"",ISNA(MATCH($G593,项目名表,0))),"※项目不在项目台账里",IF(AND(LEFT($F593,3)="成本-",$G593=""),"※成本类支出没填项目",IF(AND(LEFT($F593,3)="成本-",$H593&lt;&gt;"",N($K593)&gt;0,COUNTIFS(采购单!$B:$B,$B593,采购单!$C:$C,$H593,采购单!$L:$L,$K593)&gt;0),"※这笔可能和采购单重复了",""))))))))))</f>
        <v/>
      </c>
    </row>
    <row r="594">
      <c r="A594" s="17">
        <f>IF($B594="","",ROW()-3)</f>
        <v/>
      </c>
      <c r="B594" s="18" t="n">
        <v>46195</v>
      </c>
      <c r="C594" s="13" t="inlineStr">
        <is>
          <t>微信1</t>
        </is>
      </c>
      <c r="D594" s="13" t="inlineStr">
        <is>
          <t>支出</t>
        </is>
      </c>
      <c r="E594" s="13" t="inlineStr">
        <is>
          <t>待分类</t>
        </is>
      </c>
      <c r="F594" s="17">
        <f>IF($E594="","",IFERROR(VLOOKUP($E594,类别归属,2,0),"※类别不在基础资料里"))</f>
        <v/>
      </c>
      <c r="G594" s="13" t="n"/>
      <c r="H594" s="13" t="n"/>
      <c r="I594" s="13" t="inlineStr">
        <is>
          <t>山里人 (山里人)</t>
        </is>
      </c>
      <c r="J594" s="14" t="n"/>
      <c r="K594" s="14" t="n">
        <v>850</v>
      </c>
      <c r="L594" s="19">
        <f>IF($C594="","",ROUND(IFERROR(VLOOKUP($C594,账户期初,2,0),0)+SUMIFS($J$4:J594,$C$4:C594,$C594)-SUMIFS($K$4:K594,$C$4:C594,$C594),2))</f>
        <v/>
      </c>
      <c r="M594" s="19">
        <f>IF($C594="","",ROUND(SUM(基础资料!$B$4:$B$13)+SUM($J$4:J594)-SUM($K$4:K594),2))</f>
        <v/>
      </c>
      <c r="N594" s="13" t="n"/>
      <c r="O594" s="13" t="n"/>
      <c r="P594" s="17">
        <f>IF($B594="","",IF($F594="※类别不在基础资料里","※费用类别不在基础资料里",IF(AND(N($J594)=0,N($K594)=0),"※这行没填金额",IF(AND(N($J594)&gt;0,N($K594)&gt;0),"※收入和支出不能同一行都填",IF(AND($D594="收入",N($J594)=0),"※收入行要填收入金额",IF(AND($D594="支出",N($K594)=0),"※支出行要填支出金额",IF(AND($C594&lt;&gt;"",ISNA(MATCH($C594,账户表,0))),"※账户不在基础资料里",IF(AND($G594&lt;&gt;"",ISNA(MATCH($G594,项目名表,0))),"※项目不在项目台账里",IF(AND(LEFT($F594,3)="成本-",$G594=""),"※成本类支出没填项目",IF(AND(LEFT($F594,3)="成本-",$H594&lt;&gt;"",N($K594)&gt;0,COUNTIFS(采购单!$B:$B,$B594,采购单!$C:$C,$H594,采购单!$L:$L,$K594)&gt;0),"※这笔可能和采购单重复了",""))))))))))</f>
        <v/>
      </c>
    </row>
    <row r="595">
      <c r="A595" s="17">
        <f>IF($B595="","",ROW()-3)</f>
        <v/>
      </c>
      <c r="B595" s="18" t="n">
        <v>46196</v>
      </c>
      <c r="C595" s="13" t="inlineStr">
        <is>
          <t>微信1</t>
        </is>
      </c>
      <c r="D595" s="13" t="inlineStr">
        <is>
          <t>支出</t>
        </is>
      </c>
      <c r="E595" s="13" t="inlineStr">
        <is>
          <t>运费/快递费</t>
        </is>
      </c>
      <c r="F595" s="17">
        <f>IF($E595="","",IFERROR(VLOOKUP($E595,类别归属,2,0),"※类别不在基础资料里"))</f>
        <v/>
      </c>
      <c r="G595" s="13" t="n"/>
      <c r="H595" s="13" t="n"/>
      <c r="I595" s="13" t="inlineStr">
        <is>
          <t>杭州炳秀湖州26-28武晓军 (杭州炳秀湖州26-28武晓军)</t>
        </is>
      </c>
      <c r="J595" s="14" t="n"/>
      <c r="K595" s="14" t="n">
        <v>362</v>
      </c>
      <c r="L595" s="19">
        <f>IF($C595="","",ROUND(IFERROR(VLOOKUP($C595,账户期初,2,0),0)+SUMIFS($J$4:J595,$C$4:C595,$C595)-SUMIFS($K$4:K595,$C$4:C595,$C595),2))</f>
        <v/>
      </c>
      <c r="M595" s="19">
        <f>IF($C595="","",ROUND(SUM(基础资料!$B$4:$B$13)+SUM($J$4:J595)-SUM($K$4:K595),2))</f>
        <v/>
      </c>
      <c r="N595" s="13" t="n"/>
      <c r="O595" s="13" t="n"/>
      <c r="P595" s="17">
        <f>IF($B595="","",IF($F595="※类别不在基础资料里","※费用类别不在基础资料里",IF(AND(N($J595)=0,N($K595)=0),"※这行没填金额",IF(AND(N($J595)&gt;0,N($K595)&gt;0),"※收入和支出不能同一行都填",IF(AND($D595="收入",N($J595)=0),"※收入行要填收入金额",IF(AND($D595="支出",N($K595)=0),"※支出行要填支出金额",IF(AND($C595&lt;&gt;"",ISNA(MATCH($C595,账户表,0))),"※账户不在基础资料里",IF(AND($G595&lt;&gt;"",ISNA(MATCH($G595,项目名表,0))),"※项目不在项目台账里",IF(AND(LEFT($F595,3)="成本-",$G595=""),"※成本类支出没填项目",IF(AND(LEFT($F595,3)="成本-",$H595&lt;&gt;"",N($K595)&gt;0,COUNTIFS(采购单!$B:$B,$B595,采购单!$C:$C,$H595,采购单!$L:$L,$K595)&gt;0),"※这笔可能和采购单重复了",""))))))))))</f>
        <v/>
      </c>
    </row>
    <row r="596">
      <c r="A596" s="17">
        <f>IF($B596="","",ROW()-3)</f>
        <v/>
      </c>
      <c r="B596" s="18" t="n">
        <v>46197</v>
      </c>
      <c r="C596" s="13" t="inlineStr">
        <is>
          <t>微信1</t>
        </is>
      </c>
      <c r="D596" s="13" t="inlineStr">
        <is>
          <t>支出</t>
        </is>
      </c>
      <c r="E596" s="13" t="inlineStr">
        <is>
          <t>运费/快递费</t>
        </is>
      </c>
      <c r="F596" s="17">
        <f>IF($E596="","",IFERROR(VLOOKUP($E596,类别归属,2,0),"※类别不在基础资料里"))</f>
        <v/>
      </c>
      <c r="G596" s="13" t="n"/>
      <c r="H596" s="13" t="n"/>
      <c r="I596" s="13" t="inlineStr">
        <is>
          <t>杭州炳秀湖州26-28武晓军 (杭州炳秀湖州26-28武晓军)</t>
        </is>
      </c>
      <c r="J596" s="14" t="n"/>
      <c r="K596" s="14" t="n">
        <v>9</v>
      </c>
      <c r="L596" s="19">
        <f>IF($C596="","",ROUND(IFERROR(VLOOKUP($C596,账户期初,2,0),0)+SUMIFS($J$4:J596,$C$4:C596,$C596)-SUMIFS($K$4:K596,$C$4:C596,$C596),2))</f>
        <v/>
      </c>
      <c r="M596" s="19">
        <f>IF($C596="","",ROUND(SUM(基础资料!$B$4:$B$13)+SUM($J$4:J596)-SUM($K$4:K596),2))</f>
        <v/>
      </c>
      <c r="N596" s="13" t="n"/>
      <c r="O596" s="13" t="n"/>
      <c r="P596" s="17">
        <f>IF($B596="","",IF($F596="※类别不在基础资料里","※费用类别不在基础资料里",IF(AND(N($J596)=0,N($K596)=0),"※这行没填金额",IF(AND(N($J596)&gt;0,N($K596)&gt;0),"※收入和支出不能同一行都填",IF(AND($D596="收入",N($J596)=0),"※收入行要填收入金额",IF(AND($D596="支出",N($K596)=0),"※支出行要填支出金额",IF(AND($C596&lt;&gt;"",ISNA(MATCH($C596,账户表,0))),"※账户不在基础资料里",IF(AND($G596&lt;&gt;"",ISNA(MATCH($G596,项目名表,0))),"※项目不在项目台账里",IF(AND(LEFT($F596,3)="成本-",$G596=""),"※成本类支出没填项目",IF(AND(LEFT($F596,3)="成本-",$H596&lt;&gt;"",N($K596)&gt;0,COUNTIFS(采购单!$B:$B,$B596,采购单!$C:$C,$H596,采购单!$L:$L,$K596)&gt;0),"※这笔可能和采购单重复了",""))))))))))</f>
        <v/>
      </c>
    </row>
    <row r="597">
      <c r="A597" s="17">
        <f>IF($B597="","",ROW()-3)</f>
        <v/>
      </c>
      <c r="B597" s="18" t="n">
        <v>46198</v>
      </c>
      <c r="C597" s="13" t="inlineStr">
        <is>
          <t>微信1</t>
        </is>
      </c>
      <c r="D597" s="13" t="inlineStr">
        <is>
          <t>支出</t>
        </is>
      </c>
      <c r="E597" s="13" t="inlineStr">
        <is>
          <t>主材采购</t>
        </is>
      </c>
      <c r="F597" s="17">
        <f>IF($E597="","",IFERROR(VLOOKUP($E597,类别归属,2,0),"※类别不在基础资料里"))</f>
        <v/>
      </c>
      <c r="G597" s="13" t="n"/>
      <c r="H597" s="13" t="inlineStr">
        <is>
          <t>浩智蚀刻标识标牌</t>
        </is>
      </c>
      <c r="I597" s="13" t="inlineStr">
        <is>
          <t>浩智蚀刻标识标牌（专注金属蚀刻） (浩智蚀刻标识标牌（专注金属蚀刻）)</t>
        </is>
      </c>
      <c r="J597" s="14" t="n"/>
      <c r="K597" s="14" t="n">
        <v>185</v>
      </c>
      <c r="L597" s="19">
        <f>IF($C597="","",ROUND(IFERROR(VLOOKUP($C597,账户期初,2,0),0)+SUMIFS($J$4:J597,$C$4:C597,$C597)-SUMIFS($K$4:K597,$C$4:C597,$C597),2))</f>
        <v/>
      </c>
      <c r="M597" s="19">
        <f>IF($C597="","",ROUND(SUM(基础资料!$B$4:$B$13)+SUM($J$4:J597)-SUM($K$4:K597),2))</f>
        <v/>
      </c>
      <c r="N597" s="13" t="n"/>
      <c r="O597" s="13" t="n"/>
      <c r="P597" s="17">
        <f>IF($B597="","",IF($F597="※类别不在基础资料里","※费用类别不在基础资料里",IF(AND(N($J597)=0,N($K597)=0),"※这行没填金额",IF(AND(N($J597)&gt;0,N($K597)&gt;0),"※收入和支出不能同一行都填",IF(AND($D597="收入",N($J597)=0),"※收入行要填收入金额",IF(AND($D597="支出",N($K597)=0),"※支出行要填支出金额",IF(AND($C597&lt;&gt;"",ISNA(MATCH($C597,账户表,0))),"※账户不在基础资料里",IF(AND($G597&lt;&gt;"",ISNA(MATCH($G597,项目名表,0))),"※项目不在项目台账里",IF(AND(LEFT($F597,3)="成本-",$G597=""),"※成本类支出没填项目",IF(AND(LEFT($F597,3)="成本-",$H597&lt;&gt;"",N($K597)&gt;0,COUNTIFS(采购单!$B:$B,$B597,采购单!$C:$C,$H597,采购单!$L:$L,$K597)&gt;0),"※这笔可能和采购单重复了",""))))))))))</f>
        <v/>
      </c>
    </row>
    <row r="598">
      <c r="A598" s="17">
        <f>IF($B598="","",ROW()-3)</f>
        <v/>
      </c>
      <c r="B598" s="18" t="n">
        <v>46198</v>
      </c>
      <c r="C598" s="13" t="inlineStr">
        <is>
          <t>微信1</t>
        </is>
      </c>
      <c r="D598" s="13" t="inlineStr">
        <is>
          <t>支出</t>
        </is>
      </c>
      <c r="E598" s="13" t="inlineStr">
        <is>
          <t>运费/快递费</t>
        </is>
      </c>
      <c r="F598" s="17">
        <f>IF($E598="","",IFERROR(VLOOKUP($E598,类别归属,2,0),"※类别不在基础资料里"))</f>
        <v/>
      </c>
      <c r="G598" s="13" t="n"/>
      <c r="H598" s="13" t="n"/>
      <c r="I598" s="13" t="inlineStr">
        <is>
          <t>杭州炳秀湖州26-28武晓军 (杭州炳秀湖州26-28武晓军)</t>
        </is>
      </c>
      <c r="J598" s="14" t="n"/>
      <c r="K598" s="14" t="n">
        <v>346</v>
      </c>
      <c r="L598" s="19">
        <f>IF($C598="","",ROUND(IFERROR(VLOOKUP($C598,账户期初,2,0),0)+SUMIFS($J$4:J598,$C$4:C598,$C598)-SUMIFS($K$4:K598,$C$4:C598,$C598),2))</f>
        <v/>
      </c>
      <c r="M598" s="19">
        <f>IF($C598="","",ROUND(SUM(基础资料!$B$4:$B$13)+SUM($J$4:J598)-SUM($K$4:K598),2))</f>
        <v/>
      </c>
      <c r="N598" s="13" t="n"/>
      <c r="O598" s="13" t="n"/>
      <c r="P598" s="17">
        <f>IF($B598="","",IF($F598="※类别不在基础资料里","※费用类别不在基础资料里",IF(AND(N($J598)=0,N($K598)=0),"※这行没填金额",IF(AND(N($J598)&gt;0,N($K598)&gt;0),"※收入和支出不能同一行都填",IF(AND($D598="收入",N($J598)=0),"※收入行要填收入金额",IF(AND($D598="支出",N($K598)=0),"※支出行要填支出金额",IF(AND($C598&lt;&gt;"",ISNA(MATCH($C598,账户表,0))),"※账户不在基础资料里",IF(AND($G598&lt;&gt;"",ISNA(MATCH($G598,项目名表,0))),"※项目不在项目台账里",IF(AND(LEFT($F598,3)="成本-",$G598=""),"※成本类支出没填项目",IF(AND(LEFT($F598,3)="成本-",$H598&lt;&gt;"",N($K598)&gt;0,COUNTIFS(采购单!$B:$B,$B598,采购单!$C:$C,$H598,采购单!$L:$L,$K598)&gt;0),"※这笔可能和采购单重复了",""))))))))))</f>
        <v/>
      </c>
    </row>
    <row r="599">
      <c r="A599" s="17">
        <f>IF($B599="","",ROW()-3)</f>
        <v/>
      </c>
      <c r="B599" s="18" t="n">
        <v>46198</v>
      </c>
      <c r="C599" s="13" t="inlineStr">
        <is>
          <t>微信1</t>
        </is>
      </c>
      <c r="D599" s="13" t="inlineStr">
        <is>
          <t>支出</t>
        </is>
      </c>
      <c r="E599" s="13" t="inlineStr">
        <is>
          <t>主材采购</t>
        </is>
      </c>
      <c r="F599" s="17">
        <f>IF($E599="","",IFERROR(VLOOKUP($E599,类别归属,2,0),"※类别不在基础资料里"))</f>
        <v/>
      </c>
      <c r="G599" s="13" t="n"/>
      <c r="H599" s="13" t="n"/>
      <c r="I599" s="13" t="inlineStr">
        <is>
          <t>新鸿业印刷金俊13971397479 (新鸿业印刷金俊13971397479)</t>
        </is>
      </c>
      <c r="J599" s="14" t="n"/>
      <c r="K599" s="14" t="n">
        <v>160</v>
      </c>
      <c r="L599" s="19">
        <f>IF($C599="","",ROUND(IFERROR(VLOOKUP($C599,账户期初,2,0),0)+SUMIFS($J$4:J599,$C$4:C599,$C599)-SUMIFS($K$4:K599,$C$4:C599,$C599),2))</f>
        <v/>
      </c>
      <c r="M599" s="19">
        <f>IF($C599="","",ROUND(SUM(基础资料!$B$4:$B$13)+SUM($J$4:J599)-SUM($K$4:K599),2))</f>
        <v/>
      </c>
      <c r="N599" s="13" t="n"/>
      <c r="O599" s="13" t="n"/>
      <c r="P599" s="17">
        <f>IF($B599="","",IF($F599="※类别不在基础资料里","※费用类别不在基础资料里",IF(AND(N($J599)=0,N($K599)=0),"※这行没填金额",IF(AND(N($J599)&gt;0,N($K599)&gt;0),"※收入和支出不能同一行都填",IF(AND($D599="收入",N($J599)=0),"※收入行要填收入金额",IF(AND($D599="支出",N($K599)=0),"※支出行要填支出金额",IF(AND($C599&lt;&gt;"",ISNA(MATCH($C599,账户表,0))),"※账户不在基础资料里",IF(AND($G599&lt;&gt;"",ISNA(MATCH($G599,项目名表,0))),"※项目不在项目台账里",IF(AND(LEFT($F599,3)="成本-",$G599=""),"※成本类支出没填项目",IF(AND(LEFT($F599,3)="成本-",$H599&lt;&gt;"",N($K599)&gt;0,COUNTIFS(采购单!$B:$B,$B599,采购单!$C:$C,$H599,采购单!$L:$L,$K599)&gt;0),"※这笔可能和采购单重复了",""))))))))))</f>
        <v/>
      </c>
    </row>
    <row r="600">
      <c r="A600" s="17">
        <f>IF($B600="","",ROW()-3)</f>
        <v/>
      </c>
      <c r="B600" s="18" t="n">
        <v>46198</v>
      </c>
      <c r="C600" s="13" t="inlineStr">
        <is>
          <t>微信1</t>
        </is>
      </c>
      <c r="D600" s="13" t="inlineStr">
        <is>
          <t>收入</t>
        </is>
      </c>
      <c r="E600" s="13" t="inlineStr">
        <is>
          <t>待分类</t>
        </is>
      </c>
      <c r="F600" s="17">
        <f>IF($E600="","",IFERROR(VLOOKUP($E600,类别归属,2,0),"※类别不在基础资料里"))</f>
        <v/>
      </c>
      <c r="G600" s="13" t="n"/>
      <c r="H600" s="13" t="n"/>
      <c r="I600" s="13" t="inlineStr">
        <is>
          <t>硕凡装饰永康路79号  赵总 (九熠装饰)</t>
        </is>
      </c>
      <c r="J600" s="14" t="n">
        <v>180</v>
      </c>
      <c r="K600" s="14" t="n"/>
      <c r="L600" s="19">
        <f>IF($C600="","",ROUND(IFERROR(VLOOKUP($C600,账户期初,2,0),0)+SUMIFS($J$4:J600,$C$4:C600,$C600)-SUMIFS($K$4:K600,$C$4:C600,$C600),2))</f>
        <v/>
      </c>
      <c r="M600" s="19">
        <f>IF($C600="","",ROUND(SUM(基础资料!$B$4:$B$13)+SUM($J$4:J600)-SUM($K$4:K600),2))</f>
        <v/>
      </c>
      <c r="N600" s="13" t="n"/>
      <c r="O600" s="13" t="n"/>
      <c r="P600" s="17">
        <f>IF($B600="","",IF($F600="※类别不在基础资料里","※费用类别不在基础资料里",IF(AND(N($J600)=0,N($K600)=0),"※这行没填金额",IF(AND(N($J600)&gt;0,N($K600)&gt;0),"※收入和支出不能同一行都填",IF(AND($D600="收入",N($J600)=0),"※收入行要填收入金额",IF(AND($D600="支出",N($K600)=0),"※支出行要填支出金额",IF(AND($C600&lt;&gt;"",ISNA(MATCH($C600,账户表,0))),"※账户不在基础资料里",IF(AND($G600&lt;&gt;"",ISNA(MATCH($G600,项目名表,0))),"※项目不在项目台账里",IF(AND(LEFT($F600,3)="成本-",$G600=""),"※成本类支出没填项目",IF(AND(LEFT($F600,3)="成本-",$H600&lt;&gt;"",N($K600)&gt;0,COUNTIFS(采购单!$B:$B,$B600,采购单!$C:$C,$H600,采购单!$L:$L,$K600)&gt;0),"※这笔可能和采购单重复了",""))))))))))</f>
        <v/>
      </c>
    </row>
    <row r="601">
      <c r="A601" s="17">
        <f>IF($B601="","",ROW()-3)</f>
        <v/>
      </c>
      <c r="B601" s="18" t="n">
        <v>46198</v>
      </c>
      <c r="C601" s="13" t="inlineStr">
        <is>
          <t>微信1</t>
        </is>
      </c>
      <c r="D601" s="13" t="inlineStr">
        <is>
          <t>支出</t>
        </is>
      </c>
      <c r="E601" s="13" t="inlineStr">
        <is>
          <t>运费/快递费</t>
        </is>
      </c>
      <c r="F601" s="17">
        <f>IF($E601="","",IFERROR(VLOOKUP($E601,类别归属,2,0),"※类别不在基础资料里"))</f>
        <v/>
      </c>
      <c r="G601" s="13" t="n"/>
      <c r="H601" s="13" t="inlineStr">
        <is>
          <t>北京京邦达贸易有限</t>
        </is>
      </c>
      <c r="I601" s="13" t="inlineStr">
        <is>
          <t>北京京邦达贸易有限公司</t>
        </is>
      </c>
      <c r="J601" s="14" t="n"/>
      <c r="K601" s="14" t="n">
        <v>23.6</v>
      </c>
      <c r="L601" s="19">
        <f>IF($C601="","",ROUND(IFERROR(VLOOKUP($C601,账户期初,2,0),0)+SUMIFS($J$4:J601,$C$4:C601,$C601)-SUMIFS($K$4:K601,$C$4:C601,$C601),2))</f>
        <v/>
      </c>
      <c r="M601" s="19">
        <f>IF($C601="","",ROUND(SUM(基础资料!$B$4:$B$13)+SUM($J$4:J601)-SUM($K$4:K601),2))</f>
        <v/>
      </c>
      <c r="N601" s="13" t="n"/>
      <c r="O601" s="13" t="n"/>
      <c r="P601" s="17">
        <f>IF($B601="","",IF($F601="※类别不在基础资料里","※费用类别不在基础资料里",IF(AND(N($J601)=0,N($K601)=0),"※这行没填金额",IF(AND(N($J601)&gt;0,N($K601)&gt;0),"※收入和支出不能同一行都填",IF(AND($D601="收入",N($J601)=0),"※收入行要填收入金额",IF(AND($D601="支出",N($K601)=0),"※支出行要填支出金额",IF(AND($C601&lt;&gt;"",ISNA(MATCH($C601,账户表,0))),"※账户不在基础资料里",IF(AND($G601&lt;&gt;"",ISNA(MATCH($G601,项目名表,0))),"※项目不在项目台账里",IF(AND(LEFT($F601,3)="成本-",$G601=""),"※成本类支出没填项目",IF(AND(LEFT($F601,3)="成本-",$H601&lt;&gt;"",N($K601)&gt;0,COUNTIFS(采购单!$B:$B,$B601,采购单!$C:$C,$H601,采购单!$L:$L,$K601)&gt;0),"※这笔可能和采购单重复了",""))))))))))</f>
        <v/>
      </c>
    </row>
    <row r="602">
      <c r="A602" s="17">
        <f>IF($B602="","",ROW()-3)</f>
        <v/>
      </c>
      <c r="B602" s="18" t="n">
        <v>46198</v>
      </c>
      <c r="C602" s="13" t="inlineStr">
        <is>
          <t>微信1</t>
        </is>
      </c>
      <c r="D602" s="13" t="inlineStr">
        <is>
          <t>支出</t>
        </is>
      </c>
      <c r="E602" s="13" t="inlineStr">
        <is>
          <t>通讯费</t>
        </is>
      </c>
      <c r="F602" s="17">
        <f>IF($E602="","",IFERROR(VLOOKUP($E602,类别归属,2,0),"※类别不在基础资料里"))</f>
        <v/>
      </c>
      <c r="G602" s="13" t="n"/>
      <c r="H602" s="13" t="n"/>
      <c r="I602" s="13" t="inlineStr">
        <is>
          <t>中国移动</t>
        </is>
      </c>
      <c r="J602" s="14" t="n"/>
      <c r="K602" s="14" t="n">
        <v>50</v>
      </c>
      <c r="L602" s="19">
        <f>IF($C602="","",ROUND(IFERROR(VLOOKUP($C602,账户期初,2,0),0)+SUMIFS($J$4:J602,$C$4:C602,$C602)-SUMIFS($K$4:K602,$C$4:C602,$C602),2))</f>
        <v/>
      </c>
      <c r="M602" s="19">
        <f>IF($C602="","",ROUND(SUM(基础资料!$B$4:$B$13)+SUM($J$4:J602)-SUM($K$4:K602),2))</f>
        <v/>
      </c>
      <c r="N602" s="13" t="n"/>
      <c r="O602" s="13" t="n"/>
      <c r="P602" s="17">
        <f>IF($B602="","",IF($F602="※类别不在基础资料里","※费用类别不在基础资料里",IF(AND(N($J602)=0,N($K602)=0),"※这行没填金额",IF(AND(N($J602)&gt;0,N($K602)&gt;0),"※收入和支出不能同一行都填",IF(AND($D602="收入",N($J602)=0),"※收入行要填收入金额",IF(AND($D602="支出",N($K602)=0),"※支出行要填支出金额",IF(AND($C602&lt;&gt;"",ISNA(MATCH($C602,账户表,0))),"※账户不在基础资料里",IF(AND($G602&lt;&gt;"",ISNA(MATCH($G602,项目名表,0))),"※项目不在项目台账里",IF(AND(LEFT($F602,3)="成本-",$G602=""),"※成本类支出没填项目",IF(AND(LEFT($F602,3)="成本-",$H602&lt;&gt;"",N($K602)&gt;0,COUNTIFS(采购单!$B:$B,$B602,采购单!$C:$C,$H602,采购单!$L:$L,$K602)&gt;0),"※这笔可能和采购单重复了",""))))))))))</f>
        <v/>
      </c>
    </row>
    <row r="603">
      <c r="A603" s="17">
        <f>IF($B603="","",ROW()-3)</f>
        <v/>
      </c>
      <c r="B603" s="18" t="n">
        <v>46199</v>
      </c>
      <c r="C603" s="13" t="inlineStr">
        <is>
          <t>微信1</t>
        </is>
      </c>
      <c r="D603" s="13" t="inlineStr">
        <is>
          <t>支出</t>
        </is>
      </c>
      <c r="E603" s="13" t="inlineStr">
        <is>
          <t>待分类</t>
        </is>
      </c>
      <c r="F603" s="17">
        <f>IF($E603="","",IFERROR(VLOOKUP($E603,类别归属,2,0),"※类别不在基础资料里"))</f>
        <v/>
      </c>
      <c r="G603" s="13" t="n"/>
      <c r="H603" s="13" t="n"/>
      <c r="I603" s="13" t="inlineStr">
        <is>
          <t>杨德 (往后余生)</t>
        </is>
      </c>
      <c r="J603" s="14" t="n"/>
      <c r="K603" s="14" t="n">
        <v>1276</v>
      </c>
      <c r="L603" s="19">
        <f>IF($C603="","",ROUND(IFERROR(VLOOKUP($C603,账户期初,2,0),0)+SUMIFS($J$4:J603,$C$4:C603,$C603)-SUMIFS($K$4:K603,$C$4:C603,$C603),2))</f>
        <v/>
      </c>
      <c r="M603" s="19">
        <f>IF($C603="","",ROUND(SUM(基础资料!$B$4:$B$13)+SUM($J$4:J603)-SUM($K$4:K603),2))</f>
        <v/>
      </c>
      <c r="N603" s="13" t="n"/>
      <c r="O603" s="13" t="n"/>
      <c r="P603" s="17">
        <f>IF($B603="","",IF($F603="※类别不在基础资料里","※费用类别不在基础资料里",IF(AND(N($J603)=0,N($K603)=0),"※这行没填金额",IF(AND(N($J603)&gt;0,N($K603)&gt;0),"※收入和支出不能同一行都填",IF(AND($D603="收入",N($J603)=0),"※收入行要填收入金额",IF(AND($D603="支出",N($K603)=0),"※支出行要填支出金额",IF(AND($C603&lt;&gt;"",ISNA(MATCH($C603,账户表,0))),"※账户不在基础资料里",IF(AND($G603&lt;&gt;"",ISNA(MATCH($G603,项目名表,0))),"※项目不在项目台账里",IF(AND(LEFT($F603,3)="成本-",$G603=""),"※成本类支出没填项目",IF(AND(LEFT($F603,3)="成本-",$H603&lt;&gt;"",N($K603)&gt;0,COUNTIFS(采购单!$B:$B,$B603,采购单!$C:$C,$H603,采购单!$L:$L,$K603)&gt;0),"※这笔可能和采购单重复了",""))))))))))</f>
        <v/>
      </c>
    </row>
    <row r="604">
      <c r="A604" s="17">
        <f>IF($B604="","",ROW()-3)</f>
        <v/>
      </c>
      <c r="B604" s="18" t="n">
        <v>46199</v>
      </c>
      <c r="C604" s="13" t="inlineStr">
        <is>
          <t>微信1</t>
        </is>
      </c>
      <c r="D604" s="13" t="inlineStr">
        <is>
          <t>支出</t>
        </is>
      </c>
      <c r="E604" s="13" t="inlineStr">
        <is>
          <t>运费/快递费</t>
        </is>
      </c>
      <c r="F604" s="17">
        <f>IF($E604="","",IFERROR(VLOOKUP($E604,类别归属,2,0),"※类别不在基础资料里"))</f>
        <v/>
      </c>
      <c r="G604" s="13" t="n"/>
      <c r="H604" s="13" t="n"/>
      <c r="I604" s="13" t="inlineStr">
        <is>
          <t>杭州炳秀湖州26-28武晓军 (杭州炳秀湖州26-28武晓军)</t>
        </is>
      </c>
      <c r="J604" s="14" t="n"/>
      <c r="K604" s="14" t="n">
        <v>141</v>
      </c>
      <c r="L604" s="19">
        <f>IF($C604="","",ROUND(IFERROR(VLOOKUP($C604,账户期初,2,0),0)+SUMIFS($J$4:J604,$C$4:C604,$C604)-SUMIFS($K$4:K604,$C$4:C604,$C604),2))</f>
        <v/>
      </c>
      <c r="M604" s="19">
        <f>IF($C604="","",ROUND(SUM(基础资料!$B$4:$B$13)+SUM($J$4:J604)-SUM($K$4:K604),2))</f>
        <v/>
      </c>
      <c r="N604" s="13" t="n"/>
      <c r="O604" s="13" t="n"/>
      <c r="P604" s="17">
        <f>IF($B604="","",IF($F604="※类别不在基础资料里","※费用类别不在基础资料里",IF(AND(N($J604)=0,N($K604)=0),"※这行没填金额",IF(AND(N($J604)&gt;0,N($K604)&gt;0),"※收入和支出不能同一行都填",IF(AND($D604="收入",N($J604)=0),"※收入行要填收入金额",IF(AND($D604="支出",N($K604)=0),"※支出行要填支出金额",IF(AND($C604&lt;&gt;"",ISNA(MATCH($C604,账户表,0))),"※账户不在基础资料里",IF(AND($G604&lt;&gt;"",ISNA(MATCH($G604,项目名表,0))),"※项目不在项目台账里",IF(AND(LEFT($F604,3)="成本-",$G604=""),"※成本类支出没填项目",IF(AND(LEFT($F604,3)="成本-",$H604&lt;&gt;"",N($K604)&gt;0,COUNTIFS(采购单!$B:$B,$B604,采购单!$C:$C,$H604,采购单!$L:$L,$K604)&gt;0),"※这笔可能和采购单重复了",""))))))))))</f>
        <v/>
      </c>
    </row>
    <row r="605">
      <c r="A605" s="17">
        <f>IF($B605="","",ROW()-3)</f>
        <v/>
      </c>
      <c r="B605" s="18" t="n">
        <v>46199</v>
      </c>
      <c r="C605" s="13" t="inlineStr">
        <is>
          <t>微信1</t>
        </is>
      </c>
      <c r="D605" s="13" t="inlineStr">
        <is>
          <t>支出</t>
        </is>
      </c>
      <c r="E605" s="13" t="inlineStr">
        <is>
          <t>网购材料耗材</t>
        </is>
      </c>
      <c r="F605" s="17">
        <f>IF($E605="","",IFERROR(VLOOKUP($E605,类别归属,2,0),"※类别不在基础资料里"))</f>
        <v/>
      </c>
      <c r="G605" s="13" t="n"/>
      <c r="H605" s="13" t="inlineStr">
        <is>
          <t>拼多多</t>
        </is>
      </c>
      <c r="I605" s="13" t="inlineStr">
        <is>
          <t>拼多多平台商户</t>
        </is>
      </c>
      <c r="J605" s="14" t="n"/>
      <c r="K605" s="14" t="n">
        <v>30.75</v>
      </c>
      <c r="L605" s="19">
        <f>IF($C605="","",ROUND(IFERROR(VLOOKUP($C605,账户期初,2,0),0)+SUMIFS($J$4:J605,$C$4:C605,$C605)-SUMIFS($K$4:K605,$C$4:C605,$C605),2))</f>
        <v/>
      </c>
      <c r="M605" s="19">
        <f>IF($C605="","",ROUND(SUM(基础资料!$B$4:$B$13)+SUM($J$4:J605)-SUM($K$4:K605),2))</f>
        <v/>
      </c>
      <c r="N605" s="13" t="n"/>
      <c r="O605" s="13" t="n"/>
      <c r="P605" s="17">
        <f>IF($B605="","",IF($F605="※类别不在基础资料里","※费用类别不在基础资料里",IF(AND(N($J605)=0,N($K605)=0),"※这行没填金额",IF(AND(N($J605)&gt;0,N($K605)&gt;0),"※收入和支出不能同一行都填",IF(AND($D605="收入",N($J605)=0),"※收入行要填收入金额",IF(AND($D605="支出",N($K605)=0),"※支出行要填支出金额",IF(AND($C605&lt;&gt;"",ISNA(MATCH($C605,账户表,0))),"※账户不在基础资料里",IF(AND($G605&lt;&gt;"",ISNA(MATCH($G605,项目名表,0))),"※项目不在项目台账里",IF(AND(LEFT($F605,3)="成本-",$G605=""),"※成本类支出没填项目",IF(AND(LEFT($F605,3)="成本-",$H605&lt;&gt;"",N($K605)&gt;0,COUNTIFS(采购单!$B:$B,$B605,采购单!$C:$C,$H605,采购单!$L:$L,$K605)&gt;0),"※这笔可能和采购单重复了",""))))))))))</f>
        <v/>
      </c>
    </row>
    <row r="606">
      <c r="A606" s="17">
        <f>IF($B606="","",ROW()-3)</f>
        <v/>
      </c>
      <c r="B606" s="18" t="n">
        <v>46200</v>
      </c>
      <c r="C606" s="13" t="inlineStr">
        <is>
          <t>微信1</t>
        </is>
      </c>
      <c r="D606" s="13" t="inlineStr">
        <is>
          <t>支出</t>
        </is>
      </c>
      <c r="E606" s="13" t="inlineStr">
        <is>
          <t>车费/油费/过路费</t>
        </is>
      </c>
      <c r="F606" s="17">
        <f>IF($E606="","",IFERROR(VLOOKUP($E606,类别归属,2,0),"※类别不在基础资料里"))</f>
        <v/>
      </c>
      <c r="G606" s="13" t="n"/>
      <c r="H606" s="13" t="n"/>
      <c r="I606" s="13" t="inlineStr">
        <is>
          <t>滴滴出行</t>
        </is>
      </c>
      <c r="J606" s="14" t="n"/>
      <c r="K606" s="14" t="n">
        <v>3</v>
      </c>
      <c r="L606" s="19">
        <f>IF($C606="","",ROUND(IFERROR(VLOOKUP($C606,账户期初,2,0),0)+SUMIFS($J$4:J606,$C$4:C606,$C606)-SUMIFS($K$4:K606,$C$4:C606,$C606),2))</f>
        <v/>
      </c>
      <c r="M606" s="19">
        <f>IF($C606="","",ROUND(SUM(基础资料!$B$4:$B$13)+SUM($J$4:J606)-SUM($K$4:K606),2))</f>
        <v/>
      </c>
      <c r="N606" s="13" t="n"/>
      <c r="O606" s="13" t="n"/>
      <c r="P606" s="17">
        <f>IF($B606="","",IF($F606="※类别不在基础资料里","※费用类别不在基础资料里",IF(AND(N($J606)=0,N($K606)=0),"※这行没填金额",IF(AND(N($J606)&gt;0,N($K606)&gt;0),"※收入和支出不能同一行都填",IF(AND($D606="收入",N($J606)=0),"※收入行要填收入金额",IF(AND($D606="支出",N($K606)=0),"※支出行要填支出金额",IF(AND($C606&lt;&gt;"",ISNA(MATCH($C606,账户表,0))),"※账户不在基础资料里",IF(AND($G606&lt;&gt;"",ISNA(MATCH($G606,项目名表,0))),"※项目不在项目台账里",IF(AND(LEFT($F606,3)="成本-",$G606=""),"※成本类支出没填项目",IF(AND(LEFT($F606,3)="成本-",$H606&lt;&gt;"",N($K606)&gt;0,COUNTIFS(采购单!$B:$B,$B606,采购单!$C:$C,$H606,采购单!$L:$L,$K606)&gt;0),"※这笔可能和采购单重复了",""))))))))))</f>
        <v/>
      </c>
    </row>
    <row r="607">
      <c r="A607" s="17">
        <f>IF($B607="","",ROW()-3)</f>
        <v/>
      </c>
      <c r="B607" s="18" t="n">
        <v>46200</v>
      </c>
      <c r="C607" s="13" t="inlineStr">
        <is>
          <t>微信1</t>
        </is>
      </c>
      <c r="D607" s="13" t="inlineStr">
        <is>
          <t>支出</t>
        </is>
      </c>
      <c r="E607" s="13" t="inlineStr">
        <is>
          <t>车费/油费/过路费</t>
        </is>
      </c>
      <c r="F607" s="17">
        <f>IF($E607="","",IFERROR(VLOOKUP($E607,类别归属,2,0),"※类别不在基础资料里"))</f>
        <v/>
      </c>
      <c r="G607" s="13" t="n"/>
      <c r="H607" s="13" t="n"/>
      <c r="I607" s="13" t="inlineStr">
        <is>
          <t>滴滴出行</t>
        </is>
      </c>
      <c r="J607" s="14" t="n"/>
      <c r="K607" s="14" t="n">
        <v>19.09</v>
      </c>
      <c r="L607" s="19">
        <f>IF($C607="","",ROUND(IFERROR(VLOOKUP($C607,账户期初,2,0),0)+SUMIFS($J$4:J607,$C$4:C607,$C607)-SUMIFS($K$4:K607,$C$4:C607,$C607),2))</f>
        <v/>
      </c>
      <c r="M607" s="19">
        <f>IF($C607="","",ROUND(SUM(基础资料!$B$4:$B$13)+SUM($J$4:J607)-SUM($K$4:K607),2))</f>
        <v/>
      </c>
      <c r="N607" s="13" t="n"/>
      <c r="O607" s="13" t="n"/>
      <c r="P607" s="17">
        <f>IF($B607="","",IF($F607="※类别不在基础资料里","※费用类别不在基础资料里",IF(AND(N($J607)=0,N($K607)=0),"※这行没填金额",IF(AND(N($J607)&gt;0,N($K607)&gt;0),"※收入和支出不能同一行都填",IF(AND($D607="收入",N($J607)=0),"※收入行要填收入金额",IF(AND($D607="支出",N($K607)=0),"※支出行要填支出金额",IF(AND($C607&lt;&gt;"",ISNA(MATCH($C607,账户表,0))),"※账户不在基础资料里",IF(AND($G607&lt;&gt;"",ISNA(MATCH($G607,项目名表,0))),"※项目不在项目台账里",IF(AND(LEFT($F607,3)="成本-",$G607=""),"※成本类支出没填项目",IF(AND(LEFT($F607,3)="成本-",$H607&lt;&gt;"",N($K607)&gt;0,COUNTIFS(采购单!$B:$B,$B607,采购单!$C:$C,$H607,采购单!$L:$L,$K607)&gt;0),"※这笔可能和采购单重复了",""))))))))))</f>
        <v/>
      </c>
    </row>
    <row r="608">
      <c r="A608" s="17">
        <f>IF($B608="","",ROW()-3)</f>
        <v/>
      </c>
      <c r="B608" s="18" t="n">
        <v>46200</v>
      </c>
      <c r="C608" s="13" t="inlineStr">
        <is>
          <t>微信1</t>
        </is>
      </c>
      <c r="D608" s="13" t="inlineStr">
        <is>
          <t>支出</t>
        </is>
      </c>
      <c r="E608" s="13" t="inlineStr">
        <is>
          <t>主材采购</t>
        </is>
      </c>
      <c r="F608" s="17">
        <f>IF($E608="","",IFERROR(VLOOKUP($E608,类别归属,2,0),"※类别不在基础资料里"))</f>
        <v/>
      </c>
      <c r="G608" s="13" t="n"/>
      <c r="H608" s="13" t="inlineStr">
        <is>
          <t>安吉鑫龙</t>
        </is>
      </c>
      <c r="I608" s="13" t="inlineStr">
        <is>
          <t>安吉鑫龙 6.8米UV💞甜蜜方糖 (安吉鑫龙 6.8米UV💞甜蜜方糖)</t>
        </is>
      </c>
      <c r="J608" s="14" t="n"/>
      <c r="K608" s="14" t="n">
        <v>29</v>
      </c>
      <c r="L608" s="19">
        <f>IF($C608="","",ROUND(IFERROR(VLOOKUP($C608,账户期初,2,0),0)+SUMIFS($J$4:J608,$C$4:C608,$C608)-SUMIFS($K$4:K608,$C$4:C608,$C608),2))</f>
        <v/>
      </c>
      <c r="M608" s="19">
        <f>IF($C608="","",ROUND(SUM(基础资料!$B$4:$B$13)+SUM($J$4:J608)-SUM($K$4:K608),2))</f>
        <v/>
      </c>
      <c r="N608" s="13" t="n"/>
      <c r="O608" s="13" t="n"/>
      <c r="P608" s="17">
        <f>IF($B608="","",IF($F608="※类别不在基础资料里","※费用类别不在基础资料里",IF(AND(N($J608)=0,N($K608)=0),"※这行没填金额",IF(AND(N($J608)&gt;0,N($K608)&gt;0),"※收入和支出不能同一行都填",IF(AND($D608="收入",N($J608)=0),"※收入行要填收入金额",IF(AND($D608="支出",N($K608)=0),"※支出行要填支出金额",IF(AND($C608&lt;&gt;"",ISNA(MATCH($C608,账户表,0))),"※账户不在基础资料里",IF(AND($G608&lt;&gt;"",ISNA(MATCH($G608,项目名表,0))),"※项目不在项目台账里",IF(AND(LEFT($F608,3)="成本-",$G608=""),"※成本类支出没填项目",IF(AND(LEFT($F608,3)="成本-",$H608&lt;&gt;"",N($K608)&gt;0,COUNTIFS(采购单!$B:$B,$B608,采购单!$C:$C,$H608,采购单!$L:$L,$K608)&gt;0),"※这笔可能和采购单重复了",""))))))))))</f>
        <v/>
      </c>
    </row>
    <row r="609">
      <c r="A609" s="17">
        <f>IF($B609="","",ROW()-3)</f>
        <v/>
      </c>
      <c r="B609" s="18" t="n">
        <v>46200</v>
      </c>
      <c r="C609" s="13" t="inlineStr">
        <is>
          <t>微信1</t>
        </is>
      </c>
      <c r="D609" s="13" t="inlineStr">
        <is>
          <t>支出</t>
        </is>
      </c>
      <c r="E609" s="13" t="inlineStr">
        <is>
          <t>主材采购</t>
        </is>
      </c>
      <c r="F609" s="17">
        <f>IF($E609="","",IFERROR(VLOOKUP($E609,类别归属,2,0),"※类别不在基础资料里"))</f>
        <v/>
      </c>
      <c r="G609" s="13" t="n"/>
      <c r="H609" s="13" t="inlineStr">
        <is>
          <t>安吉鑫龙</t>
        </is>
      </c>
      <c r="I609" s="13" t="inlineStr">
        <is>
          <t>安吉鑫龙 6.8米UV💞甜蜜方糖 (安吉鑫龙 6.8米UV💞甜蜜方糖)</t>
        </is>
      </c>
      <c r="J609" s="14" t="n"/>
      <c r="K609" s="14" t="n">
        <v>172</v>
      </c>
      <c r="L609" s="19">
        <f>IF($C609="","",ROUND(IFERROR(VLOOKUP($C609,账户期初,2,0),0)+SUMIFS($J$4:J609,$C$4:C609,$C609)-SUMIFS($K$4:K609,$C$4:C609,$C609),2))</f>
        <v/>
      </c>
      <c r="M609" s="19">
        <f>IF($C609="","",ROUND(SUM(基础资料!$B$4:$B$13)+SUM($J$4:J609)-SUM($K$4:K609),2))</f>
        <v/>
      </c>
      <c r="N609" s="13" t="n"/>
      <c r="O609" s="13" t="n"/>
      <c r="P609" s="17">
        <f>IF($B609="","",IF($F609="※类别不在基础资料里","※费用类别不在基础资料里",IF(AND(N($J609)=0,N($K609)=0),"※这行没填金额",IF(AND(N($J609)&gt;0,N($K609)&gt;0),"※收入和支出不能同一行都填",IF(AND($D609="收入",N($J609)=0),"※收入行要填收入金额",IF(AND($D609="支出",N($K609)=0),"※支出行要填支出金额",IF(AND($C609&lt;&gt;"",ISNA(MATCH($C609,账户表,0))),"※账户不在基础资料里",IF(AND($G609&lt;&gt;"",ISNA(MATCH($G609,项目名表,0))),"※项目不在项目台账里",IF(AND(LEFT($F609,3)="成本-",$G609=""),"※成本类支出没填项目",IF(AND(LEFT($F609,3)="成本-",$H609&lt;&gt;"",N($K609)&gt;0,COUNTIFS(采购单!$B:$B,$B609,采购单!$C:$C,$H609,采购单!$L:$L,$K609)&gt;0),"※这笔可能和采购单重复了",""))))))))))</f>
        <v/>
      </c>
    </row>
    <row r="610">
      <c r="A610" s="17">
        <f>IF($B610="","",ROW()-3)</f>
        <v/>
      </c>
      <c r="B610" s="18" t="n">
        <v>46200</v>
      </c>
      <c r="C610" s="13" t="inlineStr">
        <is>
          <t>微信1</t>
        </is>
      </c>
      <c r="D610" s="13" t="inlineStr">
        <is>
          <t>支出</t>
        </is>
      </c>
      <c r="E610" s="13" t="inlineStr">
        <is>
          <t>运费/快递费</t>
        </is>
      </c>
      <c r="F610" s="17">
        <f>IF($E610="","",IFERROR(VLOOKUP($E610,类别归属,2,0),"※类别不在基础资料里"))</f>
        <v/>
      </c>
      <c r="G610" s="13" t="n"/>
      <c r="H610" s="13" t="n"/>
      <c r="I610" s="13" t="inlineStr">
        <is>
          <t>杭州炳秀湖州26-28武晓军 (杭州炳秀湖州26-28武晓军)</t>
        </is>
      </c>
      <c r="J610" s="14" t="n"/>
      <c r="K610" s="14" t="n">
        <v>15</v>
      </c>
      <c r="L610" s="19">
        <f>IF($C610="","",ROUND(IFERROR(VLOOKUP($C610,账户期初,2,0),0)+SUMIFS($J$4:J610,$C$4:C610,$C610)-SUMIFS($K$4:K610,$C$4:C610,$C610),2))</f>
        <v/>
      </c>
      <c r="M610" s="19">
        <f>IF($C610="","",ROUND(SUM(基础资料!$B$4:$B$13)+SUM($J$4:J610)-SUM($K$4:K610),2))</f>
        <v/>
      </c>
      <c r="N610" s="13" t="n"/>
      <c r="O610" s="13" t="n"/>
      <c r="P610" s="17">
        <f>IF($B610="","",IF($F610="※类别不在基础资料里","※费用类别不在基础资料里",IF(AND(N($J610)=0,N($K610)=0),"※这行没填金额",IF(AND(N($J610)&gt;0,N($K610)&gt;0),"※收入和支出不能同一行都填",IF(AND($D610="收入",N($J610)=0),"※收入行要填收入金额",IF(AND($D610="支出",N($K610)=0),"※支出行要填支出金额",IF(AND($C610&lt;&gt;"",ISNA(MATCH($C610,账户表,0))),"※账户不在基础资料里",IF(AND($G610&lt;&gt;"",ISNA(MATCH($G610,项目名表,0))),"※项目不在项目台账里",IF(AND(LEFT($F610,3)="成本-",$G610=""),"※成本类支出没填项目",IF(AND(LEFT($F610,3)="成本-",$H610&lt;&gt;"",N($K610)&gt;0,COUNTIFS(采购单!$B:$B,$B610,采购单!$C:$C,$H610,采购单!$L:$L,$K610)&gt;0),"※这笔可能和采购单重复了",""))))))))))</f>
        <v/>
      </c>
    </row>
    <row r="611">
      <c r="A611" s="17">
        <f>IF($B611="","",ROW()-3)</f>
        <v/>
      </c>
      <c r="B611" s="18" t="n">
        <v>46200</v>
      </c>
      <c r="C611" s="13" t="inlineStr">
        <is>
          <t>微信1</t>
        </is>
      </c>
      <c r="D611" s="13" t="inlineStr">
        <is>
          <t>收入</t>
        </is>
      </c>
      <c r="E611" s="13" t="inlineStr">
        <is>
          <t>待分类</t>
        </is>
      </c>
      <c r="F611" s="17">
        <f>IF($E611="","",IFERROR(VLOOKUP($E611,类别归属,2,0),"※类别不在基础资料里"))</f>
        <v/>
      </c>
      <c r="G611" s="13" t="n"/>
      <c r="H611" s="13" t="n"/>
      <c r="I611" s="13" t="inlineStr">
        <is>
          <t>九月。 (九月。)</t>
        </is>
      </c>
      <c r="J611" s="14" t="n">
        <v>1500</v>
      </c>
      <c r="K611" s="14" t="n"/>
      <c r="L611" s="19">
        <f>IF($C611="","",ROUND(IFERROR(VLOOKUP($C611,账户期初,2,0),0)+SUMIFS($J$4:J611,$C$4:C611,$C611)-SUMIFS($K$4:K611,$C$4:C611,$C611),2))</f>
        <v/>
      </c>
      <c r="M611" s="19">
        <f>IF($C611="","",ROUND(SUM(基础资料!$B$4:$B$13)+SUM($J$4:J611)-SUM($K$4:K611),2))</f>
        <v/>
      </c>
      <c r="N611" s="13" t="n"/>
      <c r="O611" s="13" t="n"/>
      <c r="P611" s="17">
        <f>IF($B611="","",IF($F611="※类别不在基础资料里","※费用类别不在基础资料里",IF(AND(N($J611)=0,N($K611)=0),"※这行没填金额",IF(AND(N($J611)&gt;0,N($K611)&gt;0),"※收入和支出不能同一行都填",IF(AND($D611="收入",N($J611)=0),"※收入行要填收入金额",IF(AND($D611="支出",N($K611)=0),"※支出行要填支出金额",IF(AND($C611&lt;&gt;"",ISNA(MATCH($C611,账户表,0))),"※账户不在基础资料里",IF(AND($G611&lt;&gt;"",ISNA(MATCH($G611,项目名表,0))),"※项目不在项目台账里",IF(AND(LEFT($F611,3)="成本-",$G611=""),"※成本类支出没填项目",IF(AND(LEFT($F611,3)="成本-",$H611&lt;&gt;"",N($K611)&gt;0,COUNTIFS(采购单!$B:$B,$B611,采购单!$C:$C,$H611,采购单!$L:$L,$K611)&gt;0),"※这笔可能和采购单重复了",""))))))))))</f>
        <v/>
      </c>
    </row>
    <row r="612">
      <c r="A612" s="17">
        <f>IF($B612="","",ROW()-3)</f>
        <v/>
      </c>
      <c r="B612" s="18" t="n">
        <v>46201</v>
      </c>
      <c r="C612" s="13" t="inlineStr">
        <is>
          <t>微信1</t>
        </is>
      </c>
      <c r="D612" s="13" t="inlineStr">
        <is>
          <t>支出</t>
        </is>
      </c>
      <c r="E612" s="13" t="inlineStr">
        <is>
          <t>运费/快递费</t>
        </is>
      </c>
      <c r="F612" s="17">
        <f>IF($E612="","",IFERROR(VLOOKUP($E612,类别归属,2,0),"※类别不在基础资料里"))</f>
        <v/>
      </c>
      <c r="G612" s="13" t="n"/>
      <c r="H612" s="13" t="n"/>
      <c r="I612" s="13" t="inlineStr">
        <is>
          <t>杭州炳秀湖州26-28武晓军 (杭州炳秀湖州26-28武晓军)</t>
        </is>
      </c>
      <c r="J612" s="14" t="n"/>
      <c r="K612" s="14" t="n">
        <v>105</v>
      </c>
      <c r="L612" s="19">
        <f>IF($C612="","",ROUND(IFERROR(VLOOKUP($C612,账户期初,2,0),0)+SUMIFS($J$4:J612,$C$4:C612,$C612)-SUMIFS($K$4:K612,$C$4:C612,$C612),2))</f>
        <v/>
      </c>
      <c r="M612" s="19">
        <f>IF($C612="","",ROUND(SUM(基础资料!$B$4:$B$13)+SUM($J$4:J612)-SUM($K$4:K612),2))</f>
        <v/>
      </c>
      <c r="N612" s="13" t="n"/>
      <c r="O612" s="13" t="n"/>
      <c r="P612" s="17">
        <f>IF($B612="","",IF($F612="※类别不在基础资料里","※费用类别不在基础资料里",IF(AND(N($J612)=0,N($K612)=0),"※这行没填金额",IF(AND(N($J612)&gt;0,N($K612)&gt;0),"※收入和支出不能同一行都填",IF(AND($D612="收入",N($J612)=0),"※收入行要填收入金额",IF(AND($D612="支出",N($K612)=0),"※支出行要填支出金额",IF(AND($C612&lt;&gt;"",ISNA(MATCH($C612,账户表,0))),"※账户不在基础资料里",IF(AND($G612&lt;&gt;"",ISNA(MATCH($G612,项目名表,0))),"※项目不在项目台账里",IF(AND(LEFT($F612,3)="成本-",$G612=""),"※成本类支出没填项目",IF(AND(LEFT($F612,3)="成本-",$H612&lt;&gt;"",N($K612)&gt;0,COUNTIFS(采购单!$B:$B,$B612,采购单!$C:$C,$H612,采购单!$L:$L,$K612)&gt;0),"※这笔可能和采购单重复了",""))))))))))</f>
        <v/>
      </c>
    </row>
    <row r="613">
      <c r="A613" s="17">
        <f>IF($B613="","",ROW()-3)</f>
        <v/>
      </c>
      <c r="B613" s="18" t="n">
        <v>46202</v>
      </c>
      <c r="C613" s="13" t="inlineStr">
        <is>
          <t>微信1</t>
        </is>
      </c>
      <c r="D613" s="13" t="inlineStr">
        <is>
          <t>支出</t>
        </is>
      </c>
      <c r="E613" s="13" t="inlineStr">
        <is>
          <t>运费/快递费</t>
        </is>
      </c>
      <c r="F613" s="17">
        <f>IF($E613="","",IFERROR(VLOOKUP($E613,类别归属,2,0),"※类别不在基础资料里"))</f>
        <v/>
      </c>
      <c r="G613" s="13" t="n"/>
      <c r="H613" s="13" t="inlineStr">
        <is>
          <t>北京京邦达贸易有限</t>
        </is>
      </c>
      <c r="I613" s="13" t="inlineStr">
        <is>
          <t>北京京邦达贸易有限公司</t>
        </is>
      </c>
      <c r="J613" s="14" t="n"/>
      <c r="K613" s="14" t="n">
        <v>100.62</v>
      </c>
      <c r="L613" s="19">
        <f>IF($C613="","",ROUND(IFERROR(VLOOKUP($C613,账户期初,2,0),0)+SUMIFS($J$4:J613,$C$4:C613,$C613)-SUMIFS($K$4:K613,$C$4:C613,$C613),2))</f>
        <v/>
      </c>
      <c r="M613" s="19">
        <f>IF($C613="","",ROUND(SUM(基础资料!$B$4:$B$13)+SUM($J$4:J613)-SUM($K$4:K613),2))</f>
        <v/>
      </c>
      <c r="N613" s="13" t="n"/>
      <c r="O613" s="13" t="n"/>
      <c r="P613" s="17">
        <f>IF($B613="","",IF($F613="※类别不在基础资料里","※费用类别不在基础资料里",IF(AND(N($J613)=0,N($K613)=0),"※这行没填金额",IF(AND(N($J613)&gt;0,N($K613)&gt;0),"※收入和支出不能同一行都填",IF(AND($D613="收入",N($J613)=0),"※收入行要填收入金额",IF(AND($D613="支出",N($K613)=0),"※支出行要填支出金额",IF(AND($C613&lt;&gt;"",ISNA(MATCH($C613,账户表,0))),"※账户不在基础资料里",IF(AND($G613&lt;&gt;"",ISNA(MATCH($G613,项目名表,0))),"※项目不在项目台账里",IF(AND(LEFT($F613,3)="成本-",$G613=""),"※成本类支出没填项目",IF(AND(LEFT($F613,3)="成本-",$H613&lt;&gt;"",N($K613)&gt;0,COUNTIFS(采购单!$B:$B,$B613,采购单!$C:$C,$H613,采购单!$L:$L,$K613)&gt;0),"※这笔可能和采购单重复了",""))))))))))</f>
        <v/>
      </c>
    </row>
    <row r="614">
      <c r="A614" s="17">
        <f>IF($B614="","",ROW()-3)</f>
        <v/>
      </c>
      <c r="B614" s="18" t="n">
        <v>46202</v>
      </c>
      <c r="C614" s="13" t="inlineStr">
        <is>
          <t>微信1</t>
        </is>
      </c>
      <c r="D614" s="13" t="inlineStr">
        <is>
          <t>支出</t>
        </is>
      </c>
      <c r="E614" s="13" t="inlineStr">
        <is>
          <t>运费/快递费</t>
        </is>
      </c>
      <c r="F614" s="17">
        <f>IF($E614="","",IFERROR(VLOOKUP($E614,类别归属,2,0),"※类别不在基础资料里"))</f>
        <v/>
      </c>
      <c r="G614" s="13" t="n"/>
      <c r="H614" s="13" t="n"/>
      <c r="I614" s="13" t="inlineStr">
        <is>
          <t>杭州炳秀湖州26-28武晓军 (杭州炳秀湖州26-28武晓军)</t>
        </is>
      </c>
      <c r="J614" s="14" t="n"/>
      <c r="K614" s="14" t="n">
        <v>242</v>
      </c>
      <c r="L614" s="19">
        <f>IF($C614="","",ROUND(IFERROR(VLOOKUP($C614,账户期初,2,0),0)+SUMIFS($J$4:J614,$C$4:C614,$C614)-SUMIFS($K$4:K614,$C$4:C614,$C614),2))</f>
        <v/>
      </c>
      <c r="M614" s="19">
        <f>IF($C614="","",ROUND(SUM(基础资料!$B$4:$B$13)+SUM($J$4:J614)-SUM($K$4:K614),2))</f>
        <v/>
      </c>
      <c r="N614" s="13" t="n"/>
      <c r="O614" s="13" t="n"/>
      <c r="P614" s="17">
        <f>IF($B614="","",IF($F614="※类别不在基础资料里","※费用类别不在基础资料里",IF(AND(N($J614)=0,N($K614)=0),"※这行没填金额",IF(AND(N($J614)&gt;0,N($K614)&gt;0),"※收入和支出不能同一行都填",IF(AND($D614="收入",N($J614)=0),"※收入行要填收入金额",IF(AND($D614="支出",N($K614)=0),"※支出行要填支出金额",IF(AND($C614&lt;&gt;"",ISNA(MATCH($C614,账户表,0))),"※账户不在基础资料里",IF(AND($G614&lt;&gt;"",ISNA(MATCH($G614,项目名表,0))),"※项目不在项目台账里",IF(AND(LEFT($F614,3)="成本-",$G614=""),"※成本类支出没填项目",IF(AND(LEFT($F614,3)="成本-",$H614&lt;&gt;"",N($K614)&gt;0,COUNTIFS(采购单!$B:$B,$B614,采购单!$C:$C,$H614,采购单!$L:$L,$K614)&gt;0),"※这笔可能和采购单重复了",""))))))))))</f>
        <v/>
      </c>
    </row>
    <row r="615">
      <c r="A615" s="17">
        <f>IF($B615="","",ROW()-3)</f>
        <v/>
      </c>
      <c r="B615" s="18" t="n">
        <v>46202</v>
      </c>
      <c r="C615" s="13" t="inlineStr">
        <is>
          <t>微信1</t>
        </is>
      </c>
      <c r="D615" s="13" t="inlineStr">
        <is>
          <t>收入</t>
        </is>
      </c>
      <c r="E615" s="13" t="inlineStr">
        <is>
          <t>待分类</t>
        </is>
      </c>
      <c r="F615" s="17">
        <f>IF($E615="","",IFERROR(VLOOKUP($E615,类别归属,2,0),"※类别不在基础资料里"))</f>
        <v/>
      </c>
      <c r="G615" s="13" t="n"/>
      <c r="H615" s="13" t="n"/>
      <c r="I615" s="13" t="inlineStr">
        <is>
          <t>'+1🤨 (+1🤨)</t>
        </is>
      </c>
      <c r="J615" s="14" t="n">
        <v>400</v>
      </c>
      <c r="K615" s="14" t="n"/>
      <c r="L615" s="19">
        <f>IF($C615="","",ROUND(IFERROR(VLOOKUP($C615,账户期初,2,0),0)+SUMIFS($J$4:J615,$C$4:C615,$C615)-SUMIFS($K$4:K615,$C$4:C615,$C615),2))</f>
        <v/>
      </c>
      <c r="M615" s="19">
        <f>IF($C615="","",ROUND(SUM(基础资料!$B$4:$B$13)+SUM($J$4:J615)-SUM($K$4:K615),2))</f>
        <v/>
      </c>
      <c r="N615" s="13" t="n"/>
      <c r="O615" s="13" t="n"/>
      <c r="P615" s="17">
        <f>IF($B615="","",IF($F615="※类别不在基础资料里","※费用类别不在基础资料里",IF(AND(N($J615)=0,N($K615)=0),"※这行没填金额",IF(AND(N($J615)&gt;0,N($K615)&gt;0),"※收入和支出不能同一行都填",IF(AND($D615="收入",N($J615)=0),"※收入行要填收入金额",IF(AND($D615="支出",N($K615)=0),"※支出行要填支出金额",IF(AND($C615&lt;&gt;"",ISNA(MATCH($C615,账户表,0))),"※账户不在基础资料里",IF(AND($G615&lt;&gt;"",ISNA(MATCH($G615,项目名表,0))),"※项目不在项目台账里",IF(AND(LEFT($F615,3)="成本-",$G615=""),"※成本类支出没填项目",IF(AND(LEFT($F615,3)="成本-",$H615&lt;&gt;"",N($K615)&gt;0,COUNTIFS(采购单!$B:$B,$B615,采购单!$C:$C,$H615,采购单!$L:$L,$K615)&gt;0),"※这笔可能和采购单重复了",""))))))))))</f>
        <v/>
      </c>
    </row>
    <row r="616">
      <c r="A616" s="17">
        <f>IF($B616="","",ROW()-3)</f>
        <v/>
      </c>
      <c r="B616" s="18" t="n">
        <v>46203</v>
      </c>
      <c r="C616" s="13" t="inlineStr">
        <is>
          <t>微信1</t>
        </is>
      </c>
      <c r="D616" s="13" t="inlineStr">
        <is>
          <t>支出</t>
        </is>
      </c>
      <c r="E616" s="13" t="inlineStr">
        <is>
          <t>运费/快递费</t>
        </is>
      </c>
      <c r="F616" s="17">
        <f>IF($E616="","",IFERROR(VLOOKUP($E616,类别归属,2,0),"※类别不在基础资料里"))</f>
        <v/>
      </c>
      <c r="G616" s="13" t="n"/>
      <c r="H616" s="13" t="inlineStr">
        <is>
          <t>顺丰速运</t>
        </is>
      </c>
      <c r="I616" s="13" t="inlineStr">
        <is>
          <t>顺丰速运</t>
        </is>
      </c>
      <c r="J616" s="14" t="n"/>
      <c r="K616" s="14" t="n">
        <v>84</v>
      </c>
      <c r="L616" s="19">
        <f>IF($C616="","",ROUND(IFERROR(VLOOKUP($C616,账户期初,2,0),0)+SUMIFS($J$4:J616,$C$4:C616,$C616)-SUMIFS($K$4:K616,$C$4:C616,$C616),2))</f>
        <v/>
      </c>
      <c r="M616" s="19">
        <f>IF($C616="","",ROUND(SUM(基础资料!$B$4:$B$13)+SUM($J$4:J616)-SUM($K$4:K616),2))</f>
        <v/>
      </c>
      <c r="N616" s="13" t="n"/>
      <c r="O616" s="13" t="n"/>
      <c r="P616" s="17">
        <f>IF($B616="","",IF($F616="※类别不在基础资料里","※费用类别不在基础资料里",IF(AND(N($J616)=0,N($K616)=0),"※这行没填金额",IF(AND(N($J616)&gt;0,N($K616)&gt;0),"※收入和支出不能同一行都填",IF(AND($D616="收入",N($J616)=0),"※收入行要填收入金额",IF(AND($D616="支出",N($K616)=0),"※支出行要填支出金额",IF(AND($C616&lt;&gt;"",ISNA(MATCH($C616,账户表,0))),"※账户不在基础资料里",IF(AND($G616&lt;&gt;"",ISNA(MATCH($G616,项目名表,0))),"※项目不在项目台账里",IF(AND(LEFT($F616,3)="成本-",$G616=""),"※成本类支出没填项目",IF(AND(LEFT($F616,3)="成本-",$H616&lt;&gt;"",N($K616)&gt;0,COUNTIFS(采购单!$B:$B,$B616,采购单!$C:$C,$H616,采购单!$L:$L,$K616)&gt;0),"※这笔可能和采购单重复了",""))))))))))</f>
        <v/>
      </c>
    </row>
    <row r="617">
      <c r="A617" s="17">
        <f>IF($B617="","",ROW()-3)</f>
        <v/>
      </c>
      <c r="B617" s="18" t="n">
        <v>46203</v>
      </c>
      <c r="C617" s="13" t="inlineStr">
        <is>
          <t>微信1</t>
        </is>
      </c>
      <c r="D617" s="13" t="inlineStr">
        <is>
          <t>支出</t>
        </is>
      </c>
      <c r="E617" s="13" t="inlineStr">
        <is>
          <t>待分类</t>
        </is>
      </c>
      <c r="F617" s="17">
        <f>IF($E617="","",IFERROR(VLOOKUP($E617,类别归属,2,0),"※类别不在基础资料里"))</f>
        <v/>
      </c>
      <c r="G617" s="13" t="n"/>
      <c r="H617" s="13" t="n"/>
      <c r="I617" s="13" t="inlineStr">
        <is>
          <t>章凡 (H。)</t>
        </is>
      </c>
      <c r="J617" s="14" t="n"/>
      <c r="K617" s="14" t="n">
        <v>430.5</v>
      </c>
      <c r="L617" s="19">
        <f>IF($C617="","",ROUND(IFERROR(VLOOKUP($C617,账户期初,2,0),0)+SUMIFS($J$4:J617,$C$4:C617,$C617)-SUMIFS($K$4:K617,$C$4:C617,$C617),2))</f>
        <v/>
      </c>
      <c r="M617" s="19">
        <f>IF($C617="","",ROUND(SUM(基础资料!$B$4:$B$13)+SUM($J$4:J617)-SUM($K$4:K617),2))</f>
        <v/>
      </c>
      <c r="N617" s="13" t="n"/>
      <c r="O617" s="13" t="n"/>
      <c r="P617" s="17">
        <f>IF($B617="","",IF($F617="※类别不在基础资料里","※费用类别不在基础资料里",IF(AND(N($J617)=0,N($K617)=0),"※这行没填金额",IF(AND(N($J617)&gt;0,N($K617)&gt;0),"※收入和支出不能同一行都填",IF(AND($D617="收入",N($J617)=0),"※收入行要填收入金额",IF(AND($D617="支出",N($K617)=0),"※支出行要填支出金额",IF(AND($C617&lt;&gt;"",ISNA(MATCH($C617,账户表,0))),"※账户不在基础资料里",IF(AND($G617&lt;&gt;"",ISNA(MATCH($G617,项目名表,0))),"※项目不在项目台账里",IF(AND(LEFT($F617,3)="成本-",$G617=""),"※成本类支出没填项目",IF(AND(LEFT($F617,3)="成本-",$H617&lt;&gt;"",N($K617)&gt;0,COUNTIFS(采购单!$B:$B,$B617,采购单!$C:$C,$H617,采购单!$L:$L,$K617)&gt;0),"※这笔可能和采购单重复了",""))))))))))</f>
        <v/>
      </c>
    </row>
    <row r="618">
      <c r="A618" s="17">
        <f>IF($B618="","",ROW()-3)</f>
        <v/>
      </c>
      <c r="B618" s="18" t="n">
        <v>46203</v>
      </c>
      <c r="C618" s="13" t="inlineStr">
        <is>
          <t>微信1</t>
        </is>
      </c>
      <c r="D618" s="13" t="inlineStr">
        <is>
          <t>支出</t>
        </is>
      </c>
      <c r="E618" s="13" t="inlineStr">
        <is>
          <t>运费/快递费</t>
        </is>
      </c>
      <c r="F618" s="17">
        <f>IF($E618="","",IFERROR(VLOOKUP($E618,类别归属,2,0),"※类别不在基础资料里"))</f>
        <v/>
      </c>
      <c r="G618" s="13" t="n"/>
      <c r="H618" s="13" t="n"/>
      <c r="I618" s="13" t="inlineStr">
        <is>
          <t>杭州炳秀湖州26-28武晓军 (杭州炳秀湖州26-28武晓军)</t>
        </is>
      </c>
      <c r="J618" s="14" t="n"/>
      <c r="K618" s="14" t="n">
        <v>39</v>
      </c>
      <c r="L618" s="19">
        <f>IF($C618="","",ROUND(IFERROR(VLOOKUP($C618,账户期初,2,0),0)+SUMIFS($J$4:J618,$C$4:C618,$C618)-SUMIFS($K$4:K618,$C$4:C618,$C618),2))</f>
        <v/>
      </c>
      <c r="M618" s="19">
        <f>IF($C618="","",ROUND(SUM(基础资料!$B$4:$B$13)+SUM($J$4:J618)-SUM($K$4:K618),2))</f>
        <v/>
      </c>
      <c r="N618" s="13" t="n"/>
      <c r="O618" s="13" t="inlineStr">
        <is>
          <t>6.30止凌宇实存878.49</t>
        </is>
      </c>
      <c r="P618" s="17">
        <f>IF($B618="","",IF($F618="※类别不在基础资料里","※费用类别不在基础资料里",IF(AND(N($J618)=0,N($K618)=0),"※这行没填金额",IF(AND(N($J618)&gt;0,N($K618)&gt;0),"※收入和支出不能同一行都填",IF(AND($D618="收入",N($J618)=0),"※收入行要填收入金额",IF(AND($D618="支出",N($K618)=0),"※支出行要填支出金额",IF(AND($C618&lt;&gt;"",ISNA(MATCH($C618,账户表,0))),"※账户不在基础资料里",IF(AND($G618&lt;&gt;"",ISNA(MATCH($G618,项目名表,0))),"※项目不在项目台账里",IF(AND(LEFT($F618,3)="成本-",$G618=""),"※成本类支出没填项目",IF(AND(LEFT($F618,3)="成本-",$H618&lt;&gt;"",N($K618)&gt;0,COUNTIFS(采购单!$B:$B,$B618,采购单!$C:$C,$H618,采购单!$L:$L,$K618)&gt;0),"※这笔可能和采购单重复了",""))))))))))</f>
        <v/>
      </c>
    </row>
    <row r="619">
      <c r="A619" s="17">
        <f>IF($B619="","",ROW()-3)</f>
        <v/>
      </c>
      <c r="B619" s="18" t="n">
        <v>46204</v>
      </c>
      <c r="C619" s="13" t="inlineStr">
        <is>
          <t>微信1</t>
        </is>
      </c>
      <c r="D619" s="13" t="inlineStr">
        <is>
          <t>收入</t>
        </is>
      </c>
      <c r="E619" s="13" t="inlineStr">
        <is>
          <t>待分类</t>
        </is>
      </c>
      <c r="F619" s="17">
        <f>IF($E619="","",IFERROR(VLOOKUP($E619,类别归属,2,0),"※类别不在基础资料里"))</f>
        <v/>
      </c>
      <c r="G619" s="13" t="n"/>
      <c r="H619" s="13" t="n"/>
      <c r="I619" s="13" t="inlineStr">
        <is>
          <t>'+1🤨 (+1🤨)</t>
        </is>
      </c>
      <c r="J619" s="14" t="n">
        <v>400</v>
      </c>
      <c r="K619" s="14" t="n"/>
      <c r="L619" s="19">
        <f>IF($C619="","",ROUND(IFERROR(VLOOKUP($C619,账户期初,2,0),0)+SUMIFS($J$4:J619,$C$4:C619,$C619)-SUMIFS($K$4:K619,$C$4:C619,$C619),2))</f>
        <v/>
      </c>
      <c r="M619" s="19">
        <f>IF($C619="","",ROUND(SUM(基础资料!$B$4:$B$13)+SUM($J$4:J619)-SUM($K$4:K619),2))</f>
        <v/>
      </c>
      <c r="N619" s="13" t="n"/>
      <c r="O619" s="13" t="n"/>
      <c r="P619" s="17">
        <f>IF($B619="","",IF($F619="※类别不在基础资料里","※费用类别不在基础资料里",IF(AND(N($J619)=0,N($K619)=0),"※这行没填金额",IF(AND(N($J619)&gt;0,N($K619)&gt;0),"※收入和支出不能同一行都填",IF(AND($D619="收入",N($J619)=0),"※收入行要填收入金额",IF(AND($D619="支出",N($K619)=0),"※支出行要填支出金额",IF(AND($C619&lt;&gt;"",ISNA(MATCH($C619,账户表,0))),"※账户不在基础资料里",IF(AND($G619&lt;&gt;"",ISNA(MATCH($G619,项目名表,0))),"※项目不在项目台账里",IF(AND(LEFT($F619,3)="成本-",$G619=""),"※成本类支出没填项目",IF(AND(LEFT($F619,3)="成本-",$H619&lt;&gt;"",N($K619)&gt;0,COUNTIFS(采购单!$B:$B,$B619,采购单!$C:$C,$H619,采购单!$L:$L,$K619)&gt;0),"※这笔可能和采购单重复了",""))))))))))</f>
        <v/>
      </c>
    </row>
    <row r="620">
      <c r="A620" s="17">
        <f>IF($B620="","",ROW()-3)</f>
        <v/>
      </c>
      <c r="B620" s="18" t="n">
        <v>46204</v>
      </c>
      <c r="C620" s="13" t="inlineStr">
        <is>
          <t>微信1</t>
        </is>
      </c>
      <c r="D620" s="13" t="inlineStr">
        <is>
          <t>收入</t>
        </is>
      </c>
      <c r="E620" s="13" t="inlineStr">
        <is>
          <t>待分类</t>
        </is>
      </c>
      <c r="F620" s="17">
        <f>IF($E620="","",IFERROR(VLOOKUP($E620,类别归属,2,0),"※类别不在基础资料里"))</f>
        <v/>
      </c>
      <c r="G620" s="13" t="n"/>
      <c r="H620" s="13" t="n"/>
      <c r="I620" s="13" t="inlineStr">
        <is>
          <t>诚信经营-杨记烧烤介绍 (〔孜燃乡〕鲜货烧烤烤鱼)</t>
        </is>
      </c>
      <c r="J620" s="14" t="n">
        <v>3000</v>
      </c>
      <c r="K620" s="14" t="n"/>
      <c r="L620" s="19">
        <f>IF($C620="","",ROUND(IFERROR(VLOOKUP($C620,账户期初,2,0),0)+SUMIFS($J$4:J620,$C$4:C620,$C620)-SUMIFS($K$4:K620,$C$4:C620,$C620),2))</f>
        <v/>
      </c>
      <c r="M620" s="19">
        <f>IF($C620="","",ROUND(SUM(基础资料!$B$4:$B$13)+SUM($J$4:J620)-SUM($K$4:K620),2))</f>
        <v/>
      </c>
      <c r="N620" s="13" t="n"/>
      <c r="O620" s="13" t="n"/>
      <c r="P620" s="17">
        <f>IF($B620="","",IF($F620="※类别不在基础资料里","※费用类别不在基础资料里",IF(AND(N($J620)=0,N($K620)=0),"※这行没填金额",IF(AND(N($J620)&gt;0,N($K620)&gt;0),"※收入和支出不能同一行都填",IF(AND($D620="收入",N($J620)=0),"※收入行要填收入金额",IF(AND($D620="支出",N($K620)=0),"※支出行要填支出金额",IF(AND($C620&lt;&gt;"",ISNA(MATCH($C620,账户表,0))),"※账户不在基础资料里",IF(AND($G620&lt;&gt;"",ISNA(MATCH($G620,项目名表,0))),"※项目不在项目台账里",IF(AND(LEFT($F620,3)="成本-",$G620=""),"※成本类支出没填项目",IF(AND(LEFT($F620,3)="成本-",$H620&lt;&gt;"",N($K620)&gt;0,COUNTIFS(采购单!$B:$B,$B620,采购单!$C:$C,$H620,采购单!$L:$L,$K620)&gt;0),"※这笔可能和采购单重复了",""))))))))))</f>
        <v/>
      </c>
    </row>
    <row r="621">
      <c r="A621" s="17">
        <f>IF($B621="","",ROW()-3)</f>
        <v/>
      </c>
      <c r="B621" s="18" t="n">
        <v>46204</v>
      </c>
      <c r="C621" s="13" t="inlineStr">
        <is>
          <t>微信1</t>
        </is>
      </c>
      <c r="D621" s="13" t="inlineStr">
        <is>
          <t>支出</t>
        </is>
      </c>
      <c r="E621" s="13" t="inlineStr">
        <is>
          <t>网购材料耗材</t>
        </is>
      </c>
      <c r="F621" s="17">
        <f>IF($E621="","",IFERROR(VLOOKUP($E621,类别归属,2,0),"※类别不在基础资料里"))</f>
        <v/>
      </c>
      <c r="G621" s="13" t="n"/>
      <c r="H621" s="13" t="inlineStr">
        <is>
          <t>拼多多</t>
        </is>
      </c>
      <c r="I621" s="13" t="inlineStr">
        <is>
          <t>拼多多平台商户</t>
        </is>
      </c>
      <c r="J621" s="14" t="n"/>
      <c r="K621" s="14" t="n">
        <v>184.3</v>
      </c>
      <c r="L621" s="19">
        <f>IF($C621="","",ROUND(IFERROR(VLOOKUP($C621,账户期初,2,0),0)+SUMIFS($J$4:J621,$C$4:C621,$C621)-SUMIFS($K$4:K621,$C$4:C621,$C621),2))</f>
        <v/>
      </c>
      <c r="M621" s="19">
        <f>IF($C621="","",ROUND(SUM(基础资料!$B$4:$B$13)+SUM($J$4:J621)-SUM($K$4:K621),2))</f>
        <v/>
      </c>
      <c r="N621" s="13" t="n"/>
      <c r="O621" s="13" t="n"/>
      <c r="P621" s="17">
        <f>IF($B621="","",IF($F621="※类别不在基础资料里","※费用类别不在基础资料里",IF(AND(N($J621)=0,N($K621)=0),"※这行没填金额",IF(AND(N($J621)&gt;0,N($K621)&gt;0),"※收入和支出不能同一行都填",IF(AND($D621="收入",N($J621)=0),"※收入行要填收入金额",IF(AND($D621="支出",N($K621)=0),"※支出行要填支出金额",IF(AND($C621&lt;&gt;"",ISNA(MATCH($C621,账户表,0))),"※账户不在基础资料里",IF(AND($G621&lt;&gt;"",ISNA(MATCH($G621,项目名表,0))),"※项目不在项目台账里",IF(AND(LEFT($F621,3)="成本-",$G621=""),"※成本类支出没填项目",IF(AND(LEFT($F621,3)="成本-",$H621&lt;&gt;"",N($K621)&gt;0,COUNTIFS(采购单!$B:$B,$B621,采购单!$C:$C,$H621,采购单!$L:$L,$K621)&gt;0),"※这笔可能和采购单重复了",""))))))))))</f>
        <v/>
      </c>
    </row>
    <row r="622">
      <c r="A622" s="17">
        <f>IF($B622="","",ROW()-3)</f>
        <v/>
      </c>
      <c r="B622" s="18" t="n">
        <v>46205</v>
      </c>
      <c r="C622" s="13" t="inlineStr">
        <is>
          <t>微信1</t>
        </is>
      </c>
      <c r="D622" s="13" t="inlineStr">
        <is>
          <t>收入</t>
        </is>
      </c>
      <c r="E622" s="13" t="inlineStr">
        <is>
          <t>待分类</t>
        </is>
      </c>
      <c r="F622" s="17">
        <f>IF($E622="","",IFERROR(VLOOKUP($E622,类别归属,2,0),"※类别不在基础资料里"))</f>
        <v/>
      </c>
      <c r="G622" s="13" t="n"/>
      <c r="H622" s="13" t="n"/>
      <c r="I622" s="13" t="inlineStr">
        <is>
          <t>宝玥盐池滩羊 13309559527 (宝玥盐池滩羊 13309559527)</t>
        </is>
      </c>
      <c r="J622" s="14" t="n">
        <v>60</v>
      </c>
      <c r="K622" s="14" t="n"/>
      <c r="L622" s="19">
        <f>IF($C622="","",ROUND(IFERROR(VLOOKUP($C622,账户期初,2,0),0)+SUMIFS($J$4:J622,$C$4:C622,$C622)-SUMIFS($K$4:K622,$C$4:C622,$C622),2))</f>
        <v/>
      </c>
      <c r="M622" s="19">
        <f>IF($C622="","",ROUND(SUM(基础资料!$B$4:$B$13)+SUM($J$4:J622)-SUM($K$4:K622),2))</f>
        <v/>
      </c>
      <c r="N622" s="13" t="n"/>
      <c r="O622" s="13" t="n"/>
      <c r="P622" s="17">
        <f>IF($B622="","",IF($F622="※类别不在基础资料里","※费用类别不在基础资料里",IF(AND(N($J622)=0,N($K622)=0),"※这行没填金额",IF(AND(N($J622)&gt;0,N($K622)&gt;0),"※收入和支出不能同一行都填",IF(AND($D622="收入",N($J622)=0),"※收入行要填收入金额",IF(AND($D622="支出",N($K622)=0),"※支出行要填支出金额",IF(AND($C622&lt;&gt;"",ISNA(MATCH($C622,账户表,0))),"※账户不在基础资料里",IF(AND($G622&lt;&gt;"",ISNA(MATCH($G622,项目名表,0))),"※项目不在项目台账里",IF(AND(LEFT($F622,3)="成本-",$G622=""),"※成本类支出没填项目",IF(AND(LEFT($F622,3)="成本-",$H622&lt;&gt;"",N($K622)&gt;0,COUNTIFS(采购单!$B:$B,$B622,采购单!$C:$C,$H622,采购单!$L:$L,$K622)&gt;0),"※这笔可能和采购单重复了",""))))))))))</f>
        <v/>
      </c>
    </row>
    <row r="623">
      <c r="A623" s="17">
        <f>IF($B623="","",ROW()-3)</f>
        <v/>
      </c>
      <c r="B623" s="18" t="n">
        <v>46205</v>
      </c>
      <c r="C623" s="13" t="inlineStr">
        <is>
          <t>微信1</t>
        </is>
      </c>
      <c r="D623" s="13" t="inlineStr">
        <is>
          <t>支出</t>
        </is>
      </c>
      <c r="E623" s="13" t="inlineStr">
        <is>
          <t>设计费</t>
        </is>
      </c>
      <c r="F623" s="17">
        <f>IF($E623="","",IFERROR(VLOOKUP($E623,类别归属,2,0),"※类别不在基础资料里"))</f>
        <v/>
      </c>
      <c r="G623" s="13" t="n"/>
      <c r="H623" s="13" t="n"/>
      <c r="I623" s="13" t="inlineStr">
        <is>
          <t>设计 徐可欣 (4ever)</t>
        </is>
      </c>
      <c r="J623" s="14" t="n"/>
      <c r="K623" s="14" t="n">
        <v>2000</v>
      </c>
      <c r="L623" s="19">
        <f>IF($C623="","",ROUND(IFERROR(VLOOKUP($C623,账户期初,2,0),0)+SUMIFS($J$4:J623,$C$4:C623,$C623)-SUMIFS($K$4:K623,$C$4:C623,$C623),2))</f>
        <v/>
      </c>
      <c r="M623" s="19">
        <f>IF($C623="","",ROUND(SUM(基础资料!$B$4:$B$13)+SUM($J$4:J623)-SUM($K$4:K623),2))</f>
        <v/>
      </c>
      <c r="N623" s="13" t="n"/>
      <c r="O623" s="13" t="n"/>
      <c r="P623" s="17">
        <f>IF($B623="","",IF($F623="※类别不在基础资料里","※费用类别不在基础资料里",IF(AND(N($J623)=0,N($K623)=0),"※这行没填金额",IF(AND(N($J623)&gt;0,N($K623)&gt;0),"※收入和支出不能同一行都填",IF(AND($D623="收入",N($J623)=0),"※收入行要填收入金额",IF(AND($D623="支出",N($K623)=0),"※支出行要填支出金额",IF(AND($C623&lt;&gt;"",ISNA(MATCH($C623,账户表,0))),"※账户不在基础资料里",IF(AND($G623&lt;&gt;"",ISNA(MATCH($G623,项目名表,0))),"※项目不在项目台账里",IF(AND(LEFT($F623,3)="成本-",$G623=""),"※成本类支出没填项目",IF(AND(LEFT($F623,3)="成本-",$H623&lt;&gt;"",N($K623)&gt;0,COUNTIFS(采购单!$B:$B,$B623,采购单!$C:$C,$H623,采购单!$L:$L,$K623)&gt;0),"※这笔可能和采购单重复了",""))))))))))</f>
        <v/>
      </c>
    </row>
    <row r="624">
      <c r="A624" s="17">
        <f>IF($B624="","",ROW()-3)</f>
        <v/>
      </c>
      <c r="B624" s="18" t="n">
        <v>46205</v>
      </c>
      <c r="C624" s="13" t="inlineStr">
        <is>
          <t>微信1</t>
        </is>
      </c>
      <c r="D624" s="13" t="inlineStr">
        <is>
          <t>支出</t>
        </is>
      </c>
      <c r="E624" s="13" t="inlineStr">
        <is>
          <t>待分类</t>
        </is>
      </c>
      <c r="F624" s="17">
        <f>IF($E624="","",IFERROR(VLOOKUP($E624,类别归属,2,0),"※类别不在基础资料里"))</f>
        <v/>
      </c>
      <c r="G624" s="13" t="n"/>
      <c r="H624" s="13" t="n"/>
      <c r="I624" s="13" t="inlineStr">
        <is>
          <t>浙江星蓝思光电科技有限公司</t>
        </is>
      </c>
      <c r="J624" s="14" t="n"/>
      <c r="K624" s="14" t="n">
        <v>750</v>
      </c>
      <c r="L624" s="19">
        <f>IF($C624="","",ROUND(IFERROR(VLOOKUP($C624,账户期初,2,0),0)+SUMIFS($J$4:J624,$C$4:C624,$C624)-SUMIFS($K$4:K624,$C$4:C624,$C624),2))</f>
        <v/>
      </c>
      <c r="M624" s="19">
        <f>IF($C624="","",ROUND(SUM(基础资料!$B$4:$B$13)+SUM($J$4:J624)-SUM($K$4:K624),2))</f>
        <v/>
      </c>
      <c r="N624" s="13" t="n"/>
      <c r="O624" s="13" t="n"/>
      <c r="P624" s="17">
        <f>IF($B624="","",IF($F624="※类别不在基础资料里","※费用类别不在基础资料里",IF(AND(N($J624)=0,N($K624)=0),"※这行没填金额",IF(AND(N($J624)&gt;0,N($K624)&gt;0),"※收入和支出不能同一行都填",IF(AND($D624="收入",N($J624)=0),"※收入行要填收入金额",IF(AND($D624="支出",N($K624)=0),"※支出行要填支出金额",IF(AND($C624&lt;&gt;"",ISNA(MATCH($C624,账户表,0))),"※账户不在基础资料里",IF(AND($G624&lt;&gt;"",ISNA(MATCH($G624,项目名表,0))),"※项目不在项目台账里",IF(AND(LEFT($F624,3)="成本-",$G624=""),"※成本类支出没填项目",IF(AND(LEFT($F624,3)="成本-",$H624&lt;&gt;"",N($K624)&gt;0,COUNTIFS(采购单!$B:$B,$B624,采购单!$C:$C,$H624,采购单!$L:$L,$K624)&gt;0),"※这笔可能和采购单重复了",""))))))))))</f>
        <v/>
      </c>
    </row>
    <row r="625">
      <c r="A625" s="17">
        <f>IF($B625="","",ROW()-3)</f>
        <v/>
      </c>
      <c r="B625" s="18" t="n">
        <v>46206</v>
      </c>
      <c r="C625" s="13" t="inlineStr">
        <is>
          <t>微信1</t>
        </is>
      </c>
      <c r="D625" s="13" t="inlineStr">
        <is>
          <t>支出</t>
        </is>
      </c>
      <c r="E625" s="13" t="inlineStr">
        <is>
          <t>运费/快递费</t>
        </is>
      </c>
      <c r="F625" s="17">
        <f>IF($E625="","",IFERROR(VLOOKUP($E625,类别归属,2,0),"※类别不在基础资料里"))</f>
        <v/>
      </c>
      <c r="G625" s="13" t="n"/>
      <c r="H625" s="13" t="n"/>
      <c r="I625" s="13" t="inlineStr">
        <is>
          <t>杭州炳秀湖州26-28武晓军 (杭州炳秀湖州26-28武晓军)</t>
        </is>
      </c>
      <c r="J625" s="14" t="n"/>
      <c r="K625" s="14" t="n">
        <v>884</v>
      </c>
      <c r="L625" s="19">
        <f>IF($C625="","",ROUND(IFERROR(VLOOKUP($C625,账户期初,2,0),0)+SUMIFS($J$4:J625,$C$4:C625,$C625)-SUMIFS($K$4:K625,$C$4:C625,$C625),2))</f>
        <v/>
      </c>
      <c r="M625" s="19">
        <f>IF($C625="","",ROUND(SUM(基础资料!$B$4:$B$13)+SUM($J$4:J625)-SUM($K$4:K625),2))</f>
        <v/>
      </c>
      <c r="N625" s="13" t="n"/>
      <c r="O625" s="13" t="n"/>
      <c r="P625" s="17">
        <f>IF($B625="","",IF($F625="※类别不在基础资料里","※费用类别不在基础资料里",IF(AND(N($J625)=0,N($K625)=0),"※这行没填金额",IF(AND(N($J625)&gt;0,N($K625)&gt;0),"※收入和支出不能同一行都填",IF(AND($D625="收入",N($J625)=0),"※收入行要填收入金额",IF(AND($D625="支出",N($K625)=0),"※支出行要填支出金额",IF(AND($C625&lt;&gt;"",ISNA(MATCH($C625,账户表,0))),"※账户不在基础资料里",IF(AND($G625&lt;&gt;"",ISNA(MATCH($G625,项目名表,0))),"※项目不在项目台账里",IF(AND(LEFT($F625,3)="成本-",$G625=""),"※成本类支出没填项目",IF(AND(LEFT($F625,3)="成本-",$H625&lt;&gt;"",N($K625)&gt;0,COUNTIFS(采购单!$B:$B,$B625,采购单!$C:$C,$H625,采购单!$L:$L,$K625)&gt;0),"※这笔可能和采购单重复了",""))))))))))</f>
        <v/>
      </c>
    </row>
    <row r="626">
      <c r="A626" s="17">
        <f>IF($B626="","",ROW()-3)</f>
        <v/>
      </c>
      <c r="B626" s="18" t="n">
        <v>46206</v>
      </c>
      <c r="C626" s="13" t="inlineStr">
        <is>
          <t>微信1</t>
        </is>
      </c>
      <c r="D626" s="13" t="inlineStr">
        <is>
          <t>收入</t>
        </is>
      </c>
      <c r="E626" s="13" t="inlineStr">
        <is>
          <t>待分类</t>
        </is>
      </c>
      <c r="F626" s="17">
        <f>IF($E626="","",IFERROR(VLOOKUP($E626,类别归属,2,0),"※类别不在基础资料里"))</f>
        <v/>
      </c>
      <c r="G626" s="13" t="n"/>
      <c r="H626" s="13" t="n"/>
      <c r="I626" s="13" t="inlineStr">
        <is>
          <t>请给我一个死亡的准确时间 (请给我一个死亡的准确时间)</t>
        </is>
      </c>
      <c r="J626" s="14" t="n">
        <v>500</v>
      </c>
      <c r="K626" s="14" t="n"/>
      <c r="L626" s="19">
        <f>IF($C626="","",ROUND(IFERROR(VLOOKUP($C626,账户期初,2,0),0)+SUMIFS($J$4:J626,$C$4:C626,$C626)-SUMIFS($K$4:K626,$C$4:C626,$C626),2))</f>
        <v/>
      </c>
      <c r="M626" s="19">
        <f>IF($C626="","",ROUND(SUM(基础资料!$B$4:$B$13)+SUM($J$4:J626)-SUM($K$4:K626),2))</f>
        <v/>
      </c>
      <c r="N626" s="13" t="n"/>
      <c r="O626" s="13" t="n"/>
      <c r="P626" s="17">
        <f>IF($B626="","",IF($F626="※类别不在基础资料里","※费用类别不在基础资料里",IF(AND(N($J626)=0,N($K626)=0),"※这行没填金额",IF(AND(N($J626)&gt;0,N($K626)&gt;0),"※收入和支出不能同一行都填",IF(AND($D626="收入",N($J626)=0),"※收入行要填收入金额",IF(AND($D626="支出",N($K626)=0),"※支出行要填支出金额",IF(AND($C626&lt;&gt;"",ISNA(MATCH($C626,账户表,0))),"※账户不在基础资料里",IF(AND($G626&lt;&gt;"",ISNA(MATCH($G626,项目名表,0))),"※项目不在项目台账里",IF(AND(LEFT($F626,3)="成本-",$G626=""),"※成本类支出没填项目",IF(AND(LEFT($F626,3)="成本-",$H626&lt;&gt;"",N($K626)&gt;0,COUNTIFS(采购单!$B:$B,$B626,采购单!$C:$C,$H626,采购单!$L:$L,$K626)&gt;0),"※这笔可能和采购单重复了",""))))))))))</f>
        <v/>
      </c>
    </row>
    <row r="627">
      <c r="A627" s="17">
        <f>IF($B627="","",ROW()-3)</f>
        <v/>
      </c>
      <c r="B627" s="18" t="n">
        <v>46206</v>
      </c>
      <c r="C627" s="13" t="inlineStr">
        <is>
          <t>微信1</t>
        </is>
      </c>
      <c r="D627" s="13" t="inlineStr">
        <is>
          <t>收入</t>
        </is>
      </c>
      <c r="E627" s="13" t="inlineStr">
        <is>
          <t>待分类</t>
        </is>
      </c>
      <c r="F627" s="17">
        <f>IF($E627="","",IFERROR(VLOOKUP($E627,类别归属,2,0),"※类别不在基础资料里"))</f>
        <v/>
      </c>
      <c r="G627" s="13" t="n"/>
      <c r="H627" s="13" t="n"/>
      <c r="I627" s="13" t="inlineStr">
        <is>
          <t>请给我一个死亡的准确时间 (请给我一个死亡的准确时间)</t>
        </is>
      </c>
      <c r="J627" s="14" t="n">
        <v>500</v>
      </c>
      <c r="K627" s="14" t="n"/>
      <c r="L627" s="19">
        <f>IF($C627="","",ROUND(IFERROR(VLOOKUP($C627,账户期初,2,0),0)+SUMIFS($J$4:J627,$C$4:C627,$C627)-SUMIFS($K$4:K627,$C$4:C627,$C627),2))</f>
        <v/>
      </c>
      <c r="M627" s="19">
        <f>IF($C627="","",ROUND(SUM(基础资料!$B$4:$B$13)+SUM($J$4:J627)-SUM($K$4:K627),2))</f>
        <v/>
      </c>
      <c r="N627" s="13" t="n"/>
      <c r="O627" s="13" t="n"/>
      <c r="P627" s="17">
        <f>IF($B627="","",IF($F627="※类别不在基础资料里","※费用类别不在基础资料里",IF(AND(N($J627)=0,N($K627)=0),"※这行没填金额",IF(AND(N($J627)&gt;0,N($K627)&gt;0),"※收入和支出不能同一行都填",IF(AND($D627="收入",N($J627)=0),"※收入行要填收入金额",IF(AND($D627="支出",N($K627)=0),"※支出行要填支出金额",IF(AND($C627&lt;&gt;"",ISNA(MATCH($C627,账户表,0))),"※账户不在基础资料里",IF(AND($G627&lt;&gt;"",ISNA(MATCH($G627,项目名表,0))),"※项目不在项目台账里",IF(AND(LEFT($F627,3)="成本-",$G627=""),"※成本类支出没填项目",IF(AND(LEFT($F627,3)="成本-",$H627&lt;&gt;"",N($K627)&gt;0,COUNTIFS(采购单!$B:$B,$B627,采购单!$C:$C,$H627,采购单!$L:$L,$K627)&gt;0),"※这笔可能和采购单重复了",""))))))))))</f>
        <v/>
      </c>
    </row>
    <row r="628">
      <c r="A628" s="17">
        <f>IF($B628="","",ROW()-3)</f>
        <v/>
      </c>
      <c r="B628" s="18" t="n">
        <v>46206</v>
      </c>
      <c r="C628" s="13" t="inlineStr">
        <is>
          <t>微信1</t>
        </is>
      </c>
      <c r="D628" s="13" t="inlineStr">
        <is>
          <t>支出</t>
        </is>
      </c>
      <c r="E628" s="13" t="inlineStr">
        <is>
          <t>主材采购</t>
        </is>
      </c>
      <c r="F628" s="17">
        <f>IF($E628="","",IFERROR(VLOOKUP($E628,类别归属,2,0),"※类别不在基础资料里"))</f>
        <v/>
      </c>
      <c r="G628" s="13" t="n"/>
      <c r="H628" s="13" t="inlineStr">
        <is>
          <t>永康五金百货</t>
        </is>
      </c>
      <c r="I628" s="13" t="inlineStr">
        <is>
          <t>永康五金百货</t>
        </is>
      </c>
      <c r="J628" s="14" t="n"/>
      <c r="K628" s="14" t="n">
        <v>35</v>
      </c>
      <c r="L628" s="19">
        <f>IF($C628="","",ROUND(IFERROR(VLOOKUP($C628,账户期初,2,0),0)+SUMIFS($J$4:J628,$C$4:C628,$C628)-SUMIFS($K$4:K628,$C$4:C628,$C628),2))</f>
        <v/>
      </c>
      <c r="M628" s="19">
        <f>IF($C628="","",ROUND(SUM(基础资料!$B$4:$B$13)+SUM($J$4:J628)-SUM($K$4:K628),2))</f>
        <v/>
      </c>
      <c r="N628" s="13" t="n"/>
      <c r="O628" s="13" t="n"/>
      <c r="P628" s="17">
        <f>IF($B628="","",IF($F628="※类别不在基础资料里","※费用类别不在基础资料里",IF(AND(N($J628)=0,N($K628)=0),"※这行没填金额",IF(AND(N($J628)&gt;0,N($K628)&gt;0),"※收入和支出不能同一行都填",IF(AND($D628="收入",N($J628)=0),"※收入行要填收入金额",IF(AND($D628="支出",N($K628)=0),"※支出行要填支出金额",IF(AND($C628&lt;&gt;"",ISNA(MATCH($C628,账户表,0))),"※账户不在基础资料里",IF(AND($G628&lt;&gt;"",ISNA(MATCH($G628,项目名表,0))),"※项目不在项目台账里",IF(AND(LEFT($F628,3)="成本-",$G628=""),"※成本类支出没填项目",IF(AND(LEFT($F628,3)="成本-",$H628&lt;&gt;"",N($K628)&gt;0,COUNTIFS(采购单!$B:$B,$B628,采购单!$C:$C,$H628,采购单!$L:$L,$K628)&gt;0),"※这笔可能和采购单重复了",""))))))))))</f>
        <v/>
      </c>
    </row>
    <row r="629">
      <c r="A629" s="17">
        <f>IF($B629="","",ROW()-3)</f>
        <v/>
      </c>
      <c r="B629" s="18" t="n">
        <v>46206</v>
      </c>
      <c r="C629" s="13" t="inlineStr">
        <is>
          <t>微信1</t>
        </is>
      </c>
      <c r="D629" s="13" t="inlineStr">
        <is>
          <t>支出</t>
        </is>
      </c>
      <c r="E629" s="13" t="inlineStr">
        <is>
          <t>待分类</t>
        </is>
      </c>
      <c r="F629" s="17">
        <f>IF($E629="","",IFERROR(VLOOKUP($E629,类别归属,2,0),"※类别不在基础资料里"))</f>
        <v/>
      </c>
      <c r="G629" s="13" t="n"/>
      <c r="H629" s="13" t="n"/>
      <c r="I629" s="13" t="inlineStr">
        <is>
          <t>礼 (礼)</t>
        </is>
      </c>
      <c r="J629" s="14" t="n"/>
      <c r="K629" s="14" t="n">
        <v>600</v>
      </c>
      <c r="L629" s="19">
        <f>IF($C629="","",ROUND(IFERROR(VLOOKUP($C629,账户期初,2,0),0)+SUMIFS($J$4:J629,$C$4:C629,$C629)-SUMIFS($K$4:K629,$C$4:C629,$C629),2))</f>
        <v/>
      </c>
      <c r="M629" s="19">
        <f>IF($C629="","",ROUND(SUM(基础资料!$B$4:$B$13)+SUM($J$4:J629)-SUM($K$4:K629),2))</f>
        <v/>
      </c>
      <c r="N629" s="13" t="n"/>
      <c r="O629" s="13" t="n"/>
      <c r="P629" s="17">
        <f>IF($B629="","",IF($F629="※类别不在基础资料里","※费用类别不在基础资料里",IF(AND(N($J629)=0,N($K629)=0),"※这行没填金额",IF(AND(N($J629)&gt;0,N($K629)&gt;0),"※收入和支出不能同一行都填",IF(AND($D629="收入",N($J629)=0),"※收入行要填收入金额",IF(AND($D629="支出",N($K629)=0),"※支出行要填支出金额",IF(AND($C629&lt;&gt;"",ISNA(MATCH($C629,账户表,0))),"※账户不在基础资料里",IF(AND($G629&lt;&gt;"",ISNA(MATCH($G629,项目名表,0))),"※项目不在项目台账里",IF(AND(LEFT($F629,3)="成本-",$G629=""),"※成本类支出没填项目",IF(AND(LEFT($F629,3)="成本-",$H629&lt;&gt;"",N($K629)&gt;0,COUNTIFS(采购单!$B:$B,$B629,采购单!$C:$C,$H629,采购单!$L:$L,$K629)&gt;0),"※这笔可能和采购单重复了",""))))))))))</f>
        <v/>
      </c>
    </row>
    <row r="630">
      <c r="A630" s="17">
        <f>IF($B630="","",ROW()-3)</f>
        <v/>
      </c>
      <c r="B630" s="18" t="n">
        <v>46207</v>
      </c>
      <c r="C630" s="13" t="inlineStr">
        <is>
          <t>微信1</t>
        </is>
      </c>
      <c r="D630" s="13" t="inlineStr">
        <is>
          <t>支出</t>
        </is>
      </c>
      <c r="E630" s="13" t="inlineStr">
        <is>
          <t>运费/快递费</t>
        </is>
      </c>
      <c r="F630" s="17">
        <f>IF($E630="","",IFERROR(VLOOKUP($E630,类别归属,2,0),"※类别不在基础资料里"))</f>
        <v/>
      </c>
      <c r="G630" s="13" t="n"/>
      <c r="H630" s="13" t="n"/>
      <c r="I630" s="13" t="inlineStr">
        <is>
          <t>杭州炳秀湖州26-28武晓军 (杭州炳秀湖州26-28武晓军)</t>
        </is>
      </c>
      <c r="J630" s="14" t="n"/>
      <c r="K630" s="14" t="n">
        <v>33</v>
      </c>
      <c r="L630" s="19">
        <f>IF($C630="","",ROUND(IFERROR(VLOOKUP($C630,账户期初,2,0),0)+SUMIFS($J$4:J630,$C$4:C630,$C630)-SUMIFS($K$4:K630,$C$4:C630,$C630),2))</f>
        <v/>
      </c>
      <c r="M630" s="19">
        <f>IF($C630="","",ROUND(SUM(基础资料!$B$4:$B$13)+SUM($J$4:J630)-SUM($K$4:K630),2))</f>
        <v/>
      </c>
      <c r="N630" s="13" t="n"/>
      <c r="O630" s="13" t="n"/>
      <c r="P630" s="17">
        <f>IF($B630="","",IF($F630="※类别不在基础资料里","※费用类别不在基础资料里",IF(AND(N($J630)=0,N($K630)=0),"※这行没填金额",IF(AND(N($J630)&gt;0,N($K630)&gt;0),"※收入和支出不能同一行都填",IF(AND($D630="收入",N($J630)=0),"※收入行要填收入金额",IF(AND($D630="支出",N($K630)=0),"※支出行要填支出金额",IF(AND($C630&lt;&gt;"",ISNA(MATCH($C630,账户表,0))),"※账户不在基础资料里",IF(AND($G630&lt;&gt;"",ISNA(MATCH($G630,项目名表,0))),"※项目不在项目台账里",IF(AND(LEFT($F630,3)="成本-",$G630=""),"※成本类支出没填项目",IF(AND(LEFT($F630,3)="成本-",$H630&lt;&gt;"",N($K630)&gt;0,COUNTIFS(采购单!$B:$B,$B630,采购单!$C:$C,$H630,采购单!$L:$L,$K630)&gt;0),"※这笔可能和采购单重复了",""))))))))))</f>
        <v/>
      </c>
    </row>
    <row r="631">
      <c r="A631" s="17">
        <f>IF($B631="","",ROW()-3)</f>
        <v/>
      </c>
      <c r="B631" s="18" t="n">
        <v>46207</v>
      </c>
      <c r="C631" s="13" t="inlineStr">
        <is>
          <t>微信1</t>
        </is>
      </c>
      <c r="D631" s="13" t="inlineStr">
        <is>
          <t>收入</t>
        </is>
      </c>
      <c r="E631" s="13" t="inlineStr">
        <is>
          <t>待分类</t>
        </is>
      </c>
      <c r="F631" s="17">
        <f>IF($E631="","",IFERROR(VLOOKUP($E631,类别归属,2,0),"※类别不在基础资料里"))</f>
        <v/>
      </c>
      <c r="G631" s="13" t="n"/>
      <c r="H631" s="13" t="n"/>
      <c r="I631" s="13" t="inlineStr">
        <is>
          <t>专业皮肤.筋骨康复 (专业皮肤.筋骨康复)</t>
        </is>
      </c>
      <c r="J631" s="14" t="n">
        <v>450</v>
      </c>
      <c r="K631" s="14" t="n"/>
      <c r="L631" s="19">
        <f>IF($C631="","",ROUND(IFERROR(VLOOKUP($C631,账户期初,2,0),0)+SUMIFS($J$4:J631,$C$4:C631,$C631)-SUMIFS($K$4:K631,$C$4:C631,$C631),2))</f>
        <v/>
      </c>
      <c r="M631" s="19">
        <f>IF($C631="","",ROUND(SUM(基础资料!$B$4:$B$13)+SUM($J$4:J631)-SUM($K$4:K631),2))</f>
        <v/>
      </c>
      <c r="N631" s="13" t="n"/>
      <c r="O631" s="13" t="n"/>
      <c r="P631" s="17">
        <f>IF($B631="","",IF($F631="※类别不在基础资料里","※费用类别不在基础资料里",IF(AND(N($J631)=0,N($K631)=0),"※这行没填金额",IF(AND(N($J631)&gt;0,N($K631)&gt;0),"※收入和支出不能同一行都填",IF(AND($D631="收入",N($J631)=0),"※收入行要填收入金额",IF(AND($D631="支出",N($K631)=0),"※支出行要填支出金额",IF(AND($C631&lt;&gt;"",ISNA(MATCH($C631,账户表,0))),"※账户不在基础资料里",IF(AND($G631&lt;&gt;"",ISNA(MATCH($G631,项目名表,0))),"※项目不在项目台账里",IF(AND(LEFT($F631,3)="成本-",$G631=""),"※成本类支出没填项目",IF(AND(LEFT($F631,3)="成本-",$H631&lt;&gt;"",N($K631)&gt;0,COUNTIFS(采购单!$B:$B,$B631,采购单!$C:$C,$H631,采购单!$L:$L,$K631)&gt;0),"※这笔可能和采购单重复了",""))))))))))</f>
        <v/>
      </c>
    </row>
    <row r="632">
      <c r="A632" s="17">
        <f>IF($B632="","",ROW()-3)</f>
        <v/>
      </c>
      <c r="B632" s="18" t="n">
        <v>46207</v>
      </c>
      <c r="C632" s="13" t="inlineStr">
        <is>
          <t>微信1</t>
        </is>
      </c>
      <c r="D632" s="13" t="inlineStr">
        <is>
          <t>支出</t>
        </is>
      </c>
      <c r="E632" s="13" t="inlineStr">
        <is>
          <t>主材采购</t>
        </is>
      </c>
      <c r="F632" s="17">
        <f>IF($E632="","",IFERROR(VLOOKUP($E632,类别归属,2,0),"※类别不在基础资料里"))</f>
        <v/>
      </c>
      <c r="G632" s="13" t="n"/>
      <c r="H632" s="13" t="inlineStr">
        <is>
          <t>浩智蚀刻标识标牌</t>
        </is>
      </c>
      <c r="I632" s="13" t="inlineStr">
        <is>
          <t>浩智蚀刻标识标牌（专注金属蚀刻） (浩智蚀刻标识标牌（专注金属蚀刻）)</t>
        </is>
      </c>
      <c r="J632" s="14" t="n"/>
      <c r="K632" s="14" t="n">
        <v>60</v>
      </c>
      <c r="L632" s="19">
        <f>IF($C632="","",ROUND(IFERROR(VLOOKUP($C632,账户期初,2,0),0)+SUMIFS($J$4:J632,$C$4:C632,$C632)-SUMIFS($K$4:K632,$C$4:C632,$C632),2))</f>
        <v/>
      </c>
      <c r="M632" s="19">
        <f>IF($C632="","",ROUND(SUM(基础资料!$B$4:$B$13)+SUM($J$4:J632)-SUM($K$4:K632),2))</f>
        <v/>
      </c>
      <c r="N632" s="13" t="n"/>
      <c r="O632" s="13" t="n"/>
      <c r="P632" s="17">
        <f>IF($B632="","",IF($F632="※类别不在基础资料里","※费用类别不在基础资料里",IF(AND(N($J632)=0,N($K632)=0),"※这行没填金额",IF(AND(N($J632)&gt;0,N($K632)&gt;0),"※收入和支出不能同一行都填",IF(AND($D632="收入",N($J632)=0),"※收入行要填收入金额",IF(AND($D632="支出",N($K632)=0),"※支出行要填支出金额",IF(AND($C632&lt;&gt;"",ISNA(MATCH($C632,账户表,0))),"※账户不在基础资料里",IF(AND($G632&lt;&gt;"",ISNA(MATCH($G632,项目名表,0))),"※项目不在项目台账里",IF(AND(LEFT($F632,3)="成本-",$G632=""),"※成本类支出没填项目",IF(AND(LEFT($F632,3)="成本-",$H632&lt;&gt;"",N($K632)&gt;0,COUNTIFS(采购单!$B:$B,$B632,采购单!$C:$C,$H632,采购单!$L:$L,$K632)&gt;0),"※这笔可能和采购单重复了",""))))))))))</f>
        <v/>
      </c>
    </row>
    <row r="633">
      <c r="A633" s="17">
        <f>IF($B633="","",ROW()-3)</f>
        <v/>
      </c>
      <c r="B633" s="18" t="n">
        <v>46207</v>
      </c>
      <c r="C633" s="13" t="inlineStr">
        <is>
          <t>微信1</t>
        </is>
      </c>
      <c r="D633" s="13" t="inlineStr">
        <is>
          <t>收入</t>
        </is>
      </c>
      <c r="E633" s="13" t="inlineStr">
        <is>
          <t>待分类</t>
        </is>
      </c>
      <c r="F633" s="17">
        <f>IF($E633="","",IFERROR(VLOOKUP($E633,类别归属,2,0),"※类别不在基础资料里"))</f>
        <v/>
      </c>
      <c r="G633" s="13" t="n"/>
      <c r="H633" s="13" t="n"/>
      <c r="I633" s="13" t="inlineStr">
        <is>
          <t>5号 (5号)</t>
        </is>
      </c>
      <c r="J633" s="14" t="n">
        <v>260</v>
      </c>
      <c r="K633" s="14" t="n"/>
      <c r="L633" s="19">
        <f>IF($C633="","",ROUND(IFERROR(VLOOKUP($C633,账户期初,2,0),0)+SUMIFS($J$4:J633,$C$4:C633,$C633)-SUMIFS($K$4:K633,$C$4:C633,$C633),2))</f>
        <v/>
      </c>
      <c r="M633" s="19">
        <f>IF($C633="","",ROUND(SUM(基础资料!$B$4:$B$13)+SUM($J$4:J633)-SUM($K$4:K633),2))</f>
        <v/>
      </c>
      <c r="N633" s="13" t="n"/>
      <c r="O633" s="13" t="n"/>
      <c r="P633" s="17">
        <f>IF($B633="","",IF($F633="※类别不在基础资料里","※费用类别不在基础资料里",IF(AND(N($J633)=0,N($K633)=0),"※这行没填金额",IF(AND(N($J633)&gt;0,N($K633)&gt;0),"※收入和支出不能同一行都填",IF(AND($D633="收入",N($J633)=0),"※收入行要填收入金额",IF(AND($D633="支出",N($K633)=0),"※支出行要填支出金额",IF(AND($C633&lt;&gt;"",ISNA(MATCH($C633,账户表,0))),"※账户不在基础资料里",IF(AND($G633&lt;&gt;"",ISNA(MATCH($G633,项目名表,0))),"※项目不在项目台账里",IF(AND(LEFT($F633,3)="成本-",$G633=""),"※成本类支出没填项目",IF(AND(LEFT($F633,3)="成本-",$H633&lt;&gt;"",N($K633)&gt;0,COUNTIFS(采购单!$B:$B,$B633,采购单!$C:$C,$H633,采购单!$L:$L,$K633)&gt;0),"※这笔可能和采购单重复了",""))))))))))</f>
        <v/>
      </c>
    </row>
    <row r="634">
      <c r="A634" s="17">
        <f>IF($B634="","",ROW()-3)</f>
        <v/>
      </c>
      <c r="B634" s="18" t="n">
        <v>46208</v>
      </c>
      <c r="C634" s="13" t="inlineStr">
        <is>
          <t>微信1</t>
        </is>
      </c>
      <c r="D634" s="13" t="inlineStr">
        <is>
          <t>支出</t>
        </is>
      </c>
      <c r="E634" s="13" t="inlineStr">
        <is>
          <t>网购材料耗材</t>
        </is>
      </c>
      <c r="F634" s="17">
        <f>IF($E634="","",IFERROR(VLOOKUP($E634,类别归属,2,0),"※类别不在基础资料里"))</f>
        <v/>
      </c>
      <c r="G634" s="13" t="n"/>
      <c r="H634" s="13" t="inlineStr">
        <is>
          <t>拼多多</t>
        </is>
      </c>
      <c r="I634" s="13" t="inlineStr">
        <is>
          <t>拼多多平台商户</t>
        </is>
      </c>
      <c r="J634" s="14" t="n"/>
      <c r="K634" s="14" t="n">
        <v>54.89</v>
      </c>
      <c r="L634" s="19">
        <f>IF($C634="","",ROUND(IFERROR(VLOOKUP($C634,账户期初,2,0),0)+SUMIFS($J$4:J634,$C$4:C634,$C634)-SUMIFS($K$4:K634,$C$4:C634,$C634),2))</f>
        <v/>
      </c>
      <c r="M634" s="19">
        <f>IF($C634="","",ROUND(SUM(基础资料!$B$4:$B$13)+SUM($J$4:J634)-SUM($K$4:K634),2))</f>
        <v/>
      </c>
      <c r="N634" s="13" t="n"/>
      <c r="O634" s="13" t="n"/>
      <c r="P634" s="17">
        <f>IF($B634="","",IF($F634="※类别不在基础资料里","※费用类别不在基础资料里",IF(AND(N($J634)=0,N($K634)=0),"※这行没填金额",IF(AND(N($J634)&gt;0,N($K634)&gt;0),"※收入和支出不能同一行都填",IF(AND($D634="收入",N($J634)=0),"※收入行要填收入金额",IF(AND($D634="支出",N($K634)=0),"※支出行要填支出金额",IF(AND($C634&lt;&gt;"",ISNA(MATCH($C634,账户表,0))),"※账户不在基础资料里",IF(AND($G634&lt;&gt;"",ISNA(MATCH($G634,项目名表,0))),"※项目不在项目台账里",IF(AND(LEFT($F634,3)="成本-",$G634=""),"※成本类支出没填项目",IF(AND(LEFT($F634,3)="成本-",$H634&lt;&gt;"",N($K634)&gt;0,COUNTIFS(采购单!$B:$B,$B634,采购单!$C:$C,$H634,采购单!$L:$L,$K634)&gt;0),"※这笔可能和采购单重复了",""))))))))))</f>
        <v/>
      </c>
    </row>
    <row r="635">
      <c r="A635" s="17">
        <f>IF($B635="","",ROW()-3)</f>
        <v/>
      </c>
      <c r="B635" s="18" t="n">
        <v>46208</v>
      </c>
      <c r="C635" s="13" t="inlineStr">
        <is>
          <t>微信1</t>
        </is>
      </c>
      <c r="D635" s="13" t="inlineStr">
        <is>
          <t>支出</t>
        </is>
      </c>
      <c r="E635" s="13" t="inlineStr">
        <is>
          <t>运费/快递费</t>
        </is>
      </c>
      <c r="F635" s="17">
        <f>IF($E635="","",IFERROR(VLOOKUP($E635,类别归属,2,0),"※类别不在基础资料里"))</f>
        <v/>
      </c>
      <c r="G635" s="13" t="n"/>
      <c r="H635" s="13" t="n"/>
      <c r="I635" s="13" t="inlineStr">
        <is>
          <t>杭州炳秀湖州26-28武晓军 (杭州炳秀湖州26-28武晓军)</t>
        </is>
      </c>
      <c r="J635" s="14" t="n"/>
      <c r="K635" s="14" t="n">
        <v>90</v>
      </c>
      <c r="L635" s="19">
        <f>IF($C635="","",ROUND(IFERROR(VLOOKUP($C635,账户期初,2,0),0)+SUMIFS($J$4:J635,$C$4:C635,$C635)-SUMIFS($K$4:K635,$C$4:C635,$C635),2))</f>
        <v/>
      </c>
      <c r="M635" s="19">
        <f>IF($C635="","",ROUND(SUM(基础资料!$B$4:$B$13)+SUM($J$4:J635)-SUM($K$4:K635),2))</f>
        <v/>
      </c>
      <c r="N635" s="13" t="n"/>
      <c r="O635" s="13" t="n"/>
      <c r="P635" s="17">
        <f>IF($B635="","",IF($F635="※类别不在基础资料里","※费用类别不在基础资料里",IF(AND(N($J635)=0,N($K635)=0),"※这行没填金额",IF(AND(N($J635)&gt;0,N($K635)&gt;0),"※收入和支出不能同一行都填",IF(AND($D635="收入",N($J635)=0),"※收入行要填收入金额",IF(AND($D635="支出",N($K635)=0),"※支出行要填支出金额",IF(AND($C635&lt;&gt;"",ISNA(MATCH($C635,账户表,0))),"※账户不在基础资料里",IF(AND($G635&lt;&gt;"",ISNA(MATCH($G635,项目名表,0))),"※项目不在项目台账里",IF(AND(LEFT($F635,3)="成本-",$G635=""),"※成本类支出没填项目",IF(AND(LEFT($F635,3)="成本-",$H635&lt;&gt;"",N($K635)&gt;0,COUNTIFS(采购单!$B:$B,$B635,采购单!$C:$C,$H635,采购单!$L:$L,$K635)&gt;0),"※这笔可能和采购单重复了",""))))))))))</f>
        <v/>
      </c>
    </row>
    <row r="636">
      <c r="A636" s="17">
        <f>IF($B636="","",ROW()-3)</f>
        <v/>
      </c>
      <c r="B636" s="18" t="n">
        <v>46209</v>
      </c>
      <c r="C636" s="13" t="inlineStr">
        <is>
          <t>微信1</t>
        </is>
      </c>
      <c r="D636" s="13" t="inlineStr">
        <is>
          <t>支出</t>
        </is>
      </c>
      <c r="E636" s="13" t="inlineStr">
        <is>
          <t>运费/快递费</t>
        </is>
      </c>
      <c r="F636" s="17">
        <f>IF($E636="","",IFERROR(VLOOKUP($E636,类别归属,2,0),"※类别不在基础资料里"))</f>
        <v/>
      </c>
      <c r="G636" s="13" t="n"/>
      <c r="H636" s="13" t="n"/>
      <c r="I636" s="13" t="inlineStr">
        <is>
          <t>杭州炳秀湖州26-28武晓军 (杭州炳秀湖州26-28武晓军)</t>
        </is>
      </c>
      <c r="J636" s="14" t="n"/>
      <c r="K636" s="14" t="n">
        <v>166</v>
      </c>
      <c r="L636" s="19">
        <f>IF($C636="","",ROUND(IFERROR(VLOOKUP($C636,账户期初,2,0),0)+SUMIFS($J$4:J636,$C$4:C636,$C636)-SUMIFS($K$4:K636,$C$4:C636,$C636),2))</f>
        <v/>
      </c>
      <c r="M636" s="19">
        <f>IF($C636="","",ROUND(SUM(基础资料!$B$4:$B$13)+SUM($J$4:J636)-SUM($K$4:K636),2))</f>
        <v/>
      </c>
      <c r="N636" s="13" t="n"/>
      <c r="O636" s="13" t="n"/>
      <c r="P636" s="17">
        <f>IF($B636="","",IF($F636="※类别不在基础资料里","※费用类别不在基础资料里",IF(AND(N($J636)=0,N($K636)=0),"※这行没填金额",IF(AND(N($J636)&gt;0,N($K636)&gt;0),"※收入和支出不能同一行都填",IF(AND($D636="收入",N($J636)=0),"※收入行要填收入金额",IF(AND($D636="支出",N($K636)=0),"※支出行要填支出金额",IF(AND($C636&lt;&gt;"",ISNA(MATCH($C636,账户表,0))),"※账户不在基础资料里",IF(AND($G636&lt;&gt;"",ISNA(MATCH($G636,项目名表,0))),"※项目不在项目台账里",IF(AND(LEFT($F636,3)="成本-",$G636=""),"※成本类支出没填项目",IF(AND(LEFT($F636,3)="成本-",$H636&lt;&gt;"",N($K636)&gt;0,COUNTIFS(采购单!$B:$B,$B636,采购单!$C:$C,$H636,采购单!$L:$L,$K636)&gt;0),"※这笔可能和采购单重复了",""))))))))))</f>
        <v/>
      </c>
    </row>
    <row r="637">
      <c r="A637" s="17">
        <f>IF($B637="","",ROW()-3)</f>
        <v/>
      </c>
      <c r="B637" s="18" t="n">
        <v>46209</v>
      </c>
      <c r="C637" s="13" t="inlineStr">
        <is>
          <t>微信1</t>
        </is>
      </c>
      <c r="D637" s="13" t="inlineStr">
        <is>
          <t>支出</t>
        </is>
      </c>
      <c r="E637" s="13" t="inlineStr">
        <is>
          <t>待分类</t>
        </is>
      </c>
      <c r="F637" s="17">
        <f>IF($E637="","",IFERROR(VLOOKUP($E637,类别归属,2,0),"※类别不在基础资料里"))</f>
        <v/>
      </c>
      <c r="G637" s="13" t="n"/>
      <c r="H637" s="13" t="n"/>
      <c r="I637" s="13" t="inlineStr">
        <is>
          <t>商户_周学峰</t>
        </is>
      </c>
      <c r="J637" s="14" t="n"/>
      <c r="K637" s="14" t="n">
        <v>300</v>
      </c>
      <c r="L637" s="19">
        <f>IF($C637="","",ROUND(IFERROR(VLOOKUP($C637,账户期初,2,0),0)+SUMIFS($J$4:J637,$C$4:C637,$C637)-SUMIFS($K$4:K637,$C$4:C637,$C637),2))</f>
        <v/>
      </c>
      <c r="M637" s="19">
        <f>IF($C637="","",ROUND(SUM(基础资料!$B$4:$B$13)+SUM($J$4:J637)-SUM($K$4:K637),2))</f>
        <v/>
      </c>
      <c r="N637" s="13" t="n"/>
      <c r="O637" s="13" t="n"/>
      <c r="P637" s="17">
        <f>IF($B637="","",IF($F637="※类别不在基础资料里","※费用类别不在基础资料里",IF(AND(N($J637)=0,N($K637)=0),"※这行没填金额",IF(AND(N($J637)&gt;0,N($K637)&gt;0),"※收入和支出不能同一行都填",IF(AND($D637="收入",N($J637)=0),"※收入行要填收入金额",IF(AND($D637="支出",N($K637)=0),"※支出行要填支出金额",IF(AND($C637&lt;&gt;"",ISNA(MATCH($C637,账户表,0))),"※账户不在基础资料里",IF(AND($G637&lt;&gt;"",ISNA(MATCH($G637,项目名表,0))),"※项目不在项目台账里",IF(AND(LEFT($F637,3)="成本-",$G637=""),"※成本类支出没填项目",IF(AND(LEFT($F637,3)="成本-",$H637&lt;&gt;"",N($K637)&gt;0,COUNTIFS(采购单!$B:$B,$B637,采购单!$C:$C,$H637,采购单!$L:$L,$K637)&gt;0),"※这笔可能和采购单重复了",""))))))))))</f>
        <v/>
      </c>
    </row>
    <row r="638">
      <c r="A638" s="17">
        <f>IF($B638="","",ROW()-3)</f>
        <v/>
      </c>
      <c r="B638" s="18" t="n">
        <v>46210</v>
      </c>
      <c r="C638" s="13" t="inlineStr">
        <is>
          <t>微信1</t>
        </is>
      </c>
      <c r="D638" s="13" t="inlineStr">
        <is>
          <t>支出</t>
        </is>
      </c>
      <c r="E638" s="13" t="inlineStr">
        <is>
          <t>运费/快递费</t>
        </is>
      </c>
      <c r="F638" s="17">
        <f>IF($E638="","",IFERROR(VLOOKUP($E638,类别归属,2,0),"※类别不在基础资料里"))</f>
        <v/>
      </c>
      <c r="G638" s="13" t="n"/>
      <c r="H638" s="13" t="n"/>
      <c r="I638" s="13" t="inlineStr">
        <is>
          <t>杭州炳秀湖州26-28武晓军 (杭州炳秀湖州26-28武晓军)</t>
        </is>
      </c>
      <c r="J638" s="14" t="n"/>
      <c r="K638" s="14" t="n">
        <v>205</v>
      </c>
      <c r="L638" s="19">
        <f>IF($C638="","",ROUND(IFERROR(VLOOKUP($C638,账户期初,2,0),0)+SUMIFS($J$4:J638,$C$4:C638,$C638)-SUMIFS($K$4:K638,$C$4:C638,$C638),2))</f>
        <v/>
      </c>
      <c r="M638" s="19">
        <f>IF($C638="","",ROUND(SUM(基础资料!$B$4:$B$13)+SUM($J$4:J638)-SUM($K$4:K638),2))</f>
        <v/>
      </c>
      <c r="N638" s="13" t="n"/>
      <c r="O638" s="13" t="n"/>
      <c r="P638" s="17">
        <f>IF($B638="","",IF($F638="※类别不在基础资料里","※费用类别不在基础资料里",IF(AND(N($J638)=0,N($K638)=0),"※这行没填金额",IF(AND(N($J638)&gt;0,N($K638)&gt;0),"※收入和支出不能同一行都填",IF(AND($D638="收入",N($J638)=0),"※收入行要填收入金额",IF(AND($D638="支出",N($K638)=0),"※支出行要填支出金额",IF(AND($C638&lt;&gt;"",ISNA(MATCH($C638,账户表,0))),"※账户不在基础资料里",IF(AND($G638&lt;&gt;"",ISNA(MATCH($G638,项目名表,0))),"※项目不在项目台账里",IF(AND(LEFT($F638,3)="成本-",$G638=""),"※成本类支出没填项目",IF(AND(LEFT($F638,3)="成本-",$H638&lt;&gt;"",N($K638)&gt;0,COUNTIFS(采购单!$B:$B,$B638,采购单!$C:$C,$H638,采购单!$L:$L,$K638)&gt;0),"※这笔可能和采购单重复了",""))))))))))</f>
        <v/>
      </c>
    </row>
    <row r="639">
      <c r="A639" s="17">
        <f>IF($B639="","",ROW()-3)</f>
        <v/>
      </c>
      <c r="B639" s="18" t="n">
        <v>46210</v>
      </c>
      <c r="C639" s="13" t="inlineStr">
        <is>
          <t>微信1</t>
        </is>
      </c>
      <c r="D639" s="13" t="inlineStr">
        <is>
          <t>支出</t>
        </is>
      </c>
      <c r="E639" s="13" t="inlineStr">
        <is>
          <t>网购材料耗材</t>
        </is>
      </c>
      <c r="F639" s="17">
        <f>IF($E639="","",IFERROR(VLOOKUP($E639,类别归属,2,0),"※类别不在基础资料里"))</f>
        <v/>
      </c>
      <c r="G639" s="13" t="n"/>
      <c r="H639" s="13" t="inlineStr">
        <is>
          <t>拼多多</t>
        </is>
      </c>
      <c r="I639" s="13" t="inlineStr">
        <is>
          <t>拼多多平台商户</t>
        </is>
      </c>
      <c r="J639" s="14" t="n"/>
      <c r="K639" s="14" t="n">
        <v>213.18</v>
      </c>
      <c r="L639" s="19">
        <f>IF($C639="","",ROUND(IFERROR(VLOOKUP($C639,账户期初,2,0),0)+SUMIFS($J$4:J639,$C$4:C639,$C639)-SUMIFS($K$4:K639,$C$4:C639,$C639),2))</f>
        <v/>
      </c>
      <c r="M639" s="19">
        <f>IF($C639="","",ROUND(SUM(基础资料!$B$4:$B$13)+SUM($J$4:J639)-SUM($K$4:K639),2))</f>
        <v/>
      </c>
      <c r="N639" s="13" t="n"/>
      <c r="O639" s="13" t="n"/>
      <c r="P639" s="17">
        <f>IF($B639="","",IF($F639="※类别不在基础资料里","※费用类别不在基础资料里",IF(AND(N($J639)=0,N($K639)=0),"※这行没填金额",IF(AND(N($J639)&gt;0,N($K639)&gt;0),"※收入和支出不能同一行都填",IF(AND($D639="收入",N($J639)=0),"※收入行要填收入金额",IF(AND($D639="支出",N($K639)=0),"※支出行要填支出金额",IF(AND($C639&lt;&gt;"",ISNA(MATCH($C639,账户表,0))),"※账户不在基础资料里",IF(AND($G639&lt;&gt;"",ISNA(MATCH($G639,项目名表,0))),"※项目不在项目台账里",IF(AND(LEFT($F639,3)="成本-",$G639=""),"※成本类支出没填项目",IF(AND(LEFT($F639,3)="成本-",$H639&lt;&gt;"",N($K639)&gt;0,COUNTIFS(采购单!$B:$B,$B639,采购单!$C:$C,$H639,采购单!$L:$L,$K639)&gt;0),"※这笔可能和采购单重复了",""))))))))))</f>
        <v/>
      </c>
    </row>
    <row r="640">
      <c r="A640" s="17">
        <f>IF($B640="","",ROW()-3)</f>
        <v/>
      </c>
      <c r="B640" s="18" t="n">
        <v>46211</v>
      </c>
      <c r="C640" s="13" t="inlineStr">
        <is>
          <t>微信1</t>
        </is>
      </c>
      <c r="D640" s="13" t="inlineStr">
        <is>
          <t>支出</t>
        </is>
      </c>
      <c r="E640" s="13" t="inlineStr">
        <is>
          <t>待分类</t>
        </is>
      </c>
      <c r="F640" s="17">
        <f>IF($E640="","",IFERROR(VLOOKUP($E640,类别归属,2,0),"※类别不在基础资料里"))</f>
        <v/>
      </c>
      <c r="G640" s="13" t="n"/>
      <c r="H640" s="13" t="n"/>
      <c r="I640" s="13" t="inlineStr">
        <is>
          <t>幸福💖常伴 (幸福💖常伴)</t>
        </is>
      </c>
      <c r="J640" s="14" t="n"/>
      <c r="K640" s="14" t="n">
        <v>300</v>
      </c>
      <c r="L640" s="19">
        <f>IF($C640="","",ROUND(IFERROR(VLOOKUP($C640,账户期初,2,0),0)+SUMIFS($J$4:J640,$C$4:C640,$C640)-SUMIFS($K$4:K640,$C$4:C640,$C640),2))</f>
        <v/>
      </c>
      <c r="M640" s="19">
        <f>IF($C640="","",ROUND(SUM(基础资料!$B$4:$B$13)+SUM($J$4:J640)-SUM($K$4:K640),2))</f>
        <v/>
      </c>
      <c r="N640" s="13" t="n"/>
      <c r="O640" s="13" t="n"/>
      <c r="P640" s="17">
        <f>IF($B640="","",IF($F640="※类别不在基础资料里","※费用类别不在基础资料里",IF(AND(N($J640)=0,N($K640)=0),"※这行没填金额",IF(AND(N($J640)&gt;0,N($K640)&gt;0),"※收入和支出不能同一行都填",IF(AND($D640="收入",N($J640)=0),"※收入行要填收入金额",IF(AND($D640="支出",N($K640)=0),"※支出行要填支出金额",IF(AND($C640&lt;&gt;"",ISNA(MATCH($C640,账户表,0))),"※账户不在基础资料里",IF(AND($G640&lt;&gt;"",ISNA(MATCH($G640,项目名表,0))),"※项目不在项目台账里",IF(AND(LEFT($F640,3)="成本-",$G640=""),"※成本类支出没填项目",IF(AND(LEFT($F640,3)="成本-",$H640&lt;&gt;"",N($K640)&gt;0,COUNTIFS(采购单!$B:$B,$B640,采购单!$C:$C,$H640,采购单!$L:$L,$K640)&gt;0),"※这笔可能和采购单重复了",""))))))))))</f>
        <v/>
      </c>
    </row>
    <row r="641">
      <c r="A641" s="17">
        <f>IF($B641="","",ROW()-3)</f>
        <v/>
      </c>
      <c r="B641" s="18" t="n">
        <v>46211</v>
      </c>
      <c r="C641" s="13" t="inlineStr">
        <is>
          <t>微信1</t>
        </is>
      </c>
      <c r="D641" s="13" t="inlineStr">
        <is>
          <t>支出</t>
        </is>
      </c>
      <c r="E641" s="13" t="inlineStr">
        <is>
          <t>运费/快递费</t>
        </is>
      </c>
      <c r="F641" s="17">
        <f>IF($E641="","",IFERROR(VLOOKUP($E641,类别归属,2,0),"※类别不在基础资料里"))</f>
        <v/>
      </c>
      <c r="G641" s="13" t="n"/>
      <c r="H641" s="13" t="n"/>
      <c r="I641" s="13" t="inlineStr">
        <is>
          <t>杭州炳秀湖州26-28武晓军 (杭州炳秀湖州26-28武晓军)</t>
        </is>
      </c>
      <c r="J641" s="14" t="n"/>
      <c r="K641" s="14" t="n">
        <v>134</v>
      </c>
      <c r="L641" s="19">
        <f>IF($C641="","",ROUND(IFERROR(VLOOKUP($C641,账户期初,2,0),0)+SUMIFS($J$4:J641,$C$4:C641,$C641)-SUMIFS($K$4:K641,$C$4:C641,$C641),2))</f>
        <v/>
      </c>
      <c r="M641" s="19">
        <f>IF($C641="","",ROUND(SUM(基础资料!$B$4:$B$13)+SUM($J$4:J641)-SUM($K$4:K641),2))</f>
        <v/>
      </c>
      <c r="N641" s="13" t="n"/>
      <c r="O641" s="13" t="n"/>
      <c r="P641" s="17">
        <f>IF($B641="","",IF($F641="※类别不在基础资料里","※费用类别不在基础资料里",IF(AND(N($J641)=0,N($K641)=0),"※这行没填金额",IF(AND(N($J641)&gt;0,N($K641)&gt;0),"※收入和支出不能同一行都填",IF(AND($D641="收入",N($J641)=0),"※收入行要填收入金额",IF(AND($D641="支出",N($K641)=0),"※支出行要填支出金额",IF(AND($C641&lt;&gt;"",ISNA(MATCH($C641,账户表,0))),"※账户不在基础资料里",IF(AND($G641&lt;&gt;"",ISNA(MATCH($G641,项目名表,0))),"※项目不在项目台账里",IF(AND(LEFT($F641,3)="成本-",$G641=""),"※成本类支出没填项目",IF(AND(LEFT($F641,3)="成本-",$H641&lt;&gt;"",N($K641)&gt;0,COUNTIFS(采购单!$B:$B,$B641,采购单!$C:$C,$H641,采购单!$L:$L,$K641)&gt;0),"※这笔可能和采购单重复了",""))))))))))</f>
        <v/>
      </c>
    </row>
    <row r="642">
      <c r="A642" s="17">
        <f>IF($B642="","",ROW()-3)</f>
        <v/>
      </c>
      <c r="B642" s="18" t="n">
        <v>46211</v>
      </c>
      <c r="C642" s="13" t="inlineStr">
        <is>
          <t>微信1</t>
        </is>
      </c>
      <c r="D642" s="13" t="inlineStr">
        <is>
          <t>支出</t>
        </is>
      </c>
      <c r="E642" s="13" t="inlineStr">
        <is>
          <t>待分类</t>
        </is>
      </c>
      <c r="F642" s="17">
        <f>IF($E642="","",IFERROR(VLOOKUP($E642,类别归属,2,0),"※类别不在基础资料里"))</f>
        <v/>
      </c>
      <c r="G642" s="13" t="n"/>
      <c r="H642" s="13" t="n"/>
      <c r="I642" s="13" t="inlineStr">
        <is>
          <t>九月。 (九月。)</t>
        </is>
      </c>
      <c r="J642" s="14" t="n"/>
      <c r="K642" s="14" t="n">
        <v>327.7</v>
      </c>
      <c r="L642" s="19">
        <f>IF($C642="","",ROUND(IFERROR(VLOOKUP($C642,账户期初,2,0),0)+SUMIFS($J$4:J642,$C$4:C642,$C642)-SUMIFS($K$4:K642,$C$4:C642,$C642),2))</f>
        <v/>
      </c>
      <c r="M642" s="19">
        <f>IF($C642="","",ROUND(SUM(基础资料!$B$4:$B$13)+SUM($J$4:J642)-SUM($K$4:K642),2))</f>
        <v/>
      </c>
      <c r="N642" s="13" t="n"/>
      <c r="O642" s="13" t="n"/>
      <c r="P642" s="17">
        <f>IF($B642="","",IF($F642="※类别不在基础资料里","※费用类别不在基础资料里",IF(AND(N($J642)=0,N($K642)=0),"※这行没填金额",IF(AND(N($J642)&gt;0,N($K642)&gt;0),"※收入和支出不能同一行都填",IF(AND($D642="收入",N($J642)=0),"※收入行要填收入金额",IF(AND($D642="支出",N($K642)=0),"※支出行要填支出金额",IF(AND($C642&lt;&gt;"",ISNA(MATCH($C642,账户表,0))),"※账户不在基础资料里",IF(AND($G642&lt;&gt;"",ISNA(MATCH($G642,项目名表,0))),"※项目不在项目台账里",IF(AND(LEFT($F642,3)="成本-",$G642=""),"※成本类支出没填项目",IF(AND(LEFT($F642,3)="成本-",$H642&lt;&gt;"",N($K642)&gt;0,COUNTIFS(采购单!$B:$B,$B642,采购单!$C:$C,$H642,采购单!$L:$L,$K642)&gt;0),"※这笔可能和采购单重复了",""))))))))))</f>
        <v/>
      </c>
    </row>
    <row r="643">
      <c r="A643" s="17">
        <f>IF($B643="","",ROW()-3)</f>
        <v/>
      </c>
      <c r="B643" s="18" t="n">
        <v>46211</v>
      </c>
      <c r="C643" s="13" t="inlineStr">
        <is>
          <t>微信1</t>
        </is>
      </c>
      <c r="D643" s="13" t="inlineStr">
        <is>
          <t>收入</t>
        </is>
      </c>
      <c r="E643" s="13" t="inlineStr">
        <is>
          <t>待分类</t>
        </is>
      </c>
      <c r="F643" s="17">
        <f>IF($E643="","",IFERROR(VLOOKUP($E643,类别归属,2,0),"※类别不在基础资料里"))</f>
        <v/>
      </c>
      <c r="G643" s="13" t="n"/>
      <c r="H643" s="13" t="n"/>
      <c r="I643" s="13" t="inlineStr">
        <is>
          <t>严先生 (严先生)</t>
        </is>
      </c>
      <c r="J643" s="14" t="n">
        <v>2600</v>
      </c>
      <c r="K643" s="14" t="n"/>
      <c r="L643" s="19">
        <f>IF($C643="","",ROUND(IFERROR(VLOOKUP($C643,账户期初,2,0),0)+SUMIFS($J$4:J643,$C$4:C643,$C643)-SUMIFS($K$4:K643,$C$4:C643,$C643),2))</f>
        <v/>
      </c>
      <c r="M643" s="19">
        <f>IF($C643="","",ROUND(SUM(基础资料!$B$4:$B$13)+SUM($J$4:J643)-SUM($K$4:K643),2))</f>
        <v/>
      </c>
      <c r="N643" s="13" t="n"/>
      <c r="O643" s="13" t="n"/>
      <c r="P643" s="17">
        <f>IF($B643="","",IF($F643="※类别不在基础资料里","※费用类别不在基础资料里",IF(AND(N($J643)=0,N($K643)=0),"※这行没填金额",IF(AND(N($J643)&gt;0,N($K643)&gt;0),"※收入和支出不能同一行都填",IF(AND($D643="收入",N($J643)=0),"※收入行要填收入金额",IF(AND($D643="支出",N($K643)=0),"※支出行要填支出金额",IF(AND($C643&lt;&gt;"",ISNA(MATCH($C643,账户表,0))),"※账户不在基础资料里",IF(AND($G643&lt;&gt;"",ISNA(MATCH($G643,项目名表,0))),"※项目不在项目台账里",IF(AND(LEFT($F643,3)="成本-",$G643=""),"※成本类支出没填项目",IF(AND(LEFT($F643,3)="成本-",$H643&lt;&gt;"",N($K643)&gt;0,COUNTIFS(采购单!$B:$B,$B643,采购单!$C:$C,$H643,采购单!$L:$L,$K643)&gt;0),"※这笔可能和采购单重复了",""))))))))))</f>
        <v/>
      </c>
    </row>
    <row r="644">
      <c r="A644" s="17">
        <f>IF($B644="","",ROW()-3)</f>
        <v/>
      </c>
      <c r="B644" s="18" t="n">
        <v>46211</v>
      </c>
      <c r="C644" s="13" t="inlineStr">
        <is>
          <t>微信1</t>
        </is>
      </c>
      <c r="D644" s="13" t="inlineStr">
        <is>
          <t>支出</t>
        </is>
      </c>
      <c r="E644" s="13" t="inlineStr">
        <is>
          <t>通讯费</t>
        </is>
      </c>
      <c r="F644" s="17">
        <f>IF($E644="","",IFERROR(VLOOKUP($E644,类别归属,2,0),"※类别不在基础资料里"))</f>
        <v/>
      </c>
      <c r="G644" s="13" t="n"/>
      <c r="H644" s="13" t="n"/>
      <c r="I644" s="13" t="inlineStr">
        <is>
          <t>手机充值-中国移动</t>
        </is>
      </c>
      <c r="J644" s="14" t="n"/>
      <c r="K644" s="14" t="n">
        <v>50</v>
      </c>
      <c r="L644" s="19">
        <f>IF($C644="","",ROUND(IFERROR(VLOOKUP($C644,账户期初,2,0),0)+SUMIFS($J$4:J644,$C$4:C644,$C644)-SUMIFS($K$4:K644,$C$4:C644,$C644),2))</f>
        <v/>
      </c>
      <c r="M644" s="19">
        <f>IF($C644="","",ROUND(SUM(基础资料!$B$4:$B$13)+SUM($J$4:J644)-SUM($K$4:K644),2))</f>
        <v/>
      </c>
      <c r="N644" s="13" t="n"/>
      <c r="O644" s="13" t="n"/>
      <c r="P644" s="17">
        <f>IF($B644="","",IF($F644="※类别不在基础资料里","※费用类别不在基础资料里",IF(AND(N($J644)=0,N($K644)=0),"※这行没填金额",IF(AND(N($J644)&gt;0,N($K644)&gt;0),"※收入和支出不能同一行都填",IF(AND($D644="收入",N($J644)=0),"※收入行要填收入金额",IF(AND($D644="支出",N($K644)=0),"※支出行要填支出金额",IF(AND($C644&lt;&gt;"",ISNA(MATCH($C644,账户表,0))),"※账户不在基础资料里",IF(AND($G644&lt;&gt;"",ISNA(MATCH($G644,项目名表,0))),"※项目不在项目台账里",IF(AND(LEFT($F644,3)="成本-",$G644=""),"※成本类支出没填项目",IF(AND(LEFT($F644,3)="成本-",$H644&lt;&gt;"",N($K644)&gt;0,COUNTIFS(采购单!$B:$B,$B644,采购单!$C:$C,$H644,采购单!$L:$L,$K644)&gt;0),"※这笔可能和采购单重复了",""))))))))))</f>
        <v/>
      </c>
    </row>
    <row r="645">
      <c r="A645" s="17">
        <f>IF($B645="","",ROW()-3)</f>
        <v/>
      </c>
      <c r="B645" s="18" t="n">
        <v>46211</v>
      </c>
      <c r="C645" s="13" t="inlineStr">
        <is>
          <t>微信1</t>
        </is>
      </c>
      <c r="D645" s="13" t="inlineStr">
        <is>
          <t>收入</t>
        </is>
      </c>
      <c r="E645" s="13" t="inlineStr">
        <is>
          <t>待分类</t>
        </is>
      </c>
      <c r="F645" s="17">
        <f>IF($E645="","",IFERROR(VLOOKUP($E645,类别归属,2,0),"※类别不在基础资料里"))</f>
        <v/>
      </c>
      <c r="G645" s="13" t="n"/>
      <c r="H645" s="13" t="n"/>
      <c r="I645" s="13" t="inlineStr">
        <is>
          <t>青禾里烧烤 (青禾里烧烤)</t>
        </is>
      </c>
      <c r="J645" s="14" t="n">
        <v>4000</v>
      </c>
      <c r="K645" s="14" t="n"/>
      <c r="L645" s="19">
        <f>IF($C645="","",ROUND(IFERROR(VLOOKUP($C645,账户期初,2,0),0)+SUMIFS($J$4:J645,$C$4:C645,$C645)-SUMIFS($K$4:K645,$C$4:C645,$C645),2))</f>
        <v/>
      </c>
      <c r="M645" s="19">
        <f>IF($C645="","",ROUND(SUM(基础资料!$B$4:$B$13)+SUM($J$4:J645)-SUM($K$4:K645),2))</f>
        <v/>
      </c>
      <c r="N645" s="13" t="n"/>
      <c r="O645" s="13" t="n"/>
      <c r="P645" s="17">
        <f>IF($B645="","",IF($F645="※类别不在基础资料里","※费用类别不在基础资料里",IF(AND(N($J645)=0,N($K645)=0),"※这行没填金额",IF(AND(N($J645)&gt;0,N($K645)&gt;0),"※收入和支出不能同一行都填",IF(AND($D645="收入",N($J645)=0),"※收入行要填收入金额",IF(AND($D645="支出",N($K645)=0),"※支出行要填支出金额",IF(AND($C645&lt;&gt;"",ISNA(MATCH($C645,账户表,0))),"※账户不在基础资料里",IF(AND($G645&lt;&gt;"",ISNA(MATCH($G645,项目名表,0))),"※项目不在项目台账里",IF(AND(LEFT($F645,3)="成本-",$G645=""),"※成本类支出没填项目",IF(AND(LEFT($F645,3)="成本-",$H645&lt;&gt;"",N($K645)&gt;0,COUNTIFS(采购单!$B:$B,$B645,采购单!$C:$C,$H645,采购单!$L:$L,$K645)&gt;0),"※这笔可能和采购单重复了",""))))))))))</f>
        <v/>
      </c>
    </row>
    <row r="646">
      <c r="A646" s="17">
        <f>IF($B646="","",ROW()-3)</f>
        <v/>
      </c>
      <c r="B646" s="18" t="n">
        <v>46212</v>
      </c>
      <c r="C646" s="13" t="inlineStr">
        <is>
          <t>微信1</t>
        </is>
      </c>
      <c r="D646" s="13" t="inlineStr">
        <is>
          <t>支出</t>
        </is>
      </c>
      <c r="E646" s="13" t="inlineStr">
        <is>
          <t>运费/快递费</t>
        </is>
      </c>
      <c r="F646" s="17">
        <f>IF($E646="","",IFERROR(VLOOKUP($E646,类别归属,2,0),"※类别不在基础资料里"))</f>
        <v/>
      </c>
      <c r="G646" s="13" t="n"/>
      <c r="H646" s="13" t="n"/>
      <c r="I646" s="13" t="inlineStr">
        <is>
          <t>杭州炳秀湖州26-28武晓军 (杭州炳秀湖州26-28武晓军)</t>
        </is>
      </c>
      <c r="J646" s="14" t="n"/>
      <c r="K646" s="14" t="n">
        <v>213</v>
      </c>
      <c r="L646" s="19">
        <f>IF($C646="","",ROUND(IFERROR(VLOOKUP($C646,账户期初,2,0),0)+SUMIFS($J$4:J646,$C$4:C646,$C646)-SUMIFS($K$4:K646,$C$4:C646,$C646),2))</f>
        <v/>
      </c>
      <c r="M646" s="19">
        <f>IF($C646="","",ROUND(SUM(基础资料!$B$4:$B$13)+SUM($J$4:J646)-SUM($K$4:K646),2))</f>
        <v/>
      </c>
      <c r="N646" s="13" t="n"/>
      <c r="O646" s="13" t="n"/>
      <c r="P646" s="17">
        <f>IF($B646="","",IF($F646="※类别不在基础资料里","※费用类别不在基础资料里",IF(AND(N($J646)=0,N($K646)=0),"※这行没填金额",IF(AND(N($J646)&gt;0,N($K646)&gt;0),"※收入和支出不能同一行都填",IF(AND($D646="收入",N($J646)=0),"※收入行要填收入金额",IF(AND($D646="支出",N($K646)=0),"※支出行要填支出金额",IF(AND($C646&lt;&gt;"",ISNA(MATCH($C646,账户表,0))),"※账户不在基础资料里",IF(AND($G646&lt;&gt;"",ISNA(MATCH($G646,项目名表,0))),"※项目不在项目台账里",IF(AND(LEFT($F646,3)="成本-",$G646=""),"※成本类支出没填项目",IF(AND(LEFT($F646,3)="成本-",$H646&lt;&gt;"",N($K646)&gt;0,COUNTIFS(采购单!$B:$B,$B646,采购单!$C:$C,$H646,采购单!$L:$L,$K646)&gt;0),"※这笔可能和采购单重复了",""))))))))))</f>
        <v/>
      </c>
    </row>
    <row r="647">
      <c r="A647" s="17">
        <f>IF($B647="","",ROW()-3)</f>
        <v/>
      </c>
      <c r="B647" s="18" t="n">
        <v>46212</v>
      </c>
      <c r="C647" s="13" t="inlineStr">
        <is>
          <t>微信1</t>
        </is>
      </c>
      <c r="D647" s="13" t="inlineStr">
        <is>
          <t>支出</t>
        </is>
      </c>
      <c r="E647" s="13" t="inlineStr">
        <is>
          <t>主材采购</t>
        </is>
      </c>
      <c r="F647" s="17">
        <f>IF($E647="","",IFERROR(VLOOKUP($E647,类别归属,2,0),"※类别不在基础资料里"))</f>
        <v/>
      </c>
      <c r="G647" s="13" t="n"/>
      <c r="H647" s="13" t="n"/>
      <c r="I647" s="13" t="inlineStr">
        <is>
          <t>新鸿业印刷金俊13971397479 (新鸿业印刷金俊13971397479)</t>
        </is>
      </c>
      <c r="J647" s="14" t="n"/>
      <c r="K647" s="14" t="n">
        <v>200</v>
      </c>
      <c r="L647" s="19">
        <f>IF($C647="","",ROUND(IFERROR(VLOOKUP($C647,账户期初,2,0),0)+SUMIFS($J$4:J647,$C$4:C647,$C647)-SUMIFS($K$4:K647,$C$4:C647,$C647),2))</f>
        <v/>
      </c>
      <c r="M647" s="19">
        <f>IF($C647="","",ROUND(SUM(基础资料!$B$4:$B$13)+SUM($J$4:J647)-SUM($K$4:K647),2))</f>
        <v/>
      </c>
      <c r="N647" s="13" t="n"/>
      <c r="O647" s="13" t="n"/>
      <c r="P647" s="17">
        <f>IF($B647="","",IF($F647="※类别不在基础资料里","※费用类别不在基础资料里",IF(AND(N($J647)=0,N($K647)=0),"※这行没填金额",IF(AND(N($J647)&gt;0,N($K647)&gt;0),"※收入和支出不能同一行都填",IF(AND($D647="收入",N($J647)=0),"※收入行要填收入金额",IF(AND($D647="支出",N($K647)=0),"※支出行要填支出金额",IF(AND($C647&lt;&gt;"",ISNA(MATCH($C647,账户表,0))),"※账户不在基础资料里",IF(AND($G647&lt;&gt;"",ISNA(MATCH($G647,项目名表,0))),"※项目不在项目台账里",IF(AND(LEFT($F647,3)="成本-",$G647=""),"※成本类支出没填项目",IF(AND(LEFT($F647,3)="成本-",$H647&lt;&gt;"",N($K647)&gt;0,COUNTIFS(采购单!$B:$B,$B647,采购单!$C:$C,$H647,采购单!$L:$L,$K647)&gt;0),"※这笔可能和采购单重复了",""))))))))))</f>
        <v/>
      </c>
    </row>
    <row r="648">
      <c r="A648" s="17">
        <f>IF($B648="","",ROW()-3)</f>
        <v/>
      </c>
      <c r="B648" s="18" t="n">
        <v>46212</v>
      </c>
      <c r="C648" s="13" t="inlineStr">
        <is>
          <t>微信1</t>
        </is>
      </c>
      <c r="D648" s="13" t="inlineStr">
        <is>
          <t>支出</t>
        </is>
      </c>
      <c r="E648" s="13" t="inlineStr">
        <is>
          <t>待分类</t>
        </is>
      </c>
      <c r="F648" s="17">
        <f>IF($E648="","",IFERROR(VLOOKUP($E648,类别归属,2,0),"※类别不在基础资料里"))</f>
        <v/>
      </c>
      <c r="G648" s="13" t="n"/>
      <c r="H648" s="13" t="n"/>
      <c r="I648" s="13" t="inlineStr">
        <is>
          <t>人民电器</t>
        </is>
      </c>
      <c r="J648" s="14" t="n"/>
      <c r="K648" s="14" t="n">
        <v>414</v>
      </c>
      <c r="L648" s="19">
        <f>IF($C648="","",ROUND(IFERROR(VLOOKUP($C648,账户期初,2,0),0)+SUMIFS($J$4:J648,$C$4:C648,$C648)-SUMIFS($K$4:K648,$C$4:C648,$C648),2))</f>
        <v/>
      </c>
      <c r="M648" s="19">
        <f>IF($C648="","",ROUND(SUM(基础资料!$B$4:$B$13)+SUM($J$4:J648)-SUM($K$4:K648),2))</f>
        <v/>
      </c>
      <c r="N648" s="13" t="n"/>
      <c r="O648" s="13" t="n"/>
      <c r="P648" s="17">
        <f>IF($B648="","",IF($F648="※类别不在基础资料里","※费用类别不在基础资料里",IF(AND(N($J648)=0,N($K648)=0),"※这行没填金额",IF(AND(N($J648)&gt;0,N($K648)&gt;0),"※收入和支出不能同一行都填",IF(AND($D648="收入",N($J648)=0),"※收入行要填收入金额",IF(AND($D648="支出",N($K648)=0),"※支出行要填支出金额",IF(AND($C648&lt;&gt;"",ISNA(MATCH($C648,账户表,0))),"※账户不在基础资料里",IF(AND($G648&lt;&gt;"",ISNA(MATCH($G648,项目名表,0))),"※项目不在项目台账里",IF(AND(LEFT($F648,3)="成本-",$G648=""),"※成本类支出没填项目",IF(AND(LEFT($F648,3)="成本-",$H648&lt;&gt;"",N($K648)&gt;0,COUNTIFS(采购单!$B:$B,$B648,采购单!$C:$C,$H648,采购单!$L:$L,$K648)&gt;0),"※这笔可能和采购单重复了",""))))))))))</f>
        <v/>
      </c>
    </row>
    <row r="649">
      <c r="A649" s="17">
        <f>IF($B649="","",ROW()-3)</f>
        <v/>
      </c>
      <c r="B649" s="18" t="n">
        <v>46213</v>
      </c>
      <c r="C649" s="13" t="inlineStr">
        <is>
          <t>微信1</t>
        </is>
      </c>
      <c r="D649" s="13" t="inlineStr">
        <is>
          <t>支出</t>
        </is>
      </c>
      <c r="E649" s="13" t="inlineStr">
        <is>
          <t>运费/快递费</t>
        </is>
      </c>
      <c r="F649" s="17">
        <f>IF($E649="","",IFERROR(VLOOKUP($E649,类别归属,2,0),"※类别不在基础资料里"))</f>
        <v/>
      </c>
      <c r="G649" s="13" t="n"/>
      <c r="H649" s="13" t="n"/>
      <c r="I649" s="13" t="inlineStr">
        <is>
          <t>杭州炳秀湖州26-28武晓军 (杭州炳秀湖州26-28武晓军)</t>
        </is>
      </c>
      <c r="J649" s="14" t="n"/>
      <c r="K649" s="14" t="n">
        <v>158</v>
      </c>
      <c r="L649" s="19">
        <f>IF($C649="","",ROUND(IFERROR(VLOOKUP($C649,账户期初,2,0),0)+SUMIFS($J$4:J649,$C$4:C649,$C649)-SUMIFS($K$4:K649,$C$4:C649,$C649),2))</f>
        <v/>
      </c>
      <c r="M649" s="19">
        <f>IF($C649="","",ROUND(SUM(基础资料!$B$4:$B$13)+SUM($J$4:J649)-SUM($K$4:K649),2))</f>
        <v/>
      </c>
      <c r="N649" s="13" t="n"/>
      <c r="O649" s="13" t="n"/>
      <c r="P649" s="17">
        <f>IF($B649="","",IF($F649="※类别不在基础资料里","※费用类别不在基础资料里",IF(AND(N($J649)=0,N($K649)=0),"※这行没填金额",IF(AND(N($J649)&gt;0,N($K649)&gt;0),"※收入和支出不能同一行都填",IF(AND($D649="收入",N($J649)=0),"※收入行要填收入金额",IF(AND($D649="支出",N($K649)=0),"※支出行要填支出金额",IF(AND($C649&lt;&gt;"",ISNA(MATCH($C649,账户表,0))),"※账户不在基础资料里",IF(AND($G649&lt;&gt;"",ISNA(MATCH($G649,项目名表,0))),"※项目不在项目台账里",IF(AND(LEFT($F649,3)="成本-",$G649=""),"※成本类支出没填项目",IF(AND(LEFT($F649,3)="成本-",$H649&lt;&gt;"",N($K649)&gt;0,COUNTIFS(采购单!$B:$B,$B649,采购单!$C:$C,$H649,采购单!$L:$L,$K649)&gt;0),"※这笔可能和采购单重复了",""))))))))))</f>
        <v/>
      </c>
    </row>
    <row r="650">
      <c r="A650" s="17">
        <f>IF($B650="","",ROW()-3)</f>
        <v/>
      </c>
      <c r="B650" s="18" t="n">
        <v>46213</v>
      </c>
      <c r="C650" s="13" t="inlineStr">
        <is>
          <t>微信1</t>
        </is>
      </c>
      <c r="D650" s="13" t="inlineStr">
        <is>
          <t>支出</t>
        </is>
      </c>
      <c r="E650" s="13" t="inlineStr">
        <is>
          <t>主材采购</t>
        </is>
      </c>
      <c r="F650" s="17">
        <f>IF($E650="","",IFERROR(VLOOKUP($E650,类别归属,2,0),"※类别不在基础资料里"))</f>
        <v/>
      </c>
      <c r="G650" s="13" t="n"/>
      <c r="H650" s="13" t="n"/>
      <c r="I650" s="13" t="inlineStr">
        <is>
          <t>上达铝单板铝方通孙13913803884 (上达铝单板铝方通孙13913803884)</t>
        </is>
      </c>
      <c r="J650" s="14" t="n"/>
      <c r="K650" s="14" t="n">
        <v>500</v>
      </c>
      <c r="L650" s="19">
        <f>IF($C650="","",ROUND(IFERROR(VLOOKUP($C650,账户期初,2,0),0)+SUMIFS($J$4:J650,$C$4:C650,$C650)-SUMIFS($K$4:K650,$C$4:C650,$C650),2))</f>
        <v/>
      </c>
      <c r="M650" s="19">
        <f>IF($C650="","",ROUND(SUM(基础资料!$B$4:$B$13)+SUM($J$4:J650)-SUM($K$4:K650),2))</f>
        <v/>
      </c>
      <c r="N650" s="13" t="n"/>
      <c r="O650" s="13" t="n"/>
      <c r="P650" s="17">
        <f>IF($B650="","",IF($F650="※类别不在基础资料里","※费用类别不在基础资料里",IF(AND(N($J650)=0,N($K650)=0),"※这行没填金额",IF(AND(N($J650)&gt;0,N($K650)&gt;0),"※收入和支出不能同一行都填",IF(AND($D650="收入",N($J650)=0),"※收入行要填收入金额",IF(AND($D650="支出",N($K650)=0),"※支出行要填支出金额",IF(AND($C650&lt;&gt;"",ISNA(MATCH($C650,账户表,0))),"※账户不在基础资料里",IF(AND($G650&lt;&gt;"",ISNA(MATCH($G650,项目名表,0))),"※项目不在项目台账里",IF(AND(LEFT($F650,3)="成本-",$G650=""),"※成本类支出没填项目",IF(AND(LEFT($F650,3)="成本-",$H650&lt;&gt;"",N($K650)&gt;0,COUNTIFS(采购单!$B:$B,$B650,采购单!$C:$C,$H650,采购单!$L:$L,$K650)&gt;0),"※这笔可能和采购单重复了",""))))))))))</f>
        <v/>
      </c>
    </row>
    <row r="651">
      <c r="A651" s="17">
        <f>IF($B651="","",ROW()-3)</f>
        <v/>
      </c>
      <c r="B651" s="18" t="n">
        <v>46214</v>
      </c>
      <c r="C651" s="13" t="inlineStr">
        <is>
          <t>微信1</t>
        </is>
      </c>
      <c r="D651" s="13" t="inlineStr">
        <is>
          <t>支出</t>
        </is>
      </c>
      <c r="E651" s="13" t="inlineStr">
        <is>
          <t>运费/快递费</t>
        </is>
      </c>
      <c r="F651" s="17">
        <f>IF($E651="","",IFERROR(VLOOKUP($E651,类别归属,2,0),"※类别不在基础资料里"))</f>
        <v/>
      </c>
      <c r="G651" s="13" t="n"/>
      <c r="H651" s="13" t="n"/>
      <c r="I651" s="13" t="inlineStr">
        <is>
          <t>杭州炳秀湖州26-28武晓军 (杭州炳秀湖州26-28武晓军)</t>
        </is>
      </c>
      <c r="J651" s="14" t="n"/>
      <c r="K651" s="14" t="n">
        <v>59</v>
      </c>
      <c r="L651" s="19">
        <f>IF($C651="","",ROUND(IFERROR(VLOOKUP($C651,账户期初,2,0),0)+SUMIFS($J$4:J651,$C$4:C651,$C651)-SUMIFS($K$4:K651,$C$4:C651,$C651),2))</f>
        <v/>
      </c>
      <c r="M651" s="19">
        <f>IF($C651="","",ROUND(SUM(基础资料!$B$4:$B$13)+SUM($J$4:J651)-SUM($K$4:K651),2))</f>
        <v/>
      </c>
      <c r="N651" s="13" t="n"/>
      <c r="O651" s="13" t="n"/>
      <c r="P651" s="17">
        <f>IF($B651="","",IF($F651="※类别不在基础资料里","※费用类别不在基础资料里",IF(AND(N($J651)=0,N($K651)=0),"※这行没填金额",IF(AND(N($J651)&gt;0,N($K651)&gt;0),"※收入和支出不能同一行都填",IF(AND($D651="收入",N($J651)=0),"※收入行要填收入金额",IF(AND($D651="支出",N($K651)=0),"※支出行要填支出金额",IF(AND($C651&lt;&gt;"",ISNA(MATCH($C651,账户表,0))),"※账户不在基础资料里",IF(AND($G651&lt;&gt;"",ISNA(MATCH($G651,项目名表,0))),"※项目不在项目台账里",IF(AND(LEFT($F651,3)="成本-",$G651=""),"※成本类支出没填项目",IF(AND(LEFT($F651,3)="成本-",$H651&lt;&gt;"",N($K651)&gt;0,COUNTIFS(采购单!$B:$B,$B651,采购单!$C:$C,$H651,采购单!$L:$L,$K651)&gt;0),"※这笔可能和采购单重复了",""))))))))))</f>
        <v/>
      </c>
    </row>
    <row r="652">
      <c r="A652" s="17">
        <f>IF($B652="","",ROW()-3)</f>
        <v/>
      </c>
      <c r="B652" s="18" t="n">
        <v>46214</v>
      </c>
      <c r="C652" s="13" t="inlineStr">
        <is>
          <t>微信1</t>
        </is>
      </c>
      <c r="D652" s="13" t="inlineStr">
        <is>
          <t>支出</t>
        </is>
      </c>
      <c r="E652" s="13" t="inlineStr">
        <is>
          <t>待分类</t>
        </is>
      </c>
      <c r="F652" s="17">
        <f>IF($E652="","",IFERROR(VLOOKUP($E652,类别归属,2,0),"※类别不在基础资料里"))</f>
        <v/>
      </c>
      <c r="G652" s="13" t="n"/>
      <c r="H652" s="13" t="n"/>
      <c r="I652" s="13" t="inlineStr">
        <is>
          <t>吉祥     吴玲芳13567289348 (吉祥     吴玲芳13567289348)</t>
        </is>
      </c>
      <c r="J652" s="14" t="n"/>
      <c r="K652" s="14" t="n">
        <v>90</v>
      </c>
      <c r="L652" s="19">
        <f>IF($C652="","",ROUND(IFERROR(VLOOKUP($C652,账户期初,2,0),0)+SUMIFS($J$4:J652,$C$4:C652,$C652)-SUMIFS($K$4:K652,$C$4:C652,$C652),2))</f>
        <v/>
      </c>
      <c r="M652" s="19">
        <f>IF($C652="","",ROUND(SUM(基础资料!$B$4:$B$13)+SUM($J$4:J652)-SUM($K$4:K652),2))</f>
        <v/>
      </c>
      <c r="N652" s="13" t="n"/>
      <c r="O652" s="13" t="n"/>
      <c r="P652" s="17">
        <f>IF($B652="","",IF($F652="※类别不在基础资料里","※费用类别不在基础资料里",IF(AND(N($J652)=0,N($K652)=0),"※这行没填金额",IF(AND(N($J652)&gt;0,N($K652)&gt;0),"※收入和支出不能同一行都填",IF(AND($D652="收入",N($J652)=0),"※收入行要填收入金额",IF(AND($D652="支出",N($K652)=0),"※支出行要填支出金额",IF(AND($C652&lt;&gt;"",ISNA(MATCH($C652,账户表,0))),"※账户不在基础资料里",IF(AND($G652&lt;&gt;"",ISNA(MATCH($G652,项目名表,0))),"※项目不在项目台账里",IF(AND(LEFT($F652,3)="成本-",$G652=""),"※成本类支出没填项目",IF(AND(LEFT($F652,3)="成本-",$H652&lt;&gt;"",N($K652)&gt;0,COUNTIFS(采购单!$B:$B,$B652,采购单!$C:$C,$H652,采购单!$L:$L,$K652)&gt;0),"※这笔可能和采购单重复了",""))))))))))</f>
        <v/>
      </c>
    </row>
    <row r="653">
      <c r="A653" s="17">
        <f>IF($B653="","",ROW()-3)</f>
        <v/>
      </c>
      <c r="B653" s="18" t="n">
        <v>46215</v>
      </c>
      <c r="C653" s="13" t="inlineStr">
        <is>
          <t>微信1</t>
        </is>
      </c>
      <c r="D653" s="13" t="inlineStr">
        <is>
          <t>支出</t>
        </is>
      </c>
      <c r="E653" s="13" t="inlineStr">
        <is>
          <t>运费/快递费</t>
        </is>
      </c>
      <c r="F653" s="17">
        <f>IF($E653="","",IFERROR(VLOOKUP($E653,类别归属,2,0),"※类别不在基础资料里"))</f>
        <v/>
      </c>
      <c r="G653" s="13" t="n"/>
      <c r="H653" s="13" t="n"/>
      <c r="I653" s="13" t="inlineStr">
        <is>
          <t>杭州炳秀湖州26-28武晓军 (杭州炳秀湖州26-28武晓军)</t>
        </is>
      </c>
      <c r="J653" s="14" t="n"/>
      <c r="K653" s="14" t="n">
        <v>113</v>
      </c>
      <c r="L653" s="19">
        <f>IF($C653="","",ROUND(IFERROR(VLOOKUP($C653,账户期初,2,0),0)+SUMIFS($J$4:J653,$C$4:C653,$C653)-SUMIFS($K$4:K653,$C$4:C653,$C653),2))</f>
        <v/>
      </c>
      <c r="M653" s="19">
        <f>IF($C653="","",ROUND(SUM(基础资料!$B$4:$B$13)+SUM($J$4:J653)-SUM($K$4:K653),2))</f>
        <v/>
      </c>
      <c r="N653" s="13" t="n"/>
      <c r="O653" s="13" t="n"/>
      <c r="P653" s="17">
        <f>IF($B653="","",IF($F653="※类别不在基础资料里","※费用类别不在基础资料里",IF(AND(N($J653)=0,N($K653)=0),"※这行没填金额",IF(AND(N($J653)&gt;0,N($K653)&gt;0),"※收入和支出不能同一行都填",IF(AND($D653="收入",N($J653)=0),"※收入行要填收入金额",IF(AND($D653="支出",N($K653)=0),"※支出行要填支出金额",IF(AND($C653&lt;&gt;"",ISNA(MATCH($C653,账户表,0))),"※账户不在基础资料里",IF(AND($G653&lt;&gt;"",ISNA(MATCH($G653,项目名表,0))),"※项目不在项目台账里",IF(AND(LEFT($F653,3)="成本-",$G653=""),"※成本类支出没填项目",IF(AND(LEFT($F653,3)="成本-",$H653&lt;&gt;"",N($K653)&gt;0,COUNTIFS(采购单!$B:$B,$B653,采购单!$C:$C,$H653,采购单!$L:$L,$K653)&gt;0),"※这笔可能和采购单重复了",""))))))))))</f>
        <v/>
      </c>
    </row>
    <row r="654">
      <c r="A654" s="17">
        <f>IF($B654="","",ROW()-3)</f>
        <v/>
      </c>
      <c r="B654" s="18" t="n">
        <v>46216</v>
      </c>
      <c r="C654" s="13" t="inlineStr">
        <is>
          <t>微信1</t>
        </is>
      </c>
      <c r="D654" s="13" t="inlineStr">
        <is>
          <t>支出</t>
        </is>
      </c>
      <c r="E654" s="13" t="inlineStr">
        <is>
          <t>运费/快递费</t>
        </is>
      </c>
      <c r="F654" s="17">
        <f>IF($E654="","",IFERROR(VLOOKUP($E654,类别归属,2,0),"※类别不在基础资料里"))</f>
        <v/>
      </c>
      <c r="G654" s="13" t="n"/>
      <c r="H654" s="13" t="n"/>
      <c r="I654" s="13" t="inlineStr">
        <is>
          <t>杭州炳秀湖州26-28武晓军 (杭州炳秀湖州26-28武晓军)</t>
        </is>
      </c>
      <c r="J654" s="14" t="n"/>
      <c r="K654" s="14" t="n">
        <v>151</v>
      </c>
      <c r="L654" s="19">
        <f>IF($C654="","",ROUND(IFERROR(VLOOKUP($C654,账户期初,2,0),0)+SUMIFS($J$4:J654,$C$4:C654,$C654)-SUMIFS($K$4:K654,$C$4:C654,$C654),2))</f>
        <v/>
      </c>
      <c r="M654" s="19">
        <f>IF($C654="","",ROUND(SUM(基础资料!$B$4:$B$13)+SUM($J$4:J654)-SUM($K$4:K654),2))</f>
        <v/>
      </c>
      <c r="N654" s="13" t="n"/>
      <c r="O654" s="13" t="n"/>
      <c r="P654" s="17">
        <f>IF($B654="","",IF($F654="※类别不在基础资料里","※费用类别不在基础资料里",IF(AND(N($J654)=0,N($K654)=0),"※这行没填金额",IF(AND(N($J654)&gt;0,N($K654)&gt;0),"※收入和支出不能同一行都填",IF(AND($D654="收入",N($J654)=0),"※收入行要填收入金额",IF(AND($D654="支出",N($K654)=0),"※支出行要填支出金额",IF(AND($C654&lt;&gt;"",ISNA(MATCH($C654,账户表,0))),"※账户不在基础资料里",IF(AND($G654&lt;&gt;"",ISNA(MATCH($G654,项目名表,0))),"※项目不在项目台账里",IF(AND(LEFT($F654,3)="成本-",$G654=""),"※成本类支出没填项目",IF(AND(LEFT($F654,3)="成本-",$H654&lt;&gt;"",N($K654)&gt;0,COUNTIFS(采购单!$B:$B,$B654,采购单!$C:$C,$H654,采购单!$L:$L,$K654)&gt;0),"※这笔可能和采购单重复了",""))))))))))</f>
        <v/>
      </c>
    </row>
    <row r="655">
      <c r="A655" s="17">
        <f>IF($B655="","",ROW()-3)</f>
        <v/>
      </c>
      <c r="B655" s="18" t="n">
        <v>46216</v>
      </c>
      <c r="C655" s="13" t="inlineStr">
        <is>
          <t>微信1</t>
        </is>
      </c>
      <c r="D655" s="13" t="inlineStr">
        <is>
          <t>支出</t>
        </is>
      </c>
      <c r="E655" s="13" t="inlineStr">
        <is>
          <t>运费/快递费</t>
        </is>
      </c>
      <c r="F655" s="17">
        <f>IF($E655="","",IFERROR(VLOOKUP($E655,类别归属,2,0),"※类别不在基础资料里"))</f>
        <v/>
      </c>
      <c r="G655" s="13" t="n"/>
      <c r="H655" s="13" t="inlineStr">
        <is>
          <t>货拉拉</t>
        </is>
      </c>
      <c r="I655" s="13" t="inlineStr">
        <is>
          <t>货拉拉</t>
        </is>
      </c>
      <c r="J655" s="14" t="n"/>
      <c r="K655" s="14" t="n">
        <v>32.71</v>
      </c>
      <c r="L655" s="19">
        <f>IF($C655="","",ROUND(IFERROR(VLOOKUP($C655,账户期初,2,0),0)+SUMIFS($J$4:J655,$C$4:C655,$C655)-SUMIFS($K$4:K655,$C$4:C655,$C655),2))</f>
        <v/>
      </c>
      <c r="M655" s="19">
        <f>IF($C655="","",ROUND(SUM(基础资料!$B$4:$B$13)+SUM($J$4:J655)-SUM($K$4:K655),2))</f>
        <v/>
      </c>
      <c r="N655" s="13" t="n"/>
      <c r="O655" s="13" t="n"/>
      <c r="P655" s="17">
        <f>IF($B655="","",IF($F655="※类别不在基础资料里","※费用类别不在基础资料里",IF(AND(N($J655)=0,N($K655)=0),"※这行没填金额",IF(AND(N($J655)&gt;0,N($K655)&gt;0),"※收入和支出不能同一行都填",IF(AND($D655="收入",N($J655)=0),"※收入行要填收入金额",IF(AND($D655="支出",N($K655)=0),"※支出行要填支出金额",IF(AND($C655&lt;&gt;"",ISNA(MATCH($C655,账户表,0))),"※账户不在基础资料里",IF(AND($G655&lt;&gt;"",ISNA(MATCH($G655,项目名表,0))),"※项目不在项目台账里",IF(AND(LEFT($F655,3)="成本-",$G655=""),"※成本类支出没填项目",IF(AND(LEFT($F655,3)="成本-",$H655&lt;&gt;"",N($K655)&gt;0,COUNTIFS(采购单!$B:$B,$B655,采购单!$C:$C,$H655,采购单!$L:$L,$K655)&gt;0),"※这笔可能和采购单重复了",""))))))))))</f>
        <v/>
      </c>
    </row>
    <row r="656">
      <c r="A656" s="17">
        <f>IF($B656="","",ROW()-3)</f>
        <v/>
      </c>
      <c r="B656" s="18" t="n">
        <v>46216</v>
      </c>
      <c r="C656" s="13" t="inlineStr">
        <is>
          <t>微信1</t>
        </is>
      </c>
      <c r="D656" s="13" t="inlineStr">
        <is>
          <t>支出</t>
        </is>
      </c>
      <c r="E656" s="13" t="inlineStr">
        <is>
          <t>待分类</t>
        </is>
      </c>
      <c r="F656" s="17">
        <f>IF($E656="","",IFERROR(VLOOKUP($E656,类别归属,2,0),"※类别不在基础资料里"))</f>
        <v/>
      </c>
      <c r="G656" s="13" t="n"/>
      <c r="H656" s="13" t="n"/>
      <c r="I656" s="13" t="inlineStr">
        <is>
          <t>朴太院·首尔烤肉（湖州首店） (朴太院·首尔烤肉（湖州首店）)</t>
        </is>
      </c>
      <c r="J656" s="14" t="n"/>
      <c r="K656" s="14" t="n">
        <v>300</v>
      </c>
      <c r="L656" s="19">
        <f>IF($C656="","",ROUND(IFERROR(VLOOKUP($C656,账户期初,2,0),0)+SUMIFS($J$4:J656,$C$4:C656,$C656)-SUMIFS($K$4:K656,$C$4:C656,$C656),2))</f>
        <v/>
      </c>
      <c r="M656" s="19">
        <f>IF($C656="","",ROUND(SUM(基础资料!$B$4:$B$13)+SUM($J$4:J656)-SUM($K$4:K656),2))</f>
        <v/>
      </c>
      <c r="N656" s="13" t="n"/>
      <c r="O656" s="13" t="n"/>
      <c r="P656" s="17">
        <f>IF($B656="","",IF($F656="※类别不在基础资料里","※费用类别不在基础资料里",IF(AND(N($J656)=0,N($K656)=0),"※这行没填金额",IF(AND(N($J656)&gt;0,N($K656)&gt;0),"※收入和支出不能同一行都填",IF(AND($D656="收入",N($J656)=0),"※收入行要填收入金额",IF(AND($D656="支出",N($K656)=0),"※支出行要填支出金额",IF(AND($C656&lt;&gt;"",ISNA(MATCH($C656,账户表,0))),"※账户不在基础资料里",IF(AND($G656&lt;&gt;"",ISNA(MATCH($G656,项目名表,0))),"※项目不在项目台账里",IF(AND(LEFT($F656,3)="成本-",$G656=""),"※成本类支出没填项目",IF(AND(LEFT($F656,3)="成本-",$H656&lt;&gt;"",N($K656)&gt;0,COUNTIFS(采购单!$B:$B,$B656,采购单!$C:$C,$H656,采购单!$L:$L,$K656)&gt;0),"※这笔可能和采购单重复了",""))))))))))</f>
        <v/>
      </c>
    </row>
    <row r="657">
      <c r="A657" s="17">
        <f>IF($B657="","",ROW()-3)</f>
        <v/>
      </c>
      <c r="B657" s="18" t="n">
        <v>46216</v>
      </c>
      <c r="C657" s="13" t="inlineStr">
        <is>
          <t>微信1</t>
        </is>
      </c>
      <c r="D657" s="13" t="inlineStr">
        <is>
          <t>收入</t>
        </is>
      </c>
      <c r="E657" s="13" t="inlineStr">
        <is>
          <t>待分类</t>
        </is>
      </c>
      <c r="F657" s="17">
        <f>IF($E657="","",IFERROR(VLOOKUP($E657,类别归属,2,0),"※类别不在基础资料里"))</f>
        <v/>
      </c>
      <c r="G657" s="13" t="n"/>
      <c r="H657" s="13" t="n"/>
      <c r="I657" s="13" t="inlineStr">
        <is>
          <t>朴太院·首尔烤肉（湖州首店） (朴太院·首尔烤肉（湖州首店）)</t>
        </is>
      </c>
      <c r="J657" s="14" t="n">
        <v>300</v>
      </c>
      <c r="K657" s="14" t="n"/>
      <c r="L657" s="19">
        <f>IF($C657="","",ROUND(IFERROR(VLOOKUP($C657,账户期初,2,0),0)+SUMIFS($J$4:J657,$C$4:C657,$C657)-SUMIFS($K$4:K657,$C$4:C657,$C657),2))</f>
        <v/>
      </c>
      <c r="M657" s="19">
        <f>IF($C657="","",ROUND(SUM(基础资料!$B$4:$B$13)+SUM($J$4:J657)-SUM($K$4:K657),2))</f>
        <v/>
      </c>
      <c r="N657" s="13" t="n"/>
      <c r="O657" s="13" t="n"/>
      <c r="P657" s="17">
        <f>IF($B657="","",IF($F657="※类别不在基础资料里","※费用类别不在基础资料里",IF(AND(N($J657)=0,N($K657)=0),"※这行没填金额",IF(AND(N($J657)&gt;0,N($K657)&gt;0),"※收入和支出不能同一行都填",IF(AND($D657="收入",N($J657)=0),"※收入行要填收入金额",IF(AND($D657="支出",N($K657)=0),"※支出行要填支出金额",IF(AND($C657&lt;&gt;"",ISNA(MATCH($C657,账户表,0))),"※账户不在基础资料里",IF(AND($G657&lt;&gt;"",ISNA(MATCH($G657,项目名表,0))),"※项目不在项目台账里",IF(AND(LEFT($F657,3)="成本-",$G657=""),"※成本类支出没填项目",IF(AND(LEFT($F657,3)="成本-",$H657&lt;&gt;"",N($K657)&gt;0,COUNTIFS(采购单!$B:$B,$B657,采购单!$C:$C,$H657,采购单!$L:$L,$K657)&gt;0),"※这笔可能和采购单重复了",""))))))))))</f>
        <v/>
      </c>
    </row>
    <row r="658">
      <c r="A658" s="17">
        <f>IF($B658="","",ROW()-3)</f>
        <v/>
      </c>
      <c r="B658" s="18" t="n">
        <v>46216</v>
      </c>
      <c r="C658" s="13" t="inlineStr">
        <is>
          <t>微信1</t>
        </is>
      </c>
      <c r="D658" s="13" t="inlineStr">
        <is>
          <t>收入</t>
        </is>
      </c>
      <c r="E658" s="13" t="inlineStr">
        <is>
          <t>待分类</t>
        </is>
      </c>
      <c r="F658" s="17">
        <f>IF($E658="","",IFERROR(VLOOKUP($E658,类别归属,2,0),"※类别不在基础资料里"))</f>
        <v/>
      </c>
      <c r="G658" s="13" t="n"/>
      <c r="H658" s="13" t="n"/>
      <c r="I658" s="13" t="inlineStr">
        <is>
          <t>朴太院·首尔烤肉（湖州首店） (朴太院·首尔烤肉（湖州首店）)</t>
        </is>
      </c>
      <c r="J658" s="14" t="n">
        <v>300</v>
      </c>
      <c r="K658" s="14" t="n"/>
      <c r="L658" s="19">
        <f>IF($C658="","",ROUND(IFERROR(VLOOKUP($C658,账户期初,2,0),0)+SUMIFS($J$4:J658,$C$4:C658,$C658)-SUMIFS($K$4:K658,$C$4:C658,$C658),2))</f>
        <v/>
      </c>
      <c r="M658" s="19">
        <f>IF($C658="","",ROUND(SUM(基础资料!$B$4:$B$13)+SUM($J$4:J658)-SUM($K$4:K658),2))</f>
        <v/>
      </c>
      <c r="N658" s="13" t="n"/>
      <c r="O658" s="13" t="n"/>
      <c r="P658" s="17">
        <f>IF($B658="","",IF($F658="※类别不在基础资料里","※费用类别不在基础资料里",IF(AND(N($J658)=0,N($K658)=0),"※这行没填金额",IF(AND(N($J658)&gt;0,N($K658)&gt;0),"※收入和支出不能同一行都填",IF(AND($D658="收入",N($J658)=0),"※收入行要填收入金额",IF(AND($D658="支出",N($K658)=0),"※支出行要填支出金额",IF(AND($C658&lt;&gt;"",ISNA(MATCH($C658,账户表,0))),"※账户不在基础资料里",IF(AND($G658&lt;&gt;"",ISNA(MATCH($G658,项目名表,0))),"※项目不在项目台账里",IF(AND(LEFT($F658,3)="成本-",$G658=""),"※成本类支出没填项目",IF(AND(LEFT($F658,3)="成本-",$H658&lt;&gt;"",N($K658)&gt;0,COUNTIFS(采购单!$B:$B,$B658,采购单!$C:$C,$H658,采购单!$L:$L,$K658)&gt;0),"※这笔可能和采购单重复了",""))))))))))</f>
        <v/>
      </c>
    </row>
    <row r="659">
      <c r="A659" s="17">
        <f>IF($B659="","",ROW()-3)</f>
        <v/>
      </c>
      <c r="B659" s="18" t="n">
        <v>46217</v>
      </c>
      <c r="C659" s="13" t="inlineStr">
        <is>
          <t>微信1</t>
        </is>
      </c>
      <c r="D659" s="13" t="inlineStr">
        <is>
          <t>支出</t>
        </is>
      </c>
      <c r="E659" s="13" t="inlineStr">
        <is>
          <t>运费/快递费</t>
        </is>
      </c>
      <c r="F659" s="17">
        <f>IF($E659="","",IFERROR(VLOOKUP($E659,类别归属,2,0),"※类别不在基础资料里"))</f>
        <v/>
      </c>
      <c r="G659" s="13" t="n"/>
      <c r="H659" s="13" t="n"/>
      <c r="I659" s="13" t="inlineStr">
        <is>
          <t>杭州炳秀湖州26-28武晓军 (杭州炳秀湖州26-28武晓军)</t>
        </is>
      </c>
      <c r="J659" s="14" t="n"/>
      <c r="K659" s="14" t="n">
        <v>38</v>
      </c>
      <c r="L659" s="19">
        <f>IF($C659="","",ROUND(IFERROR(VLOOKUP($C659,账户期初,2,0),0)+SUMIFS($J$4:J659,$C$4:C659,$C659)-SUMIFS($K$4:K659,$C$4:C659,$C659),2))</f>
        <v/>
      </c>
      <c r="M659" s="19">
        <f>IF($C659="","",ROUND(SUM(基础资料!$B$4:$B$13)+SUM($J$4:J659)-SUM($K$4:K659),2))</f>
        <v/>
      </c>
      <c r="N659" s="13" t="n"/>
      <c r="O659" s="13" t="n"/>
      <c r="P659" s="17">
        <f>IF($B659="","",IF($F659="※类别不在基础资料里","※费用类别不在基础资料里",IF(AND(N($J659)=0,N($K659)=0),"※这行没填金额",IF(AND(N($J659)&gt;0,N($K659)&gt;0),"※收入和支出不能同一行都填",IF(AND($D659="收入",N($J659)=0),"※收入行要填收入金额",IF(AND($D659="支出",N($K659)=0),"※支出行要填支出金额",IF(AND($C659&lt;&gt;"",ISNA(MATCH($C659,账户表,0))),"※账户不在基础资料里",IF(AND($G659&lt;&gt;"",ISNA(MATCH($G659,项目名表,0))),"※项目不在项目台账里",IF(AND(LEFT($F659,3)="成本-",$G659=""),"※成本类支出没填项目",IF(AND(LEFT($F659,3)="成本-",$H659&lt;&gt;"",N($K659)&gt;0,COUNTIFS(采购单!$B:$B,$B659,采购单!$C:$C,$H659,采购单!$L:$L,$K659)&gt;0),"※这笔可能和采购单重复了",""))))))))))</f>
        <v/>
      </c>
    </row>
    <row r="660">
      <c r="A660" s="17">
        <f>IF($B660="","",ROW()-3)</f>
        <v/>
      </c>
      <c r="B660" s="18" t="n">
        <v>46217</v>
      </c>
      <c r="C660" s="13" t="inlineStr">
        <is>
          <t>微信1</t>
        </is>
      </c>
      <c r="D660" s="13" t="inlineStr">
        <is>
          <t>支出</t>
        </is>
      </c>
      <c r="E660" s="13" t="inlineStr">
        <is>
          <t>业务招待/餐费</t>
        </is>
      </c>
      <c r="F660" s="17">
        <f>IF($E660="","",IFERROR(VLOOKUP($E660,类别归属,2,0),"※类别不在基础资料里"))</f>
        <v/>
      </c>
      <c r="G660" s="13" t="n"/>
      <c r="H660" s="13" t="n"/>
      <c r="I660" s="13" t="inlineStr">
        <is>
          <t>美团</t>
        </is>
      </c>
      <c r="J660" s="14" t="n"/>
      <c r="K660" s="14" t="n">
        <v>27</v>
      </c>
      <c r="L660" s="19">
        <f>IF($C660="","",ROUND(IFERROR(VLOOKUP($C660,账户期初,2,0),0)+SUMIFS($J$4:J660,$C$4:C660,$C660)-SUMIFS($K$4:K660,$C$4:C660,$C660),2))</f>
        <v/>
      </c>
      <c r="M660" s="19">
        <f>IF($C660="","",ROUND(SUM(基础资料!$B$4:$B$13)+SUM($J$4:J660)-SUM($K$4:K660),2))</f>
        <v/>
      </c>
      <c r="N660" s="13" t="n"/>
      <c r="O660" s="13" t="n"/>
      <c r="P660" s="17">
        <f>IF($B660="","",IF($F660="※类别不在基础资料里","※费用类别不在基础资料里",IF(AND(N($J660)=0,N($K660)=0),"※这行没填金额",IF(AND(N($J660)&gt;0,N($K660)&gt;0),"※收入和支出不能同一行都填",IF(AND($D660="收入",N($J660)=0),"※收入行要填收入金额",IF(AND($D660="支出",N($K660)=0),"※支出行要填支出金额",IF(AND($C660&lt;&gt;"",ISNA(MATCH($C660,账户表,0))),"※账户不在基础资料里",IF(AND($G660&lt;&gt;"",ISNA(MATCH($G660,项目名表,0))),"※项目不在项目台账里",IF(AND(LEFT($F660,3)="成本-",$G660=""),"※成本类支出没填项目",IF(AND(LEFT($F660,3)="成本-",$H660&lt;&gt;"",N($K660)&gt;0,COUNTIFS(采购单!$B:$B,$B660,采购单!$C:$C,$H660,采购单!$L:$L,$K660)&gt;0),"※这笔可能和采购单重复了",""))))))))))</f>
        <v/>
      </c>
    </row>
    <row r="661">
      <c r="A661" s="17">
        <f>IF($B661="","",ROW()-3)</f>
        <v/>
      </c>
      <c r="B661" s="18" t="n">
        <v>46218</v>
      </c>
      <c r="C661" s="13" t="inlineStr">
        <is>
          <t>微信1</t>
        </is>
      </c>
      <c r="D661" s="13" t="inlineStr">
        <is>
          <t>支出</t>
        </is>
      </c>
      <c r="E661" s="13" t="inlineStr">
        <is>
          <t>设计费</t>
        </is>
      </c>
      <c r="F661" s="17">
        <f>IF($E661="","",IFERROR(VLOOKUP($E661,类别归属,2,0),"※类别不在基础资料里"))</f>
        <v/>
      </c>
      <c r="G661" s="13" t="n"/>
      <c r="H661" s="13" t="n"/>
      <c r="I661" s="13" t="inlineStr">
        <is>
          <t>设计 徐可欣 (4ever)</t>
        </is>
      </c>
      <c r="J661" s="14" t="n"/>
      <c r="K661" s="14" t="n">
        <v>27</v>
      </c>
      <c r="L661" s="19">
        <f>IF($C661="","",ROUND(IFERROR(VLOOKUP($C661,账户期初,2,0),0)+SUMIFS($J$4:J661,$C$4:C661,$C661)-SUMIFS($K$4:K661,$C$4:C661,$C661),2))</f>
        <v/>
      </c>
      <c r="M661" s="19">
        <f>IF($C661="","",ROUND(SUM(基础资料!$B$4:$B$13)+SUM($J$4:J661)-SUM($K$4:K661),2))</f>
        <v/>
      </c>
      <c r="N661" s="13" t="n"/>
      <c r="O661" s="13" t="n"/>
      <c r="P661" s="17">
        <f>IF($B661="","",IF($F661="※类别不在基础资料里","※费用类别不在基础资料里",IF(AND(N($J661)=0,N($K661)=0),"※这行没填金额",IF(AND(N($J661)&gt;0,N($K661)&gt;0),"※收入和支出不能同一行都填",IF(AND($D661="收入",N($J661)=0),"※收入行要填收入金额",IF(AND($D661="支出",N($K661)=0),"※支出行要填支出金额",IF(AND($C661&lt;&gt;"",ISNA(MATCH($C661,账户表,0))),"※账户不在基础资料里",IF(AND($G661&lt;&gt;"",ISNA(MATCH($G661,项目名表,0))),"※项目不在项目台账里",IF(AND(LEFT($F661,3)="成本-",$G661=""),"※成本类支出没填项目",IF(AND(LEFT($F661,3)="成本-",$H661&lt;&gt;"",N($K661)&gt;0,COUNTIFS(采购单!$B:$B,$B661,采购单!$C:$C,$H661,采购单!$L:$L,$K661)&gt;0),"※这笔可能和采购单重复了",""))))))))))</f>
        <v/>
      </c>
    </row>
    <row r="662">
      <c r="A662" s="17">
        <f>IF($B662="","",ROW()-3)</f>
        <v/>
      </c>
      <c r="B662" s="18" t="n">
        <v>46218</v>
      </c>
      <c r="C662" s="13" t="inlineStr">
        <is>
          <t>微信1</t>
        </is>
      </c>
      <c r="D662" s="13" t="inlineStr">
        <is>
          <t>收入</t>
        </is>
      </c>
      <c r="E662" s="13" t="inlineStr">
        <is>
          <t>待分类</t>
        </is>
      </c>
      <c r="F662" s="17">
        <f>IF($E662="","",IFERROR(VLOOKUP($E662,类别归属,2,0),"※类别不在基础资料里"))</f>
        <v/>
      </c>
      <c r="G662" s="13" t="n"/>
      <c r="H662" s="13" t="n"/>
      <c r="I662" s="13" t="inlineStr">
        <is>
          <t>诵强 (诵强)</t>
        </is>
      </c>
      <c r="J662" s="14" t="n">
        <v>150</v>
      </c>
      <c r="K662" s="14" t="n"/>
      <c r="L662" s="19">
        <f>IF($C662="","",ROUND(IFERROR(VLOOKUP($C662,账户期初,2,0),0)+SUMIFS($J$4:J662,$C$4:C662,$C662)-SUMIFS($K$4:K662,$C$4:C662,$C662),2))</f>
        <v/>
      </c>
      <c r="M662" s="19">
        <f>IF($C662="","",ROUND(SUM(基础资料!$B$4:$B$13)+SUM($J$4:J662)-SUM($K$4:K662),2))</f>
        <v/>
      </c>
      <c r="N662" s="13" t="n"/>
      <c r="O662" s="13" t="n"/>
      <c r="P662" s="17">
        <f>IF($B662="","",IF($F662="※类别不在基础资料里","※费用类别不在基础资料里",IF(AND(N($J662)=0,N($K662)=0),"※这行没填金额",IF(AND(N($J662)&gt;0,N($K662)&gt;0),"※收入和支出不能同一行都填",IF(AND($D662="收入",N($J662)=0),"※收入行要填收入金额",IF(AND($D662="支出",N($K662)=0),"※支出行要填支出金额",IF(AND($C662&lt;&gt;"",ISNA(MATCH($C662,账户表,0))),"※账户不在基础资料里",IF(AND($G662&lt;&gt;"",ISNA(MATCH($G662,项目名表,0))),"※项目不在项目台账里",IF(AND(LEFT($F662,3)="成本-",$G662=""),"※成本类支出没填项目",IF(AND(LEFT($F662,3)="成本-",$H662&lt;&gt;"",N($K662)&gt;0,COUNTIFS(采购单!$B:$B,$B662,采购单!$C:$C,$H662,采购单!$L:$L,$K662)&gt;0),"※这笔可能和采购单重复了",""))))))))))</f>
        <v/>
      </c>
    </row>
    <row r="663">
      <c r="A663" s="17">
        <f>IF($B663="","",ROW()-3)</f>
        <v/>
      </c>
      <c r="B663" s="18" t="n">
        <v>46218</v>
      </c>
      <c r="C663" s="13" t="inlineStr">
        <is>
          <t>微信1</t>
        </is>
      </c>
      <c r="D663" s="13" t="inlineStr">
        <is>
          <t>支出</t>
        </is>
      </c>
      <c r="E663" s="13" t="inlineStr">
        <is>
          <t>运费/快递费</t>
        </is>
      </c>
      <c r="F663" s="17">
        <f>IF($E663="","",IFERROR(VLOOKUP($E663,类别归属,2,0),"※类别不在基础资料里"))</f>
        <v/>
      </c>
      <c r="G663" s="13" t="n"/>
      <c r="H663" s="13" t="n"/>
      <c r="I663" s="13" t="inlineStr">
        <is>
          <t>杭州炳秀湖州26-28武晓军 (杭州炳秀湖州26-28武晓军)</t>
        </is>
      </c>
      <c r="J663" s="14" t="n"/>
      <c r="K663" s="14" t="n">
        <v>32</v>
      </c>
      <c r="L663" s="19">
        <f>IF($C663="","",ROUND(IFERROR(VLOOKUP($C663,账户期初,2,0),0)+SUMIFS($J$4:J663,$C$4:C663,$C663)-SUMIFS($K$4:K663,$C$4:C663,$C663),2))</f>
        <v/>
      </c>
      <c r="M663" s="19">
        <f>IF($C663="","",ROUND(SUM(基础资料!$B$4:$B$13)+SUM($J$4:J663)-SUM($K$4:K663),2))</f>
        <v/>
      </c>
      <c r="N663" s="13" t="n"/>
      <c r="O663" s="13" t="n"/>
      <c r="P663" s="17">
        <f>IF($B663="","",IF($F663="※类别不在基础资料里","※费用类别不在基础资料里",IF(AND(N($J663)=0,N($K663)=0),"※这行没填金额",IF(AND(N($J663)&gt;0,N($K663)&gt;0),"※收入和支出不能同一行都填",IF(AND($D663="收入",N($J663)=0),"※收入行要填收入金额",IF(AND($D663="支出",N($K663)=0),"※支出行要填支出金额",IF(AND($C663&lt;&gt;"",ISNA(MATCH($C663,账户表,0))),"※账户不在基础资料里",IF(AND($G663&lt;&gt;"",ISNA(MATCH($G663,项目名表,0))),"※项目不在项目台账里",IF(AND(LEFT($F663,3)="成本-",$G663=""),"※成本类支出没填项目",IF(AND(LEFT($F663,3)="成本-",$H663&lt;&gt;"",N($K663)&gt;0,COUNTIFS(采购单!$B:$B,$B663,采购单!$C:$C,$H663,采购单!$L:$L,$K663)&gt;0),"※这笔可能和采购单重复了",""))))))))))</f>
        <v/>
      </c>
    </row>
    <row r="664">
      <c r="A664" s="17">
        <f>IF($B664="","",ROW()-3)</f>
        <v/>
      </c>
      <c r="B664" s="18" t="n">
        <v>46218</v>
      </c>
      <c r="C664" s="13" t="inlineStr">
        <is>
          <t>微信1</t>
        </is>
      </c>
      <c r="D664" s="13" t="inlineStr">
        <is>
          <t>支出</t>
        </is>
      </c>
      <c r="E664" s="13" t="inlineStr">
        <is>
          <t>待分类</t>
        </is>
      </c>
      <c r="F664" s="17">
        <f>IF($E664="","",IFERROR(VLOOKUP($E664,类别归属,2,0),"※类别不在基础资料里"))</f>
        <v/>
      </c>
      <c r="G664" s="13" t="n"/>
      <c r="H664" s="13" t="n"/>
      <c r="I664" s="13" t="inlineStr">
        <is>
          <t>凌宇 (🐟)</t>
        </is>
      </c>
      <c r="J664" s="14" t="n"/>
      <c r="K664" s="14" t="n">
        <v>1000</v>
      </c>
      <c r="L664" s="19">
        <f>IF($C664="","",ROUND(IFERROR(VLOOKUP($C664,账户期初,2,0),0)+SUMIFS($J$4:J664,$C$4:C664,$C664)-SUMIFS($K$4:K664,$C$4:C664,$C664),2))</f>
        <v/>
      </c>
      <c r="M664" s="19">
        <f>IF($C664="","",ROUND(SUM(基础资料!$B$4:$B$13)+SUM($J$4:J664)-SUM($K$4:K664),2))</f>
        <v/>
      </c>
      <c r="N664" s="13" t="n"/>
      <c r="O664" s="13" t="n"/>
      <c r="P664" s="17">
        <f>IF($B664="","",IF($F664="※类别不在基础资料里","※费用类别不在基础资料里",IF(AND(N($J664)=0,N($K664)=0),"※这行没填金额",IF(AND(N($J664)&gt;0,N($K664)&gt;0),"※收入和支出不能同一行都填",IF(AND($D664="收入",N($J664)=0),"※收入行要填收入金额",IF(AND($D664="支出",N($K664)=0),"※支出行要填支出金额",IF(AND($C664&lt;&gt;"",ISNA(MATCH($C664,账户表,0))),"※账户不在基础资料里",IF(AND($G664&lt;&gt;"",ISNA(MATCH($G664,项目名表,0))),"※项目不在项目台账里",IF(AND(LEFT($F664,3)="成本-",$G664=""),"※成本类支出没填项目",IF(AND(LEFT($F664,3)="成本-",$H664&lt;&gt;"",N($K664)&gt;0,COUNTIFS(采购单!$B:$B,$B664,采购单!$C:$C,$H664,采购单!$L:$L,$K664)&gt;0),"※这笔可能和采购单重复了",""))))))))))</f>
        <v/>
      </c>
    </row>
    <row r="665">
      <c r="A665" s="17">
        <f>IF($B665="","",ROW()-3)</f>
        <v/>
      </c>
      <c r="B665" s="18" t="n">
        <v>46219</v>
      </c>
      <c r="C665" s="13" t="inlineStr">
        <is>
          <t>微信1</t>
        </is>
      </c>
      <c r="D665" s="13" t="inlineStr">
        <is>
          <t>支出</t>
        </is>
      </c>
      <c r="E665" s="13" t="inlineStr">
        <is>
          <t>运费/快递费</t>
        </is>
      </c>
      <c r="F665" s="17">
        <f>IF($E665="","",IFERROR(VLOOKUP($E665,类别归属,2,0),"※类别不在基础资料里"))</f>
        <v/>
      </c>
      <c r="G665" s="13" t="n"/>
      <c r="H665" s="13" t="n"/>
      <c r="I665" s="13" t="inlineStr">
        <is>
          <t>杭州炳秀湖州26-28武晓军 (杭州炳秀湖州26-28武晓军)</t>
        </is>
      </c>
      <c r="J665" s="14" t="n"/>
      <c r="K665" s="14" t="n">
        <v>75</v>
      </c>
      <c r="L665" s="19">
        <f>IF($C665="","",ROUND(IFERROR(VLOOKUP($C665,账户期初,2,0),0)+SUMIFS($J$4:J665,$C$4:C665,$C665)-SUMIFS($K$4:K665,$C$4:C665,$C665),2))</f>
        <v/>
      </c>
      <c r="M665" s="19">
        <f>IF($C665="","",ROUND(SUM(基础资料!$B$4:$B$13)+SUM($J$4:J665)-SUM($K$4:K665),2))</f>
        <v/>
      </c>
      <c r="N665" s="13" t="n"/>
      <c r="O665" s="13" t="n"/>
      <c r="P665" s="17">
        <f>IF($B665="","",IF($F665="※类别不在基础资料里","※费用类别不在基础资料里",IF(AND(N($J665)=0,N($K665)=0),"※这行没填金额",IF(AND(N($J665)&gt;0,N($K665)&gt;0),"※收入和支出不能同一行都填",IF(AND($D665="收入",N($J665)=0),"※收入行要填收入金额",IF(AND($D665="支出",N($K665)=0),"※支出行要填支出金额",IF(AND($C665&lt;&gt;"",ISNA(MATCH($C665,账户表,0))),"※账户不在基础资料里",IF(AND($G665&lt;&gt;"",ISNA(MATCH($G665,项目名表,0))),"※项目不在项目台账里",IF(AND(LEFT($F665,3)="成本-",$G665=""),"※成本类支出没填项目",IF(AND(LEFT($F665,3)="成本-",$H665&lt;&gt;"",N($K665)&gt;0,COUNTIFS(采购单!$B:$B,$B665,采购单!$C:$C,$H665,采购单!$L:$L,$K665)&gt;0),"※这笔可能和采购单重复了",""))))))))))</f>
        <v/>
      </c>
    </row>
    <row r="666">
      <c r="A666" s="17">
        <f>IF($B666="","",ROW()-3)</f>
        <v/>
      </c>
      <c r="B666" s="18" t="n">
        <v>46219</v>
      </c>
      <c r="C666" s="13" t="inlineStr">
        <is>
          <t>微信1</t>
        </is>
      </c>
      <c r="D666" s="13" t="inlineStr">
        <is>
          <t>支出</t>
        </is>
      </c>
      <c r="E666" s="13" t="inlineStr">
        <is>
          <t>待分类</t>
        </is>
      </c>
      <c r="F666" s="17">
        <f>IF($E666="","",IFERROR(VLOOKUP($E666,类别归属,2,0),"※类别不在基础资料里"))</f>
        <v/>
      </c>
      <c r="G666" s="13" t="n"/>
      <c r="H666" s="13" t="n"/>
      <c r="I666" s="13" t="inlineStr">
        <is>
          <t>杨德 (往后余生)</t>
        </is>
      </c>
      <c r="J666" s="14" t="n"/>
      <c r="K666" s="14" t="n">
        <v>3109.2</v>
      </c>
      <c r="L666" s="19">
        <f>IF($C666="","",ROUND(IFERROR(VLOOKUP($C666,账户期初,2,0),0)+SUMIFS($J$4:J666,$C$4:C666,$C666)-SUMIFS($K$4:K666,$C$4:C666,$C666),2))</f>
        <v/>
      </c>
      <c r="M666" s="19">
        <f>IF($C666="","",ROUND(SUM(基础资料!$B$4:$B$13)+SUM($J$4:J666)-SUM($K$4:K666),2))</f>
        <v/>
      </c>
      <c r="N666" s="13" t="n"/>
      <c r="O666" s="13" t="n"/>
      <c r="P666" s="17">
        <f>IF($B666="","",IF($F666="※类别不在基础资料里","※费用类别不在基础资料里",IF(AND(N($J666)=0,N($K666)=0),"※这行没填金额",IF(AND(N($J666)&gt;0,N($K666)&gt;0),"※收入和支出不能同一行都填",IF(AND($D666="收入",N($J666)=0),"※收入行要填收入金额",IF(AND($D666="支出",N($K666)=0),"※支出行要填支出金额",IF(AND($C666&lt;&gt;"",ISNA(MATCH($C666,账户表,0))),"※账户不在基础资料里",IF(AND($G666&lt;&gt;"",ISNA(MATCH($G666,项目名表,0))),"※项目不在项目台账里",IF(AND(LEFT($F666,3)="成本-",$G666=""),"※成本类支出没填项目",IF(AND(LEFT($F666,3)="成本-",$H666&lt;&gt;"",N($K666)&gt;0,COUNTIFS(采购单!$B:$B,$B666,采购单!$C:$C,$H666,采购单!$L:$L,$K666)&gt;0),"※这笔可能和采购单重复了",""))))))))))</f>
        <v/>
      </c>
    </row>
    <row r="667">
      <c r="A667" s="17">
        <f>IF($B667="","",ROW()-3)</f>
        <v/>
      </c>
      <c r="B667" s="18" t="n">
        <v>46220</v>
      </c>
      <c r="C667" s="13" t="inlineStr">
        <is>
          <t>微信1</t>
        </is>
      </c>
      <c r="D667" s="13" t="inlineStr">
        <is>
          <t>支出</t>
        </is>
      </c>
      <c r="E667" s="13" t="inlineStr">
        <is>
          <t>待分类</t>
        </is>
      </c>
      <c r="F667" s="17">
        <f>IF($E667="","",IFERROR(VLOOKUP($E667,类别归属,2,0),"※类别不在基础资料里"))</f>
        <v/>
      </c>
      <c r="G667" s="13" t="n"/>
      <c r="H667" s="13" t="n"/>
      <c r="I667" s="13" t="inlineStr">
        <is>
          <t>凌宇 (🐟)</t>
        </is>
      </c>
      <c r="J667" s="14" t="n"/>
      <c r="K667" s="14" t="n">
        <v>569.6</v>
      </c>
      <c r="L667" s="19">
        <f>IF($C667="","",ROUND(IFERROR(VLOOKUP($C667,账户期初,2,0),0)+SUMIFS($J$4:J667,$C$4:C667,$C667)-SUMIFS($K$4:K667,$C$4:C667,$C667),2))</f>
        <v/>
      </c>
      <c r="M667" s="19">
        <f>IF($C667="","",ROUND(SUM(基础资料!$B$4:$B$13)+SUM($J$4:J667)-SUM($K$4:K667),2))</f>
        <v/>
      </c>
      <c r="N667" s="13" t="n"/>
      <c r="O667" s="13" t="n"/>
      <c r="P667" s="17">
        <f>IF($B667="","",IF($F667="※类别不在基础资料里","※费用类别不在基础资料里",IF(AND(N($J667)=0,N($K667)=0),"※这行没填金额",IF(AND(N($J667)&gt;0,N($K667)&gt;0),"※收入和支出不能同一行都填",IF(AND($D667="收入",N($J667)=0),"※收入行要填收入金额",IF(AND($D667="支出",N($K667)=0),"※支出行要填支出金额",IF(AND($C667&lt;&gt;"",ISNA(MATCH($C667,账户表,0))),"※账户不在基础资料里",IF(AND($G667&lt;&gt;"",ISNA(MATCH($G667,项目名表,0))),"※项目不在项目台账里",IF(AND(LEFT($F667,3)="成本-",$G667=""),"※成本类支出没填项目",IF(AND(LEFT($F667,3)="成本-",$H667&lt;&gt;"",N($K667)&gt;0,COUNTIFS(采购单!$B:$B,$B667,采购单!$C:$C,$H667,采购单!$L:$L,$K667)&gt;0),"※这笔可能和采购单重复了",""))))))))))</f>
        <v/>
      </c>
    </row>
    <row r="668">
      <c r="A668" s="17">
        <f>IF($B668="","",ROW()-3)</f>
        <v/>
      </c>
      <c r="B668" s="18" t="n">
        <v>46220</v>
      </c>
      <c r="C668" s="13" t="inlineStr">
        <is>
          <t>微信1</t>
        </is>
      </c>
      <c r="D668" s="13" t="inlineStr">
        <is>
          <t>收入</t>
        </is>
      </c>
      <c r="E668" s="13" t="inlineStr">
        <is>
          <t>待分类</t>
        </is>
      </c>
      <c r="F668" s="17">
        <f>IF($E668="","",IFERROR(VLOOKUP($E668,类别归属,2,0),"※类别不在基础资料里"))</f>
        <v/>
      </c>
      <c r="G668" s="13" t="n"/>
      <c r="H668" s="13" t="n"/>
      <c r="I668" s="13" t="inlineStr">
        <is>
          <t>指艺美甲美睫 (指艺美甲美睫)</t>
        </is>
      </c>
      <c r="J668" s="14" t="n">
        <v>550</v>
      </c>
      <c r="K668" s="14" t="n"/>
      <c r="L668" s="19">
        <f>IF($C668="","",ROUND(IFERROR(VLOOKUP($C668,账户期初,2,0),0)+SUMIFS($J$4:J668,$C$4:C668,$C668)-SUMIFS($K$4:K668,$C$4:C668,$C668),2))</f>
        <v/>
      </c>
      <c r="M668" s="19">
        <f>IF($C668="","",ROUND(SUM(基础资料!$B$4:$B$13)+SUM($J$4:J668)-SUM($K$4:K668),2))</f>
        <v/>
      </c>
      <c r="N668" s="13" t="n"/>
      <c r="O668" s="13" t="n"/>
      <c r="P668" s="17">
        <f>IF($B668="","",IF($F668="※类别不在基础资料里","※费用类别不在基础资料里",IF(AND(N($J668)=0,N($K668)=0),"※这行没填金额",IF(AND(N($J668)&gt;0,N($K668)&gt;0),"※收入和支出不能同一行都填",IF(AND($D668="收入",N($J668)=0),"※收入行要填收入金额",IF(AND($D668="支出",N($K668)=0),"※支出行要填支出金额",IF(AND($C668&lt;&gt;"",ISNA(MATCH($C668,账户表,0))),"※账户不在基础资料里",IF(AND($G668&lt;&gt;"",ISNA(MATCH($G668,项目名表,0))),"※项目不在项目台账里",IF(AND(LEFT($F668,3)="成本-",$G668=""),"※成本类支出没填项目",IF(AND(LEFT($F668,3)="成本-",$H668&lt;&gt;"",N($K668)&gt;0,COUNTIFS(采购单!$B:$B,$B668,采购单!$C:$C,$H668,采购单!$L:$L,$K668)&gt;0),"※这笔可能和采购单重复了",""))))))))))</f>
        <v/>
      </c>
    </row>
    <row r="669">
      <c r="A669" s="17">
        <f>IF($B669="","",ROW()-3)</f>
        <v/>
      </c>
      <c r="B669" s="18" t="n">
        <v>46220</v>
      </c>
      <c r="C669" s="13" t="inlineStr">
        <is>
          <t>微信1</t>
        </is>
      </c>
      <c r="D669" s="13" t="inlineStr">
        <is>
          <t>支出</t>
        </is>
      </c>
      <c r="E669" s="13" t="inlineStr">
        <is>
          <t>通讯费</t>
        </is>
      </c>
      <c r="F669" s="17">
        <f>IF($E669="","",IFERROR(VLOOKUP($E669,类别归属,2,0),"※类别不在基础资料里"))</f>
        <v/>
      </c>
      <c r="G669" s="13" t="n"/>
      <c r="H669" s="13" t="n"/>
      <c r="I669" s="13" t="inlineStr">
        <is>
          <t>中国移动</t>
        </is>
      </c>
      <c r="J669" s="14" t="n"/>
      <c r="K669" s="14" t="n">
        <v>50</v>
      </c>
      <c r="L669" s="19">
        <f>IF($C669="","",ROUND(IFERROR(VLOOKUP($C669,账户期初,2,0),0)+SUMIFS($J$4:J669,$C$4:C669,$C669)-SUMIFS($K$4:K669,$C$4:C669,$C669),2))</f>
        <v/>
      </c>
      <c r="M669" s="19">
        <f>IF($C669="","",ROUND(SUM(基础资料!$B$4:$B$13)+SUM($J$4:J669)-SUM($K$4:K669),2))</f>
        <v/>
      </c>
      <c r="N669" s="13" t="n"/>
      <c r="O669" s="13" t="n"/>
      <c r="P669" s="17">
        <f>IF($B669="","",IF($F669="※类别不在基础资料里","※费用类别不在基础资料里",IF(AND(N($J669)=0,N($K669)=0),"※这行没填金额",IF(AND(N($J669)&gt;0,N($K669)&gt;0),"※收入和支出不能同一行都填",IF(AND($D669="收入",N($J669)=0),"※收入行要填收入金额",IF(AND($D669="支出",N($K669)=0),"※支出行要填支出金额",IF(AND($C669&lt;&gt;"",ISNA(MATCH($C669,账户表,0))),"※账户不在基础资料里",IF(AND($G669&lt;&gt;"",ISNA(MATCH($G669,项目名表,0))),"※项目不在项目台账里",IF(AND(LEFT($F669,3)="成本-",$G669=""),"※成本类支出没填项目",IF(AND(LEFT($F669,3)="成本-",$H669&lt;&gt;"",N($K669)&gt;0,COUNTIFS(采购单!$B:$B,$B669,采购单!$C:$C,$H669,采购单!$L:$L,$K669)&gt;0),"※这笔可能和采购单重复了",""))))))))))</f>
        <v/>
      </c>
    </row>
    <row r="670">
      <c r="A670" s="17">
        <f>IF($B670="","",ROW()-3)</f>
        <v/>
      </c>
      <c r="B670" s="18" t="n">
        <v>46221</v>
      </c>
      <c r="C670" s="13" t="inlineStr">
        <is>
          <t>微信1</t>
        </is>
      </c>
      <c r="D670" s="13" t="inlineStr">
        <is>
          <t>收入</t>
        </is>
      </c>
      <c r="E670" s="13" t="inlineStr">
        <is>
          <t>待分类</t>
        </is>
      </c>
      <c r="F670" s="17">
        <f>IF($E670="","",IFERROR(VLOOKUP($E670,类别归属,2,0),"※类别不在基础资料里"))</f>
        <v/>
      </c>
      <c r="G670" s="13" t="n"/>
      <c r="H670" s="13" t="n"/>
      <c r="I670" s="13" t="inlineStr">
        <is>
          <t>付久华 (付久华)</t>
        </is>
      </c>
      <c r="J670" s="14" t="n">
        <v>1000</v>
      </c>
      <c r="K670" s="14" t="n"/>
      <c r="L670" s="19">
        <f>IF($C670="","",ROUND(IFERROR(VLOOKUP($C670,账户期初,2,0),0)+SUMIFS($J$4:J670,$C$4:C670,$C670)-SUMIFS($K$4:K670,$C$4:C670,$C670),2))</f>
        <v/>
      </c>
      <c r="M670" s="19">
        <f>IF($C670="","",ROUND(SUM(基础资料!$B$4:$B$13)+SUM($J$4:J670)-SUM($K$4:K670),2))</f>
        <v/>
      </c>
      <c r="N670" s="13" t="n"/>
      <c r="O670" s="13" t="n"/>
      <c r="P670" s="17">
        <f>IF($B670="","",IF($F670="※类别不在基础资料里","※费用类别不在基础资料里",IF(AND(N($J670)=0,N($K670)=0),"※这行没填金额",IF(AND(N($J670)&gt;0,N($K670)&gt;0),"※收入和支出不能同一行都填",IF(AND($D670="收入",N($J670)=0),"※收入行要填收入金额",IF(AND($D670="支出",N($K670)=0),"※支出行要填支出金额",IF(AND($C670&lt;&gt;"",ISNA(MATCH($C670,账户表,0))),"※账户不在基础资料里",IF(AND($G670&lt;&gt;"",ISNA(MATCH($G670,项目名表,0))),"※项目不在项目台账里",IF(AND(LEFT($F670,3)="成本-",$G670=""),"※成本类支出没填项目",IF(AND(LEFT($F670,3)="成本-",$H670&lt;&gt;"",N($K670)&gt;0,COUNTIFS(采购单!$B:$B,$B670,采购单!$C:$C,$H670,采购单!$L:$L,$K670)&gt;0),"※这笔可能和采购单重复了",""))))))))))</f>
        <v/>
      </c>
    </row>
    <row r="671">
      <c r="A671" s="17">
        <f>IF($B671="","",ROW()-3)</f>
        <v/>
      </c>
      <c r="B671" s="18" t="n">
        <v>46221</v>
      </c>
      <c r="C671" s="13" t="inlineStr">
        <is>
          <t>微信1</t>
        </is>
      </c>
      <c r="D671" s="13" t="inlineStr">
        <is>
          <t>支出</t>
        </is>
      </c>
      <c r="E671" s="13" t="inlineStr">
        <is>
          <t>主材采购</t>
        </is>
      </c>
      <c r="F671" s="17">
        <f>IF($E671="","",IFERROR(VLOOKUP($E671,类别归属,2,0),"※类别不在基础资料里"))</f>
        <v/>
      </c>
      <c r="G671" s="13" t="n"/>
      <c r="H671" s="13" t="n"/>
      <c r="I671" s="13" t="inlineStr">
        <is>
          <t>上达铝单板铝方通孙13913803884 (上达铝单板铝方通孙13913803884)</t>
        </is>
      </c>
      <c r="J671" s="14" t="n"/>
      <c r="K671" s="14" t="n">
        <v>400</v>
      </c>
      <c r="L671" s="19">
        <f>IF($C671="","",ROUND(IFERROR(VLOOKUP($C671,账户期初,2,0),0)+SUMIFS($J$4:J671,$C$4:C671,$C671)-SUMIFS($K$4:K671,$C$4:C671,$C671),2))</f>
        <v/>
      </c>
      <c r="M671" s="19">
        <f>IF($C671="","",ROUND(SUM(基础资料!$B$4:$B$13)+SUM($J$4:J671)-SUM($K$4:K671),2))</f>
        <v/>
      </c>
      <c r="N671" s="13" t="n"/>
      <c r="O671" s="13" t="n"/>
      <c r="P671" s="17">
        <f>IF($B671="","",IF($F671="※类别不在基础资料里","※费用类别不在基础资料里",IF(AND(N($J671)=0,N($K671)=0),"※这行没填金额",IF(AND(N($J671)&gt;0,N($K671)&gt;0),"※收入和支出不能同一行都填",IF(AND($D671="收入",N($J671)=0),"※收入行要填收入金额",IF(AND($D671="支出",N($K671)=0),"※支出行要填支出金额",IF(AND($C671&lt;&gt;"",ISNA(MATCH($C671,账户表,0))),"※账户不在基础资料里",IF(AND($G671&lt;&gt;"",ISNA(MATCH($G671,项目名表,0))),"※项目不在项目台账里",IF(AND(LEFT($F671,3)="成本-",$G671=""),"※成本类支出没填项目",IF(AND(LEFT($F671,3)="成本-",$H671&lt;&gt;"",N($K671)&gt;0,COUNTIFS(采购单!$B:$B,$B671,采购单!$C:$C,$H671,采购单!$L:$L,$K671)&gt;0),"※这笔可能和采购单重复了",""))))))))))</f>
        <v/>
      </c>
    </row>
    <row r="672">
      <c r="A672" s="17">
        <f>IF($B672="","",ROW()-3)</f>
        <v/>
      </c>
      <c r="B672" s="18" t="n">
        <v>46221</v>
      </c>
      <c r="C672" s="13" t="inlineStr">
        <is>
          <t>微信1</t>
        </is>
      </c>
      <c r="D672" s="13" t="inlineStr">
        <is>
          <t>收入</t>
        </is>
      </c>
      <c r="E672" s="13" t="inlineStr">
        <is>
          <t>待分类</t>
        </is>
      </c>
      <c r="F672" s="17">
        <f>IF($E672="","",IFERROR(VLOOKUP($E672,类别归属,2,0),"※类别不在基础资料里"))</f>
        <v/>
      </c>
      <c r="G672" s="13" t="n"/>
      <c r="H672" s="13" t="n"/>
      <c r="I672" s="13" t="inlineStr">
        <is>
          <t>南浔台球 (c)</t>
        </is>
      </c>
      <c r="J672" s="14" t="n">
        <v>30</v>
      </c>
      <c r="K672" s="14" t="n"/>
      <c r="L672" s="19">
        <f>IF($C672="","",ROUND(IFERROR(VLOOKUP($C672,账户期初,2,0),0)+SUMIFS($J$4:J672,$C$4:C672,$C672)-SUMIFS($K$4:K672,$C$4:C672,$C672),2))</f>
        <v/>
      </c>
      <c r="M672" s="19">
        <f>IF($C672="","",ROUND(SUM(基础资料!$B$4:$B$13)+SUM($J$4:J672)-SUM($K$4:K672),2))</f>
        <v/>
      </c>
      <c r="N672" s="13" t="n"/>
      <c r="O672" s="13" t="inlineStr">
        <is>
          <t>7.18止凌宇实存1032.91</t>
        </is>
      </c>
      <c r="P672" s="17">
        <f>IF($B672="","",IF($F672="※类别不在基础资料里","※费用类别不在基础资料里",IF(AND(N($J672)=0,N($K672)=0),"※这行没填金额",IF(AND(N($J672)&gt;0,N($K672)&gt;0),"※收入和支出不能同一行都填",IF(AND($D672="收入",N($J672)=0),"※收入行要填收入金额",IF(AND($D672="支出",N($K672)=0),"※支出行要填支出金额",IF(AND($C672&lt;&gt;"",ISNA(MATCH($C672,账户表,0))),"※账户不在基础资料里",IF(AND($G672&lt;&gt;"",ISNA(MATCH($G672,项目名表,0))),"※项目不在项目台账里",IF(AND(LEFT($F672,3)="成本-",$G672=""),"※成本类支出没填项目",IF(AND(LEFT($F672,3)="成本-",$H672&lt;&gt;"",N($K672)&gt;0,COUNTIFS(采购单!$B:$B,$B672,采购单!$C:$C,$H672,采购单!$L:$L,$K672)&gt;0),"※这笔可能和采购单重复了",""))))))))))</f>
        <v/>
      </c>
    </row>
    <row r="673">
      <c r="A673" s="17">
        <f>IF($B673="","",ROW()-3)</f>
        <v/>
      </c>
      <c r="B673" s="18" t="n">
        <v>46222</v>
      </c>
      <c r="C673" s="13" t="inlineStr">
        <is>
          <t>微信1</t>
        </is>
      </c>
      <c r="D673" s="13" t="inlineStr">
        <is>
          <t>支出</t>
        </is>
      </c>
      <c r="E673" s="13" t="inlineStr">
        <is>
          <t>运费/快递费</t>
        </is>
      </c>
      <c r="F673" s="17">
        <f>IF($E673="","",IFERROR(VLOOKUP($E673,类别归属,2,0),"※类别不在基础资料里"))</f>
        <v/>
      </c>
      <c r="G673" s="13" t="n"/>
      <c r="H673" s="13" t="n"/>
      <c r="I673" s="13" t="inlineStr">
        <is>
          <t>杭州炳秀-湖州26-28武晓军</t>
        </is>
      </c>
      <c r="J673" s="14" t="n"/>
      <c r="K673" s="14" t="n">
        <v>17</v>
      </c>
      <c r="L673" s="19">
        <f>IF($C673="","",ROUND(IFERROR(VLOOKUP($C673,账户期初,2,0),0)+SUMIFS($J$4:J673,$C$4:C673,$C673)-SUMIFS($K$4:K673,$C$4:C673,$C673),2))</f>
        <v/>
      </c>
      <c r="M673" s="19">
        <f>IF($C673="","",ROUND(SUM(基础资料!$B$4:$B$13)+SUM($J$4:J673)-SUM($K$4:K673),2))</f>
        <v/>
      </c>
      <c r="N673" s="13" t="n"/>
      <c r="O673" s="13" t="n"/>
      <c r="P673" s="17">
        <f>IF($B673="","",IF($F673="※类别不在基础资料里","※费用类别不在基础资料里",IF(AND(N($J673)=0,N($K673)=0),"※这行没填金额",IF(AND(N($J673)&gt;0,N($K673)&gt;0),"※收入和支出不能同一行都填",IF(AND($D673="收入",N($J673)=0),"※收入行要填收入金额",IF(AND($D673="支出",N($K673)=0),"※支出行要填支出金额",IF(AND($C673&lt;&gt;"",ISNA(MATCH($C673,账户表,0))),"※账户不在基础资料里",IF(AND($G673&lt;&gt;"",ISNA(MATCH($G673,项目名表,0))),"※项目不在项目台账里",IF(AND(LEFT($F673,3)="成本-",$G673=""),"※成本类支出没填项目",IF(AND(LEFT($F673,3)="成本-",$H673&lt;&gt;"",N($K673)&gt;0,COUNTIFS(采购单!$B:$B,$B673,采购单!$C:$C,$H673,采购单!$L:$L,$K673)&gt;0),"※这笔可能和采购单重复了",""))))))))))</f>
        <v/>
      </c>
    </row>
    <row r="674">
      <c r="A674" s="17">
        <f>IF($B674="","",ROW()-3)</f>
        <v/>
      </c>
      <c r="B674" s="18" t="n">
        <v>46223</v>
      </c>
      <c r="C674" s="13" t="inlineStr">
        <is>
          <t>微信1</t>
        </is>
      </c>
      <c r="D674" s="13" t="inlineStr">
        <is>
          <t>收入</t>
        </is>
      </c>
      <c r="E674" s="13" t="inlineStr">
        <is>
          <t>待分类</t>
        </is>
      </c>
      <c r="F674" s="17">
        <f>IF($E674="","",IFERROR(VLOOKUP($E674,类别归属,2,0),"※类别不在基础资料里"))</f>
        <v/>
      </c>
      <c r="G674" s="13" t="n"/>
      <c r="H674" s="13" t="n"/>
      <c r="I674" s="13" t="inlineStr">
        <is>
          <t>收万达KVV乔金鑫</t>
        </is>
      </c>
      <c r="J674" s="14" t="n">
        <v>56</v>
      </c>
      <c r="K674" s="14" t="n"/>
      <c r="L674" s="19">
        <f>IF($C674="","",ROUND(IFERROR(VLOOKUP($C674,账户期初,2,0),0)+SUMIFS($J$4:J674,$C$4:C674,$C674)-SUMIFS($K$4:K674,$C$4:C674,$C674),2))</f>
        <v/>
      </c>
      <c r="M674" s="19">
        <f>IF($C674="","",ROUND(SUM(基础资料!$B$4:$B$13)+SUM($J$4:J674)-SUM($K$4:K674),2))</f>
        <v/>
      </c>
      <c r="N674" s="13" t="n"/>
      <c r="O674" s="13" t="n"/>
      <c r="P674" s="17">
        <f>IF($B674="","",IF($F674="※类别不在基础资料里","※费用类别不在基础资料里",IF(AND(N($J674)=0,N($K674)=0),"※这行没填金额",IF(AND(N($J674)&gt;0,N($K674)&gt;0),"※收入和支出不能同一行都填",IF(AND($D674="收入",N($J674)=0),"※收入行要填收入金额",IF(AND($D674="支出",N($K674)=0),"※支出行要填支出金额",IF(AND($C674&lt;&gt;"",ISNA(MATCH($C674,账户表,0))),"※账户不在基础资料里",IF(AND($G674&lt;&gt;"",ISNA(MATCH($G674,项目名表,0))),"※项目不在项目台账里",IF(AND(LEFT($F674,3)="成本-",$G674=""),"※成本类支出没填项目",IF(AND(LEFT($F674,3)="成本-",$H674&lt;&gt;"",N($K674)&gt;0,COUNTIFS(采购单!$B:$B,$B674,采购单!$C:$C,$H674,采购单!$L:$L,$K674)&gt;0),"※这笔可能和采购单重复了",""))))))))))</f>
        <v/>
      </c>
    </row>
    <row r="675">
      <c r="A675" s="17">
        <f>IF($B675="","",ROW()-3)</f>
        <v/>
      </c>
      <c r="B675" s="18" t="n">
        <v>46223</v>
      </c>
      <c r="C675" s="13" t="inlineStr">
        <is>
          <t>微信1</t>
        </is>
      </c>
      <c r="D675" s="13" t="inlineStr">
        <is>
          <t>支出</t>
        </is>
      </c>
      <c r="E675" s="13" t="inlineStr">
        <is>
          <t>运费/快递费</t>
        </is>
      </c>
      <c r="F675" s="17">
        <f>IF($E675="","",IFERROR(VLOOKUP($E675,类别归属,2,0),"※类别不在基础资料里"))</f>
        <v/>
      </c>
      <c r="G675" s="13" t="n"/>
      <c r="H675" s="13" t="n"/>
      <c r="I675" s="13" t="inlineStr">
        <is>
          <t>杭州炳秀-湖州26-28武晓军</t>
        </is>
      </c>
      <c r="J675" s="14" t="n"/>
      <c r="K675" s="14" t="n">
        <v>35</v>
      </c>
      <c r="L675" s="19">
        <f>IF($C675="","",ROUND(IFERROR(VLOOKUP($C675,账户期初,2,0),0)+SUMIFS($J$4:J675,$C$4:C675,$C675)-SUMIFS($K$4:K675,$C$4:C675,$C675),2))</f>
        <v/>
      </c>
      <c r="M675" s="19">
        <f>IF($C675="","",ROUND(SUM(基础资料!$B$4:$B$13)+SUM($J$4:J675)-SUM($K$4:K675),2))</f>
        <v/>
      </c>
      <c r="N675" s="13" t="n"/>
      <c r="O675" s="13" t="n"/>
      <c r="P675" s="17">
        <f>IF($B675="","",IF($F675="※类别不在基础资料里","※费用类别不在基础资料里",IF(AND(N($J675)=0,N($K675)=0),"※这行没填金额",IF(AND(N($J675)&gt;0,N($K675)&gt;0),"※收入和支出不能同一行都填",IF(AND($D675="收入",N($J675)=0),"※收入行要填收入金额",IF(AND($D675="支出",N($K675)=0),"※支出行要填支出金额",IF(AND($C675&lt;&gt;"",ISNA(MATCH($C675,账户表,0))),"※账户不在基础资料里",IF(AND($G675&lt;&gt;"",ISNA(MATCH($G675,项目名表,0))),"※项目不在项目台账里",IF(AND(LEFT($F675,3)="成本-",$G675=""),"※成本类支出没填项目",IF(AND(LEFT($F675,3)="成本-",$H675&lt;&gt;"",N($K675)&gt;0,COUNTIFS(采购单!$B:$B,$B675,采购单!$C:$C,$H675,采购单!$L:$L,$K675)&gt;0),"※这笔可能和采购单重复了",""))))))))))</f>
        <v/>
      </c>
    </row>
    <row r="676">
      <c r="A676" s="17">
        <f>IF($B676="","",ROW()-3)</f>
        <v/>
      </c>
      <c r="B676" s="18" t="n">
        <v>46224</v>
      </c>
      <c r="C676" s="13" t="inlineStr">
        <is>
          <t>微信1</t>
        </is>
      </c>
      <c r="D676" s="13" t="inlineStr">
        <is>
          <t>支出</t>
        </is>
      </c>
      <c r="E676" s="13" t="inlineStr">
        <is>
          <t>车费/油费/过路费</t>
        </is>
      </c>
      <c r="F676" s="17">
        <f>IF($E676="","",IFERROR(VLOOKUP($E676,类别归属,2,0),"※类别不在基础资料里"))</f>
        <v/>
      </c>
      <c r="G676" s="13" t="n"/>
      <c r="H676" s="13" t="n"/>
      <c r="I676" s="13" t="inlineStr">
        <is>
          <t>滴滴出行</t>
        </is>
      </c>
      <c r="J676" s="14" t="n"/>
      <c r="K676" s="14" t="n">
        <v>27.97</v>
      </c>
      <c r="L676" s="19">
        <f>IF($C676="","",ROUND(IFERROR(VLOOKUP($C676,账户期初,2,0),0)+SUMIFS($J$4:J676,$C$4:C676,$C676)-SUMIFS($K$4:K676,$C$4:C676,$C676),2))</f>
        <v/>
      </c>
      <c r="M676" s="19">
        <f>IF($C676="","",ROUND(SUM(基础资料!$B$4:$B$13)+SUM($J$4:J676)-SUM($K$4:K676),2))</f>
        <v/>
      </c>
      <c r="N676" s="13" t="n"/>
      <c r="O676" s="13" t="n"/>
      <c r="P676" s="17">
        <f>IF($B676="","",IF($F676="※类别不在基础资料里","※费用类别不在基础资料里",IF(AND(N($J676)=0,N($K676)=0),"※这行没填金额",IF(AND(N($J676)&gt;0,N($K676)&gt;0),"※收入和支出不能同一行都填",IF(AND($D676="收入",N($J676)=0),"※收入行要填收入金额",IF(AND($D676="支出",N($K676)=0),"※支出行要填支出金额",IF(AND($C676&lt;&gt;"",ISNA(MATCH($C676,账户表,0))),"※账户不在基础资料里",IF(AND($G676&lt;&gt;"",ISNA(MATCH($G676,项目名表,0))),"※项目不在项目台账里",IF(AND(LEFT($F676,3)="成本-",$G676=""),"※成本类支出没填项目",IF(AND(LEFT($F676,3)="成本-",$H676&lt;&gt;"",N($K676)&gt;0,COUNTIFS(采购单!$B:$B,$B676,采购单!$C:$C,$H676,采购单!$L:$L,$K676)&gt;0),"※这笔可能和采购单重复了",""))))))))))</f>
        <v/>
      </c>
    </row>
    <row r="677">
      <c r="A677" s="17">
        <f>IF($B677="","",ROW()-3)</f>
        <v/>
      </c>
      <c r="B677" s="18" t="n">
        <v>46224</v>
      </c>
      <c r="C677" s="13" t="inlineStr">
        <is>
          <t>微信1</t>
        </is>
      </c>
      <c r="D677" s="13" t="inlineStr">
        <is>
          <t>收入</t>
        </is>
      </c>
      <c r="E677" s="13" t="inlineStr">
        <is>
          <t>收回借出款</t>
        </is>
      </c>
      <c r="F677" s="17">
        <f>IF($E677="","",IFERROR(VLOOKUP($E677,类别归属,2,0),"※类别不在基础资料里"))</f>
        <v/>
      </c>
      <c r="G677" s="13" t="n"/>
      <c r="H677" s="13" t="inlineStr">
        <is>
          <t>付久华</t>
        </is>
      </c>
      <c r="I677" s="13" t="inlineStr">
        <is>
          <t>付久华</t>
        </is>
      </c>
      <c r="J677" s="14" t="n">
        <v>1000</v>
      </c>
      <c r="K677" s="14" t="n"/>
      <c r="L677" s="19">
        <f>IF($C677="","",ROUND(IFERROR(VLOOKUP($C677,账户期初,2,0),0)+SUMIFS($J$4:J677,$C$4:C677,$C677)-SUMIFS($K$4:K677,$C$4:C677,$C677),2))</f>
        <v/>
      </c>
      <c r="M677" s="19">
        <f>IF($C677="","",ROUND(SUM(基础资料!$B$4:$B$13)+SUM($J$4:J677)-SUM($K$4:K677),2))</f>
        <v/>
      </c>
      <c r="N677" s="13" t="n"/>
      <c r="O677" s="13" t="n"/>
      <c r="P677" s="17">
        <f>IF($B677="","",IF($F677="※类别不在基础资料里","※费用类别不在基础资料里",IF(AND(N($J677)=0,N($K677)=0),"※这行没填金额",IF(AND(N($J677)&gt;0,N($K677)&gt;0),"※收入和支出不能同一行都填",IF(AND($D677="收入",N($J677)=0),"※收入行要填收入金额",IF(AND($D677="支出",N($K677)=0),"※支出行要填支出金额",IF(AND($C677&lt;&gt;"",ISNA(MATCH($C677,账户表,0))),"※账户不在基础资料里",IF(AND($G677&lt;&gt;"",ISNA(MATCH($G677,项目名表,0))),"※项目不在项目台账里",IF(AND(LEFT($F677,3)="成本-",$G677=""),"※成本类支出没填项目",IF(AND(LEFT($F677,3)="成本-",$H677&lt;&gt;"",N($K677)&gt;0,COUNTIFS(采购单!$B:$B,$B677,采购单!$C:$C,$H677,采购单!$L:$L,$K677)&gt;0),"※这笔可能和采购单重复了",""))))))))))</f>
        <v/>
      </c>
    </row>
    <row r="678">
      <c r="A678" s="17">
        <f>IF($B678="","",ROW()-3)</f>
        <v/>
      </c>
      <c r="B678" s="18" t="n">
        <v>46224</v>
      </c>
      <c r="C678" s="13" t="inlineStr">
        <is>
          <t>微信1</t>
        </is>
      </c>
      <c r="D678" s="13" t="inlineStr">
        <is>
          <t>支出</t>
        </is>
      </c>
      <c r="E678" s="13" t="inlineStr">
        <is>
          <t>安装工资</t>
        </is>
      </c>
      <c r="F678" s="17">
        <f>IF($E678="","",IFERROR(VLOOKUP($E678,类别归属,2,0),"※类别不在基础资料里"))</f>
        <v/>
      </c>
      <c r="G678" s="13" t="n"/>
      <c r="H678" s="13" t="n"/>
      <c r="I678" s="13" t="inlineStr">
        <is>
          <t>付安装老姚工资</t>
        </is>
      </c>
      <c r="J678" s="14" t="n"/>
      <c r="K678" s="14" t="n">
        <v>1100</v>
      </c>
      <c r="L678" s="19">
        <f>IF($C678="","",ROUND(IFERROR(VLOOKUP($C678,账户期初,2,0),0)+SUMIFS($J$4:J678,$C$4:C678,$C678)-SUMIFS($K$4:K678,$C$4:C678,$C678),2))</f>
        <v/>
      </c>
      <c r="M678" s="19">
        <f>IF($C678="","",ROUND(SUM(基础资料!$B$4:$B$13)+SUM($J$4:J678)-SUM($K$4:K678),2))</f>
        <v/>
      </c>
      <c r="N678" s="13" t="n"/>
      <c r="O678" s="13" t="n"/>
      <c r="P678" s="17">
        <f>IF($B678="","",IF($F678="※类别不在基础资料里","※费用类别不在基础资料里",IF(AND(N($J678)=0,N($K678)=0),"※这行没填金额",IF(AND(N($J678)&gt;0,N($K678)&gt;0),"※收入和支出不能同一行都填",IF(AND($D678="收入",N($J678)=0),"※收入行要填收入金额",IF(AND($D678="支出",N($K678)=0),"※支出行要填支出金额",IF(AND($C678&lt;&gt;"",ISNA(MATCH($C678,账户表,0))),"※账户不在基础资料里",IF(AND($G678&lt;&gt;"",ISNA(MATCH($G678,项目名表,0))),"※项目不在项目台账里",IF(AND(LEFT($F678,3)="成本-",$G678=""),"※成本类支出没填项目",IF(AND(LEFT($F678,3)="成本-",$H678&lt;&gt;"",N($K678)&gt;0,COUNTIFS(采购单!$B:$B,$B678,采购单!$C:$C,$H678,采购单!$L:$L,$K678)&gt;0),"※这笔可能和采购单重复了",""))))))))))</f>
        <v/>
      </c>
    </row>
    <row r="679">
      <c r="A679" s="17">
        <f>IF($B679="","",ROW()-3)</f>
        <v/>
      </c>
      <c r="B679" s="18" t="n">
        <v>46224</v>
      </c>
      <c r="C679" s="13" t="inlineStr">
        <is>
          <t>微信1</t>
        </is>
      </c>
      <c r="D679" s="13" t="inlineStr">
        <is>
          <t>支出</t>
        </is>
      </c>
      <c r="E679" s="13" t="inlineStr">
        <is>
          <t>运费/快递费</t>
        </is>
      </c>
      <c r="F679" s="17">
        <f>IF($E679="","",IFERROR(VLOOKUP($E679,类别归属,2,0),"※类别不在基础资料里"))</f>
        <v/>
      </c>
      <c r="G679" s="13" t="n"/>
      <c r="H679" s="13" t="n"/>
      <c r="I679" s="13" t="inlineStr">
        <is>
          <t>杭州炳秀-湖州26-28武晓军</t>
        </is>
      </c>
      <c r="J679" s="14" t="n"/>
      <c r="K679" s="14" t="n">
        <v>62</v>
      </c>
      <c r="L679" s="19">
        <f>IF($C679="","",ROUND(IFERROR(VLOOKUP($C679,账户期初,2,0),0)+SUMIFS($J$4:J679,$C$4:C679,$C679)-SUMIFS($K$4:K679,$C$4:C679,$C679),2))</f>
        <v/>
      </c>
      <c r="M679" s="19">
        <f>IF($C679="","",ROUND(SUM(基础资料!$B$4:$B$13)+SUM($J$4:J679)-SUM($K$4:K679),2))</f>
        <v/>
      </c>
      <c r="N679" s="13" t="n"/>
      <c r="O679" s="13" t="n"/>
      <c r="P679" s="17">
        <f>IF($B679="","",IF($F679="※类别不在基础资料里","※费用类别不在基础资料里",IF(AND(N($J679)=0,N($K679)=0),"※这行没填金额",IF(AND(N($J679)&gt;0,N($K679)&gt;0),"※收入和支出不能同一行都填",IF(AND($D679="收入",N($J679)=0),"※收入行要填收入金额",IF(AND($D679="支出",N($K679)=0),"※支出行要填支出金额",IF(AND($C679&lt;&gt;"",ISNA(MATCH($C679,账户表,0))),"※账户不在基础资料里",IF(AND($G679&lt;&gt;"",ISNA(MATCH($G679,项目名表,0))),"※项目不在项目台账里",IF(AND(LEFT($F679,3)="成本-",$G679=""),"※成本类支出没填项目",IF(AND(LEFT($F679,3)="成本-",$H679&lt;&gt;"",N($K679)&gt;0,COUNTIFS(采购单!$B:$B,$B679,采购单!$C:$C,$H679,采购单!$L:$L,$K679)&gt;0),"※这笔可能和采购单重复了",""))))))))))</f>
        <v/>
      </c>
    </row>
    <row r="680">
      <c r="A680" s="17">
        <f>IF($B680="","",ROW()-3)</f>
        <v/>
      </c>
      <c r="B680" s="18" t="n">
        <v>46224</v>
      </c>
      <c r="C680" s="13" t="inlineStr">
        <is>
          <t>微信1</t>
        </is>
      </c>
      <c r="D680" s="13" t="inlineStr">
        <is>
          <t>支出</t>
        </is>
      </c>
      <c r="E680" s="13" t="inlineStr">
        <is>
          <t>安装工资</t>
        </is>
      </c>
      <c r="F680" s="17">
        <f>IF($E680="","",IFERROR(VLOOKUP($E680,类别归属,2,0),"※类别不在基础资料里"))</f>
        <v/>
      </c>
      <c r="G680" s="13" t="n"/>
      <c r="H680" s="13" t="n"/>
      <c r="I680" s="13" t="inlineStr">
        <is>
          <t>付安装老姚工资</t>
        </is>
      </c>
      <c r="J680" s="14" t="n"/>
      <c r="K680" s="14" t="n">
        <v>35</v>
      </c>
      <c r="L680" s="19">
        <f>IF($C680="","",ROUND(IFERROR(VLOOKUP($C680,账户期初,2,0),0)+SUMIFS($J$4:J680,$C$4:C680,$C680)-SUMIFS($K$4:K680,$C$4:C680,$C680),2))</f>
        <v/>
      </c>
      <c r="M680" s="19">
        <f>IF($C680="","",ROUND(SUM(基础资料!$B$4:$B$13)+SUM($J$4:J680)-SUM($K$4:K680),2))</f>
        <v/>
      </c>
      <c r="N680" s="13" t="n"/>
      <c r="O680" s="13" t="n"/>
      <c r="P680" s="17">
        <f>IF($B680="","",IF($F680="※类别不在基础资料里","※费用类别不在基础资料里",IF(AND(N($J680)=0,N($K680)=0),"※这行没填金额",IF(AND(N($J680)&gt;0,N($K680)&gt;0),"※收入和支出不能同一行都填",IF(AND($D680="收入",N($J680)=0),"※收入行要填收入金额",IF(AND($D680="支出",N($K680)=0),"※支出行要填支出金额",IF(AND($C680&lt;&gt;"",ISNA(MATCH($C680,账户表,0))),"※账户不在基础资料里",IF(AND($G680&lt;&gt;"",ISNA(MATCH($G680,项目名表,0))),"※项目不在项目台账里",IF(AND(LEFT($F680,3)="成本-",$G680=""),"※成本类支出没填项目",IF(AND(LEFT($F680,3)="成本-",$H680&lt;&gt;"",N($K680)&gt;0,COUNTIFS(采购单!$B:$B,$B680,采购单!$C:$C,$H680,采购单!$L:$L,$K680)&gt;0),"※这笔可能和采购单重复了",""))))))))))</f>
        <v/>
      </c>
    </row>
    <row r="681">
      <c r="A681" s="17">
        <f>IF($B681="","",ROW()-3)</f>
        <v/>
      </c>
      <c r="B681" s="18" t="n">
        <v>46224</v>
      </c>
      <c r="C681" s="13" t="inlineStr">
        <is>
          <t>微信1</t>
        </is>
      </c>
      <c r="D681" s="13" t="inlineStr">
        <is>
          <t>收入</t>
        </is>
      </c>
      <c r="E681" s="13" t="inlineStr">
        <is>
          <t>待分类</t>
        </is>
      </c>
      <c r="F681" s="17">
        <f>IF($E681="","",IFERROR(VLOOKUP($E681,类别归属,2,0),"※类别不在基础资料里"))</f>
        <v/>
      </c>
      <c r="G681" s="13" t="n"/>
      <c r="H681" s="13" t="n"/>
      <c r="I681" s="13" t="inlineStr">
        <is>
          <t>收万达KVV乔金鑫</t>
        </is>
      </c>
      <c r="J681" s="14" t="n">
        <v>238</v>
      </c>
      <c r="K681" s="14" t="n"/>
      <c r="L681" s="19">
        <f>IF($C681="","",ROUND(IFERROR(VLOOKUP($C681,账户期初,2,0),0)+SUMIFS($J$4:J681,$C$4:C681,$C681)-SUMIFS($K$4:K681,$C$4:C681,$C681),2))</f>
        <v/>
      </c>
      <c r="M681" s="19">
        <f>IF($C681="","",ROUND(SUM(基础资料!$B$4:$B$13)+SUM($J$4:J681)-SUM($K$4:K681),2))</f>
        <v/>
      </c>
      <c r="N681" s="13" t="n"/>
      <c r="O681" s="13" t="n"/>
      <c r="P681" s="17">
        <f>IF($B681="","",IF($F681="※类别不在基础资料里","※费用类别不在基础资料里",IF(AND(N($J681)=0,N($K681)=0),"※这行没填金额",IF(AND(N($J681)&gt;0,N($K681)&gt;0),"※收入和支出不能同一行都填",IF(AND($D681="收入",N($J681)=0),"※收入行要填收入金额",IF(AND($D681="支出",N($K681)=0),"※支出行要填支出金额",IF(AND($C681&lt;&gt;"",ISNA(MATCH($C681,账户表,0))),"※账户不在基础资料里",IF(AND($G681&lt;&gt;"",ISNA(MATCH($G681,项目名表,0))),"※项目不在项目台账里",IF(AND(LEFT($F681,3)="成本-",$G681=""),"※成本类支出没填项目",IF(AND(LEFT($F681,3)="成本-",$H681&lt;&gt;"",N($K681)&gt;0,COUNTIFS(采购单!$B:$B,$B681,采购单!$C:$C,$H681,采购单!$L:$L,$K681)&gt;0),"※这笔可能和采购单重复了",""))))))))))</f>
        <v/>
      </c>
    </row>
    <row r="682">
      <c r="A682" s="17">
        <f>IF($B682="","",ROW()-3)</f>
        <v/>
      </c>
      <c r="B682" s="18" t="n">
        <v>46225</v>
      </c>
      <c r="C682" s="13" t="inlineStr">
        <is>
          <t>微信1</t>
        </is>
      </c>
      <c r="D682" s="13" t="inlineStr">
        <is>
          <t>支出</t>
        </is>
      </c>
      <c r="E682" s="13" t="inlineStr">
        <is>
          <t>待分类</t>
        </is>
      </c>
      <c r="F682" s="17">
        <f>IF($E682="","",IFERROR(VLOOKUP($E682,类别归属,2,0),"※类别不在基础资料里"))</f>
        <v/>
      </c>
      <c r="G682" s="13" t="n"/>
      <c r="H682" s="13" t="n"/>
      <c r="I682" s="13" t="inlineStr">
        <is>
          <t>流星雨</t>
        </is>
      </c>
      <c r="J682" s="14" t="n"/>
      <c r="K682" s="14" t="n">
        <v>12</v>
      </c>
      <c r="L682" s="19">
        <f>IF($C682="","",ROUND(IFERROR(VLOOKUP($C682,账户期初,2,0),0)+SUMIFS($J$4:J682,$C$4:C682,$C682)-SUMIFS($K$4:K682,$C$4:C682,$C682),2))</f>
        <v/>
      </c>
      <c r="M682" s="19">
        <f>IF($C682="","",ROUND(SUM(基础资料!$B$4:$B$13)+SUM($J$4:J682)-SUM($K$4:K682),2))</f>
        <v/>
      </c>
      <c r="N682" s="13" t="n"/>
      <c r="O682" s="13" t="n"/>
      <c r="P682" s="17">
        <f>IF($B682="","",IF($F682="※类别不在基础资料里","※费用类别不在基础资料里",IF(AND(N($J682)=0,N($K682)=0),"※这行没填金额",IF(AND(N($J682)&gt;0,N($K682)&gt;0),"※收入和支出不能同一行都填",IF(AND($D682="收入",N($J682)=0),"※收入行要填收入金额",IF(AND($D682="支出",N($K682)=0),"※支出行要填支出金额",IF(AND($C682&lt;&gt;"",ISNA(MATCH($C682,账户表,0))),"※账户不在基础资料里",IF(AND($G682&lt;&gt;"",ISNA(MATCH($G682,项目名表,0))),"※项目不在项目台账里",IF(AND(LEFT($F682,3)="成本-",$G682=""),"※成本类支出没填项目",IF(AND(LEFT($F682,3)="成本-",$H682&lt;&gt;"",N($K682)&gt;0,COUNTIFS(采购单!$B:$B,$B682,采购单!$C:$C,$H682,采购单!$L:$L,$K682)&gt;0),"※这笔可能和采购单重复了",""))))))))))</f>
        <v/>
      </c>
    </row>
    <row r="683">
      <c r="A683" s="17">
        <f>IF($B683="","",ROW()-3)</f>
        <v/>
      </c>
      <c r="B683" s="18" t="n">
        <v>46225</v>
      </c>
      <c r="C683" s="13" t="inlineStr">
        <is>
          <t>微信1</t>
        </is>
      </c>
      <c r="D683" s="13" t="inlineStr">
        <is>
          <t>收入</t>
        </is>
      </c>
      <c r="E683" s="13" t="inlineStr">
        <is>
          <t>待分类</t>
        </is>
      </c>
      <c r="F683" s="17">
        <f>IF($E683="","",IFERROR(VLOOKUP($E683,类别归属,2,0),"※类别不在基础资料里"))</f>
        <v/>
      </c>
      <c r="G683" s="13" t="n"/>
      <c r="H683" s="13" t="n"/>
      <c r="I683" s="13" t="inlineStr">
        <is>
          <t>张小丽</t>
        </is>
      </c>
      <c r="J683" s="14" t="n">
        <v>1100</v>
      </c>
      <c r="K683" s="14" t="n"/>
      <c r="L683" s="19">
        <f>IF($C683="","",ROUND(IFERROR(VLOOKUP($C683,账户期初,2,0),0)+SUMIFS($J$4:J683,$C$4:C683,$C683)-SUMIFS($K$4:K683,$C$4:C683,$C683),2))</f>
        <v/>
      </c>
      <c r="M683" s="19">
        <f>IF($C683="","",ROUND(SUM(基础资料!$B$4:$B$13)+SUM($J$4:J683)-SUM($K$4:K683),2))</f>
        <v/>
      </c>
      <c r="N683" s="13" t="n"/>
      <c r="O683" s="13" t="n"/>
      <c r="P683" s="17">
        <f>IF($B683="","",IF($F683="※类别不在基础资料里","※费用类别不在基础资料里",IF(AND(N($J683)=0,N($K683)=0),"※这行没填金额",IF(AND(N($J683)&gt;0,N($K683)&gt;0),"※收入和支出不能同一行都填",IF(AND($D683="收入",N($J683)=0),"※收入行要填收入金额",IF(AND($D683="支出",N($K683)=0),"※支出行要填支出金额",IF(AND($C683&lt;&gt;"",ISNA(MATCH($C683,账户表,0))),"※账户不在基础资料里",IF(AND($G683&lt;&gt;"",ISNA(MATCH($G683,项目名表,0))),"※项目不在项目台账里",IF(AND(LEFT($F683,3)="成本-",$G683=""),"※成本类支出没填项目",IF(AND(LEFT($F683,3)="成本-",$H683&lt;&gt;"",N($K683)&gt;0,COUNTIFS(采购单!$B:$B,$B683,采购单!$C:$C,$H683,采购单!$L:$L,$K683)&gt;0),"※这笔可能和采购单重复了",""))))))))))</f>
        <v/>
      </c>
    </row>
    <row r="684">
      <c r="A684" s="17">
        <f>IF($B684="","",ROW()-3)</f>
        <v/>
      </c>
      <c r="B684" s="18" t="n">
        <v>46225</v>
      </c>
      <c r="C684" s="13" t="inlineStr">
        <is>
          <t>微信1</t>
        </is>
      </c>
      <c r="D684" s="13" t="inlineStr">
        <is>
          <t>收入</t>
        </is>
      </c>
      <c r="E684" s="13" t="inlineStr">
        <is>
          <t>待分类</t>
        </is>
      </c>
      <c r="F684" s="17">
        <f>IF($E684="","",IFERROR(VLOOKUP($E684,类别归属,2,0),"※类别不在基础资料里"))</f>
        <v/>
      </c>
      <c r="G684" s="13" t="n"/>
      <c r="H684" s="13" t="n"/>
      <c r="I684" s="13" t="inlineStr"/>
      <c r="J684" s="14" t="n">
        <v>550</v>
      </c>
      <c r="K684" s="14" t="n"/>
      <c r="L684" s="19">
        <f>IF($C684="","",ROUND(IFERROR(VLOOKUP($C684,账户期初,2,0),0)+SUMIFS($J$4:J684,$C$4:C684,$C684)-SUMIFS($K$4:K684,$C$4:C684,$C684),2))</f>
        <v/>
      </c>
      <c r="M684" s="19">
        <f>IF($C684="","",ROUND(SUM(基础资料!$B$4:$B$13)+SUM($J$4:J684)-SUM($K$4:K684),2))</f>
        <v/>
      </c>
      <c r="N684" s="13" t="n"/>
      <c r="O684" s="13" t="n"/>
      <c r="P684" s="17">
        <f>IF($B684="","",IF($F684="※类别不在基础资料里","※费用类别不在基础资料里",IF(AND(N($J684)=0,N($K684)=0),"※这行没填金额",IF(AND(N($J684)&gt;0,N($K684)&gt;0),"※收入和支出不能同一行都填",IF(AND($D684="收入",N($J684)=0),"※收入行要填收入金额",IF(AND($D684="支出",N($K684)=0),"※支出行要填支出金额",IF(AND($C684&lt;&gt;"",ISNA(MATCH($C684,账户表,0))),"※账户不在基础资料里",IF(AND($G684&lt;&gt;"",ISNA(MATCH($G684,项目名表,0))),"※项目不在项目台账里",IF(AND(LEFT($F684,3)="成本-",$G684=""),"※成本类支出没填项目",IF(AND(LEFT($F684,3)="成本-",$H684&lt;&gt;"",N($K684)&gt;0,COUNTIFS(采购单!$B:$B,$B684,采购单!$C:$C,$H684,采购单!$L:$L,$K684)&gt;0),"※这笔可能和采购单重复了",""))))))))))</f>
        <v/>
      </c>
    </row>
    <row r="685">
      <c r="A685" s="17">
        <f>IF($B685="","",ROW()-3)</f>
        <v/>
      </c>
      <c r="B685" s="18" t="n">
        <v>46225</v>
      </c>
      <c r="C685" s="13" t="inlineStr">
        <is>
          <t>微信1</t>
        </is>
      </c>
      <c r="D685" s="13" t="inlineStr">
        <is>
          <t>支出</t>
        </is>
      </c>
      <c r="E685" s="13" t="inlineStr">
        <is>
          <t>运费/快递费</t>
        </is>
      </c>
      <c r="F685" s="17">
        <f>IF($E685="","",IFERROR(VLOOKUP($E685,类别归属,2,0),"※类别不在基础资料里"))</f>
        <v/>
      </c>
      <c r="G685" s="13" t="n"/>
      <c r="H685" s="13" t="n"/>
      <c r="I685" s="13" t="inlineStr">
        <is>
          <t>杭州炳秀-湖州26-28武晓军</t>
        </is>
      </c>
      <c r="J685" s="14" t="n"/>
      <c r="K685" s="14" t="n">
        <v>51</v>
      </c>
      <c r="L685" s="19">
        <f>IF($C685="","",ROUND(IFERROR(VLOOKUP($C685,账户期初,2,0),0)+SUMIFS($J$4:J685,$C$4:C685,$C685)-SUMIFS($K$4:K685,$C$4:C685,$C685),2))</f>
        <v/>
      </c>
      <c r="M685" s="19">
        <f>IF($C685="","",ROUND(SUM(基础资料!$B$4:$B$13)+SUM($J$4:J685)-SUM($K$4:K685),2))</f>
        <v/>
      </c>
      <c r="N685" s="13" t="n"/>
      <c r="O685" s="13" t="n"/>
      <c r="P685" s="17">
        <f>IF($B685="","",IF($F685="※类别不在基础资料里","※费用类别不在基础资料里",IF(AND(N($J685)=0,N($K685)=0),"※这行没填金额",IF(AND(N($J685)&gt;0,N($K685)&gt;0),"※收入和支出不能同一行都填",IF(AND($D685="收入",N($J685)=0),"※收入行要填收入金额",IF(AND($D685="支出",N($K685)=0),"※支出行要填支出金额",IF(AND($C685&lt;&gt;"",ISNA(MATCH($C685,账户表,0))),"※账户不在基础资料里",IF(AND($G685&lt;&gt;"",ISNA(MATCH($G685,项目名表,0))),"※项目不在项目台账里",IF(AND(LEFT($F685,3)="成本-",$G685=""),"※成本类支出没填项目",IF(AND(LEFT($F685,3)="成本-",$H685&lt;&gt;"",N($K685)&gt;0,COUNTIFS(采购单!$B:$B,$B685,采购单!$C:$C,$H685,采购单!$L:$L,$K685)&gt;0),"※这笔可能和采购单重复了",""))))))))))</f>
        <v/>
      </c>
    </row>
    <row r="686">
      <c r="A686" s="17">
        <f>IF($B686="","",ROW()-3)</f>
        <v/>
      </c>
      <c r="B686" s="18" t="n">
        <v>46226</v>
      </c>
      <c r="C686" s="13" t="inlineStr">
        <is>
          <t>微信1</t>
        </is>
      </c>
      <c r="D686" s="13" t="inlineStr">
        <is>
          <t>支出</t>
        </is>
      </c>
      <c r="E686" s="13" t="inlineStr">
        <is>
          <t>待分类</t>
        </is>
      </c>
      <c r="F686" s="17">
        <f>IF($E686="","",IFERROR(VLOOKUP($E686,类别归属,2,0),"※类别不在基础资料里"))</f>
        <v/>
      </c>
      <c r="G686" s="13" t="n"/>
      <c r="H686" s="13" t="n"/>
      <c r="I686" s="13" t="inlineStr"/>
      <c r="J686" s="14" t="n"/>
      <c r="K686" s="14" t="n">
        <v>27.97</v>
      </c>
      <c r="L686" s="19">
        <f>IF($C686="","",ROUND(IFERROR(VLOOKUP($C686,账户期初,2,0),0)+SUMIFS($J$4:J686,$C$4:C686,$C686)-SUMIFS($K$4:K686,$C$4:C686,$C686),2))</f>
        <v/>
      </c>
      <c r="M686" s="19">
        <f>IF($C686="","",ROUND(SUM(基础资料!$B$4:$B$13)+SUM($J$4:J686)-SUM($K$4:K686),2))</f>
        <v/>
      </c>
      <c r="N686" s="13" t="n"/>
      <c r="O686" s="13" t="n"/>
      <c r="P686" s="17">
        <f>IF($B686="","",IF($F686="※类别不在基础资料里","※费用类别不在基础资料里",IF(AND(N($J686)=0,N($K686)=0),"※这行没填金额",IF(AND(N($J686)&gt;0,N($K686)&gt;0),"※收入和支出不能同一行都填",IF(AND($D686="收入",N($J686)=0),"※收入行要填收入金额",IF(AND($D686="支出",N($K686)=0),"※支出行要填支出金额",IF(AND($C686&lt;&gt;"",ISNA(MATCH($C686,账户表,0))),"※账户不在基础资料里",IF(AND($G686&lt;&gt;"",ISNA(MATCH($G686,项目名表,0))),"※项目不在项目台账里",IF(AND(LEFT($F686,3)="成本-",$G686=""),"※成本类支出没填项目",IF(AND(LEFT($F686,3)="成本-",$H686&lt;&gt;"",N($K686)&gt;0,COUNTIFS(采购单!$B:$B,$B686,采购单!$C:$C,$H686,采购单!$L:$L,$K686)&gt;0),"※这笔可能和采购单重复了",""))))))))))</f>
        <v/>
      </c>
    </row>
    <row r="687">
      <c r="A687" s="17">
        <f>IF($B687="","",ROW()-3)</f>
        <v/>
      </c>
      <c r="B687" s="18" t="n">
        <v>46226</v>
      </c>
      <c r="C687" s="13" t="inlineStr">
        <is>
          <t>微信1</t>
        </is>
      </c>
      <c r="D687" s="13" t="inlineStr">
        <is>
          <t>收入</t>
        </is>
      </c>
      <c r="E687" s="13" t="inlineStr">
        <is>
          <t>待分类</t>
        </is>
      </c>
      <c r="F687" s="17">
        <f>IF($E687="","",IFERROR(VLOOKUP($E687,类别归属,2,0),"※类别不在基础资料里"))</f>
        <v/>
      </c>
      <c r="G687" s="13" t="n"/>
      <c r="H687" s="13" t="n"/>
      <c r="I687" s="13" t="inlineStr"/>
      <c r="J687" s="14" t="n">
        <v>315</v>
      </c>
      <c r="K687" s="14" t="n"/>
      <c r="L687" s="19">
        <f>IF($C687="","",ROUND(IFERROR(VLOOKUP($C687,账户期初,2,0),0)+SUMIFS($J$4:J687,$C$4:C687,$C687)-SUMIFS($K$4:K687,$C$4:C687,$C687),2))</f>
        <v/>
      </c>
      <c r="M687" s="19">
        <f>IF($C687="","",ROUND(SUM(基础资料!$B$4:$B$13)+SUM($J$4:J687)-SUM($K$4:K687),2))</f>
        <v/>
      </c>
      <c r="N687" s="13" t="n"/>
      <c r="O687" s="13" t="n"/>
      <c r="P687" s="17">
        <f>IF($B687="","",IF($F687="※类别不在基础资料里","※费用类别不在基础资料里",IF(AND(N($J687)=0,N($K687)=0),"※这行没填金额",IF(AND(N($J687)&gt;0,N($K687)&gt;0),"※收入和支出不能同一行都填",IF(AND($D687="收入",N($J687)=0),"※收入行要填收入金额",IF(AND($D687="支出",N($K687)=0),"※支出行要填支出金额",IF(AND($C687&lt;&gt;"",ISNA(MATCH($C687,账户表,0))),"※账户不在基础资料里",IF(AND($G687&lt;&gt;"",ISNA(MATCH($G687,项目名表,0))),"※项目不在项目台账里",IF(AND(LEFT($F687,3)="成本-",$G687=""),"※成本类支出没填项目",IF(AND(LEFT($F687,3)="成本-",$H687&lt;&gt;"",N($K687)&gt;0,COUNTIFS(采购单!$B:$B,$B687,采购单!$C:$C,$H687,采购单!$L:$L,$K687)&gt;0),"※这笔可能和采购单重复了",""))))))))))</f>
        <v/>
      </c>
    </row>
    <row r="688">
      <c r="A688" s="17">
        <f>IF($B688="","",ROW()-3)</f>
        <v/>
      </c>
      <c r="B688" s="18" t="n">
        <v>46226</v>
      </c>
      <c r="C688" s="13" t="inlineStr">
        <is>
          <t>微信1</t>
        </is>
      </c>
      <c r="D688" s="13" t="inlineStr">
        <is>
          <t>支出</t>
        </is>
      </c>
      <c r="E688" s="13" t="inlineStr">
        <is>
          <t>待分类</t>
        </is>
      </c>
      <c r="F688" s="17">
        <f>IF($E688="","",IFERROR(VLOOKUP($E688,类别归属,2,0),"※类别不在基础资料里"))</f>
        <v/>
      </c>
      <c r="G688" s="13" t="n"/>
      <c r="H688" s="13" t="n"/>
      <c r="I688" s="13" t="inlineStr"/>
      <c r="J688" s="14" t="n"/>
      <c r="K688" s="14" t="n">
        <v>100</v>
      </c>
      <c r="L688" s="19">
        <f>IF($C688="","",ROUND(IFERROR(VLOOKUP($C688,账户期初,2,0),0)+SUMIFS($J$4:J688,$C$4:C688,$C688)-SUMIFS($K$4:K688,$C$4:C688,$C688),2))</f>
        <v/>
      </c>
      <c r="M688" s="19">
        <f>IF($C688="","",ROUND(SUM(基础资料!$B$4:$B$13)+SUM($J$4:J688)-SUM($K$4:K688),2))</f>
        <v/>
      </c>
      <c r="N688" s="13" t="n"/>
      <c r="O688" s="13" t="n"/>
      <c r="P688" s="17">
        <f>IF($B688="","",IF($F688="※类别不在基础资料里","※费用类别不在基础资料里",IF(AND(N($J688)=0,N($K688)=0),"※这行没填金额",IF(AND(N($J688)&gt;0,N($K688)&gt;0),"※收入和支出不能同一行都填",IF(AND($D688="收入",N($J688)=0),"※收入行要填收入金额",IF(AND($D688="支出",N($K688)=0),"※支出行要填支出金额",IF(AND($C688&lt;&gt;"",ISNA(MATCH($C688,账户表,0))),"※账户不在基础资料里",IF(AND($G688&lt;&gt;"",ISNA(MATCH($G688,项目名表,0))),"※项目不在项目台账里",IF(AND(LEFT($F688,3)="成本-",$G688=""),"※成本类支出没填项目",IF(AND(LEFT($F688,3)="成本-",$H688&lt;&gt;"",N($K688)&gt;0,COUNTIFS(采购单!$B:$B,$B688,采购单!$C:$C,$H688,采购单!$L:$L,$K688)&gt;0),"※这笔可能和采购单重复了",""))))))))))</f>
        <v/>
      </c>
    </row>
    <row r="689">
      <c r="A689" s="17">
        <f>IF($B689="","",ROW()-3)</f>
        <v/>
      </c>
      <c r="B689" s="18" t="n">
        <v>46226</v>
      </c>
      <c r="C689" s="13" t="inlineStr">
        <is>
          <t>微信1</t>
        </is>
      </c>
      <c r="D689" s="13" t="inlineStr">
        <is>
          <t>支出</t>
        </is>
      </c>
      <c r="E689" s="13" t="inlineStr">
        <is>
          <t>运费/快递费</t>
        </is>
      </c>
      <c r="F689" s="17">
        <f>IF($E689="","",IFERROR(VLOOKUP($E689,类别归属,2,0),"※类别不在基础资料里"))</f>
        <v/>
      </c>
      <c r="G689" s="13" t="n"/>
      <c r="H689" s="13" t="n"/>
      <c r="I689" s="13" t="inlineStr">
        <is>
          <t>杭州炳秀-湖州26-28武晓军</t>
        </is>
      </c>
      <c r="J689" s="14" t="n"/>
      <c r="K689" s="14" t="n">
        <v>122</v>
      </c>
      <c r="L689" s="19">
        <f>IF($C689="","",ROUND(IFERROR(VLOOKUP($C689,账户期初,2,0),0)+SUMIFS($J$4:J689,$C$4:C689,$C689)-SUMIFS($K$4:K689,$C$4:C689,$C689),2))</f>
        <v/>
      </c>
      <c r="M689" s="19">
        <f>IF($C689="","",ROUND(SUM(基础资料!$B$4:$B$13)+SUM($J$4:J689)-SUM($K$4:K689),2))</f>
        <v/>
      </c>
      <c r="N689" s="13" t="n"/>
      <c r="O689" s="13" t="n"/>
      <c r="P689" s="17">
        <f>IF($B689="","",IF($F689="※类别不在基础资料里","※费用类别不在基础资料里",IF(AND(N($J689)=0,N($K689)=0),"※这行没填金额",IF(AND(N($J689)&gt;0,N($K689)&gt;0),"※收入和支出不能同一行都填",IF(AND($D689="收入",N($J689)=0),"※收入行要填收入金额",IF(AND($D689="支出",N($K689)=0),"※支出行要填支出金额",IF(AND($C689&lt;&gt;"",ISNA(MATCH($C689,账户表,0))),"※账户不在基础资料里",IF(AND($G689&lt;&gt;"",ISNA(MATCH($G689,项目名表,0))),"※项目不在项目台账里",IF(AND(LEFT($F689,3)="成本-",$G689=""),"※成本类支出没填项目",IF(AND(LEFT($F689,3)="成本-",$H689&lt;&gt;"",N($K689)&gt;0,COUNTIFS(采购单!$B:$B,$B689,采购单!$C:$C,$H689,采购单!$L:$L,$K689)&gt;0),"※这笔可能和采购单重复了",""))))))))))</f>
        <v/>
      </c>
    </row>
    <row r="690">
      <c r="A690" s="17">
        <f>IF($B690="","",ROW()-3)</f>
        <v/>
      </c>
      <c r="B690" s="18" t="n">
        <v>46226</v>
      </c>
      <c r="C690" s="13" t="inlineStr">
        <is>
          <t>微信1</t>
        </is>
      </c>
      <c r="D690" s="13" t="inlineStr">
        <is>
          <t>收入</t>
        </is>
      </c>
      <c r="E690" s="13" t="inlineStr">
        <is>
          <t>待分类</t>
        </is>
      </c>
      <c r="F690" s="17">
        <f>IF($E690="","",IFERROR(VLOOKUP($E690,类别归属,2,0),"※类别不在基础资料里"))</f>
        <v/>
      </c>
      <c r="G690" s="13" t="n"/>
      <c r="H690" s="13" t="n"/>
      <c r="I690" s="13" t="inlineStr"/>
      <c r="J690" s="14" t="n">
        <v>2000</v>
      </c>
      <c r="K690" s="14" t="n"/>
      <c r="L690" s="19">
        <f>IF($C690="","",ROUND(IFERROR(VLOOKUP($C690,账户期初,2,0),0)+SUMIFS($J$4:J690,$C$4:C690,$C690)-SUMIFS($K$4:K690,$C$4:C690,$C690),2))</f>
        <v/>
      </c>
      <c r="M690" s="19">
        <f>IF($C690="","",ROUND(SUM(基础资料!$B$4:$B$13)+SUM($J$4:J690)-SUM($K$4:K690),2))</f>
        <v/>
      </c>
      <c r="N690" s="13" t="n"/>
      <c r="O690" s="13" t="n"/>
      <c r="P690" s="17">
        <f>IF($B690="","",IF($F690="※类别不在基础资料里","※费用类别不在基础资料里",IF(AND(N($J690)=0,N($K690)=0),"※这行没填金额",IF(AND(N($J690)&gt;0,N($K690)&gt;0),"※收入和支出不能同一行都填",IF(AND($D690="收入",N($J690)=0),"※收入行要填收入金额",IF(AND($D690="支出",N($K690)=0),"※支出行要填支出金额",IF(AND($C690&lt;&gt;"",ISNA(MATCH($C690,账户表,0))),"※账户不在基础资料里",IF(AND($G690&lt;&gt;"",ISNA(MATCH($G690,项目名表,0))),"※项目不在项目台账里",IF(AND(LEFT($F690,3)="成本-",$G690=""),"※成本类支出没填项目",IF(AND(LEFT($F690,3)="成本-",$H690&lt;&gt;"",N($K690)&gt;0,COUNTIFS(采购单!$B:$B,$B690,采购单!$C:$C,$H690,采购单!$L:$L,$K690)&gt;0),"※这笔可能和采购单重复了",""))))))))))</f>
        <v/>
      </c>
    </row>
    <row r="691">
      <c r="A691" s="17">
        <f>IF($B691="","",ROW()-3)</f>
        <v/>
      </c>
      <c r="B691" s="18" t="n">
        <v>46226</v>
      </c>
      <c r="C691" s="13" t="inlineStr">
        <is>
          <t>微信1</t>
        </is>
      </c>
      <c r="D691" s="13" t="inlineStr">
        <is>
          <t>支出</t>
        </is>
      </c>
      <c r="E691" s="13" t="inlineStr">
        <is>
          <t>待分类</t>
        </is>
      </c>
      <c r="F691" s="17">
        <f>IF($E691="","",IFERROR(VLOOKUP($E691,类别归属,2,0),"※类别不在基础资料里"))</f>
        <v/>
      </c>
      <c r="G691" s="13" t="n"/>
      <c r="H691" s="13" t="n"/>
      <c r="I691" s="13" t="inlineStr"/>
      <c r="J691" s="14" t="n"/>
      <c r="K691" s="14" t="n">
        <v>2242</v>
      </c>
      <c r="L691" s="19">
        <f>IF($C691="","",ROUND(IFERROR(VLOOKUP($C691,账户期初,2,0),0)+SUMIFS($J$4:J691,$C$4:C691,$C691)-SUMIFS($K$4:K691,$C$4:C691,$C691),2))</f>
        <v/>
      </c>
      <c r="M691" s="19">
        <f>IF($C691="","",ROUND(SUM(基础资料!$B$4:$B$13)+SUM($J$4:J691)-SUM($K$4:K691),2))</f>
        <v/>
      </c>
      <c r="N691" s="13" t="n"/>
      <c r="O691" s="13" t="n"/>
      <c r="P691" s="17">
        <f>IF($B691="","",IF($F691="※类别不在基础资料里","※费用类别不在基础资料里",IF(AND(N($J691)=0,N($K691)=0),"※这行没填金额",IF(AND(N($J691)&gt;0,N($K691)&gt;0),"※收入和支出不能同一行都填",IF(AND($D691="收入",N($J691)=0),"※收入行要填收入金额",IF(AND($D691="支出",N($K691)=0),"※支出行要填支出金额",IF(AND($C691&lt;&gt;"",ISNA(MATCH($C691,账户表,0))),"※账户不在基础资料里",IF(AND($G691&lt;&gt;"",ISNA(MATCH($G691,项目名表,0))),"※项目不在项目台账里",IF(AND(LEFT($F691,3)="成本-",$G691=""),"※成本类支出没填项目",IF(AND(LEFT($F691,3)="成本-",$H691&lt;&gt;"",N($K691)&gt;0,COUNTIFS(采购单!$B:$B,$B691,采购单!$C:$C,$H691,采购单!$L:$L,$K691)&gt;0),"※这笔可能和采购单重复了",""))))))))))</f>
        <v/>
      </c>
    </row>
    <row r="692">
      <c r="A692" s="17">
        <f>IF($B692="","",ROW()-3)</f>
        <v/>
      </c>
      <c r="B692" s="18" t="n">
        <v>46226</v>
      </c>
      <c r="C692" s="13" t="inlineStr">
        <is>
          <t>微信1</t>
        </is>
      </c>
      <c r="D692" s="13" t="inlineStr">
        <is>
          <t>支出</t>
        </is>
      </c>
      <c r="E692" s="13" t="inlineStr">
        <is>
          <t>待分类</t>
        </is>
      </c>
      <c r="F692" s="17">
        <f>IF($E692="","",IFERROR(VLOOKUP($E692,类别归属,2,0),"※类别不在基础资料里"))</f>
        <v/>
      </c>
      <c r="G692" s="13" t="n"/>
      <c r="H692" s="13" t="n"/>
      <c r="I692" s="13" t="inlineStr"/>
      <c r="J692" s="14" t="n"/>
      <c r="K692" s="14" t="n">
        <v>1000</v>
      </c>
      <c r="L692" s="19">
        <f>IF($C692="","",ROUND(IFERROR(VLOOKUP($C692,账户期初,2,0),0)+SUMIFS($J$4:J692,$C$4:C692,$C692)-SUMIFS($K$4:K692,$C$4:C692,$C692),2))</f>
        <v/>
      </c>
      <c r="M692" s="19">
        <f>IF($C692="","",ROUND(SUM(基础资料!$B$4:$B$13)+SUM($J$4:J692)-SUM($K$4:K692),2))</f>
        <v/>
      </c>
      <c r="N692" s="13" t="n"/>
      <c r="O692" s="13" t="n"/>
      <c r="P692" s="17">
        <f>IF($B692="","",IF($F692="※类别不在基础资料里","※费用类别不在基础资料里",IF(AND(N($J692)=0,N($K692)=0),"※这行没填金额",IF(AND(N($J692)&gt;0,N($K692)&gt;0),"※收入和支出不能同一行都填",IF(AND($D692="收入",N($J692)=0),"※收入行要填收入金额",IF(AND($D692="支出",N($K692)=0),"※支出行要填支出金额",IF(AND($C692&lt;&gt;"",ISNA(MATCH($C692,账户表,0))),"※账户不在基础资料里",IF(AND($G692&lt;&gt;"",ISNA(MATCH($G692,项目名表,0))),"※项目不在项目台账里",IF(AND(LEFT($F692,3)="成本-",$G692=""),"※成本类支出没填项目",IF(AND(LEFT($F692,3)="成本-",$H692&lt;&gt;"",N($K692)&gt;0,COUNTIFS(采购单!$B:$B,$B692,采购单!$C:$C,$H692,采购单!$L:$L,$K692)&gt;0),"※这笔可能和采购单重复了",""))))))))))</f>
        <v/>
      </c>
    </row>
    <row r="693">
      <c r="A693" s="17">
        <f>IF($B693="","",ROW()-3)</f>
        <v/>
      </c>
      <c r="B693" s="18" t="n">
        <v>46226</v>
      </c>
      <c r="C693" s="13" t="inlineStr">
        <is>
          <t>微信1</t>
        </is>
      </c>
      <c r="D693" s="13" t="inlineStr">
        <is>
          <t>收入</t>
        </is>
      </c>
      <c r="E693" s="13" t="inlineStr">
        <is>
          <t>待分类</t>
        </is>
      </c>
      <c r="F693" s="17">
        <f>IF($E693="","",IFERROR(VLOOKUP($E693,类别归属,2,0),"※类别不在基础资料里"))</f>
        <v/>
      </c>
      <c r="G693" s="13" t="n"/>
      <c r="H693" s="13" t="n"/>
      <c r="I693" s="13" t="inlineStr"/>
      <c r="J693" s="14" t="n">
        <v>542</v>
      </c>
      <c r="K693" s="14" t="n"/>
      <c r="L693" s="19">
        <f>IF($C693="","",ROUND(IFERROR(VLOOKUP($C693,账户期初,2,0),0)+SUMIFS($J$4:J693,$C$4:C693,$C693)-SUMIFS($K$4:K693,$C$4:C693,$C693),2))</f>
        <v/>
      </c>
      <c r="M693" s="19">
        <f>IF($C693="","",ROUND(SUM(基础资料!$B$4:$B$13)+SUM($J$4:J693)-SUM($K$4:K693),2))</f>
        <v/>
      </c>
      <c r="N693" s="13" t="n"/>
      <c r="O693" s="13" t="n"/>
      <c r="P693" s="17">
        <f>IF($B693="","",IF($F693="※类别不在基础资料里","※费用类别不在基础资料里",IF(AND(N($J693)=0,N($K693)=0),"※这行没填金额",IF(AND(N($J693)&gt;0,N($K693)&gt;0),"※收入和支出不能同一行都填",IF(AND($D693="收入",N($J693)=0),"※收入行要填收入金额",IF(AND($D693="支出",N($K693)=0),"※支出行要填支出金额",IF(AND($C693&lt;&gt;"",ISNA(MATCH($C693,账户表,0))),"※账户不在基础资料里",IF(AND($G693&lt;&gt;"",ISNA(MATCH($G693,项目名表,0))),"※项目不在项目台账里",IF(AND(LEFT($F693,3)="成本-",$G693=""),"※成本类支出没填项目",IF(AND(LEFT($F693,3)="成本-",$H693&lt;&gt;"",N($K693)&gt;0,COUNTIFS(采购单!$B:$B,$B693,采购单!$C:$C,$H693,采购单!$L:$L,$K693)&gt;0),"※这笔可能和采购单重复了",""))))))))))</f>
        <v/>
      </c>
    </row>
    <row r="694">
      <c r="A694" s="17">
        <f>IF($B694="","",ROW()-3)</f>
        <v/>
      </c>
      <c r="B694" s="18" t="n">
        <v>46226</v>
      </c>
      <c r="C694" s="13" t="inlineStr">
        <is>
          <t>微信1</t>
        </is>
      </c>
      <c r="D694" s="13" t="inlineStr">
        <is>
          <t>收入</t>
        </is>
      </c>
      <c r="E694" s="13" t="inlineStr">
        <is>
          <t>待分类</t>
        </is>
      </c>
      <c r="F694" s="17">
        <f>IF($E694="","",IFERROR(VLOOKUP($E694,类别归属,2,0),"※类别不在基础资料里"))</f>
        <v/>
      </c>
      <c r="G694" s="13" t="n"/>
      <c r="H694" s="13" t="n"/>
      <c r="I694" s="13" t="inlineStr"/>
      <c r="J694" s="14" t="n">
        <v>82</v>
      </c>
      <c r="K694" s="14" t="n"/>
      <c r="L694" s="19">
        <f>IF($C694="","",ROUND(IFERROR(VLOOKUP($C694,账户期初,2,0),0)+SUMIFS($J$4:J694,$C$4:C694,$C694)-SUMIFS($K$4:K694,$C$4:C694,$C694),2))</f>
        <v/>
      </c>
      <c r="M694" s="19">
        <f>IF($C694="","",ROUND(SUM(基础资料!$B$4:$B$13)+SUM($J$4:J694)-SUM($K$4:K694),2))</f>
        <v/>
      </c>
      <c r="N694" s="13" t="n"/>
      <c r="O694" s="13" t="n"/>
      <c r="P694" s="17">
        <f>IF($B694="","",IF($F694="※类别不在基础资料里","※费用类别不在基础资料里",IF(AND(N($J694)=0,N($K694)=0),"※这行没填金额",IF(AND(N($J694)&gt;0,N($K694)&gt;0),"※收入和支出不能同一行都填",IF(AND($D694="收入",N($J694)=0),"※收入行要填收入金额",IF(AND($D694="支出",N($K694)=0),"※支出行要填支出金额",IF(AND($C694&lt;&gt;"",ISNA(MATCH($C694,账户表,0))),"※账户不在基础资料里",IF(AND($G694&lt;&gt;"",ISNA(MATCH($G694,项目名表,0))),"※项目不在项目台账里",IF(AND(LEFT($F694,3)="成本-",$G694=""),"※成本类支出没填项目",IF(AND(LEFT($F694,3)="成本-",$H694&lt;&gt;"",N($K694)&gt;0,COUNTIFS(采购单!$B:$B,$B694,采购单!$C:$C,$H694,采购单!$L:$L,$K694)&gt;0),"※这笔可能和采购单重复了",""))))))))))</f>
        <v/>
      </c>
    </row>
    <row r="695">
      <c r="A695" s="17">
        <f>IF($B695="","",ROW()-3)</f>
        <v/>
      </c>
      <c r="B695" s="18" t="n">
        <v>46226</v>
      </c>
      <c r="C695" s="13" t="inlineStr">
        <is>
          <t>微信1</t>
        </is>
      </c>
      <c r="D695" s="13" t="inlineStr">
        <is>
          <t>收入</t>
        </is>
      </c>
      <c r="E695" s="13" t="inlineStr">
        <is>
          <t>待分类</t>
        </is>
      </c>
      <c r="F695" s="17">
        <f>IF($E695="","",IFERROR(VLOOKUP($E695,类别归属,2,0),"※类别不在基础资料里"))</f>
        <v/>
      </c>
      <c r="G695" s="13" t="n"/>
      <c r="H695" s="13" t="n"/>
      <c r="I695" s="13" t="inlineStr"/>
      <c r="J695" s="14" t="n">
        <v>562</v>
      </c>
      <c r="K695" s="14" t="n"/>
      <c r="L695" s="19">
        <f>IF($C695="","",ROUND(IFERROR(VLOOKUP($C695,账户期初,2,0),0)+SUMIFS($J$4:J695,$C$4:C695,$C695)-SUMIFS($K$4:K695,$C$4:C695,$C695),2))</f>
        <v/>
      </c>
      <c r="M695" s="19">
        <f>IF($C695="","",ROUND(SUM(基础资料!$B$4:$B$13)+SUM($J$4:J695)-SUM($K$4:K695),2))</f>
        <v/>
      </c>
      <c r="N695" s="13" t="n"/>
      <c r="O695" s="13" t="n"/>
      <c r="P695" s="17">
        <f>IF($B695="","",IF($F695="※类别不在基础资料里","※费用类别不在基础资料里",IF(AND(N($J695)=0,N($K695)=0),"※这行没填金额",IF(AND(N($J695)&gt;0,N($K695)&gt;0),"※收入和支出不能同一行都填",IF(AND($D695="收入",N($J695)=0),"※收入行要填收入金额",IF(AND($D695="支出",N($K695)=0),"※支出行要填支出金额",IF(AND($C695&lt;&gt;"",ISNA(MATCH($C695,账户表,0))),"※账户不在基础资料里",IF(AND($G695&lt;&gt;"",ISNA(MATCH($G695,项目名表,0))),"※项目不在项目台账里",IF(AND(LEFT($F695,3)="成本-",$G695=""),"※成本类支出没填项目",IF(AND(LEFT($F695,3)="成本-",$H695&lt;&gt;"",N($K695)&gt;0,COUNTIFS(采购单!$B:$B,$B695,采购单!$C:$C,$H695,采购单!$L:$L,$K695)&gt;0),"※这笔可能和采购单重复了",""))))))))))</f>
        <v/>
      </c>
    </row>
    <row r="696">
      <c r="A696" s="17">
        <f>IF($B696="","",ROW()-3)</f>
        <v/>
      </c>
      <c r="B696" s="18" t="n">
        <v>46227</v>
      </c>
      <c r="C696" s="13" t="inlineStr">
        <is>
          <t>微信1</t>
        </is>
      </c>
      <c r="D696" s="13" t="inlineStr">
        <is>
          <t>收入</t>
        </is>
      </c>
      <c r="E696" s="13" t="inlineStr">
        <is>
          <t>待分类</t>
        </is>
      </c>
      <c r="F696" s="17">
        <f>IF($E696="","",IFERROR(VLOOKUP($E696,类别归属,2,0),"※类别不在基础资料里"))</f>
        <v/>
      </c>
      <c r="G696" s="13" t="n"/>
      <c r="H696" s="13" t="n"/>
      <c r="I696" s="13" t="inlineStr"/>
      <c r="J696" s="14" t="n">
        <v>600</v>
      </c>
      <c r="K696" s="14" t="n"/>
      <c r="L696" s="19">
        <f>IF($C696="","",ROUND(IFERROR(VLOOKUP($C696,账户期初,2,0),0)+SUMIFS($J$4:J696,$C$4:C696,$C696)-SUMIFS($K$4:K696,$C$4:C696,$C696),2))</f>
        <v/>
      </c>
      <c r="M696" s="19">
        <f>IF($C696="","",ROUND(SUM(基础资料!$B$4:$B$13)+SUM($J$4:J696)-SUM($K$4:K696),2))</f>
        <v/>
      </c>
      <c r="N696" s="13" t="n"/>
      <c r="O696" s="13" t="n"/>
      <c r="P696" s="17">
        <f>IF($B696="","",IF($F696="※类别不在基础资料里","※费用类别不在基础资料里",IF(AND(N($J696)=0,N($K696)=0),"※这行没填金额",IF(AND(N($J696)&gt;0,N($K696)&gt;0),"※收入和支出不能同一行都填",IF(AND($D696="收入",N($J696)=0),"※收入行要填收入金额",IF(AND($D696="支出",N($K696)=0),"※支出行要填支出金额",IF(AND($C696&lt;&gt;"",ISNA(MATCH($C696,账户表,0))),"※账户不在基础资料里",IF(AND($G696&lt;&gt;"",ISNA(MATCH($G696,项目名表,0))),"※项目不在项目台账里",IF(AND(LEFT($F696,3)="成本-",$G696=""),"※成本类支出没填项目",IF(AND(LEFT($F696,3)="成本-",$H696&lt;&gt;"",N($K696)&gt;0,COUNTIFS(采购单!$B:$B,$B696,采购单!$C:$C,$H696,采购单!$L:$L,$K696)&gt;0),"※这笔可能和采购单重复了",""))))))))))</f>
        <v/>
      </c>
    </row>
    <row r="697">
      <c r="A697" s="17">
        <f>IF($B697="","",ROW()-3)</f>
        <v/>
      </c>
      <c r="B697" s="18" t="n">
        <v>46227</v>
      </c>
      <c r="C697" s="13" t="inlineStr">
        <is>
          <t>微信1</t>
        </is>
      </c>
      <c r="D697" s="13" t="inlineStr">
        <is>
          <t>支出</t>
        </is>
      </c>
      <c r="E697" s="13" t="inlineStr">
        <is>
          <t>待分类</t>
        </is>
      </c>
      <c r="F697" s="17">
        <f>IF($E697="","",IFERROR(VLOOKUP($E697,类别归属,2,0),"※类别不在基础资料里"))</f>
        <v/>
      </c>
      <c r="G697" s="13" t="n"/>
      <c r="H697" s="13" t="n"/>
      <c r="I697" s="13" t="inlineStr"/>
      <c r="J697" s="14" t="n"/>
      <c r="K697" s="14" t="n">
        <v>189.43</v>
      </c>
      <c r="L697" s="19">
        <f>IF($C697="","",ROUND(IFERROR(VLOOKUP($C697,账户期初,2,0),0)+SUMIFS($J$4:J697,$C$4:C697,$C697)-SUMIFS($K$4:K697,$C$4:C697,$C697),2))</f>
        <v/>
      </c>
      <c r="M697" s="19">
        <f>IF($C697="","",ROUND(SUM(基础资料!$B$4:$B$13)+SUM($J$4:J697)-SUM($K$4:K697),2))</f>
        <v/>
      </c>
      <c r="N697" s="13" t="n"/>
      <c r="O697" s="13" t="n"/>
      <c r="P697" s="17">
        <f>IF($B697="","",IF($F697="※类别不在基础资料里","※费用类别不在基础资料里",IF(AND(N($J697)=0,N($K697)=0),"※这行没填金额",IF(AND(N($J697)&gt;0,N($K697)&gt;0),"※收入和支出不能同一行都填",IF(AND($D697="收入",N($J697)=0),"※收入行要填收入金额",IF(AND($D697="支出",N($K697)=0),"※支出行要填支出金额",IF(AND($C697&lt;&gt;"",ISNA(MATCH($C697,账户表,0))),"※账户不在基础资料里",IF(AND($G697&lt;&gt;"",ISNA(MATCH($G697,项目名表,0))),"※项目不在项目台账里",IF(AND(LEFT($F697,3)="成本-",$G697=""),"※成本类支出没填项目",IF(AND(LEFT($F697,3)="成本-",$H697&lt;&gt;"",N($K697)&gt;0,COUNTIFS(采购单!$B:$B,$B697,采购单!$C:$C,$H697,采购单!$L:$L,$K697)&gt;0),"※这笔可能和采购单重复了",""))))))))))</f>
        <v/>
      </c>
    </row>
    <row r="698">
      <c r="A698" s="17">
        <f>IF($B698="","",ROW()-3)</f>
        <v/>
      </c>
      <c r="B698" s="18" t="n">
        <v>46228</v>
      </c>
      <c r="C698" s="13" t="inlineStr">
        <is>
          <t>微信1</t>
        </is>
      </c>
      <c r="D698" s="13" t="inlineStr">
        <is>
          <t>收入</t>
        </is>
      </c>
      <c r="E698" s="13" t="inlineStr">
        <is>
          <t>待分类</t>
        </is>
      </c>
      <c r="F698" s="17">
        <f>IF($E698="","",IFERROR(VLOOKUP($E698,类别归属,2,0),"※类别不在基础资料里"))</f>
        <v/>
      </c>
      <c r="G698" s="13" t="n"/>
      <c r="H698" s="13" t="n"/>
      <c r="I698" s="13" t="inlineStr"/>
      <c r="J698" s="14" t="n">
        <v>880</v>
      </c>
      <c r="K698" s="14" t="n"/>
      <c r="L698" s="19">
        <f>IF($C698="","",ROUND(IFERROR(VLOOKUP($C698,账户期初,2,0),0)+SUMIFS($J$4:J698,$C$4:C698,$C698)-SUMIFS($K$4:K698,$C$4:C698,$C698),2))</f>
        <v/>
      </c>
      <c r="M698" s="19">
        <f>IF($C698="","",ROUND(SUM(基础资料!$B$4:$B$13)+SUM($J$4:J698)-SUM($K$4:K698),2))</f>
        <v/>
      </c>
      <c r="N698" s="13" t="n"/>
      <c r="O698" s="13" t="n"/>
      <c r="P698" s="17">
        <f>IF($B698="","",IF($F698="※类别不在基础资料里","※费用类别不在基础资料里",IF(AND(N($J698)=0,N($K698)=0),"※这行没填金额",IF(AND(N($J698)&gt;0,N($K698)&gt;0),"※收入和支出不能同一行都填",IF(AND($D698="收入",N($J698)=0),"※收入行要填收入金额",IF(AND($D698="支出",N($K698)=0),"※支出行要填支出金额",IF(AND($C698&lt;&gt;"",ISNA(MATCH($C698,账户表,0))),"※账户不在基础资料里",IF(AND($G698&lt;&gt;"",ISNA(MATCH($G698,项目名表,0))),"※项目不在项目台账里",IF(AND(LEFT($F698,3)="成本-",$G698=""),"※成本类支出没填项目",IF(AND(LEFT($F698,3)="成本-",$H698&lt;&gt;"",N($K698)&gt;0,COUNTIFS(采购单!$B:$B,$B698,采购单!$C:$C,$H698,采购单!$L:$L,$K698)&gt;0),"※这笔可能和采购单重复了",""))))))))))</f>
        <v/>
      </c>
    </row>
    <row r="699">
      <c r="A699" s="17">
        <f>IF($B699="","",ROW()-3)</f>
        <v/>
      </c>
      <c r="B699" s="18" t="n">
        <v>46229</v>
      </c>
      <c r="C699" s="13" t="inlineStr">
        <is>
          <t>微信1</t>
        </is>
      </c>
      <c r="D699" s="13" t="inlineStr">
        <is>
          <t>支出</t>
        </is>
      </c>
      <c r="E699" s="13" t="inlineStr">
        <is>
          <t>运费/快递费</t>
        </is>
      </c>
      <c r="F699" s="17">
        <f>IF($E699="","",IFERROR(VLOOKUP($E699,类别归属,2,0),"※类别不在基础资料里"))</f>
        <v/>
      </c>
      <c r="G699" s="13" t="n"/>
      <c r="H699" s="13" t="n"/>
      <c r="I699" s="13" t="inlineStr">
        <is>
          <t>杭州炳秀-湖州26-28武晓军</t>
        </is>
      </c>
      <c r="J699" s="14" t="n"/>
      <c r="K699" s="14" t="n">
        <v>74</v>
      </c>
      <c r="L699" s="19">
        <f>IF($C699="","",ROUND(IFERROR(VLOOKUP($C699,账户期初,2,0),0)+SUMIFS($J$4:J699,$C$4:C699,$C699)-SUMIFS($K$4:K699,$C$4:C699,$C699),2))</f>
        <v/>
      </c>
      <c r="M699" s="19">
        <f>IF($C699="","",ROUND(SUM(基础资料!$B$4:$B$13)+SUM($J$4:J699)-SUM($K$4:K699),2))</f>
        <v/>
      </c>
      <c r="N699" s="13" t="n"/>
      <c r="O699" s="13" t="n"/>
      <c r="P699" s="17">
        <f>IF($B699="","",IF($F699="※类别不在基础资料里","※费用类别不在基础资料里",IF(AND(N($J699)=0,N($K699)=0),"※这行没填金额",IF(AND(N($J699)&gt;0,N($K699)&gt;0),"※收入和支出不能同一行都填",IF(AND($D699="收入",N($J699)=0),"※收入行要填收入金额",IF(AND($D699="支出",N($K699)=0),"※支出行要填支出金额",IF(AND($C699&lt;&gt;"",ISNA(MATCH($C699,账户表,0))),"※账户不在基础资料里",IF(AND($G699&lt;&gt;"",ISNA(MATCH($G699,项目名表,0))),"※项目不在项目台账里",IF(AND(LEFT($F699,3)="成本-",$G699=""),"※成本类支出没填项目",IF(AND(LEFT($F699,3)="成本-",$H699&lt;&gt;"",N($K699)&gt;0,COUNTIFS(采购单!$B:$B,$B699,采购单!$C:$C,$H699,采购单!$L:$L,$K699)&gt;0),"※这笔可能和采购单重复了",""))))))))))</f>
        <v/>
      </c>
    </row>
    <row r="700">
      <c r="A700" s="17">
        <f>IF($B700="","",ROW()-3)</f>
        <v/>
      </c>
      <c r="B700" s="18" t="n">
        <v>46230</v>
      </c>
      <c r="C700" s="13" t="inlineStr">
        <is>
          <t>微信1</t>
        </is>
      </c>
      <c r="D700" s="13" t="inlineStr">
        <is>
          <t>支出</t>
        </is>
      </c>
      <c r="E700" s="13" t="inlineStr">
        <is>
          <t>其他管理费用</t>
        </is>
      </c>
      <c r="F700" s="17">
        <f>IF($E700="","",IFERROR(VLOOKUP($E700,类别归属,2,0),"※类别不在基础资料里"))</f>
        <v/>
      </c>
      <c r="G700" s="13" t="n"/>
      <c r="H700" s="13" t="n"/>
      <c r="I700" s="13" t="inlineStr">
        <is>
          <t>杨德报销</t>
        </is>
      </c>
      <c r="J700" s="14" t="n"/>
      <c r="K700" s="14" t="n">
        <v>2027</v>
      </c>
      <c r="L700" s="19">
        <f>IF($C700="","",ROUND(IFERROR(VLOOKUP($C700,账户期初,2,0),0)+SUMIFS($J$4:J700,$C$4:C700,$C700)-SUMIFS($K$4:K700,$C$4:C700,$C700),2))</f>
        <v/>
      </c>
      <c r="M700" s="19">
        <f>IF($C700="","",ROUND(SUM(基础资料!$B$4:$B$13)+SUM($J$4:J700)-SUM($K$4:K700),2))</f>
        <v/>
      </c>
      <c r="N700" s="13" t="n"/>
      <c r="O700" s="13" t="n"/>
      <c r="P700" s="17">
        <f>IF($B700="","",IF($F700="※类别不在基础资料里","※费用类别不在基础资料里",IF(AND(N($J700)=0,N($K700)=0),"※这行没填金额",IF(AND(N($J700)&gt;0,N($K700)&gt;0),"※收入和支出不能同一行都填",IF(AND($D700="收入",N($J700)=0),"※收入行要填收入金额",IF(AND($D700="支出",N($K700)=0),"※支出行要填支出金额",IF(AND($C700&lt;&gt;"",ISNA(MATCH($C700,账户表,0))),"※账户不在基础资料里",IF(AND($G700&lt;&gt;"",ISNA(MATCH($G700,项目名表,0))),"※项目不在项目台账里",IF(AND(LEFT($F700,3)="成本-",$G700=""),"※成本类支出没填项目",IF(AND(LEFT($F700,3)="成本-",$H700&lt;&gt;"",N($K700)&gt;0,COUNTIFS(采购单!$B:$B,$B700,采购单!$C:$C,$H700,采购单!$L:$L,$K700)&gt;0),"※这笔可能和采购单重复了",""))))))))))</f>
        <v/>
      </c>
    </row>
    <row r="701">
      <c r="A701" s="17">
        <f>IF($B701="","",ROW()-3)</f>
        <v/>
      </c>
      <c r="B701" s="18" t="n">
        <v>46230</v>
      </c>
      <c r="C701" s="13" t="inlineStr">
        <is>
          <t>微信1</t>
        </is>
      </c>
      <c r="D701" s="13" t="inlineStr">
        <is>
          <t>收入</t>
        </is>
      </c>
      <c r="E701" s="13" t="inlineStr">
        <is>
          <t>待分类</t>
        </is>
      </c>
      <c r="F701" s="17">
        <f>IF($E701="","",IFERROR(VLOOKUP($E701,类别归属,2,0),"※类别不在基础资料里"))</f>
        <v/>
      </c>
      <c r="G701" s="13" t="n"/>
      <c r="H701" s="13" t="n"/>
      <c r="I701" s="13" t="inlineStr">
        <is>
          <t>万达4F-小西街老板Smile (Smile.Tan)</t>
        </is>
      </c>
      <c r="J701" s="14" t="n">
        <v>52</v>
      </c>
      <c r="K701" s="14" t="n"/>
      <c r="L701" s="19">
        <f>IF($C701="","",ROUND(IFERROR(VLOOKUP($C701,账户期初,2,0),0)+SUMIFS($J$4:J701,$C$4:C701,$C701)-SUMIFS($K$4:K701,$C$4:C701,$C701),2))</f>
        <v/>
      </c>
      <c r="M701" s="19">
        <f>IF($C701="","",ROUND(SUM(基础资料!$B$4:$B$13)+SUM($J$4:J701)-SUM($K$4:K701),2))</f>
        <v/>
      </c>
      <c r="N701" s="13" t="n"/>
      <c r="O701" s="13" t="inlineStr">
        <is>
          <t>7.27止凌宇实存1887.54</t>
        </is>
      </c>
      <c r="P701" s="17">
        <f>IF($B701="","",IF($F701="※类别不在基础资料里","※费用类别不在基础资料里",IF(AND(N($J701)=0,N($K701)=0),"※这行没填金额",IF(AND(N($J701)&gt;0,N($K701)&gt;0),"※收入和支出不能同一行都填",IF(AND($D701="收入",N($J701)=0),"※收入行要填收入金额",IF(AND($D701="支出",N($K701)=0),"※支出行要填支出金额",IF(AND($C701&lt;&gt;"",ISNA(MATCH($C701,账户表,0))),"※账户不在基础资料里",IF(AND($G701&lt;&gt;"",ISNA(MATCH($G701,项目名表,0))),"※项目不在项目台账里",IF(AND(LEFT($F701,3)="成本-",$G701=""),"※成本类支出没填项目",IF(AND(LEFT($F701,3)="成本-",$H701&lt;&gt;"",N($K701)&gt;0,COUNTIFS(采购单!$B:$B,$B701,采购单!$C:$C,$H701,采购单!$L:$L,$K701)&gt;0),"※这笔可能和采购单重复了",""))))))))))</f>
        <v/>
      </c>
    </row>
    <row r="702">
      <c r="A702" s="17">
        <f>IF($B702="","",ROW()-3)</f>
        <v/>
      </c>
      <c r="B702" s="18" t="n">
        <v>46230</v>
      </c>
      <c r="C702" s="13" t="inlineStr">
        <is>
          <t>微信1</t>
        </is>
      </c>
      <c r="D702" s="13" t="inlineStr">
        <is>
          <t>收入</t>
        </is>
      </c>
      <c r="E702" s="13" t="inlineStr">
        <is>
          <t>待分类</t>
        </is>
      </c>
      <c r="F702" s="17">
        <f>IF($E702="","",IFERROR(VLOOKUP($E702,类别归属,2,0),"※类别不在基础资料里"))</f>
        <v/>
      </c>
      <c r="G702" s="13" t="n"/>
      <c r="H702" s="13" t="n"/>
      <c r="I702" s="13" t="inlineStr">
        <is>
          <t>刘洋</t>
        </is>
      </c>
      <c r="J702" s="14" t="n">
        <v>145.8</v>
      </c>
      <c r="K702" s="14" t="n"/>
      <c r="L702" s="19">
        <f>IF($C702="","",ROUND(IFERROR(VLOOKUP($C702,账户期初,2,0),0)+SUMIFS($J$4:J702,$C$4:C702,$C702)-SUMIFS($K$4:K702,$C$4:C702,$C702),2))</f>
        <v/>
      </c>
      <c r="M702" s="19">
        <f>IF($C702="","",ROUND(SUM(基础资料!$B$4:$B$13)+SUM($J$4:J702)-SUM($K$4:K702),2))</f>
        <v/>
      </c>
      <c r="N702" s="13" t="n"/>
      <c r="O702" s="13" t="n"/>
      <c r="P702" s="17">
        <f>IF($B702="","",IF($F702="※类别不在基础资料里","※费用类别不在基础资料里",IF(AND(N($J702)=0,N($K702)=0),"※这行没填金额",IF(AND(N($J702)&gt;0,N($K702)&gt;0),"※收入和支出不能同一行都填",IF(AND($D702="收入",N($J702)=0),"※收入行要填收入金额",IF(AND($D702="支出",N($K702)=0),"※支出行要填支出金额",IF(AND($C702&lt;&gt;"",ISNA(MATCH($C702,账户表,0))),"※账户不在基础资料里",IF(AND($G702&lt;&gt;"",ISNA(MATCH($G702,项目名表,0))),"※项目不在项目台账里",IF(AND(LEFT($F702,3)="成本-",$G702=""),"※成本类支出没填项目",IF(AND(LEFT($F702,3)="成本-",$H702&lt;&gt;"",N($K702)&gt;0,COUNTIFS(采购单!$B:$B,$B702,采购单!$C:$C,$H702,采购单!$L:$L,$K702)&gt;0),"※这笔可能和采购单重复了",""))))))))))</f>
        <v/>
      </c>
    </row>
    <row r="703">
      <c r="A703" s="17">
        <f>IF($B703="","",ROW()-3)</f>
        <v/>
      </c>
      <c r="B703" s="18" t="n">
        <v>46230</v>
      </c>
      <c r="C703" s="13" t="inlineStr">
        <is>
          <t>微信1</t>
        </is>
      </c>
      <c r="D703" s="13" t="inlineStr">
        <is>
          <t>支出</t>
        </is>
      </c>
      <c r="E703" s="13" t="inlineStr">
        <is>
          <t>运费/快递费</t>
        </is>
      </c>
      <c r="F703" s="17">
        <f>IF($E703="","",IFERROR(VLOOKUP($E703,类别归属,2,0),"※类别不在基础资料里"))</f>
        <v/>
      </c>
      <c r="G703" s="13" t="n"/>
      <c r="H703" s="13" t="n"/>
      <c r="I703" s="13" t="inlineStr">
        <is>
          <t>杭州炳秀湖州26-28线路</t>
        </is>
      </c>
      <c r="J703" s="14" t="n"/>
      <c r="K703" s="14" t="n">
        <v>60</v>
      </c>
      <c r="L703" s="19">
        <f>IF($C703="","",ROUND(IFERROR(VLOOKUP($C703,账户期初,2,0),0)+SUMIFS($J$4:J703,$C$4:C703,$C703)-SUMIFS($K$4:K703,$C$4:C703,$C703),2))</f>
        <v/>
      </c>
      <c r="M703" s="19">
        <f>IF($C703="","",ROUND(SUM(基础资料!$B$4:$B$13)+SUM($J$4:J703)-SUM($K$4:K703),2))</f>
        <v/>
      </c>
      <c r="N703" s="13" t="n"/>
      <c r="O703" s="13" t="n"/>
      <c r="P703" s="17">
        <f>IF($B703="","",IF($F703="※类别不在基础资料里","※费用类别不在基础资料里",IF(AND(N($J703)=0,N($K703)=0),"※这行没填金额",IF(AND(N($J703)&gt;0,N($K703)&gt;0),"※收入和支出不能同一行都填",IF(AND($D703="收入",N($J703)=0),"※收入行要填收入金额",IF(AND($D703="支出",N($K703)=0),"※支出行要填支出金额",IF(AND($C703&lt;&gt;"",ISNA(MATCH($C703,账户表,0))),"※账户不在基础资料里",IF(AND($G703&lt;&gt;"",ISNA(MATCH($G703,项目名表,0))),"※项目不在项目台账里",IF(AND(LEFT($F703,3)="成本-",$G703=""),"※成本类支出没填项目",IF(AND(LEFT($F703,3)="成本-",$H703&lt;&gt;"",N($K703)&gt;0,COUNTIFS(采购单!$B:$B,$B703,采购单!$C:$C,$H703,采购单!$L:$L,$K703)&gt;0),"※这笔可能和采购单重复了",""))))))))))</f>
        <v/>
      </c>
    </row>
    <row r="704">
      <c r="A704" s="17">
        <f>IF($B704="","",ROW()-3)</f>
        <v/>
      </c>
      <c r="B704" s="18" t="n">
        <v>46231</v>
      </c>
      <c r="C704" s="13" t="inlineStr">
        <is>
          <t>微信1</t>
        </is>
      </c>
      <c r="D704" s="13" t="inlineStr">
        <is>
          <t>支出</t>
        </is>
      </c>
      <c r="E704" s="13" t="inlineStr">
        <is>
          <t>运费/快递费</t>
        </is>
      </c>
      <c r="F704" s="17">
        <f>IF($E704="","",IFERROR(VLOOKUP($E704,类别归属,2,0),"※类别不在基础资料里"))</f>
        <v/>
      </c>
      <c r="G704" s="13" t="n"/>
      <c r="H704" s="13" t="n"/>
      <c r="I704" s="13" t="inlineStr">
        <is>
          <t>杭州炳秀湖州26-28线路</t>
        </is>
      </c>
      <c r="J704" s="14" t="n"/>
      <c r="K704" s="14" t="n">
        <v>373</v>
      </c>
      <c r="L704" s="19">
        <f>IF($C704="","",ROUND(IFERROR(VLOOKUP($C704,账户期初,2,0),0)+SUMIFS($J$4:J704,$C$4:C704,$C704)-SUMIFS($K$4:K704,$C$4:C704,$C704),2))</f>
        <v/>
      </c>
      <c r="M704" s="19">
        <f>IF($C704="","",ROUND(SUM(基础资料!$B$4:$B$13)+SUM($J$4:J704)-SUM($K$4:K704),2))</f>
        <v/>
      </c>
      <c r="N704" s="13" t="n"/>
      <c r="O704" s="13" t="n"/>
      <c r="P704" s="17">
        <f>IF($B704="","",IF($F704="※类别不在基础资料里","※费用类别不在基础资料里",IF(AND(N($J704)=0,N($K704)=0),"※这行没填金额",IF(AND(N($J704)&gt;0,N($K704)&gt;0),"※收入和支出不能同一行都填",IF(AND($D704="收入",N($J704)=0),"※收入行要填收入金额",IF(AND($D704="支出",N($K704)=0),"※支出行要填支出金额",IF(AND($C704&lt;&gt;"",ISNA(MATCH($C704,账户表,0))),"※账户不在基础资料里",IF(AND($G704&lt;&gt;"",ISNA(MATCH($G704,项目名表,0))),"※项目不在项目台账里",IF(AND(LEFT($F704,3)="成本-",$G704=""),"※成本类支出没填项目",IF(AND(LEFT($F704,3)="成本-",$H704&lt;&gt;"",N($K704)&gt;0,COUNTIFS(采购单!$B:$B,$B704,采购单!$C:$C,$H704,采购单!$L:$L,$K704)&gt;0),"※这笔可能和采购单重复了",""))))))))))</f>
        <v/>
      </c>
    </row>
    <row r="705">
      <c r="A705" s="17">
        <f>IF($B705="","",ROW()-3)</f>
        <v/>
      </c>
      <c r="B705" s="18" t="n">
        <v>46232</v>
      </c>
      <c r="C705" s="13" t="inlineStr">
        <is>
          <t>微信1</t>
        </is>
      </c>
      <c r="D705" s="13" t="inlineStr">
        <is>
          <t>支出</t>
        </is>
      </c>
      <c r="E705" s="13" t="inlineStr">
        <is>
          <t>广告推广</t>
        </is>
      </c>
      <c r="F705" s="17">
        <f>IF($E705="","",IFERROR(VLOOKUP($E705,类别归属,2,0),"※类别不在基础资料里"))</f>
        <v/>
      </c>
      <c r="G705" s="13" t="n"/>
      <c r="H705" s="13" t="n"/>
      <c r="I705" s="13" t="inlineStr">
        <is>
          <t>巨量本地推</t>
        </is>
      </c>
      <c r="J705" s="14" t="n"/>
      <c r="K705" s="14" t="n">
        <v>300</v>
      </c>
      <c r="L705" s="19">
        <f>IF($C705="","",ROUND(IFERROR(VLOOKUP($C705,账户期初,2,0),0)+SUMIFS($J$4:J705,$C$4:C705,$C705)-SUMIFS($K$4:K705,$C$4:C705,$C705),2))</f>
        <v/>
      </c>
      <c r="M705" s="19">
        <f>IF($C705="","",ROUND(SUM(基础资料!$B$4:$B$13)+SUM($J$4:J705)-SUM($K$4:K705),2))</f>
        <v/>
      </c>
      <c r="N705" s="13" t="n"/>
      <c r="O705" s="13" t="n"/>
      <c r="P705" s="17">
        <f>IF($B705="","",IF($F705="※类别不在基础资料里","※费用类别不在基础资料里",IF(AND(N($J705)=0,N($K705)=0),"※这行没填金额",IF(AND(N($J705)&gt;0,N($K705)&gt;0),"※收入和支出不能同一行都填",IF(AND($D705="收入",N($J705)=0),"※收入行要填收入金额",IF(AND($D705="支出",N($K705)=0),"※支出行要填支出金额",IF(AND($C705&lt;&gt;"",ISNA(MATCH($C705,账户表,0))),"※账户不在基础资料里",IF(AND($G705&lt;&gt;"",ISNA(MATCH($G705,项目名表,0))),"※项目不在项目台账里",IF(AND(LEFT($F705,3)="成本-",$G705=""),"※成本类支出没填项目",IF(AND(LEFT($F705,3)="成本-",$H705&lt;&gt;"",N($K705)&gt;0,COUNTIFS(采购单!$B:$B,$B705,采购单!$C:$C,$H705,采购单!$L:$L,$K705)&gt;0),"※这笔可能和采购单重复了",""))))))))))</f>
        <v/>
      </c>
    </row>
    <row r="706">
      <c r="A706" s="17">
        <f>IF($B706="","",ROW()-3)</f>
        <v/>
      </c>
      <c r="B706" s="18" t="n">
        <v>46232</v>
      </c>
      <c r="C706" s="13" t="inlineStr">
        <is>
          <t>微信1</t>
        </is>
      </c>
      <c r="D706" s="13" t="inlineStr">
        <is>
          <t>支出</t>
        </is>
      </c>
      <c r="E706" s="13" t="inlineStr">
        <is>
          <t>主材采购</t>
        </is>
      </c>
      <c r="F706" s="17">
        <f>IF($E706="","",IFERROR(VLOOKUP($E706,类别归属,2,0),"※类别不在基础资料里"))</f>
        <v/>
      </c>
      <c r="G706" s="13" t="n"/>
      <c r="H706" s="13" t="n"/>
      <c r="I706" s="13" t="inlineStr">
        <is>
          <t>童发电线～张玉</t>
        </is>
      </c>
      <c r="J706" s="14" t="n"/>
      <c r="K706" s="14" t="n">
        <v>350</v>
      </c>
      <c r="L706" s="19">
        <f>IF($C706="","",ROUND(IFERROR(VLOOKUP($C706,账户期初,2,0),0)+SUMIFS($J$4:J706,$C$4:C706,$C706)-SUMIFS($K$4:K706,$C$4:C706,$C706),2))</f>
        <v/>
      </c>
      <c r="M706" s="19">
        <f>IF($C706="","",ROUND(SUM(基础资料!$B$4:$B$13)+SUM($J$4:J706)-SUM($K$4:K706),2))</f>
        <v/>
      </c>
      <c r="N706" s="13" t="n"/>
      <c r="O706" s="13" t="n"/>
      <c r="P706" s="17">
        <f>IF($B706="","",IF($F706="※类别不在基础资料里","※费用类别不在基础资料里",IF(AND(N($J706)=0,N($K706)=0),"※这行没填金额",IF(AND(N($J706)&gt;0,N($K706)&gt;0),"※收入和支出不能同一行都填",IF(AND($D706="收入",N($J706)=0),"※收入行要填收入金额",IF(AND($D706="支出",N($K706)=0),"※支出行要填支出金额",IF(AND($C706&lt;&gt;"",ISNA(MATCH($C706,账户表,0))),"※账户不在基础资料里",IF(AND($G706&lt;&gt;"",ISNA(MATCH($G706,项目名表,0))),"※项目不在项目台账里",IF(AND(LEFT($F706,3)="成本-",$G706=""),"※成本类支出没填项目",IF(AND(LEFT($F706,3)="成本-",$H706&lt;&gt;"",N($K706)&gt;0,COUNTIFS(采购单!$B:$B,$B706,采购单!$C:$C,$H706,采购单!$L:$L,$K706)&gt;0),"※这笔可能和采购单重复了",""))))))))))</f>
        <v/>
      </c>
    </row>
    <row r="707">
      <c r="A707" s="17">
        <f>IF($B707="","",ROW()-3)</f>
        <v/>
      </c>
      <c r="B707" s="18" t="n">
        <v>46232</v>
      </c>
      <c r="C707" s="13" t="inlineStr">
        <is>
          <t>微信1</t>
        </is>
      </c>
      <c r="D707" s="13" t="inlineStr">
        <is>
          <t>支出</t>
        </is>
      </c>
      <c r="E707" s="13" t="inlineStr">
        <is>
          <t>运费/快递费</t>
        </is>
      </c>
      <c r="F707" s="17">
        <f>IF($E707="","",IFERROR(VLOOKUP($E707,类别归属,2,0),"※类别不在基础资料里"))</f>
        <v/>
      </c>
      <c r="G707" s="13" t="n"/>
      <c r="H707" s="13" t="n"/>
      <c r="I707" s="13" t="inlineStr">
        <is>
          <t>杭州炳秀湖州26-28线路</t>
        </is>
      </c>
      <c r="J707" s="14" t="n"/>
      <c r="K707" s="14" t="n">
        <v>68</v>
      </c>
      <c r="L707" s="19">
        <f>IF($C707="","",ROUND(IFERROR(VLOOKUP($C707,账户期初,2,0),0)+SUMIFS($J$4:J707,$C$4:C707,$C707)-SUMIFS($K$4:K707,$C$4:C707,$C707),2))</f>
        <v/>
      </c>
      <c r="M707" s="19">
        <f>IF($C707="","",ROUND(SUM(基础资料!$B$4:$B$13)+SUM($J$4:J707)-SUM($K$4:K707),2))</f>
        <v/>
      </c>
      <c r="N707" s="13" t="n"/>
      <c r="O707" s="13" t="n"/>
      <c r="P707" s="17">
        <f>IF($B707="","",IF($F707="※类别不在基础资料里","※费用类别不在基础资料里",IF(AND(N($J707)=0,N($K707)=0),"※这行没填金额",IF(AND(N($J707)&gt;0,N($K707)&gt;0),"※收入和支出不能同一行都填",IF(AND($D707="收入",N($J707)=0),"※收入行要填收入金额",IF(AND($D707="支出",N($K707)=0),"※支出行要填支出金额",IF(AND($C707&lt;&gt;"",ISNA(MATCH($C707,账户表,0))),"※账户不在基础资料里",IF(AND($G707&lt;&gt;"",ISNA(MATCH($G707,项目名表,0))),"※项目不在项目台账里",IF(AND(LEFT($F707,3)="成本-",$G707=""),"※成本类支出没填项目",IF(AND(LEFT($F707,3)="成本-",$H707&lt;&gt;"",N($K707)&gt;0,COUNTIFS(采购单!$B:$B,$B707,采购单!$C:$C,$H707,采购单!$L:$L,$K707)&gt;0),"※这笔可能和采购单重复了",""))))))))))</f>
        <v/>
      </c>
    </row>
    <row r="708">
      <c r="A708" s="17">
        <f>IF($B708="","",ROW()-3)</f>
        <v/>
      </c>
      <c r="B708" s="18" t="n">
        <v>46233</v>
      </c>
      <c r="C708" s="13" t="inlineStr">
        <is>
          <t>微信1</t>
        </is>
      </c>
      <c r="D708" s="13" t="inlineStr">
        <is>
          <t>支出</t>
        </is>
      </c>
      <c r="E708" s="13" t="inlineStr">
        <is>
          <t>业务招待/餐费</t>
        </is>
      </c>
      <c r="F708" s="17">
        <f>IF($E708="","",IFERROR(VLOOKUP($E708,类别归属,2,0),"※类别不在基础资料里"))</f>
        <v/>
      </c>
      <c r="G708" s="13" t="n"/>
      <c r="H708" s="13" t="n"/>
      <c r="I708" s="13" t="inlineStr">
        <is>
          <t>美团</t>
        </is>
      </c>
      <c r="J708" s="14" t="n"/>
      <c r="K708" s="14" t="n">
        <v>13</v>
      </c>
      <c r="L708" s="19">
        <f>IF($C708="","",ROUND(IFERROR(VLOOKUP($C708,账户期初,2,0),0)+SUMIFS($J$4:J708,$C$4:C708,$C708)-SUMIFS($K$4:K708,$C$4:C708,$C708),2))</f>
        <v/>
      </c>
      <c r="M708" s="19">
        <f>IF($C708="","",ROUND(SUM(基础资料!$B$4:$B$13)+SUM($J$4:J708)-SUM($K$4:K708),2))</f>
        <v/>
      </c>
      <c r="N708" s="13" t="n"/>
      <c r="O708" s="13" t="n"/>
      <c r="P708" s="17">
        <f>IF($B708="","",IF($F708="※类别不在基础资料里","※费用类别不在基础资料里",IF(AND(N($J708)=0,N($K708)=0),"※这行没填金额",IF(AND(N($J708)&gt;0,N($K708)&gt;0),"※收入和支出不能同一行都填",IF(AND($D708="收入",N($J708)=0),"※收入行要填收入金额",IF(AND($D708="支出",N($K708)=0),"※支出行要填支出金额",IF(AND($C708&lt;&gt;"",ISNA(MATCH($C708,账户表,0))),"※账户不在基础资料里",IF(AND($G708&lt;&gt;"",ISNA(MATCH($G708,项目名表,0))),"※项目不在项目台账里",IF(AND(LEFT($F708,3)="成本-",$G708=""),"※成本类支出没填项目",IF(AND(LEFT($F708,3)="成本-",$H708&lt;&gt;"",N($K708)&gt;0,COUNTIFS(采购单!$B:$B,$B708,采购单!$C:$C,$H708,采购单!$L:$L,$K708)&gt;0),"※这笔可能和采购单重复了",""))))))))))</f>
        <v/>
      </c>
    </row>
    <row r="709">
      <c r="A709" s="17">
        <f>IF($B709="","",ROW()-3)</f>
        <v/>
      </c>
      <c r="B709" s="18" t="n">
        <v>46233</v>
      </c>
      <c r="C709" s="13" t="inlineStr">
        <is>
          <t>微信1</t>
        </is>
      </c>
      <c r="D709" s="13" t="inlineStr">
        <is>
          <t>收入</t>
        </is>
      </c>
      <c r="E709" s="13" t="inlineStr">
        <is>
          <t>广告推广</t>
        </is>
      </c>
      <c r="F709" s="17">
        <f>IF($E709="","",IFERROR(VLOOKUP($E709,类别归属,2,0),"※类别不在基础资料里"))</f>
        <v/>
      </c>
      <c r="G709" s="13" t="n"/>
      <c r="H709" s="13" t="n"/>
      <c r="I709" s="13" t="inlineStr">
        <is>
          <t>巨量本地推</t>
        </is>
      </c>
      <c r="J709" s="14" t="n">
        <v>121.32</v>
      </c>
      <c r="K709" s="14" t="n"/>
      <c r="L709" s="19">
        <f>IF($C709="","",ROUND(IFERROR(VLOOKUP($C709,账户期初,2,0),0)+SUMIFS($J$4:J709,$C$4:C709,$C709)-SUMIFS($K$4:K709,$C$4:C709,$C709),2))</f>
        <v/>
      </c>
      <c r="M709" s="19">
        <f>IF($C709="","",ROUND(SUM(基础资料!$B$4:$B$13)+SUM($J$4:J709)-SUM($K$4:K709),2))</f>
        <v/>
      </c>
      <c r="N709" s="13" t="n"/>
      <c r="O709" s="13" t="n"/>
      <c r="P709" s="17">
        <f>IF($B709="","",IF($F709="※类别不在基础资料里","※费用类别不在基础资料里",IF(AND(N($J709)=0,N($K709)=0),"※这行没填金额",IF(AND(N($J709)&gt;0,N($K709)&gt;0),"※收入和支出不能同一行都填",IF(AND($D709="收入",N($J709)=0),"※收入行要填收入金额",IF(AND($D709="支出",N($K709)=0),"※支出行要填支出金额",IF(AND($C709&lt;&gt;"",ISNA(MATCH($C709,账户表,0))),"※账户不在基础资料里",IF(AND($G709&lt;&gt;"",ISNA(MATCH($G709,项目名表,0))),"※项目不在项目台账里",IF(AND(LEFT($F709,3)="成本-",$G709=""),"※成本类支出没填项目",IF(AND(LEFT($F709,3)="成本-",$H709&lt;&gt;"",N($K709)&gt;0,COUNTIFS(采购单!$B:$B,$B709,采购单!$C:$C,$H709,采购单!$L:$L,$K709)&gt;0),"※这笔可能和采购单重复了",""))))))))))</f>
        <v/>
      </c>
    </row>
    <row r="710">
      <c r="A710" s="17">
        <f>IF($B710="","",ROW()-3)</f>
        <v/>
      </c>
      <c r="B710" s="18" t="n">
        <v>46233</v>
      </c>
      <c r="C710" s="13" t="inlineStr">
        <is>
          <t>微信1</t>
        </is>
      </c>
      <c r="D710" s="13" t="inlineStr">
        <is>
          <t>支出</t>
        </is>
      </c>
      <c r="E710" s="13" t="inlineStr">
        <is>
          <t>运费/快递费</t>
        </is>
      </c>
      <c r="F710" s="17">
        <f>IF($E710="","",IFERROR(VLOOKUP($E710,类别归属,2,0),"※类别不在基础资料里"))</f>
        <v/>
      </c>
      <c r="G710" s="13" t="n"/>
      <c r="H710" s="13" t="n"/>
      <c r="I710" s="13" t="inlineStr">
        <is>
          <t>杭州炳秀湖州26-28线路</t>
        </is>
      </c>
      <c r="J710" s="14" t="n"/>
      <c r="K710" s="14" t="n">
        <v>35</v>
      </c>
      <c r="L710" s="19">
        <f>IF($C710="","",ROUND(IFERROR(VLOOKUP($C710,账户期初,2,0),0)+SUMIFS($J$4:J710,$C$4:C710,$C710)-SUMIFS($K$4:K710,$C$4:C710,$C710),2))</f>
        <v/>
      </c>
      <c r="M710" s="19">
        <f>IF($C710="","",ROUND(SUM(基础资料!$B$4:$B$13)+SUM($J$4:J710)-SUM($K$4:K710),2))</f>
        <v/>
      </c>
      <c r="N710" s="13" t="n"/>
      <c r="O710" s="13" t="n"/>
      <c r="P710" s="17">
        <f>IF($B710="","",IF($F710="※类别不在基础资料里","※费用类别不在基础资料里",IF(AND(N($J710)=0,N($K710)=0),"※这行没填金额",IF(AND(N($J710)&gt;0,N($K710)&gt;0),"※收入和支出不能同一行都填",IF(AND($D710="收入",N($J710)=0),"※收入行要填收入金额",IF(AND($D710="支出",N($K710)=0),"※支出行要填支出金额",IF(AND($C710&lt;&gt;"",ISNA(MATCH($C710,账户表,0))),"※账户不在基础资料里",IF(AND($G710&lt;&gt;"",ISNA(MATCH($G710,项目名表,0))),"※项目不在项目台账里",IF(AND(LEFT($F710,3)="成本-",$G710=""),"※成本类支出没填项目",IF(AND(LEFT($F710,3)="成本-",$H710&lt;&gt;"",N($K710)&gt;0,COUNTIFS(采购单!$B:$B,$B710,采购单!$C:$C,$H710,采购单!$L:$L,$K710)&gt;0),"※这笔可能和采购单重复了",""))))))))))</f>
        <v/>
      </c>
    </row>
    <row r="711">
      <c r="A711" s="17">
        <f>IF($B711="","",ROW()-3)</f>
        <v/>
      </c>
      <c r="B711" s="18" t="n">
        <v>46233</v>
      </c>
      <c r="C711" s="13" t="inlineStr">
        <is>
          <t>微信1</t>
        </is>
      </c>
      <c r="D711" s="13" t="inlineStr">
        <is>
          <t>收入</t>
        </is>
      </c>
      <c r="E711" s="13" t="inlineStr">
        <is>
          <t>待分类</t>
        </is>
      </c>
      <c r="F711" s="17">
        <f>IF($E711="","",IFERROR(VLOOKUP($E711,类别归属,2,0),"※类别不在基础资料里"))</f>
        <v/>
      </c>
      <c r="G711" s="13" t="n"/>
      <c r="H711" s="13" t="n"/>
      <c r="I711" s="13" t="inlineStr">
        <is>
          <t>郑李芳13059978799原首章改为亿帆</t>
        </is>
      </c>
      <c r="J711" s="14" t="n">
        <v>4000</v>
      </c>
      <c r="K711" s="14" t="n"/>
      <c r="L711" s="19">
        <f>IF($C711="","",ROUND(IFERROR(VLOOKUP($C711,账户期初,2,0),0)+SUMIFS($J$4:J711,$C$4:C711,$C711)-SUMIFS($K$4:K711,$C$4:C711,$C711),2))</f>
        <v/>
      </c>
      <c r="M711" s="19">
        <f>IF($C711="","",ROUND(SUM(基础资料!$B$4:$B$13)+SUM($J$4:J711)-SUM($K$4:K711),2))</f>
        <v/>
      </c>
      <c r="N711" s="13" t="n"/>
      <c r="O711" s="13" t="n"/>
      <c r="P711" s="17">
        <f>IF($B711="","",IF($F711="※类别不在基础资料里","※费用类别不在基础资料里",IF(AND(N($J711)=0,N($K711)=0),"※这行没填金额",IF(AND(N($J711)&gt;0,N($K711)&gt;0),"※收入和支出不能同一行都填",IF(AND($D711="收入",N($J711)=0),"※收入行要填收入金额",IF(AND($D711="支出",N($K711)=0),"※支出行要填支出金额",IF(AND($C711&lt;&gt;"",ISNA(MATCH($C711,账户表,0))),"※账户不在基础资料里",IF(AND($G711&lt;&gt;"",ISNA(MATCH($G711,项目名表,0))),"※项目不在项目台账里",IF(AND(LEFT($F711,3)="成本-",$G711=""),"※成本类支出没填项目",IF(AND(LEFT($F711,3)="成本-",$H711&lt;&gt;"",N($K711)&gt;0,COUNTIFS(采购单!$B:$B,$B711,采购单!$C:$C,$H711,采购单!$L:$L,$K711)&gt;0),"※这笔可能和采购单重复了",""))))))))))</f>
        <v/>
      </c>
    </row>
    <row r="712">
      <c r="A712" s="17">
        <f>IF($B712="","",ROW()-3)</f>
        <v/>
      </c>
      <c r="B712" s="18" t="n">
        <v>46233</v>
      </c>
      <c r="C712" s="13" t="inlineStr">
        <is>
          <t>微信1</t>
        </is>
      </c>
      <c r="D712" s="13" t="inlineStr">
        <is>
          <t>支出</t>
        </is>
      </c>
      <c r="E712" s="13" t="inlineStr">
        <is>
          <t>车费/油费/过路费</t>
        </is>
      </c>
      <c r="F712" s="17">
        <f>IF($E712="","",IFERROR(VLOOKUP($E712,类别归属,2,0),"※类别不在基础资料里"))</f>
        <v/>
      </c>
      <c r="G712" s="13" t="n"/>
      <c r="H712" s="13" t="n"/>
      <c r="I712" s="13" t="inlineStr">
        <is>
          <t>滴滴出行</t>
        </is>
      </c>
      <c r="J712" s="14" t="n"/>
      <c r="K712" s="14" t="n">
        <v>22.83</v>
      </c>
      <c r="L712" s="19">
        <f>IF($C712="","",ROUND(IFERROR(VLOOKUP($C712,账户期初,2,0),0)+SUMIFS($J$4:J712,$C$4:C712,$C712)-SUMIFS($K$4:K712,$C$4:C712,$C712),2))</f>
        <v/>
      </c>
      <c r="M712" s="19">
        <f>IF($C712="","",ROUND(SUM(基础资料!$B$4:$B$13)+SUM($J$4:J712)-SUM($K$4:K712),2))</f>
        <v/>
      </c>
      <c r="N712" s="13" t="n"/>
      <c r="O712" s="13" t="n"/>
      <c r="P712" s="17">
        <f>IF($B712="","",IF($F712="※类别不在基础资料里","※费用类别不在基础资料里",IF(AND(N($J712)=0,N($K712)=0),"※这行没填金额",IF(AND(N($J712)&gt;0,N($K712)&gt;0),"※收入和支出不能同一行都填",IF(AND($D712="收入",N($J712)=0),"※收入行要填收入金额",IF(AND($D712="支出",N($K712)=0),"※支出行要填支出金额",IF(AND($C712&lt;&gt;"",ISNA(MATCH($C712,账户表,0))),"※账户不在基础资料里",IF(AND($G712&lt;&gt;"",ISNA(MATCH($G712,项目名表,0))),"※项目不在项目台账里",IF(AND(LEFT($F712,3)="成本-",$G712=""),"※成本类支出没填项目",IF(AND(LEFT($F712,3)="成本-",$H712&lt;&gt;"",N($K712)&gt;0,COUNTIFS(采购单!$B:$B,$B712,采购单!$C:$C,$H712,采购单!$L:$L,$K712)&gt;0),"※这笔可能和采购单重复了",""))))))))))</f>
        <v/>
      </c>
    </row>
    <row r="713">
      <c r="A713" s="17">
        <f>IF($B713="","",ROW()-3)</f>
        <v/>
      </c>
      <c r="B713" s="18" t="n">
        <v>46233</v>
      </c>
      <c r="C713" s="13" t="inlineStr">
        <is>
          <t>微信1</t>
        </is>
      </c>
      <c r="D713" s="13" t="inlineStr">
        <is>
          <t>收入</t>
        </is>
      </c>
      <c r="E713" s="13" t="inlineStr">
        <is>
          <t>车费/油费/过路费</t>
        </is>
      </c>
      <c r="F713" s="17">
        <f>IF($E713="","",IFERROR(VLOOKUP($E713,类别归属,2,0),"※类别不在基础资料里"))</f>
        <v/>
      </c>
      <c r="G713" s="13" t="n"/>
      <c r="H713" s="13" t="n"/>
      <c r="I713" s="13" t="inlineStr">
        <is>
          <t>滴滴货运</t>
        </is>
      </c>
      <c r="J713" s="14" t="n">
        <v>22.83</v>
      </c>
      <c r="K713" s="14" t="n"/>
      <c r="L713" s="19">
        <f>IF($C713="","",ROUND(IFERROR(VLOOKUP($C713,账户期初,2,0),0)+SUMIFS($J$4:J713,$C$4:C713,$C713)-SUMIFS($K$4:K713,$C$4:C713,$C713),2))</f>
        <v/>
      </c>
      <c r="M713" s="19">
        <f>IF($C713="","",ROUND(SUM(基础资料!$B$4:$B$13)+SUM($J$4:J713)-SUM($K$4:K713),2))</f>
        <v/>
      </c>
      <c r="N713" s="13" t="n"/>
      <c r="O713" s="13" t="n"/>
      <c r="P713" s="17">
        <f>IF($B713="","",IF($F713="※类别不在基础资料里","※费用类别不在基础资料里",IF(AND(N($J713)=0,N($K713)=0),"※这行没填金额",IF(AND(N($J713)&gt;0,N($K713)&gt;0),"※收入和支出不能同一行都填",IF(AND($D713="收入",N($J713)=0),"※收入行要填收入金额",IF(AND($D713="支出",N($K713)=0),"※支出行要填支出金额",IF(AND($C713&lt;&gt;"",ISNA(MATCH($C713,账户表,0))),"※账户不在基础资料里",IF(AND($G713&lt;&gt;"",ISNA(MATCH($G713,项目名表,0))),"※项目不在项目台账里",IF(AND(LEFT($F713,3)="成本-",$G713=""),"※成本类支出没填项目",IF(AND(LEFT($F713,3)="成本-",$H713&lt;&gt;"",N($K713)&gt;0,COUNTIFS(采购单!$B:$B,$B713,采购单!$C:$C,$H713,采购单!$L:$L,$K713)&gt;0),"※这笔可能和采购单重复了",""))))))))))</f>
        <v/>
      </c>
    </row>
    <row r="714">
      <c r="A714" s="17">
        <f>IF($B714="","",ROW()-3)</f>
        <v/>
      </c>
      <c r="B714" s="18" t="n">
        <v>46233</v>
      </c>
      <c r="C714" s="13" t="inlineStr">
        <is>
          <t>微信1</t>
        </is>
      </c>
      <c r="D714" s="13" t="inlineStr">
        <is>
          <t>支出</t>
        </is>
      </c>
      <c r="E714" s="13" t="inlineStr">
        <is>
          <t>车费/油费/过路费</t>
        </is>
      </c>
      <c r="F714" s="17">
        <f>IF($E714="","",IFERROR(VLOOKUP($E714,类别归属,2,0),"※类别不在基础资料里"))</f>
        <v/>
      </c>
      <c r="G714" s="13" t="n"/>
      <c r="H714" s="13" t="n"/>
      <c r="I714" s="13" t="inlineStr">
        <is>
          <t>滴滴出行</t>
        </is>
      </c>
      <c r="J714" s="14" t="n"/>
      <c r="K714" s="14" t="n">
        <v>26.69</v>
      </c>
      <c r="L714" s="19">
        <f>IF($C714="","",ROUND(IFERROR(VLOOKUP($C714,账户期初,2,0),0)+SUMIFS($J$4:J714,$C$4:C714,$C714)-SUMIFS($K$4:K714,$C$4:C714,$C714),2))</f>
        <v/>
      </c>
      <c r="M714" s="19">
        <f>IF($C714="","",ROUND(SUM(基础资料!$B$4:$B$13)+SUM($J$4:J714)-SUM($K$4:K714),2))</f>
        <v/>
      </c>
      <c r="N714" s="13" t="n"/>
      <c r="O714" s="13" t="n"/>
      <c r="P714" s="17">
        <f>IF($B714="","",IF($F714="※类别不在基础资料里","※费用类别不在基础资料里",IF(AND(N($J714)=0,N($K714)=0),"※这行没填金额",IF(AND(N($J714)&gt;0,N($K714)&gt;0),"※收入和支出不能同一行都填",IF(AND($D714="收入",N($J714)=0),"※收入行要填收入金额",IF(AND($D714="支出",N($K714)=0),"※支出行要填支出金额",IF(AND($C714&lt;&gt;"",ISNA(MATCH($C714,账户表,0))),"※账户不在基础资料里",IF(AND($G714&lt;&gt;"",ISNA(MATCH($G714,项目名表,0))),"※项目不在项目台账里",IF(AND(LEFT($F714,3)="成本-",$G714=""),"※成本类支出没填项目",IF(AND(LEFT($F714,3)="成本-",$H714&lt;&gt;"",N($K714)&gt;0,COUNTIFS(采购单!$B:$B,$B714,采购单!$C:$C,$H714,采购单!$L:$L,$K714)&gt;0),"※这笔可能和采购单重复了",""))))))))))</f>
        <v/>
      </c>
    </row>
    <row r="715">
      <c r="A715" s="17">
        <f>IF($B715="","",ROW()-3)</f>
        <v/>
      </c>
      <c r="B715" s="18" t="n">
        <v>46233</v>
      </c>
      <c r="C715" s="13" t="inlineStr">
        <is>
          <t>微信1</t>
        </is>
      </c>
      <c r="D715" s="13" t="inlineStr">
        <is>
          <t>支出</t>
        </is>
      </c>
      <c r="E715" s="13" t="inlineStr">
        <is>
          <t>运费/快递费</t>
        </is>
      </c>
      <c r="F715" s="17">
        <f>IF($E715="","",IFERROR(VLOOKUP($E715,类别归属,2,0),"※类别不在基础资料里"))</f>
        <v/>
      </c>
      <c r="G715" s="13" t="n"/>
      <c r="H715" s="13" t="inlineStr">
        <is>
          <t>货拉拉</t>
        </is>
      </c>
      <c r="I715" s="13" t="inlineStr">
        <is>
          <t>货拉拉</t>
        </is>
      </c>
      <c r="J715" s="14" t="n"/>
      <c r="K715" s="14" t="n">
        <v>29.5</v>
      </c>
      <c r="L715" s="19">
        <f>IF($C715="","",ROUND(IFERROR(VLOOKUP($C715,账户期初,2,0),0)+SUMIFS($J$4:J715,$C$4:C715,$C715)-SUMIFS($K$4:K715,$C$4:C715,$C715),2))</f>
        <v/>
      </c>
      <c r="M715" s="19">
        <f>IF($C715="","",ROUND(SUM(基础资料!$B$4:$B$13)+SUM($J$4:J715)-SUM($K$4:K715),2))</f>
        <v/>
      </c>
      <c r="N715" s="13" t="n"/>
      <c r="O715" s="13" t="n"/>
      <c r="P715" s="17">
        <f>IF($B715="","",IF($F715="※类别不在基础资料里","※费用类别不在基础资料里",IF(AND(N($J715)=0,N($K715)=0),"※这行没填金额",IF(AND(N($J715)&gt;0,N($K715)&gt;0),"※收入和支出不能同一行都填",IF(AND($D715="收入",N($J715)=0),"※收入行要填收入金额",IF(AND($D715="支出",N($K715)=0),"※支出行要填支出金额",IF(AND($C715&lt;&gt;"",ISNA(MATCH($C715,账户表,0))),"※账户不在基础资料里",IF(AND($G715&lt;&gt;"",ISNA(MATCH($G715,项目名表,0))),"※项目不在项目台账里",IF(AND(LEFT($F715,3)="成本-",$G715=""),"※成本类支出没填项目",IF(AND(LEFT($F715,3)="成本-",$H715&lt;&gt;"",N($K715)&gt;0,COUNTIFS(采购单!$B:$B,$B715,采购单!$C:$C,$H715,采购单!$L:$L,$K715)&gt;0),"※这笔可能和采购单重复了",""))))))))))</f>
        <v/>
      </c>
    </row>
    <row r="716">
      <c r="A716" s="17">
        <f>IF($B716="","",ROW()-3)</f>
        <v/>
      </c>
      <c r="B716" s="18" t="n">
        <v>46233</v>
      </c>
      <c r="C716" s="13" t="inlineStr">
        <is>
          <t>微信1</t>
        </is>
      </c>
      <c r="D716" s="13" t="inlineStr">
        <is>
          <t>收入</t>
        </is>
      </c>
      <c r="E716" s="13" t="inlineStr">
        <is>
          <t>车费/油费/过路费</t>
        </is>
      </c>
      <c r="F716" s="17">
        <f>IF($E716="","",IFERROR(VLOOKUP($E716,类别归属,2,0),"※类别不在基础资料里"))</f>
        <v/>
      </c>
      <c r="G716" s="13" t="n"/>
      <c r="H716" s="13" t="n"/>
      <c r="I716" s="13" t="inlineStr">
        <is>
          <t>滴滴货运</t>
        </is>
      </c>
      <c r="J716" s="14" t="n">
        <v>26.69</v>
      </c>
      <c r="K716" s="14" t="n"/>
      <c r="L716" s="19">
        <f>IF($C716="","",ROUND(IFERROR(VLOOKUP($C716,账户期初,2,0),0)+SUMIFS($J$4:J716,$C$4:C716,$C716)-SUMIFS($K$4:K716,$C$4:C716,$C716),2))</f>
        <v/>
      </c>
      <c r="M716" s="19">
        <f>IF($C716="","",ROUND(SUM(基础资料!$B$4:$B$13)+SUM($J$4:J716)-SUM($K$4:K716),2))</f>
        <v/>
      </c>
      <c r="N716" s="13" t="n"/>
      <c r="O716" s="13" t="n"/>
      <c r="P716" s="17">
        <f>IF($B716="","",IF($F716="※类别不在基础资料里","※费用类别不在基础资料里",IF(AND(N($J716)=0,N($K716)=0),"※这行没填金额",IF(AND(N($J716)&gt;0,N($K716)&gt;0),"※收入和支出不能同一行都填",IF(AND($D716="收入",N($J716)=0),"※收入行要填收入金额",IF(AND($D716="支出",N($K716)=0),"※支出行要填支出金额",IF(AND($C716&lt;&gt;"",ISNA(MATCH($C716,账户表,0))),"※账户不在基础资料里",IF(AND($G716&lt;&gt;"",ISNA(MATCH($G716,项目名表,0))),"※项目不在项目台账里",IF(AND(LEFT($F716,3)="成本-",$G716=""),"※成本类支出没填项目",IF(AND(LEFT($F716,3)="成本-",$H716&lt;&gt;"",N($K716)&gt;0,COUNTIFS(采购单!$B:$B,$B716,采购单!$C:$C,$H716,采购单!$L:$L,$K716)&gt;0),"※这笔可能和采购单重复了",""))))))))))</f>
        <v/>
      </c>
    </row>
    <row r="717">
      <c r="A717" s="17">
        <f>IF($B717="","",ROW()-3)</f>
        <v/>
      </c>
      <c r="B717" s="18" t="n">
        <v>46234</v>
      </c>
      <c r="C717" s="13" t="inlineStr">
        <is>
          <t>微信1</t>
        </is>
      </c>
      <c r="D717" s="13" t="inlineStr">
        <is>
          <t>支出</t>
        </is>
      </c>
      <c r="E717" s="13" t="inlineStr">
        <is>
          <t>待分类</t>
        </is>
      </c>
      <c r="F717" s="17">
        <f>IF($E717="","",IFERROR(VLOOKUP($E717,类别归属,2,0),"※类别不在基础资料里"))</f>
        <v/>
      </c>
      <c r="G717" s="13" t="n"/>
      <c r="H717" s="13" t="n"/>
      <c r="I717" s="13" t="inlineStr">
        <is>
          <t>高山森林乐园售票处</t>
        </is>
      </c>
      <c r="J717" s="14" t="n"/>
      <c r="K717" s="14" t="n">
        <v>1050</v>
      </c>
      <c r="L717" s="19">
        <f>IF($C717="","",ROUND(IFERROR(VLOOKUP($C717,账户期初,2,0),0)+SUMIFS($J$4:J717,$C$4:C717,$C717)-SUMIFS($K$4:K717,$C$4:C717,$C717),2))</f>
        <v/>
      </c>
      <c r="M717" s="19">
        <f>IF($C717="","",ROUND(SUM(基础资料!$B$4:$B$13)+SUM($J$4:J717)-SUM($K$4:K717),2))</f>
        <v/>
      </c>
      <c r="N717" s="13" t="n"/>
      <c r="O717" s="13" t="n"/>
      <c r="P717" s="17">
        <f>IF($B717="","",IF($F717="※类别不在基础资料里","※费用类别不在基础资料里",IF(AND(N($J717)=0,N($K717)=0),"※这行没填金额",IF(AND(N($J717)&gt;0,N($K717)&gt;0),"※收入和支出不能同一行都填",IF(AND($D717="收入",N($J717)=0),"※收入行要填收入金额",IF(AND($D717="支出",N($K717)=0),"※支出行要填支出金额",IF(AND($C717&lt;&gt;"",ISNA(MATCH($C717,账户表,0))),"※账户不在基础资料里",IF(AND($G717&lt;&gt;"",ISNA(MATCH($G717,项目名表,0))),"※项目不在项目台账里",IF(AND(LEFT($F717,3)="成本-",$G717=""),"※成本类支出没填项目",IF(AND(LEFT($F717,3)="成本-",$H717&lt;&gt;"",N($K717)&gt;0,COUNTIFS(采购单!$B:$B,$B717,采购单!$C:$C,$H717,采购单!$L:$L,$K717)&gt;0),"※这笔可能和采购单重复了",""))))))))))</f>
        <v/>
      </c>
    </row>
    <row r="718">
      <c r="A718" s="17">
        <f>IF($B718="","",ROW()-3)</f>
        <v/>
      </c>
      <c r="B718" s="18" t="n">
        <v>46234</v>
      </c>
      <c r="C718" s="13" t="inlineStr">
        <is>
          <t>微信1</t>
        </is>
      </c>
      <c r="D718" s="13" t="inlineStr">
        <is>
          <t>支出</t>
        </is>
      </c>
      <c r="E718" s="13" t="inlineStr">
        <is>
          <t>运费/快递费</t>
        </is>
      </c>
      <c r="F718" s="17">
        <f>IF($E718="","",IFERROR(VLOOKUP($E718,类别归属,2,0),"※类别不在基础资料里"))</f>
        <v/>
      </c>
      <c r="G718" s="13" t="n"/>
      <c r="H718" s="13" t="inlineStr">
        <is>
          <t>货拉拉</t>
        </is>
      </c>
      <c r="I718" s="13" t="inlineStr">
        <is>
          <t>货拉拉</t>
        </is>
      </c>
      <c r="J718" s="14" t="n"/>
      <c r="K718" s="14" t="n">
        <v>22.27</v>
      </c>
      <c r="L718" s="19">
        <f>IF($C718="","",ROUND(IFERROR(VLOOKUP($C718,账户期初,2,0),0)+SUMIFS($J$4:J718,$C$4:C718,$C718)-SUMIFS($K$4:K718,$C$4:C718,$C718),2))</f>
        <v/>
      </c>
      <c r="M718" s="19">
        <f>IF($C718="","",ROUND(SUM(基础资料!$B$4:$B$13)+SUM($J$4:J718)-SUM($K$4:K718),2))</f>
        <v/>
      </c>
      <c r="N718" s="13" t="n"/>
      <c r="O718" s="13" t="n"/>
      <c r="P718" s="17">
        <f>IF($B718="","",IF($F718="※类别不在基础资料里","※费用类别不在基础资料里",IF(AND(N($J718)=0,N($K718)=0),"※这行没填金额",IF(AND(N($J718)&gt;0,N($K718)&gt;0),"※收入和支出不能同一行都填",IF(AND($D718="收入",N($J718)=0),"※收入行要填收入金额",IF(AND($D718="支出",N($K718)=0),"※支出行要填支出金额",IF(AND($C718&lt;&gt;"",ISNA(MATCH($C718,账户表,0))),"※账户不在基础资料里",IF(AND($G718&lt;&gt;"",ISNA(MATCH($G718,项目名表,0))),"※项目不在项目台账里",IF(AND(LEFT($F718,3)="成本-",$G718=""),"※成本类支出没填项目",IF(AND(LEFT($F718,3)="成本-",$H718&lt;&gt;"",N($K718)&gt;0,COUNTIFS(采购单!$B:$B,$B718,采购单!$C:$C,$H718,采购单!$L:$L,$K718)&gt;0),"※这笔可能和采购单重复了",""))))))))))</f>
        <v/>
      </c>
    </row>
    <row r="719">
      <c r="A719" s="17">
        <f>IF($B719="","",ROW()-3)</f>
        <v/>
      </c>
      <c r="B719" s="18" t="n">
        <v>46234</v>
      </c>
      <c r="C719" s="13" t="inlineStr">
        <is>
          <t>微信1</t>
        </is>
      </c>
      <c r="D719" s="13" t="inlineStr">
        <is>
          <t>支出</t>
        </is>
      </c>
      <c r="E719" s="13" t="inlineStr">
        <is>
          <t>待分类</t>
        </is>
      </c>
      <c r="F719" s="17">
        <f>IF($E719="","",IFERROR(VLOOKUP($E719,类别归属,2,0),"※类别不在基础资料里"))</f>
        <v/>
      </c>
      <c r="G719" s="13" t="n"/>
      <c r="H719" s="13" t="n"/>
      <c r="I719" s="13" t="inlineStr">
        <is>
          <t>高山森林乐园售票处</t>
        </is>
      </c>
      <c r="J719" s="14" t="n"/>
      <c r="K719" s="14" t="n">
        <v>150</v>
      </c>
      <c r="L719" s="19">
        <f>IF($C719="","",ROUND(IFERROR(VLOOKUP($C719,账户期初,2,0),0)+SUMIFS($J$4:J719,$C$4:C719,$C719)-SUMIFS($K$4:K719,$C$4:C719,$C719),2))</f>
        <v/>
      </c>
      <c r="M719" s="19">
        <f>IF($C719="","",ROUND(SUM(基础资料!$B$4:$B$13)+SUM($J$4:J719)-SUM($K$4:K719),2))</f>
        <v/>
      </c>
      <c r="N719" s="13" t="n"/>
      <c r="O719" s="13" t="n"/>
      <c r="P719" s="17">
        <f>IF($B719="","",IF($F719="※类别不在基础资料里","※费用类别不在基础资料里",IF(AND(N($J719)=0,N($K719)=0),"※这行没填金额",IF(AND(N($J719)&gt;0,N($K719)&gt;0),"※收入和支出不能同一行都填",IF(AND($D719="收入",N($J719)=0),"※收入行要填收入金额",IF(AND($D719="支出",N($K719)=0),"※支出行要填支出金额",IF(AND($C719&lt;&gt;"",ISNA(MATCH($C719,账户表,0))),"※账户不在基础资料里",IF(AND($G719&lt;&gt;"",ISNA(MATCH($G719,项目名表,0))),"※项目不在项目台账里",IF(AND(LEFT($F719,3)="成本-",$G719=""),"※成本类支出没填项目",IF(AND(LEFT($F719,3)="成本-",$H719&lt;&gt;"",N($K719)&gt;0,COUNTIFS(采购单!$B:$B,$B719,采购单!$C:$C,$H719,采购单!$L:$L,$K719)&gt;0),"※这笔可能和采购单重复了",""))))))))))</f>
        <v/>
      </c>
    </row>
    <row r="720">
      <c r="A720" s="17">
        <f>IF($B720="","",ROW()-3)</f>
        <v/>
      </c>
      <c r="B720" s="18" t="n">
        <v>46234</v>
      </c>
      <c r="C720" s="13" t="inlineStr">
        <is>
          <t>微信1</t>
        </is>
      </c>
      <c r="D720" s="13" t="inlineStr">
        <is>
          <t>支出</t>
        </is>
      </c>
      <c r="E720" s="13" t="inlineStr">
        <is>
          <t>待分类</t>
        </is>
      </c>
      <c r="F720" s="17">
        <f>IF($E720="","",IFERROR(VLOOKUP($E720,类别归属,2,0),"※类别不在基础资料里"))</f>
        <v/>
      </c>
      <c r="G720" s="13" t="n"/>
      <c r="H720" s="13" t="n"/>
      <c r="I720" s="13" t="inlineStr">
        <is>
          <t>高山森林乐园售票处</t>
        </is>
      </c>
      <c r="J720" s="14" t="n"/>
      <c r="K720" s="14" t="n">
        <v>150</v>
      </c>
      <c r="L720" s="19">
        <f>IF($C720="","",ROUND(IFERROR(VLOOKUP($C720,账户期初,2,0),0)+SUMIFS($J$4:J720,$C$4:C720,$C720)-SUMIFS($K$4:K720,$C$4:C720,$C720),2))</f>
        <v/>
      </c>
      <c r="M720" s="19">
        <f>IF($C720="","",ROUND(SUM(基础资料!$B$4:$B$13)+SUM($J$4:J720)-SUM($K$4:K720),2))</f>
        <v/>
      </c>
      <c r="N720" s="13" t="n"/>
      <c r="O720" s="13" t="n"/>
      <c r="P720" s="17">
        <f>IF($B720="","",IF($F720="※类别不在基础资料里","※费用类别不在基础资料里",IF(AND(N($J720)=0,N($K720)=0),"※这行没填金额",IF(AND(N($J720)&gt;0,N($K720)&gt;0),"※收入和支出不能同一行都填",IF(AND($D720="收入",N($J720)=0),"※收入行要填收入金额",IF(AND($D720="支出",N($K720)=0),"※支出行要填支出金额",IF(AND($C720&lt;&gt;"",ISNA(MATCH($C720,账户表,0))),"※账户不在基础资料里",IF(AND($G720&lt;&gt;"",ISNA(MATCH($G720,项目名表,0))),"※项目不在项目台账里",IF(AND(LEFT($F720,3)="成本-",$G720=""),"※成本类支出没填项目",IF(AND(LEFT($F720,3)="成本-",$H720&lt;&gt;"",N($K720)&gt;0,COUNTIFS(采购单!$B:$B,$B720,采购单!$C:$C,$H720,采购单!$L:$L,$K720)&gt;0),"※这笔可能和采购单重复了",""))))))))))</f>
        <v/>
      </c>
    </row>
    <row r="721">
      <c r="A721" s="17">
        <f>IF($B721="","",ROW()-3)</f>
        <v/>
      </c>
      <c r="B721" s="18" t="n">
        <v>46234</v>
      </c>
      <c r="C721" s="13" t="inlineStr">
        <is>
          <t>微信1</t>
        </is>
      </c>
      <c r="D721" s="13" t="inlineStr">
        <is>
          <t>支出</t>
        </is>
      </c>
      <c r="E721" s="13" t="inlineStr">
        <is>
          <t>待分类</t>
        </is>
      </c>
      <c r="F721" s="17">
        <f>IF($E721="","",IFERROR(VLOOKUP($E721,类别归属,2,0),"※类别不在基础资料里"))</f>
        <v/>
      </c>
      <c r="G721" s="13" t="n"/>
      <c r="H721" s="13" t="n"/>
      <c r="I721" s="13" t="inlineStr">
        <is>
          <t>邓姐姐</t>
        </is>
      </c>
      <c r="J721" s="14" t="n"/>
      <c r="K721" s="14" t="n">
        <v>480</v>
      </c>
      <c r="L721" s="19">
        <f>IF($C721="","",ROUND(IFERROR(VLOOKUP($C721,账户期初,2,0),0)+SUMIFS($J$4:J721,$C$4:C721,$C721)-SUMIFS($K$4:K721,$C$4:C721,$C721),2))</f>
        <v/>
      </c>
      <c r="M721" s="19">
        <f>IF($C721="","",ROUND(SUM(基础资料!$B$4:$B$13)+SUM($J$4:J721)-SUM($K$4:K721),2))</f>
        <v/>
      </c>
      <c r="N721" s="13" t="n"/>
      <c r="O721" s="13" t="n"/>
      <c r="P721" s="17">
        <f>IF($B721="","",IF($F721="※类别不在基础资料里","※费用类别不在基础资料里",IF(AND(N($J721)=0,N($K721)=0),"※这行没填金额",IF(AND(N($J721)&gt;0,N($K721)&gt;0),"※收入和支出不能同一行都填",IF(AND($D721="收入",N($J721)=0),"※收入行要填收入金额",IF(AND($D721="支出",N($K721)=0),"※支出行要填支出金额",IF(AND($C721&lt;&gt;"",ISNA(MATCH($C721,账户表,0))),"※账户不在基础资料里",IF(AND($G721&lt;&gt;"",ISNA(MATCH($G721,项目名表,0))),"※项目不在项目台账里",IF(AND(LEFT($F721,3)="成本-",$G721=""),"※成本类支出没填项目",IF(AND(LEFT($F721,3)="成本-",$H721&lt;&gt;"",N($K721)&gt;0,COUNTIFS(采购单!$B:$B,$B721,采购单!$C:$C,$H721,采购单!$L:$L,$K721)&gt;0),"※这笔可能和采购单重复了",""))))))))))</f>
        <v/>
      </c>
    </row>
    <row r="722">
      <c r="A722" s="17">
        <f>IF($B722="","",ROW()-3)</f>
        <v/>
      </c>
      <c r="B722" s="18" t="n">
        <v>46234</v>
      </c>
      <c r="C722" s="13" t="inlineStr">
        <is>
          <t>微信1</t>
        </is>
      </c>
      <c r="D722" s="13" t="inlineStr">
        <is>
          <t>支出</t>
        </is>
      </c>
      <c r="E722" s="13" t="inlineStr">
        <is>
          <t>运费/快递费</t>
        </is>
      </c>
      <c r="F722" s="17">
        <f>IF($E722="","",IFERROR(VLOOKUP($E722,类别归属,2,0),"※类别不在基础资料里"))</f>
        <v/>
      </c>
      <c r="G722" s="13" t="n"/>
      <c r="H722" s="13" t="n"/>
      <c r="I722" s="13" t="inlineStr">
        <is>
          <t>杭州炳秀湖州26-28线路</t>
        </is>
      </c>
      <c r="J722" s="14" t="n"/>
      <c r="K722" s="14" t="n">
        <v>89</v>
      </c>
      <c r="L722" s="19">
        <f>IF($C722="","",ROUND(IFERROR(VLOOKUP($C722,账户期初,2,0),0)+SUMIFS($J$4:J722,$C$4:C722,$C722)-SUMIFS($K$4:K722,$C$4:C722,$C722),2))</f>
        <v/>
      </c>
      <c r="M722" s="19">
        <f>IF($C722="","",ROUND(SUM(基础资料!$B$4:$B$13)+SUM($J$4:J722)-SUM($K$4:K722),2))</f>
        <v/>
      </c>
      <c r="N722" s="13" t="n"/>
      <c r="O722" s="13" t="n"/>
      <c r="P722" s="17">
        <f>IF($B722="","",IF($F722="※类别不在基础资料里","※费用类别不在基础资料里",IF(AND(N($J722)=0,N($K722)=0),"※这行没填金额",IF(AND(N($J722)&gt;0,N($K722)&gt;0),"※收入和支出不能同一行都填",IF(AND($D722="收入",N($J722)=0),"※收入行要填收入金额",IF(AND($D722="支出",N($K722)=0),"※支出行要填支出金额",IF(AND($C722&lt;&gt;"",ISNA(MATCH($C722,账户表,0))),"※账户不在基础资料里",IF(AND($G722&lt;&gt;"",ISNA(MATCH($G722,项目名表,0))),"※项目不在项目台账里",IF(AND(LEFT($F722,3)="成本-",$G722=""),"※成本类支出没填项目",IF(AND(LEFT($F722,3)="成本-",$H722&lt;&gt;"",N($K722)&gt;0,COUNTIFS(采购单!$B:$B,$B722,采购单!$C:$C,$H722,采购单!$L:$L,$K722)&gt;0),"※这笔可能和采购单重复了",""))))))))))</f>
        <v/>
      </c>
    </row>
    <row r="723">
      <c r="A723" s="17">
        <f>IF($B723="","",ROW()-3)</f>
        <v/>
      </c>
      <c r="B723" s="18" t="n">
        <v>46234</v>
      </c>
      <c r="C723" s="13" t="inlineStr">
        <is>
          <t>微信1</t>
        </is>
      </c>
      <c r="D723" s="13" t="inlineStr">
        <is>
          <t>支出</t>
        </is>
      </c>
      <c r="E723" s="13" t="inlineStr">
        <is>
          <t>运费/快递费</t>
        </is>
      </c>
      <c r="F723" s="17">
        <f>IF($E723="","",IFERROR(VLOOKUP($E723,类别归属,2,0),"※类别不在基础资料里"))</f>
        <v/>
      </c>
      <c r="G723" s="13" t="n"/>
      <c r="H723" s="13" t="inlineStr">
        <is>
          <t>顺丰速运</t>
        </is>
      </c>
      <c r="I723" s="13" t="inlineStr">
        <is>
          <t>顺丰速运</t>
        </is>
      </c>
      <c r="J723" s="14" t="n"/>
      <c r="K723" s="14" t="n">
        <v>276</v>
      </c>
      <c r="L723" s="19">
        <f>IF($C723="","",ROUND(IFERROR(VLOOKUP($C723,账户期初,2,0),0)+SUMIFS($J$4:J723,$C$4:C723,$C723)-SUMIFS($K$4:K723,$C$4:C723,$C723),2))</f>
        <v/>
      </c>
      <c r="M723" s="19">
        <f>IF($C723="","",ROUND(SUM(基础资料!$B$4:$B$13)+SUM($J$4:J723)-SUM($K$4:K723),2))</f>
        <v/>
      </c>
      <c r="N723" s="13" t="n"/>
      <c r="O723" s="13" t="n"/>
      <c r="P723" s="17">
        <f>IF($B723="","",IF($F723="※类别不在基础资料里","※费用类别不在基础资料里",IF(AND(N($J723)=0,N($K723)=0),"※这行没填金额",IF(AND(N($J723)&gt;0,N($K723)&gt;0),"※收入和支出不能同一行都填",IF(AND($D723="收入",N($J723)=0),"※收入行要填收入金额",IF(AND($D723="支出",N($K723)=0),"※支出行要填支出金额",IF(AND($C723&lt;&gt;"",ISNA(MATCH($C723,账户表,0))),"※账户不在基础资料里",IF(AND($G723&lt;&gt;"",ISNA(MATCH($G723,项目名表,0))),"※项目不在项目台账里",IF(AND(LEFT($F723,3)="成本-",$G723=""),"※成本类支出没填项目",IF(AND(LEFT($F723,3)="成本-",$H723&lt;&gt;"",N($K723)&gt;0,COUNTIFS(采购单!$B:$B,$B723,采购单!$C:$C,$H723,采购单!$L:$L,$K723)&gt;0),"※这笔可能和采购单重复了",""))))))))))</f>
        <v/>
      </c>
    </row>
    <row r="724">
      <c r="A724" s="17">
        <f>IF($B724="","",ROW()-3)</f>
        <v/>
      </c>
      <c r="B724" s="18" t="n">
        <v>46234</v>
      </c>
      <c r="C724" s="13" t="inlineStr">
        <is>
          <t>微信1</t>
        </is>
      </c>
      <c r="D724" s="13" t="inlineStr">
        <is>
          <t>支出</t>
        </is>
      </c>
      <c r="E724" s="13" t="inlineStr">
        <is>
          <t>待分类</t>
        </is>
      </c>
      <c r="F724" s="17">
        <f>IF($E724="","",IFERROR(VLOOKUP($E724,类别归属,2,0),"※类别不在基础资料里"))</f>
        <v/>
      </c>
      <c r="G724" s="13" t="n"/>
      <c r="H724" s="13" t="n"/>
      <c r="I724" s="13" t="inlineStr">
        <is>
          <t>盒马</t>
        </is>
      </c>
      <c r="J724" s="14" t="n"/>
      <c r="K724" s="14" t="n">
        <v>84.3</v>
      </c>
      <c r="L724" s="19">
        <f>IF($C724="","",ROUND(IFERROR(VLOOKUP($C724,账户期初,2,0),0)+SUMIFS($J$4:J724,$C$4:C724,$C724)-SUMIFS($K$4:K724,$C$4:C724,$C724),2))</f>
        <v/>
      </c>
      <c r="M724" s="19">
        <f>IF($C724="","",ROUND(SUM(基础资料!$B$4:$B$13)+SUM($J$4:J724)-SUM($K$4:K724),2))</f>
        <v/>
      </c>
      <c r="N724" s="13" t="n"/>
      <c r="O724" s="13" t="n"/>
      <c r="P724" s="17">
        <f>IF($B724="","",IF($F724="※类别不在基础资料里","※费用类别不在基础资料里",IF(AND(N($J724)=0,N($K724)=0),"※这行没填金额",IF(AND(N($J724)&gt;0,N($K724)&gt;0),"※收入和支出不能同一行都填",IF(AND($D724="收入",N($J724)=0),"※收入行要填收入金额",IF(AND($D724="支出",N($K724)=0),"※支出行要填支出金额",IF(AND($C724&lt;&gt;"",ISNA(MATCH($C724,账户表,0))),"※账户不在基础资料里",IF(AND($G724&lt;&gt;"",ISNA(MATCH($G724,项目名表,0))),"※项目不在项目台账里",IF(AND(LEFT($F724,3)="成本-",$G724=""),"※成本类支出没填项目",IF(AND(LEFT($F724,3)="成本-",$H724&lt;&gt;"",N($K724)&gt;0,COUNTIFS(采购单!$B:$B,$B724,采购单!$C:$C,$H724,采购单!$L:$L,$K724)&gt;0),"※这笔可能和采购单重复了",""))))))))))</f>
        <v/>
      </c>
    </row>
    <row r="725">
      <c r="A725" s="17">
        <f>IF($B725="","",ROW()-3)</f>
        <v/>
      </c>
      <c r="B725" s="18" t="n">
        <v>46235</v>
      </c>
      <c r="C725" s="13" t="inlineStr">
        <is>
          <t>微信1</t>
        </is>
      </c>
      <c r="D725" s="13" t="inlineStr">
        <is>
          <t>支出</t>
        </is>
      </c>
      <c r="E725" s="13" t="inlineStr">
        <is>
          <t>车费/油费/过路费</t>
        </is>
      </c>
      <c r="F725" s="17">
        <f>IF($E725="","",IFERROR(VLOOKUP($E725,类别归属,2,0),"※类别不在基础资料里"))</f>
        <v/>
      </c>
      <c r="G725" s="13" t="n"/>
      <c r="H725" s="13" t="n"/>
      <c r="I725" s="13" t="inlineStr">
        <is>
          <t>滴滴代驾</t>
        </is>
      </c>
      <c r="J725" s="14" t="n"/>
      <c r="K725" s="14" t="n">
        <v>60</v>
      </c>
      <c r="L725" s="19">
        <f>IF($C725="","",ROUND(IFERROR(VLOOKUP($C725,账户期初,2,0),0)+SUMIFS($J$4:J725,$C$4:C725,$C725)-SUMIFS($K$4:K725,$C$4:C725,$C725),2))</f>
        <v/>
      </c>
      <c r="M725" s="19">
        <f>IF($C725="","",ROUND(SUM(基础资料!$B$4:$B$13)+SUM($J$4:J725)-SUM($K$4:K725),2))</f>
        <v/>
      </c>
      <c r="N725" s="13" t="n"/>
      <c r="O725" s="13" t="n"/>
      <c r="P725" s="17">
        <f>IF($B725="","",IF($F725="※类别不在基础资料里","※费用类别不在基础资料里",IF(AND(N($J725)=0,N($K725)=0),"※这行没填金额",IF(AND(N($J725)&gt;0,N($K725)&gt;0),"※收入和支出不能同一行都填",IF(AND($D725="收入",N($J725)=0),"※收入行要填收入金额",IF(AND($D725="支出",N($K725)=0),"※支出行要填支出金额",IF(AND($C725&lt;&gt;"",ISNA(MATCH($C725,账户表,0))),"※账户不在基础资料里",IF(AND($G725&lt;&gt;"",ISNA(MATCH($G725,项目名表,0))),"※项目不在项目台账里",IF(AND(LEFT($F725,3)="成本-",$G725=""),"※成本类支出没填项目",IF(AND(LEFT($F725,3)="成本-",$H725&lt;&gt;"",N($K725)&gt;0,COUNTIFS(采购单!$B:$B,$B725,采购单!$C:$C,$H725,采购单!$L:$L,$K725)&gt;0),"※这笔可能和采购单重复了",""))))))))))</f>
        <v/>
      </c>
    </row>
    <row r="726">
      <c r="A726" s="17">
        <f>IF($B726="","",ROW()-3)</f>
        <v/>
      </c>
      <c r="B726" s="18" t="n">
        <v>46237</v>
      </c>
      <c r="C726" s="13" t="inlineStr">
        <is>
          <t>微信1</t>
        </is>
      </c>
      <c r="D726" s="13" t="inlineStr">
        <is>
          <t>支出</t>
        </is>
      </c>
      <c r="E726" s="13" t="inlineStr">
        <is>
          <t>运费/快递费</t>
        </is>
      </c>
      <c r="F726" s="17">
        <f>IF($E726="","",IFERROR(VLOOKUP($E726,类别归属,2,0),"※类别不在基础资料里"))</f>
        <v/>
      </c>
      <c r="G726" s="13" t="n"/>
      <c r="H726" s="13" t="n"/>
      <c r="I726" s="13" t="inlineStr">
        <is>
          <t>杭州炳秀湖州26-28线路</t>
        </is>
      </c>
      <c r="J726" s="14" t="n"/>
      <c r="K726" s="14" t="n">
        <v>160</v>
      </c>
      <c r="L726" s="19">
        <f>IF($C726="","",ROUND(IFERROR(VLOOKUP($C726,账户期初,2,0),0)+SUMIFS($J$4:J726,$C$4:C726,$C726)-SUMIFS($K$4:K726,$C$4:C726,$C726),2))</f>
        <v/>
      </c>
      <c r="M726" s="19">
        <f>IF($C726="","",ROUND(SUM(基础资料!$B$4:$B$13)+SUM($J$4:J726)-SUM($K$4:K726),2))</f>
        <v/>
      </c>
      <c r="N726" s="13" t="n"/>
      <c r="O726" s="13" t="n"/>
      <c r="P726" s="17">
        <f>IF($B726="","",IF($F726="※类别不在基础资料里","※费用类别不在基础资料里",IF(AND(N($J726)=0,N($K726)=0),"※这行没填金额",IF(AND(N($J726)&gt;0,N($K726)&gt;0),"※收入和支出不能同一行都填",IF(AND($D726="收入",N($J726)=0),"※收入行要填收入金额",IF(AND($D726="支出",N($K726)=0),"※支出行要填支出金额",IF(AND($C726&lt;&gt;"",ISNA(MATCH($C726,账户表,0))),"※账户不在基础资料里",IF(AND($G726&lt;&gt;"",ISNA(MATCH($G726,项目名表,0))),"※项目不在项目台账里",IF(AND(LEFT($F726,3)="成本-",$G726=""),"※成本类支出没填项目",IF(AND(LEFT($F726,3)="成本-",$H726&lt;&gt;"",N($K726)&gt;0,COUNTIFS(采购单!$B:$B,$B726,采购单!$C:$C,$H726,采购单!$L:$L,$K726)&gt;0),"※这笔可能和采购单重复了",""))))))))))</f>
        <v/>
      </c>
    </row>
    <row r="727">
      <c r="A727" s="17">
        <f>IF($B727="","",ROW()-3)</f>
        <v/>
      </c>
      <c r="B727" s="18" t="n">
        <v>46237</v>
      </c>
      <c r="C727" s="13" t="inlineStr">
        <is>
          <t>微信1</t>
        </is>
      </c>
      <c r="D727" s="13" t="inlineStr">
        <is>
          <t>收入</t>
        </is>
      </c>
      <c r="E727" s="13" t="inlineStr">
        <is>
          <t>待分类</t>
        </is>
      </c>
      <c r="F727" s="17">
        <f>IF($E727="","",IFERROR(VLOOKUP($E727,类别归属,2,0),"※类别不在基础资料里"))</f>
        <v/>
      </c>
      <c r="G727" s="13" t="n"/>
      <c r="H727" s="13" t="n"/>
      <c r="I727" s="13" t="inlineStr">
        <is>
          <t>小燕子</t>
        </is>
      </c>
      <c r="J727" s="14" t="n">
        <v>500</v>
      </c>
      <c r="K727" s="14" t="n"/>
      <c r="L727" s="19">
        <f>IF($C727="","",ROUND(IFERROR(VLOOKUP($C727,账户期初,2,0),0)+SUMIFS($J$4:J727,$C$4:C727,$C727)-SUMIFS($K$4:K727,$C$4:C727,$C727),2))</f>
        <v/>
      </c>
      <c r="M727" s="19">
        <f>IF($C727="","",ROUND(SUM(基础资料!$B$4:$B$13)+SUM($J$4:J727)-SUM($K$4:K727),2))</f>
        <v/>
      </c>
      <c r="N727" s="13" t="n"/>
      <c r="O727" s="13" t="n"/>
      <c r="P727" s="17">
        <f>IF($B727="","",IF($F727="※类别不在基础资料里","※费用类别不在基础资料里",IF(AND(N($J727)=0,N($K727)=0),"※这行没填金额",IF(AND(N($J727)&gt;0,N($K727)&gt;0),"※收入和支出不能同一行都填",IF(AND($D727="收入",N($J727)=0),"※收入行要填收入金额",IF(AND($D727="支出",N($K727)=0),"※支出行要填支出金额",IF(AND($C727&lt;&gt;"",ISNA(MATCH($C727,账户表,0))),"※账户不在基础资料里",IF(AND($G727&lt;&gt;"",ISNA(MATCH($G727,项目名表,0))),"※项目不在项目台账里",IF(AND(LEFT($F727,3)="成本-",$G727=""),"※成本类支出没填项目",IF(AND(LEFT($F727,3)="成本-",$H727&lt;&gt;"",N($K727)&gt;0,COUNTIFS(采购单!$B:$B,$B727,采购单!$C:$C,$H727,采购单!$L:$L,$K727)&gt;0),"※这笔可能和采购单重复了",""))))))))))</f>
        <v/>
      </c>
    </row>
    <row r="728">
      <c r="A728" s="17">
        <f>IF($B728="","",ROW()-3)</f>
        <v/>
      </c>
      <c r="B728" s="18" t="n">
        <v>46237</v>
      </c>
      <c r="C728" s="13" t="inlineStr">
        <is>
          <t>微信1</t>
        </is>
      </c>
      <c r="D728" s="13" t="inlineStr">
        <is>
          <t>收入</t>
        </is>
      </c>
      <c r="E728" s="13" t="inlineStr">
        <is>
          <t>待分类</t>
        </is>
      </c>
      <c r="F728" s="17">
        <f>IF($E728="","",IFERROR(VLOOKUP($E728,类别归属,2,0),"※类别不在基础资料里"))</f>
        <v/>
      </c>
      <c r="G728" s="13" t="n"/>
      <c r="H728" s="13" t="n"/>
      <c r="I728" s="13" t="inlineStr">
        <is>
          <t>小燕子</t>
        </is>
      </c>
      <c r="J728" s="14" t="n">
        <v>1200</v>
      </c>
      <c r="K728" s="14" t="n"/>
      <c r="L728" s="19">
        <f>IF($C728="","",ROUND(IFERROR(VLOOKUP($C728,账户期初,2,0),0)+SUMIFS($J$4:J728,$C$4:C728,$C728)-SUMIFS($K$4:K728,$C$4:C728,$C728),2))</f>
        <v/>
      </c>
      <c r="M728" s="19">
        <f>IF($C728="","",ROUND(SUM(基础资料!$B$4:$B$13)+SUM($J$4:J728)-SUM($K$4:K728),2))</f>
        <v/>
      </c>
      <c r="N728" s="13" t="n"/>
      <c r="O728" s="13" t="n"/>
      <c r="P728" s="17">
        <f>IF($B728="","",IF($F728="※类别不在基础资料里","※费用类别不在基础资料里",IF(AND(N($J728)=0,N($K728)=0),"※这行没填金额",IF(AND(N($J728)&gt;0,N($K728)&gt;0),"※收入和支出不能同一行都填",IF(AND($D728="收入",N($J728)=0),"※收入行要填收入金额",IF(AND($D728="支出",N($K728)=0),"※支出行要填支出金额",IF(AND($C728&lt;&gt;"",ISNA(MATCH($C728,账户表,0))),"※账户不在基础资料里",IF(AND($G728&lt;&gt;"",ISNA(MATCH($G728,项目名表,0))),"※项目不在项目台账里",IF(AND(LEFT($F728,3)="成本-",$G728=""),"※成本类支出没填项目",IF(AND(LEFT($F728,3)="成本-",$H728&lt;&gt;"",N($K728)&gt;0,COUNTIFS(采购单!$B:$B,$B728,采购单!$C:$C,$H728,采购单!$L:$L,$K728)&gt;0),"※这笔可能和采购单重复了",""))))))))))</f>
        <v/>
      </c>
    </row>
    <row r="729">
      <c r="A729" s="17">
        <f>IF($B729="","",ROW()-3)</f>
        <v/>
      </c>
      <c r="B729" s="18" t="n">
        <v>46238</v>
      </c>
      <c r="C729" s="13" t="inlineStr">
        <is>
          <t>微信1</t>
        </is>
      </c>
      <c r="D729" s="13" t="inlineStr">
        <is>
          <t>支出</t>
        </is>
      </c>
      <c r="E729" s="13" t="inlineStr">
        <is>
          <t>待分类</t>
        </is>
      </c>
      <c r="F729" s="17">
        <f>IF($E729="","",IFERROR(VLOOKUP($E729,类别归属,2,0),"※类别不在基础资料里"))</f>
        <v/>
      </c>
      <c r="G729" s="13" t="n"/>
      <c r="H729" s="13" t="n"/>
      <c r="I729" s="13" t="inlineStr">
        <is>
          <t>小陈同学-送水 (小陈同学)</t>
        </is>
      </c>
      <c r="J729" s="14" t="n"/>
      <c r="K729" s="14" t="n">
        <v>56</v>
      </c>
      <c r="L729" s="19">
        <f>IF($C729="","",ROUND(IFERROR(VLOOKUP($C729,账户期初,2,0),0)+SUMIFS($J$4:J729,$C$4:C729,$C729)-SUMIFS($K$4:K729,$C$4:C729,$C729),2))</f>
        <v/>
      </c>
      <c r="M729" s="19">
        <f>IF($C729="","",ROUND(SUM(基础资料!$B$4:$B$13)+SUM($J$4:J729)-SUM($K$4:K729),2))</f>
        <v/>
      </c>
      <c r="N729" s="13" t="n"/>
      <c r="O729" s="13" t="n"/>
      <c r="P729" s="17">
        <f>IF($B729="","",IF($F729="※类别不在基础资料里","※费用类别不在基础资料里",IF(AND(N($J729)=0,N($K729)=0),"※这行没填金额",IF(AND(N($J729)&gt;0,N($K729)&gt;0),"※收入和支出不能同一行都填",IF(AND($D729="收入",N($J729)=0),"※收入行要填收入金额",IF(AND($D729="支出",N($K729)=0),"※支出行要填支出金额",IF(AND($C729&lt;&gt;"",ISNA(MATCH($C729,账户表,0))),"※账户不在基础资料里",IF(AND($G729&lt;&gt;"",ISNA(MATCH($G729,项目名表,0))),"※项目不在项目台账里",IF(AND(LEFT($F729,3)="成本-",$G729=""),"※成本类支出没填项目",IF(AND(LEFT($F729,3)="成本-",$H729&lt;&gt;"",N($K729)&gt;0,COUNTIFS(采购单!$B:$B,$B729,采购单!$C:$C,$H729,采购单!$L:$L,$K729)&gt;0),"※这笔可能和采购单重复了",""))))))))))</f>
        <v/>
      </c>
    </row>
    <row r="730">
      <c r="A730" s="17">
        <f>IF($B730="","",ROW()-3)</f>
        <v/>
      </c>
      <c r="B730" s="18" t="n">
        <v>46238</v>
      </c>
      <c r="C730" s="13" t="inlineStr">
        <is>
          <t>微信1</t>
        </is>
      </c>
      <c r="D730" s="13" t="inlineStr">
        <is>
          <t>支出</t>
        </is>
      </c>
      <c r="E730" s="13" t="inlineStr">
        <is>
          <t>业务招待/餐费</t>
        </is>
      </c>
      <c r="F730" s="17">
        <f>IF($E730="","",IFERROR(VLOOKUP($E730,类别归属,2,0),"※类别不在基础资料里"))</f>
        <v/>
      </c>
      <c r="G730" s="13" t="n"/>
      <c r="H730" s="13" t="n"/>
      <c r="I730" s="13" t="inlineStr">
        <is>
          <t>美团</t>
        </is>
      </c>
      <c r="J730" s="14" t="n"/>
      <c r="K730" s="14" t="n">
        <v>19</v>
      </c>
      <c r="L730" s="19">
        <f>IF($C730="","",ROUND(IFERROR(VLOOKUP($C730,账户期初,2,0),0)+SUMIFS($J$4:J730,$C$4:C730,$C730)-SUMIFS($K$4:K730,$C$4:C730,$C730),2))</f>
        <v/>
      </c>
      <c r="M730" s="19">
        <f>IF($C730="","",ROUND(SUM(基础资料!$B$4:$B$13)+SUM($J$4:J730)-SUM($K$4:K730),2))</f>
        <v/>
      </c>
      <c r="N730" s="13" t="n"/>
      <c r="O730" s="13" t="n"/>
      <c r="P730" s="17">
        <f>IF($B730="","",IF($F730="※类别不在基础资料里","※费用类别不在基础资料里",IF(AND(N($J730)=0,N($K730)=0),"※这行没填金额",IF(AND(N($J730)&gt;0,N($K730)&gt;0),"※收入和支出不能同一行都填",IF(AND($D730="收入",N($J730)=0),"※收入行要填收入金额",IF(AND($D730="支出",N($K730)=0),"※支出行要填支出金额",IF(AND($C730&lt;&gt;"",ISNA(MATCH($C730,账户表,0))),"※账户不在基础资料里",IF(AND($G730&lt;&gt;"",ISNA(MATCH($G730,项目名表,0))),"※项目不在项目台账里",IF(AND(LEFT($F730,3)="成本-",$G730=""),"※成本类支出没填项目",IF(AND(LEFT($F730,3)="成本-",$H730&lt;&gt;"",N($K730)&gt;0,COUNTIFS(采购单!$B:$B,$B730,采购单!$C:$C,$H730,采购单!$L:$L,$K730)&gt;0),"※这笔可能和采购单重复了",""))))))))))</f>
        <v/>
      </c>
    </row>
    <row r="731">
      <c r="A731" s="17">
        <f>IF($B731="","",ROW()-3)</f>
        <v/>
      </c>
      <c r="B731" s="18" t="n">
        <v>46238</v>
      </c>
      <c r="C731" s="13" t="inlineStr">
        <is>
          <t>微信1</t>
        </is>
      </c>
      <c r="D731" s="13" t="inlineStr">
        <is>
          <t>收入</t>
        </is>
      </c>
      <c r="E731" s="13" t="inlineStr">
        <is>
          <t>待分类</t>
        </is>
      </c>
      <c r="F731" s="17">
        <f>IF($E731="","",IFERROR(VLOOKUP($E731,类别归属,2,0),"※类别不在基础资料里"))</f>
        <v/>
      </c>
      <c r="G731" s="13" t="n"/>
      <c r="H731" s="13" t="n"/>
      <c r="I731" s="13" t="inlineStr">
        <is>
          <t>予取予求</t>
        </is>
      </c>
      <c r="J731" s="14" t="n">
        <v>400</v>
      </c>
      <c r="K731" s="14" t="n"/>
      <c r="L731" s="19">
        <f>IF($C731="","",ROUND(IFERROR(VLOOKUP($C731,账户期初,2,0),0)+SUMIFS($J$4:J731,$C$4:C731,$C731)-SUMIFS($K$4:K731,$C$4:C731,$C731),2))</f>
        <v/>
      </c>
      <c r="M731" s="19">
        <f>IF($C731="","",ROUND(SUM(基础资料!$B$4:$B$13)+SUM($J$4:J731)-SUM($K$4:K731),2))</f>
        <v/>
      </c>
      <c r="N731" s="13" t="n"/>
      <c r="O731" s="13" t="n"/>
      <c r="P731" s="17">
        <f>IF($B731="","",IF($F731="※类别不在基础资料里","※费用类别不在基础资料里",IF(AND(N($J731)=0,N($K731)=0),"※这行没填金额",IF(AND(N($J731)&gt;0,N($K731)&gt;0),"※收入和支出不能同一行都填",IF(AND($D731="收入",N($J731)=0),"※收入行要填收入金额",IF(AND($D731="支出",N($K731)=0),"※支出行要填支出金额",IF(AND($C731&lt;&gt;"",ISNA(MATCH($C731,账户表,0))),"※账户不在基础资料里",IF(AND($G731&lt;&gt;"",ISNA(MATCH($G731,项目名表,0))),"※项目不在项目台账里",IF(AND(LEFT($F731,3)="成本-",$G731=""),"※成本类支出没填项目",IF(AND(LEFT($F731,3)="成本-",$H731&lt;&gt;"",N($K731)&gt;0,COUNTIFS(采购单!$B:$B,$B731,采购单!$C:$C,$H731,采购单!$L:$L,$K731)&gt;0),"※这笔可能和采购单重复了",""))))))))))</f>
        <v/>
      </c>
    </row>
    <row r="732">
      <c r="A732" s="17">
        <f>IF($B732="","",ROW()-3)</f>
        <v/>
      </c>
      <c r="B732" s="18" t="n">
        <v>46239</v>
      </c>
      <c r="C732" s="13" t="inlineStr">
        <is>
          <t>微信1</t>
        </is>
      </c>
      <c r="D732" s="13" t="inlineStr">
        <is>
          <t>支出</t>
        </is>
      </c>
      <c r="E732" s="13" t="inlineStr">
        <is>
          <t>车费/油费/过路费</t>
        </is>
      </c>
      <c r="F732" s="17">
        <f>IF($E732="","",IFERROR(VLOOKUP($E732,类别归属,2,0),"※类别不在基础资料里"))</f>
        <v/>
      </c>
      <c r="G732" s="13" t="n"/>
      <c r="H732" s="13" t="n"/>
      <c r="I732" s="13" t="inlineStr">
        <is>
          <t>滴滴出行</t>
        </is>
      </c>
      <c r="J732" s="14" t="n"/>
      <c r="K732" s="14" t="n">
        <v>26</v>
      </c>
      <c r="L732" s="19">
        <f>IF($C732="","",ROUND(IFERROR(VLOOKUP($C732,账户期初,2,0),0)+SUMIFS($J$4:J732,$C$4:C732,$C732)-SUMIFS($K$4:K732,$C$4:C732,$C732),2))</f>
        <v/>
      </c>
      <c r="M732" s="19">
        <f>IF($C732="","",ROUND(SUM(基础资料!$B$4:$B$13)+SUM($J$4:J732)-SUM($K$4:K732),2))</f>
        <v/>
      </c>
      <c r="N732" s="13" t="n"/>
      <c r="O732" s="13" t="n"/>
      <c r="P732" s="17">
        <f>IF($B732="","",IF($F732="※类别不在基础资料里","※费用类别不在基础资料里",IF(AND(N($J732)=0,N($K732)=0),"※这行没填金额",IF(AND(N($J732)&gt;0,N($K732)&gt;0),"※收入和支出不能同一行都填",IF(AND($D732="收入",N($J732)=0),"※收入行要填收入金额",IF(AND($D732="支出",N($K732)=0),"※支出行要填支出金额",IF(AND($C732&lt;&gt;"",ISNA(MATCH($C732,账户表,0))),"※账户不在基础资料里",IF(AND($G732&lt;&gt;"",ISNA(MATCH($G732,项目名表,0))),"※项目不在项目台账里",IF(AND(LEFT($F732,3)="成本-",$G732=""),"※成本类支出没填项目",IF(AND(LEFT($F732,3)="成本-",$H732&lt;&gt;"",N($K732)&gt;0,COUNTIFS(采购单!$B:$B,$B732,采购单!$C:$C,$H732,采购单!$L:$L,$K732)&gt;0),"※这笔可能和采购单重复了",""))))))))))</f>
        <v/>
      </c>
    </row>
    <row r="733">
      <c r="A733" s="17">
        <f>IF($B733="","",ROW()-3)</f>
        <v/>
      </c>
      <c r="B733" s="18" t="n">
        <v>46239</v>
      </c>
      <c r="C733" s="13" t="inlineStr">
        <is>
          <t>微信1</t>
        </is>
      </c>
      <c r="D733" s="13" t="inlineStr">
        <is>
          <t>支出</t>
        </is>
      </c>
      <c r="E733" s="13" t="inlineStr">
        <is>
          <t>运费/快递费</t>
        </is>
      </c>
      <c r="F733" s="17">
        <f>IF($E733="","",IFERROR(VLOOKUP($E733,类别归属,2,0),"※类别不在基础资料里"))</f>
        <v/>
      </c>
      <c r="G733" s="13" t="n"/>
      <c r="H733" s="13" t="n"/>
      <c r="I733" s="13" t="inlineStr">
        <is>
          <t>杭州炳秀湖州26-28线路</t>
        </is>
      </c>
      <c r="J733" s="14" t="n"/>
      <c r="K733" s="14" t="n">
        <v>239</v>
      </c>
      <c r="L733" s="19">
        <f>IF($C733="","",ROUND(IFERROR(VLOOKUP($C733,账户期初,2,0),0)+SUMIFS($J$4:J733,$C$4:C733,$C733)-SUMIFS($K$4:K733,$C$4:C733,$C733),2))</f>
        <v/>
      </c>
      <c r="M733" s="19">
        <f>IF($C733="","",ROUND(SUM(基础资料!$B$4:$B$13)+SUM($J$4:J733)-SUM($K$4:K733),2))</f>
        <v/>
      </c>
      <c r="N733" s="13" t="n"/>
      <c r="O733" s="13" t="n"/>
      <c r="P733" s="17">
        <f>IF($B733="","",IF($F733="※类别不在基础资料里","※费用类别不在基础资料里",IF(AND(N($J733)=0,N($K733)=0),"※这行没填金额",IF(AND(N($J733)&gt;0,N($K733)&gt;0),"※收入和支出不能同一行都填",IF(AND($D733="收入",N($J733)=0),"※收入行要填收入金额",IF(AND($D733="支出",N($K733)=0),"※支出行要填支出金额",IF(AND($C733&lt;&gt;"",ISNA(MATCH($C733,账户表,0))),"※账户不在基础资料里",IF(AND($G733&lt;&gt;"",ISNA(MATCH($G733,项目名表,0))),"※项目不在项目台账里",IF(AND(LEFT($F733,3)="成本-",$G733=""),"※成本类支出没填项目",IF(AND(LEFT($F733,3)="成本-",$H733&lt;&gt;"",N($K733)&gt;0,COUNTIFS(采购单!$B:$B,$B733,采购单!$C:$C,$H733,采购单!$L:$L,$K733)&gt;0),"※这笔可能和采购单重复了",""))))))))))</f>
        <v/>
      </c>
    </row>
    <row r="734">
      <c r="A734" s="17">
        <f>IF($B734="","",ROW()-3)</f>
        <v/>
      </c>
      <c r="B734" s="18" t="n">
        <v>46239</v>
      </c>
      <c r="C734" s="13" t="inlineStr">
        <is>
          <t>微信1</t>
        </is>
      </c>
      <c r="D734" s="13" t="inlineStr">
        <is>
          <t>收入</t>
        </is>
      </c>
      <c r="E734" s="13" t="inlineStr">
        <is>
          <t>待分类</t>
        </is>
      </c>
      <c r="F734" s="17">
        <f>IF($E734="","",IFERROR(VLOOKUP($E734,类别归属,2,0),"※类别不在基础资料里"))</f>
        <v/>
      </c>
      <c r="G734" s="13" t="n"/>
      <c r="H734" s="13" t="n"/>
      <c r="I734" s="13" t="inlineStr">
        <is>
          <t>'+1🤨</t>
        </is>
      </c>
      <c r="J734" s="14" t="n">
        <v>90</v>
      </c>
      <c r="K734" s="14" t="n"/>
      <c r="L734" s="19">
        <f>IF($C734="","",ROUND(IFERROR(VLOOKUP($C734,账户期初,2,0),0)+SUMIFS($J$4:J734,$C$4:C734,$C734)-SUMIFS($K$4:K734,$C$4:C734,$C734),2))</f>
        <v/>
      </c>
      <c r="M734" s="19">
        <f>IF($C734="","",ROUND(SUM(基础资料!$B$4:$B$13)+SUM($J$4:J734)-SUM($K$4:K734),2))</f>
        <v/>
      </c>
      <c r="N734" s="13" t="n"/>
      <c r="O734" s="13" t="n"/>
      <c r="P734" s="17">
        <f>IF($B734="","",IF($F734="※类别不在基础资料里","※费用类别不在基础资料里",IF(AND(N($J734)=0,N($K734)=0),"※这行没填金额",IF(AND(N($J734)&gt;0,N($K734)&gt;0),"※收入和支出不能同一行都填",IF(AND($D734="收入",N($J734)=0),"※收入行要填收入金额",IF(AND($D734="支出",N($K734)=0),"※支出行要填支出金额",IF(AND($C734&lt;&gt;"",ISNA(MATCH($C734,账户表,0))),"※账户不在基础资料里",IF(AND($G734&lt;&gt;"",ISNA(MATCH($G734,项目名表,0))),"※项目不在项目台账里",IF(AND(LEFT($F734,3)="成本-",$G734=""),"※成本类支出没填项目",IF(AND(LEFT($F734,3)="成本-",$H734&lt;&gt;"",N($K734)&gt;0,COUNTIFS(采购单!$B:$B,$B734,采购单!$C:$C,$H734,采购单!$L:$L,$K734)&gt;0),"※这笔可能和采购单重复了",""))))))))))</f>
        <v/>
      </c>
    </row>
    <row r="735">
      <c r="A735" s="17">
        <f>IF($B735="","",ROW()-3)</f>
        <v/>
      </c>
      <c r="B735" s="18" t="n">
        <v>46240</v>
      </c>
      <c r="C735" s="13" t="inlineStr">
        <is>
          <t>微信1</t>
        </is>
      </c>
      <c r="D735" s="13" t="inlineStr">
        <is>
          <t>支出</t>
        </is>
      </c>
      <c r="E735" s="13" t="inlineStr">
        <is>
          <t>车费/油费/过路费</t>
        </is>
      </c>
      <c r="F735" s="17">
        <f>IF($E735="","",IFERROR(VLOOKUP($E735,类别归属,2,0),"※类别不在基础资料里"))</f>
        <v/>
      </c>
      <c r="G735" s="13" t="n"/>
      <c r="H735" s="13" t="n"/>
      <c r="I735" s="13" t="inlineStr">
        <is>
          <t>滴滴出行</t>
        </is>
      </c>
      <c r="J735" s="14" t="n"/>
      <c r="K735" s="14" t="n">
        <v>36</v>
      </c>
      <c r="L735" s="19">
        <f>IF($C735="","",ROUND(IFERROR(VLOOKUP($C735,账户期初,2,0),0)+SUMIFS($J$4:J735,$C$4:C735,$C735)-SUMIFS($K$4:K735,$C$4:C735,$C735),2))</f>
        <v/>
      </c>
      <c r="M735" s="19">
        <f>IF($C735="","",ROUND(SUM(基础资料!$B$4:$B$13)+SUM($J$4:J735)-SUM($K$4:K735),2))</f>
        <v/>
      </c>
      <c r="N735" s="13" t="n"/>
      <c r="O735" s="13" t="n"/>
      <c r="P735" s="17">
        <f>IF($B735="","",IF($F735="※类别不在基础资料里","※费用类别不在基础资料里",IF(AND(N($J735)=0,N($K735)=0),"※这行没填金额",IF(AND(N($J735)&gt;0,N($K735)&gt;0),"※收入和支出不能同一行都填",IF(AND($D735="收入",N($J735)=0),"※收入行要填收入金额",IF(AND($D735="支出",N($K735)=0),"※支出行要填支出金额",IF(AND($C735&lt;&gt;"",ISNA(MATCH($C735,账户表,0))),"※账户不在基础资料里",IF(AND($G735&lt;&gt;"",ISNA(MATCH($G735,项目名表,0))),"※项目不在项目台账里",IF(AND(LEFT($F735,3)="成本-",$G735=""),"※成本类支出没填项目",IF(AND(LEFT($F735,3)="成本-",$H735&lt;&gt;"",N($K735)&gt;0,COUNTIFS(采购单!$B:$B,$B735,采购单!$C:$C,$H735,采购单!$L:$L,$K735)&gt;0),"※这笔可能和采购单重复了",""))))))))))</f>
        <v/>
      </c>
    </row>
    <row r="736">
      <c r="A736" s="17">
        <f>IF($B736="","",ROW()-3)</f>
        <v/>
      </c>
      <c r="B736" s="18" t="n">
        <v>46240</v>
      </c>
      <c r="C736" s="13" t="inlineStr">
        <is>
          <t>微信1</t>
        </is>
      </c>
      <c r="D736" s="13" t="inlineStr">
        <is>
          <t>收入</t>
        </is>
      </c>
      <c r="E736" s="13" t="inlineStr">
        <is>
          <t>待分类</t>
        </is>
      </c>
      <c r="F736" s="17">
        <f>IF($E736="","",IFERROR(VLOOKUP($E736,类别归属,2,0),"※类别不在基础资料里"))</f>
        <v/>
      </c>
      <c r="G736" s="13" t="n"/>
      <c r="H736" s="13" t="n"/>
      <c r="I736" s="13" t="inlineStr">
        <is>
          <t>【慧诺姿】 汪洋</t>
        </is>
      </c>
      <c r="J736" s="14" t="n">
        <v>185</v>
      </c>
      <c r="K736" s="14" t="n"/>
      <c r="L736" s="19">
        <f>IF($C736="","",ROUND(IFERROR(VLOOKUP($C736,账户期初,2,0),0)+SUMIFS($J$4:J736,$C$4:C736,$C736)-SUMIFS($K$4:K736,$C$4:C736,$C736),2))</f>
        <v/>
      </c>
      <c r="M736" s="19">
        <f>IF($C736="","",ROUND(SUM(基础资料!$B$4:$B$13)+SUM($J$4:J736)-SUM($K$4:K736),2))</f>
        <v/>
      </c>
      <c r="N736" s="13" t="n"/>
      <c r="O736" s="13" t="n"/>
      <c r="P736" s="17">
        <f>IF($B736="","",IF($F736="※类别不在基础资料里","※费用类别不在基础资料里",IF(AND(N($J736)=0,N($K736)=0),"※这行没填金额",IF(AND(N($J736)&gt;0,N($K736)&gt;0),"※收入和支出不能同一行都填",IF(AND($D736="收入",N($J736)=0),"※收入行要填收入金额",IF(AND($D736="支出",N($K736)=0),"※支出行要填支出金额",IF(AND($C736&lt;&gt;"",ISNA(MATCH($C736,账户表,0))),"※账户不在基础资料里",IF(AND($G736&lt;&gt;"",ISNA(MATCH($G736,项目名表,0))),"※项目不在项目台账里",IF(AND(LEFT($F736,3)="成本-",$G736=""),"※成本类支出没填项目",IF(AND(LEFT($F736,3)="成本-",$H736&lt;&gt;"",N($K736)&gt;0,COUNTIFS(采购单!$B:$B,$B736,采购单!$C:$C,$H736,采购单!$L:$L,$K736)&gt;0),"※这笔可能和采购单重复了",""))))))))))</f>
        <v/>
      </c>
    </row>
    <row r="737">
      <c r="A737" s="17">
        <f>IF($B737="","",ROW()-3)</f>
        <v/>
      </c>
      <c r="B737" s="18" t="n">
        <v>46240</v>
      </c>
      <c r="C737" s="13" t="inlineStr">
        <is>
          <t>微信1</t>
        </is>
      </c>
      <c r="D737" s="13" t="inlineStr">
        <is>
          <t>收入</t>
        </is>
      </c>
      <c r="E737" s="13" t="inlineStr">
        <is>
          <t>待分类</t>
        </is>
      </c>
      <c r="F737" s="17">
        <f>IF($E737="","",IFERROR(VLOOKUP($E737,类别归属,2,0),"※类别不在基础资料里"))</f>
        <v/>
      </c>
      <c r="G737" s="13" t="n"/>
      <c r="H737" s="13" t="n"/>
      <c r="I737" s="13" t="inlineStr">
        <is>
          <t>Dylan</t>
        </is>
      </c>
      <c r="J737" s="14" t="n">
        <v>115</v>
      </c>
      <c r="K737" s="14" t="n"/>
      <c r="L737" s="19">
        <f>IF($C737="","",ROUND(IFERROR(VLOOKUP($C737,账户期初,2,0),0)+SUMIFS($J$4:J737,$C$4:C737,$C737)-SUMIFS($K$4:K737,$C$4:C737,$C737),2))</f>
        <v/>
      </c>
      <c r="M737" s="19">
        <f>IF($C737="","",ROUND(SUM(基础资料!$B$4:$B$13)+SUM($J$4:J737)-SUM($K$4:K737),2))</f>
        <v/>
      </c>
      <c r="N737" s="13" t="n"/>
      <c r="O737" s="13" t="n"/>
      <c r="P737" s="17">
        <f>IF($B737="","",IF($F737="※类别不在基础资料里","※费用类别不在基础资料里",IF(AND(N($J737)=0,N($K737)=0),"※这行没填金额",IF(AND(N($J737)&gt;0,N($K737)&gt;0),"※收入和支出不能同一行都填",IF(AND($D737="收入",N($J737)=0),"※收入行要填收入金额",IF(AND($D737="支出",N($K737)=0),"※支出行要填支出金额",IF(AND($C737&lt;&gt;"",ISNA(MATCH($C737,账户表,0))),"※账户不在基础资料里",IF(AND($G737&lt;&gt;"",ISNA(MATCH($G737,项目名表,0))),"※项目不在项目台账里",IF(AND(LEFT($F737,3)="成本-",$G737=""),"※成本类支出没填项目",IF(AND(LEFT($F737,3)="成本-",$H737&lt;&gt;"",N($K737)&gt;0,COUNTIFS(采购单!$B:$B,$B737,采购单!$C:$C,$H737,采购单!$L:$L,$K737)&gt;0),"※这笔可能和采购单重复了",""))))))))))</f>
        <v/>
      </c>
    </row>
    <row r="738">
      <c r="A738" s="17">
        <f>IF($B738="","",ROW()-3)</f>
        <v/>
      </c>
      <c r="B738" s="18" t="n">
        <v>46240</v>
      </c>
      <c r="C738" s="13" t="inlineStr">
        <is>
          <t>微信1</t>
        </is>
      </c>
      <c r="D738" s="13" t="inlineStr">
        <is>
          <t>支出</t>
        </is>
      </c>
      <c r="E738" s="13" t="inlineStr">
        <is>
          <t>运费/快递费</t>
        </is>
      </c>
      <c r="F738" s="17">
        <f>IF($E738="","",IFERROR(VLOOKUP($E738,类别归属,2,0),"※类别不在基础资料里"))</f>
        <v/>
      </c>
      <c r="G738" s="13" t="n"/>
      <c r="H738" s="13" t="n"/>
      <c r="I738" s="13" t="inlineStr">
        <is>
          <t>杭州炳秀湖州26-28线路</t>
        </is>
      </c>
      <c r="J738" s="14" t="n"/>
      <c r="K738" s="14" t="n">
        <v>93</v>
      </c>
      <c r="L738" s="19">
        <f>IF($C738="","",ROUND(IFERROR(VLOOKUP($C738,账户期初,2,0),0)+SUMIFS($J$4:J738,$C$4:C738,$C738)-SUMIFS($K$4:K738,$C$4:C738,$C738),2))</f>
        <v/>
      </c>
      <c r="M738" s="19">
        <f>IF($C738="","",ROUND(SUM(基础资料!$B$4:$B$13)+SUM($J$4:J738)-SUM($K$4:K738),2))</f>
        <v/>
      </c>
      <c r="N738" s="13" t="n"/>
      <c r="O738" s="13" t="n"/>
      <c r="P738" s="17">
        <f>IF($B738="","",IF($F738="※类别不在基础资料里","※费用类别不在基础资料里",IF(AND(N($J738)=0,N($K738)=0),"※这行没填金额",IF(AND(N($J738)&gt;0,N($K738)&gt;0),"※收入和支出不能同一行都填",IF(AND($D738="收入",N($J738)=0),"※收入行要填收入金额",IF(AND($D738="支出",N($K738)=0),"※支出行要填支出金额",IF(AND($C738&lt;&gt;"",ISNA(MATCH($C738,账户表,0))),"※账户不在基础资料里",IF(AND($G738&lt;&gt;"",ISNA(MATCH($G738,项目名表,0))),"※项目不在项目台账里",IF(AND(LEFT($F738,3)="成本-",$G738=""),"※成本类支出没填项目",IF(AND(LEFT($F738,3)="成本-",$H738&lt;&gt;"",N($K738)&gt;0,COUNTIFS(采购单!$B:$B,$B738,采购单!$C:$C,$H738,采购单!$L:$L,$K738)&gt;0),"※这笔可能和采购单重复了",""))))))))))</f>
        <v/>
      </c>
    </row>
    <row r="739">
      <c r="A739" s="17">
        <f>IF($B739="","",ROW()-3)</f>
        <v/>
      </c>
      <c r="B739" s="18" t="n">
        <v>46240</v>
      </c>
      <c r="C739" s="13" t="inlineStr">
        <is>
          <t>微信1</t>
        </is>
      </c>
      <c r="D739" s="13" t="inlineStr">
        <is>
          <t>收入</t>
        </is>
      </c>
      <c r="E739" s="13" t="inlineStr">
        <is>
          <t>待分类</t>
        </is>
      </c>
      <c r="F739" s="17">
        <f>IF($E739="","",IFERROR(VLOOKUP($E739,类别归属,2,0),"※类别不在基础资料里"))</f>
        <v/>
      </c>
      <c r="G739" s="13" t="n"/>
      <c r="H739" s="13" t="n"/>
      <c r="I739" s="13" t="inlineStr">
        <is>
          <t>FAIZ</t>
        </is>
      </c>
      <c r="J739" s="14" t="n">
        <v>3700</v>
      </c>
      <c r="K739" s="14" t="n"/>
      <c r="L739" s="19">
        <f>IF($C739="","",ROUND(IFERROR(VLOOKUP($C739,账户期初,2,0),0)+SUMIFS($J$4:J739,$C$4:C739,$C739)-SUMIFS($K$4:K739,$C$4:C739,$C739),2))</f>
        <v/>
      </c>
      <c r="M739" s="19">
        <f>IF($C739="","",ROUND(SUM(基础资料!$B$4:$B$13)+SUM($J$4:J739)-SUM($K$4:K739),2))</f>
        <v/>
      </c>
      <c r="N739" s="13" t="n"/>
      <c r="O739" s="13" t="n"/>
      <c r="P739" s="17">
        <f>IF($B739="","",IF($F739="※类别不在基础资料里","※费用类别不在基础资料里",IF(AND(N($J739)=0,N($K739)=0),"※这行没填金额",IF(AND(N($J739)&gt;0,N($K739)&gt;0),"※收入和支出不能同一行都填",IF(AND($D739="收入",N($J739)=0),"※收入行要填收入金额",IF(AND($D739="支出",N($K739)=0),"※支出行要填支出金额",IF(AND($C739&lt;&gt;"",ISNA(MATCH($C739,账户表,0))),"※账户不在基础资料里",IF(AND($G739&lt;&gt;"",ISNA(MATCH($G739,项目名表,0))),"※项目不在项目台账里",IF(AND(LEFT($F739,3)="成本-",$G739=""),"※成本类支出没填项目",IF(AND(LEFT($F739,3)="成本-",$H739&lt;&gt;"",N($K739)&gt;0,COUNTIFS(采购单!$B:$B,$B739,采购单!$C:$C,$H739,采购单!$L:$L,$K739)&gt;0),"※这笔可能和采购单重复了",""))))))))))</f>
        <v/>
      </c>
    </row>
    <row r="740">
      <c r="A740" s="17">
        <f>IF($B740="","",ROW()-3)</f>
        <v/>
      </c>
      <c r="B740" s="18" t="n">
        <v>46240</v>
      </c>
      <c r="C740" s="13" t="inlineStr">
        <is>
          <t>微信1</t>
        </is>
      </c>
      <c r="D740" s="13" t="inlineStr">
        <is>
          <t>支出</t>
        </is>
      </c>
      <c r="E740" s="13" t="inlineStr">
        <is>
          <t>待分类</t>
        </is>
      </c>
      <c r="F740" s="17">
        <f>IF($E740="","",IFERROR(VLOOKUP($E740,类别归属,2,0),"※类别不在基础资料里"))</f>
        <v/>
      </c>
      <c r="G740" s="13" t="n"/>
      <c r="H740" s="13" t="n"/>
      <c r="I740" s="13" t="inlineStr">
        <is>
          <t>led全彩显示屏～牛冲18749150555</t>
        </is>
      </c>
      <c r="J740" s="14" t="n"/>
      <c r="K740" s="14" t="n">
        <v>1400</v>
      </c>
      <c r="L740" s="19">
        <f>IF($C740="","",ROUND(IFERROR(VLOOKUP($C740,账户期初,2,0),0)+SUMIFS($J$4:J740,$C$4:C740,$C740)-SUMIFS($K$4:K740,$C$4:C740,$C740),2))</f>
        <v/>
      </c>
      <c r="M740" s="19">
        <f>IF($C740="","",ROUND(SUM(基础资料!$B$4:$B$13)+SUM($J$4:J740)-SUM($K$4:K740),2))</f>
        <v/>
      </c>
      <c r="N740" s="13" t="n"/>
      <c r="O740" s="13" t="n"/>
      <c r="P740" s="17">
        <f>IF($B740="","",IF($F740="※类别不在基础资料里","※费用类别不在基础资料里",IF(AND(N($J740)=0,N($K740)=0),"※这行没填金额",IF(AND(N($J740)&gt;0,N($K740)&gt;0),"※收入和支出不能同一行都填",IF(AND($D740="收入",N($J740)=0),"※收入行要填收入金额",IF(AND($D740="支出",N($K740)=0),"※支出行要填支出金额",IF(AND($C740&lt;&gt;"",ISNA(MATCH($C740,账户表,0))),"※账户不在基础资料里",IF(AND($G740&lt;&gt;"",ISNA(MATCH($G740,项目名表,0))),"※项目不在项目台账里",IF(AND(LEFT($F740,3)="成本-",$G740=""),"※成本类支出没填项目",IF(AND(LEFT($F740,3)="成本-",$H740&lt;&gt;"",N($K740)&gt;0,COUNTIFS(采购单!$B:$B,$B740,采购单!$C:$C,$H740,采购单!$L:$L,$K740)&gt;0),"※这笔可能和采购单重复了",""))))))))))</f>
        <v/>
      </c>
    </row>
    <row r="741">
      <c r="A741" s="17">
        <f>IF($B741="","",ROW()-3)</f>
        <v/>
      </c>
      <c r="B741" s="18" t="n">
        <v>46241</v>
      </c>
      <c r="C741" s="13" t="inlineStr">
        <is>
          <t>微信1</t>
        </is>
      </c>
      <c r="D741" s="13" t="inlineStr">
        <is>
          <t>支出</t>
        </is>
      </c>
      <c r="E741" s="13" t="inlineStr">
        <is>
          <t>广告推广</t>
        </is>
      </c>
      <c r="F741" s="17">
        <f>IF($E741="","",IFERROR(VLOOKUP($E741,类别归属,2,0),"※类别不在基础资料里"))</f>
        <v/>
      </c>
      <c r="G741" s="13" t="n"/>
      <c r="H741" s="13" t="n"/>
      <c r="I741" s="13" t="inlineStr">
        <is>
          <t>巨量本地推</t>
        </is>
      </c>
      <c r="J741" s="14" t="n"/>
      <c r="K741" s="14" t="n">
        <v>200</v>
      </c>
      <c r="L741" s="19">
        <f>IF($C741="","",ROUND(IFERROR(VLOOKUP($C741,账户期初,2,0),0)+SUMIFS($J$4:J741,$C$4:C741,$C741)-SUMIFS($K$4:K741,$C$4:C741,$C741),2))</f>
        <v/>
      </c>
      <c r="M741" s="19">
        <f>IF($C741="","",ROUND(SUM(基础资料!$B$4:$B$13)+SUM($J$4:J741)-SUM($K$4:K741),2))</f>
        <v/>
      </c>
      <c r="N741" s="13" t="n"/>
      <c r="O741" s="13" t="n"/>
      <c r="P741" s="17">
        <f>IF($B741="","",IF($F741="※类别不在基础资料里","※费用类别不在基础资料里",IF(AND(N($J741)=0,N($K741)=0),"※这行没填金额",IF(AND(N($J741)&gt;0,N($K741)&gt;0),"※收入和支出不能同一行都填",IF(AND($D741="收入",N($J741)=0),"※收入行要填收入金额",IF(AND($D741="支出",N($K741)=0),"※支出行要填支出金额",IF(AND($C741&lt;&gt;"",ISNA(MATCH($C741,账户表,0))),"※账户不在基础资料里",IF(AND($G741&lt;&gt;"",ISNA(MATCH($G741,项目名表,0))),"※项目不在项目台账里",IF(AND(LEFT($F741,3)="成本-",$G741=""),"※成本类支出没填项目",IF(AND(LEFT($F741,3)="成本-",$H741&lt;&gt;"",N($K741)&gt;0,COUNTIFS(采购单!$B:$B,$B741,采购单!$C:$C,$H741,采购单!$L:$L,$K741)&gt;0),"※这笔可能和采购单重复了",""))))))))))</f>
        <v/>
      </c>
    </row>
    <row r="742">
      <c r="A742" s="17">
        <f>IF($B742="","",ROW()-3)</f>
        <v/>
      </c>
      <c r="B742" s="18" t="n">
        <v>46241</v>
      </c>
      <c r="C742" s="13" t="inlineStr">
        <is>
          <t>微信1</t>
        </is>
      </c>
      <c r="D742" s="13" t="inlineStr">
        <is>
          <t>支出</t>
        </is>
      </c>
      <c r="E742" s="13" t="inlineStr">
        <is>
          <t>待分类</t>
        </is>
      </c>
      <c r="F742" s="17">
        <f>IF($E742="","",IFERROR(VLOOKUP($E742,类别归属,2,0),"※类别不在基础资料里"))</f>
        <v/>
      </c>
      <c r="G742" s="13" t="n"/>
      <c r="H742" s="13" t="n"/>
      <c r="I742" s="13" t="inlineStr">
        <is>
          <t>芋见茶手作糖水铺</t>
        </is>
      </c>
      <c r="J742" s="14" t="n"/>
      <c r="K742" s="14" t="n">
        <v>76</v>
      </c>
      <c r="L742" s="19">
        <f>IF($C742="","",ROUND(IFERROR(VLOOKUP($C742,账户期初,2,0),0)+SUMIFS($J$4:J742,$C$4:C742,$C742)-SUMIFS($K$4:K742,$C$4:C742,$C742),2))</f>
        <v/>
      </c>
      <c r="M742" s="19">
        <f>IF($C742="","",ROUND(SUM(基础资料!$B$4:$B$13)+SUM($J$4:J742)-SUM($K$4:K742),2))</f>
        <v/>
      </c>
      <c r="N742" s="13" t="n"/>
      <c r="O742" s="13" t="n"/>
      <c r="P742" s="17">
        <f>IF($B742="","",IF($F742="※类别不在基础资料里","※费用类别不在基础资料里",IF(AND(N($J742)=0,N($K742)=0),"※这行没填金额",IF(AND(N($J742)&gt;0,N($K742)&gt;0),"※收入和支出不能同一行都填",IF(AND($D742="收入",N($J742)=0),"※收入行要填收入金额",IF(AND($D742="支出",N($K742)=0),"※支出行要填支出金额",IF(AND($C742&lt;&gt;"",ISNA(MATCH($C742,账户表,0))),"※账户不在基础资料里",IF(AND($G742&lt;&gt;"",ISNA(MATCH($G742,项目名表,0))),"※项目不在项目台账里",IF(AND(LEFT($F742,3)="成本-",$G742=""),"※成本类支出没填项目",IF(AND(LEFT($F742,3)="成本-",$H742&lt;&gt;"",N($K742)&gt;0,COUNTIFS(采购单!$B:$B,$B742,采购单!$C:$C,$H742,采购单!$L:$L,$K742)&gt;0),"※这笔可能和采购单重复了",""))))))))))</f>
        <v/>
      </c>
    </row>
    <row r="743">
      <c r="A743" s="17">
        <f>IF($B743="","",ROW()-3)</f>
        <v/>
      </c>
      <c r="B743" s="18" t="n">
        <v>46241</v>
      </c>
      <c r="C743" s="13" t="inlineStr">
        <is>
          <t>微信1</t>
        </is>
      </c>
      <c r="D743" s="13" t="inlineStr">
        <is>
          <t>支出</t>
        </is>
      </c>
      <c r="E743" s="13" t="inlineStr">
        <is>
          <t>运费/快递费</t>
        </is>
      </c>
      <c r="F743" s="17">
        <f>IF($E743="","",IFERROR(VLOOKUP($E743,类别归属,2,0),"※类别不在基础资料里"))</f>
        <v/>
      </c>
      <c r="G743" s="13" t="n"/>
      <c r="H743" s="13" t="n"/>
      <c r="I743" s="13" t="inlineStr">
        <is>
          <t>杭州炳秀湖州26-28线路</t>
        </is>
      </c>
      <c r="J743" s="14" t="n"/>
      <c r="K743" s="14" t="n">
        <v>124</v>
      </c>
      <c r="L743" s="19">
        <f>IF($C743="","",ROUND(IFERROR(VLOOKUP($C743,账户期初,2,0),0)+SUMIFS($J$4:J743,$C$4:C743,$C743)-SUMIFS($K$4:K743,$C$4:C743,$C743),2))</f>
        <v/>
      </c>
      <c r="M743" s="19">
        <f>IF($C743="","",ROUND(SUM(基础资料!$B$4:$B$13)+SUM($J$4:J743)-SUM($K$4:K743),2))</f>
        <v/>
      </c>
      <c r="N743" s="13" t="n"/>
      <c r="O743" s="13" t="n"/>
      <c r="P743" s="17">
        <f>IF($B743="","",IF($F743="※类别不在基础资料里","※费用类别不在基础资料里",IF(AND(N($J743)=0,N($K743)=0),"※这行没填金额",IF(AND(N($J743)&gt;0,N($K743)&gt;0),"※收入和支出不能同一行都填",IF(AND($D743="收入",N($J743)=0),"※收入行要填收入金额",IF(AND($D743="支出",N($K743)=0),"※支出行要填支出金额",IF(AND($C743&lt;&gt;"",ISNA(MATCH($C743,账户表,0))),"※账户不在基础资料里",IF(AND($G743&lt;&gt;"",ISNA(MATCH($G743,项目名表,0))),"※项目不在项目台账里",IF(AND(LEFT($F743,3)="成本-",$G743=""),"※成本类支出没填项目",IF(AND(LEFT($F743,3)="成本-",$H743&lt;&gt;"",N($K743)&gt;0,COUNTIFS(采购单!$B:$B,$B743,采购单!$C:$C,$H743,采购单!$L:$L,$K743)&gt;0),"※这笔可能和采购单重复了",""))))))))))</f>
        <v/>
      </c>
    </row>
    <row r="744">
      <c r="A744" s="17">
        <f>IF($B744="","",ROW()-3)</f>
        <v/>
      </c>
      <c r="B744" s="18" t="n">
        <v>46241</v>
      </c>
      <c r="C744" s="13" t="inlineStr">
        <is>
          <t>微信1</t>
        </is>
      </c>
      <c r="D744" s="13" t="inlineStr">
        <is>
          <t>收入</t>
        </is>
      </c>
      <c r="E744" s="13" t="inlineStr">
        <is>
          <t>待分类</t>
        </is>
      </c>
      <c r="F744" s="17">
        <f>IF($E744="","",IFERROR(VLOOKUP($E744,类别归属,2,0),"※类别不在基础资料里"))</f>
        <v/>
      </c>
      <c r="G744" s="13" t="n"/>
      <c r="H744" s="13" t="n"/>
      <c r="I744" s="13" t="inlineStr">
        <is>
          <t>小燕子</t>
        </is>
      </c>
      <c r="J744" s="14" t="n">
        <v>1500</v>
      </c>
      <c r="K744" s="14" t="n"/>
      <c r="L744" s="19">
        <f>IF($C744="","",ROUND(IFERROR(VLOOKUP($C744,账户期初,2,0),0)+SUMIFS($J$4:J744,$C$4:C744,$C744)-SUMIFS($K$4:K744,$C$4:C744,$C744),2))</f>
        <v/>
      </c>
      <c r="M744" s="19">
        <f>IF($C744="","",ROUND(SUM(基础资料!$B$4:$B$13)+SUM($J$4:J744)-SUM($K$4:K744),2))</f>
        <v/>
      </c>
      <c r="N744" s="13" t="n"/>
      <c r="O744" s="13" t="n"/>
      <c r="P744" s="17">
        <f>IF($B744="","",IF($F744="※类别不在基础资料里","※费用类别不在基础资料里",IF(AND(N($J744)=0,N($K744)=0),"※这行没填金额",IF(AND(N($J744)&gt;0,N($K744)&gt;0),"※收入和支出不能同一行都填",IF(AND($D744="收入",N($J744)=0),"※收入行要填收入金额",IF(AND($D744="支出",N($K744)=0),"※支出行要填支出金额",IF(AND($C744&lt;&gt;"",ISNA(MATCH($C744,账户表,0))),"※账户不在基础资料里",IF(AND($G744&lt;&gt;"",ISNA(MATCH($G744,项目名表,0))),"※项目不在项目台账里",IF(AND(LEFT($F744,3)="成本-",$G744=""),"※成本类支出没填项目",IF(AND(LEFT($F744,3)="成本-",$H744&lt;&gt;"",N($K744)&gt;0,COUNTIFS(采购单!$B:$B,$B744,采购单!$C:$C,$H744,采购单!$L:$L,$K744)&gt;0),"※这笔可能和采购单重复了",""))))))))))</f>
        <v/>
      </c>
    </row>
    <row r="745">
      <c r="A745" s="17">
        <f>IF($B745="","",ROW()-3)</f>
        <v/>
      </c>
      <c r="B745" s="18" t="n">
        <v>46242</v>
      </c>
      <c r="C745" s="13" t="inlineStr">
        <is>
          <t>微信1</t>
        </is>
      </c>
      <c r="D745" s="13" t="inlineStr">
        <is>
          <t>支出</t>
        </is>
      </c>
      <c r="E745" s="13" t="inlineStr">
        <is>
          <t>通讯费</t>
        </is>
      </c>
      <c r="F745" s="17">
        <f>IF($E745="","",IFERROR(VLOOKUP($E745,类别归属,2,0),"※类别不在基础资料里"))</f>
        <v/>
      </c>
      <c r="G745" s="13" t="n"/>
      <c r="H745" s="13" t="n"/>
      <c r="I745" s="13" t="inlineStr">
        <is>
          <t>中国移动</t>
        </is>
      </c>
      <c r="J745" s="14" t="n"/>
      <c r="K745" s="14" t="n">
        <v>50</v>
      </c>
      <c r="L745" s="19">
        <f>IF($C745="","",ROUND(IFERROR(VLOOKUP($C745,账户期初,2,0),0)+SUMIFS($J$4:J745,$C$4:C745,$C745)-SUMIFS($K$4:K745,$C$4:C745,$C745),2))</f>
        <v/>
      </c>
      <c r="M745" s="19">
        <f>IF($C745="","",ROUND(SUM(基础资料!$B$4:$B$13)+SUM($J$4:J745)-SUM($K$4:K745),2))</f>
        <v/>
      </c>
      <c r="N745" s="13" t="n"/>
      <c r="O745" s="13" t="n"/>
      <c r="P745" s="17">
        <f>IF($B745="","",IF($F745="※类别不在基础资料里","※费用类别不在基础资料里",IF(AND(N($J745)=0,N($K745)=0),"※这行没填金额",IF(AND(N($J745)&gt;0,N($K745)&gt;0),"※收入和支出不能同一行都填",IF(AND($D745="收入",N($J745)=0),"※收入行要填收入金额",IF(AND($D745="支出",N($K745)=0),"※支出行要填支出金额",IF(AND($C745&lt;&gt;"",ISNA(MATCH($C745,账户表,0))),"※账户不在基础资料里",IF(AND($G745&lt;&gt;"",ISNA(MATCH($G745,项目名表,0))),"※项目不在项目台账里",IF(AND(LEFT($F745,3)="成本-",$G745=""),"※成本类支出没填项目",IF(AND(LEFT($F745,3)="成本-",$H745&lt;&gt;"",N($K745)&gt;0,COUNTIFS(采购单!$B:$B,$B745,采购单!$C:$C,$H745,采购单!$L:$L,$K745)&gt;0),"※这笔可能和采购单重复了",""))))))))))</f>
        <v/>
      </c>
    </row>
    <row r="746">
      <c r="A746" s="17">
        <f>IF($B746="","",ROW()-3)</f>
        <v/>
      </c>
      <c r="B746" s="18" t="n">
        <v>46242</v>
      </c>
      <c r="C746" s="13" t="inlineStr">
        <is>
          <t>微信1</t>
        </is>
      </c>
      <c r="D746" s="13" t="inlineStr">
        <is>
          <t>支出</t>
        </is>
      </c>
      <c r="E746" s="13" t="inlineStr">
        <is>
          <t>运费/快递费</t>
        </is>
      </c>
      <c r="F746" s="17">
        <f>IF($E746="","",IFERROR(VLOOKUP($E746,类别归属,2,0),"※类别不在基础资料里"))</f>
        <v/>
      </c>
      <c r="G746" s="13" t="n"/>
      <c r="H746" s="13" t="n"/>
      <c r="I746" s="13" t="inlineStr">
        <is>
          <t>杭州炳秀湖州26-28线路</t>
        </is>
      </c>
      <c r="J746" s="14" t="n"/>
      <c r="K746" s="14" t="n">
        <v>319</v>
      </c>
      <c r="L746" s="19">
        <f>IF($C746="","",ROUND(IFERROR(VLOOKUP($C746,账户期初,2,0),0)+SUMIFS($J$4:J746,$C$4:C746,$C746)-SUMIFS($K$4:K746,$C$4:C746,$C746),2))</f>
        <v/>
      </c>
      <c r="M746" s="19">
        <f>IF($C746="","",ROUND(SUM(基础资料!$B$4:$B$13)+SUM($J$4:J746)-SUM($K$4:K746),2))</f>
        <v/>
      </c>
      <c r="N746" s="13" t="n"/>
      <c r="O746" s="13" t="n"/>
      <c r="P746" s="17">
        <f>IF($B746="","",IF($F746="※类别不在基础资料里","※费用类别不在基础资料里",IF(AND(N($J746)=0,N($K746)=0),"※这行没填金额",IF(AND(N($J746)&gt;0,N($K746)&gt;0),"※收入和支出不能同一行都填",IF(AND($D746="收入",N($J746)=0),"※收入行要填收入金额",IF(AND($D746="支出",N($K746)=0),"※支出行要填支出金额",IF(AND($C746&lt;&gt;"",ISNA(MATCH($C746,账户表,0))),"※账户不在基础资料里",IF(AND($G746&lt;&gt;"",ISNA(MATCH($G746,项目名表,0))),"※项目不在项目台账里",IF(AND(LEFT($F746,3)="成本-",$G746=""),"※成本类支出没填项目",IF(AND(LEFT($F746,3)="成本-",$H746&lt;&gt;"",N($K746)&gt;0,COUNTIFS(采购单!$B:$B,$B746,采购单!$C:$C,$H746,采购单!$L:$L,$K746)&gt;0),"※这笔可能和采购单重复了",""))))))))))</f>
        <v/>
      </c>
    </row>
    <row r="747">
      <c r="A747" s="17">
        <f>IF($B747="","",ROW()-3)</f>
        <v/>
      </c>
      <c r="B747" s="18" t="n">
        <v>46242</v>
      </c>
      <c r="C747" s="13" t="inlineStr">
        <is>
          <t>微信1</t>
        </is>
      </c>
      <c r="D747" s="13" t="inlineStr">
        <is>
          <t>支出</t>
        </is>
      </c>
      <c r="E747" s="13" t="inlineStr">
        <is>
          <t>主材采购</t>
        </is>
      </c>
      <c r="F747" s="17">
        <f>IF($E747="","",IFERROR(VLOOKUP($E747,类别归属,2,0),"※类别不在基础资料里"))</f>
        <v/>
      </c>
      <c r="G747" s="13" t="n"/>
      <c r="H747" s="13" t="n"/>
      <c r="I747" s="13" t="inlineStr">
        <is>
          <t>童发电线～张玉</t>
        </is>
      </c>
      <c r="J747" s="14" t="n"/>
      <c r="K747" s="14" t="n">
        <v>1110</v>
      </c>
      <c r="L747" s="19">
        <f>IF($C747="","",ROUND(IFERROR(VLOOKUP($C747,账户期初,2,0),0)+SUMIFS($J$4:J747,$C$4:C747,$C747)-SUMIFS($K$4:K747,$C$4:C747,$C747),2))</f>
        <v/>
      </c>
      <c r="M747" s="19">
        <f>IF($C747="","",ROUND(SUM(基础资料!$B$4:$B$13)+SUM($J$4:J747)-SUM($K$4:K747),2))</f>
        <v/>
      </c>
      <c r="N747" s="13" t="n"/>
      <c r="O747" s="13" t="inlineStr">
        <is>
          <t>项目采购-电线类</t>
        </is>
      </c>
      <c r="P747" s="17">
        <f>IF($B747="","",IF($F747="※类别不在基础资料里","※费用类别不在基础资料里",IF(AND(N($J747)=0,N($K747)=0),"※这行没填金额",IF(AND(N($J747)&gt;0,N($K747)&gt;0),"※收入和支出不能同一行都填",IF(AND($D747="收入",N($J747)=0),"※收入行要填收入金额",IF(AND($D747="支出",N($K747)=0),"※支出行要填支出金额",IF(AND($C747&lt;&gt;"",ISNA(MATCH($C747,账户表,0))),"※账户不在基础资料里",IF(AND($G747&lt;&gt;"",ISNA(MATCH($G747,项目名表,0))),"※项目不在项目台账里",IF(AND(LEFT($F747,3)="成本-",$G747=""),"※成本类支出没填项目",IF(AND(LEFT($F747,3)="成本-",$H747&lt;&gt;"",N($K747)&gt;0,COUNTIFS(采购单!$B:$B,$B747,采购单!$C:$C,$H747,采购单!$L:$L,$K747)&gt;0),"※这笔可能和采购单重复了",""))))))))))</f>
        <v/>
      </c>
    </row>
    <row r="748">
      <c r="A748" s="17">
        <f>IF($B748="","",ROW()-3)</f>
        <v/>
      </c>
      <c r="B748" s="18" t="n">
        <v>46243</v>
      </c>
      <c r="C748" s="13" t="inlineStr">
        <is>
          <t>微信1</t>
        </is>
      </c>
      <c r="D748" s="13" t="inlineStr">
        <is>
          <t>支出</t>
        </is>
      </c>
      <c r="E748" s="13" t="inlineStr">
        <is>
          <t>车费/油费/过路费</t>
        </is>
      </c>
      <c r="F748" s="17">
        <f>IF($E748="","",IFERROR(VLOOKUP($E748,类别归属,2,0),"※类别不在基础资料里"))</f>
        <v/>
      </c>
      <c r="G748" s="13" t="n"/>
      <c r="H748" s="13" t="n"/>
      <c r="I748" s="13" t="inlineStr">
        <is>
          <t>滴滴出行</t>
        </is>
      </c>
      <c r="J748" s="14" t="n"/>
      <c r="K748" s="14" t="n">
        <v>9.07</v>
      </c>
      <c r="L748" s="19">
        <f>IF($C748="","",ROUND(IFERROR(VLOOKUP($C748,账户期初,2,0),0)+SUMIFS($J$4:J748,$C$4:C748,$C748)-SUMIFS($K$4:K748,$C$4:C748,$C748),2))</f>
        <v/>
      </c>
      <c r="M748" s="19">
        <f>IF($C748="","",ROUND(SUM(基础资料!$B$4:$B$13)+SUM($J$4:J748)-SUM($K$4:K748),2))</f>
        <v/>
      </c>
      <c r="N748" s="13" t="n"/>
      <c r="O748" s="13" t="inlineStr">
        <is>
          <t>项目采购-型材类</t>
        </is>
      </c>
      <c r="P748" s="17">
        <f>IF($B748="","",IF($F748="※类别不在基础资料里","※费用类别不在基础资料里",IF(AND(N($J748)=0,N($K748)=0),"※这行没填金额",IF(AND(N($J748)&gt;0,N($K748)&gt;0),"※收入和支出不能同一行都填",IF(AND($D748="收入",N($J748)=0),"※收入行要填收入金额",IF(AND($D748="支出",N($K748)=0),"※支出行要填支出金额",IF(AND($C748&lt;&gt;"",ISNA(MATCH($C748,账户表,0))),"※账户不在基础资料里",IF(AND($G748&lt;&gt;"",ISNA(MATCH($G748,项目名表,0))),"※项目不在项目台账里",IF(AND(LEFT($F748,3)="成本-",$G748=""),"※成本类支出没填项目",IF(AND(LEFT($F748,3)="成本-",$H748&lt;&gt;"",N($K748)&gt;0,COUNTIFS(采购单!$B:$B,$B748,采购单!$C:$C,$H748,采购单!$L:$L,$K748)&gt;0),"※这笔可能和采购单重复了",""))))))))))</f>
        <v/>
      </c>
    </row>
    <row r="749">
      <c r="A749" s="17">
        <f>IF($B749="","",ROW()-3)</f>
        <v/>
      </c>
      <c r="B749" s="18" t="n">
        <v>46243</v>
      </c>
      <c r="C749" s="13" t="inlineStr">
        <is>
          <t>微信1</t>
        </is>
      </c>
      <c r="D749" s="13" t="inlineStr">
        <is>
          <t>支出</t>
        </is>
      </c>
      <c r="E749" s="13" t="inlineStr">
        <is>
          <t>车费/油费/过路费</t>
        </is>
      </c>
      <c r="F749" s="17">
        <f>IF($E749="","",IFERROR(VLOOKUP($E749,类别归属,2,0),"※类别不在基础资料里"))</f>
        <v/>
      </c>
      <c r="G749" s="13" t="n"/>
      <c r="H749" s="13" t="n"/>
      <c r="I749" s="13" t="inlineStr">
        <is>
          <t>滴滴出行</t>
        </is>
      </c>
      <c r="J749" s="14" t="n"/>
      <c r="K749" s="14" t="n">
        <v>4.64</v>
      </c>
      <c r="L749" s="19">
        <f>IF($C749="","",ROUND(IFERROR(VLOOKUP($C749,账户期初,2,0),0)+SUMIFS($J$4:J749,$C$4:C749,$C749)-SUMIFS($K$4:K749,$C$4:C749,$C749),2))</f>
        <v/>
      </c>
      <c r="M749" s="19">
        <f>IF($C749="","",ROUND(SUM(基础资料!$B$4:$B$13)+SUM($J$4:J749)-SUM($K$4:K749),2))</f>
        <v/>
      </c>
      <c r="N749" s="13" t="n"/>
      <c r="O749" s="13" t="inlineStr">
        <is>
          <t>项目采购-耗材类</t>
        </is>
      </c>
      <c r="P749" s="17">
        <f>IF($B749="","",IF($F749="※类别不在基础资料里","※费用类别不在基础资料里",IF(AND(N($J749)=0,N($K749)=0),"※这行没填金额",IF(AND(N($J749)&gt;0,N($K749)&gt;0),"※收入和支出不能同一行都填",IF(AND($D749="收入",N($J749)=0),"※收入行要填收入金额",IF(AND($D749="支出",N($K749)=0),"※支出行要填支出金额",IF(AND($C749&lt;&gt;"",ISNA(MATCH($C749,账户表,0))),"※账户不在基础资料里",IF(AND($G749&lt;&gt;"",ISNA(MATCH($G749,项目名表,0))),"※项目不在项目台账里",IF(AND(LEFT($F749,3)="成本-",$G749=""),"※成本类支出没填项目",IF(AND(LEFT($F749,3)="成本-",$H749&lt;&gt;"",N($K749)&gt;0,COUNTIFS(采购单!$B:$B,$B749,采购单!$C:$C,$H749,采购单!$L:$L,$K749)&gt;0),"※这笔可能和采购单重复了",""))))))))))</f>
        <v/>
      </c>
    </row>
    <row r="750">
      <c r="A750" s="17">
        <f>IF($B750="","",ROW()-3)</f>
        <v/>
      </c>
      <c r="B750" s="18" t="n">
        <v>46243</v>
      </c>
      <c r="C750" s="13" t="inlineStr">
        <is>
          <t>微信1</t>
        </is>
      </c>
      <c r="D750" s="13" t="inlineStr">
        <is>
          <t>支出</t>
        </is>
      </c>
      <c r="E750" s="13" t="inlineStr">
        <is>
          <t>运费/快递费</t>
        </is>
      </c>
      <c r="F750" s="17">
        <f>IF($E750="","",IFERROR(VLOOKUP($E750,类别归属,2,0),"※类别不在基础资料里"))</f>
        <v/>
      </c>
      <c r="G750" s="13" t="n"/>
      <c r="H750" s="13" t="inlineStr">
        <is>
          <t>货拉拉</t>
        </is>
      </c>
      <c r="I750" s="13" t="inlineStr">
        <is>
          <t>货拉拉</t>
        </is>
      </c>
      <c r="J750" s="14" t="n"/>
      <c r="K750" s="14" t="n">
        <v>22.64</v>
      </c>
      <c r="L750" s="19">
        <f>IF($C750="","",ROUND(IFERROR(VLOOKUP($C750,账户期初,2,0),0)+SUMIFS($J$4:J750,$C$4:C750,$C750)-SUMIFS($K$4:K750,$C$4:C750,$C750),2))</f>
        <v/>
      </c>
      <c r="M750" s="19">
        <f>IF($C750="","",ROUND(SUM(基础资料!$B$4:$B$13)+SUM($J$4:J750)-SUM($K$4:K750),2))</f>
        <v/>
      </c>
      <c r="N750" s="13" t="n"/>
      <c r="O750" s="13" t="inlineStr">
        <is>
          <t>项目采购-工具类</t>
        </is>
      </c>
      <c r="P750" s="17">
        <f>IF($B750="","",IF($F750="※类别不在基础资料里","※费用类别不在基础资料里",IF(AND(N($J750)=0,N($K750)=0),"※这行没填金额",IF(AND(N($J750)&gt;0,N($K750)&gt;0),"※收入和支出不能同一行都填",IF(AND($D750="收入",N($J750)=0),"※收入行要填收入金额",IF(AND($D750="支出",N($K750)=0),"※支出行要填支出金额",IF(AND($C750&lt;&gt;"",ISNA(MATCH($C750,账户表,0))),"※账户不在基础资料里",IF(AND($G750&lt;&gt;"",ISNA(MATCH($G750,项目名表,0))),"※项目不在项目台账里",IF(AND(LEFT($F750,3)="成本-",$G750=""),"※成本类支出没填项目",IF(AND(LEFT($F750,3)="成本-",$H750&lt;&gt;"",N($K750)&gt;0,COUNTIFS(采购单!$B:$B,$B750,采购单!$C:$C,$H750,采购单!$L:$L,$K750)&gt;0),"※这笔可能和采购单重复了",""))))))))))</f>
        <v/>
      </c>
    </row>
    <row r="751">
      <c r="A751" s="17">
        <f>IF($B751="","",ROW()-3)</f>
        <v/>
      </c>
      <c r="B751" s="18" t="n">
        <v>46243</v>
      </c>
      <c r="C751" s="13" t="inlineStr">
        <is>
          <t>微信1</t>
        </is>
      </c>
      <c r="D751" s="13" t="inlineStr">
        <is>
          <t>收入</t>
        </is>
      </c>
      <c r="E751" s="13" t="inlineStr">
        <is>
          <t>车费/油费/过路费</t>
        </is>
      </c>
      <c r="F751" s="17">
        <f>IF($E751="","",IFERROR(VLOOKUP($E751,类别归属,2,0),"※类别不在基础资料里"))</f>
        <v/>
      </c>
      <c r="G751" s="13" t="n"/>
      <c r="H751" s="13" t="n"/>
      <c r="I751" s="13" t="inlineStr">
        <is>
          <t>滴滴货运</t>
        </is>
      </c>
      <c r="J751" s="14" t="n">
        <v>4.64</v>
      </c>
      <c r="K751" s="14" t="n"/>
      <c r="L751" s="19">
        <f>IF($C751="","",ROUND(IFERROR(VLOOKUP($C751,账户期初,2,0),0)+SUMIFS($J$4:J751,$C$4:C751,$C751)-SUMIFS($K$4:K751,$C$4:C751,$C751),2))</f>
        <v/>
      </c>
      <c r="M751" s="19">
        <f>IF($C751="","",ROUND(SUM(基础资料!$B$4:$B$13)+SUM($J$4:J751)-SUM($K$4:K751),2))</f>
        <v/>
      </c>
      <c r="N751" s="13" t="n"/>
      <c r="O751" s="13" t="inlineStr">
        <is>
          <t>项目其他费用类</t>
        </is>
      </c>
      <c r="P751" s="17">
        <f>IF($B751="","",IF($F751="※类别不在基础资料里","※费用类别不在基础资料里",IF(AND(N($J751)=0,N($K751)=0),"※这行没填金额",IF(AND(N($J751)&gt;0,N($K751)&gt;0),"※收入和支出不能同一行都填",IF(AND($D751="收入",N($J751)=0),"※收入行要填收入金额",IF(AND($D751="支出",N($K751)=0),"※支出行要填支出金额",IF(AND($C751&lt;&gt;"",ISNA(MATCH($C751,账户表,0))),"※账户不在基础资料里",IF(AND($G751&lt;&gt;"",ISNA(MATCH($G751,项目名表,0))),"※项目不在项目台账里",IF(AND(LEFT($F751,3)="成本-",$G751=""),"※成本类支出没填项目",IF(AND(LEFT($F751,3)="成本-",$H751&lt;&gt;"",N($K751)&gt;0,COUNTIFS(采购单!$B:$B,$B751,采购单!$C:$C,$H751,采购单!$L:$L,$K751)&gt;0),"※这笔可能和采购单重复了",""))))))))))</f>
        <v/>
      </c>
    </row>
    <row r="752">
      <c r="A752" s="17">
        <f>IF($B752="","",ROW()-3)</f>
        <v/>
      </c>
      <c r="B752" s="18" t="n">
        <v>46243</v>
      </c>
      <c r="C752" s="13" t="inlineStr">
        <is>
          <t>微信1</t>
        </is>
      </c>
      <c r="D752" s="13" t="inlineStr">
        <is>
          <t>收入</t>
        </is>
      </c>
      <c r="E752" s="13" t="inlineStr">
        <is>
          <t>车费/油费/过路费</t>
        </is>
      </c>
      <c r="F752" s="17">
        <f>IF($E752="","",IFERROR(VLOOKUP($E752,类别归属,2,0),"※类别不在基础资料里"))</f>
        <v/>
      </c>
      <c r="G752" s="13" t="n"/>
      <c r="H752" s="13" t="n"/>
      <c r="I752" s="13" t="inlineStr">
        <is>
          <t>滴滴货运</t>
        </is>
      </c>
      <c r="J752" s="14" t="n">
        <v>9.07</v>
      </c>
      <c r="K752" s="14" t="n"/>
      <c r="L752" s="19">
        <f>IF($C752="","",ROUND(IFERROR(VLOOKUP($C752,账户期初,2,0),0)+SUMIFS($J$4:J752,$C$4:C752,$C752)-SUMIFS($K$4:K752,$C$4:C752,$C752),2))</f>
        <v/>
      </c>
      <c r="M752" s="19">
        <f>IF($C752="","",ROUND(SUM(基础资料!$B$4:$B$13)+SUM($J$4:J752)-SUM($K$4:K752),2))</f>
        <v/>
      </c>
      <c r="N752" s="13" t="n"/>
      <c r="O752" s="13" t="n"/>
      <c r="P752" s="17">
        <f>IF($B752="","",IF($F752="※类别不在基础资料里","※费用类别不在基础资料里",IF(AND(N($J752)=0,N($K752)=0),"※这行没填金额",IF(AND(N($J752)&gt;0,N($K752)&gt;0),"※收入和支出不能同一行都填",IF(AND($D752="收入",N($J752)=0),"※收入行要填收入金额",IF(AND($D752="支出",N($K752)=0),"※支出行要填支出金额",IF(AND($C752&lt;&gt;"",ISNA(MATCH($C752,账户表,0))),"※账户不在基础资料里",IF(AND($G752&lt;&gt;"",ISNA(MATCH($G752,项目名表,0))),"※项目不在项目台账里",IF(AND(LEFT($F752,3)="成本-",$G752=""),"※成本类支出没填项目",IF(AND(LEFT($F752,3)="成本-",$H752&lt;&gt;"",N($K752)&gt;0,COUNTIFS(采购单!$B:$B,$B752,采购单!$C:$C,$H752,采购单!$L:$L,$K752)&gt;0),"※这笔可能和采购单重复了",""))))))))))</f>
        <v/>
      </c>
    </row>
    <row r="753">
      <c r="A753" s="17">
        <f>IF($B753="","",ROW()-3)</f>
        <v/>
      </c>
      <c r="B753" s="18" t="n">
        <v>46243</v>
      </c>
      <c r="C753" s="13" t="inlineStr">
        <is>
          <t>微信1</t>
        </is>
      </c>
      <c r="D753" s="13" t="inlineStr">
        <is>
          <t>收入</t>
        </is>
      </c>
      <c r="E753" s="13" t="inlineStr">
        <is>
          <t>待分类</t>
        </is>
      </c>
      <c r="F753" s="17">
        <f>IF($E753="","",IFERROR(VLOOKUP($E753,类别归属,2,0),"※类别不在基础资料里"))</f>
        <v/>
      </c>
      <c r="G753" s="13" t="n"/>
      <c r="H753" s="13" t="n"/>
      <c r="I753" s="13" t="inlineStr">
        <is>
          <t>深圳巨能装科技有限公司</t>
        </is>
      </c>
      <c r="J753" s="14" t="n">
        <v>22.64</v>
      </c>
      <c r="K753" s="14" t="n"/>
      <c r="L753" s="19">
        <f>IF($C753="","",ROUND(IFERROR(VLOOKUP($C753,账户期初,2,0),0)+SUMIFS($J$4:J753,$C$4:C753,$C753)-SUMIFS($K$4:K753,$C$4:C753,$C753),2))</f>
        <v/>
      </c>
      <c r="M753" s="19">
        <f>IF($C753="","",ROUND(SUM(基础资料!$B$4:$B$13)+SUM($J$4:J753)-SUM($K$4:K753),2))</f>
        <v/>
      </c>
      <c r="N753" s="13" t="n"/>
      <c r="O753" s="13" t="n"/>
      <c r="P753" s="17">
        <f>IF($B753="","",IF($F753="※类别不在基础资料里","※费用类别不在基础资料里",IF(AND(N($J753)=0,N($K753)=0),"※这行没填金额",IF(AND(N($J753)&gt;0,N($K753)&gt;0),"※收入和支出不能同一行都填",IF(AND($D753="收入",N($J753)=0),"※收入行要填收入金额",IF(AND($D753="支出",N($K753)=0),"※支出行要填支出金额",IF(AND($C753&lt;&gt;"",ISNA(MATCH($C753,账户表,0))),"※账户不在基础资料里",IF(AND($G753&lt;&gt;"",ISNA(MATCH($G753,项目名表,0))),"※项目不在项目台账里",IF(AND(LEFT($F753,3)="成本-",$G753=""),"※成本类支出没填项目",IF(AND(LEFT($F753,3)="成本-",$H753&lt;&gt;"",N($K753)&gt;0,COUNTIFS(采购单!$B:$B,$B753,采购单!$C:$C,$H753,采购单!$L:$L,$K753)&gt;0),"※这笔可能和采购单重复了",""))))))))))</f>
        <v/>
      </c>
    </row>
    <row r="754">
      <c r="A754" s="17">
        <f>IF($B754="","",ROW()-3)</f>
        <v/>
      </c>
      <c r="B754" s="18" t="n">
        <v>46243</v>
      </c>
      <c r="C754" s="13" t="inlineStr">
        <is>
          <t>微信1</t>
        </is>
      </c>
      <c r="D754" s="13" t="inlineStr">
        <is>
          <t>支出</t>
        </is>
      </c>
      <c r="E754" s="13" t="inlineStr">
        <is>
          <t>业务招待/餐费</t>
        </is>
      </c>
      <c r="F754" s="17">
        <f>IF($E754="","",IFERROR(VLOOKUP($E754,类别归属,2,0),"※类别不在基础资料里"))</f>
        <v/>
      </c>
      <c r="G754" s="13" t="n"/>
      <c r="H754" s="13" t="n"/>
      <c r="I754" s="13" t="inlineStr">
        <is>
          <t>美团</t>
        </is>
      </c>
      <c r="J754" s="14" t="n"/>
      <c r="K754" s="14" t="n">
        <v>23</v>
      </c>
      <c r="L754" s="19">
        <f>IF($C754="","",ROUND(IFERROR(VLOOKUP($C754,账户期初,2,0),0)+SUMIFS($J$4:J754,$C$4:C754,$C754)-SUMIFS($K$4:K754,$C$4:C754,$C754),2))</f>
        <v/>
      </c>
      <c r="M754" s="19">
        <f>IF($C754="","",ROUND(SUM(基础资料!$B$4:$B$13)+SUM($J$4:J754)-SUM($K$4:K754),2))</f>
        <v/>
      </c>
      <c r="N754" s="13" t="n"/>
      <c r="O754" s="13" t="n"/>
      <c r="P754" s="17">
        <f>IF($B754="","",IF($F754="※类别不在基础资料里","※费用类别不在基础资料里",IF(AND(N($J754)=0,N($K754)=0),"※这行没填金额",IF(AND(N($J754)&gt;0,N($K754)&gt;0),"※收入和支出不能同一行都填",IF(AND($D754="收入",N($J754)=0),"※收入行要填收入金额",IF(AND($D754="支出",N($K754)=0),"※支出行要填支出金额",IF(AND($C754&lt;&gt;"",ISNA(MATCH($C754,账户表,0))),"※账户不在基础资料里",IF(AND($G754&lt;&gt;"",ISNA(MATCH($G754,项目名表,0))),"※项目不在项目台账里",IF(AND(LEFT($F754,3)="成本-",$G754=""),"※成本类支出没填项目",IF(AND(LEFT($F754,3)="成本-",$H754&lt;&gt;"",N($K754)&gt;0,COUNTIFS(采购单!$B:$B,$B754,采购单!$C:$C,$H754,采购单!$L:$L,$K754)&gt;0),"※这笔可能和采购单重复了",""))))))))))</f>
        <v/>
      </c>
    </row>
    <row r="755">
      <c r="A755" s="17">
        <f>IF($B755="","",ROW()-3)</f>
        <v/>
      </c>
      <c r="B755" s="18" t="n">
        <v>46243</v>
      </c>
      <c r="C755" s="13" t="inlineStr">
        <is>
          <t>微信1</t>
        </is>
      </c>
      <c r="D755" s="13" t="inlineStr">
        <is>
          <t>收入</t>
        </is>
      </c>
      <c r="E755" s="13" t="inlineStr">
        <is>
          <t>待分类</t>
        </is>
      </c>
      <c r="F755" s="17">
        <f>IF($E755="","",IFERROR(VLOOKUP($E755,类别归属,2,0),"※类别不在基础资料里"))</f>
        <v/>
      </c>
      <c r="G755" s="13" t="n"/>
      <c r="H755" s="13" t="n"/>
      <c r="I755" s="13" t="inlineStr">
        <is>
          <t>【慧诺姿】 汪洋</t>
        </is>
      </c>
      <c r="J755" s="14" t="n">
        <v>23</v>
      </c>
      <c r="K755" s="14" t="n"/>
      <c r="L755" s="19">
        <f>IF($C755="","",ROUND(IFERROR(VLOOKUP($C755,账户期初,2,0),0)+SUMIFS($J$4:J755,$C$4:C755,$C755)-SUMIFS($K$4:K755,$C$4:C755,$C755),2))</f>
        <v/>
      </c>
      <c r="M755" s="19">
        <f>IF($C755="","",ROUND(SUM(基础资料!$B$4:$B$13)+SUM($J$4:J755)-SUM($K$4:K755),2))</f>
        <v/>
      </c>
      <c r="N755" s="13" t="n"/>
      <c r="O755" s="13" t="n"/>
      <c r="P755" s="17">
        <f>IF($B755="","",IF($F755="※类别不在基础资料里","※费用类别不在基础资料里",IF(AND(N($J755)=0,N($K755)=0),"※这行没填金额",IF(AND(N($J755)&gt;0,N($K755)&gt;0),"※收入和支出不能同一行都填",IF(AND($D755="收入",N($J755)=0),"※收入行要填收入金额",IF(AND($D755="支出",N($K755)=0),"※支出行要填支出金额",IF(AND($C755&lt;&gt;"",ISNA(MATCH($C755,账户表,0))),"※账户不在基础资料里",IF(AND($G755&lt;&gt;"",ISNA(MATCH($G755,项目名表,0))),"※项目不在项目台账里",IF(AND(LEFT($F755,3)="成本-",$G755=""),"※成本类支出没填项目",IF(AND(LEFT($F755,3)="成本-",$H755&lt;&gt;"",N($K755)&gt;0,COUNTIFS(采购单!$B:$B,$B755,采购单!$C:$C,$H755,采购单!$L:$L,$K755)&gt;0),"※这笔可能和采购单重复了",""))))))))))</f>
        <v/>
      </c>
    </row>
    <row r="756">
      <c r="A756" s="17">
        <f>IF($B756="","",ROW()-3)</f>
        <v/>
      </c>
      <c r="B756" s="18" t="n">
        <v>46244</v>
      </c>
      <c r="C756" s="13" t="inlineStr">
        <is>
          <t>微信1</t>
        </is>
      </c>
      <c r="D756" s="13" t="inlineStr">
        <is>
          <t>支出</t>
        </is>
      </c>
      <c r="E756" s="13" t="inlineStr">
        <is>
          <t>通讯费</t>
        </is>
      </c>
      <c r="F756" s="17">
        <f>IF($E756="","",IFERROR(VLOOKUP($E756,类别归属,2,0),"※类别不在基础资料里"))</f>
        <v/>
      </c>
      <c r="G756" s="13" t="n"/>
      <c r="H756" s="13" t="n"/>
      <c r="I756" s="13" t="inlineStr">
        <is>
          <t>手机充值-中国移动</t>
        </is>
      </c>
      <c r="J756" s="14" t="n"/>
      <c r="K756" s="14" t="n">
        <v>50</v>
      </c>
      <c r="L756" s="19">
        <f>IF($C756="","",ROUND(IFERROR(VLOOKUP($C756,账户期初,2,0),0)+SUMIFS($J$4:J756,$C$4:C756,$C756)-SUMIFS($K$4:K756,$C$4:C756,$C756),2))</f>
        <v/>
      </c>
      <c r="M756" s="19">
        <f>IF($C756="","",ROUND(SUM(基础资料!$B$4:$B$13)+SUM($J$4:J756)-SUM($K$4:K756),2))</f>
        <v/>
      </c>
      <c r="N756" s="13" t="n"/>
      <c r="O756" s="13" t="n"/>
      <c r="P756" s="17">
        <f>IF($B756="","",IF($F756="※类别不在基础资料里","※费用类别不在基础资料里",IF(AND(N($J756)=0,N($K756)=0),"※这行没填金额",IF(AND(N($J756)&gt;0,N($K756)&gt;0),"※收入和支出不能同一行都填",IF(AND($D756="收入",N($J756)=0),"※收入行要填收入金额",IF(AND($D756="支出",N($K756)=0),"※支出行要填支出金额",IF(AND($C756&lt;&gt;"",ISNA(MATCH($C756,账户表,0))),"※账户不在基础资料里",IF(AND($G756&lt;&gt;"",ISNA(MATCH($G756,项目名表,0))),"※项目不在项目台账里",IF(AND(LEFT($F756,3)="成本-",$G756=""),"※成本类支出没填项目",IF(AND(LEFT($F756,3)="成本-",$H756&lt;&gt;"",N($K756)&gt;0,COUNTIFS(采购单!$B:$B,$B756,采购单!$C:$C,$H756,采购单!$L:$L,$K756)&gt;0),"※这笔可能和采购单重复了",""))))))))))</f>
        <v/>
      </c>
    </row>
    <row r="757">
      <c r="A757" s="17">
        <f>IF($B757="","",ROW()-3)</f>
        <v/>
      </c>
      <c r="B757" s="18" t="n">
        <v>46244</v>
      </c>
      <c r="C757" s="13" t="inlineStr">
        <is>
          <t>微信1</t>
        </is>
      </c>
      <c r="D757" s="13" t="inlineStr">
        <is>
          <t>支出</t>
        </is>
      </c>
      <c r="E757" s="13" t="inlineStr">
        <is>
          <t>待分类</t>
        </is>
      </c>
      <c r="F757" s="17">
        <f>IF($E757="","",IFERROR(VLOOKUP($E757,类别归属,2,0),"※类别不在基础资料里"))</f>
        <v/>
      </c>
      <c r="G757" s="13" t="n"/>
      <c r="H757" s="13" t="n"/>
      <c r="I757" s="13" t="inlineStr">
        <is>
          <t>杨德 (往后余生)</t>
        </is>
      </c>
      <c r="J757" s="14" t="n"/>
      <c r="K757" s="14" t="n">
        <v>1626.64</v>
      </c>
      <c r="L757" s="19">
        <f>IF($C757="","",ROUND(IFERROR(VLOOKUP($C757,账户期初,2,0),0)+SUMIFS($J$4:J757,$C$4:C757,$C757)-SUMIFS($K$4:K757,$C$4:C757,$C757),2))</f>
        <v/>
      </c>
      <c r="M757" s="19">
        <f>IF($C757="","",ROUND(SUM(基础资料!$B$4:$B$13)+SUM($J$4:J757)-SUM($K$4:K757),2))</f>
        <v/>
      </c>
      <c r="N757" s="13" t="n"/>
      <c r="O757" s="13" t="n"/>
      <c r="P757" s="17">
        <f>IF($B757="","",IF($F757="※类别不在基础资料里","※费用类别不在基础资料里",IF(AND(N($J757)=0,N($K757)=0),"※这行没填金额",IF(AND(N($J757)&gt;0,N($K757)&gt;0),"※收入和支出不能同一行都填",IF(AND($D757="收入",N($J757)=0),"※收入行要填收入金额",IF(AND($D757="支出",N($K757)=0),"※支出行要填支出金额",IF(AND($C757&lt;&gt;"",ISNA(MATCH($C757,账户表,0))),"※账户不在基础资料里",IF(AND($G757&lt;&gt;"",ISNA(MATCH($G757,项目名表,0))),"※项目不在项目台账里",IF(AND(LEFT($F757,3)="成本-",$G757=""),"※成本类支出没填项目",IF(AND(LEFT($F757,3)="成本-",$H757&lt;&gt;"",N($K757)&gt;0,COUNTIFS(采购单!$B:$B,$B757,采购单!$C:$C,$H757,采购单!$L:$L,$K757)&gt;0),"※这笔可能和采购单重复了",""))))))))))</f>
        <v/>
      </c>
    </row>
    <row r="758">
      <c r="A758" s="17">
        <f>IF($B758="","",ROW()-3)</f>
        <v/>
      </c>
      <c r="B758" s="18" t="n">
        <v>46244</v>
      </c>
      <c r="C758" s="13" t="inlineStr">
        <is>
          <t>微信1</t>
        </is>
      </c>
      <c r="D758" s="13" t="inlineStr">
        <is>
          <t>收入</t>
        </is>
      </c>
      <c r="E758" s="13" t="inlineStr">
        <is>
          <t>待分类</t>
        </is>
      </c>
      <c r="F758" s="17">
        <f>IF($E758="","",IFERROR(VLOOKUP($E758,类别归属,2,0),"※类别不在基础资料里"))</f>
        <v/>
      </c>
      <c r="G758" s="13" t="n"/>
      <c r="H758" s="13" t="n"/>
      <c r="I758" s="13" t="inlineStr">
        <is>
          <t>万达-kvv乔金鑫 (乔金鑫)</t>
        </is>
      </c>
      <c r="J758" s="14" t="n">
        <v>66</v>
      </c>
      <c r="K758" s="14" t="n"/>
      <c r="L758" s="19">
        <f>IF($C758="","",ROUND(IFERROR(VLOOKUP($C758,账户期初,2,0),0)+SUMIFS($J$4:J758,$C$4:C758,$C758)-SUMIFS($K$4:K758,$C$4:C758,$C758),2))</f>
        <v/>
      </c>
      <c r="M758" s="19">
        <f>IF($C758="","",ROUND(SUM(基础资料!$B$4:$B$13)+SUM($J$4:J758)-SUM($K$4:K758),2))</f>
        <v/>
      </c>
      <c r="N758" s="13" t="n"/>
      <c r="O758" s="13" t="n"/>
      <c r="P758" s="17">
        <f>IF($B758="","",IF($F758="※类别不在基础资料里","※费用类别不在基础资料里",IF(AND(N($J758)=0,N($K758)=0),"※这行没填金额",IF(AND(N($J758)&gt;0,N($K758)&gt;0),"※收入和支出不能同一行都填",IF(AND($D758="收入",N($J758)=0),"※收入行要填收入金额",IF(AND($D758="支出",N($K758)=0),"※支出行要填支出金额",IF(AND($C758&lt;&gt;"",ISNA(MATCH($C758,账户表,0))),"※账户不在基础资料里",IF(AND($G758&lt;&gt;"",ISNA(MATCH($G758,项目名表,0))),"※项目不在项目台账里",IF(AND(LEFT($F758,3)="成本-",$G758=""),"※成本类支出没填项目",IF(AND(LEFT($F758,3)="成本-",$H758&lt;&gt;"",N($K758)&gt;0,COUNTIFS(采购单!$B:$B,$B758,采购单!$C:$C,$H758,采购单!$L:$L,$K758)&gt;0),"※这笔可能和采购单重复了",""))))))))))</f>
        <v/>
      </c>
    </row>
    <row r="759">
      <c r="A759" s="17">
        <f>IF($B759="","",ROW()-3)</f>
        <v/>
      </c>
      <c r="B759" s="18" t="n">
        <v>46244</v>
      </c>
      <c r="C759" s="13" t="inlineStr">
        <is>
          <t>微信1</t>
        </is>
      </c>
      <c r="D759" s="13" t="inlineStr">
        <is>
          <t>收入</t>
        </is>
      </c>
      <c r="E759" s="13" t="inlineStr">
        <is>
          <t>待分类</t>
        </is>
      </c>
      <c r="F759" s="17">
        <f>IF($E759="","",IFERROR(VLOOKUP($E759,类别归属,2,0),"※类别不在基础资料里"))</f>
        <v/>
      </c>
      <c r="G759" s="13" t="n"/>
      <c r="H759" s="13" t="n"/>
      <c r="I759" s="13" t="inlineStr">
        <is>
          <t>郑李芳13059978799原首章改为亿帆</t>
        </is>
      </c>
      <c r="J759" s="14" t="n">
        <v>3187</v>
      </c>
      <c r="K759" s="14" t="n"/>
      <c r="L759" s="19">
        <f>IF($C759="","",ROUND(IFERROR(VLOOKUP($C759,账户期初,2,0),0)+SUMIFS($J$4:J759,$C$4:C759,$C759)-SUMIFS($K$4:K759,$C$4:C759,$C759),2))</f>
        <v/>
      </c>
      <c r="M759" s="19">
        <f>IF($C759="","",ROUND(SUM(基础资料!$B$4:$B$13)+SUM($J$4:J759)-SUM($K$4:K759),2))</f>
        <v/>
      </c>
      <c r="N759" s="13" t="n"/>
      <c r="O759" s="13" t="n"/>
      <c r="P759" s="17">
        <f>IF($B759="","",IF($F759="※类别不在基础资料里","※费用类别不在基础资料里",IF(AND(N($J759)=0,N($K759)=0),"※这行没填金额",IF(AND(N($J759)&gt;0,N($K759)&gt;0),"※收入和支出不能同一行都填",IF(AND($D759="收入",N($J759)=0),"※收入行要填收入金额",IF(AND($D759="支出",N($K759)=0),"※支出行要填支出金额",IF(AND($C759&lt;&gt;"",ISNA(MATCH($C759,账户表,0))),"※账户不在基础资料里",IF(AND($G759&lt;&gt;"",ISNA(MATCH($G759,项目名表,0))),"※项目不在项目台账里",IF(AND(LEFT($F759,3)="成本-",$G759=""),"※成本类支出没填项目",IF(AND(LEFT($F759,3)="成本-",$H759&lt;&gt;"",N($K759)&gt;0,COUNTIFS(采购单!$B:$B,$B759,采购单!$C:$C,$H759,采购单!$L:$L,$K759)&gt;0),"※这笔可能和采购单重复了",""))))))))))</f>
        <v/>
      </c>
    </row>
    <row r="760">
      <c r="A760" s="17">
        <f>IF($B760="","",ROW()-3)</f>
        <v/>
      </c>
      <c r="B760" s="18" t="n">
        <v>46244</v>
      </c>
      <c r="C760" s="13" t="inlineStr">
        <is>
          <t>微信1</t>
        </is>
      </c>
      <c r="D760" s="13" t="inlineStr">
        <is>
          <t>支出</t>
        </is>
      </c>
      <c r="E760" s="13" t="inlineStr">
        <is>
          <t>运费/快递费</t>
        </is>
      </c>
      <c r="F760" s="17">
        <f>IF($E760="","",IFERROR(VLOOKUP($E760,类别归属,2,0),"※类别不在基础资料里"))</f>
        <v/>
      </c>
      <c r="G760" s="13" t="n"/>
      <c r="H760" s="13" t="inlineStr">
        <is>
          <t>顺丰速运</t>
        </is>
      </c>
      <c r="I760" s="13" t="inlineStr">
        <is>
          <t>顺丰速运</t>
        </is>
      </c>
      <c r="J760" s="14" t="n"/>
      <c r="K760" s="14" t="n">
        <v>23.4</v>
      </c>
      <c r="L760" s="19">
        <f>IF($C760="","",ROUND(IFERROR(VLOOKUP($C760,账户期初,2,0),0)+SUMIFS($J$4:J760,$C$4:C760,$C760)-SUMIFS($K$4:K760,$C$4:C760,$C760),2))</f>
        <v/>
      </c>
      <c r="M760" s="19">
        <f>IF($C760="","",ROUND(SUM(基础资料!$B$4:$B$13)+SUM($J$4:J760)-SUM($K$4:K760),2))</f>
        <v/>
      </c>
      <c r="N760" s="13" t="n"/>
      <c r="O760" s="13" t="n"/>
      <c r="P760" s="17">
        <f>IF($B760="","",IF($F760="※类别不在基础资料里","※费用类别不在基础资料里",IF(AND(N($J760)=0,N($K760)=0),"※这行没填金额",IF(AND(N($J760)&gt;0,N($K760)&gt;0),"※收入和支出不能同一行都填",IF(AND($D760="收入",N($J760)=0),"※收入行要填收入金额",IF(AND($D760="支出",N($K760)=0),"※支出行要填支出金额",IF(AND($C760&lt;&gt;"",ISNA(MATCH($C760,账户表,0))),"※账户不在基础资料里",IF(AND($G760&lt;&gt;"",ISNA(MATCH($G760,项目名表,0))),"※项目不在项目台账里",IF(AND(LEFT($F760,3)="成本-",$G760=""),"※成本类支出没填项目",IF(AND(LEFT($F760,3)="成本-",$H760&lt;&gt;"",N($K760)&gt;0,COUNTIFS(采购单!$B:$B,$B760,采购单!$C:$C,$H760,采购单!$L:$L,$K760)&gt;0),"※这笔可能和采购单重复了",""))))))))))</f>
        <v/>
      </c>
    </row>
    <row r="761">
      <c r="A761" s="17">
        <f>IF($B761="","",ROW()-3)</f>
        <v/>
      </c>
      <c r="B761" s="18" t="n">
        <v>46245</v>
      </c>
      <c r="C761" s="13" t="inlineStr">
        <is>
          <t>微信1</t>
        </is>
      </c>
      <c r="D761" s="13" t="inlineStr">
        <is>
          <t>收入</t>
        </is>
      </c>
      <c r="E761" s="13" t="inlineStr">
        <is>
          <t>待分类</t>
        </is>
      </c>
      <c r="F761" s="17">
        <f>IF($E761="","",IFERROR(VLOOKUP($E761,类别归属,2,0),"※类别不在基础资料里"))</f>
        <v/>
      </c>
      <c r="G761" s="13" t="n"/>
      <c r="H761" s="13" t="n"/>
      <c r="I761" s="13" t="inlineStr">
        <is>
          <t>诵强</t>
        </is>
      </c>
      <c r="J761" s="14" t="n">
        <v>50</v>
      </c>
      <c r="K761" s="14" t="n"/>
      <c r="L761" s="19">
        <f>IF($C761="","",ROUND(IFERROR(VLOOKUP($C761,账户期初,2,0),0)+SUMIFS($J$4:J761,$C$4:C761,$C761)-SUMIFS($K$4:K761,$C$4:C761,$C761),2))</f>
        <v/>
      </c>
      <c r="M761" s="19">
        <f>IF($C761="","",ROUND(SUM(基础资料!$B$4:$B$13)+SUM($J$4:J761)-SUM($K$4:K761),2))</f>
        <v/>
      </c>
      <c r="N761" s="13" t="n"/>
      <c r="O761" s="13" t="n"/>
      <c r="P761" s="17">
        <f>IF($B761="","",IF($F761="※类别不在基础资料里","※费用类别不在基础资料里",IF(AND(N($J761)=0,N($K761)=0),"※这行没填金额",IF(AND(N($J761)&gt;0,N($K761)&gt;0),"※收入和支出不能同一行都填",IF(AND($D761="收入",N($J761)=0),"※收入行要填收入金额",IF(AND($D761="支出",N($K761)=0),"※支出行要填支出金额",IF(AND($C761&lt;&gt;"",ISNA(MATCH($C761,账户表,0))),"※账户不在基础资料里",IF(AND($G761&lt;&gt;"",ISNA(MATCH($G761,项目名表,0))),"※项目不在项目台账里",IF(AND(LEFT($F761,3)="成本-",$G761=""),"※成本类支出没填项目",IF(AND(LEFT($F761,3)="成本-",$H761&lt;&gt;"",N($K761)&gt;0,COUNTIFS(采购单!$B:$B,$B761,采购单!$C:$C,$H761,采购单!$L:$L,$K761)&gt;0),"※这笔可能和采购单重复了",""))))))))))</f>
        <v/>
      </c>
    </row>
    <row r="762">
      <c r="A762" s="17">
        <f>IF($B762="","",ROW()-3)</f>
        <v/>
      </c>
      <c r="B762" s="18" t="n">
        <v>46245</v>
      </c>
      <c r="C762" s="13" t="inlineStr">
        <is>
          <t>微信1</t>
        </is>
      </c>
      <c r="D762" s="13" t="inlineStr">
        <is>
          <t>收入</t>
        </is>
      </c>
      <c r="E762" s="13" t="inlineStr">
        <is>
          <t>待分类</t>
        </is>
      </c>
      <c r="F762" s="17">
        <f>IF($E762="","",IFERROR(VLOOKUP($E762,类别归属,2,0),"※类别不在基础资料里"))</f>
        <v/>
      </c>
      <c r="G762" s="13" t="n"/>
      <c r="H762" s="13" t="n"/>
      <c r="I762" s="13" t="inlineStr">
        <is>
          <t>万达-kvv乔金鑫 (乔金鑫)</t>
        </is>
      </c>
      <c r="J762" s="14" t="n">
        <v>400</v>
      </c>
      <c r="K762" s="14" t="n"/>
      <c r="L762" s="19">
        <f>IF($C762="","",ROUND(IFERROR(VLOOKUP($C762,账户期初,2,0),0)+SUMIFS($J$4:J762,$C$4:C762,$C762)-SUMIFS($K$4:K762,$C$4:C762,$C762),2))</f>
        <v/>
      </c>
      <c r="M762" s="19">
        <f>IF($C762="","",ROUND(SUM(基础资料!$B$4:$B$13)+SUM($J$4:J762)-SUM($K$4:K762),2))</f>
        <v/>
      </c>
      <c r="N762" s="13" t="n"/>
      <c r="O762" s="13" t="n"/>
      <c r="P762" s="17">
        <f>IF($B762="","",IF($F762="※类别不在基础资料里","※费用类别不在基础资料里",IF(AND(N($J762)=0,N($K762)=0),"※这行没填金额",IF(AND(N($J762)&gt;0,N($K762)&gt;0),"※收入和支出不能同一行都填",IF(AND($D762="收入",N($J762)=0),"※收入行要填收入金额",IF(AND($D762="支出",N($K762)=0),"※支出行要填支出金额",IF(AND($C762&lt;&gt;"",ISNA(MATCH($C762,账户表,0))),"※账户不在基础资料里",IF(AND($G762&lt;&gt;"",ISNA(MATCH($G762,项目名表,0))),"※项目不在项目台账里",IF(AND(LEFT($F762,3)="成本-",$G762=""),"※成本类支出没填项目",IF(AND(LEFT($F762,3)="成本-",$H762&lt;&gt;"",N($K762)&gt;0,COUNTIFS(采购单!$B:$B,$B762,采购单!$C:$C,$H762,采购单!$L:$L,$K762)&gt;0),"※这笔可能和采购单重复了",""))))))))))</f>
        <v/>
      </c>
    </row>
    <row r="763">
      <c r="A763" s="17">
        <f>IF($B763="","",ROW()-3)</f>
        <v/>
      </c>
      <c r="B763" s="18" t="n">
        <v>46245</v>
      </c>
      <c r="C763" s="13" t="inlineStr">
        <is>
          <t>微信1</t>
        </is>
      </c>
      <c r="D763" s="13" t="inlineStr">
        <is>
          <t>支出</t>
        </is>
      </c>
      <c r="E763" s="13" t="inlineStr">
        <is>
          <t>待分类</t>
        </is>
      </c>
      <c r="F763" s="17">
        <f>IF($E763="","",IFERROR(VLOOKUP($E763,类别归属,2,0),"※类别不在基础资料里"))</f>
        <v/>
      </c>
      <c r="G763" s="13" t="n"/>
      <c r="H763" s="13" t="n"/>
      <c r="I763" s="13" t="inlineStr">
        <is>
          <t>付久华</t>
        </is>
      </c>
      <c r="J763" s="14" t="n"/>
      <c r="K763" s="14" t="n">
        <v>5000</v>
      </c>
      <c r="L763" s="19">
        <f>IF($C763="","",ROUND(IFERROR(VLOOKUP($C763,账户期初,2,0),0)+SUMIFS($J$4:J763,$C$4:C763,$C763)-SUMIFS($K$4:K763,$C$4:C763,$C763),2))</f>
        <v/>
      </c>
      <c r="M763" s="19">
        <f>IF($C763="","",ROUND(SUM(基础资料!$B$4:$B$13)+SUM($J$4:J763)-SUM($K$4:K763),2))</f>
        <v/>
      </c>
      <c r="N763" s="13" t="n"/>
      <c r="O763" s="13" t="n"/>
      <c r="P763" s="17">
        <f>IF($B763="","",IF($F763="※类别不在基础资料里","※费用类别不在基础资料里",IF(AND(N($J763)=0,N($K763)=0),"※这行没填金额",IF(AND(N($J763)&gt;0,N($K763)&gt;0),"※收入和支出不能同一行都填",IF(AND($D763="收入",N($J763)=0),"※收入行要填收入金额",IF(AND($D763="支出",N($K763)=0),"※支出行要填支出金额",IF(AND($C763&lt;&gt;"",ISNA(MATCH($C763,账户表,0))),"※账户不在基础资料里",IF(AND($G763&lt;&gt;"",ISNA(MATCH($G763,项目名表,0))),"※项目不在项目台账里",IF(AND(LEFT($F763,3)="成本-",$G763=""),"※成本类支出没填项目",IF(AND(LEFT($F763,3)="成本-",$H763&lt;&gt;"",N($K763)&gt;0,COUNTIFS(采购单!$B:$B,$B763,采购单!$C:$C,$H763,采购单!$L:$L,$K763)&gt;0),"※这笔可能和采购单重复了",""))))))))))</f>
        <v/>
      </c>
    </row>
    <row r="764">
      <c r="A764" s="17">
        <f>IF($B764="","",ROW()-3)</f>
        <v/>
      </c>
      <c r="B764" s="18" t="n">
        <v>46245</v>
      </c>
      <c r="C764" s="13" t="inlineStr">
        <is>
          <t>微信1</t>
        </is>
      </c>
      <c r="D764" s="13" t="inlineStr">
        <is>
          <t>支出</t>
        </is>
      </c>
      <c r="E764" s="13" t="inlineStr">
        <is>
          <t>安装工资</t>
        </is>
      </c>
      <c r="F764" s="17">
        <f>IF($E764="","",IFERROR(VLOOKUP($E764,类别归属,2,0),"※类别不在基础资料里"))</f>
        <v/>
      </c>
      <c r="G764" s="13" t="n"/>
      <c r="H764" s="13" t="n"/>
      <c r="I764" s="13" t="inlineStr">
        <is>
          <t>安装老姚 (安格)</t>
        </is>
      </c>
      <c r="J764" s="14" t="n"/>
      <c r="K764" s="14" t="n">
        <v>1200</v>
      </c>
      <c r="L764" s="19">
        <f>IF($C764="","",ROUND(IFERROR(VLOOKUP($C764,账户期初,2,0),0)+SUMIFS($J$4:J764,$C$4:C764,$C764)-SUMIFS($K$4:K764,$C$4:C764,$C764),2))</f>
        <v/>
      </c>
      <c r="M764" s="19">
        <f>IF($C764="","",ROUND(SUM(基础资料!$B$4:$B$13)+SUM($J$4:J764)-SUM($K$4:K764),2))</f>
        <v/>
      </c>
      <c r="N764" s="13" t="n"/>
      <c r="O764" s="13" t="n"/>
      <c r="P764" s="17">
        <f>IF($B764="","",IF($F764="※类别不在基础资料里","※费用类别不在基础资料里",IF(AND(N($J764)=0,N($K764)=0),"※这行没填金额",IF(AND(N($J764)&gt;0,N($K764)&gt;0),"※收入和支出不能同一行都填",IF(AND($D764="收入",N($J764)=0),"※收入行要填收入金额",IF(AND($D764="支出",N($K764)=0),"※支出行要填支出金额",IF(AND($C764&lt;&gt;"",ISNA(MATCH($C764,账户表,0))),"※账户不在基础资料里",IF(AND($G764&lt;&gt;"",ISNA(MATCH($G764,项目名表,0))),"※项目不在项目台账里",IF(AND(LEFT($F764,3)="成本-",$G764=""),"※成本类支出没填项目",IF(AND(LEFT($F764,3)="成本-",$H764&lt;&gt;"",N($K764)&gt;0,COUNTIFS(采购单!$B:$B,$B764,采购单!$C:$C,$H764,采购单!$L:$L,$K764)&gt;0),"※这笔可能和采购单重复了",""))))))))))</f>
        <v/>
      </c>
    </row>
    <row r="765">
      <c r="A765" s="17">
        <f>IF($B765="","",ROW()-3)</f>
        <v/>
      </c>
      <c r="B765" s="18" t="n">
        <v>46245</v>
      </c>
      <c r="C765" s="13" t="inlineStr">
        <is>
          <t>微信1</t>
        </is>
      </c>
      <c r="D765" s="13" t="inlineStr">
        <is>
          <t>支出</t>
        </is>
      </c>
      <c r="E765" s="13" t="inlineStr">
        <is>
          <t>广告推广</t>
        </is>
      </c>
      <c r="F765" s="17">
        <f>IF($E765="","",IFERROR(VLOOKUP($E765,类别归属,2,0),"※类别不在基础资料里"))</f>
        <v/>
      </c>
      <c r="G765" s="13" t="n"/>
      <c r="H765" s="13" t="n"/>
      <c r="I765" s="13" t="inlineStr">
        <is>
          <t>熬夜加500-代剪 (熬夜加500)</t>
        </is>
      </c>
      <c r="J765" s="14" t="n"/>
      <c r="K765" s="14" t="n">
        <v>20</v>
      </c>
      <c r="L765" s="19">
        <f>IF($C765="","",ROUND(IFERROR(VLOOKUP($C765,账户期初,2,0),0)+SUMIFS($J$4:J765,$C$4:C765,$C765)-SUMIFS($K$4:K765,$C$4:C765,$C765),2))</f>
        <v/>
      </c>
      <c r="M765" s="19">
        <f>IF($C765="","",ROUND(SUM(基础资料!$B$4:$B$13)+SUM($J$4:J765)-SUM($K$4:K765),2))</f>
        <v/>
      </c>
      <c r="N765" s="13" t="n"/>
      <c r="O765" s="13" t="n"/>
      <c r="P765" s="17">
        <f>IF($B765="","",IF($F765="※类别不在基础资料里","※费用类别不在基础资料里",IF(AND(N($J765)=0,N($K765)=0),"※这行没填金额",IF(AND(N($J765)&gt;0,N($K765)&gt;0),"※收入和支出不能同一行都填",IF(AND($D765="收入",N($J765)=0),"※收入行要填收入金额",IF(AND($D765="支出",N($K765)=0),"※支出行要填支出金额",IF(AND($C765&lt;&gt;"",ISNA(MATCH($C765,账户表,0))),"※账户不在基础资料里",IF(AND($G765&lt;&gt;"",ISNA(MATCH($G765,项目名表,0))),"※项目不在项目台账里",IF(AND(LEFT($F765,3)="成本-",$G765=""),"※成本类支出没填项目",IF(AND(LEFT($F765,3)="成本-",$H765&lt;&gt;"",N($K765)&gt;0,COUNTIFS(采购单!$B:$B,$B765,采购单!$C:$C,$H765,采购单!$L:$L,$K765)&gt;0),"※这笔可能和采购单重复了",""))))))))))</f>
        <v/>
      </c>
    </row>
    <row r="766">
      <c r="A766" s="17">
        <f>IF($B766="","",ROW()-3)</f>
        <v/>
      </c>
      <c r="B766" s="18" t="n">
        <v>46245</v>
      </c>
      <c r="C766" s="13" t="inlineStr">
        <is>
          <t>微信1</t>
        </is>
      </c>
      <c r="D766" s="13" t="inlineStr">
        <is>
          <t>支出</t>
        </is>
      </c>
      <c r="E766" s="13" t="inlineStr">
        <is>
          <t>主材采购</t>
        </is>
      </c>
      <c r="F766" s="17">
        <f>IF($E766="","",IFERROR(VLOOKUP($E766,类别归属,2,0),"※类别不在基础资料里"))</f>
        <v/>
      </c>
      <c r="G766" s="13" t="n"/>
      <c r="H766" s="13" t="n"/>
      <c r="I766" s="13" t="inlineStr">
        <is>
          <t>上达铝单板铝方通孙13913803884</t>
        </is>
      </c>
      <c r="J766" s="14" t="n"/>
      <c r="K766" s="14" t="n">
        <v>500</v>
      </c>
      <c r="L766" s="19">
        <f>IF($C766="","",ROUND(IFERROR(VLOOKUP($C766,账户期初,2,0),0)+SUMIFS($J$4:J766,$C$4:C766,$C766)-SUMIFS($K$4:K766,$C$4:C766,$C766),2))</f>
        <v/>
      </c>
      <c r="M766" s="19">
        <f>IF($C766="","",ROUND(SUM(基础资料!$B$4:$B$13)+SUM($J$4:J766)-SUM($K$4:K766),2))</f>
        <v/>
      </c>
      <c r="N766" s="13" t="n"/>
      <c r="O766" s="13" t="n"/>
      <c r="P766" s="17">
        <f>IF($B766="","",IF($F766="※类别不在基础资料里","※费用类别不在基础资料里",IF(AND(N($J766)=0,N($K766)=0),"※这行没填金额",IF(AND(N($J766)&gt;0,N($K766)&gt;0),"※收入和支出不能同一行都填",IF(AND($D766="收入",N($J766)=0),"※收入行要填收入金额",IF(AND($D766="支出",N($K766)=0),"※支出行要填支出金额",IF(AND($C766&lt;&gt;"",ISNA(MATCH($C766,账户表,0))),"※账户不在基础资料里",IF(AND($G766&lt;&gt;"",ISNA(MATCH($G766,项目名表,0))),"※项目不在项目台账里",IF(AND(LEFT($F766,3)="成本-",$G766=""),"※成本类支出没填项目",IF(AND(LEFT($F766,3)="成本-",$H766&lt;&gt;"",N($K766)&gt;0,COUNTIFS(采购单!$B:$B,$B766,采购单!$C:$C,$H766,采购单!$L:$L,$K766)&gt;0),"※这笔可能和采购单重复了",""))))))))))</f>
        <v/>
      </c>
    </row>
    <row r="767">
      <c r="A767" s="17">
        <f>IF($B767="","",ROW()-3)</f>
        <v/>
      </c>
      <c r="B767" s="18" t="n">
        <v>46245</v>
      </c>
      <c r="C767" s="13" t="inlineStr">
        <is>
          <t>微信1</t>
        </is>
      </c>
      <c r="D767" s="13" t="inlineStr">
        <is>
          <t>收入</t>
        </is>
      </c>
      <c r="E767" s="13" t="inlineStr">
        <is>
          <t>待分类</t>
        </is>
      </c>
      <c r="F767" s="17">
        <f>IF($E767="","",IFERROR(VLOOKUP($E767,类别归属,2,0),"※类别不在基础资料里"))</f>
        <v/>
      </c>
      <c r="G767" s="13" t="n"/>
      <c r="H767" s="13" t="n"/>
      <c r="I767" s="13" t="inlineStr">
        <is>
          <t>湖州初六</t>
        </is>
      </c>
      <c r="J767" s="14" t="n">
        <v>122</v>
      </c>
      <c r="K767" s="14" t="n"/>
      <c r="L767" s="19">
        <f>IF($C767="","",ROUND(IFERROR(VLOOKUP($C767,账户期初,2,0),0)+SUMIFS($J$4:J767,$C$4:C767,$C767)-SUMIFS($K$4:K767,$C$4:C767,$C767),2))</f>
        <v/>
      </c>
      <c r="M767" s="19">
        <f>IF($C767="","",ROUND(SUM(基础资料!$B$4:$B$13)+SUM($J$4:J767)-SUM($K$4:K767),2))</f>
        <v/>
      </c>
      <c r="N767" s="13" t="n"/>
      <c r="O767" s="13" t="n"/>
      <c r="P767" s="17">
        <f>IF($B767="","",IF($F767="※类别不在基础资料里","※费用类别不在基础资料里",IF(AND(N($J767)=0,N($K767)=0),"※这行没填金额",IF(AND(N($J767)&gt;0,N($K767)&gt;0),"※收入和支出不能同一行都填",IF(AND($D767="收入",N($J767)=0),"※收入行要填收入金额",IF(AND($D767="支出",N($K767)=0),"※支出行要填支出金额",IF(AND($C767&lt;&gt;"",ISNA(MATCH($C767,账户表,0))),"※账户不在基础资料里",IF(AND($G767&lt;&gt;"",ISNA(MATCH($G767,项目名表,0))),"※项目不在项目台账里",IF(AND(LEFT($F767,3)="成本-",$G767=""),"※成本类支出没填项目",IF(AND(LEFT($F767,3)="成本-",$H767&lt;&gt;"",N($K767)&gt;0,COUNTIFS(采购单!$B:$B,$B767,采购单!$C:$C,$H767,采购单!$L:$L,$K767)&gt;0),"※这笔可能和采购单重复了",""))))))))))</f>
        <v/>
      </c>
    </row>
    <row r="768">
      <c r="A768" s="17">
        <f>IF($B768="","",ROW()-3)</f>
        <v/>
      </c>
      <c r="B768" s="18" t="n">
        <v>46246</v>
      </c>
      <c r="C768" s="13" t="inlineStr">
        <is>
          <t>微信1</t>
        </is>
      </c>
      <c r="D768" s="13" t="inlineStr">
        <is>
          <t>支出</t>
        </is>
      </c>
      <c r="E768" s="13" t="inlineStr">
        <is>
          <t>运费/快递费</t>
        </is>
      </c>
      <c r="F768" s="17">
        <f>IF($E768="","",IFERROR(VLOOKUP($E768,类别归属,2,0),"※类别不在基础资料里"))</f>
        <v/>
      </c>
      <c r="G768" s="13" t="n"/>
      <c r="H768" s="13" t="n"/>
      <c r="I768" s="13" t="inlineStr">
        <is>
          <t>杭州炳秀湖州26-28线路</t>
        </is>
      </c>
      <c r="J768" s="14" t="n"/>
      <c r="K768" s="14" t="n">
        <v>43</v>
      </c>
      <c r="L768" s="19">
        <f>IF($C768="","",ROUND(IFERROR(VLOOKUP($C768,账户期初,2,0),0)+SUMIFS($J$4:J768,$C$4:C768,$C768)-SUMIFS($K$4:K768,$C$4:C768,$C768),2))</f>
        <v/>
      </c>
      <c r="M768" s="19">
        <f>IF($C768="","",ROUND(SUM(基础资料!$B$4:$B$13)+SUM($J$4:J768)-SUM($K$4:K768),2))</f>
        <v/>
      </c>
      <c r="N768" s="13" t="n"/>
      <c r="O768" s="13" t="n"/>
      <c r="P768" s="17">
        <f>IF($B768="","",IF($F768="※类别不在基础资料里","※费用类别不在基础资料里",IF(AND(N($J768)=0,N($K768)=0),"※这行没填金额",IF(AND(N($J768)&gt;0,N($K768)&gt;0),"※收入和支出不能同一行都填",IF(AND($D768="收入",N($J768)=0),"※收入行要填收入金额",IF(AND($D768="支出",N($K768)=0),"※支出行要填支出金额",IF(AND($C768&lt;&gt;"",ISNA(MATCH($C768,账户表,0))),"※账户不在基础资料里",IF(AND($G768&lt;&gt;"",ISNA(MATCH($G768,项目名表,0))),"※项目不在项目台账里",IF(AND(LEFT($F768,3)="成本-",$G768=""),"※成本类支出没填项目",IF(AND(LEFT($F768,3)="成本-",$H768&lt;&gt;"",N($K768)&gt;0,COUNTIFS(采购单!$B:$B,$B768,采购单!$C:$C,$H768,采购单!$L:$L,$K768)&gt;0),"※这笔可能和采购单重复了",""))))))))))</f>
        <v/>
      </c>
    </row>
    <row r="769">
      <c r="A769" s="17">
        <f>IF($B769="","",ROW()-3)</f>
        <v/>
      </c>
      <c r="B769" s="18" t="n">
        <v>46246</v>
      </c>
      <c r="C769" s="13" t="inlineStr">
        <is>
          <t>微信1</t>
        </is>
      </c>
      <c r="D769" s="13" t="inlineStr">
        <is>
          <t>支出</t>
        </is>
      </c>
      <c r="E769" s="13" t="inlineStr">
        <is>
          <t>车费/油费/过路费</t>
        </is>
      </c>
      <c r="F769" s="17">
        <f>IF($E769="","",IFERROR(VLOOKUP($E769,类别归属,2,0),"※类别不在基础资料里"))</f>
        <v/>
      </c>
      <c r="G769" s="13" t="n"/>
      <c r="H769" s="13" t="n"/>
      <c r="I769" s="13" t="inlineStr">
        <is>
          <t>杭宁高速</t>
        </is>
      </c>
      <c r="J769" s="14" t="n"/>
      <c r="K769" s="14" t="n">
        <v>18</v>
      </c>
      <c r="L769" s="19">
        <f>IF($C769="","",ROUND(IFERROR(VLOOKUP($C769,账户期初,2,0),0)+SUMIFS($J$4:J769,$C$4:C769,$C769)-SUMIFS($K$4:K769,$C$4:C769,$C769),2))</f>
        <v/>
      </c>
      <c r="M769" s="19">
        <f>IF($C769="","",ROUND(SUM(基础资料!$B$4:$B$13)+SUM($J$4:J769)-SUM($K$4:K769),2))</f>
        <v/>
      </c>
      <c r="N769" s="13" t="n"/>
      <c r="O769" s="13" t="n"/>
      <c r="P769" s="17">
        <f>IF($B769="","",IF($F769="※类别不在基础资料里","※费用类别不在基础资料里",IF(AND(N($J769)=0,N($K769)=0),"※这行没填金额",IF(AND(N($J769)&gt;0,N($K769)&gt;0),"※收入和支出不能同一行都填",IF(AND($D769="收入",N($J769)=0),"※收入行要填收入金额",IF(AND($D769="支出",N($K769)=0),"※支出行要填支出金额",IF(AND($C769&lt;&gt;"",ISNA(MATCH($C769,账户表,0))),"※账户不在基础资料里",IF(AND($G769&lt;&gt;"",ISNA(MATCH($G769,项目名表,0))),"※项目不在项目台账里",IF(AND(LEFT($F769,3)="成本-",$G769=""),"※成本类支出没填项目",IF(AND(LEFT($F769,3)="成本-",$H769&lt;&gt;"",N($K769)&gt;0,COUNTIFS(采购单!$B:$B,$B769,采购单!$C:$C,$H769,采购单!$L:$L,$K769)&gt;0),"※这笔可能和采购单重复了",""))))))))))</f>
        <v/>
      </c>
    </row>
    <row r="770">
      <c r="A770" s="17">
        <f>IF($B770="","",ROW()-3)</f>
        <v/>
      </c>
      <c r="B770" s="18" t="n">
        <v>46246</v>
      </c>
      <c r="C770" s="13" t="inlineStr">
        <is>
          <t>微信1</t>
        </is>
      </c>
      <c r="D770" s="13" t="inlineStr">
        <is>
          <t>支出</t>
        </is>
      </c>
      <c r="E770" s="13" t="inlineStr">
        <is>
          <t>车费/油费/过路费</t>
        </is>
      </c>
      <c r="F770" s="17">
        <f>IF($E770="","",IFERROR(VLOOKUP($E770,类别归属,2,0),"※类别不在基础资料里"))</f>
        <v/>
      </c>
      <c r="G770" s="13" t="n"/>
      <c r="H770" s="13" t="n"/>
      <c r="I770" s="13" t="inlineStr">
        <is>
          <t>杭宁高速</t>
        </is>
      </c>
      <c r="J770" s="14" t="n"/>
      <c r="K770" s="14" t="n">
        <v>12</v>
      </c>
      <c r="L770" s="19">
        <f>IF($C770="","",ROUND(IFERROR(VLOOKUP($C770,账户期初,2,0),0)+SUMIFS($J$4:J770,$C$4:C770,$C770)-SUMIFS($K$4:K770,$C$4:C770,$C770),2))</f>
        <v/>
      </c>
      <c r="M770" s="19">
        <f>IF($C770="","",ROUND(SUM(基础资料!$B$4:$B$13)+SUM($J$4:J770)-SUM($K$4:K770),2))</f>
        <v/>
      </c>
      <c r="N770" s="13" t="n"/>
      <c r="O770" s="13" t="n"/>
      <c r="P770" s="17">
        <f>IF($B770="","",IF($F770="※类别不在基础资料里","※费用类别不在基础资料里",IF(AND(N($J770)=0,N($K770)=0),"※这行没填金额",IF(AND(N($J770)&gt;0,N($K770)&gt;0),"※收入和支出不能同一行都填",IF(AND($D770="收入",N($J770)=0),"※收入行要填收入金额",IF(AND($D770="支出",N($K770)=0),"※支出行要填支出金额",IF(AND($C770&lt;&gt;"",ISNA(MATCH($C770,账户表,0))),"※账户不在基础资料里",IF(AND($G770&lt;&gt;"",ISNA(MATCH($G770,项目名表,0))),"※项目不在项目台账里",IF(AND(LEFT($F770,3)="成本-",$G770=""),"※成本类支出没填项目",IF(AND(LEFT($F770,3)="成本-",$H770&lt;&gt;"",N($K770)&gt;0,COUNTIFS(采购单!$B:$B,$B770,采购单!$C:$C,$H770,采购单!$L:$L,$K770)&gt;0),"※这笔可能和采购单重复了",""))))))))))</f>
        <v/>
      </c>
    </row>
    <row r="771">
      <c r="A771" s="17">
        <f>IF($B771="","",ROW()-3)</f>
        <v/>
      </c>
      <c r="B771" s="18" t="n">
        <v>46246</v>
      </c>
      <c r="C771" s="13" t="inlineStr">
        <is>
          <t>微信1</t>
        </is>
      </c>
      <c r="D771" s="13" t="inlineStr">
        <is>
          <t>支出</t>
        </is>
      </c>
      <c r="E771" s="13" t="inlineStr">
        <is>
          <t>广告推广</t>
        </is>
      </c>
      <c r="F771" s="17">
        <f>IF($E771="","",IFERROR(VLOOKUP($E771,类别归属,2,0),"※类别不在基础资料里"))</f>
        <v/>
      </c>
      <c r="G771" s="13" t="n"/>
      <c r="H771" s="13" t="n"/>
      <c r="I771" s="13" t="inlineStr">
        <is>
          <t>熬夜加500-代剪 (熬夜加500)</t>
        </is>
      </c>
      <c r="J771" s="14" t="n"/>
      <c r="K771" s="14" t="n">
        <v>20</v>
      </c>
      <c r="L771" s="19">
        <f>IF($C771="","",ROUND(IFERROR(VLOOKUP($C771,账户期初,2,0),0)+SUMIFS($J$4:J771,$C$4:C771,$C771)-SUMIFS($K$4:K771,$C$4:C771,$C771),2))</f>
        <v/>
      </c>
      <c r="M771" s="19">
        <f>IF($C771="","",ROUND(SUM(基础资料!$B$4:$B$13)+SUM($J$4:J771)-SUM($K$4:K771),2))</f>
        <v/>
      </c>
      <c r="N771" s="13" t="n"/>
      <c r="O771" s="13" t="n"/>
      <c r="P771" s="17">
        <f>IF($B771="","",IF($F771="※类别不在基础资料里","※费用类别不在基础资料里",IF(AND(N($J771)=0,N($K771)=0),"※这行没填金额",IF(AND(N($J771)&gt;0,N($K771)&gt;0),"※收入和支出不能同一行都填",IF(AND($D771="收入",N($J771)=0),"※收入行要填收入金额",IF(AND($D771="支出",N($K771)=0),"※支出行要填支出金额",IF(AND($C771&lt;&gt;"",ISNA(MATCH($C771,账户表,0))),"※账户不在基础资料里",IF(AND($G771&lt;&gt;"",ISNA(MATCH($G771,项目名表,0))),"※项目不在项目台账里",IF(AND(LEFT($F771,3)="成本-",$G771=""),"※成本类支出没填项目",IF(AND(LEFT($F771,3)="成本-",$H771&lt;&gt;"",N($K771)&gt;0,COUNTIFS(采购单!$B:$B,$B771,采购单!$C:$C,$H771,采购单!$L:$L,$K771)&gt;0),"※这笔可能和采购单重复了",""))))))))))</f>
        <v/>
      </c>
    </row>
    <row r="772">
      <c r="A772" s="17">
        <f>IF($B772="","",ROW()-3)</f>
        <v/>
      </c>
      <c r="B772" s="18" t="n">
        <v>46247</v>
      </c>
      <c r="C772" s="13" t="inlineStr">
        <is>
          <t>微信1</t>
        </is>
      </c>
      <c r="D772" s="13" t="inlineStr">
        <is>
          <t>支出</t>
        </is>
      </c>
      <c r="E772" s="13" t="inlineStr">
        <is>
          <t>车费/油费/过路费</t>
        </is>
      </c>
      <c r="F772" s="17">
        <f>IF($E772="","",IFERROR(VLOOKUP($E772,类别归属,2,0),"※类别不在基础资料里"))</f>
        <v/>
      </c>
      <c r="G772" s="13" t="n"/>
      <c r="H772" s="13" t="n"/>
      <c r="I772" s="13" t="inlineStr">
        <is>
          <t>滴滴出行</t>
        </is>
      </c>
      <c r="J772" s="14" t="n"/>
      <c r="K772" s="14" t="n">
        <v>32</v>
      </c>
      <c r="L772" s="19">
        <f>IF($C772="","",ROUND(IFERROR(VLOOKUP($C772,账户期初,2,0),0)+SUMIFS($J$4:J772,$C$4:C772,$C772)-SUMIFS($K$4:K772,$C$4:C772,$C772),2))</f>
        <v/>
      </c>
      <c r="M772" s="19">
        <f>IF($C772="","",ROUND(SUM(基础资料!$B$4:$B$13)+SUM($J$4:J772)-SUM($K$4:K772),2))</f>
        <v/>
      </c>
      <c r="N772" s="13" t="n"/>
      <c r="O772" s="13" t="n"/>
      <c r="P772" s="17">
        <f>IF($B772="","",IF($F772="※类别不在基础资料里","※费用类别不在基础资料里",IF(AND(N($J772)=0,N($K772)=0),"※这行没填金额",IF(AND(N($J772)&gt;0,N($K772)&gt;0),"※收入和支出不能同一行都填",IF(AND($D772="收入",N($J772)=0),"※收入行要填收入金额",IF(AND($D772="支出",N($K772)=0),"※支出行要填支出金额",IF(AND($C772&lt;&gt;"",ISNA(MATCH($C772,账户表,0))),"※账户不在基础资料里",IF(AND($G772&lt;&gt;"",ISNA(MATCH($G772,项目名表,0))),"※项目不在项目台账里",IF(AND(LEFT($F772,3)="成本-",$G772=""),"※成本类支出没填项目",IF(AND(LEFT($F772,3)="成本-",$H772&lt;&gt;"",N($K772)&gt;0,COUNTIFS(采购单!$B:$B,$B772,采购单!$C:$C,$H772,采购单!$L:$L,$K772)&gt;0),"※这笔可能和采购单重复了",""))))))))))</f>
        <v/>
      </c>
    </row>
    <row r="773">
      <c r="A773" s="17">
        <f>IF($B773="","",ROW()-3)</f>
        <v/>
      </c>
      <c r="B773" s="18" t="n">
        <v>46247</v>
      </c>
      <c r="C773" s="13" t="inlineStr">
        <is>
          <t>微信1</t>
        </is>
      </c>
      <c r="D773" s="13" t="inlineStr">
        <is>
          <t>支出</t>
        </is>
      </c>
      <c r="E773" s="13" t="inlineStr">
        <is>
          <t>广告推广</t>
        </is>
      </c>
      <c r="F773" s="17">
        <f>IF($E773="","",IFERROR(VLOOKUP($E773,类别归属,2,0),"※类别不在基础资料里"))</f>
        <v/>
      </c>
      <c r="G773" s="13" t="n"/>
      <c r="H773" s="13" t="n"/>
      <c r="I773" s="13" t="inlineStr">
        <is>
          <t>视频 (L.Apr⁰⁸.Aries)</t>
        </is>
      </c>
      <c r="J773" s="14" t="n"/>
      <c r="K773" s="14" t="n">
        <v>30</v>
      </c>
      <c r="L773" s="19">
        <f>IF($C773="","",ROUND(IFERROR(VLOOKUP($C773,账户期初,2,0),0)+SUMIFS($J$4:J773,$C$4:C773,$C773)-SUMIFS($K$4:K773,$C$4:C773,$C773),2))</f>
        <v/>
      </c>
      <c r="M773" s="19">
        <f>IF($C773="","",ROUND(SUM(基础资料!$B$4:$B$13)+SUM($J$4:J773)-SUM($K$4:K773),2))</f>
        <v/>
      </c>
      <c r="N773" s="13" t="n"/>
      <c r="O773" s="13" t="n"/>
      <c r="P773" s="17">
        <f>IF($B773="","",IF($F773="※类别不在基础资料里","※费用类别不在基础资料里",IF(AND(N($J773)=0,N($K773)=0),"※这行没填金额",IF(AND(N($J773)&gt;0,N($K773)&gt;0),"※收入和支出不能同一行都填",IF(AND($D773="收入",N($J773)=0),"※收入行要填收入金额",IF(AND($D773="支出",N($K773)=0),"※支出行要填支出金额",IF(AND($C773&lt;&gt;"",ISNA(MATCH($C773,账户表,0))),"※账户不在基础资料里",IF(AND($G773&lt;&gt;"",ISNA(MATCH($G773,项目名表,0))),"※项目不在项目台账里",IF(AND(LEFT($F773,3)="成本-",$G773=""),"※成本类支出没填项目",IF(AND(LEFT($F773,3)="成本-",$H773&lt;&gt;"",N($K773)&gt;0,COUNTIFS(采购单!$B:$B,$B773,采购单!$C:$C,$H773,采购单!$L:$L,$K773)&gt;0),"※这笔可能和采购单重复了",""))))))))))</f>
        <v/>
      </c>
    </row>
    <row r="774">
      <c r="A774" s="17">
        <f>IF($B774="","",ROW()-3)</f>
        <v/>
      </c>
      <c r="B774" s="18" t="n">
        <v>46247</v>
      </c>
      <c r="C774" s="13" t="inlineStr">
        <is>
          <t>微信1</t>
        </is>
      </c>
      <c r="D774" s="13" t="inlineStr">
        <is>
          <t>支出</t>
        </is>
      </c>
      <c r="E774" s="13" t="inlineStr">
        <is>
          <t>广告推广</t>
        </is>
      </c>
      <c r="F774" s="17">
        <f>IF($E774="","",IFERROR(VLOOKUP($E774,类别归属,2,0),"※类别不在基础资料里"))</f>
        <v/>
      </c>
      <c r="G774" s="13" t="n"/>
      <c r="H774" s="13" t="n"/>
      <c r="I774" s="13" t="inlineStr">
        <is>
          <t>熬夜加500-代剪 (熬夜加500)</t>
        </is>
      </c>
      <c r="J774" s="14" t="n"/>
      <c r="K774" s="14" t="n">
        <v>20</v>
      </c>
      <c r="L774" s="19">
        <f>IF($C774="","",ROUND(IFERROR(VLOOKUP($C774,账户期初,2,0),0)+SUMIFS($J$4:J774,$C$4:C774,$C774)-SUMIFS($K$4:K774,$C$4:C774,$C774),2))</f>
        <v/>
      </c>
      <c r="M774" s="19">
        <f>IF($C774="","",ROUND(SUM(基础资料!$B$4:$B$13)+SUM($J$4:J774)-SUM($K$4:K774),2))</f>
        <v/>
      </c>
      <c r="N774" s="13" t="n"/>
      <c r="O774" s="13" t="n"/>
      <c r="P774" s="17">
        <f>IF($B774="","",IF($F774="※类别不在基础资料里","※费用类别不在基础资料里",IF(AND(N($J774)=0,N($K774)=0),"※这行没填金额",IF(AND(N($J774)&gt;0,N($K774)&gt;0),"※收入和支出不能同一行都填",IF(AND($D774="收入",N($J774)=0),"※收入行要填收入金额",IF(AND($D774="支出",N($K774)=0),"※支出行要填支出金额",IF(AND($C774&lt;&gt;"",ISNA(MATCH($C774,账户表,0))),"※账户不在基础资料里",IF(AND($G774&lt;&gt;"",ISNA(MATCH($G774,项目名表,0))),"※项目不在项目台账里",IF(AND(LEFT($F774,3)="成本-",$G774=""),"※成本类支出没填项目",IF(AND(LEFT($F774,3)="成本-",$H774&lt;&gt;"",N($K774)&gt;0,COUNTIFS(采购单!$B:$B,$B774,采购单!$C:$C,$H774,采购单!$L:$L,$K774)&gt;0),"※这笔可能和采购单重复了",""))))))))))</f>
        <v/>
      </c>
    </row>
    <row r="775">
      <c r="A775" s="17">
        <f>IF($B775="","",ROW()-3)</f>
        <v/>
      </c>
      <c r="B775" s="18" t="n">
        <v>46247</v>
      </c>
      <c r="C775" s="13" t="inlineStr">
        <is>
          <t>微信1</t>
        </is>
      </c>
      <c r="D775" s="13" t="inlineStr">
        <is>
          <t>支出</t>
        </is>
      </c>
      <c r="E775" s="13" t="inlineStr">
        <is>
          <t>运费/快递费</t>
        </is>
      </c>
      <c r="F775" s="17">
        <f>IF($E775="","",IFERROR(VLOOKUP($E775,类别归属,2,0),"※类别不在基础资料里"))</f>
        <v/>
      </c>
      <c r="G775" s="13" t="n"/>
      <c r="H775" s="13" t="n"/>
      <c r="I775" s="13" t="inlineStr">
        <is>
          <t>杭州炳秀湖州26-28线路</t>
        </is>
      </c>
      <c r="J775" s="14" t="n"/>
      <c r="K775" s="14" t="n">
        <v>15</v>
      </c>
      <c r="L775" s="19">
        <f>IF($C775="","",ROUND(IFERROR(VLOOKUP($C775,账户期初,2,0),0)+SUMIFS($J$4:J775,$C$4:C775,$C775)-SUMIFS($K$4:K775,$C$4:C775,$C775),2))</f>
        <v/>
      </c>
      <c r="M775" s="19">
        <f>IF($C775="","",ROUND(SUM(基础资料!$B$4:$B$13)+SUM($J$4:J775)-SUM($K$4:K775),2))</f>
        <v/>
      </c>
      <c r="N775" s="13" t="n"/>
      <c r="O775" s="13" t="n"/>
      <c r="P775" s="17">
        <f>IF($B775="","",IF($F775="※类别不在基础资料里","※费用类别不在基础资料里",IF(AND(N($J775)=0,N($K775)=0),"※这行没填金额",IF(AND(N($J775)&gt;0,N($K775)&gt;0),"※收入和支出不能同一行都填",IF(AND($D775="收入",N($J775)=0),"※收入行要填收入金额",IF(AND($D775="支出",N($K775)=0),"※支出行要填支出金额",IF(AND($C775&lt;&gt;"",ISNA(MATCH($C775,账户表,0))),"※账户不在基础资料里",IF(AND($G775&lt;&gt;"",ISNA(MATCH($G775,项目名表,0))),"※项目不在项目台账里",IF(AND(LEFT($F775,3)="成本-",$G775=""),"※成本类支出没填项目",IF(AND(LEFT($F775,3)="成本-",$H775&lt;&gt;"",N($K775)&gt;0,COUNTIFS(采购单!$B:$B,$B775,采购单!$C:$C,$H775,采购单!$L:$L,$K775)&gt;0),"※这笔可能和采购单重复了",""))))))))))</f>
        <v/>
      </c>
    </row>
    <row r="776">
      <c r="A776" s="17">
        <f>IF($B776="","",ROW()-3)</f>
        <v/>
      </c>
      <c r="B776" s="18" t="n">
        <v>46247</v>
      </c>
      <c r="C776" s="13" t="inlineStr">
        <is>
          <t>微信1</t>
        </is>
      </c>
      <c r="D776" s="13" t="inlineStr">
        <is>
          <t>支出</t>
        </is>
      </c>
      <c r="E776" s="13" t="inlineStr">
        <is>
          <t>待分类</t>
        </is>
      </c>
      <c r="F776" s="17">
        <f>IF($E776="","",IFERROR(VLOOKUP($E776,类别归属,2,0),"※类别不在基础资料里"))</f>
        <v/>
      </c>
      <c r="G776" s="13" t="n"/>
      <c r="H776" s="13" t="n"/>
      <c r="I776" s="13" t="inlineStr">
        <is>
          <t>凌宇 (🐟)</t>
        </is>
      </c>
      <c r="J776" s="14" t="n"/>
      <c r="K776" s="14" t="n">
        <v>548.8</v>
      </c>
      <c r="L776" s="19">
        <f>IF($C776="","",ROUND(IFERROR(VLOOKUP($C776,账户期初,2,0),0)+SUMIFS($J$4:J776,$C$4:C776,$C776)-SUMIFS($K$4:K776,$C$4:C776,$C776),2))</f>
        <v/>
      </c>
      <c r="M776" s="19">
        <f>IF($C776="","",ROUND(SUM(基础资料!$B$4:$B$13)+SUM($J$4:J776)-SUM($K$4:K776),2))</f>
        <v/>
      </c>
      <c r="N776" s="13" t="n"/>
      <c r="O776" s="13" t="n"/>
      <c r="P776" s="17">
        <f>IF($B776="","",IF($F776="※类别不在基础资料里","※费用类别不在基础资料里",IF(AND(N($J776)=0,N($K776)=0),"※这行没填金额",IF(AND(N($J776)&gt;0,N($K776)&gt;0),"※收入和支出不能同一行都填",IF(AND($D776="收入",N($J776)=0),"※收入行要填收入金额",IF(AND($D776="支出",N($K776)=0),"※支出行要填支出金额",IF(AND($C776&lt;&gt;"",ISNA(MATCH($C776,账户表,0))),"※账户不在基础资料里",IF(AND($G776&lt;&gt;"",ISNA(MATCH($G776,项目名表,0))),"※项目不在项目台账里",IF(AND(LEFT($F776,3)="成本-",$G776=""),"※成本类支出没填项目",IF(AND(LEFT($F776,3)="成本-",$H776&lt;&gt;"",N($K776)&gt;0,COUNTIFS(采购单!$B:$B,$B776,采购单!$C:$C,$H776,采购单!$L:$L,$K776)&gt;0),"※这笔可能和采购单重复了",""))))))))))</f>
        <v/>
      </c>
    </row>
    <row r="777">
      <c r="A777" s="17">
        <f>IF($B777="","",ROW()-3)</f>
        <v/>
      </c>
      <c r="B777" s="18" t="n">
        <v>46247</v>
      </c>
      <c r="C777" s="13" t="inlineStr">
        <is>
          <t>微信1</t>
        </is>
      </c>
      <c r="D777" s="13" t="inlineStr">
        <is>
          <t>收入</t>
        </is>
      </c>
      <c r="E777" s="13" t="inlineStr">
        <is>
          <t>待分类</t>
        </is>
      </c>
      <c r="F777" s="17">
        <f>IF($E777="","",IFERROR(VLOOKUP($E777,类别归属,2,0),"※类别不在基础资料里"))</f>
        <v/>
      </c>
      <c r="G777" s="13" t="n"/>
      <c r="H777" s="13" t="n"/>
      <c r="I777" s="13" t="inlineStr">
        <is>
          <t>青禾里烧烤</t>
        </is>
      </c>
      <c r="J777" s="14" t="n">
        <v>1788</v>
      </c>
      <c r="K777" s="14" t="n"/>
      <c r="L777" s="19">
        <f>IF($C777="","",ROUND(IFERROR(VLOOKUP($C777,账户期初,2,0),0)+SUMIFS($J$4:J777,$C$4:C777,$C777)-SUMIFS($K$4:K777,$C$4:C777,$C777),2))</f>
        <v/>
      </c>
      <c r="M777" s="19">
        <f>IF($C777="","",ROUND(SUM(基础资料!$B$4:$B$13)+SUM($J$4:J777)-SUM($K$4:K777),2))</f>
        <v/>
      </c>
      <c r="N777" s="13" t="n"/>
      <c r="O777" s="13" t="n"/>
      <c r="P777" s="17">
        <f>IF($B777="","",IF($F777="※类别不在基础资料里","※费用类别不在基础资料里",IF(AND(N($J777)=0,N($K777)=0),"※这行没填金额",IF(AND(N($J777)&gt;0,N($K777)&gt;0),"※收入和支出不能同一行都填",IF(AND($D777="收入",N($J777)=0),"※收入行要填收入金额",IF(AND($D777="支出",N($K777)=0),"※支出行要填支出金额",IF(AND($C777&lt;&gt;"",ISNA(MATCH($C777,账户表,0))),"※账户不在基础资料里",IF(AND($G777&lt;&gt;"",ISNA(MATCH($G777,项目名表,0))),"※项目不在项目台账里",IF(AND(LEFT($F777,3)="成本-",$G777=""),"※成本类支出没填项目",IF(AND(LEFT($F777,3)="成本-",$H777&lt;&gt;"",N($K777)&gt;0,COUNTIFS(采购单!$B:$B,$B777,采购单!$C:$C,$H777,采购单!$L:$L,$K777)&gt;0),"※这笔可能和采购单重复了",""))))))))))</f>
        <v/>
      </c>
    </row>
    <row r="778">
      <c r="A778" s="17">
        <f>IF($B778="","",ROW()-3)</f>
        <v/>
      </c>
      <c r="B778" s="18" t="n">
        <v>46248</v>
      </c>
      <c r="C778" s="13" t="inlineStr">
        <is>
          <t>微信1</t>
        </is>
      </c>
      <c r="D778" s="13" t="inlineStr">
        <is>
          <t>支出</t>
        </is>
      </c>
      <c r="E778" s="13" t="inlineStr">
        <is>
          <t>主材采购</t>
        </is>
      </c>
      <c r="F778" s="17">
        <f>IF($E778="","",IFERROR(VLOOKUP($E778,类别归属,2,0),"※类别不在基础资料里"))</f>
        <v/>
      </c>
      <c r="G778" s="13" t="n"/>
      <c r="H778" s="13" t="n"/>
      <c r="I778" s="13" t="inlineStr">
        <is>
          <t>浙江孚泰6.8米UV广告王姐</t>
        </is>
      </c>
      <c r="J778" s="14" t="n"/>
      <c r="K778" s="14" t="n">
        <v>492</v>
      </c>
      <c r="L778" s="19">
        <f>IF($C778="","",ROUND(IFERROR(VLOOKUP($C778,账户期初,2,0),0)+SUMIFS($J$4:J778,$C$4:C778,$C778)-SUMIFS($K$4:K778,$C$4:C778,$C778),2))</f>
        <v/>
      </c>
      <c r="M778" s="19">
        <f>IF($C778="","",ROUND(SUM(基础资料!$B$4:$B$13)+SUM($J$4:J778)-SUM($K$4:K778),2))</f>
        <v/>
      </c>
      <c r="N778" s="13" t="n"/>
      <c r="O778" s="13" t="n"/>
      <c r="P778" s="17">
        <f>IF($B778="","",IF($F778="※类别不在基础资料里","※费用类别不在基础资料里",IF(AND(N($J778)=0,N($K778)=0),"※这行没填金额",IF(AND(N($J778)&gt;0,N($K778)&gt;0),"※收入和支出不能同一行都填",IF(AND($D778="收入",N($J778)=0),"※收入行要填收入金额",IF(AND($D778="支出",N($K778)=0),"※支出行要填支出金额",IF(AND($C778&lt;&gt;"",ISNA(MATCH($C778,账户表,0))),"※账户不在基础资料里",IF(AND($G778&lt;&gt;"",ISNA(MATCH($G778,项目名表,0))),"※项目不在项目台账里",IF(AND(LEFT($F778,3)="成本-",$G778=""),"※成本类支出没填项目",IF(AND(LEFT($F778,3)="成本-",$H778&lt;&gt;"",N($K778)&gt;0,COUNTIFS(采购单!$B:$B,$B778,采购单!$C:$C,$H778,采购单!$L:$L,$K778)&gt;0),"※这笔可能和采购单重复了",""))))))))))</f>
        <v/>
      </c>
    </row>
    <row r="779">
      <c r="A779" s="17">
        <f>IF($B779="","",ROW()-3)</f>
        <v/>
      </c>
      <c r="B779" s="18" t="n">
        <v>46248</v>
      </c>
      <c r="C779" s="13" t="inlineStr">
        <is>
          <t>微信1</t>
        </is>
      </c>
      <c r="D779" s="13" t="inlineStr">
        <is>
          <t>收入</t>
        </is>
      </c>
      <c r="E779" s="13" t="inlineStr">
        <is>
          <t>待分类</t>
        </is>
      </c>
      <c r="F779" s="17">
        <f>IF($E779="","",IFERROR(VLOOKUP($E779,类别归属,2,0),"※类别不在基础资料里"))</f>
        <v/>
      </c>
      <c r="G779" s="13" t="n"/>
      <c r="H779" s="13" t="n"/>
      <c r="I779" s="13" t="inlineStr">
        <is>
          <t>FAIZ</t>
        </is>
      </c>
      <c r="J779" s="14" t="n">
        <v>3700</v>
      </c>
      <c r="K779" s="14" t="n"/>
      <c r="L779" s="19">
        <f>IF($C779="","",ROUND(IFERROR(VLOOKUP($C779,账户期初,2,0),0)+SUMIFS($J$4:J779,$C$4:C779,$C779)-SUMIFS($K$4:K779,$C$4:C779,$C779),2))</f>
        <v/>
      </c>
      <c r="M779" s="19">
        <f>IF($C779="","",ROUND(SUM(基础资料!$B$4:$B$13)+SUM($J$4:J779)-SUM($K$4:K779),2))</f>
        <v/>
      </c>
      <c r="N779" s="13" t="n"/>
      <c r="O779" s="13" t="n"/>
      <c r="P779" s="17">
        <f>IF($B779="","",IF($F779="※类别不在基础资料里","※费用类别不在基础资料里",IF(AND(N($J779)=0,N($K779)=0),"※这行没填金额",IF(AND(N($J779)&gt;0,N($K779)&gt;0),"※收入和支出不能同一行都填",IF(AND($D779="收入",N($J779)=0),"※收入行要填收入金额",IF(AND($D779="支出",N($K779)=0),"※支出行要填支出金额",IF(AND($C779&lt;&gt;"",ISNA(MATCH($C779,账户表,0))),"※账户不在基础资料里",IF(AND($G779&lt;&gt;"",ISNA(MATCH($G779,项目名表,0))),"※项目不在项目台账里",IF(AND(LEFT($F779,3)="成本-",$G779=""),"※成本类支出没填项目",IF(AND(LEFT($F779,3)="成本-",$H779&lt;&gt;"",N($K779)&gt;0,COUNTIFS(采购单!$B:$B,$B779,采购单!$C:$C,$H779,采购单!$L:$L,$K779)&gt;0),"※这笔可能和采购单重复了",""))))))))))</f>
        <v/>
      </c>
    </row>
    <row r="780">
      <c r="A780" s="17">
        <f>IF($B780="","",ROW()-3)</f>
        <v/>
      </c>
      <c r="B780" s="18" t="n">
        <v>46248</v>
      </c>
      <c r="C780" s="13" t="inlineStr">
        <is>
          <t>微信1</t>
        </is>
      </c>
      <c r="D780" s="13" t="inlineStr">
        <is>
          <t>支出</t>
        </is>
      </c>
      <c r="E780" s="13" t="inlineStr">
        <is>
          <t>广告推广</t>
        </is>
      </c>
      <c r="F780" s="17">
        <f>IF($E780="","",IFERROR(VLOOKUP($E780,类别归属,2,0),"※类别不在基础资料里"))</f>
        <v/>
      </c>
      <c r="G780" s="13" t="n"/>
      <c r="H780" s="13" t="n"/>
      <c r="I780" s="13" t="inlineStr">
        <is>
          <t>熬夜加500-代剪 (熬夜加500)</t>
        </is>
      </c>
      <c r="J780" s="14" t="n"/>
      <c r="K780" s="14" t="n">
        <v>20</v>
      </c>
      <c r="L780" s="19">
        <f>IF($C780="","",ROUND(IFERROR(VLOOKUP($C780,账户期初,2,0),0)+SUMIFS($J$4:J780,$C$4:C780,$C780)-SUMIFS($K$4:K780,$C$4:C780,$C780),2))</f>
        <v/>
      </c>
      <c r="M780" s="19">
        <f>IF($C780="","",ROUND(SUM(基础资料!$B$4:$B$13)+SUM($J$4:J780)-SUM($K$4:K780),2))</f>
        <v/>
      </c>
      <c r="N780" s="13" t="n"/>
      <c r="O780" s="13" t="n"/>
      <c r="P780" s="17">
        <f>IF($B780="","",IF($F780="※类别不在基础资料里","※费用类别不在基础资料里",IF(AND(N($J780)=0,N($K780)=0),"※这行没填金额",IF(AND(N($J780)&gt;0,N($K780)&gt;0),"※收入和支出不能同一行都填",IF(AND($D780="收入",N($J780)=0),"※收入行要填收入金额",IF(AND($D780="支出",N($K780)=0),"※支出行要填支出金额",IF(AND($C780&lt;&gt;"",ISNA(MATCH($C780,账户表,0))),"※账户不在基础资料里",IF(AND($G780&lt;&gt;"",ISNA(MATCH($G780,项目名表,0))),"※项目不在项目台账里",IF(AND(LEFT($F780,3)="成本-",$G780=""),"※成本类支出没填项目",IF(AND(LEFT($F780,3)="成本-",$H780&lt;&gt;"",N($K780)&gt;0,COUNTIFS(采购单!$B:$B,$B780,采购单!$C:$C,$H780,采购单!$L:$L,$K780)&gt;0),"※这笔可能和采购单重复了",""))))))))))</f>
        <v/>
      </c>
    </row>
    <row r="781">
      <c r="A781" s="17">
        <f>IF($B781="","",ROW()-3)</f>
        <v/>
      </c>
      <c r="B781" s="18" t="n">
        <v>46248</v>
      </c>
      <c r="C781" s="13" t="inlineStr">
        <is>
          <t>微信1</t>
        </is>
      </c>
      <c r="D781" s="13" t="inlineStr">
        <is>
          <t>支出</t>
        </is>
      </c>
      <c r="E781" s="13" t="inlineStr">
        <is>
          <t>广告推广</t>
        </is>
      </c>
      <c r="F781" s="17">
        <f>IF($E781="","",IFERROR(VLOOKUP($E781,类别归属,2,0),"※类别不在基础资料里"))</f>
        <v/>
      </c>
      <c r="G781" s="13" t="n"/>
      <c r="H781" s="13" t="n"/>
      <c r="I781" s="13" t="inlineStr">
        <is>
          <t>视频 (L.Apr⁰⁸.Aries)</t>
        </is>
      </c>
      <c r="J781" s="14" t="n"/>
      <c r="K781" s="14" t="n">
        <v>30</v>
      </c>
      <c r="L781" s="19">
        <f>IF($C781="","",ROUND(IFERROR(VLOOKUP($C781,账户期初,2,0),0)+SUMIFS($J$4:J781,$C$4:C781,$C781)-SUMIFS($K$4:K781,$C$4:C781,$C781),2))</f>
        <v/>
      </c>
      <c r="M781" s="19">
        <f>IF($C781="","",ROUND(SUM(基础资料!$B$4:$B$13)+SUM($J$4:J781)-SUM($K$4:K781),2))</f>
        <v/>
      </c>
      <c r="N781" s="13" t="n"/>
      <c r="O781" s="13" t="n"/>
      <c r="P781" s="17">
        <f>IF($B781="","",IF($F781="※类别不在基础资料里","※费用类别不在基础资料里",IF(AND(N($J781)=0,N($K781)=0),"※这行没填金额",IF(AND(N($J781)&gt;0,N($K781)&gt;0),"※收入和支出不能同一行都填",IF(AND($D781="收入",N($J781)=0),"※收入行要填收入金额",IF(AND($D781="支出",N($K781)=0),"※支出行要填支出金额",IF(AND($C781&lt;&gt;"",ISNA(MATCH($C781,账户表,0))),"※账户不在基础资料里",IF(AND($G781&lt;&gt;"",ISNA(MATCH($G781,项目名表,0))),"※项目不在项目台账里",IF(AND(LEFT($F781,3)="成本-",$G781=""),"※成本类支出没填项目",IF(AND(LEFT($F781,3)="成本-",$H781&lt;&gt;"",N($K781)&gt;0,COUNTIFS(采购单!$B:$B,$B781,采购单!$C:$C,$H781,采购单!$L:$L,$K781)&gt;0),"※这笔可能和采购单重复了",""))))))))))</f>
        <v/>
      </c>
    </row>
    <row r="782">
      <c r="A782" s="17">
        <f>IF($B782="","",ROW()-3)</f>
        <v/>
      </c>
      <c r="B782" s="18" t="n">
        <v>46248</v>
      </c>
      <c r="C782" s="13" t="inlineStr">
        <is>
          <t>微信1</t>
        </is>
      </c>
      <c r="D782" s="13" t="inlineStr">
        <is>
          <t>支出</t>
        </is>
      </c>
      <c r="E782" s="13" t="inlineStr">
        <is>
          <t>待分类</t>
        </is>
      </c>
      <c r="F782" s="17">
        <f>IF($E782="","",IFERROR(VLOOKUP($E782,类别归属,2,0),"※类别不在基础资料里"))</f>
        <v/>
      </c>
      <c r="G782" s="13" t="n"/>
      <c r="H782" s="13" t="n"/>
      <c r="I782" s="13" t="inlineStr">
        <is>
          <t>广东十万坊广告传媒有限公司</t>
        </is>
      </c>
      <c r="J782" s="14" t="n"/>
      <c r="K782" s="14" t="n">
        <v>274</v>
      </c>
      <c r="L782" s="19">
        <f>IF($C782="","",ROUND(IFERROR(VLOOKUP($C782,账户期初,2,0),0)+SUMIFS($J$4:J782,$C$4:C782,$C782)-SUMIFS($K$4:K782,$C$4:C782,$C782),2))</f>
        <v/>
      </c>
      <c r="M782" s="19">
        <f>IF($C782="","",ROUND(SUM(基础资料!$B$4:$B$13)+SUM($J$4:J782)-SUM($K$4:K782),2))</f>
        <v/>
      </c>
      <c r="N782" s="13" t="n"/>
      <c r="O782" s="13" t="inlineStr">
        <is>
          <t>8月14日凌宇实存5684.75</t>
        </is>
      </c>
      <c r="P782" s="17">
        <f>IF($B782="","",IF($F782="※类别不在基础资料里","※费用类别不在基础资料里",IF(AND(N($J782)=0,N($K782)=0),"※这行没填金额",IF(AND(N($J782)&gt;0,N($K782)&gt;0),"※收入和支出不能同一行都填",IF(AND($D782="收入",N($J782)=0),"※收入行要填收入金额",IF(AND($D782="支出",N($K782)=0),"※支出行要填支出金额",IF(AND($C782&lt;&gt;"",ISNA(MATCH($C782,账户表,0))),"※账户不在基础资料里",IF(AND($G782&lt;&gt;"",ISNA(MATCH($G782,项目名表,0))),"※项目不在项目台账里",IF(AND(LEFT($F782,3)="成本-",$G782=""),"※成本类支出没填项目",IF(AND(LEFT($F782,3)="成本-",$H782&lt;&gt;"",N($K782)&gt;0,COUNTIFS(采购单!$B:$B,$B782,采购单!$C:$C,$H782,采购单!$L:$L,$K782)&gt;0),"※这笔可能和采购单重复了",""))))))))))</f>
        <v/>
      </c>
    </row>
    <row r="783">
      <c r="A783" s="17">
        <f>IF($B783="","",ROW()-3)</f>
        <v/>
      </c>
      <c r="B783" s="18" t="n">
        <v>46250</v>
      </c>
      <c r="C783" s="13" t="inlineStr">
        <is>
          <t>微信1</t>
        </is>
      </c>
      <c r="D783" s="13" t="inlineStr">
        <is>
          <t>支出</t>
        </is>
      </c>
      <c r="E783" s="13" t="inlineStr">
        <is>
          <t>广告推广</t>
        </is>
      </c>
      <c r="F783" s="17">
        <f>IF($E783="","",IFERROR(VLOOKUP($E783,类别归属,2,0),"※类别不在基础资料里"))</f>
        <v/>
      </c>
      <c r="G783" s="13" t="n"/>
      <c r="H783" s="13" t="n"/>
      <c r="I783" s="13" t="inlineStr">
        <is>
          <t>视频 (Solace)</t>
        </is>
      </c>
      <c r="J783" s="14" t="n"/>
      <c r="K783" s="14" t="n">
        <v>60</v>
      </c>
      <c r="L783" s="19">
        <f>IF($C783="","",ROUND(IFERROR(VLOOKUP($C783,账户期初,2,0),0)+SUMIFS($J$4:J783,$C$4:C783,$C783)-SUMIFS($K$4:K783,$C$4:C783,$C783),2))</f>
        <v/>
      </c>
      <c r="M783" s="19">
        <f>IF($C783="","",ROUND(SUM(基础资料!$B$4:$B$13)+SUM($J$4:J783)-SUM($K$4:K783),2))</f>
        <v/>
      </c>
      <c r="N783" s="13" t="n"/>
      <c r="O783" s="13" t="n"/>
      <c r="P783" s="17">
        <f>IF($B783="","",IF($F783="※类别不在基础资料里","※费用类别不在基础资料里",IF(AND(N($J783)=0,N($K783)=0),"※这行没填金额",IF(AND(N($J783)&gt;0,N($K783)&gt;0),"※收入和支出不能同一行都填",IF(AND($D783="收入",N($J783)=0),"※收入行要填收入金额",IF(AND($D783="支出",N($K783)=0),"※支出行要填支出金额",IF(AND($C783&lt;&gt;"",ISNA(MATCH($C783,账户表,0))),"※账户不在基础资料里",IF(AND($G783&lt;&gt;"",ISNA(MATCH($G783,项目名表,0))),"※项目不在项目台账里",IF(AND(LEFT($F783,3)="成本-",$G783=""),"※成本类支出没填项目",IF(AND(LEFT($F783,3)="成本-",$H783&lt;&gt;"",N($K783)&gt;0,COUNTIFS(采购单!$B:$B,$B783,采购单!$C:$C,$H783,采购单!$L:$L,$K783)&gt;0),"※这笔可能和采购单重复了",""))))))))))</f>
        <v/>
      </c>
    </row>
    <row r="784">
      <c r="A784" s="17">
        <f>IF($B784="","",ROW()-3)</f>
        <v/>
      </c>
      <c r="B784" s="18" t="n">
        <v>46250</v>
      </c>
      <c r="C784" s="13" t="inlineStr">
        <is>
          <t>微信1</t>
        </is>
      </c>
      <c r="D784" s="13" t="inlineStr">
        <is>
          <t>支出</t>
        </is>
      </c>
      <c r="E784" s="13" t="inlineStr">
        <is>
          <t>待分类</t>
        </is>
      </c>
      <c r="F784" s="17">
        <f>IF($E784="","",IFERROR(VLOOKUP($E784,类别归属,2,0),"※类别不在基础资料里"))</f>
        <v/>
      </c>
      <c r="G784" s="13" t="n"/>
      <c r="H784" s="13" t="n"/>
      <c r="I784" s="13" t="inlineStr">
        <is>
          <t>凌宇 (🐟)</t>
        </is>
      </c>
      <c r="J784" s="14" t="n"/>
      <c r="K784" s="14" t="n">
        <v>1000</v>
      </c>
      <c r="L784" s="19">
        <f>IF($C784="","",ROUND(IFERROR(VLOOKUP($C784,账户期初,2,0),0)+SUMIFS($J$4:J784,$C$4:C784,$C784)-SUMIFS($K$4:K784,$C$4:C784,$C784),2))</f>
        <v/>
      </c>
      <c r="M784" s="19">
        <f>IF($C784="","",ROUND(SUM(基础资料!$B$4:$B$13)+SUM($J$4:J784)-SUM($K$4:K784),2))</f>
        <v/>
      </c>
      <c r="N784" s="13" t="n"/>
      <c r="O784" s="13" t="n"/>
      <c r="P784" s="17">
        <f>IF($B784="","",IF($F784="※类别不在基础资料里","※费用类别不在基础资料里",IF(AND(N($J784)=0,N($K784)=0),"※这行没填金额",IF(AND(N($J784)&gt;0,N($K784)&gt;0),"※收入和支出不能同一行都填",IF(AND($D784="收入",N($J784)=0),"※收入行要填收入金额",IF(AND($D784="支出",N($K784)=0),"※支出行要填支出金额",IF(AND($C784&lt;&gt;"",ISNA(MATCH($C784,账户表,0))),"※账户不在基础资料里",IF(AND($G784&lt;&gt;"",ISNA(MATCH($G784,项目名表,0))),"※项目不在项目台账里",IF(AND(LEFT($F784,3)="成本-",$G784=""),"※成本类支出没填项目",IF(AND(LEFT($F784,3)="成本-",$H784&lt;&gt;"",N($K784)&gt;0,COUNTIFS(采购单!$B:$B,$B784,采购单!$C:$C,$H784,采购单!$L:$L,$K784)&gt;0),"※这笔可能和采购单重复了",""))))))))))</f>
        <v/>
      </c>
    </row>
    <row r="785">
      <c r="A785" s="17">
        <f>IF($B785="","",ROW()-3)</f>
        <v/>
      </c>
      <c r="B785" s="18" t="n">
        <v>46250</v>
      </c>
      <c r="C785" s="13" t="inlineStr">
        <is>
          <t>微信1</t>
        </is>
      </c>
      <c r="D785" s="13" t="inlineStr">
        <is>
          <t>支出</t>
        </is>
      </c>
      <c r="E785" s="13" t="inlineStr">
        <is>
          <t>主材采购</t>
        </is>
      </c>
      <c r="F785" s="17">
        <f>IF($E785="","",IFERROR(VLOOKUP($E785,类别归属,2,0),"※类别不在基础资料里"))</f>
        <v/>
      </c>
      <c r="G785" s="13" t="n"/>
      <c r="H785" s="13" t="inlineStr">
        <is>
          <t>安吉鑫龙</t>
        </is>
      </c>
      <c r="I785" s="13" t="inlineStr">
        <is>
          <t>安吉鑫龙 6.8米UV💞甜蜜方糖</t>
        </is>
      </c>
      <c r="J785" s="14" t="n"/>
      <c r="K785" s="14" t="n">
        <v>650</v>
      </c>
      <c r="L785" s="19">
        <f>IF($C785="","",ROUND(IFERROR(VLOOKUP($C785,账户期初,2,0),0)+SUMIFS($J$4:J785,$C$4:C785,$C785)-SUMIFS($K$4:K785,$C$4:C785,$C785),2))</f>
        <v/>
      </c>
      <c r="M785" s="19">
        <f>IF($C785="","",ROUND(SUM(基础资料!$B$4:$B$13)+SUM($J$4:J785)-SUM($K$4:K785),2))</f>
        <v/>
      </c>
      <c r="N785" s="13" t="n"/>
      <c r="O785" s="13" t="n"/>
      <c r="P785" s="17">
        <f>IF($B785="","",IF($F785="※类别不在基础资料里","※费用类别不在基础资料里",IF(AND(N($J785)=0,N($K785)=0),"※这行没填金额",IF(AND(N($J785)&gt;0,N($K785)&gt;0),"※收入和支出不能同一行都填",IF(AND($D785="收入",N($J785)=0),"※收入行要填收入金额",IF(AND($D785="支出",N($K785)=0),"※支出行要填支出金额",IF(AND($C785&lt;&gt;"",ISNA(MATCH($C785,账户表,0))),"※账户不在基础资料里",IF(AND($G785&lt;&gt;"",ISNA(MATCH($G785,项目名表,0))),"※项目不在项目台账里",IF(AND(LEFT($F785,3)="成本-",$G785=""),"※成本类支出没填项目",IF(AND(LEFT($F785,3)="成本-",$H785&lt;&gt;"",N($K785)&gt;0,COUNTIFS(采购单!$B:$B,$B785,采购单!$C:$C,$H785,采购单!$L:$L,$K785)&gt;0),"※这笔可能和采购单重复了",""))))))))))</f>
        <v/>
      </c>
    </row>
    <row r="786">
      <c r="A786" s="17">
        <f>IF($B786="","",ROW()-3)</f>
        <v/>
      </c>
      <c r="B786" s="18" t="n">
        <v>46250</v>
      </c>
      <c r="C786" s="13" t="inlineStr">
        <is>
          <t>微信1</t>
        </is>
      </c>
      <c r="D786" s="13" t="inlineStr">
        <is>
          <t>收入</t>
        </is>
      </c>
      <c r="E786" s="13" t="inlineStr">
        <is>
          <t>主材采购</t>
        </is>
      </c>
      <c r="F786" s="17">
        <f>IF($E786="","",IFERROR(VLOOKUP($E786,类别归属,2,0),"※类别不在基础资料里"))</f>
        <v/>
      </c>
      <c r="G786" s="13" t="n"/>
      <c r="H786" s="13" t="inlineStr">
        <is>
          <t>安吉鑫龙</t>
        </is>
      </c>
      <c r="I786" s="13" t="inlineStr">
        <is>
          <t>安吉鑫龙 6.8米UV💞甜蜜方糖</t>
        </is>
      </c>
      <c r="J786" s="14" t="n">
        <v>50</v>
      </c>
      <c r="K786" s="14" t="n"/>
      <c r="L786" s="19">
        <f>IF($C786="","",ROUND(IFERROR(VLOOKUP($C786,账户期初,2,0),0)+SUMIFS($J$4:J786,$C$4:C786,$C786)-SUMIFS($K$4:K786,$C$4:C786,$C786),2))</f>
        <v/>
      </c>
      <c r="M786" s="19">
        <f>IF($C786="","",ROUND(SUM(基础资料!$B$4:$B$13)+SUM($J$4:J786)-SUM($K$4:K786),2))</f>
        <v/>
      </c>
      <c r="N786" s="13" t="n"/>
      <c r="O786" s="13" t="n"/>
      <c r="P786" s="17">
        <f>IF($B786="","",IF($F786="※类别不在基础资料里","※费用类别不在基础资料里",IF(AND(N($J786)=0,N($K786)=0),"※这行没填金额",IF(AND(N($J786)&gt;0,N($K786)&gt;0),"※收入和支出不能同一行都填",IF(AND($D786="收入",N($J786)=0),"※收入行要填收入金额",IF(AND($D786="支出",N($K786)=0),"※支出行要填支出金额",IF(AND($C786&lt;&gt;"",ISNA(MATCH($C786,账户表,0))),"※账户不在基础资料里",IF(AND($G786&lt;&gt;"",ISNA(MATCH($G786,项目名表,0))),"※项目不在项目台账里",IF(AND(LEFT($F786,3)="成本-",$G786=""),"※成本类支出没填项目",IF(AND(LEFT($F786,3)="成本-",$H786&lt;&gt;"",N($K786)&gt;0,COUNTIFS(采购单!$B:$B,$B786,采购单!$C:$C,$H786,采购单!$L:$L,$K786)&gt;0),"※这笔可能和采购单重复了",""))))))))))</f>
        <v/>
      </c>
    </row>
    <row r="787">
      <c r="A787" s="17">
        <f>IF($B787="","",ROW()-3)</f>
        <v/>
      </c>
      <c r="B787" s="18" t="n">
        <v>46251</v>
      </c>
      <c r="C787" s="13" t="inlineStr">
        <is>
          <t>微信1</t>
        </is>
      </c>
      <c r="D787" s="13" t="inlineStr">
        <is>
          <t>支出</t>
        </is>
      </c>
      <c r="E787" s="13" t="inlineStr">
        <is>
          <t>广告推广</t>
        </is>
      </c>
      <c r="F787" s="17">
        <f>IF($E787="","",IFERROR(VLOOKUP($E787,类别归属,2,0),"※类别不在基础资料里"))</f>
        <v/>
      </c>
      <c r="G787" s="13" t="n"/>
      <c r="H787" s="13" t="n"/>
      <c r="I787" s="13" t="inlineStr">
        <is>
          <t>视频 (Solace)</t>
        </is>
      </c>
      <c r="J787" s="14" t="n"/>
      <c r="K787" s="14" t="n">
        <v>30</v>
      </c>
      <c r="L787" s="19">
        <f>IF($C787="","",ROUND(IFERROR(VLOOKUP($C787,账户期初,2,0),0)+SUMIFS($J$4:J787,$C$4:C787,$C787)-SUMIFS($K$4:K787,$C$4:C787,$C787),2))</f>
        <v/>
      </c>
      <c r="M787" s="19">
        <f>IF($C787="","",ROUND(SUM(基础资料!$B$4:$B$13)+SUM($J$4:J787)-SUM($K$4:K787),2))</f>
        <v/>
      </c>
      <c r="N787" s="13" t="n"/>
      <c r="O787" s="13" t="n"/>
      <c r="P787" s="17">
        <f>IF($B787="","",IF($F787="※类别不在基础资料里","※费用类别不在基础资料里",IF(AND(N($J787)=0,N($K787)=0),"※这行没填金额",IF(AND(N($J787)&gt;0,N($K787)&gt;0),"※收入和支出不能同一行都填",IF(AND($D787="收入",N($J787)=0),"※收入行要填收入金额",IF(AND($D787="支出",N($K787)=0),"※支出行要填支出金额",IF(AND($C787&lt;&gt;"",ISNA(MATCH($C787,账户表,0))),"※账户不在基础资料里",IF(AND($G787&lt;&gt;"",ISNA(MATCH($G787,项目名表,0))),"※项目不在项目台账里",IF(AND(LEFT($F787,3)="成本-",$G787=""),"※成本类支出没填项目",IF(AND(LEFT($F787,3)="成本-",$H787&lt;&gt;"",N($K787)&gt;0,COUNTIFS(采购单!$B:$B,$B787,采购单!$C:$C,$H787,采购单!$L:$L,$K787)&gt;0),"※这笔可能和采购单重复了",""))))))))))</f>
        <v/>
      </c>
    </row>
    <row r="788">
      <c r="A788" s="17">
        <f>IF($B788="","",ROW()-3)</f>
        <v/>
      </c>
      <c r="B788" s="18" t="n">
        <v>46251</v>
      </c>
      <c r="C788" s="13" t="inlineStr">
        <is>
          <t>微信1</t>
        </is>
      </c>
      <c r="D788" s="13" t="inlineStr">
        <is>
          <t>支出</t>
        </is>
      </c>
      <c r="E788" s="13" t="inlineStr">
        <is>
          <t>运费/快递费</t>
        </is>
      </c>
      <c r="F788" s="17">
        <f>IF($E788="","",IFERROR(VLOOKUP($E788,类别归属,2,0),"※类别不在基础资料里"))</f>
        <v/>
      </c>
      <c r="G788" s="13" t="n"/>
      <c r="H788" s="13" t="n"/>
      <c r="I788" s="13" t="inlineStr">
        <is>
          <t>杭州炳秀湖州26-28线路</t>
        </is>
      </c>
      <c r="J788" s="14" t="n"/>
      <c r="K788" s="14" t="n">
        <v>349</v>
      </c>
      <c r="L788" s="19">
        <f>IF($C788="","",ROUND(IFERROR(VLOOKUP($C788,账户期初,2,0),0)+SUMIFS($J$4:J788,$C$4:C788,$C788)-SUMIFS($K$4:K788,$C$4:C788,$C788),2))</f>
        <v/>
      </c>
      <c r="M788" s="19">
        <f>IF($C788="","",ROUND(SUM(基础资料!$B$4:$B$13)+SUM($J$4:J788)-SUM($K$4:K788),2))</f>
        <v/>
      </c>
      <c r="N788" s="13" t="n"/>
      <c r="O788" s="13" t="n"/>
      <c r="P788" s="17">
        <f>IF($B788="","",IF($F788="※类别不在基础资料里","※费用类别不在基础资料里",IF(AND(N($J788)=0,N($K788)=0),"※这行没填金额",IF(AND(N($J788)&gt;0,N($K788)&gt;0),"※收入和支出不能同一行都填",IF(AND($D788="收入",N($J788)=0),"※收入行要填收入金额",IF(AND($D788="支出",N($K788)=0),"※支出行要填支出金额",IF(AND($C788&lt;&gt;"",ISNA(MATCH($C788,账户表,0))),"※账户不在基础资料里",IF(AND($G788&lt;&gt;"",ISNA(MATCH($G788,项目名表,0))),"※项目不在项目台账里",IF(AND(LEFT($F788,3)="成本-",$G788=""),"※成本类支出没填项目",IF(AND(LEFT($F788,3)="成本-",$H788&lt;&gt;"",N($K788)&gt;0,COUNTIFS(采购单!$B:$B,$B788,采购单!$C:$C,$H788,采购单!$L:$L,$K788)&gt;0),"※这笔可能和采购单重复了",""))))))))))</f>
        <v/>
      </c>
    </row>
    <row r="789">
      <c r="A789" s="17">
        <f>IF($B789="","",ROW()-3)</f>
        <v/>
      </c>
      <c r="B789" s="18" t="n">
        <v>46252</v>
      </c>
      <c r="C789" s="13" t="inlineStr">
        <is>
          <t>微信1</t>
        </is>
      </c>
      <c r="D789" s="13" t="inlineStr">
        <is>
          <t>支出</t>
        </is>
      </c>
      <c r="E789" s="13" t="inlineStr">
        <is>
          <t>设计费</t>
        </is>
      </c>
      <c r="F789" s="17">
        <f>IF($E789="","",IFERROR(VLOOKUP($E789,类别归属,2,0),"※类别不在基础资料里"))</f>
        <v/>
      </c>
      <c r="G789" s="13" t="n"/>
      <c r="H789" s="13" t="n"/>
      <c r="I789" s="13" t="inlineStr">
        <is>
          <t>昂基-设计师2 (昂基)</t>
        </is>
      </c>
      <c r="J789" s="14" t="n"/>
      <c r="K789" s="14" t="n">
        <v>73</v>
      </c>
      <c r="L789" s="19">
        <f>IF($C789="","",ROUND(IFERROR(VLOOKUP($C789,账户期初,2,0),0)+SUMIFS($J$4:J789,$C$4:C789,$C789)-SUMIFS($K$4:K789,$C$4:C789,$C789),2))</f>
        <v/>
      </c>
      <c r="M789" s="19">
        <f>IF($C789="","",ROUND(SUM(基础资料!$B$4:$B$13)+SUM($J$4:J789)-SUM($K$4:K789),2))</f>
        <v/>
      </c>
      <c r="N789" s="13" t="n"/>
      <c r="O789" s="13" t="n"/>
      <c r="P789" s="17">
        <f>IF($B789="","",IF($F789="※类别不在基础资料里","※费用类别不在基础资料里",IF(AND(N($J789)=0,N($K789)=0),"※这行没填金额",IF(AND(N($J789)&gt;0,N($K789)&gt;0),"※收入和支出不能同一行都填",IF(AND($D789="收入",N($J789)=0),"※收入行要填收入金额",IF(AND($D789="支出",N($K789)=0),"※支出行要填支出金额",IF(AND($C789&lt;&gt;"",ISNA(MATCH($C789,账户表,0))),"※账户不在基础资料里",IF(AND($G789&lt;&gt;"",ISNA(MATCH($G789,项目名表,0))),"※项目不在项目台账里",IF(AND(LEFT($F789,3)="成本-",$G789=""),"※成本类支出没填项目",IF(AND(LEFT($F789,3)="成本-",$H789&lt;&gt;"",N($K789)&gt;0,COUNTIFS(采购单!$B:$B,$B789,采购单!$C:$C,$H789,采购单!$L:$L,$K789)&gt;0),"※这笔可能和采购单重复了",""))))))))))</f>
        <v/>
      </c>
    </row>
    <row r="790">
      <c r="A790" s="17">
        <f>IF($B790="","",ROW()-3)</f>
        <v/>
      </c>
      <c r="B790" s="18" t="n">
        <v>46252</v>
      </c>
      <c r="C790" s="13" t="inlineStr">
        <is>
          <t>微信1</t>
        </is>
      </c>
      <c r="D790" s="13" t="inlineStr">
        <is>
          <t>支出</t>
        </is>
      </c>
      <c r="E790" s="13" t="inlineStr">
        <is>
          <t>业务招待/餐费</t>
        </is>
      </c>
      <c r="F790" s="17">
        <f>IF($E790="","",IFERROR(VLOOKUP($E790,类别归属,2,0),"※类别不在基础资料里"))</f>
        <v/>
      </c>
      <c r="G790" s="13" t="n"/>
      <c r="H790" s="13" t="n"/>
      <c r="I790" s="13" t="inlineStr">
        <is>
          <t>美团</t>
        </is>
      </c>
      <c r="J790" s="14" t="n"/>
      <c r="K790" s="14" t="n">
        <v>23</v>
      </c>
      <c r="L790" s="19">
        <f>IF($C790="","",ROUND(IFERROR(VLOOKUP($C790,账户期初,2,0),0)+SUMIFS($J$4:J790,$C$4:C790,$C790)-SUMIFS($K$4:K790,$C$4:C790,$C790),2))</f>
        <v/>
      </c>
      <c r="M790" s="19">
        <f>IF($C790="","",ROUND(SUM(基础资料!$B$4:$B$13)+SUM($J$4:J790)-SUM($K$4:K790),2))</f>
        <v/>
      </c>
      <c r="N790" s="13" t="n"/>
      <c r="O790" s="13" t="n"/>
      <c r="P790" s="17">
        <f>IF($B790="","",IF($F790="※类别不在基础资料里","※费用类别不在基础资料里",IF(AND(N($J790)=0,N($K790)=0),"※这行没填金额",IF(AND(N($J790)&gt;0,N($K790)&gt;0),"※收入和支出不能同一行都填",IF(AND($D790="收入",N($J790)=0),"※收入行要填收入金额",IF(AND($D790="支出",N($K790)=0),"※支出行要填支出金额",IF(AND($C790&lt;&gt;"",ISNA(MATCH($C790,账户表,0))),"※账户不在基础资料里",IF(AND($G790&lt;&gt;"",ISNA(MATCH($G790,项目名表,0))),"※项目不在项目台账里",IF(AND(LEFT($F790,3)="成本-",$G790=""),"※成本类支出没填项目",IF(AND(LEFT($F790,3)="成本-",$H790&lt;&gt;"",N($K790)&gt;0,COUNTIFS(采购单!$B:$B,$B790,采购单!$C:$C,$H790,采购单!$L:$L,$K790)&gt;0),"※这笔可能和采购单重复了",""))))))))))</f>
        <v/>
      </c>
    </row>
    <row r="791">
      <c r="A791" s="17">
        <f>IF($B791="","",ROW()-3)</f>
        <v/>
      </c>
      <c r="B791" s="18" t="n">
        <v>46252</v>
      </c>
      <c r="C791" s="13" t="inlineStr">
        <is>
          <t>微信1</t>
        </is>
      </c>
      <c r="D791" s="13" t="inlineStr">
        <is>
          <t>收入</t>
        </is>
      </c>
      <c r="E791" s="13" t="inlineStr">
        <is>
          <t>待分类</t>
        </is>
      </c>
      <c r="F791" s="17">
        <f>IF($E791="","",IFERROR(VLOOKUP($E791,类别归属,2,0),"※类别不在基础资料里"))</f>
        <v/>
      </c>
      <c r="G791" s="13" t="n"/>
      <c r="H791" s="13" t="n"/>
      <c r="I791" s="13" t="inlineStr">
        <is>
          <t>升山太阳宝</t>
        </is>
      </c>
      <c r="J791" s="14" t="n">
        <v>1900</v>
      </c>
      <c r="K791" s="14" t="n"/>
      <c r="L791" s="19">
        <f>IF($C791="","",ROUND(IFERROR(VLOOKUP($C791,账户期初,2,0),0)+SUMIFS($J$4:J791,$C$4:C791,$C791)-SUMIFS($K$4:K791,$C$4:C791,$C791),2))</f>
        <v/>
      </c>
      <c r="M791" s="19">
        <f>IF($C791="","",ROUND(SUM(基础资料!$B$4:$B$13)+SUM($J$4:J791)-SUM($K$4:K791),2))</f>
        <v/>
      </c>
      <c r="N791" s="13" t="n"/>
      <c r="O791" s="13" t="n"/>
      <c r="P791" s="17">
        <f>IF($B791="","",IF($F791="※类别不在基础资料里","※费用类别不在基础资料里",IF(AND(N($J791)=0,N($K791)=0),"※这行没填金额",IF(AND(N($J791)&gt;0,N($K791)&gt;0),"※收入和支出不能同一行都填",IF(AND($D791="收入",N($J791)=0),"※收入行要填收入金额",IF(AND($D791="支出",N($K791)=0),"※支出行要填支出金额",IF(AND($C791&lt;&gt;"",ISNA(MATCH($C791,账户表,0))),"※账户不在基础资料里",IF(AND($G791&lt;&gt;"",ISNA(MATCH($G791,项目名表,0))),"※项目不在项目台账里",IF(AND(LEFT($F791,3)="成本-",$G791=""),"※成本类支出没填项目",IF(AND(LEFT($F791,3)="成本-",$H791&lt;&gt;"",N($K791)&gt;0,COUNTIFS(采购单!$B:$B,$B791,采购单!$C:$C,$H791,采购单!$L:$L,$K791)&gt;0),"※这笔可能和采购单重复了",""))))))))))</f>
        <v/>
      </c>
    </row>
    <row r="792">
      <c r="A792" s="17">
        <f>IF($B792="","",ROW()-3)</f>
        <v/>
      </c>
      <c r="B792" s="18" t="n">
        <v>46252</v>
      </c>
      <c r="C792" s="13" t="inlineStr">
        <is>
          <t>微信1</t>
        </is>
      </c>
      <c r="D792" s="13" t="inlineStr">
        <is>
          <t>支出</t>
        </is>
      </c>
      <c r="E792" s="13" t="inlineStr">
        <is>
          <t>广告推广</t>
        </is>
      </c>
      <c r="F792" s="17">
        <f>IF($E792="","",IFERROR(VLOOKUP($E792,类别归属,2,0),"※类别不在基础资料里"))</f>
        <v/>
      </c>
      <c r="G792" s="13" t="n"/>
      <c r="H792" s="13" t="n"/>
      <c r="I792" s="13" t="inlineStr">
        <is>
          <t>发给视频 (Solace)</t>
        </is>
      </c>
      <c r="J792" s="14" t="n"/>
      <c r="K792" s="14" t="n">
        <v>30</v>
      </c>
      <c r="L792" s="19">
        <f>IF($C792="","",ROUND(IFERROR(VLOOKUP($C792,账户期初,2,0),0)+SUMIFS($J$4:J792,$C$4:C792,$C792)-SUMIFS($K$4:K792,$C$4:C792,$C792),2))</f>
        <v/>
      </c>
      <c r="M792" s="19">
        <f>IF($C792="","",ROUND(SUM(基础资料!$B$4:$B$13)+SUM($J$4:J792)-SUM($K$4:K792),2))</f>
        <v/>
      </c>
      <c r="N792" s="13" t="n"/>
      <c r="O792" s="13" t="n"/>
      <c r="P792" s="17">
        <f>IF($B792="","",IF($F792="※类别不在基础资料里","※费用类别不在基础资料里",IF(AND(N($J792)=0,N($K792)=0),"※这行没填金额",IF(AND(N($J792)&gt;0,N($K792)&gt;0),"※收入和支出不能同一行都填",IF(AND($D792="收入",N($J792)=0),"※收入行要填收入金额",IF(AND($D792="支出",N($K792)=0),"※支出行要填支出金额",IF(AND($C792&lt;&gt;"",ISNA(MATCH($C792,账户表,0))),"※账户不在基础资料里",IF(AND($G792&lt;&gt;"",ISNA(MATCH($G792,项目名表,0))),"※项目不在项目台账里",IF(AND(LEFT($F792,3)="成本-",$G792=""),"※成本类支出没填项目",IF(AND(LEFT($F792,3)="成本-",$H792&lt;&gt;"",N($K792)&gt;0,COUNTIFS(采购单!$B:$B,$B792,采购单!$C:$C,$H792,采购单!$L:$L,$K792)&gt;0),"※这笔可能和采购单重复了",""))))))))))</f>
        <v/>
      </c>
    </row>
    <row r="793">
      <c r="A793" s="17">
        <f>IF($B793="","",ROW()-3)</f>
        <v/>
      </c>
      <c r="B793" s="18" t="n">
        <v>46252</v>
      </c>
      <c r="C793" s="13" t="inlineStr">
        <is>
          <t>微信1</t>
        </is>
      </c>
      <c r="D793" s="13" t="inlineStr">
        <is>
          <t>收入</t>
        </is>
      </c>
      <c r="E793" s="13" t="inlineStr">
        <is>
          <t>待分类</t>
        </is>
      </c>
      <c r="F793" s="17">
        <f>IF($E793="","",IFERROR(VLOOKUP($E793,类别归属,2,0),"※类别不在基础资料里"))</f>
        <v/>
      </c>
      <c r="G793" s="13" t="n"/>
      <c r="H793" s="13" t="n"/>
      <c r="I793" s="13" t="inlineStr">
        <is>
          <t>杨家林</t>
        </is>
      </c>
      <c r="J793" s="14" t="n">
        <v>3400</v>
      </c>
      <c r="K793" s="14" t="n"/>
      <c r="L793" s="19">
        <f>IF($C793="","",ROUND(IFERROR(VLOOKUP($C793,账户期初,2,0),0)+SUMIFS($J$4:J793,$C$4:C793,$C793)-SUMIFS($K$4:K793,$C$4:C793,$C793),2))</f>
        <v/>
      </c>
      <c r="M793" s="19">
        <f>IF($C793="","",ROUND(SUM(基础资料!$B$4:$B$13)+SUM($J$4:J793)-SUM($K$4:K793),2))</f>
        <v/>
      </c>
      <c r="N793" s="13" t="n"/>
      <c r="O793" s="13" t="n"/>
      <c r="P793" s="17">
        <f>IF($B793="","",IF($F793="※类别不在基础资料里","※费用类别不在基础资料里",IF(AND(N($J793)=0,N($K793)=0),"※这行没填金额",IF(AND(N($J793)&gt;0,N($K793)&gt;0),"※收入和支出不能同一行都填",IF(AND($D793="收入",N($J793)=0),"※收入行要填收入金额",IF(AND($D793="支出",N($K793)=0),"※支出行要填支出金额",IF(AND($C793&lt;&gt;"",ISNA(MATCH($C793,账户表,0))),"※账户不在基础资料里",IF(AND($G793&lt;&gt;"",ISNA(MATCH($G793,项目名表,0))),"※项目不在项目台账里",IF(AND(LEFT($F793,3)="成本-",$G793=""),"※成本类支出没填项目",IF(AND(LEFT($F793,3)="成本-",$H793&lt;&gt;"",N($K793)&gt;0,COUNTIFS(采购单!$B:$B,$B793,采购单!$C:$C,$H793,采购单!$L:$L,$K793)&gt;0),"※这笔可能和采购单重复了",""))))))))))</f>
        <v/>
      </c>
    </row>
    <row r="794">
      <c r="A794" s="17">
        <f>IF($B794="","",ROW()-3)</f>
        <v/>
      </c>
      <c r="B794" s="18" t="n">
        <v>46252</v>
      </c>
      <c r="C794" s="13" t="inlineStr">
        <is>
          <t>微信1</t>
        </is>
      </c>
      <c r="D794" s="13" t="inlineStr">
        <is>
          <t>支出</t>
        </is>
      </c>
      <c r="E794" s="13" t="inlineStr">
        <is>
          <t>业务招待/餐费</t>
        </is>
      </c>
      <c r="F794" s="17">
        <f>IF($E794="","",IFERROR(VLOOKUP($E794,类别归属,2,0),"※类别不在基础资料里"))</f>
        <v/>
      </c>
      <c r="G794" s="13" t="n"/>
      <c r="H794" s="13" t="n"/>
      <c r="I794" s="13" t="inlineStr">
        <is>
          <t>美团</t>
        </is>
      </c>
      <c r="J794" s="14" t="n"/>
      <c r="K794" s="14" t="n">
        <v>13</v>
      </c>
      <c r="L794" s="19">
        <f>IF($C794="","",ROUND(IFERROR(VLOOKUP($C794,账户期初,2,0),0)+SUMIFS($J$4:J794,$C$4:C794,$C794)-SUMIFS($K$4:K794,$C$4:C794,$C794),2))</f>
        <v/>
      </c>
      <c r="M794" s="19">
        <f>IF($C794="","",ROUND(SUM(基础资料!$B$4:$B$13)+SUM($J$4:J794)-SUM($K$4:K794),2))</f>
        <v/>
      </c>
      <c r="N794" s="13" t="n"/>
      <c r="O794" s="13" t="n"/>
      <c r="P794" s="17">
        <f>IF($B794="","",IF($F794="※类别不在基础资料里","※费用类别不在基础资料里",IF(AND(N($J794)=0,N($K794)=0),"※这行没填金额",IF(AND(N($J794)&gt;0,N($K794)&gt;0),"※收入和支出不能同一行都填",IF(AND($D794="收入",N($J794)=0),"※收入行要填收入金额",IF(AND($D794="支出",N($K794)=0),"※支出行要填支出金额",IF(AND($C794&lt;&gt;"",ISNA(MATCH($C794,账户表,0))),"※账户不在基础资料里",IF(AND($G794&lt;&gt;"",ISNA(MATCH($G794,项目名表,0))),"※项目不在项目台账里",IF(AND(LEFT($F794,3)="成本-",$G794=""),"※成本类支出没填项目",IF(AND(LEFT($F794,3)="成本-",$H794&lt;&gt;"",N($K794)&gt;0,COUNTIFS(采购单!$B:$B,$B794,采购单!$C:$C,$H794,采购单!$L:$L,$K794)&gt;0),"※这笔可能和采购单重复了",""))))))))))</f>
        <v/>
      </c>
    </row>
    <row r="795">
      <c r="A795" s="17">
        <f>IF($B795="","",ROW()-3)</f>
        <v/>
      </c>
      <c r="B795" s="18" t="n">
        <v>46252</v>
      </c>
      <c r="C795" s="13" t="inlineStr">
        <is>
          <t>微信1</t>
        </is>
      </c>
      <c r="D795" s="13" t="inlineStr">
        <is>
          <t>收入</t>
        </is>
      </c>
      <c r="E795" s="13" t="inlineStr">
        <is>
          <t>待分类</t>
        </is>
      </c>
      <c r="F795" s="17">
        <f>IF($E795="","",IFERROR(VLOOKUP($E795,类别归属,2,0),"※类别不在基础资料里"))</f>
        <v/>
      </c>
      <c r="G795" s="13" t="n"/>
      <c r="H795" s="13" t="n"/>
      <c r="I795" s="13" t="inlineStr">
        <is>
          <t>万达-kvv乔金鑫 (乔金鑫)</t>
        </is>
      </c>
      <c r="J795" s="14" t="n">
        <v>62</v>
      </c>
      <c r="K795" s="14" t="n"/>
      <c r="L795" s="19">
        <f>IF($C795="","",ROUND(IFERROR(VLOOKUP($C795,账户期初,2,0),0)+SUMIFS($J$4:J795,$C$4:C795,$C795)-SUMIFS($K$4:K795,$C$4:C795,$C795),2))</f>
        <v/>
      </c>
      <c r="M795" s="19">
        <f>IF($C795="","",ROUND(SUM(基础资料!$B$4:$B$13)+SUM($J$4:J795)-SUM($K$4:K795),2))</f>
        <v/>
      </c>
      <c r="N795" s="13" t="n"/>
      <c r="O795" s="13" t="n"/>
      <c r="P795" s="17">
        <f>IF($B795="","",IF($F795="※类别不在基础资料里","※费用类别不在基础资料里",IF(AND(N($J795)=0,N($K795)=0),"※这行没填金额",IF(AND(N($J795)&gt;0,N($K795)&gt;0),"※收入和支出不能同一行都填",IF(AND($D795="收入",N($J795)=0),"※收入行要填收入金额",IF(AND($D795="支出",N($K795)=0),"※支出行要填支出金额",IF(AND($C795&lt;&gt;"",ISNA(MATCH($C795,账户表,0))),"※账户不在基础资料里",IF(AND($G795&lt;&gt;"",ISNA(MATCH($G795,项目名表,0))),"※项目不在项目台账里",IF(AND(LEFT($F795,3)="成本-",$G795=""),"※成本类支出没填项目",IF(AND(LEFT($F795,3)="成本-",$H795&lt;&gt;"",N($K795)&gt;0,COUNTIFS(采购单!$B:$B,$B795,采购单!$C:$C,$H795,采购单!$L:$L,$K795)&gt;0),"※这笔可能和采购单重复了",""))))))))))</f>
        <v/>
      </c>
    </row>
    <row r="796">
      <c r="A796" s="17">
        <f>IF($B796="","",ROW()-3)</f>
        <v/>
      </c>
      <c r="B796" s="18" t="n">
        <v>46253</v>
      </c>
      <c r="C796" s="13" t="inlineStr">
        <is>
          <t>微信1</t>
        </is>
      </c>
      <c r="D796" s="13" t="inlineStr">
        <is>
          <t>支出</t>
        </is>
      </c>
      <c r="E796" s="13" t="inlineStr">
        <is>
          <t>运费/快递费</t>
        </is>
      </c>
      <c r="F796" s="17">
        <f>IF($E796="","",IFERROR(VLOOKUP($E796,类别归属,2,0),"※类别不在基础资料里"))</f>
        <v/>
      </c>
      <c r="G796" s="13" t="n"/>
      <c r="H796" s="13" t="n"/>
      <c r="I796" s="13" t="inlineStr">
        <is>
          <t>杭州炳秀湖州26-28线路</t>
        </is>
      </c>
      <c r="J796" s="14" t="n"/>
      <c r="K796" s="14" t="n">
        <v>99</v>
      </c>
      <c r="L796" s="19">
        <f>IF($C796="","",ROUND(IFERROR(VLOOKUP($C796,账户期初,2,0),0)+SUMIFS($J$4:J796,$C$4:C796,$C796)-SUMIFS($K$4:K796,$C$4:C796,$C796),2))</f>
        <v/>
      </c>
      <c r="M796" s="19">
        <f>IF($C796="","",ROUND(SUM(基础资料!$B$4:$B$13)+SUM($J$4:J796)-SUM($K$4:K796),2))</f>
        <v/>
      </c>
      <c r="N796" s="13" t="n"/>
      <c r="O796" s="13" t="n"/>
      <c r="P796" s="17">
        <f>IF($B796="","",IF($F796="※类别不在基础资料里","※费用类别不在基础资料里",IF(AND(N($J796)=0,N($K796)=0),"※这行没填金额",IF(AND(N($J796)&gt;0,N($K796)&gt;0),"※收入和支出不能同一行都填",IF(AND($D796="收入",N($J796)=0),"※收入行要填收入金额",IF(AND($D796="支出",N($K796)=0),"※支出行要填支出金额",IF(AND($C796&lt;&gt;"",ISNA(MATCH($C796,账户表,0))),"※账户不在基础资料里",IF(AND($G796&lt;&gt;"",ISNA(MATCH($G796,项目名表,0))),"※项目不在项目台账里",IF(AND(LEFT($F796,3)="成本-",$G796=""),"※成本类支出没填项目",IF(AND(LEFT($F796,3)="成本-",$H796&lt;&gt;"",N($K796)&gt;0,COUNTIFS(采购单!$B:$B,$B796,采购单!$C:$C,$H796,采购单!$L:$L,$K796)&gt;0),"※这笔可能和采购单重复了",""))))))))))</f>
        <v/>
      </c>
    </row>
    <row r="797">
      <c r="A797" s="17">
        <f>IF($B797="","",ROW()-3)</f>
        <v/>
      </c>
      <c r="B797" s="18" t="n">
        <v>46253</v>
      </c>
      <c r="C797" s="13" t="inlineStr">
        <is>
          <t>微信1</t>
        </is>
      </c>
      <c r="D797" s="13" t="inlineStr">
        <is>
          <t>支出</t>
        </is>
      </c>
      <c r="E797" s="13" t="inlineStr">
        <is>
          <t>运费/快递费</t>
        </is>
      </c>
      <c r="F797" s="17">
        <f>IF($E797="","",IFERROR(VLOOKUP($E797,类别归属,2,0),"※类别不在基础资料里"))</f>
        <v/>
      </c>
      <c r="G797" s="13" t="n"/>
      <c r="H797" s="13" t="n"/>
      <c r="I797" s="13" t="inlineStr">
        <is>
          <t>杭州炳秀湖州26-28线路</t>
        </is>
      </c>
      <c r="J797" s="14" t="n"/>
      <c r="K797" s="14" t="n">
        <v>18</v>
      </c>
      <c r="L797" s="19">
        <f>IF($C797="","",ROUND(IFERROR(VLOOKUP($C797,账户期初,2,0),0)+SUMIFS($J$4:J797,$C$4:C797,$C797)-SUMIFS($K$4:K797,$C$4:C797,$C797),2))</f>
        <v/>
      </c>
      <c r="M797" s="19">
        <f>IF($C797="","",ROUND(SUM(基础资料!$B$4:$B$13)+SUM($J$4:J797)-SUM($K$4:K797),2))</f>
        <v/>
      </c>
      <c r="N797" s="13" t="n"/>
      <c r="O797" s="13" t="n"/>
      <c r="P797" s="17">
        <f>IF($B797="","",IF($F797="※类别不在基础资料里","※费用类别不在基础资料里",IF(AND(N($J797)=0,N($K797)=0),"※这行没填金额",IF(AND(N($J797)&gt;0,N($K797)&gt;0),"※收入和支出不能同一行都填",IF(AND($D797="收入",N($J797)=0),"※收入行要填收入金额",IF(AND($D797="支出",N($K797)=0),"※支出行要填支出金额",IF(AND($C797&lt;&gt;"",ISNA(MATCH($C797,账户表,0))),"※账户不在基础资料里",IF(AND($G797&lt;&gt;"",ISNA(MATCH($G797,项目名表,0))),"※项目不在项目台账里",IF(AND(LEFT($F797,3)="成本-",$G797=""),"※成本类支出没填项目",IF(AND(LEFT($F797,3)="成本-",$H797&lt;&gt;"",N($K797)&gt;0,COUNTIFS(采购单!$B:$B,$B797,采购单!$C:$C,$H797,采购单!$L:$L,$K797)&gt;0),"※这笔可能和采购单重复了",""))))))))))</f>
        <v/>
      </c>
    </row>
    <row r="798">
      <c r="A798" s="17">
        <f>IF($B798="","",ROW()-3)</f>
        <v/>
      </c>
      <c r="B798" s="18" t="n">
        <v>46253</v>
      </c>
      <c r="C798" s="13" t="inlineStr">
        <is>
          <t>微信1</t>
        </is>
      </c>
      <c r="D798" s="13" t="inlineStr">
        <is>
          <t>支出</t>
        </is>
      </c>
      <c r="E798" s="13" t="inlineStr">
        <is>
          <t>运费/快递费</t>
        </is>
      </c>
      <c r="F798" s="17">
        <f>IF($E798="","",IFERROR(VLOOKUP($E798,类别归属,2,0),"※类别不在基础资料里"))</f>
        <v/>
      </c>
      <c r="G798" s="13" t="n"/>
      <c r="H798" s="13" t="n"/>
      <c r="I798" s="13" t="inlineStr">
        <is>
          <t>杭州炳秀湖州26-28线路</t>
        </is>
      </c>
      <c r="J798" s="14" t="n"/>
      <c r="K798" s="14" t="n">
        <v>79</v>
      </c>
      <c r="L798" s="19">
        <f>IF($C798="","",ROUND(IFERROR(VLOOKUP($C798,账户期初,2,0),0)+SUMIFS($J$4:J798,$C$4:C798,$C798)-SUMIFS($K$4:K798,$C$4:C798,$C798),2))</f>
        <v/>
      </c>
      <c r="M798" s="19">
        <f>IF($C798="","",ROUND(SUM(基础资料!$B$4:$B$13)+SUM($J$4:J798)-SUM($K$4:K798),2))</f>
        <v/>
      </c>
      <c r="N798" s="13" t="n"/>
      <c r="O798" s="13" t="n"/>
      <c r="P798" s="17">
        <f>IF($B798="","",IF($F798="※类别不在基础资料里","※费用类别不在基础资料里",IF(AND(N($J798)=0,N($K798)=0),"※这行没填金额",IF(AND(N($J798)&gt;0,N($K798)&gt;0),"※收入和支出不能同一行都填",IF(AND($D798="收入",N($J798)=0),"※收入行要填收入金额",IF(AND($D798="支出",N($K798)=0),"※支出行要填支出金额",IF(AND($C798&lt;&gt;"",ISNA(MATCH($C798,账户表,0))),"※账户不在基础资料里",IF(AND($G798&lt;&gt;"",ISNA(MATCH($G798,项目名表,0))),"※项目不在项目台账里",IF(AND(LEFT($F798,3)="成本-",$G798=""),"※成本类支出没填项目",IF(AND(LEFT($F798,3)="成本-",$H798&lt;&gt;"",N($K798)&gt;0,COUNTIFS(采购单!$B:$B,$B798,采购单!$C:$C,$H798,采购单!$L:$L,$K798)&gt;0),"※这笔可能和采购单重复了",""))))))))))</f>
        <v/>
      </c>
    </row>
    <row r="799">
      <c r="A799" s="17">
        <f>IF($B799="","",ROW()-3)</f>
        <v/>
      </c>
      <c r="B799" s="18" t="n">
        <v>46253</v>
      </c>
      <c r="C799" s="13" t="inlineStr">
        <is>
          <t>微信1</t>
        </is>
      </c>
      <c r="D799" s="13" t="inlineStr">
        <is>
          <t>支出</t>
        </is>
      </c>
      <c r="E799" s="13" t="inlineStr">
        <is>
          <t>运费/快递费</t>
        </is>
      </c>
      <c r="F799" s="17">
        <f>IF($E799="","",IFERROR(VLOOKUP($E799,类别归属,2,0),"※类别不在基础资料里"))</f>
        <v/>
      </c>
      <c r="G799" s="13" t="n"/>
      <c r="H799" s="13" t="n"/>
      <c r="I799" s="13" t="inlineStr">
        <is>
          <t>杭州炳秀湖州26-28线路</t>
        </is>
      </c>
      <c r="J799" s="14" t="n"/>
      <c r="K799" s="14" t="n">
        <v>3449</v>
      </c>
      <c r="L799" s="19">
        <f>IF($C799="","",ROUND(IFERROR(VLOOKUP($C799,账户期初,2,0),0)+SUMIFS($J$4:J799,$C$4:C799,$C799)-SUMIFS($K$4:K799,$C$4:C799,$C799),2))</f>
        <v/>
      </c>
      <c r="M799" s="19">
        <f>IF($C799="","",ROUND(SUM(基础资料!$B$4:$B$13)+SUM($J$4:J799)-SUM($K$4:K799),2))</f>
        <v/>
      </c>
      <c r="N799" s="13" t="n"/>
      <c r="O799" s="13" t="n"/>
      <c r="P799" s="17">
        <f>IF($B799="","",IF($F799="※类别不在基础资料里","※费用类别不在基础资料里",IF(AND(N($J799)=0,N($K799)=0),"※这行没填金额",IF(AND(N($J799)&gt;0,N($K799)&gt;0),"※收入和支出不能同一行都填",IF(AND($D799="收入",N($J799)=0),"※收入行要填收入金额",IF(AND($D799="支出",N($K799)=0),"※支出行要填支出金额",IF(AND($C799&lt;&gt;"",ISNA(MATCH($C799,账户表,0))),"※账户不在基础资料里",IF(AND($G799&lt;&gt;"",ISNA(MATCH($G799,项目名表,0))),"※项目不在项目台账里",IF(AND(LEFT($F799,3)="成本-",$G799=""),"※成本类支出没填项目",IF(AND(LEFT($F799,3)="成本-",$H799&lt;&gt;"",N($K799)&gt;0,COUNTIFS(采购单!$B:$B,$B799,采购单!$C:$C,$H799,采购单!$L:$L,$K799)&gt;0),"※这笔可能和采购单重复了",""))))))))))</f>
        <v/>
      </c>
    </row>
    <row r="800">
      <c r="A800" s="17">
        <f>IF($B800="","",ROW()-3)</f>
        <v/>
      </c>
      <c r="B800" s="18" t="n">
        <v>46253</v>
      </c>
      <c r="C800" s="13" t="inlineStr">
        <is>
          <t>微信1</t>
        </is>
      </c>
      <c r="D800" s="13" t="inlineStr">
        <is>
          <t>支出</t>
        </is>
      </c>
      <c r="E800" s="13" t="inlineStr">
        <is>
          <t>主材采购</t>
        </is>
      </c>
      <c r="F800" s="17">
        <f>IF($E800="","",IFERROR(VLOOKUP($E800,类别归属,2,0),"※类别不在基础资料里"))</f>
        <v/>
      </c>
      <c r="G800" s="13" t="n"/>
      <c r="H800" s="13" t="n"/>
      <c r="I800" s="13" t="inlineStr">
        <is>
          <t>童发电线～张玉</t>
        </is>
      </c>
      <c r="J800" s="14" t="n"/>
      <c r="K800" s="14" t="n">
        <v>1050</v>
      </c>
      <c r="L800" s="19">
        <f>IF($C800="","",ROUND(IFERROR(VLOOKUP($C800,账户期初,2,0),0)+SUMIFS($J$4:J800,$C$4:C800,$C800)-SUMIFS($K$4:K800,$C$4:C800,$C800),2))</f>
        <v/>
      </c>
      <c r="M800" s="19">
        <f>IF($C800="","",ROUND(SUM(基础资料!$B$4:$B$13)+SUM($J$4:J800)-SUM($K$4:K800),2))</f>
        <v/>
      </c>
      <c r="N800" s="13" t="n"/>
      <c r="O800" s="13" t="n"/>
      <c r="P800" s="17">
        <f>IF($B800="","",IF($F800="※类别不在基础资料里","※费用类别不在基础资料里",IF(AND(N($J800)=0,N($K800)=0),"※这行没填金额",IF(AND(N($J800)&gt;0,N($K800)&gt;0),"※收入和支出不能同一行都填",IF(AND($D800="收入",N($J800)=0),"※收入行要填收入金额",IF(AND($D800="支出",N($K800)=0),"※支出行要填支出金额",IF(AND($C800&lt;&gt;"",ISNA(MATCH($C800,账户表,0))),"※账户不在基础资料里",IF(AND($G800&lt;&gt;"",ISNA(MATCH($G800,项目名表,0))),"※项目不在项目台账里",IF(AND(LEFT($F800,3)="成本-",$G800=""),"※成本类支出没填项目",IF(AND(LEFT($F800,3)="成本-",$H800&lt;&gt;"",N($K800)&gt;0,COUNTIFS(采购单!$B:$B,$B800,采购单!$C:$C,$H800,采购单!$L:$L,$K800)&gt;0),"※这笔可能和采购单重复了",""))))))))))</f>
        <v/>
      </c>
    </row>
    <row r="801">
      <c r="A801" s="17">
        <f>IF($B801="","",ROW()-3)</f>
        <v/>
      </c>
      <c r="B801" s="18" t="n">
        <v>46253</v>
      </c>
      <c r="C801" s="13" t="inlineStr">
        <is>
          <t>微信1</t>
        </is>
      </c>
      <c r="D801" s="13" t="inlineStr">
        <is>
          <t>支出</t>
        </is>
      </c>
      <c r="E801" s="13" t="inlineStr">
        <is>
          <t>广告推广</t>
        </is>
      </c>
      <c r="F801" s="17">
        <f>IF($E801="","",IFERROR(VLOOKUP($E801,类别归属,2,0),"※类别不在基础资料里"))</f>
        <v/>
      </c>
      <c r="G801" s="13" t="n"/>
      <c r="H801" s="13" t="n"/>
      <c r="I801" s="13" t="inlineStr">
        <is>
          <t>发给视频 (Solace)</t>
        </is>
      </c>
      <c r="J801" s="14" t="n"/>
      <c r="K801" s="14" t="n">
        <v>60</v>
      </c>
      <c r="L801" s="19">
        <f>IF($C801="","",ROUND(IFERROR(VLOOKUP($C801,账户期初,2,0),0)+SUMIFS($J$4:J801,$C$4:C801,$C801)-SUMIFS($K$4:K801,$C$4:C801,$C801),2))</f>
        <v/>
      </c>
      <c r="M801" s="19">
        <f>IF($C801="","",ROUND(SUM(基础资料!$B$4:$B$13)+SUM($J$4:J801)-SUM($K$4:K801),2))</f>
        <v/>
      </c>
      <c r="N801" s="13" t="n"/>
      <c r="O801" s="13" t="n"/>
      <c r="P801" s="17">
        <f>IF($B801="","",IF($F801="※类别不在基础资料里","※费用类别不在基础资料里",IF(AND(N($J801)=0,N($K801)=0),"※这行没填金额",IF(AND(N($J801)&gt;0,N($K801)&gt;0),"※收入和支出不能同一行都填",IF(AND($D801="收入",N($J801)=0),"※收入行要填收入金额",IF(AND($D801="支出",N($K801)=0),"※支出行要填支出金额",IF(AND($C801&lt;&gt;"",ISNA(MATCH($C801,账户表,0))),"※账户不在基础资料里",IF(AND($G801&lt;&gt;"",ISNA(MATCH($G801,项目名表,0))),"※项目不在项目台账里",IF(AND(LEFT($F801,3)="成本-",$G801=""),"※成本类支出没填项目",IF(AND(LEFT($F801,3)="成本-",$H801&lt;&gt;"",N($K801)&gt;0,COUNTIFS(采购单!$B:$B,$B801,采购单!$C:$C,$H801,采购单!$L:$L,$K801)&gt;0),"※这笔可能和采购单重复了",""))))))))))</f>
        <v/>
      </c>
    </row>
    <row r="802">
      <c r="A802" s="17">
        <f>IF($B802="","",ROW()-3)</f>
        <v/>
      </c>
      <c r="B802" s="18" t="n">
        <v>46254</v>
      </c>
      <c r="C802" s="13" t="inlineStr">
        <is>
          <t>微信1</t>
        </is>
      </c>
      <c r="D802" s="13" t="inlineStr">
        <is>
          <t>支出</t>
        </is>
      </c>
      <c r="E802" s="13" t="inlineStr">
        <is>
          <t>网购材料耗材</t>
        </is>
      </c>
      <c r="F802" s="17">
        <f>IF($E802="","",IFERROR(VLOOKUP($E802,类别归属,2,0),"※类别不在基础资料里"))</f>
        <v/>
      </c>
      <c r="G802" s="13" t="n"/>
      <c r="H802" s="13" t="inlineStr">
        <is>
          <t>拼多多</t>
        </is>
      </c>
      <c r="I802" s="13" t="inlineStr">
        <is>
          <t>拼多多平台商户</t>
        </is>
      </c>
      <c r="J802" s="14" t="n"/>
      <c r="K802" s="14" t="n">
        <v>44.5</v>
      </c>
      <c r="L802" s="19">
        <f>IF($C802="","",ROUND(IFERROR(VLOOKUP($C802,账户期初,2,0),0)+SUMIFS($J$4:J802,$C$4:C802,$C802)-SUMIFS($K$4:K802,$C$4:C802,$C802),2))</f>
        <v/>
      </c>
      <c r="M802" s="19">
        <f>IF($C802="","",ROUND(SUM(基础资料!$B$4:$B$13)+SUM($J$4:J802)-SUM($K$4:K802),2))</f>
        <v/>
      </c>
      <c r="N802" s="13" t="n"/>
      <c r="O802" s="13" t="n"/>
      <c r="P802" s="17">
        <f>IF($B802="","",IF($F802="※类别不在基础资料里","※费用类别不在基础资料里",IF(AND(N($J802)=0,N($K802)=0),"※这行没填金额",IF(AND(N($J802)&gt;0,N($K802)&gt;0),"※收入和支出不能同一行都填",IF(AND($D802="收入",N($J802)=0),"※收入行要填收入金额",IF(AND($D802="支出",N($K802)=0),"※支出行要填支出金额",IF(AND($C802&lt;&gt;"",ISNA(MATCH($C802,账户表,0))),"※账户不在基础资料里",IF(AND($G802&lt;&gt;"",ISNA(MATCH($G802,项目名表,0))),"※项目不在项目台账里",IF(AND(LEFT($F802,3)="成本-",$G802=""),"※成本类支出没填项目",IF(AND(LEFT($F802,3)="成本-",$H802&lt;&gt;"",N($K802)&gt;0,COUNTIFS(采购单!$B:$B,$B802,采购单!$C:$C,$H802,采购单!$L:$L,$K802)&gt;0),"※这笔可能和采购单重复了",""))))))))))</f>
        <v/>
      </c>
    </row>
    <row r="803">
      <c r="A803" s="17">
        <f>IF($B803="","",ROW()-3)</f>
        <v/>
      </c>
      <c r="B803" s="18" t="n">
        <v>46254</v>
      </c>
      <c r="C803" s="13" t="inlineStr">
        <is>
          <t>微信1</t>
        </is>
      </c>
      <c r="D803" s="13" t="inlineStr">
        <is>
          <t>支出</t>
        </is>
      </c>
      <c r="E803" s="13" t="inlineStr">
        <is>
          <t>网购材料耗材</t>
        </is>
      </c>
      <c r="F803" s="17">
        <f>IF($E803="","",IFERROR(VLOOKUP($E803,类别归属,2,0),"※类别不在基础资料里"))</f>
        <v/>
      </c>
      <c r="G803" s="13" t="n"/>
      <c r="H803" s="13" t="inlineStr">
        <is>
          <t>拼多多</t>
        </is>
      </c>
      <c r="I803" s="13" t="inlineStr">
        <is>
          <t>拼多多平台商户</t>
        </is>
      </c>
      <c r="J803" s="14" t="n"/>
      <c r="K803" s="14" t="n">
        <v>88.87</v>
      </c>
      <c r="L803" s="19">
        <f>IF($C803="","",ROUND(IFERROR(VLOOKUP($C803,账户期初,2,0),0)+SUMIFS($J$4:J803,$C$4:C803,$C803)-SUMIFS($K$4:K803,$C$4:C803,$C803),2))</f>
        <v/>
      </c>
      <c r="M803" s="19">
        <f>IF($C803="","",ROUND(SUM(基础资料!$B$4:$B$13)+SUM($J$4:J803)-SUM($K$4:K803),2))</f>
        <v/>
      </c>
      <c r="N803" s="13" t="n"/>
      <c r="O803" s="13" t="n"/>
      <c r="P803" s="17">
        <f>IF($B803="","",IF($F803="※类别不在基础资料里","※费用类别不在基础资料里",IF(AND(N($J803)=0,N($K803)=0),"※这行没填金额",IF(AND(N($J803)&gt;0,N($K803)&gt;0),"※收入和支出不能同一行都填",IF(AND($D803="收入",N($J803)=0),"※收入行要填收入金额",IF(AND($D803="支出",N($K803)=0),"※支出行要填支出金额",IF(AND($C803&lt;&gt;"",ISNA(MATCH($C803,账户表,0))),"※账户不在基础资料里",IF(AND($G803&lt;&gt;"",ISNA(MATCH($G803,项目名表,0))),"※项目不在项目台账里",IF(AND(LEFT($F803,3)="成本-",$G803=""),"※成本类支出没填项目",IF(AND(LEFT($F803,3)="成本-",$H803&lt;&gt;"",N($K803)&gt;0,COUNTIFS(采购单!$B:$B,$B803,采购单!$C:$C,$H803,采购单!$L:$L,$K803)&gt;0),"※这笔可能和采购单重复了",""))))))))))</f>
        <v/>
      </c>
    </row>
    <row r="804">
      <c r="A804" s="17">
        <f>IF($B804="","",ROW()-3)</f>
        <v/>
      </c>
      <c r="B804" s="18" t="n">
        <v>46254</v>
      </c>
      <c r="C804" s="13" t="inlineStr">
        <is>
          <t>微信1</t>
        </is>
      </c>
      <c r="D804" s="13" t="inlineStr">
        <is>
          <t>支出</t>
        </is>
      </c>
      <c r="E804" s="13" t="inlineStr">
        <is>
          <t>运费/快递费</t>
        </is>
      </c>
      <c r="F804" s="17">
        <f>IF($E804="","",IFERROR(VLOOKUP($E804,类别归属,2,0),"※类别不在基础资料里"))</f>
        <v/>
      </c>
      <c r="G804" s="13" t="n"/>
      <c r="H804" s="13" t="n"/>
      <c r="I804" s="13" t="inlineStr">
        <is>
          <t>杭州炳秀湖州26-28线路</t>
        </is>
      </c>
      <c r="J804" s="14" t="n"/>
      <c r="K804" s="14" t="n">
        <v>18</v>
      </c>
      <c r="L804" s="19">
        <f>IF($C804="","",ROUND(IFERROR(VLOOKUP($C804,账户期初,2,0),0)+SUMIFS($J$4:J804,$C$4:C804,$C804)-SUMIFS($K$4:K804,$C$4:C804,$C804),2))</f>
        <v/>
      </c>
      <c r="M804" s="19">
        <f>IF($C804="","",ROUND(SUM(基础资料!$B$4:$B$13)+SUM($J$4:J804)-SUM($K$4:K804),2))</f>
        <v/>
      </c>
      <c r="N804" s="13" t="n"/>
      <c r="O804" s="13" t="n"/>
      <c r="P804" s="17">
        <f>IF($B804="","",IF($F804="※类别不在基础资料里","※费用类别不在基础资料里",IF(AND(N($J804)=0,N($K804)=0),"※这行没填金额",IF(AND(N($J804)&gt;0,N($K804)&gt;0),"※收入和支出不能同一行都填",IF(AND($D804="收入",N($J804)=0),"※收入行要填收入金额",IF(AND($D804="支出",N($K804)=0),"※支出行要填支出金额",IF(AND($C804&lt;&gt;"",ISNA(MATCH($C804,账户表,0))),"※账户不在基础资料里",IF(AND($G804&lt;&gt;"",ISNA(MATCH($G804,项目名表,0))),"※项目不在项目台账里",IF(AND(LEFT($F804,3)="成本-",$G804=""),"※成本类支出没填项目",IF(AND(LEFT($F804,3)="成本-",$H804&lt;&gt;"",N($K804)&gt;0,COUNTIFS(采购单!$B:$B,$B804,采购单!$C:$C,$H804,采购单!$L:$L,$K804)&gt;0),"※这笔可能和采购单重复了",""))))))))))</f>
        <v/>
      </c>
    </row>
    <row r="805">
      <c r="A805" s="17">
        <f>IF($B805="","",ROW()-3)</f>
        <v/>
      </c>
      <c r="B805" s="18" t="n">
        <v>46254</v>
      </c>
      <c r="C805" s="13" t="inlineStr">
        <is>
          <t>微信1</t>
        </is>
      </c>
      <c r="D805" s="13" t="inlineStr">
        <is>
          <t>支出</t>
        </is>
      </c>
      <c r="E805" s="13" t="inlineStr">
        <is>
          <t>运费/快递费</t>
        </is>
      </c>
      <c r="F805" s="17">
        <f>IF($E805="","",IFERROR(VLOOKUP($E805,类别归属,2,0),"※类别不在基础资料里"))</f>
        <v/>
      </c>
      <c r="G805" s="13" t="n"/>
      <c r="H805" s="13" t="inlineStr">
        <is>
          <t>顺丰速运</t>
        </is>
      </c>
      <c r="I805" s="13" t="inlineStr">
        <is>
          <t>顺丰速运</t>
        </is>
      </c>
      <c r="J805" s="14" t="n"/>
      <c r="K805" s="14" t="n">
        <v>12.61</v>
      </c>
      <c r="L805" s="19">
        <f>IF($C805="","",ROUND(IFERROR(VLOOKUP($C805,账户期初,2,0),0)+SUMIFS($J$4:J805,$C$4:C805,$C805)-SUMIFS($K$4:K805,$C$4:C805,$C805),2))</f>
        <v/>
      </c>
      <c r="M805" s="19">
        <f>IF($C805="","",ROUND(SUM(基础资料!$B$4:$B$13)+SUM($J$4:J805)-SUM($K$4:K805),2))</f>
        <v/>
      </c>
      <c r="N805" s="13" t="n"/>
      <c r="O805" s="13" t="n"/>
      <c r="P805" s="17">
        <f>IF($B805="","",IF($F805="※类别不在基础资料里","※费用类别不在基础资料里",IF(AND(N($J805)=0,N($K805)=0),"※这行没填金额",IF(AND(N($J805)&gt;0,N($K805)&gt;0),"※收入和支出不能同一行都填",IF(AND($D805="收入",N($J805)=0),"※收入行要填收入金额",IF(AND($D805="支出",N($K805)=0),"※支出行要填支出金额",IF(AND($C805&lt;&gt;"",ISNA(MATCH($C805,账户表,0))),"※账户不在基础资料里",IF(AND($G805&lt;&gt;"",ISNA(MATCH($G805,项目名表,0))),"※项目不在项目台账里",IF(AND(LEFT($F805,3)="成本-",$G805=""),"※成本类支出没填项目",IF(AND(LEFT($F805,3)="成本-",$H805&lt;&gt;"",N($K805)&gt;0,COUNTIFS(采购单!$B:$B,$B805,采购单!$C:$C,$H805,采购单!$L:$L,$K805)&gt;0),"※这笔可能和采购单重复了",""))))))))))</f>
        <v/>
      </c>
    </row>
    <row r="806">
      <c r="A806" s="17">
        <f>IF($B806="","",ROW()-3)</f>
        <v/>
      </c>
      <c r="B806" s="18" t="n">
        <v>46254</v>
      </c>
      <c r="C806" s="13" t="inlineStr">
        <is>
          <t>微信1</t>
        </is>
      </c>
      <c r="D806" s="13" t="inlineStr">
        <is>
          <t>支出</t>
        </is>
      </c>
      <c r="E806" s="13" t="inlineStr">
        <is>
          <t>运费/快递费</t>
        </is>
      </c>
      <c r="F806" s="17">
        <f>IF($E806="","",IFERROR(VLOOKUP($E806,类别归属,2,0),"※类别不在基础资料里"))</f>
        <v/>
      </c>
      <c r="G806" s="13" t="n"/>
      <c r="H806" s="13" t="inlineStr">
        <is>
          <t>顺丰速运</t>
        </is>
      </c>
      <c r="I806" s="13" t="inlineStr">
        <is>
          <t>顺丰速运</t>
        </is>
      </c>
      <c r="J806" s="14" t="n"/>
      <c r="K806" s="14" t="n">
        <v>12.61</v>
      </c>
      <c r="L806" s="19">
        <f>IF($C806="","",ROUND(IFERROR(VLOOKUP($C806,账户期初,2,0),0)+SUMIFS($J$4:J806,$C$4:C806,$C806)-SUMIFS($K$4:K806,$C$4:C806,$C806),2))</f>
        <v/>
      </c>
      <c r="M806" s="19">
        <f>IF($C806="","",ROUND(SUM(基础资料!$B$4:$B$13)+SUM($J$4:J806)-SUM($K$4:K806),2))</f>
        <v/>
      </c>
      <c r="N806" s="13" t="n"/>
      <c r="O806" s="13" t="n"/>
      <c r="P806" s="17">
        <f>IF($B806="","",IF($F806="※类别不在基础资料里","※费用类别不在基础资料里",IF(AND(N($J806)=0,N($K806)=0),"※这行没填金额",IF(AND(N($J806)&gt;0,N($K806)&gt;0),"※收入和支出不能同一行都填",IF(AND($D806="收入",N($J806)=0),"※收入行要填收入金额",IF(AND($D806="支出",N($K806)=0),"※支出行要填支出金额",IF(AND($C806&lt;&gt;"",ISNA(MATCH($C806,账户表,0))),"※账户不在基础资料里",IF(AND($G806&lt;&gt;"",ISNA(MATCH($G806,项目名表,0))),"※项目不在项目台账里",IF(AND(LEFT($F806,3)="成本-",$G806=""),"※成本类支出没填项目",IF(AND(LEFT($F806,3)="成本-",$H806&lt;&gt;"",N($K806)&gt;0,COUNTIFS(采购单!$B:$B,$B806,采购单!$C:$C,$H806,采购单!$L:$L,$K806)&gt;0),"※这笔可能和采购单重复了",""))))))))))</f>
        <v/>
      </c>
    </row>
    <row r="807">
      <c r="A807" s="17">
        <f>IF($B807="","",ROW()-3)</f>
        <v/>
      </c>
      <c r="B807" s="18" t="n">
        <v>46254</v>
      </c>
      <c r="C807" s="13" t="inlineStr">
        <is>
          <t>微信1</t>
        </is>
      </c>
      <c r="D807" s="13" t="inlineStr">
        <is>
          <t>支出</t>
        </is>
      </c>
      <c r="E807" s="13" t="inlineStr">
        <is>
          <t>广告推广</t>
        </is>
      </c>
      <c r="F807" s="17">
        <f>IF($E807="","",IFERROR(VLOOKUP($E807,类别归属,2,0),"※类别不在基础资料里"))</f>
        <v/>
      </c>
      <c r="G807" s="13" t="n"/>
      <c r="H807" s="13" t="n"/>
      <c r="I807" s="13" t="inlineStr">
        <is>
          <t>巨量本地推</t>
        </is>
      </c>
      <c r="J807" s="14" t="n"/>
      <c r="K807" s="14" t="n">
        <v>200</v>
      </c>
      <c r="L807" s="19">
        <f>IF($C807="","",ROUND(IFERROR(VLOOKUP($C807,账户期初,2,0),0)+SUMIFS($J$4:J807,$C$4:C807,$C807)-SUMIFS($K$4:K807,$C$4:C807,$C807),2))</f>
        <v/>
      </c>
      <c r="M807" s="19">
        <f>IF($C807="","",ROUND(SUM(基础资料!$B$4:$B$13)+SUM($J$4:J807)-SUM($K$4:K807),2))</f>
        <v/>
      </c>
      <c r="N807" s="13" t="n"/>
      <c r="O807" s="13" t="n"/>
      <c r="P807" s="17">
        <f>IF($B807="","",IF($F807="※类别不在基础资料里","※费用类别不在基础资料里",IF(AND(N($J807)=0,N($K807)=0),"※这行没填金额",IF(AND(N($J807)&gt;0,N($K807)&gt;0),"※收入和支出不能同一行都填",IF(AND($D807="收入",N($J807)=0),"※收入行要填收入金额",IF(AND($D807="支出",N($K807)=0),"※支出行要填支出金额",IF(AND($C807&lt;&gt;"",ISNA(MATCH($C807,账户表,0))),"※账户不在基础资料里",IF(AND($G807&lt;&gt;"",ISNA(MATCH($G807,项目名表,0))),"※项目不在项目台账里",IF(AND(LEFT($F807,3)="成本-",$G807=""),"※成本类支出没填项目",IF(AND(LEFT($F807,3)="成本-",$H807&lt;&gt;"",N($K807)&gt;0,COUNTIFS(采购单!$B:$B,$B807,采购单!$C:$C,$H807,采购单!$L:$L,$K807)&gt;0),"※这笔可能和采购单重复了",""))))))))))</f>
        <v/>
      </c>
    </row>
    <row r="808">
      <c r="A808" s="17">
        <f>IF($B808="","",ROW()-3)</f>
        <v/>
      </c>
      <c r="B808" s="18" t="n">
        <v>46254</v>
      </c>
      <c r="C808" s="13" t="inlineStr">
        <is>
          <t>微信1</t>
        </is>
      </c>
      <c r="D808" s="13" t="inlineStr">
        <is>
          <t>支出</t>
        </is>
      </c>
      <c r="E808" s="13" t="inlineStr">
        <is>
          <t>广告推广</t>
        </is>
      </c>
      <c r="F808" s="17">
        <f>IF($E808="","",IFERROR(VLOOKUP($E808,类别归属,2,0),"※类别不在基础资料里"))</f>
        <v/>
      </c>
      <c r="G808" s="13" t="n"/>
      <c r="H808" s="13" t="n"/>
      <c r="I808" s="13" t="inlineStr">
        <is>
          <t>发给视频 (Solace)</t>
        </is>
      </c>
      <c r="J808" s="14" t="n"/>
      <c r="K808" s="14" t="n">
        <v>30</v>
      </c>
      <c r="L808" s="19">
        <f>IF($C808="","",ROUND(IFERROR(VLOOKUP($C808,账户期初,2,0),0)+SUMIFS($J$4:J808,$C$4:C808,$C808)-SUMIFS($K$4:K808,$C$4:C808,$C808),2))</f>
        <v/>
      </c>
      <c r="M808" s="19">
        <f>IF($C808="","",ROUND(SUM(基础资料!$B$4:$B$13)+SUM($J$4:J808)-SUM($K$4:K808),2))</f>
        <v/>
      </c>
      <c r="N808" s="13" t="n"/>
      <c r="O808" s="13" t="n"/>
      <c r="P808" s="17">
        <f>IF($B808="","",IF($F808="※类别不在基础资料里","※费用类别不在基础资料里",IF(AND(N($J808)=0,N($K808)=0),"※这行没填金额",IF(AND(N($J808)&gt;0,N($K808)&gt;0),"※收入和支出不能同一行都填",IF(AND($D808="收入",N($J808)=0),"※收入行要填收入金额",IF(AND($D808="支出",N($K808)=0),"※支出行要填支出金额",IF(AND($C808&lt;&gt;"",ISNA(MATCH($C808,账户表,0))),"※账户不在基础资料里",IF(AND($G808&lt;&gt;"",ISNA(MATCH($G808,项目名表,0))),"※项目不在项目台账里",IF(AND(LEFT($F808,3)="成本-",$G808=""),"※成本类支出没填项目",IF(AND(LEFT($F808,3)="成本-",$H808&lt;&gt;"",N($K808)&gt;0,COUNTIFS(采购单!$B:$B,$B808,采购单!$C:$C,$H808,采购单!$L:$L,$K808)&gt;0),"※这笔可能和采购单重复了",""))))))))))</f>
        <v/>
      </c>
    </row>
    <row r="809">
      <c r="A809" s="17">
        <f>IF($B809="","",ROW()-3)</f>
        <v/>
      </c>
      <c r="B809" s="18" t="n">
        <v>46255</v>
      </c>
      <c r="C809" s="13" t="inlineStr">
        <is>
          <t>微信1</t>
        </is>
      </c>
      <c r="D809" s="13" t="inlineStr">
        <is>
          <t>支出</t>
        </is>
      </c>
      <c r="E809" s="13" t="inlineStr">
        <is>
          <t>设计费</t>
        </is>
      </c>
      <c r="F809" s="17">
        <f>IF($E809="","",IFERROR(VLOOKUP($E809,类别归属,2,0),"※类别不在基础资料里"))</f>
        <v/>
      </c>
      <c r="G809" s="13" t="n"/>
      <c r="H809" s="13" t="n"/>
      <c r="I809" s="13" t="inlineStr">
        <is>
          <t>设计 徐可欣 (4ever)</t>
        </is>
      </c>
      <c r="J809" s="14" t="n"/>
      <c r="K809" s="14" t="n">
        <v>24</v>
      </c>
      <c r="L809" s="19">
        <f>IF($C809="","",ROUND(IFERROR(VLOOKUP($C809,账户期初,2,0),0)+SUMIFS($J$4:J809,$C$4:C809,$C809)-SUMIFS($K$4:K809,$C$4:C809,$C809),2))</f>
        <v/>
      </c>
      <c r="M809" s="19">
        <f>IF($C809="","",ROUND(SUM(基础资料!$B$4:$B$13)+SUM($J$4:J809)-SUM($K$4:K809),2))</f>
        <v/>
      </c>
      <c r="N809" s="13" t="n"/>
      <c r="O809" s="13" t="n"/>
      <c r="P809" s="17">
        <f>IF($B809="","",IF($F809="※类别不在基础资料里","※费用类别不在基础资料里",IF(AND(N($J809)=0,N($K809)=0),"※这行没填金额",IF(AND(N($J809)&gt;0,N($K809)&gt;0),"※收入和支出不能同一行都填",IF(AND($D809="收入",N($J809)=0),"※收入行要填收入金额",IF(AND($D809="支出",N($K809)=0),"※支出行要填支出金额",IF(AND($C809&lt;&gt;"",ISNA(MATCH($C809,账户表,0))),"※账户不在基础资料里",IF(AND($G809&lt;&gt;"",ISNA(MATCH($G809,项目名表,0))),"※项目不在项目台账里",IF(AND(LEFT($F809,3)="成本-",$G809=""),"※成本类支出没填项目",IF(AND(LEFT($F809,3)="成本-",$H809&lt;&gt;"",N($K809)&gt;0,COUNTIFS(采购单!$B:$B,$B809,采购单!$C:$C,$H809,采购单!$L:$L,$K809)&gt;0),"※这笔可能和采购单重复了",""))))))))))</f>
        <v/>
      </c>
    </row>
    <row r="810">
      <c r="A810" s="17">
        <f>IF($B810="","",ROW()-3)</f>
        <v/>
      </c>
      <c r="B810" s="18" t="n">
        <v>46255</v>
      </c>
      <c r="C810" s="13" t="inlineStr">
        <is>
          <t>微信1</t>
        </is>
      </c>
      <c r="D810" s="13" t="inlineStr">
        <is>
          <t>支出</t>
        </is>
      </c>
      <c r="E810" s="13" t="inlineStr">
        <is>
          <t>运费/快递费</t>
        </is>
      </c>
      <c r="F810" s="17">
        <f>IF($E810="","",IFERROR(VLOOKUP($E810,类别归属,2,0),"※类别不在基础资料里"))</f>
        <v/>
      </c>
      <c r="G810" s="13" t="n"/>
      <c r="H810" s="13" t="n"/>
      <c r="I810" s="13" t="inlineStr">
        <is>
          <t>杭州炳秀湖州26-28线路</t>
        </is>
      </c>
      <c r="J810" s="14" t="n"/>
      <c r="K810" s="14" t="n">
        <v>8</v>
      </c>
      <c r="L810" s="19">
        <f>IF($C810="","",ROUND(IFERROR(VLOOKUP($C810,账户期初,2,0),0)+SUMIFS($J$4:J810,$C$4:C810,$C810)-SUMIFS($K$4:K810,$C$4:C810,$C810),2))</f>
        <v/>
      </c>
      <c r="M810" s="19">
        <f>IF($C810="","",ROUND(SUM(基础资料!$B$4:$B$13)+SUM($J$4:J810)-SUM($K$4:K810),2))</f>
        <v/>
      </c>
      <c r="N810" s="13" t="n"/>
      <c r="O810" s="13" t="n"/>
      <c r="P810" s="17">
        <f>IF($B810="","",IF($F810="※类别不在基础资料里","※费用类别不在基础资料里",IF(AND(N($J810)=0,N($K810)=0),"※这行没填金额",IF(AND(N($J810)&gt;0,N($K810)&gt;0),"※收入和支出不能同一行都填",IF(AND($D810="收入",N($J810)=0),"※收入行要填收入金额",IF(AND($D810="支出",N($K810)=0),"※支出行要填支出金额",IF(AND($C810&lt;&gt;"",ISNA(MATCH($C810,账户表,0))),"※账户不在基础资料里",IF(AND($G810&lt;&gt;"",ISNA(MATCH($G810,项目名表,0))),"※项目不在项目台账里",IF(AND(LEFT($F810,3)="成本-",$G810=""),"※成本类支出没填项目",IF(AND(LEFT($F810,3)="成本-",$H810&lt;&gt;"",N($K810)&gt;0,COUNTIFS(采购单!$B:$B,$B810,采购单!$C:$C,$H810,采购单!$L:$L,$K810)&gt;0),"※这笔可能和采购单重复了",""))))))))))</f>
        <v/>
      </c>
    </row>
    <row r="811">
      <c r="A811" s="17">
        <f>IF($B811="","",ROW()-3)</f>
        <v/>
      </c>
      <c r="B811" s="18" t="n">
        <v>46256</v>
      </c>
      <c r="C811" s="13" t="inlineStr">
        <is>
          <t>微信1</t>
        </is>
      </c>
      <c r="D811" s="13" t="inlineStr">
        <is>
          <t>支出</t>
        </is>
      </c>
      <c r="E811" s="13" t="inlineStr">
        <is>
          <t>广告推广</t>
        </is>
      </c>
      <c r="F811" s="17">
        <f>IF($E811="","",IFERROR(VLOOKUP($E811,类别归属,2,0),"※类别不在基础资料里"))</f>
        <v/>
      </c>
      <c r="G811" s="13" t="n"/>
      <c r="H811" s="13" t="n"/>
      <c r="I811" s="13" t="inlineStr">
        <is>
          <t>发给视频 (Solace)</t>
        </is>
      </c>
      <c r="J811" s="14" t="n"/>
      <c r="K811" s="14" t="n">
        <v>30</v>
      </c>
      <c r="L811" s="19">
        <f>IF($C811="","",ROUND(IFERROR(VLOOKUP($C811,账户期初,2,0),0)+SUMIFS($J$4:J811,$C$4:C811,$C811)-SUMIFS($K$4:K811,$C$4:C811,$C811),2))</f>
        <v/>
      </c>
      <c r="M811" s="19">
        <f>IF($C811="","",ROUND(SUM(基础资料!$B$4:$B$13)+SUM($J$4:J811)-SUM($K$4:K811),2))</f>
        <v/>
      </c>
      <c r="N811" s="13" t="n"/>
      <c r="O811" s="13" t="n"/>
      <c r="P811" s="17">
        <f>IF($B811="","",IF($F811="※类别不在基础资料里","※费用类别不在基础资料里",IF(AND(N($J811)=0,N($K811)=0),"※这行没填金额",IF(AND(N($J811)&gt;0,N($K811)&gt;0),"※收入和支出不能同一行都填",IF(AND($D811="收入",N($J811)=0),"※收入行要填收入金额",IF(AND($D811="支出",N($K811)=0),"※支出行要填支出金额",IF(AND($C811&lt;&gt;"",ISNA(MATCH($C811,账户表,0))),"※账户不在基础资料里",IF(AND($G811&lt;&gt;"",ISNA(MATCH($G811,项目名表,0))),"※项目不在项目台账里",IF(AND(LEFT($F811,3)="成本-",$G811=""),"※成本类支出没填项目",IF(AND(LEFT($F811,3)="成本-",$H811&lt;&gt;"",N($K811)&gt;0,COUNTIFS(采购单!$B:$B,$B811,采购单!$C:$C,$H811,采购单!$L:$L,$K811)&gt;0),"※这笔可能和采购单重复了",""))))))))))</f>
        <v/>
      </c>
    </row>
    <row r="812">
      <c r="A812" s="17">
        <f>IF($B812="","",ROW()-3)</f>
        <v/>
      </c>
      <c r="B812" s="18" t="n">
        <v>46256</v>
      </c>
      <c r="C812" s="13" t="inlineStr">
        <is>
          <t>微信1</t>
        </is>
      </c>
      <c r="D812" s="13" t="inlineStr">
        <is>
          <t>支出</t>
        </is>
      </c>
      <c r="E812" s="13" t="inlineStr">
        <is>
          <t>运费/快递费</t>
        </is>
      </c>
      <c r="F812" s="17">
        <f>IF($E812="","",IFERROR(VLOOKUP($E812,类别归属,2,0),"※类别不在基础资料里"))</f>
        <v/>
      </c>
      <c r="G812" s="13" t="n"/>
      <c r="H812" s="13" t="n"/>
      <c r="I812" s="13" t="inlineStr">
        <is>
          <t>杭州炳秀湖州26-28线路</t>
        </is>
      </c>
      <c r="J812" s="14" t="n"/>
      <c r="K812" s="14" t="n">
        <v>42</v>
      </c>
      <c r="L812" s="19">
        <f>IF($C812="","",ROUND(IFERROR(VLOOKUP($C812,账户期初,2,0),0)+SUMIFS($J$4:J812,$C$4:C812,$C812)-SUMIFS($K$4:K812,$C$4:C812,$C812),2))</f>
        <v/>
      </c>
      <c r="M812" s="19">
        <f>IF($C812="","",ROUND(SUM(基础资料!$B$4:$B$13)+SUM($J$4:J812)-SUM($K$4:K812),2))</f>
        <v/>
      </c>
      <c r="N812" s="13" t="n"/>
      <c r="O812" s="13" t="n"/>
      <c r="P812" s="17">
        <f>IF($B812="","",IF($F812="※类别不在基础资料里","※费用类别不在基础资料里",IF(AND(N($J812)=0,N($K812)=0),"※这行没填金额",IF(AND(N($J812)&gt;0,N($K812)&gt;0),"※收入和支出不能同一行都填",IF(AND($D812="收入",N($J812)=0),"※收入行要填收入金额",IF(AND($D812="支出",N($K812)=0),"※支出行要填支出金额",IF(AND($C812&lt;&gt;"",ISNA(MATCH($C812,账户表,0))),"※账户不在基础资料里",IF(AND($G812&lt;&gt;"",ISNA(MATCH($G812,项目名表,0))),"※项目不在项目台账里",IF(AND(LEFT($F812,3)="成本-",$G812=""),"※成本类支出没填项目",IF(AND(LEFT($F812,3)="成本-",$H812&lt;&gt;"",N($K812)&gt;0,COUNTIFS(采购单!$B:$B,$B812,采购单!$C:$C,$H812,采购单!$L:$L,$K812)&gt;0),"※这笔可能和采购单重复了",""))))))))))</f>
        <v/>
      </c>
    </row>
    <row r="813">
      <c r="A813" s="17">
        <f>IF($B813="","",ROW()-3)</f>
        <v/>
      </c>
      <c r="B813" s="18" t="n">
        <v>46256</v>
      </c>
      <c r="C813" s="13" t="inlineStr">
        <is>
          <t>微信1</t>
        </is>
      </c>
      <c r="D813" s="13" t="inlineStr">
        <is>
          <t>支出</t>
        </is>
      </c>
      <c r="E813" s="13" t="inlineStr">
        <is>
          <t>广告推广</t>
        </is>
      </c>
      <c r="F813" s="17">
        <f>IF($E813="","",IFERROR(VLOOKUP($E813,类别归属,2,0),"※类别不在基础资料里"))</f>
        <v/>
      </c>
      <c r="G813" s="13" t="n"/>
      <c r="H813" s="13" t="n"/>
      <c r="I813" s="13" t="inlineStr">
        <is>
          <t>发给视频 (Solace)</t>
        </is>
      </c>
      <c r="J813" s="14" t="n"/>
      <c r="K813" s="14" t="n">
        <v>30</v>
      </c>
      <c r="L813" s="19">
        <f>IF($C813="","",ROUND(IFERROR(VLOOKUP($C813,账户期初,2,0),0)+SUMIFS($J$4:J813,$C$4:C813,$C813)-SUMIFS($K$4:K813,$C$4:C813,$C813),2))</f>
        <v/>
      </c>
      <c r="M813" s="19">
        <f>IF($C813="","",ROUND(SUM(基础资料!$B$4:$B$13)+SUM($J$4:J813)-SUM($K$4:K813),2))</f>
        <v/>
      </c>
      <c r="N813" s="13" t="n"/>
      <c r="O813" s="13" t="n"/>
      <c r="P813" s="17">
        <f>IF($B813="","",IF($F813="※类别不在基础资料里","※费用类别不在基础资料里",IF(AND(N($J813)=0,N($K813)=0),"※这行没填金额",IF(AND(N($J813)&gt;0,N($K813)&gt;0),"※收入和支出不能同一行都填",IF(AND($D813="收入",N($J813)=0),"※收入行要填收入金额",IF(AND($D813="支出",N($K813)=0),"※支出行要填支出金额",IF(AND($C813&lt;&gt;"",ISNA(MATCH($C813,账户表,0))),"※账户不在基础资料里",IF(AND($G813&lt;&gt;"",ISNA(MATCH($G813,项目名表,0))),"※项目不在项目台账里",IF(AND(LEFT($F813,3)="成本-",$G813=""),"※成本类支出没填项目",IF(AND(LEFT($F813,3)="成本-",$H813&lt;&gt;"",N($K813)&gt;0,COUNTIFS(采购单!$B:$B,$B813,采购单!$C:$C,$H813,采购单!$L:$L,$K813)&gt;0),"※这笔可能和采购单重复了",""))))))))))</f>
        <v/>
      </c>
    </row>
    <row r="814">
      <c r="A814" s="17">
        <f>IF($B814="","",ROW()-3)</f>
        <v/>
      </c>
      <c r="B814" s="18" t="n">
        <v>46256</v>
      </c>
      <c r="C814" s="13" t="inlineStr">
        <is>
          <t>微信1</t>
        </is>
      </c>
      <c r="D814" s="13" t="inlineStr">
        <is>
          <t>支出</t>
        </is>
      </c>
      <c r="E814" s="13" t="inlineStr">
        <is>
          <t>广告推广</t>
        </is>
      </c>
      <c r="F814" s="17">
        <f>IF($E814="","",IFERROR(VLOOKUP($E814,类别归属,2,0),"※类别不在基础资料里"))</f>
        <v/>
      </c>
      <c r="G814" s="13" t="n"/>
      <c r="H814" s="13" t="n"/>
      <c r="I814" s="13" t="inlineStr">
        <is>
          <t>发给视频 (Solace)</t>
        </is>
      </c>
      <c r="J814" s="14" t="n"/>
      <c r="K814" s="14" t="n">
        <v>30</v>
      </c>
      <c r="L814" s="19">
        <f>IF($C814="","",ROUND(IFERROR(VLOOKUP($C814,账户期初,2,0),0)+SUMIFS($J$4:J814,$C$4:C814,$C814)-SUMIFS($K$4:K814,$C$4:C814,$C814),2))</f>
        <v/>
      </c>
      <c r="M814" s="19">
        <f>IF($C814="","",ROUND(SUM(基础资料!$B$4:$B$13)+SUM($J$4:J814)-SUM($K$4:K814),2))</f>
        <v/>
      </c>
      <c r="N814" s="13" t="n"/>
      <c r="O814" s="13" t="n"/>
      <c r="P814" s="17">
        <f>IF($B814="","",IF($F814="※类别不在基础资料里","※费用类别不在基础资料里",IF(AND(N($J814)=0,N($K814)=0),"※这行没填金额",IF(AND(N($J814)&gt;0,N($K814)&gt;0),"※收入和支出不能同一行都填",IF(AND($D814="收入",N($J814)=0),"※收入行要填收入金额",IF(AND($D814="支出",N($K814)=0),"※支出行要填支出金额",IF(AND($C814&lt;&gt;"",ISNA(MATCH($C814,账户表,0))),"※账户不在基础资料里",IF(AND($G814&lt;&gt;"",ISNA(MATCH($G814,项目名表,0))),"※项目不在项目台账里",IF(AND(LEFT($F814,3)="成本-",$G814=""),"※成本类支出没填项目",IF(AND(LEFT($F814,3)="成本-",$H814&lt;&gt;"",N($K814)&gt;0,COUNTIFS(采购单!$B:$B,$B814,采购单!$C:$C,$H814,采购单!$L:$L,$K814)&gt;0),"※这笔可能和采购单重复了",""))))))))))</f>
        <v/>
      </c>
    </row>
    <row r="815">
      <c r="A815" s="17">
        <f>IF($B815="","",ROW()-3)</f>
        <v/>
      </c>
      <c r="B815" s="18" t="n">
        <v>46256</v>
      </c>
      <c r="C815" s="13" t="inlineStr">
        <is>
          <t>微信1</t>
        </is>
      </c>
      <c r="D815" s="13" t="inlineStr">
        <is>
          <t>支出</t>
        </is>
      </c>
      <c r="E815" s="13" t="inlineStr">
        <is>
          <t>广告推广</t>
        </is>
      </c>
      <c r="F815" s="17">
        <f>IF($E815="","",IFERROR(VLOOKUP($E815,类别归属,2,0),"※类别不在基础资料里"))</f>
        <v/>
      </c>
      <c r="G815" s="13" t="n"/>
      <c r="H815" s="13" t="n"/>
      <c r="I815" s="13" t="inlineStr">
        <is>
          <t>发给视频 (Solace)</t>
        </is>
      </c>
      <c r="J815" s="14" t="n"/>
      <c r="K815" s="14" t="n">
        <v>30</v>
      </c>
      <c r="L815" s="19">
        <f>IF($C815="","",ROUND(IFERROR(VLOOKUP($C815,账户期初,2,0),0)+SUMIFS($J$4:J815,$C$4:C815,$C815)-SUMIFS($K$4:K815,$C$4:C815,$C815),2))</f>
        <v/>
      </c>
      <c r="M815" s="19">
        <f>IF($C815="","",ROUND(SUM(基础资料!$B$4:$B$13)+SUM($J$4:J815)-SUM($K$4:K815),2))</f>
        <v/>
      </c>
      <c r="N815" s="13" t="n"/>
      <c r="O815" s="13" t="n"/>
      <c r="P815" s="17">
        <f>IF($B815="","",IF($F815="※类别不在基础资料里","※费用类别不在基础资料里",IF(AND(N($J815)=0,N($K815)=0),"※这行没填金额",IF(AND(N($J815)&gt;0,N($K815)&gt;0),"※收入和支出不能同一行都填",IF(AND($D815="收入",N($J815)=0),"※收入行要填收入金额",IF(AND($D815="支出",N($K815)=0),"※支出行要填支出金额",IF(AND($C815&lt;&gt;"",ISNA(MATCH($C815,账户表,0))),"※账户不在基础资料里",IF(AND($G815&lt;&gt;"",ISNA(MATCH($G815,项目名表,0))),"※项目不在项目台账里",IF(AND(LEFT($F815,3)="成本-",$G815=""),"※成本类支出没填项目",IF(AND(LEFT($F815,3)="成本-",$H815&lt;&gt;"",N($K815)&gt;0,COUNTIFS(采购单!$B:$B,$B815,采购单!$C:$C,$H815,采购单!$L:$L,$K815)&gt;0),"※这笔可能和采购单重复了",""))))))))))</f>
        <v/>
      </c>
    </row>
    <row r="816">
      <c r="A816" s="17">
        <f>IF($B816="","",ROW()-3)</f>
        <v/>
      </c>
      <c r="B816" s="18" t="n">
        <v>46257</v>
      </c>
      <c r="C816" s="13" t="inlineStr">
        <is>
          <t>微信1</t>
        </is>
      </c>
      <c r="D816" s="13" t="inlineStr">
        <is>
          <t>支出</t>
        </is>
      </c>
      <c r="E816" s="13" t="inlineStr">
        <is>
          <t>待分类</t>
        </is>
      </c>
      <c r="F816" s="17">
        <f>IF($E816="","",IFERROR(VLOOKUP($E816,类别归属,2,0),"※类别不在基础资料里"))</f>
        <v/>
      </c>
      <c r="G816" s="13" t="n"/>
      <c r="H816" s="13" t="n"/>
      <c r="I816" s="13" t="inlineStr">
        <is>
          <t>吉祥     吴玲芳13567289348</t>
        </is>
      </c>
      <c r="J816" s="14" t="n"/>
      <c r="K816" s="14" t="n">
        <v>360</v>
      </c>
      <c r="L816" s="19">
        <f>IF($C816="","",ROUND(IFERROR(VLOOKUP($C816,账户期初,2,0),0)+SUMIFS($J$4:J816,$C$4:C816,$C816)-SUMIFS($K$4:K816,$C$4:C816,$C816),2))</f>
        <v/>
      </c>
      <c r="M816" s="19">
        <f>IF($C816="","",ROUND(SUM(基础资料!$B$4:$B$13)+SUM($J$4:J816)-SUM($K$4:K816),2))</f>
        <v/>
      </c>
      <c r="N816" s="13" t="n"/>
      <c r="O816" s="13" t="n"/>
      <c r="P816" s="17">
        <f>IF($B816="","",IF($F816="※类别不在基础资料里","※费用类别不在基础资料里",IF(AND(N($J816)=0,N($K816)=0),"※这行没填金额",IF(AND(N($J816)&gt;0,N($K816)&gt;0),"※收入和支出不能同一行都填",IF(AND($D816="收入",N($J816)=0),"※收入行要填收入金额",IF(AND($D816="支出",N($K816)=0),"※支出行要填支出金额",IF(AND($C816&lt;&gt;"",ISNA(MATCH($C816,账户表,0))),"※账户不在基础资料里",IF(AND($G816&lt;&gt;"",ISNA(MATCH($G816,项目名表,0))),"※项目不在项目台账里",IF(AND(LEFT($F816,3)="成本-",$G816=""),"※成本类支出没填项目",IF(AND(LEFT($F816,3)="成本-",$H816&lt;&gt;"",N($K816)&gt;0,COUNTIFS(采购单!$B:$B,$B816,采购单!$C:$C,$H816,采购单!$L:$L,$K816)&gt;0),"※这笔可能和采购单重复了",""))))))))))</f>
        <v/>
      </c>
    </row>
    <row r="817">
      <c r="A817" s="17">
        <f>IF($B817="","",ROW()-3)</f>
        <v/>
      </c>
      <c r="B817" s="18" t="n">
        <v>46257</v>
      </c>
      <c r="C817" s="13" t="inlineStr">
        <is>
          <t>微信1</t>
        </is>
      </c>
      <c r="D817" s="13" t="inlineStr">
        <is>
          <t>支出</t>
        </is>
      </c>
      <c r="E817" s="13" t="inlineStr">
        <is>
          <t>运费/快递费</t>
        </is>
      </c>
      <c r="F817" s="17">
        <f>IF($E817="","",IFERROR(VLOOKUP($E817,类别归属,2,0),"※类别不在基础资料里"))</f>
        <v/>
      </c>
      <c r="G817" s="13" t="n"/>
      <c r="H817" s="13" t="n"/>
      <c r="I817" s="13" t="inlineStr">
        <is>
          <t>杭州炳秀湖州26-28线路</t>
        </is>
      </c>
      <c r="J817" s="14" t="n"/>
      <c r="K817" s="14" t="n">
        <v>23</v>
      </c>
      <c r="L817" s="19">
        <f>IF($C817="","",ROUND(IFERROR(VLOOKUP($C817,账户期初,2,0),0)+SUMIFS($J$4:J817,$C$4:C817,$C817)-SUMIFS($K$4:K817,$C$4:C817,$C817),2))</f>
        <v/>
      </c>
      <c r="M817" s="19">
        <f>IF($C817="","",ROUND(SUM(基础资料!$B$4:$B$13)+SUM($J$4:J817)-SUM($K$4:K817),2))</f>
        <v/>
      </c>
      <c r="N817" s="13" t="n"/>
      <c r="O817" s="13" t="n"/>
      <c r="P817" s="17">
        <f>IF($B817="","",IF($F817="※类别不在基础资料里","※费用类别不在基础资料里",IF(AND(N($J817)=0,N($K817)=0),"※这行没填金额",IF(AND(N($J817)&gt;0,N($K817)&gt;0),"※收入和支出不能同一行都填",IF(AND($D817="收入",N($J817)=0),"※收入行要填收入金额",IF(AND($D817="支出",N($K817)=0),"※支出行要填支出金额",IF(AND($C817&lt;&gt;"",ISNA(MATCH($C817,账户表,0))),"※账户不在基础资料里",IF(AND($G817&lt;&gt;"",ISNA(MATCH($G817,项目名表,0))),"※项目不在项目台账里",IF(AND(LEFT($F817,3)="成本-",$G817=""),"※成本类支出没填项目",IF(AND(LEFT($F817,3)="成本-",$H817&lt;&gt;"",N($K817)&gt;0,COUNTIFS(采购单!$B:$B,$B817,采购单!$C:$C,$H817,采购单!$L:$L,$K817)&gt;0),"※这笔可能和采购单重复了",""))))))))))</f>
        <v/>
      </c>
    </row>
    <row r="818">
      <c r="A818" s="17">
        <f>IF($B818="","",ROW()-3)</f>
        <v/>
      </c>
      <c r="B818" s="18" t="n">
        <v>46257</v>
      </c>
      <c r="C818" s="13" t="inlineStr">
        <is>
          <t>微信1</t>
        </is>
      </c>
      <c r="D818" s="13" t="inlineStr">
        <is>
          <t>支出</t>
        </is>
      </c>
      <c r="E818" s="13" t="inlineStr">
        <is>
          <t>广告推广</t>
        </is>
      </c>
      <c r="F818" s="17">
        <f>IF($E818="","",IFERROR(VLOOKUP($E818,类别归属,2,0),"※类别不在基础资料里"))</f>
        <v/>
      </c>
      <c r="G818" s="13" t="n"/>
      <c r="H818" s="13" t="n"/>
      <c r="I818" s="13" t="inlineStr">
        <is>
          <t>发给视频 (Solace)</t>
        </is>
      </c>
      <c r="J818" s="14" t="n"/>
      <c r="K818" s="14" t="n">
        <v>30</v>
      </c>
      <c r="L818" s="19">
        <f>IF($C818="","",ROUND(IFERROR(VLOOKUP($C818,账户期初,2,0),0)+SUMIFS($J$4:J818,$C$4:C818,$C818)-SUMIFS($K$4:K818,$C$4:C818,$C818),2))</f>
        <v/>
      </c>
      <c r="M818" s="19">
        <f>IF($C818="","",ROUND(SUM(基础资料!$B$4:$B$13)+SUM($J$4:J818)-SUM($K$4:K818),2))</f>
        <v/>
      </c>
      <c r="N818" s="13" t="n"/>
      <c r="O818" s="13" t="n"/>
      <c r="P818" s="17">
        <f>IF($B818="","",IF($F818="※类别不在基础资料里","※费用类别不在基础资料里",IF(AND(N($J818)=0,N($K818)=0),"※这行没填金额",IF(AND(N($J818)&gt;0,N($K818)&gt;0),"※收入和支出不能同一行都填",IF(AND($D818="收入",N($J818)=0),"※收入行要填收入金额",IF(AND($D818="支出",N($K818)=0),"※支出行要填支出金额",IF(AND($C818&lt;&gt;"",ISNA(MATCH($C818,账户表,0))),"※账户不在基础资料里",IF(AND($G818&lt;&gt;"",ISNA(MATCH($G818,项目名表,0))),"※项目不在项目台账里",IF(AND(LEFT($F818,3)="成本-",$G818=""),"※成本类支出没填项目",IF(AND(LEFT($F818,3)="成本-",$H818&lt;&gt;"",N($K818)&gt;0,COUNTIFS(采购单!$B:$B,$B818,采购单!$C:$C,$H818,采购单!$L:$L,$K818)&gt;0),"※这笔可能和采购单重复了",""))))))))))</f>
        <v/>
      </c>
    </row>
    <row r="819">
      <c r="A819" s="17">
        <f>IF($B819="","",ROW()-3)</f>
        <v/>
      </c>
      <c r="B819" s="18" t="n">
        <v>46257</v>
      </c>
      <c r="C819" s="13" t="inlineStr">
        <is>
          <t>微信1</t>
        </is>
      </c>
      <c r="D819" s="13" t="inlineStr">
        <is>
          <t>支出</t>
        </is>
      </c>
      <c r="E819" s="13" t="inlineStr">
        <is>
          <t>广告推广</t>
        </is>
      </c>
      <c r="F819" s="17">
        <f>IF($E819="","",IFERROR(VLOOKUP($E819,类别归属,2,0),"※类别不在基础资料里"))</f>
        <v/>
      </c>
      <c r="G819" s="13" t="n"/>
      <c r="H819" s="13" t="n"/>
      <c r="I819" s="13" t="inlineStr">
        <is>
          <t>发给视频 (Solace)</t>
        </is>
      </c>
      <c r="J819" s="14" t="n"/>
      <c r="K819" s="14" t="n">
        <v>30</v>
      </c>
      <c r="L819" s="19">
        <f>IF($C819="","",ROUND(IFERROR(VLOOKUP($C819,账户期初,2,0),0)+SUMIFS($J$4:J819,$C$4:C819,$C819)-SUMIFS($K$4:K819,$C$4:C819,$C819),2))</f>
        <v/>
      </c>
      <c r="M819" s="19">
        <f>IF($C819="","",ROUND(SUM(基础资料!$B$4:$B$13)+SUM($J$4:J819)-SUM($K$4:K819),2))</f>
        <v/>
      </c>
      <c r="N819" s="13" t="n"/>
      <c r="O819" s="13" t="n"/>
      <c r="P819" s="17">
        <f>IF($B819="","",IF($F819="※类别不在基础资料里","※费用类别不在基础资料里",IF(AND(N($J819)=0,N($K819)=0),"※这行没填金额",IF(AND(N($J819)&gt;0,N($K819)&gt;0),"※收入和支出不能同一行都填",IF(AND($D819="收入",N($J819)=0),"※收入行要填收入金额",IF(AND($D819="支出",N($K819)=0),"※支出行要填支出金额",IF(AND($C819&lt;&gt;"",ISNA(MATCH($C819,账户表,0))),"※账户不在基础资料里",IF(AND($G819&lt;&gt;"",ISNA(MATCH($G819,项目名表,0))),"※项目不在项目台账里",IF(AND(LEFT($F819,3)="成本-",$G819=""),"※成本类支出没填项目",IF(AND(LEFT($F819,3)="成本-",$H819&lt;&gt;"",N($K819)&gt;0,COUNTIFS(采购单!$B:$B,$B819,采购单!$C:$C,$H819,采购单!$L:$L,$K819)&gt;0),"※这笔可能和采购单重复了",""))))))))))</f>
        <v/>
      </c>
    </row>
    <row r="820">
      <c r="A820" s="17">
        <f>IF($B820="","",ROW()-3)</f>
        <v/>
      </c>
      <c r="B820" s="18" t="n">
        <v>46258</v>
      </c>
      <c r="C820" s="13" t="inlineStr">
        <is>
          <t>微信1</t>
        </is>
      </c>
      <c r="D820" s="13" t="inlineStr">
        <is>
          <t>支出</t>
        </is>
      </c>
      <c r="E820" s="13" t="inlineStr">
        <is>
          <t>待分类</t>
        </is>
      </c>
      <c r="F820" s="17">
        <f>IF($E820="","",IFERROR(VLOOKUP($E820,类别归属,2,0),"※类别不在基础资料里"))</f>
        <v/>
      </c>
      <c r="G820" s="13" t="n"/>
      <c r="H820" s="13" t="n"/>
      <c r="I820" s="13" t="inlineStr">
        <is>
          <t>郑李芳13059978799原首章改为亿帆</t>
        </is>
      </c>
      <c r="J820" s="14" t="n"/>
      <c r="K820" s="14" t="n">
        <v>168</v>
      </c>
      <c r="L820" s="19">
        <f>IF($C820="","",ROUND(IFERROR(VLOOKUP($C820,账户期初,2,0),0)+SUMIFS($J$4:J820,$C$4:C820,$C820)-SUMIFS($K$4:K820,$C$4:C820,$C820),2))</f>
        <v/>
      </c>
      <c r="M820" s="19">
        <f>IF($C820="","",ROUND(SUM(基础资料!$B$4:$B$13)+SUM($J$4:J820)-SUM($K$4:K820),2))</f>
        <v/>
      </c>
      <c r="N820" s="13" t="n"/>
      <c r="O820" s="13" t="n"/>
      <c r="P820" s="17">
        <f>IF($B820="","",IF($F820="※类别不在基础资料里","※费用类别不在基础资料里",IF(AND(N($J820)=0,N($K820)=0),"※这行没填金额",IF(AND(N($J820)&gt;0,N($K820)&gt;0),"※收入和支出不能同一行都填",IF(AND($D820="收入",N($J820)=0),"※收入行要填收入金额",IF(AND($D820="支出",N($K820)=0),"※支出行要填支出金额",IF(AND($C820&lt;&gt;"",ISNA(MATCH($C820,账户表,0))),"※账户不在基础资料里",IF(AND($G820&lt;&gt;"",ISNA(MATCH($G820,项目名表,0))),"※项目不在项目台账里",IF(AND(LEFT($F820,3)="成本-",$G820=""),"※成本类支出没填项目",IF(AND(LEFT($F820,3)="成本-",$H820&lt;&gt;"",N($K820)&gt;0,COUNTIFS(采购单!$B:$B,$B820,采购单!$C:$C,$H820,采购单!$L:$L,$K820)&gt;0),"※这笔可能和采购单重复了",""))))))))))</f>
        <v/>
      </c>
    </row>
    <row r="821">
      <c r="A821" s="17">
        <f>IF($B821="","",ROW()-3)</f>
        <v/>
      </c>
      <c r="B821" s="18" t="n">
        <v>46258</v>
      </c>
      <c r="C821" s="13" t="inlineStr">
        <is>
          <t>微信1</t>
        </is>
      </c>
      <c r="D821" s="13" t="inlineStr">
        <is>
          <t>支出</t>
        </is>
      </c>
      <c r="E821" s="13" t="inlineStr">
        <is>
          <t>待分类</t>
        </is>
      </c>
      <c r="F821" s="17">
        <f>IF($E821="","",IFERROR(VLOOKUP($E821,类别归属,2,0),"※类别不在基础资料里"))</f>
        <v/>
      </c>
      <c r="G821" s="13" t="n"/>
      <c r="H821" s="13" t="n"/>
      <c r="I821" s="13" t="inlineStr">
        <is>
          <t>十足</t>
        </is>
      </c>
      <c r="J821" s="14" t="n"/>
      <c r="K821" s="14" t="n">
        <v>7.2</v>
      </c>
      <c r="L821" s="19">
        <f>IF($C821="","",ROUND(IFERROR(VLOOKUP($C821,账户期初,2,0),0)+SUMIFS($J$4:J821,$C$4:C821,$C821)-SUMIFS($K$4:K821,$C$4:C821,$C821),2))</f>
        <v/>
      </c>
      <c r="M821" s="19">
        <f>IF($C821="","",ROUND(SUM(基础资料!$B$4:$B$13)+SUM($J$4:J821)-SUM($K$4:K821),2))</f>
        <v/>
      </c>
      <c r="N821" s="13" t="n"/>
      <c r="O821" s="13" t="n"/>
      <c r="P821" s="17">
        <f>IF($B821="","",IF($F821="※类别不在基础资料里","※费用类别不在基础资料里",IF(AND(N($J821)=0,N($K821)=0),"※这行没填金额",IF(AND(N($J821)&gt;0,N($K821)&gt;0),"※收入和支出不能同一行都填",IF(AND($D821="收入",N($J821)=0),"※收入行要填收入金额",IF(AND($D821="支出",N($K821)=0),"※支出行要填支出金额",IF(AND($C821&lt;&gt;"",ISNA(MATCH($C821,账户表,0))),"※账户不在基础资料里",IF(AND($G821&lt;&gt;"",ISNA(MATCH($G821,项目名表,0))),"※项目不在项目台账里",IF(AND(LEFT($F821,3)="成本-",$G821=""),"※成本类支出没填项目",IF(AND(LEFT($F821,3)="成本-",$H821&lt;&gt;"",N($K821)&gt;0,COUNTIFS(采购单!$B:$B,$B821,采购单!$C:$C,$H821,采购单!$L:$L,$K821)&gt;0),"※这笔可能和采购单重复了",""))))))))))</f>
        <v/>
      </c>
    </row>
    <row r="822">
      <c r="A822" s="17">
        <f>IF($B822="","",ROW()-3)</f>
        <v/>
      </c>
      <c r="B822" s="18" t="n">
        <v>46258</v>
      </c>
      <c r="C822" s="13" t="inlineStr">
        <is>
          <t>微信1</t>
        </is>
      </c>
      <c r="D822" s="13" t="inlineStr">
        <is>
          <t>支出</t>
        </is>
      </c>
      <c r="E822" s="13" t="inlineStr">
        <is>
          <t>广告推广</t>
        </is>
      </c>
      <c r="F822" s="17">
        <f>IF($E822="","",IFERROR(VLOOKUP($E822,类别归属,2,0),"※类别不在基础资料里"))</f>
        <v/>
      </c>
      <c r="G822" s="13" t="n"/>
      <c r="H822" s="13" t="n"/>
      <c r="I822" s="13" t="inlineStr">
        <is>
          <t>发给视频 (Solace)</t>
        </is>
      </c>
      <c r="J822" s="14" t="n"/>
      <c r="K822" s="14" t="n">
        <v>30</v>
      </c>
      <c r="L822" s="19">
        <f>IF($C822="","",ROUND(IFERROR(VLOOKUP($C822,账户期初,2,0),0)+SUMIFS($J$4:J822,$C$4:C822,$C822)-SUMIFS($K$4:K822,$C$4:C822,$C822),2))</f>
        <v/>
      </c>
      <c r="M822" s="19">
        <f>IF($C822="","",ROUND(SUM(基础资料!$B$4:$B$13)+SUM($J$4:J822)-SUM($K$4:K822),2))</f>
        <v/>
      </c>
      <c r="N822" s="13" t="n"/>
      <c r="O822" s="13" t="n"/>
      <c r="P822" s="17">
        <f>IF($B822="","",IF($F822="※类别不在基础资料里","※费用类别不在基础资料里",IF(AND(N($J822)=0,N($K822)=0),"※这行没填金额",IF(AND(N($J822)&gt;0,N($K822)&gt;0),"※收入和支出不能同一行都填",IF(AND($D822="收入",N($J822)=0),"※收入行要填收入金额",IF(AND($D822="支出",N($K822)=0),"※支出行要填支出金额",IF(AND($C822&lt;&gt;"",ISNA(MATCH($C822,账户表,0))),"※账户不在基础资料里",IF(AND($G822&lt;&gt;"",ISNA(MATCH($G822,项目名表,0))),"※项目不在项目台账里",IF(AND(LEFT($F822,3)="成本-",$G822=""),"※成本类支出没填项目",IF(AND(LEFT($F822,3)="成本-",$H822&lt;&gt;"",N($K822)&gt;0,COUNTIFS(采购单!$B:$B,$B822,采购单!$C:$C,$H822,采购单!$L:$L,$K822)&gt;0),"※这笔可能和采购单重复了",""))))))))))</f>
        <v/>
      </c>
    </row>
    <row r="823">
      <c r="A823" s="17">
        <f>IF($B823="","",ROW()-3)</f>
        <v/>
      </c>
      <c r="B823" s="18" t="n">
        <v>46259</v>
      </c>
      <c r="C823" s="13" t="inlineStr">
        <is>
          <t>微信1</t>
        </is>
      </c>
      <c r="D823" s="13" t="inlineStr">
        <is>
          <t>支出</t>
        </is>
      </c>
      <c r="E823" s="13" t="inlineStr">
        <is>
          <t>待分类</t>
        </is>
      </c>
      <c r="F823" s="17">
        <f>IF($E823="","",IFERROR(VLOOKUP($E823,类别归属,2,0),"※类别不在基础资料里"))</f>
        <v/>
      </c>
      <c r="G823" s="13" t="n"/>
      <c r="H823" s="13" t="n"/>
      <c r="I823" s="13" t="inlineStr">
        <is>
          <t>博远物流18769211960</t>
        </is>
      </c>
      <c r="J823" s="14" t="n"/>
      <c r="K823" s="14" t="n">
        <v>140</v>
      </c>
      <c r="L823" s="19">
        <f>IF($C823="","",ROUND(IFERROR(VLOOKUP($C823,账户期初,2,0),0)+SUMIFS($J$4:J823,$C$4:C823,$C823)-SUMIFS($K$4:K823,$C$4:C823,$C823),2))</f>
        <v/>
      </c>
      <c r="M823" s="19">
        <f>IF($C823="","",ROUND(SUM(基础资料!$B$4:$B$13)+SUM($J$4:J823)-SUM($K$4:K823),2))</f>
        <v/>
      </c>
      <c r="N823" s="13" t="n"/>
      <c r="O823" s="13" t="n"/>
      <c r="P823" s="17">
        <f>IF($B823="","",IF($F823="※类别不在基础资料里","※费用类别不在基础资料里",IF(AND(N($J823)=0,N($K823)=0),"※这行没填金额",IF(AND(N($J823)&gt;0,N($K823)&gt;0),"※收入和支出不能同一行都填",IF(AND($D823="收入",N($J823)=0),"※收入行要填收入金额",IF(AND($D823="支出",N($K823)=0),"※支出行要填支出金额",IF(AND($C823&lt;&gt;"",ISNA(MATCH($C823,账户表,0))),"※账户不在基础资料里",IF(AND($G823&lt;&gt;"",ISNA(MATCH($G823,项目名表,0))),"※项目不在项目台账里",IF(AND(LEFT($F823,3)="成本-",$G823=""),"※成本类支出没填项目",IF(AND(LEFT($F823,3)="成本-",$H823&lt;&gt;"",N($K823)&gt;0,COUNTIFS(采购单!$B:$B,$B823,采购单!$C:$C,$H823,采购单!$L:$L,$K823)&gt;0),"※这笔可能和采购单重复了",""))))))))))</f>
        <v/>
      </c>
    </row>
    <row r="824">
      <c r="A824" s="17">
        <f>IF($B824="","",ROW()-3)</f>
        <v/>
      </c>
      <c r="B824" s="18" t="n">
        <v>46259</v>
      </c>
      <c r="C824" s="13" t="inlineStr">
        <is>
          <t>微信1</t>
        </is>
      </c>
      <c r="D824" s="13" t="inlineStr">
        <is>
          <t>支出</t>
        </is>
      </c>
      <c r="E824" s="13" t="inlineStr">
        <is>
          <t>运费/快递费</t>
        </is>
      </c>
      <c r="F824" s="17">
        <f>IF($E824="","",IFERROR(VLOOKUP($E824,类别归属,2,0),"※类别不在基础资料里"))</f>
        <v/>
      </c>
      <c r="G824" s="13" t="n"/>
      <c r="H824" s="13" t="n"/>
      <c r="I824" s="13" t="inlineStr">
        <is>
          <t>杭州炳秀湖州26-28线路</t>
        </is>
      </c>
      <c r="J824" s="14" t="n"/>
      <c r="K824" s="14" t="n">
        <v>39</v>
      </c>
      <c r="L824" s="19">
        <f>IF($C824="","",ROUND(IFERROR(VLOOKUP($C824,账户期初,2,0),0)+SUMIFS($J$4:J824,$C$4:C824,$C824)-SUMIFS($K$4:K824,$C$4:C824,$C824),2))</f>
        <v/>
      </c>
      <c r="M824" s="19">
        <f>IF($C824="","",ROUND(SUM(基础资料!$B$4:$B$13)+SUM($J$4:J824)-SUM($K$4:K824),2))</f>
        <v/>
      </c>
      <c r="N824" s="13" t="n"/>
      <c r="O824" s="13" t="n"/>
      <c r="P824" s="17">
        <f>IF($B824="","",IF($F824="※类别不在基础资料里","※费用类别不在基础资料里",IF(AND(N($J824)=0,N($K824)=0),"※这行没填金额",IF(AND(N($J824)&gt;0,N($K824)&gt;0),"※收入和支出不能同一行都填",IF(AND($D824="收入",N($J824)=0),"※收入行要填收入金额",IF(AND($D824="支出",N($K824)=0),"※支出行要填支出金额",IF(AND($C824&lt;&gt;"",ISNA(MATCH($C824,账户表,0))),"※账户不在基础资料里",IF(AND($G824&lt;&gt;"",ISNA(MATCH($G824,项目名表,0))),"※项目不在项目台账里",IF(AND(LEFT($F824,3)="成本-",$G824=""),"※成本类支出没填项目",IF(AND(LEFT($F824,3)="成本-",$H824&lt;&gt;"",N($K824)&gt;0,COUNTIFS(采购单!$B:$B,$B824,采购单!$C:$C,$H824,采购单!$L:$L,$K824)&gt;0),"※这笔可能和采购单重复了",""))))))))))</f>
        <v/>
      </c>
    </row>
    <row r="825">
      <c r="A825" s="17">
        <f>IF($B825="","",ROW()-3)</f>
        <v/>
      </c>
      <c r="B825" s="18" t="n">
        <v>46259</v>
      </c>
      <c r="C825" s="13" t="inlineStr">
        <is>
          <t>微信1</t>
        </is>
      </c>
      <c r="D825" s="13" t="inlineStr">
        <is>
          <t>支出</t>
        </is>
      </c>
      <c r="E825" s="13" t="inlineStr">
        <is>
          <t>主材采购</t>
        </is>
      </c>
      <c r="F825" s="17">
        <f>IF($E825="","",IFERROR(VLOOKUP($E825,类别归属,2,0),"※类别不在基础资料里"))</f>
        <v/>
      </c>
      <c r="G825" s="13" t="n"/>
      <c r="H825" s="13" t="n"/>
      <c r="I825" s="13" t="inlineStr">
        <is>
          <t>上达铝单板铝方通孙13913803884</t>
        </is>
      </c>
      <c r="J825" s="14" t="n"/>
      <c r="K825" s="14" t="n">
        <v>1020</v>
      </c>
      <c r="L825" s="19">
        <f>IF($C825="","",ROUND(IFERROR(VLOOKUP($C825,账户期初,2,0),0)+SUMIFS($J$4:J825,$C$4:C825,$C825)-SUMIFS($K$4:K825,$C$4:C825,$C825),2))</f>
        <v/>
      </c>
      <c r="M825" s="19">
        <f>IF($C825="","",ROUND(SUM(基础资料!$B$4:$B$13)+SUM($J$4:J825)-SUM($K$4:K825),2))</f>
        <v/>
      </c>
      <c r="N825" s="13" t="n"/>
      <c r="O825" s="13" t="n"/>
      <c r="P825" s="17">
        <f>IF($B825="","",IF($F825="※类别不在基础资料里","※费用类别不在基础资料里",IF(AND(N($J825)=0,N($K825)=0),"※这行没填金额",IF(AND(N($J825)&gt;0,N($K825)&gt;0),"※收入和支出不能同一行都填",IF(AND($D825="收入",N($J825)=0),"※收入行要填收入金额",IF(AND($D825="支出",N($K825)=0),"※支出行要填支出金额",IF(AND($C825&lt;&gt;"",ISNA(MATCH($C825,账户表,0))),"※账户不在基础资料里",IF(AND($G825&lt;&gt;"",ISNA(MATCH($G825,项目名表,0))),"※项目不在项目台账里",IF(AND(LEFT($F825,3)="成本-",$G825=""),"※成本类支出没填项目",IF(AND(LEFT($F825,3)="成本-",$H825&lt;&gt;"",N($K825)&gt;0,COUNTIFS(采购单!$B:$B,$B825,采购单!$C:$C,$H825,采购单!$L:$L,$K825)&gt;0),"※这笔可能和采购单重复了",""))))))))))</f>
        <v/>
      </c>
    </row>
    <row r="826">
      <c r="A826" s="17">
        <f>IF($B826="","",ROW()-3)</f>
        <v/>
      </c>
      <c r="B826" s="18" t="n">
        <v>46259</v>
      </c>
      <c r="C826" s="13" t="inlineStr">
        <is>
          <t>微信1</t>
        </is>
      </c>
      <c r="D826" s="13" t="inlineStr">
        <is>
          <t>收入</t>
        </is>
      </c>
      <c r="E826" s="13" t="inlineStr">
        <is>
          <t>待分类</t>
        </is>
      </c>
      <c r="F826" s="17">
        <f>IF($E826="","",IFERROR(VLOOKUP($E826,类别归属,2,0),"※类别不在基础资料里"))</f>
        <v/>
      </c>
      <c r="G826" s="13" t="n"/>
      <c r="H826" s="13" t="n"/>
      <c r="I826" s="13" t="inlineStr">
        <is>
          <t>Old－Nothing</t>
        </is>
      </c>
      <c r="J826" s="14" t="n">
        <v>1000</v>
      </c>
      <c r="K826" s="14" t="n"/>
      <c r="L826" s="19">
        <f>IF($C826="","",ROUND(IFERROR(VLOOKUP($C826,账户期初,2,0),0)+SUMIFS($J$4:J826,$C$4:C826,$C826)-SUMIFS($K$4:K826,$C$4:C826,$C826),2))</f>
        <v/>
      </c>
      <c r="M826" s="19">
        <f>IF($C826="","",ROUND(SUM(基础资料!$B$4:$B$13)+SUM($J$4:J826)-SUM($K$4:K826),2))</f>
        <v/>
      </c>
      <c r="N826" s="13" t="n"/>
      <c r="O826" s="13" t="n"/>
      <c r="P826" s="17">
        <f>IF($B826="","",IF($F826="※类别不在基础资料里","※费用类别不在基础资料里",IF(AND(N($J826)=0,N($K826)=0),"※这行没填金额",IF(AND(N($J826)&gt;0,N($K826)&gt;0),"※收入和支出不能同一行都填",IF(AND($D826="收入",N($J826)=0),"※收入行要填收入金额",IF(AND($D826="支出",N($K826)=0),"※支出行要填支出金额",IF(AND($C826&lt;&gt;"",ISNA(MATCH($C826,账户表,0))),"※账户不在基础资料里",IF(AND($G826&lt;&gt;"",ISNA(MATCH($G826,项目名表,0))),"※项目不在项目台账里",IF(AND(LEFT($F826,3)="成本-",$G826=""),"※成本类支出没填项目",IF(AND(LEFT($F826,3)="成本-",$H826&lt;&gt;"",N($K826)&gt;0,COUNTIFS(采购单!$B:$B,$B826,采购单!$C:$C,$H826,采购单!$L:$L,$K826)&gt;0),"※这笔可能和采购单重复了",""))))))))))</f>
        <v/>
      </c>
    </row>
    <row r="827">
      <c r="A827" s="17">
        <f>IF($B827="","",ROW()-3)</f>
        <v/>
      </c>
      <c r="B827" s="18" t="n">
        <v>46259</v>
      </c>
      <c r="C827" s="13" t="inlineStr">
        <is>
          <t>微信1</t>
        </is>
      </c>
      <c r="D827" s="13" t="inlineStr">
        <is>
          <t>支出</t>
        </is>
      </c>
      <c r="E827" s="13" t="inlineStr">
        <is>
          <t>网购材料耗材</t>
        </is>
      </c>
      <c r="F827" s="17">
        <f>IF($E827="","",IFERROR(VLOOKUP($E827,类别归属,2,0),"※类别不在基础资料里"))</f>
        <v/>
      </c>
      <c r="G827" s="13" t="n"/>
      <c r="H827" s="13" t="inlineStr">
        <is>
          <t>淘宝</t>
        </is>
      </c>
      <c r="I827" s="13" t="inlineStr">
        <is>
          <t>淘宝平台商户</t>
        </is>
      </c>
      <c r="J827" s="14" t="n"/>
      <c r="K827" s="14" t="n">
        <v>698.5599999999999</v>
      </c>
      <c r="L827" s="19">
        <f>IF($C827="","",ROUND(IFERROR(VLOOKUP($C827,账户期初,2,0),0)+SUMIFS($J$4:J827,$C$4:C827,$C827)-SUMIFS($K$4:K827,$C$4:C827,$C827),2))</f>
        <v/>
      </c>
      <c r="M827" s="19">
        <f>IF($C827="","",ROUND(SUM(基础资料!$B$4:$B$13)+SUM($J$4:J827)-SUM($K$4:K827),2))</f>
        <v/>
      </c>
      <c r="N827" s="13" t="n"/>
      <c r="O827" s="13" t="n"/>
      <c r="P827" s="17">
        <f>IF($B827="","",IF($F827="※类别不在基础资料里","※费用类别不在基础资料里",IF(AND(N($J827)=0,N($K827)=0),"※这行没填金额",IF(AND(N($J827)&gt;0,N($K827)&gt;0),"※收入和支出不能同一行都填",IF(AND($D827="收入",N($J827)=0),"※收入行要填收入金额",IF(AND($D827="支出",N($K827)=0),"※支出行要填支出金额",IF(AND($C827&lt;&gt;"",ISNA(MATCH($C827,账户表,0))),"※账户不在基础资料里",IF(AND($G827&lt;&gt;"",ISNA(MATCH($G827,项目名表,0))),"※项目不在项目台账里",IF(AND(LEFT($F827,3)="成本-",$G827=""),"※成本类支出没填项目",IF(AND(LEFT($F827,3)="成本-",$H827&lt;&gt;"",N($K827)&gt;0,COUNTIFS(采购单!$B:$B,$B827,采购单!$C:$C,$H827,采购单!$L:$L,$K827)&gt;0),"※这笔可能和采购单重复了",""))))))))))</f>
        <v/>
      </c>
    </row>
    <row r="828">
      <c r="A828" s="17">
        <f>IF($B828="","",ROW()-3)</f>
        <v/>
      </c>
      <c r="B828" s="18" t="n">
        <v>46259</v>
      </c>
      <c r="C828" s="13" t="inlineStr">
        <is>
          <t>微信1</t>
        </is>
      </c>
      <c r="D828" s="13" t="inlineStr">
        <is>
          <t>支出</t>
        </is>
      </c>
      <c r="E828" s="13" t="inlineStr">
        <is>
          <t>待分类</t>
        </is>
      </c>
      <c r="F828" s="17">
        <f>IF($E828="","",IFERROR(VLOOKUP($E828,类别归属,2,0),"※类别不在基础资料里"))</f>
        <v/>
      </c>
      <c r="G828" s="13" t="n"/>
      <c r="H828" s="13" t="n"/>
      <c r="I828" s="13" t="inlineStr">
        <is>
          <t>吉祥     吴玲芳13567289348</t>
        </is>
      </c>
      <c r="J828" s="14" t="n"/>
      <c r="K828" s="14" t="n">
        <v>240</v>
      </c>
      <c r="L828" s="19">
        <f>IF($C828="","",ROUND(IFERROR(VLOOKUP($C828,账户期初,2,0),0)+SUMIFS($J$4:J828,$C$4:C828,$C828)-SUMIFS($K$4:K828,$C$4:C828,$C828),2))</f>
        <v/>
      </c>
      <c r="M828" s="19">
        <f>IF($C828="","",ROUND(SUM(基础资料!$B$4:$B$13)+SUM($J$4:J828)-SUM($K$4:K828),2))</f>
        <v/>
      </c>
      <c r="N828" s="13" t="n"/>
      <c r="O828" s="13" t="n"/>
      <c r="P828" s="17">
        <f>IF($B828="","",IF($F828="※类别不在基础资料里","※费用类别不在基础资料里",IF(AND(N($J828)=0,N($K828)=0),"※这行没填金额",IF(AND(N($J828)&gt;0,N($K828)&gt;0),"※收入和支出不能同一行都填",IF(AND($D828="收入",N($J828)=0),"※收入行要填收入金额",IF(AND($D828="支出",N($K828)=0),"※支出行要填支出金额",IF(AND($C828&lt;&gt;"",ISNA(MATCH($C828,账户表,0))),"※账户不在基础资料里",IF(AND($G828&lt;&gt;"",ISNA(MATCH($G828,项目名表,0))),"※项目不在项目台账里",IF(AND(LEFT($F828,3)="成本-",$G828=""),"※成本类支出没填项目",IF(AND(LEFT($F828,3)="成本-",$H828&lt;&gt;"",N($K828)&gt;0,COUNTIFS(采购单!$B:$B,$B828,采购单!$C:$C,$H828,采购单!$L:$L,$K828)&gt;0),"※这笔可能和采购单重复了",""))))))))))</f>
        <v/>
      </c>
    </row>
    <row r="829">
      <c r="A829" s="17">
        <f>IF($B829="","",ROW()-3)</f>
        <v/>
      </c>
      <c r="B829" s="18" t="n">
        <v>46260</v>
      </c>
      <c r="C829" s="13" t="inlineStr">
        <is>
          <t>微信1</t>
        </is>
      </c>
      <c r="D829" s="13" t="inlineStr">
        <is>
          <t>支出</t>
        </is>
      </c>
      <c r="E829" s="13" t="inlineStr">
        <is>
          <t>运费/快递费</t>
        </is>
      </c>
      <c r="F829" s="17">
        <f>IF($E829="","",IFERROR(VLOOKUP($E829,类别归属,2,0),"※类别不在基础资料里"))</f>
        <v/>
      </c>
      <c r="G829" s="13" t="n"/>
      <c r="H829" s="13" t="n"/>
      <c r="I829" s="13" t="inlineStr">
        <is>
          <t>杭州炳秀湖州26-28线路</t>
        </is>
      </c>
      <c r="J829" s="14" t="n"/>
      <c r="K829" s="14" t="n">
        <v>71</v>
      </c>
      <c r="L829" s="19">
        <f>IF($C829="","",ROUND(IFERROR(VLOOKUP($C829,账户期初,2,0),0)+SUMIFS($J$4:J829,$C$4:C829,$C829)-SUMIFS($K$4:K829,$C$4:C829,$C829),2))</f>
        <v/>
      </c>
      <c r="M829" s="19">
        <f>IF($C829="","",ROUND(SUM(基础资料!$B$4:$B$13)+SUM($J$4:J829)-SUM($K$4:K829),2))</f>
        <v/>
      </c>
      <c r="N829" s="13" t="n"/>
      <c r="O829" s="13" t="n"/>
      <c r="P829" s="17">
        <f>IF($B829="","",IF($F829="※类别不在基础资料里","※费用类别不在基础资料里",IF(AND(N($J829)=0,N($K829)=0),"※这行没填金额",IF(AND(N($J829)&gt;0,N($K829)&gt;0),"※收入和支出不能同一行都填",IF(AND($D829="收入",N($J829)=0),"※收入行要填收入金额",IF(AND($D829="支出",N($K829)=0),"※支出行要填支出金额",IF(AND($C829&lt;&gt;"",ISNA(MATCH($C829,账户表,0))),"※账户不在基础资料里",IF(AND($G829&lt;&gt;"",ISNA(MATCH($G829,项目名表,0))),"※项目不在项目台账里",IF(AND(LEFT($F829,3)="成本-",$G829=""),"※成本类支出没填项目",IF(AND(LEFT($F829,3)="成本-",$H829&lt;&gt;"",N($K829)&gt;0,COUNTIFS(采购单!$B:$B,$B829,采购单!$C:$C,$H829,采购单!$L:$L,$K829)&gt;0),"※这笔可能和采购单重复了",""))))))))))</f>
        <v/>
      </c>
    </row>
    <row r="830">
      <c r="A830" s="17">
        <f>IF($B830="","",ROW()-3)</f>
        <v/>
      </c>
      <c r="B830" s="18" t="n">
        <v>46260</v>
      </c>
      <c r="C830" s="13" t="inlineStr">
        <is>
          <t>微信1</t>
        </is>
      </c>
      <c r="D830" s="13" t="inlineStr">
        <is>
          <t>支出</t>
        </is>
      </c>
      <c r="E830" s="13" t="inlineStr">
        <is>
          <t>广告推广</t>
        </is>
      </c>
      <c r="F830" s="17">
        <f>IF($E830="","",IFERROR(VLOOKUP($E830,类别归属,2,0),"※类别不在基础资料里"))</f>
        <v/>
      </c>
      <c r="G830" s="13" t="n"/>
      <c r="H830" s="13" t="n"/>
      <c r="I830" s="13" t="inlineStr">
        <is>
          <t>发给视频 (Solace)</t>
        </is>
      </c>
      <c r="J830" s="14" t="n"/>
      <c r="K830" s="14" t="n">
        <v>60</v>
      </c>
      <c r="L830" s="19">
        <f>IF($C830="","",ROUND(IFERROR(VLOOKUP($C830,账户期初,2,0),0)+SUMIFS($J$4:J830,$C$4:C830,$C830)-SUMIFS($K$4:K830,$C$4:C830,$C830),2))</f>
        <v/>
      </c>
      <c r="M830" s="19">
        <f>IF($C830="","",ROUND(SUM(基础资料!$B$4:$B$13)+SUM($J$4:J830)-SUM($K$4:K830),2))</f>
        <v/>
      </c>
      <c r="N830" s="13" t="n"/>
      <c r="O830" s="13" t="n"/>
      <c r="P830" s="17">
        <f>IF($B830="","",IF($F830="※类别不在基础资料里","※费用类别不在基础资料里",IF(AND(N($J830)=0,N($K830)=0),"※这行没填金额",IF(AND(N($J830)&gt;0,N($K830)&gt;0),"※收入和支出不能同一行都填",IF(AND($D830="收入",N($J830)=0),"※收入行要填收入金额",IF(AND($D830="支出",N($K830)=0),"※支出行要填支出金额",IF(AND($C830&lt;&gt;"",ISNA(MATCH($C830,账户表,0))),"※账户不在基础资料里",IF(AND($G830&lt;&gt;"",ISNA(MATCH($G830,项目名表,0))),"※项目不在项目台账里",IF(AND(LEFT($F830,3)="成本-",$G830=""),"※成本类支出没填项目",IF(AND(LEFT($F830,3)="成本-",$H830&lt;&gt;"",N($K830)&gt;0,COUNTIFS(采购单!$B:$B,$B830,采购单!$C:$C,$H830,采购单!$L:$L,$K830)&gt;0),"※这笔可能和采购单重复了",""))))))))))</f>
        <v/>
      </c>
    </row>
    <row r="831">
      <c r="A831" s="17">
        <f>IF($B831="","",ROW()-3)</f>
        <v/>
      </c>
      <c r="B831" s="18" t="n">
        <v>46260</v>
      </c>
      <c r="C831" s="13" t="inlineStr">
        <is>
          <t>微信1</t>
        </is>
      </c>
      <c r="D831" s="13" t="inlineStr">
        <is>
          <t>支出</t>
        </is>
      </c>
      <c r="E831" s="13" t="inlineStr">
        <is>
          <t>广告推广</t>
        </is>
      </c>
      <c r="F831" s="17">
        <f>IF($E831="","",IFERROR(VLOOKUP($E831,类别归属,2,0),"※类别不在基础资料里"))</f>
        <v/>
      </c>
      <c r="G831" s="13" t="n"/>
      <c r="H831" s="13" t="n"/>
      <c r="I831" s="13" t="inlineStr">
        <is>
          <t>巨量本地推</t>
        </is>
      </c>
      <c r="J831" s="14" t="n"/>
      <c r="K831" s="14" t="n">
        <v>100</v>
      </c>
      <c r="L831" s="19">
        <f>IF($C831="","",ROUND(IFERROR(VLOOKUP($C831,账户期初,2,0),0)+SUMIFS($J$4:J831,$C$4:C831,$C831)-SUMIFS($K$4:K831,$C$4:C831,$C831),2))</f>
        <v/>
      </c>
      <c r="M831" s="19">
        <f>IF($C831="","",ROUND(SUM(基础资料!$B$4:$B$13)+SUM($J$4:J831)-SUM($K$4:K831),2))</f>
        <v/>
      </c>
      <c r="N831" s="13" t="n"/>
      <c r="O831" s="13" t="n"/>
      <c r="P831" s="17">
        <f>IF($B831="","",IF($F831="※类别不在基础资料里","※费用类别不在基础资料里",IF(AND(N($J831)=0,N($K831)=0),"※这行没填金额",IF(AND(N($J831)&gt;0,N($K831)&gt;0),"※收入和支出不能同一行都填",IF(AND($D831="收入",N($J831)=0),"※收入行要填收入金额",IF(AND($D831="支出",N($K831)=0),"※支出行要填支出金额",IF(AND($C831&lt;&gt;"",ISNA(MATCH($C831,账户表,0))),"※账户不在基础资料里",IF(AND($G831&lt;&gt;"",ISNA(MATCH($G831,项目名表,0))),"※项目不在项目台账里",IF(AND(LEFT($F831,3)="成本-",$G831=""),"※成本类支出没填项目",IF(AND(LEFT($F831,3)="成本-",$H831&lt;&gt;"",N($K831)&gt;0,COUNTIFS(采购单!$B:$B,$B831,采购单!$C:$C,$H831,采购单!$L:$L,$K831)&gt;0),"※这笔可能和采购单重复了",""))))))))))</f>
        <v/>
      </c>
    </row>
    <row r="832">
      <c r="A832" s="17">
        <f>IF($B832="","",ROW()-3)</f>
        <v/>
      </c>
      <c r="B832" s="18" t="n">
        <v>46260</v>
      </c>
      <c r="C832" s="13" t="inlineStr">
        <is>
          <t>微信1</t>
        </is>
      </c>
      <c r="D832" s="13" t="inlineStr">
        <is>
          <t>收入</t>
        </is>
      </c>
      <c r="E832" s="13" t="inlineStr">
        <is>
          <t>广告推广</t>
        </is>
      </c>
      <c r="F832" s="17">
        <f>IF($E832="","",IFERROR(VLOOKUP($E832,类别归属,2,0),"※类别不在基础资料里"))</f>
        <v/>
      </c>
      <c r="G832" s="13" t="n"/>
      <c r="H832" s="13" t="n"/>
      <c r="I832" s="13" t="inlineStr">
        <is>
          <t>巨量本地推</t>
        </is>
      </c>
      <c r="J832" s="14" t="n">
        <v>53.4</v>
      </c>
      <c r="K832" s="14" t="n"/>
      <c r="L832" s="19">
        <f>IF($C832="","",ROUND(IFERROR(VLOOKUP($C832,账户期初,2,0),0)+SUMIFS($J$4:J832,$C$4:C832,$C832)-SUMIFS($K$4:K832,$C$4:C832,$C832),2))</f>
        <v/>
      </c>
      <c r="M832" s="19">
        <f>IF($C832="","",ROUND(SUM(基础资料!$B$4:$B$13)+SUM($J$4:J832)-SUM($K$4:K832),2))</f>
        <v/>
      </c>
      <c r="N832" s="13" t="n"/>
      <c r="O832" s="13" t="n"/>
      <c r="P832" s="17">
        <f>IF($B832="","",IF($F832="※类别不在基础资料里","※费用类别不在基础资料里",IF(AND(N($J832)=0,N($K832)=0),"※这行没填金额",IF(AND(N($J832)&gt;0,N($K832)&gt;0),"※收入和支出不能同一行都填",IF(AND($D832="收入",N($J832)=0),"※收入行要填收入金额",IF(AND($D832="支出",N($K832)=0),"※支出行要填支出金额",IF(AND($C832&lt;&gt;"",ISNA(MATCH($C832,账户表,0))),"※账户不在基础资料里",IF(AND($G832&lt;&gt;"",ISNA(MATCH($G832,项目名表,0))),"※项目不在项目台账里",IF(AND(LEFT($F832,3)="成本-",$G832=""),"※成本类支出没填项目",IF(AND(LEFT($F832,3)="成本-",$H832&lt;&gt;"",N($K832)&gt;0,COUNTIFS(采购单!$B:$B,$B832,采购单!$C:$C,$H832,采购单!$L:$L,$K832)&gt;0),"※这笔可能和采购单重复了",""))))))))))</f>
        <v/>
      </c>
    </row>
    <row r="833">
      <c r="A833" s="17">
        <f>IF($B833="","",ROW()-3)</f>
        <v/>
      </c>
      <c r="B833" s="18" t="n">
        <v>46261</v>
      </c>
      <c r="C833" s="13" t="inlineStr">
        <is>
          <t>微信1</t>
        </is>
      </c>
      <c r="D833" s="13" t="inlineStr">
        <is>
          <t>支出</t>
        </is>
      </c>
      <c r="E833" s="13" t="inlineStr">
        <is>
          <t>广告推广</t>
        </is>
      </c>
      <c r="F833" s="17">
        <f>IF($E833="","",IFERROR(VLOOKUP($E833,类别归属,2,0),"※类别不在基础资料里"))</f>
        <v/>
      </c>
      <c r="G833" s="13" t="n"/>
      <c r="H833" s="13" t="n"/>
      <c r="I833" s="13" t="inlineStr">
        <is>
          <t>发给视频 (Solace)</t>
        </is>
      </c>
      <c r="J833" s="14" t="n"/>
      <c r="K833" s="14" t="n">
        <v>60</v>
      </c>
      <c r="L833" s="19">
        <f>IF($C833="","",ROUND(IFERROR(VLOOKUP($C833,账户期初,2,0),0)+SUMIFS($J$4:J833,$C$4:C833,$C833)-SUMIFS($K$4:K833,$C$4:C833,$C833),2))</f>
        <v/>
      </c>
      <c r="M833" s="19">
        <f>IF($C833="","",ROUND(SUM(基础资料!$B$4:$B$13)+SUM($J$4:J833)-SUM($K$4:K833),2))</f>
        <v/>
      </c>
      <c r="N833" s="13" t="n"/>
      <c r="O833" s="13" t="n"/>
      <c r="P833" s="17">
        <f>IF($B833="","",IF($F833="※类别不在基础资料里","※费用类别不在基础资料里",IF(AND(N($J833)=0,N($K833)=0),"※这行没填金额",IF(AND(N($J833)&gt;0,N($K833)&gt;0),"※收入和支出不能同一行都填",IF(AND($D833="收入",N($J833)=0),"※收入行要填收入金额",IF(AND($D833="支出",N($K833)=0),"※支出行要填支出金额",IF(AND($C833&lt;&gt;"",ISNA(MATCH($C833,账户表,0))),"※账户不在基础资料里",IF(AND($G833&lt;&gt;"",ISNA(MATCH($G833,项目名表,0))),"※项目不在项目台账里",IF(AND(LEFT($F833,3)="成本-",$G833=""),"※成本类支出没填项目",IF(AND(LEFT($F833,3)="成本-",$H833&lt;&gt;"",N($K833)&gt;0,COUNTIFS(采购单!$B:$B,$B833,采购单!$C:$C,$H833,采购单!$L:$L,$K833)&gt;0),"※这笔可能和采购单重复了",""))))))))))</f>
        <v/>
      </c>
    </row>
    <row r="834">
      <c r="A834" s="17">
        <f>IF($B834="","",ROW()-3)</f>
        <v/>
      </c>
      <c r="B834" s="18" t="n">
        <v>46262</v>
      </c>
      <c r="C834" s="13" t="inlineStr">
        <is>
          <t>微信1</t>
        </is>
      </c>
      <c r="D834" s="13" t="inlineStr">
        <is>
          <t>收入</t>
        </is>
      </c>
      <c r="E834" s="13" t="inlineStr">
        <is>
          <t>待分类</t>
        </is>
      </c>
      <c r="F834" s="17">
        <f>IF($E834="","",IFERROR(VLOOKUP($E834,类别归属,2,0),"※类别不在基础资料里"))</f>
        <v/>
      </c>
      <c r="G834" s="13" t="n"/>
      <c r="H834" s="13" t="n"/>
      <c r="I834" s="13" t="inlineStr">
        <is>
          <t>凌宇 (🐟)</t>
        </is>
      </c>
      <c r="J834" s="14" t="n">
        <v>376</v>
      </c>
      <c r="K834" s="14" t="n"/>
      <c r="L834" s="19">
        <f>IF($C834="","",ROUND(IFERROR(VLOOKUP($C834,账户期初,2,0),0)+SUMIFS($J$4:J834,$C$4:C834,$C834)-SUMIFS($K$4:K834,$C$4:C834,$C834),2))</f>
        <v/>
      </c>
      <c r="M834" s="19">
        <f>IF($C834="","",ROUND(SUM(基础资料!$B$4:$B$13)+SUM($J$4:J834)-SUM($K$4:K834),2))</f>
        <v/>
      </c>
      <c r="N834" s="13" t="n"/>
      <c r="O834" s="13" t="n"/>
      <c r="P834" s="17">
        <f>IF($B834="","",IF($F834="※类别不在基础资料里","※费用类别不在基础资料里",IF(AND(N($J834)=0,N($K834)=0),"※这行没填金额",IF(AND(N($J834)&gt;0,N($K834)&gt;0),"※收入和支出不能同一行都填",IF(AND($D834="收入",N($J834)=0),"※收入行要填收入金额",IF(AND($D834="支出",N($K834)=0),"※支出行要填支出金额",IF(AND($C834&lt;&gt;"",ISNA(MATCH($C834,账户表,0))),"※账户不在基础资料里",IF(AND($G834&lt;&gt;"",ISNA(MATCH($G834,项目名表,0))),"※项目不在项目台账里",IF(AND(LEFT($F834,3)="成本-",$G834=""),"※成本类支出没填项目",IF(AND(LEFT($F834,3)="成本-",$H834&lt;&gt;"",N($K834)&gt;0,COUNTIFS(采购单!$B:$B,$B834,采购单!$C:$C,$H834,采购单!$L:$L,$K834)&gt;0),"※这笔可能和采购单重复了",""))))))))))</f>
        <v/>
      </c>
    </row>
    <row r="835">
      <c r="A835" s="17">
        <f>IF($B835="","",ROW()-3)</f>
        <v/>
      </c>
      <c r="B835" s="18" t="n">
        <v>46262</v>
      </c>
      <c r="C835" s="13" t="inlineStr">
        <is>
          <t>微信1</t>
        </is>
      </c>
      <c r="D835" s="13" t="inlineStr">
        <is>
          <t>支出</t>
        </is>
      </c>
      <c r="E835" s="13" t="inlineStr">
        <is>
          <t>网购材料耗材</t>
        </is>
      </c>
      <c r="F835" s="17">
        <f>IF($E835="","",IFERROR(VLOOKUP($E835,类别归属,2,0),"※类别不在基础资料里"))</f>
        <v/>
      </c>
      <c r="G835" s="13" t="n"/>
      <c r="H835" s="13" t="inlineStr">
        <is>
          <t>淘宝</t>
        </is>
      </c>
      <c r="I835" s="13" t="inlineStr">
        <is>
          <t>淘宝平台商户</t>
        </is>
      </c>
      <c r="J835" s="14" t="n"/>
      <c r="K835" s="14" t="n">
        <v>40</v>
      </c>
      <c r="L835" s="19">
        <f>IF($C835="","",ROUND(IFERROR(VLOOKUP($C835,账户期初,2,0),0)+SUMIFS($J$4:J835,$C$4:C835,$C835)-SUMIFS($K$4:K835,$C$4:C835,$C835),2))</f>
        <v/>
      </c>
      <c r="M835" s="19">
        <f>IF($C835="","",ROUND(SUM(基础资料!$B$4:$B$13)+SUM($J$4:J835)-SUM($K$4:K835),2))</f>
        <v/>
      </c>
      <c r="N835" s="13" t="n"/>
      <c r="O835" s="13" t="n"/>
      <c r="P835" s="17">
        <f>IF($B835="","",IF($F835="※类别不在基础资料里","※费用类别不在基础资料里",IF(AND(N($J835)=0,N($K835)=0),"※这行没填金额",IF(AND(N($J835)&gt;0,N($K835)&gt;0),"※收入和支出不能同一行都填",IF(AND($D835="收入",N($J835)=0),"※收入行要填收入金额",IF(AND($D835="支出",N($K835)=0),"※支出行要填支出金额",IF(AND($C835&lt;&gt;"",ISNA(MATCH($C835,账户表,0))),"※账户不在基础资料里",IF(AND($G835&lt;&gt;"",ISNA(MATCH($G835,项目名表,0))),"※项目不在项目台账里",IF(AND(LEFT($F835,3)="成本-",$G835=""),"※成本类支出没填项目",IF(AND(LEFT($F835,3)="成本-",$H835&lt;&gt;"",N($K835)&gt;0,COUNTIFS(采购单!$B:$B,$B835,采购单!$C:$C,$H835,采购单!$L:$L,$K835)&gt;0),"※这笔可能和采购单重复了",""))))))))))</f>
        <v/>
      </c>
    </row>
    <row r="836">
      <c r="A836" s="17">
        <f>IF($B836="","",ROW()-3)</f>
        <v/>
      </c>
      <c r="B836" s="18" t="n">
        <v>46262</v>
      </c>
      <c r="C836" s="13" t="inlineStr">
        <is>
          <t>微信1</t>
        </is>
      </c>
      <c r="D836" s="13" t="inlineStr">
        <is>
          <t>收入</t>
        </is>
      </c>
      <c r="E836" s="13" t="inlineStr">
        <is>
          <t>待分类</t>
        </is>
      </c>
      <c r="F836" s="17">
        <f>IF($E836="","",IFERROR(VLOOKUP($E836,类别归属,2,0),"※类别不在基础资料里"))</f>
        <v/>
      </c>
      <c r="G836" s="13" t="n"/>
      <c r="H836" s="13" t="n"/>
      <c r="I836" s="13" t="inlineStr">
        <is>
          <t>'+1🤨</t>
        </is>
      </c>
      <c r="J836" s="14" t="n">
        <v>20</v>
      </c>
      <c r="K836" s="14" t="n"/>
      <c r="L836" s="19">
        <f>IF($C836="","",ROUND(IFERROR(VLOOKUP($C836,账户期初,2,0),0)+SUMIFS($J$4:J836,$C$4:C836,$C836)-SUMIFS($K$4:K836,$C$4:C836,$C836),2))</f>
        <v/>
      </c>
      <c r="M836" s="19">
        <f>IF($C836="","",ROUND(SUM(基础资料!$B$4:$B$13)+SUM($J$4:J836)-SUM($K$4:K836),2))</f>
        <v/>
      </c>
      <c r="N836" s="13" t="n"/>
      <c r="O836" s="13" t="n"/>
      <c r="P836" s="17">
        <f>IF($B836="","",IF($F836="※类别不在基础资料里","※费用类别不在基础资料里",IF(AND(N($J836)=0,N($K836)=0),"※这行没填金额",IF(AND(N($J836)&gt;0,N($K836)&gt;0),"※收入和支出不能同一行都填",IF(AND($D836="收入",N($J836)=0),"※收入行要填收入金额",IF(AND($D836="支出",N($K836)=0),"※支出行要填支出金额",IF(AND($C836&lt;&gt;"",ISNA(MATCH($C836,账户表,0))),"※账户不在基础资料里",IF(AND($G836&lt;&gt;"",ISNA(MATCH($G836,项目名表,0))),"※项目不在项目台账里",IF(AND(LEFT($F836,3)="成本-",$G836=""),"※成本类支出没填项目",IF(AND(LEFT($F836,3)="成本-",$H836&lt;&gt;"",N($K836)&gt;0,COUNTIFS(采购单!$B:$B,$B836,采购单!$C:$C,$H836,采购单!$L:$L,$K836)&gt;0),"※这笔可能和采购单重复了",""))))))))))</f>
        <v/>
      </c>
    </row>
    <row r="837">
      <c r="A837" s="17">
        <f>IF($B837="","",ROW()-3)</f>
        <v/>
      </c>
      <c r="B837" s="18" t="n">
        <v>46262</v>
      </c>
      <c r="C837" s="13" t="inlineStr">
        <is>
          <t>微信1</t>
        </is>
      </c>
      <c r="D837" s="13" t="inlineStr">
        <is>
          <t>支出</t>
        </is>
      </c>
      <c r="E837" s="13" t="inlineStr">
        <is>
          <t>运费/快递费</t>
        </is>
      </c>
      <c r="F837" s="17">
        <f>IF($E837="","",IFERROR(VLOOKUP($E837,类别归属,2,0),"※类别不在基础资料里"))</f>
        <v/>
      </c>
      <c r="G837" s="13" t="n"/>
      <c r="H837" s="13" t="n"/>
      <c r="I837" s="13" t="inlineStr">
        <is>
          <t>杭州炳秀湖州26-28线路</t>
        </is>
      </c>
      <c r="J837" s="14" t="n"/>
      <c r="K837" s="14" t="n">
        <v>75</v>
      </c>
      <c r="L837" s="19">
        <f>IF($C837="","",ROUND(IFERROR(VLOOKUP($C837,账户期初,2,0),0)+SUMIFS($J$4:J837,$C$4:C837,$C837)-SUMIFS($K$4:K837,$C$4:C837,$C837),2))</f>
        <v/>
      </c>
      <c r="M837" s="19">
        <f>IF($C837="","",ROUND(SUM(基础资料!$B$4:$B$13)+SUM($J$4:J837)-SUM($K$4:K837),2))</f>
        <v/>
      </c>
      <c r="N837" s="13" t="n"/>
      <c r="O837" s="13" t="n"/>
      <c r="P837" s="17">
        <f>IF($B837="","",IF($F837="※类别不在基础资料里","※费用类别不在基础资料里",IF(AND(N($J837)=0,N($K837)=0),"※这行没填金额",IF(AND(N($J837)&gt;0,N($K837)&gt;0),"※收入和支出不能同一行都填",IF(AND($D837="收入",N($J837)=0),"※收入行要填收入金额",IF(AND($D837="支出",N($K837)=0),"※支出行要填支出金额",IF(AND($C837&lt;&gt;"",ISNA(MATCH($C837,账户表,0))),"※账户不在基础资料里",IF(AND($G837&lt;&gt;"",ISNA(MATCH($G837,项目名表,0))),"※项目不在项目台账里",IF(AND(LEFT($F837,3)="成本-",$G837=""),"※成本类支出没填项目",IF(AND(LEFT($F837,3)="成本-",$H837&lt;&gt;"",N($K837)&gt;0,COUNTIFS(采购单!$B:$B,$B837,采购单!$C:$C,$H837,采购单!$L:$L,$K837)&gt;0),"※这笔可能和采购单重复了",""))))))))))</f>
        <v/>
      </c>
    </row>
    <row r="838">
      <c r="A838" s="17">
        <f>IF($B838="","",ROW()-3)</f>
        <v/>
      </c>
      <c r="B838" s="18" t="n">
        <v>46263</v>
      </c>
      <c r="C838" s="13" t="inlineStr">
        <is>
          <t>微信1</t>
        </is>
      </c>
      <c r="D838" s="13" t="inlineStr">
        <is>
          <t>支出</t>
        </is>
      </c>
      <c r="E838" s="13" t="inlineStr">
        <is>
          <t>广告推广</t>
        </is>
      </c>
      <c r="F838" s="17">
        <f>IF($E838="","",IFERROR(VLOOKUP($E838,类别归属,2,0),"※类别不在基础资料里"))</f>
        <v/>
      </c>
      <c r="G838" s="13" t="n"/>
      <c r="H838" s="13" t="n"/>
      <c r="I838" s="13" t="inlineStr">
        <is>
          <t>发给视频 (Solace)</t>
        </is>
      </c>
      <c r="J838" s="14" t="n"/>
      <c r="K838" s="14" t="n">
        <v>30</v>
      </c>
      <c r="L838" s="19">
        <f>IF($C838="","",ROUND(IFERROR(VLOOKUP($C838,账户期初,2,0),0)+SUMIFS($J$4:J838,$C$4:C838,$C838)-SUMIFS($K$4:K838,$C$4:C838,$C838),2))</f>
        <v/>
      </c>
      <c r="M838" s="19">
        <f>IF($C838="","",ROUND(SUM(基础资料!$B$4:$B$13)+SUM($J$4:J838)-SUM($K$4:K838),2))</f>
        <v/>
      </c>
      <c r="N838" s="13" t="n"/>
      <c r="O838" s="13" t="n"/>
      <c r="P838" s="17">
        <f>IF($B838="","",IF($F838="※类别不在基础资料里","※费用类别不在基础资料里",IF(AND(N($J838)=0,N($K838)=0),"※这行没填金额",IF(AND(N($J838)&gt;0,N($K838)&gt;0),"※收入和支出不能同一行都填",IF(AND($D838="收入",N($J838)=0),"※收入行要填收入金额",IF(AND($D838="支出",N($K838)=0),"※支出行要填支出金额",IF(AND($C838&lt;&gt;"",ISNA(MATCH($C838,账户表,0))),"※账户不在基础资料里",IF(AND($G838&lt;&gt;"",ISNA(MATCH($G838,项目名表,0))),"※项目不在项目台账里",IF(AND(LEFT($F838,3)="成本-",$G838=""),"※成本类支出没填项目",IF(AND(LEFT($F838,3)="成本-",$H838&lt;&gt;"",N($K838)&gt;0,COUNTIFS(采购单!$B:$B,$B838,采购单!$C:$C,$H838,采购单!$L:$L,$K838)&gt;0),"※这笔可能和采购单重复了",""))))))))))</f>
        <v/>
      </c>
    </row>
    <row r="839">
      <c r="A839" s="17">
        <f>IF($B839="","",ROW()-3)</f>
        <v/>
      </c>
      <c r="B839" s="18" t="n">
        <v>46264</v>
      </c>
      <c r="C839" s="13" t="inlineStr">
        <is>
          <t>微信1</t>
        </is>
      </c>
      <c r="D839" s="13" t="inlineStr">
        <is>
          <t>支出</t>
        </is>
      </c>
      <c r="E839" s="13" t="inlineStr">
        <is>
          <t>通讯费</t>
        </is>
      </c>
      <c r="F839" s="17">
        <f>IF($E839="","",IFERROR(VLOOKUP($E839,类别归属,2,0),"※类别不在基础资料里"))</f>
        <v/>
      </c>
      <c r="G839" s="13" t="n"/>
      <c r="H839" s="13" t="n"/>
      <c r="I839" s="13" t="inlineStr">
        <is>
          <t>中国移动</t>
        </is>
      </c>
      <c r="J839" s="14" t="n"/>
      <c r="K839" s="14" t="n">
        <v>50</v>
      </c>
      <c r="L839" s="19">
        <f>IF($C839="","",ROUND(IFERROR(VLOOKUP($C839,账户期初,2,0),0)+SUMIFS($J$4:J839,$C$4:C839,$C839)-SUMIFS($K$4:K839,$C$4:C839,$C839),2))</f>
        <v/>
      </c>
      <c r="M839" s="19">
        <f>IF($C839="","",ROUND(SUM(基础资料!$B$4:$B$13)+SUM($J$4:J839)-SUM($K$4:K839),2))</f>
        <v/>
      </c>
      <c r="N839" s="13" t="n"/>
      <c r="O839" s="13" t="n"/>
      <c r="P839" s="17">
        <f>IF($B839="","",IF($F839="※类别不在基础资料里","※费用类别不在基础资料里",IF(AND(N($J839)=0,N($K839)=0),"※这行没填金额",IF(AND(N($J839)&gt;0,N($K839)&gt;0),"※收入和支出不能同一行都填",IF(AND($D839="收入",N($J839)=0),"※收入行要填收入金额",IF(AND($D839="支出",N($K839)=0),"※支出行要填支出金额",IF(AND($C839&lt;&gt;"",ISNA(MATCH($C839,账户表,0))),"※账户不在基础资料里",IF(AND($G839&lt;&gt;"",ISNA(MATCH($G839,项目名表,0))),"※项目不在项目台账里",IF(AND(LEFT($F839,3)="成本-",$G839=""),"※成本类支出没填项目",IF(AND(LEFT($F839,3)="成本-",$H839&lt;&gt;"",N($K839)&gt;0,COUNTIFS(采购单!$B:$B,$B839,采购单!$C:$C,$H839,采购单!$L:$L,$K839)&gt;0),"※这笔可能和采购单重复了",""))))))))))</f>
        <v/>
      </c>
    </row>
    <row r="840">
      <c r="A840" s="17">
        <f>IF($B840="","",ROW()-3)</f>
        <v/>
      </c>
      <c r="B840" s="18" t="n">
        <v>46264</v>
      </c>
      <c r="C840" s="13" t="inlineStr">
        <is>
          <t>微信1</t>
        </is>
      </c>
      <c r="D840" s="13" t="inlineStr">
        <is>
          <t>支出</t>
        </is>
      </c>
      <c r="E840" s="13" t="inlineStr">
        <is>
          <t>待分类</t>
        </is>
      </c>
      <c r="F840" s="17">
        <f>IF($E840="","",IFERROR(VLOOKUP($E840,类别归属,2,0),"※类别不在基础资料里"))</f>
        <v/>
      </c>
      <c r="G840" s="13" t="n"/>
      <c r="H840" s="13" t="n"/>
      <c r="I840" s="13" t="inlineStr">
        <is>
          <t>娃娃-喷塑厂老板娘 (娃娃)</t>
        </is>
      </c>
      <c r="J840" s="14" t="n"/>
      <c r="K840" s="14" t="n">
        <v>800</v>
      </c>
      <c r="L840" s="19">
        <f>IF($C840="","",ROUND(IFERROR(VLOOKUP($C840,账户期初,2,0),0)+SUMIFS($J$4:J840,$C$4:C840,$C840)-SUMIFS($K$4:K840,$C$4:C840,$C840),2))</f>
        <v/>
      </c>
      <c r="M840" s="19">
        <f>IF($C840="","",ROUND(SUM(基础资料!$B$4:$B$13)+SUM($J$4:J840)-SUM($K$4:K840),2))</f>
        <v/>
      </c>
      <c r="N840" s="13" t="n"/>
      <c r="O840" s="13" t="n"/>
      <c r="P840" s="17">
        <f>IF($B840="","",IF($F840="※类别不在基础资料里","※费用类别不在基础资料里",IF(AND(N($J840)=0,N($K840)=0),"※这行没填金额",IF(AND(N($J840)&gt;0,N($K840)&gt;0),"※收入和支出不能同一行都填",IF(AND($D840="收入",N($J840)=0),"※收入行要填收入金额",IF(AND($D840="支出",N($K840)=0),"※支出行要填支出金额",IF(AND($C840&lt;&gt;"",ISNA(MATCH($C840,账户表,0))),"※账户不在基础资料里",IF(AND($G840&lt;&gt;"",ISNA(MATCH($G840,项目名表,0))),"※项目不在项目台账里",IF(AND(LEFT($F840,3)="成本-",$G840=""),"※成本类支出没填项目",IF(AND(LEFT($F840,3)="成本-",$H840&lt;&gt;"",N($K840)&gt;0,COUNTIFS(采购单!$B:$B,$B840,采购单!$C:$C,$H840,采购单!$L:$L,$K840)&gt;0),"※这笔可能和采购单重复了",""))))))))))</f>
        <v/>
      </c>
    </row>
    <row r="841">
      <c r="A841" s="17">
        <f>IF($B841="","",ROW()-3)</f>
        <v/>
      </c>
      <c r="B841" s="18" t="n">
        <v>46264</v>
      </c>
      <c r="C841" s="13" t="inlineStr">
        <is>
          <t>微信1</t>
        </is>
      </c>
      <c r="D841" s="13" t="inlineStr">
        <is>
          <t>支出</t>
        </is>
      </c>
      <c r="E841" s="13" t="inlineStr">
        <is>
          <t>网购材料耗材</t>
        </is>
      </c>
      <c r="F841" s="17">
        <f>IF($E841="","",IFERROR(VLOOKUP($E841,类别归属,2,0),"※类别不在基础资料里"))</f>
        <v/>
      </c>
      <c r="G841" s="13" t="n"/>
      <c r="H841" s="13" t="inlineStr">
        <is>
          <t>拼多多</t>
        </is>
      </c>
      <c r="I841" s="13" t="inlineStr">
        <is>
          <t>拼多多平台商户</t>
        </is>
      </c>
      <c r="J841" s="14" t="n"/>
      <c r="K841" s="14" t="n">
        <v>14.18</v>
      </c>
      <c r="L841" s="19">
        <f>IF($C841="","",ROUND(IFERROR(VLOOKUP($C841,账户期初,2,0),0)+SUMIFS($J$4:J841,$C$4:C841,$C841)-SUMIFS($K$4:K841,$C$4:C841,$C841),2))</f>
        <v/>
      </c>
      <c r="M841" s="19">
        <f>IF($C841="","",ROUND(SUM(基础资料!$B$4:$B$13)+SUM($J$4:J841)-SUM($K$4:K841),2))</f>
        <v/>
      </c>
      <c r="N841" s="13" t="n"/>
      <c r="O841" s="13" t="n"/>
      <c r="P841" s="17">
        <f>IF($B841="","",IF($F841="※类别不在基础资料里","※费用类别不在基础资料里",IF(AND(N($J841)=0,N($K841)=0),"※这行没填金额",IF(AND(N($J841)&gt;0,N($K841)&gt;0),"※收入和支出不能同一行都填",IF(AND($D841="收入",N($J841)=0),"※收入行要填收入金额",IF(AND($D841="支出",N($K841)=0),"※支出行要填支出金额",IF(AND($C841&lt;&gt;"",ISNA(MATCH($C841,账户表,0))),"※账户不在基础资料里",IF(AND($G841&lt;&gt;"",ISNA(MATCH($G841,项目名表,0))),"※项目不在项目台账里",IF(AND(LEFT($F841,3)="成本-",$G841=""),"※成本类支出没填项目",IF(AND(LEFT($F841,3)="成本-",$H841&lt;&gt;"",N($K841)&gt;0,COUNTIFS(采购单!$B:$B,$B841,采购单!$C:$C,$H841,采购单!$L:$L,$K841)&gt;0),"※这笔可能和采购单重复了",""))))))))))</f>
        <v/>
      </c>
    </row>
    <row r="842">
      <c r="A842" s="17">
        <f>IF($B842="","",ROW()-3)</f>
        <v/>
      </c>
      <c r="B842" s="18" t="n">
        <v>46264</v>
      </c>
      <c r="C842" s="13" t="inlineStr">
        <is>
          <t>微信1</t>
        </is>
      </c>
      <c r="D842" s="13" t="inlineStr">
        <is>
          <t>收入</t>
        </is>
      </c>
      <c r="E842" s="13" t="inlineStr">
        <is>
          <t>待分类</t>
        </is>
      </c>
      <c r="F842" s="17">
        <f>IF($E842="","",IFERROR(VLOOKUP($E842,类别归属,2,0),"※类别不在基础资料里"))</f>
        <v/>
      </c>
      <c r="G842" s="13" t="n"/>
      <c r="H842" s="13" t="n"/>
      <c r="I842" s="13" t="inlineStr">
        <is>
          <t>付久华</t>
        </is>
      </c>
      <c r="J842" s="14" t="n">
        <v>2000</v>
      </c>
      <c r="K842" s="14" t="n"/>
      <c r="L842" s="19">
        <f>IF($C842="","",ROUND(IFERROR(VLOOKUP($C842,账户期初,2,0),0)+SUMIFS($J$4:J842,$C$4:C842,$C842)-SUMIFS($K$4:K842,$C$4:C842,$C842),2))</f>
        <v/>
      </c>
      <c r="M842" s="19">
        <f>IF($C842="","",ROUND(SUM(基础资料!$B$4:$B$13)+SUM($J$4:J842)-SUM($K$4:K842),2))</f>
        <v/>
      </c>
      <c r="N842" s="13" t="n"/>
      <c r="O842" s="13" t="n"/>
      <c r="P842" s="17">
        <f>IF($B842="","",IF($F842="※类别不在基础资料里","※费用类别不在基础资料里",IF(AND(N($J842)=0,N($K842)=0),"※这行没填金额",IF(AND(N($J842)&gt;0,N($K842)&gt;0),"※收入和支出不能同一行都填",IF(AND($D842="收入",N($J842)=0),"※收入行要填收入金额",IF(AND($D842="支出",N($K842)=0),"※支出行要填支出金额",IF(AND($C842&lt;&gt;"",ISNA(MATCH($C842,账户表,0))),"※账户不在基础资料里",IF(AND($G842&lt;&gt;"",ISNA(MATCH($G842,项目名表,0))),"※项目不在项目台账里",IF(AND(LEFT($F842,3)="成本-",$G842=""),"※成本类支出没填项目",IF(AND(LEFT($F842,3)="成本-",$H842&lt;&gt;"",N($K842)&gt;0,COUNTIFS(采购单!$B:$B,$B842,采购单!$C:$C,$H842,采购单!$L:$L,$K842)&gt;0),"※这笔可能和采购单重复了",""))))))))))</f>
        <v/>
      </c>
    </row>
    <row r="843">
      <c r="A843" s="17">
        <f>IF($B843="","",ROW()-3)</f>
        <v/>
      </c>
      <c r="B843" s="18" t="n">
        <v>46264</v>
      </c>
      <c r="C843" s="13" t="inlineStr">
        <is>
          <t>微信1</t>
        </is>
      </c>
      <c r="D843" s="13" t="inlineStr">
        <is>
          <t>支出</t>
        </is>
      </c>
      <c r="E843" s="13" t="inlineStr">
        <is>
          <t>待分类</t>
        </is>
      </c>
      <c r="F843" s="17">
        <f>IF($E843="","",IFERROR(VLOOKUP($E843,类别归属,2,0),"※类别不在基础资料里"))</f>
        <v/>
      </c>
      <c r="G843" s="13" t="n"/>
      <c r="H843" s="13" t="n"/>
      <c r="I843" s="13" t="inlineStr">
        <is>
          <t>杨德 (往后余生)</t>
        </is>
      </c>
      <c r="J843" s="14" t="n"/>
      <c r="K843" s="14" t="n">
        <v>1582.9</v>
      </c>
      <c r="L843" s="19">
        <f>IF($C843="","",ROUND(IFERROR(VLOOKUP($C843,账户期初,2,0),0)+SUMIFS($J$4:J843,$C$4:C843,$C843)-SUMIFS($K$4:K843,$C$4:C843,$C843),2))</f>
        <v/>
      </c>
      <c r="M843" s="19">
        <f>IF($C843="","",ROUND(SUM(基础资料!$B$4:$B$13)+SUM($J$4:J843)-SUM($K$4:K843),2))</f>
        <v/>
      </c>
      <c r="N843" s="13" t="n"/>
      <c r="O843" s="13" t="n"/>
      <c r="P843" s="17">
        <f>IF($B843="","",IF($F843="※类别不在基础资料里","※费用类别不在基础资料里",IF(AND(N($J843)=0,N($K843)=0),"※这行没填金额",IF(AND(N($J843)&gt;0,N($K843)&gt;0),"※收入和支出不能同一行都填",IF(AND($D843="收入",N($J843)=0),"※收入行要填收入金额",IF(AND($D843="支出",N($K843)=0),"※支出行要填支出金额",IF(AND($C843&lt;&gt;"",ISNA(MATCH($C843,账户表,0))),"※账户不在基础资料里",IF(AND($G843&lt;&gt;"",ISNA(MATCH($G843,项目名表,0))),"※项目不在项目台账里",IF(AND(LEFT($F843,3)="成本-",$G843=""),"※成本类支出没填项目",IF(AND(LEFT($F843,3)="成本-",$H843&lt;&gt;"",N($K843)&gt;0,COUNTIFS(采购单!$B:$B,$B843,采购单!$C:$C,$H843,采购单!$L:$L,$K843)&gt;0),"※这笔可能和采购单重复了",""))))))))))</f>
        <v/>
      </c>
    </row>
    <row r="844">
      <c r="A844" s="17">
        <f>IF($B844="","",ROW()-3)</f>
        <v/>
      </c>
      <c r="B844" s="18" t="n">
        <v>46265</v>
      </c>
      <c r="C844" s="13" t="inlineStr">
        <is>
          <t>微信1</t>
        </is>
      </c>
      <c r="D844" s="13" t="inlineStr">
        <is>
          <t>支出</t>
        </is>
      </c>
      <c r="E844" s="13" t="inlineStr">
        <is>
          <t>待分类</t>
        </is>
      </c>
      <c r="F844" s="17">
        <f>IF($E844="","",IFERROR(VLOOKUP($E844,类别归属,2,0),"※类别不在基础资料里"))</f>
        <v/>
      </c>
      <c r="G844" s="13" t="n"/>
      <c r="H844" s="13" t="n"/>
      <c r="I844" s="13" t="inlineStr">
        <is>
          <t>凌宇 (🐟)</t>
        </is>
      </c>
      <c r="J844" s="14" t="n"/>
      <c r="K844" s="14" t="n">
        <v>15</v>
      </c>
      <c r="L844" s="19">
        <f>IF($C844="","",ROUND(IFERROR(VLOOKUP($C844,账户期初,2,0),0)+SUMIFS($J$4:J844,$C$4:C844,$C844)-SUMIFS($K$4:K844,$C$4:C844,$C844),2))</f>
        <v/>
      </c>
      <c r="M844" s="19">
        <f>IF($C844="","",ROUND(SUM(基础资料!$B$4:$B$13)+SUM($J$4:J844)-SUM($K$4:K844),2))</f>
        <v/>
      </c>
      <c r="N844" s="13" t="n"/>
      <c r="O844" s="13" t="n"/>
      <c r="P844" s="17">
        <f>IF($B844="","",IF($F844="※类别不在基础资料里","※费用类别不在基础资料里",IF(AND(N($J844)=0,N($K844)=0),"※这行没填金额",IF(AND(N($J844)&gt;0,N($K844)&gt;0),"※收入和支出不能同一行都填",IF(AND($D844="收入",N($J844)=0),"※收入行要填收入金额",IF(AND($D844="支出",N($K844)=0),"※支出行要填支出金额",IF(AND($C844&lt;&gt;"",ISNA(MATCH($C844,账户表,0))),"※账户不在基础资料里",IF(AND($G844&lt;&gt;"",ISNA(MATCH($G844,项目名表,0))),"※项目不在项目台账里",IF(AND(LEFT($F844,3)="成本-",$G844=""),"※成本类支出没填项目",IF(AND(LEFT($F844,3)="成本-",$H844&lt;&gt;"",N($K844)&gt;0,COUNTIFS(采购单!$B:$B,$B844,采购单!$C:$C,$H844,采购单!$L:$L,$K844)&gt;0),"※这笔可能和采购单重复了",""))))))))))</f>
        <v/>
      </c>
    </row>
    <row r="845">
      <c r="A845" s="17">
        <f>IF($B845="","",ROW()-3)</f>
        <v/>
      </c>
      <c r="B845" s="18" t="n">
        <v>46265</v>
      </c>
      <c r="C845" s="13" t="inlineStr">
        <is>
          <t>微信1</t>
        </is>
      </c>
      <c r="D845" s="13" t="inlineStr">
        <is>
          <t>支出</t>
        </is>
      </c>
      <c r="E845" s="13" t="inlineStr">
        <is>
          <t>运费/快递费</t>
        </is>
      </c>
      <c r="F845" s="17">
        <f>IF($E845="","",IFERROR(VLOOKUP($E845,类别归属,2,0),"※类别不在基础资料里"))</f>
        <v/>
      </c>
      <c r="G845" s="13" t="n"/>
      <c r="H845" s="13" t="inlineStr">
        <is>
          <t>顺丰速运</t>
        </is>
      </c>
      <c r="I845" s="13" t="inlineStr">
        <is>
          <t>顺丰速运</t>
        </is>
      </c>
      <c r="J845" s="14" t="n"/>
      <c r="K845" s="14" t="n">
        <v>15</v>
      </c>
      <c r="L845" s="19">
        <f>IF($C845="","",ROUND(IFERROR(VLOOKUP($C845,账户期初,2,0),0)+SUMIFS($J$4:J845,$C$4:C845,$C845)-SUMIFS($K$4:K845,$C$4:C845,$C845),2))</f>
        <v/>
      </c>
      <c r="M845" s="19">
        <f>IF($C845="","",ROUND(SUM(基础资料!$B$4:$B$13)+SUM($J$4:J845)-SUM($K$4:K845),2))</f>
        <v/>
      </c>
      <c r="N845" s="13" t="n"/>
      <c r="O845" s="13" t="n"/>
      <c r="P845" s="17">
        <f>IF($B845="","",IF($F845="※类别不在基础资料里","※费用类别不在基础资料里",IF(AND(N($J845)=0,N($K845)=0),"※这行没填金额",IF(AND(N($J845)&gt;0,N($K845)&gt;0),"※收入和支出不能同一行都填",IF(AND($D845="收入",N($J845)=0),"※收入行要填收入金额",IF(AND($D845="支出",N($K845)=0),"※支出行要填支出金额",IF(AND($C845&lt;&gt;"",ISNA(MATCH($C845,账户表,0))),"※账户不在基础资料里",IF(AND($G845&lt;&gt;"",ISNA(MATCH($G845,项目名表,0))),"※项目不在项目台账里",IF(AND(LEFT($F845,3)="成本-",$G845=""),"※成本类支出没填项目",IF(AND(LEFT($F845,3)="成本-",$H845&lt;&gt;"",N($K845)&gt;0,COUNTIFS(采购单!$B:$B,$B845,采购单!$C:$C,$H845,采购单!$L:$L,$K845)&gt;0),"※这笔可能和采购单重复了",""))))))))))</f>
        <v/>
      </c>
    </row>
    <row r="846">
      <c r="A846" s="17">
        <f>IF($B846="","",ROW()-3)</f>
        <v/>
      </c>
      <c r="B846" s="18" t="n">
        <v>46265</v>
      </c>
      <c r="C846" s="13" t="inlineStr">
        <is>
          <t>微信1</t>
        </is>
      </c>
      <c r="D846" s="13" t="inlineStr">
        <is>
          <t>支出</t>
        </is>
      </c>
      <c r="E846" s="13" t="inlineStr">
        <is>
          <t>业务招待/餐费</t>
        </is>
      </c>
      <c r="F846" s="17">
        <f>IF($E846="","",IFERROR(VLOOKUP($E846,类别归属,2,0),"※类别不在基础资料里"))</f>
        <v/>
      </c>
      <c r="G846" s="13" t="n"/>
      <c r="H846" s="13" t="n"/>
      <c r="I846" s="13" t="inlineStr">
        <is>
          <t>美团</t>
        </is>
      </c>
      <c r="J846" s="14" t="n"/>
      <c r="K846" s="14" t="n">
        <v>33</v>
      </c>
      <c r="L846" s="19">
        <f>IF($C846="","",ROUND(IFERROR(VLOOKUP($C846,账户期初,2,0),0)+SUMIFS($J$4:J846,$C$4:C846,$C846)-SUMIFS($K$4:K846,$C$4:C846,$C846),2))</f>
        <v/>
      </c>
      <c r="M846" s="19">
        <f>IF($C846="","",ROUND(SUM(基础资料!$B$4:$B$13)+SUM($J$4:J846)-SUM($K$4:K846),2))</f>
        <v/>
      </c>
      <c r="N846" s="13" t="n"/>
      <c r="O846" s="13" t="n"/>
      <c r="P846" s="17">
        <f>IF($B846="","",IF($F846="※类别不在基础资料里","※费用类别不在基础资料里",IF(AND(N($J846)=0,N($K846)=0),"※这行没填金额",IF(AND(N($J846)&gt;0,N($K846)&gt;0),"※收入和支出不能同一行都填",IF(AND($D846="收入",N($J846)=0),"※收入行要填收入金额",IF(AND($D846="支出",N($K846)=0),"※支出行要填支出金额",IF(AND($C846&lt;&gt;"",ISNA(MATCH($C846,账户表,0))),"※账户不在基础资料里",IF(AND($G846&lt;&gt;"",ISNA(MATCH($G846,项目名表,0))),"※项目不在项目台账里",IF(AND(LEFT($F846,3)="成本-",$G846=""),"※成本类支出没填项目",IF(AND(LEFT($F846,3)="成本-",$H846&lt;&gt;"",N($K846)&gt;0,COUNTIFS(采购单!$B:$B,$B846,采购单!$C:$C,$H846,采购单!$L:$L,$K846)&gt;0),"※这笔可能和采购单重复了",""))))))))))</f>
        <v/>
      </c>
    </row>
    <row r="847">
      <c r="A847" s="17">
        <f>IF($B847="","",ROW()-3)</f>
        <v/>
      </c>
      <c r="B847" s="18" t="n">
        <v>46265</v>
      </c>
      <c r="C847" s="13" t="inlineStr">
        <is>
          <t>微信1</t>
        </is>
      </c>
      <c r="D847" s="13" t="inlineStr">
        <is>
          <t>支出</t>
        </is>
      </c>
      <c r="E847" s="13" t="inlineStr">
        <is>
          <t>待分类</t>
        </is>
      </c>
      <c r="F847" s="17">
        <f>IF($E847="","",IFERROR(VLOOKUP($E847,类别归属,2,0),"※类别不在基础资料里"))</f>
        <v/>
      </c>
      <c r="G847" s="13" t="n"/>
      <c r="H847" s="13" t="n"/>
      <c r="I847" s="13" t="inlineStr">
        <is>
          <t>山里人</t>
        </is>
      </c>
      <c r="J847" s="14" t="n"/>
      <c r="K847" s="14" t="n">
        <v>800</v>
      </c>
      <c r="L847" s="19">
        <f>IF($C847="","",ROUND(IFERROR(VLOOKUP($C847,账户期初,2,0),0)+SUMIFS($J$4:J847,$C$4:C847,$C847)-SUMIFS($K$4:K847,$C$4:C847,$C847),2))</f>
        <v/>
      </c>
      <c r="M847" s="19">
        <f>IF($C847="","",ROUND(SUM(基础资料!$B$4:$B$13)+SUM($J$4:J847)-SUM($K$4:K847),2))</f>
        <v/>
      </c>
      <c r="N847" s="13" t="n"/>
      <c r="O847" s="13" t="n"/>
      <c r="P847" s="17">
        <f>IF($B847="","",IF($F847="※类别不在基础资料里","※费用类别不在基础资料里",IF(AND(N($J847)=0,N($K847)=0),"※这行没填金额",IF(AND(N($J847)&gt;0,N($K847)&gt;0),"※收入和支出不能同一行都填",IF(AND($D847="收入",N($J847)=0),"※收入行要填收入金额",IF(AND($D847="支出",N($K847)=0),"※支出行要填支出金额",IF(AND($C847&lt;&gt;"",ISNA(MATCH($C847,账户表,0))),"※账户不在基础资料里",IF(AND($G847&lt;&gt;"",ISNA(MATCH($G847,项目名表,0))),"※项目不在项目台账里",IF(AND(LEFT($F847,3)="成本-",$G847=""),"※成本类支出没填项目",IF(AND(LEFT($F847,3)="成本-",$H847&lt;&gt;"",N($K847)&gt;0,COUNTIFS(采购单!$B:$B,$B847,采购单!$C:$C,$H847,采购单!$L:$L,$K847)&gt;0),"※这笔可能和采购单重复了",""))))))))))</f>
        <v/>
      </c>
    </row>
    <row r="848">
      <c r="A848" s="17">
        <f>IF($B848="","",ROW()-3)</f>
        <v/>
      </c>
      <c r="B848" s="18" t="n">
        <v>46265</v>
      </c>
      <c r="C848" s="13" t="inlineStr">
        <is>
          <t>微信1</t>
        </is>
      </c>
      <c r="D848" s="13" t="inlineStr">
        <is>
          <t>支出</t>
        </is>
      </c>
      <c r="E848" s="13" t="inlineStr">
        <is>
          <t>运费/快递费</t>
        </is>
      </c>
      <c r="F848" s="17">
        <f>IF($E848="","",IFERROR(VLOOKUP($E848,类别归属,2,0),"※类别不在基础资料里"))</f>
        <v/>
      </c>
      <c r="G848" s="13" t="n"/>
      <c r="H848" s="13" t="n"/>
      <c r="I848" s="13" t="inlineStr">
        <is>
          <t>杭州炳秀湖州26-28线路</t>
        </is>
      </c>
      <c r="J848" s="14" t="n"/>
      <c r="K848" s="14" t="n">
        <v>5</v>
      </c>
      <c r="L848" s="19">
        <f>IF($C848="","",ROUND(IFERROR(VLOOKUP($C848,账户期初,2,0),0)+SUMIFS($J$4:J848,$C$4:C848,$C848)-SUMIFS($K$4:K848,$C$4:C848,$C848),2))</f>
        <v/>
      </c>
      <c r="M848" s="19">
        <f>IF($C848="","",ROUND(SUM(基础资料!$B$4:$B$13)+SUM($J$4:J848)-SUM($K$4:K848),2))</f>
        <v/>
      </c>
      <c r="N848" s="13" t="n"/>
      <c r="O848" s="13" t="n"/>
      <c r="P848" s="17">
        <f>IF($B848="","",IF($F848="※类别不在基础资料里","※费用类别不在基础资料里",IF(AND(N($J848)=0,N($K848)=0),"※这行没填金额",IF(AND(N($J848)&gt;0,N($K848)&gt;0),"※收入和支出不能同一行都填",IF(AND($D848="收入",N($J848)=0),"※收入行要填收入金额",IF(AND($D848="支出",N($K848)=0),"※支出行要填支出金额",IF(AND($C848&lt;&gt;"",ISNA(MATCH($C848,账户表,0))),"※账户不在基础资料里",IF(AND($G848&lt;&gt;"",ISNA(MATCH($G848,项目名表,0))),"※项目不在项目台账里",IF(AND(LEFT($F848,3)="成本-",$G848=""),"※成本类支出没填项目",IF(AND(LEFT($F848,3)="成本-",$H848&lt;&gt;"",N($K848)&gt;0,COUNTIFS(采购单!$B:$B,$B848,采购单!$C:$C,$H848,采购单!$L:$L,$K848)&gt;0),"※这笔可能和采购单重复了",""))))))))))</f>
        <v/>
      </c>
    </row>
    <row r="849">
      <c r="A849" s="17">
        <f>IF($B849="","",ROW()-3)</f>
        <v/>
      </c>
      <c r="B849" s="18" t="n">
        <v>46265</v>
      </c>
      <c r="C849" s="13" t="inlineStr">
        <is>
          <t>微信1</t>
        </is>
      </c>
      <c r="D849" s="13" t="inlineStr">
        <is>
          <t>支出</t>
        </is>
      </c>
      <c r="E849" s="13" t="inlineStr">
        <is>
          <t>广告推广</t>
        </is>
      </c>
      <c r="F849" s="17">
        <f>IF($E849="","",IFERROR(VLOOKUP($E849,类别归属,2,0),"※类别不在基础资料里"))</f>
        <v/>
      </c>
      <c r="G849" s="13" t="n"/>
      <c r="H849" s="13" t="n"/>
      <c r="I849" s="13" t="inlineStr">
        <is>
          <t>发给视频 (Solace)</t>
        </is>
      </c>
      <c r="J849" s="14" t="n"/>
      <c r="K849" s="14" t="n">
        <v>60</v>
      </c>
      <c r="L849" s="19">
        <f>IF($C849="","",ROUND(IFERROR(VLOOKUP($C849,账户期初,2,0),0)+SUMIFS($J$4:J849,$C$4:C849,$C849)-SUMIFS($K$4:K849,$C$4:C849,$C849),2))</f>
        <v/>
      </c>
      <c r="M849" s="19">
        <f>IF($C849="","",ROUND(SUM(基础资料!$B$4:$B$13)+SUM($J$4:J849)-SUM($K$4:K849),2))</f>
        <v/>
      </c>
      <c r="N849" s="13" t="n"/>
      <c r="O849" s="13" t="n"/>
      <c r="P849" s="17">
        <f>IF($B849="","",IF($F849="※类别不在基础资料里","※费用类别不在基础资料里",IF(AND(N($J849)=0,N($K849)=0),"※这行没填金额",IF(AND(N($J849)&gt;0,N($K849)&gt;0),"※收入和支出不能同一行都填",IF(AND($D849="收入",N($J849)=0),"※收入行要填收入金额",IF(AND($D849="支出",N($K849)=0),"※支出行要填支出金额",IF(AND($C849&lt;&gt;"",ISNA(MATCH($C849,账户表,0))),"※账户不在基础资料里",IF(AND($G849&lt;&gt;"",ISNA(MATCH($G849,项目名表,0))),"※项目不在项目台账里",IF(AND(LEFT($F849,3)="成本-",$G849=""),"※成本类支出没填项目",IF(AND(LEFT($F849,3)="成本-",$H849&lt;&gt;"",N($K849)&gt;0,COUNTIFS(采购单!$B:$B,$B849,采购单!$C:$C,$H849,采购单!$L:$L,$K849)&gt;0),"※这笔可能和采购单重复了",""))))))))))</f>
        <v/>
      </c>
    </row>
    <row r="850">
      <c r="A850" s="17">
        <f>IF($B850="","",ROW()-3)</f>
        <v/>
      </c>
      <c r="B850" s="18" t="n">
        <v>46266</v>
      </c>
      <c r="C850" s="13" t="inlineStr">
        <is>
          <t>微信1</t>
        </is>
      </c>
      <c r="D850" s="13" t="inlineStr">
        <is>
          <t>支出</t>
        </is>
      </c>
      <c r="E850" s="13" t="inlineStr">
        <is>
          <t>运费/快递费</t>
        </is>
      </c>
      <c r="F850" s="17">
        <f>IF($E850="","",IFERROR(VLOOKUP($E850,类别归属,2,0),"※类别不在基础资料里"))</f>
        <v/>
      </c>
      <c r="G850" s="13" t="n"/>
      <c r="H850" s="13" t="n"/>
      <c r="I850" s="13" t="inlineStr">
        <is>
          <t>杭州炳秀湖州26-28线路</t>
        </is>
      </c>
      <c r="J850" s="14" t="n"/>
      <c r="K850" s="14" t="n">
        <v>151</v>
      </c>
      <c r="L850" s="19">
        <f>IF($C850="","",ROUND(IFERROR(VLOOKUP($C850,账户期初,2,0),0)+SUMIFS($J$4:J850,$C$4:C850,$C850)-SUMIFS($K$4:K850,$C$4:C850,$C850),2))</f>
        <v/>
      </c>
      <c r="M850" s="19">
        <f>IF($C850="","",ROUND(SUM(基础资料!$B$4:$B$13)+SUM($J$4:J850)-SUM($K$4:K850),2))</f>
        <v/>
      </c>
      <c r="N850" s="13" t="n"/>
      <c r="O850" s="13" t="n"/>
      <c r="P850" s="17">
        <f>IF($B850="","",IF($F850="※类别不在基础资料里","※费用类别不在基础资料里",IF(AND(N($J850)=0,N($K850)=0),"※这行没填金额",IF(AND(N($J850)&gt;0,N($K850)&gt;0),"※收入和支出不能同一行都填",IF(AND($D850="收入",N($J850)=0),"※收入行要填收入金额",IF(AND($D850="支出",N($K850)=0),"※支出行要填支出金额",IF(AND($C850&lt;&gt;"",ISNA(MATCH($C850,账户表,0))),"※账户不在基础资料里",IF(AND($G850&lt;&gt;"",ISNA(MATCH($G850,项目名表,0))),"※项目不在项目台账里",IF(AND(LEFT($F850,3)="成本-",$G850=""),"※成本类支出没填项目",IF(AND(LEFT($F850,3)="成本-",$H850&lt;&gt;"",N($K850)&gt;0,COUNTIFS(采购单!$B:$B,$B850,采购单!$C:$C,$H850,采购单!$L:$L,$K850)&gt;0),"※这笔可能和采购单重复了",""))))))))))</f>
        <v/>
      </c>
    </row>
    <row r="851">
      <c r="A851" s="17">
        <f>IF($B851="","",ROW()-3)</f>
        <v/>
      </c>
      <c r="B851" s="18" t="n">
        <v>46267</v>
      </c>
      <c r="C851" s="13" t="inlineStr">
        <is>
          <t>微信1</t>
        </is>
      </c>
      <c r="D851" s="13" t="inlineStr">
        <is>
          <t>收入</t>
        </is>
      </c>
      <c r="E851" s="13" t="inlineStr">
        <is>
          <t>待分类</t>
        </is>
      </c>
      <c r="F851" s="17">
        <f>IF($E851="","",IFERROR(VLOOKUP($E851,类别归属,2,0),"※类别不在基础资料里"))</f>
        <v/>
      </c>
      <c r="G851" s="13" t="n"/>
      <c r="H851" s="13" t="n"/>
      <c r="I851" s="13" t="inlineStr">
        <is>
          <t>万达-kvv乔金鑫 (乔金鑫)</t>
        </is>
      </c>
      <c r="J851" s="14" t="n">
        <v>95</v>
      </c>
      <c r="K851" s="14" t="n"/>
      <c r="L851" s="19">
        <f>IF($C851="","",ROUND(IFERROR(VLOOKUP($C851,账户期初,2,0),0)+SUMIFS($J$4:J851,$C$4:C851,$C851)-SUMIFS($K$4:K851,$C$4:C851,$C851),2))</f>
        <v/>
      </c>
      <c r="M851" s="19">
        <f>IF($C851="","",ROUND(SUM(基础资料!$B$4:$B$13)+SUM($J$4:J851)-SUM($K$4:K851),2))</f>
        <v/>
      </c>
      <c r="N851" s="13" t="n"/>
      <c r="O851" s="13" t="n"/>
      <c r="P851" s="17">
        <f>IF($B851="","",IF($F851="※类别不在基础资料里","※费用类别不在基础资料里",IF(AND(N($J851)=0,N($K851)=0),"※这行没填金额",IF(AND(N($J851)&gt;0,N($K851)&gt;0),"※收入和支出不能同一行都填",IF(AND($D851="收入",N($J851)=0),"※收入行要填收入金额",IF(AND($D851="支出",N($K851)=0),"※支出行要填支出金额",IF(AND($C851&lt;&gt;"",ISNA(MATCH($C851,账户表,0))),"※账户不在基础资料里",IF(AND($G851&lt;&gt;"",ISNA(MATCH($G851,项目名表,0))),"※项目不在项目台账里",IF(AND(LEFT($F851,3)="成本-",$G851=""),"※成本类支出没填项目",IF(AND(LEFT($F851,3)="成本-",$H851&lt;&gt;"",N($K851)&gt;0,COUNTIFS(采购单!$B:$B,$B851,采购单!$C:$C,$H851,采购单!$L:$L,$K851)&gt;0),"※这笔可能和采购单重复了",""))))))))))</f>
        <v/>
      </c>
    </row>
    <row r="852">
      <c r="A852" s="17">
        <f>IF($B852="","",ROW()-3)</f>
        <v/>
      </c>
      <c r="B852" s="18" t="n">
        <v>46267</v>
      </c>
      <c r="C852" s="13" t="inlineStr">
        <is>
          <t>微信1</t>
        </is>
      </c>
      <c r="D852" s="13" t="inlineStr">
        <is>
          <t>收入</t>
        </is>
      </c>
      <c r="E852" s="13" t="inlineStr">
        <is>
          <t>待分类</t>
        </is>
      </c>
      <c r="F852" s="17">
        <f>IF($E852="","",IFERROR(VLOOKUP($E852,类别归属,2,0),"※类别不在基础资料里"))</f>
        <v/>
      </c>
      <c r="G852" s="13" t="n"/>
      <c r="H852" s="13" t="n"/>
      <c r="I852" s="13" t="inlineStr">
        <is>
          <t>付久华</t>
        </is>
      </c>
      <c r="J852" s="14" t="n">
        <v>2000</v>
      </c>
      <c r="K852" s="14" t="n"/>
      <c r="L852" s="19">
        <f>IF($C852="","",ROUND(IFERROR(VLOOKUP($C852,账户期初,2,0),0)+SUMIFS($J$4:J852,$C$4:C852,$C852)-SUMIFS($K$4:K852,$C$4:C852,$C852),2))</f>
        <v/>
      </c>
      <c r="M852" s="19">
        <f>IF($C852="","",ROUND(SUM(基础资料!$B$4:$B$13)+SUM($J$4:J852)-SUM($K$4:K852),2))</f>
        <v/>
      </c>
      <c r="N852" s="13" t="n"/>
      <c r="O852" s="13" t="n"/>
      <c r="P852" s="17">
        <f>IF($B852="","",IF($F852="※类别不在基础资料里","※费用类别不在基础资料里",IF(AND(N($J852)=0,N($K852)=0),"※这行没填金额",IF(AND(N($J852)&gt;0,N($K852)&gt;0),"※收入和支出不能同一行都填",IF(AND($D852="收入",N($J852)=0),"※收入行要填收入金额",IF(AND($D852="支出",N($K852)=0),"※支出行要填支出金额",IF(AND($C852&lt;&gt;"",ISNA(MATCH($C852,账户表,0))),"※账户不在基础资料里",IF(AND($G852&lt;&gt;"",ISNA(MATCH($G852,项目名表,0))),"※项目不在项目台账里",IF(AND(LEFT($F852,3)="成本-",$G852=""),"※成本类支出没填项目",IF(AND(LEFT($F852,3)="成本-",$H852&lt;&gt;"",N($K852)&gt;0,COUNTIFS(采购单!$B:$B,$B852,采购单!$C:$C,$H852,采购单!$L:$L,$K852)&gt;0),"※这笔可能和采购单重复了",""))))))))))</f>
        <v/>
      </c>
    </row>
    <row r="853">
      <c r="A853" s="17">
        <f>IF($B853="","",ROW()-3)</f>
        <v/>
      </c>
      <c r="B853" s="18" t="n">
        <v>46267</v>
      </c>
      <c r="C853" s="13" t="inlineStr">
        <is>
          <t>微信1</t>
        </is>
      </c>
      <c r="D853" s="13" t="inlineStr">
        <is>
          <t>支出</t>
        </is>
      </c>
      <c r="E853" s="13" t="inlineStr">
        <is>
          <t>安装工资</t>
        </is>
      </c>
      <c r="F853" s="17">
        <f>IF($E853="","",IFERROR(VLOOKUP($E853,类别归属,2,0),"※类别不在基础资料里"))</f>
        <v/>
      </c>
      <c r="G853" s="13" t="n"/>
      <c r="H853" s="13" t="n"/>
      <c r="I853" s="13" t="inlineStr">
        <is>
          <t>安装老姚 (安格)</t>
        </is>
      </c>
      <c r="J853" s="14" t="n"/>
      <c r="K853" s="14" t="n">
        <v>1700</v>
      </c>
      <c r="L853" s="19">
        <f>IF($C853="","",ROUND(IFERROR(VLOOKUP($C853,账户期初,2,0),0)+SUMIFS($J$4:J853,$C$4:C853,$C853)-SUMIFS($K$4:K853,$C$4:C853,$C853),2))</f>
        <v/>
      </c>
      <c r="M853" s="19">
        <f>IF($C853="","",ROUND(SUM(基础资料!$B$4:$B$13)+SUM($J$4:J853)-SUM($K$4:K853),2))</f>
        <v/>
      </c>
      <c r="N853" s="13" t="n"/>
      <c r="O853" s="13" t="n"/>
      <c r="P853" s="17">
        <f>IF($B853="","",IF($F853="※类别不在基础资料里","※费用类别不在基础资料里",IF(AND(N($J853)=0,N($K853)=0),"※这行没填金额",IF(AND(N($J853)&gt;0,N($K853)&gt;0),"※收入和支出不能同一行都填",IF(AND($D853="收入",N($J853)=0),"※收入行要填收入金额",IF(AND($D853="支出",N($K853)=0),"※支出行要填支出金额",IF(AND($C853&lt;&gt;"",ISNA(MATCH($C853,账户表,0))),"※账户不在基础资料里",IF(AND($G853&lt;&gt;"",ISNA(MATCH($G853,项目名表,0))),"※项目不在项目台账里",IF(AND(LEFT($F853,3)="成本-",$G853=""),"※成本类支出没填项目",IF(AND(LEFT($F853,3)="成本-",$H853&lt;&gt;"",N($K853)&gt;0,COUNTIFS(采购单!$B:$B,$B853,采购单!$C:$C,$H853,采购单!$L:$L,$K853)&gt;0),"※这笔可能和采购单重复了",""))))))))))</f>
        <v/>
      </c>
    </row>
    <row r="854">
      <c r="A854" s="17">
        <f>IF($B854="","",ROW()-3)</f>
        <v/>
      </c>
      <c r="B854" s="18" t="n">
        <v>46267</v>
      </c>
      <c r="C854" s="13" t="inlineStr">
        <is>
          <t>微信1</t>
        </is>
      </c>
      <c r="D854" s="13" t="inlineStr">
        <is>
          <t>支出</t>
        </is>
      </c>
      <c r="E854" s="13" t="inlineStr">
        <is>
          <t>待分类</t>
        </is>
      </c>
      <c r="F854" s="17">
        <f>IF($E854="","",IFERROR(VLOOKUP($E854,类别归属,2,0),"※类别不在基础资料里"))</f>
        <v/>
      </c>
      <c r="G854" s="13" t="n"/>
      <c r="H854" s="13" t="n"/>
      <c r="I854" s="13" t="inlineStr">
        <is>
          <t>学芳</t>
        </is>
      </c>
      <c r="J854" s="14" t="n"/>
      <c r="K854" s="14" t="n">
        <v>20</v>
      </c>
      <c r="L854" s="19">
        <f>IF($C854="","",ROUND(IFERROR(VLOOKUP($C854,账户期初,2,0),0)+SUMIFS($J$4:J854,$C$4:C854,$C854)-SUMIFS($K$4:K854,$C$4:C854,$C854),2))</f>
        <v/>
      </c>
      <c r="M854" s="19">
        <f>IF($C854="","",ROUND(SUM(基础资料!$B$4:$B$13)+SUM($J$4:J854)-SUM($K$4:K854),2))</f>
        <v/>
      </c>
      <c r="N854" s="13" t="n"/>
      <c r="O854" s="13" t="n"/>
      <c r="P854" s="17">
        <f>IF($B854="","",IF($F854="※类别不在基础资料里","※费用类别不在基础资料里",IF(AND(N($J854)=0,N($K854)=0),"※这行没填金额",IF(AND(N($J854)&gt;0,N($K854)&gt;0),"※收入和支出不能同一行都填",IF(AND($D854="收入",N($J854)=0),"※收入行要填收入金额",IF(AND($D854="支出",N($K854)=0),"※支出行要填支出金额",IF(AND($C854&lt;&gt;"",ISNA(MATCH($C854,账户表,0))),"※账户不在基础资料里",IF(AND($G854&lt;&gt;"",ISNA(MATCH($G854,项目名表,0))),"※项目不在项目台账里",IF(AND(LEFT($F854,3)="成本-",$G854=""),"※成本类支出没填项目",IF(AND(LEFT($F854,3)="成本-",$H854&lt;&gt;"",N($K854)&gt;0,COUNTIFS(采购单!$B:$B,$B854,采购单!$C:$C,$H854,采购单!$L:$L,$K854)&gt;0),"※这笔可能和采购单重复了",""))))))))))</f>
        <v/>
      </c>
    </row>
    <row r="855">
      <c r="A855" s="17">
        <f>IF($B855="","",ROW()-3)</f>
        <v/>
      </c>
      <c r="B855" s="18" t="n">
        <v>46267</v>
      </c>
      <c r="C855" s="13" t="inlineStr">
        <is>
          <t>微信1</t>
        </is>
      </c>
      <c r="D855" s="13" t="inlineStr">
        <is>
          <t>支出</t>
        </is>
      </c>
      <c r="E855" s="13" t="inlineStr">
        <is>
          <t>待分类</t>
        </is>
      </c>
      <c r="F855" s="17">
        <f>IF($E855="","",IFERROR(VLOOKUP($E855,类别归属,2,0),"※类别不在基础资料里"))</f>
        <v/>
      </c>
      <c r="G855" s="13" t="n"/>
      <c r="H855" s="13" t="n"/>
      <c r="I855" s="13" t="inlineStr">
        <is>
          <t>学芳</t>
        </is>
      </c>
      <c r="J855" s="14" t="n"/>
      <c r="K855" s="14" t="n">
        <v>20</v>
      </c>
      <c r="L855" s="19">
        <f>IF($C855="","",ROUND(IFERROR(VLOOKUP($C855,账户期初,2,0),0)+SUMIFS($J$4:J855,$C$4:C855,$C855)-SUMIFS($K$4:K855,$C$4:C855,$C855),2))</f>
        <v/>
      </c>
      <c r="M855" s="19">
        <f>IF($C855="","",ROUND(SUM(基础资料!$B$4:$B$13)+SUM($J$4:J855)-SUM($K$4:K855),2))</f>
        <v/>
      </c>
      <c r="N855" s="13" t="n"/>
      <c r="O855" s="13" t="n"/>
      <c r="P855" s="17">
        <f>IF($B855="","",IF($F855="※类别不在基础资料里","※费用类别不在基础资料里",IF(AND(N($J855)=0,N($K855)=0),"※这行没填金额",IF(AND(N($J855)&gt;0,N($K855)&gt;0),"※收入和支出不能同一行都填",IF(AND($D855="收入",N($J855)=0),"※收入行要填收入金额",IF(AND($D855="支出",N($K855)=0),"※支出行要填支出金额",IF(AND($C855&lt;&gt;"",ISNA(MATCH($C855,账户表,0))),"※账户不在基础资料里",IF(AND($G855&lt;&gt;"",ISNA(MATCH($G855,项目名表,0))),"※项目不在项目台账里",IF(AND(LEFT($F855,3)="成本-",$G855=""),"※成本类支出没填项目",IF(AND(LEFT($F855,3)="成本-",$H855&lt;&gt;"",N($K855)&gt;0,COUNTIFS(采购单!$B:$B,$B855,采购单!$C:$C,$H855,采购单!$L:$L,$K855)&gt;0),"※这笔可能和采购单重复了",""))))))))))</f>
        <v/>
      </c>
    </row>
    <row r="856">
      <c r="A856" s="17">
        <f>IF($B856="","",ROW()-3)</f>
        <v/>
      </c>
      <c r="B856" s="18" t="n">
        <v>46268</v>
      </c>
      <c r="C856" s="13" t="inlineStr">
        <is>
          <t>微信1</t>
        </is>
      </c>
      <c r="D856" s="13" t="inlineStr">
        <is>
          <t>支出</t>
        </is>
      </c>
      <c r="E856" s="13" t="inlineStr">
        <is>
          <t>业务招待/餐费</t>
        </is>
      </c>
      <c r="F856" s="17">
        <f>IF($E856="","",IFERROR(VLOOKUP($E856,类别归属,2,0),"※类别不在基础资料里"))</f>
        <v/>
      </c>
      <c r="G856" s="13" t="n"/>
      <c r="H856" s="13" t="n"/>
      <c r="I856" s="13" t="inlineStr">
        <is>
          <t>美团</t>
        </is>
      </c>
      <c r="J856" s="14" t="n"/>
      <c r="K856" s="14" t="n">
        <v>13</v>
      </c>
      <c r="L856" s="19">
        <f>IF($C856="","",ROUND(IFERROR(VLOOKUP($C856,账户期初,2,0),0)+SUMIFS($J$4:J856,$C$4:C856,$C856)-SUMIFS($K$4:K856,$C$4:C856,$C856),2))</f>
        <v/>
      </c>
      <c r="M856" s="19">
        <f>IF($C856="","",ROUND(SUM(基础资料!$B$4:$B$13)+SUM($J$4:J856)-SUM($K$4:K856),2))</f>
        <v/>
      </c>
      <c r="N856" s="13" t="n"/>
      <c r="O856" s="13" t="n"/>
      <c r="P856" s="17">
        <f>IF($B856="","",IF($F856="※类别不在基础资料里","※费用类别不在基础资料里",IF(AND(N($J856)=0,N($K856)=0),"※这行没填金额",IF(AND(N($J856)&gt;0,N($K856)&gt;0),"※收入和支出不能同一行都填",IF(AND($D856="收入",N($J856)=0),"※收入行要填收入金额",IF(AND($D856="支出",N($K856)=0),"※支出行要填支出金额",IF(AND($C856&lt;&gt;"",ISNA(MATCH($C856,账户表,0))),"※账户不在基础资料里",IF(AND($G856&lt;&gt;"",ISNA(MATCH($G856,项目名表,0))),"※项目不在项目台账里",IF(AND(LEFT($F856,3)="成本-",$G856=""),"※成本类支出没填项目",IF(AND(LEFT($F856,3)="成本-",$H856&lt;&gt;"",N($K856)&gt;0,COUNTIFS(采购单!$B:$B,$B856,采购单!$C:$C,$H856,采购单!$L:$L,$K856)&gt;0),"※这笔可能和采购单重复了",""))))))))))</f>
        <v/>
      </c>
    </row>
    <row r="857">
      <c r="A857" s="17">
        <f>IF($B857="","",ROW()-3)</f>
        <v/>
      </c>
      <c r="B857" s="18" t="n">
        <v>46268</v>
      </c>
      <c r="C857" s="13" t="inlineStr">
        <is>
          <t>微信1</t>
        </is>
      </c>
      <c r="D857" s="13" t="inlineStr">
        <is>
          <t>支出</t>
        </is>
      </c>
      <c r="E857" s="13" t="inlineStr">
        <is>
          <t>运费/快递费</t>
        </is>
      </c>
      <c r="F857" s="17">
        <f>IF($E857="","",IFERROR(VLOOKUP($E857,类别归属,2,0),"※类别不在基础资料里"))</f>
        <v/>
      </c>
      <c r="G857" s="13" t="n"/>
      <c r="H857" s="13" t="n"/>
      <c r="I857" s="13" t="inlineStr">
        <is>
          <t>杭州炳秀湖州26-28线路</t>
        </is>
      </c>
      <c r="J857" s="14" t="n"/>
      <c r="K857" s="14" t="n">
        <v>45</v>
      </c>
      <c r="L857" s="19">
        <f>IF($C857="","",ROUND(IFERROR(VLOOKUP($C857,账户期初,2,0),0)+SUMIFS($J$4:J857,$C$4:C857,$C857)-SUMIFS($K$4:K857,$C$4:C857,$C857),2))</f>
        <v/>
      </c>
      <c r="M857" s="19">
        <f>IF($C857="","",ROUND(SUM(基础资料!$B$4:$B$13)+SUM($J$4:J857)-SUM($K$4:K857),2))</f>
        <v/>
      </c>
      <c r="N857" s="13" t="n"/>
      <c r="O857" s="13" t="n"/>
      <c r="P857" s="17">
        <f>IF($B857="","",IF($F857="※类别不在基础资料里","※费用类别不在基础资料里",IF(AND(N($J857)=0,N($K857)=0),"※这行没填金额",IF(AND(N($J857)&gt;0,N($K857)&gt;0),"※收入和支出不能同一行都填",IF(AND($D857="收入",N($J857)=0),"※收入行要填收入金额",IF(AND($D857="支出",N($K857)=0),"※支出行要填支出金额",IF(AND($C857&lt;&gt;"",ISNA(MATCH($C857,账户表,0))),"※账户不在基础资料里",IF(AND($G857&lt;&gt;"",ISNA(MATCH($G857,项目名表,0))),"※项目不在项目台账里",IF(AND(LEFT($F857,3)="成本-",$G857=""),"※成本类支出没填项目",IF(AND(LEFT($F857,3)="成本-",$H857&lt;&gt;"",N($K857)&gt;0,COUNTIFS(采购单!$B:$B,$B857,采购单!$C:$C,$H857,采购单!$L:$L,$K857)&gt;0),"※这笔可能和采购单重复了",""))))))))))</f>
        <v/>
      </c>
    </row>
    <row r="858">
      <c r="A858" s="17">
        <f>IF($B858="","",ROW()-3)</f>
        <v/>
      </c>
      <c r="B858" s="18" t="n">
        <v>46268</v>
      </c>
      <c r="C858" s="13" t="inlineStr">
        <is>
          <t>微信1</t>
        </is>
      </c>
      <c r="D858" s="13" t="inlineStr">
        <is>
          <t>支出</t>
        </is>
      </c>
      <c r="E858" s="13" t="inlineStr">
        <is>
          <t>主材采购</t>
        </is>
      </c>
      <c r="F858" s="17">
        <f>IF($E858="","",IFERROR(VLOOKUP($E858,类别归属,2,0),"※类别不在基础资料里"))</f>
        <v/>
      </c>
      <c r="G858" s="13" t="n"/>
      <c r="H858" s="13" t="n"/>
      <c r="I858" s="13" t="inlineStr">
        <is>
          <t>上达铝单板铝方通孙13913803884</t>
        </is>
      </c>
      <c r="J858" s="14" t="n"/>
      <c r="K858" s="14" t="n">
        <v>20</v>
      </c>
      <c r="L858" s="19">
        <f>IF($C858="","",ROUND(IFERROR(VLOOKUP($C858,账户期初,2,0),0)+SUMIFS($J$4:J858,$C$4:C858,$C858)-SUMIFS($K$4:K858,$C$4:C858,$C858),2))</f>
        <v/>
      </c>
      <c r="M858" s="19">
        <f>IF($C858="","",ROUND(SUM(基础资料!$B$4:$B$13)+SUM($J$4:J858)-SUM($K$4:K858),2))</f>
        <v/>
      </c>
      <c r="N858" s="13" t="n"/>
      <c r="O858" s="13" t="n"/>
      <c r="P858" s="17">
        <f>IF($B858="","",IF($F858="※类别不在基础资料里","※费用类别不在基础资料里",IF(AND(N($J858)=0,N($K858)=0),"※这行没填金额",IF(AND(N($J858)&gt;0,N($K858)&gt;0),"※收入和支出不能同一行都填",IF(AND($D858="收入",N($J858)=0),"※收入行要填收入金额",IF(AND($D858="支出",N($K858)=0),"※支出行要填支出金额",IF(AND($C858&lt;&gt;"",ISNA(MATCH($C858,账户表,0))),"※账户不在基础资料里",IF(AND($G858&lt;&gt;"",ISNA(MATCH($G858,项目名表,0))),"※项目不在项目台账里",IF(AND(LEFT($F858,3)="成本-",$G858=""),"※成本类支出没填项目",IF(AND(LEFT($F858,3)="成本-",$H858&lt;&gt;"",N($K858)&gt;0,COUNTIFS(采购单!$B:$B,$B858,采购单!$C:$C,$H858,采购单!$L:$L,$K858)&gt;0),"※这笔可能和采购单重复了",""))))))))))</f>
        <v/>
      </c>
    </row>
    <row r="859">
      <c r="A859" s="17">
        <f>IF($B859="","",ROW()-3)</f>
        <v/>
      </c>
      <c r="B859" s="18" t="n">
        <v>46269</v>
      </c>
      <c r="C859" s="13" t="inlineStr">
        <is>
          <t>微信1</t>
        </is>
      </c>
      <c r="D859" s="13" t="inlineStr">
        <is>
          <t>支出</t>
        </is>
      </c>
      <c r="E859" s="13" t="inlineStr">
        <is>
          <t>网购材料耗材</t>
        </is>
      </c>
      <c r="F859" s="17">
        <f>IF($E859="","",IFERROR(VLOOKUP($E859,类别归属,2,0),"※类别不在基础资料里"))</f>
        <v/>
      </c>
      <c r="G859" s="13" t="n"/>
      <c r="H859" s="13" t="inlineStr">
        <is>
          <t>拼多多</t>
        </is>
      </c>
      <c r="I859" s="13" t="inlineStr">
        <is>
          <t>拼多多平台商户</t>
        </is>
      </c>
      <c r="J859" s="14" t="n"/>
      <c r="K859" s="14" t="n">
        <v>17.77</v>
      </c>
      <c r="L859" s="19">
        <f>IF($C859="","",ROUND(IFERROR(VLOOKUP($C859,账户期初,2,0),0)+SUMIFS($J$4:J859,$C$4:C859,$C859)-SUMIFS($K$4:K859,$C$4:C859,$C859),2))</f>
        <v/>
      </c>
      <c r="M859" s="19">
        <f>IF($C859="","",ROUND(SUM(基础资料!$B$4:$B$13)+SUM($J$4:J859)-SUM($K$4:K859),2))</f>
        <v/>
      </c>
      <c r="N859" s="13" t="n"/>
      <c r="O859" s="13" t="n"/>
      <c r="P859" s="17">
        <f>IF($B859="","",IF($F859="※类别不在基础资料里","※费用类别不在基础资料里",IF(AND(N($J859)=0,N($K859)=0),"※这行没填金额",IF(AND(N($J859)&gt;0,N($K859)&gt;0),"※收入和支出不能同一行都填",IF(AND($D859="收入",N($J859)=0),"※收入行要填收入金额",IF(AND($D859="支出",N($K859)=0),"※支出行要填支出金额",IF(AND($C859&lt;&gt;"",ISNA(MATCH($C859,账户表,0))),"※账户不在基础资料里",IF(AND($G859&lt;&gt;"",ISNA(MATCH($G859,项目名表,0))),"※项目不在项目台账里",IF(AND(LEFT($F859,3)="成本-",$G859=""),"※成本类支出没填项目",IF(AND(LEFT($F859,3)="成本-",$H859&lt;&gt;"",N($K859)&gt;0,COUNTIFS(采购单!$B:$B,$B859,采购单!$C:$C,$H859,采购单!$L:$L,$K859)&gt;0),"※这笔可能和采购单重复了",""))))))))))</f>
        <v/>
      </c>
    </row>
    <row r="860">
      <c r="A860" s="17">
        <f>IF($B860="","",ROW()-3)</f>
        <v/>
      </c>
      <c r="B860" s="18" t="n">
        <v>46270</v>
      </c>
      <c r="C860" s="13" t="inlineStr">
        <is>
          <t>微信1</t>
        </is>
      </c>
      <c r="D860" s="13" t="inlineStr">
        <is>
          <t>收入</t>
        </is>
      </c>
      <c r="E860" s="13" t="inlineStr">
        <is>
          <t>待分类</t>
        </is>
      </c>
      <c r="F860" s="17">
        <f>IF($E860="","",IFERROR(VLOOKUP($E860,类别归属,2,0),"※类别不在基础资料里"))</f>
        <v/>
      </c>
      <c r="G860" s="13" t="n"/>
      <c r="H860" s="13" t="n"/>
      <c r="I860" s="13" t="inlineStr">
        <is>
          <t>银泰4F-kt桌球李总 (五海)</t>
        </is>
      </c>
      <c r="J860" s="14" t="n">
        <v>1512</v>
      </c>
      <c r="K860" s="14" t="n"/>
      <c r="L860" s="19">
        <f>IF($C860="","",ROUND(IFERROR(VLOOKUP($C860,账户期初,2,0),0)+SUMIFS($J$4:J860,$C$4:C860,$C860)-SUMIFS($K$4:K860,$C$4:C860,$C860),2))</f>
        <v/>
      </c>
      <c r="M860" s="19">
        <f>IF($C860="","",ROUND(SUM(基础资料!$B$4:$B$13)+SUM($J$4:J860)-SUM($K$4:K860),2))</f>
        <v/>
      </c>
      <c r="N860" s="13" t="n"/>
      <c r="O860" s="13" t="n"/>
      <c r="P860" s="17">
        <f>IF($B860="","",IF($F860="※类别不在基础资料里","※费用类别不在基础资料里",IF(AND(N($J860)=0,N($K860)=0),"※这行没填金额",IF(AND(N($J860)&gt;0,N($K860)&gt;0),"※收入和支出不能同一行都填",IF(AND($D860="收入",N($J860)=0),"※收入行要填收入金额",IF(AND($D860="支出",N($K860)=0),"※支出行要填支出金额",IF(AND($C860&lt;&gt;"",ISNA(MATCH($C860,账户表,0))),"※账户不在基础资料里",IF(AND($G860&lt;&gt;"",ISNA(MATCH($G860,项目名表,0))),"※项目不在项目台账里",IF(AND(LEFT($F860,3)="成本-",$G860=""),"※成本类支出没填项目",IF(AND(LEFT($F860,3)="成本-",$H860&lt;&gt;"",N($K860)&gt;0,COUNTIFS(采购单!$B:$B,$B860,采购单!$C:$C,$H860,采购单!$L:$L,$K860)&gt;0),"※这笔可能和采购单重复了",""))))))))))</f>
        <v/>
      </c>
    </row>
    <row r="861">
      <c r="A861" s="17">
        <f>IF($B861="","",ROW()-3)</f>
        <v/>
      </c>
      <c r="B861" s="18" t="n">
        <v>46270</v>
      </c>
      <c r="C861" s="13" t="inlineStr">
        <is>
          <t>微信1</t>
        </is>
      </c>
      <c r="D861" s="13" t="inlineStr">
        <is>
          <t>收入</t>
        </is>
      </c>
      <c r="E861" s="13" t="inlineStr">
        <is>
          <t>待分类</t>
        </is>
      </c>
      <c r="F861" s="17">
        <f>IF($E861="","",IFERROR(VLOOKUP($E861,类别归属,2,0),"※类别不在基础资料里"))</f>
        <v/>
      </c>
      <c r="G861" s="13" t="n"/>
      <c r="H861" s="13" t="n"/>
      <c r="I861" s="13" t="inlineStr">
        <is>
          <t>银泰4F-kt桌球李总 (五海)</t>
        </is>
      </c>
      <c r="J861" s="14" t="n">
        <v>1697</v>
      </c>
      <c r="K861" s="14" t="n"/>
      <c r="L861" s="19">
        <f>IF($C861="","",ROUND(IFERROR(VLOOKUP($C861,账户期初,2,0),0)+SUMIFS($J$4:J861,$C$4:C861,$C861)-SUMIFS($K$4:K861,$C$4:C861,$C861),2))</f>
        <v/>
      </c>
      <c r="M861" s="19">
        <f>IF($C861="","",ROUND(SUM(基础资料!$B$4:$B$13)+SUM($J$4:J861)-SUM($K$4:K861),2))</f>
        <v/>
      </c>
      <c r="N861" s="13" t="n"/>
      <c r="O861" s="13" t="n"/>
      <c r="P861" s="17">
        <f>IF($B861="","",IF($F861="※类别不在基础资料里","※费用类别不在基础资料里",IF(AND(N($J861)=0,N($K861)=0),"※这行没填金额",IF(AND(N($J861)&gt;0,N($K861)&gt;0),"※收入和支出不能同一行都填",IF(AND($D861="收入",N($J861)=0),"※收入行要填收入金额",IF(AND($D861="支出",N($K861)=0),"※支出行要填支出金额",IF(AND($C861&lt;&gt;"",ISNA(MATCH($C861,账户表,0))),"※账户不在基础资料里",IF(AND($G861&lt;&gt;"",ISNA(MATCH($G861,项目名表,0))),"※项目不在项目台账里",IF(AND(LEFT($F861,3)="成本-",$G861=""),"※成本类支出没填项目",IF(AND(LEFT($F861,3)="成本-",$H861&lt;&gt;"",N($K861)&gt;0,COUNTIFS(采购单!$B:$B,$B861,采购单!$C:$C,$H861,采购单!$L:$L,$K861)&gt;0),"※这笔可能和采购单重复了",""))))))))))</f>
        <v/>
      </c>
    </row>
    <row r="862">
      <c r="A862" s="17">
        <f>IF($B862="","",ROW()-3)</f>
        <v/>
      </c>
      <c r="B862" s="18" t="n">
        <v>46270</v>
      </c>
      <c r="C862" s="13" t="inlineStr">
        <is>
          <t>微信1</t>
        </is>
      </c>
      <c r="D862" s="13" t="inlineStr">
        <is>
          <t>收入</t>
        </is>
      </c>
      <c r="E862" s="13" t="inlineStr">
        <is>
          <t>待分类</t>
        </is>
      </c>
      <c r="F862" s="17">
        <f>IF($E862="","",IFERROR(VLOOKUP($E862,类别归属,2,0),"※类别不在基础资料里"))</f>
        <v/>
      </c>
      <c r="G862" s="13" t="n"/>
      <c r="H862" s="13" t="n"/>
      <c r="I862" s="13" t="inlineStr">
        <is>
          <t>湖州银泰-王行 (王行)</t>
        </is>
      </c>
      <c r="J862" s="14" t="n">
        <v>1320</v>
      </c>
      <c r="K862" s="14" t="n"/>
      <c r="L862" s="19">
        <f>IF($C862="","",ROUND(IFERROR(VLOOKUP($C862,账户期初,2,0),0)+SUMIFS($J$4:J862,$C$4:C862,$C862)-SUMIFS($K$4:K862,$C$4:C862,$C862),2))</f>
        <v/>
      </c>
      <c r="M862" s="19">
        <f>IF($C862="","",ROUND(SUM(基础资料!$B$4:$B$13)+SUM($J$4:J862)-SUM($K$4:K862),2))</f>
        <v/>
      </c>
      <c r="N862" s="13" t="n"/>
      <c r="O862" s="13" t="n"/>
      <c r="P862" s="17">
        <f>IF($B862="","",IF($F862="※类别不在基础资料里","※费用类别不在基础资料里",IF(AND(N($J862)=0,N($K862)=0),"※这行没填金额",IF(AND(N($J862)&gt;0,N($K862)&gt;0),"※收入和支出不能同一行都填",IF(AND($D862="收入",N($J862)=0),"※收入行要填收入金额",IF(AND($D862="支出",N($K862)=0),"※支出行要填支出金额",IF(AND($C862&lt;&gt;"",ISNA(MATCH($C862,账户表,0))),"※账户不在基础资料里",IF(AND($G862&lt;&gt;"",ISNA(MATCH($G862,项目名表,0))),"※项目不在项目台账里",IF(AND(LEFT($F862,3)="成本-",$G862=""),"※成本类支出没填项目",IF(AND(LEFT($F862,3)="成本-",$H862&lt;&gt;"",N($K862)&gt;0,COUNTIFS(采购单!$B:$B,$B862,采购单!$C:$C,$H862,采购单!$L:$L,$K862)&gt;0),"※这笔可能和采购单重复了",""))))))))))</f>
        <v/>
      </c>
    </row>
    <row r="863">
      <c r="A863" s="17">
        <f>IF($B863="","",ROW()-3)</f>
        <v/>
      </c>
      <c r="B863" s="18" t="n">
        <v>46270</v>
      </c>
      <c r="C863" s="13" t="inlineStr">
        <is>
          <t>微信1</t>
        </is>
      </c>
      <c r="D863" s="13" t="inlineStr">
        <is>
          <t>支出</t>
        </is>
      </c>
      <c r="E863" s="13" t="inlineStr">
        <is>
          <t>运费/快递费</t>
        </is>
      </c>
      <c r="F863" s="17">
        <f>IF($E863="","",IFERROR(VLOOKUP($E863,类别归属,2,0),"※类别不在基础资料里"))</f>
        <v/>
      </c>
      <c r="G863" s="13" t="n"/>
      <c r="H863" s="13" t="n"/>
      <c r="I863" s="13" t="inlineStr">
        <is>
          <t>杭州炳秀湖州26-28线路</t>
        </is>
      </c>
      <c r="J863" s="14" t="n"/>
      <c r="K863" s="14" t="n">
        <v>16</v>
      </c>
      <c r="L863" s="19">
        <f>IF($C863="","",ROUND(IFERROR(VLOOKUP($C863,账户期初,2,0),0)+SUMIFS($J$4:J863,$C$4:C863,$C863)-SUMIFS($K$4:K863,$C$4:C863,$C863),2))</f>
        <v/>
      </c>
      <c r="M863" s="19">
        <f>IF($C863="","",ROUND(SUM(基础资料!$B$4:$B$13)+SUM($J$4:J863)-SUM($K$4:K863),2))</f>
        <v/>
      </c>
      <c r="N863" s="13" t="n"/>
      <c r="O863" s="13" t="n"/>
      <c r="P863" s="17">
        <f>IF($B863="","",IF($F863="※类别不在基础资料里","※费用类别不在基础资料里",IF(AND(N($J863)=0,N($K863)=0),"※这行没填金额",IF(AND(N($J863)&gt;0,N($K863)&gt;0),"※收入和支出不能同一行都填",IF(AND($D863="收入",N($J863)=0),"※收入行要填收入金额",IF(AND($D863="支出",N($K863)=0),"※支出行要填支出金额",IF(AND($C863&lt;&gt;"",ISNA(MATCH($C863,账户表,0))),"※账户不在基础资料里",IF(AND($G863&lt;&gt;"",ISNA(MATCH($G863,项目名表,0))),"※项目不在项目台账里",IF(AND(LEFT($F863,3)="成本-",$G863=""),"※成本类支出没填项目",IF(AND(LEFT($F863,3)="成本-",$H863&lt;&gt;"",N($K863)&gt;0,COUNTIFS(采购单!$B:$B,$B863,采购单!$C:$C,$H863,采购单!$L:$L,$K863)&gt;0),"※这笔可能和采购单重复了",""))))))))))</f>
        <v/>
      </c>
    </row>
    <row r="864">
      <c r="A864" s="17">
        <f>IF($B864="","",ROW()-3)</f>
        <v/>
      </c>
      <c r="B864" s="18" t="n">
        <v>46270</v>
      </c>
      <c r="C864" s="13" t="inlineStr">
        <is>
          <t>微信1</t>
        </is>
      </c>
      <c r="D864" s="13" t="inlineStr">
        <is>
          <t>支出</t>
        </is>
      </c>
      <c r="E864" s="13" t="inlineStr">
        <is>
          <t>运费/快递费</t>
        </is>
      </c>
      <c r="F864" s="17">
        <f>IF($E864="","",IFERROR(VLOOKUP($E864,类别归属,2,0),"※类别不在基础资料里"))</f>
        <v/>
      </c>
      <c r="G864" s="13" t="n"/>
      <c r="H864" s="13" t="n"/>
      <c r="I864" s="13" t="inlineStr">
        <is>
          <t>杭州炳秀湖州26-28线路</t>
        </is>
      </c>
      <c r="J864" s="14" t="n"/>
      <c r="K864" s="14" t="n">
        <v>52</v>
      </c>
      <c r="L864" s="19">
        <f>IF($C864="","",ROUND(IFERROR(VLOOKUP($C864,账户期初,2,0),0)+SUMIFS($J$4:J864,$C$4:C864,$C864)-SUMIFS($K$4:K864,$C$4:C864,$C864),2))</f>
        <v/>
      </c>
      <c r="M864" s="19">
        <f>IF($C864="","",ROUND(SUM(基础资料!$B$4:$B$13)+SUM($J$4:J864)-SUM($K$4:K864),2))</f>
        <v/>
      </c>
      <c r="N864" s="13" t="n"/>
      <c r="O864" s="13" t="n"/>
      <c r="P864" s="17">
        <f>IF($B864="","",IF($F864="※类别不在基础资料里","※费用类别不在基础资料里",IF(AND(N($J864)=0,N($K864)=0),"※这行没填金额",IF(AND(N($J864)&gt;0,N($K864)&gt;0),"※收入和支出不能同一行都填",IF(AND($D864="收入",N($J864)=0),"※收入行要填收入金额",IF(AND($D864="支出",N($K864)=0),"※支出行要填支出金额",IF(AND($C864&lt;&gt;"",ISNA(MATCH($C864,账户表,0))),"※账户不在基础资料里",IF(AND($G864&lt;&gt;"",ISNA(MATCH($G864,项目名表,0))),"※项目不在项目台账里",IF(AND(LEFT($F864,3)="成本-",$G864=""),"※成本类支出没填项目",IF(AND(LEFT($F864,3)="成本-",$H864&lt;&gt;"",N($K864)&gt;0,COUNTIFS(采购单!$B:$B,$B864,采购单!$C:$C,$H864,采购单!$L:$L,$K864)&gt;0),"※这笔可能和采购单重复了",""))))))))))</f>
        <v/>
      </c>
    </row>
    <row r="865">
      <c r="A865" s="17">
        <f>IF($B865="","",ROW()-3)</f>
        <v/>
      </c>
      <c r="B865" s="18" t="n">
        <v>46272</v>
      </c>
      <c r="C865" s="13" t="inlineStr">
        <is>
          <t>微信1</t>
        </is>
      </c>
      <c r="D865" s="13" t="inlineStr">
        <is>
          <t>收入</t>
        </is>
      </c>
      <c r="E865" s="13" t="inlineStr">
        <is>
          <t>待分类</t>
        </is>
      </c>
      <c r="F865" s="17">
        <f>IF($E865="","",IFERROR(VLOOKUP($E865,类别归属,2,0),"※类别不在基础资料里"))</f>
        <v/>
      </c>
      <c r="G865" s="13" t="n"/>
      <c r="H865" s="13" t="n"/>
      <c r="I865" s="13" t="inlineStr">
        <is>
          <t>陌生☞</t>
        </is>
      </c>
      <c r="J865" s="14" t="n">
        <v>125</v>
      </c>
      <c r="K865" s="14" t="n"/>
      <c r="L865" s="19">
        <f>IF($C865="","",ROUND(IFERROR(VLOOKUP($C865,账户期初,2,0),0)+SUMIFS($J$4:J865,$C$4:C865,$C865)-SUMIFS($K$4:K865,$C$4:C865,$C865),2))</f>
        <v/>
      </c>
      <c r="M865" s="19">
        <f>IF($C865="","",ROUND(SUM(基础资料!$B$4:$B$13)+SUM($J$4:J865)-SUM($K$4:K865),2))</f>
        <v/>
      </c>
      <c r="N865" s="13" t="n"/>
      <c r="O865" s="13" t="n"/>
      <c r="P865" s="17">
        <f>IF($B865="","",IF($F865="※类别不在基础资料里","※费用类别不在基础资料里",IF(AND(N($J865)=0,N($K865)=0),"※这行没填金额",IF(AND(N($J865)&gt;0,N($K865)&gt;0),"※收入和支出不能同一行都填",IF(AND($D865="收入",N($J865)=0),"※收入行要填收入金额",IF(AND($D865="支出",N($K865)=0),"※支出行要填支出金额",IF(AND($C865&lt;&gt;"",ISNA(MATCH($C865,账户表,0))),"※账户不在基础资料里",IF(AND($G865&lt;&gt;"",ISNA(MATCH($G865,项目名表,0))),"※项目不在项目台账里",IF(AND(LEFT($F865,3)="成本-",$G865=""),"※成本类支出没填项目",IF(AND(LEFT($F865,3)="成本-",$H865&lt;&gt;"",N($K865)&gt;0,COUNTIFS(采购单!$B:$B,$B865,采购单!$C:$C,$H865,采购单!$L:$L,$K865)&gt;0),"※这笔可能和采购单重复了",""))))))))))</f>
        <v/>
      </c>
    </row>
    <row r="866">
      <c r="A866" s="17">
        <f>IF($B866="","",ROW()-3)</f>
        <v/>
      </c>
      <c r="B866" s="18" t="n">
        <v>46272</v>
      </c>
      <c r="C866" s="13" t="inlineStr">
        <is>
          <t>微信1</t>
        </is>
      </c>
      <c r="D866" s="13" t="inlineStr">
        <is>
          <t>支出</t>
        </is>
      </c>
      <c r="E866" s="13" t="inlineStr">
        <is>
          <t>运费/快递费</t>
        </is>
      </c>
      <c r="F866" s="17">
        <f>IF($E866="","",IFERROR(VLOOKUP($E866,类别归属,2,0),"※类别不在基础资料里"))</f>
        <v/>
      </c>
      <c r="G866" s="13" t="n"/>
      <c r="H866" s="13" t="inlineStr">
        <is>
          <t>货拉拉</t>
        </is>
      </c>
      <c r="I866" s="13" t="inlineStr">
        <is>
          <t>货拉拉</t>
        </is>
      </c>
      <c r="J866" s="14" t="n"/>
      <c r="K866" s="14" t="n">
        <v>16.79</v>
      </c>
      <c r="L866" s="19">
        <f>IF($C866="","",ROUND(IFERROR(VLOOKUP($C866,账户期初,2,0),0)+SUMIFS($J$4:J866,$C$4:C866,$C866)-SUMIFS($K$4:K866,$C$4:C866,$C866),2))</f>
        <v/>
      </c>
      <c r="M866" s="19">
        <f>IF($C866="","",ROUND(SUM(基础资料!$B$4:$B$13)+SUM($J$4:J866)-SUM($K$4:K866),2))</f>
        <v/>
      </c>
      <c r="N866" s="13" t="n"/>
      <c r="O866" s="13" t="n"/>
      <c r="P866" s="17">
        <f>IF($B866="","",IF($F866="※类别不在基础资料里","※费用类别不在基础资料里",IF(AND(N($J866)=0,N($K866)=0),"※这行没填金额",IF(AND(N($J866)&gt;0,N($K866)&gt;0),"※收入和支出不能同一行都填",IF(AND($D866="收入",N($J866)=0),"※收入行要填收入金额",IF(AND($D866="支出",N($K866)=0),"※支出行要填支出金额",IF(AND($C866&lt;&gt;"",ISNA(MATCH($C866,账户表,0))),"※账户不在基础资料里",IF(AND($G866&lt;&gt;"",ISNA(MATCH($G866,项目名表,0))),"※项目不在项目台账里",IF(AND(LEFT($F866,3)="成本-",$G866=""),"※成本类支出没填项目",IF(AND(LEFT($F866,3)="成本-",$H866&lt;&gt;"",N($K866)&gt;0,COUNTIFS(采购单!$B:$B,$B866,采购单!$C:$C,$H866,采购单!$L:$L,$K866)&gt;0),"※这笔可能和采购单重复了",""))))))))))</f>
        <v/>
      </c>
    </row>
    <row r="867">
      <c r="A867" s="17">
        <f>IF($B867="","",ROW()-3)</f>
        <v/>
      </c>
      <c r="B867" s="18" t="n">
        <v>46272</v>
      </c>
      <c r="C867" s="13" t="inlineStr">
        <is>
          <t>微信1</t>
        </is>
      </c>
      <c r="D867" s="13" t="inlineStr">
        <is>
          <t>支出</t>
        </is>
      </c>
      <c r="E867" s="13" t="inlineStr">
        <is>
          <t>业务招待/餐费</t>
        </is>
      </c>
      <c r="F867" s="17">
        <f>IF($E867="","",IFERROR(VLOOKUP($E867,类别归属,2,0),"※类别不在基础资料里"))</f>
        <v/>
      </c>
      <c r="G867" s="13" t="n"/>
      <c r="H867" s="13" t="n"/>
      <c r="I867" s="13" t="inlineStr">
        <is>
          <t>美团</t>
        </is>
      </c>
      <c r="J867" s="14" t="n"/>
      <c r="K867" s="14" t="n">
        <v>75.8</v>
      </c>
      <c r="L867" s="19">
        <f>IF($C867="","",ROUND(IFERROR(VLOOKUP($C867,账户期初,2,0),0)+SUMIFS($J$4:J867,$C$4:C867,$C867)-SUMIFS($K$4:K867,$C$4:C867,$C867),2))</f>
        <v/>
      </c>
      <c r="M867" s="19">
        <f>IF($C867="","",ROUND(SUM(基础资料!$B$4:$B$13)+SUM($J$4:J867)-SUM($K$4:K867),2))</f>
        <v/>
      </c>
      <c r="N867" s="13" t="n"/>
      <c r="O867" s="13" t="n"/>
      <c r="P867" s="17">
        <f>IF($B867="","",IF($F867="※类别不在基础资料里","※费用类别不在基础资料里",IF(AND(N($J867)=0,N($K867)=0),"※这行没填金额",IF(AND(N($J867)&gt;0,N($K867)&gt;0),"※收入和支出不能同一行都填",IF(AND($D867="收入",N($J867)=0),"※收入行要填收入金额",IF(AND($D867="支出",N($K867)=0),"※支出行要填支出金额",IF(AND($C867&lt;&gt;"",ISNA(MATCH($C867,账户表,0))),"※账户不在基础资料里",IF(AND($G867&lt;&gt;"",ISNA(MATCH($G867,项目名表,0))),"※项目不在项目台账里",IF(AND(LEFT($F867,3)="成本-",$G867=""),"※成本类支出没填项目",IF(AND(LEFT($F867,3)="成本-",$H867&lt;&gt;"",N($K867)&gt;0,COUNTIFS(采购单!$B:$B,$B867,采购单!$C:$C,$H867,采购单!$L:$L,$K867)&gt;0),"※这笔可能和采购单重复了",""))))))))))</f>
        <v/>
      </c>
    </row>
    <row r="868">
      <c r="A868" s="17">
        <f>IF($B868="","",ROW()-3)</f>
        <v/>
      </c>
      <c r="B868" s="18" t="n">
        <v>46272</v>
      </c>
      <c r="C868" s="13" t="inlineStr">
        <is>
          <t>微信1</t>
        </is>
      </c>
      <c r="D868" s="13" t="inlineStr">
        <is>
          <t>支出</t>
        </is>
      </c>
      <c r="E868" s="13" t="inlineStr">
        <is>
          <t>待分类</t>
        </is>
      </c>
      <c r="F868" s="17">
        <f>IF($E868="","",IFERROR(VLOOKUP($E868,类别归属,2,0),"※类别不在基础资料里"))</f>
        <v/>
      </c>
      <c r="G868" s="13" t="n"/>
      <c r="H868" s="13" t="n"/>
      <c r="I868" s="13" t="inlineStr">
        <is>
          <t>驰远广告&amp;乐印通</t>
        </is>
      </c>
      <c r="J868" s="14" t="n"/>
      <c r="K868" s="14" t="n">
        <v>24</v>
      </c>
      <c r="L868" s="19">
        <f>IF($C868="","",ROUND(IFERROR(VLOOKUP($C868,账户期初,2,0),0)+SUMIFS($J$4:J868,$C$4:C868,$C868)-SUMIFS($K$4:K868,$C$4:C868,$C868),2))</f>
        <v/>
      </c>
      <c r="M868" s="19">
        <f>IF($C868="","",ROUND(SUM(基础资料!$B$4:$B$13)+SUM($J$4:J868)-SUM($K$4:K868),2))</f>
        <v/>
      </c>
      <c r="N868" s="13" t="n"/>
      <c r="O868" s="13" t="n"/>
      <c r="P868" s="17">
        <f>IF($B868="","",IF($F868="※类别不在基础资料里","※费用类别不在基础资料里",IF(AND(N($J868)=0,N($K868)=0),"※这行没填金额",IF(AND(N($J868)&gt;0,N($K868)&gt;0),"※收入和支出不能同一行都填",IF(AND($D868="收入",N($J868)=0),"※收入行要填收入金额",IF(AND($D868="支出",N($K868)=0),"※支出行要填支出金额",IF(AND($C868&lt;&gt;"",ISNA(MATCH($C868,账户表,0))),"※账户不在基础资料里",IF(AND($G868&lt;&gt;"",ISNA(MATCH($G868,项目名表,0))),"※项目不在项目台账里",IF(AND(LEFT($F868,3)="成本-",$G868=""),"※成本类支出没填项目",IF(AND(LEFT($F868,3)="成本-",$H868&lt;&gt;"",N($K868)&gt;0,COUNTIFS(采购单!$B:$B,$B868,采购单!$C:$C,$H868,采购单!$L:$L,$K868)&gt;0),"※这笔可能和采购单重复了",""))))))))))</f>
        <v/>
      </c>
    </row>
    <row r="869">
      <c r="A869" s="17">
        <f>IF($B869="","",ROW()-3)</f>
        <v/>
      </c>
      <c r="B869" s="18" t="n">
        <v>46272</v>
      </c>
      <c r="C869" s="13" t="inlineStr">
        <is>
          <t>微信1</t>
        </is>
      </c>
      <c r="D869" s="13" t="inlineStr">
        <is>
          <t>支出</t>
        </is>
      </c>
      <c r="E869" s="13" t="inlineStr">
        <is>
          <t>业务招待/餐费</t>
        </is>
      </c>
      <c r="F869" s="17">
        <f>IF($E869="","",IFERROR(VLOOKUP($E869,类别归属,2,0),"※类别不在基础资料里"))</f>
        <v/>
      </c>
      <c r="G869" s="13" t="n"/>
      <c r="H869" s="13" t="n"/>
      <c r="I869" s="13" t="inlineStr">
        <is>
          <t>美团</t>
        </is>
      </c>
      <c r="J869" s="14" t="n"/>
      <c r="K869" s="14" t="n">
        <v>8</v>
      </c>
      <c r="L869" s="19">
        <f>IF($C869="","",ROUND(IFERROR(VLOOKUP($C869,账户期初,2,0),0)+SUMIFS($J$4:J869,$C$4:C869,$C869)-SUMIFS($K$4:K869,$C$4:C869,$C869),2))</f>
        <v/>
      </c>
      <c r="M869" s="19">
        <f>IF($C869="","",ROUND(SUM(基础资料!$B$4:$B$13)+SUM($J$4:J869)-SUM($K$4:K869),2))</f>
        <v/>
      </c>
      <c r="N869" s="13" t="n"/>
      <c r="O869" s="13" t="n"/>
      <c r="P869" s="17">
        <f>IF($B869="","",IF($F869="※类别不在基础资料里","※费用类别不在基础资料里",IF(AND(N($J869)=0,N($K869)=0),"※这行没填金额",IF(AND(N($J869)&gt;0,N($K869)&gt;0),"※收入和支出不能同一行都填",IF(AND($D869="收入",N($J869)=0),"※收入行要填收入金额",IF(AND($D869="支出",N($K869)=0),"※支出行要填支出金额",IF(AND($C869&lt;&gt;"",ISNA(MATCH($C869,账户表,0))),"※账户不在基础资料里",IF(AND($G869&lt;&gt;"",ISNA(MATCH($G869,项目名表,0))),"※项目不在项目台账里",IF(AND(LEFT($F869,3)="成本-",$G869=""),"※成本类支出没填项目",IF(AND(LEFT($F869,3)="成本-",$H869&lt;&gt;"",N($K869)&gt;0,COUNTIFS(采购单!$B:$B,$B869,采购单!$C:$C,$H869,采购单!$L:$L,$K869)&gt;0),"※这笔可能和采购单重复了",""))))))))))</f>
        <v/>
      </c>
    </row>
    <row r="870">
      <c r="A870" s="17">
        <f>IF($B870="","",ROW()-3)</f>
        <v/>
      </c>
      <c r="B870" s="18" t="n">
        <v>46272</v>
      </c>
      <c r="C870" s="13" t="inlineStr">
        <is>
          <t>微信1</t>
        </is>
      </c>
      <c r="D870" s="13" t="inlineStr">
        <is>
          <t>支出</t>
        </is>
      </c>
      <c r="E870" s="13" t="inlineStr">
        <is>
          <t>运费/快递费</t>
        </is>
      </c>
      <c r="F870" s="17">
        <f>IF($E870="","",IFERROR(VLOOKUP($E870,类别归属,2,0),"※类别不在基础资料里"))</f>
        <v/>
      </c>
      <c r="G870" s="13" t="n"/>
      <c r="H870" s="13" t="inlineStr">
        <is>
          <t>货拉拉</t>
        </is>
      </c>
      <c r="I870" s="13" t="inlineStr">
        <is>
          <t>货拉拉</t>
        </is>
      </c>
      <c r="J870" s="14" t="n"/>
      <c r="K870" s="14" t="n">
        <v>20</v>
      </c>
      <c r="L870" s="19">
        <f>IF($C870="","",ROUND(IFERROR(VLOOKUP($C870,账户期初,2,0),0)+SUMIFS($J$4:J870,$C$4:C870,$C870)-SUMIFS($K$4:K870,$C$4:C870,$C870),2))</f>
        <v/>
      </c>
      <c r="M870" s="19">
        <f>IF($C870="","",ROUND(SUM(基础资料!$B$4:$B$13)+SUM($J$4:J870)-SUM($K$4:K870),2))</f>
        <v/>
      </c>
      <c r="N870" s="13" t="n"/>
      <c r="O870" s="13" t="n"/>
      <c r="P870" s="17">
        <f>IF($B870="","",IF($F870="※类别不在基础资料里","※费用类别不在基础资料里",IF(AND(N($J870)=0,N($K870)=0),"※这行没填金额",IF(AND(N($J870)&gt;0,N($K870)&gt;0),"※收入和支出不能同一行都填",IF(AND($D870="收入",N($J870)=0),"※收入行要填收入金额",IF(AND($D870="支出",N($K870)=0),"※支出行要填支出金额",IF(AND($C870&lt;&gt;"",ISNA(MATCH($C870,账户表,0))),"※账户不在基础资料里",IF(AND($G870&lt;&gt;"",ISNA(MATCH($G870,项目名表,0))),"※项目不在项目台账里",IF(AND(LEFT($F870,3)="成本-",$G870=""),"※成本类支出没填项目",IF(AND(LEFT($F870,3)="成本-",$H870&lt;&gt;"",N($K870)&gt;0,COUNTIFS(采购单!$B:$B,$B870,采购单!$C:$C,$H870,采购单!$L:$L,$K870)&gt;0),"※这笔可能和采购单重复了",""))))))))))</f>
        <v/>
      </c>
    </row>
    <row r="871">
      <c r="A871" s="17">
        <f>IF($B871="","",ROW()-3)</f>
        <v/>
      </c>
      <c r="B871" s="18" t="n">
        <v>46272</v>
      </c>
      <c r="C871" s="13" t="inlineStr">
        <is>
          <t>微信1</t>
        </is>
      </c>
      <c r="D871" s="13" t="inlineStr">
        <is>
          <t>支出</t>
        </is>
      </c>
      <c r="E871" s="13" t="inlineStr">
        <is>
          <t>运费/快递费</t>
        </is>
      </c>
      <c r="F871" s="17">
        <f>IF($E871="","",IFERROR(VLOOKUP($E871,类别归属,2,0),"※类别不在基础资料里"))</f>
        <v/>
      </c>
      <c r="G871" s="13" t="n"/>
      <c r="H871" s="13" t="inlineStr">
        <is>
          <t>货拉拉</t>
        </is>
      </c>
      <c r="I871" s="13" t="inlineStr">
        <is>
          <t>货拉拉</t>
        </is>
      </c>
      <c r="J871" s="14" t="n"/>
      <c r="K871" s="14" t="n">
        <v>5</v>
      </c>
      <c r="L871" s="19">
        <f>IF($C871="","",ROUND(IFERROR(VLOOKUP($C871,账户期初,2,0),0)+SUMIFS($J$4:J871,$C$4:C871,$C871)-SUMIFS($K$4:K871,$C$4:C871,$C871),2))</f>
        <v/>
      </c>
      <c r="M871" s="19">
        <f>IF($C871="","",ROUND(SUM(基础资料!$B$4:$B$13)+SUM($J$4:J871)-SUM($K$4:K871),2))</f>
        <v/>
      </c>
      <c r="N871" s="13" t="n"/>
      <c r="O871" s="13" t="n"/>
      <c r="P871" s="17">
        <f>IF($B871="","",IF($F871="※类别不在基础资料里","※费用类别不在基础资料里",IF(AND(N($J871)=0,N($K871)=0),"※这行没填金额",IF(AND(N($J871)&gt;0,N($K871)&gt;0),"※收入和支出不能同一行都填",IF(AND($D871="收入",N($J871)=0),"※收入行要填收入金额",IF(AND($D871="支出",N($K871)=0),"※支出行要填支出金额",IF(AND($C871&lt;&gt;"",ISNA(MATCH($C871,账户表,0))),"※账户不在基础资料里",IF(AND($G871&lt;&gt;"",ISNA(MATCH($G871,项目名表,0))),"※项目不在项目台账里",IF(AND(LEFT($F871,3)="成本-",$G871=""),"※成本类支出没填项目",IF(AND(LEFT($F871,3)="成本-",$H871&lt;&gt;"",N($K871)&gt;0,COUNTIFS(采购单!$B:$B,$B871,采购单!$C:$C,$H871,采购单!$L:$L,$K871)&gt;0),"※这笔可能和采购单重复了",""))))))))))</f>
        <v/>
      </c>
    </row>
    <row r="872">
      <c r="A872" s="17">
        <f>IF($B872="","",ROW()-3)</f>
        <v/>
      </c>
      <c r="B872" s="18" t="n">
        <v>46272</v>
      </c>
      <c r="C872" s="13" t="inlineStr">
        <is>
          <t>微信1</t>
        </is>
      </c>
      <c r="D872" s="13" t="inlineStr">
        <is>
          <t>支出</t>
        </is>
      </c>
      <c r="E872" s="13" t="inlineStr">
        <is>
          <t>运费/快递费</t>
        </is>
      </c>
      <c r="F872" s="17">
        <f>IF($E872="","",IFERROR(VLOOKUP($E872,类别归属,2,0),"※类别不在基础资料里"))</f>
        <v/>
      </c>
      <c r="G872" s="13" t="n"/>
      <c r="H872" s="13" t="inlineStr">
        <is>
          <t>货拉拉</t>
        </is>
      </c>
      <c r="I872" s="13" t="inlineStr">
        <is>
          <t>货拉拉</t>
        </is>
      </c>
      <c r="J872" s="14" t="n"/>
      <c r="K872" s="14" t="n">
        <v>29</v>
      </c>
      <c r="L872" s="19">
        <f>IF($C872="","",ROUND(IFERROR(VLOOKUP($C872,账户期初,2,0),0)+SUMIFS($J$4:J872,$C$4:C872,$C872)-SUMIFS($K$4:K872,$C$4:C872,$C872),2))</f>
        <v/>
      </c>
      <c r="M872" s="19">
        <f>IF($C872="","",ROUND(SUM(基础资料!$B$4:$B$13)+SUM($J$4:J872)-SUM($K$4:K872),2))</f>
        <v/>
      </c>
      <c r="N872" s="13" t="n"/>
      <c r="O872" s="13" t="n"/>
      <c r="P872" s="17">
        <f>IF($B872="","",IF($F872="※类别不在基础资料里","※费用类别不在基础资料里",IF(AND(N($J872)=0,N($K872)=0),"※这行没填金额",IF(AND(N($J872)&gt;0,N($K872)&gt;0),"※收入和支出不能同一行都填",IF(AND($D872="收入",N($J872)=0),"※收入行要填收入金额",IF(AND($D872="支出",N($K872)=0),"※支出行要填支出金额",IF(AND($C872&lt;&gt;"",ISNA(MATCH($C872,账户表,0))),"※账户不在基础资料里",IF(AND($G872&lt;&gt;"",ISNA(MATCH($G872,项目名表,0))),"※项目不在项目台账里",IF(AND(LEFT($F872,3)="成本-",$G872=""),"※成本类支出没填项目",IF(AND(LEFT($F872,3)="成本-",$H872&lt;&gt;"",N($K872)&gt;0,COUNTIFS(采购单!$B:$B,$B872,采购单!$C:$C,$H872,采购单!$L:$L,$K872)&gt;0),"※这笔可能和采购单重复了",""))))))))))</f>
        <v/>
      </c>
    </row>
    <row r="873">
      <c r="A873" s="17">
        <f>IF($B873="","",ROW()-3)</f>
        <v/>
      </c>
      <c r="B873" s="18" t="n">
        <v>46272</v>
      </c>
      <c r="C873" s="13" t="inlineStr">
        <is>
          <t>微信1</t>
        </is>
      </c>
      <c r="D873" s="13" t="inlineStr">
        <is>
          <t>收入</t>
        </is>
      </c>
      <c r="E873" s="13" t="inlineStr">
        <is>
          <t>运费/快递费</t>
        </is>
      </c>
      <c r="F873" s="17">
        <f>IF($E873="","",IFERROR(VLOOKUP($E873,类别归属,2,0),"※类别不在基础资料里"))</f>
        <v/>
      </c>
      <c r="G873" s="13" t="n"/>
      <c r="H873" s="13" t="inlineStr">
        <is>
          <t>天津货拉拉科技有限</t>
        </is>
      </c>
      <c r="I873" s="13" t="inlineStr">
        <is>
          <t>天津货拉拉科技有限公司</t>
        </is>
      </c>
      <c r="J873" s="14" t="n">
        <v>5</v>
      </c>
      <c r="K873" s="14" t="n"/>
      <c r="L873" s="19">
        <f>IF($C873="","",ROUND(IFERROR(VLOOKUP($C873,账户期初,2,0),0)+SUMIFS($J$4:J873,$C$4:C873,$C873)-SUMIFS($K$4:K873,$C$4:C873,$C873),2))</f>
        <v/>
      </c>
      <c r="M873" s="19">
        <f>IF($C873="","",ROUND(SUM(基础资料!$B$4:$B$13)+SUM($J$4:J873)-SUM($K$4:K873),2))</f>
        <v/>
      </c>
      <c r="N873" s="13" t="n"/>
      <c r="O873" s="13" t="n"/>
      <c r="P873" s="17">
        <f>IF($B873="","",IF($F873="※类别不在基础资料里","※费用类别不在基础资料里",IF(AND(N($J873)=0,N($K873)=0),"※这行没填金额",IF(AND(N($J873)&gt;0,N($K873)&gt;0),"※收入和支出不能同一行都填",IF(AND($D873="收入",N($J873)=0),"※收入行要填收入金额",IF(AND($D873="支出",N($K873)=0),"※支出行要填支出金额",IF(AND($C873&lt;&gt;"",ISNA(MATCH($C873,账户表,0))),"※账户不在基础资料里",IF(AND($G873&lt;&gt;"",ISNA(MATCH($G873,项目名表,0))),"※项目不在项目台账里",IF(AND(LEFT($F873,3)="成本-",$G873=""),"※成本类支出没填项目",IF(AND(LEFT($F873,3)="成本-",$H873&lt;&gt;"",N($K873)&gt;0,COUNTIFS(采购单!$B:$B,$B873,采购单!$C:$C,$H873,采购单!$L:$L,$K873)&gt;0),"※这笔可能和采购单重复了",""))))))))))</f>
        <v/>
      </c>
    </row>
    <row r="874">
      <c r="A874" s="17">
        <f>IF($B874="","",ROW()-3)</f>
        <v/>
      </c>
      <c r="B874" s="18" t="n">
        <v>46272</v>
      </c>
      <c r="C874" s="13" t="inlineStr">
        <is>
          <t>微信1</t>
        </is>
      </c>
      <c r="D874" s="13" t="inlineStr">
        <is>
          <t>收入</t>
        </is>
      </c>
      <c r="E874" s="13" t="inlineStr">
        <is>
          <t>运费/快递费</t>
        </is>
      </c>
      <c r="F874" s="17">
        <f>IF($E874="","",IFERROR(VLOOKUP($E874,类别归属,2,0),"※类别不在基础资料里"))</f>
        <v/>
      </c>
      <c r="G874" s="13" t="n"/>
      <c r="H874" s="13" t="inlineStr">
        <is>
          <t>天津货拉拉科技有限</t>
        </is>
      </c>
      <c r="I874" s="13" t="inlineStr">
        <is>
          <t>天津货拉拉科技有限公司</t>
        </is>
      </c>
      <c r="J874" s="14" t="n">
        <v>20</v>
      </c>
      <c r="K874" s="14" t="n"/>
      <c r="L874" s="19">
        <f>IF($C874="","",ROUND(IFERROR(VLOOKUP($C874,账户期初,2,0),0)+SUMIFS($J$4:J874,$C$4:C874,$C874)-SUMIFS($K$4:K874,$C$4:C874,$C874),2))</f>
        <v/>
      </c>
      <c r="M874" s="19">
        <f>IF($C874="","",ROUND(SUM(基础资料!$B$4:$B$13)+SUM($J$4:J874)-SUM($K$4:K874),2))</f>
        <v/>
      </c>
      <c r="N874" s="13" t="n"/>
      <c r="O874" s="13" t="n"/>
      <c r="P874" s="17">
        <f>IF($B874="","",IF($F874="※类别不在基础资料里","※费用类别不在基础资料里",IF(AND(N($J874)=0,N($K874)=0),"※这行没填金额",IF(AND(N($J874)&gt;0,N($K874)&gt;0),"※收入和支出不能同一行都填",IF(AND($D874="收入",N($J874)=0),"※收入行要填收入金额",IF(AND($D874="支出",N($K874)=0),"※支出行要填支出金额",IF(AND($C874&lt;&gt;"",ISNA(MATCH($C874,账户表,0))),"※账户不在基础资料里",IF(AND($G874&lt;&gt;"",ISNA(MATCH($G874,项目名表,0))),"※项目不在项目台账里",IF(AND(LEFT($F874,3)="成本-",$G874=""),"※成本类支出没填项目",IF(AND(LEFT($F874,3)="成本-",$H874&lt;&gt;"",N($K874)&gt;0,COUNTIFS(采购单!$B:$B,$B874,采购单!$C:$C,$H874,采购单!$L:$L,$K874)&gt;0),"※这笔可能和采购单重复了",""))))))))))</f>
        <v/>
      </c>
    </row>
    <row r="875">
      <c r="A875" s="17">
        <f>IF($B875="","",ROW()-3)</f>
        <v/>
      </c>
      <c r="B875" s="18" t="n">
        <v>46272</v>
      </c>
      <c r="C875" s="13" t="inlineStr">
        <is>
          <t>微信1</t>
        </is>
      </c>
      <c r="D875" s="13" t="inlineStr">
        <is>
          <t>支出</t>
        </is>
      </c>
      <c r="E875" s="13" t="inlineStr">
        <is>
          <t>业务招待/餐费</t>
        </is>
      </c>
      <c r="F875" s="17">
        <f>IF($E875="","",IFERROR(VLOOKUP($E875,类别归属,2,0),"※类别不在基础资料里"))</f>
        <v/>
      </c>
      <c r="G875" s="13" t="n"/>
      <c r="H875" s="13" t="n"/>
      <c r="I875" s="13" t="inlineStr">
        <is>
          <t>古茗</t>
        </is>
      </c>
      <c r="J875" s="14" t="n"/>
      <c r="K875" s="14" t="n">
        <v>23.9</v>
      </c>
      <c r="L875" s="19">
        <f>IF($C875="","",ROUND(IFERROR(VLOOKUP($C875,账户期初,2,0),0)+SUMIFS($J$4:J875,$C$4:C875,$C875)-SUMIFS($K$4:K875,$C$4:C875,$C875),2))</f>
        <v/>
      </c>
      <c r="M875" s="19">
        <f>IF($C875="","",ROUND(SUM(基础资料!$B$4:$B$13)+SUM($J$4:J875)-SUM($K$4:K875),2))</f>
        <v/>
      </c>
      <c r="N875" s="13" t="n"/>
      <c r="O875" s="13" t="n"/>
      <c r="P875" s="17">
        <f>IF($B875="","",IF($F875="※类别不在基础资料里","※费用类别不在基础资料里",IF(AND(N($J875)=0,N($K875)=0),"※这行没填金额",IF(AND(N($J875)&gt;0,N($K875)&gt;0),"※收入和支出不能同一行都填",IF(AND($D875="收入",N($J875)=0),"※收入行要填收入金额",IF(AND($D875="支出",N($K875)=0),"※支出行要填支出金额",IF(AND($C875&lt;&gt;"",ISNA(MATCH($C875,账户表,0))),"※账户不在基础资料里",IF(AND($G875&lt;&gt;"",ISNA(MATCH($G875,项目名表,0))),"※项目不在项目台账里",IF(AND(LEFT($F875,3)="成本-",$G875=""),"※成本类支出没填项目",IF(AND(LEFT($F875,3)="成本-",$H875&lt;&gt;"",N($K875)&gt;0,COUNTIFS(采购单!$B:$B,$B875,采购单!$C:$C,$H875,采购单!$L:$L,$K875)&gt;0),"※这笔可能和采购单重复了",""))))))))))</f>
        <v/>
      </c>
    </row>
    <row r="876">
      <c r="A876" s="17">
        <f>IF($B876="","",ROW()-3)</f>
        <v/>
      </c>
      <c r="B876" s="18" t="n">
        <v>46272</v>
      </c>
      <c r="C876" s="13" t="inlineStr">
        <is>
          <t>微信1</t>
        </is>
      </c>
      <c r="D876" s="13" t="inlineStr">
        <is>
          <t>支出</t>
        </is>
      </c>
      <c r="E876" s="13" t="inlineStr">
        <is>
          <t>业务招待/餐费</t>
        </is>
      </c>
      <c r="F876" s="17">
        <f>IF($E876="","",IFERROR(VLOOKUP($E876,类别归属,2,0),"※类别不在基础资料里"))</f>
        <v/>
      </c>
      <c r="G876" s="13" t="n"/>
      <c r="H876" s="13" t="n"/>
      <c r="I876" s="13" t="inlineStr">
        <is>
          <t>古茗</t>
        </is>
      </c>
      <c r="J876" s="14" t="n"/>
      <c r="K876" s="14" t="n">
        <v>16.8</v>
      </c>
      <c r="L876" s="19">
        <f>IF($C876="","",ROUND(IFERROR(VLOOKUP($C876,账户期初,2,0),0)+SUMIFS($J$4:J876,$C$4:C876,$C876)-SUMIFS($K$4:K876,$C$4:C876,$C876),2))</f>
        <v/>
      </c>
      <c r="M876" s="19">
        <f>IF($C876="","",ROUND(SUM(基础资料!$B$4:$B$13)+SUM($J$4:J876)-SUM($K$4:K876),2))</f>
        <v/>
      </c>
      <c r="N876" s="13" t="n"/>
      <c r="O876" s="13" t="n"/>
      <c r="P876" s="17">
        <f>IF($B876="","",IF($F876="※类别不在基础资料里","※费用类别不在基础资料里",IF(AND(N($J876)=0,N($K876)=0),"※这行没填金额",IF(AND(N($J876)&gt;0,N($K876)&gt;0),"※收入和支出不能同一行都填",IF(AND($D876="收入",N($J876)=0),"※收入行要填收入金额",IF(AND($D876="支出",N($K876)=0),"※支出行要填支出金额",IF(AND($C876&lt;&gt;"",ISNA(MATCH($C876,账户表,0))),"※账户不在基础资料里",IF(AND($G876&lt;&gt;"",ISNA(MATCH($G876,项目名表,0))),"※项目不在项目台账里",IF(AND(LEFT($F876,3)="成本-",$G876=""),"※成本类支出没填项目",IF(AND(LEFT($F876,3)="成本-",$H876&lt;&gt;"",N($K876)&gt;0,COUNTIFS(采购单!$B:$B,$B876,采购单!$C:$C,$H876,采购单!$L:$L,$K876)&gt;0),"※这笔可能和采购单重复了",""))))))))))</f>
        <v/>
      </c>
    </row>
    <row r="877">
      <c r="A877" s="17">
        <f>IF($B877="","",ROW()-3)</f>
        <v/>
      </c>
      <c r="B877" s="18" t="n">
        <v>46272</v>
      </c>
      <c r="C877" s="13" t="inlineStr">
        <is>
          <t>微信1</t>
        </is>
      </c>
      <c r="D877" s="13" t="inlineStr">
        <is>
          <t>收入</t>
        </is>
      </c>
      <c r="E877" s="13" t="inlineStr">
        <is>
          <t>待分类</t>
        </is>
      </c>
      <c r="F877" s="17">
        <f>IF($E877="","",IFERROR(VLOOKUP($E877,类别归属,2,0),"※类别不在基础资料里"))</f>
        <v/>
      </c>
      <c r="G877" s="13" t="n"/>
      <c r="H877" s="13" t="n"/>
      <c r="I877" s="13" t="inlineStr">
        <is>
          <t>长稻场</t>
        </is>
      </c>
      <c r="J877" s="14" t="n">
        <v>1300</v>
      </c>
      <c r="K877" s="14" t="n"/>
      <c r="L877" s="19">
        <f>IF($C877="","",ROUND(IFERROR(VLOOKUP($C877,账户期初,2,0),0)+SUMIFS($J$4:J877,$C$4:C877,$C877)-SUMIFS($K$4:K877,$C$4:C877,$C877),2))</f>
        <v/>
      </c>
      <c r="M877" s="19">
        <f>IF($C877="","",ROUND(SUM(基础资料!$B$4:$B$13)+SUM($J$4:J877)-SUM($K$4:K877),2))</f>
        <v/>
      </c>
      <c r="N877" s="13" t="n"/>
      <c r="O877" s="13" t="n"/>
      <c r="P877" s="17">
        <f>IF($B877="","",IF($F877="※类别不在基础资料里","※费用类别不在基础资料里",IF(AND(N($J877)=0,N($K877)=0),"※这行没填金额",IF(AND(N($J877)&gt;0,N($K877)&gt;0),"※收入和支出不能同一行都填",IF(AND($D877="收入",N($J877)=0),"※收入行要填收入金额",IF(AND($D877="支出",N($K877)=0),"※支出行要填支出金额",IF(AND($C877&lt;&gt;"",ISNA(MATCH($C877,账户表,0))),"※账户不在基础资料里",IF(AND($G877&lt;&gt;"",ISNA(MATCH($G877,项目名表,0))),"※项目不在项目台账里",IF(AND(LEFT($F877,3)="成本-",$G877=""),"※成本类支出没填项目",IF(AND(LEFT($F877,3)="成本-",$H877&lt;&gt;"",N($K877)&gt;0,COUNTIFS(采购单!$B:$B,$B877,采购单!$C:$C,$H877,采购单!$L:$L,$K877)&gt;0),"※这笔可能和采购单重复了",""))))))))))</f>
        <v/>
      </c>
    </row>
    <row r="878">
      <c r="A878" s="17">
        <f>IF($B878="","",ROW()-3)</f>
        <v/>
      </c>
      <c r="B878" s="18" t="n">
        <v>46273</v>
      </c>
      <c r="C878" s="13" t="inlineStr">
        <is>
          <t>微信1</t>
        </is>
      </c>
      <c r="D878" s="13" t="inlineStr">
        <is>
          <t>支出</t>
        </is>
      </c>
      <c r="E878" s="13" t="inlineStr">
        <is>
          <t>设计费</t>
        </is>
      </c>
      <c r="F878" s="17">
        <f>IF($E878="","",IFERROR(VLOOKUP($E878,类别归属,2,0),"※类别不在基础资料里"))</f>
        <v/>
      </c>
      <c r="G878" s="13" t="n"/>
      <c r="H878" s="13" t="n"/>
      <c r="I878" s="13" t="inlineStr">
        <is>
          <t>昂基-设计师2 (昂基)</t>
        </is>
      </c>
      <c r="J878" s="14" t="n"/>
      <c r="K878" s="14" t="n">
        <v>28</v>
      </c>
      <c r="L878" s="19">
        <f>IF($C878="","",ROUND(IFERROR(VLOOKUP($C878,账户期初,2,0),0)+SUMIFS($J$4:J878,$C$4:C878,$C878)-SUMIFS($K$4:K878,$C$4:C878,$C878),2))</f>
        <v/>
      </c>
      <c r="M878" s="19">
        <f>IF($C878="","",ROUND(SUM(基础资料!$B$4:$B$13)+SUM($J$4:J878)-SUM($K$4:K878),2))</f>
        <v/>
      </c>
      <c r="N878" s="13" t="n"/>
      <c r="O878" s="13" t="n"/>
      <c r="P878" s="17">
        <f>IF($B878="","",IF($F878="※类别不在基础资料里","※费用类别不在基础资料里",IF(AND(N($J878)=0,N($K878)=0),"※这行没填金额",IF(AND(N($J878)&gt;0,N($K878)&gt;0),"※收入和支出不能同一行都填",IF(AND($D878="收入",N($J878)=0),"※收入行要填收入金额",IF(AND($D878="支出",N($K878)=0),"※支出行要填支出金额",IF(AND($C878&lt;&gt;"",ISNA(MATCH($C878,账户表,0))),"※账户不在基础资料里",IF(AND($G878&lt;&gt;"",ISNA(MATCH($G878,项目名表,0))),"※项目不在项目台账里",IF(AND(LEFT($F878,3)="成本-",$G878=""),"※成本类支出没填项目",IF(AND(LEFT($F878,3)="成本-",$H878&lt;&gt;"",N($K878)&gt;0,COUNTIFS(采购单!$B:$B,$B878,采购单!$C:$C,$H878,采购单!$L:$L,$K878)&gt;0),"※这笔可能和采购单重复了",""))))))))))</f>
        <v/>
      </c>
    </row>
    <row r="879">
      <c r="A879" s="17">
        <f>IF($B879="","",ROW()-3)</f>
        <v/>
      </c>
      <c r="B879" s="18" t="n">
        <v>46273</v>
      </c>
      <c r="C879" s="13" t="inlineStr">
        <is>
          <t>微信1</t>
        </is>
      </c>
      <c r="D879" s="13" t="inlineStr">
        <is>
          <t>支出</t>
        </is>
      </c>
      <c r="E879" s="13" t="inlineStr">
        <is>
          <t>业务招待/餐费</t>
        </is>
      </c>
      <c r="F879" s="17">
        <f>IF($E879="","",IFERROR(VLOOKUP($E879,类别归属,2,0),"※类别不在基础资料里"))</f>
        <v/>
      </c>
      <c r="G879" s="13" t="n"/>
      <c r="H879" s="13" t="n"/>
      <c r="I879" s="13" t="inlineStr">
        <is>
          <t>美团</t>
        </is>
      </c>
      <c r="J879" s="14" t="n"/>
      <c r="K879" s="14" t="n">
        <v>23</v>
      </c>
      <c r="L879" s="19">
        <f>IF($C879="","",ROUND(IFERROR(VLOOKUP($C879,账户期初,2,0),0)+SUMIFS($J$4:J879,$C$4:C879,$C879)-SUMIFS($K$4:K879,$C$4:C879,$C879),2))</f>
        <v/>
      </c>
      <c r="M879" s="19">
        <f>IF($C879="","",ROUND(SUM(基础资料!$B$4:$B$13)+SUM($J$4:J879)-SUM($K$4:K879),2))</f>
        <v/>
      </c>
      <c r="N879" s="13" t="n"/>
      <c r="O879" s="13" t="n"/>
      <c r="P879" s="17">
        <f>IF($B879="","",IF($F879="※类别不在基础资料里","※费用类别不在基础资料里",IF(AND(N($J879)=0,N($K879)=0),"※这行没填金额",IF(AND(N($J879)&gt;0,N($K879)&gt;0),"※收入和支出不能同一行都填",IF(AND($D879="收入",N($J879)=0),"※收入行要填收入金额",IF(AND($D879="支出",N($K879)=0),"※支出行要填支出金额",IF(AND($C879&lt;&gt;"",ISNA(MATCH($C879,账户表,0))),"※账户不在基础资料里",IF(AND($G879&lt;&gt;"",ISNA(MATCH($G879,项目名表,0))),"※项目不在项目台账里",IF(AND(LEFT($F879,3)="成本-",$G879=""),"※成本类支出没填项目",IF(AND(LEFT($F879,3)="成本-",$H879&lt;&gt;"",N($K879)&gt;0,COUNTIFS(采购单!$B:$B,$B879,采购单!$C:$C,$H879,采购单!$L:$L,$K879)&gt;0),"※这笔可能和采购单重复了",""))))))))))</f>
        <v/>
      </c>
    </row>
    <row r="880">
      <c r="A880" s="17">
        <f>IF($B880="","",ROW()-3)</f>
        <v/>
      </c>
      <c r="B880" s="18" t="n">
        <v>46273</v>
      </c>
      <c r="C880" s="13" t="inlineStr">
        <is>
          <t>微信1</t>
        </is>
      </c>
      <c r="D880" s="13" t="inlineStr">
        <is>
          <t>支出</t>
        </is>
      </c>
      <c r="E880" s="13" t="inlineStr">
        <is>
          <t>网购材料耗材</t>
        </is>
      </c>
      <c r="F880" s="17">
        <f>IF($E880="","",IFERROR(VLOOKUP($E880,类别归属,2,0),"※类别不在基础资料里"))</f>
        <v/>
      </c>
      <c r="G880" s="13" t="n"/>
      <c r="H880" s="13" t="inlineStr">
        <is>
          <t>淘宝</t>
        </is>
      </c>
      <c r="I880" s="13" t="inlineStr">
        <is>
          <t>淘宝平台商户</t>
        </is>
      </c>
      <c r="J880" s="14" t="n"/>
      <c r="K880" s="14" t="n">
        <v>147</v>
      </c>
      <c r="L880" s="19">
        <f>IF($C880="","",ROUND(IFERROR(VLOOKUP($C880,账户期初,2,0),0)+SUMIFS($J$4:J880,$C$4:C880,$C880)-SUMIFS($K$4:K880,$C$4:C880,$C880),2))</f>
        <v/>
      </c>
      <c r="M880" s="19">
        <f>IF($C880="","",ROUND(SUM(基础资料!$B$4:$B$13)+SUM($J$4:J880)-SUM($K$4:K880),2))</f>
        <v/>
      </c>
      <c r="N880" s="13" t="n"/>
      <c r="O880" s="13" t="n"/>
      <c r="P880" s="17">
        <f>IF($B880="","",IF($F880="※类别不在基础资料里","※费用类别不在基础资料里",IF(AND(N($J880)=0,N($K880)=0),"※这行没填金额",IF(AND(N($J880)&gt;0,N($K880)&gt;0),"※收入和支出不能同一行都填",IF(AND($D880="收入",N($J880)=0),"※收入行要填收入金额",IF(AND($D880="支出",N($K880)=0),"※支出行要填支出金额",IF(AND($C880&lt;&gt;"",ISNA(MATCH($C880,账户表,0))),"※账户不在基础资料里",IF(AND($G880&lt;&gt;"",ISNA(MATCH($G880,项目名表,0))),"※项目不在项目台账里",IF(AND(LEFT($F880,3)="成本-",$G880=""),"※成本类支出没填项目",IF(AND(LEFT($F880,3)="成本-",$H880&lt;&gt;"",N($K880)&gt;0,COUNTIFS(采购单!$B:$B,$B880,采购单!$C:$C,$H880,采购单!$L:$L,$K880)&gt;0),"※这笔可能和采购单重复了",""))))))))))</f>
        <v/>
      </c>
    </row>
    <row r="881">
      <c r="A881" s="17">
        <f>IF($B881="","",ROW()-3)</f>
        <v/>
      </c>
      <c r="B881" s="18" t="n">
        <v>46273</v>
      </c>
      <c r="C881" s="13" t="inlineStr">
        <is>
          <t>微信1</t>
        </is>
      </c>
      <c r="D881" s="13" t="inlineStr">
        <is>
          <t>收入</t>
        </is>
      </c>
      <c r="E881" s="13" t="inlineStr">
        <is>
          <t>待分类</t>
        </is>
      </c>
      <c r="F881" s="17">
        <f>IF($E881="","",IFERROR(VLOOKUP($E881,类别归属,2,0),"※类别不在基础资料里"))</f>
        <v/>
      </c>
      <c r="G881" s="13" t="n"/>
      <c r="H881" s="13" t="n"/>
      <c r="I881" s="13" t="inlineStr">
        <is>
          <t>Dylan</t>
        </is>
      </c>
      <c r="J881" s="14" t="n">
        <v>130</v>
      </c>
      <c r="K881" s="14" t="n"/>
      <c r="L881" s="19">
        <f>IF($C881="","",ROUND(IFERROR(VLOOKUP($C881,账户期初,2,0),0)+SUMIFS($J$4:J881,$C$4:C881,$C881)-SUMIFS($K$4:K881,$C$4:C881,$C881),2))</f>
        <v/>
      </c>
      <c r="M881" s="19">
        <f>IF($C881="","",ROUND(SUM(基础资料!$B$4:$B$13)+SUM($J$4:J881)-SUM($K$4:K881),2))</f>
        <v/>
      </c>
      <c r="N881" s="13" t="n"/>
      <c r="O881" s="13" t="n"/>
      <c r="P881" s="17">
        <f>IF($B881="","",IF($F881="※类别不在基础资料里","※费用类别不在基础资料里",IF(AND(N($J881)=0,N($K881)=0),"※这行没填金额",IF(AND(N($J881)&gt;0,N($K881)&gt;0),"※收入和支出不能同一行都填",IF(AND($D881="收入",N($J881)=0),"※收入行要填收入金额",IF(AND($D881="支出",N($K881)=0),"※支出行要填支出金额",IF(AND($C881&lt;&gt;"",ISNA(MATCH($C881,账户表,0))),"※账户不在基础资料里",IF(AND($G881&lt;&gt;"",ISNA(MATCH($G881,项目名表,0))),"※项目不在项目台账里",IF(AND(LEFT($F881,3)="成本-",$G881=""),"※成本类支出没填项目",IF(AND(LEFT($F881,3)="成本-",$H881&lt;&gt;"",N($K881)&gt;0,COUNTIFS(采购单!$B:$B,$B881,采购单!$C:$C,$H881,采购单!$L:$L,$K881)&gt;0),"※这笔可能和采购单重复了",""))))))))))</f>
        <v/>
      </c>
    </row>
    <row r="882">
      <c r="A882" s="17">
        <f>IF($B882="","",ROW()-3)</f>
        <v/>
      </c>
      <c r="B882" s="18" t="n">
        <v>46273</v>
      </c>
      <c r="C882" s="13" t="inlineStr">
        <is>
          <t>微信1</t>
        </is>
      </c>
      <c r="D882" s="13" t="inlineStr">
        <is>
          <t>支出</t>
        </is>
      </c>
      <c r="E882" s="13" t="inlineStr">
        <is>
          <t>待分类</t>
        </is>
      </c>
      <c r="F882" s="17">
        <f>IF($E882="","",IFERROR(VLOOKUP($E882,类别归属,2,0),"※类别不在基础资料里"))</f>
        <v/>
      </c>
      <c r="G882" s="13" t="n"/>
      <c r="H882" s="13" t="n"/>
      <c r="I882" s="13" t="inlineStr">
        <is>
          <t>吉祥     吴玲芳13567289348</t>
        </is>
      </c>
      <c r="J882" s="14" t="n"/>
      <c r="K882" s="14" t="n">
        <v>450</v>
      </c>
      <c r="L882" s="19">
        <f>IF($C882="","",ROUND(IFERROR(VLOOKUP($C882,账户期初,2,0),0)+SUMIFS($J$4:J882,$C$4:C882,$C882)-SUMIFS($K$4:K882,$C$4:C882,$C882),2))</f>
        <v/>
      </c>
      <c r="M882" s="19">
        <f>IF($C882="","",ROUND(SUM(基础资料!$B$4:$B$13)+SUM($J$4:J882)-SUM($K$4:K882),2))</f>
        <v/>
      </c>
      <c r="N882" s="13" t="n"/>
      <c r="O882" s="13" t="n"/>
      <c r="P882" s="17">
        <f>IF($B882="","",IF($F882="※类别不在基础资料里","※费用类别不在基础资料里",IF(AND(N($J882)=0,N($K882)=0),"※这行没填金额",IF(AND(N($J882)&gt;0,N($K882)&gt;0),"※收入和支出不能同一行都填",IF(AND($D882="收入",N($J882)=0),"※收入行要填收入金额",IF(AND($D882="支出",N($K882)=0),"※支出行要填支出金额",IF(AND($C882&lt;&gt;"",ISNA(MATCH($C882,账户表,0))),"※账户不在基础资料里",IF(AND($G882&lt;&gt;"",ISNA(MATCH($G882,项目名表,0))),"※项目不在项目台账里",IF(AND(LEFT($F882,3)="成本-",$G882=""),"※成本类支出没填项目",IF(AND(LEFT($F882,3)="成本-",$H882&lt;&gt;"",N($K882)&gt;0,COUNTIFS(采购单!$B:$B,$B882,采购单!$C:$C,$H882,采购单!$L:$L,$K882)&gt;0),"※这笔可能和采购单重复了",""))))))))))</f>
        <v/>
      </c>
    </row>
    <row r="883">
      <c r="A883" s="17">
        <f>IF($B883="","",ROW()-3)</f>
        <v/>
      </c>
      <c r="B883" s="18" t="n">
        <v>46273</v>
      </c>
      <c r="C883" s="13" t="inlineStr">
        <is>
          <t>微信1</t>
        </is>
      </c>
      <c r="D883" s="13" t="inlineStr">
        <is>
          <t>支出</t>
        </is>
      </c>
      <c r="E883" s="13" t="inlineStr">
        <is>
          <t>运费/快递费</t>
        </is>
      </c>
      <c r="F883" s="17">
        <f>IF($E883="","",IFERROR(VLOOKUP($E883,类别归属,2,0),"※类别不在基础资料里"))</f>
        <v/>
      </c>
      <c r="G883" s="13" t="n"/>
      <c r="H883" s="13" t="n"/>
      <c r="I883" s="13" t="inlineStr">
        <is>
          <t>杭州炳秀湖州26-28线路</t>
        </is>
      </c>
      <c r="J883" s="14" t="n"/>
      <c r="K883" s="14" t="n">
        <v>5</v>
      </c>
      <c r="L883" s="19">
        <f>IF($C883="","",ROUND(IFERROR(VLOOKUP($C883,账户期初,2,0),0)+SUMIFS($J$4:J883,$C$4:C883,$C883)-SUMIFS($K$4:K883,$C$4:C883,$C883),2))</f>
        <v/>
      </c>
      <c r="M883" s="19">
        <f>IF($C883="","",ROUND(SUM(基础资料!$B$4:$B$13)+SUM($J$4:J883)-SUM($K$4:K883),2))</f>
        <v/>
      </c>
      <c r="N883" s="13" t="n"/>
      <c r="O883" s="13" t="n"/>
      <c r="P883" s="17">
        <f>IF($B883="","",IF($F883="※类别不在基础资料里","※费用类别不在基础资料里",IF(AND(N($J883)=0,N($K883)=0),"※这行没填金额",IF(AND(N($J883)&gt;0,N($K883)&gt;0),"※收入和支出不能同一行都填",IF(AND($D883="收入",N($J883)=0),"※收入行要填收入金额",IF(AND($D883="支出",N($K883)=0),"※支出行要填支出金额",IF(AND($C883&lt;&gt;"",ISNA(MATCH($C883,账户表,0))),"※账户不在基础资料里",IF(AND($G883&lt;&gt;"",ISNA(MATCH($G883,项目名表,0))),"※项目不在项目台账里",IF(AND(LEFT($F883,3)="成本-",$G883=""),"※成本类支出没填项目",IF(AND(LEFT($F883,3)="成本-",$H883&lt;&gt;"",N($K883)&gt;0,COUNTIFS(采购单!$B:$B,$B883,采购单!$C:$C,$H883,采购单!$L:$L,$K883)&gt;0),"※这笔可能和采购单重复了",""))))))))))</f>
        <v/>
      </c>
    </row>
    <row r="884">
      <c r="A884" s="17">
        <f>IF($B884="","",ROW()-3)</f>
        <v/>
      </c>
      <c r="B884" s="18" t="n">
        <v>46273</v>
      </c>
      <c r="C884" s="13" t="inlineStr">
        <is>
          <t>微信1</t>
        </is>
      </c>
      <c r="D884" s="13" t="inlineStr">
        <is>
          <t>支出</t>
        </is>
      </c>
      <c r="E884" s="13" t="inlineStr">
        <is>
          <t>运费/快递费</t>
        </is>
      </c>
      <c r="F884" s="17">
        <f>IF($E884="","",IFERROR(VLOOKUP($E884,类别归属,2,0),"※类别不在基础资料里"))</f>
        <v/>
      </c>
      <c r="G884" s="13" t="n"/>
      <c r="H884" s="13" t="n"/>
      <c r="I884" s="13" t="inlineStr">
        <is>
          <t>杭州炳秀湖州26-28线路</t>
        </is>
      </c>
      <c r="J884" s="14" t="n"/>
      <c r="K884" s="14" t="n">
        <v>226</v>
      </c>
      <c r="L884" s="19">
        <f>IF($C884="","",ROUND(IFERROR(VLOOKUP($C884,账户期初,2,0),0)+SUMIFS($J$4:J884,$C$4:C884,$C884)-SUMIFS($K$4:K884,$C$4:C884,$C884),2))</f>
        <v/>
      </c>
      <c r="M884" s="19">
        <f>IF($C884="","",ROUND(SUM(基础资料!$B$4:$B$13)+SUM($J$4:J884)-SUM($K$4:K884),2))</f>
        <v/>
      </c>
      <c r="N884" s="13" t="n"/>
      <c r="O884" s="13" t="n"/>
      <c r="P884" s="17">
        <f>IF($B884="","",IF($F884="※类别不在基础资料里","※费用类别不在基础资料里",IF(AND(N($J884)=0,N($K884)=0),"※这行没填金额",IF(AND(N($J884)&gt;0,N($K884)&gt;0),"※收入和支出不能同一行都填",IF(AND($D884="收入",N($J884)=0),"※收入行要填收入金额",IF(AND($D884="支出",N($K884)=0),"※支出行要填支出金额",IF(AND($C884&lt;&gt;"",ISNA(MATCH($C884,账户表,0))),"※账户不在基础资料里",IF(AND($G884&lt;&gt;"",ISNA(MATCH($G884,项目名表,0))),"※项目不在项目台账里",IF(AND(LEFT($F884,3)="成本-",$G884=""),"※成本类支出没填项目",IF(AND(LEFT($F884,3)="成本-",$H884&lt;&gt;"",N($K884)&gt;0,COUNTIFS(采购单!$B:$B,$B884,采购单!$C:$C,$H884,采购单!$L:$L,$K884)&gt;0),"※这笔可能和采购单重复了",""))))))))))</f>
        <v/>
      </c>
    </row>
    <row r="885">
      <c r="A885" s="17">
        <f>IF($B885="","",ROW()-3)</f>
        <v/>
      </c>
      <c r="B885" s="18" t="n">
        <v>46273</v>
      </c>
      <c r="C885" s="13" t="inlineStr">
        <is>
          <t>微信1</t>
        </is>
      </c>
      <c r="D885" s="13" t="inlineStr">
        <is>
          <t>支出</t>
        </is>
      </c>
      <c r="E885" s="13" t="inlineStr">
        <is>
          <t>业务招待/餐费</t>
        </is>
      </c>
      <c r="F885" s="17">
        <f>IF($E885="","",IFERROR(VLOOKUP($E885,类别归属,2,0),"※类别不在基础资料里"))</f>
        <v/>
      </c>
      <c r="G885" s="13" t="n"/>
      <c r="H885" s="13" t="n"/>
      <c r="I885" s="13" t="inlineStr">
        <is>
          <t>美团</t>
        </is>
      </c>
      <c r="J885" s="14" t="n"/>
      <c r="K885" s="14" t="n">
        <v>12</v>
      </c>
      <c r="L885" s="19">
        <f>IF($C885="","",ROUND(IFERROR(VLOOKUP($C885,账户期初,2,0),0)+SUMIFS($J$4:J885,$C$4:C885,$C885)-SUMIFS($K$4:K885,$C$4:C885,$C885),2))</f>
        <v/>
      </c>
      <c r="M885" s="19">
        <f>IF($C885="","",ROUND(SUM(基础资料!$B$4:$B$13)+SUM($J$4:J885)-SUM($K$4:K885),2))</f>
        <v/>
      </c>
      <c r="N885" s="13" t="n"/>
      <c r="O885" s="13" t="n"/>
      <c r="P885" s="17">
        <f>IF($B885="","",IF($F885="※类别不在基础资料里","※费用类别不在基础资料里",IF(AND(N($J885)=0,N($K885)=0),"※这行没填金额",IF(AND(N($J885)&gt;0,N($K885)&gt;0),"※收入和支出不能同一行都填",IF(AND($D885="收入",N($J885)=0),"※收入行要填收入金额",IF(AND($D885="支出",N($K885)=0),"※支出行要填支出金额",IF(AND($C885&lt;&gt;"",ISNA(MATCH($C885,账户表,0))),"※账户不在基础资料里",IF(AND($G885&lt;&gt;"",ISNA(MATCH($G885,项目名表,0))),"※项目不在项目台账里",IF(AND(LEFT($F885,3)="成本-",$G885=""),"※成本类支出没填项目",IF(AND(LEFT($F885,3)="成本-",$H885&lt;&gt;"",N($K885)&gt;0,COUNTIFS(采购单!$B:$B,$B885,采购单!$C:$C,$H885,采购单!$L:$L,$K885)&gt;0),"※这笔可能和采购单重复了",""))))))))))</f>
        <v/>
      </c>
    </row>
    <row r="886">
      <c r="A886" s="17">
        <f>IF($B886="","",ROW()-3)</f>
        <v/>
      </c>
      <c r="B886" s="18" t="n">
        <v>46274</v>
      </c>
      <c r="C886" s="13" t="inlineStr">
        <is>
          <t>微信1</t>
        </is>
      </c>
      <c r="D886" s="13" t="inlineStr">
        <is>
          <t>支出</t>
        </is>
      </c>
      <c r="E886" s="13" t="inlineStr">
        <is>
          <t>运费/快递费</t>
        </is>
      </c>
      <c r="F886" s="17">
        <f>IF($E886="","",IFERROR(VLOOKUP($E886,类别归属,2,0),"※类别不在基础资料里"))</f>
        <v/>
      </c>
      <c r="G886" s="13" t="n"/>
      <c r="H886" s="13" t="inlineStr">
        <is>
          <t>货拉拉</t>
        </is>
      </c>
      <c r="I886" s="13" t="inlineStr">
        <is>
          <t>货拉拉</t>
        </is>
      </c>
      <c r="J886" s="14" t="n"/>
      <c r="K886" s="14" t="n">
        <v>24</v>
      </c>
      <c r="L886" s="19">
        <f>IF($C886="","",ROUND(IFERROR(VLOOKUP($C886,账户期初,2,0),0)+SUMIFS($J$4:J886,$C$4:C886,$C886)-SUMIFS($K$4:K886,$C$4:C886,$C886),2))</f>
        <v/>
      </c>
      <c r="M886" s="19">
        <f>IF($C886="","",ROUND(SUM(基础资料!$B$4:$B$13)+SUM($J$4:J886)-SUM($K$4:K886),2))</f>
        <v/>
      </c>
      <c r="N886" s="13" t="n"/>
      <c r="O886" s="13" t="n"/>
      <c r="P886" s="17">
        <f>IF($B886="","",IF($F886="※类别不在基础资料里","※费用类别不在基础资料里",IF(AND(N($J886)=0,N($K886)=0),"※这行没填金额",IF(AND(N($J886)&gt;0,N($K886)&gt;0),"※收入和支出不能同一行都填",IF(AND($D886="收入",N($J886)=0),"※收入行要填收入金额",IF(AND($D886="支出",N($K886)=0),"※支出行要填支出金额",IF(AND($C886&lt;&gt;"",ISNA(MATCH($C886,账户表,0))),"※账户不在基础资料里",IF(AND($G886&lt;&gt;"",ISNA(MATCH($G886,项目名表,0))),"※项目不在项目台账里",IF(AND(LEFT($F886,3)="成本-",$G886=""),"※成本类支出没填项目",IF(AND(LEFT($F886,3)="成本-",$H886&lt;&gt;"",N($K886)&gt;0,COUNTIFS(采购单!$B:$B,$B886,采购单!$C:$C,$H886,采购单!$L:$L,$K886)&gt;0),"※这笔可能和采购单重复了",""))))))))))</f>
        <v/>
      </c>
    </row>
    <row r="887">
      <c r="A887" s="17">
        <f>IF($B887="","",ROW()-3)</f>
        <v/>
      </c>
      <c r="B887" s="18" t="n">
        <v>46274</v>
      </c>
      <c r="C887" s="13" t="inlineStr">
        <is>
          <t>微信1</t>
        </is>
      </c>
      <c r="D887" s="13" t="inlineStr">
        <is>
          <t>支出</t>
        </is>
      </c>
      <c r="E887" s="13" t="inlineStr">
        <is>
          <t>运费/快递费</t>
        </is>
      </c>
      <c r="F887" s="17">
        <f>IF($E887="","",IFERROR(VLOOKUP($E887,类别归属,2,0),"※类别不在基础资料里"))</f>
        <v/>
      </c>
      <c r="G887" s="13" t="n"/>
      <c r="H887" s="13" t="inlineStr">
        <is>
          <t>货拉拉</t>
        </is>
      </c>
      <c r="I887" s="13" t="inlineStr">
        <is>
          <t>货拉拉</t>
        </is>
      </c>
      <c r="J887" s="14" t="n"/>
      <c r="K887" s="14" t="n">
        <v>5</v>
      </c>
      <c r="L887" s="19">
        <f>IF($C887="","",ROUND(IFERROR(VLOOKUP($C887,账户期初,2,0),0)+SUMIFS($J$4:J887,$C$4:C887,$C887)-SUMIFS($K$4:K887,$C$4:C887,$C887),2))</f>
        <v/>
      </c>
      <c r="M887" s="19">
        <f>IF($C887="","",ROUND(SUM(基础资料!$B$4:$B$13)+SUM($J$4:J887)-SUM($K$4:K887),2))</f>
        <v/>
      </c>
      <c r="N887" s="13" t="n"/>
      <c r="O887" s="13" t="n"/>
      <c r="P887" s="17">
        <f>IF($B887="","",IF($F887="※类别不在基础资料里","※费用类别不在基础资料里",IF(AND(N($J887)=0,N($K887)=0),"※这行没填金额",IF(AND(N($J887)&gt;0,N($K887)&gt;0),"※收入和支出不能同一行都填",IF(AND($D887="收入",N($J887)=0),"※收入行要填收入金额",IF(AND($D887="支出",N($K887)=0),"※支出行要填支出金额",IF(AND($C887&lt;&gt;"",ISNA(MATCH($C887,账户表,0))),"※账户不在基础资料里",IF(AND($G887&lt;&gt;"",ISNA(MATCH($G887,项目名表,0))),"※项目不在项目台账里",IF(AND(LEFT($F887,3)="成本-",$G887=""),"※成本类支出没填项目",IF(AND(LEFT($F887,3)="成本-",$H887&lt;&gt;"",N($K887)&gt;0,COUNTIFS(采购单!$B:$B,$B887,采购单!$C:$C,$H887,采购单!$L:$L,$K887)&gt;0),"※这笔可能和采购单重复了",""))))))))))</f>
        <v/>
      </c>
    </row>
    <row r="888">
      <c r="A888" s="17">
        <f>IF($B888="","",ROW()-3)</f>
        <v/>
      </c>
      <c r="B888" s="18" t="n">
        <v>46274</v>
      </c>
      <c r="C888" s="13" t="inlineStr">
        <is>
          <t>微信1</t>
        </is>
      </c>
      <c r="D888" s="13" t="inlineStr">
        <is>
          <t>支出</t>
        </is>
      </c>
      <c r="E888" s="13" t="inlineStr">
        <is>
          <t>运费/快递费</t>
        </is>
      </c>
      <c r="F888" s="17">
        <f>IF($E888="","",IFERROR(VLOOKUP($E888,类别归属,2,0),"※类别不在基础资料里"))</f>
        <v/>
      </c>
      <c r="G888" s="13" t="n"/>
      <c r="H888" s="13" t="inlineStr">
        <is>
          <t>货拉拉</t>
        </is>
      </c>
      <c r="I888" s="13" t="inlineStr">
        <is>
          <t>货拉拉</t>
        </is>
      </c>
      <c r="J888" s="14" t="n"/>
      <c r="K888" s="14" t="n">
        <v>25</v>
      </c>
      <c r="L888" s="19">
        <f>IF($C888="","",ROUND(IFERROR(VLOOKUP($C888,账户期初,2,0),0)+SUMIFS($J$4:J888,$C$4:C888,$C888)-SUMIFS($K$4:K888,$C$4:C888,$C888),2))</f>
        <v/>
      </c>
      <c r="M888" s="19">
        <f>IF($C888="","",ROUND(SUM(基础资料!$B$4:$B$13)+SUM($J$4:J888)-SUM($K$4:K888),2))</f>
        <v/>
      </c>
      <c r="N888" s="13" t="n"/>
      <c r="O888" s="13" t="n"/>
      <c r="P888" s="17">
        <f>IF($B888="","",IF($F888="※类别不在基础资料里","※费用类别不在基础资料里",IF(AND(N($J888)=0,N($K888)=0),"※这行没填金额",IF(AND(N($J888)&gt;0,N($K888)&gt;0),"※收入和支出不能同一行都填",IF(AND($D888="收入",N($J888)=0),"※收入行要填收入金额",IF(AND($D888="支出",N($K888)=0),"※支出行要填支出金额",IF(AND($C888&lt;&gt;"",ISNA(MATCH($C888,账户表,0))),"※账户不在基础资料里",IF(AND($G888&lt;&gt;"",ISNA(MATCH($G888,项目名表,0))),"※项目不在项目台账里",IF(AND(LEFT($F888,3)="成本-",$G888=""),"※成本类支出没填项目",IF(AND(LEFT($F888,3)="成本-",$H888&lt;&gt;"",N($K888)&gt;0,COUNTIFS(采购单!$B:$B,$B888,采购单!$C:$C,$H888,采购单!$L:$L,$K888)&gt;0),"※这笔可能和采购单重复了",""))))))))))</f>
        <v/>
      </c>
    </row>
    <row r="889">
      <c r="A889" s="17">
        <f>IF($B889="","",ROW()-3)</f>
        <v/>
      </c>
      <c r="B889" s="18" t="n">
        <v>46274</v>
      </c>
      <c r="C889" s="13" t="inlineStr">
        <is>
          <t>微信1</t>
        </is>
      </c>
      <c r="D889" s="13" t="inlineStr">
        <is>
          <t>收入</t>
        </is>
      </c>
      <c r="E889" s="13" t="inlineStr">
        <is>
          <t>运费/快递费</t>
        </is>
      </c>
      <c r="F889" s="17">
        <f>IF($E889="","",IFERROR(VLOOKUP($E889,类别归属,2,0),"※类别不在基础资料里"))</f>
        <v/>
      </c>
      <c r="G889" s="13" t="n"/>
      <c r="H889" s="13" t="inlineStr">
        <is>
          <t>天津货拉拉科技有限</t>
        </is>
      </c>
      <c r="I889" s="13" t="inlineStr">
        <is>
          <t>天津货拉拉科技有限公司</t>
        </is>
      </c>
      <c r="J889" s="14" t="n">
        <v>24</v>
      </c>
      <c r="K889" s="14" t="n"/>
      <c r="L889" s="19">
        <f>IF($C889="","",ROUND(IFERROR(VLOOKUP($C889,账户期初,2,0),0)+SUMIFS($J$4:J889,$C$4:C889,$C889)-SUMIFS($K$4:K889,$C$4:C889,$C889),2))</f>
        <v/>
      </c>
      <c r="M889" s="19">
        <f>IF($C889="","",ROUND(SUM(基础资料!$B$4:$B$13)+SUM($J$4:J889)-SUM($K$4:K889),2))</f>
        <v/>
      </c>
      <c r="N889" s="13" t="n"/>
      <c r="O889" s="13" t="n"/>
      <c r="P889" s="17">
        <f>IF($B889="","",IF($F889="※类别不在基础资料里","※费用类别不在基础资料里",IF(AND(N($J889)=0,N($K889)=0),"※这行没填金额",IF(AND(N($J889)&gt;0,N($K889)&gt;0),"※收入和支出不能同一行都填",IF(AND($D889="收入",N($J889)=0),"※收入行要填收入金额",IF(AND($D889="支出",N($K889)=0),"※支出行要填支出金额",IF(AND($C889&lt;&gt;"",ISNA(MATCH($C889,账户表,0))),"※账户不在基础资料里",IF(AND($G889&lt;&gt;"",ISNA(MATCH($G889,项目名表,0))),"※项目不在项目台账里",IF(AND(LEFT($F889,3)="成本-",$G889=""),"※成本类支出没填项目",IF(AND(LEFT($F889,3)="成本-",$H889&lt;&gt;"",N($K889)&gt;0,COUNTIFS(采购单!$B:$B,$B889,采购单!$C:$C,$H889,采购单!$L:$L,$K889)&gt;0),"※这笔可能和采购单重复了",""))))))))))</f>
        <v/>
      </c>
    </row>
    <row r="890">
      <c r="A890" s="17">
        <f>IF($B890="","",ROW()-3)</f>
        <v/>
      </c>
      <c r="B890" s="18" t="n">
        <v>46274</v>
      </c>
      <c r="C890" s="13" t="inlineStr">
        <is>
          <t>微信1</t>
        </is>
      </c>
      <c r="D890" s="13" t="inlineStr">
        <is>
          <t>支出</t>
        </is>
      </c>
      <c r="E890" s="13" t="inlineStr">
        <is>
          <t>待分类</t>
        </is>
      </c>
      <c r="F890" s="17">
        <f>IF($E890="","",IFERROR(VLOOKUP($E890,类别归属,2,0),"※类别不在基础资料里"))</f>
        <v/>
      </c>
      <c r="G890" s="13" t="n"/>
      <c r="H890" s="13" t="n"/>
      <c r="I890" s="13" t="inlineStr">
        <is>
          <t>姜要发财</t>
        </is>
      </c>
      <c r="J890" s="14" t="n"/>
      <c r="K890" s="14" t="n">
        <v>550</v>
      </c>
      <c r="L890" s="19">
        <f>IF($C890="","",ROUND(IFERROR(VLOOKUP($C890,账户期初,2,0),0)+SUMIFS($J$4:J890,$C$4:C890,$C890)-SUMIFS($K$4:K890,$C$4:C890,$C890),2))</f>
        <v/>
      </c>
      <c r="M890" s="19">
        <f>IF($C890="","",ROUND(SUM(基础资料!$B$4:$B$13)+SUM($J$4:J890)-SUM($K$4:K890),2))</f>
        <v/>
      </c>
      <c r="N890" s="13" t="n"/>
      <c r="O890" s="13" t="n"/>
      <c r="P890" s="17">
        <f>IF($B890="","",IF($F890="※类别不在基础资料里","※费用类别不在基础资料里",IF(AND(N($J890)=0,N($K890)=0),"※这行没填金额",IF(AND(N($J890)&gt;0,N($K890)&gt;0),"※收入和支出不能同一行都填",IF(AND($D890="收入",N($J890)=0),"※收入行要填收入金额",IF(AND($D890="支出",N($K890)=0),"※支出行要填支出金额",IF(AND($C890&lt;&gt;"",ISNA(MATCH($C890,账户表,0))),"※账户不在基础资料里",IF(AND($G890&lt;&gt;"",ISNA(MATCH($G890,项目名表,0))),"※项目不在项目台账里",IF(AND(LEFT($F890,3)="成本-",$G890=""),"※成本类支出没填项目",IF(AND(LEFT($F890,3)="成本-",$H890&lt;&gt;"",N($K890)&gt;0,COUNTIFS(采购单!$B:$B,$B890,采购单!$C:$C,$H890,采购单!$L:$L,$K890)&gt;0),"※这笔可能和采购单重复了",""))))))))))</f>
        <v/>
      </c>
    </row>
    <row r="891">
      <c r="A891" s="17">
        <f>IF($B891="","",ROW()-3)</f>
        <v/>
      </c>
      <c r="B891" s="18" t="n">
        <v>46274</v>
      </c>
      <c r="C891" s="13" t="inlineStr">
        <is>
          <t>微信1</t>
        </is>
      </c>
      <c r="D891" s="13" t="inlineStr">
        <is>
          <t>支出</t>
        </is>
      </c>
      <c r="E891" s="13" t="inlineStr">
        <is>
          <t>待分类</t>
        </is>
      </c>
      <c r="F891" s="17">
        <f>IF($E891="","",IFERROR(VLOOKUP($E891,类别归属,2,0),"※类别不在基础资料里"))</f>
        <v/>
      </c>
      <c r="G891" s="13" t="n"/>
      <c r="H891" s="13" t="n"/>
      <c r="I891" s="13" t="inlineStr">
        <is>
          <t>哥迷恋天崖</t>
        </is>
      </c>
      <c r="J891" s="14" t="n"/>
      <c r="K891" s="14" t="n">
        <v>600</v>
      </c>
      <c r="L891" s="19">
        <f>IF($C891="","",ROUND(IFERROR(VLOOKUP($C891,账户期初,2,0),0)+SUMIFS($J$4:J891,$C$4:C891,$C891)-SUMIFS($K$4:K891,$C$4:C891,$C891),2))</f>
        <v/>
      </c>
      <c r="M891" s="19">
        <f>IF($C891="","",ROUND(SUM(基础资料!$B$4:$B$13)+SUM($J$4:J891)-SUM($K$4:K891),2))</f>
        <v/>
      </c>
      <c r="N891" s="13" t="n"/>
      <c r="O891" s="13" t="n"/>
      <c r="P891" s="17">
        <f>IF($B891="","",IF($F891="※类别不在基础资料里","※费用类别不在基础资料里",IF(AND(N($J891)=0,N($K891)=0),"※这行没填金额",IF(AND(N($J891)&gt;0,N($K891)&gt;0),"※收入和支出不能同一行都填",IF(AND($D891="收入",N($J891)=0),"※收入行要填收入金额",IF(AND($D891="支出",N($K891)=0),"※支出行要填支出金额",IF(AND($C891&lt;&gt;"",ISNA(MATCH($C891,账户表,0))),"※账户不在基础资料里",IF(AND($G891&lt;&gt;"",ISNA(MATCH($G891,项目名表,0))),"※项目不在项目台账里",IF(AND(LEFT($F891,3)="成本-",$G891=""),"※成本类支出没填项目",IF(AND(LEFT($F891,3)="成本-",$H891&lt;&gt;"",N($K891)&gt;0,COUNTIFS(采购单!$B:$B,$B891,采购单!$C:$C,$H891,采购单!$L:$L,$K891)&gt;0),"※这笔可能和采购单重复了",""))))))))))</f>
        <v/>
      </c>
    </row>
    <row r="892">
      <c r="A892" s="17">
        <f>IF($B892="","",ROW()-3)</f>
        <v/>
      </c>
      <c r="B892" s="18" t="n">
        <v>46274</v>
      </c>
      <c r="C892" s="13" t="inlineStr">
        <is>
          <t>微信1</t>
        </is>
      </c>
      <c r="D892" s="13" t="inlineStr">
        <is>
          <t>支出</t>
        </is>
      </c>
      <c r="E892" s="13" t="inlineStr">
        <is>
          <t>广告推广</t>
        </is>
      </c>
      <c r="F892" s="17">
        <f>IF($E892="","",IFERROR(VLOOKUP($E892,类别归属,2,0),"※类别不在基础资料里"))</f>
        <v/>
      </c>
      <c r="G892" s="13" t="n"/>
      <c r="H892" s="13" t="n"/>
      <c r="I892" s="13" t="inlineStr">
        <is>
          <t>巨量本地推</t>
        </is>
      </c>
      <c r="J892" s="14" t="n"/>
      <c r="K892" s="14" t="n">
        <v>200</v>
      </c>
      <c r="L892" s="19">
        <f>IF($C892="","",ROUND(IFERROR(VLOOKUP($C892,账户期初,2,0),0)+SUMIFS($J$4:J892,$C$4:C892,$C892)-SUMIFS($K$4:K892,$C$4:C892,$C892),2))</f>
        <v/>
      </c>
      <c r="M892" s="19">
        <f>IF($C892="","",ROUND(SUM(基础资料!$B$4:$B$13)+SUM($J$4:J892)-SUM($K$4:K892),2))</f>
        <v/>
      </c>
      <c r="N892" s="13" t="n"/>
      <c r="O892" s="13" t="n"/>
      <c r="P892" s="17">
        <f>IF($B892="","",IF($F892="※类别不在基础资料里","※费用类别不在基础资料里",IF(AND(N($J892)=0,N($K892)=0),"※这行没填金额",IF(AND(N($J892)&gt;0,N($K892)&gt;0),"※收入和支出不能同一行都填",IF(AND($D892="收入",N($J892)=0),"※收入行要填收入金额",IF(AND($D892="支出",N($K892)=0),"※支出行要填支出金额",IF(AND($C892&lt;&gt;"",ISNA(MATCH($C892,账户表,0))),"※账户不在基础资料里",IF(AND($G892&lt;&gt;"",ISNA(MATCH($G892,项目名表,0))),"※项目不在项目台账里",IF(AND(LEFT($F892,3)="成本-",$G892=""),"※成本类支出没填项目",IF(AND(LEFT($F892,3)="成本-",$H892&lt;&gt;"",N($K892)&gt;0,COUNTIFS(采购单!$B:$B,$B892,采购单!$C:$C,$H892,采购单!$L:$L,$K892)&gt;0),"※这笔可能和采购单重复了",""))))))))))</f>
        <v/>
      </c>
    </row>
    <row r="893">
      <c r="A893" s="17">
        <f>IF($B893="","",ROW()-3)</f>
        <v/>
      </c>
      <c r="B893" s="18" t="n">
        <v>46274</v>
      </c>
      <c r="C893" s="13" t="inlineStr">
        <is>
          <t>微信1</t>
        </is>
      </c>
      <c r="D893" s="13" t="inlineStr">
        <is>
          <t>支出</t>
        </is>
      </c>
      <c r="E893" s="13" t="inlineStr">
        <is>
          <t>待分类</t>
        </is>
      </c>
      <c r="F893" s="17">
        <f>IF($E893="","",IFERROR(VLOOKUP($E893,类别归属,2,0),"※类别不在基础资料里"))</f>
        <v/>
      </c>
      <c r="G893" s="13" t="n"/>
      <c r="H893" s="13" t="n"/>
      <c r="I893" s="13" t="inlineStr">
        <is>
          <t>凌宇 (🐟)</t>
        </is>
      </c>
      <c r="J893" s="14" t="n"/>
      <c r="K893" s="14" t="n">
        <v>267.1</v>
      </c>
      <c r="L893" s="19">
        <f>IF($C893="","",ROUND(IFERROR(VLOOKUP($C893,账户期初,2,0),0)+SUMIFS($J$4:J893,$C$4:C893,$C893)-SUMIFS($K$4:K893,$C$4:C893,$C893),2))</f>
        <v/>
      </c>
      <c r="M893" s="19">
        <f>IF($C893="","",ROUND(SUM(基础资料!$B$4:$B$13)+SUM($J$4:J893)-SUM($K$4:K893),2))</f>
        <v/>
      </c>
      <c r="N893" s="13" t="n"/>
      <c r="O893" s="13" t="n"/>
      <c r="P893" s="17">
        <f>IF($B893="","",IF($F893="※类别不在基础资料里","※费用类别不在基础资料里",IF(AND(N($J893)=0,N($K893)=0),"※这行没填金额",IF(AND(N($J893)&gt;0,N($K893)&gt;0),"※收入和支出不能同一行都填",IF(AND($D893="收入",N($J893)=0),"※收入行要填收入金额",IF(AND($D893="支出",N($K893)=0),"※支出行要填支出金额",IF(AND($C893&lt;&gt;"",ISNA(MATCH($C893,账户表,0))),"※账户不在基础资料里",IF(AND($G893&lt;&gt;"",ISNA(MATCH($G893,项目名表,0))),"※项目不在项目台账里",IF(AND(LEFT($F893,3)="成本-",$G893=""),"※成本类支出没填项目",IF(AND(LEFT($F893,3)="成本-",$H893&lt;&gt;"",N($K893)&gt;0,COUNTIFS(采购单!$B:$B,$B893,采购单!$C:$C,$H893,采购单!$L:$L,$K893)&gt;0),"※这笔可能和采购单重复了",""))))))))))</f>
        <v/>
      </c>
    </row>
    <row r="894">
      <c r="A894" s="17">
        <f>IF($B894="","",ROW()-3)</f>
        <v/>
      </c>
      <c r="B894" s="18" t="n">
        <v>46274</v>
      </c>
      <c r="C894" s="13" t="inlineStr">
        <is>
          <t>微信1</t>
        </is>
      </c>
      <c r="D894" s="13" t="inlineStr">
        <is>
          <t>支出</t>
        </is>
      </c>
      <c r="E894" s="13" t="inlineStr">
        <is>
          <t>待分类</t>
        </is>
      </c>
      <c r="F894" s="17">
        <f>IF($E894="","",IFERROR(VLOOKUP($E894,类别归属,2,0),"※类别不在基础资料里"))</f>
        <v/>
      </c>
      <c r="G894" s="13" t="n"/>
      <c r="H894" s="13" t="n"/>
      <c r="I894" s="13" t="inlineStr">
        <is>
          <t>李先生</t>
        </is>
      </c>
      <c r="J894" s="14" t="n"/>
      <c r="K894" s="14" t="n">
        <v>600</v>
      </c>
      <c r="L894" s="19">
        <f>IF($C894="","",ROUND(IFERROR(VLOOKUP($C894,账户期初,2,0),0)+SUMIFS($J$4:J894,$C$4:C894,$C894)-SUMIFS($K$4:K894,$C$4:C894,$C894),2))</f>
        <v/>
      </c>
      <c r="M894" s="19">
        <f>IF($C894="","",ROUND(SUM(基础资料!$B$4:$B$13)+SUM($J$4:J894)-SUM($K$4:K894),2))</f>
        <v/>
      </c>
      <c r="N894" s="13" t="n"/>
      <c r="O894" s="13" t="n"/>
      <c r="P894" s="17">
        <f>IF($B894="","",IF($F894="※类别不在基础资料里","※费用类别不在基础资料里",IF(AND(N($J894)=0,N($K894)=0),"※这行没填金额",IF(AND(N($J894)&gt;0,N($K894)&gt;0),"※收入和支出不能同一行都填",IF(AND($D894="收入",N($J894)=0),"※收入行要填收入金额",IF(AND($D894="支出",N($K894)=0),"※支出行要填支出金额",IF(AND($C894&lt;&gt;"",ISNA(MATCH($C894,账户表,0))),"※账户不在基础资料里",IF(AND($G894&lt;&gt;"",ISNA(MATCH($G894,项目名表,0))),"※项目不在项目台账里",IF(AND(LEFT($F894,3)="成本-",$G894=""),"※成本类支出没填项目",IF(AND(LEFT($F894,3)="成本-",$H894&lt;&gt;"",N($K894)&gt;0,COUNTIFS(采购单!$B:$B,$B894,采购单!$C:$C,$H894,采购单!$L:$L,$K894)&gt;0),"※这笔可能和采购单重复了",""))))))))))</f>
        <v/>
      </c>
    </row>
    <row r="895">
      <c r="A895" s="17">
        <f>IF($B895="","",ROW()-3)</f>
        <v/>
      </c>
      <c r="B895" s="18" t="n">
        <v>46274</v>
      </c>
      <c r="C895" s="13" t="inlineStr">
        <is>
          <t>微信1</t>
        </is>
      </c>
      <c r="D895" s="13" t="inlineStr">
        <is>
          <t>支出</t>
        </is>
      </c>
      <c r="E895" s="13" t="inlineStr">
        <is>
          <t>运费/快递费</t>
        </is>
      </c>
      <c r="F895" s="17">
        <f>IF($E895="","",IFERROR(VLOOKUP($E895,类别归属,2,0),"※类别不在基础资料里"))</f>
        <v/>
      </c>
      <c r="G895" s="13" t="n"/>
      <c r="H895" s="13" t="inlineStr">
        <is>
          <t>杭州炳秀德清配送王赛辉</t>
        </is>
      </c>
      <c r="I895" s="13" t="inlineStr">
        <is>
          <t>杭州炳秀德清配送王赛辉</t>
        </is>
      </c>
      <c r="J895" s="14" t="n"/>
      <c r="K895" s="14" t="n">
        <v>5</v>
      </c>
      <c r="L895" s="19">
        <f>IF($C895="","",ROUND(IFERROR(VLOOKUP($C895,账户期初,2,0),0)+SUMIFS($J$4:J895,$C$4:C895,$C895)-SUMIFS($K$4:K895,$C$4:C895,$C895),2))</f>
        <v/>
      </c>
      <c r="M895" s="19">
        <f>IF($C895="","",ROUND(SUM(基础资料!$B$4:$B$13)+SUM($J$4:J895)-SUM($K$4:K895),2))</f>
        <v/>
      </c>
      <c r="N895" s="13" t="n"/>
      <c r="O895" s="13" t="n"/>
      <c r="P895" s="17">
        <f>IF($B895="","",IF($F895="※类别不在基础资料里","※费用类别不在基础资料里",IF(AND(N($J895)=0,N($K895)=0),"※这行没填金额",IF(AND(N($J895)&gt;0,N($K895)&gt;0),"※收入和支出不能同一行都填",IF(AND($D895="收入",N($J895)=0),"※收入行要填收入金额",IF(AND($D895="支出",N($K895)=0),"※支出行要填支出金额",IF(AND($C895&lt;&gt;"",ISNA(MATCH($C895,账户表,0))),"※账户不在基础资料里",IF(AND($G895&lt;&gt;"",ISNA(MATCH($G895,项目名表,0))),"※项目不在项目台账里",IF(AND(LEFT($F895,3)="成本-",$G895=""),"※成本类支出没填项目",IF(AND(LEFT($F895,3)="成本-",$H895&lt;&gt;"",N($K895)&gt;0,COUNTIFS(采购单!$B:$B,$B895,采购单!$C:$C,$H895,采购单!$L:$L,$K895)&gt;0),"※这笔可能和采购单重复了",""))))))))))</f>
        <v/>
      </c>
    </row>
    <row r="896">
      <c r="A896" s="17">
        <f>IF($B896="","",ROW()-3)</f>
        <v/>
      </c>
      <c r="B896" s="18" t="n">
        <v>46275</v>
      </c>
      <c r="C896" s="13" t="inlineStr">
        <is>
          <t>微信1</t>
        </is>
      </c>
      <c r="D896" s="13" t="inlineStr">
        <is>
          <t>收入</t>
        </is>
      </c>
      <c r="E896" s="13" t="inlineStr">
        <is>
          <t>设计费</t>
        </is>
      </c>
      <c r="F896" s="17">
        <f>IF($E896="","",IFERROR(VLOOKUP($E896,类别归属,2,0),"※类别不在基础资料里"))</f>
        <v/>
      </c>
      <c r="G896" s="13" t="n"/>
      <c r="H896" s="13" t="n"/>
      <c r="I896" s="13" t="inlineStr">
        <is>
          <t>设计 徐可欣 (4ever)</t>
        </is>
      </c>
      <c r="J896" s="14" t="n">
        <v>50</v>
      </c>
      <c r="K896" s="14" t="n"/>
      <c r="L896" s="19">
        <f>IF($C896="","",ROUND(IFERROR(VLOOKUP($C896,账户期初,2,0),0)+SUMIFS($J$4:J896,$C$4:C896,$C896)-SUMIFS($K$4:K896,$C$4:C896,$C896),2))</f>
        <v/>
      </c>
      <c r="M896" s="19">
        <f>IF($C896="","",ROUND(SUM(基础资料!$B$4:$B$13)+SUM($J$4:J896)-SUM($K$4:K896),2))</f>
        <v/>
      </c>
      <c r="N896" s="13" t="n"/>
      <c r="O896" s="13" t="n"/>
      <c r="P896" s="17">
        <f>IF($B896="","",IF($F896="※类别不在基础资料里","※费用类别不在基础资料里",IF(AND(N($J896)=0,N($K896)=0),"※这行没填金额",IF(AND(N($J896)&gt;0,N($K896)&gt;0),"※收入和支出不能同一行都填",IF(AND($D896="收入",N($J896)=0),"※收入行要填收入金额",IF(AND($D896="支出",N($K896)=0),"※支出行要填支出金额",IF(AND($C896&lt;&gt;"",ISNA(MATCH($C896,账户表,0))),"※账户不在基础资料里",IF(AND($G896&lt;&gt;"",ISNA(MATCH($G896,项目名表,0))),"※项目不在项目台账里",IF(AND(LEFT($F896,3)="成本-",$G896=""),"※成本类支出没填项目",IF(AND(LEFT($F896,3)="成本-",$H896&lt;&gt;"",N($K896)&gt;0,COUNTIFS(采购单!$B:$B,$B896,采购单!$C:$C,$H896,采购单!$L:$L,$K896)&gt;0),"※这笔可能和采购单重复了",""))))))))))</f>
        <v/>
      </c>
    </row>
    <row r="897">
      <c r="A897" s="17">
        <f>IF($B897="","",ROW()-3)</f>
        <v/>
      </c>
      <c r="B897" s="18" t="n">
        <v>46275</v>
      </c>
      <c r="C897" s="13" t="inlineStr">
        <is>
          <t>微信1</t>
        </is>
      </c>
      <c r="D897" s="13" t="inlineStr">
        <is>
          <t>支出</t>
        </is>
      </c>
      <c r="E897" s="13" t="inlineStr">
        <is>
          <t>运费/快递费</t>
        </is>
      </c>
      <c r="F897" s="17">
        <f>IF($E897="","",IFERROR(VLOOKUP($E897,类别归属,2,0),"※类别不在基础资料里"))</f>
        <v/>
      </c>
      <c r="G897" s="13" t="n"/>
      <c r="H897" s="13" t="n"/>
      <c r="I897" s="13" t="inlineStr">
        <is>
          <t>杭州炳秀湖州26-28线路</t>
        </is>
      </c>
      <c r="J897" s="14" t="n"/>
      <c r="K897" s="14" t="n">
        <v>64</v>
      </c>
      <c r="L897" s="19">
        <f>IF($C897="","",ROUND(IFERROR(VLOOKUP($C897,账户期初,2,0),0)+SUMIFS($J$4:J897,$C$4:C897,$C897)-SUMIFS($K$4:K897,$C$4:C897,$C897),2))</f>
        <v/>
      </c>
      <c r="M897" s="19">
        <f>IF($C897="","",ROUND(SUM(基础资料!$B$4:$B$13)+SUM($J$4:J897)-SUM($K$4:K897),2))</f>
        <v/>
      </c>
      <c r="N897" s="13" t="n"/>
      <c r="O897" s="13" t="n"/>
      <c r="P897" s="17">
        <f>IF($B897="","",IF($F897="※类别不在基础资料里","※费用类别不在基础资料里",IF(AND(N($J897)=0,N($K897)=0),"※这行没填金额",IF(AND(N($J897)&gt;0,N($K897)&gt;0),"※收入和支出不能同一行都填",IF(AND($D897="收入",N($J897)=0),"※收入行要填收入金额",IF(AND($D897="支出",N($K897)=0),"※支出行要填支出金额",IF(AND($C897&lt;&gt;"",ISNA(MATCH($C897,账户表,0))),"※账户不在基础资料里",IF(AND($G897&lt;&gt;"",ISNA(MATCH($G897,项目名表,0))),"※项目不在项目台账里",IF(AND(LEFT($F897,3)="成本-",$G897=""),"※成本类支出没填项目",IF(AND(LEFT($F897,3)="成本-",$H897&lt;&gt;"",N($K897)&gt;0,COUNTIFS(采购单!$B:$B,$B897,采购单!$C:$C,$H897,采购单!$L:$L,$K897)&gt;0),"※这笔可能和采购单重复了",""))))))))))</f>
        <v/>
      </c>
    </row>
    <row r="898">
      <c r="A898" s="17">
        <f>IF($B898="","",ROW()-3)</f>
        <v/>
      </c>
      <c r="B898" s="18" t="n">
        <v>46275</v>
      </c>
      <c r="C898" s="13" t="inlineStr">
        <is>
          <t>微信1</t>
        </is>
      </c>
      <c r="D898" s="13" t="inlineStr">
        <is>
          <t>支出</t>
        </is>
      </c>
      <c r="E898" s="13" t="inlineStr">
        <is>
          <t>车费/油费/过路费</t>
        </is>
      </c>
      <c r="F898" s="17">
        <f>IF($E898="","",IFERROR(VLOOKUP($E898,类别归属,2,0),"※类别不在基础资料里"))</f>
        <v/>
      </c>
      <c r="G898" s="13" t="n"/>
      <c r="H898" s="13" t="n"/>
      <c r="I898" s="13" t="inlineStr">
        <is>
          <t>滴滴出行</t>
        </is>
      </c>
      <c r="J898" s="14" t="n"/>
      <c r="K898" s="14" t="n">
        <v>34</v>
      </c>
      <c r="L898" s="19">
        <f>IF($C898="","",ROUND(IFERROR(VLOOKUP($C898,账户期初,2,0),0)+SUMIFS($J$4:J898,$C$4:C898,$C898)-SUMIFS($K$4:K898,$C$4:C898,$C898),2))</f>
        <v/>
      </c>
      <c r="M898" s="19">
        <f>IF($C898="","",ROUND(SUM(基础资料!$B$4:$B$13)+SUM($J$4:J898)-SUM($K$4:K898),2))</f>
        <v/>
      </c>
      <c r="N898" s="13" t="n"/>
      <c r="O898" s="13" t="n"/>
      <c r="P898" s="17">
        <f>IF($B898="","",IF($F898="※类别不在基础资料里","※费用类别不在基础资料里",IF(AND(N($J898)=0,N($K898)=0),"※这行没填金额",IF(AND(N($J898)&gt;0,N($K898)&gt;0),"※收入和支出不能同一行都填",IF(AND($D898="收入",N($J898)=0),"※收入行要填收入金额",IF(AND($D898="支出",N($K898)=0),"※支出行要填支出金额",IF(AND($C898&lt;&gt;"",ISNA(MATCH($C898,账户表,0))),"※账户不在基础资料里",IF(AND($G898&lt;&gt;"",ISNA(MATCH($G898,项目名表,0))),"※项目不在项目台账里",IF(AND(LEFT($F898,3)="成本-",$G898=""),"※成本类支出没填项目",IF(AND(LEFT($F898,3)="成本-",$H898&lt;&gt;"",N($K898)&gt;0,COUNTIFS(采购单!$B:$B,$B898,采购单!$C:$C,$H898,采购单!$L:$L,$K898)&gt;0),"※这笔可能和采购单重复了",""))))))))))</f>
        <v/>
      </c>
    </row>
    <row r="899">
      <c r="A899" s="17">
        <f>IF($B899="","",ROW()-3)</f>
        <v/>
      </c>
      <c r="B899" s="18" t="n">
        <v>46275</v>
      </c>
      <c r="C899" s="13" t="inlineStr">
        <is>
          <t>微信1</t>
        </is>
      </c>
      <c r="D899" s="13" t="inlineStr">
        <is>
          <t>收入</t>
        </is>
      </c>
      <c r="E899" s="13" t="inlineStr">
        <is>
          <t>车费/油费/过路费</t>
        </is>
      </c>
      <c r="F899" s="17">
        <f>IF($E899="","",IFERROR(VLOOKUP($E899,类别归属,2,0),"※类别不在基础资料里"))</f>
        <v/>
      </c>
      <c r="G899" s="13" t="n"/>
      <c r="H899" s="13" t="n"/>
      <c r="I899" s="13" t="inlineStr">
        <is>
          <t>滴滴顺风车</t>
        </is>
      </c>
      <c r="J899" s="14" t="n">
        <v>8</v>
      </c>
      <c r="K899" s="14" t="n"/>
      <c r="L899" s="19">
        <f>IF($C899="","",ROUND(IFERROR(VLOOKUP($C899,账户期初,2,0),0)+SUMIFS($J$4:J899,$C$4:C899,$C899)-SUMIFS($K$4:K899,$C$4:C899,$C899),2))</f>
        <v/>
      </c>
      <c r="M899" s="19">
        <f>IF($C899="","",ROUND(SUM(基础资料!$B$4:$B$13)+SUM($J$4:J899)-SUM($K$4:K899),2))</f>
        <v/>
      </c>
      <c r="N899" s="13" t="n"/>
      <c r="O899" s="13" t="n"/>
      <c r="P899" s="17">
        <f>IF($B899="","",IF($F899="※类别不在基础资料里","※费用类别不在基础资料里",IF(AND(N($J899)=0,N($K899)=0),"※这行没填金额",IF(AND(N($J899)&gt;0,N($K899)&gt;0),"※收入和支出不能同一行都填",IF(AND($D899="收入",N($J899)=0),"※收入行要填收入金额",IF(AND($D899="支出",N($K899)=0),"※支出行要填支出金额",IF(AND($C899&lt;&gt;"",ISNA(MATCH($C899,账户表,0))),"※账户不在基础资料里",IF(AND($G899&lt;&gt;"",ISNA(MATCH($G899,项目名表,0))),"※项目不在项目台账里",IF(AND(LEFT($F899,3)="成本-",$G899=""),"※成本类支出没填项目",IF(AND(LEFT($F899,3)="成本-",$H899&lt;&gt;"",N($K899)&gt;0,COUNTIFS(采购单!$B:$B,$B899,采购单!$C:$C,$H899,采购单!$L:$L,$K899)&gt;0),"※这笔可能和采购单重复了",""))))))))))</f>
        <v/>
      </c>
    </row>
    <row r="900">
      <c r="A900" s="17">
        <f>IF($B900="","",ROW()-3)</f>
        <v/>
      </c>
      <c r="B900" s="18" t="n">
        <v>46275</v>
      </c>
      <c r="C900" s="13" t="inlineStr">
        <is>
          <t>微信1</t>
        </is>
      </c>
      <c r="D900" s="13" t="inlineStr">
        <is>
          <t>支出</t>
        </is>
      </c>
      <c r="E900" s="13" t="inlineStr">
        <is>
          <t>运费/快递费</t>
        </is>
      </c>
      <c r="F900" s="17">
        <f>IF($E900="","",IFERROR(VLOOKUP($E900,类别归属,2,0),"※类别不在基础资料里"))</f>
        <v/>
      </c>
      <c r="G900" s="13" t="n"/>
      <c r="H900" s="13" t="inlineStr">
        <is>
          <t>货拉拉</t>
        </is>
      </c>
      <c r="I900" s="13" t="inlineStr">
        <is>
          <t>货拉拉</t>
        </is>
      </c>
      <c r="J900" s="14" t="n"/>
      <c r="K900" s="14" t="n">
        <v>28.38</v>
      </c>
      <c r="L900" s="19">
        <f>IF($C900="","",ROUND(IFERROR(VLOOKUP($C900,账户期初,2,0),0)+SUMIFS($J$4:J900,$C$4:C900,$C900)-SUMIFS($K$4:K900,$C$4:C900,$C900),2))</f>
        <v/>
      </c>
      <c r="M900" s="19">
        <f>IF($C900="","",ROUND(SUM(基础资料!$B$4:$B$13)+SUM($J$4:J900)-SUM($K$4:K900),2))</f>
        <v/>
      </c>
      <c r="N900" s="13" t="n"/>
      <c r="O900" s="13" t="n"/>
      <c r="P900" s="17">
        <f>IF($B900="","",IF($F900="※类别不在基础资料里","※费用类别不在基础资料里",IF(AND(N($J900)=0,N($K900)=0),"※这行没填金额",IF(AND(N($J900)&gt;0,N($K900)&gt;0),"※收入和支出不能同一行都填",IF(AND($D900="收入",N($J900)=0),"※收入行要填收入金额",IF(AND($D900="支出",N($K900)=0),"※支出行要填支出金额",IF(AND($C900&lt;&gt;"",ISNA(MATCH($C900,账户表,0))),"※账户不在基础资料里",IF(AND($G900&lt;&gt;"",ISNA(MATCH($G900,项目名表,0))),"※项目不在项目台账里",IF(AND(LEFT($F900,3)="成本-",$G900=""),"※成本类支出没填项目",IF(AND(LEFT($F900,3)="成本-",$H900&lt;&gt;"",N($K900)&gt;0,COUNTIFS(采购单!$B:$B,$B900,采购单!$C:$C,$H900,采购单!$L:$L,$K900)&gt;0),"※这笔可能和采购单重复了",""))))))))))</f>
        <v/>
      </c>
    </row>
    <row r="901">
      <c r="A901" s="17">
        <f>IF($B901="","",ROW()-3)</f>
        <v/>
      </c>
      <c r="B901" s="18" t="n">
        <v>46275</v>
      </c>
      <c r="C901" s="13" t="inlineStr">
        <is>
          <t>微信1</t>
        </is>
      </c>
      <c r="D901" s="13" t="inlineStr">
        <is>
          <t>支出</t>
        </is>
      </c>
      <c r="E901" s="13" t="inlineStr">
        <is>
          <t>待分类</t>
        </is>
      </c>
      <c r="F901" s="17">
        <f>IF($E901="","",IFERROR(VLOOKUP($E901,类别归属,2,0),"※类别不在基础资料里"))</f>
        <v/>
      </c>
      <c r="G901" s="13" t="n"/>
      <c r="H901" s="13" t="n"/>
      <c r="I901" s="13" t="inlineStr">
        <is>
          <t>凌宇 (🐟)</t>
        </is>
      </c>
      <c r="J901" s="14" t="n"/>
      <c r="K901" s="14" t="n">
        <v>2000</v>
      </c>
      <c r="L901" s="19">
        <f>IF($C901="","",ROUND(IFERROR(VLOOKUP($C901,账户期初,2,0),0)+SUMIFS($J$4:J901,$C$4:C901,$C901)-SUMIFS($K$4:K901,$C$4:C901,$C901),2))</f>
        <v/>
      </c>
      <c r="M901" s="19">
        <f>IF($C901="","",ROUND(SUM(基础资料!$B$4:$B$13)+SUM($J$4:J901)-SUM($K$4:K901),2))</f>
        <v/>
      </c>
      <c r="N901" s="13" t="n"/>
      <c r="O901" s="13" t="n"/>
      <c r="P901" s="17">
        <f>IF($B901="","",IF($F901="※类别不在基础资料里","※费用类别不在基础资料里",IF(AND(N($J901)=0,N($K901)=0),"※这行没填金额",IF(AND(N($J901)&gt;0,N($K901)&gt;0),"※收入和支出不能同一行都填",IF(AND($D901="收入",N($J901)=0),"※收入行要填收入金额",IF(AND($D901="支出",N($K901)=0),"※支出行要填支出金额",IF(AND($C901&lt;&gt;"",ISNA(MATCH($C901,账户表,0))),"※账户不在基础资料里",IF(AND($G901&lt;&gt;"",ISNA(MATCH($G901,项目名表,0))),"※项目不在项目台账里",IF(AND(LEFT($F901,3)="成本-",$G901=""),"※成本类支出没填项目",IF(AND(LEFT($F901,3)="成本-",$H901&lt;&gt;"",N($K901)&gt;0,COUNTIFS(采购单!$B:$B,$B901,采购单!$C:$C,$H901,采购单!$L:$L,$K901)&gt;0),"※这笔可能和采购单重复了",""))))))))))</f>
        <v/>
      </c>
    </row>
    <row r="902">
      <c r="A902" s="17">
        <f>IF($B902="","",ROW()-3)</f>
        <v/>
      </c>
      <c r="B902" s="18" t="n">
        <v>46275</v>
      </c>
      <c r="C902" s="13" t="inlineStr">
        <is>
          <t>微信1</t>
        </is>
      </c>
      <c r="D902" s="13" t="inlineStr">
        <is>
          <t>支出</t>
        </is>
      </c>
      <c r="E902" s="13" t="inlineStr">
        <is>
          <t>广告推广</t>
        </is>
      </c>
      <c r="F902" s="17">
        <f>IF($E902="","",IFERROR(VLOOKUP($E902,类别归属,2,0),"※类别不在基础资料里"))</f>
        <v/>
      </c>
      <c r="G902" s="13" t="n"/>
      <c r="H902" s="13" t="n"/>
      <c r="I902" s="13" t="inlineStr">
        <is>
          <t>发给视频 (Solace)</t>
        </is>
      </c>
      <c r="J902" s="14" t="n"/>
      <c r="K902" s="14" t="n">
        <v>60</v>
      </c>
      <c r="L902" s="19">
        <f>IF($C902="","",ROUND(IFERROR(VLOOKUP($C902,账户期初,2,0),0)+SUMIFS($J$4:J902,$C$4:C902,$C902)-SUMIFS($K$4:K902,$C$4:C902,$C902),2))</f>
        <v/>
      </c>
      <c r="M902" s="19">
        <f>IF($C902="","",ROUND(SUM(基础资料!$B$4:$B$13)+SUM($J$4:J902)-SUM($K$4:K902),2))</f>
        <v/>
      </c>
      <c r="N902" s="13" t="n"/>
      <c r="O902" s="13" t="n"/>
      <c r="P902" s="17">
        <f>IF($B902="","",IF($F902="※类别不在基础资料里","※费用类别不在基础资料里",IF(AND(N($J902)=0,N($K902)=0),"※这行没填金额",IF(AND(N($J902)&gt;0,N($K902)&gt;0),"※收入和支出不能同一行都填",IF(AND($D902="收入",N($J902)=0),"※收入行要填收入金额",IF(AND($D902="支出",N($K902)=0),"※支出行要填支出金额",IF(AND($C902&lt;&gt;"",ISNA(MATCH($C902,账户表,0))),"※账户不在基础资料里",IF(AND($G902&lt;&gt;"",ISNA(MATCH($G902,项目名表,0))),"※项目不在项目台账里",IF(AND(LEFT($F902,3)="成本-",$G902=""),"※成本类支出没填项目",IF(AND(LEFT($F902,3)="成本-",$H902&lt;&gt;"",N($K902)&gt;0,COUNTIFS(采购单!$B:$B,$B902,采购单!$C:$C,$H902,采购单!$L:$L,$K902)&gt;0),"※这笔可能和采购单重复了",""))))))))))</f>
        <v/>
      </c>
    </row>
    <row r="903">
      <c r="A903" s="17">
        <f>IF($B903="","",ROW()-3)</f>
        <v/>
      </c>
      <c r="B903" s="18" t="n">
        <v>46275</v>
      </c>
      <c r="C903" s="13" t="inlineStr">
        <is>
          <t>微信1</t>
        </is>
      </c>
      <c r="D903" s="13" t="inlineStr">
        <is>
          <t>支出</t>
        </is>
      </c>
      <c r="E903" s="13" t="inlineStr">
        <is>
          <t>广告推广</t>
        </is>
      </c>
      <c r="F903" s="17">
        <f>IF($E903="","",IFERROR(VLOOKUP($E903,类别归属,2,0),"※类别不在基础资料里"))</f>
        <v/>
      </c>
      <c r="G903" s="13" t="n"/>
      <c r="H903" s="13" t="n"/>
      <c r="I903" s="13" t="inlineStr">
        <is>
          <t>发给视频 (Solace)</t>
        </is>
      </c>
      <c r="J903" s="14" t="n"/>
      <c r="K903" s="14" t="n">
        <v>60</v>
      </c>
      <c r="L903" s="19">
        <f>IF($C903="","",ROUND(IFERROR(VLOOKUP($C903,账户期初,2,0),0)+SUMIFS($J$4:J903,$C$4:C903,$C903)-SUMIFS($K$4:K903,$C$4:C903,$C903),2))</f>
        <v/>
      </c>
      <c r="M903" s="19">
        <f>IF($C903="","",ROUND(SUM(基础资料!$B$4:$B$13)+SUM($J$4:J903)-SUM($K$4:K903),2))</f>
        <v/>
      </c>
      <c r="N903" s="13" t="n"/>
      <c r="O903" s="13" t="n"/>
      <c r="P903" s="17">
        <f>IF($B903="","",IF($F903="※类别不在基础资料里","※费用类别不在基础资料里",IF(AND(N($J903)=0,N($K903)=0),"※这行没填金额",IF(AND(N($J903)&gt;0,N($K903)&gt;0),"※收入和支出不能同一行都填",IF(AND($D903="收入",N($J903)=0),"※收入行要填收入金额",IF(AND($D903="支出",N($K903)=0),"※支出行要填支出金额",IF(AND($C903&lt;&gt;"",ISNA(MATCH($C903,账户表,0))),"※账户不在基础资料里",IF(AND($G903&lt;&gt;"",ISNA(MATCH($G903,项目名表,0))),"※项目不在项目台账里",IF(AND(LEFT($F903,3)="成本-",$G903=""),"※成本类支出没填项目",IF(AND(LEFT($F903,3)="成本-",$H903&lt;&gt;"",N($K903)&gt;0,COUNTIFS(采购单!$B:$B,$B903,采购单!$C:$C,$H903,采购单!$L:$L,$K903)&gt;0),"※这笔可能和采购单重复了",""))))))))))</f>
        <v/>
      </c>
    </row>
    <row r="904">
      <c r="A904" s="17">
        <f>IF($B904="","",ROW()-3)</f>
        <v/>
      </c>
      <c r="B904" s="18" t="n">
        <v>46275</v>
      </c>
      <c r="C904" s="13" t="inlineStr">
        <is>
          <t>微信1</t>
        </is>
      </c>
      <c r="D904" s="13" t="inlineStr">
        <is>
          <t>支出</t>
        </is>
      </c>
      <c r="E904" s="13" t="inlineStr">
        <is>
          <t>广告推广</t>
        </is>
      </c>
      <c r="F904" s="17">
        <f>IF($E904="","",IFERROR(VLOOKUP($E904,类别归属,2,0),"※类别不在基础资料里"))</f>
        <v/>
      </c>
      <c r="G904" s="13" t="n"/>
      <c r="H904" s="13" t="n"/>
      <c r="I904" s="13" t="inlineStr">
        <is>
          <t>发给视频 (Solace)</t>
        </is>
      </c>
      <c r="J904" s="14" t="n"/>
      <c r="K904" s="14" t="n">
        <v>30</v>
      </c>
      <c r="L904" s="19">
        <f>IF($C904="","",ROUND(IFERROR(VLOOKUP($C904,账户期初,2,0),0)+SUMIFS($J$4:J904,$C$4:C904,$C904)-SUMIFS($K$4:K904,$C$4:C904,$C904),2))</f>
        <v/>
      </c>
      <c r="M904" s="19">
        <f>IF($C904="","",ROUND(SUM(基础资料!$B$4:$B$13)+SUM($J$4:J904)-SUM($K$4:K904),2))</f>
        <v/>
      </c>
      <c r="N904" s="13" t="n"/>
      <c r="O904" s="13" t="n"/>
      <c r="P904" s="17">
        <f>IF($B904="","",IF($F904="※类别不在基础资料里","※费用类别不在基础资料里",IF(AND(N($J904)=0,N($K904)=0),"※这行没填金额",IF(AND(N($J904)&gt;0,N($K904)&gt;0),"※收入和支出不能同一行都填",IF(AND($D904="收入",N($J904)=0),"※收入行要填收入金额",IF(AND($D904="支出",N($K904)=0),"※支出行要填支出金额",IF(AND($C904&lt;&gt;"",ISNA(MATCH($C904,账户表,0))),"※账户不在基础资料里",IF(AND($G904&lt;&gt;"",ISNA(MATCH($G904,项目名表,0))),"※项目不在项目台账里",IF(AND(LEFT($F904,3)="成本-",$G904=""),"※成本类支出没填项目",IF(AND(LEFT($F904,3)="成本-",$H904&lt;&gt;"",N($K904)&gt;0,COUNTIFS(采购单!$B:$B,$B904,采购单!$C:$C,$H904,采购单!$L:$L,$K904)&gt;0),"※这笔可能和采购单重复了",""))))))))))</f>
        <v/>
      </c>
    </row>
    <row r="905">
      <c r="A905" s="17">
        <f>IF($B905="","",ROW()-3)</f>
        <v/>
      </c>
      <c r="B905" s="18" t="n">
        <v>46276</v>
      </c>
      <c r="C905" s="13" t="inlineStr">
        <is>
          <t>微信1</t>
        </is>
      </c>
      <c r="D905" s="13" t="inlineStr">
        <is>
          <t>收入</t>
        </is>
      </c>
      <c r="E905" s="13" t="inlineStr">
        <is>
          <t>待分类</t>
        </is>
      </c>
      <c r="F905" s="17">
        <f>IF($E905="","",IFERROR(VLOOKUP($E905,类别归属,2,0),"※类别不在基础资料里"))</f>
        <v/>
      </c>
      <c r="G905" s="13" t="n"/>
      <c r="H905" s="13" t="n"/>
      <c r="I905" s="13" t="inlineStr">
        <is>
          <t>/</t>
        </is>
      </c>
      <c r="J905" s="14" t="n">
        <v>64</v>
      </c>
      <c r="K905" s="14" t="n"/>
      <c r="L905" s="19">
        <f>IF($C905="","",ROUND(IFERROR(VLOOKUP($C905,账户期初,2,0),0)+SUMIFS($J$4:J905,$C$4:C905,$C905)-SUMIFS($K$4:K905,$C$4:C905,$C905),2))</f>
        <v/>
      </c>
      <c r="M905" s="19">
        <f>IF($C905="","",ROUND(SUM(基础资料!$B$4:$B$13)+SUM($J$4:J905)-SUM($K$4:K905),2))</f>
        <v/>
      </c>
      <c r="N905" s="13" t="n"/>
      <c r="O905" s="13" t="n"/>
      <c r="P905" s="17">
        <f>IF($B905="","",IF($F905="※类别不在基础资料里","※费用类别不在基础资料里",IF(AND(N($J905)=0,N($K905)=0),"※这行没填金额",IF(AND(N($J905)&gt;0,N($K905)&gt;0),"※收入和支出不能同一行都填",IF(AND($D905="收入",N($J905)=0),"※收入行要填收入金额",IF(AND($D905="支出",N($K905)=0),"※支出行要填支出金额",IF(AND($C905&lt;&gt;"",ISNA(MATCH($C905,账户表,0))),"※账户不在基础资料里",IF(AND($G905&lt;&gt;"",ISNA(MATCH($G905,项目名表,0))),"※项目不在项目台账里",IF(AND(LEFT($F905,3)="成本-",$G905=""),"※成本类支出没填项目",IF(AND(LEFT($F905,3)="成本-",$H905&lt;&gt;"",N($K905)&gt;0,COUNTIFS(采购单!$B:$B,$B905,采购单!$C:$C,$H905,采购单!$L:$L,$K905)&gt;0),"※这笔可能和采购单重复了",""))))))))))</f>
        <v/>
      </c>
    </row>
    <row r="906">
      <c r="A906" s="17">
        <f>IF($B906="","",ROW()-3)</f>
        <v/>
      </c>
      <c r="B906" s="18" t="n">
        <v>46276</v>
      </c>
      <c r="C906" s="13" t="inlineStr">
        <is>
          <t>微信1</t>
        </is>
      </c>
      <c r="D906" s="13" t="inlineStr">
        <is>
          <t>收入</t>
        </is>
      </c>
      <c r="E906" s="13" t="inlineStr">
        <is>
          <t>广告推广</t>
        </is>
      </c>
      <c r="F906" s="17">
        <f>IF($E906="","",IFERROR(VLOOKUP($E906,类别归属,2,0),"※类别不在基础资料里"))</f>
        <v/>
      </c>
      <c r="G906" s="13" t="n"/>
      <c r="H906" s="13" t="n"/>
      <c r="I906" s="13" t="inlineStr">
        <is>
          <t>巨量本地推</t>
        </is>
      </c>
      <c r="J906" s="14" t="n">
        <v>0.65</v>
      </c>
      <c r="K906" s="14" t="n"/>
      <c r="L906" s="19">
        <f>IF($C906="","",ROUND(IFERROR(VLOOKUP($C906,账户期初,2,0),0)+SUMIFS($J$4:J906,$C$4:C906,$C906)-SUMIFS($K$4:K906,$C$4:C906,$C906),2))</f>
        <v/>
      </c>
      <c r="M906" s="19">
        <f>IF($C906="","",ROUND(SUM(基础资料!$B$4:$B$13)+SUM($J$4:J906)-SUM($K$4:K906),2))</f>
        <v/>
      </c>
      <c r="N906" s="13" t="n"/>
      <c r="O906" s="13" t="n"/>
      <c r="P906" s="17">
        <f>IF($B906="","",IF($F906="※类别不在基础资料里","※费用类别不在基础资料里",IF(AND(N($J906)=0,N($K906)=0),"※这行没填金额",IF(AND(N($J906)&gt;0,N($K906)&gt;0),"※收入和支出不能同一行都填",IF(AND($D906="收入",N($J906)=0),"※收入行要填收入金额",IF(AND($D906="支出",N($K906)=0),"※支出行要填支出金额",IF(AND($C906&lt;&gt;"",ISNA(MATCH($C906,账户表,0))),"※账户不在基础资料里",IF(AND($G906&lt;&gt;"",ISNA(MATCH($G906,项目名表,0))),"※项目不在项目台账里",IF(AND(LEFT($F906,3)="成本-",$G906=""),"※成本类支出没填项目",IF(AND(LEFT($F906,3)="成本-",$H906&lt;&gt;"",N($K906)&gt;0,COUNTIFS(采购单!$B:$B,$B906,采购单!$C:$C,$H906,采购单!$L:$L,$K906)&gt;0),"※这笔可能和采购单重复了",""))))))))))</f>
        <v/>
      </c>
    </row>
    <row r="907">
      <c r="A907" s="17">
        <f>IF($B907="","",ROW()-3)</f>
        <v/>
      </c>
      <c r="B907" s="18" t="n">
        <v>46276</v>
      </c>
      <c r="C907" s="13" t="inlineStr">
        <is>
          <t>微信1</t>
        </is>
      </c>
      <c r="D907" s="13" t="inlineStr">
        <is>
          <t>收入</t>
        </is>
      </c>
      <c r="E907" s="13" t="inlineStr">
        <is>
          <t>待分类</t>
        </is>
      </c>
      <c r="F907" s="17">
        <f>IF($E907="","",IFERROR(VLOOKUP($E907,类别归属,2,0),"※类别不在基础资料里"))</f>
        <v/>
      </c>
      <c r="G907" s="13" t="n"/>
      <c r="H907" s="13" t="n"/>
      <c r="I907" s="13" t="inlineStr">
        <is>
          <t>长稻场</t>
        </is>
      </c>
      <c r="J907" s="14" t="n">
        <v>1300</v>
      </c>
      <c r="K907" s="14" t="n"/>
      <c r="L907" s="19">
        <f>IF($C907="","",ROUND(IFERROR(VLOOKUP($C907,账户期初,2,0),0)+SUMIFS($J$4:J907,$C$4:C907,$C907)-SUMIFS($K$4:K907,$C$4:C907,$C907),2))</f>
        <v/>
      </c>
      <c r="M907" s="19">
        <f>IF($C907="","",ROUND(SUM(基础资料!$B$4:$B$13)+SUM($J$4:J907)-SUM($K$4:K907),2))</f>
        <v/>
      </c>
      <c r="N907" s="13" t="n"/>
      <c r="O907" s="13" t="n"/>
      <c r="P907" s="17">
        <f>IF($B907="","",IF($F907="※类别不在基础资料里","※费用类别不在基础资料里",IF(AND(N($J907)=0,N($K907)=0),"※这行没填金额",IF(AND(N($J907)&gt;0,N($K907)&gt;0),"※收入和支出不能同一行都填",IF(AND($D907="收入",N($J907)=0),"※收入行要填收入金额",IF(AND($D907="支出",N($K907)=0),"※支出行要填支出金额",IF(AND($C907&lt;&gt;"",ISNA(MATCH($C907,账户表,0))),"※账户不在基础资料里",IF(AND($G907&lt;&gt;"",ISNA(MATCH($G907,项目名表,0))),"※项目不在项目台账里",IF(AND(LEFT($F907,3)="成本-",$G907=""),"※成本类支出没填项目",IF(AND(LEFT($F907,3)="成本-",$H907&lt;&gt;"",N($K907)&gt;0,COUNTIFS(采购单!$B:$B,$B907,采购单!$C:$C,$H907,采购单!$L:$L,$K907)&gt;0),"※这笔可能和采购单重复了",""))))))))))</f>
        <v/>
      </c>
    </row>
    <row r="908">
      <c r="A908" s="17">
        <f>IF($B908="","",ROW()-3)</f>
        <v/>
      </c>
      <c r="B908" s="18" t="n">
        <v>46277</v>
      </c>
      <c r="C908" s="13" t="inlineStr">
        <is>
          <t>微信1</t>
        </is>
      </c>
      <c r="D908" s="13" t="inlineStr">
        <is>
          <t>支出</t>
        </is>
      </c>
      <c r="E908" s="13" t="inlineStr">
        <is>
          <t>业务招待/餐费</t>
        </is>
      </c>
      <c r="F908" s="17">
        <f>IF($E908="","",IFERROR(VLOOKUP($E908,类别归属,2,0),"※类别不在基础资料里"))</f>
        <v/>
      </c>
      <c r="G908" s="13" t="n"/>
      <c r="H908" s="13" t="n"/>
      <c r="I908" s="13" t="inlineStr">
        <is>
          <t>美团</t>
        </is>
      </c>
      <c r="J908" s="14" t="n"/>
      <c r="K908" s="14" t="n">
        <v>13</v>
      </c>
      <c r="L908" s="19">
        <f>IF($C908="","",ROUND(IFERROR(VLOOKUP($C908,账户期初,2,0),0)+SUMIFS($J$4:J908,$C$4:C908,$C908)-SUMIFS($K$4:K908,$C$4:C908,$C908),2))</f>
        <v/>
      </c>
      <c r="M908" s="19">
        <f>IF($C908="","",ROUND(SUM(基础资料!$B$4:$B$13)+SUM($J$4:J908)-SUM($K$4:K908),2))</f>
        <v/>
      </c>
      <c r="N908" s="13" t="n"/>
      <c r="O908" s="13" t="n"/>
      <c r="P908" s="17">
        <f>IF($B908="","",IF($F908="※类别不在基础资料里","※费用类别不在基础资料里",IF(AND(N($J908)=0,N($K908)=0),"※这行没填金额",IF(AND(N($J908)&gt;0,N($K908)&gt;0),"※收入和支出不能同一行都填",IF(AND($D908="收入",N($J908)=0),"※收入行要填收入金额",IF(AND($D908="支出",N($K908)=0),"※支出行要填支出金额",IF(AND($C908&lt;&gt;"",ISNA(MATCH($C908,账户表,0))),"※账户不在基础资料里",IF(AND($G908&lt;&gt;"",ISNA(MATCH($G908,项目名表,0))),"※项目不在项目台账里",IF(AND(LEFT($F908,3)="成本-",$G908=""),"※成本类支出没填项目",IF(AND(LEFT($F908,3)="成本-",$H908&lt;&gt;"",N($K908)&gt;0,COUNTIFS(采购单!$B:$B,$B908,采购单!$C:$C,$H908,采购单!$L:$L,$K908)&gt;0),"※这笔可能和采购单重复了",""))))))))))</f>
        <v/>
      </c>
    </row>
    <row r="909">
      <c r="A909" s="17">
        <f>IF($B909="","",ROW()-3)</f>
        <v/>
      </c>
      <c r="B909" s="18" t="n">
        <v>46277</v>
      </c>
      <c r="C909" s="13" t="inlineStr">
        <is>
          <t>微信1</t>
        </is>
      </c>
      <c r="D909" s="13" t="inlineStr">
        <is>
          <t>支出</t>
        </is>
      </c>
      <c r="E909" s="13" t="inlineStr">
        <is>
          <t>运费/快递费</t>
        </is>
      </c>
      <c r="F909" s="17">
        <f>IF($E909="","",IFERROR(VLOOKUP($E909,类别归属,2,0),"※类别不在基础资料里"))</f>
        <v/>
      </c>
      <c r="G909" s="13" t="n"/>
      <c r="H909" s="13" t="n"/>
      <c r="I909" s="13" t="inlineStr">
        <is>
          <t>杭州炳秀湖州26-28线路</t>
        </is>
      </c>
      <c r="J909" s="14" t="n"/>
      <c r="K909" s="14" t="n">
        <v>34</v>
      </c>
      <c r="L909" s="19">
        <f>IF($C909="","",ROUND(IFERROR(VLOOKUP($C909,账户期初,2,0),0)+SUMIFS($J$4:J909,$C$4:C909,$C909)-SUMIFS($K$4:K909,$C$4:C909,$C909),2))</f>
        <v/>
      </c>
      <c r="M909" s="19">
        <f>IF($C909="","",ROUND(SUM(基础资料!$B$4:$B$13)+SUM($J$4:J909)-SUM($K$4:K909),2))</f>
        <v/>
      </c>
      <c r="N909" s="13" t="n"/>
      <c r="O909" s="13" t="n"/>
      <c r="P909" s="17">
        <f>IF($B909="","",IF($F909="※类别不在基础资料里","※费用类别不在基础资料里",IF(AND(N($J909)=0,N($K909)=0),"※这行没填金额",IF(AND(N($J909)&gt;0,N($K909)&gt;0),"※收入和支出不能同一行都填",IF(AND($D909="收入",N($J909)=0),"※收入行要填收入金额",IF(AND($D909="支出",N($K909)=0),"※支出行要填支出金额",IF(AND($C909&lt;&gt;"",ISNA(MATCH($C909,账户表,0))),"※账户不在基础资料里",IF(AND($G909&lt;&gt;"",ISNA(MATCH($G909,项目名表,0))),"※项目不在项目台账里",IF(AND(LEFT($F909,3)="成本-",$G909=""),"※成本类支出没填项目",IF(AND(LEFT($F909,3)="成本-",$H909&lt;&gt;"",N($K909)&gt;0,COUNTIFS(采购单!$B:$B,$B909,采购单!$C:$C,$H909,采购单!$L:$L,$K909)&gt;0),"※这笔可能和采购单重复了",""))))))))))</f>
        <v/>
      </c>
    </row>
    <row r="910">
      <c r="A910" s="17">
        <f>IF($B910="","",ROW()-3)</f>
        <v/>
      </c>
      <c r="B910" s="18" t="n">
        <v>46277</v>
      </c>
      <c r="C910" s="13" t="inlineStr">
        <is>
          <t>微信1</t>
        </is>
      </c>
      <c r="D910" s="13" t="inlineStr">
        <is>
          <t>收入</t>
        </is>
      </c>
      <c r="E910" s="13" t="inlineStr">
        <is>
          <t>待分类</t>
        </is>
      </c>
      <c r="F910" s="17">
        <f>IF($E910="","",IFERROR(VLOOKUP($E910,类别归属,2,0),"※类别不在基础资料里"))</f>
        <v/>
      </c>
      <c r="G910" s="13" t="n"/>
      <c r="H910" s="13" t="n"/>
      <c r="I910" s="13" t="inlineStr">
        <is>
          <t>万达-kvv乔金鑫 (乔金鑫)</t>
        </is>
      </c>
      <c r="J910" s="14" t="n">
        <v>83</v>
      </c>
      <c r="K910" s="14" t="n"/>
      <c r="L910" s="19">
        <f>IF($C910="","",ROUND(IFERROR(VLOOKUP($C910,账户期初,2,0),0)+SUMIFS($J$4:J910,$C$4:C910,$C910)-SUMIFS($K$4:K910,$C$4:C910,$C910),2))</f>
        <v/>
      </c>
      <c r="M910" s="19">
        <f>IF($C910="","",ROUND(SUM(基础资料!$B$4:$B$13)+SUM($J$4:J910)-SUM($K$4:K910),2))</f>
        <v/>
      </c>
      <c r="N910" s="13" t="n"/>
      <c r="O910" s="13" t="n"/>
      <c r="P910" s="17">
        <f>IF($B910="","",IF($F910="※类别不在基础资料里","※费用类别不在基础资料里",IF(AND(N($J910)=0,N($K910)=0),"※这行没填金额",IF(AND(N($J910)&gt;0,N($K910)&gt;0),"※收入和支出不能同一行都填",IF(AND($D910="收入",N($J910)=0),"※收入行要填收入金额",IF(AND($D910="支出",N($K910)=0),"※支出行要填支出金额",IF(AND($C910&lt;&gt;"",ISNA(MATCH($C910,账户表,0))),"※账户不在基础资料里",IF(AND($G910&lt;&gt;"",ISNA(MATCH($G910,项目名表,0))),"※项目不在项目台账里",IF(AND(LEFT($F910,3)="成本-",$G910=""),"※成本类支出没填项目",IF(AND(LEFT($F910,3)="成本-",$H910&lt;&gt;"",N($K910)&gt;0,COUNTIFS(采购单!$B:$B,$B910,采购单!$C:$C,$H910,采购单!$L:$L,$K910)&gt;0),"※这笔可能和采购单重复了",""))))))))))</f>
        <v/>
      </c>
    </row>
    <row r="911">
      <c r="A911" s="17">
        <f>IF($B911="","",ROW()-3)</f>
        <v/>
      </c>
      <c r="B911" s="18" t="n">
        <v>46277</v>
      </c>
      <c r="C911" s="13" t="inlineStr">
        <is>
          <t>微信1</t>
        </is>
      </c>
      <c r="D911" s="13" t="inlineStr">
        <is>
          <t>收入</t>
        </is>
      </c>
      <c r="E911" s="13" t="inlineStr">
        <is>
          <t>待分类</t>
        </is>
      </c>
      <c r="F911" s="17">
        <f>IF($E911="","",IFERROR(VLOOKUP($E911,类别归属,2,0),"※类别不在基础资料里"))</f>
        <v/>
      </c>
      <c r="G911" s="13" t="n"/>
      <c r="H911" s="13" t="n"/>
      <c r="I911" s="13" t="inlineStr">
        <is>
          <t>升山太阳宝</t>
        </is>
      </c>
      <c r="J911" s="14" t="n">
        <v>1900</v>
      </c>
      <c r="K911" s="14" t="n"/>
      <c r="L911" s="19">
        <f>IF($C911="","",ROUND(IFERROR(VLOOKUP($C911,账户期初,2,0),0)+SUMIFS($J$4:J911,$C$4:C911,$C911)-SUMIFS($K$4:K911,$C$4:C911,$C911),2))</f>
        <v/>
      </c>
      <c r="M911" s="19">
        <f>IF($C911="","",ROUND(SUM(基础资料!$B$4:$B$13)+SUM($J$4:J911)-SUM($K$4:K911),2))</f>
        <v/>
      </c>
      <c r="N911" s="13" t="n"/>
      <c r="O911" s="13" t="n"/>
      <c r="P911" s="17">
        <f>IF($B911="","",IF($F911="※类别不在基础资料里","※费用类别不在基础资料里",IF(AND(N($J911)=0,N($K911)=0),"※这行没填金额",IF(AND(N($J911)&gt;0,N($K911)&gt;0),"※收入和支出不能同一行都填",IF(AND($D911="收入",N($J911)=0),"※收入行要填收入金额",IF(AND($D911="支出",N($K911)=0),"※支出行要填支出金额",IF(AND($C911&lt;&gt;"",ISNA(MATCH($C911,账户表,0))),"※账户不在基础资料里",IF(AND($G911&lt;&gt;"",ISNA(MATCH($G911,项目名表,0))),"※项目不在项目台账里",IF(AND(LEFT($F911,3)="成本-",$G911=""),"※成本类支出没填项目",IF(AND(LEFT($F911,3)="成本-",$H911&lt;&gt;"",N($K911)&gt;0,COUNTIFS(采购单!$B:$B,$B911,采购单!$C:$C,$H911,采购单!$L:$L,$K911)&gt;0),"※这笔可能和采购单重复了",""))))))))))</f>
        <v/>
      </c>
    </row>
    <row r="912">
      <c r="A912" s="17">
        <f>IF($B912="","",ROW()-3)</f>
        <v/>
      </c>
      <c r="B912" s="18" t="n">
        <v>46277</v>
      </c>
      <c r="C912" s="13" t="inlineStr">
        <is>
          <t>微信1</t>
        </is>
      </c>
      <c r="D912" s="13" t="inlineStr">
        <is>
          <t>支出</t>
        </is>
      </c>
      <c r="E912" s="13" t="inlineStr">
        <is>
          <t>待分类</t>
        </is>
      </c>
      <c r="F912" s="17">
        <f>IF($E912="","",IFERROR(VLOOKUP($E912,类别归属,2,0),"※类别不在基础资料里"))</f>
        <v/>
      </c>
      <c r="G912" s="13" t="n"/>
      <c r="H912" s="13" t="n"/>
      <c r="I912" s="13" t="inlineStr">
        <is>
          <t>杨德 (往后余生)</t>
        </is>
      </c>
      <c r="J912" s="14" t="n"/>
      <c r="K912" s="14" t="n">
        <v>1280</v>
      </c>
      <c r="L912" s="19">
        <f>IF($C912="","",ROUND(IFERROR(VLOOKUP($C912,账户期初,2,0),0)+SUMIFS($J$4:J912,$C$4:C912,$C912)-SUMIFS($K$4:K912,$C$4:C912,$C912),2))</f>
        <v/>
      </c>
      <c r="M912" s="19">
        <f>IF($C912="","",ROUND(SUM(基础资料!$B$4:$B$13)+SUM($J$4:J912)-SUM($K$4:K912),2))</f>
        <v/>
      </c>
      <c r="N912" s="13" t="n"/>
      <c r="O912" s="13" t="n"/>
      <c r="P912" s="17">
        <f>IF($B912="","",IF($F912="※类别不在基础资料里","※费用类别不在基础资料里",IF(AND(N($J912)=0,N($K912)=0),"※这行没填金额",IF(AND(N($J912)&gt;0,N($K912)&gt;0),"※收入和支出不能同一行都填",IF(AND($D912="收入",N($J912)=0),"※收入行要填收入金额",IF(AND($D912="支出",N($K912)=0),"※支出行要填支出金额",IF(AND($C912&lt;&gt;"",ISNA(MATCH($C912,账户表,0))),"※账户不在基础资料里",IF(AND($G912&lt;&gt;"",ISNA(MATCH($G912,项目名表,0))),"※项目不在项目台账里",IF(AND(LEFT($F912,3)="成本-",$G912=""),"※成本类支出没填项目",IF(AND(LEFT($F912,3)="成本-",$H912&lt;&gt;"",N($K912)&gt;0,COUNTIFS(采购单!$B:$B,$B912,采购单!$C:$C,$H912,采购单!$L:$L,$K912)&gt;0),"※这笔可能和采购单重复了",""))))))))))</f>
        <v/>
      </c>
    </row>
    <row r="913">
      <c r="A913" s="17">
        <f>IF($B913="","",ROW()-3)</f>
        <v/>
      </c>
      <c r="B913" s="18" t="n">
        <v>46278</v>
      </c>
      <c r="C913" s="13" t="inlineStr">
        <is>
          <t>微信1</t>
        </is>
      </c>
      <c r="D913" s="13" t="inlineStr">
        <is>
          <t>收入</t>
        </is>
      </c>
      <c r="E913" s="13" t="inlineStr">
        <is>
          <t>待分类</t>
        </is>
      </c>
      <c r="F913" s="17">
        <f>IF($E913="","",IFERROR(VLOOKUP($E913,类别归属,2,0),"※类别不在基础资料里"))</f>
        <v/>
      </c>
      <c r="G913" s="13" t="n"/>
      <c r="H913" s="13" t="n"/>
      <c r="I913" s="13" t="inlineStr">
        <is>
          <t>叶（夜）不归宿13345741833</t>
        </is>
      </c>
      <c r="J913" s="14" t="n">
        <v>150</v>
      </c>
      <c r="K913" s="14" t="n"/>
      <c r="L913" s="19">
        <f>IF($C913="","",ROUND(IFERROR(VLOOKUP($C913,账户期初,2,0),0)+SUMIFS($J$4:J913,$C$4:C913,$C913)-SUMIFS($K$4:K913,$C$4:C913,$C913),2))</f>
        <v/>
      </c>
      <c r="M913" s="19">
        <f>IF($C913="","",ROUND(SUM(基础资料!$B$4:$B$13)+SUM($J$4:J913)-SUM($K$4:K913),2))</f>
        <v/>
      </c>
      <c r="N913" s="13" t="n"/>
      <c r="O913" s="13" t="n"/>
      <c r="P913" s="17">
        <f>IF($B913="","",IF($F913="※类别不在基础资料里","※费用类别不在基础资料里",IF(AND(N($J913)=0,N($K913)=0),"※这行没填金额",IF(AND(N($J913)&gt;0,N($K913)&gt;0),"※收入和支出不能同一行都填",IF(AND($D913="收入",N($J913)=0),"※收入行要填收入金额",IF(AND($D913="支出",N($K913)=0),"※支出行要填支出金额",IF(AND($C913&lt;&gt;"",ISNA(MATCH($C913,账户表,0))),"※账户不在基础资料里",IF(AND($G913&lt;&gt;"",ISNA(MATCH($G913,项目名表,0))),"※项目不在项目台账里",IF(AND(LEFT($F913,3)="成本-",$G913=""),"※成本类支出没填项目",IF(AND(LEFT($F913,3)="成本-",$H913&lt;&gt;"",N($K913)&gt;0,COUNTIFS(采购单!$B:$B,$B913,采购单!$C:$C,$H913,采购单!$L:$L,$K913)&gt;0),"※这笔可能和采购单重复了",""))))))))))</f>
        <v/>
      </c>
    </row>
    <row r="914">
      <c r="A914" s="17">
        <f>IF($B914="","",ROW()-3)</f>
        <v/>
      </c>
      <c r="B914" s="18" t="n">
        <v>46278</v>
      </c>
      <c r="C914" s="13" t="inlineStr">
        <is>
          <t>微信1</t>
        </is>
      </c>
      <c r="D914" s="13" t="inlineStr">
        <is>
          <t>支出</t>
        </is>
      </c>
      <c r="E914" s="13" t="inlineStr">
        <is>
          <t>待分类</t>
        </is>
      </c>
      <c r="F914" s="17">
        <f>IF($E914="","",IFERROR(VLOOKUP($E914,类别归属,2,0),"※类别不在基础资料里"))</f>
        <v/>
      </c>
      <c r="G914" s="13" t="n"/>
      <c r="H914" s="13" t="n"/>
      <c r="I914" s="13" t="inlineStr">
        <is>
          <t>叶（夜）不归宿13345741833</t>
        </is>
      </c>
      <c r="J914" s="14" t="n"/>
      <c r="K914" s="14" t="n">
        <v>150</v>
      </c>
      <c r="L914" s="19">
        <f>IF($C914="","",ROUND(IFERROR(VLOOKUP($C914,账户期初,2,0),0)+SUMIFS($J$4:J914,$C$4:C914,$C914)-SUMIFS($K$4:K914,$C$4:C914,$C914),2))</f>
        <v/>
      </c>
      <c r="M914" s="19">
        <f>IF($C914="","",ROUND(SUM(基础资料!$B$4:$B$13)+SUM($J$4:J914)-SUM($K$4:K914),2))</f>
        <v/>
      </c>
      <c r="N914" s="13" t="n"/>
      <c r="O914" s="13" t="n"/>
      <c r="P914" s="17">
        <f>IF($B914="","",IF($F914="※类别不在基础资料里","※费用类别不在基础资料里",IF(AND(N($J914)=0,N($K914)=0),"※这行没填金额",IF(AND(N($J914)&gt;0,N($K914)&gt;0),"※收入和支出不能同一行都填",IF(AND($D914="收入",N($J914)=0),"※收入行要填收入金额",IF(AND($D914="支出",N($K914)=0),"※支出行要填支出金额",IF(AND($C914&lt;&gt;"",ISNA(MATCH($C914,账户表,0))),"※账户不在基础资料里",IF(AND($G914&lt;&gt;"",ISNA(MATCH($G914,项目名表,0))),"※项目不在项目台账里",IF(AND(LEFT($F914,3)="成本-",$G914=""),"※成本类支出没填项目",IF(AND(LEFT($F914,3)="成本-",$H914&lt;&gt;"",N($K914)&gt;0,COUNTIFS(采购单!$B:$B,$B914,采购单!$C:$C,$H914,采购单!$L:$L,$K914)&gt;0),"※这笔可能和采购单重复了",""))))))))))</f>
        <v/>
      </c>
    </row>
    <row r="915">
      <c r="A915" s="17">
        <f>IF($B915="","",ROW()-3)</f>
        <v/>
      </c>
      <c r="B915" s="18" t="n">
        <v>46278</v>
      </c>
      <c r="C915" s="13" t="inlineStr">
        <is>
          <t>微信1</t>
        </is>
      </c>
      <c r="D915" s="13" t="inlineStr">
        <is>
          <t>支出</t>
        </is>
      </c>
      <c r="E915" s="13" t="inlineStr">
        <is>
          <t>运费/快递费</t>
        </is>
      </c>
      <c r="F915" s="17">
        <f>IF($E915="","",IFERROR(VLOOKUP($E915,类别归属,2,0),"※类别不在基础资料里"))</f>
        <v/>
      </c>
      <c r="G915" s="13" t="n"/>
      <c r="H915" s="13" t="n"/>
      <c r="I915" s="13" t="inlineStr">
        <is>
          <t>杭州炳秀湖州26-28线路</t>
        </is>
      </c>
      <c r="J915" s="14" t="n"/>
      <c r="K915" s="14" t="n">
        <v>111</v>
      </c>
      <c r="L915" s="19">
        <f>IF($C915="","",ROUND(IFERROR(VLOOKUP($C915,账户期初,2,0),0)+SUMIFS($J$4:J915,$C$4:C915,$C915)-SUMIFS($K$4:K915,$C$4:C915,$C915),2))</f>
        <v/>
      </c>
      <c r="M915" s="19">
        <f>IF($C915="","",ROUND(SUM(基础资料!$B$4:$B$13)+SUM($J$4:J915)-SUM($K$4:K915),2))</f>
        <v/>
      </c>
      <c r="N915" s="13" t="n"/>
      <c r="O915" s="13" t="n"/>
      <c r="P915" s="17">
        <f>IF($B915="","",IF($F915="※类别不在基础资料里","※费用类别不在基础资料里",IF(AND(N($J915)=0,N($K915)=0),"※这行没填金额",IF(AND(N($J915)&gt;0,N($K915)&gt;0),"※收入和支出不能同一行都填",IF(AND($D915="收入",N($J915)=0),"※收入行要填收入金额",IF(AND($D915="支出",N($K915)=0),"※支出行要填支出金额",IF(AND($C915&lt;&gt;"",ISNA(MATCH($C915,账户表,0))),"※账户不在基础资料里",IF(AND($G915&lt;&gt;"",ISNA(MATCH($G915,项目名表,0))),"※项目不在项目台账里",IF(AND(LEFT($F915,3)="成本-",$G915=""),"※成本类支出没填项目",IF(AND(LEFT($F915,3)="成本-",$H915&lt;&gt;"",N($K915)&gt;0,COUNTIFS(采购单!$B:$B,$B915,采购单!$C:$C,$H915,采购单!$L:$L,$K915)&gt;0),"※这笔可能和采购单重复了",""))))))))))</f>
        <v/>
      </c>
    </row>
    <row r="916">
      <c r="A916" s="17">
        <f>IF($B916="","",ROW()-3)</f>
        <v/>
      </c>
      <c r="B916" s="18" t="n">
        <v>46279</v>
      </c>
      <c r="C916" s="13" t="inlineStr">
        <is>
          <t>微信1</t>
        </is>
      </c>
      <c r="D916" s="13" t="inlineStr">
        <is>
          <t>支出</t>
        </is>
      </c>
      <c r="E916" s="13" t="inlineStr">
        <is>
          <t>待分类</t>
        </is>
      </c>
      <c r="F916" s="17">
        <f>IF($E916="","",IFERROR(VLOOKUP($E916,类别归属,2,0),"※类别不在基础资料里"))</f>
        <v/>
      </c>
      <c r="G916" s="13" t="n"/>
      <c r="H916" s="13" t="n"/>
      <c r="I916" s="13" t="inlineStr">
        <is>
          <t>学接小吃店</t>
        </is>
      </c>
      <c r="J916" s="14" t="n"/>
      <c r="K916" s="14" t="n">
        <v>48</v>
      </c>
      <c r="L916" s="19">
        <f>IF($C916="","",ROUND(IFERROR(VLOOKUP($C916,账户期初,2,0),0)+SUMIFS($J$4:J916,$C$4:C916,$C916)-SUMIFS($K$4:K916,$C$4:C916,$C916),2))</f>
        <v/>
      </c>
      <c r="M916" s="19">
        <f>IF($C916="","",ROUND(SUM(基础资料!$B$4:$B$13)+SUM($J$4:J916)-SUM($K$4:K916),2))</f>
        <v/>
      </c>
      <c r="N916" s="13" t="n"/>
      <c r="O916" s="13" t="n"/>
      <c r="P916" s="17">
        <f>IF($B916="","",IF($F916="※类别不在基础资料里","※费用类别不在基础资料里",IF(AND(N($J916)=0,N($K916)=0),"※这行没填金额",IF(AND(N($J916)&gt;0,N($K916)&gt;0),"※收入和支出不能同一行都填",IF(AND($D916="收入",N($J916)=0),"※收入行要填收入金额",IF(AND($D916="支出",N($K916)=0),"※支出行要填支出金额",IF(AND($C916&lt;&gt;"",ISNA(MATCH($C916,账户表,0))),"※账户不在基础资料里",IF(AND($G916&lt;&gt;"",ISNA(MATCH($G916,项目名表,0))),"※项目不在项目台账里",IF(AND(LEFT($F916,3)="成本-",$G916=""),"※成本类支出没填项目",IF(AND(LEFT($F916,3)="成本-",$H916&lt;&gt;"",N($K916)&gt;0,COUNTIFS(采购单!$B:$B,$B916,采购单!$C:$C,$H916,采购单!$L:$L,$K916)&gt;0),"※这笔可能和采购单重复了",""))))))))))</f>
        <v/>
      </c>
    </row>
    <row r="917">
      <c r="A917" s="17">
        <f>IF($B917="","",ROW()-3)</f>
        <v/>
      </c>
      <c r="B917" s="18" t="n">
        <v>46279</v>
      </c>
      <c r="C917" s="13" t="inlineStr">
        <is>
          <t>微信1</t>
        </is>
      </c>
      <c r="D917" s="13" t="inlineStr">
        <is>
          <t>收入</t>
        </is>
      </c>
      <c r="E917" s="13" t="inlineStr">
        <is>
          <t>待分类</t>
        </is>
      </c>
      <c r="F917" s="17">
        <f>IF($E917="","",IFERROR(VLOOKUP($E917,类别归属,2,0),"※类别不在基础资料里"))</f>
        <v/>
      </c>
      <c r="G917" s="13" t="n"/>
      <c r="H917" s="13" t="n"/>
      <c r="I917" s="13" t="inlineStr">
        <is>
          <t>廖传仙-优嘿嘿健康顾问</t>
        </is>
      </c>
      <c r="J917" s="14" t="n">
        <v>2000</v>
      </c>
      <c r="K917" s="14" t="n"/>
      <c r="L917" s="19">
        <f>IF($C917="","",ROUND(IFERROR(VLOOKUP($C917,账户期初,2,0),0)+SUMIFS($J$4:J917,$C$4:C917,$C917)-SUMIFS($K$4:K917,$C$4:C917,$C917),2))</f>
        <v/>
      </c>
      <c r="M917" s="19">
        <f>IF($C917="","",ROUND(SUM(基础资料!$B$4:$B$13)+SUM($J$4:J917)-SUM($K$4:K917),2))</f>
        <v/>
      </c>
      <c r="N917" s="13" t="n"/>
      <c r="O917" s="13" t="n"/>
      <c r="P917" s="17">
        <f>IF($B917="","",IF($F917="※类别不在基础资料里","※费用类别不在基础资料里",IF(AND(N($J917)=0,N($K917)=0),"※这行没填金额",IF(AND(N($J917)&gt;0,N($K917)&gt;0),"※收入和支出不能同一行都填",IF(AND($D917="收入",N($J917)=0),"※收入行要填收入金额",IF(AND($D917="支出",N($K917)=0),"※支出行要填支出金额",IF(AND($C917&lt;&gt;"",ISNA(MATCH($C917,账户表,0))),"※账户不在基础资料里",IF(AND($G917&lt;&gt;"",ISNA(MATCH($G917,项目名表,0))),"※项目不在项目台账里",IF(AND(LEFT($F917,3)="成本-",$G917=""),"※成本类支出没填项目",IF(AND(LEFT($F917,3)="成本-",$H917&lt;&gt;"",N($K917)&gt;0,COUNTIFS(采购单!$B:$B,$B917,采购单!$C:$C,$H917,采购单!$L:$L,$K917)&gt;0),"※这笔可能和采购单重复了",""))))))))))</f>
        <v/>
      </c>
    </row>
    <row r="918">
      <c r="A918" s="17">
        <f>IF($B918="","",ROW()-3)</f>
        <v/>
      </c>
      <c r="B918" s="18" t="n"/>
      <c r="C918" s="13" t="n"/>
      <c r="D918" s="13" t="n"/>
      <c r="E918" s="13" t="n"/>
      <c r="F918" s="17">
        <f>IF($E918="","",IFERROR(VLOOKUP($E918,类别归属,2,0),"※类别不在基础资料里"))</f>
        <v/>
      </c>
      <c r="G918" s="13" t="n"/>
      <c r="H918" s="13" t="n"/>
      <c r="I918" s="13" t="n"/>
      <c r="J918" s="14" t="n"/>
      <c r="K918" s="14" t="n"/>
      <c r="L918" s="19">
        <f>IF($C918="","",ROUND(IFERROR(VLOOKUP($C918,账户期初,2,0),0)+SUMIFS($J$4:J918,$C$4:C918,$C918)-SUMIFS($K$4:K918,$C$4:C918,$C918),2))</f>
        <v/>
      </c>
      <c r="M918" s="19">
        <f>IF($C918="","",ROUND(SUM(基础资料!$B$4:$B$13)+SUM($J$4:J918)-SUM($K$4:K918),2))</f>
        <v/>
      </c>
      <c r="N918" s="13" t="n"/>
      <c r="O918" s="13" t="n"/>
      <c r="P918" s="17">
        <f>IF($B918="","",IF($F918="※类别不在基础资料里","※费用类别不在基础资料里",IF(AND(N($J918)=0,N($K918)=0),"※这行没填金额",IF(AND(N($J918)&gt;0,N($K918)&gt;0),"※收入和支出不能同一行都填",IF(AND($D918="收入",N($J918)=0),"※收入行要填收入金额",IF(AND($D918="支出",N($K918)=0),"※支出行要填支出金额",IF(AND($C918&lt;&gt;"",ISNA(MATCH($C918,账户表,0))),"※账户不在基础资料里",IF(AND($G918&lt;&gt;"",ISNA(MATCH($G918,项目名表,0))),"※项目不在项目台账里",IF(AND(LEFT($F918,3)="成本-",$G918=""),"※成本类支出没填项目",IF(AND(LEFT($F918,3)="成本-",$H918&lt;&gt;"",N($K918)&gt;0,COUNTIFS(采购单!$B:$B,$B918,采购单!$C:$C,$H918,采购单!$L:$L,$K918)&gt;0),"※这笔可能和采购单重复了",""))))))))))</f>
        <v/>
      </c>
    </row>
    <row r="919">
      <c r="A919" s="17">
        <f>IF($B919="","",ROW()-3)</f>
        <v/>
      </c>
      <c r="B919" s="18" t="n"/>
      <c r="C919" s="13" t="n"/>
      <c r="D919" s="13" t="n"/>
      <c r="E919" s="13" t="n"/>
      <c r="F919" s="17">
        <f>IF($E919="","",IFERROR(VLOOKUP($E919,类别归属,2,0),"※类别不在基础资料里"))</f>
        <v/>
      </c>
      <c r="G919" s="13" t="n"/>
      <c r="H919" s="13" t="n"/>
      <c r="I919" s="13" t="n"/>
      <c r="J919" s="14" t="n"/>
      <c r="K919" s="14" t="n"/>
      <c r="L919" s="19">
        <f>IF($C919="","",ROUND(IFERROR(VLOOKUP($C919,账户期初,2,0),0)+SUMIFS($J$4:J919,$C$4:C919,$C919)-SUMIFS($K$4:K919,$C$4:C919,$C919),2))</f>
        <v/>
      </c>
      <c r="M919" s="19">
        <f>IF($C919="","",ROUND(SUM(基础资料!$B$4:$B$13)+SUM($J$4:J919)-SUM($K$4:K919),2))</f>
        <v/>
      </c>
      <c r="N919" s="13" t="n"/>
      <c r="O919" s="13" t="n"/>
      <c r="P919" s="17">
        <f>IF($B919="","",IF($F919="※类别不在基础资料里","※费用类别不在基础资料里",IF(AND(N($J919)=0,N($K919)=0),"※这行没填金额",IF(AND(N($J919)&gt;0,N($K919)&gt;0),"※收入和支出不能同一行都填",IF(AND($D919="收入",N($J919)=0),"※收入行要填收入金额",IF(AND($D919="支出",N($K919)=0),"※支出行要填支出金额",IF(AND($C919&lt;&gt;"",ISNA(MATCH($C919,账户表,0))),"※账户不在基础资料里",IF(AND($G919&lt;&gt;"",ISNA(MATCH($G919,项目名表,0))),"※项目不在项目台账里",IF(AND(LEFT($F919,3)="成本-",$G919=""),"※成本类支出没填项目",IF(AND(LEFT($F919,3)="成本-",$H919&lt;&gt;"",N($K919)&gt;0,COUNTIFS(采购单!$B:$B,$B919,采购单!$C:$C,$H919,采购单!$L:$L,$K919)&gt;0),"※这笔可能和采购单重复了",""))))))))))</f>
        <v/>
      </c>
    </row>
    <row r="920">
      <c r="A920" s="17">
        <f>IF($B920="","",ROW()-3)</f>
        <v/>
      </c>
      <c r="B920" s="18" t="n"/>
      <c r="C920" s="13" t="n"/>
      <c r="D920" s="13" t="n"/>
      <c r="E920" s="13" t="n"/>
      <c r="F920" s="17">
        <f>IF($E920="","",IFERROR(VLOOKUP($E920,类别归属,2,0),"※类别不在基础资料里"))</f>
        <v/>
      </c>
      <c r="G920" s="13" t="n"/>
      <c r="H920" s="13" t="n"/>
      <c r="I920" s="13" t="n"/>
      <c r="J920" s="14" t="n"/>
      <c r="K920" s="14" t="n"/>
      <c r="L920" s="19">
        <f>IF($C920="","",ROUND(IFERROR(VLOOKUP($C920,账户期初,2,0),0)+SUMIFS($J$4:J920,$C$4:C920,$C920)-SUMIFS($K$4:K920,$C$4:C920,$C920),2))</f>
        <v/>
      </c>
      <c r="M920" s="19">
        <f>IF($C920="","",ROUND(SUM(基础资料!$B$4:$B$13)+SUM($J$4:J920)-SUM($K$4:K920),2))</f>
        <v/>
      </c>
      <c r="N920" s="13" t="n"/>
      <c r="O920" s="13" t="n"/>
      <c r="P920" s="17">
        <f>IF($B920="","",IF($F920="※类别不在基础资料里","※费用类别不在基础资料里",IF(AND(N($J920)=0,N($K920)=0),"※这行没填金额",IF(AND(N($J920)&gt;0,N($K920)&gt;0),"※收入和支出不能同一行都填",IF(AND($D920="收入",N($J920)=0),"※收入行要填收入金额",IF(AND($D920="支出",N($K920)=0),"※支出行要填支出金额",IF(AND($C920&lt;&gt;"",ISNA(MATCH($C920,账户表,0))),"※账户不在基础资料里",IF(AND($G920&lt;&gt;"",ISNA(MATCH($G920,项目名表,0))),"※项目不在项目台账里",IF(AND(LEFT($F920,3)="成本-",$G920=""),"※成本类支出没填项目",IF(AND(LEFT($F920,3)="成本-",$H920&lt;&gt;"",N($K920)&gt;0,COUNTIFS(采购单!$B:$B,$B920,采购单!$C:$C,$H920,采购单!$L:$L,$K920)&gt;0),"※这笔可能和采购单重复了",""))))))))))</f>
        <v/>
      </c>
    </row>
    <row r="921">
      <c r="A921" s="17">
        <f>IF($B921="","",ROW()-3)</f>
        <v/>
      </c>
      <c r="B921" s="18" t="n"/>
      <c r="C921" s="13" t="n"/>
      <c r="D921" s="13" t="n"/>
      <c r="E921" s="13" t="n"/>
      <c r="F921" s="17">
        <f>IF($E921="","",IFERROR(VLOOKUP($E921,类别归属,2,0),"※类别不在基础资料里"))</f>
        <v/>
      </c>
      <c r="G921" s="13" t="n"/>
      <c r="H921" s="13" t="n"/>
      <c r="I921" s="13" t="n"/>
      <c r="J921" s="14" t="n"/>
      <c r="K921" s="14" t="n"/>
      <c r="L921" s="19">
        <f>IF($C921="","",ROUND(IFERROR(VLOOKUP($C921,账户期初,2,0),0)+SUMIFS($J$4:J921,$C$4:C921,$C921)-SUMIFS($K$4:K921,$C$4:C921,$C921),2))</f>
        <v/>
      </c>
      <c r="M921" s="19">
        <f>IF($C921="","",ROUND(SUM(基础资料!$B$4:$B$13)+SUM($J$4:J921)-SUM($K$4:K921),2))</f>
        <v/>
      </c>
      <c r="N921" s="13" t="n"/>
      <c r="O921" s="13" t="n"/>
      <c r="P921" s="17">
        <f>IF($B921="","",IF($F921="※类别不在基础资料里","※费用类别不在基础资料里",IF(AND(N($J921)=0,N($K921)=0),"※这行没填金额",IF(AND(N($J921)&gt;0,N($K921)&gt;0),"※收入和支出不能同一行都填",IF(AND($D921="收入",N($J921)=0),"※收入行要填收入金额",IF(AND($D921="支出",N($K921)=0),"※支出行要填支出金额",IF(AND($C921&lt;&gt;"",ISNA(MATCH($C921,账户表,0))),"※账户不在基础资料里",IF(AND($G921&lt;&gt;"",ISNA(MATCH($G921,项目名表,0))),"※项目不在项目台账里",IF(AND(LEFT($F921,3)="成本-",$G921=""),"※成本类支出没填项目",IF(AND(LEFT($F921,3)="成本-",$H921&lt;&gt;"",N($K921)&gt;0,COUNTIFS(采购单!$B:$B,$B921,采购单!$C:$C,$H921,采购单!$L:$L,$K921)&gt;0),"※这笔可能和采购单重复了",""))))))))))</f>
        <v/>
      </c>
    </row>
    <row r="922">
      <c r="A922" s="17">
        <f>IF($B922="","",ROW()-3)</f>
        <v/>
      </c>
      <c r="B922" s="18" t="n"/>
      <c r="C922" s="13" t="n"/>
      <c r="D922" s="13" t="n"/>
      <c r="E922" s="13" t="n"/>
      <c r="F922" s="17">
        <f>IF($E922="","",IFERROR(VLOOKUP($E922,类别归属,2,0),"※类别不在基础资料里"))</f>
        <v/>
      </c>
      <c r="G922" s="13" t="n"/>
      <c r="H922" s="13" t="n"/>
      <c r="I922" s="13" t="n"/>
      <c r="J922" s="14" t="n"/>
      <c r="K922" s="14" t="n"/>
      <c r="L922" s="19">
        <f>IF($C922="","",ROUND(IFERROR(VLOOKUP($C922,账户期初,2,0),0)+SUMIFS($J$4:J922,$C$4:C922,$C922)-SUMIFS($K$4:K922,$C$4:C922,$C922),2))</f>
        <v/>
      </c>
      <c r="M922" s="19">
        <f>IF($C922="","",ROUND(SUM(基础资料!$B$4:$B$13)+SUM($J$4:J922)-SUM($K$4:K922),2))</f>
        <v/>
      </c>
      <c r="N922" s="13" t="n"/>
      <c r="O922" s="13" t="n"/>
      <c r="P922" s="17">
        <f>IF($B922="","",IF($F922="※类别不在基础资料里","※费用类别不在基础资料里",IF(AND(N($J922)=0,N($K922)=0),"※这行没填金额",IF(AND(N($J922)&gt;0,N($K922)&gt;0),"※收入和支出不能同一行都填",IF(AND($D922="收入",N($J922)=0),"※收入行要填收入金额",IF(AND($D922="支出",N($K922)=0),"※支出行要填支出金额",IF(AND($C922&lt;&gt;"",ISNA(MATCH($C922,账户表,0))),"※账户不在基础资料里",IF(AND($G922&lt;&gt;"",ISNA(MATCH($G922,项目名表,0))),"※项目不在项目台账里",IF(AND(LEFT($F922,3)="成本-",$G922=""),"※成本类支出没填项目",IF(AND(LEFT($F922,3)="成本-",$H922&lt;&gt;"",N($K922)&gt;0,COUNTIFS(采购单!$B:$B,$B922,采购单!$C:$C,$H922,采购单!$L:$L,$K922)&gt;0),"※这笔可能和采购单重复了",""))))))))))</f>
        <v/>
      </c>
    </row>
    <row r="923">
      <c r="A923" s="17">
        <f>IF($B923="","",ROW()-3)</f>
        <v/>
      </c>
      <c r="B923" s="18" t="n"/>
      <c r="C923" s="13" t="n"/>
      <c r="D923" s="13" t="n"/>
      <c r="E923" s="13" t="n"/>
      <c r="F923" s="17">
        <f>IF($E923="","",IFERROR(VLOOKUP($E923,类别归属,2,0),"※类别不在基础资料里"))</f>
        <v/>
      </c>
      <c r="G923" s="13" t="n"/>
      <c r="H923" s="13" t="n"/>
      <c r="I923" s="13" t="n"/>
      <c r="J923" s="14" t="n"/>
      <c r="K923" s="14" t="n"/>
      <c r="L923" s="19">
        <f>IF($C923="","",ROUND(IFERROR(VLOOKUP($C923,账户期初,2,0),0)+SUMIFS($J$4:J923,$C$4:C923,$C923)-SUMIFS($K$4:K923,$C$4:C923,$C923),2))</f>
        <v/>
      </c>
      <c r="M923" s="19">
        <f>IF($C923="","",ROUND(SUM(基础资料!$B$4:$B$13)+SUM($J$4:J923)-SUM($K$4:K923),2))</f>
        <v/>
      </c>
      <c r="N923" s="13" t="n"/>
      <c r="O923" s="13" t="n"/>
      <c r="P923" s="17">
        <f>IF($B923="","",IF($F923="※类别不在基础资料里","※费用类别不在基础资料里",IF(AND(N($J923)=0,N($K923)=0),"※这行没填金额",IF(AND(N($J923)&gt;0,N($K923)&gt;0),"※收入和支出不能同一行都填",IF(AND($D923="收入",N($J923)=0),"※收入行要填收入金额",IF(AND($D923="支出",N($K923)=0),"※支出行要填支出金额",IF(AND($C923&lt;&gt;"",ISNA(MATCH($C923,账户表,0))),"※账户不在基础资料里",IF(AND($G923&lt;&gt;"",ISNA(MATCH($G923,项目名表,0))),"※项目不在项目台账里",IF(AND(LEFT($F923,3)="成本-",$G923=""),"※成本类支出没填项目",IF(AND(LEFT($F923,3)="成本-",$H923&lt;&gt;"",N($K923)&gt;0,COUNTIFS(采购单!$B:$B,$B923,采购单!$C:$C,$H923,采购单!$L:$L,$K923)&gt;0),"※这笔可能和采购单重复了",""))))))))))</f>
        <v/>
      </c>
    </row>
    <row r="924">
      <c r="A924" s="17">
        <f>IF($B924="","",ROW()-3)</f>
        <v/>
      </c>
      <c r="B924" s="18" t="n"/>
      <c r="C924" s="13" t="n"/>
      <c r="D924" s="13" t="n"/>
      <c r="E924" s="13" t="n"/>
      <c r="F924" s="17">
        <f>IF($E924="","",IFERROR(VLOOKUP($E924,类别归属,2,0),"※类别不在基础资料里"))</f>
        <v/>
      </c>
      <c r="G924" s="13" t="n"/>
      <c r="H924" s="13" t="n"/>
      <c r="I924" s="13" t="n"/>
      <c r="J924" s="14" t="n"/>
      <c r="K924" s="14" t="n"/>
      <c r="L924" s="19">
        <f>IF($C924="","",ROUND(IFERROR(VLOOKUP($C924,账户期初,2,0),0)+SUMIFS($J$4:J924,$C$4:C924,$C924)-SUMIFS($K$4:K924,$C$4:C924,$C924),2))</f>
        <v/>
      </c>
      <c r="M924" s="19">
        <f>IF($C924="","",ROUND(SUM(基础资料!$B$4:$B$13)+SUM($J$4:J924)-SUM($K$4:K924),2))</f>
        <v/>
      </c>
      <c r="N924" s="13" t="n"/>
      <c r="O924" s="13" t="n"/>
      <c r="P924" s="17">
        <f>IF($B924="","",IF($F924="※类别不在基础资料里","※费用类别不在基础资料里",IF(AND(N($J924)=0,N($K924)=0),"※这行没填金额",IF(AND(N($J924)&gt;0,N($K924)&gt;0),"※收入和支出不能同一行都填",IF(AND($D924="收入",N($J924)=0),"※收入行要填收入金额",IF(AND($D924="支出",N($K924)=0),"※支出行要填支出金额",IF(AND($C924&lt;&gt;"",ISNA(MATCH($C924,账户表,0))),"※账户不在基础资料里",IF(AND($G924&lt;&gt;"",ISNA(MATCH($G924,项目名表,0))),"※项目不在项目台账里",IF(AND(LEFT($F924,3)="成本-",$G924=""),"※成本类支出没填项目",IF(AND(LEFT($F924,3)="成本-",$H924&lt;&gt;"",N($K924)&gt;0,COUNTIFS(采购单!$B:$B,$B924,采购单!$C:$C,$H924,采购单!$L:$L,$K924)&gt;0),"※这笔可能和采购单重复了",""))))))))))</f>
        <v/>
      </c>
    </row>
    <row r="925">
      <c r="A925" s="17">
        <f>IF($B925="","",ROW()-3)</f>
        <v/>
      </c>
      <c r="B925" s="18" t="n"/>
      <c r="C925" s="13" t="n"/>
      <c r="D925" s="13" t="n"/>
      <c r="E925" s="13" t="n"/>
      <c r="F925" s="17">
        <f>IF($E925="","",IFERROR(VLOOKUP($E925,类别归属,2,0),"※类别不在基础资料里"))</f>
        <v/>
      </c>
      <c r="G925" s="13" t="n"/>
      <c r="H925" s="13" t="n"/>
      <c r="I925" s="13" t="n"/>
      <c r="J925" s="14" t="n"/>
      <c r="K925" s="14" t="n"/>
      <c r="L925" s="19">
        <f>IF($C925="","",ROUND(IFERROR(VLOOKUP($C925,账户期初,2,0),0)+SUMIFS($J$4:J925,$C$4:C925,$C925)-SUMIFS($K$4:K925,$C$4:C925,$C925),2))</f>
        <v/>
      </c>
      <c r="M925" s="19">
        <f>IF($C925="","",ROUND(SUM(基础资料!$B$4:$B$13)+SUM($J$4:J925)-SUM($K$4:K925),2))</f>
        <v/>
      </c>
      <c r="N925" s="13" t="n"/>
      <c r="O925" s="13" t="n"/>
      <c r="P925" s="17">
        <f>IF($B925="","",IF($F925="※类别不在基础资料里","※费用类别不在基础资料里",IF(AND(N($J925)=0,N($K925)=0),"※这行没填金额",IF(AND(N($J925)&gt;0,N($K925)&gt;0),"※收入和支出不能同一行都填",IF(AND($D925="收入",N($J925)=0),"※收入行要填收入金额",IF(AND($D925="支出",N($K925)=0),"※支出行要填支出金额",IF(AND($C925&lt;&gt;"",ISNA(MATCH($C925,账户表,0))),"※账户不在基础资料里",IF(AND($G925&lt;&gt;"",ISNA(MATCH($G925,项目名表,0))),"※项目不在项目台账里",IF(AND(LEFT($F925,3)="成本-",$G925=""),"※成本类支出没填项目",IF(AND(LEFT($F925,3)="成本-",$H925&lt;&gt;"",N($K925)&gt;0,COUNTIFS(采购单!$B:$B,$B925,采购单!$C:$C,$H925,采购单!$L:$L,$K925)&gt;0),"※这笔可能和采购单重复了",""))))))))))</f>
        <v/>
      </c>
    </row>
    <row r="926">
      <c r="A926" s="17">
        <f>IF($B926="","",ROW()-3)</f>
        <v/>
      </c>
      <c r="B926" s="18" t="n"/>
      <c r="C926" s="13" t="n"/>
      <c r="D926" s="13" t="n"/>
      <c r="E926" s="13" t="n"/>
      <c r="F926" s="17">
        <f>IF($E926="","",IFERROR(VLOOKUP($E926,类别归属,2,0),"※类别不在基础资料里"))</f>
        <v/>
      </c>
      <c r="G926" s="13" t="n"/>
      <c r="H926" s="13" t="n"/>
      <c r="I926" s="13" t="n"/>
      <c r="J926" s="14" t="n"/>
      <c r="K926" s="14" t="n"/>
      <c r="L926" s="19">
        <f>IF($C926="","",ROUND(IFERROR(VLOOKUP($C926,账户期初,2,0),0)+SUMIFS($J$4:J926,$C$4:C926,$C926)-SUMIFS($K$4:K926,$C$4:C926,$C926),2))</f>
        <v/>
      </c>
      <c r="M926" s="19">
        <f>IF($C926="","",ROUND(SUM(基础资料!$B$4:$B$13)+SUM($J$4:J926)-SUM($K$4:K926),2))</f>
        <v/>
      </c>
      <c r="N926" s="13" t="n"/>
      <c r="O926" s="13" t="n"/>
      <c r="P926" s="17">
        <f>IF($B926="","",IF($F926="※类别不在基础资料里","※费用类别不在基础资料里",IF(AND(N($J926)=0,N($K926)=0),"※这行没填金额",IF(AND(N($J926)&gt;0,N($K926)&gt;0),"※收入和支出不能同一行都填",IF(AND($D926="收入",N($J926)=0),"※收入行要填收入金额",IF(AND($D926="支出",N($K926)=0),"※支出行要填支出金额",IF(AND($C926&lt;&gt;"",ISNA(MATCH($C926,账户表,0))),"※账户不在基础资料里",IF(AND($G926&lt;&gt;"",ISNA(MATCH($G926,项目名表,0))),"※项目不在项目台账里",IF(AND(LEFT($F926,3)="成本-",$G926=""),"※成本类支出没填项目",IF(AND(LEFT($F926,3)="成本-",$H926&lt;&gt;"",N($K926)&gt;0,COUNTIFS(采购单!$B:$B,$B926,采购单!$C:$C,$H926,采购单!$L:$L,$K926)&gt;0),"※这笔可能和采购单重复了",""))))))))))</f>
        <v/>
      </c>
    </row>
    <row r="927">
      <c r="A927" s="17">
        <f>IF($B927="","",ROW()-3)</f>
        <v/>
      </c>
      <c r="B927" s="18" t="n"/>
      <c r="C927" s="13" t="n"/>
      <c r="D927" s="13" t="n"/>
      <c r="E927" s="13" t="n"/>
      <c r="F927" s="17">
        <f>IF($E927="","",IFERROR(VLOOKUP($E927,类别归属,2,0),"※类别不在基础资料里"))</f>
        <v/>
      </c>
      <c r="G927" s="13" t="n"/>
      <c r="H927" s="13" t="n"/>
      <c r="I927" s="13" t="n"/>
      <c r="J927" s="14" t="n"/>
      <c r="K927" s="14" t="n"/>
      <c r="L927" s="19">
        <f>IF($C927="","",ROUND(IFERROR(VLOOKUP($C927,账户期初,2,0),0)+SUMIFS($J$4:J927,$C$4:C927,$C927)-SUMIFS($K$4:K927,$C$4:C927,$C927),2))</f>
        <v/>
      </c>
      <c r="M927" s="19">
        <f>IF($C927="","",ROUND(SUM(基础资料!$B$4:$B$13)+SUM($J$4:J927)-SUM($K$4:K927),2))</f>
        <v/>
      </c>
      <c r="N927" s="13" t="n"/>
      <c r="O927" s="13" t="n"/>
      <c r="P927" s="17">
        <f>IF($B927="","",IF($F927="※类别不在基础资料里","※费用类别不在基础资料里",IF(AND(N($J927)=0,N($K927)=0),"※这行没填金额",IF(AND(N($J927)&gt;0,N($K927)&gt;0),"※收入和支出不能同一行都填",IF(AND($D927="收入",N($J927)=0),"※收入行要填收入金额",IF(AND($D927="支出",N($K927)=0),"※支出行要填支出金额",IF(AND($C927&lt;&gt;"",ISNA(MATCH($C927,账户表,0))),"※账户不在基础资料里",IF(AND($G927&lt;&gt;"",ISNA(MATCH($G927,项目名表,0))),"※项目不在项目台账里",IF(AND(LEFT($F927,3)="成本-",$G927=""),"※成本类支出没填项目",IF(AND(LEFT($F927,3)="成本-",$H927&lt;&gt;"",N($K927)&gt;0,COUNTIFS(采购单!$B:$B,$B927,采购单!$C:$C,$H927,采购单!$L:$L,$K927)&gt;0),"※这笔可能和采购单重复了",""))))))))))</f>
        <v/>
      </c>
    </row>
    <row r="928">
      <c r="A928" s="17">
        <f>IF($B928="","",ROW()-3)</f>
        <v/>
      </c>
      <c r="B928" s="18" t="n"/>
      <c r="C928" s="13" t="n"/>
      <c r="D928" s="13" t="n"/>
      <c r="E928" s="13" t="n"/>
      <c r="F928" s="17">
        <f>IF($E928="","",IFERROR(VLOOKUP($E928,类别归属,2,0),"※类别不在基础资料里"))</f>
        <v/>
      </c>
      <c r="G928" s="13" t="n"/>
      <c r="H928" s="13" t="n"/>
      <c r="I928" s="13" t="n"/>
      <c r="J928" s="14" t="n"/>
      <c r="K928" s="14" t="n"/>
      <c r="L928" s="19">
        <f>IF($C928="","",ROUND(IFERROR(VLOOKUP($C928,账户期初,2,0),0)+SUMIFS($J$4:J928,$C$4:C928,$C928)-SUMIFS($K$4:K928,$C$4:C928,$C928),2))</f>
        <v/>
      </c>
      <c r="M928" s="19">
        <f>IF($C928="","",ROUND(SUM(基础资料!$B$4:$B$13)+SUM($J$4:J928)-SUM($K$4:K928),2))</f>
        <v/>
      </c>
      <c r="N928" s="13" t="n"/>
      <c r="O928" s="13" t="n"/>
      <c r="P928" s="17">
        <f>IF($B928="","",IF($F928="※类别不在基础资料里","※费用类别不在基础资料里",IF(AND(N($J928)=0,N($K928)=0),"※这行没填金额",IF(AND(N($J928)&gt;0,N($K928)&gt;0),"※收入和支出不能同一行都填",IF(AND($D928="收入",N($J928)=0),"※收入行要填收入金额",IF(AND($D928="支出",N($K928)=0),"※支出行要填支出金额",IF(AND($C928&lt;&gt;"",ISNA(MATCH($C928,账户表,0))),"※账户不在基础资料里",IF(AND($G928&lt;&gt;"",ISNA(MATCH($G928,项目名表,0))),"※项目不在项目台账里",IF(AND(LEFT($F928,3)="成本-",$G928=""),"※成本类支出没填项目",IF(AND(LEFT($F928,3)="成本-",$H928&lt;&gt;"",N($K928)&gt;0,COUNTIFS(采购单!$B:$B,$B928,采购单!$C:$C,$H928,采购单!$L:$L,$K928)&gt;0),"※这笔可能和采购单重复了",""))))))))))</f>
        <v/>
      </c>
    </row>
    <row r="929">
      <c r="A929" s="17">
        <f>IF($B929="","",ROW()-3)</f>
        <v/>
      </c>
      <c r="B929" s="18" t="n"/>
      <c r="C929" s="13" t="n"/>
      <c r="D929" s="13" t="n"/>
      <c r="E929" s="13" t="n"/>
      <c r="F929" s="17">
        <f>IF($E929="","",IFERROR(VLOOKUP($E929,类别归属,2,0),"※类别不在基础资料里"))</f>
        <v/>
      </c>
      <c r="G929" s="13" t="n"/>
      <c r="H929" s="13" t="n"/>
      <c r="I929" s="13" t="n"/>
      <c r="J929" s="14" t="n"/>
      <c r="K929" s="14" t="n"/>
      <c r="L929" s="19">
        <f>IF($C929="","",ROUND(IFERROR(VLOOKUP($C929,账户期初,2,0),0)+SUMIFS($J$4:J929,$C$4:C929,$C929)-SUMIFS($K$4:K929,$C$4:C929,$C929),2))</f>
        <v/>
      </c>
      <c r="M929" s="19">
        <f>IF($C929="","",ROUND(SUM(基础资料!$B$4:$B$13)+SUM($J$4:J929)-SUM($K$4:K929),2))</f>
        <v/>
      </c>
      <c r="N929" s="13" t="n"/>
      <c r="O929" s="13" t="n"/>
      <c r="P929" s="17">
        <f>IF($B929="","",IF($F929="※类别不在基础资料里","※费用类别不在基础资料里",IF(AND(N($J929)=0,N($K929)=0),"※这行没填金额",IF(AND(N($J929)&gt;0,N($K929)&gt;0),"※收入和支出不能同一行都填",IF(AND($D929="收入",N($J929)=0),"※收入行要填收入金额",IF(AND($D929="支出",N($K929)=0),"※支出行要填支出金额",IF(AND($C929&lt;&gt;"",ISNA(MATCH($C929,账户表,0))),"※账户不在基础资料里",IF(AND($G929&lt;&gt;"",ISNA(MATCH($G929,项目名表,0))),"※项目不在项目台账里",IF(AND(LEFT($F929,3)="成本-",$G929=""),"※成本类支出没填项目",IF(AND(LEFT($F929,3)="成本-",$H929&lt;&gt;"",N($K929)&gt;0,COUNTIFS(采购单!$B:$B,$B929,采购单!$C:$C,$H929,采购单!$L:$L,$K929)&gt;0),"※这笔可能和采购单重复了",""))))))))))</f>
        <v/>
      </c>
    </row>
    <row r="930">
      <c r="A930" s="17">
        <f>IF($B930="","",ROW()-3)</f>
        <v/>
      </c>
      <c r="B930" s="18" t="n"/>
      <c r="C930" s="13" t="n"/>
      <c r="D930" s="13" t="n"/>
      <c r="E930" s="13" t="n"/>
      <c r="F930" s="17">
        <f>IF($E930="","",IFERROR(VLOOKUP($E930,类别归属,2,0),"※类别不在基础资料里"))</f>
        <v/>
      </c>
      <c r="G930" s="13" t="n"/>
      <c r="H930" s="13" t="n"/>
      <c r="I930" s="13" t="n"/>
      <c r="J930" s="14" t="n"/>
      <c r="K930" s="14" t="n"/>
      <c r="L930" s="19">
        <f>IF($C930="","",ROUND(IFERROR(VLOOKUP($C930,账户期初,2,0),0)+SUMIFS($J$4:J930,$C$4:C930,$C930)-SUMIFS($K$4:K930,$C$4:C930,$C930),2))</f>
        <v/>
      </c>
      <c r="M930" s="19">
        <f>IF($C930="","",ROUND(SUM(基础资料!$B$4:$B$13)+SUM($J$4:J930)-SUM($K$4:K930),2))</f>
        <v/>
      </c>
      <c r="N930" s="13" t="n"/>
      <c r="O930" s="13" t="n"/>
      <c r="P930" s="17">
        <f>IF($B930="","",IF($F930="※类别不在基础资料里","※费用类别不在基础资料里",IF(AND(N($J930)=0,N($K930)=0),"※这行没填金额",IF(AND(N($J930)&gt;0,N($K930)&gt;0),"※收入和支出不能同一行都填",IF(AND($D930="收入",N($J930)=0),"※收入行要填收入金额",IF(AND($D930="支出",N($K930)=0),"※支出行要填支出金额",IF(AND($C930&lt;&gt;"",ISNA(MATCH($C930,账户表,0))),"※账户不在基础资料里",IF(AND($G930&lt;&gt;"",ISNA(MATCH($G930,项目名表,0))),"※项目不在项目台账里",IF(AND(LEFT($F930,3)="成本-",$G930=""),"※成本类支出没填项目",IF(AND(LEFT($F930,3)="成本-",$H930&lt;&gt;"",N($K930)&gt;0,COUNTIFS(采购单!$B:$B,$B930,采购单!$C:$C,$H930,采购单!$L:$L,$K930)&gt;0),"※这笔可能和采购单重复了",""))))))))))</f>
        <v/>
      </c>
    </row>
    <row r="931">
      <c r="A931" s="17">
        <f>IF($B931="","",ROW()-3)</f>
        <v/>
      </c>
      <c r="B931" s="18" t="n"/>
      <c r="C931" s="13" t="n"/>
      <c r="D931" s="13" t="n"/>
      <c r="E931" s="13" t="n"/>
      <c r="F931" s="17">
        <f>IF($E931="","",IFERROR(VLOOKUP($E931,类别归属,2,0),"※类别不在基础资料里"))</f>
        <v/>
      </c>
      <c r="G931" s="13" t="n"/>
      <c r="H931" s="13" t="n"/>
      <c r="I931" s="13" t="n"/>
      <c r="J931" s="14" t="n"/>
      <c r="K931" s="14" t="n"/>
      <c r="L931" s="19">
        <f>IF($C931="","",ROUND(IFERROR(VLOOKUP($C931,账户期初,2,0),0)+SUMIFS($J$4:J931,$C$4:C931,$C931)-SUMIFS($K$4:K931,$C$4:C931,$C931),2))</f>
        <v/>
      </c>
      <c r="M931" s="19">
        <f>IF($C931="","",ROUND(SUM(基础资料!$B$4:$B$13)+SUM($J$4:J931)-SUM($K$4:K931),2))</f>
        <v/>
      </c>
      <c r="N931" s="13" t="n"/>
      <c r="O931" s="13" t="n"/>
      <c r="P931" s="17">
        <f>IF($B931="","",IF($F931="※类别不在基础资料里","※费用类别不在基础资料里",IF(AND(N($J931)=0,N($K931)=0),"※这行没填金额",IF(AND(N($J931)&gt;0,N($K931)&gt;0),"※收入和支出不能同一行都填",IF(AND($D931="收入",N($J931)=0),"※收入行要填收入金额",IF(AND($D931="支出",N($K931)=0),"※支出行要填支出金额",IF(AND($C931&lt;&gt;"",ISNA(MATCH($C931,账户表,0))),"※账户不在基础资料里",IF(AND($G931&lt;&gt;"",ISNA(MATCH($G931,项目名表,0))),"※项目不在项目台账里",IF(AND(LEFT($F931,3)="成本-",$G931=""),"※成本类支出没填项目",IF(AND(LEFT($F931,3)="成本-",$H931&lt;&gt;"",N($K931)&gt;0,COUNTIFS(采购单!$B:$B,$B931,采购单!$C:$C,$H931,采购单!$L:$L,$K931)&gt;0),"※这笔可能和采购单重复了",""))))))))))</f>
        <v/>
      </c>
    </row>
    <row r="932">
      <c r="A932" s="17">
        <f>IF($B932="","",ROW()-3)</f>
        <v/>
      </c>
      <c r="B932" s="18" t="n"/>
      <c r="C932" s="13" t="n"/>
      <c r="D932" s="13" t="n"/>
      <c r="E932" s="13" t="n"/>
      <c r="F932" s="17">
        <f>IF($E932="","",IFERROR(VLOOKUP($E932,类别归属,2,0),"※类别不在基础资料里"))</f>
        <v/>
      </c>
      <c r="G932" s="13" t="n"/>
      <c r="H932" s="13" t="n"/>
      <c r="I932" s="13" t="n"/>
      <c r="J932" s="14" t="n"/>
      <c r="K932" s="14" t="n"/>
      <c r="L932" s="19">
        <f>IF($C932="","",ROUND(IFERROR(VLOOKUP($C932,账户期初,2,0),0)+SUMIFS($J$4:J932,$C$4:C932,$C932)-SUMIFS($K$4:K932,$C$4:C932,$C932),2))</f>
        <v/>
      </c>
      <c r="M932" s="19">
        <f>IF($C932="","",ROUND(SUM(基础资料!$B$4:$B$13)+SUM($J$4:J932)-SUM($K$4:K932),2))</f>
        <v/>
      </c>
      <c r="N932" s="13" t="n"/>
      <c r="O932" s="13" t="n"/>
      <c r="P932" s="17">
        <f>IF($B932="","",IF($F932="※类别不在基础资料里","※费用类别不在基础资料里",IF(AND(N($J932)=0,N($K932)=0),"※这行没填金额",IF(AND(N($J932)&gt;0,N($K932)&gt;0),"※收入和支出不能同一行都填",IF(AND($D932="收入",N($J932)=0),"※收入行要填收入金额",IF(AND($D932="支出",N($K932)=0),"※支出行要填支出金额",IF(AND($C932&lt;&gt;"",ISNA(MATCH($C932,账户表,0))),"※账户不在基础资料里",IF(AND($G932&lt;&gt;"",ISNA(MATCH($G932,项目名表,0))),"※项目不在项目台账里",IF(AND(LEFT($F932,3)="成本-",$G932=""),"※成本类支出没填项目",IF(AND(LEFT($F932,3)="成本-",$H932&lt;&gt;"",N($K932)&gt;0,COUNTIFS(采购单!$B:$B,$B932,采购单!$C:$C,$H932,采购单!$L:$L,$K932)&gt;0),"※这笔可能和采购单重复了",""))))))))))</f>
        <v/>
      </c>
    </row>
    <row r="933">
      <c r="A933" s="17">
        <f>IF($B933="","",ROW()-3)</f>
        <v/>
      </c>
      <c r="B933" s="18" t="n"/>
      <c r="C933" s="13" t="n"/>
      <c r="D933" s="13" t="n"/>
      <c r="E933" s="13" t="n"/>
      <c r="F933" s="17">
        <f>IF($E933="","",IFERROR(VLOOKUP($E933,类别归属,2,0),"※类别不在基础资料里"))</f>
        <v/>
      </c>
      <c r="G933" s="13" t="n"/>
      <c r="H933" s="13" t="n"/>
      <c r="I933" s="13" t="n"/>
      <c r="J933" s="14" t="n"/>
      <c r="K933" s="14" t="n"/>
      <c r="L933" s="19">
        <f>IF($C933="","",ROUND(IFERROR(VLOOKUP($C933,账户期初,2,0),0)+SUMIFS($J$4:J933,$C$4:C933,$C933)-SUMIFS($K$4:K933,$C$4:C933,$C933),2))</f>
        <v/>
      </c>
      <c r="M933" s="19">
        <f>IF($C933="","",ROUND(SUM(基础资料!$B$4:$B$13)+SUM($J$4:J933)-SUM($K$4:K933),2))</f>
        <v/>
      </c>
      <c r="N933" s="13" t="n"/>
      <c r="O933" s="13" t="n"/>
      <c r="P933" s="17">
        <f>IF($B933="","",IF($F933="※类别不在基础资料里","※费用类别不在基础资料里",IF(AND(N($J933)=0,N($K933)=0),"※这行没填金额",IF(AND(N($J933)&gt;0,N($K933)&gt;0),"※收入和支出不能同一行都填",IF(AND($D933="收入",N($J933)=0),"※收入行要填收入金额",IF(AND($D933="支出",N($K933)=0),"※支出行要填支出金额",IF(AND($C933&lt;&gt;"",ISNA(MATCH($C933,账户表,0))),"※账户不在基础资料里",IF(AND($G933&lt;&gt;"",ISNA(MATCH($G933,项目名表,0))),"※项目不在项目台账里",IF(AND(LEFT($F933,3)="成本-",$G933=""),"※成本类支出没填项目",IF(AND(LEFT($F933,3)="成本-",$H933&lt;&gt;"",N($K933)&gt;0,COUNTIFS(采购单!$B:$B,$B933,采购单!$C:$C,$H933,采购单!$L:$L,$K933)&gt;0),"※这笔可能和采购单重复了",""))))))))))</f>
        <v/>
      </c>
    </row>
    <row r="934">
      <c r="A934" s="17">
        <f>IF($B934="","",ROW()-3)</f>
        <v/>
      </c>
      <c r="B934" s="18" t="n"/>
      <c r="C934" s="13" t="n"/>
      <c r="D934" s="13" t="n"/>
      <c r="E934" s="13" t="n"/>
      <c r="F934" s="17">
        <f>IF($E934="","",IFERROR(VLOOKUP($E934,类别归属,2,0),"※类别不在基础资料里"))</f>
        <v/>
      </c>
      <c r="G934" s="13" t="n"/>
      <c r="H934" s="13" t="n"/>
      <c r="I934" s="13" t="n"/>
      <c r="J934" s="14" t="n"/>
      <c r="K934" s="14" t="n"/>
      <c r="L934" s="19">
        <f>IF($C934="","",ROUND(IFERROR(VLOOKUP($C934,账户期初,2,0),0)+SUMIFS($J$4:J934,$C$4:C934,$C934)-SUMIFS($K$4:K934,$C$4:C934,$C934),2))</f>
        <v/>
      </c>
      <c r="M934" s="19">
        <f>IF($C934="","",ROUND(SUM(基础资料!$B$4:$B$13)+SUM($J$4:J934)-SUM($K$4:K934),2))</f>
        <v/>
      </c>
      <c r="N934" s="13" t="n"/>
      <c r="O934" s="13" t="n"/>
      <c r="P934" s="17">
        <f>IF($B934="","",IF($F934="※类别不在基础资料里","※费用类别不在基础资料里",IF(AND(N($J934)=0,N($K934)=0),"※这行没填金额",IF(AND(N($J934)&gt;0,N($K934)&gt;0),"※收入和支出不能同一行都填",IF(AND($D934="收入",N($J934)=0),"※收入行要填收入金额",IF(AND($D934="支出",N($K934)=0),"※支出行要填支出金额",IF(AND($C934&lt;&gt;"",ISNA(MATCH($C934,账户表,0))),"※账户不在基础资料里",IF(AND($G934&lt;&gt;"",ISNA(MATCH($G934,项目名表,0))),"※项目不在项目台账里",IF(AND(LEFT($F934,3)="成本-",$G934=""),"※成本类支出没填项目",IF(AND(LEFT($F934,3)="成本-",$H934&lt;&gt;"",N($K934)&gt;0,COUNTIFS(采购单!$B:$B,$B934,采购单!$C:$C,$H934,采购单!$L:$L,$K934)&gt;0),"※这笔可能和采购单重复了",""))))))))))</f>
        <v/>
      </c>
    </row>
    <row r="935">
      <c r="A935" s="17">
        <f>IF($B935="","",ROW()-3)</f>
        <v/>
      </c>
      <c r="B935" s="18" t="n"/>
      <c r="C935" s="13" t="n"/>
      <c r="D935" s="13" t="n"/>
      <c r="E935" s="13" t="n"/>
      <c r="F935" s="17">
        <f>IF($E935="","",IFERROR(VLOOKUP($E935,类别归属,2,0),"※类别不在基础资料里"))</f>
        <v/>
      </c>
      <c r="G935" s="13" t="n"/>
      <c r="H935" s="13" t="n"/>
      <c r="I935" s="13" t="n"/>
      <c r="J935" s="14" t="n"/>
      <c r="K935" s="14" t="n"/>
      <c r="L935" s="19">
        <f>IF($C935="","",ROUND(IFERROR(VLOOKUP($C935,账户期初,2,0),0)+SUMIFS($J$4:J935,$C$4:C935,$C935)-SUMIFS($K$4:K935,$C$4:C935,$C935),2))</f>
        <v/>
      </c>
      <c r="M935" s="19">
        <f>IF($C935="","",ROUND(SUM(基础资料!$B$4:$B$13)+SUM($J$4:J935)-SUM($K$4:K935),2))</f>
        <v/>
      </c>
      <c r="N935" s="13" t="n"/>
      <c r="O935" s="13" t="n"/>
      <c r="P935" s="17">
        <f>IF($B935="","",IF($F935="※类别不在基础资料里","※费用类别不在基础资料里",IF(AND(N($J935)=0,N($K935)=0),"※这行没填金额",IF(AND(N($J935)&gt;0,N($K935)&gt;0),"※收入和支出不能同一行都填",IF(AND($D935="收入",N($J935)=0),"※收入行要填收入金额",IF(AND($D935="支出",N($K935)=0),"※支出行要填支出金额",IF(AND($C935&lt;&gt;"",ISNA(MATCH($C935,账户表,0))),"※账户不在基础资料里",IF(AND($G935&lt;&gt;"",ISNA(MATCH($G935,项目名表,0))),"※项目不在项目台账里",IF(AND(LEFT($F935,3)="成本-",$G935=""),"※成本类支出没填项目",IF(AND(LEFT($F935,3)="成本-",$H935&lt;&gt;"",N($K935)&gt;0,COUNTIFS(采购单!$B:$B,$B935,采购单!$C:$C,$H935,采购单!$L:$L,$K935)&gt;0),"※这笔可能和采购单重复了",""))))))))))</f>
        <v/>
      </c>
    </row>
    <row r="936">
      <c r="A936" s="17">
        <f>IF($B936="","",ROW()-3)</f>
        <v/>
      </c>
      <c r="B936" s="18" t="n"/>
      <c r="C936" s="13" t="n"/>
      <c r="D936" s="13" t="n"/>
      <c r="E936" s="13" t="n"/>
      <c r="F936" s="17">
        <f>IF($E936="","",IFERROR(VLOOKUP($E936,类别归属,2,0),"※类别不在基础资料里"))</f>
        <v/>
      </c>
      <c r="G936" s="13" t="n"/>
      <c r="H936" s="13" t="n"/>
      <c r="I936" s="13" t="n"/>
      <c r="J936" s="14" t="n"/>
      <c r="K936" s="14" t="n"/>
      <c r="L936" s="19">
        <f>IF($C936="","",ROUND(IFERROR(VLOOKUP($C936,账户期初,2,0),0)+SUMIFS($J$4:J936,$C$4:C936,$C936)-SUMIFS($K$4:K936,$C$4:C936,$C936),2))</f>
        <v/>
      </c>
      <c r="M936" s="19">
        <f>IF($C936="","",ROUND(SUM(基础资料!$B$4:$B$13)+SUM($J$4:J936)-SUM($K$4:K936),2))</f>
        <v/>
      </c>
      <c r="N936" s="13" t="n"/>
      <c r="O936" s="13" t="n"/>
      <c r="P936" s="17">
        <f>IF($B936="","",IF($F936="※类别不在基础资料里","※费用类别不在基础资料里",IF(AND(N($J936)=0,N($K936)=0),"※这行没填金额",IF(AND(N($J936)&gt;0,N($K936)&gt;0),"※收入和支出不能同一行都填",IF(AND($D936="收入",N($J936)=0),"※收入行要填收入金额",IF(AND($D936="支出",N($K936)=0),"※支出行要填支出金额",IF(AND($C936&lt;&gt;"",ISNA(MATCH($C936,账户表,0))),"※账户不在基础资料里",IF(AND($G936&lt;&gt;"",ISNA(MATCH($G936,项目名表,0))),"※项目不在项目台账里",IF(AND(LEFT($F936,3)="成本-",$G936=""),"※成本类支出没填项目",IF(AND(LEFT($F936,3)="成本-",$H936&lt;&gt;"",N($K936)&gt;0,COUNTIFS(采购单!$B:$B,$B936,采购单!$C:$C,$H936,采购单!$L:$L,$K936)&gt;0),"※这笔可能和采购单重复了",""))))))))))</f>
        <v/>
      </c>
    </row>
    <row r="937">
      <c r="A937" s="17">
        <f>IF($B937="","",ROW()-3)</f>
        <v/>
      </c>
      <c r="B937" s="18" t="n"/>
      <c r="C937" s="13" t="n"/>
      <c r="D937" s="13" t="n"/>
      <c r="E937" s="13" t="n"/>
      <c r="F937" s="17">
        <f>IF($E937="","",IFERROR(VLOOKUP($E937,类别归属,2,0),"※类别不在基础资料里"))</f>
        <v/>
      </c>
      <c r="G937" s="13" t="n"/>
      <c r="H937" s="13" t="n"/>
      <c r="I937" s="13" t="n"/>
      <c r="J937" s="14" t="n"/>
      <c r="K937" s="14" t="n"/>
      <c r="L937" s="19">
        <f>IF($C937="","",ROUND(IFERROR(VLOOKUP($C937,账户期初,2,0),0)+SUMIFS($J$4:J937,$C$4:C937,$C937)-SUMIFS($K$4:K937,$C$4:C937,$C937),2))</f>
        <v/>
      </c>
      <c r="M937" s="19">
        <f>IF($C937="","",ROUND(SUM(基础资料!$B$4:$B$13)+SUM($J$4:J937)-SUM($K$4:K937),2))</f>
        <v/>
      </c>
      <c r="N937" s="13" t="n"/>
      <c r="O937" s="13" t="n"/>
      <c r="P937" s="17">
        <f>IF($B937="","",IF($F937="※类别不在基础资料里","※费用类别不在基础资料里",IF(AND(N($J937)=0,N($K937)=0),"※这行没填金额",IF(AND(N($J937)&gt;0,N($K937)&gt;0),"※收入和支出不能同一行都填",IF(AND($D937="收入",N($J937)=0),"※收入行要填收入金额",IF(AND($D937="支出",N($K937)=0),"※支出行要填支出金额",IF(AND($C937&lt;&gt;"",ISNA(MATCH($C937,账户表,0))),"※账户不在基础资料里",IF(AND($G937&lt;&gt;"",ISNA(MATCH($G937,项目名表,0))),"※项目不在项目台账里",IF(AND(LEFT($F937,3)="成本-",$G937=""),"※成本类支出没填项目",IF(AND(LEFT($F937,3)="成本-",$H937&lt;&gt;"",N($K937)&gt;0,COUNTIFS(采购单!$B:$B,$B937,采购单!$C:$C,$H937,采购单!$L:$L,$K937)&gt;0),"※这笔可能和采购单重复了",""))))))))))</f>
        <v/>
      </c>
    </row>
    <row r="938">
      <c r="A938" s="17">
        <f>IF($B938="","",ROW()-3)</f>
        <v/>
      </c>
      <c r="B938" s="18" t="n"/>
      <c r="C938" s="13" t="n"/>
      <c r="D938" s="13" t="n"/>
      <c r="E938" s="13" t="n"/>
      <c r="F938" s="17">
        <f>IF($E938="","",IFERROR(VLOOKUP($E938,类别归属,2,0),"※类别不在基础资料里"))</f>
        <v/>
      </c>
      <c r="G938" s="13" t="n"/>
      <c r="H938" s="13" t="n"/>
      <c r="I938" s="13" t="n"/>
      <c r="J938" s="14" t="n"/>
      <c r="K938" s="14" t="n"/>
      <c r="L938" s="19">
        <f>IF($C938="","",ROUND(IFERROR(VLOOKUP($C938,账户期初,2,0),0)+SUMIFS($J$4:J938,$C$4:C938,$C938)-SUMIFS($K$4:K938,$C$4:C938,$C938),2))</f>
        <v/>
      </c>
      <c r="M938" s="19">
        <f>IF($C938="","",ROUND(SUM(基础资料!$B$4:$B$13)+SUM($J$4:J938)-SUM($K$4:K938),2))</f>
        <v/>
      </c>
      <c r="N938" s="13" t="n"/>
      <c r="O938" s="13" t="n"/>
      <c r="P938" s="17">
        <f>IF($B938="","",IF($F938="※类别不在基础资料里","※费用类别不在基础资料里",IF(AND(N($J938)=0,N($K938)=0),"※这行没填金额",IF(AND(N($J938)&gt;0,N($K938)&gt;0),"※收入和支出不能同一行都填",IF(AND($D938="收入",N($J938)=0),"※收入行要填收入金额",IF(AND($D938="支出",N($K938)=0),"※支出行要填支出金额",IF(AND($C938&lt;&gt;"",ISNA(MATCH($C938,账户表,0))),"※账户不在基础资料里",IF(AND($G938&lt;&gt;"",ISNA(MATCH($G938,项目名表,0))),"※项目不在项目台账里",IF(AND(LEFT($F938,3)="成本-",$G938=""),"※成本类支出没填项目",IF(AND(LEFT($F938,3)="成本-",$H938&lt;&gt;"",N($K938)&gt;0,COUNTIFS(采购单!$B:$B,$B938,采购单!$C:$C,$H938,采购单!$L:$L,$K938)&gt;0),"※这笔可能和采购单重复了",""))))))))))</f>
        <v/>
      </c>
    </row>
    <row r="939">
      <c r="A939" s="17">
        <f>IF($B939="","",ROW()-3)</f>
        <v/>
      </c>
      <c r="B939" s="18" t="n"/>
      <c r="C939" s="13" t="n"/>
      <c r="D939" s="13" t="n"/>
      <c r="E939" s="13" t="n"/>
      <c r="F939" s="17">
        <f>IF($E939="","",IFERROR(VLOOKUP($E939,类别归属,2,0),"※类别不在基础资料里"))</f>
        <v/>
      </c>
      <c r="G939" s="13" t="n"/>
      <c r="H939" s="13" t="n"/>
      <c r="I939" s="13" t="n"/>
      <c r="J939" s="14" t="n"/>
      <c r="K939" s="14" t="n"/>
      <c r="L939" s="19">
        <f>IF($C939="","",ROUND(IFERROR(VLOOKUP($C939,账户期初,2,0),0)+SUMIFS($J$4:J939,$C$4:C939,$C939)-SUMIFS($K$4:K939,$C$4:C939,$C939),2))</f>
        <v/>
      </c>
      <c r="M939" s="19">
        <f>IF($C939="","",ROUND(SUM(基础资料!$B$4:$B$13)+SUM($J$4:J939)-SUM($K$4:K939),2))</f>
        <v/>
      </c>
      <c r="N939" s="13" t="n"/>
      <c r="O939" s="13" t="n"/>
      <c r="P939" s="17">
        <f>IF($B939="","",IF($F939="※类别不在基础资料里","※费用类别不在基础资料里",IF(AND(N($J939)=0,N($K939)=0),"※这行没填金额",IF(AND(N($J939)&gt;0,N($K939)&gt;0),"※收入和支出不能同一行都填",IF(AND($D939="收入",N($J939)=0),"※收入行要填收入金额",IF(AND($D939="支出",N($K939)=0),"※支出行要填支出金额",IF(AND($C939&lt;&gt;"",ISNA(MATCH($C939,账户表,0))),"※账户不在基础资料里",IF(AND($G939&lt;&gt;"",ISNA(MATCH($G939,项目名表,0))),"※项目不在项目台账里",IF(AND(LEFT($F939,3)="成本-",$G939=""),"※成本类支出没填项目",IF(AND(LEFT($F939,3)="成本-",$H939&lt;&gt;"",N($K939)&gt;0,COUNTIFS(采购单!$B:$B,$B939,采购单!$C:$C,$H939,采购单!$L:$L,$K939)&gt;0),"※这笔可能和采购单重复了",""))))))))))</f>
        <v/>
      </c>
    </row>
    <row r="940">
      <c r="A940" s="17">
        <f>IF($B940="","",ROW()-3)</f>
        <v/>
      </c>
      <c r="B940" s="18" t="n"/>
      <c r="C940" s="13" t="n"/>
      <c r="D940" s="13" t="n"/>
      <c r="E940" s="13" t="n"/>
      <c r="F940" s="17">
        <f>IF($E940="","",IFERROR(VLOOKUP($E940,类别归属,2,0),"※类别不在基础资料里"))</f>
        <v/>
      </c>
      <c r="G940" s="13" t="n"/>
      <c r="H940" s="13" t="n"/>
      <c r="I940" s="13" t="n"/>
      <c r="J940" s="14" t="n"/>
      <c r="K940" s="14" t="n"/>
      <c r="L940" s="19">
        <f>IF($C940="","",ROUND(IFERROR(VLOOKUP($C940,账户期初,2,0),0)+SUMIFS($J$4:J940,$C$4:C940,$C940)-SUMIFS($K$4:K940,$C$4:C940,$C940),2))</f>
        <v/>
      </c>
      <c r="M940" s="19">
        <f>IF($C940="","",ROUND(SUM(基础资料!$B$4:$B$13)+SUM($J$4:J940)-SUM($K$4:K940),2))</f>
        <v/>
      </c>
      <c r="N940" s="13" t="n"/>
      <c r="O940" s="13" t="n"/>
      <c r="P940" s="17">
        <f>IF($B940="","",IF($F940="※类别不在基础资料里","※费用类别不在基础资料里",IF(AND(N($J940)=0,N($K940)=0),"※这行没填金额",IF(AND(N($J940)&gt;0,N($K940)&gt;0),"※收入和支出不能同一行都填",IF(AND($D940="收入",N($J940)=0),"※收入行要填收入金额",IF(AND($D940="支出",N($K940)=0),"※支出行要填支出金额",IF(AND($C940&lt;&gt;"",ISNA(MATCH($C940,账户表,0))),"※账户不在基础资料里",IF(AND($G940&lt;&gt;"",ISNA(MATCH($G940,项目名表,0))),"※项目不在项目台账里",IF(AND(LEFT($F940,3)="成本-",$G940=""),"※成本类支出没填项目",IF(AND(LEFT($F940,3)="成本-",$H940&lt;&gt;"",N($K940)&gt;0,COUNTIFS(采购单!$B:$B,$B940,采购单!$C:$C,$H940,采购单!$L:$L,$K940)&gt;0),"※这笔可能和采购单重复了",""))))))))))</f>
        <v/>
      </c>
    </row>
    <row r="941">
      <c r="A941" s="17">
        <f>IF($B941="","",ROW()-3)</f>
        <v/>
      </c>
      <c r="B941" s="18" t="n"/>
      <c r="C941" s="13" t="n"/>
      <c r="D941" s="13" t="n"/>
      <c r="E941" s="13" t="n"/>
      <c r="F941" s="17">
        <f>IF($E941="","",IFERROR(VLOOKUP($E941,类别归属,2,0),"※类别不在基础资料里"))</f>
        <v/>
      </c>
      <c r="G941" s="13" t="n"/>
      <c r="H941" s="13" t="n"/>
      <c r="I941" s="13" t="n"/>
      <c r="J941" s="14" t="n"/>
      <c r="K941" s="14" t="n"/>
      <c r="L941" s="19">
        <f>IF($C941="","",ROUND(IFERROR(VLOOKUP($C941,账户期初,2,0),0)+SUMIFS($J$4:J941,$C$4:C941,$C941)-SUMIFS($K$4:K941,$C$4:C941,$C941),2))</f>
        <v/>
      </c>
      <c r="M941" s="19">
        <f>IF($C941="","",ROUND(SUM(基础资料!$B$4:$B$13)+SUM($J$4:J941)-SUM($K$4:K941),2))</f>
        <v/>
      </c>
      <c r="N941" s="13" t="n"/>
      <c r="O941" s="13" t="n"/>
      <c r="P941" s="17">
        <f>IF($B941="","",IF($F941="※类别不在基础资料里","※费用类别不在基础资料里",IF(AND(N($J941)=0,N($K941)=0),"※这行没填金额",IF(AND(N($J941)&gt;0,N($K941)&gt;0),"※收入和支出不能同一行都填",IF(AND($D941="收入",N($J941)=0),"※收入行要填收入金额",IF(AND($D941="支出",N($K941)=0),"※支出行要填支出金额",IF(AND($C941&lt;&gt;"",ISNA(MATCH($C941,账户表,0))),"※账户不在基础资料里",IF(AND($G941&lt;&gt;"",ISNA(MATCH($G941,项目名表,0))),"※项目不在项目台账里",IF(AND(LEFT($F941,3)="成本-",$G941=""),"※成本类支出没填项目",IF(AND(LEFT($F941,3)="成本-",$H941&lt;&gt;"",N($K941)&gt;0,COUNTIFS(采购单!$B:$B,$B941,采购单!$C:$C,$H941,采购单!$L:$L,$K941)&gt;0),"※这笔可能和采购单重复了",""))))))))))</f>
        <v/>
      </c>
    </row>
    <row r="942">
      <c r="A942" s="17">
        <f>IF($B942="","",ROW()-3)</f>
        <v/>
      </c>
      <c r="B942" s="18" t="n"/>
      <c r="C942" s="13" t="n"/>
      <c r="D942" s="13" t="n"/>
      <c r="E942" s="13" t="n"/>
      <c r="F942" s="17">
        <f>IF($E942="","",IFERROR(VLOOKUP($E942,类别归属,2,0),"※类别不在基础资料里"))</f>
        <v/>
      </c>
      <c r="G942" s="13" t="n"/>
      <c r="H942" s="13" t="n"/>
      <c r="I942" s="13" t="n"/>
      <c r="J942" s="14" t="n"/>
      <c r="K942" s="14" t="n"/>
      <c r="L942" s="19">
        <f>IF($C942="","",ROUND(IFERROR(VLOOKUP($C942,账户期初,2,0),0)+SUMIFS($J$4:J942,$C$4:C942,$C942)-SUMIFS($K$4:K942,$C$4:C942,$C942),2))</f>
        <v/>
      </c>
      <c r="M942" s="19">
        <f>IF($C942="","",ROUND(SUM(基础资料!$B$4:$B$13)+SUM($J$4:J942)-SUM($K$4:K942),2))</f>
        <v/>
      </c>
      <c r="N942" s="13" t="n"/>
      <c r="O942" s="13" t="n"/>
      <c r="P942" s="17">
        <f>IF($B942="","",IF($F942="※类别不在基础资料里","※费用类别不在基础资料里",IF(AND(N($J942)=0,N($K942)=0),"※这行没填金额",IF(AND(N($J942)&gt;0,N($K942)&gt;0),"※收入和支出不能同一行都填",IF(AND($D942="收入",N($J942)=0),"※收入行要填收入金额",IF(AND($D942="支出",N($K942)=0),"※支出行要填支出金额",IF(AND($C942&lt;&gt;"",ISNA(MATCH($C942,账户表,0))),"※账户不在基础资料里",IF(AND($G942&lt;&gt;"",ISNA(MATCH($G942,项目名表,0))),"※项目不在项目台账里",IF(AND(LEFT($F942,3)="成本-",$G942=""),"※成本类支出没填项目",IF(AND(LEFT($F942,3)="成本-",$H942&lt;&gt;"",N($K942)&gt;0,COUNTIFS(采购单!$B:$B,$B942,采购单!$C:$C,$H942,采购单!$L:$L,$K942)&gt;0),"※这笔可能和采购单重复了",""))))))))))</f>
        <v/>
      </c>
    </row>
    <row r="943">
      <c r="A943" s="17">
        <f>IF($B943="","",ROW()-3)</f>
        <v/>
      </c>
      <c r="B943" s="18" t="n"/>
      <c r="C943" s="13" t="n"/>
      <c r="D943" s="13" t="n"/>
      <c r="E943" s="13" t="n"/>
      <c r="F943" s="17">
        <f>IF($E943="","",IFERROR(VLOOKUP($E943,类别归属,2,0),"※类别不在基础资料里"))</f>
        <v/>
      </c>
      <c r="G943" s="13" t="n"/>
      <c r="H943" s="13" t="n"/>
      <c r="I943" s="13" t="n"/>
      <c r="J943" s="14" t="n"/>
      <c r="K943" s="14" t="n"/>
      <c r="L943" s="19">
        <f>IF($C943="","",ROUND(IFERROR(VLOOKUP($C943,账户期初,2,0),0)+SUMIFS($J$4:J943,$C$4:C943,$C943)-SUMIFS($K$4:K943,$C$4:C943,$C943),2))</f>
        <v/>
      </c>
      <c r="M943" s="19">
        <f>IF($C943="","",ROUND(SUM(基础资料!$B$4:$B$13)+SUM($J$4:J943)-SUM($K$4:K943),2))</f>
        <v/>
      </c>
      <c r="N943" s="13" t="n"/>
      <c r="O943" s="13" t="n"/>
      <c r="P943" s="17">
        <f>IF($B943="","",IF($F943="※类别不在基础资料里","※费用类别不在基础资料里",IF(AND(N($J943)=0,N($K943)=0),"※这行没填金额",IF(AND(N($J943)&gt;0,N($K943)&gt;0),"※收入和支出不能同一行都填",IF(AND($D943="收入",N($J943)=0),"※收入行要填收入金额",IF(AND($D943="支出",N($K943)=0),"※支出行要填支出金额",IF(AND($C943&lt;&gt;"",ISNA(MATCH($C943,账户表,0))),"※账户不在基础资料里",IF(AND($G943&lt;&gt;"",ISNA(MATCH($G943,项目名表,0))),"※项目不在项目台账里",IF(AND(LEFT($F943,3)="成本-",$G943=""),"※成本类支出没填项目",IF(AND(LEFT($F943,3)="成本-",$H943&lt;&gt;"",N($K943)&gt;0,COUNTIFS(采购单!$B:$B,$B943,采购单!$C:$C,$H943,采购单!$L:$L,$K943)&gt;0),"※这笔可能和采购单重复了",""))))))))))</f>
        <v/>
      </c>
    </row>
    <row r="944">
      <c r="A944" s="17">
        <f>IF($B944="","",ROW()-3)</f>
        <v/>
      </c>
      <c r="B944" s="18" t="n"/>
      <c r="C944" s="13" t="n"/>
      <c r="D944" s="13" t="n"/>
      <c r="E944" s="13" t="n"/>
      <c r="F944" s="17">
        <f>IF($E944="","",IFERROR(VLOOKUP($E944,类别归属,2,0),"※类别不在基础资料里"))</f>
        <v/>
      </c>
      <c r="G944" s="13" t="n"/>
      <c r="H944" s="13" t="n"/>
      <c r="I944" s="13" t="n"/>
      <c r="J944" s="14" t="n"/>
      <c r="K944" s="14" t="n"/>
      <c r="L944" s="19">
        <f>IF($C944="","",ROUND(IFERROR(VLOOKUP($C944,账户期初,2,0),0)+SUMIFS($J$4:J944,$C$4:C944,$C944)-SUMIFS($K$4:K944,$C$4:C944,$C944),2))</f>
        <v/>
      </c>
      <c r="M944" s="19">
        <f>IF($C944="","",ROUND(SUM(基础资料!$B$4:$B$13)+SUM($J$4:J944)-SUM($K$4:K944),2))</f>
        <v/>
      </c>
      <c r="N944" s="13" t="n"/>
      <c r="O944" s="13" t="n"/>
      <c r="P944" s="17">
        <f>IF($B944="","",IF($F944="※类别不在基础资料里","※费用类别不在基础资料里",IF(AND(N($J944)=0,N($K944)=0),"※这行没填金额",IF(AND(N($J944)&gt;0,N($K944)&gt;0),"※收入和支出不能同一行都填",IF(AND($D944="收入",N($J944)=0),"※收入行要填收入金额",IF(AND($D944="支出",N($K944)=0),"※支出行要填支出金额",IF(AND($C944&lt;&gt;"",ISNA(MATCH($C944,账户表,0))),"※账户不在基础资料里",IF(AND($G944&lt;&gt;"",ISNA(MATCH($G944,项目名表,0))),"※项目不在项目台账里",IF(AND(LEFT($F944,3)="成本-",$G944=""),"※成本类支出没填项目",IF(AND(LEFT($F944,3)="成本-",$H944&lt;&gt;"",N($K944)&gt;0,COUNTIFS(采购单!$B:$B,$B944,采购单!$C:$C,$H944,采购单!$L:$L,$K944)&gt;0),"※这笔可能和采购单重复了",""))))))))))</f>
        <v/>
      </c>
    </row>
    <row r="945">
      <c r="A945" s="17">
        <f>IF($B945="","",ROW()-3)</f>
        <v/>
      </c>
      <c r="B945" s="18" t="n"/>
      <c r="C945" s="13" t="n"/>
      <c r="D945" s="13" t="n"/>
      <c r="E945" s="13" t="n"/>
      <c r="F945" s="17">
        <f>IF($E945="","",IFERROR(VLOOKUP($E945,类别归属,2,0),"※类别不在基础资料里"))</f>
        <v/>
      </c>
      <c r="G945" s="13" t="n"/>
      <c r="H945" s="13" t="n"/>
      <c r="I945" s="13" t="n"/>
      <c r="J945" s="14" t="n"/>
      <c r="K945" s="14" t="n"/>
      <c r="L945" s="19">
        <f>IF($C945="","",ROUND(IFERROR(VLOOKUP($C945,账户期初,2,0),0)+SUMIFS($J$4:J945,$C$4:C945,$C945)-SUMIFS($K$4:K945,$C$4:C945,$C945),2))</f>
        <v/>
      </c>
      <c r="M945" s="19">
        <f>IF($C945="","",ROUND(SUM(基础资料!$B$4:$B$13)+SUM($J$4:J945)-SUM($K$4:K945),2))</f>
        <v/>
      </c>
      <c r="N945" s="13" t="n"/>
      <c r="O945" s="13" t="n"/>
      <c r="P945" s="17">
        <f>IF($B945="","",IF($F945="※类别不在基础资料里","※费用类别不在基础资料里",IF(AND(N($J945)=0,N($K945)=0),"※这行没填金额",IF(AND(N($J945)&gt;0,N($K945)&gt;0),"※收入和支出不能同一行都填",IF(AND($D945="收入",N($J945)=0),"※收入行要填收入金额",IF(AND($D945="支出",N($K945)=0),"※支出行要填支出金额",IF(AND($C945&lt;&gt;"",ISNA(MATCH($C945,账户表,0))),"※账户不在基础资料里",IF(AND($G945&lt;&gt;"",ISNA(MATCH($G945,项目名表,0))),"※项目不在项目台账里",IF(AND(LEFT($F945,3)="成本-",$G945=""),"※成本类支出没填项目",IF(AND(LEFT($F945,3)="成本-",$H945&lt;&gt;"",N($K945)&gt;0,COUNTIFS(采购单!$B:$B,$B945,采购单!$C:$C,$H945,采购单!$L:$L,$K945)&gt;0),"※这笔可能和采购单重复了",""))))))))))</f>
        <v/>
      </c>
    </row>
    <row r="946">
      <c r="A946" s="17">
        <f>IF($B946="","",ROW()-3)</f>
        <v/>
      </c>
      <c r="B946" s="18" t="n"/>
      <c r="C946" s="13" t="n"/>
      <c r="D946" s="13" t="n"/>
      <c r="E946" s="13" t="n"/>
      <c r="F946" s="17">
        <f>IF($E946="","",IFERROR(VLOOKUP($E946,类别归属,2,0),"※类别不在基础资料里"))</f>
        <v/>
      </c>
      <c r="G946" s="13" t="n"/>
      <c r="H946" s="13" t="n"/>
      <c r="I946" s="13" t="n"/>
      <c r="J946" s="14" t="n"/>
      <c r="K946" s="14" t="n"/>
      <c r="L946" s="19">
        <f>IF($C946="","",ROUND(IFERROR(VLOOKUP($C946,账户期初,2,0),0)+SUMIFS($J$4:J946,$C$4:C946,$C946)-SUMIFS($K$4:K946,$C$4:C946,$C946),2))</f>
        <v/>
      </c>
      <c r="M946" s="19">
        <f>IF($C946="","",ROUND(SUM(基础资料!$B$4:$B$13)+SUM($J$4:J946)-SUM($K$4:K946),2))</f>
        <v/>
      </c>
      <c r="N946" s="13" t="n"/>
      <c r="O946" s="13" t="n"/>
      <c r="P946" s="17">
        <f>IF($B946="","",IF($F946="※类别不在基础资料里","※费用类别不在基础资料里",IF(AND(N($J946)=0,N($K946)=0),"※这行没填金额",IF(AND(N($J946)&gt;0,N($K946)&gt;0),"※收入和支出不能同一行都填",IF(AND($D946="收入",N($J946)=0),"※收入行要填收入金额",IF(AND($D946="支出",N($K946)=0),"※支出行要填支出金额",IF(AND($C946&lt;&gt;"",ISNA(MATCH($C946,账户表,0))),"※账户不在基础资料里",IF(AND($G946&lt;&gt;"",ISNA(MATCH($G946,项目名表,0))),"※项目不在项目台账里",IF(AND(LEFT($F946,3)="成本-",$G946=""),"※成本类支出没填项目",IF(AND(LEFT($F946,3)="成本-",$H946&lt;&gt;"",N($K946)&gt;0,COUNTIFS(采购单!$B:$B,$B946,采购单!$C:$C,$H946,采购单!$L:$L,$K946)&gt;0),"※这笔可能和采购单重复了",""))))))))))</f>
        <v/>
      </c>
    </row>
    <row r="947">
      <c r="A947" s="17">
        <f>IF($B947="","",ROW()-3)</f>
        <v/>
      </c>
      <c r="B947" s="18" t="n"/>
      <c r="C947" s="13" t="n"/>
      <c r="D947" s="13" t="n"/>
      <c r="E947" s="13" t="n"/>
      <c r="F947" s="17">
        <f>IF($E947="","",IFERROR(VLOOKUP($E947,类别归属,2,0),"※类别不在基础资料里"))</f>
        <v/>
      </c>
      <c r="G947" s="13" t="n"/>
      <c r="H947" s="13" t="n"/>
      <c r="I947" s="13" t="n"/>
      <c r="J947" s="14" t="n"/>
      <c r="K947" s="14" t="n"/>
      <c r="L947" s="19">
        <f>IF($C947="","",ROUND(IFERROR(VLOOKUP($C947,账户期初,2,0),0)+SUMIFS($J$4:J947,$C$4:C947,$C947)-SUMIFS($K$4:K947,$C$4:C947,$C947),2))</f>
        <v/>
      </c>
      <c r="M947" s="19">
        <f>IF($C947="","",ROUND(SUM(基础资料!$B$4:$B$13)+SUM($J$4:J947)-SUM($K$4:K947),2))</f>
        <v/>
      </c>
      <c r="N947" s="13" t="n"/>
      <c r="O947" s="13" t="n"/>
      <c r="P947" s="17">
        <f>IF($B947="","",IF($F947="※类别不在基础资料里","※费用类别不在基础资料里",IF(AND(N($J947)=0,N($K947)=0),"※这行没填金额",IF(AND(N($J947)&gt;0,N($K947)&gt;0),"※收入和支出不能同一行都填",IF(AND($D947="收入",N($J947)=0),"※收入行要填收入金额",IF(AND($D947="支出",N($K947)=0),"※支出行要填支出金额",IF(AND($C947&lt;&gt;"",ISNA(MATCH($C947,账户表,0))),"※账户不在基础资料里",IF(AND($G947&lt;&gt;"",ISNA(MATCH($G947,项目名表,0))),"※项目不在项目台账里",IF(AND(LEFT($F947,3)="成本-",$G947=""),"※成本类支出没填项目",IF(AND(LEFT($F947,3)="成本-",$H947&lt;&gt;"",N($K947)&gt;0,COUNTIFS(采购单!$B:$B,$B947,采购单!$C:$C,$H947,采购单!$L:$L,$K947)&gt;0),"※这笔可能和采购单重复了",""))))))))))</f>
        <v/>
      </c>
    </row>
    <row r="948">
      <c r="A948" s="17">
        <f>IF($B948="","",ROW()-3)</f>
        <v/>
      </c>
      <c r="B948" s="18" t="n"/>
      <c r="C948" s="13" t="n"/>
      <c r="D948" s="13" t="n"/>
      <c r="E948" s="13" t="n"/>
      <c r="F948" s="17">
        <f>IF($E948="","",IFERROR(VLOOKUP($E948,类别归属,2,0),"※类别不在基础资料里"))</f>
        <v/>
      </c>
      <c r="G948" s="13" t="n"/>
      <c r="H948" s="13" t="n"/>
      <c r="I948" s="13" t="n"/>
      <c r="J948" s="14" t="n"/>
      <c r="K948" s="14" t="n"/>
      <c r="L948" s="19">
        <f>IF($C948="","",ROUND(IFERROR(VLOOKUP($C948,账户期初,2,0),0)+SUMIFS($J$4:J948,$C$4:C948,$C948)-SUMIFS($K$4:K948,$C$4:C948,$C948),2))</f>
        <v/>
      </c>
      <c r="M948" s="19">
        <f>IF($C948="","",ROUND(SUM(基础资料!$B$4:$B$13)+SUM($J$4:J948)-SUM($K$4:K948),2))</f>
        <v/>
      </c>
      <c r="N948" s="13" t="n"/>
      <c r="O948" s="13" t="n"/>
      <c r="P948" s="17">
        <f>IF($B948="","",IF($F948="※类别不在基础资料里","※费用类别不在基础资料里",IF(AND(N($J948)=0,N($K948)=0),"※这行没填金额",IF(AND(N($J948)&gt;0,N($K948)&gt;0),"※收入和支出不能同一行都填",IF(AND($D948="收入",N($J948)=0),"※收入行要填收入金额",IF(AND($D948="支出",N($K948)=0),"※支出行要填支出金额",IF(AND($C948&lt;&gt;"",ISNA(MATCH($C948,账户表,0))),"※账户不在基础资料里",IF(AND($G948&lt;&gt;"",ISNA(MATCH($G948,项目名表,0))),"※项目不在项目台账里",IF(AND(LEFT($F948,3)="成本-",$G948=""),"※成本类支出没填项目",IF(AND(LEFT($F948,3)="成本-",$H948&lt;&gt;"",N($K948)&gt;0,COUNTIFS(采购单!$B:$B,$B948,采购单!$C:$C,$H948,采购单!$L:$L,$K948)&gt;0),"※这笔可能和采购单重复了",""))))))))))</f>
        <v/>
      </c>
    </row>
    <row r="949">
      <c r="A949" s="17">
        <f>IF($B949="","",ROW()-3)</f>
        <v/>
      </c>
      <c r="B949" s="18" t="n"/>
      <c r="C949" s="13" t="n"/>
      <c r="D949" s="13" t="n"/>
      <c r="E949" s="13" t="n"/>
      <c r="F949" s="17">
        <f>IF($E949="","",IFERROR(VLOOKUP($E949,类别归属,2,0),"※类别不在基础资料里"))</f>
        <v/>
      </c>
      <c r="G949" s="13" t="n"/>
      <c r="H949" s="13" t="n"/>
      <c r="I949" s="13" t="n"/>
      <c r="J949" s="14" t="n"/>
      <c r="K949" s="14" t="n"/>
      <c r="L949" s="19">
        <f>IF($C949="","",ROUND(IFERROR(VLOOKUP($C949,账户期初,2,0),0)+SUMIFS($J$4:J949,$C$4:C949,$C949)-SUMIFS($K$4:K949,$C$4:C949,$C949),2))</f>
        <v/>
      </c>
      <c r="M949" s="19">
        <f>IF($C949="","",ROUND(SUM(基础资料!$B$4:$B$13)+SUM($J$4:J949)-SUM($K$4:K949),2))</f>
        <v/>
      </c>
      <c r="N949" s="13" t="n"/>
      <c r="O949" s="13" t="n"/>
      <c r="P949" s="17">
        <f>IF($B949="","",IF($F949="※类别不在基础资料里","※费用类别不在基础资料里",IF(AND(N($J949)=0,N($K949)=0),"※这行没填金额",IF(AND(N($J949)&gt;0,N($K949)&gt;0),"※收入和支出不能同一行都填",IF(AND($D949="收入",N($J949)=0),"※收入行要填收入金额",IF(AND($D949="支出",N($K949)=0),"※支出行要填支出金额",IF(AND($C949&lt;&gt;"",ISNA(MATCH($C949,账户表,0))),"※账户不在基础资料里",IF(AND($G949&lt;&gt;"",ISNA(MATCH($G949,项目名表,0))),"※项目不在项目台账里",IF(AND(LEFT($F949,3)="成本-",$G949=""),"※成本类支出没填项目",IF(AND(LEFT($F949,3)="成本-",$H949&lt;&gt;"",N($K949)&gt;0,COUNTIFS(采购单!$B:$B,$B949,采购单!$C:$C,$H949,采购单!$L:$L,$K949)&gt;0),"※这笔可能和采购单重复了",""))))))))))</f>
        <v/>
      </c>
    </row>
    <row r="950">
      <c r="A950" s="17">
        <f>IF($B950="","",ROW()-3)</f>
        <v/>
      </c>
      <c r="B950" s="18" t="n"/>
      <c r="C950" s="13" t="n"/>
      <c r="D950" s="13" t="n"/>
      <c r="E950" s="13" t="n"/>
      <c r="F950" s="17">
        <f>IF($E950="","",IFERROR(VLOOKUP($E950,类别归属,2,0),"※类别不在基础资料里"))</f>
        <v/>
      </c>
      <c r="G950" s="13" t="n"/>
      <c r="H950" s="13" t="n"/>
      <c r="I950" s="13" t="n"/>
      <c r="J950" s="14" t="n"/>
      <c r="K950" s="14" t="n"/>
      <c r="L950" s="19">
        <f>IF($C950="","",ROUND(IFERROR(VLOOKUP($C950,账户期初,2,0),0)+SUMIFS($J$4:J950,$C$4:C950,$C950)-SUMIFS($K$4:K950,$C$4:C950,$C950),2))</f>
        <v/>
      </c>
      <c r="M950" s="19">
        <f>IF($C950="","",ROUND(SUM(基础资料!$B$4:$B$13)+SUM($J$4:J950)-SUM($K$4:K950),2))</f>
        <v/>
      </c>
      <c r="N950" s="13" t="n"/>
      <c r="O950" s="13" t="n"/>
      <c r="P950" s="17">
        <f>IF($B950="","",IF($F950="※类别不在基础资料里","※费用类别不在基础资料里",IF(AND(N($J950)=0,N($K950)=0),"※这行没填金额",IF(AND(N($J950)&gt;0,N($K950)&gt;0),"※收入和支出不能同一行都填",IF(AND($D950="收入",N($J950)=0),"※收入行要填收入金额",IF(AND($D950="支出",N($K950)=0),"※支出行要填支出金额",IF(AND($C950&lt;&gt;"",ISNA(MATCH($C950,账户表,0))),"※账户不在基础资料里",IF(AND($G950&lt;&gt;"",ISNA(MATCH($G950,项目名表,0))),"※项目不在项目台账里",IF(AND(LEFT($F950,3)="成本-",$G950=""),"※成本类支出没填项目",IF(AND(LEFT($F950,3)="成本-",$H950&lt;&gt;"",N($K950)&gt;0,COUNTIFS(采购单!$B:$B,$B950,采购单!$C:$C,$H950,采购单!$L:$L,$K950)&gt;0),"※这笔可能和采购单重复了",""))))))))))</f>
        <v/>
      </c>
    </row>
    <row r="951">
      <c r="A951" s="17">
        <f>IF($B951="","",ROW()-3)</f>
        <v/>
      </c>
      <c r="B951" s="18" t="n"/>
      <c r="C951" s="13" t="n"/>
      <c r="D951" s="13" t="n"/>
      <c r="E951" s="13" t="n"/>
      <c r="F951" s="17">
        <f>IF($E951="","",IFERROR(VLOOKUP($E951,类别归属,2,0),"※类别不在基础资料里"))</f>
        <v/>
      </c>
      <c r="G951" s="13" t="n"/>
      <c r="H951" s="13" t="n"/>
      <c r="I951" s="13" t="n"/>
      <c r="J951" s="14" t="n"/>
      <c r="K951" s="14" t="n"/>
      <c r="L951" s="19">
        <f>IF($C951="","",ROUND(IFERROR(VLOOKUP($C951,账户期初,2,0),0)+SUMIFS($J$4:J951,$C$4:C951,$C951)-SUMIFS($K$4:K951,$C$4:C951,$C951),2))</f>
        <v/>
      </c>
      <c r="M951" s="19">
        <f>IF($C951="","",ROUND(SUM(基础资料!$B$4:$B$13)+SUM($J$4:J951)-SUM($K$4:K951),2))</f>
        <v/>
      </c>
      <c r="N951" s="13" t="n"/>
      <c r="O951" s="13" t="n"/>
      <c r="P951" s="17">
        <f>IF($B951="","",IF($F951="※类别不在基础资料里","※费用类别不在基础资料里",IF(AND(N($J951)=0,N($K951)=0),"※这行没填金额",IF(AND(N($J951)&gt;0,N($K951)&gt;0),"※收入和支出不能同一行都填",IF(AND($D951="收入",N($J951)=0),"※收入行要填收入金额",IF(AND($D951="支出",N($K951)=0),"※支出行要填支出金额",IF(AND($C951&lt;&gt;"",ISNA(MATCH($C951,账户表,0))),"※账户不在基础资料里",IF(AND($G951&lt;&gt;"",ISNA(MATCH($G951,项目名表,0))),"※项目不在项目台账里",IF(AND(LEFT($F951,3)="成本-",$G951=""),"※成本类支出没填项目",IF(AND(LEFT($F951,3)="成本-",$H951&lt;&gt;"",N($K951)&gt;0,COUNTIFS(采购单!$B:$B,$B951,采购单!$C:$C,$H951,采购单!$L:$L,$K951)&gt;0),"※这笔可能和采购单重复了",""))))))))))</f>
        <v/>
      </c>
    </row>
    <row r="952">
      <c r="A952" s="17">
        <f>IF($B952="","",ROW()-3)</f>
        <v/>
      </c>
      <c r="B952" s="18" t="n"/>
      <c r="C952" s="13" t="n"/>
      <c r="D952" s="13" t="n"/>
      <c r="E952" s="13" t="n"/>
      <c r="F952" s="17">
        <f>IF($E952="","",IFERROR(VLOOKUP($E952,类别归属,2,0),"※类别不在基础资料里"))</f>
        <v/>
      </c>
      <c r="G952" s="13" t="n"/>
      <c r="H952" s="13" t="n"/>
      <c r="I952" s="13" t="n"/>
      <c r="J952" s="14" t="n"/>
      <c r="K952" s="14" t="n"/>
      <c r="L952" s="19">
        <f>IF($C952="","",ROUND(IFERROR(VLOOKUP($C952,账户期初,2,0),0)+SUMIFS($J$4:J952,$C$4:C952,$C952)-SUMIFS($K$4:K952,$C$4:C952,$C952),2))</f>
        <v/>
      </c>
      <c r="M952" s="19">
        <f>IF($C952="","",ROUND(SUM(基础资料!$B$4:$B$13)+SUM($J$4:J952)-SUM($K$4:K952),2))</f>
        <v/>
      </c>
      <c r="N952" s="13" t="n"/>
      <c r="O952" s="13" t="n"/>
      <c r="P952" s="17">
        <f>IF($B952="","",IF($F952="※类别不在基础资料里","※费用类别不在基础资料里",IF(AND(N($J952)=0,N($K952)=0),"※这行没填金额",IF(AND(N($J952)&gt;0,N($K952)&gt;0),"※收入和支出不能同一行都填",IF(AND($D952="收入",N($J952)=0),"※收入行要填收入金额",IF(AND($D952="支出",N($K952)=0),"※支出行要填支出金额",IF(AND($C952&lt;&gt;"",ISNA(MATCH($C952,账户表,0))),"※账户不在基础资料里",IF(AND($G952&lt;&gt;"",ISNA(MATCH($G952,项目名表,0))),"※项目不在项目台账里",IF(AND(LEFT($F952,3)="成本-",$G952=""),"※成本类支出没填项目",IF(AND(LEFT($F952,3)="成本-",$H952&lt;&gt;"",N($K952)&gt;0,COUNTIFS(采购单!$B:$B,$B952,采购单!$C:$C,$H952,采购单!$L:$L,$K952)&gt;0),"※这笔可能和采购单重复了",""))))))))))</f>
        <v/>
      </c>
    </row>
    <row r="953">
      <c r="A953" s="17">
        <f>IF($B953="","",ROW()-3)</f>
        <v/>
      </c>
      <c r="B953" s="18" t="n"/>
      <c r="C953" s="13" t="n"/>
      <c r="D953" s="13" t="n"/>
      <c r="E953" s="13" t="n"/>
      <c r="F953" s="17">
        <f>IF($E953="","",IFERROR(VLOOKUP($E953,类别归属,2,0),"※类别不在基础资料里"))</f>
        <v/>
      </c>
      <c r="G953" s="13" t="n"/>
      <c r="H953" s="13" t="n"/>
      <c r="I953" s="13" t="n"/>
      <c r="J953" s="14" t="n"/>
      <c r="K953" s="14" t="n"/>
      <c r="L953" s="19">
        <f>IF($C953="","",ROUND(IFERROR(VLOOKUP($C953,账户期初,2,0),0)+SUMIFS($J$4:J953,$C$4:C953,$C953)-SUMIFS($K$4:K953,$C$4:C953,$C953),2))</f>
        <v/>
      </c>
      <c r="M953" s="19">
        <f>IF($C953="","",ROUND(SUM(基础资料!$B$4:$B$13)+SUM($J$4:J953)-SUM($K$4:K953),2))</f>
        <v/>
      </c>
      <c r="N953" s="13" t="n"/>
      <c r="O953" s="13" t="n"/>
      <c r="P953" s="17">
        <f>IF($B953="","",IF($F953="※类别不在基础资料里","※费用类别不在基础资料里",IF(AND(N($J953)=0,N($K953)=0),"※这行没填金额",IF(AND(N($J953)&gt;0,N($K953)&gt;0),"※收入和支出不能同一行都填",IF(AND($D953="收入",N($J953)=0),"※收入行要填收入金额",IF(AND($D953="支出",N($K953)=0),"※支出行要填支出金额",IF(AND($C953&lt;&gt;"",ISNA(MATCH($C953,账户表,0))),"※账户不在基础资料里",IF(AND($G953&lt;&gt;"",ISNA(MATCH($G953,项目名表,0))),"※项目不在项目台账里",IF(AND(LEFT($F953,3)="成本-",$G953=""),"※成本类支出没填项目",IF(AND(LEFT($F953,3)="成本-",$H953&lt;&gt;"",N($K953)&gt;0,COUNTIFS(采购单!$B:$B,$B953,采购单!$C:$C,$H953,采购单!$L:$L,$K953)&gt;0),"※这笔可能和采购单重复了",""))))))))))</f>
        <v/>
      </c>
    </row>
    <row r="954">
      <c r="A954" s="17">
        <f>IF($B954="","",ROW()-3)</f>
        <v/>
      </c>
      <c r="B954" s="18" t="n"/>
      <c r="C954" s="13" t="n"/>
      <c r="D954" s="13" t="n"/>
      <c r="E954" s="13" t="n"/>
      <c r="F954" s="17">
        <f>IF($E954="","",IFERROR(VLOOKUP($E954,类别归属,2,0),"※类别不在基础资料里"))</f>
        <v/>
      </c>
      <c r="G954" s="13" t="n"/>
      <c r="H954" s="13" t="n"/>
      <c r="I954" s="13" t="n"/>
      <c r="J954" s="14" t="n"/>
      <c r="K954" s="14" t="n"/>
      <c r="L954" s="19">
        <f>IF($C954="","",ROUND(IFERROR(VLOOKUP($C954,账户期初,2,0),0)+SUMIFS($J$4:J954,$C$4:C954,$C954)-SUMIFS($K$4:K954,$C$4:C954,$C954),2))</f>
        <v/>
      </c>
      <c r="M954" s="19">
        <f>IF($C954="","",ROUND(SUM(基础资料!$B$4:$B$13)+SUM($J$4:J954)-SUM($K$4:K954),2))</f>
        <v/>
      </c>
      <c r="N954" s="13" t="n"/>
      <c r="O954" s="13" t="n"/>
      <c r="P954" s="17">
        <f>IF($B954="","",IF($F954="※类别不在基础资料里","※费用类别不在基础资料里",IF(AND(N($J954)=0,N($K954)=0),"※这行没填金额",IF(AND(N($J954)&gt;0,N($K954)&gt;0),"※收入和支出不能同一行都填",IF(AND($D954="收入",N($J954)=0),"※收入行要填收入金额",IF(AND($D954="支出",N($K954)=0),"※支出行要填支出金额",IF(AND($C954&lt;&gt;"",ISNA(MATCH($C954,账户表,0))),"※账户不在基础资料里",IF(AND($G954&lt;&gt;"",ISNA(MATCH($G954,项目名表,0))),"※项目不在项目台账里",IF(AND(LEFT($F954,3)="成本-",$G954=""),"※成本类支出没填项目",IF(AND(LEFT($F954,3)="成本-",$H954&lt;&gt;"",N($K954)&gt;0,COUNTIFS(采购单!$B:$B,$B954,采购单!$C:$C,$H954,采购单!$L:$L,$K954)&gt;0),"※这笔可能和采购单重复了",""))))))))))</f>
        <v/>
      </c>
    </row>
    <row r="955">
      <c r="A955" s="17">
        <f>IF($B955="","",ROW()-3)</f>
        <v/>
      </c>
      <c r="B955" s="18" t="n"/>
      <c r="C955" s="13" t="n"/>
      <c r="D955" s="13" t="n"/>
      <c r="E955" s="13" t="n"/>
      <c r="F955" s="17">
        <f>IF($E955="","",IFERROR(VLOOKUP($E955,类别归属,2,0),"※类别不在基础资料里"))</f>
        <v/>
      </c>
      <c r="G955" s="13" t="n"/>
      <c r="H955" s="13" t="n"/>
      <c r="I955" s="13" t="n"/>
      <c r="J955" s="14" t="n"/>
      <c r="K955" s="14" t="n"/>
      <c r="L955" s="19">
        <f>IF($C955="","",ROUND(IFERROR(VLOOKUP($C955,账户期初,2,0),0)+SUMIFS($J$4:J955,$C$4:C955,$C955)-SUMIFS($K$4:K955,$C$4:C955,$C955),2))</f>
        <v/>
      </c>
      <c r="M955" s="19">
        <f>IF($C955="","",ROUND(SUM(基础资料!$B$4:$B$13)+SUM($J$4:J955)-SUM($K$4:K955),2))</f>
        <v/>
      </c>
      <c r="N955" s="13" t="n"/>
      <c r="O955" s="13" t="n"/>
      <c r="P955" s="17">
        <f>IF($B955="","",IF($F955="※类别不在基础资料里","※费用类别不在基础资料里",IF(AND(N($J955)=0,N($K955)=0),"※这行没填金额",IF(AND(N($J955)&gt;0,N($K955)&gt;0),"※收入和支出不能同一行都填",IF(AND($D955="收入",N($J955)=0),"※收入行要填收入金额",IF(AND($D955="支出",N($K955)=0),"※支出行要填支出金额",IF(AND($C955&lt;&gt;"",ISNA(MATCH($C955,账户表,0))),"※账户不在基础资料里",IF(AND($G955&lt;&gt;"",ISNA(MATCH($G955,项目名表,0))),"※项目不在项目台账里",IF(AND(LEFT($F955,3)="成本-",$G955=""),"※成本类支出没填项目",IF(AND(LEFT($F955,3)="成本-",$H955&lt;&gt;"",N($K955)&gt;0,COUNTIFS(采购单!$B:$B,$B955,采购单!$C:$C,$H955,采购单!$L:$L,$K955)&gt;0),"※这笔可能和采购单重复了",""))))))))))</f>
        <v/>
      </c>
    </row>
    <row r="956">
      <c r="A956" s="17">
        <f>IF($B956="","",ROW()-3)</f>
        <v/>
      </c>
      <c r="B956" s="18" t="n"/>
      <c r="C956" s="13" t="n"/>
      <c r="D956" s="13" t="n"/>
      <c r="E956" s="13" t="n"/>
      <c r="F956" s="17">
        <f>IF($E956="","",IFERROR(VLOOKUP($E956,类别归属,2,0),"※类别不在基础资料里"))</f>
        <v/>
      </c>
      <c r="G956" s="13" t="n"/>
      <c r="H956" s="13" t="n"/>
      <c r="I956" s="13" t="n"/>
      <c r="J956" s="14" t="n"/>
      <c r="K956" s="14" t="n"/>
      <c r="L956" s="19">
        <f>IF($C956="","",ROUND(IFERROR(VLOOKUP($C956,账户期初,2,0),0)+SUMIFS($J$4:J956,$C$4:C956,$C956)-SUMIFS($K$4:K956,$C$4:C956,$C956),2))</f>
        <v/>
      </c>
      <c r="M956" s="19">
        <f>IF($C956="","",ROUND(SUM(基础资料!$B$4:$B$13)+SUM($J$4:J956)-SUM($K$4:K956),2))</f>
        <v/>
      </c>
      <c r="N956" s="13" t="n"/>
      <c r="O956" s="13" t="n"/>
      <c r="P956" s="17">
        <f>IF($B956="","",IF($F956="※类别不在基础资料里","※费用类别不在基础资料里",IF(AND(N($J956)=0,N($K956)=0),"※这行没填金额",IF(AND(N($J956)&gt;0,N($K956)&gt;0),"※收入和支出不能同一行都填",IF(AND($D956="收入",N($J956)=0),"※收入行要填收入金额",IF(AND($D956="支出",N($K956)=0),"※支出行要填支出金额",IF(AND($C956&lt;&gt;"",ISNA(MATCH($C956,账户表,0))),"※账户不在基础资料里",IF(AND($G956&lt;&gt;"",ISNA(MATCH($G956,项目名表,0))),"※项目不在项目台账里",IF(AND(LEFT($F956,3)="成本-",$G956=""),"※成本类支出没填项目",IF(AND(LEFT($F956,3)="成本-",$H956&lt;&gt;"",N($K956)&gt;0,COUNTIFS(采购单!$B:$B,$B956,采购单!$C:$C,$H956,采购单!$L:$L,$K956)&gt;0),"※这笔可能和采购单重复了",""))))))))))</f>
        <v/>
      </c>
    </row>
    <row r="957">
      <c r="A957" s="17">
        <f>IF($B957="","",ROW()-3)</f>
        <v/>
      </c>
      <c r="B957" s="18" t="n"/>
      <c r="C957" s="13" t="n"/>
      <c r="D957" s="13" t="n"/>
      <c r="E957" s="13" t="n"/>
      <c r="F957" s="17">
        <f>IF($E957="","",IFERROR(VLOOKUP($E957,类别归属,2,0),"※类别不在基础资料里"))</f>
        <v/>
      </c>
      <c r="G957" s="13" t="n"/>
      <c r="H957" s="13" t="n"/>
      <c r="I957" s="13" t="n"/>
      <c r="J957" s="14" t="n"/>
      <c r="K957" s="14" t="n"/>
      <c r="L957" s="19">
        <f>IF($C957="","",ROUND(IFERROR(VLOOKUP($C957,账户期初,2,0),0)+SUMIFS($J$4:J957,$C$4:C957,$C957)-SUMIFS($K$4:K957,$C$4:C957,$C957),2))</f>
        <v/>
      </c>
      <c r="M957" s="19">
        <f>IF($C957="","",ROUND(SUM(基础资料!$B$4:$B$13)+SUM($J$4:J957)-SUM($K$4:K957),2))</f>
        <v/>
      </c>
      <c r="N957" s="13" t="n"/>
      <c r="O957" s="13" t="n"/>
      <c r="P957" s="17">
        <f>IF($B957="","",IF($F957="※类别不在基础资料里","※费用类别不在基础资料里",IF(AND(N($J957)=0,N($K957)=0),"※这行没填金额",IF(AND(N($J957)&gt;0,N($K957)&gt;0),"※收入和支出不能同一行都填",IF(AND($D957="收入",N($J957)=0),"※收入行要填收入金额",IF(AND($D957="支出",N($K957)=0),"※支出行要填支出金额",IF(AND($C957&lt;&gt;"",ISNA(MATCH($C957,账户表,0))),"※账户不在基础资料里",IF(AND($G957&lt;&gt;"",ISNA(MATCH($G957,项目名表,0))),"※项目不在项目台账里",IF(AND(LEFT($F957,3)="成本-",$G957=""),"※成本类支出没填项目",IF(AND(LEFT($F957,3)="成本-",$H957&lt;&gt;"",N($K957)&gt;0,COUNTIFS(采购单!$B:$B,$B957,采购单!$C:$C,$H957,采购单!$L:$L,$K957)&gt;0),"※这笔可能和采购单重复了",""))))))))))</f>
        <v/>
      </c>
    </row>
    <row r="958">
      <c r="A958" s="17">
        <f>IF($B958="","",ROW()-3)</f>
        <v/>
      </c>
      <c r="B958" s="18" t="n"/>
      <c r="C958" s="13" t="n"/>
      <c r="D958" s="13" t="n"/>
      <c r="E958" s="13" t="n"/>
      <c r="F958" s="17">
        <f>IF($E958="","",IFERROR(VLOOKUP($E958,类别归属,2,0),"※类别不在基础资料里"))</f>
        <v/>
      </c>
      <c r="G958" s="13" t="n"/>
      <c r="H958" s="13" t="n"/>
      <c r="I958" s="13" t="n"/>
      <c r="J958" s="14" t="n"/>
      <c r="K958" s="14" t="n"/>
      <c r="L958" s="19">
        <f>IF($C958="","",ROUND(IFERROR(VLOOKUP($C958,账户期初,2,0),0)+SUMIFS($J$4:J958,$C$4:C958,$C958)-SUMIFS($K$4:K958,$C$4:C958,$C958),2))</f>
        <v/>
      </c>
      <c r="M958" s="19">
        <f>IF($C958="","",ROUND(SUM(基础资料!$B$4:$B$13)+SUM($J$4:J958)-SUM($K$4:K958),2))</f>
        <v/>
      </c>
      <c r="N958" s="13" t="n"/>
      <c r="O958" s="13" t="n"/>
      <c r="P958" s="17">
        <f>IF($B958="","",IF($F958="※类别不在基础资料里","※费用类别不在基础资料里",IF(AND(N($J958)=0,N($K958)=0),"※这行没填金额",IF(AND(N($J958)&gt;0,N($K958)&gt;0),"※收入和支出不能同一行都填",IF(AND($D958="收入",N($J958)=0),"※收入行要填收入金额",IF(AND($D958="支出",N($K958)=0),"※支出行要填支出金额",IF(AND($C958&lt;&gt;"",ISNA(MATCH($C958,账户表,0))),"※账户不在基础资料里",IF(AND($G958&lt;&gt;"",ISNA(MATCH($G958,项目名表,0))),"※项目不在项目台账里",IF(AND(LEFT($F958,3)="成本-",$G958=""),"※成本类支出没填项目",IF(AND(LEFT($F958,3)="成本-",$H958&lt;&gt;"",N($K958)&gt;0,COUNTIFS(采购单!$B:$B,$B958,采购单!$C:$C,$H958,采购单!$L:$L,$K958)&gt;0),"※这笔可能和采购单重复了",""))))))))))</f>
        <v/>
      </c>
    </row>
    <row r="959">
      <c r="A959" s="17">
        <f>IF($B959="","",ROW()-3)</f>
        <v/>
      </c>
      <c r="B959" s="18" t="n"/>
      <c r="C959" s="13" t="n"/>
      <c r="D959" s="13" t="n"/>
      <c r="E959" s="13" t="n"/>
      <c r="F959" s="17">
        <f>IF($E959="","",IFERROR(VLOOKUP($E959,类别归属,2,0),"※类别不在基础资料里"))</f>
        <v/>
      </c>
      <c r="G959" s="13" t="n"/>
      <c r="H959" s="13" t="n"/>
      <c r="I959" s="13" t="n"/>
      <c r="J959" s="14" t="n"/>
      <c r="K959" s="14" t="n"/>
      <c r="L959" s="19">
        <f>IF($C959="","",ROUND(IFERROR(VLOOKUP($C959,账户期初,2,0),0)+SUMIFS($J$4:J959,$C$4:C959,$C959)-SUMIFS($K$4:K959,$C$4:C959,$C959),2))</f>
        <v/>
      </c>
      <c r="M959" s="19">
        <f>IF($C959="","",ROUND(SUM(基础资料!$B$4:$B$13)+SUM($J$4:J959)-SUM($K$4:K959),2))</f>
        <v/>
      </c>
      <c r="N959" s="13" t="n"/>
      <c r="O959" s="13" t="n"/>
      <c r="P959" s="17">
        <f>IF($B959="","",IF($F959="※类别不在基础资料里","※费用类别不在基础资料里",IF(AND(N($J959)=0,N($K959)=0),"※这行没填金额",IF(AND(N($J959)&gt;0,N($K959)&gt;0),"※收入和支出不能同一行都填",IF(AND($D959="收入",N($J959)=0),"※收入行要填收入金额",IF(AND($D959="支出",N($K959)=0),"※支出行要填支出金额",IF(AND($C959&lt;&gt;"",ISNA(MATCH($C959,账户表,0))),"※账户不在基础资料里",IF(AND($G959&lt;&gt;"",ISNA(MATCH($G959,项目名表,0))),"※项目不在项目台账里",IF(AND(LEFT($F959,3)="成本-",$G959=""),"※成本类支出没填项目",IF(AND(LEFT($F959,3)="成本-",$H959&lt;&gt;"",N($K959)&gt;0,COUNTIFS(采购单!$B:$B,$B959,采购单!$C:$C,$H959,采购单!$L:$L,$K959)&gt;0),"※这笔可能和采购单重复了",""))))))))))</f>
        <v/>
      </c>
    </row>
    <row r="960">
      <c r="A960" s="17">
        <f>IF($B960="","",ROW()-3)</f>
        <v/>
      </c>
      <c r="B960" s="18" t="n"/>
      <c r="C960" s="13" t="n"/>
      <c r="D960" s="13" t="n"/>
      <c r="E960" s="13" t="n"/>
      <c r="F960" s="17">
        <f>IF($E960="","",IFERROR(VLOOKUP($E960,类别归属,2,0),"※类别不在基础资料里"))</f>
        <v/>
      </c>
      <c r="G960" s="13" t="n"/>
      <c r="H960" s="13" t="n"/>
      <c r="I960" s="13" t="n"/>
      <c r="J960" s="14" t="n"/>
      <c r="K960" s="14" t="n"/>
      <c r="L960" s="19">
        <f>IF($C960="","",ROUND(IFERROR(VLOOKUP($C960,账户期初,2,0),0)+SUMIFS($J$4:J960,$C$4:C960,$C960)-SUMIFS($K$4:K960,$C$4:C960,$C960),2))</f>
        <v/>
      </c>
      <c r="M960" s="19">
        <f>IF($C960="","",ROUND(SUM(基础资料!$B$4:$B$13)+SUM($J$4:J960)-SUM($K$4:K960),2))</f>
        <v/>
      </c>
      <c r="N960" s="13" t="n"/>
      <c r="O960" s="13" t="n"/>
      <c r="P960" s="17">
        <f>IF($B960="","",IF($F960="※类别不在基础资料里","※费用类别不在基础资料里",IF(AND(N($J960)=0,N($K960)=0),"※这行没填金额",IF(AND(N($J960)&gt;0,N($K960)&gt;0),"※收入和支出不能同一行都填",IF(AND($D960="收入",N($J960)=0),"※收入行要填收入金额",IF(AND($D960="支出",N($K960)=0),"※支出行要填支出金额",IF(AND($C960&lt;&gt;"",ISNA(MATCH($C960,账户表,0))),"※账户不在基础资料里",IF(AND($G960&lt;&gt;"",ISNA(MATCH($G960,项目名表,0))),"※项目不在项目台账里",IF(AND(LEFT($F960,3)="成本-",$G960=""),"※成本类支出没填项目",IF(AND(LEFT($F960,3)="成本-",$H960&lt;&gt;"",N($K960)&gt;0,COUNTIFS(采购单!$B:$B,$B960,采购单!$C:$C,$H960,采购单!$L:$L,$K960)&gt;0),"※这笔可能和采购单重复了",""))))))))))</f>
        <v/>
      </c>
    </row>
    <row r="961">
      <c r="A961" s="17">
        <f>IF($B961="","",ROW()-3)</f>
        <v/>
      </c>
      <c r="B961" s="18" t="n"/>
      <c r="C961" s="13" t="n"/>
      <c r="D961" s="13" t="n"/>
      <c r="E961" s="13" t="n"/>
      <c r="F961" s="17">
        <f>IF($E961="","",IFERROR(VLOOKUP($E961,类别归属,2,0),"※类别不在基础资料里"))</f>
        <v/>
      </c>
      <c r="G961" s="13" t="n"/>
      <c r="H961" s="13" t="n"/>
      <c r="I961" s="13" t="n"/>
      <c r="J961" s="14" t="n"/>
      <c r="K961" s="14" t="n"/>
      <c r="L961" s="19">
        <f>IF($C961="","",ROUND(IFERROR(VLOOKUP($C961,账户期初,2,0),0)+SUMIFS($J$4:J961,$C$4:C961,$C961)-SUMIFS($K$4:K961,$C$4:C961,$C961),2))</f>
        <v/>
      </c>
      <c r="M961" s="19">
        <f>IF($C961="","",ROUND(SUM(基础资料!$B$4:$B$13)+SUM($J$4:J961)-SUM($K$4:K961),2))</f>
        <v/>
      </c>
      <c r="N961" s="13" t="n"/>
      <c r="O961" s="13" t="n"/>
      <c r="P961" s="17">
        <f>IF($B961="","",IF($F961="※类别不在基础资料里","※费用类别不在基础资料里",IF(AND(N($J961)=0,N($K961)=0),"※这行没填金额",IF(AND(N($J961)&gt;0,N($K961)&gt;0),"※收入和支出不能同一行都填",IF(AND($D961="收入",N($J961)=0),"※收入行要填收入金额",IF(AND($D961="支出",N($K961)=0),"※支出行要填支出金额",IF(AND($C961&lt;&gt;"",ISNA(MATCH($C961,账户表,0))),"※账户不在基础资料里",IF(AND($G961&lt;&gt;"",ISNA(MATCH($G961,项目名表,0))),"※项目不在项目台账里",IF(AND(LEFT($F961,3)="成本-",$G961=""),"※成本类支出没填项目",IF(AND(LEFT($F961,3)="成本-",$H961&lt;&gt;"",N($K961)&gt;0,COUNTIFS(采购单!$B:$B,$B961,采购单!$C:$C,$H961,采购单!$L:$L,$K961)&gt;0),"※这笔可能和采购单重复了",""))))))))))</f>
        <v/>
      </c>
    </row>
    <row r="962">
      <c r="A962" s="17">
        <f>IF($B962="","",ROW()-3)</f>
        <v/>
      </c>
      <c r="B962" s="18" t="n"/>
      <c r="C962" s="13" t="n"/>
      <c r="D962" s="13" t="n"/>
      <c r="E962" s="13" t="n"/>
      <c r="F962" s="17">
        <f>IF($E962="","",IFERROR(VLOOKUP($E962,类别归属,2,0),"※类别不在基础资料里"))</f>
        <v/>
      </c>
      <c r="G962" s="13" t="n"/>
      <c r="H962" s="13" t="n"/>
      <c r="I962" s="13" t="n"/>
      <c r="J962" s="14" t="n"/>
      <c r="K962" s="14" t="n"/>
      <c r="L962" s="19">
        <f>IF($C962="","",ROUND(IFERROR(VLOOKUP($C962,账户期初,2,0),0)+SUMIFS($J$4:J962,$C$4:C962,$C962)-SUMIFS($K$4:K962,$C$4:C962,$C962),2))</f>
        <v/>
      </c>
      <c r="M962" s="19">
        <f>IF($C962="","",ROUND(SUM(基础资料!$B$4:$B$13)+SUM($J$4:J962)-SUM($K$4:K962),2))</f>
        <v/>
      </c>
      <c r="N962" s="13" t="n"/>
      <c r="O962" s="13" t="n"/>
      <c r="P962" s="17">
        <f>IF($B962="","",IF($F962="※类别不在基础资料里","※费用类别不在基础资料里",IF(AND(N($J962)=0,N($K962)=0),"※这行没填金额",IF(AND(N($J962)&gt;0,N($K962)&gt;0),"※收入和支出不能同一行都填",IF(AND($D962="收入",N($J962)=0),"※收入行要填收入金额",IF(AND($D962="支出",N($K962)=0),"※支出行要填支出金额",IF(AND($C962&lt;&gt;"",ISNA(MATCH($C962,账户表,0))),"※账户不在基础资料里",IF(AND($G962&lt;&gt;"",ISNA(MATCH($G962,项目名表,0))),"※项目不在项目台账里",IF(AND(LEFT($F962,3)="成本-",$G962=""),"※成本类支出没填项目",IF(AND(LEFT($F962,3)="成本-",$H962&lt;&gt;"",N($K962)&gt;0,COUNTIFS(采购单!$B:$B,$B962,采购单!$C:$C,$H962,采购单!$L:$L,$K962)&gt;0),"※这笔可能和采购单重复了",""))))))))))</f>
        <v/>
      </c>
    </row>
    <row r="963">
      <c r="A963" s="17">
        <f>IF($B963="","",ROW()-3)</f>
        <v/>
      </c>
      <c r="B963" s="18" t="n"/>
      <c r="C963" s="13" t="n"/>
      <c r="D963" s="13" t="n"/>
      <c r="E963" s="13" t="n"/>
      <c r="F963" s="17">
        <f>IF($E963="","",IFERROR(VLOOKUP($E963,类别归属,2,0),"※类别不在基础资料里"))</f>
        <v/>
      </c>
      <c r="G963" s="13" t="n"/>
      <c r="H963" s="13" t="n"/>
      <c r="I963" s="13" t="n"/>
      <c r="J963" s="14" t="n"/>
      <c r="K963" s="14" t="n"/>
      <c r="L963" s="19">
        <f>IF($C963="","",ROUND(IFERROR(VLOOKUP($C963,账户期初,2,0),0)+SUMIFS($J$4:J963,$C$4:C963,$C963)-SUMIFS($K$4:K963,$C$4:C963,$C963),2))</f>
        <v/>
      </c>
      <c r="M963" s="19">
        <f>IF($C963="","",ROUND(SUM(基础资料!$B$4:$B$13)+SUM($J$4:J963)-SUM($K$4:K963),2))</f>
        <v/>
      </c>
      <c r="N963" s="13" t="n"/>
      <c r="O963" s="13" t="n"/>
      <c r="P963" s="17">
        <f>IF($B963="","",IF($F963="※类别不在基础资料里","※费用类别不在基础资料里",IF(AND(N($J963)=0,N($K963)=0),"※这行没填金额",IF(AND(N($J963)&gt;0,N($K963)&gt;0),"※收入和支出不能同一行都填",IF(AND($D963="收入",N($J963)=0),"※收入行要填收入金额",IF(AND($D963="支出",N($K963)=0),"※支出行要填支出金额",IF(AND($C963&lt;&gt;"",ISNA(MATCH($C963,账户表,0))),"※账户不在基础资料里",IF(AND($G963&lt;&gt;"",ISNA(MATCH($G963,项目名表,0))),"※项目不在项目台账里",IF(AND(LEFT($F963,3)="成本-",$G963=""),"※成本类支出没填项目",IF(AND(LEFT($F963,3)="成本-",$H963&lt;&gt;"",N($K963)&gt;0,COUNTIFS(采购单!$B:$B,$B963,采购单!$C:$C,$H963,采购单!$L:$L,$K963)&gt;0),"※这笔可能和采购单重复了",""))))))))))</f>
        <v/>
      </c>
    </row>
    <row r="964">
      <c r="A964" s="17">
        <f>IF($B964="","",ROW()-3)</f>
        <v/>
      </c>
      <c r="B964" s="18" t="n"/>
      <c r="C964" s="13" t="n"/>
      <c r="D964" s="13" t="n"/>
      <c r="E964" s="13" t="n"/>
      <c r="F964" s="17">
        <f>IF($E964="","",IFERROR(VLOOKUP($E964,类别归属,2,0),"※类别不在基础资料里"))</f>
        <v/>
      </c>
      <c r="G964" s="13" t="n"/>
      <c r="H964" s="13" t="n"/>
      <c r="I964" s="13" t="n"/>
      <c r="J964" s="14" t="n"/>
      <c r="K964" s="14" t="n"/>
      <c r="L964" s="19">
        <f>IF($C964="","",ROUND(IFERROR(VLOOKUP($C964,账户期初,2,0),0)+SUMIFS($J$4:J964,$C$4:C964,$C964)-SUMIFS($K$4:K964,$C$4:C964,$C964),2))</f>
        <v/>
      </c>
      <c r="M964" s="19">
        <f>IF($C964="","",ROUND(SUM(基础资料!$B$4:$B$13)+SUM($J$4:J964)-SUM($K$4:K964),2))</f>
        <v/>
      </c>
      <c r="N964" s="13" t="n"/>
      <c r="O964" s="13" t="n"/>
      <c r="P964" s="17">
        <f>IF($B964="","",IF($F964="※类别不在基础资料里","※费用类别不在基础资料里",IF(AND(N($J964)=0,N($K964)=0),"※这行没填金额",IF(AND(N($J964)&gt;0,N($K964)&gt;0),"※收入和支出不能同一行都填",IF(AND($D964="收入",N($J964)=0),"※收入行要填收入金额",IF(AND($D964="支出",N($K964)=0),"※支出行要填支出金额",IF(AND($C964&lt;&gt;"",ISNA(MATCH($C964,账户表,0))),"※账户不在基础资料里",IF(AND($G964&lt;&gt;"",ISNA(MATCH($G964,项目名表,0))),"※项目不在项目台账里",IF(AND(LEFT($F964,3)="成本-",$G964=""),"※成本类支出没填项目",IF(AND(LEFT($F964,3)="成本-",$H964&lt;&gt;"",N($K964)&gt;0,COUNTIFS(采购单!$B:$B,$B964,采购单!$C:$C,$H964,采购单!$L:$L,$K964)&gt;0),"※这笔可能和采购单重复了",""))))))))))</f>
        <v/>
      </c>
    </row>
    <row r="965">
      <c r="A965" s="17">
        <f>IF($B965="","",ROW()-3)</f>
        <v/>
      </c>
      <c r="B965" s="18" t="n"/>
      <c r="C965" s="13" t="n"/>
      <c r="D965" s="13" t="n"/>
      <c r="E965" s="13" t="n"/>
      <c r="F965" s="17">
        <f>IF($E965="","",IFERROR(VLOOKUP($E965,类别归属,2,0),"※类别不在基础资料里"))</f>
        <v/>
      </c>
      <c r="G965" s="13" t="n"/>
      <c r="H965" s="13" t="n"/>
      <c r="I965" s="13" t="n"/>
      <c r="J965" s="14" t="n"/>
      <c r="K965" s="14" t="n"/>
      <c r="L965" s="19">
        <f>IF($C965="","",ROUND(IFERROR(VLOOKUP($C965,账户期初,2,0),0)+SUMIFS($J$4:J965,$C$4:C965,$C965)-SUMIFS($K$4:K965,$C$4:C965,$C965),2))</f>
        <v/>
      </c>
      <c r="M965" s="19">
        <f>IF($C965="","",ROUND(SUM(基础资料!$B$4:$B$13)+SUM($J$4:J965)-SUM($K$4:K965),2))</f>
        <v/>
      </c>
      <c r="N965" s="13" t="n"/>
      <c r="O965" s="13" t="n"/>
      <c r="P965" s="17">
        <f>IF($B965="","",IF($F965="※类别不在基础资料里","※费用类别不在基础资料里",IF(AND(N($J965)=0,N($K965)=0),"※这行没填金额",IF(AND(N($J965)&gt;0,N($K965)&gt;0),"※收入和支出不能同一行都填",IF(AND($D965="收入",N($J965)=0),"※收入行要填收入金额",IF(AND($D965="支出",N($K965)=0),"※支出行要填支出金额",IF(AND($C965&lt;&gt;"",ISNA(MATCH($C965,账户表,0))),"※账户不在基础资料里",IF(AND($G965&lt;&gt;"",ISNA(MATCH($G965,项目名表,0))),"※项目不在项目台账里",IF(AND(LEFT($F965,3)="成本-",$G965=""),"※成本类支出没填项目",IF(AND(LEFT($F965,3)="成本-",$H965&lt;&gt;"",N($K965)&gt;0,COUNTIFS(采购单!$B:$B,$B965,采购单!$C:$C,$H965,采购单!$L:$L,$K965)&gt;0),"※这笔可能和采购单重复了",""))))))))))</f>
        <v/>
      </c>
    </row>
    <row r="966">
      <c r="A966" s="17">
        <f>IF($B966="","",ROW()-3)</f>
        <v/>
      </c>
      <c r="B966" s="18" t="n"/>
      <c r="C966" s="13" t="n"/>
      <c r="D966" s="13" t="n"/>
      <c r="E966" s="13" t="n"/>
      <c r="F966" s="17">
        <f>IF($E966="","",IFERROR(VLOOKUP($E966,类别归属,2,0),"※类别不在基础资料里"))</f>
        <v/>
      </c>
      <c r="G966" s="13" t="n"/>
      <c r="H966" s="13" t="n"/>
      <c r="I966" s="13" t="n"/>
      <c r="J966" s="14" t="n"/>
      <c r="K966" s="14" t="n"/>
      <c r="L966" s="19">
        <f>IF($C966="","",ROUND(IFERROR(VLOOKUP($C966,账户期初,2,0),0)+SUMIFS($J$4:J966,$C$4:C966,$C966)-SUMIFS($K$4:K966,$C$4:C966,$C966),2))</f>
        <v/>
      </c>
      <c r="M966" s="19">
        <f>IF($C966="","",ROUND(SUM(基础资料!$B$4:$B$13)+SUM($J$4:J966)-SUM($K$4:K966),2))</f>
        <v/>
      </c>
      <c r="N966" s="13" t="n"/>
      <c r="O966" s="13" t="n"/>
      <c r="P966" s="17">
        <f>IF($B966="","",IF($F966="※类别不在基础资料里","※费用类别不在基础资料里",IF(AND(N($J966)=0,N($K966)=0),"※这行没填金额",IF(AND(N($J966)&gt;0,N($K966)&gt;0),"※收入和支出不能同一行都填",IF(AND($D966="收入",N($J966)=0),"※收入行要填收入金额",IF(AND($D966="支出",N($K966)=0),"※支出行要填支出金额",IF(AND($C966&lt;&gt;"",ISNA(MATCH($C966,账户表,0))),"※账户不在基础资料里",IF(AND($G966&lt;&gt;"",ISNA(MATCH($G966,项目名表,0))),"※项目不在项目台账里",IF(AND(LEFT($F966,3)="成本-",$G966=""),"※成本类支出没填项目",IF(AND(LEFT($F966,3)="成本-",$H966&lt;&gt;"",N($K966)&gt;0,COUNTIFS(采购单!$B:$B,$B966,采购单!$C:$C,$H966,采购单!$L:$L,$K966)&gt;0),"※这笔可能和采购单重复了",""))))))))))</f>
        <v/>
      </c>
    </row>
    <row r="967">
      <c r="A967" s="17">
        <f>IF($B967="","",ROW()-3)</f>
        <v/>
      </c>
      <c r="B967" s="18" t="n"/>
      <c r="C967" s="13" t="n"/>
      <c r="D967" s="13" t="n"/>
      <c r="E967" s="13" t="n"/>
      <c r="F967" s="17">
        <f>IF($E967="","",IFERROR(VLOOKUP($E967,类别归属,2,0),"※类别不在基础资料里"))</f>
        <v/>
      </c>
      <c r="G967" s="13" t="n"/>
      <c r="H967" s="13" t="n"/>
      <c r="I967" s="13" t="n"/>
      <c r="J967" s="14" t="n"/>
      <c r="K967" s="14" t="n"/>
      <c r="L967" s="19">
        <f>IF($C967="","",ROUND(IFERROR(VLOOKUP($C967,账户期初,2,0),0)+SUMIFS($J$4:J967,$C$4:C967,$C967)-SUMIFS($K$4:K967,$C$4:C967,$C967),2))</f>
        <v/>
      </c>
      <c r="M967" s="19">
        <f>IF($C967="","",ROUND(SUM(基础资料!$B$4:$B$13)+SUM($J$4:J967)-SUM($K$4:K967),2))</f>
        <v/>
      </c>
      <c r="N967" s="13" t="n"/>
      <c r="O967" s="13" t="n"/>
      <c r="P967" s="17">
        <f>IF($B967="","",IF($F967="※类别不在基础资料里","※费用类别不在基础资料里",IF(AND(N($J967)=0,N($K967)=0),"※这行没填金额",IF(AND(N($J967)&gt;0,N($K967)&gt;0),"※收入和支出不能同一行都填",IF(AND($D967="收入",N($J967)=0),"※收入行要填收入金额",IF(AND($D967="支出",N($K967)=0),"※支出行要填支出金额",IF(AND($C967&lt;&gt;"",ISNA(MATCH($C967,账户表,0))),"※账户不在基础资料里",IF(AND($G967&lt;&gt;"",ISNA(MATCH($G967,项目名表,0))),"※项目不在项目台账里",IF(AND(LEFT($F967,3)="成本-",$G967=""),"※成本类支出没填项目",IF(AND(LEFT($F967,3)="成本-",$H967&lt;&gt;"",N($K967)&gt;0,COUNTIFS(采购单!$B:$B,$B967,采购单!$C:$C,$H967,采购单!$L:$L,$K967)&gt;0),"※这笔可能和采购单重复了",""))))))))))</f>
        <v/>
      </c>
    </row>
    <row r="968">
      <c r="A968" s="17">
        <f>IF($B968="","",ROW()-3)</f>
        <v/>
      </c>
      <c r="B968" s="18" t="n"/>
      <c r="C968" s="13" t="n"/>
      <c r="D968" s="13" t="n"/>
      <c r="E968" s="13" t="n"/>
      <c r="F968" s="17">
        <f>IF($E968="","",IFERROR(VLOOKUP($E968,类别归属,2,0),"※类别不在基础资料里"))</f>
        <v/>
      </c>
      <c r="G968" s="13" t="n"/>
      <c r="H968" s="13" t="n"/>
      <c r="I968" s="13" t="n"/>
      <c r="J968" s="14" t="n"/>
      <c r="K968" s="14" t="n"/>
      <c r="L968" s="19">
        <f>IF($C968="","",ROUND(IFERROR(VLOOKUP($C968,账户期初,2,0),0)+SUMIFS($J$4:J968,$C$4:C968,$C968)-SUMIFS($K$4:K968,$C$4:C968,$C968),2))</f>
        <v/>
      </c>
      <c r="M968" s="19">
        <f>IF($C968="","",ROUND(SUM(基础资料!$B$4:$B$13)+SUM($J$4:J968)-SUM($K$4:K968),2))</f>
        <v/>
      </c>
      <c r="N968" s="13" t="n"/>
      <c r="O968" s="13" t="n"/>
      <c r="P968" s="17">
        <f>IF($B968="","",IF($F968="※类别不在基础资料里","※费用类别不在基础资料里",IF(AND(N($J968)=0,N($K968)=0),"※这行没填金额",IF(AND(N($J968)&gt;0,N($K968)&gt;0),"※收入和支出不能同一行都填",IF(AND($D968="收入",N($J968)=0),"※收入行要填收入金额",IF(AND($D968="支出",N($K968)=0),"※支出行要填支出金额",IF(AND($C968&lt;&gt;"",ISNA(MATCH($C968,账户表,0))),"※账户不在基础资料里",IF(AND($G968&lt;&gt;"",ISNA(MATCH($G968,项目名表,0))),"※项目不在项目台账里",IF(AND(LEFT($F968,3)="成本-",$G968=""),"※成本类支出没填项目",IF(AND(LEFT($F968,3)="成本-",$H968&lt;&gt;"",N($K968)&gt;0,COUNTIFS(采购单!$B:$B,$B968,采购单!$C:$C,$H968,采购单!$L:$L,$K968)&gt;0),"※这笔可能和采购单重复了",""))))))))))</f>
        <v/>
      </c>
    </row>
    <row r="969">
      <c r="A969" s="17">
        <f>IF($B969="","",ROW()-3)</f>
        <v/>
      </c>
      <c r="B969" s="18" t="n"/>
      <c r="C969" s="13" t="n"/>
      <c r="D969" s="13" t="n"/>
      <c r="E969" s="13" t="n"/>
      <c r="F969" s="17">
        <f>IF($E969="","",IFERROR(VLOOKUP($E969,类别归属,2,0),"※类别不在基础资料里"))</f>
        <v/>
      </c>
      <c r="G969" s="13" t="n"/>
      <c r="H969" s="13" t="n"/>
      <c r="I969" s="13" t="n"/>
      <c r="J969" s="14" t="n"/>
      <c r="K969" s="14" t="n"/>
      <c r="L969" s="19">
        <f>IF($C969="","",ROUND(IFERROR(VLOOKUP($C969,账户期初,2,0),0)+SUMIFS($J$4:J969,$C$4:C969,$C969)-SUMIFS($K$4:K969,$C$4:C969,$C969),2))</f>
        <v/>
      </c>
      <c r="M969" s="19">
        <f>IF($C969="","",ROUND(SUM(基础资料!$B$4:$B$13)+SUM($J$4:J969)-SUM($K$4:K969),2))</f>
        <v/>
      </c>
      <c r="N969" s="13" t="n"/>
      <c r="O969" s="13" t="n"/>
      <c r="P969" s="17">
        <f>IF($B969="","",IF($F969="※类别不在基础资料里","※费用类别不在基础资料里",IF(AND(N($J969)=0,N($K969)=0),"※这行没填金额",IF(AND(N($J969)&gt;0,N($K969)&gt;0),"※收入和支出不能同一行都填",IF(AND($D969="收入",N($J969)=0),"※收入行要填收入金额",IF(AND($D969="支出",N($K969)=0),"※支出行要填支出金额",IF(AND($C969&lt;&gt;"",ISNA(MATCH($C969,账户表,0))),"※账户不在基础资料里",IF(AND($G969&lt;&gt;"",ISNA(MATCH($G969,项目名表,0))),"※项目不在项目台账里",IF(AND(LEFT($F969,3)="成本-",$G969=""),"※成本类支出没填项目",IF(AND(LEFT($F969,3)="成本-",$H969&lt;&gt;"",N($K969)&gt;0,COUNTIFS(采购单!$B:$B,$B969,采购单!$C:$C,$H969,采购单!$L:$L,$K969)&gt;0),"※这笔可能和采购单重复了",""))))))))))</f>
        <v/>
      </c>
    </row>
    <row r="970">
      <c r="A970" s="17">
        <f>IF($B970="","",ROW()-3)</f>
        <v/>
      </c>
      <c r="B970" s="18" t="n"/>
      <c r="C970" s="13" t="n"/>
      <c r="D970" s="13" t="n"/>
      <c r="E970" s="13" t="n"/>
      <c r="F970" s="17">
        <f>IF($E970="","",IFERROR(VLOOKUP($E970,类别归属,2,0),"※类别不在基础资料里"))</f>
        <v/>
      </c>
      <c r="G970" s="13" t="n"/>
      <c r="H970" s="13" t="n"/>
      <c r="I970" s="13" t="n"/>
      <c r="J970" s="14" t="n"/>
      <c r="K970" s="14" t="n"/>
      <c r="L970" s="19">
        <f>IF($C970="","",ROUND(IFERROR(VLOOKUP($C970,账户期初,2,0),0)+SUMIFS($J$4:J970,$C$4:C970,$C970)-SUMIFS($K$4:K970,$C$4:C970,$C970),2))</f>
        <v/>
      </c>
      <c r="M970" s="19">
        <f>IF($C970="","",ROUND(SUM(基础资料!$B$4:$B$13)+SUM($J$4:J970)-SUM($K$4:K970),2))</f>
        <v/>
      </c>
      <c r="N970" s="13" t="n"/>
      <c r="O970" s="13" t="n"/>
      <c r="P970" s="17">
        <f>IF($B970="","",IF($F970="※类别不在基础资料里","※费用类别不在基础资料里",IF(AND(N($J970)=0,N($K970)=0),"※这行没填金额",IF(AND(N($J970)&gt;0,N($K970)&gt;0),"※收入和支出不能同一行都填",IF(AND($D970="收入",N($J970)=0),"※收入行要填收入金额",IF(AND($D970="支出",N($K970)=0),"※支出行要填支出金额",IF(AND($C970&lt;&gt;"",ISNA(MATCH($C970,账户表,0))),"※账户不在基础资料里",IF(AND($G970&lt;&gt;"",ISNA(MATCH($G970,项目名表,0))),"※项目不在项目台账里",IF(AND(LEFT($F970,3)="成本-",$G970=""),"※成本类支出没填项目",IF(AND(LEFT($F970,3)="成本-",$H970&lt;&gt;"",N($K970)&gt;0,COUNTIFS(采购单!$B:$B,$B970,采购单!$C:$C,$H970,采购单!$L:$L,$K970)&gt;0),"※这笔可能和采购单重复了",""))))))))))</f>
        <v/>
      </c>
    </row>
    <row r="971">
      <c r="A971" s="17">
        <f>IF($B971="","",ROW()-3)</f>
        <v/>
      </c>
      <c r="B971" s="18" t="n"/>
      <c r="C971" s="13" t="n"/>
      <c r="D971" s="13" t="n"/>
      <c r="E971" s="13" t="n"/>
      <c r="F971" s="17">
        <f>IF($E971="","",IFERROR(VLOOKUP($E971,类别归属,2,0),"※类别不在基础资料里"))</f>
        <v/>
      </c>
      <c r="G971" s="13" t="n"/>
      <c r="H971" s="13" t="n"/>
      <c r="I971" s="13" t="n"/>
      <c r="J971" s="14" t="n"/>
      <c r="K971" s="14" t="n"/>
      <c r="L971" s="19">
        <f>IF($C971="","",ROUND(IFERROR(VLOOKUP($C971,账户期初,2,0),0)+SUMIFS($J$4:J971,$C$4:C971,$C971)-SUMIFS($K$4:K971,$C$4:C971,$C971),2))</f>
        <v/>
      </c>
      <c r="M971" s="19">
        <f>IF($C971="","",ROUND(SUM(基础资料!$B$4:$B$13)+SUM($J$4:J971)-SUM($K$4:K971),2))</f>
        <v/>
      </c>
      <c r="N971" s="13" t="n"/>
      <c r="O971" s="13" t="n"/>
      <c r="P971" s="17">
        <f>IF($B971="","",IF($F971="※类别不在基础资料里","※费用类别不在基础资料里",IF(AND(N($J971)=0,N($K971)=0),"※这行没填金额",IF(AND(N($J971)&gt;0,N($K971)&gt;0),"※收入和支出不能同一行都填",IF(AND($D971="收入",N($J971)=0),"※收入行要填收入金额",IF(AND($D971="支出",N($K971)=0),"※支出行要填支出金额",IF(AND($C971&lt;&gt;"",ISNA(MATCH($C971,账户表,0))),"※账户不在基础资料里",IF(AND($G971&lt;&gt;"",ISNA(MATCH($G971,项目名表,0))),"※项目不在项目台账里",IF(AND(LEFT($F971,3)="成本-",$G971=""),"※成本类支出没填项目",IF(AND(LEFT($F971,3)="成本-",$H971&lt;&gt;"",N($K971)&gt;0,COUNTIFS(采购单!$B:$B,$B971,采购单!$C:$C,$H971,采购单!$L:$L,$K971)&gt;0),"※这笔可能和采购单重复了",""))))))))))</f>
        <v/>
      </c>
    </row>
    <row r="972">
      <c r="A972" s="17">
        <f>IF($B972="","",ROW()-3)</f>
        <v/>
      </c>
      <c r="B972" s="18" t="n"/>
      <c r="C972" s="13" t="n"/>
      <c r="D972" s="13" t="n"/>
      <c r="E972" s="13" t="n"/>
      <c r="F972" s="17">
        <f>IF($E972="","",IFERROR(VLOOKUP($E972,类别归属,2,0),"※类别不在基础资料里"))</f>
        <v/>
      </c>
      <c r="G972" s="13" t="n"/>
      <c r="H972" s="13" t="n"/>
      <c r="I972" s="13" t="n"/>
      <c r="J972" s="14" t="n"/>
      <c r="K972" s="14" t="n"/>
      <c r="L972" s="19">
        <f>IF($C972="","",ROUND(IFERROR(VLOOKUP($C972,账户期初,2,0),0)+SUMIFS($J$4:J972,$C$4:C972,$C972)-SUMIFS($K$4:K972,$C$4:C972,$C972),2))</f>
        <v/>
      </c>
      <c r="M972" s="19">
        <f>IF($C972="","",ROUND(SUM(基础资料!$B$4:$B$13)+SUM($J$4:J972)-SUM($K$4:K972),2))</f>
        <v/>
      </c>
      <c r="N972" s="13" t="n"/>
      <c r="O972" s="13" t="n"/>
      <c r="P972" s="17">
        <f>IF($B972="","",IF($F972="※类别不在基础资料里","※费用类别不在基础资料里",IF(AND(N($J972)=0,N($K972)=0),"※这行没填金额",IF(AND(N($J972)&gt;0,N($K972)&gt;0),"※收入和支出不能同一行都填",IF(AND($D972="收入",N($J972)=0),"※收入行要填收入金额",IF(AND($D972="支出",N($K972)=0),"※支出行要填支出金额",IF(AND($C972&lt;&gt;"",ISNA(MATCH($C972,账户表,0))),"※账户不在基础资料里",IF(AND($G972&lt;&gt;"",ISNA(MATCH($G972,项目名表,0))),"※项目不在项目台账里",IF(AND(LEFT($F972,3)="成本-",$G972=""),"※成本类支出没填项目",IF(AND(LEFT($F972,3)="成本-",$H972&lt;&gt;"",N($K972)&gt;0,COUNTIFS(采购单!$B:$B,$B972,采购单!$C:$C,$H972,采购单!$L:$L,$K972)&gt;0),"※这笔可能和采购单重复了",""))))))))))</f>
        <v/>
      </c>
    </row>
    <row r="973">
      <c r="A973" s="17">
        <f>IF($B973="","",ROW()-3)</f>
        <v/>
      </c>
      <c r="B973" s="18" t="n"/>
      <c r="C973" s="13" t="n"/>
      <c r="D973" s="13" t="n"/>
      <c r="E973" s="13" t="n"/>
      <c r="F973" s="17">
        <f>IF($E973="","",IFERROR(VLOOKUP($E973,类别归属,2,0),"※类别不在基础资料里"))</f>
        <v/>
      </c>
      <c r="G973" s="13" t="n"/>
      <c r="H973" s="13" t="n"/>
      <c r="I973" s="13" t="n"/>
      <c r="J973" s="14" t="n"/>
      <c r="K973" s="14" t="n"/>
      <c r="L973" s="19">
        <f>IF($C973="","",ROUND(IFERROR(VLOOKUP($C973,账户期初,2,0),0)+SUMIFS($J$4:J973,$C$4:C973,$C973)-SUMIFS($K$4:K973,$C$4:C973,$C973),2))</f>
        <v/>
      </c>
      <c r="M973" s="19">
        <f>IF($C973="","",ROUND(SUM(基础资料!$B$4:$B$13)+SUM($J$4:J973)-SUM($K$4:K973),2))</f>
        <v/>
      </c>
      <c r="N973" s="13" t="n"/>
      <c r="O973" s="13" t="n"/>
      <c r="P973" s="17">
        <f>IF($B973="","",IF($F973="※类别不在基础资料里","※费用类别不在基础资料里",IF(AND(N($J973)=0,N($K973)=0),"※这行没填金额",IF(AND(N($J973)&gt;0,N($K973)&gt;0),"※收入和支出不能同一行都填",IF(AND($D973="收入",N($J973)=0),"※收入行要填收入金额",IF(AND($D973="支出",N($K973)=0),"※支出行要填支出金额",IF(AND($C973&lt;&gt;"",ISNA(MATCH($C973,账户表,0))),"※账户不在基础资料里",IF(AND($G973&lt;&gt;"",ISNA(MATCH($G973,项目名表,0))),"※项目不在项目台账里",IF(AND(LEFT($F973,3)="成本-",$G973=""),"※成本类支出没填项目",IF(AND(LEFT($F973,3)="成本-",$H973&lt;&gt;"",N($K973)&gt;0,COUNTIFS(采购单!$B:$B,$B973,采购单!$C:$C,$H973,采购单!$L:$L,$K973)&gt;0),"※这笔可能和采购单重复了",""))))))))))</f>
        <v/>
      </c>
    </row>
    <row r="974">
      <c r="A974" s="17">
        <f>IF($B974="","",ROW()-3)</f>
        <v/>
      </c>
      <c r="B974" s="18" t="n"/>
      <c r="C974" s="13" t="n"/>
      <c r="D974" s="13" t="n"/>
      <c r="E974" s="13" t="n"/>
      <c r="F974" s="17">
        <f>IF($E974="","",IFERROR(VLOOKUP($E974,类别归属,2,0),"※类别不在基础资料里"))</f>
        <v/>
      </c>
      <c r="G974" s="13" t="n"/>
      <c r="H974" s="13" t="n"/>
      <c r="I974" s="13" t="n"/>
      <c r="J974" s="14" t="n"/>
      <c r="K974" s="14" t="n"/>
      <c r="L974" s="19">
        <f>IF($C974="","",ROUND(IFERROR(VLOOKUP($C974,账户期初,2,0),0)+SUMIFS($J$4:J974,$C$4:C974,$C974)-SUMIFS($K$4:K974,$C$4:C974,$C974),2))</f>
        <v/>
      </c>
      <c r="M974" s="19">
        <f>IF($C974="","",ROUND(SUM(基础资料!$B$4:$B$13)+SUM($J$4:J974)-SUM($K$4:K974),2))</f>
        <v/>
      </c>
      <c r="N974" s="13" t="n"/>
      <c r="O974" s="13" t="n"/>
      <c r="P974" s="17">
        <f>IF($B974="","",IF($F974="※类别不在基础资料里","※费用类别不在基础资料里",IF(AND(N($J974)=0,N($K974)=0),"※这行没填金额",IF(AND(N($J974)&gt;0,N($K974)&gt;0),"※收入和支出不能同一行都填",IF(AND($D974="收入",N($J974)=0),"※收入行要填收入金额",IF(AND($D974="支出",N($K974)=0),"※支出行要填支出金额",IF(AND($C974&lt;&gt;"",ISNA(MATCH($C974,账户表,0))),"※账户不在基础资料里",IF(AND($G974&lt;&gt;"",ISNA(MATCH($G974,项目名表,0))),"※项目不在项目台账里",IF(AND(LEFT($F974,3)="成本-",$G974=""),"※成本类支出没填项目",IF(AND(LEFT($F974,3)="成本-",$H974&lt;&gt;"",N($K974)&gt;0,COUNTIFS(采购单!$B:$B,$B974,采购单!$C:$C,$H974,采购单!$L:$L,$K974)&gt;0),"※这笔可能和采购单重复了",""))))))))))</f>
        <v/>
      </c>
    </row>
    <row r="975">
      <c r="A975" s="17">
        <f>IF($B975="","",ROW()-3)</f>
        <v/>
      </c>
      <c r="B975" s="18" t="n"/>
      <c r="C975" s="13" t="n"/>
      <c r="D975" s="13" t="n"/>
      <c r="E975" s="13" t="n"/>
      <c r="F975" s="17">
        <f>IF($E975="","",IFERROR(VLOOKUP($E975,类别归属,2,0),"※类别不在基础资料里"))</f>
        <v/>
      </c>
      <c r="G975" s="13" t="n"/>
      <c r="H975" s="13" t="n"/>
      <c r="I975" s="13" t="n"/>
      <c r="J975" s="14" t="n"/>
      <c r="K975" s="14" t="n"/>
      <c r="L975" s="19">
        <f>IF($C975="","",ROUND(IFERROR(VLOOKUP($C975,账户期初,2,0),0)+SUMIFS($J$4:J975,$C$4:C975,$C975)-SUMIFS($K$4:K975,$C$4:C975,$C975),2))</f>
        <v/>
      </c>
      <c r="M975" s="19">
        <f>IF($C975="","",ROUND(SUM(基础资料!$B$4:$B$13)+SUM($J$4:J975)-SUM($K$4:K975),2))</f>
        <v/>
      </c>
      <c r="N975" s="13" t="n"/>
      <c r="O975" s="13" t="n"/>
      <c r="P975" s="17">
        <f>IF($B975="","",IF($F975="※类别不在基础资料里","※费用类别不在基础资料里",IF(AND(N($J975)=0,N($K975)=0),"※这行没填金额",IF(AND(N($J975)&gt;0,N($K975)&gt;0),"※收入和支出不能同一行都填",IF(AND($D975="收入",N($J975)=0),"※收入行要填收入金额",IF(AND($D975="支出",N($K975)=0),"※支出行要填支出金额",IF(AND($C975&lt;&gt;"",ISNA(MATCH($C975,账户表,0))),"※账户不在基础资料里",IF(AND($G975&lt;&gt;"",ISNA(MATCH($G975,项目名表,0))),"※项目不在项目台账里",IF(AND(LEFT($F975,3)="成本-",$G975=""),"※成本类支出没填项目",IF(AND(LEFT($F975,3)="成本-",$H975&lt;&gt;"",N($K975)&gt;0,COUNTIFS(采购单!$B:$B,$B975,采购单!$C:$C,$H975,采购单!$L:$L,$K975)&gt;0),"※这笔可能和采购单重复了",""))))))))))</f>
        <v/>
      </c>
    </row>
    <row r="976">
      <c r="A976" s="17">
        <f>IF($B976="","",ROW()-3)</f>
        <v/>
      </c>
      <c r="B976" s="18" t="n"/>
      <c r="C976" s="13" t="n"/>
      <c r="D976" s="13" t="n"/>
      <c r="E976" s="13" t="n"/>
      <c r="F976" s="17">
        <f>IF($E976="","",IFERROR(VLOOKUP($E976,类别归属,2,0),"※类别不在基础资料里"))</f>
        <v/>
      </c>
      <c r="G976" s="13" t="n"/>
      <c r="H976" s="13" t="n"/>
      <c r="I976" s="13" t="n"/>
      <c r="J976" s="14" t="n"/>
      <c r="K976" s="14" t="n"/>
      <c r="L976" s="19">
        <f>IF($C976="","",ROUND(IFERROR(VLOOKUP($C976,账户期初,2,0),0)+SUMIFS($J$4:J976,$C$4:C976,$C976)-SUMIFS($K$4:K976,$C$4:C976,$C976),2))</f>
        <v/>
      </c>
      <c r="M976" s="19">
        <f>IF($C976="","",ROUND(SUM(基础资料!$B$4:$B$13)+SUM($J$4:J976)-SUM($K$4:K976),2))</f>
        <v/>
      </c>
      <c r="N976" s="13" t="n"/>
      <c r="O976" s="13" t="n"/>
      <c r="P976" s="17">
        <f>IF($B976="","",IF($F976="※类别不在基础资料里","※费用类别不在基础资料里",IF(AND(N($J976)=0,N($K976)=0),"※这行没填金额",IF(AND(N($J976)&gt;0,N($K976)&gt;0),"※收入和支出不能同一行都填",IF(AND($D976="收入",N($J976)=0),"※收入行要填收入金额",IF(AND($D976="支出",N($K976)=0),"※支出行要填支出金额",IF(AND($C976&lt;&gt;"",ISNA(MATCH($C976,账户表,0))),"※账户不在基础资料里",IF(AND($G976&lt;&gt;"",ISNA(MATCH($G976,项目名表,0))),"※项目不在项目台账里",IF(AND(LEFT($F976,3)="成本-",$G976=""),"※成本类支出没填项目",IF(AND(LEFT($F976,3)="成本-",$H976&lt;&gt;"",N($K976)&gt;0,COUNTIFS(采购单!$B:$B,$B976,采购单!$C:$C,$H976,采购单!$L:$L,$K976)&gt;0),"※这笔可能和采购单重复了",""))))))))))</f>
        <v/>
      </c>
    </row>
    <row r="977">
      <c r="A977" s="17">
        <f>IF($B977="","",ROW()-3)</f>
        <v/>
      </c>
      <c r="B977" s="18" t="n"/>
      <c r="C977" s="13" t="n"/>
      <c r="D977" s="13" t="n"/>
      <c r="E977" s="13" t="n"/>
      <c r="F977" s="17">
        <f>IF($E977="","",IFERROR(VLOOKUP($E977,类别归属,2,0),"※类别不在基础资料里"))</f>
        <v/>
      </c>
      <c r="G977" s="13" t="n"/>
      <c r="H977" s="13" t="n"/>
      <c r="I977" s="13" t="n"/>
      <c r="J977" s="14" t="n"/>
      <c r="K977" s="14" t="n"/>
      <c r="L977" s="19">
        <f>IF($C977="","",ROUND(IFERROR(VLOOKUP($C977,账户期初,2,0),0)+SUMIFS($J$4:J977,$C$4:C977,$C977)-SUMIFS($K$4:K977,$C$4:C977,$C977),2))</f>
        <v/>
      </c>
      <c r="M977" s="19">
        <f>IF($C977="","",ROUND(SUM(基础资料!$B$4:$B$13)+SUM($J$4:J977)-SUM($K$4:K977),2))</f>
        <v/>
      </c>
      <c r="N977" s="13" t="n"/>
      <c r="O977" s="13" t="n"/>
      <c r="P977" s="17">
        <f>IF($B977="","",IF($F977="※类别不在基础资料里","※费用类别不在基础资料里",IF(AND(N($J977)=0,N($K977)=0),"※这行没填金额",IF(AND(N($J977)&gt;0,N($K977)&gt;0),"※收入和支出不能同一行都填",IF(AND($D977="收入",N($J977)=0),"※收入行要填收入金额",IF(AND($D977="支出",N($K977)=0),"※支出行要填支出金额",IF(AND($C977&lt;&gt;"",ISNA(MATCH($C977,账户表,0))),"※账户不在基础资料里",IF(AND($G977&lt;&gt;"",ISNA(MATCH($G977,项目名表,0))),"※项目不在项目台账里",IF(AND(LEFT($F977,3)="成本-",$G977=""),"※成本类支出没填项目",IF(AND(LEFT($F977,3)="成本-",$H977&lt;&gt;"",N($K977)&gt;0,COUNTIFS(采购单!$B:$B,$B977,采购单!$C:$C,$H977,采购单!$L:$L,$K977)&gt;0),"※这笔可能和采购单重复了",""))))))))))</f>
        <v/>
      </c>
    </row>
    <row r="978">
      <c r="A978" s="17">
        <f>IF($B978="","",ROW()-3)</f>
        <v/>
      </c>
      <c r="B978" s="18" t="n"/>
      <c r="C978" s="13" t="n"/>
      <c r="D978" s="13" t="n"/>
      <c r="E978" s="13" t="n"/>
      <c r="F978" s="17">
        <f>IF($E978="","",IFERROR(VLOOKUP($E978,类别归属,2,0),"※类别不在基础资料里"))</f>
        <v/>
      </c>
      <c r="G978" s="13" t="n"/>
      <c r="H978" s="13" t="n"/>
      <c r="I978" s="13" t="n"/>
      <c r="J978" s="14" t="n"/>
      <c r="K978" s="14" t="n"/>
      <c r="L978" s="19">
        <f>IF($C978="","",ROUND(IFERROR(VLOOKUP($C978,账户期初,2,0),0)+SUMIFS($J$4:J978,$C$4:C978,$C978)-SUMIFS($K$4:K978,$C$4:C978,$C978),2))</f>
        <v/>
      </c>
      <c r="M978" s="19">
        <f>IF($C978="","",ROUND(SUM(基础资料!$B$4:$B$13)+SUM($J$4:J978)-SUM($K$4:K978),2))</f>
        <v/>
      </c>
      <c r="N978" s="13" t="n"/>
      <c r="O978" s="13" t="n"/>
      <c r="P978" s="17">
        <f>IF($B978="","",IF($F978="※类别不在基础资料里","※费用类别不在基础资料里",IF(AND(N($J978)=0,N($K978)=0),"※这行没填金额",IF(AND(N($J978)&gt;0,N($K978)&gt;0),"※收入和支出不能同一行都填",IF(AND($D978="收入",N($J978)=0),"※收入行要填收入金额",IF(AND($D978="支出",N($K978)=0),"※支出行要填支出金额",IF(AND($C978&lt;&gt;"",ISNA(MATCH($C978,账户表,0))),"※账户不在基础资料里",IF(AND($G978&lt;&gt;"",ISNA(MATCH($G978,项目名表,0))),"※项目不在项目台账里",IF(AND(LEFT($F978,3)="成本-",$G978=""),"※成本类支出没填项目",IF(AND(LEFT($F978,3)="成本-",$H978&lt;&gt;"",N($K978)&gt;0,COUNTIFS(采购单!$B:$B,$B978,采购单!$C:$C,$H978,采购单!$L:$L,$K978)&gt;0),"※这笔可能和采购单重复了",""))))))))))</f>
        <v/>
      </c>
    </row>
    <row r="979">
      <c r="A979" s="17">
        <f>IF($B979="","",ROW()-3)</f>
        <v/>
      </c>
      <c r="B979" s="18" t="n"/>
      <c r="C979" s="13" t="n"/>
      <c r="D979" s="13" t="n"/>
      <c r="E979" s="13" t="n"/>
      <c r="F979" s="17">
        <f>IF($E979="","",IFERROR(VLOOKUP($E979,类别归属,2,0),"※类别不在基础资料里"))</f>
        <v/>
      </c>
      <c r="G979" s="13" t="n"/>
      <c r="H979" s="13" t="n"/>
      <c r="I979" s="13" t="n"/>
      <c r="J979" s="14" t="n"/>
      <c r="K979" s="14" t="n"/>
      <c r="L979" s="19">
        <f>IF($C979="","",ROUND(IFERROR(VLOOKUP($C979,账户期初,2,0),0)+SUMIFS($J$4:J979,$C$4:C979,$C979)-SUMIFS($K$4:K979,$C$4:C979,$C979),2))</f>
        <v/>
      </c>
      <c r="M979" s="19">
        <f>IF($C979="","",ROUND(SUM(基础资料!$B$4:$B$13)+SUM($J$4:J979)-SUM($K$4:K979),2))</f>
        <v/>
      </c>
      <c r="N979" s="13" t="n"/>
      <c r="O979" s="13" t="n"/>
      <c r="P979" s="17">
        <f>IF($B979="","",IF($F979="※类别不在基础资料里","※费用类别不在基础资料里",IF(AND(N($J979)=0,N($K979)=0),"※这行没填金额",IF(AND(N($J979)&gt;0,N($K979)&gt;0),"※收入和支出不能同一行都填",IF(AND($D979="收入",N($J979)=0),"※收入行要填收入金额",IF(AND($D979="支出",N($K979)=0),"※支出行要填支出金额",IF(AND($C979&lt;&gt;"",ISNA(MATCH($C979,账户表,0))),"※账户不在基础资料里",IF(AND($G979&lt;&gt;"",ISNA(MATCH($G979,项目名表,0))),"※项目不在项目台账里",IF(AND(LEFT($F979,3)="成本-",$G979=""),"※成本类支出没填项目",IF(AND(LEFT($F979,3)="成本-",$H979&lt;&gt;"",N($K979)&gt;0,COUNTIFS(采购单!$B:$B,$B979,采购单!$C:$C,$H979,采购单!$L:$L,$K979)&gt;0),"※这笔可能和采购单重复了",""))))))))))</f>
        <v/>
      </c>
    </row>
    <row r="980">
      <c r="A980" s="17">
        <f>IF($B980="","",ROW()-3)</f>
        <v/>
      </c>
      <c r="B980" s="18" t="n"/>
      <c r="C980" s="13" t="n"/>
      <c r="D980" s="13" t="n"/>
      <c r="E980" s="13" t="n"/>
      <c r="F980" s="17">
        <f>IF($E980="","",IFERROR(VLOOKUP($E980,类别归属,2,0),"※类别不在基础资料里"))</f>
        <v/>
      </c>
      <c r="G980" s="13" t="n"/>
      <c r="H980" s="13" t="n"/>
      <c r="I980" s="13" t="n"/>
      <c r="J980" s="14" t="n"/>
      <c r="K980" s="14" t="n"/>
      <c r="L980" s="19">
        <f>IF($C980="","",ROUND(IFERROR(VLOOKUP($C980,账户期初,2,0),0)+SUMIFS($J$4:J980,$C$4:C980,$C980)-SUMIFS($K$4:K980,$C$4:C980,$C980),2))</f>
        <v/>
      </c>
      <c r="M980" s="19">
        <f>IF($C980="","",ROUND(SUM(基础资料!$B$4:$B$13)+SUM($J$4:J980)-SUM($K$4:K980),2))</f>
        <v/>
      </c>
      <c r="N980" s="13" t="n"/>
      <c r="O980" s="13" t="n"/>
      <c r="P980" s="17">
        <f>IF($B980="","",IF($F980="※类别不在基础资料里","※费用类别不在基础资料里",IF(AND(N($J980)=0,N($K980)=0),"※这行没填金额",IF(AND(N($J980)&gt;0,N($K980)&gt;0),"※收入和支出不能同一行都填",IF(AND($D980="收入",N($J980)=0),"※收入行要填收入金额",IF(AND($D980="支出",N($K980)=0),"※支出行要填支出金额",IF(AND($C980&lt;&gt;"",ISNA(MATCH($C980,账户表,0))),"※账户不在基础资料里",IF(AND($G980&lt;&gt;"",ISNA(MATCH($G980,项目名表,0))),"※项目不在项目台账里",IF(AND(LEFT($F980,3)="成本-",$G980=""),"※成本类支出没填项目",IF(AND(LEFT($F980,3)="成本-",$H980&lt;&gt;"",N($K980)&gt;0,COUNTIFS(采购单!$B:$B,$B980,采购单!$C:$C,$H980,采购单!$L:$L,$K980)&gt;0),"※这笔可能和采购单重复了",""))))))))))</f>
        <v/>
      </c>
    </row>
    <row r="981">
      <c r="A981" s="17">
        <f>IF($B981="","",ROW()-3)</f>
        <v/>
      </c>
      <c r="B981" s="18" t="n"/>
      <c r="C981" s="13" t="n"/>
      <c r="D981" s="13" t="n"/>
      <c r="E981" s="13" t="n"/>
      <c r="F981" s="17">
        <f>IF($E981="","",IFERROR(VLOOKUP($E981,类别归属,2,0),"※类别不在基础资料里"))</f>
        <v/>
      </c>
      <c r="G981" s="13" t="n"/>
      <c r="H981" s="13" t="n"/>
      <c r="I981" s="13" t="n"/>
      <c r="J981" s="14" t="n"/>
      <c r="K981" s="14" t="n"/>
      <c r="L981" s="19">
        <f>IF($C981="","",ROUND(IFERROR(VLOOKUP($C981,账户期初,2,0),0)+SUMIFS($J$4:J981,$C$4:C981,$C981)-SUMIFS($K$4:K981,$C$4:C981,$C981),2))</f>
        <v/>
      </c>
      <c r="M981" s="19">
        <f>IF($C981="","",ROUND(SUM(基础资料!$B$4:$B$13)+SUM($J$4:J981)-SUM($K$4:K981),2))</f>
        <v/>
      </c>
      <c r="N981" s="13" t="n"/>
      <c r="O981" s="13" t="n"/>
      <c r="P981" s="17">
        <f>IF($B981="","",IF($F981="※类别不在基础资料里","※费用类别不在基础资料里",IF(AND(N($J981)=0,N($K981)=0),"※这行没填金额",IF(AND(N($J981)&gt;0,N($K981)&gt;0),"※收入和支出不能同一行都填",IF(AND($D981="收入",N($J981)=0),"※收入行要填收入金额",IF(AND($D981="支出",N($K981)=0),"※支出行要填支出金额",IF(AND($C981&lt;&gt;"",ISNA(MATCH($C981,账户表,0))),"※账户不在基础资料里",IF(AND($G981&lt;&gt;"",ISNA(MATCH($G981,项目名表,0))),"※项目不在项目台账里",IF(AND(LEFT($F981,3)="成本-",$G981=""),"※成本类支出没填项目",IF(AND(LEFT($F981,3)="成本-",$H981&lt;&gt;"",N($K981)&gt;0,COUNTIFS(采购单!$B:$B,$B981,采购单!$C:$C,$H981,采购单!$L:$L,$K981)&gt;0),"※这笔可能和采购单重复了",""))))))))))</f>
        <v/>
      </c>
    </row>
    <row r="982">
      <c r="A982" s="17">
        <f>IF($B982="","",ROW()-3)</f>
        <v/>
      </c>
      <c r="B982" s="18" t="n"/>
      <c r="C982" s="13" t="n"/>
      <c r="D982" s="13" t="n"/>
      <c r="E982" s="13" t="n"/>
      <c r="F982" s="17">
        <f>IF($E982="","",IFERROR(VLOOKUP($E982,类别归属,2,0),"※类别不在基础资料里"))</f>
        <v/>
      </c>
      <c r="G982" s="13" t="n"/>
      <c r="H982" s="13" t="n"/>
      <c r="I982" s="13" t="n"/>
      <c r="J982" s="14" t="n"/>
      <c r="K982" s="14" t="n"/>
      <c r="L982" s="19">
        <f>IF($C982="","",ROUND(IFERROR(VLOOKUP($C982,账户期初,2,0),0)+SUMIFS($J$4:J982,$C$4:C982,$C982)-SUMIFS($K$4:K982,$C$4:C982,$C982),2))</f>
        <v/>
      </c>
      <c r="M982" s="19">
        <f>IF($C982="","",ROUND(SUM(基础资料!$B$4:$B$13)+SUM($J$4:J982)-SUM($K$4:K982),2))</f>
        <v/>
      </c>
      <c r="N982" s="13" t="n"/>
      <c r="O982" s="13" t="n"/>
      <c r="P982" s="17">
        <f>IF($B982="","",IF($F982="※类别不在基础资料里","※费用类别不在基础资料里",IF(AND(N($J982)=0,N($K982)=0),"※这行没填金额",IF(AND(N($J982)&gt;0,N($K982)&gt;0),"※收入和支出不能同一行都填",IF(AND($D982="收入",N($J982)=0),"※收入行要填收入金额",IF(AND($D982="支出",N($K982)=0),"※支出行要填支出金额",IF(AND($C982&lt;&gt;"",ISNA(MATCH($C982,账户表,0))),"※账户不在基础资料里",IF(AND($G982&lt;&gt;"",ISNA(MATCH($G982,项目名表,0))),"※项目不在项目台账里",IF(AND(LEFT($F982,3)="成本-",$G982=""),"※成本类支出没填项目",IF(AND(LEFT($F982,3)="成本-",$H982&lt;&gt;"",N($K982)&gt;0,COUNTIFS(采购单!$B:$B,$B982,采购单!$C:$C,$H982,采购单!$L:$L,$K982)&gt;0),"※这笔可能和采购单重复了",""))))))))))</f>
        <v/>
      </c>
    </row>
    <row r="983">
      <c r="A983" s="17">
        <f>IF($B983="","",ROW()-3)</f>
        <v/>
      </c>
      <c r="B983" s="18" t="n"/>
      <c r="C983" s="13" t="n"/>
      <c r="D983" s="13" t="n"/>
      <c r="E983" s="13" t="n"/>
      <c r="F983" s="17">
        <f>IF($E983="","",IFERROR(VLOOKUP($E983,类别归属,2,0),"※类别不在基础资料里"))</f>
        <v/>
      </c>
      <c r="G983" s="13" t="n"/>
      <c r="H983" s="13" t="n"/>
      <c r="I983" s="13" t="n"/>
      <c r="J983" s="14" t="n"/>
      <c r="K983" s="14" t="n"/>
      <c r="L983" s="19">
        <f>IF($C983="","",ROUND(IFERROR(VLOOKUP($C983,账户期初,2,0),0)+SUMIFS($J$4:J983,$C$4:C983,$C983)-SUMIFS($K$4:K983,$C$4:C983,$C983),2))</f>
        <v/>
      </c>
      <c r="M983" s="19">
        <f>IF($C983="","",ROUND(SUM(基础资料!$B$4:$B$13)+SUM($J$4:J983)-SUM($K$4:K983),2))</f>
        <v/>
      </c>
      <c r="N983" s="13" t="n"/>
      <c r="O983" s="13" t="n"/>
      <c r="P983" s="17">
        <f>IF($B983="","",IF($F983="※类别不在基础资料里","※费用类别不在基础资料里",IF(AND(N($J983)=0,N($K983)=0),"※这行没填金额",IF(AND(N($J983)&gt;0,N($K983)&gt;0),"※收入和支出不能同一行都填",IF(AND($D983="收入",N($J983)=0),"※收入行要填收入金额",IF(AND($D983="支出",N($K983)=0),"※支出行要填支出金额",IF(AND($C983&lt;&gt;"",ISNA(MATCH($C983,账户表,0))),"※账户不在基础资料里",IF(AND($G983&lt;&gt;"",ISNA(MATCH($G983,项目名表,0))),"※项目不在项目台账里",IF(AND(LEFT($F983,3)="成本-",$G983=""),"※成本类支出没填项目",IF(AND(LEFT($F983,3)="成本-",$H983&lt;&gt;"",N($K983)&gt;0,COUNTIFS(采购单!$B:$B,$B983,采购单!$C:$C,$H983,采购单!$L:$L,$K983)&gt;0),"※这笔可能和采购单重复了",""))))))))))</f>
        <v/>
      </c>
    </row>
    <row r="984">
      <c r="A984" s="17">
        <f>IF($B984="","",ROW()-3)</f>
        <v/>
      </c>
      <c r="B984" s="18" t="n"/>
      <c r="C984" s="13" t="n"/>
      <c r="D984" s="13" t="n"/>
      <c r="E984" s="13" t="n"/>
      <c r="F984" s="17">
        <f>IF($E984="","",IFERROR(VLOOKUP($E984,类别归属,2,0),"※类别不在基础资料里"))</f>
        <v/>
      </c>
      <c r="G984" s="13" t="n"/>
      <c r="H984" s="13" t="n"/>
      <c r="I984" s="13" t="n"/>
      <c r="J984" s="14" t="n"/>
      <c r="K984" s="14" t="n"/>
      <c r="L984" s="19">
        <f>IF($C984="","",ROUND(IFERROR(VLOOKUP($C984,账户期初,2,0),0)+SUMIFS($J$4:J984,$C$4:C984,$C984)-SUMIFS($K$4:K984,$C$4:C984,$C984),2))</f>
        <v/>
      </c>
      <c r="M984" s="19">
        <f>IF($C984="","",ROUND(SUM(基础资料!$B$4:$B$13)+SUM($J$4:J984)-SUM($K$4:K984),2))</f>
        <v/>
      </c>
      <c r="N984" s="13" t="n"/>
      <c r="O984" s="13" t="n"/>
      <c r="P984" s="17">
        <f>IF($B984="","",IF($F984="※类别不在基础资料里","※费用类别不在基础资料里",IF(AND(N($J984)=0,N($K984)=0),"※这行没填金额",IF(AND(N($J984)&gt;0,N($K984)&gt;0),"※收入和支出不能同一行都填",IF(AND($D984="收入",N($J984)=0),"※收入行要填收入金额",IF(AND($D984="支出",N($K984)=0),"※支出行要填支出金额",IF(AND($C984&lt;&gt;"",ISNA(MATCH($C984,账户表,0))),"※账户不在基础资料里",IF(AND($G984&lt;&gt;"",ISNA(MATCH($G984,项目名表,0))),"※项目不在项目台账里",IF(AND(LEFT($F984,3)="成本-",$G984=""),"※成本类支出没填项目",IF(AND(LEFT($F984,3)="成本-",$H984&lt;&gt;"",N($K984)&gt;0,COUNTIFS(采购单!$B:$B,$B984,采购单!$C:$C,$H984,采购单!$L:$L,$K984)&gt;0),"※这笔可能和采购单重复了",""))))))))))</f>
        <v/>
      </c>
    </row>
    <row r="985">
      <c r="A985" s="17">
        <f>IF($B985="","",ROW()-3)</f>
        <v/>
      </c>
      <c r="B985" s="18" t="n"/>
      <c r="C985" s="13" t="n"/>
      <c r="D985" s="13" t="n"/>
      <c r="E985" s="13" t="n"/>
      <c r="F985" s="17">
        <f>IF($E985="","",IFERROR(VLOOKUP($E985,类别归属,2,0),"※类别不在基础资料里"))</f>
        <v/>
      </c>
      <c r="G985" s="13" t="n"/>
      <c r="H985" s="13" t="n"/>
      <c r="I985" s="13" t="n"/>
      <c r="J985" s="14" t="n"/>
      <c r="K985" s="14" t="n"/>
      <c r="L985" s="19">
        <f>IF($C985="","",ROUND(IFERROR(VLOOKUP($C985,账户期初,2,0),0)+SUMIFS($J$4:J985,$C$4:C985,$C985)-SUMIFS($K$4:K985,$C$4:C985,$C985),2))</f>
        <v/>
      </c>
      <c r="M985" s="19">
        <f>IF($C985="","",ROUND(SUM(基础资料!$B$4:$B$13)+SUM($J$4:J985)-SUM($K$4:K985),2))</f>
        <v/>
      </c>
      <c r="N985" s="13" t="n"/>
      <c r="O985" s="13" t="n"/>
      <c r="P985" s="17">
        <f>IF($B985="","",IF($F985="※类别不在基础资料里","※费用类别不在基础资料里",IF(AND(N($J985)=0,N($K985)=0),"※这行没填金额",IF(AND(N($J985)&gt;0,N($K985)&gt;0),"※收入和支出不能同一行都填",IF(AND($D985="收入",N($J985)=0),"※收入行要填收入金额",IF(AND($D985="支出",N($K985)=0),"※支出行要填支出金额",IF(AND($C985&lt;&gt;"",ISNA(MATCH($C985,账户表,0))),"※账户不在基础资料里",IF(AND($G985&lt;&gt;"",ISNA(MATCH($G985,项目名表,0))),"※项目不在项目台账里",IF(AND(LEFT($F985,3)="成本-",$G985=""),"※成本类支出没填项目",IF(AND(LEFT($F985,3)="成本-",$H985&lt;&gt;"",N($K985)&gt;0,COUNTIFS(采购单!$B:$B,$B985,采购单!$C:$C,$H985,采购单!$L:$L,$K985)&gt;0),"※这笔可能和采购单重复了",""))))))))))</f>
        <v/>
      </c>
    </row>
    <row r="986">
      <c r="A986" s="17">
        <f>IF($B986="","",ROW()-3)</f>
        <v/>
      </c>
      <c r="B986" s="18" t="n"/>
      <c r="C986" s="13" t="n"/>
      <c r="D986" s="13" t="n"/>
      <c r="E986" s="13" t="n"/>
      <c r="F986" s="17">
        <f>IF($E986="","",IFERROR(VLOOKUP($E986,类别归属,2,0),"※类别不在基础资料里"))</f>
        <v/>
      </c>
      <c r="G986" s="13" t="n"/>
      <c r="H986" s="13" t="n"/>
      <c r="I986" s="13" t="n"/>
      <c r="J986" s="14" t="n"/>
      <c r="K986" s="14" t="n"/>
      <c r="L986" s="19">
        <f>IF($C986="","",ROUND(IFERROR(VLOOKUP($C986,账户期初,2,0),0)+SUMIFS($J$4:J986,$C$4:C986,$C986)-SUMIFS($K$4:K986,$C$4:C986,$C986),2))</f>
        <v/>
      </c>
      <c r="M986" s="19">
        <f>IF($C986="","",ROUND(SUM(基础资料!$B$4:$B$13)+SUM($J$4:J986)-SUM($K$4:K986),2))</f>
        <v/>
      </c>
      <c r="N986" s="13" t="n"/>
      <c r="O986" s="13" t="n"/>
      <c r="P986" s="17">
        <f>IF($B986="","",IF($F986="※类别不在基础资料里","※费用类别不在基础资料里",IF(AND(N($J986)=0,N($K986)=0),"※这行没填金额",IF(AND(N($J986)&gt;0,N($K986)&gt;0),"※收入和支出不能同一行都填",IF(AND($D986="收入",N($J986)=0),"※收入行要填收入金额",IF(AND($D986="支出",N($K986)=0),"※支出行要填支出金额",IF(AND($C986&lt;&gt;"",ISNA(MATCH($C986,账户表,0))),"※账户不在基础资料里",IF(AND($G986&lt;&gt;"",ISNA(MATCH($G986,项目名表,0))),"※项目不在项目台账里",IF(AND(LEFT($F986,3)="成本-",$G986=""),"※成本类支出没填项目",IF(AND(LEFT($F986,3)="成本-",$H986&lt;&gt;"",N($K986)&gt;0,COUNTIFS(采购单!$B:$B,$B986,采购单!$C:$C,$H986,采购单!$L:$L,$K986)&gt;0),"※这笔可能和采购单重复了",""))))))))))</f>
        <v/>
      </c>
    </row>
    <row r="987">
      <c r="A987" s="17">
        <f>IF($B987="","",ROW()-3)</f>
        <v/>
      </c>
      <c r="B987" s="18" t="n"/>
      <c r="C987" s="13" t="n"/>
      <c r="D987" s="13" t="n"/>
      <c r="E987" s="13" t="n"/>
      <c r="F987" s="17">
        <f>IF($E987="","",IFERROR(VLOOKUP($E987,类别归属,2,0),"※类别不在基础资料里"))</f>
        <v/>
      </c>
      <c r="G987" s="13" t="n"/>
      <c r="H987" s="13" t="n"/>
      <c r="I987" s="13" t="n"/>
      <c r="J987" s="14" t="n"/>
      <c r="K987" s="14" t="n"/>
      <c r="L987" s="19">
        <f>IF($C987="","",ROUND(IFERROR(VLOOKUP($C987,账户期初,2,0),0)+SUMIFS($J$4:J987,$C$4:C987,$C987)-SUMIFS($K$4:K987,$C$4:C987,$C987),2))</f>
        <v/>
      </c>
      <c r="M987" s="19">
        <f>IF($C987="","",ROUND(SUM(基础资料!$B$4:$B$13)+SUM($J$4:J987)-SUM($K$4:K987),2))</f>
        <v/>
      </c>
      <c r="N987" s="13" t="n"/>
      <c r="O987" s="13" t="n"/>
      <c r="P987" s="17">
        <f>IF($B987="","",IF($F987="※类别不在基础资料里","※费用类别不在基础资料里",IF(AND(N($J987)=0,N($K987)=0),"※这行没填金额",IF(AND(N($J987)&gt;0,N($K987)&gt;0),"※收入和支出不能同一行都填",IF(AND($D987="收入",N($J987)=0),"※收入行要填收入金额",IF(AND($D987="支出",N($K987)=0),"※支出行要填支出金额",IF(AND($C987&lt;&gt;"",ISNA(MATCH($C987,账户表,0))),"※账户不在基础资料里",IF(AND($G987&lt;&gt;"",ISNA(MATCH($G987,项目名表,0))),"※项目不在项目台账里",IF(AND(LEFT($F987,3)="成本-",$G987=""),"※成本类支出没填项目",IF(AND(LEFT($F987,3)="成本-",$H987&lt;&gt;"",N($K987)&gt;0,COUNTIFS(采购单!$B:$B,$B987,采购单!$C:$C,$H987,采购单!$L:$L,$K987)&gt;0),"※这笔可能和采购单重复了",""))))))))))</f>
        <v/>
      </c>
    </row>
    <row r="988">
      <c r="A988" s="17">
        <f>IF($B988="","",ROW()-3)</f>
        <v/>
      </c>
      <c r="B988" s="18" t="n"/>
      <c r="C988" s="13" t="n"/>
      <c r="D988" s="13" t="n"/>
      <c r="E988" s="13" t="n"/>
      <c r="F988" s="17">
        <f>IF($E988="","",IFERROR(VLOOKUP($E988,类别归属,2,0),"※类别不在基础资料里"))</f>
        <v/>
      </c>
      <c r="G988" s="13" t="n"/>
      <c r="H988" s="13" t="n"/>
      <c r="I988" s="13" t="n"/>
      <c r="J988" s="14" t="n"/>
      <c r="K988" s="14" t="n"/>
      <c r="L988" s="19">
        <f>IF($C988="","",ROUND(IFERROR(VLOOKUP($C988,账户期初,2,0),0)+SUMIFS($J$4:J988,$C$4:C988,$C988)-SUMIFS($K$4:K988,$C$4:C988,$C988),2))</f>
        <v/>
      </c>
      <c r="M988" s="19">
        <f>IF($C988="","",ROUND(SUM(基础资料!$B$4:$B$13)+SUM($J$4:J988)-SUM($K$4:K988),2))</f>
        <v/>
      </c>
      <c r="N988" s="13" t="n"/>
      <c r="O988" s="13" t="n"/>
      <c r="P988" s="17">
        <f>IF($B988="","",IF($F988="※类别不在基础资料里","※费用类别不在基础资料里",IF(AND(N($J988)=0,N($K988)=0),"※这行没填金额",IF(AND(N($J988)&gt;0,N($K988)&gt;0),"※收入和支出不能同一行都填",IF(AND($D988="收入",N($J988)=0),"※收入行要填收入金额",IF(AND($D988="支出",N($K988)=0),"※支出行要填支出金额",IF(AND($C988&lt;&gt;"",ISNA(MATCH($C988,账户表,0))),"※账户不在基础资料里",IF(AND($G988&lt;&gt;"",ISNA(MATCH($G988,项目名表,0))),"※项目不在项目台账里",IF(AND(LEFT($F988,3)="成本-",$G988=""),"※成本类支出没填项目",IF(AND(LEFT($F988,3)="成本-",$H988&lt;&gt;"",N($K988)&gt;0,COUNTIFS(采购单!$B:$B,$B988,采购单!$C:$C,$H988,采购单!$L:$L,$K988)&gt;0),"※这笔可能和采购单重复了",""))))))))))</f>
        <v/>
      </c>
    </row>
    <row r="989">
      <c r="A989" s="17">
        <f>IF($B989="","",ROW()-3)</f>
        <v/>
      </c>
      <c r="B989" s="18" t="n"/>
      <c r="C989" s="13" t="n"/>
      <c r="D989" s="13" t="n"/>
      <c r="E989" s="13" t="n"/>
      <c r="F989" s="17">
        <f>IF($E989="","",IFERROR(VLOOKUP($E989,类别归属,2,0),"※类别不在基础资料里"))</f>
        <v/>
      </c>
      <c r="G989" s="13" t="n"/>
      <c r="H989" s="13" t="n"/>
      <c r="I989" s="13" t="n"/>
      <c r="J989" s="14" t="n"/>
      <c r="K989" s="14" t="n"/>
      <c r="L989" s="19">
        <f>IF($C989="","",ROUND(IFERROR(VLOOKUP($C989,账户期初,2,0),0)+SUMIFS($J$4:J989,$C$4:C989,$C989)-SUMIFS($K$4:K989,$C$4:C989,$C989),2))</f>
        <v/>
      </c>
      <c r="M989" s="19">
        <f>IF($C989="","",ROUND(SUM(基础资料!$B$4:$B$13)+SUM($J$4:J989)-SUM($K$4:K989),2))</f>
        <v/>
      </c>
      <c r="N989" s="13" t="n"/>
      <c r="O989" s="13" t="n"/>
      <c r="P989" s="17">
        <f>IF($B989="","",IF($F989="※类别不在基础资料里","※费用类别不在基础资料里",IF(AND(N($J989)=0,N($K989)=0),"※这行没填金额",IF(AND(N($J989)&gt;0,N($K989)&gt;0),"※收入和支出不能同一行都填",IF(AND($D989="收入",N($J989)=0),"※收入行要填收入金额",IF(AND($D989="支出",N($K989)=0),"※支出行要填支出金额",IF(AND($C989&lt;&gt;"",ISNA(MATCH($C989,账户表,0))),"※账户不在基础资料里",IF(AND($G989&lt;&gt;"",ISNA(MATCH($G989,项目名表,0))),"※项目不在项目台账里",IF(AND(LEFT($F989,3)="成本-",$G989=""),"※成本类支出没填项目",IF(AND(LEFT($F989,3)="成本-",$H989&lt;&gt;"",N($K989)&gt;0,COUNTIFS(采购单!$B:$B,$B989,采购单!$C:$C,$H989,采购单!$L:$L,$K989)&gt;0),"※这笔可能和采购单重复了",""))))))))))</f>
        <v/>
      </c>
    </row>
    <row r="990">
      <c r="A990" s="17">
        <f>IF($B990="","",ROW()-3)</f>
        <v/>
      </c>
      <c r="B990" s="18" t="n"/>
      <c r="C990" s="13" t="n"/>
      <c r="D990" s="13" t="n"/>
      <c r="E990" s="13" t="n"/>
      <c r="F990" s="17">
        <f>IF($E990="","",IFERROR(VLOOKUP($E990,类别归属,2,0),"※类别不在基础资料里"))</f>
        <v/>
      </c>
      <c r="G990" s="13" t="n"/>
      <c r="H990" s="13" t="n"/>
      <c r="I990" s="13" t="n"/>
      <c r="J990" s="14" t="n"/>
      <c r="K990" s="14" t="n"/>
      <c r="L990" s="19">
        <f>IF($C990="","",ROUND(IFERROR(VLOOKUP($C990,账户期初,2,0),0)+SUMIFS($J$4:J990,$C$4:C990,$C990)-SUMIFS($K$4:K990,$C$4:C990,$C990),2))</f>
        <v/>
      </c>
      <c r="M990" s="19">
        <f>IF($C990="","",ROUND(SUM(基础资料!$B$4:$B$13)+SUM($J$4:J990)-SUM($K$4:K990),2))</f>
        <v/>
      </c>
      <c r="N990" s="13" t="n"/>
      <c r="O990" s="13" t="n"/>
      <c r="P990" s="17">
        <f>IF($B990="","",IF($F990="※类别不在基础资料里","※费用类别不在基础资料里",IF(AND(N($J990)=0,N($K990)=0),"※这行没填金额",IF(AND(N($J990)&gt;0,N($K990)&gt;0),"※收入和支出不能同一行都填",IF(AND($D990="收入",N($J990)=0),"※收入行要填收入金额",IF(AND($D990="支出",N($K990)=0),"※支出行要填支出金额",IF(AND($C990&lt;&gt;"",ISNA(MATCH($C990,账户表,0))),"※账户不在基础资料里",IF(AND($G990&lt;&gt;"",ISNA(MATCH($G990,项目名表,0))),"※项目不在项目台账里",IF(AND(LEFT($F990,3)="成本-",$G990=""),"※成本类支出没填项目",IF(AND(LEFT($F990,3)="成本-",$H990&lt;&gt;"",N($K990)&gt;0,COUNTIFS(采购单!$B:$B,$B990,采购单!$C:$C,$H990,采购单!$L:$L,$K990)&gt;0),"※这笔可能和采购单重复了",""))))))))))</f>
        <v/>
      </c>
    </row>
    <row r="991">
      <c r="A991" s="17">
        <f>IF($B991="","",ROW()-3)</f>
        <v/>
      </c>
      <c r="B991" s="18" t="n"/>
      <c r="C991" s="13" t="n"/>
      <c r="D991" s="13" t="n"/>
      <c r="E991" s="13" t="n"/>
      <c r="F991" s="17">
        <f>IF($E991="","",IFERROR(VLOOKUP($E991,类别归属,2,0),"※类别不在基础资料里"))</f>
        <v/>
      </c>
      <c r="G991" s="13" t="n"/>
      <c r="H991" s="13" t="n"/>
      <c r="I991" s="13" t="n"/>
      <c r="J991" s="14" t="n"/>
      <c r="K991" s="14" t="n"/>
      <c r="L991" s="19">
        <f>IF($C991="","",ROUND(IFERROR(VLOOKUP($C991,账户期初,2,0),0)+SUMIFS($J$4:J991,$C$4:C991,$C991)-SUMIFS($K$4:K991,$C$4:C991,$C991),2))</f>
        <v/>
      </c>
      <c r="M991" s="19">
        <f>IF($C991="","",ROUND(SUM(基础资料!$B$4:$B$13)+SUM($J$4:J991)-SUM($K$4:K991),2))</f>
        <v/>
      </c>
      <c r="N991" s="13" t="n"/>
      <c r="O991" s="13" t="n"/>
      <c r="P991" s="17">
        <f>IF($B991="","",IF($F991="※类别不在基础资料里","※费用类别不在基础资料里",IF(AND(N($J991)=0,N($K991)=0),"※这行没填金额",IF(AND(N($J991)&gt;0,N($K991)&gt;0),"※收入和支出不能同一行都填",IF(AND($D991="收入",N($J991)=0),"※收入行要填收入金额",IF(AND($D991="支出",N($K991)=0),"※支出行要填支出金额",IF(AND($C991&lt;&gt;"",ISNA(MATCH($C991,账户表,0))),"※账户不在基础资料里",IF(AND($G991&lt;&gt;"",ISNA(MATCH($G991,项目名表,0))),"※项目不在项目台账里",IF(AND(LEFT($F991,3)="成本-",$G991=""),"※成本类支出没填项目",IF(AND(LEFT($F991,3)="成本-",$H991&lt;&gt;"",N($K991)&gt;0,COUNTIFS(采购单!$B:$B,$B991,采购单!$C:$C,$H991,采购单!$L:$L,$K991)&gt;0),"※这笔可能和采购单重复了",""))))))))))</f>
        <v/>
      </c>
    </row>
    <row r="992">
      <c r="A992" s="17">
        <f>IF($B992="","",ROW()-3)</f>
        <v/>
      </c>
      <c r="B992" s="18" t="n"/>
      <c r="C992" s="13" t="n"/>
      <c r="D992" s="13" t="n"/>
      <c r="E992" s="13" t="n"/>
      <c r="F992" s="17">
        <f>IF($E992="","",IFERROR(VLOOKUP($E992,类别归属,2,0),"※类别不在基础资料里"))</f>
        <v/>
      </c>
      <c r="G992" s="13" t="n"/>
      <c r="H992" s="13" t="n"/>
      <c r="I992" s="13" t="n"/>
      <c r="J992" s="14" t="n"/>
      <c r="K992" s="14" t="n"/>
      <c r="L992" s="19">
        <f>IF($C992="","",ROUND(IFERROR(VLOOKUP($C992,账户期初,2,0),0)+SUMIFS($J$4:J992,$C$4:C992,$C992)-SUMIFS($K$4:K992,$C$4:C992,$C992),2))</f>
        <v/>
      </c>
      <c r="M992" s="19">
        <f>IF($C992="","",ROUND(SUM(基础资料!$B$4:$B$13)+SUM($J$4:J992)-SUM($K$4:K992),2))</f>
        <v/>
      </c>
      <c r="N992" s="13" t="n"/>
      <c r="O992" s="13" t="n"/>
      <c r="P992" s="17">
        <f>IF($B992="","",IF($F992="※类别不在基础资料里","※费用类别不在基础资料里",IF(AND(N($J992)=0,N($K992)=0),"※这行没填金额",IF(AND(N($J992)&gt;0,N($K992)&gt;0),"※收入和支出不能同一行都填",IF(AND($D992="收入",N($J992)=0),"※收入行要填收入金额",IF(AND($D992="支出",N($K992)=0),"※支出行要填支出金额",IF(AND($C992&lt;&gt;"",ISNA(MATCH($C992,账户表,0))),"※账户不在基础资料里",IF(AND($G992&lt;&gt;"",ISNA(MATCH($G992,项目名表,0))),"※项目不在项目台账里",IF(AND(LEFT($F992,3)="成本-",$G992=""),"※成本类支出没填项目",IF(AND(LEFT($F992,3)="成本-",$H992&lt;&gt;"",N($K992)&gt;0,COUNTIFS(采购单!$B:$B,$B992,采购单!$C:$C,$H992,采购单!$L:$L,$K992)&gt;0),"※这笔可能和采购单重复了",""))))))))))</f>
        <v/>
      </c>
    </row>
    <row r="993">
      <c r="A993" s="17">
        <f>IF($B993="","",ROW()-3)</f>
        <v/>
      </c>
      <c r="B993" s="18" t="n"/>
      <c r="C993" s="13" t="n"/>
      <c r="D993" s="13" t="n"/>
      <c r="E993" s="13" t="n"/>
      <c r="F993" s="17">
        <f>IF($E993="","",IFERROR(VLOOKUP($E993,类别归属,2,0),"※类别不在基础资料里"))</f>
        <v/>
      </c>
      <c r="G993" s="13" t="n"/>
      <c r="H993" s="13" t="n"/>
      <c r="I993" s="13" t="n"/>
      <c r="J993" s="14" t="n"/>
      <c r="K993" s="14" t="n"/>
      <c r="L993" s="19">
        <f>IF($C993="","",ROUND(IFERROR(VLOOKUP($C993,账户期初,2,0),0)+SUMIFS($J$4:J993,$C$4:C993,$C993)-SUMIFS($K$4:K993,$C$4:C993,$C993),2))</f>
        <v/>
      </c>
      <c r="M993" s="19">
        <f>IF($C993="","",ROUND(SUM(基础资料!$B$4:$B$13)+SUM($J$4:J993)-SUM($K$4:K993),2))</f>
        <v/>
      </c>
      <c r="N993" s="13" t="n"/>
      <c r="O993" s="13" t="n"/>
      <c r="P993" s="17">
        <f>IF($B993="","",IF($F993="※类别不在基础资料里","※费用类别不在基础资料里",IF(AND(N($J993)=0,N($K993)=0),"※这行没填金额",IF(AND(N($J993)&gt;0,N($K993)&gt;0),"※收入和支出不能同一行都填",IF(AND($D993="收入",N($J993)=0),"※收入行要填收入金额",IF(AND($D993="支出",N($K993)=0),"※支出行要填支出金额",IF(AND($C993&lt;&gt;"",ISNA(MATCH($C993,账户表,0))),"※账户不在基础资料里",IF(AND($G993&lt;&gt;"",ISNA(MATCH($G993,项目名表,0))),"※项目不在项目台账里",IF(AND(LEFT($F993,3)="成本-",$G993=""),"※成本类支出没填项目",IF(AND(LEFT($F993,3)="成本-",$H993&lt;&gt;"",N($K993)&gt;0,COUNTIFS(采购单!$B:$B,$B993,采购单!$C:$C,$H993,采购单!$L:$L,$K993)&gt;0),"※这笔可能和采购单重复了",""))))))))))</f>
        <v/>
      </c>
    </row>
    <row r="994">
      <c r="A994" s="17">
        <f>IF($B994="","",ROW()-3)</f>
        <v/>
      </c>
      <c r="B994" s="18" t="n"/>
      <c r="C994" s="13" t="n"/>
      <c r="D994" s="13" t="n"/>
      <c r="E994" s="13" t="n"/>
      <c r="F994" s="17">
        <f>IF($E994="","",IFERROR(VLOOKUP($E994,类别归属,2,0),"※类别不在基础资料里"))</f>
        <v/>
      </c>
      <c r="G994" s="13" t="n"/>
      <c r="H994" s="13" t="n"/>
      <c r="I994" s="13" t="n"/>
      <c r="J994" s="14" t="n"/>
      <c r="K994" s="14" t="n"/>
      <c r="L994" s="19">
        <f>IF($C994="","",ROUND(IFERROR(VLOOKUP($C994,账户期初,2,0),0)+SUMIFS($J$4:J994,$C$4:C994,$C994)-SUMIFS($K$4:K994,$C$4:C994,$C994),2))</f>
        <v/>
      </c>
      <c r="M994" s="19">
        <f>IF($C994="","",ROUND(SUM(基础资料!$B$4:$B$13)+SUM($J$4:J994)-SUM($K$4:K994),2))</f>
        <v/>
      </c>
      <c r="N994" s="13" t="n"/>
      <c r="O994" s="13" t="n"/>
      <c r="P994" s="17">
        <f>IF($B994="","",IF($F994="※类别不在基础资料里","※费用类别不在基础资料里",IF(AND(N($J994)=0,N($K994)=0),"※这行没填金额",IF(AND(N($J994)&gt;0,N($K994)&gt;0),"※收入和支出不能同一行都填",IF(AND($D994="收入",N($J994)=0),"※收入行要填收入金额",IF(AND($D994="支出",N($K994)=0),"※支出行要填支出金额",IF(AND($C994&lt;&gt;"",ISNA(MATCH($C994,账户表,0))),"※账户不在基础资料里",IF(AND($G994&lt;&gt;"",ISNA(MATCH($G994,项目名表,0))),"※项目不在项目台账里",IF(AND(LEFT($F994,3)="成本-",$G994=""),"※成本类支出没填项目",IF(AND(LEFT($F994,3)="成本-",$H994&lt;&gt;"",N($K994)&gt;0,COUNTIFS(采购单!$B:$B,$B994,采购单!$C:$C,$H994,采购单!$L:$L,$K994)&gt;0),"※这笔可能和采购单重复了",""))))))))))</f>
        <v/>
      </c>
    </row>
    <row r="995">
      <c r="A995" s="17">
        <f>IF($B995="","",ROW()-3)</f>
        <v/>
      </c>
      <c r="B995" s="18" t="n"/>
      <c r="C995" s="13" t="n"/>
      <c r="D995" s="13" t="n"/>
      <c r="E995" s="13" t="n"/>
      <c r="F995" s="17">
        <f>IF($E995="","",IFERROR(VLOOKUP($E995,类别归属,2,0),"※类别不在基础资料里"))</f>
        <v/>
      </c>
      <c r="G995" s="13" t="n"/>
      <c r="H995" s="13" t="n"/>
      <c r="I995" s="13" t="n"/>
      <c r="J995" s="14" t="n"/>
      <c r="K995" s="14" t="n"/>
      <c r="L995" s="19">
        <f>IF($C995="","",ROUND(IFERROR(VLOOKUP($C995,账户期初,2,0),0)+SUMIFS($J$4:J995,$C$4:C995,$C995)-SUMIFS($K$4:K995,$C$4:C995,$C995),2))</f>
        <v/>
      </c>
      <c r="M995" s="19">
        <f>IF($C995="","",ROUND(SUM(基础资料!$B$4:$B$13)+SUM($J$4:J995)-SUM($K$4:K995),2))</f>
        <v/>
      </c>
      <c r="N995" s="13" t="n"/>
      <c r="O995" s="13" t="n"/>
      <c r="P995" s="17">
        <f>IF($B995="","",IF($F995="※类别不在基础资料里","※费用类别不在基础资料里",IF(AND(N($J995)=0,N($K995)=0),"※这行没填金额",IF(AND(N($J995)&gt;0,N($K995)&gt;0),"※收入和支出不能同一行都填",IF(AND($D995="收入",N($J995)=0),"※收入行要填收入金额",IF(AND($D995="支出",N($K995)=0),"※支出行要填支出金额",IF(AND($C995&lt;&gt;"",ISNA(MATCH($C995,账户表,0))),"※账户不在基础资料里",IF(AND($G995&lt;&gt;"",ISNA(MATCH($G995,项目名表,0))),"※项目不在项目台账里",IF(AND(LEFT($F995,3)="成本-",$G995=""),"※成本类支出没填项目",IF(AND(LEFT($F995,3)="成本-",$H995&lt;&gt;"",N($K995)&gt;0,COUNTIFS(采购单!$B:$B,$B995,采购单!$C:$C,$H995,采购单!$L:$L,$K995)&gt;0),"※这笔可能和采购单重复了",""))))))))))</f>
        <v/>
      </c>
    </row>
    <row r="996">
      <c r="A996" s="17">
        <f>IF($B996="","",ROW()-3)</f>
        <v/>
      </c>
      <c r="B996" s="18" t="n"/>
      <c r="C996" s="13" t="n"/>
      <c r="D996" s="13" t="n"/>
      <c r="E996" s="13" t="n"/>
      <c r="F996" s="17">
        <f>IF($E996="","",IFERROR(VLOOKUP($E996,类别归属,2,0),"※类别不在基础资料里"))</f>
        <v/>
      </c>
      <c r="G996" s="13" t="n"/>
      <c r="H996" s="13" t="n"/>
      <c r="I996" s="13" t="n"/>
      <c r="J996" s="14" t="n"/>
      <c r="K996" s="14" t="n"/>
      <c r="L996" s="19">
        <f>IF($C996="","",ROUND(IFERROR(VLOOKUP($C996,账户期初,2,0),0)+SUMIFS($J$4:J996,$C$4:C996,$C996)-SUMIFS($K$4:K996,$C$4:C996,$C996),2))</f>
        <v/>
      </c>
      <c r="M996" s="19">
        <f>IF($C996="","",ROUND(SUM(基础资料!$B$4:$B$13)+SUM($J$4:J996)-SUM($K$4:K996),2))</f>
        <v/>
      </c>
      <c r="N996" s="13" t="n"/>
      <c r="O996" s="13" t="n"/>
      <c r="P996" s="17">
        <f>IF($B996="","",IF($F996="※类别不在基础资料里","※费用类别不在基础资料里",IF(AND(N($J996)=0,N($K996)=0),"※这行没填金额",IF(AND(N($J996)&gt;0,N($K996)&gt;0),"※收入和支出不能同一行都填",IF(AND($D996="收入",N($J996)=0),"※收入行要填收入金额",IF(AND($D996="支出",N($K996)=0),"※支出行要填支出金额",IF(AND($C996&lt;&gt;"",ISNA(MATCH($C996,账户表,0))),"※账户不在基础资料里",IF(AND($G996&lt;&gt;"",ISNA(MATCH($G996,项目名表,0))),"※项目不在项目台账里",IF(AND(LEFT($F996,3)="成本-",$G996=""),"※成本类支出没填项目",IF(AND(LEFT($F996,3)="成本-",$H996&lt;&gt;"",N($K996)&gt;0,COUNTIFS(采购单!$B:$B,$B996,采购单!$C:$C,$H996,采购单!$L:$L,$K996)&gt;0),"※这笔可能和采购单重复了",""))))))))))</f>
        <v/>
      </c>
    </row>
    <row r="997">
      <c r="A997" s="17">
        <f>IF($B997="","",ROW()-3)</f>
        <v/>
      </c>
      <c r="B997" s="18" t="n"/>
      <c r="C997" s="13" t="n"/>
      <c r="D997" s="13" t="n"/>
      <c r="E997" s="13" t="n"/>
      <c r="F997" s="17">
        <f>IF($E997="","",IFERROR(VLOOKUP($E997,类别归属,2,0),"※类别不在基础资料里"))</f>
        <v/>
      </c>
      <c r="G997" s="13" t="n"/>
      <c r="H997" s="13" t="n"/>
      <c r="I997" s="13" t="n"/>
      <c r="J997" s="14" t="n"/>
      <c r="K997" s="14" t="n"/>
      <c r="L997" s="19">
        <f>IF($C997="","",ROUND(IFERROR(VLOOKUP($C997,账户期初,2,0),0)+SUMIFS($J$4:J997,$C$4:C997,$C997)-SUMIFS($K$4:K997,$C$4:C997,$C997),2))</f>
        <v/>
      </c>
      <c r="M997" s="19">
        <f>IF($C997="","",ROUND(SUM(基础资料!$B$4:$B$13)+SUM($J$4:J997)-SUM($K$4:K997),2))</f>
        <v/>
      </c>
      <c r="N997" s="13" t="n"/>
      <c r="O997" s="13" t="n"/>
      <c r="P997" s="17">
        <f>IF($B997="","",IF($F997="※类别不在基础资料里","※费用类别不在基础资料里",IF(AND(N($J997)=0,N($K997)=0),"※这行没填金额",IF(AND(N($J997)&gt;0,N($K997)&gt;0),"※收入和支出不能同一行都填",IF(AND($D997="收入",N($J997)=0),"※收入行要填收入金额",IF(AND($D997="支出",N($K997)=0),"※支出行要填支出金额",IF(AND($C997&lt;&gt;"",ISNA(MATCH($C997,账户表,0))),"※账户不在基础资料里",IF(AND($G997&lt;&gt;"",ISNA(MATCH($G997,项目名表,0))),"※项目不在项目台账里",IF(AND(LEFT($F997,3)="成本-",$G997=""),"※成本类支出没填项目",IF(AND(LEFT($F997,3)="成本-",$H997&lt;&gt;"",N($K997)&gt;0,COUNTIFS(采购单!$B:$B,$B997,采购单!$C:$C,$H997,采购单!$L:$L,$K997)&gt;0),"※这笔可能和采购单重复了",""))))))))))</f>
        <v/>
      </c>
    </row>
    <row r="998">
      <c r="A998" s="17">
        <f>IF($B998="","",ROW()-3)</f>
        <v/>
      </c>
      <c r="B998" s="18" t="n"/>
      <c r="C998" s="13" t="n"/>
      <c r="D998" s="13" t="n"/>
      <c r="E998" s="13" t="n"/>
      <c r="F998" s="17">
        <f>IF($E998="","",IFERROR(VLOOKUP($E998,类别归属,2,0),"※类别不在基础资料里"))</f>
        <v/>
      </c>
      <c r="G998" s="13" t="n"/>
      <c r="H998" s="13" t="n"/>
      <c r="I998" s="13" t="n"/>
      <c r="J998" s="14" t="n"/>
      <c r="K998" s="14" t="n"/>
      <c r="L998" s="19">
        <f>IF($C998="","",ROUND(IFERROR(VLOOKUP($C998,账户期初,2,0),0)+SUMIFS($J$4:J998,$C$4:C998,$C998)-SUMIFS($K$4:K998,$C$4:C998,$C998),2))</f>
        <v/>
      </c>
      <c r="M998" s="19">
        <f>IF($C998="","",ROUND(SUM(基础资料!$B$4:$B$13)+SUM($J$4:J998)-SUM($K$4:K998),2))</f>
        <v/>
      </c>
      <c r="N998" s="13" t="n"/>
      <c r="O998" s="13" t="n"/>
      <c r="P998" s="17">
        <f>IF($B998="","",IF($F998="※类别不在基础资料里","※费用类别不在基础资料里",IF(AND(N($J998)=0,N($K998)=0),"※这行没填金额",IF(AND(N($J998)&gt;0,N($K998)&gt;0),"※收入和支出不能同一行都填",IF(AND($D998="收入",N($J998)=0),"※收入行要填收入金额",IF(AND($D998="支出",N($K998)=0),"※支出行要填支出金额",IF(AND($C998&lt;&gt;"",ISNA(MATCH($C998,账户表,0))),"※账户不在基础资料里",IF(AND($G998&lt;&gt;"",ISNA(MATCH($G998,项目名表,0))),"※项目不在项目台账里",IF(AND(LEFT($F998,3)="成本-",$G998=""),"※成本类支出没填项目",IF(AND(LEFT($F998,3)="成本-",$H998&lt;&gt;"",N($K998)&gt;0,COUNTIFS(采购单!$B:$B,$B998,采购单!$C:$C,$H998,采购单!$L:$L,$K998)&gt;0),"※这笔可能和采购单重复了",""))))))))))</f>
        <v/>
      </c>
    </row>
    <row r="999">
      <c r="A999" s="17">
        <f>IF($B999="","",ROW()-3)</f>
        <v/>
      </c>
      <c r="B999" s="18" t="n"/>
      <c r="C999" s="13" t="n"/>
      <c r="D999" s="13" t="n"/>
      <c r="E999" s="13" t="n"/>
      <c r="F999" s="17">
        <f>IF($E999="","",IFERROR(VLOOKUP($E999,类别归属,2,0),"※类别不在基础资料里"))</f>
        <v/>
      </c>
      <c r="G999" s="13" t="n"/>
      <c r="H999" s="13" t="n"/>
      <c r="I999" s="13" t="n"/>
      <c r="J999" s="14" t="n"/>
      <c r="K999" s="14" t="n"/>
      <c r="L999" s="19">
        <f>IF($C999="","",ROUND(IFERROR(VLOOKUP($C999,账户期初,2,0),0)+SUMIFS($J$4:J999,$C$4:C999,$C999)-SUMIFS($K$4:K999,$C$4:C999,$C999),2))</f>
        <v/>
      </c>
      <c r="M999" s="19">
        <f>IF($C999="","",ROUND(SUM(基础资料!$B$4:$B$13)+SUM($J$4:J999)-SUM($K$4:K999),2))</f>
        <v/>
      </c>
      <c r="N999" s="13" t="n"/>
      <c r="O999" s="13" t="n"/>
      <c r="P999" s="17">
        <f>IF($B999="","",IF($F999="※类别不在基础资料里","※费用类别不在基础资料里",IF(AND(N($J999)=0,N($K999)=0),"※这行没填金额",IF(AND(N($J999)&gt;0,N($K999)&gt;0),"※收入和支出不能同一行都填",IF(AND($D999="收入",N($J999)=0),"※收入行要填收入金额",IF(AND($D999="支出",N($K999)=0),"※支出行要填支出金额",IF(AND($C999&lt;&gt;"",ISNA(MATCH($C999,账户表,0))),"※账户不在基础资料里",IF(AND($G999&lt;&gt;"",ISNA(MATCH($G999,项目名表,0))),"※项目不在项目台账里",IF(AND(LEFT($F999,3)="成本-",$G999=""),"※成本类支出没填项目",IF(AND(LEFT($F999,3)="成本-",$H999&lt;&gt;"",N($K999)&gt;0,COUNTIFS(采购单!$B:$B,$B999,采购单!$C:$C,$H999,采购单!$L:$L,$K999)&gt;0),"※这笔可能和采购单重复了",""))))))))))</f>
        <v/>
      </c>
    </row>
    <row r="1000">
      <c r="A1000" s="17">
        <f>IF($B1000="","",ROW()-3)</f>
        <v/>
      </c>
      <c r="B1000" s="18" t="n"/>
      <c r="C1000" s="13" t="n"/>
      <c r="D1000" s="13" t="n"/>
      <c r="E1000" s="13" t="n"/>
      <c r="F1000" s="17">
        <f>IF($E1000="","",IFERROR(VLOOKUP($E1000,类别归属,2,0),"※类别不在基础资料里"))</f>
        <v/>
      </c>
      <c r="G1000" s="13" t="n"/>
      <c r="H1000" s="13" t="n"/>
      <c r="I1000" s="13" t="n"/>
      <c r="J1000" s="14" t="n"/>
      <c r="K1000" s="14" t="n"/>
      <c r="L1000" s="19">
        <f>IF($C1000="","",ROUND(IFERROR(VLOOKUP($C1000,账户期初,2,0),0)+SUMIFS($J$4:J1000,$C$4:C1000,$C1000)-SUMIFS($K$4:K1000,$C$4:C1000,$C1000),2))</f>
        <v/>
      </c>
      <c r="M1000" s="19">
        <f>IF($C1000="","",ROUND(SUM(基础资料!$B$4:$B$13)+SUM($J$4:J1000)-SUM($K$4:K1000),2))</f>
        <v/>
      </c>
      <c r="N1000" s="13" t="n"/>
      <c r="O1000" s="13" t="n"/>
      <c r="P1000" s="17">
        <f>IF($B1000="","",IF($F1000="※类别不在基础资料里","※费用类别不在基础资料里",IF(AND(N($J1000)=0,N($K1000)=0),"※这行没填金额",IF(AND(N($J1000)&gt;0,N($K1000)&gt;0),"※收入和支出不能同一行都填",IF(AND($D1000="收入",N($J1000)=0),"※收入行要填收入金额",IF(AND($D1000="支出",N($K1000)=0),"※支出行要填支出金额",IF(AND($C1000&lt;&gt;"",ISNA(MATCH($C1000,账户表,0))),"※账户不在基础资料里",IF(AND($G1000&lt;&gt;"",ISNA(MATCH($G1000,项目名表,0))),"※项目不在项目台账里",IF(AND(LEFT($F1000,3)="成本-",$G1000=""),"※成本类支出没填项目",IF(AND(LEFT($F1000,3)="成本-",$H1000&lt;&gt;"",N($K1000)&gt;0,COUNTIFS(采购单!$B:$B,$B1000,采购单!$C:$C,$H1000,采购单!$L:$L,$K1000)&gt;0),"※这笔可能和采购单重复了",""))))))))))</f>
        <v/>
      </c>
    </row>
    <row r="1001">
      <c r="A1001" s="17">
        <f>IF($B1001="","",ROW()-3)</f>
        <v/>
      </c>
      <c r="B1001" s="18" t="n"/>
      <c r="C1001" s="13" t="n"/>
      <c r="D1001" s="13" t="n"/>
      <c r="E1001" s="13" t="n"/>
      <c r="F1001" s="17">
        <f>IF($E1001="","",IFERROR(VLOOKUP($E1001,类别归属,2,0),"※类别不在基础资料里"))</f>
        <v/>
      </c>
      <c r="G1001" s="13" t="n"/>
      <c r="H1001" s="13" t="n"/>
      <c r="I1001" s="13" t="n"/>
      <c r="J1001" s="14" t="n"/>
      <c r="K1001" s="14" t="n"/>
      <c r="L1001" s="19">
        <f>IF($C1001="","",ROUND(IFERROR(VLOOKUP($C1001,账户期初,2,0),0)+SUMIFS($J$4:J1001,$C$4:C1001,$C1001)-SUMIFS($K$4:K1001,$C$4:C1001,$C1001),2))</f>
        <v/>
      </c>
      <c r="M1001" s="19">
        <f>IF($C1001="","",ROUND(SUM(基础资料!$B$4:$B$13)+SUM($J$4:J1001)-SUM($K$4:K1001),2))</f>
        <v/>
      </c>
      <c r="N1001" s="13" t="n"/>
      <c r="O1001" s="13" t="n"/>
      <c r="P1001" s="17">
        <f>IF($B1001="","",IF($F1001="※类别不在基础资料里","※费用类别不在基础资料里",IF(AND(N($J1001)=0,N($K1001)=0),"※这行没填金额",IF(AND(N($J1001)&gt;0,N($K1001)&gt;0),"※收入和支出不能同一行都填",IF(AND($D1001="收入",N($J1001)=0),"※收入行要填收入金额",IF(AND($D1001="支出",N($K1001)=0),"※支出行要填支出金额",IF(AND($C1001&lt;&gt;"",ISNA(MATCH($C1001,账户表,0))),"※账户不在基础资料里",IF(AND($G1001&lt;&gt;"",ISNA(MATCH($G1001,项目名表,0))),"※项目不在项目台账里",IF(AND(LEFT($F1001,3)="成本-",$G1001=""),"※成本类支出没填项目",IF(AND(LEFT($F1001,3)="成本-",$H1001&lt;&gt;"",N($K1001)&gt;0,COUNTIFS(采购单!$B:$B,$B1001,采购单!$C:$C,$H1001,采购单!$L:$L,$K1001)&gt;0),"※这笔可能和采购单重复了",""))))))))))</f>
        <v/>
      </c>
    </row>
    <row r="1002">
      <c r="A1002" s="17">
        <f>IF($B1002="","",ROW()-3)</f>
        <v/>
      </c>
      <c r="B1002" s="18" t="n"/>
      <c r="C1002" s="13" t="n"/>
      <c r="D1002" s="13" t="n"/>
      <c r="E1002" s="13" t="n"/>
      <c r="F1002" s="17">
        <f>IF($E1002="","",IFERROR(VLOOKUP($E1002,类别归属,2,0),"※类别不在基础资料里"))</f>
        <v/>
      </c>
      <c r="G1002" s="13" t="n"/>
      <c r="H1002" s="13" t="n"/>
      <c r="I1002" s="13" t="n"/>
      <c r="J1002" s="14" t="n"/>
      <c r="K1002" s="14" t="n"/>
      <c r="L1002" s="19">
        <f>IF($C1002="","",ROUND(IFERROR(VLOOKUP($C1002,账户期初,2,0),0)+SUMIFS($J$4:J1002,$C$4:C1002,$C1002)-SUMIFS($K$4:K1002,$C$4:C1002,$C1002),2))</f>
        <v/>
      </c>
      <c r="M1002" s="19">
        <f>IF($C1002="","",ROUND(SUM(基础资料!$B$4:$B$13)+SUM($J$4:J1002)-SUM($K$4:K1002),2))</f>
        <v/>
      </c>
      <c r="N1002" s="13" t="n"/>
      <c r="O1002" s="13" t="n"/>
      <c r="P1002" s="17">
        <f>IF($B1002="","",IF($F1002="※类别不在基础资料里","※费用类别不在基础资料里",IF(AND(N($J1002)=0,N($K1002)=0),"※这行没填金额",IF(AND(N($J1002)&gt;0,N($K1002)&gt;0),"※收入和支出不能同一行都填",IF(AND($D1002="收入",N($J1002)=0),"※收入行要填收入金额",IF(AND($D1002="支出",N($K1002)=0),"※支出行要填支出金额",IF(AND($C1002&lt;&gt;"",ISNA(MATCH($C1002,账户表,0))),"※账户不在基础资料里",IF(AND($G1002&lt;&gt;"",ISNA(MATCH($G1002,项目名表,0))),"※项目不在项目台账里",IF(AND(LEFT($F1002,3)="成本-",$G1002=""),"※成本类支出没填项目",IF(AND(LEFT($F1002,3)="成本-",$H1002&lt;&gt;"",N($K1002)&gt;0,COUNTIFS(采购单!$B:$B,$B1002,采购单!$C:$C,$H1002,采购单!$L:$L,$K1002)&gt;0),"※这笔可能和采购单重复了",""))))))))))</f>
        <v/>
      </c>
    </row>
    <row r="1003">
      <c r="A1003" s="17">
        <f>IF($B1003="","",ROW()-3)</f>
        <v/>
      </c>
      <c r="B1003" s="18" t="n"/>
      <c r="C1003" s="13" t="n"/>
      <c r="D1003" s="13" t="n"/>
      <c r="E1003" s="13" t="n"/>
      <c r="F1003" s="17">
        <f>IF($E1003="","",IFERROR(VLOOKUP($E1003,类别归属,2,0),"※类别不在基础资料里"))</f>
        <v/>
      </c>
      <c r="G1003" s="13" t="n"/>
      <c r="H1003" s="13" t="n"/>
      <c r="I1003" s="13" t="n"/>
      <c r="J1003" s="14" t="n"/>
      <c r="K1003" s="14" t="n"/>
      <c r="L1003" s="19">
        <f>IF($C1003="","",ROUND(IFERROR(VLOOKUP($C1003,账户期初,2,0),0)+SUMIFS($J$4:J1003,$C$4:C1003,$C1003)-SUMIFS($K$4:K1003,$C$4:C1003,$C1003),2))</f>
        <v/>
      </c>
      <c r="M1003" s="19">
        <f>IF($C1003="","",ROUND(SUM(基础资料!$B$4:$B$13)+SUM($J$4:J1003)-SUM($K$4:K1003),2))</f>
        <v/>
      </c>
      <c r="N1003" s="13" t="n"/>
      <c r="O1003" s="13" t="n"/>
      <c r="P1003" s="17">
        <f>IF($B1003="","",IF($F1003="※类别不在基础资料里","※费用类别不在基础资料里",IF(AND(N($J1003)=0,N($K1003)=0),"※这行没填金额",IF(AND(N($J1003)&gt;0,N($K1003)&gt;0),"※收入和支出不能同一行都填",IF(AND($D1003="收入",N($J1003)=0),"※收入行要填收入金额",IF(AND($D1003="支出",N($K1003)=0),"※支出行要填支出金额",IF(AND($C1003&lt;&gt;"",ISNA(MATCH($C1003,账户表,0))),"※账户不在基础资料里",IF(AND($G1003&lt;&gt;"",ISNA(MATCH($G1003,项目名表,0))),"※项目不在项目台账里",IF(AND(LEFT($F1003,3)="成本-",$G1003=""),"※成本类支出没填项目",IF(AND(LEFT($F1003,3)="成本-",$H1003&lt;&gt;"",N($K1003)&gt;0,COUNTIFS(采购单!$B:$B,$B1003,采购单!$C:$C,$H1003,采购单!$L:$L,$K1003)&gt;0),"※这笔可能和采购单重复了",""))))))))))</f>
        <v/>
      </c>
    </row>
    <row r="1004">
      <c r="A1004" s="17">
        <f>IF($B1004="","",ROW()-3)</f>
        <v/>
      </c>
      <c r="B1004" s="18" t="n"/>
      <c r="C1004" s="13" t="n"/>
      <c r="D1004" s="13" t="n"/>
      <c r="E1004" s="13" t="n"/>
      <c r="F1004" s="17">
        <f>IF($E1004="","",IFERROR(VLOOKUP($E1004,类别归属,2,0),"※类别不在基础资料里"))</f>
        <v/>
      </c>
      <c r="G1004" s="13" t="n"/>
      <c r="H1004" s="13" t="n"/>
      <c r="I1004" s="13" t="n"/>
      <c r="J1004" s="14" t="n"/>
      <c r="K1004" s="14" t="n"/>
      <c r="L1004" s="19">
        <f>IF($C1004="","",ROUND(IFERROR(VLOOKUP($C1004,账户期初,2,0),0)+SUMIFS($J$4:J1004,$C$4:C1004,$C1004)-SUMIFS($K$4:K1004,$C$4:C1004,$C1004),2))</f>
        <v/>
      </c>
      <c r="M1004" s="19">
        <f>IF($C1004="","",ROUND(SUM(基础资料!$B$4:$B$13)+SUM($J$4:J1004)-SUM($K$4:K1004),2))</f>
        <v/>
      </c>
      <c r="N1004" s="13" t="n"/>
      <c r="O1004" s="13" t="n"/>
      <c r="P1004" s="17">
        <f>IF($B1004="","",IF($F1004="※类别不在基础资料里","※费用类别不在基础资料里",IF(AND(N($J1004)=0,N($K1004)=0),"※这行没填金额",IF(AND(N($J1004)&gt;0,N($K1004)&gt;0),"※收入和支出不能同一行都填",IF(AND($D1004="收入",N($J1004)=0),"※收入行要填收入金额",IF(AND($D1004="支出",N($K1004)=0),"※支出行要填支出金额",IF(AND($C1004&lt;&gt;"",ISNA(MATCH($C1004,账户表,0))),"※账户不在基础资料里",IF(AND($G1004&lt;&gt;"",ISNA(MATCH($G1004,项目名表,0))),"※项目不在项目台账里",IF(AND(LEFT($F1004,3)="成本-",$G1004=""),"※成本类支出没填项目",IF(AND(LEFT($F1004,3)="成本-",$H1004&lt;&gt;"",N($K1004)&gt;0,COUNTIFS(采购单!$B:$B,$B1004,采购单!$C:$C,$H1004,采购单!$L:$L,$K1004)&gt;0),"※这笔可能和采购单重复了",""))))))))))</f>
        <v/>
      </c>
    </row>
    <row r="1005">
      <c r="A1005" s="17">
        <f>IF($B1005="","",ROW()-3)</f>
        <v/>
      </c>
      <c r="B1005" s="18" t="n"/>
      <c r="C1005" s="13" t="n"/>
      <c r="D1005" s="13" t="n"/>
      <c r="E1005" s="13" t="n"/>
      <c r="F1005" s="17">
        <f>IF($E1005="","",IFERROR(VLOOKUP($E1005,类别归属,2,0),"※类别不在基础资料里"))</f>
        <v/>
      </c>
      <c r="G1005" s="13" t="n"/>
      <c r="H1005" s="13" t="n"/>
      <c r="I1005" s="13" t="n"/>
      <c r="J1005" s="14" t="n"/>
      <c r="K1005" s="14" t="n"/>
      <c r="L1005" s="19">
        <f>IF($C1005="","",ROUND(IFERROR(VLOOKUP($C1005,账户期初,2,0),0)+SUMIFS($J$4:J1005,$C$4:C1005,$C1005)-SUMIFS($K$4:K1005,$C$4:C1005,$C1005),2))</f>
        <v/>
      </c>
      <c r="M1005" s="19">
        <f>IF($C1005="","",ROUND(SUM(基础资料!$B$4:$B$13)+SUM($J$4:J1005)-SUM($K$4:K1005),2))</f>
        <v/>
      </c>
      <c r="N1005" s="13" t="n"/>
      <c r="O1005" s="13" t="n"/>
      <c r="P1005" s="17">
        <f>IF($B1005="","",IF($F1005="※类别不在基础资料里","※费用类别不在基础资料里",IF(AND(N($J1005)=0,N($K1005)=0),"※这行没填金额",IF(AND(N($J1005)&gt;0,N($K1005)&gt;0),"※收入和支出不能同一行都填",IF(AND($D1005="收入",N($J1005)=0),"※收入行要填收入金额",IF(AND($D1005="支出",N($K1005)=0),"※支出行要填支出金额",IF(AND($C1005&lt;&gt;"",ISNA(MATCH($C1005,账户表,0))),"※账户不在基础资料里",IF(AND($G1005&lt;&gt;"",ISNA(MATCH($G1005,项目名表,0))),"※项目不在项目台账里",IF(AND(LEFT($F1005,3)="成本-",$G1005=""),"※成本类支出没填项目",IF(AND(LEFT($F1005,3)="成本-",$H1005&lt;&gt;"",N($K1005)&gt;0,COUNTIFS(采购单!$B:$B,$B1005,采购单!$C:$C,$H1005,采购单!$L:$L,$K1005)&gt;0),"※这笔可能和采购单重复了",""))))))))))</f>
        <v/>
      </c>
    </row>
    <row r="1006">
      <c r="A1006" s="17">
        <f>IF($B1006="","",ROW()-3)</f>
        <v/>
      </c>
      <c r="B1006" s="18" t="n"/>
      <c r="C1006" s="13" t="n"/>
      <c r="D1006" s="13" t="n"/>
      <c r="E1006" s="13" t="n"/>
      <c r="F1006" s="17">
        <f>IF($E1006="","",IFERROR(VLOOKUP($E1006,类别归属,2,0),"※类别不在基础资料里"))</f>
        <v/>
      </c>
      <c r="G1006" s="13" t="n"/>
      <c r="H1006" s="13" t="n"/>
      <c r="I1006" s="13" t="n"/>
      <c r="J1006" s="14" t="n"/>
      <c r="K1006" s="14" t="n"/>
      <c r="L1006" s="19">
        <f>IF($C1006="","",ROUND(IFERROR(VLOOKUP($C1006,账户期初,2,0),0)+SUMIFS($J$4:J1006,$C$4:C1006,$C1006)-SUMIFS($K$4:K1006,$C$4:C1006,$C1006),2))</f>
        <v/>
      </c>
      <c r="M1006" s="19">
        <f>IF($C1006="","",ROUND(SUM(基础资料!$B$4:$B$13)+SUM($J$4:J1006)-SUM($K$4:K1006),2))</f>
        <v/>
      </c>
      <c r="N1006" s="13" t="n"/>
      <c r="O1006" s="13" t="n"/>
      <c r="P1006" s="17">
        <f>IF($B1006="","",IF($F1006="※类别不在基础资料里","※费用类别不在基础资料里",IF(AND(N($J1006)=0,N($K1006)=0),"※这行没填金额",IF(AND(N($J1006)&gt;0,N($K1006)&gt;0),"※收入和支出不能同一行都填",IF(AND($D1006="收入",N($J1006)=0),"※收入行要填收入金额",IF(AND($D1006="支出",N($K1006)=0),"※支出行要填支出金额",IF(AND($C1006&lt;&gt;"",ISNA(MATCH($C1006,账户表,0))),"※账户不在基础资料里",IF(AND($G1006&lt;&gt;"",ISNA(MATCH($G1006,项目名表,0))),"※项目不在项目台账里",IF(AND(LEFT($F1006,3)="成本-",$G1006=""),"※成本类支出没填项目",IF(AND(LEFT($F1006,3)="成本-",$H1006&lt;&gt;"",N($K1006)&gt;0,COUNTIFS(采购单!$B:$B,$B1006,采购单!$C:$C,$H1006,采购单!$L:$L,$K1006)&gt;0),"※这笔可能和采购单重复了",""))))))))))</f>
        <v/>
      </c>
    </row>
    <row r="1007">
      <c r="A1007" s="17">
        <f>IF($B1007="","",ROW()-3)</f>
        <v/>
      </c>
      <c r="B1007" s="18" t="n"/>
      <c r="C1007" s="13" t="n"/>
      <c r="D1007" s="13" t="n"/>
      <c r="E1007" s="13" t="n"/>
      <c r="F1007" s="17">
        <f>IF($E1007="","",IFERROR(VLOOKUP($E1007,类别归属,2,0),"※类别不在基础资料里"))</f>
        <v/>
      </c>
      <c r="G1007" s="13" t="n"/>
      <c r="H1007" s="13" t="n"/>
      <c r="I1007" s="13" t="n"/>
      <c r="J1007" s="14" t="n"/>
      <c r="K1007" s="14" t="n"/>
      <c r="L1007" s="19">
        <f>IF($C1007="","",ROUND(IFERROR(VLOOKUP($C1007,账户期初,2,0),0)+SUMIFS($J$4:J1007,$C$4:C1007,$C1007)-SUMIFS($K$4:K1007,$C$4:C1007,$C1007),2))</f>
        <v/>
      </c>
      <c r="M1007" s="19">
        <f>IF($C1007="","",ROUND(SUM(基础资料!$B$4:$B$13)+SUM($J$4:J1007)-SUM($K$4:K1007),2))</f>
        <v/>
      </c>
      <c r="N1007" s="13" t="n"/>
      <c r="O1007" s="13" t="n"/>
      <c r="P1007" s="17">
        <f>IF($B1007="","",IF($F1007="※类别不在基础资料里","※费用类别不在基础资料里",IF(AND(N($J1007)=0,N($K1007)=0),"※这行没填金额",IF(AND(N($J1007)&gt;0,N($K1007)&gt;0),"※收入和支出不能同一行都填",IF(AND($D1007="收入",N($J1007)=0),"※收入行要填收入金额",IF(AND($D1007="支出",N($K1007)=0),"※支出行要填支出金额",IF(AND($C1007&lt;&gt;"",ISNA(MATCH($C1007,账户表,0))),"※账户不在基础资料里",IF(AND($G1007&lt;&gt;"",ISNA(MATCH($G1007,项目名表,0))),"※项目不在项目台账里",IF(AND(LEFT($F1007,3)="成本-",$G1007=""),"※成本类支出没填项目",IF(AND(LEFT($F1007,3)="成本-",$H1007&lt;&gt;"",N($K1007)&gt;0,COUNTIFS(采购单!$B:$B,$B1007,采购单!$C:$C,$H1007,采购单!$L:$L,$K1007)&gt;0),"※这笔可能和采购单重复了",""))))))))))</f>
        <v/>
      </c>
    </row>
    <row r="1008">
      <c r="A1008" s="17">
        <f>IF($B1008="","",ROW()-3)</f>
        <v/>
      </c>
      <c r="B1008" s="18" t="n"/>
      <c r="C1008" s="13" t="n"/>
      <c r="D1008" s="13" t="n"/>
      <c r="E1008" s="13" t="n"/>
      <c r="F1008" s="17">
        <f>IF($E1008="","",IFERROR(VLOOKUP($E1008,类别归属,2,0),"※类别不在基础资料里"))</f>
        <v/>
      </c>
      <c r="G1008" s="13" t="n"/>
      <c r="H1008" s="13" t="n"/>
      <c r="I1008" s="13" t="n"/>
      <c r="J1008" s="14" t="n"/>
      <c r="K1008" s="14" t="n"/>
      <c r="L1008" s="19">
        <f>IF($C1008="","",ROUND(IFERROR(VLOOKUP($C1008,账户期初,2,0),0)+SUMIFS($J$4:J1008,$C$4:C1008,$C1008)-SUMIFS($K$4:K1008,$C$4:C1008,$C1008),2))</f>
        <v/>
      </c>
      <c r="M1008" s="19">
        <f>IF($C1008="","",ROUND(SUM(基础资料!$B$4:$B$13)+SUM($J$4:J1008)-SUM($K$4:K1008),2))</f>
        <v/>
      </c>
      <c r="N1008" s="13" t="n"/>
      <c r="O1008" s="13" t="n"/>
      <c r="P1008" s="17">
        <f>IF($B1008="","",IF($F1008="※类别不在基础资料里","※费用类别不在基础资料里",IF(AND(N($J1008)=0,N($K1008)=0),"※这行没填金额",IF(AND(N($J1008)&gt;0,N($K1008)&gt;0),"※收入和支出不能同一行都填",IF(AND($D1008="收入",N($J1008)=0),"※收入行要填收入金额",IF(AND($D1008="支出",N($K1008)=0),"※支出行要填支出金额",IF(AND($C1008&lt;&gt;"",ISNA(MATCH($C1008,账户表,0))),"※账户不在基础资料里",IF(AND($G1008&lt;&gt;"",ISNA(MATCH($G1008,项目名表,0))),"※项目不在项目台账里",IF(AND(LEFT($F1008,3)="成本-",$G1008=""),"※成本类支出没填项目",IF(AND(LEFT($F1008,3)="成本-",$H1008&lt;&gt;"",N($K1008)&gt;0,COUNTIFS(采购单!$B:$B,$B1008,采购单!$C:$C,$H1008,采购单!$L:$L,$K1008)&gt;0),"※这笔可能和采购单重复了",""))))))))))</f>
        <v/>
      </c>
    </row>
    <row r="1009">
      <c r="A1009" s="17">
        <f>IF($B1009="","",ROW()-3)</f>
        <v/>
      </c>
      <c r="B1009" s="18" t="n"/>
      <c r="C1009" s="13" t="n"/>
      <c r="D1009" s="13" t="n"/>
      <c r="E1009" s="13" t="n"/>
      <c r="F1009" s="17">
        <f>IF($E1009="","",IFERROR(VLOOKUP($E1009,类别归属,2,0),"※类别不在基础资料里"))</f>
        <v/>
      </c>
      <c r="G1009" s="13" t="n"/>
      <c r="H1009" s="13" t="n"/>
      <c r="I1009" s="13" t="n"/>
      <c r="J1009" s="14" t="n"/>
      <c r="K1009" s="14" t="n"/>
      <c r="L1009" s="19">
        <f>IF($C1009="","",ROUND(IFERROR(VLOOKUP($C1009,账户期初,2,0),0)+SUMIFS($J$4:J1009,$C$4:C1009,$C1009)-SUMIFS($K$4:K1009,$C$4:C1009,$C1009),2))</f>
        <v/>
      </c>
      <c r="M1009" s="19">
        <f>IF($C1009="","",ROUND(SUM(基础资料!$B$4:$B$13)+SUM($J$4:J1009)-SUM($K$4:K1009),2))</f>
        <v/>
      </c>
      <c r="N1009" s="13" t="n"/>
      <c r="O1009" s="13" t="n"/>
      <c r="P1009" s="17">
        <f>IF($B1009="","",IF($F1009="※类别不在基础资料里","※费用类别不在基础资料里",IF(AND(N($J1009)=0,N($K1009)=0),"※这行没填金额",IF(AND(N($J1009)&gt;0,N($K1009)&gt;0),"※收入和支出不能同一行都填",IF(AND($D1009="收入",N($J1009)=0),"※收入行要填收入金额",IF(AND($D1009="支出",N($K1009)=0),"※支出行要填支出金额",IF(AND($C1009&lt;&gt;"",ISNA(MATCH($C1009,账户表,0))),"※账户不在基础资料里",IF(AND($G1009&lt;&gt;"",ISNA(MATCH($G1009,项目名表,0))),"※项目不在项目台账里",IF(AND(LEFT($F1009,3)="成本-",$G1009=""),"※成本类支出没填项目",IF(AND(LEFT($F1009,3)="成本-",$H1009&lt;&gt;"",N($K1009)&gt;0,COUNTIFS(采购单!$B:$B,$B1009,采购单!$C:$C,$H1009,采购单!$L:$L,$K1009)&gt;0),"※这笔可能和采购单重复了",""))))))))))</f>
        <v/>
      </c>
    </row>
    <row r="1010">
      <c r="A1010" s="17">
        <f>IF($B1010="","",ROW()-3)</f>
        <v/>
      </c>
      <c r="B1010" s="18" t="n"/>
      <c r="C1010" s="13" t="n"/>
      <c r="D1010" s="13" t="n"/>
      <c r="E1010" s="13" t="n"/>
      <c r="F1010" s="17">
        <f>IF($E1010="","",IFERROR(VLOOKUP($E1010,类别归属,2,0),"※类别不在基础资料里"))</f>
        <v/>
      </c>
      <c r="G1010" s="13" t="n"/>
      <c r="H1010" s="13" t="n"/>
      <c r="I1010" s="13" t="n"/>
      <c r="J1010" s="14" t="n"/>
      <c r="K1010" s="14" t="n"/>
      <c r="L1010" s="19">
        <f>IF($C1010="","",ROUND(IFERROR(VLOOKUP($C1010,账户期初,2,0),0)+SUMIFS($J$4:J1010,$C$4:C1010,$C1010)-SUMIFS($K$4:K1010,$C$4:C1010,$C1010),2))</f>
        <v/>
      </c>
      <c r="M1010" s="19">
        <f>IF($C1010="","",ROUND(SUM(基础资料!$B$4:$B$13)+SUM($J$4:J1010)-SUM($K$4:K1010),2))</f>
        <v/>
      </c>
      <c r="N1010" s="13" t="n"/>
      <c r="O1010" s="13" t="n"/>
      <c r="P1010" s="17">
        <f>IF($B1010="","",IF($F1010="※类别不在基础资料里","※费用类别不在基础资料里",IF(AND(N($J1010)=0,N($K1010)=0),"※这行没填金额",IF(AND(N($J1010)&gt;0,N($K1010)&gt;0),"※收入和支出不能同一行都填",IF(AND($D1010="收入",N($J1010)=0),"※收入行要填收入金额",IF(AND($D1010="支出",N($K1010)=0),"※支出行要填支出金额",IF(AND($C1010&lt;&gt;"",ISNA(MATCH($C1010,账户表,0))),"※账户不在基础资料里",IF(AND($G1010&lt;&gt;"",ISNA(MATCH($G1010,项目名表,0))),"※项目不在项目台账里",IF(AND(LEFT($F1010,3)="成本-",$G1010=""),"※成本类支出没填项目",IF(AND(LEFT($F1010,3)="成本-",$H1010&lt;&gt;"",N($K1010)&gt;0,COUNTIFS(采购单!$B:$B,$B1010,采购单!$C:$C,$H1010,采购单!$L:$L,$K1010)&gt;0),"※这笔可能和采购单重复了",""))))))))))</f>
        <v/>
      </c>
    </row>
    <row r="1011">
      <c r="A1011" s="17">
        <f>IF($B1011="","",ROW()-3)</f>
        <v/>
      </c>
      <c r="B1011" s="18" t="n"/>
      <c r="C1011" s="13" t="n"/>
      <c r="D1011" s="13" t="n"/>
      <c r="E1011" s="13" t="n"/>
      <c r="F1011" s="17">
        <f>IF($E1011="","",IFERROR(VLOOKUP($E1011,类别归属,2,0),"※类别不在基础资料里"))</f>
        <v/>
      </c>
      <c r="G1011" s="13" t="n"/>
      <c r="H1011" s="13" t="n"/>
      <c r="I1011" s="13" t="n"/>
      <c r="J1011" s="14" t="n"/>
      <c r="K1011" s="14" t="n"/>
      <c r="L1011" s="19">
        <f>IF($C1011="","",ROUND(IFERROR(VLOOKUP($C1011,账户期初,2,0),0)+SUMIFS($J$4:J1011,$C$4:C1011,$C1011)-SUMIFS($K$4:K1011,$C$4:C1011,$C1011),2))</f>
        <v/>
      </c>
      <c r="M1011" s="19">
        <f>IF($C1011="","",ROUND(SUM(基础资料!$B$4:$B$13)+SUM($J$4:J1011)-SUM($K$4:K1011),2))</f>
        <v/>
      </c>
      <c r="N1011" s="13" t="n"/>
      <c r="O1011" s="13" t="n"/>
      <c r="P1011" s="17">
        <f>IF($B1011="","",IF($F1011="※类别不在基础资料里","※费用类别不在基础资料里",IF(AND(N($J1011)=0,N($K1011)=0),"※这行没填金额",IF(AND(N($J1011)&gt;0,N($K1011)&gt;0),"※收入和支出不能同一行都填",IF(AND($D1011="收入",N($J1011)=0),"※收入行要填收入金额",IF(AND($D1011="支出",N($K1011)=0),"※支出行要填支出金额",IF(AND($C1011&lt;&gt;"",ISNA(MATCH($C1011,账户表,0))),"※账户不在基础资料里",IF(AND($G1011&lt;&gt;"",ISNA(MATCH($G1011,项目名表,0))),"※项目不在项目台账里",IF(AND(LEFT($F1011,3)="成本-",$G1011=""),"※成本类支出没填项目",IF(AND(LEFT($F1011,3)="成本-",$H1011&lt;&gt;"",N($K1011)&gt;0,COUNTIFS(采购单!$B:$B,$B1011,采购单!$C:$C,$H1011,采购单!$L:$L,$K1011)&gt;0),"※这笔可能和采购单重复了",""))))))))))</f>
        <v/>
      </c>
    </row>
    <row r="1012">
      <c r="A1012" s="17">
        <f>IF($B1012="","",ROW()-3)</f>
        <v/>
      </c>
      <c r="B1012" s="18" t="n"/>
      <c r="C1012" s="13" t="n"/>
      <c r="D1012" s="13" t="n"/>
      <c r="E1012" s="13" t="n"/>
      <c r="F1012" s="17">
        <f>IF($E1012="","",IFERROR(VLOOKUP($E1012,类别归属,2,0),"※类别不在基础资料里"))</f>
        <v/>
      </c>
      <c r="G1012" s="13" t="n"/>
      <c r="H1012" s="13" t="n"/>
      <c r="I1012" s="13" t="n"/>
      <c r="J1012" s="14" t="n"/>
      <c r="K1012" s="14" t="n"/>
      <c r="L1012" s="19">
        <f>IF($C1012="","",ROUND(IFERROR(VLOOKUP($C1012,账户期初,2,0),0)+SUMIFS($J$4:J1012,$C$4:C1012,$C1012)-SUMIFS($K$4:K1012,$C$4:C1012,$C1012),2))</f>
        <v/>
      </c>
      <c r="M1012" s="19">
        <f>IF($C1012="","",ROUND(SUM(基础资料!$B$4:$B$13)+SUM($J$4:J1012)-SUM($K$4:K1012),2))</f>
        <v/>
      </c>
      <c r="N1012" s="13" t="n"/>
      <c r="O1012" s="13" t="n"/>
      <c r="P1012" s="17">
        <f>IF($B1012="","",IF($F1012="※类别不在基础资料里","※费用类别不在基础资料里",IF(AND(N($J1012)=0,N($K1012)=0),"※这行没填金额",IF(AND(N($J1012)&gt;0,N($K1012)&gt;0),"※收入和支出不能同一行都填",IF(AND($D1012="收入",N($J1012)=0),"※收入行要填收入金额",IF(AND($D1012="支出",N($K1012)=0),"※支出行要填支出金额",IF(AND($C1012&lt;&gt;"",ISNA(MATCH($C1012,账户表,0))),"※账户不在基础资料里",IF(AND($G1012&lt;&gt;"",ISNA(MATCH($G1012,项目名表,0))),"※项目不在项目台账里",IF(AND(LEFT($F1012,3)="成本-",$G1012=""),"※成本类支出没填项目",IF(AND(LEFT($F1012,3)="成本-",$H1012&lt;&gt;"",N($K1012)&gt;0,COUNTIFS(采购单!$B:$B,$B1012,采购单!$C:$C,$H1012,采购单!$L:$L,$K1012)&gt;0),"※这笔可能和采购单重复了",""))))))))))</f>
        <v/>
      </c>
    </row>
    <row r="1013">
      <c r="A1013" s="17">
        <f>IF($B1013="","",ROW()-3)</f>
        <v/>
      </c>
      <c r="B1013" s="18" t="n"/>
      <c r="C1013" s="13" t="n"/>
      <c r="D1013" s="13" t="n"/>
      <c r="E1013" s="13" t="n"/>
      <c r="F1013" s="17">
        <f>IF($E1013="","",IFERROR(VLOOKUP($E1013,类别归属,2,0),"※类别不在基础资料里"))</f>
        <v/>
      </c>
      <c r="G1013" s="13" t="n"/>
      <c r="H1013" s="13" t="n"/>
      <c r="I1013" s="13" t="n"/>
      <c r="J1013" s="14" t="n"/>
      <c r="K1013" s="14" t="n"/>
      <c r="L1013" s="19">
        <f>IF($C1013="","",ROUND(IFERROR(VLOOKUP($C1013,账户期初,2,0),0)+SUMIFS($J$4:J1013,$C$4:C1013,$C1013)-SUMIFS($K$4:K1013,$C$4:C1013,$C1013),2))</f>
        <v/>
      </c>
      <c r="M1013" s="19">
        <f>IF($C1013="","",ROUND(SUM(基础资料!$B$4:$B$13)+SUM($J$4:J1013)-SUM($K$4:K1013),2))</f>
        <v/>
      </c>
      <c r="N1013" s="13" t="n"/>
      <c r="O1013" s="13" t="n"/>
      <c r="P1013" s="17">
        <f>IF($B1013="","",IF($F1013="※类别不在基础资料里","※费用类别不在基础资料里",IF(AND(N($J1013)=0,N($K1013)=0),"※这行没填金额",IF(AND(N($J1013)&gt;0,N($K1013)&gt;0),"※收入和支出不能同一行都填",IF(AND($D1013="收入",N($J1013)=0),"※收入行要填收入金额",IF(AND($D1013="支出",N($K1013)=0),"※支出行要填支出金额",IF(AND($C1013&lt;&gt;"",ISNA(MATCH($C1013,账户表,0))),"※账户不在基础资料里",IF(AND($G1013&lt;&gt;"",ISNA(MATCH($G1013,项目名表,0))),"※项目不在项目台账里",IF(AND(LEFT($F1013,3)="成本-",$G1013=""),"※成本类支出没填项目",IF(AND(LEFT($F1013,3)="成本-",$H1013&lt;&gt;"",N($K1013)&gt;0,COUNTIFS(采购单!$B:$B,$B1013,采购单!$C:$C,$H1013,采购单!$L:$L,$K1013)&gt;0),"※这笔可能和采购单重复了",""))))))))))</f>
        <v/>
      </c>
    </row>
    <row r="1014">
      <c r="A1014" s="17">
        <f>IF($B1014="","",ROW()-3)</f>
        <v/>
      </c>
      <c r="B1014" s="18" t="n"/>
      <c r="C1014" s="13" t="n"/>
      <c r="D1014" s="13" t="n"/>
      <c r="E1014" s="13" t="n"/>
      <c r="F1014" s="17">
        <f>IF($E1014="","",IFERROR(VLOOKUP($E1014,类别归属,2,0),"※类别不在基础资料里"))</f>
        <v/>
      </c>
      <c r="G1014" s="13" t="n"/>
      <c r="H1014" s="13" t="n"/>
      <c r="I1014" s="13" t="n"/>
      <c r="J1014" s="14" t="n"/>
      <c r="K1014" s="14" t="n"/>
      <c r="L1014" s="19">
        <f>IF($C1014="","",ROUND(IFERROR(VLOOKUP($C1014,账户期初,2,0),0)+SUMIFS($J$4:J1014,$C$4:C1014,$C1014)-SUMIFS($K$4:K1014,$C$4:C1014,$C1014),2))</f>
        <v/>
      </c>
      <c r="M1014" s="19">
        <f>IF($C1014="","",ROUND(SUM(基础资料!$B$4:$B$13)+SUM($J$4:J1014)-SUM($K$4:K1014),2))</f>
        <v/>
      </c>
      <c r="N1014" s="13" t="n"/>
      <c r="O1014" s="13" t="n"/>
      <c r="P1014" s="17">
        <f>IF($B1014="","",IF($F1014="※类别不在基础资料里","※费用类别不在基础资料里",IF(AND(N($J1014)=0,N($K1014)=0),"※这行没填金额",IF(AND(N($J1014)&gt;0,N($K1014)&gt;0),"※收入和支出不能同一行都填",IF(AND($D1014="收入",N($J1014)=0),"※收入行要填收入金额",IF(AND($D1014="支出",N($K1014)=0),"※支出行要填支出金额",IF(AND($C1014&lt;&gt;"",ISNA(MATCH($C1014,账户表,0))),"※账户不在基础资料里",IF(AND($G1014&lt;&gt;"",ISNA(MATCH($G1014,项目名表,0))),"※项目不在项目台账里",IF(AND(LEFT($F1014,3)="成本-",$G1014=""),"※成本类支出没填项目",IF(AND(LEFT($F1014,3)="成本-",$H1014&lt;&gt;"",N($K1014)&gt;0,COUNTIFS(采购单!$B:$B,$B1014,采购单!$C:$C,$H1014,采购单!$L:$L,$K1014)&gt;0),"※这笔可能和采购单重复了",""))))))))))</f>
        <v/>
      </c>
    </row>
    <row r="1015">
      <c r="A1015" s="17">
        <f>IF($B1015="","",ROW()-3)</f>
        <v/>
      </c>
      <c r="B1015" s="18" t="n"/>
      <c r="C1015" s="13" t="n"/>
      <c r="D1015" s="13" t="n"/>
      <c r="E1015" s="13" t="n"/>
      <c r="F1015" s="17">
        <f>IF($E1015="","",IFERROR(VLOOKUP($E1015,类别归属,2,0),"※类别不在基础资料里"))</f>
        <v/>
      </c>
      <c r="G1015" s="13" t="n"/>
      <c r="H1015" s="13" t="n"/>
      <c r="I1015" s="13" t="n"/>
      <c r="J1015" s="14" t="n"/>
      <c r="K1015" s="14" t="n"/>
      <c r="L1015" s="19">
        <f>IF($C1015="","",ROUND(IFERROR(VLOOKUP($C1015,账户期初,2,0),0)+SUMIFS($J$4:J1015,$C$4:C1015,$C1015)-SUMIFS($K$4:K1015,$C$4:C1015,$C1015),2))</f>
        <v/>
      </c>
      <c r="M1015" s="19">
        <f>IF($C1015="","",ROUND(SUM(基础资料!$B$4:$B$13)+SUM($J$4:J1015)-SUM($K$4:K1015),2))</f>
        <v/>
      </c>
      <c r="N1015" s="13" t="n"/>
      <c r="O1015" s="13" t="n"/>
      <c r="P1015" s="17">
        <f>IF($B1015="","",IF($F1015="※类别不在基础资料里","※费用类别不在基础资料里",IF(AND(N($J1015)=0,N($K1015)=0),"※这行没填金额",IF(AND(N($J1015)&gt;0,N($K1015)&gt;0),"※收入和支出不能同一行都填",IF(AND($D1015="收入",N($J1015)=0),"※收入行要填收入金额",IF(AND($D1015="支出",N($K1015)=0),"※支出行要填支出金额",IF(AND($C1015&lt;&gt;"",ISNA(MATCH($C1015,账户表,0))),"※账户不在基础资料里",IF(AND($G1015&lt;&gt;"",ISNA(MATCH($G1015,项目名表,0))),"※项目不在项目台账里",IF(AND(LEFT($F1015,3)="成本-",$G1015=""),"※成本类支出没填项目",IF(AND(LEFT($F1015,3)="成本-",$H1015&lt;&gt;"",N($K1015)&gt;0,COUNTIFS(采购单!$B:$B,$B1015,采购单!$C:$C,$H1015,采购单!$L:$L,$K1015)&gt;0),"※这笔可能和采购单重复了",""))))))))))</f>
        <v/>
      </c>
    </row>
    <row r="1016">
      <c r="A1016" s="17">
        <f>IF($B1016="","",ROW()-3)</f>
        <v/>
      </c>
      <c r="B1016" s="18" t="n"/>
      <c r="C1016" s="13" t="n"/>
      <c r="D1016" s="13" t="n"/>
      <c r="E1016" s="13" t="n"/>
      <c r="F1016" s="17">
        <f>IF($E1016="","",IFERROR(VLOOKUP($E1016,类别归属,2,0),"※类别不在基础资料里"))</f>
        <v/>
      </c>
      <c r="G1016" s="13" t="n"/>
      <c r="H1016" s="13" t="n"/>
      <c r="I1016" s="13" t="n"/>
      <c r="J1016" s="14" t="n"/>
      <c r="K1016" s="14" t="n"/>
      <c r="L1016" s="19">
        <f>IF($C1016="","",ROUND(IFERROR(VLOOKUP($C1016,账户期初,2,0),0)+SUMIFS($J$4:J1016,$C$4:C1016,$C1016)-SUMIFS($K$4:K1016,$C$4:C1016,$C1016),2))</f>
        <v/>
      </c>
      <c r="M1016" s="19">
        <f>IF($C1016="","",ROUND(SUM(基础资料!$B$4:$B$13)+SUM($J$4:J1016)-SUM($K$4:K1016),2))</f>
        <v/>
      </c>
      <c r="N1016" s="13" t="n"/>
      <c r="O1016" s="13" t="n"/>
      <c r="P1016" s="17">
        <f>IF($B1016="","",IF($F1016="※类别不在基础资料里","※费用类别不在基础资料里",IF(AND(N($J1016)=0,N($K1016)=0),"※这行没填金额",IF(AND(N($J1016)&gt;0,N($K1016)&gt;0),"※收入和支出不能同一行都填",IF(AND($D1016="收入",N($J1016)=0),"※收入行要填收入金额",IF(AND($D1016="支出",N($K1016)=0),"※支出行要填支出金额",IF(AND($C1016&lt;&gt;"",ISNA(MATCH($C1016,账户表,0))),"※账户不在基础资料里",IF(AND($G1016&lt;&gt;"",ISNA(MATCH($G1016,项目名表,0))),"※项目不在项目台账里",IF(AND(LEFT($F1016,3)="成本-",$G1016=""),"※成本类支出没填项目",IF(AND(LEFT($F1016,3)="成本-",$H1016&lt;&gt;"",N($K1016)&gt;0,COUNTIFS(采购单!$B:$B,$B1016,采购单!$C:$C,$H1016,采购单!$L:$L,$K1016)&gt;0),"※这笔可能和采购单重复了",""))))))))))</f>
        <v/>
      </c>
    </row>
    <row r="1017">
      <c r="A1017" s="17">
        <f>IF($B1017="","",ROW()-3)</f>
        <v/>
      </c>
      <c r="B1017" s="18" t="n"/>
      <c r="C1017" s="13" t="n"/>
      <c r="D1017" s="13" t="n"/>
      <c r="E1017" s="13" t="n"/>
      <c r="F1017" s="17">
        <f>IF($E1017="","",IFERROR(VLOOKUP($E1017,类别归属,2,0),"※类别不在基础资料里"))</f>
        <v/>
      </c>
      <c r="G1017" s="13" t="n"/>
      <c r="H1017" s="13" t="n"/>
      <c r="I1017" s="13" t="n"/>
      <c r="J1017" s="14" t="n"/>
      <c r="K1017" s="14" t="n"/>
      <c r="L1017" s="19">
        <f>IF($C1017="","",ROUND(IFERROR(VLOOKUP($C1017,账户期初,2,0),0)+SUMIFS($J$4:J1017,$C$4:C1017,$C1017)-SUMIFS($K$4:K1017,$C$4:C1017,$C1017),2))</f>
        <v/>
      </c>
      <c r="M1017" s="19">
        <f>IF($C1017="","",ROUND(SUM(基础资料!$B$4:$B$13)+SUM($J$4:J1017)-SUM($K$4:K1017),2))</f>
        <v/>
      </c>
      <c r="N1017" s="13" t="n"/>
      <c r="O1017" s="13" t="n"/>
      <c r="P1017" s="17">
        <f>IF($B1017="","",IF($F1017="※类别不在基础资料里","※费用类别不在基础资料里",IF(AND(N($J1017)=0,N($K1017)=0),"※这行没填金额",IF(AND(N($J1017)&gt;0,N($K1017)&gt;0),"※收入和支出不能同一行都填",IF(AND($D1017="收入",N($J1017)=0),"※收入行要填收入金额",IF(AND($D1017="支出",N($K1017)=0),"※支出行要填支出金额",IF(AND($C1017&lt;&gt;"",ISNA(MATCH($C1017,账户表,0))),"※账户不在基础资料里",IF(AND($G1017&lt;&gt;"",ISNA(MATCH($G1017,项目名表,0))),"※项目不在项目台账里",IF(AND(LEFT($F1017,3)="成本-",$G1017=""),"※成本类支出没填项目",IF(AND(LEFT($F1017,3)="成本-",$H1017&lt;&gt;"",N($K1017)&gt;0,COUNTIFS(采购单!$B:$B,$B1017,采购单!$C:$C,$H1017,采购单!$L:$L,$K1017)&gt;0),"※这笔可能和采购单重复了",""))))))))))</f>
        <v/>
      </c>
    </row>
    <row r="1018">
      <c r="A1018" s="17">
        <f>IF($B1018="","",ROW()-3)</f>
        <v/>
      </c>
      <c r="B1018" s="18" t="n"/>
      <c r="C1018" s="13" t="n"/>
      <c r="D1018" s="13" t="n"/>
      <c r="E1018" s="13" t="n"/>
      <c r="F1018" s="17">
        <f>IF($E1018="","",IFERROR(VLOOKUP($E1018,类别归属,2,0),"※类别不在基础资料里"))</f>
        <v/>
      </c>
      <c r="G1018" s="13" t="n"/>
      <c r="H1018" s="13" t="n"/>
      <c r="I1018" s="13" t="n"/>
      <c r="J1018" s="14" t="n"/>
      <c r="K1018" s="14" t="n"/>
      <c r="L1018" s="19">
        <f>IF($C1018="","",ROUND(IFERROR(VLOOKUP($C1018,账户期初,2,0),0)+SUMIFS($J$4:J1018,$C$4:C1018,$C1018)-SUMIFS($K$4:K1018,$C$4:C1018,$C1018),2))</f>
        <v/>
      </c>
      <c r="M1018" s="19">
        <f>IF($C1018="","",ROUND(SUM(基础资料!$B$4:$B$13)+SUM($J$4:J1018)-SUM($K$4:K1018),2))</f>
        <v/>
      </c>
      <c r="N1018" s="13" t="n"/>
      <c r="O1018" s="13" t="n"/>
      <c r="P1018" s="17">
        <f>IF($B1018="","",IF($F1018="※类别不在基础资料里","※费用类别不在基础资料里",IF(AND(N($J1018)=0,N($K1018)=0),"※这行没填金额",IF(AND(N($J1018)&gt;0,N($K1018)&gt;0),"※收入和支出不能同一行都填",IF(AND($D1018="收入",N($J1018)=0),"※收入行要填收入金额",IF(AND($D1018="支出",N($K1018)=0),"※支出行要填支出金额",IF(AND($C1018&lt;&gt;"",ISNA(MATCH($C1018,账户表,0))),"※账户不在基础资料里",IF(AND($G1018&lt;&gt;"",ISNA(MATCH($G1018,项目名表,0))),"※项目不在项目台账里",IF(AND(LEFT($F1018,3)="成本-",$G1018=""),"※成本类支出没填项目",IF(AND(LEFT($F1018,3)="成本-",$H1018&lt;&gt;"",N($K1018)&gt;0,COUNTIFS(采购单!$B:$B,$B1018,采购单!$C:$C,$H1018,采购单!$L:$L,$K1018)&gt;0),"※这笔可能和采购单重复了",""))))))))))</f>
        <v/>
      </c>
    </row>
    <row r="1019">
      <c r="A1019" s="17">
        <f>IF($B1019="","",ROW()-3)</f>
        <v/>
      </c>
      <c r="B1019" s="18" t="n"/>
      <c r="C1019" s="13" t="n"/>
      <c r="D1019" s="13" t="n"/>
      <c r="E1019" s="13" t="n"/>
      <c r="F1019" s="17">
        <f>IF($E1019="","",IFERROR(VLOOKUP($E1019,类别归属,2,0),"※类别不在基础资料里"))</f>
        <v/>
      </c>
      <c r="G1019" s="13" t="n"/>
      <c r="H1019" s="13" t="n"/>
      <c r="I1019" s="13" t="n"/>
      <c r="J1019" s="14" t="n"/>
      <c r="K1019" s="14" t="n"/>
      <c r="L1019" s="19">
        <f>IF($C1019="","",ROUND(IFERROR(VLOOKUP($C1019,账户期初,2,0),0)+SUMIFS($J$4:J1019,$C$4:C1019,$C1019)-SUMIFS($K$4:K1019,$C$4:C1019,$C1019),2))</f>
        <v/>
      </c>
      <c r="M1019" s="19">
        <f>IF($C1019="","",ROUND(SUM(基础资料!$B$4:$B$13)+SUM($J$4:J1019)-SUM($K$4:K1019),2))</f>
        <v/>
      </c>
      <c r="N1019" s="13" t="n"/>
      <c r="O1019" s="13" t="n"/>
      <c r="P1019" s="17">
        <f>IF($B1019="","",IF($F1019="※类别不在基础资料里","※费用类别不在基础资料里",IF(AND(N($J1019)=0,N($K1019)=0),"※这行没填金额",IF(AND(N($J1019)&gt;0,N($K1019)&gt;0),"※收入和支出不能同一行都填",IF(AND($D1019="收入",N($J1019)=0),"※收入行要填收入金额",IF(AND($D1019="支出",N($K1019)=0),"※支出行要填支出金额",IF(AND($C1019&lt;&gt;"",ISNA(MATCH($C1019,账户表,0))),"※账户不在基础资料里",IF(AND($G1019&lt;&gt;"",ISNA(MATCH($G1019,项目名表,0))),"※项目不在项目台账里",IF(AND(LEFT($F1019,3)="成本-",$G1019=""),"※成本类支出没填项目",IF(AND(LEFT($F1019,3)="成本-",$H1019&lt;&gt;"",N($K1019)&gt;0,COUNTIFS(采购单!$B:$B,$B1019,采购单!$C:$C,$H1019,采购单!$L:$L,$K1019)&gt;0),"※这笔可能和采购单重复了",""))))))))))</f>
        <v/>
      </c>
    </row>
    <row r="1020">
      <c r="A1020" s="17">
        <f>IF($B1020="","",ROW()-3)</f>
        <v/>
      </c>
      <c r="B1020" s="18" t="n"/>
      <c r="C1020" s="13" t="n"/>
      <c r="D1020" s="13" t="n"/>
      <c r="E1020" s="13" t="n"/>
      <c r="F1020" s="17">
        <f>IF($E1020="","",IFERROR(VLOOKUP($E1020,类别归属,2,0),"※类别不在基础资料里"))</f>
        <v/>
      </c>
      <c r="G1020" s="13" t="n"/>
      <c r="H1020" s="13" t="n"/>
      <c r="I1020" s="13" t="n"/>
      <c r="J1020" s="14" t="n"/>
      <c r="K1020" s="14" t="n"/>
      <c r="L1020" s="19">
        <f>IF($C1020="","",ROUND(IFERROR(VLOOKUP($C1020,账户期初,2,0),0)+SUMIFS($J$4:J1020,$C$4:C1020,$C1020)-SUMIFS($K$4:K1020,$C$4:C1020,$C1020),2))</f>
        <v/>
      </c>
      <c r="M1020" s="19">
        <f>IF($C1020="","",ROUND(SUM(基础资料!$B$4:$B$13)+SUM($J$4:J1020)-SUM($K$4:K1020),2))</f>
        <v/>
      </c>
      <c r="N1020" s="13" t="n"/>
      <c r="O1020" s="13" t="n"/>
      <c r="P1020" s="17">
        <f>IF($B1020="","",IF($F1020="※类别不在基础资料里","※费用类别不在基础资料里",IF(AND(N($J1020)=0,N($K1020)=0),"※这行没填金额",IF(AND(N($J1020)&gt;0,N($K1020)&gt;0),"※收入和支出不能同一行都填",IF(AND($D1020="收入",N($J1020)=0),"※收入行要填收入金额",IF(AND($D1020="支出",N($K1020)=0),"※支出行要填支出金额",IF(AND($C1020&lt;&gt;"",ISNA(MATCH($C1020,账户表,0))),"※账户不在基础资料里",IF(AND($G1020&lt;&gt;"",ISNA(MATCH($G1020,项目名表,0))),"※项目不在项目台账里",IF(AND(LEFT($F1020,3)="成本-",$G1020=""),"※成本类支出没填项目",IF(AND(LEFT($F1020,3)="成本-",$H1020&lt;&gt;"",N($K1020)&gt;0,COUNTIFS(采购单!$B:$B,$B1020,采购单!$C:$C,$H1020,采购单!$L:$L,$K1020)&gt;0),"※这笔可能和采购单重复了",""))))))))))</f>
        <v/>
      </c>
    </row>
    <row r="1021">
      <c r="A1021" s="17">
        <f>IF($B1021="","",ROW()-3)</f>
        <v/>
      </c>
      <c r="B1021" s="18" t="n"/>
      <c r="C1021" s="13" t="n"/>
      <c r="D1021" s="13" t="n"/>
      <c r="E1021" s="13" t="n"/>
      <c r="F1021" s="17">
        <f>IF($E1021="","",IFERROR(VLOOKUP($E1021,类别归属,2,0),"※类别不在基础资料里"))</f>
        <v/>
      </c>
      <c r="G1021" s="13" t="n"/>
      <c r="H1021" s="13" t="n"/>
      <c r="I1021" s="13" t="n"/>
      <c r="J1021" s="14" t="n"/>
      <c r="K1021" s="14" t="n"/>
      <c r="L1021" s="19">
        <f>IF($C1021="","",ROUND(IFERROR(VLOOKUP($C1021,账户期初,2,0),0)+SUMIFS($J$4:J1021,$C$4:C1021,$C1021)-SUMIFS($K$4:K1021,$C$4:C1021,$C1021),2))</f>
        <v/>
      </c>
      <c r="M1021" s="19">
        <f>IF($C1021="","",ROUND(SUM(基础资料!$B$4:$B$13)+SUM($J$4:J1021)-SUM($K$4:K1021),2))</f>
        <v/>
      </c>
      <c r="N1021" s="13" t="n"/>
      <c r="O1021" s="13" t="n"/>
      <c r="P1021" s="17">
        <f>IF($B1021="","",IF($F1021="※类别不在基础资料里","※费用类别不在基础资料里",IF(AND(N($J1021)=0,N($K1021)=0),"※这行没填金额",IF(AND(N($J1021)&gt;0,N($K1021)&gt;0),"※收入和支出不能同一行都填",IF(AND($D1021="收入",N($J1021)=0),"※收入行要填收入金额",IF(AND($D1021="支出",N($K1021)=0),"※支出行要填支出金额",IF(AND($C1021&lt;&gt;"",ISNA(MATCH($C1021,账户表,0))),"※账户不在基础资料里",IF(AND($G1021&lt;&gt;"",ISNA(MATCH($G1021,项目名表,0))),"※项目不在项目台账里",IF(AND(LEFT($F1021,3)="成本-",$G1021=""),"※成本类支出没填项目",IF(AND(LEFT($F1021,3)="成本-",$H1021&lt;&gt;"",N($K1021)&gt;0,COUNTIFS(采购单!$B:$B,$B1021,采购单!$C:$C,$H1021,采购单!$L:$L,$K1021)&gt;0),"※这笔可能和采购单重复了",""))))))))))</f>
        <v/>
      </c>
    </row>
    <row r="1022">
      <c r="A1022" s="17">
        <f>IF($B1022="","",ROW()-3)</f>
        <v/>
      </c>
      <c r="B1022" s="18" t="n"/>
      <c r="C1022" s="13" t="n"/>
      <c r="D1022" s="13" t="n"/>
      <c r="E1022" s="13" t="n"/>
      <c r="F1022" s="17">
        <f>IF($E1022="","",IFERROR(VLOOKUP($E1022,类别归属,2,0),"※类别不在基础资料里"))</f>
        <v/>
      </c>
      <c r="G1022" s="13" t="n"/>
      <c r="H1022" s="13" t="n"/>
      <c r="I1022" s="13" t="n"/>
      <c r="J1022" s="14" t="n"/>
      <c r="K1022" s="14" t="n"/>
      <c r="L1022" s="19">
        <f>IF($C1022="","",ROUND(IFERROR(VLOOKUP($C1022,账户期初,2,0),0)+SUMIFS($J$4:J1022,$C$4:C1022,$C1022)-SUMIFS($K$4:K1022,$C$4:C1022,$C1022),2))</f>
        <v/>
      </c>
      <c r="M1022" s="19">
        <f>IF($C1022="","",ROUND(SUM(基础资料!$B$4:$B$13)+SUM($J$4:J1022)-SUM($K$4:K1022),2))</f>
        <v/>
      </c>
      <c r="N1022" s="13" t="n"/>
      <c r="O1022" s="13" t="n"/>
      <c r="P1022" s="17">
        <f>IF($B1022="","",IF($F1022="※类别不在基础资料里","※费用类别不在基础资料里",IF(AND(N($J1022)=0,N($K1022)=0),"※这行没填金额",IF(AND(N($J1022)&gt;0,N($K1022)&gt;0),"※收入和支出不能同一行都填",IF(AND($D1022="收入",N($J1022)=0),"※收入行要填收入金额",IF(AND($D1022="支出",N($K1022)=0),"※支出行要填支出金额",IF(AND($C1022&lt;&gt;"",ISNA(MATCH($C1022,账户表,0))),"※账户不在基础资料里",IF(AND($G1022&lt;&gt;"",ISNA(MATCH($G1022,项目名表,0))),"※项目不在项目台账里",IF(AND(LEFT($F1022,3)="成本-",$G1022=""),"※成本类支出没填项目",IF(AND(LEFT($F1022,3)="成本-",$H1022&lt;&gt;"",N($K1022)&gt;0,COUNTIFS(采购单!$B:$B,$B1022,采购单!$C:$C,$H1022,采购单!$L:$L,$K1022)&gt;0),"※这笔可能和采购单重复了",""))))))))))</f>
        <v/>
      </c>
    </row>
    <row r="1023">
      <c r="A1023" s="17">
        <f>IF($B1023="","",ROW()-3)</f>
        <v/>
      </c>
      <c r="B1023" s="18" t="n"/>
      <c r="C1023" s="13" t="n"/>
      <c r="D1023" s="13" t="n"/>
      <c r="E1023" s="13" t="n"/>
      <c r="F1023" s="17">
        <f>IF($E1023="","",IFERROR(VLOOKUP($E1023,类别归属,2,0),"※类别不在基础资料里"))</f>
        <v/>
      </c>
      <c r="G1023" s="13" t="n"/>
      <c r="H1023" s="13" t="n"/>
      <c r="I1023" s="13" t="n"/>
      <c r="J1023" s="14" t="n"/>
      <c r="K1023" s="14" t="n"/>
      <c r="L1023" s="19">
        <f>IF($C1023="","",ROUND(IFERROR(VLOOKUP($C1023,账户期初,2,0),0)+SUMIFS($J$4:J1023,$C$4:C1023,$C1023)-SUMIFS($K$4:K1023,$C$4:C1023,$C1023),2))</f>
        <v/>
      </c>
      <c r="M1023" s="19">
        <f>IF($C1023="","",ROUND(SUM(基础资料!$B$4:$B$13)+SUM($J$4:J1023)-SUM($K$4:K1023),2))</f>
        <v/>
      </c>
      <c r="N1023" s="13" t="n"/>
      <c r="O1023" s="13" t="n"/>
      <c r="P1023" s="17">
        <f>IF($B1023="","",IF($F1023="※类别不在基础资料里","※费用类别不在基础资料里",IF(AND(N($J1023)=0,N($K1023)=0),"※这行没填金额",IF(AND(N($J1023)&gt;0,N($K1023)&gt;0),"※收入和支出不能同一行都填",IF(AND($D1023="收入",N($J1023)=0),"※收入行要填收入金额",IF(AND($D1023="支出",N($K1023)=0),"※支出行要填支出金额",IF(AND($C1023&lt;&gt;"",ISNA(MATCH($C1023,账户表,0))),"※账户不在基础资料里",IF(AND($G1023&lt;&gt;"",ISNA(MATCH($G1023,项目名表,0))),"※项目不在项目台账里",IF(AND(LEFT($F1023,3)="成本-",$G1023=""),"※成本类支出没填项目",IF(AND(LEFT($F1023,3)="成本-",$H1023&lt;&gt;"",N($K1023)&gt;0,COUNTIFS(采购单!$B:$B,$B1023,采购单!$C:$C,$H1023,采购单!$L:$L,$K1023)&gt;0),"※这笔可能和采购单重复了",""))))))))))</f>
        <v/>
      </c>
    </row>
    <row r="1024">
      <c r="A1024" s="17">
        <f>IF($B1024="","",ROW()-3)</f>
        <v/>
      </c>
      <c r="B1024" s="18" t="n"/>
      <c r="C1024" s="13" t="n"/>
      <c r="D1024" s="13" t="n"/>
      <c r="E1024" s="13" t="n"/>
      <c r="F1024" s="17">
        <f>IF($E1024="","",IFERROR(VLOOKUP($E1024,类别归属,2,0),"※类别不在基础资料里"))</f>
        <v/>
      </c>
      <c r="G1024" s="13" t="n"/>
      <c r="H1024" s="13" t="n"/>
      <c r="I1024" s="13" t="n"/>
      <c r="J1024" s="14" t="n"/>
      <c r="K1024" s="14" t="n"/>
      <c r="L1024" s="19">
        <f>IF($C1024="","",ROUND(IFERROR(VLOOKUP($C1024,账户期初,2,0),0)+SUMIFS($J$4:J1024,$C$4:C1024,$C1024)-SUMIFS($K$4:K1024,$C$4:C1024,$C1024),2))</f>
        <v/>
      </c>
      <c r="M1024" s="19">
        <f>IF($C1024="","",ROUND(SUM(基础资料!$B$4:$B$13)+SUM($J$4:J1024)-SUM($K$4:K1024),2))</f>
        <v/>
      </c>
      <c r="N1024" s="13" t="n"/>
      <c r="O1024" s="13" t="n"/>
      <c r="P1024" s="17">
        <f>IF($B1024="","",IF($F1024="※类别不在基础资料里","※费用类别不在基础资料里",IF(AND(N($J1024)=0,N($K1024)=0),"※这行没填金额",IF(AND(N($J1024)&gt;0,N($K1024)&gt;0),"※收入和支出不能同一行都填",IF(AND($D1024="收入",N($J1024)=0),"※收入行要填收入金额",IF(AND($D1024="支出",N($K1024)=0),"※支出行要填支出金额",IF(AND($C1024&lt;&gt;"",ISNA(MATCH($C1024,账户表,0))),"※账户不在基础资料里",IF(AND($G1024&lt;&gt;"",ISNA(MATCH($G1024,项目名表,0))),"※项目不在项目台账里",IF(AND(LEFT($F1024,3)="成本-",$G1024=""),"※成本类支出没填项目",IF(AND(LEFT($F1024,3)="成本-",$H1024&lt;&gt;"",N($K1024)&gt;0,COUNTIFS(采购单!$B:$B,$B1024,采购单!$C:$C,$H1024,采购单!$L:$L,$K1024)&gt;0),"※这笔可能和采购单重复了",""))))))))))</f>
        <v/>
      </c>
    </row>
    <row r="1025">
      <c r="A1025" s="17">
        <f>IF($B1025="","",ROW()-3)</f>
        <v/>
      </c>
      <c r="B1025" s="18" t="n"/>
      <c r="C1025" s="13" t="n"/>
      <c r="D1025" s="13" t="n"/>
      <c r="E1025" s="13" t="n"/>
      <c r="F1025" s="17">
        <f>IF($E1025="","",IFERROR(VLOOKUP($E1025,类别归属,2,0),"※类别不在基础资料里"))</f>
        <v/>
      </c>
      <c r="G1025" s="13" t="n"/>
      <c r="H1025" s="13" t="n"/>
      <c r="I1025" s="13" t="n"/>
      <c r="J1025" s="14" t="n"/>
      <c r="K1025" s="14" t="n"/>
      <c r="L1025" s="19">
        <f>IF($C1025="","",ROUND(IFERROR(VLOOKUP($C1025,账户期初,2,0),0)+SUMIFS($J$4:J1025,$C$4:C1025,$C1025)-SUMIFS($K$4:K1025,$C$4:C1025,$C1025),2))</f>
        <v/>
      </c>
      <c r="M1025" s="19">
        <f>IF($C1025="","",ROUND(SUM(基础资料!$B$4:$B$13)+SUM($J$4:J1025)-SUM($K$4:K1025),2))</f>
        <v/>
      </c>
      <c r="N1025" s="13" t="n"/>
      <c r="O1025" s="13" t="n"/>
      <c r="P1025" s="17">
        <f>IF($B1025="","",IF($F1025="※类别不在基础资料里","※费用类别不在基础资料里",IF(AND(N($J1025)=0,N($K1025)=0),"※这行没填金额",IF(AND(N($J1025)&gt;0,N($K1025)&gt;0),"※收入和支出不能同一行都填",IF(AND($D1025="收入",N($J1025)=0),"※收入行要填收入金额",IF(AND($D1025="支出",N($K1025)=0),"※支出行要填支出金额",IF(AND($C1025&lt;&gt;"",ISNA(MATCH($C1025,账户表,0))),"※账户不在基础资料里",IF(AND($G1025&lt;&gt;"",ISNA(MATCH($G1025,项目名表,0))),"※项目不在项目台账里",IF(AND(LEFT($F1025,3)="成本-",$G1025=""),"※成本类支出没填项目",IF(AND(LEFT($F1025,3)="成本-",$H1025&lt;&gt;"",N($K1025)&gt;0,COUNTIFS(采购单!$B:$B,$B1025,采购单!$C:$C,$H1025,采购单!$L:$L,$K1025)&gt;0),"※这笔可能和采购单重复了",""))))))))))</f>
        <v/>
      </c>
    </row>
    <row r="1026">
      <c r="A1026" s="17">
        <f>IF($B1026="","",ROW()-3)</f>
        <v/>
      </c>
      <c r="B1026" s="18" t="n"/>
      <c r="C1026" s="13" t="n"/>
      <c r="D1026" s="13" t="n"/>
      <c r="E1026" s="13" t="n"/>
      <c r="F1026" s="17">
        <f>IF($E1026="","",IFERROR(VLOOKUP($E1026,类别归属,2,0),"※类别不在基础资料里"))</f>
        <v/>
      </c>
      <c r="G1026" s="13" t="n"/>
      <c r="H1026" s="13" t="n"/>
      <c r="I1026" s="13" t="n"/>
      <c r="J1026" s="14" t="n"/>
      <c r="K1026" s="14" t="n"/>
      <c r="L1026" s="19">
        <f>IF($C1026="","",ROUND(IFERROR(VLOOKUP($C1026,账户期初,2,0),0)+SUMIFS($J$4:J1026,$C$4:C1026,$C1026)-SUMIFS($K$4:K1026,$C$4:C1026,$C1026),2))</f>
        <v/>
      </c>
      <c r="M1026" s="19">
        <f>IF($C1026="","",ROUND(SUM(基础资料!$B$4:$B$13)+SUM($J$4:J1026)-SUM($K$4:K1026),2))</f>
        <v/>
      </c>
      <c r="N1026" s="13" t="n"/>
      <c r="O1026" s="13" t="n"/>
      <c r="P1026" s="17">
        <f>IF($B1026="","",IF($F1026="※类别不在基础资料里","※费用类别不在基础资料里",IF(AND(N($J1026)=0,N($K1026)=0),"※这行没填金额",IF(AND(N($J1026)&gt;0,N($K1026)&gt;0),"※收入和支出不能同一行都填",IF(AND($D1026="收入",N($J1026)=0),"※收入行要填收入金额",IF(AND($D1026="支出",N($K1026)=0),"※支出行要填支出金额",IF(AND($C1026&lt;&gt;"",ISNA(MATCH($C1026,账户表,0))),"※账户不在基础资料里",IF(AND($G1026&lt;&gt;"",ISNA(MATCH($G1026,项目名表,0))),"※项目不在项目台账里",IF(AND(LEFT($F1026,3)="成本-",$G1026=""),"※成本类支出没填项目",IF(AND(LEFT($F1026,3)="成本-",$H1026&lt;&gt;"",N($K1026)&gt;0,COUNTIFS(采购单!$B:$B,$B1026,采购单!$C:$C,$H1026,采购单!$L:$L,$K1026)&gt;0),"※这笔可能和采购单重复了",""))))))))))</f>
        <v/>
      </c>
    </row>
    <row r="1027">
      <c r="A1027" s="17">
        <f>IF($B1027="","",ROW()-3)</f>
        <v/>
      </c>
      <c r="B1027" s="18" t="n"/>
      <c r="C1027" s="13" t="n"/>
      <c r="D1027" s="13" t="n"/>
      <c r="E1027" s="13" t="n"/>
      <c r="F1027" s="17">
        <f>IF($E1027="","",IFERROR(VLOOKUP($E1027,类别归属,2,0),"※类别不在基础资料里"))</f>
        <v/>
      </c>
      <c r="G1027" s="13" t="n"/>
      <c r="H1027" s="13" t="n"/>
      <c r="I1027" s="13" t="n"/>
      <c r="J1027" s="14" t="n"/>
      <c r="K1027" s="14" t="n"/>
      <c r="L1027" s="19">
        <f>IF($C1027="","",ROUND(IFERROR(VLOOKUP($C1027,账户期初,2,0),0)+SUMIFS($J$4:J1027,$C$4:C1027,$C1027)-SUMIFS($K$4:K1027,$C$4:C1027,$C1027),2))</f>
        <v/>
      </c>
      <c r="M1027" s="19">
        <f>IF($C1027="","",ROUND(SUM(基础资料!$B$4:$B$13)+SUM($J$4:J1027)-SUM($K$4:K1027),2))</f>
        <v/>
      </c>
      <c r="N1027" s="13" t="n"/>
      <c r="O1027" s="13" t="n"/>
      <c r="P1027" s="17">
        <f>IF($B1027="","",IF($F1027="※类别不在基础资料里","※费用类别不在基础资料里",IF(AND(N($J1027)=0,N($K1027)=0),"※这行没填金额",IF(AND(N($J1027)&gt;0,N($K1027)&gt;0),"※收入和支出不能同一行都填",IF(AND($D1027="收入",N($J1027)=0),"※收入行要填收入金额",IF(AND($D1027="支出",N($K1027)=0),"※支出行要填支出金额",IF(AND($C1027&lt;&gt;"",ISNA(MATCH($C1027,账户表,0))),"※账户不在基础资料里",IF(AND($G1027&lt;&gt;"",ISNA(MATCH($G1027,项目名表,0))),"※项目不在项目台账里",IF(AND(LEFT($F1027,3)="成本-",$G1027=""),"※成本类支出没填项目",IF(AND(LEFT($F1027,3)="成本-",$H1027&lt;&gt;"",N($K1027)&gt;0,COUNTIFS(采购单!$B:$B,$B1027,采购单!$C:$C,$H1027,采购单!$L:$L,$K1027)&gt;0),"※这笔可能和采购单重复了",""))))))))))</f>
        <v/>
      </c>
    </row>
    <row r="1028">
      <c r="A1028" s="17">
        <f>IF($B1028="","",ROW()-3)</f>
        <v/>
      </c>
      <c r="B1028" s="18" t="n"/>
      <c r="C1028" s="13" t="n"/>
      <c r="D1028" s="13" t="n"/>
      <c r="E1028" s="13" t="n"/>
      <c r="F1028" s="17">
        <f>IF($E1028="","",IFERROR(VLOOKUP($E1028,类别归属,2,0),"※类别不在基础资料里"))</f>
        <v/>
      </c>
      <c r="G1028" s="13" t="n"/>
      <c r="H1028" s="13" t="n"/>
      <c r="I1028" s="13" t="n"/>
      <c r="J1028" s="14" t="n"/>
      <c r="K1028" s="14" t="n"/>
      <c r="L1028" s="19">
        <f>IF($C1028="","",ROUND(IFERROR(VLOOKUP($C1028,账户期初,2,0),0)+SUMIFS($J$4:J1028,$C$4:C1028,$C1028)-SUMIFS($K$4:K1028,$C$4:C1028,$C1028),2))</f>
        <v/>
      </c>
      <c r="M1028" s="19">
        <f>IF($C1028="","",ROUND(SUM(基础资料!$B$4:$B$13)+SUM($J$4:J1028)-SUM($K$4:K1028),2))</f>
        <v/>
      </c>
      <c r="N1028" s="13" t="n"/>
      <c r="O1028" s="13" t="n"/>
      <c r="P1028" s="17">
        <f>IF($B1028="","",IF($F1028="※类别不在基础资料里","※费用类别不在基础资料里",IF(AND(N($J1028)=0,N($K1028)=0),"※这行没填金额",IF(AND(N($J1028)&gt;0,N($K1028)&gt;0),"※收入和支出不能同一行都填",IF(AND($D1028="收入",N($J1028)=0),"※收入行要填收入金额",IF(AND($D1028="支出",N($K1028)=0),"※支出行要填支出金额",IF(AND($C1028&lt;&gt;"",ISNA(MATCH($C1028,账户表,0))),"※账户不在基础资料里",IF(AND($G1028&lt;&gt;"",ISNA(MATCH($G1028,项目名表,0))),"※项目不在项目台账里",IF(AND(LEFT($F1028,3)="成本-",$G1028=""),"※成本类支出没填项目",IF(AND(LEFT($F1028,3)="成本-",$H1028&lt;&gt;"",N($K1028)&gt;0,COUNTIFS(采购单!$B:$B,$B1028,采购单!$C:$C,$H1028,采购单!$L:$L,$K1028)&gt;0),"※这笔可能和采购单重复了",""))))))))))</f>
        <v/>
      </c>
    </row>
    <row r="1029">
      <c r="A1029" s="17">
        <f>IF($B1029="","",ROW()-3)</f>
        <v/>
      </c>
      <c r="B1029" s="18" t="n"/>
      <c r="C1029" s="13" t="n"/>
      <c r="D1029" s="13" t="n"/>
      <c r="E1029" s="13" t="n"/>
      <c r="F1029" s="17">
        <f>IF($E1029="","",IFERROR(VLOOKUP($E1029,类别归属,2,0),"※类别不在基础资料里"))</f>
        <v/>
      </c>
      <c r="G1029" s="13" t="n"/>
      <c r="H1029" s="13" t="n"/>
      <c r="I1029" s="13" t="n"/>
      <c r="J1029" s="14" t="n"/>
      <c r="K1029" s="14" t="n"/>
      <c r="L1029" s="19">
        <f>IF($C1029="","",ROUND(IFERROR(VLOOKUP($C1029,账户期初,2,0),0)+SUMIFS($J$4:J1029,$C$4:C1029,$C1029)-SUMIFS($K$4:K1029,$C$4:C1029,$C1029),2))</f>
        <v/>
      </c>
      <c r="M1029" s="19">
        <f>IF($C1029="","",ROUND(SUM(基础资料!$B$4:$B$13)+SUM($J$4:J1029)-SUM($K$4:K1029),2))</f>
        <v/>
      </c>
      <c r="N1029" s="13" t="n"/>
      <c r="O1029" s="13" t="n"/>
      <c r="P1029" s="17">
        <f>IF($B1029="","",IF($F1029="※类别不在基础资料里","※费用类别不在基础资料里",IF(AND(N($J1029)=0,N($K1029)=0),"※这行没填金额",IF(AND(N($J1029)&gt;0,N($K1029)&gt;0),"※收入和支出不能同一行都填",IF(AND($D1029="收入",N($J1029)=0),"※收入行要填收入金额",IF(AND($D1029="支出",N($K1029)=0),"※支出行要填支出金额",IF(AND($C1029&lt;&gt;"",ISNA(MATCH($C1029,账户表,0))),"※账户不在基础资料里",IF(AND($G1029&lt;&gt;"",ISNA(MATCH($G1029,项目名表,0))),"※项目不在项目台账里",IF(AND(LEFT($F1029,3)="成本-",$G1029=""),"※成本类支出没填项目",IF(AND(LEFT($F1029,3)="成本-",$H1029&lt;&gt;"",N($K1029)&gt;0,COUNTIFS(采购单!$B:$B,$B1029,采购单!$C:$C,$H1029,采购单!$L:$L,$K1029)&gt;0),"※这笔可能和采购单重复了",""))))))))))</f>
        <v/>
      </c>
    </row>
    <row r="1030">
      <c r="A1030" s="17">
        <f>IF($B1030="","",ROW()-3)</f>
        <v/>
      </c>
      <c r="B1030" s="18" t="n"/>
      <c r="C1030" s="13" t="n"/>
      <c r="D1030" s="13" t="n"/>
      <c r="E1030" s="13" t="n"/>
      <c r="F1030" s="17">
        <f>IF($E1030="","",IFERROR(VLOOKUP($E1030,类别归属,2,0),"※类别不在基础资料里"))</f>
        <v/>
      </c>
      <c r="G1030" s="13" t="n"/>
      <c r="H1030" s="13" t="n"/>
      <c r="I1030" s="13" t="n"/>
      <c r="J1030" s="14" t="n"/>
      <c r="K1030" s="14" t="n"/>
      <c r="L1030" s="19">
        <f>IF($C1030="","",ROUND(IFERROR(VLOOKUP($C1030,账户期初,2,0),0)+SUMIFS($J$4:J1030,$C$4:C1030,$C1030)-SUMIFS($K$4:K1030,$C$4:C1030,$C1030),2))</f>
        <v/>
      </c>
      <c r="M1030" s="19">
        <f>IF($C1030="","",ROUND(SUM(基础资料!$B$4:$B$13)+SUM($J$4:J1030)-SUM($K$4:K1030),2))</f>
        <v/>
      </c>
      <c r="N1030" s="13" t="n"/>
      <c r="O1030" s="13" t="n"/>
      <c r="P1030" s="17">
        <f>IF($B1030="","",IF($F1030="※类别不在基础资料里","※费用类别不在基础资料里",IF(AND(N($J1030)=0,N($K1030)=0),"※这行没填金额",IF(AND(N($J1030)&gt;0,N($K1030)&gt;0),"※收入和支出不能同一行都填",IF(AND($D1030="收入",N($J1030)=0),"※收入行要填收入金额",IF(AND($D1030="支出",N($K1030)=0),"※支出行要填支出金额",IF(AND($C1030&lt;&gt;"",ISNA(MATCH($C1030,账户表,0))),"※账户不在基础资料里",IF(AND($G1030&lt;&gt;"",ISNA(MATCH($G1030,项目名表,0))),"※项目不在项目台账里",IF(AND(LEFT($F1030,3)="成本-",$G1030=""),"※成本类支出没填项目",IF(AND(LEFT($F1030,3)="成本-",$H1030&lt;&gt;"",N($K1030)&gt;0,COUNTIFS(采购单!$B:$B,$B1030,采购单!$C:$C,$H1030,采购单!$L:$L,$K1030)&gt;0),"※这笔可能和采购单重复了",""))))))))))</f>
        <v/>
      </c>
    </row>
    <row r="1031">
      <c r="A1031" s="17">
        <f>IF($B1031="","",ROW()-3)</f>
        <v/>
      </c>
      <c r="B1031" s="18" t="n"/>
      <c r="C1031" s="13" t="n"/>
      <c r="D1031" s="13" t="n"/>
      <c r="E1031" s="13" t="n"/>
      <c r="F1031" s="17">
        <f>IF($E1031="","",IFERROR(VLOOKUP($E1031,类别归属,2,0),"※类别不在基础资料里"))</f>
        <v/>
      </c>
      <c r="G1031" s="13" t="n"/>
      <c r="H1031" s="13" t="n"/>
      <c r="I1031" s="13" t="n"/>
      <c r="J1031" s="14" t="n"/>
      <c r="K1031" s="14" t="n"/>
      <c r="L1031" s="19">
        <f>IF($C1031="","",ROUND(IFERROR(VLOOKUP($C1031,账户期初,2,0),0)+SUMIFS($J$4:J1031,$C$4:C1031,$C1031)-SUMIFS($K$4:K1031,$C$4:C1031,$C1031),2))</f>
        <v/>
      </c>
      <c r="M1031" s="19">
        <f>IF($C1031="","",ROUND(SUM(基础资料!$B$4:$B$13)+SUM($J$4:J1031)-SUM($K$4:K1031),2))</f>
        <v/>
      </c>
      <c r="N1031" s="13" t="n"/>
      <c r="O1031" s="13" t="n"/>
      <c r="P1031" s="17">
        <f>IF($B1031="","",IF($F1031="※类别不在基础资料里","※费用类别不在基础资料里",IF(AND(N($J1031)=0,N($K1031)=0),"※这行没填金额",IF(AND(N($J1031)&gt;0,N($K1031)&gt;0),"※收入和支出不能同一行都填",IF(AND($D1031="收入",N($J1031)=0),"※收入行要填收入金额",IF(AND($D1031="支出",N($K1031)=0),"※支出行要填支出金额",IF(AND($C1031&lt;&gt;"",ISNA(MATCH($C1031,账户表,0))),"※账户不在基础资料里",IF(AND($G1031&lt;&gt;"",ISNA(MATCH($G1031,项目名表,0))),"※项目不在项目台账里",IF(AND(LEFT($F1031,3)="成本-",$G1031=""),"※成本类支出没填项目",IF(AND(LEFT($F1031,3)="成本-",$H1031&lt;&gt;"",N($K1031)&gt;0,COUNTIFS(采购单!$B:$B,$B1031,采购单!$C:$C,$H1031,采购单!$L:$L,$K1031)&gt;0),"※这笔可能和采购单重复了",""))))))))))</f>
        <v/>
      </c>
    </row>
    <row r="1032">
      <c r="A1032" s="17">
        <f>IF($B1032="","",ROW()-3)</f>
        <v/>
      </c>
      <c r="B1032" s="18" t="n"/>
      <c r="C1032" s="13" t="n"/>
      <c r="D1032" s="13" t="n"/>
      <c r="E1032" s="13" t="n"/>
      <c r="F1032" s="17">
        <f>IF($E1032="","",IFERROR(VLOOKUP($E1032,类别归属,2,0),"※类别不在基础资料里"))</f>
        <v/>
      </c>
      <c r="G1032" s="13" t="n"/>
      <c r="H1032" s="13" t="n"/>
      <c r="I1032" s="13" t="n"/>
      <c r="J1032" s="14" t="n"/>
      <c r="K1032" s="14" t="n"/>
      <c r="L1032" s="19">
        <f>IF($C1032="","",ROUND(IFERROR(VLOOKUP($C1032,账户期初,2,0),0)+SUMIFS($J$4:J1032,$C$4:C1032,$C1032)-SUMIFS($K$4:K1032,$C$4:C1032,$C1032),2))</f>
        <v/>
      </c>
      <c r="M1032" s="19">
        <f>IF($C1032="","",ROUND(SUM(基础资料!$B$4:$B$13)+SUM($J$4:J1032)-SUM($K$4:K1032),2))</f>
        <v/>
      </c>
      <c r="N1032" s="13" t="n"/>
      <c r="O1032" s="13" t="n"/>
      <c r="P1032" s="17">
        <f>IF($B1032="","",IF($F1032="※类别不在基础资料里","※费用类别不在基础资料里",IF(AND(N($J1032)=0,N($K1032)=0),"※这行没填金额",IF(AND(N($J1032)&gt;0,N($K1032)&gt;0),"※收入和支出不能同一行都填",IF(AND($D1032="收入",N($J1032)=0),"※收入行要填收入金额",IF(AND($D1032="支出",N($K1032)=0),"※支出行要填支出金额",IF(AND($C1032&lt;&gt;"",ISNA(MATCH($C1032,账户表,0))),"※账户不在基础资料里",IF(AND($G1032&lt;&gt;"",ISNA(MATCH($G1032,项目名表,0))),"※项目不在项目台账里",IF(AND(LEFT($F1032,3)="成本-",$G1032=""),"※成本类支出没填项目",IF(AND(LEFT($F1032,3)="成本-",$H1032&lt;&gt;"",N($K1032)&gt;0,COUNTIFS(采购单!$B:$B,$B1032,采购单!$C:$C,$H1032,采购单!$L:$L,$K1032)&gt;0),"※这笔可能和采购单重复了",""))))))))))</f>
        <v/>
      </c>
    </row>
    <row r="1033">
      <c r="A1033" s="17">
        <f>IF($B1033="","",ROW()-3)</f>
        <v/>
      </c>
      <c r="B1033" s="18" t="n"/>
      <c r="C1033" s="13" t="n"/>
      <c r="D1033" s="13" t="n"/>
      <c r="E1033" s="13" t="n"/>
      <c r="F1033" s="17">
        <f>IF($E1033="","",IFERROR(VLOOKUP($E1033,类别归属,2,0),"※类别不在基础资料里"))</f>
        <v/>
      </c>
      <c r="G1033" s="13" t="n"/>
      <c r="H1033" s="13" t="n"/>
      <c r="I1033" s="13" t="n"/>
      <c r="J1033" s="14" t="n"/>
      <c r="K1033" s="14" t="n"/>
      <c r="L1033" s="19">
        <f>IF($C1033="","",ROUND(IFERROR(VLOOKUP($C1033,账户期初,2,0),0)+SUMIFS($J$4:J1033,$C$4:C1033,$C1033)-SUMIFS($K$4:K1033,$C$4:C1033,$C1033),2))</f>
        <v/>
      </c>
      <c r="M1033" s="19">
        <f>IF($C1033="","",ROUND(SUM(基础资料!$B$4:$B$13)+SUM($J$4:J1033)-SUM($K$4:K1033),2))</f>
        <v/>
      </c>
      <c r="N1033" s="13" t="n"/>
      <c r="O1033" s="13" t="n"/>
      <c r="P1033" s="17">
        <f>IF($B1033="","",IF($F1033="※类别不在基础资料里","※费用类别不在基础资料里",IF(AND(N($J1033)=0,N($K1033)=0),"※这行没填金额",IF(AND(N($J1033)&gt;0,N($K1033)&gt;0),"※收入和支出不能同一行都填",IF(AND($D1033="收入",N($J1033)=0),"※收入行要填收入金额",IF(AND($D1033="支出",N($K1033)=0),"※支出行要填支出金额",IF(AND($C1033&lt;&gt;"",ISNA(MATCH($C1033,账户表,0))),"※账户不在基础资料里",IF(AND($G1033&lt;&gt;"",ISNA(MATCH($G1033,项目名表,0))),"※项目不在项目台账里",IF(AND(LEFT($F1033,3)="成本-",$G1033=""),"※成本类支出没填项目",IF(AND(LEFT($F1033,3)="成本-",$H1033&lt;&gt;"",N($K1033)&gt;0,COUNTIFS(采购单!$B:$B,$B1033,采购单!$C:$C,$H1033,采购单!$L:$L,$K1033)&gt;0),"※这笔可能和采购单重复了",""))))))))))</f>
        <v/>
      </c>
    </row>
    <row r="1034">
      <c r="A1034" s="17">
        <f>IF($B1034="","",ROW()-3)</f>
        <v/>
      </c>
      <c r="B1034" s="18" t="n"/>
      <c r="C1034" s="13" t="n"/>
      <c r="D1034" s="13" t="n"/>
      <c r="E1034" s="13" t="n"/>
      <c r="F1034" s="17">
        <f>IF($E1034="","",IFERROR(VLOOKUP($E1034,类别归属,2,0),"※类别不在基础资料里"))</f>
        <v/>
      </c>
      <c r="G1034" s="13" t="n"/>
      <c r="H1034" s="13" t="n"/>
      <c r="I1034" s="13" t="n"/>
      <c r="J1034" s="14" t="n"/>
      <c r="K1034" s="14" t="n"/>
      <c r="L1034" s="19">
        <f>IF($C1034="","",ROUND(IFERROR(VLOOKUP($C1034,账户期初,2,0),0)+SUMIFS($J$4:J1034,$C$4:C1034,$C1034)-SUMIFS($K$4:K1034,$C$4:C1034,$C1034),2))</f>
        <v/>
      </c>
      <c r="M1034" s="19">
        <f>IF($C1034="","",ROUND(SUM(基础资料!$B$4:$B$13)+SUM($J$4:J1034)-SUM($K$4:K1034),2))</f>
        <v/>
      </c>
      <c r="N1034" s="13" t="n"/>
      <c r="O1034" s="13" t="n"/>
      <c r="P1034" s="17">
        <f>IF($B1034="","",IF($F1034="※类别不在基础资料里","※费用类别不在基础资料里",IF(AND(N($J1034)=0,N($K1034)=0),"※这行没填金额",IF(AND(N($J1034)&gt;0,N($K1034)&gt;0),"※收入和支出不能同一行都填",IF(AND($D1034="收入",N($J1034)=0),"※收入行要填收入金额",IF(AND($D1034="支出",N($K1034)=0),"※支出行要填支出金额",IF(AND($C1034&lt;&gt;"",ISNA(MATCH($C1034,账户表,0))),"※账户不在基础资料里",IF(AND($G1034&lt;&gt;"",ISNA(MATCH($G1034,项目名表,0))),"※项目不在项目台账里",IF(AND(LEFT($F1034,3)="成本-",$G1034=""),"※成本类支出没填项目",IF(AND(LEFT($F1034,3)="成本-",$H1034&lt;&gt;"",N($K1034)&gt;0,COUNTIFS(采购单!$B:$B,$B1034,采购单!$C:$C,$H1034,采购单!$L:$L,$K1034)&gt;0),"※这笔可能和采购单重复了",""))))))))))</f>
        <v/>
      </c>
    </row>
    <row r="1035">
      <c r="A1035" s="17">
        <f>IF($B1035="","",ROW()-3)</f>
        <v/>
      </c>
      <c r="B1035" s="18" t="n"/>
      <c r="C1035" s="13" t="n"/>
      <c r="D1035" s="13" t="n"/>
      <c r="E1035" s="13" t="n"/>
      <c r="F1035" s="17">
        <f>IF($E1035="","",IFERROR(VLOOKUP($E1035,类别归属,2,0),"※类别不在基础资料里"))</f>
        <v/>
      </c>
      <c r="G1035" s="13" t="n"/>
      <c r="H1035" s="13" t="n"/>
      <c r="I1035" s="13" t="n"/>
      <c r="J1035" s="14" t="n"/>
      <c r="K1035" s="14" t="n"/>
      <c r="L1035" s="19">
        <f>IF($C1035="","",ROUND(IFERROR(VLOOKUP($C1035,账户期初,2,0),0)+SUMIFS($J$4:J1035,$C$4:C1035,$C1035)-SUMIFS($K$4:K1035,$C$4:C1035,$C1035),2))</f>
        <v/>
      </c>
      <c r="M1035" s="19">
        <f>IF($C1035="","",ROUND(SUM(基础资料!$B$4:$B$13)+SUM($J$4:J1035)-SUM($K$4:K1035),2))</f>
        <v/>
      </c>
      <c r="N1035" s="13" t="n"/>
      <c r="O1035" s="13" t="n"/>
      <c r="P1035" s="17">
        <f>IF($B1035="","",IF($F1035="※类别不在基础资料里","※费用类别不在基础资料里",IF(AND(N($J1035)=0,N($K1035)=0),"※这行没填金额",IF(AND(N($J1035)&gt;0,N($K1035)&gt;0),"※收入和支出不能同一行都填",IF(AND($D1035="收入",N($J1035)=0),"※收入行要填收入金额",IF(AND($D1035="支出",N($K1035)=0),"※支出行要填支出金额",IF(AND($C1035&lt;&gt;"",ISNA(MATCH($C1035,账户表,0))),"※账户不在基础资料里",IF(AND($G1035&lt;&gt;"",ISNA(MATCH($G1035,项目名表,0))),"※项目不在项目台账里",IF(AND(LEFT($F1035,3)="成本-",$G1035=""),"※成本类支出没填项目",IF(AND(LEFT($F1035,3)="成本-",$H1035&lt;&gt;"",N($K1035)&gt;0,COUNTIFS(采购单!$B:$B,$B1035,采购单!$C:$C,$H1035,采购单!$L:$L,$K1035)&gt;0),"※这笔可能和采购单重复了",""))))))))))</f>
        <v/>
      </c>
    </row>
    <row r="1036">
      <c r="A1036" s="17">
        <f>IF($B1036="","",ROW()-3)</f>
        <v/>
      </c>
      <c r="B1036" s="18" t="n"/>
      <c r="C1036" s="13" t="n"/>
      <c r="D1036" s="13" t="n"/>
      <c r="E1036" s="13" t="n"/>
      <c r="F1036" s="17">
        <f>IF($E1036="","",IFERROR(VLOOKUP($E1036,类别归属,2,0),"※类别不在基础资料里"))</f>
        <v/>
      </c>
      <c r="G1036" s="13" t="n"/>
      <c r="H1036" s="13" t="n"/>
      <c r="I1036" s="13" t="n"/>
      <c r="J1036" s="14" t="n"/>
      <c r="K1036" s="14" t="n"/>
      <c r="L1036" s="19">
        <f>IF($C1036="","",ROUND(IFERROR(VLOOKUP($C1036,账户期初,2,0),0)+SUMIFS($J$4:J1036,$C$4:C1036,$C1036)-SUMIFS($K$4:K1036,$C$4:C1036,$C1036),2))</f>
        <v/>
      </c>
      <c r="M1036" s="19">
        <f>IF($C1036="","",ROUND(SUM(基础资料!$B$4:$B$13)+SUM($J$4:J1036)-SUM($K$4:K1036),2))</f>
        <v/>
      </c>
      <c r="N1036" s="13" t="n"/>
      <c r="O1036" s="13" t="n"/>
      <c r="P1036" s="17">
        <f>IF($B1036="","",IF($F1036="※类别不在基础资料里","※费用类别不在基础资料里",IF(AND(N($J1036)=0,N($K1036)=0),"※这行没填金额",IF(AND(N($J1036)&gt;0,N($K1036)&gt;0),"※收入和支出不能同一行都填",IF(AND($D1036="收入",N($J1036)=0),"※收入行要填收入金额",IF(AND($D1036="支出",N($K1036)=0),"※支出行要填支出金额",IF(AND($C1036&lt;&gt;"",ISNA(MATCH($C1036,账户表,0))),"※账户不在基础资料里",IF(AND($G1036&lt;&gt;"",ISNA(MATCH($G1036,项目名表,0))),"※项目不在项目台账里",IF(AND(LEFT($F1036,3)="成本-",$G1036=""),"※成本类支出没填项目",IF(AND(LEFT($F1036,3)="成本-",$H1036&lt;&gt;"",N($K1036)&gt;0,COUNTIFS(采购单!$B:$B,$B1036,采购单!$C:$C,$H1036,采购单!$L:$L,$K1036)&gt;0),"※这笔可能和采购单重复了",""))))))))))</f>
        <v/>
      </c>
    </row>
    <row r="1037">
      <c r="A1037" s="17">
        <f>IF($B1037="","",ROW()-3)</f>
        <v/>
      </c>
      <c r="B1037" s="18" t="n"/>
      <c r="C1037" s="13" t="n"/>
      <c r="D1037" s="13" t="n"/>
      <c r="E1037" s="13" t="n"/>
      <c r="F1037" s="17">
        <f>IF($E1037="","",IFERROR(VLOOKUP($E1037,类别归属,2,0),"※类别不在基础资料里"))</f>
        <v/>
      </c>
      <c r="G1037" s="13" t="n"/>
      <c r="H1037" s="13" t="n"/>
      <c r="I1037" s="13" t="n"/>
      <c r="J1037" s="14" t="n"/>
      <c r="K1037" s="14" t="n"/>
      <c r="L1037" s="19">
        <f>IF($C1037="","",ROUND(IFERROR(VLOOKUP($C1037,账户期初,2,0),0)+SUMIFS($J$4:J1037,$C$4:C1037,$C1037)-SUMIFS($K$4:K1037,$C$4:C1037,$C1037),2))</f>
        <v/>
      </c>
      <c r="M1037" s="19">
        <f>IF($C1037="","",ROUND(SUM(基础资料!$B$4:$B$13)+SUM($J$4:J1037)-SUM($K$4:K1037),2))</f>
        <v/>
      </c>
      <c r="N1037" s="13" t="n"/>
      <c r="O1037" s="13" t="n"/>
      <c r="P1037" s="17">
        <f>IF($B1037="","",IF($F1037="※类别不在基础资料里","※费用类别不在基础资料里",IF(AND(N($J1037)=0,N($K1037)=0),"※这行没填金额",IF(AND(N($J1037)&gt;0,N($K1037)&gt;0),"※收入和支出不能同一行都填",IF(AND($D1037="收入",N($J1037)=0),"※收入行要填收入金额",IF(AND($D1037="支出",N($K1037)=0),"※支出行要填支出金额",IF(AND($C1037&lt;&gt;"",ISNA(MATCH($C1037,账户表,0))),"※账户不在基础资料里",IF(AND($G1037&lt;&gt;"",ISNA(MATCH($G1037,项目名表,0))),"※项目不在项目台账里",IF(AND(LEFT($F1037,3)="成本-",$G1037=""),"※成本类支出没填项目",IF(AND(LEFT($F1037,3)="成本-",$H1037&lt;&gt;"",N($K1037)&gt;0,COUNTIFS(采购单!$B:$B,$B1037,采购单!$C:$C,$H1037,采购单!$L:$L,$K1037)&gt;0),"※这笔可能和采购单重复了",""))))))))))</f>
        <v/>
      </c>
    </row>
    <row r="1038">
      <c r="A1038" s="17">
        <f>IF($B1038="","",ROW()-3)</f>
        <v/>
      </c>
      <c r="B1038" s="18" t="n"/>
      <c r="C1038" s="13" t="n"/>
      <c r="D1038" s="13" t="n"/>
      <c r="E1038" s="13" t="n"/>
      <c r="F1038" s="17">
        <f>IF($E1038="","",IFERROR(VLOOKUP($E1038,类别归属,2,0),"※类别不在基础资料里"))</f>
        <v/>
      </c>
      <c r="G1038" s="13" t="n"/>
      <c r="H1038" s="13" t="n"/>
      <c r="I1038" s="13" t="n"/>
      <c r="J1038" s="14" t="n"/>
      <c r="K1038" s="14" t="n"/>
      <c r="L1038" s="19">
        <f>IF($C1038="","",ROUND(IFERROR(VLOOKUP($C1038,账户期初,2,0),0)+SUMIFS($J$4:J1038,$C$4:C1038,$C1038)-SUMIFS($K$4:K1038,$C$4:C1038,$C1038),2))</f>
        <v/>
      </c>
      <c r="M1038" s="19">
        <f>IF($C1038="","",ROUND(SUM(基础资料!$B$4:$B$13)+SUM($J$4:J1038)-SUM($K$4:K1038),2))</f>
        <v/>
      </c>
      <c r="N1038" s="13" t="n"/>
      <c r="O1038" s="13" t="n"/>
      <c r="P1038" s="17">
        <f>IF($B1038="","",IF($F1038="※类别不在基础资料里","※费用类别不在基础资料里",IF(AND(N($J1038)=0,N($K1038)=0),"※这行没填金额",IF(AND(N($J1038)&gt;0,N($K1038)&gt;0),"※收入和支出不能同一行都填",IF(AND($D1038="收入",N($J1038)=0),"※收入行要填收入金额",IF(AND($D1038="支出",N($K1038)=0),"※支出行要填支出金额",IF(AND($C1038&lt;&gt;"",ISNA(MATCH($C1038,账户表,0))),"※账户不在基础资料里",IF(AND($G1038&lt;&gt;"",ISNA(MATCH($G1038,项目名表,0))),"※项目不在项目台账里",IF(AND(LEFT($F1038,3)="成本-",$G1038=""),"※成本类支出没填项目",IF(AND(LEFT($F1038,3)="成本-",$H1038&lt;&gt;"",N($K1038)&gt;0,COUNTIFS(采购单!$B:$B,$B1038,采购单!$C:$C,$H1038,采购单!$L:$L,$K1038)&gt;0),"※这笔可能和采购单重复了",""))))))))))</f>
        <v/>
      </c>
    </row>
    <row r="1039">
      <c r="A1039" s="17">
        <f>IF($B1039="","",ROW()-3)</f>
        <v/>
      </c>
      <c r="B1039" s="18" t="n"/>
      <c r="C1039" s="13" t="n"/>
      <c r="D1039" s="13" t="n"/>
      <c r="E1039" s="13" t="n"/>
      <c r="F1039" s="17">
        <f>IF($E1039="","",IFERROR(VLOOKUP($E1039,类别归属,2,0),"※类别不在基础资料里"))</f>
        <v/>
      </c>
      <c r="G1039" s="13" t="n"/>
      <c r="H1039" s="13" t="n"/>
      <c r="I1039" s="13" t="n"/>
      <c r="J1039" s="14" t="n"/>
      <c r="K1039" s="14" t="n"/>
      <c r="L1039" s="19">
        <f>IF($C1039="","",ROUND(IFERROR(VLOOKUP($C1039,账户期初,2,0),0)+SUMIFS($J$4:J1039,$C$4:C1039,$C1039)-SUMIFS($K$4:K1039,$C$4:C1039,$C1039),2))</f>
        <v/>
      </c>
      <c r="M1039" s="19">
        <f>IF($C1039="","",ROUND(SUM(基础资料!$B$4:$B$13)+SUM($J$4:J1039)-SUM($K$4:K1039),2))</f>
        <v/>
      </c>
      <c r="N1039" s="13" t="n"/>
      <c r="O1039" s="13" t="n"/>
      <c r="P1039" s="17">
        <f>IF($B1039="","",IF($F1039="※类别不在基础资料里","※费用类别不在基础资料里",IF(AND(N($J1039)=0,N($K1039)=0),"※这行没填金额",IF(AND(N($J1039)&gt;0,N($K1039)&gt;0),"※收入和支出不能同一行都填",IF(AND($D1039="收入",N($J1039)=0),"※收入行要填收入金额",IF(AND($D1039="支出",N($K1039)=0),"※支出行要填支出金额",IF(AND($C1039&lt;&gt;"",ISNA(MATCH($C1039,账户表,0))),"※账户不在基础资料里",IF(AND($G1039&lt;&gt;"",ISNA(MATCH($G1039,项目名表,0))),"※项目不在项目台账里",IF(AND(LEFT($F1039,3)="成本-",$G1039=""),"※成本类支出没填项目",IF(AND(LEFT($F1039,3)="成本-",$H1039&lt;&gt;"",N($K1039)&gt;0,COUNTIFS(采购单!$B:$B,$B1039,采购单!$C:$C,$H1039,采购单!$L:$L,$K1039)&gt;0),"※这笔可能和采购单重复了",""))))))))))</f>
        <v/>
      </c>
    </row>
    <row r="1040">
      <c r="A1040" s="17">
        <f>IF($B1040="","",ROW()-3)</f>
        <v/>
      </c>
      <c r="B1040" s="18" t="n"/>
      <c r="C1040" s="13" t="n"/>
      <c r="D1040" s="13" t="n"/>
      <c r="E1040" s="13" t="n"/>
      <c r="F1040" s="17">
        <f>IF($E1040="","",IFERROR(VLOOKUP($E1040,类别归属,2,0),"※类别不在基础资料里"))</f>
        <v/>
      </c>
      <c r="G1040" s="13" t="n"/>
      <c r="H1040" s="13" t="n"/>
      <c r="I1040" s="13" t="n"/>
      <c r="J1040" s="14" t="n"/>
      <c r="K1040" s="14" t="n"/>
      <c r="L1040" s="19">
        <f>IF($C1040="","",ROUND(IFERROR(VLOOKUP($C1040,账户期初,2,0),0)+SUMIFS($J$4:J1040,$C$4:C1040,$C1040)-SUMIFS($K$4:K1040,$C$4:C1040,$C1040),2))</f>
        <v/>
      </c>
      <c r="M1040" s="19">
        <f>IF($C1040="","",ROUND(SUM(基础资料!$B$4:$B$13)+SUM($J$4:J1040)-SUM($K$4:K1040),2))</f>
        <v/>
      </c>
      <c r="N1040" s="13" t="n"/>
      <c r="O1040" s="13" t="n"/>
      <c r="P1040" s="17">
        <f>IF($B1040="","",IF($F1040="※类别不在基础资料里","※费用类别不在基础资料里",IF(AND(N($J1040)=0,N($K1040)=0),"※这行没填金额",IF(AND(N($J1040)&gt;0,N($K1040)&gt;0),"※收入和支出不能同一行都填",IF(AND($D1040="收入",N($J1040)=0),"※收入行要填收入金额",IF(AND($D1040="支出",N($K1040)=0),"※支出行要填支出金额",IF(AND($C1040&lt;&gt;"",ISNA(MATCH($C1040,账户表,0))),"※账户不在基础资料里",IF(AND($G1040&lt;&gt;"",ISNA(MATCH($G1040,项目名表,0))),"※项目不在项目台账里",IF(AND(LEFT($F1040,3)="成本-",$G1040=""),"※成本类支出没填项目",IF(AND(LEFT($F1040,3)="成本-",$H1040&lt;&gt;"",N($K1040)&gt;0,COUNTIFS(采购单!$B:$B,$B1040,采购单!$C:$C,$H1040,采购单!$L:$L,$K1040)&gt;0),"※这笔可能和采购单重复了",""))))))))))</f>
        <v/>
      </c>
    </row>
    <row r="1041">
      <c r="A1041" s="17">
        <f>IF($B1041="","",ROW()-3)</f>
        <v/>
      </c>
      <c r="B1041" s="18" t="n"/>
      <c r="C1041" s="13" t="n"/>
      <c r="D1041" s="13" t="n"/>
      <c r="E1041" s="13" t="n"/>
      <c r="F1041" s="17">
        <f>IF($E1041="","",IFERROR(VLOOKUP($E1041,类别归属,2,0),"※类别不在基础资料里"))</f>
        <v/>
      </c>
      <c r="G1041" s="13" t="n"/>
      <c r="H1041" s="13" t="n"/>
      <c r="I1041" s="13" t="n"/>
      <c r="J1041" s="14" t="n"/>
      <c r="K1041" s="14" t="n"/>
      <c r="L1041" s="19">
        <f>IF($C1041="","",ROUND(IFERROR(VLOOKUP($C1041,账户期初,2,0),0)+SUMIFS($J$4:J1041,$C$4:C1041,$C1041)-SUMIFS($K$4:K1041,$C$4:C1041,$C1041),2))</f>
        <v/>
      </c>
      <c r="M1041" s="19">
        <f>IF($C1041="","",ROUND(SUM(基础资料!$B$4:$B$13)+SUM($J$4:J1041)-SUM($K$4:K1041),2))</f>
        <v/>
      </c>
      <c r="N1041" s="13" t="n"/>
      <c r="O1041" s="13" t="n"/>
      <c r="P1041" s="17">
        <f>IF($B1041="","",IF($F1041="※类别不在基础资料里","※费用类别不在基础资料里",IF(AND(N($J1041)=0,N($K1041)=0),"※这行没填金额",IF(AND(N($J1041)&gt;0,N($K1041)&gt;0),"※收入和支出不能同一行都填",IF(AND($D1041="收入",N($J1041)=0),"※收入行要填收入金额",IF(AND($D1041="支出",N($K1041)=0),"※支出行要填支出金额",IF(AND($C1041&lt;&gt;"",ISNA(MATCH($C1041,账户表,0))),"※账户不在基础资料里",IF(AND($G1041&lt;&gt;"",ISNA(MATCH($G1041,项目名表,0))),"※项目不在项目台账里",IF(AND(LEFT($F1041,3)="成本-",$G1041=""),"※成本类支出没填项目",IF(AND(LEFT($F1041,3)="成本-",$H1041&lt;&gt;"",N($K1041)&gt;0,COUNTIFS(采购单!$B:$B,$B1041,采购单!$C:$C,$H1041,采购单!$L:$L,$K1041)&gt;0),"※这笔可能和采购单重复了",""))))))))))</f>
        <v/>
      </c>
    </row>
    <row r="1042">
      <c r="A1042" s="17">
        <f>IF($B1042="","",ROW()-3)</f>
        <v/>
      </c>
      <c r="B1042" s="18" t="n"/>
      <c r="C1042" s="13" t="n"/>
      <c r="D1042" s="13" t="n"/>
      <c r="E1042" s="13" t="n"/>
      <c r="F1042" s="17">
        <f>IF($E1042="","",IFERROR(VLOOKUP($E1042,类别归属,2,0),"※类别不在基础资料里"))</f>
        <v/>
      </c>
      <c r="G1042" s="13" t="n"/>
      <c r="H1042" s="13" t="n"/>
      <c r="I1042" s="13" t="n"/>
      <c r="J1042" s="14" t="n"/>
      <c r="K1042" s="14" t="n"/>
      <c r="L1042" s="19">
        <f>IF($C1042="","",ROUND(IFERROR(VLOOKUP($C1042,账户期初,2,0),0)+SUMIFS($J$4:J1042,$C$4:C1042,$C1042)-SUMIFS($K$4:K1042,$C$4:C1042,$C1042),2))</f>
        <v/>
      </c>
      <c r="M1042" s="19">
        <f>IF($C1042="","",ROUND(SUM(基础资料!$B$4:$B$13)+SUM($J$4:J1042)-SUM($K$4:K1042),2))</f>
        <v/>
      </c>
      <c r="N1042" s="13" t="n"/>
      <c r="O1042" s="13" t="n"/>
      <c r="P1042" s="17">
        <f>IF($B1042="","",IF($F1042="※类别不在基础资料里","※费用类别不在基础资料里",IF(AND(N($J1042)=0,N($K1042)=0),"※这行没填金额",IF(AND(N($J1042)&gt;0,N($K1042)&gt;0),"※收入和支出不能同一行都填",IF(AND($D1042="收入",N($J1042)=0),"※收入行要填收入金额",IF(AND($D1042="支出",N($K1042)=0),"※支出行要填支出金额",IF(AND($C1042&lt;&gt;"",ISNA(MATCH($C1042,账户表,0))),"※账户不在基础资料里",IF(AND($G1042&lt;&gt;"",ISNA(MATCH($G1042,项目名表,0))),"※项目不在项目台账里",IF(AND(LEFT($F1042,3)="成本-",$G1042=""),"※成本类支出没填项目",IF(AND(LEFT($F1042,3)="成本-",$H1042&lt;&gt;"",N($K1042)&gt;0,COUNTIFS(采购单!$B:$B,$B1042,采购单!$C:$C,$H1042,采购单!$L:$L,$K1042)&gt;0),"※这笔可能和采购单重复了",""))))))))))</f>
        <v/>
      </c>
    </row>
    <row r="1043">
      <c r="A1043" s="17">
        <f>IF($B1043="","",ROW()-3)</f>
        <v/>
      </c>
      <c r="B1043" s="18" t="n"/>
      <c r="C1043" s="13" t="n"/>
      <c r="D1043" s="13" t="n"/>
      <c r="E1043" s="13" t="n"/>
      <c r="F1043" s="17">
        <f>IF($E1043="","",IFERROR(VLOOKUP($E1043,类别归属,2,0),"※类别不在基础资料里"))</f>
        <v/>
      </c>
      <c r="G1043" s="13" t="n"/>
      <c r="H1043" s="13" t="n"/>
      <c r="I1043" s="13" t="n"/>
      <c r="J1043" s="14" t="n"/>
      <c r="K1043" s="14" t="n"/>
      <c r="L1043" s="19">
        <f>IF($C1043="","",ROUND(IFERROR(VLOOKUP($C1043,账户期初,2,0),0)+SUMIFS($J$4:J1043,$C$4:C1043,$C1043)-SUMIFS($K$4:K1043,$C$4:C1043,$C1043),2))</f>
        <v/>
      </c>
      <c r="M1043" s="19">
        <f>IF($C1043="","",ROUND(SUM(基础资料!$B$4:$B$13)+SUM($J$4:J1043)-SUM($K$4:K1043),2))</f>
        <v/>
      </c>
      <c r="N1043" s="13" t="n"/>
      <c r="O1043" s="13" t="n"/>
      <c r="P1043" s="17">
        <f>IF($B1043="","",IF($F1043="※类别不在基础资料里","※费用类别不在基础资料里",IF(AND(N($J1043)=0,N($K1043)=0),"※这行没填金额",IF(AND(N($J1043)&gt;0,N($K1043)&gt;0),"※收入和支出不能同一行都填",IF(AND($D1043="收入",N($J1043)=0),"※收入行要填收入金额",IF(AND($D1043="支出",N($K1043)=0),"※支出行要填支出金额",IF(AND($C1043&lt;&gt;"",ISNA(MATCH($C1043,账户表,0))),"※账户不在基础资料里",IF(AND($G1043&lt;&gt;"",ISNA(MATCH($G1043,项目名表,0))),"※项目不在项目台账里",IF(AND(LEFT($F1043,3)="成本-",$G1043=""),"※成本类支出没填项目",IF(AND(LEFT($F1043,3)="成本-",$H1043&lt;&gt;"",N($K1043)&gt;0,COUNTIFS(采购单!$B:$B,$B1043,采购单!$C:$C,$H1043,采购单!$L:$L,$K1043)&gt;0),"※这笔可能和采购单重复了",""))))))))))</f>
        <v/>
      </c>
    </row>
    <row r="1044">
      <c r="A1044" s="17">
        <f>IF($B1044="","",ROW()-3)</f>
        <v/>
      </c>
      <c r="B1044" s="18" t="n"/>
      <c r="C1044" s="13" t="n"/>
      <c r="D1044" s="13" t="n"/>
      <c r="E1044" s="13" t="n"/>
      <c r="F1044" s="17">
        <f>IF($E1044="","",IFERROR(VLOOKUP($E1044,类别归属,2,0),"※类别不在基础资料里"))</f>
        <v/>
      </c>
      <c r="G1044" s="13" t="n"/>
      <c r="H1044" s="13" t="n"/>
      <c r="I1044" s="13" t="n"/>
      <c r="J1044" s="14" t="n"/>
      <c r="K1044" s="14" t="n"/>
      <c r="L1044" s="19">
        <f>IF($C1044="","",ROUND(IFERROR(VLOOKUP($C1044,账户期初,2,0),0)+SUMIFS($J$4:J1044,$C$4:C1044,$C1044)-SUMIFS($K$4:K1044,$C$4:C1044,$C1044),2))</f>
        <v/>
      </c>
      <c r="M1044" s="19">
        <f>IF($C1044="","",ROUND(SUM(基础资料!$B$4:$B$13)+SUM($J$4:J1044)-SUM($K$4:K1044),2))</f>
        <v/>
      </c>
      <c r="N1044" s="13" t="n"/>
      <c r="O1044" s="13" t="n"/>
      <c r="P1044" s="17">
        <f>IF($B1044="","",IF($F1044="※类别不在基础资料里","※费用类别不在基础资料里",IF(AND(N($J1044)=0,N($K1044)=0),"※这行没填金额",IF(AND(N($J1044)&gt;0,N($K1044)&gt;0),"※收入和支出不能同一行都填",IF(AND($D1044="收入",N($J1044)=0),"※收入行要填收入金额",IF(AND($D1044="支出",N($K1044)=0),"※支出行要填支出金额",IF(AND($C1044&lt;&gt;"",ISNA(MATCH($C1044,账户表,0))),"※账户不在基础资料里",IF(AND($G1044&lt;&gt;"",ISNA(MATCH($G1044,项目名表,0))),"※项目不在项目台账里",IF(AND(LEFT($F1044,3)="成本-",$G1044=""),"※成本类支出没填项目",IF(AND(LEFT($F1044,3)="成本-",$H1044&lt;&gt;"",N($K1044)&gt;0,COUNTIFS(采购单!$B:$B,$B1044,采购单!$C:$C,$H1044,采购单!$L:$L,$K1044)&gt;0),"※这笔可能和采购单重复了",""))))))))))</f>
        <v/>
      </c>
    </row>
    <row r="1045">
      <c r="A1045" s="17">
        <f>IF($B1045="","",ROW()-3)</f>
        <v/>
      </c>
      <c r="B1045" s="18" t="n"/>
      <c r="C1045" s="13" t="n"/>
      <c r="D1045" s="13" t="n"/>
      <c r="E1045" s="13" t="n"/>
      <c r="F1045" s="17">
        <f>IF($E1045="","",IFERROR(VLOOKUP($E1045,类别归属,2,0),"※类别不在基础资料里"))</f>
        <v/>
      </c>
      <c r="G1045" s="13" t="n"/>
      <c r="H1045" s="13" t="n"/>
      <c r="I1045" s="13" t="n"/>
      <c r="J1045" s="14" t="n"/>
      <c r="K1045" s="14" t="n"/>
      <c r="L1045" s="19">
        <f>IF($C1045="","",ROUND(IFERROR(VLOOKUP($C1045,账户期初,2,0),0)+SUMIFS($J$4:J1045,$C$4:C1045,$C1045)-SUMIFS($K$4:K1045,$C$4:C1045,$C1045),2))</f>
        <v/>
      </c>
      <c r="M1045" s="19">
        <f>IF($C1045="","",ROUND(SUM(基础资料!$B$4:$B$13)+SUM($J$4:J1045)-SUM($K$4:K1045),2))</f>
        <v/>
      </c>
      <c r="N1045" s="13" t="n"/>
      <c r="O1045" s="13" t="n"/>
      <c r="P1045" s="17">
        <f>IF($B1045="","",IF($F1045="※类别不在基础资料里","※费用类别不在基础资料里",IF(AND(N($J1045)=0,N($K1045)=0),"※这行没填金额",IF(AND(N($J1045)&gt;0,N($K1045)&gt;0),"※收入和支出不能同一行都填",IF(AND($D1045="收入",N($J1045)=0),"※收入行要填收入金额",IF(AND($D1045="支出",N($K1045)=0),"※支出行要填支出金额",IF(AND($C1045&lt;&gt;"",ISNA(MATCH($C1045,账户表,0))),"※账户不在基础资料里",IF(AND($G1045&lt;&gt;"",ISNA(MATCH($G1045,项目名表,0))),"※项目不在项目台账里",IF(AND(LEFT($F1045,3)="成本-",$G1045=""),"※成本类支出没填项目",IF(AND(LEFT($F1045,3)="成本-",$H1045&lt;&gt;"",N($K1045)&gt;0,COUNTIFS(采购单!$B:$B,$B1045,采购单!$C:$C,$H1045,采购单!$L:$L,$K1045)&gt;0),"※这笔可能和采购单重复了",""))))))))))</f>
        <v/>
      </c>
    </row>
    <row r="1046">
      <c r="A1046" s="17">
        <f>IF($B1046="","",ROW()-3)</f>
        <v/>
      </c>
      <c r="B1046" s="18" t="n"/>
      <c r="C1046" s="13" t="n"/>
      <c r="D1046" s="13" t="n"/>
      <c r="E1046" s="13" t="n"/>
      <c r="F1046" s="17">
        <f>IF($E1046="","",IFERROR(VLOOKUP($E1046,类别归属,2,0),"※类别不在基础资料里"))</f>
        <v/>
      </c>
      <c r="G1046" s="13" t="n"/>
      <c r="H1046" s="13" t="n"/>
      <c r="I1046" s="13" t="n"/>
      <c r="J1046" s="14" t="n"/>
      <c r="K1046" s="14" t="n"/>
      <c r="L1046" s="19">
        <f>IF($C1046="","",ROUND(IFERROR(VLOOKUP($C1046,账户期初,2,0),0)+SUMIFS($J$4:J1046,$C$4:C1046,$C1046)-SUMIFS($K$4:K1046,$C$4:C1046,$C1046),2))</f>
        <v/>
      </c>
      <c r="M1046" s="19">
        <f>IF($C1046="","",ROUND(SUM(基础资料!$B$4:$B$13)+SUM($J$4:J1046)-SUM($K$4:K1046),2))</f>
        <v/>
      </c>
      <c r="N1046" s="13" t="n"/>
      <c r="O1046" s="13" t="n"/>
      <c r="P1046" s="17">
        <f>IF($B1046="","",IF($F1046="※类别不在基础资料里","※费用类别不在基础资料里",IF(AND(N($J1046)=0,N($K1046)=0),"※这行没填金额",IF(AND(N($J1046)&gt;0,N($K1046)&gt;0),"※收入和支出不能同一行都填",IF(AND($D1046="收入",N($J1046)=0),"※收入行要填收入金额",IF(AND($D1046="支出",N($K1046)=0),"※支出行要填支出金额",IF(AND($C1046&lt;&gt;"",ISNA(MATCH($C1046,账户表,0))),"※账户不在基础资料里",IF(AND($G1046&lt;&gt;"",ISNA(MATCH($G1046,项目名表,0))),"※项目不在项目台账里",IF(AND(LEFT($F1046,3)="成本-",$G1046=""),"※成本类支出没填项目",IF(AND(LEFT($F1046,3)="成本-",$H1046&lt;&gt;"",N($K1046)&gt;0,COUNTIFS(采购单!$B:$B,$B1046,采购单!$C:$C,$H1046,采购单!$L:$L,$K1046)&gt;0),"※这笔可能和采购单重复了",""))))))))))</f>
        <v/>
      </c>
    </row>
    <row r="1047">
      <c r="A1047" s="17">
        <f>IF($B1047="","",ROW()-3)</f>
        <v/>
      </c>
      <c r="B1047" s="18" t="n"/>
      <c r="C1047" s="13" t="n"/>
      <c r="D1047" s="13" t="n"/>
      <c r="E1047" s="13" t="n"/>
      <c r="F1047" s="17">
        <f>IF($E1047="","",IFERROR(VLOOKUP($E1047,类别归属,2,0),"※类别不在基础资料里"))</f>
        <v/>
      </c>
      <c r="G1047" s="13" t="n"/>
      <c r="H1047" s="13" t="n"/>
      <c r="I1047" s="13" t="n"/>
      <c r="J1047" s="14" t="n"/>
      <c r="K1047" s="14" t="n"/>
      <c r="L1047" s="19">
        <f>IF($C1047="","",ROUND(IFERROR(VLOOKUP($C1047,账户期初,2,0),0)+SUMIFS($J$4:J1047,$C$4:C1047,$C1047)-SUMIFS($K$4:K1047,$C$4:C1047,$C1047),2))</f>
        <v/>
      </c>
      <c r="M1047" s="19">
        <f>IF($C1047="","",ROUND(SUM(基础资料!$B$4:$B$13)+SUM($J$4:J1047)-SUM($K$4:K1047),2))</f>
        <v/>
      </c>
      <c r="N1047" s="13" t="n"/>
      <c r="O1047" s="13" t="n"/>
      <c r="P1047" s="17">
        <f>IF($B1047="","",IF($F1047="※类别不在基础资料里","※费用类别不在基础资料里",IF(AND(N($J1047)=0,N($K1047)=0),"※这行没填金额",IF(AND(N($J1047)&gt;0,N($K1047)&gt;0),"※收入和支出不能同一行都填",IF(AND($D1047="收入",N($J1047)=0),"※收入行要填收入金额",IF(AND($D1047="支出",N($K1047)=0),"※支出行要填支出金额",IF(AND($C1047&lt;&gt;"",ISNA(MATCH($C1047,账户表,0))),"※账户不在基础资料里",IF(AND($G1047&lt;&gt;"",ISNA(MATCH($G1047,项目名表,0))),"※项目不在项目台账里",IF(AND(LEFT($F1047,3)="成本-",$G1047=""),"※成本类支出没填项目",IF(AND(LEFT($F1047,3)="成本-",$H1047&lt;&gt;"",N($K1047)&gt;0,COUNTIFS(采购单!$B:$B,$B1047,采购单!$C:$C,$H1047,采购单!$L:$L,$K1047)&gt;0),"※这笔可能和采购单重复了",""))))))))))</f>
        <v/>
      </c>
    </row>
    <row r="1048">
      <c r="A1048" s="17">
        <f>IF($B1048="","",ROW()-3)</f>
        <v/>
      </c>
      <c r="B1048" s="18" t="n"/>
      <c r="C1048" s="13" t="n"/>
      <c r="D1048" s="13" t="n"/>
      <c r="E1048" s="13" t="n"/>
      <c r="F1048" s="17">
        <f>IF($E1048="","",IFERROR(VLOOKUP($E1048,类别归属,2,0),"※类别不在基础资料里"))</f>
        <v/>
      </c>
      <c r="G1048" s="13" t="n"/>
      <c r="H1048" s="13" t="n"/>
      <c r="I1048" s="13" t="n"/>
      <c r="J1048" s="14" t="n"/>
      <c r="K1048" s="14" t="n"/>
      <c r="L1048" s="19">
        <f>IF($C1048="","",ROUND(IFERROR(VLOOKUP($C1048,账户期初,2,0),0)+SUMIFS($J$4:J1048,$C$4:C1048,$C1048)-SUMIFS($K$4:K1048,$C$4:C1048,$C1048),2))</f>
        <v/>
      </c>
      <c r="M1048" s="19">
        <f>IF($C1048="","",ROUND(SUM(基础资料!$B$4:$B$13)+SUM($J$4:J1048)-SUM($K$4:K1048),2))</f>
        <v/>
      </c>
      <c r="N1048" s="13" t="n"/>
      <c r="O1048" s="13" t="n"/>
      <c r="P1048" s="17">
        <f>IF($B1048="","",IF($F1048="※类别不在基础资料里","※费用类别不在基础资料里",IF(AND(N($J1048)=0,N($K1048)=0),"※这行没填金额",IF(AND(N($J1048)&gt;0,N($K1048)&gt;0),"※收入和支出不能同一行都填",IF(AND($D1048="收入",N($J1048)=0),"※收入行要填收入金额",IF(AND($D1048="支出",N($K1048)=0),"※支出行要填支出金额",IF(AND($C1048&lt;&gt;"",ISNA(MATCH($C1048,账户表,0))),"※账户不在基础资料里",IF(AND($G1048&lt;&gt;"",ISNA(MATCH($G1048,项目名表,0))),"※项目不在项目台账里",IF(AND(LEFT($F1048,3)="成本-",$G1048=""),"※成本类支出没填项目",IF(AND(LEFT($F1048,3)="成本-",$H1048&lt;&gt;"",N($K1048)&gt;0,COUNTIFS(采购单!$B:$B,$B1048,采购单!$C:$C,$H1048,采购单!$L:$L,$K1048)&gt;0),"※这笔可能和采购单重复了",""))))))))))</f>
        <v/>
      </c>
    </row>
    <row r="1049">
      <c r="A1049" s="17">
        <f>IF($B1049="","",ROW()-3)</f>
        <v/>
      </c>
      <c r="B1049" s="18" t="n"/>
      <c r="C1049" s="13" t="n"/>
      <c r="D1049" s="13" t="n"/>
      <c r="E1049" s="13" t="n"/>
      <c r="F1049" s="17">
        <f>IF($E1049="","",IFERROR(VLOOKUP($E1049,类别归属,2,0),"※类别不在基础资料里"))</f>
        <v/>
      </c>
      <c r="G1049" s="13" t="n"/>
      <c r="H1049" s="13" t="n"/>
      <c r="I1049" s="13" t="n"/>
      <c r="J1049" s="14" t="n"/>
      <c r="K1049" s="14" t="n"/>
      <c r="L1049" s="19">
        <f>IF($C1049="","",ROUND(IFERROR(VLOOKUP($C1049,账户期初,2,0),0)+SUMIFS($J$4:J1049,$C$4:C1049,$C1049)-SUMIFS($K$4:K1049,$C$4:C1049,$C1049),2))</f>
        <v/>
      </c>
      <c r="M1049" s="19">
        <f>IF($C1049="","",ROUND(SUM(基础资料!$B$4:$B$13)+SUM($J$4:J1049)-SUM($K$4:K1049),2))</f>
        <v/>
      </c>
      <c r="N1049" s="13" t="n"/>
      <c r="O1049" s="13" t="n"/>
      <c r="P1049" s="17">
        <f>IF($B1049="","",IF($F1049="※类别不在基础资料里","※费用类别不在基础资料里",IF(AND(N($J1049)=0,N($K1049)=0),"※这行没填金额",IF(AND(N($J1049)&gt;0,N($K1049)&gt;0),"※收入和支出不能同一行都填",IF(AND($D1049="收入",N($J1049)=0),"※收入行要填收入金额",IF(AND($D1049="支出",N($K1049)=0),"※支出行要填支出金额",IF(AND($C1049&lt;&gt;"",ISNA(MATCH($C1049,账户表,0))),"※账户不在基础资料里",IF(AND($G1049&lt;&gt;"",ISNA(MATCH($G1049,项目名表,0))),"※项目不在项目台账里",IF(AND(LEFT($F1049,3)="成本-",$G1049=""),"※成本类支出没填项目",IF(AND(LEFT($F1049,3)="成本-",$H1049&lt;&gt;"",N($K1049)&gt;0,COUNTIFS(采购单!$B:$B,$B1049,采购单!$C:$C,$H1049,采购单!$L:$L,$K1049)&gt;0),"※这笔可能和采购单重复了",""))))))))))</f>
        <v/>
      </c>
    </row>
    <row r="1050">
      <c r="A1050" s="17">
        <f>IF($B1050="","",ROW()-3)</f>
        <v/>
      </c>
      <c r="B1050" s="18" t="n"/>
      <c r="C1050" s="13" t="n"/>
      <c r="D1050" s="13" t="n"/>
      <c r="E1050" s="13" t="n"/>
      <c r="F1050" s="17">
        <f>IF($E1050="","",IFERROR(VLOOKUP($E1050,类别归属,2,0),"※类别不在基础资料里"))</f>
        <v/>
      </c>
      <c r="G1050" s="13" t="n"/>
      <c r="H1050" s="13" t="n"/>
      <c r="I1050" s="13" t="n"/>
      <c r="J1050" s="14" t="n"/>
      <c r="K1050" s="14" t="n"/>
      <c r="L1050" s="19">
        <f>IF($C1050="","",ROUND(IFERROR(VLOOKUP($C1050,账户期初,2,0),0)+SUMIFS($J$4:J1050,$C$4:C1050,$C1050)-SUMIFS($K$4:K1050,$C$4:C1050,$C1050),2))</f>
        <v/>
      </c>
      <c r="M1050" s="19">
        <f>IF($C1050="","",ROUND(SUM(基础资料!$B$4:$B$13)+SUM($J$4:J1050)-SUM($K$4:K1050),2))</f>
        <v/>
      </c>
      <c r="N1050" s="13" t="n"/>
      <c r="O1050" s="13" t="n"/>
      <c r="P1050" s="17">
        <f>IF($B1050="","",IF($F1050="※类别不在基础资料里","※费用类别不在基础资料里",IF(AND(N($J1050)=0,N($K1050)=0),"※这行没填金额",IF(AND(N($J1050)&gt;0,N($K1050)&gt;0),"※收入和支出不能同一行都填",IF(AND($D1050="收入",N($J1050)=0),"※收入行要填收入金额",IF(AND($D1050="支出",N($K1050)=0),"※支出行要填支出金额",IF(AND($C1050&lt;&gt;"",ISNA(MATCH($C1050,账户表,0))),"※账户不在基础资料里",IF(AND($G1050&lt;&gt;"",ISNA(MATCH($G1050,项目名表,0))),"※项目不在项目台账里",IF(AND(LEFT($F1050,3)="成本-",$G1050=""),"※成本类支出没填项目",IF(AND(LEFT($F1050,3)="成本-",$H1050&lt;&gt;"",N($K1050)&gt;0,COUNTIFS(采购单!$B:$B,$B1050,采购单!$C:$C,$H1050,采购单!$L:$L,$K1050)&gt;0),"※这笔可能和采购单重复了",""))))))))))</f>
        <v/>
      </c>
    </row>
    <row r="1051">
      <c r="A1051" s="17">
        <f>IF($B1051="","",ROW()-3)</f>
        <v/>
      </c>
      <c r="B1051" s="18" t="n"/>
      <c r="C1051" s="13" t="n"/>
      <c r="D1051" s="13" t="n"/>
      <c r="E1051" s="13" t="n"/>
      <c r="F1051" s="17">
        <f>IF($E1051="","",IFERROR(VLOOKUP($E1051,类别归属,2,0),"※类别不在基础资料里"))</f>
        <v/>
      </c>
      <c r="G1051" s="13" t="n"/>
      <c r="H1051" s="13" t="n"/>
      <c r="I1051" s="13" t="n"/>
      <c r="J1051" s="14" t="n"/>
      <c r="K1051" s="14" t="n"/>
      <c r="L1051" s="19">
        <f>IF($C1051="","",ROUND(IFERROR(VLOOKUP($C1051,账户期初,2,0),0)+SUMIFS($J$4:J1051,$C$4:C1051,$C1051)-SUMIFS($K$4:K1051,$C$4:C1051,$C1051),2))</f>
        <v/>
      </c>
      <c r="M1051" s="19">
        <f>IF($C1051="","",ROUND(SUM(基础资料!$B$4:$B$13)+SUM($J$4:J1051)-SUM($K$4:K1051),2))</f>
        <v/>
      </c>
      <c r="N1051" s="13" t="n"/>
      <c r="O1051" s="13" t="n"/>
      <c r="P1051" s="17">
        <f>IF($B1051="","",IF($F1051="※类别不在基础资料里","※费用类别不在基础资料里",IF(AND(N($J1051)=0,N($K1051)=0),"※这行没填金额",IF(AND(N($J1051)&gt;0,N($K1051)&gt;0),"※收入和支出不能同一行都填",IF(AND($D1051="收入",N($J1051)=0),"※收入行要填收入金额",IF(AND($D1051="支出",N($K1051)=0),"※支出行要填支出金额",IF(AND($C1051&lt;&gt;"",ISNA(MATCH($C1051,账户表,0))),"※账户不在基础资料里",IF(AND($G1051&lt;&gt;"",ISNA(MATCH($G1051,项目名表,0))),"※项目不在项目台账里",IF(AND(LEFT($F1051,3)="成本-",$G1051=""),"※成本类支出没填项目",IF(AND(LEFT($F1051,3)="成本-",$H1051&lt;&gt;"",N($K1051)&gt;0,COUNTIFS(采购单!$B:$B,$B1051,采购单!$C:$C,$H1051,采购单!$L:$L,$K1051)&gt;0),"※这笔可能和采购单重复了",""))))))))))</f>
        <v/>
      </c>
    </row>
    <row r="1052">
      <c r="A1052" s="17">
        <f>IF($B1052="","",ROW()-3)</f>
        <v/>
      </c>
      <c r="B1052" s="18" t="n"/>
      <c r="C1052" s="13" t="n"/>
      <c r="D1052" s="13" t="n"/>
      <c r="E1052" s="13" t="n"/>
      <c r="F1052" s="17">
        <f>IF($E1052="","",IFERROR(VLOOKUP($E1052,类别归属,2,0),"※类别不在基础资料里"))</f>
        <v/>
      </c>
      <c r="G1052" s="13" t="n"/>
      <c r="H1052" s="13" t="n"/>
      <c r="I1052" s="13" t="n"/>
      <c r="J1052" s="14" t="n"/>
      <c r="K1052" s="14" t="n"/>
      <c r="L1052" s="19">
        <f>IF($C1052="","",ROUND(IFERROR(VLOOKUP($C1052,账户期初,2,0),0)+SUMIFS($J$4:J1052,$C$4:C1052,$C1052)-SUMIFS($K$4:K1052,$C$4:C1052,$C1052),2))</f>
        <v/>
      </c>
      <c r="M1052" s="19">
        <f>IF($C1052="","",ROUND(SUM(基础资料!$B$4:$B$13)+SUM($J$4:J1052)-SUM($K$4:K1052),2))</f>
        <v/>
      </c>
      <c r="N1052" s="13" t="n"/>
      <c r="O1052" s="13" t="n"/>
      <c r="P1052" s="17">
        <f>IF($B1052="","",IF($F1052="※类别不在基础资料里","※费用类别不在基础资料里",IF(AND(N($J1052)=0,N($K1052)=0),"※这行没填金额",IF(AND(N($J1052)&gt;0,N($K1052)&gt;0),"※收入和支出不能同一行都填",IF(AND($D1052="收入",N($J1052)=0),"※收入行要填收入金额",IF(AND($D1052="支出",N($K1052)=0),"※支出行要填支出金额",IF(AND($C1052&lt;&gt;"",ISNA(MATCH($C1052,账户表,0))),"※账户不在基础资料里",IF(AND($G1052&lt;&gt;"",ISNA(MATCH($G1052,项目名表,0))),"※项目不在项目台账里",IF(AND(LEFT($F1052,3)="成本-",$G1052=""),"※成本类支出没填项目",IF(AND(LEFT($F1052,3)="成本-",$H1052&lt;&gt;"",N($K1052)&gt;0,COUNTIFS(采购单!$B:$B,$B1052,采购单!$C:$C,$H1052,采购单!$L:$L,$K1052)&gt;0),"※这笔可能和采购单重复了",""))))))))))</f>
        <v/>
      </c>
    </row>
    <row r="1053">
      <c r="A1053" s="17">
        <f>IF($B1053="","",ROW()-3)</f>
        <v/>
      </c>
      <c r="B1053" s="18" t="n"/>
      <c r="C1053" s="13" t="n"/>
      <c r="D1053" s="13" t="n"/>
      <c r="E1053" s="13" t="n"/>
      <c r="F1053" s="17">
        <f>IF($E1053="","",IFERROR(VLOOKUP($E1053,类别归属,2,0),"※类别不在基础资料里"))</f>
        <v/>
      </c>
      <c r="G1053" s="13" t="n"/>
      <c r="H1053" s="13" t="n"/>
      <c r="I1053" s="13" t="n"/>
      <c r="J1053" s="14" t="n"/>
      <c r="K1053" s="14" t="n"/>
      <c r="L1053" s="19">
        <f>IF($C1053="","",ROUND(IFERROR(VLOOKUP($C1053,账户期初,2,0),0)+SUMIFS($J$4:J1053,$C$4:C1053,$C1053)-SUMIFS($K$4:K1053,$C$4:C1053,$C1053),2))</f>
        <v/>
      </c>
      <c r="M1053" s="19">
        <f>IF($C1053="","",ROUND(SUM(基础资料!$B$4:$B$13)+SUM($J$4:J1053)-SUM($K$4:K1053),2))</f>
        <v/>
      </c>
      <c r="N1053" s="13" t="n"/>
      <c r="O1053" s="13" t="n"/>
      <c r="P1053" s="17">
        <f>IF($B1053="","",IF($F1053="※类别不在基础资料里","※费用类别不在基础资料里",IF(AND(N($J1053)=0,N($K1053)=0),"※这行没填金额",IF(AND(N($J1053)&gt;0,N($K1053)&gt;0),"※收入和支出不能同一行都填",IF(AND($D1053="收入",N($J1053)=0),"※收入行要填收入金额",IF(AND($D1053="支出",N($K1053)=0),"※支出行要填支出金额",IF(AND($C1053&lt;&gt;"",ISNA(MATCH($C1053,账户表,0))),"※账户不在基础资料里",IF(AND($G1053&lt;&gt;"",ISNA(MATCH($G1053,项目名表,0))),"※项目不在项目台账里",IF(AND(LEFT($F1053,3)="成本-",$G1053=""),"※成本类支出没填项目",IF(AND(LEFT($F1053,3)="成本-",$H1053&lt;&gt;"",N($K1053)&gt;0,COUNTIFS(采购单!$B:$B,$B1053,采购单!$C:$C,$H1053,采购单!$L:$L,$K1053)&gt;0),"※这笔可能和采购单重复了",""))))))))))</f>
        <v/>
      </c>
    </row>
    <row r="1054">
      <c r="A1054" s="17">
        <f>IF($B1054="","",ROW()-3)</f>
        <v/>
      </c>
      <c r="B1054" s="18" t="n"/>
      <c r="C1054" s="13" t="n"/>
      <c r="D1054" s="13" t="n"/>
      <c r="E1054" s="13" t="n"/>
      <c r="F1054" s="17">
        <f>IF($E1054="","",IFERROR(VLOOKUP($E1054,类别归属,2,0),"※类别不在基础资料里"))</f>
        <v/>
      </c>
      <c r="G1054" s="13" t="n"/>
      <c r="H1054" s="13" t="n"/>
      <c r="I1054" s="13" t="n"/>
      <c r="J1054" s="14" t="n"/>
      <c r="K1054" s="14" t="n"/>
      <c r="L1054" s="19">
        <f>IF($C1054="","",ROUND(IFERROR(VLOOKUP($C1054,账户期初,2,0),0)+SUMIFS($J$4:J1054,$C$4:C1054,$C1054)-SUMIFS($K$4:K1054,$C$4:C1054,$C1054),2))</f>
        <v/>
      </c>
      <c r="M1054" s="19">
        <f>IF($C1054="","",ROUND(SUM(基础资料!$B$4:$B$13)+SUM($J$4:J1054)-SUM($K$4:K1054),2))</f>
        <v/>
      </c>
      <c r="N1054" s="13" t="n"/>
      <c r="O1054" s="13" t="n"/>
      <c r="P1054" s="17">
        <f>IF($B1054="","",IF($F1054="※类别不在基础资料里","※费用类别不在基础资料里",IF(AND(N($J1054)=0,N($K1054)=0),"※这行没填金额",IF(AND(N($J1054)&gt;0,N($K1054)&gt;0),"※收入和支出不能同一行都填",IF(AND($D1054="收入",N($J1054)=0),"※收入行要填收入金额",IF(AND($D1054="支出",N($K1054)=0),"※支出行要填支出金额",IF(AND($C1054&lt;&gt;"",ISNA(MATCH($C1054,账户表,0))),"※账户不在基础资料里",IF(AND($G1054&lt;&gt;"",ISNA(MATCH($G1054,项目名表,0))),"※项目不在项目台账里",IF(AND(LEFT($F1054,3)="成本-",$G1054=""),"※成本类支出没填项目",IF(AND(LEFT($F1054,3)="成本-",$H1054&lt;&gt;"",N($K1054)&gt;0,COUNTIFS(采购单!$B:$B,$B1054,采购单!$C:$C,$H1054,采购单!$L:$L,$K1054)&gt;0),"※这笔可能和采购单重复了",""))))))))))</f>
        <v/>
      </c>
    </row>
    <row r="1055">
      <c r="A1055" s="17">
        <f>IF($B1055="","",ROW()-3)</f>
        <v/>
      </c>
      <c r="B1055" s="18" t="n"/>
      <c r="C1055" s="13" t="n"/>
      <c r="D1055" s="13" t="n"/>
      <c r="E1055" s="13" t="n"/>
      <c r="F1055" s="17">
        <f>IF($E1055="","",IFERROR(VLOOKUP($E1055,类别归属,2,0),"※类别不在基础资料里"))</f>
        <v/>
      </c>
      <c r="G1055" s="13" t="n"/>
      <c r="H1055" s="13" t="n"/>
      <c r="I1055" s="13" t="n"/>
      <c r="J1055" s="14" t="n"/>
      <c r="K1055" s="14" t="n"/>
      <c r="L1055" s="19">
        <f>IF($C1055="","",ROUND(IFERROR(VLOOKUP($C1055,账户期初,2,0),0)+SUMIFS($J$4:J1055,$C$4:C1055,$C1055)-SUMIFS($K$4:K1055,$C$4:C1055,$C1055),2))</f>
        <v/>
      </c>
      <c r="M1055" s="19">
        <f>IF($C1055="","",ROUND(SUM(基础资料!$B$4:$B$13)+SUM($J$4:J1055)-SUM($K$4:K1055),2))</f>
        <v/>
      </c>
      <c r="N1055" s="13" t="n"/>
      <c r="O1055" s="13" t="n"/>
      <c r="P1055" s="17">
        <f>IF($B1055="","",IF($F1055="※类别不在基础资料里","※费用类别不在基础资料里",IF(AND(N($J1055)=0,N($K1055)=0),"※这行没填金额",IF(AND(N($J1055)&gt;0,N($K1055)&gt;0),"※收入和支出不能同一行都填",IF(AND($D1055="收入",N($J1055)=0),"※收入行要填收入金额",IF(AND($D1055="支出",N($K1055)=0),"※支出行要填支出金额",IF(AND($C1055&lt;&gt;"",ISNA(MATCH($C1055,账户表,0))),"※账户不在基础资料里",IF(AND($G1055&lt;&gt;"",ISNA(MATCH($G1055,项目名表,0))),"※项目不在项目台账里",IF(AND(LEFT($F1055,3)="成本-",$G1055=""),"※成本类支出没填项目",IF(AND(LEFT($F1055,3)="成本-",$H1055&lt;&gt;"",N($K1055)&gt;0,COUNTIFS(采购单!$B:$B,$B1055,采购单!$C:$C,$H1055,采购单!$L:$L,$K1055)&gt;0),"※这笔可能和采购单重复了",""))))))))))</f>
        <v/>
      </c>
    </row>
    <row r="1056">
      <c r="A1056" s="17">
        <f>IF($B1056="","",ROW()-3)</f>
        <v/>
      </c>
      <c r="B1056" s="18" t="n"/>
      <c r="C1056" s="13" t="n"/>
      <c r="D1056" s="13" t="n"/>
      <c r="E1056" s="13" t="n"/>
      <c r="F1056" s="17">
        <f>IF($E1056="","",IFERROR(VLOOKUP($E1056,类别归属,2,0),"※类别不在基础资料里"))</f>
        <v/>
      </c>
      <c r="G1056" s="13" t="n"/>
      <c r="H1056" s="13" t="n"/>
      <c r="I1056" s="13" t="n"/>
      <c r="J1056" s="14" t="n"/>
      <c r="K1056" s="14" t="n"/>
      <c r="L1056" s="19">
        <f>IF($C1056="","",ROUND(IFERROR(VLOOKUP($C1056,账户期初,2,0),0)+SUMIFS($J$4:J1056,$C$4:C1056,$C1056)-SUMIFS($K$4:K1056,$C$4:C1056,$C1056),2))</f>
        <v/>
      </c>
      <c r="M1056" s="19">
        <f>IF($C1056="","",ROUND(SUM(基础资料!$B$4:$B$13)+SUM($J$4:J1056)-SUM($K$4:K1056),2))</f>
        <v/>
      </c>
      <c r="N1056" s="13" t="n"/>
      <c r="O1056" s="13" t="n"/>
      <c r="P1056" s="17">
        <f>IF($B1056="","",IF($F1056="※类别不在基础资料里","※费用类别不在基础资料里",IF(AND(N($J1056)=0,N($K1056)=0),"※这行没填金额",IF(AND(N($J1056)&gt;0,N($K1056)&gt;0),"※收入和支出不能同一行都填",IF(AND($D1056="收入",N($J1056)=0),"※收入行要填收入金额",IF(AND($D1056="支出",N($K1056)=0),"※支出行要填支出金额",IF(AND($C1056&lt;&gt;"",ISNA(MATCH($C1056,账户表,0))),"※账户不在基础资料里",IF(AND($G1056&lt;&gt;"",ISNA(MATCH($G1056,项目名表,0))),"※项目不在项目台账里",IF(AND(LEFT($F1056,3)="成本-",$G1056=""),"※成本类支出没填项目",IF(AND(LEFT($F1056,3)="成本-",$H1056&lt;&gt;"",N($K1056)&gt;0,COUNTIFS(采购单!$B:$B,$B1056,采购单!$C:$C,$H1056,采购单!$L:$L,$K1056)&gt;0),"※这笔可能和采购单重复了",""))))))))))</f>
        <v/>
      </c>
    </row>
    <row r="1057">
      <c r="A1057" s="17">
        <f>IF($B1057="","",ROW()-3)</f>
        <v/>
      </c>
      <c r="B1057" s="18" t="n"/>
      <c r="C1057" s="13" t="n"/>
      <c r="D1057" s="13" t="n"/>
      <c r="E1057" s="13" t="n"/>
      <c r="F1057" s="17">
        <f>IF($E1057="","",IFERROR(VLOOKUP($E1057,类别归属,2,0),"※类别不在基础资料里"))</f>
        <v/>
      </c>
      <c r="G1057" s="13" t="n"/>
      <c r="H1057" s="13" t="n"/>
      <c r="I1057" s="13" t="n"/>
      <c r="J1057" s="14" t="n"/>
      <c r="K1057" s="14" t="n"/>
      <c r="L1057" s="19">
        <f>IF($C1057="","",ROUND(IFERROR(VLOOKUP($C1057,账户期初,2,0),0)+SUMIFS($J$4:J1057,$C$4:C1057,$C1057)-SUMIFS($K$4:K1057,$C$4:C1057,$C1057),2))</f>
        <v/>
      </c>
      <c r="M1057" s="19">
        <f>IF($C1057="","",ROUND(SUM(基础资料!$B$4:$B$13)+SUM($J$4:J1057)-SUM($K$4:K1057),2))</f>
        <v/>
      </c>
      <c r="N1057" s="13" t="n"/>
      <c r="O1057" s="13" t="n"/>
      <c r="P1057" s="17">
        <f>IF($B1057="","",IF($F1057="※类别不在基础资料里","※费用类别不在基础资料里",IF(AND(N($J1057)=0,N($K1057)=0),"※这行没填金额",IF(AND(N($J1057)&gt;0,N($K1057)&gt;0),"※收入和支出不能同一行都填",IF(AND($D1057="收入",N($J1057)=0),"※收入行要填收入金额",IF(AND($D1057="支出",N($K1057)=0),"※支出行要填支出金额",IF(AND($C1057&lt;&gt;"",ISNA(MATCH($C1057,账户表,0))),"※账户不在基础资料里",IF(AND($G1057&lt;&gt;"",ISNA(MATCH($G1057,项目名表,0))),"※项目不在项目台账里",IF(AND(LEFT($F1057,3)="成本-",$G1057=""),"※成本类支出没填项目",IF(AND(LEFT($F1057,3)="成本-",$H1057&lt;&gt;"",N($K1057)&gt;0,COUNTIFS(采购单!$B:$B,$B1057,采购单!$C:$C,$H1057,采购单!$L:$L,$K1057)&gt;0),"※这笔可能和采购单重复了",""))))))))))</f>
        <v/>
      </c>
    </row>
    <row r="1058">
      <c r="A1058" s="17">
        <f>IF($B1058="","",ROW()-3)</f>
        <v/>
      </c>
      <c r="B1058" s="18" t="n"/>
      <c r="C1058" s="13" t="n"/>
      <c r="D1058" s="13" t="n"/>
      <c r="E1058" s="13" t="n"/>
      <c r="F1058" s="17">
        <f>IF($E1058="","",IFERROR(VLOOKUP($E1058,类别归属,2,0),"※类别不在基础资料里"))</f>
        <v/>
      </c>
      <c r="G1058" s="13" t="n"/>
      <c r="H1058" s="13" t="n"/>
      <c r="I1058" s="13" t="n"/>
      <c r="J1058" s="14" t="n"/>
      <c r="K1058" s="14" t="n"/>
      <c r="L1058" s="19">
        <f>IF($C1058="","",ROUND(IFERROR(VLOOKUP($C1058,账户期初,2,0),0)+SUMIFS($J$4:J1058,$C$4:C1058,$C1058)-SUMIFS($K$4:K1058,$C$4:C1058,$C1058),2))</f>
        <v/>
      </c>
      <c r="M1058" s="19">
        <f>IF($C1058="","",ROUND(SUM(基础资料!$B$4:$B$13)+SUM($J$4:J1058)-SUM($K$4:K1058),2))</f>
        <v/>
      </c>
      <c r="N1058" s="13" t="n"/>
      <c r="O1058" s="13" t="n"/>
      <c r="P1058" s="17">
        <f>IF($B1058="","",IF($F1058="※类别不在基础资料里","※费用类别不在基础资料里",IF(AND(N($J1058)=0,N($K1058)=0),"※这行没填金额",IF(AND(N($J1058)&gt;0,N($K1058)&gt;0),"※收入和支出不能同一行都填",IF(AND($D1058="收入",N($J1058)=0),"※收入行要填收入金额",IF(AND($D1058="支出",N($K1058)=0),"※支出行要填支出金额",IF(AND($C1058&lt;&gt;"",ISNA(MATCH($C1058,账户表,0))),"※账户不在基础资料里",IF(AND($G1058&lt;&gt;"",ISNA(MATCH($G1058,项目名表,0))),"※项目不在项目台账里",IF(AND(LEFT($F1058,3)="成本-",$G1058=""),"※成本类支出没填项目",IF(AND(LEFT($F1058,3)="成本-",$H1058&lt;&gt;"",N($K1058)&gt;0,COUNTIFS(采购单!$B:$B,$B1058,采购单!$C:$C,$H1058,采购单!$L:$L,$K1058)&gt;0),"※这笔可能和采购单重复了",""))))))))))</f>
        <v/>
      </c>
    </row>
    <row r="1059">
      <c r="A1059" s="17">
        <f>IF($B1059="","",ROW()-3)</f>
        <v/>
      </c>
      <c r="B1059" s="18" t="n"/>
      <c r="C1059" s="13" t="n"/>
      <c r="D1059" s="13" t="n"/>
      <c r="E1059" s="13" t="n"/>
      <c r="F1059" s="17">
        <f>IF($E1059="","",IFERROR(VLOOKUP($E1059,类别归属,2,0),"※类别不在基础资料里"))</f>
        <v/>
      </c>
      <c r="G1059" s="13" t="n"/>
      <c r="H1059" s="13" t="n"/>
      <c r="I1059" s="13" t="n"/>
      <c r="J1059" s="14" t="n"/>
      <c r="K1059" s="14" t="n"/>
      <c r="L1059" s="19">
        <f>IF($C1059="","",ROUND(IFERROR(VLOOKUP($C1059,账户期初,2,0),0)+SUMIFS($J$4:J1059,$C$4:C1059,$C1059)-SUMIFS($K$4:K1059,$C$4:C1059,$C1059),2))</f>
        <v/>
      </c>
      <c r="M1059" s="19">
        <f>IF($C1059="","",ROUND(SUM(基础资料!$B$4:$B$13)+SUM($J$4:J1059)-SUM($K$4:K1059),2))</f>
        <v/>
      </c>
      <c r="N1059" s="13" t="n"/>
      <c r="O1059" s="13" t="n"/>
      <c r="P1059" s="17">
        <f>IF($B1059="","",IF($F1059="※类别不在基础资料里","※费用类别不在基础资料里",IF(AND(N($J1059)=0,N($K1059)=0),"※这行没填金额",IF(AND(N($J1059)&gt;0,N($K1059)&gt;0),"※收入和支出不能同一行都填",IF(AND($D1059="收入",N($J1059)=0),"※收入行要填收入金额",IF(AND($D1059="支出",N($K1059)=0),"※支出行要填支出金额",IF(AND($C1059&lt;&gt;"",ISNA(MATCH($C1059,账户表,0))),"※账户不在基础资料里",IF(AND($G1059&lt;&gt;"",ISNA(MATCH($G1059,项目名表,0))),"※项目不在项目台账里",IF(AND(LEFT($F1059,3)="成本-",$G1059=""),"※成本类支出没填项目",IF(AND(LEFT($F1059,3)="成本-",$H1059&lt;&gt;"",N($K1059)&gt;0,COUNTIFS(采购单!$B:$B,$B1059,采购单!$C:$C,$H1059,采购单!$L:$L,$K1059)&gt;0),"※这笔可能和采购单重复了",""))))))))))</f>
        <v/>
      </c>
    </row>
    <row r="1060">
      <c r="A1060" s="17">
        <f>IF($B1060="","",ROW()-3)</f>
        <v/>
      </c>
      <c r="B1060" s="18" t="n"/>
      <c r="C1060" s="13" t="n"/>
      <c r="D1060" s="13" t="n"/>
      <c r="E1060" s="13" t="n"/>
      <c r="F1060" s="17">
        <f>IF($E1060="","",IFERROR(VLOOKUP($E1060,类别归属,2,0),"※类别不在基础资料里"))</f>
        <v/>
      </c>
      <c r="G1060" s="13" t="n"/>
      <c r="H1060" s="13" t="n"/>
      <c r="I1060" s="13" t="n"/>
      <c r="J1060" s="14" t="n"/>
      <c r="K1060" s="14" t="n"/>
      <c r="L1060" s="19">
        <f>IF($C1060="","",ROUND(IFERROR(VLOOKUP($C1060,账户期初,2,0),0)+SUMIFS($J$4:J1060,$C$4:C1060,$C1060)-SUMIFS($K$4:K1060,$C$4:C1060,$C1060),2))</f>
        <v/>
      </c>
      <c r="M1060" s="19">
        <f>IF($C1060="","",ROUND(SUM(基础资料!$B$4:$B$13)+SUM($J$4:J1060)-SUM($K$4:K1060),2))</f>
        <v/>
      </c>
      <c r="N1060" s="13" t="n"/>
      <c r="O1060" s="13" t="n"/>
      <c r="P1060" s="17">
        <f>IF($B1060="","",IF($F1060="※类别不在基础资料里","※费用类别不在基础资料里",IF(AND(N($J1060)=0,N($K1060)=0),"※这行没填金额",IF(AND(N($J1060)&gt;0,N($K1060)&gt;0),"※收入和支出不能同一行都填",IF(AND($D1060="收入",N($J1060)=0),"※收入行要填收入金额",IF(AND($D1060="支出",N($K1060)=0),"※支出行要填支出金额",IF(AND($C1060&lt;&gt;"",ISNA(MATCH($C1060,账户表,0))),"※账户不在基础资料里",IF(AND($G1060&lt;&gt;"",ISNA(MATCH($G1060,项目名表,0))),"※项目不在项目台账里",IF(AND(LEFT($F1060,3)="成本-",$G1060=""),"※成本类支出没填项目",IF(AND(LEFT($F1060,3)="成本-",$H1060&lt;&gt;"",N($K1060)&gt;0,COUNTIFS(采购单!$B:$B,$B1060,采购单!$C:$C,$H1060,采购单!$L:$L,$K1060)&gt;0),"※这笔可能和采购单重复了",""))))))))))</f>
        <v/>
      </c>
    </row>
    <row r="1061">
      <c r="A1061" s="17">
        <f>IF($B1061="","",ROW()-3)</f>
        <v/>
      </c>
      <c r="B1061" s="18" t="n"/>
      <c r="C1061" s="13" t="n"/>
      <c r="D1061" s="13" t="n"/>
      <c r="E1061" s="13" t="n"/>
      <c r="F1061" s="17">
        <f>IF($E1061="","",IFERROR(VLOOKUP($E1061,类别归属,2,0),"※类别不在基础资料里"))</f>
        <v/>
      </c>
      <c r="G1061" s="13" t="n"/>
      <c r="H1061" s="13" t="n"/>
      <c r="I1061" s="13" t="n"/>
      <c r="J1061" s="14" t="n"/>
      <c r="K1061" s="14" t="n"/>
      <c r="L1061" s="19">
        <f>IF($C1061="","",ROUND(IFERROR(VLOOKUP($C1061,账户期初,2,0),0)+SUMIFS($J$4:J1061,$C$4:C1061,$C1061)-SUMIFS($K$4:K1061,$C$4:C1061,$C1061),2))</f>
        <v/>
      </c>
      <c r="M1061" s="19">
        <f>IF($C1061="","",ROUND(SUM(基础资料!$B$4:$B$13)+SUM($J$4:J1061)-SUM($K$4:K1061),2))</f>
        <v/>
      </c>
      <c r="N1061" s="13" t="n"/>
      <c r="O1061" s="13" t="n"/>
      <c r="P1061" s="17">
        <f>IF($B1061="","",IF($F1061="※类别不在基础资料里","※费用类别不在基础资料里",IF(AND(N($J1061)=0,N($K1061)=0),"※这行没填金额",IF(AND(N($J1061)&gt;0,N($K1061)&gt;0),"※收入和支出不能同一行都填",IF(AND($D1061="收入",N($J1061)=0),"※收入行要填收入金额",IF(AND($D1061="支出",N($K1061)=0),"※支出行要填支出金额",IF(AND($C1061&lt;&gt;"",ISNA(MATCH($C1061,账户表,0))),"※账户不在基础资料里",IF(AND($G1061&lt;&gt;"",ISNA(MATCH($G1061,项目名表,0))),"※项目不在项目台账里",IF(AND(LEFT($F1061,3)="成本-",$G1061=""),"※成本类支出没填项目",IF(AND(LEFT($F1061,3)="成本-",$H1061&lt;&gt;"",N($K1061)&gt;0,COUNTIFS(采购单!$B:$B,$B1061,采购单!$C:$C,$H1061,采购单!$L:$L,$K1061)&gt;0),"※这笔可能和采购单重复了",""))))))))))</f>
        <v/>
      </c>
    </row>
    <row r="1062">
      <c r="A1062" s="17">
        <f>IF($B1062="","",ROW()-3)</f>
        <v/>
      </c>
      <c r="B1062" s="18" t="n"/>
      <c r="C1062" s="13" t="n"/>
      <c r="D1062" s="13" t="n"/>
      <c r="E1062" s="13" t="n"/>
      <c r="F1062" s="17">
        <f>IF($E1062="","",IFERROR(VLOOKUP($E1062,类别归属,2,0),"※类别不在基础资料里"))</f>
        <v/>
      </c>
      <c r="G1062" s="13" t="n"/>
      <c r="H1062" s="13" t="n"/>
      <c r="I1062" s="13" t="n"/>
      <c r="J1062" s="14" t="n"/>
      <c r="K1062" s="14" t="n"/>
      <c r="L1062" s="19">
        <f>IF($C1062="","",ROUND(IFERROR(VLOOKUP($C1062,账户期初,2,0),0)+SUMIFS($J$4:J1062,$C$4:C1062,$C1062)-SUMIFS($K$4:K1062,$C$4:C1062,$C1062),2))</f>
        <v/>
      </c>
      <c r="M1062" s="19">
        <f>IF($C1062="","",ROUND(SUM(基础资料!$B$4:$B$13)+SUM($J$4:J1062)-SUM($K$4:K1062),2))</f>
        <v/>
      </c>
      <c r="N1062" s="13" t="n"/>
      <c r="O1062" s="13" t="n"/>
      <c r="P1062" s="17">
        <f>IF($B1062="","",IF($F1062="※类别不在基础资料里","※费用类别不在基础资料里",IF(AND(N($J1062)=0,N($K1062)=0),"※这行没填金额",IF(AND(N($J1062)&gt;0,N($K1062)&gt;0),"※收入和支出不能同一行都填",IF(AND($D1062="收入",N($J1062)=0),"※收入行要填收入金额",IF(AND($D1062="支出",N($K1062)=0),"※支出行要填支出金额",IF(AND($C1062&lt;&gt;"",ISNA(MATCH($C1062,账户表,0))),"※账户不在基础资料里",IF(AND($G1062&lt;&gt;"",ISNA(MATCH($G1062,项目名表,0))),"※项目不在项目台账里",IF(AND(LEFT($F1062,3)="成本-",$G1062=""),"※成本类支出没填项目",IF(AND(LEFT($F1062,3)="成本-",$H1062&lt;&gt;"",N($K1062)&gt;0,COUNTIFS(采购单!$B:$B,$B1062,采购单!$C:$C,$H1062,采购单!$L:$L,$K1062)&gt;0),"※这笔可能和采购单重复了",""))))))))))</f>
        <v/>
      </c>
    </row>
    <row r="1063">
      <c r="A1063" s="17">
        <f>IF($B1063="","",ROW()-3)</f>
        <v/>
      </c>
      <c r="B1063" s="18" t="n"/>
      <c r="C1063" s="13" t="n"/>
      <c r="D1063" s="13" t="n"/>
      <c r="E1063" s="13" t="n"/>
      <c r="F1063" s="17">
        <f>IF($E1063="","",IFERROR(VLOOKUP($E1063,类别归属,2,0),"※类别不在基础资料里"))</f>
        <v/>
      </c>
      <c r="G1063" s="13" t="n"/>
      <c r="H1063" s="13" t="n"/>
      <c r="I1063" s="13" t="n"/>
      <c r="J1063" s="14" t="n"/>
      <c r="K1063" s="14" t="n"/>
      <c r="L1063" s="19">
        <f>IF($C1063="","",ROUND(IFERROR(VLOOKUP($C1063,账户期初,2,0),0)+SUMIFS($J$4:J1063,$C$4:C1063,$C1063)-SUMIFS($K$4:K1063,$C$4:C1063,$C1063),2))</f>
        <v/>
      </c>
      <c r="M1063" s="19">
        <f>IF($C1063="","",ROUND(SUM(基础资料!$B$4:$B$13)+SUM($J$4:J1063)-SUM($K$4:K1063),2))</f>
        <v/>
      </c>
      <c r="N1063" s="13" t="n"/>
      <c r="O1063" s="13" t="n"/>
      <c r="P1063" s="17">
        <f>IF($B1063="","",IF($F1063="※类别不在基础资料里","※费用类别不在基础资料里",IF(AND(N($J1063)=0,N($K1063)=0),"※这行没填金额",IF(AND(N($J1063)&gt;0,N($K1063)&gt;0),"※收入和支出不能同一行都填",IF(AND($D1063="收入",N($J1063)=0),"※收入行要填收入金额",IF(AND($D1063="支出",N($K1063)=0),"※支出行要填支出金额",IF(AND($C1063&lt;&gt;"",ISNA(MATCH($C1063,账户表,0))),"※账户不在基础资料里",IF(AND($G1063&lt;&gt;"",ISNA(MATCH($G1063,项目名表,0))),"※项目不在项目台账里",IF(AND(LEFT($F1063,3)="成本-",$G1063=""),"※成本类支出没填项目",IF(AND(LEFT($F1063,3)="成本-",$H1063&lt;&gt;"",N($K1063)&gt;0,COUNTIFS(采购单!$B:$B,$B1063,采购单!$C:$C,$H1063,采购单!$L:$L,$K1063)&gt;0),"※这笔可能和采购单重复了",""))))))))))</f>
        <v/>
      </c>
    </row>
    <row r="1064">
      <c r="A1064" s="17">
        <f>IF($B1064="","",ROW()-3)</f>
        <v/>
      </c>
      <c r="B1064" s="18" t="n"/>
      <c r="C1064" s="13" t="n"/>
      <c r="D1064" s="13" t="n"/>
      <c r="E1064" s="13" t="n"/>
      <c r="F1064" s="17">
        <f>IF($E1064="","",IFERROR(VLOOKUP($E1064,类别归属,2,0),"※类别不在基础资料里"))</f>
        <v/>
      </c>
      <c r="G1064" s="13" t="n"/>
      <c r="H1064" s="13" t="n"/>
      <c r="I1064" s="13" t="n"/>
      <c r="J1064" s="14" t="n"/>
      <c r="K1064" s="14" t="n"/>
      <c r="L1064" s="19">
        <f>IF($C1064="","",ROUND(IFERROR(VLOOKUP($C1064,账户期初,2,0),0)+SUMIFS($J$4:J1064,$C$4:C1064,$C1064)-SUMIFS($K$4:K1064,$C$4:C1064,$C1064),2))</f>
        <v/>
      </c>
      <c r="M1064" s="19">
        <f>IF($C1064="","",ROUND(SUM(基础资料!$B$4:$B$13)+SUM($J$4:J1064)-SUM($K$4:K1064),2))</f>
        <v/>
      </c>
      <c r="N1064" s="13" t="n"/>
      <c r="O1064" s="13" t="n"/>
      <c r="P1064" s="17">
        <f>IF($B1064="","",IF($F1064="※类别不在基础资料里","※费用类别不在基础资料里",IF(AND(N($J1064)=0,N($K1064)=0),"※这行没填金额",IF(AND(N($J1064)&gt;0,N($K1064)&gt;0),"※收入和支出不能同一行都填",IF(AND($D1064="收入",N($J1064)=0),"※收入行要填收入金额",IF(AND($D1064="支出",N($K1064)=0),"※支出行要填支出金额",IF(AND($C1064&lt;&gt;"",ISNA(MATCH($C1064,账户表,0))),"※账户不在基础资料里",IF(AND($G1064&lt;&gt;"",ISNA(MATCH($G1064,项目名表,0))),"※项目不在项目台账里",IF(AND(LEFT($F1064,3)="成本-",$G1064=""),"※成本类支出没填项目",IF(AND(LEFT($F1064,3)="成本-",$H1064&lt;&gt;"",N($K1064)&gt;0,COUNTIFS(采购单!$B:$B,$B1064,采购单!$C:$C,$H1064,采购单!$L:$L,$K1064)&gt;0),"※这笔可能和采购单重复了",""))))))))))</f>
        <v/>
      </c>
    </row>
    <row r="1065">
      <c r="A1065" s="17">
        <f>IF($B1065="","",ROW()-3)</f>
        <v/>
      </c>
      <c r="B1065" s="18" t="n"/>
      <c r="C1065" s="13" t="n"/>
      <c r="D1065" s="13" t="n"/>
      <c r="E1065" s="13" t="n"/>
      <c r="F1065" s="17">
        <f>IF($E1065="","",IFERROR(VLOOKUP($E1065,类别归属,2,0),"※类别不在基础资料里"))</f>
        <v/>
      </c>
      <c r="G1065" s="13" t="n"/>
      <c r="H1065" s="13" t="n"/>
      <c r="I1065" s="13" t="n"/>
      <c r="J1065" s="14" t="n"/>
      <c r="K1065" s="14" t="n"/>
      <c r="L1065" s="19">
        <f>IF($C1065="","",ROUND(IFERROR(VLOOKUP($C1065,账户期初,2,0),0)+SUMIFS($J$4:J1065,$C$4:C1065,$C1065)-SUMIFS($K$4:K1065,$C$4:C1065,$C1065),2))</f>
        <v/>
      </c>
      <c r="M1065" s="19">
        <f>IF($C1065="","",ROUND(SUM(基础资料!$B$4:$B$13)+SUM($J$4:J1065)-SUM($K$4:K1065),2))</f>
        <v/>
      </c>
      <c r="N1065" s="13" t="n"/>
      <c r="O1065" s="13" t="n"/>
      <c r="P1065" s="17">
        <f>IF($B1065="","",IF($F1065="※类别不在基础资料里","※费用类别不在基础资料里",IF(AND(N($J1065)=0,N($K1065)=0),"※这行没填金额",IF(AND(N($J1065)&gt;0,N($K1065)&gt;0),"※收入和支出不能同一行都填",IF(AND($D1065="收入",N($J1065)=0),"※收入行要填收入金额",IF(AND($D1065="支出",N($K1065)=0),"※支出行要填支出金额",IF(AND($C1065&lt;&gt;"",ISNA(MATCH($C1065,账户表,0))),"※账户不在基础资料里",IF(AND($G1065&lt;&gt;"",ISNA(MATCH($G1065,项目名表,0))),"※项目不在项目台账里",IF(AND(LEFT($F1065,3)="成本-",$G1065=""),"※成本类支出没填项目",IF(AND(LEFT($F1065,3)="成本-",$H1065&lt;&gt;"",N($K1065)&gt;0,COUNTIFS(采购单!$B:$B,$B1065,采购单!$C:$C,$H1065,采购单!$L:$L,$K1065)&gt;0),"※这笔可能和采购单重复了",""))))))))))</f>
        <v/>
      </c>
    </row>
    <row r="1066">
      <c r="A1066" s="17">
        <f>IF($B1066="","",ROW()-3)</f>
        <v/>
      </c>
      <c r="B1066" s="18" t="n"/>
      <c r="C1066" s="13" t="n"/>
      <c r="D1066" s="13" t="n"/>
      <c r="E1066" s="13" t="n"/>
      <c r="F1066" s="17">
        <f>IF($E1066="","",IFERROR(VLOOKUP($E1066,类别归属,2,0),"※类别不在基础资料里"))</f>
        <v/>
      </c>
      <c r="G1066" s="13" t="n"/>
      <c r="H1066" s="13" t="n"/>
      <c r="I1066" s="13" t="n"/>
      <c r="J1066" s="14" t="n"/>
      <c r="K1066" s="14" t="n"/>
      <c r="L1066" s="19">
        <f>IF($C1066="","",ROUND(IFERROR(VLOOKUP($C1066,账户期初,2,0),0)+SUMIFS($J$4:J1066,$C$4:C1066,$C1066)-SUMIFS($K$4:K1066,$C$4:C1066,$C1066),2))</f>
        <v/>
      </c>
      <c r="M1066" s="19">
        <f>IF($C1066="","",ROUND(SUM(基础资料!$B$4:$B$13)+SUM($J$4:J1066)-SUM($K$4:K1066),2))</f>
        <v/>
      </c>
      <c r="N1066" s="13" t="n"/>
      <c r="O1066" s="13" t="n"/>
      <c r="P1066" s="17">
        <f>IF($B1066="","",IF($F1066="※类别不在基础资料里","※费用类别不在基础资料里",IF(AND(N($J1066)=0,N($K1066)=0),"※这行没填金额",IF(AND(N($J1066)&gt;0,N($K1066)&gt;0),"※收入和支出不能同一行都填",IF(AND($D1066="收入",N($J1066)=0),"※收入行要填收入金额",IF(AND($D1066="支出",N($K1066)=0),"※支出行要填支出金额",IF(AND($C1066&lt;&gt;"",ISNA(MATCH($C1066,账户表,0))),"※账户不在基础资料里",IF(AND($G1066&lt;&gt;"",ISNA(MATCH($G1066,项目名表,0))),"※项目不在项目台账里",IF(AND(LEFT($F1066,3)="成本-",$G1066=""),"※成本类支出没填项目",IF(AND(LEFT($F1066,3)="成本-",$H1066&lt;&gt;"",N($K1066)&gt;0,COUNTIFS(采购单!$B:$B,$B1066,采购单!$C:$C,$H1066,采购单!$L:$L,$K1066)&gt;0),"※这笔可能和采购单重复了",""))))))))))</f>
        <v/>
      </c>
    </row>
    <row r="1067">
      <c r="A1067" s="17">
        <f>IF($B1067="","",ROW()-3)</f>
        <v/>
      </c>
      <c r="B1067" s="18" t="n"/>
      <c r="C1067" s="13" t="n"/>
      <c r="D1067" s="13" t="n"/>
      <c r="E1067" s="13" t="n"/>
      <c r="F1067" s="17">
        <f>IF($E1067="","",IFERROR(VLOOKUP($E1067,类别归属,2,0),"※类别不在基础资料里"))</f>
        <v/>
      </c>
      <c r="G1067" s="13" t="n"/>
      <c r="H1067" s="13" t="n"/>
      <c r="I1067" s="13" t="n"/>
      <c r="J1067" s="14" t="n"/>
      <c r="K1067" s="14" t="n"/>
      <c r="L1067" s="19">
        <f>IF($C1067="","",ROUND(IFERROR(VLOOKUP($C1067,账户期初,2,0),0)+SUMIFS($J$4:J1067,$C$4:C1067,$C1067)-SUMIFS($K$4:K1067,$C$4:C1067,$C1067),2))</f>
        <v/>
      </c>
      <c r="M1067" s="19">
        <f>IF($C1067="","",ROUND(SUM(基础资料!$B$4:$B$13)+SUM($J$4:J1067)-SUM($K$4:K1067),2))</f>
        <v/>
      </c>
      <c r="N1067" s="13" t="n"/>
      <c r="O1067" s="13" t="n"/>
      <c r="P1067" s="17">
        <f>IF($B1067="","",IF($F1067="※类别不在基础资料里","※费用类别不在基础资料里",IF(AND(N($J1067)=0,N($K1067)=0),"※这行没填金额",IF(AND(N($J1067)&gt;0,N($K1067)&gt;0),"※收入和支出不能同一行都填",IF(AND($D1067="收入",N($J1067)=0),"※收入行要填收入金额",IF(AND($D1067="支出",N($K1067)=0),"※支出行要填支出金额",IF(AND($C1067&lt;&gt;"",ISNA(MATCH($C1067,账户表,0))),"※账户不在基础资料里",IF(AND($G1067&lt;&gt;"",ISNA(MATCH($G1067,项目名表,0))),"※项目不在项目台账里",IF(AND(LEFT($F1067,3)="成本-",$G1067=""),"※成本类支出没填项目",IF(AND(LEFT($F1067,3)="成本-",$H1067&lt;&gt;"",N($K1067)&gt;0,COUNTIFS(采购单!$B:$B,$B1067,采购单!$C:$C,$H1067,采购单!$L:$L,$K1067)&gt;0),"※这笔可能和采购单重复了",""))))))))))</f>
        <v/>
      </c>
    </row>
    <row r="1068">
      <c r="A1068" s="17">
        <f>IF($B1068="","",ROW()-3)</f>
        <v/>
      </c>
      <c r="B1068" s="18" t="n"/>
      <c r="C1068" s="13" t="n"/>
      <c r="D1068" s="13" t="n"/>
      <c r="E1068" s="13" t="n"/>
      <c r="F1068" s="17">
        <f>IF($E1068="","",IFERROR(VLOOKUP($E1068,类别归属,2,0),"※类别不在基础资料里"))</f>
        <v/>
      </c>
      <c r="G1068" s="13" t="n"/>
      <c r="H1068" s="13" t="n"/>
      <c r="I1068" s="13" t="n"/>
      <c r="J1068" s="14" t="n"/>
      <c r="K1068" s="14" t="n"/>
      <c r="L1068" s="19">
        <f>IF($C1068="","",ROUND(IFERROR(VLOOKUP($C1068,账户期初,2,0),0)+SUMIFS($J$4:J1068,$C$4:C1068,$C1068)-SUMIFS($K$4:K1068,$C$4:C1068,$C1068),2))</f>
        <v/>
      </c>
      <c r="M1068" s="19">
        <f>IF($C1068="","",ROUND(SUM(基础资料!$B$4:$B$13)+SUM($J$4:J1068)-SUM($K$4:K1068),2))</f>
        <v/>
      </c>
      <c r="N1068" s="13" t="n"/>
      <c r="O1068" s="13" t="n"/>
      <c r="P1068" s="17">
        <f>IF($B1068="","",IF($F1068="※类别不在基础资料里","※费用类别不在基础资料里",IF(AND(N($J1068)=0,N($K1068)=0),"※这行没填金额",IF(AND(N($J1068)&gt;0,N($K1068)&gt;0),"※收入和支出不能同一行都填",IF(AND($D1068="收入",N($J1068)=0),"※收入行要填收入金额",IF(AND($D1068="支出",N($K1068)=0),"※支出行要填支出金额",IF(AND($C1068&lt;&gt;"",ISNA(MATCH($C1068,账户表,0))),"※账户不在基础资料里",IF(AND($G1068&lt;&gt;"",ISNA(MATCH($G1068,项目名表,0))),"※项目不在项目台账里",IF(AND(LEFT($F1068,3)="成本-",$G1068=""),"※成本类支出没填项目",IF(AND(LEFT($F1068,3)="成本-",$H1068&lt;&gt;"",N($K1068)&gt;0,COUNTIFS(采购单!$B:$B,$B1068,采购单!$C:$C,$H1068,采购单!$L:$L,$K1068)&gt;0),"※这笔可能和采购单重复了",""))))))))))</f>
        <v/>
      </c>
    </row>
    <row r="1069">
      <c r="A1069" s="17">
        <f>IF($B1069="","",ROW()-3)</f>
        <v/>
      </c>
      <c r="B1069" s="18" t="n"/>
      <c r="C1069" s="13" t="n"/>
      <c r="D1069" s="13" t="n"/>
      <c r="E1069" s="13" t="n"/>
      <c r="F1069" s="17">
        <f>IF($E1069="","",IFERROR(VLOOKUP($E1069,类别归属,2,0),"※类别不在基础资料里"))</f>
        <v/>
      </c>
      <c r="G1069" s="13" t="n"/>
      <c r="H1069" s="13" t="n"/>
      <c r="I1069" s="13" t="n"/>
      <c r="J1069" s="14" t="n"/>
      <c r="K1069" s="14" t="n"/>
      <c r="L1069" s="19">
        <f>IF($C1069="","",ROUND(IFERROR(VLOOKUP($C1069,账户期初,2,0),0)+SUMIFS($J$4:J1069,$C$4:C1069,$C1069)-SUMIFS($K$4:K1069,$C$4:C1069,$C1069),2))</f>
        <v/>
      </c>
      <c r="M1069" s="19">
        <f>IF($C1069="","",ROUND(SUM(基础资料!$B$4:$B$13)+SUM($J$4:J1069)-SUM($K$4:K1069),2))</f>
        <v/>
      </c>
      <c r="N1069" s="13" t="n"/>
      <c r="O1069" s="13" t="n"/>
      <c r="P1069" s="17">
        <f>IF($B1069="","",IF($F1069="※类别不在基础资料里","※费用类别不在基础资料里",IF(AND(N($J1069)=0,N($K1069)=0),"※这行没填金额",IF(AND(N($J1069)&gt;0,N($K1069)&gt;0),"※收入和支出不能同一行都填",IF(AND($D1069="收入",N($J1069)=0),"※收入行要填收入金额",IF(AND($D1069="支出",N($K1069)=0),"※支出行要填支出金额",IF(AND($C1069&lt;&gt;"",ISNA(MATCH($C1069,账户表,0))),"※账户不在基础资料里",IF(AND($G1069&lt;&gt;"",ISNA(MATCH($G1069,项目名表,0))),"※项目不在项目台账里",IF(AND(LEFT($F1069,3)="成本-",$G1069=""),"※成本类支出没填项目",IF(AND(LEFT($F1069,3)="成本-",$H1069&lt;&gt;"",N($K1069)&gt;0,COUNTIFS(采购单!$B:$B,$B1069,采购单!$C:$C,$H1069,采购单!$L:$L,$K1069)&gt;0),"※这笔可能和采购单重复了",""))))))))))</f>
        <v/>
      </c>
    </row>
    <row r="1070">
      <c r="A1070" s="17">
        <f>IF($B1070="","",ROW()-3)</f>
        <v/>
      </c>
      <c r="B1070" s="18" t="n"/>
      <c r="C1070" s="13" t="n"/>
      <c r="D1070" s="13" t="n"/>
      <c r="E1070" s="13" t="n"/>
      <c r="F1070" s="17">
        <f>IF($E1070="","",IFERROR(VLOOKUP($E1070,类别归属,2,0),"※类别不在基础资料里"))</f>
        <v/>
      </c>
      <c r="G1070" s="13" t="n"/>
      <c r="H1070" s="13" t="n"/>
      <c r="I1070" s="13" t="n"/>
      <c r="J1070" s="14" t="n"/>
      <c r="K1070" s="14" t="n"/>
      <c r="L1070" s="19">
        <f>IF($C1070="","",ROUND(IFERROR(VLOOKUP($C1070,账户期初,2,0),0)+SUMIFS($J$4:J1070,$C$4:C1070,$C1070)-SUMIFS($K$4:K1070,$C$4:C1070,$C1070),2))</f>
        <v/>
      </c>
      <c r="M1070" s="19">
        <f>IF($C1070="","",ROUND(SUM(基础资料!$B$4:$B$13)+SUM($J$4:J1070)-SUM($K$4:K1070),2))</f>
        <v/>
      </c>
      <c r="N1070" s="13" t="n"/>
      <c r="O1070" s="13" t="n"/>
      <c r="P1070" s="17">
        <f>IF($B1070="","",IF($F1070="※类别不在基础资料里","※费用类别不在基础资料里",IF(AND(N($J1070)=0,N($K1070)=0),"※这行没填金额",IF(AND(N($J1070)&gt;0,N($K1070)&gt;0),"※收入和支出不能同一行都填",IF(AND($D1070="收入",N($J1070)=0),"※收入行要填收入金额",IF(AND($D1070="支出",N($K1070)=0),"※支出行要填支出金额",IF(AND($C1070&lt;&gt;"",ISNA(MATCH($C1070,账户表,0))),"※账户不在基础资料里",IF(AND($G1070&lt;&gt;"",ISNA(MATCH($G1070,项目名表,0))),"※项目不在项目台账里",IF(AND(LEFT($F1070,3)="成本-",$G1070=""),"※成本类支出没填项目",IF(AND(LEFT($F1070,3)="成本-",$H1070&lt;&gt;"",N($K1070)&gt;0,COUNTIFS(采购单!$B:$B,$B1070,采购单!$C:$C,$H1070,采购单!$L:$L,$K1070)&gt;0),"※这笔可能和采购单重复了",""))))))))))</f>
        <v/>
      </c>
    </row>
    <row r="1071">
      <c r="A1071" s="17">
        <f>IF($B1071="","",ROW()-3)</f>
        <v/>
      </c>
      <c r="B1071" s="18" t="n"/>
      <c r="C1071" s="13" t="n"/>
      <c r="D1071" s="13" t="n"/>
      <c r="E1071" s="13" t="n"/>
      <c r="F1071" s="17">
        <f>IF($E1071="","",IFERROR(VLOOKUP($E1071,类别归属,2,0),"※类别不在基础资料里"))</f>
        <v/>
      </c>
      <c r="G1071" s="13" t="n"/>
      <c r="H1071" s="13" t="n"/>
      <c r="I1071" s="13" t="n"/>
      <c r="J1071" s="14" t="n"/>
      <c r="K1071" s="14" t="n"/>
      <c r="L1071" s="19">
        <f>IF($C1071="","",ROUND(IFERROR(VLOOKUP($C1071,账户期初,2,0),0)+SUMIFS($J$4:J1071,$C$4:C1071,$C1071)-SUMIFS($K$4:K1071,$C$4:C1071,$C1071),2))</f>
        <v/>
      </c>
      <c r="M1071" s="19">
        <f>IF($C1071="","",ROUND(SUM(基础资料!$B$4:$B$13)+SUM($J$4:J1071)-SUM($K$4:K1071),2))</f>
        <v/>
      </c>
      <c r="N1071" s="13" t="n"/>
      <c r="O1071" s="13" t="n"/>
      <c r="P1071" s="17">
        <f>IF($B1071="","",IF($F1071="※类别不在基础资料里","※费用类别不在基础资料里",IF(AND(N($J1071)=0,N($K1071)=0),"※这行没填金额",IF(AND(N($J1071)&gt;0,N($K1071)&gt;0),"※收入和支出不能同一行都填",IF(AND($D1071="收入",N($J1071)=0),"※收入行要填收入金额",IF(AND($D1071="支出",N($K1071)=0),"※支出行要填支出金额",IF(AND($C1071&lt;&gt;"",ISNA(MATCH($C1071,账户表,0))),"※账户不在基础资料里",IF(AND($G1071&lt;&gt;"",ISNA(MATCH($G1071,项目名表,0))),"※项目不在项目台账里",IF(AND(LEFT($F1071,3)="成本-",$G1071=""),"※成本类支出没填项目",IF(AND(LEFT($F1071,3)="成本-",$H1071&lt;&gt;"",N($K1071)&gt;0,COUNTIFS(采购单!$B:$B,$B1071,采购单!$C:$C,$H1071,采购单!$L:$L,$K1071)&gt;0),"※这笔可能和采购单重复了",""))))))))))</f>
        <v/>
      </c>
    </row>
    <row r="1072">
      <c r="A1072" s="17">
        <f>IF($B1072="","",ROW()-3)</f>
        <v/>
      </c>
      <c r="B1072" s="18" t="n"/>
      <c r="C1072" s="13" t="n"/>
      <c r="D1072" s="13" t="n"/>
      <c r="E1072" s="13" t="n"/>
      <c r="F1072" s="17">
        <f>IF($E1072="","",IFERROR(VLOOKUP($E1072,类别归属,2,0),"※类别不在基础资料里"))</f>
        <v/>
      </c>
      <c r="G1072" s="13" t="n"/>
      <c r="H1072" s="13" t="n"/>
      <c r="I1072" s="13" t="n"/>
      <c r="J1072" s="14" t="n"/>
      <c r="K1072" s="14" t="n"/>
      <c r="L1072" s="19">
        <f>IF($C1072="","",ROUND(IFERROR(VLOOKUP($C1072,账户期初,2,0),0)+SUMIFS($J$4:J1072,$C$4:C1072,$C1072)-SUMIFS($K$4:K1072,$C$4:C1072,$C1072),2))</f>
        <v/>
      </c>
      <c r="M1072" s="19">
        <f>IF($C1072="","",ROUND(SUM(基础资料!$B$4:$B$13)+SUM($J$4:J1072)-SUM($K$4:K1072),2))</f>
        <v/>
      </c>
      <c r="N1072" s="13" t="n"/>
      <c r="O1072" s="13" t="n"/>
      <c r="P1072" s="17">
        <f>IF($B1072="","",IF($F1072="※类别不在基础资料里","※费用类别不在基础资料里",IF(AND(N($J1072)=0,N($K1072)=0),"※这行没填金额",IF(AND(N($J1072)&gt;0,N($K1072)&gt;0),"※收入和支出不能同一行都填",IF(AND($D1072="收入",N($J1072)=0),"※收入行要填收入金额",IF(AND($D1072="支出",N($K1072)=0),"※支出行要填支出金额",IF(AND($C1072&lt;&gt;"",ISNA(MATCH($C1072,账户表,0))),"※账户不在基础资料里",IF(AND($G1072&lt;&gt;"",ISNA(MATCH($G1072,项目名表,0))),"※项目不在项目台账里",IF(AND(LEFT($F1072,3)="成本-",$G1072=""),"※成本类支出没填项目",IF(AND(LEFT($F1072,3)="成本-",$H1072&lt;&gt;"",N($K1072)&gt;0,COUNTIFS(采购单!$B:$B,$B1072,采购单!$C:$C,$H1072,采购单!$L:$L,$K1072)&gt;0),"※这笔可能和采购单重复了",""))))))))))</f>
        <v/>
      </c>
    </row>
    <row r="1073">
      <c r="A1073" s="17">
        <f>IF($B1073="","",ROW()-3)</f>
        <v/>
      </c>
      <c r="B1073" s="18" t="n"/>
      <c r="C1073" s="13" t="n"/>
      <c r="D1073" s="13" t="n"/>
      <c r="E1073" s="13" t="n"/>
      <c r="F1073" s="17">
        <f>IF($E1073="","",IFERROR(VLOOKUP($E1073,类别归属,2,0),"※类别不在基础资料里"))</f>
        <v/>
      </c>
      <c r="G1073" s="13" t="n"/>
      <c r="H1073" s="13" t="n"/>
      <c r="I1073" s="13" t="n"/>
      <c r="J1073" s="14" t="n"/>
      <c r="K1073" s="14" t="n"/>
      <c r="L1073" s="19">
        <f>IF($C1073="","",ROUND(IFERROR(VLOOKUP($C1073,账户期初,2,0),0)+SUMIFS($J$4:J1073,$C$4:C1073,$C1073)-SUMIFS($K$4:K1073,$C$4:C1073,$C1073),2))</f>
        <v/>
      </c>
      <c r="M1073" s="19">
        <f>IF($C1073="","",ROUND(SUM(基础资料!$B$4:$B$13)+SUM($J$4:J1073)-SUM($K$4:K1073),2))</f>
        <v/>
      </c>
      <c r="N1073" s="13" t="n"/>
      <c r="O1073" s="13" t="n"/>
      <c r="P1073" s="17">
        <f>IF($B1073="","",IF($F1073="※类别不在基础资料里","※费用类别不在基础资料里",IF(AND(N($J1073)=0,N($K1073)=0),"※这行没填金额",IF(AND(N($J1073)&gt;0,N($K1073)&gt;0),"※收入和支出不能同一行都填",IF(AND($D1073="收入",N($J1073)=0),"※收入行要填收入金额",IF(AND($D1073="支出",N($K1073)=0),"※支出行要填支出金额",IF(AND($C1073&lt;&gt;"",ISNA(MATCH($C1073,账户表,0))),"※账户不在基础资料里",IF(AND($G1073&lt;&gt;"",ISNA(MATCH($G1073,项目名表,0))),"※项目不在项目台账里",IF(AND(LEFT($F1073,3)="成本-",$G1073=""),"※成本类支出没填项目",IF(AND(LEFT($F1073,3)="成本-",$H1073&lt;&gt;"",N($K1073)&gt;0,COUNTIFS(采购单!$B:$B,$B1073,采购单!$C:$C,$H1073,采购单!$L:$L,$K1073)&gt;0),"※这笔可能和采购单重复了",""))))))))))</f>
        <v/>
      </c>
    </row>
    <row r="1074">
      <c r="A1074" s="17">
        <f>IF($B1074="","",ROW()-3)</f>
        <v/>
      </c>
      <c r="B1074" s="18" t="n"/>
      <c r="C1074" s="13" t="n"/>
      <c r="D1074" s="13" t="n"/>
      <c r="E1074" s="13" t="n"/>
      <c r="F1074" s="17">
        <f>IF($E1074="","",IFERROR(VLOOKUP($E1074,类别归属,2,0),"※类别不在基础资料里"))</f>
        <v/>
      </c>
      <c r="G1074" s="13" t="n"/>
      <c r="H1074" s="13" t="n"/>
      <c r="I1074" s="13" t="n"/>
      <c r="J1074" s="14" t="n"/>
      <c r="K1074" s="14" t="n"/>
      <c r="L1074" s="19">
        <f>IF($C1074="","",ROUND(IFERROR(VLOOKUP($C1074,账户期初,2,0),0)+SUMIFS($J$4:J1074,$C$4:C1074,$C1074)-SUMIFS($K$4:K1074,$C$4:C1074,$C1074),2))</f>
        <v/>
      </c>
      <c r="M1074" s="19">
        <f>IF($C1074="","",ROUND(SUM(基础资料!$B$4:$B$13)+SUM($J$4:J1074)-SUM($K$4:K1074),2))</f>
        <v/>
      </c>
      <c r="N1074" s="13" t="n"/>
      <c r="O1074" s="13" t="n"/>
      <c r="P1074" s="17">
        <f>IF($B1074="","",IF($F1074="※类别不在基础资料里","※费用类别不在基础资料里",IF(AND(N($J1074)=0,N($K1074)=0),"※这行没填金额",IF(AND(N($J1074)&gt;0,N($K1074)&gt;0),"※收入和支出不能同一行都填",IF(AND($D1074="收入",N($J1074)=0),"※收入行要填收入金额",IF(AND($D1074="支出",N($K1074)=0),"※支出行要填支出金额",IF(AND($C1074&lt;&gt;"",ISNA(MATCH($C1074,账户表,0))),"※账户不在基础资料里",IF(AND($G1074&lt;&gt;"",ISNA(MATCH($G1074,项目名表,0))),"※项目不在项目台账里",IF(AND(LEFT($F1074,3)="成本-",$G1074=""),"※成本类支出没填项目",IF(AND(LEFT($F1074,3)="成本-",$H1074&lt;&gt;"",N($K1074)&gt;0,COUNTIFS(采购单!$B:$B,$B1074,采购单!$C:$C,$H1074,采购单!$L:$L,$K1074)&gt;0),"※这笔可能和采购单重复了",""))))))))))</f>
        <v/>
      </c>
    </row>
    <row r="1075">
      <c r="A1075" s="17">
        <f>IF($B1075="","",ROW()-3)</f>
        <v/>
      </c>
      <c r="B1075" s="18" t="n"/>
      <c r="C1075" s="13" t="n"/>
      <c r="D1075" s="13" t="n"/>
      <c r="E1075" s="13" t="n"/>
      <c r="F1075" s="17">
        <f>IF($E1075="","",IFERROR(VLOOKUP($E1075,类别归属,2,0),"※类别不在基础资料里"))</f>
        <v/>
      </c>
      <c r="G1075" s="13" t="n"/>
      <c r="H1075" s="13" t="n"/>
      <c r="I1075" s="13" t="n"/>
      <c r="J1075" s="14" t="n"/>
      <c r="K1075" s="14" t="n"/>
      <c r="L1075" s="19">
        <f>IF($C1075="","",ROUND(IFERROR(VLOOKUP($C1075,账户期初,2,0),0)+SUMIFS($J$4:J1075,$C$4:C1075,$C1075)-SUMIFS($K$4:K1075,$C$4:C1075,$C1075),2))</f>
        <v/>
      </c>
      <c r="M1075" s="19">
        <f>IF($C1075="","",ROUND(SUM(基础资料!$B$4:$B$13)+SUM($J$4:J1075)-SUM($K$4:K1075),2))</f>
        <v/>
      </c>
      <c r="N1075" s="13" t="n"/>
      <c r="O1075" s="13" t="n"/>
      <c r="P1075" s="17">
        <f>IF($B1075="","",IF($F1075="※类别不在基础资料里","※费用类别不在基础资料里",IF(AND(N($J1075)=0,N($K1075)=0),"※这行没填金额",IF(AND(N($J1075)&gt;0,N($K1075)&gt;0),"※收入和支出不能同一行都填",IF(AND($D1075="收入",N($J1075)=0),"※收入行要填收入金额",IF(AND($D1075="支出",N($K1075)=0),"※支出行要填支出金额",IF(AND($C1075&lt;&gt;"",ISNA(MATCH($C1075,账户表,0))),"※账户不在基础资料里",IF(AND($G1075&lt;&gt;"",ISNA(MATCH($G1075,项目名表,0))),"※项目不在项目台账里",IF(AND(LEFT($F1075,3)="成本-",$G1075=""),"※成本类支出没填项目",IF(AND(LEFT($F1075,3)="成本-",$H1075&lt;&gt;"",N($K1075)&gt;0,COUNTIFS(采购单!$B:$B,$B1075,采购单!$C:$C,$H1075,采购单!$L:$L,$K1075)&gt;0),"※这笔可能和采购单重复了",""))))))))))</f>
        <v/>
      </c>
    </row>
    <row r="1076">
      <c r="A1076" s="17">
        <f>IF($B1076="","",ROW()-3)</f>
        <v/>
      </c>
      <c r="B1076" s="18" t="n"/>
      <c r="C1076" s="13" t="n"/>
      <c r="D1076" s="13" t="n"/>
      <c r="E1076" s="13" t="n"/>
      <c r="F1076" s="17">
        <f>IF($E1076="","",IFERROR(VLOOKUP($E1076,类别归属,2,0),"※类别不在基础资料里"))</f>
        <v/>
      </c>
      <c r="G1076" s="13" t="n"/>
      <c r="H1076" s="13" t="n"/>
      <c r="I1076" s="13" t="n"/>
      <c r="J1076" s="14" t="n"/>
      <c r="K1076" s="14" t="n"/>
      <c r="L1076" s="19">
        <f>IF($C1076="","",ROUND(IFERROR(VLOOKUP($C1076,账户期初,2,0),0)+SUMIFS($J$4:J1076,$C$4:C1076,$C1076)-SUMIFS($K$4:K1076,$C$4:C1076,$C1076),2))</f>
        <v/>
      </c>
      <c r="M1076" s="19">
        <f>IF($C1076="","",ROUND(SUM(基础资料!$B$4:$B$13)+SUM($J$4:J1076)-SUM($K$4:K1076),2))</f>
        <v/>
      </c>
      <c r="N1076" s="13" t="n"/>
      <c r="O1076" s="13" t="n"/>
      <c r="P1076" s="17">
        <f>IF($B1076="","",IF($F1076="※类别不在基础资料里","※费用类别不在基础资料里",IF(AND(N($J1076)=0,N($K1076)=0),"※这行没填金额",IF(AND(N($J1076)&gt;0,N($K1076)&gt;0),"※收入和支出不能同一行都填",IF(AND($D1076="收入",N($J1076)=0),"※收入行要填收入金额",IF(AND($D1076="支出",N($K1076)=0),"※支出行要填支出金额",IF(AND($C1076&lt;&gt;"",ISNA(MATCH($C1076,账户表,0))),"※账户不在基础资料里",IF(AND($G1076&lt;&gt;"",ISNA(MATCH($G1076,项目名表,0))),"※项目不在项目台账里",IF(AND(LEFT($F1076,3)="成本-",$G1076=""),"※成本类支出没填项目",IF(AND(LEFT($F1076,3)="成本-",$H1076&lt;&gt;"",N($K1076)&gt;0,COUNTIFS(采购单!$B:$B,$B1076,采购单!$C:$C,$H1076,采购单!$L:$L,$K1076)&gt;0),"※这笔可能和采购单重复了",""))))))))))</f>
        <v/>
      </c>
    </row>
    <row r="1077">
      <c r="A1077" s="17">
        <f>IF($B1077="","",ROW()-3)</f>
        <v/>
      </c>
      <c r="B1077" s="18" t="n"/>
      <c r="C1077" s="13" t="n"/>
      <c r="D1077" s="13" t="n"/>
      <c r="E1077" s="13" t="n"/>
      <c r="F1077" s="17">
        <f>IF($E1077="","",IFERROR(VLOOKUP($E1077,类别归属,2,0),"※类别不在基础资料里"))</f>
        <v/>
      </c>
      <c r="G1077" s="13" t="n"/>
      <c r="H1077" s="13" t="n"/>
      <c r="I1077" s="13" t="n"/>
      <c r="J1077" s="14" t="n"/>
      <c r="K1077" s="14" t="n"/>
      <c r="L1077" s="19">
        <f>IF($C1077="","",ROUND(IFERROR(VLOOKUP($C1077,账户期初,2,0),0)+SUMIFS($J$4:J1077,$C$4:C1077,$C1077)-SUMIFS($K$4:K1077,$C$4:C1077,$C1077),2))</f>
        <v/>
      </c>
      <c r="M1077" s="19">
        <f>IF($C1077="","",ROUND(SUM(基础资料!$B$4:$B$13)+SUM($J$4:J1077)-SUM($K$4:K1077),2))</f>
        <v/>
      </c>
      <c r="N1077" s="13" t="n"/>
      <c r="O1077" s="13" t="n"/>
      <c r="P1077" s="17">
        <f>IF($B1077="","",IF($F1077="※类别不在基础资料里","※费用类别不在基础资料里",IF(AND(N($J1077)=0,N($K1077)=0),"※这行没填金额",IF(AND(N($J1077)&gt;0,N($K1077)&gt;0),"※收入和支出不能同一行都填",IF(AND($D1077="收入",N($J1077)=0),"※收入行要填收入金额",IF(AND($D1077="支出",N($K1077)=0),"※支出行要填支出金额",IF(AND($C1077&lt;&gt;"",ISNA(MATCH($C1077,账户表,0))),"※账户不在基础资料里",IF(AND($G1077&lt;&gt;"",ISNA(MATCH($G1077,项目名表,0))),"※项目不在项目台账里",IF(AND(LEFT($F1077,3)="成本-",$G1077=""),"※成本类支出没填项目",IF(AND(LEFT($F1077,3)="成本-",$H1077&lt;&gt;"",N($K1077)&gt;0,COUNTIFS(采购单!$B:$B,$B1077,采购单!$C:$C,$H1077,采购单!$L:$L,$K1077)&gt;0),"※这笔可能和采购单重复了",""))))))))))</f>
        <v/>
      </c>
    </row>
    <row r="1078">
      <c r="A1078" s="17">
        <f>IF($B1078="","",ROW()-3)</f>
        <v/>
      </c>
      <c r="B1078" s="18" t="n"/>
      <c r="C1078" s="13" t="n"/>
      <c r="D1078" s="13" t="n"/>
      <c r="E1078" s="13" t="n"/>
      <c r="F1078" s="17">
        <f>IF($E1078="","",IFERROR(VLOOKUP($E1078,类别归属,2,0),"※类别不在基础资料里"))</f>
        <v/>
      </c>
      <c r="G1078" s="13" t="n"/>
      <c r="H1078" s="13" t="n"/>
      <c r="I1078" s="13" t="n"/>
      <c r="J1078" s="14" t="n"/>
      <c r="K1078" s="14" t="n"/>
      <c r="L1078" s="19">
        <f>IF($C1078="","",ROUND(IFERROR(VLOOKUP($C1078,账户期初,2,0),0)+SUMIFS($J$4:J1078,$C$4:C1078,$C1078)-SUMIFS($K$4:K1078,$C$4:C1078,$C1078),2))</f>
        <v/>
      </c>
      <c r="M1078" s="19">
        <f>IF($C1078="","",ROUND(SUM(基础资料!$B$4:$B$13)+SUM($J$4:J1078)-SUM($K$4:K1078),2))</f>
        <v/>
      </c>
      <c r="N1078" s="13" t="n"/>
      <c r="O1078" s="13" t="n"/>
      <c r="P1078" s="17">
        <f>IF($B1078="","",IF($F1078="※类别不在基础资料里","※费用类别不在基础资料里",IF(AND(N($J1078)=0,N($K1078)=0),"※这行没填金额",IF(AND(N($J1078)&gt;0,N($K1078)&gt;0),"※收入和支出不能同一行都填",IF(AND($D1078="收入",N($J1078)=0),"※收入行要填收入金额",IF(AND($D1078="支出",N($K1078)=0),"※支出行要填支出金额",IF(AND($C1078&lt;&gt;"",ISNA(MATCH($C1078,账户表,0))),"※账户不在基础资料里",IF(AND($G1078&lt;&gt;"",ISNA(MATCH($G1078,项目名表,0))),"※项目不在项目台账里",IF(AND(LEFT($F1078,3)="成本-",$G1078=""),"※成本类支出没填项目",IF(AND(LEFT($F1078,3)="成本-",$H1078&lt;&gt;"",N($K1078)&gt;0,COUNTIFS(采购单!$B:$B,$B1078,采购单!$C:$C,$H1078,采购单!$L:$L,$K1078)&gt;0),"※这笔可能和采购单重复了",""))))))))))</f>
        <v/>
      </c>
    </row>
    <row r="1079">
      <c r="A1079" s="17">
        <f>IF($B1079="","",ROW()-3)</f>
        <v/>
      </c>
      <c r="B1079" s="18" t="n"/>
      <c r="C1079" s="13" t="n"/>
      <c r="D1079" s="13" t="n"/>
      <c r="E1079" s="13" t="n"/>
      <c r="F1079" s="17">
        <f>IF($E1079="","",IFERROR(VLOOKUP($E1079,类别归属,2,0),"※类别不在基础资料里"))</f>
        <v/>
      </c>
      <c r="G1079" s="13" t="n"/>
      <c r="H1079" s="13" t="n"/>
      <c r="I1079" s="13" t="n"/>
      <c r="J1079" s="14" t="n"/>
      <c r="K1079" s="14" t="n"/>
      <c r="L1079" s="19">
        <f>IF($C1079="","",ROUND(IFERROR(VLOOKUP($C1079,账户期初,2,0),0)+SUMIFS($J$4:J1079,$C$4:C1079,$C1079)-SUMIFS($K$4:K1079,$C$4:C1079,$C1079),2))</f>
        <v/>
      </c>
      <c r="M1079" s="19">
        <f>IF($C1079="","",ROUND(SUM(基础资料!$B$4:$B$13)+SUM($J$4:J1079)-SUM($K$4:K1079),2))</f>
        <v/>
      </c>
      <c r="N1079" s="13" t="n"/>
      <c r="O1079" s="13" t="n"/>
      <c r="P1079" s="17">
        <f>IF($B1079="","",IF($F1079="※类别不在基础资料里","※费用类别不在基础资料里",IF(AND(N($J1079)=0,N($K1079)=0),"※这行没填金额",IF(AND(N($J1079)&gt;0,N($K1079)&gt;0),"※收入和支出不能同一行都填",IF(AND($D1079="收入",N($J1079)=0),"※收入行要填收入金额",IF(AND($D1079="支出",N($K1079)=0),"※支出行要填支出金额",IF(AND($C1079&lt;&gt;"",ISNA(MATCH($C1079,账户表,0))),"※账户不在基础资料里",IF(AND($G1079&lt;&gt;"",ISNA(MATCH($G1079,项目名表,0))),"※项目不在项目台账里",IF(AND(LEFT($F1079,3)="成本-",$G1079=""),"※成本类支出没填项目",IF(AND(LEFT($F1079,3)="成本-",$H1079&lt;&gt;"",N($K1079)&gt;0,COUNTIFS(采购单!$B:$B,$B1079,采购单!$C:$C,$H1079,采购单!$L:$L,$K1079)&gt;0),"※这笔可能和采购单重复了",""))))))))))</f>
        <v/>
      </c>
    </row>
    <row r="1080">
      <c r="A1080" s="17">
        <f>IF($B1080="","",ROW()-3)</f>
        <v/>
      </c>
      <c r="B1080" s="18" t="n"/>
      <c r="C1080" s="13" t="n"/>
      <c r="D1080" s="13" t="n"/>
      <c r="E1080" s="13" t="n"/>
      <c r="F1080" s="17">
        <f>IF($E1080="","",IFERROR(VLOOKUP($E1080,类别归属,2,0),"※类别不在基础资料里"))</f>
        <v/>
      </c>
      <c r="G1080" s="13" t="n"/>
      <c r="H1080" s="13" t="n"/>
      <c r="I1080" s="13" t="n"/>
      <c r="J1080" s="14" t="n"/>
      <c r="K1080" s="14" t="n"/>
      <c r="L1080" s="19">
        <f>IF($C1080="","",ROUND(IFERROR(VLOOKUP($C1080,账户期初,2,0),0)+SUMIFS($J$4:J1080,$C$4:C1080,$C1080)-SUMIFS($K$4:K1080,$C$4:C1080,$C1080),2))</f>
        <v/>
      </c>
      <c r="M1080" s="19">
        <f>IF($C1080="","",ROUND(SUM(基础资料!$B$4:$B$13)+SUM($J$4:J1080)-SUM($K$4:K1080),2))</f>
        <v/>
      </c>
      <c r="N1080" s="13" t="n"/>
      <c r="O1080" s="13" t="n"/>
      <c r="P1080" s="17">
        <f>IF($B1080="","",IF($F1080="※类别不在基础资料里","※费用类别不在基础资料里",IF(AND(N($J1080)=0,N($K1080)=0),"※这行没填金额",IF(AND(N($J1080)&gt;0,N($K1080)&gt;0),"※收入和支出不能同一行都填",IF(AND($D1080="收入",N($J1080)=0),"※收入行要填收入金额",IF(AND($D1080="支出",N($K1080)=0),"※支出行要填支出金额",IF(AND($C1080&lt;&gt;"",ISNA(MATCH($C1080,账户表,0))),"※账户不在基础资料里",IF(AND($G1080&lt;&gt;"",ISNA(MATCH($G1080,项目名表,0))),"※项目不在项目台账里",IF(AND(LEFT($F1080,3)="成本-",$G1080=""),"※成本类支出没填项目",IF(AND(LEFT($F1080,3)="成本-",$H1080&lt;&gt;"",N($K1080)&gt;0,COUNTIFS(采购单!$B:$B,$B1080,采购单!$C:$C,$H1080,采购单!$L:$L,$K1080)&gt;0),"※这笔可能和采购单重复了",""))))))))))</f>
        <v/>
      </c>
    </row>
    <row r="1081">
      <c r="A1081" s="17">
        <f>IF($B1081="","",ROW()-3)</f>
        <v/>
      </c>
      <c r="B1081" s="18" t="n"/>
      <c r="C1081" s="13" t="n"/>
      <c r="D1081" s="13" t="n"/>
      <c r="E1081" s="13" t="n"/>
      <c r="F1081" s="17">
        <f>IF($E1081="","",IFERROR(VLOOKUP($E1081,类别归属,2,0),"※类别不在基础资料里"))</f>
        <v/>
      </c>
      <c r="G1081" s="13" t="n"/>
      <c r="H1081" s="13" t="n"/>
      <c r="I1081" s="13" t="n"/>
      <c r="J1081" s="14" t="n"/>
      <c r="K1081" s="14" t="n"/>
      <c r="L1081" s="19">
        <f>IF($C1081="","",ROUND(IFERROR(VLOOKUP($C1081,账户期初,2,0),0)+SUMIFS($J$4:J1081,$C$4:C1081,$C1081)-SUMIFS($K$4:K1081,$C$4:C1081,$C1081),2))</f>
        <v/>
      </c>
      <c r="M1081" s="19">
        <f>IF($C1081="","",ROUND(SUM(基础资料!$B$4:$B$13)+SUM($J$4:J1081)-SUM($K$4:K1081),2))</f>
        <v/>
      </c>
      <c r="N1081" s="13" t="n"/>
      <c r="O1081" s="13" t="n"/>
      <c r="P1081" s="17">
        <f>IF($B1081="","",IF($F1081="※类别不在基础资料里","※费用类别不在基础资料里",IF(AND(N($J1081)=0,N($K1081)=0),"※这行没填金额",IF(AND(N($J1081)&gt;0,N($K1081)&gt;0),"※收入和支出不能同一行都填",IF(AND($D1081="收入",N($J1081)=0),"※收入行要填收入金额",IF(AND($D1081="支出",N($K1081)=0),"※支出行要填支出金额",IF(AND($C1081&lt;&gt;"",ISNA(MATCH($C1081,账户表,0))),"※账户不在基础资料里",IF(AND($G1081&lt;&gt;"",ISNA(MATCH($G1081,项目名表,0))),"※项目不在项目台账里",IF(AND(LEFT($F1081,3)="成本-",$G1081=""),"※成本类支出没填项目",IF(AND(LEFT($F1081,3)="成本-",$H1081&lt;&gt;"",N($K1081)&gt;0,COUNTIFS(采购单!$B:$B,$B1081,采购单!$C:$C,$H1081,采购单!$L:$L,$K1081)&gt;0),"※这笔可能和采购单重复了",""))))))))))</f>
        <v/>
      </c>
    </row>
    <row r="1082">
      <c r="A1082" s="17">
        <f>IF($B1082="","",ROW()-3)</f>
        <v/>
      </c>
      <c r="B1082" s="18" t="n"/>
      <c r="C1082" s="13" t="n"/>
      <c r="D1082" s="13" t="n"/>
      <c r="E1082" s="13" t="n"/>
      <c r="F1082" s="17">
        <f>IF($E1082="","",IFERROR(VLOOKUP($E1082,类别归属,2,0),"※类别不在基础资料里"))</f>
        <v/>
      </c>
      <c r="G1082" s="13" t="n"/>
      <c r="H1082" s="13" t="n"/>
      <c r="I1082" s="13" t="n"/>
      <c r="J1082" s="14" t="n"/>
      <c r="K1082" s="14" t="n"/>
      <c r="L1082" s="19">
        <f>IF($C1082="","",ROUND(IFERROR(VLOOKUP($C1082,账户期初,2,0),0)+SUMIFS($J$4:J1082,$C$4:C1082,$C1082)-SUMIFS($K$4:K1082,$C$4:C1082,$C1082),2))</f>
        <v/>
      </c>
      <c r="M1082" s="19">
        <f>IF($C1082="","",ROUND(SUM(基础资料!$B$4:$B$13)+SUM($J$4:J1082)-SUM($K$4:K1082),2))</f>
        <v/>
      </c>
      <c r="N1082" s="13" t="n"/>
      <c r="O1082" s="13" t="n"/>
      <c r="P1082" s="17">
        <f>IF($B1082="","",IF($F1082="※类别不在基础资料里","※费用类别不在基础资料里",IF(AND(N($J1082)=0,N($K1082)=0),"※这行没填金额",IF(AND(N($J1082)&gt;0,N($K1082)&gt;0),"※收入和支出不能同一行都填",IF(AND($D1082="收入",N($J1082)=0),"※收入行要填收入金额",IF(AND($D1082="支出",N($K1082)=0),"※支出行要填支出金额",IF(AND($C1082&lt;&gt;"",ISNA(MATCH($C1082,账户表,0))),"※账户不在基础资料里",IF(AND($G1082&lt;&gt;"",ISNA(MATCH($G1082,项目名表,0))),"※项目不在项目台账里",IF(AND(LEFT($F1082,3)="成本-",$G1082=""),"※成本类支出没填项目",IF(AND(LEFT($F1082,3)="成本-",$H1082&lt;&gt;"",N($K1082)&gt;0,COUNTIFS(采购单!$B:$B,$B1082,采购单!$C:$C,$H1082,采购单!$L:$L,$K1082)&gt;0),"※这笔可能和采购单重复了",""))))))))))</f>
        <v/>
      </c>
    </row>
    <row r="1083">
      <c r="A1083" s="17">
        <f>IF($B1083="","",ROW()-3)</f>
        <v/>
      </c>
      <c r="B1083" s="18" t="n"/>
      <c r="C1083" s="13" t="n"/>
      <c r="D1083" s="13" t="n"/>
      <c r="E1083" s="13" t="n"/>
      <c r="F1083" s="17">
        <f>IF($E1083="","",IFERROR(VLOOKUP($E1083,类别归属,2,0),"※类别不在基础资料里"))</f>
        <v/>
      </c>
      <c r="G1083" s="13" t="n"/>
      <c r="H1083" s="13" t="n"/>
      <c r="I1083" s="13" t="n"/>
      <c r="J1083" s="14" t="n"/>
      <c r="K1083" s="14" t="n"/>
      <c r="L1083" s="19">
        <f>IF($C1083="","",ROUND(IFERROR(VLOOKUP($C1083,账户期初,2,0),0)+SUMIFS($J$4:J1083,$C$4:C1083,$C1083)-SUMIFS($K$4:K1083,$C$4:C1083,$C1083),2))</f>
        <v/>
      </c>
      <c r="M1083" s="19">
        <f>IF($C1083="","",ROUND(SUM(基础资料!$B$4:$B$13)+SUM($J$4:J1083)-SUM($K$4:K1083),2))</f>
        <v/>
      </c>
      <c r="N1083" s="13" t="n"/>
      <c r="O1083" s="13" t="n"/>
      <c r="P1083" s="17">
        <f>IF($B1083="","",IF($F1083="※类别不在基础资料里","※费用类别不在基础资料里",IF(AND(N($J1083)=0,N($K1083)=0),"※这行没填金额",IF(AND(N($J1083)&gt;0,N($K1083)&gt;0),"※收入和支出不能同一行都填",IF(AND($D1083="收入",N($J1083)=0),"※收入行要填收入金额",IF(AND($D1083="支出",N($K1083)=0),"※支出行要填支出金额",IF(AND($C1083&lt;&gt;"",ISNA(MATCH($C1083,账户表,0))),"※账户不在基础资料里",IF(AND($G1083&lt;&gt;"",ISNA(MATCH($G1083,项目名表,0))),"※项目不在项目台账里",IF(AND(LEFT($F1083,3)="成本-",$G1083=""),"※成本类支出没填项目",IF(AND(LEFT($F1083,3)="成本-",$H1083&lt;&gt;"",N($K1083)&gt;0,COUNTIFS(采购单!$B:$B,$B1083,采购单!$C:$C,$H1083,采购单!$L:$L,$K1083)&gt;0),"※这笔可能和采购单重复了",""))))))))))</f>
        <v/>
      </c>
    </row>
    <row r="1084">
      <c r="A1084" s="17">
        <f>IF($B1084="","",ROW()-3)</f>
        <v/>
      </c>
      <c r="B1084" s="18" t="n"/>
      <c r="C1084" s="13" t="n"/>
      <c r="D1084" s="13" t="n"/>
      <c r="E1084" s="13" t="n"/>
      <c r="F1084" s="17">
        <f>IF($E1084="","",IFERROR(VLOOKUP($E1084,类别归属,2,0),"※类别不在基础资料里"))</f>
        <v/>
      </c>
      <c r="G1084" s="13" t="n"/>
      <c r="H1084" s="13" t="n"/>
      <c r="I1084" s="13" t="n"/>
      <c r="J1084" s="14" t="n"/>
      <c r="K1084" s="14" t="n"/>
      <c r="L1084" s="19">
        <f>IF($C1084="","",ROUND(IFERROR(VLOOKUP($C1084,账户期初,2,0),0)+SUMIFS($J$4:J1084,$C$4:C1084,$C1084)-SUMIFS($K$4:K1084,$C$4:C1084,$C1084),2))</f>
        <v/>
      </c>
      <c r="M1084" s="19">
        <f>IF($C1084="","",ROUND(SUM(基础资料!$B$4:$B$13)+SUM($J$4:J1084)-SUM($K$4:K1084),2))</f>
        <v/>
      </c>
      <c r="N1084" s="13" t="n"/>
      <c r="O1084" s="13" t="n"/>
      <c r="P1084" s="17">
        <f>IF($B1084="","",IF($F1084="※类别不在基础资料里","※费用类别不在基础资料里",IF(AND(N($J1084)=0,N($K1084)=0),"※这行没填金额",IF(AND(N($J1084)&gt;0,N($K1084)&gt;0),"※收入和支出不能同一行都填",IF(AND($D1084="收入",N($J1084)=0),"※收入行要填收入金额",IF(AND($D1084="支出",N($K1084)=0),"※支出行要填支出金额",IF(AND($C1084&lt;&gt;"",ISNA(MATCH($C1084,账户表,0))),"※账户不在基础资料里",IF(AND($G1084&lt;&gt;"",ISNA(MATCH($G1084,项目名表,0))),"※项目不在项目台账里",IF(AND(LEFT($F1084,3)="成本-",$G1084=""),"※成本类支出没填项目",IF(AND(LEFT($F1084,3)="成本-",$H1084&lt;&gt;"",N($K1084)&gt;0,COUNTIFS(采购单!$B:$B,$B1084,采购单!$C:$C,$H1084,采购单!$L:$L,$K1084)&gt;0),"※这笔可能和采购单重复了",""))))))))))</f>
        <v/>
      </c>
    </row>
    <row r="1085">
      <c r="A1085" s="17">
        <f>IF($B1085="","",ROW()-3)</f>
        <v/>
      </c>
      <c r="B1085" s="18" t="n"/>
      <c r="C1085" s="13" t="n"/>
      <c r="D1085" s="13" t="n"/>
      <c r="E1085" s="13" t="n"/>
      <c r="F1085" s="17">
        <f>IF($E1085="","",IFERROR(VLOOKUP($E1085,类别归属,2,0),"※类别不在基础资料里"))</f>
        <v/>
      </c>
      <c r="G1085" s="13" t="n"/>
      <c r="H1085" s="13" t="n"/>
      <c r="I1085" s="13" t="n"/>
      <c r="J1085" s="14" t="n"/>
      <c r="K1085" s="14" t="n"/>
      <c r="L1085" s="19">
        <f>IF($C1085="","",ROUND(IFERROR(VLOOKUP($C1085,账户期初,2,0),0)+SUMIFS($J$4:J1085,$C$4:C1085,$C1085)-SUMIFS($K$4:K1085,$C$4:C1085,$C1085),2))</f>
        <v/>
      </c>
      <c r="M1085" s="19">
        <f>IF($C1085="","",ROUND(SUM(基础资料!$B$4:$B$13)+SUM($J$4:J1085)-SUM($K$4:K1085),2))</f>
        <v/>
      </c>
      <c r="N1085" s="13" t="n"/>
      <c r="O1085" s="13" t="n"/>
      <c r="P1085" s="17">
        <f>IF($B1085="","",IF($F1085="※类别不在基础资料里","※费用类别不在基础资料里",IF(AND(N($J1085)=0,N($K1085)=0),"※这行没填金额",IF(AND(N($J1085)&gt;0,N($K1085)&gt;0),"※收入和支出不能同一行都填",IF(AND($D1085="收入",N($J1085)=0),"※收入行要填收入金额",IF(AND($D1085="支出",N($K1085)=0),"※支出行要填支出金额",IF(AND($C1085&lt;&gt;"",ISNA(MATCH($C1085,账户表,0))),"※账户不在基础资料里",IF(AND($G1085&lt;&gt;"",ISNA(MATCH($G1085,项目名表,0))),"※项目不在项目台账里",IF(AND(LEFT($F1085,3)="成本-",$G1085=""),"※成本类支出没填项目",IF(AND(LEFT($F1085,3)="成本-",$H1085&lt;&gt;"",N($K1085)&gt;0,COUNTIFS(采购单!$B:$B,$B1085,采购单!$C:$C,$H1085,采购单!$L:$L,$K1085)&gt;0),"※这笔可能和采购单重复了",""))))))))))</f>
        <v/>
      </c>
    </row>
    <row r="1086">
      <c r="A1086" s="17">
        <f>IF($B1086="","",ROW()-3)</f>
        <v/>
      </c>
      <c r="B1086" s="18" t="n"/>
      <c r="C1086" s="13" t="n"/>
      <c r="D1086" s="13" t="n"/>
      <c r="E1086" s="13" t="n"/>
      <c r="F1086" s="17">
        <f>IF($E1086="","",IFERROR(VLOOKUP($E1086,类别归属,2,0),"※类别不在基础资料里"))</f>
        <v/>
      </c>
      <c r="G1086" s="13" t="n"/>
      <c r="H1086" s="13" t="n"/>
      <c r="I1086" s="13" t="n"/>
      <c r="J1086" s="14" t="n"/>
      <c r="K1086" s="14" t="n"/>
      <c r="L1086" s="19">
        <f>IF($C1086="","",ROUND(IFERROR(VLOOKUP($C1086,账户期初,2,0),0)+SUMIFS($J$4:J1086,$C$4:C1086,$C1086)-SUMIFS($K$4:K1086,$C$4:C1086,$C1086),2))</f>
        <v/>
      </c>
      <c r="M1086" s="19">
        <f>IF($C1086="","",ROUND(SUM(基础资料!$B$4:$B$13)+SUM($J$4:J1086)-SUM($K$4:K1086),2))</f>
        <v/>
      </c>
      <c r="N1086" s="13" t="n"/>
      <c r="O1086" s="13" t="n"/>
      <c r="P1086" s="17">
        <f>IF($B1086="","",IF($F1086="※类别不在基础资料里","※费用类别不在基础资料里",IF(AND(N($J1086)=0,N($K1086)=0),"※这行没填金额",IF(AND(N($J1086)&gt;0,N($K1086)&gt;0),"※收入和支出不能同一行都填",IF(AND($D1086="收入",N($J1086)=0),"※收入行要填收入金额",IF(AND($D1086="支出",N($K1086)=0),"※支出行要填支出金额",IF(AND($C1086&lt;&gt;"",ISNA(MATCH($C1086,账户表,0))),"※账户不在基础资料里",IF(AND($G1086&lt;&gt;"",ISNA(MATCH($G1086,项目名表,0))),"※项目不在项目台账里",IF(AND(LEFT($F1086,3)="成本-",$G1086=""),"※成本类支出没填项目",IF(AND(LEFT($F1086,3)="成本-",$H1086&lt;&gt;"",N($K1086)&gt;0,COUNTIFS(采购单!$B:$B,$B1086,采购单!$C:$C,$H1086,采购单!$L:$L,$K1086)&gt;0),"※这笔可能和采购单重复了",""))))))))))</f>
        <v/>
      </c>
    </row>
    <row r="1087">
      <c r="A1087" s="17">
        <f>IF($B1087="","",ROW()-3)</f>
        <v/>
      </c>
      <c r="B1087" s="18" t="n"/>
      <c r="C1087" s="13" t="n"/>
      <c r="D1087" s="13" t="n"/>
      <c r="E1087" s="13" t="n"/>
      <c r="F1087" s="17">
        <f>IF($E1087="","",IFERROR(VLOOKUP($E1087,类别归属,2,0),"※类别不在基础资料里"))</f>
        <v/>
      </c>
      <c r="G1087" s="13" t="n"/>
      <c r="H1087" s="13" t="n"/>
      <c r="I1087" s="13" t="n"/>
      <c r="J1087" s="14" t="n"/>
      <c r="K1087" s="14" t="n"/>
      <c r="L1087" s="19">
        <f>IF($C1087="","",ROUND(IFERROR(VLOOKUP($C1087,账户期初,2,0),0)+SUMIFS($J$4:J1087,$C$4:C1087,$C1087)-SUMIFS($K$4:K1087,$C$4:C1087,$C1087),2))</f>
        <v/>
      </c>
      <c r="M1087" s="19">
        <f>IF($C1087="","",ROUND(SUM(基础资料!$B$4:$B$13)+SUM($J$4:J1087)-SUM($K$4:K1087),2))</f>
        <v/>
      </c>
      <c r="N1087" s="13" t="n"/>
      <c r="O1087" s="13" t="n"/>
      <c r="P1087" s="17">
        <f>IF($B1087="","",IF($F1087="※类别不在基础资料里","※费用类别不在基础资料里",IF(AND(N($J1087)=0,N($K1087)=0),"※这行没填金额",IF(AND(N($J1087)&gt;0,N($K1087)&gt;0),"※收入和支出不能同一行都填",IF(AND($D1087="收入",N($J1087)=0),"※收入行要填收入金额",IF(AND($D1087="支出",N($K1087)=0),"※支出行要填支出金额",IF(AND($C1087&lt;&gt;"",ISNA(MATCH($C1087,账户表,0))),"※账户不在基础资料里",IF(AND($G1087&lt;&gt;"",ISNA(MATCH($G1087,项目名表,0))),"※项目不在项目台账里",IF(AND(LEFT($F1087,3)="成本-",$G1087=""),"※成本类支出没填项目",IF(AND(LEFT($F1087,3)="成本-",$H1087&lt;&gt;"",N($K1087)&gt;0,COUNTIFS(采购单!$B:$B,$B1087,采购单!$C:$C,$H1087,采购单!$L:$L,$K1087)&gt;0),"※这笔可能和采购单重复了",""))))))))))</f>
        <v/>
      </c>
    </row>
    <row r="1088">
      <c r="A1088" s="17">
        <f>IF($B1088="","",ROW()-3)</f>
        <v/>
      </c>
      <c r="B1088" s="18" t="n"/>
      <c r="C1088" s="13" t="n"/>
      <c r="D1088" s="13" t="n"/>
      <c r="E1088" s="13" t="n"/>
      <c r="F1088" s="17">
        <f>IF($E1088="","",IFERROR(VLOOKUP($E1088,类别归属,2,0),"※类别不在基础资料里"))</f>
        <v/>
      </c>
      <c r="G1088" s="13" t="n"/>
      <c r="H1088" s="13" t="n"/>
      <c r="I1088" s="13" t="n"/>
      <c r="J1088" s="14" t="n"/>
      <c r="K1088" s="14" t="n"/>
      <c r="L1088" s="19">
        <f>IF($C1088="","",ROUND(IFERROR(VLOOKUP($C1088,账户期初,2,0),0)+SUMIFS($J$4:J1088,$C$4:C1088,$C1088)-SUMIFS($K$4:K1088,$C$4:C1088,$C1088),2))</f>
        <v/>
      </c>
      <c r="M1088" s="19">
        <f>IF($C1088="","",ROUND(SUM(基础资料!$B$4:$B$13)+SUM($J$4:J1088)-SUM($K$4:K1088),2))</f>
        <v/>
      </c>
      <c r="N1088" s="13" t="n"/>
      <c r="O1088" s="13" t="n"/>
      <c r="P1088" s="17">
        <f>IF($B1088="","",IF($F1088="※类别不在基础资料里","※费用类别不在基础资料里",IF(AND(N($J1088)=0,N($K1088)=0),"※这行没填金额",IF(AND(N($J1088)&gt;0,N($K1088)&gt;0),"※收入和支出不能同一行都填",IF(AND($D1088="收入",N($J1088)=0),"※收入行要填收入金额",IF(AND($D1088="支出",N($K1088)=0),"※支出行要填支出金额",IF(AND($C1088&lt;&gt;"",ISNA(MATCH($C1088,账户表,0))),"※账户不在基础资料里",IF(AND($G1088&lt;&gt;"",ISNA(MATCH($G1088,项目名表,0))),"※项目不在项目台账里",IF(AND(LEFT($F1088,3)="成本-",$G1088=""),"※成本类支出没填项目",IF(AND(LEFT($F1088,3)="成本-",$H1088&lt;&gt;"",N($K1088)&gt;0,COUNTIFS(采购单!$B:$B,$B1088,采购单!$C:$C,$H1088,采购单!$L:$L,$K1088)&gt;0),"※这笔可能和采购单重复了",""))))))))))</f>
        <v/>
      </c>
    </row>
    <row r="1089">
      <c r="A1089" s="17">
        <f>IF($B1089="","",ROW()-3)</f>
        <v/>
      </c>
      <c r="B1089" s="18" t="n"/>
      <c r="C1089" s="13" t="n"/>
      <c r="D1089" s="13" t="n"/>
      <c r="E1089" s="13" t="n"/>
      <c r="F1089" s="17">
        <f>IF($E1089="","",IFERROR(VLOOKUP($E1089,类别归属,2,0),"※类别不在基础资料里"))</f>
        <v/>
      </c>
      <c r="G1089" s="13" t="n"/>
      <c r="H1089" s="13" t="n"/>
      <c r="I1089" s="13" t="n"/>
      <c r="J1089" s="14" t="n"/>
      <c r="K1089" s="14" t="n"/>
      <c r="L1089" s="19">
        <f>IF($C1089="","",ROUND(IFERROR(VLOOKUP($C1089,账户期初,2,0),0)+SUMIFS($J$4:J1089,$C$4:C1089,$C1089)-SUMIFS($K$4:K1089,$C$4:C1089,$C1089),2))</f>
        <v/>
      </c>
      <c r="M1089" s="19">
        <f>IF($C1089="","",ROUND(SUM(基础资料!$B$4:$B$13)+SUM($J$4:J1089)-SUM($K$4:K1089),2))</f>
        <v/>
      </c>
      <c r="N1089" s="13" t="n"/>
      <c r="O1089" s="13" t="n"/>
      <c r="P1089" s="17">
        <f>IF($B1089="","",IF($F1089="※类别不在基础资料里","※费用类别不在基础资料里",IF(AND(N($J1089)=0,N($K1089)=0),"※这行没填金额",IF(AND(N($J1089)&gt;0,N($K1089)&gt;0),"※收入和支出不能同一行都填",IF(AND($D1089="收入",N($J1089)=0),"※收入行要填收入金额",IF(AND($D1089="支出",N($K1089)=0),"※支出行要填支出金额",IF(AND($C1089&lt;&gt;"",ISNA(MATCH($C1089,账户表,0))),"※账户不在基础资料里",IF(AND($G1089&lt;&gt;"",ISNA(MATCH($G1089,项目名表,0))),"※项目不在项目台账里",IF(AND(LEFT($F1089,3)="成本-",$G1089=""),"※成本类支出没填项目",IF(AND(LEFT($F1089,3)="成本-",$H1089&lt;&gt;"",N($K1089)&gt;0,COUNTIFS(采购单!$B:$B,$B1089,采购单!$C:$C,$H1089,采购单!$L:$L,$K1089)&gt;0),"※这笔可能和采购单重复了",""))))))))))</f>
        <v/>
      </c>
    </row>
    <row r="1090">
      <c r="A1090" s="17">
        <f>IF($B1090="","",ROW()-3)</f>
        <v/>
      </c>
      <c r="B1090" s="18" t="n"/>
      <c r="C1090" s="13" t="n"/>
      <c r="D1090" s="13" t="n"/>
      <c r="E1090" s="13" t="n"/>
      <c r="F1090" s="17">
        <f>IF($E1090="","",IFERROR(VLOOKUP($E1090,类别归属,2,0),"※类别不在基础资料里"))</f>
        <v/>
      </c>
      <c r="G1090" s="13" t="n"/>
      <c r="H1090" s="13" t="n"/>
      <c r="I1090" s="13" t="n"/>
      <c r="J1090" s="14" t="n"/>
      <c r="K1090" s="14" t="n"/>
      <c r="L1090" s="19">
        <f>IF($C1090="","",ROUND(IFERROR(VLOOKUP($C1090,账户期初,2,0),0)+SUMIFS($J$4:J1090,$C$4:C1090,$C1090)-SUMIFS($K$4:K1090,$C$4:C1090,$C1090),2))</f>
        <v/>
      </c>
      <c r="M1090" s="19">
        <f>IF($C1090="","",ROUND(SUM(基础资料!$B$4:$B$13)+SUM($J$4:J1090)-SUM($K$4:K1090),2))</f>
        <v/>
      </c>
      <c r="N1090" s="13" t="n"/>
      <c r="O1090" s="13" t="n"/>
      <c r="P1090" s="17">
        <f>IF($B1090="","",IF($F1090="※类别不在基础资料里","※费用类别不在基础资料里",IF(AND(N($J1090)=0,N($K1090)=0),"※这行没填金额",IF(AND(N($J1090)&gt;0,N($K1090)&gt;0),"※收入和支出不能同一行都填",IF(AND($D1090="收入",N($J1090)=0),"※收入行要填收入金额",IF(AND($D1090="支出",N($K1090)=0),"※支出行要填支出金额",IF(AND($C1090&lt;&gt;"",ISNA(MATCH($C1090,账户表,0))),"※账户不在基础资料里",IF(AND($G1090&lt;&gt;"",ISNA(MATCH($G1090,项目名表,0))),"※项目不在项目台账里",IF(AND(LEFT($F1090,3)="成本-",$G1090=""),"※成本类支出没填项目",IF(AND(LEFT($F1090,3)="成本-",$H1090&lt;&gt;"",N($K1090)&gt;0,COUNTIFS(采购单!$B:$B,$B1090,采购单!$C:$C,$H1090,采购单!$L:$L,$K1090)&gt;0),"※这笔可能和采购单重复了",""))))))))))</f>
        <v/>
      </c>
    </row>
    <row r="1091">
      <c r="A1091" s="17">
        <f>IF($B1091="","",ROW()-3)</f>
        <v/>
      </c>
      <c r="B1091" s="18" t="n"/>
      <c r="C1091" s="13" t="n"/>
      <c r="D1091" s="13" t="n"/>
      <c r="E1091" s="13" t="n"/>
      <c r="F1091" s="17">
        <f>IF($E1091="","",IFERROR(VLOOKUP($E1091,类别归属,2,0),"※类别不在基础资料里"))</f>
        <v/>
      </c>
      <c r="G1091" s="13" t="n"/>
      <c r="H1091" s="13" t="n"/>
      <c r="I1091" s="13" t="n"/>
      <c r="J1091" s="14" t="n"/>
      <c r="K1091" s="14" t="n"/>
      <c r="L1091" s="19">
        <f>IF($C1091="","",ROUND(IFERROR(VLOOKUP($C1091,账户期初,2,0),0)+SUMIFS($J$4:J1091,$C$4:C1091,$C1091)-SUMIFS($K$4:K1091,$C$4:C1091,$C1091),2))</f>
        <v/>
      </c>
      <c r="M1091" s="19">
        <f>IF($C1091="","",ROUND(SUM(基础资料!$B$4:$B$13)+SUM($J$4:J1091)-SUM($K$4:K1091),2))</f>
        <v/>
      </c>
      <c r="N1091" s="13" t="n"/>
      <c r="O1091" s="13" t="n"/>
      <c r="P1091" s="17">
        <f>IF($B1091="","",IF($F1091="※类别不在基础资料里","※费用类别不在基础资料里",IF(AND(N($J1091)=0,N($K1091)=0),"※这行没填金额",IF(AND(N($J1091)&gt;0,N($K1091)&gt;0),"※收入和支出不能同一行都填",IF(AND($D1091="收入",N($J1091)=0),"※收入行要填收入金额",IF(AND($D1091="支出",N($K1091)=0),"※支出行要填支出金额",IF(AND($C1091&lt;&gt;"",ISNA(MATCH($C1091,账户表,0))),"※账户不在基础资料里",IF(AND($G1091&lt;&gt;"",ISNA(MATCH($G1091,项目名表,0))),"※项目不在项目台账里",IF(AND(LEFT($F1091,3)="成本-",$G1091=""),"※成本类支出没填项目",IF(AND(LEFT($F1091,3)="成本-",$H1091&lt;&gt;"",N($K1091)&gt;0,COUNTIFS(采购单!$B:$B,$B1091,采购单!$C:$C,$H1091,采购单!$L:$L,$K1091)&gt;0),"※这笔可能和采购单重复了",""))))))))))</f>
        <v/>
      </c>
    </row>
    <row r="1092">
      <c r="A1092" s="17">
        <f>IF($B1092="","",ROW()-3)</f>
        <v/>
      </c>
      <c r="B1092" s="18" t="n"/>
      <c r="C1092" s="13" t="n"/>
      <c r="D1092" s="13" t="n"/>
      <c r="E1092" s="13" t="n"/>
      <c r="F1092" s="17">
        <f>IF($E1092="","",IFERROR(VLOOKUP($E1092,类别归属,2,0),"※类别不在基础资料里"))</f>
        <v/>
      </c>
      <c r="G1092" s="13" t="n"/>
      <c r="H1092" s="13" t="n"/>
      <c r="I1092" s="13" t="n"/>
      <c r="J1092" s="14" t="n"/>
      <c r="K1092" s="14" t="n"/>
      <c r="L1092" s="19">
        <f>IF($C1092="","",ROUND(IFERROR(VLOOKUP($C1092,账户期初,2,0),0)+SUMIFS($J$4:J1092,$C$4:C1092,$C1092)-SUMIFS($K$4:K1092,$C$4:C1092,$C1092),2))</f>
        <v/>
      </c>
      <c r="M1092" s="19">
        <f>IF($C1092="","",ROUND(SUM(基础资料!$B$4:$B$13)+SUM($J$4:J1092)-SUM($K$4:K1092),2))</f>
        <v/>
      </c>
      <c r="N1092" s="13" t="n"/>
      <c r="O1092" s="13" t="n"/>
      <c r="P1092" s="17">
        <f>IF($B1092="","",IF($F1092="※类别不在基础资料里","※费用类别不在基础资料里",IF(AND(N($J1092)=0,N($K1092)=0),"※这行没填金额",IF(AND(N($J1092)&gt;0,N($K1092)&gt;0),"※收入和支出不能同一行都填",IF(AND($D1092="收入",N($J1092)=0),"※收入行要填收入金额",IF(AND($D1092="支出",N($K1092)=0),"※支出行要填支出金额",IF(AND($C1092&lt;&gt;"",ISNA(MATCH($C1092,账户表,0))),"※账户不在基础资料里",IF(AND($G1092&lt;&gt;"",ISNA(MATCH($G1092,项目名表,0))),"※项目不在项目台账里",IF(AND(LEFT($F1092,3)="成本-",$G1092=""),"※成本类支出没填项目",IF(AND(LEFT($F1092,3)="成本-",$H1092&lt;&gt;"",N($K1092)&gt;0,COUNTIFS(采购单!$B:$B,$B1092,采购单!$C:$C,$H1092,采购单!$L:$L,$K1092)&gt;0),"※这笔可能和采购单重复了",""))))))))))</f>
        <v/>
      </c>
    </row>
    <row r="1093">
      <c r="A1093" s="17">
        <f>IF($B1093="","",ROW()-3)</f>
        <v/>
      </c>
      <c r="B1093" s="18" t="n"/>
      <c r="C1093" s="13" t="n"/>
      <c r="D1093" s="13" t="n"/>
      <c r="E1093" s="13" t="n"/>
      <c r="F1093" s="17">
        <f>IF($E1093="","",IFERROR(VLOOKUP($E1093,类别归属,2,0),"※类别不在基础资料里"))</f>
        <v/>
      </c>
      <c r="G1093" s="13" t="n"/>
      <c r="H1093" s="13" t="n"/>
      <c r="I1093" s="13" t="n"/>
      <c r="J1093" s="14" t="n"/>
      <c r="K1093" s="14" t="n"/>
      <c r="L1093" s="19">
        <f>IF($C1093="","",ROUND(IFERROR(VLOOKUP($C1093,账户期初,2,0),0)+SUMIFS($J$4:J1093,$C$4:C1093,$C1093)-SUMIFS($K$4:K1093,$C$4:C1093,$C1093),2))</f>
        <v/>
      </c>
      <c r="M1093" s="19">
        <f>IF($C1093="","",ROUND(SUM(基础资料!$B$4:$B$13)+SUM($J$4:J1093)-SUM($K$4:K1093),2))</f>
        <v/>
      </c>
      <c r="N1093" s="13" t="n"/>
      <c r="O1093" s="13" t="n"/>
      <c r="P1093" s="17">
        <f>IF($B1093="","",IF($F1093="※类别不在基础资料里","※费用类别不在基础资料里",IF(AND(N($J1093)=0,N($K1093)=0),"※这行没填金额",IF(AND(N($J1093)&gt;0,N($K1093)&gt;0),"※收入和支出不能同一行都填",IF(AND($D1093="收入",N($J1093)=0),"※收入行要填收入金额",IF(AND($D1093="支出",N($K1093)=0),"※支出行要填支出金额",IF(AND($C1093&lt;&gt;"",ISNA(MATCH($C1093,账户表,0))),"※账户不在基础资料里",IF(AND($G1093&lt;&gt;"",ISNA(MATCH($G1093,项目名表,0))),"※项目不在项目台账里",IF(AND(LEFT($F1093,3)="成本-",$G1093=""),"※成本类支出没填项目",IF(AND(LEFT($F1093,3)="成本-",$H1093&lt;&gt;"",N($K1093)&gt;0,COUNTIFS(采购单!$B:$B,$B1093,采购单!$C:$C,$H1093,采购单!$L:$L,$K1093)&gt;0),"※这笔可能和采购单重复了",""))))))))))</f>
        <v/>
      </c>
    </row>
    <row r="1094">
      <c r="A1094" s="17">
        <f>IF($B1094="","",ROW()-3)</f>
        <v/>
      </c>
      <c r="B1094" s="18" t="n"/>
      <c r="C1094" s="13" t="n"/>
      <c r="D1094" s="13" t="n"/>
      <c r="E1094" s="13" t="n"/>
      <c r="F1094" s="17">
        <f>IF($E1094="","",IFERROR(VLOOKUP($E1094,类别归属,2,0),"※类别不在基础资料里"))</f>
        <v/>
      </c>
      <c r="G1094" s="13" t="n"/>
      <c r="H1094" s="13" t="n"/>
      <c r="I1094" s="13" t="n"/>
      <c r="J1094" s="14" t="n"/>
      <c r="K1094" s="14" t="n"/>
      <c r="L1094" s="19">
        <f>IF($C1094="","",ROUND(IFERROR(VLOOKUP($C1094,账户期初,2,0),0)+SUMIFS($J$4:J1094,$C$4:C1094,$C1094)-SUMIFS($K$4:K1094,$C$4:C1094,$C1094),2))</f>
        <v/>
      </c>
      <c r="M1094" s="19">
        <f>IF($C1094="","",ROUND(SUM(基础资料!$B$4:$B$13)+SUM($J$4:J1094)-SUM($K$4:K1094),2))</f>
        <v/>
      </c>
      <c r="N1094" s="13" t="n"/>
      <c r="O1094" s="13" t="n"/>
      <c r="P1094" s="17">
        <f>IF($B1094="","",IF($F1094="※类别不在基础资料里","※费用类别不在基础资料里",IF(AND(N($J1094)=0,N($K1094)=0),"※这行没填金额",IF(AND(N($J1094)&gt;0,N($K1094)&gt;0),"※收入和支出不能同一行都填",IF(AND($D1094="收入",N($J1094)=0),"※收入行要填收入金额",IF(AND($D1094="支出",N($K1094)=0),"※支出行要填支出金额",IF(AND($C1094&lt;&gt;"",ISNA(MATCH($C1094,账户表,0))),"※账户不在基础资料里",IF(AND($G1094&lt;&gt;"",ISNA(MATCH($G1094,项目名表,0))),"※项目不在项目台账里",IF(AND(LEFT($F1094,3)="成本-",$G1094=""),"※成本类支出没填项目",IF(AND(LEFT($F1094,3)="成本-",$H1094&lt;&gt;"",N($K1094)&gt;0,COUNTIFS(采购单!$B:$B,$B1094,采购单!$C:$C,$H1094,采购单!$L:$L,$K1094)&gt;0),"※这笔可能和采购单重复了",""))))))))))</f>
        <v/>
      </c>
    </row>
    <row r="1095">
      <c r="A1095" s="17">
        <f>IF($B1095="","",ROW()-3)</f>
        <v/>
      </c>
      <c r="B1095" s="18" t="n"/>
      <c r="C1095" s="13" t="n"/>
      <c r="D1095" s="13" t="n"/>
      <c r="E1095" s="13" t="n"/>
      <c r="F1095" s="17">
        <f>IF($E1095="","",IFERROR(VLOOKUP($E1095,类别归属,2,0),"※类别不在基础资料里"))</f>
        <v/>
      </c>
      <c r="G1095" s="13" t="n"/>
      <c r="H1095" s="13" t="n"/>
      <c r="I1095" s="13" t="n"/>
      <c r="J1095" s="14" t="n"/>
      <c r="K1095" s="14" t="n"/>
      <c r="L1095" s="19">
        <f>IF($C1095="","",ROUND(IFERROR(VLOOKUP($C1095,账户期初,2,0),0)+SUMIFS($J$4:J1095,$C$4:C1095,$C1095)-SUMIFS($K$4:K1095,$C$4:C1095,$C1095),2))</f>
        <v/>
      </c>
      <c r="M1095" s="19">
        <f>IF($C1095="","",ROUND(SUM(基础资料!$B$4:$B$13)+SUM($J$4:J1095)-SUM($K$4:K1095),2))</f>
        <v/>
      </c>
      <c r="N1095" s="13" t="n"/>
      <c r="O1095" s="13" t="n"/>
      <c r="P1095" s="17">
        <f>IF($B1095="","",IF($F1095="※类别不在基础资料里","※费用类别不在基础资料里",IF(AND(N($J1095)=0,N($K1095)=0),"※这行没填金额",IF(AND(N($J1095)&gt;0,N($K1095)&gt;0),"※收入和支出不能同一行都填",IF(AND($D1095="收入",N($J1095)=0),"※收入行要填收入金额",IF(AND($D1095="支出",N($K1095)=0),"※支出行要填支出金额",IF(AND($C1095&lt;&gt;"",ISNA(MATCH($C1095,账户表,0))),"※账户不在基础资料里",IF(AND($G1095&lt;&gt;"",ISNA(MATCH($G1095,项目名表,0))),"※项目不在项目台账里",IF(AND(LEFT($F1095,3)="成本-",$G1095=""),"※成本类支出没填项目",IF(AND(LEFT($F1095,3)="成本-",$H1095&lt;&gt;"",N($K1095)&gt;0,COUNTIFS(采购单!$B:$B,$B1095,采购单!$C:$C,$H1095,采购单!$L:$L,$K1095)&gt;0),"※这笔可能和采购单重复了",""))))))))))</f>
        <v/>
      </c>
    </row>
    <row r="1096">
      <c r="A1096" s="17">
        <f>IF($B1096="","",ROW()-3)</f>
        <v/>
      </c>
      <c r="B1096" s="18" t="n"/>
      <c r="C1096" s="13" t="n"/>
      <c r="D1096" s="13" t="n"/>
      <c r="E1096" s="13" t="n"/>
      <c r="F1096" s="17">
        <f>IF($E1096="","",IFERROR(VLOOKUP($E1096,类别归属,2,0),"※类别不在基础资料里"))</f>
        <v/>
      </c>
      <c r="G1096" s="13" t="n"/>
      <c r="H1096" s="13" t="n"/>
      <c r="I1096" s="13" t="n"/>
      <c r="J1096" s="14" t="n"/>
      <c r="K1096" s="14" t="n"/>
      <c r="L1096" s="19">
        <f>IF($C1096="","",ROUND(IFERROR(VLOOKUP($C1096,账户期初,2,0),0)+SUMIFS($J$4:J1096,$C$4:C1096,$C1096)-SUMIFS($K$4:K1096,$C$4:C1096,$C1096),2))</f>
        <v/>
      </c>
      <c r="M1096" s="19">
        <f>IF($C1096="","",ROUND(SUM(基础资料!$B$4:$B$13)+SUM($J$4:J1096)-SUM($K$4:K1096),2))</f>
        <v/>
      </c>
      <c r="N1096" s="13" t="n"/>
      <c r="O1096" s="13" t="n"/>
      <c r="P1096" s="17">
        <f>IF($B1096="","",IF($F1096="※类别不在基础资料里","※费用类别不在基础资料里",IF(AND(N($J1096)=0,N($K1096)=0),"※这行没填金额",IF(AND(N($J1096)&gt;0,N($K1096)&gt;0),"※收入和支出不能同一行都填",IF(AND($D1096="收入",N($J1096)=0),"※收入行要填收入金额",IF(AND($D1096="支出",N($K1096)=0),"※支出行要填支出金额",IF(AND($C1096&lt;&gt;"",ISNA(MATCH($C1096,账户表,0))),"※账户不在基础资料里",IF(AND($G1096&lt;&gt;"",ISNA(MATCH($G1096,项目名表,0))),"※项目不在项目台账里",IF(AND(LEFT($F1096,3)="成本-",$G1096=""),"※成本类支出没填项目",IF(AND(LEFT($F1096,3)="成本-",$H1096&lt;&gt;"",N($K1096)&gt;0,COUNTIFS(采购单!$B:$B,$B1096,采购单!$C:$C,$H1096,采购单!$L:$L,$K1096)&gt;0),"※这笔可能和采购单重复了",""))))))))))</f>
        <v/>
      </c>
    </row>
    <row r="1097">
      <c r="A1097" s="17">
        <f>IF($B1097="","",ROW()-3)</f>
        <v/>
      </c>
      <c r="B1097" s="18" t="n"/>
      <c r="C1097" s="13" t="n"/>
      <c r="D1097" s="13" t="n"/>
      <c r="E1097" s="13" t="n"/>
      <c r="F1097" s="17">
        <f>IF($E1097="","",IFERROR(VLOOKUP($E1097,类别归属,2,0),"※类别不在基础资料里"))</f>
        <v/>
      </c>
      <c r="G1097" s="13" t="n"/>
      <c r="H1097" s="13" t="n"/>
      <c r="I1097" s="13" t="n"/>
      <c r="J1097" s="14" t="n"/>
      <c r="K1097" s="14" t="n"/>
      <c r="L1097" s="19">
        <f>IF($C1097="","",ROUND(IFERROR(VLOOKUP($C1097,账户期初,2,0),0)+SUMIFS($J$4:J1097,$C$4:C1097,$C1097)-SUMIFS($K$4:K1097,$C$4:C1097,$C1097),2))</f>
        <v/>
      </c>
      <c r="M1097" s="19">
        <f>IF($C1097="","",ROUND(SUM(基础资料!$B$4:$B$13)+SUM($J$4:J1097)-SUM($K$4:K1097),2))</f>
        <v/>
      </c>
      <c r="N1097" s="13" t="n"/>
      <c r="O1097" s="13" t="n"/>
      <c r="P1097" s="17">
        <f>IF($B1097="","",IF($F1097="※类别不在基础资料里","※费用类别不在基础资料里",IF(AND(N($J1097)=0,N($K1097)=0),"※这行没填金额",IF(AND(N($J1097)&gt;0,N($K1097)&gt;0),"※收入和支出不能同一行都填",IF(AND($D1097="收入",N($J1097)=0),"※收入行要填收入金额",IF(AND($D1097="支出",N($K1097)=0),"※支出行要填支出金额",IF(AND($C1097&lt;&gt;"",ISNA(MATCH($C1097,账户表,0))),"※账户不在基础资料里",IF(AND($G1097&lt;&gt;"",ISNA(MATCH($G1097,项目名表,0))),"※项目不在项目台账里",IF(AND(LEFT($F1097,3)="成本-",$G1097=""),"※成本类支出没填项目",IF(AND(LEFT($F1097,3)="成本-",$H1097&lt;&gt;"",N($K1097)&gt;0,COUNTIFS(采购单!$B:$B,$B1097,采购单!$C:$C,$H1097,采购单!$L:$L,$K1097)&gt;0),"※这笔可能和采购单重复了",""))))))))))</f>
        <v/>
      </c>
    </row>
    <row r="1098">
      <c r="A1098" s="17">
        <f>IF($B1098="","",ROW()-3)</f>
        <v/>
      </c>
      <c r="B1098" s="18" t="n"/>
      <c r="C1098" s="13" t="n"/>
      <c r="D1098" s="13" t="n"/>
      <c r="E1098" s="13" t="n"/>
      <c r="F1098" s="17">
        <f>IF($E1098="","",IFERROR(VLOOKUP($E1098,类别归属,2,0),"※类别不在基础资料里"))</f>
        <v/>
      </c>
      <c r="G1098" s="13" t="n"/>
      <c r="H1098" s="13" t="n"/>
      <c r="I1098" s="13" t="n"/>
      <c r="J1098" s="14" t="n"/>
      <c r="K1098" s="14" t="n"/>
      <c r="L1098" s="19">
        <f>IF($C1098="","",ROUND(IFERROR(VLOOKUP($C1098,账户期初,2,0),0)+SUMIFS($J$4:J1098,$C$4:C1098,$C1098)-SUMIFS($K$4:K1098,$C$4:C1098,$C1098),2))</f>
        <v/>
      </c>
      <c r="M1098" s="19">
        <f>IF($C1098="","",ROUND(SUM(基础资料!$B$4:$B$13)+SUM($J$4:J1098)-SUM($K$4:K1098),2))</f>
        <v/>
      </c>
      <c r="N1098" s="13" t="n"/>
      <c r="O1098" s="13" t="n"/>
      <c r="P1098" s="17">
        <f>IF($B1098="","",IF($F1098="※类别不在基础资料里","※费用类别不在基础资料里",IF(AND(N($J1098)=0,N($K1098)=0),"※这行没填金额",IF(AND(N($J1098)&gt;0,N($K1098)&gt;0),"※收入和支出不能同一行都填",IF(AND($D1098="收入",N($J1098)=0),"※收入行要填收入金额",IF(AND($D1098="支出",N($K1098)=0),"※支出行要填支出金额",IF(AND($C1098&lt;&gt;"",ISNA(MATCH($C1098,账户表,0))),"※账户不在基础资料里",IF(AND($G1098&lt;&gt;"",ISNA(MATCH($G1098,项目名表,0))),"※项目不在项目台账里",IF(AND(LEFT($F1098,3)="成本-",$G1098=""),"※成本类支出没填项目",IF(AND(LEFT($F1098,3)="成本-",$H1098&lt;&gt;"",N($K1098)&gt;0,COUNTIFS(采购单!$B:$B,$B1098,采购单!$C:$C,$H1098,采购单!$L:$L,$K1098)&gt;0),"※这笔可能和采购单重复了",""))))))))))</f>
        <v/>
      </c>
    </row>
    <row r="1099">
      <c r="A1099" s="17">
        <f>IF($B1099="","",ROW()-3)</f>
        <v/>
      </c>
      <c r="B1099" s="18" t="n"/>
      <c r="C1099" s="13" t="n"/>
      <c r="D1099" s="13" t="n"/>
      <c r="E1099" s="13" t="n"/>
      <c r="F1099" s="17">
        <f>IF($E1099="","",IFERROR(VLOOKUP($E1099,类别归属,2,0),"※类别不在基础资料里"))</f>
        <v/>
      </c>
      <c r="G1099" s="13" t="n"/>
      <c r="H1099" s="13" t="n"/>
      <c r="I1099" s="13" t="n"/>
      <c r="J1099" s="14" t="n"/>
      <c r="K1099" s="14" t="n"/>
      <c r="L1099" s="19">
        <f>IF($C1099="","",ROUND(IFERROR(VLOOKUP($C1099,账户期初,2,0),0)+SUMIFS($J$4:J1099,$C$4:C1099,$C1099)-SUMIFS($K$4:K1099,$C$4:C1099,$C1099),2))</f>
        <v/>
      </c>
      <c r="M1099" s="19">
        <f>IF($C1099="","",ROUND(SUM(基础资料!$B$4:$B$13)+SUM($J$4:J1099)-SUM($K$4:K1099),2))</f>
        <v/>
      </c>
      <c r="N1099" s="13" t="n"/>
      <c r="O1099" s="13" t="n"/>
      <c r="P1099" s="17">
        <f>IF($B1099="","",IF($F1099="※类别不在基础资料里","※费用类别不在基础资料里",IF(AND(N($J1099)=0,N($K1099)=0),"※这行没填金额",IF(AND(N($J1099)&gt;0,N($K1099)&gt;0),"※收入和支出不能同一行都填",IF(AND($D1099="收入",N($J1099)=0),"※收入行要填收入金额",IF(AND($D1099="支出",N($K1099)=0),"※支出行要填支出金额",IF(AND($C1099&lt;&gt;"",ISNA(MATCH($C1099,账户表,0))),"※账户不在基础资料里",IF(AND($G1099&lt;&gt;"",ISNA(MATCH($G1099,项目名表,0))),"※项目不在项目台账里",IF(AND(LEFT($F1099,3)="成本-",$G1099=""),"※成本类支出没填项目",IF(AND(LEFT($F1099,3)="成本-",$H1099&lt;&gt;"",N($K1099)&gt;0,COUNTIFS(采购单!$B:$B,$B1099,采购单!$C:$C,$H1099,采购单!$L:$L,$K1099)&gt;0),"※这笔可能和采购单重复了",""))))))))))</f>
        <v/>
      </c>
    </row>
    <row r="1100">
      <c r="A1100" s="17">
        <f>IF($B1100="","",ROW()-3)</f>
        <v/>
      </c>
      <c r="B1100" s="18" t="n"/>
      <c r="C1100" s="13" t="n"/>
      <c r="D1100" s="13" t="n"/>
      <c r="E1100" s="13" t="n"/>
      <c r="F1100" s="17">
        <f>IF($E1100="","",IFERROR(VLOOKUP($E1100,类别归属,2,0),"※类别不在基础资料里"))</f>
        <v/>
      </c>
      <c r="G1100" s="13" t="n"/>
      <c r="H1100" s="13" t="n"/>
      <c r="I1100" s="13" t="n"/>
      <c r="J1100" s="14" t="n"/>
      <c r="K1100" s="14" t="n"/>
      <c r="L1100" s="19">
        <f>IF($C1100="","",ROUND(IFERROR(VLOOKUP($C1100,账户期初,2,0),0)+SUMIFS($J$4:J1100,$C$4:C1100,$C1100)-SUMIFS($K$4:K1100,$C$4:C1100,$C1100),2))</f>
        <v/>
      </c>
      <c r="M1100" s="19">
        <f>IF($C1100="","",ROUND(SUM(基础资料!$B$4:$B$13)+SUM($J$4:J1100)-SUM($K$4:K1100),2))</f>
        <v/>
      </c>
      <c r="N1100" s="13" t="n"/>
      <c r="O1100" s="13" t="n"/>
      <c r="P1100" s="17">
        <f>IF($B1100="","",IF($F1100="※类别不在基础资料里","※费用类别不在基础资料里",IF(AND(N($J1100)=0,N($K1100)=0),"※这行没填金额",IF(AND(N($J1100)&gt;0,N($K1100)&gt;0),"※收入和支出不能同一行都填",IF(AND($D1100="收入",N($J1100)=0),"※收入行要填收入金额",IF(AND($D1100="支出",N($K1100)=0),"※支出行要填支出金额",IF(AND($C1100&lt;&gt;"",ISNA(MATCH($C1100,账户表,0))),"※账户不在基础资料里",IF(AND($G1100&lt;&gt;"",ISNA(MATCH($G1100,项目名表,0))),"※项目不在项目台账里",IF(AND(LEFT($F1100,3)="成本-",$G1100=""),"※成本类支出没填项目",IF(AND(LEFT($F1100,3)="成本-",$H1100&lt;&gt;"",N($K1100)&gt;0,COUNTIFS(采购单!$B:$B,$B1100,采购单!$C:$C,$H1100,采购单!$L:$L,$K1100)&gt;0),"※这笔可能和采购单重复了",""))))))))))</f>
        <v/>
      </c>
    </row>
    <row r="1101">
      <c r="A1101" s="17">
        <f>IF($B1101="","",ROW()-3)</f>
        <v/>
      </c>
      <c r="B1101" s="18" t="n"/>
      <c r="C1101" s="13" t="n"/>
      <c r="D1101" s="13" t="n"/>
      <c r="E1101" s="13" t="n"/>
      <c r="F1101" s="17">
        <f>IF($E1101="","",IFERROR(VLOOKUP($E1101,类别归属,2,0),"※类别不在基础资料里"))</f>
        <v/>
      </c>
      <c r="G1101" s="13" t="n"/>
      <c r="H1101" s="13" t="n"/>
      <c r="I1101" s="13" t="n"/>
      <c r="J1101" s="14" t="n"/>
      <c r="K1101" s="14" t="n"/>
      <c r="L1101" s="19">
        <f>IF($C1101="","",ROUND(IFERROR(VLOOKUP($C1101,账户期初,2,0),0)+SUMIFS($J$4:J1101,$C$4:C1101,$C1101)-SUMIFS($K$4:K1101,$C$4:C1101,$C1101),2))</f>
        <v/>
      </c>
      <c r="M1101" s="19">
        <f>IF($C1101="","",ROUND(SUM(基础资料!$B$4:$B$13)+SUM($J$4:J1101)-SUM($K$4:K1101),2))</f>
        <v/>
      </c>
      <c r="N1101" s="13" t="n"/>
      <c r="O1101" s="13" t="n"/>
      <c r="P1101" s="17">
        <f>IF($B1101="","",IF($F1101="※类别不在基础资料里","※费用类别不在基础资料里",IF(AND(N($J1101)=0,N($K1101)=0),"※这行没填金额",IF(AND(N($J1101)&gt;0,N($K1101)&gt;0),"※收入和支出不能同一行都填",IF(AND($D1101="收入",N($J1101)=0),"※收入行要填收入金额",IF(AND($D1101="支出",N($K1101)=0),"※支出行要填支出金额",IF(AND($C1101&lt;&gt;"",ISNA(MATCH($C1101,账户表,0))),"※账户不在基础资料里",IF(AND($G1101&lt;&gt;"",ISNA(MATCH($G1101,项目名表,0))),"※项目不在项目台账里",IF(AND(LEFT($F1101,3)="成本-",$G1101=""),"※成本类支出没填项目",IF(AND(LEFT($F1101,3)="成本-",$H1101&lt;&gt;"",N($K1101)&gt;0,COUNTIFS(采购单!$B:$B,$B1101,采购单!$C:$C,$H1101,采购单!$L:$L,$K1101)&gt;0),"※这笔可能和采购单重复了",""))))))))))</f>
        <v/>
      </c>
    </row>
    <row r="1102">
      <c r="A1102" s="17">
        <f>IF($B1102="","",ROW()-3)</f>
        <v/>
      </c>
      <c r="B1102" s="18" t="n"/>
      <c r="C1102" s="13" t="n"/>
      <c r="D1102" s="13" t="n"/>
      <c r="E1102" s="13" t="n"/>
      <c r="F1102" s="17">
        <f>IF($E1102="","",IFERROR(VLOOKUP($E1102,类别归属,2,0),"※类别不在基础资料里"))</f>
        <v/>
      </c>
      <c r="G1102" s="13" t="n"/>
      <c r="H1102" s="13" t="n"/>
      <c r="I1102" s="13" t="n"/>
      <c r="J1102" s="14" t="n"/>
      <c r="K1102" s="14" t="n"/>
      <c r="L1102" s="19">
        <f>IF($C1102="","",ROUND(IFERROR(VLOOKUP($C1102,账户期初,2,0),0)+SUMIFS($J$4:J1102,$C$4:C1102,$C1102)-SUMIFS($K$4:K1102,$C$4:C1102,$C1102),2))</f>
        <v/>
      </c>
      <c r="M1102" s="19">
        <f>IF($C1102="","",ROUND(SUM(基础资料!$B$4:$B$13)+SUM($J$4:J1102)-SUM($K$4:K1102),2))</f>
        <v/>
      </c>
      <c r="N1102" s="13" t="n"/>
      <c r="O1102" s="13" t="n"/>
      <c r="P1102" s="17">
        <f>IF($B1102="","",IF($F1102="※类别不在基础资料里","※费用类别不在基础资料里",IF(AND(N($J1102)=0,N($K1102)=0),"※这行没填金额",IF(AND(N($J1102)&gt;0,N($K1102)&gt;0),"※收入和支出不能同一行都填",IF(AND($D1102="收入",N($J1102)=0),"※收入行要填收入金额",IF(AND($D1102="支出",N($K1102)=0),"※支出行要填支出金额",IF(AND($C1102&lt;&gt;"",ISNA(MATCH($C1102,账户表,0))),"※账户不在基础资料里",IF(AND($G1102&lt;&gt;"",ISNA(MATCH($G1102,项目名表,0))),"※项目不在项目台账里",IF(AND(LEFT($F1102,3)="成本-",$G1102=""),"※成本类支出没填项目",IF(AND(LEFT($F1102,3)="成本-",$H1102&lt;&gt;"",N($K1102)&gt;0,COUNTIFS(采购单!$B:$B,$B1102,采购单!$C:$C,$H1102,采购单!$L:$L,$K1102)&gt;0),"※这笔可能和采购单重复了",""))))))))))</f>
        <v/>
      </c>
    </row>
    <row r="1103">
      <c r="A1103" s="17">
        <f>IF($B1103="","",ROW()-3)</f>
        <v/>
      </c>
      <c r="B1103" s="18" t="n"/>
      <c r="C1103" s="13" t="n"/>
      <c r="D1103" s="13" t="n"/>
      <c r="E1103" s="13" t="n"/>
      <c r="F1103" s="17">
        <f>IF($E1103="","",IFERROR(VLOOKUP($E1103,类别归属,2,0),"※类别不在基础资料里"))</f>
        <v/>
      </c>
      <c r="G1103" s="13" t="n"/>
      <c r="H1103" s="13" t="n"/>
      <c r="I1103" s="13" t="n"/>
      <c r="J1103" s="14" t="n"/>
      <c r="K1103" s="14" t="n"/>
      <c r="L1103" s="19">
        <f>IF($C1103="","",ROUND(IFERROR(VLOOKUP($C1103,账户期初,2,0),0)+SUMIFS($J$4:J1103,$C$4:C1103,$C1103)-SUMIFS($K$4:K1103,$C$4:C1103,$C1103),2))</f>
        <v/>
      </c>
      <c r="M1103" s="19">
        <f>IF($C1103="","",ROUND(SUM(基础资料!$B$4:$B$13)+SUM($J$4:J1103)-SUM($K$4:K1103),2))</f>
        <v/>
      </c>
      <c r="N1103" s="13" t="n"/>
      <c r="O1103" s="13" t="n"/>
      <c r="P1103" s="17">
        <f>IF($B1103="","",IF($F1103="※类别不在基础资料里","※费用类别不在基础资料里",IF(AND(N($J1103)=0,N($K1103)=0),"※这行没填金额",IF(AND(N($J1103)&gt;0,N($K1103)&gt;0),"※收入和支出不能同一行都填",IF(AND($D1103="收入",N($J1103)=0),"※收入行要填收入金额",IF(AND($D1103="支出",N($K1103)=0),"※支出行要填支出金额",IF(AND($C1103&lt;&gt;"",ISNA(MATCH($C1103,账户表,0))),"※账户不在基础资料里",IF(AND($G1103&lt;&gt;"",ISNA(MATCH($G1103,项目名表,0))),"※项目不在项目台账里",IF(AND(LEFT($F1103,3)="成本-",$G1103=""),"※成本类支出没填项目",IF(AND(LEFT($F1103,3)="成本-",$H1103&lt;&gt;"",N($K1103)&gt;0,COUNTIFS(采购单!$B:$B,$B1103,采购单!$C:$C,$H1103,采购单!$L:$L,$K1103)&gt;0),"※这笔可能和采购单重复了",""))))))))))</f>
        <v/>
      </c>
    </row>
    <row r="1104">
      <c r="A1104" s="17">
        <f>IF($B1104="","",ROW()-3)</f>
        <v/>
      </c>
      <c r="B1104" s="18" t="n"/>
      <c r="C1104" s="13" t="n"/>
      <c r="D1104" s="13" t="n"/>
      <c r="E1104" s="13" t="n"/>
      <c r="F1104" s="17">
        <f>IF($E1104="","",IFERROR(VLOOKUP($E1104,类别归属,2,0),"※类别不在基础资料里"))</f>
        <v/>
      </c>
      <c r="G1104" s="13" t="n"/>
      <c r="H1104" s="13" t="n"/>
      <c r="I1104" s="13" t="n"/>
      <c r="J1104" s="14" t="n"/>
      <c r="K1104" s="14" t="n"/>
      <c r="L1104" s="19">
        <f>IF($C1104="","",ROUND(IFERROR(VLOOKUP($C1104,账户期初,2,0),0)+SUMIFS($J$4:J1104,$C$4:C1104,$C1104)-SUMIFS($K$4:K1104,$C$4:C1104,$C1104),2))</f>
        <v/>
      </c>
      <c r="M1104" s="19">
        <f>IF($C1104="","",ROUND(SUM(基础资料!$B$4:$B$13)+SUM($J$4:J1104)-SUM($K$4:K1104),2))</f>
        <v/>
      </c>
      <c r="N1104" s="13" t="n"/>
      <c r="O1104" s="13" t="n"/>
      <c r="P1104" s="17">
        <f>IF($B1104="","",IF($F1104="※类别不在基础资料里","※费用类别不在基础资料里",IF(AND(N($J1104)=0,N($K1104)=0),"※这行没填金额",IF(AND(N($J1104)&gt;0,N($K1104)&gt;0),"※收入和支出不能同一行都填",IF(AND($D1104="收入",N($J1104)=0),"※收入行要填收入金额",IF(AND($D1104="支出",N($K1104)=0),"※支出行要填支出金额",IF(AND($C1104&lt;&gt;"",ISNA(MATCH($C1104,账户表,0))),"※账户不在基础资料里",IF(AND($G1104&lt;&gt;"",ISNA(MATCH($G1104,项目名表,0))),"※项目不在项目台账里",IF(AND(LEFT($F1104,3)="成本-",$G1104=""),"※成本类支出没填项目",IF(AND(LEFT($F1104,3)="成本-",$H1104&lt;&gt;"",N($K1104)&gt;0,COUNTIFS(采购单!$B:$B,$B1104,采购单!$C:$C,$H1104,采购单!$L:$L,$K1104)&gt;0),"※这笔可能和采购单重复了",""))))))))))</f>
        <v/>
      </c>
    </row>
    <row r="1105">
      <c r="A1105" s="17">
        <f>IF($B1105="","",ROW()-3)</f>
        <v/>
      </c>
      <c r="B1105" s="18" t="n"/>
      <c r="C1105" s="13" t="n"/>
      <c r="D1105" s="13" t="n"/>
      <c r="E1105" s="13" t="n"/>
      <c r="F1105" s="17">
        <f>IF($E1105="","",IFERROR(VLOOKUP($E1105,类别归属,2,0),"※类别不在基础资料里"))</f>
        <v/>
      </c>
      <c r="G1105" s="13" t="n"/>
      <c r="H1105" s="13" t="n"/>
      <c r="I1105" s="13" t="n"/>
      <c r="J1105" s="14" t="n"/>
      <c r="K1105" s="14" t="n"/>
      <c r="L1105" s="19">
        <f>IF($C1105="","",ROUND(IFERROR(VLOOKUP($C1105,账户期初,2,0),0)+SUMIFS($J$4:J1105,$C$4:C1105,$C1105)-SUMIFS($K$4:K1105,$C$4:C1105,$C1105),2))</f>
        <v/>
      </c>
      <c r="M1105" s="19">
        <f>IF($C1105="","",ROUND(SUM(基础资料!$B$4:$B$13)+SUM($J$4:J1105)-SUM($K$4:K1105),2))</f>
        <v/>
      </c>
      <c r="N1105" s="13" t="n"/>
      <c r="O1105" s="13" t="n"/>
      <c r="P1105" s="17">
        <f>IF($B1105="","",IF($F1105="※类别不在基础资料里","※费用类别不在基础资料里",IF(AND(N($J1105)=0,N($K1105)=0),"※这行没填金额",IF(AND(N($J1105)&gt;0,N($K1105)&gt;0),"※收入和支出不能同一行都填",IF(AND($D1105="收入",N($J1105)=0),"※收入行要填收入金额",IF(AND($D1105="支出",N($K1105)=0),"※支出行要填支出金额",IF(AND($C1105&lt;&gt;"",ISNA(MATCH($C1105,账户表,0))),"※账户不在基础资料里",IF(AND($G1105&lt;&gt;"",ISNA(MATCH($G1105,项目名表,0))),"※项目不在项目台账里",IF(AND(LEFT($F1105,3)="成本-",$G1105=""),"※成本类支出没填项目",IF(AND(LEFT($F1105,3)="成本-",$H1105&lt;&gt;"",N($K1105)&gt;0,COUNTIFS(采购单!$B:$B,$B1105,采购单!$C:$C,$H1105,采购单!$L:$L,$K1105)&gt;0),"※这笔可能和采购单重复了",""))))))))))</f>
        <v/>
      </c>
    </row>
    <row r="1106">
      <c r="A1106" s="17">
        <f>IF($B1106="","",ROW()-3)</f>
        <v/>
      </c>
      <c r="B1106" s="18" t="n"/>
      <c r="C1106" s="13" t="n"/>
      <c r="D1106" s="13" t="n"/>
      <c r="E1106" s="13" t="n"/>
      <c r="F1106" s="17">
        <f>IF($E1106="","",IFERROR(VLOOKUP($E1106,类别归属,2,0),"※类别不在基础资料里"))</f>
        <v/>
      </c>
      <c r="G1106" s="13" t="n"/>
      <c r="H1106" s="13" t="n"/>
      <c r="I1106" s="13" t="n"/>
      <c r="J1106" s="14" t="n"/>
      <c r="K1106" s="14" t="n"/>
      <c r="L1106" s="19">
        <f>IF($C1106="","",ROUND(IFERROR(VLOOKUP($C1106,账户期初,2,0),0)+SUMIFS($J$4:J1106,$C$4:C1106,$C1106)-SUMIFS($K$4:K1106,$C$4:C1106,$C1106),2))</f>
        <v/>
      </c>
      <c r="M1106" s="19">
        <f>IF($C1106="","",ROUND(SUM(基础资料!$B$4:$B$13)+SUM($J$4:J1106)-SUM($K$4:K1106),2))</f>
        <v/>
      </c>
      <c r="N1106" s="13" t="n"/>
      <c r="O1106" s="13" t="n"/>
      <c r="P1106" s="17">
        <f>IF($B1106="","",IF($F1106="※类别不在基础资料里","※费用类别不在基础资料里",IF(AND(N($J1106)=0,N($K1106)=0),"※这行没填金额",IF(AND(N($J1106)&gt;0,N($K1106)&gt;0),"※收入和支出不能同一行都填",IF(AND($D1106="收入",N($J1106)=0),"※收入行要填收入金额",IF(AND($D1106="支出",N($K1106)=0),"※支出行要填支出金额",IF(AND($C1106&lt;&gt;"",ISNA(MATCH($C1106,账户表,0))),"※账户不在基础资料里",IF(AND($G1106&lt;&gt;"",ISNA(MATCH($G1106,项目名表,0))),"※项目不在项目台账里",IF(AND(LEFT($F1106,3)="成本-",$G1106=""),"※成本类支出没填项目",IF(AND(LEFT($F1106,3)="成本-",$H1106&lt;&gt;"",N($K1106)&gt;0,COUNTIFS(采购单!$B:$B,$B1106,采购单!$C:$C,$H1106,采购单!$L:$L,$K1106)&gt;0),"※这笔可能和采购单重复了",""))))))))))</f>
        <v/>
      </c>
    </row>
    <row r="1107">
      <c r="A1107" s="17">
        <f>IF($B1107="","",ROW()-3)</f>
        <v/>
      </c>
      <c r="B1107" s="18" t="n"/>
      <c r="C1107" s="13" t="n"/>
      <c r="D1107" s="13" t="n"/>
      <c r="E1107" s="13" t="n"/>
      <c r="F1107" s="17">
        <f>IF($E1107="","",IFERROR(VLOOKUP($E1107,类别归属,2,0),"※类别不在基础资料里"))</f>
        <v/>
      </c>
      <c r="G1107" s="13" t="n"/>
      <c r="H1107" s="13" t="n"/>
      <c r="I1107" s="13" t="n"/>
      <c r="J1107" s="14" t="n"/>
      <c r="K1107" s="14" t="n"/>
      <c r="L1107" s="19">
        <f>IF($C1107="","",ROUND(IFERROR(VLOOKUP($C1107,账户期初,2,0),0)+SUMIFS($J$4:J1107,$C$4:C1107,$C1107)-SUMIFS($K$4:K1107,$C$4:C1107,$C1107),2))</f>
        <v/>
      </c>
      <c r="M1107" s="19">
        <f>IF($C1107="","",ROUND(SUM(基础资料!$B$4:$B$13)+SUM($J$4:J1107)-SUM($K$4:K1107),2))</f>
        <v/>
      </c>
      <c r="N1107" s="13" t="n"/>
      <c r="O1107" s="13" t="n"/>
      <c r="P1107" s="17">
        <f>IF($B1107="","",IF($F1107="※类别不在基础资料里","※费用类别不在基础资料里",IF(AND(N($J1107)=0,N($K1107)=0),"※这行没填金额",IF(AND(N($J1107)&gt;0,N($K1107)&gt;0),"※收入和支出不能同一行都填",IF(AND($D1107="收入",N($J1107)=0),"※收入行要填收入金额",IF(AND($D1107="支出",N($K1107)=0),"※支出行要填支出金额",IF(AND($C1107&lt;&gt;"",ISNA(MATCH($C1107,账户表,0))),"※账户不在基础资料里",IF(AND($G1107&lt;&gt;"",ISNA(MATCH($G1107,项目名表,0))),"※项目不在项目台账里",IF(AND(LEFT($F1107,3)="成本-",$G1107=""),"※成本类支出没填项目",IF(AND(LEFT($F1107,3)="成本-",$H1107&lt;&gt;"",N($K1107)&gt;0,COUNTIFS(采购单!$B:$B,$B1107,采购单!$C:$C,$H1107,采购单!$L:$L,$K1107)&gt;0),"※这笔可能和采购单重复了",""))))))))))</f>
        <v/>
      </c>
    </row>
    <row r="1108">
      <c r="A1108" s="17">
        <f>IF($B1108="","",ROW()-3)</f>
        <v/>
      </c>
      <c r="B1108" s="18" t="n"/>
      <c r="C1108" s="13" t="n"/>
      <c r="D1108" s="13" t="n"/>
      <c r="E1108" s="13" t="n"/>
      <c r="F1108" s="17">
        <f>IF($E1108="","",IFERROR(VLOOKUP($E1108,类别归属,2,0),"※类别不在基础资料里"))</f>
        <v/>
      </c>
      <c r="G1108" s="13" t="n"/>
      <c r="H1108" s="13" t="n"/>
      <c r="I1108" s="13" t="n"/>
      <c r="J1108" s="14" t="n"/>
      <c r="K1108" s="14" t="n"/>
      <c r="L1108" s="19">
        <f>IF($C1108="","",ROUND(IFERROR(VLOOKUP($C1108,账户期初,2,0),0)+SUMIFS($J$4:J1108,$C$4:C1108,$C1108)-SUMIFS($K$4:K1108,$C$4:C1108,$C1108),2))</f>
        <v/>
      </c>
      <c r="M1108" s="19">
        <f>IF($C1108="","",ROUND(SUM(基础资料!$B$4:$B$13)+SUM($J$4:J1108)-SUM($K$4:K1108),2))</f>
        <v/>
      </c>
      <c r="N1108" s="13" t="n"/>
      <c r="O1108" s="13" t="n"/>
      <c r="P1108" s="17">
        <f>IF($B1108="","",IF($F1108="※类别不在基础资料里","※费用类别不在基础资料里",IF(AND(N($J1108)=0,N($K1108)=0),"※这行没填金额",IF(AND(N($J1108)&gt;0,N($K1108)&gt;0),"※收入和支出不能同一行都填",IF(AND($D1108="收入",N($J1108)=0),"※收入行要填收入金额",IF(AND($D1108="支出",N($K1108)=0),"※支出行要填支出金额",IF(AND($C1108&lt;&gt;"",ISNA(MATCH($C1108,账户表,0))),"※账户不在基础资料里",IF(AND($G1108&lt;&gt;"",ISNA(MATCH($G1108,项目名表,0))),"※项目不在项目台账里",IF(AND(LEFT($F1108,3)="成本-",$G1108=""),"※成本类支出没填项目",IF(AND(LEFT($F1108,3)="成本-",$H1108&lt;&gt;"",N($K1108)&gt;0,COUNTIFS(采购单!$B:$B,$B1108,采购单!$C:$C,$H1108,采购单!$L:$L,$K1108)&gt;0),"※这笔可能和采购单重复了",""))))))))))</f>
        <v/>
      </c>
    </row>
    <row r="1109">
      <c r="A1109" s="17">
        <f>IF($B1109="","",ROW()-3)</f>
        <v/>
      </c>
      <c r="B1109" s="18" t="n"/>
      <c r="C1109" s="13" t="n"/>
      <c r="D1109" s="13" t="n"/>
      <c r="E1109" s="13" t="n"/>
      <c r="F1109" s="17">
        <f>IF($E1109="","",IFERROR(VLOOKUP($E1109,类别归属,2,0),"※类别不在基础资料里"))</f>
        <v/>
      </c>
      <c r="G1109" s="13" t="n"/>
      <c r="H1109" s="13" t="n"/>
      <c r="I1109" s="13" t="n"/>
      <c r="J1109" s="14" t="n"/>
      <c r="K1109" s="14" t="n"/>
      <c r="L1109" s="19">
        <f>IF($C1109="","",ROUND(IFERROR(VLOOKUP($C1109,账户期初,2,0),0)+SUMIFS($J$4:J1109,$C$4:C1109,$C1109)-SUMIFS($K$4:K1109,$C$4:C1109,$C1109),2))</f>
        <v/>
      </c>
      <c r="M1109" s="19">
        <f>IF($C1109="","",ROUND(SUM(基础资料!$B$4:$B$13)+SUM($J$4:J1109)-SUM($K$4:K1109),2))</f>
        <v/>
      </c>
      <c r="N1109" s="13" t="n"/>
      <c r="O1109" s="13" t="n"/>
      <c r="P1109" s="17">
        <f>IF($B1109="","",IF($F1109="※类别不在基础资料里","※费用类别不在基础资料里",IF(AND(N($J1109)=0,N($K1109)=0),"※这行没填金额",IF(AND(N($J1109)&gt;0,N($K1109)&gt;0),"※收入和支出不能同一行都填",IF(AND($D1109="收入",N($J1109)=0),"※收入行要填收入金额",IF(AND($D1109="支出",N($K1109)=0),"※支出行要填支出金额",IF(AND($C1109&lt;&gt;"",ISNA(MATCH($C1109,账户表,0))),"※账户不在基础资料里",IF(AND($G1109&lt;&gt;"",ISNA(MATCH($G1109,项目名表,0))),"※项目不在项目台账里",IF(AND(LEFT($F1109,3)="成本-",$G1109=""),"※成本类支出没填项目",IF(AND(LEFT($F1109,3)="成本-",$H1109&lt;&gt;"",N($K1109)&gt;0,COUNTIFS(采购单!$B:$B,$B1109,采购单!$C:$C,$H1109,采购单!$L:$L,$K1109)&gt;0),"※这笔可能和采购单重复了",""))))))))))</f>
        <v/>
      </c>
    </row>
    <row r="1110">
      <c r="A1110" s="17">
        <f>IF($B1110="","",ROW()-3)</f>
        <v/>
      </c>
      <c r="B1110" s="18" t="n"/>
      <c r="C1110" s="13" t="n"/>
      <c r="D1110" s="13" t="n"/>
      <c r="E1110" s="13" t="n"/>
      <c r="F1110" s="17">
        <f>IF($E1110="","",IFERROR(VLOOKUP($E1110,类别归属,2,0),"※类别不在基础资料里"))</f>
        <v/>
      </c>
      <c r="G1110" s="13" t="n"/>
      <c r="H1110" s="13" t="n"/>
      <c r="I1110" s="13" t="n"/>
      <c r="J1110" s="14" t="n"/>
      <c r="K1110" s="14" t="n"/>
      <c r="L1110" s="19">
        <f>IF($C1110="","",ROUND(IFERROR(VLOOKUP($C1110,账户期初,2,0),0)+SUMIFS($J$4:J1110,$C$4:C1110,$C1110)-SUMIFS($K$4:K1110,$C$4:C1110,$C1110),2))</f>
        <v/>
      </c>
      <c r="M1110" s="19">
        <f>IF($C1110="","",ROUND(SUM(基础资料!$B$4:$B$13)+SUM($J$4:J1110)-SUM($K$4:K1110),2))</f>
        <v/>
      </c>
      <c r="N1110" s="13" t="n"/>
      <c r="O1110" s="13" t="n"/>
      <c r="P1110" s="17">
        <f>IF($B1110="","",IF($F1110="※类别不在基础资料里","※费用类别不在基础资料里",IF(AND(N($J1110)=0,N($K1110)=0),"※这行没填金额",IF(AND(N($J1110)&gt;0,N($K1110)&gt;0),"※收入和支出不能同一行都填",IF(AND($D1110="收入",N($J1110)=0),"※收入行要填收入金额",IF(AND($D1110="支出",N($K1110)=0),"※支出行要填支出金额",IF(AND($C1110&lt;&gt;"",ISNA(MATCH($C1110,账户表,0))),"※账户不在基础资料里",IF(AND($G1110&lt;&gt;"",ISNA(MATCH($G1110,项目名表,0))),"※项目不在项目台账里",IF(AND(LEFT($F1110,3)="成本-",$G1110=""),"※成本类支出没填项目",IF(AND(LEFT($F1110,3)="成本-",$H1110&lt;&gt;"",N($K1110)&gt;0,COUNTIFS(采购单!$B:$B,$B1110,采购单!$C:$C,$H1110,采购单!$L:$L,$K1110)&gt;0),"※这笔可能和采购单重复了",""))))))))))</f>
        <v/>
      </c>
    </row>
    <row r="1111">
      <c r="A1111" s="17">
        <f>IF($B1111="","",ROW()-3)</f>
        <v/>
      </c>
      <c r="B1111" s="18" t="n"/>
      <c r="C1111" s="13" t="n"/>
      <c r="D1111" s="13" t="n"/>
      <c r="E1111" s="13" t="n"/>
      <c r="F1111" s="17">
        <f>IF($E1111="","",IFERROR(VLOOKUP($E1111,类别归属,2,0),"※类别不在基础资料里"))</f>
        <v/>
      </c>
      <c r="G1111" s="13" t="n"/>
      <c r="H1111" s="13" t="n"/>
      <c r="I1111" s="13" t="n"/>
      <c r="J1111" s="14" t="n"/>
      <c r="K1111" s="14" t="n"/>
      <c r="L1111" s="19">
        <f>IF($C1111="","",ROUND(IFERROR(VLOOKUP($C1111,账户期初,2,0),0)+SUMIFS($J$4:J1111,$C$4:C1111,$C1111)-SUMIFS($K$4:K1111,$C$4:C1111,$C1111),2))</f>
        <v/>
      </c>
      <c r="M1111" s="19">
        <f>IF($C1111="","",ROUND(SUM(基础资料!$B$4:$B$13)+SUM($J$4:J1111)-SUM($K$4:K1111),2))</f>
        <v/>
      </c>
      <c r="N1111" s="13" t="n"/>
      <c r="O1111" s="13" t="n"/>
      <c r="P1111" s="17">
        <f>IF($B1111="","",IF($F1111="※类别不在基础资料里","※费用类别不在基础资料里",IF(AND(N($J1111)=0,N($K1111)=0),"※这行没填金额",IF(AND(N($J1111)&gt;0,N($K1111)&gt;0),"※收入和支出不能同一行都填",IF(AND($D1111="收入",N($J1111)=0),"※收入行要填收入金额",IF(AND($D1111="支出",N($K1111)=0),"※支出行要填支出金额",IF(AND($C1111&lt;&gt;"",ISNA(MATCH($C1111,账户表,0))),"※账户不在基础资料里",IF(AND($G1111&lt;&gt;"",ISNA(MATCH($G1111,项目名表,0))),"※项目不在项目台账里",IF(AND(LEFT($F1111,3)="成本-",$G1111=""),"※成本类支出没填项目",IF(AND(LEFT($F1111,3)="成本-",$H1111&lt;&gt;"",N($K1111)&gt;0,COUNTIFS(采购单!$B:$B,$B1111,采购单!$C:$C,$H1111,采购单!$L:$L,$K1111)&gt;0),"※这笔可能和采购单重复了",""))))))))))</f>
        <v/>
      </c>
    </row>
    <row r="1112">
      <c r="A1112" s="17">
        <f>IF($B1112="","",ROW()-3)</f>
        <v/>
      </c>
      <c r="B1112" s="18" t="n"/>
      <c r="C1112" s="13" t="n"/>
      <c r="D1112" s="13" t="n"/>
      <c r="E1112" s="13" t="n"/>
      <c r="F1112" s="17">
        <f>IF($E1112="","",IFERROR(VLOOKUP($E1112,类别归属,2,0),"※类别不在基础资料里"))</f>
        <v/>
      </c>
      <c r="G1112" s="13" t="n"/>
      <c r="H1112" s="13" t="n"/>
      <c r="I1112" s="13" t="n"/>
      <c r="J1112" s="14" t="n"/>
      <c r="K1112" s="14" t="n"/>
      <c r="L1112" s="19">
        <f>IF($C1112="","",ROUND(IFERROR(VLOOKUP($C1112,账户期初,2,0),0)+SUMIFS($J$4:J1112,$C$4:C1112,$C1112)-SUMIFS($K$4:K1112,$C$4:C1112,$C1112),2))</f>
        <v/>
      </c>
      <c r="M1112" s="19">
        <f>IF($C1112="","",ROUND(SUM(基础资料!$B$4:$B$13)+SUM($J$4:J1112)-SUM($K$4:K1112),2))</f>
        <v/>
      </c>
      <c r="N1112" s="13" t="n"/>
      <c r="O1112" s="13" t="n"/>
      <c r="P1112" s="17">
        <f>IF($B1112="","",IF($F1112="※类别不在基础资料里","※费用类别不在基础资料里",IF(AND(N($J1112)=0,N($K1112)=0),"※这行没填金额",IF(AND(N($J1112)&gt;0,N($K1112)&gt;0),"※收入和支出不能同一行都填",IF(AND($D1112="收入",N($J1112)=0),"※收入行要填收入金额",IF(AND($D1112="支出",N($K1112)=0),"※支出行要填支出金额",IF(AND($C1112&lt;&gt;"",ISNA(MATCH($C1112,账户表,0))),"※账户不在基础资料里",IF(AND($G1112&lt;&gt;"",ISNA(MATCH($G1112,项目名表,0))),"※项目不在项目台账里",IF(AND(LEFT($F1112,3)="成本-",$G1112=""),"※成本类支出没填项目",IF(AND(LEFT($F1112,3)="成本-",$H1112&lt;&gt;"",N($K1112)&gt;0,COUNTIFS(采购单!$B:$B,$B1112,采购单!$C:$C,$H1112,采购单!$L:$L,$K1112)&gt;0),"※这笔可能和采购单重复了",""))))))))))</f>
        <v/>
      </c>
    </row>
    <row r="1113">
      <c r="A1113" s="17">
        <f>IF($B1113="","",ROW()-3)</f>
        <v/>
      </c>
      <c r="B1113" s="18" t="n"/>
      <c r="C1113" s="13" t="n"/>
      <c r="D1113" s="13" t="n"/>
      <c r="E1113" s="13" t="n"/>
      <c r="F1113" s="17">
        <f>IF($E1113="","",IFERROR(VLOOKUP($E1113,类别归属,2,0),"※类别不在基础资料里"))</f>
        <v/>
      </c>
      <c r="G1113" s="13" t="n"/>
      <c r="H1113" s="13" t="n"/>
      <c r="I1113" s="13" t="n"/>
      <c r="J1113" s="14" t="n"/>
      <c r="K1113" s="14" t="n"/>
      <c r="L1113" s="19">
        <f>IF($C1113="","",ROUND(IFERROR(VLOOKUP($C1113,账户期初,2,0),0)+SUMIFS($J$4:J1113,$C$4:C1113,$C1113)-SUMIFS($K$4:K1113,$C$4:C1113,$C1113),2))</f>
        <v/>
      </c>
      <c r="M1113" s="19">
        <f>IF($C1113="","",ROUND(SUM(基础资料!$B$4:$B$13)+SUM($J$4:J1113)-SUM($K$4:K1113),2))</f>
        <v/>
      </c>
      <c r="N1113" s="13" t="n"/>
      <c r="O1113" s="13" t="n"/>
      <c r="P1113" s="17">
        <f>IF($B1113="","",IF($F1113="※类别不在基础资料里","※费用类别不在基础资料里",IF(AND(N($J1113)=0,N($K1113)=0),"※这行没填金额",IF(AND(N($J1113)&gt;0,N($K1113)&gt;0),"※收入和支出不能同一行都填",IF(AND($D1113="收入",N($J1113)=0),"※收入行要填收入金额",IF(AND($D1113="支出",N($K1113)=0),"※支出行要填支出金额",IF(AND($C1113&lt;&gt;"",ISNA(MATCH($C1113,账户表,0))),"※账户不在基础资料里",IF(AND($G1113&lt;&gt;"",ISNA(MATCH($G1113,项目名表,0))),"※项目不在项目台账里",IF(AND(LEFT($F1113,3)="成本-",$G1113=""),"※成本类支出没填项目",IF(AND(LEFT($F1113,3)="成本-",$H1113&lt;&gt;"",N($K1113)&gt;0,COUNTIFS(采购单!$B:$B,$B1113,采购单!$C:$C,$H1113,采购单!$L:$L,$K1113)&gt;0),"※这笔可能和采购单重复了",""))))))))))</f>
        <v/>
      </c>
    </row>
    <row r="1114">
      <c r="A1114" s="17">
        <f>IF($B1114="","",ROW()-3)</f>
        <v/>
      </c>
      <c r="B1114" s="18" t="n"/>
      <c r="C1114" s="13" t="n"/>
      <c r="D1114" s="13" t="n"/>
      <c r="E1114" s="13" t="n"/>
      <c r="F1114" s="17">
        <f>IF($E1114="","",IFERROR(VLOOKUP($E1114,类别归属,2,0),"※类别不在基础资料里"))</f>
        <v/>
      </c>
      <c r="G1114" s="13" t="n"/>
      <c r="H1114" s="13" t="n"/>
      <c r="I1114" s="13" t="n"/>
      <c r="J1114" s="14" t="n"/>
      <c r="K1114" s="14" t="n"/>
      <c r="L1114" s="19">
        <f>IF($C1114="","",ROUND(IFERROR(VLOOKUP($C1114,账户期初,2,0),0)+SUMIFS($J$4:J1114,$C$4:C1114,$C1114)-SUMIFS($K$4:K1114,$C$4:C1114,$C1114),2))</f>
        <v/>
      </c>
      <c r="M1114" s="19">
        <f>IF($C1114="","",ROUND(SUM(基础资料!$B$4:$B$13)+SUM($J$4:J1114)-SUM($K$4:K1114),2))</f>
        <v/>
      </c>
      <c r="N1114" s="13" t="n"/>
      <c r="O1114" s="13" t="n"/>
      <c r="P1114" s="17">
        <f>IF($B1114="","",IF($F1114="※类别不在基础资料里","※费用类别不在基础资料里",IF(AND(N($J1114)=0,N($K1114)=0),"※这行没填金额",IF(AND(N($J1114)&gt;0,N($K1114)&gt;0),"※收入和支出不能同一行都填",IF(AND($D1114="收入",N($J1114)=0),"※收入行要填收入金额",IF(AND($D1114="支出",N($K1114)=0),"※支出行要填支出金额",IF(AND($C1114&lt;&gt;"",ISNA(MATCH($C1114,账户表,0))),"※账户不在基础资料里",IF(AND($G1114&lt;&gt;"",ISNA(MATCH($G1114,项目名表,0))),"※项目不在项目台账里",IF(AND(LEFT($F1114,3)="成本-",$G1114=""),"※成本类支出没填项目",IF(AND(LEFT($F1114,3)="成本-",$H1114&lt;&gt;"",N($K1114)&gt;0,COUNTIFS(采购单!$B:$B,$B1114,采购单!$C:$C,$H1114,采购单!$L:$L,$K1114)&gt;0),"※这笔可能和采购单重复了",""))))))))))</f>
        <v/>
      </c>
    </row>
    <row r="1115">
      <c r="A1115" s="17">
        <f>IF($B1115="","",ROW()-3)</f>
        <v/>
      </c>
      <c r="B1115" s="18" t="n"/>
      <c r="C1115" s="13" t="n"/>
      <c r="D1115" s="13" t="n"/>
      <c r="E1115" s="13" t="n"/>
      <c r="F1115" s="17">
        <f>IF($E1115="","",IFERROR(VLOOKUP($E1115,类别归属,2,0),"※类别不在基础资料里"))</f>
        <v/>
      </c>
      <c r="G1115" s="13" t="n"/>
      <c r="H1115" s="13" t="n"/>
      <c r="I1115" s="13" t="n"/>
      <c r="J1115" s="14" t="n"/>
      <c r="K1115" s="14" t="n"/>
      <c r="L1115" s="19">
        <f>IF($C1115="","",ROUND(IFERROR(VLOOKUP($C1115,账户期初,2,0),0)+SUMIFS($J$4:J1115,$C$4:C1115,$C1115)-SUMIFS($K$4:K1115,$C$4:C1115,$C1115),2))</f>
        <v/>
      </c>
      <c r="M1115" s="19">
        <f>IF($C1115="","",ROUND(SUM(基础资料!$B$4:$B$13)+SUM($J$4:J1115)-SUM($K$4:K1115),2))</f>
        <v/>
      </c>
      <c r="N1115" s="13" t="n"/>
      <c r="O1115" s="13" t="n"/>
      <c r="P1115" s="17">
        <f>IF($B1115="","",IF($F1115="※类别不在基础资料里","※费用类别不在基础资料里",IF(AND(N($J1115)=0,N($K1115)=0),"※这行没填金额",IF(AND(N($J1115)&gt;0,N($K1115)&gt;0),"※收入和支出不能同一行都填",IF(AND($D1115="收入",N($J1115)=0),"※收入行要填收入金额",IF(AND($D1115="支出",N($K1115)=0),"※支出行要填支出金额",IF(AND($C1115&lt;&gt;"",ISNA(MATCH($C1115,账户表,0))),"※账户不在基础资料里",IF(AND($G1115&lt;&gt;"",ISNA(MATCH($G1115,项目名表,0))),"※项目不在项目台账里",IF(AND(LEFT($F1115,3)="成本-",$G1115=""),"※成本类支出没填项目",IF(AND(LEFT($F1115,3)="成本-",$H1115&lt;&gt;"",N($K1115)&gt;0,COUNTIFS(采购单!$B:$B,$B1115,采购单!$C:$C,$H1115,采购单!$L:$L,$K1115)&gt;0),"※这笔可能和采购单重复了",""))))))))))</f>
        <v/>
      </c>
    </row>
    <row r="1116">
      <c r="A1116" s="17">
        <f>IF($B1116="","",ROW()-3)</f>
        <v/>
      </c>
      <c r="B1116" s="18" t="n"/>
      <c r="C1116" s="13" t="n"/>
      <c r="D1116" s="13" t="n"/>
      <c r="E1116" s="13" t="n"/>
      <c r="F1116" s="17">
        <f>IF($E1116="","",IFERROR(VLOOKUP($E1116,类别归属,2,0),"※类别不在基础资料里"))</f>
        <v/>
      </c>
      <c r="G1116" s="13" t="n"/>
      <c r="H1116" s="13" t="n"/>
      <c r="I1116" s="13" t="n"/>
      <c r="J1116" s="14" t="n"/>
      <c r="K1116" s="14" t="n"/>
      <c r="L1116" s="19">
        <f>IF($C1116="","",ROUND(IFERROR(VLOOKUP($C1116,账户期初,2,0),0)+SUMIFS($J$4:J1116,$C$4:C1116,$C1116)-SUMIFS($K$4:K1116,$C$4:C1116,$C1116),2))</f>
        <v/>
      </c>
      <c r="M1116" s="19">
        <f>IF($C1116="","",ROUND(SUM(基础资料!$B$4:$B$13)+SUM($J$4:J1116)-SUM($K$4:K1116),2))</f>
        <v/>
      </c>
      <c r="N1116" s="13" t="n"/>
      <c r="O1116" s="13" t="n"/>
      <c r="P1116" s="17">
        <f>IF($B1116="","",IF($F1116="※类别不在基础资料里","※费用类别不在基础资料里",IF(AND(N($J1116)=0,N($K1116)=0),"※这行没填金额",IF(AND(N($J1116)&gt;0,N($K1116)&gt;0),"※收入和支出不能同一行都填",IF(AND($D1116="收入",N($J1116)=0),"※收入行要填收入金额",IF(AND($D1116="支出",N($K1116)=0),"※支出行要填支出金额",IF(AND($C1116&lt;&gt;"",ISNA(MATCH($C1116,账户表,0))),"※账户不在基础资料里",IF(AND($G1116&lt;&gt;"",ISNA(MATCH($G1116,项目名表,0))),"※项目不在项目台账里",IF(AND(LEFT($F1116,3)="成本-",$G1116=""),"※成本类支出没填项目",IF(AND(LEFT($F1116,3)="成本-",$H1116&lt;&gt;"",N($K1116)&gt;0,COUNTIFS(采购单!$B:$B,$B1116,采购单!$C:$C,$H1116,采购单!$L:$L,$K1116)&gt;0),"※这笔可能和采购单重复了",""))))))))))</f>
        <v/>
      </c>
    </row>
    <row r="1117">
      <c r="A1117" s="17">
        <f>IF($B1117="","",ROW()-3)</f>
        <v/>
      </c>
      <c r="B1117" s="18" t="n"/>
      <c r="C1117" s="13" t="n"/>
      <c r="D1117" s="13" t="n"/>
      <c r="E1117" s="13" t="n"/>
      <c r="F1117" s="17">
        <f>IF($E1117="","",IFERROR(VLOOKUP($E1117,类别归属,2,0),"※类别不在基础资料里"))</f>
        <v/>
      </c>
      <c r="G1117" s="13" t="n"/>
      <c r="H1117" s="13" t="n"/>
      <c r="I1117" s="13" t="n"/>
      <c r="J1117" s="14" t="n"/>
      <c r="K1117" s="14" t="n"/>
      <c r="L1117" s="19">
        <f>IF($C1117="","",ROUND(IFERROR(VLOOKUP($C1117,账户期初,2,0),0)+SUMIFS($J$4:J1117,$C$4:C1117,$C1117)-SUMIFS($K$4:K1117,$C$4:C1117,$C1117),2))</f>
        <v/>
      </c>
      <c r="M1117" s="19">
        <f>IF($C1117="","",ROUND(SUM(基础资料!$B$4:$B$13)+SUM($J$4:J1117)-SUM($K$4:K1117),2))</f>
        <v/>
      </c>
      <c r="N1117" s="13" t="n"/>
      <c r="O1117" s="13" t="n"/>
      <c r="P1117" s="17">
        <f>IF($B1117="","",IF($F1117="※类别不在基础资料里","※费用类别不在基础资料里",IF(AND(N($J1117)=0,N($K1117)=0),"※这行没填金额",IF(AND(N($J1117)&gt;0,N($K1117)&gt;0),"※收入和支出不能同一行都填",IF(AND($D1117="收入",N($J1117)=0),"※收入行要填收入金额",IF(AND($D1117="支出",N($K1117)=0),"※支出行要填支出金额",IF(AND($C1117&lt;&gt;"",ISNA(MATCH($C1117,账户表,0))),"※账户不在基础资料里",IF(AND($G1117&lt;&gt;"",ISNA(MATCH($G1117,项目名表,0))),"※项目不在项目台账里",IF(AND(LEFT($F1117,3)="成本-",$G1117=""),"※成本类支出没填项目",IF(AND(LEFT($F1117,3)="成本-",$H1117&lt;&gt;"",N($K1117)&gt;0,COUNTIFS(采购单!$B:$B,$B1117,采购单!$C:$C,$H1117,采购单!$L:$L,$K1117)&gt;0),"※这笔可能和采购单重复了",""))))))))))</f>
        <v/>
      </c>
    </row>
    <row r="1118">
      <c r="A1118" s="17">
        <f>IF($B1118="","",ROW()-3)</f>
        <v/>
      </c>
      <c r="B1118" s="18" t="n"/>
      <c r="C1118" s="13" t="n"/>
      <c r="D1118" s="13" t="n"/>
      <c r="E1118" s="13" t="n"/>
      <c r="F1118" s="17">
        <f>IF($E1118="","",IFERROR(VLOOKUP($E1118,类别归属,2,0),"※类别不在基础资料里"))</f>
        <v/>
      </c>
      <c r="G1118" s="13" t="n"/>
      <c r="H1118" s="13" t="n"/>
      <c r="I1118" s="13" t="n"/>
      <c r="J1118" s="14" t="n"/>
      <c r="K1118" s="14" t="n"/>
      <c r="L1118" s="19">
        <f>IF($C1118="","",ROUND(IFERROR(VLOOKUP($C1118,账户期初,2,0),0)+SUMIFS($J$4:J1118,$C$4:C1118,$C1118)-SUMIFS($K$4:K1118,$C$4:C1118,$C1118),2))</f>
        <v/>
      </c>
      <c r="M1118" s="19">
        <f>IF($C1118="","",ROUND(SUM(基础资料!$B$4:$B$13)+SUM($J$4:J1118)-SUM($K$4:K1118),2))</f>
        <v/>
      </c>
      <c r="N1118" s="13" t="n"/>
      <c r="O1118" s="13" t="n"/>
      <c r="P1118" s="17">
        <f>IF($B1118="","",IF($F1118="※类别不在基础资料里","※费用类别不在基础资料里",IF(AND(N($J1118)=0,N($K1118)=0),"※这行没填金额",IF(AND(N($J1118)&gt;0,N($K1118)&gt;0),"※收入和支出不能同一行都填",IF(AND($D1118="收入",N($J1118)=0),"※收入行要填收入金额",IF(AND($D1118="支出",N($K1118)=0),"※支出行要填支出金额",IF(AND($C1118&lt;&gt;"",ISNA(MATCH($C1118,账户表,0))),"※账户不在基础资料里",IF(AND($G1118&lt;&gt;"",ISNA(MATCH($G1118,项目名表,0))),"※项目不在项目台账里",IF(AND(LEFT($F1118,3)="成本-",$G1118=""),"※成本类支出没填项目",IF(AND(LEFT($F1118,3)="成本-",$H1118&lt;&gt;"",N($K1118)&gt;0,COUNTIFS(采购单!$B:$B,$B1118,采购单!$C:$C,$H1118,采购单!$L:$L,$K1118)&gt;0),"※这笔可能和采购单重复了",""))))))))))</f>
        <v/>
      </c>
    </row>
    <row r="1119">
      <c r="A1119" s="17">
        <f>IF($B1119="","",ROW()-3)</f>
        <v/>
      </c>
      <c r="B1119" s="18" t="n"/>
      <c r="C1119" s="13" t="n"/>
      <c r="D1119" s="13" t="n"/>
      <c r="E1119" s="13" t="n"/>
      <c r="F1119" s="17">
        <f>IF($E1119="","",IFERROR(VLOOKUP($E1119,类别归属,2,0),"※类别不在基础资料里"))</f>
        <v/>
      </c>
      <c r="G1119" s="13" t="n"/>
      <c r="H1119" s="13" t="n"/>
      <c r="I1119" s="13" t="n"/>
      <c r="J1119" s="14" t="n"/>
      <c r="K1119" s="14" t="n"/>
      <c r="L1119" s="19">
        <f>IF($C1119="","",ROUND(IFERROR(VLOOKUP($C1119,账户期初,2,0),0)+SUMIFS($J$4:J1119,$C$4:C1119,$C1119)-SUMIFS($K$4:K1119,$C$4:C1119,$C1119),2))</f>
        <v/>
      </c>
      <c r="M1119" s="19">
        <f>IF($C1119="","",ROUND(SUM(基础资料!$B$4:$B$13)+SUM($J$4:J1119)-SUM($K$4:K1119),2))</f>
        <v/>
      </c>
      <c r="N1119" s="13" t="n"/>
      <c r="O1119" s="13" t="n"/>
      <c r="P1119" s="17">
        <f>IF($B1119="","",IF($F1119="※类别不在基础资料里","※费用类别不在基础资料里",IF(AND(N($J1119)=0,N($K1119)=0),"※这行没填金额",IF(AND(N($J1119)&gt;0,N($K1119)&gt;0),"※收入和支出不能同一行都填",IF(AND($D1119="收入",N($J1119)=0),"※收入行要填收入金额",IF(AND($D1119="支出",N($K1119)=0),"※支出行要填支出金额",IF(AND($C1119&lt;&gt;"",ISNA(MATCH($C1119,账户表,0))),"※账户不在基础资料里",IF(AND($G1119&lt;&gt;"",ISNA(MATCH($G1119,项目名表,0))),"※项目不在项目台账里",IF(AND(LEFT($F1119,3)="成本-",$G1119=""),"※成本类支出没填项目",IF(AND(LEFT($F1119,3)="成本-",$H1119&lt;&gt;"",N($K1119)&gt;0,COUNTIFS(采购单!$B:$B,$B1119,采购单!$C:$C,$H1119,采购单!$L:$L,$K1119)&gt;0),"※这笔可能和采购单重复了",""))))))))))</f>
        <v/>
      </c>
    </row>
    <row r="1120">
      <c r="A1120" s="17">
        <f>IF($B1120="","",ROW()-3)</f>
        <v/>
      </c>
      <c r="B1120" s="18" t="n"/>
      <c r="C1120" s="13" t="n"/>
      <c r="D1120" s="13" t="n"/>
      <c r="E1120" s="13" t="n"/>
      <c r="F1120" s="17">
        <f>IF($E1120="","",IFERROR(VLOOKUP($E1120,类别归属,2,0),"※类别不在基础资料里"))</f>
        <v/>
      </c>
      <c r="G1120" s="13" t="n"/>
      <c r="H1120" s="13" t="n"/>
      <c r="I1120" s="13" t="n"/>
      <c r="J1120" s="14" t="n"/>
      <c r="K1120" s="14" t="n"/>
      <c r="L1120" s="19">
        <f>IF($C1120="","",ROUND(IFERROR(VLOOKUP($C1120,账户期初,2,0),0)+SUMIFS($J$4:J1120,$C$4:C1120,$C1120)-SUMIFS($K$4:K1120,$C$4:C1120,$C1120),2))</f>
        <v/>
      </c>
      <c r="M1120" s="19">
        <f>IF($C1120="","",ROUND(SUM(基础资料!$B$4:$B$13)+SUM($J$4:J1120)-SUM($K$4:K1120),2))</f>
        <v/>
      </c>
      <c r="N1120" s="13" t="n"/>
      <c r="O1120" s="13" t="n"/>
      <c r="P1120" s="17">
        <f>IF($B1120="","",IF($F1120="※类别不在基础资料里","※费用类别不在基础资料里",IF(AND(N($J1120)=0,N($K1120)=0),"※这行没填金额",IF(AND(N($J1120)&gt;0,N($K1120)&gt;0),"※收入和支出不能同一行都填",IF(AND($D1120="收入",N($J1120)=0),"※收入行要填收入金额",IF(AND($D1120="支出",N($K1120)=0),"※支出行要填支出金额",IF(AND($C1120&lt;&gt;"",ISNA(MATCH($C1120,账户表,0))),"※账户不在基础资料里",IF(AND($G1120&lt;&gt;"",ISNA(MATCH($G1120,项目名表,0))),"※项目不在项目台账里",IF(AND(LEFT($F1120,3)="成本-",$G1120=""),"※成本类支出没填项目",IF(AND(LEFT($F1120,3)="成本-",$H1120&lt;&gt;"",N($K1120)&gt;0,COUNTIFS(采购单!$B:$B,$B1120,采购单!$C:$C,$H1120,采购单!$L:$L,$K1120)&gt;0),"※这笔可能和采购单重复了",""))))))))))</f>
        <v/>
      </c>
    </row>
    <row r="1121">
      <c r="A1121" s="17">
        <f>IF($B1121="","",ROW()-3)</f>
        <v/>
      </c>
      <c r="B1121" s="18" t="n"/>
      <c r="C1121" s="13" t="n"/>
      <c r="D1121" s="13" t="n"/>
      <c r="E1121" s="13" t="n"/>
      <c r="F1121" s="17">
        <f>IF($E1121="","",IFERROR(VLOOKUP($E1121,类别归属,2,0),"※类别不在基础资料里"))</f>
        <v/>
      </c>
      <c r="G1121" s="13" t="n"/>
      <c r="H1121" s="13" t="n"/>
      <c r="I1121" s="13" t="n"/>
      <c r="J1121" s="14" t="n"/>
      <c r="K1121" s="14" t="n"/>
      <c r="L1121" s="19">
        <f>IF($C1121="","",ROUND(IFERROR(VLOOKUP($C1121,账户期初,2,0),0)+SUMIFS($J$4:J1121,$C$4:C1121,$C1121)-SUMIFS($K$4:K1121,$C$4:C1121,$C1121),2))</f>
        <v/>
      </c>
      <c r="M1121" s="19">
        <f>IF($C1121="","",ROUND(SUM(基础资料!$B$4:$B$13)+SUM($J$4:J1121)-SUM($K$4:K1121),2))</f>
        <v/>
      </c>
      <c r="N1121" s="13" t="n"/>
      <c r="O1121" s="13" t="n"/>
      <c r="P1121" s="17">
        <f>IF($B1121="","",IF($F1121="※类别不在基础资料里","※费用类别不在基础资料里",IF(AND(N($J1121)=0,N($K1121)=0),"※这行没填金额",IF(AND(N($J1121)&gt;0,N($K1121)&gt;0),"※收入和支出不能同一行都填",IF(AND($D1121="收入",N($J1121)=0),"※收入行要填收入金额",IF(AND($D1121="支出",N($K1121)=0),"※支出行要填支出金额",IF(AND($C1121&lt;&gt;"",ISNA(MATCH($C1121,账户表,0))),"※账户不在基础资料里",IF(AND($G1121&lt;&gt;"",ISNA(MATCH($G1121,项目名表,0))),"※项目不在项目台账里",IF(AND(LEFT($F1121,3)="成本-",$G1121=""),"※成本类支出没填项目",IF(AND(LEFT($F1121,3)="成本-",$H1121&lt;&gt;"",N($K1121)&gt;0,COUNTIFS(采购单!$B:$B,$B1121,采购单!$C:$C,$H1121,采购单!$L:$L,$K1121)&gt;0),"※这笔可能和采购单重复了",""))))))))))</f>
        <v/>
      </c>
    </row>
    <row r="1122">
      <c r="A1122" s="17">
        <f>IF($B1122="","",ROW()-3)</f>
        <v/>
      </c>
      <c r="B1122" s="18" t="n"/>
      <c r="C1122" s="13" t="n"/>
      <c r="D1122" s="13" t="n"/>
      <c r="E1122" s="13" t="n"/>
      <c r="F1122" s="17">
        <f>IF($E1122="","",IFERROR(VLOOKUP($E1122,类别归属,2,0),"※类别不在基础资料里"))</f>
        <v/>
      </c>
      <c r="G1122" s="13" t="n"/>
      <c r="H1122" s="13" t="n"/>
      <c r="I1122" s="13" t="n"/>
      <c r="J1122" s="14" t="n"/>
      <c r="K1122" s="14" t="n"/>
      <c r="L1122" s="19">
        <f>IF($C1122="","",ROUND(IFERROR(VLOOKUP($C1122,账户期初,2,0),0)+SUMIFS($J$4:J1122,$C$4:C1122,$C1122)-SUMIFS($K$4:K1122,$C$4:C1122,$C1122),2))</f>
        <v/>
      </c>
      <c r="M1122" s="19">
        <f>IF($C1122="","",ROUND(SUM(基础资料!$B$4:$B$13)+SUM($J$4:J1122)-SUM($K$4:K1122),2))</f>
        <v/>
      </c>
      <c r="N1122" s="13" t="n"/>
      <c r="O1122" s="13" t="n"/>
      <c r="P1122" s="17">
        <f>IF($B1122="","",IF($F1122="※类别不在基础资料里","※费用类别不在基础资料里",IF(AND(N($J1122)=0,N($K1122)=0),"※这行没填金额",IF(AND(N($J1122)&gt;0,N($K1122)&gt;0),"※收入和支出不能同一行都填",IF(AND($D1122="收入",N($J1122)=0),"※收入行要填收入金额",IF(AND($D1122="支出",N($K1122)=0),"※支出行要填支出金额",IF(AND($C1122&lt;&gt;"",ISNA(MATCH($C1122,账户表,0))),"※账户不在基础资料里",IF(AND($G1122&lt;&gt;"",ISNA(MATCH($G1122,项目名表,0))),"※项目不在项目台账里",IF(AND(LEFT($F1122,3)="成本-",$G1122=""),"※成本类支出没填项目",IF(AND(LEFT($F1122,3)="成本-",$H1122&lt;&gt;"",N($K1122)&gt;0,COUNTIFS(采购单!$B:$B,$B1122,采购单!$C:$C,$H1122,采购单!$L:$L,$K1122)&gt;0),"※这笔可能和采购单重复了",""))))))))))</f>
        <v/>
      </c>
    </row>
    <row r="1123">
      <c r="A1123" s="17">
        <f>IF($B1123="","",ROW()-3)</f>
        <v/>
      </c>
      <c r="B1123" s="18" t="n"/>
      <c r="C1123" s="13" t="n"/>
      <c r="D1123" s="13" t="n"/>
      <c r="E1123" s="13" t="n"/>
      <c r="F1123" s="17">
        <f>IF($E1123="","",IFERROR(VLOOKUP($E1123,类别归属,2,0),"※类别不在基础资料里"))</f>
        <v/>
      </c>
      <c r="G1123" s="13" t="n"/>
      <c r="H1123" s="13" t="n"/>
      <c r="I1123" s="13" t="n"/>
      <c r="J1123" s="14" t="n"/>
      <c r="K1123" s="14" t="n"/>
      <c r="L1123" s="19">
        <f>IF($C1123="","",ROUND(IFERROR(VLOOKUP($C1123,账户期初,2,0),0)+SUMIFS($J$4:J1123,$C$4:C1123,$C1123)-SUMIFS($K$4:K1123,$C$4:C1123,$C1123),2))</f>
        <v/>
      </c>
      <c r="M1123" s="19">
        <f>IF($C1123="","",ROUND(SUM(基础资料!$B$4:$B$13)+SUM($J$4:J1123)-SUM($K$4:K1123),2))</f>
        <v/>
      </c>
      <c r="N1123" s="13" t="n"/>
      <c r="O1123" s="13" t="n"/>
      <c r="P1123" s="17">
        <f>IF($B1123="","",IF($F1123="※类别不在基础资料里","※费用类别不在基础资料里",IF(AND(N($J1123)=0,N($K1123)=0),"※这行没填金额",IF(AND(N($J1123)&gt;0,N($K1123)&gt;0),"※收入和支出不能同一行都填",IF(AND($D1123="收入",N($J1123)=0),"※收入行要填收入金额",IF(AND($D1123="支出",N($K1123)=0),"※支出行要填支出金额",IF(AND($C1123&lt;&gt;"",ISNA(MATCH($C1123,账户表,0))),"※账户不在基础资料里",IF(AND($G1123&lt;&gt;"",ISNA(MATCH($G1123,项目名表,0))),"※项目不在项目台账里",IF(AND(LEFT($F1123,3)="成本-",$G1123=""),"※成本类支出没填项目",IF(AND(LEFT($F1123,3)="成本-",$H1123&lt;&gt;"",N($K1123)&gt;0,COUNTIFS(采购单!$B:$B,$B1123,采购单!$C:$C,$H1123,采购单!$L:$L,$K1123)&gt;0),"※这笔可能和采购单重复了",""))))))))))</f>
        <v/>
      </c>
    </row>
    <row r="1124">
      <c r="A1124" s="17">
        <f>IF($B1124="","",ROW()-3)</f>
        <v/>
      </c>
      <c r="B1124" s="18" t="n"/>
      <c r="C1124" s="13" t="n"/>
      <c r="D1124" s="13" t="n"/>
      <c r="E1124" s="13" t="n"/>
      <c r="F1124" s="17">
        <f>IF($E1124="","",IFERROR(VLOOKUP($E1124,类别归属,2,0),"※类别不在基础资料里"))</f>
        <v/>
      </c>
      <c r="G1124" s="13" t="n"/>
      <c r="H1124" s="13" t="n"/>
      <c r="I1124" s="13" t="n"/>
      <c r="J1124" s="14" t="n"/>
      <c r="K1124" s="14" t="n"/>
      <c r="L1124" s="19">
        <f>IF($C1124="","",ROUND(IFERROR(VLOOKUP($C1124,账户期初,2,0),0)+SUMIFS($J$4:J1124,$C$4:C1124,$C1124)-SUMIFS($K$4:K1124,$C$4:C1124,$C1124),2))</f>
        <v/>
      </c>
      <c r="M1124" s="19">
        <f>IF($C1124="","",ROUND(SUM(基础资料!$B$4:$B$13)+SUM($J$4:J1124)-SUM($K$4:K1124),2))</f>
        <v/>
      </c>
      <c r="N1124" s="13" t="n"/>
      <c r="O1124" s="13" t="n"/>
      <c r="P1124" s="17">
        <f>IF($B1124="","",IF($F1124="※类别不在基础资料里","※费用类别不在基础资料里",IF(AND(N($J1124)=0,N($K1124)=0),"※这行没填金额",IF(AND(N($J1124)&gt;0,N($K1124)&gt;0),"※收入和支出不能同一行都填",IF(AND($D1124="收入",N($J1124)=0),"※收入行要填收入金额",IF(AND($D1124="支出",N($K1124)=0),"※支出行要填支出金额",IF(AND($C1124&lt;&gt;"",ISNA(MATCH($C1124,账户表,0))),"※账户不在基础资料里",IF(AND($G1124&lt;&gt;"",ISNA(MATCH($G1124,项目名表,0))),"※项目不在项目台账里",IF(AND(LEFT($F1124,3)="成本-",$G1124=""),"※成本类支出没填项目",IF(AND(LEFT($F1124,3)="成本-",$H1124&lt;&gt;"",N($K1124)&gt;0,COUNTIFS(采购单!$B:$B,$B1124,采购单!$C:$C,$H1124,采购单!$L:$L,$K1124)&gt;0),"※这笔可能和采购单重复了",""))))))))))</f>
        <v/>
      </c>
    </row>
    <row r="1125">
      <c r="A1125" s="17">
        <f>IF($B1125="","",ROW()-3)</f>
        <v/>
      </c>
      <c r="B1125" s="18" t="n"/>
      <c r="C1125" s="13" t="n"/>
      <c r="D1125" s="13" t="n"/>
      <c r="E1125" s="13" t="n"/>
      <c r="F1125" s="17">
        <f>IF($E1125="","",IFERROR(VLOOKUP($E1125,类别归属,2,0),"※类别不在基础资料里"))</f>
        <v/>
      </c>
      <c r="G1125" s="13" t="n"/>
      <c r="H1125" s="13" t="n"/>
      <c r="I1125" s="13" t="n"/>
      <c r="J1125" s="14" t="n"/>
      <c r="K1125" s="14" t="n"/>
      <c r="L1125" s="19">
        <f>IF($C1125="","",ROUND(IFERROR(VLOOKUP($C1125,账户期初,2,0),0)+SUMIFS($J$4:J1125,$C$4:C1125,$C1125)-SUMIFS($K$4:K1125,$C$4:C1125,$C1125),2))</f>
        <v/>
      </c>
      <c r="M1125" s="19">
        <f>IF($C1125="","",ROUND(SUM(基础资料!$B$4:$B$13)+SUM($J$4:J1125)-SUM($K$4:K1125),2))</f>
        <v/>
      </c>
      <c r="N1125" s="13" t="n"/>
      <c r="O1125" s="13" t="n"/>
      <c r="P1125" s="17">
        <f>IF($B1125="","",IF($F1125="※类别不在基础资料里","※费用类别不在基础资料里",IF(AND(N($J1125)=0,N($K1125)=0),"※这行没填金额",IF(AND(N($J1125)&gt;0,N($K1125)&gt;0),"※收入和支出不能同一行都填",IF(AND($D1125="收入",N($J1125)=0),"※收入行要填收入金额",IF(AND($D1125="支出",N($K1125)=0),"※支出行要填支出金额",IF(AND($C1125&lt;&gt;"",ISNA(MATCH($C1125,账户表,0))),"※账户不在基础资料里",IF(AND($G1125&lt;&gt;"",ISNA(MATCH($G1125,项目名表,0))),"※项目不在项目台账里",IF(AND(LEFT($F1125,3)="成本-",$G1125=""),"※成本类支出没填项目",IF(AND(LEFT($F1125,3)="成本-",$H1125&lt;&gt;"",N($K1125)&gt;0,COUNTIFS(采购单!$B:$B,$B1125,采购单!$C:$C,$H1125,采购单!$L:$L,$K1125)&gt;0),"※这笔可能和采购单重复了",""))))))))))</f>
        <v/>
      </c>
    </row>
    <row r="1126">
      <c r="A1126" s="17">
        <f>IF($B1126="","",ROW()-3)</f>
        <v/>
      </c>
      <c r="B1126" s="18" t="n"/>
      <c r="C1126" s="13" t="n"/>
      <c r="D1126" s="13" t="n"/>
      <c r="E1126" s="13" t="n"/>
      <c r="F1126" s="17">
        <f>IF($E1126="","",IFERROR(VLOOKUP($E1126,类别归属,2,0),"※类别不在基础资料里"))</f>
        <v/>
      </c>
      <c r="G1126" s="13" t="n"/>
      <c r="H1126" s="13" t="n"/>
      <c r="I1126" s="13" t="n"/>
      <c r="J1126" s="14" t="n"/>
      <c r="K1126" s="14" t="n"/>
      <c r="L1126" s="19">
        <f>IF($C1126="","",ROUND(IFERROR(VLOOKUP($C1126,账户期初,2,0),0)+SUMIFS($J$4:J1126,$C$4:C1126,$C1126)-SUMIFS($K$4:K1126,$C$4:C1126,$C1126),2))</f>
        <v/>
      </c>
      <c r="M1126" s="19">
        <f>IF($C1126="","",ROUND(SUM(基础资料!$B$4:$B$13)+SUM($J$4:J1126)-SUM($K$4:K1126),2))</f>
        <v/>
      </c>
      <c r="N1126" s="13" t="n"/>
      <c r="O1126" s="13" t="n"/>
      <c r="P1126" s="17">
        <f>IF($B1126="","",IF($F1126="※类别不在基础资料里","※费用类别不在基础资料里",IF(AND(N($J1126)=0,N($K1126)=0),"※这行没填金额",IF(AND(N($J1126)&gt;0,N($K1126)&gt;0),"※收入和支出不能同一行都填",IF(AND($D1126="收入",N($J1126)=0),"※收入行要填收入金额",IF(AND($D1126="支出",N($K1126)=0),"※支出行要填支出金额",IF(AND($C1126&lt;&gt;"",ISNA(MATCH($C1126,账户表,0))),"※账户不在基础资料里",IF(AND($G1126&lt;&gt;"",ISNA(MATCH($G1126,项目名表,0))),"※项目不在项目台账里",IF(AND(LEFT($F1126,3)="成本-",$G1126=""),"※成本类支出没填项目",IF(AND(LEFT($F1126,3)="成本-",$H1126&lt;&gt;"",N($K1126)&gt;0,COUNTIFS(采购单!$B:$B,$B1126,采购单!$C:$C,$H1126,采购单!$L:$L,$K1126)&gt;0),"※这笔可能和采购单重复了",""))))))))))</f>
        <v/>
      </c>
    </row>
    <row r="1127">
      <c r="A1127" s="17">
        <f>IF($B1127="","",ROW()-3)</f>
        <v/>
      </c>
      <c r="B1127" s="18" t="n"/>
      <c r="C1127" s="13" t="n"/>
      <c r="D1127" s="13" t="n"/>
      <c r="E1127" s="13" t="n"/>
      <c r="F1127" s="17">
        <f>IF($E1127="","",IFERROR(VLOOKUP($E1127,类别归属,2,0),"※类别不在基础资料里"))</f>
        <v/>
      </c>
      <c r="G1127" s="13" t="n"/>
      <c r="H1127" s="13" t="n"/>
      <c r="I1127" s="13" t="n"/>
      <c r="J1127" s="14" t="n"/>
      <c r="K1127" s="14" t="n"/>
      <c r="L1127" s="19">
        <f>IF($C1127="","",ROUND(IFERROR(VLOOKUP($C1127,账户期初,2,0),0)+SUMIFS($J$4:J1127,$C$4:C1127,$C1127)-SUMIFS($K$4:K1127,$C$4:C1127,$C1127),2))</f>
        <v/>
      </c>
      <c r="M1127" s="19">
        <f>IF($C1127="","",ROUND(SUM(基础资料!$B$4:$B$13)+SUM($J$4:J1127)-SUM($K$4:K1127),2))</f>
        <v/>
      </c>
      <c r="N1127" s="13" t="n"/>
      <c r="O1127" s="13" t="n"/>
      <c r="P1127" s="17">
        <f>IF($B1127="","",IF($F1127="※类别不在基础资料里","※费用类别不在基础资料里",IF(AND(N($J1127)=0,N($K1127)=0),"※这行没填金额",IF(AND(N($J1127)&gt;0,N($K1127)&gt;0),"※收入和支出不能同一行都填",IF(AND($D1127="收入",N($J1127)=0),"※收入行要填收入金额",IF(AND($D1127="支出",N($K1127)=0),"※支出行要填支出金额",IF(AND($C1127&lt;&gt;"",ISNA(MATCH($C1127,账户表,0))),"※账户不在基础资料里",IF(AND($G1127&lt;&gt;"",ISNA(MATCH($G1127,项目名表,0))),"※项目不在项目台账里",IF(AND(LEFT($F1127,3)="成本-",$G1127=""),"※成本类支出没填项目",IF(AND(LEFT($F1127,3)="成本-",$H1127&lt;&gt;"",N($K1127)&gt;0,COUNTIFS(采购单!$B:$B,$B1127,采购单!$C:$C,$H1127,采购单!$L:$L,$K1127)&gt;0),"※这笔可能和采购单重复了",""))))))))))</f>
        <v/>
      </c>
    </row>
    <row r="1128">
      <c r="A1128" s="17">
        <f>IF($B1128="","",ROW()-3)</f>
        <v/>
      </c>
      <c r="B1128" s="18" t="n"/>
      <c r="C1128" s="13" t="n"/>
      <c r="D1128" s="13" t="n"/>
      <c r="E1128" s="13" t="n"/>
      <c r="F1128" s="17">
        <f>IF($E1128="","",IFERROR(VLOOKUP($E1128,类别归属,2,0),"※类别不在基础资料里"))</f>
        <v/>
      </c>
      <c r="G1128" s="13" t="n"/>
      <c r="H1128" s="13" t="n"/>
      <c r="I1128" s="13" t="n"/>
      <c r="J1128" s="14" t="n"/>
      <c r="K1128" s="14" t="n"/>
      <c r="L1128" s="19">
        <f>IF($C1128="","",ROUND(IFERROR(VLOOKUP($C1128,账户期初,2,0),0)+SUMIFS($J$4:J1128,$C$4:C1128,$C1128)-SUMIFS($K$4:K1128,$C$4:C1128,$C1128),2))</f>
        <v/>
      </c>
      <c r="M1128" s="19">
        <f>IF($C1128="","",ROUND(SUM(基础资料!$B$4:$B$13)+SUM($J$4:J1128)-SUM($K$4:K1128),2))</f>
        <v/>
      </c>
      <c r="N1128" s="13" t="n"/>
      <c r="O1128" s="13" t="n"/>
      <c r="P1128" s="17">
        <f>IF($B1128="","",IF($F1128="※类别不在基础资料里","※费用类别不在基础资料里",IF(AND(N($J1128)=0,N($K1128)=0),"※这行没填金额",IF(AND(N($J1128)&gt;0,N($K1128)&gt;0),"※收入和支出不能同一行都填",IF(AND($D1128="收入",N($J1128)=0),"※收入行要填收入金额",IF(AND($D1128="支出",N($K1128)=0),"※支出行要填支出金额",IF(AND($C1128&lt;&gt;"",ISNA(MATCH($C1128,账户表,0))),"※账户不在基础资料里",IF(AND($G1128&lt;&gt;"",ISNA(MATCH($G1128,项目名表,0))),"※项目不在项目台账里",IF(AND(LEFT($F1128,3)="成本-",$G1128=""),"※成本类支出没填项目",IF(AND(LEFT($F1128,3)="成本-",$H1128&lt;&gt;"",N($K1128)&gt;0,COUNTIFS(采购单!$B:$B,$B1128,采购单!$C:$C,$H1128,采购单!$L:$L,$K1128)&gt;0),"※这笔可能和采购单重复了",""))))))))))</f>
        <v/>
      </c>
    </row>
    <row r="1129">
      <c r="A1129" s="17">
        <f>IF($B1129="","",ROW()-3)</f>
        <v/>
      </c>
      <c r="B1129" s="18" t="n"/>
      <c r="C1129" s="13" t="n"/>
      <c r="D1129" s="13" t="n"/>
      <c r="E1129" s="13" t="n"/>
      <c r="F1129" s="17">
        <f>IF($E1129="","",IFERROR(VLOOKUP($E1129,类别归属,2,0),"※类别不在基础资料里"))</f>
        <v/>
      </c>
      <c r="G1129" s="13" t="n"/>
      <c r="H1129" s="13" t="n"/>
      <c r="I1129" s="13" t="n"/>
      <c r="J1129" s="14" t="n"/>
      <c r="K1129" s="14" t="n"/>
      <c r="L1129" s="19">
        <f>IF($C1129="","",ROUND(IFERROR(VLOOKUP($C1129,账户期初,2,0),0)+SUMIFS($J$4:J1129,$C$4:C1129,$C1129)-SUMIFS($K$4:K1129,$C$4:C1129,$C1129),2))</f>
        <v/>
      </c>
      <c r="M1129" s="19">
        <f>IF($C1129="","",ROUND(SUM(基础资料!$B$4:$B$13)+SUM($J$4:J1129)-SUM($K$4:K1129),2))</f>
        <v/>
      </c>
      <c r="N1129" s="13" t="n"/>
      <c r="O1129" s="13" t="n"/>
      <c r="P1129" s="17">
        <f>IF($B1129="","",IF($F1129="※类别不在基础资料里","※费用类别不在基础资料里",IF(AND(N($J1129)=0,N($K1129)=0),"※这行没填金额",IF(AND(N($J1129)&gt;0,N($K1129)&gt;0),"※收入和支出不能同一行都填",IF(AND($D1129="收入",N($J1129)=0),"※收入行要填收入金额",IF(AND($D1129="支出",N($K1129)=0),"※支出行要填支出金额",IF(AND($C1129&lt;&gt;"",ISNA(MATCH($C1129,账户表,0))),"※账户不在基础资料里",IF(AND($G1129&lt;&gt;"",ISNA(MATCH($G1129,项目名表,0))),"※项目不在项目台账里",IF(AND(LEFT($F1129,3)="成本-",$G1129=""),"※成本类支出没填项目",IF(AND(LEFT($F1129,3)="成本-",$H1129&lt;&gt;"",N($K1129)&gt;0,COUNTIFS(采购单!$B:$B,$B1129,采购单!$C:$C,$H1129,采购单!$L:$L,$K1129)&gt;0),"※这笔可能和采购单重复了",""))))))))))</f>
        <v/>
      </c>
    </row>
    <row r="1130">
      <c r="A1130" s="17">
        <f>IF($B1130="","",ROW()-3)</f>
        <v/>
      </c>
      <c r="B1130" s="18" t="n"/>
      <c r="C1130" s="13" t="n"/>
      <c r="D1130" s="13" t="n"/>
      <c r="E1130" s="13" t="n"/>
      <c r="F1130" s="17">
        <f>IF($E1130="","",IFERROR(VLOOKUP($E1130,类别归属,2,0),"※类别不在基础资料里"))</f>
        <v/>
      </c>
      <c r="G1130" s="13" t="n"/>
      <c r="H1130" s="13" t="n"/>
      <c r="I1130" s="13" t="n"/>
      <c r="J1130" s="14" t="n"/>
      <c r="K1130" s="14" t="n"/>
      <c r="L1130" s="19">
        <f>IF($C1130="","",ROUND(IFERROR(VLOOKUP($C1130,账户期初,2,0),0)+SUMIFS($J$4:J1130,$C$4:C1130,$C1130)-SUMIFS($K$4:K1130,$C$4:C1130,$C1130),2))</f>
        <v/>
      </c>
      <c r="M1130" s="19">
        <f>IF($C1130="","",ROUND(SUM(基础资料!$B$4:$B$13)+SUM($J$4:J1130)-SUM($K$4:K1130),2))</f>
        <v/>
      </c>
      <c r="N1130" s="13" t="n"/>
      <c r="O1130" s="13" t="n"/>
      <c r="P1130" s="17">
        <f>IF($B1130="","",IF($F1130="※类别不在基础资料里","※费用类别不在基础资料里",IF(AND(N($J1130)=0,N($K1130)=0),"※这行没填金额",IF(AND(N($J1130)&gt;0,N($K1130)&gt;0),"※收入和支出不能同一行都填",IF(AND($D1130="收入",N($J1130)=0),"※收入行要填收入金额",IF(AND($D1130="支出",N($K1130)=0),"※支出行要填支出金额",IF(AND($C1130&lt;&gt;"",ISNA(MATCH($C1130,账户表,0))),"※账户不在基础资料里",IF(AND($G1130&lt;&gt;"",ISNA(MATCH($G1130,项目名表,0))),"※项目不在项目台账里",IF(AND(LEFT($F1130,3)="成本-",$G1130=""),"※成本类支出没填项目",IF(AND(LEFT($F1130,3)="成本-",$H1130&lt;&gt;"",N($K1130)&gt;0,COUNTIFS(采购单!$B:$B,$B1130,采购单!$C:$C,$H1130,采购单!$L:$L,$K1130)&gt;0),"※这笔可能和采购单重复了",""))))))))))</f>
        <v/>
      </c>
    </row>
    <row r="1131">
      <c r="A1131" s="17">
        <f>IF($B1131="","",ROW()-3)</f>
        <v/>
      </c>
      <c r="B1131" s="18" t="n"/>
      <c r="C1131" s="13" t="n"/>
      <c r="D1131" s="13" t="n"/>
      <c r="E1131" s="13" t="n"/>
      <c r="F1131" s="17">
        <f>IF($E1131="","",IFERROR(VLOOKUP($E1131,类别归属,2,0),"※类别不在基础资料里"))</f>
        <v/>
      </c>
      <c r="G1131" s="13" t="n"/>
      <c r="H1131" s="13" t="n"/>
      <c r="I1131" s="13" t="n"/>
      <c r="J1131" s="14" t="n"/>
      <c r="K1131" s="14" t="n"/>
      <c r="L1131" s="19">
        <f>IF($C1131="","",ROUND(IFERROR(VLOOKUP($C1131,账户期初,2,0),0)+SUMIFS($J$4:J1131,$C$4:C1131,$C1131)-SUMIFS($K$4:K1131,$C$4:C1131,$C1131),2))</f>
        <v/>
      </c>
      <c r="M1131" s="19">
        <f>IF($C1131="","",ROUND(SUM(基础资料!$B$4:$B$13)+SUM($J$4:J1131)-SUM($K$4:K1131),2))</f>
        <v/>
      </c>
      <c r="N1131" s="13" t="n"/>
      <c r="O1131" s="13" t="n"/>
      <c r="P1131" s="17">
        <f>IF($B1131="","",IF($F1131="※类别不在基础资料里","※费用类别不在基础资料里",IF(AND(N($J1131)=0,N($K1131)=0),"※这行没填金额",IF(AND(N($J1131)&gt;0,N($K1131)&gt;0),"※收入和支出不能同一行都填",IF(AND($D1131="收入",N($J1131)=0),"※收入行要填收入金额",IF(AND($D1131="支出",N($K1131)=0),"※支出行要填支出金额",IF(AND($C1131&lt;&gt;"",ISNA(MATCH($C1131,账户表,0))),"※账户不在基础资料里",IF(AND($G1131&lt;&gt;"",ISNA(MATCH($G1131,项目名表,0))),"※项目不在项目台账里",IF(AND(LEFT($F1131,3)="成本-",$G1131=""),"※成本类支出没填项目",IF(AND(LEFT($F1131,3)="成本-",$H1131&lt;&gt;"",N($K1131)&gt;0,COUNTIFS(采购单!$B:$B,$B1131,采购单!$C:$C,$H1131,采购单!$L:$L,$K1131)&gt;0),"※这笔可能和采购单重复了",""))))))))))</f>
        <v/>
      </c>
    </row>
    <row r="1132">
      <c r="A1132" s="17">
        <f>IF($B1132="","",ROW()-3)</f>
        <v/>
      </c>
      <c r="B1132" s="18" t="n"/>
      <c r="C1132" s="13" t="n"/>
      <c r="D1132" s="13" t="n"/>
      <c r="E1132" s="13" t="n"/>
      <c r="F1132" s="17">
        <f>IF($E1132="","",IFERROR(VLOOKUP($E1132,类别归属,2,0),"※类别不在基础资料里"))</f>
        <v/>
      </c>
      <c r="G1132" s="13" t="n"/>
      <c r="H1132" s="13" t="n"/>
      <c r="I1132" s="13" t="n"/>
      <c r="J1132" s="14" t="n"/>
      <c r="K1132" s="14" t="n"/>
      <c r="L1132" s="19">
        <f>IF($C1132="","",ROUND(IFERROR(VLOOKUP($C1132,账户期初,2,0),0)+SUMIFS($J$4:J1132,$C$4:C1132,$C1132)-SUMIFS($K$4:K1132,$C$4:C1132,$C1132),2))</f>
        <v/>
      </c>
      <c r="M1132" s="19">
        <f>IF($C1132="","",ROUND(SUM(基础资料!$B$4:$B$13)+SUM($J$4:J1132)-SUM($K$4:K1132),2))</f>
        <v/>
      </c>
      <c r="N1132" s="13" t="n"/>
      <c r="O1132" s="13" t="n"/>
      <c r="P1132" s="17">
        <f>IF($B1132="","",IF($F1132="※类别不在基础资料里","※费用类别不在基础资料里",IF(AND(N($J1132)=0,N($K1132)=0),"※这行没填金额",IF(AND(N($J1132)&gt;0,N($K1132)&gt;0),"※收入和支出不能同一行都填",IF(AND($D1132="收入",N($J1132)=0),"※收入行要填收入金额",IF(AND($D1132="支出",N($K1132)=0),"※支出行要填支出金额",IF(AND($C1132&lt;&gt;"",ISNA(MATCH($C1132,账户表,0))),"※账户不在基础资料里",IF(AND($G1132&lt;&gt;"",ISNA(MATCH($G1132,项目名表,0))),"※项目不在项目台账里",IF(AND(LEFT($F1132,3)="成本-",$G1132=""),"※成本类支出没填项目",IF(AND(LEFT($F1132,3)="成本-",$H1132&lt;&gt;"",N($K1132)&gt;0,COUNTIFS(采购单!$B:$B,$B1132,采购单!$C:$C,$H1132,采购单!$L:$L,$K1132)&gt;0),"※这笔可能和采购单重复了",""))))))))))</f>
        <v/>
      </c>
    </row>
    <row r="1133">
      <c r="A1133" s="17">
        <f>IF($B1133="","",ROW()-3)</f>
        <v/>
      </c>
      <c r="B1133" s="18" t="n"/>
      <c r="C1133" s="13" t="n"/>
      <c r="D1133" s="13" t="n"/>
      <c r="E1133" s="13" t="n"/>
      <c r="F1133" s="17">
        <f>IF($E1133="","",IFERROR(VLOOKUP($E1133,类别归属,2,0),"※类别不在基础资料里"))</f>
        <v/>
      </c>
      <c r="G1133" s="13" t="n"/>
      <c r="H1133" s="13" t="n"/>
      <c r="I1133" s="13" t="n"/>
      <c r="J1133" s="14" t="n"/>
      <c r="K1133" s="14" t="n"/>
      <c r="L1133" s="19">
        <f>IF($C1133="","",ROUND(IFERROR(VLOOKUP($C1133,账户期初,2,0),0)+SUMIFS($J$4:J1133,$C$4:C1133,$C1133)-SUMIFS($K$4:K1133,$C$4:C1133,$C1133),2))</f>
        <v/>
      </c>
      <c r="M1133" s="19">
        <f>IF($C1133="","",ROUND(SUM(基础资料!$B$4:$B$13)+SUM($J$4:J1133)-SUM($K$4:K1133),2))</f>
        <v/>
      </c>
      <c r="N1133" s="13" t="n"/>
      <c r="O1133" s="13" t="n"/>
      <c r="P1133" s="17">
        <f>IF($B1133="","",IF($F1133="※类别不在基础资料里","※费用类别不在基础资料里",IF(AND(N($J1133)=0,N($K1133)=0),"※这行没填金额",IF(AND(N($J1133)&gt;0,N($K1133)&gt;0),"※收入和支出不能同一行都填",IF(AND($D1133="收入",N($J1133)=0),"※收入行要填收入金额",IF(AND($D1133="支出",N($K1133)=0),"※支出行要填支出金额",IF(AND($C1133&lt;&gt;"",ISNA(MATCH($C1133,账户表,0))),"※账户不在基础资料里",IF(AND($G1133&lt;&gt;"",ISNA(MATCH($G1133,项目名表,0))),"※项目不在项目台账里",IF(AND(LEFT($F1133,3)="成本-",$G1133=""),"※成本类支出没填项目",IF(AND(LEFT($F1133,3)="成本-",$H1133&lt;&gt;"",N($K1133)&gt;0,COUNTIFS(采购单!$B:$B,$B1133,采购单!$C:$C,$H1133,采购单!$L:$L,$K1133)&gt;0),"※这笔可能和采购单重复了",""))))))))))</f>
        <v/>
      </c>
    </row>
    <row r="1134">
      <c r="A1134" s="17">
        <f>IF($B1134="","",ROW()-3)</f>
        <v/>
      </c>
      <c r="B1134" s="18" t="n"/>
      <c r="C1134" s="13" t="n"/>
      <c r="D1134" s="13" t="n"/>
      <c r="E1134" s="13" t="n"/>
      <c r="F1134" s="17">
        <f>IF($E1134="","",IFERROR(VLOOKUP($E1134,类别归属,2,0),"※类别不在基础资料里"))</f>
        <v/>
      </c>
      <c r="G1134" s="13" t="n"/>
      <c r="H1134" s="13" t="n"/>
      <c r="I1134" s="13" t="n"/>
      <c r="J1134" s="14" t="n"/>
      <c r="K1134" s="14" t="n"/>
      <c r="L1134" s="19">
        <f>IF($C1134="","",ROUND(IFERROR(VLOOKUP($C1134,账户期初,2,0),0)+SUMIFS($J$4:J1134,$C$4:C1134,$C1134)-SUMIFS($K$4:K1134,$C$4:C1134,$C1134),2))</f>
        <v/>
      </c>
      <c r="M1134" s="19">
        <f>IF($C1134="","",ROUND(SUM(基础资料!$B$4:$B$13)+SUM($J$4:J1134)-SUM($K$4:K1134),2))</f>
        <v/>
      </c>
      <c r="N1134" s="13" t="n"/>
      <c r="O1134" s="13" t="n"/>
      <c r="P1134" s="17">
        <f>IF($B1134="","",IF($F1134="※类别不在基础资料里","※费用类别不在基础资料里",IF(AND(N($J1134)=0,N($K1134)=0),"※这行没填金额",IF(AND(N($J1134)&gt;0,N($K1134)&gt;0),"※收入和支出不能同一行都填",IF(AND($D1134="收入",N($J1134)=0),"※收入行要填收入金额",IF(AND($D1134="支出",N($K1134)=0),"※支出行要填支出金额",IF(AND($C1134&lt;&gt;"",ISNA(MATCH($C1134,账户表,0))),"※账户不在基础资料里",IF(AND($G1134&lt;&gt;"",ISNA(MATCH($G1134,项目名表,0))),"※项目不在项目台账里",IF(AND(LEFT($F1134,3)="成本-",$G1134=""),"※成本类支出没填项目",IF(AND(LEFT($F1134,3)="成本-",$H1134&lt;&gt;"",N($K1134)&gt;0,COUNTIFS(采购单!$B:$B,$B1134,采购单!$C:$C,$H1134,采购单!$L:$L,$K1134)&gt;0),"※这笔可能和采购单重复了",""))))))))))</f>
        <v/>
      </c>
    </row>
    <row r="1135">
      <c r="A1135" s="17">
        <f>IF($B1135="","",ROW()-3)</f>
        <v/>
      </c>
      <c r="B1135" s="18" t="n"/>
      <c r="C1135" s="13" t="n"/>
      <c r="D1135" s="13" t="n"/>
      <c r="E1135" s="13" t="n"/>
      <c r="F1135" s="17">
        <f>IF($E1135="","",IFERROR(VLOOKUP($E1135,类别归属,2,0),"※类别不在基础资料里"))</f>
        <v/>
      </c>
      <c r="G1135" s="13" t="n"/>
      <c r="H1135" s="13" t="n"/>
      <c r="I1135" s="13" t="n"/>
      <c r="J1135" s="14" t="n"/>
      <c r="K1135" s="14" t="n"/>
      <c r="L1135" s="19">
        <f>IF($C1135="","",ROUND(IFERROR(VLOOKUP($C1135,账户期初,2,0),0)+SUMIFS($J$4:J1135,$C$4:C1135,$C1135)-SUMIFS($K$4:K1135,$C$4:C1135,$C1135),2))</f>
        <v/>
      </c>
      <c r="M1135" s="19">
        <f>IF($C1135="","",ROUND(SUM(基础资料!$B$4:$B$13)+SUM($J$4:J1135)-SUM($K$4:K1135),2))</f>
        <v/>
      </c>
      <c r="N1135" s="13" t="n"/>
      <c r="O1135" s="13" t="n"/>
      <c r="P1135" s="17">
        <f>IF($B1135="","",IF($F1135="※类别不在基础资料里","※费用类别不在基础资料里",IF(AND(N($J1135)=0,N($K1135)=0),"※这行没填金额",IF(AND(N($J1135)&gt;0,N($K1135)&gt;0),"※收入和支出不能同一行都填",IF(AND($D1135="收入",N($J1135)=0),"※收入行要填收入金额",IF(AND($D1135="支出",N($K1135)=0),"※支出行要填支出金额",IF(AND($C1135&lt;&gt;"",ISNA(MATCH($C1135,账户表,0))),"※账户不在基础资料里",IF(AND($G1135&lt;&gt;"",ISNA(MATCH($G1135,项目名表,0))),"※项目不在项目台账里",IF(AND(LEFT($F1135,3)="成本-",$G1135=""),"※成本类支出没填项目",IF(AND(LEFT($F1135,3)="成本-",$H1135&lt;&gt;"",N($K1135)&gt;0,COUNTIFS(采购单!$B:$B,$B1135,采购单!$C:$C,$H1135,采购单!$L:$L,$K1135)&gt;0),"※这笔可能和采购单重复了",""))))))))))</f>
        <v/>
      </c>
    </row>
    <row r="1136">
      <c r="A1136" s="17">
        <f>IF($B1136="","",ROW()-3)</f>
        <v/>
      </c>
      <c r="B1136" s="18" t="n"/>
      <c r="C1136" s="13" t="n"/>
      <c r="D1136" s="13" t="n"/>
      <c r="E1136" s="13" t="n"/>
      <c r="F1136" s="17">
        <f>IF($E1136="","",IFERROR(VLOOKUP($E1136,类别归属,2,0),"※类别不在基础资料里"))</f>
        <v/>
      </c>
      <c r="G1136" s="13" t="n"/>
      <c r="H1136" s="13" t="n"/>
      <c r="I1136" s="13" t="n"/>
      <c r="J1136" s="14" t="n"/>
      <c r="K1136" s="14" t="n"/>
      <c r="L1136" s="19">
        <f>IF($C1136="","",ROUND(IFERROR(VLOOKUP($C1136,账户期初,2,0),0)+SUMIFS($J$4:J1136,$C$4:C1136,$C1136)-SUMIFS($K$4:K1136,$C$4:C1136,$C1136),2))</f>
        <v/>
      </c>
      <c r="M1136" s="19">
        <f>IF($C1136="","",ROUND(SUM(基础资料!$B$4:$B$13)+SUM($J$4:J1136)-SUM($K$4:K1136),2))</f>
        <v/>
      </c>
      <c r="N1136" s="13" t="n"/>
      <c r="O1136" s="13" t="n"/>
      <c r="P1136" s="17">
        <f>IF($B1136="","",IF($F1136="※类别不在基础资料里","※费用类别不在基础资料里",IF(AND(N($J1136)=0,N($K1136)=0),"※这行没填金额",IF(AND(N($J1136)&gt;0,N($K1136)&gt;0),"※收入和支出不能同一行都填",IF(AND($D1136="收入",N($J1136)=0),"※收入行要填收入金额",IF(AND($D1136="支出",N($K1136)=0),"※支出行要填支出金额",IF(AND($C1136&lt;&gt;"",ISNA(MATCH($C1136,账户表,0))),"※账户不在基础资料里",IF(AND($G1136&lt;&gt;"",ISNA(MATCH($G1136,项目名表,0))),"※项目不在项目台账里",IF(AND(LEFT($F1136,3)="成本-",$G1136=""),"※成本类支出没填项目",IF(AND(LEFT($F1136,3)="成本-",$H1136&lt;&gt;"",N($K1136)&gt;0,COUNTIFS(采购单!$B:$B,$B1136,采购单!$C:$C,$H1136,采购单!$L:$L,$K1136)&gt;0),"※这笔可能和采购单重复了",""))))))))))</f>
        <v/>
      </c>
    </row>
    <row r="1137">
      <c r="A1137" s="17">
        <f>IF($B1137="","",ROW()-3)</f>
        <v/>
      </c>
      <c r="B1137" s="18" t="n"/>
      <c r="C1137" s="13" t="n"/>
      <c r="D1137" s="13" t="n"/>
      <c r="E1137" s="13" t="n"/>
      <c r="F1137" s="17">
        <f>IF($E1137="","",IFERROR(VLOOKUP($E1137,类别归属,2,0),"※类别不在基础资料里"))</f>
        <v/>
      </c>
      <c r="G1137" s="13" t="n"/>
      <c r="H1137" s="13" t="n"/>
      <c r="I1137" s="13" t="n"/>
      <c r="J1137" s="14" t="n"/>
      <c r="K1137" s="14" t="n"/>
      <c r="L1137" s="19">
        <f>IF($C1137="","",ROUND(IFERROR(VLOOKUP($C1137,账户期初,2,0),0)+SUMIFS($J$4:J1137,$C$4:C1137,$C1137)-SUMIFS($K$4:K1137,$C$4:C1137,$C1137),2))</f>
        <v/>
      </c>
      <c r="M1137" s="19">
        <f>IF($C1137="","",ROUND(SUM(基础资料!$B$4:$B$13)+SUM($J$4:J1137)-SUM($K$4:K1137),2))</f>
        <v/>
      </c>
      <c r="N1137" s="13" t="n"/>
      <c r="O1137" s="13" t="n"/>
      <c r="P1137" s="17">
        <f>IF($B1137="","",IF($F1137="※类别不在基础资料里","※费用类别不在基础资料里",IF(AND(N($J1137)=0,N($K1137)=0),"※这行没填金额",IF(AND(N($J1137)&gt;0,N($K1137)&gt;0),"※收入和支出不能同一行都填",IF(AND($D1137="收入",N($J1137)=0),"※收入行要填收入金额",IF(AND($D1137="支出",N($K1137)=0),"※支出行要填支出金额",IF(AND($C1137&lt;&gt;"",ISNA(MATCH($C1137,账户表,0))),"※账户不在基础资料里",IF(AND($G1137&lt;&gt;"",ISNA(MATCH($G1137,项目名表,0))),"※项目不在项目台账里",IF(AND(LEFT($F1137,3)="成本-",$G1137=""),"※成本类支出没填项目",IF(AND(LEFT($F1137,3)="成本-",$H1137&lt;&gt;"",N($K1137)&gt;0,COUNTIFS(采购单!$B:$B,$B1137,采购单!$C:$C,$H1137,采购单!$L:$L,$K1137)&gt;0),"※这笔可能和采购单重复了",""))))))))))</f>
        <v/>
      </c>
    </row>
    <row r="1138">
      <c r="A1138" s="17">
        <f>IF($B1138="","",ROW()-3)</f>
        <v/>
      </c>
      <c r="B1138" s="18" t="n"/>
      <c r="C1138" s="13" t="n"/>
      <c r="D1138" s="13" t="n"/>
      <c r="E1138" s="13" t="n"/>
      <c r="F1138" s="17">
        <f>IF($E1138="","",IFERROR(VLOOKUP($E1138,类别归属,2,0),"※类别不在基础资料里"))</f>
        <v/>
      </c>
      <c r="G1138" s="13" t="n"/>
      <c r="H1138" s="13" t="n"/>
      <c r="I1138" s="13" t="n"/>
      <c r="J1138" s="14" t="n"/>
      <c r="K1138" s="14" t="n"/>
      <c r="L1138" s="19">
        <f>IF($C1138="","",ROUND(IFERROR(VLOOKUP($C1138,账户期初,2,0),0)+SUMIFS($J$4:J1138,$C$4:C1138,$C1138)-SUMIFS($K$4:K1138,$C$4:C1138,$C1138),2))</f>
        <v/>
      </c>
      <c r="M1138" s="19">
        <f>IF($C1138="","",ROUND(SUM(基础资料!$B$4:$B$13)+SUM($J$4:J1138)-SUM($K$4:K1138),2))</f>
        <v/>
      </c>
      <c r="N1138" s="13" t="n"/>
      <c r="O1138" s="13" t="n"/>
      <c r="P1138" s="17">
        <f>IF($B1138="","",IF($F1138="※类别不在基础资料里","※费用类别不在基础资料里",IF(AND(N($J1138)=0,N($K1138)=0),"※这行没填金额",IF(AND(N($J1138)&gt;0,N($K1138)&gt;0),"※收入和支出不能同一行都填",IF(AND($D1138="收入",N($J1138)=0),"※收入行要填收入金额",IF(AND($D1138="支出",N($K1138)=0),"※支出行要填支出金额",IF(AND($C1138&lt;&gt;"",ISNA(MATCH($C1138,账户表,0))),"※账户不在基础资料里",IF(AND($G1138&lt;&gt;"",ISNA(MATCH($G1138,项目名表,0))),"※项目不在项目台账里",IF(AND(LEFT($F1138,3)="成本-",$G1138=""),"※成本类支出没填项目",IF(AND(LEFT($F1138,3)="成本-",$H1138&lt;&gt;"",N($K1138)&gt;0,COUNTIFS(采购单!$B:$B,$B1138,采购单!$C:$C,$H1138,采购单!$L:$L,$K1138)&gt;0),"※这笔可能和采购单重复了",""))))))))))</f>
        <v/>
      </c>
    </row>
    <row r="1139">
      <c r="A1139" s="17">
        <f>IF($B1139="","",ROW()-3)</f>
        <v/>
      </c>
      <c r="B1139" s="18" t="n"/>
      <c r="C1139" s="13" t="n"/>
      <c r="D1139" s="13" t="n"/>
      <c r="E1139" s="13" t="n"/>
      <c r="F1139" s="17">
        <f>IF($E1139="","",IFERROR(VLOOKUP($E1139,类别归属,2,0),"※类别不在基础资料里"))</f>
        <v/>
      </c>
      <c r="G1139" s="13" t="n"/>
      <c r="H1139" s="13" t="n"/>
      <c r="I1139" s="13" t="n"/>
      <c r="J1139" s="14" t="n"/>
      <c r="K1139" s="14" t="n"/>
      <c r="L1139" s="19">
        <f>IF($C1139="","",ROUND(IFERROR(VLOOKUP($C1139,账户期初,2,0),0)+SUMIFS($J$4:J1139,$C$4:C1139,$C1139)-SUMIFS($K$4:K1139,$C$4:C1139,$C1139),2))</f>
        <v/>
      </c>
      <c r="M1139" s="19">
        <f>IF($C1139="","",ROUND(SUM(基础资料!$B$4:$B$13)+SUM($J$4:J1139)-SUM($K$4:K1139),2))</f>
        <v/>
      </c>
      <c r="N1139" s="13" t="n"/>
      <c r="O1139" s="13" t="n"/>
      <c r="P1139" s="17">
        <f>IF($B1139="","",IF($F1139="※类别不在基础资料里","※费用类别不在基础资料里",IF(AND(N($J1139)=0,N($K1139)=0),"※这行没填金额",IF(AND(N($J1139)&gt;0,N($K1139)&gt;0),"※收入和支出不能同一行都填",IF(AND($D1139="收入",N($J1139)=0),"※收入行要填收入金额",IF(AND($D1139="支出",N($K1139)=0),"※支出行要填支出金额",IF(AND($C1139&lt;&gt;"",ISNA(MATCH($C1139,账户表,0))),"※账户不在基础资料里",IF(AND($G1139&lt;&gt;"",ISNA(MATCH($G1139,项目名表,0))),"※项目不在项目台账里",IF(AND(LEFT($F1139,3)="成本-",$G1139=""),"※成本类支出没填项目",IF(AND(LEFT($F1139,3)="成本-",$H1139&lt;&gt;"",N($K1139)&gt;0,COUNTIFS(采购单!$B:$B,$B1139,采购单!$C:$C,$H1139,采购单!$L:$L,$K1139)&gt;0),"※这笔可能和采购单重复了",""))))))))))</f>
        <v/>
      </c>
    </row>
    <row r="1140">
      <c r="A1140" s="17">
        <f>IF($B1140="","",ROW()-3)</f>
        <v/>
      </c>
      <c r="B1140" s="18" t="n"/>
      <c r="C1140" s="13" t="n"/>
      <c r="D1140" s="13" t="n"/>
      <c r="E1140" s="13" t="n"/>
      <c r="F1140" s="17">
        <f>IF($E1140="","",IFERROR(VLOOKUP($E1140,类别归属,2,0),"※类别不在基础资料里"))</f>
        <v/>
      </c>
      <c r="G1140" s="13" t="n"/>
      <c r="H1140" s="13" t="n"/>
      <c r="I1140" s="13" t="n"/>
      <c r="J1140" s="14" t="n"/>
      <c r="K1140" s="14" t="n"/>
      <c r="L1140" s="19">
        <f>IF($C1140="","",ROUND(IFERROR(VLOOKUP($C1140,账户期初,2,0),0)+SUMIFS($J$4:J1140,$C$4:C1140,$C1140)-SUMIFS($K$4:K1140,$C$4:C1140,$C1140),2))</f>
        <v/>
      </c>
      <c r="M1140" s="19">
        <f>IF($C1140="","",ROUND(SUM(基础资料!$B$4:$B$13)+SUM($J$4:J1140)-SUM($K$4:K1140),2))</f>
        <v/>
      </c>
      <c r="N1140" s="13" t="n"/>
      <c r="O1140" s="13" t="n"/>
      <c r="P1140" s="17">
        <f>IF($B1140="","",IF($F1140="※类别不在基础资料里","※费用类别不在基础资料里",IF(AND(N($J1140)=0,N($K1140)=0),"※这行没填金额",IF(AND(N($J1140)&gt;0,N($K1140)&gt;0),"※收入和支出不能同一行都填",IF(AND($D1140="收入",N($J1140)=0),"※收入行要填收入金额",IF(AND($D1140="支出",N($K1140)=0),"※支出行要填支出金额",IF(AND($C1140&lt;&gt;"",ISNA(MATCH($C1140,账户表,0))),"※账户不在基础资料里",IF(AND($G1140&lt;&gt;"",ISNA(MATCH($G1140,项目名表,0))),"※项目不在项目台账里",IF(AND(LEFT($F1140,3)="成本-",$G1140=""),"※成本类支出没填项目",IF(AND(LEFT($F1140,3)="成本-",$H1140&lt;&gt;"",N($K1140)&gt;0,COUNTIFS(采购单!$B:$B,$B1140,采购单!$C:$C,$H1140,采购单!$L:$L,$K1140)&gt;0),"※这笔可能和采购单重复了",""))))))))))</f>
        <v/>
      </c>
    </row>
    <row r="1141">
      <c r="A1141" s="17">
        <f>IF($B1141="","",ROW()-3)</f>
        <v/>
      </c>
      <c r="B1141" s="18" t="n"/>
      <c r="C1141" s="13" t="n"/>
      <c r="D1141" s="13" t="n"/>
      <c r="E1141" s="13" t="n"/>
      <c r="F1141" s="17">
        <f>IF($E1141="","",IFERROR(VLOOKUP($E1141,类别归属,2,0),"※类别不在基础资料里"))</f>
        <v/>
      </c>
      <c r="G1141" s="13" t="n"/>
      <c r="H1141" s="13" t="n"/>
      <c r="I1141" s="13" t="n"/>
      <c r="J1141" s="14" t="n"/>
      <c r="K1141" s="14" t="n"/>
      <c r="L1141" s="19">
        <f>IF($C1141="","",ROUND(IFERROR(VLOOKUP($C1141,账户期初,2,0),0)+SUMIFS($J$4:J1141,$C$4:C1141,$C1141)-SUMIFS($K$4:K1141,$C$4:C1141,$C1141),2))</f>
        <v/>
      </c>
      <c r="M1141" s="19">
        <f>IF($C1141="","",ROUND(SUM(基础资料!$B$4:$B$13)+SUM($J$4:J1141)-SUM($K$4:K1141),2))</f>
        <v/>
      </c>
      <c r="N1141" s="13" t="n"/>
      <c r="O1141" s="13" t="n"/>
      <c r="P1141" s="17">
        <f>IF($B1141="","",IF($F1141="※类别不在基础资料里","※费用类别不在基础资料里",IF(AND(N($J1141)=0,N($K1141)=0),"※这行没填金额",IF(AND(N($J1141)&gt;0,N($K1141)&gt;0),"※收入和支出不能同一行都填",IF(AND($D1141="收入",N($J1141)=0),"※收入行要填收入金额",IF(AND($D1141="支出",N($K1141)=0),"※支出行要填支出金额",IF(AND($C1141&lt;&gt;"",ISNA(MATCH($C1141,账户表,0))),"※账户不在基础资料里",IF(AND($G1141&lt;&gt;"",ISNA(MATCH($G1141,项目名表,0))),"※项目不在项目台账里",IF(AND(LEFT($F1141,3)="成本-",$G1141=""),"※成本类支出没填项目",IF(AND(LEFT($F1141,3)="成本-",$H1141&lt;&gt;"",N($K1141)&gt;0,COUNTIFS(采购单!$B:$B,$B1141,采购单!$C:$C,$H1141,采购单!$L:$L,$K1141)&gt;0),"※这笔可能和采购单重复了",""))))))))))</f>
        <v/>
      </c>
    </row>
    <row r="1142">
      <c r="A1142" s="17">
        <f>IF($B1142="","",ROW()-3)</f>
        <v/>
      </c>
      <c r="B1142" s="18" t="n"/>
      <c r="C1142" s="13" t="n"/>
      <c r="D1142" s="13" t="n"/>
      <c r="E1142" s="13" t="n"/>
      <c r="F1142" s="17">
        <f>IF($E1142="","",IFERROR(VLOOKUP($E1142,类别归属,2,0),"※类别不在基础资料里"))</f>
        <v/>
      </c>
      <c r="G1142" s="13" t="n"/>
      <c r="H1142" s="13" t="n"/>
      <c r="I1142" s="13" t="n"/>
      <c r="J1142" s="14" t="n"/>
      <c r="K1142" s="14" t="n"/>
      <c r="L1142" s="19">
        <f>IF($C1142="","",ROUND(IFERROR(VLOOKUP($C1142,账户期初,2,0),0)+SUMIFS($J$4:J1142,$C$4:C1142,$C1142)-SUMIFS($K$4:K1142,$C$4:C1142,$C1142),2))</f>
        <v/>
      </c>
      <c r="M1142" s="19">
        <f>IF($C1142="","",ROUND(SUM(基础资料!$B$4:$B$13)+SUM($J$4:J1142)-SUM($K$4:K1142),2))</f>
        <v/>
      </c>
      <c r="N1142" s="13" t="n"/>
      <c r="O1142" s="13" t="n"/>
      <c r="P1142" s="17">
        <f>IF($B1142="","",IF($F1142="※类别不在基础资料里","※费用类别不在基础资料里",IF(AND(N($J1142)=0,N($K1142)=0),"※这行没填金额",IF(AND(N($J1142)&gt;0,N($K1142)&gt;0),"※收入和支出不能同一行都填",IF(AND($D1142="收入",N($J1142)=0),"※收入行要填收入金额",IF(AND($D1142="支出",N($K1142)=0),"※支出行要填支出金额",IF(AND($C1142&lt;&gt;"",ISNA(MATCH($C1142,账户表,0))),"※账户不在基础资料里",IF(AND($G1142&lt;&gt;"",ISNA(MATCH($G1142,项目名表,0))),"※项目不在项目台账里",IF(AND(LEFT($F1142,3)="成本-",$G1142=""),"※成本类支出没填项目",IF(AND(LEFT($F1142,3)="成本-",$H1142&lt;&gt;"",N($K1142)&gt;0,COUNTIFS(采购单!$B:$B,$B1142,采购单!$C:$C,$H1142,采购单!$L:$L,$K1142)&gt;0),"※这笔可能和采购单重复了",""))))))))))</f>
        <v/>
      </c>
    </row>
    <row r="1143">
      <c r="A1143" s="17">
        <f>IF($B1143="","",ROW()-3)</f>
        <v/>
      </c>
      <c r="B1143" s="18" t="n"/>
      <c r="C1143" s="13" t="n"/>
      <c r="D1143" s="13" t="n"/>
      <c r="E1143" s="13" t="n"/>
      <c r="F1143" s="17">
        <f>IF($E1143="","",IFERROR(VLOOKUP($E1143,类别归属,2,0),"※类别不在基础资料里"))</f>
        <v/>
      </c>
      <c r="G1143" s="13" t="n"/>
      <c r="H1143" s="13" t="n"/>
      <c r="I1143" s="13" t="n"/>
      <c r="J1143" s="14" t="n"/>
      <c r="K1143" s="14" t="n"/>
      <c r="L1143" s="19">
        <f>IF($C1143="","",ROUND(IFERROR(VLOOKUP($C1143,账户期初,2,0),0)+SUMIFS($J$4:J1143,$C$4:C1143,$C1143)-SUMIFS($K$4:K1143,$C$4:C1143,$C1143),2))</f>
        <v/>
      </c>
      <c r="M1143" s="19">
        <f>IF($C1143="","",ROUND(SUM(基础资料!$B$4:$B$13)+SUM($J$4:J1143)-SUM($K$4:K1143),2))</f>
        <v/>
      </c>
      <c r="N1143" s="13" t="n"/>
      <c r="O1143" s="13" t="n"/>
      <c r="P1143" s="17">
        <f>IF($B1143="","",IF($F1143="※类别不在基础资料里","※费用类别不在基础资料里",IF(AND(N($J1143)=0,N($K1143)=0),"※这行没填金额",IF(AND(N($J1143)&gt;0,N($K1143)&gt;0),"※收入和支出不能同一行都填",IF(AND($D1143="收入",N($J1143)=0),"※收入行要填收入金额",IF(AND($D1143="支出",N($K1143)=0),"※支出行要填支出金额",IF(AND($C1143&lt;&gt;"",ISNA(MATCH($C1143,账户表,0))),"※账户不在基础资料里",IF(AND($G1143&lt;&gt;"",ISNA(MATCH($G1143,项目名表,0))),"※项目不在项目台账里",IF(AND(LEFT($F1143,3)="成本-",$G1143=""),"※成本类支出没填项目",IF(AND(LEFT($F1143,3)="成本-",$H1143&lt;&gt;"",N($K1143)&gt;0,COUNTIFS(采购单!$B:$B,$B1143,采购单!$C:$C,$H1143,采购单!$L:$L,$K1143)&gt;0),"※这笔可能和采购单重复了",""))))))))))</f>
        <v/>
      </c>
    </row>
    <row r="1144">
      <c r="A1144" s="17">
        <f>IF($B1144="","",ROW()-3)</f>
        <v/>
      </c>
      <c r="B1144" s="18" t="n"/>
      <c r="C1144" s="13" t="n"/>
      <c r="D1144" s="13" t="n"/>
      <c r="E1144" s="13" t="n"/>
      <c r="F1144" s="17">
        <f>IF($E1144="","",IFERROR(VLOOKUP($E1144,类别归属,2,0),"※类别不在基础资料里"))</f>
        <v/>
      </c>
      <c r="G1144" s="13" t="n"/>
      <c r="H1144" s="13" t="n"/>
      <c r="I1144" s="13" t="n"/>
      <c r="J1144" s="14" t="n"/>
      <c r="K1144" s="14" t="n"/>
      <c r="L1144" s="19">
        <f>IF($C1144="","",ROUND(IFERROR(VLOOKUP($C1144,账户期初,2,0),0)+SUMIFS($J$4:J1144,$C$4:C1144,$C1144)-SUMIFS($K$4:K1144,$C$4:C1144,$C1144),2))</f>
        <v/>
      </c>
      <c r="M1144" s="19">
        <f>IF($C1144="","",ROUND(SUM(基础资料!$B$4:$B$13)+SUM($J$4:J1144)-SUM($K$4:K1144),2))</f>
        <v/>
      </c>
      <c r="N1144" s="13" t="n"/>
      <c r="O1144" s="13" t="n"/>
      <c r="P1144" s="17">
        <f>IF($B1144="","",IF($F1144="※类别不在基础资料里","※费用类别不在基础资料里",IF(AND(N($J1144)=0,N($K1144)=0),"※这行没填金额",IF(AND(N($J1144)&gt;0,N($K1144)&gt;0),"※收入和支出不能同一行都填",IF(AND($D1144="收入",N($J1144)=0),"※收入行要填收入金额",IF(AND($D1144="支出",N($K1144)=0),"※支出行要填支出金额",IF(AND($C1144&lt;&gt;"",ISNA(MATCH($C1144,账户表,0))),"※账户不在基础资料里",IF(AND($G1144&lt;&gt;"",ISNA(MATCH($G1144,项目名表,0))),"※项目不在项目台账里",IF(AND(LEFT($F1144,3)="成本-",$G1144=""),"※成本类支出没填项目",IF(AND(LEFT($F1144,3)="成本-",$H1144&lt;&gt;"",N($K1144)&gt;0,COUNTIFS(采购单!$B:$B,$B1144,采购单!$C:$C,$H1144,采购单!$L:$L,$K1144)&gt;0),"※这笔可能和采购单重复了",""))))))))))</f>
        <v/>
      </c>
    </row>
    <row r="1145">
      <c r="A1145" s="17">
        <f>IF($B1145="","",ROW()-3)</f>
        <v/>
      </c>
      <c r="B1145" s="18" t="n"/>
      <c r="C1145" s="13" t="n"/>
      <c r="D1145" s="13" t="n"/>
      <c r="E1145" s="13" t="n"/>
      <c r="F1145" s="17">
        <f>IF($E1145="","",IFERROR(VLOOKUP($E1145,类别归属,2,0),"※类别不在基础资料里"))</f>
        <v/>
      </c>
      <c r="G1145" s="13" t="n"/>
      <c r="H1145" s="13" t="n"/>
      <c r="I1145" s="13" t="n"/>
      <c r="J1145" s="14" t="n"/>
      <c r="K1145" s="14" t="n"/>
      <c r="L1145" s="19">
        <f>IF($C1145="","",ROUND(IFERROR(VLOOKUP($C1145,账户期初,2,0),0)+SUMIFS($J$4:J1145,$C$4:C1145,$C1145)-SUMIFS($K$4:K1145,$C$4:C1145,$C1145),2))</f>
        <v/>
      </c>
      <c r="M1145" s="19">
        <f>IF($C1145="","",ROUND(SUM(基础资料!$B$4:$B$13)+SUM($J$4:J1145)-SUM($K$4:K1145),2))</f>
        <v/>
      </c>
      <c r="N1145" s="13" t="n"/>
      <c r="O1145" s="13" t="n"/>
      <c r="P1145" s="17">
        <f>IF($B1145="","",IF($F1145="※类别不在基础资料里","※费用类别不在基础资料里",IF(AND(N($J1145)=0,N($K1145)=0),"※这行没填金额",IF(AND(N($J1145)&gt;0,N($K1145)&gt;0),"※收入和支出不能同一行都填",IF(AND($D1145="收入",N($J1145)=0),"※收入行要填收入金额",IF(AND($D1145="支出",N($K1145)=0),"※支出行要填支出金额",IF(AND($C1145&lt;&gt;"",ISNA(MATCH($C1145,账户表,0))),"※账户不在基础资料里",IF(AND($G1145&lt;&gt;"",ISNA(MATCH($G1145,项目名表,0))),"※项目不在项目台账里",IF(AND(LEFT($F1145,3)="成本-",$G1145=""),"※成本类支出没填项目",IF(AND(LEFT($F1145,3)="成本-",$H1145&lt;&gt;"",N($K1145)&gt;0,COUNTIFS(采购单!$B:$B,$B1145,采购单!$C:$C,$H1145,采购单!$L:$L,$K1145)&gt;0),"※这笔可能和采购单重复了",""))))))))))</f>
        <v/>
      </c>
    </row>
    <row r="1146">
      <c r="A1146" s="17">
        <f>IF($B1146="","",ROW()-3)</f>
        <v/>
      </c>
      <c r="B1146" s="18" t="n"/>
      <c r="C1146" s="13" t="n"/>
      <c r="D1146" s="13" t="n"/>
      <c r="E1146" s="13" t="n"/>
      <c r="F1146" s="17">
        <f>IF($E1146="","",IFERROR(VLOOKUP($E1146,类别归属,2,0),"※类别不在基础资料里"))</f>
        <v/>
      </c>
      <c r="G1146" s="13" t="n"/>
      <c r="H1146" s="13" t="n"/>
      <c r="I1146" s="13" t="n"/>
      <c r="J1146" s="14" t="n"/>
      <c r="K1146" s="14" t="n"/>
      <c r="L1146" s="19">
        <f>IF($C1146="","",ROUND(IFERROR(VLOOKUP($C1146,账户期初,2,0),0)+SUMIFS($J$4:J1146,$C$4:C1146,$C1146)-SUMIFS($K$4:K1146,$C$4:C1146,$C1146),2))</f>
        <v/>
      </c>
      <c r="M1146" s="19">
        <f>IF($C1146="","",ROUND(SUM(基础资料!$B$4:$B$13)+SUM($J$4:J1146)-SUM($K$4:K1146),2))</f>
        <v/>
      </c>
      <c r="N1146" s="13" t="n"/>
      <c r="O1146" s="13" t="n"/>
      <c r="P1146" s="17">
        <f>IF($B1146="","",IF($F1146="※类别不在基础资料里","※费用类别不在基础资料里",IF(AND(N($J1146)=0,N($K1146)=0),"※这行没填金额",IF(AND(N($J1146)&gt;0,N($K1146)&gt;0),"※收入和支出不能同一行都填",IF(AND($D1146="收入",N($J1146)=0),"※收入行要填收入金额",IF(AND($D1146="支出",N($K1146)=0),"※支出行要填支出金额",IF(AND($C1146&lt;&gt;"",ISNA(MATCH($C1146,账户表,0))),"※账户不在基础资料里",IF(AND($G1146&lt;&gt;"",ISNA(MATCH($G1146,项目名表,0))),"※项目不在项目台账里",IF(AND(LEFT($F1146,3)="成本-",$G1146=""),"※成本类支出没填项目",IF(AND(LEFT($F1146,3)="成本-",$H1146&lt;&gt;"",N($K1146)&gt;0,COUNTIFS(采购单!$B:$B,$B1146,采购单!$C:$C,$H1146,采购单!$L:$L,$K1146)&gt;0),"※这笔可能和采购单重复了",""))))))))))</f>
        <v/>
      </c>
    </row>
    <row r="1147">
      <c r="A1147" s="17">
        <f>IF($B1147="","",ROW()-3)</f>
        <v/>
      </c>
      <c r="B1147" s="18" t="n"/>
      <c r="C1147" s="13" t="n"/>
      <c r="D1147" s="13" t="n"/>
      <c r="E1147" s="13" t="n"/>
      <c r="F1147" s="17">
        <f>IF($E1147="","",IFERROR(VLOOKUP($E1147,类别归属,2,0),"※类别不在基础资料里"))</f>
        <v/>
      </c>
      <c r="G1147" s="13" t="n"/>
      <c r="H1147" s="13" t="n"/>
      <c r="I1147" s="13" t="n"/>
      <c r="J1147" s="14" t="n"/>
      <c r="K1147" s="14" t="n"/>
      <c r="L1147" s="19">
        <f>IF($C1147="","",ROUND(IFERROR(VLOOKUP($C1147,账户期初,2,0),0)+SUMIFS($J$4:J1147,$C$4:C1147,$C1147)-SUMIFS($K$4:K1147,$C$4:C1147,$C1147),2))</f>
        <v/>
      </c>
      <c r="M1147" s="19">
        <f>IF($C1147="","",ROUND(SUM(基础资料!$B$4:$B$13)+SUM($J$4:J1147)-SUM($K$4:K1147),2))</f>
        <v/>
      </c>
      <c r="N1147" s="13" t="n"/>
      <c r="O1147" s="13" t="n"/>
      <c r="P1147" s="17">
        <f>IF($B1147="","",IF($F1147="※类别不在基础资料里","※费用类别不在基础资料里",IF(AND(N($J1147)=0,N($K1147)=0),"※这行没填金额",IF(AND(N($J1147)&gt;0,N($K1147)&gt;0),"※收入和支出不能同一行都填",IF(AND($D1147="收入",N($J1147)=0),"※收入行要填收入金额",IF(AND($D1147="支出",N($K1147)=0),"※支出行要填支出金额",IF(AND($C1147&lt;&gt;"",ISNA(MATCH($C1147,账户表,0))),"※账户不在基础资料里",IF(AND($G1147&lt;&gt;"",ISNA(MATCH($G1147,项目名表,0))),"※项目不在项目台账里",IF(AND(LEFT($F1147,3)="成本-",$G1147=""),"※成本类支出没填项目",IF(AND(LEFT($F1147,3)="成本-",$H1147&lt;&gt;"",N($K1147)&gt;0,COUNTIFS(采购单!$B:$B,$B1147,采购单!$C:$C,$H1147,采购单!$L:$L,$K1147)&gt;0),"※这笔可能和采购单重复了",""))))))))))</f>
        <v/>
      </c>
    </row>
    <row r="1148">
      <c r="A1148" s="17">
        <f>IF($B1148="","",ROW()-3)</f>
        <v/>
      </c>
      <c r="B1148" s="18" t="n"/>
      <c r="C1148" s="13" t="n"/>
      <c r="D1148" s="13" t="n"/>
      <c r="E1148" s="13" t="n"/>
      <c r="F1148" s="17">
        <f>IF($E1148="","",IFERROR(VLOOKUP($E1148,类别归属,2,0),"※类别不在基础资料里"))</f>
        <v/>
      </c>
      <c r="G1148" s="13" t="n"/>
      <c r="H1148" s="13" t="n"/>
      <c r="I1148" s="13" t="n"/>
      <c r="J1148" s="14" t="n"/>
      <c r="K1148" s="14" t="n"/>
      <c r="L1148" s="19">
        <f>IF($C1148="","",ROUND(IFERROR(VLOOKUP($C1148,账户期初,2,0),0)+SUMIFS($J$4:J1148,$C$4:C1148,$C1148)-SUMIFS($K$4:K1148,$C$4:C1148,$C1148),2))</f>
        <v/>
      </c>
      <c r="M1148" s="19">
        <f>IF($C1148="","",ROUND(SUM(基础资料!$B$4:$B$13)+SUM($J$4:J1148)-SUM($K$4:K1148),2))</f>
        <v/>
      </c>
      <c r="N1148" s="13" t="n"/>
      <c r="O1148" s="13" t="n"/>
      <c r="P1148" s="17">
        <f>IF($B1148="","",IF($F1148="※类别不在基础资料里","※费用类别不在基础资料里",IF(AND(N($J1148)=0,N($K1148)=0),"※这行没填金额",IF(AND(N($J1148)&gt;0,N($K1148)&gt;0),"※收入和支出不能同一行都填",IF(AND($D1148="收入",N($J1148)=0),"※收入行要填收入金额",IF(AND($D1148="支出",N($K1148)=0),"※支出行要填支出金额",IF(AND($C1148&lt;&gt;"",ISNA(MATCH($C1148,账户表,0))),"※账户不在基础资料里",IF(AND($G1148&lt;&gt;"",ISNA(MATCH($G1148,项目名表,0))),"※项目不在项目台账里",IF(AND(LEFT($F1148,3)="成本-",$G1148=""),"※成本类支出没填项目",IF(AND(LEFT($F1148,3)="成本-",$H1148&lt;&gt;"",N($K1148)&gt;0,COUNTIFS(采购单!$B:$B,$B1148,采购单!$C:$C,$H1148,采购单!$L:$L,$K1148)&gt;0),"※这笔可能和采购单重复了",""))))))))))</f>
        <v/>
      </c>
    </row>
    <row r="1149">
      <c r="A1149" s="17">
        <f>IF($B1149="","",ROW()-3)</f>
        <v/>
      </c>
      <c r="B1149" s="18" t="n"/>
      <c r="C1149" s="13" t="n"/>
      <c r="D1149" s="13" t="n"/>
      <c r="E1149" s="13" t="n"/>
      <c r="F1149" s="17">
        <f>IF($E1149="","",IFERROR(VLOOKUP($E1149,类别归属,2,0),"※类别不在基础资料里"))</f>
        <v/>
      </c>
      <c r="G1149" s="13" t="n"/>
      <c r="H1149" s="13" t="n"/>
      <c r="I1149" s="13" t="n"/>
      <c r="J1149" s="14" t="n"/>
      <c r="K1149" s="14" t="n"/>
      <c r="L1149" s="19">
        <f>IF($C1149="","",ROUND(IFERROR(VLOOKUP($C1149,账户期初,2,0),0)+SUMIFS($J$4:J1149,$C$4:C1149,$C1149)-SUMIFS($K$4:K1149,$C$4:C1149,$C1149),2))</f>
        <v/>
      </c>
      <c r="M1149" s="19">
        <f>IF($C1149="","",ROUND(SUM(基础资料!$B$4:$B$13)+SUM($J$4:J1149)-SUM($K$4:K1149),2))</f>
        <v/>
      </c>
      <c r="N1149" s="13" t="n"/>
      <c r="O1149" s="13" t="n"/>
      <c r="P1149" s="17">
        <f>IF($B1149="","",IF($F1149="※类别不在基础资料里","※费用类别不在基础资料里",IF(AND(N($J1149)=0,N($K1149)=0),"※这行没填金额",IF(AND(N($J1149)&gt;0,N($K1149)&gt;0),"※收入和支出不能同一行都填",IF(AND($D1149="收入",N($J1149)=0),"※收入行要填收入金额",IF(AND($D1149="支出",N($K1149)=0),"※支出行要填支出金额",IF(AND($C1149&lt;&gt;"",ISNA(MATCH($C1149,账户表,0))),"※账户不在基础资料里",IF(AND($G1149&lt;&gt;"",ISNA(MATCH($G1149,项目名表,0))),"※项目不在项目台账里",IF(AND(LEFT($F1149,3)="成本-",$G1149=""),"※成本类支出没填项目",IF(AND(LEFT($F1149,3)="成本-",$H1149&lt;&gt;"",N($K1149)&gt;0,COUNTIFS(采购单!$B:$B,$B1149,采购单!$C:$C,$H1149,采购单!$L:$L,$K1149)&gt;0),"※这笔可能和采购单重复了",""))))))))))</f>
        <v/>
      </c>
    </row>
    <row r="1150">
      <c r="A1150" s="17">
        <f>IF($B1150="","",ROW()-3)</f>
        <v/>
      </c>
      <c r="B1150" s="18" t="n"/>
      <c r="C1150" s="13" t="n"/>
      <c r="D1150" s="13" t="n"/>
      <c r="E1150" s="13" t="n"/>
      <c r="F1150" s="17">
        <f>IF($E1150="","",IFERROR(VLOOKUP($E1150,类别归属,2,0),"※类别不在基础资料里"))</f>
        <v/>
      </c>
      <c r="G1150" s="13" t="n"/>
      <c r="H1150" s="13" t="n"/>
      <c r="I1150" s="13" t="n"/>
      <c r="J1150" s="14" t="n"/>
      <c r="K1150" s="14" t="n"/>
      <c r="L1150" s="19">
        <f>IF($C1150="","",ROUND(IFERROR(VLOOKUP($C1150,账户期初,2,0),0)+SUMIFS($J$4:J1150,$C$4:C1150,$C1150)-SUMIFS($K$4:K1150,$C$4:C1150,$C1150),2))</f>
        <v/>
      </c>
      <c r="M1150" s="19">
        <f>IF($C1150="","",ROUND(SUM(基础资料!$B$4:$B$13)+SUM($J$4:J1150)-SUM($K$4:K1150),2))</f>
        <v/>
      </c>
      <c r="N1150" s="13" t="n"/>
      <c r="O1150" s="13" t="n"/>
      <c r="P1150" s="17">
        <f>IF($B1150="","",IF($F1150="※类别不在基础资料里","※费用类别不在基础资料里",IF(AND(N($J1150)=0,N($K1150)=0),"※这行没填金额",IF(AND(N($J1150)&gt;0,N($K1150)&gt;0),"※收入和支出不能同一行都填",IF(AND($D1150="收入",N($J1150)=0),"※收入行要填收入金额",IF(AND($D1150="支出",N($K1150)=0),"※支出行要填支出金额",IF(AND($C1150&lt;&gt;"",ISNA(MATCH($C1150,账户表,0))),"※账户不在基础资料里",IF(AND($G1150&lt;&gt;"",ISNA(MATCH($G1150,项目名表,0))),"※项目不在项目台账里",IF(AND(LEFT($F1150,3)="成本-",$G1150=""),"※成本类支出没填项目",IF(AND(LEFT($F1150,3)="成本-",$H1150&lt;&gt;"",N($K1150)&gt;0,COUNTIFS(采购单!$B:$B,$B1150,采购单!$C:$C,$H1150,采购单!$L:$L,$K1150)&gt;0),"※这笔可能和采购单重复了",""))))))))))</f>
        <v/>
      </c>
    </row>
    <row r="1151">
      <c r="A1151" s="17">
        <f>IF($B1151="","",ROW()-3)</f>
        <v/>
      </c>
      <c r="B1151" s="18" t="n"/>
      <c r="C1151" s="13" t="n"/>
      <c r="D1151" s="13" t="n"/>
      <c r="E1151" s="13" t="n"/>
      <c r="F1151" s="17">
        <f>IF($E1151="","",IFERROR(VLOOKUP($E1151,类别归属,2,0),"※类别不在基础资料里"))</f>
        <v/>
      </c>
      <c r="G1151" s="13" t="n"/>
      <c r="H1151" s="13" t="n"/>
      <c r="I1151" s="13" t="n"/>
      <c r="J1151" s="14" t="n"/>
      <c r="K1151" s="14" t="n"/>
      <c r="L1151" s="19">
        <f>IF($C1151="","",ROUND(IFERROR(VLOOKUP($C1151,账户期初,2,0),0)+SUMIFS($J$4:J1151,$C$4:C1151,$C1151)-SUMIFS($K$4:K1151,$C$4:C1151,$C1151),2))</f>
        <v/>
      </c>
      <c r="M1151" s="19">
        <f>IF($C1151="","",ROUND(SUM(基础资料!$B$4:$B$13)+SUM($J$4:J1151)-SUM($K$4:K1151),2))</f>
        <v/>
      </c>
      <c r="N1151" s="13" t="n"/>
      <c r="O1151" s="13" t="n"/>
      <c r="P1151" s="17">
        <f>IF($B1151="","",IF($F1151="※类别不在基础资料里","※费用类别不在基础资料里",IF(AND(N($J1151)=0,N($K1151)=0),"※这行没填金额",IF(AND(N($J1151)&gt;0,N($K1151)&gt;0),"※收入和支出不能同一行都填",IF(AND($D1151="收入",N($J1151)=0),"※收入行要填收入金额",IF(AND($D1151="支出",N($K1151)=0),"※支出行要填支出金额",IF(AND($C1151&lt;&gt;"",ISNA(MATCH($C1151,账户表,0))),"※账户不在基础资料里",IF(AND($G1151&lt;&gt;"",ISNA(MATCH($G1151,项目名表,0))),"※项目不在项目台账里",IF(AND(LEFT($F1151,3)="成本-",$G1151=""),"※成本类支出没填项目",IF(AND(LEFT($F1151,3)="成本-",$H1151&lt;&gt;"",N($K1151)&gt;0,COUNTIFS(采购单!$B:$B,$B1151,采购单!$C:$C,$H1151,采购单!$L:$L,$K1151)&gt;0),"※这笔可能和采购单重复了",""))))))))))</f>
        <v/>
      </c>
    </row>
    <row r="1152">
      <c r="A1152" s="17">
        <f>IF($B1152="","",ROW()-3)</f>
        <v/>
      </c>
      <c r="B1152" s="18" t="n"/>
      <c r="C1152" s="13" t="n"/>
      <c r="D1152" s="13" t="n"/>
      <c r="E1152" s="13" t="n"/>
      <c r="F1152" s="17">
        <f>IF($E1152="","",IFERROR(VLOOKUP($E1152,类别归属,2,0),"※类别不在基础资料里"))</f>
        <v/>
      </c>
      <c r="G1152" s="13" t="n"/>
      <c r="H1152" s="13" t="n"/>
      <c r="I1152" s="13" t="n"/>
      <c r="J1152" s="14" t="n"/>
      <c r="K1152" s="14" t="n"/>
      <c r="L1152" s="19">
        <f>IF($C1152="","",ROUND(IFERROR(VLOOKUP($C1152,账户期初,2,0),0)+SUMIFS($J$4:J1152,$C$4:C1152,$C1152)-SUMIFS($K$4:K1152,$C$4:C1152,$C1152),2))</f>
        <v/>
      </c>
      <c r="M1152" s="19">
        <f>IF($C1152="","",ROUND(SUM(基础资料!$B$4:$B$13)+SUM($J$4:J1152)-SUM($K$4:K1152),2))</f>
        <v/>
      </c>
      <c r="N1152" s="13" t="n"/>
      <c r="O1152" s="13" t="n"/>
      <c r="P1152" s="17">
        <f>IF($B1152="","",IF($F1152="※类别不在基础资料里","※费用类别不在基础资料里",IF(AND(N($J1152)=0,N($K1152)=0),"※这行没填金额",IF(AND(N($J1152)&gt;0,N($K1152)&gt;0),"※收入和支出不能同一行都填",IF(AND($D1152="收入",N($J1152)=0),"※收入行要填收入金额",IF(AND($D1152="支出",N($K1152)=0),"※支出行要填支出金额",IF(AND($C1152&lt;&gt;"",ISNA(MATCH($C1152,账户表,0))),"※账户不在基础资料里",IF(AND($G1152&lt;&gt;"",ISNA(MATCH($G1152,项目名表,0))),"※项目不在项目台账里",IF(AND(LEFT($F1152,3)="成本-",$G1152=""),"※成本类支出没填项目",IF(AND(LEFT($F1152,3)="成本-",$H1152&lt;&gt;"",N($K1152)&gt;0,COUNTIFS(采购单!$B:$B,$B1152,采购单!$C:$C,$H1152,采购单!$L:$L,$K1152)&gt;0),"※这笔可能和采购单重复了",""))))))))))</f>
        <v/>
      </c>
    </row>
    <row r="1153">
      <c r="A1153" s="17">
        <f>IF($B1153="","",ROW()-3)</f>
        <v/>
      </c>
      <c r="B1153" s="18" t="n"/>
      <c r="C1153" s="13" t="n"/>
      <c r="D1153" s="13" t="n"/>
      <c r="E1153" s="13" t="n"/>
      <c r="F1153" s="17">
        <f>IF($E1153="","",IFERROR(VLOOKUP($E1153,类别归属,2,0),"※类别不在基础资料里"))</f>
        <v/>
      </c>
      <c r="G1153" s="13" t="n"/>
      <c r="H1153" s="13" t="n"/>
      <c r="I1153" s="13" t="n"/>
      <c r="J1153" s="14" t="n"/>
      <c r="K1153" s="14" t="n"/>
      <c r="L1153" s="19">
        <f>IF($C1153="","",ROUND(IFERROR(VLOOKUP($C1153,账户期初,2,0),0)+SUMIFS($J$4:J1153,$C$4:C1153,$C1153)-SUMIFS($K$4:K1153,$C$4:C1153,$C1153),2))</f>
        <v/>
      </c>
      <c r="M1153" s="19">
        <f>IF($C1153="","",ROUND(SUM(基础资料!$B$4:$B$13)+SUM($J$4:J1153)-SUM($K$4:K1153),2))</f>
        <v/>
      </c>
      <c r="N1153" s="13" t="n"/>
      <c r="O1153" s="13" t="n"/>
      <c r="P1153" s="17">
        <f>IF($B1153="","",IF($F1153="※类别不在基础资料里","※费用类别不在基础资料里",IF(AND(N($J1153)=0,N($K1153)=0),"※这行没填金额",IF(AND(N($J1153)&gt;0,N($K1153)&gt;0),"※收入和支出不能同一行都填",IF(AND($D1153="收入",N($J1153)=0),"※收入行要填收入金额",IF(AND($D1153="支出",N($K1153)=0),"※支出行要填支出金额",IF(AND($C1153&lt;&gt;"",ISNA(MATCH($C1153,账户表,0))),"※账户不在基础资料里",IF(AND($G1153&lt;&gt;"",ISNA(MATCH($G1153,项目名表,0))),"※项目不在项目台账里",IF(AND(LEFT($F1153,3)="成本-",$G1153=""),"※成本类支出没填项目",IF(AND(LEFT($F1153,3)="成本-",$H1153&lt;&gt;"",N($K1153)&gt;0,COUNTIFS(采购单!$B:$B,$B1153,采购单!$C:$C,$H1153,采购单!$L:$L,$K1153)&gt;0),"※这笔可能和采购单重复了",""))))))))))</f>
        <v/>
      </c>
    </row>
    <row r="1154">
      <c r="A1154" s="17">
        <f>IF($B1154="","",ROW()-3)</f>
        <v/>
      </c>
      <c r="B1154" s="18" t="n"/>
      <c r="C1154" s="13" t="n"/>
      <c r="D1154" s="13" t="n"/>
      <c r="E1154" s="13" t="n"/>
      <c r="F1154" s="17">
        <f>IF($E1154="","",IFERROR(VLOOKUP($E1154,类别归属,2,0),"※类别不在基础资料里"))</f>
        <v/>
      </c>
      <c r="G1154" s="13" t="n"/>
      <c r="H1154" s="13" t="n"/>
      <c r="I1154" s="13" t="n"/>
      <c r="J1154" s="14" t="n"/>
      <c r="K1154" s="14" t="n"/>
      <c r="L1154" s="19">
        <f>IF($C1154="","",ROUND(IFERROR(VLOOKUP($C1154,账户期初,2,0),0)+SUMIFS($J$4:J1154,$C$4:C1154,$C1154)-SUMIFS($K$4:K1154,$C$4:C1154,$C1154),2))</f>
        <v/>
      </c>
      <c r="M1154" s="19">
        <f>IF($C1154="","",ROUND(SUM(基础资料!$B$4:$B$13)+SUM($J$4:J1154)-SUM($K$4:K1154),2))</f>
        <v/>
      </c>
      <c r="N1154" s="13" t="n"/>
      <c r="O1154" s="13" t="n"/>
      <c r="P1154" s="17">
        <f>IF($B1154="","",IF($F1154="※类别不在基础资料里","※费用类别不在基础资料里",IF(AND(N($J1154)=0,N($K1154)=0),"※这行没填金额",IF(AND(N($J1154)&gt;0,N($K1154)&gt;0),"※收入和支出不能同一行都填",IF(AND($D1154="收入",N($J1154)=0),"※收入行要填收入金额",IF(AND($D1154="支出",N($K1154)=0),"※支出行要填支出金额",IF(AND($C1154&lt;&gt;"",ISNA(MATCH($C1154,账户表,0))),"※账户不在基础资料里",IF(AND($G1154&lt;&gt;"",ISNA(MATCH($G1154,项目名表,0))),"※项目不在项目台账里",IF(AND(LEFT($F1154,3)="成本-",$G1154=""),"※成本类支出没填项目",IF(AND(LEFT($F1154,3)="成本-",$H1154&lt;&gt;"",N($K1154)&gt;0,COUNTIFS(采购单!$B:$B,$B1154,采购单!$C:$C,$H1154,采购单!$L:$L,$K1154)&gt;0),"※这笔可能和采购单重复了",""))))))))))</f>
        <v/>
      </c>
    </row>
    <row r="1155">
      <c r="A1155" s="17">
        <f>IF($B1155="","",ROW()-3)</f>
        <v/>
      </c>
      <c r="B1155" s="18" t="n"/>
      <c r="C1155" s="13" t="n"/>
      <c r="D1155" s="13" t="n"/>
      <c r="E1155" s="13" t="n"/>
      <c r="F1155" s="17">
        <f>IF($E1155="","",IFERROR(VLOOKUP($E1155,类别归属,2,0),"※类别不在基础资料里"))</f>
        <v/>
      </c>
      <c r="G1155" s="13" t="n"/>
      <c r="H1155" s="13" t="n"/>
      <c r="I1155" s="13" t="n"/>
      <c r="J1155" s="14" t="n"/>
      <c r="K1155" s="14" t="n"/>
      <c r="L1155" s="19">
        <f>IF($C1155="","",ROUND(IFERROR(VLOOKUP($C1155,账户期初,2,0),0)+SUMIFS($J$4:J1155,$C$4:C1155,$C1155)-SUMIFS($K$4:K1155,$C$4:C1155,$C1155),2))</f>
        <v/>
      </c>
      <c r="M1155" s="19">
        <f>IF($C1155="","",ROUND(SUM(基础资料!$B$4:$B$13)+SUM($J$4:J1155)-SUM($K$4:K1155),2))</f>
        <v/>
      </c>
      <c r="N1155" s="13" t="n"/>
      <c r="O1155" s="13" t="n"/>
      <c r="P1155" s="17">
        <f>IF($B1155="","",IF($F1155="※类别不在基础资料里","※费用类别不在基础资料里",IF(AND(N($J1155)=0,N($K1155)=0),"※这行没填金额",IF(AND(N($J1155)&gt;0,N($K1155)&gt;0),"※收入和支出不能同一行都填",IF(AND($D1155="收入",N($J1155)=0),"※收入行要填收入金额",IF(AND($D1155="支出",N($K1155)=0),"※支出行要填支出金额",IF(AND($C1155&lt;&gt;"",ISNA(MATCH($C1155,账户表,0))),"※账户不在基础资料里",IF(AND($G1155&lt;&gt;"",ISNA(MATCH($G1155,项目名表,0))),"※项目不在项目台账里",IF(AND(LEFT($F1155,3)="成本-",$G1155=""),"※成本类支出没填项目",IF(AND(LEFT($F1155,3)="成本-",$H1155&lt;&gt;"",N($K1155)&gt;0,COUNTIFS(采购单!$B:$B,$B1155,采购单!$C:$C,$H1155,采购单!$L:$L,$K1155)&gt;0),"※这笔可能和采购单重复了",""))))))))))</f>
        <v/>
      </c>
    </row>
    <row r="1156">
      <c r="A1156" s="17">
        <f>IF($B1156="","",ROW()-3)</f>
        <v/>
      </c>
      <c r="B1156" s="18" t="n"/>
      <c r="C1156" s="13" t="n"/>
      <c r="D1156" s="13" t="n"/>
      <c r="E1156" s="13" t="n"/>
      <c r="F1156" s="17">
        <f>IF($E1156="","",IFERROR(VLOOKUP($E1156,类别归属,2,0),"※类别不在基础资料里"))</f>
        <v/>
      </c>
      <c r="G1156" s="13" t="n"/>
      <c r="H1156" s="13" t="n"/>
      <c r="I1156" s="13" t="n"/>
      <c r="J1156" s="14" t="n"/>
      <c r="K1156" s="14" t="n"/>
      <c r="L1156" s="19">
        <f>IF($C1156="","",ROUND(IFERROR(VLOOKUP($C1156,账户期初,2,0),0)+SUMIFS($J$4:J1156,$C$4:C1156,$C1156)-SUMIFS($K$4:K1156,$C$4:C1156,$C1156),2))</f>
        <v/>
      </c>
      <c r="M1156" s="19">
        <f>IF($C1156="","",ROUND(SUM(基础资料!$B$4:$B$13)+SUM($J$4:J1156)-SUM($K$4:K1156),2))</f>
        <v/>
      </c>
      <c r="N1156" s="13" t="n"/>
      <c r="O1156" s="13" t="n"/>
      <c r="P1156" s="17">
        <f>IF($B1156="","",IF($F1156="※类别不在基础资料里","※费用类别不在基础资料里",IF(AND(N($J1156)=0,N($K1156)=0),"※这行没填金额",IF(AND(N($J1156)&gt;0,N($K1156)&gt;0),"※收入和支出不能同一行都填",IF(AND($D1156="收入",N($J1156)=0),"※收入行要填收入金额",IF(AND($D1156="支出",N($K1156)=0),"※支出行要填支出金额",IF(AND($C1156&lt;&gt;"",ISNA(MATCH($C1156,账户表,0))),"※账户不在基础资料里",IF(AND($G1156&lt;&gt;"",ISNA(MATCH($G1156,项目名表,0))),"※项目不在项目台账里",IF(AND(LEFT($F1156,3)="成本-",$G1156=""),"※成本类支出没填项目",IF(AND(LEFT($F1156,3)="成本-",$H1156&lt;&gt;"",N($K1156)&gt;0,COUNTIFS(采购单!$B:$B,$B1156,采购单!$C:$C,$H1156,采购单!$L:$L,$K1156)&gt;0),"※这笔可能和采购单重复了",""))))))))))</f>
        <v/>
      </c>
    </row>
    <row r="1157">
      <c r="A1157" s="17">
        <f>IF($B1157="","",ROW()-3)</f>
        <v/>
      </c>
      <c r="B1157" s="18" t="n"/>
      <c r="C1157" s="13" t="n"/>
      <c r="D1157" s="13" t="n"/>
      <c r="E1157" s="13" t="n"/>
      <c r="F1157" s="17">
        <f>IF($E1157="","",IFERROR(VLOOKUP($E1157,类别归属,2,0),"※类别不在基础资料里"))</f>
        <v/>
      </c>
      <c r="G1157" s="13" t="n"/>
      <c r="H1157" s="13" t="n"/>
      <c r="I1157" s="13" t="n"/>
      <c r="J1157" s="14" t="n"/>
      <c r="K1157" s="14" t="n"/>
      <c r="L1157" s="19">
        <f>IF($C1157="","",ROUND(IFERROR(VLOOKUP($C1157,账户期初,2,0),0)+SUMIFS($J$4:J1157,$C$4:C1157,$C1157)-SUMIFS($K$4:K1157,$C$4:C1157,$C1157),2))</f>
        <v/>
      </c>
      <c r="M1157" s="19">
        <f>IF($C1157="","",ROUND(SUM(基础资料!$B$4:$B$13)+SUM($J$4:J1157)-SUM($K$4:K1157),2))</f>
        <v/>
      </c>
      <c r="N1157" s="13" t="n"/>
      <c r="O1157" s="13" t="n"/>
      <c r="P1157" s="17">
        <f>IF($B1157="","",IF($F1157="※类别不在基础资料里","※费用类别不在基础资料里",IF(AND(N($J1157)=0,N($K1157)=0),"※这行没填金额",IF(AND(N($J1157)&gt;0,N($K1157)&gt;0),"※收入和支出不能同一行都填",IF(AND($D1157="收入",N($J1157)=0),"※收入行要填收入金额",IF(AND($D1157="支出",N($K1157)=0),"※支出行要填支出金额",IF(AND($C1157&lt;&gt;"",ISNA(MATCH($C1157,账户表,0))),"※账户不在基础资料里",IF(AND($G1157&lt;&gt;"",ISNA(MATCH($G1157,项目名表,0))),"※项目不在项目台账里",IF(AND(LEFT($F1157,3)="成本-",$G1157=""),"※成本类支出没填项目",IF(AND(LEFT($F1157,3)="成本-",$H1157&lt;&gt;"",N($K1157)&gt;0,COUNTIFS(采购单!$B:$B,$B1157,采购单!$C:$C,$H1157,采购单!$L:$L,$K1157)&gt;0),"※这笔可能和采购单重复了",""))))))))))</f>
        <v/>
      </c>
    </row>
    <row r="1158">
      <c r="A1158" s="17">
        <f>IF($B1158="","",ROW()-3)</f>
        <v/>
      </c>
      <c r="B1158" s="18" t="n"/>
      <c r="C1158" s="13" t="n"/>
      <c r="D1158" s="13" t="n"/>
      <c r="E1158" s="13" t="n"/>
      <c r="F1158" s="17">
        <f>IF($E1158="","",IFERROR(VLOOKUP($E1158,类别归属,2,0),"※类别不在基础资料里"))</f>
        <v/>
      </c>
      <c r="G1158" s="13" t="n"/>
      <c r="H1158" s="13" t="n"/>
      <c r="I1158" s="13" t="n"/>
      <c r="J1158" s="14" t="n"/>
      <c r="K1158" s="14" t="n"/>
      <c r="L1158" s="19">
        <f>IF($C1158="","",ROUND(IFERROR(VLOOKUP($C1158,账户期初,2,0),0)+SUMIFS($J$4:J1158,$C$4:C1158,$C1158)-SUMIFS($K$4:K1158,$C$4:C1158,$C1158),2))</f>
        <v/>
      </c>
      <c r="M1158" s="19">
        <f>IF($C1158="","",ROUND(SUM(基础资料!$B$4:$B$13)+SUM($J$4:J1158)-SUM($K$4:K1158),2))</f>
        <v/>
      </c>
      <c r="N1158" s="13" t="n"/>
      <c r="O1158" s="13" t="n"/>
      <c r="P1158" s="17">
        <f>IF($B1158="","",IF($F1158="※类别不在基础资料里","※费用类别不在基础资料里",IF(AND(N($J1158)=0,N($K1158)=0),"※这行没填金额",IF(AND(N($J1158)&gt;0,N($K1158)&gt;0),"※收入和支出不能同一行都填",IF(AND($D1158="收入",N($J1158)=0),"※收入行要填收入金额",IF(AND($D1158="支出",N($K1158)=0),"※支出行要填支出金额",IF(AND($C1158&lt;&gt;"",ISNA(MATCH($C1158,账户表,0))),"※账户不在基础资料里",IF(AND($G1158&lt;&gt;"",ISNA(MATCH($G1158,项目名表,0))),"※项目不在项目台账里",IF(AND(LEFT($F1158,3)="成本-",$G1158=""),"※成本类支出没填项目",IF(AND(LEFT($F1158,3)="成本-",$H1158&lt;&gt;"",N($K1158)&gt;0,COUNTIFS(采购单!$B:$B,$B1158,采购单!$C:$C,$H1158,采购单!$L:$L,$K1158)&gt;0),"※这笔可能和采购单重复了",""))))))))))</f>
        <v/>
      </c>
    </row>
    <row r="1159">
      <c r="A1159" s="17">
        <f>IF($B1159="","",ROW()-3)</f>
        <v/>
      </c>
      <c r="B1159" s="18" t="n"/>
      <c r="C1159" s="13" t="n"/>
      <c r="D1159" s="13" t="n"/>
      <c r="E1159" s="13" t="n"/>
      <c r="F1159" s="17">
        <f>IF($E1159="","",IFERROR(VLOOKUP($E1159,类别归属,2,0),"※类别不在基础资料里"))</f>
        <v/>
      </c>
      <c r="G1159" s="13" t="n"/>
      <c r="H1159" s="13" t="n"/>
      <c r="I1159" s="13" t="n"/>
      <c r="J1159" s="14" t="n"/>
      <c r="K1159" s="14" t="n"/>
      <c r="L1159" s="19">
        <f>IF($C1159="","",ROUND(IFERROR(VLOOKUP($C1159,账户期初,2,0),0)+SUMIFS($J$4:J1159,$C$4:C1159,$C1159)-SUMIFS($K$4:K1159,$C$4:C1159,$C1159),2))</f>
        <v/>
      </c>
      <c r="M1159" s="19">
        <f>IF($C1159="","",ROUND(SUM(基础资料!$B$4:$B$13)+SUM($J$4:J1159)-SUM($K$4:K1159),2))</f>
        <v/>
      </c>
      <c r="N1159" s="13" t="n"/>
      <c r="O1159" s="13" t="n"/>
      <c r="P1159" s="17">
        <f>IF($B1159="","",IF($F1159="※类别不在基础资料里","※费用类别不在基础资料里",IF(AND(N($J1159)=0,N($K1159)=0),"※这行没填金额",IF(AND(N($J1159)&gt;0,N($K1159)&gt;0),"※收入和支出不能同一行都填",IF(AND($D1159="收入",N($J1159)=0),"※收入行要填收入金额",IF(AND($D1159="支出",N($K1159)=0),"※支出行要填支出金额",IF(AND($C1159&lt;&gt;"",ISNA(MATCH($C1159,账户表,0))),"※账户不在基础资料里",IF(AND($G1159&lt;&gt;"",ISNA(MATCH($G1159,项目名表,0))),"※项目不在项目台账里",IF(AND(LEFT($F1159,3)="成本-",$G1159=""),"※成本类支出没填项目",IF(AND(LEFT($F1159,3)="成本-",$H1159&lt;&gt;"",N($K1159)&gt;0,COUNTIFS(采购单!$B:$B,$B1159,采购单!$C:$C,$H1159,采购单!$L:$L,$K1159)&gt;0),"※这笔可能和采购单重复了",""))))))))))</f>
        <v/>
      </c>
    </row>
    <row r="1160">
      <c r="A1160" s="17">
        <f>IF($B1160="","",ROW()-3)</f>
        <v/>
      </c>
      <c r="B1160" s="18" t="n"/>
      <c r="C1160" s="13" t="n"/>
      <c r="D1160" s="13" t="n"/>
      <c r="E1160" s="13" t="n"/>
      <c r="F1160" s="17">
        <f>IF($E1160="","",IFERROR(VLOOKUP($E1160,类别归属,2,0),"※类别不在基础资料里"))</f>
        <v/>
      </c>
      <c r="G1160" s="13" t="n"/>
      <c r="H1160" s="13" t="n"/>
      <c r="I1160" s="13" t="n"/>
      <c r="J1160" s="14" t="n"/>
      <c r="K1160" s="14" t="n"/>
      <c r="L1160" s="19">
        <f>IF($C1160="","",ROUND(IFERROR(VLOOKUP($C1160,账户期初,2,0),0)+SUMIFS($J$4:J1160,$C$4:C1160,$C1160)-SUMIFS($K$4:K1160,$C$4:C1160,$C1160),2))</f>
        <v/>
      </c>
      <c r="M1160" s="19">
        <f>IF($C1160="","",ROUND(SUM(基础资料!$B$4:$B$13)+SUM($J$4:J1160)-SUM($K$4:K1160),2))</f>
        <v/>
      </c>
      <c r="N1160" s="13" t="n"/>
      <c r="O1160" s="13" t="n"/>
      <c r="P1160" s="17">
        <f>IF($B1160="","",IF($F1160="※类别不在基础资料里","※费用类别不在基础资料里",IF(AND(N($J1160)=0,N($K1160)=0),"※这行没填金额",IF(AND(N($J1160)&gt;0,N($K1160)&gt;0),"※收入和支出不能同一行都填",IF(AND($D1160="收入",N($J1160)=0),"※收入行要填收入金额",IF(AND($D1160="支出",N($K1160)=0),"※支出行要填支出金额",IF(AND($C1160&lt;&gt;"",ISNA(MATCH($C1160,账户表,0))),"※账户不在基础资料里",IF(AND($G1160&lt;&gt;"",ISNA(MATCH($G1160,项目名表,0))),"※项目不在项目台账里",IF(AND(LEFT($F1160,3)="成本-",$G1160=""),"※成本类支出没填项目",IF(AND(LEFT($F1160,3)="成本-",$H1160&lt;&gt;"",N($K1160)&gt;0,COUNTIFS(采购单!$B:$B,$B1160,采购单!$C:$C,$H1160,采购单!$L:$L,$K1160)&gt;0),"※这笔可能和采购单重复了",""))))))))))</f>
        <v/>
      </c>
    </row>
    <row r="1161">
      <c r="A1161" s="17">
        <f>IF($B1161="","",ROW()-3)</f>
        <v/>
      </c>
      <c r="B1161" s="18" t="n"/>
      <c r="C1161" s="13" t="n"/>
      <c r="D1161" s="13" t="n"/>
      <c r="E1161" s="13" t="n"/>
      <c r="F1161" s="17">
        <f>IF($E1161="","",IFERROR(VLOOKUP($E1161,类别归属,2,0),"※类别不在基础资料里"))</f>
        <v/>
      </c>
      <c r="G1161" s="13" t="n"/>
      <c r="H1161" s="13" t="n"/>
      <c r="I1161" s="13" t="n"/>
      <c r="J1161" s="14" t="n"/>
      <c r="K1161" s="14" t="n"/>
      <c r="L1161" s="19">
        <f>IF($C1161="","",ROUND(IFERROR(VLOOKUP($C1161,账户期初,2,0),0)+SUMIFS($J$4:J1161,$C$4:C1161,$C1161)-SUMIFS($K$4:K1161,$C$4:C1161,$C1161),2))</f>
        <v/>
      </c>
      <c r="M1161" s="19">
        <f>IF($C1161="","",ROUND(SUM(基础资料!$B$4:$B$13)+SUM($J$4:J1161)-SUM($K$4:K1161),2))</f>
        <v/>
      </c>
      <c r="N1161" s="13" t="n"/>
      <c r="O1161" s="13" t="n"/>
      <c r="P1161" s="17">
        <f>IF($B1161="","",IF($F1161="※类别不在基础资料里","※费用类别不在基础资料里",IF(AND(N($J1161)=0,N($K1161)=0),"※这行没填金额",IF(AND(N($J1161)&gt;0,N($K1161)&gt;0),"※收入和支出不能同一行都填",IF(AND($D1161="收入",N($J1161)=0),"※收入行要填收入金额",IF(AND($D1161="支出",N($K1161)=0),"※支出行要填支出金额",IF(AND($C1161&lt;&gt;"",ISNA(MATCH($C1161,账户表,0))),"※账户不在基础资料里",IF(AND($G1161&lt;&gt;"",ISNA(MATCH($G1161,项目名表,0))),"※项目不在项目台账里",IF(AND(LEFT($F1161,3)="成本-",$G1161=""),"※成本类支出没填项目",IF(AND(LEFT($F1161,3)="成本-",$H1161&lt;&gt;"",N($K1161)&gt;0,COUNTIFS(采购单!$B:$B,$B1161,采购单!$C:$C,$H1161,采购单!$L:$L,$K1161)&gt;0),"※这笔可能和采购单重复了",""))))))))))</f>
        <v/>
      </c>
    </row>
    <row r="1162">
      <c r="A1162" s="17">
        <f>IF($B1162="","",ROW()-3)</f>
        <v/>
      </c>
      <c r="B1162" s="18" t="n"/>
      <c r="C1162" s="13" t="n"/>
      <c r="D1162" s="13" t="n"/>
      <c r="E1162" s="13" t="n"/>
      <c r="F1162" s="17">
        <f>IF($E1162="","",IFERROR(VLOOKUP($E1162,类别归属,2,0),"※类别不在基础资料里"))</f>
        <v/>
      </c>
      <c r="G1162" s="13" t="n"/>
      <c r="H1162" s="13" t="n"/>
      <c r="I1162" s="13" t="n"/>
      <c r="J1162" s="14" t="n"/>
      <c r="K1162" s="14" t="n"/>
      <c r="L1162" s="19">
        <f>IF($C1162="","",ROUND(IFERROR(VLOOKUP($C1162,账户期初,2,0),0)+SUMIFS($J$4:J1162,$C$4:C1162,$C1162)-SUMIFS($K$4:K1162,$C$4:C1162,$C1162),2))</f>
        <v/>
      </c>
      <c r="M1162" s="19">
        <f>IF($C1162="","",ROUND(SUM(基础资料!$B$4:$B$13)+SUM($J$4:J1162)-SUM($K$4:K1162),2))</f>
        <v/>
      </c>
      <c r="N1162" s="13" t="n"/>
      <c r="O1162" s="13" t="n"/>
      <c r="P1162" s="17">
        <f>IF($B1162="","",IF($F1162="※类别不在基础资料里","※费用类别不在基础资料里",IF(AND(N($J1162)=0,N($K1162)=0),"※这行没填金额",IF(AND(N($J1162)&gt;0,N($K1162)&gt;0),"※收入和支出不能同一行都填",IF(AND($D1162="收入",N($J1162)=0),"※收入行要填收入金额",IF(AND($D1162="支出",N($K1162)=0),"※支出行要填支出金额",IF(AND($C1162&lt;&gt;"",ISNA(MATCH($C1162,账户表,0))),"※账户不在基础资料里",IF(AND($G1162&lt;&gt;"",ISNA(MATCH($G1162,项目名表,0))),"※项目不在项目台账里",IF(AND(LEFT($F1162,3)="成本-",$G1162=""),"※成本类支出没填项目",IF(AND(LEFT($F1162,3)="成本-",$H1162&lt;&gt;"",N($K1162)&gt;0,COUNTIFS(采购单!$B:$B,$B1162,采购单!$C:$C,$H1162,采购单!$L:$L,$K1162)&gt;0),"※这笔可能和采购单重复了",""))))))))))</f>
        <v/>
      </c>
    </row>
    <row r="1163">
      <c r="A1163" s="17">
        <f>IF($B1163="","",ROW()-3)</f>
        <v/>
      </c>
      <c r="B1163" s="18" t="n"/>
      <c r="C1163" s="13" t="n"/>
      <c r="D1163" s="13" t="n"/>
      <c r="E1163" s="13" t="n"/>
      <c r="F1163" s="17">
        <f>IF($E1163="","",IFERROR(VLOOKUP($E1163,类别归属,2,0),"※类别不在基础资料里"))</f>
        <v/>
      </c>
      <c r="G1163" s="13" t="n"/>
      <c r="H1163" s="13" t="n"/>
      <c r="I1163" s="13" t="n"/>
      <c r="J1163" s="14" t="n"/>
      <c r="K1163" s="14" t="n"/>
      <c r="L1163" s="19">
        <f>IF($C1163="","",ROUND(IFERROR(VLOOKUP($C1163,账户期初,2,0),0)+SUMIFS($J$4:J1163,$C$4:C1163,$C1163)-SUMIFS($K$4:K1163,$C$4:C1163,$C1163),2))</f>
        <v/>
      </c>
      <c r="M1163" s="19">
        <f>IF($C1163="","",ROUND(SUM(基础资料!$B$4:$B$13)+SUM($J$4:J1163)-SUM($K$4:K1163),2))</f>
        <v/>
      </c>
      <c r="N1163" s="13" t="n"/>
      <c r="O1163" s="13" t="n"/>
      <c r="P1163" s="17">
        <f>IF($B1163="","",IF($F1163="※类别不在基础资料里","※费用类别不在基础资料里",IF(AND(N($J1163)=0,N($K1163)=0),"※这行没填金额",IF(AND(N($J1163)&gt;0,N($K1163)&gt;0),"※收入和支出不能同一行都填",IF(AND($D1163="收入",N($J1163)=0),"※收入行要填收入金额",IF(AND($D1163="支出",N($K1163)=0),"※支出行要填支出金额",IF(AND($C1163&lt;&gt;"",ISNA(MATCH($C1163,账户表,0))),"※账户不在基础资料里",IF(AND($G1163&lt;&gt;"",ISNA(MATCH($G1163,项目名表,0))),"※项目不在项目台账里",IF(AND(LEFT($F1163,3)="成本-",$G1163=""),"※成本类支出没填项目",IF(AND(LEFT($F1163,3)="成本-",$H1163&lt;&gt;"",N($K1163)&gt;0,COUNTIFS(采购单!$B:$B,$B1163,采购单!$C:$C,$H1163,采购单!$L:$L,$K1163)&gt;0),"※这笔可能和采购单重复了",""))))))))))</f>
        <v/>
      </c>
    </row>
    <row r="1164">
      <c r="A1164" s="17">
        <f>IF($B1164="","",ROW()-3)</f>
        <v/>
      </c>
      <c r="B1164" s="18" t="n"/>
      <c r="C1164" s="13" t="n"/>
      <c r="D1164" s="13" t="n"/>
      <c r="E1164" s="13" t="n"/>
      <c r="F1164" s="17">
        <f>IF($E1164="","",IFERROR(VLOOKUP($E1164,类别归属,2,0),"※类别不在基础资料里"))</f>
        <v/>
      </c>
      <c r="G1164" s="13" t="n"/>
      <c r="H1164" s="13" t="n"/>
      <c r="I1164" s="13" t="n"/>
      <c r="J1164" s="14" t="n"/>
      <c r="K1164" s="14" t="n"/>
      <c r="L1164" s="19">
        <f>IF($C1164="","",ROUND(IFERROR(VLOOKUP($C1164,账户期初,2,0),0)+SUMIFS($J$4:J1164,$C$4:C1164,$C1164)-SUMIFS($K$4:K1164,$C$4:C1164,$C1164),2))</f>
        <v/>
      </c>
      <c r="M1164" s="19">
        <f>IF($C1164="","",ROUND(SUM(基础资料!$B$4:$B$13)+SUM($J$4:J1164)-SUM($K$4:K1164),2))</f>
        <v/>
      </c>
      <c r="N1164" s="13" t="n"/>
      <c r="O1164" s="13" t="n"/>
      <c r="P1164" s="17">
        <f>IF($B1164="","",IF($F1164="※类别不在基础资料里","※费用类别不在基础资料里",IF(AND(N($J1164)=0,N($K1164)=0),"※这行没填金额",IF(AND(N($J1164)&gt;0,N($K1164)&gt;0),"※收入和支出不能同一行都填",IF(AND($D1164="收入",N($J1164)=0),"※收入行要填收入金额",IF(AND($D1164="支出",N($K1164)=0),"※支出行要填支出金额",IF(AND($C1164&lt;&gt;"",ISNA(MATCH($C1164,账户表,0))),"※账户不在基础资料里",IF(AND($G1164&lt;&gt;"",ISNA(MATCH($G1164,项目名表,0))),"※项目不在项目台账里",IF(AND(LEFT($F1164,3)="成本-",$G1164=""),"※成本类支出没填项目",IF(AND(LEFT($F1164,3)="成本-",$H1164&lt;&gt;"",N($K1164)&gt;0,COUNTIFS(采购单!$B:$B,$B1164,采购单!$C:$C,$H1164,采购单!$L:$L,$K1164)&gt;0),"※这笔可能和采购单重复了",""))))))))))</f>
        <v/>
      </c>
    </row>
    <row r="1165">
      <c r="A1165" s="17">
        <f>IF($B1165="","",ROW()-3)</f>
        <v/>
      </c>
      <c r="B1165" s="18" t="n"/>
      <c r="C1165" s="13" t="n"/>
      <c r="D1165" s="13" t="n"/>
      <c r="E1165" s="13" t="n"/>
      <c r="F1165" s="17">
        <f>IF($E1165="","",IFERROR(VLOOKUP($E1165,类别归属,2,0),"※类别不在基础资料里"))</f>
        <v/>
      </c>
      <c r="G1165" s="13" t="n"/>
      <c r="H1165" s="13" t="n"/>
      <c r="I1165" s="13" t="n"/>
      <c r="J1165" s="14" t="n"/>
      <c r="K1165" s="14" t="n"/>
      <c r="L1165" s="19">
        <f>IF($C1165="","",ROUND(IFERROR(VLOOKUP($C1165,账户期初,2,0),0)+SUMIFS($J$4:J1165,$C$4:C1165,$C1165)-SUMIFS($K$4:K1165,$C$4:C1165,$C1165),2))</f>
        <v/>
      </c>
      <c r="M1165" s="19">
        <f>IF($C1165="","",ROUND(SUM(基础资料!$B$4:$B$13)+SUM($J$4:J1165)-SUM($K$4:K1165),2))</f>
        <v/>
      </c>
      <c r="N1165" s="13" t="n"/>
      <c r="O1165" s="13" t="n"/>
      <c r="P1165" s="17">
        <f>IF($B1165="","",IF($F1165="※类别不在基础资料里","※费用类别不在基础资料里",IF(AND(N($J1165)=0,N($K1165)=0),"※这行没填金额",IF(AND(N($J1165)&gt;0,N($K1165)&gt;0),"※收入和支出不能同一行都填",IF(AND($D1165="收入",N($J1165)=0),"※收入行要填收入金额",IF(AND($D1165="支出",N($K1165)=0),"※支出行要填支出金额",IF(AND($C1165&lt;&gt;"",ISNA(MATCH($C1165,账户表,0))),"※账户不在基础资料里",IF(AND($G1165&lt;&gt;"",ISNA(MATCH($G1165,项目名表,0))),"※项目不在项目台账里",IF(AND(LEFT($F1165,3)="成本-",$G1165=""),"※成本类支出没填项目",IF(AND(LEFT($F1165,3)="成本-",$H1165&lt;&gt;"",N($K1165)&gt;0,COUNTIFS(采购单!$B:$B,$B1165,采购单!$C:$C,$H1165,采购单!$L:$L,$K1165)&gt;0),"※这笔可能和采购单重复了",""))))))))))</f>
        <v/>
      </c>
    </row>
    <row r="1166">
      <c r="A1166" s="17">
        <f>IF($B1166="","",ROW()-3)</f>
        <v/>
      </c>
      <c r="B1166" s="18" t="n"/>
      <c r="C1166" s="13" t="n"/>
      <c r="D1166" s="13" t="n"/>
      <c r="E1166" s="13" t="n"/>
      <c r="F1166" s="17">
        <f>IF($E1166="","",IFERROR(VLOOKUP($E1166,类别归属,2,0),"※类别不在基础资料里"))</f>
        <v/>
      </c>
      <c r="G1166" s="13" t="n"/>
      <c r="H1166" s="13" t="n"/>
      <c r="I1166" s="13" t="n"/>
      <c r="J1166" s="14" t="n"/>
      <c r="K1166" s="14" t="n"/>
      <c r="L1166" s="19">
        <f>IF($C1166="","",ROUND(IFERROR(VLOOKUP($C1166,账户期初,2,0),0)+SUMIFS($J$4:J1166,$C$4:C1166,$C1166)-SUMIFS($K$4:K1166,$C$4:C1166,$C1166),2))</f>
        <v/>
      </c>
      <c r="M1166" s="19">
        <f>IF($C1166="","",ROUND(SUM(基础资料!$B$4:$B$13)+SUM($J$4:J1166)-SUM($K$4:K1166),2))</f>
        <v/>
      </c>
      <c r="N1166" s="13" t="n"/>
      <c r="O1166" s="13" t="n"/>
      <c r="P1166" s="17">
        <f>IF($B1166="","",IF($F1166="※类别不在基础资料里","※费用类别不在基础资料里",IF(AND(N($J1166)=0,N($K1166)=0),"※这行没填金额",IF(AND(N($J1166)&gt;0,N($K1166)&gt;0),"※收入和支出不能同一行都填",IF(AND($D1166="收入",N($J1166)=0),"※收入行要填收入金额",IF(AND($D1166="支出",N($K1166)=0),"※支出行要填支出金额",IF(AND($C1166&lt;&gt;"",ISNA(MATCH($C1166,账户表,0))),"※账户不在基础资料里",IF(AND($G1166&lt;&gt;"",ISNA(MATCH($G1166,项目名表,0))),"※项目不在项目台账里",IF(AND(LEFT($F1166,3)="成本-",$G1166=""),"※成本类支出没填项目",IF(AND(LEFT($F1166,3)="成本-",$H1166&lt;&gt;"",N($K1166)&gt;0,COUNTIFS(采购单!$B:$B,$B1166,采购单!$C:$C,$H1166,采购单!$L:$L,$K1166)&gt;0),"※这笔可能和采购单重复了",""))))))))))</f>
        <v/>
      </c>
    </row>
    <row r="1167">
      <c r="A1167" s="17">
        <f>IF($B1167="","",ROW()-3)</f>
        <v/>
      </c>
      <c r="B1167" s="18" t="n"/>
      <c r="C1167" s="13" t="n"/>
      <c r="D1167" s="13" t="n"/>
      <c r="E1167" s="13" t="n"/>
      <c r="F1167" s="17">
        <f>IF($E1167="","",IFERROR(VLOOKUP($E1167,类别归属,2,0),"※类别不在基础资料里"))</f>
        <v/>
      </c>
      <c r="G1167" s="13" t="n"/>
      <c r="H1167" s="13" t="n"/>
      <c r="I1167" s="13" t="n"/>
      <c r="J1167" s="14" t="n"/>
      <c r="K1167" s="14" t="n"/>
      <c r="L1167" s="19">
        <f>IF($C1167="","",ROUND(IFERROR(VLOOKUP($C1167,账户期初,2,0),0)+SUMIFS($J$4:J1167,$C$4:C1167,$C1167)-SUMIFS($K$4:K1167,$C$4:C1167,$C1167),2))</f>
        <v/>
      </c>
      <c r="M1167" s="19">
        <f>IF($C1167="","",ROUND(SUM(基础资料!$B$4:$B$13)+SUM($J$4:J1167)-SUM($K$4:K1167),2))</f>
        <v/>
      </c>
      <c r="N1167" s="13" t="n"/>
      <c r="O1167" s="13" t="n"/>
      <c r="P1167" s="17">
        <f>IF($B1167="","",IF($F1167="※类别不在基础资料里","※费用类别不在基础资料里",IF(AND(N($J1167)=0,N($K1167)=0),"※这行没填金额",IF(AND(N($J1167)&gt;0,N($K1167)&gt;0),"※收入和支出不能同一行都填",IF(AND($D1167="收入",N($J1167)=0),"※收入行要填收入金额",IF(AND($D1167="支出",N($K1167)=0),"※支出行要填支出金额",IF(AND($C1167&lt;&gt;"",ISNA(MATCH($C1167,账户表,0))),"※账户不在基础资料里",IF(AND($G1167&lt;&gt;"",ISNA(MATCH($G1167,项目名表,0))),"※项目不在项目台账里",IF(AND(LEFT($F1167,3)="成本-",$G1167=""),"※成本类支出没填项目",IF(AND(LEFT($F1167,3)="成本-",$H1167&lt;&gt;"",N($K1167)&gt;0,COUNTIFS(采购单!$B:$B,$B1167,采购单!$C:$C,$H1167,采购单!$L:$L,$K1167)&gt;0),"※这笔可能和采购单重复了",""))))))))))</f>
        <v/>
      </c>
    </row>
    <row r="1168">
      <c r="A1168" s="17">
        <f>IF($B1168="","",ROW()-3)</f>
        <v/>
      </c>
      <c r="B1168" s="18" t="n"/>
      <c r="C1168" s="13" t="n"/>
      <c r="D1168" s="13" t="n"/>
      <c r="E1168" s="13" t="n"/>
      <c r="F1168" s="17">
        <f>IF($E1168="","",IFERROR(VLOOKUP($E1168,类别归属,2,0),"※类别不在基础资料里"))</f>
        <v/>
      </c>
      <c r="G1168" s="13" t="n"/>
      <c r="H1168" s="13" t="n"/>
      <c r="I1168" s="13" t="n"/>
      <c r="J1168" s="14" t="n"/>
      <c r="K1168" s="14" t="n"/>
      <c r="L1168" s="19">
        <f>IF($C1168="","",ROUND(IFERROR(VLOOKUP($C1168,账户期初,2,0),0)+SUMIFS($J$4:J1168,$C$4:C1168,$C1168)-SUMIFS($K$4:K1168,$C$4:C1168,$C1168),2))</f>
        <v/>
      </c>
      <c r="M1168" s="19">
        <f>IF($C1168="","",ROUND(SUM(基础资料!$B$4:$B$13)+SUM($J$4:J1168)-SUM($K$4:K1168),2))</f>
        <v/>
      </c>
      <c r="N1168" s="13" t="n"/>
      <c r="O1168" s="13" t="n"/>
      <c r="P1168" s="17">
        <f>IF($B1168="","",IF($F1168="※类别不在基础资料里","※费用类别不在基础资料里",IF(AND(N($J1168)=0,N($K1168)=0),"※这行没填金额",IF(AND(N($J1168)&gt;0,N($K1168)&gt;0),"※收入和支出不能同一行都填",IF(AND($D1168="收入",N($J1168)=0),"※收入行要填收入金额",IF(AND($D1168="支出",N($K1168)=0),"※支出行要填支出金额",IF(AND($C1168&lt;&gt;"",ISNA(MATCH($C1168,账户表,0))),"※账户不在基础资料里",IF(AND($G1168&lt;&gt;"",ISNA(MATCH($G1168,项目名表,0))),"※项目不在项目台账里",IF(AND(LEFT($F1168,3)="成本-",$G1168=""),"※成本类支出没填项目",IF(AND(LEFT($F1168,3)="成本-",$H1168&lt;&gt;"",N($K1168)&gt;0,COUNTIFS(采购单!$B:$B,$B1168,采购单!$C:$C,$H1168,采购单!$L:$L,$K1168)&gt;0),"※这笔可能和采购单重复了",""))))))))))</f>
        <v/>
      </c>
    </row>
    <row r="1169">
      <c r="A1169" s="17">
        <f>IF($B1169="","",ROW()-3)</f>
        <v/>
      </c>
      <c r="B1169" s="18" t="n"/>
      <c r="C1169" s="13" t="n"/>
      <c r="D1169" s="13" t="n"/>
      <c r="E1169" s="13" t="n"/>
      <c r="F1169" s="17">
        <f>IF($E1169="","",IFERROR(VLOOKUP($E1169,类别归属,2,0),"※类别不在基础资料里"))</f>
        <v/>
      </c>
      <c r="G1169" s="13" t="n"/>
      <c r="H1169" s="13" t="n"/>
      <c r="I1169" s="13" t="n"/>
      <c r="J1169" s="14" t="n"/>
      <c r="K1169" s="14" t="n"/>
      <c r="L1169" s="19">
        <f>IF($C1169="","",ROUND(IFERROR(VLOOKUP($C1169,账户期初,2,0),0)+SUMIFS($J$4:J1169,$C$4:C1169,$C1169)-SUMIFS($K$4:K1169,$C$4:C1169,$C1169),2))</f>
        <v/>
      </c>
      <c r="M1169" s="19">
        <f>IF($C1169="","",ROUND(SUM(基础资料!$B$4:$B$13)+SUM($J$4:J1169)-SUM($K$4:K1169),2))</f>
        <v/>
      </c>
      <c r="N1169" s="13" t="n"/>
      <c r="O1169" s="13" t="n"/>
      <c r="P1169" s="17">
        <f>IF($B1169="","",IF($F1169="※类别不在基础资料里","※费用类别不在基础资料里",IF(AND(N($J1169)=0,N($K1169)=0),"※这行没填金额",IF(AND(N($J1169)&gt;0,N($K1169)&gt;0),"※收入和支出不能同一行都填",IF(AND($D1169="收入",N($J1169)=0),"※收入行要填收入金额",IF(AND($D1169="支出",N($K1169)=0),"※支出行要填支出金额",IF(AND($C1169&lt;&gt;"",ISNA(MATCH($C1169,账户表,0))),"※账户不在基础资料里",IF(AND($G1169&lt;&gt;"",ISNA(MATCH($G1169,项目名表,0))),"※项目不在项目台账里",IF(AND(LEFT($F1169,3)="成本-",$G1169=""),"※成本类支出没填项目",IF(AND(LEFT($F1169,3)="成本-",$H1169&lt;&gt;"",N($K1169)&gt;0,COUNTIFS(采购单!$B:$B,$B1169,采购单!$C:$C,$H1169,采购单!$L:$L,$K1169)&gt;0),"※这笔可能和采购单重复了",""))))))))))</f>
        <v/>
      </c>
    </row>
    <row r="1170">
      <c r="A1170" s="17">
        <f>IF($B1170="","",ROW()-3)</f>
        <v/>
      </c>
      <c r="B1170" s="18" t="n"/>
      <c r="C1170" s="13" t="n"/>
      <c r="D1170" s="13" t="n"/>
      <c r="E1170" s="13" t="n"/>
      <c r="F1170" s="17">
        <f>IF($E1170="","",IFERROR(VLOOKUP($E1170,类别归属,2,0),"※类别不在基础资料里"))</f>
        <v/>
      </c>
      <c r="G1170" s="13" t="n"/>
      <c r="H1170" s="13" t="n"/>
      <c r="I1170" s="13" t="n"/>
      <c r="J1170" s="14" t="n"/>
      <c r="K1170" s="14" t="n"/>
      <c r="L1170" s="19">
        <f>IF($C1170="","",ROUND(IFERROR(VLOOKUP($C1170,账户期初,2,0),0)+SUMIFS($J$4:J1170,$C$4:C1170,$C1170)-SUMIFS($K$4:K1170,$C$4:C1170,$C1170),2))</f>
        <v/>
      </c>
      <c r="M1170" s="19">
        <f>IF($C1170="","",ROUND(SUM(基础资料!$B$4:$B$13)+SUM($J$4:J1170)-SUM($K$4:K1170),2))</f>
        <v/>
      </c>
      <c r="N1170" s="13" t="n"/>
      <c r="O1170" s="13" t="n"/>
      <c r="P1170" s="17">
        <f>IF($B1170="","",IF($F1170="※类别不在基础资料里","※费用类别不在基础资料里",IF(AND(N($J1170)=0,N($K1170)=0),"※这行没填金额",IF(AND(N($J1170)&gt;0,N($K1170)&gt;0),"※收入和支出不能同一行都填",IF(AND($D1170="收入",N($J1170)=0),"※收入行要填收入金额",IF(AND($D1170="支出",N($K1170)=0),"※支出行要填支出金额",IF(AND($C1170&lt;&gt;"",ISNA(MATCH($C1170,账户表,0))),"※账户不在基础资料里",IF(AND($G1170&lt;&gt;"",ISNA(MATCH($G1170,项目名表,0))),"※项目不在项目台账里",IF(AND(LEFT($F1170,3)="成本-",$G1170=""),"※成本类支出没填项目",IF(AND(LEFT($F1170,3)="成本-",$H1170&lt;&gt;"",N($K1170)&gt;0,COUNTIFS(采购单!$B:$B,$B1170,采购单!$C:$C,$H1170,采购单!$L:$L,$K1170)&gt;0),"※这笔可能和采购单重复了",""))))))))))</f>
        <v/>
      </c>
    </row>
    <row r="1171">
      <c r="A1171" s="17">
        <f>IF($B1171="","",ROW()-3)</f>
        <v/>
      </c>
      <c r="B1171" s="18" t="n"/>
      <c r="C1171" s="13" t="n"/>
      <c r="D1171" s="13" t="n"/>
      <c r="E1171" s="13" t="n"/>
      <c r="F1171" s="17">
        <f>IF($E1171="","",IFERROR(VLOOKUP($E1171,类别归属,2,0),"※类别不在基础资料里"))</f>
        <v/>
      </c>
      <c r="G1171" s="13" t="n"/>
      <c r="H1171" s="13" t="n"/>
      <c r="I1171" s="13" t="n"/>
      <c r="J1171" s="14" t="n"/>
      <c r="K1171" s="14" t="n"/>
      <c r="L1171" s="19">
        <f>IF($C1171="","",ROUND(IFERROR(VLOOKUP($C1171,账户期初,2,0),0)+SUMIFS($J$4:J1171,$C$4:C1171,$C1171)-SUMIFS($K$4:K1171,$C$4:C1171,$C1171),2))</f>
        <v/>
      </c>
      <c r="M1171" s="19">
        <f>IF($C1171="","",ROUND(SUM(基础资料!$B$4:$B$13)+SUM($J$4:J1171)-SUM($K$4:K1171),2))</f>
        <v/>
      </c>
      <c r="N1171" s="13" t="n"/>
      <c r="O1171" s="13" t="n"/>
      <c r="P1171" s="17">
        <f>IF($B1171="","",IF($F1171="※类别不在基础资料里","※费用类别不在基础资料里",IF(AND(N($J1171)=0,N($K1171)=0),"※这行没填金额",IF(AND(N($J1171)&gt;0,N($K1171)&gt;0),"※收入和支出不能同一行都填",IF(AND($D1171="收入",N($J1171)=0),"※收入行要填收入金额",IF(AND($D1171="支出",N($K1171)=0),"※支出行要填支出金额",IF(AND($C1171&lt;&gt;"",ISNA(MATCH($C1171,账户表,0))),"※账户不在基础资料里",IF(AND($G1171&lt;&gt;"",ISNA(MATCH($G1171,项目名表,0))),"※项目不在项目台账里",IF(AND(LEFT($F1171,3)="成本-",$G1171=""),"※成本类支出没填项目",IF(AND(LEFT($F1171,3)="成本-",$H1171&lt;&gt;"",N($K1171)&gt;0,COUNTIFS(采购单!$B:$B,$B1171,采购单!$C:$C,$H1171,采购单!$L:$L,$K1171)&gt;0),"※这笔可能和采购单重复了",""))))))))))</f>
        <v/>
      </c>
    </row>
    <row r="1172">
      <c r="A1172" s="17">
        <f>IF($B1172="","",ROW()-3)</f>
        <v/>
      </c>
      <c r="B1172" s="18" t="n"/>
      <c r="C1172" s="13" t="n"/>
      <c r="D1172" s="13" t="n"/>
      <c r="E1172" s="13" t="n"/>
      <c r="F1172" s="17">
        <f>IF($E1172="","",IFERROR(VLOOKUP($E1172,类别归属,2,0),"※类别不在基础资料里"))</f>
        <v/>
      </c>
      <c r="G1172" s="13" t="n"/>
      <c r="H1172" s="13" t="n"/>
      <c r="I1172" s="13" t="n"/>
      <c r="J1172" s="14" t="n"/>
      <c r="K1172" s="14" t="n"/>
      <c r="L1172" s="19">
        <f>IF($C1172="","",ROUND(IFERROR(VLOOKUP($C1172,账户期初,2,0),0)+SUMIFS($J$4:J1172,$C$4:C1172,$C1172)-SUMIFS($K$4:K1172,$C$4:C1172,$C1172),2))</f>
        <v/>
      </c>
      <c r="M1172" s="19">
        <f>IF($C1172="","",ROUND(SUM(基础资料!$B$4:$B$13)+SUM($J$4:J1172)-SUM($K$4:K1172),2))</f>
        <v/>
      </c>
      <c r="N1172" s="13" t="n"/>
      <c r="O1172" s="13" t="n"/>
      <c r="P1172" s="17">
        <f>IF($B1172="","",IF($F1172="※类别不在基础资料里","※费用类别不在基础资料里",IF(AND(N($J1172)=0,N($K1172)=0),"※这行没填金额",IF(AND(N($J1172)&gt;0,N($K1172)&gt;0),"※收入和支出不能同一行都填",IF(AND($D1172="收入",N($J1172)=0),"※收入行要填收入金额",IF(AND($D1172="支出",N($K1172)=0),"※支出行要填支出金额",IF(AND($C1172&lt;&gt;"",ISNA(MATCH($C1172,账户表,0))),"※账户不在基础资料里",IF(AND($G1172&lt;&gt;"",ISNA(MATCH($G1172,项目名表,0))),"※项目不在项目台账里",IF(AND(LEFT($F1172,3)="成本-",$G1172=""),"※成本类支出没填项目",IF(AND(LEFT($F1172,3)="成本-",$H1172&lt;&gt;"",N($K1172)&gt;0,COUNTIFS(采购单!$B:$B,$B1172,采购单!$C:$C,$H1172,采购单!$L:$L,$K1172)&gt;0),"※这笔可能和采购单重复了",""))))))))))</f>
        <v/>
      </c>
    </row>
    <row r="1173">
      <c r="A1173" s="17">
        <f>IF($B1173="","",ROW()-3)</f>
        <v/>
      </c>
      <c r="B1173" s="18" t="n"/>
      <c r="C1173" s="13" t="n"/>
      <c r="D1173" s="13" t="n"/>
      <c r="E1173" s="13" t="n"/>
      <c r="F1173" s="17">
        <f>IF($E1173="","",IFERROR(VLOOKUP($E1173,类别归属,2,0),"※类别不在基础资料里"))</f>
        <v/>
      </c>
      <c r="G1173" s="13" t="n"/>
      <c r="H1173" s="13" t="n"/>
      <c r="I1173" s="13" t="n"/>
      <c r="J1173" s="14" t="n"/>
      <c r="K1173" s="14" t="n"/>
      <c r="L1173" s="19">
        <f>IF($C1173="","",ROUND(IFERROR(VLOOKUP($C1173,账户期初,2,0),0)+SUMIFS($J$4:J1173,$C$4:C1173,$C1173)-SUMIFS($K$4:K1173,$C$4:C1173,$C1173),2))</f>
        <v/>
      </c>
      <c r="M1173" s="19">
        <f>IF($C1173="","",ROUND(SUM(基础资料!$B$4:$B$13)+SUM($J$4:J1173)-SUM($K$4:K1173),2))</f>
        <v/>
      </c>
      <c r="N1173" s="13" t="n"/>
      <c r="O1173" s="13" t="n"/>
      <c r="P1173" s="17">
        <f>IF($B1173="","",IF($F1173="※类别不在基础资料里","※费用类别不在基础资料里",IF(AND(N($J1173)=0,N($K1173)=0),"※这行没填金额",IF(AND(N($J1173)&gt;0,N($K1173)&gt;0),"※收入和支出不能同一行都填",IF(AND($D1173="收入",N($J1173)=0),"※收入行要填收入金额",IF(AND($D1173="支出",N($K1173)=0),"※支出行要填支出金额",IF(AND($C1173&lt;&gt;"",ISNA(MATCH($C1173,账户表,0))),"※账户不在基础资料里",IF(AND($G1173&lt;&gt;"",ISNA(MATCH($G1173,项目名表,0))),"※项目不在项目台账里",IF(AND(LEFT($F1173,3)="成本-",$G1173=""),"※成本类支出没填项目",IF(AND(LEFT($F1173,3)="成本-",$H1173&lt;&gt;"",N($K1173)&gt;0,COUNTIFS(采购单!$B:$B,$B1173,采购单!$C:$C,$H1173,采购单!$L:$L,$K1173)&gt;0),"※这笔可能和采购单重复了",""))))))))))</f>
        <v/>
      </c>
    </row>
    <row r="1174">
      <c r="A1174" s="17">
        <f>IF($B1174="","",ROW()-3)</f>
        <v/>
      </c>
      <c r="B1174" s="18" t="n"/>
      <c r="C1174" s="13" t="n"/>
      <c r="D1174" s="13" t="n"/>
      <c r="E1174" s="13" t="n"/>
      <c r="F1174" s="17">
        <f>IF($E1174="","",IFERROR(VLOOKUP($E1174,类别归属,2,0),"※类别不在基础资料里"))</f>
        <v/>
      </c>
      <c r="G1174" s="13" t="n"/>
      <c r="H1174" s="13" t="n"/>
      <c r="I1174" s="13" t="n"/>
      <c r="J1174" s="14" t="n"/>
      <c r="K1174" s="14" t="n"/>
      <c r="L1174" s="19">
        <f>IF($C1174="","",ROUND(IFERROR(VLOOKUP($C1174,账户期初,2,0),0)+SUMIFS($J$4:J1174,$C$4:C1174,$C1174)-SUMIFS($K$4:K1174,$C$4:C1174,$C1174),2))</f>
        <v/>
      </c>
      <c r="M1174" s="19">
        <f>IF($C1174="","",ROUND(SUM(基础资料!$B$4:$B$13)+SUM($J$4:J1174)-SUM($K$4:K1174),2))</f>
        <v/>
      </c>
      <c r="N1174" s="13" t="n"/>
      <c r="O1174" s="13" t="n"/>
      <c r="P1174" s="17">
        <f>IF($B1174="","",IF($F1174="※类别不在基础资料里","※费用类别不在基础资料里",IF(AND(N($J1174)=0,N($K1174)=0),"※这行没填金额",IF(AND(N($J1174)&gt;0,N($K1174)&gt;0),"※收入和支出不能同一行都填",IF(AND($D1174="收入",N($J1174)=0),"※收入行要填收入金额",IF(AND($D1174="支出",N($K1174)=0),"※支出行要填支出金额",IF(AND($C1174&lt;&gt;"",ISNA(MATCH($C1174,账户表,0))),"※账户不在基础资料里",IF(AND($G1174&lt;&gt;"",ISNA(MATCH($G1174,项目名表,0))),"※项目不在项目台账里",IF(AND(LEFT($F1174,3)="成本-",$G1174=""),"※成本类支出没填项目",IF(AND(LEFT($F1174,3)="成本-",$H1174&lt;&gt;"",N($K1174)&gt;0,COUNTIFS(采购单!$B:$B,$B1174,采购单!$C:$C,$H1174,采购单!$L:$L,$K1174)&gt;0),"※这笔可能和采购单重复了",""))))))))))</f>
        <v/>
      </c>
    </row>
    <row r="1175">
      <c r="A1175" s="17">
        <f>IF($B1175="","",ROW()-3)</f>
        <v/>
      </c>
      <c r="B1175" s="18" t="n"/>
      <c r="C1175" s="13" t="n"/>
      <c r="D1175" s="13" t="n"/>
      <c r="E1175" s="13" t="n"/>
      <c r="F1175" s="17">
        <f>IF($E1175="","",IFERROR(VLOOKUP($E1175,类别归属,2,0),"※类别不在基础资料里"))</f>
        <v/>
      </c>
      <c r="G1175" s="13" t="n"/>
      <c r="H1175" s="13" t="n"/>
      <c r="I1175" s="13" t="n"/>
      <c r="J1175" s="14" t="n"/>
      <c r="K1175" s="14" t="n"/>
      <c r="L1175" s="19">
        <f>IF($C1175="","",ROUND(IFERROR(VLOOKUP($C1175,账户期初,2,0),0)+SUMIFS($J$4:J1175,$C$4:C1175,$C1175)-SUMIFS($K$4:K1175,$C$4:C1175,$C1175),2))</f>
        <v/>
      </c>
      <c r="M1175" s="19">
        <f>IF($C1175="","",ROUND(SUM(基础资料!$B$4:$B$13)+SUM($J$4:J1175)-SUM($K$4:K1175),2))</f>
        <v/>
      </c>
      <c r="N1175" s="13" t="n"/>
      <c r="O1175" s="13" t="n"/>
      <c r="P1175" s="17">
        <f>IF($B1175="","",IF($F1175="※类别不在基础资料里","※费用类别不在基础资料里",IF(AND(N($J1175)=0,N($K1175)=0),"※这行没填金额",IF(AND(N($J1175)&gt;0,N($K1175)&gt;0),"※收入和支出不能同一行都填",IF(AND($D1175="收入",N($J1175)=0),"※收入行要填收入金额",IF(AND($D1175="支出",N($K1175)=0),"※支出行要填支出金额",IF(AND($C1175&lt;&gt;"",ISNA(MATCH($C1175,账户表,0))),"※账户不在基础资料里",IF(AND($G1175&lt;&gt;"",ISNA(MATCH($G1175,项目名表,0))),"※项目不在项目台账里",IF(AND(LEFT($F1175,3)="成本-",$G1175=""),"※成本类支出没填项目",IF(AND(LEFT($F1175,3)="成本-",$H1175&lt;&gt;"",N($K1175)&gt;0,COUNTIFS(采购单!$B:$B,$B1175,采购单!$C:$C,$H1175,采购单!$L:$L,$K1175)&gt;0),"※这笔可能和采购单重复了",""))))))))))</f>
        <v/>
      </c>
    </row>
    <row r="1176">
      <c r="A1176" s="17">
        <f>IF($B1176="","",ROW()-3)</f>
        <v/>
      </c>
      <c r="B1176" s="18" t="n"/>
      <c r="C1176" s="13" t="n"/>
      <c r="D1176" s="13" t="n"/>
      <c r="E1176" s="13" t="n"/>
      <c r="F1176" s="17">
        <f>IF($E1176="","",IFERROR(VLOOKUP($E1176,类别归属,2,0),"※类别不在基础资料里"))</f>
        <v/>
      </c>
      <c r="G1176" s="13" t="n"/>
      <c r="H1176" s="13" t="n"/>
      <c r="I1176" s="13" t="n"/>
      <c r="J1176" s="14" t="n"/>
      <c r="K1176" s="14" t="n"/>
      <c r="L1176" s="19">
        <f>IF($C1176="","",ROUND(IFERROR(VLOOKUP($C1176,账户期初,2,0),0)+SUMIFS($J$4:J1176,$C$4:C1176,$C1176)-SUMIFS($K$4:K1176,$C$4:C1176,$C1176),2))</f>
        <v/>
      </c>
      <c r="M1176" s="19">
        <f>IF($C1176="","",ROUND(SUM(基础资料!$B$4:$B$13)+SUM($J$4:J1176)-SUM($K$4:K1176),2))</f>
        <v/>
      </c>
      <c r="N1176" s="13" t="n"/>
      <c r="O1176" s="13" t="n"/>
      <c r="P1176" s="17">
        <f>IF($B1176="","",IF($F1176="※类别不在基础资料里","※费用类别不在基础资料里",IF(AND(N($J1176)=0,N($K1176)=0),"※这行没填金额",IF(AND(N($J1176)&gt;0,N($K1176)&gt;0),"※收入和支出不能同一行都填",IF(AND($D1176="收入",N($J1176)=0),"※收入行要填收入金额",IF(AND($D1176="支出",N($K1176)=0),"※支出行要填支出金额",IF(AND($C1176&lt;&gt;"",ISNA(MATCH($C1176,账户表,0))),"※账户不在基础资料里",IF(AND($G1176&lt;&gt;"",ISNA(MATCH($G1176,项目名表,0))),"※项目不在项目台账里",IF(AND(LEFT($F1176,3)="成本-",$G1176=""),"※成本类支出没填项目",IF(AND(LEFT($F1176,3)="成本-",$H1176&lt;&gt;"",N($K1176)&gt;0,COUNTIFS(采购单!$B:$B,$B1176,采购单!$C:$C,$H1176,采购单!$L:$L,$K1176)&gt;0),"※这笔可能和采购单重复了",""))))))))))</f>
        <v/>
      </c>
    </row>
    <row r="1177">
      <c r="A1177" s="17">
        <f>IF($B1177="","",ROW()-3)</f>
        <v/>
      </c>
      <c r="B1177" s="18" t="n"/>
      <c r="C1177" s="13" t="n"/>
      <c r="D1177" s="13" t="n"/>
      <c r="E1177" s="13" t="n"/>
      <c r="F1177" s="17">
        <f>IF($E1177="","",IFERROR(VLOOKUP($E1177,类别归属,2,0),"※类别不在基础资料里"))</f>
        <v/>
      </c>
      <c r="G1177" s="13" t="n"/>
      <c r="H1177" s="13" t="n"/>
      <c r="I1177" s="13" t="n"/>
      <c r="J1177" s="14" t="n"/>
      <c r="K1177" s="14" t="n"/>
      <c r="L1177" s="19">
        <f>IF($C1177="","",ROUND(IFERROR(VLOOKUP($C1177,账户期初,2,0),0)+SUMIFS($J$4:J1177,$C$4:C1177,$C1177)-SUMIFS($K$4:K1177,$C$4:C1177,$C1177),2))</f>
        <v/>
      </c>
      <c r="M1177" s="19">
        <f>IF($C1177="","",ROUND(SUM(基础资料!$B$4:$B$13)+SUM($J$4:J1177)-SUM($K$4:K1177),2))</f>
        <v/>
      </c>
      <c r="N1177" s="13" t="n"/>
      <c r="O1177" s="13" t="n"/>
      <c r="P1177" s="17">
        <f>IF($B1177="","",IF($F1177="※类别不在基础资料里","※费用类别不在基础资料里",IF(AND(N($J1177)=0,N($K1177)=0),"※这行没填金额",IF(AND(N($J1177)&gt;0,N($K1177)&gt;0),"※收入和支出不能同一行都填",IF(AND($D1177="收入",N($J1177)=0),"※收入行要填收入金额",IF(AND($D1177="支出",N($K1177)=0),"※支出行要填支出金额",IF(AND($C1177&lt;&gt;"",ISNA(MATCH($C1177,账户表,0))),"※账户不在基础资料里",IF(AND($G1177&lt;&gt;"",ISNA(MATCH($G1177,项目名表,0))),"※项目不在项目台账里",IF(AND(LEFT($F1177,3)="成本-",$G1177=""),"※成本类支出没填项目",IF(AND(LEFT($F1177,3)="成本-",$H1177&lt;&gt;"",N($K1177)&gt;0,COUNTIFS(采购单!$B:$B,$B1177,采购单!$C:$C,$H1177,采购单!$L:$L,$K1177)&gt;0),"※这笔可能和采购单重复了",""))))))))))</f>
        <v/>
      </c>
    </row>
    <row r="1178">
      <c r="A1178" s="17">
        <f>IF($B1178="","",ROW()-3)</f>
        <v/>
      </c>
      <c r="B1178" s="18" t="n"/>
      <c r="C1178" s="13" t="n"/>
      <c r="D1178" s="13" t="n"/>
      <c r="E1178" s="13" t="n"/>
      <c r="F1178" s="17">
        <f>IF($E1178="","",IFERROR(VLOOKUP($E1178,类别归属,2,0),"※类别不在基础资料里"))</f>
        <v/>
      </c>
      <c r="G1178" s="13" t="n"/>
      <c r="H1178" s="13" t="n"/>
      <c r="I1178" s="13" t="n"/>
      <c r="J1178" s="14" t="n"/>
      <c r="K1178" s="14" t="n"/>
      <c r="L1178" s="19">
        <f>IF($C1178="","",ROUND(IFERROR(VLOOKUP($C1178,账户期初,2,0),0)+SUMIFS($J$4:J1178,$C$4:C1178,$C1178)-SUMIFS($K$4:K1178,$C$4:C1178,$C1178),2))</f>
        <v/>
      </c>
      <c r="M1178" s="19">
        <f>IF($C1178="","",ROUND(SUM(基础资料!$B$4:$B$13)+SUM($J$4:J1178)-SUM($K$4:K1178),2))</f>
        <v/>
      </c>
      <c r="N1178" s="13" t="n"/>
      <c r="O1178" s="13" t="n"/>
      <c r="P1178" s="17">
        <f>IF($B1178="","",IF($F1178="※类别不在基础资料里","※费用类别不在基础资料里",IF(AND(N($J1178)=0,N($K1178)=0),"※这行没填金额",IF(AND(N($J1178)&gt;0,N($K1178)&gt;0),"※收入和支出不能同一行都填",IF(AND($D1178="收入",N($J1178)=0),"※收入行要填收入金额",IF(AND($D1178="支出",N($K1178)=0),"※支出行要填支出金额",IF(AND($C1178&lt;&gt;"",ISNA(MATCH($C1178,账户表,0))),"※账户不在基础资料里",IF(AND($G1178&lt;&gt;"",ISNA(MATCH($G1178,项目名表,0))),"※项目不在项目台账里",IF(AND(LEFT($F1178,3)="成本-",$G1178=""),"※成本类支出没填项目",IF(AND(LEFT($F1178,3)="成本-",$H1178&lt;&gt;"",N($K1178)&gt;0,COUNTIFS(采购单!$B:$B,$B1178,采购单!$C:$C,$H1178,采购单!$L:$L,$K1178)&gt;0),"※这笔可能和采购单重复了",""))))))))))</f>
        <v/>
      </c>
    </row>
    <row r="1179">
      <c r="A1179" s="17">
        <f>IF($B1179="","",ROW()-3)</f>
        <v/>
      </c>
      <c r="B1179" s="18" t="n"/>
      <c r="C1179" s="13" t="n"/>
      <c r="D1179" s="13" t="n"/>
      <c r="E1179" s="13" t="n"/>
      <c r="F1179" s="17">
        <f>IF($E1179="","",IFERROR(VLOOKUP($E1179,类别归属,2,0),"※类别不在基础资料里"))</f>
        <v/>
      </c>
      <c r="G1179" s="13" t="n"/>
      <c r="H1179" s="13" t="n"/>
      <c r="I1179" s="13" t="n"/>
      <c r="J1179" s="14" t="n"/>
      <c r="K1179" s="14" t="n"/>
      <c r="L1179" s="19">
        <f>IF($C1179="","",ROUND(IFERROR(VLOOKUP($C1179,账户期初,2,0),0)+SUMIFS($J$4:J1179,$C$4:C1179,$C1179)-SUMIFS($K$4:K1179,$C$4:C1179,$C1179),2))</f>
        <v/>
      </c>
      <c r="M1179" s="19">
        <f>IF($C1179="","",ROUND(SUM(基础资料!$B$4:$B$13)+SUM($J$4:J1179)-SUM($K$4:K1179),2))</f>
        <v/>
      </c>
      <c r="N1179" s="13" t="n"/>
      <c r="O1179" s="13" t="n"/>
      <c r="P1179" s="17">
        <f>IF($B1179="","",IF($F1179="※类别不在基础资料里","※费用类别不在基础资料里",IF(AND(N($J1179)=0,N($K1179)=0),"※这行没填金额",IF(AND(N($J1179)&gt;0,N($K1179)&gt;0),"※收入和支出不能同一行都填",IF(AND($D1179="收入",N($J1179)=0),"※收入行要填收入金额",IF(AND($D1179="支出",N($K1179)=0),"※支出行要填支出金额",IF(AND($C1179&lt;&gt;"",ISNA(MATCH($C1179,账户表,0))),"※账户不在基础资料里",IF(AND($G1179&lt;&gt;"",ISNA(MATCH($G1179,项目名表,0))),"※项目不在项目台账里",IF(AND(LEFT($F1179,3)="成本-",$G1179=""),"※成本类支出没填项目",IF(AND(LEFT($F1179,3)="成本-",$H1179&lt;&gt;"",N($K1179)&gt;0,COUNTIFS(采购单!$B:$B,$B1179,采购单!$C:$C,$H1179,采购单!$L:$L,$K1179)&gt;0),"※这笔可能和采购单重复了",""))))))))))</f>
        <v/>
      </c>
    </row>
    <row r="1180">
      <c r="A1180" s="17">
        <f>IF($B1180="","",ROW()-3)</f>
        <v/>
      </c>
      <c r="B1180" s="18" t="n"/>
      <c r="C1180" s="13" t="n"/>
      <c r="D1180" s="13" t="n"/>
      <c r="E1180" s="13" t="n"/>
      <c r="F1180" s="17">
        <f>IF($E1180="","",IFERROR(VLOOKUP($E1180,类别归属,2,0),"※类别不在基础资料里"))</f>
        <v/>
      </c>
      <c r="G1180" s="13" t="n"/>
      <c r="H1180" s="13" t="n"/>
      <c r="I1180" s="13" t="n"/>
      <c r="J1180" s="14" t="n"/>
      <c r="K1180" s="14" t="n"/>
      <c r="L1180" s="19">
        <f>IF($C1180="","",ROUND(IFERROR(VLOOKUP($C1180,账户期初,2,0),0)+SUMIFS($J$4:J1180,$C$4:C1180,$C1180)-SUMIFS($K$4:K1180,$C$4:C1180,$C1180),2))</f>
        <v/>
      </c>
      <c r="M1180" s="19">
        <f>IF($C1180="","",ROUND(SUM(基础资料!$B$4:$B$13)+SUM($J$4:J1180)-SUM($K$4:K1180),2))</f>
        <v/>
      </c>
      <c r="N1180" s="13" t="n"/>
      <c r="O1180" s="13" t="n"/>
      <c r="P1180" s="17">
        <f>IF($B1180="","",IF($F1180="※类别不在基础资料里","※费用类别不在基础资料里",IF(AND(N($J1180)=0,N($K1180)=0),"※这行没填金额",IF(AND(N($J1180)&gt;0,N($K1180)&gt;0),"※收入和支出不能同一行都填",IF(AND($D1180="收入",N($J1180)=0),"※收入行要填收入金额",IF(AND($D1180="支出",N($K1180)=0),"※支出行要填支出金额",IF(AND($C1180&lt;&gt;"",ISNA(MATCH($C1180,账户表,0))),"※账户不在基础资料里",IF(AND($G1180&lt;&gt;"",ISNA(MATCH($G1180,项目名表,0))),"※项目不在项目台账里",IF(AND(LEFT($F1180,3)="成本-",$G1180=""),"※成本类支出没填项目",IF(AND(LEFT($F1180,3)="成本-",$H1180&lt;&gt;"",N($K1180)&gt;0,COUNTIFS(采购单!$B:$B,$B1180,采购单!$C:$C,$H1180,采购单!$L:$L,$K1180)&gt;0),"※这笔可能和采购单重复了",""))))))))))</f>
        <v/>
      </c>
    </row>
    <row r="1181">
      <c r="A1181" s="17">
        <f>IF($B1181="","",ROW()-3)</f>
        <v/>
      </c>
      <c r="B1181" s="18" t="n"/>
      <c r="C1181" s="13" t="n"/>
      <c r="D1181" s="13" t="n"/>
      <c r="E1181" s="13" t="n"/>
      <c r="F1181" s="17">
        <f>IF($E1181="","",IFERROR(VLOOKUP($E1181,类别归属,2,0),"※类别不在基础资料里"))</f>
        <v/>
      </c>
      <c r="G1181" s="13" t="n"/>
      <c r="H1181" s="13" t="n"/>
      <c r="I1181" s="13" t="n"/>
      <c r="J1181" s="14" t="n"/>
      <c r="K1181" s="14" t="n"/>
      <c r="L1181" s="19">
        <f>IF($C1181="","",ROUND(IFERROR(VLOOKUP($C1181,账户期初,2,0),0)+SUMIFS($J$4:J1181,$C$4:C1181,$C1181)-SUMIFS($K$4:K1181,$C$4:C1181,$C1181),2))</f>
        <v/>
      </c>
      <c r="M1181" s="19">
        <f>IF($C1181="","",ROUND(SUM(基础资料!$B$4:$B$13)+SUM($J$4:J1181)-SUM($K$4:K1181),2))</f>
        <v/>
      </c>
      <c r="N1181" s="13" t="n"/>
      <c r="O1181" s="13" t="n"/>
      <c r="P1181" s="17">
        <f>IF($B1181="","",IF($F1181="※类别不在基础资料里","※费用类别不在基础资料里",IF(AND(N($J1181)=0,N($K1181)=0),"※这行没填金额",IF(AND(N($J1181)&gt;0,N($K1181)&gt;0),"※收入和支出不能同一行都填",IF(AND($D1181="收入",N($J1181)=0),"※收入行要填收入金额",IF(AND($D1181="支出",N($K1181)=0),"※支出行要填支出金额",IF(AND($C1181&lt;&gt;"",ISNA(MATCH($C1181,账户表,0))),"※账户不在基础资料里",IF(AND($G1181&lt;&gt;"",ISNA(MATCH($G1181,项目名表,0))),"※项目不在项目台账里",IF(AND(LEFT($F1181,3)="成本-",$G1181=""),"※成本类支出没填项目",IF(AND(LEFT($F1181,3)="成本-",$H1181&lt;&gt;"",N($K1181)&gt;0,COUNTIFS(采购单!$B:$B,$B1181,采购单!$C:$C,$H1181,采购单!$L:$L,$K1181)&gt;0),"※这笔可能和采购单重复了",""))))))))))</f>
        <v/>
      </c>
    </row>
    <row r="1182">
      <c r="A1182" s="17">
        <f>IF($B1182="","",ROW()-3)</f>
        <v/>
      </c>
      <c r="B1182" s="18" t="n"/>
      <c r="C1182" s="13" t="n"/>
      <c r="D1182" s="13" t="n"/>
      <c r="E1182" s="13" t="n"/>
      <c r="F1182" s="17">
        <f>IF($E1182="","",IFERROR(VLOOKUP($E1182,类别归属,2,0),"※类别不在基础资料里"))</f>
        <v/>
      </c>
      <c r="G1182" s="13" t="n"/>
      <c r="H1182" s="13" t="n"/>
      <c r="I1182" s="13" t="n"/>
      <c r="J1182" s="14" t="n"/>
      <c r="K1182" s="14" t="n"/>
      <c r="L1182" s="19">
        <f>IF($C1182="","",ROUND(IFERROR(VLOOKUP($C1182,账户期初,2,0),0)+SUMIFS($J$4:J1182,$C$4:C1182,$C1182)-SUMIFS($K$4:K1182,$C$4:C1182,$C1182),2))</f>
        <v/>
      </c>
      <c r="M1182" s="19">
        <f>IF($C1182="","",ROUND(SUM(基础资料!$B$4:$B$13)+SUM($J$4:J1182)-SUM($K$4:K1182),2))</f>
        <v/>
      </c>
      <c r="N1182" s="13" t="n"/>
      <c r="O1182" s="13" t="n"/>
      <c r="P1182" s="17">
        <f>IF($B1182="","",IF($F1182="※类别不在基础资料里","※费用类别不在基础资料里",IF(AND(N($J1182)=0,N($K1182)=0),"※这行没填金额",IF(AND(N($J1182)&gt;0,N($K1182)&gt;0),"※收入和支出不能同一行都填",IF(AND($D1182="收入",N($J1182)=0),"※收入行要填收入金额",IF(AND($D1182="支出",N($K1182)=0),"※支出行要填支出金额",IF(AND($C1182&lt;&gt;"",ISNA(MATCH($C1182,账户表,0))),"※账户不在基础资料里",IF(AND($G1182&lt;&gt;"",ISNA(MATCH($G1182,项目名表,0))),"※项目不在项目台账里",IF(AND(LEFT($F1182,3)="成本-",$G1182=""),"※成本类支出没填项目",IF(AND(LEFT($F1182,3)="成本-",$H1182&lt;&gt;"",N($K1182)&gt;0,COUNTIFS(采购单!$B:$B,$B1182,采购单!$C:$C,$H1182,采购单!$L:$L,$K1182)&gt;0),"※这笔可能和采购单重复了",""))))))))))</f>
        <v/>
      </c>
    </row>
    <row r="1183">
      <c r="A1183" s="17">
        <f>IF($B1183="","",ROW()-3)</f>
        <v/>
      </c>
      <c r="B1183" s="18" t="n"/>
      <c r="C1183" s="13" t="n"/>
      <c r="D1183" s="13" t="n"/>
      <c r="E1183" s="13" t="n"/>
      <c r="F1183" s="17">
        <f>IF($E1183="","",IFERROR(VLOOKUP($E1183,类别归属,2,0),"※类别不在基础资料里"))</f>
        <v/>
      </c>
      <c r="G1183" s="13" t="n"/>
      <c r="H1183" s="13" t="n"/>
      <c r="I1183" s="13" t="n"/>
      <c r="J1183" s="14" t="n"/>
      <c r="K1183" s="14" t="n"/>
      <c r="L1183" s="19">
        <f>IF($C1183="","",ROUND(IFERROR(VLOOKUP($C1183,账户期初,2,0),0)+SUMIFS($J$4:J1183,$C$4:C1183,$C1183)-SUMIFS($K$4:K1183,$C$4:C1183,$C1183),2))</f>
        <v/>
      </c>
      <c r="M1183" s="19">
        <f>IF($C1183="","",ROUND(SUM(基础资料!$B$4:$B$13)+SUM($J$4:J1183)-SUM($K$4:K1183),2))</f>
        <v/>
      </c>
      <c r="N1183" s="13" t="n"/>
      <c r="O1183" s="13" t="n"/>
      <c r="P1183" s="17">
        <f>IF($B1183="","",IF($F1183="※类别不在基础资料里","※费用类别不在基础资料里",IF(AND(N($J1183)=0,N($K1183)=0),"※这行没填金额",IF(AND(N($J1183)&gt;0,N($K1183)&gt;0),"※收入和支出不能同一行都填",IF(AND($D1183="收入",N($J1183)=0),"※收入行要填收入金额",IF(AND($D1183="支出",N($K1183)=0),"※支出行要填支出金额",IF(AND($C1183&lt;&gt;"",ISNA(MATCH($C1183,账户表,0))),"※账户不在基础资料里",IF(AND($G1183&lt;&gt;"",ISNA(MATCH($G1183,项目名表,0))),"※项目不在项目台账里",IF(AND(LEFT($F1183,3)="成本-",$G1183=""),"※成本类支出没填项目",IF(AND(LEFT($F1183,3)="成本-",$H1183&lt;&gt;"",N($K1183)&gt;0,COUNTIFS(采购单!$B:$B,$B1183,采购单!$C:$C,$H1183,采购单!$L:$L,$K1183)&gt;0),"※这笔可能和采购单重复了",""))))))))))</f>
        <v/>
      </c>
    </row>
    <row r="1184">
      <c r="A1184" s="17">
        <f>IF($B1184="","",ROW()-3)</f>
        <v/>
      </c>
      <c r="B1184" s="18" t="n"/>
      <c r="C1184" s="13" t="n"/>
      <c r="D1184" s="13" t="n"/>
      <c r="E1184" s="13" t="n"/>
      <c r="F1184" s="17">
        <f>IF($E1184="","",IFERROR(VLOOKUP($E1184,类别归属,2,0),"※类别不在基础资料里"))</f>
        <v/>
      </c>
      <c r="G1184" s="13" t="n"/>
      <c r="H1184" s="13" t="n"/>
      <c r="I1184" s="13" t="n"/>
      <c r="J1184" s="14" t="n"/>
      <c r="K1184" s="14" t="n"/>
      <c r="L1184" s="19">
        <f>IF($C1184="","",ROUND(IFERROR(VLOOKUP($C1184,账户期初,2,0),0)+SUMIFS($J$4:J1184,$C$4:C1184,$C1184)-SUMIFS($K$4:K1184,$C$4:C1184,$C1184),2))</f>
        <v/>
      </c>
      <c r="M1184" s="19">
        <f>IF($C1184="","",ROUND(SUM(基础资料!$B$4:$B$13)+SUM($J$4:J1184)-SUM($K$4:K1184),2))</f>
        <v/>
      </c>
      <c r="N1184" s="13" t="n"/>
      <c r="O1184" s="13" t="n"/>
      <c r="P1184" s="17">
        <f>IF($B1184="","",IF($F1184="※类别不在基础资料里","※费用类别不在基础资料里",IF(AND(N($J1184)=0,N($K1184)=0),"※这行没填金额",IF(AND(N($J1184)&gt;0,N($K1184)&gt;0),"※收入和支出不能同一行都填",IF(AND($D1184="收入",N($J1184)=0),"※收入行要填收入金额",IF(AND($D1184="支出",N($K1184)=0),"※支出行要填支出金额",IF(AND($C1184&lt;&gt;"",ISNA(MATCH($C1184,账户表,0))),"※账户不在基础资料里",IF(AND($G1184&lt;&gt;"",ISNA(MATCH($G1184,项目名表,0))),"※项目不在项目台账里",IF(AND(LEFT($F1184,3)="成本-",$G1184=""),"※成本类支出没填项目",IF(AND(LEFT($F1184,3)="成本-",$H1184&lt;&gt;"",N($K1184)&gt;0,COUNTIFS(采购单!$B:$B,$B1184,采购单!$C:$C,$H1184,采购单!$L:$L,$K1184)&gt;0),"※这笔可能和采购单重复了",""))))))))))</f>
        <v/>
      </c>
    </row>
    <row r="1185">
      <c r="A1185" s="17">
        <f>IF($B1185="","",ROW()-3)</f>
        <v/>
      </c>
      <c r="B1185" s="18" t="n"/>
      <c r="C1185" s="13" t="n"/>
      <c r="D1185" s="13" t="n"/>
      <c r="E1185" s="13" t="n"/>
      <c r="F1185" s="17">
        <f>IF($E1185="","",IFERROR(VLOOKUP($E1185,类别归属,2,0),"※类别不在基础资料里"))</f>
        <v/>
      </c>
      <c r="G1185" s="13" t="n"/>
      <c r="H1185" s="13" t="n"/>
      <c r="I1185" s="13" t="n"/>
      <c r="J1185" s="14" t="n"/>
      <c r="K1185" s="14" t="n"/>
      <c r="L1185" s="19">
        <f>IF($C1185="","",ROUND(IFERROR(VLOOKUP($C1185,账户期初,2,0),0)+SUMIFS($J$4:J1185,$C$4:C1185,$C1185)-SUMIFS($K$4:K1185,$C$4:C1185,$C1185),2))</f>
        <v/>
      </c>
      <c r="M1185" s="19">
        <f>IF($C1185="","",ROUND(SUM(基础资料!$B$4:$B$13)+SUM($J$4:J1185)-SUM($K$4:K1185),2))</f>
        <v/>
      </c>
      <c r="N1185" s="13" t="n"/>
      <c r="O1185" s="13" t="n"/>
      <c r="P1185" s="17">
        <f>IF($B1185="","",IF($F1185="※类别不在基础资料里","※费用类别不在基础资料里",IF(AND(N($J1185)=0,N($K1185)=0),"※这行没填金额",IF(AND(N($J1185)&gt;0,N($K1185)&gt;0),"※收入和支出不能同一行都填",IF(AND($D1185="收入",N($J1185)=0),"※收入行要填收入金额",IF(AND($D1185="支出",N($K1185)=0),"※支出行要填支出金额",IF(AND($C1185&lt;&gt;"",ISNA(MATCH($C1185,账户表,0))),"※账户不在基础资料里",IF(AND($G1185&lt;&gt;"",ISNA(MATCH($G1185,项目名表,0))),"※项目不在项目台账里",IF(AND(LEFT($F1185,3)="成本-",$G1185=""),"※成本类支出没填项目",IF(AND(LEFT($F1185,3)="成本-",$H1185&lt;&gt;"",N($K1185)&gt;0,COUNTIFS(采购单!$B:$B,$B1185,采购单!$C:$C,$H1185,采购单!$L:$L,$K1185)&gt;0),"※这笔可能和采购单重复了",""))))))))))</f>
        <v/>
      </c>
    </row>
    <row r="1186">
      <c r="A1186" s="17">
        <f>IF($B1186="","",ROW()-3)</f>
        <v/>
      </c>
      <c r="B1186" s="18" t="n"/>
      <c r="C1186" s="13" t="n"/>
      <c r="D1186" s="13" t="n"/>
      <c r="E1186" s="13" t="n"/>
      <c r="F1186" s="17">
        <f>IF($E1186="","",IFERROR(VLOOKUP($E1186,类别归属,2,0),"※类别不在基础资料里"))</f>
        <v/>
      </c>
      <c r="G1186" s="13" t="n"/>
      <c r="H1186" s="13" t="n"/>
      <c r="I1186" s="13" t="n"/>
      <c r="J1186" s="14" t="n"/>
      <c r="K1186" s="14" t="n"/>
      <c r="L1186" s="19">
        <f>IF($C1186="","",ROUND(IFERROR(VLOOKUP($C1186,账户期初,2,0),0)+SUMIFS($J$4:J1186,$C$4:C1186,$C1186)-SUMIFS($K$4:K1186,$C$4:C1186,$C1186),2))</f>
        <v/>
      </c>
      <c r="M1186" s="19">
        <f>IF($C1186="","",ROUND(SUM(基础资料!$B$4:$B$13)+SUM($J$4:J1186)-SUM($K$4:K1186),2))</f>
        <v/>
      </c>
      <c r="N1186" s="13" t="n"/>
      <c r="O1186" s="13" t="n"/>
      <c r="P1186" s="17">
        <f>IF($B1186="","",IF($F1186="※类别不在基础资料里","※费用类别不在基础资料里",IF(AND(N($J1186)=0,N($K1186)=0),"※这行没填金额",IF(AND(N($J1186)&gt;0,N($K1186)&gt;0),"※收入和支出不能同一行都填",IF(AND($D1186="收入",N($J1186)=0),"※收入行要填收入金额",IF(AND($D1186="支出",N($K1186)=0),"※支出行要填支出金额",IF(AND($C1186&lt;&gt;"",ISNA(MATCH($C1186,账户表,0))),"※账户不在基础资料里",IF(AND($G1186&lt;&gt;"",ISNA(MATCH($G1186,项目名表,0))),"※项目不在项目台账里",IF(AND(LEFT($F1186,3)="成本-",$G1186=""),"※成本类支出没填项目",IF(AND(LEFT($F1186,3)="成本-",$H1186&lt;&gt;"",N($K1186)&gt;0,COUNTIFS(采购单!$B:$B,$B1186,采购单!$C:$C,$H1186,采购单!$L:$L,$K1186)&gt;0),"※这笔可能和采购单重复了",""))))))))))</f>
        <v/>
      </c>
    </row>
    <row r="1187">
      <c r="A1187" s="17">
        <f>IF($B1187="","",ROW()-3)</f>
        <v/>
      </c>
      <c r="B1187" s="18" t="n"/>
      <c r="C1187" s="13" t="n"/>
      <c r="D1187" s="13" t="n"/>
      <c r="E1187" s="13" t="n"/>
      <c r="F1187" s="17">
        <f>IF($E1187="","",IFERROR(VLOOKUP($E1187,类别归属,2,0),"※类别不在基础资料里"))</f>
        <v/>
      </c>
      <c r="G1187" s="13" t="n"/>
      <c r="H1187" s="13" t="n"/>
      <c r="I1187" s="13" t="n"/>
      <c r="J1187" s="14" t="n"/>
      <c r="K1187" s="14" t="n"/>
      <c r="L1187" s="19">
        <f>IF($C1187="","",ROUND(IFERROR(VLOOKUP($C1187,账户期初,2,0),0)+SUMIFS($J$4:J1187,$C$4:C1187,$C1187)-SUMIFS($K$4:K1187,$C$4:C1187,$C1187),2))</f>
        <v/>
      </c>
      <c r="M1187" s="19">
        <f>IF($C1187="","",ROUND(SUM(基础资料!$B$4:$B$13)+SUM($J$4:J1187)-SUM($K$4:K1187),2))</f>
        <v/>
      </c>
      <c r="N1187" s="13" t="n"/>
      <c r="O1187" s="13" t="n"/>
      <c r="P1187" s="17">
        <f>IF($B1187="","",IF($F1187="※类别不在基础资料里","※费用类别不在基础资料里",IF(AND(N($J1187)=0,N($K1187)=0),"※这行没填金额",IF(AND(N($J1187)&gt;0,N($K1187)&gt;0),"※收入和支出不能同一行都填",IF(AND($D1187="收入",N($J1187)=0),"※收入行要填收入金额",IF(AND($D1187="支出",N($K1187)=0),"※支出行要填支出金额",IF(AND($C1187&lt;&gt;"",ISNA(MATCH($C1187,账户表,0))),"※账户不在基础资料里",IF(AND($G1187&lt;&gt;"",ISNA(MATCH($G1187,项目名表,0))),"※项目不在项目台账里",IF(AND(LEFT($F1187,3)="成本-",$G1187=""),"※成本类支出没填项目",IF(AND(LEFT($F1187,3)="成本-",$H1187&lt;&gt;"",N($K1187)&gt;0,COUNTIFS(采购单!$B:$B,$B1187,采购单!$C:$C,$H1187,采购单!$L:$L,$K1187)&gt;0),"※这笔可能和采购单重复了",""))))))))))</f>
        <v/>
      </c>
    </row>
    <row r="1188">
      <c r="A1188" s="17">
        <f>IF($B1188="","",ROW()-3)</f>
        <v/>
      </c>
      <c r="B1188" s="18" t="n"/>
      <c r="C1188" s="13" t="n"/>
      <c r="D1188" s="13" t="n"/>
      <c r="E1188" s="13" t="n"/>
      <c r="F1188" s="17">
        <f>IF($E1188="","",IFERROR(VLOOKUP($E1188,类别归属,2,0),"※类别不在基础资料里"))</f>
        <v/>
      </c>
      <c r="G1188" s="13" t="n"/>
      <c r="H1188" s="13" t="n"/>
      <c r="I1188" s="13" t="n"/>
      <c r="J1188" s="14" t="n"/>
      <c r="K1188" s="14" t="n"/>
      <c r="L1188" s="19">
        <f>IF($C1188="","",ROUND(IFERROR(VLOOKUP($C1188,账户期初,2,0),0)+SUMIFS($J$4:J1188,$C$4:C1188,$C1188)-SUMIFS($K$4:K1188,$C$4:C1188,$C1188),2))</f>
        <v/>
      </c>
      <c r="M1188" s="19">
        <f>IF($C1188="","",ROUND(SUM(基础资料!$B$4:$B$13)+SUM($J$4:J1188)-SUM($K$4:K1188),2))</f>
        <v/>
      </c>
      <c r="N1188" s="13" t="n"/>
      <c r="O1188" s="13" t="n"/>
      <c r="P1188" s="17">
        <f>IF($B1188="","",IF($F1188="※类别不在基础资料里","※费用类别不在基础资料里",IF(AND(N($J1188)=0,N($K1188)=0),"※这行没填金额",IF(AND(N($J1188)&gt;0,N($K1188)&gt;0),"※收入和支出不能同一行都填",IF(AND($D1188="收入",N($J1188)=0),"※收入行要填收入金额",IF(AND($D1188="支出",N($K1188)=0),"※支出行要填支出金额",IF(AND($C1188&lt;&gt;"",ISNA(MATCH($C1188,账户表,0))),"※账户不在基础资料里",IF(AND($G1188&lt;&gt;"",ISNA(MATCH($G1188,项目名表,0))),"※项目不在项目台账里",IF(AND(LEFT($F1188,3)="成本-",$G1188=""),"※成本类支出没填项目",IF(AND(LEFT($F1188,3)="成本-",$H1188&lt;&gt;"",N($K1188)&gt;0,COUNTIFS(采购单!$B:$B,$B1188,采购单!$C:$C,$H1188,采购单!$L:$L,$K1188)&gt;0),"※这笔可能和采购单重复了",""))))))))))</f>
        <v/>
      </c>
    </row>
    <row r="1189">
      <c r="A1189" s="17">
        <f>IF($B1189="","",ROW()-3)</f>
        <v/>
      </c>
      <c r="B1189" s="18" t="n"/>
      <c r="C1189" s="13" t="n"/>
      <c r="D1189" s="13" t="n"/>
      <c r="E1189" s="13" t="n"/>
      <c r="F1189" s="17">
        <f>IF($E1189="","",IFERROR(VLOOKUP($E1189,类别归属,2,0),"※类别不在基础资料里"))</f>
        <v/>
      </c>
      <c r="G1189" s="13" t="n"/>
      <c r="H1189" s="13" t="n"/>
      <c r="I1189" s="13" t="n"/>
      <c r="J1189" s="14" t="n"/>
      <c r="K1189" s="14" t="n"/>
      <c r="L1189" s="19">
        <f>IF($C1189="","",ROUND(IFERROR(VLOOKUP($C1189,账户期初,2,0),0)+SUMIFS($J$4:J1189,$C$4:C1189,$C1189)-SUMIFS($K$4:K1189,$C$4:C1189,$C1189),2))</f>
        <v/>
      </c>
      <c r="M1189" s="19">
        <f>IF($C1189="","",ROUND(SUM(基础资料!$B$4:$B$13)+SUM($J$4:J1189)-SUM($K$4:K1189),2))</f>
        <v/>
      </c>
      <c r="N1189" s="13" t="n"/>
      <c r="O1189" s="13" t="n"/>
      <c r="P1189" s="17">
        <f>IF($B1189="","",IF($F1189="※类别不在基础资料里","※费用类别不在基础资料里",IF(AND(N($J1189)=0,N($K1189)=0),"※这行没填金额",IF(AND(N($J1189)&gt;0,N($K1189)&gt;0),"※收入和支出不能同一行都填",IF(AND($D1189="收入",N($J1189)=0),"※收入行要填收入金额",IF(AND($D1189="支出",N($K1189)=0),"※支出行要填支出金额",IF(AND($C1189&lt;&gt;"",ISNA(MATCH($C1189,账户表,0))),"※账户不在基础资料里",IF(AND($G1189&lt;&gt;"",ISNA(MATCH($G1189,项目名表,0))),"※项目不在项目台账里",IF(AND(LEFT($F1189,3)="成本-",$G1189=""),"※成本类支出没填项目",IF(AND(LEFT($F1189,3)="成本-",$H1189&lt;&gt;"",N($K1189)&gt;0,COUNTIFS(采购单!$B:$B,$B1189,采购单!$C:$C,$H1189,采购单!$L:$L,$K1189)&gt;0),"※这笔可能和采购单重复了",""))))))))))</f>
        <v/>
      </c>
    </row>
    <row r="1190">
      <c r="A1190" s="17">
        <f>IF($B1190="","",ROW()-3)</f>
        <v/>
      </c>
      <c r="B1190" s="18" t="n"/>
      <c r="C1190" s="13" t="n"/>
      <c r="D1190" s="13" t="n"/>
      <c r="E1190" s="13" t="n"/>
      <c r="F1190" s="17">
        <f>IF($E1190="","",IFERROR(VLOOKUP($E1190,类别归属,2,0),"※类别不在基础资料里"))</f>
        <v/>
      </c>
      <c r="G1190" s="13" t="n"/>
      <c r="H1190" s="13" t="n"/>
      <c r="I1190" s="13" t="n"/>
      <c r="J1190" s="14" t="n"/>
      <c r="K1190" s="14" t="n"/>
      <c r="L1190" s="19">
        <f>IF($C1190="","",ROUND(IFERROR(VLOOKUP($C1190,账户期初,2,0),0)+SUMIFS($J$4:J1190,$C$4:C1190,$C1190)-SUMIFS($K$4:K1190,$C$4:C1190,$C1190),2))</f>
        <v/>
      </c>
      <c r="M1190" s="19">
        <f>IF($C1190="","",ROUND(SUM(基础资料!$B$4:$B$13)+SUM($J$4:J1190)-SUM($K$4:K1190),2))</f>
        <v/>
      </c>
      <c r="N1190" s="13" t="n"/>
      <c r="O1190" s="13" t="n"/>
      <c r="P1190" s="17">
        <f>IF($B1190="","",IF($F1190="※类别不在基础资料里","※费用类别不在基础资料里",IF(AND(N($J1190)=0,N($K1190)=0),"※这行没填金额",IF(AND(N($J1190)&gt;0,N($K1190)&gt;0),"※收入和支出不能同一行都填",IF(AND($D1190="收入",N($J1190)=0),"※收入行要填收入金额",IF(AND($D1190="支出",N($K1190)=0),"※支出行要填支出金额",IF(AND($C1190&lt;&gt;"",ISNA(MATCH($C1190,账户表,0))),"※账户不在基础资料里",IF(AND($G1190&lt;&gt;"",ISNA(MATCH($G1190,项目名表,0))),"※项目不在项目台账里",IF(AND(LEFT($F1190,3)="成本-",$G1190=""),"※成本类支出没填项目",IF(AND(LEFT($F1190,3)="成本-",$H1190&lt;&gt;"",N($K1190)&gt;0,COUNTIFS(采购单!$B:$B,$B1190,采购单!$C:$C,$H1190,采购单!$L:$L,$K1190)&gt;0),"※这笔可能和采购单重复了",""))))))))))</f>
        <v/>
      </c>
    </row>
    <row r="1191">
      <c r="A1191" s="17">
        <f>IF($B1191="","",ROW()-3)</f>
        <v/>
      </c>
      <c r="B1191" s="18" t="n"/>
      <c r="C1191" s="13" t="n"/>
      <c r="D1191" s="13" t="n"/>
      <c r="E1191" s="13" t="n"/>
      <c r="F1191" s="17">
        <f>IF($E1191="","",IFERROR(VLOOKUP($E1191,类别归属,2,0),"※类别不在基础资料里"))</f>
        <v/>
      </c>
      <c r="G1191" s="13" t="n"/>
      <c r="H1191" s="13" t="n"/>
      <c r="I1191" s="13" t="n"/>
      <c r="J1191" s="14" t="n"/>
      <c r="K1191" s="14" t="n"/>
      <c r="L1191" s="19">
        <f>IF($C1191="","",ROUND(IFERROR(VLOOKUP($C1191,账户期初,2,0),0)+SUMIFS($J$4:J1191,$C$4:C1191,$C1191)-SUMIFS($K$4:K1191,$C$4:C1191,$C1191),2))</f>
        <v/>
      </c>
      <c r="M1191" s="19">
        <f>IF($C1191="","",ROUND(SUM(基础资料!$B$4:$B$13)+SUM($J$4:J1191)-SUM($K$4:K1191),2))</f>
        <v/>
      </c>
      <c r="N1191" s="13" t="n"/>
      <c r="O1191" s="13" t="n"/>
      <c r="P1191" s="17">
        <f>IF($B1191="","",IF($F1191="※类别不在基础资料里","※费用类别不在基础资料里",IF(AND(N($J1191)=0,N($K1191)=0),"※这行没填金额",IF(AND(N($J1191)&gt;0,N($K1191)&gt;0),"※收入和支出不能同一行都填",IF(AND($D1191="收入",N($J1191)=0),"※收入行要填收入金额",IF(AND($D1191="支出",N($K1191)=0),"※支出行要填支出金额",IF(AND($C1191&lt;&gt;"",ISNA(MATCH($C1191,账户表,0))),"※账户不在基础资料里",IF(AND($G1191&lt;&gt;"",ISNA(MATCH($G1191,项目名表,0))),"※项目不在项目台账里",IF(AND(LEFT($F1191,3)="成本-",$G1191=""),"※成本类支出没填项目",IF(AND(LEFT($F1191,3)="成本-",$H1191&lt;&gt;"",N($K1191)&gt;0,COUNTIFS(采购单!$B:$B,$B1191,采购单!$C:$C,$H1191,采购单!$L:$L,$K1191)&gt;0),"※这笔可能和采购单重复了",""))))))))))</f>
        <v/>
      </c>
    </row>
    <row r="1192">
      <c r="A1192" s="17">
        <f>IF($B1192="","",ROW()-3)</f>
        <v/>
      </c>
      <c r="B1192" s="18" t="n"/>
      <c r="C1192" s="13" t="n"/>
      <c r="D1192" s="13" t="n"/>
      <c r="E1192" s="13" t="n"/>
      <c r="F1192" s="17">
        <f>IF($E1192="","",IFERROR(VLOOKUP($E1192,类别归属,2,0),"※类别不在基础资料里"))</f>
        <v/>
      </c>
      <c r="G1192" s="13" t="n"/>
      <c r="H1192" s="13" t="n"/>
      <c r="I1192" s="13" t="n"/>
      <c r="J1192" s="14" t="n"/>
      <c r="K1192" s="14" t="n"/>
      <c r="L1192" s="19">
        <f>IF($C1192="","",ROUND(IFERROR(VLOOKUP($C1192,账户期初,2,0),0)+SUMIFS($J$4:J1192,$C$4:C1192,$C1192)-SUMIFS($K$4:K1192,$C$4:C1192,$C1192),2))</f>
        <v/>
      </c>
      <c r="M1192" s="19">
        <f>IF($C1192="","",ROUND(SUM(基础资料!$B$4:$B$13)+SUM($J$4:J1192)-SUM($K$4:K1192),2))</f>
        <v/>
      </c>
      <c r="N1192" s="13" t="n"/>
      <c r="O1192" s="13" t="n"/>
      <c r="P1192" s="17">
        <f>IF($B1192="","",IF($F1192="※类别不在基础资料里","※费用类别不在基础资料里",IF(AND(N($J1192)=0,N($K1192)=0),"※这行没填金额",IF(AND(N($J1192)&gt;0,N($K1192)&gt;0),"※收入和支出不能同一行都填",IF(AND($D1192="收入",N($J1192)=0),"※收入行要填收入金额",IF(AND($D1192="支出",N($K1192)=0),"※支出行要填支出金额",IF(AND($C1192&lt;&gt;"",ISNA(MATCH($C1192,账户表,0))),"※账户不在基础资料里",IF(AND($G1192&lt;&gt;"",ISNA(MATCH($G1192,项目名表,0))),"※项目不在项目台账里",IF(AND(LEFT($F1192,3)="成本-",$G1192=""),"※成本类支出没填项目",IF(AND(LEFT($F1192,3)="成本-",$H1192&lt;&gt;"",N($K1192)&gt;0,COUNTIFS(采购单!$B:$B,$B1192,采购单!$C:$C,$H1192,采购单!$L:$L,$K1192)&gt;0),"※这笔可能和采购单重复了",""))))))))))</f>
        <v/>
      </c>
    </row>
    <row r="1193">
      <c r="A1193" s="17">
        <f>IF($B1193="","",ROW()-3)</f>
        <v/>
      </c>
      <c r="B1193" s="18" t="n"/>
      <c r="C1193" s="13" t="n"/>
      <c r="D1193" s="13" t="n"/>
      <c r="E1193" s="13" t="n"/>
      <c r="F1193" s="17">
        <f>IF($E1193="","",IFERROR(VLOOKUP($E1193,类别归属,2,0),"※类别不在基础资料里"))</f>
        <v/>
      </c>
      <c r="G1193" s="13" t="n"/>
      <c r="H1193" s="13" t="n"/>
      <c r="I1193" s="13" t="n"/>
      <c r="J1193" s="14" t="n"/>
      <c r="K1193" s="14" t="n"/>
      <c r="L1193" s="19">
        <f>IF($C1193="","",ROUND(IFERROR(VLOOKUP($C1193,账户期初,2,0),0)+SUMIFS($J$4:J1193,$C$4:C1193,$C1193)-SUMIFS($K$4:K1193,$C$4:C1193,$C1193),2))</f>
        <v/>
      </c>
      <c r="M1193" s="19">
        <f>IF($C1193="","",ROUND(SUM(基础资料!$B$4:$B$13)+SUM($J$4:J1193)-SUM($K$4:K1193),2))</f>
        <v/>
      </c>
      <c r="N1193" s="13" t="n"/>
      <c r="O1193" s="13" t="n"/>
      <c r="P1193" s="17">
        <f>IF($B1193="","",IF($F1193="※类别不在基础资料里","※费用类别不在基础资料里",IF(AND(N($J1193)=0,N($K1193)=0),"※这行没填金额",IF(AND(N($J1193)&gt;0,N($K1193)&gt;0),"※收入和支出不能同一行都填",IF(AND($D1193="收入",N($J1193)=0),"※收入行要填收入金额",IF(AND($D1193="支出",N($K1193)=0),"※支出行要填支出金额",IF(AND($C1193&lt;&gt;"",ISNA(MATCH($C1193,账户表,0))),"※账户不在基础资料里",IF(AND($G1193&lt;&gt;"",ISNA(MATCH($G1193,项目名表,0))),"※项目不在项目台账里",IF(AND(LEFT($F1193,3)="成本-",$G1193=""),"※成本类支出没填项目",IF(AND(LEFT($F1193,3)="成本-",$H1193&lt;&gt;"",N($K1193)&gt;0,COUNTIFS(采购单!$B:$B,$B1193,采购单!$C:$C,$H1193,采购单!$L:$L,$K1193)&gt;0),"※这笔可能和采购单重复了",""))))))))))</f>
        <v/>
      </c>
    </row>
    <row r="1194">
      <c r="A1194" s="17">
        <f>IF($B1194="","",ROW()-3)</f>
        <v/>
      </c>
      <c r="B1194" s="18" t="n"/>
      <c r="C1194" s="13" t="n"/>
      <c r="D1194" s="13" t="n"/>
      <c r="E1194" s="13" t="n"/>
      <c r="F1194" s="17">
        <f>IF($E1194="","",IFERROR(VLOOKUP($E1194,类别归属,2,0),"※类别不在基础资料里"))</f>
        <v/>
      </c>
      <c r="G1194" s="13" t="n"/>
      <c r="H1194" s="13" t="n"/>
      <c r="I1194" s="13" t="n"/>
      <c r="J1194" s="14" t="n"/>
      <c r="K1194" s="14" t="n"/>
      <c r="L1194" s="19">
        <f>IF($C1194="","",ROUND(IFERROR(VLOOKUP($C1194,账户期初,2,0),0)+SUMIFS($J$4:J1194,$C$4:C1194,$C1194)-SUMIFS($K$4:K1194,$C$4:C1194,$C1194),2))</f>
        <v/>
      </c>
      <c r="M1194" s="19">
        <f>IF($C1194="","",ROUND(SUM(基础资料!$B$4:$B$13)+SUM($J$4:J1194)-SUM($K$4:K1194),2))</f>
        <v/>
      </c>
      <c r="N1194" s="13" t="n"/>
      <c r="O1194" s="13" t="n"/>
      <c r="P1194" s="17">
        <f>IF($B1194="","",IF($F1194="※类别不在基础资料里","※费用类别不在基础资料里",IF(AND(N($J1194)=0,N($K1194)=0),"※这行没填金额",IF(AND(N($J1194)&gt;0,N($K1194)&gt;0),"※收入和支出不能同一行都填",IF(AND($D1194="收入",N($J1194)=0),"※收入行要填收入金额",IF(AND($D1194="支出",N($K1194)=0),"※支出行要填支出金额",IF(AND($C1194&lt;&gt;"",ISNA(MATCH($C1194,账户表,0))),"※账户不在基础资料里",IF(AND($G1194&lt;&gt;"",ISNA(MATCH($G1194,项目名表,0))),"※项目不在项目台账里",IF(AND(LEFT($F1194,3)="成本-",$G1194=""),"※成本类支出没填项目",IF(AND(LEFT($F1194,3)="成本-",$H1194&lt;&gt;"",N($K1194)&gt;0,COUNTIFS(采购单!$B:$B,$B1194,采购单!$C:$C,$H1194,采购单!$L:$L,$K1194)&gt;0),"※这笔可能和采购单重复了",""))))))))))</f>
        <v/>
      </c>
    </row>
    <row r="1195">
      <c r="A1195" s="17">
        <f>IF($B1195="","",ROW()-3)</f>
        <v/>
      </c>
      <c r="B1195" s="18" t="n"/>
      <c r="C1195" s="13" t="n"/>
      <c r="D1195" s="13" t="n"/>
      <c r="E1195" s="13" t="n"/>
      <c r="F1195" s="17">
        <f>IF($E1195="","",IFERROR(VLOOKUP($E1195,类别归属,2,0),"※类别不在基础资料里"))</f>
        <v/>
      </c>
      <c r="G1195" s="13" t="n"/>
      <c r="H1195" s="13" t="n"/>
      <c r="I1195" s="13" t="n"/>
      <c r="J1195" s="14" t="n"/>
      <c r="K1195" s="14" t="n"/>
      <c r="L1195" s="19">
        <f>IF($C1195="","",ROUND(IFERROR(VLOOKUP($C1195,账户期初,2,0),0)+SUMIFS($J$4:J1195,$C$4:C1195,$C1195)-SUMIFS($K$4:K1195,$C$4:C1195,$C1195),2))</f>
        <v/>
      </c>
      <c r="M1195" s="19">
        <f>IF($C1195="","",ROUND(SUM(基础资料!$B$4:$B$13)+SUM($J$4:J1195)-SUM($K$4:K1195),2))</f>
        <v/>
      </c>
      <c r="N1195" s="13" t="n"/>
      <c r="O1195" s="13" t="n"/>
      <c r="P1195" s="17">
        <f>IF($B1195="","",IF($F1195="※类别不在基础资料里","※费用类别不在基础资料里",IF(AND(N($J1195)=0,N($K1195)=0),"※这行没填金额",IF(AND(N($J1195)&gt;0,N($K1195)&gt;0),"※收入和支出不能同一行都填",IF(AND($D1195="收入",N($J1195)=0),"※收入行要填收入金额",IF(AND($D1195="支出",N($K1195)=0),"※支出行要填支出金额",IF(AND($C1195&lt;&gt;"",ISNA(MATCH($C1195,账户表,0))),"※账户不在基础资料里",IF(AND($G1195&lt;&gt;"",ISNA(MATCH($G1195,项目名表,0))),"※项目不在项目台账里",IF(AND(LEFT($F1195,3)="成本-",$G1195=""),"※成本类支出没填项目",IF(AND(LEFT($F1195,3)="成本-",$H1195&lt;&gt;"",N($K1195)&gt;0,COUNTIFS(采购单!$B:$B,$B1195,采购单!$C:$C,$H1195,采购单!$L:$L,$K1195)&gt;0),"※这笔可能和采购单重复了",""))))))))))</f>
        <v/>
      </c>
    </row>
    <row r="1196">
      <c r="A1196" s="17">
        <f>IF($B1196="","",ROW()-3)</f>
        <v/>
      </c>
      <c r="B1196" s="18" t="n"/>
      <c r="C1196" s="13" t="n"/>
      <c r="D1196" s="13" t="n"/>
      <c r="E1196" s="13" t="n"/>
      <c r="F1196" s="17">
        <f>IF($E1196="","",IFERROR(VLOOKUP($E1196,类别归属,2,0),"※类别不在基础资料里"))</f>
        <v/>
      </c>
      <c r="G1196" s="13" t="n"/>
      <c r="H1196" s="13" t="n"/>
      <c r="I1196" s="13" t="n"/>
      <c r="J1196" s="14" t="n"/>
      <c r="K1196" s="14" t="n"/>
      <c r="L1196" s="19">
        <f>IF($C1196="","",ROUND(IFERROR(VLOOKUP($C1196,账户期初,2,0),0)+SUMIFS($J$4:J1196,$C$4:C1196,$C1196)-SUMIFS($K$4:K1196,$C$4:C1196,$C1196),2))</f>
        <v/>
      </c>
      <c r="M1196" s="19">
        <f>IF($C1196="","",ROUND(SUM(基础资料!$B$4:$B$13)+SUM($J$4:J1196)-SUM($K$4:K1196),2))</f>
        <v/>
      </c>
      <c r="N1196" s="13" t="n"/>
      <c r="O1196" s="13" t="n"/>
      <c r="P1196" s="17">
        <f>IF($B1196="","",IF($F1196="※类别不在基础资料里","※费用类别不在基础资料里",IF(AND(N($J1196)=0,N($K1196)=0),"※这行没填金额",IF(AND(N($J1196)&gt;0,N($K1196)&gt;0),"※收入和支出不能同一行都填",IF(AND($D1196="收入",N($J1196)=0),"※收入行要填收入金额",IF(AND($D1196="支出",N($K1196)=0),"※支出行要填支出金额",IF(AND($C1196&lt;&gt;"",ISNA(MATCH($C1196,账户表,0))),"※账户不在基础资料里",IF(AND($G1196&lt;&gt;"",ISNA(MATCH($G1196,项目名表,0))),"※项目不在项目台账里",IF(AND(LEFT($F1196,3)="成本-",$G1196=""),"※成本类支出没填项目",IF(AND(LEFT($F1196,3)="成本-",$H1196&lt;&gt;"",N($K1196)&gt;0,COUNTIFS(采购单!$B:$B,$B1196,采购单!$C:$C,$H1196,采购单!$L:$L,$K1196)&gt;0),"※这笔可能和采购单重复了",""))))))))))</f>
        <v/>
      </c>
    </row>
    <row r="1197">
      <c r="A1197" s="17">
        <f>IF($B1197="","",ROW()-3)</f>
        <v/>
      </c>
      <c r="B1197" s="18" t="n"/>
      <c r="C1197" s="13" t="n"/>
      <c r="D1197" s="13" t="n"/>
      <c r="E1197" s="13" t="n"/>
      <c r="F1197" s="17">
        <f>IF($E1197="","",IFERROR(VLOOKUP($E1197,类别归属,2,0),"※类别不在基础资料里"))</f>
        <v/>
      </c>
      <c r="G1197" s="13" t="n"/>
      <c r="H1197" s="13" t="n"/>
      <c r="I1197" s="13" t="n"/>
      <c r="J1197" s="14" t="n"/>
      <c r="K1197" s="14" t="n"/>
      <c r="L1197" s="19">
        <f>IF($C1197="","",ROUND(IFERROR(VLOOKUP($C1197,账户期初,2,0),0)+SUMIFS($J$4:J1197,$C$4:C1197,$C1197)-SUMIFS($K$4:K1197,$C$4:C1197,$C1197),2))</f>
        <v/>
      </c>
      <c r="M1197" s="19">
        <f>IF($C1197="","",ROUND(SUM(基础资料!$B$4:$B$13)+SUM($J$4:J1197)-SUM($K$4:K1197),2))</f>
        <v/>
      </c>
      <c r="N1197" s="13" t="n"/>
      <c r="O1197" s="13" t="n"/>
      <c r="P1197" s="17">
        <f>IF($B1197="","",IF($F1197="※类别不在基础资料里","※费用类别不在基础资料里",IF(AND(N($J1197)=0,N($K1197)=0),"※这行没填金额",IF(AND(N($J1197)&gt;0,N($K1197)&gt;0),"※收入和支出不能同一行都填",IF(AND($D1197="收入",N($J1197)=0),"※收入行要填收入金额",IF(AND($D1197="支出",N($K1197)=0),"※支出行要填支出金额",IF(AND($C1197&lt;&gt;"",ISNA(MATCH($C1197,账户表,0))),"※账户不在基础资料里",IF(AND($G1197&lt;&gt;"",ISNA(MATCH($G1197,项目名表,0))),"※项目不在项目台账里",IF(AND(LEFT($F1197,3)="成本-",$G1197=""),"※成本类支出没填项目",IF(AND(LEFT($F1197,3)="成本-",$H1197&lt;&gt;"",N($K1197)&gt;0,COUNTIFS(采购单!$B:$B,$B1197,采购单!$C:$C,$H1197,采购单!$L:$L,$K1197)&gt;0),"※这笔可能和采购单重复了",""))))))))))</f>
        <v/>
      </c>
    </row>
    <row r="1198">
      <c r="A1198" s="17">
        <f>IF($B1198="","",ROW()-3)</f>
        <v/>
      </c>
      <c r="B1198" s="18" t="n"/>
      <c r="C1198" s="13" t="n"/>
      <c r="D1198" s="13" t="n"/>
      <c r="E1198" s="13" t="n"/>
      <c r="F1198" s="17">
        <f>IF($E1198="","",IFERROR(VLOOKUP($E1198,类别归属,2,0),"※类别不在基础资料里"))</f>
        <v/>
      </c>
      <c r="G1198" s="13" t="n"/>
      <c r="H1198" s="13" t="n"/>
      <c r="I1198" s="13" t="n"/>
      <c r="J1198" s="14" t="n"/>
      <c r="K1198" s="14" t="n"/>
      <c r="L1198" s="19">
        <f>IF($C1198="","",ROUND(IFERROR(VLOOKUP($C1198,账户期初,2,0),0)+SUMIFS($J$4:J1198,$C$4:C1198,$C1198)-SUMIFS($K$4:K1198,$C$4:C1198,$C1198),2))</f>
        <v/>
      </c>
      <c r="M1198" s="19">
        <f>IF($C1198="","",ROUND(SUM(基础资料!$B$4:$B$13)+SUM($J$4:J1198)-SUM($K$4:K1198),2))</f>
        <v/>
      </c>
      <c r="N1198" s="13" t="n"/>
      <c r="O1198" s="13" t="n"/>
      <c r="P1198" s="17">
        <f>IF($B1198="","",IF($F1198="※类别不在基础资料里","※费用类别不在基础资料里",IF(AND(N($J1198)=0,N($K1198)=0),"※这行没填金额",IF(AND(N($J1198)&gt;0,N($K1198)&gt;0),"※收入和支出不能同一行都填",IF(AND($D1198="收入",N($J1198)=0),"※收入行要填收入金额",IF(AND($D1198="支出",N($K1198)=0),"※支出行要填支出金额",IF(AND($C1198&lt;&gt;"",ISNA(MATCH($C1198,账户表,0))),"※账户不在基础资料里",IF(AND($G1198&lt;&gt;"",ISNA(MATCH($G1198,项目名表,0))),"※项目不在项目台账里",IF(AND(LEFT($F1198,3)="成本-",$G1198=""),"※成本类支出没填项目",IF(AND(LEFT($F1198,3)="成本-",$H1198&lt;&gt;"",N($K1198)&gt;0,COUNTIFS(采购单!$B:$B,$B1198,采购单!$C:$C,$H1198,采购单!$L:$L,$K1198)&gt;0),"※这笔可能和采购单重复了",""))))))))))</f>
        <v/>
      </c>
    </row>
    <row r="1199">
      <c r="A1199" s="17">
        <f>IF($B1199="","",ROW()-3)</f>
        <v/>
      </c>
      <c r="B1199" s="18" t="n"/>
      <c r="C1199" s="13" t="n"/>
      <c r="D1199" s="13" t="n"/>
      <c r="E1199" s="13" t="n"/>
      <c r="F1199" s="17">
        <f>IF($E1199="","",IFERROR(VLOOKUP($E1199,类别归属,2,0),"※类别不在基础资料里"))</f>
        <v/>
      </c>
      <c r="G1199" s="13" t="n"/>
      <c r="H1199" s="13" t="n"/>
      <c r="I1199" s="13" t="n"/>
      <c r="J1199" s="14" t="n"/>
      <c r="K1199" s="14" t="n"/>
      <c r="L1199" s="19">
        <f>IF($C1199="","",ROUND(IFERROR(VLOOKUP($C1199,账户期初,2,0),0)+SUMIFS($J$4:J1199,$C$4:C1199,$C1199)-SUMIFS($K$4:K1199,$C$4:C1199,$C1199),2))</f>
        <v/>
      </c>
      <c r="M1199" s="19">
        <f>IF($C1199="","",ROUND(SUM(基础资料!$B$4:$B$13)+SUM($J$4:J1199)-SUM($K$4:K1199),2))</f>
        <v/>
      </c>
      <c r="N1199" s="13" t="n"/>
      <c r="O1199" s="13" t="n"/>
      <c r="P1199" s="17">
        <f>IF($B1199="","",IF($F1199="※类别不在基础资料里","※费用类别不在基础资料里",IF(AND(N($J1199)=0,N($K1199)=0),"※这行没填金额",IF(AND(N($J1199)&gt;0,N($K1199)&gt;0),"※收入和支出不能同一行都填",IF(AND($D1199="收入",N($J1199)=0),"※收入行要填收入金额",IF(AND($D1199="支出",N($K1199)=0),"※支出行要填支出金额",IF(AND($C1199&lt;&gt;"",ISNA(MATCH($C1199,账户表,0))),"※账户不在基础资料里",IF(AND($G1199&lt;&gt;"",ISNA(MATCH($G1199,项目名表,0))),"※项目不在项目台账里",IF(AND(LEFT($F1199,3)="成本-",$G1199=""),"※成本类支出没填项目",IF(AND(LEFT($F1199,3)="成本-",$H1199&lt;&gt;"",N($K1199)&gt;0,COUNTIFS(采购单!$B:$B,$B1199,采购单!$C:$C,$H1199,采购单!$L:$L,$K1199)&gt;0),"※这笔可能和采购单重复了",""))))))))))</f>
        <v/>
      </c>
    </row>
    <row r="1200">
      <c r="A1200" s="17">
        <f>IF($B1200="","",ROW()-3)</f>
        <v/>
      </c>
      <c r="B1200" s="18" t="n"/>
      <c r="C1200" s="13" t="n"/>
      <c r="D1200" s="13" t="n"/>
      <c r="E1200" s="13" t="n"/>
      <c r="F1200" s="17">
        <f>IF($E1200="","",IFERROR(VLOOKUP($E1200,类别归属,2,0),"※类别不在基础资料里"))</f>
        <v/>
      </c>
      <c r="G1200" s="13" t="n"/>
      <c r="H1200" s="13" t="n"/>
      <c r="I1200" s="13" t="n"/>
      <c r="J1200" s="14" t="n"/>
      <c r="K1200" s="14" t="n"/>
      <c r="L1200" s="19">
        <f>IF($C1200="","",ROUND(IFERROR(VLOOKUP($C1200,账户期初,2,0),0)+SUMIFS($J$4:J1200,$C$4:C1200,$C1200)-SUMIFS($K$4:K1200,$C$4:C1200,$C1200),2))</f>
        <v/>
      </c>
      <c r="M1200" s="19">
        <f>IF($C1200="","",ROUND(SUM(基础资料!$B$4:$B$13)+SUM($J$4:J1200)-SUM($K$4:K1200),2))</f>
        <v/>
      </c>
      <c r="N1200" s="13" t="n"/>
      <c r="O1200" s="13" t="n"/>
      <c r="P1200" s="17">
        <f>IF($B1200="","",IF($F1200="※类别不在基础资料里","※费用类别不在基础资料里",IF(AND(N($J1200)=0,N($K1200)=0),"※这行没填金额",IF(AND(N($J1200)&gt;0,N($K1200)&gt;0),"※收入和支出不能同一行都填",IF(AND($D1200="收入",N($J1200)=0),"※收入行要填收入金额",IF(AND($D1200="支出",N($K1200)=0),"※支出行要填支出金额",IF(AND($C1200&lt;&gt;"",ISNA(MATCH($C1200,账户表,0))),"※账户不在基础资料里",IF(AND($G1200&lt;&gt;"",ISNA(MATCH($G1200,项目名表,0))),"※项目不在项目台账里",IF(AND(LEFT($F1200,3)="成本-",$G1200=""),"※成本类支出没填项目",IF(AND(LEFT($F1200,3)="成本-",$H1200&lt;&gt;"",N($K1200)&gt;0,COUNTIFS(采购单!$B:$B,$B1200,采购单!$C:$C,$H1200,采购单!$L:$L,$K1200)&gt;0),"※这笔可能和采购单重复了",""))))))))))</f>
        <v/>
      </c>
    </row>
    <row r="1201">
      <c r="A1201" s="17">
        <f>IF($B1201="","",ROW()-3)</f>
        <v/>
      </c>
      <c r="B1201" s="18" t="n"/>
      <c r="C1201" s="13" t="n"/>
      <c r="D1201" s="13" t="n"/>
      <c r="E1201" s="13" t="n"/>
      <c r="F1201" s="17">
        <f>IF($E1201="","",IFERROR(VLOOKUP($E1201,类别归属,2,0),"※类别不在基础资料里"))</f>
        <v/>
      </c>
      <c r="G1201" s="13" t="n"/>
      <c r="H1201" s="13" t="n"/>
      <c r="I1201" s="13" t="n"/>
      <c r="J1201" s="14" t="n"/>
      <c r="K1201" s="14" t="n"/>
      <c r="L1201" s="19">
        <f>IF($C1201="","",ROUND(IFERROR(VLOOKUP($C1201,账户期初,2,0),0)+SUMIFS($J$4:J1201,$C$4:C1201,$C1201)-SUMIFS($K$4:K1201,$C$4:C1201,$C1201),2))</f>
        <v/>
      </c>
      <c r="M1201" s="19">
        <f>IF($C1201="","",ROUND(SUM(基础资料!$B$4:$B$13)+SUM($J$4:J1201)-SUM($K$4:K1201),2))</f>
        <v/>
      </c>
      <c r="N1201" s="13" t="n"/>
      <c r="O1201" s="13" t="n"/>
      <c r="P1201" s="17">
        <f>IF($B1201="","",IF($F1201="※类别不在基础资料里","※费用类别不在基础资料里",IF(AND(N($J1201)=0,N($K1201)=0),"※这行没填金额",IF(AND(N($J1201)&gt;0,N($K1201)&gt;0),"※收入和支出不能同一行都填",IF(AND($D1201="收入",N($J1201)=0),"※收入行要填收入金额",IF(AND($D1201="支出",N($K1201)=0),"※支出行要填支出金额",IF(AND($C1201&lt;&gt;"",ISNA(MATCH($C1201,账户表,0))),"※账户不在基础资料里",IF(AND($G1201&lt;&gt;"",ISNA(MATCH($G1201,项目名表,0))),"※项目不在项目台账里",IF(AND(LEFT($F1201,3)="成本-",$G1201=""),"※成本类支出没填项目",IF(AND(LEFT($F1201,3)="成本-",$H1201&lt;&gt;"",N($K1201)&gt;0,COUNTIFS(采购单!$B:$B,$B1201,采购单!$C:$C,$H1201,采购单!$L:$L,$K1201)&gt;0),"※这笔可能和采购单重复了",""))))))))))</f>
        <v/>
      </c>
    </row>
    <row r="1202">
      <c r="A1202" s="17">
        <f>IF($B1202="","",ROW()-3)</f>
        <v/>
      </c>
      <c r="B1202" s="18" t="n"/>
      <c r="C1202" s="13" t="n"/>
      <c r="D1202" s="13" t="n"/>
      <c r="E1202" s="13" t="n"/>
      <c r="F1202" s="17">
        <f>IF($E1202="","",IFERROR(VLOOKUP($E1202,类别归属,2,0),"※类别不在基础资料里"))</f>
        <v/>
      </c>
      <c r="G1202" s="13" t="n"/>
      <c r="H1202" s="13" t="n"/>
      <c r="I1202" s="13" t="n"/>
      <c r="J1202" s="14" t="n"/>
      <c r="K1202" s="14" t="n"/>
      <c r="L1202" s="19">
        <f>IF($C1202="","",ROUND(IFERROR(VLOOKUP($C1202,账户期初,2,0),0)+SUMIFS($J$4:J1202,$C$4:C1202,$C1202)-SUMIFS($K$4:K1202,$C$4:C1202,$C1202),2))</f>
        <v/>
      </c>
      <c r="M1202" s="19">
        <f>IF($C1202="","",ROUND(SUM(基础资料!$B$4:$B$13)+SUM($J$4:J1202)-SUM($K$4:K1202),2))</f>
        <v/>
      </c>
      <c r="N1202" s="13" t="n"/>
      <c r="O1202" s="13" t="n"/>
      <c r="P1202" s="17">
        <f>IF($B1202="","",IF($F1202="※类别不在基础资料里","※费用类别不在基础资料里",IF(AND(N($J1202)=0,N($K1202)=0),"※这行没填金额",IF(AND(N($J1202)&gt;0,N($K1202)&gt;0),"※收入和支出不能同一行都填",IF(AND($D1202="收入",N($J1202)=0),"※收入行要填收入金额",IF(AND($D1202="支出",N($K1202)=0),"※支出行要填支出金额",IF(AND($C1202&lt;&gt;"",ISNA(MATCH($C1202,账户表,0))),"※账户不在基础资料里",IF(AND($G1202&lt;&gt;"",ISNA(MATCH($G1202,项目名表,0))),"※项目不在项目台账里",IF(AND(LEFT($F1202,3)="成本-",$G1202=""),"※成本类支出没填项目",IF(AND(LEFT($F1202,3)="成本-",$H1202&lt;&gt;"",N($K1202)&gt;0,COUNTIFS(采购单!$B:$B,$B1202,采购单!$C:$C,$H1202,采购单!$L:$L,$K1202)&gt;0),"※这笔可能和采购单重复了",""))))))))))</f>
        <v/>
      </c>
    </row>
    <row r="1203">
      <c r="A1203" s="17">
        <f>IF($B1203="","",ROW()-3)</f>
        <v/>
      </c>
      <c r="B1203" s="18" t="n"/>
      <c r="C1203" s="13" t="n"/>
      <c r="D1203" s="13" t="n"/>
      <c r="E1203" s="13" t="n"/>
      <c r="F1203" s="17">
        <f>IF($E1203="","",IFERROR(VLOOKUP($E1203,类别归属,2,0),"※类别不在基础资料里"))</f>
        <v/>
      </c>
      <c r="G1203" s="13" t="n"/>
      <c r="H1203" s="13" t="n"/>
      <c r="I1203" s="13" t="n"/>
      <c r="J1203" s="14" t="n"/>
      <c r="K1203" s="14" t="n"/>
      <c r="L1203" s="19">
        <f>IF($C1203="","",ROUND(IFERROR(VLOOKUP($C1203,账户期初,2,0),0)+SUMIFS($J$4:J1203,$C$4:C1203,$C1203)-SUMIFS($K$4:K1203,$C$4:C1203,$C1203),2))</f>
        <v/>
      </c>
      <c r="M1203" s="19">
        <f>IF($C1203="","",ROUND(SUM(基础资料!$B$4:$B$13)+SUM($J$4:J1203)-SUM($K$4:K1203),2))</f>
        <v/>
      </c>
      <c r="N1203" s="13" t="n"/>
      <c r="O1203" s="13" t="n"/>
      <c r="P1203" s="17">
        <f>IF($B1203="","",IF($F1203="※类别不在基础资料里","※费用类别不在基础资料里",IF(AND(N($J1203)=0,N($K1203)=0),"※这行没填金额",IF(AND(N($J1203)&gt;0,N($K1203)&gt;0),"※收入和支出不能同一行都填",IF(AND($D1203="收入",N($J1203)=0),"※收入行要填收入金额",IF(AND($D1203="支出",N($K1203)=0),"※支出行要填支出金额",IF(AND($C1203&lt;&gt;"",ISNA(MATCH($C1203,账户表,0))),"※账户不在基础资料里",IF(AND($G1203&lt;&gt;"",ISNA(MATCH($G1203,项目名表,0))),"※项目不在项目台账里",IF(AND(LEFT($F1203,3)="成本-",$G1203=""),"※成本类支出没填项目",IF(AND(LEFT($F1203,3)="成本-",$H1203&lt;&gt;"",N($K1203)&gt;0,COUNTIFS(采购单!$B:$B,$B1203,采购单!$C:$C,$H1203,采购单!$L:$L,$K1203)&gt;0),"※这笔可能和采购单重复了",""))))))))))</f>
        <v/>
      </c>
    </row>
    <row r="1204">
      <c r="A1204" s="17">
        <f>IF($B1204="","",ROW()-3)</f>
        <v/>
      </c>
      <c r="B1204" s="18" t="n"/>
      <c r="C1204" s="13" t="n"/>
      <c r="D1204" s="13" t="n"/>
      <c r="E1204" s="13" t="n"/>
      <c r="F1204" s="17">
        <f>IF($E1204="","",IFERROR(VLOOKUP($E1204,类别归属,2,0),"※类别不在基础资料里"))</f>
        <v/>
      </c>
      <c r="G1204" s="13" t="n"/>
      <c r="H1204" s="13" t="n"/>
      <c r="I1204" s="13" t="n"/>
      <c r="J1204" s="14" t="n"/>
      <c r="K1204" s="14" t="n"/>
      <c r="L1204" s="19">
        <f>IF($C1204="","",ROUND(IFERROR(VLOOKUP($C1204,账户期初,2,0),0)+SUMIFS($J$4:J1204,$C$4:C1204,$C1204)-SUMIFS($K$4:K1204,$C$4:C1204,$C1204),2))</f>
        <v/>
      </c>
      <c r="M1204" s="19">
        <f>IF($C1204="","",ROUND(SUM(基础资料!$B$4:$B$13)+SUM($J$4:J1204)-SUM($K$4:K1204),2))</f>
        <v/>
      </c>
      <c r="N1204" s="13" t="n"/>
      <c r="O1204" s="13" t="n"/>
      <c r="P1204" s="17">
        <f>IF($B1204="","",IF($F1204="※类别不在基础资料里","※费用类别不在基础资料里",IF(AND(N($J1204)=0,N($K1204)=0),"※这行没填金额",IF(AND(N($J1204)&gt;0,N($K1204)&gt;0),"※收入和支出不能同一行都填",IF(AND($D1204="收入",N($J1204)=0),"※收入行要填收入金额",IF(AND($D1204="支出",N($K1204)=0),"※支出行要填支出金额",IF(AND($C1204&lt;&gt;"",ISNA(MATCH($C1204,账户表,0))),"※账户不在基础资料里",IF(AND($G1204&lt;&gt;"",ISNA(MATCH($G1204,项目名表,0))),"※项目不在项目台账里",IF(AND(LEFT($F1204,3)="成本-",$G1204=""),"※成本类支出没填项目",IF(AND(LEFT($F1204,3)="成本-",$H1204&lt;&gt;"",N($K1204)&gt;0,COUNTIFS(采购单!$B:$B,$B1204,采购单!$C:$C,$H1204,采购单!$L:$L,$K1204)&gt;0),"※这笔可能和采购单重复了",""))))))))))</f>
        <v/>
      </c>
    </row>
    <row r="1205">
      <c r="A1205" s="17">
        <f>IF($B1205="","",ROW()-3)</f>
        <v/>
      </c>
      <c r="B1205" s="18" t="n"/>
      <c r="C1205" s="13" t="n"/>
      <c r="D1205" s="13" t="n"/>
      <c r="E1205" s="13" t="n"/>
      <c r="F1205" s="17">
        <f>IF($E1205="","",IFERROR(VLOOKUP($E1205,类别归属,2,0),"※类别不在基础资料里"))</f>
        <v/>
      </c>
      <c r="G1205" s="13" t="n"/>
      <c r="H1205" s="13" t="n"/>
      <c r="I1205" s="13" t="n"/>
      <c r="J1205" s="14" t="n"/>
      <c r="K1205" s="14" t="n"/>
      <c r="L1205" s="19">
        <f>IF($C1205="","",ROUND(IFERROR(VLOOKUP($C1205,账户期初,2,0),0)+SUMIFS($J$4:J1205,$C$4:C1205,$C1205)-SUMIFS($K$4:K1205,$C$4:C1205,$C1205),2))</f>
        <v/>
      </c>
      <c r="M1205" s="19">
        <f>IF($C1205="","",ROUND(SUM(基础资料!$B$4:$B$13)+SUM($J$4:J1205)-SUM($K$4:K1205),2))</f>
        <v/>
      </c>
      <c r="N1205" s="13" t="n"/>
      <c r="O1205" s="13" t="n"/>
      <c r="P1205" s="17">
        <f>IF($B1205="","",IF($F1205="※类别不在基础资料里","※费用类别不在基础资料里",IF(AND(N($J1205)=0,N($K1205)=0),"※这行没填金额",IF(AND(N($J1205)&gt;0,N($K1205)&gt;0),"※收入和支出不能同一行都填",IF(AND($D1205="收入",N($J1205)=0),"※收入行要填收入金额",IF(AND($D1205="支出",N($K1205)=0),"※支出行要填支出金额",IF(AND($C1205&lt;&gt;"",ISNA(MATCH($C1205,账户表,0))),"※账户不在基础资料里",IF(AND($G1205&lt;&gt;"",ISNA(MATCH($G1205,项目名表,0))),"※项目不在项目台账里",IF(AND(LEFT($F1205,3)="成本-",$G1205=""),"※成本类支出没填项目",IF(AND(LEFT($F1205,3)="成本-",$H1205&lt;&gt;"",N($K1205)&gt;0,COUNTIFS(采购单!$B:$B,$B1205,采购单!$C:$C,$H1205,采购单!$L:$L,$K1205)&gt;0),"※这笔可能和采购单重复了",""))))))))))</f>
        <v/>
      </c>
    </row>
    <row r="1206">
      <c r="A1206" s="17">
        <f>IF($B1206="","",ROW()-3)</f>
        <v/>
      </c>
      <c r="B1206" s="18" t="n"/>
      <c r="C1206" s="13" t="n"/>
      <c r="D1206" s="13" t="n"/>
      <c r="E1206" s="13" t="n"/>
      <c r="F1206" s="17">
        <f>IF($E1206="","",IFERROR(VLOOKUP($E1206,类别归属,2,0),"※类别不在基础资料里"))</f>
        <v/>
      </c>
      <c r="G1206" s="13" t="n"/>
      <c r="H1206" s="13" t="n"/>
      <c r="I1206" s="13" t="n"/>
      <c r="J1206" s="14" t="n"/>
      <c r="K1206" s="14" t="n"/>
      <c r="L1206" s="19">
        <f>IF($C1206="","",ROUND(IFERROR(VLOOKUP($C1206,账户期初,2,0),0)+SUMIFS($J$4:J1206,$C$4:C1206,$C1206)-SUMIFS($K$4:K1206,$C$4:C1206,$C1206),2))</f>
        <v/>
      </c>
      <c r="M1206" s="19">
        <f>IF($C1206="","",ROUND(SUM(基础资料!$B$4:$B$13)+SUM($J$4:J1206)-SUM($K$4:K1206),2))</f>
        <v/>
      </c>
      <c r="N1206" s="13" t="n"/>
      <c r="O1206" s="13" t="n"/>
      <c r="P1206" s="17">
        <f>IF($B1206="","",IF($F1206="※类别不在基础资料里","※费用类别不在基础资料里",IF(AND(N($J1206)=0,N($K1206)=0),"※这行没填金额",IF(AND(N($J1206)&gt;0,N($K1206)&gt;0),"※收入和支出不能同一行都填",IF(AND($D1206="收入",N($J1206)=0),"※收入行要填收入金额",IF(AND($D1206="支出",N($K1206)=0),"※支出行要填支出金额",IF(AND($C1206&lt;&gt;"",ISNA(MATCH($C1206,账户表,0))),"※账户不在基础资料里",IF(AND($G1206&lt;&gt;"",ISNA(MATCH($G1206,项目名表,0))),"※项目不在项目台账里",IF(AND(LEFT($F1206,3)="成本-",$G1206=""),"※成本类支出没填项目",IF(AND(LEFT($F1206,3)="成本-",$H1206&lt;&gt;"",N($K1206)&gt;0,COUNTIFS(采购单!$B:$B,$B1206,采购单!$C:$C,$H1206,采购单!$L:$L,$K1206)&gt;0),"※这笔可能和采购单重复了",""))))))))))</f>
        <v/>
      </c>
    </row>
    <row r="1207">
      <c r="A1207" s="17">
        <f>IF($B1207="","",ROW()-3)</f>
        <v/>
      </c>
      <c r="B1207" s="18" t="n"/>
      <c r="C1207" s="13" t="n"/>
      <c r="D1207" s="13" t="n"/>
      <c r="E1207" s="13" t="n"/>
      <c r="F1207" s="17">
        <f>IF($E1207="","",IFERROR(VLOOKUP($E1207,类别归属,2,0),"※类别不在基础资料里"))</f>
        <v/>
      </c>
      <c r="G1207" s="13" t="n"/>
      <c r="H1207" s="13" t="n"/>
      <c r="I1207" s="13" t="n"/>
      <c r="J1207" s="14" t="n"/>
      <c r="K1207" s="14" t="n"/>
      <c r="L1207" s="19">
        <f>IF($C1207="","",ROUND(IFERROR(VLOOKUP($C1207,账户期初,2,0),0)+SUMIFS($J$4:J1207,$C$4:C1207,$C1207)-SUMIFS($K$4:K1207,$C$4:C1207,$C1207),2))</f>
        <v/>
      </c>
      <c r="M1207" s="19">
        <f>IF($C1207="","",ROUND(SUM(基础资料!$B$4:$B$13)+SUM($J$4:J1207)-SUM($K$4:K1207),2))</f>
        <v/>
      </c>
      <c r="N1207" s="13" t="n"/>
      <c r="O1207" s="13" t="n"/>
      <c r="P1207" s="17">
        <f>IF($B1207="","",IF($F1207="※类别不在基础资料里","※费用类别不在基础资料里",IF(AND(N($J1207)=0,N($K1207)=0),"※这行没填金额",IF(AND(N($J1207)&gt;0,N($K1207)&gt;0),"※收入和支出不能同一行都填",IF(AND($D1207="收入",N($J1207)=0),"※收入行要填收入金额",IF(AND($D1207="支出",N($K1207)=0),"※支出行要填支出金额",IF(AND($C1207&lt;&gt;"",ISNA(MATCH($C1207,账户表,0))),"※账户不在基础资料里",IF(AND($G1207&lt;&gt;"",ISNA(MATCH($G1207,项目名表,0))),"※项目不在项目台账里",IF(AND(LEFT($F1207,3)="成本-",$G1207=""),"※成本类支出没填项目",IF(AND(LEFT($F1207,3)="成本-",$H1207&lt;&gt;"",N($K1207)&gt;0,COUNTIFS(采购单!$B:$B,$B1207,采购单!$C:$C,$H1207,采购单!$L:$L,$K1207)&gt;0),"※这笔可能和采购单重复了",""))))))))))</f>
        <v/>
      </c>
    </row>
    <row r="1208">
      <c r="A1208" s="17">
        <f>IF($B1208="","",ROW()-3)</f>
        <v/>
      </c>
      <c r="B1208" s="18" t="n"/>
      <c r="C1208" s="13" t="n"/>
      <c r="D1208" s="13" t="n"/>
      <c r="E1208" s="13" t="n"/>
      <c r="F1208" s="17">
        <f>IF($E1208="","",IFERROR(VLOOKUP($E1208,类别归属,2,0),"※类别不在基础资料里"))</f>
        <v/>
      </c>
      <c r="G1208" s="13" t="n"/>
      <c r="H1208" s="13" t="n"/>
      <c r="I1208" s="13" t="n"/>
      <c r="J1208" s="14" t="n"/>
      <c r="K1208" s="14" t="n"/>
      <c r="L1208" s="19">
        <f>IF($C1208="","",ROUND(IFERROR(VLOOKUP($C1208,账户期初,2,0),0)+SUMIFS($J$4:J1208,$C$4:C1208,$C1208)-SUMIFS($K$4:K1208,$C$4:C1208,$C1208),2))</f>
        <v/>
      </c>
      <c r="M1208" s="19">
        <f>IF($C1208="","",ROUND(SUM(基础资料!$B$4:$B$13)+SUM($J$4:J1208)-SUM($K$4:K1208),2))</f>
        <v/>
      </c>
      <c r="N1208" s="13" t="n"/>
      <c r="O1208" s="13" t="n"/>
      <c r="P1208" s="17">
        <f>IF($B1208="","",IF($F1208="※类别不在基础资料里","※费用类别不在基础资料里",IF(AND(N($J1208)=0,N($K1208)=0),"※这行没填金额",IF(AND(N($J1208)&gt;0,N($K1208)&gt;0),"※收入和支出不能同一行都填",IF(AND($D1208="收入",N($J1208)=0),"※收入行要填收入金额",IF(AND($D1208="支出",N($K1208)=0),"※支出行要填支出金额",IF(AND($C1208&lt;&gt;"",ISNA(MATCH($C1208,账户表,0))),"※账户不在基础资料里",IF(AND($G1208&lt;&gt;"",ISNA(MATCH($G1208,项目名表,0))),"※项目不在项目台账里",IF(AND(LEFT($F1208,3)="成本-",$G1208=""),"※成本类支出没填项目",IF(AND(LEFT($F1208,3)="成本-",$H1208&lt;&gt;"",N($K1208)&gt;0,COUNTIFS(采购单!$B:$B,$B1208,采购单!$C:$C,$H1208,采购单!$L:$L,$K1208)&gt;0),"※这笔可能和采购单重复了",""))))))))))</f>
        <v/>
      </c>
    </row>
    <row r="1209">
      <c r="A1209" s="17">
        <f>IF($B1209="","",ROW()-3)</f>
        <v/>
      </c>
      <c r="B1209" s="18" t="n"/>
      <c r="C1209" s="13" t="n"/>
      <c r="D1209" s="13" t="n"/>
      <c r="E1209" s="13" t="n"/>
      <c r="F1209" s="17">
        <f>IF($E1209="","",IFERROR(VLOOKUP($E1209,类别归属,2,0),"※类别不在基础资料里"))</f>
        <v/>
      </c>
      <c r="G1209" s="13" t="n"/>
      <c r="H1209" s="13" t="n"/>
      <c r="I1209" s="13" t="n"/>
      <c r="J1209" s="14" t="n"/>
      <c r="K1209" s="14" t="n"/>
      <c r="L1209" s="19">
        <f>IF($C1209="","",ROUND(IFERROR(VLOOKUP($C1209,账户期初,2,0),0)+SUMIFS($J$4:J1209,$C$4:C1209,$C1209)-SUMIFS($K$4:K1209,$C$4:C1209,$C1209),2))</f>
        <v/>
      </c>
      <c r="M1209" s="19">
        <f>IF($C1209="","",ROUND(SUM(基础资料!$B$4:$B$13)+SUM($J$4:J1209)-SUM($K$4:K1209),2))</f>
        <v/>
      </c>
      <c r="N1209" s="13" t="n"/>
      <c r="O1209" s="13" t="n"/>
      <c r="P1209" s="17">
        <f>IF($B1209="","",IF($F1209="※类别不在基础资料里","※费用类别不在基础资料里",IF(AND(N($J1209)=0,N($K1209)=0),"※这行没填金额",IF(AND(N($J1209)&gt;0,N($K1209)&gt;0),"※收入和支出不能同一行都填",IF(AND($D1209="收入",N($J1209)=0),"※收入行要填收入金额",IF(AND($D1209="支出",N($K1209)=0),"※支出行要填支出金额",IF(AND($C1209&lt;&gt;"",ISNA(MATCH($C1209,账户表,0))),"※账户不在基础资料里",IF(AND($G1209&lt;&gt;"",ISNA(MATCH($G1209,项目名表,0))),"※项目不在项目台账里",IF(AND(LEFT($F1209,3)="成本-",$G1209=""),"※成本类支出没填项目",IF(AND(LEFT($F1209,3)="成本-",$H1209&lt;&gt;"",N($K1209)&gt;0,COUNTIFS(采购单!$B:$B,$B1209,采购单!$C:$C,$H1209,采购单!$L:$L,$K1209)&gt;0),"※这笔可能和采购单重复了",""))))))))))</f>
        <v/>
      </c>
    </row>
    <row r="1210">
      <c r="A1210" s="17">
        <f>IF($B1210="","",ROW()-3)</f>
        <v/>
      </c>
      <c r="B1210" s="18" t="n"/>
      <c r="C1210" s="13" t="n"/>
      <c r="D1210" s="13" t="n"/>
      <c r="E1210" s="13" t="n"/>
      <c r="F1210" s="17">
        <f>IF($E1210="","",IFERROR(VLOOKUP($E1210,类别归属,2,0),"※类别不在基础资料里"))</f>
        <v/>
      </c>
      <c r="G1210" s="13" t="n"/>
      <c r="H1210" s="13" t="n"/>
      <c r="I1210" s="13" t="n"/>
      <c r="J1210" s="14" t="n"/>
      <c r="K1210" s="14" t="n"/>
      <c r="L1210" s="19">
        <f>IF($C1210="","",ROUND(IFERROR(VLOOKUP($C1210,账户期初,2,0),0)+SUMIFS($J$4:J1210,$C$4:C1210,$C1210)-SUMIFS($K$4:K1210,$C$4:C1210,$C1210),2))</f>
        <v/>
      </c>
      <c r="M1210" s="19">
        <f>IF($C1210="","",ROUND(SUM(基础资料!$B$4:$B$13)+SUM($J$4:J1210)-SUM($K$4:K1210),2))</f>
        <v/>
      </c>
      <c r="N1210" s="13" t="n"/>
      <c r="O1210" s="13" t="n"/>
      <c r="P1210" s="17">
        <f>IF($B1210="","",IF($F1210="※类别不在基础资料里","※费用类别不在基础资料里",IF(AND(N($J1210)=0,N($K1210)=0),"※这行没填金额",IF(AND(N($J1210)&gt;0,N($K1210)&gt;0),"※收入和支出不能同一行都填",IF(AND($D1210="收入",N($J1210)=0),"※收入行要填收入金额",IF(AND($D1210="支出",N($K1210)=0),"※支出行要填支出金额",IF(AND($C1210&lt;&gt;"",ISNA(MATCH($C1210,账户表,0))),"※账户不在基础资料里",IF(AND($G1210&lt;&gt;"",ISNA(MATCH($G1210,项目名表,0))),"※项目不在项目台账里",IF(AND(LEFT($F1210,3)="成本-",$G1210=""),"※成本类支出没填项目",IF(AND(LEFT($F1210,3)="成本-",$H1210&lt;&gt;"",N($K1210)&gt;0,COUNTIFS(采购单!$B:$B,$B1210,采购单!$C:$C,$H1210,采购单!$L:$L,$K1210)&gt;0),"※这笔可能和采购单重复了",""))))))))))</f>
        <v/>
      </c>
    </row>
    <row r="1211">
      <c r="A1211" s="17">
        <f>IF($B1211="","",ROW()-3)</f>
        <v/>
      </c>
      <c r="B1211" s="18" t="n"/>
      <c r="C1211" s="13" t="n"/>
      <c r="D1211" s="13" t="n"/>
      <c r="E1211" s="13" t="n"/>
      <c r="F1211" s="17">
        <f>IF($E1211="","",IFERROR(VLOOKUP($E1211,类别归属,2,0),"※类别不在基础资料里"))</f>
        <v/>
      </c>
      <c r="G1211" s="13" t="n"/>
      <c r="H1211" s="13" t="n"/>
      <c r="I1211" s="13" t="n"/>
      <c r="J1211" s="14" t="n"/>
      <c r="K1211" s="14" t="n"/>
      <c r="L1211" s="19">
        <f>IF($C1211="","",ROUND(IFERROR(VLOOKUP($C1211,账户期初,2,0),0)+SUMIFS($J$4:J1211,$C$4:C1211,$C1211)-SUMIFS($K$4:K1211,$C$4:C1211,$C1211),2))</f>
        <v/>
      </c>
      <c r="M1211" s="19">
        <f>IF($C1211="","",ROUND(SUM(基础资料!$B$4:$B$13)+SUM($J$4:J1211)-SUM($K$4:K1211),2))</f>
        <v/>
      </c>
      <c r="N1211" s="13" t="n"/>
      <c r="O1211" s="13" t="n"/>
      <c r="P1211" s="17">
        <f>IF($B1211="","",IF($F1211="※类别不在基础资料里","※费用类别不在基础资料里",IF(AND(N($J1211)=0,N($K1211)=0),"※这行没填金额",IF(AND(N($J1211)&gt;0,N($K1211)&gt;0),"※收入和支出不能同一行都填",IF(AND($D1211="收入",N($J1211)=0),"※收入行要填收入金额",IF(AND($D1211="支出",N($K1211)=0),"※支出行要填支出金额",IF(AND($C1211&lt;&gt;"",ISNA(MATCH($C1211,账户表,0))),"※账户不在基础资料里",IF(AND($G1211&lt;&gt;"",ISNA(MATCH($G1211,项目名表,0))),"※项目不在项目台账里",IF(AND(LEFT($F1211,3)="成本-",$G1211=""),"※成本类支出没填项目",IF(AND(LEFT($F1211,3)="成本-",$H1211&lt;&gt;"",N($K1211)&gt;0,COUNTIFS(采购单!$B:$B,$B1211,采购单!$C:$C,$H1211,采购单!$L:$L,$K1211)&gt;0),"※这笔可能和采购单重复了",""))))))))))</f>
        <v/>
      </c>
    </row>
    <row r="1212">
      <c r="A1212" s="17">
        <f>IF($B1212="","",ROW()-3)</f>
        <v/>
      </c>
      <c r="B1212" s="18" t="n"/>
      <c r="C1212" s="13" t="n"/>
      <c r="D1212" s="13" t="n"/>
      <c r="E1212" s="13" t="n"/>
      <c r="F1212" s="17">
        <f>IF($E1212="","",IFERROR(VLOOKUP($E1212,类别归属,2,0),"※类别不在基础资料里"))</f>
        <v/>
      </c>
      <c r="G1212" s="13" t="n"/>
      <c r="H1212" s="13" t="n"/>
      <c r="I1212" s="13" t="n"/>
      <c r="J1212" s="14" t="n"/>
      <c r="K1212" s="14" t="n"/>
      <c r="L1212" s="19">
        <f>IF($C1212="","",ROUND(IFERROR(VLOOKUP($C1212,账户期初,2,0),0)+SUMIFS($J$4:J1212,$C$4:C1212,$C1212)-SUMIFS($K$4:K1212,$C$4:C1212,$C1212),2))</f>
        <v/>
      </c>
      <c r="M1212" s="19">
        <f>IF($C1212="","",ROUND(SUM(基础资料!$B$4:$B$13)+SUM($J$4:J1212)-SUM($K$4:K1212),2))</f>
        <v/>
      </c>
      <c r="N1212" s="13" t="n"/>
      <c r="O1212" s="13" t="n"/>
      <c r="P1212" s="17">
        <f>IF($B1212="","",IF($F1212="※类别不在基础资料里","※费用类别不在基础资料里",IF(AND(N($J1212)=0,N($K1212)=0),"※这行没填金额",IF(AND(N($J1212)&gt;0,N($K1212)&gt;0),"※收入和支出不能同一行都填",IF(AND($D1212="收入",N($J1212)=0),"※收入行要填收入金额",IF(AND($D1212="支出",N($K1212)=0),"※支出行要填支出金额",IF(AND($C1212&lt;&gt;"",ISNA(MATCH($C1212,账户表,0))),"※账户不在基础资料里",IF(AND($G1212&lt;&gt;"",ISNA(MATCH($G1212,项目名表,0))),"※项目不在项目台账里",IF(AND(LEFT($F1212,3)="成本-",$G1212=""),"※成本类支出没填项目",IF(AND(LEFT($F1212,3)="成本-",$H1212&lt;&gt;"",N($K1212)&gt;0,COUNTIFS(采购单!$B:$B,$B1212,采购单!$C:$C,$H1212,采购单!$L:$L,$K1212)&gt;0),"※这笔可能和采购单重复了",""))))))))))</f>
        <v/>
      </c>
    </row>
    <row r="1213">
      <c r="A1213" s="17">
        <f>IF($B1213="","",ROW()-3)</f>
        <v/>
      </c>
      <c r="B1213" s="18" t="n"/>
      <c r="C1213" s="13" t="n"/>
      <c r="D1213" s="13" t="n"/>
      <c r="E1213" s="13" t="n"/>
      <c r="F1213" s="17">
        <f>IF($E1213="","",IFERROR(VLOOKUP($E1213,类别归属,2,0),"※类别不在基础资料里"))</f>
        <v/>
      </c>
      <c r="G1213" s="13" t="n"/>
      <c r="H1213" s="13" t="n"/>
      <c r="I1213" s="13" t="n"/>
      <c r="J1213" s="14" t="n"/>
      <c r="K1213" s="14" t="n"/>
      <c r="L1213" s="19">
        <f>IF($C1213="","",ROUND(IFERROR(VLOOKUP($C1213,账户期初,2,0),0)+SUMIFS($J$4:J1213,$C$4:C1213,$C1213)-SUMIFS($K$4:K1213,$C$4:C1213,$C1213),2))</f>
        <v/>
      </c>
      <c r="M1213" s="19">
        <f>IF($C1213="","",ROUND(SUM(基础资料!$B$4:$B$13)+SUM($J$4:J1213)-SUM($K$4:K1213),2))</f>
        <v/>
      </c>
      <c r="N1213" s="13" t="n"/>
      <c r="O1213" s="13" t="n"/>
      <c r="P1213" s="17">
        <f>IF($B1213="","",IF($F1213="※类别不在基础资料里","※费用类别不在基础资料里",IF(AND(N($J1213)=0,N($K1213)=0),"※这行没填金额",IF(AND(N($J1213)&gt;0,N($K1213)&gt;0),"※收入和支出不能同一行都填",IF(AND($D1213="收入",N($J1213)=0),"※收入行要填收入金额",IF(AND($D1213="支出",N($K1213)=0),"※支出行要填支出金额",IF(AND($C1213&lt;&gt;"",ISNA(MATCH($C1213,账户表,0))),"※账户不在基础资料里",IF(AND($G1213&lt;&gt;"",ISNA(MATCH($G1213,项目名表,0))),"※项目不在项目台账里",IF(AND(LEFT($F1213,3)="成本-",$G1213=""),"※成本类支出没填项目",IF(AND(LEFT($F1213,3)="成本-",$H1213&lt;&gt;"",N($K1213)&gt;0,COUNTIFS(采购单!$B:$B,$B1213,采购单!$C:$C,$H1213,采购单!$L:$L,$K1213)&gt;0),"※这笔可能和采购单重复了",""))))))))))</f>
        <v/>
      </c>
    </row>
    <row r="1214">
      <c r="A1214" s="17">
        <f>IF($B1214="","",ROW()-3)</f>
        <v/>
      </c>
      <c r="B1214" s="18" t="n"/>
      <c r="C1214" s="13" t="n"/>
      <c r="D1214" s="13" t="n"/>
      <c r="E1214" s="13" t="n"/>
      <c r="F1214" s="17">
        <f>IF($E1214="","",IFERROR(VLOOKUP($E1214,类别归属,2,0),"※类别不在基础资料里"))</f>
        <v/>
      </c>
      <c r="G1214" s="13" t="n"/>
      <c r="H1214" s="13" t="n"/>
      <c r="I1214" s="13" t="n"/>
      <c r="J1214" s="14" t="n"/>
      <c r="K1214" s="14" t="n"/>
      <c r="L1214" s="19">
        <f>IF($C1214="","",ROUND(IFERROR(VLOOKUP($C1214,账户期初,2,0),0)+SUMIFS($J$4:J1214,$C$4:C1214,$C1214)-SUMIFS($K$4:K1214,$C$4:C1214,$C1214),2))</f>
        <v/>
      </c>
      <c r="M1214" s="19">
        <f>IF($C1214="","",ROUND(SUM(基础资料!$B$4:$B$13)+SUM($J$4:J1214)-SUM($K$4:K1214),2))</f>
        <v/>
      </c>
      <c r="N1214" s="13" t="n"/>
      <c r="O1214" s="13" t="n"/>
      <c r="P1214" s="17">
        <f>IF($B1214="","",IF($F1214="※类别不在基础资料里","※费用类别不在基础资料里",IF(AND(N($J1214)=0,N($K1214)=0),"※这行没填金额",IF(AND(N($J1214)&gt;0,N($K1214)&gt;0),"※收入和支出不能同一行都填",IF(AND($D1214="收入",N($J1214)=0),"※收入行要填收入金额",IF(AND($D1214="支出",N($K1214)=0),"※支出行要填支出金额",IF(AND($C1214&lt;&gt;"",ISNA(MATCH($C1214,账户表,0))),"※账户不在基础资料里",IF(AND($G1214&lt;&gt;"",ISNA(MATCH($G1214,项目名表,0))),"※项目不在项目台账里",IF(AND(LEFT($F1214,3)="成本-",$G1214=""),"※成本类支出没填项目",IF(AND(LEFT($F1214,3)="成本-",$H1214&lt;&gt;"",N($K1214)&gt;0,COUNTIFS(采购单!$B:$B,$B1214,采购单!$C:$C,$H1214,采购单!$L:$L,$K1214)&gt;0),"※这笔可能和采购单重复了",""))))))))))</f>
        <v/>
      </c>
    </row>
    <row r="1215">
      <c r="A1215" s="17">
        <f>IF($B1215="","",ROW()-3)</f>
        <v/>
      </c>
      <c r="B1215" s="18" t="n"/>
      <c r="C1215" s="13" t="n"/>
      <c r="D1215" s="13" t="n"/>
      <c r="E1215" s="13" t="n"/>
      <c r="F1215" s="17">
        <f>IF($E1215="","",IFERROR(VLOOKUP($E1215,类别归属,2,0),"※类别不在基础资料里"))</f>
        <v/>
      </c>
      <c r="G1215" s="13" t="n"/>
      <c r="H1215" s="13" t="n"/>
      <c r="I1215" s="13" t="n"/>
      <c r="J1215" s="14" t="n"/>
      <c r="K1215" s="14" t="n"/>
      <c r="L1215" s="19">
        <f>IF($C1215="","",ROUND(IFERROR(VLOOKUP($C1215,账户期初,2,0),0)+SUMIFS($J$4:J1215,$C$4:C1215,$C1215)-SUMIFS($K$4:K1215,$C$4:C1215,$C1215),2))</f>
        <v/>
      </c>
      <c r="M1215" s="19">
        <f>IF($C1215="","",ROUND(SUM(基础资料!$B$4:$B$13)+SUM($J$4:J1215)-SUM($K$4:K1215),2))</f>
        <v/>
      </c>
      <c r="N1215" s="13" t="n"/>
      <c r="O1215" s="13" t="n"/>
      <c r="P1215" s="17">
        <f>IF($B1215="","",IF($F1215="※类别不在基础资料里","※费用类别不在基础资料里",IF(AND(N($J1215)=0,N($K1215)=0),"※这行没填金额",IF(AND(N($J1215)&gt;0,N($K1215)&gt;0),"※收入和支出不能同一行都填",IF(AND($D1215="收入",N($J1215)=0),"※收入行要填收入金额",IF(AND($D1215="支出",N($K1215)=0),"※支出行要填支出金额",IF(AND($C1215&lt;&gt;"",ISNA(MATCH($C1215,账户表,0))),"※账户不在基础资料里",IF(AND($G1215&lt;&gt;"",ISNA(MATCH($G1215,项目名表,0))),"※项目不在项目台账里",IF(AND(LEFT($F1215,3)="成本-",$G1215=""),"※成本类支出没填项目",IF(AND(LEFT($F1215,3)="成本-",$H1215&lt;&gt;"",N($K1215)&gt;0,COUNTIFS(采购单!$B:$B,$B1215,采购单!$C:$C,$H1215,采购单!$L:$L,$K1215)&gt;0),"※这笔可能和采购单重复了",""))))))))))</f>
        <v/>
      </c>
    </row>
    <row r="1216">
      <c r="A1216" s="17">
        <f>IF($B1216="","",ROW()-3)</f>
        <v/>
      </c>
      <c r="B1216" s="18" t="n"/>
      <c r="C1216" s="13" t="n"/>
      <c r="D1216" s="13" t="n"/>
      <c r="E1216" s="13" t="n"/>
      <c r="F1216" s="17">
        <f>IF($E1216="","",IFERROR(VLOOKUP($E1216,类别归属,2,0),"※类别不在基础资料里"))</f>
        <v/>
      </c>
      <c r="G1216" s="13" t="n"/>
      <c r="H1216" s="13" t="n"/>
      <c r="I1216" s="13" t="n"/>
      <c r="J1216" s="14" t="n"/>
      <c r="K1216" s="14" t="n"/>
      <c r="L1216" s="19">
        <f>IF($C1216="","",ROUND(IFERROR(VLOOKUP($C1216,账户期初,2,0),0)+SUMIFS($J$4:J1216,$C$4:C1216,$C1216)-SUMIFS($K$4:K1216,$C$4:C1216,$C1216),2))</f>
        <v/>
      </c>
      <c r="M1216" s="19">
        <f>IF($C1216="","",ROUND(SUM(基础资料!$B$4:$B$13)+SUM($J$4:J1216)-SUM($K$4:K1216),2))</f>
        <v/>
      </c>
      <c r="N1216" s="13" t="n"/>
      <c r="O1216" s="13" t="n"/>
      <c r="P1216" s="17">
        <f>IF($B1216="","",IF($F1216="※类别不在基础资料里","※费用类别不在基础资料里",IF(AND(N($J1216)=0,N($K1216)=0),"※这行没填金额",IF(AND(N($J1216)&gt;0,N($K1216)&gt;0),"※收入和支出不能同一行都填",IF(AND($D1216="收入",N($J1216)=0),"※收入行要填收入金额",IF(AND($D1216="支出",N($K1216)=0),"※支出行要填支出金额",IF(AND($C1216&lt;&gt;"",ISNA(MATCH($C1216,账户表,0))),"※账户不在基础资料里",IF(AND($G1216&lt;&gt;"",ISNA(MATCH($G1216,项目名表,0))),"※项目不在项目台账里",IF(AND(LEFT($F1216,3)="成本-",$G1216=""),"※成本类支出没填项目",IF(AND(LEFT($F1216,3)="成本-",$H1216&lt;&gt;"",N($K1216)&gt;0,COUNTIFS(采购单!$B:$B,$B1216,采购单!$C:$C,$H1216,采购单!$L:$L,$K1216)&gt;0),"※这笔可能和采购单重复了",""))))))))))</f>
        <v/>
      </c>
    </row>
    <row r="1217">
      <c r="A1217" s="17">
        <f>IF($B1217="","",ROW()-3)</f>
        <v/>
      </c>
      <c r="B1217" s="18" t="n"/>
      <c r="C1217" s="13" t="n"/>
      <c r="D1217" s="13" t="n"/>
      <c r="E1217" s="13" t="n"/>
      <c r="F1217" s="17">
        <f>IF($E1217="","",IFERROR(VLOOKUP($E1217,类别归属,2,0),"※类别不在基础资料里"))</f>
        <v/>
      </c>
      <c r="G1217" s="13" t="n"/>
      <c r="H1217" s="13" t="n"/>
      <c r="I1217" s="13" t="n"/>
      <c r="J1217" s="14" t="n"/>
      <c r="K1217" s="14" t="n"/>
      <c r="L1217" s="19">
        <f>IF($C1217="","",ROUND(IFERROR(VLOOKUP($C1217,账户期初,2,0),0)+SUMIFS($J$4:J1217,$C$4:C1217,$C1217)-SUMIFS($K$4:K1217,$C$4:C1217,$C1217),2))</f>
        <v/>
      </c>
      <c r="M1217" s="19">
        <f>IF($C1217="","",ROUND(SUM(基础资料!$B$4:$B$13)+SUM($J$4:J1217)-SUM($K$4:K1217),2))</f>
        <v/>
      </c>
      <c r="N1217" s="13" t="n"/>
      <c r="O1217" s="13" t="n"/>
      <c r="P1217" s="17">
        <f>IF($B1217="","",IF($F1217="※类别不在基础资料里","※费用类别不在基础资料里",IF(AND(N($J1217)=0,N($K1217)=0),"※这行没填金额",IF(AND(N($J1217)&gt;0,N($K1217)&gt;0),"※收入和支出不能同一行都填",IF(AND($D1217="收入",N($J1217)=0),"※收入行要填收入金额",IF(AND($D1217="支出",N($K1217)=0),"※支出行要填支出金额",IF(AND($C1217&lt;&gt;"",ISNA(MATCH($C1217,账户表,0))),"※账户不在基础资料里",IF(AND($G1217&lt;&gt;"",ISNA(MATCH($G1217,项目名表,0))),"※项目不在项目台账里",IF(AND(LEFT($F1217,3)="成本-",$G1217=""),"※成本类支出没填项目",IF(AND(LEFT($F1217,3)="成本-",$H1217&lt;&gt;"",N($K1217)&gt;0,COUNTIFS(采购单!$B:$B,$B1217,采购单!$C:$C,$H1217,采购单!$L:$L,$K1217)&gt;0),"※这笔可能和采购单重复了",""))))))))))</f>
        <v/>
      </c>
    </row>
    <row r="1218">
      <c r="A1218" s="17">
        <f>IF($B1218="","",ROW()-3)</f>
        <v/>
      </c>
      <c r="B1218" s="18" t="n"/>
      <c r="C1218" s="13" t="n"/>
      <c r="D1218" s="13" t="n"/>
      <c r="E1218" s="13" t="n"/>
      <c r="F1218" s="17">
        <f>IF($E1218="","",IFERROR(VLOOKUP($E1218,类别归属,2,0),"※类别不在基础资料里"))</f>
        <v/>
      </c>
      <c r="G1218" s="13" t="n"/>
      <c r="H1218" s="13" t="n"/>
      <c r="I1218" s="13" t="n"/>
      <c r="J1218" s="14" t="n"/>
      <c r="K1218" s="14" t="n"/>
      <c r="L1218" s="19">
        <f>IF($C1218="","",ROUND(IFERROR(VLOOKUP($C1218,账户期初,2,0),0)+SUMIFS($J$4:J1218,$C$4:C1218,$C1218)-SUMIFS($K$4:K1218,$C$4:C1218,$C1218),2))</f>
        <v/>
      </c>
      <c r="M1218" s="19">
        <f>IF($C1218="","",ROUND(SUM(基础资料!$B$4:$B$13)+SUM($J$4:J1218)-SUM($K$4:K1218),2))</f>
        <v/>
      </c>
      <c r="N1218" s="13" t="n"/>
      <c r="O1218" s="13" t="n"/>
      <c r="P1218" s="17">
        <f>IF($B1218="","",IF($F1218="※类别不在基础资料里","※费用类别不在基础资料里",IF(AND(N($J1218)=0,N($K1218)=0),"※这行没填金额",IF(AND(N($J1218)&gt;0,N($K1218)&gt;0),"※收入和支出不能同一行都填",IF(AND($D1218="收入",N($J1218)=0),"※收入行要填收入金额",IF(AND($D1218="支出",N($K1218)=0),"※支出行要填支出金额",IF(AND($C1218&lt;&gt;"",ISNA(MATCH($C1218,账户表,0))),"※账户不在基础资料里",IF(AND($G1218&lt;&gt;"",ISNA(MATCH($G1218,项目名表,0))),"※项目不在项目台账里",IF(AND(LEFT($F1218,3)="成本-",$G1218=""),"※成本类支出没填项目",IF(AND(LEFT($F1218,3)="成本-",$H1218&lt;&gt;"",N($K1218)&gt;0,COUNTIFS(采购单!$B:$B,$B1218,采购单!$C:$C,$H1218,采购单!$L:$L,$K1218)&gt;0),"※这笔可能和采购单重复了",""))))))))))</f>
        <v/>
      </c>
    </row>
    <row r="1219">
      <c r="A1219" s="17">
        <f>IF($B1219="","",ROW()-3)</f>
        <v/>
      </c>
      <c r="B1219" s="18" t="n"/>
      <c r="C1219" s="13" t="n"/>
      <c r="D1219" s="13" t="n"/>
      <c r="E1219" s="13" t="n"/>
      <c r="F1219" s="17">
        <f>IF($E1219="","",IFERROR(VLOOKUP($E1219,类别归属,2,0),"※类别不在基础资料里"))</f>
        <v/>
      </c>
      <c r="G1219" s="13" t="n"/>
      <c r="H1219" s="13" t="n"/>
      <c r="I1219" s="13" t="n"/>
      <c r="J1219" s="14" t="n"/>
      <c r="K1219" s="14" t="n"/>
      <c r="L1219" s="19">
        <f>IF($C1219="","",ROUND(IFERROR(VLOOKUP($C1219,账户期初,2,0),0)+SUMIFS($J$4:J1219,$C$4:C1219,$C1219)-SUMIFS($K$4:K1219,$C$4:C1219,$C1219),2))</f>
        <v/>
      </c>
      <c r="M1219" s="19">
        <f>IF($C1219="","",ROUND(SUM(基础资料!$B$4:$B$13)+SUM($J$4:J1219)-SUM($K$4:K1219),2))</f>
        <v/>
      </c>
      <c r="N1219" s="13" t="n"/>
      <c r="O1219" s="13" t="n"/>
      <c r="P1219" s="17">
        <f>IF($B1219="","",IF($F1219="※类别不在基础资料里","※费用类别不在基础资料里",IF(AND(N($J1219)=0,N($K1219)=0),"※这行没填金额",IF(AND(N($J1219)&gt;0,N($K1219)&gt;0),"※收入和支出不能同一行都填",IF(AND($D1219="收入",N($J1219)=0),"※收入行要填收入金额",IF(AND($D1219="支出",N($K1219)=0),"※支出行要填支出金额",IF(AND($C1219&lt;&gt;"",ISNA(MATCH($C1219,账户表,0))),"※账户不在基础资料里",IF(AND($G1219&lt;&gt;"",ISNA(MATCH($G1219,项目名表,0))),"※项目不在项目台账里",IF(AND(LEFT($F1219,3)="成本-",$G1219=""),"※成本类支出没填项目",IF(AND(LEFT($F1219,3)="成本-",$H1219&lt;&gt;"",N($K1219)&gt;0,COUNTIFS(采购单!$B:$B,$B1219,采购单!$C:$C,$H1219,采购单!$L:$L,$K1219)&gt;0),"※这笔可能和采购单重复了",""))))))))))</f>
        <v/>
      </c>
    </row>
    <row r="1220">
      <c r="A1220" s="17">
        <f>IF($B1220="","",ROW()-3)</f>
        <v/>
      </c>
      <c r="B1220" s="18" t="n"/>
      <c r="C1220" s="13" t="n"/>
      <c r="D1220" s="13" t="n"/>
      <c r="E1220" s="13" t="n"/>
      <c r="F1220" s="17">
        <f>IF($E1220="","",IFERROR(VLOOKUP($E1220,类别归属,2,0),"※类别不在基础资料里"))</f>
        <v/>
      </c>
      <c r="G1220" s="13" t="n"/>
      <c r="H1220" s="13" t="n"/>
      <c r="I1220" s="13" t="n"/>
      <c r="J1220" s="14" t="n"/>
      <c r="K1220" s="14" t="n"/>
      <c r="L1220" s="19">
        <f>IF($C1220="","",ROUND(IFERROR(VLOOKUP($C1220,账户期初,2,0),0)+SUMIFS($J$4:J1220,$C$4:C1220,$C1220)-SUMIFS($K$4:K1220,$C$4:C1220,$C1220),2))</f>
        <v/>
      </c>
      <c r="M1220" s="19">
        <f>IF($C1220="","",ROUND(SUM(基础资料!$B$4:$B$13)+SUM($J$4:J1220)-SUM($K$4:K1220),2))</f>
        <v/>
      </c>
      <c r="N1220" s="13" t="n"/>
      <c r="O1220" s="13" t="n"/>
      <c r="P1220" s="17">
        <f>IF($B1220="","",IF($F1220="※类别不在基础资料里","※费用类别不在基础资料里",IF(AND(N($J1220)=0,N($K1220)=0),"※这行没填金额",IF(AND(N($J1220)&gt;0,N($K1220)&gt;0),"※收入和支出不能同一行都填",IF(AND($D1220="收入",N($J1220)=0),"※收入行要填收入金额",IF(AND($D1220="支出",N($K1220)=0),"※支出行要填支出金额",IF(AND($C1220&lt;&gt;"",ISNA(MATCH($C1220,账户表,0))),"※账户不在基础资料里",IF(AND($G1220&lt;&gt;"",ISNA(MATCH($G1220,项目名表,0))),"※项目不在项目台账里",IF(AND(LEFT($F1220,3)="成本-",$G1220=""),"※成本类支出没填项目",IF(AND(LEFT($F1220,3)="成本-",$H1220&lt;&gt;"",N($K1220)&gt;0,COUNTIFS(采购单!$B:$B,$B1220,采购单!$C:$C,$H1220,采购单!$L:$L,$K1220)&gt;0),"※这笔可能和采购单重复了",""))))))))))</f>
        <v/>
      </c>
    </row>
    <row r="1221">
      <c r="A1221" s="17">
        <f>IF($B1221="","",ROW()-3)</f>
        <v/>
      </c>
      <c r="B1221" s="18" t="n"/>
      <c r="C1221" s="13" t="n"/>
      <c r="D1221" s="13" t="n"/>
      <c r="E1221" s="13" t="n"/>
      <c r="F1221" s="17">
        <f>IF($E1221="","",IFERROR(VLOOKUP($E1221,类别归属,2,0),"※类别不在基础资料里"))</f>
        <v/>
      </c>
      <c r="G1221" s="13" t="n"/>
      <c r="H1221" s="13" t="n"/>
      <c r="I1221" s="13" t="n"/>
      <c r="J1221" s="14" t="n"/>
      <c r="K1221" s="14" t="n"/>
      <c r="L1221" s="19">
        <f>IF($C1221="","",ROUND(IFERROR(VLOOKUP($C1221,账户期初,2,0),0)+SUMIFS($J$4:J1221,$C$4:C1221,$C1221)-SUMIFS($K$4:K1221,$C$4:C1221,$C1221),2))</f>
        <v/>
      </c>
      <c r="M1221" s="19">
        <f>IF($C1221="","",ROUND(SUM(基础资料!$B$4:$B$13)+SUM($J$4:J1221)-SUM($K$4:K1221),2))</f>
        <v/>
      </c>
      <c r="N1221" s="13" t="n"/>
      <c r="O1221" s="13" t="n"/>
      <c r="P1221" s="17">
        <f>IF($B1221="","",IF($F1221="※类别不在基础资料里","※费用类别不在基础资料里",IF(AND(N($J1221)=0,N($K1221)=0),"※这行没填金额",IF(AND(N($J1221)&gt;0,N($K1221)&gt;0),"※收入和支出不能同一行都填",IF(AND($D1221="收入",N($J1221)=0),"※收入行要填收入金额",IF(AND($D1221="支出",N($K1221)=0),"※支出行要填支出金额",IF(AND($C1221&lt;&gt;"",ISNA(MATCH($C1221,账户表,0))),"※账户不在基础资料里",IF(AND($G1221&lt;&gt;"",ISNA(MATCH($G1221,项目名表,0))),"※项目不在项目台账里",IF(AND(LEFT($F1221,3)="成本-",$G1221=""),"※成本类支出没填项目",IF(AND(LEFT($F1221,3)="成本-",$H1221&lt;&gt;"",N($K1221)&gt;0,COUNTIFS(采购单!$B:$B,$B1221,采购单!$C:$C,$H1221,采购单!$L:$L,$K1221)&gt;0),"※这笔可能和采购单重复了",""))))))))))</f>
        <v/>
      </c>
    </row>
    <row r="1222">
      <c r="A1222" s="17">
        <f>IF($B1222="","",ROW()-3)</f>
        <v/>
      </c>
      <c r="B1222" s="18" t="n"/>
      <c r="C1222" s="13" t="n"/>
      <c r="D1222" s="13" t="n"/>
      <c r="E1222" s="13" t="n"/>
      <c r="F1222" s="17">
        <f>IF($E1222="","",IFERROR(VLOOKUP($E1222,类别归属,2,0),"※类别不在基础资料里"))</f>
        <v/>
      </c>
      <c r="G1222" s="13" t="n"/>
      <c r="H1222" s="13" t="n"/>
      <c r="I1222" s="13" t="n"/>
      <c r="J1222" s="14" t="n"/>
      <c r="K1222" s="14" t="n"/>
      <c r="L1222" s="19">
        <f>IF($C1222="","",ROUND(IFERROR(VLOOKUP($C1222,账户期初,2,0),0)+SUMIFS($J$4:J1222,$C$4:C1222,$C1222)-SUMIFS($K$4:K1222,$C$4:C1222,$C1222),2))</f>
        <v/>
      </c>
      <c r="M1222" s="19">
        <f>IF($C1222="","",ROUND(SUM(基础资料!$B$4:$B$13)+SUM($J$4:J1222)-SUM($K$4:K1222),2))</f>
        <v/>
      </c>
      <c r="N1222" s="13" t="n"/>
      <c r="O1222" s="13" t="n"/>
      <c r="P1222" s="17">
        <f>IF($B1222="","",IF($F1222="※类别不在基础资料里","※费用类别不在基础资料里",IF(AND(N($J1222)=0,N($K1222)=0),"※这行没填金额",IF(AND(N($J1222)&gt;0,N($K1222)&gt;0),"※收入和支出不能同一行都填",IF(AND($D1222="收入",N($J1222)=0),"※收入行要填收入金额",IF(AND($D1222="支出",N($K1222)=0),"※支出行要填支出金额",IF(AND($C1222&lt;&gt;"",ISNA(MATCH($C1222,账户表,0))),"※账户不在基础资料里",IF(AND($G1222&lt;&gt;"",ISNA(MATCH($G1222,项目名表,0))),"※项目不在项目台账里",IF(AND(LEFT($F1222,3)="成本-",$G1222=""),"※成本类支出没填项目",IF(AND(LEFT($F1222,3)="成本-",$H1222&lt;&gt;"",N($K1222)&gt;0,COUNTIFS(采购单!$B:$B,$B1222,采购单!$C:$C,$H1222,采购单!$L:$L,$K1222)&gt;0),"※这笔可能和采购单重复了",""))))))))))</f>
        <v/>
      </c>
    </row>
    <row r="1223">
      <c r="A1223" s="17">
        <f>IF($B1223="","",ROW()-3)</f>
        <v/>
      </c>
      <c r="B1223" s="18" t="n"/>
      <c r="C1223" s="13" t="n"/>
      <c r="D1223" s="13" t="n"/>
      <c r="E1223" s="13" t="n"/>
      <c r="F1223" s="17">
        <f>IF($E1223="","",IFERROR(VLOOKUP($E1223,类别归属,2,0),"※类别不在基础资料里"))</f>
        <v/>
      </c>
      <c r="G1223" s="13" t="n"/>
      <c r="H1223" s="13" t="n"/>
      <c r="I1223" s="13" t="n"/>
      <c r="J1223" s="14" t="n"/>
      <c r="K1223" s="14" t="n"/>
      <c r="L1223" s="19">
        <f>IF($C1223="","",ROUND(IFERROR(VLOOKUP($C1223,账户期初,2,0),0)+SUMIFS($J$4:J1223,$C$4:C1223,$C1223)-SUMIFS($K$4:K1223,$C$4:C1223,$C1223),2))</f>
        <v/>
      </c>
      <c r="M1223" s="19">
        <f>IF($C1223="","",ROUND(SUM(基础资料!$B$4:$B$13)+SUM($J$4:J1223)-SUM($K$4:K1223),2))</f>
        <v/>
      </c>
      <c r="N1223" s="13" t="n"/>
      <c r="O1223" s="13" t="n"/>
      <c r="P1223" s="17">
        <f>IF($B1223="","",IF($F1223="※类别不在基础资料里","※费用类别不在基础资料里",IF(AND(N($J1223)=0,N($K1223)=0),"※这行没填金额",IF(AND(N($J1223)&gt;0,N($K1223)&gt;0),"※收入和支出不能同一行都填",IF(AND($D1223="收入",N($J1223)=0),"※收入行要填收入金额",IF(AND($D1223="支出",N($K1223)=0),"※支出行要填支出金额",IF(AND($C1223&lt;&gt;"",ISNA(MATCH($C1223,账户表,0))),"※账户不在基础资料里",IF(AND($G1223&lt;&gt;"",ISNA(MATCH($G1223,项目名表,0))),"※项目不在项目台账里",IF(AND(LEFT($F1223,3)="成本-",$G1223=""),"※成本类支出没填项目",IF(AND(LEFT($F1223,3)="成本-",$H1223&lt;&gt;"",N($K1223)&gt;0,COUNTIFS(采购单!$B:$B,$B1223,采购单!$C:$C,$H1223,采购单!$L:$L,$K1223)&gt;0),"※这笔可能和采购单重复了",""))))))))))</f>
        <v/>
      </c>
    </row>
    <row r="1224">
      <c r="A1224" s="17">
        <f>IF($B1224="","",ROW()-3)</f>
        <v/>
      </c>
      <c r="B1224" s="18" t="n"/>
      <c r="C1224" s="13" t="n"/>
      <c r="D1224" s="13" t="n"/>
      <c r="E1224" s="13" t="n"/>
      <c r="F1224" s="17">
        <f>IF($E1224="","",IFERROR(VLOOKUP($E1224,类别归属,2,0),"※类别不在基础资料里"))</f>
        <v/>
      </c>
      <c r="G1224" s="13" t="n"/>
      <c r="H1224" s="13" t="n"/>
      <c r="I1224" s="13" t="n"/>
      <c r="J1224" s="14" t="n"/>
      <c r="K1224" s="14" t="n"/>
      <c r="L1224" s="19">
        <f>IF($C1224="","",ROUND(IFERROR(VLOOKUP($C1224,账户期初,2,0),0)+SUMIFS($J$4:J1224,$C$4:C1224,$C1224)-SUMIFS($K$4:K1224,$C$4:C1224,$C1224),2))</f>
        <v/>
      </c>
      <c r="M1224" s="19">
        <f>IF($C1224="","",ROUND(SUM(基础资料!$B$4:$B$13)+SUM($J$4:J1224)-SUM($K$4:K1224),2))</f>
        <v/>
      </c>
      <c r="N1224" s="13" t="n"/>
      <c r="O1224" s="13" t="n"/>
      <c r="P1224" s="17">
        <f>IF($B1224="","",IF($F1224="※类别不在基础资料里","※费用类别不在基础资料里",IF(AND(N($J1224)=0,N($K1224)=0),"※这行没填金额",IF(AND(N($J1224)&gt;0,N($K1224)&gt;0),"※收入和支出不能同一行都填",IF(AND($D1224="收入",N($J1224)=0),"※收入行要填收入金额",IF(AND($D1224="支出",N($K1224)=0),"※支出行要填支出金额",IF(AND($C1224&lt;&gt;"",ISNA(MATCH($C1224,账户表,0))),"※账户不在基础资料里",IF(AND($G1224&lt;&gt;"",ISNA(MATCH($G1224,项目名表,0))),"※项目不在项目台账里",IF(AND(LEFT($F1224,3)="成本-",$G1224=""),"※成本类支出没填项目",IF(AND(LEFT($F1224,3)="成本-",$H1224&lt;&gt;"",N($K1224)&gt;0,COUNTIFS(采购单!$B:$B,$B1224,采购单!$C:$C,$H1224,采购单!$L:$L,$K1224)&gt;0),"※这笔可能和采购单重复了",""))))))))))</f>
        <v/>
      </c>
    </row>
    <row r="1225">
      <c r="A1225" s="17">
        <f>IF($B1225="","",ROW()-3)</f>
        <v/>
      </c>
      <c r="B1225" s="18" t="n"/>
      <c r="C1225" s="13" t="n"/>
      <c r="D1225" s="13" t="n"/>
      <c r="E1225" s="13" t="n"/>
      <c r="F1225" s="17">
        <f>IF($E1225="","",IFERROR(VLOOKUP($E1225,类别归属,2,0),"※类别不在基础资料里"))</f>
        <v/>
      </c>
      <c r="G1225" s="13" t="n"/>
      <c r="H1225" s="13" t="n"/>
      <c r="I1225" s="13" t="n"/>
      <c r="J1225" s="14" t="n"/>
      <c r="K1225" s="14" t="n"/>
      <c r="L1225" s="19">
        <f>IF($C1225="","",ROUND(IFERROR(VLOOKUP($C1225,账户期初,2,0),0)+SUMIFS($J$4:J1225,$C$4:C1225,$C1225)-SUMIFS($K$4:K1225,$C$4:C1225,$C1225),2))</f>
        <v/>
      </c>
      <c r="M1225" s="19">
        <f>IF($C1225="","",ROUND(SUM(基础资料!$B$4:$B$13)+SUM($J$4:J1225)-SUM($K$4:K1225),2))</f>
        <v/>
      </c>
      <c r="N1225" s="13" t="n"/>
      <c r="O1225" s="13" t="n"/>
      <c r="P1225" s="17">
        <f>IF($B1225="","",IF($F1225="※类别不在基础资料里","※费用类别不在基础资料里",IF(AND(N($J1225)=0,N($K1225)=0),"※这行没填金额",IF(AND(N($J1225)&gt;0,N($K1225)&gt;0),"※收入和支出不能同一行都填",IF(AND($D1225="收入",N($J1225)=0),"※收入行要填收入金额",IF(AND($D1225="支出",N($K1225)=0),"※支出行要填支出金额",IF(AND($C1225&lt;&gt;"",ISNA(MATCH($C1225,账户表,0))),"※账户不在基础资料里",IF(AND($G1225&lt;&gt;"",ISNA(MATCH($G1225,项目名表,0))),"※项目不在项目台账里",IF(AND(LEFT($F1225,3)="成本-",$G1225=""),"※成本类支出没填项目",IF(AND(LEFT($F1225,3)="成本-",$H1225&lt;&gt;"",N($K1225)&gt;0,COUNTIFS(采购单!$B:$B,$B1225,采购单!$C:$C,$H1225,采购单!$L:$L,$K1225)&gt;0),"※这笔可能和采购单重复了",""))))))))))</f>
        <v/>
      </c>
    </row>
    <row r="1226">
      <c r="A1226" s="17">
        <f>IF($B1226="","",ROW()-3)</f>
        <v/>
      </c>
      <c r="B1226" s="18" t="n"/>
      <c r="C1226" s="13" t="n"/>
      <c r="D1226" s="13" t="n"/>
      <c r="E1226" s="13" t="n"/>
      <c r="F1226" s="17">
        <f>IF($E1226="","",IFERROR(VLOOKUP($E1226,类别归属,2,0),"※类别不在基础资料里"))</f>
        <v/>
      </c>
      <c r="G1226" s="13" t="n"/>
      <c r="H1226" s="13" t="n"/>
      <c r="I1226" s="13" t="n"/>
      <c r="J1226" s="14" t="n"/>
      <c r="K1226" s="14" t="n"/>
      <c r="L1226" s="19">
        <f>IF($C1226="","",ROUND(IFERROR(VLOOKUP($C1226,账户期初,2,0),0)+SUMIFS($J$4:J1226,$C$4:C1226,$C1226)-SUMIFS($K$4:K1226,$C$4:C1226,$C1226),2))</f>
        <v/>
      </c>
      <c r="M1226" s="19">
        <f>IF($C1226="","",ROUND(SUM(基础资料!$B$4:$B$13)+SUM($J$4:J1226)-SUM($K$4:K1226),2))</f>
        <v/>
      </c>
      <c r="N1226" s="13" t="n"/>
      <c r="O1226" s="13" t="n"/>
      <c r="P1226" s="17">
        <f>IF($B1226="","",IF($F1226="※类别不在基础资料里","※费用类别不在基础资料里",IF(AND(N($J1226)=0,N($K1226)=0),"※这行没填金额",IF(AND(N($J1226)&gt;0,N($K1226)&gt;0),"※收入和支出不能同一行都填",IF(AND($D1226="收入",N($J1226)=0),"※收入行要填收入金额",IF(AND($D1226="支出",N($K1226)=0),"※支出行要填支出金额",IF(AND($C1226&lt;&gt;"",ISNA(MATCH($C1226,账户表,0))),"※账户不在基础资料里",IF(AND($G1226&lt;&gt;"",ISNA(MATCH($G1226,项目名表,0))),"※项目不在项目台账里",IF(AND(LEFT($F1226,3)="成本-",$G1226=""),"※成本类支出没填项目",IF(AND(LEFT($F1226,3)="成本-",$H1226&lt;&gt;"",N($K1226)&gt;0,COUNTIFS(采购单!$B:$B,$B1226,采购单!$C:$C,$H1226,采购单!$L:$L,$K1226)&gt;0),"※这笔可能和采购单重复了",""))))))))))</f>
        <v/>
      </c>
    </row>
    <row r="1227">
      <c r="A1227" s="17">
        <f>IF($B1227="","",ROW()-3)</f>
        <v/>
      </c>
      <c r="B1227" s="18" t="n"/>
      <c r="C1227" s="13" t="n"/>
      <c r="D1227" s="13" t="n"/>
      <c r="E1227" s="13" t="n"/>
      <c r="F1227" s="17">
        <f>IF($E1227="","",IFERROR(VLOOKUP($E1227,类别归属,2,0),"※类别不在基础资料里"))</f>
        <v/>
      </c>
      <c r="G1227" s="13" t="n"/>
      <c r="H1227" s="13" t="n"/>
      <c r="I1227" s="13" t="n"/>
      <c r="J1227" s="14" t="n"/>
      <c r="K1227" s="14" t="n"/>
      <c r="L1227" s="19">
        <f>IF($C1227="","",ROUND(IFERROR(VLOOKUP($C1227,账户期初,2,0),0)+SUMIFS($J$4:J1227,$C$4:C1227,$C1227)-SUMIFS($K$4:K1227,$C$4:C1227,$C1227),2))</f>
        <v/>
      </c>
      <c r="M1227" s="19">
        <f>IF($C1227="","",ROUND(SUM(基础资料!$B$4:$B$13)+SUM($J$4:J1227)-SUM($K$4:K1227),2))</f>
        <v/>
      </c>
      <c r="N1227" s="13" t="n"/>
      <c r="O1227" s="13" t="n"/>
      <c r="P1227" s="17">
        <f>IF($B1227="","",IF($F1227="※类别不在基础资料里","※费用类别不在基础资料里",IF(AND(N($J1227)=0,N($K1227)=0),"※这行没填金额",IF(AND(N($J1227)&gt;0,N($K1227)&gt;0),"※收入和支出不能同一行都填",IF(AND($D1227="收入",N($J1227)=0),"※收入行要填收入金额",IF(AND($D1227="支出",N($K1227)=0),"※支出行要填支出金额",IF(AND($C1227&lt;&gt;"",ISNA(MATCH($C1227,账户表,0))),"※账户不在基础资料里",IF(AND($G1227&lt;&gt;"",ISNA(MATCH($G1227,项目名表,0))),"※项目不在项目台账里",IF(AND(LEFT($F1227,3)="成本-",$G1227=""),"※成本类支出没填项目",IF(AND(LEFT($F1227,3)="成本-",$H1227&lt;&gt;"",N($K1227)&gt;0,COUNTIFS(采购单!$B:$B,$B1227,采购单!$C:$C,$H1227,采购单!$L:$L,$K1227)&gt;0),"※这笔可能和采购单重复了",""))))))))))</f>
        <v/>
      </c>
    </row>
    <row r="1228">
      <c r="A1228" s="17">
        <f>IF($B1228="","",ROW()-3)</f>
        <v/>
      </c>
      <c r="B1228" s="18" t="n"/>
      <c r="C1228" s="13" t="n"/>
      <c r="D1228" s="13" t="n"/>
      <c r="E1228" s="13" t="n"/>
      <c r="F1228" s="17">
        <f>IF($E1228="","",IFERROR(VLOOKUP($E1228,类别归属,2,0),"※类别不在基础资料里"))</f>
        <v/>
      </c>
      <c r="G1228" s="13" t="n"/>
      <c r="H1228" s="13" t="n"/>
      <c r="I1228" s="13" t="n"/>
      <c r="J1228" s="14" t="n"/>
      <c r="K1228" s="14" t="n"/>
      <c r="L1228" s="19">
        <f>IF($C1228="","",ROUND(IFERROR(VLOOKUP($C1228,账户期初,2,0),0)+SUMIFS($J$4:J1228,$C$4:C1228,$C1228)-SUMIFS($K$4:K1228,$C$4:C1228,$C1228),2))</f>
        <v/>
      </c>
      <c r="M1228" s="19">
        <f>IF($C1228="","",ROUND(SUM(基础资料!$B$4:$B$13)+SUM($J$4:J1228)-SUM($K$4:K1228),2))</f>
        <v/>
      </c>
      <c r="N1228" s="13" t="n"/>
      <c r="O1228" s="13" t="n"/>
      <c r="P1228" s="17">
        <f>IF($B1228="","",IF($F1228="※类别不在基础资料里","※费用类别不在基础资料里",IF(AND(N($J1228)=0,N($K1228)=0),"※这行没填金额",IF(AND(N($J1228)&gt;0,N($K1228)&gt;0),"※收入和支出不能同一行都填",IF(AND($D1228="收入",N($J1228)=0),"※收入行要填收入金额",IF(AND($D1228="支出",N($K1228)=0),"※支出行要填支出金额",IF(AND($C1228&lt;&gt;"",ISNA(MATCH($C1228,账户表,0))),"※账户不在基础资料里",IF(AND($G1228&lt;&gt;"",ISNA(MATCH($G1228,项目名表,0))),"※项目不在项目台账里",IF(AND(LEFT($F1228,3)="成本-",$G1228=""),"※成本类支出没填项目",IF(AND(LEFT($F1228,3)="成本-",$H1228&lt;&gt;"",N($K1228)&gt;0,COUNTIFS(采购单!$B:$B,$B1228,采购单!$C:$C,$H1228,采购单!$L:$L,$K1228)&gt;0),"※这笔可能和采购单重复了",""))))))))))</f>
        <v/>
      </c>
    </row>
    <row r="1229">
      <c r="A1229" s="17">
        <f>IF($B1229="","",ROW()-3)</f>
        <v/>
      </c>
      <c r="B1229" s="18" t="n"/>
      <c r="C1229" s="13" t="n"/>
      <c r="D1229" s="13" t="n"/>
      <c r="E1229" s="13" t="n"/>
      <c r="F1229" s="17">
        <f>IF($E1229="","",IFERROR(VLOOKUP($E1229,类别归属,2,0),"※类别不在基础资料里"))</f>
        <v/>
      </c>
      <c r="G1229" s="13" t="n"/>
      <c r="H1229" s="13" t="n"/>
      <c r="I1229" s="13" t="n"/>
      <c r="J1229" s="14" t="n"/>
      <c r="K1229" s="14" t="n"/>
      <c r="L1229" s="19">
        <f>IF($C1229="","",ROUND(IFERROR(VLOOKUP($C1229,账户期初,2,0),0)+SUMIFS($J$4:J1229,$C$4:C1229,$C1229)-SUMIFS($K$4:K1229,$C$4:C1229,$C1229),2))</f>
        <v/>
      </c>
      <c r="M1229" s="19">
        <f>IF($C1229="","",ROUND(SUM(基础资料!$B$4:$B$13)+SUM($J$4:J1229)-SUM($K$4:K1229),2))</f>
        <v/>
      </c>
      <c r="N1229" s="13" t="n"/>
      <c r="O1229" s="13" t="n"/>
      <c r="P1229" s="17">
        <f>IF($B1229="","",IF($F1229="※类别不在基础资料里","※费用类别不在基础资料里",IF(AND(N($J1229)=0,N($K1229)=0),"※这行没填金额",IF(AND(N($J1229)&gt;0,N($K1229)&gt;0),"※收入和支出不能同一行都填",IF(AND($D1229="收入",N($J1229)=0),"※收入行要填收入金额",IF(AND($D1229="支出",N($K1229)=0),"※支出行要填支出金额",IF(AND($C1229&lt;&gt;"",ISNA(MATCH($C1229,账户表,0))),"※账户不在基础资料里",IF(AND($G1229&lt;&gt;"",ISNA(MATCH($G1229,项目名表,0))),"※项目不在项目台账里",IF(AND(LEFT($F1229,3)="成本-",$G1229=""),"※成本类支出没填项目",IF(AND(LEFT($F1229,3)="成本-",$H1229&lt;&gt;"",N($K1229)&gt;0,COUNTIFS(采购单!$B:$B,$B1229,采购单!$C:$C,$H1229,采购单!$L:$L,$K1229)&gt;0),"※这笔可能和采购单重复了",""))))))))))</f>
        <v/>
      </c>
    </row>
    <row r="1230">
      <c r="A1230" s="17">
        <f>IF($B1230="","",ROW()-3)</f>
        <v/>
      </c>
      <c r="B1230" s="18" t="n"/>
      <c r="C1230" s="13" t="n"/>
      <c r="D1230" s="13" t="n"/>
      <c r="E1230" s="13" t="n"/>
      <c r="F1230" s="17">
        <f>IF($E1230="","",IFERROR(VLOOKUP($E1230,类别归属,2,0),"※类别不在基础资料里"))</f>
        <v/>
      </c>
      <c r="G1230" s="13" t="n"/>
      <c r="H1230" s="13" t="n"/>
      <c r="I1230" s="13" t="n"/>
      <c r="J1230" s="14" t="n"/>
      <c r="K1230" s="14" t="n"/>
      <c r="L1230" s="19">
        <f>IF($C1230="","",ROUND(IFERROR(VLOOKUP($C1230,账户期初,2,0),0)+SUMIFS($J$4:J1230,$C$4:C1230,$C1230)-SUMIFS($K$4:K1230,$C$4:C1230,$C1230),2))</f>
        <v/>
      </c>
      <c r="M1230" s="19">
        <f>IF($C1230="","",ROUND(SUM(基础资料!$B$4:$B$13)+SUM($J$4:J1230)-SUM($K$4:K1230),2))</f>
        <v/>
      </c>
      <c r="N1230" s="13" t="n"/>
      <c r="O1230" s="13" t="n"/>
      <c r="P1230" s="17">
        <f>IF($B1230="","",IF($F1230="※类别不在基础资料里","※费用类别不在基础资料里",IF(AND(N($J1230)=0,N($K1230)=0),"※这行没填金额",IF(AND(N($J1230)&gt;0,N($K1230)&gt;0),"※收入和支出不能同一行都填",IF(AND($D1230="收入",N($J1230)=0),"※收入行要填收入金额",IF(AND($D1230="支出",N($K1230)=0),"※支出行要填支出金额",IF(AND($C1230&lt;&gt;"",ISNA(MATCH($C1230,账户表,0))),"※账户不在基础资料里",IF(AND($G1230&lt;&gt;"",ISNA(MATCH($G1230,项目名表,0))),"※项目不在项目台账里",IF(AND(LEFT($F1230,3)="成本-",$G1230=""),"※成本类支出没填项目",IF(AND(LEFT($F1230,3)="成本-",$H1230&lt;&gt;"",N($K1230)&gt;0,COUNTIFS(采购单!$B:$B,$B1230,采购单!$C:$C,$H1230,采购单!$L:$L,$K1230)&gt;0),"※这笔可能和采购单重复了",""))))))))))</f>
        <v/>
      </c>
    </row>
    <row r="1231">
      <c r="A1231" s="17">
        <f>IF($B1231="","",ROW()-3)</f>
        <v/>
      </c>
      <c r="B1231" s="18" t="n"/>
      <c r="C1231" s="13" t="n"/>
      <c r="D1231" s="13" t="n"/>
      <c r="E1231" s="13" t="n"/>
      <c r="F1231" s="17">
        <f>IF($E1231="","",IFERROR(VLOOKUP($E1231,类别归属,2,0),"※类别不在基础资料里"))</f>
        <v/>
      </c>
      <c r="G1231" s="13" t="n"/>
      <c r="H1231" s="13" t="n"/>
      <c r="I1231" s="13" t="n"/>
      <c r="J1231" s="14" t="n"/>
      <c r="K1231" s="14" t="n"/>
      <c r="L1231" s="19">
        <f>IF($C1231="","",ROUND(IFERROR(VLOOKUP($C1231,账户期初,2,0),0)+SUMIFS($J$4:J1231,$C$4:C1231,$C1231)-SUMIFS($K$4:K1231,$C$4:C1231,$C1231),2))</f>
        <v/>
      </c>
      <c r="M1231" s="19">
        <f>IF($C1231="","",ROUND(SUM(基础资料!$B$4:$B$13)+SUM($J$4:J1231)-SUM($K$4:K1231),2))</f>
        <v/>
      </c>
      <c r="N1231" s="13" t="n"/>
      <c r="O1231" s="13" t="n"/>
      <c r="P1231" s="17">
        <f>IF($B1231="","",IF($F1231="※类别不在基础资料里","※费用类别不在基础资料里",IF(AND(N($J1231)=0,N($K1231)=0),"※这行没填金额",IF(AND(N($J1231)&gt;0,N($K1231)&gt;0),"※收入和支出不能同一行都填",IF(AND($D1231="收入",N($J1231)=0),"※收入行要填收入金额",IF(AND($D1231="支出",N($K1231)=0),"※支出行要填支出金额",IF(AND($C1231&lt;&gt;"",ISNA(MATCH($C1231,账户表,0))),"※账户不在基础资料里",IF(AND($G1231&lt;&gt;"",ISNA(MATCH($G1231,项目名表,0))),"※项目不在项目台账里",IF(AND(LEFT($F1231,3)="成本-",$G1231=""),"※成本类支出没填项目",IF(AND(LEFT($F1231,3)="成本-",$H1231&lt;&gt;"",N($K1231)&gt;0,COUNTIFS(采购单!$B:$B,$B1231,采购单!$C:$C,$H1231,采购单!$L:$L,$K1231)&gt;0),"※这笔可能和采购单重复了",""))))))))))</f>
        <v/>
      </c>
    </row>
    <row r="1232">
      <c r="A1232" s="17">
        <f>IF($B1232="","",ROW()-3)</f>
        <v/>
      </c>
      <c r="B1232" s="18" t="n"/>
      <c r="C1232" s="13" t="n"/>
      <c r="D1232" s="13" t="n"/>
      <c r="E1232" s="13" t="n"/>
      <c r="F1232" s="17">
        <f>IF($E1232="","",IFERROR(VLOOKUP($E1232,类别归属,2,0),"※类别不在基础资料里"))</f>
        <v/>
      </c>
      <c r="G1232" s="13" t="n"/>
      <c r="H1232" s="13" t="n"/>
      <c r="I1232" s="13" t="n"/>
      <c r="J1232" s="14" t="n"/>
      <c r="K1232" s="14" t="n"/>
      <c r="L1232" s="19">
        <f>IF($C1232="","",ROUND(IFERROR(VLOOKUP($C1232,账户期初,2,0),0)+SUMIFS($J$4:J1232,$C$4:C1232,$C1232)-SUMIFS($K$4:K1232,$C$4:C1232,$C1232),2))</f>
        <v/>
      </c>
      <c r="M1232" s="19">
        <f>IF($C1232="","",ROUND(SUM(基础资料!$B$4:$B$13)+SUM($J$4:J1232)-SUM($K$4:K1232),2))</f>
        <v/>
      </c>
      <c r="N1232" s="13" t="n"/>
      <c r="O1232" s="13" t="n"/>
      <c r="P1232" s="17">
        <f>IF($B1232="","",IF($F1232="※类别不在基础资料里","※费用类别不在基础资料里",IF(AND(N($J1232)=0,N($K1232)=0),"※这行没填金额",IF(AND(N($J1232)&gt;0,N($K1232)&gt;0),"※收入和支出不能同一行都填",IF(AND($D1232="收入",N($J1232)=0),"※收入行要填收入金额",IF(AND($D1232="支出",N($K1232)=0),"※支出行要填支出金额",IF(AND($C1232&lt;&gt;"",ISNA(MATCH($C1232,账户表,0))),"※账户不在基础资料里",IF(AND($G1232&lt;&gt;"",ISNA(MATCH($G1232,项目名表,0))),"※项目不在项目台账里",IF(AND(LEFT($F1232,3)="成本-",$G1232=""),"※成本类支出没填项目",IF(AND(LEFT($F1232,3)="成本-",$H1232&lt;&gt;"",N($K1232)&gt;0,COUNTIFS(采购单!$B:$B,$B1232,采购单!$C:$C,$H1232,采购单!$L:$L,$K1232)&gt;0),"※这笔可能和采购单重复了",""))))))))))</f>
        <v/>
      </c>
    </row>
    <row r="1233">
      <c r="A1233" s="17">
        <f>IF($B1233="","",ROW()-3)</f>
        <v/>
      </c>
      <c r="B1233" s="18" t="n"/>
      <c r="C1233" s="13" t="n"/>
      <c r="D1233" s="13" t="n"/>
      <c r="E1233" s="13" t="n"/>
      <c r="F1233" s="17">
        <f>IF($E1233="","",IFERROR(VLOOKUP($E1233,类别归属,2,0),"※类别不在基础资料里"))</f>
        <v/>
      </c>
      <c r="G1233" s="13" t="n"/>
      <c r="H1233" s="13" t="n"/>
      <c r="I1233" s="13" t="n"/>
      <c r="J1233" s="14" t="n"/>
      <c r="K1233" s="14" t="n"/>
      <c r="L1233" s="19">
        <f>IF($C1233="","",ROUND(IFERROR(VLOOKUP($C1233,账户期初,2,0),0)+SUMIFS($J$4:J1233,$C$4:C1233,$C1233)-SUMIFS($K$4:K1233,$C$4:C1233,$C1233),2))</f>
        <v/>
      </c>
      <c r="M1233" s="19">
        <f>IF($C1233="","",ROUND(SUM(基础资料!$B$4:$B$13)+SUM($J$4:J1233)-SUM($K$4:K1233),2))</f>
        <v/>
      </c>
      <c r="N1233" s="13" t="n"/>
      <c r="O1233" s="13" t="n"/>
      <c r="P1233" s="17">
        <f>IF($B1233="","",IF($F1233="※类别不在基础资料里","※费用类别不在基础资料里",IF(AND(N($J1233)=0,N($K1233)=0),"※这行没填金额",IF(AND(N($J1233)&gt;0,N($K1233)&gt;0),"※收入和支出不能同一行都填",IF(AND($D1233="收入",N($J1233)=0),"※收入行要填收入金额",IF(AND($D1233="支出",N($K1233)=0),"※支出行要填支出金额",IF(AND($C1233&lt;&gt;"",ISNA(MATCH($C1233,账户表,0))),"※账户不在基础资料里",IF(AND($G1233&lt;&gt;"",ISNA(MATCH($G1233,项目名表,0))),"※项目不在项目台账里",IF(AND(LEFT($F1233,3)="成本-",$G1233=""),"※成本类支出没填项目",IF(AND(LEFT($F1233,3)="成本-",$H1233&lt;&gt;"",N($K1233)&gt;0,COUNTIFS(采购单!$B:$B,$B1233,采购单!$C:$C,$H1233,采购单!$L:$L,$K1233)&gt;0),"※这笔可能和采购单重复了",""))))))))))</f>
        <v/>
      </c>
    </row>
    <row r="1234">
      <c r="A1234" s="17">
        <f>IF($B1234="","",ROW()-3)</f>
        <v/>
      </c>
      <c r="B1234" s="18" t="n"/>
      <c r="C1234" s="13" t="n"/>
      <c r="D1234" s="13" t="n"/>
      <c r="E1234" s="13" t="n"/>
      <c r="F1234" s="17">
        <f>IF($E1234="","",IFERROR(VLOOKUP($E1234,类别归属,2,0),"※类别不在基础资料里"))</f>
        <v/>
      </c>
      <c r="G1234" s="13" t="n"/>
      <c r="H1234" s="13" t="n"/>
      <c r="I1234" s="13" t="n"/>
      <c r="J1234" s="14" t="n"/>
      <c r="K1234" s="14" t="n"/>
      <c r="L1234" s="19">
        <f>IF($C1234="","",ROUND(IFERROR(VLOOKUP($C1234,账户期初,2,0),0)+SUMIFS($J$4:J1234,$C$4:C1234,$C1234)-SUMIFS($K$4:K1234,$C$4:C1234,$C1234),2))</f>
        <v/>
      </c>
      <c r="M1234" s="19">
        <f>IF($C1234="","",ROUND(SUM(基础资料!$B$4:$B$13)+SUM($J$4:J1234)-SUM($K$4:K1234),2))</f>
        <v/>
      </c>
      <c r="N1234" s="13" t="n"/>
      <c r="O1234" s="13" t="n"/>
      <c r="P1234" s="17">
        <f>IF($B1234="","",IF($F1234="※类别不在基础资料里","※费用类别不在基础资料里",IF(AND(N($J1234)=0,N($K1234)=0),"※这行没填金额",IF(AND(N($J1234)&gt;0,N($K1234)&gt;0),"※收入和支出不能同一行都填",IF(AND($D1234="收入",N($J1234)=0),"※收入行要填收入金额",IF(AND($D1234="支出",N($K1234)=0),"※支出行要填支出金额",IF(AND($C1234&lt;&gt;"",ISNA(MATCH($C1234,账户表,0))),"※账户不在基础资料里",IF(AND($G1234&lt;&gt;"",ISNA(MATCH($G1234,项目名表,0))),"※项目不在项目台账里",IF(AND(LEFT($F1234,3)="成本-",$G1234=""),"※成本类支出没填项目",IF(AND(LEFT($F1234,3)="成本-",$H1234&lt;&gt;"",N($K1234)&gt;0,COUNTIFS(采购单!$B:$B,$B1234,采购单!$C:$C,$H1234,采购单!$L:$L,$K1234)&gt;0),"※这笔可能和采购单重复了",""))))))))))</f>
        <v/>
      </c>
    </row>
    <row r="1235">
      <c r="A1235" s="17">
        <f>IF($B1235="","",ROW()-3)</f>
        <v/>
      </c>
      <c r="B1235" s="18" t="n"/>
      <c r="C1235" s="13" t="n"/>
      <c r="D1235" s="13" t="n"/>
      <c r="E1235" s="13" t="n"/>
      <c r="F1235" s="17">
        <f>IF($E1235="","",IFERROR(VLOOKUP($E1235,类别归属,2,0),"※类别不在基础资料里"))</f>
        <v/>
      </c>
      <c r="G1235" s="13" t="n"/>
      <c r="H1235" s="13" t="n"/>
      <c r="I1235" s="13" t="n"/>
      <c r="J1235" s="14" t="n"/>
      <c r="K1235" s="14" t="n"/>
      <c r="L1235" s="19">
        <f>IF($C1235="","",ROUND(IFERROR(VLOOKUP($C1235,账户期初,2,0),0)+SUMIFS($J$4:J1235,$C$4:C1235,$C1235)-SUMIFS($K$4:K1235,$C$4:C1235,$C1235),2))</f>
        <v/>
      </c>
      <c r="M1235" s="19">
        <f>IF($C1235="","",ROUND(SUM(基础资料!$B$4:$B$13)+SUM($J$4:J1235)-SUM($K$4:K1235),2))</f>
        <v/>
      </c>
      <c r="N1235" s="13" t="n"/>
      <c r="O1235" s="13" t="n"/>
      <c r="P1235" s="17">
        <f>IF($B1235="","",IF($F1235="※类别不在基础资料里","※费用类别不在基础资料里",IF(AND(N($J1235)=0,N($K1235)=0),"※这行没填金额",IF(AND(N($J1235)&gt;0,N($K1235)&gt;0),"※收入和支出不能同一行都填",IF(AND($D1235="收入",N($J1235)=0),"※收入行要填收入金额",IF(AND($D1235="支出",N($K1235)=0),"※支出行要填支出金额",IF(AND($C1235&lt;&gt;"",ISNA(MATCH($C1235,账户表,0))),"※账户不在基础资料里",IF(AND($G1235&lt;&gt;"",ISNA(MATCH($G1235,项目名表,0))),"※项目不在项目台账里",IF(AND(LEFT($F1235,3)="成本-",$G1235=""),"※成本类支出没填项目",IF(AND(LEFT($F1235,3)="成本-",$H1235&lt;&gt;"",N($K1235)&gt;0,COUNTIFS(采购单!$B:$B,$B1235,采购单!$C:$C,$H1235,采购单!$L:$L,$K1235)&gt;0),"※这笔可能和采购单重复了",""))))))))))</f>
        <v/>
      </c>
    </row>
    <row r="1236">
      <c r="A1236" s="17">
        <f>IF($B1236="","",ROW()-3)</f>
        <v/>
      </c>
      <c r="B1236" s="18" t="n"/>
      <c r="C1236" s="13" t="n"/>
      <c r="D1236" s="13" t="n"/>
      <c r="E1236" s="13" t="n"/>
      <c r="F1236" s="17">
        <f>IF($E1236="","",IFERROR(VLOOKUP($E1236,类别归属,2,0),"※类别不在基础资料里"))</f>
        <v/>
      </c>
      <c r="G1236" s="13" t="n"/>
      <c r="H1236" s="13" t="n"/>
      <c r="I1236" s="13" t="n"/>
      <c r="J1236" s="14" t="n"/>
      <c r="K1236" s="14" t="n"/>
      <c r="L1236" s="19">
        <f>IF($C1236="","",ROUND(IFERROR(VLOOKUP($C1236,账户期初,2,0),0)+SUMIFS($J$4:J1236,$C$4:C1236,$C1236)-SUMIFS($K$4:K1236,$C$4:C1236,$C1236),2))</f>
        <v/>
      </c>
      <c r="M1236" s="19">
        <f>IF($C1236="","",ROUND(SUM(基础资料!$B$4:$B$13)+SUM($J$4:J1236)-SUM($K$4:K1236),2))</f>
        <v/>
      </c>
      <c r="N1236" s="13" t="n"/>
      <c r="O1236" s="13" t="n"/>
      <c r="P1236" s="17">
        <f>IF($B1236="","",IF($F1236="※类别不在基础资料里","※费用类别不在基础资料里",IF(AND(N($J1236)=0,N($K1236)=0),"※这行没填金额",IF(AND(N($J1236)&gt;0,N($K1236)&gt;0),"※收入和支出不能同一行都填",IF(AND($D1236="收入",N($J1236)=0),"※收入行要填收入金额",IF(AND($D1236="支出",N($K1236)=0),"※支出行要填支出金额",IF(AND($C1236&lt;&gt;"",ISNA(MATCH($C1236,账户表,0))),"※账户不在基础资料里",IF(AND($G1236&lt;&gt;"",ISNA(MATCH($G1236,项目名表,0))),"※项目不在项目台账里",IF(AND(LEFT($F1236,3)="成本-",$G1236=""),"※成本类支出没填项目",IF(AND(LEFT($F1236,3)="成本-",$H1236&lt;&gt;"",N($K1236)&gt;0,COUNTIFS(采购单!$B:$B,$B1236,采购单!$C:$C,$H1236,采购单!$L:$L,$K1236)&gt;0),"※这笔可能和采购单重复了",""))))))))))</f>
        <v/>
      </c>
    </row>
    <row r="1237">
      <c r="A1237" s="17">
        <f>IF($B1237="","",ROW()-3)</f>
        <v/>
      </c>
      <c r="B1237" s="18" t="n"/>
      <c r="C1237" s="13" t="n"/>
      <c r="D1237" s="13" t="n"/>
      <c r="E1237" s="13" t="n"/>
      <c r="F1237" s="17">
        <f>IF($E1237="","",IFERROR(VLOOKUP($E1237,类别归属,2,0),"※类别不在基础资料里"))</f>
        <v/>
      </c>
      <c r="G1237" s="13" t="n"/>
      <c r="H1237" s="13" t="n"/>
      <c r="I1237" s="13" t="n"/>
      <c r="J1237" s="14" t="n"/>
      <c r="K1237" s="14" t="n"/>
      <c r="L1237" s="19">
        <f>IF($C1237="","",ROUND(IFERROR(VLOOKUP($C1237,账户期初,2,0),0)+SUMIFS($J$4:J1237,$C$4:C1237,$C1237)-SUMIFS($K$4:K1237,$C$4:C1237,$C1237),2))</f>
        <v/>
      </c>
      <c r="M1237" s="19">
        <f>IF($C1237="","",ROUND(SUM(基础资料!$B$4:$B$13)+SUM($J$4:J1237)-SUM($K$4:K1237),2))</f>
        <v/>
      </c>
      <c r="N1237" s="13" t="n"/>
      <c r="O1237" s="13" t="n"/>
      <c r="P1237" s="17">
        <f>IF($B1237="","",IF($F1237="※类别不在基础资料里","※费用类别不在基础资料里",IF(AND(N($J1237)=0,N($K1237)=0),"※这行没填金额",IF(AND(N($J1237)&gt;0,N($K1237)&gt;0),"※收入和支出不能同一行都填",IF(AND($D1237="收入",N($J1237)=0),"※收入行要填收入金额",IF(AND($D1237="支出",N($K1237)=0),"※支出行要填支出金额",IF(AND($C1237&lt;&gt;"",ISNA(MATCH($C1237,账户表,0))),"※账户不在基础资料里",IF(AND($G1237&lt;&gt;"",ISNA(MATCH($G1237,项目名表,0))),"※项目不在项目台账里",IF(AND(LEFT($F1237,3)="成本-",$G1237=""),"※成本类支出没填项目",IF(AND(LEFT($F1237,3)="成本-",$H1237&lt;&gt;"",N($K1237)&gt;0,COUNTIFS(采购单!$B:$B,$B1237,采购单!$C:$C,$H1237,采购单!$L:$L,$K1237)&gt;0),"※这笔可能和采购单重复了",""))))))))))</f>
        <v/>
      </c>
    </row>
    <row r="1238">
      <c r="A1238" s="17">
        <f>IF($B1238="","",ROW()-3)</f>
        <v/>
      </c>
      <c r="B1238" s="18" t="n"/>
      <c r="C1238" s="13" t="n"/>
      <c r="D1238" s="13" t="n"/>
      <c r="E1238" s="13" t="n"/>
      <c r="F1238" s="17">
        <f>IF($E1238="","",IFERROR(VLOOKUP($E1238,类别归属,2,0),"※类别不在基础资料里"))</f>
        <v/>
      </c>
      <c r="G1238" s="13" t="n"/>
      <c r="H1238" s="13" t="n"/>
      <c r="I1238" s="13" t="n"/>
      <c r="J1238" s="14" t="n"/>
      <c r="K1238" s="14" t="n"/>
      <c r="L1238" s="19">
        <f>IF($C1238="","",ROUND(IFERROR(VLOOKUP($C1238,账户期初,2,0),0)+SUMIFS($J$4:J1238,$C$4:C1238,$C1238)-SUMIFS($K$4:K1238,$C$4:C1238,$C1238),2))</f>
        <v/>
      </c>
      <c r="M1238" s="19">
        <f>IF($C1238="","",ROUND(SUM(基础资料!$B$4:$B$13)+SUM($J$4:J1238)-SUM($K$4:K1238),2))</f>
        <v/>
      </c>
      <c r="N1238" s="13" t="n"/>
      <c r="O1238" s="13" t="n"/>
      <c r="P1238" s="17">
        <f>IF($B1238="","",IF($F1238="※类别不在基础资料里","※费用类别不在基础资料里",IF(AND(N($J1238)=0,N($K1238)=0),"※这行没填金额",IF(AND(N($J1238)&gt;0,N($K1238)&gt;0),"※收入和支出不能同一行都填",IF(AND($D1238="收入",N($J1238)=0),"※收入行要填收入金额",IF(AND($D1238="支出",N($K1238)=0),"※支出行要填支出金额",IF(AND($C1238&lt;&gt;"",ISNA(MATCH($C1238,账户表,0))),"※账户不在基础资料里",IF(AND($G1238&lt;&gt;"",ISNA(MATCH($G1238,项目名表,0))),"※项目不在项目台账里",IF(AND(LEFT($F1238,3)="成本-",$G1238=""),"※成本类支出没填项目",IF(AND(LEFT($F1238,3)="成本-",$H1238&lt;&gt;"",N($K1238)&gt;0,COUNTIFS(采购单!$B:$B,$B1238,采购单!$C:$C,$H1238,采购单!$L:$L,$K1238)&gt;0),"※这笔可能和采购单重复了",""))))))))))</f>
        <v/>
      </c>
    </row>
    <row r="1239">
      <c r="A1239" s="17">
        <f>IF($B1239="","",ROW()-3)</f>
        <v/>
      </c>
      <c r="B1239" s="18" t="n"/>
      <c r="C1239" s="13" t="n"/>
      <c r="D1239" s="13" t="n"/>
      <c r="E1239" s="13" t="n"/>
      <c r="F1239" s="17">
        <f>IF($E1239="","",IFERROR(VLOOKUP($E1239,类别归属,2,0),"※类别不在基础资料里"))</f>
        <v/>
      </c>
      <c r="G1239" s="13" t="n"/>
      <c r="H1239" s="13" t="n"/>
      <c r="I1239" s="13" t="n"/>
      <c r="J1239" s="14" t="n"/>
      <c r="K1239" s="14" t="n"/>
      <c r="L1239" s="19">
        <f>IF($C1239="","",ROUND(IFERROR(VLOOKUP($C1239,账户期初,2,0),0)+SUMIFS($J$4:J1239,$C$4:C1239,$C1239)-SUMIFS($K$4:K1239,$C$4:C1239,$C1239),2))</f>
        <v/>
      </c>
      <c r="M1239" s="19">
        <f>IF($C1239="","",ROUND(SUM(基础资料!$B$4:$B$13)+SUM($J$4:J1239)-SUM($K$4:K1239),2))</f>
        <v/>
      </c>
      <c r="N1239" s="13" t="n"/>
      <c r="O1239" s="13" t="n"/>
      <c r="P1239" s="17">
        <f>IF($B1239="","",IF($F1239="※类别不在基础资料里","※费用类别不在基础资料里",IF(AND(N($J1239)=0,N($K1239)=0),"※这行没填金额",IF(AND(N($J1239)&gt;0,N($K1239)&gt;0),"※收入和支出不能同一行都填",IF(AND($D1239="收入",N($J1239)=0),"※收入行要填收入金额",IF(AND($D1239="支出",N($K1239)=0),"※支出行要填支出金额",IF(AND($C1239&lt;&gt;"",ISNA(MATCH($C1239,账户表,0))),"※账户不在基础资料里",IF(AND($G1239&lt;&gt;"",ISNA(MATCH($G1239,项目名表,0))),"※项目不在项目台账里",IF(AND(LEFT($F1239,3)="成本-",$G1239=""),"※成本类支出没填项目",IF(AND(LEFT($F1239,3)="成本-",$H1239&lt;&gt;"",N($K1239)&gt;0,COUNTIFS(采购单!$B:$B,$B1239,采购单!$C:$C,$H1239,采购单!$L:$L,$K1239)&gt;0),"※这笔可能和采购单重复了",""))))))))))</f>
        <v/>
      </c>
    </row>
    <row r="1240">
      <c r="A1240" s="17">
        <f>IF($B1240="","",ROW()-3)</f>
        <v/>
      </c>
      <c r="B1240" s="18" t="n"/>
      <c r="C1240" s="13" t="n"/>
      <c r="D1240" s="13" t="n"/>
      <c r="E1240" s="13" t="n"/>
      <c r="F1240" s="17">
        <f>IF($E1240="","",IFERROR(VLOOKUP($E1240,类别归属,2,0),"※类别不在基础资料里"))</f>
        <v/>
      </c>
      <c r="G1240" s="13" t="n"/>
      <c r="H1240" s="13" t="n"/>
      <c r="I1240" s="13" t="n"/>
      <c r="J1240" s="14" t="n"/>
      <c r="K1240" s="14" t="n"/>
      <c r="L1240" s="19">
        <f>IF($C1240="","",ROUND(IFERROR(VLOOKUP($C1240,账户期初,2,0),0)+SUMIFS($J$4:J1240,$C$4:C1240,$C1240)-SUMIFS($K$4:K1240,$C$4:C1240,$C1240),2))</f>
        <v/>
      </c>
      <c r="M1240" s="19">
        <f>IF($C1240="","",ROUND(SUM(基础资料!$B$4:$B$13)+SUM($J$4:J1240)-SUM($K$4:K1240),2))</f>
        <v/>
      </c>
      <c r="N1240" s="13" t="n"/>
      <c r="O1240" s="13" t="n"/>
      <c r="P1240" s="17">
        <f>IF($B1240="","",IF($F1240="※类别不在基础资料里","※费用类别不在基础资料里",IF(AND(N($J1240)=0,N($K1240)=0),"※这行没填金额",IF(AND(N($J1240)&gt;0,N($K1240)&gt;0),"※收入和支出不能同一行都填",IF(AND($D1240="收入",N($J1240)=0),"※收入行要填收入金额",IF(AND($D1240="支出",N($K1240)=0),"※支出行要填支出金额",IF(AND($C1240&lt;&gt;"",ISNA(MATCH($C1240,账户表,0))),"※账户不在基础资料里",IF(AND($G1240&lt;&gt;"",ISNA(MATCH($G1240,项目名表,0))),"※项目不在项目台账里",IF(AND(LEFT($F1240,3)="成本-",$G1240=""),"※成本类支出没填项目",IF(AND(LEFT($F1240,3)="成本-",$H1240&lt;&gt;"",N($K1240)&gt;0,COUNTIFS(采购单!$B:$B,$B1240,采购单!$C:$C,$H1240,采购单!$L:$L,$K1240)&gt;0),"※这笔可能和采购单重复了",""))))))))))</f>
        <v/>
      </c>
    </row>
    <row r="1241">
      <c r="A1241" s="17">
        <f>IF($B1241="","",ROW()-3)</f>
        <v/>
      </c>
      <c r="B1241" s="18" t="n"/>
      <c r="C1241" s="13" t="n"/>
      <c r="D1241" s="13" t="n"/>
      <c r="E1241" s="13" t="n"/>
      <c r="F1241" s="17">
        <f>IF($E1241="","",IFERROR(VLOOKUP($E1241,类别归属,2,0),"※类别不在基础资料里"))</f>
        <v/>
      </c>
      <c r="G1241" s="13" t="n"/>
      <c r="H1241" s="13" t="n"/>
      <c r="I1241" s="13" t="n"/>
      <c r="J1241" s="14" t="n"/>
      <c r="K1241" s="14" t="n"/>
      <c r="L1241" s="19">
        <f>IF($C1241="","",ROUND(IFERROR(VLOOKUP($C1241,账户期初,2,0),0)+SUMIFS($J$4:J1241,$C$4:C1241,$C1241)-SUMIFS($K$4:K1241,$C$4:C1241,$C1241),2))</f>
        <v/>
      </c>
      <c r="M1241" s="19">
        <f>IF($C1241="","",ROUND(SUM(基础资料!$B$4:$B$13)+SUM($J$4:J1241)-SUM($K$4:K1241),2))</f>
        <v/>
      </c>
      <c r="N1241" s="13" t="n"/>
      <c r="O1241" s="13" t="n"/>
      <c r="P1241" s="17">
        <f>IF($B1241="","",IF($F1241="※类别不在基础资料里","※费用类别不在基础资料里",IF(AND(N($J1241)=0,N($K1241)=0),"※这行没填金额",IF(AND(N($J1241)&gt;0,N($K1241)&gt;0),"※收入和支出不能同一行都填",IF(AND($D1241="收入",N($J1241)=0),"※收入行要填收入金额",IF(AND($D1241="支出",N($K1241)=0),"※支出行要填支出金额",IF(AND($C1241&lt;&gt;"",ISNA(MATCH($C1241,账户表,0))),"※账户不在基础资料里",IF(AND($G1241&lt;&gt;"",ISNA(MATCH($G1241,项目名表,0))),"※项目不在项目台账里",IF(AND(LEFT($F1241,3)="成本-",$G1241=""),"※成本类支出没填项目",IF(AND(LEFT($F1241,3)="成本-",$H1241&lt;&gt;"",N($K1241)&gt;0,COUNTIFS(采购单!$B:$B,$B1241,采购单!$C:$C,$H1241,采购单!$L:$L,$K1241)&gt;0),"※这笔可能和采购单重复了",""))))))))))</f>
        <v/>
      </c>
    </row>
    <row r="1242">
      <c r="A1242" s="17">
        <f>IF($B1242="","",ROW()-3)</f>
        <v/>
      </c>
      <c r="B1242" s="18" t="n"/>
      <c r="C1242" s="13" t="n"/>
      <c r="D1242" s="13" t="n"/>
      <c r="E1242" s="13" t="n"/>
      <c r="F1242" s="17">
        <f>IF($E1242="","",IFERROR(VLOOKUP($E1242,类别归属,2,0),"※类别不在基础资料里"))</f>
        <v/>
      </c>
      <c r="G1242" s="13" t="n"/>
      <c r="H1242" s="13" t="n"/>
      <c r="I1242" s="13" t="n"/>
      <c r="J1242" s="14" t="n"/>
      <c r="K1242" s="14" t="n"/>
      <c r="L1242" s="19">
        <f>IF($C1242="","",ROUND(IFERROR(VLOOKUP($C1242,账户期初,2,0),0)+SUMIFS($J$4:J1242,$C$4:C1242,$C1242)-SUMIFS($K$4:K1242,$C$4:C1242,$C1242),2))</f>
        <v/>
      </c>
      <c r="M1242" s="19">
        <f>IF($C1242="","",ROUND(SUM(基础资料!$B$4:$B$13)+SUM($J$4:J1242)-SUM($K$4:K1242),2))</f>
        <v/>
      </c>
      <c r="N1242" s="13" t="n"/>
      <c r="O1242" s="13" t="n"/>
      <c r="P1242" s="17">
        <f>IF($B1242="","",IF($F1242="※类别不在基础资料里","※费用类别不在基础资料里",IF(AND(N($J1242)=0,N($K1242)=0),"※这行没填金额",IF(AND(N($J1242)&gt;0,N($K1242)&gt;0),"※收入和支出不能同一行都填",IF(AND($D1242="收入",N($J1242)=0),"※收入行要填收入金额",IF(AND($D1242="支出",N($K1242)=0),"※支出行要填支出金额",IF(AND($C1242&lt;&gt;"",ISNA(MATCH($C1242,账户表,0))),"※账户不在基础资料里",IF(AND($G1242&lt;&gt;"",ISNA(MATCH($G1242,项目名表,0))),"※项目不在项目台账里",IF(AND(LEFT($F1242,3)="成本-",$G1242=""),"※成本类支出没填项目",IF(AND(LEFT($F1242,3)="成本-",$H1242&lt;&gt;"",N($K1242)&gt;0,COUNTIFS(采购单!$B:$B,$B1242,采购单!$C:$C,$H1242,采购单!$L:$L,$K1242)&gt;0),"※这笔可能和采购单重复了",""))))))))))</f>
        <v/>
      </c>
    </row>
    <row r="1243">
      <c r="A1243" s="17">
        <f>IF($B1243="","",ROW()-3)</f>
        <v/>
      </c>
      <c r="B1243" s="18" t="n"/>
      <c r="C1243" s="13" t="n"/>
      <c r="D1243" s="13" t="n"/>
      <c r="E1243" s="13" t="n"/>
      <c r="F1243" s="17">
        <f>IF($E1243="","",IFERROR(VLOOKUP($E1243,类别归属,2,0),"※类别不在基础资料里"))</f>
        <v/>
      </c>
      <c r="G1243" s="13" t="n"/>
      <c r="H1243" s="13" t="n"/>
      <c r="I1243" s="13" t="n"/>
      <c r="J1243" s="14" t="n"/>
      <c r="K1243" s="14" t="n"/>
      <c r="L1243" s="19">
        <f>IF($C1243="","",ROUND(IFERROR(VLOOKUP($C1243,账户期初,2,0),0)+SUMIFS($J$4:J1243,$C$4:C1243,$C1243)-SUMIFS($K$4:K1243,$C$4:C1243,$C1243),2))</f>
        <v/>
      </c>
      <c r="M1243" s="19">
        <f>IF($C1243="","",ROUND(SUM(基础资料!$B$4:$B$13)+SUM($J$4:J1243)-SUM($K$4:K1243),2))</f>
        <v/>
      </c>
      <c r="N1243" s="13" t="n"/>
      <c r="O1243" s="13" t="n"/>
      <c r="P1243" s="17">
        <f>IF($B1243="","",IF($F1243="※类别不在基础资料里","※费用类别不在基础资料里",IF(AND(N($J1243)=0,N($K1243)=0),"※这行没填金额",IF(AND(N($J1243)&gt;0,N($K1243)&gt;0),"※收入和支出不能同一行都填",IF(AND($D1243="收入",N($J1243)=0),"※收入行要填收入金额",IF(AND($D1243="支出",N($K1243)=0),"※支出行要填支出金额",IF(AND($C1243&lt;&gt;"",ISNA(MATCH($C1243,账户表,0))),"※账户不在基础资料里",IF(AND($G1243&lt;&gt;"",ISNA(MATCH($G1243,项目名表,0))),"※项目不在项目台账里",IF(AND(LEFT($F1243,3)="成本-",$G1243=""),"※成本类支出没填项目",IF(AND(LEFT($F1243,3)="成本-",$H1243&lt;&gt;"",N($K1243)&gt;0,COUNTIFS(采购单!$B:$B,$B1243,采购单!$C:$C,$H1243,采购单!$L:$L,$K1243)&gt;0),"※这笔可能和采购单重复了",""))))))))))</f>
        <v/>
      </c>
    </row>
    <row r="1244">
      <c r="A1244" s="17">
        <f>IF($B1244="","",ROW()-3)</f>
        <v/>
      </c>
      <c r="B1244" s="18" t="n"/>
      <c r="C1244" s="13" t="n"/>
      <c r="D1244" s="13" t="n"/>
      <c r="E1244" s="13" t="n"/>
      <c r="F1244" s="17">
        <f>IF($E1244="","",IFERROR(VLOOKUP($E1244,类别归属,2,0),"※类别不在基础资料里"))</f>
        <v/>
      </c>
      <c r="G1244" s="13" t="n"/>
      <c r="H1244" s="13" t="n"/>
      <c r="I1244" s="13" t="n"/>
      <c r="J1244" s="14" t="n"/>
      <c r="K1244" s="14" t="n"/>
      <c r="L1244" s="19">
        <f>IF($C1244="","",ROUND(IFERROR(VLOOKUP($C1244,账户期初,2,0),0)+SUMIFS($J$4:J1244,$C$4:C1244,$C1244)-SUMIFS($K$4:K1244,$C$4:C1244,$C1244),2))</f>
        <v/>
      </c>
      <c r="M1244" s="19">
        <f>IF($C1244="","",ROUND(SUM(基础资料!$B$4:$B$13)+SUM($J$4:J1244)-SUM($K$4:K1244),2))</f>
        <v/>
      </c>
      <c r="N1244" s="13" t="n"/>
      <c r="O1244" s="13" t="n"/>
      <c r="P1244" s="17">
        <f>IF($B1244="","",IF($F1244="※类别不在基础资料里","※费用类别不在基础资料里",IF(AND(N($J1244)=0,N($K1244)=0),"※这行没填金额",IF(AND(N($J1244)&gt;0,N($K1244)&gt;0),"※收入和支出不能同一行都填",IF(AND($D1244="收入",N($J1244)=0),"※收入行要填收入金额",IF(AND($D1244="支出",N($K1244)=0),"※支出行要填支出金额",IF(AND($C1244&lt;&gt;"",ISNA(MATCH($C1244,账户表,0))),"※账户不在基础资料里",IF(AND($G1244&lt;&gt;"",ISNA(MATCH($G1244,项目名表,0))),"※项目不在项目台账里",IF(AND(LEFT($F1244,3)="成本-",$G1244=""),"※成本类支出没填项目",IF(AND(LEFT($F1244,3)="成本-",$H1244&lt;&gt;"",N($K1244)&gt;0,COUNTIFS(采购单!$B:$B,$B1244,采购单!$C:$C,$H1244,采购单!$L:$L,$K1244)&gt;0),"※这笔可能和采购单重复了",""))))))))))</f>
        <v/>
      </c>
    </row>
    <row r="1245">
      <c r="A1245" s="17">
        <f>IF($B1245="","",ROW()-3)</f>
        <v/>
      </c>
      <c r="B1245" s="18" t="n"/>
      <c r="C1245" s="13" t="n"/>
      <c r="D1245" s="13" t="n"/>
      <c r="E1245" s="13" t="n"/>
      <c r="F1245" s="17">
        <f>IF($E1245="","",IFERROR(VLOOKUP($E1245,类别归属,2,0),"※类别不在基础资料里"))</f>
        <v/>
      </c>
      <c r="G1245" s="13" t="n"/>
      <c r="H1245" s="13" t="n"/>
      <c r="I1245" s="13" t="n"/>
      <c r="J1245" s="14" t="n"/>
      <c r="K1245" s="14" t="n"/>
      <c r="L1245" s="19">
        <f>IF($C1245="","",ROUND(IFERROR(VLOOKUP($C1245,账户期初,2,0),0)+SUMIFS($J$4:J1245,$C$4:C1245,$C1245)-SUMIFS($K$4:K1245,$C$4:C1245,$C1245),2))</f>
        <v/>
      </c>
      <c r="M1245" s="19">
        <f>IF($C1245="","",ROUND(SUM(基础资料!$B$4:$B$13)+SUM($J$4:J1245)-SUM($K$4:K1245),2))</f>
        <v/>
      </c>
      <c r="N1245" s="13" t="n"/>
      <c r="O1245" s="13" t="n"/>
      <c r="P1245" s="17">
        <f>IF($B1245="","",IF($F1245="※类别不在基础资料里","※费用类别不在基础资料里",IF(AND(N($J1245)=0,N($K1245)=0),"※这行没填金额",IF(AND(N($J1245)&gt;0,N($K1245)&gt;0),"※收入和支出不能同一行都填",IF(AND($D1245="收入",N($J1245)=0),"※收入行要填收入金额",IF(AND($D1245="支出",N($K1245)=0),"※支出行要填支出金额",IF(AND($C1245&lt;&gt;"",ISNA(MATCH($C1245,账户表,0))),"※账户不在基础资料里",IF(AND($G1245&lt;&gt;"",ISNA(MATCH($G1245,项目名表,0))),"※项目不在项目台账里",IF(AND(LEFT($F1245,3)="成本-",$G1245=""),"※成本类支出没填项目",IF(AND(LEFT($F1245,3)="成本-",$H1245&lt;&gt;"",N($K1245)&gt;0,COUNTIFS(采购单!$B:$B,$B1245,采购单!$C:$C,$H1245,采购单!$L:$L,$K1245)&gt;0),"※这笔可能和采购单重复了",""))))))))))</f>
        <v/>
      </c>
    </row>
    <row r="1246">
      <c r="A1246" s="17">
        <f>IF($B1246="","",ROW()-3)</f>
        <v/>
      </c>
      <c r="B1246" s="18" t="n"/>
      <c r="C1246" s="13" t="n"/>
      <c r="D1246" s="13" t="n"/>
      <c r="E1246" s="13" t="n"/>
      <c r="F1246" s="17">
        <f>IF($E1246="","",IFERROR(VLOOKUP($E1246,类别归属,2,0),"※类别不在基础资料里"))</f>
        <v/>
      </c>
      <c r="G1246" s="13" t="n"/>
      <c r="H1246" s="13" t="n"/>
      <c r="I1246" s="13" t="n"/>
      <c r="J1246" s="14" t="n"/>
      <c r="K1246" s="14" t="n"/>
      <c r="L1246" s="19">
        <f>IF($C1246="","",ROUND(IFERROR(VLOOKUP($C1246,账户期初,2,0),0)+SUMIFS($J$4:J1246,$C$4:C1246,$C1246)-SUMIFS($K$4:K1246,$C$4:C1246,$C1246),2))</f>
        <v/>
      </c>
      <c r="M1246" s="19">
        <f>IF($C1246="","",ROUND(SUM(基础资料!$B$4:$B$13)+SUM($J$4:J1246)-SUM($K$4:K1246),2))</f>
        <v/>
      </c>
      <c r="N1246" s="13" t="n"/>
      <c r="O1246" s="13" t="n"/>
      <c r="P1246" s="17">
        <f>IF($B1246="","",IF($F1246="※类别不在基础资料里","※费用类别不在基础资料里",IF(AND(N($J1246)=0,N($K1246)=0),"※这行没填金额",IF(AND(N($J1246)&gt;0,N($K1246)&gt;0),"※收入和支出不能同一行都填",IF(AND($D1246="收入",N($J1246)=0),"※收入行要填收入金额",IF(AND($D1246="支出",N($K1246)=0),"※支出行要填支出金额",IF(AND($C1246&lt;&gt;"",ISNA(MATCH($C1246,账户表,0))),"※账户不在基础资料里",IF(AND($G1246&lt;&gt;"",ISNA(MATCH($G1246,项目名表,0))),"※项目不在项目台账里",IF(AND(LEFT($F1246,3)="成本-",$G1246=""),"※成本类支出没填项目",IF(AND(LEFT($F1246,3)="成本-",$H1246&lt;&gt;"",N($K1246)&gt;0,COUNTIFS(采购单!$B:$B,$B1246,采购单!$C:$C,$H1246,采购单!$L:$L,$K1246)&gt;0),"※这笔可能和采购单重复了",""))))))))))</f>
        <v/>
      </c>
    </row>
    <row r="1247">
      <c r="A1247" s="17">
        <f>IF($B1247="","",ROW()-3)</f>
        <v/>
      </c>
      <c r="B1247" s="18" t="n"/>
      <c r="C1247" s="13" t="n"/>
      <c r="D1247" s="13" t="n"/>
      <c r="E1247" s="13" t="n"/>
      <c r="F1247" s="17">
        <f>IF($E1247="","",IFERROR(VLOOKUP($E1247,类别归属,2,0),"※类别不在基础资料里"))</f>
        <v/>
      </c>
      <c r="G1247" s="13" t="n"/>
      <c r="H1247" s="13" t="n"/>
      <c r="I1247" s="13" t="n"/>
      <c r="J1247" s="14" t="n"/>
      <c r="K1247" s="14" t="n"/>
      <c r="L1247" s="19">
        <f>IF($C1247="","",ROUND(IFERROR(VLOOKUP($C1247,账户期初,2,0),0)+SUMIFS($J$4:J1247,$C$4:C1247,$C1247)-SUMIFS($K$4:K1247,$C$4:C1247,$C1247),2))</f>
        <v/>
      </c>
      <c r="M1247" s="19">
        <f>IF($C1247="","",ROUND(SUM(基础资料!$B$4:$B$13)+SUM($J$4:J1247)-SUM($K$4:K1247),2))</f>
        <v/>
      </c>
      <c r="N1247" s="13" t="n"/>
      <c r="O1247" s="13" t="n"/>
      <c r="P1247" s="17">
        <f>IF($B1247="","",IF($F1247="※类别不在基础资料里","※费用类别不在基础资料里",IF(AND(N($J1247)=0,N($K1247)=0),"※这行没填金额",IF(AND(N($J1247)&gt;0,N($K1247)&gt;0),"※收入和支出不能同一行都填",IF(AND($D1247="收入",N($J1247)=0),"※收入行要填收入金额",IF(AND($D1247="支出",N($K1247)=0),"※支出行要填支出金额",IF(AND($C1247&lt;&gt;"",ISNA(MATCH($C1247,账户表,0))),"※账户不在基础资料里",IF(AND($G1247&lt;&gt;"",ISNA(MATCH($G1247,项目名表,0))),"※项目不在项目台账里",IF(AND(LEFT($F1247,3)="成本-",$G1247=""),"※成本类支出没填项目",IF(AND(LEFT($F1247,3)="成本-",$H1247&lt;&gt;"",N($K1247)&gt;0,COUNTIFS(采购单!$B:$B,$B1247,采购单!$C:$C,$H1247,采购单!$L:$L,$K1247)&gt;0),"※这笔可能和采购单重复了",""))))))))))</f>
        <v/>
      </c>
    </row>
    <row r="1248">
      <c r="A1248" s="17">
        <f>IF($B1248="","",ROW()-3)</f>
        <v/>
      </c>
      <c r="B1248" s="18" t="n"/>
      <c r="C1248" s="13" t="n"/>
      <c r="D1248" s="13" t="n"/>
      <c r="E1248" s="13" t="n"/>
      <c r="F1248" s="17">
        <f>IF($E1248="","",IFERROR(VLOOKUP($E1248,类别归属,2,0),"※类别不在基础资料里"))</f>
        <v/>
      </c>
      <c r="G1248" s="13" t="n"/>
      <c r="H1248" s="13" t="n"/>
      <c r="I1248" s="13" t="n"/>
      <c r="J1248" s="14" t="n"/>
      <c r="K1248" s="14" t="n"/>
      <c r="L1248" s="19">
        <f>IF($C1248="","",ROUND(IFERROR(VLOOKUP($C1248,账户期初,2,0),0)+SUMIFS($J$4:J1248,$C$4:C1248,$C1248)-SUMIFS($K$4:K1248,$C$4:C1248,$C1248),2))</f>
        <v/>
      </c>
      <c r="M1248" s="19">
        <f>IF($C1248="","",ROUND(SUM(基础资料!$B$4:$B$13)+SUM($J$4:J1248)-SUM($K$4:K1248),2))</f>
        <v/>
      </c>
      <c r="N1248" s="13" t="n"/>
      <c r="O1248" s="13" t="n"/>
      <c r="P1248" s="17">
        <f>IF($B1248="","",IF($F1248="※类别不在基础资料里","※费用类别不在基础资料里",IF(AND(N($J1248)=0,N($K1248)=0),"※这行没填金额",IF(AND(N($J1248)&gt;0,N($K1248)&gt;0),"※收入和支出不能同一行都填",IF(AND($D1248="收入",N($J1248)=0),"※收入行要填收入金额",IF(AND($D1248="支出",N($K1248)=0),"※支出行要填支出金额",IF(AND($C1248&lt;&gt;"",ISNA(MATCH($C1248,账户表,0))),"※账户不在基础资料里",IF(AND($G1248&lt;&gt;"",ISNA(MATCH($G1248,项目名表,0))),"※项目不在项目台账里",IF(AND(LEFT($F1248,3)="成本-",$G1248=""),"※成本类支出没填项目",IF(AND(LEFT($F1248,3)="成本-",$H1248&lt;&gt;"",N($K1248)&gt;0,COUNTIFS(采购单!$B:$B,$B1248,采购单!$C:$C,$H1248,采购单!$L:$L,$K1248)&gt;0),"※这笔可能和采购单重复了",""))))))))))</f>
        <v/>
      </c>
    </row>
    <row r="1249">
      <c r="A1249" s="17">
        <f>IF($B1249="","",ROW()-3)</f>
        <v/>
      </c>
      <c r="B1249" s="18" t="n"/>
      <c r="C1249" s="13" t="n"/>
      <c r="D1249" s="13" t="n"/>
      <c r="E1249" s="13" t="n"/>
      <c r="F1249" s="17">
        <f>IF($E1249="","",IFERROR(VLOOKUP($E1249,类别归属,2,0),"※类别不在基础资料里"))</f>
        <v/>
      </c>
      <c r="G1249" s="13" t="n"/>
      <c r="H1249" s="13" t="n"/>
      <c r="I1249" s="13" t="n"/>
      <c r="J1249" s="14" t="n"/>
      <c r="K1249" s="14" t="n"/>
      <c r="L1249" s="19">
        <f>IF($C1249="","",ROUND(IFERROR(VLOOKUP($C1249,账户期初,2,0),0)+SUMIFS($J$4:J1249,$C$4:C1249,$C1249)-SUMIFS($K$4:K1249,$C$4:C1249,$C1249),2))</f>
        <v/>
      </c>
      <c r="M1249" s="19">
        <f>IF($C1249="","",ROUND(SUM(基础资料!$B$4:$B$13)+SUM($J$4:J1249)-SUM($K$4:K1249),2))</f>
        <v/>
      </c>
      <c r="N1249" s="13" t="n"/>
      <c r="O1249" s="13" t="n"/>
      <c r="P1249" s="17">
        <f>IF($B1249="","",IF($F1249="※类别不在基础资料里","※费用类别不在基础资料里",IF(AND(N($J1249)=0,N($K1249)=0),"※这行没填金额",IF(AND(N($J1249)&gt;0,N($K1249)&gt;0),"※收入和支出不能同一行都填",IF(AND($D1249="收入",N($J1249)=0),"※收入行要填收入金额",IF(AND($D1249="支出",N($K1249)=0),"※支出行要填支出金额",IF(AND($C1249&lt;&gt;"",ISNA(MATCH($C1249,账户表,0))),"※账户不在基础资料里",IF(AND($G1249&lt;&gt;"",ISNA(MATCH($G1249,项目名表,0))),"※项目不在项目台账里",IF(AND(LEFT($F1249,3)="成本-",$G1249=""),"※成本类支出没填项目",IF(AND(LEFT($F1249,3)="成本-",$H1249&lt;&gt;"",N($K1249)&gt;0,COUNTIFS(采购单!$B:$B,$B1249,采购单!$C:$C,$H1249,采购单!$L:$L,$K1249)&gt;0),"※这笔可能和采购单重复了",""))))))))))</f>
        <v/>
      </c>
    </row>
    <row r="1250">
      <c r="A1250" s="17">
        <f>IF($B1250="","",ROW()-3)</f>
        <v/>
      </c>
      <c r="B1250" s="18" t="n"/>
      <c r="C1250" s="13" t="n"/>
      <c r="D1250" s="13" t="n"/>
      <c r="E1250" s="13" t="n"/>
      <c r="F1250" s="17">
        <f>IF($E1250="","",IFERROR(VLOOKUP($E1250,类别归属,2,0),"※类别不在基础资料里"))</f>
        <v/>
      </c>
      <c r="G1250" s="13" t="n"/>
      <c r="H1250" s="13" t="n"/>
      <c r="I1250" s="13" t="n"/>
      <c r="J1250" s="14" t="n"/>
      <c r="K1250" s="14" t="n"/>
      <c r="L1250" s="19">
        <f>IF($C1250="","",ROUND(IFERROR(VLOOKUP($C1250,账户期初,2,0),0)+SUMIFS($J$4:J1250,$C$4:C1250,$C1250)-SUMIFS($K$4:K1250,$C$4:C1250,$C1250),2))</f>
        <v/>
      </c>
      <c r="M1250" s="19">
        <f>IF($C1250="","",ROUND(SUM(基础资料!$B$4:$B$13)+SUM($J$4:J1250)-SUM($K$4:K1250),2))</f>
        <v/>
      </c>
      <c r="N1250" s="13" t="n"/>
      <c r="O1250" s="13" t="n"/>
      <c r="P1250" s="17">
        <f>IF($B1250="","",IF($F1250="※类别不在基础资料里","※费用类别不在基础资料里",IF(AND(N($J1250)=0,N($K1250)=0),"※这行没填金额",IF(AND(N($J1250)&gt;0,N($K1250)&gt;0),"※收入和支出不能同一行都填",IF(AND($D1250="收入",N($J1250)=0),"※收入行要填收入金额",IF(AND($D1250="支出",N($K1250)=0),"※支出行要填支出金额",IF(AND($C1250&lt;&gt;"",ISNA(MATCH($C1250,账户表,0))),"※账户不在基础资料里",IF(AND($G1250&lt;&gt;"",ISNA(MATCH($G1250,项目名表,0))),"※项目不在项目台账里",IF(AND(LEFT($F1250,3)="成本-",$G1250=""),"※成本类支出没填项目",IF(AND(LEFT($F1250,3)="成本-",$H1250&lt;&gt;"",N($K1250)&gt;0,COUNTIFS(采购单!$B:$B,$B1250,采购单!$C:$C,$H1250,采购单!$L:$L,$K1250)&gt;0),"※这笔可能和采购单重复了",""))))))))))</f>
        <v/>
      </c>
    </row>
    <row r="1251">
      <c r="A1251" s="17">
        <f>IF($B1251="","",ROW()-3)</f>
        <v/>
      </c>
      <c r="B1251" s="18" t="n"/>
      <c r="C1251" s="13" t="n"/>
      <c r="D1251" s="13" t="n"/>
      <c r="E1251" s="13" t="n"/>
      <c r="F1251" s="17">
        <f>IF($E1251="","",IFERROR(VLOOKUP($E1251,类别归属,2,0),"※类别不在基础资料里"))</f>
        <v/>
      </c>
      <c r="G1251" s="13" t="n"/>
      <c r="H1251" s="13" t="n"/>
      <c r="I1251" s="13" t="n"/>
      <c r="J1251" s="14" t="n"/>
      <c r="K1251" s="14" t="n"/>
      <c r="L1251" s="19">
        <f>IF($C1251="","",ROUND(IFERROR(VLOOKUP($C1251,账户期初,2,0),0)+SUMIFS($J$4:J1251,$C$4:C1251,$C1251)-SUMIFS($K$4:K1251,$C$4:C1251,$C1251),2))</f>
        <v/>
      </c>
      <c r="M1251" s="19">
        <f>IF($C1251="","",ROUND(SUM(基础资料!$B$4:$B$13)+SUM($J$4:J1251)-SUM($K$4:K1251),2))</f>
        <v/>
      </c>
      <c r="N1251" s="13" t="n"/>
      <c r="O1251" s="13" t="n"/>
      <c r="P1251" s="17">
        <f>IF($B1251="","",IF($F1251="※类别不在基础资料里","※费用类别不在基础资料里",IF(AND(N($J1251)=0,N($K1251)=0),"※这行没填金额",IF(AND(N($J1251)&gt;0,N($K1251)&gt;0),"※收入和支出不能同一行都填",IF(AND($D1251="收入",N($J1251)=0),"※收入行要填收入金额",IF(AND($D1251="支出",N($K1251)=0),"※支出行要填支出金额",IF(AND($C1251&lt;&gt;"",ISNA(MATCH($C1251,账户表,0))),"※账户不在基础资料里",IF(AND($G1251&lt;&gt;"",ISNA(MATCH($G1251,项目名表,0))),"※项目不在项目台账里",IF(AND(LEFT($F1251,3)="成本-",$G1251=""),"※成本类支出没填项目",IF(AND(LEFT($F1251,3)="成本-",$H1251&lt;&gt;"",N($K1251)&gt;0,COUNTIFS(采购单!$B:$B,$B1251,采购单!$C:$C,$H1251,采购单!$L:$L,$K1251)&gt;0),"※这笔可能和采购单重复了",""))))))))))</f>
        <v/>
      </c>
    </row>
    <row r="1252">
      <c r="A1252" s="17">
        <f>IF($B1252="","",ROW()-3)</f>
        <v/>
      </c>
      <c r="B1252" s="18" t="n"/>
      <c r="C1252" s="13" t="n"/>
      <c r="D1252" s="13" t="n"/>
      <c r="E1252" s="13" t="n"/>
      <c r="F1252" s="17">
        <f>IF($E1252="","",IFERROR(VLOOKUP($E1252,类别归属,2,0),"※类别不在基础资料里"))</f>
        <v/>
      </c>
      <c r="G1252" s="13" t="n"/>
      <c r="H1252" s="13" t="n"/>
      <c r="I1252" s="13" t="n"/>
      <c r="J1252" s="14" t="n"/>
      <c r="K1252" s="14" t="n"/>
      <c r="L1252" s="19">
        <f>IF($C1252="","",ROUND(IFERROR(VLOOKUP($C1252,账户期初,2,0),0)+SUMIFS($J$4:J1252,$C$4:C1252,$C1252)-SUMIFS($K$4:K1252,$C$4:C1252,$C1252),2))</f>
        <v/>
      </c>
      <c r="M1252" s="19">
        <f>IF($C1252="","",ROUND(SUM(基础资料!$B$4:$B$13)+SUM($J$4:J1252)-SUM($K$4:K1252),2))</f>
        <v/>
      </c>
      <c r="N1252" s="13" t="n"/>
      <c r="O1252" s="13" t="n"/>
      <c r="P1252" s="17">
        <f>IF($B1252="","",IF($F1252="※类别不在基础资料里","※费用类别不在基础资料里",IF(AND(N($J1252)=0,N($K1252)=0),"※这行没填金额",IF(AND(N($J1252)&gt;0,N($K1252)&gt;0),"※收入和支出不能同一行都填",IF(AND($D1252="收入",N($J1252)=0),"※收入行要填收入金额",IF(AND($D1252="支出",N($K1252)=0),"※支出行要填支出金额",IF(AND($C1252&lt;&gt;"",ISNA(MATCH($C1252,账户表,0))),"※账户不在基础资料里",IF(AND($G1252&lt;&gt;"",ISNA(MATCH($G1252,项目名表,0))),"※项目不在项目台账里",IF(AND(LEFT($F1252,3)="成本-",$G1252=""),"※成本类支出没填项目",IF(AND(LEFT($F1252,3)="成本-",$H1252&lt;&gt;"",N($K1252)&gt;0,COUNTIFS(采购单!$B:$B,$B1252,采购单!$C:$C,$H1252,采购单!$L:$L,$K1252)&gt;0),"※这笔可能和采购单重复了",""))))))))))</f>
        <v/>
      </c>
    </row>
    <row r="1253">
      <c r="A1253" s="17">
        <f>IF($B1253="","",ROW()-3)</f>
        <v/>
      </c>
      <c r="B1253" s="18" t="n"/>
      <c r="C1253" s="13" t="n"/>
      <c r="D1253" s="13" t="n"/>
      <c r="E1253" s="13" t="n"/>
      <c r="F1253" s="17">
        <f>IF($E1253="","",IFERROR(VLOOKUP($E1253,类别归属,2,0),"※类别不在基础资料里"))</f>
        <v/>
      </c>
      <c r="G1253" s="13" t="n"/>
      <c r="H1253" s="13" t="n"/>
      <c r="I1253" s="13" t="n"/>
      <c r="J1253" s="14" t="n"/>
      <c r="K1253" s="14" t="n"/>
      <c r="L1253" s="19">
        <f>IF($C1253="","",ROUND(IFERROR(VLOOKUP($C1253,账户期初,2,0),0)+SUMIFS($J$4:J1253,$C$4:C1253,$C1253)-SUMIFS($K$4:K1253,$C$4:C1253,$C1253),2))</f>
        <v/>
      </c>
      <c r="M1253" s="19">
        <f>IF($C1253="","",ROUND(SUM(基础资料!$B$4:$B$13)+SUM($J$4:J1253)-SUM($K$4:K1253),2))</f>
        <v/>
      </c>
      <c r="N1253" s="13" t="n"/>
      <c r="O1253" s="13" t="n"/>
      <c r="P1253" s="17">
        <f>IF($B1253="","",IF($F1253="※类别不在基础资料里","※费用类别不在基础资料里",IF(AND(N($J1253)=0,N($K1253)=0),"※这行没填金额",IF(AND(N($J1253)&gt;0,N($K1253)&gt;0),"※收入和支出不能同一行都填",IF(AND($D1253="收入",N($J1253)=0),"※收入行要填收入金额",IF(AND($D1253="支出",N($K1253)=0),"※支出行要填支出金额",IF(AND($C1253&lt;&gt;"",ISNA(MATCH($C1253,账户表,0))),"※账户不在基础资料里",IF(AND($G1253&lt;&gt;"",ISNA(MATCH($G1253,项目名表,0))),"※项目不在项目台账里",IF(AND(LEFT($F1253,3)="成本-",$G1253=""),"※成本类支出没填项目",IF(AND(LEFT($F1253,3)="成本-",$H1253&lt;&gt;"",N($K1253)&gt;0,COUNTIFS(采购单!$B:$B,$B1253,采购单!$C:$C,$H1253,采购单!$L:$L,$K1253)&gt;0),"※这笔可能和采购单重复了",""))))))))))</f>
        <v/>
      </c>
    </row>
    <row r="1254">
      <c r="A1254" s="17">
        <f>IF($B1254="","",ROW()-3)</f>
        <v/>
      </c>
      <c r="B1254" s="18" t="n"/>
      <c r="C1254" s="13" t="n"/>
      <c r="D1254" s="13" t="n"/>
      <c r="E1254" s="13" t="n"/>
      <c r="F1254" s="17">
        <f>IF($E1254="","",IFERROR(VLOOKUP($E1254,类别归属,2,0),"※类别不在基础资料里"))</f>
        <v/>
      </c>
      <c r="G1254" s="13" t="n"/>
      <c r="H1254" s="13" t="n"/>
      <c r="I1254" s="13" t="n"/>
      <c r="J1254" s="14" t="n"/>
      <c r="K1254" s="14" t="n"/>
      <c r="L1254" s="19">
        <f>IF($C1254="","",ROUND(IFERROR(VLOOKUP($C1254,账户期初,2,0),0)+SUMIFS($J$4:J1254,$C$4:C1254,$C1254)-SUMIFS($K$4:K1254,$C$4:C1254,$C1254),2))</f>
        <v/>
      </c>
      <c r="M1254" s="19">
        <f>IF($C1254="","",ROUND(SUM(基础资料!$B$4:$B$13)+SUM($J$4:J1254)-SUM($K$4:K1254),2))</f>
        <v/>
      </c>
      <c r="N1254" s="13" t="n"/>
      <c r="O1254" s="13" t="n"/>
      <c r="P1254" s="17">
        <f>IF($B1254="","",IF($F1254="※类别不在基础资料里","※费用类别不在基础资料里",IF(AND(N($J1254)=0,N($K1254)=0),"※这行没填金额",IF(AND(N($J1254)&gt;0,N($K1254)&gt;0),"※收入和支出不能同一行都填",IF(AND($D1254="收入",N($J1254)=0),"※收入行要填收入金额",IF(AND($D1254="支出",N($K1254)=0),"※支出行要填支出金额",IF(AND($C1254&lt;&gt;"",ISNA(MATCH($C1254,账户表,0))),"※账户不在基础资料里",IF(AND($G1254&lt;&gt;"",ISNA(MATCH($G1254,项目名表,0))),"※项目不在项目台账里",IF(AND(LEFT($F1254,3)="成本-",$G1254=""),"※成本类支出没填项目",IF(AND(LEFT($F1254,3)="成本-",$H1254&lt;&gt;"",N($K1254)&gt;0,COUNTIFS(采购单!$B:$B,$B1254,采购单!$C:$C,$H1254,采购单!$L:$L,$K1254)&gt;0),"※这笔可能和采购单重复了",""))))))))))</f>
        <v/>
      </c>
    </row>
    <row r="1255">
      <c r="A1255" s="17">
        <f>IF($B1255="","",ROW()-3)</f>
        <v/>
      </c>
      <c r="B1255" s="18" t="n"/>
      <c r="C1255" s="13" t="n"/>
      <c r="D1255" s="13" t="n"/>
      <c r="E1255" s="13" t="n"/>
      <c r="F1255" s="17">
        <f>IF($E1255="","",IFERROR(VLOOKUP($E1255,类别归属,2,0),"※类别不在基础资料里"))</f>
        <v/>
      </c>
      <c r="G1255" s="13" t="n"/>
      <c r="H1255" s="13" t="n"/>
      <c r="I1255" s="13" t="n"/>
      <c r="J1255" s="14" t="n"/>
      <c r="K1255" s="14" t="n"/>
      <c r="L1255" s="19">
        <f>IF($C1255="","",ROUND(IFERROR(VLOOKUP($C1255,账户期初,2,0),0)+SUMIFS($J$4:J1255,$C$4:C1255,$C1255)-SUMIFS($K$4:K1255,$C$4:C1255,$C1255),2))</f>
        <v/>
      </c>
      <c r="M1255" s="19">
        <f>IF($C1255="","",ROUND(SUM(基础资料!$B$4:$B$13)+SUM($J$4:J1255)-SUM($K$4:K1255),2))</f>
        <v/>
      </c>
      <c r="N1255" s="13" t="n"/>
      <c r="O1255" s="13" t="n"/>
      <c r="P1255" s="17">
        <f>IF($B1255="","",IF($F1255="※类别不在基础资料里","※费用类别不在基础资料里",IF(AND(N($J1255)=0,N($K1255)=0),"※这行没填金额",IF(AND(N($J1255)&gt;0,N($K1255)&gt;0),"※收入和支出不能同一行都填",IF(AND($D1255="收入",N($J1255)=0),"※收入行要填收入金额",IF(AND($D1255="支出",N($K1255)=0),"※支出行要填支出金额",IF(AND($C1255&lt;&gt;"",ISNA(MATCH($C1255,账户表,0))),"※账户不在基础资料里",IF(AND($G1255&lt;&gt;"",ISNA(MATCH($G1255,项目名表,0))),"※项目不在项目台账里",IF(AND(LEFT($F1255,3)="成本-",$G1255=""),"※成本类支出没填项目",IF(AND(LEFT($F1255,3)="成本-",$H1255&lt;&gt;"",N($K1255)&gt;0,COUNTIFS(采购单!$B:$B,$B1255,采购单!$C:$C,$H1255,采购单!$L:$L,$K1255)&gt;0),"※这笔可能和采购单重复了",""))))))))))</f>
        <v/>
      </c>
    </row>
    <row r="1256">
      <c r="A1256" s="17">
        <f>IF($B1256="","",ROW()-3)</f>
        <v/>
      </c>
      <c r="B1256" s="18" t="n"/>
      <c r="C1256" s="13" t="n"/>
      <c r="D1256" s="13" t="n"/>
      <c r="E1256" s="13" t="n"/>
      <c r="F1256" s="17">
        <f>IF($E1256="","",IFERROR(VLOOKUP($E1256,类别归属,2,0),"※类别不在基础资料里"))</f>
        <v/>
      </c>
      <c r="G1256" s="13" t="n"/>
      <c r="H1256" s="13" t="n"/>
      <c r="I1256" s="13" t="n"/>
      <c r="J1256" s="14" t="n"/>
      <c r="K1256" s="14" t="n"/>
      <c r="L1256" s="19">
        <f>IF($C1256="","",ROUND(IFERROR(VLOOKUP($C1256,账户期初,2,0),0)+SUMIFS($J$4:J1256,$C$4:C1256,$C1256)-SUMIFS($K$4:K1256,$C$4:C1256,$C1256),2))</f>
        <v/>
      </c>
      <c r="M1256" s="19">
        <f>IF($C1256="","",ROUND(SUM(基础资料!$B$4:$B$13)+SUM($J$4:J1256)-SUM($K$4:K1256),2))</f>
        <v/>
      </c>
      <c r="N1256" s="13" t="n"/>
      <c r="O1256" s="13" t="n"/>
      <c r="P1256" s="17">
        <f>IF($B1256="","",IF($F1256="※类别不在基础资料里","※费用类别不在基础资料里",IF(AND(N($J1256)=0,N($K1256)=0),"※这行没填金额",IF(AND(N($J1256)&gt;0,N($K1256)&gt;0),"※收入和支出不能同一行都填",IF(AND($D1256="收入",N($J1256)=0),"※收入行要填收入金额",IF(AND($D1256="支出",N($K1256)=0),"※支出行要填支出金额",IF(AND($C1256&lt;&gt;"",ISNA(MATCH($C1256,账户表,0))),"※账户不在基础资料里",IF(AND($G1256&lt;&gt;"",ISNA(MATCH($G1256,项目名表,0))),"※项目不在项目台账里",IF(AND(LEFT($F1256,3)="成本-",$G1256=""),"※成本类支出没填项目",IF(AND(LEFT($F1256,3)="成本-",$H1256&lt;&gt;"",N($K1256)&gt;0,COUNTIFS(采购单!$B:$B,$B1256,采购单!$C:$C,$H1256,采购单!$L:$L,$K1256)&gt;0),"※这笔可能和采购单重复了",""))))))))))</f>
        <v/>
      </c>
    </row>
    <row r="1257">
      <c r="A1257" s="17">
        <f>IF($B1257="","",ROW()-3)</f>
        <v/>
      </c>
      <c r="B1257" s="18" t="n"/>
      <c r="C1257" s="13" t="n"/>
      <c r="D1257" s="13" t="n"/>
      <c r="E1257" s="13" t="n"/>
      <c r="F1257" s="17">
        <f>IF($E1257="","",IFERROR(VLOOKUP($E1257,类别归属,2,0),"※类别不在基础资料里"))</f>
        <v/>
      </c>
      <c r="G1257" s="13" t="n"/>
      <c r="H1257" s="13" t="n"/>
      <c r="I1257" s="13" t="n"/>
      <c r="J1257" s="14" t="n"/>
      <c r="K1257" s="14" t="n"/>
      <c r="L1257" s="19">
        <f>IF($C1257="","",ROUND(IFERROR(VLOOKUP($C1257,账户期初,2,0),0)+SUMIFS($J$4:J1257,$C$4:C1257,$C1257)-SUMIFS($K$4:K1257,$C$4:C1257,$C1257),2))</f>
        <v/>
      </c>
      <c r="M1257" s="19">
        <f>IF($C1257="","",ROUND(SUM(基础资料!$B$4:$B$13)+SUM($J$4:J1257)-SUM($K$4:K1257),2))</f>
        <v/>
      </c>
      <c r="N1257" s="13" t="n"/>
      <c r="O1257" s="13" t="n"/>
      <c r="P1257" s="17">
        <f>IF($B1257="","",IF($F1257="※类别不在基础资料里","※费用类别不在基础资料里",IF(AND(N($J1257)=0,N($K1257)=0),"※这行没填金额",IF(AND(N($J1257)&gt;0,N($K1257)&gt;0),"※收入和支出不能同一行都填",IF(AND($D1257="收入",N($J1257)=0),"※收入行要填收入金额",IF(AND($D1257="支出",N($K1257)=0),"※支出行要填支出金额",IF(AND($C1257&lt;&gt;"",ISNA(MATCH($C1257,账户表,0))),"※账户不在基础资料里",IF(AND($G1257&lt;&gt;"",ISNA(MATCH($G1257,项目名表,0))),"※项目不在项目台账里",IF(AND(LEFT($F1257,3)="成本-",$G1257=""),"※成本类支出没填项目",IF(AND(LEFT($F1257,3)="成本-",$H1257&lt;&gt;"",N($K1257)&gt;0,COUNTIFS(采购单!$B:$B,$B1257,采购单!$C:$C,$H1257,采购单!$L:$L,$K1257)&gt;0),"※这笔可能和采购单重复了",""))))))))))</f>
        <v/>
      </c>
    </row>
    <row r="1258">
      <c r="A1258" s="17">
        <f>IF($B1258="","",ROW()-3)</f>
        <v/>
      </c>
      <c r="B1258" s="18" t="n"/>
      <c r="C1258" s="13" t="n"/>
      <c r="D1258" s="13" t="n"/>
      <c r="E1258" s="13" t="n"/>
      <c r="F1258" s="17">
        <f>IF($E1258="","",IFERROR(VLOOKUP($E1258,类别归属,2,0),"※类别不在基础资料里"))</f>
        <v/>
      </c>
      <c r="G1258" s="13" t="n"/>
      <c r="H1258" s="13" t="n"/>
      <c r="I1258" s="13" t="n"/>
      <c r="J1258" s="14" t="n"/>
      <c r="K1258" s="14" t="n"/>
      <c r="L1258" s="19">
        <f>IF($C1258="","",ROUND(IFERROR(VLOOKUP($C1258,账户期初,2,0),0)+SUMIFS($J$4:J1258,$C$4:C1258,$C1258)-SUMIFS($K$4:K1258,$C$4:C1258,$C1258),2))</f>
        <v/>
      </c>
      <c r="M1258" s="19">
        <f>IF($C1258="","",ROUND(SUM(基础资料!$B$4:$B$13)+SUM($J$4:J1258)-SUM($K$4:K1258),2))</f>
        <v/>
      </c>
      <c r="N1258" s="13" t="n"/>
      <c r="O1258" s="13" t="n"/>
      <c r="P1258" s="17">
        <f>IF($B1258="","",IF($F1258="※类别不在基础资料里","※费用类别不在基础资料里",IF(AND(N($J1258)=0,N($K1258)=0),"※这行没填金额",IF(AND(N($J1258)&gt;0,N($K1258)&gt;0),"※收入和支出不能同一行都填",IF(AND($D1258="收入",N($J1258)=0),"※收入行要填收入金额",IF(AND($D1258="支出",N($K1258)=0),"※支出行要填支出金额",IF(AND($C1258&lt;&gt;"",ISNA(MATCH($C1258,账户表,0))),"※账户不在基础资料里",IF(AND($G1258&lt;&gt;"",ISNA(MATCH($G1258,项目名表,0))),"※项目不在项目台账里",IF(AND(LEFT($F1258,3)="成本-",$G1258=""),"※成本类支出没填项目",IF(AND(LEFT($F1258,3)="成本-",$H1258&lt;&gt;"",N($K1258)&gt;0,COUNTIFS(采购单!$B:$B,$B1258,采购单!$C:$C,$H1258,采购单!$L:$L,$K1258)&gt;0),"※这笔可能和采购单重复了",""))))))))))</f>
        <v/>
      </c>
    </row>
    <row r="1259">
      <c r="A1259" s="17">
        <f>IF($B1259="","",ROW()-3)</f>
        <v/>
      </c>
      <c r="B1259" s="18" t="n"/>
      <c r="C1259" s="13" t="n"/>
      <c r="D1259" s="13" t="n"/>
      <c r="E1259" s="13" t="n"/>
      <c r="F1259" s="17">
        <f>IF($E1259="","",IFERROR(VLOOKUP($E1259,类别归属,2,0),"※类别不在基础资料里"))</f>
        <v/>
      </c>
      <c r="G1259" s="13" t="n"/>
      <c r="H1259" s="13" t="n"/>
      <c r="I1259" s="13" t="n"/>
      <c r="J1259" s="14" t="n"/>
      <c r="K1259" s="14" t="n"/>
      <c r="L1259" s="19">
        <f>IF($C1259="","",ROUND(IFERROR(VLOOKUP($C1259,账户期初,2,0),0)+SUMIFS($J$4:J1259,$C$4:C1259,$C1259)-SUMIFS($K$4:K1259,$C$4:C1259,$C1259),2))</f>
        <v/>
      </c>
      <c r="M1259" s="19">
        <f>IF($C1259="","",ROUND(SUM(基础资料!$B$4:$B$13)+SUM($J$4:J1259)-SUM($K$4:K1259),2))</f>
        <v/>
      </c>
      <c r="N1259" s="13" t="n"/>
      <c r="O1259" s="13" t="n"/>
      <c r="P1259" s="17">
        <f>IF($B1259="","",IF($F1259="※类别不在基础资料里","※费用类别不在基础资料里",IF(AND(N($J1259)=0,N($K1259)=0),"※这行没填金额",IF(AND(N($J1259)&gt;0,N($K1259)&gt;0),"※收入和支出不能同一行都填",IF(AND($D1259="收入",N($J1259)=0),"※收入行要填收入金额",IF(AND($D1259="支出",N($K1259)=0),"※支出行要填支出金额",IF(AND($C1259&lt;&gt;"",ISNA(MATCH($C1259,账户表,0))),"※账户不在基础资料里",IF(AND($G1259&lt;&gt;"",ISNA(MATCH($G1259,项目名表,0))),"※项目不在项目台账里",IF(AND(LEFT($F1259,3)="成本-",$G1259=""),"※成本类支出没填项目",IF(AND(LEFT($F1259,3)="成本-",$H1259&lt;&gt;"",N($K1259)&gt;0,COUNTIFS(采购单!$B:$B,$B1259,采购单!$C:$C,$H1259,采购单!$L:$L,$K1259)&gt;0),"※这笔可能和采购单重复了",""))))))))))</f>
        <v/>
      </c>
    </row>
    <row r="1260">
      <c r="A1260" s="17">
        <f>IF($B1260="","",ROW()-3)</f>
        <v/>
      </c>
      <c r="B1260" s="18" t="n"/>
      <c r="C1260" s="13" t="n"/>
      <c r="D1260" s="13" t="n"/>
      <c r="E1260" s="13" t="n"/>
      <c r="F1260" s="17">
        <f>IF($E1260="","",IFERROR(VLOOKUP($E1260,类别归属,2,0),"※类别不在基础资料里"))</f>
        <v/>
      </c>
      <c r="G1260" s="13" t="n"/>
      <c r="H1260" s="13" t="n"/>
      <c r="I1260" s="13" t="n"/>
      <c r="J1260" s="14" t="n"/>
      <c r="K1260" s="14" t="n"/>
      <c r="L1260" s="19">
        <f>IF($C1260="","",ROUND(IFERROR(VLOOKUP($C1260,账户期初,2,0),0)+SUMIFS($J$4:J1260,$C$4:C1260,$C1260)-SUMIFS($K$4:K1260,$C$4:C1260,$C1260),2))</f>
        <v/>
      </c>
      <c r="M1260" s="19">
        <f>IF($C1260="","",ROUND(SUM(基础资料!$B$4:$B$13)+SUM($J$4:J1260)-SUM($K$4:K1260),2))</f>
        <v/>
      </c>
      <c r="N1260" s="13" t="n"/>
      <c r="O1260" s="13" t="n"/>
      <c r="P1260" s="17">
        <f>IF($B1260="","",IF($F1260="※类别不在基础资料里","※费用类别不在基础资料里",IF(AND(N($J1260)=0,N($K1260)=0),"※这行没填金额",IF(AND(N($J1260)&gt;0,N($K1260)&gt;0),"※收入和支出不能同一行都填",IF(AND($D1260="收入",N($J1260)=0),"※收入行要填收入金额",IF(AND($D1260="支出",N($K1260)=0),"※支出行要填支出金额",IF(AND($C1260&lt;&gt;"",ISNA(MATCH($C1260,账户表,0))),"※账户不在基础资料里",IF(AND($G1260&lt;&gt;"",ISNA(MATCH($G1260,项目名表,0))),"※项目不在项目台账里",IF(AND(LEFT($F1260,3)="成本-",$G1260=""),"※成本类支出没填项目",IF(AND(LEFT($F1260,3)="成本-",$H1260&lt;&gt;"",N($K1260)&gt;0,COUNTIFS(采购单!$B:$B,$B1260,采购单!$C:$C,$H1260,采购单!$L:$L,$K1260)&gt;0),"※这笔可能和采购单重复了",""))))))))))</f>
        <v/>
      </c>
    </row>
    <row r="1261">
      <c r="A1261" s="17">
        <f>IF($B1261="","",ROW()-3)</f>
        <v/>
      </c>
      <c r="B1261" s="18" t="n"/>
      <c r="C1261" s="13" t="n"/>
      <c r="D1261" s="13" t="n"/>
      <c r="E1261" s="13" t="n"/>
      <c r="F1261" s="17">
        <f>IF($E1261="","",IFERROR(VLOOKUP($E1261,类别归属,2,0),"※类别不在基础资料里"))</f>
        <v/>
      </c>
      <c r="G1261" s="13" t="n"/>
      <c r="H1261" s="13" t="n"/>
      <c r="I1261" s="13" t="n"/>
      <c r="J1261" s="14" t="n"/>
      <c r="K1261" s="14" t="n"/>
      <c r="L1261" s="19">
        <f>IF($C1261="","",ROUND(IFERROR(VLOOKUP($C1261,账户期初,2,0),0)+SUMIFS($J$4:J1261,$C$4:C1261,$C1261)-SUMIFS($K$4:K1261,$C$4:C1261,$C1261),2))</f>
        <v/>
      </c>
      <c r="M1261" s="19">
        <f>IF($C1261="","",ROUND(SUM(基础资料!$B$4:$B$13)+SUM($J$4:J1261)-SUM($K$4:K1261),2))</f>
        <v/>
      </c>
      <c r="N1261" s="13" t="n"/>
      <c r="O1261" s="13" t="n"/>
      <c r="P1261" s="17">
        <f>IF($B1261="","",IF($F1261="※类别不在基础资料里","※费用类别不在基础资料里",IF(AND(N($J1261)=0,N($K1261)=0),"※这行没填金额",IF(AND(N($J1261)&gt;0,N($K1261)&gt;0),"※收入和支出不能同一行都填",IF(AND($D1261="收入",N($J1261)=0),"※收入行要填收入金额",IF(AND($D1261="支出",N($K1261)=0),"※支出行要填支出金额",IF(AND($C1261&lt;&gt;"",ISNA(MATCH($C1261,账户表,0))),"※账户不在基础资料里",IF(AND($G1261&lt;&gt;"",ISNA(MATCH($G1261,项目名表,0))),"※项目不在项目台账里",IF(AND(LEFT($F1261,3)="成本-",$G1261=""),"※成本类支出没填项目",IF(AND(LEFT($F1261,3)="成本-",$H1261&lt;&gt;"",N($K1261)&gt;0,COUNTIFS(采购单!$B:$B,$B1261,采购单!$C:$C,$H1261,采购单!$L:$L,$K1261)&gt;0),"※这笔可能和采购单重复了",""))))))))))</f>
        <v/>
      </c>
    </row>
    <row r="1262">
      <c r="A1262" s="17">
        <f>IF($B1262="","",ROW()-3)</f>
        <v/>
      </c>
      <c r="B1262" s="18" t="n"/>
      <c r="C1262" s="13" t="n"/>
      <c r="D1262" s="13" t="n"/>
      <c r="E1262" s="13" t="n"/>
      <c r="F1262" s="17">
        <f>IF($E1262="","",IFERROR(VLOOKUP($E1262,类别归属,2,0),"※类别不在基础资料里"))</f>
        <v/>
      </c>
      <c r="G1262" s="13" t="n"/>
      <c r="H1262" s="13" t="n"/>
      <c r="I1262" s="13" t="n"/>
      <c r="J1262" s="14" t="n"/>
      <c r="K1262" s="14" t="n"/>
      <c r="L1262" s="19">
        <f>IF($C1262="","",ROUND(IFERROR(VLOOKUP($C1262,账户期初,2,0),0)+SUMIFS($J$4:J1262,$C$4:C1262,$C1262)-SUMIFS($K$4:K1262,$C$4:C1262,$C1262),2))</f>
        <v/>
      </c>
      <c r="M1262" s="19">
        <f>IF($C1262="","",ROUND(SUM(基础资料!$B$4:$B$13)+SUM($J$4:J1262)-SUM($K$4:K1262),2))</f>
        <v/>
      </c>
      <c r="N1262" s="13" t="n"/>
      <c r="O1262" s="13" t="n"/>
      <c r="P1262" s="17">
        <f>IF($B1262="","",IF($F1262="※类别不在基础资料里","※费用类别不在基础资料里",IF(AND(N($J1262)=0,N($K1262)=0),"※这行没填金额",IF(AND(N($J1262)&gt;0,N($K1262)&gt;0),"※收入和支出不能同一行都填",IF(AND($D1262="收入",N($J1262)=0),"※收入行要填收入金额",IF(AND($D1262="支出",N($K1262)=0),"※支出行要填支出金额",IF(AND($C1262&lt;&gt;"",ISNA(MATCH($C1262,账户表,0))),"※账户不在基础资料里",IF(AND($G1262&lt;&gt;"",ISNA(MATCH($G1262,项目名表,0))),"※项目不在项目台账里",IF(AND(LEFT($F1262,3)="成本-",$G1262=""),"※成本类支出没填项目",IF(AND(LEFT($F1262,3)="成本-",$H1262&lt;&gt;"",N($K1262)&gt;0,COUNTIFS(采购单!$B:$B,$B1262,采购单!$C:$C,$H1262,采购单!$L:$L,$K1262)&gt;0),"※这笔可能和采购单重复了",""))))))))))</f>
        <v/>
      </c>
    </row>
    <row r="1263">
      <c r="A1263" s="17">
        <f>IF($B1263="","",ROW()-3)</f>
        <v/>
      </c>
      <c r="B1263" s="18" t="n"/>
      <c r="C1263" s="13" t="n"/>
      <c r="D1263" s="13" t="n"/>
      <c r="E1263" s="13" t="n"/>
      <c r="F1263" s="17">
        <f>IF($E1263="","",IFERROR(VLOOKUP($E1263,类别归属,2,0),"※类别不在基础资料里"))</f>
        <v/>
      </c>
      <c r="G1263" s="13" t="n"/>
      <c r="H1263" s="13" t="n"/>
      <c r="I1263" s="13" t="n"/>
      <c r="J1263" s="14" t="n"/>
      <c r="K1263" s="14" t="n"/>
      <c r="L1263" s="19">
        <f>IF($C1263="","",ROUND(IFERROR(VLOOKUP($C1263,账户期初,2,0),0)+SUMIFS($J$4:J1263,$C$4:C1263,$C1263)-SUMIFS($K$4:K1263,$C$4:C1263,$C1263),2))</f>
        <v/>
      </c>
      <c r="M1263" s="19">
        <f>IF($C1263="","",ROUND(SUM(基础资料!$B$4:$B$13)+SUM($J$4:J1263)-SUM($K$4:K1263),2))</f>
        <v/>
      </c>
      <c r="N1263" s="13" t="n"/>
      <c r="O1263" s="13" t="n"/>
      <c r="P1263" s="17">
        <f>IF($B1263="","",IF($F1263="※类别不在基础资料里","※费用类别不在基础资料里",IF(AND(N($J1263)=0,N($K1263)=0),"※这行没填金额",IF(AND(N($J1263)&gt;0,N($K1263)&gt;0),"※收入和支出不能同一行都填",IF(AND($D1263="收入",N($J1263)=0),"※收入行要填收入金额",IF(AND($D1263="支出",N($K1263)=0),"※支出行要填支出金额",IF(AND($C1263&lt;&gt;"",ISNA(MATCH($C1263,账户表,0))),"※账户不在基础资料里",IF(AND($G1263&lt;&gt;"",ISNA(MATCH($G1263,项目名表,0))),"※项目不在项目台账里",IF(AND(LEFT($F1263,3)="成本-",$G1263=""),"※成本类支出没填项目",IF(AND(LEFT($F1263,3)="成本-",$H1263&lt;&gt;"",N($K1263)&gt;0,COUNTIFS(采购单!$B:$B,$B1263,采购单!$C:$C,$H1263,采购单!$L:$L,$K1263)&gt;0),"※这笔可能和采购单重复了",""))))))))))</f>
        <v/>
      </c>
    </row>
    <row r="1264">
      <c r="A1264" s="17">
        <f>IF($B1264="","",ROW()-3)</f>
        <v/>
      </c>
      <c r="B1264" s="18" t="n"/>
      <c r="C1264" s="13" t="n"/>
      <c r="D1264" s="13" t="n"/>
      <c r="E1264" s="13" t="n"/>
      <c r="F1264" s="17">
        <f>IF($E1264="","",IFERROR(VLOOKUP($E1264,类别归属,2,0),"※类别不在基础资料里"))</f>
        <v/>
      </c>
      <c r="G1264" s="13" t="n"/>
      <c r="H1264" s="13" t="n"/>
      <c r="I1264" s="13" t="n"/>
      <c r="J1264" s="14" t="n"/>
      <c r="K1264" s="14" t="n"/>
      <c r="L1264" s="19">
        <f>IF($C1264="","",ROUND(IFERROR(VLOOKUP($C1264,账户期初,2,0),0)+SUMIFS($J$4:J1264,$C$4:C1264,$C1264)-SUMIFS($K$4:K1264,$C$4:C1264,$C1264),2))</f>
        <v/>
      </c>
      <c r="M1264" s="19">
        <f>IF($C1264="","",ROUND(SUM(基础资料!$B$4:$B$13)+SUM($J$4:J1264)-SUM($K$4:K1264),2))</f>
        <v/>
      </c>
      <c r="N1264" s="13" t="n"/>
      <c r="O1264" s="13" t="n"/>
      <c r="P1264" s="17">
        <f>IF($B1264="","",IF($F1264="※类别不在基础资料里","※费用类别不在基础资料里",IF(AND(N($J1264)=0,N($K1264)=0),"※这行没填金额",IF(AND(N($J1264)&gt;0,N($K1264)&gt;0),"※收入和支出不能同一行都填",IF(AND($D1264="收入",N($J1264)=0),"※收入行要填收入金额",IF(AND($D1264="支出",N($K1264)=0),"※支出行要填支出金额",IF(AND($C1264&lt;&gt;"",ISNA(MATCH($C1264,账户表,0))),"※账户不在基础资料里",IF(AND($G1264&lt;&gt;"",ISNA(MATCH($G1264,项目名表,0))),"※项目不在项目台账里",IF(AND(LEFT($F1264,3)="成本-",$G1264=""),"※成本类支出没填项目",IF(AND(LEFT($F1264,3)="成本-",$H1264&lt;&gt;"",N($K1264)&gt;0,COUNTIFS(采购单!$B:$B,$B1264,采购单!$C:$C,$H1264,采购单!$L:$L,$K1264)&gt;0),"※这笔可能和采购单重复了",""))))))))))</f>
        <v/>
      </c>
    </row>
    <row r="1265">
      <c r="A1265" s="17">
        <f>IF($B1265="","",ROW()-3)</f>
        <v/>
      </c>
      <c r="B1265" s="18" t="n"/>
      <c r="C1265" s="13" t="n"/>
      <c r="D1265" s="13" t="n"/>
      <c r="E1265" s="13" t="n"/>
      <c r="F1265" s="17">
        <f>IF($E1265="","",IFERROR(VLOOKUP($E1265,类别归属,2,0),"※类别不在基础资料里"))</f>
        <v/>
      </c>
      <c r="G1265" s="13" t="n"/>
      <c r="H1265" s="13" t="n"/>
      <c r="I1265" s="13" t="n"/>
      <c r="J1265" s="14" t="n"/>
      <c r="K1265" s="14" t="n"/>
      <c r="L1265" s="19">
        <f>IF($C1265="","",ROUND(IFERROR(VLOOKUP($C1265,账户期初,2,0),0)+SUMIFS($J$4:J1265,$C$4:C1265,$C1265)-SUMIFS($K$4:K1265,$C$4:C1265,$C1265),2))</f>
        <v/>
      </c>
      <c r="M1265" s="19">
        <f>IF($C1265="","",ROUND(SUM(基础资料!$B$4:$B$13)+SUM($J$4:J1265)-SUM($K$4:K1265),2))</f>
        <v/>
      </c>
      <c r="N1265" s="13" t="n"/>
      <c r="O1265" s="13" t="n"/>
      <c r="P1265" s="17">
        <f>IF($B1265="","",IF($F1265="※类别不在基础资料里","※费用类别不在基础资料里",IF(AND(N($J1265)=0,N($K1265)=0),"※这行没填金额",IF(AND(N($J1265)&gt;0,N($K1265)&gt;0),"※收入和支出不能同一行都填",IF(AND($D1265="收入",N($J1265)=0),"※收入行要填收入金额",IF(AND($D1265="支出",N($K1265)=0),"※支出行要填支出金额",IF(AND($C1265&lt;&gt;"",ISNA(MATCH($C1265,账户表,0))),"※账户不在基础资料里",IF(AND($G1265&lt;&gt;"",ISNA(MATCH($G1265,项目名表,0))),"※项目不在项目台账里",IF(AND(LEFT($F1265,3)="成本-",$G1265=""),"※成本类支出没填项目",IF(AND(LEFT($F1265,3)="成本-",$H1265&lt;&gt;"",N($K1265)&gt;0,COUNTIFS(采购单!$B:$B,$B1265,采购单!$C:$C,$H1265,采购单!$L:$L,$K1265)&gt;0),"※这笔可能和采购单重复了",""))))))))))</f>
        <v/>
      </c>
    </row>
    <row r="1266">
      <c r="A1266" s="17">
        <f>IF($B1266="","",ROW()-3)</f>
        <v/>
      </c>
      <c r="B1266" s="18" t="n"/>
      <c r="C1266" s="13" t="n"/>
      <c r="D1266" s="13" t="n"/>
      <c r="E1266" s="13" t="n"/>
      <c r="F1266" s="17">
        <f>IF($E1266="","",IFERROR(VLOOKUP($E1266,类别归属,2,0),"※类别不在基础资料里"))</f>
        <v/>
      </c>
      <c r="G1266" s="13" t="n"/>
      <c r="H1266" s="13" t="n"/>
      <c r="I1266" s="13" t="n"/>
      <c r="J1266" s="14" t="n"/>
      <c r="K1266" s="14" t="n"/>
      <c r="L1266" s="19">
        <f>IF($C1266="","",ROUND(IFERROR(VLOOKUP($C1266,账户期初,2,0),0)+SUMIFS($J$4:J1266,$C$4:C1266,$C1266)-SUMIFS($K$4:K1266,$C$4:C1266,$C1266),2))</f>
        <v/>
      </c>
      <c r="M1266" s="19">
        <f>IF($C1266="","",ROUND(SUM(基础资料!$B$4:$B$13)+SUM($J$4:J1266)-SUM($K$4:K1266),2))</f>
        <v/>
      </c>
      <c r="N1266" s="13" t="n"/>
      <c r="O1266" s="13" t="n"/>
      <c r="P1266" s="17">
        <f>IF($B1266="","",IF($F1266="※类别不在基础资料里","※费用类别不在基础资料里",IF(AND(N($J1266)=0,N($K1266)=0),"※这行没填金额",IF(AND(N($J1266)&gt;0,N($K1266)&gt;0),"※收入和支出不能同一行都填",IF(AND($D1266="收入",N($J1266)=0),"※收入行要填收入金额",IF(AND($D1266="支出",N($K1266)=0),"※支出行要填支出金额",IF(AND($C1266&lt;&gt;"",ISNA(MATCH($C1266,账户表,0))),"※账户不在基础资料里",IF(AND($G1266&lt;&gt;"",ISNA(MATCH($G1266,项目名表,0))),"※项目不在项目台账里",IF(AND(LEFT($F1266,3)="成本-",$G1266=""),"※成本类支出没填项目",IF(AND(LEFT($F1266,3)="成本-",$H1266&lt;&gt;"",N($K1266)&gt;0,COUNTIFS(采购单!$B:$B,$B1266,采购单!$C:$C,$H1266,采购单!$L:$L,$K1266)&gt;0),"※这笔可能和采购单重复了",""))))))))))</f>
        <v/>
      </c>
    </row>
    <row r="1267">
      <c r="A1267" s="17">
        <f>IF($B1267="","",ROW()-3)</f>
        <v/>
      </c>
      <c r="B1267" s="18" t="n"/>
      <c r="C1267" s="13" t="n"/>
      <c r="D1267" s="13" t="n"/>
      <c r="E1267" s="13" t="n"/>
      <c r="F1267" s="17">
        <f>IF($E1267="","",IFERROR(VLOOKUP($E1267,类别归属,2,0),"※类别不在基础资料里"))</f>
        <v/>
      </c>
      <c r="G1267" s="13" t="n"/>
      <c r="H1267" s="13" t="n"/>
      <c r="I1267" s="13" t="n"/>
      <c r="J1267" s="14" t="n"/>
      <c r="K1267" s="14" t="n"/>
      <c r="L1267" s="19">
        <f>IF($C1267="","",ROUND(IFERROR(VLOOKUP($C1267,账户期初,2,0),0)+SUMIFS($J$4:J1267,$C$4:C1267,$C1267)-SUMIFS($K$4:K1267,$C$4:C1267,$C1267),2))</f>
        <v/>
      </c>
      <c r="M1267" s="19">
        <f>IF($C1267="","",ROUND(SUM(基础资料!$B$4:$B$13)+SUM($J$4:J1267)-SUM($K$4:K1267),2))</f>
        <v/>
      </c>
      <c r="N1267" s="13" t="n"/>
      <c r="O1267" s="13" t="n"/>
      <c r="P1267" s="17">
        <f>IF($B1267="","",IF($F1267="※类别不在基础资料里","※费用类别不在基础资料里",IF(AND(N($J1267)=0,N($K1267)=0),"※这行没填金额",IF(AND(N($J1267)&gt;0,N($K1267)&gt;0),"※收入和支出不能同一行都填",IF(AND($D1267="收入",N($J1267)=0),"※收入行要填收入金额",IF(AND($D1267="支出",N($K1267)=0),"※支出行要填支出金额",IF(AND($C1267&lt;&gt;"",ISNA(MATCH($C1267,账户表,0))),"※账户不在基础资料里",IF(AND($G1267&lt;&gt;"",ISNA(MATCH($G1267,项目名表,0))),"※项目不在项目台账里",IF(AND(LEFT($F1267,3)="成本-",$G1267=""),"※成本类支出没填项目",IF(AND(LEFT($F1267,3)="成本-",$H1267&lt;&gt;"",N($K1267)&gt;0,COUNTIFS(采购单!$B:$B,$B1267,采购单!$C:$C,$H1267,采购单!$L:$L,$K1267)&gt;0),"※这笔可能和采购单重复了",""))))))))))</f>
        <v/>
      </c>
    </row>
    <row r="1268">
      <c r="A1268" s="17">
        <f>IF($B1268="","",ROW()-3)</f>
        <v/>
      </c>
      <c r="B1268" s="18" t="n"/>
      <c r="C1268" s="13" t="n"/>
      <c r="D1268" s="13" t="n"/>
      <c r="E1268" s="13" t="n"/>
      <c r="F1268" s="17">
        <f>IF($E1268="","",IFERROR(VLOOKUP($E1268,类别归属,2,0),"※类别不在基础资料里"))</f>
        <v/>
      </c>
      <c r="G1268" s="13" t="n"/>
      <c r="H1268" s="13" t="n"/>
      <c r="I1268" s="13" t="n"/>
      <c r="J1268" s="14" t="n"/>
      <c r="K1268" s="14" t="n"/>
      <c r="L1268" s="19">
        <f>IF($C1268="","",ROUND(IFERROR(VLOOKUP($C1268,账户期初,2,0),0)+SUMIFS($J$4:J1268,$C$4:C1268,$C1268)-SUMIFS($K$4:K1268,$C$4:C1268,$C1268),2))</f>
        <v/>
      </c>
      <c r="M1268" s="19">
        <f>IF($C1268="","",ROUND(SUM(基础资料!$B$4:$B$13)+SUM($J$4:J1268)-SUM($K$4:K1268),2))</f>
        <v/>
      </c>
      <c r="N1268" s="13" t="n"/>
      <c r="O1268" s="13" t="n"/>
      <c r="P1268" s="17">
        <f>IF($B1268="","",IF($F1268="※类别不在基础资料里","※费用类别不在基础资料里",IF(AND(N($J1268)=0,N($K1268)=0),"※这行没填金额",IF(AND(N($J1268)&gt;0,N($K1268)&gt;0),"※收入和支出不能同一行都填",IF(AND($D1268="收入",N($J1268)=0),"※收入行要填收入金额",IF(AND($D1268="支出",N($K1268)=0),"※支出行要填支出金额",IF(AND($C1268&lt;&gt;"",ISNA(MATCH($C1268,账户表,0))),"※账户不在基础资料里",IF(AND($G1268&lt;&gt;"",ISNA(MATCH($G1268,项目名表,0))),"※项目不在项目台账里",IF(AND(LEFT($F1268,3)="成本-",$G1268=""),"※成本类支出没填项目",IF(AND(LEFT($F1268,3)="成本-",$H1268&lt;&gt;"",N($K1268)&gt;0,COUNTIFS(采购单!$B:$B,$B1268,采购单!$C:$C,$H1268,采购单!$L:$L,$K1268)&gt;0),"※这笔可能和采购单重复了",""))))))))))</f>
        <v/>
      </c>
    </row>
    <row r="1269">
      <c r="A1269" s="17">
        <f>IF($B1269="","",ROW()-3)</f>
        <v/>
      </c>
      <c r="B1269" s="18" t="n"/>
      <c r="C1269" s="13" t="n"/>
      <c r="D1269" s="13" t="n"/>
      <c r="E1269" s="13" t="n"/>
      <c r="F1269" s="17">
        <f>IF($E1269="","",IFERROR(VLOOKUP($E1269,类别归属,2,0),"※类别不在基础资料里"))</f>
        <v/>
      </c>
      <c r="G1269" s="13" t="n"/>
      <c r="H1269" s="13" t="n"/>
      <c r="I1269" s="13" t="n"/>
      <c r="J1269" s="14" t="n"/>
      <c r="K1269" s="14" t="n"/>
      <c r="L1269" s="19">
        <f>IF($C1269="","",ROUND(IFERROR(VLOOKUP($C1269,账户期初,2,0),0)+SUMIFS($J$4:J1269,$C$4:C1269,$C1269)-SUMIFS($K$4:K1269,$C$4:C1269,$C1269),2))</f>
        <v/>
      </c>
      <c r="M1269" s="19">
        <f>IF($C1269="","",ROUND(SUM(基础资料!$B$4:$B$13)+SUM($J$4:J1269)-SUM($K$4:K1269),2))</f>
        <v/>
      </c>
      <c r="N1269" s="13" t="n"/>
      <c r="O1269" s="13" t="n"/>
      <c r="P1269" s="17">
        <f>IF($B1269="","",IF($F1269="※类别不在基础资料里","※费用类别不在基础资料里",IF(AND(N($J1269)=0,N($K1269)=0),"※这行没填金额",IF(AND(N($J1269)&gt;0,N($K1269)&gt;0),"※收入和支出不能同一行都填",IF(AND($D1269="收入",N($J1269)=0),"※收入行要填收入金额",IF(AND($D1269="支出",N($K1269)=0),"※支出行要填支出金额",IF(AND($C1269&lt;&gt;"",ISNA(MATCH($C1269,账户表,0))),"※账户不在基础资料里",IF(AND($G1269&lt;&gt;"",ISNA(MATCH($G1269,项目名表,0))),"※项目不在项目台账里",IF(AND(LEFT($F1269,3)="成本-",$G1269=""),"※成本类支出没填项目",IF(AND(LEFT($F1269,3)="成本-",$H1269&lt;&gt;"",N($K1269)&gt;0,COUNTIFS(采购单!$B:$B,$B1269,采购单!$C:$C,$H1269,采购单!$L:$L,$K1269)&gt;0),"※这笔可能和采购单重复了",""))))))))))</f>
        <v/>
      </c>
    </row>
    <row r="1270">
      <c r="A1270" s="17">
        <f>IF($B1270="","",ROW()-3)</f>
        <v/>
      </c>
      <c r="B1270" s="18" t="n"/>
      <c r="C1270" s="13" t="n"/>
      <c r="D1270" s="13" t="n"/>
      <c r="E1270" s="13" t="n"/>
      <c r="F1270" s="17">
        <f>IF($E1270="","",IFERROR(VLOOKUP($E1270,类别归属,2,0),"※类别不在基础资料里"))</f>
        <v/>
      </c>
      <c r="G1270" s="13" t="n"/>
      <c r="H1270" s="13" t="n"/>
      <c r="I1270" s="13" t="n"/>
      <c r="J1270" s="14" t="n"/>
      <c r="K1270" s="14" t="n"/>
      <c r="L1270" s="19">
        <f>IF($C1270="","",ROUND(IFERROR(VLOOKUP($C1270,账户期初,2,0),0)+SUMIFS($J$4:J1270,$C$4:C1270,$C1270)-SUMIFS($K$4:K1270,$C$4:C1270,$C1270),2))</f>
        <v/>
      </c>
      <c r="M1270" s="19">
        <f>IF($C1270="","",ROUND(SUM(基础资料!$B$4:$B$13)+SUM($J$4:J1270)-SUM($K$4:K1270),2))</f>
        <v/>
      </c>
      <c r="N1270" s="13" t="n"/>
      <c r="O1270" s="13" t="n"/>
      <c r="P1270" s="17">
        <f>IF($B1270="","",IF($F1270="※类别不在基础资料里","※费用类别不在基础资料里",IF(AND(N($J1270)=0,N($K1270)=0),"※这行没填金额",IF(AND(N($J1270)&gt;0,N($K1270)&gt;0),"※收入和支出不能同一行都填",IF(AND($D1270="收入",N($J1270)=0),"※收入行要填收入金额",IF(AND($D1270="支出",N($K1270)=0),"※支出行要填支出金额",IF(AND($C1270&lt;&gt;"",ISNA(MATCH($C1270,账户表,0))),"※账户不在基础资料里",IF(AND($G1270&lt;&gt;"",ISNA(MATCH($G1270,项目名表,0))),"※项目不在项目台账里",IF(AND(LEFT($F1270,3)="成本-",$G1270=""),"※成本类支出没填项目",IF(AND(LEFT($F1270,3)="成本-",$H1270&lt;&gt;"",N($K1270)&gt;0,COUNTIFS(采购单!$B:$B,$B1270,采购单!$C:$C,$H1270,采购单!$L:$L,$K1270)&gt;0),"※这笔可能和采购单重复了",""))))))))))</f>
        <v/>
      </c>
    </row>
    <row r="1271">
      <c r="A1271" s="17">
        <f>IF($B1271="","",ROW()-3)</f>
        <v/>
      </c>
      <c r="B1271" s="18" t="n"/>
      <c r="C1271" s="13" t="n"/>
      <c r="D1271" s="13" t="n"/>
      <c r="E1271" s="13" t="n"/>
      <c r="F1271" s="17">
        <f>IF($E1271="","",IFERROR(VLOOKUP($E1271,类别归属,2,0),"※类别不在基础资料里"))</f>
        <v/>
      </c>
      <c r="G1271" s="13" t="n"/>
      <c r="H1271" s="13" t="n"/>
      <c r="I1271" s="13" t="n"/>
      <c r="J1271" s="14" t="n"/>
      <c r="K1271" s="14" t="n"/>
      <c r="L1271" s="19">
        <f>IF($C1271="","",ROUND(IFERROR(VLOOKUP($C1271,账户期初,2,0),0)+SUMIFS($J$4:J1271,$C$4:C1271,$C1271)-SUMIFS($K$4:K1271,$C$4:C1271,$C1271),2))</f>
        <v/>
      </c>
      <c r="M1271" s="19">
        <f>IF($C1271="","",ROUND(SUM(基础资料!$B$4:$B$13)+SUM($J$4:J1271)-SUM($K$4:K1271),2))</f>
        <v/>
      </c>
      <c r="N1271" s="13" t="n"/>
      <c r="O1271" s="13" t="n"/>
      <c r="P1271" s="17">
        <f>IF($B1271="","",IF($F1271="※类别不在基础资料里","※费用类别不在基础资料里",IF(AND(N($J1271)=0,N($K1271)=0),"※这行没填金额",IF(AND(N($J1271)&gt;0,N($K1271)&gt;0),"※收入和支出不能同一行都填",IF(AND($D1271="收入",N($J1271)=0),"※收入行要填收入金额",IF(AND($D1271="支出",N($K1271)=0),"※支出行要填支出金额",IF(AND($C1271&lt;&gt;"",ISNA(MATCH($C1271,账户表,0))),"※账户不在基础资料里",IF(AND($G1271&lt;&gt;"",ISNA(MATCH($G1271,项目名表,0))),"※项目不在项目台账里",IF(AND(LEFT($F1271,3)="成本-",$G1271=""),"※成本类支出没填项目",IF(AND(LEFT($F1271,3)="成本-",$H1271&lt;&gt;"",N($K1271)&gt;0,COUNTIFS(采购单!$B:$B,$B1271,采购单!$C:$C,$H1271,采购单!$L:$L,$K1271)&gt;0),"※这笔可能和采购单重复了",""))))))))))</f>
        <v/>
      </c>
    </row>
    <row r="1272">
      <c r="A1272" s="17">
        <f>IF($B1272="","",ROW()-3)</f>
        <v/>
      </c>
      <c r="B1272" s="18" t="n"/>
      <c r="C1272" s="13" t="n"/>
      <c r="D1272" s="13" t="n"/>
      <c r="E1272" s="13" t="n"/>
      <c r="F1272" s="17">
        <f>IF($E1272="","",IFERROR(VLOOKUP($E1272,类别归属,2,0),"※类别不在基础资料里"))</f>
        <v/>
      </c>
      <c r="G1272" s="13" t="n"/>
      <c r="H1272" s="13" t="n"/>
      <c r="I1272" s="13" t="n"/>
      <c r="J1272" s="14" t="n"/>
      <c r="K1272" s="14" t="n"/>
      <c r="L1272" s="19">
        <f>IF($C1272="","",ROUND(IFERROR(VLOOKUP($C1272,账户期初,2,0),0)+SUMIFS($J$4:J1272,$C$4:C1272,$C1272)-SUMIFS($K$4:K1272,$C$4:C1272,$C1272),2))</f>
        <v/>
      </c>
      <c r="M1272" s="19">
        <f>IF($C1272="","",ROUND(SUM(基础资料!$B$4:$B$13)+SUM($J$4:J1272)-SUM($K$4:K1272),2))</f>
        <v/>
      </c>
      <c r="N1272" s="13" t="n"/>
      <c r="O1272" s="13" t="n"/>
      <c r="P1272" s="17">
        <f>IF($B1272="","",IF($F1272="※类别不在基础资料里","※费用类别不在基础资料里",IF(AND(N($J1272)=0,N($K1272)=0),"※这行没填金额",IF(AND(N($J1272)&gt;0,N($K1272)&gt;0),"※收入和支出不能同一行都填",IF(AND($D1272="收入",N($J1272)=0),"※收入行要填收入金额",IF(AND($D1272="支出",N($K1272)=0),"※支出行要填支出金额",IF(AND($C1272&lt;&gt;"",ISNA(MATCH($C1272,账户表,0))),"※账户不在基础资料里",IF(AND($G1272&lt;&gt;"",ISNA(MATCH($G1272,项目名表,0))),"※项目不在项目台账里",IF(AND(LEFT($F1272,3)="成本-",$G1272=""),"※成本类支出没填项目",IF(AND(LEFT($F1272,3)="成本-",$H1272&lt;&gt;"",N($K1272)&gt;0,COUNTIFS(采购单!$B:$B,$B1272,采购单!$C:$C,$H1272,采购单!$L:$L,$K1272)&gt;0),"※这笔可能和采购单重复了",""))))))))))</f>
        <v/>
      </c>
    </row>
    <row r="1273">
      <c r="A1273" s="17">
        <f>IF($B1273="","",ROW()-3)</f>
        <v/>
      </c>
      <c r="B1273" s="18" t="n"/>
      <c r="C1273" s="13" t="n"/>
      <c r="D1273" s="13" t="n"/>
      <c r="E1273" s="13" t="n"/>
      <c r="F1273" s="17">
        <f>IF($E1273="","",IFERROR(VLOOKUP($E1273,类别归属,2,0),"※类别不在基础资料里"))</f>
        <v/>
      </c>
      <c r="G1273" s="13" t="n"/>
      <c r="H1273" s="13" t="n"/>
      <c r="I1273" s="13" t="n"/>
      <c r="J1273" s="14" t="n"/>
      <c r="K1273" s="14" t="n"/>
      <c r="L1273" s="19">
        <f>IF($C1273="","",ROUND(IFERROR(VLOOKUP($C1273,账户期初,2,0),0)+SUMIFS($J$4:J1273,$C$4:C1273,$C1273)-SUMIFS($K$4:K1273,$C$4:C1273,$C1273),2))</f>
        <v/>
      </c>
      <c r="M1273" s="19">
        <f>IF($C1273="","",ROUND(SUM(基础资料!$B$4:$B$13)+SUM($J$4:J1273)-SUM($K$4:K1273),2))</f>
        <v/>
      </c>
      <c r="N1273" s="13" t="n"/>
      <c r="O1273" s="13" t="n"/>
      <c r="P1273" s="17">
        <f>IF($B1273="","",IF($F1273="※类别不在基础资料里","※费用类别不在基础资料里",IF(AND(N($J1273)=0,N($K1273)=0),"※这行没填金额",IF(AND(N($J1273)&gt;0,N($K1273)&gt;0),"※收入和支出不能同一行都填",IF(AND($D1273="收入",N($J1273)=0),"※收入行要填收入金额",IF(AND($D1273="支出",N($K1273)=0),"※支出行要填支出金额",IF(AND($C1273&lt;&gt;"",ISNA(MATCH($C1273,账户表,0))),"※账户不在基础资料里",IF(AND($G1273&lt;&gt;"",ISNA(MATCH($G1273,项目名表,0))),"※项目不在项目台账里",IF(AND(LEFT($F1273,3)="成本-",$G1273=""),"※成本类支出没填项目",IF(AND(LEFT($F1273,3)="成本-",$H1273&lt;&gt;"",N($K1273)&gt;0,COUNTIFS(采购单!$B:$B,$B1273,采购单!$C:$C,$H1273,采购单!$L:$L,$K1273)&gt;0),"※这笔可能和采购单重复了",""))))))))))</f>
        <v/>
      </c>
    </row>
    <row r="1274">
      <c r="A1274" s="17">
        <f>IF($B1274="","",ROW()-3)</f>
        <v/>
      </c>
      <c r="B1274" s="18" t="n"/>
      <c r="C1274" s="13" t="n"/>
      <c r="D1274" s="13" t="n"/>
      <c r="E1274" s="13" t="n"/>
      <c r="F1274" s="17">
        <f>IF($E1274="","",IFERROR(VLOOKUP($E1274,类别归属,2,0),"※类别不在基础资料里"))</f>
        <v/>
      </c>
      <c r="G1274" s="13" t="n"/>
      <c r="H1274" s="13" t="n"/>
      <c r="I1274" s="13" t="n"/>
      <c r="J1274" s="14" t="n"/>
      <c r="K1274" s="14" t="n"/>
      <c r="L1274" s="19">
        <f>IF($C1274="","",ROUND(IFERROR(VLOOKUP($C1274,账户期初,2,0),0)+SUMIFS($J$4:J1274,$C$4:C1274,$C1274)-SUMIFS($K$4:K1274,$C$4:C1274,$C1274),2))</f>
        <v/>
      </c>
      <c r="M1274" s="19">
        <f>IF($C1274="","",ROUND(SUM(基础资料!$B$4:$B$13)+SUM($J$4:J1274)-SUM($K$4:K1274),2))</f>
        <v/>
      </c>
      <c r="N1274" s="13" t="n"/>
      <c r="O1274" s="13" t="n"/>
      <c r="P1274" s="17">
        <f>IF($B1274="","",IF($F1274="※类别不在基础资料里","※费用类别不在基础资料里",IF(AND(N($J1274)=0,N($K1274)=0),"※这行没填金额",IF(AND(N($J1274)&gt;0,N($K1274)&gt;0),"※收入和支出不能同一行都填",IF(AND($D1274="收入",N($J1274)=0),"※收入行要填收入金额",IF(AND($D1274="支出",N($K1274)=0),"※支出行要填支出金额",IF(AND($C1274&lt;&gt;"",ISNA(MATCH($C1274,账户表,0))),"※账户不在基础资料里",IF(AND($G1274&lt;&gt;"",ISNA(MATCH($G1274,项目名表,0))),"※项目不在项目台账里",IF(AND(LEFT($F1274,3)="成本-",$G1274=""),"※成本类支出没填项目",IF(AND(LEFT($F1274,3)="成本-",$H1274&lt;&gt;"",N($K1274)&gt;0,COUNTIFS(采购单!$B:$B,$B1274,采购单!$C:$C,$H1274,采购单!$L:$L,$K1274)&gt;0),"※这笔可能和采购单重复了",""))))))))))</f>
        <v/>
      </c>
    </row>
    <row r="1275">
      <c r="A1275" s="17">
        <f>IF($B1275="","",ROW()-3)</f>
        <v/>
      </c>
      <c r="B1275" s="18" t="n"/>
      <c r="C1275" s="13" t="n"/>
      <c r="D1275" s="13" t="n"/>
      <c r="E1275" s="13" t="n"/>
      <c r="F1275" s="17">
        <f>IF($E1275="","",IFERROR(VLOOKUP($E1275,类别归属,2,0),"※类别不在基础资料里"))</f>
        <v/>
      </c>
      <c r="G1275" s="13" t="n"/>
      <c r="H1275" s="13" t="n"/>
      <c r="I1275" s="13" t="n"/>
      <c r="J1275" s="14" t="n"/>
      <c r="K1275" s="14" t="n"/>
      <c r="L1275" s="19">
        <f>IF($C1275="","",ROUND(IFERROR(VLOOKUP($C1275,账户期初,2,0),0)+SUMIFS($J$4:J1275,$C$4:C1275,$C1275)-SUMIFS($K$4:K1275,$C$4:C1275,$C1275),2))</f>
        <v/>
      </c>
      <c r="M1275" s="19">
        <f>IF($C1275="","",ROUND(SUM(基础资料!$B$4:$B$13)+SUM($J$4:J1275)-SUM($K$4:K1275),2))</f>
        <v/>
      </c>
      <c r="N1275" s="13" t="n"/>
      <c r="O1275" s="13" t="n"/>
      <c r="P1275" s="17">
        <f>IF($B1275="","",IF($F1275="※类别不在基础资料里","※费用类别不在基础资料里",IF(AND(N($J1275)=0,N($K1275)=0),"※这行没填金额",IF(AND(N($J1275)&gt;0,N($K1275)&gt;0),"※收入和支出不能同一行都填",IF(AND($D1275="收入",N($J1275)=0),"※收入行要填收入金额",IF(AND($D1275="支出",N($K1275)=0),"※支出行要填支出金额",IF(AND($C1275&lt;&gt;"",ISNA(MATCH($C1275,账户表,0))),"※账户不在基础资料里",IF(AND($G1275&lt;&gt;"",ISNA(MATCH($G1275,项目名表,0))),"※项目不在项目台账里",IF(AND(LEFT($F1275,3)="成本-",$G1275=""),"※成本类支出没填项目",IF(AND(LEFT($F1275,3)="成本-",$H1275&lt;&gt;"",N($K1275)&gt;0,COUNTIFS(采购单!$B:$B,$B1275,采购单!$C:$C,$H1275,采购单!$L:$L,$K1275)&gt;0),"※这笔可能和采购单重复了",""))))))))))</f>
        <v/>
      </c>
    </row>
    <row r="1276">
      <c r="A1276" s="17">
        <f>IF($B1276="","",ROW()-3)</f>
        <v/>
      </c>
      <c r="B1276" s="18" t="n"/>
      <c r="C1276" s="13" t="n"/>
      <c r="D1276" s="13" t="n"/>
      <c r="E1276" s="13" t="n"/>
      <c r="F1276" s="17">
        <f>IF($E1276="","",IFERROR(VLOOKUP($E1276,类别归属,2,0),"※类别不在基础资料里"))</f>
        <v/>
      </c>
      <c r="G1276" s="13" t="n"/>
      <c r="H1276" s="13" t="n"/>
      <c r="I1276" s="13" t="n"/>
      <c r="J1276" s="14" t="n"/>
      <c r="K1276" s="14" t="n"/>
      <c r="L1276" s="19">
        <f>IF($C1276="","",ROUND(IFERROR(VLOOKUP($C1276,账户期初,2,0),0)+SUMIFS($J$4:J1276,$C$4:C1276,$C1276)-SUMIFS($K$4:K1276,$C$4:C1276,$C1276),2))</f>
        <v/>
      </c>
      <c r="M1276" s="19">
        <f>IF($C1276="","",ROUND(SUM(基础资料!$B$4:$B$13)+SUM($J$4:J1276)-SUM($K$4:K1276),2))</f>
        <v/>
      </c>
      <c r="N1276" s="13" t="n"/>
      <c r="O1276" s="13" t="n"/>
      <c r="P1276" s="17">
        <f>IF($B1276="","",IF($F1276="※类别不在基础资料里","※费用类别不在基础资料里",IF(AND(N($J1276)=0,N($K1276)=0),"※这行没填金额",IF(AND(N($J1276)&gt;0,N($K1276)&gt;0),"※收入和支出不能同一行都填",IF(AND($D1276="收入",N($J1276)=0),"※收入行要填收入金额",IF(AND($D1276="支出",N($K1276)=0),"※支出行要填支出金额",IF(AND($C1276&lt;&gt;"",ISNA(MATCH($C1276,账户表,0))),"※账户不在基础资料里",IF(AND($G1276&lt;&gt;"",ISNA(MATCH($G1276,项目名表,0))),"※项目不在项目台账里",IF(AND(LEFT($F1276,3)="成本-",$G1276=""),"※成本类支出没填项目",IF(AND(LEFT($F1276,3)="成本-",$H1276&lt;&gt;"",N($K1276)&gt;0,COUNTIFS(采购单!$B:$B,$B1276,采购单!$C:$C,$H1276,采购单!$L:$L,$K1276)&gt;0),"※这笔可能和采购单重复了",""))))))))))</f>
        <v/>
      </c>
    </row>
    <row r="1277">
      <c r="A1277" s="17">
        <f>IF($B1277="","",ROW()-3)</f>
        <v/>
      </c>
      <c r="B1277" s="18" t="n"/>
      <c r="C1277" s="13" t="n"/>
      <c r="D1277" s="13" t="n"/>
      <c r="E1277" s="13" t="n"/>
      <c r="F1277" s="17">
        <f>IF($E1277="","",IFERROR(VLOOKUP($E1277,类别归属,2,0),"※类别不在基础资料里"))</f>
        <v/>
      </c>
      <c r="G1277" s="13" t="n"/>
      <c r="H1277" s="13" t="n"/>
      <c r="I1277" s="13" t="n"/>
      <c r="J1277" s="14" t="n"/>
      <c r="K1277" s="14" t="n"/>
      <c r="L1277" s="19">
        <f>IF($C1277="","",ROUND(IFERROR(VLOOKUP($C1277,账户期初,2,0),0)+SUMIFS($J$4:J1277,$C$4:C1277,$C1277)-SUMIFS($K$4:K1277,$C$4:C1277,$C1277),2))</f>
        <v/>
      </c>
      <c r="M1277" s="19">
        <f>IF($C1277="","",ROUND(SUM(基础资料!$B$4:$B$13)+SUM($J$4:J1277)-SUM($K$4:K1277),2))</f>
        <v/>
      </c>
      <c r="N1277" s="13" t="n"/>
      <c r="O1277" s="13" t="n"/>
      <c r="P1277" s="17">
        <f>IF($B1277="","",IF($F1277="※类别不在基础资料里","※费用类别不在基础资料里",IF(AND(N($J1277)=0,N($K1277)=0),"※这行没填金额",IF(AND(N($J1277)&gt;0,N($K1277)&gt;0),"※收入和支出不能同一行都填",IF(AND($D1277="收入",N($J1277)=0),"※收入行要填收入金额",IF(AND($D1277="支出",N($K1277)=0),"※支出行要填支出金额",IF(AND($C1277&lt;&gt;"",ISNA(MATCH($C1277,账户表,0))),"※账户不在基础资料里",IF(AND($G1277&lt;&gt;"",ISNA(MATCH($G1277,项目名表,0))),"※项目不在项目台账里",IF(AND(LEFT($F1277,3)="成本-",$G1277=""),"※成本类支出没填项目",IF(AND(LEFT($F1277,3)="成本-",$H1277&lt;&gt;"",N($K1277)&gt;0,COUNTIFS(采购单!$B:$B,$B1277,采购单!$C:$C,$H1277,采购单!$L:$L,$K1277)&gt;0),"※这笔可能和采购单重复了",""))))))))))</f>
        <v/>
      </c>
    </row>
    <row r="1278">
      <c r="A1278" s="17">
        <f>IF($B1278="","",ROW()-3)</f>
        <v/>
      </c>
      <c r="B1278" s="18" t="n"/>
      <c r="C1278" s="13" t="n"/>
      <c r="D1278" s="13" t="n"/>
      <c r="E1278" s="13" t="n"/>
      <c r="F1278" s="17">
        <f>IF($E1278="","",IFERROR(VLOOKUP($E1278,类别归属,2,0),"※类别不在基础资料里"))</f>
        <v/>
      </c>
      <c r="G1278" s="13" t="n"/>
      <c r="H1278" s="13" t="n"/>
      <c r="I1278" s="13" t="n"/>
      <c r="J1278" s="14" t="n"/>
      <c r="K1278" s="14" t="n"/>
      <c r="L1278" s="19">
        <f>IF($C1278="","",ROUND(IFERROR(VLOOKUP($C1278,账户期初,2,0),0)+SUMIFS($J$4:J1278,$C$4:C1278,$C1278)-SUMIFS($K$4:K1278,$C$4:C1278,$C1278),2))</f>
        <v/>
      </c>
      <c r="M1278" s="19">
        <f>IF($C1278="","",ROUND(SUM(基础资料!$B$4:$B$13)+SUM($J$4:J1278)-SUM($K$4:K1278),2))</f>
        <v/>
      </c>
      <c r="N1278" s="13" t="n"/>
      <c r="O1278" s="13" t="n"/>
      <c r="P1278" s="17">
        <f>IF($B1278="","",IF($F1278="※类别不在基础资料里","※费用类别不在基础资料里",IF(AND(N($J1278)=0,N($K1278)=0),"※这行没填金额",IF(AND(N($J1278)&gt;0,N($K1278)&gt;0),"※收入和支出不能同一行都填",IF(AND($D1278="收入",N($J1278)=0),"※收入行要填收入金额",IF(AND($D1278="支出",N($K1278)=0),"※支出行要填支出金额",IF(AND($C1278&lt;&gt;"",ISNA(MATCH($C1278,账户表,0))),"※账户不在基础资料里",IF(AND($G1278&lt;&gt;"",ISNA(MATCH($G1278,项目名表,0))),"※项目不在项目台账里",IF(AND(LEFT($F1278,3)="成本-",$G1278=""),"※成本类支出没填项目",IF(AND(LEFT($F1278,3)="成本-",$H1278&lt;&gt;"",N($K1278)&gt;0,COUNTIFS(采购单!$B:$B,$B1278,采购单!$C:$C,$H1278,采购单!$L:$L,$K1278)&gt;0),"※这笔可能和采购单重复了",""))))))))))</f>
        <v/>
      </c>
    </row>
    <row r="1279">
      <c r="A1279" s="17">
        <f>IF($B1279="","",ROW()-3)</f>
        <v/>
      </c>
      <c r="B1279" s="18" t="n"/>
      <c r="C1279" s="13" t="n"/>
      <c r="D1279" s="13" t="n"/>
      <c r="E1279" s="13" t="n"/>
      <c r="F1279" s="17">
        <f>IF($E1279="","",IFERROR(VLOOKUP($E1279,类别归属,2,0),"※类别不在基础资料里"))</f>
        <v/>
      </c>
      <c r="G1279" s="13" t="n"/>
      <c r="H1279" s="13" t="n"/>
      <c r="I1279" s="13" t="n"/>
      <c r="J1279" s="14" t="n"/>
      <c r="K1279" s="14" t="n"/>
      <c r="L1279" s="19">
        <f>IF($C1279="","",ROUND(IFERROR(VLOOKUP($C1279,账户期初,2,0),0)+SUMIFS($J$4:J1279,$C$4:C1279,$C1279)-SUMIFS($K$4:K1279,$C$4:C1279,$C1279),2))</f>
        <v/>
      </c>
      <c r="M1279" s="19">
        <f>IF($C1279="","",ROUND(SUM(基础资料!$B$4:$B$13)+SUM($J$4:J1279)-SUM($K$4:K1279),2))</f>
        <v/>
      </c>
      <c r="N1279" s="13" t="n"/>
      <c r="O1279" s="13" t="n"/>
      <c r="P1279" s="17">
        <f>IF($B1279="","",IF($F1279="※类别不在基础资料里","※费用类别不在基础资料里",IF(AND(N($J1279)=0,N($K1279)=0),"※这行没填金额",IF(AND(N($J1279)&gt;0,N($K1279)&gt;0),"※收入和支出不能同一行都填",IF(AND($D1279="收入",N($J1279)=0),"※收入行要填收入金额",IF(AND($D1279="支出",N($K1279)=0),"※支出行要填支出金额",IF(AND($C1279&lt;&gt;"",ISNA(MATCH($C1279,账户表,0))),"※账户不在基础资料里",IF(AND($G1279&lt;&gt;"",ISNA(MATCH($G1279,项目名表,0))),"※项目不在项目台账里",IF(AND(LEFT($F1279,3)="成本-",$G1279=""),"※成本类支出没填项目",IF(AND(LEFT($F1279,3)="成本-",$H1279&lt;&gt;"",N($K1279)&gt;0,COUNTIFS(采购单!$B:$B,$B1279,采购单!$C:$C,$H1279,采购单!$L:$L,$K1279)&gt;0),"※这笔可能和采购单重复了",""))))))))))</f>
        <v/>
      </c>
    </row>
    <row r="1280">
      <c r="A1280" s="17">
        <f>IF($B1280="","",ROW()-3)</f>
        <v/>
      </c>
      <c r="B1280" s="18" t="n"/>
      <c r="C1280" s="13" t="n"/>
      <c r="D1280" s="13" t="n"/>
      <c r="E1280" s="13" t="n"/>
      <c r="F1280" s="17">
        <f>IF($E1280="","",IFERROR(VLOOKUP($E1280,类别归属,2,0),"※类别不在基础资料里"))</f>
        <v/>
      </c>
      <c r="G1280" s="13" t="n"/>
      <c r="H1280" s="13" t="n"/>
      <c r="I1280" s="13" t="n"/>
      <c r="J1280" s="14" t="n"/>
      <c r="K1280" s="14" t="n"/>
      <c r="L1280" s="19">
        <f>IF($C1280="","",ROUND(IFERROR(VLOOKUP($C1280,账户期初,2,0),0)+SUMIFS($J$4:J1280,$C$4:C1280,$C1280)-SUMIFS($K$4:K1280,$C$4:C1280,$C1280),2))</f>
        <v/>
      </c>
      <c r="M1280" s="19">
        <f>IF($C1280="","",ROUND(SUM(基础资料!$B$4:$B$13)+SUM($J$4:J1280)-SUM($K$4:K1280),2))</f>
        <v/>
      </c>
      <c r="N1280" s="13" t="n"/>
      <c r="O1280" s="13" t="n"/>
      <c r="P1280" s="17">
        <f>IF($B1280="","",IF($F1280="※类别不在基础资料里","※费用类别不在基础资料里",IF(AND(N($J1280)=0,N($K1280)=0),"※这行没填金额",IF(AND(N($J1280)&gt;0,N($K1280)&gt;0),"※收入和支出不能同一行都填",IF(AND($D1280="收入",N($J1280)=0),"※收入行要填收入金额",IF(AND($D1280="支出",N($K1280)=0),"※支出行要填支出金额",IF(AND($C1280&lt;&gt;"",ISNA(MATCH($C1280,账户表,0))),"※账户不在基础资料里",IF(AND($G1280&lt;&gt;"",ISNA(MATCH($G1280,项目名表,0))),"※项目不在项目台账里",IF(AND(LEFT($F1280,3)="成本-",$G1280=""),"※成本类支出没填项目",IF(AND(LEFT($F1280,3)="成本-",$H1280&lt;&gt;"",N($K1280)&gt;0,COUNTIFS(采购单!$B:$B,$B1280,采购单!$C:$C,$H1280,采购单!$L:$L,$K1280)&gt;0),"※这笔可能和采购单重复了",""))))))))))</f>
        <v/>
      </c>
    </row>
    <row r="1281">
      <c r="A1281" s="17">
        <f>IF($B1281="","",ROW()-3)</f>
        <v/>
      </c>
      <c r="B1281" s="18" t="n"/>
      <c r="C1281" s="13" t="n"/>
      <c r="D1281" s="13" t="n"/>
      <c r="E1281" s="13" t="n"/>
      <c r="F1281" s="17">
        <f>IF($E1281="","",IFERROR(VLOOKUP($E1281,类别归属,2,0),"※类别不在基础资料里"))</f>
        <v/>
      </c>
      <c r="G1281" s="13" t="n"/>
      <c r="H1281" s="13" t="n"/>
      <c r="I1281" s="13" t="n"/>
      <c r="J1281" s="14" t="n"/>
      <c r="K1281" s="14" t="n"/>
      <c r="L1281" s="19">
        <f>IF($C1281="","",ROUND(IFERROR(VLOOKUP($C1281,账户期初,2,0),0)+SUMIFS($J$4:J1281,$C$4:C1281,$C1281)-SUMIFS($K$4:K1281,$C$4:C1281,$C1281),2))</f>
        <v/>
      </c>
      <c r="M1281" s="19">
        <f>IF($C1281="","",ROUND(SUM(基础资料!$B$4:$B$13)+SUM($J$4:J1281)-SUM($K$4:K1281),2))</f>
        <v/>
      </c>
      <c r="N1281" s="13" t="n"/>
      <c r="O1281" s="13" t="n"/>
      <c r="P1281" s="17">
        <f>IF($B1281="","",IF($F1281="※类别不在基础资料里","※费用类别不在基础资料里",IF(AND(N($J1281)=0,N($K1281)=0),"※这行没填金额",IF(AND(N($J1281)&gt;0,N($K1281)&gt;0),"※收入和支出不能同一行都填",IF(AND($D1281="收入",N($J1281)=0),"※收入行要填收入金额",IF(AND($D1281="支出",N($K1281)=0),"※支出行要填支出金额",IF(AND($C1281&lt;&gt;"",ISNA(MATCH($C1281,账户表,0))),"※账户不在基础资料里",IF(AND($G1281&lt;&gt;"",ISNA(MATCH($G1281,项目名表,0))),"※项目不在项目台账里",IF(AND(LEFT($F1281,3)="成本-",$G1281=""),"※成本类支出没填项目",IF(AND(LEFT($F1281,3)="成本-",$H1281&lt;&gt;"",N($K1281)&gt;0,COUNTIFS(采购单!$B:$B,$B1281,采购单!$C:$C,$H1281,采购单!$L:$L,$K1281)&gt;0),"※这笔可能和采购单重复了",""))))))))))</f>
        <v/>
      </c>
    </row>
    <row r="1282">
      <c r="A1282" s="17">
        <f>IF($B1282="","",ROW()-3)</f>
        <v/>
      </c>
      <c r="B1282" s="18" t="n"/>
      <c r="C1282" s="13" t="n"/>
      <c r="D1282" s="13" t="n"/>
      <c r="E1282" s="13" t="n"/>
      <c r="F1282" s="17">
        <f>IF($E1282="","",IFERROR(VLOOKUP($E1282,类别归属,2,0),"※类别不在基础资料里"))</f>
        <v/>
      </c>
      <c r="G1282" s="13" t="n"/>
      <c r="H1282" s="13" t="n"/>
      <c r="I1282" s="13" t="n"/>
      <c r="J1282" s="14" t="n"/>
      <c r="K1282" s="14" t="n"/>
      <c r="L1282" s="19">
        <f>IF($C1282="","",ROUND(IFERROR(VLOOKUP($C1282,账户期初,2,0),0)+SUMIFS($J$4:J1282,$C$4:C1282,$C1282)-SUMIFS($K$4:K1282,$C$4:C1282,$C1282),2))</f>
        <v/>
      </c>
      <c r="M1282" s="19">
        <f>IF($C1282="","",ROUND(SUM(基础资料!$B$4:$B$13)+SUM($J$4:J1282)-SUM($K$4:K1282),2))</f>
        <v/>
      </c>
      <c r="N1282" s="13" t="n"/>
      <c r="O1282" s="13" t="n"/>
      <c r="P1282" s="17">
        <f>IF($B1282="","",IF($F1282="※类别不在基础资料里","※费用类别不在基础资料里",IF(AND(N($J1282)=0,N($K1282)=0),"※这行没填金额",IF(AND(N($J1282)&gt;0,N($K1282)&gt;0),"※收入和支出不能同一行都填",IF(AND($D1282="收入",N($J1282)=0),"※收入行要填收入金额",IF(AND($D1282="支出",N($K1282)=0),"※支出行要填支出金额",IF(AND($C1282&lt;&gt;"",ISNA(MATCH($C1282,账户表,0))),"※账户不在基础资料里",IF(AND($G1282&lt;&gt;"",ISNA(MATCH($G1282,项目名表,0))),"※项目不在项目台账里",IF(AND(LEFT($F1282,3)="成本-",$G1282=""),"※成本类支出没填项目",IF(AND(LEFT($F1282,3)="成本-",$H1282&lt;&gt;"",N($K1282)&gt;0,COUNTIFS(采购单!$B:$B,$B1282,采购单!$C:$C,$H1282,采购单!$L:$L,$K1282)&gt;0),"※这笔可能和采购单重复了",""))))))))))</f>
        <v/>
      </c>
    </row>
    <row r="1283">
      <c r="A1283" s="17">
        <f>IF($B1283="","",ROW()-3)</f>
        <v/>
      </c>
      <c r="B1283" s="18" t="n"/>
      <c r="C1283" s="13" t="n"/>
      <c r="D1283" s="13" t="n"/>
      <c r="E1283" s="13" t="n"/>
      <c r="F1283" s="17">
        <f>IF($E1283="","",IFERROR(VLOOKUP($E1283,类别归属,2,0),"※类别不在基础资料里"))</f>
        <v/>
      </c>
      <c r="G1283" s="13" t="n"/>
      <c r="H1283" s="13" t="n"/>
      <c r="I1283" s="13" t="n"/>
      <c r="J1283" s="14" t="n"/>
      <c r="K1283" s="14" t="n"/>
      <c r="L1283" s="19">
        <f>IF($C1283="","",ROUND(IFERROR(VLOOKUP($C1283,账户期初,2,0),0)+SUMIFS($J$4:J1283,$C$4:C1283,$C1283)-SUMIFS($K$4:K1283,$C$4:C1283,$C1283),2))</f>
        <v/>
      </c>
      <c r="M1283" s="19">
        <f>IF($C1283="","",ROUND(SUM(基础资料!$B$4:$B$13)+SUM($J$4:J1283)-SUM($K$4:K1283),2))</f>
        <v/>
      </c>
      <c r="N1283" s="13" t="n"/>
      <c r="O1283" s="13" t="n"/>
      <c r="P1283" s="17">
        <f>IF($B1283="","",IF($F1283="※类别不在基础资料里","※费用类别不在基础资料里",IF(AND(N($J1283)=0,N($K1283)=0),"※这行没填金额",IF(AND(N($J1283)&gt;0,N($K1283)&gt;0),"※收入和支出不能同一行都填",IF(AND($D1283="收入",N($J1283)=0),"※收入行要填收入金额",IF(AND($D1283="支出",N($K1283)=0),"※支出行要填支出金额",IF(AND($C1283&lt;&gt;"",ISNA(MATCH($C1283,账户表,0))),"※账户不在基础资料里",IF(AND($G1283&lt;&gt;"",ISNA(MATCH($G1283,项目名表,0))),"※项目不在项目台账里",IF(AND(LEFT($F1283,3)="成本-",$G1283=""),"※成本类支出没填项目",IF(AND(LEFT($F1283,3)="成本-",$H1283&lt;&gt;"",N($K1283)&gt;0,COUNTIFS(采购单!$B:$B,$B1283,采购单!$C:$C,$H1283,采购单!$L:$L,$K1283)&gt;0),"※这笔可能和采购单重复了",""))))))))))</f>
        <v/>
      </c>
    </row>
    <row r="1284">
      <c r="A1284" s="17">
        <f>IF($B1284="","",ROW()-3)</f>
        <v/>
      </c>
      <c r="B1284" s="18" t="n"/>
      <c r="C1284" s="13" t="n"/>
      <c r="D1284" s="13" t="n"/>
      <c r="E1284" s="13" t="n"/>
      <c r="F1284" s="17">
        <f>IF($E1284="","",IFERROR(VLOOKUP($E1284,类别归属,2,0),"※类别不在基础资料里"))</f>
        <v/>
      </c>
      <c r="G1284" s="13" t="n"/>
      <c r="H1284" s="13" t="n"/>
      <c r="I1284" s="13" t="n"/>
      <c r="J1284" s="14" t="n"/>
      <c r="K1284" s="14" t="n"/>
      <c r="L1284" s="19">
        <f>IF($C1284="","",ROUND(IFERROR(VLOOKUP($C1284,账户期初,2,0),0)+SUMIFS($J$4:J1284,$C$4:C1284,$C1284)-SUMIFS($K$4:K1284,$C$4:C1284,$C1284),2))</f>
        <v/>
      </c>
      <c r="M1284" s="19">
        <f>IF($C1284="","",ROUND(SUM(基础资料!$B$4:$B$13)+SUM($J$4:J1284)-SUM($K$4:K1284),2))</f>
        <v/>
      </c>
      <c r="N1284" s="13" t="n"/>
      <c r="O1284" s="13" t="n"/>
      <c r="P1284" s="17">
        <f>IF($B1284="","",IF($F1284="※类别不在基础资料里","※费用类别不在基础资料里",IF(AND(N($J1284)=0,N($K1284)=0),"※这行没填金额",IF(AND(N($J1284)&gt;0,N($K1284)&gt;0),"※收入和支出不能同一行都填",IF(AND($D1284="收入",N($J1284)=0),"※收入行要填收入金额",IF(AND($D1284="支出",N($K1284)=0),"※支出行要填支出金额",IF(AND($C1284&lt;&gt;"",ISNA(MATCH($C1284,账户表,0))),"※账户不在基础资料里",IF(AND($G1284&lt;&gt;"",ISNA(MATCH($G1284,项目名表,0))),"※项目不在项目台账里",IF(AND(LEFT($F1284,3)="成本-",$G1284=""),"※成本类支出没填项目",IF(AND(LEFT($F1284,3)="成本-",$H1284&lt;&gt;"",N($K1284)&gt;0,COUNTIFS(采购单!$B:$B,$B1284,采购单!$C:$C,$H1284,采购单!$L:$L,$K1284)&gt;0),"※这笔可能和采购单重复了",""))))))))))</f>
        <v/>
      </c>
    </row>
    <row r="1285">
      <c r="A1285" s="17">
        <f>IF($B1285="","",ROW()-3)</f>
        <v/>
      </c>
      <c r="B1285" s="18" t="n"/>
      <c r="C1285" s="13" t="n"/>
      <c r="D1285" s="13" t="n"/>
      <c r="E1285" s="13" t="n"/>
      <c r="F1285" s="17">
        <f>IF($E1285="","",IFERROR(VLOOKUP($E1285,类别归属,2,0),"※类别不在基础资料里"))</f>
        <v/>
      </c>
      <c r="G1285" s="13" t="n"/>
      <c r="H1285" s="13" t="n"/>
      <c r="I1285" s="13" t="n"/>
      <c r="J1285" s="14" t="n"/>
      <c r="K1285" s="14" t="n"/>
      <c r="L1285" s="19">
        <f>IF($C1285="","",ROUND(IFERROR(VLOOKUP($C1285,账户期初,2,0),0)+SUMIFS($J$4:J1285,$C$4:C1285,$C1285)-SUMIFS($K$4:K1285,$C$4:C1285,$C1285),2))</f>
        <v/>
      </c>
      <c r="M1285" s="19">
        <f>IF($C1285="","",ROUND(SUM(基础资料!$B$4:$B$13)+SUM($J$4:J1285)-SUM($K$4:K1285),2))</f>
        <v/>
      </c>
      <c r="N1285" s="13" t="n"/>
      <c r="O1285" s="13" t="n"/>
      <c r="P1285" s="17">
        <f>IF($B1285="","",IF($F1285="※类别不在基础资料里","※费用类别不在基础资料里",IF(AND(N($J1285)=0,N($K1285)=0),"※这行没填金额",IF(AND(N($J1285)&gt;0,N($K1285)&gt;0),"※收入和支出不能同一行都填",IF(AND($D1285="收入",N($J1285)=0),"※收入行要填收入金额",IF(AND($D1285="支出",N($K1285)=0),"※支出行要填支出金额",IF(AND($C1285&lt;&gt;"",ISNA(MATCH($C1285,账户表,0))),"※账户不在基础资料里",IF(AND($G1285&lt;&gt;"",ISNA(MATCH($G1285,项目名表,0))),"※项目不在项目台账里",IF(AND(LEFT($F1285,3)="成本-",$G1285=""),"※成本类支出没填项目",IF(AND(LEFT($F1285,3)="成本-",$H1285&lt;&gt;"",N($K1285)&gt;0,COUNTIFS(采购单!$B:$B,$B1285,采购单!$C:$C,$H1285,采购单!$L:$L,$K1285)&gt;0),"※这笔可能和采购单重复了",""))))))))))</f>
        <v/>
      </c>
    </row>
    <row r="1286">
      <c r="A1286" s="17">
        <f>IF($B1286="","",ROW()-3)</f>
        <v/>
      </c>
      <c r="B1286" s="18" t="n"/>
      <c r="C1286" s="13" t="n"/>
      <c r="D1286" s="13" t="n"/>
      <c r="E1286" s="13" t="n"/>
      <c r="F1286" s="17">
        <f>IF($E1286="","",IFERROR(VLOOKUP($E1286,类别归属,2,0),"※类别不在基础资料里"))</f>
        <v/>
      </c>
      <c r="G1286" s="13" t="n"/>
      <c r="H1286" s="13" t="n"/>
      <c r="I1286" s="13" t="n"/>
      <c r="J1286" s="14" t="n"/>
      <c r="K1286" s="14" t="n"/>
      <c r="L1286" s="19">
        <f>IF($C1286="","",ROUND(IFERROR(VLOOKUP($C1286,账户期初,2,0),0)+SUMIFS($J$4:J1286,$C$4:C1286,$C1286)-SUMIFS($K$4:K1286,$C$4:C1286,$C1286),2))</f>
        <v/>
      </c>
      <c r="M1286" s="19">
        <f>IF($C1286="","",ROUND(SUM(基础资料!$B$4:$B$13)+SUM($J$4:J1286)-SUM($K$4:K1286),2))</f>
        <v/>
      </c>
      <c r="N1286" s="13" t="n"/>
      <c r="O1286" s="13" t="n"/>
      <c r="P1286" s="17">
        <f>IF($B1286="","",IF($F1286="※类别不在基础资料里","※费用类别不在基础资料里",IF(AND(N($J1286)=0,N($K1286)=0),"※这行没填金额",IF(AND(N($J1286)&gt;0,N($K1286)&gt;0),"※收入和支出不能同一行都填",IF(AND($D1286="收入",N($J1286)=0),"※收入行要填收入金额",IF(AND($D1286="支出",N($K1286)=0),"※支出行要填支出金额",IF(AND($C1286&lt;&gt;"",ISNA(MATCH($C1286,账户表,0))),"※账户不在基础资料里",IF(AND($G1286&lt;&gt;"",ISNA(MATCH($G1286,项目名表,0))),"※项目不在项目台账里",IF(AND(LEFT($F1286,3)="成本-",$G1286=""),"※成本类支出没填项目",IF(AND(LEFT($F1286,3)="成本-",$H1286&lt;&gt;"",N($K1286)&gt;0,COUNTIFS(采购单!$B:$B,$B1286,采购单!$C:$C,$H1286,采购单!$L:$L,$K1286)&gt;0),"※这笔可能和采购单重复了",""))))))))))</f>
        <v/>
      </c>
    </row>
    <row r="1287">
      <c r="A1287" s="17">
        <f>IF($B1287="","",ROW()-3)</f>
        <v/>
      </c>
      <c r="B1287" s="18" t="n"/>
      <c r="C1287" s="13" t="n"/>
      <c r="D1287" s="13" t="n"/>
      <c r="E1287" s="13" t="n"/>
      <c r="F1287" s="17">
        <f>IF($E1287="","",IFERROR(VLOOKUP($E1287,类别归属,2,0),"※类别不在基础资料里"))</f>
        <v/>
      </c>
      <c r="G1287" s="13" t="n"/>
      <c r="H1287" s="13" t="n"/>
      <c r="I1287" s="13" t="n"/>
      <c r="J1287" s="14" t="n"/>
      <c r="K1287" s="14" t="n"/>
      <c r="L1287" s="19">
        <f>IF($C1287="","",ROUND(IFERROR(VLOOKUP($C1287,账户期初,2,0),0)+SUMIFS($J$4:J1287,$C$4:C1287,$C1287)-SUMIFS($K$4:K1287,$C$4:C1287,$C1287),2))</f>
        <v/>
      </c>
      <c r="M1287" s="19">
        <f>IF($C1287="","",ROUND(SUM(基础资料!$B$4:$B$13)+SUM($J$4:J1287)-SUM($K$4:K1287),2))</f>
        <v/>
      </c>
      <c r="N1287" s="13" t="n"/>
      <c r="O1287" s="13" t="n"/>
      <c r="P1287" s="17">
        <f>IF($B1287="","",IF($F1287="※类别不在基础资料里","※费用类别不在基础资料里",IF(AND(N($J1287)=0,N($K1287)=0),"※这行没填金额",IF(AND(N($J1287)&gt;0,N($K1287)&gt;0),"※收入和支出不能同一行都填",IF(AND($D1287="收入",N($J1287)=0),"※收入行要填收入金额",IF(AND($D1287="支出",N($K1287)=0),"※支出行要填支出金额",IF(AND($C1287&lt;&gt;"",ISNA(MATCH($C1287,账户表,0))),"※账户不在基础资料里",IF(AND($G1287&lt;&gt;"",ISNA(MATCH($G1287,项目名表,0))),"※项目不在项目台账里",IF(AND(LEFT($F1287,3)="成本-",$G1287=""),"※成本类支出没填项目",IF(AND(LEFT($F1287,3)="成本-",$H1287&lt;&gt;"",N($K1287)&gt;0,COUNTIFS(采购单!$B:$B,$B1287,采购单!$C:$C,$H1287,采购单!$L:$L,$K1287)&gt;0),"※这笔可能和采购单重复了",""))))))))))</f>
        <v/>
      </c>
    </row>
    <row r="1288">
      <c r="A1288" s="17">
        <f>IF($B1288="","",ROW()-3)</f>
        <v/>
      </c>
      <c r="B1288" s="18" t="n"/>
      <c r="C1288" s="13" t="n"/>
      <c r="D1288" s="13" t="n"/>
      <c r="E1288" s="13" t="n"/>
      <c r="F1288" s="17">
        <f>IF($E1288="","",IFERROR(VLOOKUP($E1288,类别归属,2,0),"※类别不在基础资料里"))</f>
        <v/>
      </c>
      <c r="G1288" s="13" t="n"/>
      <c r="H1288" s="13" t="n"/>
      <c r="I1288" s="13" t="n"/>
      <c r="J1288" s="14" t="n"/>
      <c r="K1288" s="14" t="n"/>
      <c r="L1288" s="19">
        <f>IF($C1288="","",ROUND(IFERROR(VLOOKUP($C1288,账户期初,2,0),0)+SUMIFS($J$4:J1288,$C$4:C1288,$C1288)-SUMIFS($K$4:K1288,$C$4:C1288,$C1288),2))</f>
        <v/>
      </c>
      <c r="M1288" s="19">
        <f>IF($C1288="","",ROUND(SUM(基础资料!$B$4:$B$13)+SUM($J$4:J1288)-SUM($K$4:K1288),2))</f>
        <v/>
      </c>
      <c r="N1288" s="13" t="n"/>
      <c r="O1288" s="13" t="n"/>
      <c r="P1288" s="17">
        <f>IF($B1288="","",IF($F1288="※类别不在基础资料里","※费用类别不在基础资料里",IF(AND(N($J1288)=0,N($K1288)=0),"※这行没填金额",IF(AND(N($J1288)&gt;0,N($K1288)&gt;0),"※收入和支出不能同一行都填",IF(AND($D1288="收入",N($J1288)=0),"※收入行要填收入金额",IF(AND($D1288="支出",N($K1288)=0),"※支出行要填支出金额",IF(AND($C1288&lt;&gt;"",ISNA(MATCH($C1288,账户表,0))),"※账户不在基础资料里",IF(AND($G1288&lt;&gt;"",ISNA(MATCH($G1288,项目名表,0))),"※项目不在项目台账里",IF(AND(LEFT($F1288,3)="成本-",$G1288=""),"※成本类支出没填项目",IF(AND(LEFT($F1288,3)="成本-",$H1288&lt;&gt;"",N($K1288)&gt;0,COUNTIFS(采购单!$B:$B,$B1288,采购单!$C:$C,$H1288,采购单!$L:$L,$K1288)&gt;0),"※这笔可能和采购单重复了",""))))))))))</f>
        <v/>
      </c>
    </row>
    <row r="1289">
      <c r="A1289" s="17">
        <f>IF($B1289="","",ROW()-3)</f>
        <v/>
      </c>
      <c r="B1289" s="18" t="n"/>
      <c r="C1289" s="13" t="n"/>
      <c r="D1289" s="13" t="n"/>
      <c r="E1289" s="13" t="n"/>
      <c r="F1289" s="17">
        <f>IF($E1289="","",IFERROR(VLOOKUP($E1289,类别归属,2,0),"※类别不在基础资料里"))</f>
        <v/>
      </c>
      <c r="G1289" s="13" t="n"/>
      <c r="H1289" s="13" t="n"/>
      <c r="I1289" s="13" t="n"/>
      <c r="J1289" s="14" t="n"/>
      <c r="K1289" s="14" t="n"/>
      <c r="L1289" s="19">
        <f>IF($C1289="","",ROUND(IFERROR(VLOOKUP($C1289,账户期初,2,0),0)+SUMIFS($J$4:J1289,$C$4:C1289,$C1289)-SUMIFS($K$4:K1289,$C$4:C1289,$C1289),2))</f>
        <v/>
      </c>
      <c r="M1289" s="19">
        <f>IF($C1289="","",ROUND(SUM(基础资料!$B$4:$B$13)+SUM($J$4:J1289)-SUM($K$4:K1289),2))</f>
        <v/>
      </c>
      <c r="N1289" s="13" t="n"/>
      <c r="O1289" s="13" t="n"/>
      <c r="P1289" s="17">
        <f>IF($B1289="","",IF($F1289="※类别不在基础资料里","※费用类别不在基础资料里",IF(AND(N($J1289)=0,N($K1289)=0),"※这行没填金额",IF(AND(N($J1289)&gt;0,N($K1289)&gt;0),"※收入和支出不能同一行都填",IF(AND($D1289="收入",N($J1289)=0),"※收入行要填收入金额",IF(AND($D1289="支出",N($K1289)=0),"※支出行要填支出金额",IF(AND($C1289&lt;&gt;"",ISNA(MATCH($C1289,账户表,0))),"※账户不在基础资料里",IF(AND($G1289&lt;&gt;"",ISNA(MATCH($G1289,项目名表,0))),"※项目不在项目台账里",IF(AND(LEFT($F1289,3)="成本-",$G1289=""),"※成本类支出没填项目",IF(AND(LEFT($F1289,3)="成本-",$H1289&lt;&gt;"",N($K1289)&gt;0,COUNTIFS(采购单!$B:$B,$B1289,采购单!$C:$C,$H1289,采购单!$L:$L,$K1289)&gt;0),"※这笔可能和采购单重复了",""))))))))))</f>
        <v/>
      </c>
    </row>
    <row r="1290">
      <c r="A1290" s="17">
        <f>IF($B1290="","",ROW()-3)</f>
        <v/>
      </c>
      <c r="B1290" s="18" t="n"/>
      <c r="C1290" s="13" t="n"/>
      <c r="D1290" s="13" t="n"/>
      <c r="E1290" s="13" t="n"/>
      <c r="F1290" s="17">
        <f>IF($E1290="","",IFERROR(VLOOKUP($E1290,类别归属,2,0),"※类别不在基础资料里"))</f>
        <v/>
      </c>
      <c r="G1290" s="13" t="n"/>
      <c r="H1290" s="13" t="n"/>
      <c r="I1290" s="13" t="n"/>
      <c r="J1290" s="14" t="n"/>
      <c r="K1290" s="14" t="n"/>
      <c r="L1290" s="19">
        <f>IF($C1290="","",ROUND(IFERROR(VLOOKUP($C1290,账户期初,2,0),0)+SUMIFS($J$4:J1290,$C$4:C1290,$C1290)-SUMIFS($K$4:K1290,$C$4:C1290,$C1290),2))</f>
        <v/>
      </c>
      <c r="M1290" s="19">
        <f>IF($C1290="","",ROUND(SUM(基础资料!$B$4:$B$13)+SUM($J$4:J1290)-SUM($K$4:K1290),2))</f>
        <v/>
      </c>
      <c r="N1290" s="13" t="n"/>
      <c r="O1290" s="13" t="n"/>
      <c r="P1290" s="17">
        <f>IF($B1290="","",IF($F1290="※类别不在基础资料里","※费用类别不在基础资料里",IF(AND(N($J1290)=0,N($K1290)=0),"※这行没填金额",IF(AND(N($J1290)&gt;0,N($K1290)&gt;0),"※收入和支出不能同一行都填",IF(AND($D1290="收入",N($J1290)=0),"※收入行要填收入金额",IF(AND($D1290="支出",N($K1290)=0),"※支出行要填支出金额",IF(AND($C1290&lt;&gt;"",ISNA(MATCH($C1290,账户表,0))),"※账户不在基础资料里",IF(AND($G1290&lt;&gt;"",ISNA(MATCH($G1290,项目名表,0))),"※项目不在项目台账里",IF(AND(LEFT($F1290,3)="成本-",$G1290=""),"※成本类支出没填项目",IF(AND(LEFT($F1290,3)="成本-",$H1290&lt;&gt;"",N($K1290)&gt;0,COUNTIFS(采购单!$B:$B,$B1290,采购单!$C:$C,$H1290,采购单!$L:$L,$K1290)&gt;0),"※这笔可能和采购单重复了",""))))))))))</f>
        <v/>
      </c>
    </row>
    <row r="1291">
      <c r="A1291" s="17">
        <f>IF($B1291="","",ROW()-3)</f>
        <v/>
      </c>
      <c r="B1291" s="18" t="n"/>
      <c r="C1291" s="13" t="n"/>
      <c r="D1291" s="13" t="n"/>
      <c r="E1291" s="13" t="n"/>
      <c r="F1291" s="17">
        <f>IF($E1291="","",IFERROR(VLOOKUP($E1291,类别归属,2,0),"※类别不在基础资料里"))</f>
        <v/>
      </c>
      <c r="G1291" s="13" t="n"/>
      <c r="H1291" s="13" t="n"/>
      <c r="I1291" s="13" t="n"/>
      <c r="J1291" s="14" t="n"/>
      <c r="K1291" s="14" t="n"/>
      <c r="L1291" s="19">
        <f>IF($C1291="","",ROUND(IFERROR(VLOOKUP($C1291,账户期初,2,0),0)+SUMIFS($J$4:J1291,$C$4:C1291,$C1291)-SUMIFS($K$4:K1291,$C$4:C1291,$C1291),2))</f>
        <v/>
      </c>
      <c r="M1291" s="19">
        <f>IF($C1291="","",ROUND(SUM(基础资料!$B$4:$B$13)+SUM($J$4:J1291)-SUM($K$4:K1291),2))</f>
        <v/>
      </c>
      <c r="N1291" s="13" t="n"/>
      <c r="O1291" s="13" t="n"/>
      <c r="P1291" s="17">
        <f>IF($B1291="","",IF($F1291="※类别不在基础资料里","※费用类别不在基础资料里",IF(AND(N($J1291)=0,N($K1291)=0),"※这行没填金额",IF(AND(N($J1291)&gt;0,N($K1291)&gt;0),"※收入和支出不能同一行都填",IF(AND($D1291="收入",N($J1291)=0),"※收入行要填收入金额",IF(AND($D1291="支出",N($K1291)=0),"※支出行要填支出金额",IF(AND($C1291&lt;&gt;"",ISNA(MATCH($C1291,账户表,0))),"※账户不在基础资料里",IF(AND($G1291&lt;&gt;"",ISNA(MATCH($G1291,项目名表,0))),"※项目不在项目台账里",IF(AND(LEFT($F1291,3)="成本-",$G1291=""),"※成本类支出没填项目",IF(AND(LEFT($F1291,3)="成本-",$H1291&lt;&gt;"",N($K1291)&gt;0,COUNTIFS(采购单!$B:$B,$B1291,采购单!$C:$C,$H1291,采购单!$L:$L,$K1291)&gt;0),"※这笔可能和采购单重复了",""))))))))))</f>
        <v/>
      </c>
    </row>
    <row r="1292">
      <c r="A1292" s="17">
        <f>IF($B1292="","",ROW()-3)</f>
        <v/>
      </c>
      <c r="B1292" s="18" t="n"/>
      <c r="C1292" s="13" t="n"/>
      <c r="D1292" s="13" t="n"/>
      <c r="E1292" s="13" t="n"/>
      <c r="F1292" s="17">
        <f>IF($E1292="","",IFERROR(VLOOKUP($E1292,类别归属,2,0),"※类别不在基础资料里"))</f>
        <v/>
      </c>
      <c r="G1292" s="13" t="n"/>
      <c r="H1292" s="13" t="n"/>
      <c r="I1292" s="13" t="n"/>
      <c r="J1292" s="14" t="n"/>
      <c r="K1292" s="14" t="n"/>
      <c r="L1292" s="19">
        <f>IF($C1292="","",ROUND(IFERROR(VLOOKUP($C1292,账户期初,2,0),0)+SUMIFS($J$4:J1292,$C$4:C1292,$C1292)-SUMIFS($K$4:K1292,$C$4:C1292,$C1292),2))</f>
        <v/>
      </c>
      <c r="M1292" s="19">
        <f>IF($C1292="","",ROUND(SUM(基础资料!$B$4:$B$13)+SUM($J$4:J1292)-SUM($K$4:K1292),2))</f>
        <v/>
      </c>
      <c r="N1292" s="13" t="n"/>
      <c r="O1292" s="13" t="n"/>
      <c r="P1292" s="17">
        <f>IF($B1292="","",IF($F1292="※类别不在基础资料里","※费用类别不在基础资料里",IF(AND(N($J1292)=0,N($K1292)=0),"※这行没填金额",IF(AND(N($J1292)&gt;0,N($K1292)&gt;0),"※收入和支出不能同一行都填",IF(AND($D1292="收入",N($J1292)=0),"※收入行要填收入金额",IF(AND($D1292="支出",N($K1292)=0),"※支出行要填支出金额",IF(AND($C1292&lt;&gt;"",ISNA(MATCH($C1292,账户表,0))),"※账户不在基础资料里",IF(AND($G1292&lt;&gt;"",ISNA(MATCH($G1292,项目名表,0))),"※项目不在项目台账里",IF(AND(LEFT($F1292,3)="成本-",$G1292=""),"※成本类支出没填项目",IF(AND(LEFT($F1292,3)="成本-",$H1292&lt;&gt;"",N($K1292)&gt;0,COUNTIFS(采购单!$B:$B,$B1292,采购单!$C:$C,$H1292,采购单!$L:$L,$K1292)&gt;0),"※这笔可能和采购单重复了",""))))))))))</f>
        <v/>
      </c>
    </row>
    <row r="1293">
      <c r="A1293" s="17">
        <f>IF($B1293="","",ROW()-3)</f>
        <v/>
      </c>
      <c r="B1293" s="18" t="n"/>
      <c r="C1293" s="13" t="n"/>
      <c r="D1293" s="13" t="n"/>
      <c r="E1293" s="13" t="n"/>
      <c r="F1293" s="17">
        <f>IF($E1293="","",IFERROR(VLOOKUP($E1293,类别归属,2,0),"※类别不在基础资料里"))</f>
        <v/>
      </c>
      <c r="G1293" s="13" t="n"/>
      <c r="H1293" s="13" t="n"/>
      <c r="I1293" s="13" t="n"/>
      <c r="J1293" s="14" t="n"/>
      <c r="K1293" s="14" t="n"/>
      <c r="L1293" s="19">
        <f>IF($C1293="","",ROUND(IFERROR(VLOOKUP($C1293,账户期初,2,0),0)+SUMIFS($J$4:J1293,$C$4:C1293,$C1293)-SUMIFS($K$4:K1293,$C$4:C1293,$C1293),2))</f>
        <v/>
      </c>
      <c r="M1293" s="19">
        <f>IF($C1293="","",ROUND(SUM(基础资料!$B$4:$B$13)+SUM($J$4:J1293)-SUM($K$4:K1293),2))</f>
        <v/>
      </c>
      <c r="N1293" s="13" t="n"/>
      <c r="O1293" s="13" t="n"/>
      <c r="P1293" s="17">
        <f>IF($B1293="","",IF($F1293="※类别不在基础资料里","※费用类别不在基础资料里",IF(AND(N($J1293)=0,N($K1293)=0),"※这行没填金额",IF(AND(N($J1293)&gt;0,N($K1293)&gt;0),"※收入和支出不能同一行都填",IF(AND($D1293="收入",N($J1293)=0),"※收入行要填收入金额",IF(AND($D1293="支出",N($K1293)=0),"※支出行要填支出金额",IF(AND($C1293&lt;&gt;"",ISNA(MATCH($C1293,账户表,0))),"※账户不在基础资料里",IF(AND($G1293&lt;&gt;"",ISNA(MATCH($G1293,项目名表,0))),"※项目不在项目台账里",IF(AND(LEFT($F1293,3)="成本-",$G1293=""),"※成本类支出没填项目",IF(AND(LEFT($F1293,3)="成本-",$H1293&lt;&gt;"",N($K1293)&gt;0,COUNTIFS(采购单!$B:$B,$B1293,采购单!$C:$C,$H1293,采购单!$L:$L,$K1293)&gt;0),"※这笔可能和采购单重复了",""))))))))))</f>
        <v/>
      </c>
    </row>
    <row r="1294">
      <c r="A1294" s="17">
        <f>IF($B1294="","",ROW()-3)</f>
        <v/>
      </c>
      <c r="B1294" s="18" t="n"/>
      <c r="C1294" s="13" t="n"/>
      <c r="D1294" s="13" t="n"/>
      <c r="E1294" s="13" t="n"/>
      <c r="F1294" s="17">
        <f>IF($E1294="","",IFERROR(VLOOKUP($E1294,类别归属,2,0),"※类别不在基础资料里"))</f>
        <v/>
      </c>
      <c r="G1294" s="13" t="n"/>
      <c r="H1294" s="13" t="n"/>
      <c r="I1294" s="13" t="n"/>
      <c r="J1294" s="14" t="n"/>
      <c r="K1294" s="14" t="n"/>
      <c r="L1294" s="19">
        <f>IF($C1294="","",ROUND(IFERROR(VLOOKUP($C1294,账户期初,2,0),0)+SUMIFS($J$4:J1294,$C$4:C1294,$C1294)-SUMIFS($K$4:K1294,$C$4:C1294,$C1294),2))</f>
        <v/>
      </c>
      <c r="M1294" s="19">
        <f>IF($C1294="","",ROUND(SUM(基础资料!$B$4:$B$13)+SUM($J$4:J1294)-SUM($K$4:K1294),2))</f>
        <v/>
      </c>
      <c r="N1294" s="13" t="n"/>
      <c r="O1294" s="13" t="n"/>
      <c r="P1294" s="17">
        <f>IF($B1294="","",IF($F1294="※类别不在基础资料里","※费用类别不在基础资料里",IF(AND(N($J1294)=0,N($K1294)=0),"※这行没填金额",IF(AND(N($J1294)&gt;0,N($K1294)&gt;0),"※收入和支出不能同一行都填",IF(AND($D1294="收入",N($J1294)=0),"※收入行要填收入金额",IF(AND($D1294="支出",N($K1294)=0),"※支出行要填支出金额",IF(AND($C1294&lt;&gt;"",ISNA(MATCH($C1294,账户表,0))),"※账户不在基础资料里",IF(AND($G1294&lt;&gt;"",ISNA(MATCH($G1294,项目名表,0))),"※项目不在项目台账里",IF(AND(LEFT($F1294,3)="成本-",$G1294=""),"※成本类支出没填项目",IF(AND(LEFT($F1294,3)="成本-",$H1294&lt;&gt;"",N($K1294)&gt;0,COUNTIFS(采购单!$B:$B,$B1294,采购单!$C:$C,$H1294,采购单!$L:$L,$K1294)&gt;0),"※这笔可能和采购单重复了",""))))))))))</f>
        <v/>
      </c>
    </row>
    <row r="1295">
      <c r="A1295" s="17">
        <f>IF($B1295="","",ROW()-3)</f>
        <v/>
      </c>
      <c r="B1295" s="18" t="n"/>
      <c r="C1295" s="13" t="n"/>
      <c r="D1295" s="13" t="n"/>
      <c r="E1295" s="13" t="n"/>
      <c r="F1295" s="17">
        <f>IF($E1295="","",IFERROR(VLOOKUP($E1295,类别归属,2,0),"※类别不在基础资料里"))</f>
        <v/>
      </c>
      <c r="G1295" s="13" t="n"/>
      <c r="H1295" s="13" t="n"/>
      <c r="I1295" s="13" t="n"/>
      <c r="J1295" s="14" t="n"/>
      <c r="K1295" s="14" t="n"/>
      <c r="L1295" s="19">
        <f>IF($C1295="","",ROUND(IFERROR(VLOOKUP($C1295,账户期初,2,0),0)+SUMIFS($J$4:J1295,$C$4:C1295,$C1295)-SUMIFS($K$4:K1295,$C$4:C1295,$C1295),2))</f>
        <v/>
      </c>
      <c r="M1295" s="19">
        <f>IF($C1295="","",ROUND(SUM(基础资料!$B$4:$B$13)+SUM($J$4:J1295)-SUM($K$4:K1295),2))</f>
        <v/>
      </c>
      <c r="N1295" s="13" t="n"/>
      <c r="O1295" s="13" t="n"/>
      <c r="P1295" s="17">
        <f>IF($B1295="","",IF($F1295="※类别不在基础资料里","※费用类别不在基础资料里",IF(AND(N($J1295)=0,N($K1295)=0),"※这行没填金额",IF(AND(N($J1295)&gt;0,N($K1295)&gt;0),"※收入和支出不能同一行都填",IF(AND($D1295="收入",N($J1295)=0),"※收入行要填收入金额",IF(AND($D1295="支出",N($K1295)=0),"※支出行要填支出金额",IF(AND($C1295&lt;&gt;"",ISNA(MATCH($C1295,账户表,0))),"※账户不在基础资料里",IF(AND($G1295&lt;&gt;"",ISNA(MATCH($G1295,项目名表,0))),"※项目不在项目台账里",IF(AND(LEFT($F1295,3)="成本-",$G1295=""),"※成本类支出没填项目",IF(AND(LEFT($F1295,3)="成本-",$H1295&lt;&gt;"",N($K1295)&gt;0,COUNTIFS(采购单!$B:$B,$B1295,采购单!$C:$C,$H1295,采购单!$L:$L,$K1295)&gt;0),"※这笔可能和采购单重复了",""))))))))))</f>
        <v/>
      </c>
    </row>
    <row r="1296">
      <c r="A1296" s="17">
        <f>IF($B1296="","",ROW()-3)</f>
        <v/>
      </c>
      <c r="B1296" s="18" t="n"/>
      <c r="C1296" s="13" t="n"/>
      <c r="D1296" s="13" t="n"/>
      <c r="E1296" s="13" t="n"/>
      <c r="F1296" s="17">
        <f>IF($E1296="","",IFERROR(VLOOKUP($E1296,类别归属,2,0),"※类别不在基础资料里"))</f>
        <v/>
      </c>
      <c r="G1296" s="13" t="n"/>
      <c r="H1296" s="13" t="n"/>
      <c r="I1296" s="13" t="n"/>
      <c r="J1296" s="14" t="n"/>
      <c r="K1296" s="14" t="n"/>
      <c r="L1296" s="19">
        <f>IF($C1296="","",ROUND(IFERROR(VLOOKUP($C1296,账户期初,2,0),0)+SUMIFS($J$4:J1296,$C$4:C1296,$C1296)-SUMIFS($K$4:K1296,$C$4:C1296,$C1296),2))</f>
        <v/>
      </c>
      <c r="M1296" s="19">
        <f>IF($C1296="","",ROUND(SUM(基础资料!$B$4:$B$13)+SUM($J$4:J1296)-SUM($K$4:K1296),2))</f>
        <v/>
      </c>
      <c r="N1296" s="13" t="n"/>
      <c r="O1296" s="13" t="n"/>
      <c r="P1296" s="17">
        <f>IF($B1296="","",IF($F1296="※类别不在基础资料里","※费用类别不在基础资料里",IF(AND(N($J1296)=0,N($K1296)=0),"※这行没填金额",IF(AND(N($J1296)&gt;0,N($K1296)&gt;0),"※收入和支出不能同一行都填",IF(AND($D1296="收入",N($J1296)=0),"※收入行要填收入金额",IF(AND($D1296="支出",N($K1296)=0),"※支出行要填支出金额",IF(AND($C1296&lt;&gt;"",ISNA(MATCH($C1296,账户表,0))),"※账户不在基础资料里",IF(AND($G1296&lt;&gt;"",ISNA(MATCH($G1296,项目名表,0))),"※项目不在项目台账里",IF(AND(LEFT($F1296,3)="成本-",$G1296=""),"※成本类支出没填项目",IF(AND(LEFT($F1296,3)="成本-",$H1296&lt;&gt;"",N($K1296)&gt;0,COUNTIFS(采购单!$B:$B,$B1296,采购单!$C:$C,$H1296,采购单!$L:$L,$K1296)&gt;0),"※这笔可能和采购单重复了",""))))))))))</f>
        <v/>
      </c>
    </row>
    <row r="1297">
      <c r="A1297" s="17">
        <f>IF($B1297="","",ROW()-3)</f>
        <v/>
      </c>
      <c r="B1297" s="18" t="n"/>
      <c r="C1297" s="13" t="n"/>
      <c r="D1297" s="13" t="n"/>
      <c r="E1297" s="13" t="n"/>
      <c r="F1297" s="17">
        <f>IF($E1297="","",IFERROR(VLOOKUP($E1297,类别归属,2,0),"※类别不在基础资料里"))</f>
        <v/>
      </c>
      <c r="G1297" s="13" t="n"/>
      <c r="H1297" s="13" t="n"/>
      <c r="I1297" s="13" t="n"/>
      <c r="J1297" s="14" t="n"/>
      <c r="K1297" s="14" t="n"/>
      <c r="L1297" s="19">
        <f>IF($C1297="","",ROUND(IFERROR(VLOOKUP($C1297,账户期初,2,0),0)+SUMIFS($J$4:J1297,$C$4:C1297,$C1297)-SUMIFS($K$4:K1297,$C$4:C1297,$C1297),2))</f>
        <v/>
      </c>
      <c r="M1297" s="19">
        <f>IF($C1297="","",ROUND(SUM(基础资料!$B$4:$B$13)+SUM($J$4:J1297)-SUM($K$4:K1297),2))</f>
        <v/>
      </c>
      <c r="N1297" s="13" t="n"/>
      <c r="O1297" s="13" t="n"/>
      <c r="P1297" s="17">
        <f>IF($B1297="","",IF($F1297="※类别不在基础资料里","※费用类别不在基础资料里",IF(AND(N($J1297)=0,N($K1297)=0),"※这行没填金额",IF(AND(N($J1297)&gt;0,N($K1297)&gt;0),"※收入和支出不能同一行都填",IF(AND($D1297="收入",N($J1297)=0),"※收入行要填收入金额",IF(AND($D1297="支出",N($K1297)=0),"※支出行要填支出金额",IF(AND($C1297&lt;&gt;"",ISNA(MATCH($C1297,账户表,0))),"※账户不在基础资料里",IF(AND($G1297&lt;&gt;"",ISNA(MATCH($G1297,项目名表,0))),"※项目不在项目台账里",IF(AND(LEFT($F1297,3)="成本-",$G1297=""),"※成本类支出没填项目",IF(AND(LEFT($F1297,3)="成本-",$H1297&lt;&gt;"",N($K1297)&gt;0,COUNTIFS(采购单!$B:$B,$B1297,采购单!$C:$C,$H1297,采购单!$L:$L,$K1297)&gt;0),"※这笔可能和采购单重复了",""))))))))))</f>
        <v/>
      </c>
    </row>
    <row r="1298">
      <c r="A1298" s="17">
        <f>IF($B1298="","",ROW()-3)</f>
        <v/>
      </c>
      <c r="B1298" s="18" t="n"/>
      <c r="C1298" s="13" t="n"/>
      <c r="D1298" s="13" t="n"/>
      <c r="E1298" s="13" t="n"/>
      <c r="F1298" s="17">
        <f>IF($E1298="","",IFERROR(VLOOKUP($E1298,类别归属,2,0),"※类别不在基础资料里"))</f>
        <v/>
      </c>
      <c r="G1298" s="13" t="n"/>
      <c r="H1298" s="13" t="n"/>
      <c r="I1298" s="13" t="n"/>
      <c r="J1298" s="14" t="n"/>
      <c r="K1298" s="14" t="n"/>
      <c r="L1298" s="19">
        <f>IF($C1298="","",ROUND(IFERROR(VLOOKUP($C1298,账户期初,2,0),0)+SUMIFS($J$4:J1298,$C$4:C1298,$C1298)-SUMIFS($K$4:K1298,$C$4:C1298,$C1298),2))</f>
        <v/>
      </c>
      <c r="M1298" s="19">
        <f>IF($C1298="","",ROUND(SUM(基础资料!$B$4:$B$13)+SUM($J$4:J1298)-SUM($K$4:K1298),2))</f>
        <v/>
      </c>
      <c r="N1298" s="13" t="n"/>
      <c r="O1298" s="13" t="n"/>
      <c r="P1298" s="17">
        <f>IF($B1298="","",IF($F1298="※类别不在基础资料里","※费用类别不在基础资料里",IF(AND(N($J1298)=0,N($K1298)=0),"※这行没填金额",IF(AND(N($J1298)&gt;0,N($K1298)&gt;0),"※收入和支出不能同一行都填",IF(AND($D1298="收入",N($J1298)=0),"※收入行要填收入金额",IF(AND($D1298="支出",N($K1298)=0),"※支出行要填支出金额",IF(AND($C1298&lt;&gt;"",ISNA(MATCH($C1298,账户表,0))),"※账户不在基础资料里",IF(AND($G1298&lt;&gt;"",ISNA(MATCH($G1298,项目名表,0))),"※项目不在项目台账里",IF(AND(LEFT($F1298,3)="成本-",$G1298=""),"※成本类支出没填项目",IF(AND(LEFT($F1298,3)="成本-",$H1298&lt;&gt;"",N($K1298)&gt;0,COUNTIFS(采购单!$B:$B,$B1298,采购单!$C:$C,$H1298,采购单!$L:$L,$K1298)&gt;0),"※这笔可能和采购单重复了",""))))))))))</f>
        <v/>
      </c>
    </row>
    <row r="1299">
      <c r="A1299" s="17">
        <f>IF($B1299="","",ROW()-3)</f>
        <v/>
      </c>
      <c r="B1299" s="18" t="n"/>
      <c r="C1299" s="13" t="n"/>
      <c r="D1299" s="13" t="n"/>
      <c r="E1299" s="13" t="n"/>
      <c r="F1299" s="17">
        <f>IF($E1299="","",IFERROR(VLOOKUP($E1299,类别归属,2,0),"※类别不在基础资料里"))</f>
        <v/>
      </c>
      <c r="G1299" s="13" t="n"/>
      <c r="H1299" s="13" t="n"/>
      <c r="I1299" s="13" t="n"/>
      <c r="J1299" s="14" t="n"/>
      <c r="K1299" s="14" t="n"/>
      <c r="L1299" s="19">
        <f>IF($C1299="","",ROUND(IFERROR(VLOOKUP($C1299,账户期初,2,0),0)+SUMIFS($J$4:J1299,$C$4:C1299,$C1299)-SUMIFS($K$4:K1299,$C$4:C1299,$C1299),2))</f>
        <v/>
      </c>
      <c r="M1299" s="19">
        <f>IF($C1299="","",ROUND(SUM(基础资料!$B$4:$B$13)+SUM($J$4:J1299)-SUM($K$4:K1299),2))</f>
        <v/>
      </c>
      <c r="N1299" s="13" t="n"/>
      <c r="O1299" s="13" t="n"/>
      <c r="P1299" s="17">
        <f>IF($B1299="","",IF($F1299="※类别不在基础资料里","※费用类别不在基础资料里",IF(AND(N($J1299)=0,N($K1299)=0),"※这行没填金额",IF(AND(N($J1299)&gt;0,N($K1299)&gt;0),"※收入和支出不能同一行都填",IF(AND($D1299="收入",N($J1299)=0),"※收入行要填收入金额",IF(AND($D1299="支出",N($K1299)=0),"※支出行要填支出金额",IF(AND($C1299&lt;&gt;"",ISNA(MATCH($C1299,账户表,0))),"※账户不在基础资料里",IF(AND($G1299&lt;&gt;"",ISNA(MATCH($G1299,项目名表,0))),"※项目不在项目台账里",IF(AND(LEFT($F1299,3)="成本-",$G1299=""),"※成本类支出没填项目",IF(AND(LEFT($F1299,3)="成本-",$H1299&lt;&gt;"",N($K1299)&gt;0,COUNTIFS(采购单!$B:$B,$B1299,采购单!$C:$C,$H1299,采购单!$L:$L,$K1299)&gt;0),"※这笔可能和采购单重复了",""))))))))))</f>
        <v/>
      </c>
    </row>
    <row r="1300">
      <c r="A1300" s="17">
        <f>IF($B1300="","",ROW()-3)</f>
        <v/>
      </c>
      <c r="B1300" s="18" t="n"/>
      <c r="C1300" s="13" t="n"/>
      <c r="D1300" s="13" t="n"/>
      <c r="E1300" s="13" t="n"/>
      <c r="F1300" s="17">
        <f>IF($E1300="","",IFERROR(VLOOKUP($E1300,类别归属,2,0),"※类别不在基础资料里"))</f>
        <v/>
      </c>
      <c r="G1300" s="13" t="n"/>
      <c r="H1300" s="13" t="n"/>
      <c r="I1300" s="13" t="n"/>
      <c r="J1300" s="14" t="n"/>
      <c r="K1300" s="14" t="n"/>
      <c r="L1300" s="19">
        <f>IF($C1300="","",ROUND(IFERROR(VLOOKUP($C1300,账户期初,2,0),0)+SUMIFS($J$4:J1300,$C$4:C1300,$C1300)-SUMIFS($K$4:K1300,$C$4:C1300,$C1300),2))</f>
        <v/>
      </c>
      <c r="M1300" s="19">
        <f>IF($C1300="","",ROUND(SUM(基础资料!$B$4:$B$13)+SUM($J$4:J1300)-SUM($K$4:K1300),2))</f>
        <v/>
      </c>
      <c r="N1300" s="13" t="n"/>
      <c r="O1300" s="13" t="n"/>
      <c r="P1300" s="17">
        <f>IF($B1300="","",IF($F1300="※类别不在基础资料里","※费用类别不在基础资料里",IF(AND(N($J1300)=0,N($K1300)=0),"※这行没填金额",IF(AND(N($J1300)&gt;0,N($K1300)&gt;0),"※收入和支出不能同一行都填",IF(AND($D1300="收入",N($J1300)=0),"※收入行要填收入金额",IF(AND($D1300="支出",N($K1300)=0),"※支出行要填支出金额",IF(AND($C1300&lt;&gt;"",ISNA(MATCH($C1300,账户表,0))),"※账户不在基础资料里",IF(AND($G1300&lt;&gt;"",ISNA(MATCH($G1300,项目名表,0))),"※项目不在项目台账里",IF(AND(LEFT($F1300,3)="成本-",$G1300=""),"※成本类支出没填项目",IF(AND(LEFT($F1300,3)="成本-",$H1300&lt;&gt;"",N($K1300)&gt;0,COUNTIFS(采购单!$B:$B,$B1300,采购单!$C:$C,$H1300,采购单!$L:$L,$K1300)&gt;0),"※这笔可能和采购单重复了",""))))))))))</f>
        <v/>
      </c>
    </row>
    <row r="1301">
      <c r="A1301" s="17">
        <f>IF($B1301="","",ROW()-3)</f>
        <v/>
      </c>
      <c r="B1301" s="18" t="n"/>
      <c r="C1301" s="13" t="n"/>
      <c r="D1301" s="13" t="n"/>
      <c r="E1301" s="13" t="n"/>
      <c r="F1301" s="17">
        <f>IF($E1301="","",IFERROR(VLOOKUP($E1301,类别归属,2,0),"※类别不在基础资料里"))</f>
        <v/>
      </c>
      <c r="G1301" s="13" t="n"/>
      <c r="H1301" s="13" t="n"/>
      <c r="I1301" s="13" t="n"/>
      <c r="J1301" s="14" t="n"/>
      <c r="K1301" s="14" t="n"/>
      <c r="L1301" s="19">
        <f>IF($C1301="","",ROUND(IFERROR(VLOOKUP($C1301,账户期初,2,0),0)+SUMIFS($J$4:J1301,$C$4:C1301,$C1301)-SUMIFS($K$4:K1301,$C$4:C1301,$C1301),2))</f>
        <v/>
      </c>
      <c r="M1301" s="19">
        <f>IF($C1301="","",ROUND(SUM(基础资料!$B$4:$B$13)+SUM($J$4:J1301)-SUM($K$4:K1301),2))</f>
        <v/>
      </c>
      <c r="N1301" s="13" t="n"/>
      <c r="O1301" s="13" t="n"/>
      <c r="P1301" s="17">
        <f>IF($B1301="","",IF($F1301="※类别不在基础资料里","※费用类别不在基础资料里",IF(AND(N($J1301)=0,N($K1301)=0),"※这行没填金额",IF(AND(N($J1301)&gt;0,N($K1301)&gt;0),"※收入和支出不能同一行都填",IF(AND($D1301="收入",N($J1301)=0),"※收入行要填收入金额",IF(AND($D1301="支出",N($K1301)=0),"※支出行要填支出金额",IF(AND($C1301&lt;&gt;"",ISNA(MATCH($C1301,账户表,0))),"※账户不在基础资料里",IF(AND($G1301&lt;&gt;"",ISNA(MATCH($G1301,项目名表,0))),"※项目不在项目台账里",IF(AND(LEFT($F1301,3)="成本-",$G1301=""),"※成本类支出没填项目",IF(AND(LEFT($F1301,3)="成本-",$H1301&lt;&gt;"",N($K1301)&gt;0,COUNTIFS(采购单!$B:$B,$B1301,采购单!$C:$C,$H1301,采购单!$L:$L,$K1301)&gt;0),"※这笔可能和采购单重复了",""))))))))))</f>
        <v/>
      </c>
    </row>
    <row r="1302">
      <c r="A1302" s="17">
        <f>IF($B1302="","",ROW()-3)</f>
        <v/>
      </c>
      <c r="B1302" s="18" t="n"/>
      <c r="C1302" s="13" t="n"/>
      <c r="D1302" s="13" t="n"/>
      <c r="E1302" s="13" t="n"/>
      <c r="F1302" s="17">
        <f>IF($E1302="","",IFERROR(VLOOKUP($E1302,类别归属,2,0),"※类别不在基础资料里"))</f>
        <v/>
      </c>
      <c r="G1302" s="13" t="n"/>
      <c r="H1302" s="13" t="n"/>
      <c r="I1302" s="13" t="n"/>
      <c r="J1302" s="14" t="n"/>
      <c r="K1302" s="14" t="n"/>
      <c r="L1302" s="19">
        <f>IF($C1302="","",ROUND(IFERROR(VLOOKUP($C1302,账户期初,2,0),0)+SUMIFS($J$4:J1302,$C$4:C1302,$C1302)-SUMIFS($K$4:K1302,$C$4:C1302,$C1302),2))</f>
        <v/>
      </c>
      <c r="M1302" s="19">
        <f>IF($C1302="","",ROUND(SUM(基础资料!$B$4:$B$13)+SUM($J$4:J1302)-SUM($K$4:K1302),2))</f>
        <v/>
      </c>
      <c r="N1302" s="13" t="n"/>
      <c r="O1302" s="13" t="n"/>
      <c r="P1302" s="17">
        <f>IF($B1302="","",IF($F1302="※类别不在基础资料里","※费用类别不在基础资料里",IF(AND(N($J1302)=0,N($K1302)=0),"※这行没填金额",IF(AND(N($J1302)&gt;0,N($K1302)&gt;0),"※收入和支出不能同一行都填",IF(AND($D1302="收入",N($J1302)=0),"※收入行要填收入金额",IF(AND($D1302="支出",N($K1302)=0),"※支出行要填支出金额",IF(AND($C1302&lt;&gt;"",ISNA(MATCH($C1302,账户表,0))),"※账户不在基础资料里",IF(AND($G1302&lt;&gt;"",ISNA(MATCH($G1302,项目名表,0))),"※项目不在项目台账里",IF(AND(LEFT($F1302,3)="成本-",$G1302=""),"※成本类支出没填项目",IF(AND(LEFT($F1302,3)="成本-",$H1302&lt;&gt;"",N($K1302)&gt;0,COUNTIFS(采购单!$B:$B,$B1302,采购单!$C:$C,$H1302,采购单!$L:$L,$K1302)&gt;0),"※这笔可能和采购单重复了",""))))))))))</f>
        <v/>
      </c>
    </row>
    <row r="1303">
      <c r="A1303" s="17">
        <f>IF($B1303="","",ROW()-3)</f>
        <v/>
      </c>
      <c r="B1303" s="18" t="n"/>
      <c r="C1303" s="13" t="n"/>
      <c r="D1303" s="13" t="n"/>
      <c r="E1303" s="13" t="n"/>
      <c r="F1303" s="17">
        <f>IF($E1303="","",IFERROR(VLOOKUP($E1303,类别归属,2,0),"※类别不在基础资料里"))</f>
        <v/>
      </c>
      <c r="G1303" s="13" t="n"/>
      <c r="H1303" s="13" t="n"/>
      <c r="I1303" s="13" t="n"/>
      <c r="J1303" s="14" t="n"/>
      <c r="K1303" s="14" t="n"/>
      <c r="L1303" s="19">
        <f>IF($C1303="","",ROUND(IFERROR(VLOOKUP($C1303,账户期初,2,0),0)+SUMIFS($J$4:J1303,$C$4:C1303,$C1303)-SUMIFS($K$4:K1303,$C$4:C1303,$C1303),2))</f>
        <v/>
      </c>
      <c r="M1303" s="19">
        <f>IF($C1303="","",ROUND(SUM(基础资料!$B$4:$B$13)+SUM($J$4:J1303)-SUM($K$4:K1303),2))</f>
        <v/>
      </c>
      <c r="N1303" s="13" t="n"/>
      <c r="O1303" s="13" t="n"/>
      <c r="P1303" s="17">
        <f>IF($B1303="","",IF($F1303="※类别不在基础资料里","※费用类别不在基础资料里",IF(AND(N($J1303)=0,N($K1303)=0),"※这行没填金额",IF(AND(N($J1303)&gt;0,N($K1303)&gt;0),"※收入和支出不能同一行都填",IF(AND($D1303="收入",N($J1303)=0),"※收入行要填收入金额",IF(AND($D1303="支出",N($K1303)=0),"※支出行要填支出金额",IF(AND($C1303&lt;&gt;"",ISNA(MATCH($C1303,账户表,0))),"※账户不在基础资料里",IF(AND($G1303&lt;&gt;"",ISNA(MATCH($G1303,项目名表,0))),"※项目不在项目台账里",IF(AND(LEFT($F1303,3)="成本-",$G1303=""),"※成本类支出没填项目",IF(AND(LEFT($F1303,3)="成本-",$H1303&lt;&gt;"",N($K1303)&gt;0,COUNTIFS(采购单!$B:$B,$B1303,采购单!$C:$C,$H1303,采购单!$L:$L,$K1303)&gt;0),"※这笔可能和采购单重复了",""))))))))))</f>
        <v/>
      </c>
    </row>
    <row r="1304">
      <c r="A1304" s="17">
        <f>IF($B1304="","",ROW()-3)</f>
        <v/>
      </c>
      <c r="B1304" s="18" t="n"/>
      <c r="C1304" s="13" t="n"/>
      <c r="D1304" s="13" t="n"/>
      <c r="E1304" s="13" t="n"/>
      <c r="F1304" s="17">
        <f>IF($E1304="","",IFERROR(VLOOKUP($E1304,类别归属,2,0),"※类别不在基础资料里"))</f>
        <v/>
      </c>
      <c r="G1304" s="13" t="n"/>
      <c r="H1304" s="13" t="n"/>
      <c r="I1304" s="13" t="n"/>
      <c r="J1304" s="14" t="n"/>
      <c r="K1304" s="14" t="n"/>
      <c r="L1304" s="19">
        <f>IF($C1304="","",ROUND(IFERROR(VLOOKUP($C1304,账户期初,2,0),0)+SUMIFS($J$4:J1304,$C$4:C1304,$C1304)-SUMIFS($K$4:K1304,$C$4:C1304,$C1304),2))</f>
        <v/>
      </c>
      <c r="M1304" s="19">
        <f>IF($C1304="","",ROUND(SUM(基础资料!$B$4:$B$13)+SUM($J$4:J1304)-SUM($K$4:K1304),2))</f>
        <v/>
      </c>
      <c r="N1304" s="13" t="n"/>
      <c r="O1304" s="13" t="n"/>
      <c r="P1304" s="17">
        <f>IF($B1304="","",IF($F1304="※类别不在基础资料里","※费用类别不在基础资料里",IF(AND(N($J1304)=0,N($K1304)=0),"※这行没填金额",IF(AND(N($J1304)&gt;0,N($K1304)&gt;0),"※收入和支出不能同一行都填",IF(AND($D1304="收入",N($J1304)=0),"※收入行要填收入金额",IF(AND($D1304="支出",N($K1304)=0),"※支出行要填支出金额",IF(AND($C1304&lt;&gt;"",ISNA(MATCH($C1304,账户表,0))),"※账户不在基础资料里",IF(AND($G1304&lt;&gt;"",ISNA(MATCH($G1304,项目名表,0))),"※项目不在项目台账里",IF(AND(LEFT($F1304,3)="成本-",$G1304=""),"※成本类支出没填项目",IF(AND(LEFT($F1304,3)="成本-",$H1304&lt;&gt;"",N($K1304)&gt;0,COUNTIFS(采购单!$B:$B,$B1304,采购单!$C:$C,$H1304,采购单!$L:$L,$K1304)&gt;0),"※这笔可能和采购单重复了",""))))))))))</f>
        <v/>
      </c>
    </row>
    <row r="1305">
      <c r="A1305" s="17">
        <f>IF($B1305="","",ROW()-3)</f>
        <v/>
      </c>
      <c r="B1305" s="18" t="n"/>
      <c r="C1305" s="13" t="n"/>
      <c r="D1305" s="13" t="n"/>
      <c r="E1305" s="13" t="n"/>
      <c r="F1305" s="17">
        <f>IF($E1305="","",IFERROR(VLOOKUP($E1305,类别归属,2,0),"※类别不在基础资料里"))</f>
        <v/>
      </c>
      <c r="G1305" s="13" t="n"/>
      <c r="H1305" s="13" t="n"/>
      <c r="I1305" s="13" t="n"/>
      <c r="J1305" s="14" t="n"/>
      <c r="K1305" s="14" t="n"/>
      <c r="L1305" s="19">
        <f>IF($C1305="","",ROUND(IFERROR(VLOOKUP($C1305,账户期初,2,0),0)+SUMIFS($J$4:J1305,$C$4:C1305,$C1305)-SUMIFS($K$4:K1305,$C$4:C1305,$C1305),2))</f>
        <v/>
      </c>
      <c r="M1305" s="19">
        <f>IF($C1305="","",ROUND(SUM(基础资料!$B$4:$B$13)+SUM($J$4:J1305)-SUM($K$4:K1305),2))</f>
        <v/>
      </c>
      <c r="N1305" s="13" t="n"/>
      <c r="O1305" s="13" t="n"/>
      <c r="P1305" s="17">
        <f>IF($B1305="","",IF($F1305="※类别不在基础资料里","※费用类别不在基础资料里",IF(AND(N($J1305)=0,N($K1305)=0),"※这行没填金额",IF(AND(N($J1305)&gt;0,N($K1305)&gt;0),"※收入和支出不能同一行都填",IF(AND($D1305="收入",N($J1305)=0),"※收入行要填收入金额",IF(AND($D1305="支出",N($K1305)=0),"※支出行要填支出金额",IF(AND($C1305&lt;&gt;"",ISNA(MATCH($C1305,账户表,0))),"※账户不在基础资料里",IF(AND($G1305&lt;&gt;"",ISNA(MATCH($G1305,项目名表,0))),"※项目不在项目台账里",IF(AND(LEFT($F1305,3)="成本-",$G1305=""),"※成本类支出没填项目",IF(AND(LEFT($F1305,3)="成本-",$H1305&lt;&gt;"",N($K1305)&gt;0,COUNTIFS(采购单!$B:$B,$B1305,采购单!$C:$C,$H1305,采购单!$L:$L,$K1305)&gt;0),"※这笔可能和采购单重复了",""))))))))))</f>
        <v/>
      </c>
    </row>
    <row r="1306">
      <c r="A1306" s="17">
        <f>IF($B1306="","",ROW()-3)</f>
        <v/>
      </c>
      <c r="B1306" s="18" t="n"/>
      <c r="C1306" s="13" t="n"/>
      <c r="D1306" s="13" t="n"/>
      <c r="E1306" s="13" t="n"/>
      <c r="F1306" s="17">
        <f>IF($E1306="","",IFERROR(VLOOKUP($E1306,类别归属,2,0),"※类别不在基础资料里"))</f>
        <v/>
      </c>
      <c r="G1306" s="13" t="n"/>
      <c r="H1306" s="13" t="n"/>
      <c r="I1306" s="13" t="n"/>
      <c r="J1306" s="14" t="n"/>
      <c r="K1306" s="14" t="n"/>
      <c r="L1306" s="19">
        <f>IF($C1306="","",ROUND(IFERROR(VLOOKUP($C1306,账户期初,2,0),0)+SUMIFS($J$4:J1306,$C$4:C1306,$C1306)-SUMIFS($K$4:K1306,$C$4:C1306,$C1306),2))</f>
        <v/>
      </c>
      <c r="M1306" s="19">
        <f>IF($C1306="","",ROUND(SUM(基础资料!$B$4:$B$13)+SUM($J$4:J1306)-SUM($K$4:K1306),2))</f>
        <v/>
      </c>
      <c r="N1306" s="13" t="n"/>
      <c r="O1306" s="13" t="n"/>
      <c r="P1306" s="17">
        <f>IF($B1306="","",IF($F1306="※类别不在基础资料里","※费用类别不在基础资料里",IF(AND(N($J1306)=0,N($K1306)=0),"※这行没填金额",IF(AND(N($J1306)&gt;0,N($K1306)&gt;0),"※收入和支出不能同一行都填",IF(AND($D1306="收入",N($J1306)=0),"※收入行要填收入金额",IF(AND($D1306="支出",N($K1306)=0),"※支出行要填支出金额",IF(AND($C1306&lt;&gt;"",ISNA(MATCH($C1306,账户表,0))),"※账户不在基础资料里",IF(AND($G1306&lt;&gt;"",ISNA(MATCH($G1306,项目名表,0))),"※项目不在项目台账里",IF(AND(LEFT($F1306,3)="成本-",$G1306=""),"※成本类支出没填项目",IF(AND(LEFT($F1306,3)="成本-",$H1306&lt;&gt;"",N($K1306)&gt;0,COUNTIFS(采购单!$B:$B,$B1306,采购单!$C:$C,$H1306,采购单!$L:$L,$K1306)&gt;0),"※这笔可能和采购单重复了",""))))))))))</f>
        <v/>
      </c>
    </row>
    <row r="1307">
      <c r="A1307" s="17">
        <f>IF($B1307="","",ROW()-3)</f>
        <v/>
      </c>
      <c r="B1307" s="18" t="n"/>
      <c r="C1307" s="13" t="n"/>
      <c r="D1307" s="13" t="n"/>
      <c r="E1307" s="13" t="n"/>
      <c r="F1307" s="17">
        <f>IF($E1307="","",IFERROR(VLOOKUP($E1307,类别归属,2,0),"※类别不在基础资料里"))</f>
        <v/>
      </c>
      <c r="G1307" s="13" t="n"/>
      <c r="H1307" s="13" t="n"/>
      <c r="I1307" s="13" t="n"/>
      <c r="J1307" s="14" t="n"/>
      <c r="K1307" s="14" t="n"/>
      <c r="L1307" s="19">
        <f>IF($C1307="","",ROUND(IFERROR(VLOOKUP($C1307,账户期初,2,0),0)+SUMIFS($J$4:J1307,$C$4:C1307,$C1307)-SUMIFS($K$4:K1307,$C$4:C1307,$C1307),2))</f>
        <v/>
      </c>
      <c r="M1307" s="19">
        <f>IF($C1307="","",ROUND(SUM(基础资料!$B$4:$B$13)+SUM($J$4:J1307)-SUM($K$4:K1307),2))</f>
        <v/>
      </c>
      <c r="N1307" s="13" t="n"/>
      <c r="O1307" s="13" t="n"/>
      <c r="P1307" s="17">
        <f>IF($B1307="","",IF($F1307="※类别不在基础资料里","※费用类别不在基础资料里",IF(AND(N($J1307)=0,N($K1307)=0),"※这行没填金额",IF(AND(N($J1307)&gt;0,N($K1307)&gt;0),"※收入和支出不能同一行都填",IF(AND($D1307="收入",N($J1307)=0),"※收入行要填收入金额",IF(AND($D1307="支出",N($K1307)=0),"※支出行要填支出金额",IF(AND($C1307&lt;&gt;"",ISNA(MATCH($C1307,账户表,0))),"※账户不在基础资料里",IF(AND($G1307&lt;&gt;"",ISNA(MATCH($G1307,项目名表,0))),"※项目不在项目台账里",IF(AND(LEFT($F1307,3)="成本-",$G1307=""),"※成本类支出没填项目",IF(AND(LEFT($F1307,3)="成本-",$H1307&lt;&gt;"",N($K1307)&gt;0,COUNTIFS(采购单!$B:$B,$B1307,采购单!$C:$C,$H1307,采购单!$L:$L,$K1307)&gt;0),"※这笔可能和采购单重复了",""))))))))))</f>
        <v/>
      </c>
    </row>
    <row r="1308">
      <c r="A1308" s="17">
        <f>IF($B1308="","",ROW()-3)</f>
        <v/>
      </c>
      <c r="B1308" s="18" t="n"/>
      <c r="C1308" s="13" t="n"/>
      <c r="D1308" s="13" t="n"/>
      <c r="E1308" s="13" t="n"/>
      <c r="F1308" s="17">
        <f>IF($E1308="","",IFERROR(VLOOKUP($E1308,类别归属,2,0),"※类别不在基础资料里"))</f>
        <v/>
      </c>
      <c r="G1308" s="13" t="n"/>
      <c r="H1308" s="13" t="n"/>
      <c r="I1308" s="13" t="n"/>
      <c r="J1308" s="14" t="n"/>
      <c r="K1308" s="14" t="n"/>
      <c r="L1308" s="19">
        <f>IF($C1308="","",ROUND(IFERROR(VLOOKUP($C1308,账户期初,2,0),0)+SUMIFS($J$4:J1308,$C$4:C1308,$C1308)-SUMIFS($K$4:K1308,$C$4:C1308,$C1308),2))</f>
        <v/>
      </c>
      <c r="M1308" s="19">
        <f>IF($C1308="","",ROUND(SUM(基础资料!$B$4:$B$13)+SUM($J$4:J1308)-SUM($K$4:K1308),2))</f>
        <v/>
      </c>
      <c r="N1308" s="13" t="n"/>
      <c r="O1308" s="13" t="n"/>
      <c r="P1308" s="17">
        <f>IF($B1308="","",IF($F1308="※类别不在基础资料里","※费用类别不在基础资料里",IF(AND(N($J1308)=0,N($K1308)=0),"※这行没填金额",IF(AND(N($J1308)&gt;0,N($K1308)&gt;0),"※收入和支出不能同一行都填",IF(AND($D1308="收入",N($J1308)=0),"※收入行要填收入金额",IF(AND($D1308="支出",N($K1308)=0),"※支出行要填支出金额",IF(AND($C1308&lt;&gt;"",ISNA(MATCH($C1308,账户表,0))),"※账户不在基础资料里",IF(AND($G1308&lt;&gt;"",ISNA(MATCH($G1308,项目名表,0))),"※项目不在项目台账里",IF(AND(LEFT($F1308,3)="成本-",$G1308=""),"※成本类支出没填项目",IF(AND(LEFT($F1308,3)="成本-",$H1308&lt;&gt;"",N($K1308)&gt;0,COUNTIFS(采购单!$B:$B,$B1308,采购单!$C:$C,$H1308,采购单!$L:$L,$K1308)&gt;0),"※这笔可能和采购单重复了",""))))))))))</f>
        <v/>
      </c>
    </row>
    <row r="1309">
      <c r="A1309" s="17">
        <f>IF($B1309="","",ROW()-3)</f>
        <v/>
      </c>
      <c r="B1309" s="18" t="n"/>
      <c r="C1309" s="13" t="n"/>
      <c r="D1309" s="13" t="n"/>
      <c r="E1309" s="13" t="n"/>
      <c r="F1309" s="17">
        <f>IF($E1309="","",IFERROR(VLOOKUP($E1309,类别归属,2,0),"※类别不在基础资料里"))</f>
        <v/>
      </c>
      <c r="G1309" s="13" t="n"/>
      <c r="H1309" s="13" t="n"/>
      <c r="I1309" s="13" t="n"/>
      <c r="J1309" s="14" t="n"/>
      <c r="K1309" s="14" t="n"/>
      <c r="L1309" s="19">
        <f>IF($C1309="","",ROUND(IFERROR(VLOOKUP($C1309,账户期初,2,0),0)+SUMIFS($J$4:J1309,$C$4:C1309,$C1309)-SUMIFS($K$4:K1309,$C$4:C1309,$C1309),2))</f>
        <v/>
      </c>
      <c r="M1309" s="19">
        <f>IF($C1309="","",ROUND(SUM(基础资料!$B$4:$B$13)+SUM($J$4:J1309)-SUM($K$4:K1309),2))</f>
        <v/>
      </c>
      <c r="N1309" s="13" t="n"/>
      <c r="O1309" s="13" t="n"/>
      <c r="P1309" s="17">
        <f>IF($B1309="","",IF($F1309="※类别不在基础资料里","※费用类别不在基础资料里",IF(AND(N($J1309)=0,N($K1309)=0),"※这行没填金额",IF(AND(N($J1309)&gt;0,N($K1309)&gt;0),"※收入和支出不能同一行都填",IF(AND($D1309="收入",N($J1309)=0),"※收入行要填收入金额",IF(AND($D1309="支出",N($K1309)=0),"※支出行要填支出金额",IF(AND($C1309&lt;&gt;"",ISNA(MATCH($C1309,账户表,0))),"※账户不在基础资料里",IF(AND($G1309&lt;&gt;"",ISNA(MATCH($G1309,项目名表,0))),"※项目不在项目台账里",IF(AND(LEFT($F1309,3)="成本-",$G1309=""),"※成本类支出没填项目",IF(AND(LEFT($F1309,3)="成本-",$H1309&lt;&gt;"",N($K1309)&gt;0,COUNTIFS(采购单!$B:$B,$B1309,采购单!$C:$C,$H1309,采购单!$L:$L,$K1309)&gt;0),"※这笔可能和采购单重复了",""))))))))))</f>
        <v/>
      </c>
    </row>
    <row r="1310">
      <c r="A1310" s="17">
        <f>IF($B1310="","",ROW()-3)</f>
        <v/>
      </c>
      <c r="B1310" s="18" t="n"/>
      <c r="C1310" s="13" t="n"/>
      <c r="D1310" s="13" t="n"/>
      <c r="E1310" s="13" t="n"/>
      <c r="F1310" s="17">
        <f>IF($E1310="","",IFERROR(VLOOKUP($E1310,类别归属,2,0),"※类别不在基础资料里"))</f>
        <v/>
      </c>
      <c r="G1310" s="13" t="n"/>
      <c r="H1310" s="13" t="n"/>
      <c r="I1310" s="13" t="n"/>
      <c r="J1310" s="14" t="n"/>
      <c r="K1310" s="14" t="n"/>
      <c r="L1310" s="19">
        <f>IF($C1310="","",ROUND(IFERROR(VLOOKUP($C1310,账户期初,2,0),0)+SUMIFS($J$4:J1310,$C$4:C1310,$C1310)-SUMIFS($K$4:K1310,$C$4:C1310,$C1310),2))</f>
        <v/>
      </c>
      <c r="M1310" s="19">
        <f>IF($C1310="","",ROUND(SUM(基础资料!$B$4:$B$13)+SUM($J$4:J1310)-SUM($K$4:K1310),2))</f>
        <v/>
      </c>
      <c r="N1310" s="13" t="n"/>
      <c r="O1310" s="13" t="n"/>
      <c r="P1310" s="17">
        <f>IF($B1310="","",IF($F1310="※类别不在基础资料里","※费用类别不在基础资料里",IF(AND(N($J1310)=0,N($K1310)=0),"※这行没填金额",IF(AND(N($J1310)&gt;0,N($K1310)&gt;0),"※收入和支出不能同一行都填",IF(AND($D1310="收入",N($J1310)=0),"※收入行要填收入金额",IF(AND($D1310="支出",N($K1310)=0),"※支出行要填支出金额",IF(AND($C1310&lt;&gt;"",ISNA(MATCH($C1310,账户表,0))),"※账户不在基础资料里",IF(AND($G1310&lt;&gt;"",ISNA(MATCH($G1310,项目名表,0))),"※项目不在项目台账里",IF(AND(LEFT($F1310,3)="成本-",$G1310=""),"※成本类支出没填项目",IF(AND(LEFT($F1310,3)="成本-",$H1310&lt;&gt;"",N($K1310)&gt;0,COUNTIFS(采购单!$B:$B,$B1310,采购单!$C:$C,$H1310,采购单!$L:$L,$K1310)&gt;0),"※这笔可能和采购单重复了",""))))))))))</f>
        <v/>
      </c>
    </row>
    <row r="1311">
      <c r="A1311" s="17">
        <f>IF($B1311="","",ROW()-3)</f>
        <v/>
      </c>
      <c r="B1311" s="18" t="n"/>
      <c r="C1311" s="13" t="n"/>
      <c r="D1311" s="13" t="n"/>
      <c r="E1311" s="13" t="n"/>
      <c r="F1311" s="17">
        <f>IF($E1311="","",IFERROR(VLOOKUP($E1311,类别归属,2,0),"※类别不在基础资料里"))</f>
        <v/>
      </c>
      <c r="G1311" s="13" t="n"/>
      <c r="H1311" s="13" t="n"/>
      <c r="I1311" s="13" t="n"/>
      <c r="J1311" s="14" t="n"/>
      <c r="K1311" s="14" t="n"/>
      <c r="L1311" s="19">
        <f>IF($C1311="","",ROUND(IFERROR(VLOOKUP($C1311,账户期初,2,0),0)+SUMIFS($J$4:J1311,$C$4:C1311,$C1311)-SUMIFS($K$4:K1311,$C$4:C1311,$C1311),2))</f>
        <v/>
      </c>
      <c r="M1311" s="19">
        <f>IF($C1311="","",ROUND(SUM(基础资料!$B$4:$B$13)+SUM($J$4:J1311)-SUM($K$4:K1311),2))</f>
        <v/>
      </c>
      <c r="N1311" s="13" t="n"/>
      <c r="O1311" s="13" t="n"/>
      <c r="P1311" s="17">
        <f>IF($B1311="","",IF($F1311="※类别不在基础资料里","※费用类别不在基础资料里",IF(AND(N($J1311)=0,N($K1311)=0),"※这行没填金额",IF(AND(N($J1311)&gt;0,N($K1311)&gt;0),"※收入和支出不能同一行都填",IF(AND($D1311="收入",N($J1311)=0),"※收入行要填收入金额",IF(AND($D1311="支出",N($K1311)=0),"※支出行要填支出金额",IF(AND($C1311&lt;&gt;"",ISNA(MATCH($C1311,账户表,0))),"※账户不在基础资料里",IF(AND($G1311&lt;&gt;"",ISNA(MATCH($G1311,项目名表,0))),"※项目不在项目台账里",IF(AND(LEFT($F1311,3)="成本-",$G1311=""),"※成本类支出没填项目",IF(AND(LEFT($F1311,3)="成本-",$H1311&lt;&gt;"",N($K1311)&gt;0,COUNTIFS(采购单!$B:$B,$B1311,采购单!$C:$C,$H1311,采购单!$L:$L,$K1311)&gt;0),"※这笔可能和采购单重复了",""))))))))))</f>
        <v/>
      </c>
    </row>
    <row r="1312">
      <c r="A1312" s="17">
        <f>IF($B1312="","",ROW()-3)</f>
        <v/>
      </c>
      <c r="B1312" s="18" t="n"/>
      <c r="C1312" s="13" t="n"/>
      <c r="D1312" s="13" t="n"/>
      <c r="E1312" s="13" t="n"/>
      <c r="F1312" s="17">
        <f>IF($E1312="","",IFERROR(VLOOKUP($E1312,类别归属,2,0),"※类别不在基础资料里"))</f>
        <v/>
      </c>
      <c r="G1312" s="13" t="n"/>
      <c r="H1312" s="13" t="n"/>
      <c r="I1312" s="13" t="n"/>
      <c r="J1312" s="14" t="n"/>
      <c r="K1312" s="14" t="n"/>
      <c r="L1312" s="19">
        <f>IF($C1312="","",ROUND(IFERROR(VLOOKUP($C1312,账户期初,2,0),0)+SUMIFS($J$4:J1312,$C$4:C1312,$C1312)-SUMIFS($K$4:K1312,$C$4:C1312,$C1312),2))</f>
        <v/>
      </c>
      <c r="M1312" s="19">
        <f>IF($C1312="","",ROUND(SUM(基础资料!$B$4:$B$13)+SUM($J$4:J1312)-SUM($K$4:K1312),2))</f>
        <v/>
      </c>
      <c r="N1312" s="13" t="n"/>
      <c r="O1312" s="13" t="n"/>
      <c r="P1312" s="17">
        <f>IF($B1312="","",IF($F1312="※类别不在基础资料里","※费用类别不在基础资料里",IF(AND(N($J1312)=0,N($K1312)=0),"※这行没填金额",IF(AND(N($J1312)&gt;0,N($K1312)&gt;0),"※收入和支出不能同一行都填",IF(AND($D1312="收入",N($J1312)=0),"※收入行要填收入金额",IF(AND($D1312="支出",N($K1312)=0),"※支出行要填支出金额",IF(AND($C1312&lt;&gt;"",ISNA(MATCH($C1312,账户表,0))),"※账户不在基础资料里",IF(AND($G1312&lt;&gt;"",ISNA(MATCH($G1312,项目名表,0))),"※项目不在项目台账里",IF(AND(LEFT($F1312,3)="成本-",$G1312=""),"※成本类支出没填项目",IF(AND(LEFT($F1312,3)="成本-",$H1312&lt;&gt;"",N($K1312)&gt;0,COUNTIFS(采购单!$B:$B,$B1312,采购单!$C:$C,$H1312,采购单!$L:$L,$K1312)&gt;0),"※这笔可能和采购单重复了",""))))))))))</f>
        <v/>
      </c>
    </row>
    <row r="1313">
      <c r="A1313" s="17">
        <f>IF($B1313="","",ROW()-3)</f>
        <v/>
      </c>
      <c r="B1313" s="18" t="n"/>
      <c r="C1313" s="13" t="n"/>
      <c r="D1313" s="13" t="n"/>
      <c r="E1313" s="13" t="n"/>
      <c r="F1313" s="17">
        <f>IF($E1313="","",IFERROR(VLOOKUP($E1313,类别归属,2,0),"※类别不在基础资料里"))</f>
        <v/>
      </c>
      <c r="G1313" s="13" t="n"/>
      <c r="H1313" s="13" t="n"/>
      <c r="I1313" s="13" t="n"/>
      <c r="J1313" s="14" t="n"/>
      <c r="K1313" s="14" t="n"/>
      <c r="L1313" s="19">
        <f>IF($C1313="","",ROUND(IFERROR(VLOOKUP($C1313,账户期初,2,0),0)+SUMIFS($J$4:J1313,$C$4:C1313,$C1313)-SUMIFS($K$4:K1313,$C$4:C1313,$C1313),2))</f>
        <v/>
      </c>
      <c r="M1313" s="19">
        <f>IF($C1313="","",ROUND(SUM(基础资料!$B$4:$B$13)+SUM($J$4:J1313)-SUM($K$4:K1313),2))</f>
        <v/>
      </c>
      <c r="N1313" s="13" t="n"/>
      <c r="O1313" s="13" t="n"/>
      <c r="P1313" s="17">
        <f>IF($B1313="","",IF($F1313="※类别不在基础资料里","※费用类别不在基础资料里",IF(AND(N($J1313)=0,N($K1313)=0),"※这行没填金额",IF(AND(N($J1313)&gt;0,N($K1313)&gt;0),"※收入和支出不能同一行都填",IF(AND($D1313="收入",N($J1313)=0),"※收入行要填收入金额",IF(AND($D1313="支出",N($K1313)=0),"※支出行要填支出金额",IF(AND($C1313&lt;&gt;"",ISNA(MATCH($C1313,账户表,0))),"※账户不在基础资料里",IF(AND($G1313&lt;&gt;"",ISNA(MATCH($G1313,项目名表,0))),"※项目不在项目台账里",IF(AND(LEFT($F1313,3)="成本-",$G1313=""),"※成本类支出没填项目",IF(AND(LEFT($F1313,3)="成本-",$H1313&lt;&gt;"",N($K1313)&gt;0,COUNTIFS(采购单!$B:$B,$B1313,采购单!$C:$C,$H1313,采购单!$L:$L,$K1313)&gt;0),"※这笔可能和采购单重复了",""))))))))))</f>
        <v/>
      </c>
    </row>
    <row r="1314">
      <c r="A1314" s="17">
        <f>IF($B1314="","",ROW()-3)</f>
        <v/>
      </c>
      <c r="B1314" s="18" t="n"/>
      <c r="C1314" s="13" t="n"/>
      <c r="D1314" s="13" t="n"/>
      <c r="E1314" s="13" t="n"/>
      <c r="F1314" s="17">
        <f>IF($E1314="","",IFERROR(VLOOKUP($E1314,类别归属,2,0),"※类别不在基础资料里"))</f>
        <v/>
      </c>
      <c r="G1314" s="13" t="n"/>
      <c r="H1314" s="13" t="n"/>
      <c r="I1314" s="13" t="n"/>
      <c r="J1314" s="14" t="n"/>
      <c r="K1314" s="14" t="n"/>
      <c r="L1314" s="19">
        <f>IF($C1314="","",ROUND(IFERROR(VLOOKUP($C1314,账户期初,2,0),0)+SUMIFS($J$4:J1314,$C$4:C1314,$C1314)-SUMIFS($K$4:K1314,$C$4:C1314,$C1314),2))</f>
        <v/>
      </c>
      <c r="M1314" s="19">
        <f>IF($C1314="","",ROUND(SUM(基础资料!$B$4:$B$13)+SUM($J$4:J1314)-SUM($K$4:K1314),2))</f>
        <v/>
      </c>
      <c r="N1314" s="13" t="n"/>
      <c r="O1314" s="13" t="n"/>
      <c r="P1314" s="17">
        <f>IF($B1314="","",IF($F1314="※类别不在基础资料里","※费用类别不在基础资料里",IF(AND(N($J1314)=0,N($K1314)=0),"※这行没填金额",IF(AND(N($J1314)&gt;0,N($K1314)&gt;0),"※收入和支出不能同一行都填",IF(AND($D1314="收入",N($J1314)=0),"※收入行要填收入金额",IF(AND($D1314="支出",N($K1314)=0),"※支出行要填支出金额",IF(AND($C1314&lt;&gt;"",ISNA(MATCH($C1314,账户表,0))),"※账户不在基础资料里",IF(AND($G1314&lt;&gt;"",ISNA(MATCH($G1314,项目名表,0))),"※项目不在项目台账里",IF(AND(LEFT($F1314,3)="成本-",$G1314=""),"※成本类支出没填项目",IF(AND(LEFT($F1314,3)="成本-",$H1314&lt;&gt;"",N($K1314)&gt;0,COUNTIFS(采购单!$B:$B,$B1314,采购单!$C:$C,$H1314,采购单!$L:$L,$K1314)&gt;0),"※这笔可能和采购单重复了",""))))))))))</f>
        <v/>
      </c>
    </row>
    <row r="1315">
      <c r="A1315" s="17">
        <f>IF($B1315="","",ROW()-3)</f>
        <v/>
      </c>
      <c r="B1315" s="18" t="n"/>
      <c r="C1315" s="13" t="n"/>
      <c r="D1315" s="13" t="n"/>
      <c r="E1315" s="13" t="n"/>
      <c r="F1315" s="17">
        <f>IF($E1315="","",IFERROR(VLOOKUP($E1315,类别归属,2,0),"※类别不在基础资料里"))</f>
        <v/>
      </c>
      <c r="G1315" s="13" t="n"/>
      <c r="H1315" s="13" t="n"/>
      <c r="I1315" s="13" t="n"/>
      <c r="J1315" s="14" t="n"/>
      <c r="K1315" s="14" t="n"/>
      <c r="L1315" s="19">
        <f>IF($C1315="","",ROUND(IFERROR(VLOOKUP($C1315,账户期初,2,0),0)+SUMIFS($J$4:J1315,$C$4:C1315,$C1315)-SUMIFS($K$4:K1315,$C$4:C1315,$C1315),2))</f>
        <v/>
      </c>
      <c r="M1315" s="19">
        <f>IF($C1315="","",ROUND(SUM(基础资料!$B$4:$B$13)+SUM($J$4:J1315)-SUM($K$4:K1315),2))</f>
        <v/>
      </c>
      <c r="N1315" s="13" t="n"/>
      <c r="O1315" s="13" t="n"/>
      <c r="P1315" s="17">
        <f>IF($B1315="","",IF($F1315="※类别不在基础资料里","※费用类别不在基础资料里",IF(AND(N($J1315)=0,N($K1315)=0),"※这行没填金额",IF(AND(N($J1315)&gt;0,N($K1315)&gt;0),"※收入和支出不能同一行都填",IF(AND($D1315="收入",N($J1315)=0),"※收入行要填收入金额",IF(AND($D1315="支出",N($K1315)=0),"※支出行要填支出金额",IF(AND($C1315&lt;&gt;"",ISNA(MATCH($C1315,账户表,0))),"※账户不在基础资料里",IF(AND($G1315&lt;&gt;"",ISNA(MATCH($G1315,项目名表,0))),"※项目不在项目台账里",IF(AND(LEFT($F1315,3)="成本-",$G1315=""),"※成本类支出没填项目",IF(AND(LEFT($F1315,3)="成本-",$H1315&lt;&gt;"",N($K1315)&gt;0,COUNTIFS(采购单!$B:$B,$B1315,采购单!$C:$C,$H1315,采购单!$L:$L,$K1315)&gt;0),"※这笔可能和采购单重复了",""))))))))))</f>
        <v/>
      </c>
    </row>
    <row r="1316">
      <c r="A1316" s="17">
        <f>IF($B1316="","",ROW()-3)</f>
        <v/>
      </c>
      <c r="B1316" s="18" t="n"/>
      <c r="C1316" s="13" t="n"/>
      <c r="D1316" s="13" t="n"/>
      <c r="E1316" s="13" t="n"/>
      <c r="F1316" s="17">
        <f>IF($E1316="","",IFERROR(VLOOKUP($E1316,类别归属,2,0),"※类别不在基础资料里"))</f>
        <v/>
      </c>
      <c r="G1316" s="13" t="n"/>
      <c r="H1316" s="13" t="n"/>
      <c r="I1316" s="13" t="n"/>
      <c r="J1316" s="14" t="n"/>
      <c r="K1316" s="14" t="n"/>
      <c r="L1316" s="19">
        <f>IF($C1316="","",ROUND(IFERROR(VLOOKUP($C1316,账户期初,2,0),0)+SUMIFS($J$4:J1316,$C$4:C1316,$C1316)-SUMIFS($K$4:K1316,$C$4:C1316,$C1316),2))</f>
        <v/>
      </c>
      <c r="M1316" s="19">
        <f>IF($C1316="","",ROUND(SUM(基础资料!$B$4:$B$13)+SUM($J$4:J1316)-SUM($K$4:K1316),2))</f>
        <v/>
      </c>
      <c r="N1316" s="13" t="n"/>
      <c r="O1316" s="13" t="n"/>
      <c r="P1316" s="17">
        <f>IF($B1316="","",IF($F1316="※类别不在基础资料里","※费用类别不在基础资料里",IF(AND(N($J1316)=0,N($K1316)=0),"※这行没填金额",IF(AND(N($J1316)&gt;0,N($K1316)&gt;0),"※收入和支出不能同一行都填",IF(AND($D1316="收入",N($J1316)=0),"※收入行要填收入金额",IF(AND($D1316="支出",N($K1316)=0),"※支出行要填支出金额",IF(AND($C1316&lt;&gt;"",ISNA(MATCH($C1316,账户表,0))),"※账户不在基础资料里",IF(AND($G1316&lt;&gt;"",ISNA(MATCH($G1316,项目名表,0))),"※项目不在项目台账里",IF(AND(LEFT($F1316,3)="成本-",$G1316=""),"※成本类支出没填项目",IF(AND(LEFT($F1316,3)="成本-",$H1316&lt;&gt;"",N($K1316)&gt;0,COUNTIFS(采购单!$B:$B,$B1316,采购单!$C:$C,$H1316,采购单!$L:$L,$K1316)&gt;0),"※这笔可能和采购单重复了",""))))))))))</f>
        <v/>
      </c>
    </row>
    <row r="1317">
      <c r="A1317" s="17">
        <f>IF($B1317="","",ROW()-3)</f>
        <v/>
      </c>
      <c r="B1317" s="18" t="n"/>
      <c r="C1317" s="13" t="n"/>
      <c r="D1317" s="13" t="n"/>
      <c r="E1317" s="13" t="n"/>
      <c r="F1317" s="17">
        <f>IF($E1317="","",IFERROR(VLOOKUP($E1317,类别归属,2,0),"※类别不在基础资料里"))</f>
        <v/>
      </c>
      <c r="G1317" s="13" t="n"/>
      <c r="H1317" s="13" t="n"/>
      <c r="I1317" s="13" t="n"/>
      <c r="J1317" s="14" t="n"/>
      <c r="K1317" s="14" t="n"/>
      <c r="L1317" s="19">
        <f>IF($C1317="","",ROUND(IFERROR(VLOOKUP($C1317,账户期初,2,0),0)+SUMIFS($J$4:J1317,$C$4:C1317,$C1317)-SUMIFS($K$4:K1317,$C$4:C1317,$C1317),2))</f>
        <v/>
      </c>
      <c r="M1317" s="19">
        <f>IF($C1317="","",ROUND(SUM(基础资料!$B$4:$B$13)+SUM($J$4:J1317)-SUM($K$4:K1317),2))</f>
        <v/>
      </c>
      <c r="N1317" s="13" t="n"/>
      <c r="O1317" s="13" t="n"/>
      <c r="P1317" s="17">
        <f>IF($B1317="","",IF($F1317="※类别不在基础资料里","※费用类别不在基础资料里",IF(AND(N($J1317)=0,N($K1317)=0),"※这行没填金额",IF(AND(N($J1317)&gt;0,N($K1317)&gt;0),"※收入和支出不能同一行都填",IF(AND($D1317="收入",N($J1317)=0),"※收入行要填收入金额",IF(AND($D1317="支出",N($K1317)=0),"※支出行要填支出金额",IF(AND($C1317&lt;&gt;"",ISNA(MATCH($C1317,账户表,0))),"※账户不在基础资料里",IF(AND($G1317&lt;&gt;"",ISNA(MATCH($G1317,项目名表,0))),"※项目不在项目台账里",IF(AND(LEFT($F1317,3)="成本-",$G1317=""),"※成本类支出没填项目",IF(AND(LEFT($F1317,3)="成本-",$H1317&lt;&gt;"",N($K1317)&gt;0,COUNTIFS(采购单!$B:$B,$B1317,采购单!$C:$C,$H1317,采购单!$L:$L,$K1317)&gt;0),"※这笔可能和采购单重复了",""))))))))))</f>
        <v/>
      </c>
    </row>
    <row r="1318">
      <c r="A1318" s="17">
        <f>IF($B1318="","",ROW()-3)</f>
        <v/>
      </c>
      <c r="B1318" s="18" t="n"/>
      <c r="C1318" s="13" t="n"/>
      <c r="D1318" s="13" t="n"/>
      <c r="E1318" s="13" t="n"/>
      <c r="F1318" s="17">
        <f>IF($E1318="","",IFERROR(VLOOKUP($E1318,类别归属,2,0),"※类别不在基础资料里"))</f>
        <v/>
      </c>
      <c r="G1318" s="13" t="n"/>
      <c r="H1318" s="13" t="n"/>
      <c r="I1318" s="13" t="n"/>
      <c r="J1318" s="14" t="n"/>
      <c r="K1318" s="14" t="n"/>
      <c r="L1318" s="19">
        <f>IF($C1318="","",ROUND(IFERROR(VLOOKUP($C1318,账户期初,2,0),0)+SUMIFS($J$4:J1318,$C$4:C1318,$C1318)-SUMIFS($K$4:K1318,$C$4:C1318,$C1318),2))</f>
        <v/>
      </c>
      <c r="M1318" s="19">
        <f>IF($C1318="","",ROUND(SUM(基础资料!$B$4:$B$13)+SUM($J$4:J1318)-SUM($K$4:K1318),2))</f>
        <v/>
      </c>
      <c r="N1318" s="13" t="n"/>
      <c r="O1318" s="13" t="n"/>
      <c r="P1318" s="17">
        <f>IF($B1318="","",IF($F1318="※类别不在基础资料里","※费用类别不在基础资料里",IF(AND(N($J1318)=0,N($K1318)=0),"※这行没填金额",IF(AND(N($J1318)&gt;0,N($K1318)&gt;0),"※收入和支出不能同一行都填",IF(AND($D1318="收入",N($J1318)=0),"※收入行要填收入金额",IF(AND($D1318="支出",N($K1318)=0),"※支出行要填支出金额",IF(AND($C1318&lt;&gt;"",ISNA(MATCH($C1318,账户表,0))),"※账户不在基础资料里",IF(AND($G1318&lt;&gt;"",ISNA(MATCH($G1318,项目名表,0))),"※项目不在项目台账里",IF(AND(LEFT($F1318,3)="成本-",$G1318=""),"※成本类支出没填项目",IF(AND(LEFT($F1318,3)="成本-",$H1318&lt;&gt;"",N($K1318)&gt;0,COUNTIFS(采购单!$B:$B,$B1318,采购单!$C:$C,$H1318,采购单!$L:$L,$K1318)&gt;0),"※这笔可能和采购单重复了",""))))))))))</f>
        <v/>
      </c>
    </row>
    <row r="1319">
      <c r="A1319" s="17">
        <f>IF($B1319="","",ROW()-3)</f>
        <v/>
      </c>
      <c r="B1319" s="18" t="n"/>
      <c r="C1319" s="13" t="n"/>
      <c r="D1319" s="13" t="n"/>
      <c r="E1319" s="13" t="n"/>
      <c r="F1319" s="17">
        <f>IF($E1319="","",IFERROR(VLOOKUP($E1319,类别归属,2,0),"※类别不在基础资料里"))</f>
        <v/>
      </c>
      <c r="G1319" s="13" t="n"/>
      <c r="H1319" s="13" t="n"/>
      <c r="I1319" s="13" t="n"/>
      <c r="J1319" s="14" t="n"/>
      <c r="K1319" s="14" t="n"/>
      <c r="L1319" s="19">
        <f>IF($C1319="","",ROUND(IFERROR(VLOOKUP($C1319,账户期初,2,0),0)+SUMIFS($J$4:J1319,$C$4:C1319,$C1319)-SUMIFS($K$4:K1319,$C$4:C1319,$C1319),2))</f>
        <v/>
      </c>
      <c r="M1319" s="19">
        <f>IF($C1319="","",ROUND(SUM(基础资料!$B$4:$B$13)+SUM($J$4:J1319)-SUM($K$4:K1319),2))</f>
        <v/>
      </c>
      <c r="N1319" s="13" t="n"/>
      <c r="O1319" s="13" t="n"/>
      <c r="P1319" s="17">
        <f>IF($B1319="","",IF($F1319="※类别不在基础资料里","※费用类别不在基础资料里",IF(AND(N($J1319)=0,N($K1319)=0),"※这行没填金额",IF(AND(N($J1319)&gt;0,N($K1319)&gt;0),"※收入和支出不能同一行都填",IF(AND($D1319="收入",N($J1319)=0),"※收入行要填收入金额",IF(AND($D1319="支出",N($K1319)=0),"※支出行要填支出金额",IF(AND($C1319&lt;&gt;"",ISNA(MATCH($C1319,账户表,0))),"※账户不在基础资料里",IF(AND($G1319&lt;&gt;"",ISNA(MATCH($G1319,项目名表,0))),"※项目不在项目台账里",IF(AND(LEFT($F1319,3)="成本-",$G1319=""),"※成本类支出没填项目",IF(AND(LEFT($F1319,3)="成本-",$H1319&lt;&gt;"",N($K1319)&gt;0,COUNTIFS(采购单!$B:$B,$B1319,采购单!$C:$C,$H1319,采购单!$L:$L,$K1319)&gt;0),"※这笔可能和采购单重复了",""))))))))))</f>
        <v/>
      </c>
    </row>
    <row r="1320">
      <c r="A1320" s="17">
        <f>IF($B1320="","",ROW()-3)</f>
        <v/>
      </c>
      <c r="B1320" s="18" t="n"/>
      <c r="C1320" s="13" t="n"/>
      <c r="D1320" s="13" t="n"/>
      <c r="E1320" s="13" t="n"/>
      <c r="F1320" s="17">
        <f>IF($E1320="","",IFERROR(VLOOKUP($E1320,类别归属,2,0),"※类别不在基础资料里"))</f>
        <v/>
      </c>
      <c r="G1320" s="13" t="n"/>
      <c r="H1320" s="13" t="n"/>
      <c r="I1320" s="13" t="n"/>
      <c r="J1320" s="14" t="n"/>
      <c r="K1320" s="14" t="n"/>
      <c r="L1320" s="19">
        <f>IF($C1320="","",ROUND(IFERROR(VLOOKUP($C1320,账户期初,2,0),0)+SUMIFS($J$4:J1320,$C$4:C1320,$C1320)-SUMIFS($K$4:K1320,$C$4:C1320,$C1320),2))</f>
        <v/>
      </c>
      <c r="M1320" s="19">
        <f>IF($C1320="","",ROUND(SUM(基础资料!$B$4:$B$13)+SUM($J$4:J1320)-SUM($K$4:K1320),2))</f>
        <v/>
      </c>
      <c r="N1320" s="13" t="n"/>
      <c r="O1320" s="13" t="n"/>
      <c r="P1320" s="17">
        <f>IF($B1320="","",IF($F1320="※类别不在基础资料里","※费用类别不在基础资料里",IF(AND(N($J1320)=0,N($K1320)=0),"※这行没填金额",IF(AND(N($J1320)&gt;0,N($K1320)&gt;0),"※收入和支出不能同一行都填",IF(AND($D1320="收入",N($J1320)=0),"※收入行要填收入金额",IF(AND($D1320="支出",N($K1320)=0),"※支出行要填支出金额",IF(AND($C1320&lt;&gt;"",ISNA(MATCH($C1320,账户表,0))),"※账户不在基础资料里",IF(AND($G1320&lt;&gt;"",ISNA(MATCH($G1320,项目名表,0))),"※项目不在项目台账里",IF(AND(LEFT($F1320,3)="成本-",$G1320=""),"※成本类支出没填项目",IF(AND(LEFT($F1320,3)="成本-",$H1320&lt;&gt;"",N($K1320)&gt;0,COUNTIFS(采购单!$B:$B,$B1320,采购单!$C:$C,$H1320,采购单!$L:$L,$K1320)&gt;0),"※这笔可能和采购单重复了",""))))))))))</f>
        <v/>
      </c>
    </row>
    <row r="1321">
      <c r="A1321" s="17">
        <f>IF($B1321="","",ROW()-3)</f>
        <v/>
      </c>
      <c r="B1321" s="18" t="n"/>
      <c r="C1321" s="13" t="n"/>
      <c r="D1321" s="13" t="n"/>
      <c r="E1321" s="13" t="n"/>
      <c r="F1321" s="17">
        <f>IF($E1321="","",IFERROR(VLOOKUP($E1321,类别归属,2,0),"※类别不在基础资料里"))</f>
        <v/>
      </c>
      <c r="G1321" s="13" t="n"/>
      <c r="H1321" s="13" t="n"/>
      <c r="I1321" s="13" t="n"/>
      <c r="J1321" s="14" t="n"/>
      <c r="K1321" s="14" t="n"/>
      <c r="L1321" s="19">
        <f>IF($C1321="","",ROUND(IFERROR(VLOOKUP($C1321,账户期初,2,0),0)+SUMIFS($J$4:J1321,$C$4:C1321,$C1321)-SUMIFS($K$4:K1321,$C$4:C1321,$C1321),2))</f>
        <v/>
      </c>
      <c r="M1321" s="19">
        <f>IF($C1321="","",ROUND(SUM(基础资料!$B$4:$B$13)+SUM($J$4:J1321)-SUM($K$4:K1321),2))</f>
        <v/>
      </c>
      <c r="N1321" s="13" t="n"/>
      <c r="O1321" s="13" t="n"/>
      <c r="P1321" s="17">
        <f>IF($B1321="","",IF($F1321="※类别不在基础资料里","※费用类别不在基础资料里",IF(AND(N($J1321)=0,N($K1321)=0),"※这行没填金额",IF(AND(N($J1321)&gt;0,N($K1321)&gt;0),"※收入和支出不能同一行都填",IF(AND($D1321="收入",N($J1321)=0),"※收入行要填收入金额",IF(AND($D1321="支出",N($K1321)=0),"※支出行要填支出金额",IF(AND($C1321&lt;&gt;"",ISNA(MATCH($C1321,账户表,0))),"※账户不在基础资料里",IF(AND($G1321&lt;&gt;"",ISNA(MATCH($G1321,项目名表,0))),"※项目不在项目台账里",IF(AND(LEFT($F1321,3)="成本-",$G1321=""),"※成本类支出没填项目",IF(AND(LEFT($F1321,3)="成本-",$H1321&lt;&gt;"",N($K1321)&gt;0,COUNTIFS(采购单!$B:$B,$B1321,采购单!$C:$C,$H1321,采购单!$L:$L,$K1321)&gt;0),"※这笔可能和采购单重复了",""))))))))))</f>
        <v/>
      </c>
    </row>
    <row r="1322">
      <c r="A1322" s="17">
        <f>IF($B1322="","",ROW()-3)</f>
        <v/>
      </c>
      <c r="B1322" s="18" t="n"/>
      <c r="C1322" s="13" t="n"/>
      <c r="D1322" s="13" t="n"/>
      <c r="E1322" s="13" t="n"/>
      <c r="F1322" s="17">
        <f>IF($E1322="","",IFERROR(VLOOKUP($E1322,类别归属,2,0),"※类别不在基础资料里"))</f>
        <v/>
      </c>
      <c r="G1322" s="13" t="n"/>
      <c r="H1322" s="13" t="n"/>
      <c r="I1322" s="13" t="n"/>
      <c r="J1322" s="14" t="n"/>
      <c r="K1322" s="14" t="n"/>
      <c r="L1322" s="19">
        <f>IF($C1322="","",ROUND(IFERROR(VLOOKUP($C1322,账户期初,2,0),0)+SUMIFS($J$4:J1322,$C$4:C1322,$C1322)-SUMIFS($K$4:K1322,$C$4:C1322,$C1322),2))</f>
        <v/>
      </c>
      <c r="M1322" s="19">
        <f>IF($C1322="","",ROUND(SUM(基础资料!$B$4:$B$13)+SUM($J$4:J1322)-SUM($K$4:K1322),2))</f>
        <v/>
      </c>
      <c r="N1322" s="13" t="n"/>
      <c r="O1322" s="13" t="n"/>
      <c r="P1322" s="17">
        <f>IF($B1322="","",IF($F1322="※类别不在基础资料里","※费用类别不在基础资料里",IF(AND(N($J1322)=0,N($K1322)=0),"※这行没填金额",IF(AND(N($J1322)&gt;0,N($K1322)&gt;0),"※收入和支出不能同一行都填",IF(AND($D1322="收入",N($J1322)=0),"※收入行要填收入金额",IF(AND($D1322="支出",N($K1322)=0),"※支出行要填支出金额",IF(AND($C1322&lt;&gt;"",ISNA(MATCH($C1322,账户表,0))),"※账户不在基础资料里",IF(AND($G1322&lt;&gt;"",ISNA(MATCH($G1322,项目名表,0))),"※项目不在项目台账里",IF(AND(LEFT($F1322,3)="成本-",$G1322=""),"※成本类支出没填项目",IF(AND(LEFT($F1322,3)="成本-",$H1322&lt;&gt;"",N($K1322)&gt;0,COUNTIFS(采购单!$B:$B,$B1322,采购单!$C:$C,$H1322,采购单!$L:$L,$K1322)&gt;0),"※这笔可能和采购单重复了",""))))))))))</f>
        <v/>
      </c>
    </row>
    <row r="1323">
      <c r="A1323" s="17">
        <f>IF($B1323="","",ROW()-3)</f>
        <v/>
      </c>
      <c r="B1323" s="18" t="n"/>
      <c r="C1323" s="13" t="n"/>
      <c r="D1323" s="13" t="n"/>
      <c r="E1323" s="13" t="n"/>
      <c r="F1323" s="17">
        <f>IF($E1323="","",IFERROR(VLOOKUP($E1323,类别归属,2,0),"※类别不在基础资料里"))</f>
        <v/>
      </c>
      <c r="G1323" s="13" t="n"/>
      <c r="H1323" s="13" t="n"/>
      <c r="I1323" s="13" t="n"/>
      <c r="J1323" s="14" t="n"/>
      <c r="K1323" s="14" t="n"/>
      <c r="L1323" s="19">
        <f>IF($C1323="","",ROUND(IFERROR(VLOOKUP($C1323,账户期初,2,0),0)+SUMIFS($J$4:J1323,$C$4:C1323,$C1323)-SUMIFS($K$4:K1323,$C$4:C1323,$C1323),2))</f>
        <v/>
      </c>
      <c r="M1323" s="19">
        <f>IF($C1323="","",ROUND(SUM(基础资料!$B$4:$B$13)+SUM($J$4:J1323)-SUM($K$4:K1323),2))</f>
        <v/>
      </c>
      <c r="N1323" s="13" t="n"/>
      <c r="O1323" s="13" t="n"/>
      <c r="P1323" s="17">
        <f>IF($B1323="","",IF($F1323="※类别不在基础资料里","※费用类别不在基础资料里",IF(AND(N($J1323)=0,N($K1323)=0),"※这行没填金额",IF(AND(N($J1323)&gt;0,N($K1323)&gt;0),"※收入和支出不能同一行都填",IF(AND($D1323="收入",N($J1323)=0),"※收入行要填收入金额",IF(AND($D1323="支出",N($K1323)=0),"※支出行要填支出金额",IF(AND($C1323&lt;&gt;"",ISNA(MATCH($C1323,账户表,0))),"※账户不在基础资料里",IF(AND($G1323&lt;&gt;"",ISNA(MATCH($G1323,项目名表,0))),"※项目不在项目台账里",IF(AND(LEFT($F1323,3)="成本-",$G1323=""),"※成本类支出没填项目",IF(AND(LEFT($F1323,3)="成本-",$H1323&lt;&gt;"",N($K1323)&gt;0,COUNTIFS(采购单!$B:$B,$B1323,采购单!$C:$C,$H1323,采购单!$L:$L,$K1323)&gt;0),"※这笔可能和采购单重复了",""))))))))))</f>
        <v/>
      </c>
    </row>
    <row r="1324">
      <c r="A1324" s="17">
        <f>IF($B1324="","",ROW()-3)</f>
        <v/>
      </c>
      <c r="B1324" s="18" t="n"/>
      <c r="C1324" s="13" t="n"/>
      <c r="D1324" s="13" t="n"/>
      <c r="E1324" s="13" t="n"/>
      <c r="F1324" s="17">
        <f>IF($E1324="","",IFERROR(VLOOKUP($E1324,类别归属,2,0),"※类别不在基础资料里"))</f>
        <v/>
      </c>
      <c r="G1324" s="13" t="n"/>
      <c r="H1324" s="13" t="n"/>
      <c r="I1324" s="13" t="n"/>
      <c r="J1324" s="14" t="n"/>
      <c r="K1324" s="14" t="n"/>
      <c r="L1324" s="19">
        <f>IF($C1324="","",ROUND(IFERROR(VLOOKUP($C1324,账户期初,2,0),0)+SUMIFS($J$4:J1324,$C$4:C1324,$C1324)-SUMIFS($K$4:K1324,$C$4:C1324,$C1324),2))</f>
        <v/>
      </c>
      <c r="M1324" s="19">
        <f>IF($C1324="","",ROUND(SUM(基础资料!$B$4:$B$13)+SUM($J$4:J1324)-SUM($K$4:K1324),2))</f>
        <v/>
      </c>
      <c r="N1324" s="13" t="n"/>
      <c r="O1324" s="13" t="n"/>
      <c r="P1324" s="17">
        <f>IF($B1324="","",IF($F1324="※类别不在基础资料里","※费用类别不在基础资料里",IF(AND(N($J1324)=0,N($K1324)=0),"※这行没填金额",IF(AND(N($J1324)&gt;0,N($K1324)&gt;0),"※收入和支出不能同一行都填",IF(AND($D1324="收入",N($J1324)=0),"※收入行要填收入金额",IF(AND($D1324="支出",N($K1324)=0),"※支出行要填支出金额",IF(AND($C1324&lt;&gt;"",ISNA(MATCH($C1324,账户表,0))),"※账户不在基础资料里",IF(AND($G1324&lt;&gt;"",ISNA(MATCH($G1324,项目名表,0))),"※项目不在项目台账里",IF(AND(LEFT($F1324,3)="成本-",$G1324=""),"※成本类支出没填项目",IF(AND(LEFT($F1324,3)="成本-",$H1324&lt;&gt;"",N($K1324)&gt;0,COUNTIFS(采购单!$B:$B,$B1324,采购单!$C:$C,$H1324,采购单!$L:$L,$K1324)&gt;0),"※这笔可能和采购单重复了",""))))))))))</f>
        <v/>
      </c>
    </row>
    <row r="1325">
      <c r="A1325" s="17">
        <f>IF($B1325="","",ROW()-3)</f>
        <v/>
      </c>
      <c r="B1325" s="18" t="n"/>
      <c r="C1325" s="13" t="n"/>
      <c r="D1325" s="13" t="n"/>
      <c r="E1325" s="13" t="n"/>
      <c r="F1325" s="17">
        <f>IF($E1325="","",IFERROR(VLOOKUP($E1325,类别归属,2,0),"※类别不在基础资料里"))</f>
        <v/>
      </c>
      <c r="G1325" s="13" t="n"/>
      <c r="H1325" s="13" t="n"/>
      <c r="I1325" s="13" t="n"/>
      <c r="J1325" s="14" t="n"/>
      <c r="K1325" s="14" t="n"/>
      <c r="L1325" s="19">
        <f>IF($C1325="","",ROUND(IFERROR(VLOOKUP($C1325,账户期初,2,0),0)+SUMIFS($J$4:J1325,$C$4:C1325,$C1325)-SUMIFS($K$4:K1325,$C$4:C1325,$C1325),2))</f>
        <v/>
      </c>
      <c r="M1325" s="19">
        <f>IF($C1325="","",ROUND(SUM(基础资料!$B$4:$B$13)+SUM($J$4:J1325)-SUM($K$4:K1325),2))</f>
        <v/>
      </c>
      <c r="N1325" s="13" t="n"/>
      <c r="O1325" s="13" t="n"/>
      <c r="P1325" s="17">
        <f>IF($B1325="","",IF($F1325="※类别不在基础资料里","※费用类别不在基础资料里",IF(AND(N($J1325)=0,N($K1325)=0),"※这行没填金额",IF(AND(N($J1325)&gt;0,N($K1325)&gt;0),"※收入和支出不能同一行都填",IF(AND($D1325="收入",N($J1325)=0),"※收入行要填收入金额",IF(AND($D1325="支出",N($K1325)=0),"※支出行要填支出金额",IF(AND($C1325&lt;&gt;"",ISNA(MATCH($C1325,账户表,0))),"※账户不在基础资料里",IF(AND($G1325&lt;&gt;"",ISNA(MATCH($G1325,项目名表,0))),"※项目不在项目台账里",IF(AND(LEFT($F1325,3)="成本-",$G1325=""),"※成本类支出没填项目",IF(AND(LEFT($F1325,3)="成本-",$H1325&lt;&gt;"",N($K1325)&gt;0,COUNTIFS(采购单!$B:$B,$B1325,采购单!$C:$C,$H1325,采购单!$L:$L,$K1325)&gt;0),"※这笔可能和采购单重复了",""))))))))))</f>
        <v/>
      </c>
    </row>
    <row r="1326">
      <c r="A1326" s="17">
        <f>IF($B1326="","",ROW()-3)</f>
        <v/>
      </c>
      <c r="B1326" s="18" t="n"/>
      <c r="C1326" s="13" t="n"/>
      <c r="D1326" s="13" t="n"/>
      <c r="E1326" s="13" t="n"/>
      <c r="F1326" s="17">
        <f>IF($E1326="","",IFERROR(VLOOKUP($E1326,类别归属,2,0),"※类别不在基础资料里"))</f>
        <v/>
      </c>
      <c r="G1326" s="13" t="n"/>
      <c r="H1326" s="13" t="n"/>
      <c r="I1326" s="13" t="n"/>
      <c r="J1326" s="14" t="n"/>
      <c r="K1326" s="14" t="n"/>
      <c r="L1326" s="19">
        <f>IF($C1326="","",ROUND(IFERROR(VLOOKUP($C1326,账户期初,2,0),0)+SUMIFS($J$4:J1326,$C$4:C1326,$C1326)-SUMIFS($K$4:K1326,$C$4:C1326,$C1326),2))</f>
        <v/>
      </c>
      <c r="M1326" s="19">
        <f>IF($C1326="","",ROUND(SUM(基础资料!$B$4:$B$13)+SUM($J$4:J1326)-SUM($K$4:K1326),2))</f>
        <v/>
      </c>
      <c r="N1326" s="13" t="n"/>
      <c r="O1326" s="13" t="n"/>
      <c r="P1326" s="17">
        <f>IF($B1326="","",IF($F1326="※类别不在基础资料里","※费用类别不在基础资料里",IF(AND(N($J1326)=0,N($K1326)=0),"※这行没填金额",IF(AND(N($J1326)&gt;0,N($K1326)&gt;0),"※收入和支出不能同一行都填",IF(AND($D1326="收入",N($J1326)=0),"※收入行要填收入金额",IF(AND($D1326="支出",N($K1326)=0),"※支出行要填支出金额",IF(AND($C1326&lt;&gt;"",ISNA(MATCH($C1326,账户表,0))),"※账户不在基础资料里",IF(AND($G1326&lt;&gt;"",ISNA(MATCH($G1326,项目名表,0))),"※项目不在项目台账里",IF(AND(LEFT($F1326,3)="成本-",$G1326=""),"※成本类支出没填项目",IF(AND(LEFT($F1326,3)="成本-",$H1326&lt;&gt;"",N($K1326)&gt;0,COUNTIFS(采购单!$B:$B,$B1326,采购单!$C:$C,$H1326,采购单!$L:$L,$K1326)&gt;0),"※这笔可能和采购单重复了",""))))))))))</f>
        <v/>
      </c>
    </row>
    <row r="1327">
      <c r="A1327" s="17">
        <f>IF($B1327="","",ROW()-3)</f>
        <v/>
      </c>
      <c r="B1327" s="18" t="n"/>
      <c r="C1327" s="13" t="n"/>
      <c r="D1327" s="13" t="n"/>
      <c r="E1327" s="13" t="n"/>
      <c r="F1327" s="17">
        <f>IF($E1327="","",IFERROR(VLOOKUP($E1327,类别归属,2,0),"※类别不在基础资料里"))</f>
        <v/>
      </c>
      <c r="G1327" s="13" t="n"/>
      <c r="H1327" s="13" t="n"/>
      <c r="I1327" s="13" t="n"/>
      <c r="J1327" s="14" t="n"/>
      <c r="K1327" s="14" t="n"/>
      <c r="L1327" s="19">
        <f>IF($C1327="","",ROUND(IFERROR(VLOOKUP($C1327,账户期初,2,0),0)+SUMIFS($J$4:J1327,$C$4:C1327,$C1327)-SUMIFS($K$4:K1327,$C$4:C1327,$C1327),2))</f>
        <v/>
      </c>
      <c r="M1327" s="19">
        <f>IF($C1327="","",ROUND(SUM(基础资料!$B$4:$B$13)+SUM($J$4:J1327)-SUM($K$4:K1327),2))</f>
        <v/>
      </c>
      <c r="N1327" s="13" t="n"/>
      <c r="O1327" s="13" t="n"/>
      <c r="P1327" s="17">
        <f>IF($B1327="","",IF($F1327="※类别不在基础资料里","※费用类别不在基础资料里",IF(AND(N($J1327)=0,N($K1327)=0),"※这行没填金额",IF(AND(N($J1327)&gt;0,N($K1327)&gt;0),"※收入和支出不能同一行都填",IF(AND($D1327="收入",N($J1327)=0),"※收入行要填收入金额",IF(AND($D1327="支出",N($K1327)=0),"※支出行要填支出金额",IF(AND($C1327&lt;&gt;"",ISNA(MATCH($C1327,账户表,0))),"※账户不在基础资料里",IF(AND($G1327&lt;&gt;"",ISNA(MATCH($G1327,项目名表,0))),"※项目不在项目台账里",IF(AND(LEFT($F1327,3)="成本-",$G1327=""),"※成本类支出没填项目",IF(AND(LEFT($F1327,3)="成本-",$H1327&lt;&gt;"",N($K1327)&gt;0,COUNTIFS(采购单!$B:$B,$B1327,采购单!$C:$C,$H1327,采购单!$L:$L,$K1327)&gt;0),"※这笔可能和采购单重复了",""))))))))))</f>
        <v/>
      </c>
    </row>
    <row r="1328">
      <c r="A1328" s="17">
        <f>IF($B1328="","",ROW()-3)</f>
        <v/>
      </c>
      <c r="B1328" s="18" t="n"/>
      <c r="C1328" s="13" t="n"/>
      <c r="D1328" s="13" t="n"/>
      <c r="E1328" s="13" t="n"/>
      <c r="F1328" s="17">
        <f>IF($E1328="","",IFERROR(VLOOKUP($E1328,类别归属,2,0),"※类别不在基础资料里"))</f>
        <v/>
      </c>
      <c r="G1328" s="13" t="n"/>
      <c r="H1328" s="13" t="n"/>
      <c r="I1328" s="13" t="n"/>
      <c r="J1328" s="14" t="n"/>
      <c r="K1328" s="14" t="n"/>
      <c r="L1328" s="19">
        <f>IF($C1328="","",ROUND(IFERROR(VLOOKUP($C1328,账户期初,2,0),0)+SUMIFS($J$4:J1328,$C$4:C1328,$C1328)-SUMIFS($K$4:K1328,$C$4:C1328,$C1328),2))</f>
        <v/>
      </c>
      <c r="M1328" s="19">
        <f>IF($C1328="","",ROUND(SUM(基础资料!$B$4:$B$13)+SUM($J$4:J1328)-SUM($K$4:K1328),2))</f>
        <v/>
      </c>
      <c r="N1328" s="13" t="n"/>
      <c r="O1328" s="13" t="n"/>
      <c r="P1328" s="17">
        <f>IF($B1328="","",IF($F1328="※类别不在基础资料里","※费用类别不在基础资料里",IF(AND(N($J1328)=0,N($K1328)=0),"※这行没填金额",IF(AND(N($J1328)&gt;0,N($K1328)&gt;0),"※收入和支出不能同一行都填",IF(AND($D1328="收入",N($J1328)=0),"※收入行要填收入金额",IF(AND($D1328="支出",N($K1328)=0),"※支出行要填支出金额",IF(AND($C1328&lt;&gt;"",ISNA(MATCH($C1328,账户表,0))),"※账户不在基础资料里",IF(AND($G1328&lt;&gt;"",ISNA(MATCH($G1328,项目名表,0))),"※项目不在项目台账里",IF(AND(LEFT($F1328,3)="成本-",$G1328=""),"※成本类支出没填项目",IF(AND(LEFT($F1328,3)="成本-",$H1328&lt;&gt;"",N($K1328)&gt;0,COUNTIFS(采购单!$B:$B,$B1328,采购单!$C:$C,$H1328,采购单!$L:$L,$K1328)&gt;0),"※这笔可能和采购单重复了",""))))))))))</f>
        <v/>
      </c>
    </row>
    <row r="1329">
      <c r="A1329" s="17">
        <f>IF($B1329="","",ROW()-3)</f>
        <v/>
      </c>
      <c r="B1329" s="18" t="n"/>
      <c r="C1329" s="13" t="n"/>
      <c r="D1329" s="13" t="n"/>
      <c r="E1329" s="13" t="n"/>
      <c r="F1329" s="17">
        <f>IF($E1329="","",IFERROR(VLOOKUP($E1329,类别归属,2,0),"※类别不在基础资料里"))</f>
        <v/>
      </c>
      <c r="G1329" s="13" t="n"/>
      <c r="H1329" s="13" t="n"/>
      <c r="I1329" s="13" t="n"/>
      <c r="J1329" s="14" t="n"/>
      <c r="K1329" s="14" t="n"/>
      <c r="L1329" s="19">
        <f>IF($C1329="","",ROUND(IFERROR(VLOOKUP($C1329,账户期初,2,0),0)+SUMIFS($J$4:J1329,$C$4:C1329,$C1329)-SUMIFS($K$4:K1329,$C$4:C1329,$C1329),2))</f>
        <v/>
      </c>
      <c r="M1329" s="19">
        <f>IF($C1329="","",ROUND(SUM(基础资料!$B$4:$B$13)+SUM($J$4:J1329)-SUM($K$4:K1329),2))</f>
        <v/>
      </c>
      <c r="N1329" s="13" t="n"/>
      <c r="O1329" s="13" t="n"/>
      <c r="P1329" s="17">
        <f>IF($B1329="","",IF($F1329="※类别不在基础资料里","※费用类别不在基础资料里",IF(AND(N($J1329)=0,N($K1329)=0),"※这行没填金额",IF(AND(N($J1329)&gt;0,N($K1329)&gt;0),"※收入和支出不能同一行都填",IF(AND($D1329="收入",N($J1329)=0),"※收入行要填收入金额",IF(AND($D1329="支出",N($K1329)=0),"※支出行要填支出金额",IF(AND($C1329&lt;&gt;"",ISNA(MATCH($C1329,账户表,0))),"※账户不在基础资料里",IF(AND($G1329&lt;&gt;"",ISNA(MATCH($G1329,项目名表,0))),"※项目不在项目台账里",IF(AND(LEFT($F1329,3)="成本-",$G1329=""),"※成本类支出没填项目",IF(AND(LEFT($F1329,3)="成本-",$H1329&lt;&gt;"",N($K1329)&gt;0,COUNTIFS(采购单!$B:$B,$B1329,采购单!$C:$C,$H1329,采购单!$L:$L,$K1329)&gt;0),"※这笔可能和采购单重复了",""))))))))))</f>
        <v/>
      </c>
    </row>
    <row r="1330">
      <c r="A1330" s="17">
        <f>IF($B1330="","",ROW()-3)</f>
        <v/>
      </c>
      <c r="B1330" s="18" t="n"/>
      <c r="C1330" s="13" t="n"/>
      <c r="D1330" s="13" t="n"/>
      <c r="E1330" s="13" t="n"/>
      <c r="F1330" s="17">
        <f>IF($E1330="","",IFERROR(VLOOKUP($E1330,类别归属,2,0),"※类别不在基础资料里"))</f>
        <v/>
      </c>
      <c r="G1330" s="13" t="n"/>
      <c r="H1330" s="13" t="n"/>
      <c r="I1330" s="13" t="n"/>
      <c r="J1330" s="14" t="n"/>
      <c r="K1330" s="14" t="n"/>
      <c r="L1330" s="19">
        <f>IF($C1330="","",ROUND(IFERROR(VLOOKUP($C1330,账户期初,2,0),0)+SUMIFS($J$4:J1330,$C$4:C1330,$C1330)-SUMIFS($K$4:K1330,$C$4:C1330,$C1330),2))</f>
        <v/>
      </c>
      <c r="M1330" s="19">
        <f>IF($C1330="","",ROUND(SUM(基础资料!$B$4:$B$13)+SUM($J$4:J1330)-SUM($K$4:K1330),2))</f>
        <v/>
      </c>
      <c r="N1330" s="13" t="n"/>
      <c r="O1330" s="13" t="n"/>
      <c r="P1330" s="17">
        <f>IF($B1330="","",IF($F1330="※类别不在基础资料里","※费用类别不在基础资料里",IF(AND(N($J1330)=0,N($K1330)=0),"※这行没填金额",IF(AND(N($J1330)&gt;0,N($K1330)&gt;0),"※收入和支出不能同一行都填",IF(AND($D1330="收入",N($J1330)=0),"※收入行要填收入金额",IF(AND($D1330="支出",N($K1330)=0),"※支出行要填支出金额",IF(AND($C1330&lt;&gt;"",ISNA(MATCH($C1330,账户表,0))),"※账户不在基础资料里",IF(AND($G1330&lt;&gt;"",ISNA(MATCH($G1330,项目名表,0))),"※项目不在项目台账里",IF(AND(LEFT($F1330,3)="成本-",$G1330=""),"※成本类支出没填项目",IF(AND(LEFT($F1330,3)="成本-",$H1330&lt;&gt;"",N($K1330)&gt;0,COUNTIFS(采购单!$B:$B,$B1330,采购单!$C:$C,$H1330,采购单!$L:$L,$K1330)&gt;0),"※这笔可能和采购单重复了",""))))))))))</f>
        <v/>
      </c>
    </row>
    <row r="1331">
      <c r="A1331" s="17">
        <f>IF($B1331="","",ROW()-3)</f>
        <v/>
      </c>
      <c r="B1331" s="18" t="n"/>
      <c r="C1331" s="13" t="n"/>
      <c r="D1331" s="13" t="n"/>
      <c r="E1331" s="13" t="n"/>
      <c r="F1331" s="17">
        <f>IF($E1331="","",IFERROR(VLOOKUP($E1331,类别归属,2,0),"※类别不在基础资料里"))</f>
        <v/>
      </c>
      <c r="G1331" s="13" t="n"/>
      <c r="H1331" s="13" t="n"/>
      <c r="I1331" s="13" t="n"/>
      <c r="J1331" s="14" t="n"/>
      <c r="K1331" s="14" t="n"/>
      <c r="L1331" s="19">
        <f>IF($C1331="","",ROUND(IFERROR(VLOOKUP($C1331,账户期初,2,0),0)+SUMIFS($J$4:J1331,$C$4:C1331,$C1331)-SUMIFS($K$4:K1331,$C$4:C1331,$C1331),2))</f>
        <v/>
      </c>
      <c r="M1331" s="19">
        <f>IF($C1331="","",ROUND(SUM(基础资料!$B$4:$B$13)+SUM($J$4:J1331)-SUM($K$4:K1331),2))</f>
        <v/>
      </c>
      <c r="N1331" s="13" t="n"/>
      <c r="O1331" s="13" t="n"/>
      <c r="P1331" s="17">
        <f>IF($B1331="","",IF($F1331="※类别不在基础资料里","※费用类别不在基础资料里",IF(AND(N($J1331)=0,N($K1331)=0),"※这行没填金额",IF(AND(N($J1331)&gt;0,N($K1331)&gt;0),"※收入和支出不能同一行都填",IF(AND($D1331="收入",N($J1331)=0),"※收入行要填收入金额",IF(AND($D1331="支出",N($K1331)=0),"※支出行要填支出金额",IF(AND($C1331&lt;&gt;"",ISNA(MATCH($C1331,账户表,0))),"※账户不在基础资料里",IF(AND($G1331&lt;&gt;"",ISNA(MATCH($G1331,项目名表,0))),"※项目不在项目台账里",IF(AND(LEFT($F1331,3)="成本-",$G1331=""),"※成本类支出没填项目",IF(AND(LEFT($F1331,3)="成本-",$H1331&lt;&gt;"",N($K1331)&gt;0,COUNTIFS(采购单!$B:$B,$B1331,采购单!$C:$C,$H1331,采购单!$L:$L,$K1331)&gt;0),"※这笔可能和采购单重复了",""))))))))))</f>
        <v/>
      </c>
    </row>
    <row r="1332">
      <c r="A1332" s="17">
        <f>IF($B1332="","",ROW()-3)</f>
        <v/>
      </c>
      <c r="B1332" s="18" t="n"/>
      <c r="C1332" s="13" t="n"/>
      <c r="D1332" s="13" t="n"/>
      <c r="E1332" s="13" t="n"/>
      <c r="F1332" s="17">
        <f>IF($E1332="","",IFERROR(VLOOKUP($E1332,类别归属,2,0),"※类别不在基础资料里"))</f>
        <v/>
      </c>
      <c r="G1332" s="13" t="n"/>
      <c r="H1332" s="13" t="n"/>
      <c r="I1332" s="13" t="n"/>
      <c r="J1332" s="14" t="n"/>
      <c r="K1332" s="14" t="n"/>
      <c r="L1332" s="19">
        <f>IF($C1332="","",ROUND(IFERROR(VLOOKUP($C1332,账户期初,2,0),0)+SUMIFS($J$4:J1332,$C$4:C1332,$C1332)-SUMIFS($K$4:K1332,$C$4:C1332,$C1332),2))</f>
        <v/>
      </c>
      <c r="M1332" s="19">
        <f>IF($C1332="","",ROUND(SUM(基础资料!$B$4:$B$13)+SUM($J$4:J1332)-SUM($K$4:K1332),2))</f>
        <v/>
      </c>
      <c r="N1332" s="13" t="n"/>
      <c r="O1332" s="13" t="n"/>
      <c r="P1332" s="17">
        <f>IF($B1332="","",IF($F1332="※类别不在基础资料里","※费用类别不在基础资料里",IF(AND(N($J1332)=0,N($K1332)=0),"※这行没填金额",IF(AND(N($J1332)&gt;0,N($K1332)&gt;0),"※收入和支出不能同一行都填",IF(AND($D1332="收入",N($J1332)=0),"※收入行要填收入金额",IF(AND($D1332="支出",N($K1332)=0),"※支出行要填支出金额",IF(AND($C1332&lt;&gt;"",ISNA(MATCH($C1332,账户表,0))),"※账户不在基础资料里",IF(AND($G1332&lt;&gt;"",ISNA(MATCH($G1332,项目名表,0))),"※项目不在项目台账里",IF(AND(LEFT($F1332,3)="成本-",$G1332=""),"※成本类支出没填项目",IF(AND(LEFT($F1332,3)="成本-",$H1332&lt;&gt;"",N($K1332)&gt;0,COUNTIFS(采购单!$B:$B,$B1332,采购单!$C:$C,$H1332,采购单!$L:$L,$K1332)&gt;0),"※这笔可能和采购单重复了",""))))))))))</f>
        <v/>
      </c>
    </row>
    <row r="1333">
      <c r="A1333" s="17">
        <f>IF($B1333="","",ROW()-3)</f>
        <v/>
      </c>
      <c r="B1333" s="18" t="n"/>
      <c r="C1333" s="13" t="n"/>
      <c r="D1333" s="13" t="n"/>
      <c r="E1333" s="13" t="n"/>
      <c r="F1333" s="17">
        <f>IF($E1333="","",IFERROR(VLOOKUP($E1333,类别归属,2,0),"※类别不在基础资料里"))</f>
        <v/>
      </c>
      <c r="G1333" s="13" t="n"/>
      <c r="H1333" s="13" t="n"/>
      <c r="I1333" s="13" t="n"/>
      <c r="J1333" s="14" t="n"/>
      <c r="K1333" s="14" t="n"/>
      <c r="L1333" s="19">
        <f>IF($C1333="","",ROUND(IFERROR(VLOOKUP($C1333,账户期初,2,0),0)+SUMIFS($J$4:J1333,$C$4:C1333,$C1333)-SUMIFS($K$4:K1333,$C$4:C1333,$C1333),2))</f>
        <v/>
      </c>
      <c r="M1333" s="19">
        <f>IF($C1333="","",ROUND(SUM(基础资料!$B$4:$B$13)+SUM($J$4:J1333)-SUM($K$4:K1333),2))</f>
        <v/>
      </c>
      <c r="N1333" s="13" t="n"/>
      <c r="O1333" s="13" t="n"/>
      <c r="P1333" s="17">
        <f>IF($B1333="","",IF($F1333="※类别不在基础资料里","※费用类别不在基础资料里",IF(AND(N($J1333)=0,N($K1333)=0),"※这行没填金额",IF(AND(N($J1333)&gt;0,N($K1333)&gt;0),"※收入和支出不能同一行都填",IF(AND($D1333="收入",N($J1333)=0),"※收入行要填收入金额",IF(AND($D1333="支出",N($K1333)=0),"※支出行要填支出金额",IF(AND($C1333&lt;&gt;"",ISNA(MATCH($C1333,账户表,0))),"※账户不在基础资料里",IF(AND($G1333&lt;&gt;"",ISNA(MATCH($G1333,项目名表,0))),"※项目不在项目台账里",IF(AND(LEFT($F1333,3)="成本-",$G1333=""),"※成本类支出没填项目",IF(AND(LEFT($F1333,3)="成本-",$H1333&lt;&gt;"",N($K1333)&gt;0,COUNTIFS(采购单!$B:$B,$B1333,采购单!$C:$C,$H1333,采购单!$L:$L,$K1333)&gt;0),"※这笔可能和采购单重复了",""))))))))))</f>
        <v/>
      </c>
    </row>
    <row r="1334">
      <c r="A1334" s="17">
        <f>IF($B1334="","",ROW()-3)</f>
        <v/>
      </c>
      <c r="B1334" s="18" t="n"/>
      <c r="C1334" s="13" t="n"/>
      <c r="D1334" s="13" t="n"/>
      <c r="E1334" s="13" t="n"/>
      <c r="F1334" s="17">
        <f>IF($E1334="","",IFERROR(VLOOKUP($E1334,类别归属,2,0),"※类别不在基础资料里"))</f>
        <v/>
      </c>
      <c r="G1334" s="13" t="n"/>
      <c r="H1334" s="13" t="n"/>
      <c r="I1334" s="13" t="n"/>
      <c r="J1334" s="14" t="n"/>
      <c r="K1334" s="14" t="n"/>
      <c r="L1334" s="19">
        <f>IF($C1334="","",ROUND(IFERROR(VLOOKUP($C1334,账户期初,2,0),0)+SUMIFS($J$4:J1334,$C$4:C1334,$C1334)-SUMIFS($K$4:K1334,$C$4:C1334,$C1334),2))</f>
        <v/>
      </c>
      <c r="M1334" s="19">
        <f>IF($C1334="","",ROUND(SUM(基础资料!$B$4:$B$13)+SUM($J$4:J1334)-SUM($K$4:K1334),2))</f>
        <v/>
      </c>
      <c r="N1334" s="13" t="n"/>
      <c r="O1334" s="13" t="n"/>
      <c r="P1334" s="17">
        <f>IF($B1334="","",IF($F1334="※类别不在基础资料里","※费用类别不在基础资料里",IF(AND(N($J1334)=0,N($K1334)=0),"※这行没填金额",IF(AND(N($J1334)&gt;0,N($K1334)&gt;0),"※收入和支出不能同一行都填",IF(AND($D1334="收入",N($J1334)=0),"※收入行要填收入金额",IF(AND($D1334="支出",N($K1334)=0),"※支出行要填支出金额",IF(AND($C1334&lt;&gt;"",ISNA(MATCH($C1334,账户表,0))),"※账户不在基础资料里",IF(AND($G1334&lt;&gt;"",ISNA(MATCH($G1334,项目名表,0))),"※项目不在项目台账里",IF(AND(LEFT($F1334,3)="成本-",$G1334=""),"※成本类支出没填项目",IF(AND(LEFT($F1334,3)="成本-",$H1334&lt;&gt;"",N($K1334)&gt;0,COUNTIFS(采购单!$B:$B,$B1334,采购单!$C:$C,$H1334,采购单!$L:$L,$K1334)&gt;0),"※这笔可能和采购单重复了",""))))))))))</f>
        <v/>
      </c>
    </row>
    <row r="1335">
      <c r="A1335" s="17">
        <f>IF($B1335="","",ROW()-3)</f>
        <v/>
      </c>
      <c r="B1335" s="18" t="n"/>
      <c r="C1335" s="13" t="n"/>
      <c r="D1335" s="13" t="n"/>
      <c r="E1335" s="13" t="n"/>
      <c r="F1335" s="17">
        <f>IF($E1335="","",IFERROR(VLOOKUP($E1335,类别归属,2,0),"※类别不在基础资料里"))</f>
        <v/>
      </c>
      <c r="G1335" s="13" t="n"/>
      <c r="H1335" s="13" t="n"/>
      <c r="I1335" s="13" t="n"/>
      <c r="J1335" s="14" t="n"/>
      <c r="K1335" s="14" t="n"/>
      <c r="L1335" s="19">
        <f>IF($C1335="","",ROUND(IFERROR(VLOOKUP($C1335,账户期初,2,0),0)+SUMIFS($J$4:J1335,$C$4:C1335,$C1335)-SUMIFS($K$4:K1335,$C$4:C1335,$C1335),2))</f>
        <v/>
      </c>
      <c r="M1335" s="19">
        <f>IF($C1335="","",ROUND(SUM(基础资料!$B$4:$B$13)+SUM($J$4:J1335)-SUM($K$4:K1335),2))</f>
        <v/>
      </c>
      <c r="N1335" s="13" t="n"/>
      <c r="O1335" s="13" t="n"/>
      <c r="P1335" s="17">
        <f>IF($B1335="","",IF($F1335="※类别不在基础资料里","※费用类别不在基础资料里",IF(AND(N($J1335)=0,N($K1335)=0),"※这行没填金额",IF(AND(N($J1335)&gt;0,N($K1335)&gt;0),"※收入和支出不能同一行都填",IF(AND($D1335="收入",N($J1335)=0),"※收入行要填收入金额",IF(AND($D1335="支出",N($K1335)=0),"※支出行要填支出金额",IF(AND($C1335&lt;&gt;"",ISNA(MATCH($C1335,账户表,0))),"※账户不在基础资料里",IF(AND($G1335&lt;&gt;"",ISNA(MATCH($G1335,项目名表,0))),"※项目不在项目台账里",IF(AND(LEFT($F1335,3)="成本-",$G1335=""),"※成本类支出没填项目",IF(AND(LEFT($F1335,3)="成本-",$H1335&lt;&gt;"",N($K1335)&gt;0,COUNTIFS(采购单!$B:$B,$B1335,采购单!$C:$C,$H1335,采购单!$L:$L,$K1335)&gt;0),"※这笔可能和采购单重复了",""))))))))))</f>
        <v/>
      </c>
    </row>
    <row r="1336">
      <c r="A1336" s="17">
        <f>IF($B1336="","",ROW()-3)</f>
        <v/>
      </c>
      <c r="B1336" s="18" t="n"/>
      <c r="C1336" s="13" t="n"/>
      <c r="D1336" s="13" t="n"/>
      <c r="E1336" s="13" t="n"/>
      <c r="F1336" s="17">
        <f>IF($E1336="","",IFERROR(VLOOKUP($E1336,类别归属,2,0),"※类别不在基础资料里"))</f>
        <v/>
      </c>
      <c r="G1336" s="13" t="n"/>
      <c r="H1336" s="13" t="n"/>
      <c r="I1336" s="13" t="n"/>
      <c r="J1336" s="14" t="n"/>
      <c r="K1336" s="14" t="n"/>
      <c r="L1336" s="19">
        <f>IF($C1336="","",ROUND(IFERROR(VLOOKUP($C1336,账户期初,2,0),0)+SUMIFS($J$4:J1336,$C$4:C1336,$C1336)-SUMIFS($K$4:K1336,$C$4:C1336,$C1336),2))</f>
        <v/>
      </c>
      <c r="M1336" s="19">
        <f>IF($C1336="","",ROUND(SUM(基础资料!$B$4:$B$13)+SUM($J$4:J1336)-SUM($K$4:K1336),2))</f>
        <v/>
      </c>
      <c r="N1336" s="13" t="n"/>
      <c r="O1336" s="13" t="n"/>
      <c r="P1336" s="17">
        <f>IF($B1336="","",IF($F1336="※类别不在基础资料里","※费用类别不在基础资料里",IF(AND(N($J1336)=0,N($K1336)=0),"※这行没填金额",IF(AND(N($J1336)&gt;0,N($K1336)&gt;0),"※收入和支出不能同一行都填",IF(AND($D1336="收入",N($J1336)=0),"※收入行要填收入金额",IF(AND($D1336="支出",N($K1336)=0),"※支出行要填支出金额",IF(AND($C1336&lt;&gt;"",ISNA(MATCH($C1336,账户表,0))),"※账户不在基础资料里",IF(AND($G1336&lt;&gt;"",ISNA(MATCH($G1336,项目名表,0))),"※项目不在项目台账里",IF(AND(LEFT($F1336,3)="成本-",$G1336=""),"※成本类支出没填项目",IF(AND(LEFT($F1336,3)="成本-",$H1336&lt;&gt;"",N($K1336)&gt;0,COUNTIFS(采购单!$B:$B,$B1336,采购单!$C:$C,$H1336,采购单!$L:$L,$K1336)&gt;0),"※这笔可能和采购单重复了",""))))))))))</f>
        <v/>
      </c>
    </row>
    <row r="1337">
      <c r="A1337" s="17">
        <f>IF($B1337="","",ROW()-3)</f>
        <v/>
      </c>
      <c r="B1337" s="18" t="n"/>
      <c r="C1337" s="13" t="n"/>
      <c r="D1337" s="13" t="n"/>
      <c r="E1337" s="13" t="n"/>
      <c r="F1337" s="17">
        <f>IF($E1337="","",IFERROR(VLOOKUP($E1337,类别归属,2,0),"※类别不在基础资料里"))</f>
        <v/>
      </c>
      <c r="G1337" s="13" t="n"/>
      <c r="H1337" s="13" t="n"/>
      <c r="I1337" s="13" t="n"/>
      <c r="J1337" s="14" t="n"/>
      <c r="K1337" s="14" t="n"/>
      <c r="L1337" s="19">
        <f>IF($C1337="","",ROUND(IFERROR(VLOOKUP($C1337,账户期初,2,0),0)+SUMIFS($J$4:J1337,$C$4:C1337,$C1337)-SUMIFS($K$4:K1337,$C$4:C1337,$C1337),2))</f>
        <v/>
      </c>
      <c r="M1337" s="19">
        <f>IF($C1337="","",ROUND(SUM(基础资料!$B$4:$B$13)+SUM($J$4:J1337)-SUM($K$4:K1337),2))</f>
        <v/>
      </c>
      <c r="N1337" s="13" t="n"/>
      <c r="O1337" s="13" t="n"/>
      <c r="P1337" s="17">
        <f>IF($B1337="","",IF($F1337="※类别不在基础资料里","※费用类别不在基础资料里",IF(AND(N($J1337)=0,N($K1337)=0),"※这行没填金额",IF(AND(N($J1337)&gt;0,N($K1337)&gt;0),"※收入和支出不能同一行都填",IF(AND($D1337="收入",N($J1337)=0),"※收入行要填收入金额",IF(AND($D1337="支出",N($K1337)=0),"※支出行要填支出金额",IF(AND($C1337&lt;&gt;"",ISNA(MATCH($C1337,账户表,0))),"※账户不在基础资料里",IF(AND($G1337&lt;&gt;"",ISNA(MATCH($G1337,项目名表,0))),"※项目不在项目台账里",IF(AND(LEFT($F1337,3)="成本-",$G1337=""),"※成本类支出没填项目",IF(AND(LEFT($F1337,3)="成本-",$H1337&lt;&gt;"",N($K1337)&gt;0,COUNTIFS(采购单!$B:$B,$B1337,采购单!$C:$C,$H1337,采购单!$L:$L,$K1337)&gt;0),"※这笔可能和采购单重复了",""))))))))))</f>
        <v/>
      </c>
    </row>
    <row r="1338">
      <c r="A1338" s="17">
        <f>IF($B1338="","",ROW()-3)</f>
        <v/>
      </c>
      <c r="B1338" s="18" t="n"/>
      <c r="C1338" s="13" t="n"/>
      <c r="D1338" s="13" t="n"/>
      <c r="E1338" s="13" t="n"/>
      <c r="F1338" s="17">
        <f>IF($E1338="","",IFERROR(VLOOKUP($E1338,类别归属,2,0),"※类别不在基础资料里"))</f>
        <v/>
      </c>
      <c r="G1338" s="13" t="n"/>
      <c r="H1338" s="13" t="n"/>
      <c r="I1338" s="13" t="n"/>
      <c r="J1338" s="14" t="n"/>
      <c r="K1338" s="14" t="n"/>
      <c r="L1338" s="19">
        <f>IF($C1338="","",ROUND(IFERROR(VLOOKUP($C1338,账户期初,2,0),0)+SUMIFS($J$4:J1338,$C$4:C1338,$C1338)-SUMIFS($K$4:K1338,$C$4:C1338,$C1338),2))</f>
        <v/>
      </c>
      <c r="M1338" s="19">
        <f>IF($C1338="","",ROUND(SUM(基础资料!$B$4:$B$13)+SUM($J$4:J1338)-SUM($K$4:K1338),2))</f>
        <v/>
      </c>
      <c r="N1338" s="13" t="n"/>
      <c r="O1338" s="13" t="n"/>
      <c r="P1338" s="17">
        <f>IF($B1338="","",IF($F1338="※类别不在基础资料里","※费用类别不在基础资料里",IF(AND(N($J1338)=0,N($K1338)=0),"※这行没填金额",IF(AND(N($J1338)&gt;0,N($K1338)&gt;0),"※收入和支出不能同一行都填",IF(AND($D1338="收入",N($J1338)=0),"※收入行要填收入金额",IF(AND($D1338="支出",N($K1338)=0),"※支出行要填支出金额",IF(AND($C1338&lt;&gt;"",ISNA(MATCH($C1338,账户表,0))),"※账户不在基础资料里",IF(AND($G1338&lt;&gt;"",ISNA(MATCH($G1338,项目名表,0))),"※项目不在项目台账里",IF(AND(LEFT($F1338,3)="成本-",$G1338=""),"※成本类支出没填项目",IF(AND(LEFT($F1338,3)="成本-",$H1338&lt;&gt;"",N($K1338)&gt;0,COUNTIFS(采购单!$B:$B,$B1338,采购单!$C:$C,$H1338,采购单!$L:$L,$K1338)&gt;0),"※这笔可能和采购单重复了",""))))))))))</f>
        <v/>
      </c>
    </row>
    <row r="1339">
      <c r="A1339" s="17">
        <f>IF($B1339="","",ROW()-3)</f>
        <v/>
      </c>
      <c r="B1339" s="18" t="n"/>
      <c r="C1339" s="13" t="n"/>
      <c r="D1339" s="13" t="n"/>
      <c r="E1339" s="13" t="n"/>
      <c r="F1339" s="17">
        <f>IF($E1339="","",IFERROR(VLOOKUP($E1339,类别归属,2,0),"※类别不在基础资料里"))</f>
        <v/>
      </c>
      <c r="G1339" s="13" t="n"/>
      <c r="H1339" s="13" t="n"/>
      <c r="I1339" s="13" t="n"/>
      <c r="J1339" s="14" t="n"/>
      <c r="K1339" s="14" t="n"/>
      <c r="L1339" s="19">
        <f>IF($C1339="","",ROUND(IFERROR(VLOOKUP($C1339,账户期初,2,0),0)+SUMIFS($J$4:J1339,$C$4:C1339,$C1339)-SUMIFS($K$4:K1339,$C$4:C1339,$C1339),2))</f>
        <v/>
      </c>
      <c r="M1339" s="19">
        <f>IF($C1339="","",ROUND(SUM(基础资料!$B$4:$B$13)+SUM($J$4:J1339)-SUM($K$4:K1339),2))</f>
        <v/>
      </c>
      <c r="N1339" s="13" t="n"/>
      <c r="O1339" s="13" t="n"/>
      <c r="P1339" s="17">
        <f>IF($B1339="","",IF($F1339="※类别不在基础资料里","※费用类别不在基础资料里",IF(AND(N($J1339)=0,N($K1339)=0),"※这行没填金额",IF(AND(N($J1339)&gt;0,N($K1339)&gt;0),"※收入和支出不能同一行都填",IF(AND($D1339="收入",N($J1339)=0),"※收入行要填收入金额",IF(AND($D1339="支出",N($K1339)=0),"※支出行要填支出金额",IF(AND($C1339&lt;&gt;"",ISNA(MATCH($C1339,账户表,0))),"※账户不在基础资料里",IF(AND($G1339&lt;&gt;"",ISNA(MATCH($G1339,项目名表,0))),"※项目不在项目台账里",IF(AND(LEFT($F1339,3)="成本-",$G1339=""),"※成本类支出没填项目",IF(AND(LEFT($F1339,3)="成本-",$H1339&lt;&gt;"",N($K1339)&gt;0,COUNTIFS(采购单!$B:$B,$B1339,采购单!$C:$C,$H1339,采购单!$L:$L,$K1339)&gt;0),"※这笔可能和采购单重复了",""))))))))))</f>
        <v/>
      </c>
    </row>
    <row r="1340">
      <c r="A1340" s="17">
        <f>IF($B1340="","",ROW()-3)</f>
        <v/>
      </c>
      <c r="B1340" s="18" t="n"/>
      <c r="C1340" s="13" t="n"/>
      <c r="D1340" s="13" t="n"/>
      <c r="E1340" s="13" t="n"/>
      <c r="F1340" s="17">
        <f>IF($E1340="","",IFERROR(VLOOKUP($E1340,类别归属,2,0),"※类别不在基础资料里"))</f>
        <v/>
      </c>
      <c r="G1340" s="13" t="n"/>
      <c r="H1340" s="13" t="n"/>
      <c r="I1340" s="13" t="n"/>
      <c r="J1340" s="14" t="n"/>
      <c r="K1340" s="14" t="n"/>
      <c r="L1340" s="19">
        <f>IF($C1340="","",ROUND(IFERROR(VLOOKUP($C1340,账户期初,2,0),0)+SUMIFS($J$4:J1340,$C$4:C1340,$C1340)-SUMIFS($K$4:K1340,$C$4:C1340,$C1340),2))</f>
        <v/>
      </c>
      <c r="M1340" s="19">
        <f>IF($C1340="","",ROUND(SUM(基础资料!$B$4:$B$13)+SUM($J$4:J1340)-SUM($K$4:K1340),2))</f>
        <v/>
      </c>
      <c r="N1340" s="13" t="n"/>
      <c r="O1340" s="13" t="n"/>
      <c r="P1340" s="17">
        <f>IF($B1340="","",IF($F1340="※类别不在基础资料里","※费用类别不在基础资料里",IF(AND(N($J1340)=0,N($K1340)=0),"※这行没填金额",IF(AND(N($J1340)&gt;0,N($K1340)&gt;0),"※收入和支出不能同一行都填",IF(AND($D1340="收入",N($J1340)=0),"※收入行要填收入金额",IF(AND($D1340="支出",N($K1340)=0),"※支出行要填支出金额",IF(AND($C1340&lt;&gt;"",ISNA(MATCH($C1340,账户表,0))),"※账户不在基础资料里",IF(AND($G1340&lt;&gt;"",ISNA(MATCH($G1340,项目名表,0))),"※项目不在项目台账里",IF(AND(LEFT($F1340,3)="成本-",$G1340=""),"※成本类支出没填项目",IF(AND(LEFT($F1340,3)="成本-",$H1340&lt;&gt;"",N($K1340)&gt;0,COUNTIFS(采购单!$B:$B,$B1340,采购单!$C:$C,$H1340,采购单!$L:$L,$K1340)&gt;0),"※这笔可能和采购单重复了",""))))))))))</f>
        <v/>
      </c>
    </row>
    <row r="1341">
      <c r="A1341" s="17">
        <f>IF($B1341="","",ROW()-3)</f>
        <v/>
      </c>
      <c r="B1341" s="18" t="n"/>
      <c r="C1341" s="13" t="n"/>
      <c r="D1341" s="13" t="n"/>
      <c r="E1341" s="13" t="n"/>
      <c r="F1341" s="17">
        <f>IF($E1341="","",IFERROR(VLOOKUP($E1341,类别归属,2,0),"※类别不在基础资料里"))</f>
        <v/>
      </c>
      <c r="G1341" s="13" t="n"/>
      <c r="H1341" s="13" t="n"/>
      <c r="I1341" s="13" t="n"/>
      <c r="J1341" s="14" t="n"/>
      <c r="K1341" s="14" t="n"/>
      <c r="L1341" s="19">
        <f>IF($C1341="","",ROUND(IFERROR(VLOOKUP($C1341,账户期初,2,0),0)+SUMIFS($J$4:J1341,$C$4:C1341,$C1341)-SUMIFS($K$4:K1341,$C$4:C1341,$C1341),2))</f>
        <v/>
      </c>
      <c r="M1341" s="19">
        <f>IF($C1341="","",ROUND(SUM(基础资料!$B$4:$B$13)+SUM($J$4:J1341)-SUM($K$4:K1341),2))</f>
        <v/>
      </c>
      <c r="N1341" s="13" t="n"/>
      <c r="O1341" s="13" t="n"/>
      <c r="P1341" s="17">
        <f>IF($B1341="","",IF($F1341="※类别不在基础资料里","※费用类别不在基础资料里",IF(AND(N($J1341)=0,N($K1341)=0),"※这行没填金额",IF(AND(N($J1341)&gt;0,N($K1341)&gt;0),"※收入和支出不能同一行都填",IF(AND($D1341="收入",N($J1341)=0),"※收入行要填收入金额",IF(AND($D1341="支出",N($K1341)=0),"※支出行要填支出金额",IF(AND($C1341&lt;&gt;"",ISNA(MATCH($C1341,账户表,0))),"※账户不在基础资料里",IF(AND($G1341&lt;&gt;"",ISNA(MATCH($G1341,项目名表,0))),"※项目不在项目台账里",IF(AND(LEFT($F1341,3)="成本-",$G1341=""),"※成本类支出没填项目",IF(AND(LEFT($F1341,3)="成本-",$H1341&lt;&gt;"",N($K1341)&gt;0,COUNTIFS(采购单!$B:$B,$B1341,采购单!$C:$C,$H1341,采购单!$L:$L,$K1341)&gt;0),"※这笔可能和采购单重复了",""))))))))))</f>
        <v/>
      </c>
    </row>
    <row r="1342">
      <c r="A1342" s="17">
        <f>IF($B1342="","",ROW()-3)</f>
        <v/>
      </c>
      <c r="B1342" s="18" t="n"/>
      <c r="C1342" s="13" t="n"/>
      <c r="D1342" s="13" t="n"/>
      <c r="E1342" s="13" t="n"/>
      <c r="F1342" s="17">
        <f>IF($E1342="","",IFERROR(VLOOKUP($E1342,类别归属,2,0),"※类别不在基础资料里"))</f>
        <v/>
      </c>
      <c r="G1342" s="13" t="n"/>
      <c r="H1342" s="13" t="n"/>
      <c r="I1342" s="13" t="n"/>
      <c r="J1342" s="14" t="n"/>
      <c r="K1342" s="14" t="n"/>
      <c r="L1342" s="19">
        <f>IF($C1342="","",ROUND(IFERROR(VLOOKUP($C1342,账户期初,2,0),0)+SUMIFS($J$4:J1342,$C$4:C1342,$C1342)-SUMIFS($K$4:K1342,$C$4:C1342,$C1342),2))</f>
        <v/>
      </c>
      <c r="M1342" s="19">
        <f>IF($C1342="","",ROUND(SUM(基础资料!$B$4:$B$13)+SUM($J$4:J1342)-SUM($K$4:K1342),2))</f>
        <v/>
      </c>
      <c r="N1342" s="13" t="n"/>
      <c r="O1342" s="13" t="n"/>
      <c r="P1342" s="17">
        <f>IF($B1342="","",IF($F1342="※类别不在基础资料里","※费用类别不在基础资料里",IF(AND(N($J1342)=0,N($K1342)=0),"※这行没填金额",IF(AND(N($J1342)&gt;0,N($K1342)&gt;0),"※收入和支出不能同一行都填",IF(AND($D1342="收入",N($J1342)=0),"※收入行要填收入金额",IF(AND($D1342="支出",N($K1342)=0),"※支出行要填支出金额",IF(AND($C1342&lt;&gt;"",ISNA(MATCH($C1342,账户表,0))),"※账户不在基础资料里",IF(AND($G1342&lt;&gt;"",ISNA(MATCH($G1342,项目名表,0))),"※项目不在项目台账里",IF(AND(LEFT($F1342,3)="成本-",$G1342=""),"※成本类支出没填项目",IF(AND(LEFT($F1342,3)="成本-",$H1342&lt;&gt;"",N($K1342)&gt;0,COUNTIFS(采购单!$B:$B,$B1342,采购单!$C:$C,$H1342,采购单!$L:$L,$K1342)&gt;0),"※这笔可能和采购单重复了",""))))))))))</f>
        <v/>
      </c>
    </row>
    <row r="1343">
      <c r="A1343" s="17">
        <f>IF($B1343="","",ROW()-3)</f>
        <v/>
      </c>
      <c r="B1343" s="18" t="n"/>
      <c r="C1343" s="13" t="n"/>
      <c r="D1343" s="13" t="n"/>
      <c r="E1343" s="13" t="n"/>
      <c r="F1343" s="17">
        <f>IF($E1343="","",IFERROR(VLOOKUP($E1343,类别归属,2,0),"※类别不在基础资料里"))</f>
        <v/>
      </c>
      <c r="G1343" s="13" t="n"/>
      <c r="H1343" s="13" t="n"/>
      <c r="I1343" s="13" t="n"/>
      <c r="J1343" s="14" t="n"/>
      <c r="K1343" s="14" t="n"/>
      <c r="L1343" s="19">
        <f>IF($C1343="","",ROUND(IFERROR(VLOOKUP($C1343,账户期初,2,0),0)+SUMIFS($J$4:J1343,$C$4:C1343,$C1343)-SUMIFS($K$4:K1343,$C$4:C1343,$C1343),2))</f>
        <v/>
      </c>
      <c r="M1343" s="19">
        <f>IF($C1343="","",ROUND(SUM(基础资料!$B$4:$B$13)+SUM($J$4:J1343)-SUM($K$4:K1343),2))</f>
        <v/>
      </c>
      <c r="N1343" s="13" t="n"/>
      <c r="O1343" s="13" t="n"/>
      <c r="P1343" s="17">
        <f>IF($B1343="","",IF($F1343="※类别不在基础资料里","※费用类别不在基础资料里",IF(AND(N($J1343)=0,N($K1343)=0),"※这行没填金额",IF(AND(N($J1343)&gt;0,N($K1343)&gt;0),"※收入和支出不能同一行都填",IF(AND($D1343="收入",N($J1343)=0),"※收入行要填收入金额",IF(AND($D1343="支出",N($K1343)=0),"※支出行要填支出金额",IF(AND($C1343&lt;&gt;"",ISNA(MATCH($C1343,账户表,0))),"※账户不在基础资料里",IF(AND($G1343&lt;&gt;"",ISNA(MATCH($G1343,项目名表,0))),"※项目不在项目台账里",IF(AND(LEFT($F1343,3)="成本-",$G1343=""),"※成本类支出没填项目",IF(AND(LEFT($F1343,3)="成本-",$H1343&lt;&gt;"",N($K1343)&gt;0,COUNTIFS(采购单!$B:$B,$B1343,采购单!$C:$C,$H1343,采购单!$L:$L,$K1343)&gt;0),"※这笔可能和采购单重复了",""))))))))))</f>
        <v/>
      </c>
    </row>
    <row r="1344">
      <c r="A1344" s="17">
        <f>IF($B1344="","",ROW()-3)</f>
        <v/>
      </c>
      <c r="B1344" s="18" t="n"/>
      <c r="C1344" s="13" t="n"/>
      <c r="D1344" s="13" t="n"/>
      <c r="E1344" s="13" t="n"/>
      <c r="F1344" s="17">
        <f>IF($E1344="","",IFERROR(VLOOKUP($E1344,类别归属,2,0),"※类别不在基础资料里"))</f>
        <v/>
      </c>
      <c r="G1344" s="13" t="n"/>
      <c r="H1344" s="13" t="n"/>
      <c r="I1344" s="13" t="n"/>
      <c r="J1344" s="14" t="n"/>
      <c r="K1344" s="14" t="n"/>
      <c r="L1344" s="19">
        <f>IF($C1344="","",ROUND(IFERROR(VLOOKUP($C1344,账户期初,2,0),0)+SUMIFS($J$4:J1344,$C$4:C1344,$C1344)-SUMIFS($K$4:K1344,$C$4:C1344,$C1344),2))</f>
        <v/>
      </c>
      <c r="M1344" s="19">
        <f>IF($C1344="","",ROUND(SUM(基础资料!$B$4:$B$13)+SUM($J$4:J1344)-SUM($K$4:K1344),2))</f>
        <v/>
      </c>
      <c r="N1344" s="13" t="n"/>
      <c r="O1344" s="13" t="n"/>
      <c r="P1344" s="17">
        <f>IF($B1344="","",IF($F1344="※类别不在基础资料里","※费用类别不在基础资料里",IF(AND(N($J1344)=0,N($K1344)=0),"※这行没填金额",IF(AND(N($J1344)&gt;0,N($K1344)&gt;0),"※收入和支出不能同一行都填",IF(AND($D1344="收入",N($J1344)=0),"※收入行要填收入金额",IF(AND($D1344="支出",N($K1344)=0),"※支出行要填支出金额",IF(AND($C1344&lt;&gt;"",ISNA(MATCH($C1344,账户表,0))),"※账户不在基础资料里",IF(AND($G1344&lt;&gt;"",ISNA(MATCH($G1344,项目名表,0))),"※项目不在项目台账里",IF(AND(LEFT($F1344,3)="成本-",$G1344=""),"※成本类支出没填项目",IF(AND(LEFT($F1344,3)="成本-",$H1344&lt;&gt;"",N($K1344)&gt;0,COUNTIFS(采购单!$B:$B,$B1344,采购单!$C:$C,$H1344,采购单!$L:$L,$K1344)&gt;0),"※这笔可能和采购单重复了",""))))))))))</f>
        <v/>
      </c>
    </row>
    <row r="1345">
      <c r="A1345" s="17">
        <f>IF($B1345="","",ROW()-3)</f>
        <v/>
      </c>
      <c r="B1345" s="18" t="n"/>
      <c r="C1345" s="13" t="n"/>
      <c r="D1345" s="13" t="n"/>
      <c r="E1345" s="13" t="n"/>
      <c r="F1345" s="17">
        <f>IF($E1345="","",IFERROR(VLOOKUP($E1345,类别归属,2,0),"※类别不在基础资料里"))</f>
        <v/>
      </c>
      <c r="G1345" s="13" t="n"/>
      <c r="H1345" s="13" t="n"/>
      <c r="I1345" s="13" t="n"/>
      <c r="J1345" s="14" t="n"/>
      <c r="K1345" s="14" t="n"/>
      <c r="L1345" s="19">
        <f>IF($C1345="","",ROUND(IFERROR(VLOOKUP($C1345,账户期初,2,0),0)+SUMIFS($J$4:J1345,$C$4:C1345,$C1345)-SUMIFS($K$4:K1345,$C$4:C1345,$C1345),2))</f>
        <v/>
      </c>
      <c r="M1345" s="19">
        <f>IF($C1345="","",ROUND(SUM(基础资料!$B$4:$B$13)+SUM($J$4:J1345)-SUM($K$4:K1345),2))</f>
        <v/>
      </c>
      <c r="N1345" s="13" t="n"/>
      <c r="O1345" s="13" t="n"/>
      <c r="P1345" s="17">
        <f>IF($B1345="","",IF($F1345="※类别不在基础资料里","※费用类别不在基础资料里",IF(AND(N($J1345)=0,N($K1345)=0),"※这行没填金额",IF(AND(N($J1345)&gt;0,N($K1345)&gt;0),"※收入和支出不能同一行都填",IF(AND($D1345="收入",N($J1345)=0),"※收入行要填收入金额",IF(AND($D1345="支出",N($K1345)=0),"※支出行要填支出金额",IF(AND($C1345&lt;&gt;"",ISNA(MATCH($C1345,账户表,0))),"※账户不在基础资料里",IF(AND($G1345&lt;&gt;"",ISNA(MATCH($G1345,项目名表,0))),"※项目不在项目台账里",IF(AND(LEFT($F1345,3)="成本-",$G1345=""),"※成本类支出没填项目",IF(AND(LEFT($F1345,3)="成本-",$H1345&lt;&gt;"",N($K1345)&gt;0,COUNTIFS(采购单!$B:$B,$B1345,采购单!$C:$C,$H1345,采购单!$L:$L,$K1345)&gt;0),"※这笔可能和采购单重复了",""))))))))))</f>
        <v/>
      </c>
    </row>
    <row r="1346">
      <c r="A1346" s="17">
        <f>IF($B1346="","",ROW()-3)</f>
        <v/>
      </c>
      <c r="B1346" s="18" t="n"/>
      <c r="C1346" s="13" t="n"/>
      <c r="D1346" s="13" t="n"/>
      <c r="E1346" s="13" t="n"/>
      <c r="F1346" s="17">
        <f>IF($E1346="","",IFERROR(VLOOKUP($E1346,类别归属,2,0),"※类别不在基础资料里"))</f>
        <v/>
      </c>
      <c r="G1346" s="13" t="n"/>
      <c r="H1346" s="13" t="n"/>
      <c r="I1346" s="13" t="n"/>
      <c r="J1346" s="14" t="n"/>
      <c r="K1346" s="14" t="n"/>
      <c r="L1346" s="19">
        <f>IF($C1346="","",ROUND(IFERROR(VLOOKUP($C1346,账户期初,2,0),0)+SUMIFS($J$4:J1346,$C$4:C1346,$C1346)-SUMIFS($K$4:K1346,$C$4:C1346,$C1346),2))</f>
        <v/>
      </c>
      <c r="M1346" s="19">
        <f>IF($C1346="","",ROUND(SUM(基础资料!$B$4:$B$13)+SUM($J$4:J1346)-SUM($K$4:K1346),2))</f>
        <v/>
      </c>
      <c r="N1346" s="13" t="n"/>
      <c r="O1346" s="13" t="n"/>
      <c r="P1346" s="17">
        <f>IF($B1346="","",IF($F1346="※类别不在基础资料里","※费用类别不在基础资料里",IF(AND(N($J1346)=0,N($K1346)=0),"※这行没填金额",IF(AND(N($J1346)&gt;0,N($K1346)&gt;0),"※收入和支出不能同一行都填",IF(AND($D1346="收入",N($J1346)=0),"※收入行要填收入金额",IF(AND($D1346="支出",N($K1346)=0),"※支出行要填支出金额",IF(AND($C1346&lt;&gt;"",ISNA(MATCH($C1346,账户表,0))),"※账户不在基础资料里",IF(AND($G1346&lt;&gt;"",ISNA(MATCH($G1346,项目名表,0))),"※项目不在项目台账里",IF(AND(LEFT($F1346,3)="成本-",$G1346=""),"※成本类支出没填项目",IF(AND(LEFT($F1346,3)="成本-",$H1346&lt;&gt;"",N($K1346)&gt;0,COUNTIFS(采购单!$B:$B,$B1346,采购单!$C:$C,$H1346,采购单!$L:$L,$K1346)&gt;0),"※这笔可能和采购单重复了",""))))))))))</f>
        <v/>
      </c>
    </row>
    <row r="1347">
      <c r="A1347" s="17">
        <f>IF($B1347="","",ROW()-3)</f>
        <v/>
      </c>
      <c r="B1347" s="18" t="n"/>
      <c r="C1347" s="13" t="n"/>
      <c r="D1347" s="13" t="n"/>
      <c r="E1347" s="13" t="n"/>
      <c r="F1347" s="17">
        <f>IF($E1347="","",IFERROR(VLOOKUP($E1347,类别归属,2,0),"※类别不在基础资料里"))</f>
        <v/>
      </c>
      <c r="G1347" s="13" t="n"/>
      <c r="H1347" s="13" t="n"/>
      <c r="I1347" s="13" t="n"/>
      <c r="J1347" s="14" t="n"/>
      <c r="K1347" s="14" t="n"/>
      <c r="L1347" s="19">
        <f>IF($C1347="","",ROUND(IFERROR(VLOOKUP($C1347,账户期初,2,0),0)+SUMIFS($J$4:J1347,$C$4:C1347,$C1347)-SUMIFS($K$4:K1347,$C$4:C1347,$C1347),2))</f>
        <v/>
      </c>
      <c r="M1347" s="19">
        <f>IF($C1347="","",ROUND(SUM(基础资料!$B$4:$B$13)+SUM($J$4:J1347)-SUM($K$4:K1347),2))</f>
        <v/>
      </c>
      <c r="N1347" s="13" t="n"/>
      <c r="O1347" s="13" t="n"/>
      <c r="P1347" s="17">
        <f>IF($B1347="","",IF($F1347="※类别不在基础资料里","※费用类别不在基础资料里",IF(AND(N($J1347)=0,N($K1347)=0),"※这行没填金额",IF(AND(N($J1347)&gt;0,N($K1347)&gt;0),"※收入和支出不能同一行都填",IF(AND($D1347="收入",N($J1347)=0),"※收入行要填收入金额",IF(AND($D1347="支出",N($K1347)=0),"※支出行要填支出金额",IF(AND($C1347&lt;&gt;"",ISNA(MATCH($C1347,账户表,0))),"※账户不在基础资料里",IF(AND($G1347&lt;&gt;"",ISNA(MATCH($G1347,项目名表,0))),"※项目不在项目台账里",IF(AND(LEFT($F1347,3)="成本-",$G1347=""),"※成本类支出没填项目",IF(AND(LEFT($F1347,3)="成本-",$H1347&lt;&gt;"",N($K1347)&gt;0,COUNTIFS(采购单!$B:$B,$B1347,采购单!$C:$C,$H1347,采购单!$L:$L,$K1347)&gt;0),"※这笔可能和采购单重复了",""))))))))))</f>
        <v/>
      </c>
    </row>
    <row r="1348">
      <c r="A1348" s="17">
        <f>IF($B1348="","",ROW()-3)</f>
        <v/>
      </c>
      <c r="B1348" s="18" t="n"/>
      <c r="C1348" s="13" t="n"/>
      <c r="D1348" s="13" t="n"/>
      <c r="E1348" s="13" t="n"/>
      <c r="F1348" s="17">
        <f>IF($E1348="","",IFERROR(VLOOKUP($E1348,类别归属,2,0),"※类别不在基础资料里"))</f>
        <v/>
      </c>
      <c r="G1348" s="13" t="n"/>
      <c r="H1348" s="13" t="n"/>
      <c r="I1348" s="13" t="n"/>
      <c r="J1348" s="14" t="n"/>
      <c r="K1348" s="14" t="n"/>
      <c r="L1348" s="19">
        <f>IF($C1348="","",ROUND(IFERROR(VLOOKUP($C1348,账户期初,2,0),0)+SUMIFS($J$4:J1348,$C$4:C1348,$C1348)-SUMIFS($K$4:K1348,$C$4:C1348,$C1348),2))</f>
        <v/>
      </c>
      <c r="M1348" s="19">
        <f>IF($C1348="","",ROUND(SUM(基础资料!$B$4:$B$13)+SUM($J$4:J1348)-SUM($K$4:K1348),2))</f>
        <v/>
      </c>
      <c r="N1348" s="13" t="n"/>
      <c r="O1348" s="13" t="n"/>
      <c r="P1348" s="17">
        <f>IF($B1348="","",IF($F1348="※类别不在基础资料里","※费用类别不在基础资料里",IF(AND(N($J1348)=0,N($K1348)=0),"※这行没填金额",IF(AND(N($J1348)&gt;0,N($K1348)&gt;0),"※收入和支出不能同一行都填",IF(AND($D1348="收入",N($J1348)=0),"※收入行要填收入金额",IF(AND($D1348="支出",N($K1348)=0),"※支出行要填支出金额",IF(AND($C1348&lt;&gt;"",ISNA(MATCH($C1348,账户表,0))),"※账户不在基础资料里",IF(AND($G1348&lt;&gt;"",ISNA(MATCH($G1348,项目名表,0))),"※项目不在项目台账里",IF(AND(LEFT($F1348,3)="成本-",$G1348=""),"※成本类支出没填项目",IF(AND(LEFT($F1348,3)="成本-",$H1348&lt;&gt;"",N($K1348)&gt;0,COUNTIFS(采购单!$B:$B,$B1348,采购单!$C:$C,$H1348,采购单!$L:$L,$K1348)&gt;0),"※这笔可能和采购单重复了",""))))))))))</f>
        <v/>
      </c>
    </row>
    <row r="1349">
      <c r="A1349" s="17">
        <f>IF($B1349="","",ROW()-3)</f>
        <v/>
      </c>
      <c r="B1349" s="18" t="n"/>
      <c r="C1349" s="13" t="n"/>
      <c r="D1349" s="13" t="n"/>
      <c r="E1349" s="13" t="n"/>
      <c r="F1349" s="17">
        <f>IF($E1349="","",IFERROR(VLOOKUP($E1349,类别归属,2,0),"※类别不在基础资料里"))</f>
        <v/>
      </c>
      <c r="G1349" s="13" t="n"/>
      <c r="H1349" s="13" t="n"/>
      <c r="I1349" s="13" t="n"/>
      <c r="J1349" s="14" t="n"/>
      <c r="K1349" s="14" t="n"/>
      <c r="L1349" s="19">
        <f>IF($C1349="","",ROUND(IFERROR(VLOOKUP($C1349,账户期初,2,0),0)+SUMIFS($J$4:J1349,$C$4:C1349,$C1349)-SUMIFS($K$4:K1349,$C$4:C1349,$C1349),2))</f>
        <v/>
      </c>
      <c r="M1349" s="19">
        <f>IF($C1349="","",ROUND(SUM(基础资料!$B$4:$B$13)+SUM($J$4:J1349)-SUM($K$4:K1349),2))</f>
        <v/>
      </c>
      <c r="N1349" s="13" t="n"/>
      <c r="O1349" s="13" t="n"/>
      <c r="P1349" s="17">
        <f>IF($B1349="","",IF($F1349="※类别不在基础资料里","※费用类别不在基础资料里",IF(AND(N($J1349)=0,N($K1349)=0),"※这行没填金额",IF(AND(N($J1349)&gt;0,N($K1349)&gt;0),"※收入和支出不能同一行都填",IF(AND($D1349="收入",N($J1349)=0),"※收入行要填收入金额",IF(AND($D1349="支出",N($K1349)=0),"※支出行要填支出金额",IF(AND($C1349&lt;&gt;"",ISNA(MATCH($C1349,账户表,0))),"※账户不在基础资料里",IF(AND($G1349&lt;&gt;"",ISNA(MATCH($G1349,项目名表,0))),"※项目不在项目台账里",IF(AND(LEFT($F1349,3)="成本-",$G1349=""),"※成本类支出没填项目",IF(AND(LEFT($F1349,3)="成本-",$H1349&lt;&gt;"",N($K1349)&gt;0,COUNTIFS(采购单!$B:$B,$B1349,采购单!$C:$C,$H1349,采购单!$L:$L,$K1349)&gt;0),"※这笔可能和采购单重复了",""))))))))))</f>
        <v/>
      </c>
    </row>
    <row r="1350">
      <c r="A1350" s="17">
        <f>IF($B1350="","",ROW()-3)</f>
        <v/>
      </c>
      <c r="B1350" s="18" t="n"/>
      <c r="C1350" s="13" t="n"/>
      <c r="D1350" s="13" t="n"/>
      <c r="E1350" s="13" t="n"/>
      <c r="F1350" s="17">
        <f>IF($E1350="","",IFERROR(VLOOKUP($E1350,类别归属,2,0),"※类别不在基础资料里"))</f>
        <v/>
      </c>
      <c r="G1350" s="13" t="n"/>
      <c r="H1350" s="13" t="n"/>
      <c r="I1350" s="13" t="n"/>
      <c r="J1350" s="14" t="n"/>
      <c r="K1350" s="14" t="n"/>
      <c r="L1350" s="19">
        <f>IF($C1350="","",ROUND(IFERROR(VLOOKUP($C1350,账户期初,2,0),0)+SUMIFS($J$4:J1350,$C$4:C1350,$C1350)-SUMIFS($K$4:K1350,$C$4:C1350,$C1350),2))</f>
        <v/>
      </c>
      <c r="M1350" s="19">
        <f>IF($C1350="","",ROUND(SUM(基础资料!$B$4:$B$13)+SUM($J$4:J1350)-SUM($K$4:K1350),2))</f>
        <v/>
      </c>
      <c r="N1350" s="13" t="n"/>
      <c r="O1350" s="13" t="n"/>
      <c r="P1350" s="17">
        <f>IF($B1350="","",IF($F1350="※类别不在基础资料里","※费用类别不在基础资料里",IF(AND(N($J1350)=0,N($K1350)=0),"※这行没填金额",IF(AND(N($J1350)&gt;0,N($K1350)&gt;0),"※收入和支出不能同一行都填",IF(AND($D1350="收入",N($J1350)=0),"※收入行要填收入金额",IF(AND($D1350="支出",N($K1350)=0),"※支出行要填支出金额",IF(AND($C1350&lt;&gt;"",ISNA(MATCH($C1350,账户表,0))),"※账户不在基础资料里",IF(AND($G1350&lt;&gt;"",ISNA(MATCH($G1350,项目名表,0))),"※项目不在项目台账里",IF(AND(LEFT($F1350,3)="成本-",$G1350=""),"※成本类支出没填项目",IF(AND(LEFT($F1350,3)="成本-",$H1350&lt;&gt;"",N($K1350)&gt;0,COUNTIFS(采购单!$B:$B,$B1350,采购单!$C:$C,$H1350,采购单!$L:$L,$K1350)&gt;0),"※这笔可能和采购单重复了",""))))))))))</f>
        <v/>
      </c>
    </row>
    <row r="1351">
      <c r="A1351" s="17">
        <f>IF($B1351="","",ROW()-3)</f>
        <v/>
      </c>
      <c r="B1351" s="18" t="n"/>
      <c r="C1351" s="13" t="n"/>
      <c r="D1351" s="13" t="n"/>
      <c r="E1351" s="13" t="n"/>
      <c r="F1351" s="17">
        <f>IF($E1351="","",IFERROR(VLOOKUP($E1351,类别归属,2,0),"※类别不在基础资料里"))</f>
        <v/>
      </c>
      <c r="G1351" s="13" t="n"/>
      <c r="H1351" s="13" t="n"/>
      <c r="I1351" s="13" t="n"/>
      <c r="J1351" s="14" t="n"/>
      <c r="K1351" s="14" t="n"/>
      <c r="L1351" s="19">
        <f>IF($C1351="","",ROUND(IFERROR(VLOOKUP($C1351,账户期初,2,0),0)+SUMIFS($J$4:J1351,$C$4:C1351,$C1351)-SUMIFS($K$4:K1351,$C$4:C1351,$C1351),2))</f>
        <v/>
      </c>
      <c r="M1351" s="19">
        <f>IF($C1351="","",ROUND(SUM(基础资料!$B$4:$B$13)+SUM($J$4:J1351)-SUM($K$4:K1351),2))</f>
        <v/>
      </c>
      <c r="N1351" s="13" t="n"/>
      <c r="O1351" s="13" t="n"/>
      <c r="P1351" s="17">
        <f>IF($B1351="","",IF($F1351="※类别不在基础资料里","※费用类别不在基础资料里",IF(AND(N($J1351)=0,N($K1351)=0),"※这行没填金额",IF(AND(N($J1351)&gt;0,N($K1351)&gt;0),"※收入和支出不能同一行都填",IF(AND($D1351="收入",N($J1351)=0),"※收入行要填收入金额",IF(AND($D1351="支出",N($K1351)=0),"※支出行要填支出金额",IF(AND($C1351&lt;&gt;"",ISNA(MATCH($C1351,账户表,0))),"※账户不在基础资料里",IF(AND($G1351&lt;&gt;"",ISNA(MATCH($G1351,项目名表,0))),"※项目不在项目台账里",IF(AND(LEFT($F1351,3)="成本-",$G1351=""),"※成本类支出没填项目",IF(AND(LEFT($F1351,3)="成本-",$H1351&lt;&gt;"",N($K1351)&gt;0,COUNTIFS(采购单!$B:$B,$B1351,采购单!$C:$C,$H1351,采购单!$L:$L,$K1351)&gt;0),"※这笔可能和采购单重复了",""))))))))))</f>
        <v/>
      </c>
    </row>
    <row r="1352">
      <c r="A1352" s="17">
        <f>IF($B1352="","",ROW()-3)</f>
        <v/>
      </c>
      <c r="B1352" s="18" t="n"/>
      <c r="C1352" s="13" t="n"/>
      <c r="D1352" s="13" t="n"/>
      <c r="E1352" s="13" t="n"/>
      <c r="F1352" s="17">
        <f>IF($E1352="","",IFERROR(VLOOKUP($E1352,类别归属,2,0),"※类别不在基础资料里"))</f>
        <v/>
      </c>
      <c r="G1352" s="13" t="n"/>
      <c r="H1352" s="13" t="n"/>
      <c r="I1352" s="13" t="n"/>
      <c r="J1352" s="14" t="n"/>
      <c r="K1352" s="14" t="n"/>
      <c r="L1352" s="19">
        <f>IF($C1352="","",ROUND(IFERROR(VLOOKUP($C1352,账户期初,2,0),0)+SUMIFS($J$4:J1352,$C$4:C1352,$C1352)-SUMIFS($K$4:K1352,$C$4:C1352,$C1352),2))</f>
        <v/>
      </c>
      <c r="M1352" s="19">
        <f>IF($C1352="","",ROUND(SUM(基础资料!$B$4:$B$13)+SUM($J$4:J1352)-SUM($K$4:K1352),2))</f>
        <v/>
      </c>
      <c r="N1352" s="13" t="n"/>
      <c r="O1352" s="13" t="n"/>
      <c r="P1352" s="17">
        <f>IF($B1352="","",IF($F1352="※类别不在基础资料里","※费用类别不在基础资料里",IF(AND(N($J1352)=0,N($K1352)=0),"※这行没填金额",IF(AND(N($J1352)&gt;0,N($K1352)&gt;0),"※收入和支出不能同一行都填",IF(AND($D1352="收入",N($J1352)=0),"※收入行要填收入金额",IF(AND($D1352="支出",N($K1352)=0),"※支出行要填支出金额",IF(AND($C1352&lt;&gt;"",ISNA(MATCH($C1352,账户表,0))),"※账户不在基础资料里",IF(AND($G1352&lt;&gt;"",ISNA(MATCH($G1352,项目名表,0))),"※项目不在项目台账里",IF(AND(LEFT($F1352,3)="成本-",$G1352=""),"※成本类支出没填项目",IF(AND(LEFT($F1352,3)="成本-",$H1352&lt;&gt;"",N($K1352)&gt;0,COUNTIFS(采购单!$B:$B,$B1352,采购单!$C:$C,$H1352,采购单!$L:$L,$K1352)&gt;0),"※这笔可能和采购单重复了",""))))))))))</f>
        <v/>
      </c>
    </row>
    <row r="1353">
      <c r="A1353" s="17">
        <f>IF($B1353="","",ROW()-3)</f>
        <v/>
      </c>
      <c r="B1353" s="18" t="n"/>
      <c r="C1353" s="13" t="n"/>
      <c r="D1353" s="13" t="n"/>
      <c r="E1353" s="13" t="n"/>
      <c r="F1353" s="17">
        <f>IF($E1353="","",IFERROR(VLOOKUP($E1353,类别归属,2,0),"※类别不在基础资料里"))</f>
        <v/>
      </c>
      <c r="G1353" s="13" t="n"/>
      <c r="H1353" s="13" t="n"/>
      <c r="I1353" s="13" t="n"/>
      <c r="J1353" s="14" t="n"/>
      <c r="K1353" s="14" t="n"/>
      <c r="L1353" s="19">
        <f>IF($C1353="","",ROUND(IFERROR(VLOOKUP($C1353,账户期初,2,0),0)+SUMIFS($J$4:J1353,$C$4:C1353,$C1353)-SUMIFS($K$4:K1353,$C$4:C1353,$C1353),2))</f>
        <v/>
      </c>
      <c r="M1353" s="19">
        <f>IF($C1353="","",ROUND(SUM(基础资料!$B$4:$B$13)+SUM($J$4:J1353)-SUM($K$4:K1353),2))</f>
        <v/>
      </c>
      <c r="N1353" s="13" t="n"/>
      <c r="O1353" s="13" t="n"/>
      <c r="P1353" s="17">
        <f>IF($B1353="","",IF($F1353="※类别不在基础资料里","※费用类别不在基础资料里",IF(AND(N($J1353)=0,N($K1353)=0),"※这行没填金额",IF(AND(N($J1353)&gt;0,N($K1353)&gt;0),"※收入和支出不能同一行都填",IF(AND($D1353="收入",N($J1353)=0),"※收入行要填收入金额",IF(AND($D1353="支出",N($K1353)=0),"※支出行要填支出金额",IF(AND($C1353&lt;&gt;"",ISNA(MATCH($C1353,账户表,0))),"※账户不在基础资料里",IF(AND($G1353&lt;&gt;"",ISNA(MATCH($G1353,项目名表,0))),"※项目不在项目台账里",IF(AND(LEFT($F1353,3)="成本-",$G1353=""),"※成本类支出没填项目",IF(AND(LEFT($F1353,3)="成本-",$H1353&lt;&gt;"",N($K1353)&gt;0,COUNTIFS(采购单!$B:$B,$B1353,采购单!$C:$C,$H1353,采购单!$L:$L,$K1353)&gt;0),"※这笔可能和采购单重复了",""))))))))))</f>
        <v/>
      </c>
    </row>
    <row r="1354">
      <c r="A1354" s="17">
        <f>IF($B1354="","",ROW()-3)</f>
        <v/>
      </c>
      <c r="B1354" s="18" t="n"/>
      <c r="C1354" s="13" t="n"/>
      <c r="D1354" s="13" t="n"/>
      <c r="E1354" s="13" t="n"/>
      <c r="F1354" s="17">
        <f>IF($E1354="","",IFERROR(VLOOKUP($E1354,类别归属,2,0),"※类别不在基础资料里"))</f>
        <v/>
      </c>
      <c r="G1354" s="13" t="n"/>
      <c r="H1354" s="13" t="n"/>
      <c r="I1354" s="13" t="n"/>
      <c r="J1354" s="14" t="n"/>
      <c r="K1354" s="14" t="n"/>
      <c r="L1354" s="19">
        <f>IF($C1354="","",ROUND(IFERROR(VLOOKUP($C1354,账户期初,2,0),0)+SUMIFS($J$4:J1354,$C$4:C1354,$C1354)-SUMIFS($K$4:K1354,$C$4:C1354,$C1354),2))</f>
        <v/>
      </c>
      <c r="M1354" s="19">
        <f>IF($C1354="","",ROUND(SUM(基础资料!$B$4:$B$13)+SUM($J$4:J1354)-SUM($K$4:K1354),2))</f>
        <v/>
      </c>
      <c r="N1354" s="13" t="n"/>
      <c r="O1354" s="13" t="n"/>
      <c r="P1354" s="17">
        <f>IF($B1354="","",IF($F1354="※类别不在基础资料里","※费用类别不在基础资料里",IF(AND(N($J1354)=0,N($K1354)=0),"※这行没填金额",IF(AND(N($J1354)&gt;0,N($K1354)&gt;0),"※收入和支出不能同一行都填",IF(AND($D1354="收入",N($J1354)=0),"※收入行要填收入金额",IF(AND($D1354="支出",N($K1354)=0),"※支出行要填支出金额",IF(AND($C1354&lt;&gt;"",ISNA(MATCH($C1354,账户表,0))),"※账户不在基础资料里",IF(AND($G1354&lt;&gt;"",ISNA(MATCH($G1354,项目名表,0))),"※项目不在项目台账里",IF(AND(LEFT($F1354,3)="成本-",$G1354=""),"※成本类支出没填项目",IF(AND(LEFT($F1354,3)="成本-",$H1354&lt;&gt;"",N($K1354)&gt;0,COUNTIFS(采购单!$B:$B,$B1354,采购单!$C:$C,$H1354,采购单!$L:$L,$K1354)&gt;0),"※这笔可能和采购单重复了",""))))))))))</f>
        <v/>
      </c>
    </row>
    <row r="1355">
      <c r="A1355" s="17">
        <f>IF($B1355="","",ROW()-3)</f>
        <v/>
      </c>
      <c r="B1355" s="18" t="n"/>
      <c r="C1355" s="13" t="n"/>
      <c r="D1355" s="13" t="n"/>
      <c r="E1355" s="13" t="n"/>
      <c r="F1355" s="17">
        <f>IF($E1355="","",IFERROR(VLOOKUP($E1355,类别归属,2,0),"※类别不在基础资料里"))</f>
        <v/>
      </c>
      <c r="G1355" s="13" t="n"/>
      <c r="H1355" s="13" t="n"/>
      <c r="I1355" s="13" t="n"/>
      <c r="J1355" s="14" t="n"/>
      <c r="K1355" s="14" t="n"/>
      <c r="L1355" s="19">
        <f>IF($C1355="","",ROUND(IFERROR(VLOOKUP($C1355,账户期初,2,0),0)+SUMIFS($J$4:J1355,$C$4:C1355,$C1355)-SUMIFS($K$4:K1355,$C$4:C1355,$C1355),2))</f>
        <v/>
      </c>
      <c r="M1355" s="19">
        <f>IF($C1355="","",ROUND(SUM(基础资料!$B$4:$B$13)+SUM($J$4:J1355)-SUM($K$4:K1355),2))</f>
        <v/>
      </c>
      <c r="N1355" s="13" t="n"/>
      <c r="O1355" s="13" t="n"/>
      <c r="P1355" s="17">
        <f>IF($B1355="","",IF($F1355="※类别不在基础资料里","※费用类别不在基础资料里",IF(AND(N($J1355)=0,N($K1355)=0),"※这行没填金额",IF(AND(N($J1355)&gt;0,N($K1355)&gt;0),"※收入和支出不能同一行都填",IF(AND($D1355="收入",N($J1355)=0),"※收入行要填收入金额",IF(AND($D1355="支出",N($K1355)=0),"※支出行要填支出金额",IF(AND($C1355&lt;&gt;"",ISNA(MATCH($C1355,账户表,0))),"※账户不在基础资料里",IF(AND($G1355&lt;&gt;"",ISNA(MATCH($G1355,项目名表,0))),"※项目不在项目台账里",IF(AND(LEFT($F1355,3)="成本-",$G1355=""),"※成本类支出没填项目",IF(AND(LEFT($F1355,3)="成本-",$H1355&lt;&gt;"",N($K1355)&gt;0,COUNTIFS(采购单!$B:$B,$B1355,采购单!$C:$C,$H1355,采购单!$L:$L,$K1355)&gt;0),"※这笔可能和采购单重复了",""))))))))))</f>
        <v/>
      </c>
    </row>
    <row r="1356">
      <c r="A1356" s="17">
        <f>IF($B1356="","",ROW()-3)</f>
        <v/>
      </c>
      <c r="B1356" s="18" t="n"/>
      <c r="C1356" s="13" t="n"/>
      <c r="D1356" s="13" t="n"/>
      <c r="E1356" s="13" t="n"/>
      <c r="F1356" s="17">
        <f>IF($E1356="","",IFERROR(VLOOKUP($E1356,类别归属,2,0),"※类别不在基础资料里"))</f>
        <v/>
      </c>
      <c r="G1356" s="13" t="n"/>
      <c r="H1356" s="13" t="n"/>
      <c r="I1356" s="13" t="n"/>
      <c r="J1356" s="14" t="n"/>
      <c r="K1356" s="14" t="n"/>
      <c r="L1356" s="19">
        <f>IF($C1356="","",ROUND(IFERROR(VLOOKUP($C1356,账户期初,2,0),0)+SUMIFS($J$4:J1356,$C$4:C1356,$C1356)-SUMIFS($K$4:K1356,$C$4:C1356,$C1356),2))</f>
        <v/>
      </c>
      <c r="M1356" s="19">
        <f>IF($C1356="","",ROUND(SUM(基础资料!$B$4:$B$13)+SUM($J$4:J1356)-SUM($K$4:K1356),2))</f>
        <v/>
      </c>
      <c r="N1356" s="13" t="n"/>
      <c r="O1356" s="13" t="n"/>
      <c r="P1356" s="17">
        <f>IF($B1356="","",IF($F1356="※类别不在基础资料里","※费用类别不在基础资料里",IF(AND(N($J1356)=0,N($K1356)=0),"※这行没填金额",IF(AND(N($J1356)&gt;0,N($K1356)&gt;0),"※收入和支出不能同一行都填",IF(AND($D1356="收入",N($J1356)=0),"※收入行要填收入金额",IF(AND($D1356="支出",N($K1356)=0),"※支出行要填支出金额",IF(AND($C1356&lt;&gt;"",ISNA(MATCH($C1356,账户表,0))),"※账户不在基础资料里",IF(AND($G1356&lt;&gt;"",ISNA(MATCH($G1356,项目名表,0))),"※项目不在项目台账里",IF(AND(LEFT($F1356,3)="成本-",$G1356=""),"※成本类支出没填项目",IF(AND(LEFT($F1356,3)="成本-",$H1356&lt;&gt;"",N($K1356)&gt;0,COUNTIFS(采购单!$B:$B,$B1356,采购单!$C:$C,$H1356,采购单!$L:$L,$K1356)&gt;0),"※这笔可能和采购单重复了",""))))))))))</f>
        <v/>
      </c>
    </row>
    <row r="1357">
      <c r="A1357" s="17">
        <f>IF($B1357="","",ROW()-3)</f>
        <v/>
      </c>
      <c r="B1357" s="18" t="n"/>
      <c r="C1357" s="13" t="n"/>
      <c r="D1357" s="13" t="n"/>
      <c r="E1357" s="13" t="n"/>
      <c r="F1357" s="17">
        <f>IF($E1357="","",IFERROR(VLOOKUP($E1357,类别归属,2,0),"※类别不在基础资料里"))</f>
        <v/>
      </c>
      <c r="G1357" s="13" t="n"/>
      <c r="H1357" s="13" t="n"/>
      <c r="I1357" s="13" t="n"/>
      <c r="J1357" s="14" t="n"/>
      <c r="K1357" s="14" t="n"/>
      <c r="L1357" s="19">
        <f>IF($C1357="","",ROUND(IFERROR(VLOOKUP($C1357,账户期初,2,0),0)+SUMIFS($J$4:J1357,$C$4:C1357,$C1357)-SUMIFS($K$4:K1357,$C$4:C1357,$C1357),2))</f>
        <v/>
      </c>
      <c r="M1357" s="19">
        <f>IF($C1357="","",ROUND(SUM(基础资料!$B$4:$B$13)+SUM($J$4:J1357)-SUM($K$4:K1357),2))</f>
        <v/>
      </c>
      <c r="N1357" s="13" t="n"/>
      <c r="O1357" s="13" t="n"/>
      <c r="P1357" s="17">
        <f>IF($B1357="","",IF($F1357="※类别不在基础资料里","※费用类别不在基础资料里",IF(AND(N($J1357)=0,N($K1357)=0),"※这行没填金额",IF(AND(N($J1357)&gt;0,N($K1357)&gt;0),"※收入和支出不能同一行都填",IF(AND($D1357="收入",N($J1357)=0),"※收入行要填收入金额",IF(AND($D1357="支出",N($K1357)=0),"※支出行要填支出金额",IF(AND($C1357&lt;&gt;"",ISNA(MATCH($C1357,账户表,0))),"※账户不在基础资料里",IF(AND($G1357&lt;&gt;"",ISNA(MATCH($G1357,项目名表,0))),"※项目不在项目台账里",IF(AND(LEFT($F1357,3)="成本-",$G1357=""),"※成本类支出没填项目",IF(AND(LEFT($F1357,3)="成本-",$H1357&lt;&gt;"",N($K1357)&gt;0,COUNTIFS(采购单!$B:$B,$B1357,采购单!$C:$C,$H1357,采购单!$L:$L,$K1357)&gt;0),"※这笔可能和采购单重复了",""))))))))))</f>
        <v/>
      </c>
    </row>
    <row r="1358">
      <c r="A1358" s="17">
        <f>IF($B1358="","",ROW()-3)</f>
        <v/>
      </c>
      <c r="B1358" s="18" t="n"/>
      <c r="C1358" s="13" t="n"/>
      <c r="D1358" s="13" t="n"/>
      <c r="E1358" s="13" t="n"/>
      <c r="F1358" s="17">
        <f>IF($E1358="","",IFERROR(VLOOKUP($E1358,类别归属,2,0),"※类别不在基础资料里"))</f>
        <v/>
      </c>
      <c r="G1358" s="13" t="n"/>
      <c r="H1358" s="13" t="n"/>
      <c r="I1358" s="13" t="n"/>
      <c r="J1358" s="14" t="n"/>
      <c r="K1358" s="14" t="n"/>
      <c r="L1358" s="19">
        <f>IF($C1358="","",ROUND(IFERROR(VLOOKUP($C1358,账户期初,2,0),0)+SUMIFS($J$4:J1358,$C$4:C1358,$C1358)-SUMIFS($K$4:K1358,$C$4:C1358,$C1358),2))</f>
        <v/>
      </c>
      <c r="M1358" s="19">
        <f>IF($C1358="","",ROUND(SUM(基础资料!$B$4:$B$13)+SUM($J$4:J1358)-SUM($K$4:K1358),2))</f>
        <v/>
      </c>
      <c r="N1358" s="13" t="n"/>
      <c r="O1358" s="13" t="n"/>
      <c r="P1358" s="17">
        <f>IF($B1358="","",IF($F1358="※类别不在基础资料里","※费用类别不在基础资料里",IF(AND(N($J1358)=0,N($K1358)=0),"※这行没填金额",IF(AND(N($J1358)&gt;0,N($K1358)&gt;0),"※收入和支出不能同一行都填",IF(AND($D1358="收入",N($J1358)=0),"※收入行要填收入金额",IF(AND($D1358="支出",N($K1358)=0),"※支出行要填支出金额",IF(AND($C1358&lt;&gt;"",ISNA(MATCH($C1358,账户表,0))),"※账户不在基础资料里",IF(AND($G1358&lt;&gt;"",ISNA(MATCH($G1358,项目名表,0))),"※项目不在项目台账里",IF(AND(LEFT($F1358,3)="成本-",$G1358=""),"※成本类支出没填项目",IF(AND(LEFT($F1358,3)="成本-",$H1358&lt;&gt;"",N($K1358)&gt;0,COUNTIFS(采购单!$B:$B,$B1358,采购单!$C:$C,$H1358,采购单!$L:$L,$K1358)&gt;0),"※这笔可能和采购单重复了",""))))))))))</f>
        <v/>
      </c>
    </row>
    <row r="1359">
      <c r="A1359" s="17">
        <f>IF($B1359="","",ROW()-3)</f>
        <v/>
      </c>
      <c r="B1359" s="18" t="n"/>
      <c r="C1359" s="13" t="n"/>
      <c r="D1359" s="13" t="n"/>
      <c r="E1359" s="13" t="n"/>
      <c r="F1359" s="17">
        <f>IF($E1359="","",IFERROR(VLOOKUP($E1359,类别归属,2,0),"※类别不在基础资料里"))</f>
        <v/>
      </c>
      <c r="G1359" s="13" t="n"/>
      <c r="H1359" s="13" t="n"/>
      <c r="I1359" s="13" t="n"/>
      <c r="J1359" s="14" t="n"/>
      <c r="K1359" s="14" t="n"/>
      <c r="L1359" s="19">
        <f>IF($C1359="","",ROUND(IFERROR(VLOOKUP($C1359,账户期初,2,0),0)+SUMIFS($J$4:J1359,$C$4:C1359,$C1359)-SUMIFS($K$4:K1359,$C$4:C1359,$C1359),2))</f>
        <v/>
      </c>
      <c r="M1359" s="19">
        <f>IF($C1359="","",ROUND(SUM(基础资料!$B$4:$B$13)+SUM($J$4:J1359)-SUM($K$4:K1359),2))</f>
        <v/>
      </c>
      <c r="N1359" s="13" t="n"/>
      <c r="O1359" s="13" t="n"/>
      <c r="P1359" s="17">
        <f>IF($B1359="","",IF($F1359="※类别不在基础资料里","※费用类别不在基础资料里",IF(AND(N($J1359)=0,N($K1359)=0),"※这行没填金额",IF(AND(N($J1359)&gt;0,N($K1359)&gt;0),"※收入和支出不能同一行都填",IF(AND($D1359="收入",N($J1359)=0),"※收入行要填收入金额",IF(AND($D1359="支出",N($K1359)=0),"※支出行要填支出金额",IF(AND($C1359&lt;&gt;"",ISNA(MATCH($C1359,账户表,0))),"※账户不在基础资料里",IF(AND($G1359&lt;&gt;"",ISNA(MATCH($G1359,项目名表,0))),"※项目不在项目台账里",IF(AND(LEFT($F1359,3)="成本-",$G1359=""),"※成本类支出没填项目",IF(AND(LEFT($F1359,3)="成本-",$H1359&lt;&gt;"",N($K1359)&gt;0,COUNTIFS(采购单!$B:$B,$B1359,采购单!$C:$C,$H1359,采购单!$L:$L,$K1359)&gt;0),"※这笔可能和采购单重复了",""))))))))))</f>
        <v/>
      </c>
    </row>
    <row r="1360">
      <c r="A1360" s="17">
        <f>IF($B1360="","",ROW()-3)</f>
        <v/>
      </c>
      <c r="B1360" s="18" t="n"/>
      <c r="C1360" s="13" t="n"/>
      <c r="D1360" s="13" t="n"/>
      <c r="E1360" s="13" t="n"/>
      <c r="F1360" s="17">
        <f>IF($E1360="","",IFERROR(VLOOKUP($E1360,类别归属,2,0),"※类别不在基础资料里"))</f>
        <v/>
      </c>
      <c r="G1360" s="13" t="n"/>
      <c r="H1360" s="13" t="n"/>
      <c r="I1360" s="13" t="n"/>
      <c r="J1360" s="14" t="n"/>
      <c r="K1360" s="14" t="n"/>
      <c r="L1360" s="19">
        <f>IF($C1360="","",ROUND(IFERROR(VLOOKUP($C1360,账户期初,2,0),0)+SUMIFS($J$4:J1360,$C$4:C1360,$C1360)-SUMIFS($K$4:K1360,$C$4:C1360,$C1360),2))</f>
        <v/>
      </c>
      <c r="M1360" s="19">
        <f>IF($C1360="","",ROUND(SUM(基础资料!$B$4:$B$13)+SUM($J$4:J1360)-SUM($K$4:K1360),2))</f>
        <v/>
      </c>
      <c r="N1360" s="13" t="n"/>
      <c r="O1360" s="13" t="n"/>
      <c r="P1360" s="17">
        <f>IF($B1360="","",IF($F1360="※类别不在基础资料里","※费用类别不在基础资料里",IF(AND(N($J1360)=0,N($K1360)=0),"※这行没填金额",IF(AND(N($J1360)&gt;0,N($K1360)&gt;0),"※收入和支出不能同一行都填",IF(AND($D1360="收入",N($J1360)=0),"※收入行要填收入金额",IF(AND($D1360="支出",N($K1360)=0),"※支出行要填支出金额",IF(AND($C1360&lt;&gt;"",ISNA(MATCH($C1360,账户表,0))),"※账户不在基础资料里",IF(AND($G1360&lt;&gt;"",ISNA(MATCH($G1360,项目名表,0))),"※项目不在项目台账里",IF(AND(LEFT($F1360,3)="成本-",$G1360=""),"※成本类支出没填项目",IF(AND(LEFT($F1360,3)="成本-",$H1360&lt;&gt;"",N($K1360)&gt;0,COUNTIFS(采购单!$B:$B,$B1360,采购单!$C:$C,$H1360,采购单!$L:$L,$K1360)&gt;0),"※这笔可能和采购单重复了",""))))))))))</f>
        <v/>
      </c>
    </row>
    <row r="1361">
      <c r="A1361" s="17">
        <f>IF($B1361="","",ROW()-3)</f>
        <v/>
      </c>
      <c r="B1361" s="18" t="n"/>
      <c r="C1361" s="13" t="n"/>
      <c r="D1361" s="13" t="n"/>
      <c r="E1361" s="13" t="n"/>
      <c r="F1361" s="17">
        <f>IF($E1361="","",IFERROR(VLOOKUP($E1361,类别归属,2,0),"※类别不在基础资料里"))</f>
        <v/>
      </c>
      <c r="G1361" s="13" t="n"/>
      <c r="H1361" s="13" t="n"/>
      <c r="I1361" s="13" t="n"/>
      <c r="J1361" s="14" t="n"/>
      <c r="K1361" s="14" t="n"/>
      <c r="L1361" s="19">
        <f>IF($C1361="","",ROUND(IFERROR(VLOOKUP($C1361,账户期初,2,0),0)+SUMIFS($J$4:J1361,$C$4:C1361,$C1361)-SUMIFS($K$4:K1361,$C$4:C1361,$C1361),2))</f>
        <v/>
      </c>
      <c r="M1361" s="19">
        <f>IF($C1361="","",ROUND(SUM(基础资料!$B$4:$B$13)+SUM($J$4:J1361)-SUM($K$4:K1361),2))</f>
        <v/>
      </c>
      <c r="N1361" s="13" t="n"/>
      <c r="O1361" s="13" t="n"/>
      <c r="P1361" s="17">
        <f>IF($B1361="","",IF($F1361="※类别不在基础资料里","※费用类别不在基础资料里",IF(AND(N($J1361)=0,N($K1361)=0),"※这行没填金额",IF(AND(N($J1361)&gt;0,N($K1361)&gt;0),"※收入和支出不能同一行都填",IF(AND($D1361="收入",N($J1361)=0),"※收入行要填收入金额",IF(AND($D1361="支出",N($K1361)=0),"※支出行要填支出金额",IF(AND($C1361&lt;&gt;"",ISNA(MATCH($C1361,账户表,0))),"※账户不在基础资料里",IF(AND($G1361&lt;&gt;"",ISNA(MATCH($G1361,项目名表,0))),"※项目不在项目台账里",IF(AND(LEFT($F1361,3)="成本-",$G1361=""),"※成本类支出没填项目",IF(AND(LEFT($F1361,3)="成本-",$H1361&lt;&gt;"",N($K1361)&gt;0,COUNTIFS(采购单!$B:$B,$B1361,采购单!$C:$C,$H1361,采购单!$L:$L,$K1361)&gt;0),"※这笔可能和采购单重复了",""))))))))))</f>
        <v/>
      </c>
    </row>
    <row r="1362">
      <c r="A1362" s="17">
        <f>IF($B1362="","",ROW()-3)</f>
        <v/>
      </c>
      <c r="B1362" s="18" t="n"/>
      <c r="C1362" s="13" t="n"/>
      <c r="D1362" s="13" t="n"/>
      <c r="E1362" s="13" t="n"/>
      <c r="F1362" s="17">
        <f>IF($E1362="","",IFERROR(VLOOKUP($E1362,类别归属,2,0),"※类别不在基础资料里"))</f>
        <v/>
      </c>
      <c r="G1362" s="13" t="n"/>
      <c r="H1362" s="13" t="n"/>
      <c r="I1362" s="13" t="n"/>
      <c r="J1362" s="14" t="n"/>
      <c r="K1362" s="14" t="n"/>
      <c r="L1362" s="19">
        <f>IF($C1362="","",ROUND(IFERROR(VLOOKUP($C1362,账户期初,2,0),0)+SUMIFS($J$4:J1362,$C$4:C1362,$C1362)-SUMIFS($K$4:K1362,$C$4:C1362,$C1362),2))</f>
        <v/>
      </c>
      <c r="M1362" s="19">
        <f>IF($C1362="","",ROUND(SUM(基础资料!$B$4:$B$13)+SUM($J$4:J1362)-SUM($K$4:K1362),2))</f>
        <v/>
      </c>
      <c r="N1362" s="13" t="n"/>
      <c r="O1362" s="13" t="n"/>
      <c r="P1362" s="17">
        <f>IF($B1362="","",IF($F1362="※类别不在基础资料里","※费用类别不在基础资料里",IF(AND(N($J1362)=0,N($K1362)=0),"※这行没填金额",IF(AND(N($J1362)&gt;0,N($K1362)&gt;0),"※收入和支出不能同一行都填",IF(AND($D1362="收入",N($J1362)=0),"※收入行要填收入金额",IF(AND($D1362="支出",N($K1362)=0),"※支出行要填支出金额",IF(AND($C1362&lt;&gt;"",ISNA(MATCH($C1362,账户表,0))),"※账户不在基础资料里",IF(AND($G1362&lt;&gt;"",ISNA(MATCH($G1362,项目名表,0))),"※项目不在项目台账里",IF(AND(LEFT($F1362,3)="成本-",$G1362=""),"※成本类支出没填项目",IF(AND(LEFT($F1362,3)="成本-",$H1362&lt;&gt;"",N($K1362)&gt;0,COUNTIFS(采购单!$B:$B,$B1362,采购单!$C:$C,$H1362,采购单!$L:$L,$K1362)&gt;0),"※这笔可能和采购单重复了",""))))))))))</f>
        <v/>
      </c>
    </row>
    <row r="1363">
      <c r="A1363" s="17">
        <f>IF($B1363="","",ROW()-3)</f>
        <v/>
      </c>
      <c r="B1363" s="18" t="n"/>
      <c r="C1363" s="13" t="n"/>
      <c r="D1363" s="13" t="n"/>
      <c r="E1363" s="13" t="n"/>
      <c r="F1363" s="17">
        <f>IF($E1363="","",IFERROR(VLOOKUP($E1363,类别归属,2,0),"※类别不在基础资料里"))</f>
        <v/>
      </c>
      <c r="G1363" s="13" t="n"/>
      <c r="H1363" s="13" t="n"/>
      <c r="I1363" s="13" t="n"/>
      <c r="J1363" s="14" t="n"/>
      <c r="K1363" s="14" t="n"/>
      <c r="L1363" s="19">
        <f>IF($C1363="","",ROUND(IFERROR(VLOOKUP($C1363,账户期初,2,0),0)+SUMIFS($J$4:J1363,$C$4:C1363,$C1363)-SUMIFS($K$4:K1363,$C$4:C1363,$C1363),2))</f>
        <v/>
      </c>
      <c r="M1363" s="19">
        <f>IF($C1363="","",ROUND(SUM(基础资料!$B$4:$B$13)+SUM($J$4:J1363)-SUM($K$4:K1363),2))</f>
        <v/>
      </c>
      <c r="N1363" s="13" t="n"/>
      <c r="O1363" s="13" t="n"/>
      <c r="P1363" s="17">
        <f>IF($B1363="","",IF($F1363="※类别不在基础资料里","※费用类别不在基础资料里",IF(AND(N($J1363)=0,N($K1363)=0),"※这行没填金额",IF(AND(N($J1363)&gt;0,N($K1363)&gt;0),"※收入和支出不能同一行都填",IF(AND($D1363="收入",N($J1363)=0),"※收入行要填收入金额",IF(AND($D1363="支出",N($K1363)=0),"※支出行要填支出金额",IF(AND($C1363&lt;&gt;"",ISNA(MATCH($C1363,账户表,0))),"※账户不在基础资料里",IF(AND($G1363&lt;&gt;"",ISNA(MATCH($G1363,项目名表,0))),"※项目不在项目台账里",IF(AND(LEFT($F1363,3)="成本-",$G1363=""),"※成本类支出没填项目",IF(AND(LEFT($F1363,3)="成本-",$H1363&lt;&gt;"",N($K1363)&gt;0,COUNTIFS(采购单!$B:$B,$B1363,采购单!$C:$C,$H1363,采购单!$L:$L,$K1363)&gt;0),"※这笔可能和采购单重复了",""))))))))))</f>
        <v/>
      </c>
    </row>
    <row r="1364">
      <c r="A1364" s="17">
        <f>IF($B1364="","",ROW()-3)</f>
        <v/>
      </c>
      <c r="B1364" s="18" t="n"/>
      <c r="C1364" s="13" t="n"/>
      <c r="D1364" s="13" t="n"/>
      <c r="E1364" s="13" t="n"/>
      <c r="F1364" s="17">
        <f>IF($E1364="","",IFERROR(VLOOKUP($E1364,类别归属,2,0),"※类别不在基础资料里"))</f>
        <v/>
      </c>
      <c r="G1364" s="13" t="n"/>
      <c r="H1364" s="13" t="n"/>
      <c r="I1364" s="13" t="n"/>
      <c r="J1364" s="14" t="n"/>
      <c r="K1364" s="14" t="n"/>
      <c r="L1364" s="19">
        <f>IF($C1364="","",ROUND(IFERROR(VLOOKUP($C1364,账户期初,2,0),0)+SUMIFS($J$4:J1364,$C$4:C1364,$C1364)-SUMIFS($K$4:K1364,$C$4:C1364,$C1364),2))</f>
        <v/>
      </c>
      <c r="M1364" s="19">
        <f>IF($C1364="","",ROUND(SUM(基础资料!$B$4:$B$13)+SUM($J$4:J1364)-SUM($K$4:K1364),2))</f>
        <v/>
      </c>
      <c r="N1364" s="13" t="n"/>
      <c r="O1364" s="13" t="n"/>
      <c r="P1364" s="17">
        <f>IF($B1364="","",IF($F1364="※类别不在基础资料里","※费用类别不在基础资料里",IF(AND(N($J1364)=0,N($K1364)=0),"※这行没填金额",IF(AND(N($J1364)&gt;0,N($K1364)&gt;0),"※收入和支出不能同一行都填",IF(AND($D1364="收入",N($J1364)=0),"※收入行要填收入金额",IF(AND($D1364="支出",N($K1364)=0),"※支出行要填支出金额",IF(AND($C1364&lt;&gt;"",ISNA(MATCH($C1364,账户表,0))),"※账户不在基础资料里",IF(AND($G1364&lt;&gt;"",ISNA(MATCH($G1364,项目名表,0))),"※项目不在项目台账里",IF(AND(LEFT($F1364,3)="成本-",$G1364=""),"※成本类支出没填项目",IF(AND(LEFT($F1364,3)="成本-",$H1364&lt;&gt;"",N($K1364)&gt;0,COUNTIFS(采购单!$B:$B,$B1364,采购单!$C:$C,$H1364,采购单!$L:$L,$K1364)&gt;0),"※这笔可能和采购单重复了",""))))))))))</f>
        <v/>
      </c>
    </row>
    <row r="1365">
      <c r="A1365" s="17">
        <f>IF($B1365="","",ROW()-3)</f>
        <v/>
      </c>
      <c r="B1365" s="18" t="n"/>
      <c r="C1365" s="13" t="n"/>
      <c r="D1365" s="13" t="n"/>
      <c r="E1365" s="13" t="n"/>
      <c r="F1365" s="17">
        <f>IF($E1365="","",IFERROR(VLOOKUP($E1365,类别归属,2,0),"※类别不在基础资料里"))</f>
        <v/>
      </c>
      <c r="G1365" s="13" t="n"/>
      <c r="H1365" s="13" t="n"/>
      <c r="I1365" s="13" t="n"/>
      <c r="J1365" s="14" t="n"/>
      <c r="K1365" s="14" t="n"/>
      <c r="L1365" s="19">
        <f>IF($C1365="","",ROUND(IFERROR(VLOOKUP($C1365,账户期初,2,0),0)+SUMIFS($J$4:J1365,$C$4:C1365,$C1365)-SUMIFS($K$4:K1365,$C$4:C1365,$C1365),2))</f>
        <v/>
      </c>
      <c r="M1365" s="19">
        <f>IF($C1365="","",ROUND(SUM(基础资料!$B$4:$B$13)+SUM($J$4:J1365)-SUM($K$4:K1365),2))</f>
        <v/>
      </c>
      <c r="N1365" s="13" t="n"/>
      <c r="O1365" s="13" t="n"/>
      <c r="P1365" s="17">
        <f>IF($B1365="","",IF($F1365="※类别不在基础资料里","※费用类别不在基础资料里",IF(AND(N($J1365)=0,N($K1365)=0),"※这行没填金额",IF(AND(N($J1365)&gt;0,N($K1365)&gt;0),"※收入和支出不能同一行都填",IF(AND($D1365="收入",N($J1365)=0),"※收入行要填收入金额",IF(AND($D1365="支出",N($K1365)=0),"※支出行要填支出金额",IF(AND($C1365&lt;&gt;"",ISNA(MATCH($C1365,账户表,0))),"※账户不在基础资料里",IF(AND($G1365&lt;&gt;"",ISNA(MATCH($G1365,项目名表,0))),"※项目不在项目台账里",IF(AND(LEFT($F1365,3)="成本-",$G1365=""),"※成本类支出没填项目",IF(AND(LEFT($F1365,3)="成本-",$H1365&lt;&gt;"",N($K1365)&gt;0,COUNTIFS(采购单!$B:$B,$B1365,采购单!$C:$C,$H1365,采购单!$L:$L,$K1365)&gt;0),"※这笔可能和采购单重复了",""))))))))))</f>
        <v/>
      </c>
    </row>
    <row r="1366">
      <c r="A1366" s="17">
        <f>IF($B1366="","",ROW()-3)</f>
        <v/>
      </c>
      <c r="B1366" s="18" t="n"/>
      <c r="C1366" s="13" t="n"/>
      <c r="D1366" s="13" t="n"/>
      <c r="E1366" s="13" t="n"/>
      <c r="F1366" s="17">
        <f>IF($E1366="","",IFERROR(VLOOKUP($E1366,类别归属,2,0),"※类别不在基础资料里"))</f>
        <v/>
      </c>
      <c r="G1366" s="13" t="n"/>
      <c r="H1366" s="13" t="n"/>
      <c r="I1366" s="13" t="n"/>
      <c r="J1366" s="14" t="n"/>
      <c r="K1366" s="14" t="n"/>
      <c r="L1366" s="19">
        <f>IF($C1366="","",ROUND(IFERROR(VLOOKUP($C1366,账户期初,2,0),0)+SUMIFS($J$4:J1366,$C$4:C1366,$C1366)-SUMIFS($K$4:K1366,$C$4:C1366,$C1366),2))</f>
        <v/>
      </c>
      <c r="M1366" s="19">
        <f>IF($C1366="","",ROUND(SUM(基础资料!$B$4:$B$13)+SUM($J$4:J1366)-SUM($K$4:K1366),2))</f>
        <v/>
      </c>
      <c r="N1366" s="13" t="n"/>
      <c r="O1366" s="13" t="n"/>
      <c r="P1366" s="17">
        <f>IF($B1366="","",IF($F1366="※类别不在基础资料里","※费用类别不在基础资料里",IF(AND(N($J1366)=0,N($K1366)=0),"※这行没填金额",IF(AND(N($J1366)&gt;0,N($K1366)&gt;0),"※收入和支出不能同一行都填",IF(AND($D1366="收入",N($J1366)=0),"※收入行要填收入金额",IF(AND($D1366="支出",N($K1366)=0),"※支出行要填支出金额",IF(AND($C1366&lt;&gt;"",ISNA(MATCH($C1366,账户表,0))),"※账户不在基础资料里",IF(AND($G1366&lt;&gt;"",ISNA(MATCH($G1366,项目名表,0))),"※项目不在项目台账里",IF(AND(LEFT($F1366,3)="成本-",$G1366=""),"※成本类支出没填项目",IF(AND(LEFT($F1366,3)="成本-",$H1366&lt;&gt;"",N($K1366)&gt;0,COUNTIFS(采购单!$B:$B,$B1366,采购单!$C:$C,$H1366,采购单!$L:$L,$K1366)&gt;0),"※这笔可能和采购单重复了",""))))))))))</f>
        <v/>
      </c>
    </row>
    <row r="1367">
      <c r="A1367" s="17">
        <f>IF($B1367="","",ROW()-3)</f>
        <v/>
      </c>
      <c r="B1367" s="18" t="n"/>
      <c r="C1367" s="13" t="n"/>
      <c r="D1367" s="13" t="n"/>
      <c r="E1367" s="13" t="n"/>
      <c r="F1367" s="17">
        <f>IF($E1367="","",IFERROR(VLOOKUP($E1367,类别归属,2,0),"※类别不在基础资料里"))</f>
        <v/>
      </c>
      <c r="G1367" s="13" t="n"/>
      <c r="H1367" s="13" t="n"/>
      <c r="I1367" s="13" t="n"/>
      <c r="J1367" s="14" t="n"/>
      <c r="K1367" s="14" t="n"/>
      <c r="L1367" s="19">
        <f>IF($C1367="","",ROUND(IFERROR(VLOOKUP($C1367,账户期初,2,0),0)+SUMIFS($J$4:J1367,$C$4:C1367,$C1367)-SUMIFS($K$4:K1367,$C$4:C1367,$C1367),2))</f>
        <v/>
      </c>
      <c r="M1367" s="19">
        <f>IF($C1367="","",ROUND(SUM(基础资料!$B$4:$B$13)+SUM($J$4:J1367)-SUM($K$4:K1367),2))</f>
        <v/>
      </c>
      <c r="N1367" s="13" t="n"/>
      <c r="O1367" s="13" t="n"/>
      <c r="P1367" s="17">
        <f>IF($B1367="","",IF($F1367="※类别不在基础资料里","※费用类别不在基础资料里",IF(AND(N($J1367)=0,N($K1367)=0),"※这行没填金额",IF(AND(N($J1367)&gt;0,N($K1367)&gt;0),"※收入和支出不能同一行都填",IF(AND($D1367="收入",N($J1367)=0),"※收入行要填收入金额",IF(AND($D1367="支出",N($K1367)=0),"※支出行要填支出金额",IF(AND($C1367&lt;&gt;"",ISNA(MATCH($C1367,账户表,0))),"※账户不在基础资料里",IF(AND($G1367&lt;&gt;"",ISNA(MATCH($G1367,项目名表,0))),"※项目不在项目台账里",IF(AND(LEFT($F1367,3)="成本-",$G1367=""),"※成本类支出没填项目",IF(AND(LEFT($F1367,3)="成本-",$H1367&lt;&gt;"",N($K1367)&gt;0,COUNTIFS(采购单!$B:$B,$B1367,采购单!$C:$C,$H1367,采购单!$L:$L,$K1367)&gt;0),"※这笔可能和采购单重复了",""))))))))))</f>
        <v/>
      </c>
    </row>
    <row r="1368">
      <c r="A1368" s="17">
        <f>IF($B1368="","",ROW()-3)</f>
        <v/>
      </c>
      <c r="B1368" s="18" t="n"/>
      <c r="C1368" s="13" t="n"/>
      <c r="D1368" s="13" t="n"/>
      <c r="E1368" s="13" t="n"/>
      <c r="F1368" s="17">
        <f>IF($E1368="","",IFERROR(VLOOKUP($E1368,类别归属,2,0),"※类别不在基础资料里"))</f>
        <v/>
      </c>
      <c r="G1368" s="13" t="n"/>
      <c r="H1368" s="13" t="n"/>
      <c r="I1368" s="13" t="n"/>
      <c r="J1368" s="14" t="n"/>
      <c r="K1368" s="14" t="n"/>
      <c r="L1368" s="19">
        <f>IF($C1368="","",ROUND(IFERROR(VLOOKUP($C1368,账户期初,2,0),0)+SUMIFS($J$4:J1368,$C$4:C1368,$C1368)-SUMIFS($K$4:K1368,$C$4:C1368,$C1368),2))</f>
        <v/>
      </c>
      <c r="M1368" s="19">
        <f>IF($C1368="","",ROUND(SUM(基础资料!$B$4:$B$13)+SUM($J$4:J1368)-SUM($K$4:K1368),2))</f>
        <v/>
      </c>
      <c r="N1368" s="13" t="n"/>
      <c r="O1368" s="13" t="n"/>
      <c r="P1368" s="17">
        <f>IF($B1368="","",IF($F1368="※类别不在基础资料里","※费用类别不在基础资料里",IF(AND(N($J1368)=0,N($K1368)=0),"※这行没填金额",IF(AND(N($J1368)&gt;0,N($K1368)&gt;0),"※收入和支出不能同一行都填",IF(AND($D1368="收入",N($J1368)=0),"※收入行要填收入金额",IF(AND($D1368="支出",N($K1368)=0),"※支出行要填支出金额",IF(AND($C1368&lt;&gt;"",ISNA(MATCH($C1368,账户表,0))),"※账户不在基础资料里",IF(AND($G1368&lt;&gt;"",ISNA(MATCH($G1368,项目名表,0))),"※项目不在项目台账里",IF(AND(LEFT($F1368,3)="成本-",$G1368=""),"※成本类支出没填项目",IF(AND(LEFT($F1368,3)="成本-",$H1368&lt;&gt;"",N($K1368)&gt;0,COUNTIFS(采购单!$B:$B,$B1368,采购单!$C:$C,$H1368,采购单!$L:$L,$K1368)&gt;0),"※这笔可能和采购单重复了",""))))))))))</f>
        <v/>
      </c>
    </row>
    <row r="1369">
      <c r="A1369" s="17">
        <f>IF($B1369="","",ROW()-3)</f>
        <v/>
      </c>
      <c r="B1369" s="18" t="n"/>
      <c r="C1369" s="13" t="n"/>
      <c r="D1369" s="13" t="n"/>
      <c r="E1369" s="13" t="n"/>
      <c r="F1369" s="17">
        <f>IF($E1369="","",IFERROR(VLOOKUP($E1369,类别归属,2,0),"※类别不在基础资料里"))</f>
        <v/>
      </c>
      <c r="G1369" s="13" t="n"/>
      <c r="H1369" s="13" t="n"/>
      <c r="I1369" s="13" t="n"/>
      <c r="J1369" s="14" t="n"/>
      <c r="K1369" s="14" t="n"/>
      <c r="L1369" s="19">
        <f>IF($C1369="","",ROUND(IFERROR(VLOOKUP($C1369,账户期初,2,0),0)+SUMIFS($J$4:J1369,$C$4:C1369,$C1369)-SUMIFS($K$4:K1369,$C$4:C1369,$C1369),2))</f>
        <v/>
      </c>
      <c r="M1369" s="19">
        <f>IF($C1369="","",ROUND(SUM(基础资料!$B$4:$B$13)+SUM($J$4:J1369)-SUM($K$4:K1369),2))</f>
        <v/>
      </c>
      <c r="N1369" s="13" t="n"/>
      <c r="O1369" s="13" t="n"/>
      <c r="P1369" s="17">
        <f>IF($B1369="","",IF($F1369="※类别不在基础资料里","※费用类别不在基础资料里",IF(AND(N($J1369)=0,N($K1369)=0),"※这行没填金额",IF(AND(N($J1369)&gt;0,N($K1369)&gt;0),"※收入和支出不能同一行都填",IF(AND($D1369="收入",N($J1369)=0),"※收入行要填收入金额",IF(AND($D1369="支出",N($K1369)=0),"※支出行要填支出金额",IF(AND($C1369&lt;&gt;"",ISNA(MATCH($C1369,账户表,0))),"※账户不在基础资料里",IF(AND($G1369&lt;&gt;"",ISNA(MATCH($G1369,项目名表,0))),"※项目不在项目台账里",IF(AND(LEFT($F1369,3)="成本-",$G1369=""),"※成本类支出没填项目",IF(AND(LEFT($F1369,3)="成本-",$H1369&lt;&gt;"",N($K1369)&gt;0,COUNTIFS(采购单!$B:$B,$B1369,采购单!$C:$C,$H1369,采购单!$L:$L,$K1369)&gt;0),"※这笔可能和采购单重复了",""))))))))))</f>
        <v/>
      </c>
    </row>
    <row r="1370">
      <c r="A1370" s="17">
        <f>IF($B1370="","",ROW()-3)</f>
        <v/>
      </c>
      <c r="B1370" s="18" t="n"/>
      <c r="C1370" s="13" t="n"/>
      <c r="D1370" s="13" t="n"/>
      <c r="E1370" s="13" t="n"/>
      <c r="F1370" s="17">
        <f>IF($E1370="","",IFERROR(VLOOKUP($E1370,类别归属,2,0),"※类别不在基础资料里"))</f>
        <v/>
      </c>
      <c r="G1370" s="13" t="n"/>
      <c r="H1370" s="13" t="n"/>
      <c r="I1370" s="13" t="n"/>
      <c r="J1370" s="14" t="n"/>
      <c r="K1370" s="14" t="n"/>
      <c r="L1370" s="19">
        <f>IF($C1370="","",ROUND(IFERROR(VLOOKUP($C1370,账户期初,2,0),0)+SUMIFS($J$4:J1370,$C$4:C1370,$C1370)-SUMIFS($K$4:K1370,$C$4:C1370,$C1370),2))</f>
        <v/>
      </c>
      <c r="M1370" s="19">
        <f>IF($C1370="","",ROUND(SUM(基础资料!$B$4:$B$13)+SUM($J$4:J1370)-SUM($K$4:K1370),2))</f>
        <v/>
      </c>
      <c r="N1370" s="13" t="n"/>
      <c r="O1370" s="13" t="n"/>
      <c r="P1370" s="17">
        <f>IF($B1370="","",IF($F1370="※类别不在基础资料里","※费用类别不在基础资料里",IF(AND(N($J1370)=0,N($K1370)=0),"※这行没填金额",IF(AND(N($J1370)&gt;0,N($K1370)&gt;0),"※收入和支出不能同一行都填",IF(AND($D1370="收入",N($J1370)=0),"※收入行要填收入金额",IF(AND($D1370="支出",N($K1370)=0),"※支出行要填支出金额",IF(AND($C1370&lt;&gt;"",ISNA(MATCH($C1370,账户表,0))),"※账户不在基础资料里",IF(AND($G1370&lt;&gt;"",ISNA(MATCH($G1370,项目名表,0))),"※项目不在项目台账里",IF(AND(LEFT($F1370,3)="成本-",$G1370=""),"※成本类支出没填项目",IF(AND(LEFT($F1370,3)="成本-",$H1370&lt;&gt;"",N($K1370)&gt;0,COUNTIFS(采购单!$B:$B,$B1370,采购单!$C:$C,$H1370,采购单!$L:$L,$K1370)&gt;0),"※这笔可能和采购单重复了",""))))))))))</f>
        <v/>
      </c>
    </row>
    <row r="1371">
      <c r="A1371" s="17">
        <f>IF($B1371="","",ROW()-3)</f>
        <v/>
      </c>
      <c r="B1371" s="18" t="n"/>
      <c r="C1371" s="13" t="n"/>
      <c r="D1371" s="13" t="n"/>
      <c r="E1371" s="13" t="n"/>
      <c r="F1371" s="17">
        <f>IF($E1371="","",IFERROR(VLOOKUP($E1371,类别归属,2,0),"※类别不在基础资料里"))</f>
        <v/>
      </c>
      <c r="G1371" s="13" t="n"/>
      <c r="H1371" s="13" t="n"/>
      <c r="I1371" s="13" t="n"/>
      <c r="J1371" s="14" t="n"/>
      <c r="K1371" s="14" t="n"/>
      <c r="L1371" s="19">
        <f>IF($C1371="","",ROUND(IFERROR(VLOOKUP($C1371,账户期初,2,0),0)+SUMIFS($J$4:J1371,$C$4:C1371,$C1371)-SUMIFS($K$4:K1371,$C$4:C1371,$C1371),2))</f>
        <v/>
      </c>
      <c r="M1371" s="19">
        <f>IF($C1371="","",ROUND(SUM(基础资料!$B$4:$B$13)+SUM($J$4:J1371)-SUM($K$4:K1371),2))</f>
        <v/>
      </c>
      <c r="N1371" s="13" t="n"/>
      <c r="O1371" s="13" t="n"/>
      <c r="P1371" s="17">
        <f>IF($B1371="","",IF($F1371="※类别不在基础资料里","※费用类别不在基础资料里",IF(AND(N($J1371)=0,N($K1371)=0),"※这行没填金额",IF(AND(N($J1371)&gt;0,N($K1371)&gt;0),"※收入和支出不能同一行都填",IF(AND($D1371="收入",N($J1371)=0),"※收入行要填收入金额",IF(AND($D1371="支出",N($K1371)=0),"※支出行要填支出金额",IF(AND($C1371&lt;&gt;"",ISNA(MATCH($C1371,账户表,0))),"※账户不在基础资料里",IF(AND($G1371&lt;&gt;"",ISNA(MATCH($G1371,项目名表,0))),"※项目不在项目台账里",IF(AND(LEFT($F1371,3)="成本-",$G1371=""),"※成本类支出没填项目",IF(AND(LEFT($F1371,3)="成本-",$H1371&lt;&gt;"",N($K1371)&gt;0,COUNTIFS(采购单!$B:$B,$B1371,采购单!$C:$C,$H1371,采购单!$L:$L,$K1371)&gt;0),"※这笔可能和采购单重复了",""))))))))))</f>
        <v/>
      </c>
    </row>
    <row r="1372">
      <c r="A1372" s="17">
        <f>IF($B1372="","",ROW()-3)</f>
        <v/>
      </c>
      <c r="B1372" s="18" t="n"/>
      <c r="C1372" s="13" t="n"/>
      <c r="D1372" s="13" t="n"/>
      <c r="E1372" s="13" t="n"/>
      <c r="F1372" s="17">
        <f>IF($E1372="","",IFERROR(VLOOKUP($E1372,类别归属,2,0),"※类别不在基础资料里"))</f>
        <v/>
      </c>
      <c r="G1372" s="13" t="n"/>
      <c r="H1372" s="13" t="n"/>
      <c r="I1372" s="13" t="n"/>
      <c r="J1372" s="14" t="n"/>
      <c r="K1372" s="14" t="n"/>
      <c r="L1372" s="19">
        <f>IF($C1372="","",ROUND(IFERROR(VLOOKUP($C1372,账户期初,2,0),0)+SUMIFS($J$4:J1372,$C$4:C1372,$C1372)-SUMIFS($K$4:K1372,$C$4:C1372,$C1372),2))</f>
        <v/>
      </c>
      <c r="M1372" s="19">
        <f>IF($C1372="","",ROUND(SUM(基础资料!$B$4:$B$13)+SUM($J$4:J1372)-SUM($K$4:K1372),2))</f>
        <v/>
      </c>
      <c r="N1372" s="13" t="n"/>
      <c r="O1372" s="13" t="n"/>
      <c r="P1372" s="17">
        <f>IF($B1372="","",IF($F1372="※类别不在基础资料里","※费用类别不在基础资料里",IF(AND(N($J1372)=0,N($K1372)=0),"※这行没填金额",IF(AND(N($J1372)&gt;0,N($K1372)&gt;0),"※收入和支出不能同一行都填",IF(AND($D1372="收入",N($J1372)=0),"※收入行要填收入金额",IF(AND($D1372="支出",N($K1372)=0),"※支出行要填支出金额",IF(AND($C1372&lt;&gt;"",ISNA(MATCH($C1372,账户表,0))),"※账户不在基础资料里",IF(AND($G1372&lt;&gt;"",ISNA(MATCH($G1372,项目名表,0))),"※项目不在项目台账里",IF(AND(LEFT($F1372,3)="成本-",$G1372=""),"※成本类支出没填项目",IF(AND(LEFT($F1372,3)="成本-",$H1372&lt;&gt;"",N($K1372)&gt;0,COUNTIFS(采购单!$B:$B,$B1372,采购单!$C:$C,$H1372,采购单!$L:$L,$K1372)&gt;0),"※这笔可能和采购单重复了",""))))))))))</f>
        <v/>
      </c>
    </row>
    <row r="1373">
      <c r="A1373" s="17">
        <f>IF($B1373="","",ROW()-3)</f>
        <v/>
      </c>
      <c r="B1373" s="18" t="n"/>
      <c r="C1373" s="13" t="n"/>
      <c r="D1373" s="13" t="n"/>
      <c r="E1373" s="13" t="n"/>
      <c r="F1373" s="17">
        <f>IF($E1373="","",IFERROR(VLOOKUP($E1373,类别归属,2,0),"※类别不在基础资料里"))</f>
        <v/>
      </c>
      <c r="G1373" s="13" t="n"/>
      <c r="H1373" s="13" t="n"/>
      <c r="I1373" s="13" t="n"/>
      <c r="J1373" s="14" t="n"/>
      <c r="K1373" s="14" t="n"/>
      <c r="L1373" s="19">
        <f>IF($C1373="","",ROUND(IFERROR(VLOOKUP($C1373,账户期初,2,0),0)+SUMIFS($J$4:J1373,$C$4:C1373,$C1373)-SUMIFS($K$4:K1373,$C$4:C1373,$C1373),2))</f>
        <v/>
      </c>
      <c r="M1373" s="19">
        <f>IF($C1373="","",ROUND(SUM(基础资料!$B$4:$B$13)+SUM($J$4:J1373)-SUM($K$4:K1373),2))</f>
        <v/>
      </c>
      <c r="N1373" s="13" t="n"/>
      <c r="O1373" s="13" t="n"/>
      <c r="P1373" s="17">
        <f>IF($B1373="","",IF($F1373="※类别不在基础资料里","※费用类别不在基础资料里",IF(AND(N($J1373)=0,N($K1373)=0),"※这行没填金额",IF(AND(N($J1373)&gt;0,N($K1373)&gt;0),"※收入和支出不能同一行都填",IF(AND($D1373="收入",N($J1373)=0),"※收入行要填收入金额",IF(AND($D1373="支出",N($K1373)=0),"※支出行要填支出金额",IF(AND($C1373&lt;&gt;"",ISNA(MATCH($C1373,账户表,0))),"※账户不在基础资料里",IF(AND($G1373&lt;&gt;"",ISNA(MATCH($G1373,项目名表,0))),"※项目不在项目台账里",IF(AND(LEFT($F1373,3)="成本-",$G1373=""),"※成本类支出没填项目",IF(AND(LEFT($F1373,3)="成本-",$H1373&lt;&gt;"",N($K1373)&gt;0,COUNTIFS(采购单!$B:$B,$B1373,采购单!$C:$C,$H1373,采购单!$L:$L,$K1373)&gt;0),"※这笔可能和采购单重复了",""))))))))))</f>
        <v/>
      </c>
    </row>
    <row r="1374">
      <c r="A1374" s="17">
        <f>IF($B1374="","",ROW()-3)</f>
        <v/>
      </c>
      <c r="B1374" s="18" t="n"/>
      <c r="C1374" s="13" t="n"/>
      <c r="D1374" s="13" t="n"/>
      <c r="E1374" s="13" t="n"/>
      <c r="F1374" s="17">
        <f>IF($E1374="","",IFERROR(VLOOKUP($E1374,类别归属,2,0),"※类别不在基础资料里"))</f>
        <v/>
      </c>
      <c r="G1374" s="13" t="n"/>
      <c r="H1374" s="13" t="n"/>
      <c r="I1374" s="13" t="n"/>
      <c r="J1374" s="14" t="n"/>
      <c r="K1374" s="14" t="n"/>
      <c r="L1374" s="19">
        <f>IF($C1374="","",ROUND(IFERROR(VLOOKUP($C1374,账户期初,2,0),0)+SUMIFS($J$4:J1374,$C$4:C1374,$C1374)-SUMIFS($K$4:K1374,$C$4:C1374,$C1374),2))</f>
        <v/>
      </c>
      <c r="M1374" s="19">
        <f>IF($C1374="","",ROUND(SUM(基础资料!$B$4:$B$13)+SUM($J$4:J1374)-SUM($K$4:K1374),2))</f>
        <v/>
      </c>
      <c r="N1374" s="13" t="n"/>
      <c r="O1374" s="13" t="n"/>
      <c r="P1374" s="17">
        <f>IF($B1374="","",IF($F1374="※类别不在基础资料里","※费用类别不在基础资料里",IF(AND(N($J1374)=0,N($K1374)=0),"※这行没填金额",IF(AND(N($J1374)&gt;0,N($K1374)&gt;0),"※收入和支出不能同一行都填",IF(AND($D1374="收入",N($J1374)=0),"※收入行要填收入金额",IF(AND($D1374="支出",N($K1374)=0),"※支出行要填支出金额",IF(AND($C1374&lt;&gt;"",ISNA(MATCH($C1374,账户表,0))),"※账户不在基础资料里",IF(AND($G1374&lt;&gt;"",ISNA(MATCH($G1374,项目名表,0))),"※项目不在项目台账里",IF(AND(LEFT($F1374,3)="成本-",$G1374=""),"※成本类支出没填项目",IF(AND(LEFT($F1374,3)="成本-",$H1374&lt;&gt;"",N($K1374)&gt;0,COUNTIFS(采购单!$B:$B,$B1374,采购单!$C:$C,$H1374,采购单!$L:$L,$K1374)&gt;0),"※这笔可能和采购单重复了",""))))))))))</f>
        <v/>
      </c>
    </row>
    <row r="1375">
      <c r="A1375" s="17">
        <f>IF($B1375="","",ROW()-3)</f>
        <v/>
      </c>
      <c r="B1375" s="18" t="n"/>
      <c r="C1375" s="13" t="n"/>
      <c r="D1375" s="13" t="n"/>
      <c r="E1375" s="13" t="n"/>
      <c r="F1375" s="17">
        <f>IF($E1375="","",IFERROR(VLOOKUP($E1375,类别归属,2,0),"※类别不在基础资料里"))</f>
        <v/>
      </c>
      <c r="G1375" s="13" t="n"/>
      <c r="H1375" s="13" t="n"/>
      <c r="I1375" s="13" t="n"/>
      <c r="J1375" s="14" t="n"/>
      <c r="K1375" s="14" t="n"/>
      <c r="L1375" s="19">
        <f>IF($C1375="","",ROUND(IFERROR(VLOOKUP($C1375,账户期初,2,0),0)+SUMIFS($J$4:J1375,$C$4:C1375,$C1375)-SUMIFS($K$4:K1375,$C$4:C1375,$C1375),2))</f>
        <v/>
      </c>
      <c r="M1375" s="19">
        <f>IF($C1375="","",ROUND(SUM(基础资料!$B$4:$B$13)+SUM($J$4:J1375)-SUM($K$4:K1375),2))</f>
        <v/>
      </c>
      <c r="N1375" s="13" t="n"/>
      <c r="O1375" s="13" t="n"/>
      <c r="P1375" s="17">
        <f>IF($B1375="","",IF($F1375="※类别不在基础资料里","※费用类别不在基础资料里",IF(AND(N($J1375)=0,N($K1375)=0),"※这行没填金额",IF(AND(N($J1375)&gt;0,N($K1375)&gt;0),"※收入和支出不能同一行都填",IF(AND($D1375="收入",N($J1375)=0),"※收入行要填收入金额",IF(AND($D1375="支出",N($K1375)=0),"※支出行要填支出金额",IF(AND($C1375&lt;&gt;"",ISNA(MATCH($C1375,账户表,0))),"※账户不在基础资料里",IF(AND($G1375&lt;&gt;"",ISNA(MATCH($G1375,项目名表,0))),"※项目不在项目台账里",IF(AND(LEFT($F1375,3)="成本-",$G1375=""),"※成本类支出没填项目",IF(AND(LEFT($F1375,3)="成本-",$H1375&lt;&gt;"",N($K1375)&gt;0,COUNTIFS(采购单!$B:$B,$B1375,采购单!$C:$C,$H1375,采购单!$L:$L,$K1375)&gt;0),"※这笔可能和采购单重复了",""))))))))))</f>
        <v/>
      </c>
    </row>
    <row r="1376">
      <c r="A1376" s="17">
        <f>IF($B1376="","",ROW()-3)</f>
        <v/>
      </c>
      <c r="B1376" s="18" t="n"/>
      <c r="C1376" s="13" t="n"/>
      <c r="D1376" s="13" t="n"/>
      <c r="E1376" s="13" t="n"/>
      <c r="F1376" s="17">
        <f>IF($E1376="","",IFERROR(VLOOKUP($E1376,类别归属,2,0),"※类别不在基础资料里"))</f>
        <v/>
      </c>
      <c r="G1376" s="13" t="n"/>
      <c r="H1376" s="13" t="n"/>
      <c r="I1376" s="13" t="n"/>
      <c r="J1376" s="14" t="n"/>
      <c r="K1376" s="14" t="n"/>
      <c r="L1376" s="19">
        <f>IF($C1376="","",ROUND(IFERROR(VLOOKUP($C1376,账户期初,2,0),0)+SUMIFS($J$4:J1376,$C$4:C1376,$C1376)-SUMIFS($K$4:K1376,$C$4:C1376,$C1376),2))</f>
        <v/>
      </c>
      <c r="M1376" s="19">
        <f>IF($C1376="","",ROUND(SUM(基础资料!$B$4:$B$13)+SUM($J$4:J1376)-SUM($K$4:K1376),2))</f>
        <v/>
      </c>
      <c r="N1376" s="13" t="n"/>
      <c r="O1376" s="13" t="n"/>
      <c r="P1376" s="17">
        <f>IF($B1376="","",IF($F1376="※类别不在基础资料里","※费用类别不在基础资料里",IF(AND(N($J1376)=0,N($K1376)=0),"※这行没填金额",IF(AND(N($J1376)&gt;0,N($K1376)&gt;0),"※收入和支出不能同一行都填",IF(AND($D1376="收入",N($J1376)=0),"※收入行要填收入金额",IF(AND($D1376="支出",N($K1376)=0),"※支出行要填支出金额",IF(AND($C1376&lt;&gt;"",ISNA(MATCH($C1376,账户表,0))),"※账户不在基础资料里",IF(AND($G1376&lt;&gt;"",ISNA(MATCH($G1376,项目名表,0))),"※项目不在项目台账里",IF(AND(LEFT($F1376,3)="成本-",$G1376=""),"※成本类支出没填项目",IF(AND(LEFT($F1376,3)="成本-",$H1376&lt;&gt;"",N($K1376)&gt;0,COUNTIFS(采购单!$B:$B,$B1376,采购单!$C:$C,$H1376,采购单!$L:$L,$K1376)&gt;0),"※这笔可能和采购单重复了",""))))))))))</f>
        <v/>
      </c>
    </row>
    <row r="1377">
      <c r="A1377" s="17">
        <f>IF($B1377="","",ROW()-3)</f>
        <v/>
      </c>
      <c r="B1377" s="18" t="n"/>
      <c r="C1377" s="13" t="n"/>
      <c r="D1377" s="13" t="n"/>
      <c r="E1377" s="13" t="n"/>
      <c r="F1377" s="17">
        <f>IF($E1377="","",IFERROR(VLOOKUP($E1377,类别归属,2,0),"※类别不在基础资料里"))</f>
        <v/>
      </c>
      <c r="G1377" s="13" t="n"/>
      <c r="H1377" s="13" t="n"/>
      <c r="I1377" s="13" t="n"/>
      <c r="J1377" s="14" t="n"/>
      <c r="K1377" s="14" t="n"/>
      <c r="L1377" s="19">
        <f>IF($C1377="","",ROUND(IFERROR(VLOOKUP($C1377,账户期初,2,0),0)+SUMIFS($J$4:J1377,$C$4:C1377,$C1377)-SUMIFS($K$4:K1377,$C$4:C1377,$C1377),2))</f>
        <v/>
      </c>
      <c r="M1377" s="19">
        <f>IF($C1377="","",ROUND(SUM(基础资料!$B$4:$B$13)+SUM($J$4:J1377)-SUM($K$4:K1377),2))</f>
        <v/>
      </c>
      <c r="N1377" s="13" t="n"/>
      <c r="O1377" s="13" t="n"/>
      <c r="P1377" s="17">
        <f>IF($B1377="","",IF($F1377="※类别不在基础资料里","※费用类别不在基础资料里",IF(AND(N($J1377)=0,N($K1377)=0),"※这行没填金额",IF(AND(N($J1377)&gt;0,N($K1377)&gt;0),"※收入和支出不能同一行都填",IF(AND($D1377="收入",N($J1377)=0),"※收入行要填收入金额",IF(AND($D1377="支出",N($K1377)=0),"※支出行要填支出金额",IF(AND($C1377&lt;&gt;"",ISNA(MATCH($C1377,账户表,0))),"※账户不在基础资料里",IF(AND($G1377&lt;&gt;"",ISNA(MATCH($G1377,项目名表,0))),"※项目不在项目台账里",IF(AND(LEFT($F1377,3)="成本-",$G1377=""),"※成本类支出没填项目",IF(AND(LEFT($F1377,3)="成本-",$H1377&lt;&gt;"",N($K1377)&gt;0,COUNTIFS(采购单!$B:$B,$B1377,采购单!$C:$C,$H1377,采购单!$L:$L,$K1377)&gt;0),"※这笔可能和采购单重复了",""))))))))))</f>
        <v/>
      </c>
    </row>
    <row r="1378">
      <c r="A1378" s="17">
        <f>IF($B1378="","",ROW()-3)</f>
        <v/>
      </c>
      <c r="B1378" s="18" t="n"/>
      <c r="C1378" s="13" t="n"/>
      <c r="D1378" s="13" t="n"/>
      <c r="E1378" s="13" t="n"/>
      <c r="F1378" s="17">
        <f>IF($E1378="","",IFERROR(VLOOKUP($E1378,类别归属,2,0),"※类别不在基础资料里"))</f>
        <v/>
      </c>
      <c r="G1378" s="13" t="n"/>
      <c r="H1378" s="13" t="n"/>
      <c r="I1378" s="13" t="n"/>
      <c r="J1378" s="14" t="n"/>
      <c r="K1378" s="14" t="n"/>
      <c r="L1378" s="19">
        <f>IF($C1378="","",ROUND(IFERROR(VLOOKUP($C1378,账户期初,2,0),0)+SUMIFS($J$4:J1378,$C$4:C1378,$C1378)-SUMIFS($K$4:K1378,$C$4:C1378,$C1378),2))</f>
        <v/>
      </c>
      <c r="M1378" s="19">
        <f>IF($C1378="","",ROUND(SUM(基础资料!$B$4:$B$13)+SUM($J$4:J1378)-SUM($K$4:K1378),2))</f>
        <v/>
      </c>
      <c r="N1378" s="13" t="n"/>
      <c r="O1378" s="13" t="n"/>
      <c r="P1378" s="17">
        <f>IF($B1378="","",IF($F1378="※类别不在基础资料里","※费用类别不在基础资料里",IF(AND(N($J1378)=0,N($K1378)=0),"※这行没填金额",IF(AND(N($J1378)&gt;0,N($K1378)&gt;0),"※收入和支出不能同一行都填",IF(AND($D1378="收入",N($J1378)=0),"※收入行要填收入金额",IF(AND($D1378="支出",N($K1378)=0),"※支出行要填支出金额",IF(AND($C1378&lt;&gt;"",ISNA(MATCH($C1378,账户表,0))),"※账户不在基础资料里",IF(AND($G1378&lt;&gt;"",ISNA(MATCH($G1378,项目名表,0))),"※项目不在项目台账里",IF(AND(LEFT($F1378,3)="成本-",$G1378=""),"※成本类支出没填项目",IF(AND(LEFT($F1378,3)="成本-",$H1378&lt;&gt;"",N($K1378)&gt;0,COUNTIFS(采购单!$B:$B,$B1378,采购单!$C:$C,$H1378,采购单!$L:$L,$K1378)&gt;0),"※这笔可能和采购单重复了",""))))))))))</f>
        <v/>
      </c>
    </row>
    <row r="1379">
      <c r="A1379" s="17">
        <f>IF($B1379="","",ROW()-3)</f>
        <v/>
      </c>
      <c r="B1379" s="18" t="n"/>
      <c r="C1379" s="13" t="n"/>
      <c r="D1379" s="13" t="n"/>
      <c r="E1379" s="13" t="n"/>
      <c r="F1379" s="17">
        <f>IF($E1379="","",IFERROR(VLOOKUP($E1379,类别归属,2,0),"※类别不在基础资料里"))</f>
        <v/>
      </c>
      <c r="G1379" s="13" t="n"/>
      <c r="H1379" s="13" t="n"/>
      <c r="I1379" s="13" t="n"/>
      <c r="J1379" s="14" t="n"/>
      <c r="K1379" s="14" t="n"/>
      <c r="L1379" s="19">
        <f>IF($C1379="","",ROUND(IFERROR(VLOOKUP($C1379,账户期初,2,0),0)+SUMIFS($J$4:J1379,$C$4:C1379,$C1379)-SUMIFS($K$4:K1379,$C$4:C1379,$C1379),2))</f>
        <v/>
      </c>
      <c r="M1379" s="19">
        <f>IF($C1379="","",ROUND(SUM(基础资料!$B$4:$B$13)+SUM($J$4:J1379)-SUM($K$4:K1379),2))</f>
        <v/>
      </c>
      <c r="N1379" s="13" t="n"/>
      <c r="O1379" s="13" t="n"/>
      <c r="P1379" s="17">
        <f>IF($B1379="","",IF($F1379="※类别不在基础资料里","※费用类别不在基础资料里",IF(AND(N($J1379)=0,N($K1379)=0),"※这行没填金额",IF(AND(N($J1379)&gt;0,N($K1379)&gt;0),"※收入和支出不能同一行都填",IF(AND($D1379="收入",N($J1379)=0),"※收入行要填收入金额",IF(AND($D1379="支出",N($K1379)=0),"※支出行要填支出金额",IF(AND($C1379&lt;&gt;"",ISNA(MATCH($C1379,账户表,0))),"※账户不在基础资料里",IF(AND($G1379&lt;&gt;"",ISNA(MATCH($G1379,项目名表,0))),"※项目不在项目台账里",IF(AND(LEFT($F1379,3)="成本-",$G1379=""),"※成本类支出没填项目",IF(AND(LEFT($F1379,3)="成本-",$H1379&lt;&gt;"",N($K1379)&gt;0,COUNTIFS(采购单!$B:$B,$B1379,采购单!$C:$C,$H1379,采购单!$L:$L,$K1379)&gt;0),"※这笔可能和采购单重复了",""))))))))))</f>
        <v/>
      </c>
    </row>
    <row r="1380">
      <c r="A1380" s="17">
        <f>IF($B1380="","",ROW()-3)</f>
        <v/>
      </c>
      <c r="B1380" s="18" t="n"/>
      <c r="C1380" s="13" t="n"/>
      <c r="D1380" s="13" t="n"/>
      <c r="E1380" s="13" t="n"/>
      <c r="F1380" s="17">
        <f>IF($E1380="","",IFERROR(VLOOKUP($E1380,类别归属,2,0),"※类别不在基础资料里"))</f>
        <v/>
      </c>
      <c r="G1380" s="13" t="n"/>
      <c r="H1380" s="13" t="n"/>
      <c r="I1380" s="13" t="n"/>
      <c r="J1380" s="14" t="n"/>
      <c r="K1380" s="14" t="n"/>
      <c r="L1380" s="19">
        <f>IF($C1380="","",ROUND(IFERROR(VLOOKUP($C1380,账户期初,2,0),0)+SUMIFS($J$4:J1380,$C$4:C1380,$C1380)-SUMIFS($K$4:K1380,$C$4:C1380,$C1380),2))</f>
        <v/>
      </c>
      <c r="M1380" s="19">
        <f>IF($C1380="","",ROUND(SUM(基础资料!$B$4:$B$13)+SUM($J$4:J1380)-SUM($K$4:K1380),2))</f>
        <v/>
      </c>
      <c r="N1380" s="13" t="n"/>
      <c r="O1380" s="13" t="n"/>
      <c r="P1380" s="17">
        <f>IF($B1380="","",IF($F1380="※类别不在基础资料里","※费用类别不在基础资料里",IF(AND(N($J1380)=0,N($K1380)=0),"※这行没填金额",IF(AND(N($J1380)&gt;0,N($K1380)&gt;0),"※收入和支出不能同一行都填",IF(AND($D1380="收入",N($J1380)=0),"※收入行要填收入金额",IF(AND($D1380="支出",N($K1380)=0),"※支出行要填支出金额",IF(AND($C1380&lt;&gt;"",ISNA(MATCH($C1380,账户表,0))),"※账户不在基础资料里",IF(AND($G1380&lt;&gt;"",ISNA(MATCH($G1380,项目名表,0))),"※项目不在项目台账里",IF(AND(LEFT($F1380,3)="成本-",$G1380=""),"※成本类支出没填项目",IF(AND(LEFT($F1380,3)="成本-",$H1380&lt;&gt;"",N($K1380)&gt;0,COUNTIFS(采购单!$B:$B,$B1380,采购单!$C:$C,$H1380,采购单!$L:$L,$K1380)&gt;0),"※这笔可能和采购单重复了",""))))))))))</f>
        <v/>
      </c>
    </row>
    <row r="1381">
      <c r="A1381" s="17">
        <f>IF($B1381="","",ROW()-3)</f>
        <v/>
      </c>
      <c r="B1381" s="18" t="n"/>
      <c r="C1381" s="13" t="n"/>
      <c r="D1381" s="13" t="n"/>
      <c r="E1381" s="13" t="n"/>
      <c r="F1381" s="17">
        <f>IF($E1381="","",IFERROR(VLOOKUP($E1381,类别归属,2,0),"※类别不在基础资料里"))</f>
        <v/>
      </c>
      <c r="G1381" s="13" t="n"/>
      <c r="H1381" s="13" t="n"/>
      <c r="I1381" s="13" t="n"/>
      <c r="J1381" s="14" t="n"/>
      <c r="K1381" s="14" t="n"/>
      <c r="L1381" s="19">
        <f>IF($C1381="","",ROUND(IFERROR(VLOOKUP($C1381,账户期初,2,0),0)+SUMIFS($J$4:J1381,$C$4:C1381,$C1381)-SUMIFS($K$4:K1381,$C$4:C1381,$C1381),2))</f>
        <v/>
      </c>
      <c r="M1381" s="19">
        <f>IF($C1381="","",ROUND(SUM(基础资料!$B$4:$B$13)+SUM($J$4:J1381)-SUM($K$4:K1381),2))</f>
        <v/>
      </c>
      <c r="N1381" s="13" t="n"/>
      <c r="O1381" s="13" t="n"/>
      <c r="P1381" s="17">
        <f>IF($B1381="","",IF($F1381="※类别不在基础资料里","※费用类别不在基础资料里",IF(AND(N($J1381)=0,N($K1381)=0),"※这行没填金额",IF(AND(N($J1381)&gt;0,N($K1381)&gt;0),"※收入和支出不能同一行都填",IF(AND($D1381="收入",N($J1381)=0),"※收入行要填收入金额",IF(AND($D1381="支出",N($K1381)=0),"※支出行要填支出金额",IF(AND($C1381&lt;&gt;"",ISNA(MATCH($C1381,账户表,0))),"※账户不在基础资料里",IF(AND($G1381&lt;&gt;"",ISNA(MATCH($G1381,项目名表,0))),"※项目不在项目台账里",IF(AND(LEFT($F1381,3)="成本-",$G1381=""),"※成本类支出没填项目",IF(AND(LEFT($F1381,3)="成本-",$H1381&lt;&gt;"",N($K1381)&gt;0,COUNTIFS(采购单!$B:$B,$B1381,采购单!$C:$C,$H1381,采购单!$L:$L,$K1381)&gt;0),"※这笔可能和采购单重复了",""))))))))))</f>
        <v/>
      </c>
    </row>
    <row r="1382">
      <c r="A1382" s="17">
        <f>IF($B1382="","",ROW()-3)</f>
        <v/>
      </c>
      <c r="B1382" s="18" t="n"/>
      <c r="C1382" s="13" t="n"/>
      <c r="D1382" s="13" t="n"/>
      <c r="E1382" s="13" t="n"/>
      <c r="F1382" s="17">
        <f>IF($E1382="","",IFERROR(VLOOKUP($E1382,类别归属,2,0),"※类别不在基础资料里"))</f>
        <v/>
      </c>
      <c r="G1382" s="13" t="n"/>
      <c r="H1382" s="13" t="n"/>
      <c r="I1382" s="13" t="n"/>
      <c r="J1382" s="14" t="n"/>
      <c r="K1382" s="14" t="n"/>
      <c r="L1382" s="19">
        <f>IF($C1382="","",ROUND(IFERROR(VLOOKUP($C1382,账户期初,2,0),0)+SUMIFS($J$4:J1382,$C$4:C1382,$C1382)-SUMIFS($K$4:K1382,$C$4:C1382,$C1382),2))</f>
        <v/>
      </c>
      <c r="M1382" s="19">
        <f>IF($C1382="","",ROUND(SUM(基础资料!$B$4:$B$13)+SUM($J$4:J1382)-SUM($K$4:K1382),2))</f>
        <v/>
      </c>
      <c r="N1382" s="13" t="n"/>
      <c r="O1382" s="13" t="n"/>
      <c r="P1382" s="17">
        <f>IF($B1382="","",IF($F1382="※类别不在基础资料里","※费用类别不在基础资料里",IF(AND(N($J1382)=0,N($K1382)=0),"※这行没填金额",IF(AND(N($J1382)&gt;0,N($K1382)&gt;0),"※收入和支出不能同一行都填",IF(AND($D1382="收入",N($J1382)=0),"※收入行要填收入金额",IF(AND($D1382="支出",N($K1382)=0),"※支出行要填支出金额",IF(AND($C1382&lt;&gt;"",ISNA(MATCH($C1382,账户表,0))),"※账户不在基础资料里",IF(AND($G1382&lt;&gt;"",ISNA(MATCH($G1382,项目名表,0))),"※项目不在项目台账里",IF(AND(LEFT($F1382,3)="成本-",$G1382=""),"※成本类支出没填项目",IF(AND(LEFT($F1382,3)="成本-",$H1382&lt;&gt;"",N($K1382)&gt;0,COUNTIFS(采购单!$B:$B,$B1382,采购单!$C:$C,$H1382,采购单!$L:$L,$K1382)&gt;0),"※这笔可能和采购单重复了",""))))))))))</f>
        <v/>
      </c>
    </row>
    <row r="1383">
      <c r="A1383" s="17">
        <f>IF($B1383="","",ROW()-3)</f>
        <v/>
      </c>
      <c r="B1383" s="18" t="n"/>
      <c r="C1383" s="13" t="n"/>
      <c r="D1383" s="13" t="n"/>
      <c r="E1383" s="13" t="n"/>
      <c r="F1383" s="17">
        <f>IF($E1383="","",IFERROR(VLOOKUP($E1383,类别归属,2,0),"※类别不在基础资料里"))</f>
        <v/>
      </c>
      <c r="G1383" s="13" t="n"/>
      <c r="H1383" s="13" t="n"/>
      <c r="I1383" s="13" t="n"/>
      <c r="J1383" s="14" t="n"/>
      <c r="K1383" s="14" t="n"/>
      <c r="L1383" s="19">
        <f>IF($C1383="","",ROUND(IFERROR(VLOOKUP($C1383,账户期初,2,0),0)+SUMIFS($J$4:J1383,$C$4:C1383,$C1383)-SUMIFS($K$4:K1383,$C$4:C1383,$C1383),2))</f>
        <v/>
      </c>
      <c r="M1383" s="19">
        <f>IF($C1383="","",ROUND(SUM(基础资料!$B$4:$B$13)+SUM($J$4:J1383)-SUM($K$4:K1383),2))</f>
        <v/>
      </c>
      <c r="N1383" s="13" t="n"/>
      <c r="O1383" s="13" t="n"/>
      <c r="P1383" s="17">
        <f>IF($B1383="","",IF($F1383="※类别不在基础资料里","※费用类别不在基础资料里",IF(AND(N($J1383)=0,N($K1383)=0),"※这行没填金额",IF(AND(N($J1383)&gt;0,N($K1383)&gt;0),"※收入和支出不能同一行都填",IF(AND($D1383="收入",N($J1383)=0),"※收入行要填收入金额",IF(AND($D1383="支出",N($K1383)=0),"※支出行要填支出金额",IF(AND($C1383&lt;&gt;"",ISNA(MATCH($C1383,账户表,0))),"※账户不在基础资料里",IF(AND($G1383&lt;&gt;"",ISNA(MATCH($G1383,项目名表,0))),"※项目不在项目台账里",IF(AND(LEFT($F1383,3)="成本-",$G1383=""),"※成本类支出没填项目",IF(AND(LEFT($F1383,3)="成本-",$H1383&lt;&gt;"",N($K1383)&gt;0,COUNTIFS(采购单!$B:$B,$B1383,采购单!$C:$C,$H1383,采购单!$L:$L,$K1383)&gt;0),"※这笔可能和采购单重复了",""))))))))))</f>
        <v/>
      </c>
    </row>
    <row r="1384">
      <c r="A1384" s="17">
        <f>IF($B1384="","",ROW()-3)</f>
        <v/>
      </c>
      <c r="B1384" s="18" t="n"/>
      <c r="C1384" s="13" t="n"/>
      <c r="D1384" s="13" t="n"/>
      <c r="E1384" s="13" t="n"/>
      <c r="F1384" s="17">
        <f>IF($E1384="","",IFERROR(VLOOKUP($E1384,类别归属,2,0),"※类别不在基础资料里"))</f>
        <v/>
      </c>
      <c r="G1384" s="13" t="n"/>
      <c r="H1384" s="13" t="n"/>
      <c r="I1384" s="13" t="n"/>
      <c r="J1384" s="14" t="n"/>
      <c r="K1384" s="14" t="n"/>
      <c r="L1384" s="19">
        <f>IF($C1384="","",ROUND(IFERROR(VLOOKUP($C1384,账户期初,2,0),0)+SUMIFS($J$4:J1384,$C$4:C1384,$C1384)-SUMIFS($K$4:K1384,$C$4:C1384,$C1384),2))</f>
        <v/>
      </c>
      <c r="M1384" s="19">
        <f>IF($C1384="","",ROUND(SUM(基础资料!$B$4:$B$13)+SUM($J$4:J1384)-SUM($K$4:K1384),2))</f>
        <v/>
      </c>
      <c r="N1384" s="13" t="n"/>
      <c r="O1384" s="13" t="n"/>
      <c r="P1384" s="17">
        <f>IF($B1384="","",IF($F1384="※类别不在基础资料里","※费用类别不在基础资料里",IF(AND(N($J1384)=0,N($K1384)=0),"※这行没填金额",IF(AND(N($J1384)&gt;0,N($K1384)&gt;0),"※收入和支出不能同一行都填",IF(AND($D1384="收入",N($J1384)=0),"※收入行要填收入金额",IF(AND($D1384="支出",N($K1384)=0),"※支出行要填支出金额",IF(AND($C1384&lt;&gt;"",ISNA(MATCH($C1384,账户表,0))),"※账户不在基础资料里",IF(AND($G1384&lt;&gt;"",ISNA(MATCH($G1384,项目名表,0))),"※项目不在项目台账里",IF(AND(LEFT($F1384,3)="成本-",$G1384=""),"※成本类支出没填项目",IF(AND(LEFT($F1384,3)="成本-",$H1384&lt;&gt;"",N($K1384)&gt;0,COUNTIFS(采购单!$B:$B,$B1384,采购单!$C:$C,$H1384,采购单!$L:$L,$K1384)&gt;0),"※这笔可能和采购单重复了",""))))))))))</f>
        <v/>
      </c>
    </row>
    <row r="1385">
      <c r="A1385" s="17">
        <f>IF($B1385="","",ROW()-3)</f>
        <v/>
      </c>
      <c r="B1385" s="18" t="n"/>
      <c r="C1385" s="13" t="n"/>
      <c r="D1385" s="13" t="n"/>
      <c r="E1385" s="13" t="n"/>
      <c r="F1385" s="17">
        <f>IF($E1385="","",IFERROR(VLOOKUP($E1385,类别归属,2,0),"※类别不在基础资料里"))</f>
        <v/>
      </c>
      <c r="G1385" s="13" t="n"/>
      <c r="H1385" s="13" t="n"/>
      <c r="I1385" s="13" t="n"/>
      <c r="J1385" s="14" t="n"/>
      <c r="K1385" s="14" t="n"/>
      <c r="L1385" s="19">
        <f>IF($C1385="","",ROUND(IFERROR(VLOOKUP($C1385,账户期初,2,0),0)+SUMIFS($J$4:J1385,$C$4:C1385,$C1385)-SUMIFS($K$4:K1385,$C$4:C1385,$C1385),2))</f>
        <v/>
      </c>
      <c r="M1385" s="19">
        <f>IF($C1385="","",ROUND(SUM(基础资料!$B$4:$B$13)+SUM($J$4:J1385)-SUM($K$4:K1385),2))</f>
        <v/>
      </c>
      <c r="N1385" s="13" t="n"/>
      <c r="O1385" s="13" t="n"/>
      <c r="P1385" s="17">
        <f>IF($B1385="","",IF($F1385="※类别不在基础资料里","※费用类别不在基础资料里",IF(AND(N($J1385)=0,N($K1385)=0),"※这行没填金额",IF(AND(N($J1385)&gt;0,N($K1385)&gt;0),"※收入和支出不能同一行都填",IF(AND($D1385="收入",N($J1385)=0),"※收入行要填收入金额",IF(AND($D1385="支出",N($K1385)=0),"※支出行要填支出金额",IF(AND($C1385&lt;&gt;"",ISNA(MATCH($C1385,账户表,0))),"※账户不在基础资料里",IF(AND($G1385&lt;&gt;"",ISNA(MATCH($G1385,项目名表,0))),"※项目不在项目台账里",IF(AND(LEFT($F1385,3)="成本-",$G1385=""),"※成本类支出没填项目",IF(AND(LEFT($F1385,3)="成本-",$H1385&lt;&gt;"",N($K1385)&gt;0,COUNTIFS(采购单!$B:$B,$B1385,采购单!$C:$C,$H1385,采购单!$L:$L,$K1385)&gt;0),"※这笔可能和采购单重复了",""))))))))))</f>
        <v/>
      </c>
    </row>
    <row r="1386">
      <c r="A1386" s="17">
        <f>IF($B1386="","",ROW()-3)</f>
        <v/>
      </c>
      <c r="B1386" s="18" t="n"/>
      <c r="C1386" s="13" t="n"/>
      <c r="D1386" s="13" t="n"/>
      <c r="E1386" s="13" t="n"/>
      <c r="F1386" s="17">
        <f>IF($E1386="","",IFERROR(VLOOKUP($E1386,类别归属,2,0),"※类别不在基础资料里"))</f>
        <v/>
      </c>
      <c r="G1386" s="13" t="n"/>
      <c r="H1386" s="13" t="n"/>
      <c r="I1386" s="13" t="n"/>
      <c r="J1386" s="14" t="n"/>
      <c r="K1386" s="14" t="n"/>
      <c r="L1386" s="19">
        <f>IF($C1386="","",ROUND(IFERROR(VLOOKUP($C1386,账户期初,2,0),0)+SUMIFS($J$4:J1386,$C$4:C1386,$C1386)-SUMIFS($K$4:K1386,$C$4:C1386,$C1386),2))</f>
        <v/>
      </c>
      <c r="M1386" s="19">
        <f>IF($C1386="","",ROUND(SUM(基础资料!$B$4:$B$13)+SUM($J$4:J1386)-SUM($K$4:K1386),2))</f>
        <v/>
      </c>
      <c r="N1386" s="13" t="n"/>
      <c r="O1386" s="13" t="n"/>
      <c r="P1386" s="17">
        <f>IF($B1386="","",IF($F1386="※类别不在基础资料里","※费用类别不在基础资料里",IF(AND(N($J1386)=0,N($K1386)=0),"※这行没填金额",IF(AND(N($J1386)&gt;0,N($K1386)&gt;0),"※收入和支出不能同一行都填",IF(AND($D1386="收入",N($J1386)=0),"※收入行要填收入金额",IF(AND($D1386="支出",N($K1386)=0),"※支出行要填支出金额",IF(AND($C1386&lt;&gt;"",ISNA(MATCH($C1386,账户表,0))),"※账户不在基础资料里",IF(AND($G1386&lt;&gt;"",ISNA(MATCH($G1386,项目名表,0))),"※项目不在项目台账里",IF(AND(LEFT($F1386,3)="成本-",$G1386=""),"※成本类支出没填项目",IF(AND(LEFT($F1386,3)="成本-",$H1386&lt;&gt;"",N($K1386)&gt;0,COUNTIFS(采购单!$B:$B,$B1386,采购单!$C:$C,$H1386,采购单!$L:$L,$K1386)&gt;0),"※这笔可能和采购单重复了",""))))))))))</f>
        <v/>
      </c>
    </row>
    <row r="1387">
      <c r="A1387" s="17">
        <f>IF($B1387="","",ROW()-3)</f>
        <v/>
      </c>
      <c r="B1387" s="18" t="n"/>
      <c r="C1387" s="13" t="n"/>
      <c r="D1387" s="13" t="n"/>
      <c r="E1387" s="13" t="n"/>
      <c r="F1387" s="17">
        <f>IF($E1387="","",IFERROR(VLOOKUP($E1387,类别归属,2,0),"※类别不在基础资料里"))</f>
        <v/>
      </c>
      <c r="G1387" s="13" t="n"/>
      <c r="H1387" s="13" t="n"/>
      <c r="I1387" s="13" t="n"/>
      <c r="J1387" s="14" t="n"/>
      <c r="K1387" s="14" t="n"/>
      <c r="L1387" s="19">
        <f>IF($C1387="","",ROUND(IFERROR(VLOOKUP($C1387,账户期初,2,0),0)+SUMIFS($J$4:J1387,$C$4:C1387,$C1387)-SUMIFS($K$4:K1387,$C$4:C1387,$C1387),2))</f>
        <v/>
      </c>
      <c r="M1387" s="19">
        <f>IF($C1387="","",ROUND(SUM(基础资料!$B$4:$B$13)+SUM($J$4:J1387)-SUM($K$4:K1387),2))</f>
        <v/>
      </c>
      <c r="N1387" s="13" t="n"/>
      <c r="O1387" s="13" t="n"/>
      <c r="P1387" s="17">
        <f>IF($B1387="","",IF($F1387="※类别不在基础资料里","※费用类别不在基础资料里",IF(AND(N($J1387)=0,N($K1387)=0),"※这行没填金额",IF(AND(N($J1387)&gt;0,N($K1387)&gt;0),"※收入和支出不能同一行都填",IF(AND($D1387="收入",N($J1387)=0),"※收入行要填收入金额",IF(AND($D1387="支出",N($K1387)=0),"※支出行要填支出金额",IF(AND($C1387&lt;&gt;"",ISNA(MATCH($C1387,账户表,0))),"※账户不在基础资料里",IF(AND($G1387&lt;&gt;"",ISNA(MATCH($G1387,项目名表,0))),"※项目不在项目台账里",IF(AND(LEFT($F1387,3)="成本-",$G1387=""),"※成本类支出没填项目",IF(AND(LEFT($F1387,3)="成本-",$H1387&lt;&gt;"",N($K1387)&gt;0,COUNTIFS(采购单!$B:$B,$B1387,采购单!$C:$C,$H1387,采购单!$L:$L,$K1387)&gt;0),"※这笔可能和采购单重复了",""))))))))))</f>
        <v/>
      </c>
    </row>
    <row r="1388">
      <c r="A1388" s="17">
        <f>IF($B1388="","",ROW()-3)</f>
        <v/>
      </c>
      <c r="B1388" s="18" t="n"/>
      <c r="C1388" s="13" t="n"/>
      <c r="D1388" s="13" t="n"/>
      <c r="E1388" s="13" t="n"/>
      <c r="F1388" s="17">
        <f>IF($E1388="","",IFERROR(VLOOKUP($E1388,类别归属,2,0),"※类别不在基础资料里"))</f>
        <v/>
      </c>
      <c r="G1388" s="13" t="n"/>
      <c r="H1388" s="13" t="n"/>
      <c r="I1388" s="13" t="n"/>
      <c r="J1388" s="14" t="n"/>
      <c r="K1388" s="14" t="n"/>
      <c r="L1388" s="19">
        <f>IF($C1388="","",ROUND(IFERROR(VLOOKUP($C1388,账户期初,2,0),0)+SUMIFS($J$4:J1388,$C$4:C1388,$C1388)-SUMIFS($K$4:K1388,$C$4:C1388,$C1388),2))</f>
        <v/>
      </c>
      <c r="M1388" s="19">
        <f>IF($C1388="","",ROUND(SUM(基础资料!$B$4:$B$13)+SUM($J$4:J1388)-SUM($K$4:K1388),2))</f>
        <v/>
      </c>
      <c r="N1388" s="13" t="n"/>
      <c r="O1388" s="13" t="n"/>
      <c r="P1388" s="17">
        <f>IF($B1388="","",IF($F1388="※类别不在基础资料里","※费用类别不在基础资料里",IF(AND(N($J1388)=0,N($K1388)=0),"※这行没填金额",IF(AND(N($J1388)&gt;0,N($K1388)&gt;0),"※收入和支出不能同一行都填",IF(AND($D1388="收入",N($J1388)=0),"※收入行要填收入金额",IF(AND($D1388="支出",N($K1388)=0),"※支出行要填支出金额",IF(AND($C1388&lt;&gt;"",ISNA(MATCH($C1388,账户表,0))),"※账户不在基础资料里",IF(AND($G1388&lt;&gt;"",ISNA(MATCH($G1388,项目名表,0))),"※项目不在项目台账里",IF(AND(LEFT($F1388,3)="成本-",$G1388=""),"※成本类支出没填项目",IF(AND(LEFT($F1388,3)="成本-",$H1388&lt;&gt;"",N($K1388)&gt;0,COUNTIFS(采购单!$B:$B,$B1388,采购单!$C:$C,$H1388,采购单!$L:$L,$K1388)&gt;0),"※这笔可能和采购单重复了",""))))))))))</f>
        <v/>
      </c>
    </row>
    <row r="1389">
      <c r="A1389" s="17">
        <f>IF($B1389="","",ROW()-3)</f>
        <v/>
      </c>
      <c r="B1389" s="18" t="n"/>
      <c r="C1389" s="13" t="n"/>
      <c r="D1389" s="13" t="n"/>
      <c r="E1389" s="13" t="n"/>
      <c r="F1389" s="17">
        <f>IF($E1389="","",IFERROR(VLOOKUP($E1389,类别归属,2,0),"※类别不在基础资料里"))</f>
        <v/>
      </c>
      <c r="G1389" s="13" t="n"/>
      <c r="H1389" s="13" t="n"/>
      <c r="I1389" s="13" t="n"/>
      <c r="J1389" s="14" t="n"/>
      <c r="K1389" s="14" t="n"/>
      <c r="L1389" s="19">
        <f>IF($C1389="","",ROUND(IFERROR(VLOOKUP($C1389,账户期初,2,0),0)+SUMIFS($J$4:J1389,$C$4:C1389,$C1389)-SUMIFS($K$4:K1389,$C$4:C1389,$C1389),2))</f>
        <v/>
      </c>
      <c r="M1389" s="19">
        <f>IF($C1389="","",ROUND(SUM(基础资料!$B$4:$B$13)+SUM($J$4:J1389)-SUM($K$4:K1389),2))</f>
        <v/>
      </c>
      <c r="N1389" s="13" t="n"/>
      <c r="O1389" s="13" t="n"/>
      <c r="P1389" s="17">
        <f>IF($B1389="","",IF($F1389="※类别不在基础资料里","※费用类别不在基础资料里",IF(AND(N($J1389)=0,N($K1389)=0),"※这行没填金额",IF(AND(N($J1389)&gt;0,N($K1389)&gt;0),"※收入和支出不能同一行都填",IF(AND($D1389="收入",N($J1389)=0),"※收入行要填收入金额",IF(AND($D1389="支出",N($K1389)=0),"※支出行要填支出金额",IF(AND($C1389&lt;&gt;"",ISNA(MATCH($C1389,账户表,0))),"※账户不在基础资料里",IF(AND($G1389&lt;&gt;"",ISNA(MATCH($G1389,项目名表,0))),"※项目不在项目台账里",IF(AND(LEFT($F1389,3)="成本-",$G1389=""),"※成本类支出没填项目",IF(AND(LEFT($F1389,3)="成本-",$H1389&lt;&gt;"",N($K1389)&gt;0,COUNTIFS(采购单!$B:$B,$B1389,采购单!$C:$C,$H1389,采购单!$L:$L,$K1389)&gt;0),"※这笔可能和采购单重复了",""))))))))))</f>
        <v/>
      </c>
    </row>
    <row r="1390">
      <c r="A1390" s="17">
        <f>IF($B1390="","",ROW()-3)</f>
        <v/>
      </c>
      <c r="B1390" s="18" t="n"/>
      <c r="C1390" s="13" t="n"/>
      <c r="D1390" s="13" t="n"/>
      <c r="E1390" s="13" t="n"/>
      <c r="F1390" s="17">
        <f>IF($E1390="","",IFERROR(VLOOKUP($E1390,类别归属,2,0),"※类别不在基础资料里"))</f>
        <v/>
      </c>
      <c r="G1390" s="13" t="n"/>
      <c r="H1390" s="13" t="n"/>
      <c r="I1390" s="13" t="n"/>
      <c r="J1390" s="14" t="n"/>
      <c r="K1390" s="14" t="n"/>
      <c r="L1390" s="19">
        <f>IF($C1390="","",ROUND(IFERROR(VLOOKUP($C1390,账户期初,2,0),0)+SUMIFS($J$4:J1390,$C$4:C1390,$C1390)-SUMIFS($K$4:K1390,$C$4:C1390,$C1390),2))</f>
        <v/>
      </c>
      <c r="M1390" s="19">
        <f>IF($C1390="","",ROUND(SUM(基础资料!$B$4:$B$13)+SUM($J$4:J1390)-SUM($K$4:K1390),2))</f>
        <v/>
      </c>
      <c r="N1390" s="13" t="n"/>
      <c r="O1390" s="13" t="n"/>
      <c r="P1390" s="17">
        <f>IF($B1390="","",IF($F1390="※类别不在基础资料里","※费用类别不在基础资料里",IF(AND(N($J1390)=0,N($K1390)=0),"※这行没填金额",IF(AND(N($J1390)&gt;0,N($K1390)&gt;0),"※收入和支出不能同一行都填",IF(AND($D1390="收入",N($J1390)=0),"※收入行要填收入金额",IF(AND($D1390="支出",N($K1390)=0),"※支出行要填支出金额",IF(AND($C1390&lt;&gt;"",ISNA(MATCH($C1390,账户表,0))),"※账户不在基础资料里",IF(AND($G1390&lt;&gt;"",ISNA(MATCH($G1390,项目名表,0))),"※项目不在项目台账里",IF(AND(LEFT($F1390,3)="成本-",$G1390=""),"※成本类支出没填项目",IF(AND(LEFT($F1390,3)="成本-",$H1390&lt;&gt;"",N($K1390)&gt;0,COUNTIFS(采购单!$B:$B,$B1390,采购单!$C:$C,$H1390,采购单!$L:$L,$K1390)&gt;0),"※这笔可能和采购单重复了",""))))))))))</f>
        <v/>
      </c>
    </row>
    <row r="1391">
      <c r="A1391" s="17">
        <f>IF($B1391="","",ROW()-3)</f>
        <v/>
      </c>
      <c r="B1391" s="18" t="n"/>
      <c r="C1391" s="13" t="n"/>
      <c r="D1391" s="13" t="n"/>
      <c r="E1391" s="13" t="n"/>
      <c r="F1391" s="17">
        <f>IF($E1391="","",IFERROR(VLOOKUP($E1391,类别归属,2,0),"※类别不在基础资料里"))</f>
        <v/>
      </c>
      <c r="G1391" s="13" t="n"/>
      <c r="H1391" s="13" t="n"/>
      <c r="I1391" s="13" t="n"/>
      <c r="J1391" s="14" t="n"/>
      <c r="K1391" s="14" t="n"/>
      <c r="L1391" s="19">
        <f>IF($C1391="","",ROUND(IFERROR(VLOOKUP($C1391,账户期初,2,0),0)+SUMIFS($J$4:J1391,$C$4:C1391,$C1391)-SUMIFS($K$4:K1391,$C$4:C1391,$C1391),2))</f>
        <v/>
      </c>
      <c r="M1391" s="19">
        <f>IF($C1391="","",ROUND(SUM(基础资料!$B$4:$B$13)+SUM($J$4:J1391)-SUM($K$4:K1391),2))</f>
        <v/>
      </c>
      <c r="N1391" s="13" t="n"/>
      <c r="O1391" s="13" t="n"/>
      <c r="P1391" s="17">
        <f>IF($B1391="","",IF($F1391="※类别不在基础资料里","※费用类别不在基础资料里",IF(AND(N($J1391)=0,N($K1391)=0),"※这行没填金额",IF(AND(N($J1391)&gt;0,N($K1391)&gt;0),"※收入和支出不能同一行都填",IF(AND($D1391="收入",N($J1391)=0),"※收入行要填收入金额",IF(AND($D1391="支出",N($K1391)=0),"※支出行要填支出金额",IF(AND($C1391&lt;&gt;"",ISNA(MATCH($C1391,账户表,0))),"※账户不在基础资料里",IF(AND($G1391&lt;&gt;"",ISNA(MATCH($G1391,项目名表,0))),"※项目不在项目台账里",IF(AND(LEFT($F1391,3)="成本-",$G1391=""),"※成本类支出没填项目",IF(AND(LEFT($F1391,3)="成本-",$H1391&lt;&gt;"",N($K1391)&gt;0,COUNTIFS(采购单!$B:$B,$B1391,采购单!$C:$C,$H1391,采购单!$L:$L,$K1391)&gt;0),"※这笔可能和采购单重复了",""))))))))))</f>
        <v/>
      </c>
    </row>
    <row r="1392">
      <c r="A1392" s="17">
        <f>IF($B1392="","",ROW()-3)</f>
        <v/>
      </c>
      <c r="B1392" s="18" t="n"/>
      <c r="C1392" s="13" t="n"/>
      <c r="D1392" s="13" t="n"/>
      <c r="E1392" s="13" t="n"/>
      <c r="F1392" s="17">
        <f>IF($E1392="","",IFERROR(VLOOKUP($E1392,类别归属,2,0),"※类别不在基础资料里"))</f>
        <v/>
      </c>
      <c r="G1392" s="13" t="n"/>
      <c r="H1392" s="13" t="n"/>
      <c r="I1392" s="13" t="n"/>
      <c r="J1392" s="14" t="n"/>
      <c r="K1392" s="14" t="n"/>
      <c r="L1392" s="19">
        <f>IF($C1392="","",ROUND(IFERROR(VLOOKUP($C1392,账户期初,2,0),0)+SUMIFS($J$4:J1392,$C$4:C1392,$C1392)-SUMIFS($K$4:K1392,$C$4:C1392,$C1392),2))</f>
        <v/>
      </c>
      <c r="M1392" s="19">
        <f>IF($C1392="","",ROUND(SUM(基础资料!$B$4:$B$13)+SUM($J$4:J1392)-SUM($K$4:K1392),2))</f>
        <v/>
      </c>
      <c r="N1392" s="13" t="n"/>
      <c r="O1392" s="13" t="n"/>
      <c r="P1392" s="17">
        <f>IF($B1392="","",IF($F1392="※类别不在基础资料里","※费用类别不在基础资料里",IF(AND(N($J1392)=0,N($K1392)=0),"※这行没填金额",IF(AND(N($J1392)&gt;0,N($K1392)&gt;0),"※收入和支出不能同一行都填",IF(AND($D1392="收入",N($J1392)=0),"※收入行要填收入金额",IF(AND($D1392="支出",N($K1392)=0),"※支出行要填支出金额",IF(AND($C1392&lt;&gt;"",ISNA(MATCH($C1392,账户表,0))),"※账户不在基础资料里",IF(AND($G1392&lt;&gt;"",ISNA(MATCH($G1392,项目名表,0))),"※项目不在项目台账里",IF(AND(LEFT($F1392,3)="成本-",$G1392=""),"※成本类支出没填项目",IF(AND(LEFT($F1392,3)="成本-",$H1392&lt;&gt;"",N($K1392)&gt;0,COUNTIFS(采购单!$B:$B,$B1392,采购单!$C:$C,$H1392,采购单!$L:$L,$K1392)&gt;0),"※这笔可能和采购单重复了",""))))))))))</f>
        <v/>
      </c>
    </row>
    <row r="1393">
      <c r="A1393" s="17">
        <f>IF($B1393="","",ROW()-3)</f>
        <v/>
      </c>
      <c r="B1393" s="18" t="n"/>
      <c r="C1393" s="13" t="n"/>
      <c r="D1393" s="13" t="n"/>
      <c r="E1393" s="13" t="n"/>
      <c r="F1393" s="17">
        <f>IF($E1393="","",IFERROR(VLOOKUP($E1393,类别归属,2,0),"※类别不在基础资料里"))</f>
        <v/>
      </c>
      <c r="G1393" s="13" t="n"/>
      <c r="H1393" s="13" t="n"/>
      <c r="I1393" s="13" t="n"/>
      <c r="J1393" s="14" t="n"/>
      <c r="K1393" s="14" t="n"/>
      <c r="L1393" s="19">
        <f>IF($C1393="","",ROUND(IFERROR(VLOOKUP($C1393,账户期初,2,0),0)+SUMIFS($J$4:J1393,$C$4:C1393,$C1393)-SUMIFS($K$4:K1393,$C$4:C1393,$C1393),2))</f>
        <v/>
      </c>
      <c r="M1393" s="19">
        <f>IF($C1393="","",ROUND(SUM(基础资料!$B$4:$B$13)+SUM($J$4:J1393)-SUM($K$4:K1393),2))</f>
        <v/>
      </c>
      <c r="N1393" s="13" t="n"/>
      <c r="O1393" s="13" t="n"/>
      <c r="P1393" s="17">
        <f>IF($B1393="","",IF($F1393="※类别不在基础资料里","※费用类别不在基础资料里",IF(AND(N($J1393)=0,N($K1393)=0),"※这行没填金额",IF(AND(N($J1393)&gt;0,N($K1393)&gt;0),"※收入和支出不能同一行都填",IF(AND($D1393="收入",N($J1393)=0),"※收入行要填收入金额",IF(AND($D1393="支出",N($K1393)=0),"※支出行要填支出金额",IF(AND($C1393&lt;&gt;"",ISNA(MATCH($C1393,账户表,0))),"※账户不在基础资料里",IF(AND($G1393&lt;&gt;"",ISNA(MATCH($G1393,项目名表,0))),"※项目不在项目台账里",IF(AND(LEFT($F1393,3)="成本-",$G1393=""),"※成本类支出没填项目",IF(AND(LEFT($F1393,3)="成本-",$H1393&lt;&gt;"",N($K1393)&gt;0,COUNTIFS(采购单!$B:$B,$B1393,采购单!$C:$C,$H1393,采购单!$L:$L,$K1393)&gt;0),"※这笔可能和采购单重复了",""))))))))))</f>
        <v/>
      </c>
    </row>
    <row r="1394">
      <c r="A1394" s="17">
        <f>IF($B1394="","",ROW()-3)</f>
        <v/>
      </c>
      <c r="B1394" s="18" t="n"/>
      <c r="C1394" s="13" t="n"/>
      <c r="D1394" s="13" t="n"/>
      <c r="E1394" s="13" t="n"/>
      <c r="F1394" s="17">
        <f>IF($E1394="","",IFERROR(VLOOKUP($E1394,类别归属,2,0),"※类别不在基础资料里"))</f>
        <v/>
      </c>
      <c r="G1394" s="13" t="n"/>
      <c r="H1394" s="13" t="n"/>
      <c r="I1394" s="13" t="n"/>
      <c r="J1394" s="14" t="n"/>
      <c r="K1394" s="14" t="n"/>
      <c r="L1394" s="19">
        <f>IF($C1394="","",ROUND(IFERROR(VLOOKUP($C1394,账户期初,2,0),0)+SUMIFS($J$4:J1394,$C$4:C1394,$C1394)-SUMIFS($K$4:K1394,$C$4:C1394,$C1394),2))</f>
        <v/>
      </c>
      <c r="M1394" s="19">
        <f>IF($C1394="","",ROUND(SUM(基础资料!$B$4:$B$13)+SUM($J$4:J1394)-SUM($K$4:K1394),2))</f>
        <v/>
      </c>
      <c r="N1394" s="13" t="n"/>
      <c r="O1394" s="13" t="n"/>
      <c r="P1394" s="17">
        <f>IF($B1394="","",IF($F1394="※类别不在基础资料里","※费用类别不在基础资料里",IF(AND(N($J1394)=0,N($K1394)=0),"※这行没填金额",IF(AND(N($J1394)&gt;0,N($K1394)&gt;0),"※收入和支出不能同一行都填",IF(AND($D1394="收入",N($J1394)=0),"※收入行要填收入金额",IF(AND($D1394="支出",N($K1394)=0),"※支出行要填支出金额",IF(AND($C1394&lt;&gt;"",ISNA(MATCH($C1394,账户表,0))),"※账户不在基础资料里",IF(AND($G1394&lt;&gt;"",ISNA(MATCH($G1394,项目名表,0))),"※项目不在项目台账里",IF(AND(LEFT($F1394,3)="成本-",$G1394=""),"※成本类支出没填项目",IF(AND(LEFT($F1394,3)="成本-",$H1394&lt;&gt;"",N($K1394)&gt;0,COUNTIFS(采购单!$B:$B,$B1394,采购单!$C:$C,$H1394,采购单!$L:$L,$K1394)&gt;0),"※这笔可能和采购单重复了",""))))))))))</f>
        <v/>
      </c>
    </row>
    <row r="1395">
      <c r="A1395" s="17">
        <f>IF($B1395="","",ROW()-3)</f>
        <v/>
      </c>
      <c r="B1395" s="18" t="n"/>
      <c r="C1395" s="13" t="n"/>
      <c r="D1395" s="13" t="n"/>
      <c r="E1395" s="13" t="n"/>
      <c r="F1395" s="17">
        <f>IF($E1395="","",IFERROR(VLOOKUP($E1395,类别归属,2,0),"※类别不在基础资料里"))</f>
        <v/>
      </c>
      <c r="G1395" s="13" t="n"/>
      <c r="H1395" s="13" t="n"/>
      <c r="I1395" s="13" t="n"/>
      <c r="J1395" s="14" t="n"/>
      <c r="K1395" s="14" t="n"/>
      <c r="L1395" s="19">
        <f>IF($C1395="","",ROUND(IFERROR(VLOOKUP($C1395,账户期初,2,0),0)+SUMIFS($J$4:J1395,$C$4:C1395,$C1395)-SUMIFS($K$4:K1395,$C$4:C1395,$C1395),2))</f>
        <v/>
      </c>
      <c r="M1395" s="19">
        <f>IF($C1395="","",ROUND(SUM(基础资料!$B$4:$B$13)+SUM($J$4:J1395)-SUM($K$4:K1395),2))</f>
        <v/>
      </c>
      <c r="N1395" s="13" t="n"/>
      <c r="O1395" s="13" t="n"/>
      <c r="P1395" s="17">
        <f>IF($B1395="","",IF($F1395="※类别不在基础资料里","※费用类别不在基础资料里",IF(AND(N($J1395)=0,N($K1395)=0),"※这行没填金额",IF(AND(N($J1395)&gt;0,N($K1395)&gt;0),"※收入和支出不能同一行都填",IF(AND($D1395="收入",N($J1395)=0),"※收入行要填收入金额",IF(AND($D1395="支出",N($K1395)=0),"※支出行要填支出金额",IF(AND($C1395&lt;&gt;"",ISNA(MATCH($C1395,账户表,0))),"※账户不在基础资料里",IF(AND($G1395&lt;&gt;"",ISNA(MATCH($G1395,项目名表,0))),"※项目不在项目台账里",IF(AND(LEFT($F1395,3)="成本-",$G1395=""),"※成本类支出没填项目",IF(AND(LEFT($F1395,3)="成本-",$H1395&lt;&gt;"",N($K1395)&gt;0,COUNTIFS(采购单!$B:$B,$B1395,采购单!$C:$C,$H1395,采购单!$L:$L,$K1395)&gt;0),"※这笔可能和采购单重复了",""))))))))))</f>
        <v/>
      </c>
    </row>
    <row r="1396">
      <c r="A1396" s="17">
        <f>IF($B1396="","",ROW()-3)</f>
        <v/>
      </c>
      <c r="B1396" s="18" t="n"/>
      <c r="C1396" s="13" t="n"/>
      <c r="D1396" s="13" t="n"/>
      <c r="E1396" s="13" t="n"/>
      <c r="F1396" s="17">
        <f>IF($E1396="","",IFERROR(VLOOKUP($E1396,类别归属,2,0),"※类别不在基础资料里"))</f>
        <v/>
      </c>
      <c r="G1396" s="13" t="n"/>
      <c r="H1396" s="13" t="n"/>
      <c r="I1396" s="13" t="n"/>
      <c r="J1396" s="14" t="n"/>
      <c r="K1396" s="14" t="n"/>
      <c r="L1396" s="19">
        <f>IF($C1396="","",ROUND(IFERROR(VLOOKUP($C1396,账户期初,2,0),0)+SUMIFS($J$4:J1396,$C$4:C1396,$C1396)-SUMIFS($K$4:K1396,$C$4:C1396,$C1396),2))</f>
        <v/>
      </c>
      <c r="M1396" s="19">
        <f>IF($C1396="","",ROUND(SUM(基础资料!$B$4:$B$13)+SUM($J$4:J1396)-SUM($K$4:K1396),2))</f>
        <v/>
      </c>
      <c r="N1396" s="13" t="n"/>
      <c r="O1396" s="13" t="n"/>
      <c r="P1396" s="17">
        <f>IF($B1396="","",IF($F1396="※类别不在基础资料里","※费用类别不在基础资料里",IF(AND(N($J1396)=0,N($K1396)=0),"※这行没填金额",IF(AND(N($J1396)&gt;0,N($K1396)&gt;0),"※收入和支出不能同一行都填",IF(AND($D1396="收入",N($J1396)=0),"※收入行要填收入金额",IF(AND($D1396="支出",N($K1396)=0),"※支出行要填支出金额",IF(AND($C1396&lt;&gt;"",ISNA(MATCH($C1396,账户表,0))),"※账户不在基础资料里",IF(AND($G1396&lt;&gt;"",ISNA(MATCH($G1396,项目名表,0))),"※项目不在项目台账里",IF(AND(LEFT($F1396,3)="成本-",$G1396=""),"※成本类支出没填项目",IF(AND(LEFT($F1396,3)="成本-",$H1396&lt;&gt;"",N($K1396)&gt;0,COUNTIFS(采购单!$B:$B,$B1396,采购单!$C:$C,$H1396,采购单!$L:$L,$K1396)&gt;0),"※这笔可能和采购单重复了",""))))))))))</f>
        <v/>
      </c>
    </row>
    <row r="1397">
      <c r="A1397" s="17">
        <f>IF($B1397="","",ROW()-3)</f>
        <v/>
      </c>
      <c r="B1397" s="18" t="n"/>
      <c r="C1397" s="13" t="n"/>
      <c r="D1397" s="13" t="n"/>
      <c r="E1397" s="13" t="n"/>
      <c r="F1397" s="17">
        <f>IF($E1397="","",IFERROR(VLOOKUP($E1397,类别归属,2,0),"※类别不在基础资料里"))</f>
        <v/>
      </c>
      <c r="G1397" s="13" t="n"/>
      <c r="H1397" s="13" t="n"/>
      <c r="I1397" s="13" t="n"/>
      <c r="J1397" s="14" t="n"/>
      <c r="K1397" s="14" t="n"/>
      <c r="L1397" s="19">
        <f>IF($C1397="","",ROUND(IFERROR(VLOOKUP($C1397,账户期初,2,0),0)+SUMIFS($J$4:J1397,$C$4:C1397,$C1397)-SUMIFS($K$4:K1397,$C$4:C1397,$C1397),2))</f>
        <v/>
      </c>
      <c r="M1397" s="19">
        <f>IF($C1397="","",ROUND(SUM(基础资料!$B$4:$B$13)+SUM($J$4:J1397)-SUM($K$4:K1397),2))</f>
        <v/>
      </c>
      <c r="N1397" s="13" t="n"/>
      <c r="O1397" s="13" t="n"/>
      <c r="P1397" s="17">
        <f>IF($B1397="","",IF($F1397="※类别不在基础资料里","※费用类别不在基础资料里",IF(AND(N($J1397)=0,N($K1397)=0),"※这行没填金额",IF(AND(N($J1397)&gt;0,N($K1397)&gt;0),"※收入和支出不能同一行都填",IF(AND($D1397="收入",N($J1397)=0),"※收入行要填收入金额",IF(AND($D1397="支出",N($K1397)=0),"※支出行要填支出金额",IF(AND($C1397&lt;&gt;"",ISNA(MATCH($C1397,账户表,0))),"※账户不在基础资料里",IF(AND($G1397&lt;&gt;"",ISNA(MATCH($G1397,项目名表,0))),"※项目不在项目台账里",IF(AND(LEFT($F1397,3)="成本-",$G1397=""),"※成本类支出没填项目",IF(AND(LEFT($F1397,3)="成本-",$H1397&lt;&gt;"",N($K1397)&gt;0,COUNTIFS(采购单!$B:$B,$B1397,采购单!$C:$C,$H1397,采购单!$L:$L,$K1397)&gt;0),"※这笔可能和采购单重复了",""))))))))))</f>
        <v/>
      </c>
    </row>
    <row r="1398">
      <c r="A1398" s="17">
        <f>IF($B1398="","",ROW()-3)</f>
        <v/>
      </c>
      <c r="B1398" s="18" t="n"/>
      <c r="C1398" s="13" t="n"/>
      <c r="D1398" s="13" t="n"/>
      <c r="E1398" s="13" t="n"/>
      <c r="F1398" s="17">
        <f>IF($E1398="","",IFERROR(VLOOKUP($E1398,类别归属,2,0),"※类别不在基础资料里"))</f>
        <v/>
      </c>
      <c r="G1398" s="13" t="n"/>
      <c r="H1398" s="13" t="n"/>
      <c r="I1398" s="13" t="n"/>
      <c r="J1398" s="14" t="n"/>
      <c r="K1398" s="14" t="n"/>
      <c r="L1398" s="19">
        <f>IF($C1398="","",ROUND(IFERROR(VLOOKUP($C1398,账户期初,2,0),0)+SUMIFS($J$4:J1398,$C$4:C1398,$C1398)-SUMIFS($K$4:K1398,$C$4:C1398,$C1398),2))</f>
        <v/>
      </c>
      <c r="M1398" s="19">
        <f>IF($C1398="","",ROUND(SUM(基础资料!$B$4:$B$13)+SUM($J$4:J1398)-SUM($K$4:K1398),2))</f>
        <v/>
      </c>
      <c r="N1398" s="13" t="n"/>
      <c r="O1398" s="13" t="n"/>
      <c r="P1398" s="17">
        <f>IF($B1398="","",IF($F1398="※类别不在基础资料里","※费用类别不在基础资料里",IF(AND(N($J1398)=0,N($K1398)=0),"※这行没填金额",IF(AND(N($J1398)&gt;0,N($K1398)&gt;0),"※收入和支出不能同一行都填",IF(AND($D1398="收入",N($J1398)=0),"※收入行要填收入金额",IF(AND($D1398="支出",N($K1398)=0),"※支出行要填支出金额",IF(AND($C1398&lt;&gt;"",ISNA(MATCH($C1398,账户表,0))),"※账户不在基础资料里",IF(AND($G1398&lt;&gt;"",ISNA(MATCH($G1398,项目名表,0))),"※项目不在项目台账里",IF(AND(LEFT($F1398,3)="成本-",$G1398=""),"※成本类支出没填项目",IF(AND(LEFT($F1398,3)="成本-",$H1398&lt;&gt;"",N($K1398)&gt;0,COUNTIFS(采购单!$B:$B,$B1398,采购单!$C:$C,$H1398,采购单!$L:$L,$K1398)&gt;0),"※这笔可能和采购单重复了",""))))))))))</f>
        <v/>
      </c>
    </row>
    <row r="1399">
      <c r="A1399" s="17">
        <f>IF($B1399="","",ROW()-3)</f>
        <v/>
      </c>
      <c r="B1399" s="18" t="n"/>
      <c r="C1399" s="13" t="n"/>
      <c r="D1399" s="13" t="n"/>
      <c r="E1399" s="13" t="n"/>
      <c r="F1399" s="17">
        <f>IF($E1399="","",IFERROR(VLOOKUP($E1399,类别归属,2,0),"※类别不在基础资料里"))</f>
        <v/>
      </c>
      <c r="G1399" s="13" t="n"/>
      <c r="H1399" s="13" t="n"/>
      <c r="I1399" s="13" t="n"/>
      <c r="J1399" s="14" t="n"/>
      <c r="K1399" s="14" t="n"/>
      <c r="L1399" s="19">
        <f>IF($C1399="","",ROUND(IFERROR(VLOOKUP($C1399,账户期初,2,0),0)+SUMIFS($J$4:J1399,$C$4:C1399,$C1399)-SUMIFS($K$4:K1399,$C$4:C1399,$C1399),2))</f>
        <v/>
      </c>
      <c r="M1399" s="19">
        <f>IF($C1399="","",ROUND(SUM(基础资料!$B$4:$B$13)+SUM($J$4:J1399)-SUM($K$4:K1399),2))</f>
        <v/>
      </c>
      <c r="N1399" s="13" t="n"/>
      <c r="O1399" s="13" t="n"/>
      <c r="P1399" s="17">
        <f>IF($B1399="","",IF($F1399="※类别不在基础资料里","※费用类别不在基础资料里",IF(AND(N($J1399)=0,N($K1399)=0),"※这行没填金额",IF(AND(N($J1399)&gt;0,N($K1399)&gt;0),"※收入和支出不能同一行都填",IF(AND($D1399="收入",N($J1399)=0),"※收入行要填收入金额",IF(AND($D1399="支出",N($K1399)=0),"※支出行要填支出金额",IF(AND($C1399&lt;&gt;"",ISNA(MATCH($C1399,账户表,0))),"※账户不在基础资料里",IF(AND($G1399&lt;&gt;"",ISNA(MATCH($G1399,项目名表,0))),"※项目不在项目台账里",IF(AND(LEFT($F1399,3)="成本-",$G1399=""),"※成本类支出没填项目",IF(AND(LEFT($F1399,3)="成本-",$H1399&lt;&gt;"",N($K1399)&gt;0,COUNTIFS(采购单!$B:$B,$B1399,采购单!$C:$C,$H1399,采购单!$L:$L,$K1399)&gt;0),"※这笔可能和采购单重复了",""))))))))))</f>
        <v/>
      </c>
    </row>
    <row r="1400">
      <c r="A1400" s="17">
        <f>IF($B1400="","",ROW()-3)</f>
        <v/>
      </c>
      <c r="B1400" s="18" t="n"/>
      <c r="C1400" s="13" t="n"/>
      <c r="D1400" s="13" t="n"/>
      <c r="E1400" s="13" t="n"/>
      <c r="F1400" s="17">
        <f>IF($E1400="","",IFERROR(VLOOKUP($E1400,类别归属,2,0),"※类别不在基础资料里"))</f>
        <v/>
      </c>
      <c r="G1400" s="13" t="n"/>
      <c r="H1400" s="13" t="n"/>
      <c r="I1400" s="13" t="n"/>
      <c r="J1400" s="14" t="n"/>
      <c r="K1400" s="14" t="n"/>
      <c r="L1400" s="19">
        <f>IF($C1400="","",ROUND(IFERROR(VLOOKUP($C1400,账户期初,2,0),0)+SUMIFS($J$4:J1400,$C$4:C1400,$C1400)-SUMIFS($K$4:K1400,$C$4:C1400,$C1400),2))</f>
        <v/>
      </c>
      <c r="M1400" s="19">
        <f>IF($C1400="","",ROUND(SUM(基础资料!$B$4:$B$13)+SUM($J$4:J1400)-SUM($K$4:K1400),2))</f>
        <v/>
      </c>
      <c r="N1400" s="13" t="n"/>
      <c r="O1400" s="13" t="n"/>
      <c r="P1400" s="17">
        <f>IF($B1400="","",IF($F1400="※类别不在基础资料里","※费用类别不在基础资料里",IF(AND(N($J1400)=0,N($K1400)=0),"※这行没填金额",IF(AND(N($J1400)&gt;0,N($K1400)&gt;0),"※收入和支出不能同一行都填",IF(AND($D1400="收入",N($J1400)=0),"※收入行要填收入金额",IF(AND($D1400="支出",N($K1400)=0),"※支出行要填支出金额",IF(AND($C1400&lt;&gt;"",ISNA(MATCH($C1400,账户表,0))),"※账户不在基础资料里",IF(AND($G1400&lt;&gt;"",ISNA(MATCH($G1400,项目名表,0))),"※项目不在项目台账里",IF(AND(LEFT($F1400,3)="成本-",$G1400=""),"※成本类支出没填项目",IF(AND(LEFT($F1400,3)="成本-",$H1400&lt;&gt;"",N($K1400)&gt;0,COUNTIFS(采购单!$B:$B,$B1400,采购单!$C:$C,$H1400,采购单!$L:$L,$K1400)&gt;0),"※这笔可能和采购单重复了",""))))))))))</f>
        <v/>
      </c>
    </row>
    <row r="1401">
      <c r="A1401" s="17">
        <f>IF($B1401="","",ROW()-3)</f>
        <v/>
      </c>
      <c r="B1401" s="18" t="n"/>
      <c r="C1401" s="13" t="n"/>
      <c r="D1401" s="13" t="n"/>
      <c r="E1401" s="13" t="n"/>
      <c r="F1401" s="17">
        <f>IF($E1401="","",IFERROR(VLOOKUP($E1401,类别归属,2,0),"※类别不在基础资料里"))</f>
        <v/>
      </c>
      <c r="G1401" s="13" t="n"/>
      <c r="H1401" s="13" t="n"/>
      <c r="I1401" s="13" t="n"/>
      <c r="J1401" s="14" t="n"/>
      <c r="K1401" s="14" t="n"/>
      <c r="L1401" s="19">
        <f>IF($C1401="","",ROUND(IFERROR(VLOOKUP($C1401,账户期初,2,0),0)+SUMIFS($J$4:J1401,$C$4:C1401,$C1401)-SUMIFS($K$4:K1401,$C$4:C1401,$C1401),2))</f>
        <v/>
      </c>
      <c r="M1401" s="19">
        <f>IF($C1401="","",ROUND(SUM(基础资料!$B$4:$B$13)+SUM($J$4:J1401)-SUM($K$4:K1401),2))</f>
        <v/>
      </c>
      <c r="N1401" s="13" t="n"/>
      <c r="O1401" s="13" t="n"/>
      <c r="P1401" s="17">
        <f>IF($B1401="","",IF($F1401="※类别不在基础资料里","※费用类别不在基础资料里",IF(AND(N($J1401)=0,N($K1401)=0),"※这行没填金额",IF(AND(N($J1401)&gt;0,N($K1401)&gt;0),"※收入和支出不能同一行都填",IF(AND($D1401="收入",N($J1401)=0),"※收入行要填收入金额",IF(AND($D1401="支出",N($K1401)=0),"※支出行要填支出金额",IF(AND($C1401&lt;&gt;"",ISNA(MATCH($C1401,账户表,0))),"※账户不在基础资料里",IF(AND($G1401&lt;&gt;"",ISNA(MATCH($G1401,项目名表,0))),"※项目不在项目台账里",IF(AND(LEFT($F1401,3)="成本-",$G1401=""),"※成本类支出没填项目",IF(AND(LEFT($F1401,3)="成本-",$H1401&lt;&gt;"",N($K1401)&gt;0,COUNTIFS(采购单!$B:$B,$B1401,采购单!$C:$C,$H1401,采购单!$L:$L,$K1401)&gt;0),"※这笔可能和采购单重复了",""))))))))))</f>
        <v/>
      </c>
    </row>
    <row r="1402">
      <c r="A1402" s="17">
        <f>IF($B1402="","",ROW()-3)</f>
        <v/>
      </c>
      <c r="B1402" s="18" t="n"/>
      <c r="C1402" s="13" t="n"/>
      <c r="D1402" s="13" t="n"/>
      <c r="E1402" s="13" t="n"/>
      <c r="F1402" s="17">
        <f>IF($E1402="","",IFERROR(VLOOKUP($E1402,类别归属,2,0),"※类别不在基础资料里"))</f>
        <v/>
      </c>
      <c r="G1402" s="13" t="n"/>
      <c r="H1402" s="13" t="n"/>
      <c r="I1402" s="13" t="n"/>
      <c r="J1402" s="14" t="n"/>
      <c r="K1402" s="14" t="n"/>
      <c r="L1402" s="19">
        <f>IF($C1402="","",ROUND(IFERROR(VLOOKUP($C1402,账户期初,2,0),0)+SUMIFS($J$4:J1402,$C$4:C1402,$C1402)-SUMIFS($K$4:K1402,$C$4:C1402,$C1402),2))</f>
        <v/>
      </c>
      <c r="M1402" s="19">
        <f>IF($C1402="","",ROUND(SUM(基础资料!$B$4:$B$13)+SUM($J$4:J1402)-SUM($K$4:K1402),2))</f>
        <v/>
      </c>
      <c r="N1402" s="13" t="n"/>
      <c r="O1402" s="13" t="n"/>
      <c r="P1402" s="17">
        <f>IF($B1402="","",IF($F1402="※类别不在基础资料里","※费用类别不在基础资料里",IF(AND(N($J1402)=0,N($K1402)=0),"※这行没填金额",IF(AND(N($J1402)&gt;0,N($K1402)&gt;0),"※收入和支出不能同一行都填",IF(AND($D1402="收入",N($J1402)=0),"※收入行要填收入金额",IF(AND($D1402="支出",N($K1402)=0),"※支出行要填支出金额",IF(AND($C1402&lt;&gt;"",ISNA(MATCH($C1402,账户表,0))),"※账户不在基础资料里",IF(AND($G1402&lt;&gt;"",ISNA(MATCH($G1402,项目名表,0))),"※项目不在项目台账里",IF(AND(LEFT($F1402,3)="成本-",$G1402=""),"※成本类支出没填项目",IF(AND(LEFT($F1402,3)="成本-",$H1402&lt;&gt;"",N($K1402)&gt;0,COUNTIFS(采购单!$B:$B,$B1402,采购单!$C:$C,$H1402,采购单!$L:$L,$K1402)&gt;0),"※这笔可能和采购单重复了",""))))))))))</f>
        <v/>
      </c>
    </row>
    <row r="1403">
      <c r="A1403" s="17">
        <f>IF($B1403="","",ROW()-3)</f>
        <v/>
      </c>
      <c r="B1403" s="18" t="n"/>
      <c r="C1403" s="13" t="n"/>
      <c r="D1403" s="13" t="n"/>
      <c r="E1403" s="13" t="n"/>
      <c r="F1403" s="17">
        <f>IF($E1403="","",IFERROR(VLOOKUP($E1403,类别归属,2,0),"※类别不在基础资料里"))</f>
        <v/>
      </c>
      <c r="G1403" s="13" t="n"/>
      <c r="H1403" s="13" t="n"/>
      <c r="I1403" s="13" t="n"/>
      <c r="J1403" s="14" t="n"/>
      <c r="K1403" s="14" t="n"/>
      <c r="L1403" s="19">
        <f>IF($C1403="","",ROUND(IFERROR(VLOOKUP($C1403,账户期初,2,0),0)+SUMIFS($J$4:J1403,$C$4:C1403,$C1403)-SUMIFS($K$4:K1403,$C$4:C1403,$C1403),2))</f>
        <v/>
      </c>
      <c r="M1403" s="19">
        <f>IF($C1403="","",ROUND(SUM(基础资料!$B$4:$B$13)+SUM($J$4:J1403)-SUM($K$4:K1403),2))</f>
        <v/>
      </c>
      <c r="N1403" s="13" t="n"/>
      <c r="O1403" s="13" t="n"/>
      <c r="P1403" s="17">
        <f>IF($B1403="","",IF($F1403="※类别不在基础资料里","※费用类别不在基础资料里",IF(AND(N($J1403)=0,N($K1403)=0),"※这行没填金额",IF(AND(N($J1403)&gt;0,N($K1403)&gt;0),"※收入和支出不能同一行都填",IF(AND($D1403="收入",N($J1403)=0),"※收入行要填收入金额",IF(AND($D1403="支出",N($K1403)=0),"※支出行要填支出金额",IF(AND($C1403&lt;&gt;"",ISNA(MATCH($C1403,账户表,0))),"※账户不在基础资料里",IF(AND($G1403&lt;&gt;"",ISNA(MATCH($G1403,项目名表,0))),"※项目不在项目台账里",IF(AND(LEFT($F1403,3)="成本-",$G1403=""),"※成本类支出没填项目",IF(AND(LEFT($F1403,3)="成本-",$H1403&lt;&gt;"",N($K1403)&gt;0,COUNTIFS(采购单!$B:$B,$B1403,采购单!$C:$C,$H1403,采购单!$L:$L,$K1403)&gt;0),"※这笔可能和采购单重复了",""))))))))))</f>
        <v/>
      </c>
    </row>
    <row r="1404">
      <c r="A1404" s="17">
        <f>IF($B1404="","",ROW()-3)</f>
        <v/>
      </c>
      <c r="B1404" s="18" t="n"/>
      <c r="C1404" s="13" t="n"/>
      <c r="D1404" s="13" t="n"/>
      <c r="E1404" s="13" t="n"/>
      <c r="F1404" s="17">
        <f>IF($E1404="","",IFERROR(VLOOKUP($E1404,类别归属,2,0),"※类别不在基础资料里"))</f>
        <v/>
      </c>
      <c r="G1404" s="13" t="n"/>
      <c r="H1404" s="13" t="n"/>
      <c r="I1404" s="13" t="n"/>
      <c r="J1404" s="14" t="n"/>
      <c r="K1404" s="14" t="n"/>
      <c r="L1404" s="19">
        <f>IF($C1404="","",ROUND(IFERROR(VLOOKUP($C1404,账户期初,2,0),0)+SUMIFS($J$4:J1404,$C$4:C1404,$C1404)-SUMIFS($K$4:K1404,$C$4:C1404,$C1404),2))</f>
        <v/>
      </c>
      <c r="M1404" s="19">
        <f>IF($C1404="","",ROUND(SUM(基础资料!$B$4:$B$13)+SUM($J$4:J1404)-SUM($K$4:K1404),2))</f>
        <v/>
      </c>
      <c r="N1404" s="13" t="n"/>
      <c r="O1404" s="13" t="n"/>
      <c r="P1404" s="17">
        <f>IF($B1404="","",IF($F1404="※类别不在基础资料里","※费用类别不在基础资料里",IF(AND(N($J1404)=0,N($K1404)=0),"※这行没填金额",IF(AND(N($J1404)&gt;0,N($K1404)&gt;0),"※收入和支出不能同一行都填",IF(AND($D1404="收入",N($J1404)=0),"※收入行要填收入金额",IF(AND($D1404="支出",N($K1404)=0),"※支出行要填支出金额",IF(AND($C1404&lt;&gt;"",ISNA(MATCH($C1404,账户表,0))),"※账户不在基础资料里",IF(AND($G1404&lt;&gt;"",ISNA(MATCH($G1404,项目名表,0))),"※项目不在项目台账里",IF(AND(LEFT($F1404,3)="成本-",$G1404=""),"※成本类支出没填项目",IF(AND(LEFT($F1404,3)="成本-",$H1404&lt;&gt;"",N($K1404)&gt;0,COUNTIFS(采购单!$B:$B,$B1404,采购单!$C:$C,$H1404,采购单!$L:$L,$K1404)&gt;0),"※这笔可能和采购单重复了",""))))))))))</f>
        <v/>
      </c>
    </row>
    <row r="1405">
      <c r="A1405" s="17">
        <f>IF($B1405="","",ROW()-3)</f>
        <v/>
      </c>
      <c r="B1405" s="18" t="n"/>
      <c r="C1405" s="13" t="n"/>
      <c r="D1405" s="13" t="n"/>
      <c r="E1405" s="13" t="n"/>
      <c r="F1405" s="17">
        <f>IF($E1405="","",IFERROR(VLOOKUP($E1405,类别归属,2,0),"※类别不在基础资料里"))</f>
        <v/>
      </c>
      <c r="G1405" s="13" t="n"/>
      <c r="H1405" s="13" t="n"/>
      <c r="I1405" s="13" t="n"/>
      <c r="J1405" s="14" t="n"/>
      <c r="K1405" s="14" t="n"/>
      <c r="L1405" s="19">
        <f>IF($C1405="","",ROUND(IFERROR(VLOOKUP($C1405,账户期初,2,0),0)+SUMIFS($J$4:J1405,$C$4:C1405,$C1405)-SUMIFS($K$4:K1405,$C$4:C1405,$C1405),2))</f>
        <v/>
      </c>
      <c r="M1405" s="19">
        <f>IF($C1405="","",ROUND(SUM(基础资料!$B$4:$B$13)+SUM($J$4:J1405)-SUM($K$4:K1405),2))</f>
        <v/>
      </c>
      <c r="N1405" s="13" t="n"/>
      <c r="O1405" s="13" t="n"/>
      <c r="P1405" s="17">
        <f>IF($B1405="","",IF($F1405="※类别不在基础资料里","※费用类别不在基础资料里",IF(AND(N($J1405)=0,N($K1405)=0),"※这行没填金额",IF(AND(N($J1405)&gt;0,N($K1405)&gt;0),"※收入和支出不能同一行都填",IF(AND($D1405="收入",N($J1405)=0),"※收入行要填收入金额",IF(AND($D1405="支出",N($K1405)=0),"※支出行要填支出金额",IF(AND($C1405&lt;&gt;"",ISNA(MATCH($C1405,账户表,0))),"※账户不在基础资料里",IF(AND($G1405&lt;&gt;"",ISNA(MATCH($G1405,项目名表,0))),"※项目不在项目台账里",IF(AND(LEFT($F1405,3)="成本-",$G1405=""),"※成本类支出没填项目",IF(AND(LEFT($F1405,3)="成本-",$H1405&lt;&gt;"",N($K1405)&gt;0,COUNTIFS(采购单!$B:$B,$B1405,采购单!$C:$C,$H1405,采购单!$L:$L,$K1405)&gt;0),"※这笔可能和采购单重复了",""))))))))))</f>
        <v/>
      </c>
    </row>
    <row r="1406">
      <c r="A1406" s="17">
        <f>IF($B1406="","",ROW()-3)</f>
        <v/>
      </c>
      <c r="B1406" s="18" t="n"/>
      <c r="C1406" s="13" t="n"/>
      <c r="D1406" s="13" t="n"/>
      <c r="E1406" s="13" t="n"/>
      <c r="F1406" s="17">
        <f>IF($E1406="","",IFERROR(VLOOKUP($E1406,类别归属,2,0),"※类别不在基础资料里"))</f>
        <v/>
      </c>
      <c r="G1406" s="13" t="n"/>
      <c r="H1406" s="13" t="n"/>
      <c r="I1406" s="13" t="n"/>
      <c r="J1406" s="14" t="n"/>
      <c r="K1406" s="14" t="n"/>
      <c r="L1406" s="19">
        <f>IF($C1406="","",ROUND(IFERROR(VLOOKUP($C1406,账户期初,2,0),0)+SUMIFS($J$4:J1406,$C$4:C1406,$C1406)-SUMIFS($K$4:K1406,$C$4:C1406,$C1406),2))</f>
        <v/>
      </c>
      <c r="M1406" s="19">
        <f>IF($C1406="","",ROUND(SUM(基础资料!$B$4:$B$13)+SUM($J$4:J1406)-SUM($K$4:K1406),2))</f>
        <v/>
      </c>
      <c r="N1406" s="13" t="n"/>
      <c r="O1406" s="13" t="n"/>
      <c r="P1406" s="17">
        <f>IF($B1406="","",IF($F1406="※类别不在基础资料里","※费用类别不在基础资料里",IF(AND(N($J1406)=0,N($K1406)=0),"※这行没填金额",IF(AND(N($J1406)&gt;0,N($K1406)&gt;0),"※收入和支出不能同一行都填",IF(AND($D1406="收入",N($J1406)=0),"※收入行要填收入金额",IF(AND($D1406="支出",N($K1406)=0),"※支出行要填支出金额",IF(AND($C1406&lt;&gt;"",ISNA(MATCH($C1406,账户表,0))),"※账户不在基础资料里",IF(AND($G1406&lt;&gt;"",ISNA(MATCH($G1406,项目名表,0))),"※项目不在项目台账里",IF(AND(LEFT($F1406,3)="成本-",$G1406=""),"※成本类支出没填项目",IF(AND(LEFT($F1406,3)="成本-",$H1406&lt;&gt;"",N($K1406)&gt;0,COUNTIFS(采购单!$B:$B,$B1406,采购单!$C:$C,$H1406,采购单!$L:$L,$K1406)&gt;0),"※这笔可能和采购单重复了",""))))))))))</f>
        <v/>
      </c>
    </row>
    <row r="1407">
      <c r="A1407" s="17">
        <f>IF($B1407="","",ROW()-3)</f>
        <v/>
      </c>
      <c r="B1407" s="18" t="n"/>
      <c r="C1407" s="13" t="n"/>
      <c r="D1407" s="13" t="n"/>
      <c r="E1407" s="13" t="n"/>
      <c r="F1407" s="17">
        <f>IF($E1407="","",IFERROR(VLOOKUP($E1407,类别归属,2,0),"※类别不在基础资料里"))</f>
        <v/>
      </c>
      <c r="G1407" s="13" t="n"/>
      <c r="H1407" s="13" t="n"/>
      <c r="I1407" s="13" t="n"/>
      <c r="J1407" s="14" t="n"/>
      <c r="K1407" s="14" t="n"/>
      <c r="L1407" s="19">
        <f>IF($C1407="","",ROUND(IFERROR(VLOOKUP($C1407,账户期初,2,0),0)+SUMIFS($J$4:J1407,$C$4:C1407,$C1407)-SUMIFS($K$4:K1407,$C$4:C1407,$C1407),2))</f>
        <v/>
      </c>
      <c r="M1407" s="19">
        <f>IF($C1407="","",ROUND(SUM(基础资料!$B$4:$B$13)+SUM($J$4:J1407)-SUM($K$4:K1407),2))</f>
        <v/>
      </c>
      <c r="N1407" s="13" t="n"/>
      <c r="O1407" s="13" t="n"/>
      <c r="P1407" s="17">
        <f>IF($B1407="","",IF($F1407="※类别不在基础资料里","※费用类别不在基础资料里",IF(AND(N($J1407)=0,N($K1407)=0),"※这行没填金额",IF(AND(N($J1407)&gt;0,N($K1407)&gt;0),"※收入和支出不能同一行都填",IF(AND($D1407="收入",N($J1407)=0),"※收入行要填收入金额",IF(AND($D1407="支出",N($K1407)=0),"※支出行要填支出金额",IF(AND($C1407&lt;&gt;"",ISNA(MATCH($C1407,账户表,0))),"※账户不在基础资料里",IF(AND($G1407&lt;&gt;"",ISNA(MATCH($G1407,项目名表,0))),"※项目不在项目台账里",IF(AND(LEFT($F1407,3)="成本-",$G1407=""),"※成本类支出没填项目",IF(AND(LEFT($F1407,3)="成本-",$H1407&lt;&gt;"",N($K1407)&gt;0,COUNTIFS(采购单!$B:$B,$B1407,采购单!$C:$C,$H1407,采购单!$L:$L,$K1407)&gt;0),"※这笔可能和采购单重复了",""))))))))))</f>
        <v/>
      </c>
    </row>
    <row r="1408">
      <c r="A1408" s="17">
        <f>IF($B1408="","",ROW()-3)</f>
        <v/>
      </c>
      <c r="B1408" s="18" t="n"/>
      <c r="C1408" s="13" t="n"/>
      <c r="D1408" s="13" t="n"/>
      <c r="E1408" s="13" t="n"/>
      <c r="F1408" s="17">
        <f>IF($E1408="","",IFERROR(VLOOKUP($E1408,类别归属,2,0),"※类别不在基础资料里"))</f>
        <v/>
      </c>
      <c r="G1408" s="13" t="n"/>
      <c r="H1408" s="13" t="n"/>
      <c r="I1408" s="13" t="n"/>
      <c r="J1408" s="14" t="n"/>
      <c r="K1408" s="14" t="n"/>
      <c r="L1408" s="19">
        <f>IF($C1408="","",ROUND(IFERROR(VLOOKUP($C1408,账户期初,2,0),0)+SUMIFS($J$4:J1408,$C$4:C1408,$C1408)-SUMIFS($K$4:K1408,$C$4:C1408,$C1408),2))</f>
        <v/>
      </c>
      <c r="M1408" s="19">
        <f>IF($C1408="","",ROUND(SUM(基础资料!$B$4:$B$13)+SUM($J$4:J1408)-SUM($K$4:K1408),2))</f>
        <v/>
      </c>
      <c r="N1408" s="13" t="n"/>
      <c r="O1408" s="13" t="n"/>
      <c r="P1408" s="17">
        <f>IF($B1408="","",IF($F1408="※类别不在基础资料里","※费用类别不在基础资料里",IF(AND(N($J1408)=0,N($K1408)=0),"※这行没填金额",IF(AND(N($J1408)&gt;0,N($K1408)&gt;0),"※收入和支出不能同一行都填",IF(AND($D1408="收入",N($J1408)=0),"※收入行要填收入金额",IF(AND($D1408="支出",N($K1408)=0),"※支出行要填支出金额",IF(AND($C1408&lt;&gt;"",ISNA(MATCH($C1408,账户表,0))),"※账户不在基础资料里",IF(AND($G1408&lt;&gt;"",ISNA(MATCH($G1408,项目名表,0))),"※项目不在项目台账里",IF(AND(LEFT($F1408,3)="成本-",$G1408=""),"※成本类支出没填项目",IF(AND(LEFT($F1408,3)="成本-",$H1408&lt;&gt;"",N($K1408)&gt;0,COUNTIFS(采购单!$B:$B,$B1408,采购单!$C:$C,$H1408,采购单!$L:$L,$K1408)&gt;0),"※这笔可能和采购单重复了",""))))))))))</f>
        <v/>
      </c>
    </row>
    <row r="1409">
      <c r="A1409" s="17">
        <f>IF($B1409="","",ROW()-3)</f>
        <v/>
      </c>
      <c r="B1409" s="18" t="n"/>
      <c r="C1409" s="13" t="n"/>
      <c r="D1409" s="13" t="n"/>
      <c r="E1409" s="13" t="n"/>
      <c r="F1409" s="17">
        <f>IF($E1409="","",IFERROR(VLOOKUP($E1409,类别归属,2,0),"※类别不在基础资料里"))</f>
        <v/>
      </c>
      <c r="G1409" s="13" t="n"/>
      <c r="H1409" s="13" t="n"/>
      <c r="I1409" s="13" t="n"/>
      <c r="J1409" s="14" t="n"/>
      <c r="K1409" s="14" t="n"/>
      <c r="L1409" s="19">
        <f>IF($C1409="","",ROUND(IFERROR(VLOOKUP($C1409,账户期初,2,0),0)+SUMIFS($J$4:J1409,$C$4:C1409,$C1409)-SUMIFS($K$4:K1409,$C$4:C1409,$C1409),2))</f>
        <v/>
      </c>
      <c r="M1409" s="19">
        <f>IF($C1409="","",ROUND(SUM(基础资料!$B$4:$B$13)+SUM($J$4:J1409)-SUM($K$4:K1409),2))</f>
        <v/>
      </c>
      <c r="N1409" s="13" t="n"/>
      <c r="O1409" s="13" t="n"/>
      <c r="P1409" s="17">
        <f>IF($B1409="","",IF($F1409="※类别不在基础资料里","※费用类别不在基础资料里",IF(AND(N($J1409)=0,N($K1409)=0),"※这行没填金额",IF(AND(N($J1409)&gt;0,N($K1409)&gt;0),"※收入和支出不能同一行都填",IF(AND($D1409="收入",N($J1409)=0),"※收入行要填收入金额",IF(AND($D1409="支出",N($K1409)=0),"※支出行要填支出金额",IF(AND($C1409&lt;&gt;"",ISNA(MATCH($C1409,账户表,0))),"※账户不在基础资料里",IF(AND($G1409&lt;&gt;"",ISNA(MATCH($G1409,项目名表,0))),"※项目不在项目台账里",IF(AND(LEFT($F1409,3)="成本-",$G1409=""),"※成本类支出没填项目",IF(AND(LEFT($F1409,3)="成本-",$H1409&lt;&gt;"",N($K1409)&gt;0,COUNTIFS(采购单!$B:$B,$B1409,采购单!$C:$C,$H1409,采购单!$L:$L,$K1409)&gt;0),"※这笔可能和采购单重复了",""))))))))))</f>
        <v/>
      </c>
    </row>
    <row r="1410">
      <c r="A1410" s="17">
        <f>IF($B1410="","",ROW()-3)</f>
        <v/>
      </c>
      <c r="B1410" s="18" t="n"/>
      <c r="C1410" s="13" t="n"/>
      <c r="D1410" s="13" t="n"/>
      <c r="E1410" s="13" t="n"/>
      <c r="F1410" s="17">
        <f>IF($E1410="","",IFERROR(VLOOKUP($E1410,类别归属,2,0),"※类别不在基础资料里"))</f>
        <v/>
      </c>
      <c r="G1410" s="13" t="n"/>
      <c r="H1410" s="13" t="n"/>
      <c r="I1410" s="13" t="n"/>
      <c r="J1410" s="14" t="n"/>
      <c r="K1410" s="14" t="n"/>
      <c r="L1410" s="19">
        <f>IF($C1410="","",ROUND(IFERROR(VLOOKUP($C1410,账户期初,2,0),0)+SUMIFS($J$4:J1410,$C$4:C1410,$C1410)-SUMIFS($K$4:K1410,$C$4:C1410,$C1410),2))</f>
        <v/>
      </c>
      <c r="M1410" s="19">
        <f>IF($C1410="","",ROUND(SUM(基础资料!$B$4:$B$13)+SUM($J$4:J1410)-SUM($K$4:K1410),2))</f>
        <v/>
      </c>
      <c r="N1410" s="13" t="n"/>
      <c r="O1410" s="13" t="n"/>
      <c r="P1410" s="17">
        <f>IF($B1410="","",IF($F1410="※类别不在基础资料里","※费用类别不在基础资料里",IF(AND(N($J1410)=0,N($K1410)=0),"※这行没填金额",IF(AND(N($J1410)&gt;0,N($K1410)&gt;0),"※收入和支出不能同一行都填",IF(AND($D1410="收入",N($J1410)=0),"※收入行要填收入金额",IF(AND($D1410="支出",N($K1410)=0),"※支出行要填支出金额",IF(AND($C1410&lt;&gt;"",ISNA(MATCH($C1410,账户表,0))),"※账户不在基础资料里",IF(AND($G1410&lt;&gt;"",ISNA(MATCH($G1410,项目名表,0))),"※项目不在项目台账里",IF(AND(LEFT($F1410,3)="成本-",$G1410=""),"※成本类支出没填项目",IF(AND(LEFT($F1410,3)="成本-",$H1410&lt;&gt;"",N($K1410)&gt;0,COUNTIFS(采购单!$B:$B,$B1410,采购单!$C:$C,$H1410,采购单!$L:$L,$K1410)&gt;0),"※这笔可能和采购单重复了",""))))))))))</f>
        <v/>
      </c>
    </row>
    <row r="1411">
      <c r="A1411" s="17">
        <f>IF($B1411="","",ROW()-3)</f>
        <v/>
      </c>
      <c r="B1411" s="18" t="n"/>
      <c r="C1411" s="13" t="n"/>
      <c r="D1411" s="13" t="n"/>
      <c r="E1411" s="13" t="n"/>
      <c r="F1411" s="17">
        <f>IF($E1411="","",IFERROR(VLOOKUP($E1411,类别归属,2,0),"※类别不在基础资料里"))</f>
        <v/>
      </c>
      <c r="G1411" s="13" t="n"/>
      <c r="H1411" s="13" t="n"/>
      <c r="I1411" s="13" t="n"/>
      <c r="J1411" s="14" t="n"/>
      <c r="K1411" s="14" t="n"/>
      <c r="L1411" s="19">
        <f>IF($C1411="","",ROUND(IFERROR(VLOOKUP($C1411,账户期初,2,0),0)+SUMIFS($J$4:J1411,$C$4:C1411,$C1411)-SUMIFS($K$4:K1411,$C$4:C1411,$C1411),2))</f>
        <v/>
      </c>
      <c r="M1411" s="19">
        <f>IF($C1411="","",ROUND(SUM(基础资料!$B$4:$B$13)+SUM($J$4:J1411)-SUM($K$4:K1411),2))</f>
        <v/>
      </c>
      <c r="N1411" s="13" t="n"/>
      <c r="O1411" s="13" t="n"/>
      <c r="P1411" s="17">
        <f>IF($B1411="","",IF($F1411="※类别不在基础资料里","※费用类别不在基础资料里",IF(AND(N($J1411)=0,N($K1411)=0),"※这行没填金额",IF(AND(N($J1411)&gt;0,N($K1411)&gt;0),"※收入和支出不能同一行都填",IF(AND($D1411="收入",N($J1411)=0),"※收入行要填收入金额",IF(AND($D1411="支出",N($K1411)=0),"※支出行要填支出金额",IF(AND($C1411&lt;&gt;"",ISNA(MATCH($C1411,账户表,0))),"※账户不在基础资料里",IF(AND($G1411&lt;&gt;"",ISNA(MATCH($G1411,项目名表,0))),"※项目不在项目台账里",IF(AND(LEFT($F1411,3)="成本-",$G1411=""),"※成本类支出没填项目",IF(AND(LEFT($F1411,3)="成本-",$H1411&lt;&gt;"",N($K1411)&gt;0,COUNTIFS(采购单!$B:$B,$B1411,采购单!$C:$C,$H1411,采购单!$L:$L,$K1411)&gt;0),"※这笔可能和采购单重复了",""))))))))))</f>
        <v/>
      </c>
    </row>
    <row r="1412">
      <c r="A1412" s="17">
        <f>IF($B1412="","",ROW()-3)</f>
        <v/>
      </c>
      <c r="B1412" s="18" t="n"/>
      <c r="C1412" s="13" t="n"/>
      <c r="D1412" s="13" t="n"/>
      <c r="E1412" s="13" t="n"/>
      <c r="F1412" s="17">
        <f>IF($E1412="","",IFERROR(VLOOKUP($E1412,类别归属,2,0),"※类别不在基础资料里"))</f>
        <v/>
      </c>
      <c r="G1412" s="13" t="n"/>
      <c r="H1412" s="13" t="n"/>
      <c r="I1412" s="13" t="n"/>
      <c r="J1412" s="14" t="n"/>
      <c r="K1412" s="14" t="n"/>
      <c r="L1412" s="19">
        <f>IF($C1412="","",ROUND(IFERROR(VLOOKUP($C1412,账户期初,2,0),0)+SUMIFS($J$4:J1412,$C$4:C1412,$C1412)-SUMIFS($K$4:K1412,$C$4:C1412,$C1412),2))</f>
        <v/>
      </c>
      <c r="M1412" s="19">
        <f>IF($C1412="","",ROUND(SUM(基础资料!$B$4:$B$13)+SUM($J$4:J1412)-SUM($K$4:K1412),2))</f>
        <v/>
      </c>
      <c r="N1412" s="13" t="n"/>
      <c r="O1412" s="13" t="n"/>
      <c r="P1412" s="17">
        <f>IF($B1412="","",IF($F1412="※类别不在基础资料里","※费用类别不在基础资料里",IF(AND(N($J1412)=0,N($K1412)=0),"※这行没填金额",IF(AND(N($J1412)&gt;0,N($K1412)&gt;0),"※收入和支出不能同一行都填",IF(AND($D1412="收入",N($J1412)=0),"※收入行要填收入金额",IF(AND($D1412="支出",N($K1412)=0),"※支出行要填支出金额",IF(AND($C1412&lt;&gt;"",ISNA(MATCH($C1412,账户表,0))),"※账户不在基础资料里",IF(AND($G1412&lt;&gt;"",ISNA(MATCH($G1412,项目名表,0))),"※项目不在项目台账里",IF(AND(LEFT($F1412,3)="成本-",$G1412=""),"※成本类支出没填项目",IF(AND(LEFT($F1412,3)="成本-",$H1412&lt;&gt;"",N($K1412)&gt;0,COUNTIFS(采购单!$B:$B,$B1412,采购单!$C:$C,$H1412,采购单!$L:$L,$K1412)&gt;0),"※这笔可能和采购单重复了",""))))))))))</f>
        <v/>
      </c>
    </row>
    <row r="1413">
      <c r="A1413" s="17">
        <f>IF($B1413="","",ROW()-3)</f>
        <v/>
      </c>
      <c r="B1413" s="18" t="n"/>
      <c r="C1413" s="13" t="n"/>
      <c r="D1413" s="13" t="n"/>
      <c r="E1413" s="13" t="n"/>
      <c r="F1413" s="17">
        <f>IF($E1413="","",IFERROR(VLOOKUP($E1413,类别归属,2,0),"※类别不在基础资料里"))</f>
        <v/>
      </c>
      <c r="G1413" s="13" t="n"/>
      <c r="H1413" s="13" t="n"/>
      <c r="I1413" s="13" t="n"/>
      <c r="J1413" s="14" t="n"/>
      <c r="K1413" s="14" t="n"/>
      <c r="L1413" s="19">
        <f>IF($C1413="","",ROUND(IFERROR(VLOOKUP($C1413,账户期初,2,0),0)+SUMIFS($J$4:J1413,$C$4:C1413,$C1413)-SUMIFS($K$4:K1413,$C$4:C1413,$C1413),2))</f>
        <v/>
      </c>
      <c r="M1413" s="19">
        <f>IF($C1413="","",ROUND(SUM(基础资料!$B$4:$B$13)+SUM($J$4:J1413)-SUM($K$4:K1413),2))</f>
        <v/>
      </c>
      <c r="N1413" s="13" t="n"/>
      <c r="O1413" s="13" t="n"/>
      <c r="P1413" s="17">
        <f>IF($B1413="","",IF($F1413="※类别不在基础资料里","※费用类别不在基础资料里",IF(AND(N($J1413)=0,N($K1413)=0),"※这行没填金额",IF(AND(N($J1413)&gt;0,N($K1413)&gt;0),"※收入和支出不能同一行都填",IF(AND($D1413="收入",N($J1413)=0),"※收入行要填收入金额",IF(AND($D1413="支出",N($K1413)=0),"※支出行要填支出金额",IF(AND($C1413&lt;&gt;"",ISNA(MATCH($C1413,账户表,0))),"※账户不在基础资料里",IF(AND($G1413&lt;&gt;"",ISNA(MATCH($G1413,项目名表,0))),"※项目不在项目台账里",IF(AND(LEFT($F1413,3)="成本-",$G1413=""),"※成本类支出没填项目",IF(AND(LEFT($F1413,3)="成本-",$H1413&lt;&gt;"",N($K1413)&gt;0,COUNTIFS(采购单!$B:$B,$B1413,采购单!$C:$C,$H1413,采购单!$L:$L,$K1413)&gt;0),"※这笔可能和采购单重复了",""))))))))))</f>
        <v/>
      </c>
    </row>
    <row r="1414">
      <c r="A1414" s="17">
        <f>IF($B1414="","",ROW()-3)</f>
        <v/>
      </c>
      <c r="B1414" s="18" t="n"/>
      <c r="C1414" s="13" t="n"/>
      <c r="D1414" s="13" t="n"/>
      <c r="E1414" s="13" t="n"/>
      <c r="F1414" s="17">
        <f>IF($E1414="","",IFERROR(VLOOKUP($E1414,类别归属,2,0),"※类别不在基础资料里"))</f>
        <v/>
      </c>
      <c r="G1414" s="13" t="n"/>
      <c r="H1414" s="13" t="n"/>
      <c r="I1414" s="13" t="n"/>
      <c r="J1414" s="14" t="n"/>
      <c r="K1414" s="14" t="n"/>
      <c r="L1414" s="19">
        <f>IF($C1414="","",ROUND(IFERROR(VLOOKUP($C1414,账户期初,2,0),0)+SUMIFS($J$4:J1414,$C$4:C1414,$C1414)-SUMIFS($K$4:K1414,$C$4:C1414,$C1414),2))</f>
        <v/>
      </c>
      <c r="M1414" s="19">
        <f>IF($C1414="","",ROUND(SUM(基础资料!$B$4:$B$13)+SUM($J$4:J1414)-SUM($K$4:K1414),2))</f>
        <v/>
      </c>
      <c r="N1414" s="13" t="n"/>
      <c r="O1414" s="13" t="n"/>
      <c r="P1414" s="17">
        <f>IF($B1414="","",IF($F1414="※类别不在基础资料里","※费用类别不在基础资料里",IF(AND(N($J1414)=0,N($K1414)=0),"※这行没填金额",IF(AND(N($J1414)&gt;0,N($K1414)&gt;0),"※收入和支出不能同一行都填",IF(AND($D1414="收入",N($J1414)=0),"※收入行要填收入金额",IF(AND($D1414="支出",N($K1414)=0),"※支出行要填支出金额",IF(AND($C1414&lt;&gt;"",ISNA(MATCH($C1414,账户表,0))),"※账户不在基础资料里",IF(AND($G1414&lt;&gt;"",ISNA(MATCH($G1414,项目名表,0))),"※项目不在项目台账里",IF(AND(LEFT($F1414,3)="成本-",$G1414=""),"※成本类支出没填项目",IF(AND(LEFT($F1414,3)="成本-",$H1414&lt;&gt;"",N($K1414)&gt;0,COUNTIFS(采购单!$B:$B,$B1414,采购单!$C:$C,$H1414,采购单!$L:$L,$K1414)&gt;0),"※这笔可能和采购单重复了",""))))))))))</f>
        <v/>
      </c>
    </row>
    <row r="1415">
      <c r="A1415" s="17">
        <f>IF($B1415="","",ROW()-3)</f>
        <v/>
      </c>
      <c r="B1415" s="18" t="n"/>
      <c r="C1415" s="13" t="n"/>
      <c r="D1415" s="13" t="n"/>
      <c r="E1415" s="13" t="n"/>
      <c r="F1415" s="17">
        <f>IF($E1415="","",IFERROR(VLOOKUP($E1415,类别归属,2,0),"※类别不在基础资料里"))</f>
        <v/>
      </c>
      <c r="G1415" s="13" t="n"/>
      <c r="H1415" s="13" t="n"/>
      <c r="I1415" s="13" t="n"/>
      <c r="J1415" s="14" t="n"/>
      <c r="K1415" s="14" t="n"/>
      <c r="L1415" s="19">
        <f>IF($C1415="","",ROUND(IFERROR(VLOOKUP($C1415,账户期初,2,0),0)+SUMIFS($J$4:J1415,$C$4:C1415,$C1415)-SUMIFS($K$4:K1415,$C$4:C1415,$C1415),2))</f>
        <v/>
      </c>
      <c r="M1415" s="19">
        <f>IF($C1415="","",ROUND(SUM(基础资料!$B$4:$B$13)+SUM($J$4:J1415)-SUM($K$4:K1415),2))</f>
        <v/>
      </c>
      <c r="N1415" s="13" t="n"/>
      <c r="O1415" s="13" t="n"/>
      <c r="P1415" s="17">
        <f>IF($B1415="","",IF($F1415="※类别不在基础资料里","※费用类别不在基础资料里",IF(AND(N($J1415)=0,N($K1415)=0),"※这行没填金额",IF(AND(N($J1415)&gt;0,N($K1415)&gt;0),"※收入和支出不能同一行都填",IF(AND($D1415="收入",N($J1415)=0),"※收入行要填收入金额",IF(AND($D1415="支出",N($K1415)=0),"※支出行要填支出金额",IF(AND($C1415&lt;&gt;"",ISNA(MATCH($C1415,账户表,0))),"※账户不在基础资料里",IF(AND($G1415&lt;&gt;"",ISNA(MATCH($G1415,项目名表,0))),"※项目不在项目台账里",IF(AND(LEFT($F1415,3)="成本-",$G1415=""),"※成本类支出没填项目",IF(AND(LEFT($F1415,3)="成本-",$H1415&lt;&gt;"",N($K1415)&gt;0,COUNTIFS(采购单!$B:$B,$B1415,采购单!$C:$C,$H1415,采购单!$L:$L,$K1415)&gt;0),"※这笔可能和采购单重复了",""))))))))))</f>
        <v/>
      </c>
    </row>
    <row r="1416">
      <c r="A1416" s="17">
        <f>IF($B1416="","",ROW()-3)</f>
        <v/>
      </c>
      <c r="B1416" s="18" t="n"/>
      <c r="C1416" s="13" t="n"/>
      <c r="D1416" s="13" t="n"/>
      <c r="E1416" s="13" t="n"/>
      <c r="F1416" s="17">
        <f>IF($E1416="","",IFERROR(VLOOKUP($E1416,类别归属,2,0),"※类别不在基础资料里"))</f>
        <v/>
      </c>
      <c r="G1416" s="13" t="n"/>
      <c r="H1416" s="13" t="n"/>
      <c r="I1416" s="13" t="n"/>
      <c r="J1416" s="14" t="n"/>
      <c r="K1416" s="14" t="n"/>
      <c r="L1416" s="19">
        <f>IF($C1416="","",ROUND(IFERROR(VLOOKUP($C1416,账户期初,2,0),0)+SUMIFS($J$4:J1416,$C$4:C1416,$C1416)-SUMIFS($K$4:K1416,$C$4:C1416,$C1416),2))</f>
        <v/>
      </c>
      <c r="M1416" s="19">
        <f>IF($C1416="","",ROUND(SUM(基础资料!$B$4:$B$13)+SUM($J$4:J1416)-SUM($K$4:K1416),2))</f>
        <v/>
      </c>
      <c r="N1416" s="13" t="n"/>
      <c r="O1416" s="13" t="n"/>
      <c r="P1416" s="17">
        <f>IF($B1416="","",IF($F1416="※类别不在基础资料里","※费用类别不在基础资料里",IF(AND(N($J1416)=0,N($K1416)=0),"※这行没填金额",IF(AND(N($J1416)&gt;0,N($K1416)&gt;0),"※收入和支出不能同一行都填",IF(AND($D1416="收入",N($J1416)=0),"※收入行要填收入金额",IF(AND($D1416="支出",N($K1416)=0),"※支出行要填支出金额",IF(AND($C1416&lt;&gt;"",ISNA(MATCH($C1416,账户表,0))),"※账户不在基础资料里",IF(AND($G1416&lt;&gt;"",ISNA(MATCH($G1416,项目名表,0))),"※项目不在项目台账里",IF(AND(LEFT($F1416,3)="成本-",$G1416=""),"※成本类支出没填项目",IF(AND(LEFT($F1416,3)="成本-",$H1416&lt;&gt;"",N($K1416)&gt;0,COUNTIFS(采购单!$B:$B,$B1416,采购单!$C:$C,$H1416,采购单!$L:$L,$K1416)&gt;0),"※这笔可能和采购单重复了",""))))))))))</f>
        <v/>
      </c>
    </row>
    <row r="1417">
      <c r="A1417" s="17">
        <f>IF($B1417="","",ROW()-3)</f>
        <v/>
      </c>
      <c r="B1417" s="18" t="n"/>
      <c r="C1417" s="13" t="n"/>
      <c r="D1417" s="13" t="n"/>
      <c r="E1417" s="13" t="n"/>
      <c r="F1417" s="17">
        <f>IF($E1417="","",IFERROR(VLOOKUP($E1417,类别归属,2,0),"※类别不在基础资料里"))</f>
        <v/>
      </c>
      <c r="G1417" s="13" t="n"/>
      <c r="H1417" s="13" t="n"/>
      <c r="I1417" s="13" t="n"/>
      <c r="J1417" s="14" t="n"/>
      <c r="K1417" s="14" t="n"/>
      <c r="L1417" s="19">
        <f>IF($C1417="","",ROUND(IFERROR(VLOOKUP($C1417,账户期初,2,0),0)+SUMIFS($J$4:J1417,$C$4:C1417,$C1417)-SUMIFS($K$4:K1417,$C$4:C1417,$C1417),2))</f>
        <v/>
      </c>
      <c r="M1417" s="19">
        <f>IF($C1417="","",ROUND(SUM(基础资料!$B$4:$B$13)+SUM($J$4:J1417)-SUM($K$4:K1417),2))</f>
        <v/>
      </c>
      <c r="N1417" s="13" t="n"/>
      <c r="O1417" s="13" t="n"/>
      <c r="P1417" s="17">
        <f>IF($B1417="","",IF($F1417="※类别不在基础资料里","※费用类别不在基础资料里",IF(AND(N($J1417)=0,N($K1417)=0),"※这行没填金额",IF(AND(N($J1417)&gt;0,N($K1417)&gt;0),"※收入和支出不能同一行都填",IF(AND($D1417="收入",N($J1417)=0),"※收入行要填收入金额",IF(AND($D1417="支出",N($K1417)=0),"※支出行要填支出金额",IF(AND($C1417&lt;&gt;"",ISNA(MATCH($C1417,账户表,0))),"※账户不在基础资料里",IF(AND($G1417&lt;&gt;"",ISNA(MATCH($G1417,项目名表,0))),"※项目不在项目台账里",IF(AND(LEFT($F1417,3)="成本-",$G1417=""),"※成本类支出没填项目",IF(AND(LEFT($F1417,3)="成本-",$H1417&lt;&gt;"",N($K1417)&gt;0,COUNTIFS(采购单!$B:$B,$B1417,采购单!$C:$C,$H1417,采购单!$L:$L,$K1417)&gt;0),"※这笔可能和采购单重复了",""))))))))))</f>
        <v/>
      </c>
    </row>
    <row r="1418">
      <c r="A1418" s="17">
        <f>IF($B1418="","",ROW()-3)</f>
        <v/>
      </c>
      <c r="B1418" s="18" t="n"/>
      <c r="C1418" s="13" t="n"/>
      <c r="D1418" s="13" t="n"/>
      <c r="E1418" s="13" t="n"/>
      <c r="F1418" s="17">
        <f>IF($E1418="","",IFERROR(VLOOKUP($E1418,类别归属,2,0),"※类别不在基础资料里"))</f>
        <v/>
      </c>
      <c r="G1418" s="13" t="n"/>
      <c r="H1418" s="13" t="n"/>
      <c r="I1418" s="13" t="n"/>
      <c r="J1418" s="14" t="n"/>
      <c r="K1418" s="14" t="n"/>
      <c r="L1418" s="19">
        <f>IF($C1418="","",ROUND(IFERROR(VLOOKUP($C1418,账户期初,2,0),0)+SUMIFS($J$4:J1418,$C$4:C1418,$C1418)-SUMIFS($K$4:K1418,$C$4:C1418,$C1418),2))</f>
        <v/>
      </c>
      <c r="M1418" s="19">
        <f>IF($C1418="","",ROUND(SUM(基础资料!$B$4:$B$13)+SUM($J$4:J1418)-SUM($K$4:K1418),2))</f>
        <v/>
      </c>
      <c r="N1418" s="13" t="n"/>
      <c r="O1418" s="13" t="n"/>
      <c r="P1418" s="17">
        <f>IF($B1418="","",IF($F1418="※类别不在基础资料里","※费用类别不在基础资料里",IF(AND(N($J1418)=0,N($K1418)=0),"※这行没填金额",IF(AND(N($J1418)&gt;0,N($K1418)&gt;0),"※收入和支出不能同一行都填",IF(AND($D1418="收入",N($J1418)=0),"※收入行要填收入金额",IF(AND($D1418="支出",N($K1418)=0),"※支出行要填支出金额",IF(AND($C1418&lt;&gt;"",ISNA(MATCH($C1418,账户表,0))),"※账户不在基础资料里",IF(AND($G1418&lt;&gt;"",ISNA(MATCH($G1418,项目名表,0))),"※项目不在项目台账里",IF(AND(LEFT($F1418,3)="成本-",$G1418=""),"※成本类支出没填项目",IF(AND(LEFT($F1418,3)="成本-",$H1418&lt;&gt;"",N($K1418)&gt;0,COUNTIFS(采购单!$B:$B,$B1418,采购单!$C:$C,$H1418,采购单!$L:$L,$K1418)&gt;0),"※这笔可能和采购单重复了",""))))))))))</f>
        <v/>
      </c>
    </row>
    <row r="1419">
      <c r="A1419" s="17">
        <f>IF($B1419="","",ROW()-3)</f>
        <v/>
      </c>
      <c r="B1419" s="18" t="n"/>
      <c r="C1419" s="13" t="n"/>
      <c r="D1419" s="13" t="n"/>
      <c r="E1419" s="13" t="n"/>
      <c r="F1419" s="17">
        <f>IF($E1419="","",IFERROR(VLOOKUP($E1419,类别归属,2,0),"※类别不在基础资料里"))</f>
        <v/>
      </c>
      <c r="G1419" s="13" t="n"/>
      <c r="H1419" s="13" t="n"/>
      <c r="I1419" s="13" t="n"/>
      <c r="J1419" s="14" t="n"/>
      <c r="K1419" s="14" t="n"/>
      <c r="L1419" s="19">
        <f>IF($C1419="","",ROUND(IFERROR(VLOOKUP($C1419,账户期初,2,0),0)+SUMIFS($J$4:J1419,$C$4:C1419,$C1419)-SUMIFS($K$4:K1419,$C$4:C1419,$C1419),2))</f>
        <v/>
      </c>
      <c r="M1419" s="19">
        <f>IF($C1419="","",ROUND(SUM(基础资料!$B$4:$B$13)+SUM($J$4:J1419)-SUM($K$4:K1419),2))</f>
        <v/>
      </c>
      <c r="N1419" s="13" t="n"/>
      <c r="O1419" s="13" t="n"/>
      <c r="P1419" s="17">
        <f>IF($B1419="","",IF($F1419="※类别不在基础资料里","※费用类别不在基础资料里",IF(AND(N($J1419)=0,N($K1419)=0),"※这行没填金额",IF(AND(N($J1419)&gt;0,N($K1419)&gt;0),"※收入和支出不能同一行都填",IF(AND($D1419="收入",N($J1419)=0),"※收入行要填收入金额",IF(AND($D1419="支出",N($K1419)=0),"※支出行要填支出金额",IF(AND($C1419&lt;&gt;"",ISNA(MATCH($C1419,账户表,0))),"※账户不在基础资料里",IF(AND($G1419&lt;&gt;"",ISNA(MATCH($G1419,项目名表,0))),"※项目不在项目台账里",IF(AND(LEFT($F1419,3)="成本-",$G1419=""),"※成本类支出没填项目",IF(AND(LEFT($F1419,3)="成本-",$H1419&lt;&gt;"",N($K1419)&gt;0,COUNTIFS(采购单!$B:$B,$B1419,采购单!$C:$C,$H1419,采购单!$L:$L,$K1419)&gt;0),"※这笔可能和采购单重复了",""))))))))))</f>
        <v/>
      </c>
    </row>
    <row r="1420">
      <c r="A1420" s="17">
        <f>IF($B1420="","",ROW()-3)</f>
        <v/>
      </c>
      <c r="B1420" s="18" t="n"/>
      <c r="C1420" s="13" t="n"/>
      <c r="D1420" s="13" t="n"/>
      <c r="E1420" s="13" t="n"/>
      <c r="F1420" s="17">
        <f>IF($E1420="","",IFERROR(VLOOKUP($E1420,类别归属,2,0),"※类别不在基础资料里"))</f>
        <v/>
      </c>
      <c r="G1420" s="13" t="n"/>
      <c r="H1420" s="13" t="n"/>
      <c r="I1420" s="13" t="n"/>
      <c r="J1420" s="14" t="n"/>
      <c r="K1420" s="14" t="n"/>
      <c r="L1420" s="19">
        <f>IF($C1420="","",ROUND(IFERROR(VLOOKUP($C1420,账户期初,2,0),0)+SUMIFS($J$4:J1420,$C$4:C1420,$C1420)-SUMIFS($K$4:K1420,$C$4:C1420,$C1420),2))</f>
        <v/>
      </c>
      <c r="M1420" s="19">
        <f>IF($C1420="","",ROUND(SUM(基础资料!$B$4:$B$13)+SUM($J$4:J1420)-SUM($K$4:K1420),2))</f>
        <v/>
      </c>
      <c r="N1420" s="13" t="n"/>
      <c r="O1420" s="13" t="n"/>
      <c r="P1420" s="17">
        <f>IF($B1420="","",IF($F1420="※类别不在基础资料里","※费用类别不在基础资料里",IF(AND(N($J1420)=0,N($K1420)=0),"※这行没填金额",IF(AND(N($J1420)&gt;0,N($K1420)&gt;0),"※收入和支出不能同一行都填",IF(AND($D1420="收入",N($J1420)=0),"※收入行要填收入金额",IF(AND($D1420="支出",N($K1420)=0),"※支出行要填支出金额",IF(AND($C1420&lt;&gt;"",ISNA(MATCH($C1420,账户表,0))),"※账户不在基础资料里",IF(AND($G1420&lt;&gt;"",ISNA(MATCH($G1420,项目名表,0))),"※项目不在项目台账里",IF(AND(LEFT($F1420,3)="成本-",$G1420=""),"※成本类支出没填项目",IF(AND(LEFT($F1420,3)="成本-",$H1420&lt;&gt;"",N($K1420)&gt;0,COUNTIFS(采购单!$B:$B,$B1420,采购单!$C:$C,$H1420,采购单!$L:$L,$K1420)&gt;0),"※这笔可能和采购单重复了",""))))))))))</f>
        <v/>
      </c>
    </row>
    <row r="1421">
      <c r="A1421" s="17">
        <f>IF($B1421="","",ROW()-3)</f>
        <v/>
      </c>
      <c r="B1421" s="18" t="n"/>
      <c r="C1421" s="13" t="n"/>
      <c r="D1421" s="13" t="n"/>
      <c r="E1421" s="13" t="n"/>
      <c r="F1421" s="17">
        <f>IF($E1421="","",IFERROR(VLOOKUP($E1421,类别归属,2,0),"※类别不在基础资料里"))</f>
        <v/>
      </c>
      <c r="G1421" s="13" t="n"/>
      <c r="H1421" s="13" t="n"/>
      <c r="I1421" s="13" t="n"/>
      <c r="J1421" s="14" t="n"/>
      <c r="K1421" s="14" t="n"/>
      <c r="L1421" s="19">
        <f>IF($C1421="","",ROUND(IFERROR(VLOOKUP($C1421,账户期初,2,0),0)+SUMIFS($J$4:J1421,$C$4:C1421,$C1421)-SUMIFS($K$4:K1421,$C$4:C1421,$C1421),2))</f>
        <v/>
      </c>
      <c r="M1421" s="19">
        <f>IF($C1421="","",ROUND(SUM(基础资料!$B$4:$B$13)+SUM($J$4:J1421)-SUM($K$4:K1421),2))</f>
        <v/>
      </c>
      <c r="N1421" s="13" t="n"/>
      <c r="O1421" s="13" t="n"/>
      <c r="P1421" s="17">
        <f>IF($B1421="","",IF($F1421="※类别不在基础资料里","※费用类别不在基础资料里",IF(AND(N($J1421)=0,N($K1421)=0),"※这行没填金额",IF(AND(N($J1421)&gt;0,N($K1421)&gt;0),"※收入和支出不能同一行都填",IF(AND($D1421="收入",N($J1421)=0),"※收入行要填收入金额",IF(AND($D1421="支出",N($K1421)=0),"※支出行要填支出金额",IF(AND($C1421&lt;&gt;"",ISNA(MATCH($C1421,账户表,0))),"※账户不在基础资料里",IF(AND($G1421&lt;&gt;"",ISNA(MATCH($G1421,项目名表,0))),"※项目不在项目台账里",IF(AND(LEFT($F1421,3)="成本-",$G1421=""),"※成本类支出没填项目",IF(AND(LEFT($F1421,3)="成本-",$H1421&lt;&gt;"",N($K1421)&gt;0,COUNTIFS(采购单!$B:$B,$B1421,采购单!$C:$C,$H1421,采购单!$L:$L,$K1421)&gt;0),"※这笔可能和采购单重复了",""))))))))))</f>
        <v/>
      </c>
    </row>
    <row r="1422">
      <c r="A1422" s="17">
        <f>IF($B1422="","",ROW()-3)</f>
        <v/>
      </c>
      <c r="B1422" s="18" t="n"/>
      <c r="C1422" s="13" t="n"/>
      <c r="D1422" s="13" t="n"/>
      <c r="E1422" s="13" t="n"/>
      <c r="F1422" s="17">
        <f>IF($E1422="","",IFERROR(VLOOKUP($E1422,类别归属,2,0),"※类别不在基础资料里"))</f>
        <v/>
      </c>
      <c r="G1422" s="13" t="n"/>
      <c r="H1422" s="13" t="n"/>
      <c r="I1422" s="13" t="n"/>
      <c r="J1422" s="14" t="n"/>
      <c r="K1422" s="14" t="n"/>
      <c r="L1422" s="19">
        <f>IF($C1422="","",ROUND(IFERROR(VLOOKUP($C1422,账户期初,2,0),0)+SUMIFS($J$4:J1422,$C$4:C1422,$C1422)-SUMIFS($K$4:K1422,$C$4:C1422,$C1422),2))</f>
        <v/>
      </c>
      <c r="M1422" s="19">
        <f>IF($C1422="","",ROUND(SUM(基础资料!$B$4:$B$13)+SUM($J$4:J1422)-SUM($K$4:K1422),2))</f>
        <v/>
      </c>
      <c r="N1422" s="13" t="n"/>
      <c r="O1422" s="13" t="n"/>
      <c r="P1422" s="17">
        <f>IF($B1422="","",IF($F1422="※类别不在基础资料里","※费用类别不在基础资料里",IF(AND(N($J1422)=0,N($K1422)=0),"※这行没填金额",IF(AND(N($J1422)&gt;0,N($K1422)&gt;0),"※收入和支出不能同一行都填",IF(AND($D1422="收入",N($J1422)=0),"※收入行要填收入金额",IF(AND($D1422="支出",N($K1422)=0),"※支出行要填支出金额",IF(AND($C1422&lt;&gt;"",ISNA(MATCH($C1422,账户表,0))),"※账户不在基础资料里",IF(AND($G1422&lt;&gt;"",ISNA(MATCH($G1422,项目名表,0))),"※项目不在项目台账里",IF(AND(LEFT($F1422,3)="成本-",$G1422=""),"※成本类支出没填项目",IF(AND(LEFT($F1422,3)="成本-",$H1422&lt;&gt;"",N($K1422)&gt;0,COUNTIFS(采购单!$B:$B,$B1422,采购单!$C:$C,$H1422,采购单!$L:$L,$K1422)&gt;0),"※这笔可能和采购单重复了",""))))))))))</f>
        <v/>
      </c>
    </row>
    <row r="1423">
      <c r="A1423" s="17">
        <f>IF($B1423="","",ROW()-3)</f>
        <v/>
      </c>
      <c r="B1423" s="18" t="n"/>
      <c r="C1423" s="13" t="n"/>
      <c r="D1423" s="13" t="n"/>
      <c r="E1423" s="13" t="n"/>
      <c r="F1423" s="17">
        <f>IF($E1423="","",IFERROR(VLOOKUP($E1423,类别归属,2,0),"※类别不在基础资料里"))</f>
        <v/>
      </c>
      <c r="G1423" s="13" t="n"/>
      <c r="H1423" s="13" t="n"/>
      <c r="I1423" s="13" t="n"/>
      <c r="J1423" s="14" t="n"/>
      <c r="K1423" s="14" t="n"/>
      <c r="L1423" s="19">
        <f>IF($C1423="","",ROUND(IFERROR(VLOOKUP($C1423,账户期初,2,0),0)+SUMIFS($J$4:J1423,$C$4:C1423,$C1423)-SUMIFS($K$4:K1423,$C$4:C1423,$C1423),2))</f>
        <v/>
      </c>
      <c r="M1423" s="19">
        <f>IF($C1423="","",ROUND(SUM(基础资料!$B$4:$B$13)+SUM($J$4:J1423)-SUM($K$4:K1423),2))</f>
        <v/>
      </c>
      <c r="N1423" s="13" t="n"/>
      <c r="O1423" s="13" t="n"/>
      <c r="P1423" s="17">
        <f>IF($B1423="","",IF($F1423="※类别不在基础资料里","※费用类别不在基础资料里",IF(AND(N($J1423)=0,N($K1423)=0),"※这行没填金额",IF(AND(N($J1423)&gt;0,N($K1423)&gt;0),"※收入和支出不能同一行都填",IF(AND($D1423="收入",N($J1423)=0),"※收入行要填收入金额",IF(AND($D1423="支出",N($K1423)=0),"※支出行要填支出金额",IF(AND($C1423&lt;&gt;"",ISNA(MATCH($C1423,账户表,0))),"※账户不在基础资料里",IF(AND($G1423&lt;&gt;"",ISNA(MATCH($G1423,项目名表,0))),"※项目不在项目台账里",IF(AND(LEFT($F1423,3)="成本-",$G1423=""),"※成本类支出没填项目",IF(AND(LEFT($F1423,3)="成本-",$H1423&lt;&gt;"",N($K1423)&gt;0,COUNTIFS(采购单!$B:$B,$B1423,采购单!$C:$C,$H1423,采购单!$L:$L,$K1423)&gt;0),"※这笔可能和采购单重复了",""))))))))))</f>
        <v/>
      </c>
    </row>
    <row r="1424">
      <c r="A1424" s="17">
        <f>IF($B1424="","",ROW()-3)</f>
        <v/>
      </c>
      <c r="B1424" s="18" t="n"/>
      <c r="C1424" s="13" t="n"/>
      <c r="D1424" s="13" t="n"/>
      <c r="E1424" s="13" t="n"/>
      <c r="F1424" s="17">
        <f>IF($E1424="","",IFERROR(VLOOKUP($E1424,类别归属,2,0),"※类别不在基础资料里"))</f>
        <v/>
      </c>
      <c r="G1424" s="13" t="n"/>
      <c r="H1424" s="13" t="n"/>
      <c r="I1424" s="13" t="n"/>
      <c r="J1424" s="14" t="n"/>
      <c r="K1424" s="14" t="n"/>
      <c r="L1424" s="19">
        <f>IF($C1424="","",ROUND(IFERROR(VLOOKUP($C1424,账户期初,2,0),0)+SUMIFS($J$4:J1424,$C$4:C1424,$C1424)-SUMIFS($K$4:K1424,$C$4:C1424,$C1424),2))</f>
        <v/>
      </c>
      <c r="M1424" s="19">
        <f>IF($C1424="","",ROUND(SUM(基础资料!$B$4:$B$13)+SUM($J$4:J1424)-SUM($K$4:K1424),2))</f>
        <v/>
      </c>
      <c r="N1424" s="13" t="n"/>
      <c r="O1424" s="13" t="n"/>
      <c r="P1424" s="17">
        <f>IF($B1424="","",IF($F1424="※类别不在基础资料里","※费用类别不在基础资料里",IF(AND(N($J1424)=0,N($K1424)=0),"※这行没填金额",IF(AND(N($J1424)&gt;0,N($K1424)&gt;0),"※收入和支出不能同一行都填",IF(AND($D1424="收入",N($J1424)=0),"※收入行要填收入金额",IF(AND($D1424="支出",N($K1424)=0),"※支出行要填支出金额",IF(AND($C1424&lt;&gt;"",ISNA(MATCH($C1424,账户表,0))),"※账户不在基础资料里",IF(AND($G1424&lt;&gt;"",ISNA(MATCH($G1424,项目名表,0))),"※项目不在项目台账里",IF(AND(LEFT($F1424,3)="成本-",$G1424=""),"※成本类支出没填项目",IF(AND(LEFT($F1424,3)="成本-",$H1424&lt;&gt;"",N($K1424)&gt;0,COUNTIFS(采购单!$B:$B,$B1424,采购单!$C:$C,$H1424,采购单!$L:$L,$K1424)&gt;0),"※这笔可能和采购单重复了",""))))))))))</f>
        <v/>
      </c>
    </row>
    <row r="1425">
      <c r="A1425" s="17">
        <f>IF($B1425="","",ROW()-3)</f>
        <v/>
      </c>
      <c r="B1425" s="18" t="n"/>
      <c r="C1425" s="13" t="n"/>
      <c r="D1425" s="13" t="n"/>
      <c r="E1425" s="13" t="n"/>
      <c r="F1425" s="17">
        <f>IF($E1425="","",IFERROR(VLOOKUP($E1425,类别归属,2,0),"※类别不在基础资料里"))</f>
        <v/>
      </c>
      <c r="G1425" s="13" t="n"/>
      <c r="H1425" s="13" t="n"/>
      <c r="I1425" s="13" t="n"/>
      <c r="J1425" s="14" t="n"/>
      <c r="K1425" s="14" t="n"/>
      <c r="L1425" s="19">
        <f>IF($C1425="","",ROUND(IFERROR(VLOOKUP($C1425,账户期初,2,0),0)+SUMIFS($J$4:J1425,$C$4:C1425,$C1425)-SUMIFS($K$4:K1425,$C$4:C1425,$C1425),2))</f>
        <v/>
      </c>
      <c r="M1425" s="19">
        <f>IF($C1425="","",ROUND(SUM(基础资料!$B$4:$B$13)+SUM($J$4:J1425)-SUM($K$4:K1425),2))</f>
        <v/>
      </c>
      <c r="N1425" s="13" t="n"/>
      <c r="O1425" s="13" t="n"/>
      <c r="P1425" s="17">
        <f>IF($B1425="","",IF($F1425="※类别不在基础资料里","※费用类别不在基础资料里",IF(AND(N($J1425)=0,N($K1425)=0),"※这行没填金额",IF(AND(N($J1425)&gt;0,N($K1425)&gt;0),"※收入和支出不能同一行都填",IF(AND($D1425="收入",N($J1425)=0),"※收入行要填收入金额",IF(AND($D1425="支出",N($K1425)=0),"※支出行要填支出金额",IF(AND($C1425&lt;&gt;"",ISNA(MATCH($C1425,账户表,0))),"※账户不在基础资料里",IF(AND($G1425&lt;&gt;"",ISNA(MATCH($G1425,项目名表,0))),"※项目不在项目台账里",IF(AND(LEFT($F1425,3)="成本-",$G1425=""),"※成本类支出没填项目",IF(AND(LEFT($F1425,3)="成本-",$H1425&lt;&gt;"",N($K1425)&gt;0,COUNTIFS(采购单!$B:$B,$B1425,采购单!$C:$C,$H1425,采购单!$L:$L,$K1425)&gt;0),"※这笔可能和采购单重复了",""))))))))))</f>
        <v/>
      </c>
    </row>
    <row r="1426">
      <c r="A1426" s="17">
        <f>IF($B1426="","",ROW()-3)</f>
        <v/>
      </c>
      <c r="B1426" s="18" t="n"/>
      <c r="C1426" s="13" t="n"/>
      <c r="D1426" s="13" t="n"/>
      <c r="E1426" s="13" t="n"/>
      <c r="F1426" s="17">
        <f>IF($E1426="","",IFERROR(VLOOKUP($E1426,类别归属,2,0),"※类别不在基础资料里"))</f>
        <v/>
      </c>
      <c r="G1426" s="13" t="n"/>
      <c r="H1426" s="13" t="n"/>
      <c r="I1426" s="13" t="n"/>
      <c r="J1426" s="14" t="n"/>
      <c r="K1426" s="14" t="n"/>
      <c r="L1426" s="19">
        <f>IF($C1426="","",ROUND(IFERROR(VLOOKUP($C1426,账户期初,2,0),0)+SUMIFS($J$4:J1426,$C$4:C1426,$C1426)-SUMIFS($K$4:K1426,$C$4:C1426,$C1426),2))</f>
        <v/>
      </c>
      <c r="M1426" s="19">
        <f>IF($C1426="","",ROUND(SUM(基础资料!$B$4:$B$13)+SUM($J$4:J1426)-SUM($K$4:K1426),2))</f>
        <v/>
      </c>
      <c r="N1426" s="13" t="n"/>
      <c r="O1426" s="13" t="n"/>
      <c r="P1426" s="17">
        <f>IF($B1426="","",IF($F1426="※类别不在基础资料里","※费用类别不在基础资料里",IF(AND(N($J1426)=0,N($K1426)=0),"※这行没填金额",IF(AND(N($J1426)&gt;0,N($K1426)&gt;0),"※收入和支出不能同一行都填",IF(AND($D1426="收入",N($J1426)=0),"※收入行要填收入金额",IF(AND($D1426="支出",N($K1426)=0),"※支出行要填支出金额",IF(AND($C1426&lt;&gt;"",ISNA(MATCH($C1426,账户表,0))),"※账户不在基础资料里",IF(AND($G1426&lt;&gt;"",ISNA(MATCH($G1426,项目名表,0))),"※项目不在项目台账里",IF(AND(LEFT($F1426,3)="成本-",$G1426=""),"※成本类支出没填项目",IF(AND(LEFT($F1426,3)="成本-",$H1426&lt;&gt;"",N($K1426)&gt;0,COUNTIFS(采购单!$B:$B,$B1426,采购单!$C:$C,$H1426,采购单!$L:$L,$K1426)&gt;0),"※这笔可能和采购单重复了",""))))))))))</f>
        <v/>
      </c>
    </row>
    <row r="1427">
      <c r="A1427" s="17">
        <f>IF($B1427="","",ROW()-3)</f>
        <v/>
      </c>
      <c r="B1427" s="18" t="n"/>
      <c r="C1427" s="13" t="n"/>
      <c r="D1427" s="13" t="n"/>
      <c r="E1427" s="13" t="n"/>
      <c r="F1427" s="17">
        <f>IF($E1427="","",IFERROR(VLOOKUP($E1427,类别归属,2,0),"※类别不在基础资料里"))</f>
        <v/>
      </c>
      <c r="G1427" s="13" t="n"/>
      <c r="H1427" s="13" t="n"/>
      <c r="I1427" s="13" t="n"/>
      <c r="J1427" s="14" t="n"/>
      <c r="K1427" s="14" t="n"/>
      <c r="L1427" s="19">
        <f>IF($C1427="","",ROUND(IFERROR(VLOOKUP($C1427,账户期初,2,0),0)+SUMIFS($J$4:J1427,$C$4:C1427,$C1427)-SUMIFS($K$4:K1427,$C$4:C1427,$C1427),2))</f>
        <v/>
      </c>
      <c r="M1427" s="19">
        <f>IF($C1427="","",ROUND(SUM(基础资料!$B$4:$B$13)+SUM($J$4:J1427)-SUM($K$4:K1427),2))</f>
        <v/>
      </c>
      <c r="N1427" s="13" t="n"/>
      <c r="O1427" s="13" t="n"/>
      <c r="P1427" s="17">
        <f>IF($B1427="","",IF($F1427="※类别不在基础资料里","※费用类别不在基础资料里",IF(AND(N($J1427)=0,N($K1427)=0),"※这行没填金额",IF(AND(N($J1427)&gt;0,N($K1427)&gt;0),"※收入和支出不能同一行都填",IF(AND($D1427="收入",N($J1427)=0),"※收入行要填收入金额",IF(AND($D1427="支出",N($K1427)=0),"※支出行要填支出金额",IF(AND($C1427&lt;&gt;"",ISNA(MATCH($C1427,账户表,0))),"※账户不在基础资料里",IF(AND($G1427&lt;&gt;"",ISNA(MATCH($G1427,项目名表,0))),"※项目不在项目台账里",IF(AND(LEFT($F1427,3)="成本-",$G1427=""),"※成本类支出没填项目",IF(AND(LEFT($F1427,3)="成本-",$H1427&lt;&gt;"",N($K1427)&gt;0,COUNTIFS(采购单!$B:$B,$B1427,采购单!$C:$C,$H1427,采购单!$L:$L,$K1427)&gt;0),"※这笔可能和采购单重复了",""))))))))))</f>
        <v/>
      </c>
    </row>
    <row r="1428">
      <c r="A1428" s="17">
        <f>IF($B1428="","",ROW()-3)</f>
        <v/>
      </c>
      <c r="B1428" s="18" t="n"/>
      <c r="C1428" s="13" t="n"/>
      <c r="D1428" s="13" t="n"/>
      <c r="E1428" s="13" t="n"/>
      <c r="F1428" s="17">
        <f>IF($E1428="","",IFERROR(VLOOKUP($E1428,类别归属,2,0),"※类别不在基础资料里"))</f>
        <v/>
      </c>
      <c r="G1428" s="13" t="n"/>
      <c r="H1428" s="13" t="n"/>
      <c r="I1428" s="13" t="n"/>
      <c r="J1428" s="14" t="n"/>
      <c r="K1428" s="14" t="n"/>
      <c r="L1428" s="19">
        <f>IF($C1428="","",ROUND(IFERROR(VLOOKUP($C1428,账户期初,2,0),0)+SUMIFS($J$4:J1428,$C$4:C1428,$C1428)-SUMIFS($K$4:K1428,$C$4:C1428,$C1428),2))</f>
        <v/>
      </c>
      <c r="M1428" s="19">
        <f>IF($C1428="","",ROUND(SUM(基础资料!$B$4:$B$13)+SUM($J$4:J1428)-SUM($K$4:K1428),2))</f>
        <v/>
      </c>
      <c r="N1428" s="13" t="n"/>
      <c r="O1428" s="13" t="n"/>
      <c r="P1428" s="17">
        <f>IF($B1428="","",IF($F1428="※类别不在基础资料里","※费用类别不在基础资料里",IF(AND(N($J1428)=0,N($K1428)=0),"※这行没填金额",IF(AND(N($J1428)&gt;0,N($K1428)&gt;0),"※收入和支出不能同一行都填",IF(AND($D1428="收入",N($J1428)=0),"※收入行要填收入金额",IF(AND($D1428="支出",N($K1428)=0),"※支出行要填支出金额",IF(AND($C1428&lt;&gt;"",ISNA(MATCH($C1428,账户表,0))),"※账户不在基础资料里",IF(AND($G1428&lt;&gt;"",ISNA(MATCH($G1428,项目名表,0))),"※项目不在项目台账里",IF(AND(LEFT($F1428,3)="成本-",$G1428=""),"※成本类支出没填项目",IF(AND(LEFT($F1428,3)="成本-",$H1428&lt;&gt;"",N($K1428)&gt;0,COUNTIFS(采购单!$B:$B,$B1428,采购单!$C:$C,$H1428,采购单!$L:$L,$K1428)&gt;0),"※这笔可能和采购单重复了",""))))))))))</f>
        <v/>
      </c>
    </row>
    <row r="1429">
      <c r="A1429" s="17">
        <f>IF($B1429="","",ROW()-3)</f>
        <v/>
      </c>
      <c r="B1429" s="18" t="n"/>
      <c r="C1429" s="13" t="n"/>
      <c r="D1429" s="13" t="n"/>
      <c r="E1429" s="13" t="n"/>
      <c r="F1429" s="17">
        <f>IF($E1429="","",IFERROR(VLOOKUP($E1429,类别归属,2,0),"※类别不在基础资料里"))</f>
        <v/>
      </c>
      <c r="G1429" s="13" t="n"/>
      <c r="H1429" s="13" t="n"/>
      <c r="I1429" s="13" t="n"/>
      <c r="J1429" s="14" t="n"/>
      <c r="K1429" s="14" t="n"/>
      <c r="L1429" s="19">
        <f>IF($C1429="","",ROUND(IFERROR(VLOOKUP($C1429,账户期初,2,0),0)+SUMIFS($J$4:J1429,$C$4:C1429,$C1429)-SUMIFS($K$4:K1429,$C$4:C1429,$C1429),2))</f>
        <v/>
      </c>
      <c r="M1429" s="19">
        <f>IF($C1429="","",ROUND(SUM(基础资料!$B$4:$B$13)+SUM($J$4:J1429)-SUM($K$4:K1429),2))</f>
        <v/>
      </c>
      <c r="N1429" s="13" t="n"/>
      <c r="O1429" s="13" t="n"/>
      <c r="P1429" s="17">
        <f>IF($B1429="","",IF($F1429="※类别不在基础资料里","※费用类别不在基础资料里",IF(AND(N($J1429)=0,N($K1429)=0),"※这行没填金额",IF(AND(N($J1429)&gt;0,N($K1429)&gt;0),"※收入和支出不能同一行都填",IF(AND($D1429="收入",N($J1429)=0),"※收入行要填收入金额",IF(AND($D1429="支出",N($K1429)=0),"※支出行要填支出金额",IF(AND($C1429&lt;&gt;"",ISNA(MATCH($C1429,账户表,0))),"※账户不在基础资料里",IF(AND($G1429&lt;&gt;"",ISNA(MATCH($G1429,项目名表,0))),"※项目不在项目台账里",IF(AND(LEFT($F1429,3)="成本-",$G1429=""),"※成本类支出没填项目",IF(AND(LEFT($F1429,3)="成本-",$H1429&lt;&gt;"",N($K1429)&gt;0,COUNTIFS(采购单!$B:$B,$B1429,采购单!$C:$C,$H1429,采购单!$L:$L,$K1429)&gt;0),"※这笔可能和采购单重复了",""))))))))))</f>
        <v/>
      </c>
    </row>
    <row r="1430">
      <c r="A1430" s="17">
        <f>IF($B1430="","",ROW()-3)</f>
        <v/>
      </c>
      <c r="B1430" s="18" t="n"/>
      <c r="C1430" s="13" t="n"/>
      <c r="D1430" s="13" t="n"/>
      <c r="E1430" s="13" t="n"/>
      <c r="F1430" s="17">
        <f>IF($E1430="","",IFERROR(VLOOKUP($E1430,类别归属,2,0),"※类别不在基础资料里"))</f>
        <v/>
      </c>
      <c r="G1430" s="13" t="n"/>
      <c r="H1430" s="13" t="n"/>
      <c r="I1430" s="13" t="n"/>
      <c r="J1430" s="14" t="n"/>
      <c r="K1430" s="14" t="n"/>
      <c r="L1430" s="19">
        <f>IF($C1430="","",ROUND(IFERROR(VLOOKUP($C1430,账户期初,2,0),0)+SUMIFS($J$4:J1430,$C$4:C1430,$C1430)-SUMIFS($K$4:K1430,$C$4:C1430,$C1430),2))</f>
        <v/>
      </c>
      <c r="M1430" s="19">
        <f>IF($C1430="","",ROUND(SUM(基础资料!$B$4:$B$13)+SUM($J$4:J1430)-SUM($K$4:K1430),2))</f>
        <v/>
      </c>
      <c r="N1430" s="13" t="n"/>
      <c r="O1430" s="13" t="n"/>
      <c r="P1430" s="17">
        <f>IF($B1430="","",IF($F1430="※类别不在基础资料里","※费用类别不在基础资料里",IF(AND(N($J1430)=0,N($K1430)=0),"※这行没填金额",IF(AND(N($J1430)&gt;0,N($K1430)&gt;0),"※收入和支出不能同一行都填",IF(AND($D1430="收入",N($J1430)=0),"※收入行要填收入金额",IF(AND($D1430="支出",N($K1430)=0),"※支出行要填支出金额",IF(AND($C1430&lt;&gt;"",ISNA(MATCH($C1430,账户表,0))),"※账户不在基础资料里",IF(AND($G1430&lt;&gt;"",ISNA(MATCH($G1430,项目名表,0))),"※项目不在项目台账里",IF(AND(LEFT($F1430,3)="成本-",$G1430=""),"※成本类支出没填项目",IF(AND(LEFT($F1430,3)="成本-",$H1430&lt;&gt;"",N($K1430)&gt;0,COUNTIFS(采购单!$B:$B,$B1430,采购单!$C:$C,$H1430,采购单!$L:$L,$K1430)&gt;0),"※这笔可能和采购单重复了",""))))))))))</f>
        <v/>
      </c>
    </row>
    <row r="1431">
      <c r="A1431" s="17">
        <f>IF($B1431="","",ROW()-3)</f>
        <v/>
      </c>
      <c r="B1431" s="18" t="n"/>
      <c r="C1431" s="13" t="n"/>
      <c r="D1431" s="13" t="n"/>
      <c r="E1431" s="13" t="n"/>
      <c r="F1431" s="17">
        <f>IF($E1431="","",IFERROR(VLOOKUP($E1431,类别归属,2,0),"※类别不在基础资料里"))</f>
        <v/>
      </c>
      <c r="G1431" s="13" t="n"/>
      <c r="H1431" s="13" t="n"/>
      <c r="I1431" s="13" t="n"/>
      <c r="J1431" s="14" t="n"/>
      <c r="K1431" s="14" t="n"/>
      <c r="L1431" s="19">
        <f>IF($C1431="","",ROUND(IFERROR(VLOOKUP($C1431,账户期初,2,0),0)+SUMIFS($J$4:J1431,$C$4:C1431,$C1431)-SUMIFS($K$4:K1431,$C$4:C1431,$C1431),2))</f>
        <v/>
      </c>
      <c r="M1431" s="19">
        <f>IF($C1431="","",ROUND(SUM(基础资料!$B$4:$B$13)+SUM($J$4:J1431)-SUM($K$4:K1431),2))</f>
        <v/>
      </c>
      <c r="N1431" s="13" t="n"/>
      <c r="O1431" s="13" t="n"/>
      <c r="P1431" s="17">
        <f>IF($B1431="","",IF($F1431="※类别不在基础资料里","※费用类别不在基础资料里",IF(AND(N($J1431)=0,N($K1431)=0),"※这行没填金额",IF(AND(N($J1431)&gt;0,N($K1431)&gt;0),"※收入和支出不能同一行都填",IF(AND($D1431="收入",N($J1431)=0),"※收入行要填收入金额",IF(AND($D1431="支出",N($K1431)=0),"※支出行要填支出金额",IF(AND($C1431&lt;&gt;"",ISNA(MATCH($C1431,账户表,0))),"※账户不在基础资料里",IF(AND($G1431&lt;&gt;"",ISNA(MATCH($G1431,项目名表,0))),"※项目不在项目台账里",IF(AND(LEFT($F1431,3)="成本-",$G1431=""),"※成本类支出没填项目",IF(AND(LEFT($F1431,3)="成本-",$H1431&lt;&gt;"",N($K1431)&gt;0,COUNTIFS(采购单!$B:$B,$B1431,采购单!$C:$C,$H1431,采购单!$L:$L,$K1431)&gt;0),"※这笔可能和采购单重复了",""))))))))))</f>
        <v/>
      </c>
    </row>
    <row r="1432">
      <c r="A1432" s="17">
        <f>IF($B1432="","",ROW()-3)</f>
        <v/>
      </c>
      <c r="B1432" s="18" t="n"/>
      <c r="C1432" s="13" t="n"/>
      <c r="D1432" s="13" t="n"/>
      <c r="E1432" s="13" t="n"/>
      <c r="F1432" s="17">
        <f>IF($E1432="","",IFERROR(VLOOKUP($E1432,类别归属,2,0),"※类别不在基础资料里"))</f>
        <v/>
      </c>
      <c r="G1432" s="13" t="n"/>
      <c r="H1432" s="13" t="n"/>
      <c r="I1432" s="13" t="n"/>
      <c r="J1432" s="14" t="n"/>
      <c r="K1432" s="14" t="n"/>
      <c r="L1432" s="19">
        <f>IF($C1432="","",ROUND(IFERROR(VLOOKUP($C1432,账户期初,2,0),0)+SUMIFS($J$4:J1432,$C$4:C1432,$C1432)-SUMIFS($K$4:K1432,$C$4:C1432,$C1432),2))</f>
        <v/>
      </c>
      <c r="M1432" s="19">
        <f>IF($C1432="","",ROUND(SUM(基础资料!$B$4:$B$13)+SUM($J$4:J1432)-SUM($K$4:K1432),2))</f>
        <v/>
      </c>
      <c r="N1432" s="13" t="n"/>
      <c r="O1432" s="13" t="n"/>
      <c r="P1432" s="17">
        <f>IF($B1432="","",IF($F1432="※类别不在基础资料里","※费用类别不在基础资料里",IF(AND(N($J1432)=0,N($K1432)=0),"※这行没填金额",IF(AND(N($J1432)&gt;0,N($K1432)&gt;0),"※收入和支出不能同一行都填",IF(AND($D1432="收入",N($J1432)=0),"※收入行要填收入金额",IF(AND($D1432="支出",N($K1432)=0),"※支出行要填支出金额",IF(AND($C1432&lt;&gt;"",ISNA(MATCH($C1432,账户表,0))),"※账户不在基础资料里",IF(AND($G1432&lt;&gt;"",ISNA(MATCH($G1432,项目名表,0))),"※项目不在项目台账里",IF(AND(LEFT($F1432,3)="成本-",$G1432=""),"※成本类支出没填项目",IF(AND(LEFT($F1432,3)="成本-",$H1432&lt;&gt;"",N($K1432)&gt;0,COUNTIFS(采购单!$B:$B,$B1432,采购单!$C:$C,$H1432,采购单!$L:$L,$K1432)&gt;0),"※这笔可能和采购单重复了",""))))))))))</f>
        <v/>
      </c>
    </row>
    <row r="1433">
      <c r="A1433" s="17">
        <f>IF($B1433="","",ROW()-3)</f>
        <v/>
      </c>
      <c r="B1433" s="18" t="n"/>
      <c r="C1433" s="13" t="n"/>
      <c r="D1433" s="13" t="n"/>
      <c r="E1433" s="13" t="n"/>
      <c r="F1433" s="17">
        <f>IF($E1433="","",IFERROR(VLOOKUP($E1433,类别归属,2,0),"※类别不在基础资料里"))</f>
        <v/>
      </c>
      <c r="G1433" s="13" t="n"/>
      <c r="H1433" s="13" t="n"/>
      <c r="I1433" s="13" t="n"/>
      <c r="J1433" s="14" t="n"/>
      <c r="K1433" s="14" t="n"/>
      <c r="L1433" s="19">
        <f>IF($C1433="","",ROUND(IFERROR(VLOOKUP($C1433,账户期初,2,0),0)+SUMIFS($J$4:J1433,$C$4:C1433,$C1433)-SUMIFS($K$4:K1433,$C$4:C1433,$C1433),2))</f>
        <v/>
      </c>
      <c r="M1433" s="19">
        <f>IF($C1433="","",ROUND(SUM(基础资料!$B$4:$B$13)+SUM($J$4:J1433)-SUM($K$4:K1433),2))</f>
        <v/>
      </c>
      <c r="N1433" s="13" t="n"/>
      <c r="O1433" s="13" t="n"/>
      <c r="P1433" s="17">
        <f>IF($B1433="","",IF($F1433="※类别不在基础资料里","※费用类别不在基础资料里",IF(AND(N($J1433)=0,N($K1433)=0),"※这行没填金额",IF(AND(N($J1433)&gt;0,N($K1433)&gt;0),"※收入和支出不能同一行都填",IF(AND($D1433="收入",N($J1433)=0),"※收入行要填收入金额",IF(AND($D1433="支出",N($K1433)=0),"※支出行要填支出金额",IF(AND($C1433&lt;&gt;"",ISNA(MATCH($C1433,账户表,0))),"※账户不在基础资料里",IF(AND($G1433&lt;&gt;"",ISNA(MATCH($G1433,项目名表,0))),"※项目不在项目台账里",IF(AND(LEFT($F1433,3)="成本-",$G1433=""),"※成本类支出没填项目",IF(AND(LEFT($F1433,3)="成本-",$H1433&lt;&gt;"",N($K1433)&gt;0,COUNTIFS(采购单!$B:$B,$B1433,采购单!$C:$C,$H1433,采购单!$L:$L,$K1433)&gt;0),"※这笔可能和采购单重复了",""))))))))))</f>
        <v/>
      </c>
    </row>
    <row r="1434">
      <c r="A1434" s="17">
        <f>IF($B1434="","",ROW()-3)</f>
        <v/>
      </c>
      <c r="B1434" s="18" t="n"/>
      <c r="C1434" s="13" t="n"/>
      <c r="D1434" s="13" t="n"/>
      <c r="E1434" s="13" t="n"/>
      <c r="F1434" s="17">
        <f>IF($E1434="","",IFERROR(VLOOKUP($E1434,类别归属,2,0),"※类别不在基础资料里"))</f>
        <v/>
      </c>
      <c r="G1434" s="13" t="n"/>
      <c r="H1434" s="13" t="n"/>
      <c r="I1434" s="13" t="n"/>
      <c r="J1434" s="14" t="n"/>
      <c r="K1434" s="14" t="n"/>
      <c r="L1434" s="19">
        <f>IF($C1434="","",ROUND(IFERROR(VLOOKUP($C1434,账户期初,2,0),0)+SUMIFS($J$4:J1434,$C$4:C1434,$C1434)-SUMIFS($K$4:K1434,$C$4:C1434,$C1434),2))</f>
        <v/>
      </c>
      <c r="M1434" s="19">
        <f>IF($C1434="","",ROUND(SUM(基础资料!$B$4:$B$13)+SUM($J$4:J1434)-SUM($K$4:K1434),2))</f>
        <v/>
      </c>
      <c r="N1434" s="13" t="n"/>
      <c r="O1434" s="13" t="n"/>
      <c r="P1434" s="17">
        <f>IF($B1434="","",IF($F1434="※类别不在基础资料里","※费用类别不在基础资料里",IF(AND(N($J1434)=0,N($K1434)=0),"※这行没填金额",IF(AND(N($J1434)&gt;0,N($K1434)&gt;0),"※收入和支出不能同一行都填",IF(AND($D1434="收入",N($J1434)=0),"※收入行要填收入金额",IF(AND($D1434="支出",N($K1434)=0),"※支出行要填支出金额",IF(AND($C1434&lt;&gt;"",ISNA(MATCH($C1434,账户表,0))),"※账户不在基础资料里",IF(AND($G1434&lt;&gt;"",ISNA(MATCH($G1434,项目名表,0))),"※项目不在项目台账里",IF(AND(LEFT($F1434,3)="成本-",$G1434=""),"※成本类支出没填项目",IF(AND(LEFT($F1434,3)="成本-",$H1434&lt;&gt;"",N($K1434)&gt;0,COUNTIFS(采购单!$B:$B,$B1434,采购单!$C:$C,$H1434,采购单!$L:$L,$K1434)&gt;0),"※这笔可能和采购单重复了",""))))))))))</f>
        <v/>
      </c>
    </row>
    <row r="1435">
      <c r="A1435" s="17">
        <f>IF($B1435="","",ROW()-3)</f>
        <v/>
      </c>
      <c r="B1435" s="18" t="n"/>
      <c r="C1435" s="13" t="n"/>
      <c r="D1435" s="13" t="n"/>
      <c r="E1435" s="13" t="n"/>
      <c r="F1435" s="17">
        <f>IF($E1435="","",IFERROR(VLOOKUP($E1435,类别归属,2,0),"※类别不在基础资料里"))</f>
        <v/>
      </c>
      <c r="G1435" s="13" t="n"/>
      <c r="H1435" s="13" t="n"/>
      <c r="I1435" s="13" t="n"/>
      <c r="J1435" s="14" t="n"/>
      <c r="K1435" s="14" t="n"/>
      <c r="L1435" s="19">
        <f>IF($C1435="","",ROUND(IFERROR(VLOOKUP($C1435,账户期初,2,0),0)+SUMIFS($J$4:J1435,$C$4:C1435,$C1435)-SUMIFS($K$4:K1435,$C$4:C1435,$C1435),2))</f>
        <v/>
      </c>
      <c r="M1435" s="19">
        <f>IF($C1435="","",ROUND(SUM(基础资料!$B$4:$B$13)+SUM($J$4:J1435)-SUM($K$4:K1435),2))</f>
        <v/>
      </c>
      <c r="N1435" s="13" t="n"/>
      <c r="O1435" s="13" t="n"/>
      <c r="P1435" s="17">
        <f>IF($B1435="","",IF($F1435="※类别不在基础资料里","※费用类别不在基础资料里",IF(AND(N($J1435)=0,N($K1435)=0),"※这行没填金额",IF(AND(N($J1435)&gt;0,N($K1435)&gt;0),"※收入和支出不能同一行都填",IF(AND($D1435="收入",N($J1435)=0),"※收入行要填收入金额",IF(AND($D1435="支出",N($K1435)=0),"※支出行要填支出金额",IF(AND($C1435&lt;&gt;"",ISNA(MATCH($C1435,账户表,0))),"※账户不在基础资料里",IF(AND($G1435&lt;&gt;"",ISNA(MATCH($G1435,项目名表,0))),"※项目不在项目台账里",IF(AND(LEFT($F1435,3)="成本-",$G1435=""),"※成本类支出没填项目",IF(AND(LEFT($F1435,3)="成本-",$H1435&lt;&gt;"",N($K1435)&gt;0,COUNTIFS(采购单!$B:$B,$B1435,采购单!$C:$C,$H1435,采购单!$L:$L,$K1435)&gt;0),"※这笔可能和采购单重复了",""))))))))))</f>
        <v/>
      </c>
    </row>
    <row r="1436">
      <c r="A1436" s="17">
        <f>IF($B1436="","",ROW()-3)</f>
        <v/>
      </c>
      <c r="B1436" s="18" t="n"/>
      <c r="C1436" s="13" t="n"/>
      <c r="D1436" s="13" t="n"/>
      <c r="E1436" s="13" t="n"/>
      <c r="F1436" s="17">
        <f>IF($E1436="","",IFERROR(VLOOKUP($E1436,类别归属,2,0),"※类别不在基础资料里"))</f>
        <v/>
      </c>
      <c r="G1436" s="13" t="n"/>
      <c r="H1436" s="13" t="n"/>
      <c r="I1436" s="13" t="n"/>
      <c r="J1436" s="14" t="n"/>
      <c r="K1436" s="14" t="n"/>
      <c r="L1436" s="19">
        <f>IF($C1436="","",ROUND(IFERROR(VLOOKUP($C1436,账户期初,2,0),0)+SUMIFS($J$4:J1436,$C$4:C1436,$C1436)-SUMIFS($K$4:K1436,$C$4:C1436,$C1436),2))</f>
        <v/>
      </c>
      <c r="M1436" s="19">
        <f>IF($C1436="","",ROUND(SUM(基础资料!$B$4:$B$13)+SUM($J$4:J1436)-SUM($K$4:K1436),2))</f>
        <v/>
      </c>
      <c r="N1436" s="13" t="n"/>
      <c r="O1436" s="13" t="n"/>
      <c r="P1436" s="17">
        <f>IF($B1436="","",IF($F1436="※类别不在基础资料里","※费用类别不在基础资料里",IF(AND(N($J1436)=0,N($K1436)=0),"※这行没填金额",IF(AND(N($J1436)&gt;0,N($K1436)&gt;0),"※收入和支出不能同一行都填",IF(AND($D1436="收入",N($J1436)=0),"※收入行要填收入金额",IF(AND($D1436="支出",N($K1436)=0),"※支出行要填支出金额",IF(AND($C1436&lt;&gt;"",ISNA(MATCH($C1436,账户表,0))),"※账户不在基础资料里",IF(AND($G1436&lt;&gt;"",ISNA(MATCH($G1436,项目名表,0))),"※项目不在项目台账里",IF(AND(LEFT($F1436,3)="成本-",$G1436=""),"※成本类支出没填项目",IF(AND(LEFT($F1436,3)="成本-",$H1436&lt;&gt;"",N($K1436)&gt;0,COUNTIFS(采购单!$B:$B,$B1436,采购单!$C:$C,$H1436,采购单!$L:$L,$K1436)&gt;0),"※这笔可能和采购单重复了",""))))))))))</f>
        <v/>
      </c>
    </row>
    <row r="1437">
      <c r="A1437" s="17">
        <f>IF($B1437="","",ROW()-3)</f>
        <v/>
      </c>
      <c r="B1437" s="18" t="n"/>
      <c r="C1437" s="13" t="n"/>
      <c r="D1437" s="13" t="n"/>
      <c r="E1437" s="13" t="n"/>
      <c r="F1437" s="17">
        <f>IF($E1437="","",IFERROR(VLOOKUP($E1437,类别归属,2,0),"※类别不在基础资料里"))</f>
        <v/>
      </c>
      <c r="G1437" s="13" t="n"/>
      <c r="H1437" s="13" t="n"/>
      <c r="I1437" s="13" t="n"/>
      <c r="J1437" s="14" t="n"/>
      <c r="K1437" s="14" t="n"/>
      <c r="L1437" s="19">
        <f>IF($C1437="","",ROUND(IFERROR(VLOOKUP($C1437,账户期初,2,0),0)+SUMIFS($J$4:J1437,$C$4:C1437,$C1437)-SUMIFS($K$4:K1437,$C$4:C1437,$C1437),2))</f>
        <v/>
      </c>
      <c r="M1437" s="19">
        <f>IF($C1437="","",ROUND(SUM(基础资料!$B$4:$B$13)+SUM($J$4:J1437)-SUM($K$4:K1437),2))</f>
        <v/>
      </c>
      <c r="N1437" s="13" t="n"/>
      <c r="O1437" s="13" t="n"/>
      <c r="P1437" s="17">
        <f>IF($B1437="","",IF($F1437="※类别不在基础资料里","※费用类别不在基础资料里",IF(AND(N($J1437)=0,N($K1437)=0),"※这行没填金额",IF(AND(N($J1437)&gt;0,N($K1437)&gt;0),"※收入和支出不能同一行都填",IF(AND($D1437="收入",N($J1437)=0),"※收入行要填收入金额",IF(AND($D1437="支出",N($K1437)=0),"※支出行要填支出金额",IF(AND($C1437&lt;&gt;"",ISNA(MATCH($C1437,账户表,0))),"※账户不在基础资料里",IF(AND($G1437&lt;&gt;"",ISNA(MATCH($G1437,项目名表,0))),"※项目不在项目台账里",IF(AND(LEFT($F1437,3)="成本-",$G1437=""),"※成本类支出没填项目",IF(AND(LEFT($F1437,3)="成本-",$H1437&lt;&gt;"",N($K1437)&gt;0,COUNTIFS(采购单!$B:$B,$B1437,采购单!$C:$C,$H1437,采购单!$L:$L,$K1437)&gt;0),"※这笔可能和采购单重复了",""))))))))))</f>
        <v/>
      </c>
    </row>
    <row r="1438">
      <c r="A1438" s="17">
        <f>IF($B1438="","",ROW()-3)</f>
        <v/>
      </c>
      <c r="B1438" s="18" t="n"/>
      <c r="C1438" s="13" t="n"/>
      <c r="D1438" s="13" t="n"/>
      <c r="E1438" s="13" t="n"/>
      <c r="F1438" s="17">
        <f>IF($E1438="","",IFERROR(VLOOKUP($E1438,类别归属,2,0),"※类别不在基础资料里"))</f>
        <v/>
      </c>
      <c r="G1438" s="13" t="n"/>
      <c r="H1438" s="13" t="n"/>
      <c r="I1438" s="13" t="n"/>
      <c r="J1438" s="14" t="n"/>
      <c r="K1438" s="14" t="n"/>
      <c r="L1438" s="19">
        <f>IF($C1438="","",ROUND(IFERROR(VLOOKUP($C1438,账户期初,2,0),0)+SUMIFS($J$4:J1438,$C$4:C1438,$C1438)-SUMIFS($K$4:K1438,$C$4:C1438,$C1438),2))</f>
        <v/>
      </c>
      <c r="M1438" s="19">
        <f>IF($C1438="","",ROUND(SUM(基础资料!$B$4:$B$13)+SUM($J$4:J1438)-SUM($K$4:K1438),2))</f>
        <v/>
      </c>
      <c r="N1438" s="13" t="n"/>
      <c r="O1438" s="13" t="n"/>
      <c r="P1438" s="17">
        <f>IF($B1438="","",IF($F1438="※类别不在基础资料里","※费用类别不在基础资料里",IF(AND(N($J1438)=0,N($K1438)=0),"※这行没填金额",IF(AND(N($J1438)&gt;0,N($K1438)&gt;0),"※收入和支出不能同一行都填",IF(AND($D1438="收入",N($J1438)=0),"※收入行要填收入金额",IF(AND($D1438="支出",N($K1438)=0),"※支出行要填支出金额",IF(AND($C1438&lt;&gt;"",ISNA(MATCH($C1438,账户表,0))),"※账户不在基础资料里",IF(AND($G1438&lt;&gt;"",ISNA(MATCH($G1438,项目名表,0))),"※项目不在项目台账里",IF(AND(LEFT($F1438,3)="成本-",$G1438=""),"※成本类支出没填项目",IF(AND(LEFT($F1438,3)="成本-",$H1438&lt;&gt;"",N($K1438)&gt;0,COUNTIFS(采购单!$B:$B,$B1438,采购单!$C:$C,$H1438,采购单!$L:$L,$K1438)&gt;0),"※这笔可能和采购单重复了",""))))))))))</f>
        <v/>
      </c>
    </row>
    <row r="1439">
      <c r="A1439" s="17">
        <f>IF($B1439="","",ROW()-3)</f>
        <v/>
      </c>
      <c r="B1439" s="18" t="n"/>
      <c r="C1439" s="13" t="n"/>
      <c r="D1439" s="13" t="n"/>
      <c r="E1439" s="13" t="n"/>
      <c r="F1439" s="17">
        <f>IF($E1439="","",IFERROR(VLOOKUP($E1439,类别归属,2,0),"※类别不在基础资料里"))</f>
        <v/>
      </c>
      <c r="G1439" s="13" t="n"/>
      <c r="H1439" s="13" t="n"/>
      <c r="I1439" s="13" t="n"/>
      <c r="J1439" s="14" t="n"/>
      <c r="K1439" s="14" t="n"/>
      <c r="L1439" s="19">
        <f>IF($C1439="","",ROUND(IFERROR(VLOOKUP($C1439,账户期初,2,0),0)+SUMIFS($J$4:J1439,$C$4:C1439,$C1439)-SUMIFS($K$4:K1439,$C$4:C1439,$C1439),2))</f>
        <v/>
      </c>
      <c r="M1439" s="19">
        <f>IF($C1439="","",ROUND(SUM(基础资料!$B$4:$B$13)+SUM($J$4:J1439)-SUM($K$4:K1439),2))</f>
        <v/>
      </c>
      <c r="N1439" s="13" t="n"/>
      <c r="O1439" s="13" t="n"/>
      <c r="P1439" s="17">
        <f>IF($B1439="","",IF($F1439="※类别不在基础资料里","※费用类别不在基础资料里",IF(AND(N($J1439)=0,N($K1439)=0),"※这行没填金额",IF(AND(N($J1439)&gt;0,N($K1439)&gt;0),"※收入和支出不能同一行都填",IF(AND($D1439="收入",N($J1439)=0),"※收入行要填收入金额",IF(AND($D1439="支出",N($K1439)=0),"※支出行要填支出金额",IF(AND($C1439&lt;&gt;"",ISNA(MATCH($C1439,账户表,0))),"※账户不在基础资料里",IF(AND($G1439&lt;&gt;"",ISNA(MATCH($G1439,项目名表,0))),"※项目不在项目台账里",IF(AND(LEFT($F1439,3)="成本-",$G1439=""),"※成本类支出没填项目",IF(AND(LEFT($F1439,3)="成本-",$H1439&lt;&gt;"",N($K1439)&gt;0,COUNTIFS(采购单!$B:$B,$B1439,采购单!$C:$C,$H1439,采购单!$L:$L,$K1439)&gt;0),"※这笔可能和采购单重复了",""))))))))))</f>
        <v/>
      </c>
    </row>
    <row r="1440">
      <c r="A1440" s="17">
        <f>IF($B1440="","",ROW()-3)</f>
        <v/>
      </c>
      <c r="B1440" s="18" t="n"/>
      <c r="C1440" s="13" t="n"/>
      <c r="D1440" s="13" t="n"/>
      <c r="E1440" s="13" t="n"/>
      <c r="F1440" s="17">
        <f>IF($E1440="","",IFERROR(VLOOKUP($E1440,类别归属,2,0),"※类别不在基础资料里"))</f>
        <v/>
      </c>
      <c r="G1440" s="13" t="n"/>
      <c r="H1440" s="13" t="n"/>
      <c r="I1440" s="13" t="n"/>
      <c r="J1440" s="14" t="n"/>
      <c r="K1440" s="14" t="n"/>
      <c r="L1440" s="19">
        <f>IF($C1440="","",ROUND(IFERROR(VLOOKUP($C1440,账户期初,2,0),0)+SUMIFS($J$4:J1440,$C$4:C1440,$C1440)-SUMIFS($K$4:K1440,$C$4:C1440,$C1440),2))</f>
        <v/>
      </c>
      <c r="M1440" s="19">
        <f>IF($C1440="","",ROUND(SUM(基础资料!$B$4:$B$13)+SUM($J$4:J1440)-SUM($K$4:K1440),2))</f>
        <v/>
      </c>
      <c r="N1440" s="13" t="n"/>
      <c r="O1440" s="13" t="n"/>
      <c r="P1440" s="17">
        <f>IF($B1440="","",IF($F1440="※类别不在基础资料里","※费用类别不在基础资料里",IF(AND(N($J1440)=0,N($K1440)=0),"※这行没填金额",IF(AND(N($J1440)&gt;0,N($K1440)&gt;0),"※收入和支出不能同一行都填",IF(AND($D1440="收入",N($J1440)=0),"※收入行要填收入金额",IF(AND($D1440="支出",N($K1440)=0),"※支出行要填支出金额",IF(AND($C1440&lt;&gt;"",ISNA(MATCH($C1440,账户表,0))),"※账户不在基础资料里",IF(AND($G1440&lt;&gt;"",ISNA(MATCH($G1440,项目名表,0))),"※项目不在项目台账里",IF(AND(LEFT($F1440,3)="成本-",$G1440=""),"※成本类支出没填项目",IF(AND(LEFT($F1440,3)="成本-",$H1440&lt;&gt;"",N($K1440)&gt;0,COUNTIFS(采购单!$B:$B,$B1440,采购单!$C:$C,$H1440,采购单!$L:$L,$K1440)&gt;0),"※这笔可能和采购单重复了",""))))))))))</f>
        <v/>
      </c>
    </row>
    <row r="1441">
      <c r="A1441" s="17">
        <f>IF($B1441="","",ROW()-3)</f>
        <v/>
      </c>
      <c r="B1441" s="18" t="n"/>
      <c r="C1441" s="13" t="n"/>
      <c r="D1441" s="13" t="n"/>
      <c r="E1441" s="13" t="n"/>
      <c r="F1441" s="17">
        <f>IF($E1441="","",IFERROR(VLOOKUP($E1441,类别归属,2,0),"※类别不在基础资料里"))</f>
        <v/>
      </c>
      <c r="G1441" s="13" t="n"/>
      <c r="H1441" s="13" t="n"/>
      <c r="I1441" s="13" t="n"/>
      <c r="J1441" s="14" t="n"/>
      <c r="K1441" s="14" t="n"/>
      <c r="L1441" s="19">
        <f>IF($C1441="","",ROUND(IFERROR(VLOOKUP($C1441,账户期初,2,0),0)+SUMIFS($J$4:J1441,$C$4:C1441,$C1441)-SUMIFS($K$4:K1441,$C$4:C1441,$C1441),2))</f>
        <v/>
      </c>
      <c r="M1441" s="19">
        <f>IF($C1441="","",ROUND(SUM(基础资料!$B$4:$B$13)+SUM($J$4:J1441)-SUM($K$4:K1441),2))</f>
        <v/>
      </c>
      <c r="N1441" s="13" t="n"/>
      <c r="O1441" s="13" t="n"/>
      <c r="P1441" s="17">
        <f>IF($B1441="","",IF($F1441="※类别不在基础资料里","※费用类别不在基础资料里",IF(AND(N($J1441)=0,N($K1441)=0),"※这行没填金额",IF(AND(N($J1441)&gt;0,N($K1441)&gt;0),"※收入和支出不能同一行都填",IF(AND($D1441="收入",N($J1441)=0),"※收入行要填收入金额",IF(AND($D1441="支出",N($K1441)=0),"※支出行要填支出金额",IF(AND($C1441&lt;&gt;"",ISNA(MATCH($C1441,账户表,0))),"※账户不在基础资料里",IF(AND($G1441&lt;&gt;"",ISNA(MATCH($G1441,项目名表,0))),"※项目不在项目台账里",IF(AND(LEFT($F1441,3)="成本-",$G1441=""),"※成本类支出没填项目",IF(AND(LEFT($F1441,3)="成本-",$H1441&lt;&gt;"",N($K1441)&gt;0,COUNTIFS(采购单!$B:$B,$B1441,采购单!$C:$C,$H1441,采购单!$L:$L,$K1441)&gt;0),"※这笔可能和采购单重复了",""))))))))))</f>
        <v/>
      </c>
    </row>
    <row r="1442">
      <c r="A1442" s="17">
        <f>IF($B1442="","",ROW()-3)</f>
        <v/>
      </c>
      <c r="B1442" s="18" t="n"/>
      <c r="C1442" s="13" t="n"/>
      <c r="D1442" s="13" t="n"/>
      <c r="E1442" s="13" t="n"/>
      <c r="F1442" s="17">
        <f>IF($E1442="","",IFERROR(VLOOKUP($E1442,类别归属,2,0),"※类别不在基础资料里"))</f>
        <v/>
      </c>
      <c r="G1442" s="13" t="n"/>
      <c r="H1442" s="13" t="n"/>
      <c r="I1442" s="13" t="n"/>
      <c r="J1442" s="14" t="n"/>
      <c r="K1442" s="14" t="n"/>
      <c r="L1442" s="19">
        <f>IF($C1442="","",ROUND(IFERROR(VLOOKUP($C1442,账户期初,2,0),0)+SUMIFS($J$4:J1442,$C$4:C1442,$C1442)-SUMIFS($K$4:K1442,$C$4:C1442,$C1442),2))</f>
        <v/>
      </c>
      <c r="M1442" s="19">
        <f>IF($C1442="","",ROUND(SUM(基础资料!$B$4:$B$13)+SUM($J$4:J1442)-SUM($K$4:K1442),2))</f>
        <v/>
      </c>
      <c r="N1442" s="13" t="n"/>
      <c r="O1442" s="13" t="n"/>
      <c r="P1442" s="17">
        <f>IF($B1442="","",IF($F1442="※类别不在基础资料里","※费用类别不在基础资料里",IF(AND(N($J1442)=0,N($K1442)=0),"※这行没填金额",IF(AND(N($J1442)&gt;0,N($K1442)&gt;0),"※收入和支出不能同一行都填",IF(AND($D1442="收入",N($J1442)=0),"※收入行要填收入金额",IF(AND($D1442="支出",N($K1442)=0),"※支出行要填支出金额",IF(AND($C1442&lt;&gt;"",ISNA(MATCH($C1442,账户表,0))),"※账户不在基础资料里",IF(AND($G1442&lt;&gt;"",ISNA(MATCH($G1442,项目名表,0))),"※项目不在项目台账里",IF(AND(LEFT($F1442,3)="成本-",$G1442=""),"※成本类支出没填项目",IF(AND(LEFT($F1442,3)="成本-",$H1442&lt;&gt;"",N($K1442)&gt;0,COUNTIFS(采购单!$B:$B,$B1442,采购单!$C:$C,$H1442,采购单!$L:$L,$K1442)&gt;0),"※这笔可能和采购单重复了",""))))))))))</f>
        <v/>
      </c>
    </row>
    <row r="1443">
      <c r="A1443" s="17">
        <f>IF($B1443="","",ROW()-3)</f>
        <v/>
      </c>
      <c r="B1443" s="18" t="n"/>
      <c r="C1443" s="13" t="n"/>
      <c r="D1443" s="13" t="n"/>
      <c r="E1443" s="13" t="n"/>
      <c r="F1443" s="17">
        <f>IF($E1443="","",IFERROR(VLOOKUP($E1443,类别归属,2,0),"※类别不在基础资料里"))</f>
        <v/>
      </c>
      <c r="G1443" s="13" t="n"/>
      <c r="H1443" s="13" t="n"/>
      <c r="I1443" s="13" t="n"/>
      <c r="J1443" s="14" t="n"/>
      <c r="K1443" s="14" t="n"/>
      <c r="L1443" s="19">
        <f>IF($C1443="","",ROUND(IFERROR(VLOOKUP($C1443,账户期初,2,0),0)+SUMIFS($J$4:J1443,$C$4:C1443,$C1443)-SUMIFS($K$4:K1443,$C$4:C1443,$C1443),2))</f>
        <v/>
      </c>
      <c r="M1443" s="19">
        <f>IF($C1443="","",ROUND(SUM(基础资料!$B$4:$B$13)+SUM($J$4:J1443)-SUM($K$4:K1443),2))</f>
        <v/>
      </c>
      <c r="N1443" s="13" t="n"/>
      <c r="O1443" s="13" t="n"/>
      <c r="P1443" s="17">
        <f>IF($B1443="","",IF($F1443="※类别不在基础资料里","※费用类别不在基础资料里",IF(AND(N($J1443)=0,N($K1443)=0),"※这行没填金额",IF(AND(N($J1443)&gt;0,N($K1443)&gt;0),"※收入和支出不能同一行都填",IF(AND($D1443="收入",N($J1443)=0),"※收入行要填收入金额",IF(AND($D1443="支出",N($K1443)=0),"※支出行要填支出金额",IF(AND($C1443&lt;&gt;"",ISNA(MATCH($C1443,账户表,0))),"※账户不在基础资料里",IF(AND($G1443&lt;&gt;"",ISNA(MATCH($G1443,项目名表,0))),"※项目不在项目台账里",IF(AND(LEFT($F1443,3)="成本-",$G1443=""),"※成本类支出没填项目",IF(AND(LEFT($F1443,3)="成本-",$H1443&lt;&gt;"",N($K1443)&gt;0,COUNTIFS(采购单!$B:$B,$B1443,采购单!$C:$C,$H1443,采购单!$L:$L,$K1443)&gt;0),"※这笔可能和采购单重复了",""))))))))))</f>
        <v/>
      </c>
    </row>
    <row r="1444">
      <c r="A1444" s="17">
        <f>IF($B1444="","",ROW()-3)</f>
        <v/>
      </c>
      <c r="B1444" s="18" t="n"/>
      <c r="C1444" s="13" t="n"/>
      <c r="D1444" s="13" t="n"/>
      <c r="E1444" s="13" t="n"/>
      <c r="F1444" s="17">
        <f>IF($E1444="","",IFERROR(VLOOKUP($E1444,类别归属,2,0),"※类别不在基础资料里"))</f>
        <v/>
      </c>
      <c r="G1444" s="13" t="n"/>
      <c r="H1444" s="13" t="n"/>
      <c r="I1444" s="13" t="n"/>
      <c r="J1444" s="14" t="n"/>
      <c r="K1444" s="14" t="n"/>
      <c r="L1444" s="19">
        <f>IF($C1444="","",ROUND(IFERROR(VLOOKUP($C1444,账户期初,2,0),0)+SUMIFS($J$4:J1444,$C$4:C1444,$C1444)-SUMIFS($K$4:K1444,$C$4:C1444,$C1444),2))</f>
        <v/>
      </c>
      <c r="M1444" s="19">
        <f>IF($C1444="","",ROUND(SUM(基础资料!$B$4:$B$13)+SUM($J$4:J1444)-SUM($K$4:K1444),2))</f>
        <v/>
      </c>
      <c r="N1444" s="13" t="n"/>
      <c r="O1444" s="13" t="n"/>
      <c r="P1444" s="17">
        <f>IF($B1444="","",IF($F1444="※类别不在基础资料里","※费用类别不在基础资料里",IF(AND(N($J1444)=0,N($K1444)=0),"※这行没填金额",IF(AND(N($J1444)&gt;0,N($K1444)&gt;0),"※收入和支出不能同一行都填",IF(AND($D1444="收入",N($J1444)=0),"※收入行要填收入金额",IF(AND($D1444="支出",N($K1444)=0),"※支出行要填支出金额",IF(AND($C1444&lt;&gt;"",ISNA(MATCH($C1444,账户表,0))),"※账户不在基础资料里",IF(AND($G1444&lt;&gt;"",ISNA(MATCH($G1444,项目名表,0))),"※项目不在项目台账里",IF(AND(LEFT($F1444,3)="成本-",$G1444=""),"※成本类支出没填项目",IF(AND(LEFT($F1444,3)="成本-",$H1444&lt;&gt;"",N($K1444)&gt;0,COUNTIFS(采购单!$B:$B,$B1444,采购单!$C:$C,$H1444,采购单!$L:$L,$K1444)&gt;0),"※这笔可能和采购单重复了",""))))))))))</f>
        <v/>
      </c>
    </row>
    <row r="1445">
      <c r="A1445" s="17">
        <f>IF($B1445="","",ROW()-3)</f>
        <v/>
      </c>
      <c r="B1445" s="18" t="n"/>
      <c r="C1445" s="13" t="n"/>
      <c r="D1445" s="13" t="n"/>
      <c r="E1445" s="13" t="n"/>
      <c r="F1445" s="17">
        <f>IF($E1445="","",IFERROR(VLOOKUP($E1445,类别归属,2,0),"※类别不在基础资料里"))</f>
        <v/>
      </c>
      <c r="G1445" s="13" t="n"/>
      <c r="H1445" s="13" t="n"/>
      <c r="I1445" s="13" t="n"/>
      <c r="J1445" s="14" t="n"/>
      <c r="K1445" s="14" t="n"/>
      <c r="L1445" s="19">
        <f>IF($C1445="","",ROUND(IFERROR(VLOOKUP($C1445,账户期初,2,0),0)+SUMIFS($J$4:J1445,$C$4:C1445,$C1445)-SUMIFS($K$4:K1445,$C$4:C1445,$C1445),2))</f>
        <v/>
      </c>
      <c r="M1445" s="19">
        <f>IF($C1445="","",ROUND(SUM(基础资料!$B$4:$B$13)+SUM($J$4:J1445)-SUM($K$4:K1445),2))</f>
        <v/>
      </c>
      <c r="N1445" s="13" t="n"/>
      <c r="O1445" s="13" t="n"/>
      <c r="P1445" s="17">
        <f>IF($B1445="","",IF($F1445="※类别不在基础资料里","※费用类别不在基础资料里",IF(AND(N($J1445)=0,N($K1445)=0),"※这行没填金额",IF(AND(N($J1445)&gt;0,N($K1445)&gt;0),"※收入和支出不能同一行都填",IF(AND($D1445="收入",N($J1445)=0),"※收入行要填收入金额",IF(AND($D1445="支出",N($K1445)=0),"※支出行要填支出金额",IF(AND($C1445&lt;&gt;"",ISNA(MATCH($C1445,账户表,0))),"※账户不在基础资料里",IF(AND($G1445&lt;&gt;"",ISNA(MATCH($G1445,项目名表,0))),"※项目不在项目台账里",IF(AND(LEFT($F1445,3)="成本-",$G1445=""),"※成本类支出没填项目",IF(AND(LEFT($F1445,3)="成本-",$H1445&lt;&gt;"",N($K1445)&gt;0,COUNTIFS(采购单!$B:$B,$B1445,采购单!$C:$C,$H1445,采购单!$L:$L,$K1445)&gt;0),"※这笔可能和采购单重复了",""))))))))))</f>
        <v/>
      </c>
    </row>
    <row r="1446">
      <c r="A1446" s="17">
        <f>IF($B1446="","",ROW()-3)</f>
        <v/>
      </c>
      <c r="B1446" s="18" t="n"/>
      <c r="C1446" s="13" t="n"/>
      <c r="D1446" s="13" t="n"/>
      <c r="E1446" s="13" t="n"/>
      <c r="F1446" s="17">
        <f>IF($E1446="","",IFERROR(VLOOKUP($E1446,类别归属,2,0),"※类别不在基础资料里"))</f>
        <v/>
      </c>
      <c r="G1446" s="13" t="n"/>
      <c r="H1446" s="13" t="n"/>
      <c r="I1446" s="13" t="n"/>
      <c r="J1446" s="14" t="n"/>
      <c r="K1446" s="14" t="n"/>
      <c r="L1446" s="19">
        <f>IF($C1446="","",ROUND(IFERROR(VLOOKUP($C1446,账户期初,2,0),0)+SUMIFS($J$4:J1446,$C$4:C1446,$C1446)-SUMIFS($K$4:K1446,$C$4:C1446,$C1446),2))</f>
        <v/>
      </c>
      <c r="M1446" s="19">
        <f>IF($C1446="","",ROUND(SUM(基础资料!$B$4:$B$13)+SUM($J$4:J1446)-SUM($K$4:K1446),2))</f>
        <v/>
      </c>
      <c r="N1446" s="13" t="n"/>
      <c r="O1446" s="13" t="n"/>
      <c r="P1446" s="17">
        <f>IF($B1446="","",IF($F1446="※类别不在基础资料里","※费用类别不在基础资料里",IF(AND(N($J1446)=0,N($K1446)=0),"※这行没填金额",IF(AND(N($J1446)&gt;0,N($K1446)&gt;0),"※收入和支出不能同一行都填",IF(AND($D1446="收入",N($J1446)=0),"※收入行要填收入金额",IF(AND($D1446="支出",N($K1446)=0),"※支出行要填支出金额",IF(AND($C1446&lt;&gt;"",ISNA(MATCH($C1446,账户表,0))),"※账户不在基础资料里",IF(AND($G1446&lt;&gt;"",ISNA(MATCH($G1446,项目名表,0))),"※项目不在项目台账里",IF(AND(LEFT($F1446,3)="成本-",$G1446=""),"※成本类支出没填项目",IF(AND(LEFT($F1446,3)="成本-",$H1446&lt;&gt;"",N($K1446)&gt;0,COUNTIFS(采购单!$B:$B,$B1446,采购单!$C:$C,$H1446,采购单!$L:$L,$K1446)&gt;0),"※这笔可能和采购单重复了",""))))))))))</f>
        <v/>
      </c>
    </row>
    <row r="1447">
      <c r="A1447" s="17">
        <f>IF($B1447="","",ROW()-3)</f>
        <v/>
      </c>
      <c r="B1447" s="18" t="n"/>
      <c r="C1447" s="13" t="n"/>
      <c r="D1447" s="13" t="n"/>
      <c r="E1447" s="13" t="n"/>
      <c r="F1447" s="17">
        <f>IF($E1447="","",IFERROR(VLOOKUP($E1447,类别归属,2,0),"※类别不在基础资料里"))</f>
        <v/>
      </c>
      <c r="G1447" s="13" t="n"/>
      <c r="H1447" s="13" t="n"/>
      <c r="I1447" s="13" t="n"/>
      <c r="J1447" s="14" t="n"/>
      <c r="K1447" s="14" t="n"/>
      <c r="L1447" s="19">
        <f>IF($C1447="","",ROUND(IFERROR(VLOOKUP($C1447,账户期初,2,0),0)+SUMIFS($J$4:J1447,$C$4:C1447,$C1447)-SUMIFS($K$4:K1447,$C$4:C1447,$C1447),2))</f>
        <v/>
      </c>
      <c r="M1447" s="19">
        <f>IF($C1447="","",ROUND(SUM(基础资料!$B$4:$B$13)+SUM($J$4:J1447)-SUM($K$4:K1447),2))</f>
        <v/>
      </c>
      <c r="N1447" s="13" t="n"/>
      <c r="O1447" s="13" t="n"/>
      <c r="P1447" s="17">
        <f>IF($B1447="","",IF($F1447="※类别不在基础资料里","※费用类别不在基础资料里",IF(AND(N($J1447)=0,N($K1447)=0),"※这行没填金额",IF(AND(N($J1447)&gt;0,N($K1447)&gt;0),"※收入和支出不能同一行都填",IF(AND($D1447="收入",N($J1447)=0),"※收入行要填收入金额",IF(AND($D1447="支出",N($K1447)=0),"※支出行要填支出金额",IF(AND($C1447&lt;&gt;"",ISNA(MATCH($C1447,账户表,0))),"※账户不在基础资料里",IF(AND($G1447&lt;&gt;"",ISNA(MATCH($G1447,项目名表,0))),"※项目不在项目台账里",IF(AND(LEFT($F1447,3)="成本-",$G1447=""),"※成本类支出没填项目",IF(AND(LEFT($F1447,3)="成本-",$H1447&lt;&gt;"",N($K1447)&gt;0,COUNTIFS(采购单!$B:$B,$B1447,采购单!$C:$C,$H1447,采购单!$L:$L,$K1447)&gt;0),"※这笔可能和采购单重复了",""))))))))))</f>
        <v/>
      </c>
    </row>
    <row r="1448">
      <c r="A1448" s="17">
        <f>IF($B1448="","",ROW()-3)</f>
        <v/>
      </c>
      <c r="B1448" s="18" t="n"/>
      <c r="C1448" s="13" t="n"/>
      <c r="D1448" s="13" t="n"/>
      <c r="E1448" s="13" t="n"/>
      <c r="F1448" s="17">
        <f>IF($E1448="","",IFERROR(VLOOKUP($E1448,类别归属,2,0),"※类别不在基础资料里"))</f>
        <v/>
      </c>
      <c r="G1448" s="13" t="n"/>
      <c r="H1448" s="13" t="n"/>
      <c r="I1448" s="13" t="n"/>
      <c r="J1448" s="14" t="n"/>
      <c r="K1448" s="14" t="n"/>
      <c r="L1448" s="19">
        <f>IF($C1448="","",ROUND(IFERROR(VLOOKUP($C1448,账户期初,2,0),0)+SUMIFS($J$4:J1448,$C$4:C1448,$C1448)-SUMIFS($K$4:K1448,$C$4:C1448,$C1448),2))</f>
        <v/>
      </c>
      <c r="M1448" s="19">
        <f>IF($C1448="","",ROUND(SUM(基础资料!$B$4:$B$13)+SUM($J$4:J1448)-SUM($K$4:K1448),2))</f>
        <v/>
      </c>
      <c r="N1448" s="13" t="n"/>
      <c r="O1448" s="13" t="n"/>
      <c r="P1448" s="17">
        <f>IF($B1448="","",IF($F1448="※类别不在基础资料里","※费用类别不在基础资料里",IF(AND(N($J1448)=0,N($K1448)=0),"※这行没填金额",IF(AND(N($J1448)&gt;0,N($K1448)&gt;0),"※收入和支出不能同一行都填",IF(AND($D1448="收入",N($J1448)=0),"※收入行要填收入金额",IF(AND($D1448="支出",N($K1448)=0),"※支出行要填支出金额",IF(AND($C1448&lt;&gt;"",ISNA(MATCH($C1448,账户表,0))),"※账户不在基础资料里",IF(AND($G1448&lt;&gt;"",ISNA(MATCH($G1448,项目名表,0))),"※项目不在项目台账里",IF(AND(LEFT($F1448,3)="成本-",$G1448=""),"※成本类支出没填项目",IF(AND(LEFT($F1448,3)="成本-",$H1448&lt;&gt;"",N($K1448)&gt;0,COUNTIFS(采购单!$B:$B,$B1448,采购单!$C:$C,$H1448,采购单!$L:$L,$K1448)&gt;0),"※这笔可能和采购单重复了",""))))))))))</f>
        <v/>
      </c>
    </row>
    <row r="1449">
      <c r="A1449" s="17">
        <f>IF($B1449="","",ROW()-3)</f>
        <v/>
      </c>
      <c r="B1449" s="18" t="n"/>
      <c r="C1449" s="13" t="n"/>
      <c r="D1449" s="13" t="n"/>
      <c r="E1449" s="13" t="n"/>
      <c r="F1449" s="17">
        <f>IF($E1449="","",IFERROR(VLOOKUP($E1449,类别归属,2,0),"※类别不在基础资料里"))</f>
        <v/>
      </c>
      <c r="G1449" s="13" t="n"/>
      <c r="H1449" s="13" t="n"/>
      <c r="I1449" s="13" t="n"/>
      <c r="J1449" s="14" t="n"/>
      <c r="K1449" s="14" t="n"/>
      <c r="L1449" s="19">
        <f>IF($C1449="","",ROUND(IFERROR(VLOOKUP($C1449,账户期初,2,0),0)+SUMIFS($J$4:J1449,$C$4:C1449,$C1449)-SUMIFS($K$4:K1449,$C$4:C1449,$C1449),2))</f>
        <v/>
      </c>
      <c r="M1449" s="19">
        <f>IF($C1449="","",ROUND(SUM(基础资料!$B$4:$B$13)+SUM($J$4:J1449)-SUM($K$4:K1449),2))</f>
        <v/>
      </c>
      <c r="N1449" s="13" t="n"/>
      <c r="O1449" s="13" t="n"/>
      <c r="P1449" s="17">
        <f>IF($B1449="","",IF($F1449="※类别不在基础资料里","※费用类别不在基础资料里",IF(AND(N($J1449)=0,N($K1449)=0),"※这行没填金额",IF(AND(N($J1449)&gt;0,N($K1449)&gt;0),"※收入和支出不能同一行都填",IF(AND($D1449="收入",N($J1449)=0),"※收入行要填收入金额",IF(AND($D1449="支出",N($K1449)=0),"※支出行要填支出金额",IF(AND($C1449&lt;&gt;"",ISNA(MATCH($C1449,账户表,0))),"※账户不在基础资料里",IF(AND($G1449&lt;&gt;"",ISNA(MATCH($G1449,项目名表,0))),"※项目不在项目台账里",IF(AND(LEFT($F1449,3)="成本-",$G1449=""),"※成本类支出没填项目",IF(AND(LEFT($F1449,3)="成本-",$H1449&lt;&gt;"",N($K1449)&gt;0,COUNTIFS(采购单!$B:$B,$B1449,采购单!$C:$C,$H1449,采购单!$L:$L,$K1449)&gt;0),"※这笔可能和采购单重复了",""))))))))))</f>
        <v/>
      </c>
    </row>
    <row r="1450">
      <c r="A1450" s="17">
        <f>IF($B1450="","",ROW()-3)</f>
        <v/>
      </c>
      <c r="B1450" s="18" t="n"/>
      <c r="C1450" s="13" t="n"/>
      <c r="D1450" s="13" t="n"/>
      <c r="E1450" s="13" t="n"/>
      <c r="F1450" s="17">
        <f>IF($E1450="","",IFERROR(VLOOKUP($E1450,类别归属,2,0),"※类别不在基础资料里"))</f>
        <v/>
      </c>
      <c r="G1450" s="13" t="n"/>
      <c r="H1450" s="13" t="n"/>
      <c r="I1450" s="13" t="n"/>
      <c r="J1450" s="14" t="n"/>
      <c r="K1450" s="14" t="n"/>
      <c r="L1450" s="19">
        <f>IF($C1450="","",ROUND(IFERROR(VLOOKUP($C1450,账户期初,2,0),0)+SUMIFS($J$4:J1450,$C$4:C1450,$C1450)-SUMIFS($K$4:K1450,$C$4:C1450,$C1450),2))</f>
        <v/>
      </c>
      <c r="M1450" s="19">
        <f>IF($C1450="","",ROUND(SUM(基础资料!$B$4:$B$13)+SUM($J$4:J1450)-SUM($K$4:K1450),2))</f>
        <v/>
      </c>
      <c r="N1450" s="13" t="n"/>
      <c r="O1450" s="13" t="n"/>
      <c r="P1450" s="17">
        <f>IF($B1450="","",IF($F1450="※类别不在基础资料里","※费用类别不在基础资料里",IF(AND(N($J1450)=0,N($K1450)=0),"※这行没填金额",IF(AND(N($J1450)&gt;0,N($K1450)&gt;0),"※收入和支出不能同一行都填",IF(AND($D1450="收入",N($J1450)=0),"※收入行要填收入金额",IF(AND($D1450="支出",N($K1450)=0),"※支出行要填支出金额",IF(AND($C1450&lt;&gt;"",ISNA(MATCH($C1450,账户表,0))),"※账户不在基础资料里",IF(AND($G1450&lt;&gt;"",ISNA(MATCH($G1450,项目名表,0))),"※项目不在项目台账里",IF(AND(LEFT($F1450,3)="成本-",$G1450=""),"※成本类支出没填项目",IF(AND(LEFT($F1450,3)="成本-",$H1450&lt;&gt;"",N($K1450)&gt;0,COUNTIFS(采购单!$B:$B,$B1450,采购单!$C:$C,$H1450,采购单!$L:$L,$K1450)&gt;0),"※这笔可能和采购单重复了",""))))))))))</f>
        <v/>
      </c>
    </row>
    <row r="1451">
      <c r="A1451" s="17">
        <f>IF($B1451="","",ROW()-3)</f>
        <v/>
      </c>
      <c r="B1451" s="18" t="n"/>
      <c r="C1451" s="13" t="n"/>
      <c r="D1451" s="13" t="n"/>
      <c r="E1451" s="13" t="n"/>
      <c r="F1451" s="17">
        <f>IF($E1451="","",IFERROR(VLOOKUP($E1451,类别归属,2,0),"※类别不在基础资料里"))</f>
        <v/>
      </c>
      <c r="G1451" s="13" t="n"/>
      <c r="H1451" s="13" t="n"/>
      <c r="I1451" s="13" t="n"/>
      <c r="J1451" s="14" t="n"/>
      <c r="K1451" s="14" t="n"/>
      <c r="L1451" s="19">
        <f>IF($C1451="","",ROUND(IFERROR(VLOOKUP($C1451,账户期初,2,0),0)+SUMIFS($J$4:J1451,$C$4:C1451,$C1451)-SUMIFS($K$4:K1451,$C$4:C1451,$C1451),2))</f>
        <v/>
      </c>
      <c r="M1451" s="19">
        <f>IF($C1451="","",ROUND(SUM(基础资料!$B$4:$B$13)+SUM($J$4:J1451)-SUM($K$4:K1451),2))</f>
        <v/>
      </c>
      <c r="N1451" s="13" t="n"/>
      <c r="O1451" s="13" t="n"/>
      <c r="P1451" s="17">
        <f>IF($B1451="","",IF($F1451="※类别不在基础资料里","※费用类别不在基础资料里",IF(AND(N($J1451)=0,N($K1451)=0),"※这行没填金额",IF(AND(N($J1451)&gt;0,N($K1451)&gt;0),"※收入和支出不能同一行都填",IF(AND($D1451="收入",N($J1451)=0),"※收入行要填收入金额",IF(AND($D1451="支出",N($K1451)=0),"※支出行要填支出金额",IF(AND($C1451&lt;&gt;"",ISNA(MATCH($C1451,账户表,0))),"※账户不在基础资料里",IF(AND($G1451&lt;&gt;"",ISNA(MATCH($G1451,项目名表,0))),"※项目不在项目台账里",IF(AND(LEFT($F1451,3)="成本-",$G1451=""),"※成本类支出没填项目",IF(AND(LEFT($F1451,3)="成本-",$H1451&lt;&gt;"",N($K1451)&gt;0,COUNTIFS(采购单!$B:$B,$B1451,采购单!$C:$C,$H1451,采购单!$L:$L,$K1451)&gt;0),"※这笔可能和采购单重复了",""))))))))))</f>
        <v/>
      </c>
    </row>
    <row r="1452">
      <c r="A1452" s="17">
        <f>IF($B1452="","",ROW()-3)</f>
        <v/>
      </c>
      <c r="B1452" s="18" t="n"/>
      <c r="C1452" s="13" t="n"/>
      <c r="D1452" s="13" t="n"/>
      <c r="E1452" s="13" t="n"/>
      <c r="F1452" s="17">
        <f>IF($E1452="","",IFERROR(VLOOKUP($E1452,类别归属,2,0),"※类别不在基础资料里"))</f>
        <v/>
      </c>
      <c r="G1452" s="13" t="n"/>
      <c r="H1452" s="13" t="n"/>
      <c r="I1452" s="13" t="n"/>
      <c r="J1452" s="14" t="n"/>
      <c r="K1452" s="14" t="n"/>
      <c r="L1452" s="19">
        <f>IF($C1452="","",ROUND(IFERROR(VLOOKUP($C1452,账户期初,2,0),0)+SUMIFS($J$4:J1452,$C$4:C1452,$C1452)-SUMIFS($K$4:K1452,$C$4:C1452,$C1452),2))</f>
        <v/>
      </c>
      <c r="M1452" s="19">
        <f>IF($C1452="","",ROUND(SUM(基础资料!$B$4:$B$13)+SUM($J$4:J1452)-SUM($K$4:K1452),2))</f>
        <v/>
      </c>
      <c r="N1452" s="13" t="n"/>
      <c r="O1452" s="13" t="n"/>
      <c r="P1452" s="17">
        <f>IF($B1452="","",IF($F1452="※类别不在基础资料里","※费用类别不在基础资料里",IF(AND(N($J1452)=0,N($K1452)=0),"※这行没填金额",IF(AND(N($J1452)&gt;0,N($K1452)&gt;0),"※收入和支出不能同一行都填",IF(AND($D1452="收入",N($J1452)=0),"※收入行要填收入金额",IF(AND($D1452="支出",N($K1452)=0),"※支出行要填支出金额",IF(AND($C1452&lt;&gt;"",ISNA(MATCH($C1452,账户表,0))),"※账户不在基础资料里",IF(AND($G1452&lt;&gt;"",ISNA(MATCH($G1452,项目名表,0))),"※项目不在项目台账里",IF(AND(LEFT($F1452,3)="成本-",$G1452=""),"※成本类支出没填项目",IF(AND(LEFT($F1452,3)="成本-",$H1452&lt;&gt;"",N($K1452)&gt;0,COUNTIFS(采购单!$B:$B,$B1452,采购单!$C:$C,$H1452,采购单!$L:$L,$K1452)&gt;0),"※这笔可能和采购单重复了",""))))))))))</f>
        <v/>
      </c>
    </row>
    <row r="1453">
      <c r="A1453" s="17">
        <f>IF($B1453="","",ROW()-3)</f>
        <v/>
      </c>
      <c r="B1453" s="18" t="n"/>
      <c r="C1453" s="13" t="n"/>
      <c r="D1453" s="13" t="n"/>
      <c r="E1453" s="13" t="n"/>
      <c r="F1453" s="17">
        <f>IF($E1453="","",IFERROR(VLOOKUP($E1453,类别归属,2,0),"※类别不在基础资料里"))</f>
        <v/>
      </c>
      <c r="G1453" s="13" t="n"/>
      <c r="H1453" s="13" t="n"/>
      <c r="I1453" s="13" t="n"/>
      <c r="J1453" s="14" t="n"/>
      <c r="K1453" s="14" t="n"/>
      <c r="L1453" s="19">
        <f>IF($C1453="","",ROUND(IFERROR(VLOOKUP($C1453,账户期初,2,0),0)+SUMIFS($J$4:J1453,$C$4:C1453,$C1453)-SUMIFS($K$4:K1453,$C$4:C1453,$C1453),2))</f>
        <v/>
      </c>
      <c r="M1453" s="19">
        <f>IF($C1453="","",ROUND(SUM(基础资料!$B$4:$B$13)+SUM($J$4:J1453)-SUM($K$4:K1453),2))</f>
        <v/>
      </c>
      <c r="N1453" s="13" t="n"/>
      <c r="O1453" s="13" t="n"/>
      <c r="P1453" s="17">
        <f>IF($B1453="","",IF($F1453="※类别不在基础资料里","※费用类别不在基础资料里",IF(AND(N($J1453)=0,N($K1453)=0),"※这行没填金额",IF(AND(N($J1453)&gt;0,N($K1453)&gt;0),"※收入和支出不能同一行都填",IF(AND($D1453="收入",N($J1453)=0),"※收入行要填收入金额",IF(AND($D1453="支出",N($K1453)=0),"※支出行要填支出金额",IF(AND($C1453&lt;&gt;"",ISNA(MATCH($C1453,账户表,0))),"※账户不在基础资料里",IF(AND($G1453&lt;&gt;"",ISNA(MATCH($G1453,项目名表,0))),"※项目不在项目台账里",IF(AND(LEFT($F1453,3)="成本-",$G1453=""),"※成本类支出没填项目",IF(AND(LEFT($F1453,3)="成本-",$H1453&lt;&gt;"",N($K1453)&gt;0,COUNTIFS(采购单!$B:$B,$B1453,采购单!$C:$C,$H1453,采购单!$L:$L,$K1453)&gt;0),"※这笔可能和采购单重复了",""))))))))))</f>
        <v/>
      </c>
    </row>
    <row r="1454">
      <c r="A1454" s="17">
        <f>IF($B1454="","",ROW()-3)</f>
        <v/>
      </c>
      <c r="B1454" s="18" t="n"/>
      <c r="C1454" s="13" t="n"/>
      <c r="D1454" s="13" t="n"/>
      <c r="E1454" s="13" t="n"/>
      <c r="F1454" s="17">
        <f>IF($E1454="","",IFERROR(VLOOKUP($E1454,类别归属,2,0),"※类别不在基础资料里"))</f>
        <v/>
      </c>
      <c r="G1454" s="13" t="n"/>
      <c r="H1454" s="13" t="n"/>
      <c r="I1454" s="13" t="n"/>
      <c r="J1454" s="14" t="n"/>
      <c r="K1454" s="14" t="n"/>
      <c r="L1454" s="19">
        <f>IF($C1454="","",ROUND(IFERROR(VLOOKUP($C1454,账户期初,2,0),0)+SUMIFS($J$4:J1454,$C$4:C1454,$C1454)-SUMIFS($K$4:K1454,$C$4:C1454,$C1454),2))</f>
        <v/>
      </c>
      <c r="M1454" s="19">
        <f>IF($C1454="","",ROUND(SUM(基础资料!$B$4:$B$13)+SUM($J$4:J1454)-SUM($K$4:K1454),2))</f>
        <v/>
      </c>
      <c r="N1454" s="13" t="n"/>
      <c r="O1454" s="13" t="n"/>
      <c r="P1454" s="17">
        <f>IF($B1454="","",IF($F1454="※类别不在基础资料里","※费用类别不在基础资料里",IF(AND(N($J1454)=0,N($K1454)=0),"※这行没填金额",IF(AND(N($J1454)&gt;0,N($K1454)&gt;0),"※收入和支出不能同一行都填",IF(AND($D1454="收入",N($J1454)=0),"※收入行要填收入金额",IF(AND($D1454="支出",N($K1454)=0),"※支出行要填支出金额",IF(AND($C1454&lt;&gt;"",ISNA(MATCH($C1454,账户表,0))),"※账户不在基础资料里",IF(AND($G1454&lt;&gt;"",ISNA(MATCH($G1454,项目名表,0))),"※项目不在项目台账里",IF(AND(LEFT($F1454,3)="成本-",$G1454=""),"※成本类支出没填项目",IF(AND(LEFT($F1454,3)="成本-",$H1454&lt;&gt;"",N($K1454)&gt;0,COUNTIFS(采购单!$B:$B,$B1454,采购单!$C:$C,$H1454,采购单!$L:$L,$K1454)&gt;0),"※这笔可能和采购单重复了",""))))))))))</f>
        <v/>
      </c>
    </row>
    <row r="1455">
      <c r="A1455" s="17">
        <f>IF($B1455="","",ROW()-3)</f>
        <v/>
      </c>
      <c r="B1455" s="18" t="n"/>
      <c r="C1455" s="13" t="n"/>
      <c r="D1455" s="13" t="n"/>
      <c r="E1455" s="13" t="n"/>
      <c r="F1455" s="17">
        <f>IF($E1455="","",IFERROR(VLOOKUP($E1455,类别归属,2,0),"※类别不在基础资料里"))</f>
        <v/>
      </c>
      <c r="G1455" s="13" t="n"/>
      <c r="H1455" s="13" t="n"/>
      <c r="I1455" s="13" t="n"/>
      <c r="J1455" s="14" t="n"/>
      <c r="K1455" s="14" t="n"/>
      <c r="L1455" s="19">
        <f>IF($C1455="","",ROUND(IFERROR(VLOOKUP($C1455,账户期初,2,0),0)+SUMIFS($J$4:J1455,$C$4:C1455,$C1455)-SUMIFS($K$4:K1455,$C$4:C1455,$C1455),2))</f>
        <v/>
      </c>
      <c r="M1455" s="19">
        <f>IF($C1455="","",ROUND(SUM(基础资料!$B$4:$B$13)+SUM($J$4:J1455)-SUM($K$4:K1455),2))</f>
        <v/>
      </c>
      <c r="N1455" s="13" t="n"/>
      <c r="O1455" s="13" t="n"/>
      <c r="P1455" s="17">
        <f>IF($B1455="","",IF($F1455="※类别不在基础资料里","※费用类别不在基础资料里",IF(AND(N($J1455)=0,N($K1455)=0),"※这行没填金额",IF(AND(N($J1455)&gt;0,N($K1455)&gt;0),"※收入和支出不能同一行都填",IF(AND($D1455="收入",N($J1455)=0),"※收入行要填收入金额",IF(AND($D1455="支出",N($K1455)=0),"※支出行要填支出金额",IF(AND($C1455&lt;&gt;"",ISNA(MATCH($C1455,账户表,0))),"※账户不在基础资料里",IF(AND($G1455&lt;&gt;"",ISNA(MATCH($G1455,项目名表,0))),"※项目不在项目台账里",IF(AND(LEFT($F1455,3)="成本-",$G1455=""),"※成本类支出没填项目",IF(AND(LEFT($F1455,3)="成本-",$H1455&lt;&gt;"",N($K1455)&gt;0,COUNTIFS(采购单!$B:$B,$B1455,采购单!$C:$C,$H1455,采购单!$L:$L,$K1455)&gt;0),"※这笔可能和采购单重复了",""))))))))))</f>
        <v/>
      </c>
    </row>
    <row r="1456">
      <c r="A1456" s="17">
        <f>IF($B1456="","",ROW()-3)</f>
        <v/>
      </c>
      <c r="B1456" s="18" t="n"/>
      <c r="C1456" s="13" t="n"/>
      <c r="D1456" s="13" t="n"/>
      <c r="E1456" s="13" t="n"/>
      <c r="F1456" s="17">
        <f>IF($E1456="","",IFERROR(VLOOKUP($E1456,类别归属,2,0),"※类别不在基础资料里"))</f>
        <v/>
      </c>
      <c r="G1456" s="13" t="n"/>
      <c r="H1456" s="13" t="n"/>
      <c r="I1456" s="13" t="n"/>
      <c r="J1456" s="14" t="n"/>
      <c r="K1456" s="14" t="n"/>
      <c r="L1456" s="19">
        <f>IF($C1456="","",ROUND(IFERROR(VLOOKUP($C1456,账户期初,2,0),0)+SUMIFS($J$4:J1456,$C$4:C1456,$C1456)-SUMIFS($K$4:K1456,$C$4:C1456,$C1456),2))</f>
        <v/>
      </c>
      <c r="M1456" s="19">
        <f>IF($C1456="","",ROUND(SUM(基础资料!$B$4:$B$13)+SUM($J$4:J1456)-SUM($K$4:K1456),2))</f>
        <v/>
      </c>
      <c r="N1456" s="13" t="n"/>
      <c r="O1456" s="13" t="n"/>
      <c r="P1456" s="17">
        <f>IF($B1456="","",IF($F1456="※类别不在基础资料里","※费用类别不在基础资料里",IF(AND(N($J1456)=0,N($K1456)=0),"※这行没填金额",IF(AND(N($J1456)&gt;0,N($K1456)&gt;0),"※收入和支出不能同一行都填",IF(AND($D1456="收入",N($J1456)=0),"※收入行要填收入金额",IF(AND($D1456="支出",N($K1456)=0),"※支出行要填支出金额",IF(AND($C1456&lt;&gt;"",ISNA(MATCH($C1456,账户表,0))),"※账户不在基础资料里",IF(AND($G1456&lt;&gt;"",ISNA(MATCH($G1456,项目名表,0))),"※项目不在项目台账里",IF(AND(LEFT($F1456,3)="成本-",$G1456=""),"※成本类支出没填项目",IF(AND(LEFT($F1456,3)="成本-",$H1456&lt;&gt;"",N($K1456)&gt;0,COUNTIFS(采购单!$B:$B,$B1456,采购单!$C:$C,$H1456,采购单!$L:$L,$K1456)&gt;0),"※这笔可能和采购单重复了",""))))))))))</f>
        <v/>
      </c>
    </row>
    <row r="1457">
      <c r="A1457" s="17">
        <f>IF($B1457="","",ROW()-3)</f>
        <v/>
      </c>
      <c r="B1457" s="18" t="n"/>
      <c r="C1457" s="13" t="n"/>
      <c r="D1457" s="13" t="n"/>
      <c r="E1457" s="13" t="n"/>
      <c r="F1457" s="17">
        <f>IF($E1457="","",IFERROR(VLOOKUP($E1457,类别归属,2,0),"※类别不在基础资料里"))</f>
        <v/>
      </c>
      <c r="G1457" s="13" t="n"/>
      <c r="H1457" s="13" t="n"/>
      <c r="I1457" s="13" t="n"/>
      <c r="J1457" s="14" t="n"/>
      <c r="K1457" s="14" t="n"/>
      <c r="L1457" s="19">
        <f>IF($C1457="","",ROUND(IFERROR(VLOOKUP($C1457,账户期初,2,0),0)+SUMIFS($J$4:J1457,$C$4:C1457,$C1457)-SUMIFS($K$4:K1457,$C$4:C1457,$C1457),2))</f>
        <v/>
      </c>
      <c r="M1457" s="19">
        <f>IF($C1457="","",ROUND(SUM(基础资料!$B$4:$B$13)+SUM($J$4:J1457)-SUM($K$4:K1457),2))</f>
        <v/>
      </c>
      <c r="N1457" s="13" t="n"/>
      <c r="O1457" s="13" t="n"/>
      <c r="P1457" s="17">
        <f>IF($B1457="","",IF($F1457="※类别不在基础资料里","※费用类别不在基础资料里",IF(AND(N($J1457)=0,N($K1457)=0),"※这行没填金额",IF(AND(N($J1457)&gt;0,N($K1457)&gt;0),"※收入和支出不能同一行都填",IF(AND($D1457="收入",N($J1457)=0),"※收入行要填收入金额",IF(AND($D1457="支出",N($K1457)=0),"※支出行要填支出金额",IF(AND($C1457&lt;&gt;"",ISNA(MATCH($C1457,账户表,0))),"※账户不在基础资料里",IF(AND($G1457&lt;&gt;"",ISNA(MATCH($G1457,项目名表,0))),"※项目不在项目台账里",IF(AND(LEFT($F1457,3)="成本-",$G1457=""),"※成本类支出没填项目",IF(AND(LEFT($F1457,3)="成本-",$H1457&lt;&gt;"",N($K1457)&gt;0,COUNTIFS(采购单!$B:$B,$B1457,采购单!$C:$C,$H1457,采购单!$L:$L,$K1457)&gt;0),"※这笔可能和采购单重复了",""))))))))))</f>
        <v/>
      </c>
    </row>
    <row r="1458">
      <c r="A1458" s="17">
        <f>IF($B1458="","",ROW()-3)</f>
        <v/>
      </c>
      <c r="B1458" s="18" t="n"/>
      <c r="C1458" s="13" t="n"/>
      <c r="D1458" s="13" t="n"/>
      <c r="E1458" s="13" t="n"/>
      <c r="F1458" s="17">
        <f>IF($E1458="","",IFERROR(VLOOKUP($E1458,类别归属,2,0),"※类别不在基础资料里"))</f>
        <v/>
      </c>
      <c r="G1458" s="13" t="n"/>
      <c r="H1458" s="13" t="n"/>
      <c r="I1458" s="13" t="n"/>
      <c r="J1458" s="14" t="n"/>
      <c r="K1458" s="14" t="n"/>
      <c r="L1458" s="19">
        <f>IF($C1458="","",ROUND(IFERROR(VLOOKUP($C1458,账户期初,2,0),0)+SUMIFS($J$4:J1458,$C$4:C1458,$C1458)-SUMIFS($K$4:K1458,$C$4:C1458,$C1458),2))</f>
        <v/>
      </c>
      <c r="M1458" s="19">
        <f>IF($C1458="","",ROUND(SUM(基础资料!$B$4:$B$13)+SUM($J$4:J1458)-SUM($K$4:K1458),2))</f>
        <v/>
      </c>
      <c r="N1458" s="13" t="n"/>
      <c r="O1458" s="13" t="n"/>
      <c r="P1458" s="17">
        <f>IF($B1458="","",IF($F1458="※类别不在基础资料里","※费用类别不在基础资料里",IF(AND(N($J1458)=0,N($K1458)=0),"※这行没填金额",IF(AND(N($J1458)&gt;0,N($K1458)&gt;0),"※收入和支出不能同一行都填",IF(AND($D1458="收入",N($J1458)=0),"※收入行要填收入金额",IF(AND($D1458="支出",N($K1458)=0),"※支出行要填支出金额",IF(AND($C1458&lt;&gt;"",ISNA(MATCH($C1458,账户表,0))),"※账户不在基础资料里",IF(AND($G1458&lt;&gt;"",ISNA(MATCH($G1458,项目名表,0))),"※项目不在项目台账里",IF(AND(LEFT($F1458,3)="成本-",$G1458=""),"※成本类支出没填项目",IF(AND(LEFT($F1458,3)="成本-",$H1458&lt;&gt;"",N($K1458)&gt;0,COUNTIFS(采购单!$B:$B,$B1458,采购单!$C:$C,$H1458,采购单!$L:$L,$K1458)&gt;0),"※这笔可能和采购单重复了",""))))))))))</f>
        <v/>
      </c>
    </row>
    <row r="1459">
      <c r="A1459" s="17">
        <f>IF($B1459="","",ROW()-3)</f>
        <v/>
      </c>
      <c r="B1459" s="18" t="n"/>
      <c r="C1459" s="13" t="n"/>
      <c r="D1459" s="13" t="n"/>
      <c r="E1459" s="13" t="n"/>
      <c r="F1459" s="17">
        <f>IF($E1459="","",IFERROR(VLOOKUP($E1459,类别归属,2,0),"※类别不在基础资料里"))</f>
        <v/>
      </c>
      <c r="G1459" s="13" t="n"/>
      <c r="H1459" s="13" t="n"/>
      <c r="I1459" s="13" t="n"/>
      <c r="J1459" s="14" t="n"/>
      <c r="K1459" s="14" t="n"/>
      <c r="L1459" s="19">
        <f>IF($C1459="","",ROUND(IFERROR(VLOOKUP($C1459,账户期初,2,0),0)+SUMIFS($J$4:J1459,$C$4:C1459,$C1459)-SUMIFS($K$4:K1459,$C$4:C1459,$C1459),2))</f>
        <v/>
      </c>
      <c r="M1459" s="19">
        <f>IF($C1459="","",ROUND(SUM(基础资料!$B$4:$B$13)+SUM($J$4:J1459)-SUM($K$4:K1459),2))</f>
        <v/>
      </c>
      <c r="N1459" s="13" t="n"/>
      <c r="O1459" s="13" t="n"/>
      <c r="P1459" s="17">
        <f>IF($B1459="","",IF($F1459="※类别不在基础资料里","※费用类别不在基础资料里",IF(AND(N($J1459)=0,N($K1459)=0),"※这行没填金额",IF(AND(N($J1459)&gt;0,N($K1459)&gt;0),"※收入和支出不能同一行都填",IF(AND($D1459="收入",N($J1459)=0),"※收入行要填收入金额",IF(AND($D1459="支出",N($K1459)=0),"※支出行要填支出金额",IF(AND($C1459&lt;&gt;"",ISNA(MATCH($C1459,账户表,0))),"※账户不在基础资料里",IF(AND($G1459&lt;&gt;"",ISNA(MATCH($G1459,项目名表,0))),"※项目不在项目台账里",IF(AND(LEFT($F1459,3)="成本-",$G1459=""),"※成本类支出没填项目",IF(AND(LEFT($F1459,3)="成本-",$H1459&lt;&gt;"",N($K1459)&gt;0,COUNTIFS(采购单!$B:$B,$B1459,采购单!$C:$C,$H1459,采购单!$L:$L,$K1459)&gt;0),"※这笔可能和采购单重复了",""))))))))))</f>
        <v/>
      </c>
    </row>
    <row r="1460">
      <c r="A1460" s="17">
        <f>IF($B1460="","",ROW()-3)</f>
        <v/>
      </c>
      <c r="B1460" s="18" t="n"/>
      <c r="C1460" s="13" t="n"/>
      <c r="D1460" s="13" t="n"/>
      <c r="E1460" s="13" t="n"/>
      <c r="F1460" s="17">
        <f>IF($E1460="","",IFERROR(VLOOKUP($E1460,类别归属,2,0),"※类别不在基础资料里"))</f>
        <v/>
      </c>
      <c r="G1460" s="13" t="n"/>
      <c r="H1460" s="13" t="n"/>
      <c r="I1460" s="13" t="n"/>
      <c r="J1460" s="14" t="n"/>
      <c r="K1460" s="14" t="n"/>
      <c r="L1460" s="19">
        <f>IF($C1460="","",ROUND(IFERROR(VLOOKUP($C1460,账户期初,2,0),0)+SUMIFS($J$4:J1460,$C$4:C1460,$C1460)-SUMIFS($K$4:K1460,$C$4:C1460,$C1460),2))</f>
        <v/>
      </c>
      <c r="M1460" s="19">
        <f>IF($C1460="","",ROUND(SUM(基础资料!$B$4:$B$13)+SUM($J$4:J1460)-SUM($K$4:K1460),2))</f>
        <v/>
      </c>
      <c r="N1460" s="13" t="n"/>
      <c r="O1460" s="13" t="n"/>
      <c r="P1460" s="17">
        <f>IF($B1460="","",IF($F1460="※类别不在基础资料里","※费用类别不在基础资料里",IF(AND(N($J1460)=0,N($K1460)=0),"※这行没填金额",IF(AND(N($J1460)&gt;0,N($K1460)&gt;0),"※收入和支出不能同一行都填",IF(AND($D1460="收入",N($J1460)=0),"※收入行要填收入金额",IF(AND($D1460="支出",N($K1460)=0),"※支出行要填支出金额",IF(AND($C1460&lt;&gt;"",ISNA(MATCH($C1460,账户表,0))),"※账户不在基础资料里",IF(AND($G1460&lt;&gt;"",ISNA(MATCH($G1460,项目名表,0))),"※项目不在项目台账里",IF(AND(LEFT($F1460,3)="成本-",$G1460=""),"※成本类支出没填项目",IF(AND(LEFT($F1460,3)="成本-",$H1460&lt;&gt;"",N($K1460)&gt;0,COUNTIFS(采购单!$B:$B,$B1460,采购单!$C:$C,$H1460,采购单!$L:$L,$K1460)&gt;0),"※这笔可能和采购单重复了",""))))))))))</f>
        <v/>
      </c>
    </row>
    <row r="1461">
      <c r="A1461" s="17">
        <f>IF($B1461="","",ROW()-3)</f>
        <v/>
      </c>
      <c r="B1461" s="18" t="n"/>
      <c r="C1461" s="13" t="n"/>
      <c r="D1461" s="13" t="n"/>
      <c r="E1461" s="13" t="n"/>
      <c r="F1461" s="17">
        <f>IF($E1461="","",IFERROR(VLOOKUP($E1461,类别归属,2,0),"※类别不在基础资料里"))</f>
        <v/>
      </c>
      <c r="G1461" s="13" t="n"/>
      <c r="H1461" s="13" t="n"/>
      <c r="I1461" s="13" t="n"/>
      <c r="J1461" s="14" t="n"/>
      <c r="K1461" s="14" t="n"/>
      <c r="L1461" s="19">
        <f>IF($C1461="","",ROUND(IFERROR(VLOOKUP($C1461,账户期初,2,0),0)+SUMIFS($J$4:J1461,$C$4:C1461,$C1461)-SUMIFS($K$4:K1461,$C$4:C1461,$C1461),2))</f>
        <v/>
      </c>
      <c r="M1461" s="19">
        <f>IF($C1461="","",ROUND(SUM(基础资料!$B$4:$B$13)+SUM($J$4:J1461)-SUM($K$4:K1461),2))</f>
        <v/>
      </c>
      <c r="N1461" s="13" t="n"/>
      <c r="O1461" s="13" t="n"/>
      <c r="P1461" s="17">
        <f>IF($B1461="","",IF($F1461="※类别不在基础资料里","※费用类别不在基础资料里",IF(AND(N($J1461)=0,N($K1461)=0),"※这行没填金额",IF(AND(N($J1461)&gt;0,N($K1461)&gt;0),"※收入和支出不能同一行都填",IF(AND($D1461="收入",N($J1461)=0),"※收入行要填收入金额",IF(AND($D1461="支出",N($K1461)=0),"※支出行要填支出金额",IF(AND($C1461&lt;&gt;"",ISNA(MATCH($C1461,账户表,0))),"※账户不在基础资料里",IF(AND($G1461&lt;&gt;"",ISNA(MATCH($G1461,项目名表,0))),"※项目不在项目台账里",IF(AND(LEFT($F1461,3)="成本-",$G1461=""),"※成本类支出没填项目",IF(AND(LEFT($F1461,3)="成本-",$H1461&lt;&gt;"",N($K1461)&gt;0,COUNTIFS(采购单!$B:$B,$B1461,采购单!$C:$C,$H1461,采购单!$L:$L,$K1461)&gt;0),"※这笔可能和采购单重复了",""))))))))))</f>
        <v/>
      </c>
    </row>
    <row r="1462">
      <c r="A1462" s="17">
        <f>IF($B1462="","",ROW()-3)</f>
        <v/>
      </c>
      <c r="B1462" s="18" t="n"/>
      <c r="C1462" s="13" t="n"/>
      <c r="D1462" s="13" t="n"/>
      <c r="E1462" s="13" t="n"/>
      <c r="F1462" s="17">
        <f>IF($E1462="","",IFERROR(VLOOKUP($E1462,类别归属,2,0),"※类别不在基础资料里"))</f>
        <v/>
      </c>
      <c r="G1462" s="13" t="n"/>
      <c r="H1462" s="13" t="n"/>
      <c r="I1462" s="13" t="n"/>
      <c r="J1462" s="14" t="n"/>
      <c r="K1462" s="14" t="n"/>
      <c r="L1462" s="19">
        <f>IF($C1462="","",ROUND(IFERROR(VLOOKUP($C1462,账户期初,2,0),0)+SUMIFS($J$4:J1462,$C$4:C1462,$C1462)-SUMIFS($K$4:K1462,$C$4:C1462,$C1462),2))</f>
        <v/>
      </c>
      <c r="M1462" s="19">
        <f>IF($C1462="","",ROUND(SUM(基础资料!$B$4:$B$13)+SUM($J$4:J1462)-SUM($K$4:K1462),2))</f>
        <v/>
      </c>
      <c r="N1462" s="13" t="n"/>
      <c r="O1462" s="13" t="n"/>
      <c r="P1462" s="17">
        <f>IF($B1462="","",IF($F1462="※类别不在基础资料里","※费用类别不在基础资料里",IF(AND(N($J1462)=0,N($K1462)=0),"※这行没填金额",IF(AND(N($J1462)&gt;0,N($K1462)&gt;0),"※收入和支出不能同一行都填",IF(AND($D1462="收入",N($J1462)=0),"※收入行要填收入金额",IF(AND($D1462="支出",N($K1462)=0),"※支出行要填支出金额",IF(AND($C1462&lt;&gt;"",ISNA(MATCH($C1462,账户表,0))),"※账户不在基础资料里",IF(AND($G1462&lt;&gt;"",ISNA(MATCH($G1462,项目名表,0))),"※项目不在项目台账里",IF(AND(LEFT($F1462,3)="成本-",$G1462=""),"※成本类支出没填项目",IF(AND(LEFT($F1462,3)="成本-",$H1462&lt;&gt;"",N($K1462)&gt;0,COUNTIFS(采购单!$B:$B,$B1462,采购单!$C:$C,$H1462,采购单!$L:$L,$K1462)&gt;0),"※这笔可能和采购单重复了",""))))))))))</f>
        <v/>
      </c>
    </row>
    <row r="1463">
      <c r="A1463" s="17">
        <f>IF($B1463="","",ROW()-3)</f>
        <v/>
      </c>
      <c r="B1463" s="18" t="n"/>
      <c r="C1463" s="13" t="n"/>
      <c r="D1463" s="13" t="n"/>
      <c r="E1463" s="13" t="n"/>
      <c r="F1463" s="17">
        <f>IF($E1463="","",IFERROR(VLOOKUP($E1463,类别归属,2,0),"※类别不在基础资料里"))</f>
        <v/>
      </c>
      <c r="G1463" s="13" t="n"/>
      <c r="H1463" s="13" t="n"/>
      <c r="I1463" s="13" t="n"/>
      <c r="J1463" s="14" t="n"/>
      <c r="K1463" s="14" t="n"/>
      <c r="L1463" s="19">
        <f>IF($C1463="","",ROUND(IFERROR(VLOOKUP($C1463,账户期初,2,0),0)+SUMIFS($J$4:J1463,$C$4:C1463,$C1463)-SUMIFS($K$4:K1463,$C$4:C1463,$C1463),2))</f>
        <v/>
      </c>
      <c r="M1463" s="19">
        <f>IF($C1463="","",ROUND(SUM(基础资料!$B$4:$B$13)+SUM($J$4:J1463)-SUM($K$4:K1463),2))</f>
        <v/>
      </c>
      <c r="N1463" s="13" t="n"/>
      <c r="O1463" s="13" t="n"/>
      <c r="P1463" s="17">
        <f>IF($B1463="","",IF($F1463="※类别不在基础资料里","※费用类别不在基础资料里",IF(AND(N($J1463)=0,N($K1463)=0),"※这行没填金额",IF(AND(N($J1463)&gt;0,N($K1463)&gt;0),"※收入和支出不能同一行都填",IF(AND($D1463="收入",N($J1463)=0),"※收入行要填收入金额",IF(AND($D1463="支出",N($K1463)=0),"※支出行要填支出金额",IF(AND($C1463&lt;&gt;"",ISNA(MATCH($C1463,账户表,0))),"※账户不在基础资料里",IF(AND($G1463&lt;&gt;"",ISNA(MATCH($G1463,项目名表,0))),"※项目不在项目台账里",IF(AND(LEFT($F1463,3)="成本-",$G1463=""),"※成本类支出没填项目",IF(AND(LEFT($F1463,3)="成本-",$H1463&lt;&gt;"",N($K1463)&gt;0,COUNTIFS(采购单!$B:$B,$B1463,采购单!$C:$C,$H1463,采购单!$L:$L,$K1463)&gt;0),"※这笔可能和采购单重复了",""))))))))))</f>
        <v/>
      </c>
    </row>
    <row r="1464">
      <c r="A1464" s="17">
        <f>IF($B1464="","",ROW()-3)</f>
        <v/>
      </c>
      <c r="B1464" s="18" t="n"/>
      <c r="C1464" s="13" t="n"/>
      <c r="D1464" s="13" t="n"/>
      <c r="E1464" s="13" t="n"/>
      <c r="F1464" s="17">
        <f>IF($E1464="","",IFERROR(VLOOKUP($E1464,类别归属,2,0),"※类别不在基础资料里"))</f>
        <v/>
      </c>
      <c r="G1464" s="13" t="n"/>
      <c r="H1464" s="13" t="n"/>
      <c r="I1464" s="13" t="n"/>
      <c r="J1464" s="14" t="n"/>
      <c r="K1464" s="14" t="n"/>
      <c r="L1464" s="19">
        <f>IF($C1464="","",ROUND(IFERROR(VLOOKUP($C1464,账户期初,2,0),0)+SUMIFS($J$4:J1464,$C$4:C1464,$C1464)-SUMIFS($K$4:K1464,$C$4:C1464,$C1464),2))</f>
        <v/>
      </c>
      <c r="M1464" s="19">
        <f>IF($C1464="","",ROUND(SUM(基础资料!$B$4:$B$13)+SUM($J$4:J1464)-SUM($K$4:K1464),2))</f>
        <v/>
      </c>
      <c r="N1464" s="13" t="n"/>
      <c r="O1464" s="13" t="n"/>
      <c r="P1464" s="17">
        <f>IF($B1464="","",IF($F1464="※类别不在基础资料里","※费用类别不在基础资料里",IF(AND(N($J1464)=0,N($K1464)=0),"※这行没填金额",IF(AND(N($J1464)&gt;0,N($K1464)&gt;0),"※收入和支出不能同一行都填",IF(AND($D1464="收入",N($J1464)=0),"※收入行要填收入金额",IF(AND($D1464="支出",N($K1464)=0),"※支出行要填支出金额",IF(AND($C1464&lt;&gt;"",ISNA(MATCH($C1464,账户表,0))),"※账户不在基础资料里",IF(AND($G1464&lt;&gt;"",ISNA(MATCH($G1464,项目名表,0))),"※项目不在项目台账里",IF(AND(LEFT($F1464,3)="成本-",$G1464=""),"※成本类支出没填项目",IF(AND(LEFT($F1464,3)="成本-",$H1464&lt;&gt;"",N($K1464)&gt;0,COUNTIFS(采购单!$B:$B,$B1464,采购单!$C:$C,$H1464,采购单!$L:$L,$K1464)&gt;0),"※这笔可能和采购单重复了",""))))))))))</f>
        <v/>
      </c>
    </row>
    <row r="1465">
      <c r="A1465" s="17">
        <f>IF($B1465="","",ROW()-3)</f>
        <v/>
      </c>
      <c r="B1465" s="18" t="n"/>
      <c r="C1465" s="13" t="n"/>
      <c r="D1465" s="13" t="n"/>
      <c r="E1465" s="13" t="n"/>
      <c r="F1465" s="17">
        <f>IF($E1465="","",IFERROR(VLOOKUP($E1465,类别归属,2,0),"※类别不在基础资料里"))</f>
        <v/>
      </c>
      <c r="G1465" s="13" t="n"/>
      <c r="H1465" s="13" t="n"/>
      <c r="I1465" s="13" t="n"/>
      <c r="J1465" s="14" t="n"/>
      <c r="K1465" s="14" t="n"/>
      <c r="L1465" s="19">
        <f>IF($C1465="","",ROUND(IFERROR(VLOOKUP($C1465,账户期初,2,0),0)+SUMIFS($J$4:J1465,$C$4:C1465,$C1465)-SUMIFS($K$4:K1465,$C$4:C1465,$C1465),2))</f>
        <v/>
      </c>
      <c r="M1465" s="19">
        <f>IF($C1465="","",ROUND(SUM(基础资料!$B$4:$B$13)+SUM($J$4:J1465)-SUM($K$4:K1465),2))</f>
        <v/>
      </c>
      <c r="N1465" s="13" t="n"/>
      <c r="O1465" s="13" t="n"/>
      <c r="P1465" s="17">
        <f>IF($B1465="","",IF($F1465="※类别不在基础资料里","※费用类别不在基础资料里",IF(AND(N($J1465)=0,N($K1465)=0),"※这行没填金额",IF(AND(N($J1465)&gt;0,N($K1465)&gt;0),"※收入和支出不能同一行都填",IF(AND($D1465="收入",N($J1465)=0),"※收入行要填收入金额",IF(AND($D1465="支出",N($K1465)=0),"※支出行要填支出金额",IF(AND($C1465&lt;&gt;"",ISNA(MATCH($C1465,账户表,0))),"※账户不在基础资料里",IF(AND($G1465&lt;&gt;"",ISNA(MATCH($G1465,项目名表,0))),"※项目不在项目台账里",IF(AND(LEFT($F1465,3)="成本-",$G1465=""),"※成本类支出没填项目",IF(AND(LEFT($F1465,3)="成本-",$H1465&lt;&gt;"",N($K1465)&gt;0,COUNTIFS(采购单!$B:$B,$B1465,采购单!$C:$C,$H1465,采购单!$L:$L,$K1465)&gt;0),"※这笔可能和采购单重复了",""))))))))))</f>
        <v/>
      </c>
    </row>
    <row r="1466">
      <c r="A1466" s="17">
        <f>IF($B1466="","",ROW()-3)</f>
        <v/>
      </c>
      <c r="B1466" s="18" t="n"/>
      <c r="C1466" s="13" t="n"/>
      <c r="D1466" s="13" t="n"/>
      <c r="E1466" s="13" t="n"/>
      <c r="F1466" s="17">
        <f>IF($E1466="","",IFERROR(VLOOKUP($E1466,类别归属,2,0),"※类别不在基础资料里"))</f>
        <v/>
      </c>
      <c r="G1466" s="13" t="n"/>
      <c r="H1466" s="13" t="n"/>
      <c r="I1466" s="13" t="n"/>
      <c r="J1466" s="14" t="n"/>
      <c r="K1466" s="14" t="n"/>
      <c r="L1466" s="19">
        <f>IF($C1466="","",ROUND(IFERROR(VLOOKUP($C1466,账户期初,2,0),0)+SUMIFS($J$4:J1466,$C$4:C1466,$C1466)-SUMIFS($K$4:K1466,$C$4:C1466,$C1466),2))</f>
        <v/>
      </c>
      <c r="M1466" s="19">
        <f>IF($C1466="","",ROUND(SUM(基础资料!$B$4:$B$13)+SUM($J$4:J1466)-SUM($K$4:K1466),2))</f>
        <v/>
      </c>
      <c r="N1466" s="13" t="n"/>
      <c r="O1466" s="13" t="n"/>
      <c r="P1466" s="17">
        <f>IF($B1466="","",IF($F1466="※类别不在基础资料里","※费用类别不在基础资料里",IF(AND(N($J1466)=0,N($K1466)=0),"※这行没填金额",IF(AND(N($J1466)&gt;0,N($K1466)&gt;0),"※收入和支出不能同一行都填",IF(AND($D1466="收入",N($J1466)=0),"※收入行要填收入金额",IF(AND($D1466="支出",N($K1466)=0),"※支出行要填支出金额",IF(AND($C1466&lt;&gt;"",ISNA(MATCH($C1466,账户表,0))),"※账户不在基础资料里",IF(AND($G1466&lt;&gt;"",ISNA(MATCH($G1466,项目名表,0))),"※项目不在项目台账里",IF(AND(LEFT($F1466,3)="成本-",$G1466=""),"※成本类支出没填项目",IF(AND(LEFT($F1466,3)="成本-",$H1466&lt;&gt;"",N($K1466)&gt;0,COUNTIFS(采购单!$B:$B,$B1466,采购单!$C:$C,$H1466,采购单!$L:$L,$K1466)&gt;0),"※这笔可能和采购单重复了",""))))))))))</f>
        <v/>
      </c>
    </row>
    <row r="1467">
      <c r="A1467" s="17">
        <f>IF($B1467="","",ROW()-3)</f>
        <v/>
      </c>
      <c r="B1467" s="18" t="n"/>
      <c r="C1467" s="13" t="n"/>
      <c r="D1467" s="13" t="n"/>
      <c r="E1467" s="13" t="n"/>
      <c r="F1467" s="17">
        <f>IF($E1467="","",IFERROR(VLOOKUP($E1467,类别归属,2,0),"※类别不在基础资料里"))</f>
        <v/>
      </c>
      <c r="G1467" s="13" t="n"/>
      <c r="H1467" s="13" t="n"/>
      <c r="I1467" s="13" t="n"/>
      <c r="J1467" s="14" t="n"/>
      <c r="K1467" s="14" t="n"/>
      <c r="L1467" s="19">
        <f>IF($C1467="","",ROUND(IFERROR(VLOOKUP($C1467,账户期初,2,0),0)+SUMIFS($J$4:J1467,$C$4:C1467,$C1467)-SUMIFS($K$4:K1467,$C$4:C1467,$C1467),2))</f>
        <v/>
      </c>
      <c r="M1467" s="19">
        <f>IF($C1467="","",ROUND(SUM(基础资料!$B$4:$B$13)+SUM($J$4:J1467)-SUM($K$4:K1467),2))</f>
        <v/>
      </c>
      <c r="N1467" s="13" t="n"/>
      <c r="O1467" s="13" t="n"/>
      <c r="P1467" s="17">
        <f>IF($B1467="","",IF($F1467="※类别不在基础资料里","※费用类别不在基础资料里",IF(AND(N($J1467)=0,N($K1467)=0),"※这行没填金额",IF(AND(N($J1467)&gt;0,N($K1467)&gt;0),"※收入和支出不能同一行都填",IF(AND($D1467="收入",N($J1467)=0),"※收入行要填收入金额",IF(AND($D1467="支出",N($K1467)=0),"※支出行要填支出金额",IF(AND($C1467&lt;&gt;"",ISNA(MATCH($C1467,账户表,0))),"※账户不在基础资料里",IF(AND($G1467&lt;&gt;"",ISNA(MATCH($G1467,项目名表,0))),"※项目不在项目台账里",IF(AND(LEFT($F1467,3)="成本-",$G1467=""),"※成本类支出没填项目",IF(AND(LEFT($F1467,3)="成本-",$H1467&lt;&gt;"",N($K1467)&gt;0,COUNTIFS(采购单!$B:$B,$B1467,采购单!$C:$C,$H1467,采购单!$L:$L,$K1467)&gt;0),"※这笔可能和采购单重复了",""))))))))))</f>
        <v/>
      </c>
    </row>
    <row r="1468">
      <c r="A1468" s="17">
        <f>IF($B1468="","",ROW()-3)</f>
        <v/>
      </c>
      <c r="B1468" s="18" t="n"/>
      <c r="C1468" s="13" t="n"/>
      <c r="D1468" s="13" t="n"/>
      <c r="E1468" s="13" t="n"/>
      <c r="F1468" s="17">
        <f>IF($E1468="","",IFERROR(VLOOKUP($E1468,类别归属,2,0),"※类别不在基础资料里"))</f>
        <v/>
      </c>
      <c r="G1468" s="13" t="n"/>
      <c r="H1468" s="13" t="n"/>
      <c r="I1468" s="13" t="n"/>
      <c r="J1468" s="14" t="n"/>
      <c r="K1468" s="14" t="n"/>
      <c r="L1468" s="19">
        <f>IF($C1468="","",ROUND(IFERROR(VLOOKUP($C1468,账户期初,2,0),0)+SUMIFS($J$4:J1468,$C$4:C1468,$C1468)-SUMIFS($K$4:K1468,$C$4:C1468,$C1468),2))</f>
        <v/>
      </c>
      <c r="M1468" s="19">
        <f>IF($C1468="","",ROUND(SUM(基础资料!$B$4:$B$13)+SUM($J$4:J1468)-SUM($K$4:K1468),2))</f>
        <v/>
      </c>
      <c r="N1468" s="13" t="n"/>
      <c r="O1468" s="13" t="n"/>
      <c r="P1468" s="17">
        <f>IF($B1468="","",IF($F1468="※类别不在基础资料里","※费用类别不在基础资料里",IF(AND(N($J1468)=0,N($K1468)=0),"※这行没填金额",IF(AND(N($J1468)&gt;0,N($K1468)&gt;0),"※收入和支出不能同一行都填",IF(AND($D1468="收入",N($J1468)=0),"※收入行要填收入金额",IF(AND($D1468="支出",N($K1468)=0),"※支出行要填支出金额",IF(AND($C1468&lt;&gt;"",ISNA(MATCH($C1468,账户表,0))),"※账户不在基础资料里",IF(AND($G1468&lt;&gt;"",ISNA(MATCH($G1468,项目名表,0))),"※项目不在项目台账里",IF(AND(LEFT($F1468,3)="成本-",$G1468=""),"※成本类支出没填项目",IF(AND(LEFT($F1468,3)="成本-",$H1468&lt;&gt;"",N($K1468)&gt;0,COUNTIFS(采购单!$B:$B,$B1468,采购单!$C:$C,$H1468,采购单!$L:$L,$K1468)&gt;0),"※这笔可能和采购单重复了",""))))))))))</f>
        <v/>
      </c>
    </row>
    <row r="1469">
      <c r="A1469" s="17">
        <f>IF($B1469="","",ROW()-3)</f>
        <v/>
      </c>
      <c r="B1469" s="18" t="n"/>
      <c r="C1469" s="13" t="n"/>
      <c r="D1469" s="13" t="n"/>
      <c r="E1469" s="13" t="n"/>
      <c r="F1469" s="17">
        <f>IF($E1469="","",IFERROR(VLOOKUP($E1469,类别归属,2,0),"※类别不在基础资料里"))</f>
        <v/>
      </c>
      <c r="G1469" s="13" t="n"/>
      <c r="H1469" s="13" t="n"/>
      <c r="I1469" s="13" t="n"/>
      <c r="J1469" s="14" t="n"/>
      <c r="K1469" s="14" t="n"/>
      <c r="L1469" s="19">
        <f>IF($C1469="","",ROUND(IFERROR(VLOOKUP($C1469,账户期初,2,0),0)+SUMIFS($J$4:J1469,$C$4:C1469,$C1469)-SUMIFS($K$4:K1469,$C$4:C1469,$C1469),2))</f>
        <v/>
      </c>
      <c r="M1469" s="19">
        <f>IF($C1469="","",ROUND(SUM(基础资料!$B$4:$B$13)+SUM($J$4:J1469)-SUM($K$4:K1469),2))</f>
        <v/>
      </c>
      <c r="N1469" s="13" t="n"/>
      <c r="O1469" s="13" t="n"/>
      <c r="P1469" s="17">
        <f>IF($B1469="","",IF($F1469="※类别不在基础资料里","※费用类别不在基础资料里",IF(AND(N($J1469)=0,N($K1469)=0),"※这行没填金额",IF(AND(N($J1469)&gt;0,N($K1469)&gt;0),"※收入和支出不能同一行都填",IF(AND($D1469="收入",N($J1469)=0),"※收入行要填收入金额",IF(AND($D1469="支出",N($K1469)=0),"※支出行要填支出金额",IF(AND($C1469&lt;&gt;"",ISNA(MATCH($C1469,账户表,0))),"※账户不在基础资料里",IF(AND($G1469&lt;&gt;"",ISNA(MATCH($G1469,项目名表,0))),"※项目不在项目台账里",IF(AND(LEFT($F1469,3)="成本-",$G1469=""),"※成本类支出没填项目",IF(AND(LEFT($F1469,3)="成本-",$H1469&lt;&gt;"",N($K1469)&gt;0,COUNTIFS(采购单!$B:$B,$B1469,采购单!$C:$C,$H1469,采购单!$L:$L,$K1469)&gt;0),"※这笔可能和采购单重复了",""))))))))))</f>
        <v/>
      </c>
    </row>
    <row r="1470">
      <c r="A1470" s="17">
        <f>IF($B1470="","",ROW()-3)</f>
        <v/>
      </c>
      <c r="B1470" s="18" t="n"/>
      <c r="C1470" s="13" t="n"/>
      <c r="D1470" s="13" t="n"/>
      <c r="E1470" s="13" t="n"/>
      <c r="F1470" s="17">
        <f>IF($E1470="","",IFERROR(VLOOKUP($E1470,类别归属,2,0),"※类别不在基础资料里"))</f>
        <v/>
      </c>
      <c r="G1470" s="13" t="n"/>
      <c r="H1470" s="13" t="n"/>
      <c r="I1470" s="13" t="n"/>
      <c r="J1470" s="14" t="n"/>
      <c r="K1470" s="14" t="n"/>
      <c r="L1470" s="19">
        <f>IF($C1470="","",ROUND(IFERROR(VLOOKUP($C1470,账户期初,2,0),0)+SUMIFS($J$4:J1470,$C$4:C1470,$C1470)-SUMIFS($K$4:K1470,$C$4:C1470,$C1470),2))</f>
        <v/>
      </c>
      <c r="M1470" s="19">
        <f>IF($C1470="","",ROUND(SUM(基础资料!$B$4:$B$13)+SUM($J$4:J1470)-SUM($K$4:K1470),2))</f>
        <v/>
      </c>
      <c r="N1470" s="13" t="n"/>
      <c r="O1470" s="13" t="n"/>
      <c r="P1470" s="17">
        <f>IF($B1470="","",IF($F1470="※类别不在基础资料里","※费用类别不在基础资料里",IF(AND(N($J1470)=0,N($K1470)=0),"※这行没填金额",IF(AND(N($J1470)&gt;0,N($K1470)&gt;0),"※收入和支出不能同一行都填",IF(AND($D1470="收入",N($J1470)=0),"※收入行要填收入金额",IF(AND($D1470="支出",N($K1470)=0),"※支出行要填支出金额",IF(AND($C1470&lt;&gt;"",ISNA(MATCH($C1470,账户表,0))),"※账户不在基础资料里",IF(AND($G1470&lt;&gt;"",ISNA(MATCH($G1470,项目名表,0))),"※项目不在项目台账里",IF(AND(LEFT($F1470,3)="成本-",$G1470=""),"※成本类支出没填项目",IF(AND(LEFT($F1470,3)="成本-",$H1470&lt;&gt;"",N($K1470)&gt;0,COUNTIFS(采购单!$B:$B,$B1470,采购单!$C:$C,$H1470,采购单!$L:$L,$K1470)&gt;0),"※这笔可能和采购单重复了",""))))))))))</f>
        <v/>
      </c>
    </row>
    <row r="1471">
      <c r="A1471" s="17">
        <f>IF($B1471="","",ROW()-3)</f>
        <v/>
      </c>
      <c r="B1471" s="18" t="n"/>
      <c r="C1471" s="13" t="n"/>
      <c r="D1471" s="13" t="n"/>
      <c r="E1471" s="13" t="n"/>
      <c r="F1471" s="17">
        <f>IF($E1471="","",IFERROR(VLOOKUP($E1471,类别归属,2,0),"※类别不在基础资料里"))</f>
        <v/>
      </c>
      <c r="G1471" s="13" t="n"/>
      <c r="H1471" s="13" t="n"/>
      <c r="I1471" s="13" t="n"/>
      <c r="J1471" s="14" t="n"/>
      <c r="K1471" s="14" t="n"/>
      <c r="L1471" s="19">
        <f>IF($C1471="","",ROUND(IFERROR(VLOOKUP($C1471,账户期初,2,0),0)+SUMIFS($J$4:J1471,$C$4:C1471,$C1471)-SUMIFS($K$4:K1471,$C$4:C1471,$C1471),2))</f>
        <v/>
      </c>
      <c r="M1471" s="19">
        <f>IF($C1471="","",ROUND(SUM(基础资料!$B$4:$B$13)+SUM($J$4:J1471)-SUM($K$4:K1471),2))</f>
        <v/>
      </c>
      <c r="N1471" s="13" t="n"/>
      <c r="O1471" s="13" t="n"/>
      <c r="P1471" s="17">
        <f>IF($B1471="","",IF($F1471="※类别不在基础资料里","※费用类别不在基础资料里",IF(AND(N($J1471)=0,N($K1471)=0),"※这行没填金额",IF(AND(N($J1471)&gt;0,N($K1471)&gt;0),"※收入和支出不能同一行都填",IF(AND($D1471="收入",N($J1471)=0),"※收入行要填收入金额",IF(AND($D1471="支出",N($K1471)=0),"※支出行要填支出金额",IF(AND($C1471&lt;&gt;"",ISNA(MATCH($C1471,账户表,0))),"※账户不在基础资料里",IF(AND($G1471&lt;&gt;"",ISNA(MATCH($G1471,项目名表,0))),"※项目不在项目台账里",IF(AND(LEFT($F1471,3)="成本-",$G1471=""),"※成本类支出没填项目",IF(AND(LEFT($F1471,3)="成本-",$H1471&lt;&gt;"",N($K1471)&gt;0,COUNTIFS(采购单!$B:$B,$B1471,采购单!$C:$C,$H1471,采购单!$L:$L,$K1471)&gt;0),"※这笔可能和采购单重复了",""))))))))))</f>
        <v/>
      </c>
    </row>
    <row r="1472">
      <c r="A1472" s="17">
        <f>IF($B1472="","",ROW()-3)</f>
        <v/>
      </c>
      <c r="B1472" s="18" t="n"/>
      <c r="C1472" s="13" t="n"/>
      <c r="D1472" s="13" t="n"/>
      <c r="E1472" s="13" t="n"/>
      <c r="F1472" s="17">
        <f>IF($E1472="","",IFERROR(VLOOKUP($E1472,类别归属,2,0),"※类别不在基础资料里"))</f>
        <v/>
      </c>
      <c r="G1472" s="13" t="n"/>
      <c r="H1472" s="13" t="n"/>
      <c r="I1472" s="13" t="n"/>
      <c r="J1472" s="14" t="n"/>
      <c r="K1472" s="14" t="n"/>
      <c r="L1472" s="19">
        <f>IF($C1472="","",ROUND(IFERROR(VLOOKUP($C1472,账户期初,2,0),0)+SUMIFS($J$4:J1472,$C$4:C1472,$C1472)-SUMIFS($K$4:K1472,$C$4:C1472,$C1472),2))</f>
        <v/>
      </c>
      <c r="M1472" s="19">
        <f>IF($C1472="","",ROUND(SUM(基础资料!$B$4:$B$13)+SUM($J$4:J1472)-SUM($K$4:K1472),2))</f>
        <v/>
      </c>
      <c r="N1472" s="13" t="n"/>
      <c r="O1472" s="13" t="n"/>
      <c r="P1472" s="17">
        <f>IF($B1472="","",IF($F1472="※类别不在基础资料里","※费用类别不在基础资料里",IF(AND(N($J1472)=0,N($K1472)=0),"※这行没填金额",IF(AND(N($J1472)&gt;0,N($K1472)&gt;0),"※收入和支出不能同一行都填",IF(AND($D1472="收入",N($J1472)=0),"※收入行要填收入金额",IF(AND($D1472="支出",N($K1472)=0),"※支出行要填支出金额",IF(AND($C1472&lt;&gt;"",ISNA(MATCH($C1472,账户表,0))),"※账户不在基础资料里",IF(AND($G1472&lt;&gt;"",ISNA(MATCH($G1472,项目名表,0))),"※项目不在项目台账里",IF(AND(LEFT($F1472,3)="成本-",$G1472=""),"※成本类支出没填项目",IF(AND(LEFT($F1472,3)="成本-",$H1472&lt;&gt;"",N($K1472)&gt;0,COUNTIFS(采购单!$B:$B,$B1472,采购单!$C:$C,$H1472,采购单!$L:$L,$K1472)&gt;0),"※这笔可能和采购单重复了",""))))))))))</f>
        <v/>
      </c>
    </row>
    <row r="1473">
      <c r="A1473" s="17">
        <f>IF($B1473="","",ROW()-3)</f>
        <v/>
      </c>
      <c r="B1473" s="18" t="n"/>
      <c r="C1473" s="13" t="n"/>
      <c r="D1473" s="13" t="n"/>
      <c r="E1473" s="13" t="n"/>
      <c r="F1473" s="17">
        <f>IF($E1473="","",IFERROR(VLOOKUP($E1473,类别归属,2,0),"※类别不在基础资料里"))</f>
        <v/>
      </c>
      <c r="G1473" s="13" t="n"/>
      <c r="H1473" s="13" t="n"/>
      <c r="I1473" s="13" t="n"/>
      <c r="J1473" s="14" t="n"/>
      <c r="K1473" s="14" t="n"/>
      <c r="L1473" s="19">
        <f>IF($C1473="","",ROUND(IFERROR(VLOOKUP($C1473,账户期初,2,0),0)+SUMIFS($J$4:J1473,$C$4:C1473,$C1473)-SUMIFS($K$4:K1473,$C$4:C1473,$C1473),2))</f>
        <v/>
      </c>
      <c r="M1473" s="19">
        <f>IF($C1473="","",ROUND(SUM(基础资料!$B$4:$B$13)+SUM($J$4:J1473)-SUM($K$4:K1473),2))</f>
        <v/>
      </c>
      <c r="N1473" s="13" t="n"/>
      <c r="O1473" s="13" t="n"/>
      <c r="P1473" s="17">
        <f>IF($B1473="","",IF($F1473="※类别不在基础资料里","※费用类别不在基础资料里",IF(AND(N($J1473)=0,N($K1473)=0),"※这行没填金额",IF(AND(N($J1473)&gt;0,N($K1473)&gt;0),"※收入和支出不能同一行都填",IF(AND($D1473="收入",N($J1473)=0),"※收入行要填收入金额",IF(AND($D1473="支出",N($K1473)=0),"※支出行要填支出金额",IF(AND($C1473&lt;&gt;"",ISNA(MATCH($C1473,账户表,0))),"※账户不在基础资料里",IF(AND($G1473&lt;&gt;"",ISNA(MATCH($G1473,项目名表,0))),"※项目不在项目台账里",IF(AND(LEFT($F1473,3)="成本-",$G1473=""),"※成本类支出没填项目",IF(AND(LEFT($F1473,3)="成本-",$H1473&lt;&gt;"",N($K1473)&gt;0,COUNTIFS(采购单!$B:$B,$B1473,采购单!$C:$C,$H1473,采购单!$L:$L,$K1473)&gt;0),"※这笔可能和采购单重复了",""))))))))))</f>
        <v/>
      </c>
    </row>
    <row r="1474">
      <c r="A1474" s="17">
        <f>IF($B1474="","",ROW()-3)</f>
        <v/>
      </c>
      <c r="B1474" s="18" t="n"/>
      <c r="C1474" s="13" t="n"/>
      <c r="D1474" s="13" t="n"/>
      <c r="E1474" s="13" t="n"/>
      <c r="F1474" s="17">
        <f>IF($E1474="","",IFERROR(VLOOKUP($E1474,类别归属,2,0),"※类别不在基础资料里"))</f>
        <v/>
      </c>
      <c r="G1474" s="13" t="n"/>
      <c r="H1474" s="13" t="n"/>
      <c r="I1474" s="13" t="n"/>
      <c r="J1474" s="14" t="n"/>
      <c r="K1474" s="14" t="n"/>
      <c r="L1474" s="19">
        <f>IF($C1474="","",ROUND(IFERROR(VLOOKUP($C1474,账户期初,2,0),0)+SUMIFS($J$4:J1474,$C$4:C1474,$C1474)-SUMIFS($K$4:K1474,$C$4:C1474,$C1474),2))</f>
        <v/>
      </c>
      <c r="M1474" s="19">
        <f>IF($C1474="","",ROUND(SUM(基础资料!$B$4:$B$13)+SUM($J$4:J1474)-SUM($K$4:K1474),2))</f>
        <v/>
      </c>
      <c r="N1474" s="13" t="n"/>
      <c r="O1474" s="13" t="n"/>
      <c r="P1474" s="17">
        <f>IF($B1474="","",IF($F1474="※类别不在基础资料里","※费用类别不在基础资料里",IF(AND(N($J1474)=0,N($K1474)=0),"※这行没填金额",IF(AND(N($J1474)&gt;0,N($K1474)&gt;0),"※收入和支出不能同一行都填",IF(AND($D1474="收入",N($J1474)=0),"※收入行要填收入金额",IF(AND($D1474="支出",N($K1474)=0),"※支出行要填支出金额",IF(AND($C1474&lt;&gt;"",ISNA(MATCH($C1474,账户表,0))),"※账户不在基础资料里",IF(AND($G1474&lt;&gt;"",ISNA(MATCH($G1474,项目名表,0))),"※项目不在项目台账里",IF(AND(LEFT($F1474,3)="成本-",$G1474=""),"※成本类支出没填项目",IF(AND(LEFT($F1474,3)="成本-",$H1474&lt;&gt;"",N($K1474)&gt;0,COUNTIFS(采购单!$B:$B,$B1474,采购单!$C:$C,$H1474,采购单!$L:$L,$K1474)&gt;0),"※这笔可能和采购单重复了",""))))))))))</f>
        <v/>
      </c>
    </row>
    <row r="1475">
      <c r="A1475" s="17">
        <f>IF($B1475="","",ROW()-3)</f>
        <v/>
      </c>
      <c r="B1475" s="18" t="n"/>
      <c r="C1475" s="13" t="n"/>
      <c r="D1475" s="13" t="n"/>
      <c r="E1475" s="13" t="n"/>
      <c r="F1475" s="17">
        <f>IF($E1475="","",IFERROR(VLOOKUP($E1475,类别归属,2,0),"※类别不在基础资料里"))</f>
        <v/>
      </c>
      <c r="G1475" s="13" t="n"/>
      <c r="H1475" s="13" t="n"/>
      <c r="I1475" s="13" t="n"/>
      <c r="J1475" s="14" t="n"/>
      <c r="K1475" s="14" t="n"/>
      <c r="L1475" s="19">
        <f>IF($C1475="","",ROUND(IFERROR(VLOOKUP($C1475,账户期初,2,0),0)+SUMIFS($J$4:J1475,$C$4:C1475,$C1475)-SUMIFS($K$4:K1475,$C$4:C1475,$C1475),2))</f>
        <v/>
      </c>
      <c r="M1475" s="19">
        <f>IF($C1475="","",ROUND(SUM(基础资料!$B$4:$B$13)+SUM($J$4:J1475)-SUM($K$4:K1475),2))</f>
        <v/>
      </c>
      <c r="N1475" s="13" t="n"/>
      <c r="O1475" s="13" t="n"/>
      <c r="P1475" s="17">
        <f>IF($B1475="","",IF($F1475="※类别不在基础资料里","※费用类别不在基础资料里",IF(AND(N($J1475)=0,N($K1475)=0),"※这行没填金额",IF(AND(N($J1475)&gt;0,N($K1475)&gt;0),"※收入和支出不能同一行都填",IF(AND($D1475="收入",N($J1475)=0),"※收入行要填收入金额",IF(AND($D1475="支出",N($K1475)=0),"※支出行要填支出金额",IF(AND($C1475&lt;&gt;"",ISNA(MATCH($C1475,账户表,0))),"※账户不在基础资料里",IF(AND($G1475&lt;&gt;"",ISNA(MATCH($G1475,项目名表,0))),"※项目不在项目台账里",IF(AND(LEFT($F1475,3)="成本-",$G1475=""),"※成本类支出没填项目",IF(AND(LEFT($F1475,3)="成本-",$H1475&lt;&gt;"",N($K1475)&gt;0,COUNTIFS(采购单!$B:$B,$B1475,采购单!$C:$C,$H1475,采购单!$L:$L,$K1475)&gt;0),"※这笔可能和采购单重复了",""))))))))))</f>
        <v/>
      </c>
    </row>
    <row r="1476">
      <c r="A1476" s="17">
        <f>IF($B1476="","",ROW()-3)</f>
        <v/>
      </c>
      <c r="B1476" s="18" t="n"/>
      <c r="C1476" s="13" t="n"/>
      <c r="D1476" s="13" t="n"/>
      <c r="E1476" s="13" t="n"/>
      <c r="F1476" s="17">
        <f>IF($E1476="","",IFERROR(VLOOKUP($E1476,类别归属,2,0),"※类别不在基础资料里"))</f>
        <v/>
      </c>
      <c r="G1476" s="13" t="n"/>
      <c r="H1476" s="13" t="n"/>
      <c r="I1476" s="13" t="n"/>
      <c r="J1476" s="14" t="n"/>
      <c r="K1476" s="14" t="n"/>
      <c r="L1476" s="19">
        <f>IF($C1476="","",ROUND(IFERROR(VLOOKUP($C1476,账户期初,2,0),0)+SUMIFS($J$4:J1476,$C$4:C1476,$C1476)-SUMIFS($K$4:K1476,$C$4:C1476,$C1476),2))</f>
        <v/>
      </c>
      <c r="M1476" s="19">
        <f>IF($C1476="","",ROUND(SUM(基础资料!$B$4:$B$13)+SUM($J$4:J1476)-SUM($K$4:K1476),2))</f>
        <v/>
      </c>
      <c r="N1476" s="13" t="n"/>
      <c r="O1476" s="13" t="n"/>
      <c r="P1476" s="17">
        <f>IF($B1476="","",IF($F1476="※类别不在基础资料里","※费用类别不在基础资料里",IF(AND(N($J1476)=0,N($K1476)=0),"※这行没填金额",IF(AND(N($J1476)&gt;0,N($K1476)&gt;0),"※收入和支出不能同一行都填",IF(AND($D1476="收入",N($J1476)=0),"※收入行要填收入金额",IF(AND($D1476="支出",N($K1476)=0),"※支出行要填支出金额",IF(AND($C1476&lt;&gt;"",ISNA(MATCH($C1476,账户表,0))),"※账户不在基础资料里",IF(AND($G1476&lt;&gt;"",ISNA(MATCH($G1476,项目名表,0))),"※项目不在项目台账里",IF(AND(LEFT($F1476,3)="成本-",$G1476=""),"※成本类支出没填项目",IF(AND(LEFT($F1476,3)="成本-",$H1476&lt;&gt;"",N($K1476)&gt;0,COUNTIFS(采购单!$B:$B,$B1476,采购单!$C:$C,$H1476,采购单!$L:$L,$K1476)&gt;0),"※这笔可能和采购单重复了",""))))))))))</f>
        <v/>
      </c>
    </row>
    <row r="1477">
      <c r="A1477" s="17">
        <f>IF($B1477="","",ROW()-3)</f>
        <v/>
      </c>
      <c r="B1477" s="18" t="n"/>
      <c r="C1477" s="13" t="n"/>
      <c r="D1477" s="13" t="n"/>
      <c r="E1477" s="13" t="n"/>
      <c r="F1477" s="17">
        <f>IF($E1477="","",IFERROR(VLOOKUP($E1477,类别归属,2,0),"※类别不在基础资料里"))</f>
        <v/>
      </c>
      <c r="G1477" s="13" t="n"/>
      <c r="H1477" s="13" t="n"/>
      <c r="I1477" s="13" t="n"/>
      <c r="J1477" s="14" t="n"/>
      <c r="K1477" s="14" t="n"/>
      <c r="L1477" s="19">
        <f>IF($C1477="","",ROUND(IFERROR(VLOOKUP($C1477,账户期初,2,0),0)+SUMIFS($J$4:J1477,$C$4:C1477,$C1477)-SUMIFS($K$4:K1477,$C$4:C1477,$C1477),2))</f>
        <v/>
      </c>
      <c r="M1477" s="19">
        <f>IF($C1477="","",ROUND(SUM(基础资料!$B$4:$B$13)+SUM($J$4:J1477)-SUM($K$4:K1477),2))</f>
        <v/>
      </c>
      <c r="N1477" s="13" t="n"/>
      <c r="O1477" s="13" t="n"/>
      <c r="P1477" s="17">
        <f>IF($B1477="","",IF($F1477="※类别不在基础资料里","※费用类别不在基础资料里",IF(AND(N($J1477)=0,N($K1477)=0),"※这行没填金额",IF(AND(N($J1477)&gt;0,N($K1477)&gt;0),"※收入和支出不能同一行都填",IF(AND($D1477="收入",N($J1477)=0),"※收入行要填收入金额",IF(AND($D1477="支出",N($K1477)=0),"※支出行要填支出金额",IF(AND($C1477&lt;&gt;"",ISNA(MATCH($C1477,账户表,0))),"※账户不在基础资料里",IF(AND($G1477&lt;&gt;"",ISNA(MATCH($G1477,项目名表,0))),"※项目不在项目台账里",IF(AND(LEFT($F1477,3)="成本-",$G1477=""),"※成本类支出没填项目",IF(AND(LEFT($F1477,3)="成本-",$H1477&lt;&gt;"",N($K1477)&gt;0,COUNTIFS(采购单!$B:$B,$B1477,采购单!$C:$C,$H1477,采购单!$L:$L,$K1477)&gt;0),"※这笔可能和采购单重复了",""))))))))))</f>
        <v/>
      </c>
    </row>
    <row r="1478">
      <c r="A1478" s="17">
        <f>IF($B1478="","",ROW()-3)</f>
        <v/>
      </c>
      <c r="B1478" s="18" t="n"/>
      <c r="C1478" s="13" t="n"/>
      <c r="D1478" s="13" t="n"/>
      <c r="E1478" s="13" t="n"/>
      <c r="F1478" s="17">
        <f>IF($E1478="","",IFERROR(VLOOKUP($E1478,类别归属,2,0),"※类别不在基础资料里"))</f>
        <v/>
      </c>
      <c r="G1478" s="13" t="n"/>
      <c r="H1478" s="13" t="n"/>
      <c r="I1478" s="13" t="n"/>
      <c r="J1478" s="14" t="n"/>
      <c r="K1478" s="14" t="n"/>
      <c r="L1478" s="19">
        <f>IF($C1478="","",ROUND(IFERROR(VLOOKUP($C1478,账户期初,2,0),0)+SUMIFS($J$4:J1478,$C$4:C1478,$C1478)-SUMIFS($K$4:K1478,$C$4:C1478,$C1478),2))</f>
        <v/>
      </c>
      <c r="M1478" s="19">
        <f>IF($C1478="","",ROUND(SUM(基础资料!$B$4:$B$13)+SUM($J$4:J1478)-SUM($K$4:K1478),2))</f>
        <v/>
      </c>
      <c r="N1478" s="13" t="n"/>
      <c r="O1478" s="13" t="n"/>
      <c r="P1478" s="17">
        <f>IF($B1478="","",IF($F1478="※类别不在基础资料里","※费用类别不在基础资料里",IF(AND(N($J1478)=0,N($K1478)=0),"※这行没填金额",IF(AND(N($J1478)&gt;0,N($K1478)&gt;0),"※收入和支出不能同一行都填",IF(AND($D1478="收入",N($J1478)=0),"※收入行要填收入金额",IF(AND($D1478="支出",N($K1478)=0),"※支出行要填支出金额",IF(AND($C1478&lt;&gt;"",ISNA(MATCH($C1478,账户表,0))),"※账户不在基础资料里",IF(AND($G1478&lt;&gt;"",ISNA(MATCH($G1478,项目名表,0))),"※项目不在项目台账里",IF(AND(LEFT($F1478,3)="成本-",$G1478=""),"※成本类支出没填项目",IF(AND(LEFT($F1478,3)="成本-",$H1478&lt;&gt;"",N($K1478)&gt;0,COUNTIFS(采购单!$B:$B,$B1478,采购单!$C:$C,$H1478,采购单!$L:$L,$K1478)&gt;0),"※这笔可能和采购单重复了",""))))))))))</f>
        <v/>
      </c>
    </row>
    <row r="1479">
      <c r="A1479" s="17">
        <f>IF($B1479="","",ROW()-3)</f>
        <v/>
      </c>
      <c r="B1479" s="18" t="n"/>
      <c r="C1479" s="13" t="n"/>
      <c r="D1479" s="13" t="n"/>
      <c r="E1479" s="13" t="n"/>
      <c r="F1479" s="17">
        <f>IF($E1479="","",IFERROR(VLOOKUP($E1479,类别归属,2,0),"※类别不在基础资料里"))</f>
        <v/>
      </c>
      <c r="G1479" s="13" t="n"/>
      <c r="H1479" s="13" t="n"/>
      <c r="I1479" s="13" t="n"/>
      <c r="J1479" s="14" t="n"/>
      <c r="K1479" s="14" t="n"/>
      <c r="L1479" s="19">
        <f>IF($C1479="","",ROUND(IFERROR(VLOOKUP($C1479,账户期初,2,0),0)+SUMIFS($J$4:J1479,$C$4:C1479,$C1479)-SUMIFS($K$4:K1479,$C$4:C1479,$C1479),2))</f>
        <v/>
      </c>
      <c r="M1479" s="19">
        <f>IF($C1479="","",ROUND(SUM(基础资料!$B$4:$B$13)+SUM($J$4:J1479)-SUM($K$4:K1479),2))</f>
        <v/>
      </c>
      <c r="N1479" s="13" t="n"/>
      <c r="O1479" s="13" t="n"/>
      <c r="P1479" s="17">
        <f>IF($B1479="","",IF($F1479="※类别不在基础资料里","※费用类别不在基础资料里",IF(AND(N($J1479)=0,N($K1479)=0),"※这行没填金额",IF(AND(N($J1479)&gt;0,N($K1479)&gt;0),"※收入和支出不能同一行都填",IF(AND($D1479="收入",N($J1479)=0),"※收入行要填收入金额",IF(AND($D1479="支出",N($K1479)=0),"※支出行要填支出金额",IF(AND($C1479&lt;&gt;"",ISNA(MATCH($C1479,账户表,0))),"※账户不在基础资料里",IF(AND($G1479&lt;&gt;"",ISNA(MATCH($G1479,项目名表,0))),"※项目不在项目台账里",IF(AND(LEFT($F1479,3)="成本-",$G1479=""),"※成本类支出没填项目",IF(AND(LEFT($F1479,3)="成本-",$H1479&lt;&gt;"",N($K1479)&gt;0,COUNTIFS(采购单!$B:$B,$B1479,采购单!$C:$C,$H1479,采购单!$L:$L,$K1479)&gt;0),"※这笔可能和采购单重复了",""))))))))))</f>
        <v/>
      </c>
    </row>
    <row r="1480">
      <c r="A1480" s="17">
        <f>IF($B1480="","",ROW()-3)</f>
        <v/>
      </c>
      <c r="B1480" s="18" t="n"/>
      <c r="C1480" s="13" t="n"/>
      <c r="D1480" s="13" t="n"/>
      <c r="E1480" s="13" t="n"/>
      <c r="F1480" s="17">
        <f>IF($E1480="","",IFERROR(VLOOKUP($E1480,类别归属,2,0),"※类别不在基础资料里"))</f>
        <v/>
      </c>
      <c r="G1480" s="13" t="n"/>
      <c r="H1480" s="13" t="n"/>
      <c r="I1480" s="13" t="n"/>
      <c r="J1480" s="14" t="n"/>
      <c r="K1480" s="14" t="n"/>
      <c r="L1480" s="19">
        <f>IF($C1480="","",ROUND(IFERROR(VLOOKUP($C1480,账户期初,2,0),0)+SUMIFS($J$4:J1480,$C$4:C1480,$C1480)-SUMIFS($K$4:K1480,$C$4:C1480,$C1480),2))</f>
        <v/>
      </c>
      <c r="M1480" s="19">
        <f>IF($C1480="","",ROUND(SUM(基础资料!$B$4:$B$13)+SUM($J$4:J1480)-SUM($K$4:K1480),2))</f>
        <v/>
      </c>
      <c r="N1480" s="13" t="n"/>
      <c r="O1480" s="13" t="n"/>
      <c r="P1480" s="17">
        <f>IF($B1480="","",IF($F1480="※类别不在基础资料里","※费用类别不在基础资料里",IF(AND(N($J1480)=0,N($K1480)=0),"※这行没填金额",IF(AND(N($J1480)&gt;0,N($K1480)&gt;0),"※收入和支出不能同一行都填",IF(AND($D1480="收入",N($J1480)=0),"※收入行要填收入金额",IF(AND($D1480="支出",N($K1480)=0),"※支出行要填支出金额",IF(AND($C1480&lt;&gt;"",ISNA(MATCH($C1480,账户表,0))),"※账户不在基础资料里",IF(AND($G1480&lt;&gt;"",ISNA(MATCH($G1480,项目名表,0))),"※项目不在项目台账里",IF(AND(LEFT($F1480,3)="成本-",$G1480=""),"※成本类支出没填项目",IF(AND(LEFT($F1480,3)="成本-",$H1480&lt;&gt;"",N($K1480)&gt;0,COUNTIFS(采购单!$B:$B,$B1480,采购单!$C:$C,$H1480,采购单!$L:$L,$K1480)&gt;0),"※这笔可能和采购单重复了",""))))))))))</f>
        <v/>
      </c>
    </row>
    <row r="1481">
      <c r="A1481" s="17">
        <f>IF($B1481="","",ROW()-3)</f>
        <v/>
      </c>
      <c r="B1481" s="18" t="n"/>
      <c r="C1481" s="13" t="n"/>
      <c r="D1481" s="13" t="n"/>
      <c r="E1481" s="13" t="n"/>
      <c r="F1481" s="17">
        <f>IF($E1481="","",IFERROR(VLOOKUP($E1481,类别归属,2,0),"※类别不在基础资料里"))</f>
        <v/>
      </c>
      <c r="G1481" s="13" t="n"/>
      <c r="H1481" s="13" t="n"/>
      <c r="I1481" s="13" t="n"/>
      <c r="J1481" s="14" t="n"/>
      <c r="K1481" s="14" t="n"/>
      <c r="L1481" s="19">
        <f>IF($C1481="","",ROUND(IFERROR(VLOOKUP($C1481,账户期初,2,0),0)+SUMIFS($J$4:J1481,$C$4:C1481,$C1481)-SUMIFS($K$4:K1481,$C$4:C1481,$C1481),2))</f>
        <v/>
      </c>
      <c r="M1481" s="19">
        <f>IF($C1481="","",ROUND(SUM(基础资料!$B$4:$B$13)+SUM($J$4:J1481)-SUM($K$4:K1481),2))</f>
        <v/>
      </c>
      <c r="N1481" s="13" t="n"/>
      <c r="O1481" s="13" t="n"/>
      <c r="P1481" s="17">
        <f>IF($B1481="","",IF($F1481="※类别不在基础资料里","※费用类别不在基础资料里",IF(AND(N($J1481)=0,N($K1481)=0),"※这行没填金额",IF(AND(N($J1481)&gt;0,N($K1481)&gt;0),"※收入和支出不能同一行都填",IF(AND($D1481="收入",N($J1481)=0),"※收入行要填收入金额",IF(AND($D1481="支出",N($K1481)=0),"※支出行要填支出金额",IF(AND($C1481&lt;&gt;"",ISNA(MATCH($C1481,账户表,0))),"※账户不在基础资料里",IF(AND($G1481&lt;&gt;"",ISNA(MATCH($G1481,项目名表,0))),"※项目不在项目台账里",IF(AND(LEFT($F1481,3)="成本-",$G1481=""),"※成本类支出没填项目",IF(AND(LEFT($F1481,3)="成本-",$H1481&lt;&gt;"",N($K1481)&gt;0,COUNTIFS(采购单!$B:$B,$B1481,采购单!$C:$C,$H1481,采购单!$L:$L,$K1481)&gt;0),"※这笔可能和采购单重复了",""))))))))))</f>
        <v/>
      </c>
    </row>
    <row r="1482">
      <c r="A1482" s="17">
        <f>IF($B1482="","",ROW()-3)</f>
        <v/>
      </c>
      <c r="B1482" s="18" t="n"/>
      <c r="C1482" s="13" t="n"/>
      <c r="D1482" s="13" t="n"/>
      <c r="E1482" s="13" t="n"/>
      <c r="F1482" s="17">
        <f>IF($E1482="","",IFERROR(VLOOKUP($E1482,类别归属,2,0),"※类别不在基础资料里"))</f>
        <v/>
      </c>
      <c r="G1482" s="13" t="n"/>
      <c r="H1482" s="13" t="n"/>
      <c r="I1482" s="13" t="n"/>
      <c r="J1482" s="14" t="n"/>
      <c r="K1482" s="14" t="n"/>
      <c r="L1482" s="19">
        <f>IF($C1482="","",ROUND(IFERROR(VLOOKUP($C1482,账户期初,2,0),0)+SUMIFS($J$4:J1482,$C$4:C1482,$C1482)-SUMIFS($K$4:K1482,$C$4:C1482,$C1482),2))</f>
        <v/>
      </c>
      <c r="M1482" s="19">
        <f>IF($C1482="","",ROUND(SUM(基础资料!$B$4:$B$13)+SUM($J$4:J1482)-SUM($K$4:K1482),2))</f>
        <v/>
      </c>
      <c r="N1482" s="13" t="n"/>
      <c r="O1482" s="13" t="n"/>
      <c r="P1482" s="17">
        <f>IF($B1482="","",IF($F1482="※类别不在基础资料里","※费用类别不在基础资料里",IF(AND(N($J1482)=0,N($K1482)=0),"※这行没填金额",IF(AND(N($J1482)&gt;0,N($K1482)&gt;0),"※收入和支出不能同一行都填",IF(AND($D1482="收入",N($J1482)=0),"※收入行要填收入金额",IF(AND($D1482="支出",N($K1482)=0),"※支出行要填支出金额",IF(AND($C1482&lt;&gt;"",ISNA(MATCH($C1482,账户表,0))),"※账户不在基础资料里",IF(AND($G1482&lt;&gt;"",ISNA(MATCH($G1482,项目名表,0))),"※项目不在项目台账里",IF(AND(LEFT($F1482,3)="成本-",$G1482=""),"※成本类支出没填项目",IF(AND(LEFT($F1482,3)="成本-",$H1482&lt;&gt;"",N($K1482)&gt;0,COUNTIFS(采购单!$B:$B,$B1482,采购单!$C:$C,$H1482,采购单!$L:$L,$K1482)&gt;0),"※这笔可能和采购单重复了",""))))))))))</f>
        <v/>
      </c>
    </row>
    <row r="1483">
      <c r="A1483" s="17">
        <f>IF($B1483="","",ROW()-3)</f>
        <v/>
      </c>
      <c r="B1483" s="18" t="n"/>
      <c r="C1483" s="13" t="n"/>
      <c r="D1483" s="13" t="n"/>
      <c r="E1483" s="13" t="n"/>
      <c r="F1483" s="17">
        <f>IF($E1483="","",IFERROR(VLOOKUP($E1483,类别归属,2,0),"※类别不在基础资料里"))</f>
        <v/>
      </c>
      <c r="G1483" s="13" t="n"/>
      <c r="H1483" s="13" t="n"/>
      <c r="I1483" s="13" t="n"/>
      <c r="J1483" s="14" t="n"/>
      <c r="K1483" s="14" t="n"/>
      <c r="L1483" s="19">
        <f>IF($C1483="","",ROUND(IFERROR(VLOOKUP($C1483,账户期初,2,0),0)+SUMIFS($J$4:J1483,$C$4:C1483,$C1483)-SUMIFS($K$4:K1483,$C$4:C1483,$C1483),2))</f>
        <v/>
      </c>
      <c r="M1483" s="19">
        <f>IF($C1483="","",ROUND(SUM(基础资料!$B$4:$B$13)+SUM($J$4:J1483)-SUM($K$4:K1483),2))</f>
        <v/>
      </c>
      <c r="N1483" s="13" t="n"/>
      <c r="O1483" s="13" t="n"/>
      <c r="P1483" s="17">
        <f>IF($B1483="","",IF($F1483="※类别不在基础资料里","※费用类别不在基础资料里",IF(AND(N($J1483)=0,N($K1483)=0),"※这行没填金额",IF(AND(N($J1483)&gt;0,N($K1483)&gt;0),"※收入和支出不能同一行都填",IF(AND($D1483="收入",N($J1483)=0),"※收入行要填收入金额",IF(AND($D1483="支出",N($K1483)=0),"※支出行要填支出金额",IF(AND($C1483&lt;&gt;"",ISNA(MATCH($C1483,账户表,0))),"※账户不在基础资料里",IF(AND($G1483&lt;&gt;"",ISNA(MATCH($G1483,项目名表,0))),"※项目不在项目台账里",IF(AND(LEFT($F1483,3)="成本-",$G1483=""),"※成本类支出没填项目",IF(AND(LEFT($F1483,3)="成本-",$H1483&lt;&gt;"",N($K1483)&gt;0,COUNTIFS(采购单!$B:$B,$B1483,采购单!$C:$C,$H1483,采购单!$L:$L,$K1483)&gt;0),"※这笔可能和采购单重复了",""))))))))))</f>
        <v/>
      </c>
    </row>
    <row r="1484">
      <c r="A1484" s="17">
        <f>IF($B1484="","",ROW()-3)</f>
        <v/>
      </c>
      <c r="B1484" s="18" t="n"/>
      <c r="C1484" s="13" t="n"/>
      <c r="D1484" s="13" t="n"/>
      <c r="E1484" s="13" t="n"/>
      <c r="F1484" s="17">
        <f>IF($E1484="","",IFERROR(VLOOKUP($E1484,类别归属,2,0),"※类别不在基础资料里"))</f>
        <v/>
      </c>
      <c r="G1484" s="13" t="n"/>
      <c r="H1484" s="13" t="n"/>
      <c r="I1484" s="13" t="n"/>
      <c r="J1484" s="14" t="n"/>
      <c r="K1484" s="14" t="n"/>
      <c r="L1484" s="19">
        <f>IF($C1484="","",ROUND(IFERROR(VLOOKUP($C1484,账户期初,2,0),0)+SUMIFS($J$4:J1484,$C$4:C1484,$C1484)-SUMIFS($K$4:K1484,$C$4:C1484,$C1484),2))</f>
        <v/>
      </c>
      <c r="M1484" s="19">
        <f>IF($C1484="","",ROUND(SUM(基础资料!$B$4:$B$13)+SUM($J$4:J1484)-SUM($K$4:K1484),2))</f>
        <v/>
      </c>
      <c r="N1484" s="13" t="n"/>
      <c r="O1484" s="13" t="n"/>
      <c r="P1484" s="17">
        <f>IF($B1484="","",IF($F1484="※类别不在基础资料里","※费用类别不在基础资料里",IF(AND(N($J1484)=0,N($K1484)=0),"※这行没填金额",IF(AND(N($J1484)&gt;0,N($K1484)&gt;0),"※收入和支出不能同一行都填",IF(AND($D1484="收入",N($J1484)=0),"※收入行要填收入金额",IF(AND($D1484="支出",N($K1484)=0),"※支出行要填支出金额",IF(AND($C1484&lt;&gt;"",ISNA(MATCH($C1484,账户表,0))),"※账户不在基础资料里",IF(AND($G1484&lt;&gt;"",ISNA(MATCH($G1484,项目名表,0))),"※项目不在项目台账里",IF(AND(LEFT($F1484,3)="成本-",$G1484=""),"※成本类支出没填项目",IF(AND(LEFT($F1484,3)="成本-",$H1484&lt;&gt;"",N($K1484)&gt;0,COUNTIFS(采购单!$B:$B,$B1484,采购单!$C:$C,$H1484,采购单!$L:$L,$K1484)&gt;0),"※这笔可能和采购单重复了",""))))))))))</f>
        <v/>
      </c>
    </row>
    <row r="1485">
      <c r="A1485" s="17">
        <f>IF($B1485="","",ROW()-3)</f>
        <v/>
      </c>
      <c r="B1485" s="18" t="n"/>
      <c r="C1485" s="13" t="n"/>
      <c r="D1485" s="13" t="n"/>
      <c r="E1485" s="13" t="n"/>
      <c r="F1485" s="17">
        <f>IF($E1485="","",IFERROR(VLOOKUP($E1485,类别归属,2,0),"※类别不在基础资料里"))</f>
        <v/>
      </c>
      <c r="G1485" s="13" t="n"/>
      <c r="H1485" s="13" t="n"/>
      <c r="I1485" s="13" t="n"/>
      <c r="J1485" s="14" t="n"/>
      <c r="K1485" s="14" t="n"/>
      <c r="L1485" s="19">
        <f>IF($C1485="","",ROUND(IFERROR(VLOOKUP($C1485,账户期初,2,0),0)+SUMIFS($J$4:J1485,$C$4:C1485,$C1485)-SUMIFS($K$4:K1485,$C$4:C1485,$C1485),2))</f>
        <v/>
      </c>
      <c r="M1485" s="19">
        <f>IF($C1485="","",ROUND(SUM(基础资料!$B$4:$B$13)+SUM($J$4:J1485)-SUM($K$4:K1485),2))</f>
        <v/>
      </c>
      <c r="N1485" s="13" t="n"/>
      <c r="O1485" s="13" t="n"/>
      <c r="P1485" s="17">
        <f>IF($B1485="","",IF($F1485="※类别不在基础资料里","※费用类别不在基础资料里",IF(AND(N($J1485)=0,N($K1485)=0),"※这行没填金额",IF(AND(N($J1485)&gt;0,N($K1485)&gt;0),"※收入和支出不能同一行都填",IF(AND($D1485="收入",N($J1485)=0),"※收入行要填收入金额",IF(AND($D1485="支出",N($K1485)=0),"※支出行要填支出金额",IF(AND($C1485&lt;&gt;"",ISNA(MATCH($C1485,账户表,0))),"※账户不在基础资料里",IF(AND($G1485&lt;&gt;"",ISNA(MATCH($G1485,项目名表,0))),"※项目不在项目台账里",IF(AND(LEFT($F1485,3)="成本-",$G1485=""),"※成本类支出没填项目",IF(AND(LEFT($F1485,3)="成本-",$H1485&lt;&gt;"",N($K1485)&gt;0,COUNTIFS(采购单!$B:$B,$B1485,采购单!$C:$C,$H1485,采购单!$L:$L,$K1485)&gt;0),"※这笔可能和采购单重复了",""))))))))))</f>
        <v/>
      </c>
    </row>
    <row r="1486">
      <c r="A1486" s="17">
        <f>IF($B1486="","",ROW()-3)</f>
        <v/>
      </c>
      <c r="B1486" s="18" t="n"/>
      <c r="C1486" s="13" t="n"/>
      <c r="D1486" s="13" t="n"/>
      <c r="E1486" s="13" t="n"/>
      <c r="F1486" s="17">
        <f>IF($E1486="","",IFERROR(VLOOKUP($E1486,类别归属,2,0),"※类别不在基础资料里"))</f>
        <v/>
      </c>
      <c r="G1486" s="13" t="n"/>
      <c r="H1486" s="13" t="n"/>
      <c r="I1486" s="13" t="n"/>
      <c r="J1486" s="14" t="n"/>
      <c r="K1486" s="14" t="n"/>
      <c r="L1486" s="19">
        <f>IF($C1486="","",ROUND(IFERROR(VLOOKUP($C1486,账户期初,2,0),0)+SUMIFS($J$4:J1486,$C$4:C1486,$C1486)-SUMIFS($K$4:K1486,$C$4:C1486,$C1486),2))</f>
        <v/>
      </c>
      <c r="M1486" s="19">
        <f>IF($C1486="","",ROUND(SUM(基础资料!$B$4:$B$13)+SUM($J$4:J1486)-SUM($K$4:K1486),2))</f>
        <v/>
      </c>
      <c r="N1486" s="13" t="n"/>
      <c r="O1486" s="13" t="n"/>
      <c r="P1486" s="17">
        <f>IF($B1486="","",IF($F1486="※类别不在基础资料里","※费用类别不在基础资料里",IF(AND(N($J1486)=0,N($K1486)=0),"※这行没填金额",IF(AND(N($J1486)&gt;0,N($K1486)&gt;0),"※收入和支出不能同一行都填",IF(AND($D1486="收入",N($J1486)=0),"※收入行要填收入金额",IF(AND($D1486="支出",N($K1486)=0),"※支出行要填支出金额",IF(AND($C1486&lt;&gt;"",ISNA(MATCH($C1486,账户表,0))),"※账户不在基础资料里",IF(AND($G1486&lt;&gt;"",ISNA(MATCH($G1486,项目名表,0))),"※项目不在项目台账里",IF(AND(LEFT($F1486,3)="成本-",$G1486=""),"※成本类支出没填项目",IF(AND(LEFT($F1486,3)="成本-",$H1486&lt;&gt;"",N($K1486)&gt;0,COUNTIFS(采购单!$B:$B,$B1486,采购单!$C:$C,$H1486,采购单!$L:$L,$K1486)&gt;0),"※这笔可能和采购单重复了",""))))))))))</f>
        <v/>
      </c>
    </row>
    <row r="1487">
      <c r="A1487" s="17">
        <f>IF($B1487="","",ROW()-3)</f>
        <v/>
      </c>
      <c r="B1487" s="18" t="n"/>
      <c r="C1487" s="13" t="n"/>
      <c r="D1487" s="13" t="n"/>
      <c r="E1487" s="13" t="n"/>
      <c r="F1487" s="17">
        <f>IF($E1487="","",IFERROR(VLOOKUP($E1487,类别归属,2,0),"※类别不在基础资料里"))</f>
        <v/>
      </c>
      <c r="G1487" s="13" t="n"/>
      <c r="H1487" s="13" t="n"/>
      <c r="I1487" s="13" t="n"/>
      <c r="J1487" s="14" t="n"/>
      <c r="K1487" s="14" t="n"/>
      <c r="L1487" s="19">
        <f>IF($C1487="","",ROUND(IFERROR(VLOOKUP($C1487,账户期初,2,0),0)+SUMIFS($J$4:J1487,$C$4:C1487,$C1487)-SUMIFS($K$4:K1487,$C$4:C1487,$C1487),2))</f>
        <v/>
      </c>
      <c r="M1487" s="19">
        <f>IF($C1487="","",ROUND(SUM(基础资料!$B$4:$B$13)+SUM($J$4:J1487)-SUM($K$4:K1487),2))</f>
        <v/>
      </c>
      <c r="N1487" s="13" t="n"/>
      <c r="O1487" s="13" t="n"/>
      <c r="P1487" s="17">
        <f>IF($B1487="","",IF($F1487="※类别不在基础资料里","※费用类别不在基础资料里",IF(AND(N($J1487)=0,N($K1487)=0),"※这行没填金额",IF(AND(N($J1487)&gt;0,N($K1487)&gt;0),"※收入和支出不能同一行都填",IF(AND($D1487="收入",N($J1487)=0),"※收入行要填收入金额",IF(AND($D1487="支出",N($K1487)=0),"※支出行要填支出金额",IF(AND($C1487&lt;&gt;"",ISNA(MATCH($C1487,账户表,0))),"※账户不在基础资料里",IF(AND($G1487&lt;&gt;"",ISNA(MATCH($G1487,项目名表,0))),"※项目不在项目台账里",IF(AND(LEFT($F1487,3)="成本-",$G1487=""),"※成本类支出没填项目",IF(AND(LEFT($F1487,3)="成本-",$H1487&lt;&gt;"",N($K1487)&gt;0,COUNTIFS(采购单!$B:$B,$B1487,采购单!$C:$C,$H1487,采购单!$L:$L,$K1487)&gt;0),"※这笔可能和采购单重复了",""))))))))))</f>
        <v/>
      </c>
    </row>
    <row r="1488">
      <c r="A1488" s="17">
        <f>IF($B1488="","",ROW()-3)</f>
        <v/>
      </c>
      <c r="B1488" s="18" t="n"/>
      <c r="C1488" s="13" t="n"/>
      <c r="D1488" s="13" t="n"/>
      <c r="E1488" s="13" t="n"/>
      <c r="F1488" s="17">
        <f>IF($E1488="","",IFERROR(VLOOKUP($E1488,类别归属,2,0),"※类别不在基础资料里"))</f>
        <v/>
      </c>
      <c r="G1488" s="13" t="n"/>
      <c r="H1488" s="13" t="n"/>
      <c r="I1488" s="13" t="n"/>
      <c r="J1488" s="14" t="n"/>
      <c r="K1488" s="14" t="n"/>
      <c r="L1488" s="19">
        <f>IF($C1488="","",ROUND(IFERROR(VLOOKUP($C1488,账户期初,2,0),0)+SUMIFS($J$4:J1488,$C$4:C1488,$C1488)-SUMIFS($K$4:K1488,$C$4:C1488,$C1488),2))</f>
        <v/>
      </c>
      <c r="M1488" s="19">
        <f>IF($C1488="","",ROUND(SUM(基础资料!$B$4:$B$13)+SUM($J$4:J1488)-SUM($K$4:K1488),2))</f>
        <v/>
      </c>
      <c r="N1488" s="13" t="n"/>
      <c r="O1488" s="13" t="n"/>
      <c r="P1488" s="17">
        <f>IF($B1488="","",IF($F1488="※类别不在基础资料里","※费用类别不在基础资料里",IF(AND(N($J1488)=0,N($K1488)=0),"※这行没填金额",IF(AND(N($J1488)&gt;0,N($K1488)&gt;0),"※收入和支出不能同一行都填",IF(AND($D1488="收入",N($J1488)=0),"※收入行要填收入金额",IF(AND($D1488="支出",N($K1488)=0),"※支出行要填支出金额",IF(AND($C1488&lt;&gt;"",ISNA(MATCH($C1488,账户表,0))),"※账户不在基础资料里",IF(AND($G1488&lt;&gt;"",ISNA(MATCH($G1488,项目名表,0))),"※项目不在项目台账里",IF(AND(LEFT($F1488,3)="成本-",$G1488=""),"※成本类支出没填项目",IF(AND(LEFT($F1488,3)="成本-",$H1488&lt;&gt;"",N($K1488)&gt;0,COUNTIFS(采购单!$B:$B,$B1488,采购单!$C:$C,$H1488,采购单!$L:$L,$K1488)&gt;0),"※这笔可能和采购单重复了",""))))))))))</f>
        <v/>
      </c>
    </row>
    <row r="1489">
      <c r="A1489" s="17">
        <f>IF($B1489="","",ROW()-3)</f>
        <v/>
      </c>
      <c r="B1489" s="18" t="n"/>
      <c r="C1489" s="13" t="n"/>
      <c r="D1489" s="13" t="n"/>
      <c r="E1489" s="13" t="n"/>
      <c r="F1489" s="17">
        <f>IF($E1489="","",IFERROR(VLOOKUP($E1489,类别归属,2,0),"※类别不在基础资料里"))</f>
        <v/>
      </c>
      <c r="G1489" s="13" t="n"/>
      <c r="H1489" s="13" t="n"/>
      <c r="I1489" s="13" t="n"/>
      <c r="J1489" s="14" t="n"/>
      <c r="K1489" s="14" t="n"/>
      <c r="L1489" s="19">
        <f>IF($C1489="","",ROUND(IFERROR(VLOOKUP($C1489,账户期初,2,0),0)+SUMIFS($J$4:J1489,$C$4:C1489,$C1489)-SUMIFS($K$4:K1489,$C$4:C1489,$C1489),2))</f>
        <v/>
      </c>
      <c r="M1489" s="19">
        <f>IF($C1489="","",ROUND(SUM(基础资料!$B$4:$B$13)+SUM($J$4:J1489)-SUM($K$4:K1489),2))</f>
        <v/>
      </c>
      <c r="N1489" s="13" t="n"/>
      <c r="O1489" s="13" t="n"/>
      <c r="P1489" s="17">
        <f>IF($B1489="","",IF($F1489="※类别不在基础资料里","※费用类别不在基础资料里",IF(AND(N($J1489)=0,N($K1489)=0),"※这行没填金额",IF(AND(N($J1489)&gt;0,N($K1489)&gt;0),"※收入和支出不能同一行都填",IF(AND($D1489="收入",N($J1489)=0),"※收入行要填收入金额",IF(AND($D1489="支出",N($K1489)=0),"※支出行要填支出金额",IF(AND($C1489&lt;&gt;"",ISNA(MATCH($C1489,账户表,0))),"※账户不在基础资料里",IF(AND($G1489&lt;&gt;"",ISNA(MATCH($G1489,项目名表,0))),"※项目不在项目台账里",IF(AND(LEFT($F1489,3)="成本-",$G1489=""),"※成本类支出没填项目",IF(AND(LEFT($F1489,3)="成本-",$H1489&lt;&gt;"",N($K1489)&gt;0,COUNTIFS(采购单!$B:$B,$B1489,采购单!$C:$C,$H1489,采购单!$L:$L,$K1489)&gt;0),"※这笔可能和采购单重复了",""))))))))))</f>
        <v/>
      </c>
    </row>
    <row r="1490">
      <c r="A1490" s="17">
        <f>IF($B1490="","",ROW()-3)</f>
        <v/>
      </c>
      <c r="B1490" s="18" t="n"/>
      <c r="C1490" s="13" t="n"/>
      <c r="D1490" s="13" t="n"/>
      <c r="E1490" s="13" t="n"/>
      <c r="F1490" s="17">
        <f>IF($E1490="","",IFERROR(VLOOKUP($E1490,类别归属,2,0),"※类别不在基础资料里"))</f>
        <v/>
      </c>
      <c r="G1490" s="13" t="n"/>
      <c r="H1490" s="13" t="n"/>
      <c r="I1490" s="13" t="n"/>
      <c r="J1490" s="14" t="n"/>
      <c r="K1490" s="14" t="n"/>
      <c r="L1490" s="19">
        <f>IF($C1490="","",ROUND(IFERROR(VLOOKUP($C1490,账户期初,2,0),0)+SUMIFS($J$4:J1490,$C$4:C1490,$C1490)-SUMIFS($K$4:K1490,$C$4:C1490,$C1490),2))</f>
        <v/>
      </c>
      <c r="M1490" s="19">
        <f>IF($C1490="","",ROUND(SUM(基础资料!$B$4:$B$13)+SUM($J$4:J1490)-SUM($K$4:K1490),2))</f>
        <v/>
      </c>
      <c r="N1490" s="13" t="n"/>
      <c r="O1490" s="13" t="n"/>
      <c r="P1490" s="17">
        <f>IF($B1490="","",IF($F1490="※类别不在基础资料里","※费用类别不在基础资料里",IF(AND(N($J1490)=0,N($K1490)=0),"※这行没填金额",IF(AND(N($J1490)&gt;0,N($K1490)&gt;0),"※收入和支出不能同一行都填",IF(AND($D1490="收入",N($J1490)=0),"※收入行要填收入金额",IF(AND($D1490="支出",N($K1490)=0),"※支出行要填支出金额",IF(AND($C1490&lt;&gt;"",ISNA(MATCH($C1490,账户表,0))),"※账户不在基础资料里",IF(AND($G1490&lt;&gt;"",ISNA(MATCH($G1490,项目名表,0))),"※项目不在项目台账里",IF(AND(LEFT($F1490,3)="成本-",$G1490=""),"※成本类支出没填项目",IF(AND(LEFT($F1490,3)="成本-",$H1490&lt;&gt;"",N($K1490)&gt;0,COUNTIFS(采购单!$B:$B,$B1490,采购单!$C:$C,$H1490,采购单!$L:$L,$K1490)&gt;0),"※这笔可能和采购单重复了",""))))))))))</f>
        <v/>
      </c>
    </row>
    <row r="1491">
      <c r="A1491" s="17">
        <f>IF($B1491="","",ROW()-3)</f>
        <v/>
      </c>
      <c r="B1491" s="18" t="n"/>
      <c r="C1491" s="13" t="n"/>
      <c r="D1491" s="13" t="n"/>
      <c r="E1491" s="13" t="n"/>
      <c r="F1491" s="17">
        <f>IF($E1491="","",IFERROR(VLOOKUP($E1491,类别归属,2,0),"※类别不在基础资料里"))</f>
        <v/>
      </c>
      <c r="G1491" s="13" t="n"/>
      <c r="H1491" s="13" t="n"/>
      <c r="I1491" s="13" t="n"/>
      <c r="J1491" s="14" t="n"/>
      <c r="K1491" s="14" t="n"/>
      <c r="L1491" s="19">
        <f>IF($C1491="","",ROUND(IFERROR(VLOOKUP($C1491,账户期初,2,0),0)+SUMIFS($J$4:J1491,$C$4:C1491,$C1491)-SUMIFS($K$4:K1491,$C$4:C1491,$C1491),2))</f>
        <v/>
      </c>
      <c r="M1491" s="19">
        <f>IF($C1491="","",ROUND(SUM(基础资料!$B$4:$B$13)+SUM($J$4:J1491)-SUM($K$4:K1491),2))</f>
        <v/>
      </c>
      <c r="N1491" s="13" t="n"/>
      <c r="O1491" s="13" t="n"/>
      <c r="P1491" s="17">
        <f>IF($B1491="","",IF($F1491="※类别不在基础资料里","※费用类别不在基础资料里",IF(AND(N($J1491)=0,N($K1491)=0),"※这行没填金额",IF(AND(N($J1491)&gt;0,N($K1491)&gt;0),"※收入和支出不能同一行都填",IF(AND($D1491="收入",N($J1491)=0),"※收入行要填收入金额",IF(AND($D1491="支出",N($K1491)=0),"※支出行要填支出金额",IF(AND($C1491&lt;&gt;"",ISNA(MATCH($C1491,账户表,0))),"※账户不在基础资料里",IF(AND($G1491&lt;&gt;"",ISNA(MATCH($G1491,项目名表,0))),"※项目不在项目台账里",IF(AND(LEFT($F1491,3)="成本-",$G1491=""),"※成本类支出没填项目",IF(AND(LEFT($F1491,3)="成本-",$H1491&lt;&gt;"",N($K1491)&gt;0,COUNTIFS(采购单!$B:$B,$B1491,采购单!$C:$C,$H1491,采购单!$L:$L,$K1491)&gt;0),"※这笔可能和采购单重复了",""))))))))))</f>
        <v/>
      </c>
    </row>
    <row r="1492">
      <c r="A1492" s="17">
        <f>IF($B1492="","",ROW()-3)</f>
        <v/>
      </c>
      <c r="B1492" s="18" t="n"/>
      <c r="C1492" s="13" t="n"/>
      <c r="D1492" s="13" t="n"/>
      <c r="E1492" s="13" t="n"/>
      <c r="F1492" s="17">
        <f>IF($E1492="","",IFERROR(VLOOKUP($E1492,类别归属,2,0),"※类别不在基础资料里"))</f>
        <v/>
      </c>
      <c r="G1492" s="13" t="n"/>
      <c r="H1492" s="13" t="n"/>
      <c r="I1492" s="13" t="n"/>
      <c r="J1492" s="14" t="n"/>
      <c r="K1492" s="14" t="n"/>
      <c r="L1492" s="19">
        <f>IF($C1492="","",ROUND(IFERROR(VLOOKUP($C1492,账户期初,2,0),0)+SUMIFS($J$4:J1492,$C$4:C1492,$C1492)-SUMIFS($K$4:K1492,$C$4:C1492,$C1492),2))</f>
        <v/>
      </c>
      <c r="M1492" s="19">
        <f>IF($C1492="","",ROUND(SUM(基础资料!$B$4:$B$13)+SUM($J$4:J1492)-SUM($K$4:K1492),2))</f>
        <v/>
      </c>
      <c r="N1492" s="13" t="n"/>
      <c r="O1492" s="13" t="n"/>
      <c r="P1492" s="17">
        <f>IF($B1492="","",IF($F1492="※类别不在基础资料里","※费用类别不在基础资料里",IF(AND(N($J1492)=0,N($K1492)=0),"※这行没填金额",IF(AND(N($J1492)&gt;0,N($K1492)&gt;0),"※收入和支出不能同一行都填",IF(AND($D1492="收入",N($J1492)=0),"※收入行要填收入金额",IF(AND($D1492="支出",N($K1492)=0),"※支出行要填支出金额",IF(AND($C1492&lt;&gt;"",ISNA(MATCH($C1492,账户表,0))),"※账户不在基础资料里",IF(AND($G1492&lt;&gt;"",ISNA(MATCH($G1492,项目名表,0))),"※项目不在项目台账里",IF(AND(LEFT($F1492,3)="成本-",$G1492=""),"※成本类支出没填项目",IF(AND(LEFT($F1492,3)="成本-",$H1492&lt;&gt;"",N($K1492)&gt;0,COUNTIFS(采购单!$B:$B,$B1492,采购单!$C:$C,$H1492,采购单!$L:$L,$K1492)&gt;0),"※这笔可能和采购单重复了",""))))))))))</f>
        <v/>
      </c>
    </row>
    <row r="1493">
      <c r="A1493" s="17">
        <f>IF($B1493="","",ROW()-3)</f>
        <v/>
      </c>
      <c r="B1493" s="18" t="n"/>
      <c r="C1493" s="13" t="n"/>
      <c r="D1493" s="13" t="n"/>
      <c r="E1493" s="13" t="n"/>
      <c r="F1493" s="17">
        <f>IF($E1493="","",IFERROR(VLOOKUP($E1493,类别归属,2,0),"※类别不在基础资料里"))</f>
        <v/>
      </c>
      <c r="G1493" s="13" t="n"/>
      <c r="H1493" s="13" t="n"/>
      <c r="I1493" s="13" t="n"/>
      <c r="J1493" s="14" t="n"/>
      <c r="K1493" s="14" t="n"/>
      <c r="L1493" s="19">
        <f>IF($C1493="","",ROUND(IFERROR(VLOOKUP($C1493,账户期初,2,0),0)+SUMIFS($J$4:J1493,$C$4:C1493,$C1493)-SUMIFS($K$4:K1493,$C$4:C1493,$C1493),2))</f>
        <v/>
      </c>
      <c r="M1493" s="19">
        <f>IF($C1493="","",ROUND(SUM(基础资料!$B$4:$B$13)+SUM($J$4:J1493)-SUM($K$4:K1493),2))</f>
        <v/>
      </c>
      <c r="N1493" s="13" t="n"/>
      <c r="O1493" s="13" t="n"/>
      <c r="P1493" s="17">
        <f>IF($B1493="","",IF($F1493="※类别不在基础资料里","※费用类别不在基础资料里",IF(AND(N($J1493)=0,N($K1493)=0),"※这行没填金额",IF(AND(N($J1493)&gt;0,N($K1493)&gt;0),"※收入和支出不能同一行都填",IF(AND($D1493="收入",N($J1493)=0),"※收入行要填收入金额",IF(AND($D1493="支出",N($K1493)=0),"※支出行要填支出金额",IF(AND($C1493&lt;&gt;"",ISNA(MATCH($C1493,账户表,0))),"※账户不在基础资料里",IF(AND($G1493&lt;&gt;"",ISNA(MATCH($G1493,项目名表,0))),"※项目不在项目台账里",IF(AND(LEFT($F1493,3)="成本-",$G1493=""),"※成本类支出没填项目",IF(AND(LEFT($F1493,3)="成本-",$H1493&lt;&gt;"",N($K1493)&gt;0,COUNTIFS(采购单!$B:$B,$B1493,采购单!$C:$C,$H1493,采购单!$L:$L,$K1493)&gt;0),"※这笔可能和采购单重复了",""))))))))))</f>
        <v/>
      </c>
    </row>
    <row r="1494">
      <c r="A1494" s="17">
        <f>IF($B1494="","",ROW()-3)</f>
        <v/>
      </c>
      <c r="B1494" s="18" t="n"/>
      <c r="C1494" s="13" t="n"/>
      <c r="D1494" s="13" t="n"/>
      <c r="E1494" s="13" t="n"/>
      <c r="F1494" s="17">
        <f>IF($E1494="","",IFERROR(VLOOKUP($E1494,类别归属,2,0),"※类别不在基础资料里"))</f>
        <v/>
      </c>
      <c r="G1494" s="13" t="n"/>
      <c r="H1494" s="13" t="n"/>
      <c r="I1494" s="13" t="n"/>
      <c r="J1494" s="14" t="n"/>
      <c r="K1494" s="14" t="n"/>
      <c r="L1494" s="19">
        <f>IF($C1494="","",ROUND(IFERROR(VLOOKUP($C1494,账户期初,2,0),0)+SUMIFS($J$4:J1494,$C$4:C1494,$C1494)-SUMIFS($K$4:K1494,$C$4:C1494,$C1494),2))</f>
        <v/>
      </c>
      <c r="M1494" s="19">
        <f>IF($C1494="","",ROUND(SUM(基础资料!$B$4:$B$13)+SUM($J$4:J1494)-SUM($K$4:K1494),2))</f>
        <v/>
      </c>
      <c r="N1494" s="13" t="n"/>
      <c r="O1494" s="13" t="n"/>
      <c r="P1494" s="17">
        <f>IF($B1494="","",IF($F1494="※类别不在基础资料里","※费用类别不在基础资料里",IF(AND(N($J1494)=0,N($K1494)=0),"※这行没填金额",IF(AND(N($J1494)&gt;0,N($K1494)&gt;0),"※收入和支出不能同一行都填",IF(AND($D1494="收入",N($J1494)=0),"※收入行要填收入金额",IF(AND($D1494="支出",N($K1494)=0),"※支出行要填支出金额",IF(AND($C1494&lt;&gt;"",ISNA(MATCH($C1494,账户表,0))),"※账户不在基础资料里",IF(AND($G1494&lt;&gt;"",ISNA(MATCH($G1494,项目名表,0))),"※项目不在项目台账里",IF(AND(LEFT($F1494,3)="成本-",$G1494=""),"※成本类支出没填项目",IF(AND(LEFT($F1494,3)="成本-",$H1494&lt;&gt;"",N($K1494)&gt;0,COUNTIFS(采购单!$B:$B,$B1494,采购单!$C:$C,$H1494,采购单!$L:$L,$K1494)&gt;0),"※这笔可能和采购单重复了",""))))))))))</f>
        <v/>
      </c>
    </row>
    <row r="1495">
      <c r="A1495" s="17">
        <f>IF($B1495="","",ROW()-3)</f>
        <v/>
      </c>
      <c r="B1495" s="18" t="n"/>
      <c r="C1495" s="13" t="n"/>
      <c r="D1495" s="13" t="n"/>
      <c r="E1495" s="13" t="n"/>
      <c r="F1495" s="17">
        <f>IF($E1495="","",IFERROR(VLOOKUP($E1495,类别归属,2,0),"※类别不在基础资料里"))</f>
        <v/>
      </c>
      <c r="G1495" s="13" t="n"/>
      <c r="H1495" s="13" t="n"/>
      <c r="I1495" s="13" t="n"/>
      <c r="J1495" s="14" t="n"/>
      <c r="K1495" s="14" t="n"/>
      <c r="L1495" s="19">
        <f>IF($C1495="","",ROUND(IFERROR(VLOOKUP($C1495,账户期初,2,0),0)+SUMIFS($J$4:J1495,$C$4:C1495,$C1495)-SUMIFS($K$4:K1495,$C$4:C1495,$C1495),2))</f>
        <v/>
      </c>
      <c r="M1495" s="19">
        <f>IF($C1495="","",ROUND(SUM(基础资料!$B$4:$B$13)+SUM($J$4:J1495)-SUM($K$4:K1495),2))</f>
        <v/>
      </c>
      <c r="N1495" s="13" t="n"/>
      <c r="O1495" s="13" t="n"/>
      <c r="P1495" s="17">
        <f>IF($B1495="","",IF($F1495="※类别不在基础资料里","※费用类别不在基础资料里",IF(AND(N($J1495)=0,N($K1495)=0),"※这行没填金额",IF(AND(N($J1495)&gt;0,N($K1495)&gt;0),"※收入和支出不能同一行都填",IF(AND($D1495="收入",N($J1495)=0),"※收入行要填收入金额",IF(AND($D1495="支出",N($K1495)=0),"※支出行要填支出金额",IF(AND($C1495&lt;&gt;"",ISNA(MATCH($C1495,账户表,0))),"※账户不在基础资料里",IF(AND($G1495&lt;&gt;"",ISNA(MATCH($G1495,项目名表,0))),"※项目不在项目台账里",IF(AND(LEFT($F1495,3)="成本-",$G1495=""),"※成本类支出没填项目",IF(AND(LEFT($F1495,3)="成本-",$H1495&lt;&gt;"",N($K1495)&gt;0,COUNTIFS(采购单!$B:$B,$B1495,采购单!$C:$C,$H1495,采购单!$L:$L,$K1495)&gt;0),"※这笔可能和采购单重复了",""))))))))))</f>
        <v/>
      </c>
    </row>
    <row r="1496">
      <c r="A1496" s="17">
        <f>IF($B1496="","",ROW()-3)</f>
        <v/>
      </c>
      <c r="B1496" s="18" t="n"/>
      <c r="C1496" s="13" t="n"/>
      <c r="D1496" s="13" t="n"/>
      <c r="E1496" s="13" t="n"/>
      <c r="F1496" s="17">
        <f>IF($E1496="","",IFERROR(VLOOKUP($E1496,类别归属,2,0),"※类别不在基础资料里"))</f>
        <v/>
      </c>
      <c r="G1496" s="13" t="n"/>
      <c r="H1496" s="13" t="n"/>
      <c r="I1496" s="13" t="n"/>
      <c r="J1496" s="14" t="n"/>
      <c r="K1496" s="14" t="n"/>
      <c r="L1496" s="19">
        <f>IF($C1496="","",ROUND(IFERROR(VLOOKUP($C1496,账户期初,2,0),0)+SUMIFS($J$4:J1496,$C$4:C1496,$C1496)-SUMIFS($K$4:K1496,$C$4:C1496,$C1496),2))</f>
        <v/>
      </c>
      <c r="M1496" s="19">
        <f>IF($C1496="","",ROUND(SUM(基础资料!$B$4:$B$13)+SUM($J$4:J1496)-SUM($K$4:K1496),2))</f>
        <v/>
      </c>
      <c r="N1496" s="13" t="n"/>
      <c r="O1496" s="13" t="n"/>
      <c r="P1496" s="17">
        <f>IF($B1496="","",IF($F1496="※类别不在基础资料里","※费用类别不在基础资料里",IF(AND(N($J1496)=0,N($K1496)=0),"※这行没填金额",IF(AND(N($J1496)&gt;0,N($K1496)&gt;0),"※收入和支出不能同一行都填",IF(AND($D1496="收入",N($J1496)=0),"※收入行要填收入金额",IF(AND($D1496="支出",N($K1496)=0),"※支出行要填支出金额",IF(AND($C1496&lt;&gt;"",ISNA(MATCH($C1496,账户表,0))),"※账户不在基础资料里",IF(AND($G1496&lt;&gt;"",ISNA(MATCH($G1496,项目名表,0))),"※项目不在项目台账里",IF(AND(LEFT($F1496,3)="成本-",$G1496=""),"※成本类支出没填项目",IF(AND(LEFT($F1496,3)="成本-",$H1496&lt;&gt;"",N($K1496)&gt;0,COUNTIFS(采购单!$B:$B,$B1496,采购单!$C:$C,$H1496,采购单!$L:$L,$K1496)&gt;0),"※这笔可能和采购单重复了",""))))))))))</f>
        <v/>
      </c>
    </row>
    <row r="1497">
      <c r="A1497" s="17">
        <f>IF($B1497="","",ROW()-3)</f>
        <v/>
      </c>
      <c r="B1497" s="18" t="n"/>
      <c r="C1497" s="13" t="n"/>
      <c r="D1497" s="13" t="n"/>
      <c r="E1497" s="13" t="n"/>
      <c r="F1497" s="17">
        <f>IF($E1497="","",IFERROR(VLOOKUP($E1497,类别归属,2,0),"※类别不在基础资料里"))</f>
        <v/>
      </c>
      <c r="G1497" s="13" t="n"/>
      <c r="H1497" s="13" t="n"/>
      <c r="I1497" s="13" t="n"/>
      <c r="J1497" s="14" t="n"/>
      <c r="K1497" s="14" t="n"/>
      <c r="L1497" s="19">
        <f>IF($C1497="","",ROUND(IFERROR(VLOOKUP($C1497,账户期初,2,0),0)+SUMIFS($J$4:J1497,$C$4:C1497,$C1497)-SUMIFS($K$4:K1497,$C$4:C1497,$C1497),2))</f>
        <v/>
      </c>
      <c r="M1497" s="19">
        <f>IF($C1497="","",ROUND(SUM(基础资料!$B$4:$B$13)+SUM($J$4:J1497)-SUM($K$4:K1497),2))</f>
        <v/>
      </c>
      <c r="N1497" s="13" t="n"/>
      <c r="O1497" s="13" t="n"/>
      <c r="P1497" s="17">
        <f>IF($B1497="","",IF($F1497="※类别不在基础资料里","※费用类别不在基础资料里",IF(AND(N($J1497)=0,N($K1497)=0),"※这行没填金额",IF(AND(N($J1497)&gt;0,N($K1497)&gt;0),"※收入和支出不能同一行都填",IF(AND($D1497="收入",N($J1497)=0),"※收入行要填收入金额",IF(AND($D1497="支出",N($K1497)=0),"※支出行要填支出金额",IF(AND($C1497&lt;&gt;"",ISNA(MATCH($C1497,账户表,0))),"※账户不在基础资料里",IF(AND($G1497&lt;&gt;"",ISNA(MATCH($G1497,项目名表,0))),"※项目不在项目台账里",IF(AND(LEFT($F1497,3)="成本-",$G1497=""),"※成本类支出没填项目",IF(AND(LEFT($F1497,3)="成本-",$H1497&lt;&gt;"",N($K1497)&gt;0,COUNTIFS(采购单!$B:$B,$B1497,采购单!$C:$C,$H1497,采购单!$L:$L,$K1497)&gt;0),"※这笔可能和采购单重复了",""))))))))))</f>
        <v/>
      </c>
    </row>
    <row r="1498">
      <c r="A1498" s="17">
        <f>IF($B1498="","",ROW()-3)</f>
        <v/>
      </c>
      <c r="B1498" s="18" t="n"/>
      <c r="C1498" s="13" t="n"/>
      <c r="D1498" s="13" t="n"/>
      <c r="E1498" s="13" t="n"/>
      <c r="F1498" s="17">
        <f>IF($E1498="","",IFERROR(VLOOKUP($E1498,类别归属,2,0),"※类别不在基础资料里"))</f>
        <v/>
      </c>
      <c r="G1498" s="13" t="n"/>
      <c r="H1498" s="13" t="n"/>
      <c r="I1498" s="13" t="n"/>
      <c r="J1498" s="14" t="n"/>
      <c r="K1498" s="14" t="n"/>
      <c r="L1498" s="19">
        <f>IF($C1498="","",ROUND(IFERROR(VLOOKUP($C1498,账户期初,2,0),0)+SUMIFS($J$4:J1498,$C$4:C1498,$C1498)-SUMIFS($K$4:K1498,$C$4:C1498,$C1498),2))</f>
        <v/>
      </c>
      <c r="M1498" s="19">
        <f>IF($C1498="","",ROUND(SUM(基础资料!$B$4:$B$13)+SUM($J$4:J1498)-SUM($K$4:K1498),2))</f>
        <v/>
      </c>
      <c r="N1498" s="13" t="n"/>
      <c r="O1498" s="13" t="n"/>
      <c r="P1498" s="17">
        <f>IF($B1498="","",IF($F1498="※类别不在基础资料里","※费用类别不在基础资料里",IF(AND(N($J1498)=0,N($K1498)=0),"※这行没填金额",IF(AND(N($J1498)&gt;0,N($K1498)&gt;0),"※收入和支出不能同一行都填",IF(AND($D1498="收入",N($J1498)=0),"※收入行要填收入金额",IF(AND($D1498="支出",N($K1498)=0),"※支出行要填支出金额",IF(AND($C1498&lt;&gt;"",ISNA(MATCH($C1498,账户表,0))),"※账户不在基础资料里",IF(AND($G1498&lt;&gt;"",ISNA(MATCH($G1498,项目名表,0))),"※项目不在项目台账里",IF(AND(LEFT($F1498,3)="成本-",$G1498=""),"※成本类支出没填项目",IF(AND(LEFT($F1498,3)="成本-",$H1498&lt;&gt;"",N($K1498)&gt;0,COUNTIFS(采购单!$B:$B,$B1498,采购单!$C:$C,$H1498,采购单!$L:$L,$K1498)&gt;0),"※这笔可能和采购单重复了",""))))))))))</f>
        <v/>
      </c>
    </row>
    <row r="1499">
      <c r="A1499" s="17">
        <f>IF($B1499="","",ROW()-3)</f>
        <v/>
      </c>
      <c r="B1499" s="18" t="n"/>
      <c r="C1499" s="13" t="n"/>
      <c r="D1499" s="13" t="n"/>
      <c r="E1499" s="13" t="n"/>
      <c r="F1499" s="17">
        <f>IF($E1499="","",IFERROR(VLOOKUP($E1499,类别归属,2,0),"※类别不在基础资料里"))</f>
        <v/>
      </c>
      <c r="G1499" s="13" t="n"/>
      <c r="H1499" s="13" t="n"/>
      <c r="I1499" s="13" t="n"/>
      <c r="J1499" s="14" t="n"/>
      <c r="K1499" s="14" t="n"/>
      <c r="L1499" s="19">
        <f>IF($C1499="","",ROUND(IFERROR(VLOOKUP($C1499,账户期初,2,0),0)+SUMIFS($J$4:J1499,$C$4:C1499,$C1499)-SUMIFS($K$4:K1499,$C$4:C1499,$C1499),2))</f>
        <v/>
      </c>
      <c r="M1499" s="19">
        <f>IF($C1499="","",ROUND(SUM(基础资料!$B$4:$B$13)+SUM($J$4:J1499)-SUM($K$4:K1499),2))</f>
        <v/>
      </c>
      <c r="N1499" s="13" t="n"/>
      <c r="O1499" s="13" t="n"/>
      <c r="P1499" s="17">
        <f>IF($B1499="","",IF($F1499="※类别不在基础资料里","※费用类别不在基础资料里",IF(AND(N($J1499)=0,N($K1499)=0),"※这行没填金额",IF(AND(N($J1499)&gt;0,N($K1499)&gt;0),"※收入和支出不能同一行都填",IF(AND($D1499="收入",N($J1499)=0),"※收入行要填收入金额",IF(AND($D1499="支出",N($K1499)=0),"※支出行要填支出金额",IF(AND($C1499&lt;&gt;"",ISNA(MATCH($C1499,账户表,0))),"※账户不在基础资料里",IF(AND($G1499&lt;&gt;"",ISNA(MATCH($G1499,项目名表,0))),"※项目不在项目台账里",IF(AND(LEFT($F1499,3)="成本-",$G1499=""),"※成本类支出没填项目",IF(AND(LEFT($F1499,3)="成本-",$H1499&lt;&gt;"",N($K1499)&gt;0,COUNTIFS(采购单!$B:$B,$B1499,采购单!$C:$C,$H1499,采购单!$L:$L,$K1499)&gt;0),"※这笔可能和采购单重复了",""))))))))))</f>
        <v/>
      </c>
    </row>
    <row r="1500">
      <c r="A1500" s="17">
        <f>IF($B1500="","",ROW()-3)</f>
        <v/>
      </c>
      <c r="B1500" s="18" t="n"/>
      <c r="C1500" s="13" t="n"/>
      <c r="D1500" s="13" t="n"/>
      <c r="E1500" s="13" t="n"/>
      <c r="F1500" s="17">
        <f>IF($E1500="","",IFERROR(VLOOKUP($E1500,类别归属,2,0),"※类别不在基础资料里"))</f>
        <v/>
      </c>
      <c r="G1500" s="13" t="n"/>
      <c r="H1500" s="13" t="n"/>
      <c r="I1500" s="13" t="n"/>
      <c r="J1500" s="14" t="n"/>
      <c r="K1500" s="14" t="n"/>
      <c r="L1500" s="19">
        <f>IF($C1500="","",ROUND(IFERROR(VLOOKUP($C1500,账户期初,2,0),0)+SUMIFS($J$4:J1500,$C$4:C1500,$C1500)-SUMIFS($K$4:K1500,$C$4:C1500,$C1500),2))</f>
        <v/>
      </c>
      <c r="M1500" s="19">
        <f>IF($C1500="","",ROUND(SUM(基础资料!$B$4:$B$13)+SUM($J$4:J1500)-SUM($K$4:K1500),2))</f>
        <v/>
      </c>
      <c r="N1500" s="13" t="n"/>
      <c r="O1500" s="13" t="n"/>
      <c r="P1500" s="17">
        <f>IF($B1500="","",IF($F1500="※类别不在基础资料里","※费用类别不在基础资料里",IF(AND(N($J1500)=0,N($K1500)=0),"※这行没填金额",IF(AND(N($J1500)&gt;0,N($K1500)&gt;0),"※收入和支出不能同一行都填",IF(AND($D1500="收入",N($J1500)=0),"※收入行要填收入金额",IF(AND($D1500="支出",N($K1500)=0),"※支出行要填支出金额",IF(AND($C1500&lt;&gt;"",ISNA(MATCH($C1500,账户表,0))),"※账户不在基础资料里",IF(AND($G1500&lt;&gt;"",ISNA(MATCH($G1500,项目名表,0))),"※项目不在项目台账里",IF(AND(LEFT($F1500,3)="成本-",$G1500=""),"※成本类支出没填项目",IF(AND(LEFT($F1500,3)="成本-",$H1500&lt;&gt;"",N($K1500)&gt;0,COUNTIFS(采购单!$B:$B,$B1500,采购单!$C:$C,$H1500,采购单!$L:$L,$K1500)&gt;0),"※这笔可能和采购单重复了",""))))))))))</f>
        <v/>
      </c>
    </row>
    <row r="1501">
      <c r="A1501" s="17">
        <f>IF($B1501="","",ROW()-3)</f>
        <v/>
      </c>
      <c r="B1501" s="18" t="n"/>
      <c r="C1501" s="13" t="n"/>
      <c r="D1501" s="13" t="n"/>
      <c r="E1501" s="13" t="n"/>
      <c r="F1501" s="17">
        <f>IF($E1501="","",IFERROR(VLOOKUP($E1501,类别归属,2,0),"※类别不在基础资料里"))</f>
        <v/>
      </c>
      <c r="G1501" s="13" t="n"/>
      <c r="H1501" s="13" t="n"/>
      <c r="I1501" s="13" t="n"/>
      <c r="J1501" s="14" t="n"/>
      <c r="K1501" s="14" t="n"/>
      <c r="L1501" s="19">
        <f>IF($C1501="","",ROUND(IFERROR(VLOOKUP($C1501,账户期初,2,0),0)+SUMIFS($J$4:J1501,$C$4:C1501,$C1501)-SUMIFS($K$4:K1501,$C$4:C1501,$C1501),2))</f>
        <v/>
      </c>
      <c r="M1501" s="19">
        <f>IF($C1501="","",ROUND(SUM(基础资料!$B$4:$B$13)+SUM($J$4:J1501)-SUM($K$4:K1501),2))</f>
        <v/>
      </c>
      <c r="N1501" s="13" t="n"/>
      <c r="O1501" s="13" t="n"/>
      <c r="P1501" s="17">
        <f>IF($B1501="","",IF($F1501="※类别不在基础资料里","※费用类别不在基础资料里",IF(AND(N($J1501)=0,N($K1501)=0),"※这行没填金额",IF(AND(N($J1501)&gt;0,N($K1501)&gt;0),"※收入和支出不能同一行都填",IF(AND($D1501="收入",N($J1501)=0),"※收入行要填收入金额",IF(AND($D1501="支出",N($K1501)=0),"※支出行要填支出金额",IF(AND($C1501&lt;&gt;"",ISNA(MATCH($C1501,账户表,0))),"※账户不在基础资料里",IF(AND($G1501&lt;&gt;"",ISNA(MATCH($G1501,项目名表,0))),"※项目不在项目台账里",IF(AND(LEFT($F1501,3)="成本-",$G1501=""),"※成本类支出没填项目",IF(AND(LEFT($F1501,3)="成本-",$H1501&lt;&gt;"",N($K1501)&gt;0,COUNTIFS(采购单!$B:$B,$B1501,采购单!$C:$C,$H1501,采购单!$L:$L,$K1501)&gt;0),"※这笔可能和采购单重复了",""))))))))))</f>
        <v/>
      </c>
    </row>
    <row r="1502">
      <c r="A1502" s="17">
        <f>IF($B1502="","",ROW()-3)</f>
        <v/>
      </c>
      <c r="B1502" s="18" t="n"/>
      <c r="C1502" s="13" t="n"/>
      <c r="D1502" s="13" t="n"/>
      <c r="E1502" s="13" t="n"/>
      <c r="F1502" s="17">
        <f>IF($E1502="","",IFERROR(VLOOKUP($E1502,类别归属,2,0),"※类别不在基础资料里"))</f>
        <v/>
      </c>
      <c r="G1502" s="13" t="n"/>
      <c r="H1502" s="13" t="n"/>
      <c r="I1502" s="13" t="n"/>
      <c r="J1502" s="14" t="n"/>
      <c r="K1502" s="14" t="n"/>
      <c r="L1502" s="19">
        <f>IF($C1502="","",ROUND(IFERROR(VLOOKUP($C1502,账户期初,2,0),0)+SUMIFS($J$4:J1502,$C$4:C1502,$C1502)-SUMIFS($K$4:K1502,$C$4:C1502,$C1502),2))</f>
        <v/>
      </c>
      <c r="M1502" s="19">
        <f>IF($C1502="","",ROUND(SUM(基础资料!$B$4:$B$13)+SUM($J$4:J1502)-SUM($K$4:K1502),2))</f>
        <v/>
      </c>
      <c r="N1502" s="13" t="n"/>
      <c r="O1502" s="13" t="n"/>
      <c r="P1502" s="17">
        <f>IF($B1502="","",IF($F1502="※类别不在基础资料里","※费用类别不在基础资料里",IF(AND(N($J1502)=0,N($K1502)=0),"※这行没填金额",IF(AND(N($J1502)&gt;0,N($K1502)&gt;0),"※收入和支出不能同一行都填",IF(AND($D1502="收入",N($J1502)=0),"※收入行要填收入金额",IF(AND($D1502="支出",N($K1502)=0),"※支出行要填支出金额",IF(AND($C1502&lt;&gt;"",ISNA(MATCH($C1502,账户表,0))),"※账户不在基础资料里",IF(AND($G1502&lt;&gt;"",ISNA(MATCH($G1502,项目名表,0))),"※项目不在项目台账里",IF(AND(LEFT($F1502,3)="成本-",$G1502=""),"※成本类支出没填项目",IF(AND(LEFT($F1502,3)="成本-",$H1502&lt;&gt;"",N($K1502)&gt;0,COUNTIFS(采购单!$B:$B,$B1502,采购单!$C:$C,$H1502,采购单!$L:$L,$K1502)&gt;0),"※这笔可能和采购单重复了",""))))))))))</f>
        <v/>
      </c>
    </row>
    <row r="1503">
      <c r="A1503" s="17">
        <f>IF($B1503="","",ROW()-3)</f>
        <v/>
      </c>
      <c r="B1503" s="18" t="n"/>
      <c r="C1503" s="13" t="n"/>
      <c r="D1503" s="13" t="n"/>
      <c r="E1503" s="13" t="n"/>
      <c r="F1503" s="17">
        <f>IF($E1503="","",IFERROR(VLOOKUP($E1503,类别归属,2,0),"※类别不在基础资料里"))</f>
        <v/>
      </c>
      <c r="G1503" s="13" t="n"/>
      <c r="H1503" s="13" t="n"/>
      <c r="I1503" s="13" t="n"/>
      <c r="J1503" s="14" t="n"/>
      <c r="K1503" s="14" t="n"/>
      <c r="L1503" s="19">
        <f>IF($C1503="","",ROUND(IFERROR(VLOOKUP($C1503,账户期初,2,0),0)+SUMIFS($J$4:J1503,$C$4:C1503,$C1503)-SUMIFS($K$4:K1503,$C$4:C1503,$C1503),2))</f>
        <v/>
      </c>
      <c r="M1503" s="19">
        <f>IF($C1503="","",ROUND(SUM(基础资料!$B$4:$B$13)+SUM($J$4:J1503)-SUM($K$4:K1503),2))</f>
        <v/>
      </c>
      <c r="N1503" s="13" t="n"/>
      <c r="O1503" s="13" t="n"/>
      <c r="P1503" s="17">
        <f>IF($B1503="","",IF($F1503="※类别不在基础资料里","※费用类别不在基础资料里",IF(AND(N($J1503)=0,N($K1503)=0),"※这行没填金额",IF(AND(N($J1503)&gt;0,N($K1503)&gt;0),"※收入和支出不能同一行都填",IF(AND($D1503="收入",N($J1503)=0),"※收入行要填收入金额",IF(AND($D1503="支出",N($K1503)=0),"※支出行要填支出金额",IF(AND($C1503&lt;&gt;"",ISNA(MATCH($C1503,账户表,0))),"※账户不在基础资料里",IF(AND($G1503&lt;&gt;"",ISNA(MATCH($G1503,项目名表,0))),"※项目不在项目台账里",IF(AND(LEFT($F1503,3)="成本-",$G1503=""),"※成本类支出没填项目",IF(AND(LEFT($F1503,3)="成本-",$H1503&lt;&gt;"",N($K1503)&gt;0,COUNTIFS(采购单!$B:$B,$B1503,采购单!$C:$C,$H1503,采购单!$L:$L,$K1503)&gt;0),"※这笔可能和采购单重复了",""))))))))))</f>
        <v/>
      </c>
    </row>
    <row r="1504">
      <c r="A1504" s="17">
        <f>IF($B1504="","",ROW()-3)</f>
        <v/>
      </c>
      <c r="B1504" s="18" t="n"/>
      <c r="C1504" s="13" t="n"/>
      <c r="D1504" s="13" t="n"/>
      <c r="E1504" s="13" t="n"/>
      <c r="F1504" s="17">
        <f>IF($E1504="","",IFERROR(VLOOKUP($E1504,类别归属,2,0),"※类别不在基础资料里"))</f>
        <v/>
      </c>
      <c r="G1504" s="13" t="n"/>
      <c r="H1504" s="13" t="n"/>
      <c r="I1504" s="13" t="n"/>
      <c r="J1504" s="14" t="n"/>
      <c r="K1504" s="14" t="n"/>
      <c r="L1504" s="19">
        <f>IF($C1504="","",ROUND(IFERROR(VLOOKUP($C1504,账户期初,2,0),0)+SUMIFS($J$4:J1504,$C$4:C1504,$C1504)-SUMIFS($K$4:K1504,$C$4:C1504,$C1504),2))</f>
        <v/>
      </c>
      <c r="M1504" s="19">
        <f>IF($C1504="","",ROUND(SUM(基础资料!$B$4:$B$13)+SUM($J$4:J1504)-SUM($K$4:K1504),2))</f>
        <v/>
      </c>
      <c r="N1504" s="13" t="n"/>
      <c r="O1504" s="13" t="n"/>
      <c r="P1504" s="17">
        <f>IF($B1504="","",IF($F1504="※类别不在基础资料里","※费用类别不在基础资料里",IF(AND(N($J1504)=0,N($K1504)=0),"※这行没填金额",IF(AND(N($J1504)&gt;0,N($K1504)&gt;0),"※收入和支出不能同一行都填",IF(AND($D1504="收入",N($J1504)=0),"※收入行要填收入金额",IF(AND($D1504="支出",N($K1504)=0),"※支出行要填支出金额",IF(AND($C1504&lt;&gt;"",ISNA(MATCH($C1504,账户表,0))),"※账户不在基础资料里",IF(AND($G1504&lt;&gt;"",ISNA(MATCH($G1504,项目名表,0))),"※项目不在项目台账里",IF(AND(LEFT($F1504,3)="成本-",$G1504=""),"※成本类支出没填项目",IF(AND(LEFT($F1504,3)="成本-",$H1504&lt;&gt;"",N($K1504)&gt;0,COUNTIFS(采购单!$B:$B,$B1504,采购单!$C:$C,$H1504,采购单!$L:$L,$K1504)&gt;0),"※这笔可能和采购单重复了",""))))))))))</f>
        <v/>
      </c>
    </row>
    <row r="1505">
      <c r="A1505" s="17">
        <f>IF($B1505="","",ROW()-3)</f>
        <v/>
      </c>
      <c r="B1505" s="18" t="n"/>
      <c r="C1505" s="13" t="n"/>
      <c r="D1505" s="13" t="n"/>
      <c r="E1505" s="13" t="n"/>
      <c r="F1505" s="17">
        <f>IF($E1505="","",IFERROR(VLOOKUP($E1505,类别归属,2,0),"※类别不在基础资料里"))</f>
        <v/>
      </c>
      <c r="G1505" s="13" t="n"/>
      <c r="H1505" s="13" t="n"/>
      <c r="I1505" s="13" t="n"/>
      <c r="J1505" s="14" t="n"/>
      <c r="K1505" s="14" t="n"/>
      <c r="L1505" s="19">
        <f>IF($C1505="","",ROUND(IFERROR(VLOOKUP($C1505,账户期初,2,0),0)+SUMIFS($J$4:J1505,$C$4:C1505,$C1505)-SUMIFS($K$4:K1505,$C$4:C1505,$C1505),2))</f>
        <v/>
      </c>
      <c r="M1505" s="19">
        <f>IF($C1505="","",ROUND(SUM(基础资料!$B$4:$B$13)+SUM($J$4:J1505)-SUM($K$4:K1505),2))</f>
        <v/>
      </c>
      <c r="N1505" s="13" t="n"/>
      <c r="O1505" s="13" t="n"/>
      <c r="P1505" s="17">
        <f>IF($B1505="","",IF($F1505="※类别不在基础资料里","※费用类别不在基础资料里",IF(AND(N($J1505)=0,N($K1505)=0),"※这行没填金额",IF(AND(N($J1505)&gt;0,N($K1505)&gt;0),"※收入和支出不能同一行都填",IF(AND($D1505="收入",N($J1505)=0),"※收入行要填收入金额",IF(AND($D1505="支出",N($K1505)=0),"※支出行要填支出金额",IF(AND($C1505&lt;&gt;"",ISNA(MATCH($C1505,账户表,0))),"※账户不在基础资料里",IF(AND($G1505&lt;&gt;"",ISNA(MATCH($G1505,项目名表,0))),"※项目不在项目台账里",IF(AND(LEFT($F1505,3)="成本-",$G1505=""),"※成本类支出没填项目",IF(AND(LEFT($F1505,3)="成本-",$H1505&lt;&gt;"",N($K1505)&gt;0,COUNTIFS(采购单!$B:$B,$B1505,采购单!$C:$C,$H1505,采购单!$L:$L,$K1505)&gt;0),"※这笔可能和采购单重复了",""))))))))))</f>
        <v/>
      </c>
    </row>
    <row r="1506">
      <c r="A1506" s="17">
        <f>IF($B1506="","",ROW()-3)</f>
        <v/>
      </c>
      <c r="B1506" s="18" t="n"/>
      <c r="C1506" s="13" t="n"/>
      <c r="D1506" s="13" t="n"/>
      <c r="E1506" s="13" t="n"/>
      <c r="F1506" s="17">
        <f>IF($E1506="","",IFERROR(VLOOKUP($E1506,类别归属,2,0),"※类别不在基础资料里"))</f>
        <v/>
      </c>
      <c r="G1506" s="13" t="n"/>
      <c r="H1506" s="13" t="n"/>
      <c r="I1506" s="13" t="n"/>
      <c r="J1506" s="14" t="n"/>
      <c r="K1506" s="14" t="n"/>
      <c r="L1506" s="19">
        <f>IF($C1506="","",ROUND(IFERROR(VLOOKUP($C1506,账户期初,2,0),0)+SUMIFS($J$4:J1506,$C$4:C1506,$C1506)-SUMIFS($K$4:K1506,$C$4:C1506,$C1506),2))</f>
        <v/>
      </c>
      <c r="M1506" s="19">
        <f>IF($C1506="","",ROUND(SUM(基础资料!$B$4:$B$13)+SUM($J$4:J1506)-SUM($K$4:K1506),2))</f>
        <v/>
      </c>
      <c r="N1506" s="13" t="n"/>
      <c r="O1506" s="13" t="n"/>
      <c r="P1506" s="17">
        <f>IF($B1506="","",IF($F1506="※类别不在基础资料里","※费用类别不在基础资料里",IF(AND(N($J1506)=0,N($K1506)=0),"※这行没填金额",IF(AND(N($J1506)&gt;0,N($K1506)&gt;0),"※收入和支出不能同一行都填",IF(AND($D1506="收入",N($J1506)=0),"※收入行要填收入金额",IF(AND($D1506="支出",N($K1506)=0),"※支出行要填支出金额",IF(AND($C1506&lt;&gt;"",ISNA(MATCH($C1506,账户表,0))),"※账户不在基础资料里",IF(AND($G1506&lt;&gt;"",ISNA(MATCH($G1506,项目名表,0))),"※项目不在项目台账里",IF(AND(LEFT($F1506,3)="成本-",$G1506=""),"※成本类支出没填项目",IF(AND(LEFT($F1506,3)="成本-",$H1506&lt;&gt;"",N($K1506)&gt;0,COUNTIFS(采购单!$B:$B,$B1506,采购单!$C:$C,$H1506,采购单!$L:$L,$K1506)&gt;0),"※这笔可能和采购单重复了",""))))))))))</f>
        <v/>
      </c>
    </row>
    <row r="1507">
      <c r="A1507" s="17">
        <f>IF($B1507="","",ROW()-3)</f>
        <v/>
      </c>
      <c r="B1507" s="18" t="n"/>
      <c r="C1507" s="13" t="n"/>
      <c r="D1507" s="13" t="n"/>
      <c r="E1507" s="13" t="n"/>
      <c r="F1507" s="17">
        <f>IF($E1507="","",IFERROR(VLOOKUP($E1507,类别归属,2,0),"※类别不在基础资料里"))</f>
        <v/>
      </c>
      <c r="G1507" s="13" t="n"/>
      <c r="H1507" s="13" t="n"/>
      <c r="I1507" s="13" t="n"/>
      <c r="J1507" s="14" t="n"/>
      <c r="K1507" s="14" t="n"/>
      <c r="L1507" s="19">
        <f>IF($C1507="","",ROUND(IFERROR(VLOOKUP($C1507,账户期初,2,0),0)+SUMIFS($J$4:J1507,$C$4:C1507,$C1507)-SUMIFS($K$4:K1507,$C$4:C1507,$C1507),2))</f>
        <v/>
      </c>
      <c r="M1507" s="19">
        <f>IF($C1507="","",ROUND(SUM(基础资料!$B$4:$B$13)+SUM($J$4:J1507)-SUM($K$4:K1507),2))</f>
        <v/>
      </c>
      <c r="N1507" s="13" t="n"/>
      <c r="O1507" s="13" t="n"/>
      <c r="P1507" s="17">
        <f>IF($B1507="","",IF($F1507="※类别不在基础资料里","※费用类别不在基础资料里",IF(AND(N($J1507)=0,N($K1507)=0),"※这行没填金额",IF(AND(N($J1507)&gt;0,N($K1507)&gt;0),"※收入和支出不能同一行都填",IF(AND($D1507="收入",N($J1507)=0),"※收入行要填收入金额",IF(AND($D1507="支出",N($K1507)=0),"※支出行要填支出金额",IF(AND($C1507&lt;&gt;"",ISNA(MATCH($C1507,账户表,0))),"※账户不在基础资料里",IF(AND($G1507&lt;&gt;"",ISNA(MATCH($G1507,项目名表,0))),"※项目不在项目台账里",IF(AND(LEFT($F1507,3)="成本-",$G1507=""),"※成本类支出没填项目",IF(AND(LEFT($F1507,3)="成本-",$H1507&lt;&gt;"",N($K1507)&gt;0,COUNTIFS(采购单!$B:$B,$B1507,采购单!$C:$C,$H1507,采购单!$L:$L,$K1507)&gt;0),"※这笔可能和采购单重复了",""))))))))))</f>
        <v/>
      </c>
    </row>
    <row r="1508">
      <c r="A1508" s="17">
        <f>IF($B1508="","",ROW()-3)</f>
        <v/>
      </c>
      <c r="B1508" s="18" t="n"/>
      <c r="C1508" s="13" t="n"/>
      <c r="D1508" s="13" t="n"/>
      <c r="E1508" s="13" t="n"/>
      <c r="F1508" s="17">
        <f>IF($E1508="","",IFERROR(VLOOKUP($E1508,类别归属,2,0),"※类别不在基础资料里"))</f>
        <v/>
      </c>
      <c r="G1508" s="13" t="n"/>
      <c r="H1508" s="13" t="n"/>
      <c r="I1508" s="13" t="n"/>
      <c r="J1508" s="14" t="n"/>
      <c r="K1508" s="14" t="n"/>
      <c r="L1508" s="19">
        <f>IF($C1508="","",ROUND(IFERROR(VLOOKUP($C1508,账户期初,2,0),0)+SUMIFS($J$4:J1508,$C$4:C1508,$C1508)-SUMIFS($K$4:K1508,$C$4:C1508,$C1508),2))</f>
        <v/>
      </c>
      <c r="M1508" s="19">
        <f>IF($C1508="","",ROUND(SUM(基础资料!$B$4:$B$13)+SUM($J$4:J1508)-SUM($K$4:K1508),2))</f>
        <v/>
      </c>
      <c r="N1508" s="13" t="n"/>
      <c r="O1508" s="13" t="n"/>
      <c r="P1508" s="17">
        <f>IF($B1508="","",IF($F1508="※类别不在基础资料里","※费用类别不在基础资料里",IF(AND(N($J1508)=0,N($K1508)=0),"※这行没填金额",IF(AND(N($J1508)&gt;0,N($K1508)&gt;0),"※收入和支出不能同一行都填",IF(AND($D1508="收入",N($J1508)=0),"※收入行要填收入金额",IF(AND($D1508="支出",N($K1508)=0),"※支出行要填支出金额",IF(AND($C1508&lt;&gt;"",ISNA(MATCH($C1508,账户表,0))),"※账户不在基础资料里",IF(AND($G1508&lt;&gt;"",ISNA(MATCH($G1508,项目名表,0))),"※项目不在项目台账里",IF(AND(LEFT($F1508,3)="成本-",$G1508=""),"※成本类支出没填项目",IF(AND(LEFT($F1508,3)="成本-",$H1508&lt;&gt;"",N($K1508)&gt;0,COUNTIFS(采购单!$B:$B,$B1508,采购单!$C:$C,$H1508,采购单!$L:$L,$K1508)&gt;0),"※这笔可能和采购单重复了",""))))))))))</f>
        <v/>
      </c>
    </row>
    <row r="1509">
      <c r="A1509" s="17">
        <f>IF($B1509="","",ROW()-3)</f>
        <v/>
      </c>
      <c r="B1509" s="18" t="n"/>
      <c r="C1509" s="13" t="n"/>
      <c r="D1509" s="13" t="n"/>
      <c r="E1509" s="13" t="n"/>
      <c r="F1509" s="17">
        <f>IF($E1509="","",IFERROR(VLOOKUP($E1509,类别归属,2,0),"※类别不在基础资料里"))</f>
        <v/>
      </c>
      <c r="G1509" s="13" t="n"/>
      <c r="H1509" s="13" t="n"/>
      <c r="I1509" s="13" t="n"/>
      <c r="J1509" s="14" t="n"/>
      <c r="K1509" s="14" t="n"/>
      <c r="L1509" s="19">
        <f>IF($C1509="","",ROUND(IFERROR(VLOOKUP($C1509,账户期初,2,0),0)+SUMIFS($J$4:J1509,$C$4:C1509,$C1509)-SUMIFS($K$4:K1509,$C$4:C1509,$C1509),2))</f>
        <v/>
      </c>
      <c r="M1509" s="19">
        <f>IF($C1509="","",ROUND(SUM(基础资料!$B$4:$B$13)+SUM($J$4:J1509)-SUM($K$4:K1509),2))</f>
        <v/>
      </c>
      <c r="N1509" s="13" t="n"/>
      <c r="O1509" s="13" t="n"/>
      <c r="P1509" s="17">
        <f>IF($B1509="","",IF($F1509="※类别不在基础资料里","※费用类别不在基础资料里",IF(AND(N($J1509)=0,N($K1509)=0),"※这行没填金额",IF(AND(N($J1509)&gt;0,N($K1509)&gt;0),"※收入和支出不能同一行都填",IF(AND($D1509="收入",N($J1509)=0),"※收入行要填收入金额",IF(AND($D1509="支出",N($K1509)=0),"※支出行要填支出金额",IF(AND($C1509&lt;&gt;"",ISNA(MATCH($C1509,账户表,0))),"※账户不在基础资料里",IF(AND($G1509&lt;&gt;"",ISNA(MATCH($G1509,项目名表,0))),"※项目不在项目台账里",IF(AND(LEFT($F1509,3)="成本-",$G1509=""),"※成本类支出没填项目",IF(AND(LEFT($F1509,3)="成本-",$H1509&lt;&gt;"",N($K1509)&gt;0,COUNTIFS(采购单!$B:$B,$B1509,采购单!$C:$C,$H1509,采购单!$L:$L,$K1509)&gt;0),"※这笔可能和采购单重复了",""))))))))))</f>
        <v/>
      </c>
    </row>
    <row r="1510">
      <c r="A1510" s="17">
        <f>IF($B1510="","",ROW()-3)</f>
        <v/>
      </c>
      <c r="B1510" s="18" t="n"/>
      <c r="C1510" s="13" t="n"/>
      <c r="D1510" s="13" t="n"/>
      <c r="E1510" s="13" t="n"/>
      <c r="F1510" s="17">
        <f>IF($E1510="","",IFERROR(VLOOKUP($E1510,类别归属,2,0),"※类别不在基础资料里"))</f>
        <v/>
      </c>
      <c r="G1510" s="13" t="n"/>
      <c r="H1510" s="13" t="n"/>
      <c r="I1510" s="13" t="n"/>
      <c r="J1510" s="14" t="n"/>
      <c r="K1510" s="14" t="n"/>
      <c r="L1510" s="19">
        <f>IF($C1510="","",ROUND(IFERROR(VLOOKUP($C1510,账户期初,2,0),0)+SUMIFS($J$4:J1510,$C$4:C1510,$C1510)-SUMIFS($K$4:K1510,$C$4:C1510,$C1510),2))</f>
        <v/>
      </c>
      <c r="M1510" s="19">
        <f>IF($C1510="","",ROUND(SUM(基础资料!$B$4:$B$13)+SUM($J$4:J1510)-SUM($K$4:K1510),2))</f>
        <v/>
      </c>
      <c r="N1510" s="13" t="n"/>
      <c r="O1510" s="13" t="n"/>
      <c r="P1510" s="17">
        <f>IF($B1510="","",IF($F1510="※类别不在基础资料里","※费用类别不在基础资料里",IF(AND(N($J1510)=0,N($K1510)=0),"※这行没填金额",IF(AND(N($J1510)&gt;0,N($K1510)&gt;0),"※收入和支出不能同一行都填",IF(AND($D1510="收入",N($J1510)=0),"※收入行要填收入金额",IF(AND($D1510="支出",N($K1510)=0),"※支出行要填支出金额",IF(AND($C1510&lt;&gt;"",ISNA(MATCH($C1510,账户表,0))),"※账户不在基础资料里",IF(AND($G1510&lt;&gt;"",ISNA(MATCH($G1510,项目名表,0))),"※项目不在项目台账里",IF(AND(LEFT($F1510,3)="成本-",$G1510=""),"※成本类支出没填项目",IF(AND(LEFT($F1510,3)="成本-",$H1510&lt;&gt;"",N($K1510)&gt;0,COUNTIFS(采购单!$B:$B,$B1510,采购单!$C:$C,$H1510,采购单!$L:$L,$K1510)&gt;0),"※这笔可能和采购单重复了",""))))))))))</f>
        <v/>
      </c>
    </row>
    <row r="1511">
      <c r="A1511" s="17">
        <f>IF($B1511="","",ROW()-3)</f>
        <v/>
      </c>
      <c r="B1511" s="18" t="n"/>
      <c r="C1511" s="13" t="n"/>
      <c r="D1511" s="13" t="n"/>
      <c r="E1511" s="13" t="n"/>
      <c r="F1511" s="17">
        <f>IF($E1511="","",IFERROR(VLOOKUP($E1511,类别归属,2,0),"※类别不在基础资料里"))</f>
        <v/>
      </c>
      <c r="G1511" s="13" t="n"/>
      <c r="H1511" s="13" t="n"/>
      <c r="I1511" s="13" t="n"/>
      <c r="J1511" s="14" t="n"/>
      <c r="K1511" s="14" t="n"/>
      <c r="L1511" s="19">
        <f>IF($C1511="","",ROUND(IFERROR(VLOOKUP($C1511,账户期初,2,0),0)+SUMIFS($J$4:J1511,$C$4:C1511,$C1511)-SUMIFS($K$4:K1511,$C$4:C1511,$C1511),2))</f>
        <v/>
      </c>
      <c r="M1511" s="19">
        <f>IF($C1511="","",ROUND(SUM(基础资料!$B$4:$B$13)+SUM($J$4:J1511)-SUM($K$4:K1511),2))</f>
        <v/>
      </c>
      <c r="N1511" s="13" t="n"/>
      <c r="O1511" s="13" t="n"/>
      <c r="P1511" s="17">
        <f>IF($B1511="","",IF($F1511="※类别不在基础资料里","※费用类别不在基础资料里",IF(AND(N($J1511)=0,N($K1511)=0),"※这行没填金额",IF(AND(N($J1511)&gt;0,N($K1511)&gt;0),"※收入和支出不能同一行都填",IF(AND($D1511="收入",N($J1511)=0),"※收入行要填收入金额",IF(AND($D1511="支出",N($K1511)=0),"※支出行要填支出金额",IF(AND($C1511&lt;&gt;"",ISNA(MATCH($C1511,账户表,0))),"※账户不在基础资料里",IF(AND($G1511&lt;&gt;"",ISNA(MATCH($G1511,项目名表,0))),"※项目不在项目台账里",IF(AND(LEFT($F1511,3)="成本-",$G1511=""),"※成本类支出没填项目",IF(AND(LEFT($F1511,3)="成本-",$H1511&lt;&gt;"",N($K1511)&gt;0,COUNTIFS(采购单!$B:$B,$B1511,采购单!$C:$C,$H1511,采购单!$L:$L,$K1511)&gt;0),"※这笔可能和采购单重复了",""))))))))))</f>
        <v/>
      </c>
    </row>
    <row r="1512">
      <c r="A1512" s="17">
        <f>IF($B1512="","",ROW()-3)</f>
        <v/>
      </c>
      <c r="B1512" s="18" t="n"/>
      <c r="C1512" s="13" t="n"/>
      <c r="D1512" s="13" t="n"/>
      <c r="E1512" s="13" t="n"/>
      <c r="F1512" s="17">
        <f>IF($E1512="","",IFERROR(VLOOKUP($E1512,类别归属,2,0),"※类别不在基础资料里"))</f>
        <v/>
      </c>
      <c r="G1512" s="13" t="n"/>
      <c r="H1512" s="13" t="n"/>
      <c r="I1512" s="13" t="n"/>
      <c r="J1512" s="14" t="n"/>
      <c r="K1512" s="14" t="n"/>
      <c r="L1512" s="19">
        <f>IF($C1512="","",ROUND(IFERROR(VLOOKUP($C1512,账户期初,2,0),0)+SUMIFS($J$4:J1512,$C$4:C1512,$C1512)-SUMIFS($K$4:K1512,$C$4:C1512,$C1512),2))</f>
        <v/>
      </c>
      <c r="M1512" s="19">
        <f>IF($C1512="","",ROUND(SUM(基础资料!$B$4:$B$13)+SUM($J$4:J1512)-SUM($K$4:K1512),2))</f>
        <v/>
      </c>
      <c r="N1512" s="13" t="n"/>
      <c r="O1512" s="13" t="n"/>
      <c r="P1512" s="17">
        <f>IF($B1512="","",IF($F1512="※类别不在基础资料里","※费用类别不在基础资料里",IF(AND(N($J1512)=0,N($K1512)=0),"※这行没填金额",IF(AND(N($J1512)&gt;0,N($K1512)&gt;0),"※收入和支出不能同一行都填",IF(AND($D1512="收入",N($J1512)=0),"※收入行要填收入金额",IF(AND($D1512="支出",N($K1512)=0),"※支出行要填支出金额",IF(AND($C1512&lt;&gt;"",ISNA(MATCH($C1512,账户表,0))),"※账户不在基础资料里",IF(AND($G1512&lt;&gt;"",ISNA(MATCH($G1512,项目名表,0))),"※项目不在项目台账里",IF(AND(LEFT($F1512,3)="成本-",$G1512=""),"※成本类支出没填项目",IF(AND(LEFT($F1512,3)="成本-",$H1512&lt;&gt;"",N($K1512)&gt;0,COUNTIFS(采购单!$B:$B,$B1512,采购单!$C:$C,$H1512,采购单!$L:$L,$K1512)&gt;0),"※这笔可能和采购单重复了",""))))))))))</f>
        <v/>
      </c>
    </row>
    <row r="1513">
      <c r="A1513" s="17">
        <f>IF($B1513="","",ROW()-3)</f>
        <v/>
      </c>
      <c r="B1513" s="18" t="n"/>
      <c r="C1513" s="13" t="n"/>
      <c r="D1513" s="13" t="n"/>
      <c r="E1513" s="13" t="n"/>
      <c r="F1513" s="17">
        <f>IF($E1513="","",IFERROR(VLOOKUP($E1513,类别归属,2,0),"※类别不在基础资料里"))</f>
        <v/>
      </c>
      <c r="G1513" s="13" t="n"/>
      <c r="H1513" s="13" t="n"/>
      <c r="I1513" s="13" t="n"/>
      <c r="J1513" s="14" t="n"/>
      <c r="K1513" s="14" t="n"/>
      <c r="L1513" s="19">
        <f>IF($C1513="","",ROUND(IFERROR(VLOOKUP($C1513,账户期初,2,0),0)+SUMIFS($J$4:J1513,$C$4:C1513,$C1513)-SUMIFS($K$4:K1513,$C$4:C1513,$C1513),2))</f>
        <v/>
      </c>
      <c r="M1513" s="19">
        <f>IF($C1513="","",ROUND(SUM(基础资料!$B$4:$B$13)+SUM($J$4:J1513)-SUM($K$4:K1513),2))</f>
        <v/>
      </c>
      <c r="N1513" s="13" t="n"/>
      <c r="O1513" s="13" t="n"/>
      <c r="P1513" s="17">
        <f>IF($B1513="","",IF($F1513="※类别不在基础资料里","※费用类别不在基础资料里",IF(AND(N($J1513)=0,N($K1513)=0),"※这行没填金额",IF(AND(N($J1513)&gt;0,N($K1513)&gt;0),"※收入和支出不能同一行都填",IF(AND($D1513="收入",N($J1513)=0),"※收入行要填收入金额",IF(AND($D1513="支出",N($K1513)=0),"※支出行要填支出金额",IF(AND($C1513&lt;&gt;"",ISNA(MATCH($C1513,账户表,0))),"※账户不在基础资料里",IF(AND($G1513&lt;&gt;"",ISNA(MATCH($G1513,项目名表,0))),"※项目不在项目台账里",IF(AND(LEFT($F1513,3)="成本-",$G1513=""),"※成本类支出没填项目",IF(AND(LEFT($F1513,3)="成本-",$H1513&lt;&gt;"",N($K1513)&gt;0,COUNTIFS(采购单!$B:$B,$B1513,采购单!$C:$C,$H1513,采购单!$L:$L,$K1513)&gt;0),"※这笔可能和采购单重复了",""))))))))))</f>
        <v/>
      </c>
    </row>
    <row r="1514">
      <c r="A1514" s="17">
        <f>IF($B1514="","",ROW()-3)</f>
        <v/>
      </c>
      <c r="B1514" s="18" t="n"/>
      <c r="C1514" s="13" t="n"/>
      <c r="D1514" s="13" t="n"/>
      <c r="E1514" s="13" t="n"/>
      <c r="F1514" s="17">
        <f>IF($E1514="","",IFERROR(VLOOKUP($E1514,类别归属,2,0),"※类别不在基础资料里"))</f>
        <v/>
      </c>
      <c r="G1514" s="13" t="n"/>
      <c r="H1514" s="13" t="n"/>
      <c r="I1514" s="13" t="n"/>
      <c r="J1514" s="14" t="n"/>
      <c r="K1514" s="14" t="n"/>
      <c r="L1514" s="19">
        <f>IF($C1514="","",ROUND(IFERROR(VLOOKUP($C1514,账户期初,2,0),0)+SUMIFS($J$4:J1514,$C$4:C1514,$C1514)-SUMIFS($K$4:K1514,$C$4:C1514,$C1514),2))</f>
        <v/>
      </c>
      <c r="M1514" s="19">
        <f>IF($C1514="","",ROUND(SUM(基础资料!$B$4:$B$13)+SUM($J$4:J1514)-SUM($K$4:K1514),2))</f>
        <v/>
      </c>
      <c r="N1514" s="13" t="n"/>
      <c r="O1514" s="13" t="n"/>
      <c r="P1514" s="17">
        <f>IF($B1514="","",IF($F1514="※类别不在基础资料里","※费用类别不在基础资料里",IF(AND(N($J1514)=0,N($K1514)=0),"※这行没填金额",IF(AND(N($J1514)&gt;0,N($K1514)&gt;0),"※收入和支出不能同一行都填",IF(AND($D1514="收入",N($J1514)=0),"※收入行要填收入金额",IF(AND($D1514="支出",N($K1514)=0),"※支出行要填支出金额",IF(AND($C1514&lt;&gt;"",ISNA(MATCH($C1514,账户表,0))),"※账户不在基础资料里",IF(AND($G1514&lt;&gt;"",ISNA(MATCH($G1514,项目名表,0))),"※项目不在项目台账里",IF(AND(LEFT($F1514,3)="成本-",$G1514=""),"※成本类支出没填项目",IF(AND(LEFT($F1514,3)="成本-",$H1514&lt;&gt;"",N($K1514)&gt;0,COUNTIFS(采购单!$B:$B,$B1514,采购单!$C:$C,$H1514,采购单!$L:$L,$K1514)&gt;0),"※这笔可能和采购单重复了",""))))))))))</f>
        <v/>
      </c>
    </row>
    <row r="1515">
      <c r="A1515" s="17">
        <f>IF($B1515="","",ROW()-3)</f>
        <v/>
      </c>
      <c r="B1515" s="18" t="n"/>
      <c r="C1515" s="13" t="n"/>
      <c r="D1515" s="13" t="n"/>
      <c r="E1515" s="13" t="n"/>
      <c r="F1515" s="17">
        <f>IF($E1515="","",IFERROR(VLOOKUP($E1515,类别归属,2,0),"※类别不在基础资料里"))</f>
        <v/>
      </c>
      <c r="G1515" s="13" t="n"/>
      <c r="H1515" s="13" t="n"/>
      <c r="I1515" s="13" t="n"/>
      <c r="J1515" s="14" t="n"/>
      <c r="K1515" s="14" t="n"/>
      <c r="L1515" s="19">
        <f>IF($C1515="","",ROUND(IFERROR(VLOOKUP($C1515,账户期初,2,0),0)+SUMIFS($J$4:J1515,$C$4:C1515,$C1515)-SUMIFS($K$4:K1515,$C$4:C1515,$C1515),2))</f>
        <v/>
      </c>
      <c r="M1515" s="19">
        <f>IF($C1515="","",ROUND(SUM(基础资料!$B$4:$B$13)+SUM($J$4:J1515)-SUM($K$4:K1515),2))</f>
        <v/>
      </c>
      <c r="N1515" s="13" t="n"/>
      <c r="O1515" s="13" t="n"/>
      <c r="P1515" s="17">
        <f>IF($B1515="","",IF($F1515="※类别不在基础资料里","※费用类别不在基础资料里",IF(AND(N($J1515)=0,N($K1515)=0),"※这行没填金额",IF(AND(N($J1515)&gt;0,N($K1515)&gt;0),"※收入和支出不能同一行都填",IF(AND($D1515="收入",N($J1515)=0),"※收入行要填收入金额",IF(AND($D1515="支出",N($K1515)=0),"※支出行要填支出金额",IF(AND($C1515&lt;&gt;"",ISNA(MATCH($C1515,账户表,0))),"※账户不在基础资料里",IF(AND($G1515&lt;&gt;"",ISNA(MATCH($G1515,项目名表,0))),"※项目不在项目台账里",IF(AND(LEFT($F1515,3)="成本-",$G1515=""),"※成本类支出没填项目",IF(AND(LEFT($F1515,3)="成本-",$H1515&lt;&gt;"",N($K1515)&gt;0,COUNTIFS(采购单!$B:$B,$B1515,采购单!$C:$C,$H1515,采购单!$L:$L,$K1515)&gt;0),"※这笔可能和采购单重复了",""))))))))))</f>
        <v/>
      </c>
    </row>
    <row r="1516">
      <c r="A1516" s="17">
        <f>IF($B1516="","",ROW()-3)</f>
        <v/>
      </c>
      <c r="B1516" s="18" t="n"/>
      <c r="C1516" s="13" t="n"/>
      <c r="D1516" s="13" t="n"/>
      <c r="E1516" s="13" t="n"/>
      <c r="F1516" s="17">
        <f>IF($E1516="","",IFERROR(VLOOKUP($E1516,类别归属,2,0),"※类别不在基础资料里"))</f>
        <v/>
      </c>
      <c r="G1516" s="13" t="n"/>
      <c r="H1516" s="13" t="n"/>
      <c r="I1516" s="13" t="n"/>
      <c r="J1516" s="14" t="n"/>
      <c r="K1516" s="14" t="n"/>
      <c r="L1516" s="19">
        <f>IF($C1516="","",ROUND(IFERROR(VLOOKUP($C1516,账户期初,2,0),0)+SUMIFS($J$4:J1516,$C$4:C1516,$C1516)-SUMIFS($K$4:K1516,$C$4:C1516,$C1516),2))</f>
        <v/>
      </c>
      <c r="M1516" s="19">
        <f>IF($C1516="","",ROUND(SUM(基础资料!$B$4:$B$13)+SUM($J$4:J1516)-SUM($K$4:K1516),2))</f>
        <v/>
      </c>
      <c r="N1516" s="13" t="n"/>
      <c r="O1516" s="13" t="n"/>
      <c r="P1516" s="17">
        <f>IF($B1516="","",IF($F1516="※类别不在基础资料里","※费用类别不在基础资料里",IF(AND(N($J1516)=0,N($K1516)=0),"※这行没填金额",IF(AND(N($J1516)&gt;0,N($K1516)&gt;0),"※收入和支出不能同一行都填",IF(AND($D1516="收入",N($J1516)=0),"※收入行要填收入金额",IF(AND($D1516="支出",N($K1516)=0),"※支出行要填支出金额",IF(AND($C1516&lt;&gt;"",ISNA(MATCH($C1516,账户表,0))),"※账户不在基础资料里",IF(AND($G1516&lt;&gt;"",ISNA(MATCH($G1516,项目名表,0))),"※项目不在项目台账里",IF(AND(LEFT($F1516,3)="成本-",$G1516=""),"※成本类支出没填项目",IF(AND(LEFT($F1516,3)="成本-",$H1516&lt;&gt;"",N($K1516)&gt;0,COUNTIFS(采购单!$B:$B,$B1516,采购单!$C:$C,$H1516,采购单!$L:$L,$K1516)&gt;0),"※这笔可能和采购单重复了",""))))))))))</f>
        <v/>
      </c>
    </row>
    <row r="1517">
      <c r="A1517" s="17">
        <f>IF($B1517="","",ROW()-3)</f>
        <v/>
      </c>
      <c r="B1517" s="18" t="n"/>
      <c r="C1517" s="13" t="n"/>
      <c r="D1517" s="13" t="n"/>
      <c r="E1517" s="13" t="n"/>
      <c r="F1517" s="17">
        <f>IF($E1517="","",IFERROR(VLOOKUP($E1517,类别归属,2,0),"※类别不在基础资料里"))</f>
        <v/>
      </c>
      <c r="G1517" s="13" t="n"/>
      <c r="H1517" s="13" t="n"/>
      <c r="I1517" s="13" t="n"/>
      <c r="J1517" s="14" t="n"/>
      <c r="K1517" s="14" t="n"/>
      <c r="L1517" s="19">
        <f>IF($C1517="","",ROUND(IFERROR(VLOOKUP($C1517,账户期初,2,0),0)+SUMIFS($J$4:J1517,$C$4:C1517,$C1517)-SUMIFS($K$4:K1517,$C$4:C1517,$C1517),2))</f>
        <v/>
      </c>
      <c r="M1517" s="19">
        <f>IF($C1517="","",ROUND(SUM(基础资料!$B$4:$B$13)+SUM($J$4:J1517)-SUM($K$4:K1517),2))</f>
        <v/>
      </c>
      <c r="N1517" s="13" t="n"/>
      <c r="O1517" s="13" t="n"/>
      <c r="P1517" s="17">
        <f>IF($B1517="","",IF($F1517="※类别不在基础资料里","※费用类别不在基础资料里",IF(AND(N($J1517)=0,N($K1517)=0),"※这行没填金额",IF(AND(N($J1517)&gt;0,N($K1517)&gt;0),"※收入和支出不能同一行都填",IF(AND($D1517="收入",N($J1517)=0),"※收入行要填收入金额",IF(AND($D1517="支出",N($K1517)=0),"※支出行要填支出金额",IF(AND($C1517&lt;&gt;"",ISNA(MATCH($C1517,账户表,0))),"※账户不在基础资料里",IF(AND($G1517&lt;&gt;"",ISNA(MATCH($G1517,项目名表,0))),"※项目不在项目台账里",IF(AND(LEFT($F1517,3)="成本-",$G1517=""),"※成本类支出没填项目",IF(AND(LEFT($F1517,3)="成本-",$H1517&lt;&gt;"",N($K1517)&gt;0,COUNTIFS(采购单!$B:$B,$B1517,采购单!$C:$C,$H1517,采购单!$L:$L,$K1517)&gt;0),"※这笔可能和采购单重复了",""))))))))))</f>
        <v/>
      </c>
    </row>
    <row r="1518">
      <c r="A1518" s="17">
        <f>IF($B1518="","",ROW()-3)</f>
        <v/>
      </c>
      <c r="B1518" s="18" t="n"/>
      <c r="C1518" s="13" t="n"/>
      <c r="D1518" s="13" t="n"/>
      <c r="E1518" s="13" t="n"/>
      <c r="F1518" s="17">
        <f>IF($E1518="","",IFERROR(VLOOKUP($E1518,类别归属,2,0),"※类别不在基础资料里"))</f>
        <v/>
      </c>
      <c r="G1518" s="13" t="n"/>
      <c r="H1518" s="13" t="n"/>
      <c r="I1518" s="13" t="n"/>
      <c r="J1518" s="14" t="n"/>
      <c r="K1518" s="14" t="n"/>
      <c r="L1518" s="19">
        <f>IF($C1518="","",ROUND(IFERROR(VLOOKUP($C1518,账户期初,2,0),0)+SUMIFS($J$4:J1518,$C$4:C1518,$C1518)-SUMIFS($K$4:K1518,$C$4:C1518,$C1518),2))</f>
        <v/>
      </c>
      <c r="M1518" s="19">
        <f>IF($C1518="","",ROUND(SUM(基础资料!$B$4:$B$13)+SUM($J$4:J1518)-SUM($K$4:K1518),2))</f>
        <v/>
      </c>
      <c r="N1518" s="13" t="n"/>
      <c r="O1518" s="13" t="n"/>
      <c r="P1518" s="17">
        <f>IF($B1518="","",IF($F1518="※类别不在基础资料里","※费用类别不在基础资料里",IF(AND(N($J1518)=0,N($K1518)=0),"※这行没填金额",IF(AND(N($J1518)&gt;0,N($K1518)&gt;0),"※收入和支出不能同一行都填",IF(AND($D1518="收入",N($J1518)=0),"※收入行要填收入金额",IF(AND($D1518="支出",N($K1518)=0),"※支出行要填支出金额",IF(AND($C1518&lt;&gt;"",ISNA(MATCH($C1518,账户表,0))),"※账户不在基础资料里",IF(AND($G1518&lt;&gt;"",ISNA(MATCH($G1518,项目名表,0))),"※项目不在项目台账里",IF(AND(LEFT($F1518,3)="成本-",$G1518=""),"※成本类支出没填项目",IF(AND(LEFT($F1518,3)="成本-",$H1518&lt;&gt;"",N($K1518)&gt;0,COUNTIFS(采购单!$B:$B,$B1518,采购单!$C:$C,$H1518,采购单!$L:$L,$K1518)&gt;0),"※这笔可能和采购单重复了",""))))))))))</f>
        <v/>
      </c>
    </row>
    <row r="1519">
      <c r="A1519" s="17">
        <f>IF($B1519="","",ROW()-3)</f>
        <v/>
      </c>
      <c r="B1519" s="18" t="n"/>
      <c r="C1519" s="13" t="n"/>
      <c r="D1519" s="13" t="n"/>
      <c r="E1519" s="13" t="n"/>
      <c r="F1519" s="17">
        <f>IF($E1519="","",IFERROR(VLOOKUP($E1519,类别归属,2,0),"※类别不在基础资料里"))</f>
        <v/>
      </c>
      <c r="G1519" s="13" t="n"/>
      <c r="H1519" s="13" t="n"/>
      <c r="I1519" s="13" t="n"/>
      <c r="J1519" s="14" t="n"/>
      <c r="K1519" s="14" t="n"/>
      <c r="L1519" s="19">
        <f>IF($C1519="","",ROUND(IFERROR(VLOOKUP($C1519,账户期初,2,0),0)+SUMIFS($J$4:J1519,$C$4:C1519,$C1519)-SUMIFS($K$4:K1519,$C$4:C1519,$C1519),2))</f>
        <v/>
      </c>
      <c r="M1519" s="19">
        <f>IF($C1519="","",ROUND(SUM(基础资料!$B$4:$B$13)+SUM($J$4:J1519)-SUM($K$4:K1519),2))</f>
        <v/>
      </c>
      <c r="N1519" s="13" t="n"/>
      <c r="O1519" s="13" t="n"/>
      <c r="P1519" s="17">
        <f>IF($B1519="","",IF($F1519="※类别不在基础资料里","※费用类别不在基础资料里",IF(AND(N($J1519)=0,N($K1519)=0),"※这行没填金额",IF(AND(N($J1519)&gt;0,N($K1519)&gt;0),"※收入和支出不能同一行都填",IF(AND($D1519="收入",N($J1519)=0),"※收入行要填收入金额",IF(AND($D1519="支出",N($K1519)=0),"※支出行要填支出金额",IF(AND($C1519&lt;&gt;"",ISNA(MATCH($C1519,账户表,0))),"※账户不在基础资料里",IF(AND($G1519&lt;&gt;"",ISNA(MATCH($G1519,项目名表,0))),"※项目不在项目台账里",IF(AND(LEFT($F1519,3)="成本-",$G1519=""),"※成本类支出没填项目",IF(AND(LEFT($F1519,3)="成本-",$H1519&lt;&gt;"",N($K1519)&gt;0,COUNTIFS(采购单!$B:$B,$B1519,采购单!$C:$C,$H1519,采购单!$L:$L,$K1519)&gt;0),"※这笔可能和采购单重复了",""))))))))))</f>
        <v/>
      </c>
    </row>
    <row r="1520">
      <c r="A1520" s="17">
        <f>IF($B1520="","",ROW()-3)</f>
        <v/>
      </c>
      <c r="B1520" s="18" t="n"/>
      <c r="C1520" s="13" t="n"/>
      <c r="D1520" s="13" t="n"/>
      <c r="E1520" s="13" t="n"/>
      <c r="F1520" s="17">
        <f>IF($E1520="","",IFERROR(VLOOKUP($E1520,类别归属,2,0),"※类别不在基础资料里"))</f>
        <v/>
      </c>
      <c r="G1520" s="13" t="n"/>
      <c r="H1520" s="13" t="n"/>
      <c r="I1520" s="13" t="n"/>
      <c r="J1520" s="14" t="n"/>
      <c r="K1520" s="14" t="n"/>
      <c r="L1520" s="19">
        <f>IF($C1520="","",ROUND(IFERROR(VLOOKUP($C1520,账户期初,2,0),0)+SUMIFS($J$4:J1520,$C$4:C1520,$C1520)-SUMIFS($K$4:K1520,$C$4:C1520,$C1520),2))</f>
        <v/>
      </c>
      <c r="M1520" s="19">
        <f>IF($C1520="","",ROUND(SUM(基础资料!$B$4:$B$13)+SUM($J$4:J1520)-SUM($K$4:K1520),2))</f>
        <v/>
      </c>
      <c r="N1520" s="13" t="n"/>
      <c r="O1520" s="13" t="n"/>
      <c r="P1520" s="17">
        <f>IF($B1520="","",IF($F1520="※类别不在基础资料里","※费用类别不在基础资料里",IF(AND(N($J1520)=0,N($K1520)=0),"※这行没填金额",IF(AND(N($J1520)&gt;0,N($K1520)&gt;0),"※收入和支出不能同一行都填",IF(AND($D1520="收入",N($J1520)=0),"※收入行要填收入金额",IF(AND($D1520="支出",N($K1520)=0),"※支出行要填支出金额",IF(AND($C1520&lt;&gt;"",ISNA(MATCH($C1520,账户表,0))),"※账户不在基础资料里",IF(AND($G1520&lt;&gt;"",ISNA(MATCH($G1520,项目名表,0))),"※项目不在项目台账里",IF(AND(LEFT($F1520,3)="成本-",$G1520=""),"※成本类支出没填项目",IF(AND(LEFT($F1520,3)="成本-",$H1520&lt;&gt;"",N($K1520)&gt;0,COUNTIFS(采购单!$B:$B,$B1520,采购单!$C:$C,$H1520,采购单!$L:$L,$K1520)&gt;0),"※这笔可能和采购单重复了",""))))))))))</f>
        <v/>
      </c>
    </row>
    <row r="1521">
      <c r="A1521" s="17">
        <f>IF($B1521="","",ROW()-3)</f>
        <v/>
      </c>
      <c r="B1521" s="18" t="n"/>
      <c r="C1521" s="13" t="n"/>
      <c r="D1521" s="13" t="n"/>
      <c r="E1521" s="13" t="n"/>
      <c r="F1521" s="17">
        <f>IF($E1521="","",IFERROR(VLOOKUP($E1521,类别归属,2,0),"※类别不在基础资料里"))</f>
        <v/>
      </c>
      <c r="G1521" s="13" t="n"/>
      <c r="H1521" s="13" t="n"/>
      <c r="I1521" s="13" t="n"/>
      <c r="J1521" s="14" t="n"/>
      <c r="K1521" s="14" t="n"/>
      <c r="L1521" s="19">
        <f>IF($C1521="","",ROUND(IFERROR(VLOOKUP($C1521,账户期初,2,0),0)+SUMIFS($J$4:J1521,$C$4:C1521,$C1521)-SUMIFS($K$4:K1521,$C$4:C1521,$C1521),2))</f>
        <v/>
      </c>
      <c r="M1521" s="19">
        <f>IF($C1521="","",ROUND(SUM(基础资料!$B$4:$B$13)+SUM($J$4:J1521)-SUM($K$4:K1521),2))</f>
        <v/>
      </c>
      <c r="N1521" s="13" t="n"/>
      <c r="O1521" s="13" t="n"/>
      <c r="P1521" s="17">
        <f>IF($B1521="","",IF($F1521="※类别不在基础资料里","※费用类别不在基础资料里",IF(AND(N($J1521)=0,N($K1521)=0),"※这行没填金额",IF(AND(N($J1521)&gt;0,N($K1521)&gt;0),"※收入和支出不能同一行都填",IF(AND($D1521="收入",N($J1521)=0),"※收入行要填收入金额",IF(AND($D1521="支出",N($K1521)=0),"※支出行要填支出金额",IF(AND($C1521&lt;&gt;"",ISNA(MATCH($C1521,账户表,0))),"※账户不在基础资料里",IF(AND($G1521&lt;&gt;"",ISNA(MATCH($G1521,项目名表,0))),"※项目不在项目台账里",IF(AND(LEFT($F1521,3)="成本-",$G1521=""),"※成本类支出没填项目",IF(AND(LEFT($F1521,3)="成本-",$H1521&lt;&gt;"",N($K1521)&gt;0,COUNTIFS(采购单!$B:$B,$B1521,采购单!$C:$C,$H1521,采购单!$L:$L,$K1521)&gt;0),"※这笔可能和采购单重复了",""))))))))))</f>
        <v/>
      </c>
    </row>
    <row r="1522">
      <c r="A1522" s="17">
        <f>IF($B1522="","",ROW()-3)</f>
        <v/>
      </c>
      <c r="B1522" s="18" t="n"/>
      <c r="C1522" s="13" t="n"/>
      <c r="D1522" s="13" t="n"/>
      <c r="E1522" s="13" t="n"/>
      <c r="F1522" s="17">
        <f>IF($E1522="","",IFERROR(VLOOKUP($E1522,类别归属,2,0),"※类别不在基础资料里"))</f>
        <v/>
      </c>
      <c r="G1522" s="13" t="n"/>
      <c r="H1522" s="13" t="n"/>
      <c r="I1522" s="13" t="n"/>
      <c r="J1522" s="14" t="n"/>
      <c r="K1522" s="14" t="n"/>
      <c r="L1522" s="19">
        <f>IF($C1522="","",ROUND(IFERROR(VLOOKUP($C1522,账户期初,2,0),0)+SUMIFS($J$4:J1522,$C$4:C1522,$C1522)-SUMIFS($K$4:K1522,$C$4:C1522,$C1522),2))</f>
        <v/>
      </c>
      <c r="M1522" s="19">
        <f>IF($C1522="","",ROUND(SUM(基础资料!$B$4:$B$13)+SUM($J$4:J1522)-SUM($K$4:K1522),2))</f>
        <v/>
      </c>
      <c r="N1522" s="13" t="n"/>
      <c r="O1522" s="13" t="n"/>
      <c r="P1522" s="17">
        <f>IF($B1522="","",IF($F1522="※类别不在基础资料里","※费用类别不在基础资料里",IF(AND(N($J1522)=0,N($K1522)=0),"※这行没填金额",IF(AND(N($J1522)&gt;0,N($K1522)&gt;0),"※收入和支出不能同一行都填",IF(AND($D1522="收入",N($J1522)=0),"※收入行要填收入金额",IF(AND($D1522="支出",N($K1522)=0),"※支出行要填支出金额",IF(AND($C1522&lt;&gt;"",ISNA(MATCH($C1522,账户表,0))),"※账户不在基础资料里",IF(AND($G1522&lt;&gt;"",ISNA(MATCH($G1522,项目名表,0))),"※项目不在项目台账里",IF(AND(LEFT($F1522,3)="成本-",$G1522=""),"※成本类支出没填项目",IF(AND(LEFT($F1522,3)="成本-",$H1522&lt;&gt;"",N($K1522)&gt;0,COUNTIFS(采购单!$B:$B,$B1522,采购单!$C:$C,$H1522,采购单!$L:$L,$K1522)&gt;0),"※这笔可能和采购单重复了",""))))))))))</f>
        <v/>
      </c>
    </row>
    <row r="1523">
      <c r="A1523" s="17">
        <f>IF($B1523="","",ROW()-3)</f>
        <v/>
      </c>
      <c r="B1523" s="18" t="n"/>
      <c r="C1523" s="13" t="n"/>
      <c r="D1523" s="13" t="n"/>
      <c r="E1523" s="13" t="n"/>
      <c r="F1523" s="17">
        <f>IF($E1523="","",IFERROR(VLOOKUP($E1523,类别归属,2,0),"※类别不在基础资料里"))</f>
        <v/>
      </c>
      <c r="G1523" s="13" t="n"/>
      <c r="H1523" s="13" t="n"/>
      <c r="I1523" s="13" t="n"/>
      <c r="J1523" s="14" t="n"/>
      <c r="K1523" s="14" t="n"/>
      <c r="L1523" s="19">
        <f>IF($C1523="","",ROUND(IFERROR(VLOOKUP($C1523,账户期初,2,0),0)+SUMIFS($J$4:J1523,$C$4:C1523,$C1523)-SUMIFS($K$4:K1523,$C$4:C1523,$C1523),2))</f>
        <v/>
      </c>
      <c r="M1523" s="19">
        <f>IF($C1523="","",ROUND(SUM(基础资料!$B$4:$B$13)+SUM($J$4:J1523)-SUM($K$4:K1523),2))</f>
        <v/>
      </c>
      <c r="N1523" s="13" t="n"/>
      <c r="O1523" s="13" t="n"/>
      <c r="P1523" s="17">
        <f>IF($B1523="","",IF($F1523="※类别不在基础资料里","※费用类别不在基础资料里",IF(AND(N($J1523)=0,N($K1523)=0),"※这行没填金额",IF(AND(N($J1523)&gt;0,N($K1523)&gt;0),"※收入和支出不能同一行都填",IF(AND($D1523="收入",N($J1523)=0),"※收入行要填收入金额",IF(AND($D1523="支出",N($K1523)=0),"※支出行要填支出金额",IF(AND($C1523&lt;&gt;"",ISNA(MATCH($C1523,账户表,0))),"※账户不在基础资料里",IF(AND($G1523&lt;&gt;"",ISNA(MATCH($G1523,项目名表,0))),"※项目不在项目台账里",IF(AND(LEFT($F1523,3)="成本-",$G1523=""),"※成本类支出没填项目",IF(AND(LEFT($F1523,3)="成本-",$H1523&lt;&gt;"",N($K1523)&gt;0,COUNTIFS(采购单!$B:$B,$B1523,采购单!$C:$C,$H1523,采购单!$L:$L,$K1523)&gt;0),"※这笔可能和采购单重复了",""))))))))))</f>
        <v/>
      </c>
    </row>
    <row r="1524">
      <c r="A1524" s="17">
        <f>IF($B1524="","",ROW()-3)</f>
        <v/>
      </c>
      <c r="B1524" s="18" t="n"/>
      <c r="C1524" s="13" t="n"/>
      <c r="D1524" s="13" t="n"/>
      <c r="E1524" s="13" t="n"/>
      <c r="F1524" s="17">
        <f>IF($E1524="","",IFERROR(VLOOKUP($E1524,类别归属,2,0),"※类别不在基础资料里"))</f>
        <v/>
      </c>
      <c r="G1524" s="13" t="n"/>
      <c r="H1524" s="13" t="n"/>
      <c r="I1524" s="13" t="n"/>
      <c r="J1524" s="14" t="n"/>
      <c r="K1524" s="14" t="n"/>
      <c r="L1524" s="19">
        <f>IF($C1524="","",ROUND(IFERROR(VLOOKUP($C1524,账户期初,2,0),0)+SUMIFS($J$4:J1524,$C$4:C1524,$C1524)-SUMIFS($K$4:K1524,$C$4:C1524,$C1524),2))</f>
        <v/>
      </c>
      <c r="M1524" s="19">
        <f>IF($C1524="","",ROUND(SUM(基础资料!$B$4:$B$13)+SUM($J$4:J1524)-SUM($K$4:K1524),2))</f>
        <v/>
      </c>
      <c r="N1524" s="13" t="n"/>
      <c r="O1524" s="13" t="n"/>
      <c r="P1524" s="17">
        <f>IF($B1524="","",IF($F1524="※类别不在基础资料里","※费用类别不在基础资料里",IF(AND(N($J1524)=0,N($K1524)=0),"※这行没填金额",IF(AND(N($J1524)&gt;0,N($K1524)&gt;0),"※收入和支出不能同一行都填",IF(AND($D1524="收入",N($J1524)=0),"※收入行要填收入金额",IF(AND($D1524="支出",N($K1524)=0),"※支出行要填支出金额",IF(AND($C1524&lt;&gt;"",ISNA(MATCH($C1524,账户表,0))),"※账户不在基础资料里",IF(AND($G1524&lt;&gt;"",ISNA(MATCH($G1524,项目名表,0))),"※项目不在项目台账里",IF(AND(LEFT($F1524,3)="成本-",$G1524=""),"※成本类支出没填项目",IF(AND(LEFT($F1524,3)="成本-",$H1524&lt;&gt;"",N($K1524)&gt;0,COUNTIFS(采购单!$B:$B,$B1524,采购单!$C:$C,$H1524,采购单!$L:$L,$K1524)&gt;0),"※这笔可能和采购单重复了",""))))))))))</f>
        <v/>
      </c>
    </row>
    <row r="1525">
      <c r="A1525" s="17">
        <f>IF($B1525="","",ROW()-3)</f>
        <v/>
      </c>
      <c r="B1525" s="18" t="n"/>
      <c r="C1525" s="13" t="n"/>
      <c r="D1525" s="13" t="n"/>
      <c r="E1525" s="13" t="n"/>
      <c r="F1525" s="17">
        <f>IF($E1525="","",IFERROR(VLOOKUP($E1525,类别归属,2,0),"※类别不在基础资料里"))</f>
        <v/>
      </c>
      <c r="G1525" s="13" t="n"/>
      <c r="H1525" s="13" t="n"/>
      <c r="I1525" s="13" t="n"/>
      <c r="J1525" s="14" t="n"/>
      <c r="K1525" s="14" t="n"/>
      <c r="L1525" s="19">
        <f>IF($C1525="","",ROUND(IFERROR(VLOOKUP($C1525,账户期初,2,0),0)+SUMIFS($J$4:J1525,$C$4:C1525,$C1525)-SUMIFS($K$4:K1525,$C$4:C1525,$C1525),2))</f>
        <v/>
      </c>
      <c r="M1525" s="19">
        <f>IF($C1525="","",ROUND(SUM(基础资料!$B$4:$B$13)+SUM($J$4:J1525)-SUM($K$4:K1525),2))</f>
        <v/>
      </c>
      <c r="N1525" s="13" t="n"/>
      <c r="O1525" s="13" t="n"/>
      <c r="P1525" s="17">
        <f>IF($B1525="","",IF($F1525="※类别不在基础资料里","※费用类别不在基础资料里",IF(AND(N($J1525)=0,N($K1525)=0),"※这行没填金额",IF(AND(N($J1525)&gt;0,N($K1525)&gt;0),"※收入和支出不能同一行都填",IF(AND($D1525="收入",N($J1525)=0),"※收入行要填收入金额",IF(AND($D1525="支出",N($K1525)=0),"※支出行要填支出金额",IF(AND($C1525&lt;&gt;"",ISNA(MATCH($C1525,账户表,0))),"※账户不在基础资料里",IF(AND($G1525&lt;&gt;"",ISNA(MATCH($G1525,项目名表,0))),"※项目不在项目台账里",IF(AND(LEFT($F1525,3)="成本-",$G1525=""),"※成本类支出没填项目",IF(AND(LEFT($F1525,3)="成本-",$H1525&lt;&gt;"",N($K1525)&gt;0,COUNTIFS(采购单!$B:$B,$B1525,采购单!$C:$C,$H1525,采购单!$L:$L,$K1525)&gt;0),"※这笔可能和采购单重复了",""))))))))))</f>
        <v/>
      </c>
    </row>
    <row r="1526">
      <c r="A1526" s="17">
        <f>IF($B1526="","",ROW()-3)</f>
        <v/>
      </c>
      <c r="B1526" s="18" t="n"/>
      <c r="C1526" s="13" t="n"/>
      <c r="D1526" s="13" t="n"/>
      <c r="E1526" s="13" t="n"/>
      <c r="F1526" s="17">
        <f>IF($E1526="","",IFERROR(VLOOKUP($E1526,类别归属,2,0),"※类别不在基础资料里"))</f>
        <v/>
      </c>
      <c r="G1526" s="13" t="n"/>
      <c r="H1526" s="13" t="n"/>
      <c r="I1526" s="13" t="n"/>
      <c r="J1526" s="14" t="n"/>
      <c r="K1526" s="14" t="n"/>
      <c r="L1526" s="19">
        <f>IF($C1526="","",ROUND(IFERROR(VLOOKUP($C1526,账户期初,2,0),0)+SUMIFS($J$4:J1526,$C$4:C1526,$C1526)-SUMIFS($K$4:K1526,$C$4:C1526,$C1526),2))</f>
        <v/>
      </c>
      <c r="M1526" s="19">
        <f>IF($C1526="","",ROUND(SUM(基础资料!$B$4:$B$13)+SUM($J$4:J1526)-SUM($K$4:K1526),2))</f>
        <v/>
      </c>
      <c r="N1526" s="13" t="n"/>
      <c r="O1526" s="13" t="n"/>
      <c r="P1526" s="17">
        <f>IF($B1526="","",IF($F1526="※类别不在基础资料里","※费用类别不在基础资料里",IF(AND(N($J1526)=0,N($K1526)=0),"※这行没填金额",IF(AND(N($J1526)&gt;0,N($K1526)&gt;0),"※收入和支出不能同一行都填",IF(AND($D1526="收入",N($J1526)=0),"※收入行要填收入金额",IF(AND($D1526="支出",N($K1526)=0),"※支出行要填支出金额",IF(AND($C1526&lt;&gt;"",ISNA(MATCH($C1526,账户表,0))),"※账户不在基础资料里",IF(AND($G1526&lt;&gt;"",ISNA(MATCH($G1526,项目名表,0))),"※项目不在项目台账里",IF(AND(LEFT($F1526,3)="成本-",$G1526=""),"※成本类支出没填项目",IF(AND(LEFT($F1526,3)="成本-",$H1526&lt;&gt;"",N($K1526)&gt;0,COUNTIFS(采购单!$B:$B,$B1526,采购单!$C:$C,$H1526,采购单!$L:$L,$K1526)&gt;0),"※这笔可能和采购单重复了",""))))))))))</f>
        <v/>
      </c>
    </row>
    <row r="1527">
      <c r="A1527" s="17">
        <f>IF($B1527="","",ROW()-3)</f>
        <v/>
      </c>
      <c r="B1527" s="18" t="n"/>
      <c r="C1527" s="13" t="n"/>
      <c r="D1527" s="13" t="n"/>
      <c r="E1527" s="13" t="n"/>
      <c r="F1527" s="17">
        <f>IF($E1527="","",IFERROR(VLOOKUP($E1527,类别归属,2,0),"※类别不在基础资料里"))</f>
        <v/>
      </c>
      <c r="G1527" s="13" t="n"/>
      <c r="H1527" s="13" t="n"/>
      <c r="I1527" s="13" t="n"/>
      <c r="J1527" s="14" t="n"/>
      <c r="K1527" s="14" t="n"/>
      <c r="L1527" s="19">
        <f>IF($C1527="","",ROUND(IFERROR(VLOOKUP($C1527,账户期初,2,0),0)+SUMIFS($J$4:J1527,$C$4:C1527,$C1527)-SUMIFS($K$4:K1527,$C$4:C1527,$C1527),2))</f>
        <v/>
      </c>
      <c r="M1527" s="19">
        <f>IF($C1527="","",ROUND(SUM(基础资料!$B$4:$B$13)+SUM($J$4:J1527)-SUM($K$4:K1527),2))</f>
        <v/>
      </c>
      <c r="N1527" s="13" t="n"/>
      <c r="O1527" s="13" t="n"/>
      <c r="P1527" s="17">
        <f>IF($B1527="","",IF($F1527="※类别不在基础资料里","※费用类别不在基础资料里",IF(AND(N($J1527)=0,N($K1527)=0),"※这行没填金额",IF(AND(N($J1527)&gt;0,N($K1527)&gt;0),"※收入和支出不能同一行都填",IF(AND($D1527="收入",N($J1527)=0),"※收入行要填收入金额",IF(AND($D1527="支出",N($K1527)=0),"※支出行要填支出金额",IF(AND($C1527&lt;&gt;"",ISNA(MATCH($C1527,账户表,0))),"※账户不在基础资料里",IF(AND($G1527&lt;&gt;"",ISNA(MATCH($G1527,项目名表,0))),"※项目不在项目台账里",IF(AND(LEFT($F1527,3)="成本-",$G1527=""),"※成本类支出没填项目",IF(AND(LEFT($F1527,3)="成本-",$H1527&lt;&gt;"",N($K1527)&gt;0,COUNTIFS(采购单!$B:$B,$B1527,采购单!$C:$C,$H1527,采购单!$L:$L,$K1527)&gt;0),"※这笔可能和采购单重复了",""))))))))))</f>
        <v/>
      </c>
    </row>
    <row r="1528">
      <c r="A1528" s="17">
        <f>IF($B1528="","",ROW()-3)</f>
        <v/>
      </c>
      <c r="B1528" s="18" t="n"/>
      <c r="C1528" s="13" t="n"/>
      <c r="D1528" s="13" t="n"/>
      <c r="E1528" s="13" t="n"/>
      <c r="F1528" s="17">
        <f>IF($E1528="","",IFERROR(VLOOKUP($E1528,类别归属,2,0),"※类别不在基础资料里"))</f>
        <v/>
      </c>
      <c r="G1528" s="13" t="n"/>
      <c r="H1528" s="13" t="n"/>
      <c r="I1528" s="13" t="n"/>
      <c r="J1528" s="14" t="n"/>
      <c r="K1528" s="14" t="n"/>
      <c r="L1528" s="19">
        <f>IF($C1528="","",ROUND(IFERROR(VLOOKUP($C1528,账户期初,2,0),0)+SUMIFS($J$4:J1528,$C$4:C1528,$C1528)-SUMIFS($K$4:K1528,$C$4:C1528,$C1528),2))</f>
        <v/>
      </c>
      <c r="M1528" s="19">
        <f>IF($C1528="","",ROUND(SUM(基础资料!$B$4:$B$13)+SUM($J$4:J1528)-SUM($K$4:K1528),2))</f>
        <v/>
      </c>
      <c r="N1528" s="13" t="n"/>
      <c r="O1528" s="13" t="n"/>
      <c r="P1528" s="17">
        <f>IF($B1528="","",IF($F1528="※类别不在基础资料里","※费用类别不在基础资料里",IF(AND(N($J1528)=0,N($K1528)=0),"※这行没填金额",IF(AND(N($J1528)&gt;0,N($K1528)&gt;0),"※收入和支出不能同一行都填",IF(AND($D1528="收入",N($J1528)=0),"※收入行要填收入金额",IF(AND($D1528="支出",N($K1528)=0),"※支出行要填支出金额",IF(AND($C1528&lt;&gt;"",ISNA(MATCH($C1528,账户表,0))),"※账户不在基础资料里",IF(AND($G1528&lt;&gt;"",ISNA(MATCH($G1528,项目名表,0))),"※项目不在项目台账里",IF(AND(LEFT($F1528,3)="成本-",$G1528=""),"※成本类支出没填项目",IF(AND(LEFT($F1528,3)="成本-",$H1528&lt;&gt;"",N($K1528)&gt;0,COUNTIFS(采购单!$B:$B,$B1528,采购单!$C:$C,$H1528,采购单!$L:$L,$K1528)&gt;0),"※这笔可能和采购单重复了",""))))))))))</f>
        <v/>
      </c>
    </row>
    <row r="1529">
      <c r="A1529" s="17">
        <f>IF($B1529="","",ROW()-3)</f>
        <v/>
      </c>
      <c r="B1529" s="18" t="n"/>
      <c r="C1529" s="13" t="n"/>
      <c r="D1529" s="13" t="n"/>
      <c r="E1529" s="13" t="n"/>
      <c r="F1529" s="17">
        <f>IF($E1529="","",IFERROR(VLOOKUP($E1529,类别归属,2,0),"※类别不在基础资料里"))</f>
        <v/>
      </c>
      <c r="G1529" s="13" t="n"/>
      <c r="H1529" s="13" t="n"/>
      <c r="I1529" s="13" t="n"/>
      <c r="J1529" s="14" t="n"/>
      <c r="K1529" s="14" t="n"/>
      <c r="L1529" s="19">
        <f>IF($C1529="","",ROUND(IFERROR(VLOOKUP($C1529,账户期初,2,0),0)+SUMIFS($J$4:J1529,$C$4:C1529,$C1529)-SUMIFS($K$4:K1529,$C$4:C1529,$C1529),2))</f>
        <v/>
      </c>
      <c r="M1529" s="19">
        <f>IF($C1529="","",ROUND(SUM(基础资料!$B$4:$B$13)+SUM($J$4:J1529)-SUM($K$4:K1529),2))</f>
        <v/>
      </c>
      <c r="N1529" s="13" t="n"/>
      <c r="O1529" s="13" t="n"/>
      <c r="P1529" s="17">
        <f>IF($B1529="","",IF($F1529="※类别不在基础资料里","※费用类别不在基础资料里",IF(AND(N($J1529)=0,N($K1529)=0),"※这行没填金额",IF(AND(N($J1529)&gt;0,N($K1529)&gt;0),"※收入和支出不能同一行都填",IF(AND($D1529="收入",N($J1529)=0),"※收入行要填收入金额",IF(AND($D1529="支出",N($K1529)=0),"※支出行要填支出金额",IF(AND($C1529&lt;&gt;"",ISNA(MATCH($C1529,账户表,0))),"※账户不在基础资料里",IF(AND($G1529&lt;&gt;"",ISNA(MATCH($G1529,项目名表,0))),"※项目不在项目台账里",IF(AND(LEFT($F1529,3)="成本-",$G1529=""),"※成本类支出没填项目",IF(AND(LEFT($F1529,3)="成本-",$H1529&lt;&gt;"",N($K1529)&gt;0,COUNTIFS(采购单!$B:$B,$B1529,采购单!$C:$C,$H1529,采购单!$L:$L,$K1529)&gt;0),"※这笔可能和采购单重复了",""))))))))))</f>
        <v/>
      </c>
    </row>
    <row r="1530">
      <c r="A1530" s="17">
        <f>IF($B1530="","",ROW()-3)</f>
        <v/>
      </c>
      <c r="B1530" s="18" t="n"/>
      <c r="C1530" s="13" t="n"/>
      <c r="D1530" s="13" t="n"/>
      <c r="E1530" s="13" t="n"/>
      <c r="F1530" s="17">
        <f>IF($E1530="","",IFERROR(VLOOKUP($E1530,类别归属,2,0),"※类别不在基础资料里"))</f>
        <v/>
      </c>
      <c r="G1530" s="13" t="n"/>
      <c r="H1530" s="13" t="n"/>
      <c r="I1530" s="13" t="n"/>
      <c r="J1530" s="14" t="n"/>
      <c r="K1530" s="14" t="n"/>
      <c r="L1530" s="19">
        <f>IF($C1530="","",ROUND(IFERROR(VLOOKUP($C1530,账户期初,2,0),0)+SUMIFS($J$4:J1530,$C$4:C1530,$C1530)-SUMIFS($K$4:K1530,$C$4:C1530,$C1530),2))</f>
        <v/>
      </c>
      <c r="M1530" s="19">
        <f>IF($C1530="","",ROUND(SUM(基础资料!$B$4:$B$13)+SUM($J$4:J1530)-SUM($K$4:K1530),2))</f>
        <v/>
      </c>
      <c r="N1530" s="13" t="n"/>
      <c r="O1530" s="13" t="n"/>
      <c r="P1530" s="17">
        <f>IF($B1530="","",IF($F1530="※类别不在基础资料里","※费用类别不在基础资料里",IF(AND(N($J1530)=0,N($K1530)=0),"※这行没填金额",IF(AND(N($J1530)&gt;0,N($K1530)&gt;0),"※收入和支出不能同一行都填",IF(AND($D1530="收入",N($J1530)=0),"※收入行要填收入金额",IF(AND($D1530="支出",N($K1530)=0),"※支出行要填支出金额",IF(AND($C1530&lt;&gt;"",ISNA(MATCH($C1530,账户表,0))),"※账户不在基础资料里",IF(AND($G1530&lt;&gt;"",ISNA(MATCH($G1530,项目名表,0))),"※项目不在项目台账里",IF(AND(LEFT($F1530,3)="成本-",$G1530=""),"※成本类支出没填项目",IF(AND(LEFT($F1530,3)="成本-",$H1530&lt;&gt;"",N($K1530)&gt;0,COUNTIFS(采购单!$B:$B,$B1530,采购单!$C:$C,$H1530,采购单!$L:$L,$K1530)&gt;0),"※这笔可能和采购单重复了",""))))))))))</f>
        <v/>
      </c>
    </row>
    <row r="1531">
      <c r="A1531" s="17">
        <f>IF($B1531="","",ROW()-3)</f>
        <v/>
      </c>
      <c r="B1531" s="18" t="n"/>
      <c r="C1531" s="13" t="n"/>
      <c r="D1531" s="13" t="n"/>
      <c r="E1531" s="13" t="n"/>
      <c r="F1531" s="17">
        <f>IF($E1531="","",IFERROR(VLOOKUP($E1531,类别归属,2,0),"※类别不在基础资料里"))</f>
        <v/>
      </c>
      <c r="G1531" s="13" t="n"/>
      <c r="H1531" s="13" t="n"/>
      <c r="I1531" s="13" t="n"/>
      <c r="J1531" s="14" t="n"/>
      <c r="K1531" s="14" t="n"/>
      <c r="L1531" s="19">
        <f>IF($C1531="","",ROUND(IFERROR(VLOOKUP($C1531,账户期初,2,0),0)+SUMIFS($J$4:J1531,$C$4:C1531,$C1531)-SUMIFS($K$4:K1531,$C$4:C1531,$C1531),2))</f>
        <v/>
      </c>
      <c r="M1531" s="19">
        <f>IF($C1531="","",ROUND(SUM(基础资料!$B$4:$B$13)+SUM($J$4:J1531)-SUM($K$4:K1531),2))</f>
        <v/>
      </c>
      <c r="N1531" s="13" t="n"/>
      <c r="O1531" s="13" t="n"/>
      <c r="P1531" s="17">
        <f>IF($B1531="","",IF($F1531="※类别不在基础资料里","※费用类别不在基础资料里",IF(AND(N($J1531)=0,N($K1531)=0),"※这行没填金额",IF(AND(N($J1531)&gt;0,N($K1531)&gt;0),"※收入和支出不能同一行都填",IF(AND($D1531="收入",N($J1531)=0),"※收入行要填收入金额",IF(AND($D1531="支出",N($K1531)=0),"※支出行要填支出金额",IF(AND($C1531&lt;&gt;"",ISNA(MATCH($C1531,账户表,0))),"※账户不在基础资料里",IF(AND($G1531&lt;&gt;"",ISNA(MATCH($G1531,项目名表,0))),"※项目不在项目台账里",IF(AND(LEFT($F1531,3)="成本-",$G1531=""),"※成本类支出没填项目",IF(AND(LEFT($F1531,3)="成本-",$H1531&lt;&gt;"",N($K1531)&gt;0,COUNTIFS(采购单!$B:$B,$B1531,采购单!$C:$C,$H1531,采购单!$L:$L,$K1531)&gt;0),"※这笔可能和采购单重复了",""))))))))))</f>
        <v/>
      </c>
    </row>
    <row r="1532">
      <c r="A1532" s="17">
        <f>IF($B1532="","",ROW()-3)</f>
        <v/>
      </c>
      <c r="B1532" s="18" t="n"/>
      <c r="C1532" s="13" t="n"/>
      <c r="D1532" s="13" t="n"/>
      <c r="E1532" s="13" t="n"/>
      <c r="F1532" s="17">
        <f>IF($E1532="","",IFERROR(VLOOKUP($E1532,类别归属,2,0),"※类别不在基础资料里"))</f>
        <v/>
      </c>
      <c r="G1532" s="13" t="n"/>
      <c r="H1532" s="13" t="n"/>
      <c r="I1532" s="13" t="n"/>
      <c r="J1532" s="14" t="n"/>
      <c r="K1532" s="14" t="n"/>
      <c r="L1532" s="19">
        <f>IF($C1532="","",ROUND(IFERROR(VLOOKUP($C1532,账户期初,2,0),0)+SUMIFS($J$4:J1532,$C$4:C1532,$C1532)-SUMIFS($K$4:K1532,$C$4:C1532,$C1532),2))</f>
        <v/>
      </c>
      <c r="M1532" s="19">
        <f>IF($C1532="","",ROUND(SUM(基础资料!$B$4:$B$13)+SUM($J$4:J1532)-SUM($K$4:K1532),2))</f>
        <v/>
      </c>
      <c r="N1532" s="13" t="n"/>
      <c r="O1532" s="13" t="n"/>
      <c r="P1532" s="17">
        <f>IF($B1532="","",IF($F1532="※类别不在基础资料里","※费用类别不在基础资料里",IF(AND(N($J1532)=0,N($K1532)=0),"※这行没填金额",IF(AND(N($J1532)&gt;0,N($K1532)&gt;0),"※收入和支出不能同一行都填",IF(AND($D1532="收入",N($J1532)=0),"※收入行要填收入金额",IF(AND($D1532="支出",N($K1532)=0),"※支出行要填支出金额",IF(AND($C1532&lt;&gt;"",ISNA(MATCH($C1532,账户表,0))),"※账户不在基础资料里",IF(AND($G1532&lt;&gt;"",ISNA(MATCH($G1532,项目名表,0))),"※项目不在项目台账里",IF(AND(LEFT($F1532,3)="成本-",$G1532=""),"※成本类支出没填项目",IF(AND(LEFT($F1532,3)="成本-",$H1532&lt;&gt;"",N($K1532)&gt;0,COUNTIFS(采购单!$B:$B,$B1532,采购单!$C:$C,$H1532,采购单!$L:$L,$K1532)&gt;0),"※这笔可能和采购单重复了",""))))))))))</f>
        <v/>
      </c>
    </row>
    <row r="1533">
      <c r="A1533" s="17">
        <f>IF($B1533="","",ROW()-3)</f>
        <v/>
      </c>
      <c r="B1533" s="18" t="n"/>
      <c r="C1533" s="13" t="n"/>
      <c r="D1533" s="13" t="n"/>
      <c r="E1533" s="13" t="n"/>
      <c r="F1533" s="17">
        <f>IF($E1533="","",IFERROR(VLOOKUP($E1533,类别归属,2,0),"※类别不在基础资料里"))</f>
        <v/>
      </c>
      <c r="G1533" s="13" t="n"/>
      <c r="H1533" s="13" t="n"/>
      <c r="I1533" s="13" t="n"/>
      <c r="J1533" s="14" t="n"/>
      <c r="K1533" s="14" t="n"/>
      <c r="L1533" s="19">
        <f>IF($C1533="","",ROUND(IFERROR(VLOOKUP($C1533,账户期初,2,0),0)+SUMIFS($J$4:J1533,$C$4:C1533,$C1533)-SUMIFS($K$4:K1533,$C$4:C1533,$C1533),2))</f>
        <v/>
      </c>
      <c r="M1533" s="19">
        <f>IF($C1533="","",ROUND(SUM(基础资料!$B$4:$B$13)+SUM($J$4:J1533)-SUM($K$4:K1533),2))</f>
        <v/>
      </c>
      <c r="N1533" s="13" t="n"/>
      <c r="O1533" s="13" t="n"/>
      <c r="P1533" s="17">
        <f>IF($B1533="","",IF($F1533="※类别不在基础资料里","※费用类别不在基础资料里",IF(AND(N($J1533)=0,N($K1533)=0),"※这行没填金额",IF(AND(N($J1533)&gt;0,N($K1533)&gt;0),"※收入和支出不能同一行都填",IF(AND($D1533="收入",N($J1533)=0),"※收入行要填收入金额",IF(AND($D1533="支出",N($K1533)=0),"※支出行要填支出金额",IF(AND($C1533&lt;&gt;"",ISNA(MATCH($C1533,账户表,0))),"※账户不在基础资料里",IF(AND($G1533&lt;&gt;"",ISNA(MATCH($G1533,项目名表,0))),"※项目不在项目台账里",IF(AND(LEFT($F1533,3)="成本-",$G1533=""),"※成本类支出没填项目",IF(AND(LEFT($F1533,3)="成本-",$H1533&lt;&gt;"",N($K1533)&gt;0,COUNTIFS(采购单!$B:$B,$B1533,采购单!$C:$C,$H1533,采购单!$L:$L,$K1533)&gt;0),"※这笔可能和采购单重复了",""))))))))))</f>
        <v/>
      </c>
    </row>
    <row r="1534">
      <c r="A1534" s="17">
        <f>IF($B1534="","",ROW()-3)</f>
        <v/>
      </c>
      <c r="B1534" s="18" t="n"/>
      <c r="C1534" s="13" t="n"/>
      <c r="D1534" s="13" t="n"/>
      <c r="E1534" s="13" t="n"/>
      <c r="F1534" s="17">
        <f>IF($E1534="","",IFERROR(VLOOKUP($E1534,类别归属,2,0),"※类别不在基础资料里"))</f>
        <v/>
      </c>
      <c r="G1534" s="13" t="n"/>
      <c r="H1534" s="13" t="n"/>
      <c r="I1534" s="13" t="n"/>
      <c r="J1534" s="14" t="n"/>
      <c r="K1534" s="14" t="n"/>
      <c r="L1534" s="19">
        <f>IF($C1534="","",ROUND(IFERROR(VLOOKUP($C1534,账户期初,2,0),0)+SUMIFS($J$4:J1534,$C$4:C1534,$C1534)-SUMIFS($K$4:K1534,$C$4:C1534,$C1534),2))</f>
        <v/>
      </c>
      <c r="M1534" s="19">
        <f>IF($C1534="","",ROUND(SUM(基础资料!$B$4:$B$13)+SUM($J$4:J1534)-SUM($K$4:K1534),2))</f>
        <v/>
      </c>
      <c r="N1534" s="13" t="n"/>
      <c r="O1534" s="13" t="n"/>
      <c r="P1534" s="17">
        <f>IF($B1534="","",IF($F1534="※类别不在基础资料里","※费用类别不在基础资料里",IF(AND(N($J1534)=0,N($K1534)=0),"※这行没填金额",IF(AND(N($J1534)&gt;0,N($K1534)&gt;0),"※收入和支出不能同一行都填",IF(AND($D1534="收入",N($J1534)=0),"※收入行要填收入金额",IF(AND($D1534="支出",N($K1534)=0),"※支出行要填支出金额",IF(AND($C1534&lt;&gt;"",ISNA(MATCH($C1534,账户表,0))),"※账户不在基础资料里",IF(AND($G1534&lt;&gt;"",ISNA(MATCH($G1534,项目名表,0))),"※项目不在项目台账里",IF(AND(LEFT($F1534,3)="成本-",$G1534=""),"※成本类支出没填项目",IF(AND(LEFT($F1534,3)="成本-",$H1534&lt;&gt;"",N($K1534)&gt;0,COUNTIFS(采购单!$B:$B,$B1534,采购单!$C:$C,$H1534,采购单!$L:$L,$K1534)&gt;0),"※这笔可能和采购单重复了",""))))))))))</f>
        <v/>
      </c>
    </row>
    <row r="1535">
      <c r="A1535" s="17">
        <f>IF($B1535="","",ROW()-3)</f>
        <v/>
      </c>
      <c r="B1535" s="18" t="n"/>
      <c r="C1535" s="13" t="n"/>
      <c r="D1535" s="13" t="n"/>
      <c r="E1535" s="13" t="n"/>
      <c r="F1535" s="17">
        <f>IF($E1535="","",IFERROR(VLOOKUP($E1535,类别归属,2,0),"※类别不在基础资料里"))</f>
        <v/>
      </c>
      <c r="G1535" s="13" t="n"/>
      <c r="H1535" s="13" t="n"/>
      <c r="I1535" s="13" t="n"/>
      <c r="J1535" s="14" t="n"/>
      <c r="K1535" s="14" t="n"/>
      <c r="L1535" s="19">
        <f>IF($C1535="","",ROUND(IFERROR(VLOOKUP($C1535,账户期初,2,0),0)+SUMIFS($J$4:J1535,$C$4:C1535,$C1535)-SUMIFS($K$4:K1535,$C$4:C1535,$C1535),2))</f>
        <v/>
      </c>
      <c r="M1535" s="19">
        <f>IF($C1535="","",ROUND(SUM(基础资料!$B$4:$B$13)+SUM($J$4:J1535)-SUM($K$4:K1535),2))</f>
        <v/>
      </c>
      <c r="N1535" s="13" t="n"/>
      <c r="O1535" s="13" t="n"/>
      <c r="P1535" s="17">
        <f>IF($B1535="","",IF($F1535="※类别不在基础资料里","※费用类别不在基础资料里",IF(AND(N($J1535)=0,N($K1535)=0),"※这行没填金额",IF(AND(N($J1535)&gt;0,N($K1535)&gt;0),"※收入和支出不能同一行都填",IF(AND($D1535="收入",N($J1535)=0),"※收入行要填收入金额",IF(AND($D1535="支出",N($K1535)=0),"※支出行要填支出金额",IF(AND($C1535&lt;&gt;"",ISNA(MATCH($C1535,账户表,0))),"※账户不在基础资料里",IF(AND($G1535&lt;&gt;"",ISNA(MATCH($G1535,项目名表,0))),"※项目不在项目台账里",IF(AND(LEFT($F1535,3)="成本-",$G1535=""),"※成本类支出没填项目",IF(AND(LEFT($F1535,3)="成本-",$H1535&lt;&gt;"",N($K1535)&gt;0,COUNTIFS(采购单!$B:$B,$B1535,采购单!$C:$C,$H1535,采购单!$L:$L,$K1535)&gt;0),"※这笔可能和采购单重复了",""))))))))))</f>
        <v/>
      </c>
    </row>
    <row r="1536">
      <c r="A1536" s="17">
        <f>IF($B1536="","",ROW()-3)</f>
        <v/>
      </c>
      <c r="B1536" s="18" t="n"/>
      <c r="C1536" s="13" t="n"/>
      <c r="D1536" s="13" t="n"/>
      <c r="E1536" s="13" t="n"/>
      <c r="F1536" s="17">
        <f>IF($E1536="","",IFERROR(VLOOKUP($E1536,类别归属,2,0),"※类别不在基础资料里"))</f>
        <v/>
      </c>
      <c r="G1536" s="13" t="n"/>
      <c r="H1536" s="13" t="n"/>
      <c r="I1536" s="13" t="n"/>
      <c r="J1536" s="14" t="n"/>
      <c r="K1536" s="14" t="n"/>
      <c r="L1536" s="19">
        <f>IF($C1536="","",ROUND(IFERROR(VLOOKUP($C1536,账户期初,2,0),0)+SUMIFS($J$4:J1536,$C$4:C1536,$C1536)-SUMIFS($K$4:K1536,$C$4:C1536,$C1536),2))</f>
        <v/>
      </c>
      <c r="M1536" s="19">
        <f>IF($C1536="","",ROUND(SUM(基础资料!$B$4:$B$13)+SUM($J$4:J1536)-SUM($K$4:K1536),2))</f>
        <v/>
      </c>
      <c r="N1536" s="13" t="n"/>
      <c r="O1536" s="13" t="n"/>
      <c r="P1536" s="17">
        <f>IF($B1536="","",IF($F1536="※类别不在基础资料里","※费用类别不在基础资料里",IF(AND(N($J1536)=0,N($K1536)=0),"※这行没填金额",IF(AND(N($J1536)&gt;0,N($K1536)&gt;0),"※收入和支出不能同一行都填",IF(AND($D1536="收入",N($J1536)=0),"※收入行要填收入金额",IF(AND($D1536="支出",N($K1536)=0),"※支出行要填支出金额",IF(AND($C1536&lt;&gt;"",ISNA(MATCH($C1536,账户表,0))),"※账户不在基础资料里",IF(AND($G1536&lt;&gt;"",ISNA(MATCH($G1536,项目名表,0))),"※项目不在项目台账里",IF(AND(LEFT($F1536,3)="成本-",$G1536=""),"※成本类支出没填项目",IF(AND(LEFT($F1536,3)="成本-",$H1536&lt;&gt;"",N($K1536)&gt;0,COUNTIFS(采购单!$B:$B,$B1536,采购单!$C:$C,$H1536,采购单!$L:$L,$K1536)&gt;0),"※这笔可能和采购单重复了",""))))))))))</f>
        <v/>
      </c>
    </row>
    <row r="1537">
      <c r="A1537" s="17">
        <f>IF($B1537="","",ROW()-3)</f>
        <v/>
      </c>
      <c r="B1537" s="18" t="n"/>
      <c r="C1537" s="13" t="n"/>
      <c r="D1537" s="13" t="n"/>
      <c r="E1537" s="13" t="n"/>
      <c r="F1537" s="17">
        <f>IF($E1537="","",IFERROR(VLOOKUP($E1537,类别归属,2,0),"※类别不在基础资料里"))</f>
        <v/>
      </c>
      <c r="G1537" s="13" t="n"/>
      <c r="H1537" s="13" t="n"/>
      <c r="I1537" s="13" t="n"/>
      <c r="J1537" s="14" t="n"/>
      <c r="K1537" s="14" t="n"/>
      <c r="L1537" s="19">
        <f>IF($C1537="","",ROUND(IFERROR(VLOOKUP($C1537,账户期初,2,0),0)+SUMIFS($J$4:J1537,$C$4:C1537,$C1537)-SUMIFS($K$4:K1537,$C$4:C1537,$C1537),2))</f>
        <v/>
      </c>
      <c r="M1537" s="19">
        <f>IF($C1537="","",ROUND(SUM(基础资料!$B$4:$B$13)+SUM($J$4:J1537)-SUM($K$4:K1537),2))</f>
        <v/>
      </c>
      <c r="N1537" s="13" t="n"/>
      <c r="O1537" s="13" t="n"/>
      <c r="P1537" s="17">
        <f>IF($B1537="","",IF($F1537="※类别不在基础资料里","※费用类别不在基础资料里",IF(AND(N($J1537)=0,N($K1537)=0),"※这行没填金额",IF(AND(N($J1537)&gt;0,N($K1537)&gt;0),"※收入和支出不能同一行都填",IF(AND($D1537="收入",N($J1537)=0),"※收入行要填收入金额",IF(AND($D1537="支出",N($K1537)=0),"※支出行要填支出金额",IF(AND($C1537&lt;&gt;"",ISNA(MATCH($C1537,账户表,0))),"※账户不在基础资料里",IF(AND($G1537&lt;&gt;"",ISNA(MATCH($G1537,项目名表,0))),"※项目不在项目台账里",IF(AND(LEFT($F1537,3)="成本-",$G1537=""),"※成本类支出没填项目",IF(AND(LEFT($F1537,3)="成本-",$H1537&lt;&gt;"",N($K1537)&gt;0,COUNTIFS(采购单!$B:$B,$B1537,采购单!$C:$C,$H1537,采购单!$L:$L,$K1537)&gt;0),"※这笔可能和采购单重复了",""))))))))))</f>
        <v/>
      </c>
    </row>
    <row r="1538">
      <c r="A1538" s="17">
        <f>IF($B1538="","",ROW()-3)</f>
        <v/>
      </c>
      <c r="B1538" s="18" t="n"/>
      <c r="C1538" s="13" t="n"/>
      <c r="D1538" s="13" t="n"/>
      <c r="E1538" s="13" t="n"/>
      <c r="F1538" s="17">
        <f>IF($E1538="","",IFERROR(VLOOKUP($E1538,类别归属,2,0),"※类别不在基础资料里"))</f>
        <v/>
      </c>
      <c r="G1538" s="13" t="n"/>
      <c r="H1538" s="13" t="n"/>
      <c r="I1538" s="13" t="n"/>
      <c r="J1538" s="14" t="n"/>
      <c r="K1538" s="14" t="n"/>
      <c r="L1538" s="19">
        <f>IF($C1538="","",ROUND(IFERROR(VLOOKUP($C1538,账户期初,2,0),0)+SUMIFS($J$4:J1538,$C$4:C1538,$C1538)-SUMIFS($K$4:K1538,$C$4:C1538,$C1538),2))</f>
        <v/>
      </c>
      <c r="M1538" s="19">
        <f>IF($C1538="","",ROUND(SUM(基础资料!$B$4:$B$13)+SUM($J$4:J1538)-SUM($K$4:K1538),2))</f>
        <v/>
      </c>
      <c r="N1538" s="13" t="n"/>
      <c r="O1538" s="13" t="n"/>
      <c r="P1538" s="17">
        <f>IF($B1538="","",IF($F1538="※类别不在基础资料里","※费用类别不在基础资料里",IF(AND(N($J1538)=0,N($K1538)=0),"※这行没填金额",IF(AND(N($J1538)&gt;0,N($K1538)&gt;0),"※收入和支出不能同一行都填",IF(AND($D1538="收入",N($J1538)=0),"※收入行要填收入金额",IF(AND($D1538="支出",N($K1538)=0),"※支出行要填支出金额",IF(AND($C1538&lt;&gt;"",ISNA(MATCH($C1538,账户表,0))),"※账户不在基础资料里",IF(AND($G1538&lt;&gt;"",ISNA(MATCH($G1538,项目名表,0))),"※项目不在项目台账里",IF(AND(LEFT($F1538,3)="成本-",$G1538=""),"※成本类支出没填项目",IF(AND(LEFT($F1538,3)="成本-",$H1538&lt;&gt;"",N($K1538)&gt;0,COUNTIFS(采购单!$B:$B,$B1538,采购单!$C:$C,$H1538,采购单!$L:$L,$K1538)&gt;0),"※这笔可能和采购单重复了",""))))))))))</f>
        <v/>
      </c>
    </row>
    <row r="1539">
      <c r="A1539" s="17">
        <f>IF($B1539="","",ROW()-3)</f>
        <v/>
      </c>
      <c r="B1539" s="18" t="n"/>
      <c r="C1539" s="13" t="n"/>
      <c r="D1539" s="13" t="n"/>
      <c r="E1539" s="13" t="n"/>
      <c r="F1539" s="17">
        <f>IF($E1539="","",IFERROR(VLOOKUP($E1539,类别归属,2,0),"※类别不在基础资料里"))</f>
        <v/>
      </c>
      <c r="G1539" s="13" t="n"/>
      <c r="H1539" s="13" t="n"/>
      <c r="I1539" s="13" t="n"/>
      <c r="J1539" s="14" t="n"/>
      <c r="K1539" s="14" t="n"/>
      <c r="L1539" s="19">
        <f>IF($C1539="","",ROUND(IFERROR(VLOOKUP($C1539,账户期初,2,0),0)+SUMIFS($J$4:J1539,$C$4:C1539,$C1539)-SUMIFS($K$4:K1539,$C$4:C1539,$C1539),2))</f>
        <v/>
      </c>
      <c r="M1539" s="19">
        <f>IF($C1539="","",ROUND(SUM(基础资料!$B$4:$B$13)+SUM($J$4:J1539)-SUM($K$4:K1539),2))</f>
        <v/>
      </c>
      <c r="N1539" s="13" t="n"/>
      <c r="O1539" s="13" t="n"/>
      <c r="P1539" s="17">
        <f>IF($B1539="","",IF($F1539="※类别不在基础资料里","※费用类别不在基础资料里",IF(AND(N($J1539)=0,N($K1539)=0),"※这行没填金额",IF(AND(N($J1539)&gt;0,N($K1539)&gt;0),"※收入和支出不能同一行都填",IF(AND($D1539="收入",N($J1539)=0),"※收入行要填收入金额",IF(AND($D1539="支出",N($K1539)=0),"※支出行要填支出金额",IF(AND($C1539&lt;&gt;"",ISNA(MATCH($C1539,账户表,0))),"※账户不在基础资料里",IF(AND($G1539&lt;&gt;"",ISNA(MATCH($G1539,项目名表,0))),"※项目不在项目台账里",IF(AND(LEFT($F1539,3)="成本-",$G1539=""),"※成本类支出没填项目",IF(AND(LEFT($F1539,3)="成本-",$H1539&lt;&gt;"",N($K1539)&gt;0,COUNTIFS(采购单!$B:$B,$B1539,采购单!$C:$C,$H1539,采购单!$L:$L,$K1539)&gt;0),"※这笔可能和采购单重复了",""))))))))))</f>
        <v/>
      </c>
    </row>
    <row r="1540">
      <c r="A1540" s="17">
        <f>IF($B1540="","",ROW()-3)</f>
        <v/>
      </c>
      <c r="B1540" s="18" t="n"/>
      <c r="C1540" s="13" t="n"/>
      <c r="D1540" s="13" t="n"/>
      <c r="E1540" s="13" t="n"/>
      <c r="F1540" s="17">
        <f>IF($E1540="","",IFERROR(VLOOKUP($E1540,类别归属,2,0),"※类别不在基础资料里"))</f>
        <v/>
      </c>
      <c r="G1540" s="13" t="n"/>
      <c r="H1540" s="13" t="n"/>
      <c r="I1540" s="13" t="n"/>
      <c r="J1540" s="14" t="n"/>
      <c r="K1540" s="14" t="n"/>
      <c r="L1540" s="19">
        <f>IF($C1540="","",ROUND(IFERROR(VLOOKUP($C1540,账户期初,2,0),0)+SUMIFS($J$4:J1540,$C$4:C1540,$C1540)-SUMIFS($K$4:K1540,$C$4:C1540,$C1540),2))</f>
        <v/>
      </c>
      <c r="M1540" s="19">
        <f>IF($C1540="","",ROUND(SUM(基础资料!$B$4:$B$13)+SUM($J$4:J1540)-SUM($K$4:K1540),2))</f>
        <v/>
      </c>
      <c r="N1540" s="13" t="n"/>
      <c r="O1540" s="13" t="n"/>
      <c r="P1540" s="17">
        <f>IF($B1540="","",IF($F1540="※类别不在基础资料里","※费用类别不在基础资料里",IF(AND(N($J1540)=0,N($K1540)=0),"※这行没填金额",IF(AND(N($J1540)&gt;0,N($K1540)&gt;0),"※收入和支出不能同一行都填",IF(AND($D1540="收入",N($J1540)=0),"※收入行要填收入金额",IF(AND($D1540="支出",N($K1540)=0),"※支出行要填支出金额",IF(AND($C1540&lt;&gt;"",ISNA(MATCH($C1540,账户表,0))),"※账户不在基础资料里",IF(AND($G1540&lt;&gt;"",ISNA(MATCH($G1540,项目名表,0))),"※项目不在项目台账里",IF(AND(LEFT($F1540,3)="成本-",$G1540=""),"※成本类支出没填项目",IF(AND(LEFT($F1540,3)="成本-",$H1540&lt;&gt;"",N($K1540)&gt;0,COUNTIFS(采购单!$B:$B,$B1540,采购单!$C:$C,$H1540,采购单!$L:$L,$K1540)&gt;0),"※这笔可能和采购单重复了",""))))))))))</f>
        <v/>
      </c>
    </row>
    <row r="1541">
      <c r="A1541" s="17">
        <f>IF($B1541="","",ROW()-3)</f>
        <v/>
      </c>
      <c r="B1541" s="18" t="n"/>
      <c r="C1541" s="13" t="n"/>
      <c r="D1541" s="13" t="n"/>
      <c r="E1541" s="13" t="n"/>
      <c r="F1541" s="17">
        <f>IF($E1541="","",IFERROR(VLOOKUP($E1541,类别归属,2,0),"※类别不在基础资料里"))</f>
        <v/>
      </c>
      <c r="G1541" s="13" t="n"/>
      <c r="H1541" s="13" t="n"/>
      <c r="I1541" s="13" t="n"/>
      <c r="J1541" s="14" t="n"/>
      <c r="K1541" s="14" t="n"/>
      <c r="L1541" s="19">
        <f>IF($C1541="","",ROUND(IFERROR(VLOOKUP($C1541,账户期初,2,0),0)+SUMIFS($J$4:J1541,$C$4:C1541,$C1541)-SUMIFS($K$4:K1541,$C$4:C1541,$C1541),2))</f>
        <v/>
      </c>
      <c r="M1541" s="19">
        <f>IF($C1541="","",ROUND(SUM(基础资料!$B$4:$B$13)+SUM($J$4:J1541)-SUM($K$4:K1541),2))</f>
        <v/>
      </c>
      <c r="N1541" s="13" t="n"/>
      <c r="O1541" s="13" t="n"/>
      <c r="P1541" s="17">
        <f>IF($B1541="","",IF($F1541="※类别不在基础资料里","※费用类别不在基础资料里",IF(AND(N($J1541)=0,N($K1541)=0),"※这行没填金额",IF(AND(N($J1541)&gt;0,N($K1541)&gt;0),"※收入和支出不能同一行都填",IF(AND($D1541="收入",N($J1541)=0),"※收入行要填收入金额",IF(AND($D1541="支出",N($K1541)=0),"※支出行要填支出金额",IF(AND($C1541&lt;&gt;"",ISNA(MATCH($C1541,账户表,0))),"※账户不在基础资料里",IF(AND($G1541&lt;&gt;"",ISNA(MATCH($G1541,项目名表,0))),"※项目不在项目台账里",IF(AND(LEFT($F1541,3)="成本-",$G1541=""),"※成本类支出没填项目",IF(AND(LEFT($F1541,3)="成本-",$H1541&lt;&gt;"",N($K1541)&gt;0,COUNTIFS(采购单!$B:$B,$B1541,采购单!$C:$C,$H1541,采购单!$L:$L,$K1541)&gt;0),"※这笔可能和采购单重复了",""))))))))))</f>
        <v/>
      </c>
    </row>
    <row r="1542">
      <c r="A1542" s="17">
        <f>IF($B1542="","",ROW()-3)</f>
        <v/>
      </c>
      <c r="B1542" s="18" t="n"/>
      <c r="C1542" s="13" t="n"/>
      <c r="D1542" s="13" t="n"/>
      <c r="E1542" s="13" t="n"/>
      <c r="F1542" s="17">
        <f>IF($E1542="","",IFERROR(VLOOKUP($E1542,类别归属,2,0),"※类别不在基础资料里"))</f>
        <v/>
      </c>
      <c r="G1542" s="13" t="n"/>
      <c r="H1542" s="13" t="n"/>
      <c r="I1542" s="13" t="n"/>
      <c r="J1542" s="14" t="n"/>
      <c r="K1542" s="14" t="n"/>
      <c r="L1542" s="19">
        <f>IF($C1542="","",ROUND(IFERROR(VLOOKUP($C1542,账户期初,2,0),0)+SUMIFS($J$4:J1542,$C$4:C1542,$C1542)-SUMIFS($K$4:K1542,$C$4:C1542,$C1542),2))</f>
        <v/>
      </c>
      <c r="M1542" s="19">
        <f>IF($C1542="","",ROUND(SUM(基础资料!$B$4:$B$13)+SUM($J$4:J1542)-SUM($K$4:K1542),2))</f>
        <v/>
      </c>
      <c r="N1542" s="13" t="n"/>
      <c r="O1542" s="13" t="n"/>
      <c r="P1542" s="17">
        <f>IF($B1542="","",IF($F1542="※类别不在基础资料里","※费用类别不在基础资料里",IF(AND(N($J1542)=0,N($K1542)=0),"※这行没填金额",IF(AND(N($J1542)&gt;0,N($K1542)&gt;0),"※收入和支出不能同一行都填",IF(AND($D1542="收入",N($J1542)=0),"※收入行要填收入金额",IF(AND($D1542="支出",N($K1542)=0),"※支出行要填支出金额",IF(AND($C1542&lt;&gt;"",ISNA(MATCH($C1542,账户表,0))),"※账户不在基础资料里",IF(AND($G1542&lt;&gt;"",ISNA(MATCH($G1542,项目名表,0))),"※项目不在项目台账里",IF(AND(LEFT($F1542,3)="成本-",$G1542=""),"※成本类支出没填项目",IF(AND(LEFT($F1542,3)="成本-",$H1542&lt;&gt;"",N($K1542)&gt;0,COUNTIFS(采购单!$B:$B,$B1542,采购单!$C:$C,$H1542,采购单!$L:$L,$K1542)&gt;0),"※这笔可能和采购单重复了",""))))))))))</f>
        <v/>
      </c>
    </row>
    <row r="1543">
      <c r="A1543" s="17">
        <f>IF($B1543="","",ROW()-3)</f>
        <v/>
      </c>
      <c r="B1543" s="18" t="n"/>
      <c r="C1543" s="13" t="n"/>
      <c r="D1543" s="13" t="n"/>
      <c r="E1543" s="13" t="n"/>
      <c r="F1543" s="17">
        <f>IF($E1543="","",IFERROR(VLOOKUP($E1543,类别归属,2,0),"※类别不在基础资料里"))</f>
        <v/>
      </c>
      <c r="G1543" s="13" t="n"/>
      <c r="H1543" s="13" t="n"/>
      <c r="I1543" s="13" t="n"/>
      <c r="J1543" s="14" t="n"/>
      <c r="K1543" s="14" t="n"/>
      <c r="L1543" s="19">
        <f>IF($C1543="","",ROUND(IFERROR(VLOOKUP($C1543,账户期初,2,0),0)+SUMIFS($J$4:J1543,$C$4:C1543,$C1543)-SUMIFS($K$4:K1543,$C$4:C1543,$C1543),2))</f>
        <v/>
      </c>
      <c r="M1543" s="19">
        <f>IF($C1543="","",ROUND(SUM(基础资料!$B$4:$B$13)+SUM($J$4:J1543)-SUM($K$4:K1543),2))</f>
        <v/>
      </c>
      <c r="N1543" s="13" t="n"/>
      <c r="O1543" s="13" t="n"/>
      <c r="P1543" s="17">
        <f>IF($B1543="","",IF($F1543="※类别不在基础资料里","※费用类别不在基础资料里",IF(AND(N($J1543)=0,N($K1543)=0),"※这行没填金额",IF(AND(N($J1543)&gt;0,N($K1543)&gt;0),"※收入和支出不能同一行都填",IF(AND($D1543="收入",N($J1543)=0),"※收入行要填收入金额",IF(AND($D1543="支出",N($K1543)=0),"※支出行要填支出金额",IF(AND($C1543&lt;&gt;"",ISNA(MATCH($C1543,账户表,0))),"※账户不在基础资料里",IF(AND($G1543&lt;&gt;"",ISNA(MATCH($G1543,项目名表,0))),"※项目不在项目台账里",IF(AND(LEFT($F1543,3)="成本-",$G1543=""),"※成本类支出没填项目",IF(AND(LEFT($F1543,3)="成本-",$H1543&lt;&gt;"",N($K1543)&gt;0,COUNTIFS(采购单!$B:$B,$B1543,采购单!$C:$C,$H1543,采购单!$L:$L,$K1543)&gt;0),"※这笔可能和采购单重复了",""))))))))))</f>
        <v/>
      </c>
    </row>
    <row r="1544">
      <c r="A1544" s="17">
        <f>IF($B1544="","",ROW()-3)</f>
        <v/>
      </c>
      <c r="B1544" s="18" t="n"/>
      <c r="C1544" s="13" t="n"/>
      <c r="D1544" s="13" t="n"/>
      <c r="E1544" s="13" t="n"/>
      <c r="F1544" s="17">
        <f>IF($E1544="","",IFERROR(VLOOKUP($E1544,类别归属,2,0),"※类别不在基础资料里"))</f>
        <v/>
      </c>
      <c r="G1544" s="13" t="n"/>
      <c r="H1544" s="13" t="n"/>
      <c r="I1544" s="13" t="n"/>
      <c r="J1544" s="14" t="n"/>
      <c r="K1544" s="14" t="n"/>
      <c r="L1544" s="19">
        <f>IF($C1544="","",ROUND(IFERROR(VLOOKUP($C1544,账户期初,2,0),0)+SUMIFS($J$4:J1544,$C$4:C1544,$C1544)-SUMIFS($K$4:K1544,$C$4:C1544,$C1544),2))</f>
        <v/>
      </c>
      <c r="M1544" s="19">
        <f>IF($C1544="","",ROUND(SUM(基础资料!$B$4:$B$13)+SUM($J$4:J1544)-SUM($K$4:K1544),2))</f>
        <v/>
      </c>
      <c r="N1544" s="13" t="n"/>
      <c r="O1544" s="13" t="n"/>
      <c r="P1544" s="17">
        <f>IF($B1544="","",IF($F1544="※类别不在基础资料里","※费用类别不在基础资料里",IF(AND(N($J1544)=0,N($K1544)=0),"※这行没填金额",IF(AND(N($J1544)&gt;0,N($K1544)&gt;0),"※收入和支出不能同一行都填",IF(AND($D1544="收入",N($J1544)=0),"※收入行要填收入金额",IF(AND($D1544="支出",N($K1544)=0),"※支出行要填支出金额",IF(AND($C1544&lt;&gt;"",ISNA(MATCH($C1544,账户表,0))),"※账户不在基础资料里",IF(AND($G1544&lt;&gt;"",ISNA(MATCH($G1544,项目名表,0))),"※项目不在项目台账里",IF(AND(LEFT($F1544,3)="成本-",$G1544=""),"※成本类支出没填项目",IF(AND(LEFT($F1544,3)="成本-",$H1544&lt;&gt;"",N($K1544)&gt;0,COUNTIFS(采购单!$B:$B,$B1544,采购单!$C:$C,$H1544,采购单!$L:$L,$K1544)&gt;0),"※这笔可能和采购单重复了",""))))))))))</f>
        <v/>
      </c>
    </row>
    <row r="1545">
      <c r="A1545" s="17">
        <f>IF($B1545="","",ROW()-3)</f>
        <v/>
      </c>
      <c r="B1545" s="18" t="n"/>
      <c r="C1545" s="13" t="n"/>
      <c r="D1545" s="13" t="n"/>
      <c r="E1545" s="13" t="n"/>
      <c r="F1545" s="17">
        <f>IF($E1545="","",IFERROR(VLOOKUP($E1545,类别归属,2,0),"※类别不在基础资料里"))</f>
        <v/>
      </c>
      <c r="G1545" s="13" t="n"/>
      <c r="H1545" s="13" t="n"/>
      <c r="I1545" s="13" t="n"/>
      <c r="J1545" s="14" t="n"/>
      <c r="K1545" s="14" t="n"/>
      <c r="L1545" s="19">
        <f>IF($C1545="","",ROUND(IFERROR(VLOOKUP($C1545,账户期初,2,0),0)+SUMIFS($J$4:J1545,$C$4:C1545,$C1545)-SUMIFS($K$4:K1545,$C$4:C1545,$C1545),2))</f>
        <v/>
      </c>
      <c r="M1545" s="19">
        <f>IF($C1545="","",ROUND(SUM(基础资料!$B$4:$B$13)+SUM($J$4:J1545)-SUM($K$4:K1545),2))</f>
        <v/>
      </c>
      <c r="N1545" s="13" t="n"/>
      <c r="O1545" s="13" t="n"/>
      <c r="P1545" s="17">
        <f>IF($B1545="","",IF($F1545="※类别不在基础资料里","※费用类别不在基础资料里",IF(AND(N($J1545)=0,N($K1545)=0),"※这行没填金额",IF(AND(N($J1545)&gt;0,N($K1545)&gt;0),"※收入和支出不能同一行都填",IF(AND($D1545="收入",N($J1545)=0),"※收入行要填收入金额",IF(AND($D1545="支出",N($K1545)=0),"※支出行要填支出金额",IF(AND($C1545&lt;&gt;"",ISNA(MATCH($C1545,账户表,0))),"※账户不在基础资料里",IF(AND($G1545&lt;&gt;"",ISNA(MATCH($G1545,项目名表,0))),"※项目不在项目台账里",IF(AND(LEFT($F1545,3)="成本-",$G1545=""),"※成本类支出没填项目",IF(AND(LEFT($F1545,3)="成本-",$H1545&lt;&gt;"",N($K1545)&gt;0,COUNTIFS(采购单!$B:$B,$B1545,采购单!$C:$C,$H1545,采购单!$L:$L,$K1545)&gt;0),"※这笔可能和采购单重复了",""))))))))))</f>
        <v/>
      </c>
    </row>
    <row r="1546">
      <c r="A1546" s="17">
        <f>IF($B1546="","",ROW()-3)</f>
        <v/>
      </c>
      <c r="B1546" s="18" t="n"/>
      <c r="C1546" s="13" t="n"/>
      <c r="D1546" s="13" t="n"/>
      <c r="E1546" s="13" t="n"/>
      <c r="F1546" s="17">
        <f>IF($E1546="","",IFERROR(VLOOKUP($E1546,类别归属,2,0),"※类别不在基础资料里"))</f>
        <v/>
      </c>
      <c r="G1546" s="13" t="n"/>
      <c r="H1546" s="13" t="n"/>
      <c r="I1546" s="13" t="n"/>
      <c r="J1546" s="14" t="n"/>
      <c r="K1546" s="14" t="n"/>
      <c r="L1546" s="19">
        <f>IF($C1546="","",ROUND(IFERROR(VLOOKUP($C1546,账户期初,2,0),0)+SUMIFS($J$4:J1546,$C$4:C1546,$C1546)-SUMIFS($K$4:K1546,$C$4:C1546,$C1546),2))</f>
        <v/>
      </c>
      <c r="M1546" s="19">
        <f>IF($C1546="","",ROUND(SUM(基础资料!$B$4:$B$13)+SUM($J$4:J1546)-SUM($K$4:K1546),2))</f>
        <v/>
      </c>
      <c r="N1546" s="13" t="n"/>
      <c r="O1546" s="13" t="n"/>
      <c r="P1546" s="17">
        <f>IF($B1546="","",IF($F1546="※类别不在基础资料里","※费用类别不在基础资料里",IF(AND(N($J1546)=0,N($K1546)=0),"※这行没填金额",IF(AND(N($J1546)&gt;0,N($K1546)&gt;0),"※收入和支出不能同一行都填",IF(AND($D1546="收入",N($J1546)=0),"※收入行要填收入金额",IF(AND($D1546="支出",N($K1546)=0),"※支出行要填支出金额",IF(AND($C1546&lt;&gt;"",ISNA(MATCH($C1546,账户表,0))),"※账户不在基础资料里",IF(AND($G1546&lt;&gt;"",ISNA(MATCH($G1546,项目名表,0))),"※项目不在项目台账里",IF(AND(LEFT($F1546,3)="成本-",$G1546=""),"※成本类支出没填项目",IF(AND(LEFT($F1546,3)="成本-",$H1546&lt;&gt;"",N($K1546)&gt;0,COUNTIFS(采购单!$B:$B,$B1546,采购单!$C:$C,$H1546,采购单!$L:$L,$K1546)&gt;0),"※这笔可能和采购单重复了",""))))))))))</f>
        <v/>
      </c>
    </row>
    <row r="1547">
      <c r="A1547" s="17">
        <f>IF($B1547="","",ROW()-3)</f>
        <v/>
      </c>
      <c r="B1547" s="18" t="n"/>
      <c r="C1547" s="13" t="n"/>
      <c r="D1547" s="13" t="n"/>
      <c r="E1547" s="13" t="n"/>
      <c r="F1547" s="17">
        <f>IF($E1547="","",IFERROR(VLOOKUP($E1547,类别归属,2,0),"※类别不在基础资料里"))</f>
        <v/>
      </c>
      <c r="G1547" s="13" t="n"/>
      <c r="H1547" s="13" t="n"/>
      <c r="I1547" s="13" t="n"/>
      <c r="J1547" s="14" t="n"/>
      <c r="K1547" s="14" t="n"/>
      <c r="L1547" s="19">
        <f>IF($C1547="","",ROUND(IFERROR(VLOOKUP($C1547,账户期初,2,0),0)+SUMIFS($J$4:J1547,$C$4:C1547,$C1547)-SUMIFS($K$4:K1547,$C$4:C1547,$C1547),2))</f>
        <v/>
      </c>
      <c r="M1547" s="19">
        <f>IF($C1547="","",ROUND(SUM(基础资料!$B$4:$B$13)+SUM($J$4:J1547)-SUM($K$4:K1547),2))</f>
        <v/>
      </c>
      <c r="N1547" s="13" t="n"/>
      <c r="O1547" s="13" t="n"/>
      <c r="P1547" s="17">
        <f>IF($B1547="","",IF($F1547="※类别不在基础资料里","※费用类别不在基础资料里",IF(AND(N($J1547)=0,N($K1547)=0),"※这行没填金额",IF(AND(N($J1547)&gt;0,N($K1547)&gt;0),"※收入和支出不能同一行都填",IF(AND($D1547="收入",N($J1547)=0),"※收入行要填收入金额",IF(AND($D1547="支出",N($K1547)=0),"※支出行要填支出金额",IF(AND($C1547&lt;&gt;"",ISNA(MATCH($C1547,账户表,0))),"※账户不在基础资料里",IF(AND($G1547&lt;&gt;"",ISNA(MATCH($G1547,项目名表,0))),"※项目不在项目台账里",IF(AND(LEFT($F1547,3)="成本-",$G1547=""),"※成本类支出没填项目",IF(AND(LEFT($F1547,3)="成本-",$H1547&lt;&gt;"",N($K1547)&gt;0,COUNTIFS(采购单!$B:$B,$B1547,采购单!$C:$C,$H1547,采购单!$L:$L,$K1547)&gt;0),"※这笔可能和采购单重复了",""))))))))))</f>
        <v/>
      </c>
    </row>
    <row r="1548">
      <c r="A1548" s="17">
        <f>IF($B1548="","",ROW()-3)</f>
        <v/>
      </c>
      <c r="B1548" s="18" t="n"/>
      <c r="C1548" s="13" t="n"/>
      <c r="D1548" s="13" t="n"/>
      <c r="E1548" s="13" t="n"/>
      <c r="F1548" s="17">
        <f>IF($E1548="","",IFERROR(VLOOKUP($E1548,类别归属,2,0),"※类别不在基础资料里"))</f>
        <v/>
      </c>
      <c r="G1548" s="13" t="n"/>
      <c r="H1548" s="13" t="n"/>
      <c r="I1548" s="13" t="n"/>
      <c r="J1548" s="14" t="n"/>
      <c r="K1548" s="14" t="n"/>
      <c r="L1548" s="19">
        <f>IF($C1548="","",ROUND(IFERROR(VLOOKUP($C1548,账户期初,2,0),0)+SUMIFS($J$4:J1548,$C$4:C1548,$C1548)-SUMIFS($K$4:K1548,$C$4:C1548,$C1548),2))</f>
        <v/>
      </c>
      <c r="M1548" s="19">
        <f>IF($C1548="","",ROUND(SUM(基础资料!$B$4:$B$13)+SUM($J$4:J1548)-SUM($K$4:K1548),2))</f>
        <v/>
      </c>
      <c r="N1548" s="13" t="n"/>
      <c r="O1548" s="13" t="n"/>
      <c r="P1548" s="17">
        <f>IF($B1548="","",IF($F1548="※类别不在基础资料里","※费用类别不在基础资料里",IF(AND(N($J1548)=0,N($K1548)=0),"※这行没填金额",IF(AND(N($J1548)&gt;0,N($K1548)&gt;0),"※收入和支出不能同一行都填",IF(AND($D1548="收入",N($J1548)=0),"※收入行要填收入金额",IF(AND($D1548="支出",N($K1548)=0),"※支出行要填支出金额",IF(AND($C1548&lt;&gt;"",ISNA(MATCH($C1548,账户表,0))),"※账户不在基础资料里",IF(AND($G1548&lt;&gt;"",ISNA(MATCH($G1548,项目名表,0))),"※项目不在项目台账里",IF(AND(LEFT($F1548,3)="成本-",$G1548=""),"※成本类支出没填项目",IF(AND(LEFT($F1548,3)="成本-",$H1548&lt;&gt;"",N($K1548)&gt;0,COUNTIFS(采购单!$B:$B,$B1548,采购单!$C:$C,$H1548,采购单!$L:$L,$K1548)&gt;0),"※这笔可能和采购单重复了",""))))))))))</f>
        <v/>
      </c>
    </row>
    <row r="1549">
      <c r="A1549" s="17">
        <f>IF($B1549="","",ROW()-3)</f>
        <v/>
      </c>
      <c r="B1549" s="18" t="n"/>
      <c r="C1549" s="13" t="n"/>
      <c r="D1549" s="13" t="n"/>
      <c r="E1549" s="13" t="n"/>
      <c r="F1549" s="17">
        <f>IF($E1549="","",IFERROR(VLOOKUP($E1549,类别归属,2,0),"※类别不在基础资料里"))</f>
        <v/>
      </c>
      <c r="G1549" s="13" t="n"/>
      <c r="H1549" s="13" t="n"/>
      <c r="I1549" s="13" t="n"/>
      <c r="J1549" s="14" t="n"/>
      <c r="K1549" s="14" t="n"/>
      <c r="L1549" s="19">
        <f>IF($C1549="","",ROUND(IFERROR(VLOOKUP($C1549,账户期初,2,0),0)+SUMIFS($J$4:J1549,$C$4:C1549,$C1549)-SUMIFS($K$4:K1549,$C$4:C1549,$C1549),2))</f>
        <v/>
      </c>
      <c r="M1549" s="19">
        <f>IF($C1549="","",ROUND(SUM(基础资料!$B$4:$B$13)+SUM($J$4:J1549)-SUM($K$4:K1549),2))</f>
        <v/>
      </c>
      <c r="N1549" s="13" t="n"/>
      <c r="O1549" s="13" t="n"/>
      <c r="P1549" s="17">
        <f>IF($B1549="","",IF($F1549="※类别不在基础资料里","※费用类别不在基础资料里",IF(AND(N($J1549)=0,N($K1549)=0),"※这行没填金额",IF(AND(N($J1549)&gt;0,N($K1549)&gt;0),"※收入和支出不能同一行都填",IF(AND($D1549="收入",N($J1549)=0),"※收入行要填收入金额",IF(AND($D1549="支出",N($K1549)=0),"※支出行要填支出金额",IF(AND($C1549&lt;&gt;"",ISNA(MATCH($C1549,账户表,0))),"※账户不在基础资料里",IF(AND($G1549&lt;&gt;"",ISNA(MATCH($G1549,项目名表,0))),"※项目不在项目台账里",IF(AND(LEFT($F1549,3)="成本-",$G1549=""),"※成本类支出没填项目",IF(AND(LEFT($F1549,3)="成本-",$H1549&lt;&gt;"",N($K1549)&gt;0,COUNTIFS(采购单!$B:$B,$B1549,采购单!$C:$C,$H1549,采购单!$L:$L,$K1549)&gt;0),"※这笔可能和采购单重复了",""))))))))))</f>
        <v/>
      </c>
    </row>
    <row r="1550">
      <c r="A1550" s="17">
        <f>IF($B1550="","",ROW()-3)</f>
        <v/>
      </c>
      <c r="B1550" s="18" t="n"/>
      <c r="C1550" s="13" t="n"/>
      <c r="D1550" s="13" t="n"/>
      <c r="E1550" s="13" t="n"/>
      <c r="F1550" s="17">
        <f>IF($E1550="","",IFERROR(VLOOKUP($E1550,类别归属,2,0),"※类别不在基础资料里"))</f>
        <v/>
      </c>
      <c r="G1550" s="13" t="n"/>
      <c r="H1550" s="13" t="n"/>
      <c r="I1550" s="13" t="n"/>
      <c r="J1550" s="14" t="n"/>
      <c r="K1550" s="14" t="n"/>
      <c r="L1550" s="19">
        <f>IF($C1550="","",ROUND(IFERROR(VLOOKUP($C1550,账户期初,2,0),0)+SUMIFS($J$4:J1550,$C$4:C1550,$C1550)-SUMIFS($K$4:K1550,$C$4:C1550,$C1550),2))</f>
        <v/>
      </c>
      <c r="M1550" s="19">
        <f>IF($C1550="","",ROUND(SUM(基础资料!$B$4:$B$13)+SUM($J$4:J1550)-SUM($K$4:K1550),2))</f>
        <v/>
      </c>
      <c r="N1550" s="13" t="n"/>
      <c r="O1550" s="13" t="n"/>
      <c r="P1550" s="17">
        <f>IF($B1550="","",IF($F1550="※类别不在基础资料里","※费用类别不在基础资料里",IF(AND(N($J1550)=0,N($K1550)=0),"※这行没填金额",IF(AND(N($J1550)&gt;0,N($K1550)&gt;0),"※收入和支出不能同一行都填",IF(AND($D1550="收入",N($J1550)=0),"※收入行要填收入金额",IF(AND($D1550="支出",N($K1550)=0),"※支出行要填支出金额",IF(AND($C1550&lt;&gt;"",ISNA(MATCH($C1550,账户表,0))),"※账户不在基础资料里",IF(AND($G1550&lt;&gt;"",ISNA(MATCH($G1550,项目名表,0))),"※项目不在项目台账里",IF(AND(LEFT($F1550,3)="成本-",$G1550=""),"※成本类支出没填项目",IF(AND(LEFT($F1550,3)="成本-",$H1550&lt;&gt;"",N($K1550)&gt;0,COUNTIFS(采购单!$B:$B,$B1550,采购单!$C:$C,$H1550,采购单!$L:$L,$K1550)&gt;0),"※这笔可能和采购单重复了",""))))))))))</f>
        <v/>
      </c>
    </row>
    <row r="1551">
      <c r="A1551" s="17">
        <f>IF($B1551="","",ROW()-3)</f>
        <v/>
      </c>
      <c r="B1551" s="18" t="n"/>
      <c r="C1551" s="13" t="n"/>
      <c r="D1551" s="13" t="n"/>
      <c r="E1551" s="13" t="n"/>
      <c r="F1551" s="17">
        <f>IF($E1551="","",IFERROR(VLOOKUP($E1551,类别归属,2,0),"※类别不在基础资料里"))</f>
        <v/>
      </c>
      <c r="G1551" s="13" t="n"/>
      <c r="H1551" s="13" t="n"/>
      <c r="I1551" s="13" t="n"/>
      <c r="J1551" s="14" t="n"/>
      <c r="K1551" s="14" t="n"/>
      <c r="L1551" s="19">
        <f>IF($C1551="","",ROUND(IFERROR(VLOOKUP($C1551,账户期初,2,0),0)+SUMIFS($J$4:J1551,$C$4:C1551,$C1551)-SUMIFS($K$4:K1551,$C$4:C1551,$C1551),2))</f>
        <v/>
      </c>
      <c r="M1551" s="19">
        <f>IF($C1551="","",ROUND(SUM(基础资料!$B$4:$B$13)+SUM($J$4:J1551)-SUM($K$4:K1551),2))</f>
        <v/>
      </c>
      <c r="N1551" s="13" t="n"/>
      <c r="O1551" s="13" t="n"/>
      <c r="P1551" s="17">
        <f>IF($B1551="","",IF($F1551="※类别不在基础资料里","※费用类别不在基础资料里",IF(AND(N($J1551)=0,N($K1551)=0),"※这行没填金额",IF(AND(N($J1551)&gt;0,N($K1551)&gt;0),"※收入和支出不能同一行都填",IF(AND($D1551="收入",N($J1551)=0),"※收入行要填收入金额",IF(AND($D1551="支出",N($K1551)=0),"※支出行要填支出金额",IF(AND($C1551&lt;&gt;"",ISNA(MATCH($C1551,账户表,0))),"※账户不在基础资料里",IF(AND($G1551&lt;&gt;"",ISNA(MATCH($G1551,项目名表,0))),"※项目不在项目台账里",IF(AND(LEFT($F1551,3)="成本-",$G1551=""),"※成本类支出没填项目",IF(AND(LEFT($F1551,3)="成本-",$H1551&lt;&gt;"",N($K1551)&gt;0,COUNTIFS(采购单!$B:$B,$B1551,采购单!$C:$C,$H1551,采购单!$L:$L,$K1551)&gt;0),"※这笔可能和采购单重复了",""))))))))))</f>
        <v/>
      </c>
    </row>
    <row r="1552">
      <c r="A1552" s="17">
        <f>IF($B1552="","",ROW()-3)</f>
        <v/>
      </c>
      <c r="B1552" s="18" t="n"/>
      <c r="C1552" s="13" t="n"/>
      <c r="D1552" s="13" t="n"/>
      <c r="E1552" s="13" t="n"/>
      <c r="F1552" s="17">
        <f>IF($E1552="","",IFERROR(VLOOKUP($E1552,类别归属,2,0),"※类别不在基础资料里"))</f>
        <v/>
      </c>
      <c r="G1552" s="13" t="n"/>
      <c r="H1552" s="13" t="n"/>
      <c r="I1552" s="13" t="n"/>
      <c r="J1552" s="14" t="n"/>
      <c r="K1552" s="14" t="n"/>
      <c r="L1552" s="19">
        <f>IF($C1552="","",ROUND(IFERROR(VLOOKUP($C1552,账户期初,2,0),0)+SUMIFS($J$4:J1552,$C$4:C1552,$C1552)-SUMIFS($K$4:K1552,$C$4:C1552,$C1552),2))</f>
        <v/>
      </c>
      <c r="M1552" s="19">
        <f>IF($C1552="","",ROUND(SUM(基础资料!$B$4:$B$13)+SUM($J$4:J1552)-SUM($K$4:K1552),2))</f>
        <v/>
      </c>
      <c r="N1552" s="13" t="n"/>
      <c r="O1552" s="13" t="n"/>
      <c r="P1552" s="17">
        <f>IF($B1552="","",IF($F1552="※类别不在基础资料里","※费用类别不在基础资料里",IF(AND(N($J1552)=0,N($K1552)=0),"※这行没填金额",IF(AND(N($J1552)&gt;0,N($K1552)&gt;0),"※收入和支出不能同一行都填",IF(AND($D1552="收入",N($J1552)=0),"※收入行要填收入金额",IF(AND($D1552="支出",N($K1552)=0),"※支出行要填支出金额",IF(AND($C1552&lt;&gt;"",ISNA(MATCH($C1552,账户表,0))),"※账户不在基础资料里",IF(AND($G1552&lt;&gt;"",ISNA(MATCH($G1552,项目名表,0))),"※项目不在项目台账里",IF(AND(LEFT($F1552,3)="成本-",$G1552=""),"※成本类支出没填项目",IF(AND(LEFT($F1552,3)="成本-",$H1552&lt;&gt;"",N($K1552)&gt;0,COUNTIFS(采购单!$B:$B,$B1552,采购单!$C:$C,$H1552,采购单!$L:$L,$K1552)&gt;0),"※这笔可能和采购单重复了",""))))))))))</f>
        <v/>
      </c>
    </row>
    <row r="1553">
      <c r="A1553" s="17">
        <f>IF($B1553="","",ROW()-3)</f>
        <v/>
      </c>
      <c r="B1553" s="18" t="n"/>
      <c r="C1553" s="13" t="n"/>
      <c r="D1553" s="13" t="n"/>
      <c r="E1553" s="13" t="n"/>
      <c r="F1553" s="17">
        <f>IF($E1553="","",IFERROR(VLOOKUP($E1553,类别归属,2,0),"※类别不在基础资料里"))</f>
        <v/>
      </c>
      <c r="G1553" s="13" t="n"/>
      <c r="H1553" s="13" t="n"/>
      <c r="I1553" s="13" t="n"/>
      <c r="J1553" s="14" t="n"/>
      <c r="K1553" s="14" t="n"/>
      <c r="L1553" s="19">
        <f>IF($C1553="","",ROUND(IFERROR(VLOOKUP($C1553,账户期初,2,0),0)+SUMIFS($J$4:J1553,$C$4:C1553,$C1553)-SUMIFS($K$4:K1553,$C$4:C1553,$C1553),2))</f>
        <v/>
      </c>
      <c r="M1553" s="19">
        <f>IF($C1553="","",ROUND(SUM(基础资料!$B$4:$B$13)+SUM($J$4:J1553)-SUM($K$4:K1553),2))</f>
        <v/>
      </c>
      <c r="N1553" s="13" t="n"/>
      <c r="O1553" s="13" t="n"/>
      <c r="P1553" s="17">
        <f>IF($B1553="","",IF($F1553="※类别不在基础资料里","※费用类别不在基础资料里",IF(AND(N($J1553)=0,N($K1553)=0),"※这行没填金额",IF(AND(N($J1553)&gt;0,N($K1553)&gt;0),"※收入和支出不能同一行都填",IF(AND($D1553="收入",N($J1553)=0),"※收入行要填收入金额",IF(AND($D1553="支出",N($K1553)=0),"※支出行要填支出金额",IF(AND($C1553&lt;&gt;"",ISNA(MATCH($C1553,账户表,0))),"※账户不在基础资料里",IF(AND($G1553&lt;&gt;"",ISNA(MATCH($G1553,项目名表,0))),"※项目不在项目台账里",IF(AND(LEFT($F1553,3)="成本-",$G1553=""),"※成本类支出没填项目",IF(AND(LEFT($F1553,3)="成本-",$H1553&lt;&gt;"",N($K1553)&gt;0,COUNTIFS(采购单!$B:$B,$B1553,采购单!$C:$C,$H1553,采购单!$L:$L,$K1553)&gt;0),"※这笔可能和采购单重复了",""))))))))))</f>
        <v/>
      </c>
    </row>
    <row r="1554">
      <c r="A1554" s="17">
        <f>IF($B1554="","",ROW()-3)</f>
        <v/>
      </c>
      <c r="B1554" s="18" t="n"/>
      <c r="C1554" s="13" t="n"/>
      <c r="D1554" s="13" t="n"/>
      <c r="E1554" s="13" t="n"/>
      <c r="F1554" s="17">
        <f>IF($E1554="","",IFERROR(VLOOKUP($E1554,类别归属,2,0),"※类别不在基础资料里"))</f>
        <v/>
      </c>
      <c r="G1554" s="13" t="n"/>
      <c r="H1554" s="13" t="n"/>
      <c r="I1554" s="13" t="n"/>
      <c r="J1554" s="14" t="n"/>
      <c r="K1554" s="14" t="n"/>
      <c r="L1554" s="19">
        <f>IF($C1554="","",ROUND(IFERROR(VLOOKUP($C1554,账户期初,2,0),0)+SUMIFS($J$4:J1554,$C$4:C1554,$C1554)-SUMIFS($K$4:K1554,$C$4:C1554,$C1554),2))</f>
        <v/>
      </c>
      <c r="M1554" s="19">
        <f>IF($C1554="","",ROUND(SUM(基础资料!$B$4:$B$13)+SUM($J$4:J1554)-SUM($K$4:K1554),2))</f>
        <v/>
      </c>
      <c r="N1554" s="13" t="n"/>
      <c r="O1554" s="13" t="n"/>
      <c r="P1554" s="17">
        <f>IF($B1554="","",IF($F1554="※类别不在基础资料里","※费用类别不在基础资料里",IF(AND(N($J1554)=0,N($K1554)=0),"※这行没填金额",IF(AND(N($J1554)&gt;0,N($K1554)&gt;0),"※收入和支出不能同一行都填",IF(AND($D1554="收入",N($J1554)=0),"※收入行要填收入金额",IF(AND($D1554="支出",N($K1554)=0),"※支出行要填支出金额",IF(AND($C1554&lt;&gt;"",ISNA(MATCH($C1554,账户表,0))),"※账户不在基础资料里",IF(AND($G1554&lt;&gt;"",ISNA(MATCH($G1554,项目名表,0))),"※项目不在项目台账里",IF(AND(LEFT($F1554,3)="成本-",$G1554=""),"※成本类支出没填项目",IF(AND(LEFT($F1554,3)="成本-",$H1554&lt;&gt;"",N($K1554)&gt;0,COUNTIFS(采购单!$B:$B,$B1554,采购单!$C:$C,$H1554,采购单!$L:$L,$K1554)&gt;0),"※这笔可能和采购单重复了",""))))))))))</f>
        <v/>
      </c>
    </row>
    <row r="1555">
      <c r="A1555" s="17">
        <f>IF($B1555="","",ROW()-3)</f>
        <v/>
      </c>
      <c r="B1555" s="18" t="n"/>
      <c r="C1555" s="13" t="n"/>
      <c r="D1555" s="13" t="n"/>
      <c r="E1555" s="13" t="n"/>
      <c r="F1555" s="17">
        <f>IF($E1555="","",IFERROR(VLOOKUP($E1555,类别归属,2,0),"※类别不在基础资料里"))</f>
        <v/>
      </c>
      <c r="G1555" s="13" t="n"/>
      <c r="H1555" s="13" t="n"/>
      <c r="I1555" s="13" t="n"/>
      <c r="J1555" s="14" t="n"/>
      <c r="K1555" s="14" t="n"/>
      <c r="L1555" s="19">
        <f>IF($C1555="","",ROUND(IFERROR(VLOOKUP($C1555,账户期初,2,0),0)+SUMIFS($J$4:J1555,$C$4:C1555,$C1555)-SUMIFS($K$4:K1555,$C$4:C1555,$C1555),2))</f>
        <v/>
      </c>
      <c r="M1555" s="19">
        <f>IF($C1555="","",ROUND(SUM(基础资料!$B$4:$B$13)+SUM($J$4:J1555)-SUM($K$4:K1555),2))</f>
        <v/>
      </c>
      <c r="N1555" s="13" t="n"/>
      <c r="O1555" s="13" t="n"/>
      <c r="P1555" s="17">
        <f>IF($B1555="","",IF($F1555="※类别不在基础资料里","※费用类别不在基础资料里",IF(AND(N($J1555)=0,N($K1555)=0),"※这行没填金额",IF(AND(N($J1555)&gt;0,N($K1555)&gt;0),"※收入和支出不能同一行都填",IF(AND($D1555="收入",N($J1555)=0),"※收入行要填收入金额",IF(AND($D1555="支出",N($K1555)=0),"※支出行要填支出金额",IF(AND($C1555&lt;&gt;"",ISNA(MATCH($C1555,账户表,0))),"※账户不在基础资料里",IF(AND($G1555&lt;&gt;"",ISNA(MATCH($G1555,项目名表,0))),"※项目不在项目台账里",IF(AND(LEFT($F1555,3)="成本-",$G1555=""),"※成本类支出没填项目",IF(AND(LEFT($F1555,3)="成本-",$H1555&lt;&gt;"",N($K1555)&gt;0,COUNTIFS(采购单!$B:$B,$B1555,采购单!$C:$C,$H1555,采购单!$L:$L,$K1555)&gt;0),"※这笔可能和采购单重复了",""))))))))))</f>
        <v/>
      </c>
    </row>
    <row r="1556">
      <c r="A1556" s="17">
        <f>IF($B1556="","",ROW()-3)</f>
        <v/>
      </c>
      <c r="B1556" s="18" t="n"/>
      <c r="C1556" s="13" t="n"/>
      <c r="D1556" s="13" t="n"/>
      <c r="E1556" s="13" t="n"/>
      <c r="F1556" s="17">
        <f>IF($E1556="","",IFERROR(VLOOKUP($E1556,类别归属,2,0),"※类别不在基础资料里"))</f>
        <v/>
      </c>
      <c r="G1556" s="13" t="n"/>
      <c r="H1556" s="13" t="n"/>
      <c r="I1556" s="13" t="n"/>
      <c r="J1556" s="14" t="n"/>
      <c r="K1556" s="14" t="n"/>
      <c r="L1556" s="19">
        <f>IF($C1556="","",ROUND(IFERROR(VLOOKUP($C1556,账户期初,2,0),0)+SUMIFS($J$4:J1556,$C$4:C1556,$C1556)-SUMIFS($K$4:K1556,$C$4:C1556,$C1556),2))</f>
        <v/>
      </c>
      <c r="M1556" s="19">
        <f>IF($C1556="","",ROUND(SUM(基础资料!$B$4:$B$13)+SUM($J$4:J1556)-SUM($K$4:K1556),2))</f>
        <v/>
      </c>
      <c r="N1556" s="13" t="n"/>
      <c r="O1556" s="13" t="n"/>
      <c r="P1556" s="17">
        <f>IF($B1556="","",IF($F1556="※类别不在基础资料里","※费用类别不在基础资料里",IF(AND(N($J1556)=0,N($K1556)=0),"※这行没填金额",IF(AND(N($J1556)&gt;0,N($K1556)&gt;0),"※收入和支出不能同一行都填",IF(AND($D1556="收入",N($J1556)=0),"※收入行要填收入金额",IF(AND($D1556="支出",N($K1556)=0),"※支出行要填支出金额",IF(AND($C1556&lt;&gt;"",ISNA(MATCH($C1556,账户表,0))),"※账户不在基础资料里",IF(AND($G1556&lt;&gt;"",ISNA(MATCH($G1556,项目名表,0))),"※项目不在项目台账里",IF(AND(LEFT($F1556,3)="成本-",$G1556=""),"※成本类支出没填项目",IF(AND(LEFT($F1556,3)="成本-",$H1556&lt;&gt;"",N($K1556)&gt;0,COUNTIFS(采购单!$B:$B,$B1556,采购单!$C:$C,$H1556,采购单!$L:$L,$K1556)&gt;0),"※这笔可能和采购单重复了",""))))))))))</f>
        <v/>
      </c>
    </row>
    <row r="1557">
      <c r="A1557" s="17">
        <f>IF($B1557="","",ROW()-3)</f>
        <v/>
      </c>
      <c r="B1557" s="18" t="n"/>
      <c r="C1557" s="13" t="n"/>
      <c r="D1557" s="13" t="n"/>
      <c r="E1557" s="13" t="n"/>
      <c r="F1557" s="17">
        <f>IF($E1557="","",IFERROR(VLOOKUP($E1557,类别归属,2,0),"※类别不在基础资料里"))</f>
        <v/>
      </c>
      <c r="G1557" s="13" t="n"/>
      <c r="H1557" s="13" t="n"/>
      <c r="I1557" s="13" t="n"/>
      <c r="J1557" s="14" t="n"/>
      <c r="K1557" s="14" t="n"/>
      <c r="L1557" s="19">
        <f>IF($C1557="","",ROUND(IFERROR(VLOOKUP($C1557,账户期初,2,0),0)+SUMIFS($J$4:J1557,$C$4:C1557,$C1557)-SUMIFS($K$4:K1557,$C$4:C1557,$C1557),2))</f>
        <v/>
      </c>
      <c r="M1557" s="19">
        <f>IF($C1557="","",ROUND(SUM(基础资料!$B$4:$B$13)+SUM($J$4:J1557)-SUM($K$4:K1557),2))</f>
        <v/>
      </c>
      <c r="N1557" s="13" t="n"/>
      <c r="O1557" s="13" t="n"/>
      <c r="P1557" s="17">
        <f>IF($B1557="","",IF($F1557="※类别不在基础资料里","※费用类别不在基础资料里",IF(AND(N($J1557)=0,N($K1557)=0),"※这行没填金额",IF(AND(N($J1557)&gt;0,N($K1557)&gt;0),"※收入和支出不能同一行都填",IF(AND($D1557="收入",N($J1557)=0),"※收入行要填收入金额",IF(AND($D1557="支出",N($K1557)=0),"※支出行要填支出金额",IF(AND($C1557&lt;&gt;"",ISNA(MATCH($C1557,账户表,0))),"※账户不在基础资料里",IF(AND($G1557&lt;&gt;"",ISNA(MATCH($G1557,项目名表,0))),"※项目不在项目台账里",IF(AND(LEFT($F1557,3)="成本-",$G1557=""),"※成本类支出没填项目",IF(AND(LEFT($F1557,3)="成本-",$H1557&lt;&gt;"",N($K1557)&gt;0,COUNTIFS(采购单!$B:$B,$B1557,采购单!$C:$C,$H1557,采购单!$L:$L,$K1557)&gt;0),"※这笔可能和采购单重复了",""))))))))))</f>
        <v/>
      </c>
    </row>
    <row r="1558">
      <c r="A1558" s="17">
        <f>IF($B1558="","",ROW()-3)</f>
        <v/>
      </c>
      <c r="B1558" s="18" t="n"/>
      <c r="C1558" s="13" t="n"/>
      <c r="D1558" s="13" t="n"/>
      <c r="E1558" s="13" t="n"/>
      <c r="F1558" s="17">
        <f>IF($E1558="","",IFERROR(VLOOKUP($E1558,类别归属,2,0),"※类别不在基础资料里"))</f>
        <v/>
      </c>
      <c r="G1558" s="13" t="n"/>
      <c r="H1558" s="13" t="n"/>
      <c r="I1558" s="13" t="n"/>
      <c r="J1558" s="14" t="n"/>
      <c r="K1558" s="14" t="n"/>
      <c r="L1558" s="19">
        <f>IF($C1558="","",ROUND(IFERROR(VLOOKUP($C1558,账户期初,2,0),0)+SUMIFS($J$4:J1558,$C$4:C1558,$C1558)-SUMIFS($K$4:K1558,$C$4:C1558,$C1558),2))</f>
        <v/>
      </c>
      <c r="M1558" s="19">
        <f>IF($C1558="","",ROUND(SUM(基础资料!$B$4:$B$13)+SUM($J$4:J1558)-SUM($K$4:K1558),2))</f>
        <v/>
      </c>
      <c r="N1558" s="13" t="n"/>
      <c r="O1558" s="13" t="n"/>
      <c r="P1558" s="17">
        <f>IF($B1558="","",IF($F1558="※类别不在基础资料里","※费用类别不在基础资料里",IF(AND(N($J1558)=0,N($K1558)=0),"※这行没填金额",IF(AND(N($J1558)&gt;0,N($K1558)&gt;0),"※收入和支出不能同一行都填",IF(AND($D1558="收入",N($J1558)=0),"※收入行要填收入金额",IF(AND($D1558="支出",N($K1558)=0),"※支出行要填支出金额",IF(AND($C1558&lt;&gt;"",ISNA(MATCH($C1558,账户表,0))),"※账户不在基础资料里",IF(AND($G1558&lt;&gt;"",ISNA(MATCH($G1558,项目名表,0))),"※项目不在项目台账里",IF(AND(LEFT($F1558,3)="成本-",$G1558=""),"※成本类支出没填项目",IF(AND(LEFT($F1558,3)="成本-",$H1558&lt;&gt;"",N($K1558)&gt;0,COUNTIFS(采购单!$B:$B,$B1558,采购单!$C:$C,$H1558,采购单!$L:$L,$K1558)&gt;0),"※这笔可能和采购单重复了",""))))))))))</f>
        <v/>
      </c>
    </row>
    <row r="1559">
      <c r="A1559" s="17">
        <f>IF($B1559="","",ROW()-3)</f>
        <v/>
      </c>
      <c r="B1559" s="18" t="n"/>
      <c r="C1559" s="13" t="n"/>
      <c r="D1559" s="13" t="n"/>
      <c r="E1559" s="13" t="n"/>
      <c r="F1559" s="17">
        <f>IF($E1559="","",IFERROR(VLOOKUP($E1559,类别归属,2,0),"※类别不在基础资料里"))</f>
        <v/>
      </c>
      <c r="G1559" s="13" t="n"/>
      <c r="H1559" s="13" t="n"/>
      <c r="I1559" s="13" t="n"/>
      <c r="J1559" s="14" t="n"/>
      <c r="K1559" s="14" t="n"/>
      <c r="L1559" s="19">
        <f>IF($C1559="","",ROUND(IFERROR(VLOOKUP($C1559,账户期初,2,0),0)+SUMIFS($J$4:J1559,$C$4:C1559,$C1559)-SUMIFS($K$4:K1559,$C$4:C1559,$C1559),2))</f>
        <v/>
      </c>
      <c r="M1559" s="19">
        <f>IF($C1559="","",ROUND(SUM(基础资料!$B$4:$B$13)+SUM($J$4:J1559)-SUM($K$4:K1559),2))</f>
        <v/>
      </c>
      <c r="N1559" s="13" t="n"/>
      <c r="O1559" s="13" t="n"/>
      <c r="P1559" s="17">
        <f>IF($B1559="","",IF($F1559="※类别不在基础资料里","※费用类别不在基础资料里",IF(AND(N($J1559)=0,N($K1559)=0),"※这行没填金额",IF(AND(N($J1559)&gt;0,N($K1559)&gt;0),"※收入和支出不能同一行都填",IF(AND($D1559="收入",N($J1559)=0),"※收入行要填收入金额",IF(AND($D1559="支出",N($K1559)=0),"※支出行要填支出金额",IF(AND($C1559&lt;&gt;"",ISNA(MATCH($C1559,账户表,0))),"※账户不在基础资料里",IF(AND($G1559&lt;&gt;"",ISNA(MATCH($G1559,项目名表,0))),"※项目不在项目台账里",IF(AND(LEFT($F1559,3)="成本-",$G1559=""),"※成本类支出没填项目",IF(AND(LEFT($F1559,3)="成本-",$H1559&lt;&gt;"",N($K1559)&gt;0,COUNTIFS(采购单!$B:$B,$B1559,采购单!$C:$C,$H1559,采购单!$L:$L,$K1559)&gt;0),"※这笔可能和采购单重复了",""))))))))))</f>
        <v/>
      </c>
    </row>
    <row r="1560">
      <c r="A1560" s="17">
        <f>IF($B1560="","",ROW()-3)</f>
        <v/>
      </c>
      <c r="B1560" s="18" t="n"/>
      <c r="C1560" s="13" t="n"/>
      <c r="D1560" s="13" t="n"/>
      <c r="E1560" s="13" t="n"/>
      <c r="F1560" s="17">
        <f>IF($E1560="","",IFERROR(VLOOKUP($E1560,类别归属,2,0),"※类别不在基础资料里"))</f>
        <v/>
      </c>
      <c r="G1560" s="13" t="n"/>
      <c r="H1560" s="13" t="n"/>
      <c r="I1560" s="13" t="n"/>
      <c r="J1560" s="14" t="n"/>
      <c r="K1560" s="14" t="n"/>
      <c r="L1560" s="19">
        <f>IF($C1560="","",ROUND(IFERROR(VLOOKUP($C1560,账户期初,2,0),0)+SUMIFS($J$4:J1560,$C$4:C1560,$C1560)-SUMIFS($K$4:K1560,$C$4:C1560,$C1560),2))</f>
        <v/>
      </c>
      <c r="M1560" s="19">
        <f>IF($C1560="","",ROUND(SUM(基础资料!$B$4:$B$13)+SUM($J$4:J1560)-SUM($K$4:K1560),2))</f>
        <v/>
      </c>
      <c r="N1560" s="13" t="n"/>
      <c r="O1560" s="13" t="n"/>
      <c r="P1560" s="17">
        <f>IF($B1560="","",IF($F1560="※类别不在基础资料里","※费用类别不在基础资料里",IF(AND(N($J1560)=0,N($K1560)=0),"※这行没填金额",IF(AND(N($J1560)&gt;0,N($K1560)&gt;0),"※收入和支出不能同一行都填",IF(AND($D1560="收入",N($J1560)=0),"※收入行要填收入金额",IF(AND($D1560="支出",N($K1560)=0),"※支出行要填支出金额",IF(AND($C1560&lt;&gt;"",ISNA(MATCH($C1560,账户表,0))),"※账户不在基础资料里",IF(AND($G1560&lt;&gt;"",ISNA(MATCH($G1560,项目名表,0))),"※项目不在项目台账里",IF(AND(LEFT($F1560,3)="成本-",$G1560=""),"※成本类支出没填项目",IF(AND(LEFT($F1560,3)="成本-",$H1560&lt;&gt;"",N($K1560)&gt;0,COUNTIFS(采购单!$B:$B,$B1560,采购单!$C:$C,$H1560,采购单!$L:$L,$K1560)&gt;0),"※这笔可能和采购单重复了",""))))))))))</f>
        <v/>
      </c>
    </row>
    <row r="1561">
      <c r="A1561" s="17">
        <f>IF($B1561="","",ROW()-3)</f>
        <v/>
      </c>
      <c r="B1561" s="18" t="n"/>
      <c r="C1561" s="13" t="n"/>
      <c r="D1561" s="13" t="n"/>
      <c r="E1561" s="13" t="n"/>
      <c r="F1561" s="17">
        <f>IF($E1561="","",IFERROR(VLOOKUP($E1561,类别归属,2,0),"※类别不在基础资料里"))</f>
        <v/>
      </c>
      <c r="G1561" s="13" t="n"/>
      <c r="H1561" s="13" t="n"/>
      <c r="I1561" s="13" t="n"/>
      <c r="J1561" s="14" t="n"/>
      <c r="K1561" s="14" t="n"/>
      <c r="L1561" s="19">
        <f>IF($C1561="","",ROUND(IFERROR(VLOOKUP($C1561,账户期初,2,0),0)+SUMIFS($J$4:J1561,$C$4:C1561,$C1561)-SUMIFS($K$4:K1561,$C$4:C1561,$C1561),2))</f>
        <v/>
      </c>
      <c r="M1561" s="19">
        <f>IF($C1561="","",ROUND(SUM(基础资料!$B$4:$B$13)+SUM($J$4:J1561)-SUM($K$4:K1561),2))</f>
        <v/>
      </c>
      <c r="N1561" s="13" t="n"/>
      <c r="O1561" s="13" t="n"/>
      <c r="P1561" s="17">
        <f>IF($B1561="","",IF($F1561="※类别不在基础资料里","※费用类别不在基础资料里",IF(AND(N($J1561)=0,N($K1561)=0),"※这行没填金额",IF(AND(N($J1561)&gt;0,N($K1561)&gt;0),"※收入和支出不能同一行都填",IF(AND($D1561="收入",N($J1561)=0),"※收入行要填收入金额",IF(AND($D1561="支出",N($K1561)=0),"※支出行要填支出金额",IF(AND($C1561&lt;&gt;"",ISNA(MATCH($C1561,账户表,0))),"※账户不在基础资料里",IF(AND($G1561&lt;&gt;"",ISNA(MATCH($G1561,项目名表,0))),"※项目不在项目台账里",IF(AND(LEFT($F1561,3)="成本-",$G1561=""),"※成本类支出没填项目",IF(AND(LEFT($F1561,3)="成本-",$H1561&lt;&gt;"",N($K1561)&gt;0,COUNTIFS(采购单!$B:$B,$B1561,采购单!$C:$C,$H1561,采购单!$L:$L,$K1561)&gt;0),"※这笔可能和采购单重复了",""))))))))))</f>
        <v/>
      </c>
    </row>
    <row r="1562">
      <c r="A1562" s="17">
        <f>IF($B1562="","",ROW()-3)</f>
        <v/>
      </c>
      <c r="B1562" s="18" t="n"/>
      <c r="C1562" s="13" t="n"/>
      <c r="D1562" s="13" t="n"/>
      <c r="E1562" s="13" t="n"/>
      <c r="F1562" s="17">
        <f>IF($E1562="","",IFERROR(VLOOKUP($E1562,类别归属,2,0),"※类别不在基础资料里"))</f>
        <v/>
      </c>
      <c r="G1562" s="13" t="n"/>
      <c r="H1562" s="13" t="n"/>
      <c r="I1562" s="13" t="n"/>
      <c r="J1562" s="14" t="n"/>
      <c r="K1562" s="14" t="n"/>
      <c r="L1562" s="19">
        <f>IF($C1562="","",ROUND(IFERROR(VLOOKUP($C1562,账户期初,2,0),0)+SUMIFS($J$4:J1562,$C$4:C1562,$C1562)-SUMIFS($K$4:K1562,$C$4:C1562,$C1562),2))</f>
        <v/>
      </c>
      <c r="M1562" s="19">
        <f>IF($C1562="","",ROUND(SUM(基础资料!$B$4:$B$13)+SUM($J$4:J1562)-SUM($K$4:K1562),2))</f>
        <v/>
      </c>
      <c r="N1562" s="13" t="n"/>
      <c r="O1562" s="13" t="n"/>
      <c r="P1562" s="17">
        <f>IF($B1562="","",IF($F1562="※类别不在基础资料里","※费用类别不在基础资料里",IF(AND(N($J1562)=0,N($K1562)=0),"※这行没填金额",IF(AND(N($J1562)&gt;0,N($K1562)&gt;0),"※收入和支出不能同一行都填",IF(AND($D1562="收入",N($J1562)=0),"※收入行要填收入金额",IF(AND($D1562="支出",N($K1562)=0),"※支出行要填支出金额",IF(AND($C1562&lt;&gt;"",ISNA(MATCH($C1562,账户表,0))),"※账户不在基础资料里",IF(AND($G1562&lt;&gt;"",ISNA(MATCH($G1562,项目名表,0))),"※项目不在项目台账里",IF(AND(LEFT($F1562,3)="成本-",$G1562=""),"※成本类支出没填项目",IF(AND(LEFT($F1562,3)="成本-",$H1562&lt;&gt;"",N($K1562)&gt;0,COUNTIFS(采购单!$B:$B,$B1562,采购单!$C:$C,$H1562,采购单!$L:$L,$K1562)&gt;0),"※这笔可能和采购单重复了",""))))))))))</f>
        <v/>
      </c>
    </row>
    <row r="1563">
      <c r="A1563" s="17">
        <f>IF($B1563="","",ROW()-3)</f>
        <v/>
      </c>
      <c r="B1563" s="18" t="n"/>
      <c r="C1563" s="13" t="n"/>
      <c r="D1563" s="13" t="n"/>
      <c r="E1563" s="13" t="n"/>
      <c r="F1563" s="17">
        <f>IF($E1563="","",IFERROR(VLOOKUP($E1563,类别归属,2,0),"※类别不在基础资料里"))</f>
        <v/>
      </c>
      <c r="G1563" s="13" t="n"/>
      <c r="H1563" s="13" t="n"/>
      <c r="I1563" s="13" t="n"/>
      <c r="J1563" s="14" t="n"/>
      <c r="K1563" s="14" t="n"/>
      <c r="L1563" s="19">
        <f>IF($C1563="","",ROUND(IFERROR(VLOOKUP($C1563,账户期初,2,0),0)+SUMIFS($J$4:J1563,$C$4:C1563,$C1563)-SUMIFS($K$4:K1563,$C$4:C1563,$C1563),2))</f>
        <v/>
      </c>
      <c r="M1563" s="19">
        <f>IF($C1563="","",ROUND(SUM(基础资料!$B$4:$B$13)+SUM($J$4:J1563)-SUM($K$4:K1563),2))</f>
        <v/>
      </c>
      <c r="N1563" s="13" t="n"/>
      <c r="O1563" s="13" t="n"/>
      <c r="P1563" s="17">
        <f>IF($B1563="","",IF($F1563="※类别不在基础资料里","※费用类别不在基础资料里",IF(AND(N($J1563)=0,N($K1563)=0),"※这行没填金额",IF(AND(N($J1563)&gt;0,N($K1563)&gt;0),"※收入和支出不能同一行都填",IF(AND($D1563="收入",N($J1563)=0),"※收入行要填收入金额",IF(AND($D1563="支出",N($K1563)=0),"※支出行要填支出金额",IF(AND($C1563&lt;&gt;"",ISNA(MATCH($C1563,账户表,0))),"※账户不在基础资料里",IF(AND($G1563&lt;&gt;"",ISNA(MATCH($G1563,项目名表,0))),"※项目不在项目台账里",IF(AND(LEFT($F1563,3)="成本-",$G1563=""),"※成本类支出没填项目",IF(AND(LEFT($F1563,3)="成本-",$H1563&lt;&gt;"",N($K1563)&gt;0,COUNTIFS(采购单!$B:$B,$B1563,采购单!$C:$C,$H1563,采购单!$L:$L,$K1563)&gt;0),"※这笔可能和采购单重复了",""))))))))))</f>
        <v/>
      </c>
    </row>
    <row r="1564">
      <c r="A1564" s="17">
        <f>IF($B1564="","",ROW()-3)</f>
        <v/>
      </c>
      <c r="B1564" s="18" t="n"/>
      <c r="C1564" s="13" t="n"/>
      <c r="D1564" s="13" t="n"/>
      <c r="E1564" s="13" t="n"/>
      <c r="F1564" s="17">
        <f>IF($E1564="","",IFERROR(VLOOKUP($E1564,类别归属,2,0),"※类别不在基础资料里"))</f>
        <v/>
      </c>
      <c r="G1564" s="13" t="n"/>
      <c r="H1564" s="13" t="n"/>
      <c r="I1564" s="13" t="n"/>
      <c r="J1564" s="14" t="n"/>
      <c r="K1564" s="14" t="n"/>
      <c r="L1564" s="19">
        <f>IF($C1564="","",ROUND(IFERROR(VLOOKUP($C1564,账户期初,2,0),0)+SUMIFS($J$4:J1564,$C$4:C1564,$C1564)-SUMIFS($K$4:K1564,$C$4:C1564,$C1564),2))</f>
        <v/>
      </c>
      <c r="M1564" s="19">
        <f>IF($C1564="","",ROUND(SUM(基础资料!$B$4:$B$13)+SUM($J$4:J1564)-SUM($K$4:K1564),2))</f>
        <v/>
      </c>
      <c r="N1564" s="13" t="n"/>
      <c r="O1564" s="13" t="n"/>
      <c r="P1564" s="17">
        <f>IF($B1564="","",IF($F1564="※类别不在基础资料里","※费用类别不在基础资料里",IF(AND(N($J1564)=0,N($K1564)=0),"※这行没填金额",IF(AND(N($J1564)&gt;0,N($K1564)&gt;0),"※收入和支出不能同一行都填",IF(AND($D1564="收入",N($J1564)=0),"※收入行要填收入金额",IF(AND($D1564="支出",N($K1564)=0),"※支出行要填支出金额",IF(AND($C1564&lt;&gt;"",ISNA(MATCH($C1564,账户表,0))),"※账户不在基础资料里",IF(AND($G1564&lt;&gt;"",ISNA(MATCH($G1564,项目名表,0))),"※项目不在项目台账里",IF(AND(LEFT($F1564,3)="成本-",$G1564=""),"※成本类支出没填项目",IF(AND(LEFT($F1564,3)="成本-",$H1564&lt;&gt;"",N($K1564)&gt;0,COUNTIFS(采购单!$B:$B,$B1564,采购单!$C:$C,$H1564,采购单!$L:$L,$K1564)&gt;0),"※这笔可能和采购单重复了",""))))))))))</f>
        <v/>
      </c>
    </row>
    <row r="1565">
      <c r="A1565" s="17">
        <f>IF($B1565="","",ROW()-3)</f>
        <v/>
      </c>
      <c r="B1565" s="18" t="n"/>
      <c r="C1565" s="13" t="n"/>
      <c r="D1565" s="13" t="n"/>
      <c r="E1565" s="13" t="n"/>
      <c r="F1565" s="17">
        <f>IF($E1565="","",IFERROR(VLOOKUP($E1565,类别归属,2,0),"※类别不在基础资料里"))</f>
        <v/>
      </c>
      <c r="G1565" s="13" t="n"/>
      <c r="H1565" s="13" t="n"/>
      <c r="I1565" s="13" t="n"/>
      <c r="J1565" s="14" t="n"/>
      <c r="K1565" s="14" t="n"/>
      <c r="L1565" s="19">
        <f>IF($C1565="","",ROUND(IFERROR(VLOOKUP($C1565,账户期初,2,0),0)+SUMIFS($J$4:J1565,$C$4:C1565,$C1565)-SUMIFS($K$4:K1565,$C$4:C1565,$C1565),2))</f>
        <v/>
      </c>
      <c r="M1565" s="19">
        <f>IF($C1565="","",ROUND(SUM(基础资料!$B$4:$B$13)+SUM($J$4:J1565)-SUM($K$4:K1565),2))</f>
        <v/>
      </c>
      <c r="N1565" s="13" t="n"/>
      <c r="O1565" s="13" t="n"/>
      <c r="P1565" s="17">
        <f>IF($B1565="","",IF($F1565="※类别不在基础资料里","※费用类别不在基础资料里",IF(AND(N($J1565)=0,N($K1565)=0),"※这行没填金额",IF(AND(N($J1565)&gt;0,N($K1565)&gt;0),"※收入和支出不能同一行都填",IF(AND($D1565="收入",N($J1565)=0),"※收入行要填收入金额",IF(AND($D1565="支出",N($K1565)=0),"※支出行要填支出金额",IF(AND($C1565&lt;&gt;"",ISNA(MATCH($C1565,账户表,0))),"※账户不在基础资料里",IF(AND($G1565&lt;&gt;"",ISNA(MATCH($G1565,项目名表,0))),"※项目不在项目台账里",IF(AND(LEFT($F1565,3)="成本-",$G1565=""),"※成本类支出没填项目",IF(AND(LEFT($F1565,3)="成本-",$H1565&lt;&gt;"",N($K1565)&gt;0,COUNTIFS(采购单!$B:$B,$B1565,采购单!$C:$C,$H1565,采购单!$L:$L,$K1565)&gt;0),"※这笔可能和采购单重复了",""))))))))))</f>
        <v/>
      </c>
    </row>
    <row r="1566">
      <c r="A1566" s="17">
        <f>IF($B1566="","",ROW()-3)</f>
        <v/>
      </c>
      <c r="B1566" s="18" t="n"/>
      <c r="C1566" s="13" t="n"/>
      <c r="D1566" s="13" t="n"/>
      <c r="E1566" s="13" t="n"/>
      <c r="F1566" s="17">
        <f>IF($E1566="","",IFERROR(VLOOKUP($E1566,类别归属,2,0),"※类别不在基础资料里"))</f>
        <v/>
      </c>
      <c r="G1566" s="13" t="n"/>
      <c r="H1566" s="13" t="n"/>
      <c r="I1566" s="13" t="n"/>
      <c r="J1566" s="14" t="n"/>
      <c r="K1566" s="14" t="n"/>
      <c r="L1566" s="19">
        <f>IF($C1566="","",ROUND(IFERROR(VLOOKUP($C1566,账户期初,2,0),0)+SUMIFS($J$4:J1566,$C$4:C1566,$C1566)-SUMIFS($K$4:K1566,$C$4:C1566,$C1566),2))</f>
        <v/>
      </c>
      <c r="M1566" s="19">
        <f>IF($C1566="","",ROUND(SUM(基础资料!$B$4:$B$13)+SUM($J$4:J1566)-SUM($K$4:K1566),2))</f>
        <v/>
      </c>
      <c r="N1566" s="13" t="n"/>
      <c r="O1566" s="13" t="n"/>
      <c r="P1566" s="17">
        <f>IF($B1566="","",IF($F1566="※类别不在基础资料里","※费用类别不在基础资料里",IF(AND(N($J1566)=0,N($K1566)=0),"※这行没填金额",IF(AND(N($J1566)&gt;0,N($K1566)&gt;0),"※收入和支出不能同一行都填",IF(AND($D1566="收入",N($J1566)=0),"※收入行要填收入金额",IF(AND($D1566="支出",N($K1566)=0),"※支出行要填支出金额",IF(AND($C1566&lt;&gt;"",ISNA(MATCH($C1566,账户表,0))),"※账户不在基础资料里",IF(AND($G1566&lt;&gt;"",ISNA(MATCH($G1566,项目名表,0))),"※项目不在项目台账里",IF(AND(LEFT($F1566,3)="成本-",$G1566=""),"※成本类支出没填项目",IF(AND(LEFT($F1566,3)="成本-",$H1566&lt;&gt;"",N($K1566)&gt;0,COUNTIFS(采购单!$B:$B,$B1566,采购单!$C:$C,$H1566,采购单!$L:$L,$K1566)&gt;0),"※这笔可能和采购单重复了",""))))))))))</f>
        <v/>
      </c>
    </row>
    <row r="1567">
      <c r="A1567" s="17">
        <f>IF($B1567="","",ROW()-3)</f>
        <v/>
      </c>
      <c r="B1567" s="18" t="n"/>
      <c r="C1567" s="13" t="n"/>
      <c r="D1567" s="13" t="n"/>
      <c r="E1567" s="13" t="n"/>
      <c r="F1567" s="17">
        <f>IF($E1567="","",IFERROR(VLOOKUP($E1567,类别归属,2,0),"※类别不在基础资料里"))</f>
        <v/>
      </c>
      <c r="G1567" s="13" t="n"/>
      <c r="H1567" s="13" t="n"/>
      <c r="I1567" s="13" t="n"/>
      <c r="J1567" s="14" t="n"/>
      <c r="K1567" s="14" t="n"/>
      <c r="L1567" s="19">
        <f>IF($C1567="","",ROUND(IFERROR(VLOOKUP($C1567,账户期初,2,0),0)+SUMIFS($J$4:J1567,$C$4:C1567,$C1567)-SUMIFS($K$4:K1567,$C$4:C1567,$C1567),2))</f>
        <v/>
      </c>
      <c r="M1567" s="19">
        <f>IF($C1567="","",ROUND(SUM(基础资料!$B$4:$B$13)+SUM($J$4:J1567)-SUM($K$4:K1567),2))</f>
        <v/>
      </c>
      <c r="N1567" s="13" t="n"/>
      <c r="O1567" s="13" t="n"/>
      <c r="P1567" s="17">
        <f>IF($B1567="","",IF($F1567="※类别不在基础资料里","※费用类别不在基础资料里",IF(AND(N($J1567)=0,N($K1567)=0),"※这行没填金额",IF(AND(N($J1567)&gt;0,N($K1567)&gt;0),"※收入和支出不能同一行都填",IF(AND($D1567="收入",N($J1567)=0),"※收入行要填收入金额",IF(AND($D1567="支出",N($K1567)=0),"※支出行要填支出金额",IF(AND($C1567&lt;&gt;"",ISNA(MATCH($C1567,账户表,0))),"※账户不在基础资料里",IF(AND($G1567&lt;&gt;"",ISNA(MATCH($G1567,项目名表,0))),"※项目不在项目台账里",IF(AND(LEFT($F1567,3)="成本-",$G1567=""),"※成本类支出没填项目",IF(AND(LEFT($F1567,3)="成本-",$H1567&lt;&gt;"",N($K1567)&gt;0,COUNTIFS(采购单!$B:$B,$B1567,采购单!$C:$C,$H1567,采购单!$L:$L,$K1567)&gt;0),"※这笔可能和采购单重复了",""))))))))))</f>
        <v/>
      </c>
    </row>
    <row r="1568">
      <c r="A1568" s="17">
        <f>IF($B1568="","",ROW()-3)</f>
        <v/>
      </c>
      <c r="B1568" s="18" t="n"/>
      <c r="C1568" s="13" t="n"/>
      <c r="D1568" s="13" t="n"/>
      <c r="E1568" s="13" t="n"/>
      <c r="F1568" s="17">
        <f>IF($E1568="","",IFERROR(VLOOKUP($E1568,类别归属,2,0),"※类别不在基础资料里"))</f>
        <v/>
      </c>
      <c r="G1568" s="13" t="n"/>
      <c r="H1568" s="13" t="n"/>
      <c r="I1568" s="13" t="n"/>
      <c r="J1568" s="14" t="n"/>
      <c r="K1568" s="14" t="n"/>
      <c r="L1568" s="19">
        <f>IF($C1568="","",ROUND(IFERROR(VLOOKUP($C1568,账户期初,2,0),0)+SUMIFS($J$4:J1568,$C$4:C1568,$C1568)-SUMIFS($K$4:K1568,$C$4:C1568,$C1568),2))</f>
        <v/>
      </c>
      <c r="M1568" s="19">
        <f>IF($C1568="","",ROUND(SUM(基础资料!$B$4:$B$13)+SUM($J$4:J1568)-SUM($K$4:K1568),2))</f>
        <v/>
      </c>
      <c r="N1568" s="13" t="n"/>
      <c r="O1568" s="13" t="n"/>
      <c r="P1568" s="17">
        <f>IF($B1568="","",IF($F1568="※类别不在基础资料里","※费用类别不在基础资料里",IF(AND(N($J1568)=0,N($K1568)=0),"※这行没填金额",IF(AND(N($J1568)&gt;0,N($K1568)&gt;0),"※收入和支出不能同一行都填",IF(AND($D1568="收入",N($J1568)=0),"※收入行要填收入金额",IF(AND($D1568="支出",N($K1568)=0),"※支出行要填支出金额",IF(AND($C1568&lt;&gt;"",ISNA(MATCH($C1568,账户表,0))),"※账户不在基础资料里",IF(AND($G1568&lt;&gt;"",ISNA(MATCH($G1568,项目名表,0))),"※项目不在项目台账里",IF(AND(LEFT($F1568,3)="成本-",$G1568=""),"※成本类支出没填项目",IF(AND(LEFT($F1568,3)="成本-",$H1568&lt;&gt;"",N($K1568)&gt;0,COUNTIFS(采购单!$B:$B,$B1568,采购单!$C:$C,$H1568,采购单!$L:$L,$K1568)&gt;0),"※这笔可能和采购单重复了",""))))))))))</f>
        <v/>
      </c>
    </row>
    <row r="1569">
      <c r="A1569" s="17">
        <f>IF($B1569="","",ROW()-3)</f>
        <v/>
      </c>
      <c r="B1569" s="18" t="n"/>
      <c r="C1569" s="13" t="n"/>
      <c r="D1569" s="13" t="n"/>
      <c r="E1569" s="13" t="n"/>
      <c r="F1569" s="17">
        <f>IF($E1569="","",IFERROR(VLOOKUP($E1569,类别归属,2,0),"※类别不在基础资料里"))</f>
        <v/>
      </c>
      <c r="G1569" s="13" t="n"/>
      <c r="H1569" s="13" t="n"/>
      <c r="I1569" s="13" t="n"/>
      <c r="J1569" s="14" t="n"/>
      <c r="K1569" s="14" t="n"/>
      <c r="L1569" s="19">
        <f>IF($C1569="","",ROUND(IFERROR(VLOOKUP($C1569,账户期初,2,0),0)+SUMIFS($J$4:J1569,$C$4:C1569,$C1569)-SUMIFS($K$4:K1569,$C$4:C1569,$C1569),2))</f>
        <v/>
      </c>
      <c r="M1569" s="19">
        <f>IF($C1569="","",ROUND(SUM(基础资料!$B$4:$B$13)+SUM($J$4:J1569)-SUM($K$4:K1569),2))</f>
        <v/>
      </c>
      <c r="N1569" s="13" t="n"/>
      <c r="O1569" s="13" t="n"/>
      <c r="P1569" s="17">
        <f>IF($B1569="","",IF($F1569="※类别不在基础资料里","※费用类别不在基础资料里",IF(AND(N($J1569)=0,N($K1569)=0),"※这行没填金额",IF(AND(N($J1569)&gt;0,N($K1569)&gt;0),"※收入和支出不能同一行都填",IF(AND($D1569="收入",N($J1569)=0),"※收入行要填收入金额",IF(AND($D1569="支出",N($K1569)=0),"※支出行要填支出金额",IF(AND($C1569&lt;&gt;"",ISNA(MATCH($C1569,账户表,0))),"※账户不在基础资料里",IF(AND($G1569&lt;&gt;"",ISNA(MATCH($G1569,项目名表,0))),"※项目不在项目台账里",IF(AND(LEFT($F1569,3)="成本-",$G1569=""),"※成本类支出没填项目",IF(AND(LEFT($F1569,3)="成本-",$H1569&lt;&gt;"",N($K1569)&gt;0,COUNTIFS(采购单!$B:$B,$B1569,采购单!$C:$C,$H1569,采购单!$L:$L,$K1569)&gt;0),"※这笔可能和采购单重复了",""))))))))))</f>
        <v/>
      </c>
    </row>
    <row r="1570">
      <c r="A1570" s="17">
        <f>IF($B1570="","",ROW()-3)</f>
        <v/>
      </c>
      <c r="B1570" s="18" t="n"/>
      <c r="C1570" s="13" t="n"/>
      <c r="D1570" s="13" t="n"/>
      <c r="E1570" s="13" t="n"/>
      <c r="F1570" s="17">
        <f>IF($E1570="","",IFERROR(VLOOKUP($E1570,类别归属,2,0),"※类别不在基础资料里"))</f>
        <v/>
      </c>
      <c r="G1570" s="13" t="n"/>
      <c r="H1570" s="13" t="n"/>
      <c r="I1570" s="13" t="n"/>
      <c r="J1570" s="14" t="n"/>
      <c r="K1570" s="14" t="n"/>
      <c r="L1570" s="19">
        <f>IF($C1570="","",ROUND(IFERROR(VLOOKUP($C1570,账户期初,2,0),0)+SUMIFS($J$4:J1570,$C$4:C1570,$C1570)-SUMIFS($K$4:K1570,$C$4:C1570,$C1570),2))</f>
        <v/>
      </c>
      <c r="M1570" s="19">
        <f>IF($C1570="","",ROUND(SUM(基础资料!$B$4:$B$13)+SUM($J$4:J1570)-SUM($K$4:K1570),2))</f>
        <v/>
      </c>
      <c r="N1570" s="13" t="n"/>
      <c r="O1570" s="13" t="n"/>
      <c r="P1570" s="17">
        <f>IF($B1570="","",IF($F1570="※类别不在基础资料里","※费用类别不在基础资料里",IF(AND(N($J1570)=0,N($K1570)=0),"※这行没填金额",IF(AND(N($J1570)&gt;0,N($K1570)&gt;0),"※收入和支出不能同一行都填",IF(AND($D1570="收入",N($J1570)=0),"※收入行要填收入金额",IF(AND($D1570="支出",N($K1570)=0),"※支出行要填支出金额",IF(AND($C1570&lt;&gt;"",ISNA(MATCH($C1570,账户表,0))),"※账户不在基础资料里",IF(AND($G1570&lt;&gt;"",ISNA(MATCH($G1570,项目名表,0))),"※项目不在项目台账里",IF(AND(LEFT($F1570,3)="成本-",$G1570=""),"※成本类支出没填项目",IF(AND(LEFT($F1570,3)="成本-",$H1570&lt;&gt;"",N($K1570)&gt;0,COUNTIFS(采购单!$B:$B,$B1570,采购单!$C:$C,$H1570,采购单!$L:$L,$K1570)&gt;0),"※这笔可能和采购单重复了",""))))))))))</f>
        <v/>
      </c>
    </row>
    <row r="1571">
      <c r="A1571" s="17">
        <f>IF($B1571="","",ROW()-3)</f>
        <v/>
      </c>
      <c r="B1571" s="18" t="n"/>
      <c r="C1571" s="13" t="n"/>
      <c r="D1571" s="13" t="n"/>
      <c r="E1571" s="13" t="n"/>
      <c r="F1571" s="17">
        <f>IF($E1571="","",IFERROR(VLOOKUP($E1571,类别归属,2,0),"※类别不在基础资料里"))</f>
        <v/>
      </c>
      <c r="G1571" s="13" t="n"/>
      <c r="H1571" s="13" t="n"/>
      <c r="I1571" s="13" t="n"/>
      <c r="J1571" s="14" t="n"/>
      <c r="K1571" s="14" t="n"/>
      <c r="L1571" s="19">
        <f>IF($C1571="","",ROUND(IFERROR(VLOOKUP($C1571,账户期初,2,0),0)+SUMIFS($J$4:J1571,$C$4:C1571,$C1571)-SUMIFS($K$4:K1571,$C$4:C1571,$C1571),2))</f>
        <v/>
      </c>
      <c r="M1571" s="19">
        <f>IF($C1571="","",ROUND(SUM(基础资料!$B$4:$B$13)+SUM($J$4:J1571)-SUM($K$4:K1571),2))</f>
        <v/>
      </c>
      <c r="N1571" s="13" t="n"/>
      <c r="O1571" s="13" t="n"/>
      <c r="P1571" s="17">
        <f>IF($B1571="","",IF($F1571="※类别不在基础资料里","※费用类别不在基础资料里",IF(AND(N($J1571)=0,N($K1571)=0),"※这行没填金额",IF(AND(N($J1571)&gt;0,N($K1571)&gt;0),"※收入和支出不能同一行都填",IF(AND($D1571="收入",N($J1571)=0),"※收入行要填收入金额",IF(AND($D1571="支出",N($K1571)=0),"※支出行要填支出金额",IF(AND($C1571&lt;&gt;"",ISNA(MATCH($C1571,账户表,0))),"※账户不在基础资料里",IF(AND($G1571&lt;&gt;"",ISNA(MATCH($G1571,项目名表,0))),"※项目不在项目台账里",IF(AND(LEFT($F1571,3)="成本-",$G1571=""),"※成本类支出没填项目",IF(AND(LEFT($F1571,3)="成本-",$H1571&lt;&gt;"",N($K1571)&gt;0,COUNTIFS(采购单!$B:$B,$B1571,采购单!$C:$C,$H1571,采购单!$L:$L,$K1571)&gt;0),"※这笔可能和采购单重复了",""))))))))))</f>
        <v/>
      </c>
    </row>
    <row r="1572">
      <c r="A1572" s="17">
        <f>IF($B1572="","",ROW()-3)</f>
        <v/>
      </c>
      <c r="B1572" s="18" t="n"/>
      <c r="C1572" s="13" t="n"/>
      <c r="D1572" s="13" t="n"/>
      <c r="E1572" s="13" t="n"/>
      <c r="F1572" s="17">
        <f>IF($E1572="","",IFERROR(VLOOKUP($E1572,类别归属,2,0),"※类别不在基础资料里"))</f>
        <v/>
      </c>
      <c r="G1572" s="13" t="n"/>
      <c r="H1572" s="13" t="n"/>
      <c r="I1572" s="13" t="n"/>
      <c r="J1572" s="14" t="n"/>
      <c r="K1572" s="14" t="n"/>
      <c r="L1572" s="19">
        <f>IF($C1572="","",ROUND(IFERROR(VLOOKUP($C1572,账户期初,2,0),0)+SUMIFS($J$4:J1572,$C$4:C1572,$C1572)-SUMIFS($K$4:K1572,$C$4:C1572,$C1572),2))</f>
        <v/>
      </c>
      <c r="M1572" s="19">
        <f>IF($C1572="","",ROUND(SUM(基础资料!$B$4:$B$13)+SUM($J$4:J1572)-SUM($K$4:K1572),2))</f>
        <v/>
      </c>
      <c r="N1572" s="13" t="n"/>
      <c r="O1572" s="13" t="n"/>
      <c r="P1572" s="17">
        <f>IF($B1572="","",IF($F1572="※类别不在基础资料里","※费用类别不在基础资料里",IF(AND(N($J1572)=0,N($K1572)=0),"※这行没填金额",IF(AND(N($J1572)&gt;0,N($K1572)&gt;0),"※收入和支出不能同一行都填",IF(AND($D1572="收入",N($J1572)=0),"※收入行要填收入金额",IF(AND($D1572="支出",N($K1572)=0),"※支出行要填支出金额",IF(AND($C1572&lt;&gt;"",ISNA(MATCH($C1572,账户表,0))),"※账户不在基础资料里",IF(AND($G1572&lt;&gt;"",ISNA(MATCH($G1572,项目名表,0))),"※项目不在项目台账里",IF(AND(LEFT($F1572,3)="成本-",$G1572=""),"※成本类支出没填项目",IF(AND(LEFT($F1572,3)="成本-",$H1572&lt;&gt;"",N($K1572)&gt;0,COUNTIFS(采购单!$B:$B,$B1572,采购单!$C:$C,$H1572,采购单!$L:$L,$K1572)&gt;0),"※这笔可能和采购单重复了",""))))))))))</f>
        <v/>
      </c>
    </row>
    <row r="1573">
      <c r="A1573" s="17">
        <f>IF($B1573="","",ROW()-3)</f>
        <v/>
      </c>
      <c r="B1573" s="18" t="n"/>
      <c r="C1573" s="13" t="n"/>
      <c r="D1573" s="13" t="n"/>
      <c r="E1573" s="13" t="n"/>
      <c r="F1573" s="17">
        <f>IF($E1573="","",IFERROR(VLOOKUP($E1573,类别归属,2,0),"※类别不在基础资料里"))</f>
        <v/>
      </c>
      <c r="G1573" s="13" t="n"/>
      <c r="H1573" s="13" t="n"/>
      <c r="I1573" s="13" t="n"/>
      <c r="J1573" s="14" t="n"/>
      <c r="K1573" s="14" t="n"/>
      <c r="L1573" s="19">
        <f>IF($C1573="","",ROUND(IFERROR(VLOOKUP($C1573,账户期初,2,0),0)+SUMIFS($J$4:J1573,$C$4:C1573,$C1573)-SUMIFS($K$4:K1573,$C$4:C1573,$C1573),2))</f>
        <v/>
      </c>
      <c r="M1573" s="19">
        <f>IF($C1573="","",ROUND(SUM(基础资料!$B$4:$B$13)+SUM($J$4:J1573)-SUM($K$4:K1573),2))</f>
        <v/>
      </c>
      <c r="N1573" s="13" t="n"/>
      <c r="O1573" s="13" t="n"/>
      <c r="P1573" s="17">
        <f>IF($B1573="","",IF($F1573="※类别不在基础资料里","※费用类别不在基础资料里",IF(AND(N($J1573)=0,N($K1573)=0),"※这行没填金额",IF(AND(N($J1573)&gt;0,N($K1573)&gt;0),"※收入和支出不能同一行都填",IF(AND($D1573="收入",N($J1573)=0),"※收入行要填收入金额",IF(AND($D1573="支出",N($K1573)=0),"※支出行要填支出金额",IF(AND($C1573&lt;&gt;"",ISNA(MATCH($C1573,账户表,0))),"※账户不在基础资料里",IF(AND($G1573&lt;&gt;"",ISNA(MATCH($G1573,项目名表,0))),"※项目不在项目台账里",IF(AND(LEFT($F1573,3)="成本-",$G1573=""),"※成本类支出没填项目",IF(AND(LEFT($F1573,3)="成本-",$H1573&lt;&gt;"",N($K1573)&gt;0,COUNTIFS(采购单!$B:$B,$B1573,采购单!$C:$C,$H1573,采购单!$L:$L,$K1573)&gt;0),"※这笔可能和采购单重复了",""))))))))))</f>
        <v/>
      </c>
    </row>
    <row r="1574">
      <c r="A1574" s="17">
        <f>IF($B1574="","",ROW()-3)</f>
        <v/>
      </c>
      <c r="B1574" s="18" t="n"/>
      <c r="C1574" s="13" t="n"/>
      <c r="D1574" s="13" t="n"/>
      <c r="E1574" s="13" t="n"/>
      <c r="F1574" s="17">
        <f>IF($E1574="","",IFERROR(VLOOKUP($E1574,类别归属,2,0),"※类别不在基础资料里"))</f>
        <v/>
      </c>
      <c r="G1574" s="13" t="n"/>
      <c r="H1574" s="13" t="n"/>
      <c r="I1574" s="13" t="n"/>
      <c r="J1574" s="14" t="n"/>
      <c r="K1574" s="14" t="n"/>
      <c r="L1574" s="19">
        <f>IF($C1574="","",ROUND(IFERROR(VLOOKUP($C1574,账户期初,2,0),0)+SUMIFS($J$4:J1574,$C$4:C1574,$C1574)-SUMIFS($K$4:K1574,$C$4:C1574,$C1574),2))</f>
        <v/>
      </c>
      <c r="M1574" s="19">
        <f>IF($C1574="","",ROUND(SUM(基础资料!$B$4:$B$13)+SUM($J$4:J1574)-SUM($K$4:K1574),2))</f>
        <v/>
      </c>
      <c r="N1574" s="13" t="n"/>
      <c r="O1574" s="13" t="n"/>
      <c r="P1574" s="17">
        <f>IF($B1574="","",IF($F1574="※类别不在基础资料里","※费用类别不在基础资料里",IF(AND(N($J1574)=0,N($K1574)=0),"※这行没填金额",IF(AND(N($J1574)&gt;0,N($K1574)&gt;0),"※收入和支出不能同一行都填",IF(AND($D1574="收入",N($J1574)=0),"※收入行要填收入金额",IF(AND($D1574="支出",N($K1574)=0),"※支出行要填支出金额",IF(AND($C1574&lt;&gt;"",ISNA(MATCH($C1574,账户表,0))),"※账户不在基础资料里",IF(AND($G1574&lt;&gt;"",ISNA(MATCH($G1574,项目名表,0))),"※项目不在项目台账里",IF(AND(LEFT($F1574,3)="成本-",$G1574=""),"※成本类支出没填项目",IF(AND(LEFT($F1574,3)="成本-",$H1574&lt;&gt;"",N($K1574)&gt;0,COUNTIFS(采购单!$B:$B,$B1574,采购单!$C:$C,$H1574,采购单!$L:$L,$K1574)&gt;0),"※这笔可能和采购单重复了",""))))))))))</f>
        <v/>
      </c>
    </row>
    <row r="1575">
      <c r="A1575" s="17">
        <f>IF($B1575="","",ROW()-3)</f>
        <v/>
      </c>
      <c r="B1575" s="18" t="n"/>
      <c r="C1575" s="13" t="n"/>
      <c r="D1575" s="13" t="n"/>
      <c r="E1575" s="13" t="n"/>
      <c r="F1575" s="17">
        <f>IF($E1575="","",IFERROR(VLOOKUP($E1575,类别归属,2,0),"※类别不在基础资料里"))</f>
        <v/>
      </c>
      <c r="G1575" s="13" t="n"/>
      <c r="H1575" s="13" t="n"/>
      <c r="I1575" s="13" t="n"/>
      <c r="J1575" s="14" t="n"/>
      <c r="K1575" s="14" t="n"/>
      <c r="L1575" s="19">
        <f>IF($C1575="","",ROUND(IFERROR(VLOOKUP($C1575,账户期初,2,0),0)+SUMIFS($J$4:J1575,$C$4:C1575,$C1575)-SUMIFS($K$4:K1575,$C$4:C1575,$C1575),2))</f>
        <v/>
      </c>
      <c r="M1575" s="19">
        <f>IF($C1575="","",ROUND(SUM(基础资料!$B$4:$B$13)+SUM($J$4:J1575)-SUM($K$4:K1575),2))</f>
        <v/>
      </c>
      <c r="N1575" s="13" t="n"/>
      <c r="O1575" s="13" t="n"/>
      <c r="P1575" s="17">
        <f>IF($B1575="","",IF($F1575="※类别不在基础资料里","※费用类别不在基础资料里",IF(AND(N($J1575)=0,N($K1575)=0),"※这行没填金额",IF(AND(N($J1575)&gt;0,N($K1575)&gt;0),"※收入和支出不能同一行都填",IF(AND($D1575="收入",N($J1575)=0),"※收入行要填收入金额",IF(AND($D1575="支出",N($K1575)=0),"※支出行要填支出金额",IF(AND($C1575&lt;&gt;"",ISNA(MATCH($C1575,账户表,0))),"※账户不在基础资料里",IF(AND($G1575&lt;&gt;"",ISNA(MATCH($G1575,项目名表,0))),"※项目不在项目台账里",IF(AND(LEFT($F1575,3)="成本-",$G1575=""),"※成本类支出没填项目",IF(AND(LEFT($F1575,3)="成本-",$H1575&lt;&gt;"",N($K1575)&gt;0,COUNTIFS(采购单!$B:$B,$B1575,采购单!$C:$C,$H1575,采购单!$L:$L,$K1575)&gt;0),"※这笔可能和采购单重复了",""))))))))))</f>
        <v/>
      </c>
    </row>
    <row r="1576">
      <c r="A1576" s="17">
        <f>IF($B1576="","",ROW()-3)</f>
        <v/>
      </c>
      <c r="B1576" s="18" t="n"/>
      <c r="C1576" s="13" t="n"/>
      <c r="D1576" s="13" t="n"/>
      <c r="E1576" s="13" t="n"/>
      <c r="F1576" s="17">
        <f>IF($E1576="","",IFERROR(VLOOKUP($E1576,类别归属,2,0),"※类别不在基础资料里"))</f>
        <v/>
      </c>
      <c r="G1576" s="13" t="n"/>
      <c r="H1576" s="13" t="n"/>
      <c r="I1576" s="13" t="n"/>
      <c r="J1576" s="14" t="n"/>
      <c r="K1576" s="14" t="n"/>
      <c r="L1576" s="19">
        <f>IF($C1576="","",ROUND(IFERROR(VLOOKUP($C1576,账户期初,2,0),0)+SUMIFS($J$4:J1576,$C$4:C1576,$C1576)-SUMIFS($K$4:K1576,$C$4:C1576,$C1576),2))</f>
        <v/>
      </c>
      <c r="M1576" s="19">
        <f>IF($C1576="","",ROUND(SUM(基础资料!$B$4:$B$13)+SUM($J$4:J1576)-SUM($K$4:K1576),2))</f>
        <v/>
      </c>
      <c r="N1576" s="13" t="n"/>
      <c r="O1576" s="13" t="n"/>
      <c r="P1576" s="17">
        <f>IF($B1576="","",IF($F1576="※类别不在基础资料里","※费用类别不在基础资料里",IF(AND(N($J1576)=0,N($K1576)=0),"※这行没填金额",IF(AND(N($J1576)&gt;0,N($K1576)&gt;0),"※收入和支出不能同一行都填",IF(AND($D1576="收入",N($J1576)=0),"※收入行要填收入金额",IF(AND($D1576="支出",N($K1576)=0),"※支出行要填支出金额",IF(AND($C1576&lt;&gt;"",ISNA(MATCH($C1576,账户表,0))),"※账户不在基础资料里",IF(AND($G1576&lt;&gt;"",ISNA(MATCH($G1576,项目名表,0))),"※项目不在项目台账里",IF(AND(LEFT($F1576,3)="成本-",$G1576=""),"※成本类支出没填项目",IF(AND(LEFT($F1576,3)="成本-",$H1576&lt;&gt;"",N($K1576)&gt;0,COUNTIFS(采购单!$B:$B,$B1576,采购单!$C:$C,$H1576,采购单!$L:$L,$K1576)&gt;0),"※这笔可能和采购单重复了",""))))))))))</f>
        <v/>
      </c>
    </row>
    <row r="1577">
      <c r="A1577" s="17">
        <f>IF($B1577="","",ROW()-3)</f>
        <v/>
      </c>
      <c r="B1577" s="18" t="n"/>
      <c r="C1577" s="13" t="n"/>
      <c r="D1577" s="13" t="n"/>
      <c r="E1577" s="13" t="n"/>
      <c r="F1577" s="17">
        <f>IF($E1577="","",IFERROR(VLOOKUP($E1577,类别归属,2,0),"※类别不在基础资料里"))</f>
        <v/>
      </c>
      <c r="G1577" s="13" t="n"/>
      <c r="H1577" s="13" t="n"/>
      <c r="I1577" s="13" t="n"/>
      <c r="J1577" s="14" t="n"/>
      <c r="K1577" s="14" t="n"/>
      <c r="L1577" s="19">
        <f>IF($C1577="","",ROUND(IFERROR(VLOOKUP($C1577,账户期初,2,0),0)+SUMIFS($J$4:J1577,$C$4:C1577,$C1577)-SUMIFS($K$4:K1577,$C$4:C1577,$C1577),2))</f>
        <v/>
      </c>
      <c r="M1577" s="19">
        <f>IF($C1577="","",ROUND(SUM(基础资料!$B$4:$B$13)+SUM($J$4:J1577)-SUM($K$4:K1577),2))</f>
        <v/>
      </c>
      <c r="N1577" s="13" t="n"/>
      <c r="O1577" s="13" t="n"/>
      <c r="P1577" s="17">
        <f>IF($B1577="","",IF($F1577="※类别不在基础资料里","※费用类别不在基础资料里",IF(AND(N($J1577)=0,N($K1577)=0),"※这行没填金额",IF(AND(N($J1577)&gt;0,N($K1577)&gt;0),"※收入和支出不能同一行都填",IF(AND($D1577="收入",N($J1577)=0),"※收入行要填收入金额",IF(AND($D1577="支出",N($K1577)=0),"※支出行要填支出金额",IF(AND($C1577&lt;&gt;"",ISNA(MATCH($C1577,账户表,0))),"※账户不在基础资料里",IF(AND($G1577&lt;&gt;"",ISNA(MATCH($G1577,项目名表,0))),"※项目不在项目台账里",IF(AND(LEFT($F1577,3)="成本-",$G1577=""),"※成本类支出没填项目",IF(AND(LEFT($F1577,3)="成本-",$H1577&lt;&gt;"",N($K1577)&gt;0,COUNTIFS(采购单!$B:$B,$B1577,采购单!$C:$C,$H1577,采购单!$L:$L,$K1577)&gt;0),"※这笔可能和采购单重复了",""))))))))))</f>
        <v/>
      </c>
    </row>
    <row r="1578">
      <c r="A1578" s="17">
        <f>IF($B1578="","",ROW()-3)</f>
        <v/>
      </c>
      <c r="B1578" s="18" t="n"/>
      <c r="C1578" s="13" t="n"/>
      <c r="D1578" s="13" t="n"/>
      <c r="E1578" s="13" t="n"/>
      <c r="F1578" s="17">
        <f>IF($E1578="","",IFERROR(VLOOKUP($E1578,类别归属,2,0),"※类别不在基础资料里"))</f>
        <v/>
      </c>
      <c r="G1578" s="13" t="n"/>
      <c r="H1578" s="13" t="n"/>
      <c r="I1578" s="13" t="n"/>
      <c r="J1578" s="14" t="n"/>
      <c r="K1578" s="14" t="n"/>
      <c r="L1578" s="19">
        <f>IF($C1578="","",ROUND(IFERROR(VLOOKUP($C1578,账户期初,2,0),0)+SUMIFS($J$4:J1578,$C$4:C1578,$C1578)-SUMIFS($K$4:K1578,$C$4:C1578,$C1578),2))</f>
        <v/>
      </c>
      <c r="M1578" s="19">
        <f>IF($C1578="","",ROUND(SUM(基础资料!$B$4:$B$13)+SUM($J$4:J1578)-SUM($K$4:K1578),2))</f>
        <v/>
      </c>
      <c r="N1578" s="13" t="n"/>
      <c r="O1578" s="13" t="n"/>
      <c r="P1578" s="17">
        <f>IF($B1578="","",IF($F1578="※类别不在基础资料里","※费用类别不在基础资料里",IF(AND(N($J1578)=0,N($K1578)=0),"※这行没填金额",IF(AND(N($J1578)&gt;0,N($K1578)&gt;0),"※收入和支出不能同一行都填",IF(AND($D1578="收入",N($J1578)=0),"※收入行要填收入金额",IF(AND($D1578="支出",N($K1578)=0),"※支出行要填支出金额",IF(AND($C1578&lt;&gt;"",ISNA(MATCH($C1578,账户表,0))),"※账户不在基础资料里",IF(AND($G1578&lt;&gt;"",ISNA(MATCH($G1578,项目名表,0))),"※项目不在项目台账里",IF(AND(LEFT($F1578,3)="成本-",$G1578=""),"※成本类支出没填项目",IF(AND(LEFT($F1578,3)="成本-",$H1578&lt;&gt;"",N($K1578)&gt;0,COUNTIFS(采购单!$B:$B,$B1578,采购单!$C:$C,$H1578,采购单!$L:$L,$K1578)&gt;0),"※这笔可能和采购单重复了",""))))))))))</f>
        <v/>
      </c>
    </row>
    <row r="1579">
      <c r="A1579" s="17">
        <f>IF($B1579="","",ROW()-3)</f>
        <v/>
      </c>
      <c r="B1579" s="18" t="n"/>
      <c r="C1579" s="13" t="n"/>
      <c r="D1579" s="13" t="n"/>
      <c r="E1579" s="13" t="n"/>
      <c r="F1579" s="17">
        <f>IF($E1579="","",IFERROR(VLOOKUP($E1579,类别归属,2,0),"※类别不在基础资料里"))</f>
        <v/>
      </c>
      <c r="G1579" s="13" t="n"/>
      <c r="H1579" s="13" t="n"/>
      <c r="I1579" s="13" t="n"/>
      <c r="J1579" s="14" t="n"/>
      <c r="K1579" s="14" t="n"/>
      <c r="L1579" s="19">
        <f>IF($C1579="","",ROUND(IFERROR(VLOOKUP($C1579,账户期初,2,0),0)+SUMIFS($J$4:J1579,$C$4:C1579,$C1579)-SUMIFS($K$4:K1579,$C$4:C1579,$C1579),2))</f>
        <v/>
      </c>
      <c r="M1579" s="19">
        <f>IF($C1579="","",ROUND(SUM(基础资料!$B$4:$B$13)+SUM($J$4:J1579)-SUM($K$4:K1579),2))</f>
        <v/>
      </c>
      <c r="N1579" s="13" t="n"/>
      <c r="O1579" s="13" t="n"/>
      <c r="P1579" s="17">
        <f>IF($B1579="","",IF($F1579="※类别不在基础资料里","※费用类别不在基础资料里",IF(AND(N($J1579)=0,N($K1579)=0),"※这行没填金额",IF(AND(N($J1579)&gt;0,N($K1579)&gt;0),"※收入和支出不能同一行都填",IF(AND($D1579="收入",N($J1579)=0),"※收入行要填收入金额",IF(AND($D1579="支出",N($K1579)=0),"※支出行要填支出金额",IF(AND($C1579&lt;&gt;"",ISNA(MATCH($C1579,账户表,0))),"※账户不在基础资料里",IF(AND($G1579&lt;&gt;"",ISNA(MATCH($G1579,项目名表,0))),"※项目不在项目台账里",IF(AND(LEFT($F1579,3)="成本-",$G1579=""),"※成本类支出没填项目",IF(AND(LEFT($F1579,3)="成本-",$H1579&lt;&gt;"",N($K1579)&gt;0,COUNTIFS(采购单!$B:$B,$B1579,采购单!$C:$C,$H1579,采购单!$L:$L,$K1579)&gt;0),"※这笔可能和采购单重复了",""))))))))))</f>
        <v/>
      </c>
    </row>
    <row r="1580">
      <c r="A1580" s="17">
        <f>IF($B1580="","",ROW()-3)</f>
        <v/>
      </c>
      <c r="B1580" s="18" t="n"/>
      <c r="C1580" s="13" t="n"/>
      <c r="D1580" s="13" t="n"/>
      <c r="E1580" s="13" t="n"/>
      <c r="F1580" s="17">
        <f>IF($E1580="","",IFERROR(VLOOKUP($E1580,类别归属,2,0),"※类别不在基础资料里"))</f>
        <v/>
      </c>
      <c r="G1580" s="13" t="n"/>
      <c r="H1580" s="13" t="n"/>
      <c r="I1580" s="13" t="n"/>
      <c r="J1580" s="14" t="n"/>
      <c r="K1580" s="14" t="n"/>
      <c r="L1580" s="19">
        <f>IF($C1580="","",ROUND(IFERROR(VLOOKUP($C1580,账户期初,2,0),0)+SUMIFS($J$4:J1580,$C$4:C1580,$C1580)-SUMIFS($K$4:K1580,$C$4:C1580,$C1580),2))</f>
        <v/>
      </c>
      <c r="M1580" s="19">
        <f>IF($C1580="","",ROUND(SUM(基础资料!$B$4:$B$13)+SUM($J$4:J1580)-SUM($K$4:K1580),2))</f>
        <v/>
      </c>
      <c r="N1580" s="13" t="n"/>
      <c r="O1580" s="13" t="n"/>
      <c r="P1580" s="17">
        <f>IF($B1580="","",IF($F1580="※类别不在基础资料里","※费用类别不在基础资料里",IF(AND(N($J1580)=0,N($K1580)=0),"※这行没填金额",IF(AND(N($J1580)&gt;0,N($K1580)&gt;0),"※收入和支出不能同一行都填",IF(AND($D1580="收入",N($J1580)=0),"※收入行要填收入金额",IF(AND($D1580="支出",N($K1580)=0),"※支出行要填支出金额",IF(AND($C1580&lt;&gt;"",ISNA(MATCH($C1580,账户表,0))),"※账户不在基础资料里",IF(AND($G1580&lt;&gt;"",ISNA(MATCH($G1580,项目名表,0))),"※项目不在项目台账里",IF(AND(LEFT($F1580,3)="成本-",$G1580=""),"※成本类支出没填项目",IF(AND(LEFT($F1580,3)="成本-",$H1580&lt;&gt;"",N($K1580)&gt;0,COUNTIFS(采购单!$B:$B,$B1580,采购单!$C:$C,$H1580,采购单!$L:$L,$K1580)&gt;0),"※这笔可能和采购单重复了",""))))))))))</f>
        <v/>
      </c>
    </row>
    <row r="1581">
      <c r="A1581" s="17">
        <f>IF($B1581="","",ROW()-3)</f>
        <v/>
      </c>
      <c r="B1581" s="18" t="n"/>
      <c r="C1581" s="13" t="n"/>
      <c r="D1581" s="13" t="n"/>
      <c r="E1581" s="13" t="n"/>
      <c r="F1581" s="17">
        <f>IF($E1581="","",IFERROR(VLOOKUP($E1581,类别归属,2,0),"※类别不在基础资料里"))</f>
        <v/>
      </c>
      <c r="G1581" s="13" t="n"/>
      <c r="H1581" s="13" t="n"/>
      <c r="I1581" s="13" t="n"/>
      <c r="J1581" s="14" t="n"/>
      <c r="K1581" s="14" t="n"/>
      <c r="L1581" s="19">
        <f>IF($C1581="","",ROUND(IFERROR(VLOOKUP($C1581,账户期初,2,0),0)+SUMIFS($J$4:J1581,$C$4:C1581,$C1581)-SUMIFS($K$4:K1581,$C$4:C1581,$C1581),2))</f>
        <v/>
      </c>
      <c r="M1581" s="19">
        <f>IF($C1581="","",ROUND(SUM(基础资料!$B$4:$B$13)+SUM($J$4:J1581)-SUM($K$4:K1581),2))</f>
        <v/>
      </c>
      <c r="N1581" s="13" t="n"/>
      <c r="O1581" s="13" t="n"/>
      <c r="P1581" s="17">
        <f>IF($B1581="","",IF($F1581="※类别不在基础资料里","※费用类别不在基础资料里",IF(AND(N($J1581)=0,N($K1581)=0),"※这行没填金额",IF(AND(N($J1581)&gt;0,N($K1581)&gt;0),"※收入和支出不能同一行都填",IF(AND($D1581="收入",N($J1581)=0),"※收入行要填收入金额",IF(AND($D1581="支出",N($K1581)=0),"※支出行要填支出金额",IF(AND($C1581&lt;&gt;"",ISNA(MATCH($C1581,账户表,0))),"※账户不在基础资料里",IF(AND($G1581&lt;&gt;"",ISNA(MATCH($G1581,项目名表,0))),"※项目不在项目台账里",IF(AND(LEFT($F1581,3)="成本-",$G1581=""),"※成本类支出没填项目",IF(AND(LEFT($F1581,3)="成本-",$H1581&lt;&gt;"",N($K1581)&gt;0,COUNTIFS(采购单!$B:$B,$B1581,采购单!$C:$C,$H1581,采购单!$L:$L,$K1581)&gt;0),"※这笔可能和采购单重复了",""))))))))))</f>
        <v/>
      </c>
    </row>
    <row r="1582">
      <c r="A1582" s="17">
        <f>IF($B1582="","",ROW()-3)</f>
        <v/>
      </c>
      <c r="B1582" s="18" t="n"/>
      <c r="C1582" s="13" t="n"/>
      <c r="D1582" s="13" t="n"/>
      <c r="E1582" s="13" t="n"/>
      <c r="F1582" s="17">
        <f>IF($E1582="","",IFERROR(VLOOKUP($E1582,类别归属,2,0),"※类别不在基础资料里"))</f>
        <v/>
      </c>
      <c r="G1582" s="13" t="n"/>
      <c r="H1582" s="13" t="n"/>
      <c r="I1582" s="13" t="n"/>
      <c r="J1582" s="14" t="n"/>
      <c r="K1582" s="14" t="n"/>
      <c r="L1582" s="19">
        <f>IF($C1582="","",ROUND(IFERROR(VLOOKUP($C1582,账户期初,2,0),0)+SUMIFS($J$4:J1582,$C$4:C1582,$C1582)-SUMIFS($K$4:K1582,$C$4:C1582,$C1582),2))</f>
        <v/>
      </c>
      <c r="M1582" s="19">
        <f>IF($C1582="","",ROUND(SUM(基础资料!$B$4:$B$13)+SUM($J$4:J1582)-SUM($K$4:K1582),2))</f>
        <v/>
      </c>
      <c r="N1582" s="13" t="n"/>
      <c r="O1582" s="13" t="n"/>
      <c r="P1582" s="17">
        <f>IF($B1582="","",IF($F1582="※类别不在基础资料里","※费用类别不在基础资料里",IF(AND(N($J1582)=0,N($K1582)=0),"※这行没填金额",IF(AND(N($J1582)&gt;0,N($K1582)&gt;0),"※收入和支出不能同一行都填",IF(AND($D1582="收入",N($J1582)=0),"※收入行要填收入金额",IF(AND($D1582="支出",N($K1582)=0),"※支出行要填支出金额",IF(AND($C1582&lt;&gt;"",ISNA(MATCH($C1582,账户表,0))),"※账户不在基础资料里",IF(AND($G1582&lt;&gt;"",ISNA(MATCH($G1582,项目名表,0))),"※项目不在项目台账里",IF(AND(LEFT($F1582,3)="成本-",$G1582=""),"※成本类支出没填项目",IF(AND(LEFT($F1582,3)="成本-",$H1582&lt;&gt;"",N($K1582)&gt;0,COUNTIFS(采购单!$B:$B,$B1582,采购单!$C:$C,$H1582,采购单!$L:$L,$K1582)&gt;0),"※这笔可能和采购单重复了",""))))))))))</f>
        <v/>
      </c>
    </row>
    <row r="1583">
      <c r="A1583" s="17">
        <f>IF($B1583="","",ROW()-3)</f>
        <v/>
      </c>
      <c r="B1583" s="18" t="n"/>
      <c r="C1583" s="13" t="n"/>
      <c r="D1583" s="13" t="n"/>
      <c r="E1583" s="13" t="n"/>
      <c r="F1583" s="17">
        <f>IF($E1583="","",IFERROR(VLOOKUP($E1583,类别归属,2,0),"※类别不在基础资料里"))</f>
        <v/>
      </c>
      <c r="G1583" s="13" t="n"/>
      <c r="H1583" s="13" t="n"/>
      <c r="I1583" s="13" t="n"/>
      <c r="J1583" s="14" t="n"/>
      <c r="K1583" s="14" t="n"/>
      <c r="L1583" s="19">
        <f>IF($C1583="","",ROUND(IFERROR(VLOOKUP($C1583,账户期初,2,0),0)+SUMIFS($J$4:J1583,$C$4:C1583,$C1583)-SUMIFS($K$4:K1583,$C$4:C1583,$C1583),2))</f>
        <v/>
      </c>
      <c r="M1583" s="19">
        <f>IF($C1583="","",ROUND(SUM(基础资料!$B$4:$B$13)+SUM($J$4:J1583)-SUM($K$4:K1583),2))</f>
        <v/>
      </c>
      <c r="N1583" s="13" t="n"/>
      <c r="O1583" s="13" t="n"/>
      <c r="P1583" s="17">
        <f>IF($B1583="","",IF($F1583="※类别不在基础资料里","※费用类别不在基础资料里",IF(AND(N($J1583)=0,N($K1583)=0),"※这行没填金额",IF(AND(N($J1583)&gt;0,N($K1583)&gt;0),"※收入和支出不能同一行都填",IF(AND($D1583="收入",N($J1583)=0),"※收入行要填收入金额",IF(AND($D1583="支出",N($K1583)=0),"※支出行要填支出金额",IF(AND($C1583&lt;&gt;"",ISNA(MATCH($C1583,账户表,0))),"※账户不在基础资料里",IF(AND($G1583&lt;&gt;"",ISNA(MATCH($G1583,项目名表,0))),"※项目不在项目台账里",IF(AND(LEFT($F1583,3)="成本-",$G1583=""),"※成本类支出没填项目",IF(AND(LEFT($F1583,3)="成本-",$H1583&lt;&gt;"",N($K1583)&gt;0,COUNTIFS(采购单!$B:$B,$B1583,采购单!$C:$C,$H1583,采购单!$L:$L,$K1583)&gt;0),"※这笔可能和采购单重复了",""))))))))))</f>
        <v/>
      </c>
    </row>
    <row r="1584">
      <c r="A1584" s="17">
        <f>IF($B1584="","",ROW()-3)</f>
        <v/>
      </c>
      <c r="B1584" s="18" t="n"/>
      <c r="C1584" s="13" t="n"/>
      <c r="D1584" s="13" t="n"/>
      <c r="E1584" s="13" t="n"/>
      <c r="F1584" s="17">
        <f>IF($E1584="","",IFERROR(VLOOKUP($E1584,类别归属,2,0),"※类别不在基础资料里"))</f>
        <v/>
      </c>
      <c r="G1584" s="13" t="n"/>
      <c r="H1584" s="13" t="n"/>
      <c r="I1584" s="13" t="n"/>
      <c r="J1584" s="14" t="n"/>
      <c r="K1584" s="14" t="n"/>
      <c r="L1584" s="19">
        <f>IF($C1584="","",ROUND(IFERROR(VLOOKUP($C1584,账户期初,2,0),0)+SUMIFS($J$4:J1584,$C$4:C1584,$C1584)-SUMIFS($K$4:K1584,$C$4:C1584,$C1584),2))</f>
        <v/>
      </c>
      <c r="M1584" s="19">
        <f>IF($C1584="","",ROUND(SUM(基础资料!$B$4:$B$13)+SUM($J$4:J1584)-SUM($K$4:K1584),2))</f>
        <v/>
      </c>
      <c r="N1584" s="13" t="n"/>
      <c r="O1584" s="13" t="n"/>
      <c r="P1584" s="17">
        <f>IF($B1584="","",IF($F1584="※类别不在基础资料里","※费用类别不在基础资料里",IF(AND(N($J1584)=0,N($K1584)=0),"※这行没填金额",IF(AND(N($J1584)&gt;0,N($K1584)&gt;0),"※收入和支出不能同一行都填",IF(AND($D1584="收入",N($J1584)=0),"※收入行要填收入金额",IF(AND($D1584="支出",N($K1584)=0),"※支出行要填支出金额",IF(AND($C1584&lt;&gt;"",ISNA(MATCH($C1584,账户表,0))),"※账户不在基础资料里",IF(AND($G1584&lt;&gt;"",ISNA(MATCH($G1584,项目名表,0))),"※项目不在项目台账里",IF(AND(LEFT($F1584,3)="成本-",$G1584=""),"※成本类支出没填项目",IF(AND(LEFT($F1584,3)="成本-",$H1584&lt;&gt;"",N($K1584)&gt;0,COUNTIFS(采购单!$B:$B,$B1584,采购单!$C:$C,$H1584,采购单!$L:$L,$K1584)&gt;0),"※这笔可能和采购单重复了",""))))))))))</f>
        <v/>
      </c>
    </row>
    <row r="1585">
      <c r="A1585" s="17">
        <f>IF($B1585="","",ROW()-3)</f>
        <v/>
      </c>
      <c r="B1585" s="18" t="n"/>
      <c r="C1585" s="13" t="n"/>
      <c r="D1585" s="13" t="n"/>
      <c r="E1585" s="13" t="n"/>
      <c r="F1585" s="17">
        <f>IF($E1585="","",IFERROR(VLOOKUP($E1585,类别归属,2,0),"※类别不在基础资料里"))</f>
        <v/>
      </c>
      <c r="G1585" s="13" t="n"/>
      <c r="H1585" s="13" t="n"/>
      <c r="I1585" s="13" t="n"/>
      <c r="J1585" s="14" t="n"/>
      <c r="K1585" s="14" t="n"/>
      <c r="L1585" s="19">
        <f>IF($C1585="","",ROUND(IFERROR(VLOOKUP($C1585,账户期初,2,0),0)+SUMIFS($J$4:J1585,$C$4:C1585,$C1585)-SUMIFS($K$4:K1585,$C$4:C1585,$C1585),2))</f>
        <v/>
      </c>
      <c r="M1585" s="19">
        <f>IF($C1585="","",ROUND(SUM(基础资料!$B$4:$B$13)+SUM($J$4:J1585)-SUM($K$4:K1585),2))</f>
        <v/>
      </c>
      <c r="N1585" s="13" t="n"/>
      <c r="O1585" s="13" t="n"/>
      <c r="P1585" s="17">
        <f>IF($B1585="","",IF($F1585="※类别不在基础资料里","※费用类别不在基础资料里",IF(AND(N($J1585)=0,N($K1585)=0),"※这行没填金额",IF(AND(N($J1585)&gt;0,N($K1585)&gt;0),"※收入和支出不能同一行都填",IF(AND($D1585="收入",N($J1585)=0),"※收入行要填收入金额",IF(AND($D1585="支出",N($K1585)=0),"※支出行要填支出金额",IF(AND($C1585&lt;&gt;"",ISNA(MATCH($C1585,账户表,0))),"※账户不在基础资料里",IF(AND($G1585&lt;&gt;"",ISNA(MATCH($G1585,项目名表,0))),"※项目不在项目台账里",IF(AND(LEFT($F1585,3)="成本-",$G1585=""),"※成本类支出没填项目",IF(AND(LEFT($F1585,3)="成本-",$H1585&lt;&gt;"",N($K1585)&gt;0,COUNTIFS(采购单!$B:$B,$B1585,采购单!$C:$C,$H1585,采购单!$L:$L,$K1585)&gt;0),"※这笔可能和采购单重复了",""))))))))))</f>
        <v/>
      </c>
    </row>
    <row r="1586">
      <c r="A1586" s="17">
        <f>IF($B1586="","",ROW()-3)</f>
        <v/>
      </c>
      <c r="B1586" s="18" t="n"/>
      <c r="C1586" s="13" t="n"/>
      <c r="D1586" s="13" t="n"/>
      <c r="E1586" s="13" t="n"/>
      <c r="F1586" s="17">
        <f>IF($E1586="","",IFERROR(VLOOKUP($E1586,类别归属,2,0),"※类别不在基础资料里"))</f>
        <v/>
      </c>
      <c r="G1586" s="13" t="n"/>
      <c r="H1586" s="13" t="n"/>
      <c r="I1586" s="13" t="n"/>
      <c r="J1586" s="14" t="n"/>
      <c r="K1586" s="14" t="n"/>
      <c r="L1586" s="19">
        <f>IF($C1586="","",ROUND(IFERROR(VLOOKUP($C1586,账户期初,2,0),0)+SUMIFS($J$4:J1586,$C$4:C1586,$C1586)-SUMIFS($K$4:K1586,$C$4:C1586,$C1586),2))</f>
        <v/>
      </c>
      <c r="M1586" s="19">
        <f>IF($C1586="","",ROUND(SUM(基础资料!$B$4:$B$13)+SUM($J$4:J1586)-SUM($K$4:K1586),2))</f>
        <v/>
      </c>
      <c r="N1586" s="13" t="n"/>
      <c r="O1586" s="13" t="n"/>
      <c r="P1586" s="17">
        <f>IF($B1586="","",IF($F1586="※类别不在基础资料里","※费用类别不在基础资料里",IF(AND(N($J1586)=0,N($K1586)=0),"※这行没填金额",IF(AND(N($J1586)&gt;0,N($K1586)&gt;0),"※收入和支出不能同一行都填",IF(AND($D1586="收入",N($J1586)=0),"※收入行要填收入金额",IF(AND($D1586="支出",N($K1586)=0),"※支出行要填支出金额",IF(AND($C1586&lt;&gt;"",ISNA(MATCH($C1586,账户表,0))),"※账户不在基础资料里",IF(AND($G1586&lt;&gt;"",ISNA(MATCH($G1586,项目名表,0))),"※项目不在项目台账里",IF(AND(LEFT($F1586,3)="成本-",$G1586=""),"※成本类支出没填项目",IF(AND(LEFT($F1586,3)="成本-",$H1586&lt;&gt;"",N($K1586)&gt;0,COUNTIFS(采购单!$B:$B,$B1586,采购单!$C:$C,$H1586,采购单!$L:$L,$K1586)&gt;0),"※这笔可能和采购单重复了",""))))))))))</f>
        <v/>
      </c>
    </row>
    <row r="1587">
      <c r="A1587" s="17">
        <f>IF($B1587="","",ROW()-3)</f>
        <v/>
      </c>
      <c r="B1587" s="18" t="n"/>
      <c r="C1587" s="13" t="n"/>
      <c r="D1587" s="13" t="n"/>
      <c r="E1587" s="13" t="n"/>
      <c r="F1587" s="17">
        <f>IF($E1587="","",IFERROR(VLOOKUP($E1587,类别归属,2,0),"※类别不在基础资料里"))</f>
        <v/>
      </c>
      <c r="G1587" s="13" t="n"/>
      <c r="H1587" s="13" t="n"/>
      <c r="I1587" s="13" t="n"/>
      <c r="J1587" s="14" t="n"/>
      <c r="K1587" s="14" t="n"/>
      <c r="L1587" s="19">
        <f>IF($C1587="","",ROUND(IFERROR(VLOOKUP($C1587,账户期初,2,0),0)+SUMIFS($J$4:J1587,$C$4:C1587,$C1587)-SUMIFS($K$4:K1587,$C$4:C1587,$C1587),2))</f>
        <v/>
      </c>
      <c r="M1587" s="19">
        <f>IF($C1587="","",ROUND(SUM(基础资料!$B$4:$B$13)+SUM($J$4:J1587)-SUM($K$4:K1587),2))</f>
        <v/>
      </c>
      <c r="N1587" s="13" t="n"/>
      <c r="O1587" s="13" t="n"/>
      <c r="P1587" s="17">
        <f>IF($B1587="","",IF($F1587="※类别不在基础资料里","※费用类别不在基础资料里",IF(AND(N($J1587)=0,N($K1587)=0),"※这行没填金额",IF(AND(N($J1587)&gt;0,N($K1587)&gt;0),"※收入和支出不能同一行都填",IF(AND($D1587="收入",N($J1587)=0),"※收入行要填收入金额",IF(AND($D1587="支出",N($K1587)=0),"※支出行要填支出金额",IF(AND($C1587&lt;&gt;"",ISNA(MATCH($C1587,账户表,0))),"※账户不在基础资料里",IF(AND($G1587&lt;&gt;"",ISNA(MATCH($G1587,项目名表,0))),"※项目不在项目台账里",IF(AND(LEFT($F1587,3)="成本-",$G1587=""),"※成本类支出没填项目",IF(AND(LEFT($F1587,3)="成本-",$H1587&lt;&gt;"",N($K1587)&gt;0,COUNTIFS(采购单!$B:$B,$B1587,采购单!$C:$C,$H1587,采购单!$L:$L,$K1587)&gt;0),"※这笔可能和采购单重复了",""))))))))))</f>
        <v/>
      </c>
    </row>
    <row r="1588">
      <c r="A1588" s="17">
        <f>IF($B1588="","",ROW()-3)</f>
        <v/>
      </c>
      <c r="B1588" s="18" t="n"/>
      <c r="C1588" s="13" t="n"/>
      <c r="D1588" s="13" t="n"/>
      <c r="E1588" s="13" t="n"/>
      <c r="F1588" s="17">
        <f>IF($E1588="","",IFERROR(VLOOKUP($E1588,类别归属,2,0),"※类别不在基础资料里"))</f>
        <v/>
      </c>
      <c r="G1588" s="13" t="n"/>
      <c r="H1588" s="13" t="n"/>
      <c r="I1588" s="13" t="n"/>
      <c r="J1588" s="14" t="n"/>
      <c r="K1588" s="14" t="n"/>
      <c r="L1588" s="19">
        <f>IF($C1588="","",ROUND(IFERROR(VLOOKUP($C1588,账户期初,2,0),0)+SUMIFS($J$4:J1588,$C$4:C1588,$C1588)-SUMIFS($K$4:K1588,$C$4:C1588,$C1588),2))</f>
        <v/>
      </c>
      <c r="M1588" s="19">
        <f>IF($C1588="","",ROUND(SUM(基础资料!$B$4:$B$13)+SUM($J$4:J1588)-SUM($K$4:K1588),2))</f>
        <v/>
      </c>
      <c r="N1588" s="13" t="n"/>
      <c r="O1588" s="13" t="n"/>
      <c r="P1588" s="17">
        <f>IF($B1588="","",IF($F1588="※类别不在基础资料里","※费用类别不在基础资料里",IF(AND(N($J1588)=0,N($K1588)=0),"※这行没填金额",IF(AND(N($J1588)&gt;0,N($K1588)&gt;0),"※收入和支出不能同一行都填",IF(AND($D1588="收入",N($J1588)=0),"※收入行要填收入金额",IF(AND($D1588="支出",N($K1588)=0),"※支出行要填支出金额",IF(AND($C1588&lt;&gt;"",ISNA(MATCH($C1588,账户表,0))),"※账户不在基础资料里",IF(AND($G1588&lt;&gt;"",ISNA(MATCH($G1588,项目名表,0))),"※项目不在项目台账里",IF(AND(LEFT($F1588,3)="成本-",$G1588=""),"※成本类支出没填项目",IF(AND(LEFT($F1588,3)="成本-",$H1588&lt;&gt;"",N($K1588)&gt;0,COUNTIFS(采购单!$B:$B,$B1588,采购单!$C:$C,$H1588,采购单!$L:$L,$K1588)&gt;0),"※这笔可能和采购单重复了",""))))))))))</f>
        <v/>
      </c>
    </row>
    <row r="1589">
      <c r="A1589" s="17">
        <f>IF($B1589="","",ROW()-3)</f>
        <v/>
      </c>
      <c r="B1589" s="18" t="n"/>
      <c r="C1589" s="13" t="n"/>
      <c r="D1589" s="13" t="n"/>
      <c r="E1589" s="13" t="n"/>
      <c r="F1589" s="17">
        <f>IF($E1589="","",IFERROR(VLOOKUP($E1589,类别归属,2,0),"※类别不在基础资料里"))</f>
        <v/>
      </c>
      <c r="G1589" s="13" t="n"/>
      <c r="H1589" s="13" t="n"/>
      <c r="I1589" s="13" t="n"/>
      <c r="J1589" s="14" t="n"/>
      <c r="K1589" s="14" t="n"/>
      <c r="L1589" s="19">
        <f>IF($C1589="","",ROUND(IFERROR(VLOOKUP($C1589,账户期初,2,0),0)+SUMIFS($J$4:J1589,$C$4:C1589,$C1589)-SUMIFS($K$4:K1589,$C$4:C1589,$C1589),2))</f>
        <v/>
      </c>
      <c r="M1589" s="19">
        <f>IF($C1589="","",ROUND(SUM(基础资料!$B$4:$B$13)+SUM($J$4:J1589)-SUM($K$4:K1589),2))</f>
        <v/>
      </c>
      <c r="N1589" s="13" t="n"/>
      <c r="O1589" s="13" t="n"/>
      <c r="P1589" s="17">
        <f>IF($B1589="","",IF($F1589="※类别不在基础资料里","※费用类别不在基础资料里",IF(AND(N($J1589)=0,N($K1589)=0),"※这行没填金额",IF(AND(N($J1589)&gt;0,N($K1589)&gt;0),"※收入和支出不能同一行都填",IF(AND($D1589="收入",N($J1589)=0),"※收入行要填收入金额",IF(AND($D1589="支出",N($K1589)=0),"※支出行要填支出金额",IF(AND($C1589&lt;&gt;"",ISNA(MATCH($C1589,账户表,0))),"※账户不在基础资料里",IF(AND($G1589&lt;&gt;"",ISNA(MATCH($G1589,项目名表,0))),"※项目不在项目台账里",IF(AND(LEFT($F1589,3)="成本-",$G1589=""),"※成本类支出没填项目",IF(AND(LEFT($F1589,3)="成本-",$H1589&lt;&gt;"",N($K1589)&gt;0,COUNTIFS(采购单!$B:$B,$B1589,采购单!$C:$C,$H1589,采购单!$L:$L,$K1589)&gt;0),"※这笔可能和采购单重复了",""))))))))))</f>
        <v/>
      </c>
    </row>
    <row r="1590">
      <c r="A1590" s="17">
        <f>IF($B1590="","",ROW()-3)</f>
        <v/>
      </c>
      <c r="B1590" s="18" t="n"/>
      <c r="C1590" s="13" t="n"/>
      <c r="D1590" s="13" t="n"/>
      <c r="E1590" s="13" t="n"/>
      <c r="F1590" s="17">
        <f>IF($E1590="","",IFERROR(VLOOKUP($E1590,类别归属,2,0),"※类别不在基础资料里"))</f>
        <v/>
      </c>
      <c r="G1590" s="13" t="n"/>
      <c r="H1590" s="13" t="n"/>
      <c r="I1590" s="13" t="n"/>
      <c r="J1590" s="14" t="n"/>
      <c r="K1590" s="14" t="n"/>
      <c r="L1590" s="19">
        <f>IF($C1590="","",ROUND(IFERROR(VLOOKUP($C1590,账户期初,2,0),0)+SUMIFS($J$4:J1590,$C$4:C1590,$C1590)-SUMIFS($K$4:K1590,$C$4:C1590,$C1590),2))</f>
        <v/>
      </c>
      <c r="M1590" s="19">
        <f>IF($C1590="","",ROUND(SUM(基础资料!$B$4:$B$13)+SUM($J$4:J1590)-SUM($K$4:K1590),2))</f>
        <v/>
      </c>
      <c r="N1590" s="13" t="n"/>
      <c r="O1590" s="13" t="n"/>
      <c r="P1590" s="17">
        <f>IF($B1590="","",IF($F1590="※类别不在基础资料里","※费用类别不在基础资料里",IF(AND(N($J1590)=0,N($K1590)=0),"※这行没填金额",IF(AND(N($J1590)&gt;0,N($K1590)&gt;0),"※收入和支出不能同一行都填",IF(AND($D1590="收入",N($J1590)=0),"※收入行要填收入金额",IF(AND($D1590="支出",N($K1590)=0),"※支出行要填支出金额",IF(AND($C1590&lt;&gt;"",ISNA(MATCH($C1590,账户表,0))),"※账户不在基础资料里",IF(AND($G1590&lt;&gt;"",ISNA(MATCH($G1590,项目名表,0))),"※项目不在项目台账里",IF(AND(LEFT($F1590,3)="成本-",$G1590=""),"※成本类支出没填项目",IF(AND(LEFT($F1590,3)="成本-",$H1590&lt;&gt;"",N($K1590)&gt;0,COUNTIFS(采购单!$B:$B,$B1590,采购单!$C:$C,$H1590,采购单!$L:$L,$K1590)&gt;0),"※这笔可能和采购单重复了",""))))))))))</f>
        <v/>
      </c>
    </row>
    <row r="1591">
      <c r="A1591" s="17">
        <f>IF($B1591="","",ROW()-3)</f>
        <v/>
      </c>
      <c r="B1591" s="18" t="n"/>
      <c r="C1591" s="13" t="n"/>
      <c r="D1591" s="13" t="n"/>
      <c r="E1591" s="13" t="n"/>
      <c r="F1591" s="17">
        <f>IF($E1591="","",IFERROR(VLOOKUP($E1591,类别归属,2,0),"※类别不在基础资料里"))</f>
        <v/>
      </c>
      <c r="G1591" s="13" t="n"/>
      <c r="H1591" s="13" t="n"/>
      <c r="I1591" s="13" t="n"/>
      <c r="J1591" s="14" t="n"/>
      <c r="K1591" s="14" t="n"/>
      <c r="L1591" s="19">
        <f>IF($C1591="","",ROUND(IFERROR(VLOOKUP($C1591,账户期初,2,0),0)+SUMIFS($J$4:J1591,$C$4:C1591,$C1591)-SUMIFS($K$4:K1591,$C$4:C1591,$C1591),2))</f>
        <v/>
      </c>
      <c r="M1591" s="19">
        <f>IF($C1591="","",ROUND(SUM(基础资料!$B$4:$B$13)+SUM($J$4:J1591)-SUM($K$4:K1591),2))</f>
        <v/>
      </c>
      <c r="N1591" s="13" t="n"/>
      <c r="O1591" s="13" t="n"/>
      <c r="P1591" s="17">
        <f>IF($B1591="","",IF($F1591="※类别不在基础资料里","※费用类别不在基础资料里",IF(AND(N($J1591)=0,N($K1591)=0),"※这行没填金额",IF(AND(N($J1591)&gt;0,N($K1591)&gt;0),"※收入和支出不能同一行都填",IF(AND($D1591="收入",N($J1591)=0),"※收入行要填收入金额",IF(AND($D1591="支出",N($K1591)=0),"※支出行要填支出金额",IF(AND($C1591&lt;&gt;"",ISNA(MATCH($C1591,账户表,0))),"※账户不在基础资料里",IF(AND($G1591&lt;&gt;"",ISNA(MATCH($G1591,项目名表,0))),"※项目不在项目台账里",IF(AND(LEFT($F1591,3)="成本-",$G1591=""),"※成本类支出没填项目",IF(AND(LEFT($F1591,3)="成本-",$H1591&lt;&gt;"",N($K1591)&gt;0,COUNTIFS(采购单!$B:$B,$B1591,采购单!$C:$C,$H1591,采购单!$L:$L,$K1591)&gt;0),"※这笔可能和采购单重复了",""))))))))))</f>
        <v/>
      </c>
    </row>
    <row r="1592">
      <c r="A1592" s="17">
        <f>IF($B1592="","",ROW()-3)</f>
        <v/>
      </c>
      <c r="B1592" s="18" t="n"/>
      <c r="C1592" s="13" t="n"/>
      <c r="D1592" s="13" t="n"/>
      <c r="E1592" s="13" t="n"/>
      <c r="F1592" s="17">
        <f>IF($E1592="","",IFERROR(VLOOKUP($E1592,类别归属,2,0),"※类别不在基础资料里"))</f>
        <v/>
      </c>
      <c r="G1592" s="13" t="n"/>
      <c r="H1592" s="13" t="n"/>
      <c r="I1592" s="13" t="n"/>
      <c r="J1592" s="14" t="n"/>
      <c r="K1592" s="14" t="n"/>
      <c r="L1592" s="19">
        <f>IF($C1592="","",ROUND(IFERROR(VLOOKUP($C1592,账户期初,2,0),0)+SUMIFS($J$4:J1592,$C$4:C1592,$C1592)-SUMIFS($K$4:K1592,$C$4:C1592,$C1592),2))</f>
        <v/>
      </c>
      <c r="M1592" s="19">
        <f>IF($C1592="","",ROUND(SUM(基础资料!$B$4:$B$13)+SUM($J$4:J1592)-SUM($K$4:K1592),2))</f>
        <v/>
      </c>
      <c r="N1592" s="13" t="n"/>
      <c r="O1592" s="13" t="n"/>
      <c r="P1592" s="17">
        <f>IF($B1592="","",IF($F1592="※类别不在基础资料里","※费用类别不在基础资料里",IF(AND(N($J1592)=0,N($K1592)=0),"※这行没填金额",IF(AND(N($J1592)&gt;0,N($K1592)&gt;0),"※收入和支出不能同一行都填",IF(AND($D1592="收入",N($J1592)=0),"※收入行要填收入金额",IF(AND($D1592="支出",N($K1592)=0),"※支出行要填支出金额",IF(AND($C1592&lt;&gt;"",ISNA(MATCH($C1592,账户表,0))),"※账户不在基础资料里",IF(AND($G1592&lt;&gt;"",ISNA(MATCH($G1592,项目名表,0))),"※项目不在项目台账里",IF(AND(LEFT($F1592,3)="成本-",$G1592=""),"※成本类支出没填项目",IF(AND(LEFT($F1592,3)="成本-",$H1592&lt;&gt;"",N($K1592)&gt;0,COUNTIFS(采购单!$B:$B,$B1592,采购单!$C:$C,$H1592,采购单!$L:$L,$K1592)&gt;0),"※这笔可能和采购单重复了",""))))))))))</f>
        <v/>
      </c>
    </row>
    <row r="1593">
      <c r="A1593" s="17">
        <f>IF($B1593="","",ROW()-3)</f>
        <v/>
      </c>
      <c r="B1593" s="18" t="n"/>
      <c r="C1593" s="13" t="n"/>
      <c r="D1593" s="13" t="n"/>
      <c r="E1593" s="13" t="n"/>
      <c r="F1593" s="17">
        <f>IF($E1593="","",IFERROR(VLOOKUP($E1593,类别归属,2,0),"※类别不在基础资料里"))</f>
        <v/>
      </c>
      <c r="G1593" s="13" t="n"/>
      <c r="H1593" s="13" t="n"/>
      <c r="I1593" s="13" t="n"/>
      <c r="J1593" s="14" t="n"/>
      <c r="K1593" s="14" t="n"/>
      <c r="L1593" s="19">
        <f>IF($C1593="","",ROUND(IFERROR(VLOOKUP($C1593,账户期初,2,0),0)+SUMIFS($J$4:J1593,$C$4:C1593,$C1593)-SUMIFS($K$4:K1593,$C$4:C1593,$C1593),2))</f>
        <v/>
      </c>
      <c r="M1593" s="19">
        <f>IF($C1593="","",ROUND(SUM(基础资料!$B$4:$B$13)+SUM($J$4:J1593)-SUM($K$4:K1593),2))</f>
        <v/>
      </c>
      <c r="N1593" s="13" t="n"/>
      <c r="O1593" s="13" t="n"/>
      <c r="P1593" s="17">
        <f>IF($B1593="","",IF($F1593="※类别不在基础资料里","※费用类别不在基础资料里",IF(AND(N($J1593)=0,N($K1593)=0),"※这行没填金额",IF(AND(N($J1593)&gt;0,N($K1593)&gt;0),"※收入和支出不能同一行都填",IF(AND($D1593="收入",N($J1593)=0),"※收入行要填收入金额",IF(AND($D1593="支出",N($K1593)=0),"※支出行要填支出金额",IF(AND($C1593&lt;&gt;"",ISNA(MATCH($C1593,账户表,0))),"※账户不在基础资料里",IF(AND($G1593&lt;&gt;"",ISNA(MATCH($G1593,项目名表,0))),"※项目不在项目台账里",IF(AND(LEFT($F1593,3)="成本-",$G1593=""),"※成本类支出没填项目",IF(AND(LEFT($F1593,3)="成本-",$H1593&lt;&gt;"",N($K1593)&gt;0,COUNTIFS(采购单!$B:$B,$B1593,采购单!$C:$C,$H1593,采购单!$L:$L,$K1593)&gt;0),"※这笔可能和采购单重复了",""))))))))))</f>
        <v/>
      </c>
    </row>
    <row r="1594">
      <c r="A1594" s="17">
        <f>IF($B1594="","",ROW()-3)</f>
        <v/>
      </c>
      <c r="B1594" s="18" t="n"/>
      <c r="C1594" s="13" t="n"/>
      <c r="D1594" s="13" t="n"/>
      <c r="E1594" s="13" t="n"/>
      <c r="F1594" s="17">
        <f>IF($E1594="","",IFERROR(VLOOKUP($E1594,类别归属,2,0),"※类别不在基础资料里"))</f>
        <v/>
      </c>
      <c r="G1594" s="13" t="n"/>
      <c r="H1594" s="13" t="n"/>
      <c r="I1594" s="13" t="n"/>
      <c r="J1594" s="14" t="n"/>
      <c r="K1594" s="14" t="n"/>
      <c r="L1594" s="19">
        <f>IF($C1594="","",ROUND(IFERROR(VLOOKUP($C1594,账户期初,2,0),0)+SUMIFS($J$4:J1594,$C$4:C1594,$C1594)-SUMIFS($K$4:K1594,$C$4:C1594,$C1594),2))</f>
        <v/>
      </c>
      <c r="M1594" s="19">
        <f>IF($C1594="","",ROUND(SUM(基础资料!$B$4:$B$13)+SUM($J$4:J1594)-SUM($K$4:K1594),2))</f>
        <v/>
      </c>
      <c r="N1594" s="13" t="n"/>
      <c r="O1594" s="13" t="n"/>
      <c r="P1594" s="17">
        <f>IF($B1594="","",IF($F1594="※类别不在基础资料里","※费用类别不在基础资料里",IF(AND(N($J1594)=0,N($K1594)=0),"※这行没填金额",IF(AND(N($J1594)&gt;0,N($K1594)&gt;0),"※收入和支出不能同一行都填",IF(AND($D1594="收入",N($J1594)=0),"※收入行要填收入金额",IF(AND($D1594="支出",N($K1594)=0),"※支出行要填支出金额",IF(AND($C1594&lt;&gt;"",ISNA(MATCH($C1594,账户表,0))),"※账户不在基础资料里",IF(AND($G1594&lt;&gt;"",ISNA(MATCH($G1594,项目名表,0))),"※项目不在项目台账里",IF(AND(LEFT($F1594,3)="成本-",$G1594=""),"※成本类支出没填项目",IF(AND(LEFT($F1594,3)="成本-",$H1594&lt;&gt;"",N($K1594)&gt;0,COUNTIFS(采购单!$B:$B,$B1594,采购单!$C:$C,$H1594,采购单!$L:$L,$K1594)&gt;0),"※这笔可能和采购单重复了",""))))))))))</f>
        <v/>
      </c>
    </row>
    <row r="1595">
      <c r="A1595" s="17">
        <f>IF($B1595="","",ROW()-3)</f>
        <v/>
      </c>
      <c r="B1595" s="18" t="n"/>
      <c r="C1595" s="13" t="n"/>
      <c r="D1595" s="13" t="n"/>
      <c r="E1595" s="13" t="n"/>
      <c r="F1595" s="17">
        <f>IF($E1595="","",IFERROR(VLOOKUP($E1595,类别归属,2,0),"※类别不在基础资料里"))</f>
        <v/>
      </c>
      <c r="G1595" s="13" t="n"/>
      <c r="H1595" s="13" t="n"/>
      <c r="I1595" s="13" t="n"/>
      <c r="J1595" s="14" t="n"/>
      <c r="K1595" s="14" t="n"/>
      <c r="L1595" s="19">
        <f>IF($C1595="","",ROUND(IFERROR(VLOOKUP($C1595,账户期初,2,0),0)+SUMIFS($J$4:J1595,$C$4:C1595,$C1595)-SUMIFS($K$4:K1595,$C$4:C1595,$C1595),2))</f>
        <v/>
      </c>
      <c r="M1595" s="19">
        <f>IF($C1595="","",ROUND(SUM(基础资料!$B$4:$B$13)+SUM($J$4:J1595)-SUM($K$4:K1595),2))</f>
        <v/>
      </c>
      <c r="N1595" s="13" t="n"/>
      <c r="O1595" s="13" t="n"/>
      <c r="P1595" s="17">
        <f>IF($B1595="","",IF($F1595="※类别不在基础资料里","※费用类别不在基础资料里",IF(AND(N($J1595)=0,N($K1595)=0),"※这行没填金额",IF(AND(N($J1595)&gt;0,N($K1595)&gt;0),"※收入和支出不能同一行都填",IF(AND($D1595="收入",N($J1595)=0),"※收入行要填收入金额",IF(AND($D1595="支出",N($K1595)=0),"※支出行要填支出金额",IF(AND($C1595&lt;&gt;"",ISNA(MATCH($C1595,账户表,0))),"※账户不在基础资料里",IF(AND($G1595&lt;&gt;"",ISNA(MATCH($G1595,项目名表,0))),"※项目不在项目台账里",IF(AND(LEFT($F1595,3)="成本-",$G1595=""),"※成本类支出没填项目",IF(AND(LEFT($F1595,3)="成本-",$H1595&lt;&gt;"",N($K1595)&gt;0,COUNTIFS(采购单!$B:$B,$B1595,采购单!$C:$C,$H1595,采购单!$L:$L,$K1595)&gt;0),"※这笔可能和采购单重复了",""))))))))))</f>
        <v/>
      </c>
    </row>
    <row r="1596">
      <c r="A1596" s="17">
        <f>IF($B1596="","",ROW()-3)</f>
        <v/>
      </c>
      <c r="B1596" s="18" t="n"/>
      <c r="C1596" s="13" t="n"/>
      <c r="D1596" s="13" t="n"/>
      <c r="E1596" s="13" t="n"/>
      <c r="F1596" s="17">
        <f>IF($E1596="","",IFERROR(VLOOKUP($E1596,类别归属,2,0),"※类别不在基础资料里"))</f>
        <v/>
      </c>
      <c r="G1596" s="13" t="n"/>
      <c r="H1596" s="13" t="n"/>
      <c r="I1596" s="13" t="n"/>
      <c r="J1596" s="14" t="n"/>
      <c r="K1596" s="14" t="n"/>
      <c r="L1596" s="19">
        <f>IF($C1596="","",ROUND(IFERROR(VLOOKUP($C1596,账户期初,2,0),0)+SUMIFS($J$4:J1596,$C$4:C1596,$C1596)-SUMIFS($K$4:K1596,$C$4:C1596,$C1596),2))</f>
        <v/>
      </c>
      <c r="M1596" s="19">
        <f>IF($C1596="","",ROUND(SUM(基础资料!$B$4:$B$13)+SUM($J$4:J1596)-SUM($K$4:K1596),2))</f>
        <v/>
      </c>
      <c r="N1596" s="13" t="n"/>
      <c r="O1596" s="13" t="n"/>
      <c r="P1596" s="17">
        <f>IF($B1596="","",IF($F1596="※类别不在基础资料里","※费用类别不在基础资料里",IF(AND(N($J1596)=0,N($K1596)=0),"※这行没填金额",IF(AND(N($J1596)&gt;0,N($K1596)&gt;0),"※收入和支出不能同一行都填",IF(AND($D1596="收入",N($J1596)=0),"※收入行要填收入金额",IF(AND($D1596="支出",N($K1596)=0),"※支出行要填支出金额",IF(AND($C1596&lt;&gt;"",ISNA(MATCH($C1596,账户表,0))),"※账户不在基础资料里",IF(AND($G1596&lt;&gt;"",ISNA(MATCH($G1596,项目名表,0))),"※项目不在项目台账里",IF(AND(LEFT($F1596,3)="成本-",$G1596=""),"※成本类支出没填项目",IF(AND(LEFT($F1596,3)="成本-",$H1596&lt;&gt;"",N($K1596)&gt;0,COUNTIFS(采购单!$B:$B,$B1596,采购单!$C:$C,$H1596,采购单!$L:$L,$K1596)&gt;0),"※这笔可能和采购单重复了",""))))))))))</f>
        <v/>
      </c>
    </row>
    <row r="1597">
      <c r="A1597" s="17">
        <f>IF($B1597="","",ROW()-3)</f>
        <v/>
      </c>
      <c r="B1597" s="18" t="n"/>
      <c r="C1597" s="13" t="n"/>
      <c r="D1597" s="13" t="n"/>
      <c r="E1597" s="13" t="n"/>
      <c r="F1597" s="17">
        <f>IF($E1597="","",IFERROR(VLOOKUP($E1597,类别归属,2,0),"※类别不在基础资料里"))</f>
        <v/>
      </c>
      <c r="G1597" s="13" t="n"/>
      <c r="H1597" s="13" t="n"/>
      <c r="I1597" s="13" t="n"/>
      <c r="J1597" s="14" t="n"/>
      <c r="K1597" s="14" t="n"/>
      <c r="L1597" s="19">
        <f>IF($C1597="","",ROUND(IFERROR(VLOOKUP($C1597,账户期初,2,0),0)+SUMIFS($J$4:J1597,$C$4:C1597,$C1597)-SUMIFS($K$4:K1597,$C$4:C1597,$C1597),2))</f>
        <v/>
      </c>
      <c r="M1597" s="19">
        <f>IF($C1597="","",ROUND(SUM(基础资料!$B$4:$B$13)+SUM($J$4:J1597)-SUM($K$4:K1597),2))</f>
        <v/>
      </c>
      <c r="N1597" s="13" t="n"/>
      <c r="O1597" s="13" t="n"/>
      <c r="P1597" s="17">
        <f>IF($B1597="","",IF($F1597="※类别不在基础资料里","※费用类别不在基础资料里",IF(AND(N($J1597)=0,N($K1597)=0),"※这行没填金额",IF(AND(N($J1597)&gt;0,N($K1597)&gt;0),"※收入和支出不能同一行都填",IF(AND($D1597="收入",N($J1597)=0),"※收入行要填收入金额",IF(AND($D1597="支出",N($K1597)=0),"※支出行要填支出金额",IF(AND($C1597&lt;&gt;"",ISNA(MATCH($C1597,账户表,0))),"※账户不在基础资料里",IF(AND($G1597&lt;&gt;"",ISNA(MATCH($G1597,项目名表,0))),"※项目不在项目台账里",IF(AND(LEFT($F1597,3)="成本-",$G1597=""),"※成本类支出没填项目",IF(AND(LEFT($F1597,3)="成本-",$H1597&lt;&gt;"",N($K1597)&gt;0,COUNTIFS(采购单!$B:$B,$B1597,采购单!$C:$C,$H1597,采购单!$L:$L,$K1597)&gt;0),"※这笔可能和采购单重复了",""))))))))))</f>
        <v/>
      </c>
    </row>
    <row r="1598">
      <c r="A1598" s="17">
        <f>IF($B1598="","",ROW()-3)</f>
        <v/>
      </c>
      <c r="B1598" s="18" t="n"/>
      <c r="C1598" s="13" t="n"/>
      <c r="D1598" s="13" t="n"/>
      <c r="E1598" s="13" t="n"/>
      <c r="F1598" s="17">
        <f>IF($E1598="","",IFERROR(VLOOKUP($E1598,类别归属,2,0),"※类别不在基础资料里"))</f>
        <v/>
      </c>
      <c r="G1598" s="13" t="n"/>
      <c r="H1598" s="13" t="n"/>
      <c r="I1598" s="13" t="n"/>
      <c r="J1598" s="14" t="n"/>
      <c r="K1598" s="14" t="n"/>
      <c r="L1598" s="19">
        <f>IF($C1598="","",ROUND(IFERROR(VLOOKUP($C1598,账户期初,2,0),0)+SUMIFS($J$4:J1598,$C$4:C1598,$C1598)-SUMIFS($K$4:K1598,$C$4:C1598,$C1598),2))</f>
        <v/>
      </c>
      <c r="M1598" s="19">
        <f>IF($C1598="","",ROUND(SUM(基础资料!$B$4:$B$13)+SUM($J$4:J1598)-SUM($K$4:K1598),2))</f>
        <v/>
      </c>
      <c r="N1598" s="13" t="n"/>
      <c r="O1598" s="13" t="n"/>
      <c r="P1598" s="17">
        <f>IF($B1598="","",IF($F1598="※类别不在基础资料里","※费用类别不在基础资料里",IF(AND(N($J1598)=0,N($K1598)=0),"※这行没填金额",IF(AND(N($J1598)&gt;0,N($K1598)&gt;0),"※收入和支出不能同一行都填",IF(AND($D1598="收入",N($J1598)=0),"※收入行要填收入金额",IF(AND($D1598="支出",N($K1598)=0),"※支出行要填支出金额",IF(AND($C1598&lt;&gt;"",ISNA(MATCH($C1598,账户表,0))),"※账户不在基础资料里",IF(AND($G1598&lt;&gt;"",ISNA(MATCH($G1598,项目名表,0))),"※项目不在项目台账里",IF(AND(LEFT($F1598,3)="成本-",$G1598=""),"※成本类支出没填项目",IF(AND(LEFT($F1598,3)="成本-",$H1598&lt;&gt;"",N($K1598)&gt;0,COUNTIFS(采购单!$B:$B,$B1598,采购单!$C:$C,$H1598,采购单!$L:$L,$K1598)&gt;0),"※这笔可能和采购单重复了",""))))))))))</f>
        <v/>
      </c>
    </row>
    <row r="1599">
      <c r="A1599" s="17">
        <f>IF($B1599="","",ROW()-3)</f>
        <v/>
      </c>
      <c r="B1599" s="18" t="n"/>
      <c r="C1599" s="13" t="n"/>
      <c r="D1599" s="13" t="n"/>
      <c r="E1599" s="13" t="n"/>
      <c r="F1599" s="17">
        <f>IF($E1599="","",IFERROR(VLOOKUP($E1599,类别归属,2,0),"※类别不在基础资料里"))</f>
        <v/>
      </c>
      <c r="G1599" s="13" t="n"/>
      <c r="H1599" s="13" t="n"/>
      <c r="I1599" s="13" t="n"/>
      <c r="J1599" s="14" t="n"/>
      <c r="K1599" s="14" t="n"/>
      <c r="L1599" s="19">
        <f>IF($C1599="","",ROUND(IFERROR(VLOOKUP($C1599,账户期初,2,0),0)+SUMIFS($J$4:J1599,$C$4:C1599,$C1599)-SUMIFS($K$4:K1599,$C$4:C1599,$C1599),2))</f>
        <v/>
      </c>
      <c r="M1599" s="19">
        <f>IF($C1599="","",ROUND(SUM(基础资料!$B$4:$B$13)+SUM($J$4:J1599)-SUM($K$4:K1599),2))</f>
        <v/>
      </c>
      <c r="N1599" s="13" t="n"/>
      <c r="O1599" s="13" t="n"/>
      <c r="P1599" s="17">
        <f>IF($B1599="","",IF($F1599="※类别不在基础资料里","※费用类别不在基础资料里",IF(AND(N($J1599)=0,N($K1599)=0),"※这行没填金额",IF(AND(N($J1599)&gt;0,N($K1599)&gt;0),"※收入和支出不能同一行都填",IF(AND($D1599="收入",N($J1599)=0),"※收入行要填收入金额",IF(AND($D1599="支出",N($K1599)=0),"※支出行要填支出金额",IF(AND($C1599&lt;&gt;"",ISNA(MATCH($C1599,账户表,0))),"※账户不在基础资料里",IF(AND($G1599&lt;&gt;"",ISNA(MATCH($G1599,项目名表,0))),"※项目不在项目台账里",IF(AND(LEFT($F1599,3)="成本-",$G1599=""),"※成本类支出没填项目",IF(AND(LEFT($F1599,3)="成本-",$H1599&lt;&gt;"",N($K1599)&gt;0,COUNTIFS(采购单!$B:$B,$B1599,采购单!$C:$C,$H1599,采购单!$L:$L,$K1599)&gt;0),"※这笔可能和采购单重复了",""))))))))))</f>
        <v/>
      </c>
    </row>
    <row r="1600">
      <c r="A1600" s="17">
        <f>IF($B1600="","",ROW()-3)</f>
        <v/>
      </c>
      <c r="B1600" s="18" t="n"/>
      <c r="C1600" s="13" t="n"/>
      <c r="D1600" s="13" t="n"/>
      <c r="E1600" s="13" t="n"/>
      <c r="F1600" s="17">
        <f>IF($E1600="","",IFERROR(VLOOKUP($E1600,类别归属,2,0),"※类别不在基础资料里"))</f>
        <v/>
      </c>
      <c r="G1600" s="13" t="n"/>
      <c r="H1600" s="13" t="n"/>
      <c r="I1600" s="13" t="n"/>
      <c r="J1600" s="14" t="n"/>
      <c r="K1600" s="14" t="n"/>
      <c r="L1600" s="19">
        <f>IF($C1600="","",ROUND(IFERROR(VLOOKUP($C1600,账户期初,2,0),0)+SUMIFS($J$4:J1600,$C$4:C1600,$C1600)-SUMIFS($K$4:K1600,$C$4:C1600,$C1600),2))</f>
        <v/>
      </c>
      <c r="M1600" s="19">
        <f>IF($C1600="","",ROUND(SUM(基础资料!$B$4:$B$13)+SUM($J$4:J1600)-SUM($K$4:K1600),2))</f>
        <v/>
      </c>
      <c r="N1600" s="13" t="n"/>
      <c r="O1600" s="13" t="n"/>
      <c r="P1600" s="17">
        <f>IF($B1600="","",IF($F1600="※类别不在基础资料里","※费用类别不在基础资料里",IF(AND(N($J1600)=0,N($K1600)=0),"※这行没填金额",IF(AND(N($J1600)&gt;0,N($K1600)&gt;0),"※收入和支出不能同一行都填",IF(AND($D1600="收入",N($J1600)=0),"※收入行要填收入金额",IF(AND($D1600="支出",N($K1600)=0),"※支出行要填支出金额",IF(AND($C1600&lt;&gt;"",ISNA(MATCH($C1600,账户表,0))),"※账户不在基础资料里",IF(AND($G1600&lt;&gt;"",ISNA(MATCH($G1600,项目名表,0))),"※项目不在项目台账里",IF(AND(LEFT($F1600,3)="成本-",$G1600=""),"※成本类支出没填项目",IF(AND(LEFT($F1600,3)="成本-",$H1600&lt;&gt;"",N($K1600)&gt;0,COUNTIFS(采购单!$B:$B,$B1600,采购单!$C:$C,$H1600,采购单!$L:$L,$K1600)&gt;0),"※这笔可能和采购单重复了",""))))))))))</f>
        <v/>
      </c>
    </row>
    <row r="1601">
      <c r="A1601" s="17">
        <f>IF($B1601="","",ROW()-3)</f>
        <v/>
      </c>
      <c r="B1601" s="18" t="n"/>
      <c r="C1601" s="13" t="n"/>
      <c r="D1601" s="13" t="n"/>
      <c r="E1601" s="13" t="n"/>
      <c r="F1601" s="17">
        <f>IF($E1601="","",IFERROR(VLOOKUP($E1601,类别归属,2,0),"※类别不在基础资料里"))</f>
        <v/>
      </c>
      <c r="G1601" s="13" t="n"/>
      <c r="H1601" s="13" t="n"/>
      <c r="I1601" s="13" t="n"/>
      <c r="J1601" s="14" t="n"/>
      <c r="K1601" s="14" t="n"/>
      <c r="L1601" s="19">
        <f>IF($C1601="","",ROUND(IFERROR(VLOOKUP($C1601,账户期初,2,0),0)+SUMIFS($J$4:J1601,$C$4:C1601,$C1601)-SUMIFS($K$4:K1601,$C$4:C1601,$C1601),2))</f>
        <v/>
      </c>
      <c r="M1601" s="19">
        <f>IF($C1601="","",ROUND(SUM(基础资料!$B$4:$B$13)+SUM($J$4:J1601)-SUM($K$4:K1601),2))</f>
        <v/>
      </c>
      <c r="N1601" s="13" t="n"/>
      <c r="O1601" s="13" t="n"/>
      <c r="P1601" s="17">
        <f>IF($B1601="","",IF($F1601="※类别不在基础资料里","※费用类别不在基础资料里",IF(AND(N($J1601)=0,N($K1601)=0),"※这行没填金额",IF(AND(N($J1601)&gt;0,N($K1601)&gt;0),"※收入和支出不能同一行都填",IF(AND($D1601="收入",N($J1601)=0),"※收入行要填收入金额",IF(AND($D1601="支出",N($K1601)=0),"※支出行要填支出金额",IF(AND($C1601&lt;&gt;"",ISNA(MATCH($C1601,账户表,0))),"※账户不在基础资料里",IF(AND($G1601&lt;&gt;"",ISNA(MATCH($G1601,项目名表,0))),"※项目不在项目台账里",IF(AND(LEFT($F1601,3)="成本-",$G1601=""),"※成本类支出没填项目",IF(AND(LEFT($F1601,3)="成本-",$H1601&lt;&gt;"",N($K1601)&gt;0,COUNTIFS(采购单!$B:$B,$B1601,采购单!$C:$C,$H1601,采购单!$L:$L,$K1601)&gt;0),"※这笔可能和采购单重复了",""))))))))))</f>
        <v/>
      </c>
    </row>
    <row r="1602">
      <c r="A1602" s="17">
        <f>IF($B1602="","",ROW()-3)</f>
        <v/>
      </c>
      <c r="B1602" s="18" t="n"/>
      <c r="C1602" s="13" t="n"/>
      <c r="D1602" s="13" t="n"/>
      <c r="E1602" s="13" t="n"/>
      <c r="F1602" s="17">
        <f>IF($E1602="","",IFERROR(VLOOKUP($E1602,类别归属,2,0),"※类别不在基础资料里"))</f>
        <v/>
      </c>
      <c r="G1602" s="13" t="n"/>
      <c r="H1602" s="13" t="n"/>
      <c r="I1602" s="13" t="n"/>
      <c r="J1602" s="14" t="n"/>
      <c r="K1602" s="14" t="n"/>
      <c r="L1602" s="19">
        <f>IF($C1602="","",ROUND(IFERROR(VLOOKUP($C1602,账户期初,2,0),0)+SUMIFS($J$4:J1602,$C$4:C1602,$C1602)-SUMIFS($K$4:K1602,$C$4:C1602,$C1602),2))</f>
        <v/>
      </c>
      <c r="M1602" s="19">
        <f>IF($C1602="","",ROUND(SUM(基础资料!$B$4:$B$13)+SUM($J$4:J1602)-SUM($K$4:K1602),2))</f>
        <v/>
      </c>
      <c r="N1602" s="13" t="n"/>
      <c r="O1602" s="13" t="n"/>
      <c r="P1602" s="17">
        <f>IF($B1602="","",IF($F1602="※类别不在基础资料里","※费用类别不在基础资料里",IF(AND(N($J1602)=0,N($K1602)=0),"※这行没填金额",IF(AND(N($J1602)&gt;0,N($K1602)&gt;0),"※收入和支出不能同一行都填",IF(AND($D1602="收入",N($J1602)=0),"※收入行要填收入金额",IF(AND($D1602="支出",N($K1602)=0),"※支出行要填支出金额",IF(AND($C1602&lt;&gt;"",ISNA(MATCH($C1602,账户表,0))),"※账户不在基础资料里",IF(AND($G1602&lt;&gt;"",ISNA(MATCH($G1602,项目名表,0))),"※项目不在项目台账里",IF(AND(LEFT($F1602,3)="成本-",$G1602=""),"※成本类支出没填项目",IF(AND(LEFT($F1602,3)="成本-",$H1602&lt;&gt;"",N($K1602)&gt;0,COUNTIFS(采购单!$B:$B,$B1602,采购单!$C:$C,$H1602,采购单!$L:$L,$K1602)&gt;0),"※这笔可能和采购单重复了",""))))))))))</f>
        <v/>
      </c>
    </row>
    <row r="1603">
      <c r="A1603" s="17">
        <f>IF($B1603="","",ROW()-3)</f>
        <v/>
      </c>
      <c r="B1603" s="18" t="n"/>
      <c r="C1603" s="13" t="n"/>
      <c r="D1603" s="13" t="n"/>
      <c r="E1603" s="13" t="n"/>
      <c r="F1603" s="17">
        <f>IF($E1603="","",IFERROR(VLOOKUP($E1603,类别归属,2,0),"※类别不在基础资料里"))</f>
        <v/>
      </c>
      <c r="G1603" s="13" t="n"/>
      <c r="H1603" s="13" t="n"/>
      <c r="I1603" s="13" t="n"/>
      <c r="J1603" s="14" t="n"/>
      <c r="K1603" s="14" t="n"/>
      <c r="L1603" s="19">
        <f>IF($C1603="","",ROUND(IFERROR(VLOOKUP($C1603,账户期初,2,0),0)+SUMIFS($J$4:J1603,$C$4:C1603,$C1603)-SUMIFS($K$4:K1603,$C$4:C1603,$C1603),2))</f>
        <v/>
      </c>
      <c r="M1603" s="19">
        <f>IF($C1603="","",ROUND(SUM(基础资料!$B$4:$B$13)+SUM($J$4:J1603)-SUM($K$4:K1603),2))</f>
        <v/>
      </c>
      <c r="N1603" s="13" t="n"/>
      <c r="O1603" s="13" t="n"/>
      <c r="P1603" s="17">
        <f>IF($B1603="","",IF($F1603="※类别不在基础资料里","※费用类别不在基础资料里",IF(AND(N($J1603)=0,N($K1603)=0),"※这行没填金额",IF(AND(N($J1603)&gt;0,N($K1603)&gt;0),"※收入和支出不能同一行都填",IF(AND($D1603="收入",N($J1603)=0),"※收入行要填收入金额",IF(AND($D1603="支出",N($K1603)=0),"※支出行要填支出金额",IF(AND($C1603&lt;&gt;"",ISNA(MATCH($C1603,账户表,0))),"※账户不在基础资料里",IF(AND($G1603&lt;&gt;"",ISNA(MATCH($G1603,项目名表,0))),"※项目不在项目台账里",IF(AND(LEFT($F1603,3)="成本-",$G1603=""),"※成本类支出没填项目",IF(AND(LEFT($F1603,3)="成本-",$H1603&lt;&gt;"",N($K1603)&gt;0,COUNTIFS(采购单!$B:$B,$B1603,采购单!$C:$C,$H1603,采购单!$L:$L,$K1603)&gt;0),"※这笔可能和采购单重复了",""))))))))))</f>
        <v/>
      </c>
    </row>
    <row r="1604">
      <c r="A1604" s="17">
        <f>IF($B1604="","",ROW()-3)</f>
        <v/>
      </c>
      <c r="B1604" s="18" t="n"/>
      <c r="C1604" s="13" t="n"/>
      <c r="D1604" s="13" t="n"/>
      <c r="E1604" s="13" t="n"/>
      <c r="F1604" s="17">
        <f>IF($E1604="","",IFERROR(VLOOKUP($E1604,类别归属,2,0),"※类别不在基础资料里"))</f>
        <v/>
      </c>
      <c r="G1604" s="13" t="n"/>
      <c r="H1604" s="13" t="n"/>
      <c r="I1604" s="13" t="n"/>
      <c r="J1604" s="14" t="n"/>
      <c r="K1604" s="14" t="n"/>
      <c r="L1604" s="19">
        <f>IF($C1604="","",ROUND(IFERROR(VLOOKUP($C1604,账户期初,2,0),0)+SUMIFS($J$4:J1604,$C$4:C1604,$C1604)-SUMIFS($K$4:K1604,$C$4:C1604,$C1604),2))</f>
        <v/>
      </c>
      <c r="M1604" s="19">
        <f>IF($C1604="","",ROUND(SUM(基础资料!$B$4:$B$13)+SUM($J$4:J1604)-SUM($K$4:K1604),2))</f>
        <v/>
      </c>
      <c r="N1604" s="13" t="n"/>
      <c r="O1604" s="13" t="n"/>
      <c r="P1604" s="17">
        <f>IF($B1604="","",IF($F1604="※类别不在基础资料里","※费用类别不在基础资料里",IF(AND(N($J1604)=0,N($K1604)=0),"※这行没填金额",IF(AND(N($J1604)&gt;0,N($K1604)&gt;0),"※收入和支出不能同一行都填",IF(AND($D1604="收入",N($J1604)=0),"※收入行要填收入金额",IF(AND($D1604="支出",N($K1604)=0),"※支出行要填支出金额",IF(AND($C1604&lt;&gt;"",ISNA(MATCH($C1604,账户表,0))),"※账户不在基础资料里",IF(AND($G1604&lt;&gt;"",ISNA(MATCH($G1604,项目名表,0))),"※项目不在项目台账里",IF(AND(LEFT($F1604,3)="成本-",$G1604=""),"※成本类支出没填项目",IF(AND(LEFT($F1604,3)="成本-",$H1604&lt;&gt;"",N($K1604)&gt;0,COUNTIFS(采购单!$B:$B,$B1604,采购单!$C:$C,$H1604,采购单!$L:$L,$K1604)&gt;0),"※这笔可能和采购单重复了",""))))))))))</f>
        <v/>
      </c>
    </row>
    <row r="1605">
      <c r="A1605" s="17">
        <f>IF($B1605="","",ROW()-3)</f>
        <v/>
      </c>
      <c r="B1605" s="18" t="n"/>
      <c r="C1605" s="13" t="n"/>
      <c r="D1605" s="13" t="n"/>
      <c r="E1605" s="13" t="n"/>
      <c r="F1605" s="17">
        <f>IF($E1605="","",IFERROR(VLOOKUP($E1605,类别归属,2,0),"※类别不在基础资料里"))</f>
        <v/>
      </c>
      <c r="G1605" s="13" t="n"/>
      <c r="H1605" s="13" t="n"/>
      <c r="I1605" s="13" t="n"/>
      <c r="J1605" s="14" t="n"/>
      <c r="K1605" s="14" t="n"/>
      <c r="L1605" s="19">
        <f>IF($C1605="","",ROUND(IFERROR(VLOOKUP($C1605,账户期初,2,0),0)+SUMIFS($J$4:J1605,$C$4:C1605,$C1605)-SUMIFS($K$4:K1605,$C$4:C1605,$C1605),2))</f>
        <v/>
      </c>
      <c r="M1605" s="19">
        <f>IF($C1605="","",ROUND(SUM(基础资料!$B$4:$B$13)+SUM($J$4:J1605)-SUM($K$4:K1605),2))</f>
        <v/>
      </c>
      <c r="N1605" s="13" t="n"/>
      <c r="O1605" s="13" t="n"/>
      <c r="P1605" s="17">
        <f>IF($B1605="","",IF($F1605="※类别不在基础资料里","※费用类别不在基础资料里",IF(AND(N($J1605)=0,N($K1605)=0),"※这行没填金额",IF(AND(N($J1605)&gt;0,N($K1605)&gt;0),"※收入和支出不能同一行都填",IF(AND($D1605="收入",N($J1605)=0),"※收入行要填收入金额",IF(AND($D1605="支出",N($K1605)=0),"※支出行要填支出金额",IF(AND($C1605&lt;&gt;"",ISNA(MATCH($C1605,账户表,0))),"※账户不在基础资料里",IF(AND($G1605&lt;&gt;"",ISNA(MATCH($G1605,项目名表,0))),"※项目不在项目台账里",IF(AND(LEFT($F1605,3)="成本-",$G1605=""),"※成本类支出没填项目",IF(AND(LEFT($F1605,3)="成本-",$H1605&lt;&gt;"",N($K1605)&gt;0,COUNTIFS(采购单!$B:$B,$B1605,采购单!$C:$C,$H1605,采购单!$L:$L,$K1605)&gt;0),"※这笔可能和采购单重复了",""))))))))))</f>
        <v/>
      </c>
    </row>
    <row r="1606">
      <c r="A1606" s="17">
        <f>IF($B1606="","",ROW()-3)</f>
        <v/>
      </c>
      <c r="B1606" s="18" t="n"/>
      <c r="C1606" s="13" t="n"/>
      <c r="D1606" s="13" t="n"/>
      <c r="E1606" s="13" t="n"/>
      <c r="F1606" s="17">
        <f>IF($E1606="","",IFERROR(VLOOKUP($E1606,类别归属,2,0),"※类别不在基础资料里"))</f>
        <v/>
      </c>
      <c r="G1606" s="13" t="n"/>
      <c r="H1606" s="13" t="n"/>
      <c r="I1606" s="13" t="n"/>
      <c r="J1606" s="14" t="n"/>
      <c r="K1606" s="14" t="n"/>
      <c r="L1606" s="19">
        <f>IF($C1606="","",ROUND(IFERROR(VLOOKUP($C1606,账户期初,2,0),0)+SUMIFS($J$4:J1606,$C$4:C1606,$C1606)-SUMIFS($K$4:K1606,$C$4:C1606,$C1606),2))</f>
        <v/>
      </c>
      <c r="M1606" s="19">
        <f>IF($C1606="","",ROUND(SUM(基础资料!$B$4:$B$13)+SUM($J$4:J1606)-SUM($K$4:K1606),2))</f>
        <v/>
      </c>
      <c r="N1606" s="13" t="n"/>
      <c r="O1606" s="13" t="n"/>
      <c r="P1606" s="17">
        <f>IF($B1606="","",IF($F1606="※类别不在基础资料里","※费用类别不在基础资料里",IF(AND(N($J1606)=0,N($K1606)=0),"※这行没填金额",IF(AND(N($J1606)&gt;0,N($K1606)&gt;0),"※收入和支出不能同一行都填",IF(AND($D1606="收入",N($J1606)=0),"※收入行要填收入金额",IF(AND($D1606="支出",N($K1606)=0),"※支出行要填支出金额",IF(AND($C1606&lt;&gt;"",ISNA(MATCH($C1606,账户表,0))),"※账户不在基础资料里",IF(AND($G1606&lt;&gt;"",ISNA(MATCH($G1606,项目名表,0))),"※项目不在项目台账里",IF(AND(LEFT($F1606,3)="成本-",$G1606=""),"※成本类支出没填项目",IF(AND(LEFT($F1606,3)="成本-",$H1606&lt;&gt;"",N($K1606)&gt;0,COUNTIFS(采购单!$B:$B,$B1606,采购单!$C:$C,$H1606,采购单!$L:$L,$K1606)&gt;0),"※这笔可能和采购单重复了",""))))))))))</f>
        <v/>
      </c>
    </row>
    <row r="1607">
      <c r="A1607" s="17">
        <f>IF($B1607="","",ROW()-3)</f>
        <v/>
      </c>
      <c r="B1607" s="18" t="n"/>
      <c r="C1607" s="13" t="n"/>
      <c r="D1607" s="13" t="n"/>
      <c r="E1607" s="13" t="n"/>
      <c r="F1607" s="17">
        <f>IF($E1607="","",IFERROR(VLOOKUP($E1607,类别归属,2,0),"※类别不在基础资料里"))</f>
        <v/>
      </c>
      <c r="G1607" s="13" t="n"/>
      <c r="H1607" s="13" t="n"/>
      <c r="I1607" s="13" t="n"/>
      <c r="J1607" s="14" t="n"/>
      <c r="K1607" s="14" t="n"/>
      <c r="L1607" s="19">
        <f>IF($C1607="","",ROUND(IFERROR(VLOOKUP($C1607,账户期初,2,0),0)+SUMIFS($J$4:J1607,$C$4:C1607,$C1607)-SUMIFS($K$4:K1607,$C$4:C1607,$C1607),2))</f>
        <v/>
      </c>
      <c r="M1607" s="19">
        <f>IF($C1607="","",ROUND(SUM(基础资料!$B$4:$B$13)+SUM($J$4:J1607)-SUM($K$4:K1607),2))</f>
        <v/>
      </c>
      <c r="N1607" s="13" t="n"/>
      <c r="O1607" s="13" t="n"/>
      <c r="P1607" s="17">
        <f>IF($B1607="","",IF($F1607="※类别不在基础资料里","※费用类别不在基础资料里",IF(AND(N($J1607)=0,N($K1607)=0),"※这行没填金额",IF(AND(N($J1607)&gt;0,N($K1607)&gt;0),"※收入和支出不能同一行都填",IF(AND($D1607="收入",N($J1607)=0),"※收入行要填收入金额",IF(AND($D1607="支出",N($K1607)=0),"※支出行要填支出金额",IF(AND($C1607&lt;&gt;"",ISNA(MATCH($C1607,账户表,0))),"※账户不在基础资料里",IF(AND($G1607&lt;&gt;"",ISNA(MATCH($G1607,项目名表,0))),"※项目不在项目台账里",IF(AND(LEFT($F1607,3)="成本-",$G1607=""),"※成本类支出没填项目",IF(AND(LEFT($F1607,3)="成本-",$H1607&lt;&gt;"",N($K1607)&gt;0,COUNTIFS(采购单!$B:$B,$B1607,采购单!$C:$C,$H1607,采购单!$L:$L,$K1607)&gt;0),"※这笔可能和采购单重复了",""))))))))))</f>
        <v/>
      </c>
    </row>
    <row r="1608">
      <c r="A1608" s="17">
        <f>IF($B1608="","",ROW()-3)</f>
        <v/>
      </c>
      <c r="B1608" s="18" t="n"/>
      <c r="C1608" s="13" t="n"/>
      <c r="D1608" s="13" t="n"/>
      <c r="E1608" s="13" t="n"/>
      <c r="F1608" s="17">
        <f>IF($E1608="","",IFERROR(VLOOKUP($E1608,类别归属,2,0),"※类别不在基础资料里"))</f>
        <v/>
      </c>
      <c r="G1608" s="13" t="n"/>
      <c r="H1608" s="13" t="n"/>
      <c r="I1608" s="13" t="n"/>
      <c r="J1608" s="14" t="n"/>
      <c r="K1608" s="14" t="n"/>
      <c r="L1608" s="19">
        <f>IF($C1608="","",ROUND(IFERROR(VLOOKUP($C1608,账户期初,2,0),0)+SUMIFS($J$4:J1608,$C$4:C1608,$C1608)-SUMIFS($K$4:K1608,$C$4:C1608,$C1608),2))</f>
        <v/>
      </c>
      <c r="M1608" s="19">
        <f>IF($C1608="","",ROUND(SUM(基础资料!$B$4:$B$13)+SUM($J$4:J1608)-SUM($K$4:K1608),2))</f>
        <v/>
      </c>
      <c r="N1608" s="13" t="n"/>
      <c r="O1608" s="13" t="n"/>
      <c r="P1608" s="17">
        <f>IF($B1608="","",IF($F1608="※类别不在基础资料里","※费用类别不在基础资料里",IF(AND(N($J1608)=0,N($K1608)=0),"※这行没填金额",IF(AND(N($J1608)&gt;0,N($K1608)&gt;0),"※收入和支出不能同一行都填",IF(AND($D1608="收入",N($J1608)=0),"※收入行要填收入金额",IF(AND($D1608="支出",N($K1608)=0),"※支出行要填支出金额",IF(AND($C1608&lt;&gt;"",ISNA(MATCH($C1608,账户表,0))),"※账户不在基础资料里",IF(AND($G1608&lt;&gt;"",ISNA(MATCH($G1608,项目名表,0))),"※项目不在项目台账里",IF(AND(LEFT($F1608,3)="成本-",$G1608=""),"※成本类支出没填项目",IF(AND(LEFT($F1608,3)="成本-",$H1608&lt;&gt;"",N($K1608)&gt;0,COUNTIFS(采购单!$B:$B,$B1608,采购单!$C:$C,$H1608,采购单!$L:$L,$K1608)&gt;0),"※这笔可能和采购单重复了",""))))))))))</f>
        <v/>
      </c>
    </row>
    <row r="1609">
      <c r="A1609" s="17">
        <f>IF($B1609="","",ROW()-3)</f>
        <v/>
      </c>
      <c r="B1609" s="18" t="n"/>
      <c r="C1609" s="13" t="n"/>
      <c r="D1609" s="13" t="n"/>
      <c r="E1609" s="13" t="n"/>
      <c r="F1609" s="17">
        <f>IF($E1609="","",IFERROR(VLOOKUP($E1609,类别归属,2,0),"※类别不在基础资料里"))</f>
        <v/>
      </c>
      <c r="G1609" s="13" t="n"/>
      <c r="H1609" s="13" t="n"/>
      <c r="I1609" s="13" t="n"/>
      <c r="J1609" s="14" t="n"/>
      <c r="K1609" s="14" t="n"/>
      <c r="L1609" s="19">
        <f>IF($C1609="","",ROUND(IFERROR(VLOOKUP($C1609,账户期初,2,0),0)+SUMIFS($J$4:J1609,$C$4:C1609,$C1609)-SUMIFS($K$4:K1609,$C$4:C1609,$C1609),2))</f>
        <v/>
      </c>
      <c r="M1609" s="19">
        <f>IF($C1609="","",ROUND(SUM(基础资料!$B$4:$B$13)+SUM($J$4:J1609)-SUM($K$4:K1609),2))</f>
        <v/>
      </c>
      <c r="N1609" s="13" t="n"/>
      <c r="O1609" s="13" t="n"/>
      <c r="P1609" s="17">
        <f>IF($B1609="","",IF($F1609="※类别不在基础资料里","※费用类别不在基础资料里",IF(AND(N($J1609)=0,N($K1609)=0),"※这行没填金额",IF(AND(N($J1609)&gt;0,N($K1609)&gt;0),"※收入和支出不能同一行都填",IF(AND($D1609="收入",N($J1609)=0),"※收入行要填收入金额",IF(AND($D1609="支出",N($K1609)=0),"※支出行要填支出金额",IF(AND($C1609&lt;&gt;"",ISNA(MATCH($C1609,账户表,0))),"※账户不在基础资料里",IF(AND($G1609&lt;&gt;"",ISNA(MATCH($G1609,项目名表,0))),"※项目不在项目台账里",IF(AND(LEFT($F1609,3)="成本-",$G1609=""),"※成本类支出没填项目",IF(AND(LEFT($F1609,3)="成本-",$H1609&lt;&gt;"",N($K1609)&gt;0,COUNTIFS(采购单!$B:$B,$B1609,采购单!$C:$C,$H1609,采购单!$L:$L,$K1609)&gt;0),"※这笔可能和采购单重复了",""))))))))))</f>
        <v/>
      </c>
    </row>
    <row r="1610">
      <c r="A1610" s="17">
        <f>IF($B1610="","",ROW()-3)</f>
        <v/>
      </c>
      <c r="B1610" s="18" t="n"/>
      <c r="C1610" s="13" t="n"/>
      <c r="D1610" s="13" t="n"/>
      <c r="E1610" s="13" t="n"/>
      <c r="F1610" s="17">
        <f>IF($E1610="","",IFERROR(VLOOKUP($E1610,类别归属,2,0),"※类别不在基础资料里"))</f>
        <v/>
      </c>
      <c r="G1610" s="13" t="n"/>
      <c r="H1610" s="13" t="n"/>
      <c r="I1610" s="13" t="n"/>
      <c r="J1610" s="14" t="n"/>
      <c r="K1610" s="14" t="n"/>
      <c r="L1610" s="19">
        <f>IF($C1610="","",ROUND(IFERROR(VLOOKUP($C1610,账户期初,2,0),0)+SUMIFS($J$4:J1610,$C$4:C1610,$C1610)-SUMIFS($K$4:K1610,$C$4:C1610,$C1610),2))</f>
        <v/>
      </c>
      <c r="M1610" s="19">
        <f>IF($C1610="","",ROUND(SUM(基础资料!$B$4:$B$13)+SUM($J$4:J1610)-SUM($K$4:K1610),2))</f>
        <v/>
      </c>
      <c r="N1610" s="13" t="n"/>
      <c r="O1610" s="13" t="n"/>
      <c r="P1610" s="17">
        <f>IF($B1610="","",IF($F1610="※类别不在基础资料里","※费用类别不在基础资料里",IF(AND(N($J1610)=0,N($K1610)=0),"※这行没填金额",IF(AND(N($J1610)&gt;0,N($K1610)&gt;0),"※收入和支出不能同一行都填",IF(AND($D1610="收入",N($J1610)=0),"※收入行要填收入金额",IF(AND($D1610="支出",N($K1610)=0),"※支出行要填支出金额",IF(AND($C1610&lt;&gt;"",ISNA(MATCH($C1610,账户表,0))),"※账户不在基础资料里",IF(AND($G1610&lt;&gt;"",ISNA(MATCH($G1610,项目名表,0))),"※项目不在项目台账里",IF(AND(LEFT($F1610,3)="成本-",$G1610=""),"※成本类支出没填项目",IF(AND(LEFT($F1610,3)="成本-",$H1610&lt;&gt;"",N($K1610)&gt;0,COUNTIFS(采购单!$B:$B,$B1610,采购单!$C:$C,$H1610,采购单!$L:$L,$K1610)&gt;0),"※这笔可能和采购单重复了",""))))))))))</f>
        <v/>
      </c>
    </row>
    <row r="1611">
      <c r="A1611" s="17">
        <f>IF($B1611="","",ROW()-3)</f>
        <v/>
      </c>
      <c r="B1611" s="18" t="n"/>
      <c r="C1611" s="13" t="n"/>
      <c r="D1611" s="13" t="n"/>
      <c r="E1611" s="13" t="n"/>
      <c r="F1611" s="17">
        <f>IF($E1611="","",IFERROR(VLOOKUP($E1611,类别归属,2,0),"※类别不在基础资料里"))</f>
        <v/>
      </c>
      <c r="G1611" s="13" t="n"/>
      <c r="H1611" s="13" t="n"/>
      <c r="I1611" s="13" t="n"/>
      <c r="J1611" s="14" t="n"/>
      <c r="K1611" s="14" t="n"/>
      <c r="L1611" s="19">
        <f>IF($C1611="","",ROUND(IFERROR(VLOOKUP($C1611,账户期初,2,0),0)+SUMIFS($J$4:J1611,$C$4:C1611,$C1611)-SUMIFS($K$4:K1611,$C$4:C1611,$C1611),2))</f>
        <v/>
      </c>
      <c r="M1611" s="19">
        <f>IF($C1611="","",ROUND(SUM(基础资料!$B$4:$B$13)+SUM($J$4:J1611)-SUM($K$4:K1611),2))</f>
        <v/>
      </c>
      <c r="N1611" s="13" t="n"/>
      <c r="O1611" s="13" t="n"/>
      <c r="P1611" s="17">
        <f>IF($B1611="","",IF($F1611="※类别不在基础资料里","※费用类别不在基础资料里",IF(AND(N($J1611)=0,N($K1611)=0),"※这行没填金额",IF(AND(N($J1611)&gt;0,N($K1611)&gt;0),"※收入和支出不能同一行都填",IF(AND($D1611="收入",N($J1611)=0),"※收入行要填收入金额",IF(AND($D1611="支出",N($K1611)=0),"※支出行要填支出金额",IF(AND($C1611&lt;&gt;"",ISNA(MATCH($C1611,账户表,0))),"※账户不在基础资料里",IF(AND($G1611&lt;&gt;"",ISNA(MATCH($G1611,项目名表,0))),"※项目不在项目台账里",IF(AND(LEFT($F1611,3)="成本-",$G1611=""),"※成本类支出没填项目",IF(AND(LEFT($F1611,3)="成本-",$H1611&lt;&gt;"",N($K1611)&gt;0,COUNTIFS(采购单!$B:$B,$B1611,采购单!$C:$C,$H1611,采购单!$L:$L,$K1611)&gt;0),"※这笔可能和采购单重复了",""))))))))))</f>
        <v/>
      </c>
    </row>
    <row r="1612">
      <c r="A1612" s="17">
        <f>IF($B1612="","",ROW()-3)</f>
        <v/>
      </c>
      <c r="B1612" s="18" t="n"/>
      <c r="C1612" s="13" t="n"/>
      <c r="D1612" s="13" t="n"/>
      <c r="E1612" s="13" t="n"/>
      <c r="F1612" s="17">
        <f>IF($E1612="","",IFERROR(VLOOKUP($E1612,类别归属,2,0),"※类别不在基础资料里"))</f>
        <v/>
      </c>
      <c r="G1612" s="13" t="n"/>
      <c r="H1612" s="13" t="n"/>
      <c r="I1612" s="13" t="n"/>
      <c r="J1612" s="14" t="n"/>
      <c r="K1612" s="14" t="n"/>
      <c r="L1612" s="19">
        <f>IF($C1612="","",ROUND(IFERROR(VLOOKUP($C1612,账户期初,2,0),0)+SUMIFS($J$4:J1612,$C$4:C1612,$C1612)-SUMIFS($K$4:K1612,$C$4:C1612,$C1612),2))</f>
        <v/>
      </c>
      <c r="M1612" s="19">
        <f>IF($C1612="","",ROUND(SUM(基础资料!$B$4:$B$13)+SUM($J$4:J1612)-SUM($K$4:K1612),2))</f>
        <v/>
      </c>
      <c r="N1612" s="13" t="n"/>
      <c r="O1612" s="13" t="n"/>
      <c r="P1612" s="17">
        <f>IF($B1612="","",IF($F1612="※类别不在基础资料里","※费用类别不在基础资料里",IF(AND(N($J1612)=0,N($K1612)=0),"※这行没填金额",IF(AND(N($J1612)&gt;0,N($K1612)&gt;0),"※收入和支出不能同一行都填",IF(AND($D1612="收入",N($J1612)=0),"※收入行要填收入金额",IF(AND($D1612="支出",N($K1612)=0),"※支出行要填支出金额",IF(AND($C1612&lt;&gt;"",ISNA(MATCH($C1612,账户表,0))),"※账户不在基础资料里",IF(AND($G1612&lt;&gt;"",ISNA(MATCH($G1612,项目名表,0))),"※项目不在项目台账里",IF(AND(LEFT($F1612,3)="成本-",$G1612=""),"※成本类支出没填项目",IF(AND(LEFT($F1612,3)="成本-",$H1612&lt;&gt;"",N($K1612)&gt;0,COUNTIFS(采购单!$B:$B,$B1612,采购单!$C:$C,$H1612,采购单!$L:$L,$K1612)&gt;0),"※这笔可能和采购单重复了",""))))))))))</f>
        <v/>
      </c>
    </row>
    <row r="1613">
      <c r="A1613" s="17">
        <f>IF($B1613="","",ROW()-3)</f>
        <v/>
      </c>
      <c r="B1613" s="18" t="n"/>
      <c r="C1613" s="13" t="n"/>
      <c r="D1613" s="13" t="n"/>
      <c r="E1613" s="13" t="n"/>
      <c r="F1613" s="17">
        <f>IF($E1613="","",IFERROR(VLOOKUP($E1613,类别归属,2,0),"※类别不在基础资料里"))</f>
        <v/>
      </c>
      <c r="G1613" s="13" t="n"/>
      <c r="H1613" s="13" t="n"/>
      <c r="I1613" s="13" t="n"/>
      <c r="J1613" s="14" t="n"/>
      <c r="K1613" s="14" t="n"/>
      <c r="L1613" s="19">
        <f>IF($C1613="","",ROUND(IFERROR(VLOOKUP($C1613,账户期初,2,0),0)+SUMIFS($J$4:J1613,$C$4:C1613,$C1613)-SUMIFS($K$4:K1613,$C$4:C1613,$C1613),2))</f>
        <v/>
      </c>
      <c r="M1613" s="19">
        <f>IF($C1613="","",ROUND(SUM(基础资料!$B$4:$B$13)+SUM($J$4:J1613)-SUM($K$4:K1613),2))</f>
        <v/>
      </c>
      <c r="N1613" s="13" t="n"/>
      <c r="O1613" s="13" t="n"/>
      <c r="P1613" s="17">
        <f>IF($B1613="","",IF($F1613="※类别不在基础资料里","※费用类别不在基础资料里",IF(AND(N($J1613)=0,N($K1613)=0),"※这行没填金额",IF(AND(N($J1613)&gt;0,N($K1613)&gt;0),"※收入和支出不能同一行都填",IF(AND($D1613="收入",N($J1613)=0),"※收入行要填收入金额",IF(AND($D1613="支出",N($K1613)=0),"※支出行要填支出金额",IF(AND($C1613&lt;&gt;"",ISNA(MATCH($C1613,账户表,0))),"※账户不在基础资料里",IF(AND($G1613&lt;&gt;"",ISNA(MATCH($G1613,项目名表,0))),"※项目不在项目台账里",IF(AND(LEFT($F1613,3)="成本-",$G1613=""),"※成本类支出没填项目",IF(AND(LEFT($F1613,3)="成本-",$H1613&lt;&gt;"",N($K1613)&gt;0,COUNTIFS(采购单!$B:$B,$B1613,采购单!$C:$C,$H1613,采购单!$L:$L,$K1613)&gt;0),"※这笔可能和采购单重复了",""))))))))))</f>
        <v/>
      </c>
    </row>
    <row r="1614">
      <c r="A1614" s="17">
        <f>IF($B1614="","",ROW()-3)</f>
        <v/>
      </c>
      <c r="B1614" s="18" t="n"/>
      <c r="C1614" s="13" t="n"/>
      <c r="D1614" s="13" t="n"/>
      <c r="E1614" s="13" t="n"/>
      <c r="F1614" s="17">
        <f>IF($E1614="","",IFERROR(VLOOKUP($E1614,类别归属,2,0),"※类别不在基础资料里"))</f>
        <v/>
      </c>
      <c r="G1614" s="13" t="n"/>
      <c r="H1614" s="13" t="n"/>
      <c r="I1614" s="13" t="n"/>
      <c r="J1614" s="14" t="n"/>
      <c r="K1614" s="14" t="n"/>
      <c r="L1614" s="19">
        <f>IF($C1614="","",ROUND(IFERROR(VLOOKUP($C1614,账户期初,2,0),0)+SUMIFS($J$4:J1614,$C$4:C1614,$C1614)-SUMIFS($K$4:K1614,$C$4:C1614,$C1614),2))</f>
        <v/>
      </c>
      <c r="M1614" s="19">
        <f>IF($C1614="","",ROUND(SUM(基础资料!$B$4:$B$13)+SUM($J$4:J1614)-SUM($K$4:K1614),2))</f>
        <v/>
      </c>
      <c r="N1614" s="13" t="n"/>
      <c r="O1614" s="13" t="n"/>
      <c r="P1614" s="17">
        <f>IF($B1614="","",IF($F1614="※类别不在基础资料里","※费用类别不在基础资料里",IF(AND(N($J1614)=0,N($K1614)=0),"※这行没填金额",IF(AND(N($J1614)&gt;0,N($K1614)&gt;0),"※收入和支出不能同一行都填",IF(AND($D1614="收入",N($J1614)=0),"※收入行要填收入金额",IF(AND($D1614="支出",N($K1614)=0),"※支出行要填支出金额",IF(AND($C1614&lt;&gt;"",ISNA(MATCH($C1614,账户表,0))),"※账户不在基础资料里",IF(AND($G1614&lt;&gt;"",ISNA(MATCH($G1614,项目名表,0))),"※项目不在项目台账里",IF(AND(LEFT($F1614,3)="成本-",$G1614=""),"※成本类支出没填项目",IF(AND(LEFT($F1614,3)="成本-",$H1614&lt;&gt;"",N($K1614)&gt;0,COUNTIFS(采购单!$B:$B,$B1614,采购单!$C:$C,$H1614,采购单!$L:$L,$K1614)&gt;0),"※这笔可能和采购单重复了",""))))))))))</f>
        <v/>
      </c>
    </row>
    <row r="1615">
      <c r="A1615" s="17">
        <f>IF($B1615="","",ROW()-3)</f>
        <v/>
      </c>
      <c r="B1615" s="18" t="n"/>
      <c r="C1615" s="13" t="n"/>
      <c r="D1615" s="13" t="n"/>
      <c r="E1615" s="13" t="n"/>
      <c r="F1615" s="17">
        <f>IF($E1615="","",IFERROR(VLOOKUP($E1615,类别归属,2,0),"※类别不在基础资料里"))</f>
        <v/>
      </c>
      <c r="G1615" s="13" t="n"/>
      <c r="H1615" s="13" t="n"/>
      <c r="I1615" s="13" t="n"/>
      <c r="J1615" s="14" t="n"/>
      <c r="K1615" s="14" t="n"/>
      <c r="L1615" s="19">
        <f>IF($C1615="","",ROUND(IFERROR(VLOOKUP($C1615,账户期初,2,0),0)+SUMIFS($J$4:J1615,$C$4:C1615,$C1615)-SUMIFS($K$4:K1615,$C$4:C1615,$C1615),2))</f>
        <v/>
      </c>
      <c r="M1615" s="19">
        <f>IF($C1615="","",ROUND(SUM(基础资料!$B$4:$B$13)+SUM($J$4:J1615)-SUM($K$4:K1615),2))</f>
        <v/>
      </c>
      <c r="N1615" s="13" t="n"/>
      <c r="O1615" s="13" t="n"/>
      <c r="P1615" s="17">
        <f>IF($B1615="","",IF($F1615="※类别不在基础资料里","※费用类别不在基础资料里",IF(AND(N($J1615)=0,N($K1615)=0),"※这行没填金额",IF(AND(N($J1615)&gt;0,N($K1615)&gt;0),"※收入和支出不能同一行都填",IF(AND($D1615="收入",N($J1615)=0),"※收入行要填收入金额",IF(AND($D1615="支出",N($K1615)=0),"※支出行要填支出金额",IF(AND($C1615&lt;&gt;"",ISNA(MATCH($C1615,账户表,0))),"※账户不在基础资料里",IF(AND($G1615&lt;&gt;"",ISNA(MATCH($G1615,项目名表,0))),"※项目不在项目台账里",IF(AND(LEFT($F1615,3)="成本-",$G1615=""),"※成本类支出没填项目",IF(AND(LEFT($F1615,3)="成本-",$H1615&lt;&gt;"",N($K1615)&gt;0,COUNTIFS(采购单!$B:$B,$B1615,采购单!$C:$C,$H1615,采购单!$L:$L,$K1615)&gt;0),"※这笔可能和采购单重复了",""))))))))))</f>
        <v/>
      </c>
    </row>
    <row r="1616">
      <c r="A1616" s="17">
        <f>IF($B1616="","",ROW()-3)</f>
        <v/>
      </c>
      <c r="B1616" s="18" t="n"/>
      <c r="C1616" s="13" t="n"/>
      <c r="D1616" s="13" t="n"/>
      <c r="E1616" s="13" t="n"/>
      <c r="F1616" s="17">
        <f>IF($E1616="","",IFERROR(VLOOKUP($E1616,类别归属,2,0),"※类别不在基础资料里"))</f>
        <v/>
      </c>
      <c r="G1616" s="13" t="n"/>
      <c r="H1616" s="13" t="n"/>
      <c r="I1616" s="13" t="n"/>
      <c r="J1616" s="14" t="n"/>
      <c r="K1616" s="14" t="n"/>
      <c r="L1616" s="19">
        <f>IF($C1616="","",ROUND(IFERROR(VLOOKUP($C1616,账户期初,2,0),0)+SUMIFS($J$4:J1616,$C$4:C1616,$C1616)-SUMIFS($K$4:K1616,$C$4:C1616,$C1616),2))</f>
        <v/>
      </c>
      <c r="M1616" s="19">
        <f>IF($C1616="","",ROUND(SUM(基础资料!$B$4:$B$13)+SUM($J$4:J1616)-SUM($K$4:K1616),2))</f>
        <v/>
      </c>
      <c r="N1616" s="13" t="n"/>
      <c r="O1616" s="13" t="n"/>
      <c r="P1616" s="17">
        <f>IF($B1616="","",IF($F1616="※类别不在基础资料里","※费用类别不在基础资料里",IF(AND(N($J1616)=0,N($K1616)=0),"※这行没填金额",IF(AND(N($J1616)&gt;0,N($K1616)&gt;0),"※收入和支出不能同一行都填",IF(AND($D1616="收入",N($J1616)=0),"※收入行要填收入金额",IF(AND($D1616="支出",N($K1616)=0),"※支出行要填支出金额",IF(AND($C1616&lt;&gt;"",ISNA(MATCH($C1616,账户表,0))),"※账户不在基础资料里",IF(AND($G1616&lt;&gt;"",ISNA(MATCH($G1616,项目名表,0))),"※项目不在项目台账里",IF(AND(LEFT($F1616,3)="成本-",$G1616=""),"※成本类支出没填项目",IF(AND(LEFT($F1616,3)="成本-",$H1616&lt;&gt;"",N($K1616)&gt;0,COUNTIFS(采购单!$B:$B,$B1616,采购单!$C:$C,$H1616,采购单!$L:$L,$K1616)&gt;0),"※这笔可能和采购单重复了",""))))))))))</f>
        <v/>
      </c>
    </row>
    <row r="1617">
      <c r="A1617" s="17">
        <f>IF($B1617="","",ROW()-3)</f>
        <v/>
      </c>
      <c r="B1617" s="18" t="n"/>
      <c r="C1617" s="13" t="n"/>
      <c r="D1617" s="13" t="n"/>
      <c r="E1617" s="13" t="n"/>
      <c r="F1617" s="17">
        <f>IF($E1617="","",IFERROR(VLOOKUP($E1617,类别归属,2,0),"※类别不在基础资料里"))</f>
        <v/>
      </c>
      <c r="G1617" s="13" t="n"/>
      <c r="H1617" s="13" t="n"/>
      <c r="I1617" s="13" t="n"/>
      <c r="J1617" s="14" t="n"/>
      <c r="K1617" s="14" t="n"/>
      <c r="L1617" s="19">
        <f>IF($C1617="","",ROUND(IFERROR(VLOOKUP($C1617,账户期初,2,0),0)+SUMIFS($J$4:J1617,$C$4:C1617,$C1617)-SUMIFS($K$4:K1617,$C$4:C1617,$C1617),2))</f>
        <v/>
      </c>
      <c r="M1617" s="19">
        <f>IF($C1617="","",ROUND(SUM(基础资料!$B$4:$B$13)+SUM($J$4:J1617)-SUM($K$4:K1617),2))</f>
        <v/>
      </c>
      <c r="N1617" s="13" t="n"/>
      <c r="O1617" s="13" t="n"/>
      <c r="P1617" s="17">
        <f>IF($B1617="","",IF($F1617="※类别不在基础资料里","※费用类别不在基础资料里",IF(AND(N($J1617)=0,N($K1617)=0),"※这行没填金额",IF(AND(N($J1617)&gt;0,N($K1617)&gt;0),"※收入和支出不能同一行都填",IF(AND($D1617="收入",N($J1617)=0),"※收入行要填收入金额",IF(AND($D1617="支出",N($K1617)=0),"※支出行要填支出金额",IF(AND($C1617&lt;&gt;"",ISNA(MATCH($C1617,账户表,0))),"※账户不在基础资料里",IF(AND($G1617&lt;&gt;"",ISNA(MATCH($G1617,项目名表,0))),"※项目不在项目台账里",IF(AND(LEFT($F1617,3)="成本-",$G1617=""),"※成本类支出没填项目",IF(AND(LEFT($F1617,3)="成本-",$H1617&lt;&gt;"",N($K1617)&gt;0,COUNTIFS(采购单!$B:$B,$B1617,采购单!$C:$C,$H1617,采购单!$L:$L,$K1617)&gt;0),"※这笔可能和采购单重复了",""))))))))))</f>
        <v/>
      </c>
    </row>
    <row r="1618">
      <c r="A1618" s="17">
        <f>IF($B1618="","",ROW()-3)</f>
        <v/>
      </c>
      <c r="B1618" s="18" t="n"/>
      <c r="C1618" s="13" t="n"/>
      <c r="D1618" s="13" t="n"/>
      <c r="E1618" s="13" t="n"/>
      <c r="F1618" s="17">
        <f>IF($E1618="","",IFERROR(VLOOKUP($E1618,类别归属,2,0),"※类别不在基础资料里"))</f>
        <v/>
      </c>
      <c r="G1618" s="13" t="n"/>
      <c r="H1618" s="13" t="n"/>
      <c r="I1618" s="13" t="n"/>
      <c r="J1618" s="14" t="n"/>
      <c r="K1618" s="14" t="n"/>
      <c r="L1618" s="19">
        <f>IF($C1618="","",ROUND(IFERROR(VLOOKUP($C1618,账户期初,2,0),0)+SUMIFS($J$4:J1618,$C$4:C1618,$C1618)-SUMIFS($K$4:K1618,$C$4:C1618,$C1618),2))</f>
        <v/>
      </c>
      <c r="M1618" s="19">
        <f>IF($C1618="","",ROUND(SUM(基础资料!$B$4:$B$13)+SUM($J$4:J1618)-SUM($K$4:K1618),2))</f>
        <v/>
      </c>
      <c r="N1618" s="13" t="n"/>
      <c r="O1618" s="13" t="n"/>
      <c r="P1618" s="17">
        <f>IF($B1618="","",IF($F1618="※类别不在基础资料里","※费用类别不在基础资料里",IF(AND(N($J1618)=0,N($K1618)=0),"※这行没填金额",IF(AND(N($J1618)&gt;0,N($K1618)&gt;0),"※收入和支出不能同一行都填",IF(AND($D1618="收入",N($J1618)=0),"※收入行要填收入金额",IF(AND($D1618="支出",N($K1618)=0),"※支出行要填支出金额",IF(AND($C1618&lt;&gt;"",ISNA(MATCH($C1618,账户表,0))),"※账户不在基础资料里",IF(AND($G1618&lt;&gt;"",ISNA(MATCH($G1618,项目名表,0))),"※项目不在项目台账里",IF(AND(LEFT($F1618,3)="成本-",$G1618=""),"※成本类支出没填项目",IF(AND(LEFT($F1618,3)="成本-",$H1618&lt;&gt;"",N($K1618)&gt;0,COUNTIFS(采购单!$B:$B,$B1618,采购单!$C:$C,$H1618,采购单!$L:$L,$K1618)&gt;0),"※这笔可能和采购单重复了",""))))))))))</f>
        <v/>
      </c>
    </row>
    <row r="1619">
      <c r="A1619" s="17">
        <f>IF($B1619="","",ROW()-3)</f>
        <v/>
      </c>
      <c r="B1619" s="18" t="n"/>
      <c r="C1619" s="13" t="n"/>
      <c r="D1619" s="13" t="n"/>
      <c r="E1619" s="13" t="n"/>
      <c r="F1619" s="17">
        <f>IF($E1619="","",IFERROR(VLOOKUP($E1619,类别归属,2,0),"※类别不在基础资料里"))</f>
        <v/>
      </c>
      <c r="G1619" s="13" t="n"/>
      <c r="H1619" s="13" t="n"/>
      <c r="I1619" s="13" t="n"/>
      <c r="J1619" s="14" t="n"/>
      <c r="K1619" s="14" t="n"/>
      <c r="L1619" s="19">
        <f>IF($C1619="","",ROUND(IFERROR(VLOOKUP($C1619,账户期初,2,0),0)+SUMIFS($J$4:J1619,$C$4:C1619,$C1619)-SUMIFS($K$4:K1619,$C$4:C1619,$C1619),2))</f>
        <v/>
      </c>
      <c r="M1619" s="19">
        <f>IF($C1619="","",ROUND(SUM(基础资料!$B$4:$B$13)+SUM($J$4:J1619)-SUM($K$4:K1619),2))</f>
        <v/>
      </c>
      <c r="N1619" s="13" t="n"/>
      <c r="O1619" s="13" t="n"/>
      <c r="P1619" s="17">
        <f>IF($B1619="","",IF($F1619="※类别不在基础资料里","※费用类别不在基础资料里",IF(AND(N($J1619)=0,N($K1619)=0),"※这行没填金额",IF(AND(N($J1619)&gt;0,N($K1619)&gt;0),"※收入和支出不能同一行都填",IF(AND($D1619="收入",N($J1619)=0),"※收入行要填收入金额",IF(AND($D1619="支出",N($K1619)=0),"※支出行要填支出金额",IF(AND($C1619&lt;&gt;"",ISNA(MATCH($C1619,账户表,0))),"※账户不在基础资料里",IF(AND($G1619&lt;&gt;"",ISNA(MATCH($G1619,项目名表,0))),"※项目不在项目台账里",IF(AND(LEFT($F1619,3)="成本-",$G1619=""),"※成本类支出没填项目",IF(AND(LEFT($F1619,3)="成本-",$H1619&lt;&gt;"",N($K1619)&gt;0,COUNTIFS(采购单!$B:$B,$B1619,采购单!$C:$C,$H1619,采购单!$L:$L,$K1619)&gt;0),"※这笔可能和采购单重复了",""))))))))))</f>
        <v/>
      </c>
    </row>
    <row r="1620">
      <c r="A1620" s="17">
        <f>IF($B1620="","",ROW()-3)</f>
        <v/>
      </c>
      <c r="B1620" s="18" t="n"/>
      <c r="C1620" s="13" t="n"/>
      <c r="D1620" s="13" t="n"/>
      <c r="E1620" s="13" t="n"/>
      <c r="F1620" s="17">
        <f>IF($E1620="","",IFERROR(VLOOKUP($E1620,类别归属,2,0),"※类别不在基础资料里"))</f>
        <v/>
      </c>
      <c r="G1620" s="13" t="n"/>
      <c r="H1620" s="13" t="n"/>
      <c r="I1620" s="13" t="n"/>
      <c r="J1620" s="14" t="n"/>
      <c r="K1620" s="14" t="n"/>
      <c r="L1620" s="19">
        <f>IF($C1620="","",ROUND(IFERROR(VLOOKUP($C1620,账户期初,2,0),0)+SUMIFS($J$4:J1620,$C$4:C1620,$C1620)-SUMIFS($K$4:K1620,$C$4:C1620,$C1620),2))</f>
        <v/>
      </c>
      <c r="M1620" s="19">
        <f>IF($C1620="","",ROUND(SUM(基础资料!$B$4:$B$13)+SUM($J$4:J1620)-SUM($K$4:K1620),2))</f>
        <v/>
      </c>
      <c r="N1620" s="13" t="n"/>
      <c r="O1620" s="13" t="n"/>
      <c r="P1620" s="17">
        <f>IF($B1620="","",IF($F1620="※类别不在基础资料里","※费用类别不在基础资料里",IF(AND(N($J1620)=0,N($K1620)=0),"※这行没填金额",IF(AND(N($J1620)&gt;0,N($K1620)&gt;0),"※收入和支出不能同一行都填",IF(AND($D1620="收入",N($J1620)=0),"※收入行要填收入金额",IF(AND($D1620="支出",N($K1620)=0),"※支出行要填支出金额",IF(AND($C1620&lt;&gt;"",ISNA(MATCH($C1620,账户表,0))),"※账户不在基础资料里",IF(AND($G1620&lt;&gt;"",ISNA(MATCH($G1620,项目名表,0))),"※项目不在项目台账里",IF(AND(LEFT($F1620,3)="成本-",$G1620=""),"※成本类支出没填项目",IF(AND(LEFT($F1620,3)="成本-",$H1620&lt;&gt;"",N($K1620)&gt;0,COUNTIFS(采购单!$B:$B,$B1620,采购单!$C:$C,$H1620,采购单!$L:$L,$K1620)&gt;0),"※这笔可能和采购单重复了",""))))))))))</f>
        <v/>
      </c>
    </row>
    <row r="1621">
      <c r="A1621" s="17">
        <f>IF($B1621="","",ROW()-3)</f>
        <v/>
      </c>
      <c r="B1621" s="18" t="n"/>
      <c r="C1621" s="13" t="n"/>
      <c r="D1621" s="13" t="n"/>
      <c r="E1621" s="13" t="n"/>
      <c r="F1621" s="17">
        <f>IF($E1621="","",IFERROR(VLOOKUP($E1621,类别归属,2,0),"※类别不在基础资料里"))</f>
        <v/>
      </c>
      <c r="G1621" s="13" t="n"/>
      <c r="H1621" s="13" t="n"/>
      <c r="I1621" s="13" t="n"/>
      <c r="J1621" s="14" t="n"/>
      <c r="K1621" s="14" t="n"/>
      <c r="L1621" s="19">
        <f>IF($C1621="","",ROUND(IFERROR(VLOOKUP($C1621,账户期初,2,0),0)+SUMIFS($J$4:J1621,$C$4:C1621,$C1621)-SUMIFS($K$4:K1621,$C$4:C1621,$C1621),2))</f>
        <v/>
      </c>
      <c r="M1621" s="19">
        <f>IF($C1621="","",ROUND(SUM(基础资料!$B$4:$B$13)+SUM($J$4:J1621)-SUM($K$4:K1621),2))</f>
        <v/>
      </c>
      <c r="N1621" s="13" t="n"/>
      <c r="O1621" s="13" t="n"/>
      <c r="P1621" s="17">
        <f>IF($B1621="","",IF($F1621="※类别不在基础资料里","※费用类别不在基础资料里",IF(AND(N($J1621)=0,N($K1621)=0),"※这行没填金额",IF(AND(N($J1621)&gt;0,N($K1621)&gt;0),"※收入和支出不能同一行都填",IF(AND($D1621="收入",N($J1621)=0),"※收入行要填收入金额",IF(AND($D1621="支出",N($K1621)=0),"※支出行要填支出金额",IF(AND($C1621&lt;&gt;"",ISNA(MATCH($C1621,账户表,0))),"※账户不在基础资料里",IF(AND($G1621&lt;&gt;"",ISNA(MATCH($G1621,项目名表,0))),"※项目不在项目台账里",IF(AND(LEFT($F1621,3)="成本-",$G1621=""),"※成本类支出没填项目",IF(AND(LEFT($F1621,3)="成本-",$H1621&lt;&gt;"",N($K1621)&gt;0,COUNTIFS(采购单!$B:$B,$B1621,采购单!$C:$C,$H1621,采购单!$L:$L,$K1621)&gt;0),"※这笔可能和采购单重复了",""))))))))))</f>
        <v/>
      </c>
    </row>
    <row r="1622">
      <c r="A1622" s="17">
        <f>IF($B1622="","",ROW()-3)</f>
        <v/>
      </c>
      <c r="B1622" s="18" t="n"/>
      <c r="C1622" s="13" t="n"/>
      <c r="D1622" s="13" t="n"/>
      <c r="E1622" s="13" t="n"/>
      <c r="F1622" s="17">
        <f>IF($E1622="","",IFERROR(VLOOKUP($E1622,类别归属,2,0),"※类别不在基础资料里"))</f>
        <v/>
      </c>
      <c r="G1622" s="13" t="n"/>
      <c r="H1622" s="13" t="n"/>
      <c r="I1622" s="13" t="n"/>
      <c r="J1622" s="14" t="n"/>
      <c r="K1622" s="14" t="n"/>
      <c r="L1622" s="19">
        <f>IF($C1622="","",ROUND(IFERROR(VLOOKUP($C1622,账户期初,2,0),0)+SUMIFS($J$4:J1622,$C$4:C1622,$C1622)-SUMIFS($K$4:K1622,$C$4:C1622,$C1622),2))</f>
        <v/>
      </c>
      <c r="M1622" s="19">
        <f>IF($C1622="","",ROUND(SUM(基础资料!$B$4:$B$13)+SUM($J$4:J1622)-SUM($K$4:K1622),2))</f>
        <v/>
      </c>
      <c r="N1622" s="13" t="n"/>
      <c r="O1622" s="13" t="n"/>
      <c r="P1622" s="17">
        <f>IF($B1622="","",IF($F1622="※类别不在基础资料里","※费用类别不在基础资料里",IF(AND(N($J1622)=0,N($K1622)=0),"※这行没填金额",IF(AND(N($J1622)&gt;0,N($K1622)&gt;0),"※收入和支出不能同一行都填",IF(AND($D1622="收入",N($J1622)=0),"※收入行要填收入金额",IF(AND($D1622="支出",N($K1622)=0),"※支出行要填支出金额",IF(AND($C1622&lt;&gt;"",ISNA(MATCH($C1622,账户表,0))),"※账户不在基础资料里",IF(AND($G1622&lt;&gt;"",ISNA(MATCH($G1622,项目名表,0))),"※项目不在项目台账里",IF(AND(LEFT($F1622,3)="成本-",$G1622=""),"※成本类支出没填项目",IF(AND(LEFT($F1622,3)="成本-",$H1622&lt;&gt;"",N($K1622)&gt;0,COUNTIFS(采购单!$B:$B,$B1622,采购单!$C:$C,$H1622,采购单!$L:$L,$K1622)&gt;0),"※这笔可能和采购单重复了",""))))))))))</f>
        <v/>
      </c>
    </row>
    <row r="1623">
      <c r="A1623" s="17">
        <f>IF($B1623="","",ROW()-3)</f>
        <v/>
      </c>
      <c r="B1623" s="18" t="n"/>
      <c r="C1623" s="13" t="n"/>
      <c r="D1623" s="13" t="n"/>
      <c r="E1623" s="13" t="n"/>
      <c r="F1623" s="17">
        <f>IF($E1623="","",IFERROR(VLOOKUP($E1623,类别归属,2,0),"※类别不在基础资料里"))</f>
        <v/>
      </c>
      <c r="G1623" s="13" t="n"/>
      <c r="H1623" s="13" t="n"/>
      <c r="I1623" s="13" t="n"/>
      <c r="J1623" s="14" t="n"/>
      <c r="K1623" s="14" t="n"/>
      <c r="L1623" s="19">
        <f>IF($C1623="","",ROUND(IFERROR(VLOOKUP($C1623,账户期初,2,0),0)+SUMIFS($J$4:J1623,$C$4:C1623,$C1623)-SUMIFS($K$4:K1623,$C$4:C1623,$C1623),2))</f>
        <v/>
      </c>
      <c r="M1623" s="19">
        <f>IF($C1623="","",ROUND(SUM(基础资料!$B$4:$B$13)+SUM($J$4:J1623)-SUM($K$4:K1623),2))</f>
        <v/>
      </c>
      <c r="N1623" s="13" t="n"/>
      <c r="O1623" s="13" t="n"/>
      <c r="P1623" s="17">
        <f>IF($B1623="","",IF($F1623="※类别不在基础资料里","※费用类别不在基础资料里",IF(AND(N($J1623)=0,N($K1623)=0),"※这行没填金额",IF(AND(N($J1623)&gt;0,N($K1623)&gt;0),"※收入和支出不能同一行都填",IF(AND($D1623="收入",N($J1623)=0),"※收入行要填收入金额",IF(AND($D1623="支出",N($K1623)=0),"※支出行要填支出金额",IF(AND($C1623&lt;&gt;"",ISNA(MATCH($C1623,账户表,0))),"※账户不在基础资料里",IF(AND($G1623&lt;&gt;"",ISNA(MATCH($G1623,项目名表,0))),"※项目不在项目台账里",IF(AND(LEFT($F1623,3)="成本-",$G1623=""),"※成本类支出没填项目",IF(AND(LEFT($F1623,3)="成本-",$H1623&lt;&gt;"",N($K1623)&gt;0,COUNTIFS(采购单!$B:$B,$B1623,采购单!$C:$C,$H1623,采购单!$L:$L,$K1623)&gt;0),"※这笔可能和采购单重复了",""))))))))))</f>
        <v/>
      </c>
    </row>
    <row r="1624">
      <c r="A1624" s="17">
        <f>IF($B1624="","",ROW()-3)</f>
        <v/>
      </c>
      <c r="B1624" s="18" t="n"/>
      <c r="C1624" s="13" t="n"/>
      <c r="D1624" s="13" t="n"/>
      <c r="E1624" s="13" t="n"/>
      <c r="F1624" s="17">
        <f>IF($E1624="","",IFERROR(VLOOKUP($E1624,类别归属,2,0),"※类别不在基础资料里"))</f>
        <v/>
      </c>
      <c r="G1624" s="13" t="n"/>
      <c r="H1624" s="13" t="n"/>
      <c r="I1624" s="13" t="n"/>
      <c r="J1624" s="14" t="n"/>
      <c r="K1624" s="14" t="n"/>
      <c r="L1624" s="19">
        <f>IF($C1624="","",ROUND(IFERROR(VLOOKUP($C1624,账户期初,2,0),0)+SUMIFS($J$4:J1624,$C$4:C1624,$C1624)-SUMIFS($K$4:K1624,$C$4:C1624,$C1624),2))</f>
        <v/>
      </c>
      <c r="M1624" s="19">
        <f>IF($C1624="","",ROUND(SUM(基础资料!$B$4:$B$13)+SUM($J$4:J1624)-SUM($K$4:K1624),2))</f>
        <v/>
      </c>
      <c r="N1624" s="13" t="n"/>
      <c r="O1624" s="13" t="n"/>
      <c r="P1624" s="17">
        <f>IF($B1624="","",IF($F1624="※类别不在基础资料里","※费用类别不在基础资料里",IF(AND(N($J1624)=0,N($K1624)=0),"※这行没填金额",IF(AND(N($J1624)&gt;0,N($K1624)&gt;0),"※收入和支出不能同一行都填",IF(AND($D1624="收入",N($J1624)=0),"※收入行要填收入金额",IF(AND($D1624="支出",N($K1624)=0),"※支出行要填支出金额",IF(AND($C1624&lt;&gt;"",ISNA(MATCH($C1624,账户表,0))),"※账户不在基础资料里",IF(AND($G1624&lt;&gt;"",ISNA(MATCH($G1624,项目名表,0))),"※项目不在项目台账里",IF(AND(LEFT($F1624,3)="成本-",$G1624=""),"※成本类支出没填项目",IF(AND(LEFT($F1624,3)="成本-",$H1624&lt;&gt;"",N($K1624)&gt;0,COUNTIFS(采购单!$B:$B,$B1624,采购单!$C:$C,$H1624,采购单!$L:$L,$K1624)&gt;0),"※这笔可能和采购单重复了",""))))))))))</f>
        <v/>
      </c>
    </row>
    <row r="1625">
      <c r="A1625" s="17">
        <f>IF($B1625="","",ROW()-3)</f>
        <v/>
      </c>
      <c r="B1625" s="18" t="n"/>
      <c r="C1625" s="13" t="n"/>
      <c r="D1625" s="13" t="n"/>
      <c r="E1625" s="13" t="n"/>
      <c r="F1625" s="17">
        <f>IF($E1625="","",IFERROR(VLOOKUP($E1625,类别归属,2,0),"※类别不在基础资料里"))</f>
        <v/>
      </c>
      <c r="G1625" s="13" t="n"/>
      <c r="H1625" s="13" t="n"/>
      <c r="I1625" s="13" t="n"/>
      <c r="J1625" s="14" t="n"/>
      <c r="K1625" s="14" t="n"/>
      <c r="L1625" s="19">
        <f>IF($C1625="","",ROUND(IFERROR(VLOOKUP($C1625,账户期初,2,0),0)+SUMIFS($J$4:J1625,$C$4:C1625,$C1625)-SUMIFS($K$4:K1625,$C$4:C1625,$C1625),2))</f>
        <v/>
      </c>
      <c r="M1625" s="19">
        <f>IF($C1625="","",ROUND(SUM(基础资料!$B$4:$B$13)+SUM($J$4:J1625)-SUM($K$4:K1625),2))</f>
        <v/>
      </c>
      <c r="N1625" s="13" t="n"/>
      <c r="O1625" s="13" t="n"/>
      <c r="P1625" s="17">
        <f>IF($B1625="","",IF($F1625="※类别不在基础资料里","※费用类别不在基础资料里",IF(AND(N($J1625)=0,N($K1625)=0),"※这行没填金额",IF(AND(N($J1625)&gt;0,N($K1625)&gt;0),"※收入和支出不能同一行都填",IF(AND($D1625="收入",N($J1625)=0),"※收入行要填收入金额",IF(AND($D1625="支出",N($K1625)=0),"※支出行要填支出金额",IF(AND($C1625&lt;&gt;"",ISNA(MATCH($C1625,账户表,0))),"※账户不在基础资料里",IF(AND($G1625&lt;&gt;"",ISNA(MATCH($G1625,项目名表,0))),"※项目不在项目台账里",IF(AND(LEFT($F1625,3)="成本-",$G1625=""),"※成本类支出没填项目",IF(AND(LEFT($F1625,3)="成本-",$H1625&lt;&gt;"",N($K1625)&gt;0,COUNTIFS(采购单!$B:$B,$B1625,采购单!$C:$C,$H1625,采购单!$L:$L,$K1625)&gt;0),"※这笔可能和采购单重复了",""))))))))))</f>
        <v/>
      </c>
    </row>
    <row r="1626">
      <c r="A1626" s="17">
        <f>IF($B1626="","",ROW()-3)</f>
        <v/>
      </c>
      <c r="B1626" s="18" t="n"/>
      <c r="C1626" s="13" t="n"/>
      <c r="D1626" s="13" t="n"/>
      <c r="E1626" s="13" t="n"/>
      <c r="F1626" s="17">
        <f>IF($E1626="","",IFERROR(VLOOKUP($E1626,类别归属,2,0),"※类别不在基础资料里"))</f>
        <v/>
      </c>
      <c r="G1626" s="13" t="n"/>
      <c r="H1626" s="13" t="n"/>
      <c r="I1626" s="13" t="n"/>
      <c r="J1626" s="14" t="n"/>
      <c r="K1626" s="14" t="n"/>
      <c r="L1626" s="19">
        <f>IF($C1626="","",ROUND(IFERROR(VLOOKUP($C1626,账户期初,2,0),0)+SUMIFS($J$4:J1626,$C$4:C1626,$C1626)-SUMIFS($K$4:K1626,$C$4:C1626,$C1626),2))</f>
        <v/>
      </c>
      <c r="M1626" s="19">
        <f>IF($C1626="","",ROUND(SUM(基础资料!$B$4:$B$13)+SUM($J$4:J1626)-SUM($K$4:K1626),2))</f>
        <v/>
      </c>
      <c r="N1626" s="13" t="n"/>
      <c r="O1626" s="13" t="n"/>
      <c r="P1626" s="17">
        <f>IF($B1626="","",IF($F1626="※类别不在基础资料里","※费用类别不在基础资料里",IF(AND(N($J1626)=0,N($K1626)=0),"※这行没填金额",IF(AND(N($J1626)&gt;0,N($K1626)&gt;0),"※收入和支出不能同一行都填",IF(AND($D1626="收入",N($J1626)=0),"※收入行要填收入金额",IF(AND($D1626="支出",N($K1626)=0),"※支出行要填支出金额",IF(AND($C1626&lt;&gt;"",ISNA(MATCH($C1626,账户表,0))),"※账户不在基础资料里",IF(AND($G1626&lt;&gt;"",ISNA(MATCH($G1626,项目名表,0))),"※项目不在项目台账里",IF(AND(LEFT($F1626,3)="成本-",$G1626=""),"※成本类支出没填项目",IF(AND(LEFT($F1626,3)="成本-",$H1626&lt;&gt;"",N($K1626)&gt;0,COUNTIFS(采购单!$B:$B,$B1626,采购单!$C:$C,$H1626,采购单!$L:$L,$K1626)&gt;0),"※这笔可能和采购单重复了",""))))))))))</f>
        <v/>
      </c>
    </row>
    <row r="1627">
      <c r="A1627" s="17">
        <f>IF($B1627="","",ROW()-3)</f>
        <v/>
      </c>
      <c r="B1627" s="18" t="n"/>
      <c r="C1627" s="13" t="n"/>
      <c r="D1627" s="13" t="n"/>
      <c r="E1627" s="13" t="n"/>
      <c r="F1627" s="17">
        <f>IF($E1627="","",IFERROR(VLOOKUP($E1627,类别归属,2,0),"※类别不在基础资料里"))</f>
        <v/>
      </c>
      <c r="G1627" s="13" t="n"/>
      <c r="H1627" s="13" t="n"/>
      <c r="I1627" s="13" t="n"/>
      <c r="J1627" s="14" t="n"/>
      <c r="K1627" s="14" t="n"/>
      <c r="L1627" s="19">
        <f>IF($C1627="","",ROUND(IFERROR(VLOOKUP($C1627,账户期初,2,0),0)+SUMIFS($J$4:J1627,$C$4:C1627,$C1627)-SUMIFS($K$4:K1627,$C$4:C1627,$C1627),2))</f>
        <v/>
      </c>
      <c r="M1627" s="19">
        <f>IF($C1627="","",ROUND(SUM(基础资料!$B$4:$B$13)+SUM($J$4:J1627)-SUM($K$4:K1627),2))</f>
        <v/>
      </c>
      <c r="N1627" s="13" t="n"/>
      <c r="O1627" s="13" t="n"/>
      <c r="P1627" s="17">
        <f>IF($B1627="","",IF($F1627="※类别不在基础资料里","※费用类别不在基础资料里",IF(AND(N($J1627)=0,N($K1627)=0),"※这行没填金额",IF(AND(N($J1627)&gt;0,N($K1627)&gt;0),"※收入和支出不能同一行都填",IF(AND($D1627="收入",N($J1627)=0),"※收入行要填收入金额",IF(AND($D1627="支出",N($K1627)=0),"※支出行要填支出金额",IF(AND($C1627&lt;&gt;"",ISNA(MATCH($C1627,账户表,0))),"※账户不在基础资料里",IF(AND($G1627&lt;&gt;"",ISNA(MATCH($G1627,项目名表,0))),"※项目不在项目台账里",IF(AND(LEFT($F1627,3)="成本-",$G1627=""),"※成本类支出没填项目",IF(AND(LEFT($F1627,3)="成本-",$H1627&lt;&gt;"",N($K1627)&gt;0,COUNTIFS(采购单!$B:$B,$B1627,采购单!$C:$C,$H1627,采购单!$L:$L,$K1627)&gt;0),"※这笔可能和采购单重复了",""))))))))))</f>
        <v/>
      </c>
    </row>
    <row r="1628">
      <c r="A1628" s="17">
        <f>IF($B1628="","",ROW()-3)</f>
        <v/>
      </c>
      <c r="B1628" s="18" t="n"/>
      <c r="C1628" s="13" t="n"/>
      <c r="D1628" s="13" t="n"/>
      <c r="E1628" s="13" t="n"/>
      <c r="F1628" s="17">
        <f>IF($E1628="","",IFERROR(VLOOKUP($E1628,类别归属,2,0),"※类别不在基础资料里"))</f>
        <v/>
      </c>
      <c r="G1628" s="13" t="n"/>
      <c r="H1628" s="13" t="n"/>
      <c r="I1628" s="13" t="n"/>
      <c r="J1628" s="14" t="n"/>
      <c r="K1628" s="14" t="n"/>
      <c r="L1628" s="19">
        <f>IF($C1628="","",ROUND(IFERROR(VLOOKUP($C1628,账户期初,2,0),0)+SUMIFS($J$4:J1628,$C$4:C1628,$C1628)-SUMIFS($K$4:K1628,$C$4:C1628,$C1628),2))</f>
        <v/>
      </c>
      <c r="M1628" s="19">
        <f>IF($C1628="","",ROUND(SUM(基础资料!$B$4:$B$13)+SUM($J$4:J1628)-SUM($K$4:K1628),2))</f>
        <v/>
      </c>
      <c r="N1628" s="13" t="n"/>
      <c r="O1628" s="13" t="n"/>
      <c r="P1628" s="17">
        <f>IF($B1628="","",IF($F1628="※类别不在基础资料里","※费用类别不在基础资料里",IF(AND(N($J1628)=0,N($K1628)=0),"※这行没填金额",IF(AND(N($J1628)&gt;0,N($K1628)&gt;0),"※收入和支出不能同一行都填",IF(AND($D1628="收入",N($J1628)=0),"※收入行要填收入金额",IF(AND($D1628="支出",N($K1628)=0),"※支出行要填支出金额",IF(AND($C1628&lt;&gt;"",ISNA(MATCH($C1628,账户表,0))),"※账户不在基础资料里",IF(AND($G1628&lt;&gt;"",ISNA(MATCH($G1628,项目名表,0))),"※项目不在项目台账里",IF(AND(LEFT($F1628,3)="成本-",$G1628=""),"※成本类支出没填项目",IF(AND(LEFT($F1628,3)="成本-",$H1628&lt;&gt;"",N($K1628)&gt;0,COUNTIFS(采购单!$B:$B,$B1628,采购单!$C:$C,$H1628,采购单!$L:$L,$K1628)&gt;0),"※这笔可能和采购单重复了",""))))))))))</f>
        <v/>
      </c>
    </row>
    <row r="1629">
      <c r="A1629" s="17">
        <f>IF($B1629="","",ROW()-3)</f>
        <v/>
      </c>
      <c r="B1629" s="18" t="n"/>
      <c r="C1629" s="13" t="n"/>
      <c r="D1629" s="13" t="n"/>
      <c r="E1629" s="13" t="n"/>
      <c r="F1629" s="17">
        <f>IF($E1629="","",IFERROR(VLOOKUP($E1629,类别归属,2,0),"※类别不在基础资料里"))</f>
        <v/>
      </c>
      <c r="G1629" s="13" t="n"/>
      <c r="H1629" s="13" t="n"/>
      <c r="I1629" s="13" t="n"/>
      <c r="J1629" s="14" t="n"/>
      <c r="K1629" s="14" t="n"/>
      <c r="L1629" s="19">
        <f>IF($C1629="","",ROUND(IFERROR(VLOOKUP($C1629,账户期初,2,0),0)+SUMIFS($J$4:J1629,$C$4:C1629,$C1629)-SUMIFS($K$4:K1629,$C$4:C1629,$C1629),2))</f>
        <v/>
      </c>
      <c r="M1629" s="19">
        <f>IF($C1629="","",ROUND(SUM(基础资料!$B$4:$B$13)+SUM($J$4:J1629)-SUM($K$4:K1629),2))</f>
        <v/>
      </c>
      <c r="N1629" s="13" t="n"/>
      <c r="O1629" s="13" t="n"/>
      <c r="P1629" s="17">
        <f>IF($B1629="","",IF($F1629="※类别不在基础资料里","※费用类别不在基础资料里",IF(AND(N($J1629)=0,N($K1629)=0),"※这行没填金额",IF(AND(N($J1629)&gt;0,N($K1629)&gt;0),"※收入和支出不能同一行都填",IF(AND($D1629="收入",N($J1629)=0),"※收入行要填收入金额",IF(AND($D1629="支出",N($K1629)=0),"※支出行要填支出金额",IF(AND($C1629&lt;&gt;"",ISNA(MATCH($C1629,账户表,0))),"※账户不在基础资料里",IF(AND($G1629&lt;&gt;"",ISNA(MATCH($G1629,项目名表,0))),"※项目不在项目台账里",IF(AND(LEFT($F1629,3)="成本-",$G1629=""),"※成本类支出没填项目",IF(AND(LEFT($F1629,3)="成本-",$H1629&lt;&gt;"",N($K1629)&gt;0,COUNTIFS(采购单!$B:$B,$B1629,采购单!$C:$C,$H1629,采购单!$L:$L,$K1629)&gt;0),"※这笔可能和采购单重复了",""))))))))))</f>
        <v/>
      </c>
    </row>
    <row r="1630">
      <c r="A1630" s="17">
        <f>IF($B1630="","",ROW()-3)</f>
        <v/>
      </c>
      <c r="B1630" s="18" t="n"/>
      <c r="C1630" s="13" t="n"/>
      <c r="D1630" s="13" t="n"/>
      <c r="E1630" s="13" t="n"/>
      <c r="F1630" s="17">
        <f>IF($E1630="","",IFERROR(VLOOKUP($E1630,类别归属,2,0),"※类别不在基础资料里"))</f>
        <v/>
      </c>
      <c r="G1630" s="13" t="n"/>
      <c r="H1630" s="13" t="n"/>
      <c r="I1630" s="13" t="n"/>
      <c r="J1630" s="14" t="n"/>
      <c r="K1630" s="14" t="n"/>
      <c r="L1630" s="19">
        <f>IF($C1630="","",ROUND(IFERROR(VLOOKUP($C1630,账户期初,2,0),0)+SUMIFS($J$4:J1630,$C$4:C1630,$C1630)-SUMIFS($K$4:K1630,$C$4:C1630,$C1630),2))</f>
        <v/>
      </c>
      <c r="M1630" s="19">
        <f>IF($C1630="","",ROUND(SUM(基础资料!$B$4:$B$13)+SUM($J$4:J1630)-SUM($K$4:K1630),2))</f>
        <v/>
      </c>
      <c r="N1630" s="13" t="n"/>
      <c r="O1630" s="13" t="n"/>
      <c r="P1630" s="17">
        <f>IF($B1630="","",IF($F1630="※类别不在基础资料里","※费用类别不在基础资料里",IF(AND(N($J1630)=0,N($K1630)=0),"※这行没填金额",IF(AND(N($J1630)&gt;0,N($K1630)&gt;0),"※收入和支出不能同一行都填",IF(AND($D1630="收入",N($J1630)=0),"※收入行要填收入金额",IF(AND($D1630="支出",N($K1630)=0),"※支出行要填支出金额",IF(AND($C1630&lt;&gt;"",ISNA(MATCH($C1630,账户表,0))),"※账户不在基础资料里",IF(AND($G1630&lt;&gt;"",ISNA(MATCH($G1630,项目名表,0))),"※项目不在项目台账里",IF(AND(LEFT($F1630,3)="成本-",$G1630=""),"※成本类支出没填项目",IF(AND(LEFT($F1630,3)="成本-",$H1630&lt;&gt;"",N($K1630)&gt;0,COUNTIFS(采购单!$B:$B,$B1630,采购单!$C:$C,$H1630,采购单!$L:$L,$K1630)&gt;0),"※这笔可能和采购单重复了",""))))))))))</f>
        <v/>
      </c>
    </row>
    <row r="1631">
      <c r="A1631" s="17">
        <f>IF($B1631="","",ROW()-3)</f>
        <v/>
      </c>
      <c r="B1631" s="18" t="n"/>
      <c r="C1631" s="13" t="n"/>
      <c r="D1631" s="13" t="n"/>
      <c r="E1631" s="13" t="n"/>
      <c r="F1631" s="17">
        <f>IF($E1631="","",IFERROR(VLOOKUP($E1631,类别归属,2,0),"※类别不在基础资料里"))</f>
        <v/>
      </c>
      <c r="G1631" s="13" t="n"/>
      <c r="H1631" s="13" t="n"/>
      <c r="I1631" s="13" t="n"/>
      <c r="J1631" s="14" t="n"/>
      <c r="K1631" s="14" t="n"/>
      <c r="L1631" s="19">
        <f>IF($C1631="","",ROUND(IFERROR(VLOOKUP($C1631,账户期初,2,0),0)+SUMIFS($J$4:J1631,$C$4:C1631,$C1631)-SUMIFS($K$4:K1631,$C$4:C1631,$C1631),2))</f>
        <v/>
      </c>
      <c r="M1631" s="19">
        <f>IF($C1631="","",ROUND(SUM(基础资料!$B$4:$B$13)+SUM($J$4:J1631)-SUM($K$4:K1631),2))</f>
        <v/>
      </c>
      <c r="N1631" s="13" t="n"/>
      <c r="O1631" s="13" t="n"/>
      <c r="P1631" s="17">
        <f>IF($B1631="","",IF($F1631="※类别不在基础资料里","※费用类别不在基础资料里",IF(AND(N($J1631)=0,N($K1631)=0),"※这行没填金额",IF(AND(N($J1631)&gt;0,N($K1631)&gt;0),"※收入和支出不能同一行都填",IF(AND($D1631="收入",N($J1631)=0),"※收入行要填收入金额",IF(AND($D1631="支出",N($K1631)=0),"※支出行要填支出金额",IF(AND($C1631&lt;&gt;"",ISNA(MATCH($C1631,账户表,0))),"※账户不在基础资料里",IF(AND($G1631&lt;&gt;"",ISNA(MATCH($G1631,项目名表,0))),"※项目不在项目台账里",IF(AND(LEFT($F1631,3)="成本-",$G1631=""),"※成本类支出没填项目",IF(AND(LEFT($F1631,3)="成本-",$H1631&lt;&gt;"",N($K1631)&gt;0,COUNTIFS(采购单!$B:$B,$B1631,采购单!$C:$C,$H1631,采购单!$L:$L,$K1631)&gt;0),"※这笔可能和采购单重复了",""))))))))))</f>
        <v/>
      </c>
    </row>
    <row r="1632">
      <c r="A1632" s="17">
        <f>IF($B1632="","",ROW()-3)</f>
        <v/>
      </c>
      <c r="B1632" s="18" t="n"/>
      <c r="C1632" s="13" t="n"/>
      <c r="D1632" s="13" t="n"/>
      <c r="E1632" s="13" t="n"/>
      <c r="F1632" s="17">
        <f>IF($E1632="","",IFERROR(VLOOKUP($E1632,类别归属,2,0),"※类别不在基础资料里"))</f>
        <v/>
      </c>
      <c r="G1632" s="13" t="n"/>
      <c r="H1632" s="13" t="n"/>
      <c r="I1632" s="13" t="n"/>
      <c r="J1632" s="14" t="n"/>
      <c r="K1632" s="14" t="n"/>
      <c r="L1632" s="19">
        <f>IF($C1632="","",ROUND(IFERROR(VLOOKUP($C1632,账户期初,2,0),0)+SUMIFS($J$4:J1632,$C$4:C1632,$C1632)-SUMIFS($K$4:K1632,$C$4:C1632,$C1632),2))</f>
        <v/>
      </c>
      <c r="M1632" s="19">
        <f>IF($C1632="","",ROUND(SUM(基础资料!$B$4:$B$13)+SUM($J$4:J1632)-SUM($K$4:K1632),2))</f>
        <v/>
      </c>
      <c r="N1632" s="13" t="n"/>
      <c r="O1632" s="13" t="n"/>
      <c r="P1632" s="17">
        <f>IF($B1632="","",IF($F1632="※类别不在基础资料里","※费用类别不在基础资料里",IF(AND(N($J1632)=0,N($K1632)=0),"※这行没填金额",IF(AND(N($J1632)&gt;0,N($K1632)&gt;0),"※收入和支出不能同一行都填",IF(AND($D1632="收入",N($J1632)=0),"※收入行要填收入金额",IF(AND($D1632="支出",N($K1632)=0),"※支出行要填支出金额",IF(AND($C1632&lt;&gt;"",ISNA(MATCH($C1632,账户表,0))),"※账户不在基础资料里",IF(AND($G1632&lt;&gt;"",ISNA(MATCH($G1632,项目名表,0))),"※项目不在项目台账里",IF(AND(LEFT($F1632,3)="成本-",$G1632=""),"※成本类支出没填项目",IF(AND(LEFT($F1632,3)="成本-",$H1632&lt;&gt;"",N($K1632)&gt;0,COUNTIFS(采购单!$B:$B,$B1632,采购单!$C:$C,$H1632,采购单!$L:$L,$K1632)&gt;0),"※这笔可能和采购单重复了",""))))))))))</f>
        <v/>
      </c>
    </row>
    <row r="1633">
      <c r="A1633" s="17">
        <f>IF($B1633="","",ROW()-3)</f>
        <v/>
      </c>
      <c r="B1633" s="18" t="n"/>
      <c r="C1633" s="13" t="n"/>
      <c r="D1633" s="13" t="n"/>
      <c r="E1633" s="13" t="n"/>
      <c r="F1633" s="17">
        <f>IF($E1633="","",IFERROR(VLOOKUP($E1633,类别归属,2,0),"※类别不在基础资料里"))</f>
        <v/>
      </c>
      <c r="G1633" s="13" t="n"/>
      <c r="H1633" s="13" t="n"/>
      <c r="I1633" s="13" t="n"/>
      <c r="J1633" s="14" t="n"/>
      <c r="K1633" s="14" t="n"/>
      <c r="L1633" s="19">
        <f>IF($C1633="","",ROUND(IFERROR(VLOOKUP($C1633,账户期初,2,0),0)+SUMIFS($J$4:J1633,$C$4:C1633,$C1633)-SUMIFS($K$4:K1633,$C$4:C1633,$C1633),2))</f>
        <v/>
      </c>
      <c r="M1633" s="19">
        <f>IF($C1633="","",ROUND(SUM(基础资料!$B$4:$B$13)+SUM($J$4:J1633)-SUM($K$4:K1633),2))</f>
        <v/>
      </c>
      <c r="N1633" s="13" t="n"/>
      <c r="O1633" s="13" t="n"/>
      <c r="P1633" s="17">
        <f>IF($B1633="","",IF($F1633="※类别不在基础资料里","※费用类别不在基础资料里",IF(AND(N($J1633)=0,N($K1633)=0),"※这行没填金额",IF(AND(N($J1633)&gt;0,N($K1633)&gt;0),"※收入和支出不能同一行都填",IF(AND($D1633="收入",N($J1633)=0),"※收入行要填收入金额",IF(AND($D1633="支出",N($K1633)=0),"※支出行要填支出金额",IF(AND($C1633&lt;&gt;"",ISNA(MATCH($C1633,账户表,0))),"※账户不在基础资料里",IF(AND($G1633&lt;&gt;"",ISNA(MATCH($G1633,项目名表,0))),"※项目不在项目台账里",IF(AND(LEFT($F1633,3)="成本-",$G1633=""),"※成本类支出没填项目",IF(AND(LEFT($F1633,3)="成本-",$H1633&lt;&gt;"",N($K1633)&gt;0,COUNTIFS(采购单!$B:$B,$B1633,采购单!$C:$C,$H1633,采购单!$L:$L,$K1633)&gt;0),"※这笔可能和采购单重复了",""))))))))))</f>
        <v/>
      </c>
    </row>
    <row r="1634">
      <c r="A1634" s="17">
        <f>IF($B1634="","",ROW()-3)</f>
        <v/>
      </c>
      <c r="B1634" s="18" t="n"/>
      <c r="C1634" s="13" t="n"/>
      <c r="D1634" s="13" t="n"/>
      <c r="E1634" s="13" t="n"/>
      <c r="F1634" s="17">
        <f>IF($E1634="","",IFERROR(VLOOKUP($E1634,类别归属,2,0),"※类别不在基础资料里"))</f>
        <v/>
      </c>
      <c r="G1634" s="13" t="n"/>
      <c r="H1634" s="13" t="n"/>
      <c r="I1634" s="13" t="n"/>
      <c r="J1634" s="14" t="n"/>
      <c r="K1634" s="14" t="n"/>
      <c r="L1634" s="19">
        <f>IF($C1634="","",ROUND(IFERROR(VLOOKUP($C1634,账户期初,2,0),0)+SUMIFS($J$4:J1634,$C$4:C1634,$C1634)-SUMIFS($K$4:K1634,$C$4:C1634,$C1634),2))</f>
        <v/>
      </c>
      <c r="M1634" s="19">
        <f>IF($C1634="","",ROUND(SUM(基础资料!$B$4:$B$13)+SUM($J$4:J1634)-SUM($K$4:K1634),2))</f>
        <v/>
      </c>
      <c r="N1634" s="13" t="n"/>
      <c r="O1634" s="13" t="n"/>
      <c r="P1634" s="17">
        <f>IF($B1634="","",IF($F1634="※类别不在基础资料里","※费用类别不在基础资料里",IF(AND(N($J1634)=0,N($K1634)=0),"※这行没填金额",IF(AND(N($J1634)&gt;0,N($K1634)&gt;0),"※收入和支出不能同一行都填",IF(AND($D1634="收入",N($J1634)=0),"※收入行要填收入金额",IF(AND($D1634="支出",N($K1634)=0),"※支出行要填支出金额",IF(AND($C1634&lt;&gt;"",ISNA(MATCH($C1634,账户表,0))),"※账户不在基础资料里",IF(AND($G1634&lt;&gt;"",ISNA(MATCH($G1634,项目名表,0))),"※项目不在项目台账里",IF(AND(LEFT($F1634,3)="成本-",$G1634=""),"※成本类支出没填项目",IF(AND(LEFT($F1634,3)="成本-",$H1634&lt;&gt;"",N($K1634)&gt;0,COUNTIFS(采购单!$B:$B,$B1634,采购单!$C:$C,$H1634,采购单!$L:$L,$K1634)&gt;0),"※这笔可能和采购单重复了",""))))))))))</f>
        <v/>
      </c>
    </row>
    <row r="1635">
      <c r="A1635" s="17">
        <f>IF($B1635="","",ROW()-3)</f>
        <v/>
      </c>
      <c r="B1635" s="18" t="n"/>
      <c r="C1635" s="13" t="n"/>
      <c r="D1635" s="13" t="n"/>
      <c r="E1635" s="13" t="n"/>
      <c r="F1635" s="17">
        <f>IF($E1635="","",IFERROR(VLOOKUP($E1635,类别归属,2,0),"※类别不在基础资料里"))</f>
        <v/>
      </c>
      <c r="G1635" s="13" t="n"/>
      <c r="H1635" s="13" t="n"/>
      <c r="I1635" s="13" t="n"/>
      <c r="J1635" s="14" t="n"/>
      <c r="K1635" s="14" t="n"/>
      <c r="L1635" s="19">
        <f>IF($C1635="","",ROUND(IFERROR(VLOOKUP($C1635,账户期初,2,0),0)+SUMIFS($J$4:J1635,$C$4:C1635,$C1635)-SUMIFS($K$4:K1635,$C$4:C1635,$C1635),2))</f>
        <v/>
      </c>
      <c r="M1635" s="19">
        <f>IF($C1635="","",ROUND(SUM(基础资料!$B$4:$B$13)+SUM($J$4:J1635)-SUM($K$4:K1635),2))</f>
        <v/>
      </c>
      <c r="N1635" s="13" t="n"/>
      <c r="O1635" s="13" t="n"/>
      <c r="P1635" s="17">
        <f>IF($B1635="","",IF($F1635="※类别不在基础资料里","※费用类别不在基础资料里",IF(AND(N($J1635)=0,N($K1635)=0),"※这行没填金额",IF(AND(N($J1635)&gt;0,N($K1635)&gt;0),"※收入和支出不能同一行都填",IF(AND($D1635="收入",N($J1635)=0),"※收入行要填收入金额",IF(AND($D1635="支出",N($K1635)=0),"※支出行要填支出金额",IF(AND($C1635&lt;&gt;"",ISNA(MATCH($C1635,账户表,0))),"※账户不在基础资料里",IF(AND($G1635&lt;&gt;"",ISNA(MATCH($G1635,项目名表,0))),"※项目不在项目台账里",IF(AND(LEFT($F1635,3)="成本-",$G1635=""),"※成本类支出没填项目",IF(AND(LEFT($F1635,3)="成本-",$H1635&lt;&gt;"",N($K1635)&gt;0,COUNTIFS(采购单!$B:$B,$B1635,采购单!$C:$C,$H1635,采购单!$L:$L,$K1635)&gt;0),"※这笔可能和采购单重复了",""))))))))))</f>
        <v/>
      </c>
    </row>
    <row r="1636">
      <c r="A1636" s="17">
        <f>IF($B1636="","",ROW()-3)</f>
        <v/>
      </c>
      <c r="B1636" s="18" t="n"/>
      <c r="C1636" s="13" t="n"/>
      <c r="D1636" s="13" t="n"/>
      <c r="E1636" s="13" t="n"/>
      <c r="F1636" s="17">
        <f>IF($E1636="","",IFERROR(VLOOKUP($E1636,类别归属,2,0),"※类别不在基础资料里"))</f>
        <v/>
      </c>
      <c r="G1636" s="13" t="n"/>
      <c r="H1636" s="13" t="n"/>
      <c r="I1636" s="13" t="n"/>
      <c r="J1636" s="14" t="n"/>
      <c r="K1636" s="14" t="n"/>
      <c r="L1636" s="19">
        <f>IF($C1636="","",ROUND(IFERROR(VLOOKUP($C1636,账户期初,2,0),0)+SUMIFS($J$4:J1636,$C$4:C1636,$C1636)-SUMIFS($K$4:K1636,$C$4:C1636,$C1636),2))</f>
        <v/>
      </c>
      <c r="M1636" s="19">
        <f>IF($C1636="","",ROUND(SUM(基础资料!$B$4:$B$13)+SUM($J$4:J1636)-SUM($K$4:K1636),2))</f>
        <v/>
      </c>
      <c r="N1636" s="13" t="n"/>
      <c r="O1636" s="13" t="n"/>
      <c r="P1636" s="17">
        <f>IF($B1636="","",IF($F1636="※类别不在基础资料里","※费用类别不在基础资料里",IF(AND(N($J1636)=0,N($K1636)=0),"※这行没填金额",IF(AND(N($J1636)&gt;0,N($K1636)&gt;0),"※收入和支出不能同一行都填",IF(AND($D1636="收入",N($J1636)=0),"※收入行要填收入金额",IF(AND($D1636="支出",N($K1636)=0),"※支出行要填支出金额",IF(AND($C1636&lt;&gt;"",ISNA(MATCH($C1636,账户表,0))),"※账户不在基础资料里",IF(AND($G1636&lt;&gt;"",ISNA(MATCH($G1636,项目名表,0))),"※项目不在项目台账里",IF(AND(LEFT($F1636,3)="成本-",$G1636=""),"※成本类支出没填项目",IF(AND(LEFT($F1636,3)="成本-",$H1636&lt;&gt;"",N($K1636)&gt;0,COUNTIFS(采购单!$B:$B,$B1636,采购单!$C:$C,$H1636,采购单!$L:$L,$K1636)&gt;0),"※这笔可能和采购单重复了",""))))))))))</f>
        <v/>
      </c>
    </row>
    <row r="1637">
      <c r="A1637" s="17">
        <f>IF($B1637="","",ROW()-3)</f>
        <v/>
      </c>
      <c r="B1637" s="18" t="n"/>
      <c r="C1637" s="13" t="n"/>
      <c r="D1637" s="13" t="n"/>
      <c r="E1637" s="13" t="n"/>
      <c r="F1637" s="17">
        <f>IF($E1637="","",IFERROR(VLOOKUP($E1637,类别归属,2,0),"※类别不在基础资料里"))</f>
        <v/>
      </c>
      <c r="G1637" s="13" t="n"/>
      <c r="H1637" s="13" t="n"/>
      <c r="I1637" s="13" t="n"/>
      <c r="J1637" s="14" t="n"/>
      <c r="K1637" s="14" t="n"/>
      <c r="L1637" s="19">
        <f>IF($C1637="","",ROUND(IFERROR(VLOOKUP($C1637,账户期初,2,0),0)+SUMIFS($J$4:J1637,$C$4:C1637,$C1637)-SUMIFS($K$4:K1637,$C$4:C1637,$C1637),2))</f>
        <v/>
      </c>
      <c r="M1637" s="19">
        <f>IF($C1637="","",ROUND(SUM(基础资料!$B$4:$B$13)+SUM($J$4:J1637)-SUM($K$4:K1637),2))</f>
        <v/>
      </c>
      <c r="N1637" s="13" t="n"/>
      <c r="O1637" s="13" t="n"/>
      <c r="P1637" s="17">
        <f>IF($B1637="","",IF($F1637="※类别不在基础资料里","※费用类别不在基础资料里",IF(AND(N($J1637)=0,N($K1637)=0),"※这行没填金额",IF(AND(N($J1637)&gt;0,N($K1637)&gt;0),"※收入和支出不能同一行都填",IF(AND($D1637="收入",N($J1637)=0),"※收入行要填收入金额",IF(AND($D1637="支出",N($K1637)=0),"※支出行要填支出金额",IF(AND($C1637&lt;&gt;"",ISNA(MATCH($C1637,账户表,0))),"※账户不在基础资料里",IF(AND($G1637&lt;&gt;"",ISNA(MATCH($G1637,项目名表,0))),"※项目不在项目台账里",IF(AND(LEFT($F1637,3)="成本-",$G1637=""),"※成本类支出没填项目",IF(AND(LEFT($F1637,3)="成本-",$H1637&lt;&gt;"",N($K1637)&gt;0,COUNTIFS(采购单!$B:$B,$B1637,采购单!$C:$C,$H1637,采购单!$L:$L,$K1637)&gt;0),"※这笔可能和采购单重复了",""))))))))))</f>
        <v/>
      </c>
    </row>
    <row r="1638">
      <c r="A1638" s="17">
        <f>IF($B1638="","",ROW()-3)</f>
        <v/>
      </c>
      <c r="B1638" s="18" t="n"/>
      <c r="C1638" s="13" t="n"/>
      <c r="D1638" s="13" t="n"/>
      <c r="E1638" s="13" t="n"/>
      <c r="F1638" s="17">
        <f>IF($E1638="","",IFERROR(VLOOKUP($E1638,类别归属,2,0),"※类别不在基础资料里"))</f>
        <v/>
      </c>
      <c r="G1638" s="13" t="n"/>
      <c r="H1638" s="13" t="n"/>
      <c r="I1638" s="13" t="n"/>
      <c r="J1638" s="14" t="n"/>
      <c r="K1638" s="14" t="n"/>
      <c r="L1638" s="19">
        <f>IF($C1638="","",ROUND(IFERROR(VLOOKUP($C1638,账户期初,2,0),0)+SUMIFS($J$4:J1638,$C$4:C1638,$C1638)-SUMIFS($K$4:K1638,$C$4:C1638,$C1638),2))</f>
        <v/>
      </c>
      <c r="M1638" s="19">
        <f>IF($C1638="","",ROUND(SUM(基础资料!$B$4:$B$13)+SUM($J$4:J1638)-SUM($K$4:K1638),2))</f>
        <v/>
      </c>
      <c r="N1638" s="13" t="n"/>
      <c r="O1638" s="13" t="n"/>
      <c r="P1638" s="17">
        <f>IF($B1638="","",IF($F1638="※类别不在基础资料里","※费用类别不在基础资料里",IF(AND(N($J1638)=0,N($K1638)=0),"※这行没填金额",IF(AND(N($J1638)&gt;0,N($K1638)&gt;0),"※收入和支出不能同一行都填",IF(AND($D1638="收入",N($J1638)=0),"※收入行要填收入金额",IF(AND($D1638="支出",N($K1638)=0),"※支出行要填支出金额",IF(AND($C1638&lt;&gt;"",ISNA(MATCH($C1638,账户表,0))),"※账户不在基础资料里",IF(AND($G1638&lt;&gt;"",ISNA(MATCH($G1638,项目名表,0))),"※项目不在项目台账里",IF(AND(LEFT($F1638,3)="成本-",$G1638=""),"※成本类支出没填项目",IF(AND(LEFT($F1638,3)="成本-",$H1638&lt;&gt;"",N($K1638)&gt;0,COUNTIFS(采购单!$B:$B,$B1638,采购单!$C:$C,$H1638,采购单!$L:$L,$K1638)&gt;0),"※这笔可能和采购单重复了",""))))))))))</f>
        <v/>
      </c>
    </row>
    <row r="1639">
      <c r="A1639" s="17">
        <f>IF($B1639="","",ROW()-3)</f>
        <v/>
      </c>
      <c r="B1639" s="18" t="n"/>
      <c r="C1639" s="13" t="n"/>
      <c r="D1639" s="13" t="n"/>
      <c r="E1639" s="13" t="n"/>
      <c r="F1639" s="17">
        <f>IF($E1639="","",IFERROR(VLOOKUP($E1639,类别归属,2,0),"※类别不在基础资料里"))</f>
        <v/>
      </c>
      <c r="G1639" s="13" t="n"/>
      <c r="H1639" s="13" t="n"/>
      <c r="I1639" s="13" t="n"/>
      <c r="J1639" s="14" t="n"/>
      <c r="K1639" s="14" t="n"/>
      <c r="L1639" s="19">
        <f>IF($C1639="","",ROUND(IFERROR(VLOOKUP($C1639,账户期初,2,0),0)+SUMIFS($J$4:J1639,$C$4:C1639,$C1639)-SUMIFS($K$4:K1639,$C$4:C1639,$C1639),2))</f>
        <v/>
      </c>
      <c r="M1639" s="19">
        <f>IF($C1639="","",ROUND(SUM(基础资料!$B$4:$B$13)+SUM($J$4:J1639)-SUM($K$4:K1639),2))</f>
        <v/>
      </c>
      <c r="N1639" s="13" t="n"/>
      <c r="O1639" s="13" t="n"/>
      <c r="P1639" s="17">
        <f>IF($B1639="","",IF($F1639="※类别不在基础资料里","※费用类别不在基础资料里",IF(AND(N($J1639)=0,N($K1639)=0),"※这行没填金额",IF(AND(N($J1639)&gt;0,N($K1639)&gt;0),"※收入和支出不能同一行都填",IF(AND($D1639="收入",N($J1639)=0),"※收入行要填收入金额",IF(AND($D1639="支出",N($K1639)=0),"※支出行要填支出金额",IF(AND($C1639&lt;&gt;"",ISNA(MATCH($C1639,账户表,0))),"※账户不在基础资料里",IF(AND($G1639&lt;&gt;"",ISNA(MATCH($G1639,项目名表,0))),"※项目不在项目台账里",IF(AND(LEFT($F1639,3)="成本-",$G1639=""),"※成本类支出没填项目",IF(AND(LEFT($F1639,3)="成本-",$H1639&lt;&gt;"",N($K1639)&gt;0,COUNTIFS(采购单!$B:$B,$B1639,采购单!$C:$C,$H1639,采购单!$L:$L,$K1639)&gt;0),"※这笔可能和采购单重复了",""))))))))))</f>
        <v/>
      </c>
    </row>
    <row r="1640">
      <c r="A1640" s="17">
        <f>IF($B1640="","",ROW()-3)</f>
        <v/>
      </c>
      <c r="B1640" s="18" t="n"/>
      <c r="C1640" s="13" t="n"/>
      <c r="D1640" s="13" t="n"/>
      <c r="E1640" s="13" t="n"/>
      <c r="F1640" s="17">
        <f>IF($E1640="","",IFERROR(VLOOKUP($E1640,类别归属,2,0),"※类别不在基础资料里"))</f>
        <v/>
      </c>
      <c r="G1640" s="13" t="n"/>
      <c r="H1640" s="13" t="n"/>
      <c r="I1640" s="13" t="n"/>
      <c r="J1640" s="14" t="n"/>
      <c r="K1640" s="14" t="n"/>
      <c r="L1640" s="19">
        <f>IF($C1640="","",ROUND(IFERROR(VLOOKUP($C1640,账户期初,2,0),0)+SUMIFS($J$4:J1640,$C$4:C1640,$C1640)-SUMIFS($K$4:K1640,$C$4:C1640,$C1640),2))</f>
        <v/>
      </c>
      <c r="M1640" s="19">
        <f>IF($C1640="","",ROUND(SUM(基础资料!$B$4:$B$13)+SUM($J$4:J1640)-SUM($K$4:K1640),2))</f>
        <v/>
      </c>
      <c r="N1640" s="13" t="n"/>
      <c r="O1640" s="13" t="n"/>
      <c r="P1640" s="17">
        <f>IF($B1640="","",IF($F1640="※类别不在基础资料里","※费用类别不在基础资料里",IF(AND(N($J1640)=0,N($K1640)=0),"※这行没填金额",IF(AND(N($J1640)&gt;0,N($K1640)&gt;0),"※收入和支出不能同一行都填",IF(AND($D1640="收入",N($J1640)=0),"※收入行要填收入金额",IF(AND($D1640="支出",N($K1640)=0),"※支出行要填支出金额",IF(AND($C1640&lt;&gt;"",ISNA(MATCH($C1640,账户表,0))),"※账户不在基础资料里",IF(AND($G1640&lt;&gt;"",ISNA(MATCH($G1640,项目名表,0))),"※项目不在项目台账里",IF(AND(LEFT($F1640,3)="成本-",$G1640=""),"※成本类支出没填项目",IF(AND(LEFT($F1640,3)="成本-",$H1640&lt;&gt;"",N($K1640)&gt;0,COUNTIFS(采购单!$B:$B,$B1640,采购单!$C:$C,$H1640,采购单!$L:$L,$K1640)&gt;0),"※这笔可能和采购单重复了",""))))))))))</f>
        <v/>
      </c>
    </row>
    <row r="1641">
      <c r="A1641" s="17">
        <f>IF($B1641="","",ROW()-3)</f>
        <v/>
      </c>
      <c r="B1641" s="18" t="n"/>
      <c r="C1641" s="13" t="n"/>
      <c r="D1641" s="13" t="n"/>
      <c r="E1641" s="13" t="n"/>
      <c r="F1641" s="17">
        <f>IF($E1641="","",IFERROR(VLOOKUP($E1641,类别归属,2,0),"※类别不在基础资料里"))</f>
        <v/>
      </c>
      <c r="G1641" s="13" t="n"/>
      <c r="H1641" s="13" t="n"/>
      <c r="I1641" s="13" t="n"/>
      <c r="J1641" s="14" t="n"/>
      <c r="K1641" s="14" t="n"/>
      <c r="L1641" s="19">
        <f>IF($C1641="","",ROUND(IFERROR(VLOOKUP($C1641,账户期初,2,0),0)+SUMIFS($J$4:J1641,$C$4:C1641,$C1641)-SUMIFS($K$4:K1641,$C$4:C1641,$C1641),2))</f>
        <v/>
      </c>
      <c r="M1641" s="19">
        <f>IF($C1641="","",ROUND(SUM(基础资料!$B$4:$B$13)+SUM($J$4:J1641)-SUM($K$4:K1641),2))</f>
        <v/>
      </c>
      <c r="N1641" s="13" t="n"/>
      <c r="O1641" s="13" t="n"/>
      <c r="P1641" s="17">
        <f>IF($B1641="","",IF($F1641="※类别不在基础资料里","※费用类别不在基础资料里",IF(AND(N($J1641)=0,N($K1641)=0),"※这行没填金额",IF(AND(N($J1641)&gt;0,N($K1641)&gt;0),"※收入和支出不能同一行都填",IF(AND($D1641="收入",N($J1641)=0),"※收入行要填收入金额",IF(AND($D1641="支出",N($K1641)=0),"※支出行要填支出金额",IF(AND($C1641&lt;&gt;"",ISNA(MATCH($C1641,账户表,0))),"※账户不在基础资料里",IF(AND($G1641&lt;&gt;"",ISNA(MATCH($G1641,项目名表,0))),"※项目不在项目台账里",IF(AND(LEFT($F1641,3)="成本-",$G1641=""),"※成本类支出没填项目",IF(AND(LEFT($F1641,3)="成本-",$H1641&lt;&gt;"",N($K1641)&gt;0,COUNTIFS(采购单!$B:$B,$B1641,采购单!$C:$C,$H1641,采购单!$L:$L,$K1641)&gt;0),"※这笔可能和采购单重复了",""))))))))))</f>
        <v/>
      </c>
    </row>
    <row r="1642">
      <c r="A1642" s="17">
        <f>IF($B1642="","",ROW()-3)</f>
        <v/>
      </c>
      <c r="B1642" s="18" t="n"/>
      <c r="C1642" s="13" t="n"/>
      <c r="D1642" s="13" t="n"/>
      <c r="E1642" s="13" t="n"/>
      <c r="F1642" s="17">
        <f>IF($E1642="","",IFERROR(VLOOKUP($E1642,类别归属,2,0),"※类别不在基础资料里"))</f>
        <v/>
      </c>
      <c r="G1642" s="13" t="n"/>
      <c r="H1642" s="13" t="n"/>
      <c r="I1642" s="13" t="n"/>
      <c r="J1642" s="14" t="n"/>
      <c r="K1642" s="14" t="n"/>
      <c r="L1642" s="19">
        <f>IF($C1642="","",ROUND(IFERROR(VLOOKUP($C1642,账户期初,2,0),0)+SUMIFS($J$4:J1642,$C$4:C1642,$C1642)-SUMIFS($K$4:K1642,$C$4:C1642,$C1642),2))</f>
        <v/>
      </c>
      <c r="M1642" s="19">
        <f>IF($C1642="","",ROUND(SUM(基础资料!$B$4:$B$13)+SUM($J$4:J1642)-SUM($K$4:K1642),2))</f>
        <v/>
      </c>
      <c r="N1642" s="13" t="n"/>
      <c r="O1642" s="13" t="n"/>
      <c r="P1642" s="17">
        <f>IF($B1642="","",IF($F1642="※类别不在基础资料里","※费用类别不在基础资料里",IF(AND(N($J1642)=0,N($K1642)=0),"※这行没填金额",IF(AND(N($J1642)&gt;0,N($K1642)&gt;0),"※收入和支出不能同一行都填",IF(AND($D1642="收入",N($J1642)=0),"※收入行要填收入金额",IF(AND($D1642="支出",N($K1642)=0),"※支出行要填支出金额",IF(AND($C1642&lt;&gt;"",ISNA(MATCH($C1642,账户表,0))),"※账户不在基础资料里",IF(AND($G1642&lt;&gt;"",ISNA(MATCH($G1642,项目名表,0))),"※项目不在项目台账里",IF(AND(LEFT($F1642,3)="成本-",$G1642=""),"※成本类支出没填项目",IF(AND(LEFT($F1642,3)="成本-",$H1642&lt;&gt;"",N($K1642)&gt;0,COUNTIFS(采购单!$B:$B,$B1642,采购单!$C:$C,$H1642,采购单!$L:$L,$K1642)&gt;0),"※这笔可能和采购单重复了",""))))))))))</f>
        <v/>
      </c>
    </row>
    <row r="1643">
      <c r="A1643" s="17">
        <f>IF($B1643="","",ROW()-3)</f>
        <v/>
      </c>
      <c r="B1643" s="18" t="n"/>
      <c r="C1643" s="13" t="n"/>
      <c r="D1643" s="13" t="n"/>
      <c r="E1643" s="13" t="n"/>
      <c r="F1643" s="17">
        <f>IF($E1643="","",IFERROR(VLOOKUP($E1643,类别归属,2,0),"※类别不在基础资料里"))</f>
        <v/>
      </c>
      <c r="G1643" s="13" t="n"/>
      <c r="H1643" s="13" t="n"/>
      <c r="I1643" s="13" t="n"/>
      <c r="J1643" s="14" t="n"/>
      <c r="K1643" s="14" t="n"/>
      <c r="L1643" s="19">
        <f>IF($C1643="","",ROUND(IFERROR(VLOOKUP($C1643,账户期初,2,0),0)+SUMIFS($J$4:J1643,$C$4:C1643,$C1643)-SUMIFS($K$4:K1643,$C$4:C1643,$C1643),2))</f>
        <v/>
      </c>
      <c r="M1643" s="19">
        <f>IF($C1643="","",ROUND(SUM(基础资料!$B$4:$B$13)+SUM($J$4:J1643)-SUM($K$4:K1643),2))</f>
        <v/>
      </c>
      <c r="N1643" s="13" t="n"/>
      <c r="O1643" s="13" t="n"/>
      <c r="P1643" s="17">
        <f>IF($B1643="","",IF($F1643="※类别不在基础资料里","※费用类别不在基础资料里",IF(AND(N($J1643)=0,N($K1643)=0),"※这行没填金额",IF(AND(N($J1643)&gt;0,N($K1643)&gt;0),"※收入和支出不能同一行都填",IF(AND($D1643="收入",N($J1643)=0),"※收入行要填收入金额",IF(AND($D1643="支出",N($K1643)=0),"※支出行要填支出金额",IF(AND($C1643&lt;&gt;"",ISNA(MATCH($C1643,账户表,0))),"※账户不在基础资料里",IF(AND($G1643&lt;&gt;"",ISNA(MATCH($G1643,项目名表,0))),"※项目不在项目台账里",IF(AND(LEFT($F1643,3)="成本-",$G1643=""),"※成本类支出没填项目",IF(AND(LEFT($F1643,3)="成本-",$H1643&lt;&gt;"",N($K1643)&gt;0,COUNTIFS(采购单!$B:$B,$B1643,采购单!$C:$C,$H1643,采购单!$L:$L,$K1643)&gt;0),"※这笔可能和采购单重复了",""))))))))))</f>
        <v/>
      </c>
    </row>
    <row r="1644">
      <c r="A1644" s="17">
        <f>IF($B1644="","",ROW()-3)</f>
        <v/>
      </c>
      <c r="B1644" s="18" t="n"/>
      <c r="C1644" s="13" t="n"/>
      <c r="D1644" s="13" t="n"/>
      <c r="E1644" s="13" t="n"/>
      <c r="F1644" s="17">
        <f>IF($E1644="","",IFERROR(VLOOKUP($E1644,类别归属,2,0),"※类别不在基础资料里"))</f>
        <v/>
      </c>
      <c r="G1644" s="13" t="n"/>
      <c r="H1644" s="13" t="n"/>
      <c r="I1644" s="13" t="n"/>
      <c r="J1644" s="14" t="n"/>
      <c r="K1644" s="14" t="n"/>
      <c r="L1644" s="19">
        <f>IF($C1644="","",ROUND(IFERROR(VLOOKUP($C1644,账户期初,2,0),0)+SUMIFS($J$4:J1644,$C$4:C1644,$C1644)-SUMIFS($K$4:K1644,$C$4:C1644,$C1644),2))</f>
        <v/>
      </c>
      <c r="M1644" s="19">
        <f>IF($C1644="","",ROUND(SUM(基础资料!$B$4:$B$13)+SUM($J$4:J1644)-SUM($K$4:K1644),2))</f>
        <v/>
      </c>
      <c r="N1644" s="13" t="n"/>
      <c r="O1644" s="13" t="n"/>
      <c r="P1644" s="17">
        <f>IF($B1644="","",IF($F1644="※类别不在基础资料里","※费用类别不在基础资料里",IF(AND(N($J1644)=0,N($K1644)=0),"※这行没填金额",IF(AND(N($J1644)&gt;0,N($K1644)&gt;0),"※收入和支出不能同一行都填",IF(AND($D1644="收入",N($J1644)=0),"※收入行要填收入金额",IF(AND($D1644="支出",N($K1644)=0),"※支出行要填支出金额",IF(AND($C1644&lt;&gt;"",ISNA(MATCH($C1644,账户表,0))),"※账户不在基础资料里",IF(AND($G1644&lt;&gt;"",ISNA(MATCH($G1644,项目名表,0))),"※项目不在项目台账里",IF(AND(LEFT($F1644,3)="成本-",$G1644=""),"※成本类支出没填项目",IF(AND(LEFT($F1644,3)="成本-",$H1644&lt;&gt;"",N($K1644)&gt;0,COUNTIFS(采购单!$B:$B,$B1644,采购单!$C:$C,$H1644,采购单!$L:$L,$K1644)&gt;0),"※这笔可能和采购单重复了",""))))))))))</f>
        <v/>
      </c>
    </row>
    <row r="1645">
      <c r="A1645" s="17">
        <f>IF($B1645="","",ROW()-3)</f>
        <v/>
      </c>
      <c r="B1645" s="18" t="n"/>
      <c r="C1645" s="13" t="n"/>
      <c r="D1645" s="13" t="n"/>
      <c r="E1645" s="13" t="n"/>
      <c r="F1645" s="17">
        <f>IF($E1645="","",IFERROR(VLOOKUP($E1645,类别归属,2,0),"※类别不在基础资料里"))</f>
        <v/>
      </c>
      <c r="G1645" s="13" t="n"/>
      <c r="H1645" s="13" t="n"/>
      <c r="I1645" s="13" t="n"/>
      <c r="J1645" s="14" t="n"/>
      <c r="K1645" s="14" t="n"/>
      <c r="L1645" s="19">
        <f>IF($C1645="","",ROUND(IFERROR(VLOOKUP($C1645,账户期初,2,0),0)+SUMIFS($J$4:J1645,$C$4:C1645,$C1645)-SUMIFS($K$4:K1645,$C$4:C1645,$C1645),2))</f>
        <v/>
      </c>
      <c r="M1645" s="19">
        <f>IF($C1645="","",ROUND(SUM(基础资料!$B$4:$B$13)+SUM($J$4:J1645)-SUM($K$4:K1645),2))</f>
        <v/>
      </c>
      <c r="N1645" s="13" t="n"/>
      <c r="O1645" s="13" t="n"/>
      <c r="P1645" s="17">
        <f>IF($B1645="","",IF($F1645="※类别不在基础资料里","※费用类别不在基础资料里",IF(AND(N($J1645)=0,N($K1645)=0),"※这行没填金额",IF(AND(N($J1645)&gt;0,N($K1645)&gt;0),"※收入和支出不能同一行都填",IF(AND($D1645="收入",N($J1645)=0),"※收入行要填收入金额",IF(AND($D1645="支出",N($K1645)=0),"※支出行要填支出金额",IF(AND($C1645&lt;&gt;"",ISNA(MATCH($C1645,账户表,0))),"※账户不在基础资料里",IF(AND($G1645&lt;&gt;"",ISNA(MATCH($G1645,项目名表,0))),"※项目不在项目台账里",IF(AND(LEFT($F1645,3)="成本-",$G1645=""),"※成本类支出没填项目",IF(AND(LEFT($F1645,3)="成本-",$H1645&lt;&gt;"",N($K1645)&gt;0,COUNTIFS(采购单!$B:$B,$B1645,采购单!$C:$C,$H1645,采购单!$L:$L,$K1645)&gt;0),"※这笔可能和采购单重复了",""))))))))))</f>
        <v/>
      </c>
    </row>
    <row r="1646">
      <c r="A1646" s="17">
        <f>IF($B1646="","",ROW()-3)</f>
        <v/>
      </c>
      <c r="B1646" s="18" t="n"/>
      <c r="C1646" s="13" t="n"/>
      <c r="D1646" s="13" t="n"/>
      <c r="E1646" s="13" t="n"/>
      <c r="F1646" s="17">
        <f>IF($E1646="","",IFERROR(VLOOKUP($E1646,类别归属,2,0),"※类别不在基础资料里"))</f>
        <v/>
      </c>
      <c r="G1646" s="13" t="n"/>
      <c r="H1646" s="13" t="n"/>
      <c r="I1646" s="13" t="n"/>
      <c r="J1646" s="14" t="n"/>
      <c r="K1646" s="14" t="n"/>
      <c r="L1646" s="19">
        <f>IF($C1646="","",ROUND(IFERROR(VLOOKUP($C1646,账户期初,2,0),0)+SUMIFS($J$4:J1646,$C$4:C1646,$C1646)-SUMIFS($K$4:K1646,$C$4:C1646,$C1646),2))</f>
        <v/>
      </c>
      <c r="M1646" s="19">
        <f>IF($C1646="","",ROUND(SUM(基础资料!$B$4:$B$13)+SUM($J$4:J1646)-SUM($K$4:K1646),2))</f>
        <v/>
      </c>
      <c r="N1646" s="13" t="n"/>
      <c r="O1646" s="13" t="n"/>
      <c r="P1646" s="17">
        <f>IF($B1646="","",IF($F1646="※类别不在基础资料里","※费用类别不在基础资料里",IF(AND(N($J1646)=0,N($K1646)=0),"※这行没填金额",IF(AND(N($J1646)&gt;0,N($K1646)&gt;0),"※收入和支出不能同一行都填",IF(AND($D1646="收入",N($J1646)=0),"※收入行要填收入金额",IF(AND($D1646="支出",N($K1646)=0),"※支出行要填支出金额",IF(AND($C1646&lt;&gt;"",ISNA(MATCH($C1646,账户表,0))),"※账户不在基础资料里",IF(AND($G1646&lt;&gt;"",ISNA(MATCH($G1646,项目名表,0))),"※项目不在项目台账里",IF(AND(LEFT($F1646,3)="成本-",$G1646=""),"※成本类支出没填项目",IF(AND(LEFT($F1646,3)="成本-",$H1646&lt;&gt;"",N($K1646)&gt;0,COUNTIFS(采购单!$B:$B,$B1646,采购单!$C:$C,$H1646,采购单!$L:$L,$K1646)&gt;0),"※这笔可能和采购单重复了",""))))))))))</f>
        <v/>
      </c>
    </row>
    <row r="1647">
      <c r="A1647" s="17">
        <f>IF($B1647="","",ROW()-3)</f>
        <v/>
      </c>
      <c r="B1647" s="18" t="n"/>
      <c r="C1647" s="13" t="n"/>
      <c r="D1647" s="13" t="n"/>
      <c r="E1647" s="13" t="n"/>
      <c r="F1647" s="17">
        <f>IF($E1647="","",IFERROR(VLOOKUP($E1647,类别归属,2,0),"※类别不在基础资料里"))</f>
        <v/>
      </c>
      <c r="G1647" s="13" t="n"/>
      <c r="H1647" s="13" t="n"/>
      <c r="I1647" s="13" t="n"/>
      <c r="J1647" s="14" t="n"/>
      <c r="K1647" s="14" t="n"/>
      <c r="L1647" s="19">
        <f>IF($C1647="","",ROUND(IFERROR(VLOOKUP($C1647,账户期初,2,0),0)+SUMIFS($J$4:J1647,$C$4:C1647,$C1647)-SUMIFS($K$4:K1647,$C$4:C1647,$C1647),2))</f>
        <v/>
      </c>
      <c r="M1647" s="19">
        <f>IF($C1647="","",ROUND(SUM(基础资料!$B$4:$B$13)+SUM($J$4:J1647)-SUM($K$4:K1647),2))</f>
        <v/>
      </c>
      <c r="N1647" s="13" t="n"/>
      <c r="O1647" s="13" t="n"/>
      <c r="P1647" s="17">
        <f>IF($B1647="","",IF($F1647="※类别不在基础资料里","※费用类别不在基础资料里",IF(AND(N($J1647)=0,N($K1647)=0),"※这行没填金额",IF(AND(N($J1647)&gt;0,N($K1647)&gt;0),"※收入和支出不能同一行都填",IF(AND($D1647="收入",N($J1647)=0),"※收入行要填收入金额",IF(AND($D1647="支出",N($K1647)=0),"※支出行要填支出金额",IF(AND($C1647&lt;&gt;"",ISNA(MATCH($C1647,账户表,0))),"※账户不在基础资料里",IF(AND($G1647&lt;&gt;"",ISNA(MATCH($G1647,项目名表,0))),"※项目不在项目台账里",IF(AND(LEFT($F1647,3)="成本-",$G1647=""),"※成本类支出没填项目",IF(AND(LEFT($F1647,3)="成本-",$H1647&lt;&gt;"",N($K1647)&gt;0,COUNTIFS(采购单!$B:$B,$B1647,采购单!$C:$C,$H1647,采购单!$L:$L,$K1647)&gt;0),"※这笔可能和采购单重复了",""))))))))))</f>
        <v/>
      </c>
    </row>
    <row r="1648">
      <c r="A1648" s="17">
        <f>IF($B1648="","",ROW()-3)</f>
        <v/>
      </c>
      <c r="B1648" s="18" t="n"/>
      <c r="C1648" s="13" t="n"/>
      <c r="D1648" s="13" t="n"/>
      <c r="E1648" s="13" t="n"/>
      <c r="F1648" s="17">
        <f>IF($E1648="","",IFERROR(VLOOKUP($E1648,类别归属,2,0),"※类别不在基础资料里"))</f>
        <v/>
      </c>
      <c r="G1648" s="13" t="n"/>
      <c r="H1648" s="13" t="n"/>
      <c r="I1648" s="13" t="n"/>
      <c r="J1648" s="14" t="n"/>
      <c r="K1648" s="14" t="n"/>
      <c r="L1648" s="19">
        <f>IF($C1648="","",ROUND(IFERROR(VLOOKUP($C1648,账户期初,2,0),0)+SUMIFS($J$4:J1648,$C$4:C1648,$C1648)-SUMIFS($K$4:K1648,$C$4:C1648,$C1648),2))</f>
        <v/>
      </c>
      <c r="M1648" s="19">
        <f>IF($C1648="","",ROUND(SUM(基础资料!$B$4:$B$13)+SUM($J$4:J1648)-SUM($K$4:K1648),2))</f>
        <v/>
      </c>
      <c r="N1648" s="13" t="n"/>
      <c r="O1648" s="13" t="n"/>
      <c r="P1648" s="17">
        <f>IF($B1648="","",IF($F1648="※类别不在基础资料里","※费用类别不在基础资料里",IF(AND(N($J1648)=0,N($K1648)=0),"※这行没填金额",IF(AND(N($J1648)&gt;0,N($K1648)&gt;0),"※收入和支出不能同一行都填",IF(AND($D1648="收入",N($J1648)=0),"※收入行要填收入金额",IF(AND($D1648="支出",N($K1648)=0),"※支出行要填支出金额",IF(AND($C1648&lt;&gt;"",ISNA(MATCH($C1648,账户表,0))),"※账户不在基础资料里",IF(AND($G1648&lt;&gt;"",ISNA(MATCH($G1648,项目名表,0))),"※项目不在项目台账里",IF(AND(LEFT($F1648,3)="成本-",$G1648=""),"※成本类支出没填项目",IF(AND(LEFT($F1648,3)="成本-",$H1648&lt;&gt;"",N($K1648)&gt;0,COUNTIFS(采购单!$B:$B,$B1648,采购单!$C:$C,$H1648,采购单!$L:$L,$K1648)&gt;0),"※这笔可能和采购单重复了",""))))))))))</f>
        <v/>
      </c>
    </row>
    <row r="1649">
      <c r="A1649" s="17">
        <f>IF($B1649="","",ROW()-3)</f>
        <v/>
      </c>
      <c r="B1649" s="18" t="n"/>
      <c r="C1649" s="13" t="n"/>
      <c r="D1649" s="13" t="n"/>
      <c r="E1649" s="13" t="n"/>
      <c r="F1649" s="17">
        <f>IF($E1649="","",IFERROR(VLOOKUP($E1649,类别归属,2,0),"※类别不在基础资料里"))</f>
        <v/>
      </c>
      <c r="G1649" s="13" t="n"/>
      <c r="H1649" s="13" t="n"/>
      <c r="I1649" s="13" t="n"/>
      <c r="J1649" s="14" t="n"/>
      <c r="K1649" s="14" t="n"/>
      <c r="L1649" s="19">
        <f>IF($C1649="","",ROUND(IFERROR(VLOOKUP($C1649,账户期初,2,0),0)+SUMIFS($J$4:J1649,$C$4:C1649,$C1649)-SUMIFS($K$4:K1649,$C$4:C1649,$C1649),2))</f>
        <v/>
      </c>
      <c r="M1649" s="19">
        <f>IF($C1649="","",ROUND(SUM(基础资料!$B$4:$B$13)+SUM($J$4:J1649)-SUM($K$4:K1649),2))</f>
        <v/>
      </c>
      <c r="N1649" s="13" t="n"/>
      <c r="O1649" s="13" t="n"/>
      <c r="P1649" s="17">
        <f>IF($B1649="","",IF($F1649="※类别不在基础资料里","※费用类别不在基础资料里",IF(AND(N($J1649)=0,N($K1649)=0),"※这行没填金额",IF(AND(N($J1649)&gt;0,N($K1649)&gt;0),"※收入和支出不能同一行都填",IF(AND($D1649="收入",N($J1649)=0),"※收入行要填收入金额",IF(AND($D1649="支出",N($K1649)=0),"※支出行要填支出金额",IF(AND($C1649&lt;&gt;"",ISNA(MATCH($C1649,账户表,0))),"※账户不在基础资料里",IF(AND($G1649&lt;&gt;"",ISNA(MATCH($G1649,项目名表,0))),"※项目不在项目台账里",IF(AND(LEFT($F1649,3)="成本-",$G1649=""),"※成本类支出没填项目",IF(AND(LEFT($F1649,3)="成本-",$H1649&lt;&gt;"",N($K1649)&gt;0,COUNTIFS(采购单!$B:$B,$B1649,采购单!$C:$C,$H1649,采购单!$L:$L,$K1649)&gt;0),"※这笔可能和采购单重复了",""))))))))))</f>
        <v/>
      </c>
    </row>
    <row r="1650">
      <c r="A1650" s="17">
        <f>IF($B1650="","",ROW()-3)</f>
        <v/>
      </c>
      <c r="B1650" s="18" t="n"/>
      <c r="C1650" s="13" t="n"/>
      <c r="D1650" s="13" t="n"/>
      <c r="E1650" s="13" t="n"/>
      <c r="F1650" s="17">
        <f>IF($E1650="","",IFERROR(VLOOKUP($E1650,类别归属,2,0),"※类别不在基础资料里"))</f>
        <v/>
      </c>
      <c r="G1650" s="13" t="n"/>
      <c r="H1650" s="13" t="n"/>
      <c r="I1650" s="13" t="n"/>
      <c r="J1650" s="14" t="n"/>
      <c r="K1650" s="14" t="n"/>
      <c r="L1650" s="19">
        <f>IF($C1650="","",ROUND(IFERROR(VLOOKUP($C1650,账户期初,2,0),0)+SUMIFS($J$4:J1650,$C$4:C1650,$C1650)-SUMIFS($K$4:K1650,$C$4:C1650,$C1650),2))</f>
        <v/>
      </c>
      <c r="M1650" s="19">
        <f>IF($C1650="","",ROUND(SUM(基础资料!$B$4:$B$13)+SUM($J$4:J1650)-SUM($K$4:K1650),2))</f>
        <v/>
      </c>
      <c r="N1650" s="13" t="n"/>
      <c r="O1650" s="13" t="n"/>
      <c r="P1650" s="17">
        <f>IF($B1650="","",IF($F1650="※类别不在基础资料里","※费用类别不在基础资料里",IF(AND(N($J1650)=0,N($K1650)=0),"※这行没填金额",IF(AND(N($J1650)&gt;0,N($K1650)&gt;0),"※收入和支出不能同一行都填",IF(AND($D1650="收入",N($J1650)=0),"※收入行要填收入金额",IF(AND($D1650="支出",N($K1650)=0),"※支出行要填支出金额",IF(AND($C1650&lt;&gt;"",ISNA(MATCH($C1650,账户表,0))),"※账户不在基础资料里",IF(AND($G1650&lt;&gt;"",ISNA(MATCH($G1650,项目名表,0))),"※项目不在项目台账里",IF(AND(LEFT($F1650,3)="成本-",$G1650=""),"※成本类支出没填项目",IF(AND(LEFT($F1650,3)="成本-",$H1650&lt;&gt;"",N($K1650)&gt;0,COUNTIFS(采购单!$B:$B,$B1650,采购单!$C:$C,$H1650,采购单!$L:$L,$K1650)&gt;0),"※这笔可能和采购单重复了",""))))))))))</f>
        <v/>
      </c>
    </row>
    <row r="1651">
      <c r="A1651" s="17">
        <f>IF($B1651="","",ROW()-3)</f>
        <v/>
      </c>
      <c r="B1651" s="18" t="n"/>
      <c r="C1651" s="13" t="n"/>
      <c r="D1651" s="13" t="n"/>
      <c r="E1651" s="13" t="n"/>
      <c r="F1651" s="17">
        <f>IF($E1651="","",IFERROR(VLOOKUP($E1651,类别归属,2,0),"※类别不在基础资料里"))</f>
        <v/>
      </c>
      <c r="G1651" s="13" t="n"/>
      <c r="H1651" s="13" t="n"/>
      <c r="I1651" s="13" t="n"/>
      <c r="J1651" s="14" t="n"/>
      <c r="K1651" s="14" t="n"/>
      <c r="L1651" s="19">
        <f>IF($C1651="","",ROUND(IFERROR(VLOOKUP($C1651,账户期初,2,0),0)+SUMIFS($J$4:J1651,$C$4:C1651,$C1651)-SUMIFS($K$4:K1651,$C$4:C1651,$C1651),2))</f>
        <v/>
      </c>
      <c r="M1651" s="19">
        <f>IF($C1651="","",ROUND(SUM(基础资料!$B$4:$B$13)+SUM($J$4:J1651)-SUM($K$4:K1651),2))</f>
        <v/>
      </c>
      <c r="N1651" s="13" t="n"/>
      <c r="O1651" s="13" t="n"/>
      <c r="P1651" s="17">
        <f>IF($B1651="","",IF($F1651="※类别不在基础资料里","※费用类别不在基础资料里",IF(AND(N($J1651)=0,N($K1651)=0),"※这行没填金额",IF(AND(N($J1651)&gt;0,N($K1651)&gt;0),"※收入和支出不能同一行都填",IF(AND($D1651="收入",N($J1651)=0),"※收入行要填收入金额",IF(AND($D1651="支出",N($K1651)=0),"※支出行要填支出金额",IF(AND($C1651&lt;&gt;"",ISNA(MATCH($C1651,账户表,0))),"※账户不在基础资料里",IF(AND($G1651&lt;&gt;"",ISNA(MATCH($G1651,项目名表,0))),"※项目不在项目台账里",IF(AND(LEFT($F1651,3)="成本-",$G1651=""),"※成本类支出没填项目",IF(AND(LEFT($F1651,3)="成本-",$H1651&lt;&gt;"",N($K1651)&gt;0,COUNTIFS(采购单!$B:$B,$B1651,采购单!$C:$C,$H1651,采购单!$L:$L,$K1651)&gt;0),"※这笔可能和采购单重复了",""))))))))))</f>
        <v/>
      </c>
    </row>
    <row r="1652">
      <c r="A1652" s="17">
        <f>IF($B1652="","",ROW()-3)</f>
        <v/>
      </c>
      <c r="B1652" s="18" t="n"/>
      <c r="C1652" s="13" t="n"/>
      <c r="D1652" s="13" t="n"/>
      <c r="E1652" s="13" t="n"/>
      <c r="F1652" s="17">
        <f>IF($E1652="","",IFERROR(VLOOKUP($E1652,类别归属,2,0),"※类别不在基础资料里"))</f>
        <v/>
      </c>
      <c r="G1652" s="13" t="n"/>
      <c r="H1652" s="13" t="n"/>
      <c r="I1652" s="13" t="n"/>
      <c r="J1652" s="14" t="n"/>
      <c r="K1652" s="14" t="n"/>
      <c r="L1652" s="19">
        <f>IF($C1652="","",ROUND(IFERROR(VLOOKUP($C1652,账户期初,2,0),0)+SUMIFS($J$4:J1652,$C$4:C1652,$C1652)-SUMIFS($K$4:K1652,$C$4:C1652,$C1652),2))</f>
        <v/>
      </c>
      <c r="M1652" s="19">
        <f>IF($C1652="","",ROUND(SUM(基础资料!$B$4:$B$13)+SUM($J$4:J1652)-SUM($K$4:K1652),2))</f>
        <v/>
      </c>
      <c r="N1652" s="13" t="n"/>
      <c r="O1652" s="13" t="n"/>
      <c r="P1652" s="17">
        <f>IF($B1652="","",IF($F1652="※类别不在基础资料里","※费用类别不在基础资料里",IF(AND(N($J1652)=0,N($K1652)=0),"※这行没填金额",IF(AND(N($J1652)&gt;0,N($K1652)&gt;0),"※收入和支出不能同一行都填",IF(AND($D1652="收入",N($J1652)=0),"※收入行要填收入金额",IF(AND($D1652="支出",N($K1652)=0),"※支出行要填支出金额",IF(AND($C1652&lt;&gt;"",ISNA(MATCH($C1652,账户表,0))),"※账户不在基础资料里",IF(AND($G1652&lt;&gt;"",ISNA(MATCH($G1652,项目名表,0))),"※项目不在项目台账里",IF(AND(LEFT($F1652,3)="成本-",$G1652=""),"※成本类支出没填项目",IF(AND(LEFT($F1652,3)="成本-",$H1652&lt;&gt;"",N($K1652)&gt;0,COUNTIFS(采购单!$B:$B,$B1652,采购单!$C:$C,$H1652,采购单!$L:$L,$K1652)&gt;0),"※这笔可能和采购单重复了",""))))))))))</f>
        <v/>
      </c>
    </row>
    <row r="1653">
      <c r="A1653" s="17">
        <f>IF($B1653="","",ROW()-3)</f>
        <v/>
      </c>
      <c r="B1653" s="18" t="n"/>
      <c r="C1653" s="13" t="n"/>
      <c r="D1653" s="13" t="n"/>
      <c r="E1653" s="13" t="n"/>
      <c r="F1653" s="17">
        <f>IF($E1653="","",IFERROR(VLOOKUP($E1653,类别归属,2,0),"※类别不在基础资料里"))</f>
        <v/>
      </c>
      <c r="G1653" s="13" t="n"/>
      <c r="H1653" s="13" t="n"/>
      <c r="I1653" s="13" t="n"/>
      <c r="J1653" s="14" t="n"/>
      <c r="K1653" s="14" t="n"/>
      <c r="L1653" s="19">
        <f>IF($C1653="","",ROUND(IFERROR(VLOOKUP($C1653,账户期初,2,0),0)+SUMIFS($J$4:J1653,$C$4:C1653,$C1653)-SUMIFS($K$4:K1653,$C$4:C1653,$C1653),2))</f>
        <v/>
      </c>
      <c r="M1653" s="19">
        <f>IF($C1653="","",ROUND(SUM(基础资料!$B$4:$B$13)+SUM($J$4:J1653)-SUM($K$4:K1653),2))</f>
        <v/>
      </c>
      <c r="N1653" s="13" t="n"/>
      <c r="O1653" s="13" t="n"/>
      <c r="P1653" s="17">
        <f>IF($B1653="","",IF($F1653="※类别不在基础资料里","※费用类别不在基础资料里",IF(AND(N($J1653)=0,N($K1653)=0),"※这行没填金额",IF(AND(N($J1653)&gt;0,N($K1653)&gt;0),"※收入和支出不能同一行都填",IF(AND($D1653="收入",N($J1653)=0),"※收入行要填收入金额",IF(AND($D1653="支出",N($K1653)=0),"※支出行要填支出金额",IF(AND($C1653&lt;&gt;"",ISNA(MATCH($C1653,账户表,0))),"※账户不在基础资料里",IF(AND($G1653&lt;&gt;"",ISNA(MATCH($G1653,项目名表,0))),"※项目不在项目台账里",IF(AND(LEFT($F1653,3)="成本-",$G1653=""),"※成本类支出没填项目",IF(AND(LEFT($F1653,3)="成本-",$H1653&lt;&gt;"",N($K1653)&gt;0,COUNTIFS(采购单!$B:$B,$B1653,采购单!$C:$C,$H1653,采购单!$L:$L,$K1653)&gt;0),"※这笔可能和采购单重复了",""))))))))))</f>
        <v/>
      </c>
    </row>
    <row r="1654">
      <c r="A1654" s="17">
        <f>IF($B1654="","",ROW()-3)</f>
        <v/>
      </c>
      <c r="B1654" s="18" t="n"/>
      <c r="C1654" s="13" t="n"/>
      <c r="D1654" s="13" t="n"/>
      <c r="E1654" s="13" t="n"/>
      <c r="F1654" s="17">
        <f>IF($E1654="","",IFERROR(VLOOKUP($E1654,类别归属,2,0),"※类别不在基础资料里"))</f>
        <v/>
      </c>
      <c r="G1654" s="13" t="n"/>
      <c r="H1654" s="13" t="n"/>
      <c r="I1654" s="13" t="n"/>
      <c r="J1654" s="14" t="n"/>
      <c r="K1654" s="14" t="n"/>
      <c r="L1654" s="19">
        <f>IF($C1654="","",ROUND(IFERROR(VLOOKUP($C1654,账户期初,2,0),0)+SUMIFS($J$4:J1654,$C$4:C1654,$C1654)-SUMIFS($K$4:K1654,$C$4:C1654,$C1654),2))</f>
        <v/>
      </c>
      <c r="M1654" s="19">
        <f>IF($C1654="","",ROUND(SUM(基础资料!$B$4:$B$13)+SUM($J$4:J1654)-SUM($K$4:K1654),2))</f>
        <v/>
      </c>
      <c r="N1654" s="13" t="n"/>
      <c r="O1654" s="13" t="n"/>
      <c r="P1654" s="17">
        <f>IF($B1654="","",IF($F1654="※类别不在基础资料里","※费用类别不在基础资料里",IF(AND(N($J1654)=0,N($K1654)=0),"※这行没填金额",IF(AND(N($J1654)&gt;0,N($K1654)&gt;0),"※收入和支出不能同一行都填",IF(AND($D1654="收入",N($J1654)=0),"※收入行要填收入金额",IF(AND($D1654="支出",N($K1654)=0),"※支出行要填支出金额",IF(AND($C1654&lt;&gt;"",ISNA(MATCH($C1654,账户表,0))),"※账户不在基础资料里",IF(AND($G1654&lt;&gt;"",ISNA(MATCH($G1654,项目名表,0))),"※项目不在项目台账里",IF(AND(LEFT($F1654,3)="成本-",$G1654=""),"※成本类支出没填项目",IF(AND(LEFT($F1654,3)="成本-",$H1654&lt;&gt;"",N($K1654)&gt;0,COUNTIFS(采购单!$B:$B,$B1654,采购单!$C:$C,$H1654,采购单!$L:$L,$K1654)&gt;0),"※这笔可能和采购单重复了",""))))))))))</f>
        <v/>
      </c>
    </row>
    <row r="1655">
      <c r="A1655" s="17">
        <f>IF($B1655="","",ROW()-3)</f>
        <v/>
      </c>
      <c r="B1655" s="18" t="n"/>
      <c r="C1655" s="13" t="n"/>
      <c r="D1655" s="13" t="n"/>
      <c r="E1655" s="13" t="n"/>
      <c r="F1655" s="17">
        <f>IF($E1655="","",IFERROR(VLOOKUP($E1655,类别归属,2,0),"※类别不在基础资料里"))</f>
        <v/>
      </c>
      <c r="G1655" s="13" t="n"/>
      <c r="H1655" s="13" t="n"/>
      <c r="I1655" s="13" t="n"/>
      <c r="J1655" s="14" t="n"/>
      <c r="K1655" s="14" t="n"/>
      <c r="L1655" s="19">
        <f>IF($C1655="","",ROUND(IFERROR(VLOOKUP($C1655,账户期初,2,0),0)+SUMIFS($J$4:J1655,$C$4:C1655,$C1655)-SUMIFS($K$4:K1655,$C$4:C1655,$C1655),2))</f>
        <v/>
      </c>
      <c r="M1655" s="19">
        <f>IF($C1655="","",ROUND(SUM(基础资料!$B$4:$B$13)+SUM($J$4:J1655)-SUM($K$4:K1655),2))</f>
        <v/>
      </c>
      <c r="N1655" s="13" t="n"/>
      <c r="O1655" s="13" t="n"/>
      <c r="P1655" s="17">
        <f>IF($B1655="","",IF($F1655="※类别不在基础资料里","※费用类别不在基础资料里",IF(AND(N($J1655)=0,N($K1655)=0),"※这行没填金额",IF(AND(N($J1655)&gt;0,N($K1655)&gt;0),"※收入和支出不能同一行都填",IF(AND($D1655="收入",N($J1655)=0),"※收入行要填收入金额",IF(AND($D1655="支出",N($K1655)=0),"※支出行要填支出金额",IF(AND($C1655&lt;&gt;"",ISNA(MATCH($C1655,账户表,0))),"※账户不在基础资料里",IF(AND($G1655&lt;&gt;"",ISNA(MATCH($G1655,项目名表,0))),"※项目不在项目台账里",IF(AND(LEFT($F1655,3)="成本-",$G1655=""),"※成本类支出没填项目",IF(AND(LEFT($F1655,3)="成本-",$H1655&lt;&gt;"",N($K1655)&gt;0,COUNTIFS(采购单!$B:$B,$B1655,采购单!$C:$C,$H1655,采购单!$L:$L,$K1655)&gt;0),"※这笔可能和采购单重复了",""))))))))))</f>
        <v/>
      </c>
    </row>
    <row r="1656">
      <c r="A1656" s="17">
        <f>IF($B1656="","",ROW()-3)</f>
        <v/>
      </c>
      <c r="B1656" s="18" t="n"/>
      <c r="C1656" s="13" t="n"/>
      <c r="D1656" s="13" t="n"/>
      <c r="E1656" s="13" t="n"/>
      <c r="F1656" s="17">
        <f>IF($E1656="","",IFERROR(VLOOKUP($E1656,类别归属,2,0),"※类别不在基础资料里"))</f>
        <v/>
      </c>
      <c r="G1656" s="13" t="n"/>
      <c r="H1656" s="13" t="n"/>
      <c r="I1656" s="13" t="n"/>
      <c r="J1656" s="14" t="n"/>
      <c r="K1656" s="14" t="n"/>
      <c r="L1656" s="19">
        <f>IF($C1656="","",ROUND(IFERROR(VLOOKUP($C1656,账户期初,2,0),0)+SUMIFS($J$4:J1656,$C$4:C1656,$C1656)-SUMIFS($K$4:K1656,$C$4:C1656,$C1656),2))</f>
        <v/>
      </c>
      <c r="M1656" s="19">
        <f>IF($C1656="","",ROUND(SUM(基础资料!$B$4:$B$13)+SUM($J$4:J1656)-SUM($K$4:K1656),2))</f>
        <v/>
      </c>
      <c r="N1656" s="13" t="n"/>
      <c r="O1656" s="13" t="n"/>
      <c r="P1656" s="17">
        <f>IF($B1656="","",IF($F1656="※类别不在基础资料里","※费用类别不在基础资料里",IF(AND(N($J1656)=0,N($K1656)=0),"※这行没填金额",IF(AND(N($J1656)&gt;0,N($K1656)&gt;0),"※收入和支出不能同一行都填",IF(AND($D1656="收入",N($J1656)=0),"※收入行要填收入金额",IF(AND($D1656="支出",N($K1656)=0),"※支出行要填支出金额",IF(AND($C1656&lt;&gt;"",ISNA(MATCH($C1656,账户表,0))),"※账户不在基础资料里",IF(AND($G1656&lt;&gt;"",ISNA(MATCH($G1656,项目名表,0))),"※项目不在项目台账里",IF(AND(LEFT($F1656,3)="成本-",$G1656=""),"※成本类支出没填项目",IF(AND(LEFT($F1656,3)="成本-",$H1656&lt;&gt;"",N($K1656)&gt;0,COUNTIFS(采购单!$B:$B,$B1656,采购单!$C:$C,$H1656,采购单!$L:$L,$K1656)&gt;0),"※这笔可能和采购单重复了",""))))))))))</f>
        <v/>
      </c>
    </row>
    <row r="1657">
      <c r="A1657" s="17">
        <f>IF($B1657="","",ROW()-3)</f>
        <v/>
      </c>
      <c r="B1657" s="18" t="n"/>
      <c r="C1657" s="13" t="n"/>
      <c r="D1657" s="13" t="n"/>
      <c r="E1657" s="13" t="n"/>
      <c r="F1657" s="17">
        <f>IF($E1657="","",IFERROR(VLOOKUP($E1657,类别归属,2,0),"※类别不在基础资料里"))</f>
        <v/>
      </c>
      <c r="G1657" s="13" t="n"/>
      <c r="H1657" s="13" t="n"/>
      <c r="I1657" s="13" t="n"/>
      <c r="J1657" s="14" t="n"/>
      <c r="K1657" s="14" t="n"/>
      <c r="L1657" s="19">
        <f>IF($C1657="","",ROUND(IFERROR(VLOOKUP($C1657,账户期初,2,0),0)+SUMIFS($J$4:J1657,$C$4:C1657,$C1657)-SUMIFS($K$4:K1657,$C$4:C1657,$C1657),2))</f>
        <v/>
      </c>
      <c r="M1657" s="19">
        <f>IF($C1657="","",ROUND(SUM(基础资料!$B$4:$B$13)+SUM($J$4:J1657)-SUM($K$4:K1657),2))</f>
        <v/>
      </c>
      <c r="N1657" s="13" t="n"/>
      <c r="O1657" s="13" t="n"/>
      <c r="P1657" s="17">
        <f>IF($B1657="","",IF($F1657="※类别不在基础资料里","※费用类别不在基础资料里",IF(AND(N($J1657)=0,N($K1657)=0),"※这行没填金额",IF(AND(N($J1657)&gt;0,N($K1657)&gt;0),"※收入和支出不能同一行都填",IF(AND($D1657="收入",N($J1657)=0),"※收入行要填收入金额",IF(AND($D1657="支出",N($K1657)=0),"※支出行要填支出金额",IF(AND($C1657&lt;&gt;"",ISNA(MATCH($C1657,账户表,0))),"※账户不在基础资料里",IF(AND($G1657&lt;&gt;"",ISNA(MATCH($G1657,项目名表,0))),"※项目不在项目台账里",IF(AND(LEFT($F1657,3)="成本-",$G1657=""),"※成本类支出没填项目",IF(AND(LEFT($F1657,3)="成本-",$H1657&lt;&gt;"",N($K1657)&gt;0,COUNTIFS(采购单!$B:$B,$B1657,采购单!$C:$C,$H1657,采购单!$L:$L,$K1657)&gt;0),"※这笔可能和采购单重复了",""))))))))))</f>
        <v/>
      </c>
    </row>
    <row r="1658">
      <c r="A1658" s="17">
        <f>IF($B1658="","",ROW()-3)</f>
        <v/>
      </c>
      <c r="B1658" s="18" t="n"/>
      <c r="C1658" s="13" t="n"/>
      <c r="D1658" s="13" t="n"/>
      <c r="E1658" s="13" t="n"/>
      <c r="F1658" s="17">
        <f>IF($E1658="","",IFERROR(VLOOKUP($E1658,类别归属,2,0),"※类别不在基础资料里"))</f>
        <v/>
      </c>
      <c r="G1658" s="13" t="n"/>
      <c r="H1658" s="13" t="n"/>
      <c r="I1658" s="13" t="n"/>
      <c r="J1658" s="14" t="n"/>
      <c r="K1658" s="14" t="n"/>
      <c r="L1658" s="19">
        <f>IF($C1658="","",ROUND(IFERROR(VLOOKUP($C1658,账户期初,2,0),0)+SUMIFS($J$4:J1658,$C$4:C1658,$C1658)-SUMIFS($K$4:K1658,$C$4:C1658,$C1658),2))</f>
        <v/>
      </c>
      <c r="M1658" s="19">
        <f>IF($C1658="","",ROUND(SUM(基础资料!$B$4:$B$13)+SUM($J$4:J1658)-SUM($K$4:K1658),2))</f>
        <v/>
      </c>
      <c r="N1658" s="13" t="n"/>
      <c r="O1658" s="13" t="n"/>
      <c r="P1658" s="17">
        <f>IF($B1658="","",IF($F1658="※类别不在基础资料里","※费用类别不在基础资料里",IF(AND(N($J1658)=0,N($K1658)=0),"※这行没填金额",IF(AND(N($J1658)&gt;0,N($K1658)&gt;0),"※收入和支出不能同一行都填",IF(AND($D1658="收入",N($J1658)=0),"※收入行要填收入金额",IF(AND($D1658="支出",N($K1658)=0),"※支出行要填支出金额",IF(AND($C1658&lt;&gt;"",ISNA(MATCH($C1658,账户表,0))),"※账户不在基础资料里",IF(AND($G1658&lt;&gt;"",ISNA(MATCH($G1658,项目名表,0))),"※项目不在项目台账里",IF(AND(LEFT($F1658,3)="成本-",$G1658=""),"※成本类支出没填项目",IF(AND(LEFT($F1658,3)="成本-",$H1658&lt;&gt;"",N($K1658)&gt;0,COUNTIFS(采购单!$B:$B,$B1658,采购单!$C:$C,$H1658,采购单!$L:$L,$K1658)&gt;0),"※这笔可能和采购单重复了",""))))))))))</f>
        <v/>
      </c>
    </row>
    <row r="1659">
      <c r="A1659" s="17">
        <f>IF($B1659="","",ROW()-3)</f>
        <v/>
      </c>
      <c r="B1659" s="18" t="n"/>
      <c r="C1659" s="13" t="n"/>
      <c r="D1659" s="13" t="n"/>
      <c r="E1659" s="13" t="n"/>
      <c r="F1659" s="17">
        <f>IF($E1659="","",IFERROR(VLOOKUP($E1659,类别归属,2,0),"※类别不在基础资料里"))</f>
        <v/>
      </c>
      <c r="G1659" s="13" t="n"/>
      <c r="H1659" s="13" t="n"/>
      <c r="I1659" s="13" t="n"/>
      <c r="J1659" s="14" t="n"/>
      <c r="K1659" s="14" t="n"/>
      <c r="L1659" s="19">
        <f>IF($C1659="","",ROUND(IFERROR(VLOOKUP($C1659,账户期初,2,0),0)+SUMIFS($J$4:J1659,$C$4:C1659,$C1659)-SUMIFS($K$4:K1659,$C$4:C1659,$C1659),2))</f>
        <v/>
      </c>
      <c r="M1659" s="19">
        <f>IF($C1659="","",ROUND(SUM(基础资料!$B$4:$B$13)+SUM($J$4:J1659)-SUM($K$4:K1659),2))</f>
        <v/>
      </c>
      <c r="N1659" s="13" t="n"/>
      <c r="O1659" s="13" t="n"/>
      <c r="P1659" s="17">
        <f>IF($B1659="","",IF($F1659="※类别不在基础资料里","※费用类别不在基础资料里",IF(AND(N($J1659)=0,N($K1659)=0),"※这行没填金额",IF(AND(N($J1659)&gt;0,N($K1659)&gt;0),"※收入和支出不能同一行都填",IF(AND($D1659="收入",N($J1659)=0),"※收入行要填收入金额",IF(AND($D1659="支出",N($K1659)=0),"※支出行要填支出金额",IF(AND($C1659&lt;&gt;"",ISNA(MATCH($C1659,账户表,0))),"※账户不在基础资料里",IF(AND($G1659&lt;&gt;"",ISNA(MATCH($G1659,项目名表,0))),"※项目不在项目台账里",IF(AND(LEFT($F1659,3)="成本-",$G1659=""),"※成本类支出没填项目",IF(AND(LEFT($F1659,3)="成本-",$H1659&lt;&gt;"",N($K1659)&gt;0,COUNTIFS(采购单!$B:$B,$B1659,采购单!$C:$C,$H1659,采购单!$L:$L,$K1659)&gt;0),"※这笔可能和采购单重复了",""))))))))))</f>
        <v/>
      </c>
    </row>
    <row r="1660">
      <c r="A1660" s="17">
        <f>IF($B1660="","",ROW()-3)</f>
        <v/>
      </c>
      <c r="B1660" s="18" t="n"/>
      <c r="C1660" s="13" t="n"/>
      <c r="D1660" s="13" t="n"/>
      <c r="E1660" s="13" t="n"/>
      <c r="F1660" s="17">
        <f>IF($E1660="","",IFERROR(VLOOKUP($E1660,类别归属,2,0),"※类别不在基础资料里"))</f>
        <v/>
      </c>
      <c r="G1660" s="13" t="n"/>
      <c r="H1660" s="13" t="n"/>
      <c r="I1660" s="13" t="n"/>
      <c r="J1660" s="14" t="n"/>
      <c r="K1660" s="14" t="n"/>
      <c r="L1660" s="19">
        <f>IF($C1660="","",ROUND(IFERROR(VLOOKUP($C1660,账户期初,2,0),0)+SUMIFS($J$4:J1660,$C$4:C1660,$C1660)-SUMIFS($K$4:K1660,$C$4:C1660,$C1660),2))</f>
        <v/>
      </c>
      <c r="M1660" s="19">
        <f>IF($C1660="","",ROUND(SUM(基础资料!$B$4:$B$13)+SUM($J$4:J1660)-SUM($K$4:K1660),2))</f>
        <v/>
      </c>
      <c r="N1660" s="13" t="n"/>
      <c r="O1660" s="13" t="n"/>
      <c r="P1660" s="17">
        <f>IF($B1660="","",IF($F1660="※类别不在基础资料里","※费用类别不在基础资料里",IF(AND(N($J1660)=0,N($K1660)=0),"※这行没填金额",IF(AND(N($J1660)&gt;0,N($K1660)&gt;0),"※收入和支出不能同一行都填",IF(AND($D1660="收入",N($J1660)=0),"※收入行要填收入金额",IF(AND($D1660="支出",N($K1660)=0),"※支出行要填支出金额",IF(AND($C1660&lt;&gt;"",ISNA(MATCH($C1660,账户表,0))),"※账户不在基础资料里",IF(AND($G1660&lt;&gt;"",ISNA(MATCH($G1660,项目名表,0))),"※项目不在项目台账里",IF(AND(LEFT($F1660,3)="成本-",$G1660=""),"※成本类支出没填项目",IF(AND(LEFT($F1660,3)="成本-",$H1660&lt;&gt;"",N($K1660)&gt;0,COUNTIFS(采购单!$B:$B,$B1660,采购单!$C:$C,$H1660,采购单!$L:$L,$K1660)&gt;0),"※这笔可能和采购单重复了",""))))))))))</f>
        <v/>
      </c>
    </row>
    <row r="1661">
      <c r="A1661" s="17">
        <f>IF($B1661="","",ROW()-3)</f>
        <v/>
      </c>
      <c r="B1661" s="18" t="n"/>
      <c r="C1661" s="13" t="n"/>
      <c r="D1661" s="13" t="n"/>
      <c r="E1661" s="13" t="n"/>
      <c r="F1661" s="17">
        <f>IF($E1661="","",IFERROR(VLOOKUP($E1661,类别归属,2,0),"※类别不在基础资料里"))</f>
        <v/>
      </c>
      <c r="G1661" s="13" t="n"/>
      <c r="H1661" s="13" t="n"/>
      <c r="I1661" s="13" t="n"/>
      <c r="J1661" s="14" t="n"/>
      <c r="K1661" s="14" t="n"/>
      <c r="L1661" s="19">
        <f>IF($C1661="","",ROUND(IFERROR(VLOOKUP($C1661,账户期初,2,0),0)+SUMIFS($J$4:J1661,$C$4:C1661,$C1661)-SUMIFS($K$4:K1661,$C$4:C1661,$C1661),2))</f>
        <v/>
      </c>
      <c r="M1661" s="19">
        <f>IF($C1661="","",ROUND(SUM(基础资料!$B$4:$B$13)+SUM($J$4:J1661)-SUM($K$4:K1661),2))</f>
        <v/>
      </c>
      <c r="N1661" s="13" t="n"/>
      <c r="O1661" s="13" t="n"/>
      <c r="P1661" s="17">
        <f>IF($B1661="","",IF($F1661="※类别不在基础资料里","※费用类别不在基础资料里",IF(AND(N($J1661)=0,N($K1661)=0),"※这行没填金额",IF(AND(N($J1661)&gt;0,N($K1661)&gt;0),"※收入和支出不能同一行都填",IF(AND($D1661="收入",N($J1661)=0),"※收入行要填收入金额",IF(AND($D1661="支出",N($K1661)=0),"※支出行要填支出金额",IF(AND($C1661&lt;&gt;"",ISNA(MATCH($C1661,账户表,0))),"※账户不在基础资料里",IF(AND($G1661&lt;&gt;"",ISNA(MATCH($G1661,项目名表,0))),"※项目不在项目台账里",IF(AND(LEFT($F1661,3)="成本-",$G1661=""),"※成本类支出没填项目",IF(AND(LEFT($F1661,3)="成本-",$H1661&lt;&gt;"",N($K1661)&gt;0,COUNTIFS(采购单!$B:$B,$B1661,采购单!$C:$C,$H1661,采购单!$L:$L,$K1661)&gt;0),"※这笔可能和采购单重复了",""))))))))))</f>
        <v/>
      </c>
    </row>
    <row r="1662">
      <c r="A1662" s="17">
        <f>IF($B1662="","",ROW()-3)</f>
        <v/>
      </c>
      <c r="B1662" s="18" t="n"/>
      <c r="C1662" s="13" t="n"/>
      <c r="D1662" s="13" t="n"/>
      <c r="E1662" s="13" t="n"/>
      <c r="F1662" s="17">
        <f>IF($E1662="","",IFERROR(VLOOKUP($E1662,类别归属,2,0),"※类别不在基础资料里"))</f>
        <v/>
      </c>
      <c r="G1662" s="13" t="n"/>
      <c r="H1662" s="13" t="n"/>
      <c r="I1662" s="13" t="n"/>
      <c r="J1662" s="14" t="n"/>
      <c r="K1662" s="14" t="n"/>
      <c r="L1662" s="19">
        <f>IF($C1662="","",ROUND(IFERROR(VLOOKUP($C1662,账户期初,2,0),0)+SUMIFS($J$4:J1662,$C$4:C1662,$C1662)-SUMIFS($K$4:K1662,$C$4:C1662,$C1662),2))</f>
        <v/>
      </c>
      <c r="M1662" s="19">
        <f>IF($C1662="","",ROUND(SUM(基础资料!$B$4:$B$13)+SUM($J$4:J1662)-SUM($K$4:K1662),2))</f>
        <v/>
      </c>
      <c r="N1662" s="13" t="n"/>
      <c r="O1662" s="13" t="n"/>
      <c r="P1662" s="17">
        <f>IF($B1662="","",IF($F1662="※类别不在基础资料里","※费用类别不在基础资料里",IF(AND(N($J1662)=0,N($K1662)=0),"※这行没填金额",IF(AND(N($J1662)&gt;0,N($K1662)&gt;0),"※收入和支出不能同一行都填",IF(AND($D1662="收入",N($J1662)=0),"※收入行要填收入金额",IF(AND($D1662="支出",N($K1662)=0),"※支出行要填支出金额",IF(AND($C1662&lt;&gt;"",ISNA(MATCH($C1662,账户表,0))),"※账户不在基础资料里",IF(AND($G1662&lt;&gt;"",ISNA(MATCH($G1662,项目名表,0))),"※项目不在项目台账里",IF(AND(LEFT($F1662,3)="成本-",$G1662=""),"※成本类支出没填项目",IF(AND(LEFT($F1662,3)="成本-",$H1662&lt;&gt;"",N($K1662)&gt;0,COUNTIFS(采购单!$B:$B,$B1662,采购单!$C:$C,$H1662,采购单!$L:$L,$K1662)&gt;0),"※这笔可能和采购单重复了",""))))))))))</f>
        <v/>
      </c>
    </row>
    <row r="1663">
      <c r="A1663" s="17">
        <f>IF($B1663="","",ROW()-3)</f>
        <v/>
      </c>
      <c r="B1663" s="18" t="n"/>
      <c r="C1663" s="13" t="n"/>
      <c r="D1663" s="13" t="n"/>
      <c r="E1663" s="13" t="n"/>
      <c r="F1663" s="17">
        <f>IF($E1663="","",IFERROR(VLOOKUP($E1663,类别归属,2,0),"※类别不在基础资料里"))</f>
        <v/>
      </c>
      <c r="G1663" s="13" t="n"/>
      <c r="H1663" s="13" t="n"/>
      <c r="I1663" s="13" t="n"/>
      <c r="J1663" s="14" t="n"/>
      <c r="K1663" s="14" t="n"/>
      <c r="L1663" s="19">
        <f>IF($C1663="","",ROUND(IFERROR(VLOOKUP($C1663,账户期初,2,0),0)+SUMIFS($J$4:J1663,$C$4:C1663,$C1663)-SUMIFS($K$4:K1663,$C$4:C1663,$C1663),2))</f>
        <v/>
      </c>
      <c r="M1663" s="19">
        <f>IF($C1663="","",ROUND(SUM(基础资料!$B$4:$B$13)+SUM($J$4:J1663)-SUM($K$4:K1663),2))</f>
        <v/>
      </c>
      <c r="N1663" s="13" t="n"/>
      <c r="O1663" s="13" t="n"/>
      <c r="P1663" s="17">
        <f>IF($B1663="","",IF($F1663="※类别不在基础资料里","※费用类别不在基础资料里",IF(AND(N($J1663)=0,N($K1663)=0),"※这行没填金额",IF(AND(N($J1663)&gt;0,N($K1663)&gt;0),"※收入和支出不能同一行都填",IF(AND($D1663="收入",N($J1663)=0),"※收入行要填收入金额",IF(AND($D1663="支出",N($K1663)=0),"※支出行要填支出金额",IF(AND($C1663&lt;&gt;"",ISNA(MATCH($C1663,账户表,0))),"※账户不在基础资料里",IF(AND($G1663&lt;&gt;"",ISNA(MATCH($G1663,项目名表,0))),"※项目不在项目台账里",IF(AND(LEFT($F1663,3)="成本-",$G1663=""),"※成本类支出没填项目",IF(AND(LEFT($F1663,3)="成本-",$H1663&lt;&gt;"",N($K1663)&gt;0,COUNTIFS(采购单!$B:$B,$B1663,采购单!$C:$C,$H1663,采购单!$L:$L,$K1663)&gt;0),"※这笔可能和采购单重复了",""))))))))))</f>
        <v/>
      </c>
    </row>
    <row r="1664">
      <c r="A1664" s="17">
        <f>IF($B1664="","",ROW()-3)</f>
        <v/>
      </c>
      <c r="B1664" s="18" t="n"/>
      <c r="C1664" s="13" t="n"/>
      <c r="D1664" s="13" t="n"/>
      <c r="E1664" s="13" t="n"/>
      <c r="F1664" s="17">
        <f>IF($E1664="","",IFERROR(VLOOKUP($E1664,类别归属,2,0),"※类别不在基础资料里"))</f>
        <v/>
      </c>
      <c r="G1664" s="13" t="n"/>
      <c r="H1664" s="13" t="n"/>
      <c r="I1664" s="13" t="n"/>
      <c r="J1664" s="14" t="n"/>
      <c r="K1664" s="14" t="n"/>
      <c r="L1664" s="19">
        <f>IF($C1664="","",ROUND(IFERROR(VLOOKUP($C1664,账户期初,2,0),0)+SUMIFS($J$4:J1664,$C$4:C1664,$C1664)-SUMIFS($K$4:K1664,$C$4:C1664,$C1664),2))</f>
        <v/>
      </c>
      <c r="M1664" s="19">
        <f>IF($C1664="","",ROUND(SUM(基础资料!$B$4:$B$13)+SUM($J$4:J1664)-SUM($K$4:K1664),2))</f>
        <v/>
      </c>
      <c r="N1664" s="13" t="n"/>
      <c r="O1664" s="13" t="n"/>
      <c r="P1664" s="17">
        <f>IF($B1664="","",IF($F1664="※类别不在基础资料里","※费用类别不在基础资料里",IF(AND(N($J1664)=0,N($K1664)=0),"※这行没填金额",IF(AND(N($J1664)&gt;0,N($K1664)&gt;0),"※收入和支出不能同一行都填",IF(AND($D1664="收入",N($J1664)=0),"※收入行要填收入金额",IF(AND($D1664="支出",N($K1664)=0),"※支出行要填支出金额",IF(AND($C1664&lt;&gt;"",ISNA(MATCH($C1664,账户表,0))),"※账户不在基础资料里",IF(AND($G1664&lt;&gt;"",ISNA(MATCH($G1664,项目名表,0))),"※项目不在项目台账里",IF(AND(LEFT($F1664,3)="成本-",$G1664=""),"※成本类支出没填项目",IF(AND(LEFT($F1664,3)="成本-",$H1664&lt;&gt;"",N($K1664)&gt;0,COUNTIFS(采购单!$B:$B,$B1664,采购单!$C:$C,$H1664,采购单!$L:$L,$K1664)&gt;0),"※这笔可能和采购单重复了",""))))))))))</f>
        <v/>
      </c>
    </row>
    <row r="1665">
      <c r="A1665" s="17">
        <f>IF($B1665="","",ROW()-3)</f>
        <v/>
      </c>
      <c r="B1665" s="18" t="n"/>
      <c r="C1665" s="13" t="n"/>
      <c r="D1665" s="13" t="n"/>
      <c r="E1665" s="13" t="n"/>
      <c r="F1665" s="17">
        <f>IF($E1665="","",IFERROR(VLOOKUP($E1665,类别归属,2,0),"※类别不在基础资料里"))</f>
        <v/>
      </c>
      <c r="G1665" s="13" t="n"/>
      <c r="H1665" s="13" t="n"/>
      <c r="I1665" s="13" t="n"/>
      <c r="J1665" s="14" t="n"/>
      <c r="K1665" s="14" t="n"/>
      <c r="L1665" s="19">
        <f>IF($C1665="","",ROUND(IFERROR(VLOOKUP($C1665,账户期初,2,0),0)+SUMIFS($J$4:J1665,$C$4:C1665,$C1665)-SUMIFS($K$4:K1665,$C$4:C1665,$C1665),2))</f>
        <v/>
      </c>
      <c r="M1665" s="19">
        <f>IF($C1665="","",ROUND(SUM(基础资料!$B$4:$B$13)+SUM($J$4:J1665)-SUM($K$4:K1665),2))</f>
        <v/>
      </c>
      <c r="N1665" s="13" t="n"/>
      <c r="O1665" s="13" t="n"/>
      <c r="P1665" s="17">
        <f>IF($B1665="","",IF($F1665="※类别不在基础资料里","※费用类别不在基础资料里",IF(AND(N($J1665)=0,N($K1665)=0),"※这行没填金额",IF(AND(N($J1665)&gt;0,N($K1665)&gt;0),"※收入和支出不能同一行都填",IF(AND($D1665="收入",N($J1665)=0),"※收入行要填收入金额",IF(AND($D1665="支出",N($K1665)=0),"※支出行要填支出金额",IF(AND($C1665&lt;&gt;"",ISNA(MATCH($C1665,账户表,0))),"※账户不在基础资料里",IF(AND($G1665&lt;&gt;"",ISNA(MATCH($G1665,项目名表,0))),"※项目不在项目台账里",IF(AND(LEFT($F1665,3)="成本-",$G1665=""),"※成本类支出没填项目",IF(AND(LEFT($F1665,3)="成本-",$H1665&lt;&gt;"",N($K1665)&gt;0,COUNTIFS(采购单!$B:$B,$B1665,采购单!$C:$C,$H1665,采购单!$L:$L,$K1665)&gt;0),"※这笔可能和采购单重复了",""))))))))))</f>
        <v/>
      </c>
    </row>
    <row r="1666">
      <c r="A1666" s="17">
        <f>IF($B1666="","",ROW()-3)</f>
        <v/>
      </c>
      <c r="B1666" s="18" t="n"/>
      <c r="C1666" s="13" t="n"/>
      <c r="D1666" s="13" t="n"/>
      <c r="E1666" s="13" t="n"/>
      <c r="F1666" s="17">
        <f>IF($E1666="","",IFERROR(VLOOKUP($E1666,类别归属,2,0),"※类别不在基础资料里"))</f>
        <v/>
      </c>
      <c r="G1666" s="13" t="n"/>
      <c r="H1666" s="13" t="n"/>
      <c r="I1666" s="13" t="n"/>
      <c r="J1666" s="14" t="n"/>
      <c r="K1666" s="14" t="n"/>
      <c r="L1666" s="19">
        <f>IF($C1666="","",ROUND(IFERROR(VLOOKUP($C1666,账户期初,2,0),0)+SUMIFS($J$4:J1666,$C$4:C1666,$C1666)-SUMIFS($K$4:K1666,$C$4:C1666,$C1666),2))</f>
        <v/>
      </c>
      <c r="M1666" s="19">
        <f>IF($C1666="","",ROUND(SUM(基础资料!$B$4:$B$13)+SUM($J$4:J1666)-SUM($K$4:K1666),2))</f>
        <v/>
      </c>
      <c r="N1666" s="13" t="n"/>
      <c r="O1666" s="13" t="n"/>
      <c r="P1666" s="17">
        <f>IF($B1666="","",IF($F1666="※类别不在基础资料里","※费用类别不在基础资料里",IF(AND(N($J1666)=0,N($K1666)=0),"※这行没填金额",IF(AND(N($J1666)&gt;0,N($K1666)&gt;0),"※收入和支出不能同一行都填",IF(AND($D1666="收入",N($J1666)=0),"※收入行要填收入金额",IF(AND($D1666="支出",N($K1666)=0),"※支出行要填支出金额",IF(AND($C1666&lt;&gt;"",ISNA(MATCH($C1666,账户表,0))),"※账户不在基础资料里",IF(AND($G1666&lt;&gt;"",ISNA(MATCH($G1666,项目名表,0))),"※项目不在项目台账里",IF(AND(LEFT($F1666,3)="成本-",$G1666=""),"※成本类支出没填项目",IF(AND(LEFT($F1666,3)="成本-",$H1666&lt;&gt;"",N($K1666)&gt;0,COUNTIFS(采购单!$B:$B,$B1666,采购单!$C:$C,$H1666,采购单!$L:$L,$K1666)&gt;0),"※这笔可能和采购单重复了",""))))))))))</f>
        <v/>
      </c>
    </row>
    <row r="1667">
      <c r="A1667" s="17">
        <f>IF($B1667="","",ROW()-3)</f>
        <v/>
      </c>
      <c r="B1667" s="18" t="n"/>
      <c r="C1667" s="13" t="n"/>
      <c r="D1667" s="13" t="n"/>
      <c r="E1667" s="13" t="n"/>
      <c r="F1667" s="17">
        <f>IF($E1667="","",IFERROR(VLOOKUP($E1667,类别归属,2,0),"※类别不在基础资料里"))</f>
        <v/>
      </c>
      <c r="G1667" s="13" t="n"/>
      <c r="H1667" s="13" t="n"/>
      <c r="I1667" s="13" t="n"/>
      <c r="J1667" s="14" t="n"/>
      <c r="K1667" s="14" t="n"/>
      <c r="L1667" s="19">
        <f>IF($C1667="","",ROUND(IFERROR(VLOOKUP($C1667,账户期初,2,0),0)+SUMIFS($J$4:J1667,$C$4:C1667,$C1667)-SUMIFS($K$4:K1667,$C$4:C1667,$C1667),2))</f>
        <v/>
      </c>
      <c r="M1667" s="19">
        <f>IF($C1667="","",ROUND(SUM(基础资料!$B$4:$B$13)+SUM($J$4:J1667)-SUM($K$4:K1667),2))</f>
        <v/>
      </c>
      <c r="N1667" s="13" t="n"/>
      <c r="O1667" s="13" t="n"/>
      <c r="P1667" s="17">
        <f>IF($B1667="","",IF($F1667="※类别不在基础资料里","※费用类别不在基础资料里",IF(AND(N($J1667)=0,N($K1667)=0),"※这行没填金额",IF(AND(N($J1667)&gt;0,N($K1667)&gt;0),"※收入和支出不能同一行都填",IF(AND($D1667="收入",N($J1667)=0),"※收入行要填收入金额",IF(AND($D1667="支出",N($K1667)=0),"※支出行要填支出金额",IF(AND($C1667&lt;&gt;"",ISNA(MATCH($C1667,账户表,0))),"※账户不在基础资料里",IF(AND($G1667&lt;&gt;"",ISNA(MATCH($G1667,项目名表,0))),"※项目不在项目台账里",IF(AND(LEFT($F1667,3)="成本-",$G1667=""),"※成本类支出没填项目",IF(AND(LEFT($F1667,3)="成本-",$H1667&lt;&gt;"",N($K1667)&gt;0,COUNTIFS(采购单!$B:$B,$B1667,采购单!$C:$C,$H1667,采购单!$L:$L,$K1667)&gt;0),"※这笔可能和采购单重复了",""))))))))))</f>
        <v/>
      </c>
    </row>
    <row r="1668">
      <c r="A1668" s="17">
        <f>IF($B1668="","",ROW()-3)</f>
        <v/>
      </c>
      <c r="B1668" s="18" t="n"/>
      <c r="C1668" s="13" t="n"/>
      <c r="D1668" s="13" t="n"/>
      <c r="E1668" s="13" t="n"/>
      <c r="F1668" s="17">
        <f>IF($E1668="","",IFERROR(VLOOKUP($E1668,类别归属,2,0),"※类别不在基础资料里"))</f>
        <v/>
      </c>
      <c r="G1668" s="13" t="n"/>
      <c r="H1668" s="13" t="n"/>
      <c r="I1668" s="13" t="n"/>
      <c r="J1668" s="14" t="n"/>
      <c r="K1668" s="14" t="n"/>
      <c r="L1668" s="19">
        <f>IF($C1668="","",ROUND(IFERROR(VLOOKUP($C1668,账户期初,2,0),0)+SUMIFS($J$4:J1668,$C$4:C1668,$C1668)-SUMIFS($K$4:K1668,$C$4:C1668,$C1668),2))</f>
        <v/>
      </c>
      <c r="M1668" s="19">
        <f>IF($C1668="","",ROUND(SUM(基础资料!$B$4:$B$13)+SUM($J$4:J1668)-SUM($K$4:K1668),2))</f>
        <v/>
      </c>
      <c r="N1668" s="13" t="n"/>
      <c r="O1668" s="13" t="n"/>
      <c r="P1668" s="17">
        <f>IF($B1668="","",IF($F1668="※类别不在基础资料里","※费用类别不在基础资料里",IF(AND(N($J1668)=0,N($K1668)=0),"※这行没填金额",IF(AND(N($J1668)&gt;0,N($K1668)&gt;0),"※收入和支出不能同一行都填",IF(AND($D1668="收入",N($J1668)=0),"※收入行要填收入金额",IF(AND($D1668="支出",N($K1668)=0),"※支出行要填支出金额",IF(AND($C1668&lt;&gt;"",ISNA(MATCH($C1668,账户表,0))),"※账户不在基础资料里",IF(AND($G1668&lt;&gt;"",ISNA(MATCH($G1668,项目名表,0))),"※项目不在项目台账里",IF(AND(LEFT($F1668,3)="成本-",$G1668=""),"※成本类支出没填项目",IF(AND(LEFT($F1668,3)="成本-",$H1668&lt;&gt;"",N($K1668)&gt;0,COUNTIFS(采购单!$B:$B,$B1668,采购单!$C:$C,$H1668,采购单!$L:$L,$K1668)&gt;0),"※这笔可能和采购单重复了",""))))))))))</f>
        <v/>
      </c>
    </row>
    <row r="1669">
      <c r="A1669" s="17">
        <f>IF($B1669="","",ROW()-3)</f>
        <v/>
      </c>
      <c r="B1669" s="18" t="n"/>
      <c r="C1669" s="13" t="n"/>
      <c r="D1669" s="13" t="n"/>
      <c r="E1669" s="13" t="n"/>
      <c r="F1669" s="17">
        <f>IF($E1669="","",IFERROR(VLOOKUP($E1669,类别归属,2,0),"※类别不在基础资料里"))</f>
        <v/>
      </c>
      <c r="G1669" s="13" t="n"/>
      <c r="H1669" s="13" t="n"/>
      <c r="I1669" s="13" t="n"/>
      <c r="J1669" s="14" t="n"/>
      <c r="K1669" s="14" t="n"/>
      <c r="L1669" s="19">
        <f>IF($C1669="","",ROUND(IFERROR(VLOOKUP($C1669,账户期初,2,0),0)+SUMIFS($J$4:J1669,$C$4:C1669,$C1669)-SUMIFS($K$4:K1669,$C$4:C1669,$C1669),2))</f>
        <v/>
      </c>
      <c r="M1669" s="19">
        <f>IF($C1669="","",ROUND(SUM(基础资料!$B$4:$B$13)+SUM($J$4:J1669)-SUM($K$4:K1669),2))</f>
        <v/>
      </c>
      <c r="N1669" s="13" t="n"/>
      <c r="O1669" s="13" t="n"/>
      <c r="P1669" s="17">
        <f>IF($B1669="","",IF($F1669="※类别不在基础资料里","※费用类别不在基础资料里",IF(AND(N($J1669)=0,N($K1669)=0),"※这行没填金额",IF(AND(N($J1669)&gt;0,N($K1669)&gt;0),"※收入和支出不能同一行都填",IF(AND($D1669="收入",N($J1669)=0),"※收入行要填收入金额",IF(AND($D1669="支出",N($K1669)=0),"※支出行要填支出金额",IF(AND($C1669&lt;&gt;"",ISNA(MATCH($C1669,账户表,0))),"※账户不在基础资料里",IF(AND($G1669&lt;&gt;"",ISNA(MATCH($G1669,项目名表,0))),"※项目不在项目台账里",IF(AND(LEFT($F1669,3)="成本-",$G1669=""),"※成本类支出没填项目",IF(AND(LEFT($F1669,3)="成本-",$H1669&lt;&gt;"",N($K1669)&gt;0,COUNTIFS(采购单!$B:$B,$B1669,采购单!$C:$C,$H1669,采购单!$L:$L,$K1669)&gt;0),"※这笔可能和采购单重复了",""))))))))))</f>
        <v/>
      </c>
    </row>
    <row r="1670">
      <c r="A1670" s="17">
        <f>IF($B1670="","",ROW()-3)</f>
        <v/>
      </c>
      <c r="B1670" s="18" t="n"/>
      <c r="C1670" s="13" t="n"/>
      <c r="D1670" s="13" t="n"/>
      <c r="E1670" s="13" t="n"/>
      <c r="F1670" s="17">
        <f>IF($E1670="","",IFERROR(VLOOKUP($E1670,类别归属,2,0),"※类别不在基础资料里"))</f>
        <v/>
      </c>
      <c r="G1670" s="13" t="n"/>
      <c r="H1670" s="13" t="n"/>
      <c r="I1670" s="13" t="n"/>
      <c r="J1670" s="14" t="n"/>
      <c r="K1670" s="14" t="n"/>
      <c r="L1670" s="19">
        <f>IF($C1670="","",ROUND(IFERROR(VLOOKUP($C1670,账户期初,2,0),0)+SUMIFS($J$4:J1670,$C$4:C1670,$C1670)-SUMIFS($K$4:K1670,$C$4:C1670,$C1670),2))</f>
        <v/>
      </c>
      <c r="M1670" s="19">
        <f>IF($C1670="","",ROUND(SUM(基础资料!$B$4:$B$13)+SUM($J$4:J1670)-SUM($K$4:K1670),2))</f>
        <v/>
      </c>
      <c r="N1670" s="13" t="n"/>
      <c r="O1670" s="13" t="n"/>
      <c r="P1670" s="17">
        <f>IF($B1670="","",IF($F1670="※类别不在基础资料里","※费用类别不在基础资料里",IF(AND(N($J1670)=0,N($K1670)=0),"※这行没填金额",IF(AND(N($J1670)&gt;0,N($K1670)&gt;0),"※收入和支出不能同一行都填",IF(AND($D1670="收入",N($J1670)=0),"※收入行要填收入金额",IF(AND($D1670="支出",N($K1670)=0),"※支出行要填支出金额",IF(AND($C1670&lt;&gt;"",ISNA(MATCH($C1670,账户表,0))),"※账户不在基础资料里",IF(AND($G1670&lt;&gt;"",ISNA(MATCH($G1670,项目名表,0))),"※项目不在项目台账里",IF(AND(LEFT($F1670,3)="成本-",$G1670=""),"※成本类支出没填项目",IF(AND(LEFT($F1670,3)="成本-",$H1670&lt;&gt;"",N($K1670)&gt;0,COUNTIFS(采购单!$B:$B,$B1670,采购单!$C:$C,$H1670,采购单!$L:$L,$K1670)&gt;0),"※这笔可能和采购单重复了",""))))))))))</f>
        <v/>
      </c>
    </row>
    <row r="1671">
      <c r="A1671" s="17">
        <f>IF($B1671="","",ROW()-3)</f>
        <v/>
      </c>
      <c r="B1671" s="18" t="n"/>
      <c r="C1671" s="13" t="n"/>
      <c r="D1671" s="13" t="n"/>
      <c r="E1671" s="13" t="n"/>
      <c r="F1671" s="17">
        <f>IF($E1671="","",IFERROR(VLOOKUP($E1671,类别归属,2,0),"※类别不在基础资料里"))</f>
        <v/>
      </c>
      <c r="G1671" s="13" t="n"/>
      <c r="H1671" s="13" t="n"/>
      <c r="I1671" s="13" t="n"/>
      <c r="J1671" s="14" t="n"/>
      <c r="K1671" s="14" t="n"/>
      <c r="L1671" s="19">
        <f>IF($C1671="","",ROUND(IFERROR(VLOOKUP($C1671,账户期初,2,0),0)+SUMIFS($J$4:J1671,$C$4:C1671,$C1671)-SUMIFS($K$4:K1671,$C$4:C1671,$C1671),2))</f>
        <v/>
      </c>
      <c r="M1671" s="19">
        <f>IF($C1671="","",ROUND(SUM(基础资料!$B$4:$B$13)+SUM($J$4:J1671)-SUM($K$4:K1671),2))</f>
        <v/>
      </c>
      <c r="N1671" s="13" t="n"/>
      <c r="O1671" s="13" t="n"/>
      <c r="P1671" s="17">
        <f>IF($B1671="","",IF($F1671="※类别不在基础资料里","※费用类别不在基础资料里",IF(AND(N($J1671)=0,N($K1671)=0),"※这行没填金额",IF(AND(N($J1671)&gt;0,N($K1671)&gt;0),"※收入和支出不能同一行都填",IF(AND($D1671="收入",N($J1671)=0),"※收入行要填收入金额",IF(AND($D1671="支出",N($K1671)=0),"※支出行要填支出金额",IF(AND($C1671&lt;&gt;"",ISNA(MATCH($C1671,账户表,0))),"※账户不在基础资料里",IF(AND($G1671&lt;&gt;"",ISNA(MATCH($G1671,项目名表,0))),"※项目不在项目台账里",IF(AND(LEFT($F1671,3)="成本-",$G1671=""),"※成本类支出没填项目",IF(AND(LEFT($F1671,3)="成本-",$H1671&lt;&gt;"",N($K1671)&gt;0,COUNTIFS(采购单!$B:$B,$B1671,采购单!$C:$C,$H1671,采购单!$L:$L,$K1671)&gt;0),"※这笔可能和采购单重复了",""))))))))))</f>
        <v/>
      </c>
    </row>
    <row r="1672">
      <c r="A1672" s="17">
        <f>IF($B1672="","",ROW()-3)</f>
        <v/>
      </c>
      <c r="B1672" s="18" t="n"/>
      <c r="C1672" s="13" t="n"/>
      <c r="D1672" s="13" t="n"/>
      <c r="E1672" s="13" t="n"/>
      <c r="F1672" s="17">
        <f>IF($E1672="","",IFERROR(VLOOKUP($E1672,类别归属,2,0),"※类别不在基础资料里"))</f>
        <v/>
      </c>
      <c r="G1672" s="13" t="n"/>
      <c r="H1672" s="13" t="n"/>
      <c r="I1672" s="13" t="n"/>
      <c r="J1672" s="14" t="n"/>
      <c r="K1672" s="14" t="n"/>
      <c r="L1672" s="19">
        <f>IF($C1672="","",ROUND(IFERROR(VLOOKUP($C1672,账户期初,2,0),0)+SUMIFS($J$4:J1672,$C$4:C1672,$C1672)-SUMIFS($K$4:K1672,$C$4:C1672,$C1672),2))</f>
        <v/>
      </c>
      <c r="M1672" s="19">
        <f>IF($C1672="","",ROUND(SUM(基础资料!$B$4:$B$13)+SUM($J$4:J1672)-SUM($K$4:K1672),2))</f>
        <v/>
      </c>
      <c r="N1672" s="13" t="n"/>
      <c r="O1672" s="13" t="n"/>
      <c r="P1672" s="17">
        <f>IF($B1672="","",IF($F1672="※类别不在基础资料里","※费用类别不在基础资料里",IF(AND(N($J1672)=0,N($K1672)=0),"※这行没填金额",IF(AND(N($J1672)&gt;0,N($K1672)&gt;0),"※收入和支出不能同一行都填",IF(AND($D1672="收入",N($J1672)=0),"※收入行要填收入金额",IF(AND($D1672="支出",N($K1672)=0),"※支出行要填支出金额",IF(AND($C1672&lt;&gt;"",ISNA(MATCH($C1672,账户表,0))),"※账户不在基础资料里",IF(AND($G1672&lt;&gt;"",ISNA(MATCH($G1672,项目名表,0))),"※项目不在项目台账里",IF(AND(LEFT($F1672,3)="成本-",$G1672=""),"※成本类支出没填项目",IF(AND(LEFT($F1672,3)="成本-",$H1672&lt;&gt;"",N($K1672)&gt;0,COUNTIFS(采购单!$B:$B,$B1672,采购单!$C:$C,$H1672,采购单!$L:$L,$K1672)&gt;0),"※这笔可能和采购单重复了",""))))))))))</f>
        <v/>
      </c>
    </row>
    <row r="1673">
      <c r="A1673" s="17">
        <f>IF($B1673="","",ROW()-3)</f>
        <v/>
      </c>
      <c r="B1673" s="18" t="n"/>
      <c r="C1673" s="13" t="n"/>
      <c r="D1673" s="13" t="n"/>
      <c r="E1673" s="13" t="n"/>
      <c r="F1673" s="17">
        <f>IF($E1673="","",IFERROR(VLOOKUP($E1673,类别归属,2,0),"※类别不在基础资料里"))</f>
        <v/>
      </c>
      <c r="G1673" s="13" t="n"/>
      <c r="H1673" s="13" t="n"/>
      <c r="I1673" s="13" t="n"/>
      <c r="J1673" s="14" t="n"/>
      <c r="K1673" s="14" t="n"/>
      <c r="L1673" s="19">
        <f>IF($C1673="","",ROUND(IFERROR(VLOOKUP($C1673,账户期初,2,0),0)+SUMIFS($J$4:J1673,$C$4:C1673,$C1673)-SUMIFS($K$4:K1673,$C$4:C1673,$C1673),2))</f>
        <v/>
      </c>
      <c r="M1673" s="19">
        <f>IF($C1673="","",ROUND(SUM(基础资料!$B$4:$B$13)+SUM($J$4:J1673)-SUM($K$4:K1673),2))</f>
        <v/>
      </c>
      <c r="N1673" s="13" t="n"/>
      <c r="O1673" s="13" t="n"/>
      <c r="P1673" s="17">
        <f>IF($B1673="","",IF($F1673="※类别不在基础资料里","※费用类别不在基础资料里",IF(AND(N($J1673)=0,N($K1673)=0),"※这行没填金额",IF(AND(N($J1673)&gt;0,N($K1673)&gt;0),"※收入和支出不能同一行都填",IF(AND($D1673="收入",N($J1673)=0),"※收入行要填收入金额",IF(AND($D1673="支出",N($K1673)=0),"※支出行要填支出金额",IF(AND($C1673&lt;&gt;"",ISNA(MATCH($C1673,账户表,0))),"※账户不在基础资料里",IF(AND($G1673&lt;&gt;"",ISNA(MATCH($G1673,项目名表,0))),"※项目不在项目台账里",IF(AND(LEFT($F1673,3)="成本-",$G1673=""),"※成本类支出没填项目",IF(AND(LEFT($F1673,3)="成本-",$H1673&lt;&gt;"",N($K1673)&gt;0,COUNTIFS(采购单!$B:$B,$B1673,采购单!$C:$C,$H1673,采购单!$L:$L,$K1673)&gt;0),"※这笔可能和采购单重复了",""))))))))))</f>
        <v/>
      </c>
    </row>
    <row r="1674">
      <c r="A1674" s="17">
        <f>IF($B1674="","",ROW()-3)</f>
        <v/>
      </c>
      <c r="B1674" s="18" t="n"/>
      <c r="C1674" s="13" t="n"/>
      <c r="D1674" s="13" t="n"/>
      <c r="E1674" s="13" t="n"/>
      <c r="F1674" s="17">
        <f>IF($E1674="","",IFERROR(VLOOKUP($E1674,类别归属,2,0),"※类别不在基础资料里"))</f>
        <v/>
      </c>
      <c r="G1674" s="13" t="n"/>
      <c r="H1674" s="13" t="n"/>
      <c r="I1674" s="13" t="n"/>
      <c r="J1674" s="14" t="n"/>
      <c r="K1674" s="14" t="n"/>
      <c r="L1674" s="19">
        <f>IF($C1674="","",ROUND(IFERROR(VLOOKUP($C1674,账户期初,2,0),0)+SUMIFS($J$4:J1674,$C$4:C1674,$C1674)-SUMIFS($K$4:K1674,$C$4:C1674,$C1674),2))</f>
        <v/>
      </c>
      <c r="M1674" s="19">
        <f>IF($C1674="","",ROUND(SUM(基础资料!$B$4:$B$13)+SUM($J$4:J1674)-SUM($K$4:K1674),2))</f>
        <v/>
      </c>
      <c r="N1674" s="13" t="n"/>
      <c r="O1674" s="13" t="n"/>
      <c r="P1674" s="17">
        <f>IF($B1674="","",IF($F1674="※类别不在基础资料里","※费用类别不在基础资料里",IF(AND(N($J1674)=0,N($K1674)=0),"※这行没填金额",IF(AND(N($J1674)&gt;0,N($K1674)&gt;0),"※收入和支出不能同一行都填",IF(AND($D1674="收入",N($J1674)=0),"※收入行要填收入金额",IF(AND($D1674="支出",N($K1674)=0),"※支出行要填支出金额",IF(AND($C1674&lt;&gt;"",ISNA(MATCH($C1674,账户表,0))),"※账户不在基础资料里",IF(AND($G1674&lt;&gt;"",ISNA(MATCH($G1674,项目名表,0))),"※项目不在项目台账里",IF(AND(LEFT($F1674,3)="成本-",$G1674=""),"※成本类支出没填项目",IF(AND(LEFT($F1674,3)="成本-",$H1674&lt;&gt;"",N($K1674)&gt;0,COUNTIFS(采购单!$B:$B,$B1674,采购单!$C:$C,$H1674,采购单!$L:$L,$K1674)&gt;0),"※这笔可能和采购单重复了",""))))))))))</f>
        <v/>
      </c>
    </row>
    <row r="1675">
      <c r="A1675" s="17">
        <f>IF($B1675="","",ROW()-3)</f>
        <v/>
      </c>
      <c r="B1675" s="18" t="n"/>
      <c r="C1675" s="13" t="n"/>
      <c r="D1675" s="13" t="n"/>
      <c r="E1675" s="13" t="n"/>
      <c r="F1675" s="17">
        <f>IF($E1675="","",IFERROR(VLOOKUP($E1675,类别归属,2,0),"※类别不在基础资料里"))</f>
        <v/>
      </c>
      <c r="G1675" s="13" t="n"/>
      <c r="H1675" s="13" t="n"/>
      <c r="I1675" s="13" t="n"/>
      <c r="J1675" s="14" t="n"/>
      <c r="K1675" s="14" t="n"/>
      <c r="L1675" s="19">
        <f>IF($C1675="","",ROUND(IFERROR(VLOOKUP($C1675,账户期初,2,0),0)+SUMIFS($J$4:J1675,$C$4:C1675,$C1675)-SUMIFS($K$4:K1675,$C$4:C1675,$C1675),2))</f>
        <v/>
      </c>
      <c r="M1675" s="19">
        <f>IF($C1675="","",ROUND(SUM(基础资料!$B$4:$B$13)+SUM($J$4:J1675)-SUM($K$4:K1675),2))</f>
        <v/>
      </c>
      <c r="N1675" s="13" t="n"/>
      <c r="O1675" s="13" t="n"/>
      <c r="P1675" s="17">
        <f>IF($B1675="","",IF($F1675="※类别不在基础资料里","※费用类别不在基础资料里",IF(AND(N($J1675)=0,N($K1675)=0),"※这行没填金额",IF(AND(N($J1675)&gt;0,N($K1675)&gt;0),"※收入和支出不能同一行都填",IF(AND($D1675="收入",N($J1675)=0),"※收入行要填收入金额",IF(AND($D1675="支出",N($K1675)=0),"※支出行要填支出金额",IF(AND($C1675&lt;&gt;"",ISNA(MATCH($C1675,账户表,0))),"※账户不在基础资料里",IF(AND($G1675&lt;&gt;"",ISNA(MATCH($G1675,项目名表,0))),"※项目不在项目台账里",IF(AND(LEFT($F1675,3)="成本-",$G1675=""),"※成本类支出没填项目",IF(AND(LEFT($F1675,3)="成本-",$H1675&lt;&gt;"",N($K1675)&gt;0,COUNTIFS(采购单!$B:$B,$B1675,采购单!$C:$C,$H1675,采购单!$L:$L,$K1675)&gt;0),"※这笔可能和采购单重复了",""))))))))))</f>
        <v/>
      </c>
    </row>
    <row r="1676">
      <c r="A1676" s="17">
        <f>IF($B1676="","",ROW()-3)</f>
        <v/>
      </c>
      <c r="B1676" s="18" t="n"/>
      <c r="C1676" s="13" t="n"/>
      <c r="D1676" s="13" t="n"/>
      <c r="E1676" s="13" t="n"/>
      <c r="F1676" s="17">
        <f>IF($E1676="","",IFERROR(VLOOKUP($E1676,类别归属,2,0),"※类别不在基础资料里"))</f>
        <v/>
      </c>
      <c r="G1676" s="13" t="n"/>
      <c r="H1676" s="13" t="n"/>
      <c r="I1676" s="13" t="n"/>
      <c r="J1676" s="14" t="n"/>
      <c r="K1676" s="14" t="n"/>
      <c r="L1676" s="19">
        <f>IF($C1676="","",ROUND(IFERROR(VLOOKUP($C1676,账户期初,2,0),0)+SUMIFS($J$4:J1676,$C$4:C1676,$C1676)-SUMIFS($K$4:K1676,$C$4:C1676,$C1676),2))</f>
        <v/>
      </c>
      <c r="M1676" s="19">
        <f>IF($C1676="","",ROUND(SUM(基础资料!$B$4:$B$13)+SUM($J$4:J1676)-SUM($K$4:K1676),2))</f>
        <v/>
      </c>
      <c r="N1676" s="13" t="n"/>
      <c r="O1676" s="13" t="n"/>
      <c r="P1676" s="17">
        <f>IF($B1676="","",IF($F1676="※类别不在基础资料里","※费用类别不在基础资料里",IF(AND(N($J1676)=0,N($K1676)=0),"※这行没填金额",IF(AND(N($J1676)&gt;0,N($K1676)&gt;0),"※收入和支出不能同一行都填",IF(AND($D1676="收入",N($J1676)=0),"※收入行要填收入金额",IF(AND($D1676="支出",N($K1676)=0),"※支出行要填支出金额",IF(AND($C1676&lt;&gt;"",ISNA(MATCH($C1676,账户表,0))),"※账户不在基础资料里",IF(AND($G1676&lt;&gt;"",ISNA(MATCH($G1676,项目名表,0))),"※项目不在项目台账里",IF(AND(LEFT($F1676,3)="成本-",$G1676=""),"※成本类支出没填项目",IF(AND(LEFT($F1676,3)="成本-",$H1676&lt;&gt;"",N($K1676)&gt;0,COUNTIFS(采购单!$B:$B,$B1676,采购单!$C:$C,$H1676,采购单!$L:$L,$K1676)&gt;0),"※这笔可能和采购单重复了",""))))))))))</f>
        <v/>
      </c>
    </row>
    <row r="1677">
      <c r="A1677" s="17">
        <f>IF($B1677="","",ROW()-3)</f>
        <v/>
      </c>
      <c r="B1677" s="18" t="n"/>
      <c r="C1677" s="13" t="n"/>
      <c r="D1677" s="13" t="n"/>
      <c r="E1677" s="13" t="n"/>
      <c r="F1677" s="17">
        <f>IF($E1677="","",IFERROR(VLOOKUP($E1677,类别归属,2,0),"※类别不在基础资料里"))</f>
        <v/>
      </c>
      <c r="G1677" s="13" t="n"/>
      <c r="H1677" s="13" t="n"/>
      <c r="I1677" s="13" t="n"/>
      <c r="J1677" s="14" t="n"/>
      <c r="K1677" s="14" t="n"/>
      <c r="L1677" s="19">
        <f>IF($C1677="","",ROUND(IFERROR(VLOOKUP($C1677,账户期初,2,0),0)+SUMIFS($J$4:J1677,$C$4:C1677,$C1677)-SUMIFS($K$4:K1677,$C$4:C1677,$C1677),2))</f>
        <v/>
      </c>
      <c r="M1677" s="19">
        <f>IF($C1677="","",ROUND(SUM(基础资料!$B$4:$B$13)+SUM($J$4:J1677)-SUM($K$4:K1677),2))</f>
        <v/>
      </c>
      <c r="N1677" s="13" t="n"/>
      <c r="O1677" s="13" t="n"/>
      <c r="P1677" s="17">
        <f>IF($B1677="","",IF($F1677="※类别不在基础资料里","※费用类别不在基础资料里",IF(AND(N($J1677)=0,N($K1677)=0),"※这行没填金额",IF(AND(N($J1677)&gt;0,N($K1677)&gt;0),"※收入和支出不能同一行都填",IF(AND($D1677="收入",N($J1677)=0),"※收入行要填收入金额",IF(AND($D1677="支出",N($K1677)=0),"※支出行要填支出金额",IF(AND($C1677&lt;&gt;"",ISNA(MATCH($C1677,账户表,0))),"※账户不在基础资料里",IF(AND($G1677&lt;&gt;"",ISNA(MATCH($G1677,项目名表,0))),"※项目不在项目台账里",IF(AND(LEFT($F1677,3)="成本-",$G1677=""),"※成本类支出没填项目",IF(AND(LEFT($F1677,3)="成本-",$H1677&lt;&gt;"",N($K1677)&gt;0,COUNTIFS(采购单!$B:$B,$B1677,采购单!$C:$C,$H1677,采购单!$L:$L,$K1677)&gt;0),"※这笔可能和采购单重复了",""))))))))))</f>
        <v/>
      </c>
    </row>
    <row r="1678">
      <c r="A1678" s="17">
        <f>IF($B1678="","",ROW()-3)</f>
        <v/>
      </c>
      <c r="B1678" s="18" t="n"/>
      <c r="C1678" s="13" t="n"/>
      <c r="D1678" s="13" t="n"/>
      <c r="E1678" s="13" t="n"/>
      <c r="F1678" s="17">
        <f>IF($E1678="","",IFERROR(VLOOKUP($E1678,类别归属,2,0),"※类别不在基础资料里"))</f>
        <v/>
      </c>
      <c r="G1678" s="13" t="n"/>
      <c r="H1678" s="13" t="n"/>
      <c r="I1678" s="13" t="n"/>
      <c r="J1678" s="14" t="n"/>
      <c r="K1678" s="14" t="n"/>
      <c r="L1678" s="19">
        <f>IF($C1678="","",ROUND(IFERROR(VLOOKUP($C1678,账户期初,2,0),0)+SUMIFS($J$4:J1678,$C$4:C1678,$C1678)-SUMIFS($K$4:K1678,$C$4:C1678,$C1678),2))</f>
        <v/>
      </c>
      <c r="M1678" s="19">
        <f>IF($C1678="","",ROUND(SUM(基础资料!$B$4:$B$13)+SUM($J$4:J1678)-SUM($K$4:K1678),2))</f>
        <v/>
      </c>
      <c r="N1678" s="13" t="n"/>
      <c r="O1678" s="13" t="n"/>
      <c r="P1678" s="17">
        <f>IF($B1678="","",IF($F1678="※类别不在基础资料里","※费用类别不在基础资料里",IF(AND(N($J1678)=0,N($K1678)=0),"※这行没填金额",IF(AND(N($J1678)&gt;0,N($K1678)&gt;0),"※收入和支出不能同一行都填",IF(AND($D1678="收入",N($J1678)=0),"※收入行要填收入金额",IF(AND($D1678="支出",N($K1678)=0),"※支出行要填支出金额",IF(AND($C1678&lt;&gt;"",ISNA(MATCH($C1678,账户表,0))),"※账户不在基础资料里",IF(AND($G1678&lt;&gt;"",ISNA(MATCH($G1678,项目名表,0))),"※项目不在项目台账里",IF(AND(LEFT($F1678,3)="成本-",$G1678=""),"※成本类支出没填项目",IF(AND(LEFT($F1678,3)="成本-",$H1678&lt;&gt;"",N($K1678)&gt;0,COUNTIFS(采购单!$B:$B,$B1678,采购单!$C:$C,$H1678,采购单!$L:$L,$K1678)&gt;0),"※这笔可能和采购单重复了",""))))))))))</f>
        <v/>
      </c>
    </row>
    <row r="1679">
      <c r="A1679" s="17">
        <f>IF($B1679="","",ROW()-3)</f>
        <v/>
      </c>
      <c r="B1679" s="18" t="n"/>
      <c r="C1679" s="13" t="n"/>
      <c r="D1679" s="13" t="n"/>
      <c r="E1679" s="13" t="n"/>
      <c r="F1679" s="17">
        <f>IF($E1679="","",IFERROR(VLOOKUP($E1679,类别归属,2,0),"※类别不在基础资料里"))</f>
        <v/>
      </c>
      <c r="G1679" s="13" t="n"/>
      <c r="H1679" s="13" t="n"/>
      <c r="I1679" s="13" t="n"/>
      <c r="J1679" s="14" t="n"/>
      <c r="K1679" s="14" t="n"/>
      <c r="L1679" s="19">
        <f>IF($C1679="","",ROUND(IFERROR(VLOOKUP($C1679,账户期初,2,0),0)+SUMIFS($J$4:J1679,$C$4:C1679,$C1679)-SUMIFS($K$4:K1679,$C$4:C1679,$C1679),2))</f>
        <v/>
      </c>
      <c r="M1679" s="19">
        <f>IF($C1679="","",ROUND(SUM(基础资料!$B$4:$B$13)+SUM($J$4:J1679)-SUM($K$4:K1679),2))</f>
        <v/>
      </c>
      <c r="N1679" s="13" t="n"/>
      <c r="O1679" s="13" t="n"/>
      <c r="P1679" s="17">
        <f>IF($B1679="","",IF($F1679="※类别不在基础资料里","※费用类别不在基础资料里",IF(AND(N($J1679)=0,N($K1679)=0),"※这行没填金额",IF(AND(N($J1679)&gt;0,N($K1679)&gt;0),"※收入和支出不能同一行都填",IF(AND($D1679="收入",N($J1679)=0),"※收入行要填收入金额",IF(AND($D1679="支出",N($K1679)=0),"※支出行要填支出金额",IF(AND($C1679&lt;&gt;"",ISNA(MATCH($C1679,账户表,0))),"※账户不在基础资料里",IF(AND($G1679&lt;&gt;"",ISNA(MATCH($G1679,项目名表,0))),"※项目不在项目台账里",IF(AND(LEFT($F1679,3)="成本-",$G1679=""),"※成本类支出没填项目",IF(AND(LEFT($F1679,3)="成本-",$H1679&lt;&gt;"",N($K1679)&gt;0,COUNTIFS(采购单!$B:$B,$B1679,采购单!$C:$C,$H1679,采购单!$L:$L,$K1679)&gt;0),"※这笔可能和采购单重复了",""))))))))))</f>
        <v/>
      </c>
    </row>
    <row r="1680">
      <c r="A1680" s="17">
        <f>IF($B1680="","",ROW()-3)</f>
        <v/>
      </c>
      <c r="B1680" s="18" t="n"/>
      <c r="C1680" s="13" t="n"/>
      <c r="D1680" s="13" t="n"/>
      <c r="E1680" s="13" t="n"/>
      <c r="F1680" s="17">
        <f>IF($E1680="","",IFERROR(VLOOKUP($E1680,类别归属,2,0),"※类别不在基础资料里"))</f>
        <v/>
      </c>
      <c r="G1680" s="13" t="n"/>
      <c r="H1680" s="13" t="n"/>
      <c r="I1680" s="13" t="n"/>
      <c r="J1680" s="14" t="n"/>
      <c r="K1680" s="14" t="n"/>
      <c r="L1680" s="19">
        <f>IF($C1680="","",ROUND(IFERROR(VLOOKUP($C1680,账户期初,2,0),0)+SUMIFS($J$4:J1680,$C$4:C1680,$C1680)-SUMIFS($K$4:K1680,$C$4:C1680,$C1680),2))</f>
        <v/>
      </c>
      <c r="M1680" s="19">
        <f>IF($C1680="","",ROUND(SUM(基础资料!$B$4:$B$13)+SUM($J$4:J1680)-SUM($K$4:K1680),2))</f>
        <v/>
      </c>
      <c r="N1680" s="13" t="n"/>
      <c r="O1680" s="13" t="n"/>
      <c r="P1680" s="17">
        <f>IF($B1680="","",IF($F1680="※类别不在基础资料里","※费用类别不在基础资料里",IF(AND(N($J1680)=0,N($K1680)=0),"※这行没填金额",IF(AND(N($J1680)&gt;0,N($K1680)&gt;0),"※收入和支出不能同一行都填",IF(AND($D1680="收入",N($J1680)=0),"※收入行要填收入金额",IF(AND($D1680="支出",N($K1680)=0),"※支出行要填支出金额",IF(AND($C1680&lt;&gt;"",ISNA(MATCH($C1680,账户表,0))),"※账户不在基础资料里",IF(AND($G1680&lt;&gt;"",ISNA(MATCH($G1680,项目名表,0))),"※项目不在项目台账里",IF(AND(LEFT($F1680,3)="成本-",$G1680=""),"※成本类支出没填项目",IF(AND(LEFT($F1680,3)="成本-",$H1680&lt;&gt;"",N($K1680)&gt;0,COUNTIFS(采购单!$B:$B,$B1680,采购单!$C:$C,$H1680,采购单!$L:$L,$K1680)&gt;0),"※这笔可能和采购单重复了",""))))))))))</f>
        <v/>
      </c>
    </row>
    <row r="1681">
      <c r="A1681" s="17">
        <f>IF($B1681="","",ROW()-3)</f>
        <v/>
      </c>
      <c r="B1681" s="18" t="n"/>
      <c r="C1681" s="13" t="n"/>
      <c r="D1681" s="13" t="n"/>
      <c r="E1681" s="13" t="n"/>
      <c r="F1681" s="17">
        <f>IF($E1681="","",IFERROR(VLOOKUP($E1681,类别归属,2,0),"※类别不在基础资料里"))</f>
        <v/>
      </c>
      <c r="G1681" s="13" t="n"/>
      <c r="H1681" s="13" t="n"/>
      <c r="I1681" s="13" t="n"/>
      <c r="J1681" s="14" t="n"/>
      <c r="K1681" s="14" t="n"/>
      <c r="L1681" s="19">
        <f>IF($C1681="","",ROUND(IFERROR(VLOOKUP($C1681,账户期初,2,0),0)+SUMIFS($J$4:J1681,$C$4:C1681,$C1681)-SUMIFS($K$4:K1681,$C$4:C1681,$C1681),2))</f>
        <v/>
      </c>
      <c r="M1681" s="19">
        <f>IF($C1681="","",ROUND(SUM(基础资料!$B$4:$B$13)+SUM($J$4:J1681)-SUM($K$4:K1681),2))</f>
        <v/>
      </c>
      <c r="N1681" s="13" t="n"/>
      <c r="O1681" s="13" t="n"/>
      <c r="P1681" s="17">
        <f>IF($B1681="","",IF($F1681="※类别不在基础资料里","※费用类别不在基础资料里",IF(AND(N($J1681)=0,N($K1681)=0),"※这行没填金额",IF(AND(N($J1681)&gt;0,N($K1681)&gt;0),"※收入和支出不能同一行都填",IF(AND($D1681="收入",N($J1681)=0),"※收入行要填收入金额",IF(AND($D1681="支出",N($K1681)=0),"※支出行要填支出金额",IF(AND($C1681&lt;&gt;"",ISNA(MATCH($C1681,账户表,0))),"※账户不在基础资料里",IF(AND($G1681&lt;&gt;"",ISNA(MATCH($G1681,项目名表,0))),"※项目不在项目台账里",IF(AND(LEFT($F1681,3)="成本-",$G1681=""),"※成本类支出没填项目",IF(AND(LEFT($F1681,3)="成本-",$H1681&lt;&gt;"",N($K1681)&gt;0,COUNTIFS(采购单!$B:$B,$B1681,采购单!$C:$C,$H1681,采购单!$L:$L,$K1681)&gt;0),"※这笔可能和采购单重复了",""))))))))))</f>
        <v/>
      </c>
    </row>
    <row r="1682">
      <c r="A1682" s="17">
        <f>IF($B1682="","",ROW()-3)</f>
        <v/>
      </c>
      <c r="B1682" s="18" t="n"/>
      <c r="C1682" s="13" t="n"/>
      <c r="D1682" s="13" t="n"/>
      <c r="E1682" s="13" t="n"/>
      <c r="F1682" s="17">
        <f>IF($E1682="","",IFERROR(VLOOKUP($E1682,类别归属,2,0),"※类别不在基础资料里"))</f>
        <v/>
      </c>
      <c r="G1682" s="13" t="n"/>
      <c r="H1682" s="13" t="n"/>
      <c r="I1682" s="13" t="n"/>
      <c r="J1682" s="14" t="n"/>
      <c r="K1682" s="14" t="n"/>
      <c r="L1682" s="19">
        <f>IF($C1682="","",ROUND(IFERROR(VLOOKUP($C1682,账户期初,2,0),0)+SUMIFS($J$4:J1682,$C$4:C1682,$C1682)-SUMIFS($K$4:K1682,$C$4:C1682,$C1682),2))</f>
        <v/>
      </c>
      <c r="M1682" s="19">
        <f>IF($C1682="","",ROUND(SUM(基础资料!$B$4:$B$13)+SUM($J$4:J1682)-SUM($K$4:K1682),2))</f>
        <v/>
      </c>
      <c r="N1682" s="13" t="n"/>
      <c r="O1682" s="13" t="n"/>
      <c r="P1682" s="17">
        <f>IF($B1682="","",IF($F1682="※类别不在基础资料里","※费用类别不在基础资料里",IF(AND(N($J1682)=0,N($K1682)=0),"※这行没填金额",IF(AND(N($J1682)&gt;0,N($K1682)&gt;0),"※收入和支出不能同一行都填",IF(AND($D1682="收入",N($J1682)=0),"※收入行要填收入金额",IF(AND($D1682="支出",N($K1682)=0),"※支出行要填支出金额",IF(AND($C1682&lt;&gt;"",ISNA(MATCH($C1682,账户表,0))),"※账户不在基础资料里",IF(AND($G1682&lt;&gt;"",ISNA(MATCH($G1682,项目名表,0))),"※项目不在项目台账里",IF(AND(LEFT($F1682,3)="成本-",$G1682=""),"※成本类支出没填项目",IF(AND(LEFT($F1682,3)="成本-",$H1682&lt;&gt;"",N($K1682)&gt;0,COUNTIFS(采购单!$B:$B,$B1682,采购单!$C:$C,$H1682,采购单!$L:$L,$K1682)&gt;0),"※这笔可能和采购单重复了",""))))))))))</f>
        <v/>
      </c>
    </row>
    <row r="1683">
      <c r="A1683" s="17">
        <f>IF($B1683="","",ROW()-3)</f>
        <v/>
      </c>
      <c r="B1683" s="18" t="n"/>
      <c r="C1683" s="13" t="n"/>
      <c r="D1683" s="13" t="n"/>
      <c r="E1683" s="13" t="n"/>
      <c r="F1683" s="17">
        <f>IF($E1683="","",IFERROR(VLOOKUP($E1683,类别归属,2,0),"※类别不在基础资料里"))</f>
        <v/>
      </c>
      <c r="G1683" s="13" t="n"/>
      <c r="H1683" s="13" t="n"/>
      <c r="I1683" s="13" t="n"/>
      <c r="J1683" s="14" t="n"/>
      <c r="K1683" s="14" t="n"/>
      <c r="L1683" s="19">
        <f>IF($C1683="","",ROUND(IFERROR(VLOOKUP($C1683,账户期初,2,0),0)+SUMIFS($J$4:J1683,$C$4:C1683,$C1683)-SUMIFS($K$4:K1683,$C$4:C1683,$C1683),2))</f>
        <v/>
      </c>
      <c r="M1683" s="19">
        <f>IF($C1683="","",ROUND(SUM(基础资料!$B$4:$B$13)+SUM($J$4:J1683)-SUM($K$4:K1683),2))</f>
        <v/>
      </c>
      <c r="N1683" s="13" t="n"/>
      <c r="O1683" s="13" t="n"/>
      <c r="P1683" s="17">
        <f>IF($B1683="","",IF($F1683="※类别不在基础资料里","※费用类别不在基础资料里",IF(AND(N($J1683)=0,N($K1683)=0),"※这行没填金额",IF(AND(N($J1683)&gt;0,N($K1683)&gt;0),"※收入和支出不能同一行都填",IF(AND($D1683="收入",N($J1683)=0),"※收入行要填收入金额",IF(AND($D1683="支出",N($K1683)=0),"※支出行要填支出金额",IF(AND($C1683&lt;&gt;"",ISNA(MATCH($C1683,账户表,0))),"※账户不在基础资料里",IF(AND($G1683&lt;&gt;"",ISNA(MATCH($G1683,项目名表,0))),"※项目不在项目台账里",IF(AND(LEFT($F1683,3)="成本-",$G1683=""),"※成本类支出没填项目",IF(AND(LEFT($F1683,3)="成本-",$H1683&lt;&gt;"",N($K1683)&gt;0,COUNTIFS(采购单!$B:$B,$B1683,采购单!$C:$C,$H1683,采购单!$L:$L,$K1683)&gt;0),"※这笔可能和采购单重复了",""))))))))))</f>
        <v/>
      </c>
    </row>
    <row r="1684">
      <c r="A1684" s="17">
        <f>IF($B1684="","",ROW()-3)</f>
        <v/>
      </c>
      <c r="B1684" s="18" t="n"/>
      <c r="C1684" s="13" t="n"/>
      <c r="D1684" s="13" t="n"/>
      <c r="E1684" s="13" t="n"/>
      <c r="F1684" s="17">
        <f>IF($E1684="","",IFERROR(VLOOKUP($E1684,类别归属,2,0),"※类别不在基础资料里"))</f>
        <v/>
      </c>
      <c r="G1684" s="13" t="n"/>
      <c r="H1684" s="13" t="n"/>
      <c r="I1684" s="13" t="n"/>
      <c r="J1684" s="14" t="n"/>
      <c r="K1684" s="14" t="n"/>
      <c r="L1684" s="19">
        <f>IF($C1684="","",ROUND(IFERROR(VLOOKUP($C1684,账户期初,2,0),0)+SUMIFS($J$4:J1684,$C$4:C1684,$C1684)-SUMIFS($K$4:K1684,$C$4:C1684,$C1684),2))</f>
        <v/>
      </c>
      <c r="M1684" s="19">
        <f>IF($C1684="","",ROUND(SUM(基础资料!$B$4:$B$13)+SUM($J$4:J1684)-SUM($K$4:K1684),2))</f>
        <v/>
      </c>
      <c r="N1684" s="13" t="n"/>
      <c r="O1684" s="13" t="n"/>
      <c r="P1684" s="17">
        <f>IF($B1684="","",IF($F1684="※类别不在基础资料里","※费用类别不在基础资料里",IF(AND(N($J1684)=0,N($K1684)=0),"※这行没填金额",IF(AND(N($J1684)&gt;0,N($K1684)&gt;0),"※收入和支出不能同一行都填",IF(AND($D1684="收入",N($J1684)=0),"※收入行要填收入金额",IF(AND($D1684="支出",N($K1684)=0),"※支出行要填支出金额",IF(AND($C1684&lt;&gt;"",ISNA(MATCH($C1684,账户表,0))),"※账户不在基础资料里",IF(AND($G1684&lt;&gt;"",ISNA(MATCH($G1684,项目名表,0))),"※项目不在项目台账里",IF(AND(LEFT($F1684,3)="成本-",$G1684=""),"※成本类支出没填项目",IF(AND(LEFT($F1684,3)="成本-",$H1684&lt;&gt;"",N($K1684)&gt;0,COUNTIFS(采购单!$B:$B,$B1684,采购单!$C:$C,$H1684,采购单!$L:$L,$K1684)&gt;0),"※这笔可能和采购单重复了",""))))))))))</f>
        <v/>
      </c>
    </row>
    <row r="1685">
      <c r="A1685" s="17">
        <f>IF($B1685="","",ROW()-3)</f>
        <v/>
      </c>
      <c r="B1685" s="18" t="n"/>
      <c r="C1685" s="13" t="n"/>
      <c r="D1685" s="13" t="n"/>
      <c r="E1685" s="13" t="n"/>
      <c r="F1685" s="17">
        <f>IF($E1685="","",IFERROR(VLOOKUP($E1685,类别归属,2,0),"※类别不在基础资料里"))</f>
        <v/>
      </c>
      <c r="G1685" s="13" t="n"/>
      <c r="H1685" s="13" t="n"/>
      <c r="I1685" s="13" t="n"/>
      <c r="J1685" s="14" t="n"/>
      <c r="K1685" s="14" t="n"/>
      <c r="L1685" s="19">
        <f>IF($C1685="","",ROUND(IFERROR(VLOOKUP($C1685,账户期初,2,0),0)+SUMIFS($J$4:J1685,$C$4:C1685,$C1685)-SUMIFS($K$4:K1685,$C$4:C1685,$C1685),2))</f>
        <v/>
      </c>
      <c r="M1685" s="19">
        <f>IF($C1685="","",ROUND(SUM(基础资料!$B$4:$B$13)+SUM($J$4:J1685)-SUM($K$4:K1685),2))</f>
        <v/>
      </c>
      <c r="N1685" s="13" t="n"/>
      <c r="O1685" s="13" t="n"/>
      <c r="P1685" s="17">
        <f>IF($B1685="","",IF($F1685="※类别不在基础资料里","※费用类别不在基础资料里",IF(AND(N($J1685)=0,N($K1685)=0),"※这行没填金额",IF(AND(N($J1685)&gt;0,N($K1685)&gt;0),"※收入和支出不能同一行都填",IF(AND($D1685="收入",N($J1685)=0),"※收入行要填收入金额",IF(AND($D1685="支出",N($K1685)=0),"※支出行要填支出金额",IF(AND($C1685&lt;&gt;"",ISNA(MATCH($C1685,账户表,0))),"※账户不在基础资料里",IF(AND($G1685&lt;&gt;"",ISNA(MATCH($G1685,项目名表,0))),"※项目不在项目台账里",IF(AND(LEFT($F1685,3)="成本-",$G1685=""),"※成本类支出没填项目",IF(AND(LEFT($F1685,3)="成本-",$H1685&lt;&gt;"",N($K1685)&gt;0,COUNTIFS(采购单!$B:$B,$B1685,采购单!$C:$C,$H1685,采购单!$L:$L,$K1685)&gt;0),"※这笔可能和采购单重复了",""))))))))))</f>
        <v/>
      </c>
    </row>
    <row r="1686">
      <c r="A1686" s="17">
        <f>IF($B1686="","",ROW()-3)</f>
        <v/>
      </c>
      <c r="B1686" s="18" t="n"/>
      <c r="C1686" s="13" t="n"/>
      <c r="D1686" s="13" t="n"/>
      <c r="E1686" s="13" t="n"/>
      <c r="F1686" s="17">
        <f>IF($E1686="","",IFERROR(VLOOKUP($E1686,类别归属,2,0),"※类别不在基础资料里"))</f>
        <v/>
      </c>
      <c r="G1686" s="13" t="n"/>
      <c r="H1686" s="13" t="n"/>
      <c r="I1686" s="13" t="n"/>
      <c r="J1686" s="14" t="n"/>
      <c r="K1686" s="14" t="n"/>
      <c r="L1686" s="19">
        <f>IF($C1686="","",ROUND(IFERROR(VLOOKUP($C1686,账户期初,2,0),0)+SUMIFS($J$4:J1686,$C$4:C1686,$C1686)-SUMIFS($K$4:K1686,$C$4:C1686,$C1686),2))</f>
        <v/>
      </c>
      <c r="M1686" s="19">
        <f>IF($C1686="","",ROUND(SUM(基础资料!$B$4:$B$13)+SUM($J$4:J1686)-SUM($K$4:K1686),2))</f>
        <v/>
      </c>
      <c r="N1686" s="13" t="n"/>
      <c r="O1686" s="13" t="n"/>
      <c r="P1686" s="17">
        <f>IF($B1686="","",IF($F1686="※类别不在基础资料里","※费用类别不在基础资料里",IF(AND(N($J1686)=0,N($K1686)=0),"※这行没填金额",IF(AND(N($J1686)&gt;0,N($K1686)&gt;0),"※收入和支出不能同一行都填",IF(AND($D1686="收入",N($J1686)=0),"※收入行要填收入金额",IF(AND($D1686="支出",N($K1686)=0),"※支出行要填支出金额",IF(AND($C1686&lt;&gt;"",ISNA(MATCH($C1686,账户表,0))),"※账户不在基础资料里",IF(AND($G1686&lt;&gt;"",ISNA(MATCH($G1686,项目名表,0))),"※项目不在项目台账里",IF(AND(LEFT($F1686,3)="成本-",$G1686=""),"※成本类支出没填项目",IF(AND(LEFT($F1686,3)="成本-",$H1686&lt;&gt;"",N($K1686)&gt;0,COUNTIFS(采购单!$B:$B,$B1686,采购单!$C:$C,$H1686,采购单!$L:$L,$K1686)&gt;0),"※这笔可能和采购单重复了",""))))))))))</f>
        <v/>
      </c>
    </row>
    <row r="1687">
      <c r="A1687" s="17">
        <f>IF($B1687="","",ROW()-3)</f>
        <v/>
      </c>
      <c r="B1687" s="18" t="n"/>
      <c r="C1687" s="13" t="n"/>
      <c r="D1687" s="13" t="n"/>
      <c r="E1687" s="13" t="n"/>
      <c r="F1687" s="17">
        <f>IF($E1687="","",IFERROR(VLOOKUP($E1687,类别归属,2,0),"※类别不在基础资料里"))</f>
        <v/>
      </c>
      <c r="G1687" s="13" t="n"/>
      <c r="H1687" s="13" t="n"/>
      <c r="I1687" s="13" t="n"/>
      <c r="J1687" s="14" t="n"/>
      <c r="K1687" s="14" t="n"/>
      <c r="L1687" s="19">
        <f>IF($C1687="","",ROUND(IFERROR(VLOOKUP($C1687,账户期初,2,0),0)+SUMIFS($J$4:J1687,$C$4:C1687,$C1687)-SUMIFS($K$4:K1687,$C$4:C1687,$C1687),2))</f>
        <v/>
      </c>
      <c r="M1687" s="19">
        <f>IF($C1687="","",ROUND(SUM(基础资料!$B$4:$B$13)+SUM($J$4:J1687)-SUM($K$4:K1687),2))</f>
        <v/>
      </c>
      <c r="N1687" s="13" t="n"/>
      <c r="O1687" s="13" t="n"/>
      <c r="P1687" s="17">
        <f>IF($B1687="","",IF($F1687="※类别不在基础资料里","※费用类别不在基础资料里",IF(AND(N($J1687)=0,N($K1687)=0),"※这行没填金额",IF(AND(N($J1687)&gt;0,N($K1687)&gt;0),"※收入和支出不能同一行都填",IF(AND($D1687="收入",N($J1687)=0),"※收入行要填收入金额",IF(AND($D1687="支出",N($K1687)=0),"※支出行要填支出金额",IF(AND($C1687&lt;&gt;"",ISNA(MATCH($C1687,账户表,0))),"※账户不在基础资料里",IF(AND($G1687&lt;&gt;"",ISNA(MATCH($G1687,项目名表,0))),"※项目不在项目台账里",IF(AND(LEFT($F1687,3)="成本-",$G1687=""),"※成本类支出没填项目",IF(AND(LEFT($F1687,3)="成本-",$H1687&lt;&gt;"",N($K1687)&gt;0,COUNTIFS(采购单!$B:$B,$B1687,采购单!$C:$C,$H1687,采购单!$L:$L,$K1687)&gt;0),"※这笔可能和采购单重复了",""))))))))))</f>
        <v/>
      </c>
    </row>
    <row r="1688">
      <c r="A1688" s="17">
        <f>IF($B1688="","",ROW()-3)</f>
        <v/>
      </c>
      <c r="B1688" s="18" t="n"/>
      <c r="C1688" s="13" t="n"/>
      <c r="D1688" s="13" t="n"/>
      <c r="E1688" s="13" t="n"/>
      <c r="F1688" s="17">
        <f>IF($E1688="","",IFERROR(VLOOKUP($E1688,类别归属,2,0),"※类别不在基础资料里"))</f>
        <v/>
      </c>
      <c r="G1688" s="13" t="n"/>
      <c r="H1688" s="13" t="n"/>
      <c r="I1688" s="13" t="n"/>
      <c r="J1688" s="14" t="n"/>
      <c r="K1688" s="14" t="n"/>
      <c r="L1688" s="19">
        <f>IF($C1688="","",ROUND(IFERROR(VLOOKUP($C1688,账户期初,2,0),0)+SUMIFS($J$4:J1688,$C$4:C1688,$C1688)-SUMIFS($K$4:K1688,$C$4:C1688,$C1688),2))</f>
        <v/>
      </c>
      <c r="M1688" s="19">
        <f>IF($C1688="","",ROUND(SUM(基础资料!$B$4:$B$13)+SUM($J$4:J1688)-SUM($K$4:K1688),2))</f>
        <v/>
      </c>
      <c r="N1688" s="13" t="n"/>
      <c r="O1688" s="13" t="n"/>
      <c r="P1688" s="17">
        <f>IF($B1688="","",IF($F1688="※类别不在基础资料里","※费用类别不在基础资料里",IF(AND(N($J1688)=0,N($K1688)=0),"※这行没填金额",IF(AND(N($J1688)&gt;0,N($K1688)&gt;0),"※收入和支出不能同一行都填",IF(AND($D1688="收入",N($J1688)=0),"※收入行要填收入金额",IF(AND($D1688="支出",N($K1688)=0),"※支出行要填支出金额",IF(AND($C1688&lt;&gt;"",ISNA(MATCH($C1688,账户表,0))),"※账户不在基础资料里",IF(AND($G1688&lt;&gt;"",ISNA(MATCH($G1688,项目名表,0))),"※项目不在项目台账里",IF(AND(LEFT($F1688,3)="成本-",$G1688=""),"※成本类支出没填项目",IF(AND(LEFT($F1688,3)="成本-",$H1688&lt;&gt;"",N($K1688)&gt;0,COUNTIFS(采购单!$B:$B,$B1688,采购单!$C:$C,$H1688,采购单!$L:$L,$K1688)&gt;0),"※这笔可能和采购单重复了",""))))))))))</f>
        <v/>
      </c>
    </row>
    <row r="1689">
      <c r="A1689" s="17">
        <f>IF($B1689="","",ROW()-3)</f>
        <v/>
      </c>
      <c r="B1689" s="18" t="n"/>
      <c r="C1689" s="13" t="n"/>
      <c r="D1689" s="13" t="n"/>
      <c r="E1689" s="13" t="n"/>
      <c r="F1689" s="17">
        <f>IF($E1689="","",IFERROR(VLOOKUP($E1689,类别归属,2,0),"※类别不在基础资料里"))</f>
        <v/>
      </c>
      <c r="G1689" s="13" t="n"/>
      <c r="H1689" s="13" t="n"/>
      <c r="I1689" s="13" t="n"/>
      <c r="J1689" s="14" t="n"/>
      <c r="K1689" s="14" t="n"/>
      <c r="L1689" s="19">
        <f>IF($C1689="","",ROUND(IFERROR(VLOOKUP($C1689,账户期初,2,0),0)+SUMIFS($J$4:J1689,$C$4:C1689,$C1689)-SUMIFS($K$4:K1689,$C$4:C1689,$C1689),2))</f>
        <v/>
      </c>
      <c r="M1689" s="19">
        <f>IF($C1689="","",ROUND(SUM(基础资料!$B$4:$B$13)+SUM($J$4:J1689)-SUM($K$4:K1689),2))</f>
        <v/>
      </c>
      <c r="N1689" s="13" t="n"/>
      <c r="O1689" s="13" t="n"/>
      <c r="P1689" s="17">
        <f>IF($B1689="","",IF($F1689="※类别不在基础资料里","※费用类别不在基础资料里",IF(AND(N($J1689)=0,N($K1689)=0),"※这行没填金额",IF(AND(N($J1689)&gt;0,N($K1689)&gt;0),"※收入和支出不能同一行都填",IF(AND($D1689="收入",N($J1689)=0),"※收入行要填收入金额",IF(AND($D1689="支出",N($K1689)=0),"※支出行要填支出金额",IF(AND($C1689&lt;&gt;"",ISNA(MATCH($C1689,账户表,0))),"※账户不在基础资料里",IF(AND($G1689&lt;&gt;"",ISNA(MATCH($G1689,项目名表,0))),"※项目不在项目台账里",IF(AND(LEFT($F1689,3)="成本-",$G1689=""),"※成本类支出没填项目",IF(AND(LEFT($F1689,3)="成本-",$H1689&lt;&gt;"",N($K1689)&gt;0,COUNTIFS(采购单!$B:$B,$B1689,采购单!$C:$C,$H1689,采购单!$L:$L,$K1689)&gt;0),"※这笔可能和采购单重复了",""))))))))))</f>
        <v/>
      </c>
    </row>
    <row r="1690">
      <c r="A1690" s="17">
        <f>IF($B1690="","",ROW()-3)</f>
        <v/>
      </c>
      <c r="B1690" s="18" t="n"/>
      <c r="C1690" s="13" t="n"/>
      <c r="D1690" s="13" t="n"/>
      <c r="E1690" s="13" t="n"/>
      <c r="F1690" s="17">
        <f>IF($E1690="","",IFERROR(VLOOKUP($E1690,类别归属,2,0),"※类别不在基础资料里"))</f>
        <v/>
      </c>
      <c r="G1690" s="13" t="n"/>
      <c r="H1690" s="13" t="n"/>
      <c r="I1690" s="13" t="n"/>
      <c r="J1690" s="14" t="n"/>
      <c r="K1690" s="14" t="n"/>
      <c r="L1690" s="19">
        <f>IF($C1690="","",ROUND(IFERROR(VLOOKUP($C1690,账户期初,2,0),0)+SUMIFS($J$4:J1690,$C$4:C1690,$C1690)-SUMIFS($K$4:K1690,$C$4:C1690,$C1690),2))</f>
        <v/>
      </c>
      <c r="M1690" s="19">
        <f>IF($C1690="","",ROUND(SUM(基础资料!$B$4:$B$13)+SUM($J$4:J1690)-SUM($K$4:K1690),2))</f>
        <v/>
      </c>
      <c r="N1690" s="13" t="n"/>
      <c r="O1690" s="13" t="n"/>
      <c r="P1690" s="17">
        <f>IF($B1690="","",IF($F1690="※类别不在基础资料里","※费用类别不在基础资料里",IF(AND(N($J1690)=0,N($K1690)=0),"※这行没填金额",IF(AND(N($J1690)&gt;0,N($K1690)&gt;0),"※收入和支出不能同一行都填",IF(AND($D1690="收入",N($J1690)=0),"※收入行要填收入金额",IF(AND($D1690="支出",N($K1690)=0),"※支出行要填支出金额",IF(AND($C1690&lt;&gt;"",ISNA(MATCH($C1690,账户表,0))),"※账户不在基础资料里",IF(AND($G1690&lt;&gt;"",ISNA(MATCH($G1690,项目名表,0))),"※项目不在项目台账里",IF(AND(LEFT($F1690,3)="成本-",$G1690=""),"※成本类支出没填项目",IF(AND(LEFT($F1690,3)="成本-",$H1690&lt;&gt;"",N($K1690)&gt;0,COUNTIFS(采购单!$B:$B,$B1690,采购单!$C:$C,$H1690,采购单!$L:$L,$K1690)&gt;0),"※这笔可能和采购单重复了",""))))))))))</f>
        <v/>
      </c>
    </row>
    <row r="1691">
      <c r="A1691" s="17">
        <f>IF($B1691="","",ROW()-3)</f>
        <v/>
      </c>
      <c r="B1691" s="18" t="n"/>
      <c r="C1691" s="13" t="n"/>
      <c r="D1691" s="13" t="n"/>
      <c r="E1691" s="13" t="n"/>
      <c r="F1691" s="17">
        <f>IF($E1691="","",IFERROR(VLOOKUP($E1691,类别归属,2,0),"※类别不在基础资料里"))</f>
        <v/>
      </c>
      <c r="G1691" s="13" t="n"/>
      <c r="H1691" s="13" t="n"/>
      <c r="I1691" s="13" t="n"/>
      <c r="J1691" s="14" t="n"/>
      <c r="K1691" s="14" t="n"/>
      <c r="L1691" s="19">
        <f>IF($C1691="","",ROUND(IFERROR(VLOOKUP($C1691,账户期初,2,0),0)+SUMIFS($J$4:J1691,$C$4:C1691,$C1691)-SUMIFS($K$4:K1691,$C$4:C1691,$C1691),2))</f>
        <v/>
      </c>
      <c r="M1691" s="19">
        <f>IF($C1691="","",ROUND(SUM(基础资料!$B$4:$B$13)+SUM($J$4:J1691)-SUM($K$4:K1691),2))</f>
        <v/>
      </c>
      <c r="N1691" s="13" t="n"/>
      <c r="O1691" s="13" t="n"/>
      <c r="P1691" s="17">
        <f>IF($B1691="","",IF($F1691="※类别不在基础资料里","※费用类别不在基础资料里",IF(AND(N($J1691)=0,N($K1691)=0),"※这行没填金额",IF(AND(N($J1691)&gt;0,N($K1691)&gt;0),"※收入和支出不能同一行都填",IF(AND($D1691="收入",N($J1691)=0),"※收入行要填收入金额",IF(AND($D1691="支出",N($K1691)=0),"※支出行要填支出金额",IF(AND($C1691&lt;&gt;"",ISNA(MATCH($C1691,账户表,0))),"※账户不在基础资料里",IF(AND($G1691&lt;&gt;"",ISNA(MATCH($G1691,项目名表,0))),"※项目不在项目台账里",IF(AND(LEFT($F1691,3)="成本-",$G1691=""),"※成本类支出没填项目",IF(AND(LEFT($F1691,3)="成本-",$H1691&lt;&gt;"",N($K1691)&gt;0,COUNTIFS(采购单!$B:$B,$B1691,采购单!$C:$C,$H1691,采购单!$L:$L,$K1691)&gt;0),"※这笔可能和采购单重复了",""))))))))))</f>
        <v/>
      </c>
    </row>
    <row r="1692">
      <c r="A1692" s="17">
        <f>IF($B1692="","",ROW()-3)</f>
        <v/>
      </c>
      <c r="B1692" s="18" t="n"/>
      <c r="C1692" s="13" t="n"/>
      <c r="D1692" s="13" t="n"/>
      <c r="E1692" s="13" t="n"/>
      <c r="F1692" s="17">
        <f>IF($E1692="","",IFERROR(VLOOKUP($E1692,类别归属,2,0),"※类别不在基础资料里"))</f>
        <v/>
      </c>
      <c r="G1692" s="13" t="n"/>
      <c r="H1692" s="13" t="n"/>
      <c r="I1692" s="13" t="n"/>
      <c r="J1692" s="14" t="n"/>
      <c r="K1692" s="14" t="n"/>
      <c r="L1692" s="19">
        <f>IF($C1692="","",ROUND(IFERROR(VLOOKUP($C1692,账户期初,2,0),0)+SUMIFS($J$4:J1692,$C$4:C1692,$C1692)-SUMIFS($K$4:K1692,$C$4:C1692,$C1692),2))</f>
        <v/>
      </c>
      <c r="M1692" s="19">
        <f>IF($C1692="","",ROUND(SUM(基础资料!$B$4:$B$13)+SUM($J$4:J1692)-SUM($K$4:K1692),2))</f>
        <v/>
      </c>
      <c r="N1692" s="13" t="n"/>
      <c r="O1692" s="13" t="n"/>
      <c r="P1692" s="17">
        <f>IF($B1692="","",IF($F1692="※类别不在基础资料里","※费用类别不在基础资料里",IF(AND(N($J1692)=0,N($K1692)=0),"※这行没填金额",IF(AND(N($J1692)&gt;0,N($K1692)&gt;0),"※收入和支出不能同一行都填",IF(AND($D1692="收入",N($J1692)=0),"※收入行要填收入金额",IF(AND($D1692="支出",N($K1692)=0),"※支出行要填支出金额",IF(AND($C1692&lt;&gt;"",ISNA(MATCH($C1692,账户表,0))),"※账户不在基础资料里",IF(AND($G1692&lt;&gt;"",ISNA(MATCH($G1692,项目名表,0))),"※项目不在项目台账里",IF(AND(LEFT($F1692,3)="成本-",$G1692=""),"※成本类支出没填项目",IF(AND(LEFT($F1692,3)="成本-",$H1692&lt;&gt;"",N($K1692)&gt;0,COUNTIFS(采购单!$B:$B,$B1692,采购单!$C:$C,$H1692,采购单!$L:$L,$K1692)&gt;0),"※这笔可能和采购单重复了",""))))))))))</f>
        <v/>
      </c>
    </row>
    <row r="1693">
      <c r="A1693" s="17">
        <f>IF($B1693="","",ROW()-3)</f>
        <v/>
      </c>
      <c r="B1693" s="18" t="n"/>
      <c r="C1693" s="13" t="n"/>
      <c r="D1693" s="13" t="n"/>
      <c r="E1693" s="13" t="n"/>
      <c r="F1693" s="17">
        <f>IF($E1693="","",IFERROR(VLOOKUP($E1693,类别归属,2,0),"※类别不在基础资料里"))</f>
        <v/>
      </c>
      <c r="G1693" s="13" t="n"/>
      <c r="H1693" s="13" t="n"/>
      <c r="I1693" s="13" t="n"/>
      <c r="J1693" s="14" t="n"/>
      <c r="K1693" s="14" t="n"/>
      <c r="L1693" s="19">
        <f>IF($C1693="","",ROUND(IFERROR(VLOOKUP($C1693,账户期初,2,0),0)+SUMIFS($J$4:J1693,$C$4:C1693,$C1693)-SUMIFS($K$4:K1693,$C$4:C1693,$C1693),2))</f>
        <v/>
      </c>
      <c r="M1693" s="19">
        <f>IF($C1693="","",ROUND(SUM(基础资料!$B$4:$B$13)+SUM($J$4:J1693)-SUM($K$4:K1693),2))</f>
        <v/>
      </c>
      <c r="N1693" s="13" t="n"/>
      <c r="O1693" s="13" t="n"/>
      <c r="P1693" s="17">
        <f>IF($B1693="","",IF($F1693="※类别不在基础资料里","※费用类别不在基础资料里",IF(AND(N($J1693)=0,N($K1693)=0),"※这行没填金额",IF(AND(N($J1693)&gt;0,N($K1693)&gt;0),"※收入和支出不能同一行都填",IF(AND($D1693="收入",N($J1693)=0),"※收入行要填收入金额",IF(AND($D1693="支出",N($K1693)=0),"※支出行要填支出金额",IF(AND($C1693&lt;&gt;"",ISNA(MATCH($C1693,账户表,0))),"※账户不在基础资料里",IF(AND($G1693&lt;&gt;"",ISNA(MATCH($G1693,项目名表,0))),"※项目不在项目台账里",IF(AND(LEFT($F1693,3)="成本-",$G1693=""),"※成本类支出没填项目",IF(AND(LEFT($F1693,3)="成本-",$H1693&lt;&gt;"",N($K1693)&gt;0,COUNTIFS(采购单!$B:$B,$B1693,采购单!$C:$C,$H1693,采购单!$L:$L,$K1693)&gt;0),"※这笔可能和采购单重复了",""))))))))))</f>
        <v/>
      </c>
    </row>
    <row r="1694">
      <c r="A1694" s="17">
        <f>IF($B1694="","",ROW()-3)</f>
        <v/>
      </c>
      <c r="B1694" s="18" t="n"/>
      <c r="C1694" s="13" t="n"/>
      <c r="D1694" s="13" t="n"/>
      <c r="E1694" s="13" t="n"/>
      <c r="F1694" s="17">
        <f>IF($E1694="","",IFERROR(VLOOKUP($E1694,类别归属,2,0),"※类别不在基础资料里"))</f>
        <v/>
      </c>
      <c r="G1694" s="13" t="n"/>
      <c r="H1694" s="13" t="n"/>
      <c r="I1694" s="13" t="n"/>
      <c r="J1694" s="14" t="n"/>
      <c r="K1694" s="14" t="n"/>
      <c r="L1694" s="19">
        <f>IF($C1694="","",ROUND(IFERROR(VLOOKUP($C1694,账户期初,2,0),0)+SUMIFS($J$4:J1694,$C$4:C1694,$C1694)-SUMIFS($K$4:K1694,$C$4:C1694,$C1694),2))</f>
        <v/>
      </c>
      <c r="M1694" s="19">
        <f>IF($C1694="","",ROUND(SUM(基础资料!$B$4:$B$13)+SUM($J$4:J1694)-SUM($K$4:K1694),2))</f>
        <v/>
      </c>
      <c r="N1694" s="13" t="n"/>
      <c r="O1694" s="13" t="n"/>
      <c r="P1694" s="17">
        <f>IF($B1694="","",IF($F1694="※类别不在基础资料里","※费用类别不在基础资料里",IF(AND(N($J1694)=0,N($K1694)=0),"※这行没填金额",IF(AND(N($J1694)&gt;0,N($K1694)&gt;0),"※收入和支出不能同一行都填",IF(AND($D1694="收入",N($J1694)=0),"※收入行要填收入金额",IF(AND($D1694="支出",N($K1694)=0),"※支出行要填支出金额",IF(AND($C1694&lt;&gt;"",ISNA(MATCH($C1694,账户表,0))),"※账户不在基础资料里",IF(AND($G1694&lt;&gt;"",ISNA(MATCH($G1694,项目名表,0))),"※项目不在项目台账里",IF(AND(LEFT($F1694,3)="成本-",$G1694=""),"※成本类支出没填项目",IF(AND(LEFT($F1694,3)="成本-",$H1694&lt;&gt;"",N($K1694)&gt;0,COUNTIFS(采购单!$B:$B,$B1694,采购单!$C:$C,$H1694,采购单!$L:$L,$K1694)&gt;0),"※这笔可能和采购单重复了",""))))))))))</f>
        <v/>
      </c>
    </row>
    <row r="1695">
      <c r="A1695" s="17">
        <f>IF($B1695="","",ROW()-3)</f>
        <v/>
      </c>
      <c r="B1695" s="18" t="n"/>
      <c r="C1695" s="13" t="n"/>
      <c r="D1695" s="13" t="n"/>
      <c r="E1695" s="13" t="n"/>
      <c r="F1695" s="17">
        <f>IF($E1695="","",IFERROR(VLOOKUP($E1695,类别归属,2,0),"※类别不在基础资料里"))</f>
        <v/>
      </c>
      <c r="G1695" s="13" t="n"/>
      <c r="H1695" s="13" t="n"/>
      <c r="I1695" s="13" t="n"/>
      <c r="J1695" s="14" t="n"/>
      <c r="K1695" s="14" t="n"/>
      <c r="L1695" s="19">
        <f>IF($C1695="","",ROUND(IFERROR(VLOOKUP($C1695,账户期初,2,0),0)+SUMIFS($J$4:J1695,$C$4:C1695,$C1695)-SUMIFS($K$4:K1695,$C$4:C1695,$C1695),2))</f>
        <v/>
      </c>
      <c r="M1695" s="19">
        <f>IF($C1695="","",ROUND(SUM(基础资料!$B$4:$B$13)+SUM($J$4:J1695)-SUM($K$4:K1695),2))</f>
        <v/>
      </c>
      <c r="N1695" s="13" t="n"/>
      <c r="O1695" s="13" t="n"/>
      <c r="P1695" s="17">
        <f>IF($B1695="","",IF($F1695="※类别不在基础资料里","※费用类别不在基础资料里",IF(AND(N($J1695)=0,N($K1695)=0),"※这行没填金额",IF(AND(N($J1695)&gt;0,N($K1695)&gt;0),"※收入和支出不能同一行都填",IF(AND($D1695="收入",N($J1695)=0),"※收入行要填收入金额",IF(AND($D1695="支出",N($K1695)=0),"※支出行要填支出金额",IF(AND($C1695&lt;&gt;"",ISNA(MATCH($C1695,账户表,0))),"※账户不在基础资料里",IF(AND($G1695&lt;&gt;"",ISNA(MATCH($G1695,项目名表,0))),"※项目不在项目台账里",IF(AND(LEFT($F1695,3)="成本-",$G1695=""),"※成本类支出没填项目",IF(AND(LEFT($F1695,3)="成本-",$H1695&lt;&gt;"",N($K1695)&gt;0,COUNTIFS(采购单!$B:$B,$B1695,采购单!$C:$C,$H1695,采购单!$L:$L,$K1695)&gt;0),"※这笔可能和采购单重复了",""))))))))))</f>
        <v/>
      </c>
    </row>
    <row r="1696">
      <c r="A1696" s="17">
        <f>IF($B1696="","",ROW()-3)</f>
        <v/>
      </c>
      <c r="B1696" s="18" t="n"/>
      <c r="C1696" s="13" t="n"/>
      <c r="D1696" s="13" t="n"/>
      <c r="E1696" s="13" t="n"/>
      <c r="F1696" s="17">
        <f>IF($E1696="","",IFERROR(VLOOKUP($E1696,类别归属,2,0),"※类别不在基础资料里"))</f>
        <v/>
      </c>
      <c r="G1696" s="13" t="n"/>
      <c r="H1696" s="13" t="n"/>
      <c r="I1696" s="13" t="n"/>
      <c r="J1696" s="14" t="n"/>
      <c r="K1696" s="14" t="n"/>
      <c r="L1696" s="19">
        <f>IF($C1696="","",ROUND(IFERROR(VLOOKUP($C1696,账户期初,2,0),0)+SUMIFS($J$4:J1696,$C$4:C1696,$C1696)-SUMIFS($K$4:K1696,$C$4:C1696,$C1696),2))</f>
        <v/>
      </c>
      <c r="M1696" s="19">
        <f>IF($C1696="","",ROUND(SUM(基础资料!$B$4:$B$13)+SUM($J$4:J1696)-SUM($K$4:K1696),2))</f>
        <v/>
      </c>
      <c r="N1696" s="13" t="n"/>
      <c r="O1696" s="13" t="n"/>
      <c r="P1696" s="17">
        <f>IF($B1696="","",IF($F1696="※类别不在基础资料里","※费用类别不在基础资料里",IF(AND(N($J1696)=0,N($K1696)=0),"※这行没填金额",IF(AND(N($J1696)&gt;0,N($K1696)&gt;0),"※收入和支出不能同一行都填",IF(AND($D1696="收入",N($J1696)=0),"※收入行要填收入金额",IF(AND($D1696="支出",N($K1696)=0),"※支出行要填支出金额",IF(AND($C1696&lt;&gt;"",ISNA(MATCH($C1696,账户表,0))),"※账户不在基础资料里",IF(AND($G1696&lt;&gt;"",ISNA(MATCH($G1696,项目名表,0))),"※项目不在项目台账里",IF(AND(LEFT($F1696,3)="成本-",$G1696=""),"※成本类支出没填项目",IF(AND(LEFT($F1696,3)="成本-",$H1696&lt;&gt;"",N($K1696)&gt;0,COUNTIFS(采购单!$B:$B,$B1696,采购单!$C:$C,$H1696,采购单!$L:$L,$K1696)&gt;0),"※这笔可能和采购单重复了",""))))))))))</f>
        <v/>
      </c>
    </row>
    <row r="1697">
      <c r="A1697" s="17">
        <f>IF($B1697="","",ROW()-3)</f>
        <v/>
      </c>
      <c r="B1697" s="18" t="n"/>
      <c r="C1697" s="13" t="n"/>
      <c r="D1697" s="13" t="n"/>
      <c r="E1697" s="13" t="n"/>
      <c r="F1697" s="17">
        <f>IF($E1697="","",IFERROR(VLOOKUP($E1697,类别归属,2,0),"※类别不在基础资料里"))</f>
        <v/>
      </c>
      <c r="G1697" s="13" t="n"/>
      <c r="H1697" s="13" t="n"/>
      <c r="I1697" s="13" t="n"/>
      <c r="J1697" s="14" t="n"/>
      <c r="K1697" s="14" t="n"/>
      <c r="L1697" s="19">
        <f>IF($C1697="","",ROUND(IFERROR(VLOOKUP($C1697,账户期初,2,0),0)+SUMIFS($J$4:J1697,$C$4:C1697,$C1697)-SUMIFS($K$4:K1697,$C$4:C1697,$C1697),2))</f>
        <v/>
      </c>
      <c r="M1697" s="19">
        <f>IF($C1697="","",ROUND(SUM(基础资料!$B$4:$B$13)+SUM($J$4:J1697)-SUM($K$4:K1697),2))</f>
        <v/>
      </c>
      <c r="N1697" s="13" t="n"/>
      <c r="O1697" s="13" t="n"/>
      <c r="P1697" s="17">
        <f>IF($B1697="","",IF($F1697="※类别不在基础资料里","※费用类别不在基础资料里",IF(AND(N($J1697)=0,N($K1697)=0),"※这行没填金额",IF(AND(N($J1697)&gt;0,N($K1697)&gt;0),"※收入和支出不能同一行都填",IF(AND($D1697="收入",N($J1697)=0),"※收入行要填收入金额",IF(AND($D1697="支出",N($K1697)=0),"※支出行要填支出金额",IF(AND($C1697&lt;&gt;"",ISNA(MATCH($C1697,账户表,0))),"※账户不在基础资料里",IF(AND($G1697&lt;&gt;"",ISNA(MATCH($G1697,项目名表,0))),"※项目不在项目台账里",IF(AND(LEFT($F1697,3)="成本-",$G1697=""),"※成本类支出没填项目",IF(AND(LEFT($F1697,3)="成本-",$H1697&lt;&gt;"",N($K1697)&gt;0,COUNTIFS(采购单!$B:$B,$B1697,采购单!$C:$C,$H1697,采购单!$L:$L,$K1697)&gt;0),"※这笔可能和采购单重复了",""))))))))))</f>
        <v/>
      </c>
    </row>
    <row r="1698">
      <c r="A1698" s="17">
        <f>IF($B1698="","",ROW()-3)</f>
        <v/>
      </c>
      <c r="B1698" s="18" t="n"/>
      <c r="C1698" s="13" t="n"/>
      <c r="D1698" s="13" t="n"/>
      <c r="E1698" s="13" t="n"/>
      <c r="F1698" s="17">
        <f>IF($E1698="","",IFERROR(VLOOKUP($E1698,类别归属,2,0),"※类别不在基础资料里"))</f>
        <v/>
      </c>
      <c r="G1698" s="13" t="n"/>
      <c r="H1698" s="13" t="n"/>
      <c r="I1698" s="13" t="n"/>
      <c r="J1698" s="14" t="n"/>
      <c r="K1698" s="14" t="n"/>
      <c r="L1698" s="19">
        <f>IF($C1698="","",ROUND(IFERROR(VLOOKUP($C1698,账户期初,2,0),0)+SUMIFS($J$4:J1698,$C$4:C1698,$C1698)-SUMIFS($K$4:K1698,$C$4:C1698,$C1698),2))</f>
        <v/>
      </c>
      <c r="M1698" s="19">
        <f>IF($C1698="","",ROUND(SUM(基础资料!$B$4:$B$13)+SUM($J$4:J1698)-SUM($K$4:K1698),2))</f>
        <v/>
      </c>
      <c r="N1698" s="13" t="n"/>
      <c r="O1698" s="13" t="n"/>
      <c r="P1698" s="17">
        <f>IF($B1698="","",IF($F1698="※类别不在基础资料里","※费用类别不在基础资料里",IF(AND(N($J1698)=0,N($K1698)=0),"※这行没填金额",IF(AND(N($J1698)&gt;0,N($K1698)&gt;0),"※收入和支出不能同一行都填",IF(AND($D1698="收入",N($J1698)=0),"※收入行要填收入金额",IF(AND($D1698="支出",N($K1698)=0),"※支出行要填支出金额",IF(AND($C1698&lt;&gt;"",ISNA(MATCH($C1698,账户表,0))),"※账户不在基础资料里",IF(AND($G1698&lt;&gt;"",ISNA(MATCH($G1698,项目名表,0))),"※项目不在项目台账里",IF(AND(LEFT($F1698,3)="成本-",$G1698=""),"※成本类支出没填项目",IF(AND(LEFT($F1698,3)="成本-",$H1698&lt;&gt;"",N($K1698)&gt;0,COUNTIFS(采购单!$B:$B,$B1698,采购单!$C:$C,$H1698,采购单!$L:$L,$K1698)&gt;0),"※这笔可能和采购单重复了",""))))))))))</f>
        <v/>
      </c>
    </row>
    <row r="1699">
      <c r="A1699" s="17">
        <f>IF($B1699="","",ROW()-3)</f>
        <v/>
      </c>
      <c r="B1699" s="18" t="n"/>
      <c r="C1699" s="13" t="n"/>
      <c r="D1699" s="13" t="n"/>
      <c r="E1699" s="13" t="n"/>
      <c r="F1699" s="17">
        <f>IF($E1699="","",IFERROR(VLOOKUP($E1699,类别归属,2,0),"※类别不在基础资料里"))</f>
        <v/>
      </c>
      <c r="G1699" s="13" t="n"/>
      <c r="H1699" s="13" t="n"/>
      <c r="I1699" s="13" t="n"/>
      <c r="J1699" s="14" t="n"/>
      <c r="K1699" s="14" t="n"/>
      <c r="L1699" s="19">
        <f>IF($C1699="","",ROUND(IFERROR(VLOOKUP($C1699,账户期初,2,0),0)+SUMIFS($J$4:J1699,$C$4:C1699,$C1699)-SUMIFS($K$4:K1699,$C$4:C1699,$C1699),2))</f>
        <v/>
      </c>
      <c r="M1699" s="19">
        <f>IF($C1699="","",ROUND(SUM(基础资料!$B$4:$B$13)+SUM($J$4:J1699)-SUM($K$4:K1699),2))</f>
        <v/>
      </c>
      <c r="N1699" s="13" t="n"/>
      <c r="O1699" s="13" t="n"/>
      <c r="P1699" s="17">
        <f>IF($B1699="","",IF($F1699="※类别不在基础资料里","※费用类别不在基础资料里",IF(AND(N($J1699)=0,N($K1699)=0),"※这行没填金额",IF(AND(N($J1699)&gt;0,N($K1699)&gt;0),"※收入和支出不能同一行都填",IF(AND($D1699="收入",N($J1699)=0),"※收入行要填收入金额",IF(AND($D1699="支出",N($K1699)=0),"※支出行要填支出金额",IF(AND($C1699&lt;&gt;"",ISNA(MATCH($C1699,账户表,0))),"※账户不在基础资料里",IF(AND($G1699&lt;&gt;"",ISNA(MATCH($G1699,项目名表,0))),"※项目不在项目台账里",IF(AND(LEFT($F1699,3)="成本-",$G1699=""),"※成本类支出没填项目",IF(AND(LEFT($F1699,3)="成本-",$H1699&lt;&gt;"",N($K1699)&gt;0,COUNTIFS(采购单!$B:$B,$B1699,采购单!$C:$C,$H1699,采购单!$L:$L,$K1699)&gt;0),"※这笔可能和采购单重复了",""))))))))))</f>
        <v/>
      </c>
    </row>
    <row r="1700">
      <c r="A1700" s="17">
        <f>IF($B1700="","",ROW()-3)</f>
        <v/>
      </c>
      <c r="B1700" s="18" t="n"/>
      <c r="C1700" s="13" t="n"/>
      <c r="D1700" s="13" t="n"/>
      <c r="E1700" s="13" t="n"/>
      <c r="F1700" s="17">
        <f>IF($E1700="","",IFERROR(VLOOKUP($E1700,类别归属,2,0),"※类别不在基础资料里"))</f>
        <v/>
      </c>
      <c r="G1700" s="13" t="n"/>
      <c r="H1700" s="13" t="n"/>
      <c r="I1700" s="13" t="n"/>
      <c r="J1700" s="14" t="n"/>
      <c r="K1700" s="14" t="n"/>
      <c r="L1700" s="19">
        <f>IF($C1700="","",ROUND(IFERROR(VLOOKUP($C1700,账户期初,2,0),0)+SUMIFS($J$4:J1700,$C$4:C1700,$C1700)-SUMIFS($K$4:K1700,$C$4:C1700,$C1700),2))</f>
        <v/>
      </c>
      <c r="M1700" s="19">
        <f>IF($C1700="","",ROUND(SUM(基础资料!$B$4:$B$13)+SUM($J$4:J1700)-SUM($K$4:K1700),2))</f>
        <v/>
      </c>
      <c r="N1700" s="13" t="n"/>
      <c r="O1700" s="13" t="n"/>
      <c r="P1700" s="17">
        <f>IF($B1700="","",IF($F1700="※类别不在基础资料里","※费用类别不在基础资料里",IF(AND(N($J1700)=0,N($K1700)=0),"※这行没填金额",IF(AND(N($J1700)&gt;0,N($K1700)&gt;0),"※收入和支出不能同一行都填",IF(AND($D1700="收入",N($J1700)=0),"※收入行要填收入金额",IF(AND($D1700="支出",N($K1700)=0),"※支出行要填支出金额",IF(AND($C1700&lt;&gt;"",ISNA(MATCH($C1700,账户表,0))),"※账户不在基础资料里",IF(AND($G1700&lt;&gt;"",ISNA(MATCH($G1700,项目名表,0))),"※项目不在项目台账里",IF(AND(LEFT($F1700,3)="成本-",$G1700=""),"※成本类支出没填项目",IF(AND(LEFT($F1700,3)="成本-",$H1700&lt;&gt;"",N($K1700)&gt;0,COUNTIFS(采购单!$B:$B,$B1700,采购单!$C:$C,$H1700,采购单!$L:$L,$K1700)&gt;0),"※这笔可能和采购单重复了",""))))))))))</f>
        <v/>
      </c>
    </row>
    <row r="1701">
      <c r="A1701" s="17">
        <f>IF($B1701="","",ROW()-3)</f>
        <v/>
      </c>
      <c r="B1701" s="18" t="n"/>
      <c r="C1701" s="13" t="n"/>
      <c r="D1701" s="13" t="n"/>
      <c r="E1701" s="13" t="n"/>
      <c r="F1701" s="17">
        <f>IF($E1701="","",IFERROR(VLOOKUP($E1701,类别归属,2,0),"※类别不在基础资料里"))</f>
        <v/>
      </c>
      <c r="G1701" s="13" t="n"/>
      <c r="H1701" s="13" t="n"/>
      <c r="I1701" s="13" t="n"/>
      <c r="J1701" s="14" t="n"/>
      <c r="K1701" s="14" t="n"/>
      <c r="L1701" s="19">
        <f>IF($C1701="","",ROUND(IFERROR(VLOOKUP($C1701,账户期初,2,0),0)+SUMIFS($J$4:J1701,$C$4:C1701,$C1701)-SUMIFS($K$4:K1701,$C$4:C1701,$C1701),2))</f>
        <v/>
      </c>
      <c r="M1701" s="19">
        <f>IF($C1701="","",ROUND(SUM(基础资料!$B$4:$B$13)+SUM($J$4:J1701)-SUM($K$4:K1701),2))</f>
        <v/>
      </c>
      <c r="N1701" s="13" t="n"/>
      <c r="O1701" s="13" t="n"/>
      <c r="P1701" s="17">
        <f>IF($B1701="","",IF($F1701="※类别不在基础资料里","※费用类别不在基础资料里",IF(AND(N($J1701)=0,N($K1701)=0),"※这行没填金额",IF(AND(N($J1701)&gt;0,N($K1701)&gt;0),"※收入和支出不能同一行都填",IF(AND($D1701="收入",N($J1701)=0),"※收入行要填收入金额",IF(AND($D1701="支出",N($K1701)=0),"※支出行要填支出金额",IF(AND($C1701&lt;&gt;"",ISNA(MATCH($C1701,账户表,0))),"※账户不在基础资料里",IF(AND($G1701&lt;&gt;"",ISNA(MATCH($G1701,项目名表,0))),"※项目不在项目台账里",IF(AND(LEFT($F1701,3)="成本-",$G1701=""),"※成本类支出没填项目",IF(AND(LEFT($F1701,3)="成本-",$H1701&lt;&gt;"",N($K1701)&gt;0,COUNTIFS(采购单!$B:$B,$B1701,采购单!$C:$C,$H1701,采购单!$L:$L,$K1701)&gt;0),"※这笔可能和采购单重复了",""))))))))))</f>
        <v/>
      </c>
    </row>
    <row r="1702">
      <c r="A1702" s="17">
        <f>IF($B1702="","",ROW()-3)</f>
        <v/>
      </c>
      <c r="B1702" s="18" t="n"/>
      <c r="C1702" s="13" t="n"/>
      <c r="D1702" s="13" t="n"/>
      <c r="E1702" s="13" t="n"/>
      <c r="F1702" s="17">
        <f>IF($E1702="","",IFERROR(VLOOKUP($E1702,类别归属,2,0),"※类别不在基础资料里"))</f>
        <v/>
      </c>
      <c r="G1702" s="13" t="n"/>
      <c r="H1702" s="13" t="n"/>
      <c r="I1702" s="13" t="n"/>
      <c r="J1702" s="14" t="n"/>
      <c r="K1702" s="14" t="n"/>
      <c r="L1702" s="19">
        <f>IF($C1702="","",ROUND(IFERROR(VLOOKUP($C1702,账户期初,2,0),0)+SUMIFS($J$4:J1702,$C$4:C1702,$C1702)-SUMIFS($K$4:K1702,$C$4:C1702,$C1702),2))</f>
        <v/>
      </c>
      <c r="M1702" s="19">
        <f>IF($C1702="","",ROUND(SUM(基础资料!$B$4:$B$13)+SUM($J$4:J1702)-SUM($K$4:K1702),2))</f>
        <v/>
      </c>
      <c r="N1702" s="13" t="n"/>
      <c r="O1702" s="13" t="n"/>
      <c r="P1702" s="17">
        <f>IF($B1702="","",IF($F1702="※类别不在基础资料里","※费用类别不在基础资料里",IF(AND(N($J1702)=0,N($K1702)=0),"※这行没填金额",IF(AND(N($J1702)&gt;0,N($K1702)&gt;0),"※收入和支出不能同一行都填",IF(AND($D1702="收入",N($J1702)=0),"※收入行要填收入金额",IF(AND($D1702="支出",N($K1702)=0),"※支出行要填支出金额",IF(AND($C1702&lt;&gt;"",ISNA(MATCH($C1702,账户表,0))),"※账户不在基础资料里",IF(AND($G1702&lt;&gt;"",ISNA(MATCH($G1702,项目名表,0))),"※项目不在项目台账里",IF(AND(LEFT($F1702,3)="成本-",$G1702=""),"※成本类支出没填项目",IF(AND(LEFT($F1702,3)="成本-",$H1702&lt;&gt;"",N($K1702)&gt;0,COUNTIFS(采购单!$B:$B,$B1702,采购单!$C:$C,$H1702,采购单!$L:$L,$K1702)&gt;0),"※这笔可能和采购单重复了",""))))))))))</f>
        <v/>
      </c>
    </row>
    <row r="1703">
      <c r="A1703" s="17">
        <f>IF($B1703="","",ROW()-3)</f>
        <v/>
      </c>
      <c r="B1703" s="18" t="n"/>
      <c r="C1703" s="13" t="n"/>
      <c r="D1703" s="13" t="n"/>
      <c r="E1703" s="13" t="n"/>
      <c r="F1703" s="17">
        <f>IF($E1703="","",IFERROR(VLOOKUP($E1703,类别归属,2,0),"※类别不在基础资料里"))</f>
        <v/>
      </c>
      <c r="G1703" s="13" t="n"/>
      <c r="H1703" s="13" t="n"/>
      <c r="I1703" s="13" t="n"/>
      <c r="J1703" s="14" t="n"/>
      <c r="K1703" s="14" t="n"/>
      <c r="L1703" s="19">
        <f>IF($C1703="","",ROUND(IFERROR(VLOOKUP($C1703,账户期初,2,0),0)+SUMIFS($J$4:J1703,$C$4:C1703,$C1703)-SUMIFS($K$4:K1703,$C$4:C1703,$C1703),2))</f>
        <v/>
      </c>
      <c r="M1703" s="19">
        <f>IF($C1703="","",ROUND(SUM(基础资料!$B$4:$B$13)+SUM($J$4:J1703)-SUM($K$4:K1703),2))</f>
        <v/>
      </c>
      <c r="N1703" s="13" t="n"/>
      <c r="O1703" s="13" t="n"/>
      <c r="P1703" s="17">
        <f>IF($B1703="","",IF($F1703="※类别不在基础资料里","※费用类别不在基础资料里",IF(AND(N($J1703)=0,N($K1703)=0),"※这行没填金额",IF(AND(N($J1703)&gt;0,N($K1703)&gt;0),"※收入和支出不能同一行都填",IF(AND($D1703="收入",N($J1703)=0),"※收入行要填收入金额",IF(AND($D1703="支出",N($K1703)=0),"※支出行要填支出金额",IF(AND($C1703&lt;&gt;"",ISNA(MATCH($C1703,账户表,0))),"※账户不在基础资料里",IF(AND($G1703&lt;&gt;"",ISNA(MATCH($G1703,项目名表,0))),"※项目不在项目台账里",IF(AND(LEFT($F1703,3)="成本-",$G1703=""),"※成本类支出没填项目",IF(AND(LEFT($F1703,3)="成本-",$H1703&lt;&gt;"",N($K1703)&gt;0,COUNTIFS(采购单!$B:$B,$B1703,采购单!$C:$C,$H1703,采购单!$L:$L,$K1703)&gt;0),"※这笔可能和采购单重复了",""))))))))))</f>
        <v/>
      </c>
    </row>
    <row r="1704">
      <c r="A1704" s="17">
        <f>IF($B1704="","",ROW()-3)</f>
        <v/>
      </c>
      <c r="B1704" s="18" t="n"/>
      <c r="C1704" s="13" t="n"/>
      <c r="D1704" s="13" t="n"/>
      <c r="E1704" s="13" t="n"/>
      <c r="F1704" s="17">
        <f>IF($E1704="","",IFERROR(VLOOKUP($E1704,类别归属,2,0),"※类别不在基础资料里"))</f>
        <v/>
      </c>
      <c r="G1704" s="13" t="n"/>
      <c r="H1704" s="13" t="n"/>
      <c r="I1704" s="13" t="n"/>
      <c r="J1704" s="14" t="n"/>
      <c r="K1704" s="14" t="n"/>
      <c r="L1704" s="19">
        <f>IF($C1704="","",ROUND(IFERROR(VLOOKUP($C1704,账户期初,2,0),0)+SUMIFS($J$4:J1704,$C$4:C1704,$C1704)-SUMIFS($K$4:K1704,$C$4:C1704,$C1704),2))</f>
        <v/>
      </c>
      <c r="M1704" s="19">
        <f>IF($C1704="","",ROUND(SUM(基础资料!$B$4:$B$13)+SUM($J$4:J1704)-SUM($K$4:K1704),2))</f>
        <v/>
      </c>
      <c r="N1704" s="13" t="n"/>
      <c r="O1704" s="13" t="n"/>
      <c r="P1704" s="17">
        <f>IF($B1704="","",IF($F1704="※类别不在基础资料里","※费用类别不在基础资料里",IF(AND(N($J1704)=0,N($K1704)=0),"※这行没填金额",IF(AND(N($J1704)&gt;0,N($K1704)&gt;0),"※收入和支出不能同一行都填",IF(AND($D1704="收入",N($J1704)=0),"※收入行要填收入金额",IF(AND($D1704="支出",N($K1704)=0),"※支出行要填支出金额",IF(AND($C1704&lt;&gt;"",ISNA(MATCH($C1704,账户表,0))),"※账户不在基础资料里",IF(AND($G1704&lt;&gt;"",ISNA(MATCH($G1704,项目名表,0))),"※项目不在项目台账里",IF(AND(LEFT($F1704,3)="成本-",$G1704=""),"※成本类支出没填项目",IF(AND(LEFT($F1704,3)="成本-",$H1704&lt;&gt;"",N($K1704)&gt;0,COUNTIFS(采购单!$B:$B,$B1704,采购单!$C:$C,$H1704,采购单!$L:$L,$K1704)&gt;0),"※这笔可能和采购单重复了",""))))))))))</f>
        <v/>
      </c>
    </row>
    <row r="1705">
      <c r="A1705" s="17">
        <f>IF($B1705="","",ROW()-3)</f>
        <v/>
      </c>
      <c r="B1705" s="18" t="n"/>
      <c r="C1705" s="13" t="n"/>
      <c r="D1705" s="13" t="n"/>
      <c r="E1705" s="13" t="n"/>
      <c r="F1705" s="17">
        <f>IF($E1705="","",IFERROR(VLOOKUP($E1705,类别归属,2,0),"※类别不在基础资料里"))</f>
        <v/>
      </c>
      <c r="G1705" s="13" t="n"/>
      <c r="H1705" s="13" t="n"/>
      <c r="I1705" s="13" t="n"/>
      <c r="J1705" s="14" t="n"/>
      <c r="K1705" s="14" t="n"/>
      <c r="L1705" s="19">
        <f>IF($C1705="","",ROUND(IFERROR(VLOOKUP($C1705,账户期初,2,0),0)+SUMIFS($J$4:J1705,$C$4:C1705,$C1705)-SUMIFS($K$4:K1705,$C$4:C1705,$C1705),2))</f>
        <v/>
      </c>
      <c r="M1705" s="19">
        <f>IF($C1705="","",ROUND(SUM(基础资料!$B$4:$B$13)+SUM($J$4:J1705)-SUM($K$4:K1705),2))</f>
        <v/>
      </c>
      <c r="N1705" s="13" t="n"/>
      <c r="O1705" s="13" t="n"/>
      <c r="P1705" s="17">
        <f>IF($B1705="","",IF($F1705="※类别不在基础资料里","※费用类别不在基础资料里",IF(AND(N($J1705)=0,N($K1705)=0),"※这行没填金额",IF(AND(N($J1705)&gt;0,N($K1705)&gt;0),"※收入和支出不能同一行都填",IF(AND($D1705="收入",N($J1705)=0),"※收入行要填收入金额",IF(AND($D1705="支出",N($K1705)=0),"※支出行要填支出金额",IF(AND($C1705&lt;&gt;"",ISNA(MATCH($C1705,账户表,0))),"※账户不在基础资料里",IF(AND($G1705&lt;&gt;"",ISNA(MATCH($G1705,项目名表,0))),"※项目不在项目台账里",IF(AND(LEFT($F1705,3)="成本-",$G1705=""),"※成本类支出没填项目",IF(AND(LEFT($F1705,3)="成本-",$H1705&lt;&gt;"",N($K1705)&gt;0,COUNTIFS(采购单!$B:$B,$B1705,采购单!$C:$C,$H1705,采购单!$L:$L,$K1705)&gt;0),"※这笔可能和采购单重复了",""))))))))))</f>
        <v/>
      </c>
    </row>
    <row r="1706">
      <c r="A1706" s="17">
        <f>IF($B1706="","",ROW()-3)</f>
        <v/>
      </c>
      <c r="B1706" s="18" t="n"/>
      <c r="C1706" s="13" t="n"/>
      <c r="D1706" s="13" t="n"/>
      <c r="E1706" s="13" t="n"/>
      <c r="F1706" s="17">
        <f>IF($E1706="","",IFERROR(VLOOKUP($E1706,类别归属,2,0),"※类别不在基础资料里"))</f>
        <v/>
      </c>
      <c r="G1706" s="13" t="n"/>
      <c r="H1706" s="13" t="n"/>
      <c r="I1706" s="13" t="n"/>
      <c r="J1706" s="14" t="n"/>
      <c r="K1706" s="14" t="n"/>
      <c r="L1706" s="19">
        <f>IF($C1706="","",ROUND(IFERROR(VLOOKUP($C1706,账户期初,2,0),0)+SUMIFS($J$4:J1706,$C$4:C1706,$C1706)-SUMIFS($K$4:K1706,$C$4:C1706,$C1706),2))</f>
        <v/>
      </c>
      <c r="M1706" s="19">
        <f>IF($C1706="","",ROUND(SUM(基础资料!$B$4:$B$13)+SUM($J$4:J1706)-SUM($K$4:K1706),2))</f>
        <v/>
      </c>
      <c r="N1706" s="13" t="n"/>
      <c r="O1706" s="13" t="n"/>
      <c r="P1706" s="17">
        <f>IF($B1706="","",IF($F1706="※类别不在基础资料里","※费用类别不在基础资料里",IF(AND(N($J1706)=0,N($K1706)=0),"※这行没填金额",IF(AND(N($J1706)&gt;0,N($K1706)&gt;0),"※收入和支出不能同一行都填",IF(AND($D1706="收入",N($J1706)=0),"※收入行要填收入金额",IF(AND($D1706="支出",N($K1706)=0),"※支出行要填支出金额",IF(AND($C1706&lt;&gt;"",ISNA(MATCH($C1706,账户表,0))),"※账户不在基础资料里",IF(AND($G1706&lt;&gt;"",ISNA(MATCH($G1706,项目名表,0))),"※项目不在项目台账里",IF(AND(LEFT($F1706,3)="成本-",$G1706=""),"※成本类支出没填项目",IF(AND(LEFT($F1706,3)="成本-",$H1706&lt;&gt;"",N($K1706)&gt;0,COUNTIFS(采购单!$B:$B,$B1706,采购单!$C:$C,$H1706,采购单!$L:$L,$K1706)&gt;0),"※这笔可能和采购单重复了",""))))))))))</f>
        <v/>
      </c>
    </row>
    <row r="1707">
      <c r="A1707" s="17">
        <f>IF($B1707="","",ROW()-3)</f>
        <v/>
      </c>
      <c r="B1707" s="18" t="n"/>
      <c r="C1707" s="13" t="n"/>
      <c r="D1707" s="13" t="n"/>
      <c r="E1707" s="13" t="n"/>
      <c r="F1707" s="17">
        <f>IF($E1707="","",IFERROR(VLOOKUP($E1707,类别归属,2,0),"※类别不在基础资料里"))</f>
        <v/>
      </c>
      <c r="G1707" s="13" t="n"/>
      <c r="H1707" s="13" t="n"/>
      <c r="I1707" s="13" t="n"/>
      <c r="J1707" s="14" t="n"/>
      <c r="K1707" s="14" t="n"/>
      <c r="L1707" s="19">
        <f>IF($C1707="","",ROUND(IFERROR(VLOOKUP($C1707,账户期初,2,0),0)+SUMIFS($J$4:J1707,$C$4:C1707,$C1707)-SUMIFS($K$4:K1707,$C$4:C1707,$C1707),2))</f>
        <v/>
      </c>
      <c r="M1707" s="19">
        <f>IF($C1707="","",ROUND(SUM(基础资料!$B$4:$B$13)+SUM($J$4:J1707)-SUM($K$4:K1707),2))</f>
        <v/>
      </c>
      <c r="N1707" s="13" t="n"/>
      <c r="O1707" s="13" t="n"/>
      <c r="P1707" s="17">
        <f>IF($B1707="","",IF($F1707="※类别不在基础资料里","※费用类别不在基础资料里",IF(AND(N($J1707)=0,N($K1707)=0),"※这行没填金额",IF(AND(N($J1707)&gt;0,N($K1707)&gt;0),"※收入和支出不能同一行都填",IF(AND($D1707="收入",N($J1707)=0),"※收入行要填收入金额",IF(AND($D1707="支出",N($K1707)=0),"※支出行要填支出金额",IF(AND($C1707&lt;&gt;"",ISNA(MATCH($C1707,账户表,0))),"※账户不在基础资料里",IF(AND($G1707&lt;&gt;"",ISNA(MATCH($G1707,项目名表,0))),"※项目不在项目台账里",IF(AND(LEFT($F1707,3)="成本-",$G1707=""),"※成本类支出没填项目",IF(AND(LEFT($F1707,3)="成本-",$H1707&lt;&gt;"",N($K1707)&gt;0,COUNTIFS(采购单!$B:$B,$B1707,采购单!$C:$C,$H1707,采购单!$L:$L,$K1707)&gt;0),"※这笔可能和采购单重复了",""))))))))))</f>
        <v/>
      </c>
    </row>
    <row r="1708">
      <c r="A1708" s="17">
        <f>IF($B1708="","",ROW()-3)</f>
        <v/>
      </c>
      <c r="B1708" s="18" t="n"/>
      <c r="C1708" s="13" t="n"/>
      <c r="D1708" s="13" t="n"/>
      <c r="E1708" s="13" t="n"/>
      <c r="F1708" s="17">
        <f>IF($E1708="","",IFERROR(VLOOKUP($E1708,类别归属,2,0),"※类别不在基础资料里"))</f>
        <v/>
      </c>
      <c r="G1708" s="13" t="n"/>
      <c r="H1708" s="13" t="n"/>
      <c r="I1708" s="13" t="n"/>
      <c r="J1708" s="14" t="n"/>
      <c r="K1708" s="14" t="n"/>
      <c r="L1708" s="19">
        <f>IF($C1708="","",ROUND(IFERROR(VLOOKUP($C1708,账户期初,2,0),0)+SUMIFS($J$4:J1708,$C$4:C1708,$C1708)-SUMIFS($K$4:K1708,$C$4:C1708,$C1708),2))</f>
        <v/>
      </c>
      <c r="M1708" s="19">
        <f>IF($C1708="","",ROUND(SUM(基础资料!$B$4:$B$13)+SUM($J$4:J1708)-SUM($K$4:K1708),2))</f>
        <v/>
      </c>
      <c r="N1708" s="13" t="n"/>
      <c r="O1708" s="13" t="n"/>
      <c r="P1708" s="17">
        <f>IF($B1708="","",IF($F1708="※类别不在基础资料里","※费用类别不在基础资料里",IF(AND(N($J1708)=0,N($K1708)=0),"※这行没填金额",IF(AND(N($J1708)&gt;0,N($K1708)&gt;0),"※收入和支出不能同一行都填",IF(AND($D1708="收入",N($J1708)=0),"※收入行要填收入金额",IF(AND($D1708="支出",N($K1708)=0),"※支出行要填支出金额",IF(AND($C1708&lt;&gt;"",ISNA(MATCH($C1708,账户表,0))),"※账户不在基础资料里",IF(AND($G1708&lt;&gt;"",ISNA(MATCH($G1708,项目名表,0))),"※项目不在项目台账里",IF(AND(LEFT($F1708,3)="成本-",$G1708=""),"※成本类支出没填项目",IF(AND(LEFT($F1708,3)="成本-",$H1708&lt;&gt;"",N($K1708)&gt;0,COUNTIFS(采购单!$B:$B,$B1708,采购单!$C:$C,$H1708,采购单!$L:$L,$K1708)&gt;0),"※这笔可能和采购单重复了",""))))))))))</f>
        <v/>
      </c>
    </row>
    <row r="1709">
      <c r="A1709" s="17">
        <f>IF($B1709="","",ROW()-3)</f>
        <v/>
      </c>
      <c r="B1709" s="18" t="n"/>
      <c r="C1709" s="13" t="n"/>
      <c r="D1709" s="13" t="n"/>
      <c r="E1709" s="13" t="n"/>
      <c r="F1709" s="17">
        <f>IF($E1709="","",IFERROR(VLOOKUP($E1709,类别归属,2,0),"※类别不在基础资料里"))</f>
        <v/>
      </c>
      <c r="G1709" s="13" t="n"/>
      <c r="H1709" s="13" t="n"/>
      <c r="I1709" s="13" t="n"/>
      <c r="J1709" s="14" t="n"/>
      <c r="K1709" s="14" t="n"/>
      <c r="L1709" s="19">
        <f>IF($C1709="","",ROUND(IFERROR(VLOOKUP($C1709,账户期初,2,0),0)+SUMIFS($J$4:J1709,$C$4:C1709,$C1709)-SUMIFS($K$4:K1709,$C$4:C1709,$C1709),2))</f>
        <v/>
      </c>
      <c r="M1709" s="19">
        <f>IF($C1709="","",ROUND(SUM(基础资料!$B$4:$B$13)+SUM($J$4:J1709)-SUM($K$4:K1709),2))</f>
        <v/>
      </c>
      <c r="N1709" s="13" t="n"/>
      <c r="O1709" s="13" t="n"/>
      <c r="P1709" s="17">
        <f>IF($B1709="","",IF($F1709="※类别不在基础资料里","※费用类别不在基础资料里",IF(AND(N($J1709)=0,N($K1709)=0),"※这行没填金额",IF(AND(N($J1709)&gt;0,N($K1709)&gt;0),"※收入和支出不能同一行都填",IF(AND($D1709="收入",N($J1709)=0),"※收入行要填收入金额",IF(AND($D1709="支出",N($K1709)=0),"※支出行要填支出金额",IF(AND($C1709&lt;&gt;"",ISNA(MATCH($C1709,账户表,0))),"※账户不在基础资料里",IF(AND($G1709&lt;&gt;"",ISNA(MATCH($G1709,项目名表,0))),"※项目不在项目台账里",IF(AND(LEFT($F1709,3)="成本-",$G1709=""),"※成本类支出没填项目",IF(AND(LEFT($F1709,3)="成本-",$H1709&lt;&gt;"",N($K1709)&gt;0,COUNTIFS(采购单!$B:$B,$B1709,采购单!$C:$C,$H1709,采购单!$L:$L,$K1709)&gt;0),"※这笔可能和采购单重复了",""))))))))))</f>
        <v/>
      </c>
    </row>
    <row r="1710">
      <c r="A1710" s="17">
        <f>IF($B1710="","",ROW()-3)</f>
        <v/>
      </c>
      <c r="B1710" s="18" t="n"/>
      <c r="C1710" s="13" t="n"/>
      <c r="D1710" s="13" t="n"/>
      <c r="E1710" s="13" t="n"/>
      <c r="F1710" s="17">
        <f>IF($E1710="","",IFERROR(VLOOKUP($E1710,类别归属,2,0),"※类别不在基础资料里"))</f>
        <v/>
      </c>
      <c r="G1710" s="13" t="n"/>
      <c r="H1710" s="13" t="n"/>
      <c r="I1710" s="13" t="n"/>
      <c r="J1710" s="14" t="n"/>
      <c r="K1710" s="14" t="n"/>
      <c r="L1710" s="19">
        <f>IF($C1710="","",ROUND(IFERROR(VLOOKUP($C1710,账户期初,2,0),0)+SUMIFS($J$4:J1710,$C$4:C1710,$C1710)-SUMIFS($K$4:K1710,$C$4:C1710,$C1710),2))</f>
        <v/>
      </c>
      <c r="M1710" s="19">
        <f>IF($C1710="","",ROUND(SUM(基础资料!$B$4:$B$13)+SUM($J$4:J1710)-SUM($K$4:K1710),2))</f>
        <v/>
      </c>
      <c r="N1710" s="13" t="n"/>
      <c r="O1710" s="13" t="n"/>
      <c r="P1710" s="17">
        <f>IF($B1710="","",IF($F1710="※类别不在基础资料里","※费用类别不在基础资料里",IF(AND(N($J1710)=0,N($K1710)=0),"※这行没填金额",IF(AND(N($J1710)&gt;0,N($K1710)&gt;0),"※收入和支出不能同一行都填",IF(AND($D1710="收入",N($J1710)=0),"※收入行要填收入金额",IF(AND($D1710="支出",N($K1710)=0),"※支出行要填支出金额",IF(AND($C1710&lt;&gt;"",ISNA(MATCH($C1710,账户表,0))),"※账户不在基础资料里",IF(AND($G1710&lt;&gt;"",ISNA(MATCH($G1710,项目名表,0))),"※项目不在项目台账里",IF(AND(LEFT($F1710,3)="成本-",$G1710=""),"※成本类支出没填项目",IF(AND(LEFT($F1710,3)="成本-",$H1710&lt;&gt;"",N($K1710)&gt;0,COUNTIFS(采购单!$B:$B,$B1710,采购单!$C:$C,$H1710,采购单!$L:$L,$K1710)&gt;0),"※这笔可能和采购单重复了",""))))))))))</f>
        <v/>
      </c>
    </row>
    <row r="1711">
      <c r="A1711" s="17">
        <f>IF($B1711="","",ROW()-3)</f>
        <v/>
      </c>
      <c r="B1711" s="18" t="n"/>
      <c r="C1711" s="13" t="n"/>
      <c r="D1711" s="13" t="n"/>
      <c r="E1711" s="13" t="n"/>
      <c r="F1711" s="17">
        <f>IF($E1711="","",IFERROR(VLOOKUP($E1711,类别归属,2,0),"※类别不在基础资料里"))</f>
        <v/>
      </c>
      <c r="G1711" s="13" t="n"/>
      <c r="H1711" s="13" t="n"/>
      <c r="I1711" s="13" t="n"/>
      <c r="J1711" s="14" t="n"/>
      <c r="K1711" s="14" t="n"/>
      <c r="L1711" s="19">
        <f>IF($C1711="","",ROUND(IFERROR(VLOOKUP($C1711,账户期初,2,0),0)+SUMIFS($J$4:J1711,$C$4:C1711,$C1711)-SUMIFS($K$4:K1711,$C$4:C1711,$C1711),2))</f>
        <v/>
      </c>
      <c r="M1711" s="19">
        <f>IF($C1711="","",ROUND(SUM(基础资料!$B$4:$B$13)+SUM($J$4:J1711)-SUM($K$4:K1711),2))</f>
        <v/>
      </c>
      <c r="N1711" s="13" t="n"/>
      <c r="O1711" s="13" t="n"/>
      <c r="P1711" s="17">
        <f>IF($B1711="","",IF($F1711="※类别不在基础资料里","※费用类别不在基础资料里",IF(AND(N($J1711)=0,N($K1711)=0),"※这行没填金额",IF(AND(N($J1711)&gt;0,N($K1711)&gt;0),"※收入和支出不能同一行都填",IF(AND($D1711="收入",N($J1711)=0),"※收入行要填收入金额",IF(AND($D1711="支出",N($K1711)=0),"※支出行要填支出金额",IF(AND($C1711&lt;&gt;"",ISNA(MATCH($C1711,账户表,0))),"※账户不在基础资料里",IF(AND($G1711&lt;&gt;"",ISNA(MATCH($G1711,项目名表,0))),"※项目不在项目台账里",IF(AND(LEFT($F1711,3)="成本-",$G1711=""),"※成本类支出没填项目",IF(AND(LEFT($F1711,3)="成本-",$H1711&lt;&gt;"",N($K1711)&gt;0,COUNTIFS(采购单!$B:$B,$B1711,采购单!$C:$C,$H1711,采购单!$L:$L,$K1711)&gt;0),"※这笔可能和采购单重复了",""))))))))))</f>
        <v/>
      </c>
    </row>
    <row r="1712">
      <c r="A1712" s="17">
        <f>IF($B1712="","",ROW()-3)</f>
        <v/>
      </c>
      <c r="B1712" s="18" t="n"/>
      <c r="C1712" s="13" t="n"/>
      <c r="D1712" s="13" t="n"/>
      <c r="E1712" s="13" t="n"/>
      <c r="F1712" s="17">
        <f>IF($E1712="","",IFERROR(VLOOKUP($E1712,类别归属,2,0),"※类别不在基础资料里"))</f>
        <v/>
      </c>
      <c r="G1712" s="13" t="n"/>
      <c r="H1712" s="13" t="n"/>
      <c r="I1712" s="13" t="n"/>
      <c r="J1712" s="14" t="n"/>
      <c r="K1712" s="14" t="n"/>
      <c r="L1712" s="19">
        <f>IF($C1712="","",ROUND(IFERROR(VLOOKUP($C1712,账户期初,2,0),0)+SUMIFS($J$4:J1712,$C$4:C1712,$C1712)-SUMIFS($K$4:K1712,$C$4:C1712,$C1712),2))</f>
        <v/>
      </c>
      <c r="M1712" s="19">
        <f>IF($C1712="","",ROUND(SUM(基础资料!$B$4:$B$13)+SUM($J$4:J1712)-SUM($K$4:K1712),2))</f>
        <v/>
      </c>
      <c r="N1712" s="13" t="n"/>
      <c r="O1712" s="13" t="n"/>
      <c r="P1712" s="17">
        <f>IF($B1712="","",IF($F1712="※类别不在基础资料里","※费用类别不在基础资料里",IF(AND(N($J1712)=0,N($K1712)=0),"※这行没填金额",IF(AND(N($J1712)&gt;0,N($K1712)&gt;0),"※收入和支出不能同一行都填",IF(AND($D1712="收入",N($J1712)=0),"※收入行要填收入金额",IF(AND($D1712="支出",N($K1712)=0),"※支出行要填支出金额",IF(AND($C1712&lt;&gt;"",ISNA(MATCH($C1712,账户表,0))),"※账户不在基础资料里",IF(AND($G1712&lt;&gt;"",ISNA(MATCH($G1712,项目名表,0))),"※项目不在项目台账里",IF(AND(LEFT($F1712,3)="成本-",$G1712=""),"※成本类支出没填项目",IF(AND(LEFT($F1712,3)="成本-",$H1712&lt;&gt;"",N($K1712)&gt;0,COUNTIFS(采购单!$B:$B,$B1712,采购单!$C:$C,$H1712,采购单!$L:$L,$K1712)&gt;0),"※这笔可能和采购单重复了",""))))))))))</f>
        <v/>
      </c>
    </row>
    <row r="1713">
      <c r="A1713" s="17">
        <f>IF($B1713="","",ROW()-3)</f>
        <v/>
      </c>
      <c r="B1713" s="18" t="n"/>
      <c r="C1713" s="13" t="n"/>
      <c r="D1713" s="13" t="n"/>
      <c r="E1713" s="13" t="n"/>
      <c r="F1713" s="17">
        <f>IF($E1713="","",IFERROR(VLOOKUP($E1713,类别归属,2,0),"※类别不在基础资料里"))</f>
        <v/>
      </c>
      <c r="G1713" s="13" t="n"/>
      <c r="H1713" s="13" t="n"/>
      <c r="I1713" s="13" t="n"/>
      <c r="J1713" s="14" t="n"/>
      <c r="K1713" s="14" t="n"/>
      <c r="L1713" s="19">
        <f>IF($C1713="","",ROUND(IFERROR(VLOOKUP($C1713,账户期初,2,0),0)+SUMIFS($J$4:J1713,$C$4:C1713,$C1713)-SUMIFS($K$4:K1713,$C$4:C1713,$C1713),2))</f>
        <v/>
      </c>
      <c r="M1713" s="19">
        <f>IF($C1713="","",ROUND(SUM(基础资料!$B$4:$B$13)+SUM($J$4:J1713)-SUM($K$4:K1713),2))</f>
        <v/>
      </c>
      <c r="N1713" s="13" t="n"/>
      <c r="O1713" s="13" t="n"/>
      <c r="P1713" s="17">
        <f>IF($B1713="","",IF($F1713="※类别不在基础资料里","※费用类别不在基础资料里",IF(AND(N($J1713)=0,N($K1713)=0),"※这行没填金额",IF(AND(N($J1713)&gt;0,N($K1713)&gt;0),"※收入和支出不能同一行都填",IF(AND($D1713="收入",N($J1713)=0),"※收入行要填收入金额",IF(AND($D1713="支出",N($K1713)=0),"※支出行要填支出金额",IF(AND($C1713&lt;&gt;"",ISNA(MATCH($C1713,账户表,0))),"※账户不在基础资料里",IF(AND($G1713&lt;&gt;"",ISNA(MATCH($G1713,项目名表,0))),"※项目不在项目台账里",IF(AND(LEFT($F1713,3)="成本-",$G1713=""),"※成本类支出没填项目",IF(AND(LEFT($F1713,3)="成本-",$H1713&lt;&gt;"",N($K1713)&gt;0,COUNTIFS(采购单!$B:$B,$B1713,采购单!$C:$C,$H1713,采购单!$L:$L,$K1713)&gt;0),"※这笔可能和采购单重复了",""))))))))))</f>
        <v/>
      </c>
    </row>
    <row r="1714">
      <c r="A1714" s="17">
        <f>IF($B1714="","",ROW()-3)</f>
        <v/>
      </c>
      <c r="B1714" s="18" t="n"/>
      <c r="C1714" s="13" t="n"/>
      <c r="D1714" s="13" t="n"/>
      <c r="E1714" s="13" t="n"/>
      <c r="F1714" s="17">
        <f>IF($E1714="","",IFERROR(VLOOKUP($E1714,类别归属,2,0),"※类别不在基础资料里"))</f>
        <v/>
      </c>
      <c r="G1714" s="13" t="n"/>
      <c r="H1714" s="13" t="n"/>
      <c r="I1714" s="13" t="n"/>
      <c r="J1714" s="14" t="n"/>
      <c r="K1714" s="14" t="n"/>
      <c r="L1714" s="19">
        <f>IF($C1714="","",ROUND(IFERROR(VLOOKUP($C1714,账户期初,2,0),0)+SUMIFS($J$4:J1714,$C$4:C1714,$C1714)-SUMIFS($K$4:K1714,$C$4:C1714,$C1714),2))</f>
        <v/>
      </c>
      <c r="M1714" s="19">
        <f>IF($C1714="","",ROUND(SUM(基础资料!$B$4:$B$13)+SUM($J$4:J1714)-SUM($K$4:K1714),2))</f>
        <v/>
      </c>
      <c r="N1714" s="13" t="n"/>
      <c r="O1714" s="13" t="n"/>
      <c r="P1714" s="17">
        <f>IF($B1714="","",IF($F1714="※类别不在基础资料里","※费用类别不在基础资料里",IF(AND(N($J1714)=0,N($K1714)=0),"※这行没填金额",IF(AND(N($J1714)&gt;0,N($K1714)&gt;0),"※收入和支出不能同一行都填",IF(AND($D1714="收入",N($J1714)=0),"※收入行要填收入金额",IF(AND($D1714="支出",N($K1714)=0),"※支出行要填支出金额",IF(AND($C1714&lt;&gt;"",ISNA(MATCH($C1714,账户表,0))),"※账户不在基础资料里",IF(AND($G1714&lt;&gt;"",ISNA(MATCH($G1714,项目名表,0))),"※项目不在项目台账里",IF(AND(LEFT($F1714,3)="成本-",$G1714=""),"※成本类支出没填项目",IF(AND(LEFT($F1714,3)="成本-",$H1714&lt;&gt;"",N($K1714)&gt;0,COUNTIFS(采购单!$B:$B,$B1714,采购单!$C:$C,$H1714,采购单!$L:$L,$K1714)&gt;0),"※这笔可能和采购单重复了",""))))))))))</f>
        <v/>
      </c>
    </row>
    <row r="1715">
      <c r="A1715" s="17">
        <f>IF($B1715="","",ROW()-3)</f>
        <v/>
      </c>
      <c r="B1715" s="18" t="n"/>
      <c r="C1715" s="13" t="n"/>
      <c r="D1715" s="13" t="n"/>
      <c r="E1715" s="13" t="n"/>
      <c r="F1715" s="17">
        <f>IF($E1715="","",IFERROR(VLOOKUP($E1715,类别归属,2,0),"※类别不在基础资料里"))</f>
        <v/>
      </c>
      <c r="G1715" s="13" t="n"/>
      <c r="H1715" s="13" t="n"/>
      <c r="I1715" s="13" t="n"/>
      <c r="J1715" s="14" t="n"/>
      <c r="K1715" s="14" t="n"/>
      <c r="L1715" s="19">
        <f>IF($C1715="","",ROUND(IFERROR(VLOOKUP($C1715,账户期初,2,0),0)+SUMIFS($J$4:J1715,$C$4:C1715,$C1715)-SUMIFS($K$4:K1715,$C$4:C1715,$C1715),2))</f>
        <v/>
      </c>
      <c r="M1715" s="19">
        <f>IF($C1715="","",ROUND(SUM(基础资料!$B$4:$B$13)+SUM($J$4:J1715)-SUM($K$4:K1715),2))</f>
        <v/>
      </c>
      <c r="N1715" s="13" t="n"/>
      <c r="O1715" s="13" t="n"/>
      <c r="P1715" s="17">
        <f>IF($B1715="","",IF($F1715="※类别不在基础资料里","※费用类别不在基础资料里",IF(AND(N($J1715)=0,N($K1715)=0),"※这行没填金额",IF(AND(N($J1715)&gt;0,N($K1715)&gt;0),"※收入和支出不能同一行都填",IF(AND($D1715="收入",N($J1715)=0),"※收入行要填收入金额",IF(AND($D1715="支出",N($K1715)=0),"※支出行要填支出金额",IF(AND($C1715&lt;&gt;"",ISNA(MATCH($C1715,账户表,0))),"※账户不在基础资料里",IF(AND($G1715&lt;&gt;"",ISNA(MATCH($G1715,项目名表,0))),"※项目不在项目台账里",IF(AND(LEFT($F1715,3)="成本-",$G1715=""),"※成本类支出没填项目",IF(AND(LEFT($F1715,3)="成本-",$H1715&lt;&gt;"",N($K1715)&gt;0,COUNTIFS(采购单!$B:$B,$B1715,采购单!$C:$C,$H1715,采购单!$L:$L,$K1715)&gt;0),"※这笔可能和采购单重复了",""))))))))))</f>
        <v/>
      </c>
    </row>
    <row r="1716">
      <c r="A1716" s="17">
        <f>IF($B1716="","",ROW()-3)</f>
        <v/>
      </c>
      <c r="B1716" s="18" t="n"/>
      <c r="C1716" s="13" t="n"/>
      <c r="D1716" s="13" t="n"/>
      <c r="E1716" s="13" t="n"/>
      <c r="F1716" s="17">
        <f>IF($E1716="","",IFERROR(VLOOKUP($E1716,类别归属,2,0),"※类别不在基础资料里"))</f>
        <v/>
      </c>
      <c r="G1716" s="13" t="n"/>
      <c r="H1716" s="13" t="n"/>
      <c r="I1716" s="13" t="n"/>
      <c r="J1716" s="14" t="n"/>
      <c r="K1716" s="14" t="n"/>
      <c r="L1716" s="19">
        <f>IF($C1716="","",ROUND(IFERROR(VLOOKUP($C1716,账户期初,2,0),0)+SUMIFS($J$4:J1716,$C$4:C1716,$C1716)-SUMIFS($K$4:K1716,$C$4:C1716,$C1716),2))</f>
        <v/>
      </c>
      <c r="M1716" s="19">
        <f>IF($C1716="","",ROUND(SUM(基础资料!$B$4:$B$13)+SUM($J$4:J1716)-SUM($K$4:K1716),2))</f>
        <v/>
      </c>
      <c r="N1716" s="13" t="n"/>
      <c r="O1716" s="13" t="n"/>
      <c r="P1716" s="17">
        <f>IF($B1716="","",IF($F1716="※类别不在基础资料里","※费用类别不在基础资料里",IF(AND(N($J1716)=0,N($K1716)=0),"※这行没填金额",IF(AND(N($J1716)&gt;0,N($K1716)&gt;0),"※收入和支出不能同一行都填",IF(AND($D1716="收入",N($J1716)=0),"※收入行要填收入金额",IF(AND($D1716="支出",N($K1716)=0),"※支出行要填支出金额",IF(AND($C1716&lt;&gt;"",ISNA(MATCH($C1716,账户表,0))),"※账户不在基础资料里",IF(AND($G1716&lt;&gt;"",ISNA(MATCH($G1716,项目名表,0))),"※项目不在项目台账里",IF(AND(LEFT($F1716,3)="成本-",$G1716=""),"※成本类支出没填项目",IF(AND(LEFT($F1716,3)="成本-",$H1716&lt;&gt;"",N($K1716)&gt;0,COUNTIFS(采购单!$B:$B,$B1716,采购单!$C:$C,$H1716,采购单!$L:$L,$K1716)&gt;0),"※这笔可能和采购单重复了",""))))))))))</f>
        <v/>
      </c>
    </row>
    <row r="1717">
      <c r="A1717" s="17">
        <f>IF($B1717="","",ROW()-3)</f>
        <v/>
      </c>
      <c r="B1717" s="18" t="n"/>
      <c r="C1717" s="13" t="n"/>
      <c r="D1717" s="13" t="n"/>
      <c r="E1717" s="13" t="n"/>
      <c r="F1717" s="17">
        <f>IF($E1717="","",IFERROR(VLOOKUP($E1717,类别归属,2,0),"※类别不在基础资料里"))</f>
        <v/>
      </c>
      <c r="G1717" s="13" t="n"/>
      <c r="H1717" s="13" t="n"/>
      <c r="I1717" s="13" t="n"/>
      <c r="J1717" s="14" t="n"/>
      <c r="K1717" s="14" t="n"/>
      <c r="L1717" s="19">
        <f>IF($C1717="","",ROUND(IFERROR(VLOOKUP($C1717,账户期初,2,0),0)+SUMIFS($J$4:J1717,$C$4:C1717,$C1717)-SUMIFS($K$4:K1717,$C$4:C1717,$C1717),2))</f>
        <v/>
      </c>
      <c r="M1717" s="19">
        <f>IF($C1717="","",ROUND(SUM(基础资料!$B$4:$B$13)+SUM($J$4:J1717)-SUM($K$4:K1717),2))</f>
        <v/>
      </c>
      <c r="N1717" s="13" t="n"/>
      <c r="O1717" s="13" t="n"/>
      <c r="P1717" s="17">
        <f>IF($B1717="","",IF($F1717="※类别不在基础资料里","※费用类别不在基础资料里",IF(AND(N($J1717)=0,N($K1717)=0),"※这行没填金额",IF(AND(N($J1717)&gt;0,N($K1717)&gt;0),"※收入和支出不能同一行都填",IF(AND($D1717="收入",N($J1717)=0),"※收入行要填收入金额",IF(AND($D1717="支出",N($K1717)=0),"※支出行要填支出金额",IF(AND($C1717&lt;&gt;"",ISNA(MATCH($C1717,账户表,0))),"※账户不在基础资料里",IF(AND($G1717&lt;&gt;"",ISNA(MATCH($G1717,项目名表,0))),"※项目不在项目台账里",IF(AND(LEFT($F1717,3)="成本-",$G1717=""),"※成本类支出没填项目",IF(AND(LEFT($F1717,3)="成本-",$H1717&lt;&gt;"",N($K1717)&gt;0,COUNTIFS(采购单!$B:$B,$B1717,采购单!$C:$C,$H1717,采购单!$L:$L,$K1717)&gt;0),"※这笔可能和采购单重复了",""))))))))))</f>
        <v/>
      </c>
    </row>
    <row r="1718">
      <c r="A1718" s="17">
        <f>IF($B1718="","",ROW()-3)</f>
        <v/>
      </c>
      <c r="B1718" s="18" t="n"/>
      <c r="C1718" s="13" t="n"/>
      <c r="D1718" s="13" t="n"/>
      <c r="E1718" s="13" t="n"/>
      <c r="F1718" s="17">
        <f>IF($E1718="","",IFERROR(VLOOKUP($E1718,类别归属,2,0),"※类别不在基础资料里"))</f>
        <v/>
      </c>
      <c r="G1718" s="13" t="n"/>
      <c r="H1718" s="13" t="n"/>
      <c r="I1718" s="13" t="n"/>
      <c r="J1718" s="14" t="n"/>
      <c r="K1718" s="14" t="n"/>
      <c r="L1718" s="19">
        <f>IF($C1718="","",ROUND(IFERROR(VLOOKUP($C1718,账户期初,2,0),0)+SUMIFS($J$4:J1718,$C$4:C1718,$C1718)-SUMIFS($K$4:K1718,$C$4:C1718,$C1718),2))</f>
        <v/>
      </c>
      <c r="M1718" s="19">
        <f>IF($C1718="","",ROUND(SUM(基础资料!$B$4:$B$13)+SUM($J$4:J1718)-SUM($K$4:K1718),2))</f>
        <v/>
      </c>
      <c r="N1718" s="13" t="n"/>
      <c r="O1718" s="13" t="n"/>
      <c r="P1718" s="17">
        <f>IF($B1718="","",IF($F1718="※类别不在基础资料里","※费用类别不在基础资料里",IF(AND(N($J1718)=0,N($K1718)=0),"※这行没填金额",IF(AND(N($J1718)&gt;0,N($K1718)&gt;0),"※收入和支出不能同一行都填",IF(AND($D1718="收入",N($J1718)=0),"※收入行要填收入金额",IF(AND($D1718="支出",N($K1718)=0),"※支出行要填支出金额",IF(AND($C1718&lt;&gt;"",ISNA(MATCH($C1718,账户表,0))),"※账户不在基础资料里",IF(AND($G1718&lt;&gt;"",ISNA(MATCH($G1718,项目名表,0))),"※项目不在项目台账里",IF(AND(LEFT($F1718,3)="成本-",$G1718=""),"※成本类支出没填项目",IF(AND(LEFT($F1718,3)="成本-",$H1718&lt;&gt;"",N($K1718)&gt;0,COUNTIFS(采购单!$B:$B,$B1718,采购单!$C:$C,$H1718,采购单!$L:$L,$K1718)&gt;0),"※这笔可能和采购单重复了",""))))))))))</f>
        <v/>
      </c>
    </row>
    <row r="1719">
      <c r="A1719" s="17">
        <f>IF($B1719="","",ROW()-3)</f>
        <v/>
      </c>
      <c r="B1719" s="18" t="n"/>
      <c r="C1719" s="13" t="n"/>
      <c r="D1719" s="13" t="n"/>
      <c r="E1719" s="13" t="n"/>
      <c r="F1719" s="17">
        <f>IF($E1719="","",IFERROR(VLOOKUP($E1719,类别归属,2,0),"※类别不在基础资料里"))</f>
        <v/>
      </c>
      <c r="G1719" s="13" t="n"/>
      <c r="H1719" s="13" t="n"/>
      <c r="I1719" s="13" t="n"/>
      <c r="J1719" s="14" t="n"/>
      <c r="K1719" s="14" t="n"/>
      <c r="L1719" s="19">
        <f>IF($C1719="","",ROUND(IFERROR(VLOOKUP($C1719,账户期初,2,0),0)+SUMIFS($J$4:J1719,$C$4:C1719,$C1719)-SUMIFS($K$4:K1719,$C$4:C1719,$C1719),2))</f>
        <v/>
      </c>
      <c r="M1719" s="19">
        <f>IF($C1719="","",ROUND(SUM(基础资料!$B$4:$B$13)+SUM($J$4:J1719)-SUM($K$4:K1719),2))</f>
        <v/>
      </c>
      <c r="N1719" s="13" t="n"/>
      <c r="O1719" s="13" t="n"/>
      <c r="P1719" s="17">
        <f>IF($B1719="","",IF($F1719="※类别不在基础资料里","※费用类别不在基础资料里",IF(AND(N($J1719)=0,N($K1719)=0),"※这行没填金额",IF(AND(N($J1719)&gt;0,N($K1719)&gt;0),"※收入和支出不能同一行都填",IF(AND($D1719="收入",N($J1719)=0),"※收入行要填收入金额",IF(AND($D1719="支出",N($K1719)=0),"※支出行要填支出金额",IF(AND($C1719&lt;&gt;"",ISNA(MATCH($C1719,账户表,0))),"※账户不在基础资料里",IF(AND($G1719&lt;&gt;"",ISNA(MATCH($G1719,项目名表,0))),"※项目不在项目台账里",IF(AND(LEFT($F1719,3)="成本-",$G1719=""),"※成本类支出没填项目",IF(AND(LEFT($F1719,3)="成本-",$H1719&lt;&gt;"",N($K1719)&gt;0,COUNTIFS(采购单!$B:$B,$B1719,采购单!$C:$C,$H1719,采购单!$L:$L,$K1719)&gt;0),"※这笔可能和采购单重复了",""))))))))))</f>
        <v/>
      </c>
    </row>
    <row r="1720">
      <c r="A1720" s="17">
        <f>IF($B1720="","",ROW()-3)</f>
        <v/>
      </c>
      <c r="B1720" s="18" t="n"/>
      <c r="C1720" s="13" t="n"/>
      <c r="D1720" s="13" t="n"/>
      <c r="E1720" s="13" t="n"/>
      <c r="F1720" s="17">
        <f>IF($E1720="","",IFERROR(VLOOKUP($E1720,类别归属,2,0),"※类别不在基础资料里"))</f>
        <v/>
      </c>
      <c r="G1720" s="13" t="n"/>
      <c r="H1720" s="13" t="n"/>
      <c r="I1720" s="13" t="n"/>
      <c r="J1720" s="14" t="n"/>
      <c r="K1720" s="14" t="n"/>
      <c r="L1720" s="19">
        <f>IF($C1720="","",ROUND(IFERROR(VLOOKUP($C1720,账户期初,2,0),0)+SUMIFS($J$4:J1720,$C$4:C1720,$C1720)-SUMIFS($K$4:K1720,$C$4:C1720,$C1720),2))</f>
        <v/>
      </c>
      <c r="M1720" s="19">
        <f>IF($C1720="","",ROUND(SUM(基础资料!$B$4:$B$13)+SUM($J$4:J1720)-SUM($K$4:K1720),2))</f>
        <v/>
      </c>
      <c r="N1720" s="13" t="n"/>
      <c r="O1720" s="13" t="n"/>
      <c r="P1720" s="17">
        <f>IF($B1720="","",IF($F1720="※类别不在基础资料里","※费用类别不在基础资料里",IF(AND(N($J1720)=0,N($K1720)=0),"※这行没填金额",IF(AND(N($J1720)&gt;0,N($K1720)&gt;0),"※收入和支出不能同一行都填",IF(AND($D1720="收入",N($J1720)=0),"※收入行要填收入金额",IF(AND($D1720="支出",N($K1720)=0),"※支出行要填支出金额",IF(AND($C1720&lt;&gt;"",ISNA(MATCH($C1720,账户表,0))),"※账户不在基础资料里",IF(AND($G1720&lt;&gt;"",ISNA(MATCH($G1720,项目名表,0))),"※项目不在项目台账里",IF(AND(LEFT($F1720,3)="成本-",$G1720=""),"※成本类支出没填项目",IF(AND(LEFT($F1720,3)="成本-",$H1720&lt;&gt;"",N($K1720)&gt;0,COUNTIFS(采购单!$B:$B,$B1720,采购单!$C:$C,$H1720,采购单!$L:$L,$K1720)&gt;0),"※这笔可能和采购单重复了",""))))))))))</f>
        <v/>
      </c>
    </row>
    <row r="1721">
      <c r="A1721" s="17">
        <f>IF($B1721="","",ROW()-3)</f>
        <v/>
      </c>
      <c r="B1721" s="18" t="n"/>
      <c r="C1721" s="13" t="n"/>
      <c r="D1721" s="13" t="n"/>
      <c r="E1721" s="13" t="n"/>
      <c r="F1721" s="17">
        <f>IF($E1721="","",IFERROR(VLOOKUP($E1721,类别归属,2,0),"※类别不在基础资料里"))</f>
        <v/>
      </c>
      <c r="G1721" s="13" t="n"/>
      <c r="H1721" s="13" t="n"/>
      <c r="I1721" s="13" t="n"/>
      <c r="J1721" s="14" t="n"/>
      <c r="K1721" s="14" t="n"/>
      <c r="L1721" s="19">
        <f>IF($C1721="","",ROUND(IFERROR(VLOOKUP($C1721,账户期初,2,0),0)+SUMIFS($J$4:J1721,$C$4:C1721,$C1721)-SUMIFS($K$4:K1721,$C$4:C1721,$C1721),2))</f>
        <v/>
      </c>
      <c r="M1721" s="19">
        <f>IF($C1721="","",ROUND(SUM(基础资料!$B$4:$B$13)+SUM($J$4:J1721)-SUM($K$4:K1721),2))</f>
        <v/>
      </c>
      <c r="N1721" s="13" t="n"/>
      <c r="O1721" s="13" t="n"/>
      <c r="P1721" s="17">
        <f>IF($B1721="","",IF($F1721="※类别不在基础资料里","※费用类别不在基础资料里",IF(AND(N($J1721)=0,N($K1721)=0),"※这行没填金额",IF(AND(N($J1721)&gt;0,N($K1721)&gt;0),"※收入和支出不能同一行都填",IF(AND($D1721="收入",N($J1721)=0),"※收入行要填收入金额",IF(AND($D1721="支出",N($K1721)=0),"※支出行要填支出金额",IF(AND($C1721&lt;&gt;"",ISNA(MATCH($C1721,账户表,0))),"※账户不在基础资料里",IF(AND($G1721&lt;&gt;"",ISNA(MATCH($G1721,项目名表,0))),"※项目不在项目台账里",IF(AND(LEFT($F1721,3)="成本-",$G1721=""),"※成本类支出没填项目",IF(AND(LEFT($F1721,3)="成本-",$H1721&lt;&gt;"",N($K1721)&gt;0,COUNTIFS(采购单!$B:$B,$B1721,采购单!$C:$C,$H1721,采购单!$L:$L,$K1721)&gt;0),"※这笔可能和采购单重复了",""))))))))))</f>
        <v/>
      </c>
    </row>
    <row r="1722">
      <c r="A1722" s="17">
        <f>IF($B1722="","",ROW()-3)</f>
        <v/>
      </c>
      <c r="B1722" s="18" t="n"/>
      <c r="C1722" s="13" t="n"/>
      <c r="D1722" s="13" t="n"/>
      <c r="E1722" s="13" t="n"/>
      <c r="F1722" s="17">
        <f>IF($E1722="","",IFERROR(VLOOKUP($E1722,类别归属,2,0),"※类别不在基础资料里"))</f>
        <v/>
      </c>
      <c r="G1722" s="13" t="n"/>
      <c r="H1722" s="13" t="n"/>
      <c r="I1722" s="13" t="n"/>
      <c r="J1722" s="14" t="n"/>
      <c r="K1722" s="14" t="n"/>
      <c r="L1722" s="19">
        <f>IF($C1722="","",ROUND(IFERROR(VLOOKUP($C1722,账户期初,2,0),0)+SUMIFS($J$4:J1722,$C$4:C1722,$C1722)-SUMIFS($K$4:K1722,$C$4:C1722,$C1722),2))</f>
        <v/>
      </c>
      <c r="M1722" s="19">
        <f>IF($C1722="","",ROUND(SUM(基础资料!$B$4:$B$13)+SUM($J$4:J1722)-SUM($K$4:K1722),2))</f>
        <v/>
      </c>
      <c r="N1722" s="13" t="n"/>
      <c r="O1722" s="13" t="n"/>
      <c r="P1722" s="17">
        <f>IF($B1722="","",IF($F1722="※类别不在基础资料里","※费用类别不在基础资料里",IF(AND(N($J1722)=0,N($K1722)=0),"※这行没填金额",IF(AND(N($J1722)&gt;0,N($K1722)&gt;0),"※收入和支出不能同一行都填",IF(AND($D1722="收入",N($J1722)=0),"※收入行要填收入金额",IF(AND($D1722="支出",N($K1722)=0),"※支出行要填支出金额",IF(AND($C1722&lt;&gt;"",ISNA(MATCH($C1722,账户表,0))),"※账户不在基础资料里",IF(AND($G1722&lt;&gt;"",ISNA(MATCH($G1722,项目名表,0))),"※项目不在项目台账里",IF(AND(LEFT($F1722,3)="成本-",$G1722=""),"※成本类支出没填项目",IF(AND(LEFT($F1722,3)="成本-",$H1722&lt;&gt;"",N($K1722)&gt;0,COUNTIFS(采购单!$B:$B,$B1722,采购单!$C:$C,$H1722,采购单!$L:$L,$K1722)&gt;0),"※这笔可能和采购单重复了",""))))))))))</f>
        <v/>
      </c>
    </row>
    <row r="1723">
      <c r="A1723" s="17">
        <f>IF($B1723="","",ROW()-3)</f>
        <v/>
      </c>
      <c r="B1723" s="18" t="n"/>
      <c r="C1723" s="13" t="n"/>
      <c r="D1723" s="13" t="n"/>
      <c r="E1723" s="13" t="n"/>
      <c r="F1723" s="17">
        <f>IF($E1723="","",IFERROR(VLOOKUP($E1723,类别归属,2,0),"※类别不在基础资料里"))</f>
        <v/>
      </c>
      <c r="G1723" s="13" t="n"/>
      <c r="H1723" s="13" t="n"/>
      <c r="I1723" s="13" t="n"/>
      <c r="J1723" s="14" t="n"/>
      <c r="K1723" s="14" t="n"/>
      <c r="L1723" s="19">
        <f>IF($C1723="","",ROUND(IFERROR(VLOOKUP($C1723,账户期初,2,0),0)+SUMIFS($J$4:J1723,$C$4:C1723,$C1723)-SUMIFS($K$4:K1723,$C$4:C1723,$C1723),2))</f>
        <v/>
      </c>
      <c r="M1723" s="19">
        <f>IF($C1723="","",ROUND(SUM(基础资料!$B$4:$B$13)+SUM($J$4:J1723)-SUM($K$4:K1723),2))</f>
        <v/>
      </c>
      <c r="N1723" s="13" t="n"/>
      <c r="O1723" s="13" t="n"/>
      <c r="P1723" s="17">
        <f>IF($B1723="","",IF($F1723="※类别不在基础资料里","※费用类别不在基础资料里",IF(AND(N($J1723)=0,N($K1723)=0),"※这行没填金额",IF(AND(N($J1723)&gt;0,N($K1723)&gt;0),"※收入和支出不能同一行都填",IF(AND($D1723="收入",N($J1723)=0),"※收入行要填收入金额",IF(AND($D1723="支出",N($K1723)=0),"※支出行要填支出金额",IF(AND($C1723&lt;&gt;"",ISNA(MATCH($C1723,账户表,0))),"※账户不在基础资料里",IF(AND($G1723&lt;&gt;"",ISNA(MATCH($G1723,项目名表,0))),"※项目不在项目台账里",IF(AND(LEFT($F1723,3)="成本-",$G1723=""),"※成本类支出没填项目",IF(AND(LEFT($F1723,3)="成本-",$H1723&lt;&gt;"",N($K1723)&gt;0,COUNTIFS(采购单!$B:$B,$B1723,采购单!$C:$C,$H1723,采购单!$L:$L,$K1723)&gt;0),"※这笔可能和采购单重复了",""))))))))))</f>
        <v/>
      </c>
    </row>
    <row r="1724">
      <c r="A1724" s="17">
        <f>IF($B1724="","",ROW()-3)</f>
        <v/>
      </c>
      <c r="B1724" s="18" t="n"/>
      <c r="C1724" s="13" t="n"/>
      <c r="D1724" s="13" t="n"/>
      <c r="E1724" s="13" t="n"/>
      <c r="F1724" s="17">
        <f>IF($E1724="","",IFERROR(VLOOKUP($E1724,类别归属,2,0),"※类别不在基础资料里"))</f>
        <v/>
      </c>
      <c r="G1724" s="13" t="n"/>
      <c r="H1724" s="13" t="n"/>
      <c r="I1724" s="13" t="n"/>
      <c r="J1724" s="14" t="n"/>
      <c r="K1724" s="14" t="n"/>
      <c r="L1724" s="19">
        <f>IF($C1724="","",ROUND(IFERROR(VLOOKUP($C1724,账户期初,2,0),0)+SUMIFS($J$4:J1724,$C$4:C1724,$C1724)-SUMIFS($K$4:K1724,$C$4:C1724,$C1724),2))</f>
        <v/>
      </c>
      <c r="M1724" s="19">
        <f>IF($C1724="","",ROUND(SUM(基础资料!$B$4:$B$13)+SUM($J$4:J1724)-SUM($K$4:K1724),2))</f>
        <v/>
      </c>
      <c r="N1724" s="13" t="n"/>
      <c r="O1724" s="13" t="n"/>
      <c r="P1724" s="17">
        <f>IF($B1724="","",IF($F1724="※类别不在基础资料里","※费用类别不在基础资料里",IF(AND(N($J1724)=0,N($K1724)=0),"※这行没填金额",IF(AND(N($J1724)&gt;0,N($K1724)&gt;0),"※收入和支出不能同一行都填",IF(AND($D1724="收入",N($J1724)=0),"※收入行要填收入金额",IF(AND($D1724="支出",N($K1724)=0),"※支出行要填支出金额",IF(AND($C1724&lt;&gt;"",ISNA(MATCH($C1724,账户表,0))),"※账户不在基础资料里",IF(AND($G1724&lt;&gt;"",ISNA(MATCH($G1724,项目名表,0))),"※项目不在项目台账里",IF(AND(LEFT($F1724,3)="成本-",$G1724=""),"※成本类支出没填项目",IF(AND(LEFT($F1724,3)="成本-",$H1724&lt;&gt;"",N($K1724)&gt;0,COUNTIFS(采购单!$B:$B,$B1724,采购单!$C:$C,$H1724,采购单!$L:$L,$K1724)&gt;0),"※这笔可能和采购单重复了",""))))))))))</f>
        <v/>
      </c>
    </row>
    <row r="1725">
      <c r="A1725" s="17">
        <f>IF($B1725="","",ROW()-3)</f>
        <v/>
      </c>
      <c r="B1725" s="18" t="n"/>
      <c r="C1725" s="13" t="n"/>
      <c r="D1725" s="13" t="n"/>
      <c r="E1725" s="13" t="n"/>
      <c r="F1725" s="17">
        <f>IF($E1725="","",IFERROR(VLOOKUP($E1725,类别归属,2,0),"※类别不在基础资料里"))</f>
        <v/>
      </c>
      <c r="G1725" s="13" t="n"/>
      <c r="H1725" s="13" t="n"/>
      <c r="I1725" s="13" t="n"/>
      <c r="J1725" s="14" t="n"/>
      <c r="K1725" s="14" t="n"/>
      <c r="L1725" s="19">
        <f>IF($C1725="","",ROUND(IFERROR(VLOOKUP($C1725,账户期初,2,0),0)+SUMIFS($J$4:J1725,$C$4:C1725,$C1725)-SUMIFS($K$4:K1725,$C$4:C1725,$C1725),2))</f>
        <v/>
      </c>
      <c r="M1725" s="19">
        <f>IF($C1725="","",ROUND(SUM(基础资料!$B$4:$B$13)+SUM($J$4:J1725)-SUM($K$4:K1725),2))</f>
        <v/>
      </c>
      <c r="N1725" s="13" t="n"/>
      <c r="O1725" s="13" t="n"/>
      <c r="P1725" s="17">
        <f>IF($B1725="","",IF($F1725="※类别不在基础资料里","※费用类别不在基础资料里",IF(AND(N($J1725)=0,N($K1725)=0),"※这行没填金额",IF(AND(N($J1725)&gt;0,N($K1725)&gt;0),"※收入和支出不能同一行都填",IF(AND($D1725="收入",N($J1725)=0),"※收入行要填收入金额",IF(AND($D1725="支出",N($K1725)=0),"※支出行要填支出金额",IF(AND($C1725&lt;&gt;"",ISNA(MATCH($C1725,账户表,0))),"※账户不在基础资料里",IF(AND($G1725&lt;&gt;"",ISNA(MATCH($G1725,项目名表,0))),"※项目不在项目台账里",IF(AND(LEFT($F1725,3)="成本-",$G1725=""),"※成本类支出没填项目",IF(AND(LEFT($F1725,3)="成本-",$H1725&lt;&gt;"",N($K1725)&gt;0,COUNTIFS(采购单!$B:$B,$B1725,采购单!$C:$C,$H1725,采购单!$L:$L,$K1725)&gt;0),"※这笔可能和采购单重复了",""))))))))))</f>
        <v/>
      </c>
    </row>
    <row r="1726">
      <c r="A1726" s="17">
        <f>IF($B1726="","",ROW()-3)</f>
        <v/>
      </c>
      <c r="B1726" s="18" t="n"/>
      <c r="C1726" s="13" t="n"/>
      <c r="D1726" s="13" t="n"/>
      <c r="E1726" s="13" t="n"/>
      <c r="F1726" s="17">
        <f>IF($E1726="","",IFERROR(VLOOKUP($E1726,类别归属,2,0),"※类别不在基础资料里"))</f>
        <v/>
      </c>
      <c r="G1726" s="13" t="n"/>
      <c r="H1726" s="13" t="n"/>
      <c r="I1726" s="13" t="n"/>
      <c r="J1726" s="14" t="n"/>
      <c r="K1726" s="14" t="n"/>
      <c r="L1726" s="19">
        <f>IF($C1726="","",ROUND(IFERROR(VLOOKUP($C1726,账户期初,2,0),0)+SUMIFS($J$4:J1726,$C$4:C1726,$C1726)-SUMIFS($K$4:K1726,$C$4:C1726,$C1726),2))</f>
        <v/>
      </c>
      <c r="M1726" s="19">
        <f>IF($C1726="","",ROUND(SUM(基础资料!$B$4:$B$13)+SUM($J$4:J1726)-SUM($K$4:K1726),2))</f>
        <v/>
      </c>
      <c r="N1726" s="13" t="n"/>
      <c r="O1726" s="13" t="n"/>
      <c r="P1726" s="17">
        <f>IF($B1726="","",IF($F1726="※类别不在基础资料里","※费用类别不在基础资料里",IF(AND(N($J1726)=0,N($K1726)=0),"※这行没填金额",IF(AND(N($J1726)&gt;0,N($K1726)&gt;0),"※收入和支出不能同一行都填",IF(AND($D1726="收入",N($J1726)=0),"※收入行要填收入金额",IF(AND($D1726="支出",N($K1726)=0),"※支出行要填支出金额",IF(AND($C1726&lt;&gt;"",ISNA(MATCH($C1726,账户表,0))),"※账户不在基础资料里",IF(AND($G1726&lt;&gt;"",ISNA(MATCH($G1726,项目名表,0))),"※项目不在项目台账里",IF(AND(LEFT($F1726,3)="成本-",$G1726=""),"※成本类支出没填项目",IF(AND(LEFT($F1726,3)="成本-",$H1726&lt;&gt;"",N($K1726)&gt;0,COUNTIFS(采购单!$B:$B,$B1726,采购单!$C:$C,$H1726,采购单!$L:$L,$K1726)&gt;0),"※这笔可能和采购单重复了",""))))))))))</f>
        <v/>
      </c>
    </row>
    <row r="1727">
      <c r="A1727" s="17">
        <f>IF($B1727="","",ROW()-3)</f>
        <v/>
      </c>
      <c r="B1727" s="18" t="n"/>
      <c r="C1727" s="13" t="n"/>
      <c r="D1727" s="13" t="n"/>
      <c r="E1727" s="13" t="n"/>
      <c r="F1727" s="17">
        <f>IF($E1727="","",IFERROR(VLOOKUP($E1727,类别归属,2,0),"※类别不在基础资料里"))</f>
        <v/>
      </c>
      <c r="G1727" s="13" t="n"/>
      <c r="H1727" s="13" t="n"/>
      <c r="I1727" s="13" t="n"/>
      <c r="J1727" s="14" t="n"/>
      <c r="K1727" s="14" t="n"/>
      <c r="L1727" s="19">
        <f>IF($C1727="","",ROUND(IFERROR(VLOOKUP($C1727,账户期初,2,0),0)+SUMIFS($J$4:J1727,$C$4:C1727,$C1727)-SUMIFS($K$4:K1727,$C$4:C1727,$C1727),2))</f>
        <v/>
      </c>
      <c r="M1727" s="19">
        <f>IF($C1727="","",ROUND(SUM(基础资料!$B$4:$B$13)+SUM($J$4:J1727)-SUM($K$4:K1727),2))</f>
        <v/>
      </c>
      <c r="N1727" s="13" t="n"/>
      <c r="O1727" s="13" t="n"/>
      <c r="P1727" s="17">
        <f>IF($B1727="","",IF($F1727="※类别不在基础资料里","※费用类别不在基础资料里",IF(AND(N($J1727)=0,N($K1727)=0),"※这行没填金额",IF(AND(N($J1727)&gt;0,N($K1727)&gt;0),"※收入和支出不能同一行都填",IF(AND($D1727="收入",N($J1727)=0),"※收入行要填收入金额",IF(AND($D1727="支出",N($K1727)=0),"※支出行要填支出金额",IF(AND($C1727&lt;&gt;"",ISNA(MATCH($C1727,账户表,0))),"※账户不在基础资料里",IF(AND($G1727&lt;&gt;"",ISNA(MATCH($G1727,项目名表,0))),"※项目不在项目台账里",IF(AND(LEFT($F1727,3)="成本-",$G1727=""),"※成本类支出没填项目",IF(AND(LEFT($F1727,3)="成本-",$H1727&lt;&gt;"",N($K1727)&gt;0,COUNTIFS(采购单!$B:$B,$B1727,采购单!$C:$C,$H1727,采购单!$L:$L,$K1727)&gt;0),"※这笔可能和采购单重复了",""))))))))))</f>
        <v/>
      </c>
    </row>
    <row r="1728">
      <c r="A1728" s="17">
        <f>IF($B1728="","",ROW()-3)</f>
        <v/>
      </c>
      <c r="B1728" s="18" t="n"/>
      <c r="C1728" s="13" t="n"/>
      <c r="D1728" s="13" t="n"/>
      <c r="E1728" s="13" t="n"/>
      <c r="F1728" s="17">
        <f>IF($E1728="","",IFERROR(VLOOKUP($E1728,类别归属,2,0),"※类别不在基础资料里"))</f>
        <v/>
      </c>
      <c r="G1728" s="13" t="n"/>
      <c r="H1728" s="13" t="n"/>
      <c r="I1728" s="13" t="n"/>
      <c r="J1728" s="14" t="n"/>
      <c r="K1728" s="14" t="n"/>
      <c r="L1728" s="19">
        <f>IF($C1728="","",ROUND(IFERROR(VLOOKUP($C1728,账户期初,2,0),0)+SUMIFS($J$4:J1728,$C$4:C1728,$C1728)-SUMIFS($K$4:K1728,$C$4:C1728,$C1728),2))</f>
        <v/>
      </c>
      <c r="M1728" s="19">
        <f>IF($C1728="","",ROUND(SUM(基础资料!$B$4:$B$13)+SUM($J$4:J1728)-SUM($K$4:K1728),2))</f>
        <v/>
      </c>
      <c r="N1728" s="13" t="n"/>
      <c r="O1728" s="13" t="n"/>
      <c r="P1728" s="17">
        <f>IF($B1728="","",IF($F1728="※类别不在基础资料里","※费用类别不在基础资料里",IF(AND(N($J1728)=0,N($K1728)=0),"※这行没填金额",IF(AND(N($J1728)&gt;0,N($K1728)&gt;0),"※收入和支出不能同一行都填",IF(AND($D1728="收入",N($J1728)=0),"※收入行要填收入金额",IF(AND($D1728="支出",N($K1728)=0),"※支出行要填支出金额",IF(AND($C1728&lt;&gt;"",ISNA(MATCH($C1728,账户表,0))),"※账户不在基础资料里",IF(AND($G1728&lt;&gt;"",ISNA(MATCH($G1728,项目名表,0))),"※项目不在项目台账里",IF(AND(LEFT($F1728,3)="成本-",$G1728=""),"※成本类支出没填项目",IF(AND(LEFT($F1728,3)="成本-",$H1728&lt;&gt;"",N($K1728)&gt;0,COUNTIFS(采购单!$B:$B,$B1728,采购单!$C:$C,$H1728,采购单!$L:$L,$K1728)&gt;0),"※这笔可能和采购单重复了",""))))))))))</f>
        <v/>
      </c>
    </row>
    <row r="1729">
      <c r="A1729" s="17">
        <f>IF($B1729="","",ROW()-3)</f>
        <v/>
      </c>
      <c r="B1729" s="18" t="n"/>
      <c r="C1729" s="13" t="n"/>
      <c r="D1729" s="13" t="n"/>
      <c r="E1729" s="13" t="n"/>
      <c r="F1729" s="17">
        <f>IF($E1729="","",IFERROR(VLOOKUP($E1729,类别归属,2,0),"※类别不在基础资料里"))</f>
        <v/>
      </c>
      <c r="G1729" s="13" t="n"/>
      <c r="H1729" s="13" t="n"/>
      <c r="I1729" s="13" t="n"/>
      <c r="J1729" s="14" t="n"/>
      <c r="K1729" s="14" t="n"/>
      <c r="L1729" s="19">
        <f>IF($C1729="","",ROUND(IFERROR(VLOOKUP($C1729,账户期初,2,0),0)+SUMIFS($J$4:J1729,$C$4:C1729,$C1729)-SUMIFS($K$4:K1729,$C$4:C1729,$C1729),2))</f>
        <v/>
      </c>
      <c r="M1729" s="19">
        <f>IF($C1729="","",ROUND(SUM(基础资料!$B$4:$B$13)+SUM($J$4:J1729)-SUM($K$4:K1729),2))</f>
        <v/>
      </c>
      <c r="N1729" s="13" t="n"/>
      <c r="O1729" s="13" t="n"/>
      <c r="P1729" s="17">
        <f>IF($B1729="","",IF($F1729="※类别不在基础资料里","※费用类别不在基础资料里",IF(AND(N($J1729)=0,N($K1729)=0),"※这行没填金额",IF(AND(N($J1729)&gt;0,N($K1729)&gt;0),"※收入和支出不能同一行都填",IF(AND($D1729="收入",N($J1729)=0),"※收入行要填收入金额",IF(AND($D1729="支出",N($K1729)=0),"※支出行要填支出金额",IF(AND($C1729&lt;&gt;"",ISNA(MATCH($C1729,账户表,0))),"※账户不在基础资料里",IF(AND($G1729&lt;&gt;"",ISNA(MATCH($G1729,项目名表,0))),"※项目不在项目台账里",IF(AND(LEFT($F1729,3)="成本-",$G1729=""),"※成本类支出没填项目",IF(AND(LEFT($F1729,3)="成本-",$H1729&lt;&gt;"",N($K1729)&gt;0,COUNTIFS(采购单!$B:$B,$B1729,采购单!$C:$C,$H1729,采购单!$L:$L,$K1729)&gt;0),"※这笔可能和采购单重复了",""))))))))))</f>
        <v/>
      </c>
    </row>
    <row r="1730">
      <c r="A1730" s="17">
        <f>IF($B1730="","",ROW()-3)</f>
        <v/>
      </c>
      <c r="B1730" s="18" t="n"/>
      <c r="C1730" s="13" t="n"/>
      <c r="D1730" s="13" t="n"/>
      <c r="E1730" s="13" t="n"/>
      <c r="F1730" s="17">
        <f>IF($E1730="","",IFERROR(VLOOKUP($E1730,类别归属,2,0),"※类别不在基础资料里"))</f>
        <v/>
      </c>
      <c r="G1730" s="13" t="n"/>
      <c r="H1730" s="13" t="n"/>
      <c r="I1730" s="13" t="n"/>
      <c r="J1730" s="14" t="n"/>
      <c r="K1730" s="14" t="n"/>
      <c r="L1730" s="19">
        <f>IF($C1730="","",ROUND(IFERROR(VLOOKUP($C1730,账户期初,2,0),0)+SUMIFS($J$4:J1730,$C$4:C1730,$C1730)-SUMIFS($K$4:K1730,$C$4:C1730,$C1730),2))</f>
        <v/>
      </c>
      <c r="M1730" s="19">
        <f>IF($C1730="","",ROUND(SUM(基础资料!$B$4:$B$13)+SUM($J$4:J1730)-SUM($K$4:K1730),2))</f>
        <v/>
      </c>
      <c r="N1730" s="13" t="n"/>
      <c r="O1730" s="13" t="n"/>
      <c r="P1730" s="17">
        <f>IF($B1730="","",IF($F1730="※类别不在基础资料里","※费用类别不在基础资料里",IF(AND(N($J1730)=0,N($K1730)=0),"※这行没填金额",IF(AND(N($J1730)&gt;0,N($K1730)&gt;0),"※收入和支出不能同一行都填",IF(AND($D1730="收入",N($J1730)=0),"※收入行要填收入金额",IF(AND($D1730="支出",N($K1730)=0),"※支出行要填支出金额",IF(AND($C1730&lt;&gt;"",ISNA(MATCH($C1730,账户表,0))),"※账户不在基础资料里",IF(AND($G1730&lt;&gt;"",ISNA(MATCH($G1730,项目名表,0))),"※项目不在项目台账里",IF(AND(LEFT($F1730,3)="成本-",$G1730=""),"※成本类支出没填项目",IF(AND(LEFT($F1730,3)="成本-",$H1730&lt;&gt;"",N($K1730)&gt;0,COUNTIFS(采购单!$B:$B,$B1730,采购单!$C:$C,$H1730,采购单!$L:$L,$K1730)&gt;0),"※这笔可能和采购单重复了",""))))))))))</f>
        <v/>
      </c>
    </row>
    <row r="1731">
      <c r="A1731" s="17">
        <f>IF($B1731="","",ROW()-3)</f>
        <v/>
      </c>
      <c r="B1731" s="18" t="n"/>
      <c r="C1731" s="13" t="n"/>
      <c r="D1731" s="13" t="n"/>
      <c r="E1731" s="13" t="n"/>
      <c r="F1731" s="17">
        <f>IF($E1731="","",IFERROR(VLOOKUP($E1731,类别归属,2,0),"※类别不在基础资料里"))</f>
        <v/>
      </c>
      <c r="G1731" s="13" t="n"/>
      <c r="H1731" s="13" t="n"/>
      <c r="I1731" s="13" t="n"/>
      <c r="J1731" s="14" t="n"/>
      <c r="K1731" s="14" t="n"/>
      <c r="L1731" s="19">
        <f>IF($C1731="","",ROUND(IFERROR(VLOOKUP($C1731,账户期初,2,0),0)+SUMIFS($J$4:J1731,$C$4:C1731,$C1731)-SUMIFS($K$4:K1731,$C$4:C1731,$C1731),2))</f>
        <v/>
      </c>
      <c r="M1731" s="19">
        <f>IF($C1731="","",ROUND(SUM(基础资料!$B$4:$B$13)+SUM($J$4:J1731)-SUM($K$4:K1731),2))</f>
        <v/>
      </c>
      <c r="N1731" s="13" t="n"/>
      <c r="O1731" s="13" t="n"/>
      <c r="P1731" s="17">
        <f>IF($B1731="","",IF($F1731="※类别不在基础资料里","※费用类别不在基础资料里",IF(AND(N($J1731)=0,N($K1731)=0),"※这行没填金额",IF(AND(N($J1731)&gt;0,N($K1731)&gt;0),"※收入和支出不能同一行都填",IF(AND($D1731="收入",N($J1731)=0),"※收入行要填收入金额",IF(AND($D1731="支出",N($K1731)=0),"※支出行要填支出金额",IF(AND($C1731&lt;&gt;"",ISNA(MATCH($C1731,账户表,0))),"※账户不在基础资料里",IF(AND($G1731&lt;&gt;"",ISNA(MATCH($G1731,项目名表,0))),"※项目不在项目台账里",IF(AND(LEFT($F1731,3)="成本-",$G1731=""),"※成本类支出没填项目",IF(AND(LEFT($F1731,3)="成本-",$H1731&lt;&gt;"",N($K1731)&gt;0,COUNTIFS(采购单!$B:$B,$B1731,采购单!$C:$C,$H1731,采购单!$L:$L,$K1731)&gt;0),"※这笔可能和采购单重复了",""))))))))))</f>
        <v/>
      </c>
    </row>
    <row r="1732">
      <c r="A1732" s="17">
        <f>IF($B1732="","",ROW()-3)</f>
        <v/>
      </c>
      <c r="B1732" s="18" t="n"/>
      <c r="C1732" s="13" t="n"/>
      <c r="D1732" s="13" t="n"/>
      <c r="E1732" s="13" t="n"/>
      <c r="F1732" s="17">
        <f>IF($E1732="","",IFERROR(VLOOKUP($E1732,类别归属,2,0),"※类别不在基础资料里"))</f>
        <v/>
      </c>
      <c r="G1732" s="13" t="n"/>
      <c r="H1732" s="13" t="n"/>
      <c r="I1732" s="13" t="n"/>
      <c r="J1732" s="14" t="n"/>
      <c r="K1732" s="14" t="n"/>
      <c r="L1732" s="19">
        <f>IF($C1732="","",ROUND(IFERROR(VLOOKUP($C1732,账户期初,2,0),0)+SUMIFS($J$4:J1732,$C$4:C1732,$C1732)-SUMIFS($K$4:K1732,$C$4:C1732,$C1732),2))</f>
        <v/>
      </c>
      <c r="M1732" s="19">
        <f>IF($C1732="","",ROUND(SUM(基础资料!$B$4:$B$13)+SUM($J$4:J1732)-SUM($K$4:K1732),2))</f>
        <v/>
      </c>
      <c r="N1732" s="13" t="n"/>
      <c r="O1732" s="13" t="n"/>
      <c r="P1732" s="17">
        <f>IF($B1732="","",IF($F1732="※类别不在基础资料里","※费用类别不在基础资料里",IF(AND(N($J1732)=0,N($K1732)=0),"※这行没填金额",IF(AND(N($J1732)&gt;0,N($K1732)&gt;0),"※收入和支出不能同一行都填",IF(AND($D1732="收入",N($J1732)=0),"※收入行要填收入金额",IF(AND($D1732="支出",N($K1732)=0),"※支出行要填支出金额",IF(AND($C1732&lt;&gt;"",ISNA(MATCH($C1732,账户表,0))),"※账户不在基础资料里",IF(AND($G1732&lt;&gt;"",ISNA(MATCH($G1732,项目名表,0))),"※项目不在项目台账里",IF(AND(LEFT($F1732,3)="成本-",$G1732=""),"※成本类支出没填项目",IF(AND(LEFT($F1732,3)="成本-",$H1732&lt;&gt;"",N($K1732)&gt;0,COUNTIFS(采购单!$B:$B,$B1732,采购单!$C:$C,$H1732,采购单!$L:$L,$K1732)&gt;0),"※这笔可能和采购单重复了",""))))))))))</f>
        <v/>
      </c>
    </row>
    <row r="1733">
      <c r="A1733" s="17">
        <f>IF($B1733="","",ROW()-3)</f>
        <v/>
      </c>
      <c r="B1733" s="18" t="n"/>
      <c r="C1733" s="13" t="n"/>
      <c r="D1733" s="13" t="n"/>
      <c r="E1733" s="13" t="n"/>
      <c r="F1733" s="17">
        <f>IF($E1733="","",IFERROR(VLOOKUP($E1733,类别归属,2,0),"※类别不在基础资料里"))</f>
        <v/>
      </c>
      <c r="G1733" s="13" t="n"/>
      <c r="H1733" s="13" t="n"/>
      <c r="I1733" s="13" t="n"/>
      <c r="J1733" s="14" t="n"/>
      <c r="K1733" s="14" t="n"/>
      <c r="L1733" s="19">
        <f>IF($C1733="","",ROUND(IFERROR(VLOOKUP($C1733,账户期初,2,0),0)+SUMIFS($J$4:J1733,$C$4:C1733,$C1733)-SUMIFS($K$4:K1733,$C$4:C1733,$C1733),2))</f>
        <v/>
      </c>
      <c r="M1733" s="19">
        <f>IF($C1733="","",ROUND(SUM(基础资料!$B$4:$B$13)+SUM($J$4:J1733)-SUM($K$4:K1733),2))</f>
        <v/>
      </c>
      <c r="N1733" s="13" t="n"/>
      <c r="O1733" s="13" t="n"/>
      <c r="P1733" s="17">
        <f>IF($B1733="","",IF($F1733="※类别不在基础资料里","※费用类别不在基础资料里",IF(AND(N($J1733)=0,N($K1733)=0),"※这行没填金额",IF(AND(N($J1733)&gt;0,N($K1733)&gt;0),"※收入和支出不能同一行都填",IF(AND($D1733="收入",N($J1733)=0),"※收入行要填收入金额",IF(AND($D1733="支出",N($K1733)=0),"※支出行要填支出金额",IF(AND($C1733&lt;&gt;"",ISNA(MATCH($C1733,账户表,0))),"※账户不在基础资料里",IF(AND($G1733&lt;&gt;"",ISNA(MATCH($G1733,项目名表,0))),"※项目不在项目台账里",IF(AND(LEFT($F1733,3)="成本-",$G1733=""),"※成本类支出没填项目",IF(AND(LEFT($F1733,3)="成本-",$H1733&lt;&gt;"",N($K1733)&gt;0,COUNTIFS(采购单!$B:$B,$B1733,采购单!$C:$C,$H1733,采购单!$L:$L,$K1733)&gt;0),"※这笔可能和采购单重复了",""))))))))))</f>
        <v/>
      </c>
    </row>
    <row r="1734">
      <c r="A1734" s="17">
        <f>IF($B1734="","",ROW()-3)</f>
        <v/>
      </c>
      <c r="B1734" s="18" t="n"/>
      <c r="C1734" s="13" t="n"/>
      <c r="D1734" s="13" t="n"/>
      <c r="E1734" s="13" t="n"/>
      <c r="F1734" s="17">
        <f>IF($E1734="","",IFERROR(VLOOKUP($E1734,类别归属,2,0),"※类别不在基础资料里"))</f>
        <v/>
      </c>
      <c r="G1734" s="13" t="n"/>
      <c r="H1734" s="13" t="n"/>
      <c r="I1734" s="13" t="n"/>
      <c r="J1734" s="14" t="n"/>
      <c r="K1734" s="14" t="n"/>
      <c r="L1734" s="19">
        <f>IF($C1734="","",ROUND(IFERROR(VLOOKUP($C1734,账户期初,2,0),0)+SUMIFS($J$4:J1734,$C$4:C1734,$C1734)-SUMIFS($K$4:K1734,$C$4:C1734,$C1734),2))</f>
        <v/>
      </c>
      <c r="M1734" s="19">
        <f>IF($C1734="","",ROUND(SUM(基础资料!$B$4:$B$13)+SUM($J$4:J1734)-SUM($K$4:K1734),2))</f>
        <v/>
      </c>
      <c r="N1734" s="13" t="n"/>
      <c r="O1734" s="13" t="n"/>
      <c r="P1734" s="17">
        <f>IF($B1734="","",IF($F1734="※类别不在基础资料里","※费用类别不在基础资料里",IF(AND(N($J1734)=0,N($K1734)=0),"※这行没填金额",IF(AND(N($J1734)&gt;0,N($K1734)&gt;0),"※收入和支出不能同一行都填",IF(AND($D1734="收入",N($J1734)=0),"※收入行要填收入金额",IF(AND($D1734="支出",N($K1734)=0),"※支出行要填支出金额",IF(AND($C1734&lt;&gt;"",ISNA(MATCH($C1734,账户表,0))),"※账户不在基础资料里",IF(AND($G1734&lt;&gt;"",ISNA(MATCH($G1734,项目名表,0))),"※项目不在项目台账里",IF(AND(LEFT($F1734,3)="成本-",$G1734=""),"※成本类支出没填项目",IF(AND(LEFT($F1734,3)="成本-",$H1734&lt;&gt;"",N($K1734)&gt;0,COUNTIFS(采购单!$B:$B,$B1734,采购单!$C:$C,$H1734,采购单!$L:$L,$K1734)&gt;0),"※这笔可能和采购单重复了",""))))))))))</f>
        <v/>
      </c>
    </row>
    <row r="1735">
      <c r="A1735" s="17">
        <f>IF($B1735="","",ROW()-3)</f>
        <v/>
      </c>
      <c r="B1735" s="18" t="n"/>
      <c r="C1735" s="13" t="n"/>
      <c r="D1735" s="13" t="n"/>
      <c r="E1735" s="13" t="n"/>
      <c r="F1735" s="17">
        <f>IF($E1735="","",IFERROR(VLOOKUP($E1735,类别归属,2,0),"※类别不在基础资料里"))</f>
        <v/>
      </c>
      <c r="G1735" s="13" t="n"/>
      <c r="H1735" s="13" t="n"/>
      <c r="I1735" s="13" t="n"/>
      <c r="J1735" s="14" t="n"/>
      <c r="K1735" s="14" t="n"/>
      <c r="L1735" s="19">
        <f>IF($C1735="","",ROUND(IFERROR(VLOOKUP($C1735,账户期初,2,0),0)+SUMIFS($J$4:J1735,$C$4:C1735,$C1735)-SUMIFS($K$4:K1735,$C$4:C1735,$C1735),2))</f>
        <v/>
      </c>
      <c r="M1735" s="19">
        <f>IF($C1735="","",ROUND(SUM(基础资料!$B$4:$B$13)+SUM($J$4:J1735)-SUM($K$4:K1735),2))</f>
        <v/>
      </c>
      <c r="N1735" s="13" t="n"/>
      <c r="O1735" s="13" t="n"/>
      <c r="P1735" s="17">
        <f>IF($B1735="","",IF($F1735="※类别不在基础资料里","※费用类别不在基础资料里",IF(AND(N($J1735)=0,N($K1735)=0),"※这行没填金额",IF(AND(N($J1735)&gt;0,N($K1735)&gt;0),"※收入和支出不能同一行都填",IF(AND($D1735="收入",N($J1735)=0),"※收入行要填收入金额",IF(AND($D1735="支出",N($K1735)=0),"※支出行要填支出金额",IF(AND($C1735&lt;&gt;"",ISNA(MATCH($C1735,账户表,0))),"※账户不在基础资料里",IF(AND($G1735&lt;&gt;"",ISNA(MATCH($G1735,项目名表,0))),"※项目不在项目台账里",IF(AND(LEFT($F1735,3)="成本-",$G1735=""),"※成本类支出没填项目",IF(AND(LEFT($F1735,3)="成本-",$H1735&lt;&gt;"",N($K1735)&gt;0,COUNTIFS(采购单!$B:$B,$B1735,采购单!$C:$C,$H1735,采购单!$L:$L,$K1735)&gt;0),"※这笔可能和采购单重复了",""))))))))))</f>
        <v/>
      </c>
    </row>
    <row r="1736">
      <c r="A1736" s="17">
        <f>IF($B1736="","",ROW()-3)</f>
        <v/>
      </c>
      <c r="B1736" s="18" t="n"/>
      <c r="C1736" s="13" t="n"/>
      <c r="D1736" s="13" t="n"/>
      <c r="E1736" s="13" t="n"/>
      <c r="F1736" s="17">
        <f>IF($E1736="","",IFERROR(VLOOKUP($E1736,类别归属,2,0),"※类别不在基础资料里"))</f>
        <v/>
      </c>
      <c r="G1736" s="13" t="n"/>
      <c r="H1736" s="13" t="n"/>
      <c r="I1736" s="13" t="n"/>
      <c r="J1736" s="14" t="n"/>
      <c r="K1736" s="14" t="n"/>
      <c r="L1736" s="19">
        <f>IF($C1736="","",ROUND(IFERROR(VLOOKUP($C1736,账户期初,2,0),0)+SUMIFS($J$4:J1736,$C$4:C1736,$C1736)-SUMIFS($K$4:K1736,$C$4:C1736,$C1736),2))</f>
        <v/>
      </c>
      <c r="M1736" s="19">
        <f>IF($C1736="","",ROUND(SUM(基础资料!$B$4:$B$13)+SUM($J$4:J1736)-SUM($K$4:K1736),2))</f>
        <v/>
      </c>
      <c r="N1736" s="13" t="n"/>
      <c r="O1736" s="13" t="n"/>
      <c r="P1736" s="17">
        <f>IF($B1736="","",IF($F1736="※类别不在基础资料里","※费用类别不在基础资料里",IF(AND(N($J1736)=0,N($K1736)=0),"※这行没填金额",IF(AND(N($J1736)&gt;0,N($K1736)&gt;0),"※收入和支出不能同一行都填",IF(AND($D1736="收入",N($J1736)=0),"※收入行要填收入金额",IF(AND($D1736="支出",N($K1736)=0),"※支出行要填支出金额",IF(AND($C1736&lt;&gt;"",ISNA(MATCH($C1736,账户表,0))),"※账户不在基础资料里",IF(AND($G1736&lt;&gt;"",ISNA(MATCH($G1736,项目名表,0))),"※项目不在项目台账里",IF(AND(LEFT($F1736,3)="成本-",$G1736=""),"※成本类支出没填项目",IF(AND(LEFT($F1736,3)="成本-",$H1736&lt;&gt;"",N($K1736)&gt;0,COUNTIFS(采购单!$B:$B,$B1736,采购单!$C:$C,$H1736,采购单!$L:$L,$K1736)&gt;0),"※这笔可能和采购单重复了",""))))))))))</f>
        <v/>
      </c>
    </row>
    <row r="1737">
      <c r="A1737" s="17">
        <f>IF($B1737="","",ROW()-3)</f>
        <v/>
      </c>
      <c r="B1737" s="18" t="n"/>
      <c r="C1737" s="13" t="n"/>
      <c r="D1737" s="13" t="n"/>
      <c r="E1737" s="13" t="n"/>
      <c r="F1737" s="17">
        <f>IF($E1737="","",IFERROR(VLOOKUP($E1737,类别归属,2,0),"※类别不在基础资料里"))</f>
        <v/>
      </c>
      <c r="G1737" s="13" t="n"/>
      <c r="H1737" s="13" t="n"/>
      <c r="I1737" s="13" t="n"/>
      <c r="J1737" s="14" t="n"/>
      <c r="K1737" s="14" t="n"/>
      <c r="L1737" s="19">
        <f>IF($C1737="","",ROUND(IFERROR(VLOOKUP($C1737,账户期初,2,0),0)+SUMIFS($J$4:J1737,$C$4:C1737,$C1737)-SUMIFS($K$4:K1737,$C$4:C1737,$C1737),2))</f>
        <v/>
      </c>
      <c r="M1737" s="19">
        <f>IF($C1737="","",ROUND(SUM(基础资料!$B$4:$B$13)+SUM($J$4:J1737)-SUM($K$4:K1737),2))</f>
        <v/>
      </c>
      <c r="N1737" s="13" t="n"/>
      <c r="O1737" s="13" t="n"/>
      <c r="P1737" s="17">
        <f>IF($B1737="","",IF($F1737="※类别不在基础资料里","※费用类别不在基础资料里",IF(AND(N($J1737)=0,N($K1737)=0),"※这行没填金额",IF(AND(N($J1737)&gt;0,N($K1737)&gt;0),"※收入和支出不能同一行都填",IF(AND($D1737="收入",N($J1737)=0),"※收入行要填收入金额",IF(AND($D1737="支出",N($K1737)=0),"※支出行要填支出金额",IF(AND($C1737&lt;&gt;"",ISNA(MATCH($C1737,账户表,0))),"※账户不在基础资料里",IF(AND($G1737&lt;&gt;"",ISNA(MATCH($G1737,项目名表,0))),"※项目不在项目台账里",IF(AND(LEFT($F1737,3)="成本-",$G1737=""),"※成本类支出没填项目",IF(AND(LEFT($F1737,3)="成本-",$H1737&lt;&gt;"",N($K1737)&gt;0,COUNTIFS(采购单!$B:$B,$B1737,采购单!$C:$C,$H1737,采购单!$L:$L,$K1737)&gt;0),"※这笔可能和采购单重复了",""))))))))))</f>
        <v/>
      </c>
    </row>
    <row r="1738">
      <c r="A1738" s="17">
        <f>IF($B1738="","",ROW()-3)</f>
        <v/>
      </c>
      <c r="B1738" s="18" t="n"/>
      <c r="C1738" s="13" t="n"/>
      <c r="D1738" s="13" t="n"/>
      <c r="E1738" s="13" t="n"/>
      <c r="F1738" s="17">
        <f>IF($E1738="","",IFERROR(VLOOKUP($E1738,类别归属,2,0),"※类别不在基础资料里"))</f>
        <v/>
      </c>
      <c r="G1738" s="13" t="n"/>
      <c r="H1738" s="13" t="n"/>
      <c r="I1738" s="13" t="n"/>
      <c r="J1738" s="14" t="n"/>
      <c r="K1738" s="14" t="n"/>
      <c r="L1738" s="19">
        <f>IF($C1738="","",ROUND(IFERROR(VLOOKUP($C1738,账户期初,2,0),0)+SUMIFS($J$4:J1738,$C$4:C1738,$C1738)-SUMIFS($K$4:K1738,$C$4:C1738,$C1738),2))</f>
        <v/>
      </c>
      <c r="M1738" s="19">
        <f>IF($C1738="","",ROUND(SUM(基础资料!$B$4:$B$13)+SUM($J$4:J1738)-SUM($K$4:K1738),2))</f>
        <v/>
      </c>
      <c r="N1738" s="13" t="n"/>
      <c r="O1738" s="13" t="n"/>
      <c r="P1738" s="17">
        <f>IF($B1738="","",IF($F1738="※类别不在基础资料里","※费用类别不在基础资料里",IF(AND(N($J1738)=0,N($K1738)=0),"※这行没填金额",IF(AND(N($J1738)&gt;0,N($K1738)&gt;0),"※收入和支出不能同一行都填",IF(AND($D1738="收入",N($J1738)=0),"※收入行要填收入金额",IF(AND($D1738="支出",N($K1738)=0),"※支出行要填支出金额",IF(AND($C1738&lt;&gt;"",ISNA(MATCH($C1738,账户表,0))),"※账户不在基础资料里",IF(AND($G1738&lt;&gt;"",ISNA(MATCH($G1738,项目名表,0))),"※项目不在项目台账里",IF(AND(LEFT($F1738,3)="成本-",$G1738=""),"※成本类支出没填项目",IF(AND(LEFT($F1738,3)="成本-",$H1738&lt;&gt;"",N($K1738)&gt;0,COUNTIFS(采购单!$B:$B,$B1738,采购单!$C:$C,$H1738,采购单!$L:$L,$K1738)&gt;0),"※这笔可能和采购单重复了",""))))))))))</f>
        <v/>
      </c>
    </row>
    <row r="1739">
      <c r="A1739" s="17">
        <f>IF($B1739="","",ROW()-3)</f>
        <v/>
      </c>
      <c r="B1739" s="18" t="n"/>
      <c r="C1739" s="13" t="n"/>
      <c r="D1739" s="13" t="n"/>
      <c r="E1739" s="13" t="n"/>
      <c r="F1739" s="17">
        <f>IF($E1739="","",IFERROR(VLOOKUP($E1739,类别归属,2,0),"※类别不在基础资料里"))</f>
        <v/>
      </c>
      <c r="G1739" s="13" t="n"/>
      <c r="H1739" s="13" t="n"/>
      <c r="I1739" s="13" t="n"/>
      <c r="J1739" s="14" t="n"/>
      <c r="K1739" s="14" t="n"/>
      <c r="L1739" s="19">
        <f>IF($C1739="","",ROUND(IFERROR(VLOOKUP($C1739,账户期初,2,0),0)+SUMIFS($J$4:J1739,$C$4:C1739,$C1739)-SUMIFS($K$4:K1739,$C$4:C1739,$C1739),2))</f>
        <v/>
      </c>
      <c r="M1739" s="19">
        <f>IF($C1739="","",ROUND(SUM(基础资料!$B$4:$B$13)+SUM($J$4:J1739)-SUM($K$4:K1739),2))</f>
        <v/>
      </c>
      <c r="N1739" s="13" t="n"/>
      <c r="O1739" s="13" t="n"/>
      <c r="P1739" s="17">
        <f>IF($B1739="","",IF($F1739="※类别不在基础资料里","※费用类别不在基础资料里",IF(AND(N($J1739)=0,N($K1739)=0),"※这行没填金额",IF(AND(N($J1739)&gt;0,N($K1739)&gt;0),"※收入和支出不能同一行都填",IF(AND($D1739="收入",N($J1739)=0),"※收入行要填收入金额",IF(AND($D1739="支出",N($K1739)=0),"※支出行要填支出金额",IF(AND($C1739&lt;&gt;"",ISNA(MATCH($C1739,账户表,0))),"※账户不在基础资料里",IF(AND($G1739&lt;&gt;"",ISNA(MATCH($G1739,项目名表,0))),"※项目不在项目台账里",IF(AND(LEFT($F1739,3)="成本-",$G1739=""),"※成本类支出没填项目",IF(AND(LEFT($F1739,3)="成本-",$H1739&lt;&gt;"",N($K1739)&gt;0,COUNTIFS(采购单!$B:$B,$B1739,采购单!$C:$C,$H1739,采购单!$L:$L,$K1739)&gt;0),"※这笔可能和采购单重复了",""))))))))))</f>
        <v/>
      </c>
    </row>
    <row r="1740">
      <c r="A1740" s="17">
        <f>IF($B1740="","",ROW()-3)</f>
        <v/>
      </c>
      <c r="B1740" s="18" t="n"/>
      <c r="C1740" s="13" t="n"/>
      <c r="D1740" s="13" t="n"/>
      <c r="E1740" s="13" t="n"/>
      <c r="F1740" s="17">
        <f>IF($E1740="","",IFERROR(VLOOKUP($E1740,类别归属,2,0),"※类别不在基础资料里"))</f>
        <v/>
      </c>
      <c r="G1740" s="13" t="n"/>
      <c r="H1740" s="13" t="n"/>
      <c r="I1740" s="13" t="n"/>
      <c r="J1740" s="14" t="n"/>
      <c r="K1740" s="14" t="n"/>
      <c r="L1740" s="19">
        <f>IF($C1740="","",ROUND(IFERROR(VLOOKUP($C1740,账户期初,2,0),0)+SUMIFS($J$4:J1740,$C$4:C1740,$C1740)-SUMIFS($K$4:K1740,$C$4:C1740,$C1740),2))</f>
        <v/>
      </c>
      <c r="M1740" s="19">
        <f>IF($C1740="","",ROUND(SUM(基础资料!$B$4:$B$13)+SUM($J$4:J1740)-SUM($K$4:K1740),2))</f>
        <v/>
      </c>
      <c r="N1740" s="13" t="n"/>
      <c r="O1740" s="13" t="n"/>
      <c r="P1740" s="17">
        <f>IF($B1740="","",IF($F1740="※类别不在基础资料里","※费用类别不在基础资料里",IF(AND(N($J1740)=0,N($K1740)=0),"※这行没填金额",IF(AND(N($J1740)&gt;0,N($K1740)&gt;0),"※收入和支出不能同一行都填",IF(AND($D1740="收入",N($J1740)=0),"※收入行要填收入金额",IF(AND($D1740="支出",N($K1740)=0),"※支出行要填支出金额",IF(AND($C1740&lt;&gt;"",ISNA(MATCH($C1740,账户表,0))),"※账户不在基础资料里",IF(AND($G1740&lt;&gt;"",ISNA(MATCH($G1740,项目名表,0))),"※项目不在项目台账里",IF(AND(LEFT($F1740,3)="成本-",$G1740=""),"※成本类支出没填项目",IF(AND(LEFT($F1740,3)="成本-",$H1740&lt;&gt;"",N($K1740)&gt;0,COUNTIFS(采购单!$B:$B,$B1740,采购单!$C:$C,$H1740,采购单!$L:$L,$K1740)&gt;0),"※这笔可能和采购单重复了",""))))))))))</f>
        <v/>
      </c>
    </row>
    <row r="1741">
      <c r="A1741" s="17">
        <f>IF($B1741="","",ROW()-3)</f>
        <v/>
      </c>
      <c r="B1741" s="18" t="n"/>
      <c r="C1741" s="13" t="n"/>
      <c r="D1741" s="13" t="n"/>
      <c r="E1741" s="13" t="n"/>
      <c r="F1741" s="17">
        <f>IF($E1741="","",IFERROR(VLOOKUP($E1741,类别归属,2,0),"※类别不在基础资料里"))</f>
        <v/>
      </c>
      <c r="G1741" s="13" t="n"/>
      <c r="H1741" s="13" t="n"/>
      <c r="I1741" s="13" t="n"/>
      <c r="J1741" s="14" t="n"/>
      <c r="K1741" s="14" t="n"/>
      <c r="L1741" s="19">
        <f>IF($C1741="","",ROUND(IFERROR(VLOOKUP($C1741,账户期初,2,0),0)+SUMIFS($J$4:J1741,$C$4:C1741,$C1741)-SUMIFS($K$4:K1741,$C$4:C1741,$C1741),2))</f>
        <v/>
      </c>
      <c r="M1741" s="19">
        <f>IF($C1741="","",ROUND(SUM(基础资料!$B$4:$B$13)+SUM($J$4:J1741)-SUM($K$4:K1741),2))</f>
        <v/>
      </c>
      <c r="N1741" s="13" t="n"/>
      <c r="O1741" s="13" t="n"/>
      <c r="P1741" s="17">
        <f>IF($B1741="","",IF($F1741="※类别不在基础资料里","※费用类别不在基础资料里",IF(AND(N($J1741)=0,N($K1741)=0),"※这行没填金额",IF(AND(N($J1741)&gt;0,N($K1741)&gt;0),"※收入和支出不能同一行都填",IF(AND($D1741="收入",N($J1741)=0),"※收入行要填收入金额",IF(AND($D1741="支出",N($K1741)=0),"※支出行要填支出金额",IF(AND($C1741&lt;&gt;"",ISNA(MATCH($C1741,账户表,0))),"※账户不在基础资料里",IF(AND($G1741&lt;&gt;"",ISNA(MATCH($G1741,项目名表,0))),"※项目不在项目台账里",IF(AND(LEFT($F1741,3)="成本-",$G1741=""),"※成本类支出没填项目",IF(AND(LEFT($F1741,3)="成本-",$H1741&lt;&gt;"",N($K1741)&gt;0,COUNTIFS(采购单!$B:$B,$B1741,采购单!$C:$C,$H1741,采购单!$L:$L,$K1741)&gt;0),"※这笔可能和采购单重复了",""))))))))))</f>
        <v/>
      </c>
    </row>
    <row r="1742">
      <c r="A1742" s="17">
        <f>IF($B1742="","",ROW()-3)</f>
        <v/>
      </c>
      <c r="B1742" s="18" t="n"/>
      <c r="C1742" s="13" t="n"/>
      <c r="D1742" s="13" t="n"/>
      <c r="E1742" s="13" t="n"/>
      <c r="F1742" s="17">
        <f>IF($E1742="","",IFERROR(VLOOKUP($E1742,类别归属,2,0),"※类别不在基础资料里"))</f>
        <v/>
      </c>
      <c r="G1742" s="13" t="n"/>
      <c r="H1742" s="13" t="n"/>
      <c r="I1742" s="13" t="n"/>
      <c r="J1742" s="14" t="n"/>
      <c r="K1742" s="14" t="n"/>
      <c r="L1742" s="19">
        <f>IF($C1742="","",ROUND(IFERROR(VLOOKUP($C1742,账户期初,2,0),0)+SUMIFS($J$4:J1742,$C$4:C1742,$C1742)-SUMIFS($K$4:K1742,$C$4:C1742,$C1742),2))</f>
        <v/>
      </c>
      <c r="M1742" s="19">
        <f>IF($C1742="","",ROUND(SUM(基础资料!$B$4:$B$13)+SUM($J$4:J1742)-SUM($K$4:K1742),2))</f>
        <v/>
      </c>
      <c r="N1742" s="13" t="n"/>
      <c r="O1742" s="13" t="n"/>
      <c r="P1742" s="17">
        <f>IF($B1742="","",IF($F1742="※类别不在基础资料里","※费用类别不在基础资料里",IF(AND(N($J1742)=0,N($K1742)=0),"※这行没填金额",IF(AND(N($J1742)&gt;0,N($K1742)&gt;0),"※收入和支出不能同一行都填",IF(AND($D1742="收入",N($J1742)=0),"※收入行要填收入金额",IF(AND($D1742="支出",N($K1742)=0),"※支出行要填支出金额",IF(AND($C1742&lt;&gt;"",ISNA(MATCH($C1742,账户表,0))),"※账户不在基础资料里",IF(AND($G1742&lt;&gt;"",ISNA(MATCH($G1742,项目名表,0))),"※项目不在项目台账里",IF(AND(LEFT($F1742,3)="成本-",$G1742=""),"※成本类支出没填项目",IF(AND(LEFT($F1742,3)="成本-",$H1742&lt;&gt;"",N($K1742)&gt;0,COUNTIFS(采购单!$B:$B,$B1742,采购单!$C:$C,$H1742,采购单!$L:$L,$K1742)&gt;0),"※这笔可能和采购单重复了",""))))))))))</f>
        <v/>
      </c>
    </row>
    <row r="1743">
      <c r="A1743" s="17">
        <f>IF($B1743="","",ROW()-3)</f>
        <v/>
      </c>
      <c r="B1743" s="18" t="n"/>
      <c r="C1743" s="13" t="n"/>
      <c r="D1743" s="13" t="n"/>
      <c r="E1743" s="13" t="n"/>
      <c r="F1743" s="17">
        <f>IF($E1743="","",IFERROR(VLOOKUP($E1743,类别归属,2,0),"※类别不在基础资料里"))</f>
        <v/>
      </c>
      <c r="G1743" s="13" t="n"/>
      <c r="H1743" s="13" t="n"/>
      <c r="I1743" s="13" t="n"/>
      <c r="J1743" s="14" t="n"/>
      <c r="K1743" s="14" t="n"/>
      <c r="L1743" s="19">
        <f>IF($C1743="","",ROUND(IFERROR(VLOOKUP($C1743,账户期初,2,0),0)+SUMIFS($J$4:J1743,$C$4:C1743,$C1743)-SUMIFS($K$4:K1743,$C$4:C1743,$C1743),2))</f>
        <v/>
      </c>
      <c r="M1743" s="19">
        <f>IF($C1743="","",ROUND(SUM(基础资料!$B$4:$B$13)+SUM($J$4:J1743)-SUM($K$4:K1743),2))</f>
        <v/>
      </c>
      <c r="N1743" s="13" t="n"/>
      <c r="O1743" s="13" t="n"/>
      <c r="P1743" s="17">
        <f>IF($B1743="","",IF($F1743="※类别不在基础资料里","※费用类别不在基础资料里",IF(AND(N($J1743)=0,N($K1743)=0),"※这行没填金额",IF(AND(N($J1743)&gt;0,N($K1743)&gt;0),"※收入和支出不能同一行都填",IF(AND($D1743="收入",N($J1743)=0),"※收入行要填收入金额",IF(AND($D1743="支出",N($K1743)=0),"※支出行要填支出金额",IF(AND($C1743&lt;&gt;"",ISNA(MATCH($C1743,账户表,0))),"※账户不在基础资料里",IF(AND($G1743&lt;&gt;"",ISNA(MATCH($G1743,项目名表,0))),"※项目不在项目台账里",IF(AND(LEFT($F1743,3)="成本-",$G1743=""),"※成本类支出没填项目",IF(AND(LEFT($F1743,3)="成本-",$H1743&lt;&gt;"",N($K1743)&gt;0,COUNTIFS(采购单!$B:$B,$B1743,采购单!$C:$C,$H1743,采购单!$L:$L,$K1743)&gt;0),"※这笔可能和采购单重复了",""))))))))))</f>
        <v/>
      </c>
    </row>
    <row r="1744">
      <c r="A1744" s="17">
        <f>IF($B1744="","",ROW()-3)</f>
        <v/>
      </c>
      <c r="B1744" s="18" t="n"/>
      <c r="C1744" s="13" t="n"/>
      <c r="D1744" s="13" t="n"/>
      <c r="E1744" s="13" t="n"/>
      <c r="F1744" s="17">
        <f>IF($E1744="","",IFERROR(VLOOKUP($E1744,类别归属,2,0),"※类别不在基础资料里"))</f>
        <v/>
      </c>
      <c r="G1744" s="13" t="n"/>
      <c r="H1744" s="13" t="n"/>
      <c r="I1744" s="13" t="n"/>
      <c r="J1744" s="14" t="n"/>
      <c r="K1744" s="14" t="n"/>
      <c r="L1744" s="19">
        <f>IF($C1744="","",ROUND(IFERROR(VLOOKUP($C1744,账户期初,2,0),0)+SUMIFS($J$4:J1744,$C$4:C1744,$C1744)-SUMIFS($K$4:K1744,$C$4:C1744,$C1744),2))</f>
        <v/>
      </c>
      <c r="M1744" s="19">
        <f>IF($C1744="","",ROUND(SUM(基础资料!$B$4:$B$13)+SUM($J$4:J1744)-SUM($K$4:K1744),2))</f>
        <v/>
      </c>
      <c r="N1744" s="13" t="n"/>
      <c r="O1744" s="13" t="n"/>
      <c r="P1744" s="17">
        <f>IF($B1744="","",IF($F1744="※类别不在基础资料里","※费用类别不在基础资料里",IF(AND(N($J1744)=0,N($K1744)=0),"※这行没填金额",IF(AND(N($J1744)&gt;0,N($K1744)&gt;0),"※收入和支出不能同一行都填",IF(AND($D1744="收入",N($J1744)=0),"※收入行要填收入金额",IF(AND($D1744="支出",N($K1744)=0),"※支出行要填支出金额",IF(AND($C1744&lt;&gt;"",ISNA(MATCH($C1744,账户表,0))),"※账户不在基础资料里",IF(AND($G1744&lt;&gt;"",ISNA(MATCH($G1744,项目名表,0))),"※项目不在项目台账里",IF(AND(LEFT($F1744,3)="成本-",$G1744=""),"※成本类支出没填项目",IF(AND(LEFT($F1744,3)="成本-",$H1744&lt;&gt;"",N($K1744)&gt;0,COUNTIFS(采购单!$B:$B,$B1744,采购单!$C:$C,$H1744,采购单!$L:$L,$K1744)&gt;0),"※这笔可能和采购单重复了",""))))))))))</f>
        <v/>
      </c>
    </row>
    <row r="1745">
      <c r="A1745" s="17">
        <f>IF($B1745="","",ROW()-3)</f>
        <v/>
      </c>
      <c r="B1745" s="18" t="n"/>
      <c r="C1745" s="13" t="n"/>
      <c r="D1745" s="13" t="n"/>
      <c r="E1745" s="13" t="n"/>
      <c r="F1745" s="17">
        <f>IF($E1745="","",IFERROR(VLOOKUP($E1745,类别归属,2,0),"※类别不在基础资料里"))</f>
        <v/>
      </c>
      <c r="G1745" s="13" t="n"/>
      <c r="H1745" s="13" t="n"/>
      <c r="I1745" s="13" t="n"/>
      <c r="J1745" s="14" t="n"/>
      <c r="K1745" s="14" t="n"/>
      <c r="L1745" s="19">
        <f>IF($C1745="","",ROUND(IFERROR(VLOOKUP($C1745,账户期初,2,0),0)+SUMIFS($J$4:J1745,$C$4:C1745,$C1745)-SUMIFS($K$4:K1745,$C$4:C1745,$C1745),2))</f>
        <v/>
      </c>
      <c r="M1745" s="19">
        <f>IF($C1745="","",ROUND(SUM(基础资料!$B$4:$B$13)+SUM($J$4:J1745)-SUM($K$4:K1745),2))</f>
        <v/>
      </c>
      <c r="N1745" s="13" t="n"/>
      <c r="O1745" s="13" t="n"/>
      <c r="P1745" s="17">
        <f>IF($B1745="","",IF($F1745="※类别不在基础资料里","※费用类别不在基础资料里",IF(AND(N($J1745)=0,N($K1745)=0),"※这行没填金额",IF(AND(N($J1745)&gt;0,N($K1745)&gt;0),"※收入和支出不能同一行都填",IF(AND($D1745="收入",N($J1745)=0),"※收入行要填收入金额",IF(AND($D1745="支出",N($K1745)=0),"※支出行要填支出金额",IF(AND($C1745&lt;&gt;"",ISNA(MATCH($C1745,账户表,0))),"※账户不在基础资料里",IF(AND($G1745&lt;&gt;"",ISNA(MATCH($G1745,项目名表,0))),"※项目不在项目台账里",IF(AND(LEFT($F1745,3)="成本-",$G1745=""),"※成本类支出没填项目",IF(AND(LEFT($F1745,3)="成本-",$H1745&lt;&gt;"",N($K1745)&gt;0,COUNTIFS(采购单!$B:$B,$B1745,采购单!$C:$C,$H1745,采购单!$L:$L,$K1745)&gt;0),"※这笔可能和采购单重复了",""))))))))))</f>
        <v/>
      </c>
    </row>
    <row r="1746">
      <c r="A1746" s="17">
        <f>IF($B1746="","",ROW()-3)</f>
        <v/>
      </c>
      <c r="B1746" s="18" t="n"/>
      <c r="C1746" s="13" t="n"/>
      <c r="D1746" s="13" t="n"/>
      <c r="E1746" s="13" t="n"/>
      <c r="F1746" s="17">
        <f>IF($E1746="","",IFERROR(VLOOKUP($E1746,类别归属,2,0),"※类别不在基础资料里"))</f>
        <v/>
      </c>
      <c r="G1746" s="13" t="n"/>
      <c r="H1746" s="13" t="n"/>
      <c r="I1746" s="13" t="n"/>
      <c r="J1746" s="14" t="n"/>
      <c r="K1746" s="14" t="n"/>
      <c r="L1746" s="19">
        <f>IF($C1746="","",ROUND(IFERROR(VLOOKUP($C1746,账户期初,2,0),0)+SUMIFS($J$4:J1746,$C$4:C1746,$C1746)-SUMIFS($K$4:K1746,$C$4:C1746,$C1746),2))</f>
        <v/>
      </c>
      <c r="M1746" s="19">
        <f>IF($C1746="","",ROUND(SUM(基础资料!$B$4:$B$13)+SUM($J$4:J1746)-SUM($K$4:K1746),2))</f>
        <v/>
      </c>
      <c r="N1746" s="13" t="n"/>
      <c r="O1746" s="13" t="n"/>
      <c r="P1746" s="17">
        <f>IF($B1746="","",IF($F1746="※类别不在基础资料里","※费用类别不在基础资料里",IF(AND(N($J1746)=0,N($K1746)=0),"※这行没填金额",IF(AND(N($J1746)&gt;0,N($K1746)&gt;0),"※收入和支出不能同一行都填",IF(AND($D1746="收入",N($J1746)=0),"※收入行要填收入金额",IF(AND($D1746="支出",N($K1746)=0),"※支出行要填支出金额",IF(AND($C1746&lt;&gt;"",ISNA(MATCH($C1746,账户表,0))),"※账户不在基础资料里",IF(AND($G1746&lt;&gt;"",ISNA(MATCH($G1746,项目名表,0))),"※项目不在项目台账里",IF(AND(LEFT($F1746,3)="成本-",$G1746=""),"※成本类支出没填项目",IF(AND(LEFT($F1746,3)="成本-",$H1746&lt;&gt;"",N($K1746)&gt;0,COUNTIFS(采购单!$B:$B,$B1746,采购单!$C:$C,$H1746,采购单!$L:$L,$K1746)&gt;0),"※这笔可能和采购单重复了",""))))))))))</f>
        <v/>
      </c>
    </row>
    <row r="1747">
      <c r="A1747" s="17">
        <f>IF($B1747="","",ROW()-3)</f>
        <v/>
      </c>
      <c r="B1747" s="18" t="n"/>
      <c r="C1747" s="13" t="n"/>
      <c r="D1747" s="13" t="n"/>
      <c r="E1747" s="13" t="n"/>
      <c r="F1747" s="17">
        <f>IF($E1747="","",IFERROR(VLOOKUP($E1747,类别归属,2,0),"※类别不在基础资料里"))</f>
        <v/>
      </c>
      <c r="G1747" s="13" t="n"/>
      <c r="H1747" s="13" t="n"/>
      <c r="I1747" s="13" t="n"/>
      <c r="J1747" s="14" t="n"/>
      <c r="K1747" s="14" t="n"/>
      <c r="L1747" s="19">
        <f>IF($C1747="","",ROUND(IFERROR(VLOOKUP($C1747,账户期初,2,0),0)+SUMIFS($J$4:J1747,$C$4:C1747,$C1747)-SUMIFS($K$4:K1747,$C$4:C1747,$C1747),2))</f>
        <v/>
      </c>
      <c r="M1747" s="19">
        <f>IF($C1747="","",ROUND(SUM(基础资料!$B$4:$B$13)+SUM($J$4:J1747)-SUM($K$4:K1747),2))</f>
        <v/>
      </c>
      <c r="N1747" s="13" t="n"/>
      <c r="O1747" s="13" t="n"/>
      <c r="P1747" s="17">
        <f>IF($B1747="","",IF($F1747="※类别不在基础资料里","※费用类别不在基础资料里",IF(AND(N($J1747)=0,N($K1747)=0),"※这行没填金额",IF(AND(N($J1747)&gt;0,N($K1747)&gt;0),"※收入和支出不能同一行都填",IF(AND($D1747="收入",N($J1747)=0),"※收入行要填收入金额",IF(AND($D1747="支出",N($K1747)=0),"※支出行要填支出金额",IF(AND($C1747&lt;&gt;"",ISNA(MATCH($C1747,账户表,0))),"※账户不在基础资料里",IF(AND($G1747&lt;&gt;"",ISNA(MATCH($G1747,项目名表,0))),"※项目不在项目台账里",IF(AND(LEFT($F1747,3)="成本-",$G1747=""),"※成本类支出没填项目",IF(AND(LEFT($F1747,3)="成本-",$H1747&lt;&gt;"",N($K1747)&gt;0,COUNTIFS(采购单!$B:$B,$B1747,采购单!$C:$C,$H1747,采购单!$L:$L,$K1747)&gt;0),"※这笔可能和采购单重复了",""))))))))))</f>
        <v/>
      </c>
    </row>
    <row r="1748">
      <c r="A1748" s="17">
        <f>IF($B1748="","",ROW()-3)</f>
        <v/>
      </c>
      <c r="B1748" s="18" t="n"/>
      <c r="C1748" s="13" t="n"/>
      <c r="D1748" s="13" t="n"/>
      <c r="E1748" s="13" t="n"/>
      <c r="F1748" s="17">
        <f>IF($E1748="","",IFERROR(VLOOKUP($E1748,类别归属,2,0),"※类别不在基础资料里"))</f>
        <v/>
      </c>
      <c r="G1748" s="13" t="n"/>
      <c r="H1748" s="13" t="n"/>
      <c r="I1748" s="13" t="n"/>
      <c r="J1748" s="14" t="n"/>
      <c r="K1748" s="14" t="n"/>
      <c r="L1748" s="19">
        <f>IF($C1748="","",ROUND(IFERROR(VLOOKUP($C1748,账户期初,2,0),0)+SUMIFS($J$4:J1748,$C$4:C1748,$C1748)-SUMIFS($K$4:K1748,$C$4:C1748,$C1748),2))</f>
        <v/>
      </c>
      <c r="M1748" s="19">
        <f>IF($C1748="","",ROUND(SUM(基础资料!$B$4:$B$13)+SUM($J$4:J1748)-SUM($K$4:K1748),2))</f>
        <v/>
      </c>
      <c r="N1748" s="13" t="n"/>
      <c r="O1748" s="13" t="n"/>
      <c r="P1748" s="17">
        <f>IF($B1748="","",IF($F1748="※类别不在基础资料里","※费用类别不在基础资料里",IF(AND(N($J1748)=0,N($K1748)=0),"※这行没填金额",IF(AND(N($J1748)&gt;0,N($K1748)&gt;0),"※收入和支出不能同一行都填",IF(AND($D1748="收入",N($J1748)=0),"※收入行要填收入金额",IF(AND($D1748="支出",N($K1748)=0),"※支出行要填支出金额",IF(AND($C1748&lt;&gt;"",ISNA(MATCH($C1748,账户表,0))),"※账户不在基础资料里",IF(AND($G1748&lt;&gt;"",ISNA(MATCH($G1748,项目名表,0))),"※项目不在项目台账里",IF(AND(LEFT($F1748,3)="成本-",$G1748=""),"※成本类支出没填项目",IF(AND(LEFT($F1748,3)="成本-",$H1748&lt;&gt;"",N($K1748)&gt;0,COUNTIFS(采购单!$B:$B,$B1748,采购单!$C:$C,$H1748,采购单!$L:$L,$K1748)&gt;0),"※这笔可能和采购单重复了",""))))))))))</f>
        <v/>
      </c>
    </row>
    <row r="1749">
      <c r="A1749" s="17">
        <f>IF($B1749="","",ROW()-3)</f>
        <v/>
      </c>
      <c r="B1749" s="18" t="n"/>
      <c r="C1749" s="13" t="n"/>
      <c r="D1749" s="13" t="n"/>
      <c r="E1749" s="13" t="n"/>
      <c r="F1749" s="17">
        <f>IF($E1749="","",IFERROR(VLOOKUP($E1749,类别归属,2,0),"※类别不在基础资料里"))</f>
        <v/>
      </c>
      <c r="G1749" s="13" t="n"/>
      <c r="H1749" s="13" t="n"/>
      <c r="I1749" s="13" t="n"/>
      <c r="J1749" s="14" t="n"/>
      <c r="K1749" s="14" t="n"/>
      <c r="L1749" s="19">
        <f>IF($C1749="","",ROUND(IFERROR(VLOOKUP($C1749,账户期初,2,0),0)+SUMIFS($J$4:J1749,$C$4:C1749,$C1749)-SUMIFS($K$4:K1749,$C$4:C1749,$C1749),2))</f>
        <v/>
      </c>
      <c r="M1749" s="19">
        <f>IF($C1749="","",ROUND(SUM(基础资料!$B$4:$B$13)+SUM($J$4:J1749)-SUM($K$4:K1749),2))</f>
        <v/>
      </c>
      <c r="N1749" s="13" t="n"/>
      <c r="O1749" s="13" t="n"/>
      <c r="P1749" s="17">
        <f>IF($B1749="","",IF($F1749="※类别不在基础资料里","※费用类别不在基础资料里",IF(AND(N($J1749)=0,N($K1749)=0),"※这行没填金额",IF(AND(N($J1749)&gt;0,N($K1749)&gt;0),"※收入和支出不能同一行都填",IF(AND($D1749="收入",N($J1749)=0),"※收入行要填收入金额",IF(AND($D1749="支出",N($K1749)=0),"※支出行要填支出金额",IF(AND($C1749&lt;&gt;"",ISNA(MATCH($C1749,账户表,0))),"※账户不在基础资料里",IF(AND($G1749&lt;&gt;"",ISNA(MATCH($G1749,项目名表,0))),"※项目不在项目台账里",IF(AND(LEFT($F1749,3)="成本-",$G1749=""),"※成本类支出没填项目",IF(AND(LEFT($F1749,3)="成本-",$H1749&lt;&gt;"",N($K1749)&gt;0,COUNTIFS(采购单!$B:$B,$B1749,采购单!$C:$C,$H1749,采购单!$L:$L,$K1749)&gt;0),"※这笔可能和采购单重复了",""))))))))))</f>
        <v/>
      </c>
    </row>
    <row r="1750">
      <c r="A1750" s="17">
        <f>IF($B1750="","",ROW()-3)</f>
        <v/>
      </c>
      <c r="B1750" s="18" t="n"/>
      <c r="C1750" s="13" t="n"/>
      <c r="D1750" s="13" t="n"/>
      <c r="E1750" s="13" t="n"/>
      <c r="F1750" s="17">
        <f>IF($E1750="","",IFERROR(VLOOKUP($E1750,类别归属,2,0),"※类别不在基础资料里"))</f>
        <v/>
      </c>
      <c r="G1750" s="13" t="n"/>
      <c r="H1750" s="13" t="n"/>
      <c r="I1750" s="13" t="n"/>
      <c r="J1750" s="14" t="n"/>
      <c r="K1750" s="14" t="n"/>
      <c r="L1750" s="19">
        <f>IF($C1750="","",ROUND(IFERROR(VLOOKUP($C1750,账户期初,2,0),0)+SUMIFS($J$4:J1750,$C$4:C1750,$C1750)-SUMIFS($K$4:K1750,$C$4:C1750,$C1750),2))</f>
        <v/>
      </c>
      <c r="M1750" s="19">
        <f>IF($C1750="","",ROUND(SUM(基础资料!$B$4:$B$13)+SUM($J$4:J1750)-SUM($K$4:K1750),2))</f>
        <v/>
      </c>
      <c r="N1750" s="13" t="n"/>
      <c r="O1750" s="13" t="n"/>
      <c r="P1750" s="17">
        <f>IF($B1750="","",IF($F1750="※类别不在基础资料里","※费用类别不在基础资料里",IF(AND(N($J1750)=0,N($K1750)=0),"※这行没填金额",IF(AND(N($J1750)&gt;0,N($K1750)&gt;0),"※收入和支出不能同一行都填",IF(AND($D1750="收入",N($J1750)=0),"※收入行要填收入金额",IF(AND($D1750="支出",N($K1750)=0),"※支出行要填支出金额",IF(AND($C1750&lt;&gt;"",ISNA(MATCH($C1750,账户表,0))),"※账户不在基础资料里",IF(AND($G1750&lt;&gt;"",ISNA(MATCH($G1750,项目名表,0))),"※项目不在项目台账里",IF(AND(LEFT($F1750,3)="成本-",$G1750=""),"※成本类支出没填项目",IF(AND(LEFT($F1750,3)="成本-",$H1750&lt;&gt;"",N($K1750)&gt;0,COUNTIFS(采购单!$B:$B,$B1750,采购单!$C:$C,$H1750,采购单!$L:$L,$K1750)&gt;0),"※这笔可能和采购单重复了",""))))))))))</f>
        <v/>
      </c>
    </row>
    <row r="1751">
      <c r="A1751" s="17">
        <f>IF($B1751="","",ROW()-3)</f>
        <v/>
      </c>
      <c r="B1751" s="18" t="n"/>
      <c r="C1751" s="13" t="n"/>
      <c r="D1751" s="13" t="n"/>
      <c r="E1751" s="13" t="n"/>
      <c r="F1751" s="17">
        <f>IF($E1751="","",IFERROR(VLOOKUP($E1751,类别归属,2,0),"※类别不在基础资料里"))</f>
        <v/>
      </c>
      <c r="G1751" s="13" t="n"/>
      <c r="H1751" s="13" t="n"/>
      <c r="I1751" s="13" t="n"/>
      <c r="J1751" s="14" t="n"/>
      <c r="K1751" s="14" t="n"/>
      <c r="L1751" s="19">
        <f>IF($C1751="","",ROUND(IFERROR(VLOOKUP($C1751,账户期初,2,0),0)+SUMIFS($J$4:J1751,$C$4:C1751,$C1751)-SUMIFS($K$4:K1751,$C$4:C1751,$C1751),2))</f>
        <v/>
      </c>
      <c r="M1751" s="19">
        <f>IF($C1751="","",ROUND(SUM(基础资料!$B$4:$B$13)+SUM($J$4:J1751)-SUM($K$4:K1751),2))</f>
        <v/>
      </c>
      <c r="N1751" s="13" t="n"/>
      <c r="O1751" s="13" t="n"/>
      <c r="P1751" s="17">
        <f>IF($B1751="","",IF($F1751="※类别不在基础资料里","※费用类别不在基础资料里",IF(AND(N($J1751)=0,N($K1751)=0),"※这行没填金额",IF(AND(N($J1751)&gt;0,N($K1751)&gt;0),"※收入和支出不能同一行都填",IF(AND($D1751="收入",N($J1751)=0),"※收入行要填收入金额",IF(AND($D1751="支出",N($K1751)=0),"※支出行要填支出金额",IF(AND($C1751&lt;&gt;"",ISNA(MATCH($C1751,账户表,0))),"※账户不在基础资料里",IF(AND($G1751&lt;&gt;"",ISNA(MATCH($G1751,项目名表,0))),"※项目不在项目台账里",IF(AND(LEFT($F1751,3)="成本-",$G1751=""),"※成本类支出没填项目",IF(AND(LEFT($F1751,3)="成本-",$H1751&lt;&gt;"",N($K1751)&gt;0,COUNTIFS(采购单!$B:$B,$B1751,采购单!$C:$C,$H1751,采购单!$L:$L,$K1751)&gt;0),"※这笔可能和采购单重复了",""))))))))))</f>
        <v/>
      </c>
    </row>
    <row r="1752">
      <c r="A1752" s="17">
        <f>IF($B1752="","",ROW()-3)</f>
        <v/>
      </c>
      <c r="B1752" s="18" t="n"/>
      <c r="C1752" s="13" t="n"/>
      <c r="D1752" s="13" t="n"/>
      <c r="E1752" s="13" t="n"/>
      <c r="F1752" s="17">
        <f>IF($E1752="","",IFERROR(VLOOKUP($E1752,类别归属,2,0),"※类别不在基础资料里"))</f>
        <v/>
      </c>
      <c r="G1752" s="13" t="n"/>
      <c r="H1752" s="13" t="n"/>
      <c r="I1752" s="13" t="n"/>
      <c r="J1752" s="14" t="n"/>
      <c r="K1752" s="14" t="n"/>
      <c r="L1752" s="19">
        <f>IF($C1752="","",ROUND(IFERROR(VLOOKUP($C1752,账户期初,2,0),0)+SUMIFS($J$4:J1752,$C$4:C1752,$C1752)-SUMIFS($K$4:K1752,$C$4:C1752,$C1752),2))</f>
        <v/>
      </c>
      <c r="M1752" s="19">
        <f>IF($C1752="","",ROUND(SUM(基础资料!$B$4:$B$13)+SUM($J$4:J1752)-SUM($K$4:K1752),2))</f>
        <v/>
      </c>
      <c r="N1752" s="13" t="n"/>
      <c r="O1752" s="13" t="n"/>
      <c r="P1752" s="17">
        <f>IF($B1752="","",IF($F1752="※类别不在基础资料里","※费用类别不在基础资料里",IF(AND(N($J1752)=0,N($K1752)=0),"※这行没填金额",IF(AND(N($J1752)&gt;0,N($K1752)&gt;0),"※收入和支出不能同一行都填",IF(AND($D1752="收入",N($J1752)=0),"※收入行要填收入金额",IF(AND($D1752="支出",N($K1752)=0),"※支出行要填支出金额",IF(AND($C1752&lt;&gt;"",ISNA(MATCH($C1752,账户表,0))),"※账户不在基础资料里",IF(AND($G1752&lt;&gt;"",ISNA(MATCH($G1752,项目名表,0))),"※项目不在项目台账里",IF(AND(LEFT($F1752,3)="成本-",$G1752=""),"※成本类支出没填项目",IF(AND(LEFT($F1752,3)="成本-",$H1752&lt;&gt;"",N($K1752)&gt;0,COUNTIFS(采购单!$B:$B,$B1752,采购单!$C:$C,$H1752,采购单!$L:$L,$K1752)&gt;0),"※这笔可能和采购单重复了",""))))))))))</f>
        <v/>
      </c>
    </row>
    <row r="1753">
      <c r="A1753" s="17">
        <f>IF($B1753="","",ROW()-3)</f>
        <v/>
      </c>
      <c r="B1753" s="18" t="n"/>
      <c r="C1753" s="13" t="n"/>
      <c r="D1753" s="13" t="n"/>
      <c r="E1753" s="13" t="n"/>
      <c r="F1753" s="17">
        <f>IF($E1753="","",IFERROR(VLOOKUP($E1753,类别归属,2,0),"※类别不在基础资料里"))</f>
        <v/>
      </c>
      <c r="G1753" s="13" t="n"/>
      <c r="H1753" s="13" t="n"/>
      <c r="I1753" s="13" t="n"/>
      <c r="J1753" s="14" t="n"/>
      <c r="K1753" s="14" t="n"/>
      <c r="L1753" s="19">
        <f>IF($C1753="","",ROUND(IFERROR(VLOOKUP($C1753,账户期初,2,0),0)+SUMIFS($J$4:J1753,$C$4:C1753,$C1753)-SUMIFS($K$4:K1753,$C$4:C1753,$C1753),2))</f>
        <v/>
      </c>
      <c r="M1753" s="19">
        <f>IF($C1753="","",ROUND(SUM(基础资料!$B$4:$B$13)+SUM($J$4:J1753)-SUM($K$4:K1753),2))</f>
        <v/>
      </c>
      <c r="N1753" s="13" t="n"/>
      <c r="O1753" s="13" t="n"/>
      <c r="P1753" s="17">
        <f>IF($B1753="","",IF($F1753="※类别不在基础资料里","※费用类别不在基础资料里",IF(AND(N($J1753)=0,N($K1753)=0),"※这行没填金额",IF(AND(N($J1753)&gt;0,N($K1753)&gt;0),"※收入和支出不能同一行都填",IF(AND($D1753="收入",N($J1753)=0),"※收入行要填收入金额",IF(AND($D1753="支出",N($K1753)=0),"※支出行要填支出金额",IF(AND($C1753&lt;&gt;"",ISNA(MATCH($C1753,账户表,0))),"※账户不在基础资料里",IF(AND($G1753&lt;&gt;"",ISNA(MATCH($G1753,项目名表,0))),"※项目不在项目台账里",IF(AND(LEFT($F1753,3)="成本-",$G1753=""),"※成本类支出没填项目",IF(AND(LEFT($F1753,3)="成本-",$H1753&lt;&gt;"",N($K1753)&gt;0,COUNTIFS(采购单!$B:$B,$B1753,采购单!$C:$C,$H1753,采购单!$L:$L,$K1753)&gt;0),"※这笔可能和采购单重复了",""))))))))))</f>
        <v/>
      </c>
    </row>
    <row r="1754">
      <c r="A1754" s="17">
        <f>IF($B1754="","",ROW()-3)</f>
        <v/>
      </c>
      <c r="B1754" s="18" t="n"/>
      <c r="C1754" s="13" t="n"/>
      <c r="D1754" s="13" t="n"/>
      <c r="E1754" s="13" t="n"/>
      <c r="F1754" s="17">
        <f>IF($E1754="","",IFERROR(VLOOKUP($E1754,类别归属,2,0),"※类别不在基础资料里"))</f>
        <v/>
      </c>
      <c r="G1754" s="13" t="n"/>
      <c r="H1754" s="13" t="n"/>
      <c r="I1754" s="13" t="n"/>
      <c r="J1754" s="14" t="n"/>
      <c r="K1754" s="14" t="n"/>
      <c r="L1754" s="19">
        <f>IF($C1754="","",ROUND(IFERROR(VLOOKUP($C1754,账户期初,2,0),0)+SUMIFS($J$4:J1754,$C$4:C1754,$C1754)-SUMIFS($K$4:K1754,$C$4:C1754,$C1754),2))</f>
        <v/>
      </c>
      <c r="M1754" s="19">
        <f>IF($C1754="","",ROUND(SUM(基础资料!$B$4:$B$13)+SUM($J$4:J1754)-SUM($K$4:K1754),2))</f>
        <v/>
      </c>
      <c r="N1754" s="13" t="n"/>
      <c r="O1754" s="13" t="n"/>
      <c r="P1754" s="17">
        <f>IF($B1754="","",IF($F1754="※类别不在基础资料里","※费用类别不在基础资料里",IF(AND(N($J1754)=0,N($K1754)=0),"※这行没填金额",IF(AND(N($J1754)&gt;0,N($K1754)&gt;0),"※收入和支出不能同一行都填",IF(AND($D1754="收入",N($J1754)=0),"※收入行要填收入金额",IF(AND($D1754="支出",N($K1754)=0),"※支出行要填支出金额",IF(AND($C1754&lt;&gt;"",ISNA(MATCH($C1754,账户表,0))),"※账户不在基础资料里",IF(AND($G1754&lt;&gt;"",ISNA(MATCH($G1754,项目名表,0))),"※项目不在项目台账里",IF(AND(LEFT($F1754,3)="成本-",$G1754=""),"※成本类支出没填项目",IF(AND(LEFT($F1754,3)="成本-",$H1754&lt;&gt;"",N($K1754)&gt;0,COUNTIFS(采购单!$B:$B,$B1754,采购单!$C:$C,$H1754,采购单!$L:$L,$K1754)&gt;0),"※这笔可能和采购单重复了",""))))))))))</f>
        <v/>
      </c>
    </row>
    <row r="1755">
      <c r="A1755" s="17">
        <f>IF($B1755="","",ROW()-3)</f>
        <v/>
      </c>
      <c r="B1755" s="18" t="n"/>
      <c r="C1755" s="13" t="n"/>
      <c r="D1755" s="13" t="n"/>
      <c r="E1755" s="13" t="n"/>
      <c r="F1755" s="17">
        <f>IF($E1755="","",IFERROR(VLOOKUP($E1755,类别归属,2,0),"※类别不在基础资料里"))</f>
        <v/>
      </c>
      <c r="G1755" s="13" t="n"/>
      <c r="H1755" s="13" t="n"/>
      <c r="I1755" s="13" t="n"/>
      <c r="J1755" s="14" t="n"/>
      <c r="K1755" s="14" t="n"/>
      <c r="L1755" s="19">
        <f>IF($C1755="","",ROUND(IFERROR(VLOOKUP($C1755,账户期初,2,0),0)+SUMIFS($J$4:J1755,$C$4:C1755,$C1755)-SUMIFS($K$4:K1755,$C$4:C1755,$C1755),2))</f>
        <v/>
      </c>
      <c r="M1755" s="19">
        <f>IF($C1755="","",ROUND(SUM(基础资料!$B$4:$B$13)+SUM($J$4:J1755)-SUM($K$4:K1755),2))</f>
        <v/>
      </c>
      <c r="N1755" s="13" t="n"/>
      <c r="O1755" s="13" t="n"/>
      <c r="P1755" s="17">
        <f>IF($B1755="","",IF($F1755="※类别不在基础资料里","※费用类别不在基础资料里",IF(AND(N($J1755)=0,N($K1755)=0),"※这行没填金额",IF(AND(N($J1755)&gt;0,N($K1755)&gt;0),"※收入和支出不能同一行都填",IF(AND($D1755="收入",N($J1755)=0),"※收入行要填收入金额",IF(AND($D1755="支出",N($K1755)=0),"※支出行要填支出金额",IF(AND($C1755&lt;&gt;"",ISNA(MATCH($C1755,账户表,0))),"※账户不在基础资料里",IF(AND($G1755&lt;&gt;"",ISNA(MATCH($G1755,项目名表,0))),"※项目不在项目台账里",IF(AND(LEFT($F1755,3)="成本-",$G1755=""),"※成本类支出没填项目",IF(AND(LEFT($F1755,3)="成本-",$H1755&lt;&gt;"",N($K1755)&gt;0,COUNTIFS(采购单!$B:$B,$B1755,采购单!$C:$C,$H1755,采购单!$L:$L,$K1755)&gt;0),"※这笔可能和采购单重复了",""))))))))))</f>
        <v/>
      </c>
    </row>
    <row r="1756">
      <c r="A1756" s="17">
        <f>IF($B1756="","",ROW()-3)</f>
        <v/>
      </c>
      <c r="B1756" s="18" t="n"/>
      <c r="C1756" s="13" t="n"/>
      <c r="D1756" s="13" t="n"/>
      <c r="E1756" s="13" t="n"/>
      <c r="F1756" s="17">
        <f>IF($E1756="","",IFERROR(VLOOKUP($E1756,类别归属,2,0),"※类别不在基础资料里"))</f>
        <v/>
      </c>
      <c r="G1756" s="13" t="n"/>
      <c r="H1756" s="13" t="n"/>
      <c r="I1756" s="13" t="n"/>
      <c r="J1756" s="14" t="n"/>
      <c r="K1756" s="14" t="n"/>
      <c r="L1756" s="19">
        <f>IF($C1756="","",ROUND(IFERROR(VLOOKUP($C1756,账户期初,2,0),0)+SUMIFS($J$4:J1756,$C$4:C1756,$C1756)-SUMIFS($K$4:K1756,$C$4:C1756,$C1756),2))</f>
        <v/>
      </c>
      <c r="M1756" s="19">
        <f>IF($C1756="","",ROUND(SUM(基础资料!$B$4:$B$13)+SUM($J$4:J1756)-SUM($K$4:K1756),2))</f>
        <v/>
      </c>
      <c r="N1756" s="13" t="n"/>
      <c r="O1756" s="13" t="n"/>
      <c r="P1756" s="17">
        <f>IF($B1756="","",IF($F1756="※类别不在基础资料里","※费用类别不在基础资料里",IF(AND(N($J1756)=0,N($K1756)=0),"※这行没填金额",IF(AND(N($J1756)&gt;0,N($K1756)&gt;0),"※收入和支出不能同一行都填",IF(AND($D1756="收入",N($J1756)=0),"※收入行要填收入金额",IF(AND($D1756="支出",N($K1756)=0),"※支出行要填支出金额",IF(AND($C1756&lt;&gt;"",ISNA(MATCH($C1756,账户表,0))),"※账户不在基础资料里",IF(AND($G1756&lt;&gt;"",ISNA(MATCH($G1756,项目名表,0))),"※项目不在项目台账里",IF(AND(LEFT($F1756,3)="成本-",$G1756=""),"※成本类支出没填项目",IF(AND(LEFT($F1756,3)="成本-",$H1756&lt;&gt;"",N($K1756)&gt;0,COUNTIFS(采购单!$B:$B,$B1756,采购单!$C:$C,$H1756,采购单!$L:$L,$K1756)&gt;0),"※这笔可能和采购单重复了",""))))))))))</f>
        <v/>
      </c>
    </row>
    <row r="1757">
      <c r="A1757" s="17">
        <f>IF($B1757="","",ROW()-3)</f>
        <v/>
      </c>
      <c r="B1757" s="18" t="n"/>
      <c r="C1757" s="13" t="n"/>
      <c r="D1757" s="13" t="n"/>
      <c r="E1757" s="13" t="n"/>
      <c r="F1757" s="17">
        <f>IF($E1757="","",IFERROR(VLOOKUP($E1757,类别归属,2,0),"※类别不在基础资料里"))</f>
        <v/>
      </c>
      <c r="G1757" s="13" t="n"/>
      <c r="H1757" s="13" t="n"/>
      <c r="I1757" s="13" t="n"/>
      <c r="J1757" s="14" t="n"/>
      <c r="K1757" s="14" t="n"/>
      <c r="L1757" s="19">
        <f>IF($C1757="","",ROUND(IFERROR(VLOOKUP($C1757,账户期初,2,0),0)+SUMIFS($J$4:J1757,$C$4:C1757,$C1757)-SUMIFS($K$4:K1757,$C$4:C1757,$C1757),2))</f>
        <v/>
      </c>
      <c r="M1757" s="19">
        <f>IF($C1757="","",ROUND(SUM(基础资料!$B$4:$B$13)+SUM($J$4:J1757)-SUM($K$4:K1757),2))</f>
        <v/>
      </c>
      <c r="N1757" s="13" t="n"/>
      <c r="O1757" s="13" t="n"/>
      <c r="P1757" s="17">
        <f>IF($B1757="","",IF($F1757="※类别不在基础资料里","※费用类别不在基础资料里",IF(AND(N($J1757)=0,N($K1757)=0),"※这行没填金额",IF(AND(N($J1757)&gt;0,N($K1757)&gt;0),"※收入和支出不能同一行都填",IF(AND($D1757="收入",N($J1757)=0),"※收入行要填收入金额",IF(AND($D1757="支出",N($K1757)=0),"※支出行要填支出金额",IF(AND($C1757&lt;&gt;"",ISNA(MATCH($C1757,账户表,0))),"※账户不在基础资料里",IF(AND($G1757&lt;&gt;"",ISNA(MATCH($G1757,项目名表,0))),"※项目不在项目台账里",IF(AND(LEFT($F1757,3)="成本-",$G1757=""),"※成本类支出没填项目",IF(AND(LEFT($F1757,3)="成本-",$H1757&lt;&gt;"",N($K1757)&gt;0,COUNTIFS(采购单!$B:$B,$B1757,采购单!$C:$C,$H1757,采购单!$L:$L,$K1757)&gt;0),"※这笔可能和采购单重复了",""))))))))))</f>
        <v/>
      </c>
    </row>
    <row r="1758">
      <c r="A1758" s="17">
        <f>IF($B1758="","",ROW()-3)</f>
        <v/>
      </c>
      <c r="B1758" s="18" t="n"/>
      <c r="C1758" s="13" t="n"/>
      <c r="D1758" s="13" t="n"/>
      <c r="E1758" s="13" t="n"/>
      <c r="F1758" s="17">
        <f>IF($E1758="","",IFERROR(VLOOKUP($E1758,类别归属,2,0),"※类别不在基础资料里"))</f>
        <v/>
      </c>
      <c r="G1758" s="13" t="n"/>
      <c r="H1758" s="13" t="n"/>
      <c r="I1758" s="13" t="n"/>
      <c r="J1758" s="14" t="n"/>
      <c r="K1758" s="14" t="n"/>
      <c r="L1758" s="19">
        <f>IF($C1758="","",ROUND(IFERROR(VLOOKUP($C1758,账户期初,2,0),0)+SUMIFS($J$4:J1758,$C$4:C1758,$C1758)-SUMIFS($K$4:K1758,$C$4:C1758,$C1758),2))</f>
        <v/>
      </c>
      <c r="M1758" s="19">
        <f>IF($C1758="","",ROUND(SUM(基础资料!$B$4:$B$13)+SUM($J$4:J1758)-SUM($K$4:K1758),2))</f>
        <v/>
      </c>
      <c r="N1758" s="13" t="n"/>
      <c r="O1758" s="13" t="n"/>
      <c r="P1758" s="17">
        <f>IF($B1758="","",IF($F1758="※类别不在基础资料里","※费用类别不在基础资料里",IF(AND(N($J1758)=0,N($K1758)=0),"※这行没填金额",IF(AND(N($J1758)&gt;0,N($K1758)&gt;0),"※收入和支出不能同一行都填",IF(AND($D1758="收入",N($J1758)=0),"※收入行要填收入金额",IF(AND($D1758="支出",N($K1758)=0),"※支出行要填支出金额",IF(AND($C1758&lt;&gt;"",ISNA(MATCH($C1758,账户表,0))),"※账户不在基础资料里",IF(AND($G1758&lt;&gt;"",ISNA(MATCH($G1758,项目名表,0))),"※项目不在项目台账里",IF(AND(LEFT($F1758,3)="成本-",$G1758=""),"※成本类支出没填项目",IF(AND(LEFT($F1758,3)="成本-",$H1758&lt;&gt;"",N($K1758)&gt;0,COUNTIFS(采购单!$B:$B,$B1758,采购单!$C:$C,$H1758,采购单!$L:$L,$K1758)&gt;0),"※这笔可能和采购单重复了",""))))))))))</f>
        <v/>
      </c>
    </row>
    <row r="1759">
      <c r="A1759" s="17">
        <f>IF($B1759="","",ROW()-3)</f>
        <v/>
      </c>
      <c r="B1759" s="18" t="n"/>
      <c r="C1759" s="13" t="n"/>
      <c r="D1759" s="13" t="n"/>
      <c r="E1759" s="13" t="n"/>
      <c r="F1759" s="17">
        <f>IF($E1759="","",IFERROR(VLOOKUP($E1759,类别归属,2,0),"※类别不在基础资料里"))</f>
        <v/>
      </c>
      <c r="G1759" s="13" t="n"/>
      <c r="H1759" s="13" t="n"/>
      <c r="I1759" s="13" t="n"/>
      <c r="J1759" s="14" t="n"/>
      <c r="K1759" s="14" t="n"/>
      <c r="L1759" s="19">
        <f>IF($C1759="","",ROUND(IFERROR(VLOOKUP($C1759,账户期初,2,0),0)+SUMIFS($J$4:J1759,$C$4:C1759,$C1759)-SUMIFS($K$4:K1759,$C$4:C1759,$C1759),2))</f>
        <v/>
      </c>
      <c r="M1759" s="19">
        <f>IF($C1759="","",ROUND(SUM(基础资料!$B$4:$B$13)+SUM($J$4:J1759)-SUM($K$4:K1759),2))</f>
        <v/>
      </c>
      <c r="N1759" s="13" t="n"/>
      <c r="O1759" s="13" t="n"/>
      <c r="P1759" s="17">
        <f>IF($B1759="","",IF($F1759="※类别不在基础资料里","※费用类别不在基础资料里",IF(AND(N($J1759)=0,N($K1759)=0),"※这行没填金额",IF(AND(N($J1759)&gt;0,N($K1759)&gt;0),"※收入和支出不能同一行都填",IF(AND($D1759="收入",N($J1759)=0),"※收入行要填收入金额",IF(AND($D1759="支出",N($K1759)=0),"※支出行要填支出金额",IF(AND($C1759&lt;&gt;"",ISNA(MATCH($C1759,账户表,0))),"※账户不在基础资料里",IF(AND($G1759&lt;&gt;"",ISNA(MATCH($G1759,项目名表,0))),"※项目不在项目台账里",IF(AND(LEFT($F1759,3)="成本-",$G1759=""),"※成本类支出没填项目",IF(AND(LEFT($F1759,3)="成本-",$H1759&lt;&gt;"",N($K1759)&gt;0,COUNTIFS(采购单!$B:$B,$B1759,采购单!$C:$C,$H1759,采购单!$L:$L,$K1759)&gt;0),"※这笔可能和采购单重复了",""))))))))))</f>
        <v/>
      </c>
    </row>
    <row r="1760">
      <c r="A1760" s="17">
        <f>IF($B1760="","",ROW()-3)</f>
        <v/>
      </c>
      <c r="B1760" s="18" t="n"/>
      <c r="C1760" s="13" t="n"/>
      <c r="D1760" s="13" t="n"/>
      <c r="E1760" s="13" t="n"/>
      <c r="F1760" s="17">
        <f>IF($E1760="","",IFERROR(VLOOKUP($E1760,类别归属,2,0),"※类别不在基础资料里"))</f>
        <v/>
      </c>
      <c r="G1760" s="13" t="n"/>
      <c r="H1760" s="13" t="n"/>
      <c r="I1760" s="13" t="n"/>
      <c r="J1760" s="14" t="n"/>
      <c r="K1760" s="14" t="n"/>
      <c r="L1760" s="19">
        <f>IF($C1760="","",ROUND(IFERROR(VLOOKUP($C1760,账户期初,2,0),0)+SUMIFS($J$4:J1760,$C$4:C1760,$C1760)-SUMIFS($K$4:K1760,$C$4:C1760,$C1760),2))</f>
        <v/>
      </c>
      <c r="M1760" s="19">
        <f>IF($C1760="","",ROUND(SUM(基础资料!$B$4:$B$13)+SUM($J$4:J1760)-SUM($K$4:K1760),2))</f>
        <v/>
      </c>
      <c r="N1760" s="13" t="n"/>
      <c r="O1760" s="13" t="n"/>
      <c r="P1760" s="17">
        <f>IF($B1760="","",IF($F1760="※类别不在基础资料里","※费用类别不在基础资料里",IF(AND(N($J1760)=0,N($K1760)=0),"※这行没填金额",IF(AND(N($J1760)&gt;0,N($K1760)&gt;0),"※收入和支出不能同一行都填",IF(AND($D1760="收入",N($J1760)=0),"※收入行要填收入金额",IF(AND($D1760="支出",N($K1760)=0),"※支出行要填支出金额",IF(AND($C1760&lt;&gt;"",ISNA(MATCH($C1760,账户表,0))),"※账户不在基础资料里",IF(AND($G1760&lt;&gt;"",ISNA(MATCH($G1760,项目名表,0))),"※项目不在项目台账里",IF(AND(LEFT($F1760,3)="成本-",$G1760=""),"※成本类支出没填项目",IF(AND(LEFT($F1760,3)="成本-",$H1760&lt;&gt;"",N($K1760)&gt;0,COUNTIFS(采购单!$B:$B,$B1760,采购单!$C:$C,$H1760,采购单!$L:$L,$K1760)&gt;0),"※这笔可能和采购单重复了",""))))))))))</f>
        <v/>
      </c>
    </row>
    <row r="1761">
      <c r="A1761" s="17">
        <f>IF($B1761="","",ROW()-3)</f>
        <v/>
      </c>
      <c r="B1761" s="18" t="n"/>
      <c r="C1761" s="13" t="n"/>
      <c r="D1761" s="13" t="n"/>
      <c r="E1761" s="13" t="n"/>
      <c r="F1761" s="17">
        <f>IF($E1761="","",IFERROR(VLOOKUP($E1761,类别归属,2,0),"※类别不在基础资料里"))</f>
        <v/>
      </c>
      <c r="G1761" s="13" t="n"/>
      <c r="H1761" s="13" t="n"/>
      <c r="I1761" s="13" t="n"/>
      <c r="J1761" s="14" t="n"/>
      <c r="K1761" s="14" t="n"/>
      <c r="L1761" s="19">
        <f>IF($C1761="","",ROUND(IFERROR(VLOOKUP($C1761,账户期初,2,0),0)+SUMIFS($J$4:J1761,$C$4:C1761,$C1761)-SUMIFS($K$4:K1761,$C$4:C1761,$C1761),2))</f>
        <v/>
      </c>
      <c r="M1761" s="19">
        <f>IF($C1761="","",ROUND(SUM(基础资料!$B$4:$B$13)+SUM($J$4:J1761)-SUM($K$4:K1761),2))</f>
        <v/>
      </c>
      <c r="N1761" s="13" t="n"/>
      <c r="O1761" s="13" t="n"/>
      <c r="P1761" s="17">
        <f>IF($B1761="","",IF($F1761="※类别不在基础资料里","※费用类别不在基础资料里",IF(AND(N($J1761)=0,N($K1761)=0),"※这行没填金额",IF(AND(N($J1761)&gt;0,N($K1761)&gt;0),"※收入和支出不能同一行都填",IF(AND($D1761="收入",N($J1761)=0),"※收入行要填收入金额",IF(AND($D1761="支出",N($K1761)=0),"※支出行要填支出金额",IF(AND($C1761&lt;&gt;"",ISNA(MATCH($C1761,账户表,0))),"※账户不在基础资料里",IF(AND($G1761&lt;&gt;"",ISNA(MATCH($G1761,项目名表,0))),"※项目不在项目台账里",IF(AND(LEFT($F1761,3)="成本-",$G1761=""),"※成本类支出没填项目",IF(AND(LEFT($F1761,3)="成本-",$H1761&lt;&gt;"",N($K1761)&gt;0,COUNTIFS(采购单!$B:$B,$B1761,采购单!$C:$C,$H1761,采购单!$L:$L,$K1761)&gt;0),"※这笔可能和采购单重复了",""))))))))))</f>
        <v/>
      </c>
    </row>
    <row r="1762">
      <c r="A1762" s="17">
        <f>IF($B1762="","",ROW()-3)</f>
        <v/>
      </c>
      <c r="B1762" s="18" t="n"/>
      <c r="C1762" s="13" t="n"/>
      <c r="D1762" s="13" t="n"/>
      <c r="E1762" s="13" t="n"/>
      <c r="F1762" s="17">
        <f>IF($E1762="","",IFERROR(VLOOKUP($E1762,类别归属,2,0),"※类别不在基础资料里"))</f>
        <v/>
      </c>
      <c r="G1762" s="13" t="n"/>
      <c r="H1762" s="13" t="n"/>
      <c r="I1762" s="13" t="n"/>
      <c r="J1762" s="14" t="n"/>
      <c r="K1762" s="14" t="n"/>
      <c r="L1762" s="19">
        <f>IF($C1762="","",ROUND(IFERROR(VLOOKUP($C1762,账户期初,2,0),0)+SUMIFS($J$4:J1762,$C$4:C1762,$C1762)-SUMIFS($K$4:K1762,$C$4:C1762,$C1762),2))</f>
        <v/>
      </c>
      <c r="M1762" s="19">
        <f>IF($C1762="","",ROUND(SUM(基础资料!$B$4:$B$13)+SUM($J$4:J1762)-SUM($K$4:K1762),2))</f>
        <v/>
      </c>
      <c r="N1762" s="13" t="n"/>
      <c r="O1762" s="13" t="n"/>
      <c r="P1762" s="17">
        <f>IF($B1762="","",IF($F1762="※类别不在基础资料里","※费用类别不在基础资料里",IF(AND(N($J1762)=0,N($K1762)=0),"※这行没填金额",IF(AND(N($J1762)&gt;0,N($K1762)&gt;0),"※收入和支出不能同一行都填",IF(AND($D1762="收入",N($J1762)=0),"※收入行要填收入金额",IF(AND($D1762="支出",N($K1762)=0),"※支出行要填支出金额",IF(AND($C1762&lt;&gt;"",ISNA(MATCH($C1762,账户表,0))),"※账户不在基础资料里",IF(AND($G1762&lt;&gt;"",ISNA(MATCH($G1762,项目名表,0))),"※项目不在项目台账里",IF(AND(LEFT($F1762,3)="成本-",$G1762=""),"※成本类支出没填项目",IF(AND(LEFT($F1762,3)="成本-",$H1762&lt;&gt;"",N($K1762)&gt;0,COUNTIFS(采购单!$B:$B,$B1762,采购单!$C:$C,$H1762,采购单!$L:$L,$K1762)&gt;0),"※这笔可能和采购单重复了",""))))))))))</f>
        <v/>
      </c>
    </row>
    <row r="1763">
      <c r="A1763" s="17">
        <f>IF($B1763="","",ROW()-3)</f>
        <v/>
      </c>
      <c r="B1763" s="18" t="n"/>
      <c r="C1763" s="13" t="n"/>
      <c r="D1763" s="13" t="n"/>
      <c r="E1763" s="13" t="n"/>
      <c r="F1763" s="17">
        <f>IF($E1763="","",IFERROR(VLOOKUP($E1763,类别归属,2,0),"※类别不在基础资料里"))</f>
        <v/>
      </c>
      <c r="G1763" s="13" t="n"/>
      <c r="H1763" s="13" t="n"/>
      <c r="I1763" s="13" t="n"/>
      <c r="J1763" s="14" t="n"/>
      <c r="K1763" s="14" t="n"/>
      <c r="L1763" s="19">
        <f>IF($C1763="","",ROUND(IFERROR(VLOOKUP($C1763,账户期初,2,0),0)+SUMIFS($J$4:J1763,$C$4:C1763,$C1763)-SUMIFS($K$4:K1763,$C$4:C1763,$C1763),2))</f>
        <v/>
      </c>
      <c r="M1763" s="19">
        <f>IF($C1763="","",ROUND(SUM(基础资料!$B$4:$B$13)+SUM($J$4:J1763)-SUM($K$4:K1763),2))</f>
        <v/>
      </c>
      <c r="N1763" s="13" t="n"/>
      <c r="O1763" s="13" t="n"/>
      <c r="P1763" s="17">
        <f>IF($B1763="","",IF($F1763="※类别不在基础资料里","※费用类别不在基础资料里",IF(AND(N($J1763)=0,N($K1763)=0),"※这行没填金额",IF(AND(N($J1763)&gt;0,N($K1763)&gt;0),"※收入和支出不能同一行都填",IF(AND($D1763="收入",N($J1763)=0),"※收入行要填收入金额",IF(AND($D1763="支出",N($K1763)=0),"※支出行要填支出金额",IF(AND($C1763&lt;&gt;"",ISNA(MATCH($C1763,账户表,0))),"※账户不在基础资料里",IF(AND($G1763&lt;&gt;"",ISNA(MATCH($G1763,项目名表,0))),"※项目不在项目台账里",IF(AND(LEFT($F1763,3)="成本-",$G1763=""),"※成本类支出没填项目",IF(AND(LEFT($F1763,3)="成本-",$H1763&lt;&gt;"",N($K1763)&gt;0,COUNTIFS(采购单!$B:$B,$B1763,采购单!$C:$C,$H1763,采购单!$L:$L,$K1763)&gt;0),"※这笔可能和采购单重复了",""))))))))))</f>
        <v/>
      </c>
    </row>
    <row r="1764">
      <c r="A1764" s="17">
        <f>IF($B1764="","",ROW()-3)</f>
        <v/>
      </c>
      <c r="B1764" s="18" t="n"/>
      <c r="C1764" s="13" t="n"/>
      <c r="D1764" s="13" t="n"/>
      <c r="E1764" s="13" t="n"/>
      <c r="F1764" s="17">
        <f>IF($E1764="","",IFERROR(VLOOKUP($E1764,类别归属,2,0),"※类别不在基础资料里"))</f>
        <v/>
      </c>
      <c r="G1764" s="13" t="n"/>
      <c r="H1764" s="13" t="n"/>
      <c r="I1764" s="13" t="n"/>
      <c r="J1764" s="14" t="n"/>
      <c r="K1764" s="14" t="n"/>
      <c r="L1764" s="19">
        <f>IF($C1764="","",ROUND(IFERROR(VLOOKUP($C1764,账户期初,2,0),0)+SUMIFS($J$4:J1764,$C$4:C1764,$C1764)-SUMIFS($K$4:K1764,$C$4:C1764,$C1764),2))</f>
        <v/>
      </c>
      <c r="M1764" s="19">
        <f>IF($C1764="","",ROUND(SUM(基础资料!$B$4:$B$13)+SUM($J$4:J1764)-SUM($K$4:K1764),2))</f>
        <v/>
      </c>
      <c r="N1764" s="13" t="n"/>
      <c r="O1764" s="13" t="n"/>
      <c r="P1764" s="17">
        <f>IF($B1764="","",IF($F1764="※类别不在基础资料里","※费用类别不在基础资料里",IF(AND(N($J1764)=0,N($K1764)=0),"※这行没填金额",IF(AND(N($J1764)&gt;0,N($K1764)&gt;0),"※收入和支出不能同一行都填",IF(AND($D1764="收入",N($J1764)=0),"※收入行要填收入金额",IF(AND($D1764="支出",N($K1764)=0),"※支出行要填支出金额",IF(AND($C1764&lt;&gt;"",ISNA(MATCH($C1764,账户表,0))),"※账户不在基础资料里",IF(AND($G1764&lt;&gt;"",ISNA(MATCH($G1764,项目名表,0))),"※项目不在项目台账里",IF(AND(LEFT($F1764,3)="成本-",$G1764=""),"※成本类支出没填项目",IF(AND(LEFT($F1764,3)="成本-",$H1764&lt;&gt;"",N($K1764)&gt;0,COUNTIFS(采购单!$B:$B,$B1764,采购单!$C:$C,$H1764,采购单!$L:$L,$K1764)&gt;0),"※这笔可能和采购单重复了",""))))))))))</f>
        <v/>
      </c>
    </row>
    <row r="1765">
      <c r="A1765" s="17">
        <f>IF($B1765="","",ROW()-3)</f>
        <v/>
      </c>
      <c r="B1765" s="18" t="n"/>
      <c r="C1765" s="13" t="n"/>
      <c r="D1765" s="13" t="n"/>
      <c r="E1765" s="13" t="n"/>
      <c r="F1765" s="17">
        <f>IF($E1765="","",IFERROR(VLOOKUP($E1765,类别归属,2,0),"※类别不在基础资料里"))</f>
        <v/>
      </c>
      <c r="G1765" s="13" t="n"/>
      <c r="H1765" s="13" t="n"/>
      <c r="I1765" s="13" t="n"/>
      <c r="J1765" s="14" t="n"/>
      <c r="K1765" s="14" t="n"/>
      <c r="L1765" s="19">
        <f>IF($C1765="","",ROUND(IFERROR(VLOOKUP($C1765,账户期初,2,0),0)+SUMIFS($J$4:J1765,$C$4:C1765,$C1765)-SUMIFS($K$4:K1765,$C$4:C1765,$C1765),2))</f>
        <v/>
      </c>
      <c r="M1765" s="19">
        <f>IF($C1765="","",ROUND(SUM(基础资料!$B$4:$B$13)+SUM($J$4:J1765)-SUM($K$4:K1765),2))</f>
        <v/>
      </c>
      <c r="N1765" s="13" t="n"/>
      <c r="O1765" s="13" t="n"/>
      <c r="P1765" s="17">
        <f>IF($B1765="","",IF($F1765="※类别不在基础资料里","※费用类别不在基础资料里",IF(AND(N($J1765)=0,N($K1765)=0),"※这行没填金额",IF(AND(N($J1765)&gt;0,N($K1765)&gt;0),"※收入和支出不能同一行都填",IF(AND($D1765="收入",N($J1765)=0),"※收入行要填收入金额",IF(AND($D1765="支出",N($K1765)=0),"※支出行要填支出金额",IF(AND($C1765&lt;&gt;"",ISNA(MATCH($C1765,账户表,0))),"※账户不在基础资料里",IF(AND($G1765&lt;&gt;"",ISNA(MATCH($G1765,项目名表,0))),"※项目不在项目台账里",IF(AND(LEFT($F1765,3)="成本-",$G1765=""),"※成本类支出没填项目",IF(AND(LEFT($F1765,3)="成本-",$H1765&lt;&gt;"",N($K1765)&gt;0,COUNTIFS(采购单!$B:$B,$B1765,采购单!$C:$C,$H1765,采购单!$L:$L,$K1765)&gt;0),"※这笔可能和采购单重复了",""))))))))))</f>
        <v/>
      </c>
    </row>
    <row r="1766">
      <c r="A1766" s="17">
        <f>IF($B1766="","",ROW()-3)</f>
        <v/>
      </c>
      <c r="B1766" s="18" t="n"/>
      <c r="C1766" s="13" t="n"/>
      <c r="D1766" s="13" t="n"/>
      <c r="E1766" s="13" t="n"/>
      <c r="F1766" s="17">
        <f>IF($E1766="","",IFERROR(VLOOKUP($E1766,类别归属,2,0),"※类别不在基础资料里"))</f>
        <v/>
      </c>
      <c r="G1766" s="13" t="n"/>
      <c r="H1766" s="13" t="n"/>
      <c r="I1766" s="13" t="n"/>
      <c r="J1766" s="14" t="n"/>
      <c r="K1766" s="14" t="n"/>
      <c r="L1766" s="19">
        <f>IF($C1766="","",ROUND(IFERROR(VLOOKUP($C1766,账户期初,2,0),0)+SUMIFS($J$4:J1766,$C$4:C1766,$C1766)-SUMIFS($K$4:K1766,$C$4:C1766,$C1766),2))</f>
        <v/>
      </c>
      <c r="M1766" s="19">
        <f>IF($C1766="","",ROUND(SUM(基础资料!$B$4:$B$13)+SUM($J$4:J1766)-SUM($K$4:K1766),2))</f>
        <v/>
      </c>
      <c r="N1766" s="13" t="n"/>
      <c r="O1766" s="13" t="n"/>
      <c r="P1766" s="17">
        <f>IF($B1766="","",IF($F1766="※类别不在基础资料里","※费用类别不在基础资料里",IF(AND(N($J1766)=0,N($K1766)=0),"※这行没填金额",IF(AND(N($J1766)&gt;0,N($K1766)&gt;0),"※收入和支出不能同一行都填",IF(AND($D1766="收入",N($J1766)=0),"※收入行要填收入金额",IF(AND($D1766="支出",N($K1766)=0),"※支出行要填支出金额",IF(AND($C1766&lt;&gt;"",ISNA(MATCH($C1766,账户表,0))),"※账户不在基础资料里",IF(AND($G1766&lt;&gt;"",ISNA(MATCH($G1766,项目名表,0))),"※项目不在项目台账里",IF(AND(LEFT($F1766,3)="成本-",$G1766=""),"※成本类支出没填项目",IF(AND(LEFT($F1766,3)="成本-",$H1766&lt;&gt;"",N($K1766)&gt;0,COUNTIFS(采购单!$B:$B,$B1766,采购单!$C:$C,$H1766,采购单!$L:$L,$K1766)&gt;0),"※这笔可能和采购单重复了",""))))))))))</f>
        <v/>
      </c>
    </row>
    <row r="1767">
      <c r="A1767" s="17">
        <f>IF($B1767="","",ROW()-3)</f>
        <v/>
      </c>
      <c r="B1767" s="18" t="n"/>
      <c r="C1767" s="13" t="n"/>
      <c r="D1767" s="13" t="n"/>
      <c r="E1767" s="13" t="n"/>
      <c r="F1767" s="17">
        <f>IF($E1767="","",IFERROR(VLOOKUP($E1767,类别归属,2,0),"※类别不在基础资料里"))</f>
        <v/>
      </c>
      <c r="G1767" s="13" t="n"/>
      <c r="H1767" s="13" t="n"/>
      <c r="I1767" s="13" t="n"/>
      <c r="J1767" s="14" t="n"/>
      <c r="K1767" s="14" t="n"/>
      <c r="L1767" s="19">
        <f>IF($C1767="","",ROUND(IFERROR(VLOOKUP($C1767,账户期初,2,0),0)+SUMIFS($J$4:J1767,$C$4:C1767,$C1767)-SUMIFS($K$4:K1767,$C$4:C1767,$C1767),2))</f>
        <v/>
      </c>
      <c r="M1767" s="19">
        <f>IF($C1767="","",ROUND(SUM(基础资料!$B$4:$B$13)+SUM($J$4:J1767)-SUM($K$4:K1767),2))</f>
        <v/>
      </c>
      <c r="N1767" s="13" t="n"/>
      <c r="O1767" s="13" t="n"/>
      <c r="P1767" s="17">
        <f>IF($B1767="","",IF($F1767="※类别不在基础资料里","※费用类别不在基础资料里",IF(AND(N($J1767)=0,N($K1767)=0),"※这行没填金额",IF(AND(N($J1767)&gt;0,N($K1767)&gt;0),"※收入和支出不能同一行都填",IF(AND($D1767="收入",N($J1767)=0),"※收入行要填收入金额",IF(AND($D1767="支出",N($K1767)=0),"※支出行要填支出金额",IF(AND($C1767&lt;&gt;"",ISNA(MATCH($C1767,账户表,0))),"※账户不在基础资料里",IF(AND($G1767&lt;&gt;"",ISNA(MATCH($G1767,项目名表,0))),"※项目不在项目台账里",IF(AND(LEFT($F1767,3)="成本-",$G1767=""),"※成本类支出没填项目",IF(AND(LEFT($F1767,3)="成本-",$H1767&lt;&gt;"",N($K1767)&gt;0,COUNTIFS(采购单!$B:$B,$B1767,采购单!$C:$C,$H1767,采购单!$L:$L,$K1767)&gt;0),"※这笔可能和采购单重复了",""))))))))))</f>
        <v/>
      </c>
    </row>
    <row r="1768">
      <c r="A1768" s="17">
        <f>IF($B1768="","",ROW()-3)</f>
        <v/>
      </c>
      <c r="B1768" s="18" t="n"/>
      <c r="C1768" s="13" t="n"/>
      <c r="D1768" s="13" t="n"/>
      <c r="E1768" s="13" t="n"/>
      <c r="F1768" s="17">
        <f>IF($E1768="","",IFERROR(VLOOKUP($E1768,类别归属,2,0),"※类别不在基础资料里"))</f>
        <v/>
      </c>
      <c r="G1768" s="13" t="n"/>
      <c r="H1768" s="13" t="n"/>
      <c r="I1768" s="13" t="n"/>
      <c r="J1768" s="14" t="n"/>
      <c r="K1768" s="14" t="n"/>
      <c r="L1768" s="19">
        <f>IF($C1768="","",ROUND(IFERROR(VLOOKUP($C1768,账户期初,2,0),0)+SUMIFS($J$4:J1768,$C$4:C1768,$C1768)-SUMIFS($K$4:K1768,$C$4:C1768,$C1768),2))</f>
        <v/>
      </c>
      <c r="M1768" s="19">
        <f>IF($C1768="","",ROUND(SUM(基础资料!$B$4:$B$13)+SUM($J$4:J1768)-SUM($K$4:K1768),2))</f>
        <v/>
      </c>
      <c r="N1768" s="13" t="n"/>
      <c r="O1768" s="13" t="n"/>
      <c r="P1768" s="17">
        <f>IF($B1768="","",IF($F1768="※类别不在基础资料里","※费用类别不在基础资料里",IF(AND(N($J1768)=0,N($K1768)=0),"※这行没填金额",IF(AND(N($J1768)&gt;0,N($K1768)&gt;0),"※收入和支出不能同一行都填",IF(AND($D1768="收入",N($J1768)=0),"※收入行要填收入金额",IF(AND($D1768="支出",N($K1768)=0),"※支出行要填支出金额",IF(AND($C1768&lt;&gt;"",ISNA(MATCH($C1768,账户表,0))),"※账户不在基础资料里",IF(AND($G1768&lt;&gt;"",ISNA(MATCH($G1768,项目名表,0))),"※项目不在项目台账里",IF(AND(LEFT($F1768,3)="成本-",$G1768=""),"※成本类支出没填项目",IF(AND(LEFT($F1768,3)="成本-",$H1768&lt;&gt;"",N($K1768)&gt;0,COUNTIFS(采购单!$B:$B,$B1768,采购单!$C:$C,$H1768,采购单!$L:$L,$K1768)&gt;0),"※这笔可能和采购单重复了",""))))))))))</f>
        <v/>
      </c>
    </row>
    <row r="1769">
      <c r="A1769" s="17">
        <f>IF($B1769="","",ROW()-3)</f>
        <v/>
      </c>
      <c r="B1769" s="18" t="n"/>
      <c r="C1769" s="13" t="n"/>
      <c r="D1769" s="13" t="n"/>
      <c r="E1769" s="13" t="n"/>
      <c r="F1769" s="17">
        <f>IF($E1769="","",IFERROR(VLOOKUP($E1769,类别归属,2,0),"※类别不在基础资料里"))</f>
        <v/>
      </c>
      <c r="G1769" s="13" t="n"/>
      <c r="H1769" s="13" t="n"/>
      <c r="I1769" s="13" t="n"/>
      <c r="J1769" s="14" t="n"/>
      <c r="K1769" s="14" t="n"/>
      <c r="L1769" s="19">
        <f>IF($C1769="","",ROUND(IFERROR(VLOOKUP($C1769,账户期初,2,0),0)+SUMIFS($J$4:J1769,$C$4:C1769,$C1769)-SUMIFS($K$4:K1769,$C$4:C1769,$C1769),2))</f>
        <v/>
      </c>
      <c r="M1769" s="19">
        <f>IF($C1769="","",ROUND(SUM(基础资料!$B$4:$B$13)+SUM($J$4:J1769)-SUM($K$4:K1769),2))</f>
        <v/>
      </c>
      <c r="N1769" s="13" t="n"/>
      <c r="O1769" s="13" t="n"/>
      <c r="P1769" s="17">
        <f>IF($B1769="","",IF($F1769="※类别不在基础资料里","※费用类别不在基础资料里",IF(AND(N($J1769)=0,N($K1769)=0),"※这行没填金额",IF(AND(N($J1769)&gt;0,N($K1769)&gt;0),"※收入和支出不能同一行都填",IF(AND($D1769="收入",N($J1769)=0),"※收入行要填收入金额",IF(AND($D1769="支出",N($K1769)=0),"※支出行要填支出金额",IF(AND($C1769&lt;&gt;"",ISNA(MATCH($C1769,账户表,0))),"※账户不在基础资料里",IF(AND($G1769&lt;&gt;"",ISNA(MATCH($G1769,项目名表,0))),"※项目不在项目台账里",IF(AND(LEFT($F1769,3)="成本-",$G1769=""),"※成本类支出没填项目",IF(AND(LEFT($F1769,3)="成本-",$H1769&lt;&gt;"",N($K1769)&gt;0,COUNTIFS(采购单!$B:$B,$B1769,采购单!$C:$C,$H1769,采购单!$L:$L,$K1769)&gt;0),"※这笔可能和采购单重复了",""))))))))))</f>
        <v/>
      </c>
    </row>
    <row r="1770">
      <c r="A1770" s="17">
        <f>IF($B1770="","",ROW()-3)</f>
        <v/>
      </c>
      <c r="B1770" s="18" t="n"/>
      <c r="C1770" s="13" t="n"/>
      <c r="D1770" s="13" t="n"/>
      <c r="E1770" s="13" t="n"/>
      <c r="F1770" s="17">
        <f>IF($E1770="","",IFERROR(VLOOKUP($E1770,类别归属,2,0),"※类别不在基础资料里"))</f>
        <v/>
      </c>
      <c r="G1770" s="13" t="n"/>
      <c r="H1770" s="13" t="n"/>
      <c r="I1770" s="13" t="n"/>
      <c r="J1770" s="14" t="n"/>
      <c r="K1770" s="14" t="n"/>
      <c r="L1770" s="19">
        <f>IF($C1770="","",ROUND(IFERROR(VLOOKUP($C1770,账户期初,2,0),0)+SUMIFS($J$4:J1770,$C$4:C1770,$C1770)-SUMIFS($K$4:K1770,$C$4:C1770,$C1770),2))</f>
        <v/>
      </c>
      <c r="M1770" s="19">
        <f>IF($C1770="","",ROUND(SUM(基础资料!$B$4:$B$13)+SUM($J$4:J1770)-SUM($K$4:K1770),2))</f>
        <v/>
      </c>
      <c r="N1770" s="13" t="n"/>
      <c r="O1770" s="13" t="n"/>
      <c r="P1770" s="17">
        <f>IF($B1770="","",IF($F1770="※类别不在基础资料里","※费用类别不在基础资料里",IF(AND(N($J1770)=0,N($K1770)=0),"※这行没填金额",IF(AND(N($J1770)&gt;0,N($K1770)&gt;0),"※收入和支出不能同一行都填",IF(AND($D1770="收入",N($J1770)=0),"※收入行要填收入金额",IF(AND($D1770="支出",N($K1770)=0),"※支出行要填支出金额",IF(AND($C1770&lt;&gt;"",ISNA(MATCH($C1770,账户表,0))),"※账户不在基础资料里",IF(AND($G1770&lt;&gt;"",ISNA(MATCH($G1770,项目名表,0))),"※项目不在项目台账里",IF(AND(LEFT($F1770,3)="成本-",$G1770=""),"※成本类支出没填项目",IF(AND(LEFT($F1770,3)="成本-",$H1770&lt;&gt;"",N($K1770)&gt;0,COUNTIFS(采购单!$B:$B,$B1770,采购单!$C:$C,$H1770,采购单!$L:$L,$K1770)&gt;0),"※这笔可能和采购单重复了",""))))))))))</f>
        <v/>
      </c>
    </row>
    <row r="1771">
      <c r="A1771" s="17">
        <f>IF($B1771="","",ROW()-3)</f>
        <v/>
      </c>
      <c r="B1771" s="18" t="n"/>
      <c r="C1771" s="13" t="n"/>
      <c r="D1771" s="13" t="n"/>
      <c r="E1771" s="13" t="n"/>
      <c r="F1771" s="17">
        <f>IF($E1771="","",IFERROR(VLOOKUP($E1771,类别归属,2,0),"※类别不在基础资料里"))</f>
        <v/>
      </c>
      <c r="G1771" s="13" t="n"/>
      <c r="H1771" s="13" t="n"/>
      <c r="I1771" s="13" t="n"/>
      <c r="J1771" s="14" t="n"/>
      <c r="K1771" s="14" t="n"/>
      <c r="L1771" s="19">
        <f>IF($C1771="","",ROUND(IFERROR(VLOOKUP($C1771,账户期初,2,0),0)+SUMIFS($J$4:J1771,$C$4:C1771,$C1771)-SUMIFS($K$4:K1771,$C$4:C1771,$C1771),2))</f>
        <v/>
      </c>
      <c r="M1771" s="19">
        <f>IF($C1771="","",ROUND(SUM(基础资料!$B$4:$B$13)+SUM($J$4:J1771)-SUM($K$4:K1771),2))</f>
        <v/>
      </c>
      <c r="N1771" s="13" t="n"/>
      <c r="O1771" s="13" t="n"/>
      <c r="P1771" s="17">
        <f>IF($B1771="","",IF($F1771="※类别不在基础资料里","※费用类别不在基础资料里",IF(AND(N($J1771)=0,N($K1771)=0),"※这行没填金额",IF(AND(N($J1771)&gt;0,N($K1771)&gt;0),"※收入和支出不能同一行都填",IF(AND($D1771="收入",N($J1771)=0),"※收入行要填收入金额",IF(AND($D1771="支出",N($K1771)=0),"※支出行要填支出金额",IF(AND($C1771&lt;&gt;"",ISNA(MATCH($C1771,账户表,0))),"※账户不在基础资料里",IF(AND($G1771&lt;&gt;"",ISNA(MATCH($G1771,项目名表,0))),"※项目不在项目台账里",IF(AND(LEFT($F1771,3)="成本-",$G1771=""),"※成本类支出没填项目",IF(AND(LEFT($F1771,3)="成本-",$H1771&lt;&gt;"",N($K1771)&gt;0,COUNTIFS(采购单!$B:$B,$B1771,采购单!$C:$C,$H1771,采购单!$L:$L,$K1771)&gt;0),"※这笔可能和采购单重复了",""))))))))))</f>
        <v/>
      </c>
    </row>
    <row r="1772">
      <c r="A1772" s="17">
        <f>IF($B1772="","",ROW()-3)</f>
        <v/>
      </c>
      <c r="B1772" s="18" t="n"/>
      <c r="C1772" s="13" t="n"/>
      <c r="D1772" s="13" t="n"/>
      <c r="E1772" s="13" t="n"/>
      <c r="F1772" s="17">
        <f>IF($E1772="","",IFERROR(VLOOKUP($E1772,类别归属,2,0),"※类别不在基础资料里"))</f>
        <v/>
      </c>
      <c r="G1772" s="13" t="n"/>
      <c r="H1772" s="13" t="n"/>
      <c r="I1772" s="13" t="n"/>
      <c r="J1772" s="14" t="n"/>
      <c r="K1772" s="14" t="n"/>
      <c r="L1772" s="19">
        <f>IF($C1772="","",ROUND(IFERROR(VLOOKUP($C1772,账户期初,2,0),0)+SUMIFS($J$4:J1772,$C$4:C1772,$C1772)-SUMIFS($K$4:K1772,$C$4:C1772,$C1772),2))</f>
        <v/>
      </c>
      <c r="M1772" s="19">
        <f>IF($C1772="","",ROUND(SUM(基础资料!$B$4:$B$13)+SUM($J$4:J1772)-SUM($K$4:K1772),2))</f>
        <v/>
      </c>
      <c r="N1772" s="13" t="n"/>
      <c r="O1772" s="13" t="n"/>
      <c r="P1772" s="17">
        <f>IF($B1772="","",IF($F1772="※类别不在基础资料里","※费用类别不在基础资料里",IF(AND(N($J1772)=0,N($K1772)=0),"※这行没填金额",IF(AND(N($J1772)&gt;0,N($K1772)&gt;0),"※收入和支出不能同一行都填",IF(AND($D1772="收入",N($J1772)=0),"※收入行要填收入金额",IF(AND($D1772="支出",N($K1772)=0),"※支出行要填支出金额",IF(AND($C1772&lt;&gt;"",ISNA(MATCH($C1772,账户表,0))),"※账户不在基础资料里",IF(AND($G1772&lt;&gt;"",ISNA(MATCH($G1772,项目名表,0))),"※项目不在项目台账里",IF(AND(LEFT($F1772,3)="成本-",$G1772=""),"※成本类支出没填项目",IF(AND(LEFT($F1772,3)="成本-",$H1772&lt;&gt;"",N($K1772)&gt;0,COUNTIFS(采购单!$B:$B,$B1772,采购单!$C:$C,$H1772,采购单!$L:$L,$K1772)&gt;0),"※这笔可能和采购单重复了",""))))))))))</f>
        <v/>
      </c>
    </row>
    <row r="1773">
      <c r="A1773" s="17">
        <f>IF($B1773="","",ROW()-3)</f>
        <v/>
      </c>
      <c r="B1773" s="18" t="n"/>
      <c r="C1773" s="13" t="n"/>
      <c r="D1773" s="13" t="n"/>
      <c r="E1773" s="13" t="n"/>
      <c r="F1773" s="17">
        <f>IF($E1773="","",IFERROR(VLOOKUP($E1773,类别归属,2,0),"※类别不在基础资料里"))</f>
        <v/>
      </c>
      <c r="G1773" s="13" t="n"/>
      <c r="H1773" s="13" t="n"/>
      <c r="I1773" s="13" t="n"/>
      <c r="J1773" s="14" t="n"/>
      <c r="K1773" s="14" t="n"/>
      <c r="L1773" s="19">
        <f>IF($C1773="","",ROUND(IFERROR(VLOOKUP($C1773,账户期初,2,0),0)+SUMIFS($J$4:J1773,$C$4:C1773,$C1773)-SUMIFS($K$4:K1773,$C$4:C1773,$C1773),2))</f>
        <v/>
      </c>
      <c r="M1773" s="19">
        <f>IF($C1773="","",ROUND(SUM(基础资料!$B$4:$B$13)+SUM($J$4:J1773)-SUM($K$4:K1773),2))</f>
        <v/>
      </c>
      <c r="N1773" s="13" t="n"/>
      <c r="O1773" s="13" t="n"/>
      <c r="P1773" s="17">
        <f>IF($B1773="","",IF($F1773="※类别不在基础资料里","※费用类别不在基础资料里",IF(AND(N($J1773)=0,N($K1773)=0),"※这行没填金额",IF(AND(N($J1773)&gt;0,N($K1773)&gt;0),"※收入和支出不能同一行都填",IF(AND($D1773="收入",N($J1773)=0),"※收入行要填收入金额",IF(AND($D1773="支出",N($K1773)=0),"※支出行要填支出金额",IF(AND($C1773&lt;&gt;"",ISNA(MATCH($C1773,账户表,0))),"※账户不在基础资料里",IF(AND($G1773&lt;&gt;"",ISNA(MATCH($G1773,项目名表,0))),"※项目不在项目台账里",IF(AND(LEFT($F1773,3)="成本-",$G1773=""),"※成本类支出没填项目",IF(AND(LEFT($F1773,3)="成本-",$H1773&lt;&gt;"",N($K1773)&gt;0,COUNTIFS(采购单!$B:$B,$B1773,采购单!$C:$C,$H1773,采购单!$L:$L,$K1773)&gt;0),"※这笔可能和采购单重复了",""))))))))))</f>
        <v/>
      </c>
    </row>
    <row r="1774">
      <c r="A1774" s="17">
        <f>IF($B1774="","",ROW()-3)</f>
        <v/>
      </c>
      <c r="B1774" s="18" t="n"/>
      <c r="C1774" s="13" t="n"/>
      <c r="D1774" s="13" t="n"/>
      <c r="E1774" s="13" t="n"/>
      <c r="F1774" s="17">
        <f>IF($E1774="","",IFERROR(VLOOKUP($E1774,类别归属,2,0),"※类别不在基础资料里"))</f>
        <v/>
      </c>
      <c r="G1774" s="13" t="n"/>
      <c r="H1774" s="13" t="n"/>
      <c r="I1774" s="13" t="n"/>
      <c r="J1774" s="14" t="n"/>
      <c r="K1774" s="14" t="n"/>
      <c r="L1774" s="19">
        <f>IF($C1774="","",ROUND(IFERROR(VLOOKUP($C1774,账户期初,2,0),0)+SUMIFS($J$4:J1774,$C$4:C1774,$C1774)-SUMIFS($K$4:K1774,$C$4:C1774,$C1774),2))</f>
        <v/>
      </c>
      <c r="M1774" s="19">
        <f>IF($C1774="","",ROUND(SUM(基础资料!$B$4:$B$13)+SUM($J$4:J1774)-SUM($K$4:K1774),2))</f>
        <v/>
      </c>
      <c r="N1774" s="13" t="n"/>
      <c r="O1774" s="13" t="n"/>
      <c r="P1774" s="17">
        <f>IF($B1774="","",IF($F1774="※类别不在基础资料里","※费用类别不在基础资料里",IF(AND(N($J1774)=0,N($K1774)=0),"※这行没填金额",IF(AND(N($J1774)&gt;0,N($K1774)&gt;0),"※收入和支出不能同一行都填",IF(AND($D1774="收入",N($J1774)=0),"※收入行要填收入金额",IF(AND($D1774="支出",N($K1774)=0),"※支出行要填支出金额",IF(AND($C1774&lt;&gt;"",ISNA(MATCH($C1774,账户表,0))),"※账户不在基础资料里",IF(AND($G1774&lt;&gt;"",ISNA(MATCH($G1774,项目名表,0))),"※项目不在项目台账里",IF(AND(LEFT($F1774,3)="成本-",$G1774=""),"※成本类支出没填项目",IF(AND(LEFT($F1774,3)="成本-",$H1774&lt;&gt;"",N($K1774)&gt;0,COUNTIFS(采购单!$B:$B,$B1774,采购单!$C:$C,$H1774,采购单!$L:$L,$K1774)&gt;0),"※这笔可能和采购单重复了",""))))))))))</f>
        <v/>
      </c>
    </row>
    <row r="1775">
      <c r="A1775" s="17">
        <f>IF($B1775="","",ROW()-3)</f>
        <v/>
      </c>
      <c r="B1775" s="18" t="n"/>
      <c r="C1775" s="13" t="n"/>
      <c r="D1775" s="13" t="n"/>
      <c r="E1775" s="13" t="n"/>
      <c r="F1775" s="17">
        <f>IF($E1775="","",IFERROR(VLOOKUP($E1775,类别归属,2,0),"※类别不在基础资料里"))</f>
        <v/>
      </c>
      <c r="G1775" s="13" t="n"/>
      <c r="H1775" s="13" t="n"/>
      <c r="I1775" s="13" t="n"/>
      <c r="J1775" s="14" t="n"/>
      <c r="K1775" s="14" t="n"/>
      <c r="L1775" s="19">
        <f>IF($C1775="","",ROUND(IFERROR(VLOOKUP($C1775,账户期初,2,0),0)+SUMIFS($J$4:J1775,$C$4:C1775,$C1775)-SUMIFS($K$4:K1775,$C$4:C1775,$C1775),2))</f>
        <v/>
      </c>
      <c r="M1775" s="19">
        <f>IF($C1775="","",ROUND(SUM(基础资料!$B$4:$B$13)+SUM($J$4:J1775)-SUM($K$4:K1775),2))</f>
        <v/>
      </c>
      <c r="N1775" s="13" t="n"/>
      <c r="O1775" s="13" t="n"/>
      <c r="P1775" s="17">
        <f>IF($B1775="","",IF($F1775="※类别不在基础资料里","※费用类别不在基础资料里",IF(AND(N($J1775)=0,N($K1775)=0),"※这行没填金额",IF(AND(N($J1775)&gt;0,N($K1775)&gt;0),"※收入和支出不能同一行都填",IF(AND($D1775="收入",N($J1775)=0),"※收入行要填收入金额",IF(AND($D1775="支出",N($K1775)=0),"※支出行要填支出金额",IF(AND($C1775&lt;&gt;"",ISNA(MATCH($C1775,账户表,0))),"※账户不在基础资料里",IF(AND($G1775&lt;&gt;"",ISNA(MATCH($G1775,项目名表,0))),"※项目不在项目台账里",IF(AND(LEFT($F1775,3)="成本-",$G1775=""),"※成本类支出没填项目",IF(AND(LEFT($F1775,3)="成本-",$H1775&lt;&gt;"",N($K1775)&gt;0,COUNTIFS(采购单!$B:$B,$B1775,采购单!$C:$C,$H1775,采购单!$L:$L,$K1775)&gt;0),"※这笔可能和采购单重复了",""))))))))))</f>
        <v/>
      </c>
    </row>
    <row r="1776">
      <c r="A1776" s="17">
        <f>IF($B1776="","",ROW()-3)</f>
        <v/>
      </c>
      <c r="B1776" s="18" t="n"/>
      <c r="C1776" s="13" t="n"/>
      <c r="D1776" s="13" t="n"/>
      <c r="E1776" s="13" t="n"/>
      <c r="F1776" s="17">
        <f>IF($E1776="","",IFERROR(VLOOKUP($E1776,类别归属,2,0),"※类别不在基础资料里"))</f>
        <v/>
      </c>
      <c r="G1776" s="13" t="n"/>
      <c r="H1776" s="13" t="n"/>
      <c r="I1776" s="13" t="n"/>
      <c r="J1776" s="14" t="n"/>
      <c r="K1776" s="14" t="n"/>
      <c r="L1776" s="19">
        <f>IF($C1776="","",ROUND(IFERROR(VLOOKUP($C1776,账户期初,2,0),0)+SUMIFS($J$4:J1776,$C$4:C1776,$C1776)-SUMIFS($K$4:K1776,$C$4:C1776,$C1776),2))</f>
        <v/>
      </c>
      <c r="M1776" s="19">
        <f>IF($C1776="","",ROUND(SUM(基础资料!$B$4:$B$13)+SUM($J$4:J1776)-SUM($K$4:K1776),2))</f>
        <v/>
      </c>
      <c r="N1776" s="13" t="n"/>
      <c r="O1776" s="13" t="n"/>
      <c r="P1776" s="17">
        <f>IF($B1776="","",IF($F1776="※类别不在基础资料里","※费用类别不在基础资料里",IF(AND(N($J1776)=0,N($K1776)=0),"※这行没填金额",IF(AND(N($J1776)&gt;0,N($K1776)&gt;0),"※收入和支出不能同一行都填",IF(AND($D1776="收入",N($J1776)=0),"※收入行要填收入金额",IF(AND($D1776="支出",N($K1776)=0),"※支出行要填支出金额",IF(AND($C1776&lt;&gt;"",ISNA(MATCH($C1776,账户表,0))),"※账户不在基础资料里",IF(AND($G1776&lt;&gt;"",ISNA(MATCH($G1776,项目名表,0))),"※项目不在项目台账里",IF(AND(LEFT($F1776,3)="成本-",$G1776=""),"※成本类支出没填项目",IF(AND(LEFT($F1776,3)="成本-",$H1776&lt;&gt;"",N($K1776)&gt;0,COUNTIFS(采购单!$B:$B,$B1776,采购单!$C:$C,$H1776,采购单!$L:$L,$K1776)&gt;0),"※这笔可能和采购单重复了",""))))))))))</f>
        <v/>
      </c>
    </row>
    <row r="1777">
      <c r="A1777" s="17">
        <f>IF($B1777="","",ROW()-3)</f>
        <v/>
      </c>
      <c r="B1777" s="18" t="n"/>
      <c r="C1777" s="13" t="n"/>
      <c r="D1777" s="13" t="n"/>
      <c r="E1777" s="13" t="n"/>
      <c r="F1777" s="17">
        <f>IF($E1777="","",IFERROR(VLOOKUP($E1777,类别归属,2,0),"※类别不在基础资料里"))</f>
        <v/>
      </c>
      <c r="G1777" s="13" t="n"/>
      <c r="H1777" s="13" t="n"/>
      <c r="I1777" s="13" t="n"/>
      <c r="J1777" s="14" t="n"/>
      <c r="K1777" s="14" t="n"/>
      <c r="L1777" s="19">
        <f>IF($C1777="","",ROUND(IFERROR(VLOOKUP($C1777,账户期初,2,0),0)+SUMIFS($J$4:J1777,$C$4:C1777,$C1777)-SUMIFS($K$4:K1777,$C$4:C1777,$C1777),2))</f>
        <v/>
      </c>
      <c r="M1777" s="19">
        <f>IF($C1777="","",ROUND(SUM(基础资料!$B$4:$B$13)+SUM($J$4:J1777)-SUM($K$4:K1777),2))</f>
        <v/>
      </c>
      <c r="N1777" s="13" t="n"/>
      <c r="O1777" s="13" t="n"/>
      <c r="P1777" s="17">
        <f>IF($B1777="","",IF($F1777="※类别不在基础资料里","※费用类别不在基础资料里",IF(AND(N($J1777)=0,N($K1777)=0),"※这行没填金额",IF(AND(N($J1777)&gt;0,N($K1777)&gt;0),"※收入和支出不能同一行都填",IF(AND($D1777="收入",N($J1777)=0),"※收入行要填收入金额",IF(AND($D1777="支出",N($K1777)=0),"※支出行要填支出金额",IF(AND($C1777&lt;&gt;"",ISNA(MATCH($C1777,账户表,0))),"※账户不在基础资料里",IF(AND($G1777&lt;&gt;"",ISNA(MATCH($G1777,项目名表,0))),"※项目不在项目台账里",IF(AND(LEFT($F1777,3)="成本-",$G1777=""),"※成本类支出没填项目",IF(AND(LEFT($F1777,3)="成本-",$H1777&lt;&gt;"",N($K1777)&gt;0,COUNTIFS(采购单!$B:$B,$B1777,采购单!$C:$C,$H1777,采购单!$L:$L,$K1777)&gt;0),"※这笔可能和采购单重复了",""))))))))))</f>
        <v/>
      </c>
    </row>
    <row r="1778">
      <c r="A1778" s="17">
        <f>IF($B1778="","",ROW()-3)</f>
        <v/>
      </c>
      <c r="B1778" s="18" t="n"/>
      <c r="C1778" s="13" t="n"/>
      <c r="D1778" s="13" t="n"/>
      <c r="E1778" s="13" t="n"/>
      <c r="F1778" s="17">
        <f>IF($E1778="","",IFERROR(VLOOKUP($E1778,类别归属,2,0),"※类别不在基础资料里"))</f>
        <v/>
      </c>
      <c r="G1778" s="13" t="n"/>
      <c r="H1778" s="13" t="n"/>
      <c r="I1778" s="13" t="n"/>
      <c r="J1778" s="14" t="n"/>
      <c r="K1778" s="14" t="n"/>
      <c r="L1778" s="19">
        <f>IF($C1778="","",ROUND(IFERROR(VLOOKUP($C1778,账户期初,2,0),0)+SUMIFS($J$4:J1778,$C$4:C1778,$C1778)-SUMIFS($K$4:K1778,$C$4:C1778,$C1778),2))</f>
        <v/>
      </c>
      <c r="M1778" s="19">
        <f>IF($C1778="","",ROUND(SUM(基础资料!$B$4:$B$13)+SUM($J$4:J1778)-SUM($K$4:K1778),2))</f>
        <v/>
      </c>
      <c r="N1778" s="13" t="n"/>
      <c r="O1778" s="13" t="n"/>
      <c r="P1778" s="17">
        <f>IF($B1778="","",IF($F1778="※类别不在基础资料里","※费用类别不在基础资料里",IF(AND(N($J1778)=0,N($K1778)=0),"※这行没填金额",IF(AND(N($J1778)&gt;0,N($K1778)&gt;0),"※收入和支出不能同一行都填",IF(AND($D1778="收入",N($J1778)=0),"※收入行要填收入金额",IF(AND($D1778="支出",N($K1778)=0),"※支出行要填支出金额",IF(AND($C1778&lt;&gt;"",ISNA(MATCH($C1778,账户表,0))),"※账户不在基础资料里",IF(AND($G1778&lt;&gt;"",ISNA(MATCH($G1778,项目名表,0))),"※项目不在项目台账里",IF(AND(LEFT($F1778,3)="成本-",$G1778=""),"※成本类支出没填项目",IF(AND(LEFT($F1778,3)="成本-",$H1778&lt;&gt;"",N($K1778)&gt;0,COUNTIFS(采购单!$B:$B,$B1778,采购单!$C:$C,$H1778,采购单!$L:$L,$K1778)&gt;0),"※这笔可能和采购单重复了",""))))))))))</f>
        <v/>
      </c>
    </row>
    <row r="1779">
      <c r="A1779" s="17">
        <f>IF($B1779="","",ROW()-3)</f>
        <v/>
      </c>
      <c r="B1779" s="18" t="n"/>
      <c r="C1779" s="13" t="n"/>
      <c r="D1779" s="13" t="n"/>
      <c r="E1779" s="13" t="n"/>
      <c r="F1779" s="17">
        <f>IF($E1779="","",IFERROR(VLOOKUP($E1779,类别归属,2,0),"※类别不在基础资料里"))</f>
        <v/>
      </c>
      <c r="G1779" s="13" t="n"/>
      <c r="H1779" s="13" t="n"/>
      <c r="I1779" s="13" t="n"/>
      <c r="J1779" s="14" t="n"/>
      <c r="K1779" s="14" t="n"/>
      <c r="L1779" s="19">
        <f>IF($C1779="","",ROUND(IFERROR(VLOOKUP($C1779,账户期初,2,0),0)+SUMIFS($J$4:J1779,$C$4:C1779,$C1779)-SUMIFS($K$4:K1779,$C$4:C1779,$C1779),2))</f>
        <v/>
      </c>
      <c r="M1779" s="19">
        <f>IF($C1779="","",ROUND(SUM(基础资料!$B$4:$B$13)+SUM($J$4:J1779)-SUM($K$4:K1779),2))</f>
        <v/>
      </c>
      <c r="N1779" s="13" t="n"/>
      <c r="O1779" s="13" t="n"/>
      <c r="P1779" s="17">
        <f>IF($B1779="","",IF($F1779="※类别不在基础资料里","※费用类别不在基础资料里",IF(AND(N($J1779)=0,N($K1779)=0),"※这行没填金额",IF(AND(N($J1779)&gt;0,N($K1779)&gt;0),"※收入和支出不能同一行都填",IF(AND($D1779="收入",N($J1779)=0),"※收入行要填收入金额",IF(AND($D1779="支出",N($K1779)=0),"※支出行要填支出金额",IF(AND($C1779&lt;&gt;"",ISNA(MATCH($C1779,账户表,0))),"※账户不在基础资料里",IF(AND($G1779&lt;&gt;"",ISNA(MATCH($G1779,项目名表,0))),"※项目不在项目台账里",IF(AND(LEFT($F1779,3)="成本-",$G1779=""),"※成本类支出没填项目",IF(AND(LEFT($F1779,3)="成本-",$H1779&lt;&gt;"",N($K1779)&gt;0,COUNTIFS(采购单!$B:$B,$B1779,采购单!$C:$C,$H1779,采购单!$L:$L,$K1779)&gt;0),"※这笔可能和采购单重复了",""))))))))))</f>
        <v/>
      </c>
    </row>
    <row r="1780">
      <c r="A1780" s="17">
        <f>IF($B1780="","",ROW()-3)</f>
        <v/>
      </c>
      <c r="B1780" s="18" t="n"/>
      <c r="C1780" s="13" t="n"/>
      <c r="D1780" s="13" t="n"/>
      <c r="E1780" s="13" t="n"/>
      <c r="F1780" s="17">
        <f>IF($E1780="","",IFERROR(VLOOKUP($E1780,类别归属,2,0),"※类别不在基础资料里"))</f>
        <v/>
      </c>
      <c r="G1780" s="13" t="n"/>
      <c r="H1780" s="13" t="n"/>
      <c r="I1780" s="13" t="n"/>
      <c r="J1780" s="14" t="n"/>
      <c r="K1780" s="14" t="n"/>
      <c r="L1780" s="19">
        <f>IF($C1780="","",ROUND(IFERROR(VLOOKUP($C1780,账户期初,2,0),0)+SUMIFS($J$4:J1780,$C$4:C1780,$C1780)-SUMIFS($K$4:K1780,$C$4:C1780,$C1780),2))</f>
        <v/>
      </c>
      <c r="M1780" s="19">
        <f>IF($C1780="","",ROUND(SUM(基础资料!$B$4:$B$13)+SUM($J$4:J1780)-SUM($K$4:K1780),2))</f>
        <v/>
      </c>
      <c r="N1780" s="13" t="n"/>
      <c r="O1780" s="13" t="n"/>
      <c r="P1780" s="17">
        <f>IF($B1780="","",IF($F1780="※类别不在基础资料里","※费用类别不在基础资料里",IF(AND(N($J1780)=0,N($K1780)=0),"※这行没填金额",IF(AND(N($J1780)&gt;0,N($K1780)&gt;0),"※收入和支出不能同一行都填",IF(AND($D1780="收入",N($J1780)=0),"※收入行要填收入金额",IF(AND($D1780="支出",N($K1780)=0),"※支出行要填支出金额",IF(AND($C1780&lt;&gt;"",ISNA(MATCH($C1780,账户表,0))),"※账户不在基础资料里",IF(AND($G1780&lt;&gt;"",ISNA(MATCH($G1780,项目名表,0))),"※项目不在项目台账里",IF(AND(LEFT($F1780,3)="成本-",$G1780=""),"※成本类支出没填项目",IF(AND(LEFT($F1780,3)="成本-",$H1780&lt;&gt;"",N($K1780)&gt;0,COUNTIFS(采购单!$B:$B,$B1780,采购单!$C:$C,$H1780,采购单!$L:$L,$K1780)&gt;0),"※这笔可能和采购单重复了",""))))))))))</f>
        <v/>
      </c>
    </row>
    <row r="1781">
      <c r="A1781" s="17">
        <f>IF($B1781="","",ROW()-3)</f>
        <v/>
      </c>
      <c r="B1781" s="18" t="n"/>
      <c r="C1781" s="13" t="n"/>
      <c r="D1781" s="13" t="n"/>
      <c r="E1781" s="13" t="n"/>
      <c r="F1781" s="17">
        <f>IF($E1781="","",IFERROR(VLOOKUP($E1781,类别归属,2,0),"※类别不在基础资料里"))</f>
        <v/>
      </c>
      <c r="G1781" s="13" t="n"/>
      <c r="H1781" s="13" t="n"/>
      <c r="I1781" s="13" t="n"/>
      <c r="J1781" s="14" t="n"/>
      <c r="K1781" s="14" t="n"/>
      <c r="L1781" s="19">
        <f>IF($C1781="","",ROUND(IFERROR(VLOOKUP($C1781,账户期初,2,0),0)+SUMIFS($J$4:J1781,$C$4:C1781,$C1781)-SUMIFS($K$4:K1781,$C$4:C1781,$C1781),2))</f>
        <v/>
      </c>
      <c r="M1781" s="19">
        <f>IF($C1781="","",ROUND(SUM(基础资料!$B$4:$B$13)+SUM($J$4:J1781)-SUM($K$4:K1781),2))</f>
        <v/>
      </c>
      <c r="N1781" s="13" t="n"/>
      <c r="O1781" s="13" t="n"/>
      <c r="P1781" s="17">
        <f>IF($B1781="","",IF($F1781="※类别不在基础资料里","※费用类别不在基础资料里",IF(AND(N($J1781)=0,N($K1781)=0),"※这行没填金额",IF(AND(N($J1781)&gt;0,N($K1781)&gt;0),"※收入和支出不能同一行都填",IF(AND($D1781="收入",N($J1781)=0),"※收入行要填收入金额",IF(AND($D1781="支出",N($K1781)=0),"※支出行要填支出金额",IF(AND($C1781&lt;&gt;"",ISNA(MATCH($C1781,账户表,0))),"※账户不在基础资料里",IF(AND($G1781&lt;&gt;"",ISNA(MATCH($G1781,项目名表,0))),"※项目不在项目台账里",IF(AND(LEFT($F1781,3)="成本-",$G1781=""),"※成本类支出没填项目",IF(AND(LEFT($F1781,3)="成本-",$H1781&lt;&gt;"",N($K1781)&gt;0,COUNTIFS(采购单!$B:$B,$B1781,采购单!$C:$C,$H1781,采购单!$L:$L,$K1781)&gt;0),"※这笔可能和采购单重复了",""))))))))))</f>
        <v/>
      </c>
    </row>
    <row r="1782">
      <c r="A1782" s="17">
        <f>IF($B1782="","",ROW()-3)</f>
        <v/>
      </c>
      <c r="B1782" s="18" t="n"/>
      <c r="C1782" s="13" t="n"/>
      <c r="D1782" s="13" t="n"/>
      <c r="E1782" s="13" t="n"/>
      <c r="F1782" s="17">
        <f>IF($E1782="","",IFERROR(VLOOKUP($E1782,类别归属,2,0),"※类别不在基础资料里"))</f>
        <v/>
      </c>
      <c r="G1782" s="13" t="n"/>
      <c r="H1782" s="13" t="n"/>
      <c r="I1782" s="13" t="n"/>
      <c r="J1782" s="14" t="n"/>
      <c r="K1782" s="14" t="n"/>
      <c r="L1782" s="19">
        <f>IF($C1782="","",ROUND(IFERROR(VLOOKUP($C1782,账户期初,2,0),0)+SUMIFS($J$4:J1782,$C$4:C1782,$C1782)-SUMIFS($K$4:K1782,$C$4:C1782,$C1782),2))</f>
        <v/>
      </c>
      <c r="M1782" s="19">
        <f>IF($C1782="","",ROUND(SUM(基础资料!$B$4:$B$13)+SUM($J$4:J1782)-SUM($K$4:K1782),2))</f>
        <v/>
      </c>
      <c r="N1782" s="13" t="n"/>
      <c r="O1782" s="13" t="n"/>
      <c r="P1782" s="17">
        <f>IF($B1782="","",IF($F1782="※类别不在基础资料里","※费用类别不在基础资料里",IF(AND(N($J1782)=0,N($K1782)=0),"※这行没填金额",IF(AND(N($J1782)&gt;0,N($K1782)&gt;0),"※收入和支出不能同一行都填",IF(AND($D1782="收入",N($J1782)=0),"※收入行要填收入金额",IF(AND($D1782="支出",N($K1782)=0),"※支出行要填支出金额",IF(AND($C1782&lt;&gt;"",ISNA(MATCH($C1782,账户表,0))),"※账户不在基础资料里",IF(AND($G1782&lt;&gt;"",ISNA(MATCH($G1782,项目名表,0))),"※项目不在项目台账里",IF(AND(LEFT($F1782,3)="成本-",$G1782=""),"※成本类支出没填项目",IF(AND(LEFT($F1782,3)="成本-",$H1782&lt;&gt;"",N($K1782)&gt;0,COUNTIFS(采购单!$B:$B,$B1782,采购单!$C:$C,$H1782,采购单!$L:$L,$K1782)&gt;0),"※这笔可能和采购单重复了",""))))))))))</f>
        <v/>
      </c>
    </row>
    <row r="1783">
      <c r="A1783" s="17">
        <f>IF($B1783="","",ROW()-3)</f>
        <v/>
      </c>
      <c r="B1783" s="18" t="n"/>
      <c r="C1783" s="13" t="n"/>
      <c r="D1783" s="13" t="n"/>
      <c r="E1783" s="13" t="n"/>
      <c r="F1783" s="17">
        <f>IF($E1783="","",IFERROR(VLOOKUP($E1783,类别归属,2,0),"※类别不在基础资料里"))</f>
        <v/>
      </c>
      <c r="G1783" s="13" t="n"/>
      <c r="H1783" s="13" t="n"/>
      <c r="I1783" s="13" t="n"/>
      <c r="J1783" s="14" t="n"/>
      <c r="K1783" s="14" t="n"/>
      <c r="L1783" s="19">
        <f>IF($C1783="","",ROUND(IFERROR(VLOOKUP($C1783,账户期初,2,0),0)+SUMIFS($J$4:J1783,$C$4:C1783,$C1783)-SUMIFS($K$4:K1783,$C$4:C1783,$C1783),2))</f>
        <v/>
      </c>
      <c r="M1783" s="19">
        <f>IF($C1783="","",ROUND(SUM(基础资料!$B$4:$B$13)+SUM($J$4:J1783)-SUM($K$4:K1783),2))</f>
        <v/>
      </c>
      <c r="N1783" s="13" t="n"/>
      <c r="O1783" s="13" t="n"/>
      <c r="P1783" s="17">
        <f>IF($B1783="","",IF($F1783="※类别不在基础资料里","※费用类别不在基础资料里",IF(AND(N($J1783)=0,N($K1783)=0),"※这行没填金额",IF(AND(N($J1783)&gt;0,N($K1783)&gt;0),"※收入和支出不能同一行都填",IF(AND($D1783="收入",N($J1783)=0),"※收入行要填收入金额",IF(AND($D1783="支出",N($K1783)=0),"※支出行要填支出金额",IF(AND($C1783&lt;&gt;"",ISNA(MATCH($C1783,账户表,0))),"※账户不在基础资料里",IF(AND($G1783&lt;&gt;"",ISNA(MATCH($G1783,项目名表,0))),"※项目不在项目台账里",IF(AND(LEFT($F1783,3)="成本-",$G1783=""),"※成本类支出没填项目",IF(AND(LEFT($F1783,3)="成本-",$H1783&lt;&gt;"",N($K1783)&gt;0,COUNTIFS(采购单!$B:$B,$B1783,采购单!$C:$C,$H1783,采购单!$L:$L,$K1783)&gt;0),"※这笔可能和采购单重复了",""))))))))))</f>
        <v/>
      </c>
    </row>
    <row r="1784">
      <c r="A1784" s="17">
        <f>IF($B1784="","",ROW()-3)</f>
        <v/>
      </c>
      <c r="B1784" s="18" t="n"/>
      <c r="C1784" s="13" t="n"/>
      <c r="D1784" s="13" t="n"/>
      <c r="E1784" s="13" t="n"/>
      <c r="F1784" s="17">
        <f>IF($E1784="","",IFERROR(VLOOKUP($E1784,类别归属,2,0),"※类别不在基础资料里"))</f>
        <v/>
      </c>
      <c r="G1784" s="13" t="n"/>
      <c r="H1784" s="13" t="n"/>
      <c r="I1784" s="13" t="n"/>
      <c r="J1784" s="14" t="n"/>
      <c r="K1784" s="14" t="n"/>
      <c r="L1784" s="19">
        <f>IF($C1784="","",ROUND(IFERROR(VLOOKUP($C1784,账户期初,2,0),0)+SUMIFS($J$4:J1784,$C$4:C1784,$C1784)-SUMIFS($K$4:K1784,$C$4:C1784,$C1784),2))</f>
        <v/>
      </c>
      <c r="M1784" s="19">
        <f>IF($C1784="","",ROUND(SUM(基础资料!$B$4:$B$13)+SUM($J$4:J1784)-SUM($K$4:K1784),2))</f>
        <v/>
      </c>
      <c r="N1784" s="13" t="n"/>
      <c r="O1784" s="13" t="n"/>
      <c r="P1784" s="17">
        <f>IF($B1784="","",IF($F1784="※类别不在基础资料里","※费用类别不在基础资料里",IF(AND(N($J1784)=0,N($K1784)=0),"※这行没填金额",IF(AND(N($J1784)&gt;0,N($K1784)&gt;0),"※收入和支出不能同一行都填",IF(AND($D1784="收入",N($J1784)=0),"※收入行要填收入金额",IF(AND($D1784="支出",N($K1784)=0),"※支出行要填支出金额",IF(AND($C1784&lt;&gt;"",ISNA(MATCH($C1784,账户表,0))),"※账户不在基础资料里",IF(AND($G1784&lt;&gt;"",ISNA(MATCH($G1784,项目名表,0))),"※项目不在项目台账里",IF(AND(LEFT($F1784,3)="成本-",$G1784=""),"※成本类支出没填项目",IF(AND(LEFT($F1784,3)="成本-",$H1784&lt;&gt;"",N($K1784)&gt;0,COUNTIFS(采购单!$B:$B,$B1784,采购单!$C:$C,$H1784,采购单!$L:$L,$K1784)&gt;0),"※这笔可能和采购单重复了",""))))))))))</f>
        <v/>
      </c>
    </row>
    <row r="1785">
      <c r="A1785" s="17">
        <f>IF($B1785="","",ROW()-3)</f>
        <v/>
      </c>
      <c r="B1785" s="18" t="n"/>
      <c r="C1785" s="13" t="n"/>
      <c r="D1785" s="13" t="n"/>
      <c r="E1785" s="13" t="n"/>
      <c r="F1785" s="17">
        <f>IF($E1785="","",IFERROR(VLOOKUP($E1785,类别归属,2,0),"※类别不在基础资料里"))</f>
        <v/>
      </c>
      <c r="G1785" s="13" t="n"/>
      <c r="H1785" s="13" t="n"/>
      <c r="I1785" s="13" t="n"/>
      <c r="J1785" s="14" t="n"/>
      <c r="K1785" s="14" t="n"/>
      <c r="L1785" s="19">
        <f>IF($C1785="","",ROUND(IFERROR(VLOOKUP($C1785,账户期初,2,0),0)+SUMIFS($J$4:J1785,$C$4:C1785,$C1785)-SUMIFS($K$4:K1785,$C$4:C1785,$C1785),2))</f>
        <v/>
      </c>
      <c r="M1785" s="19">
        <f>IF($C1785="","",ROUND(SUM(基础资料!$B$4:$B$13)+SUM($J$4:J1785)-SUM($K$4:K1785),2))</f>
        <v/>
      </c>
      <c r="N1785" s="13" t="n"/>
      <c r="O1785" s="13" t="n"/>
      <c r="P1785" s="17">
        <f>IF($B1785="","",IF($F1785="※类别不在基础资料里","※费用类别不在基础资料里",IF(AND(N($J1785)=0,N($K1785)=0),"※这行没填金额",IF(AND(N($J1785)&gt;0,N($K1785)&gt;0),"※收入和支出不能同一行都填",IF(AND($D1785="收入",N($J1785)=0),"※收入行要填收入金额",IF(AND($D1785="支出",N($K1785)=0),"※支出行要填支出金额",IF(AND($C1785&lt;&gt;"",ISNA(MATCH($C1785,账户表,0))),"※账户不在基础资料里",IF(AND($G1785&lt;&gt;"",ISNA(MATCH($G1785,项目名表,0))),"※项目不在项目台账里",IF(AND(LEFT($F1785,3)="成本-",$G1785=""),"※成本类支出没填项目",IF(AND(LEFT($F1785,3)="成本-",$H1785&lt;&gt;"",N($K1785)&gt;0,COUNTIFS(采购单!$B:$B,$B1785,采购单!$C:$C,$H1785,采购单!$L:$L,$K1785)&gt;0),"※这笔可能和采购单重复了",""))))))))))</f>
        <v/>
      </c>
    </row>
    <row r="1786">
      <c r="A1786" s="17">
        <f>IF($B1786="","",ROW()-3)</f>
        <v/>
      </c>
      <c r="B1786" s="18" t="n"/>
      <c r="C1786" s="13" t="n"/>
      <c r="D1786" s="13" t="n"/>
      <c r="E1786" s="13" t="n"/>
      <c r="F1786" s="17">
        <f>IF($E1786="","",IFERROR(VLOOKUP($E1786,类别归属,2,0),"※类别不在基础资料里"))</f>
        <v/>
      </c>
      <c r="G1786" s="13" t="n"/>
      <c r="H1786" s="13" t="n"/>
      <c r="I1786" s="13" t="n"/>
      <c r="J1786" s="14" t="n"/>
      <c r="K1786" s="14" t="n"/>
      <c r="L1786" s="19">
        <f>IF($C1786="","",ROUND(IFERROR(VLOOKUP($C1786,账户期初,2,0),0)+SUMIFS($J$4:J1786,$C$4:C1786,$C1786)-SUMIFS($K$4:K1786,$C$4:C1786,$C1786),2))</f>
        <v/>
      </c>
      <c r="M1786" s="19">
        <f>IF($C1786="","",ROUND(SUM(基础资料!$B$4:$B$13)+SUM($J$4:J1786)-SUM($K$4:K1786),2))</f>
        <v/>
      </c>
      <c r="N1786" s="13" t="n"/>
      <c r="O1786" s="13" t="n"/>
      <c r="P1786" s="17">
        <f>IF($B1786="","",IF($F1786="※类别不在基础资料里","※费用类别不在基础资料里",IF(AND(N($J1786)=0,N($K1786)=0),"※这行没填金额",IF(AND(N($J1786)&gt;0,N($K1786)&gt;0),"※收入和支出不能同一行都填",IF(AND($D1786="收入",N($J1786)=0),"※收入行要填收入金额",IF(AND($D1786="支出",N($K1786)=0),"※支出行要填支出金额",IF(AND($C1786&lt;&gt;"",ISNA(MATCH($C1786,账户表,0))),"※账户不在基础资料里",IF(AND($G1786&lt;&gt;"",ISNA(MATCH($G1786,项目名表,0))),"※项目不在项目台账里",IF(AND(LEFT($F1786,3)="成本-",$G1786=""),"※成本类支出没填项目",IF(AND(LEFT($F1786,3)="成本-",$H1786&lt;&gt;"",N($K1786)&gt;0,COUNTIFS(采购单!$B:$B,$B1786,采购单!$C:$C,$H1786,采购单!$L:$L,$K1786)&gt;0),"※这笔可能和采购单重复了",""))))))))))</f>
        <v/>
      </c>
    </row>
    <row r="1787">
      <c r="A1787" s="17">
        <f>IF($B1787="","",ROW()-3)</f>
        <v/>
      </c>
      <c r="B1787" s="18" t="n"/>
      <c r="C1787" s="13" t="n"/>
      <c r="D1787" s="13" t="n"/>
      <c r="E1787" s="13" t="n"/>
      <c r="F1787" s="17">
        <f>IF($E1787="","",IFERROR(VLOOKUP($E1787,类别归属,2,0),"※类别不在基础资料里"))</f>
        <v/>
      </c>
      <c r="G1787" s="13" t="n"/>
      <c r="H1787" s="13" t="n"/>
      <c r="I1787" s="13" t="n"/>
      <c r="J1787" s="14" t="n"/>
      <c r="K1787" s="14" t="n"/>
      <c r="L1787" s="19">
        <f>IF($C1787="","",ROUND(IFERROR(VLOOKUP($C1787,账户期初,2,0),0)+SUMIFS($J$4:J1787,$C$4:C1787,$C1787)-SUMIFS($K$4:K1787,$C$4:C1787,$C1787),2))</f>
        <v/>
      </c>
      <c r="M1787" s="19">
        <f>IF($C1787="","",ROUND(SUM(基础资料!$B$4:$B$13)+SUM($J$4:J1787)-SUM($K$4:K1787),2))</f>
        <v/>
      </c>
      <c r="N1787" s="13" t="n"/>
      <c r="O1787" s="13" t="n"/>
      <c r="P1787" s="17">
        <f>IF($B1787="","",IF($F1787="※类别不在基础资料里","※费用类别不在基础资料里",IF(AND(N($J1787)=0,N($K1787)=0),"※这行没填金额",IF(AND(N($J1787)&gt;0,N($K1787)&gt;0),"※收入和支出不能同一行都填",IF(AND($D1787="收入",N($J1787)=0),"※收入行要填收入金额",IF(AND($D1787="支出",N($K1787)=0),"※支出行要填支出金额",IF(AND($C1787&lt;&gt;"",ISNA(MATCH($C1787,账户表,0))),"※账户不在基础资料里",IF(AND($G1787&lt;&gt;"",ISNA(MATCH($G1787,项目名表,0))),"※项目不在项目台账里",IF(AND(LEFT($F1787,3)="成本-",$G1787=""),"※成本类支出没填项目",IF(AND(LEFT($F1787,3)="成本-",$H1787&lt;&gt;"",N($K1787)&gt;0,COUNTIFS(采购单!$B:$B,$B1787,采购单!$C:$C,$H1787,采购单!$L:$L,$K1787)&gt;0),"※这笔可能和采购单重复了",""))))))))))</f>
        <v/>
      </c>
    </row>
    <row r="1788">
      <c r="A1788" s="17">
        <f>IF($B1788="","",ROW()-3)</f>
        <v/>
      </c>
      <c r="B1788" s="18" t="n"/>
      <c r="C1788" s="13" t="n"/>
      <c r="D1788" s="13" t="n"/>
      <c r="E1788" s="13" t="n"/>
      <c r="F1788" s="17">
        <f>IF($E1788="","",IFERROR(VLOOKUP($E1788,类别归属,2,0),"※类别不在基础资料里"))</f>
        <v/>
      </c>
      <c r="G1788" s="13" t="n"/>
      <c r="H1788" s="13" t="n"/>
      <c r="I1788" s="13" t="n"/>
      <c r="J1788" s="14" t="n"/>
      <c r="K1788" s="14" t="n"/>
      <c r="L1788" s="19">
        <f>IF($C1788="","",ROUND(IFERROR(VLOOKUP($C1788,账户期初,2,0),0)+SUMIFS($J$4:J1788,$C$4:C1788,$C1788)-SUMIFS($K$4:K1788,$C$4:C1788,$C1788),2))</f>
        <v/>
      </c>
      <c r="M1788" s="19">
        <f>IF($C1788="","",ROUND(SUM(基础资料!$B$4:$B$13)+SUM($J$4:J1788)-SUM($K$4:K1788),2))</f>
        <v/>
      </c>
      <c r="N1788" s="13" t="n"/>
      <c r="O1788" s="13" t="n"/>
      <c r="P1788" s="17">
        <f>IF($B1788="","",IF($F1788="※类别不在基础资料里","※费用类别不在基础资料里",IF(AND(N($J1788)=0,N($K1788)=0),"※这行没填金额",IF(AND(N($J1788)&gt;0,N($K1788)&gt;0),"※收入和支出不能同一行都填",IF(AND($D1788="收入",N($J1788)=0),"※收入行要填收入金额",IF(AND($D1788="支出",N($K1788)=0),"※支出行要填支出金额",IF(AND($C1788&lt;&gt;"",ISNA(MATCH($C1788,账户表,0))),"※账户不在基础资料里",IF(AND($G1788&lt;&gt;"",ISNA(MATCH($G1788,项目名表,0))),"※项目不在项目台账里",IF(AND(LEFT($F1788,3)="成本-",$G1788=""),"※成本类支出没填项目",IF(AND(LEFT($F1788,3)="成本-",$H1788&lt;&gt;"",N($K1788)&gt;0,COUNTIFS(采购单!$B:$B,$B1788,采购单!$C:$C,$H1788,采购单!$L:$L,$K1788)&gt;0),"※这笔可能和采购单重复了",""))))))))))</f>
        <v/>
      </c>
    </row>
    <row r="1789">
      <c r="A1789" s="17">
        <f>IF($B1789="","",ROW()-3)</f>
        <v/>
      </c>
      <c r="B1789" s="18" t="n"/>
      <c r="C1789" s="13" t="n"/>
      <c r="D1789" s="13" t="n"/>
      <c r="E1789" s="13" t="n"/>
      <c r="F1789" s="17">
        <f>IF($E1789="","",IFERROR(VLOOKUP($E1789,类别归属,2,0),"※类别不在基础资料里"))</f>
        <v/>
      </c>
      <c r="G1789" s="13" t="n"/>
      <c r="H1789" s="13" t="n"/>
      <c r="I1789" s="13" t="n"/>
      <c r="J1789" s="14" t="n"/>
      <c r="K1789" s="14" t="n"/>
      <c r="L1789" s="19">
        <f>IF($C1789="","",ROUND(IFERROR(VLOOKUP($C1789,账户期初,2,0),0)+SUMIFS($J$4:J1789,$C$4:C1789,$C1789)-SUMIFS($K$4:K1789,$C$4:C1789,$C1789),2))</f>
        <v/>
      </c>
      <c r="M1789" s="19">
        <f>IF($C1789="","",ROUND(SUM(基础资料!$B$4:$B$13)+SUM($J$4:J1789)-SUM($K$4:K1789),2))</f>
        <v/>
      </c>
      <c r="N1789" s="13" t="n"/>
      <c r="O1789" s="13" t="n"/>
      <c r="P1789" s="17">
        <f>IF($B1789="","",IF($F1789="※类别不在基础资料里","※费用类别不在基础资料里",IF(AND(N($J1789)=0,N($K1789)=0),"※这行没填金额",IF(AND(N($J1789)&gt;0,N($K1789)&gt;0),"※收入和支出不能同一行都填",IF(AND($D1789="收入",N($J1789)=0),"※收入行要填收入金额",IF(AND($D1789="支出",N($K1789)=0),"※支出行要填支出金额",IF(AND($C1789&lt;&gt;"",ISNA(MATCH($C1789,账户表,0))),"※账户不在基础资料里",IF(AND($G1789&lt;&gt;"",ISNA(MATCH($G1789,项目名表,0))),"※项目不在项目台账里",IF(AND(LEFT($F1789,3)="成本-",$G1789=""),"※成本类支出没填项目",IF(AND(LEFT($F1789,3)="成本-",$H1789&lt;&gt;"",N($K1789)&gt;0,COUNTIFS(采购单!$B:$B,$B1789,采购单!$C:$C,$H1789,采购单!$L:$L,$K1789)&gt;0),"※这笔可能和采购单重复了",""))))))))))</f>
        <v/>
      </c>
    </row>
    <row r="1790">
      <c r="A1790" s="17">
        <f>IF($B1790="","",ROW()-3)</f>
        <v/>
      </c>
      <c r="B1790" s="18" t="n"/>
      <c r="C1790" s="13" t="n"/>
      <c r="D1790" s="13" t="n"/>
      <c r="E1790" s="13" t="n"/>
      <c r="F1790" s="17">
        <f>IF($E1790="","",IFERROR(VLOOKUP($E1790,类别归属,2,0),"※类别不在基础资料里"))</f>
        <v/>
      </c>
      <c r="G1790" s="13" t="n"/>
      <c r="H1790" s="13" t="n"/>
      <c r="I1790" s="13" t="n"/>
      <c r="J1790" s="14" t="n"/>
      <c r="K1790" s="14" t="n"/>
      <c r="L1790" s="19">
        <f>IF($C1790="","",ROUND(IFERROR(VLOOKUP($C1790,账户期初,2,0),0)+SUMIFS($J$4:J1790,$C$4:C1790,$C1790)-SUMIFS($K$4:K1790,$C$4:C1790,$C1790),2))</f>
        <v/>
      </c>
      <c r="M1790" s="19">
        <f>IF($C1790="","",ROUND(SUM(基础资料!$B$4:$B$13)+SUM($J$4:J1790)-SUM($K$4:K1790),2))</f>
        <v/>
      </c>
      <c r="N1790" s="13" t="n"/>
      <c r="O1790" s="13" t="n"/>
      <c r="P1790" s="17">
        <f>IF($B1790="","",IF($F1790="※类别不在基础资料里","※费用类别不在基础资料里",IF(AND(N($J1790)=0,N($K1790)=0),"※这行没填金额",IF(AND(N($J1790)&gt;0,N($K1790)&gt;0),"※收入和支出不能同一行都填",IF(AND($D1790="收入",N($J1790)=0),"※收入行要填收入金额",IF(AND($D1790="支出",N($K1790)=0),"※支出行要填支出金额",IF(AND($C1790&lt;&gt;"",ISNA(MATCH($C1790,账户表,0))),"※账户不在基础资料里",IF(AND($G1790&lt;&gt;"",ISNA(MATCH($G1790,项目名表,0))),"※项目不在项目台账里",IF(AND(LEFT($F1790,3)="成本-",$G1790=""),"※成本类支出没填项目",IF(AND(LEFT($F1790,3)="成本-",$H1790&lt;&gt;"",N($K1790)&gt;0,COUNTIFS(采购单!$B:$B,$B1790,采购单!$C:$C,$H1790,采购单!$L:$L,$K1790)&gt;0),"※这笔可能和采购单重复了",""))))))))))</f>
        <v/>
      </c>
    </row>
    <row r="1791">
      <c r="A1791" s="17">
        <f>IF($B1791="","",ROW()-3)</f>
        <v/>
      </c>
      <c r="B1791" s="18" t="n"/>
      <c r="C1791" s="13" t="n"/>
      <c r="D1791" s="13" t="n"/>
      <c r="E1791" s="13" t="n"/>
      <c r="F1791" s="17">
        <f>IF($E1791="","",IFERROR(VLOOKUP($E1791,类别归属,2,0),"※类别不在基础资料里"))</f>
        <v/>
      </c>
      <c r="G1791" s="13" t="n"/>
      <c r="H1791" s="13" t="n"/>
      <c r="I1791" s="13" t="n"/>
      <c r="J1791" s="14" t="n"/>
      <c r="K1791" s="14" t="n"/>
      <c r="L1791" s="19">
        <f>IF($C1791="","",ROUND(IFERROR(VLOOKUP($C1791,账户期初,2,0),0)+SUMIFS($J$4:J1791,$C$4:C1791,$C1791)-SUMIFS($K$4:K1791,$C$4:C1791,$C1791),2))</f>
        <v/>
      </c>
      <c r="M1791" s="19">
        <f>IF($C1791="","",ROUND(SUM(基础资料!$B$4:$B$13)+SUM($J$4:J1791)-SUM($K$4:K1791),2))</f>
        <v/>
      </c>
      <c r="N1791" s="13" t="n"/>
      <c r="O1791" s="13" t="n"/>
      <c r="P1791" s="17">
        <f>IF($B1791="","",IF($F1791="※类别不在基础资料里","※费用类别不在基础资料里",IF(AND(N($J1791)=0,N($K1791)=0),"※这行没填金额",IF(AND(N($J1791)&gt;0,N($K1791)&gt;0),"※收入和支出不能同一行都填",IF(AND($D1791="收入",N($J1791)=0),"※收入行要填收入金额",IF(AND($D1791="支出",N($K1791)=0),"※支出行要填支出金额",IF(AND($C1791&lt;&gt;"",ISNA(MATCH($C1791,账户表,0))),"※账户不在基础资料里",IF(AND($G1791&lt;&gt;"",ISNA(MATCH($G1791,项目名表,0))),"※项目不在项目台账里",IF(AND(LEFT($F1791,3)="成本-",$G1791=""),"※成本类支出没填项目",IF(AND(LEFT($F1791,3)="成本-",$H1791&lt;&gt;"",N($K1791)&gt;0,COUNTIFS(采购单!$B:$B,$B1791,采购单!$C:$C,$H1791,采购单!$L:$L,$K1791)&gt;0),"※这笔可能和采购单重复了",""))))))))))</f>
        <v/>
      </c>
    </row>
    <row r="1792">
      <c r="A1792" s="17">
        <f>IF($B1792="","",ROW()-3)</f>
        <v/>
      </c>
      <c r="B1792" s="18" t="n"/>
      <c r="C1792" s="13" t="n"/>
      <c r="D1792" s="13" t="n"/>
      <c r="E1792" s="13" t="n"/>
      <c r="F1792" s="17">
        <f>IF($E1792="","",IFERROR(VLOOKUP($E1792,类别归属,2,0),"※类别不在基础资料里"))</f>
        <v/>
      </c>
      <c r="G1792" s="13" t="n"/>
      <c r="H1792" s="13" t="n"/>
      <c r="I1792" s="13" t="n"/>
      <c r="J1792" s="14" t="n"/>
      <c r="K1792" s="14" t="n"/>
      <c r="L1792" s="19">
        <f>IF($C1792="","",ROUND(IFERROR(VLOOKUP($C1792,账户期初,2,0),0)+SUMIFS($J$4:J1792,$C$4:C1792,$C1792)-SUMIFS($K$4:K1792,$C$4:C1792,$C1792),2))</f>
        <v/>
      </c>
      <c r="M1792" s="19">
        <f>IF($C1792="","",ROUND(SUM(基础资料!$B$4:$B$13)+SUM($J$4:J1792)-SUM($K$4:K1792),2))</f>
        <v/>
      </c>
      <c r="N1792" s="13" t="n"/>
      <c r="O1792" s="13" t="n"/>
      <c r="P1792" s="17">
        <f>IF($B1792="","",IF($F1792="※类别不在基础资料里","※费用类别不在基础资料里",IF(AND(N($J1792)=0,N($K1792)=0),"※这行没填金额",IF(AND(N($J1792)&gt;0,N($K1792)&gt;0),"※收入和支出不能同一行都填",IF(AND($D1792="收入",N($J1792)=0),"※收入行要填收入金额",IF(AND($D1792="支出",N($K1792)=0),"※支出行要填支出金额",IF(AND($C1792&lt;&gt;"",ISNA(MATCH($C1792,账户表,0))),"※账户不在基础资料里",IF(AND($G1792&lt;&gt;"",ISNA(MATCH($G1792,项目名表,0))),"※项目不在项目台账里",IF(AND(LEFT($F1792,3)="成本-",$G1792=""),"※成本类支出没填项目",IF(AND(LEFT($F1792,3)="成本-",$H1792&lt;&gt;"",N($K1792)&gt;0,COUNTIFS(采购单!$B:$B,$B1792,采购单!$C:$C,$H1792,采购单!$L:$L,$K1792)&gt;0),"※这笔可能和采购单重复了",""))))))))))</f>
        <v/>
      </c>
    </row>
    <row r="1793">
      <c r="A1793" s="17">
        <f>IF($B1793="","",ROW()-3)</f>
        <v/>
      </c>
      <c r="B1793" s="18" t="n"/>
      <c r="C1793" s="13" t="n"/>
      <c r="D1793" s="13" t="n"/>
      <c r="E1793" s="13" t="n"/>
      <c r="F1793" s="17">
        <f>IF($E1793="","",IFERROR(VLOOKUP($E1793,类别归属,2,0),"※类别不在基础资料里"))</f>
        <v/>
      </c>
      <c r="G1793" s="13" t="n"/>
      <c r="H1793" s="13" t="n"/>
      <c r="I1793" s="13" t="n"/>
      <c r="J1793" s="14" t="n"/>
      <c r="K1793" s="14" t="n"/>
      <c r="L1793" s="19">
        <f>IF($C1793="","",ROUND(IFERROR(VLOOKUP($C1793,账户期初,2,0),0)+SUMIFS($J$4:J1793,$C$4:C1793,$C1793)-SUMIFS($K$4:K1793,$C$4:C1793,$C1793),2))</f>
        <v/>
      </c>
      <c r="M1793" s="19">
        <f>IF($C1793="","",ROUND(SUM(基础资料!$B$4:$B$13)+SUM($J$4:J1793)-SUM($K$4:K1793),2))</f>
        <v/>
      </c>
      <c r="N1793" s="13" t="n"/>
      <c r="O1793" s="13" t="n"/>
      <c r="P1793" s="17">
        <f>IF($B1793="","",IF($F1793="※类别不在基础资料里","※费用类别不在基础资料里",IF(AND(N($J1793)=0,N($K1793)=0),"※这行没填金额",IF(AND(N($J1793)&gt;0,N($K1793)&gt;0),"※收入和支出不能同一行都填",IF(AND($D1793="收入",N($J1793)=0),"※收入行要填收入金额",IF(AND($D1793="支出",N($K1793)=0),"※支出行要填支出金额",IF(AND($C1793&lt;&gt;"",ISNA(MATCH($C1793,账户表,0))),"※账户不在基础资料里",IF(AND($G1793&lt;&gt;"",ISNA(MATCH($G1793,项目名表,0))),"※项目不在项目台账里",IF(AND(LEFT($F1793,3)="成本-",$G1793=""),"※成本类支出没填项目",IF(AND(LEFT($F1793,3)="成本-",$H1793&lt;&gt;"",N($K1793)&gt;0,COUNTIFS(采购单!$B:$B,$B1793,采购单!$C:$C,$H1793,采购单!$L:$L,$K1793)&gt;0),"※这笔可能和采购单重复了",""))))))))))</f>
        <v/>
      </c>
    </row>
    <row r="1794">
      <c r="A1794" s="17">
        <f>IF($B1794="","",ROW()-3)</f>
        <v/>
      </c>
      <c r="B1794" s="18" t="n"/>
      <c r="C1794" s="13" t="n"/>
      <c r="D1794" s="13" t="n"/>
      <c r="E1794" s="13" t="n"/>
      <c r="F1794" s="17">
        <f>IF($E1794="","",IFERROR(VLOOKUP($E1794,类别归属,2,0),"※类别不在基础资料里"))</f>
        <v/>
      </c>
      <c r="G1794" s="13" t="n"/>
      <c r="H1794" s="13" t="n"/>
      <c r="I1794" s="13" t="n"/>
      <c r="J1794" s="14" t="n"/>
      <c r="K1794" s="14" t="n"/>
      <c r="L1794" s="19">
        <f>IF($C1794="","",ROUND(IFERROR(VLOOKUP($C1794,账户期初,2,0),0)+SUMIFS($J$4:J1794,$C$4:C1794,$C1794)-SUMIFS($K$4:K1794,$C$4:C1794,$C1794),2))</f>
        <v/>
      </c>
      <c r="M1794" s="19">
        <f>IF($C1794="","",ROUND(SUM(基础资料!$B$4:$B$13)+SUM($J$4:J1794)-SUM($K$4:K1794),2))</f>
        <v/>
      </c>
      <c r="N1794" s="13" t="n"/>
      <c r="O1794" s="13" t="n"/>
      <c r="P1794" s="17">
        <f>IF($B1794="","",IF($F1794="※类别不在基础资料里","※费用类别不在基础资料里",IF(AND(N($J1794)=0,N($K1794)=0),"※这行没填金额",IF(AND(N($J1794)&gt;0,N($K1794)&gt;0),"※收入和支出不能同一行都填",IF(AND($D1794="收入",N($J1794)=0),"※收入行要填收入金额",IF(AND($D1794="支出",N($K1794)=0),"※支出行要填支出金额",IF(AND($C1794&lt;&gt;"",ISNA(MATCH($C1794,账户表,0))),"※账户不在基础资料里",IF(AND($G1794&lt;&gt;"",ISNA(MATCH($G1794,项目名表,0))),"※项目不在项目台账里",IF(AND(LEFT($F1794,3)="成本-",$G1794=""),"※成本类支出没填项目",IF(AND(LEFT($F1794,3)="成本-",$H1794&lt;&gt;"",N($K1794)&gt;0,COUNTIFS(采购单!$B:$B,$B1794,采购单!$C:$C,$H1794,采购单!$L:$L,$K1794)&gt;0),"※这笔可能和采购单重复了",""))))))))))</f>
        <v/>
      </c>
    </row>
    <row r="1795">
      <c r="A1795" s="17">
        <f>IF($B1795="","",ROW()-3)</f>
        <v/>
      </c>
      <c r="B1795" s="18" t="n"/>
      <c r="C1795" s="13" t="n"/>
      <c r="D1795" s="13" t="n"/>
      <c r="E1795" s="13" t="n"/>
      <c r="F1795" s="17">
        <f>IF($E1795="","",IFERROR(VLOOKUP($E1795,类别归属,2,0),"※类别不在基础资料里"))</f>
        <v/>
      </c>
      <c r="G1795" s="13" t="n"/>
      <c r="H1795" s="13" t="n"/>
      <c r="I1795" s="13" t="n"/>
      <c r="J1795" s="14" t="n"/>
      <c r="K1795" s="14" t="n"/>
      <c r="L1795" s="19">
        <f>IF($C1795="","",ROUND(IFERROR(VLOOKUP($C1795,账户期初,2,0),0)+SUMIFS($J$4:J1795,$C$4:C1795,$C1795)-SUMIFS($K$4:K1795,$C$4:C1795,$C1795),2))</f>
        <v/>
      </c>
      <c r="M1795" s="19">
        <f>IF($C1795="","",ROUND(SUM(基础资料!$B$4:$B$13)+SUM($J$4:J1795)-SUM($K$4:K1795),2))</f>
        <v/>
      </c>
      <c r="N1795" s="13" t="n"/>
      <c r="O1795" s="13" t="n"/>
      <c r="P1795" s="17">
        <f>IF($B1795="","",IF($F1795="※类别不在基础资料里","※费用类别不在基础资料里",IF(AND(N($J1795)=0,N($K1795)=0),"※这行没填金额",IF(AND(N($J1795)&gt;0,N($K1795)&gt;0),"※收入和支出不能同一行都填",IF(AND($D1795="收入",N($J1795)=0),"※收入行要填收入金额",IF(AND($D1795="支出",N($K1795)=0),"※支出行要填支出金额",IF(AND($C1795&lt;&gt;"",ISNA(MATCH($C1795,账户表,0))),"※账户不在基础资料里",IF(AND($G1795&lt;&gt;"",ISNA(MATCH($G1795,项目名表,0))),"※项目不在项目台账里",IF(AND(LEFT($F1795,3)="成本-",$G1795=""),"※成本类支出没填项目",IF(AND(LEFT($F1795,3)="成本-",$H1795&lt;&gt;"",N($K1795)&gt;0,COUNTIFS(采购单!$B:$B,$B1795,采购单!$C:$C,$H1795,采购单!$L:$L,$K1795)&gt;0),"※这笔可能和采购单重复了",""))))))))))</f>
        <v/>
      </c>
    </row>
    <row r="1796">
      <c r="A1796" s="17">
        <f>IF($B1796="","",ROW()-3)</f>
        <v/>
      </c>
      <c r="B1796" s="18" t="n"/>
      <c r="C1796" s="13" t="n"/>
      <c r="D1796" s="13" t="n"/>
      <c r="E1796" s="13" t="n"/>
      <c r="F1796" s="17">
        <f>IF($E1796="","",IFERROR(VLOOKUP($E1796,类别归属,2,0),"※类别不在基础资料里"))</f>
        <v/>
      </c>
      <c r="G1796" s="13" t="n"/>
      <c r="H1796" s="13" t="n"/>
      <c r="I1796" s="13" t="n"/>
      <c r="J1796" s="14" t="n"/>
      <c r="K1796" s="14" t="n"/>
      <c r="L1796" s="19">
        <f>IF($C1796="","",ROUND(IFERROR(VLOOKUP($C1796,账户期初,2,0),0)+SUMIFS($J$4:J1796,$C$4:C1796,$C1796)-SUMIFS($K$4:K1796,$C$4:C1796,$C1796),2))</f>
        <v/>
      </c>
      <c r="M1796" s="19">
        <f>IF($C1796="","",ROUND(SUM(基础资料!$B$4:$B$13)+SUM($J$4:J1796)-SUM($K$4:K1796),2))</f>
        <v/>
      </c>
      <c r="N1796" s="13" t="n"/>
      <c r="O1796" s="13" t="n"/>
      <c r="P1796" s="17">
        <f>IF($B1796="","",IF($F1796="※类别不在基础资料里","※费用类别不在基础资料里",IF(AND(N($J1796)=0,N($K1796)=0),"※这行没填金额",IF(AND(N($J1796)&gt;0,N($K1796)&gt;0),"※收入和支出不能同一行都填",IF(AND($D1796="收入",N($J1796)=0),"※收入行要填收入金额",IF(AND($D1796="支出",N($K1796)=0),"※支出行要填支出金额",IF(AND($C1796&lt;&gt;"",ISNA(MATCH($C1796,账户表,0))),"※账户不在基础资料里",IF(AND($G1796&lt;&gt;"",ISNA(MATCH($G1796,项目名表,0))),"※项目不在项目台账里",IF(AND(LEFT($F1796,3)="成本-",$G1796=""),"※成本类支出没填项目",IF(AND(LEFT($F1796,3)="成本-",$H1796&lt;&gt;"",N($K1796)&gt;0,COUNTIFS(采购单!$B:$B,$B1796,采购单!$C:$C,$H1796,采购单!$L:$L,$K1796)&gt;0),"※这笔可能和采购单重复了",""))))))))))</f>
        <v/>
      </c>
    </row>
    <row r="1797">
      <c r="A1797" s="17">
        <f>IF($B1797="","",ROW()-3)</f>
        <v/>
      </c>
      <c r="B1797" s="18" t="n"/>
      <c r="C1797" s="13" t="n"/>
      <c r="D1797" s="13" t="n"/>
      <c r="E1797" s="13" t="n"/>
      <c r="F1797" s="17">
        <f>IF($E1797="","",IFERROR(VLOOKUP($E1797,类别归属,2,0),"※类别不在基础资料里"))</f>
        <v/>
      </c>
      <c r="G1797" s="13" t="n"/>
      <c r="H1797" s="13" t="n"/>
      <c r="I1797" s="13" t="n"/>
      <c r="J1797" s="14" t="n"/>
      <c r="K1797" s="14" t="n"/>
      <c r="L1797" s="19">
        <f>IF($C1797="","",ROUND(IFERROR(VLOOKUP($C1797,账户期初,2,0),0)+SUMIFS($J$4:J1797,$C$4:C1797,$C1797)-SUMIFS($K$4:K1797,$C$4:C1797,$C1797),2))</f>
        <v/>
      </c>
      <c r="M1797" s="19">
        <f>IF($C1797="","",ROUND(SUM(基础资料!$B$4:$B$13)+SUM($J$4:J1797)-SUM($K$4:K1797),2))</f>
        <v/>
      </c>
      <c r="N1797" s="13" t="n"/>
      <c r="O1797" s="13" t="n"/>
      <c r="P1797" s="17">
        <f>IF($B1797="","",IF($F1797="※类别不在基础资料里","※费用类别不在基础资料里",IF(AND(N($J1797)=0,N($K1797)=0),"※这行没填金额",IF(AND(N($J1797)&gt;0,N($K1797)&gt;0),"※收入和支出不能同一行都填",IF(AND($D1797="收入",N($J1797)=0),"※收入行要填收入金额",IF(AND($D1797="支出",N($K1797)=0),"※支出行要填支出金额",IF(AND($C1797&lt;&gt;"",ISNA(MATCH($C1797,账户表,0))),"※账户不在基础资料里",IF(AND($G1797&lt;&gt;"",ISNA(MATCH($G1797,项目名表,0))),"※项目不在项目台账里",IF(AND(LEFT($F1797,3)="成本-",$G1797=""),"※成本类支出没填项目",IF(AND(LEFT($F1797,3)="成本-",$H1797&lt;&gt;"",N($K1797)&gt;0,COUNTIFS(采购单!$B:$B,$B1797,采购单!$C:$C,$H1797,采购单!$L:$L,$K1797)&gt;0),"※这笔可能和采购单重复了",""))))))))))</f>
        <v/>
      </c>
    </row>
    <row r="1798">
      <c r="A1798" s="17">
        <f>IF($B1798="","",ROW()-3)</f>
        <v/>
      </c>
      <c r="B1798" s="18" t="n"/>
      <c r="C1798" s="13" t="n"/>
      <c r="D1798" s="13" t="n"/>
      <c r="E1798" s="13" t="n"/>
      <c r="F1798" s="17">
        <f>IF($E1798="","",IFERROR(VLOOKUP($E1798,类别归属,2,0),"※类别不在基础资料里"))</f>
        <v/>
      </c>
      <c r="G1798" s="13" t="n"/>
      <c r="H1798" s="13" t="n"/>
      <c r="I1798" s="13" t="n"/>
      <c r="J1798" s="14" t="n"/>
      <c r="K1798" s="14" t="n"/>
      <c r="L1798" s="19">
        <f>IF($C1798="","",ROUND(IFERROR(VLOOKUP($C1798,账户期初,2,0),0)+SUMIFS($J$4:J1798,$C$4:C1798,$C1798)-SUMIFS($K$4:K1798,$C$4:C1798,$C1798),2))</f>
        <v/>
      </c>
      <c r="M1798" s="19">
        <f>IF($C1798="","",ROUND(SUM(基础资料!$B$4:$B$13)+SUM($J$4:J1798)-SUM($K$4:K1798),2))</f>
        <v/>
      </c>
      <c r="N1798" s="13" t="n"/>
      <c r="O1798" s="13" t="n"/>
      <c r="P1798" s="17">
        <f>IF($B1798="","",IF($F1798="※类别不在基础资料里","※费用类别不在基础资料里",IF(AND(N($J1798)=0,N($K1798)=0),"※这行没填金额",IF(AND(N($J1798)&gt;0,N($K1798)&gt;0),"※收入和支出不能同一行都填",IF(AND($D1798="收入",N($J1798)=0),"※收入行要填收入金额",IF(AND($D1798="支出",N($K1798)=0),"※支出行要填支出金额",IF(AND($C1798&lt;&gt;"",ISNA(MATCH($C1798,账户表,0))),"※账户不在基础资料里",IF(AND($G1798&lt;&gt;"",ISNA(MATCH($G1798,项目名表,0))),"※项目不在项目台账里",IF(AND(LEFT($F1798,3)="成本-",$G1798=""),"※成本类支出没填项目",IF(AND(LEFT($F1798,3)="成本-",$H1798&lt;&gt;"",N($K1798)&gt;0,COUNTIFS(采购单!$B:$B,$B1798,采购单!$C:$C,$H1798,采购单!$L:$L,$K1798)&gt;0),"※这笔可能和采购单重复了",""))))))))))</f>
        <v/>
      </c>
    </row>
    <row r="1799">
      <c r="A1799" s="17">
        <f>IF($B1799="","",ROW()-3)</f>
        <v/>
      </c>
      <c r="B1799" s="18" t="n"/>
      <c r="C1799" s="13" t="n"/>
      <c r="D1799" s="13" t="n"/>
      <c r="E1799" s="13" t="n"/>
      <c r="F1799" s="17">
        <f>IF($E1799="","",IFERROR(VLOOKUP($E1799,类别归属,2,0),"※类别不在基础资料里"))</f>
        <v/>
      </c>
      <c r="G1799" s="13" t="n"/>
      <c r="H1799" s="13" t="n"/>
      <c r="I1799" s="13" t="n"/>
      <c r="J1799" s="14" t="n"/>
      <c r="K1799" s="14" t="n"/>
      <c r="L1799" s="19">
        <f>IF($C1799="","",ROUND(IFERROR(VLOOKUP($C1799,账户期初,2,0),0)+SUMIFS($J$4:J1799,$C$4:C1799,$C1799)-SUMIFS($K$4:K1799,$C$4:C1799,$C1799),2))</f>
        <v/>
      </c>
      <c r="M1799" s="19">
        <f>IF($C1799="","",ROUND(SUM(基础资料!$B$4:$B$13)+SUM($J$4:J1799)-SUM($K$4:K1799),2))</f>
        <v/>
      </c>
      <c r="N1799" s="13" t="n"/>
      <c r="O1799" s="13" t="n"/>
      <c r="P1799" s="17">
        <f>IF($B1799="","",IF($F1799="※类别不在基础资料里","※费用类别不在基础资料里",IF(AND(N($J1799)=0,N($K1799)=0),"※这行没填金额",IF(AND(N($J1799)&gt;0,N($K1799)&gt;0),"※收入和支出不能同一行都填",IF(AND($D1799="收入",N($J1799)=0),"※收入行要填收入金额",IF(AND($D1799="支出",N($K1799)=0),"※支出行要填支出金额",IF(AND($C1799&lt;&gt;"",ISNA(MATCH($C1799,账户表,0))),"※账户不在基础资料里",IF(AND($G1799&lt;&gt;"",ISNA(MATCH($G1799,项目名表,0))),"※项目不在项目台账里",IF(AND(LEFT($F1799,3)="成本-",$G1799=""),"※成本类支出没填项目",IF(AND(LEFT($F1799,3)="成本-",$H1799&lt;&gt;"",N($K1799)&gt;0,COUNTIFS(采购单!$B:$B,$B1799,采购单!$C:$C,$H1799,采购单!$L:$L,$K1799)&gt;0),"※这笔可能和采购单重复了",""))))))))))</f>
        <v/>
      </c>
    </row>
    <row r="1800">
      <c r="A1800" s="17">
        <f>IF($B1800="","",ROW()-3)</f>
        <v/>
      </c>
      <c r="B1800" s="18" t="n"/>
      <c r="C1800" s="13" t="n"/>
      <c r="D1800" s="13" t="n"/>
      <c r="E1800" s="13" t="n"/>
      <c r="F1800" s="17">
        <f>IF($E1800="","",IFERROR(VLOOKUP($E1800,类别归属,2,0),"※类别不在基础资料里"))</f>
        <v/>
      </c>
      <c r="G1800" s="13" t="n"/>
      <c r="H1800" s="13" t="n"/>
      <c r="I1800" s="13" t="n"/>
      <c r="J1800" s="14" t="n"/>
      <c r="K1800" s="14" t="n"/>
      <c r="L1800" s="19">
        <f>IF($C1800="","",ROUND(IFERROR(VLOOKUP($C1800,账户期初,2,0),0)+SUMIFS($J$4:J1800,$C$4:C1800,$C1800)-SUMIFS($K$4:K1800,$C$4:C1800,$C1800),2))</f>
        <v/>
      </c>
      <c r="M1800" s="19">
        <f>IF($C1800="","",ROUND(SUM(基础资料!$B$4:$B$13)+SUM($J$4:J1800)-SUM($K$4:K1800),2))</f>
        <v/>
      </c>
      <c r="N1800" s="13" t="n"/>
      <c r="O1800" s="13" t="n"/>
      <c r="P1800" s="17">
        <f>IF($B1800="","",IF($F1800="※类别不在基础资料里","※费用类别不在基础资料里",IF(AND(N($J1800)=0,N($K1800)=0),"※这行没填金额",IF(AND(N($J1800)&gt;0,N($K1800)&gt;0),"※收入和支出不能同一行都填",IF(AND($D1800="收入",N($J1800)=0),"※收入行要填收入金额",IF(AND($D1800="支出",N($K1800)=0),"※支出行要填支出金额",IF(AND($C1800&lt;&gt;"",ISNA(MATCH($C1800,账户表,0))),"※账户不在基础资料里",IF(AND($G1800&lt;&gt;"",ISNA(MATCH($G1800,项目名表,0))),"※项目不在项目台账里",IF(AND(LEFT($F1800,3)="成本-",$G1800=""),"※成本类支出没填项目",IF(AND(LEFT($F1800,3)="成本-",$H1800&lt;&gt;"",N($K1800)&gt;0,COUNTIFS(采购单!$B:$B,$B1800,采购单!$C:$C,$H1800,采购单!$L:$L,$K1800)&gt;0),"※这笔可能和采购单重复了",""))))))))))</f>
        <v/>
      </c>
    </row>
    <row r="1801">
      <c r="A1801" s="17">
        <f>IF($B1801="","",ROW()-3)</f>
        <v/>
      </c>
      <c r="B1801" s="18" t="n"/>
      <c r="C1801" s="13" t="n"/>
      <c r="D1801" s="13" t="n"/>
      <c r="E1801" s="13" t="n"/>
      <c r="F1801" s="17">
        <f>IF($E1801="","",IFERROR(VLOOKUP($E1801,类别归属,2,0),"※类别不在基础资料里"))</f>
        <v/>
      </c>
      <c r="G1801" s="13" t="n"/>
      <c r="H1801" s="13" t="n"/>
      <c r="I1801" s="13" t="n"/>
      <c r="J1801" s="14" t="n"/>
      <c r="K1801" s="14" t="n"/>
      <c r="L1801" s="19">
        <f>IF($C1801="","",ROUND(IFERROR(VLOOKUP($C1801,账户期初,2,0),0)+SUMIFS($J$4:J1801,$C$4:C1801,$C1801)-SUMIFS($K$4:K1801,$C$4:C1801,$C1801),2))</f>
        <v/>
      </c>
      <c r="M1801" s="19">
        <f>IF($C1801="","",ROUND(SUM(基础资料!$B$4:$B$13)+SUM($J$4:J1801)-SUM($K$4:K1801),2))</f>
        <v/>
      </c>
      <c r="N1801" s="13" t="n"/>
      <c r="O1801" s="13" t="n"/>
      <c r="P1801" s="17">
        <f>IF($B1801="","",IF($F1801="※类别不在基础资料里","※费用类别不在基础资料里",IF(AND(N($J1801)=0,N($K1801)=0),"※这行没填金额",IF(AND(N($J1801)&gt;0,N($K1801)&gt;0),"※收入和支出不能同一行都填",IF(AND($D1801="收入",N($J1801)=0),"※收入行要填收入金额",IF(AND($D1801="支出",N($K1801)=0),"※支出行要填支出金额",IF(AND($C1801&lt;&gt;"",ISNA(MATCH($C1801,账户表,0))),"※账户不在基础资料里",IF(AND($G1801&lt;&gt;"",ISNA(MATCH($G1801,项目名表,0))),"※项目不在项目台账里",IF(AND(LEFT($F1801,3)="成本-",$G1801=""),"※成本类支出没填项目",IF(AND(LEFT($F1801,3)="成本-",$H1801&lt;&gt;"",N($K1801)&gt;0,COUNTIFS(采购单!$B:$B,$B1801,采购单!$C:$C,$H1801,采购单!$L:$L,$K1801)&gt;0),"※这笔可能和采购单重复了",""))))))))))</f>
        <v/>
      </c>
    </row>
    <row r="1802">
      <c r="A1802" s="17">
        <f>IF($B1802="","",ROW()-3)</f>
        <v/>
      </c>
      <c r="B1802" s="18" t="n"/>
      <c r="C1802" s="13" t="n"/>
      <c r="D1802" s="13" t="n"/>
      <c r="E1802" s="13" t="n"/>
      <c r="F1802" s="17">
        <f>IF($E1802="","",IFERROR(VLOOKUP($E1802,类别归属,2,0),"※类别不在基础资料里"))</f>
        <v/>
      </c>
      <c r="G1802" s="13" t="n"/>
      <c r="H1802" s="13" t="n"/>
      <c r="I1802" s="13" t="n"/>
      <c r="J1802" s="14" t="n"/>
      <c r="K1802" s="14" t="n"/>
      <c r="L1802" s="19">
        <f>IF($C1802="","",ROUND(IFERROR(VLOOKUP($C1802,账户期初,2,0),0)+SUMIFS($J$4:J1802,$C$4:C1802,$C1802)-SUMIFS($K$4:K1802,$C$4:C1802,$C1802),2))</f>
        <v/>
      </c>
      <c r="M1802" s="19">
        <f>IF($C1802="","",ROUND(SUM(基础资料!$B$4:$B$13)+SUM($J$4:J1802)-SUM($K$4:K1802),2))</f>
        <v/>
      </c>
      <c r="N1802" s="13" t="n"/>
      <c r="O1802" s="13" t="n"/>
      <c r="P1802" s="17">
        <f>IF($B1802="","",IF($F1802="※类别不在基础资料里","※费用类别不在基础资料里",IF(AND(N($J1802)=0,N($K1802)=0),"※这行没填金额",IF(AND(N($J1802)&gt;0,N($K1802)&gt;0),"※收入和支出不能同一行都填",IF(AND($D1802="收入",N($J1802)=0),"※收入行要填收入金额",IF(AND($D1802="支出",N($K1802)=0),"※支出行要填支出金额",IF(AND($C1802&lt;&gt;"",ISNA(MATCH($C1802,账户表,0))),"※账户不在基础资料里",IF(AND($G1802&lt;&gt;"",ISNA(MATCH($G1802,项目名表,0))),"※项目不在项目台账里",IF(AND(LEFT($F1802,3)="成本-",$G1802=""),"※成本类支出没填项目",IF(AND(LEFT($F1802,3)="成本-",$H1802&lt;&gt;"",N($K1802)&gt;0,COUNTIFS(采购单!$B:$B,$B1802,采购单!$C:$C,$H1802,采购单!$L:$L,$K1802)&gt;0),"※这笔可能和采购单重复了",""))))))))))</f>
        <v/>
      </c>
    </row>
    <row r="1803">
      <c r="A1803" s="17">
        <f>IF($B1803="","",ROW()-3)</f>
        <v/>
      </c>
      <c r="B1803" s="18" t="n"/>
      <c r="C1803" s="13" t="n"/>
      <c r="D1803" s="13" t="n"/>
      <c r="E1803" s="13" t="n"/>
      <c r="F1803" s="17">
        <f>IF($E1803="","",IFERROR(VLOOKUP($E1803,类别归属,2,0),"※类别不在基础资料里"))</f>
        <v/>
      </c>
      <c r="G1803" s="13" t="n"/>
      <c r="H1803" s="13" t="n"/>
      <c r="I1803" s="13" t="n"/>
      <c r="J1803" s="14" t="n"/>
      <c r="K1803" s="14" t="n"/>
      <c r="L1803" s="19">
        <f>IF($C1803="","",ROUND(IFERROR(VLOOKUP($C1803,账户期初,2,0),0)+SUMIFS($J$4:J1803,$C$4:C1803,$C1803)-SUMIFS($K$4:K1803,$C$4:C1803,$C1803),2))</f>
        <v/>
      </c>
      <c r="M1803" s="19">
        <f>IF($C1803="","",ROUND(SUM(基础资料!$B$4:$B$13)+SUM($J$4:J1803)-SUM($K$4:K1803),2))</f>
        <v/>
      </c>
      <c r="N1803" s="13" t="n"/>
      <c r="O1803" s="13" t="n"/>
      <c r="P1803" s="17">
        <f>IF($B1803="","",IF($F1803="※类别不在基础资料里","※费用类别不在基础资料里",IF(AND(N($J1803)=0,N($K1803)=0),"※这行没填金额",IF(AND(N($J1803)&gt;0,N($K1803)&gt;0),"※收入和支出不能同一行都填",IF(AND($D1803="收入",N($J1803)=0),"※收入行要填收入金额",IF(AND($D1803="支出",N($K1803)=0),"※支出行要填支出金额",IF(AND($C1803&lt;&gt;"",ISNA(MATCH($C1803,账户表,0))),"※账户不在基础资料里",IF(AND($G1803&lt;&gt;"",ISNA(MATCH($G1803,项目名表,0))),"※项目不在项目台账里",IF(AND(LEFT($F1803,3)="成本-",$G1803=""),"※成本类支出没填项目",IF(AND(LEFT($F1803,3)="成本-",$H1803&lt;&gt;"",N($K1803)&gt;0,COUNTIFS(采购单!$B:$B,$B1803,采购单!$C:$C,$H1803,采购单!$L:$L,$K1803)&gt;0),"※这笔可能和采购单重复了",""))))))))))</f>
        <v/>
      </c>
    </row>
    <row r="1804">
      <c r="A1804" s="17">
        <f>IF($B1804="","",ROW()-3)</f>
        <v/>
      </c>
      <c r="B1804" s="18" t="n"/>
      <c r="C1804" s="13" t="n"/>
      <c r="D1804" s="13" t="n"/>
      <c r="E1804" s="13" t="n"/>
      <c r="F1804" s="17">
        <f>IF($E1804="","",IFERROR(VLOOKUP($E1804,类别归属,2,0),"※类别不在基础资料里"))</f>
        <v/>
      </c>
      <c r="G1804" s="13" t="n"/>
      <c r="H1804" s="13" t="n"/>
      <c r="I1804" s="13" t="n"/>
      <c r="J1804" s="14" t="n"/>
      <c r="K1804" s="14" t="n"/>
      <c r="L1804" s="19">
        <f>IF($C1804="","",ROUND(IFERROR(VLOOKUP($C1804,账户期初,2,0),0)+SUMIFS($J$4:J1804,$C$4:C1804,$C1804)-SUMIFS($K$4:K1804,$C$4:C1804,$C1804),2))</f>
        <v/>
      </c>
      <c r="M1804" s="19">
        <f>IF($C1804="","",ROUND(SUM(基础资料!$B$4:$B$13)+SUM($J$4:J1804)-SUM($K$4:K1804),2))</f>
        <v/>
      </c>
      <c r="N1804" s="13" t="n"/>
      <c r="O1804" s="13" t="n"/>
      <c r="P1804" s="17">
        <f>IF($B1804="","",IF($F1804="※类别不在基础资料里","※费用类别不在基础资料里",IF(AND(N($J1804)=0,N($K1804)=0),"※这行没填金额",IF(AND(N($J1804)&gt;0,N($K1804)&gt;0),"※收入和支出不能同一行都填",IF(AND($D1804="收入",N($J1804)=0),"※收入行要填收入金额",IF(AND($D1804="支出",N($K1804)=0),"※支出行要填支出金额",IF(AND($C1804&lt;&gt;"",ISNA(MATCH($C1804,账户表,0))),"※账户不在基础资料里",IF(AND($G1804&lt;&gt;"",ISNA(MATCH($G1804,项目名表,0))),"※项目不在项目台账里",IF(AND(LEFT($F1804,3)="成本-",$G1804=""),"※成本类支出没填项目",IF(AND(LEFT($F1804,3)="成本-",$H1804&lt;&gt;"",N($K1804)&gt;0,COUNTIFS(采购单!$B:$B,$B1804,采购单!$C:$C,$H1804,采购单!$L:$L,$K1804)&gt;0),"※这笔可能和采购单重复了",""))))))))))</f>
        <v/>
      </c>
    </row>
    <row r="1805">
      <c r="A1805" s="17">
        <f>IF($B1805="","",ROW()-3)</f>
        <v/>
      </c>
      <c r="B1805" s="18" t="n"/>
      <c r="C1805" s="13" t="n"/>
      <c r="D1805" s="13" t="n"/>
      <c r="E1805" s="13" t="n"/>
      <c r="F1805" s="17">
        <f>IF($E1805="","",IFERROR(VLOOKUP($E1805,类别归属,2,0),"※类别不在基础资料里"))</f>
        <v/>
      </c>
      <c r="G1805" s="13" t="n"/>
      <c r="H1805" s="13" t="n"/>
      <c r="I1805" s="13" t="n"/>
      <c r="J1805" s="14" t="n"/>
      <c r="K1805" s="14" t="n"/>
      <c r="L1805" s="19">
        <f>IF($C1805="","",ROUND(IFERROR(VLOOKUP($C1805,账户期初,2,0),0)+SUMIFS($J$4:J1805,$C$4:C1805,$C1805)-SUMIFS($K$4:K1805,$C$4:C1805,$C1805),2))</f>
        <v/>
      </c>
      <c r="M1805" s="19">
        <f>IF($C1805="","",ROUND(SUM(基础资料!$B$4:$B$13)+SUM($J$4:J1805)-SUM($K$4:K1805),2))</f>
        <v/>
      </c>
      <c r="N1805" s="13" t="n"/>
      <c r="O1805" s="13" t="n"/>
      <c r="P1805" s="17">
        <f>IF($B1805="","",IF($F1805="※类别不在基础资料里","※费用类别不在基础资料里",IF(AND(N($J1805)=0,N($K1805)=0),"※这行没填金额",IF(AND(N($J1805)&gt;0,N($K1805)&gt;0),"※收入和支出不能同一行都填",IF(AND($D1805="收入",N($J1805)=0),"※收入行要填收入金额",IF(AND($D1805="支出",N($K1805)=0),"※支出行要填支出金额",IF(AND($C1805&lt;&gt;"",ISNA(MATCH($C1805,账户表,0))),"※账户不在基础资料里",IF(AND($G1805&lt;&gt;"",ISNA(MATCH($G1805,项目名表,0))),"※项目不在项目台账里",IF(AND(LEFT($F1805,3)="成本-",$G1805=""),"※成本类支出没填项目",IF(AND(LEFT($F1805,3)="成本-",$H1805&lt;&gt;"",N($K1805)&gt;0,COUNTIFS(采购单!$B:$B,$B1805,采购单!$C:$C,$H1805,采购单!$L:$L,$K1805)&gt;0),"※这笔可能和采购单重复了",""))))))))))</f>
        <v/>
      </c>
    </row>
    <row r="1806">
      <c r="A1806" s="17">
        <f>IF($B1806="","",ROW()-3)</f>
        <v/>
      </c>
      <c r="B1806" s="18" t="n"/>
      <c r="C1806" s="13" t="n"/>
      <c r="D1806" s="13" t="n"/>
      <c r="E1806" s="13" t="n"/>
      <c r="F1806" s="17">
        <f>IF($E1806="","",IFERROR(VLOOKUP($E1806,类别归属,2,0),"※类别不在基础资料里"))</f>
        <v/>
      </c>
      <c r="G1806" s="13" t="n"/>
      <c r="H1806" s="13" t="n"/>
      <c r="I1806" s="13" t="n"/>
      <c r="J1806" s="14" t="n"/>
      <c r="K1806" s="14" t="n"/>
      <c r="L1806" s="19">
        <f>IF($C1806="","",ROUND(IFERROR(VLOOKUP($C1806,账户期初,2,0),0)+SUMIFS($J$4:J1806,$C$4:C1806,$C1806)-SUMIFS($K$4:K1806,$C$4:C1806,$C1806),2))</f>
        <v/>
      </c>
      <c r="M1806" s="19">
        <f>IF($C1806="","",ROUND(SUM(基础资料!$B$4:$B$13)+SUM($J$4:J1806)-SUM($K$4:K1806),2))</f>
        <v/>
      </c>
      <c r="N1806" s="13" t="n"/>
      <c r="O1806" s="13" t="n"/>
      <c r="P1806" s="17">
        <f>IF($B1806="","",IF($F1806="※类别不在基础资料里","※费用类别不在基础资料里",IF(AND(N($J1806)=0,N($K1806)=0),"※这行没填金额",IF(AND(N($J1806)&gt;0,N($K1806)&gt;0),"※收入和支出不能同一行都填",IF(AND($D1806="收入",N($J1806)=0),"※收入行要填收入金额",IF(AND($D1806="支出",N($K1806)=0),"※支出行要填支出金额",IF(AND($C1806&lt;&gt;"",ISNA(MATCH($C1806,账户表,0))),"※账户不在基础资料里",IF(AND($G1806&lt;&gt;"",ISNA(MATCH($G1806,项目名表,0))),"※项目不在项目台账里",IF(AND(LEFT($F1806,3)="成本-",$G1806=""),"※成本类支出没填项目",IF(AND(LEFT($F1806,3)="成本-",$H1806&lt;&gt;"",N($K1806)&gt;0,COUNTIFS(采购单!$B:$B,$B1806,采购单!$C:$C,$H1806,采购单!$L:$L,$K1806)&gt;0),"※这笔可能和采购单重复了",""))))))))))</f>
        <v/>
      </c>
    </row>
    <row r="1807">
      <c r="A1807" s="17">
        <f>IF($B1807="","",ROW()-3)</f>
        <v/>
      </c>
      <c r="B1807" s="18" t="n"/>
      <c r="C1807" s="13" t="n"/>
      <c r="D1807" s="13" t="n"/>
      <c r="E1807" s="13" t="n"/>
      <c r="F1807" s="17">
        <f>IF($E1807="","",IFERROR(VLOOKUP($E1807,类别归属,2,0),"※类别不在基础资料里"))</f>
        <v/>
      </c>
      <c r="G1807" s="13" t="n"/>
      <c r="H1807" s="13" t="n"/>
      <c r="I1807" s="13" t="n"/>
      <c r="J1807" s="14" t="n"/>
      <c r="K1807" s="14" t="n"/>
      <c r="L1807" s="19">
        <f>IF($C1807="","",ROUND(IFERROR(VLOOKUP($C1807,账户期初,2,0),0)+SUMIFS($J$4:J1807,$C$4:C1807,$C1807)-SUMIFS($K$4:K1807,$C$4:C1807,$C1807),2))</f>
        <v/>
      </c>
      <c r="M1807" s="19">
        <f>IF($C1807="","",ROUND(SUM(基础资料!$B$4:$B$13)+SUM($J$4:J1807)-SUM($K$4:K1807),2))</f>
        <v/>
      </c>
      <c r="N1807" s="13" t="n"/>
      <c r="O1807" s="13" t="n"/>
      <c r="P1807" s="17">
        <f>IF($B1807="","",IF($F1807="※类别不在基础资料里","※费用类别不在基础资料里",IF(AND(N($J1807)=0,N($K1807)=0),"※这行没填金额",IF(AND(N($J1807)&gt;0,N($K1807)&gt;0),"※收入和支出不能同一行都填",IF(AND($D1807="收入",N($J1807)=0),"※收入行要填收入金额",IF(AND($D1807="支出",N($K1807)=0),"※支出行要填支出金额",IF(AND($C1807&lt;&gt;"",ISNA(MATCH($C1807,账户表,0))),"※账户不在基础资料里",IF(AND($G1807&lt;&gt;"",ISNA(MATCH($G1807,项目名表,0))),"※项目不在项目台账里",IF(AND(LEFT($F1807,3)="成本-",$G1807=""),"※成本类支出没填项目",IF(AND(LEFT($F1807,3)="成本-",$H1807&lt;&gt;"",N($K1807)&gt;0,COUNTIFS(采购单!$B:$B,$B1807,采购单!$C:$C,$H1807,采购单!$L:$L,$K1807)&gt;0),"※这笔可能和采购单重复了",""))))))))))</f>
        <v/>
      </c>
    </row>
    <row r="1808">
      <c r="A1808" s="17">
        <f>IF($B1808="","",ROW()-3)</f>
        <v/>
      </c>
      <c r="B1808" s="18" t="n"/>
      <c r="C1808" s="13" t="n"/>
      <c r="D1808" s="13" t="n"/>
      <c r="E1808" s="13" t="n"/>
      <c r="F1808" s="17">
        <f>IF($E1808="","",IFERROR(VLOOKUP($E1808,类别归属,2,0),"※类别不在基础资料里"))</f>
        <v/>
      </c>
      <c r="G1808" s="13" t="n"/>
      <c r="H1808" s="13" t="n"/>
      <c r="I1808" s="13" t="n"/>
      <c r="J1808" s="14" t="n"/>
      <c r="K1808" s="14" t="n"/>
      <c r="L1808" s="19">
        <f>IF($C1808="","",ROUND(IFERROR(VLOOKUP($C1808,账户期初,2,0),0)+SUMIFS($J$4:J1808,$C$4:C1808,$C1808)-SUMIFS($K$4:K1808,$C$4:C1808,$C1808),2))</f>
        <v/>
      </c>
      <c r="M1808" s="19">
        <f>IF($C1808="","",ROUND(SUM(基础资料!$B$4:$B$13)+SUM($J$4:J1808)-SUM($K$4:K1808),2))</f>
        <v/>
      </c>
      <c r="N1808" s="13" t="n"/>
      <c r="O1808" s="13" t="n"/>
      <c r="P1808" s="17">
        <f>IF($B1808="","",IF($F1808="※类别不在基础资料里","※费用类别不在基础资料里",IF(AND(N($J1808)=0,N($K1808)=0),"※这行没填金额",IF(AND(N($J1808)&gt;0,N($K1808)&gt;0),"※收入和支出不能同一行都填",IF(AND($D1808="收入",N($J1808)=0),"※收入行要填收入金额",IF(AND($D1808="支出",N($K1808)=0),"※支出行要填支出金额",IF(AND($C1808&lt;&gt;"",ISNA(MATCH($C1808,账户表,0))),"※账户不在基础资料里",IF(AND($G1808&lt;&gt;"",ISNA(MATCH($G1808,项目名表,0))),"※项目不在项目台账里",IF(AND(LEFT($F1808,3)="成本-",$G1808=""),"※成本类支出没填项目",IF(AND(LEFT($F1808,3)="成本-",$H1808&lt;&gt;"",N($K1808)&gt;0,COUNTIFS(采购单!$B:$B,$B1808,采购单!$C:$C,$H1808,采购单!$L:$L,$K1808)&gt;0),"※这笔可能和采购单重复了",""))))))))))</f>
        <v/>
      </c>
    </row>
    <row r="1809">
      <c r="A1809" s="17">
        <f>IF($B1809="","",ROW()-3)</f>
        <v/>
      </c>
      <c r="B1809" s="18" t="n"/>
      <c r="C1809" s="13" t="n"/>
      <c r="D1809" s="13" t="n"/>
      <c r="E1809" s="13" t="n"/>
      <c r="F1809" s="17">
        <f>IF($E1809="","",IFERROR(VLOOKUP($E1809,类别归属,2,0),"※类别不在基础资料里"))</f>
        <v/>
      </c>
      <c r="G1809" s="13" t="n"/>
      <c r="H1809" s="13" t="n"/>
      <c r="I1809" s="13" t="n"/>
      <c r="J1809" s="14" t="n"/>
      <c r="K1809" s="14" t="n"/>
      <c r="L1809" s="19">
        <f>IF($C1809="","",ROUND(IFERROR(VLOOKUP($C1809,账户期初,2,0),0)+SUMIFS($J$4:J1809,$C$4:C1809,$C1809)-SUMIFS($K$4:K1809,$C$4:C1809,$C1809),2))</f>
        <v/>
      </c>
      <c r="M1809" s="19">
        <f>IF($C1809="","",ROUND(SUM(基础资料!$B$4:$B$13)+SUM($J$4:J1809)-SUM($K$4:K1809),2))</f>
        <v/>
      </c>
      <c r="N1809" s="13" t="n"/>
      <c r="O1809" s="13" t="n"/>
      <c r="P1809" s="17">
        <f>IF($B1809="","",IF($F1809="※类别不在基础资料里","※费用类别不在基础资料里",IF(AND(N($J1809)=0,N($K1809)=0),"※这行没填金额",IF(AND(N($J1809)&gt;0,N($K1809)&gt;0),"※收入和支出不能同一行都填",IF(AND($D1809="收入",N($J1809)=0),"※收入行要填收入金额",IF(AND($D1809="支出",N($K1809)=0),"※支出行要填支出金额",IF(AND($C1809&lt;&gt;"",ISNA(MATCH($C1809,账户表,0))),"※账户不在基础资料里",IF(AND($G1809&lt;&gt;"",ISNA(MATCH($G1809,项目名表,0))),"※项目不在项目台账里",IF(AND(LEFT($F1809,3)="成本-",$G1809=""),"※成本类支出没填项目",IF(AND(LEFT($F1809,3)="成本-",$H1809&lt;&gt;"",N($K1809)&gt;0,COUNTIFS(采购单!$B:$B,$B1809,采购单!$C:$C,$H1809,采购单!$L:$L,$K1809)&gt;0),"※这笔可能和采购单重复了",""))))))))))</f>
        <v/>
      </c>
    </row>
    <row r="1810">
      <c r="A1810" s="17">
        <f>IF($B1810="","",ROW()-3)</f>
        <v/>
      </c>
      <c r="B1810" s="18" t="n"/>
      <c r="C1810" s="13" t="n"/>
      <c r="D1810" s="13" t="n"/>
      <c r="E1810" s="13" t="n"/>
      <c r="F1810" s="17">
        <f>IF($E1810="","",IFERROR(VLOOKUP($E1810,类别归属,2,0),"※类别不在基础资料里"))</f>
        <v/>
      </c>
      <c r="G1810" s="13" t="n"/>
      <c r="H1810" s="13" t="n"/>
      <c r="I1810" s="13" t="n"/>
      <c r="J1810" s="14" t="n"/>
      <c r="K1810" s="14" t="n"/>
      <c r="L1810" s="19">
        <f>IF($C1810="","",ROUND(IFERROR(VLOOKUP($C1810,账户期初,2,0),0)+SUMIFS($J$4:J1810,$C$4:C1810,$C1810)-SUMIFS($K$4:K1810,$C$4:C1810,$C1810),2))</f>
        <v/>
      </c>
      <c r="M1810" s="19">
        <f>IF($C1810="","",ROUND(SUM(基础资料!$B$4:$B$13)+SUM($J$4:J1810)-SUM($K$4:K1810),2))</f>
        <v/>
      </c>
      <c r="N1810" s="13" t="n"/>
      <c r="O1810" s="13" t="n"/>
      <c r="P1810" s="17">
        <f>IF($B1810="","",IF($F1810="※类别不在基础资料里","※费用类别不在基础资料里",IF(AND(N($J1810)=0,N($K1810)=0),"※这行没填金额",IF(AND(N($J1810)&gt;0,N($K1810)&gt;0),"※收入和支出不能同一行都填",IF(AND($D1810="收入",N($J1810)=0),"※收入行要填收入金额",IF(AND($D1810="支出",N($K1810)=0),"※支出行要填支出金额",IF(AND($C1810&lt;&gt;"",ISNA(MATCH($C1810,账户表,0))),"※账户不在基础资料里",IF(AND($G1810&lt;&gt;"",ISNA(MATCH($G1810,项目名表,0))),"※项目不在项目台账里",IF(AND(LEFT($F1810,3)="成本-",$G1810=""),"※成本类支出没填项目",IF(AND(LEFT($F1810,3)="成本-",$H1810&lt;&gt;"",N($K1810)&gt;0,COUNTIFS(采购单!$B:$B,$B1810,采购单!$C:$C,$H1810,采购单!$L:$L,$K1810)&gt;0),"※这笔可能和采购单重复了",""))))))))))</f>
        <v/>
      </c>
    </row>
    <row r="1811">
      <c r="A1811" s="17">
        <f>IF($B1811="","",ROW()-3)</f>
        <v/>
      </c>
      <c r="B1811" s="18" t="n"/>
      <c r="C1811" s="13" t="n"/>
      <c r="D1811" s="13" t="n"/>
      <c r="E1811" s="13" t="n"/>
      <c r="F1811" s="17">
        <f>IF($E1811="","",IFERROR(VLOOKUP($E1811,类别归属,2,0),"※类别不在基础资料里"))</f>
        <v/>
      </c>
      <c r="G1811" s="13" t="n"/>
      <c r="H1811" s="13" t="n"/>
      <c r="I1811" s="13" t="n"/>
      <c r="J1811" s="14" t="n"/>
      <c r="K1811" s="14" t="n"/>
      <c r="L1811" s="19">
        <f>IF($C1811="","",ROUND(IFERROR(VLOOKUP($C1811,账户期初,2,0),0)+SUMIFS($J$4:J1811,$C$4:C1811,$C1811)-SUMIFS($K$4:K1811,$C$4:C1811,$C1811),2))</f>
        <v/>
      </c>
      <c r="M1811" s="19">
        <f>IF($C1811="","",ROUND(SUM(基础资料!$B$4:$B$13)+SUM($J$4:J1811)-SUM($K$4:K1811),2))</f>
        <v/>
      </c>
      <c r="N1811" s="13" t="n"/>
      <c r="O1811" s="13" t="n"/>
      <c r="P1811" s="17">
        <f>IF($B1811="","",IF($F1811="※类别不在基础资料里","※费用类别不在基础资料里",IF(AND(N($J1811)=0,N($K1811)=0),"※这行没填金额",IF(AND(N($J1811)&gt;0,N($K1811)&gt;0),"※收入和支出不能同一行都填",IF(AND($D1811="收入",N($J1811)=0),"※收入行要填收入金额",IF(AND($D1811="支出",N($K1811)=0),"※支出行要填支出金额",IF(AND($C1811&lt;&gt;"",ISNA(MATCH($C1811,账户表,0))),"※账户不在基础资料里",IF(AND($G1811&lt;&gt;"",ISNA(MATCH($G1811,项目名表,0))),"※项目不在项目台账里",IF(AND(LEFT($F1811,3)="成本-",$G1811=""),"※成本类支出没填项目",IF(AND(LEFT($F1811,3)="成本-",$H1811&lt;&gt;"",N($K1811)&gt;0,COUNTIFS(采购单!$B:$B,$B1811,采购单!$C:$C,$H1811,采购单!$L:$L,$K1811)&gt;0),"※这笔可能和采购单重复了",""))))))))))</f>
        <v/>
      </c>
    </row>
    <row r="1812">
      <c r="A1812" s="17">
        <f>IF($B1812="","",ROW()-3)</f>
        <v/>
      </c>
      <c r="B1812" s="18" t="n"/>
      <c r="C1812" s="13" t="n"/>
      <c r="D1812" s="13" t="n"/>
      <c r="E1812" s="13" t="n"/>
      <c r="F1812" s="17">
        <f>IF($E1812="","",IFERROR(VLOOKUP($E1812,类别归属,2,0),"※类别不在基础资料里"))</f>
        <v/>
      </c>
      <c r="G1812" s="13" t="n"/>
      <c r="H1812" s="13" t="n"/>
      <c r="I1812" s="13" t="n"/>
      <c r="J1812" s="14" t="n"/>
      <c r="K1812" s="14" t="n"/>
      <c r="L1812" s="19">
        <f>IF($C1812="","",ROUND(IFERROR(VLOOKUP($C1812,账户期初,2,0),0)+SUMIFS($J$4:J1812,$C$4:C1812,$C1812)-SUMIFS($K$4:K1812,$C$4:C1812,$C1812),2))</f>
        <v/>
      </c>
      <c r="M1812" s="19">
        <f>IF($C1812="","",ROUND(SUM(基础资料!$B$4:$B$13)+SUM($J$4:J1812)-SUM($K$4:K1812),2))</f>
        <v/>
      </c>
      <c r="N1812" s="13" t="n"/>
      <c r="O1812" s="13" t="n"/>
      <c r="P1812" s="17">
        <f>IF($B1812="","",IF($F1812="※类别不在基础资料里","※费用类别不在基础资料里",IF(AND(N($J1812)=0,N($K1812)=0),"※这行没填金额",IF(AND(N($J1812)&gt;0,N($K1812)&gt;0),"※收入和支出不能同一行都填",IF(AND($D1812="收入",N($J1812)=0),"※收入行要填收入金额",IF(AND($D1812="支出",N($K1812)=0),"※支出行要填支出金额",IF(AND($C1812&lt;&gt;"",ISNA(MATCH($C1812,账户表,0))),"※账户不在基础资料里",IF(AND($G1812&lt;&gt;"",ISNA(MATCH($G1812,项目名表,0))),"※项目不在项目台账里",IF(AND(LEFT($F1812,3)="成本-",$G1812=""),"※成本类支出没填项目",IF(AND(LEFT($F1812,3)="成本-",$H1812&lt;&gt;"",N($K1812)&gt;0,COUNTIFS(采购单!$B:$B,$B1812,采购单!$C:$C,$H1812,采购单!$L:$L,$K1812)&gt;0),"※这笔可能和采购单重复了",""))))))))))</f>
        <v/>
      </c>
    </row>
    <row r="1813">
      <c r="A1813" s="17">
        <f>IF($B1813="","",ROW()-3)</f>
        <v/>
      </c>
      <c r="B1813" s="18" t="n"/>
      <c r="C1813" s="13" t="n"/>
      <c r="D1813" s="13" t="n"/>
      <c r="E1813" s="13" t="n"/>
      <c r="F1813" s="17">
        <f>IF($E1813="","",IFERROR(VLOOKUP($E1813,类别归属,2,0),"※类别不在基础资料里"))</f>
        <v/>
      </c>
      <c r="G1813" s="13" t="n"/>
      <c r="H1813" s="13" t="n"/>
      <c r="I1813" s="13" t="n"/>
      <c r="J1813" s="14" t="n"/>
      <c r="K1813" s="14" t="n"/>
      <c r="L1813" s="19">
        <f>IF($C1813="","",ROUND(IFERROR(VLOOKUP($C1813,账户期初,2,0),0)+SUMIFS($J$4:J1813,$C$4:C1813,$C1813)-SUMIFS($K$4:K1813,$C$4:C1813,$C1813),2))</f>
        <v/>
      </c>
      <c r="M1813" s="19">
        <f>IF($C1813="","",ROUND(SUM(基础资料!$B$4:$B$13)+SUM($J$4:J1813)-SUM($K$4:K1813),2))</f>
        <v/>
      </c>
      <c r="N1813" s="13" t="n"/>
      <c r="O1813" s="13" t="n"/>
      <c r="P1813" s="17">
        <f>IF($B1813="","",IF($F1813="※类别不在基础资料里","※费用类别不在基础资料里",IF(AND(N($J1813)=0,N($K1813)=0),"※这行没填金额",IF(AND(N($J1813)&gt;0,N($K1813)&gt;0),"※收入和支出不能同一行都填",IF(AND($D1813="收入",N($J1813)=0),"※收入行要填收入金额",IF(AND($D1813="支出",N($K1813)=0),"※支出行要填支出金额",IF(AND($C1813&lt;&gt;"",ISNA(MATCH($C1813,账户表,0))),"※账户不在基础资料里",IF(AND($G1813&lt;&gt;"",ISNA(MATCH($G1813,项目名表,0))),"※项目不在项目台账里",IF(AND(LEFT($F1813,3)="成本-",$G1813=""),"※成本类支出没填项目",IF(AND(LEFT($F1813,3)="成本-",$H1813&lt;&gt;"",N($K1813)&gt;0,COUNTIFS(采购单!$B:$B,$B1813,采购单!$C:$C,$H1813,采购单!$L:$L,$K1813)&gt;0),"※这笔可能和采购单重复了",""))))))))))</f>
        <v/>
      </c>
    </row>
    <row r="1814">
      <c r="A1814" s="17">
        <f>IF($B1814="","",ROW()-3)</f>
        <v/>
      </c>
      <c r="B1814" s="18" t="n"/>
      <c r="C1814" s="13" t="n"/>
      <c r="D1814" s="13" t="n"/>
      <c r="E1814" s="13" t="n"/>
      <c r="F1814" s="17">
        <f>IF($E1814="","",IFERROR(VLOOKUP($E1814,类别归属,2,0),"※类别不在基础资料里"))</f>
        <v/>
      </c>
      <c r="G1814" s="13" t="n"/>
      <c r="H1814" s="13" t="n"/>
      <c r="I1814" s="13" t="n"/>
      <c r="J1814" s="14" t="n"/>
      <c r="K1814" s="14" t="n"/>
      <c r="L1814" s="19">
        <f>IF($C1814="","",ROUND(IFERROR(VLOOKUP($C1814,账户期初,2,0),0)+SUMIFS($J$4:J1814,$C$4:C1814,$C1814)-SUMIFS($K$4:K1814,$C$4:C1814,$C1814),2))</f>
        <v/>
      </c>
      <c r="M1814" s="19">
        <f>IF($C1814="","",ROUND(SUM(基础资料!$B$4:$B$13)+SUM($J$4:J1814)-SUM($K$4:K1814),2))</f>
        <v/>
      </c>
      <c r="N1814" s="13" t="n"/>
      <c r="O1814" s="13" t="n"/>
      <c r="P1814" s="17">
        <f>IF($B1814="","",IF($F1814="※类别不在基础资料里","※费用类别不在基础资料里",IF(AND(N($J1814)=0,N($K1814)=0),"※这行没填金额",IF(AND(N($J1814)&gt;0,N($K1814)&gt;0),"※收入和支出不能同一行都填",IF(AND($D1814="收入",N($J1814)=0),"※收入行要填收入金额",IF(AND($D1814="支出",N($K1814)=0),"※支出行要填支出金额",IF(AND($C1814&lt;&gt;"",ISNA(MATCH($C1814,账户表,0))),"※账户不在基础资料里",IF(AND($G1814&lt;&gt;"",ISNA(MATCH($G1814,项目名表,0))),"※项目不在项目台账里",IF(AND(LEFT($F1814,3)="成本-",$G1814=""),"※成本类支出没填项目",IF(AND(LEFT($F1814,3)="成本-",$H1814&lt;&gt;"",N($K1814)&gt;0,COUNTIFS(采购单!$B:$B,$B1814,采购单!$C:$C,$H1814,采购单!$L:$L,$K1814)&gt;0),"※这笔可能和采购单重复了",""))))))))))</f>
        <v/>
      </c>
    </row>
    <row r="1815">
      <c r="A1815" s="17">
        <f>IF($B1815="","",ROW()-3)</f>
        <v/>
      </c>
      <c r="B1815" s="18" t="n"/>
      <c r="C1815" s="13" t="n"/>
      <c r="D1815" s="13" t="n"/>
      <c r="E1815" s="13" t="n"/>
      <c r="F1815" s="17">
        <f>IF($E1815="","",IFERROR(VLOOKUP($E1815,类别归属,2,0),"※类别不在基础资料里"))</f>
        <v/>
      </c>
      <c r="G1815" s="13" t="n"/>
      <c r="H1815" s="13" t="n"/>
      <c r="I1815" s="13" t="n"/>
      <c r="J1815" s="14" t="n"/>
      <c r="K1815" s="14" t="n"/>
      <c r="L1815" s="19">
        <f>IF($C1815="","",ROUND(IFERROR(VLOOKUP($C1815,账户期初,2,0),0)+SUMIFS($J$4:J1815,$C$4:C1815,$C1815)-SUMIFS($K$4:K1815,$C$4:C1815,$C1815),2))</f>
        <v/>
      </c>
      <c r="M1815" s="19">
        <f>IF($C1815="","",ROUND(SUM(基础资料!$B$4:$B$13)+SUM($J$4:J1815)-SUM($K$4:K1815),2))</f>
        <v/>
      </c>
      <c r="N1815" s="13" t="n"/>
      <c r="O1815" s="13" t="n"/>
      <c r="P1815" s="17">
        <f>IF($B1815="","",IF($F1815="※类别不在基础资料里","※费用类别不在基础资料里",IF(AND(N($J1815)=0,N($K1815)=0),"※这行没填金额",IF(AND(N($J1815)&gt;0,N($K1815)&gt;0),"※收入和支出不能同一行都填",IF(AND($D1815="收入",N($J1815)=0),"※收入行要填收入金额",IF(AND($D1815="支出",N($K1815)=0),"※支出行要填支出金额",IF(AND($C1815&lt;&gt;"",ISNA(MATCH($C1815,账户表,0))),"※账户不在基础资料里",IF(AND($G1815&lt;&gt;"",ISNA(MATCH($G1815,项目名表,0))),"※项目不在项目台账里",IF(AND(LEFT($F1815,3)="成本-",$G1815=""),"※成本类支出没填项目",IF(AND(LEFT($F1815,3)="成本-",$H1815&lt;&gt;"",N($K1815)&gt;0,COUNTIFS(采购单!$B:$B,$B1815,采购单!$C:$C,$H1815,采购单!$L:$L,$K1815)&gt;0),"※这笔可能和采购单重复了",""))))))))))</f>
        <v/>
      </c>
    </row>
    <row r="1816">
      <c r="A1816" s="17">
        <f>IF($B1816="","",ROW()-3)</f>
        <v/>
      </c>
      <c r="B1816" s="18" t="n"/>
      <c r="C1816" s="13" t="n"/>
      <c r="D1816" s="13" t="n"/>
      <c r="E1816" s="13" t="n"/>
      <c r="F1816" s="17">
        <f>IF($E1816="","",IFERROR(VLOOKUP($E1816,类别归属,2,0),"※类别不在基础资料里"))</f>
        <v/>
      </c>
      <c r="G1816" s="13" t="n"/>
      <c r="H1816" s="13" t="n"/>
      <c r="I1816" s="13" t="n"/>
      <c r="J1816" s="14" t="n"/>
      <c r="K1816" s="14" t="n"/>
      <c r="L1816" s="19">
        <f>IF($C1816="","",ROUND(IFERROR(VLOOKUP($C1816,账户期初,2,0),0)+SUMIFS($J$4:J1816,$C$4:C1816,$C1816)-SUMIFS($K$4:K1816,$C$4:C1816,$C1816),2))</f>
        <v/>
      </c>
      <c r="M1816" s="19">
        <f>IF($C1816="","",ROUND(SUM(基础资料!$B$4:$B$13)+SUM($J$4:J1816)-SUM($K$4:K1816),2))</f>
        <v/>
      </c>
      <c r="N1816" s="13" t="n"/>
      <c r="O1816" s="13" t="n"/>
      <c r="P1816" s="17">
        <f>IF($B1816="","",IF($F1816="※类别不在基础资料里","※费用类别不在基础资料里",IF(AND(N($J1816)=0,N($K1816)=0),"※这行没填金额",IF(AND(N($J1816)&gt;0,N($K1816)&gt;0),"※收入和支出不能同一行都填",IF(AND($D1816="收入",N($J1816)=0),"※收入行要填收入金额",IF(AND($D1816="支出",N($K1816)=0),"※支出行要填支出金额",IF(AND($C1816&lt;&gt;"",ISNA(MATCH($C1816,账户表,0))),"※账户不在基础资料里",IF(AND($G1816&lt;&gt;"",ISNA(MATCH($G1816,项目名表,0))),"※项目不在项目台账里",IF(AND(LEFT($F1816,3)="成本-",$G1816=""),"※成本类支出没填项目",IF(AND(LEFT($F1816,3)="成本-",$H1816&lt;&gt;"",N($K1816)&gt;0,COUNTIFS(采购单!$B:$B,$B1816,采购单!$C:$C,$H1816,采购单!$L:$L,$K1816)&gt;0),"※这笔可能和采购单重复了",""))))))))))</f>
        <v/>
      </c>
    </row>
    <row r="1817">
      <c r="A1817" s="17">
        <f>IF($B1817="","",ROW()-3)</f>
        <v/>
      </c>
      <c r="B1817" s="18" t="n"/>
      <c r="C1817" s="13" t="n"/>
      <c r="D1817" s="13" t="n"/>
      <c r="E1817" s="13" t="n"/>
      <c r="F1817" s="17">
        <f>IF($E1817="","",IFERROR(VLOOKUP($E1817,类别归属,2,0),"※类别不在基础资料里"))</f>
        <v/>
      </c>
      <c r="G1817" s="13" t="n"/>
      <c r="H1817" s="13" t="n"/>
      <c r="I1817" s="13" t="n"/>
      <c r="J1817" s="14" t="n"/>
      <c r="K1817" s="14" t="n"/>
      <c r="L1817" s="19">
        <f>IF($C1817="","",ROUND(IFERROR(VLOOKUP($C1817,账户期初,2,0),0)+SUMIFS($J$4:J1817,$C$4:C1817,$C1817)-SUMIFS($K$4:K1817,$C$4:C1817,$C1817),2))</f>
        <v/>
      </c>
      <c r="M1817" s="19">
        <f>IF($C1817="","",ROUND(SUM(基础资料!$B$4:$B$13)+SUM($J$4:J1817)-SUM($K$4:K1817),2))</f>
        <v/>
      </c>
      <c r="N1817" s="13" t="n"/>
      <c r="O1817" s="13" t="n"/>
      <c r="P1817" s="17">
        <f>IF($B1817="","",IF($F1817="※类别不在基础资料里","※费用类别不在基础资料里",IF(AND(N($J1817)=0,N($K1817)=0),"※这行没填金额",IF(AND(N($J1817)&gt;0,N($K1817)&gt;0),"※收入和支出不能同一行都填",IF(AND($D1817="收入",N($J1817)=0),"※收入行要填收入金额",IF(AND($D1817="支出",N($K1817)=0),"※支出行要填支出金额",IF(AND($C1817&lt;&gt;"",ISNA(MATCH($C1817,账户表,0))),"※账户不在基础资料里",IF(AND($G1817&lt;&gt;"",ISNA(MATCH($G1817,项目名表,0))),"※项目不在项目台账里",IF(AND(LEFT($F1817,3)="成本-",$G1817=""),"※成本类支出没填项目",IF(AND(LEFT($F1817,3)="成本-",$H1817&lt;&gt;"",N($K1817)&gt;0,COUNTIFS(采购单!$B:$B,$B1817,采购单!$C:$C,$H1817,采购单!$L:$L,$K1817)&gt;0),"※这笔可能和采购单重复了",""))))))))))</f>
        <v/>
      </c>
    </row>
    <row r="1818">
      <c r="A1818" s="17">
        <f>IF($B1818="","",ROW()-3)</f>
        <v/>
      </c>
      <c r="B1818" s="18" t="n"/>
      <c r="C1818" s="13" t="n"/>
      <c r="D1818" s="13" t="n"/>
      <c r="E1818" s="13" t="n"/>
      <c r="F1818" s="17">
        <f>IF($E1818="","",IFERROR(VLOOKUP($E1818,类别归属,2,0),"※类别不在基础资料里"))</f>
        <v/>
      </c>
      <c r="G1818" s="13" t="n"/>
      <c r="H1818" s="13" t="n"/>
      <c r="I1818" s="13" t="n"/>
      <c r="J1818" s="14" t="n"/>
      <c r="K1818" s="14" t="n"/>
      <c r="L1818" s="19">
        <f>IF($C1818="","",ROUND(IFERROR(VLOOKUP($C1818,账户期初,2,0),0)+SUMIFS($J$4:J1818,$C$4:C1818,$C1818)-SUMIFS($K$4:K1818,$C$4:C1818,$C1818),2))</f>
        <v/>
      </c>
      <c r="M1818" s="19">
        <f>IF($C1818="","",ROUND(SUM(基础资料!$B$4:$B$13)+SUM($J$4:J1818)-SUM($K$4:K1818),2))</f>
        <v/>
      </c>
      <c r="N1818" s="13" t="n"/>
      <c r="O1818" s="13" t="n"/>
      <c r="P1818" s="17">
        <f>IF($B1818="","",IF($F1818="※类别不在基础资料里","※费用类别不在基础资料里",IF(AND(N($J1818)=0,N($K1818)=0),"※这行没填金额",IF(AND(N($J1818)&gt;0,N($K1818)&gt;0),"※收入和支出不能同一行都填",IF(AND($D1818="收入",N($J1818)=0),"※收入行要填收入金额",IF(AND($D1818="支出",N($K1818)=0),"※支出行要填支出金额",IF(AND($C1818&lt;&gt;"",ISNA(MATCH($C1818,账户表,0))),"※账户不在基础资料里",IF(AND($G1818&lt;&gt;"",ISNA(MATCH($G1818,项目名表,0))),"※项目不在项目台账里",IF(AND(LEFT($F1818,3)="成本-",$G1818=""),"※成本类支出没填项目",IF(AND(LEFT($F1818,3)="成本-",$H1818&lt;&gt;"",N($K1818)&gt;0,COUNTIFS(采购单!$B:$B,$B1818,采购单!$C:$C,$H1818,采购单!$L:$L,$K1818)&gt;0),"※这笔可能和采购单重复了",""))))))))))</f>
        <v/>
      </c>
    </row>
    <row r="1819">
      <c r="A1819" s="17">
        <f>IF($B1819="","",ROW()-3)</f>
        <v/>
      </c>
      <c r="B1819" s="18" t="n"/>
      <c r="C1819" s="13" t="n"/>
      <c r="D1819" s="13" t="n"/>
      <c r="E1819" s="13" t="n"/>
      <c r="F1819" s="17">
        <f>IF($E1819="","",IFERROR(VLOOKUP($E1819,类别归属,2,0),"※类别不在基础资料里"))</f>
        <v/>
      </c>
      <c r="G1819" s="13" t="n"/>
      <c r="H1819" s="13" t="n"/>
      <c r="I1819" s="13" t="n"/>
      <c r="J1819" s="14" t="n"/>
      <c r="K1819" s="14" t="n"/>
      <c r="L1819" s="19">
        <f>IF($C1819="","",ROUND(IFERROR(VLOOKUP($C1819,账户期初,2,0),0)+SUMIFS($J$4:J1819,$C$4:C1819,$C1819)-SUMIFS($K$4:K1819,$C$4:C1819,$C1819),2))</f>
        <v/>
      </c>
      <c r="M1819" s="19">
        <f>IF($C1819="","",ROUND(SUM(基础资料!$B$4:$B$13)+SUM($J$4:J1819)-SUM($K$4:K1819),2))</f>
        <v/>
      </c>
      <c r="N1819" s="13" t="n"/>
      <c r="O1819" s="13" t="n"/>
      <c r="P1819" s="17">
        <f>IF($B1819="","",IF($F1819="※类别不在基础资料里","※费用类别不在基础资料里",IF(AND(N($J1819)=0,N($K1819)=0),"※这行没填金额",IF(AND(N($J1819)&gt;0,N($K1819)&gt;0),"※收入和支出不能同一行都填",IF(AND($D1819="收入",N($J1819)=0),"※收入行要填收入金额",IF(AND($D1819="支出",N($K1819)=0),"※支出行要填支出金额",IF(AND($C1819&lt;&gt;"",ISNA(MATCH($C1819,账户表,0))),"※账户不在基础资料里",IF(AND($G1819&lt;&gt;"",ISNA(MATCH($G1819,项目名表,0))),"※项目不在项目台账里",IF(AND(LEFT($F1819,3)="成本-",$G1819=""),"※成本类支出没填项目",IF(AND(LEFT($F1819,3)="成本-",$H1819&lt;&gt;"",N($K1819)&gt;0,COUNTIFS(采购单!$B:$B,$B1819,采购单!$C:$C,$H1819,采购单!$L:$L,$K1819)&gt;0),"※这笔可能和采购单重复了",""))))))))))</f>
        <v/>
      </c>
    </row>
    <row r="1820">
      <c r="A1820" s="17">
        <f>IF($B1820="","",ROW()-3)</f>
        <v/>
      </c>
      <c r="B1820" s="18" t="n"/>
      <c r="C1820" s="13" t="n"/>
      <c r="D1820" s="13" t="n"/>
      <c r="E1820" s="13" t="n"/>
      <c r="F1820" s="17">
        <f>IF($E1820="","",IFERROR(VLOOKUP($E1820,类别归属,2,0),"※类别不在基础资料里"))</f>
        <v/>
      </c>
      <c r="G1820" s="13" t="n"/>
      <c r="H1820" s="13" t="n"/>
      <c r="I1820" s="13" t="n"/>
      <c r="J1820" s="14" t="n"/>
      <c r="K1820" s="14" t="n"/>
      <c r="L1820" s="19">
        <f>IF($C1820="","",ROUND(IFERROR(VLOOKUP($C1820,账户期初,2,0),0)+SUMIFS($J$4:J1820,$C$4:C1820,$C1820)-SUMIFS($K$4:K1820,$C$4:C1820,$C1820),2))</f>
        <v/>
      </c>
      <c r="M1820" s="19">
        <f>IF($C1820="","",ROUND(SUM(基础资料!$B$4:$B$13)+SUM($J$4:J1820)-SUM($K$4:K1820),2))</f>
        <v/>
      </c>
      <c r="N1820" s="13" t="n"/>
      <c r="O1820" s="13" t="n"/>
      <c r="P1820" s="17">
        <f>IF($B1820="","",IF($F1820="※类别不在基础资料里","※费用类别不在基础资料里",IF(AND(N($J1820)=0,N($K1820)=0),"※这行没填金额",IF(AND(N($J1820)&gt;0,N($K1820)&gt;0),"※收入和支出不能同一行都填",IF(AND($D1820="收入",N($J1820)=0),"※收入行要填收入金额",IF(AND($D1820="支出",N($K1820)=0),"※支出行要填支出金额",IF(AND($C1820&lt;&gt;"",ISNA(MATCH($C1820,账户表,0))),"※账户不在基础资料里",IF(AND($G1820&lt;&gt;"",ISNA(MATCH($G1820,项目名表,0))),"※项目不在项目台账里",IF(AND(LEFT($F1820,3)="成本-",$G1820=""),"※成本类支出没填项目",IF(AND(LEFT($F1820,3)="成本-",$H1820&lt;&gt;"",N($K1820)&gt;0,COUNTIFS(采购单!$B:$B,$B1820,采购单!$C:$C,$H1820,采购单!$L:$L,$K1820)&gt;0),"※这笔可能和采购单重复了",""))))))))))</f>
        <v/>
      </c>
    </row>
    <row r="1821">
      <c r="A1821" s="17">
        <f>IF($B1821="","",ROW()-3)</f>
        <v/>
      </c>
      <c r="B1821" s="18" t="n"/>
      <c r="C1821" s="13" t="n"/>
      <c r="D1821" s="13" t="n"/>
      <c r="E1821" s="13" t="n"/>
      <c r="F1821" s="17">
        <f>IF($E1821="","",IFERROR(VLOOKUP($E1821,类别归属,2,0),"※类别不在基础资料里"))</f>
        <v/>
      </c>
      <c r="G1821" s="13" t="n"/>
      <c r="H1821" s="13" t="n"/>
      <c r="I1821" s="13" t="n"/>
      <c r="J1821" s="14" t="n"/>
      <c r="K1821" s="14" t="n"/>
      <c r="L1821" s="19">
        <f>IF($C1821="","",ROUND(IFERROR(VLOOKUP($C1821,账户期初,2,0),0)+SUMIFS($J$4:J1821,$C$4:C1821,$C1821)-SUMIFS($K$4:K1821,$C$4:C1821,$C1821),2))</f>
        <v/>
      </c>
      <c r="M1821" s="19">
        <f>IF($C1821="","",ROUND(SUM(基础资料!$B$4:$B$13)+SUM($J$4:J1821)-SUM($K$4:K1821),2))</f>
        <v/>
      </c>
      <c r="N1821" s="13" t="n"/>
      <c r="O1821" s="13" t="n"/>
      <c r="P1821" s="17">
        <f>IF($B1821="","",IF($F1821="※类别不在基础资料里","※费用类别不在基础资料里",IF(AND(N($J1821)=0,N($K1821)=0),"※这行没填金额",IF(AND(N($J1821)&gt;0,N($K1821)&gt;0),"※收入和支出不能同一行都填",IF(AND($D1821="收入",N($J1821)=0),"※收入行要填收入金额",IF(AND($D1821="支出",N($K1821)=0),"※支出行要填支出金额",IF(AND($C1821&lt;&gt;"",ISNA(MATCH($C1821,账户表,0))),"※账户不在基础资料里",IF(AND($G1821&lt;&gt;"",ISNA(MATCH($G1821,项目名表,0))),"※项目不在项目台账里",IF(AND(LEFT($F1821,3)="成本-",$G1821=""),"※成本类支出没填项目",IF(AND(LEFT($F1821,3)="成本-",$H1821&lt;&gt;"",N($K1821)&gt;0,COUNTIFS(采购单!$B:$B,$B1821,采购单!$C:$C,$H1821,采购单!$L:$L,$K1821)&gt;0),"※这笔可能和采购单重复了",""))))))))))</f>
        <v/>
      </c>
    </row>
    <row r="1822">
      <c r="A1822" s="17">
        <f>IF($B1822="","",ROW()-3)</f>
        <v/>
      </c>
      <c r="B1822" s="18" t="n"/>
      <c r="C1822" s="13" t="n"/>
      <c r="D1822" s="13" t="n"/>
      <c r="E1822" s="13" t="n"/>
      <c r="F1822" s="17">
        <f>IF($E1822="","",IFERROR(VLOOKUP($E1822,类别归属,2,0),"※类别不在基础资料里"))</f>
        <v/>
      </c>
      <c r="G1822" s="13" t="n"/>
      <c r="H1822" s="13" t="n"/>
      <c r="I1822" s="13" t="n"/>
      <c r="J1822" s="14" t="n"/>
      <c r="K1822" s="14" t="n"/>
      <c r="L1822" s="19">
        <f>IF($C1822="","",ROUND(IFERROR(VLOOKUP($C1822,账户期初,2,0),0)+SUMIFS($J$4:J1822,$C$4:C1822,$C1822)-SUMIFS($K$4:K1822,$C$4:C1822,$C1822),2))</f>
        <v/>
      </c>
      <c r="M1822" s="19">
        <f>IF($C1822="","",ROUND(SUM(基础资料!$B$4:$B$13)+SUM($J$4:J1822)-SUM($K$4:K1822),2))</f>
        <v/>
      </c>
      <c r="N1822" s="13" t="n"/>
      <c r="O1822" s="13" t="n"/>
      <c r="P1822" s="17">
        <f>IF($B1822="","",IF($F1822="※类别不在基础资料里","※费用类别不在基础资料里",IF(AND(N($J1822)=0,N($K1822)=0),"※这行没填金额",IF(AND(N($J1822)&gt;0,N($K1822)&gt;0),"※收入和支出不能同一行都填",IF(AND($D1822="收入",N($J1822)=0),"※收入行要填收入金额",IF(AND($D1822="支出",N($K1822)=0),"※支出行要填支出金额",IF(AND($C1822&lt;&gt;"",ISNA(MATCH($C1822,账户表,0))),"※账户不在基础资料里",IF(AND($G1822&lt;&gt;"",ISNA(MATCH($G1822,项目名表,0))),"※项目不在项目台账里",IF(AND(LEFT($F1822,3)="成本-",$G1822=""),"※成本类支出没填项目",IF(AND(LEFT($F1822,3)="成本-",$H1822&lt;&gt;"",N($K1822)&gt;0,COUNTIFS(采购单!$B:$B,$B1822,采购单!$C:$C,$H1822,采购单!$L:$L,$K1822)&gt;0),"※这笔可能和采购单重复了",""))))))))))</f>
        <v/>
      </c>
    </row>
    <row r="1823">
      <c r="A1823" s="17">
        <f>IF($B1823="","",ROW()-3)</f>
        <v/>
      </c>
      <c r="B1823" s="18" t="n"/>
      <c r="C1823" s="13" t="n"/>
      <c r="D1823" s="13" t="n"/>
      <c r="E1823" s="13" t="n"/>
      <c r="F1823" s="17">
        <f>IF($E1823="","",IFERROR(VLOOKUP($E1823,类别归属,2,0),"※类别不在基础资料里"))</f>
        <v/>
      </c>
      <c r="G1823" s="13" t="n"/>
      <c r="H1823" s="13" t="n"/>
      <c r="I1823" s="13" t="n"/>
      <c r="J1823" s="14" t="n"/>
      <c r="K1823" s="14" t="n"/>
      <c r="L1823" s="19">
        <f>IF($C1823="","",ROUND(IFERROR(VLOOKUP($C1823,账户期初,2,0),0)+SUMIFS($J$4:J1823,$C$4:C1823,$C1823)-SUMIFS($K$4:K1823,$C$4:C1823,$C1823),2))</f>
        <v/>
      </c>
      <c r="M1823" s="19">
        <f>IF($C1823="","",ROUND(SUM(基础资料!$B$4:$B$13)+SUM($J$4:J1823)-SUM($K$4:K1823),2))</f>
        <v/>
      </c>
      <c r="N1823" s="13" t="n"/>
      <c r="O1823" s="13" t="n"/>
      <c r="P1823" s="17">
        <f>IF($B1823="","",IF($F1823="※类别不在基础资料里","※费用类别不在基础资料里",IF(AND(N($J1823)=0,N($K1823)=0),"※这行没填金额",IF(AND(N($J1823)&gt;0,N($K1823)&gt;0),"※收入和支出不能同一行都填",IF(AND($D1823="收入",N($J1823)=0),"※收入行要填收入金额",IF(AND($D1823="支出",N($K1823)=0),"※支出行要填支出金额",IF(AND($C1823&lt;&gt;"",ISNA(MATCH($C1823,账户表,0))),"※账户不在基础资料里",IF(AND($G1823&lt;&gt;"",ISNA(MATCH($G1823,项目名表,0))),"※项目不在项目台账里",IF(AND(LEFT($F1823,3)="成本-",$G1823=""),"※成本类支出没填项目",IF(AND(LEFT($F1823,3)="成本-",$H1823&lt;&gt;"",N($K1823)&gt;0,COUNTIFS(采购单!$B:$B,$B1823,采购单!$C:$C,$H1823,采购单!$L:$L,$K1823)&gt;0),"※这笔可能和采购单重复了",""))))))))))</f>
        <v/>
      </c>
    </row>
    <row r="1824">
      <c r="A1824" s="17">
        <f>IF($B1824="","",ROW()-3)</f>
        <v/>
      </c>
      <c r="B1824" s="18" t="n"/>
      <c r="C1824" s="13" t="n"/>
      <c r="D1824" s="13" t="n"/>
      <c r="E1824" s="13" t="n"/>
      <c r="F1824" s="17">
        <f>IF($E1824="","",IFERROR(VLOOKUP($E1824,类别归属,2,0),"※类别不在基础资料里"))</f>
        <v/>
      </c>
      <c r="G1824" s="13" t="n"/>
      <c r="H1824" s="13" t="n"/>
      <c r="I1824" s="13" t="n"/>
      <c r="J1824" s="14" t="n"/>
      <c r="K1824" s="14" t="n"/>
      <c r="L1824" s="19">
        <f>IF($C1824="","",ROUND(IFERROR(VLOOKUP($C1824,账户期初,2,0),0)+SUMIFS($J$4:J1824,$C$4:C1824,$C1824)-SUMIFS($K$4:K1824,$C$4:C1824,$C1824),2))</f>
        <v/>
      </c>
      <c r="M1824" s="19">
        <f>IF($C1824="","",ROUND(SUM(基础资料!$B$4:$B$13)+SUM($J$4:J1824)-SUM($K$4:K1824),2))</f>
        <v/>
      </c>
      <c r="N1824" s="13" t="n"/>
      <c r="O1824" s="13" t="n"/>
      <c r="P1824" s="17">
        <f>IF($B1824="","",IF($F1824="※类别不在基础资料里","※费用类别不在基础资料里",IF(AND(N($J1824)=0,N($K1824)=0),"※这行没填金额",IF(AND(N($J1824)&gt;0,N($K1824)&gt;0),"※收入和支出不能同一行都填",IF(AND($D1824="收入",N($J1824)=0),"※收入行要填收入金额",IF(AND($D1824="支出",N($K1824)=0),"※支出行要填支出金额",IF(AND($C1824&lt;&gt;"",ISNA(MATCH($C1824,账户表,0))),"※账户不在基础资料里",IF(AND($G1824&lt;&gt;"",ISNA(MATCH($G1824,项目名表,0))),"※项目不在项目台账里",IF(AND(LEFT($F1824,3)="成本-",$G1824=""),"※成本类支出没填项目",IF(AND(LEFT($F1824,3)="成本-",$H1824&lt;&gt;"",N($K1824)&gt;0,COUNTIFS(采购单!$B:$B,$B1824,采购单!$C:$C,$H1824,采购单!$L:$L,$K1824)&gt;0),"※这笔可能和采购单重复了",""))))))))))</f>
        <v/>
      </c>
    </row>
    <row r="1825">
      <c r="A1825" s="17">
        <f>IF($B1825="","",ROW()-3)</f>
        <v/>
      </c>
      <c r="B1825" s="18" t="n"/>
      <c r="C1825" s="13" t="n"/>
      <c r="D1825" s="13" t="n"/>
      <c r="E1825" s="13" t="n"/>
      <c r="F1825" s="17">
        <f>IF($E1825="","",IFERROR(VLOOKUP($E1825,类别归属,2,0),"※类别不在基础资料里"))</f>
        <v/>
      </c>
      <c r="G1825" s="13" t="n"/>
      <c r="H1825" s="13" t="n"/>
      <c r="I1825" s="13" t="n"/>
      <c r="J1825" s="14" t="n"/>
      <c r="K1825" s="14" t="n"/>
      <c r="L1825" s="19">
        <f>IF($C1825="","",ROUND(IFERROR(VLOOKUP($C1825,账户期初,2,0),0)+SUMIFS($J$4:J1825,$C$4:C1825,$C1825)-SUMIFS($K$4:K1825,$C$4:C1825,$C1825),2))</f>
        <v/>
      </c>
      <c r="M1825" s="19">
        <f>IF($C1825="","",ROUND(SUM(基础资料!$B$4:$B$13)+SUM($J$4:J1825)-SUM($K$4:K1825),2))</f>
        <v/>
      </c>
      <c r="N1825" s="13" t="n"/>
      <c r="O1825" s="13" t="n"/>
      <c r="P1825" s="17">
        <f>IF($B1825="","",IF($F1825="※类别不在基础资料里","※费用类别不在基础资料里",IF(AND(N($J1825)=0,N($K1825)=0),"※这行没填金额",IF(AND(N($J1825)&gt;0,N($K1825)&gt;0),"※收入和支出不能同一行都填",IF(AND($D1825="收入",N($J1825)=0),"※收入行要填收入金额",IF(AND($D1825="支出",N($K1825)=0),"※支出行要填支出金额",IF(AND($C1825&lt;&gt;"",ISNA(MATCH($C1825,账户表,0))),"※账户不在基础资料里",IF(AND($G1825&lt;&gt;"",ISNA(MATCH($G1825,项目名表,0))),"※项目不在项目台账里",IF(AND(LEFT($F1825,3)="成本-",$G1825=""),"※成本类支出没填项目",IF(AND(LEFT($F1825,3)="成本-",$H1825&lt;&gt;"",N($K1825)&gt;0,COUNTIFS(采购单!$B:$B,$B1825,采购单!$C:$C,$H1825,采购单!$L:$L,$K1825)&gt;0),"※这笔可能和采购单重复了",""))))))))))</f>
        <v/>
      </c>
    </row>
    <row r="1826">
      <c r="A1826" s="17">
        <f>IF($B1826="","",ROW()-3)</f>
        <v/>
      </c>
      <c r="B1826" s="18" t="n"/>
      <c r="C1826" s="13" t="n"/>
      <c r="D1826" s="13" t="n"/>
      <c r="E1826" s="13" t="n"/>
      <c r="F1826" s="17">
        <f>IF($E1826="","",IFERROR(VLOOKUP($E1826,类别归属,2,0),"※类别不在基础资料里"))</f>
        <v/>
      </c>
      <c r="G1826" s="13" t="n"/>
      <c r="H1826" s="13" t="n"/>
      <c r="I1826" s="13" t="n"/>
      <c r="J1826" s="14" t="n"/>
      <c r="K1826" s="14" t="n"/>
      <c r="L1826" s="19">
        <f>IF($C1826="","",ROUND(IFERROR(VLOOKUP($C1826,账户期初,2,0),0)+SUMIFS($J$4:J1826,$C$4:C1826,$C1826)-SUMIFS($K$4:K1826,$C$4:C1826,$C1826),2))</f>
        <v/>
      </c>
      <c r="M1826" s="19">
        <f>IF($C1826="","",ROUND(SUM(基础资料!$B$4:$B$13)+SUM($J$4:J1826)-SUM($K$4:K1826),2))</f>
        <v/>
      </c>
      <c r="N1826" s="13" t="n"/>
      <c r="O1826" s="13" t="n"/>
      <c r="P1826" s="17">
        <f>IF($B1826="","",IF($F1826="※类别不在基础资料里","※费用类别不在基础资料里",IF(AND(N($J1826)=0,N($K1826)=0),"※这行没填金额",IF(AND(N($J1826)&gt;0,N($K1826)&gt;0),"※收入和支出不能同一行都填",IF(AND($D1826="收入",N($J1826)=0),"※收入行要填收入金额",IF(AND($D1826="支出",N($K1826)=0),"※支出行要填支出金额",IF(AND($C1826&lt;&gt;"",ISNA(MATCH($C1826,账户表,0))),"※账户不在基础资料里",IF(AND($G1826&lt;&gt;"",ISNA(MATCH($G1826,项目名表,0))),"※项目不在项目台账里",IF(AND(LEFT($F1826,3)="成本-",$G1826=""),"※成本类支出没填项目",IF(AND(LEFT($F1826,3)="成本-",$H1826&lt;&gt;"",N($K1826)&gt;0,COUNTIFS(采购单!$B:$B,$B1826,采购单!$C:$C,$H1826,采购单!$L:$L,$K1826)&gt;0),"※这笔可能和采购单重复了",""))))))))))</f>
        <v/>
      </c>
    </row>
    <row r="1827">
      <c r="A1827" s="17">
        <f>IF($B1827="","",ROW()-3)</f>
        <v/>
      </c>
      <c r="B1827" s="18" t="n"/>
      <c r="C1827" s="13" t="n"/>
      <c r="D1827" s="13" t="n"/>
      <c r="E1827" s="13" t="n"/>
      <c r="F1827" s="17">
        <f>IF($E1827="","",IFERROR(VLOOKUP($E1827,类别归属,2,0),"※类别不在基础资料里"))</f>
        <v/>
      </c>
      <c r="G1827" s="13" t="n"/>
      <c r="H1827" s="13" t="n"/>
      <c r="I1827" s="13" t="n"/>
      <c r="J1827" s="14" t="n"/>
      <c r="K1827" s="14" t="n"/>
      <c r="L1827" s="19">
        <f>IF($C1827="","",ROUND(IFERROR(VLOOKUP($C1827,账户期初,2,0),0)+SUMIFS($J$4:J1827,$C$4:C1827,$C1827)-SUMIFS($K$4:K1827,$C$4:C1827,$C1827),2))</f>
        <v/>
      </c>
      <c r="M1827" s="19">
        <f>IF($C1827="","",ROUND(SUM(基础资料!$B$4:$B$13)+SUM($J$4:J1827)-SUM($K$4:K1827),2))</f>
        <v/>
      </c>
      <c r="N1827" s="13" t="n"/>
      <c r="O1827" s="13" t="n"/>
      <c r="P1827" s="17">
        <f>IF($B1827="","",IF($F1827="※类别不在基础资料里","※费用类别不在基础资料里",IF(AND(N($J1827)=0,N($K1827)=0),"※这行没填金额",IF(AND(N($J1827)&gt;0,N($K1827)&gt;0),"※收入和支出不能同一行都填",IF(AND($D1827="收入",N($J1827)=0),"※收入行要填收入金额",IF(AND($D1827="支出",N($K1827)=0),"※支出行要填支出金额",IF(AND($C1827&lt;&gt;"",ISNA(MATCH($C1827,账户表,0))),"※账户不在基础资料里",IF(AND($G1827&lt;&gt;"",ISNA(MATCH($G1827,项目名表,0))),"※项目不在项目台账里",IF(AND(LEFT($F1827,3)="成本-",$G1827=""),"※成本类支出没填项目",IF(AND(LEFT($F1827,3)="成本-",$H1827&lt;&gt;"",N($K1827)&gt;0,COUNTIFS(采购单!$B:$B,$B1827,采购单!$C:$C,$H1827,采购单!$L:$L,$K1827)&gt;0),"※这笔可能和采购单重复了",""))))))))))</f>
        <v/>
      </c>
    </row>
    <row r="1828">
      <c r="A1828" s="17">
        <f>IF($B1828="","",ROW()-3)</f>
        <v/>
      </c>
      <c r="B1828" s="18" t="n"/>
      <c r="C1828" s="13" t="n"/>
      <c r="D1828" s="13" t="n"/>
      <c r="E1828" s="13" t="n"/>
      <c r="F1828" s="17">
        <f>IF($E1828="","",IFERROR(VLOOKUP($E1828,类别归属,2,0),"※类别不在基础资料里"))</f>
        <v/>
      </c>
      <c r="G1828" s="13" t="n"/>
      <c r="H1828" s="13" t="n"/>
      <c r="I1828" s="13" t="n"/>
      <c r="J1828" s="14" t="n"/>
      <c r="K1828" s="14" t="n"/>
      <c r="L1828" s="19">
        <f>IF($C1828="","",ROUND(IFERROR(VLOOKUP($C1828,账户期初,2,0),0)+SUMIFS($J$4:J1828,$C$4:C1828,$C1828)-SUMIFS($K$4:K1828,$C$4:C1828,$C1828),2))</f>
        <v/>
      </c>
      <c r="M1828" s="19">
        <f>IF($C1828="","",ROUND(SUM(基础资料!$B$4:$B$13)+SUM($J$4:J1828)-SUM($K$4:K1828),2))</f>
        <v/>
      </c>
      <c r="N1828" s="13" t="n"/>
      <c r="O1828" s="13" t="n"/>
      <c r="P1828" s="17">
        <f>IF($B1828="","",IF($F1828="※类别不在基础资料里","※费用类别不在基础资料里",IF(AND(N($J1828)=0,N($K1828)=0),"※这行没填金额",IF(AND(N($J1828)&gt;0,N($K1828)&gt;0),"※收入和支出不能同一行都填",IF(AND($D1828="收入",N($J1828)=0),"※收入行要填收入金额",IF(AND($D1828="支出",N($K1828)=0),"※支出行要填支出金额",IF(AND($C1828&lt;&gt;"",ISNA(MATCH($C1828,账户表,0))),"※账户不在基础资料里",IF(AND($G1828&lt;&gt;"",ISNA(MATCH($G1828,项目名表,0))),"※项目不在项目台账里",IF(AND(LEFT($F1828,3)="成本-",$G1828=""),"※成本类支出没填项目",IF(AND(LEFT($F1828,3)="成本-",$H1828&lt;&gt;"",N($K1828)&gt;0,COUNTIFS(采购单!$B:$B,$B1828,采购单!$C:$C,$H1828,采购单!$L:$L,$K1828)&gt;0),"※这笔可能和采购单重复了",""))))))))))</f>
        <v/>
      </c>
    </row>
    <row r="1829">
      <c r="A1829" s="17">
        <f>IF($B1829="","",ROW()-3)</f>
        <v/>
      </c>
      <c r="B1829" s="18" t="n"/>
      <c r="C1829" s="13" t="n"/>
      <c r="D1829" s="13" t="n"/>
      <c r="E1829" s="13" t="n"/>
      <c r="F1829" s="17">
        <f>IF($E1829="","",IFERROR(VLOOKUP($E1829,类别归属,2,0),"※类别不在基础资料里"))</f>
        <v/>
      </c>
      <c r="G1829" s="13" t="n"/>
      <c r="H1829" s="13" t="n"/>
      <c r="I1829" s="13" t="n"/>
      <c r="J1829" s="14" t="n"/>
      <c r="K1829" s="14" t="n"/>
      <c r="L1829" s="19">
        <f>IF($C1829="","",ROUND(IFERROR(VLOOKUP($C1829,账户期初,2,0),0)+SUMIFS($J$4:J1829,$C$4:C1829,$C1829)-SUMIFS($K$4:K1829,$C$4:C1829,$C1829),2))</f>
        <v/>
      </c>
      <c r="M1829" s="19">
        <f>IF($C1829="","",ROUND(SUM(基础资料!$B$4:$B$13)+SUM($J$4:J1829)-SUM($K$4:K1829),2))</f>
        <v/>
      </c>
      <c r="N1829" s="13" t="n"/>
      <c r="O1829" s="13" t="n"/>
      <c r="P1829" s="17">
        <f>IF($B1829="","",IF($F1829="※类别不在基础资料里","※费用类别不在基础资料里",IF(AND(N($J1829)=0,N($K1829)=0),"※这行没填金额",IF(AND(N($J1829)&gt;0,N($K1829)&gt;0),"※收入和支出不能同一行都填",IF(AND($D1829="收入",N($J1829)=0),"※收入行要填收入金额",IF(AND($D1829="支出",N($K1829)=0),"※支出行要填支出金额",IF(AND($C1829&lt;&gt;"",ISNA(MATCH($C1829,账户表,0))),"※账户不在基础资料里",IF(AND($G1829&lt;&gt;"",ISNA(MATCH($G1829,项目名表,0))),"※项目不在项目台账里",IF(AND(LEFT($F1829,3)="成本-",$G1829=""),"※成本类支出没填项目",IF(AND(LEFT($F1829,3)="成本-",$H1829&lt;&gt;"",N($K1829)&gt;0,COUNTIFS(采购单!$B:$B,$B1829,采购单!$C:$C,$H1829,采购单!$L:$L,$K1829)&gt;0),"※这笔可能和采购单重复了",""))))))))))</f>
        <v/>
      </c>
    </row>
    <row r="1830">
      <c r="A1830" s="17">
        <f>IF($B1830="","",ROW()-3)</f>
        <v/>
      </c>
      <c r="B1830" s="18" t="n"/>
      <c r="C1830" s="13" t="n"/>
      <c r="D1830" s="13" t="n"/>
      <c r="E1830" s="13" t="n"/>
      <c r="F1830" s="17">
        <f>IF($E1830="","",IFERROR(VLOOKUP($E1830,类别归属,2,0),"※类别不在基础资料里"))</f>
        <v/>
      </c>
      <c r="G1830" s="13" t="n"/>
      <c r="H1830" s="13" t="n"/>
      <c r="I1830" s="13" t="n"/>
      <c r="J1830" s="14" t="n"/>
      <c r="K1830" s="14" t="n"/>
      <c r="L1830" s="19">
        <f>IF($C1830="","",ROUND(IFERROR(VLOOKUP($C1830,账户期初,2,0),0)+SUMIFS($J$4:J1830,$C$4:C1830,$C1830)-SUMIFS($K$4:K1830,$C$4:C1830,$C1830),2))</f>
        <v/>
      </c>
      <c r="M1830" s="19">
        <f>IF($C1830="","",ROUND(SUM(基础资料!$B$4:$B$13)+SUM($J$4:J1830)-SUM($K$4:K1830),2))</f>
        <v/>
      </c>
      <c r="N1830" s="13" t="n"/>
      <c r="O1830" s="13" t="n"/>
      <c r="P1830" s="17">
        <f>IF($B1830="","",IF($F1830="※类别不在基础资料里","※费用类别不在基础资料里",IF(AND(N($J1830)=0,N($K1830)=0),"※这行没填金额",IF(AND(N($J1830)&gt;0,N($K1830)&gt;0),"※收入和支出不能同一行都填",IF(AND($D1830="收入",N($J1830)=0),"※收入行要填收入金额",IF(AND($D1830="支出",N($K1830)=0),"※支出行要填支出金额",IF(AND($C1830&lt;&gt;"",ISNA(MATCH($C1830,账户表,0))),"※账户不在基础资料里",IF(AND($G1830&lt;&gt;"",ISNA(MATCH($G1830,项目名表,0))),"※项目不在项目台账里",IF(AND(LEFT($F1830,3)="成本-",$G1830=""),"※成本类支出没填项目",IF(AND(LEFT($F1830,3)="成本-",$H1830&lt;&gt;"",N($K1830)&gt;0,COUNTIFS(采购单!$B:$B,$B1830,采购单!$C:$C,$H1830,采购单!$L:$L,$K1830)&gt;0),"※这笔可能和采购单重复了",""))))))))))</f>
        <v/>
      </c>
    </row>
    <row r="1831">
      <c r="A1831" s="17">
        <f>IF($B1831="","",ROW()-3)</f>
        <v/>
      </c>
      <c r="B1831" s="18" t="n"/>
      <c r="C1831" s="13" t="n"/>
      <c r="D1831" s="13" t="n"/>
      <c r="E1831" s="13" t="n"/>
      <c r="F1831" s="17">
        <f>IF($E1831="","",IFERROR(VLOOKUP($E1831,类别归属,2,0),"※类别不在基础资料里"))</f>
        <v/>
      </c>
      <c r="G1831" s="13" t="n"/>
      <c r="H1831" s="13" t="n"/>
      <c r="I1831" s="13" t="n"/>
      <c r="J1831" s="14" t="n"/>
      <c r="K1831" s="14" t="n"/>
      <c r="L1831" s="19">
        <f>IF($C1831="","",ROUND(IFERROR(VLOOKUP($C1831,账户期初,2,0),0)+SUMIFS($J$4:J1831,$C$4:C1831,$C1831)-SUMIFS($K$4:K1831,$C$4:C1831,$C1831),2))</f>
        <v/>
      </c>
      <c r="M1831" s="19">
        <f>IF($C1831="","",ROUND(SUM(基础资料!$B$4:$B$13)+SUM($J$4:J1831)-SUM($K$4:K1831),2))</f>
        <v/>
      </c>
      <c r="N1831" s="13" t="n"/>
      <c r="O1831" s="13" t="n"/>
      <c r="P1831" s="17">
        <f>IF($B1831="","",IF($F1831="※类别不在基础资料里","※费用类别不在基础资料里",IF(AND(N($J1831)=0,N($K1831)=0),"※这行没填金额",IF(AND(N($J1831)&gt;0,N($K1831)&gt;0),"※收入和支出不能同一行都填",IF(AND($D1831="收入",N($J1831)=0),"※收入行要填收入金额",IF(AND($D1831="支出",N($K1831)=0),"※支出行要填支出金额",IF(AND($C1831&lt;&gt;"",ISNA(MATCH($C1831,账户表,0))),"※账户不在基础资料里",IF(AND($G1831&lt;&gt;"",ISNA(MATCH($G1831,项目名表,0))),"※项目不在项目台账里",IF(AND(LEFT($F1831,3)="成本-",$G1831=""),"※成本类支出没填项目",IF(AND(LEFT($F1831,3)="成本-",$H1831&lt;&gt;"",N($K1831)&gt;0,COUNTIFS(采购单!$B:$B,$B1831,采购单!$C:$C,$H1831,采购单!$L:$L,$K1831)&gt;0),"※这笔可能和采购单重复了",""))))))))))</f>
        <v/>
      </c>
    </row>
    <row r="1832">
      <c r="A1832" s="17">
        <f>IF($B1832="","",ROW()-3)</f>
        <v/>
      </c>
      <c r="B1832" s="18" t="n"/>
      <c r="C1832" s="13" t="n"/>
      <c r="D1832" s="13" t="n"/>
      <c r="E1832" s="13" t="n"/>
      <c r="F1832" s="17">
        <f>IF($E1832="","",IFERROR(VLOOKUP($E1832,类别归属,2,0),"※类别不在基础资料里"))</f>
        <v/>
      </c>
      <c r="G1832" s="13" t="n"/>
      <c r="H1832" s="13" t="n"/>
      <c r="I1832" s="13" t="n"/>
      <c r="J1832" s="14" t="n"/>
      <c r="K1832" s="14" t="n"/>
      <c r="L1832" s="19">
        <f>IF($C1832="","",ROUND(IFERROR(VLOOKUP($C1832,账户期初,2,0),0)+SUMIFS($J$4:J1832,$C$4:C1832,$C1832)-SUMIFS($K$4:K1832,$C$4:C1832,$C1832),2))</f>
        <v/>
      </c>
      <c r="M1832" s="19">
        <f>IF($C1832="","",ROUND(SUM(基础资料!$B$4:$B$13)+SUM($J$4:J1832)-SUM($K$4:K1832),2))</f>
        <v/>
      </c>
      <c r="N1832" s="13" t="n"/>
      <c r="O1832" s="13" t="n"/>
      <c r="P1832" s="17">
        <f>IF($B1832="","",IF($F1832="※类别不在基础资料里","※费用类别不在基础资料里",IF(AND(N($J1832)=0,N($K1832)=0),"※这行没填金额",IF(AND(N($J1832)&gt;0,N($K1832)&gt;0),"※收入和支出不能同一行都填",IF(AND($D1832="收入",N($J1832)=0),"※收入行要填收入金额",IF(AND($D1832="支出",N($K1832)=0),"※支出行要填支出金额",IF(AND($C1832&lt;&gt;"",ISNA(MATCH($C1832,账户表,0))),"※账户不在基础资料里",IF(AND($G1832&lt;&gt;"",ISNA(MATCH($G1832,项目名表,0))),"※项目不在项目台账里",IF(AND(LEFT($F1832,3)="成本-",$G1832=""),"※成本类支出没填项目",IF(AND(LEFT($F1832,3)="成本-",$H1832&lt;&gt;"",N($K1832)&gt;0,COUNTIFS(采购单!$B:$B,$B1832,采购单!$C:$C,$H1832,采购单!$L:$L,$K1832)&gt;0),"※这笔可能和采购单重复了",""))))))))))</f>
        <v/>
      </c>
    </row>
    <row r="1833">
      <c r="A1833" s="17">
        <f>IF($B1833="","",ROW()-3)</f>
        <v/>
      </c>
      <c r="B1833" s="18" t="n"/>
      <c r="C1833" s="13" t="n"/>
      <c r="D1833" s="13" t="n"/>
      <c r="E1833" s="13" t="n"/>
      <c r="F1833" s="17">
        <f>IF($E1833="","",IFERROR(VLOOKUP($E1833,类别归属,2,0),"※类别不在基础资料里"))</f>
        <v/>
      </c>
      <c r="G1833" s="13" t="n"/>
      <c r="H1833" s="13" t="n"/>
      <c r="I1833" s="13" t="n"/>
      <c r="J1833" s="14" t="n"/>
      <c r="K1833" s="14" t="n"/>
      <c r="L1833" s="19">
        <f>IF($C1833="","",ROUND(IFERROR(VLOOKUP($C1833,账户期初,2,0),0)+SUMIFS($J$4:J1833,$C$4:C1833,$C1833)-SUMIFS($K$4:K1833,$C$4:C1833,$C1833),2))</f>
        <v/>
      </c>
      <c r="M1833" s="19">
        <f>IF($C1833="","",ROUND(SUM(基础资料!$B$4:$B$13)+SUM($J$4:J1833)-SUM($K$4:K1833),2))</f>
        <v/>
      </c>
      <c r="N1833" s="13" t="n"/>
      <c r="O1833" s="13" t="n"/>
      <c r="P1833" s="17">
        <f>IF($B1833="","",IF($F1833="※类别不在基础资料里","※费用类别不在基础资料里",IF(AND(N($J1833)=0,N($K1833)=0),"※这行没填金额",IF(AND(N($J1833)&gt;0,N($K1833)&gt;0),"※收入和支出不能同一行都填",IF(AND($D1833="收入",N($J1833)=0),"※收入行要填收入金额",IF(AND($D1833="支出",N($K1833)=0),"※支出行要填支出金额",IF(AND($C1833&lt;&gt;"",ISNA(MATCH($C1833,账户表,0))),"※账户不在基础资料里",IF(AND($G1833&lt;&gt;"",ISNA(MATCH($G1833,项目名表,0))),"※项目不在项目台账里",IF(AND(LEFT($F1833,3)="成本-",$G1833=""),"※成本类支出没填项目",IF(AND(LEFT($F1833,3)="成本-",$H1833&lt;&gt;"",N($K1833)&gt;0,COUNTIFS(采购单!$B:$B,$B1833,采购单!$C:$C,$H1833,采购单!$L:$L,$K1833)&gt;0),"※这笔可能和采购单重复了",""))))))))))</f>
        <v/>
      </c>
    </row>
    <row r="1834">
      <c r="A1834" s="17">
        <f>IF($B1834="","",ROW()-3)</f>
        <v/>
      </c>
      <c r="B1834" s="18" t="n"/>
      <c r="C1834" s="13" t="n"/>
      <c r="D1834" s="13" t="n"/>
      <c r="E1834" s="13" t="n"/>
      <c r="F1834" s="17">
        <f>IF($E1834="","",IFERROR(VLOOKUP($E1834,类别归属,2,0),"※类别不在基础资料里"))</f>
        <v/>
      </c>
      <c r="G1834" s="13" t="n"/>
      <c r="H1834" s="13" t="n"/>
      <c r="I1834" s="13" t="n"/>
      <c r="J1834" s="14" t="n"/>
      <c r="K1834" s="14" t="n"/>
      <c r="L1834" s="19">
        <f>IF($C1834="","",ROUND(IFERROR(VLOOKUP($C1834,账户期初,2,0),0)+SUMIFS($J$4:J1834,$C$4:C1834,$C1834)-SUMIFS($K$4:K1834,$C$4:C1834,$C1834),2))</f>
        <v/>
      </c>
      <c r="M1834" s="19">
        <f>IF($C1834="","",ROUND(SUM(基础资料!$B$4:$B$13)+SUM($J$4:J1834)-SUM($K$4:K1834),2))</f>
        <v/>
      </c>
      <c r="N1834" s="13" t="n"/>
      <c r="O1834" s="13" t="n"/>
      <c r="P1834" s="17">
        <f>IF($B1834="","",IF($F1834="※类别不在基础资料里","※费用类别不在基础资料里",IF(AND(N($J1834)=0,N($K1834)=0),"※这行没填金额",IF(AND(N($J1834)&gt;0,N($K1834)&gt;0),"※收入和支出不能同一行都填",IF(AND($D1834="收入",N($J1834)=0),"※收入行要填收入金额",IF(AND($D1834="支出",N($K1834)=0),"※支出行要填支出金额",IF(AND($C1834&lt;&gt;"",ISNA(MATCH($C1834,账户表,0))),"※账户不在基础资料里",IF(AND($G1834&lt;&gt;"",ISNA(MATCH($G1834,项目名表,0))),"※项目不在项目台账里",IF(AND(LEFT($F1834,3)="成本-",$G1834=""),"※成本类支出没填项目",IF(AND(LEFT($F1834,3)="成本-",$H1834&lt;&gt;"",N($K1834)&gt;0,COUNTIFS(采购单!$B:$B,$B1834,采购单!$C:$C,$H1834,采购单!$L:$L,$K1834)&gt;0),"※这笔可能和采购单重复了",""))))))))))</f>
        <v/>
      </c>
    </row>
    <row r="1835">
      <c r="A1835" s="17">
        <f>IF($B1835="","",ROW()-3)</f>
        <v/>
      </c>
      <c r="B1835" s="18" t="n"/>
      <c r="C1835" s="13" t="n"/>
      <c r="D1835" s="13" t="n"/>
      <c r="E1835" s="13" t="n"/>
      <c r="F1835" s="17">
        <f>IF($E1835="","",IFERROR(VLOOKUP($E1835,类别归属,2,0),"※类别不在基础资料里"))</f>
        <v/>
      </c>
      <c r="G1835" s="13" t="n"/>
      <c r="H1835" s="13" t="n"/>
      <c r="I1835" s="13" t="n"/>
      <c r="J1835" s="14" t="n"/>
      <c r="K1835" s="14" t="n"/>
      <c r="L1835" s="19">
        <f>IF($C1835="","",ROUND(IFERROR(VLOOKUP($C1835,账户期初,2,0),0)+SUMIFS($J$4:J1835,$C$4:C1835,$C1835)-SUMIFS($K$4:K1835,$C$4:C1835,$C1835),2))</f>
        <v/>
      </c>
      <c r="M1835" s="19">
        <f>IF($C1835="","",ROUND(SUM(基础资料!$B$4:$B$13)+SUM($J$4:J1835)-SUM($K$4:K1835),2))</f>
        <v/>
      </c>
      <c r="N1835" s="13" t="n"/>
      <c r="O1835" s="13" t="n"/>
      <c r="P1835" s="17">
        <f>IF($B1835="","",IF($F1835="※类别不在基础资料里","※费用类别不在基础资料里",IF(AND(N($J1835)=0,N($K1835)=0),"※这行没填金额",IF(AND(N($J1835)&gt;0,N($K1835)&gt;0),"※收入和支出不能同一行都填",IF(AND($D1835="收入",N($J1835)=0),"※收入行要填收入金额",IF(AND($D1835="支出",N($K1835)=0),"※支出行要填支出金额",IF(AND($C1835&lt;&gt;"",ISNA(MATCH($C1835,账户表,0))),"※账户不在基础资料里",IF(AND($G1835&lt;&gt;"",ISNA(MATCH($G1835,项目名表,0))),"※项目不在项目台账里",IF(AND(LEFT($F1835,3)="成本-",$G1835=""),"※成本类支出没填项目",IF(AND(LEFT($F1835,3)="成本-",$H1835&lt;&gt;"",N($K1835)&gt;0,COUNTIFS(采购单!$B:$B,$B1835,采购单!$C:$C,$H1835,采购单!$L:$L,$K1835)&gt;0),"※这笔可能和采购单重复了",""))))))))))</f>
        <v/>
      </c>
    </row>
    <row r="1836">
      <c r="A1836" s="17">
        <f>IF($B1836="","",ROW()-3)</f>
        <v/>
      </c>
      <c r="B1836" s="18" t="n"/>
      <c r="C1836" s="13" t="n"/>
      <c r="D1836" s="13" t="n"/>
      <c r="E1836" s="13" t="n"/>
      <c r="F1836" s="17">
        <f>IF($E1836="","",IFERROR(VLOOKUP($E1836,类别归属,2,0),"※类别不在基础资料里"))</f>
        <v/>
      </c>
      <c r="G1836" s="13" t="n"/>
      <c r="H1836" s="13" t="n"/>
      <c r="I1836" s="13" t="n"/>
      <c r="J1836" s="14" t="n"/>
      <c r="K1836" s="14" t="n"/>
      <c r="L1836" s="19">
        <f>IF($C1836="","",ROUND(IFERROR(VLOOKUP($C1836,账户期初,2,0),0)+SUMIFS($J$4:J1836,$C$4:C1836,$C1836)-SUMIFS($K$4:K1836,$C$4:C1836,$C1836),2))</f>
        <v/>
      </c>
      <c r="M1836" s="19">
        <f>IF($C1836="","",ROUND(SUM(基础资料!$B$4:$B$13)+SUM($J$4:J1836)-SUM($K$4:K1836),2))</f>
        <v/>
      </c>
      <c r="N1836" s="13" t="n"/>
      <c r="O1836" s="13" t="n"/>
      <c r="P1836" s="17">
        <f>IF($B1836="","",IF($F1836="※类别不在基础资料里","※费用类别不在基础资料里",IF(AND(N($J1836)=0,N($K1836)=0),"※这行没填金额",IF(AND(N($J1836)&gt;0,N($K1836)&gt;0),"※收入和支出不能同一行都填",IF(AND($D1836="收入",N($J1836)=0),"※收入行要填收入金额",IF(AND($D1836="支出",N($K1836)=0),"※支出行要填支出金额",IF(AND($C1836&lt;&gt;"",ISNA(MATCH($C1836,账户表,0))),"※账户不在基础资料里",IF(AND($G1836&lt;&gt;"",ISNA(MATCH($G1836,项目名表,0))),"※项目不在项目台账里",IF(AND(LEFT($F1836,3)="成本-",$G1836=""),"※成本类支出没填项目",IF(AND(LEFT($F1836,3)="成本-",$H1836&lt;&gt;"",N($K1836)&gt;0,COUNTIFS(采购单!$B:$B,$B1836,采购单!$C:$C,$H1836,采购单!$L:$L,$K1836)&gt;0),"※这笔可能和采购单重复了",""))))))))))</f>
        <v/>
      </c>
    </row>
    <row r="1837">
      <c r="A1837" s="17">
        <f>IF($B1837="","",ROW()-3)</f>
        <v/>
      </c>
      <c r="B1837" s="18" t="n"/>
      <c r="C1837" s="13" t="n"/>
      <c r="D1837" s="13" t="n"/>
      <c r="E1837" s="13" t="n"/>
      <c r="F1837" s="17">
        <f>IF($E1837="","",IFERROR(VLOOKUP($E1837,类别归属,2,0),"※类别不在基础资料里"))</f>
        <v/>
      </c>
      <c r="G1837" s="13" t="n"/>
      <c r="H1837" s="13" t="n"/>
      <c r="I1837" s="13" t="n"/>
      <c r="J1837" s="14" t="n"/>
      <c r="K1837" s="14" t="n"/>
      <c r="L1837" s="19">
        <f>IF($C1837="","",ROUND(IFERROR(VLOOKUP($C1837,账户期初,2,0),0)+SUMIFS($J$4:J1837,$C$4:C1837,$C1837)-SUMIFS($K$4:K1837,$C$4:C1837,$C1837),2))</f>
        <v/>
      </c>
      <c r="M1837" s="19">
        <f>IF($C1837="","",ROUND(SUM(基础资料!$B$4:$B$13)+SUM($J$4:J1837)-SUM($K$4:K1837),2))</f>
        <v/>
      </c>
      <c r="N1837" s="13" t="n"/>
      <c r="O1837" s="13" t="n"/>
      <c r="P1837" s="17">
        <f>IF($B1837="","",IF($F1837="※类别不在基础资料里","※费用类别不在基础资料里",IF(AND(N($J1837)=0,N($K1837)=0),"※这行没填金额",IF(AND(N($J1837)&gt;0,N($K1837)&gt;0),"※收入和支出不能同一行都填",IF(AND($D1837="收入",N($J1837)=0),"※收入行要填收入金额",IF(AND($D1837="支出",N($K1837)=0),"※支出行要填支出金额",IF(AND($C1837&lt;&gt;"",ISNA(MATCH($C1837,账户表,0))),"※账户不在基础资料里",IF(AND($G1837&lt;&gt;"",ISNA(MATCH($G1837,项目名表,0))),"※项目不在项目台账里",IF(AND(LEFT($F1837,3)="成本-",$G1837=""),"※成本类支出没填项目",IF(AND(LEFT($F1837,3)="成本-",$H1837&lt;&gt;"",N($K1837)&gt;0,COUNTIFS(采购单!$B:$B,$B1837,采购单!$C:$C,$H1837,采购单!$L:$L,$K1837)&gt;0),"※这笔可能和采购单重复了",""))))))))))</f>
        <v/>
      </c>
    </row>
    <row r="1838">
      <c r="A1838" s="17">
        <f>IF($B1838="","",ROW()-3)</f>
        <v/>
      </c>
      <c r="B1838" s="18" t="n"/>
      <c r="C1838" s="13" t="n"/>
      <c r="D1838" s="13" t="n"/>
      <c r="E1838" s="13" t="n"/>
      <c r="F1838" s="17">
        <f>IF($E1838="","",IFERROR(VLOOKUP($E1838,类别归属,2,0),"※类别不在基础资料里"))</f>
        <v/>
      </c>
      <c r="G1838" s="13" t="n"/>
      <c r="H1838" s="13" t="n"/>
      <c r="I1838" s="13" t="n"/>
      <c r="J1838" s="14" t="n"/>
      <c r="K1838" s="14" t="n"/>
      <c r="L1838" s="19">
        <f>IF($C1838="","",ROUND(IFERROR(VLOOKUP($C1838,账户期初,2,0),0)+SUMIFS($J$4:J1838,$C$4:C1838,$C1838)-SUMIFS($K$4:K1838,$C$4:C1838,$C1838),2))</f>
        <v/>
      </c>
      <c r="M1838" s="19">
        <f>IF($C1838="","",ROUND(SUM(基础资料!$B$4:$B$13)+SUM($J$4:J1838)-SUM($K$4:K1838),2))</f>
        <v/>
      </c>
      <c r="N1838" s="13" t="n"/>
      <c r="O1838" s="13" t="n"/>
      <c r="P1838" s="17">
        <f>IF($B1838="","",IF($F1838="※类别不在基础资料里","※费用类别不在基础资料里",IF(AND(N($J1838)=0,N($K1838)=0),"※这行没填金额",IF(AND(N($J1838)&gt;0,N($K1838)&gt;0),"※收入和支出不能同一行都填",IF(AND($D1838="收入",N($J1838)=0),"※收入行要填收入金额",IF(AND($D1838="支出",N($K1838)=0),"※支出行要填支出金额",IF(AND($C1838&lt;&gt;"",ISNA(MATCH($C1838,账户表,0))),"※账户不在基础资料里",IF(AND($G1838&lt;&gt;"",ISNA(MATCH($G1838,项目名表,0))),"※项目不在项目台账里",IF(AND(LEFT($F1838,3)="成本-",$G1838=""),"※成本类支出没填项目",IF(AND(LEFT($F1838,3)="成本-",$H1838&lt;&gt;"",N($K1838)&gt;0,COUNTIFS(采购单!$B:$B,$B1838,采购单!$C:$C,$H1838,采购单!$L:$L,$K1838)&gt;0),"※这笔可能和采购单重复了",""))))))))))</f>
        <v/>
      </c>
    </row>
    <row r="1839">
      <c r="A1839" s="17">
        <f>IF($B1839="","",ROW()-3)</f>
        <v/>
      </c>
      <c r="B1839" s="18" t="n"/>
      <c r="C1839" s="13" t="n"/>
      <c r="D1839" s="13" t="n"/>
      <c r="E1839" s="13" t="n"/>
      <c r="F1839" s="17">
        <f>IF($E1839="","",IFERROR(VLOOKUP($E1839,类别归属,2,0),"※类别不在基础资料里"))</f>
        <v/>
      </c>
      <c r="G1839" s="13" t="n"/>
      <c r="H1839" s="13" t="n"/>
      <c r="I1839" s="13" t="n"/>
      <c r="J1839" s="14" t="n"/>
      <c r="K1839" s="14" t="n"/>
      <c r="L1839" s="19">
        <f>IF($C1839="","",ROUND(IFERROR(VLOOKUP($C1839,账户期初,2,0),0)+SUMIFS($J$4:J1839,$C$4:C1839,$C1839)-SUMIFS($K$4:K1839,$C$4:C1839,$C1839),2))</f>
        <v/>
      </c>
      <c r="M1839" s="19">
        <f>IF($C1839="","",ROUND(SUM(基础资料!$B$4:$B$13)+SUM($J$4:J1839)-SUM($K$4:K1839),2))</f>
        <v/>
      </c>
      <c r="N1839" s="13" t="n"/>
      <c r="O1839" s="13" t="n"/>
      <c r="P1839" s="17">
        <f>IF($B1839="","",IF($F1839="※类别不在基础资料里","※费用类别不在基础资料里",IF(AND(N($J1839)=0,N($K1839)=0),"※这行没填金额",IF(AND(N($J1839)&gt;0,N($K1839)&gt;0),"※收入和支出不能同一行都填",IF(AND($D1839="收入",N($J1839)=0),"※收入行要填收入金额",IF(AND($D1839="支出",N($K1839)=0),"※支出行要填支出金额",IF(AND($C1839&lt;&gt;"",ISNA(MATCH($C1839,账户表,0))),"※账户不在基础资料里",IF(AND($G1839&lt;&gt;"",ISNA(MATCH($G1839,项目名表,0))),"※项目不在项目台账里",IF(AND(LEFT($F1839,3)="成本-",$G1839=""),"※成本类支出没填项目",IF(AND(LEFT($F1839,3)="成本-",$H1839&lt;&gt;"",N($K1839)&gt;0,COUNTIFS(采购单!$B:$B,$B1839,采购单!$C:$C,$H1839,采购单!$L:$L,$K1839)&gt;0),"※这笔可能和采购单重复了",""))))))))))</f>
        <v/>
      </c>
    </row>
    <row r="1840">
      <c r="A1840" s="17">
        <f>IF($B1840="","",ROW()-3)</f>
        <v/>
      </c>
      <c r="B1840" s="18" t="n"/>
      <c r="C1840" s="13" t="n"/>
      <c r="D1840" s="13" t="n"/>
      <c r="E1840" s="13" t="n"/>
      <c r="F1840" s="17">
        <f>IF($E1840="","",IFERROR(VLOOKUP($E1840,类别归属,2,0),"※类别不在基础资料里"))</f>
        <v/>
      </c>
      <c r="G1840" s="13" t="n"/>
      <c r="H1840" s="13" t="n"/>
      <c r="I1840" s="13" t="n"/>
      <c r="J1840" s="14" t="n"/>
      <c r="K1840" s="14" t="n"/>
      <c r="L1840" s="19">
        <f>IF($C1840="","",ROUND(IFERROR(VLOOKUP($C1840,账户期初,2,0),0)+SUMIFS($J$4:J1840,$C$4:C1840,$C1840)-SUMIFS($K$4:K1840,$C$4:C1840,$C1840),2))</f>
        <v/>
      </c>
      <c r="M1840" s="19">
        <f>IF($C1840="","",ROUND(SUM(基础资料!$B$4:$B$13)+SUM($J$4:J1840)-SUM($K$4:K1840),2))</f>
        <v/>
      </c>
      <c r="N1840" s="13" t="n"/>
      <c r="O1840" s="13" t="n"/>
      <c r="P1840" s="17">
        <f>IF($B1840="","",IF($F1840="※类别不在基础资料里","※费用类别不在基础资料里",IF(AND(N($J1840)=0,N($K1840)=0),"※这行没填金额",IF(AND(N($J1840)&gt;0,N($K1840)&gt;0),"※收入和支出不能同一行都填",IF(AND($D1840="收入",N($J1840)=0),"※收入行要填收入金额",IF(AND($D1840="支出",N($K1840)=0),"※支出行要填支出金额",IF(AND($C1840&lt;&gt;"",ISNA(MATCH($C1840,账户表,0))),"※账户不在基础资料里",IF(AND($G1840&lt;&gt;"",ISNA(MATCH($G1840,项目名表,0))),"※项目不在项目台账里",IF(AND(LEFT($F1840,3)="成本-",$G1840=""),"※成本类支出没填项目",IF(AND(LEFT($F1840,3)="成本-",$H1840&lt;&gt;"",N($K1840)&gt;0,COUNTIFS(采购单!$B:$B,$B1840,采购单!$C:$C,$H1840,采购单!$L:$L,$K1840)&gt;0),"※这笔可能和采购单重复了",""))))))))))</f>
        <v/>
      </c>
    </row>
    <row r="1841">
      <c r="A1841" s="17">
        <f>IF($B1841="","",ROW()-3)</f>
        <v/>
      </c>
      <c r="B1841" s="18" t="n"/>
      <c r="C1841" s="13" t="n"/>
      <c r="D1841" s="13" t="n"/>
      <c r="E1841" s="13" t="n"/>
      <c r="F1841" s="17">
        <f>IF($E1841="","",IFERROR(VLOOKUP($E1841,类别归属,2,0),"※类别不在基础资料里"))</f>
        <v/>
      </c>
      <c r="G1841" s="13" t="n"/>
      <c r="H1841" s="13" t="n"/>
      <c r="I1841" s="13" t="n"/>
      <c r="J1841" s="14" t="n"/>
      <c r="K1841" s="14" t="n"/>
      <c r="L1841" s="19">
        <f>IF($C1841="","",ROUND(IFERROR(VLOOKUP($C1841,账户期初,2,0),0)+SUMIFS($J$4:J1841,$C$4:C1841,$C1841)-SUMIFS($K$4:K1841,$C$4:C1841,$C1841),2))</f>
        <v/>
      </c>
      <c r="M1841" s="19">
        <f>IF($C1841="","",ROUND(SUM(基础资料!$B$4:$B$13)+SUM($J$4:J1841)-SUM($K$4:K1841),2))</f>
        <v/>
      </c>
      <c r="N1841" s="13" t="n"/>
      <c r="O1841" s="13" t="n"/>
      <c r="P1841" s="17">
        <f>IF($B1841="","",IF($F1841="※类别不在基础资料里","※费用类别不在基础资料里",IF(AND(N($J1841)=0,N($K1841)=0),"※这行没填金额",IF(AND(N($J1841)&gt;0,N($K1841)&gt;0),"※收入和支出不能同一行都填",IF(AND($D1841="收入",N($J1841)=0),"※收入行要填收入金额",IF(AND($D1841="支出",N($K1841)=0),"※支出行要填支出金额",IF(AND($C1841&lt;&gt;"",ISNA(MATCH($C1841,账户表,0))),"※账户不在基础资料里",IF(AND($G1841&lt;&gt;"",ISNA(MATCH($G1841,项目名表,0))),"※项目不在项目台账里",IF(AND(LEFT($F1841,3)="成本-",$G1841=""),"※成本类支出没填项目",IF(AND(LEFT($F1841,3)="成本-",$H1841&lt;&gt;"",N($K1841)&gt;0,COUNTIFS(采购单!$B:$B,$B1841,采购单!$C:$C,$H1841,采购单!$L:$L,$K1841)&gt;0),"※这笔可能和采购单重复了",""))))))))))</f>
        <v/>
      </c>
    </row>
    <row r="1842">
      <c r="A1842" s="17">
        <f>IF($B1842="","",ROW()-3)</f>
        <v/>
      </c>
      <c r="B1842" s="18" t="n"/>
      <c r="C1842" s="13" t="n"/>
      <c r="D1842" s="13" t="n"/>
      <c r="E1842" s="13" t="n"/>
      <c r="F1842" s="17">
        <f>IF($E1842="","",IFERROR(VLOOKUP($E1842,类别归属,2,0),"※类别不在基础资料里"))</f>
        <v/>
      </c>
      <c r="G1842" s="13" t="n"/>
      <c r="H1842" s="13" t="n"/>
      <c r="I1842" s="13" t="n"/>
      <c r="J1842" s="14" t="n"/>
      <c r="K1842" s="14" t="n"/>
      <c r="L1842" s="19">
        <f>IF($C1842="","",ROUND(IFERROR(VLOOKUP($C1842,账户期初,2,0),0)+SUMIFS($J$4:J1842,$C$4:C1842,$C1842)-SUMIFS($K$4:K1842,$C$4:C1842,$C1842),2))</f>
        <v/>
      </c>
      <c r="M1842" s="19">
        <f>IF($C1842="","",ROUND(SUM(基础资料!$B$4:$B$13)+SUM($J$4:J1842)-SUM($K$4:K1842),2))</f>
        <v/>
      </c>
      <c r="N1842" s="13" t="n"/>
      <c r="O1842" s="13" t="n"/>
      <c r="P1842" s="17">
        <f>IF($B1842="","",IF($F1842="※类别不在基础资料里","※费用类别不在基础资料里",IF(AND(N($J1842)=0,N($K1842)=0),"※这行没填金额",IF(AND(N($J1842)&gt;0,N($K1842)&gt;0),"※收入和支出不能同一行都填",IF(AND($D1842="收入",N($J1842)=0),"※收入行要填收入金额",IF(AND($D1842="支出",N($K1842)=0),"※支出行要填支出金额",IF(AND($C1842&lt;&gt;"",ISNA(MATCH($C1842,账户表,0))),"※账户不在基础资料里",IF(AND($G1842&lt;&gt;"",ISNA(MATCH($G1842,项目名表,0))),"※项目不在项目台账里",IF(AND(LEFT($F1842,3)="成本-",$G1842=""),"※成本类支出没填项目",IF(AND(LEFT($F1842,3)="成本-",$H1842&lt;&gt;"",N($K1842)&gt;0,COUNTIFS(采购单!$B:$B,$B1842,采购单!$C:$C,$H1842,采购单!$L:$L,$K1842)&gt;0),"※这笔可能和采购单重复了",""))))))))))</f>
        <v/>
      </c>
    </row>
    <row r="1843">
      <c r="A1843" s="17">
        <f>IF($B1843="","",ROW()-3)</f>
        <v/>
      </c>
      <c r="B1843" s="18" t="n"/>
      <c r="C1843" s="13" t="n"/>
      <c r="D1843" s="13" t="n"/>
      <c r="E1843" s="13" t="n"/>
      <c r="F1843" s="17">
        <f>IF($E1843="","",IFERROR(VLOOKUP($E1843,类别归属,2,0),"※类别不在基础资料里"))</f>
        <v/>
      </c>
      <c r="G1843" s="13" t="n"/>
      <c r="H1843" s="13" t="n"/>
      <c r="I1843" s="13" t="n"/>
      <c r="J1843" s="14" t="n"/>
      <c r="K1843" s="14" t="n"/>
      <c r="L1843" s="19">
        <f>IF($C1843="","",ROUND(IFERROR(VLOOKUP($C1843,账户期初,2,0),0)+SUMIFS($J$4:J1843,$C$4:C1843,$C1843)-SUMIFS($K$4:K1843,$C$4:C1843,$C1843),2))</f>
        <v/>
      </c>
      <c r="M1843" s="19">
        <f>IF($C1843="","",ROUND(SUM(基础资料!$B$4:$B$13)+SUM($J$4:J1843)-SUM($K$4:K1843),2))</f>
        <v/>
      </c>
      <c r="N1843" s="13" t="n"/>
      <c r="O1843" s="13" t="n"/>
      <c r="P1843" s="17">
        <f>IF($B1843="","",IF($F1843="※类别不在基础资料里","※费用类别不在基础资料里",IF(AND(N($J1843)=0,N($K1843)=0),"※这行没填金额",IF(AND(N($J1843)&gt;0,N($K1843)&gt;0),"※收入和支出不能同一行都填",IF(AND($D1843="收入",N($J1843)=0),"※收入行要填收入金额",IF(AND($D1843="支出",N($K1843)=0),"※支出行要填支出金额",IF(AND($C1843&lt;&gt;"",ISNA(MATCH($C1843,账户表,0))),"※账户不在基础资料里",IF(AND($G1843&lt;&gt;"",ISNA(MATCH($G1843,项目名表,0))),"※项目不在项目台账里",IF(AND(LEFT($F1843,3)="成本-",$G1843=""),"※成本类支出没填项目",IF(AND(LEFT($F1843,3)="成本-",$H1843&lt;&gt;"",N($K1843)&gt;0,COUNTIFS(采购单!$B:$B,$B1843,采购单!$C:$C,$H1843,采购单!$L:$L,$K1843)&gt;0),"※这笔可能和采购单重复了",""))))))))))</f>
        <v/>
      </c>
    </row>
    <row r="1844">
      <c r="A1844" s="17">
        <f>IF($B1844="","",ROW()-3)</f>
        <v/>
      </c>
      <c r="B1844" s="18" t="n"/>
      <c r="C1844" s="13" t="n"/>
      <c r="D1844" s="13" t="n"/>
      <c r="E1844" s="13" t="n"/>
      <c r="F1844" s="17">
        <f>IF($E1844="","",IFERROR(VLOOKUP($E1844,类别归属,2,0),"※类别不在基础资料里"))</f>
        <v/>
      </c>
      <c r="G1844" s="13" t="n"/>
      <c r="H1844" s="13" t="n"/>
      <c r="I1844" s="13" t="n"/>
      <c r="J1844" s="14" t="n"/>
      <c r="K1844" s="14" t="n"/>
      <c r="L1844" s="19">
        <f>IF($C1844="","",ROUND(IFERROR(VLOOKUP($C1844,账户期初,2,0),0)+SUMIFS($J$4:J1844,$C$4:C1844,$C1844)-SUMIFS($K$4:K1844,$C$4:C1844,$C1844),2))</f>
        <v/>
      </c>
      <c r="M1844" s="19">
        <f>IF($C1844="","",ROUND(SUM(基础资料!$B$4:$B$13)+SUM($J$4:J1844)-SUM($K$4:K1844),2))</f>
        <v/>
      </c>
      <c r="N1844" s="13" t="n"/>
      <c r="O1844" s="13" t="n"/>
      <c r="P1844" s="17">
        <f>IF($B1844="","",IF($F1844="※类别不在基础资料里","※费用类别不在基础资料里",IF(AND(N($J1844)=0,N($K1844)=0),"※这行没填金额",IF(AND(N($J1844)&gt;0,N($K1844)&gt;0),"※收入和支出不能同一行都填",IF(AND($D1844="收入",N($J1844)=0),"※收入行要填收入金额",IF(AND($D1844="支出",N($K1844)=0),"※支出行要填支出金额",IF(AND($C1844&lt;&gt;"",ISNA(MATCH($C1844,账户表,0))),"※账户不在基础资料里",IF(AND($G1844&lt;&gt;"",ISNA(MATCH($G1844,项目名表,0))),"※项目不在项目台账里",IF(AND(LEFT($F1844,3)="成本-",$G1844=""),"※成本类支出没填项目",IF(AND(LEFT($F1844,3)="成本-",$H1844&lt;&gt;"",N($K1844)&gt;0,COUNTIFS(采购单!$B:$B,$B1844,采购单!$C:$C,$H1844,采购单!$L:$L,$K1844)&gt;0),"※这笔可能和采购单重复了",""))))))))))</f>
        <v/>
      </c>
    </row>
    <row r="1845">
      <c r="A1845" s="17">
        <f>IF($B1845="","",ROW()-3)</f>
        <v/>
      </c>
      <c r="B1845" s="18" t="n"/>
      <c r="C1845" s="13" t="n"/>
      <c r="D1845" s="13" t="n"/>
      <c r="E1845" s="13" t="n"/>
      <c r="F1845" s="17">
        <f>IF($E1845="","",IFERROR(VLOOKUP($E1845,类别归属,2,0),"※类别不在基础资料里"))</f>
        <v/>
      </c>
      <c r="G1845" s="13" t="n"/>
      <c r="H1845" s="13" t="n"/>
      <c r="I1845" s="13" t="n"/>
      <c r="J1845" s="14" t="n"/>
      <c r="K1845" s="14" t="n"/>
      <c r="L1845" s="19">
        <f>IF($C1845="","",ROUND(IFERROR(VLOOKUP($C1845,账户期初,2,0),0)+SUMIFS($J$4:J1845,$C$4:C1845,$C1845)-SUMIFS($K$4:K1845,$C$4:C1845,$C1845),2))</f>
        <v/>
      </c>
      <c r="M1845" s="19">
        <f>IF($C1845="","",ROUND(SUM(基础资料!$B$4:$B$13)+SUM($J$4:J1845)-SUM($K$4:K1845),2))</f>
        <v/>
      </c>
      <c r="N1845" s="13" t="n"/>
      <c r="O1845" s="13" t="n"/>
      <c r="P1845" s="17">
        <f>IF($B1845="","",IF($F1845="※类别不在基础资料里","※费用类别不在基础资料里",IF(AND(N($J1845)=0,N($K1845)=0),"※这行没填金额",IF(AND(N($J1845)&gt;0,N($K1845)&gt;0),"※收入和支出不能同一行都填",IF(AND($D1845="收入",N($J1845)=0),"※收入行要填收入金额",IF(AND($D1845="支出",N($K1845)=0),"※支出行要填支出金额",IF(AND($C1845&lt;&gt;"",ISNA(MATCH($C1845,账户表,0))),"※账户不在基础资料里",IF(AND($G1845&lt;&gt;"",ISNA(MATCH($G1845,项目名表,0))),"※项目不在项目台账里",IF(AND(LEFT($F1845,3)="成本-",$G1845=""),"※成本类支出没填项目",IF(AND(LEFT($F1845,3)="成本-",$H1845&lt;&gt;"",N($K1845)&gt;0,COUNTIFS(采购单!$B:$B,$B1845,采购单!$C:$C,$H1845,采购单!$L:$L,$K1845)&gt;0),"※这笔可能和采购单重复了",""))))))))))</f>
        <v/>
      </c>
    </row>
    <row r="1846">
      <c r="A1846" s="17">
        <f>IF($B1846="","",ROW()-3)</f>
        <v/>
      </c>
      <c r="B1846" s="18" t="n"/>
      <c r="C1846" s="13" t="n"/>
      <c r="D1846" s="13" t="n"/>
      <c r="E1846" s="13" t="n"/>
      <c r="F1846" s="17">
        <f>IF($E1846="","",IFERROR(VLOOKUP($E1846,类别归属,2,0),"※类别不在基础资料里"))</f>
        <v/>
      </c>
      <c r="G1846" s="13" t="n"/>
      <c r="H1846" s="13" t="n"/>
      <c r="I1846" s="13" t="n"/>
      <c r="J1846" s="14" t="n"/>
      <c r="K1846" s="14" t="n"/>
      <c r="L1846" s="19">
        <f>IF($C1846="","",ROUND(IFERROR(VLOOKUP($C1846,账户期初,2,0),0)+SUMIFS($J$4:J1846,$C$4:C1846,$C1846)-SUMIFS($K$4:K1846,$C$4:C1846,$C1846),2))</f>
        <v/>
      </c>
      <c r="M1846" s="19">
        <f>IF($C1846="","",ROUND(SUM(基础资料!$B$4:$B$13)+SUM($J$4:J1846)-SUM($K$4:K1846),2))</f>
        <v/>
      </c>
      <c r="N1846" s="13" t="n"/>
      <c r="O1846" s="13" t="n"/>
      <c r="P1846" s="17">
        <f>IF($B1846="","",IF($F1846="※类别不在基础资料里","※费用类别不在基础资料里",IF(AND(N($J1846)=0,N($K1846)=0),"※这行没填金额",IF(AND(N($J1846)&gt;0,N($K1846)&gt;0),"※收入和支出不能同一行都填",IF(AND($D1846="收入",N($J1846)=0),"※收入行要填收入金额",IF(AND($D1846="支出",N($K1846)=0),"※支出行要填支出金额",IF(AND($C1846&lt;&gt;"",ISNA(MATCH($C1846,账户表,0))),"※账户不在基础资料里",IF(AND($G1846&lt;&gt;"",ISNA(MATCH($G1846,项目名表,0))),"※项目不在项目台账里",IF(AND(LEFT($F1846,3)="成本-",$G1846=""),"※成本类支出没填项目",IF(AND(LEFT($F1846,3)="成本-",$H1846&lt;&gt;"",N($K1846)&gt;0,COUNTIFS(采购单!$B:$B,$B1846,采购单!$C:$C,$H1846,采购单!$L:$L,$K1846)&gt;0),"※这笔可能和采购单重复了",""))))))))))</f>
        <v/>
      </c>
    </row>
    <row r="1847">
      <c r="A1847" s="17">
        <f>IF($B1847="","",ROW()-3)</f>
        <v/>
      </c>
      <c r="B1847" s="18" t="n"/>
      <c r="C1847" s="13" t="n"/>
      <c r="D1847" s="13" t="n"/>
      <c r="E1847" s="13" t="n"/>
      <c r="F1847" s="17">
        <f>IF($E1847="","",IFERROR(VLOOKUP($E1847,类别归属,2,0),"※类别不在基础资料里"))</f>
        <v/>
      </c>
      <c r="G1847" s="13" t="n"/>
      <c r="H1847" s="13" t="n"/>
      <c r="I1847" s="13" t="n"/>
      <c r="J1847" s="14" t="n"/>
      <c r="K1847" s="14" t="n"/>
      <c r="L1847" s="19">
        <f>IF($C1847="","",ROUND(IFERROR(VLOOKUP($C1847,账户期初,2,0),0)+SUMIFS($J$4:J1847,$C$4:C1847,$C1847)-SUMIFS($K$4:K1847,$C$4:C1847,$C1847),2))</f>
        <v/>
      </c>
      <c r="M1847" s="19">
        <f>IF($C1847="","",ROUND(SUM(基础资料!$B$4:$B$13)+SUM($J$4:J1847)-SUM($K$4:K1847),2))</f>
        <v/>
      </c>
      <c r="N1847" s="13" t="n"/>
      <c r="O1847" s="13" t="n"/>
      <c r="P1847" s="17">
        <f>IF($B1847="","",IF($F1847="※类别不在基础资料里","※费用类别不在基础资料里",IF(AND(N($J1847)=0,N($K1847)=0),"※这行没填金额",IF(AND(N($J1847)&gt;0,N($K1847)&gt;0),"※收入和支出不能同一行都填",IF(AND($D1847="收入",N($J1847)=0),"※收入行要填收入金额",IF(AND($D1847="支出",N($K1847)=0),"※支出行要填支出金额",IF(AND($C1847&lt;&gt;"",ISNA(MATCH($C1847,账户表,0))),"※账户不在基础资料里",IF(AND($G1847&lt;&gt;"",ISNA(MATCH($G1847,项目名表,0))),"※项目不在项目台账里",IF(AND(LEFT($F1847,3)="成本-",$G1847=""),"※成本类支出没填项目",IF(AND(LEFT($F1847,3)="成本-",$H1847&lt;&gt;"",N($K1847)&gt;0,COUNTIFS(采购单!$B:$B,$B1847,采购单!$C:$C,$H1847,采购单!$L:$L,$K1847)&gt;0),"※这笔可能和采购单重复了",""))))))))))</f>
        <v/>
      </c>
    </row>
    <row r="1848">
      <c r="A1848" s="17">
        <f>IF($B1848="","",ROW()-3)</f>
        <v/>
      </c>
      <c r="B1848" s="18" t="n"/>
      <c r="C1848" s="13" t="n"/>
      <c r="D1848" s="13" t="n"/>
      <c r="E1848" s="13" t="n"/>
      <c r="F1848" s="17">
        <f>IF($E1848="","",IFERROR(VLOOKUP($E1848,类别归属,2,0),"※类别不在基础资料里"))</f>
        <v/>
      </c>
      <c r="G1848" s="13" t="n"/>
      <c r="H1848" s="13" t="n"/>
      <c r="I1848" s="13" t="n"/>
      <c r="J1848" s="14" t="n"/>
      <c r="K1848" s="14" t="n"/>
      <c r="L1848" s="19">
        <f>IF($C1848="","",ROUND(IFERROR(VLOOKUP($C1848,账户期初,2,0),0)+SUMIFS($J$4:J1848,$C$4:C1848,$C1848)-SUMIFS($K$4:K1848,$C$4:C1848,$C1848),2))</f>
        <v/>
      </c>
      <c r="M1848" s="19">
        <f>IF($C1848="","",ROUND(SUM(基础资料!$B$4:$B$13)+SUM($J$4:J1848)-SUM($K$4:K1848),2))</f>
        <v/>
      </c>
      <c r="N1848" s="13" t="n"/>
      <c r="O1848" s="13" t="n"/>
      <c r="P1848" s="17">
        <f>IF($B1848="","",IF($F1848="※类别不在基础资料里","※费用类别不在基础资料里",IF(AND(N($J1848)=0,N($K1848)=0),"※这行没填金额",IF(AND(N($J1848)&gt;0,N($K1848)&gt;0),"※收入和支出不能同一行都填",IF(AND($D1848="收入",N($J1848)=0),"※收入行要填收入金额",IF(AND($D1848="支出",N($K1848)=0),"※支出行要填支出金额",IF(AND($C1848&lt;&gt;"",ISNA(MATCH($C1848,账户表,0))),"※账户不在基础资料里",IF(AND($G1848&lt;&gt;"",ISNA(MATCH($G1848,项目名表,0))),"※项目不在项目台账里",IF(AND(LEFT($F1848,3)="成本-",$G1848=""),"※成本类支出没填项目",IF(AND(LEFT($F1848,3)="成本-",$H1848&lt;&gt;"",N($K1848)&gt;0,COUNTIFS(采购单!$B:$B,$B1848,采购单!$C:$C,$H1848,采购单!$L:$L,$K1848)&gt;0),"※这笔可能和采购单重复了",""))))))))))</f>
        <v/>
      </c>
    </row>
    <row r="1849">
      <c r="A1849" s="17">
        <f>IF($B1849="","",ROW()-3)</f>
        <v/>
      </c>
      <c r="B1849" s="18" t="n"/>
      <c r="C1849" s="13" t="n"/>
      <c r="D1849" s="13" t="n"/>
      <c r="E1849" s="13" t="n"/>
      <c r="F1849" s="17">
        <f>IF($E1849="","",IFERROR(VLOOKUP($E1849,类别归属,2,0),"※类别不在基础资料里"))</f>
        <v/>
      </c>
      <c r="G1849" s="13" t="n"/>
      <c r="H1849" s="13" t="n"/>
      <c r="I1849" s="13" t="n"/>
      <c r="J1849" s="14" t="n"/>
      <c r="K1849" s="14" t="n"/>
      <c r="L1849" s="19">
        <f>IF($C1849="","",ROUND(IFERROR(VLOOKUP($C1849,账户期初,2,0),0)+SUMIFS($J$4:J1849,$C$4:C1849,$C1849)-SUMIFS($K$4:K1849,$C$4:C1849,$C1849),2))</f>
        <v/>
      </c>
      <c r="M1849" s="19">
        <f>IF($C1849="","",ROUND(SUM(基础资料!$B$4:$B$13)+SUM($J$4:J1849)-SUM($K$4:K1849),2))</f>
        <v/>
      </c>
      <c r="N1849" s="13" t="n"/>
      <c r="O1849" s="13" t="n"/>
      <c r="P1849" s="17">
        <f>IF($B1849="","",IF($F1849="※类别不在基础资料里","※费用类别不在基础资料里",IF(AND(N($J1849)=0,N($K1849)=0),"※这行没填金额",IF(AND(N($J1849)&gt;0,N($K1849)&gt;0),"※收入和支出不能同一行都填",IF(AND($D1849="收入",N($J1849)=0),"※收入行要填收入金额",IF(AND($D1849="支出",N($K1849)=0),"※支出行要填支出金额",IF(AND($C1849&lt;&gt;"",ISNA(MATCH($C1849,账户表,0))),"※账户不在基础资料里",IF(AND($G1849&lt;&gt;"",ISNA(MATCH($G1849,项目名表,0))),"※项目不在项目台账里",IF(AND(LEFT($F1849,3)="成本-",$G1849=""),"※成本类支出没填项目",IF(AND(LEFT($F1849,3)="成本-",$H1849&lt;&gt;"",N($K1849)&gt;0,COUNTIFS(采购单!$B:$B,$B1849,采购单!$C:$C,$H1849,采购单!$L:$L,$K1849)&gt;0),"※这笔可能和采购单重复了",""))))))))))</f>
        <v/>
      </c>
    </row>
    <row r="1850">
      <c r="A1850" s="17">
        <f>IF($B1850="","",ROW()-3)</f>
        <v/>
      </c>
      <c r="B1850" s="18" t="n"/>
      <c r="C1850" s="13" t="n"/>
      <c r="D1850" s="13" t="n"/>
      <c r="E1850" s="13" t="n"/>
      <c r="F1850" s="17">
        <f>IF($E1850="","",IFERROR(VLOOKUP($E1850,类别归属,2,0),"※类别不在基础资料里"))</f>
        <v/>
      </c>
      <c r="G1850" s="13" t="n"/>
      <c r="H1850" s="13" t="n"/>
      <c r="I1850" s="13" t="n"/>
      <c r="J1850" s="14" t="n"/>
      <c r="K1850" s="14" t="n"/>
      <c r="L1850" s="19">
        <f>IF($C1850="","",ROUND(IFERROR(VLOOKUP($C1850,账户期初,2,0),0)+SUMIFS($J$4:J1850,$C$4:C1850,$C1850)-SUMIFS($K$4:K1850,$C$4:C1850,$C1850),2))</f>
        <v/>
      </c>
      <c r="M1850" s="19">
        <f>IF($C1850="","",ROUND(SUM(基础资料!$B$4:$B$13)+SUM($J$4:J1850)-SUM($K$4:K1850),2))</f>
        <v/>
      </c>
      <c r="N1850" s="13" t="n"/>
      <c r="O1850" s="13" t="n"/>
      <c r="P1850" s="17">
        <f>IF($B1850="","",IF($F1850="※类别不在基础资料里","※费用类别不在基础资料里",IF(AND(N($J1850)=0,N($K1850)=0),"※这行没填金额",IF(AND(N($J1850)&gt;0,N($K1850)&gt;0),"※收入和支出不能同一行都填",IF(AND($D1850="收入",N($J1850)=0),"※收入行要填收入金额",IF(AND($D1850="支出",N($K1850)=0),"※支出行要填支出金额",IF(AND($C1850&lt;&gt;"",ISNA(MATCH($C1850,账户表,0))),"※账户不在基础资料里",IF(AND($G1850&lt;&gt;"",ISNA(MATCH($G1850,项目名表,0))),"※项目不在项目台账里",IF(AND(LEFT($F1850,3)="成本-",$G1850=""),"※成本类支出没填项目",IF(AND(LEFT($F1850,3)="成本-",$H1850&lt;&gt;"",N($K1850)&gt;0,COUNTIFS(采购单!$B:$B,$B1850,采购单!$C:$C,$H1850,采购单!$L:$L,$K1850)&gt;0),"※这笔可能和采购单重复了",""))))))))))</f>
        <v/>
      </c>
    </row>
    <row r="1851">
      <c r="A1851" s="17">
        <f>IF($B1851="","",ROW()-3)</f>
        <v/>
      </c>
      <c r="B1851" s="18" t="n"/>
      <c r="C1851" s="13" t="n"/>
      <c r="D1851" s="13" t="n"/>
      <c r="E1851" s="13" t="n"/>
      <c r="F1851" s="17">
        <f>IF($E1851="","",IFERROR(VLOOKUP($E1851,类别归属,2,0),"※类别不在基础资料里"))</f>
        <v/>
      </c>
      <c r="G1851" s="13" t="n"/>
      <c r="H1851" s="13" t="n"/>
      <c r="I1851" s="13" t="n"/>
      <c r="J1851" s="14" t="n"/>
      <c r="K1851" s="14" t="n"/>
      <c r="L1851" s="19">
        <f>IF($C1851="","",ROUND(IFERROR(VLOOKUP($C1851,账户期初,2,0),0)+SUMIFS($J$4:J1851,$C$4:C1851,$C1851)-SUMIFS($K$4:K1851,$C$4:C1851,$C1851),2))</f>
        <v/>
      </c>
      <c r="M1851" s="19">
        <f>IF($C1851="","",ROUND(SUM(基础资料!$B$4:$B$13)+SUM($J$4:J1851)-SUM($K$4:K1851),2))</f>
        <v/>
      </c>
      <c r="N1851" s="13" t="n"/>
      <c r="O1851" s="13" t="n"/>
      <c r="P1851" s="17">
        <f>IF($B1851="","",IF($F1851="※类别不在基础资料里","※费用类别不在基础资料里",IF(AND(N($J1851)=0,N($K1851)=0),"※这行没填金额",IF(AND(N($J1851)&gt;0,N($K1851)&gt;0),"※收入和支出不能同一行都填",IF(AND($D1851="收入",N($J1851)=0),"※收入行要填收入金额",IF(AND($D1851="支出",N($K1851)=0),"※支出行要填支出金额",IF(AND($C1851&lt;&gt;"",ISNA(MATCH($C1851,账户表,0))),"※账户不在基础资料里",IF(AND($G1851&lt;&gt;"",ISNA(MATCH($G1851,项目名表,0))),"※项目不在项目台账里",IF(AND(LEFT($F1851,3)="成本-",$G1851=""),"※成本类支出没填项目",IF(AND(LEFT($F1851,3)="成本-",$H1851&lt;&gt;"",N($K1851)&gt;0,COUNTIFS(采购单!$B:$B,$B1851,采购单!$C:$C,$H1851,采购单!$L:$L,$K1851)&gt;0),"※这笔可能和采购单重复了",""))))))))))</f>
        <v/>
      </c>
    </row>
    <row r="1852">
      <c r="A1852" s="17">
        <f>IF($B1852="","",ROW()-3)</f>
        <v/>
      </c>
      <c r="B1852" s="18" t="n"/>
      <c r="C1852" s="13" t="n"/>
      <c r="D1852" s="13" t="n"/>
      <c r="E1852" s="13" t="n"/>
      <c r="F1852" s="17">
        <f>IF($E1852="","",IFERROR(VLOOKUP($E1852,类别归属,2,0),"※类别不在基础资料里"))</f>
        <v/>
      </c>
      <c r="G1852" s="13" t="n"/>
      <c r="H1852" s="13" t="n"/>
      <c r="I1852" s="13" t="n"/>
      <c r="J1852" s="14" t="n"/>
      <c r="K1852" s="14" t="n"/>
      <c r="L1852" s="19">
        <f>IF($C1852="","",ROUND(IFERROR(VLOOKUP($C1852,账户期初,2,0),0)+SUMIFS($J$4:J1852,$C$4:C1852,$C1852)-SUMIFS($K$4:K1852,$C$4:C1852,$C1852),2))</f>
        <v/>
      </c>
      <c r="M1852" s="19">
        <f>IF($C1852="","",ROUND(SUM(基础资料!$B$4:$B$13)+SUM($J$4:J1852)-SUM($K$4:K1852),2))</f>
        <v/>
      </c>
      <c r="N1852" s="13" t="n"/>
      <c r="O1852" s="13" t="n"/>
      <c r="P1852" s="17">
        <f>IF($B1852="","",IF($F1852="※类别不在基础资料里","※费用类别不在基础资料里",IF(AND(N($J1852)=0,N($K1852)=0),"※这行没填金额",IF(AND(N($J1852)&gt;0,N($K1852)&gt;0),"※收入和支出不能同一行都填",IF(AND($D1852="收入",N($J1852)=0),"※收入行要填收入金额",IF(AND($D1852="支出",N($K1852)=0),"※支出行要填支出金额",IF(AND($C1852&lt;&gt;"",ISNA(MATCH($C1852,账户表,0))),"※账户不在基础资料里",IF(AND($G1852&lt;&gt;"",ISNA(MATCH($G1852,项目名表,0))),"※项目不在项目台账里",IF(AND(LEFT($F1852,3)="成本-",$G1852=""),"※成本类支出没填项目",IF(AND(LEFT($F1852,3)="成本-",$H1852&lt;&gt;"",N($K1852)&gt;0,COUNTIFS(采购单!$B:$B,$B1852,采购单!$C:$C,$H1852,采购单!$L:$L,$K1852)&gt;0),"※这笔可能和采购单重复了",""))))))))))</f>
        <v/>
      </c>
    </row>
    <row r="1853">
      <c r="A1853" s="17">
        <f>IF($B1853="","",ROW()-3)</f>
        <v/>
      </c>
      <c r="B1853" s="18" t="n"/>
      <c r="C1853" s="13" t="n"/>
      <c r="D1853" s="13" t="n"/>
      <c r="E1853" s="13" t="n"/>
      <c r="F1853" s="17">
        <f>IF($E1853="","",IFERROR(VLOOKUP($E1853,类别归属,2,0),"※类别不在基础资料里"))</f>
        <v/>
      </c>
      <c r="G1853" s="13" t="n"/>
      <c r="H1853" s="13" t="n"/>
      <c r="I1853" s="13" t="n"/>
      <c r="J1853" s="14" t="n"/>
      <c r="K1853" s="14" t="n"/>
      <c r="L1853" s="19">
        <f>IF($C1853="","",ROUND(IFERROR(VLOOKUP($C1853,账户期初,2,0),0)+SUMIFS($J$4:J1853,$C$4:C1853,$C1853)-SUMIFS($K$4:K1853,$C$4:C1853,$C1853),2))</f>
        <v/>
      </c>
      <c r="M1853" s="19">
        <f>IF($C1853="","",ROUND(SUM(基础资料!$B$4:$B$13)+SUM($J$4:J1853)-SUM($K$4:K1853),2))</f>
        <v/>
      </c>
      <c r="N1853" s="13" t="n"/>
      <c r="O1853" s="13" t="n"/>
      <c r="P1853" s="17">
        <f>IF($B1853="","",IF($F1853="※类别不在基础资料里","※费用类别不在基础资料里",IF(AND(N($J1853)=0,N($K1853)=0),"※这行没填金额",IF(AND(N($J1853)&gt;0,N($K1853)&gt;0),"※收入和支出不能同一行都填",IF(AND($D1853="收入",N($J1853)=0),"※收入行要填收入金额",IF(AND($D1853="支出",N($K1853)=0),"※支出行要填支出金额",IF(AND($C1853&lt;&gt;"",ISNA(MATCH($C1853,账户表,0))),"※账户不在基础资料里",IF(AND($G1853&lt;&gt;"",ISNA(MATCH($G1853,项目名表,0))),"※项目不在项目台账里",IF(AND(LEFT($F1853,3)="成本-",$G1853=""),"※成本类支出没填项目",IF(AND(LEFT($F1853,3)="成本-",$H1853&lt;&gt;"",N($K1853)&gt;0,COUNTIFS(采购单!$B:$B,$B1853,采购单!$C:$C,$H1853,采购单!$L:$L,$K1853)&gt;0),"※这笔可能和采购单重复了",""))))))))))</f>
        <v/>
      </c>
    </row>
    <row r="1854">
      <c r="A1854" s="17">
        <f>IF($B1854="","",ROW()-3)</f>
        <v/>
      </c>
      <c r="B1854" s="18" t="n"/>
      <c r="C1854" s="13" t="n"/>
      <c r="D1854" s="13" t="n"/>
      <c r="E1854" s="13" t="n"/>
      <c r="F1854" s="17">
        <f>IF($E1854="","",IFERROR(VLOOKUP($E1854,类别归属,2,0),"※类别不在基础资料里"))</f>
        <v/>
      </c>
      <c r="G1854" s="13" t="n"/>
      <c r="H1854" s="13" t="n"/>
      <c r="I1854" s="13" t="n"/>
      <c r="J1854" s="14" t="n"/>
      <c r="K1854" s="14" t="n"/>
      <c r="L1854" s="19">
        <f>IF($C1854="","",ROUND(IFERROR(VLOOKUP($C1854,账户期初,2,0),0)+SUMIFS($J$4:J1854,$C$4:C1854,$C1854)-SUMIFS($K$4:K1854,$C$4:C1854,$C1854),2))</f>
        <v/>
      </c>
      <c r="M1854" s="19">
        <f>IF($C1854="","",ROUND(SUM(基础资料!$B$4:$B$13)+SUM($J$4:J1854)-SUM($K$4:K1854),2))</f>
        <v/>
      </c>
      <c r="N1854" s="13" t="n"/>
      <c r="O1854" s="13" t="n"/>
      <c r="P1854" s="17">
        <f>IF($B1854="","",IF($F1854="※类别不在基础资料里","※费用类别不在基础资料里",IF(AND(N($J1854)=0,N($K1854)=0),"※这行没填金额",IF(AND(N($J1854)&gt;0,N($K1854)&gt;0),"※收入和支出不能同一行都填",IF(AND($D1854="收入",N($J1854)=0),"※收入行要填收入金额",IF(AND($D1854="支出",N($K1854)=0),"※支出行要填支出金额",IF(AND($C1854&lt;&gt;"",ISNA(MATCH($C1854,账户表,0))),"※账户不在基础资料里",IF(AND($G1854&lt;&gt;"",ISNA(MATCH($G1854,项目名表,0))),"※项目不在项目台账里",IF(AND(LEFT($F1854,3)="成本-",$G1854=""),"※成本类支出没填项目",IF(AND(LEFT($F1854,3)="成本-",$H1854&lt;&gt;"",N($K1854)&gt;0,COUNTIFS(采购单!$B:$B,$B1854,采购单!$C:$C,$H1854,采购单!$L:$L,$K1854)&gt;0),"※这笔可能和采购单重复了",""))))))))))</f>
        <v/>
      </c>
    </row>
    <row r="1855">
      <c r="A1855" s="17">
        <f>IF($B1855="","",ROW()-3)</f>
        <v/>
      </c>
      <c r="B1855" s="18" t="n"/>
      <c r="C1855" s="13" t="n"/>
      <c r="D1855" s="13" t="n"/>
      <c r="E1855" s="13" t="n"/>
      <c r="F1855" s="17">
        <f>IF($E1855="","",IFERROR(VLOOKUP($E1855,类别归属,2,0),"※类别不在基础资料里"))</f>
        <v/>
      </c>
      <c r="G1855" s="13" t="n"/>
      <c r="H1855" s="13" t="n"/>
      <c r="I1855" s="13" t="n"/>
      <c r="J1855" s="14" t="n"/>
      <c r="K1855" s="14" t="n"/>
      <c r="L1855" s="19">
        <f>IF($C1855="","",ROUND(IFERROR(VLOOKUP($C1855,账户期初,2,0),0)+SUMIFS($J$4:J1855,$C$4:C1855,$C1855)-SUMIFS($K$4:K1855,$C$4:C1855,$C1855),2))</f>
        <v/>
      </c>
      <c r="M1855" s="19">
        <f>IF($C1855="","",ROUND(SUM(基础资料!$B$4:$B$13)+SUM($J$4:J1855)-SUM($K$4:K1855),2))</f>
        <v/>
      </c>
      <c r="N1855" s="13" t="n"/>
      <c r="O1855" s="13" t="n"/>
      <c r="P1855" s="17">
        <f>IF($B1855="","",IF($F1855="※类别不在基础资料里","※费用类别不在基础资料里",IF(AND(N($J1855)=0,N($K1855)=0),"※这行没填金额",IF(AND(N($J1855)&gt;0,N($K1855)&gt;0),"※收入和支出不能同一行都填",IF(AND($D1855="收入",N($J1855)=0),"※收入行要填收入金额",IF(AND($D1855="支出",N($K1855)=0),"※支出行要填支出金额",IF(AND($C1855&lt;&gt;"",ISNA(MATCH($C1855,账户表,0))),"※账户不在基础资料里",IF(AND($G1855&lt;&gt;"",ISNA(MATCH($G1855,项目名表,0))),"※项目不在项目台账里",IF(AND(LEFT($F1855,3)="成本-",$G1855=""),"※成本类支出没填项目",IF(AND(LEFT($F1855,3)="成本-",$H1855&lt;&gt;"",N($K1855)&gt;0,COUNTIFS(采购单!$B:$B,$B1855,采购单!$C:$C,$H1855,采购单!$L:$L,$K1855)&gt;0),"※这笔可能和采购单重复了",""))))))))))</f>
        <v/>
      </c>
    </row>
    <row r="1856">
      <c r="A1856" s="17">
        <f>IF($B1856="","",ROW()-3)</f>
        <v/>
      </c>
      <c r="B1856" s="18" t="n"/>
      <c r="C1856" s="13" t="n"/>
      <c r="D1856" s="13" t="n"/>
      <c r="E1856" s="13" t="n"/>
      <c r="F1856" s="17">
        <f>IF($E1856="","",IFERROR(VLOOKUP($E1856,类别归属,2,0),"※类别不在基础资料里"))</f>
        <v/>
      </c>
      <c r="G1856" s="13" t="n"/>
      <c r="H1856" s="13" t="n"/>
      <c r="I1856" s="13" t="n"/>
      <c r="J1856" s="14" t="n"/>
      <c r="K1856" s="14" t="n"/>
      <c r="L1856" s="19">
        <f>IF($C1856="","",ROUND(IFERROR(VLOOKUP($C1856,账户期初,2,0),0)+SUMIFS($J$4:J1856,$C$4:C1856,$C1856)-SUMIFS($K$4:K1856,$C$4:C1856,$C1856),2))</f>
        <v/>
      </c>
      <c r="M1856" s="19">
        <f>IF($C1856="","",ROUND(SUM(基础资料!$B$4:$B$13)+SUM($J$4:J1856)-SUM($K$4:K1856),2))</f>
        <v/>
      </c>
      <c r="N1856" s="13" t="n"/>
      <c r="O1856" s="13" t="n"/>
      <c r="P1856" s="17">
        <f>IF($B1856="","",IF($F1856="※类别不在基础资料里","※费用类别不在基础资料里",IF(AND(N($J1856)=0,N($K1856)=0),"※这行没填金额",IF(AND(N($J1856)&gt;0,N($K1856)&gt;0),"※收入和支出不能同一行都填",IF(AND($D1856="收入",N($J1856)=0),"※收入行要填收入金额",IF(AND($D1856="支出",N($K1856)=0),"※支出行要填支出金额",IF(AND($C1856&lt;&gt;"",ISNA(MATCH($C1856,账户表,0))),"※账户不在基础资料里",IF(AND($G1856&lt;&gt;"",ISNA(MATCH($G1856,项目名表,0))),"※项目不在项目台账里",IF(AND(LEFT($F1856,3)="成本-",$G1856=""),"※成本类支出没填项目",IF(AND(LEFT($F1856,3)="成本-",$H1856&lt;&gt;"",N($K1856)&gt;0,COUNTIFS(采购单!$B:$B,$B1856,采购单!$C:$C,$H1856,采购单!$L:$L,$K1856)&gt;0),"※这笔可能和采购单重复了",""))))))))))</f>
        <v/>
      </c>
    </row>
    <row r="1857">
      <c r="A1857" s="17">
        <f>IF($B1857="","",ROW()-3)</f>
        <v/>
      </c>
      <c r="B1857" s="18" t="n"/>
      <c r="C1857" s="13" t="n"/>
      <c r="D1857" s="13" t="n"/>
      <c r="E1857" s="13" t="n"/>
      <c r="F1857" s="17">
        <f>IF($E1857="","",IFERROR(VLOOKUP($E1857,类别归属,2,0),"※类别不在基础资料里"))</f>
        <v/>
      </c>
      <c r="G1857" s="13" t="n"/>
      <c r="H1857" s="13" t="n"/>
      <c r="I1857" s="13" t="n"/>
      <c r="J1857" s="14" t="n"/>
      <c r="K1857" s="14" t="n"/>
      <c r="L1857" s="19">
        <f>IF($C1857="","",ROUND(IFERROR(VLOOKUP($C1857,账户期初,2,0),0)+SUMIFS($J$4:J1857,$C$4:C1857,$C1857)-SUMIFS($K$4:K1857,$C$4:C1857,$C1857),2))</f>
        <v/>
      </c>
      <c r="M1857" s="19">
        <f>IF($C1857="","",ROUND(SUM(基础资料!$B$4:$B$13)+SUM($J$4:J1857)-SUM($K$4:K1857),2))</f>
        <v/>
      </c>
      <c r="N1857" s="13" t="n"/>
      <c r="O1857" s="13" t="n"/>
      <c r="P1857" s="17">
        <f>IF($B1857="","",IF($F1857="※类别不在基础资料里","※费用类别不在基础资料里",IF(AND(N($J1857)=0,N($K1857)=0),"※这行没填金额",IF(AND(N($J1857)&gt;0,N($K1857)&gt;0),"※收入和支出不能同一行都填",IF(AND($D1857="收入",N($J1857)=0),"※收入行要填收入金额",IF(AND($D1857="支出",N($K1857)=0),"※支出行要填支出金额",IF(AND($C1857&lt;&gt;"",ISNA(MATCH($C1857,账户表,0))),"※账户不在基础资料里",IF(AND($G1857&lt;&gt;"",ISNA(MATCH($G1857,项目名表,0))),"※项目不在项目台账里",IF(AND(LEFT($F1857,3)="成本-",$G1857=""),"※成本类支出没填项目",IF(AND(LEFT($F1857,3)="成本-",$H1857&lt;&gt;"",N($K1857)&gt;0,COUNTIFS(采购单!$B:$B,$B1857,采购单!$C:$C,$H1857,采购单!$L:$L,$K1857)&gt;0),"※这笔可能和采购单重复了",""))))))))))</f>
        <v/>
      </c>
    </row>
    <row r="1858">
      <c r="A1858" s="17">
        <f>IF($B1858="","",ROW()-3)</f>
        <v/>
      </c>
      <c r="B1858" s="18" t="n"/>
      <c r="C1858" s="13" t="n"/>
      <c r="D1858" s="13" t="n"/>
      <c r="E1858" s="13" t="n"/>
      <c r="F1858" s="17">
        <f>IF($E1858="","",IFERROR(VLOOKUP($E1858,类别归属,2,0),"※类别不在基础资料里"))</f>
        <v/>
      </c>
      <c r="G1858" s="13" t="n"/>
      <c r="H1858" s="13" t="n"/>
      <c r="I1858" s="13" t="n"/>
      <c r="J1858" s="14" t="n"/>
      <c r="K1858" s="14" t="n"/>
      <c r="L1858" s="19">
        <f>IF($C1858="","",ROUND(IFERROR(VLOOKUP($C1858,账户期初,2,0),0)+SUMIFS($J$4:J1858,$C$4:C1858,$C1858)-SUMIFS($K$4:K1858,$C$4:C1858,$C1858),2))</f>
        <v/>
      </c>
      <c r="M1858" s="19">
        <f>IF($C1858="","",ROUND(SUM(基础资料!$B$4:$B$13)+SUM($J$4:J1858)-SUM($K$4:K1858),2))</f>
        <v/>
      </c>
      <c r="N1858" s="13" t="n"/>
      <c r="O1858" s="13" t="n"/>
      <c r="P1858" s="17">
        <f>IF($B1858="","",IF($F1858="※类别不在基础资料里","※费用类别不在基础资料里",IF(AND(N($J1858)=0,N($K1858)=0),"※这行没填金额",IF(AND(N($J1858)&gt;0,N($K1858)&gt;0),"※收入和支出不能同一行都填",IF(AND($D1858="收入",N($J1858)=0),"※收入行要填收入金额",IF(AND($D1858="支出",N($K1858)=0),"※支出行要填支出金额",IF(AND($C1858&lt;&gt;"",ISNA(MATCH($C1858,账户表,0))),"※账户不在基础资料里",IF(AND($G1858&lt;&gt;"",ISNA(MATCH($G1858,项目名表,0))),"※项目不在项目台账里",IF(AND(LEFT($F1858,3)="成本-",$G1858=""),"※成本类支出没填项目",IF(AND(LEFT($F1858,3)="成本-",$H1858&lt;&gt;"",N($K1858)&gt;0,COUNTIFS(采购单!$B:$B,$B1858,采购单!$C:$C,$H1858,采购单!$L:$L,$K1858)&gt;0),"※这笔可能和采购单重复了",""))))))))))</f>
        <v/>
      </c>
    </row>
    <row r="1859">
      <c r="A1859" s="17">
        <f>IF($B1859="","",ROW()-3)</f>
        <v/>
      </c>
      <c r="B1859" s="18" t="n"/>
      <c r="C1859" s="13" t="n"/>
      <c r="D1859" s="13" t="n"/>
      <c r="E1859" s="13" t="n"/>
      <c r="F1859" s="17">
        <f>IF($E1859="","",IFERROR(VLOOKUP($E1859,类别归属,2,0),"※类别不在基础资料里"))</f>
        <v/>
      </c>
      <c r="G1859" s="13" t="n"/>
      <c r="H1859" s="13" t="n"/>
      <c r="I1859" s="13" t="n"/>
      <c r="J1859" s="14" t="n"/>
      <c r="K1859" s="14" t="n"/>
      <c r="L1859" s="19">
        <f>IF($C1859="","",ROUND(IFERROR(VLOOKUP($C1859,账户期初,2,0),0)+SUMIFS($J$4:J1859,$C$4:C1859,$C1859)-SUMIFS($K$4:K1859,$C$4:C1859,$C1859),2))</f>
        <v/>
      </c>
      <c r="M1859" s="19">
        <f>IF($C1859="","",ROUND(SUM(基础资料!$B$4:$B$13)+SUM($J$4:J1859)-SUM($K$4:K1859),2))</f>
        <v/>
      </c>
      <c r="N1859" s="13" t="n"/>
      <c r="O1859" s="13" t="n"/>
      <c r="P1859" s="17">
        <f>IF($B1859="","",IF($F1859="※类别不在基础资料里","※费用类别不在基础资料里",IF(AND(N($J1859)=0,N($K1859)=0),"※这行没填金额",IF(AND(N($J1859)&gt;0,N($K1859)&gt;0),"※收入和支出不能同一行都填",IF(AND($D1859="收入",N($J1859)=0),"※收入行要填收入金额",IF(AND($D1859="支出",N($K1859)=0),"※支出行要填支出金额",IF(AND($C1859&lt;&gt;"",ISNA(MATCH($C1859,账户表,0))),"※账户不在基础资料里",IF(AND($G1859&lt;&gt;"",ISNA(MATCH($G1859,项目名表,0))),"※项目不在项目台账里",IF(AND(LEFT($F1859,3)="成本-",$G1859=""),"※成本类支出没填项目",IF(AND(LEFT($F1859,3)="成本-",$H1859&lt;&gt;"",N($K1859)&gt;0,COUNTIFS(采购单!$B:$B,$B1859,采购单!$C:$C,$H1859,采购单!$L:$L,$K1859)&gt;0),"※这笔可能和采购单重复了",""))))))))))</f>
        <v/>
      </c>
    </row>
    <row r="1860">
      <c r="A1860" s="17">
        <f>IF($B1860="","",ROW()-3)</f>
        <v/>
      </c>
      <c r="B1860" s="18" t="n"/>
      <c r="C1860" s="13" t="n"/>
      <c r="D1860" s="13" t="n"/>
      <c r="E1860" s="13" t="n"/>
      <c r="F1860" s="17">
        <f>IF($E1860="","",IFERROR(VLOOKUP($E1860,类别归属,2,0),"※类别不在基础资料里"))</f>
        <v/>
      </c>
      <c r="G1860" s="13" t="n"/>
      <c r="H1860" s="13" t="n"/>
      <c r="I1860" s="13" t="n"/>
      <c r="J1860" s="14" t="n"/>
      <c r="K1860" s="14" t="n"/>
      <c r="L1860" s="19">
        <f>IF($C1860="","",ROUND(IFERROR(VLOOKUP($C1860,账户期初,2,0),0)+SUMIFS($J$4:J1860,$C$4:C1860,$C1860)-SUMIFS($K$4:K1860,$C$4:C1860,$C1860),2))</f>
        <v/>
      </c>
      <c r="M1860" s="19">
        <f>IF($C1860="","",ROUND(SUM(基础资料!$B$4:$B$13)+SUM($J$4:J1860)-SUM($K$4:K1860),2))</f>
        <v/>
      </c>
      <c r="N1860" s="13" t="n"/>
      <c r="O1860" s="13" t="n"/>
      <c r="P1860" s="17">
        <f>IF($B1860="","",IF($F1860="※类别不在基础资料里","※费用类别不在基础资料里",IF(AND(N($J1860)=0,N($K1860)=0),"※这行没填金额",IF(AND(N($J1860)&gt;0,N($K1860)&gt;0),"※收入和支出不能同一行都填",IF(AND($D1860="收入",N($J1860)=0),"※收入行要填收入金额",IF(AND($D1860="支出",N($K1860)=0),"※支出行要填支出金额",IF(AND($C1860&lt;&gt;"",ISNA(MATCH($C1860,账户表,0))),"※账户不在基础资料里",IF(AND($G1860&lt;&gt;"",ISNA(MATCH($G1860,项目名表,0))),"※项目不在项目台账里",IF(AND(LEFT($F1860,3)="成本-",$G1860=""),"※成本类支出没填项目",IF(AND(LEFT($F1860,3)="成本-",$H1860&lt;&gt;"",N($K1860)&gt;0,COUNTIFS(采购单!$B:$B,$B1860,采购单!$C:$C,$H1860,采购单!$L:$L,$K1860)&gt;0),"※这笔可能和采购单重复了",""))))))))))</f>
        <v/>
      </c>
    </row>
    <row r="1861">
      <c r="A1861" s="17">
        <f>IF($B1861="","",ROW()-3)</f>
        <v/>
      </c>
      <c r="B1861" s="18" t="n"/>
      <c r="C1861" s="13" t="n"/>
      <c r="D1861" s="13" t="n"/>
      <c r="E1861" s="13" t="n"/>
      <c r="F1861" s="17">
        <f>IF($E1861="","",IFERROR(VLOOKUP($E1861,类别归属,2,0),"※类别不在基础资料里"))</f>
        <v/>
      </c>
      <c r="G1861" s="13" t="n"/>
      <c r="H1861" s="13" t="n"/>
      <c r="I1861" s="13" t="n"/>
      <c r="J1861" s="14" t="n"/>
      <c r="K1861" s="14" t="n"/>
      <c r="L1861" s="19">
        <f>IF($C1861="","",ROUND(IFERROR(VLOOKUP($C1861,账户期初,2,0),0)+SUMIFS($J$4:J1861,$C$4:C1861,$C1861)-SUMIFS($K$4:K1861,$C$4:C1861,$C1861),2))</f>
        <v/>
      </c>
      <c r="M1861" s="19">
        <f>IF($C1861="","",ROUND(SUM(基础资料!$B$4:$B$13)+SUM($J$4:J1861)-SUM($K$4:K1861),2))</f>
        <v/>
      </c>
      <c r="N1861" s="13" t="n"/>
      <c r="O1861" s="13" t="n"/>
      <c r="P1861" s="17">
        <f>IF($B1861="","",IF($F1861="※类别不在基础资料里","※费用类别不在基础资料里",IF(AND(N($J1861)=0,N($K1861)=0),"※这行没填金额",IF(AND(N($J1861)&gt;0,N($K1861)&gt;0),"※收入和支出不能同一行都填",IF(AND($D1861="收入",N($J1861)=0),"※收入行要填收入金额",IF(AND($D1861="支出",N($K1861)=0),"※支出行要填支出金额",IF(AND($C1861&lt;&gt;"",ISNA(MATCH($C1861,账户表,0))),"※账户不在基础资料里",IF(AND($G1861&lt;&gt;"",ISNA(MATCH($G1861,项目名表,0))),"※项目不在项目台账里",IF(AND(LEFT($F1861,3)="成本-",$G1861=""),"※成本类支出没填项目",IF(AND(LEFT($F1861,3)="成本-",$H1861&lt;&gt;"",N($K1861)&gt;0,COUNTIFS(采购单!$B:$B,$B1861,采购单!$C:$C,$H1861,采购单!$L:$L,$K1861)&gt;0),"※这笔可能和采购单重复了",""))))))))))</f>
        <v/>
      </c>
    </row>
    <row r="1862">
      <c r="A1862" s="17">
        <f>IF($B1862="","",ROW()-3)</f>
        <v/>
      </c>
      <c r="B1862" s="18" t="n"/>
      <c r="C1862" s="13" t="n"/>
      <c r="D1862" s="13" t="n"/>
      <c r="E1862" s="13" t="n"/>
      <c r="F1862" s="17">
        <f>IF($E1862="","",IFERROR(VLOOKUP($E1862,类别归属,2,0),"※类别不在基础资料里"))</f>
        <v/>
      </c>
      <c r="G1862" s="13" t="n"/>
      <c r="H1862" s="13" t="n"/>
      <c r="I1862" s="13" t="n"/>
      <c r="J1862" s="14" t="n"/>
      <c r="K1862" s="14" t="n"/>
      <c r="L1862" s="19">
        <f>IF($C1862="","",ROUND(IFERROR(VLOOKUP($C1862,账户期初,2,0),0)+SUMIFS($J$4:J1862,$C$4:C1862,$C1862)-SUMIFS($K$4:K1862,$C$4:C1862,$C1862),2))</f>
        <v/>
      </c>
      <c r="M1862" s="19">
        <f>IF($C1862="","",ROUND(SUM(基础资料!$B$4:$B$13)+SUM($J$4:J1862)-SUM($K$4:K1862),2))</f>
        <v/>
      </c>
      <c r="N1862" s="13" t="n"/>
      <c r="O1862" s="13" t="n"/>
      <c r="P1862" s="17">
        <f>IF($B1862="","",IF($F1862="※类别不在基础资料里","※费用类别不在基础资料里",IF(AND(N($J1862)=0,N($K1862)=0),"※这行没填金额",IF(AND(N($J1862)&gt;0,N($K1862)&gt;0),"※收入和支出不能同一行都填",IF(AND($D1862="收入",N($J1862)=0),"※收入行要填收入金额",IF(AND($D1862="支出",N($K1862)=0),"※支出行要填支出金额",IF(AND($C1862&lt;&gt;"",ISNA(MATCH($C1862,账户表,0))),"※账户不在基础资料里",IF(AND($G1862&lt;&gt;"",ISNA(MATCH($G1862,项目名表,0))),"※项目不在项目台账里",IF(AND(LEFT($F1862,3)="成本-",$G1862=""),"※成本类支出没填项目",IF(AND(LEFT($F1862,3)="成本-",$H1862&lt;&gt;"",N($K1862)&gt;0,COUNTIFS(采购单!$B:$B,$B1862,采购单!$C:$C,$H1862,采购单!$L:$L,$K1862)&gt;0),"※这笔可能和采购单重复了",""))))))))))</f>
        <v/>
      </c>
    </row>
    <row r="1863">
      <c r="A1863" s="17">
        <f>IF($B1863="","",ROW()-3)</f>
        <v/>
      </c>
      <c r="B1863" s="18" t="n"/>
      <c r="C1863" s="13" t="n"/>
      <c r="D1863" s="13" t="n"/>
      <c r="E1863" s="13" t="n"/>
      <c r="F1863" s="17">
        <f>IF($E1863="","",IFERROR(VLOOKUP($E1863,类别归属,2,0),"※类别不在基础资料里"))</f>
        <v/>
      </c>
      <c r="G1863" s="13" t="n"/>
      <c r="H1863" s="13" t="n"/>
      <c r="I1863" s="13" t="n"/>
      <c r="J1863" s="14" t="n"/>
      <c r="K1863" s="14" t="n"/>
      <c r="L1863" s="19">
        <f>IF($C1863="","",ROUND(IFERROR(VLOOKUP($C1863,账户期初,2,0),0)+SUMIFS($J$4:J1863,$C$4:C1863,$C1863)-SUMIFS($K$4:K1863,$C$4:C1863,$C1863),2))</f>
        <v/>
      </c>
      <c r="M1863" s="19">
        <f>IF($C1863="","",ROUND(SUM(基础资料!$B$4:$B$13)+SUM($J$4:J1863)-SUM($K$4:K1863),2))</f>
        <v/>
      </c>
      <c r="N1863" s="13" t="n"/>
      <c r="O1863" s="13" t="n"/>
      <c r="P1863" s="17">
        <f>IF($B1863="","",IF($F1863="※类别不在基础资料里","※费用类别不在基础资料里",IF(AND(N($J1863)=0,N($K1863)=0),"※这行没填金额",IF(AND(N($J1863)&gt;0,N($K1863)&gt;0),"※收入和支出不能同一行都填",IF(AND($D1863="收入",N($J1863)=0),"※收入行要填收入金额",IF(AND($D1863="支出",N($K1863)=0),"※支出行要填支出金额",IF(AND($C1863&lt;&gt;"",ISNA(MATCH($C1863,账户表,0))),"※账户不在基础资料里",IF(AND($G1863&lt;&gt;"",ISNA(MATCH($G1863,项目名表,0))),"※项目不在项目台账里",IF(AND(LEFT($F1863,3)="成本-",$G1863=""),"※成本类支出没填项目",IF(AND(LEFT($F1863,3)="成本-",$H1863&lt;&gt;"",N($K1863)&gt;0,COUNTIFS(采购单!$B:$B,$B1863,采购单!$C:$C,$H1863,采购单!$L:$L,$K1863)&gt;0),"※这笔可能和采购单重复了",""))))))))))</f>
        <v/>
      </c>
    </row>
    <row r="1864">
      <c r="A1864" s="17">
        <f>IF($B1864="","",ROW()-3)</f>
        <v/>
      </c>
      <c r="B1864" s="18" t="n"/>
      <c r="C1864" s="13" t="n"/>
      <c r="D1864" s="13" t="n"/>
      <c r="E1864" s="13" t="n"/>
      <c r="F1864" s="17">
        <f>IF($E1864="","",IFERROR(VLOOKUP($E1864,类别归属,2,0),"※类别不在基础资料里"))</f>
        <v/>
      </c>
      <c r="G1864" s="13" t="n"/>
      <c r="H1864" s="13" t="n"/>
      <c r="I1864" s="13" t="n"/>
      <c r="J1864" s="14" t="n"/>
      <c r="K1864" s="14" t="n"/>
      <c r="L1864" s="19">
        <f>IF($C1864="","",ROUND(IFERROR(VLOOKUP($C1864,账户期初,2,0),0)+SUMIFS($J$4:J1864,$C$4:C1864,$C1864)-SUMIFS($K$4:K1864,$C$4:C1864,$C1864),2))</f>
        <v/>
      </c>
      <c r="M1864" s="19">
        <f>IF($C1864="","",ROUND(SUM(基础资料!$B$4:$B$13)+SUM($J$4:J1864)-SUM($K$4:K1864),2))</f>
        <v/>
      </c>
      <c r="N1864" s="13" t="n"/>
      <c r="O1864" s="13" t="n"/>
      <c r="P1864" s="17">
        <f>IF($B1864="","",IF($F1864="※类别不在基础资料里","※费用类别不在基础资料里",IF(AND(N($J1864)=0,N($K1864)=0),"※这行没填金额",IF(AND(N($J1864)&gt;0,N($K1864)&gt;0),"※收入和支出不能同一行都填",IF(AND($D1864="收入",N($J1864)=0),"※收入行要填收入金额",IF(AND($D1864="支出",N($K1864)=0),"※支出行要填支出金额",IF(AND($C1864&lt;&gt;"",ISNA(MATCH($C1864,账户表,0))),"※账户不在基础资料里",IF(AND($G1864&lt;&gt;"",ISNA(MATCH($G1864,项目名表,0))),"※项目不在项目台账里",IF(AND(LEFT($F1864,3)="成本-",$G1864=""),"※成本类支出没填项目",IF(AND(LEFT($F1864,3)="成本-",$H1864&lt;&gt;"",N($K1864)&gt;0,COUNTIFS(采购单!$B:$B,$B1864,采购单!$C:$C,$H1864,采购单!$L:$L,$K1864)&gt;0),"※这笔可能和采购单重复了",""))))))))))</f>
        <v/>
      </c>
    </row>
    <row r="1865">
      <c r="A1865" s="17">
        <f>IF($B1865="","",ROW()-3)</f>
        <v/>
      </c>
      <c r="B1865" s="18" t="n"/>
      <c r="C1865" s="13" t="n"/>
      <c r="D1865" s="13" t="n"/>
      <c r="E1865" s="13" t="n"/>
      <c r="F1865" s="17">
        <f>IF($E1865="","",IFERROR(VLOOKUP($E1865,类别归属,2,0),"※类别不在基础资料里"))</f>
        <v/>
      </c>
      <c r="G1865" s="13" t="n"/>
      <c r="H1865" s="13" t="n"/>
      <c r="I1865" s="13" t="n"/>
      <c r="J1865" s="14" t="n"/>
      <c r="K1865" s="14" t="n"/>
      <c r="L1865" s="19">
        <f>IF($C1865="","",ROUND(IFERROR(VLOOKUP($C1865,账户期初,2,0),0)+SUMIFS($J$4:J1865,$C$4:C1865,$C1865)-SUMIFS($K$4:K1865,$C$4:C1865,$C1865),2))</f>
        <v/>
      </c>
      <c r="M1865" s="19">
        <f>IF($C1865="","",ROUND(SUM(基础资料!$B$4:$B$13)+SUM($J$4:J1865)-SUM($K$4:K1865),2))</f>
        <v/>
      </c>
      <c r="N1865" s="13" t="n"/>
      <c r="O1865" s="13" t="n"/>
      <c r="P1865" s="17">
        <f>IF($B1865="","",IF($F1865="※类别不在基础资料里","※费用类别不在基础资料里",IF(AND(N($J1865)=0,N($K1865)=0),"※这行没填金额",IF(AND(N($J1865)&gt;0,N($K1865)&gt;0),"※收入和支出不能同一行都填",IF(AND($D1865="收入",N($J1865)=0),"※收入行要填收入金额",IF(AND($D1865="支出",N($K1865)=0),"※支出行要填支出金额",IF(AND($C1865&lt;&gt;"",ISNA(MATCH($C1865,账户表,0))),"※账户不在基础资料里",IF(AND($G1865&lt;&gt;"",ISNA(MATCH($G1865,项目名表,0))),"※项目不在项目台账里",IF(AND(LEFT($F1865,3)="成本-",$G1865=""),"※成本类支出没填项目",IF(AND(LEFT($F1865,3)="成本-",$H1865&lt;&gt;"",N($K1865)&gt;0,COUNTIFS(采购单!$B:$B,$B1865,采购单!$C:$C,$H1865,采购单!$L:$L,$K1865)&gt;0),"※这笔可能和采购单重复了",""))))))))))</f>
        <v/>
      </c>
    </row>
    <row r="1866">
      <c r="A1866" s="17">
        <f>IF($B1866="","",ROW()-3)</f>
        <v/>
      </c>
      <c r="B1866" s="18" t="n"/>
      <c r="C1866" s="13" t="n"/>
      <c r="D1866" s="13" t="n"/>
      <c r="E1866" s="13" t="n"/>
      <c r="F1866" s="17">
        <f>IF($E1866="","",IFERROR(VLOOKUP($E1866,类别归属,2,0),"※类别不在基础资料里"))</f>
        <v/>
      </c>
      <c r="G1866" s="13" t="n"/>
      <c r="H1866" s="13" t="n"/>
      <c r="I1866" s="13" t="n"/>
      <c r="J1866" s="14" t="n"/>
      <c r="K1866" s="14" t="n"/>
      <c r="L1866" s="19">
        <f>IF($C1866="","",ROUND(IFERROR(VLOOKUP($C1866,账户期初,2,0),0)+SUMIFS($J$4:J1866,$C$4:C1866,$C1866)-SUMIFS($K$4:K1866,$C$4:C1866,$C1866),2))</f>
        <v/>
      </c>
      <c r="M1866" s="19">
        <f>IF($C1866="","",ROUND(SUM(基础资料!$B$4:$B$13)+SUM($J$4:J1866)-SUM($K$4:K1866),2))</f>
        <v/>
      </c>
      <c r="N1866" s="13" t="n"/>
      <c r="O1866" s="13" t="n"/>
      <c r="P1866" s="17">
        <f>IF($B1866="","",IF($F1866="※类别不在基础资料里","※费用类别不在基础资料里",IF(AND(N($J1866)=0,N($K1866)=0),"※这行没填金额",IF(AND(N($J1866)&gt;0,N($K1866)&gt;0),"※收入和支出不能同一行都填",IF(AND($D1866="收入",N($J1866)=0),"※收入行要填收入金额",IF(AND($D1866="支出",N($K1866)=0),"※支出行要填支出金额",IF(AND($C1866&lt;&gt;"",ISNA(MATCH($C1866,账户表,0))),"※账户不在基础资料里",IF(AND($G1866&lt;&gt;"",ISNA(MATCH($G1866,项目名表,0))),"※项目不在项目台账里",IF(AND(LEFT($F1866,3)="成本-",$G1866=""),"※成本类支出没填项目",IF(AND(LEFT($F1866,3)="成本-",$H1866&lt;&gt;"",N($K1866)&gt;0,COUNTIFS(采购单!$B:$B,$B1866,采购单!$C:$C,$H1866,采购单!$L:$L,$K1866)&gt;0),"※这笔可能和采购单重复了",""))))))))))</f>
        <v/>
      </c>
    </row>
    <row r="1867">
      <c r="A1867" s="17">
        <f>IF($B1867="","",ROW()-3)</f>
        <v/>
      </c>
      <c r="B1867" s="18" t="n"/>
      <c r="C1867" s="13" t="n"/>
      <c r="D1867" s="13" t="n"/>
      <c r="E1867" s="13" t="n"/>
      <c r="F1867" s="17">
        <f>IF($E1867="","",IFERROR(VLOOKUP($E1867,类别归属,2,0),"※类别不在基础资料里"))</f>
        <v/>
      </c>
      <c r="G1867" s="13" t="n"/>
      <c r="H1867" s="13" t="n"/>
      <c r="I1867" s="13" t="n"/>
      <c r="J1867" s="14" t="n"/>
      <c r="K1867" s="14" t="n"/>
      <c r="L1867" s="19">
        <f>IF($C1867="","",ROUND(IFERROR(VLOOKUP($C1867,账户期初,2,0),0)+SUMIFS($J$4:J1867,$C$4:C1867,$C1867)-SUMIFS($K$4:K1867,$C$4:C1867,$C1867),2))</f>
        <v/>
      </c>
      <c r="M1867" s="19">
        <f>IF($C1867="","",ROUND(SUM(基础资料!$B$4:$B$13)+SUM($J$4:J1867)-SUM($K$4:K1867),2))</f>
        <v/>
      </c>
      <c r="N1867" s="13" t="n"/>
      <c r="O1867" s="13" t="n"/>
      <c r="P1867" s="17">
        <f>IF($B1867="","",IF($F1867="※类别不在基础资料里","※费用类别不在基础资料里",IF(AND(N($J1867)=0,N($K1867)=0),"※这行没填金额",IF(AND(N($J1867)&gt;0,N($K1867)&gt;0),"※收入和支出不能同一行都填",IF(AND($D1867="收入",N($J1867)=0),"※收入行要填收入金额",IF(AND($D1867="支出",N($K1867)=0),"※支出行要填支出金额",IF(AND($C1867&lt;&gt;"",ISNA(MATCH($C1867,账户表,0))),"※账户不在基础资料里",IF(AND($G1867&lt;&gt;"",ISNA(MATCH($G1867,项目名表,0))),"※项目不在项目台账里",IF(AND(LEFT($F1867,3)="成本-",$G1867=""),"※成本类支出没填项目",IF(AND(LEFT($F1867,3)="成本-",$H1867&lt;&gt;"",N($K1867)&gt;0,COUNTIFS(采购单!$B:$B,$B1867,采购单!$C:$C,$H1867,采购单!$L:$L,$K1867)&gt;0),"※这笔可能和采购单重复了",""))))))))))</f>
        <v/>
      </c>
    </row>
    <row r="1868">
      <c r="A1868" s="17">
        <f>IF($B1868="","",ROW()-3)</f>
        <v/>
      </c>
      <c r="B1868" s="18" t="n"/>
      <c r="C1868" s="13" t="n"/>
      <c r="D1868" s="13" t="n"/>
      <c r="E1868" s="13" t="n"/>
      <c r="F1868" s="17">
        <f>IF($E1868="","",IFERROR(VLOOKUP($E1868,类别归属,2,0),"※类别不在基础资料里"))</f>
        <v/>
      </c>
      <c r="G1868" s="13" t="n"/>
      <c r="H1868" s="13" t="n"/>
      <c r="I1868" s="13" t="n"/>
      <c r="J1868" s="14" t="n"/>
      <c r="K1868" s="14" t="n"/>
      <c r="L1868" s="19">
        <f>IF($C1868="","",ROUND(IFERROR(VLOOKUP($C1868,账户期初,2,0),0)+SUMIFS($J$4:J1868,$C$4:C1868,$C1868)-SUMIFS($K$4:K1868,$C$4:C1868,$C1868),2))</f>
        <v/>
      </c>
      <c r="M1868" s="19">
        <f>IF($C1868="","",ROUND(SUM(基础资料!$B$4:$B$13)+SUM($J$4:J1868)-SUM($K$4:K1868),2))</f>
        <v/>
      </c>
      <c r="N1868" s="13" t="n"/>
      <c r="O1868" s="13" t="n"/>
      <c r="P1868" s="17">
        <f>IF($B1868="","",IF($F1868="※类别不在基础资料里","※费用类别不在基础资料里",IF(AND(N($J1868)=0,N($K1868)=0),"※这行没填金额",IF(AND(N($J1868)&gt;0,N($K1868)&gt;0),"※收入和支出不能同一行都填",IF(AND($D1868="收入",N($J1868)=0),"※收入行要填收入金额",IF(AND($D1868="支出",N($K1868)=0),"※支出行要填支出金额",IF(AND($C1868&lt;&gt;"",ISNA(MATCH($C1868,账户表,0))),"※账户不在基础资料里",IF(AND($G1868&lt;&gt;"",ISNA(MATCH($G1868,项目名表,0))),"※项目不在项目台账里",IF(AND(LEFT($F1868,3)="成本-",$G1868=""),"※成本类支出没填项目",IF(AND(LEFT($F1868,3)="成本-",$H1868&lt;&gt;"",N($K1868)&gt;0,COUNTIFS(采购单!$B:$B,$B1868,采购单!$C:$C,$H1868,采购单!$L:$L,$K1868)&gt;0),"※这笔可能和采购单重复了",""))))))))))</f>
        <v/>
      </c>
    </row>
    <row r="1869">
      <c r="A1869" s="17">
        <f>IF($B1869="","",ROW()-3)</f>
        <v/>
      </c>
      <c r="B1869" s="18" t="n"/>
      <c r="C1869" s="13" t="n"/>
      <c r="D1869" s="13" t="n"/>
      <c r="E1869" s="13" t="n"/>
      <c r="F1869" s="17">
        <f>IF($E1869="","",IFERROR(VLOOKUP($E1869,类别归属,2,0),"※类别不在基础资料里"))</f>
        <v/>
      </c>
      <c r="G1869" s="13" t="n"/>
      <c r="H1869" s="13" t="n"/>
      <c r="I1869" s="13" t="n"/>
      <c r="J1869" s="14" t="n"/>
      <c r="K1869" s="14" t="n"/>
      <c r="L1869" s="19">
        <f>IF($C1869="","",ROUND(IFERROR(VLOOKUP($C1869,账户期初,2,0),0)+SUMIFS($J$4:J1869,$C$4:C1869,$C1869)-SUMIFS($K$4:K1869,$C$4:C1869,$C1869),2))</f>
        <v/>
      </c>
      <c r="M1869" s="19">
        <f>IF($C1869="","",ROUND(SUM(基础资料!$B$4:$B$13)+SUM($J$4:J1869)-SUM($K$4:K1869),2))</f>
        <v/>
      </c>
      <c r="N1869" s="13" t="n"/>
      <c r="O1869" s="13" t="n"/>
      <c r="P1869" s="17">
        <f>IF($B1869="","",IF($F1869="※类别不在基础资料里","※费用类别不在基础资料里",IF(AND(N($J1869)=0,N($K1869)=0),"※这行没填金额",IF(AND(N($J1869)&gt;0,N($K1869)&gt;0),"※收入和支出不能同一行都填",IF(AND($D1869="收入",N($J1869)=0),"※收入行要填收入金额",IF(AND($D1869="支出",N($K1869)=0),"※支出行要填支出金额",IF(AND($C1869&lt;&gt;"",ISNA(MATCH($C1869,账户表,0))),"※账户不在基础资料里",IF(AND($G1869&lt;&gt;"",ISNA(MATCH($G1869,项目名表,0))),"※项目不在项目台账里",IF(AND(LEFT($F1869,3)="成本-",$G1869=""),"※成本类支出没填项目",IF(AND(LEFT($F1869,3)="成本-",$H1869&lt;&gt;"",N($K1869)&gt;0,COUNTIFS(采购单!$B:$B,$B1869,采购单!$C:$C,$H1869,采购单!$L:$L,$K1869)&gt;0),"※这笔可能和采购单重复了",""))))))))))</f>
        <v/>
      </c>
    </row>
    <row r="1870">
      <c r="A1870" s="17">
        <f>IF($B1870="","",ROW()-3)</f>
        <v/>
      </c>
      <c r="B1870" s="18" t="n"/>
      <c r="C1870" s="13" t="n"/>
      <c r="D1870" s="13" t="n"/>
      <c r="E1870" s="13" t="n"/>
      <c r="F1870" s="17">
        <f>IF($E1870="","",IFERROR(VLOOKUP($E1870,类别归属,2,0),"※类别不在基础资料里"))</f>
        <v/>
      </c>
      <c r="G1870" s="13" t="n"/>
      <c r="H1870" s="13" t="n"/>
      <c r="I1870" s="13" t="n"/>
      <c r="J1870" s="14" t="n"/>
      <c r="K1870" s="14" t="n"/>
      <c r="L1870" s="19">
        <f>IF($C1870="","",ROUND(IFERROR(VLOOKUP($C1870,账户期初,2,0),0)+SUMIFS($J$4:J1870,$C$4:C1870,$C1870)-SUMIFS($K$4:K1870,$C$4:C1870,$C1870),2))</f>
        <v/>
      </c>
      <c r="M1870" s="19">
        <f>IF($C1870="","",ROUND(SUM(基础资料!$B$4:$B$13)+SUM($J$4:J1870)-SUM($K$4:K1870),2))</f>
        <v/>
      </c>
      <c r="N1870" s="13" t="n"/>
      <c r="O1870" s="13" t="n"/>
      <c r="P1870" s="17">
        <f>IF($B1870="","",IF($F1870="※类别不在基础资料里","※费用类别不在基础资料里",IF(AND(N($J1870)=0,N($K1870)=0),"※这行没填金额",IF(AND(N($J1870)&gt;0,N($K1870)&gt;0),"※收入和支出不能同一行都填",IF(AND($D1870="收入",N($J1870)=0),"※收入行要填收入金额",IF(AND($D1870="支出",N($K1870)=0),"※支出行要填支出金额",IF(AND($C1870&lt;&gt;"",ISNA(MATCH($C1870,账户表,0))),"※账户不在基础资料里",IF(AND($G1870&lt;&gt;"",ISNA(MATCH($G1870,项目名表,0))),"※项目不在项目台账里",IF(AND(LEFT($F1870,3)="成本-",$G1870=""),"※成本类支出没填项目",IF(AND(LEFT($F1870,3)="成本-",$H1870&lt;&gt;"",N($K1870)&gt;0,COUNTIFS(采购单!$B:$B,$B1870,采购单!$C:$C,$H1870,采购单!$L:$L,$K1870)&gt;0),"※这笔可能和采购单重复了",""))))))))))</f>
        <v/>
      </c>
    </row>
    <row r="1871">
      <c r="A1871" s="17">
        <f>IF($B1871="","",ROW()-3)</f>
        <v/>
      </c>
      <c r="B1871" s="18" t="n"/>
      <c r="C1871" s="13" t="n"/>
      <c r="D1871" s="13" t="n"/>
      <c r="E1871" s="13" t="n"/>
      <c r="F1871" s="17">
        <f>IF($E1871="","",IFERROR(VLOOKUP($E1871,类别归属,2,0),"※类别不在基础资料里"))</f>
        <v/>
      </c>
      <c r="G1871" s="13" t="n"/>
      <c r="H1871" s="13" t="n"/>
      <c r="I1871" s="13" t="n"/>
      <c r="J1871" s="14" t="n"/>
      <c r="K1871" s="14" t="n"/>
      <c r="L1871" s="19">
        <f>IF($C1871="","",ROUND(IFERROR(VLOOKUP($C1871,账户期初,2,0),0)+SUMIFS($J$4:J1871,$C$4:C1871,$C1871)-SUMIFS($K$4:K1871,$C$4:C1871,$C1871),2))</f>
        <v/>
      </c>
      <c r="M1871" s="19">
        <f>IF($C1871="","",ROUND(SUM(基础资料!$B$4:$B$13)+SUM($J$4:J1871)-SUM($K$4:K1871),2))</f>
        <v/>
      </c>
      <c r="N1871" s="13" t="n"/>
      <c r="O1871" s="13" t="n"/>
      <c r="P1871" s="17">
        <f>IF($B1871="","",IF($F1871="※类别不在基础资料里","※费用类别不在基础资料里",IF(AND(N($J1871)=0,N($K1871)=0),"※这行没填金额",IF(AND(N($J1871)&gt;0,N($K1871)&gt;0),"※收入和支出不能同一行都填",IF(AND($D1871="收入",N($J1871)=0),"※收入行要填收入金额",IF(AND($D1871="支出",N($K1871)=0),"※支出行要填支出金额",IF(AND($C1871&lt;&gt;"",ISNA(MATCH($C1871,账户表,0))),"※账户不在基础资料里",IF(AND($G1871&lt;&gt;"",ISNA(MATCH($G1871,项目名表,0))),"※项目不在项目台账里",IF(AND(LEFT($F1871,3)="成本-",$G1871=""),"※成本类支出没填项目",IF(AND(LEFT($F1871,3)="成本-",$H1871&lt;&gt;"",N($K1871)&gt;0,COUNTIFS(采购单!$B:$B,$B1871,采购单!$C:$C,$H1871,采购单!$L:$L,$K1871)&gt;0),"※这笔可能和采购单重复了",""))))))))))</f>
        <v/>
      </c>
    </row>
    <row r="1872">
      <c r="A1872" s="17">
        <f>IF($B1872="","",ROW()-3)</f>
        <v/>
      </c>
      <c r="B1872" s="18" t="n"/>
      <c r="C1872" s="13" t="n"/>
      <c r="D1872" s="13" t="n"/>
      <c r="E1872" s="13" t="n"/>
      <c r="F1872" s="17">
        <f>IF($E1872="","",IFERROR(VLOOKUP($E1872,类别归属,2,0),"※类别不在基础资料里"))</f>
        <v/>
      </c>
      <c r="G1872" s="13" t="n"/>
      <c r="H1872" s="13" t="n"/>
      <c r="I1872" s="13" t="n"/>
      <c r="J1872" s="14" t="n"/>
      <c r="K1872" s="14" t="n"/>
      <c r="L1872" s="19">
        <f>IF($C1872="","",ROUND(IFERROR(VLOOKUP($C1872,账户期初,2,0),0)+SUMIFS($J$4:J1872,$C$4:C1872,$C1872)-SUMIFS($K$4:K1872,$C$4:C1872,$C1872),2))</f>
        <v/>
      </c>
      <c r="M1872" s="19">
        <f>IF($C1872="","",ROUND(SUM(基础资料!$B$4:$B$13)+SUM($J$4:J1872)-SUM($K$4:K1872),2))</f>
        <v/>
      </c>
      <c r="N1872" s="13" t="n"/>
      <c r="O1872" s="13" t="n"/>
      <c r="P1872" s="17">
        <f>IF($B1872="","",IF($F1872="※类别不在基础资料里","※费用类别不在基础资料里",IF(AND(N($J1872)=0,N($K1872)=0),"※这行没填金额",IF(AND(N($J1872)&gt;0,N($K1872)&gt;0),"※收入和支出不能同一行都填",IF(AND($D1872="收入",N($J1872)=0),"※收入行要填收入金额",IF(AND($D1872="支出",N($K1872)=0),"※支出行要填支出金额",IF(AND($C1872&lt;&gt;"",ISNA(MATCH($C1872,账户表,0))),"※账户不在基础资料里",IF(AND($G1872&lt;&gt;"",ISNA(MATCH($G1872,项目名表,0))),"※项目不在项目台账里",IF(AND(LEFT($F1872,3)="成本-",$G1872=""),"※成本类支出没填项目",IF(AND(LEFT($F1872,3)="成本-",$H1872&lt;&gt;"",N($K1872)&gt;0,COUNTIFS(采购单!$B:$B,$B1872,采购单!$C:$C,$H1872,采购单!$L:$L,$K1872)&gt;0),"※这笔可能和采购单重复了",""))))))))))</f>
        <v/>
      </c>
    </row>
    <row r="1873">
      <c r="A1873" s="17">
        <f>IF($B1873="","",ROW()-3)</f>
        <v/>
      </c>
      <c r="B1873" s="18" t="n"/>
      <c r="C1873" s="13" t="n"/>
      <c r="D1873" s="13" t="n"/>
      <c r="E1873" s="13" t="n"/>
      <c r="F1873" s="17">
        <f>IF($E1873="","",IFERROR(VLOOKUP($E1873,类别归属,2,0),"※类别不在基础资料里"))</f>
        <v/>
      </c>
      <c r="G1873" s="13" t="n"/>
      <c r="H1873" s="13" t="n"/>
      <c r="I1873" s="13" t="n"/>
      <c r="J1873" s="14" t="n"/>
      <c r="K1873" s="14" t="n"/>
      <c r="L1873" s="19">
        <f>IF($C1873="","",ROUND(IFERROR(VLOOKUP($C1873,账户期初,2,0),0)+SUMIFS($J$4:J1873,$C$4:C1873,$C1873)-SUMIFS($K$4:K1873,$C$4:C1873,$C1873),2))</f>
        <v/>
      </c>
      <c r="M1873" s="19">
        <f>IF($C1873="","",ROUND(SUM(基础资料!$B$4:$B$13)+SUM($J$4:J1873)-SUM($K$4:K1873),2))</f>
        <v/>
      </c>
      <c r="N1873" s="13" t="n"/>
      <c r="O1873" s="13" t="n"/>
      <c r="P1873" s="17">
        <f>IF($B1873="","",IF($F1873="※类别不在基础资料里","※费用类别不在基础资料里",IF(AND(N($J1873)=0,N($K1873)=0),"※这行没填金额",IF(AND(N($J1873)&gt;0,N($K1873)&gt;0),"※收入和支出不能同一行都填",IF(AND($D1873="收入",N($J1873)=0),"※收入行要填收入金额",IF(AND($D1873="支出",N($K1873)=0),"※支出行要填支出金额",IF(AND($C1873&lt;&gt;"",ISNA(MATCH($C1873,账户表,0))),"※账户不在基础资料里",IF(AND($G1873&lt;&gt;"",ISNA(MATCH($G1873,项目名表,0))),"※项目不在项目台账里",IF(AND(LEFT($F1873,3)="成本-",$G1873=""),"※成本类支出没填项目",IF(AND(LEFT($F1873,3)="成本-",$H1873&lt;&gt;"",N($K1873)&gt;0,COUNTIFS(采购单!$B:$B,$B1873,采购单!$C:$C,$H1873,采购单!$L:$L,$K1873)&gt;0),"※这笔可能和采购单重复了",""))))))))))</f>
        <v/>
      </c>
    </row>
    <row r="1874">
      <c r="A1874" s="17">
        <f>IF($B1874="","",ROW()-3)</f>
        <v/>
      </c>
      <c r="B1874" s="18" t="n"/>
      <c r="C1874" s="13" t="n"/>
      <c r="D1874" s="13" t="n"/>
      <c r="E1874" s="13" t="n"/>
      <c r="F1874" s="17">
        <f>IF($E1874="","",IFERROR(VLOOKUP($E1874,类别归属,2,0),"※类别不在基础资料里"))</f>
        <v/>
      </c>
      <c r="G1874" s="13" t="n"/>
      <c r="H1874" s="13" t="n"/>
      <c r="I1874" s="13" t="n"/>
      <c r="J1874" s="14" t="n"/>
      <c r="K1874" s="14" t="n"/>
      <c r="L1874" s="19">
        <f>IF($C1874="","",ROUND(IFERROR(VLOOKUP($C1874,账户期初,2,0),0)+SUMIFS($J$4:J1874,$C$4:C1874,$C1874)-SUMIFS($K$4:K1874,$C$4:C1874,$C1874),2))</f>
        <v/>
      </c>
      <c r="M1874" s="19">
        <f>IF($C1874="","",ROUND(SUM(基础资料!$B$4:$B$13)+SUM($J$4:J1874)-SUM($K$4:K1874),2))</f>
        <v/>
      </c>
      <c r="N1874" s="13" t="n"/>
      <c r="O1874" s="13" t="n"/>
      <c r="P1874" s="17">
        <f>IF($B1874="","",IF($F1874="※类别不在基础资料里","※费用类别不在基础资料里",IF(AND(N($J1874)=0,N($K1874)=0),"※这行没填金额",IF(AND(N($J1874)&gt;0,N($K1874)&gt;0),"※收入和支出不能同一行都填",IF(AND($D1874="收入",N($J1874)=0),"※收入行要填收入金额",IF(AND($D1874="支出",N($K1874)=0),"※支出行要填支出金额",IF(AND($C1874&lt;&gt;"",ISNA(MATCH($C1874,账户表,0))),"※账户不在基础资料里",IF(AND($G1874&lt;&gt;"",ISNA(MATCH($G1874,项目名表,0))),"※项目不在项目台账里",IF(AND(LEFT($F1874,3)="成本-",$G1874=""),"※成本类支出没填项目",IF(AND(LEFT($F1874,3)="成本-",$H1874&lt;&gt;"",N($K1874)&gt;0,COUNTIFS(采购单!$B:$B,$B1874,采购单!$C:$C,$H1874,采购单!$L:$L,$K1874)&gt;0),"※这笔可能和采购单重复了",""))))))))))</f>
        <v/>
      </c>
    </row>
    <row r="1875">
      <c r="A1875" s="17">
        <f>IF($B1875="","",ROW()-3)</f>
        <v/>
      </c>
      <c r="B1875" s="18" t="n"/>
      <c r="C1875" s="13" t="n"/>
      <c r="D1875" s="13" t="n"/>
      <c r="E1875" s="13" t="n"/>
      <c r="F1875" s="17">
        <f>IF($E1875="","",IFERROR(VLOOKUP($E1875,类别归属,2,0),"※类别不在基础资料里"))</f>
        <v/>
      </c>
      <c r="G1875" s="13" t="n"/>
      <c r="H1875" s="13" t="n"/>
      <c r="I1875" s="13" t="n"/>
      <c r="J1875" s="14" t="n"/>
      <c r="K1875" s="14" t="n"/>
      <c r="L1875" s="19">
        <f>IF($C1875="","",ROUND(IFERROR(VLOOKUP($C1875,账户期初,2,0),0)+SUMIFS($J$4:J1875,$C$4:C1875,$C1875)-SUMIFS($K$4:K1875,$C$4:C1875,$C1875),2))</f>
        <v/>
      </c>
      <c r="M1875" s="19">
        <f>IF($C1875="","",ROUND(SUM(基础资料!$B$4:$B$13)+SUM($J$4:J1875)-SUM($K$4:K1875),2))</f>
        <v/>
      </c>
      <c r="N1875" s="13" t="n"/>
      <c r="O1875" s="13" t="n"/>
      <c r="P1875" s="17">
        <f>IF($B1875="","",IF($F1875="※类别不在基础资料里","※费用类别不在基础资料里",IF(AND(N($J1875)=0,N($K1875)=0),"※这行没填金额",IF(AND(N($J1875)&gt;0,N($K1875)&gt;0),"※收入和支出不能同一行都填",IF(AND($D1875="收入",N($J1875)=0),"※收入行要填收入金额",IF(AND($D1875="支出",N($K1875)=0),"※支出行要填支出金额",IF(AND($C1875&lt;&gt;"",ISNA(MATCH($C1875,账户表,0))),"※账户不在基础资料里",IF(AND($G1875&lt;&gt;"",ISNA(MATCH($G1875,项目名表,0))),"※项目不在项目台账里",IF(AND(LEFT($F1875,3)="成本-",$G1875=""),"※成本类支出没填项目",IF(AND(LEFT($F1875,3)="成本-",$H1875&lt;&gt;"",N($K1875)&gt;0,COUNTIFS(采购单!$B:$B,$B1875,采购单!$C:$C,$H1875,采购单!$L:$L,$K1875)&gt;0),"※这笔可能和采购单重复了",""))))))))))</f>
        <v/>
      </c>
    </row>
    <row r="1876">
      <c r="A1876" s="17">
        <f>IF($B1876="","",ROW()-3)</f>
        <v/>
      </c>
      <c r="B1876" s="18" t="n"/>
      <c r="C1876" s="13" t="n"/>
      <c r="D1876" s="13" t="n"/>
      <c r="E1876" s="13" t="n"/>
      <c r="F1876" s="17">
        <f>IF($E1876="","",IFERROR(VLOOKUP($E1876,类别归属,2,0),"※类别不在基础资料里"))</f>
        <v/>
      </c>
      <c r="G1876" s="13" t="n"/>
      <c r="H1876" s="13" t="n"/>
      <c r="I1876" s="13" t="n"/>
      <c r="J1876" s="14" t="n"/>
      <c r="K1876" s="14" t="n"/>
      <c r="L1876" s="19">
        <f>IF($C1876="","",ROUND(IFERROR(VLOOKUP($C1876,账户期初,2,0),0)+SUMIFS($J$4:J1876,$C$4:C1876,$C1876)-SUMIFS($K$4:K1876,$C$4:C1876,$C1876),2))</f>
        <v/>
      </c>
      <c r="M1876" s="19">
        <f>IF($C1876="","",ROUND(SUM(基础资料!$B$4:$B$13)+SUM($J$4:J1876)-SUM($K$4:K1876),2))</f>
        <v/>
      </c>
      <c r="N1876" s="13" t="n"/>
      <c r="O1876" s="13" t="n"/>
      <c r="P1876" s="17">
        <f>IF($B1876="","",IF($F1876="※类别不在基础资料里","※费用类别不在基础资料里",IF(AND(N($J1876)=0,N($K1876)=0),"※这行没填金额",IF(AND(N($J1876)&gt;0,N($K1876)&gt;0),"※收入和支出不能同一行都填",IF(AND($D1876="收入",N($J1876)=0),"※收入行要填收入金额",IF(AND($D1876="支出",N($K1876)=0),"※支出行要填支出金额",IF(AND($C1876&lt;&gt;"",ISNA(MATCH($C1876,账户表,0))),"※账户不在基础资料里",IF(AND($G1876&lt;&gt;"",ISNA(MATCH($G1876,项目名表,0))),"※项目不在项目台账里",IF(AND(LEFT($F1876,3)="成本-",$G1876=""),"※成本类支出没填项目",IF(AND(LEFT($F1876,3)="成本-",$H1876&lt;&gt;"",N($K1876)&gt;0,COUNTIFS(采购单!$B:$B,$B1876,采购单!$C:$C,$H1876,采购单!$L:$L,$K1876)&gt;0),"※这笔可能和采购单重复了",""))))))))))</f>
        <v/>
      </c>
    </row>
    <row r="1877">
      <c r="A1877" s="17">
        <f>IF($B1877="","",ROW()-3)</f>
        <v/>
      </c>
      <c r="B1877" s="18" t="n"/>
      <c r="C1877" s="13" t="n"/>
      <c r="D1877" s="13" t="n"/>
      <c r="E1877" s="13" t="n"/>
      <c r="F1877" s="17">
        <f>IF($E1877="","",IFERROR(VLOOKUP($E1877,类别归属,2,0),"※类别不在基础资料里"))</f>
        <v/>
      </c>
      <c r="G1877" s="13" t="n"/>
      <c r="H1877" s="13" t="n"/>
      <c r="I1877" s="13" t="n"/>
      <c r="J1877" s="14" t="n"/>
      <c r="K1877" s="14" t="n"/>
      <c r="L1877" s="19">
        <f>IF($C1877="","",ROUND(IFERROR(VLOOKUP($C1877,账户期初,2,0),0)+SUMIFS($J$4:J1877,$C$4:C1877,$C1877)-SUMIFS($K$4:K1877,$C$4:C1877,$C1877),2))</f>
        <v/>
      </c>
      <c r="M1877" s="19">
        <f>IF($C1877="","",ROUND(SUM(基础资料!$B$4:$B$13)+SUM($J$4:J1877)-SUM($K$4:K1877),2))</f>
        <v/>
      </c>
      <c r="N1877" s="13" t="n"/>
      <c r="O1877" s="13" t="n"/>
      <c r="P1877" s="17">
        <f>IF($B1877="","",IF($F1877="※类别不在基础资料里","※费用类别不在基础资料里",IF(AND(N($J1877)=0,N($K1877)=0),"※这行没填金额",IF(AND(N($J1877)&gt;0,N($K1877)&gt;0),"※收入和支出不能同一行都填",IF(AND($D1877="收入",N($J1877)=0),"※收入行要填收入金额",IF(AND($D1877="支出",N($K1877)=0),"※支出行要填支出金额",IF(AND($C1877&lt;&gt;"",ISNA(MATCH($C1877,账户表,0))),"※账户不在基础资料里",IF(AND($G1877&lt;&gt;"",ISNA(MATCH($G1877,项目名表,0))),"※项目不在项目台账里",IF(AND(LEFT($F1877,3)="成本-",$G1877=""),"※成本类支出没填项目",IF(AND(LEFT($F1877,3)="成本-",$H1877&lt;&gt;"",N($K1877)&gt;0,COUNTIFS(采购单!$B:$B,$B1877,采购单!$C:$C,$H1877,采购单!$L:$L,$K1877)&gt;0),"※这笔可能和采购单重复了",""))))))))))</f>
        <v/>
      </c>
    </row>
    <row r="1878">
      <c r="A1878" s="17">
        <f>IF($B1878="","",ROW()-3)</f>
        <v/>
      </c>
      <c r="B1878" s="18" t="n"/>
      <c r="C1878" s="13" t="n"/>
      <c r="D1878" s="13" t="n"/>
      <c r="E1878" s="13" t="n"/>
      <c r="F1878" s="17">
        <f>IF($E1878="","",IFERROR(VLOOKUP($E1878,类别归属,2,0),"※类别不在基础资料里"))</f>
        <v/>
      </c>
      <c r="G1878" s="13" t="n"/>
      <c r="H1878" s="13" t="n"/>
      <c r="I1878" s="13" t="n"/>
      <c r="J1878" s="14" t="n"/>
      <c r="K1878" s="14" t="n"/>
      <c r="L1878" s="19">
        <f>IF($C1878="","",ROUND(IFERROR(VLOOKUP($C1878,账户期初,2,0),0)+SUMIFS($J$4:J1878,$C$4:C1878,$C1878)-SUMIFS($K$4:K1878,$C$4:C1878,$C1878),2))</f>
        <v/>
      </c>
      <c r="M1878" s="19">
        <f>IF($C1878="","",ROUND(SUM(基础资料!$B$4:$B$13)+SUM($J$4:J1878)-SUM($K$4:K1878),2))</f>
        <v/>
      </c>
      <c r="N1878" s="13" t="n"/>
      <c r="O1878" s="13" t="n"/>
      <c r="P1878" s="17">
        <f>IF($B1878="","",IF($F1878="※类别不在基础资料里","※费用类别不在基础资料里",IF(AND(N($J1878)=0,N($K1878)=0),"※这行没填金额",IF(AND(N($J1878)&gt;0,N($K1878)&gt;0),"※收入和支出不能同一行都填",IF(AND($D1878="收入",N($J1878)=0),"※收入行要填收入金额",IF(AND($D1878="支出",N($K1878)=0),"※支出行要填支出金额",IF(AND($C1878&lt;&gt;"",ISNA(MATCH($C1878,账户表,0))),"※账户不在基础资料里",IF(AND($G1878&lt;&gt;"",ISNA(MATCH($G1878,项目名表,0))),"※项目不在项目台账里",IF(AND(LEFT($F1878,3)="成本-",$G1878=""),"※成本类支出没填项目",IF(AND(LEFT($F1878,3)="成本-",$H1878&lt;&gt;"",N($K1878)&gt;0,COUNTIFS(采购单!$B:$B,$B1878,采购单!$C:$C,$H1878,采购单!$L:$L,$K1878)&gt;0),"※这笔可能和采购单重复了",""))))))))))</f>
        <v/>
      </c>
    </row>
    <row r="1879">
      <c r="A1879" s="17">
        <f>IF($B1879="","",ROW()-3)</f>
        <v/>
      </c>
      <c r="B1879" s="18" t="n"/>
      <c r="C1879" s="13" t="n"/>
      <c r="D1879" s="13" t="n"/>
      <c r="E1879" s="13" t="n"/>
      <c r="F1879" s="17">
        <f>IF($E1879="","",IFERROR(VLOOKUP($E1879,类别归属,2,0),"※类别不在基础资料里"))</f>
        <v/>
      </c>
      <c r="G1879" s="13" t="n"/>
      <c r="H1879" s="13" t="n"/>
      <c r="I1879" s="13" t="n"/>
      <c r="J1879" s="14" t="n"/>
      <c r="K1879" s="14" t="n"/>
      <c r="L1879" s="19">
        <f>IF($C1879="","",ROUND(IFERROR(VLOOKUP($C1879,账户期初,2,0),0)+SUMIFS($J$4:J1879,$C$4:C1879,$C1879)-SUMIFS($K$4:K1879,$C$4:C1879,$C1879),2))</f>
        <v/>
      </c>
      <c r="M1879" s="19">
        <f>IF($C1879="","",ROUND(SUM(基础资料!$B$4:$B$13)+SUM($J$4:J1879)-SUM($K$4:K1879),2))</f>
        <v/>
      </c>
      <c r="N1879" s="13" t="n"/>
      <c r="O1879" s="13" t="n"/>
      <c r="P1879" s="17">
        <f>IF($B1879="","",IF($F1879="※类别不在基础资料里","※费用类别不在基础资料里",IF(AND(N($J1879)=0,N($K1879)=0),"※这行没填金额",IF(AND(N($J1879)&gt;0,N($K1879)&gt;0),"※收入和支出不能同一行都填",IF(AND($D1879="收入",N($J1879)=0),"※收入行要填收入金额",IF(AND($D1879="支出",N($K1879)=0),"※支出行要填支出金额",IF(AND($C1879&lt;&gt;"",ISNA(MATCH($C1879,账户表,0))),"※账户不在基础资料里",IF(AND($G1879&lt;&gt;"",ISNA(MATCH($G1879,项目名表,0))),"※项目不在项目台账里",IF(AND(LEFT($F1879,3)="成本-",$G1879=""),"※成本类支出没填项目",IF(AND(LEFT($F1879,3)="成本-",$H1879&lt;&gt;"",N($K1879)&gt;0,COUNTIFS(采购单!$B:$B,$B1879,采购单!$C:$C,$H1879,采购单!$L:$L,$K1879)&gt;0),"※这笔可能和采购单重复了",""))))))))))</f>
        <v/>
      </c>
    </row>
    <row r="1880">
      <c r="A1880" s="17">
        <f>IF($B1880="","",ROW()-3)</f>
        <v/>
      </c>
      <c r="B1880" s="18" t="n"/>
      <c r="C1880" s="13" t="n"/>
      <c r="D1880" s="13" t="n"/>
      <c r="E1880" s="13" t="n"/>
      <c r="F1880" s="17">
        <f>IF($E1880="","",IFERROR(VLOOKUP($E1880,类别归属,2,0),"※类别不在基础资料里"))</f>
        <v/>
      </c>
      <c r="G1880" s="13" t="n"/>
      <c r="H1880" s="13" t="n"/>
      <c r="I1880" s="13" t="n"/>
      <c r="J1880" s="14" t="n"/>
      <c r="K1880" s="14" t="n"/>
      <c r="L1880" s="19">
        <f>IF($C1880="","",ROUND(IFERROR(VLOOKUP($C1880,账户期初,2,0),0)+SUMIFS($J$4:J1880,$C$4:C1880,$C1880)-SUMIFS($K$4:K1880,$C$4:C1880,$C1880),2))</f>
        <v/>
      </c>
      <c r="M1880" s="19">
        <f>IF($C1880="","",ROUND(SUM(基础资料!$B$4:$B$13)+SUM($J$4:J1880)-SUM($K$4:K1880),2))</f>
        <v/>
      </c>
      <c r="N1880" s="13" t="n"/>
      <c r="O1880" s="13" t="n"/>
      <c r="P1880" s="17">
        <f>IF($B1880="","",IF($F1880="※类别不在基础资料里","※费用类别不在基础资料里",IF(AND(N($J1880)=0,N($K1880)=0),"※这行没填金额",IF(AND(N($J1880)&gt;0,N($K1880)&gt;0),"※收入和支出不能同一行都填",IF(AND($D1880="收入",N($J1880)=0),"※收入行要填收入金额",IF(AND($D1880="支出",N($K1880)=0),"※支出行要填支出金额",IF(AND($C1880&lt;&gt;"",ISNA(MATCH($C1880,账户表,0))),"※账户不在基础资料里",IF(AND($G1880&lt;&gt;"",ISNA(MATCH($G1880,项目名表,0))),"※项目不在项目台账里",IF(AND(LEFT($F1880,3)="成本-",$G1880=""),"※成本类支出没填项目",IF(AND(LEFT($F1880,3)="成本-",$H1880&lt;&gt;"",N($K1880)&gt;0,COUNTIFS(采购单!$B:$B,$B1880,采购单!$C:$C,$H1880,采购单!$L:$L,$K1880)&gt;0),"※这笔可能和采购单重复了",""))))))))))</f>
        <v/>
      </c>
    </row>
    <row r="1881">
      <c r="A1881" s="17">
        <f>IF($B1881="","",ROW()-3)</f>
        <v/>
      </c>
      <c r="B1881" s="18" t="n"/>
      <c r="C1881" s="13" t="n"/>
      <c r="D1881" s="13" t="n"/>
      <c r="E1881" s="13" t="n"/>
      <c r="F1881" s="17">
        <f>IF($E1881="","",IFERROR(VLOOKUP($E1881,类别归属,2,0),"※类别不在基础资料里"))</f>
        <v/>
      </c>
      <c r="G1881" s="13" t="n"/>
      <c r="H1881" s="13" t="n"/>
      <c r="I1881" s="13" t="n"/>
      <c r="J1881" s="14" t="n"/>
      <c r="K1881" s="14" t="n"/>
      <c r="L1881" s="19">
        <f>IF($C1881="","",ROUND(IFERROR(VLOOKUP($C1881,账户期初,2,0),0)+SUMIFS($J$4:J1881,$C$4:C1881,$C1881)-SUMIFS($K$4:K1881,$C$4:C1881,$C1881),2))</f>
        <v/>
      </c>
      <c r="M1881" s="19">
        <f>IF($C1881="","",ROUND(SUM(基础资料!$B$4:$B$13)+SUM($J$4:J1881)-SUM($K$4:K1881),2))</f>
        <v/>
      </c>
      <c r="N1881" s="13" t="n"/>
      <c r="O1881" s="13" t="n"/>
      <c r="P1881" s="17">
        <f>IF($B1881="","",IF($F1881="※类别不在基础资料里","※费用类别不在基础资料里",IF(AND(N($J1881)=0,N($K1881)=0),"※这行没填金额",IF(AND(N($J1881)&gt;0,N($K1881)&gt;0),"※收入和支出不能同一行都填",IF(AND($D1881="收入",N($J1881)=0),"※收入行要填收入金额",IF(AND($D1881="支出",N($K1881)=0),"※支出行要填支出金额",IF(AND($C1881&lt;&gt;"",ISNA(MATCH($C1881,账户表,0))),"※账户不在基础资料里",IF(AND($G1881&lt;&gt;"",ISNA(MATCH($G1881,项目名表,0))),"※项目不在项目台账里",IF(AND(LEFT($F1881,3)="成本-",$G1881=""),"※成本类支出没填项目",IF(AND(LEFT($F1881,3)="成本-",$H1881&lt;&gt;"",N($K1881)&gt;0,COUNTIFS(采购单!$B:$B,$B1881,采购单!$C:$C,$H1881,采购单!$L:$L,$K1881)&gt;0),"※这笔可能和采购单重复了",""))))))))))</f>
        <v/>
      </c>
    </row>
    <row r="1882">
      <c r="A1882" s="17">
        <f>IF($B1882="","",ROW()-3)</f>
        <v/>
      </c>
      <c r="B1882" s="18" t="n"/>
      <c r="C1882" s="13" t="n"/>
      <c r="D1882" s="13" t="n"/>
      <c r="E1882" s="13" t="n"/>
      <c r="F1882" s="17">
        <f>IF($E1882="","",IFERROR(VLOOKUP($E1882,类别归属,2,0),"※类别不在基础资料里"))</f>
        <v/>
      </c>
      <c r="G1882" s="13" t="n"/>
      <c r="H1882" s="13" t="n"/>
      <c r="I1882" s="13" t="n"/>
      <c r="J1882" s="14" t="n"/>
      <c r="K1882" s="14" t="n"/>
      <c r="L1882" s="19">
        <f>IF($C1882="","",ROUND(IFERROR(VLOOKUP($C1882,账户期初,2,0),0)+SUMIFS($J$4:J1882,$C$4:C1882,$C1882)-SUMIFS($K$4:K1882,$C$4:C1882,$C1882),2))</f>
        <v/>
      </c>
      <c r="M1882" s="19">
        <f>IF($C1882="","",ROUND(SUM(基础资料!$B$4:$B$13)+SUM($J$4:J1882)-SUM($K$4:K1882),2))</f>
        <v/>
      </c>
      <c r="N1882" s="13" t="n"/>
      <c r="O1882" s="13" t="n"/>
      <c r="P1882" s="17">
        <f>IF($B1882="","",IF($F1882="※类别不在基础资料里","※费用类别不在基础资料里",IF(AND(N($J1882)=0,N($K1882)=0),"※这行没填金额",IF(AND(N($J1882)&gt;0,N($K1882)&gt;0),"※收入和支出不能同一行都填",IF(AND($D1882="收入",N($J1882)=0),"※收入行要填收入金额",IF(AND($D1882="支出",N($K1882)=0),"※支出行要填支出金额",IF(AND($C1882&lt;&gt;"",ISNA(MATCH($C1882,账户表,0))),"※账户不在基础资料里",IF(AND($G1882&lt;&gt;"",ISNA(MATCH($G1882,项目名表,0))),"※项目不在项目台账里",IF(AND(LEFT($F1882,3)="成本-",$G1882=""),"※成本类支出没填项目",IF(AND(LEFT($F1882,3)="成本-",$H1882&lt;&gt;"",N($K1882)&gt;0,COUNTIFS(采购单!$B:$B,$B1882,采购单!$C:$C,$H1882,采购单!$L:$L,$K1882)&gt;0),"※这笔可能和采购单重复了",""))))))))))</f>
        <v/>
      </c>
    </row>
    <row r="1883">
      <c r="A1883" s="17">
        <f>IF($B1883="","",ROW()-3)</f>
        <v/>
      </c>
      <c r="B1883" s="18" t="n"/>
      <c r="C1883" s="13" t="n"/>
      <c r="D1883" s="13" t="n"/>
      <c r="E1883" s="13" t="n"/>
      <c r="F1883" s="17">
        <f>IF($E1883="","",IFERROR(VLOOKUP($E1883,类别归属,2,0),"※类别不在基础资料里"))</f>
        <v/>
      </c>
      <c r="G1883" s="13" t="n"/>
      <c r="H1883" s="13" t="n"/>
      <c r="I1883" s="13" t="n"/>
      <c r="J1883" s="14" t="n"/>
      <c r="K1883" s="14" t="n"/>
      <c r="L1883" s="19">
        <f>IF($C1883="","",ROUND(IFERROR(VLOOKUP($C1883,账户期初,2,0),0)+SUMIFS($J$4:J1883,$C$4:C1883,$C1883)-SUMIFS($K$4:K1883,$C$4:C1883,$C1883),2))</f>
        <v/>
      </c>
      <c r="M1883" s="19">
        <f>IF($C1883="","",ROUND(SUM(基础资料!$B$4:$B$13)+SUM($J$4:J1883)-SUM($K$4:K1883),2))</f>
        <v/>
      </c>
      <c r="N1883" s="13" t="n"/>
      <c r="O1883" s="13" t="n"/>
      <c r="P1883" s="17">
        <f>IF($B1883="","",IF($F1883="※类别不在基础资料里","※费用类别不在基础资料里",IF(AND(N($J1883)=0,N($K1883)=0),"※这行没填金额",IF(AND(N($J1883)&gt;0,N($K1883)&gt;0),"※收入和支出不能同一行都填",IF(AND($D1883="收入",N($J1883)=0),"※收入行要填收入金额",IF(AND($D1883="支出",N($K1883)=0),"※支出行要填支出金额",IF(AND($C1883&lt;&gt;"",ISNA(MATCH($C1883,账户表,0))),"※账户不在基础资料里",IF(AND($G1883&lt;&gt;"",ISNA(MATCH($G1883,项目名表,0))),"※项目不在项目台账里",IF(AND(LEFT($F1883,3)="成本-",$G1883=""),"※成本类支出没填项目",IF(AND(LEFT($F1883,3)="成本-",$H1883&lt;&gt;"",N($K1883)&gt;0,COUNTIFS(采购单!$B:$B,$B1883,采购单!$C:$C,$H1883,采购单!$L:$L,$K1883)&gt;0),"※这笔可能和采购单重复了",""))))))))))</f>
        <v/>
      </c>
    </row>
    <row r="1884">
      <c r="A1884" s="17">
        <f>IF($B1884="","",ROW()-3)</f>
        <v/>
      </c>
      <c r="B1884" s="18" t="n"/>
      <c r="C1884" s="13" t="n"/>
      <c r="D1884" s="13" t="n"/>
      <c r="E1884" s="13" t="n"/>
      <c r="F1884" s="17">
        <f>IF($E1884="","",IFERROR(VLOOKUP($E1884,类别归属,2,0),"※类别不在基础资料里"))</f>
        <v/>
      </c>
      <c r="G1884" s="13" t="n"/>
      <c r="H1884" s="13" t="n"/>
      <c r="I1884" s="13" t="n"/>
      <c r="J1884" s="14" t="n"/>
      <c r="K1884" s="14" t="n"/>
      <c r="L1884" s="19">
        <f>IF($C1884="","",ROUND(IFERROR(VLOOKUP($C1884,账户期初,2,0),0)+SUMIFS($J$4:J1884,$C$4:C1884,$C1884)-SUMIFS($K$4:K1884,$C$4:C1884,$C1884),2))</f>
        <v/>
      </c>
      <c r="M1884" s="19">
        <f>IF($C1884="","",ROUND(SUM(基础资料!$B$4:$B$13)+SUM($J$4:J1884)-SUM($K$4:K1884),2))</f>
        <v/>
      </c>
      <c r="N1884" s="13" t="n"/>
      <c r="O1884" s="13" t="n"/>
      <c r="P1884" s="17">
        <f>IF($B1884="","",IF($F1884="※类别不在基础资料里","※费用类别不在基础资料里",IF(AND(N($J1884)=0,N($K1884)=0),"※这行没填金额",IF(AND(N($J1884)&gt;0,N($K1884)&gt;0),"※收入和支出不能同一行都填",IF(AND($D1884="收入",N($J1884)=0),"※收入行要填收入金额",IF(AND($D1884="支出",N($K1884)=0),"※支出行要填支出金额",IF(AND($C1884&lt;&gt;"",ISNA(MATCH($C1884,账户表,0))),"※账户不在基础资料里",IF(AND($G1884&lt;&gt;"",ISNA(MATCH($G1884,项目名表,0))),"※项目不在项目台账里",IF(AND(LEFT($F1884,3)="成本-",$G1884=""),"※成本类支出没填项目",IF(AND(LEFT($F1884,3)="成本-",$H1884&lt;&gt;"",N($K1884)&gt;0,COUNTIFS(采购单!$B:$B,$B1884,采购单!$C:$C,$H1884,采购单!$L:$L,$K1884)&gt;0),"※这笔可能和采购单重复了",""))))))))))</f>
        <v/>
      </c>
    </row>
    <row r="1885">
      <c r="A1885" s="17">
        <f>IF($B1885="","",ROW()-3)</f>
        <v/>
      </c>
      <c r="B1885" s="18" t="n"/>
      <c r="C1885" s="13" t="n"/>
      <c r="D1885" s="13" t="n"/>
      <c r="E1885" s="13" t="n"/>
      <c r="F1885" s="17">
        <f>IF($E1885="","",IFERROR(VLOOKUP($E1885,类别归属,2,0),"※类别不在基础资料里"))</f>
        <v/>
      </c>
      <c r="G1885" s="13" t="n"/>
      <c r="H1885" s="13" t="n"/>
      <c r="I1885" s="13" t="n"/>
      <c r="J1885" s="14" t="n"/>
      <c r="K1885" s="14" t="n"/>
      <c r="L1885" s="19">
        <f>IF($C1885="","",ROUND(IFERROR(VLOOKUP($C1885,账户期初,2,0),0)+SUMIFS($J$4:J1885,$C$4:C1885,$C1885)-SUMIFS($K$4:K1885,$C$4:C1885,$C1885),2))</f>
        <v/>
      </c>
      <c r="M1885" s="19">
        <f>IF($C1885="","",ROUND(SUM(基础资料!$B$4:$B$13)+SUM($J$4:J1885)-SUM($K$4:K1885),2))</f>
        <v/>
      </c>
      <c r="N1885" s="13" t="n"/>
      <c r="O1885" s="13" t="n"/>
      <c r="P1885" s="17">
        <f>IF($B1885="","",IF($F1885="※类别不在基础资料里","※费用类别不在基础资料里",IF(AND(N($J1885)=0,N($K1885)=0),"※这行没填金额",IF(AND(N($J1885)&gt;0,N($K1885)&gt;0),"※收入和支出不能同一行都填",IF(AND($D1885="收入",N($J1885)=0),"※收入行要填收入金额",IF(AND($D1885="支出",N($K1885)=0),"※支出行要填支出金额",IF(AND($C1885&lt;&gt;"",ISNA(MATCH($C1885,账户表,0))),"※账户不在基础资料里",IF(AND($G1885&lt;&gt;"",ISNA(MATCH($G1885,项目名表,0))),"※项目不在项目台账里",IF(AND(LEFT($F1885,3)="成本-",$G1885=""),"※成本类支出没填项目",IF(AND(LEFT($F1885,3)="成本-",$H1885&lt;&gt;"",N($K1885)&gt;0,COUNTIFS(采购单!$B:$B,$B1885,采购单!$C:$C,$H1885,采购单!$L:$L,$K1885)&gt;0),"※这笔可能和采购单重复了",""))))))))))</f>
        <v/>
      </c>
    </row>
    <row r="1886">
      <c r="A1886" s="17">
        <f>IF($B1886="","",ROW()-3)</f>
        <v/>
      </c>
      <c r="B1886" s="18" t="n"/>
      <c r="C1886" s="13" t="n"/>
      <c r="D1886" s="13" t="n"/>
      <c r="E1886" s="13" t="n"/>
      <c r="F1886" s="17">
        <f>IF($E1886="","",IFERROR(VLOOKUP($E1886,类别归属,2,0),"※类别不在基础资料里"))</f>
        <v/>
      </c>
      <c r="G1886" s="13" t="n"/>
      <c r="H1886" s="13" t="n"/>
      <c r="I1886" s="13" t="n"/>
      <c r="J1886" s="14" t="n"/>
      <c r="K1886" s="14" t="n"/>
      <c r="L1886" s="19">
        <f>IF($C1886="","",ROUND(IFERROR(VLOOKUP($C1886,账户期初,2,0),0)+SUMIFS($J$4:J1886,$C$4:C1886,$C1886)-SUMIFS($K$4:K1886,$C$4:C1886,$C1886),2))</f>
        <v/>
      </c>
      <c r="M1886" s="19">
        <f>IF($C1886="","",ROUND(SUM(基础资料!$B$4:$B$13)+SUM($J$4:J1886)-SUM($K$4:K1886),2))</f>
        <v/>
      </c>
      <c r="N1886" s="13" t="n"/>
      <c r="O1886" s="13" t="n"/>
      <c r="P1886" s="17">
        <f>IF($B1886="","",IF($F1886="※类别不在基础资料里","※费用类别不在基础资料里",IF(AND(N($J1886)=0,N($K1886)=0),"※这行没填金额",IF(AND(N($J1886)&gt;0,N($K1886)&gt;0),"※收入和支出不能同一行都填",IF(AND($D1886="收入",N($J1886)=0),"※收入行要填收入金额",IF(AND($D1886="支出",N($K1886)=0),"※支出行要填支出金额",IF(AND($C1886&lt;&gt;"",ISNA(MATCH($C1886,账户表,0))),"※账户不在基础资料里",IF(AND($G1886&lt;&gt;"",ISNA(MATCH($G1886,项目名表,0))),"※项目不在项目台账里",IF(AND(LEFT($F1886,3)="成本-",$G1886=""),"※成本类支出没填项目",IF(AND(LEFT($F1886,3)="成本-",$H1886&lt;&gt;"",N($K1886)&gt;0,COUNTIFS(采购单!$B:$B,$B1886,采购单!$C:$C,$H1886,采购单!$L:$L,$K1886)&gt;0),"※这笔可能和采购单重复了",""))))))))))</f>
        <v/>
      </c>
    </row>
    <row r="1887">
      <c r="A1887" s="17">
        <f>IF($B1887="","",ROW()-3)</f>
        <v/>
      </c>
      <c r="B1887" s="18" t="n"/>
      <c r="C1887" s="13" t="n"/>
      <c r="D1887" s="13" t="n"/>
      <c r="E1887" s="13" t="n"/>
      <c r="F1887" s="17">
        <f>IF($E1887="","",IFERROR(VLOOKUP($E1887,类别归属,2,0),"※类别不在基础资料里"))</f>
        <v/>
      </c>
      <c r="G1887" s="13" t="n"/>
      <c r="H1887" s="13" t="n"/>
      <c r="I1887" s="13" t="n"/>
      <c r="J1887" s="14" t="n"/>
      <c r="K1887" s="14" t="n"/>
      <c r="L1887" s="19">
        <f>IF($C1887="","",ROUND(IFERROR(VLOOKUP($C1887,账户期初,2,0),0)+SUMIFS($J$4:J1887,$C$4:C1887,$C1887)-SUMIFS($K$4:K1887,$C$4:C1887,$C1887),2))</f>
        <v/>
      </c>
      <c r="M1887" s="19">
        <f>IF($C1887="","",ROUND(SUM(基础资料!$B$4:$B$13)+SUM($J$4:J1887)-SUM($K$4:K1887),2))</f>
        <v/>
      </c>
      <c r="N1887" s="13" t="n"/>
      <c r="O1887" s="13" t="n"/>
      <c r="P1887" s="17">
        <f>IF($B1887="","",IF($F1887="※类别不在基础资料里","※费用类别不在基础资料里",IF(AND(N($J1887)=0,N($K1887)=0),"※这行没填金额",IF(AND(N($J1887)&gt;0,N($K1887)&gt;0),"※收入和支出不能同一行都填",IF(AND($D1887="收入",N($J1887)=0),"※收入行要填收入金额",IF(AND($D1887="支出",N($K1887)=0),"※支出行要填支出金额",IF(AND($C1887&lt;&gt;"",ISNA(MATCH($C1887,账户表,0))),"※账户不在基础资料里",IF(AND($G1887&lt;&gt;"",ISNA(MATCH($G1887,项目名表,0))),"※项目不在项目台账里",IF(AND(LEFT($F1887,3)="成本-",$G1887=""),"※成本类支出没填项目",IF(AND(LEFT($F1887,3)="成本-",$H1887&lt;&gt;"",N($K1887)&gt;0,COUNTIFS(采购单!$B:$B,$B1887,采购单!$C:$C,$H1887,采购单!$L:$L,$K1887)&gt;0),"※这笔可能和采购单重复了",""))))))))))</f>
        <v/>
      </c>
    </row>
    <row r="1888">
      <c r="A1888" s="17">
        <f>IF($B1888="","",ROW()-3)</f>
        <v/>
      </c>
      <c r="B1888" s="18" t="n"/>
      <c r="C1888" s="13" t="n"/>
      <c r="D1888" s="13" t="n"/>
      <c r="E1888" s="13" t="n"/>
      <c r="F1888" s="17">
        <f>IF($E1888="","",IFERROR(VLOOKUP($E1888,类别归属,2,0),"※类别不在基础资料里"))</f>
        <v/>
      </c>
      <c r="G1888" s="13" t="n"/>
      <c r="H1888" s="13" t="n"/>
      <c r="I1888" s="13" t="n"/>
      <c r="J1888" s="14" t="n"/>
      <c r="K1888" s="14" t="n"/>
      <c r="L1888" s="19">
        <f>IF($C1888="","",ROUND(IFERROR(VLOOKUP($C1888,账户期初,2,0),0)+SUMIFS($J$4:J1888,$C$4:C1888,$C1888)-SUMIFS($K$4:K1888,$C$4:C1888,$C1888),2))</f>
        <v/>
      </c>
      <c r="M1888" s="19">
        <f>IF($C1888="","",ROUND(SUM(基础资料!$B$4:$B$13)+SUM($J$4:J1888)-SUM($K$4:K1888),2))</f>
        <v/>
      </c>
      <c r="N1888" s="13" t="n"/>
      <c r="O1888" s="13" t="n"/>
      <c r="P1888" s="17">
        <f>IF($B1888="","",IF($F1888="※类别不在基础资料里","※费用类别不在基础资料里",IF(AND(N($J1888)=0,N($K1888)=0),"※这行没填金额",IF(AND(N($J1888)&gt;0,N($K1888)&gt;0),"※收入和支出不能同一行都填",IF(AND($D1888="收入",N($J1888)=0),"※收入行要填收入金额",IF(AND($D1888="支出",N($K1888)=0),"※支出行要填支出金额",IF(AND($C1888&lt;&gt;"",ISNA(MATCH($C1888,账户表,0))),"※账户不在基础资料里",IF(AND($G1888&lt;&gt;"",ISNA(MATCH($G1888,项目名表,0))),"※项目不在项目台账里",IF(AND(LEFT($F1888,3)="成本-",$G1888=""),"※成本类支出没填项目",IF(AND(LEFT($F1888,3)="成本-",$H1888&lt;&gt;"",N($K1888)&gt;0,COUNTIFS(采购单!$B:$B,$B1888,采购单!$C:$C,$H1888,采购单!$L:$L,$K1888)&gt;0),"※这笔可能和采购单重复了",""))))))))))</f>
        <v/>
      </c>
    </row>
    <row r="1889">
      <c r="A1889" s="17">
        <f>IF($B1889="","",ROW()-3)</f>
        <v/>
      </c>
      <c r="B1889" s="18" t="n"/>
      <c r="C1889" s="13" t="n"/>
      <c r="D1889" s="13" t="n"/>
      <c r="E1889" s="13" t="n"/>
      <c r="F1889" s="17">
        <f>IF($E1889="","",IFERROR(VLOOKUP($E1889,类别归属,2,0),"※类别不在基础资料里"))</f>
        <v/>
      </c>
      <c r="G1889" s="13" t="n"/>
      <c r="H1889" s="13" t="n"/>
      <c r="I1889" s="13" t="n"/>
      <c r="J1889" s="14" t="n"/>
      <c r="K1889" s="14" t="n"/>
      <c r="L1889" s="19">
        <f>IF($C1889="","",ROUND(IFERROR(VLOOKUP($C1889,账户期初,2,0),0)+SUMIFS($J$4:J1889,$C$4:C1889,$C1889)-SUMIFS($K$4:K1889,$C$4:C1889,$C1889),2))</f>
        <v/>
      </c>
      <c r="M1889" s="19">
        <f>IF($C1889="","",ROUND(SUM(基础资料!$B$4:$B$13)+SUM($J$4:J1889)-SUM($K$4:K1889),2))</f>
        <v/>
      </c>
      <c r="N1889" s="13" t="n"/>
      <c r="O1889" s="13" t="n"/>
      <c r="P1889" s="17">
        <f>IF($B1889="","",IF($F1889="※类别不在基础资料里","※费用类别不在基础资料里",IF(AND(N($J1889)=0,N($K1889)=0),"※这行没填金额",IF(AND(N($J1889)&gt;0,N($K1889)&gt;0),"※收入和支出不能同一行都填",IF(AND($D1889="收入",N($J1889)=0),"※收入行要填收入金额",IF(AND($D1889="支出",N($K1889)=0),"※支出行要填支出金额",IF(AND($C1889&lt;&gt;"",ISNA(MATCH($C1889,账户表,0))),"※账户不在基础资料里",IF(AND($G1889&lt;&gt;"",ISNA(MATCH($G1889,项目名表,0))),"※项目不在项目台账里",IF(AND(LEFT($F1889,3)="成本-",$G1889=""),"※成本类支出没填项目",IF(AND(LEFT($F1889,3)="成本-",$H1889&lt;&gt;"",N($K1889)&gt;0,COUNTIFS(采购单!$B:$B,$B1889,采购单!$C:$C,$H1889,采购单!$L:$L,$K1889)&gt;0),"※这笔可能和采购单重复了",""))))))))))</f>
        <v/>
      </c>
    </row>
    <row r="1890">
      <c r="A1890" s="17">
        <f>IF($B1890="","",ROW()-3)</f>
        <v/>
      </c>
      <c r="B1890" s="18" t="n"/>
      <c r="C1890" s="13" t="n"/>
      <c r="D1890" s="13" t="n"/>
      <c r="E1890" s="13" t="n"/>
      <c r="F1890" s="17">
        <f>IF($E1890="","",IFERROR(VLOOKUP($E1890,类别归属,2,0),"※类别不在基础资料里"))</f>
        <v/>
      </c>
      <c r="G1890" s="13" t="n"/>
      <c r="H1890" s="13" t="n"/>
      <c r="I1890" s="13" t="n"/>
      <c r="J1890" s="14" t="n"/>
      <c r="K1890" s="14" t="n"/>
      <c r="L1890" s="19">
        <f>IF($C1890="","",ROUND(IFERROR(VLOOKUP($C1890,账户期初,2,0),0)+SUMIFS($J$4:J1890,$C$4:C1890,$C1890)-SUMIFS($K$4:K1890,$C$4:C1890,$C1890),2))</f>
        <v/>
      </c>
      <c r="M1890" s="19">
        <f>IF($C1890="","",ROUND(SUM(基础资料!$B$4:$B$13)+SUM($J$4:J1890)-SUM($K$4:K1890),2))</f>
        <v/>
      </c>
      <c r="N1890" s="13" t="n"/>
      <c r="O1890" s="13" t="n"/>
      <c r="P1890" s="17">
        <f>IF($B1890="","",IF($F1890="※类别不在基础资料里","※费用类别不在基础资料里",IF(AND(N($J1890)=0,N($K1890)=0),"※这行没填金额",IF(AND(N($J1890)&gt;0,N($K1890)&gt;0),"※收入和支出不能同一行都填",IF(AND($D1890="收入",N($J1890)=0),"※收入行要填收入金额",IF(AND($D1890="支出",N($K1890)=0),"※支出行要填支出金额",IF(AND($C1890&lt;&gt;"",ISNA(MATCH($C1890,账户表,0))),"※账户不在基础资料里",IF(AND($G1890&lt;&gt;"",ISNA(MATCH($G1890,项目名表,0))),"※项目不在项目台账里",IF(AND(LEFT($F1890,3)="成本-",$G1890=""),"※成本类支出没填项目",IF(AND(LEFT($F1890,3)="成本-",$H1890&lt;&gt;"",N($K1890)&gt;0,COUNTIFS(采购单!$B:$B,$B1890,采购单!$C:$C,$H1890,采购单!$L:$L,$K1890)&gt;0),"※这笔可能和采购单重复了",""))))))))))</f>
        <v/>
      </c>
    </row>
    <row r="1891">
      <c r="A1891" s="17">
        <f>IF($B1891="","",ROW()-3)</f>
        <v/>
      </c>
      <c r="B1891" s="18" t="n"/>
      <c r="C1891" s="13" t="n"/>
      <c r="D1891" s="13" t="n"/>
      <c r="E1891" s="13" t="n"/>
      <c r="F1891" s="17">
        <f>IF($E1891="","",IFERROR(VLOOKUP($E1891,类别归属,2,0),"※类别不在基础资料里"))</f>
        <v/>
      </c>
      <c r="G1891" s="13" t="n"/>
      <c r="H1891" s="13" t="n"/>
      <c r="I1891" s="13" t="n"/>
      <c r="J1891" s="14" t="n"/>
      <c r="K1891" s="14" t="n"/>
      <c r="L1891" s="19">
        <f>IF($C1891="","",ROUND(IFERROR(VLOOKUP($C1891,账户期初,2,0),0)+SUMIFS($J$4:J1891,$C$4:C1891,$C1891)-SUMIFS($K$4:K1891,$C$4:C1891,$C1891),2))</f>
        <v/>
      </c>
      <c r="M1891" s="19">
        <f>IF($C1891="","",ROUND(SUM(基础资料!$B$4:$B$13)+SUM($J$4:J1891)-SUM($K$4:K1891),2))</f>
        <v/>
      </c>
      <c r="N1891" s="13" t="n"/>
      <c r="O1891" s="13" t="n"/>
      <c r="P1891" s="17">
        <f>IF($B1891="","",IF($F1891="※类别不在基础资料里","※费用类别不在基础资料里",IF(AND(N($J1891)=0,N($K1891)=0),"※这行没填金额",IF(AND(N($J1891)&gt;0,N($K1891)&gt;0),"※收入和支出不能同一行都填",IF(AND($D1891="收入",N($J1891)=0),"※收入行要填收入金额",IF(AND($D1891="支出",N($K1891)=0),"※支出行要填支出金额",IF(AND($C1891&lt;&gt;"",ISNA(MATCH($C1891,账户表,0))),"※账户不在基础资料里",IF(AND($G1891&lt;&gt;"",ISNA(MATCH($G1891,项目名表,0))),"※项目不在项目台账里",IF(AND(LEFT($F1891,3)="成本-",$G1891=""),"※成本类支出没填项目",IF(AND(LEFT($F1891,3)="成本-",$H1891&lt;&gt;"",N($K1891)&gt;0,COUNTIFS(采购单!$B:$B,$B1891,采购单!$C:$C,$H1891,采购单!$L:$L,$K1891)&gt;0),"※这笔可能和采购单重复了",""))))))))))</f>
        <v/>
      </c>
    </row>
    <row r="1892">
      <c r="A1892" s="17">
        <f>IF($B1892="","",ROW()-3)</f>
        <v/>
      </c>
      <c r="B1892" s="18" t="n"/>
      <c r="C1892" s="13" t="n"/>
      <c r="D1892" s="13" t="n"/>
      <c r="E1892" s="13" t="n"/>
      <c r="F1892" s="17">
        <f>IF($E1892="","",IFERROR(VLOOKUP($E1892,类别归属,2,0),"※类别不在基础资料里"))</f>
        <v/>
      </c>
      <c r="G1892" s="13" t="n"/>
      <c r="H1892" s="13" t="n"/>
      <c r="I1892" s="13" t="n"/>
      <c r="J1892" s="14" t="n"/>
      <c r="K1892" s="14" t="n"/>
      <c r="L1892" s="19">
        <f>IF($C1892="","",ROUND(IFERROR(VLOOKUP($C1892,账户期初,2,0),0)+SUMIFS($J$4:J1892,$C$4:C1892,$C1892)-SUMIFS($K$4:K1892,$C$4:C1892,$C1892),2))</f>
        <v/>
      </c>
      <c r="M1892" s="19">
        <f>IF($C1892="","",ROUND(SUM(基础资料!$B$4:$B$13)+SUM($J$4:J1892)-SUM($K$4:K1892),2))</f>
        <v/>
      </c>
      <c r="N1892" s="13" t="n"/>
      <c r="O1892" s="13" t="n"/>
      <c r="P1892" s="17">
        <f>IF($B1892="","",IF($F1892="※类别不在基础资料里","※费用类别不在基础资料里",IF(AND(N($J1892)=0,N($K1892)=0),"※这行没填金额",IF(AND(N($J1892)&gt;0,N($K1892)&gt;0),"※收入和支出不能同一行都填",IF(AND($D1892="收入",N($J1892)=0),"※收入行要填收入金额",IF(AND($D1892="支出",N($K1892)=0),"※支出行要填支出金额",IF(AND($C1892&lt;&gt;"",ISNA(MATCH($C1892,账户表,0))),"※账户不在基础资料里",IF(AND($G1892&lt;&gt;"",ISNA(MATCH($G1892,项目名表,0))),"※项目不在项目台账里",IF(AND(LEFT($F1892,3)="成本-",$G1892=""),"※成本类支出没填项目",IF(AND(LEFT($F1892,3)="成本-",$H1892&lt;&gt;"",N($K1892)&gt;0,COUNTIFS(采购单!$B:$B,$B1892,采购单!$C:$C,$H1892,采购单!$L:$L,$K1892)&gt;0),"※这笔可能和采购单重复了",""))))))))))</f>
        <v/>
      </c>
    </row>
    <row r="1893">
      <c r="A1893" s="17">
        <f>IF($B1893="","",ROW()-3)</f>
        <v/>
      </c>
      <c r="B1893" s="18" t="n"/>
      <c r="C1893" s="13" t="n"/>
      <c r="D1893" s="13" t="n"/>
      <c r="E1893" s="13" t="n"/>
      <c r="F1893" s="17">
        <f>IF($E1893="","",IFERROR(VLOOKUP($E1893,类别归属,2,0),"※类别不在基础资料里"))</f>
        <v/>
      </c>
      <c r="G1893" s="13" t="n"/>
      <c r="H1893" s="13" t="n"/>
      <c r="I1893" s="13" t="n"/>
      <c r="J1893" s="14" t="n"/>
      <c r="K1893" s="14" t="n"/>
      <c r="L1893" s="19">
        <f>IF($C1893="","",ROUND(IFERROR(VLOOKUP($C1893,账户期初,2,0),0)+SUMIFS($J$4:J1893,$C$4:C1893,$C1893)-SUMIFS($K$4:K1893,$C$4:C1893,$C1893),2))</f>
        <v/>
      </c>
      <c r="M1893" s="19">
        <f>IF($C1893="","",ROUND(SUM(基础资料!$B$4:$B$13)+SUM($J$4:J1893)-SUM($K$4:K1893),2))</f>
        <v/>
      </c>
      <c r="N1893" s="13" t="n"/>
      <c r="O1893" s="13" t="n"/>
      <c r="P1893" s="17">
        <f>IF($B1893="","",IF($F1893="※类别不在基础资料里","※费用类别不在基础资料里",IF(AND(N($J1893)=0,N($K1893)=0),"※这行没填金额",IF(AND(N($J1893)&gt;0,N($K1893)&gt;0),"※收入和支出不能同一行都填",IF(AND($D1893="收入",N($J1893)=0),"※收入行要填收入金额",IF(AND($D1893="支出",N($K1893)=0),"※支出行要填支出金额",IF(AND($C1893&lt;&gt;"",ISNA(MATCH($C1893,账户表,0))),"※账户不在基础资料里",IF(AND($G1893&lt;&gt;"",ISNA(MATCH($G1893,项目名表,0))),"※项目不在项目台账里",IF(AND(LEFT($F1893,3)="成本-",$G1893=""),"※成本类支出没填项目",IF(AND(LEFT($F1893,3)="成本-",$H1893&lt;&gt;"",N($K1893)&gt;0,COUNTIFS(采购单!$B:$B,$B1893,采购单!$C:$C,$H1893,采购单!$L:$L,$K1893)&gt;0),"※这笔可能和采购单重复了",""))))))))))</f>
        <v/>
      </c>
    </row>
    <row r="1894">
      <c r="A1894" s="17">
        <f>IF($B1894="","",ROW()-3)</f>
        <v/>
      </c>
      <c r="B1894" s="18" t="n"/>
      <c r="C1894" s="13" t="n"/>
      <c r="D1894" s="13" t="n"/>
      <c r="E1894" s="13" t="n"/>
      <c r="F1894" s="17">
        <f>IF($E1894="","",IFERROR(VLOOKUP($E1894,类别归属,2,0),"※类别不在基础资料里"))</f>
        <v/>
      </c>
      <c r="G1894" s="13" t="n"/>
      <c r="H1894" s="13" t="n"/>
      <c r="I1894" s="13" t="n"/>
      <c r="J1894" s="14" t="n"/>
      <c r="K1894" s="14" t="n"/>
      <c r="L1894" s="19">
        <f>IF($C1894="","",ROUND(IFERROR(VLOOKUP($C1894,账户期初,2,0),0)+SUMIFS($J$4:J1894,$C$4:C1894,$C1894)-SUMIFS($K$4:K1894,$C$4:C1894,$C1894),2))</f>
        <v/>
      </c>
      <c r="M1894" s="19">
        <f>IF($C1894="","",ROUND(SUM(基础资料!$B$4:$B$13)+SUM($J$4:J1894)-SUM($K$4:K1894),2))</f>
        <v/>
      </c>
      <c r="N1894" s="13" t="n"/>
      <c r="O1894" s="13" t="n"/>
      <c r="P1894" s="17">
        <f>IF($B1894="","",IF($F1894="※类别不在基础资料里","※费用类别不在基础资料里",IF(AND(N($J1894)=0,N($K1894)=0),"※这行没填金额",IF(AND(N($J1894)&gt;0,N($K1894)&gt;0),"※收入和支出不能同一行都填",IF(AND($D1894="收入",N($J1894)=0),"※收入行要填收入金额",IF(AND($D1894="支出",N($K1894)=0),"※支出行要填支出金额",IF(AND($C1894&lt;&gt;"",ISNA(MATCH($C1894,账户表,0))),"※账户不在基础资料里",IF(AND($G1894&lt;&gt;"",ISNA(MATCH($G1894,项目名表,0))),"※项目不在项目台账里",IF(AND(LEFT($F1894,3)="成本-",$G1894=""),"※成本类支出没填项目",IF(AND(LEFT($F1894,3)="成本-",$H1894&lt;&gt;"",N($K1894)&gt;0,COUNTIFS(采购单!$B:$B,$B1894,采购单!$C:$C,$H1894,采购单!$L:$L,$K1894)&gt;0),"※这笔可能和采购单重复了",""))))))))))</f>
        <v/>
      </c>
    </row>
    <row r="1895">
      <c r="A1895" s="17">
        <f>IF($B1895="","",ROW()-3)</f>
        <v/>
      </c>
      <c r="B1895" s="18" t="n"/>
      <c r="C1895" s="13" t="n"/>
      <c r="D1895" s="13" t="n"/>
      <c r="E1895" s="13" t="n"/>
      <c r="F1895" s="17">
        <f>IF($E1895="","",IFERROR(VLOOKUP($E1895,类别归属,2,0),"※类别不在基础资料里"))</f>
        <v/>
      </c>
      <c r="G1895" s="13" t="n"/>
      <c r="H1895" s="13" t="n"/>
      <c r="I1895" s="13" t="n"/>
      <c r="J1895" s="14" t="n"/>
      <c r="K1895" s="14" t="n"/>
      <c r="L1895" s="19">
        <f>IF($C1895="","",ROUND(IFERROR(VLOOKUP($C1895,账户期初,2,0),0)+SUMIFS($J$4:J1895,$C$4:C1895,$C1895)-SUMIFS($K$4:K1895,$C$4:C1895,$C1895),2))</f>
        <v/>
      </c>
      <c r="M1895" s="19">
        <f>IF($C1895="","",ROUND(SUM(基础资料!$B$4:$B$13)+SUM($J$4:J1895)-SUM($K$4:K1895),2))</f>
        <v/>
      </c>
      <c r="N1895" s="13" t="n"/>
      <c r="O1895" s="13" t="n"/>
      <c r="P1895" s="17">
        <f>IF($B1895="","",IF($F1895="※类别不在基础资料里","※费用类别不在基础资料里",IF(AND(N($J1895)=0,N($K1895)=0),"※这行没填金额",IF(AND(N($J1895)&gt;0,N($K1895)&gt;0),"※收入和支出不能同一行都填",IF(AND($D1895="收入",N($J1895)=0),"※收入行要填收入金额",IF(AND($D1895="支出",N($K1895)=0),"※支出行要填支出金额",IF(AND($C1895&lt;&gt;"",ISNA(MATCH($C1895,账户表,0))),"※账户不在基础资料里",IF(AND($G1895&lt;&gt;"",ISNA(MATCH($G1895,项目名表,0))),"※项目不在项目台账里",IF(AND(LEFT($F1895,3)="成本-",$G1895=""),"※成本类支出没填项目",IF(AND(LEFT($F1895,3)="成本-",$H1895&lt;&gt;"",N($K1895)&gt;0,COUNTIFS(采购单!$B:$B,$B1895,采购单!$C:$C,$H1895,采购单!$L:$L,$K1895)&gt;0),"※这笔可能和采购单重复了",""))))))))))</f>
        <v/>
      </c>
    </row>
    <row r="1896">
      <c r="A1896" s="17">
        <f>IF($B1896="","",ROW()-3)</f>
        <v/>
      </c>
      <c r="B1896" s="18" t="n"/>
      <c r="C1896" s="13" t="n"/>
      <c r="D1896" s="13" t="n"/>
      <c r="E1896" s="13" t="n"/>
      <c r="F1896" s="17">
        <f>IF($E1896="","",IFERROR(VLOOKUP($E1896,类别归属,2,0),"※类别不在基础资料里"))</f>
        <v/>
      </c>
      <c r="G1896" s="13" t="n"/>
      <c r="H1896" s="13" t="n"/>
      <c r="I1896" s="13" t="n"/>
      <c r="J1896" s="14" t="n"/>
      <c r="K1896" s="14" t="n"/>
      <c r="L1896" s="19">
        <f>IF($C1896="","",ROUND(IFERROR(VLOOKUP($C1896,账户期初,2,0),0)+SUMIFS($J$4:J1896,$C$4:C1896,$C1896)-SUMIFS($K$4:K1896,$C$4:C1896,$C1896),2))</f>
        <v/>
      </c>
      <c r="M1896" s="19">
        <f>IF($C1896="","",ROUND(SUM(基础资料!$B$4:$B$13)+SUM($J$4:J1896)-SUM($K$4:K1896),2))</f>
        <v/>
      </c>
      <c r="N1896" s="13" t="n"/>
      <c r="O1896" s="13" t="n"/>
      <c r="P1896" s="17">
        <f>IF($B1896="","",IF($F1896="※类别不在基础资料里","※费用类别不在基础资料里",IF(AND(N($J1896)=0,N($K1896)=0),"※这行没填金额",IF(AND(N($J1896)&gt;0,N($K1896)&gt;0),"※收入和支出不能同一行都填",IF(AND($D1896="收入",N($J1896)=0),"※收入行要填收入金额",IF(AND($D1896="支出",N($K1896)=0),"※支出行要填支出金额",IF(AND($C1896&lt;&gt;"",ISNA(MATCH($C1896,账户表,0))),"※账户不在基础资料里",IF(AND($G1896&lt;&gt;"",ISNA(MATCH($G1896,项目名表,0))),"※项目不在项目台账里",IF(AND(LEFT($F1896,3)="成本-",$G1896=""),"※成本类支出没填项目",IF(AND(LEFT($F1896,3)="成本-",$H1896&lt;&gt;"",N($K1896)&gt;0,COUNTIFS(采购单!$B:$B,$B1896,采购单!$C:$C,$H1896,采购单!$L:$L,$K1896)&gt;0),"※这笔可能和采购单重复了",""))))))))))</f>
        <v/>
      </c>
    </row>
    <row r="1897">
      <c r="A1897" s="17">
        <f>IF($B1897="","",ROW()-3)</f>
        <v/>
      </c>
      <c r="B1897" s="18" t="n"/>
      <c r="C1897" s="13" t="n"/>
      <c r="D1897" s="13" t="n"/>
      <c r="E1897" s="13" t="n"/>
      <c r="F1897" s="17">
        <f>IF($E1897="","",IFERROR(VLOOKUP($E1897,类别归属,2,0),"※类别不在基础资料里"))</f>
        <v/>
      </c>
      <c r="G1897" s="13" t="n"/>
      <c r="H1897" s="13" t="n"/>
      <c r="I1897" s="13" t="n"/>
      <c r="J1897" s="14" t="n"/>
      <c r="K1897" s="14" t="n"/>
      <c r="L1897" s="19">
        <f>IF($C1897="","",ROUND(IFERROR(VLOOKUP($C1897,账户期初,2,0),0)+SUMIFS($J$4:J1897,$C$4:C1897,$C1897)-SUMIFS($K$4:K1897,$C$4:C1897,$C1897),2))</f>
        <v/>
      </c>
      <c r="M1897" s="19">
        <f>IF($C1897="","",ROUND(SUM(基础资料!$B$4:$B$13)+SUM($J$4:J1897)-SUM($K$4:K1897),2))</f>
        <v/>
      </c>
      <c r="N1897" s="13" t="n"/>
      <c r="O1897" s="13" t="n"/>
      <c r="P1897" s="17">
        <f>IF($B1897="","",IF($F1897="※类别不在基础资料里","※费用类别不在基础资料里",IF(AND(N($J1897)=0,N($K1897)=0),"※这行没填金额",IF(AND(N($J1897)&gt;0,N($K1897)&gt;0),"※收入和支出不能同一行都填",IF(AND($D1897="收入",N($J1897)=0),"※收入行要填收入金额",IF(AND($D1897="支出",N($K1897)=0),"※支出行要填支出金额",IF(AND($C1897&lt;&gt;"",ISNA(MATCH($C1897,账户表,0))),"※账户不在基础资料里",IF(AND($G1897&lt;&gt;"",ISNA(MATCH($G1897,项目名表,0))),"※项目不在项目台账里",IF(AND(LEFT($F1897,3)="成本-",$G1897=""),"※成本类支出没填项目",IF(AND(LEFT($F1897,3)="成本-",$H1897&lt;&gt;"",N($K1897)&gt;0,COUNTIFS(采购单!$B:$B,$B1897,采购单!$C:$C,$H1897,采购单!$L:$L,$K1897)&gt;0),"※这笔可能和采购单重复了",""))))))))))</f>
        <v/>
      </c>
    </row>
    <row r="1898">
      <c r="A1898" s="17">
        <f>IF($B1898="","",ROW()-3)</f>
        <v/>
      </c>
      <c r="B1898" s="18" t="n"/>
      <c r="C1898" s="13" t="n"/>
      <c r="D1898" s="13" t="n"/>
      <c r="E1898" s="13" t="n"/>
      <c r="F1898" s="17">
        <f>IF($E1898="","",IFERROR(VLOOKUP($E1898,类别归属,2,0),"※类别不在基础资料里"))</f>
        <v/>
      </c>
      <c r="G1898" s="13" t="n"/>
      <c r="H1898" s="13" t="n"/>
      <c r="I1898" s="13" t="n"/>
      <c r="J1898" s="14" t="n"/>
      <c r="K1898" s="14" t="n"/>
      <c r="L1898" s="19">
        <f>IF($C1898="","",ROUND(IFERROR(VLOOKUP($C1898,账户期初,2,0),0)+SUMIFS($J$4:J1898,$C$4:C1898,$C1898)-SUMIFS($K$4:K1898,$C$4:C1898,$C1898),2))</f>
        <v/>
      </c>
      <c r="M1898" s="19">
        <f>IF($C1898="","",ROUND(SUM(基础资料!$B$4:$B$13)+SUM($J$4:J1898)-SUM($K$4:K1898),2))</f>
        <v/>
      </c>
      <c r="N1898" s="13" t="n"/>
      <c r="O1898" s="13" t="n"/>
      <c r="P1898" s="17">
        <f>IF($B1898="","",IF($F1898="※类别不在基础资料里","※费用类别不在基础资料里",IF(AND(N($J1898)=0,N($K1898)=0),"※这行没填金额",IF(AND(N($J1898)&gt;0,N($K1898)&gt;0),"※收入和支出不能同一行都填",IF(AND($D1898="收入",N($J1898)=0),"※收入行要填收入金额",IF(AND($D1898="支出",N($K1898)=0),"※支出行要填支出金额",IF(AND($C1898&lt;&gt;"",ISNA(MATCH($C1898,账户表,0))),"※账户不在基础资料里",IF(AND($G1898&lt;&gt;"",ISNA(MATCH($G1898,项目名表,0))),"※项目不在项目台账里",IF(AND(LEFT($F1898,3)="成本-",$G1898=""),"※成本类支出没填项目",IF(AND(LEFT($F1898,3)="成本-",$H1898&lt;&gt;"",N($K1898)&gt;0,COUNTIFS(采购单!$B:$B,$B1898,采购单!$C:$C,$H1898,采购单!$L:$L,$K1898)&gt;0),"※这笔可能和采购单重复了",""))))))))))</f>
        <v/>
      </c>
    </row>
    <row r="1899">
      <c r="A1899" s="17">
        <f>IF($B1899="","",ROW()-3)</f>
        <v/>
      </c>
      <c r="B1899" s="18" t="n"/>
      <c r="C1899" s="13" t="n"/>
      <c r="D1899" s="13" t="n"/>
      <c r="E1899" s="13" t="n"/>
      <c r="F1899" s="17">
        <f>IF($E1899="","",IFERROR(VLOOKUP($E1899,类别归属,2,0),"※类别不在基础资料里"))</f>
        <v/>
      </c>
      <c r="G1899" s="13" t="n"/>
      <c r="H1899" s="13" t="n"/>
      <c r="I1899" s="13" t="n"/>
      <c r="J1899" s="14" t="n"/>
      <c r="K1899" s="14" t="n"/>
      <c r="L1899" s="19">
        <f>IF($C1899="","",ROUND(IFERROR(VLOOKUP($C1899,账户期初,2,0),0)+SUMIFS($J$4:J1899,$C$4:C1899,$C1899)-SUMIFS($K$4:K1899,$C$4:C1899,$C1899),2))</f>
        <v/>
      </c>
      <c r="M1899" s="19">
        <f>IF($C1899="","",ROUND(SUM(基础资料!$B$4:$B$13)+SUM($J$4:J1899)-SUM($K$4:K1899),2))</f>
        <v/>
      </c>
      <c r="N1899" s="13" t="n"/>
      <c r="O1899" s="13" t="n"/>
      <c r="P1899" s="17">
        <f>IF($B1899="","",IF($F1899="※类别不在基础资料里","※费用类别不在基础资料里",IF(AND(N($J1899)=0,N($K1899)=0),"※这行没填金额",IF(AND(N($J1899)&gt;0,N($K1899)&gt;0),"※收入和支出不能同一行都填",IF(AND($D1899="收入",N($J1899)=0),"※收入行要填收入金额",IF(AND($D1899="支出",N($K1899)=0),"※支出行要填支出金额",IF(AND($C1899&lt;&gt;"",ISNA(MATCH($C1899,账户表,0))),"※账户不在基础资料里",IF(AND($G1899&lt;&gt;"",ISNA(MATCH($G1899,项目名表,0))),"※项目不在项目台账里",IF(AND(LEFT($F1899,3)="成本-",$G1899=""),"※成本类支出没填项目",IF(AND(LEFT($F1899,3)="成本-",$H1899&lt;&gt;"",N($K1899)&gt;0,COUNTIFS(采购单!$B:$B,$B1899,采购单!$C:$C,$H1899,采购单!$L:$L,$K1899)&gt;0),"※这笔可能和采购单重复了",""))))))))))</f>
        <v/>
      </c>
    </row>
    <row r="1900">
      <c r="A1900" s="17">
        <f>IF($B1900="","",ROW()-3)</f>
        <v/>
      </c>
      <c r="B1900" s="18" t="n"/>
      <c r="C1900" s="13" t="n"/>
      <c r="D1900" s="13" t="n"/>
      <c r="E1900" s="13" t="n"/>
      <c r="F1900" s="17">
        <f>IF($E1900="","",IFERROR(VLOOKUP($E1900,类别归属,2,0),"※类别不在基础资料里"))</f>
        <v/>
      </c>
      <c r="G1900" s="13" t="n"/>
      <c r="H1900" s="13" t="n"/>
      <c r="I1900" s="13" t="n"/>
      <c r="J1900" s="14" t="n"/>
      <c r="K1900" s="14" t="n"/>
      <c r="L1900" s="19">
        <f>IF($C1900="","",ROUND(IFERROR(VLOOKUP($C1900,账户期初,2,0),0)+SUMIFS($J$4:J1900,$C$4:C1900,$C1900)-SUMIFS($K$4:K1900,$C$4:C1900,$C1900),2))</f>
        <v/>
      </c>
      <c r="M1900" s="19">
        <f>IF($C1900="","",ROUND(SUM(基础资料!$B$4:$B$13)+SUM($J$4:J1900)-SUM($K$4:K1900),2))</f>
        <v/>
      </c>
      <c r="N1900" s="13" t="n"/>
      <c r="O1900" s="13" t="n"/>
      <c r="P1900" s="17">
        <f>IF($B1900="","",IF($F1900="※类别不在基础资料里","※费用类别不在基础资料里",IF(AND(N($J1900)=0,N($K1900)=0),"※这行没填金额",IF(AND(N($J1900)&gt;0,N($K1900)&gt;0),"※收入和支出不能同一行都填",IF(AND($D1900="收入",N($J1900)=0),"※收入行要填收入金额",IF(AND($D1900="支出",N($K1900)=0),"※支出行要填支出金额",IF(AND($C1900&lt;&gt;"",ISNA(MATCH($C1900,账户表,0))),"※账户不在基础资料里",IF(AND($G1900&lt;&gt;"",ISNA(MATCH($G1900,项目名表,0))),"※项目不在项目台账里",IF(AND(LEFT($F1900,3)="成本-",$G1900=""),"※成本类支出没填项目",IF(AND(LEFT($F1900,3)="成本-",$H1900&lt;&gt;"",N($K1900)&gt;0,COUNTIFS(采购单!$B:$B,$B1900,采购单!$C:$C,$H1900,采购单!$L:$L,$K1900)&gt;0),"※这笔可能和采购单重复了",""))))))))))</f>
        <v/>
      </c>
    </row>
    <row r="1901">
      <c r="A1901" s="17">
        <f>IF($B1901="","",ROW()-3)</f>
        <v/>
      </c>
      <c r="B1901" s="18" t="n"/>
      <c r="C1901" s="13" t="n"/>
      <c r="D1901" s="13" t="n"/>
      <c r="E1901" s="13" t="n"/>
      <c r="F1901" s="17">
        <f>IF($E1901="","",IFERROR(VLOOKUP($E1901,类别归属,2,0),"※类别不在基础资料里"))</f>
        <v/>
      </c>
      <c r="G1901" s="13" t="n"/>
      <c r="H1901" s="13" t="n"/>
      <c r="I1901" s="13" t="n"/>
      <c r="J1901" s="14" t="n"/>
      <c r="K1901" s="14" t="n"/>
      <c r="L1901" s="19">
        <f>IF($C1901="","",ROUND(IFERROR(VLOOKUP($C1901,账户期初,2,0),0)+SUMIFS($J$4:J1901,$C$4:C1901,$C1901)-SUMIFS($K$4:K1901,$C$4:C1901,$C1901),2))</f>
        <v/>
      </c>
      <c r="M1901" s="19">
        <f>IF($C1901="","",ROUND(SUM(基础资料!$B$4:$B$13)+SUM($J$4:J1901)-SUM($K$4:K1901),2))</f>
        <v/>
      </c>
      <c r="N1901" s="13" t="n"/>
      <c r="O1901" s="13" t="n"/>
      <c r="P1901" s="17">
        <f>IF($B1901="","",IF($F1901="※类别不在基础资料里","※费用类别不在基础资料里",IF(AND(N($J1901)=0,N($K1901)=0),"※这行没填金额",IF(AND(N($J1901)&gt;0,N($K1901)&gt;0),"※收入和支出不能同一行都填",IF(AND($D1901="收入",N($J1901)=0),"※收入行要填收入金额",IF(AND($D1901="支出",N($K1901)=0),"※支出行要填支出金额",IF(AND($C1901&lt;&gt;"",ISNA(MATCH($C1901,账户表,0))),"※账户不在基础资料里",IF(AND($G1901&lt;&gt;"",ISNA(MATCH($G1901,项目名表,0))),"※项目不在项目台账里",IF(AND(LEFT($F1901,3)="成本-",$G1901=""),"※成本类支出没填项目",IF(AND(LEFT($F1901,3)="成本-",$H1901&lt;&gt;"",N($K1901)&gt;0,COUNTIFS(采购单!$B:$B,$B1901,采购单!$C:$C,$H1901,采购单!$L:$L,$K1901)&gt;0),"※这笔可能和采购单重复了",""))))))))))</f>
        <v/>
      </c>
    </row>
    <row r="1902">
      <c r="A1902" s="17">
        <f>IF($B1902="","",ROW()-3)</f>
        <v/>
      </c>
      <c r="B1902" s="18" t="n"/>
      <c r="C1902" s="13" t="n"/>
      <c r="D1902" s="13" t="n"/>
      <c r="E1902" s="13" t="n"/>
      <c r="F1902" s="17">
        <f>IF($E1902="","",IFERROR(VLOOKUP($E1902,类别归属,2,0),"※类别不在基础资料里"))</f>
        <v/>
      </c>
      <c r="G1902" s="13" t="n"/>
      <c r="H1902" s="13" t="n"/>
      <c r="I1902" s="13" t="n"/>
      <c r="J1902" s="14" t="n"/>
      <c r="K1902" s="14" t="n"/>
      <c r="L1902" s="19">
        <f>IF($C1902="","",ROUND(IFERROR(VLOOKUP($C1902,账户期初,2,0),0)+SUMIFS($J$4:J1902,$C$4:C1902,$C1902)-SUMIFS($K$4:K1902,$C$4:C1902,$C1902),2))</f>
        <v/>
      </c>
      <c r="M1902" s="19">
        <f>IF($C1902="","",ROUND(SUM(基础资料!$B$4:$B$13)+SUM($J$4:J1902)-SUM($K$4:K1902),2))</f>
        <v/>
      </c>
      <c r="N1902" s="13" t="n"/>
      <c r="O1902" s="13" t="n"/>
      <c r="P1902" s="17">
        <f>IF($B1902="","",IF($F1902="※类别不在基础资料里","※费用类别不在基础资料里",IF(AND(N($J1902)=0,N($K1902)=0),"※这行没填金额",IF(AND(N($J1902)&gt;0,N($K1902)&gt;0),"※收入和支出不能同一行都填",IF(AND($D1902="收入",N($J1902)=0),"※收入行要填收入金额",IF(AND($D1902="支出",N($K1902)=0),"※支出行要填支出金额",IF(AND($C1902&lt;&gt;"",ISNA(MATCH($C1902,账户表,0))),"※账户不在基础资料里",IF(AND($G1902&lt;&gt;"",ISNA(MATCH($G1902,项目名表,0))),"※项目不在项目台账里",IF(AND(LEFT($F1902,3)="成本-",$G1902=""),"※成本类支出没填项目",IF(AND(LEFT($F1902,3)="成本-",$H1902&lt;&gt;"",N($K1902)&gt;0,COUNTIFS(采购单!$B:$B,$B1902,采购单!$C:$C,$H1902,采购单!$L:$L,$K1902)&gt;0),"※这笔可能和采购单重复了",""))))))))))</f>
        <v/>
      </c>
    </row>
    <row r="1903">
      <c r="A1903" s="17">
        <f>IF($B1903="","",ROW()-3)</f>
        <v/>
      </c>
      <c r="B1903" s="18" t="n"/>
      <c r="C1903" s="13" t="n"/>
      <c r="D1903" s="13" t="n"/>
      <c r="E1903" s="13" t="n"/>
      <c r="F1903" s="17">
        <f>IF($E1903="","",IFERROR(VLOOKUP($E1903,类别归属,2,0),"※类别不在基础资料里"))</f>
        <v/>
      </c>
      <c r="G1903" s="13" t="n"/>
      <c r="H1903" s="13" t="n"/>
      <c r="I1903" s="13" t="n"/>
      <c r="J1903" s="14" t="n"/>
      <c r="K1903" s="14" t="n"/>
      <c r="L1903" s="19">
        <f>IF($C1903="","",ROUND(IFERROR(VLOOKUP($C1903,账户期初,2,0),0)+SUMIFS($J$4:J1903,$C$4:C1903,$C1903)-SUMIFS($K$4:K1903,$C$4:C1903,$C1903),2))</f>
        <v/>
      </c>
      <c r="M1903" s="19">
        <f>IF($C1903="","",ROUND(SUM(基础资料!$B$4:$B$13)+SUM($J$4:J1903)-SUM($K$4:K1903),2))</f>
        <v/>
      </c>
      <c r="N1903" s="13" t="n"/>
      <c r="O1903" s="13" t="n"/>
      <c r="P1903" s="17">
        <f>IF($B1903="","",IF($F1903="※类别不在基础资料里","※费用类别不在基础资料里",IF(AND(N($J1903)=0,N($K1903)=0),"※这行没填金额",IF(AND(N($J1903)&gt;0,N($K1903)&gt;0),"※收入和支出不能同一行都填",IF(AND($D1903="收入",N($J1903)=0),"※收入行要填收入金额",IF(AND($D1903="支出",N($K1903)=0),"※支出行要填支出金额",IF(AND($C1903&lt;&gt;"",ISNA(MATCH($C1903,账户表,0))),"※账户不在基础资料里",IF(AND($G1903&lt;&gt;"",ISNA(MATCH($G1903,项目名表,0))),"※项目不在项目台账里",IF(AND(LEFT($F1903,3)="成本-",$G1903=""),"※成本类支出没填项目",IF(AND(LEFT($F1903,3)="成本-",$H1903&lt;&gt;"",N($K1903)&gt;0,COUNTIFS(采购单!$B:$B,$B1903,采购单!$C:$C,$H1903,采购单!$L:$L,$K1903)&gt;0),"※这笔可能和采购单重复了",""))))))))))</f>
        <v/>
      </c>
    </row>
    <row r="1904">
      <c r="A1904" s="17">
        <f>IF($B1904="","",ROW()-3)</f>
        <v/>
      </c>
      <c r="B1904" s="18" t="n"/>
      <c r="C1904" s="13" t="n"/>
      <c r="D1904" s="13" t="n"/>
      <c r="E1904" s="13" t="n"/>
      <c r="F1904" s="17">
        <f>IF($E1904="","",IFERROR(VLOOKUP($E1904,类别归属,2,0),"※类别不在基础资料里"))</f>
        <v/>
      </c>
      <c r="G1904" s="13" t="n"/>
      <c r="H1904" s="13" t="n"/>
      <c r="I1904" s="13" t="n"/>
      <c r="J1904" s="14" t="n"/>
      <c r="K1904" s="14" t="n"/>
      <c r="L1904" s="19">
        <f>IF($C1904="","",ROUND(IFERROR(VLOOKUP($C1904,账户期初,2,0),0)+SUMIFS($J$4:J1904,$C$4:C1904,$C1904)-SUMIFS($K$4:K1904,$C$4:C1904,$C1904),2))</f>
        <v/>
      </c>
      <c r="M1904" s="19">
        <f>IF($C1904="","",ROUND(SUM(基础资料!$B$4:$B$13)+SUM($J$4:J1904)-SUM($K$4:K1904),2))</f>
        <v/>
      </c>
      <c r="N1904" s="13" t="n"/>
      <c r="O1904" s="13" t="n"/>
      <c r="P1904" s="17">
        <f>IF($B1904="","",IF($F1904="※类别不在基础资料里","※费用类别不在基础资料里",IF(AND(N($J1904)=0,N($K1904)=0),"※这行没填金额",IF(AND(N($J1904)&gt;0,N($K1904)&gt;0),"※收入和支出不能同一行都填",IF(AND($D1904="收入",N($J1904)=0),"※收入行要填收入金额",IF(AND($D1904="支出",N($K1904)=0),"※支出行要填支出金额",IF(AND($C1904&lt;&gt;"",ISNA(MATCH($C1904,账户表,0))),"※账户不在基础资料里",IF(AND($G1904&lt;&gt;"",ISNA(MATCH($G1904,项目名表,0))),"※项目不在项目台账里",IF(AND(LEFT($F1904,3)="成本-",$G1904=""),"※成本类支出没填项目",IF(AND(LEFT($F1904,3)="成本-",$H1904&lt;&gt;"",N($K1904)&gt;0,COUNTIFS(采购单!$B:$B,$B1904,采购单!$C:$C,$H1904,采购单!$L:$L,$K1904)&gt;0),"※这笔可能和采购单重复了",""))))))))))</f>
        <v/>
      </c>
    </row>
    <row r="1905">
      <c r="A1905" s="17">
        <f>IF($B1905="","",ROW()-3)</f>
        <v/>
      </c>
      <c r="B1905" s="18" t="n"/>
      <c r="C1905" s="13" t="n"/>
      <c r="D1905" s="13" t="n"/>
      <c r="E1905" s="13" t="n"/>
      <c r="F1905" s="17">
        <f>IF($E1905="","",IFERROR(VLOOKUP($E1905,类别归属,2,0),"※类别不在基础资料里"))</f>
        <v/>
      </c>
      <c r="G1905" s="13" t="n"/>
      <c r="H1905" s="13" t="n"/>
      <c r="I1905" s="13" t="n"/>
      <c r="J1905" s="14" t="n"/>
      <c r="K1905" s="14" t="n"/>
      <c r="L1905" s="19">
        <f>IF($C1905="","",ROUND(IFERROR(VLOOKUP($C1905,账户期初,2,0),0)+SUMIFS($J$4:J1905,$C$4:C1905,$C1905)-SUMIFS($K$4:K1905,$C$4:C1905,$C1905),2))</f>
        <v/>
      </c>
      <c r="M1905" s="19">
        <f>IF($C1905="","",ROUND(SUM(基础资料!$B$4:$B$13)+SUM($J$4:J1905)-SUM($K$4:K1905),2))</f>
        <v/>
      </c>
      <c r="N1905" s="13" t="n"/>
      <c r="O1905" s="13" t="n"/>
      <c r="P1905" s="17">
        <f>IF($B1905="","",IF($F1905="※类别不在基础资料里","※费用类别不在基础资料里",IF(AND(N($J1905)=0,N($K1905)=0),"※这行没填金额",IF(AND(N($J1905)&gt;0,N($K1905)&gt;0),"※收入和支出不能同一行都填",IF(AND($D1905="收入",N($J1905)=0),"※收入行要填收入金额",IF(AND($D1905="支出",N($K1905)=0),"※支出行要填支出金额",IF(AND($C1905&lt;&gt;"",ISNA(MATCH($C1905,账户表,0))),"※账户不在基础资料里",IF(AND($G1905&lt;&gt;"",ISNA(MATCH($G1905,项目名表,0))),"※项目不在项目台账里",IF(AND(LEFT($F1905,3)="成本-",$G1905=""),"※成本类支出没填项目",IF(AND(LEFT($F1905,3)="成本-",$H1905&lt;&gt;"",N($K1905)&gt;0,COUNTIFS(采购单!$B:$B,$B1905,采购单!$C:$C,$H1905,采购单!$L:$L,$K1905)&gt;0),"※这笔可能和采购单重复了",""))))))))))</f>
        <v/>
      </c>
    </row>
    <row r="1906">
      <c r="A1906" s="17">
        <f>IF($B1906="","",ROW()-3)</f>
        <v/>
      </c>
      <c r="B1906" s="18" t="n"/>
      <c r="C1906" s="13" t="n"/>
      <c r="D1906" s="13" t="n"/>
      <c r="E1906" s="13" t="n"/>
      <c r="F1906" s="17">
        <f>IF($E1906="","",IFERROR(VLOOKUP($E1906,类别归属,2,0),"※类别不在基础资料里"))</f>
        <v/>
      </c>
      <c r="G1906" s="13" t="n"/>
      <c r="H1906" s="13" t="n"/>
      <c r="I1906" s="13" t="n"/>
      <c r="J1906" s="14" t="n"/>
      <c r="K1906" s="14" t="n"/>
      <c r="L1906" s="19">
        <f>IF($C1906="","",ROUND(IFERROR(VLOOKUP($C1906,账户期初,2,0),0)+SUMIFS($J$4:J1906,$C$4:C1906,$C1906)-SUMIFS($K$4:K1906,$C$4:C1906,$C1906),2))</f>
        <v/>
      </c>
      <c r="M1906" s="19">
        <f>IF($C1906="","",ROUND(SUM(基础资料!$B$4:$B$13)+SUM($J$4:J1906)-SUM($K$4:K1906),2))</f>
        <v/>
      </c>
      <c r="N1906" s="13" t="n"/>
      <c r="O1906" s="13" t="n"/>
      <c r="P1906" s="17">
        <f>IF($B1906="","",IF($F1906="※类别不在基础资料里","※费用类别不在基础资料里",IF(AND(N($J1906)=0,N($K1906)=0),"※这行没填金额",IF(AND(N($J1906)&gt;0,N($K1906)&gt;0),"※收入和支出不能同一行都填",IF(AND($D1906="收入",N($J1906)=0),"※收入行要填收入金额",IF(AND($D1906="支出",N($K1906)=0),"※支出行要填支出金额",IF(AND($C1906&lt;&gt;"",ISNA(MATCH($C1906,账户表,0))),"※账户不在基础资料里",IF(AND($G1906&lt;&gt;"",ISNA(MATCH($G1906,项目名表,0))),"※项目不在项目台账里",IF(AND(LEFT($F1906,3)="成本-",$G1906=""),"※成本类支出没填项目",IF(AND(LEFT($F1906,3)="成本-",$H1906&lt;&gt;"",N($K1906)&gt;0,COUNTIFS(采购单!$B:$B,$B1906,采购单!$C:$C,$H1906,采购单!$L:$L,$K1906)&gt;0),"※这笔可能和采购单重复了",""))))))))))</f>
        <v/>
      </c>
    </row>
    <row r="1907">
      <c r="A1907" s="17">
        <f>IF($B1907="","",ROW()-3)</f>
        <v/>
      </c>
      <c r="B1907" s="18" t="n"/>
      <c r="C1907" s="13" t="n"/>
      <c r="D1907" s="13" t="n"/>
      <c r="E1907" s="13" t="n"/>
      <c r="F1907" s="17">
        <f>IF($E1907="","",IFERROR(VLOOKUP($E1907,类别归属,2,0),"※类别不在基础资料里"))</f>
        <v/>
      </c>
      <c r="G1907" s="13" t="n"/>
      <c r="H1907" s="13" t="n"/>
      <c r="I1907" s="13" t="n"/>
      <c r="J1907" s="14" t="n"/>
      <c r="K1907" s="14" t="n"/>
      <c r="L1907" s="19">
        <f>IF($C1907="","",ROUND(IFERROR(VLOOKUP($C1907,账户期初,2,0),0)+SUMIFS($J$4:J1907,$C$4:C1907,$C1907)-SUMIFS($K$4:K1907,$C$4:C1907,$C1907),2))</f>
        <v/>
      </c>
      <c r="M1907" s="19">
        <f>IF($C1907="","",ROUND(SUM(基础资料!$B$4:$B$13)+SUM($J$4:J1907)-SUM($K$4:K1907),2))</f>
        <v/>
      </c>
      <c r="N1907" s="13" t="n"/>
      <c r="O1907" s="13" t="n"/>
      <c r="P1907" s="17">
        <f>IF($B1907="","",IF($F1907="※类别不在基础资料里","※费用类别不在基础资料里",IF(AND(N($J1907)=0,N($K1907)=0),"※这行没填金额",IF(AND(N($J1907)&gt;0,N($K1907)&gt;0),"※收入和支出不能同一行都填",IF(AND($D1907="收入",N($J1907)=0),"※收入行要填收入金额",IF(AND($D1907="支出",N($K1907)=0),"※支出行要填支出金额",IF(AND($C1907&lt;&gt;"",ISNA(MATCH($C1907,账户表,0))),"※账户不在基础资料里",IF(AND($G1907&lt;&gt;"",ISNA(MATCH($G1907,项目名表,0))),"※项目不在项目台账里",IF(AND(LEFT($F1907,3)="成本-",$G1907=""),"※成本类支出没填项目",IF(AND(LEFT($F1907,3)="成本-",$H1907&lt;&gt;"",N($K1907)&gt;0,COUNTIFS(采购单!$B:$B,$B1907,采购单!$C:$C,$H1907,采购单!$L:$L,$K1907)&gt;0),"※这笔可能和采购单重复了",""))))))))))</f>
        <v/>
      </c>
    </row>
    <row r="1908">
      <c r="A1908" s="17">
        <f>IF($B1908="","",ROW()-3)</f>
        <v/>
      </c>
      <c r="B1908" s="18" t="n"/>
      <c r="C1908" s="13" t="n"/>
      <c r="D1908" s="13" t="n"/>
      <c r="E1908" s="13" t="n"/>
      <c r="F1908" s="17">
        <f>IF($E1908="","",IFERROR(VLOOKUP($E1908,类别归属,2,0),"※类别不在基础资料里"))</f>
        <v/>
      </c>
      <c r="G1908" s="13" t="n"/>
      <c r="H1908" s="13" t="n"/>
      <c r="I1908" s="13" t="n"/>
      <c r="J1908" s="14" t="n"/>
      <c r="K1908" s="14" t="n"/>
      <c r="L1908" s="19">
        <f>IF($C1908="","",ROUND(IFERROR(VLOOKUP($C1908,账户期初,2,0),0)+SUMIFS($J$4:J1908,$C$4:C1908,$C1908)-SUMIFS($K$4:K1908,$C$4:C1908,$C1908),2))</f>
        <v/>
      </c>
      <c r="M1908" s="19">
        <f>IF($C1908="","",ROUND(SUM(基础资料!$B$4:$B$13)+SUM($J$4:J1908)-SUM($K$4:K1908),2))</f>
        <v/>
      </c>
      <c r="N1908" s="13" t="n"/>
      <c r="O1908" s="13" t="n"/>
      <c r="P1908" s="17">
        <f>IF($B1908="","",IF($F1908="※类别不在基础资料里","※费用类别不在基础资料里",IF(AND(N($J1908)=0,N($K1908)=0),"※这行没填金额",IF(AND(N($J1908)&gt;0,N($K1908)&gt;0),"※收入和支出不能同一行都填",IF(AND($D1908="收入",N($J1908)=0),"※收入行要填收入金额",IF(AND($D1908="支出",N($K1908)=0),"※支出行要填支出金额",IF(AND($C1908&lt;&gt;"",ISNA(MATCH($C1908,账户表,0))),"※账户不在基础资料里",IF(AND($G1908&lt;&gt;"",ISNA(MATCH($G1908,项目名表,0))),"※项目不在项目台账里",IF(AND(LEFT($F1908,3)="成本-",$G1908=""),"※成本类支出没填项目",IF(AND(LEFT($F1908,3)="成本-",$H1908&lt;&gt;"",N($K1908)&gt;0,COUNTIFS(采购单!$B:$B,$B1908,采购单!$C:$C,$H1908,采购单!$L:$L,$K1908)&gt;0),"※这笔可能和采购单重复了",""))))))))))</f>
        <v/>
      </c>
    </row>
    <row r="1909">
      <c r="A1909" s="17">
        <f>IF($B1909="","",ROW()-3)</f>
        <v/>
      </c>
      <c r="B1909" s="18" t="n"/>
      <c r="C1909" s="13" t="n"/>
      <c r="D1909" s="13" t="n"/>
      <c r="E1909" s="13" t="n"/>
      <c r="F1909" s="17">
        <f>IF($E1909="","",IFERROR(VLOOKUP($E1909,类别归属,2,0),"※类别不在基础资料里"))</f>
        <v/>
      </c>
      <c r="G1909" s="13" t="n"/>
      <c r="H1909" s="13" t="n"/>
      <c r="I1909" s="13" t="n"/>
      <c r="J1909" s="14" t="n"/>
      <c r="K1909" s="14" t="n"/>
      <c r="L1909" s="19">
        <f>IF($C1909="","",ROUND(IFERROR(VLOOKUP($C1909,账户期初,2,0),0)+SUMIFS($J$4:J1909,$C$4:C1909,$C1909)-SUMIFS($K$4:K1909,$C$4:C1909,$C1909),2))</f>
        <v/>
      </c>
      <c r="M1909" s="19">
        <f>IF($C1909="","",ROUND(SUM(基础资料!$B$4:$B$13)+SUM($J$4:J1909)-SUM($K$4:K1909),2))</f>
        <v/>
      </c>
      <c r="N1909" s="13" t="n"/>
      <c r="O1909" s="13" t="n"/>
      <c r="P1909" s="17">
        <f>IF($B1909="","",IF($F1909="※类别不在基础资料里","※费用类别不在基础资料里",IF(AND(N($J1909)=0,N($K1909)=0),"※这行没填金额",IF(AND(N($J1909)&gt;0,N($K1909)&gt;0),"※收入和支出不能同一行都填",IF(AND($D1909="收入",N($J1909)=0),"※收入行要填收入金额",IF(AND($D1909="支出",N($K1909)=0),"※支出行要填支出金额",IF(AND($C1909&lt;&gt;"",ISNA(MATCH($C1909,账户表,0))),"※账户不在基础资料里",IF(AND($G1909&lt;&gt;"",ISNA(MATCH($G1909,项目名表,0))),"※项目不在项目台账里",IF(AND(LEFT($F1909,3)="成本-",$G1909=""),"※成本类支出没填项目",IF(AND(LEFT($F1909,3)="成本-",$H1909&lt;&gt;"",N($K1909)&gt;0,COUNTIFS(采购单!$B:$B,$B1909,采购单!$C:$C,$H1909,采购单!$L:$L,$K1909)&gt;0),"※这笔可能和采购单重复了",""))))))))))</f>
        <v/>
      </c>
    </row>
    <row r="1910">
      <c r="A1910" s="17">
        <f>IF($B1910="","",ROW()-3)</f>
        <v/>
      </c>
      <c r="B1910" s="18" t="n"/>
      <c r="C1910" s="13" t="n"/>
      <c r="D1910" s="13" t="n"/>
      <c r="E1910" s="13" t="n"/>
      <c r="F1910" s="17">
        <f>IF($E1910="","",IFERROR(VLOOKUP($E1910,类别归属,2,0),"※类别不在基础资料里"))</f>
        <v/>
      </c>
      <c r="G1910" s="13" t="n"/>
      <c r="H1910" s="13" t="n"/>
      <c r="I1910" s="13" t="n"/>
      <c r="J1910" s="14" t="n"/>
      <c r="K1910" s="14" t="n"/>
      <c r="L1910" s="19">
        <f>IF($C1910="","",ROUND(IFERROR(VLOOKUP($C1910,账户期初,2,0),0)+SUMIFS($J$4:J1910,$C$4:C1910,$C1910)-SUMIFS($K$4:K1910,$C$4:C1910,$C1910),2))</f>
        <v/>
      </c>
      <c r="M1910" s="19">
        <f>IF($C1910="","",ROUND(SUM(基础资料!$B$4:$B$13)+SUM($J$4:J1910)-SUM($K$4:K1910),2))</f>
        <v/>
      </c>
      <c r="N1910" s="13" t="n"/>
      <c r="O1910" s="13" t="n"/>
      <c r="P1910" s="17">
        <f>IF($B1910="","",IF($F1910="※类别不在基础资料里","※费用类别不在基础资料里",IF(AND(N($J1910)=0,N($K1910)=0),"※这行没填金额",IF(AND(N($J1910)&gt;0,N($K1910)&gt;0),"※收入和支出不能同一行都填",IF(AND($D1910="收入",N($J1910)=0),"※收入行要填收入金额",IF(AND($D1910="支出",N($K1910)=0),"※支出行要填支出金额",IF(AND($C1910&lt;&gt;"",ISNA(MATCH($C1910,账户表,0))),"※账户不在基础资料里",IF(AND($G1910&lt;&gt;"",ISNA(MATCH($G1910,项目名表,0))),"※项目不在项目台账里",IF(AND(LEFT($F1910,3)="成本-",$G1910=""),"※成本类支出没填项目",IF(AND(LEFT($F1910,3)="成本-",$H1910&lt;&gt;"",N($K1910)&gt;0,COUNTIFS(采购单!$B:$B,$B1910,采购单!$C:$C,$H1910,采购单!$L:$L,$K1910)&gt;0),"※这笔可能和采购单重复了",""))))))))))</f>
        <v/>
      </c>
    </row>
    <row r="1911">
      <c r="A1911" s="17">
        <f>IF($B1911="","",ROW()-3)</f>
        <v/>
      </c>
      <c r="B1911" s="18" t="n"/>
      <c r="C1911" s="13" t="n"/>
      <c r="D1911" s="13" t="n"/>
      <c r="E1911" s="13" t="n"/>
      <c r="F1911" s="17">
        <f>IF($E1911="","",IFERROR(VLOOKUP($E1911,类别归属,2,0),"※类别不在基础资料里"))</f>
        <v/>
      </c>
      <c r="G1911" s="13" t="n"/>
      <c r="H1911" s="13" t="n"/>
      <c r="I1911" s="13" t="n"/>
      <c r="J1911" s="14" t="n"/>
      <c r="K1911" s="14" t="n"/>
      <c r="L1911" s="19">
        <f>IF($C1911="","",ROUND(IFERROR(VLOOKUP($C1911,账户期初,2,0),0)+SUMIFS($J$4:J1911,$C$4:C1911,$C1911)-SUMIFS($K$4:K1911,$C$4:C1911,$C1911),2))</f>
        <v/>
      </c>
      <c r="M1911" s="19">
        <f>IF($C1911="","",ROUND(SUM(基础资料!$B$4:$B$13)+SUM($J$4:J1911)-SUM($K$4:K1911),2))</f>
        <v/>
      </c>
      <c r="N1911" s="13" t="n"/>
      <c r="O1911" s="13" t="n"/>
      <c r="P1911" s="17">
        <f>IF($B1911="","",IF($F1911="※类别不在基础资料里","※费用类别不在基础资料里",IF(AND(N($J1911)=0,N($K1911)=0),"※这行没填金额",IF(AND(N($J1911)&gt;0,N($K1911)&gt;0),"※收入和支出不能同一行都填",IF(AND($D1911="收入",N($J1911)=0),"※收入行要填收入金额",IF(AND($D1911="支出",N($K1911)=0),"※支出行要填支出金额",IF(AND($C1911&lt;&gt;"",ISNA(MATCH($C1911,账户表,0))),"※账户不在基础资料里",IF(AND($G1911&lt;&gt;"",ISNA(MATCH($G1911,项目名表,0))),"※项目不在项目台账里",IF(AND(LEFT($F1911,3)="成本-",$G1911=""),"※成本类支出没填项目",IF(AND(LEFT($F1911,3)="成本-",$H1911&lt;&gt;"",N($K1911)&gt;0,COUNTIFS(采购单!$B:$B,$B1911,采购单!$C:$C,$H1911,采购单!$L:$L,$K1911)&gt;0),"※这笔可能和采购单重复了",""))))))))))</f>
        <v/>
      </c>
    </row>
    <row r="1912">
      <c r="A1912" s="17">
        <f>IF($B1912="","",ROW()-3)</f>
        <v/>
      </c>
      <c r="B1912" s="18" t="n"/>
      <c r="C1912" s="13" t="n"/>
      <c r="D1912" s="13" t="n"/>
      <c r="E1912" s="13" t="n"/>
      <c r="F1912" s="17">
        <f>IF($E1912="","",IFERROR(VLOOKUP($E1912,类别归属,2,0),"※类别不在基础资料里"))</f>
        <v/>
      </c>
      <c r="G1912" s="13" t="n"/>
      <c r="H1912" s="13" t="n"/>
      <c r="I1912" s="13" t="n"/>
      <c r="J1912" s="14" t="n"/>
      <c r="K1912" s="14" t="n"/>
      <c r="L1912" s="19">
        <f>IF($C1912="","",ROUND(IFERROR(VLOOKUP($C1912,账户期初,2,0),0)+SUMIFS($J$4:J1912,$C$4:C1912,$C1912)-SUMIFS($K$4:K1912,$C$4:C1912,$C1912),2))</f>
        <v/>
      </c>
      <c r="M1912" s="19">
        <f>IF($C1912="","",ROUND(SUM(基础资料!$B$4:$B$13)+SUM($J$4:J1912)-SUM($K$4:K1912),2))</f>
        <v/>
      </c>
      <c r="N1912" s="13" t="n"/>
      <c r="O1912" s="13" t="n"/>
      <c r="P1912" s="17">
        <f>IF($B1912="","",IF($F1912="※类别不在基础资料里","※费用类别不在基础资料里",IF(AND(N($J1912)=0,N($K1912)=0),"※这行没填金额",IF(AND(N($J1912)&gt;0,N($K1912)&gt;0),"※收入和支出不能同一行都填",IF(AND($D1912="收入",N($J1912)=0),"※收入行要填收入金额",IF(AND($D1912="支出",N($K1912)=0),"※支出行要填支出金额",IF(AND($C1912&lt;&gt;"",ISNA(MATCH($C1912,账户表,0))),"※账户不在基础资料里",IF(AND($G1912&lt;&gt;"",ISNA(MATCH($G1912,项目名表,0))),"※项目不在项目台账里",IF(AND(LEFT($F1912,3)="成本-",$G1912=""),"※成本类支出没填项目",IF(AND(LEFT($F1912,3)="成本-",$H1912&lt;&gt;"",N($K1912)&gt;0,COUNTIFS(采购单!$B:$B,$B1912,采购单!$C:$C,$H1912,采购单!$L:$L,$K1912)&gt;0),"※这笔可能和采购单重复了",""))))))))))</f>
        <v/>
      </c>
    </row>
    <row r="1913">
      <c r="A1913" s="17">
        <f>IF($B1913="","",ROW()-3)</f>
        <v/>
      </c>
      <c r="B1913" s="18" t="n"/>
      <c r="C1913" s="13" t="n"/>
      <c r="D1913" s="13" t="n"/>
      <c r="E1913" s="13" t="n"/>
      <c r="F1913" s="17">
        <f>IF($E1913="","",IFERROR(VLOOKUP($E1913,类别归属,2,0),"※类别不在基础资料里"))</f>
        <v/>
      </c>
      <c r="G1913" s="13" t="n"/>
      <c r="H1913" s="13" t="n"/>
      <c r="I1913" s="13" t="n"/>
      <c r="J1913" s="14" t="n"/>
      <c r="K1913" s="14" t="n"/>
      <c r="L1913" s="19">
        <f>IF($C1913="","",ROUND(IFERROR(VLOOKUP($C1913,账户期初,2,0),0)+SUMIFS($J$4:J1913,$C$4:C1913,$C1913)-SUMIFS($K$4:K1913,$C$4:C1913,$C1913),2))</f>
        <v/>
      </c>
      <c r="M1913" s="19">
        <f>IF($C1913="","",ROUND(SUM(基础资料!$B$4:$B$13)+SUM($J$4:J1913)-SUM($K$4:K1913),2))</f>
        <v/>
      </c>
      <c r="N1913" s="13" t="n"/>
      <c r="O1913" s="13" t="n"/>
      <c r="P1913" s="17">
        <f>IF($B1913="","",IF($F1913="※类别不在基础资料里","※费用类别不在基础资料里",IF(AND(N($J1913)=0,N($K1913)=0),"※这行没填金额",IF(AND(N($J1913)&gt;0,N($K1913)&gt;0),"※收入和支出不能同一行都填",IF(AND($D1913="收入",N($J1913)=0),"※收入行要填收入金额",IF(AND($D1913="支出",N($K1913)=0),"※支出行要填支出金额",IF(AND($C1913&lt;&gt;"",ISNA(MATCH($C1913,账户表,0))),"※账户不在基础资料里",IF(AND($G1913&lt;&gt;"",ISNA(MATCH($G1913,项目名表,0))),"※项目不在项目台账里",IF(AND(LEFT($F1913,3)="成本-",$G1913=""),"※成本类支出没填项目",IF(AND(LEFT($F1913,3)="成本-",$H1913&lt;&gt;"",N($K1913)&gt;0,COUNTIFS(采购单!$B:$B,$B1913,采购单!$C:$C,$H1913,采购单!$L:$L,$K1913)&gt;0),"※这笔可能和采购单重复了",""))))))))))</f>
        <v/>
      </c>
    </row>
    <row r="1914">
      <c r="A1914" s="17">
        <f>IF($B1914="","",ROW()-3)</f>
        <v/>
      </c>
      <c r="B1914" s="18" t="n"/>
      <c r="C1914" s="13" t="n"/>
      <c r="D1914" s="13" t="n"/>
      <c r="E1914" s="13" t="n"/>
      <c r="F1914" s="17">
        <f>IF($E1914="","",IFERROR(VLOOKUP($E1914,类别归属,2,0),"※类别不在基础资料里"))</f>
        <v/>
      </c>
      <c r="G1914" s="13" t="n"/>
      <c r="H1914" s="13" t="n"/>
      <c r="I1914" s="13" t="n"/>
      <c r="J1914" s="14" t="n"/>
      <c r="K1914" s="14" t="n"/>
      <c r="L1914" s="19">
        <f>IF($C1914="","",ROUND(IFERROR(VLOOKUP($C1914,账户期初,2,0),0)+SUMIFS($J$4:J1914,$C$4:C1914,$C1914)-SUMIFS($K$4:K1914,$C$4:C1914,$C1914),2))</f>
        <v/>
      </c>
      <c r="M1914" s="19">
        <f>IF($C1914="","",ROUND(SUM(基础资料!$B$4:$B$13)+SUM($J$4:J1914)-SUM($K$4:K1914),2))</f>
        <v/>
      </c>
      <c r="N1914" s="13" t="n"/>
      <c r="O1914" s="13" t="n"/>
      <c r="P1914" s="17">
        <f>IF($B1914="","",IF($F1914="※类别不在基础资料里","※费用类别不在基础资料里",IF(AND(N($J1914)=0,N($K1914)=0),"※这行没填金额",IF(AND(N($J1914)&gt;0,N($K1914)&gt;0),"※收入和支出不能同一行都填",IF(AND($D1914="收入",N($J1914)=0),"※收入行要填收入金额",IF(AND($D1914="支出",N($K1914)=0),"※支出行要填支出金额",IF(AND($C1914&lt;&gt;"",ISNA(MATCH($C1914,账户表,0))),"※账户不在基础资料里",IF(AND($G1914&lt;&gt;"",ISNA(MATCH($G1914,项目名表,0))),"※项目不在项目台账里",IF(AND(LEFT($F1914,3)="成本-",$G1914=""),"※成本类支出没填项目",IF(AND(LEFT($F1914,3)="成本-",$H1914&lt;&gt;"",N($K1914)&gt;0,COUNTIFS(采购单!$B:$B,$B1914,采购单!$C:$C,$H1914,采购单!$L:$L,$K1914)&gt;0),"※这笔可能和采购单重复了",""))))))))))</f>
        <v/>
      </c>
    </row>
    <row r="1915">
      <c r="A1915" s="17">
        <f>IF($B1915="","",ROW()-3)</f>
        <v/>
      </c>
      <c r="B1915" s="18" t="n"/>
      <c r="C1915" s="13" t="n"/>
      <c r="D1915" s="13" t="n"/>
      <c r="E1915" s="13" t="n"/>
      <c r="F1915" s="17">
        <f>IF($E1915="","",IFERROR(VLOOKUP($E1915,类别归属,2,0),"※类别不在基础资料里"))</f>
        <v/>
      </c>
      <c r="G1915" s="13" t="n"/>
      <c r="H1915" s="13" t="n"/>
      <c r="I1915" s="13" t="n"/>
      <c r="J1915" s="14" t="n"/>
      <c r="K1915" s="14" t="n"/>
      <c r="L1915" s="19">
        <f>IF($C1915="","",ROUND(IFERROR(VLOOKUP($C1915,账户期初,2,0),0)+SUMIFS($J$4:J1915,$C$4:C1915,$C1915)-SUMIFS($K$4:K1915,$C$4:C1915,$C1915),2))</f>
        <v/>
      </c>
      <c r="M1915" s="19">
        <f>IF($C1915="","",ROUND(SUM(基础资料!$B$4:$B$13)+SUM($J$4:J1915)-SUM($K$4:K1915),2))</f>
        <v/>
      </c>
      <c r="N1915" s="13" t="n"/>
      <c r="O1915" s="13" t="n"/>
      <c r="P1915" s="17">
        <f>IF($B1915="","",IF($F1915="※类别不在基础资料里","※费用类别不在基础资料里",IF(AND(N($J1915)=0,N($K1915)=0),"※这行没填金额",IF(AND(N($J1915)&gt;0,N($K1915)&gt;0),"※收入和支出不能同一行都填",IF(AND($D1915="收入",N($J1915)=0),"※收入行要填收入金额",IF(AND($D1915="支出",N($K1915)=0),"※支出行要填支出金额",IF(AND($C1915&lt;&gt;"",ISNA(MATCH($C1915,账户表,0))),"※账户不在基础资料里",IF(AND($G1915&lt;&gt;"",ISNA(MATCH($G1915,项目名表,0))),"※项目不在项目台账里",IF(AND(LEFT($F1915,3)="成本-",$G1915=""),"※成本类支出没填项目",IF(AND(LEFT($F1915,3)="成本-",$H1915&lt;&gt;"",N($K1915)&gt;0,COUNTIFS(采购单!$B:$B,$B1915,采购单!$C:$C,$H1915,采购单!$L:$L,$K1915)&gt;0),"※这笔可能和采购单重复了",""))))))))))</f>
        <v/>
      </c>
    </row>
    <row r="1916">
      <c r="A1916" s="17">
        <f>IF($B1916="","",ROW()-3)</f>
        <v/>
      </c>
      <c r="B1916" s="18" t="n"/>
      <c r="C1916" s="13" t="n"/>
      <c r="D1916" s="13" t="n"/>
      <c r="E1916" s="13" t="n"/>
      <c r="F1916" s="17">
        <f>IF($E1916="","",IFERROR(VLOOKUP($E1916,类别归属,2,0),"※类别不在基础资料里"))</f>
        <v/>
      </c>
      <c r="G1916" s="13" t="n"/>
      <c r="H1916" s="13" t="n"/>
      <c r="I1916" s="13" t="n"/>
      <c r="J1916" s="14" t="n"/>
      <c r="K1916" s="14" t="n"/>
      <c r="L1916" s="19">
        <f>IF($C1916="","",ROUND(IFERROR(VLOOKUP($C1916,账户期初,2,0),0)+SUMIFS($J$4:J1916,$C$4:C1916,$C1916)-SUMIFS($K$4:K1916,$C$4:C1916,$C1916),2))</f>
        <v/>
      </c>
      <c r="M1916" s="19">
        <f>IF($C1916="","",ROUND(SUM(基础资料!$B$4:$B$13)+SUM($J$4:J1916)-SUM($K$4:K1916),2))</f>
        <v/>
      </c>
      <c r="N1916" s="13" t="n"/>
      <c r="O1916" s="13" t="n"/>
      <c r="P1916" s="17">
        <f>IF($B1916="","",IF($F1916="※类别不在基础资料里","※费用类别不在基础资料里",IF(AND(N($J1916)=0,N($K1916)=0),"※这行没填金额",IF(AND(N($J1916)&gt;0,N($K1916)&gt;0),"※收入和支出不能同一行都填",IF(AND($D1916="收入",N($J1916)=0),"※收入行要填收入金额",IF(AND($D1916="支出",N($K1916)=0),"※支出行要填支出金额",IF(AND($C1916&lt;&gt;"",ISNA(MATCH($C1916,账户表,0))),"※账户不在基础资料里",IF(AND($G1916&lt;&gt;"",ISNA(MATCH($G1916,项目名表,0))),"※项目不在项目台账里",IF(AND(LEFT($F1916,3)="成本-",$G1916=""),"※成本类支出没填项目",IF(AND(LEFT($F1916,3)="成本-",$H1916&lt;&gt;"",N($K1916)&gt;0,COUNTIFS(采购单!$B:$B,$B1916,采购单!$C:$C,$H1916,采购单!$L:$L,$K1916)&gt;0),"※这笔可能和采购单重复了",""))))))))))</f>
        <v/>
      </c>
    </row>
    <row r="1917">
      <c r="A1917" s="17">
        <f>IF($B1917="","",ROW()-3)</f>
        <v/>
      </c>
      <c r="B1917" s="18" t="n"/>
      <c r="C1917" s="13" t="n"/>
      <c r="D1917" s="13" t="n"/>
      <c r="E1917" s="13" t="n"/>
      <c r="F1917" s="17">
        <f>IF($E1917="","",IFERROR(VLOOKUP($E1917,类别归属,2,0),"※类别不在基础资料里"))</f>
        <v/>
      </c>
      <c r="G1917" s="13" t="n"/>
      <c r="H1917" s="13" t="n"/>
      <c r="I1917" s="13" t="n"/>
      <c r="J1917" s="14" t="n"/>
      <c r="K1917" s="14" t="n"/>
      <c r="L1917" s="19">
        <f>IF($C1917="","",ROUND(IFERROR(VLOOKUP($C1917,账户期初,2,0),0)+SUMIFS($J$4:J1917,$C$4:C1917,$C1917)-SUMIFS($K$4:K1917,$C$4:C1917,$C1917),2))</f>
        <v/>
      </c>
      <c r="M1917" s="19">
        <f>IF($C1917="","",ROUND(SUM(基础资料!$B$4:$B$13)+SUM($J$4:J1917)-SUM($K$4:K1917),2))</f>
        <v/>
      </c>
      <c r="N1917" s="13" t="n"/>
      <c r="O1917" s="13" t="n"/>
      <c r="P1917" s="17">
        <f>IF($B1917="","",IF($F1917="※类别不在基础资料里","※费用类别不在基础资料里",IF(AND(N($J1917)=0,N($K1917)=0),"※这行没填金额",IF(AND(N($J1917)&gt;0,N($K1917)&gt;0),"※收入和支出不能同一行都填",IF(AND($D1917="收入",N($J1917)=0),"※收入行要填收入金额",IF(AND($D1917="支出",N($K1917)=0),"※支出行要填支出金额",IF(AND($C1917&lt;&gt;"",ISNA(MATCH($C1917,账户表,0))),"※账户不在基础资料里",IF(AND($G1917&lt;&gt;"",ISNA(MATCH($G1917,项目名表,0))),"※项目不在项目台账里",IF(AND(LEFT($F1917,3)="成本-",$G1917=""),"※成本类支出没填项目",IF(AND(LEFT($F1917,3)="成本-",$H1917&lt;&gt;"",N($K1917)&gt;0,COUNTIFS(采购单!$B:$B,$B1917,采购单!$C:$C,$H1917,采购单!$L:$L,$K1917)&gt;0),"※这笔可能和采购单重复了",""))))))))))</f>
        <v/>
      </c>
    </row>
    <row r="1918">
      <c r="A1918" s="17">
        <f>IF($B1918="","",ROW()-3)</f>
        <v/>
      </c>
      <c r="B1918" s="18" t="n"/>
      <c r="C1918" s="13" t="n"/>
      <c r="D1918" s="13" t="n"/>
      <c r="E1918" s="13" t="n"/>
      <c r="F1918" s="17">
        <f>IF($E1918="","",IFERROR(VLOOKUP($E1918,类别归属,2,0),"※类别不在基础资料里"))</f>
        <v/>
      </c>
      <c r="G1918" s="13" t="n"/>
      <c r="H1918" s="13" t="n"/>
      <c r="I1918" s="13" t="n"/>
      <c r="J1918" s="14" t="n"/>
      <c r="K1918" s="14" t="n"/>
      <c r="L1918" s="19">
        <f>IF($C1918="","",ROUND(IFERROR(VLOOKUP($C1918,账户期初,2,0),0)+SUMIFS($J$4:J1918,$C$4:C1918,$C1918)-SUMIFS($K$4:K1918,$C$4:C1918,$C1918),2))</f>
        <v/>
      </c>
      <c r="M1918" s="19">
        <f>IF($C1918="","",ROUND(SUM(基础资料!$B$4:$B$13)+SUM($J$4:J1918)-SUM($K$4:K1918),2))</f>
        <v/>
      </c>
      <c r="N1918" s="13" t="n"/>
      <c r="O1918" s="13" t="n"/>
      <c r="P1918" s="17">
        <f>IF($B1918="","",IF($F1918="※类别不在基础资料里","※费用类别不在基础资料里",IF(AND(N($J1918)=0,N($K1918)=0),"※这行没填金额",IF(AND(N($J1918)&gt;0,N($K1918)&gt;0),"※收入和支出不能同一行都填",IF(AND($D1918="收入",N($J1918)=0),"※收入行要填收入金额",IF(AND($D1918="支出",N($K1918)=0),"※支出行要填支出金额",IF(AND($C1918&lt;&gt;"",ISNA(MATCH($C1918,账户表,0))),"※账户不在基础资料里",IF(AND($G1918&lt;&gt;"",ISNA(MATCH($G1918,项目名表,0))),"※项目不在项目台账里",IF(AND(LEFT($F1918,3)="成本-",$G1918=""),"※成本类支出没填项目",IF(AND(LEFT($F1918,3)="成本-",$H1918&lt;&gt;"",N($K1918)&gt;0,COUNTIFS(采购单!$B:$B,$B1918,采购单!$C:$C,$H1918,采购单!$L:$L,$K1918)&gt;0),"※这笔可能和采购单重复了",""))))))))))</f>
        <v/>
      </c>
    </row>
    <row r="1919">
      <c r="A1919" s="17">
        <f>IF($B1919="","",ROW()-3)</f>
        <v/>
      </c>
      <c r="B1919" s="18" t="n"/>
      <c r="C1919" s="13" t="n"/>
      <c r="D1919" s="13" t="n"/>
      <c r="E1919" s="13" t="n"/>
      <c r="F1919" s="17">
        <f>IF($E1919="","",IFERROR(VLOOKUP($E1919,类别归属,2,0),"※类别不在基础资料里"))</f>
        <v/>
      </c>
      <c r="G1919" s="13" t="n"/>
      <c r="H1919" s="13" t="n"/>
      <c r="I1919" s="13" t="n"/>
      <c r="J1919" s="14" t="n"/>
      <c r="K1919" s="14" t="n"/>
      <c r="L1919" s="19">
        <f>IF($C1919="","",ROUND(IFERROR(VLOOKUP($C1919,账户期初,2,0),0)+SUMIFS($J$4:J1919,$C$4:C1919,$C1919)-SUMIFS($K$4:K1919,$C$4:C1919,$C1919),2))</f>
        <v/>
      </c>
      <c r="M1919" s="19">
        <f>IF($C1919="","",ROUND(SUM(基础资料!$B$4:$B$13)+SUM($J$4:J1919)-SUM($K$4:K1919),2))</f>
        <v/>
      </c>
      <c r="N1919" s="13" t="n"/>
      <c r="O1919" s="13" t="n"/>
      <c r="P1919" s="17">
        <f>IF($B1919="","",IF($F1919="※类别不在基础资料里","※费用类别不在基础资料里",IF(AND(N($J1919)=0,N($K1919)=0),"※这行没填金额",IF(AND(N($J1919)&gt;0,N($K1919)&gt;0),"※收入和支出不能同一行都填",IF(AND($D1919="收入",N($J1919)=0),"※收入行要填收入金额",IF(AND($D1919="支出",N($K1919)=0),"※支出行要填支出金额",IF(AND($C1919&lt;&gt;"",ISNA(MATCH($C1919,账户表,0))),"※账户不在基础资料里",IF(AND($G1919&lt;&gt;"",ISNA(MATCH($G1919,项目名表,0))),"※项目不在项目台账里",IF(AND(LEFT($F1919,3)="成本-",$G1919=""),"※成本类支出没填项目",IF(AND(LEFT($F1919,3)="成本-",$H1919&lt;&gt;"",N($K1919)&gt;0,COUNTIFS(采购单!$B:$B,$B1919,采购单!$C:$C,$H1919,采购单!$L:$L,$K1919)&gt;0),"※这笔可能和采购单重复了",""))))))))))</f>
        <v/>
      </c>
    </row>
    <row r="1920">
      <c r="A1920" s="17">
        <f>IF($B1920="","",ROW()-3)</f>
        <v/>
      </c>
      <c r="B1920" s="18" t="n"/>
      <c r="C1920" s="13" t="n"/>
      <c r="D1920" s="13" t="n"/>
      <c r="E1920" s="13" t="n"/>
      <c r="F1920" s="17">
        <f>IF($E1920="","",IFERROR(VLOOKUP($E1920,类别归属,2,0),"※类别不在基础资料里"))</f>
        <v/>
      </c>
      <c r="G1920" s="13" t="n"/>
      <c r="H1920" s="13" t="n"/>
      <c r="I1920" s="13" t="n"/>
      <c r="J1920" s="14" t="n"/>
      <c r="K1920" s="14" t="n"/>
      <c r="L1920" s="19">
        <f>IF($C1920="","",ROUND(IFERROR(VLOOKUP($C1920,账户期初,2,0),0)+SUMIFS($J$4:J1920,$C$4:C1920,$C1920)-SUMIFS($K$4:K1920,$C$4:C1920,$C1920),2))</f>
        <v/>
      </c>
      <c r="M1920" s="19">
        <f>IF($C1920="","",ROUND(SUM(基础资料!$B$4:$B$13)+SUM($J$4:J1920)-SUM($K$4:K1920),2))</f>
        <v/>
      </c>
      <c r="N1920" s="13" t="n"/>
      <c r="O1920" s="13" t="n"/>
      <c r="P1920" s="17">
        <f>IF($B1920="","",IF($F1920="※类别不在基础资料里","※费用类别不在基础资料里",IF(AND(N($J1920)=0,N($K1920)=0),"※这行没填金额",IF(AND(N($J1920)&gt;0,N($K1920)&gt;0),"※收入和支出不能同一行都填",IF(AND($D1920="收入",N($J1920)=0),"※收入行要填收入金额",IF(AND($D1920="支出",N($K1920)=0),"※支出行要填支出金额",IF(AND($C1920&lt;&gt;"",ISNA(MATCH($C1920,账户表,0))),"※账户不在基础资料里",IF(AND($G1920&lt;&gt;"",ISNA(MATCH($G1920,项目名表,0))),"※项目不在项目台账里",IF(AND(LEFT($F1920,3)="成本-",$G1920=""),"※成本类支出没填项目",IF(AND(LEFT($F1920,3)="成本-",$H1920&lt;&gt;"",N($K1920)&gt;0,COUNTIFS(采购单!$B:$B,$B1920,采购单!$C:$C,$H1920,采购单!$L:$L,$K1920)&gt;0),"※这笔可能和采购单重复了",""))))))))))</f>
        <v/>
      </c>
    </row>
    <row r="1921">
      <c r="A1921" s="17">
        <f>IF($B1921="","",ROW()-3)</f>
        <v/>
      </c>
      <c r="B1921" s="18" t="n"/>
      <c r="C1921" s="13" t="n"/>
      <c r="D1921" s="13" t="n"/>
      <c r="E1921" s="13" t="n"/>
      <c r="F1921" s="17">
        <f>IF($E1921="","",IFERROR(VLOOKUP($E1921,类别归属,2,0),"※类别不在基础资料里"))</f>
        <v/>
      </c>
      <c r="G1921" s="13" t="n"/>
      <c r="H1921" s="13" t="n"/>
      <c r="I1921" s="13" t="n"/>
      <c r="J1921" s="14" t="n"/>
      <c r="K1921" s="14" t="n"/>
      <c r="L1921" s="19">
        <f>IF($C1921="","",ROUND(IFERROR(VLOOKUP($C1921,账户期初,2,0),0)+SUMIFS($J$4:J1921,$C$4:C1921,$C1921)-SUMIFS($K$4:K1921,$C$4:C1921,$C1921),2))</f>
        <v/>
      </c>
      <c r="M1921" s="19">
        <f>IF($C1921="","",ROUND(SUM(基础资料!$B$4:$B$13)+SUM($J$4:J1921)-SUM($K$4:K1921),2))</f>
        <v/>
      </c>
      <c r="N1921" s="13" t="n"/>
      <c r="O1921" s="13" t="n"/>
      <c r="P1921" s="17">
        <f>IF($B1921="","",IF($F1921="※类别不在基础资料里","※费用类别不在基础资料里",IF(AND(N($J1921)=0,N($K1921)=0),"※这行没填金额",IF(AND(N($J1921)&gt;0,N($K1921)&gt;0),"※收入和支出不能同一行都填",IF(AND($D1921="收入",N($J1921)=0),"※收入行要填收入金额",IF(AND($D1921="支出",N($K1921)=0),"※支出行要填支出金额",IF(AND($C1921&lt;&gt;"",ISNA(MATCH($C1921,账户表,0))),"※账户不在基础资料里",IF(AND($G1921&lt;&gt;"",ISNA(MATCH($G1921,项目名表,0))),"※项目不在项目台账里",IF(AND(LEFT($F1921,3)="成本-",$G1921=""),"※成本类支出没填项目",IF(AND(LEFT($F1921,3)="成本-",$H1921&lt;&gt;"",N($K1921)&gt;0,COUNTIFS(采购单!$B:$B,$B1921,采购单!$C:$C,$H1921,采购单!$L:$L,$K1921)&gt;0),"※这笔可能和采购单重复了",""))))))))))</f>
        <v/>
      </c>
    </row>
    <row r="1922">
      <c r="A1922" s="17">
        <f>IF($B1922="","",ROW()-3)</f>
        <v/>
      </c>
      <c r="B1922" s="18" t="n"/>
      <c r="C1922" s="13" t="n"/>
      <c r="D1922" s="13" t="n"/>
      <c r="E1922" s="13" t="n"/>
      <c r="F1922" s="17">
        <f>IF($E1922="","",IFERROR(VLOOKUP($E1922,类别归属,2,0),"※类别不在基础资料里"))</f>
        <v/>
      </c>
      <c r="G1922" s="13" t="n"/>
      <c r="H1922" s="13" t="n"/>
      <c r="I1922" s="13" t="n"/>
      <c r="J1922" s="14" t="n"/>
      <c r="K1922" s="14" t="n"/>
      <c r="L1922" s="19">
        <f>IF($C1922="","",ROUND(IFERROR(VLOOKUP($C1922,账户期初,2,0),0)+SUMIFS($J$4:J1922,$C$4:C1922,$C1922)-SUMIFS($K$4:K1922,$C$4:C1922,$C1922),2))</f>
        <v/>
      </c>
      <c r="M1922" s="19">
        <f>IF($C1922="","",ROUND(SUM(基础资料!$B$4:$B$13)+SUM($J$4:J1922)-SUM($K$4:K1922),2))</f>
        <v/>
      </c>
      <c r="N1922" s="13" t="n"/>
      <c r="O1922" s="13" t="n"/>
      <c r="P1922" s="17">
        <f>IF($B1922="","",IF($F1922="※类别不在基础资料里","※费用类别不在基础资料里",IF(AND(N($J1922)=0,N($K1922)=0),"※这行没填金额",IF(AND(N($J1922)&gt;0,N($K1922)&gt;0),"※收入和支出不能同一行都填",IF(AND($D1922="收入",N($J1922)=0),"※收入行要填收入金额",IF(AND($D1922="支出",N($K1922)=0),"※支出行要填支出金额",IF(AND($C1922&lt;&gt;"",ISNA(MATCH($C1922,账户表,0))),"※账户不在基础资料里",IF(AND($G1922&lt;&gt;"",ISNA(MATCH($G1922,项目名表,0))),"※项目不在项目台账里",IF(AND(LEFT($F1922,3)="成本-",$G1922=""),"※成本类支出没填项目",IF(AND(LEFT($F1922,3)="成本-",$H1922&lt;&gt;"",N($K1922)&gt;0,COUNTIFS(采购单!$B:$B,$B1922,采购单!$C:$C,$H1922,采购单!$L:$L,$K1922)&gt;0),"※这笔可能和采购单重复了",""))))))))))</f>
        <v/>
      </c>
    </row>
    <row r="1923">
      <c r="A1923" s="17">
        <f>IF($B1923="","",ROW()-3)</f>
        <v/>
      </c>
      <c r="B1923" s="18" t="n"/>
      <c r="C1923" s="13" t="n"/>
      <c r="D1923" s="13" t="n"/>
      <c r="E1923" s="13" t="n"/>
      <c r="F1923" s="17">
        <f>IF($E1923="","",IFERROR(VLOOKUP($E1923,类别归属,2,0),"※类别不在基础资料里"))</f>
        <v/>
      </c>
      <c r="G1923" s="13" t="n"/>
      <c r="H1923" s="13" t="n"/>
      <c r="I1923" s="13" t="n"/>
      <c r="J1923" s="14" t="n"/>
      <c r="K1923" s="14" t="n"/>
      <c r="L1923" s="19">
        <f>IF($C1923="","",ROUND(IFERROR(VLOOKUP($C1923,账户期初,2,0),0)+SUMIFS($J$4:J1923,$C$4:C1923,$C1923)-SUMIFS($K$4:K1923,$C$4:C1923,$C1923),2))</f>
        <v/>
      </c>
      <c r="M1923" s="19">
        <f>IF($C1923="","",ROUND(SUM(基础资料!$B$4:$B$13)+SUM($J$4:J1923)-SUM($K$4:K1923),2))</f>
        <v/>
      </c>
      <c r="N1923" s="13" t="n"/>
      <c r="O1923" s="13" t="n"/>
      <c r="P1923" s="17">
        <f>IF($B1923="","",IF($F1923="※类别不在基础资料里","※费用类别不在基础资料里",IF(AND(N($J1923)=0,N($K1923)=0),"※这行没填金额",IF(AND(N($J1923)&gt;0,N($K1923)&gt;0),"※收入和支出不能同一行都填",IF(AND($D1923="收入",N($J1923)=0),"※收入行要填收入金额",IF(AND($D1923="支出",N($K1923)=0),"※支出行要填支出金额",IF(AND($C1923&lt;&gt;"",ISNA(MATCH($C1923,账户表,0))),"※账户不在基础资料里",IF(AND($G1923&lt;&gt;"",ISNA(MATCH($G1923,项目名表,0))),"※项目不在项目台账里",IF(AND(LEFT($F1923,3)="成本-",$G1923=""),"※成本类支出没填项目",IF(AND(LEFT($F1923,3)="成本-",$H1923&lt;&gt;"",N($K1923)&gt;0,COUNTIFS(采购单!$B:$B,$B1923,采购单!$C:$C,$H1923,采购单!$L:$L,$K1923)&gt;0),"※这笔可能和采购单重复了",""))))))))))</f>
        <v/>
      </c>
    </row>
    <row r="1924">
      <c r="A1924" s="17">
        <f>IF($B1924="","",ROW()-3)</f>
        <v/>
      </c>
      <c r="B1924" s="18" t="n"/>
      <c r="C1924" s="13" t="n"/>
      <c r="D1924" s="13" t="n"/>
      <c r="E1924" s="13" t="n"/>
      <c r="F1924" s="17">
        <f>IF($E1924="","",IFERROR(VLOOKUP($E1924,类别归属,2,0),"※类别不在基础资料里"))</f>
        <v/>
      </c>
      <c r="G1924" s="13" t="n"/>
      <c r="H1924" s="13" t="n"/>
      <c r="I1924" s="13" t="n"/>
      <c r="J1924" s="14" t="n"/>
      <c r="K1924" s="14" t="n"/>
      <c r="L1924" s="19">
        <f>IF($C1924="","",ROUND(IFERROR(VLOOKUP($C1924,账户期初,2,0),0)+SUMIFS($J$4:J1924,$C$4:C1924,$C1924)-SUMIFS($K$4:K1924,$C$4:C1924,$C1924),2))</f>
        <v/>
      </c>
      <c r="M1924" s="19">
        <f>IF($C1924="","",ROUND(SUM(基础资料!$B$4:$B$13)+SUM($J$4:J1924)-SUM($K$4:K1924),2))</f>
        <v/>
      </c>
      <c r="N1924" s="13" t="n"/>
      <c r="O1924" s="13" t="n"/>
      <c r="P1924" s="17">
        <f>IF($B1924="","",IF($F1924="※类别不在基础资料里","※费用类别不在基础资料里",IF(AND(N($J1924)=0,N($K1924)=0),"※这行没填金额",IF(AND(N($J1924)&gt;0,N($K1924)&gt;0),"※收入和支出不能同一行都填",IF(AND($D1924="收入",N($J1924)=0),"※收入行要填收入金额",IF(AND($D1924="支出",N($K1924)=0),"※支出行要填支出金额",IF(AND($C1924&lt;&gt;"",ISNA(MATCH($C1924,账户表,0))),"※账户不在基础资料里",IF(AND($G1924&lt;&gt;"",ISNA(MATCH($G1924,项目名表,0))),"※项目不在项目台账里",IF(AND(LEFT($F1924,3)="成本-",$G1924=""),"※成本类支出没填项目",IF(AND(LEFT($F1924,3)="成本-",$H1924&lt;&gt;"",N($K1924)&gt;0,COUNTIFS(采购单!$B:$B,$B1924,采购单!$C:$C,$H1924,采购单!$L:$L,$K1924)&gt;0),"※这笔可能和采购单重复了",""))))))))))</f>
        <v/>
      </c>
    </row>
    <row r="1925">
      <c r="A1925" s="17">
        <f>IF($B1925="","",ROW()-3)</f>
        <v/>
      </c>
      <c r="B1925" s="18" t="n"/>
      <c r="C1925" s="13" t="n"/>
      <c r="D1925" s="13" t="n"/>
      <c r="E1925" s="13" t="n"/>
      <c r="F1925" s="17">
        <f>IF($E1925="","",IFERROR(VLOOKUP($E1925,类别归属,2,0),"※类别不在基础资料里"))</f>
        <v/>
      </c>
      <c r="G1925" s="13" t="n"/>
      <c r="H1925" s="13" t="n"/>
      <c r="I1925" s="13" t="n"/>
      <c r="J1925" s="14" t="n"/>
      <c r="K1925" s="14" t="n"/>
      <c r="L1925" s="19">
        <f>IF($C1925="","",ROUND(IFERROR(VLOOKUP($C1925,账户期初,2,0),0)+SUMIFS($J$4:J1925,$C$4:C1925,$C1925)-SUMIFS($K$4:K1925,$C$4:C1925,$C1925),2))</f>
        <v/>
      </c>
      <c r="M1925" s="19">
        <f>IF($C1925="","",ROUND(SUM(基础资料!$B$4:$B$13)+SUM($J$4:J1925)-SUM($K$4:K1925),2))</f>
        <v/>
      </c>
      <c r="N1925" s="13" t="n"/>
      <c r="O1925" s="13" t="n"/>
      <c r="P1925" s="17">
        <f>IF($B1925="","",IF($F1925="※类别不在基础资料里","※费用类别不在基础资料里",IF(AND(N($J1925)=0,N($K1925)=0),"※这行没填金额",IF(AND(N($J1925)&gt;0,N($K1925)&gt;0),"※收入和支出不能同一行都填",IF(AND($D1925="收入",N($J1925)=0),"※收入行要填收入金额",IF(AND($D1925="支出",N($K1925)=0),"※支出行要填支出金额",IF(AND($C1925&lt;&gt;"",ISNA(MATCH($C1925,账户表,0))),"※账户不在基础资料里",IF(AND($G1925&lt;&gt;"",ISNA(MATCH($G1925,项目名表,0))),"※项目不在项目台账里",IF(AND(LEFT($F1925,3)="成本-",$G1925=""),"※成本类支出没填项目",IF(AND(LEFT($F1925,3)="成本-",$H1925&lt;&gt;"",N($K1925)&gt;0,COUNTIFS(采购单!$B:$B,$B1925,采购单!$C:$C,$H1925,采购单!$L:$L,$K1925)&gt;0),"※这笔可能和采购单重复了",""))))))))))</f>
        <v/>
      </c>
    </row>
    <row r="1926">
      <c r="A1926" s="17">
        <f>IF($B1926="","",ROW()-3)</f>
        <v/>
      </c>
      <c r="B1926" s="18" t="n"/>
      <c r="C1926" s="13" t="n"/>
      <c r="D1926" s="13" t="n"/>
      <c r="E1926" s="13" t="n"/>
      <c r="F1926" s="17">
        <f>IF($E1926="","",IFERROR(VLOOKUP($E1926,类别归属,2,0),"※类别不在基础资料里"))</f>
        <v/>
      </c>
      <c r="G1926" s="13" t="n"/>
      <c r="H1926" s="13" t="n"/>
      <c r="I1926" s="13" t="n"/>
      <c r="J1926" s="14" t="n"/>
      <c r="K1926" s="14" t="n"/>
      <c r="L1926" s="19">
        <f>IF($C1926="","",ROUND(IFERROR(VLOOKUP($C1926,账户期初,2,0),0)+SUMIFS($J$4:J1926,$C$4:C1926,$C1926)-SUMIFS($K$4:K1926,$C$4:C1926,$C1926),2))</f>
        <v/>
      </c>
      <c r="M1926" s="19">
        <f>IF($C1926="","",ROUND(SUM(基础资料!$B$4:$B$13)+SUM($J$4:J1926)-SUM($K$4:K1926),2))</f>
        <v/>
      </c>
      <c r="N1926" s="13" t="n"/>
      <c r="O1926" s="13" t="n"/>
      <c r="P1926" s="17">
        <f>IF($B1926="","",IF($F1926="※类别不在基础资料里","※费用类别不在基础资料里",IF(AND(N($J1926)=0,N($K1926)=0),"※这行没填金额",IF(AND(N($J1926)&gt;0,N($K1926)&gt;0),"※收入和支出不能同一行都填",IF(AND($D1926="收入",N($J1926)=0),"※收入行要填收入金额",IF(AND($D1926="支出",N($K1926)=0),"※支出行要填支出金额",IF(AND($C1926&lt;&gt;"",ISNA(MATCH($C1926,账户表,0))),"※账户不在基础资料里",IF(AND($G1926&lt;&gt;"",ISNA(MATCH($G1926,项目名表,0))),"※项目不在项目台账里",IF(AND(LEFT($F1926,3)="成本-",$G1926=""),"※成本类支出没填项目",IF(AND(LEFT($F1926,3)="成本-",$H1926&lt;&gt;"",N($K1926)&gt;0,COUNTIFS(采购单!$B:$B,$B1926,采购单!$C:$C,$H1926,采购单!$L:$L,$K1926)&gt;0),"※这笔可能和采购单重复了",""))))))))))</f>
        <v/>
      </c>
    </row>
    <row r="1927">
      <c r="A1927" s="17">
        <f>IF($B1927="","",ROW()-3)</f>
        <v/>
      </c>
      <c r="B1927" s="18" t="n"/>
      <c r="C1927" s="13" t="n"/>
      <c r="D1927" s="13" t="n"/>
      <c r="E1927" s="13" t="n"/>
      <c r="F1927" s="17">
        <f>IF($E1927="","",IFERROR(VLOOKUP($E1927,类别归属,2,0),"※类别不在基础资料里"))</f>
        <v/>
      </c>
      <c r="G1927" s="13" t="n"/>
      <c r="H1927" s="13" t="n"/>
      <c r="I1927" s="13" t="n"/>
      <c r="J1927" s="14" t="n"/>
      <c r="K1927" s="14" t="n"/>
      <c r="L1927" s="19">
        <f>IF($C1927="","",ROUND(IFERROR(VLOOKUP($C1927,账户期初,2,0),0)+SUMIFS($J$4:J1927,$C$4:C1927,$C1927)-SUMIFS($K$4:K1927,$C$4:C1927,$C1927),2))</f>
        <v/>
      </c>
      <c r="M1927" s="19">
        <f>IF($C1927="","",ROUND(SUM(基础资料!$B$4:$B$13)+SUM($J$4:J1927)-SUM($K$4:K1927),2))</f>
        <v/>
      </c>
      <c r="N1927" s="13" t="n"/>
      <c r="O1927" s="13" t="n"/>
      <c r="P1927" s="17">
        <f>IF($B1927="","",IF($F1927="※类别不在基础资料里","※费用类别不在基础资料里",IF(AND(N($J1927)=0,N($K1927)=0),"※这行没填金额",IF(AND(N($J1927)&gt;0,N($K1927)&gt;0),"※收入和支出不能同一行都填",IF(AND($D1927="收入",N($J1927)=0),"※收入行要填收入金额",IF(AND($D1927="支出",N($K1927)=0),"※支出行要填支出金额",IF(AND($C1927&lt;&gt;"",ISNA(MATCH($C1927,账户表,0))),"※账户不在基础资料里",IF(AND($G1927&lt;&gt;"",ISNA(MATCH($G1927,项目名表,0))),"※项目不在项目台账里",IF(AND(LEFT($F1927,3)="成本-",$G1927=""),"※成本类支出没填项目",IF(AND(LEFT($F1927,3)="成本-",$H1927&lt;&gt;"",N($K1927)&gt;0,COUNTIFS(采购单!$B:$B,$B1927,采购单!$C:$C,$H1927,采购单!$L:$L,$K1927)&gt;0),"※这笔可能和采购单重复了",""))))))))))</f>
        <v/>
      </c>
    </row>
    <row r="1928">
      <c r="A1928" s="17">
        <f>IF($B1928="","",ROW()-3)</f>
        <v/>
      </c>
      <c r="B1928" s="18" t="n"/>
      <c r="C1928" s="13" t="n"/>
      <c r="D1928" s="13" t="n"/>
      <c r="E1928" s="13" t="n"/>
      <c r="F1928" s="17">
        <f>IF($E1928="","",IFERROR(VLOOKUP($E1928,类别归属,2,0),"※类别不在基础资料里"))</f>
        <v/>
      </c>
      <c r="G1928" s="13" t="n"/>
      <c r="H1928" s="13" t="n"/>
      <c r="I1928" s="13" t="n"/>
      <c r="J1928" s="14" t="n"/>
      <c r="K1928" s="14" t="n"/>
      <c r="L1928" s="19">
        <f>IF($C1928="","",ROUND(IFERROR(VLOOKUP($C1928,账户期初,2,0),0)+SUMIFS($J$4:J1928,$C$4:C1928,$C1928)-SUMIFS($K$4:K1928,$C$4:C1928,$C1928),2))</f>
        <v/>
      </c>
      <c r="M1928" s="19">
        <f>IF($C1928="","",ROUND(SUM(基础资料!$B$4:$B$13)+SUM($J$4:J1928)-SUM($K$4:K1928),2))</f>
        <v/>
      </c>
      <c r="N1928" s="13" t="n"/>
      <c r="O1928" s="13" t="n"/>
      <c r="P1928" s="17">
        <f>IF($B1928="","",IF($F1928="※类别不在基础资料里","※费用类别不在基础资料里",IF(AND(N($J1928)=0,N($K1928)=0),"※这行没填金额",IF(AND(N($J1928)&gt;0,N($K1928)&gt;0),"※收入和支出不能同一行都填",IF(AND($D1928="收入",N($J1928)=0),"※收入行要填收入金额",IF(AND($D1928="支出",N($K1928)=0),"※支出行要填支出金额",IF(AND($C1928&lt;&gt;"",ISNA(MATCH($C1928,账户表,0))),"※账户不在基础资料里",IF(AND($G1928&lt;&gt;"",ISNA(MATCH($G1928,项目名表,0))),"※项目不在项目台账里",IF(AND(LEFT($F1928,3)="成本-",$G1928=""),"※成本类支出没填项目",IF(AND(LEFT($F1928,3)="成本-",$H1928&lt;&gt;"",N($K1928)&gt;0,COUNTIFS(采购单!$B:$B,$B1928,采购单!$C:$C,$H1928,采购单!$L:$L,$K1928)&gt;0),"※这笔可能和采购单重复了",""))))))))))</f>
        <v/>
      </c>
    </row>
    <row r="1929">
      <c r="A1929" s="17">
        <f>IF($B1929="","",ROW()-3)</f>
        <v/>
      </c>
      <c r="B1929" s="18" t="n"/>
      <c r="C1929" s="13" t="n"/>
      <c r="D1929" s="13" t="n"/>
      <c r="E1929" s="13" t="n"/>
      <c r="F1929" s="17">
        <f>IF($E1929="","",IFERROR(VLOOKUP($E1929,类别归属,2,0),"※类别不在基础资料里"))</f>
        <v/>
      </c>
      <c r="G1929" s="13" t="n"/>
      <c r="H1929" s="13" t="n"/>
      <c r="I1929" s="13" t="n"/>
      <c r="J1929" s="14" t="n"/>
      <c r="K1929" s="14" t="n"/>
      <c r="L1929" s="19">
        <f>IF($C1929="","",ROUND(IFERROR(VLOOKUP($C1929,账户期初,2,0),0)+SUMIFS($J$4:J1929,$C$4:C1929,$C1929)-SUMIFS($K$4:K1929,$C$4:C1929,$C1929),2))</f>
        <v/>
      </c>
      <c r="M1929" s="19">
        <f>IF($C1929="","",ROUND(SUM(基础资料!$B$4:$B$13)+SUM($J$4:J1929)-SUM($K$4:K1929),2))</f>
        <v/>
      </c>
      <c r="N1929" s="13" t="n"/>
      <c r="O1929" s="13" t="n"/>
      <c r="P1929" s="17">
        <f>IF($B1929="","",IF($F1929="※类别不在基础资料里","※费用类别不在基础资料里",IF(AND(N($J1929)=0,N($K1929)=0),"※这行没填金额",IF(AND(N($J1929)&gt;0,N($K1929)&gt;0),"※收入和支出不能同一行都填",IF(AND($D1929="收入",N($J1929)=0),"※收入行要填收入金额",IF(AND($D1929="支出",N($K1929)=0),"※支出行要填支出金额",IF(AND($C1929&lt;&gt;"",ISNA(MATCH($C1929,账户表,0))),"※账户不在基础资料里",IF(AND($G1929&lt;&gt;"",ISNA(MATCH($G1929,项目名表,0))),"※项目不在项目台账里",IF(AND(LEFT($F1929,3)="成本-",$G1929=""),"※成本类支出没填项目",IF(AND(LEFT($F1929,3)="成本-",$H1929&lt;&gt;"",N($K1929)&gt;0,COUNTIFS(采购单!$B:$B,$B1929,采购单!$C:$C,$H1929,采购单!$L:$L,$K1929)&gt;0),"※这笔可能和采购单重复了",""))))))))))</f>
        <v/>
      </c>
    </row>
    <row r="1930">
      <c r="A1930" s="17">
        <f>IF($B1930="","",ROW()-3)</f>
        <v/>
      </c>
      <c r="B1930" s="18" t="n"/>
      <c r="C1930" s="13" t="n"/>
      <c r="D1930" s="13" t="n"/>
      <c r="E1930" s="13" t="n"/>
      <c r="F1930" s="17">
        <f>IF($E1930="","",IFERROR(VLOOKUP($E1930,类别归属,2,0),"※类别不在基础资料里"))</f>
        <v/>
      </c>
      <c r="G1930" s="13" t="n"/>
      <c r="H1930" s="13" t="n"/>
      <c r="I1930" s="13" t="n"/>
      <c r="J1930" s="14" t="n"/>
      <c r="K1930" s="14" t="n"/>
      <c r="L1930" s="19">
        <f>IF($C1930="","",ROUND(IFERROR(VLOOKUP($C1930,账户期初,2,0),0)+SUMIFS($J$4:J1930,$C$4:C1930,$C1930)-SUMIFS($K$4:K1930,$C$4:C1930,$C1930),2))</f>
        <v/>
      </c>
      <c r="M1930" s="19">
        <f>IF($C1930="","",ROUND(SUM(基础资料!$B$4:$B$13)+SUM($J$4:J1930)-SUM($K$4:K1930),2))</f>
        <v/>
      </c>
      <c r="N1930" s="13" t="n"/>
      <c r="O1930" s="13" t="n"/>
      <c r="P1930" s="17">
        <f>IF($B1930="","",IF($F1930="※类别不在基础资料里","※费用类别不在基础资料里",IF(AND(N($J1930)=0,N($K1930)=0),"※这行没填金额",IF(AND(N($J1930)&gt;0,N($K1930)&gt;0),"※收入和支出不能同一行都填",IF(AND($D1930="收入",N($J1930)=0),"※收入行要填收入金额",IF(AND($D1930="支出",N($K1930)=0),"※支出行要填支出金额",IF(AND($C1930&lt;&gt;"",ISNA(MATCH($C1930,账户表,0))),"※账户不在基础资料里",IF(AND($G1930&lt;&gt;"",ISNA(MATCH($G1930,项目名表,0))),"※项目不在项目台账里",IF(AND(LEFT($F1930,3)="成本-",$G1930=""),"※成本类支出没填项目",IF(AND(LEFT($F1930,3)="成本-",$H1930&lt;&gt;"",N($K1930)&gt;0,COUNTIFS(采购单!$B:$B,$B1930,采购单!$C:$C,$H1930,采购单!$L:$L,$K1930)&gt;0),"※这笔可能和采购单重复了",""))))))))))</f>
        <v/>
      </c>
    </row>
    <row r="1931">
      <c r="A1931" s="17">
        <f>IF($B1931="","",ROW()-3)</f>
        <v/>
      </c>
      <c r="B1931" s="18" t="n"/>
      <c r="C1931" s="13" t="n"/>
      <c r="D1931" s="13" t="n"/>
      <c r="E1931" s="13" t="n"/>
      <c r="F1931" s="17">
        <f>IF($E1931="","",IFERROR(VLOOKUP($E1931,类别归属,2,0),"※类别不在基础资料里"))</f>
        <v/>
      </c>
      <c r="G1931" s="13" t="n"/>
      <c r="H1931" s="13" t="n"/>
      <c r="I1931" s="13" t="n"/>
      <c r="J1931" s="14" t="n"/>
      <c r="K1931" s="14" t="n"/>
      <c r="L1931" s="19">
        <f>IF($C1931="","",ROUND(IFERROR(VLOOKUP($C1931,账户期初,2,0),0)+SUMIFS($J$4:J1931,$C$4:C1931,$C1931)-SUMIFS($K$4:K1931,$C$4:C1931,$C1931),2))</f>
        <v/>
      </c>
      <c r="M1931" s="19">
        <f>IF($C1931="","",ROUND(SUM(基础资料!$B$4:$B$13)+SUM($J$4:J1931)-SUM($K$4:K1931),2))</f>
        <v/>
      </c>
      <c r="N1931" s="13" t="n"/>
      <c r="O1931" s="13" t="n"/>
      <c r="P1931" s="17">
        <f>IF($B1931="","",IF($F1931="※类别不在基础资料里","※费用类别不在基础资料里",IF(AND(N($J1931)=0,N($K1931)=0),"※这行没填金额",IF(AND(N($J1931)&gt;0,N($K1931)&gt;0),"※收入和支出不能同一行都填",IF(AND($D1931="收入",N($J1931)=0),"※收入行要填收入金额",IF(AND($D1931="支出",N($K1931)=0),"※支出行要填支出金额",IF(AND($C1931&lt;&gt;"",ISNA(MATCH($C1931,账户表,0))),"※账户不在基础资料里",IF(AND($G1931&lt;&gt;"",ISNA(MATCH($G1931,项目名表,0))),"※项目不在项目台账里",IF(AND(LEFT($F1931,3)="成本-",$G1931=""),"※成本类支出没填项目",IF(AND(LEFT($F1931,3)="成本-",$H1931&lt;&gt;"",N($K1931)&gt;0,COUNTIFS(采购单!$B:$B,$B1931,采购单!$C:$C,$H1931,采购单!$L:$L,$K1931)&gt;0),"※这笔可能和采购单重复了",""))))))))))</f>
        <v/>
      </c>
    </row>
    <row r="1932">
      <c r="A1932" s="17">
        <f>IF($B1932="","",ROW()-3)</f>
        <v/>
      </c>
      <c r="B1932" s="18" t="n"/>
      <c r="C1932" s="13" t="n"/>
      <c r="D1932" s="13" t="n"/>
      <c r="E1932" s="13" t="n"/>
      <c r="F1932" s="17">
        <f>IF($E1932="","",IFERROR(VLOOKUP($E1932,类别归属,2,0),"※类别不在基础资料里"))</f>
        <v/>
      </c>
      <c r="G1932" s="13" t="n"/>
      <c r="H1932" s="13" t="n"/>
      <c r="I1932" s="13" t="n"/>
      <c r="J1932" s="14" t="n"/>
      <c r="K1932" s="14" t="n"/>
      <c r="L1932" s="19">
        <f>IF($C1932="","",ROUND(IFERROR(VLOOKUP($C1932,账户期初,2,0),0)+SUMIFS($J$4:J1932,$C$4:C1932,$C1932)-SUMIFS($K$4:K1932,$C$4:C1932,$C1932),2))</f>
        <v/>
      </c>
      <c r="M1932" s="19">
        <f>IF($C1932="","",ROUND(SUM(基础资料!$B$4:$B$13)+SUM($J$4:J1932)-SUM($K$4:K1932),2))</f>
        <v/>
      </c>
      <c r="N1932" s="13" t="n"/>
      <c r="O1932" s="13" t="n"/>
      <c r="P1932" s="17">
        <f>IF($B1932="","",IF($F1932="※类别不在基础资料里","※费用类别不在基础资料里",IF(AND(N($J1932)=0,N($K1932)=0),"※这行没填金额",IF(AND(N($J1932)&gt;0,N($K1932)&gt;0),"※收入和支出不能同一行都填",IF(AND($D1932="收入",N($J1932)=0),"※收入行要填收入金额",IF(AND($D1932="支出",N($K1932)=0),"※支出行要填支出金额",IF(AND($C1932&lt;&gt;"",ISNA(MATCH($C1932,账户表,0))),"※账户不在基础资料里",IF(AND($G1932&lt;&gt;"",ISNA(MATCH($G1932,项目名表,0))),"※项目不在项目台账里",IF(AND(LEFT($F1932,3)="成本-",$G1932=""),"※成本类支出没填项目",IF(AND(LEFT($F1932,3)="成本-",$H1932&lt;&gt;"",N($K1932)&gt;0,COUNTIFS(采购单!$B:$B,$B1932,采购单!$C:$C,$H1932,采购单!$L:$L,$K1932)&gt;0),"※这笔可能和采购单重复了",""))))))))))</f>
        <v/>
      </c>
    </row>
    <row r="1933">
      <c r="A1933" s="17">
        <f>IF($B1933="","",ROW()-3)</f>
        <v/>
      </c>
      <c r="B1933" s="18" t="n"/>
      <c r="C1933" s="13" t="n"/>
      <c r="D1933" s="13" t="n"/>
      <c r="E1933" s="13" t="n"/>
      <c r="F1933" s="17">
        <f>IF($E1933="","",IFERROR(VLOOKUP($E1933,类别归属,2,0),"※类别不在基础资料里"))</f>
        <v/>
      </c>
      <c r="G1933" s="13" t="n"/>
      <c r="H1933" s="13" t="n"/>
      <c r="I1933" s="13" t="n"/>
      <c r="J1933" s="14" t="n"/>
      <c r="K1933" s="14" t="n"/>
      <c r="L1933" s="19">
        <f>IF($C1933="","",ROUND(IFERROR(VLOOKUP($C1933,账户期初,2,0),0)+SUMIFS($J$4:J1933,$C$4:C1933,$C1933)-SUMIFS($K$4:K1933,$C$4:C1933,$C1933),2))</f>
        <v/>
      </c>
      <c r="M1933" s="19">
        <f>IF($C1933="","",ROUND(SUM(基础资料!$B$4:$B$13)+SUM($J$4:J1933)-SUM($K$4:K1933),2))</f>
        <v/>
      </c>
      <c r="N1933" s="13" t="n"/>
      <c r="O1933" s="13" t="n"/>
      <c r="P1933" s="17">
        <f>IF($B1933="","",IF($F1933="※类别不在基础资料里","※费用类别不在基础资料里",IF(AND(N($J1933)=0,N($K1933)=0),"※这行没填金额",IF(AND(N($J1933)&gt;0,N($K1933)&gt;0),"※收入和支出不能同一行都填",IF(AND($D1933="收入",N($J1933)=0),"※收入行要填收入金额",IF(AND($D1933="支出",N($K1933)=0),"※支出行要填支出金额",IF(AND($C1933&lt;&gt;"",ISNA(MATCH($C1933,账户表,0))),"※账户不在基础资料里",IF(AND($G1933&lt;&gt;"",ISNA(MATCH($G1933,项目名表,0))),"※项目不在项目台账里",IF(AND(LEFT($F1933,3)="成本-",$G1933=""),"※成本类支出没填项目",IF(AND(LEFT($F1933,3)="成本-",$H1933&lt;&gt;"",N($K1933)&gt;0,COUNTIFS(采购单!$B:$B,$B1933,采购单!$C:$C,$H1933,采购单!$L:$L,$K1933)&gt;0),"※这笔可能和采购单重复了",""))))))))))</f>
        <v/>
      </c>
    </row>
    <row r="1934">
      <c r="A1934" s="17">
        <f>IF($B1934="","",ROW()-3)</f>
        <v/>
      </c>
      <c r="B1934" s="18" t="n"/>
      <c r="C1934" s="13" t="n"/>
      <c r="D1934" s="13" t="n"/>
      <c r="E1934" s="13" t="n"/>
      <c r="F1934" s="17">
        <f>IF($E1934="","",IFERROR(VLOOKUP($E1934,类别归属,2,0),"※类别不在基础资料里"))</f>
        <v/>
      </c>
      <c r="G1934" s="13" t="n"/>
      <c r="H1934" s="13" t="n"/>
      <c r="I1934" s="13" t="n"/>
      <c r="J1934" s="14" t="n"/>
      <c r="K1934" s="14" t="n"/>
      <c r="L1934" s="19">
        <f>IF($C1934="","",ROUND(IFERROR(VLOOKUP($C1934,账户期初,2,0),0)+SUMIFS($J$4:J1934,$C$4:C1934,$C1934)-SUMIFS($K$4:K1934,$C$4:C1934,$C1934),2))</f>
        <v/>
      </c>
      <c r="M1934" s="19">
        <f>IF($C1934="","",ROUND(SUM(基础资料!$B$4:$B$13)+SUM($J$4:J1934)-SUM($K$4:K1934),2))</f>
        <v/>
      </c>
      <c r="N1934" s="13" t="n"/>
      <c r="O1934" s="13" t="n"/>
      <c r="P1934" s="17">
        <f>IF($B1934="","",IF($F1934="※类别不在基础资料里","※费用类别不在基础资料里",IF(AND(N($J1934)=0,N($K1934)=0),"※这行没填金额",IF(AND(N($J1934)&gt;0,N($K1934)&gt;0),"※收入和支出不能同一行都填",IF(AND($D1934="收入",N($J1934)=0),"※收入行要填收入金额",IF(AND($D1934="支出",N($K1934)=0),"※支出行要填支出金额",IF(AND($C1934&lt;&gt;"",ISNA(MATCH($C1934,账户表,0))),"※账户不在基础资料里",IF(AND($G1934&lt;&gt;"",ISNA(MATCH($G1934,项目名表,0))),"※项目不在项目台账里",IF(AND(LEFT($F1934,3)="成本-",$G1934=""),"※成本类支出没填项目",IF(AND(LEFT($F1934,3)="成本-",$H1934&lt;&gt;"",N($K1934)&gt;0,COUNTIFS(采购单!$B:$B,$B1934,采购单!$C:$C,$H1934,采购单!$L:$L,$K1934)&gt;0),"※这笔可能和采购单重复了",""))))))))))</f>
        <v/>
      </c>
    </row>
    <row r="1935">
      <c r="A1935" s="17">
        <f>IF($B1935="","",ROW()-3)</f>
        <v/>
      </c>
      <c r="B1935" s="18" t="n"/>
      <c r="C1935" s="13" t="n"/>
      <c r="D1935" s="13" t="n"/>
      <c r="E1935" s="13" t="n"/>
      <c r="F1935" s="17">
        <f>IF($E1935="","",IFERROR(VLOOKUP($E1935,类别归属,2,0),"※类别不在基础资料里"))</f>
        <v/>
      </c>
      <c r="G1935" s="13" t="n"/>
      <c r="H1935" s="13" t="n"/>
      <c r="I1935" s="13" t="n"/>
      <c r="J1935" s="14" t="n"/>
      <c r="K1935" s="14" t="n"/>
      <c r="L1935" s="19">
        <f>IF($C1935="","",ROUND(IFERROR(VLOOKUP($C1935,账户期初,2,0),0)+SUMIFS($J$4:J1935,$C$4:C1935,$C1935)-SUMIFS($K$4:K1935,$C$4:C1935,$C1935),2))</f>
        <v/>
      </c>
      <c r="M1935" s="19">
        <f>IF($C1935="","",ROUND(SUM(基础资料!$B$4:$B$13)+SUM($J$4:J1935)-SUM($K$4:K1935),2))</f>
        <v/>
      </c>
      <c r="N1935" s="13" t="n"/>
      <c r="O1935" s="13" t="n"/>
      <c r="P1935" s="17">
        <f>IF($B1935="","",IF($F1935="※类别不在基础资料里","※费用类别不在基础资料里",IF(AND(N($J1935)=0,N($K1935)=0),"※这行没填金额",IF(AND(N($J1935)&gt;0,N($K1935)&gt;0),"※收入和支出不能同一行都填",IF(AND($D1935="收入",N($J1935)=0),"※收入行要填收入金额",IF(AND($D1935="支出",N($K1935)=0),"※支出行要填支出金额",IF(AND($C1935&lt;&gt;"",ISNA(MATCH($C1935,账户表,0))),"※账户不在基础资料里",IF(AND($G1935&lt;&gt;"",ISNA(MATCH($G1935,项目名表,0))),"※项目不在项目台账里",IF(AND(LEFT($F1935,3)="成本-",$G1935=""),"※成本类支出没填项目",IF(AND(LEFT($F1935,3)="成本-",$H1935&lt;&gt;"",N($K1935)&gt;0,COUNTIFS(采购单!$B:$B,$B1935,采购单!$C:$C,$H1935,采购单!$L:$L,$K1935)&gt;0),"※这笔可能和采购单重复了",""))))))))))</f>
        <v/>
      </c>
    </row>
    <row r="1936">
      <c r="A1936" s="17">
        <f>IF($B1936="","",ROW()-3)</f>
        <v/>
      </c>
      <c r="B1936" s="18" t="n"/>
      <c r="C1936" s="13" t="n"/>
      <c r="D1936" s="13" t="n"/>
      <c r="E1936" s="13" t="n"/>
      <c r="F1936" s="17">
        <f>IF($E1936="","",IFERROR(VLOOKUP($E1936,类别归属,2,0),"※类别不在基础资料里"))</f>
        <v/>
      </c>
      <c r="G1936" s="13" t="n"/>
      <c r="H1936" s="13" t="n"/>
      <c r="I1936" s="13" t="n"/>
      <c r="J1936" s="14" t="n"/>
      <c r="K1936" s="14" t="n"/>
      <c r="L1936" s="19">
        <f>IF($C1936="","",ROUND(IFERROR(VLOOKUP($C1936,账户期初,2,0),0)+SUMIFS($J$4:J1936,$C$4:C1936,$C1936)-SUMIFS($K$4:K1936,$C$4:C1936,$C1936),2))</f>
        <v/>
      </c>
      <c r="M1936" s="19">
        <f>IF($C1936="","",ROUND(SUM(基础资料!$B$4:$B$13)+SUM($J$4:J1936)-SUM($K$4:K1936),2))</f>
        <v/>
      </c>
      <c r="N1936" s="13" t="n"/>
      <c r="O1936" s="13" t="n"/>
      <c r="P1936" s="17">
        <f>IF($B1936="","",IF($F1936="※类别不在基础资料里","※费用类别不在基础资料里",IF(AND(N($J1936)=0,N($K1936)=0),"※这行没填金额",IF(AND(N($J1936)&gt;0,N($K1936)&gt;0),"※收入和支出不能同一行都填",IF(AND($D1936="收入",N($J1936)=0),"※收入行要填收入金额",IF(AND($D1936="支出",N($K1936)=0),"※支出行要填支出金额",IF(AND($C1936&lt;&gt;"",ISNA(MATCH($C1936,账户表,0))),"※账户不在基础资料里",IF(AND($G1936&lt;&gt;"",ISNA(MATCH($G1936,项目名表,0))),"※项目不在项目台账里",IF(AND(LEFT($F1936,3)="成本-",$G1936=""),"※成本类支出没填项目",IF(AND(LEFT($F1936,3)="成本-",$H1936&lt;&gt;"",N($K1936)&gt;0,COUNTIFS(采购单!$B:$B,$B1936,采购单!$C:$C,$H1936,采购单!$L:$L,$K1936)&gt;0),"※这笔可能和采购单重复了",""))))))))))</f>
        <v/>
      </c>
    </row>
    <row r="1937">
      <c r="A1937" s="17">
        <f>IF($B1937="","",ROW()-3)</f>
        <v/>
      </c>
      <c r="B1937" s="18" t="n"/>
      <c r="C1937" s="13" t="n"/>
      <c r="D1937" s="13" t="n"/>
      <c r="E1937" s="13" t="n"/>
      <c r="F1937" s="17">
        <f>IF($E1937="","",IFERROR(VLOOKUP($E1937,类别归属,2,0),"※类别不在基础资料里"))</f>
        <v/>
      </c>
      <c r="G1937" s="13" t="n"/>
      <c r="H1937" s="13" t="n"/>
      <c r="I1937" s="13" t="n"/>
      <c r="J1937" s="14" t="n"/>
      <c r="K1937" s="14" t="n"/>
      <c r="L1937" s="19">
        <f>IF($C1937="","",ROUND(IFERROR(VLOOKUP($C1937,账户期初,2,0),0)+SUMIFS($J$4:J1937,$C$4:C1937,$C1937)-SUMIFS($K$4:K1937,$C$4:C1937,$C1937),2))</f>
        <v/>
      </c>
      <c r="M1937" s="19">
        <f>IF($C1937="","",ROUND(SUM(基础资料!$B$4:$B$13)+SUM($J$4:J1937)-SUM($K$4:K1937),2))</f>
        <v/>
      </c>
      <c r="N1937" s="13" t="n"/>
      <c r="O1937" s="13" t="n"/>
      <c r="P1937" s="17">
        <f>IF($B1937="","",IF($F1937="※类别不在基础资料里","※费用类别不在基础资料里",IF(AND(N($J1937)=0,N($K1937)=0),"※这行没填金额",IF(AND(N($J1937)&gt;0,N($K1937)&gt;0),"※收入和支出不能同一行都填",IF(AND($D1937="收入",N($J1937)=0),"※收入行要填收入金额",IF(AND($D1937="支出",N($K1937)=0),"※支出行要填支出金额",IF(AND($C1937&lt;&gt;"",ISNA(MATCH($C1937,账户表,0))),"※账户不在基础资料里",IF(AND($G1937&lt;&gt;"",ISNA(MATCH($G1937,项目名表,0))),"※项目不在项目台账里",IF(AND(LEFT($F1937,3)="成本-",$G1937=""),"※成本类支出没填项目",IF(AND(LEFT($F1937,3)="成本-",$H1937&lt;&gt;"",N($K1937)&gt;0,COUNTIFS(采购单!$B:$B,$B1937,采购单!$C:$C,$H1937,采购单!$L:$L,$K1937)&gt;0),"※这笔可能和采购单重复了",""))))))))))</f>
        <v/>
      </c>
    </row>
    <row r="1938">
      <c r="A1938" s="17">
        <f>IF($B1938="","",ROW()-3)</f>
        <v/>
      </c>
      <c r="B1938" s="18" t="n"/>
      <c r="C1938" s="13" t="n"/>
      <c r="D1938" s="13" t="n"/>
      <c r="E1938" s="13" t="n"/>
      <c r="F1938" s="17">
        <f>IF($E1938="","",IFERROR(VLOOKUP($E1938,类别归属,2,0),"※类别不在基础资料里"))</f>
        <v/>
      </c>
      <c r="G1938" s="13" t="n"/>
      <c r="H1938" s="13" t="n"/>
      <c r="I1938" s="13" t="n"/>
      <c r="J1938" s="14" t="n"/>
      <c r="K1938" s="14" t="n"/>
      <c r="L1938" s="19">
        <f>IF($C1938="","",ROUND(IFERROR(VLOOKUP($C1938,账户期初,2,0),0)+SUMIFS($J$4:J1938,$C$4:C1938,$C1938)-SUMIFS($K$4:K1938,$C$4:C1938,$C1938),2))</f>
        <v/>
      </c>
      <c r="M1938" s="19">
        <f>IF($C1938="","",ROUND(SUM(基础资料!$B$4:$B$13)+SUM($J$4:J1938)-SUM($K$4:K1938),2))</f>
        <v/>
      </c>
      <c r="N1938" s="13" t="n"/>
      <c r="O1938" s="13" t="n"/>
      <c r="P1938" s="17">
        <f>IF($B1938="","",IF($F1938="※类别不在基础资料里","※费用类别不在基础资料里",IF(AND(N($J1938)=0,N($K1938)=0),"※这行没填金额",IF(AND(N($J1938)&gt;0,N($K1938)&gt;0),"※收入和支出不能同一行都填",IF(AND($D1938="收入",N($J1938)=0),"※收入行要填收入金额",IF(AND($D1938="支出",N($K1938)=0),"※支出行要填支出金额",IF(AND($C1938&lt;&gt;"",ISNA(MATCH($C1938,账户表,0))),"※账户不在基础资料里",IF(AND($G1938&lt;&gt;"",ISNA(MATCH($G1938,项目名表,0))),"※项目不在项目台账里",IF(AND(LEFT($F1938,3)="成本-",$G1938=""),"※成本类支出没填项目",IF(AND(LEFT($F1938,3)="成本-",$H1938&lt;&gt;"",N($K1938)&gt;0,COUNTIFS(采购单!$B:$B,$B1938,采购单!$C:$C,$H1938,采购单!$L:$L,$K1938)&gt;0),"※这笔可能和采购单重复了",""))))))))))</f>
        <v/>
      </c>
    </row>
    <row r="1939">
      <c r="A1939" s="17">
        <f>IF($B1939="","",ROW()-3)</f>
        <v/>
      </c>
      <c r="B1939" s="18" t="n"/>
      <c r="C1939" s="13" t="n"/>
      <c r="D1939" s="13" t="n"/>
      <c r="E1939" s="13" t="n"/>
      <c r="F1939" s="17">
        <f>IF($E1939="","",IFERROR(VLOOKUP($E1939,类别归属,2,0),"※类别不在基础资料里"))</f>
        <v/>
      </c>
      <c r="G1939" s="13" t="n"/>
      <c r="H1939" s="13" t="n"/>
      <c r="I1939" s="13" t="n"/>
      <c r="J1939" s="14" t="n"/>
      <c r="K1939" s="14" t="n"/>
      <c r="L1939" s="19">
        <f>IF($C1939="","",ROUND(IFERROR(VLOOKUP($C1939,账户期初,2,0),0)+SUMIFS($J$4:J1939,$C$4:C1939,$C1939)-SUMIFS($K$4:K1939,$C$4:C1939,$C1939),2))</f>
        <v/>
      </c>
      <c r="M1939" s="19">
        <f>IF($C1939="","",ROUND(SUM(基础资料!$B$4:$B$13)+SUM($J$4:J1939)-SUM($K$4:K1939),2))</f>
        <v/>
      </c>
      <c r="N1939" s="13" t="n"/>
      <c r="O1939" s="13" t="n"/>
      <c r="P1939" s="17">
        <f>IF($B1939="","",IF($F1939="※类别不在基础资料里","※费用类别不在基础资料里",IF(AND(N($J1939)=0,N($K1939)=0),"※这行没填金额",IF(AND(N($J1939)&gt;0,N($K1939)&gt;0),"※收入和支出不能同一行都填",IF(AND($D1939="收入",N($J1939)=0),"※收入行要填收入金额",IF(AND($D1939="支出",N($K1939)=0),"※支出行要填支出金额",IF(AND($C1939&lt;&gt;"",ISNA(MATCH($C1939,账户表,0))),"※账户不在基础资料里",IF(AND($G1939&lt;&gt;"",ISNA(MATCH($G1939,项目名表,0))),"※项目不在项目台账里",IF(AND(LEFT($F1939,3)="成本-",$G1939=""),"※成本类支出没填项目",IF(AND(LEFT($F1939,3)="成本-",$H1939&lt;&gt;"",N($K1939)&gt;0,COUNTIFS(采购单!$B:$B,$B1939,采购单!$C:$C,$H1939,采购单!$L:$L,$K1939)&gt;0),"※这笔可能和采购单重复了",""))))))))))</f>
        <v/>
      </c>
    </row>
    <row r="1940">
      <c r="A1940" s="17">
        <f>IF($B1940="","",ROW()-3)</f>
        <v/>
      </c>
      <c r="B1940" s="18" t="n"/>
      <c r="C1940" s="13" t="n"/>
      <c r="D1940" s="13" t="n"/>
      <c r="E1940" s="13" t="n"/>
      <c r="F1940" s="17">
        <f>IF($E1940="","",IFERROR(VLOOKUP($E1940,类别归属,2,0),"※类别不在基础资料里"))</f>
        <v/>
      </c>
      <c r="G1940" s="13" t="n"/>
      <c r="H1940" s="13" t="n"/>
      <c r="I1940" s="13" t="n"/>
      <c r="J1940" s="14" t="n"/>
      <c r="K1940" s="14" t="n"/>
      <c r="L1940" s="19">
        <f>IF($C1940="","",ROUND(IFERROR(VLOOKUP($C1940,账户期初,2,0),0)+SUMIFS($J$4:J1940,$C$4:C1940,$C1940)-SUMIFS($K$4:K1940,$C$4:C1940,$C1940),2))</f>
        <v/>
      </c>
      <c r="M1940" s="19">
        <f>IF($C1940="","",ROUND(SUM(基础资料!$B$4:$B$13)+SUM($J$4:J1940)-SUM($K$4:K1940),2))</f>
        <v/>
      </c>
      <c r="N1940" s="13" t="n"/>
      <c r="O1940" s="13" t="n"/>
      <c r="P1940" s="17">
        <f>IF($B1940="","",IF($F1940="※类别不在基础资料里","※费用类别不在基础资料里",IF(AND(N($J1940)=0,N($K1940)=0),"※这行没填金额",IF(AND(N($J1940)&gt;0,N($K1940)&gt;0),"※收入和支出不能同一行都填",IF(AND($D1940="收入",N($J1940)=0),"※收入行要填收入金额",IF(AND($D1940="支出",N($K1940)=0),"※支出行要填支出金额",IF(AND($C1940&lt;&gt;"",ISNA(MATCH($C1940,账户表,0))),"※账户不在基础资料里",IF(AND($G1940&lt;&gt;"",ISNA(MATCH($G1940,项目名表,0))),"※项目不在项目台账里",IF(AND(LEFT($F1940,3)="成本-",$G1940=""),"※成本类支出没填项目",IF(AND(LEFT($F1940,3)="成本-",$H1940&lt;&gt;"",N($K1940)&gt;0,COUNTIFS(采购单!$B:$B,$B1940,采购单!$C:$C,$H1940,采购单!$L:$L,$K1940)&gt;0),"※这笔可能和采购单重复了",""))))))))))</f>
        <v/>
      </c>
    </row>
    <row r="1941">
      <c r="A1941" s="17">
        <f>IF($B1941="","",ROW()-3)</f>
        <v/>
      </c>
      <c r="B1941" s="18" t="n"/>
      <c r="C1941" s="13" t="n"/>
      <c r="D1941" s="13" t="n"/>
      <c r="E1941" s="13" t="n"/>
      <c r="F1941" s="17">
        <f>IF($E1941="","",IFERROR(VLOOKUP($E1941,类别归属,2,0),"※类别不在基础资料里"))</f>
        <v/>
      </c>
      <c r="G1941" s="13" t="n"/>
      <c r="H1941" s="13" t="n"/>
      <c r="I1941" s="13" t="n"/>
      <c r="J1941" s="14" t="n"/>
      <c r="K1941" s="14" t="n"/>
      <c r="L1941" s="19">
        <f>IF($C1941="","",ROUND(IFERROR(VLOOKUP($C1941,账户期初,2,0),0)+SUMIFS($J$4:J1941,$C$4:C1941,$C1941)-SUMIFS($K$4:K1941,$C$4:C1941,$C1941),2))</f>
        <v/>
      </c>
      <c r="M1941" s="19">
        <f>IF($C1941="","",ROUND(SUM(基础资料!$B$4:$B$13)+SUM($J$4:J1941)-SUM($K$4:K1941),2))</f>
        <v/>
      </c>
      <c r="N1941" s="13" t="n"/>
      <c r="O1941" s="13" t="n"/>
      <c r="P1941" s="17">
        <f>IF($B1941="","",IF($F1941="※类别不在基础资料里","※费用类别不在基础资料里",IF(AND(N($J1941)=0,N($K1941)=0),"※这行没填金额",IF(AND(N($J1941)&gt;0,N($K1941)&gt;0),"※收入和支出不能同一行都填",IF(AND($D1941="收入",N($J1941)=0),"※收入行要填收入金额",IF(AND($D1941="支出",N($K1941)=0),"※支出行要填支出金额",IF(AND($C1941&lt;&gt;"",ISNA(MATCH($C1941,账户表,0))),"※账户不在基础资料里",IF(AND($G1941&lt;&gt;"",ISNA(MATCH($G1941,项目名表,0))),"※项目不在项目台账里",IF(AND(LEFT($F1941,3)="成本-",$G1941=""),"※成本类支出没填项目",IF(AND(LEFT($F1941,3)="成本-",$H1941&lt;&gt;"",N($K1941)&gt;0,COUNTIFS(采购单!$B:$B,$B1941,采购单!$C:$C,$H1941,采购单!$L:$L,$K1941)&gt;0),"※这笔可能和采购单重复了",""))))))))))</f>
        <v/>
      </c>
    </row>
    <row r="1942">
      <c r="A1942" s="17">
        <f>IF($B1942="","",ROW()-3)</f>
        <v/>
      </c>
      <c r="B1942" s="18" t="n"/>
      <c r="C1942" s="13" t="n"/>
      <c r="D1942" s="13" t="n"/>
      <c r="E1942" s="13" t="n"/>
      <c r="F1942" s="17">
        <f>IF($E1942="","",IFERROR(VLOOKUP($E1942,类别归属,2,0),"※类别不在基础资料里"))</f>
        <v/>
      </c>
      <c r="G1942" s="13" t="n"/>
      <c r="H1942" s="13" t="n"/>
      <c r="I1942" s="13" t="n"/>
      <c r="J1942" s="14" t="n"/>
      <c r="K1942" s="14" t="n"/>
      <c r="L1942" s="19">
        <f>IF($C1942="","",ROUND(IFERROR(VLOOKUP($C1942,账户期初,2,0),0)+SUMIFS($J$4:J1942,$C$4:C1942,$C1942)-SUMIFS($K$4:K1942,$C$4:C1942,$C1942),2))</f>
        <v/>
      </c>
      <c r="M1942" s="19">
        <f>IF($C1942="","",ROUND(SUM(基础资料!$B$4:$B$13)+SUM($J$4:J1942)-SUM($K$4:K1942),2))</f>
        <v/>
      </c>
      <c r="N1942" s="13" t="n"/>
      <c r="O1942" s="13" t="n"/>
      <c r="P1942" s="17">
        <f>IF($B1942="","",IF($F1942="※类别不在基础资料里","※费用类别不在基础资料里",IF(AND(N($J1942)=0,N($K1942)=0),"※这行没填金额",IF(AND(N($J1942)&gt;0,N($K1942)&gt;0),"※收入和支出不能同一行都填",IF(AND($D1942="收入",N($J1942)=0),"※收入行要填收入金额",IF(AND($D1942="支出",N($K1942)=0),"※支出行要填支出金额",IF(AND($C1942&lt;&gt;"",ISNA(MATCH($C1942,账户表,0))),"※账户不在基础资料里",IF(AND($G1942&lt;&gt;"",ISNA(MATCH($G1942,项目名表,0))),"※项目不在项目台账里",IF(AND(LEFT($F1942,3)="成本-",$G1942=""),"※成本类支出没填项目",IF(AND(LEFT($F1942,3)="成本-",$H1942&lt;&gt;"",N($K1942)&gt;0,COUNTIFS(采购单!$B:$B,$B1942,采购单!$C:$C,$H1942,采购单!$L:$L,$K1942)&gt;0),"※这笔可能和采购单重复了",""))))))))))</f>
        <v/>
      </c>
    </row>
    <row r="1943">
      <c r="A1943" s="17">
        <f>IF($B1943="","",ROW()-3)</f>
        <v/>
      </c>
      <c r="B1943" s="18" t="n"/>
      <c r="C1943" s="13" t="n"/>
      <c r="D1943" s="13" t="n"/>
      <c r="E1943" s="13" t="n"/>
      <c r="F1943" s="17">
        <f>IF($E1943="","",IFERROR(VLOOKUP($E1943,类别归属,2,0),"※类别不在基础资料里"))</f>
        <v/>
      </c>
      <c r="G1943" s="13" t="n"/>
      <c r="H1943" s="13" t="n"/>
      <c r="I1943" s="13" t="n"/>
      <c r="J1943" s="14" t="n"/>
      <c r="K1943" s="14" t="n"/>
      <c r="L1943" s="19">
        <f>IF($C1943="","",ROUND(IFERROR(VLOOKUP($C1943,账户期初,2,0),0)+SUMIFS($J$4:J1943,$C$4:C1943,$C1943)-SUMIFS($K$4:K1943,$C$4:C1943,$C1943),2))</f>
        <v/>
      </c>
      <c r="M1943" s="19">
        <f>IF($C1943="","",ROUND(SUM(基础资料!$B$4:$B$13)+SUM($J$4:J1943)-SUM($K$4:K1943),2))</f>
        <v/>
      </c>
      <c r="N1943" s="13" t="n"/>
      <c r="O1943" s="13" t="n"/>
      <c r="P1943" s="17">
        <f>IF($B1943="","",IF($F1943="※类别不在基础资料里","※费用类别不在基础资料里",IF(AND(N($J1943)=0,N($K1943)=0),"※这行没填金额",IF(AND(N($J1943)&gt;0,N($K1943)&gt;0),"※收入和支出不能同一行都填",IF(AND($D1943="收入",N($J1943)=0),"※收入行要填收入金额",IF(AND($D1943="支出",N($K1943)=0),"※支出行要填支出金额",IF(AND($C1943&lt;&gt;"",ISNA(MATCH($C1943,账户表,0))),"※账户不在基础资料里",IF(AND($G1943&lt;&gt;"",ISNA(MATCH($G1943,项目名表,0))),"※项目不在项目台账里",IF(AND(LEFT($F1943,3)="成本-",$G1943=""),"※成本类支出没填项目",IF(AND(LEFT($F1943,3)="成本-",$H1943&lt;&gt;"",N($K1943)&gt;0,COUNTIFS(采购单!$B:$B,$B1943,采购单!$C:$C,$H1943,采购单!$L:$L,$K1943)&gt;0),"※这笔可能和采购单重复了",""))))))))))</f>
        <v/>
      </c>
    </row>
    <row r="1944">
      <c r="A1944" s="17">
        <f>IF($B1944="","",ROW()-3)</f>
        <v/>
      </c>
      <c r="B1944" s="18" t="n"/>
      <c r="C1944" s="13" t="n"/>
      <c r="D1944" s="13" t="n"/>
      <c r="E1944" s="13" t="n"/>
      <c r="F1944" s="17">
        <f>IF($E1944="","",IFERROR(VLOOKUP($E1944,类别归属,2,0),"※类别不在基础资料里"))</f>
        <v/>
      </c>
      <c r="G1944" s="13" t="n"/>
      <c r="H1944" s="13" t="n"/>
      <c r="I1944" s="13" t="n"/>
      <c r="J1944" s="14" t="n"/>
      <c r="K1944" s="14" t="n"/>
      <c r="L1944" s="19">
        <f>IF($C1944="","",ROUND(IFERROR(VLOOKUP($C1944,账户期初,2,0),0)+SUMIFS($J$4:J1944,$C$4:C1944,$C1944)-SUMIFS($K$4:K1944,$C$4:C1944,$C1944),2))</f>
        <v/>
      </c>
      <c r="M1944" s="19">
        <f>IF($C1944="","",ROUND(SUM(基础资料!$B$4:$B$13)+SUM($J$4:J1944)-SUM($K$4:K1944),2))</f>
        <v/>
      </c>
      <c r="N1944" s="13" t="n"/>
      <c r="O1944" s="13" t="n"/>
      <c r="P1944" s="17">
        <f>IF($B1944="","",IF($F1944="※类别不在基础资料里","※费用类别不在基础资料里",IF(AND(N($J1944)=0,N($K1944)=0),"※这行没填金额",IF(AND(N($J1944)&gt;0,N($K1944)&gt;0),"※收入和支出不能同一行都填",IF(AND($D1944="收入",N($J1944)=0),"※收入行要填收入金额",IF(AND($D1944="支出",N($K1944)=0),"※支出行要填支出金额",IF(AND($C1944&lt;&gt;"",ISNA(MATCH($C1944,账户表,0))),"※账户不在基础资料里",IF(AND($G1944&lt;&gt;"",ISNA(MATCH($G1944,项目名表,0))),"※项目不在项目台账里",IF(AND(LEFT($F1944,3)="成本-",$G1944=""),"※成本类支出没填项目",IF(AND(LEFT($F1944,3)="成本-",$H1944&lt;&gt;"",N($K1944)&gt;0,COUNTIFS(采购单!$B:$B,$B1944,采购单!$C:$C,$H1944,采购单!$L:$L,$K1944)&gt;0),"※这笔可能和采购单重复了",""))))))))))</f>
        <v/>
      </c>
    </row>
    <row r="1945">
      <c r="A1945" s="17">
        <f>IF($B1945="","",ROW()-3)</f>
        <v/>
      </c>
      <c r="B1945" s="18" t="n"/>
      <c r="C1945" s="13" t="n"/>
      <c r="D1945" s="13" t="n"/>
      <c r="E1945" s="13" t="n"/>
      <c r="F1945" s="17">
        <f>IF($E1945="","",IFERROR(VLOOKUP($E1945,类别归属,2,0),"※类别不在基础资料里"))</f>
        <v/>
      </c>
      <c r="G1945" s="13" t="n"/>
      <c r="H1945" s="13" t="n"/>
      <c r="I1945" s="13" t="n"/>
      <c r="J1945" s="14" t="n"/>
      <c r="K1945" s="14" t="n"/>
      <c r="L1945" s="19">
        <f>IF($C1945="","",ROUND(IFERROR(VLOOKUP($C1945,账户期初,2,0),0)+SUMIFS($J$4:J1945,$C$4:C1945,$C1945)-SUMIFS($K$4:K1945,$C$4:C1945,$C1945),2))</f>
        <v/>
      </c>
      <c r="M1945" s="19">
        <f>IF($C1945="","",ROUND(SUM(基础资料!$B$4:$B$13)+SUM($J$4:J1945)-SUM($K$4:K1945),2))</f>
        <v/>
      </c>
      <c r="N1945" s="13" t="n"/>
      <c r="O1945" s="13" t="n"/>
      <c r="P1945" s="17">
        <f>IF($B1945="","",IF($F1945="※类别不在基础资料里","※费用类别不在基础资料里",IF(AND(N($J1945)=0,N($K1945)=0),"※这行没填金额",IF(AND(N($J1945)&gt;0,N($K1945)&gt;0),"※收入和支出不能同一行都填",IF(AND($D1945="收入",N($J1945)=0),"※收入行要填收入金额",IF(AND($D1945="支出",N($K1945)=0),"※支出行要填支出金额",IF(AND($C1945&lt;&gt;"",ISNA(MATCH($C1945,账户表,0))),"※账户不在基础资料里",IF(AND($G1945&lt;&gt;"",ISNA(MATCH($G1945,项目名表,0))),"※项目不在项目台账里",IF(AND(LEFT($F1945,3)="成本-",$G1945=""),"※成本类支出没填项目",IF(AND(LEFT($F1945,3)="成本-",$H1945&lt;&gt;"",N($K1945)&gt;0,COUNTIFS(采购单!$B:$B,$B1945,采购单!$C:$C,$H1945,采购单!$L:$L,$K1945)&gt;0),"※这笔可能和采购单重复了",""))))))))))</f>
        <v/>
      </c>
    </row>
    <row r="1946">
      <c r="A1946" s="17">
        <f>IF($B1946="","",ROW()-3)</f>
        <v/>
      </c>
      <c r="B1946" s="18" t="n"/>
      <c r="C1946" s="13" t="n"/>
      <c r="D1946" s="13" t="n"/>
      <c r="E1946" s="13" t="n"/>
      <c r="F1946" s="17">
        <f>IF($E1946="","",IFERROR(VLOOKUP($E1946,类别归属,2,0),"※类别不在基础资料里"))</f>
        <v/>
      </c>
      <c r="G1946" s="13" t="n"/>
      <c r="H1946" s="13" t="n"/>
      <c r="I1946" s="13" t="n"/>
      <c r="J1946" s="14" t="n"/>
      <c r="K1946" s="14" t="n"/>
      <c r="L1946" s="19">
        <f>IF($C1946="","",ROUND(IFERROR(VLOOKUP($C1946,账户期初,2,0),0)+SUMIFS($J$4:J1946,$C$4:C1946,$C1946)-SUMIFS($K$4:K1946,$C$4:C1946,$C1946),2))</f>
        <v/>
      </c>
      <c r="M1946" s="19">
        <f>IF($C1946="","",ROUND(SUM(基础资料!$B$4:$B$13)+SUM($J$4:J1946)-SUM($K$4:K1946),2))</f>
        <v/>
      </c>
      <c r="N1946" s="13" t="n"/>
      <c r="O1946" s="13" t="n"/>
      <c r="P1946" s="17">
        <f>IF($B1946="","",IF($F1946="※类别不在基础资料里","※费用类别不在基础资料里",IF(AND(N($J1946)=0,N($K1946)=0),"※这行没填金额",IF(AND(N($J1946)&gt;0,N($K1946)&gt;0),"※收入和支出不能同一行都填",IF(AND($D1946="收入",N($J1946)=0),"※收入行要填收入金额",IF(AND($D1946="支出",N($K1946)=0),"※支出行要填支出金额",IF(AND($C1946&lt;&gt;"",ISNA(MATCH($C1946,账户表,0))),"※账户不在基础资料里",IF(AND($G1946&lt;&gt;"",ISNA(MATCH($G1946,项目名表,0))),"※项目不在项目台账里",IF(AND(LEFT($F1946,3)="成本-",$G1946=""),"※成本类支出没填项目",IF(AND(LEFT($F1946,3)="成本-",$H1946&lt;&gt;"",N($K1946)&gt;0,COUNTIFS(采购单!$B:$B,$B1946,采购单!$C:$C,$H1946,采购单!$L:$L,$K1946)&gt;0),"※这笔可能和采购单重复了",""))))))))))</f>
        <v/>
      </c>
    </row>
    <row r="1947">
      <c r="A1947" s="17">
        <f>IF($B1947="","",ROW()-3)</f>
        <v/>
      </c>
      <c r="B1947" s="18" t="n"/>
      <c r="C1947" s="13" t="n"/>
      <c r="D1947" s="13" t="n"/>
      <c r="E1947" s="13" t="n"/>
      <c r="F1947" s="17">
        <f>IF($E1947="","",IFERROR(VLOOKUP($E1947,类别归属,2,0),"※类别不在基础资料里"))</f>
        <v/>
      </c>
      <c r="G1947" s="13" t="n"/>
      <c r="H1947" s="13" t="n"/>
      <c r="I1947" s="13" t="n"/>
      <c r="J1947" s="14" t="n"/>
      <c r="K1947" s="14" t="n"/>
      <c r="L1947" s="19">
        <f>IF($C1947="","",ROUND(IFERROR(VLOOKUP($C1947,账户期初,2,0),0)+SUMIFS($J$4:J1947,$C$4:C1947,$C1947)-SUMIFS($K$4:K1947,$C$4:C1947,$C1947),2))</f>
        <v/>
      </c>
      <c r="M1947" s="19">
        <f>IF($C1947="","",ROUND(SUM(基础资料!$B$4:$B$13)+SUM($J$4:J1947)-SUM($K$4:K1947),2))</f>
        <v/>
      </c>
      <c r="N1947" s="13" t="n"/>
      <c r="O1947" s="13" t="n"/>
      <c r="P1947" s="17">
        <f>IF($B1947="","",IF($F1947="※类别不在基础资料里","※费用类别不在基础资料里",IF(AND(N($J1947)=0,N($K1947)=0),"※这行没填金额",IF(AND(N($J1947)&gt;0,N($K1947)&gt;0),"※收入和支出不能同一行都填",IF(AND($D1947="收入",N($J1947)=0),"※收入行要填收入金额",IF(AND($D1947="支出",N($K1947)=0),"※支出行要填支出金额",IF(AND($C1947&lt;&gt;"",ISNA(MATCH($C1947,账户表,0))),"※账户不在基础资料里",IF(AND($G1947&lt;&gt;"",ISNA(MATCH($G1947,项目名表,0))),"※项目不在项目台账里",IF(AND(LEFT($F1947,3)="成本-",$G1947=""),"※成本类支出没填项目",IF(AND(LEFT($F1947,3)="成本-",$H1947&lt;&gt;"",N($K1947)&gt;0,COUNTIFS(采购单!$B:$B,$B1947,采购单!$C:$C,$H1947,采购单!$L:$L,$K1947)&gt;0),"※这笔可能和采购单重复了",""))))))))))</f>
        <v/>
      </c>
    </row>
    <row r="1948">
      <c r="A1948" s="17">
        <f>IF($B1948="","",ROW()-3)</f>
        <v/>
      </c>
      <c r="B1948" s="18" t="n"/>
      <c r="C1948" s="13" t="n"/>
      <c r="D1948" s="13" t="n"/>
      <c r="E1948" s="13" t="n"/>
      <c r="F1948" s="17">
        <f>IF($E1948="","",IFERROR(VLOOKUP($E1948,类别归属,2,0),"※类别不在基础资料里"))</f>
        <v/>
      </c>
      <c r="G1948" s="13" t="n"/>
      <c r="H1948" s="13" t="n"/>
      <c r="I1948" s="13" t="n"/>
      <c r="J1948" s="14" t="n"/>
      <c r="K1948" s="14" t="n"/>
      <c r="L1948" s="19">
        <f>IF($C1948="","",ROUND(IFERROR(VLOOKUP($C1948,账户期初,2,0),0)+SUMIFS($J$4:J1948,$C$4:C1948,$C1948)-SUMIFS($K$4:K1948,$C$4:C1948,$C1948),2))</f>
        <v/>
      </c>
      <c r="M1948" s="19">
        <f>IF($C1948="","",ROUND(SUM(基础资料!$B$4:$B$13)+SUM($J$4:J1948)-SUM($K$4:K1948),2))</f>
        <v/>
      </c>
      <c r="N1948" s="13" t="n"/>
      <c r="O1948" s="13" t="n"/>
      <c r="P1948" s="17">
        <f>IF($B1948="","",IF($F1948="※类别不在基础资料里","※费用类别不在基础资料里",IF(AND(N($J1948)=0,N($K1948)=0),"※这行没填金额",IF(AND(N($J1948)&gt;0,N($K1948)&gt;0),"※收入和支出不能同一行都填",IF(AND($D1948="收入",N($J1948)=0),"※收入行要填收入金额",IF(AND($D1948="支出",N($K1948)=0),"※支出行要填支出金额",IF(AND($C1948&lt;&gt;"",ISNA(MATCH($C1948,账户表,0))),"※账户不在基础资料里",IF(AND($G1948&lt;&gt;"",ISNA(MATCH($G1948,项目名表,0))),"※项目不在项目台账里",IF(AND(LEFT($F1948,3)="成本-",$G1948=""),"※成本类支出没填项目",IF(AND(LEFT($F1948,3)="成本-",$H1948&lt;&gt;"",N($K1948)&gt;0,COUNTIFS(采购单!$B:$B,$B1948,采购单!$C:$C,$H1948,采购单!$L:$L,$K1948)&gt;0),"※这笔可能和采购单重复了",""))))))))))</f>
        <v/>
      </c>
    </row>
    <row r="1949">
      <c r="A1949" s="17">
        <f>IF($B1949="","",ROW()-3)</f>
        <v/>
      </c>
      <c r="B1949" s="18" t="n"/>
      <c r="C1949" s="13" t="n"/>
      <c r="D1949" s="13" t="n"/>
      <c r="E1949" s="13" t="n"/>
      <c r="F1949" s="17">
        <f>IF($E1949="","",IFERROR(VLOOKUP($E1949,类别归属,2,0),"※类别不在基础资料里"))</f>
        <v/>
      </c>
      <c r="G1949" s="13" t="n"/>
      <c r="H1949" s="13" t="n"/>
      <c r="I1949" s="13" t="n"/>
      <c r="J1949" s="14" t="n"/>
      <c r="K1949" s="14" t="n"/>
      <c r="L1949" s="19">
        <f>IF($C1949="","",ROUND(IFERROR(VLOOKUP($C1949,账户期初,2,0),0)+SUMIFS($J$4:J1949,$C$4:C1949,$C1949)-SUMIFS($K$4:K1949,$C$4:C1949,$C1949),2))</f>
        <v/>
      </c>
      <c r="M1949" s="19">
        <f>IF($C1949="","",ROUND(SUM(基础资料!$B$4:$B$13)+SUM($J$4:J1949)-SUM($K$4:K1949),2))</f>
        <v/>
      </c>
      <c r="N1949" s="13" t="n"/>
      <c r="O1949" s="13" t="n"/>
      <c r="P1949" s="17">
        <f>IF($B1949="","",IF($F1949="※类别不在基础资料里","※费用类别不在基础资料里",IF(AND(N($J1949)=0,N($K1949)=0),"※这行没填金额",IF(AND(N($J1949)&gt;0,N($K1949)&gt;0),"※收入和支出不能同一行都填",IF(AND($D1949="收入",N($J1949)=0),"※收入行要填收入金额",IF(AND($D1949="支出",N($K1949)=0),"※支出行要填支出金额",IF(AND($C1949&lt;&gt;"",ISNA(MATCH($C1949,账户表,0))),"※账户不在基础资料里",IF(AND($G1949&lt;&gt;"",ISNA(MATCH($G1949,项目名表,0))),"※项目不在项目台账里",IF(AND(LEFT($F1949,3)="成本-",$G1949=""),"※成本类支出没填项目",IF(AND(LEFT($F1949,3)="成本-",$H1949&lt;&gt;"",N($K1949)&gt;0,COUNTIFS(采购单!$B:$B,$B1949,采购单!$C:$C,$H1949,采购单!$L:$L,$K1949)&gt;0),"※这笔可能和采购单重复了",""))))))))))</f>
        <v/>
      </c>
    </row>
    <row r="1950">
      <c r="A1950" s="17">
        <f>IF($B1950="","",ROW()-3)</f>
        <v/>
      </c>
      <c r="B1950" s="18" t="n"/>
      <c r="C1950" s="13" t="n"/>
      <c r="D1950" s="13" t="n"/>
      <c r="E1950" s="13" t="n"/>
      <c r="F1950" s="17">
        <f>IF($E1950="","",IFERROR(VLOOKUP($E1950,类别归属,2,0),"※类别不在基础资料里"))</f>
        <v/>
      </c>
      <c r="G1950" s="13" t="n"/>
      <c r="H1950" s="13" t="n"/>
      <c r="I1950" s="13" t="n"/>
      <c r="J1950" s="14" t="n"/>
      <c r="K1950" s="14" t="n"/>
      <c r="L1950" s="19">
        <f>IF($C1950="","",ROUND(IFERROR(VLOOKUP($C1950,账户期初,2,0),0)+SUMIFS($J$4:J1950,$C$4:C1950,$C1950)-SUMIFS($K$4:K1950,$C$4:C1950,$C1950),2))</f>
        <v/>
      </c>
      <c r="M1950" s="19">
        <f>IF($C1950="","",ROUND(SUM(基础资料!$B$4:$B$13)+SUM($J$4:J1950)-SUM($K$4:K1950),2))</f>
        <v/>
      </c>
      <c r="N1950" s="13" t="n"/>
      <c r="O1950" s="13" t="n"/>
      <c r="P1950" s="17">
        <f>IF($B1950="","",IF($F1950="※类别不在基础资料里","※费用类别不在基础资料里",IF(AND(N($J1950)=0,N($K1950)=0),"※这行没填金额",IF(AND(N($J1950)&gt;0,N($K1950)&gt;0),"※收入和支出不能同一行都填",IF(AND($D1950="收入",N($J1950)=0),"※收入行要填收入金额",IF(AND($D1950="支出",N($K1950)=0),"※支出行要填支出金额",IF(AND($C1950&lt;&gt;"",ISNA(MATCH($C1950,账户表,0))),"※账户不在基础资料里",IF(AND($G1950&lt;&gt;"",ISNA(MATCH($G1950,项目名表,0))),"※项目不在项目台账里",IF(AND(LEFT($F1950,3)="成本-",$G1950=""),"※成本类支出没填项目",IF(AND(LEFT($F1950,3)="成本-",$H1950&lt;&gt;"",N($K1950)&gt;0,COUNTIFS(采购单!$B:$B,$B1950,采购单!$C:$C,$H1950,采购单!$L:$L,$K1950)&gt;0),"※这笔可能和采购单重复了",""))))))))))</f>
        <v/>
      </c>
    </row>
    <row r="1951">
      <c r="A1951" s="17">
        <f>IF($B1951="","",ROW()-3)</f>
        <v/>
      </c>
      <c r="B1951" s="18" t="n"/>
      <c r="C1951" s="13" t="n"/>
      <c r="D1951" s="13" t="n"/>
      <c r="E1951" s="13" t="n"/>
      <c r="F1951" s="17">
        <f>IF($E1951="","",IFERROR(VLOOKUP($E1951,类别归属,2,0),"※类别不在基础资料里"))</f>
        <v/>
      </c>
      <c r="G1951" s="13" t="n"/>
      <c r="H1951" s="13" t="n"/>
      <c r="I1951" s="13" t="n"/>
      <c r="J1951" s="14" t="n"/>
      <c r="K1951" s="14" t="n"/>
      <c r="L1951" s="19">
        <f>IF($C1951="","",ROUND(IFERROR(VLOOKUP($C1951,账户期初,2,0),0)+SUMIFS($J$4:J1951,$C$4:C1951,$C1951)-SUMIFS($K$4:K1951,$C$4:C1951,$C1951),2))</f>
        <v/>
      </c>
      <c r="M1951" s="19">
        <f>IF($C1951="","",ROUND(SUM(基础资料!$B$4:$B$13)+SUM($J$4:J1951)-SUM($K$4:K1951),2))</f>
        <v/>
      </c>
      <c r="N1951" s="13" t="n"/>
      <c r="O1951" s="13" t="n"/>
      <c r="P1951" s="17">
        <f>IF($B1951="","",IF($F1951="※类别不在基础资料里","※费用类别不在基础资料里",IF(AND(N($J1951)=0,N($K1951)=0),"※这行没填金额",IF(AND(N($J1951)&gt;0,N($K1951)&gt;0),"※收入和支出不能同一行都填",IF(AND($D1951="收入",N($J1951)=0),"※收入行要填收入金额",IF(AND($D1951="支出",N($K1951)=0),"※支出行要填支出金额",IF(AND($C1951&lt;&gt;"",ISNA(MATCH($C1951,账户表,0))),"※账户不在基础资料里",IF(AND($G1951&lt;&gt;"",ISNA(MATCH($G1951,项目名表,0))),"※项目不在项目台账里",IF(AND(LEFT($F1951,3)="成本-",$G1951=""),"※成本类支出没填项目",IF(AND(LEFT($F1951,3)="成本-",$H1951&lt;&gt;"",N($K1951)&gt;0,COUNTIFS(采购单!$B:$B,$B1951,采购单!$C:$C,$H1951,采购单!$L:$L,$K1951)&gt;0),"※这笔可能和采购单重复了",""))))))))))</f>
        <v/>
      </c>
    </row>
    <row r="1952">
      <c r="A1952" s="17">
        <f>IF($B1952="","",ROW()-3)</f>
        <v/>
      </c>
      <c r="B1952" s="18" t="n"/>
      <c r="C1952" s="13" t="n"/>
      <c r="D1952" s="13" t="n"/>
      <c r="E1952" s="13" t="n"/>
      <c r="F1952" s="17">
        <f>IF($E1952="","",IFERROR(VLOOKUP($E1952,类别归属,2,0),"※类别不在基础资料里"))</f>
        <v/>
      </c>
      <c r="G1952" s="13" t="n"/>
      <c r="H1952" s="13" t="n"/>
      <c r="I1952" s="13" t="n"/>
      <c r="J1952" s="14" t="n"/>
      <c r="K1952" s="14" t="n"/>
      <c r="L1952" s="19">
        <f>IF($C1952="","",ROUND(IFERROR(VLOOKUP($C1952,账户期初,2,0),0)+SUMIFS($J$4:J1952,$C$4:C1952,$C1952)-SUMIFS($K$4:K1952,$C$4:C1952,$C1952),2))</f>
        <v/>
      </c>
      <c r="M1952" s="19">
        <f>IF($C1952="","",ROUND(SUM(基础资料!$B$4:$B$13)+SUM($J$4:J1952)-SUM($K$4:K1952),2))</f>
        <v/>
      </c>
      <c r="N1952" s="13" t="n"/>
      <c r="O1952" s="13" t="n"/>
      <c r="P1952" s="17">
        <f>IF($B1952="","",IF($F1952="※类别不在基础资料里","※费用类别不在基础资料里",IF(AND(N($J1952)=0,N($K1952)=0),"※这行没填金额",IF(AND(N($J1952)&gt;0,N($K1952)&gt;0),"※收入和支出不能同一行都填",IF(AND($D1952="收入",N($J1952)=0),"※收入行要填收入金额",IF(AND($D1952="支出",N($K1952)=0),"※支出行要填支出金额",IF(AND($C1952&lt;&gt;"",ISNA(MATCH($C1952,账户表,0))),"※账户不在基础资料里",IF(AND($G1952&lt;&gt;"",ISNA(MATCH($G1952,项目名表,0))),"※项目不在项目台账里",IF(AND(LEFT($F1952,3)="成本-",$G1952=""),"※成本类支出没填项目",IF(AND(LEFT($F1952,3)="成本-",$H1952&lt;&gt;"",N($K1952)&gt;0,COUNTIFS(采购单!$B:$B,$B1952,采购单!$C:$C,$H1952,采购单!$L:$L,$K1952)&gt;0),"※这笔可能和采购单重复了",""))))))))))</f>
        <v/>
      </c>
    </row>
    <row r="1953">
      <c r="A1953" s="17">
        <f>IF($B1953="","",ROW()-3)</f>
        <v/>
      </c>
      <c r="B1953" s="18" t="n"/>
      <c r="C1953" s="13" t="n"/>
      <c r="D1953" s="13" t="n"/>
      <c r="E1953" s="13" t="n"/>
      <c r="F1953" s="17">
        <f>IF($E1953="","",IFERROR(VLOOKUP($E1953,类别归属,2,0),"※类别不在基础资料里"))</f>
        <v/>
      </c>
      <c r="G1953" s="13" t="n"/>
      <c r="H1953" s="13" t="n"/>
      <c r="I1953" s="13" t="n"/>
      <c r="J1953" s="14" t="n"/>
      <c r="K1953" s="14" t="n"/>
      <c r="L1953" s="19">
        <f>IF($C1953="","",ROUND(IFERROR(VLOOKUP($C1953,账户期初,2,0),0)+SUMIFS($J$4:J1953,$C$4:C1953,$C1953)-SUMIFS($K$4:K1953,$C$4:C1953,$C1953),2))</f>
        <v/>
      </c>
      <c r="M1953" s="19">
        <f>IF($C1953="","",ROUND(SUM(基础资料!$B$4:$B$13)+SUM($J$4:J1953)-SUM($K$4:K1953),2))</f>
        <v/>
      </c>
      <c r="N1953" s="13" t="n"/>
      <c r="O1953" s="13" t="n"/>
      <c r="P1953" s="17">
        <f>IF($B1953="","",IF($F1953="※类别不在基础资料里","※费用类别不在基础资料里",IF(AND(N($J1953)=0,N($K1953)=0),"※这行没填金额",IF(AND(N($J1953)&gt;0,N($K1953)&gt;0),"※收入和支出不能同一行都填",IF(AND($D1953="收入",N($J1953)=0),"※收入行要填收入金额",IF(AND($D1953="支出",N($K1953)=0),"※支出行要填支出金额",IF(AND($C1953&lt;&gt;"",ISNA(MATCH($C1953,账户表,0))),"※账户不在基础资料里",IF(AND($G1953&lt;&gt;"",ISNA(MATCH($G1953,项目名表,0))),"※项目不在项目台账里",IF(AND(LEFT($F1953,3)="成本-",$G1953=""),"※成本类支出没填项目",IF(AND(LEFT($F1953,3)="成本-",$H1953&lt;&gt;"",N($K1953)&gt;0,COUNTIFS(采购单!$B:$B,$B1953,采购单!$C:$C,$H1953,采购单!$L:$L,$K1953)&gt;0),"※这笔可能和采购单重复了",""))))))))))</f>
        <v/>
      </c>
    </row>
    <row r="1954">
      <c r="A1954" s="17">
        <f>IF($B1954="","",ROW()-3)</f>
        <v/>
      </c>
      <c r="B1954" s="18" t="n"/>
      <c r="C1954" s="13" t="n"/>
      <c r="D1954" s="13" t="n"/>
      <c r="E1954" s="13" t="n"/>
      <c r="F1954" s="17">
        <f>IF($E1954="","",IFERROR(VLOOKUP($E1954,类别归属,2,0),"※类别不在基础资料里"))</f>
        <v/>
      </c>
      <c r="G1954" s="13" t="n"/>
      <c r="H1954" s="13" t="n"/>
      <c r="I1954" s="13" t="n"/>
      <c r="J1954" s="14" t="n"/>
      <c r="K1954" s="14" t="n"/>
      <c r="L1954" s="19">
        <f>IF($C1954="","",ROUND(IFERROR(VLOOKUP($C1954,账户期初,2,0),0)+SUMIFS($J$4:J1954,$C$4:C1954,$C1954)-SUMIFS($K$4:K1954,$C$4:C1954,$C1954),2))</f>
        <v/>
      </c>
      <c r="M1954" s="19">
        <f>IF($C1954="","",ROUND(SUM(基础资料!$B$4:$B$13)+SUM($J$4:J1954)-SUM($K$4:K1954),2))</f>
        <v/>
      </c>
      <c r="N1954" s="13" t="n"/>
      <c r="O1954" s="13" t="n"/>
      <c r="P1954" s="17">
        <f>IF($B1954="","",IF($F1954="※类别不在基础资料里","※费用类别不在基础资料里",IF(AND(N($J1954)=0,N($K1954)=0),"※这行没填金额",IF(AND(N($J1954)&gt;0,N($K1954)&gt;0),"※收入和支出不能同一行都填",IF(AND($D1954="收入",N($J1954)=0),"※收入行要填收入金额",IF(AND($D1954="支出",N($K1954)=0),"※支出行要填支出金额",IF(AND($C1954&lt;&gt;"",ISNA(MATCH($C1954,账户表,0))),"※账户不在基础资料里",IF(AND($G1954&lt;&gt;"",ISNA(MATCH($G1954,项目名表,0))),"※项目不在项目台账里",IF(AND(LEFT($F1954,3)="成本-",$G1954=""),"※成本类支出没填项目",IF(AND(LEFT($F1954,3)="成本-",$H1954&lt;&gt;"",N($K1954)&gt;0,COUNTIFS(采购单!$B:$B,$B1954,采购单!$C:$C,$H1954,采购单!$L:$L,$K1954)&gt;0),"※这笔可能和采购单重复了",""))))))))))</f>
        <v/>
      </c>
    </row>
    <row r="1955">
      <c r="A1955" s="17">
        <f>IF($B1955="","",ROW()-3)</f>
        <v/>
      </c>
      <c r="B1955" s="18" t="n"/>
      <c r="C1955" s="13" t="n"/>
      <c r="D1955" s="13" t="n"/>
      <c r="E1955" s="13" t="n"/>
      <c r="F1955" s="17">
        <f>IF($E1955="","",IFERROR(VLOOKUP($E1955,类别归属,2,0),"※类别不在基础资料里"))</f>
        <v/>
      </c>
      <c r="G1955" s="13" t="n"/>
      <c r="H1955" s="13" t="n"/>
      <c r="I1955" s="13" t="n"/>
      <c r="J1955" s="14" t="n"/>
      <c r="K1955" s="14" t="n"/>
      <c r="L1955" s="19">
        <f>IF($C1955="","",ROUND(IFERROR(VLOOKUP($C1955,账户期初,2,0),0)+SUMIFS($J$4:J1955,$C$4:C1955,$C1955)-SUMIFS($K$4:K1955,$C$4:C1955,$C1955),2))</f>
        <v/>
      </c>
      <c r="M1955" s="19">
        <f>IF($C1955="","",ROUND(SUM(基础资料!$B$4:$B$13)+SUM($J$4:J1955)-SUM($K$4:K1955),2))</f>
        <v/>
      </c>
      <c r="N1955" s="13" t="n"/>
      <c r="O1955" s="13" t="n"/>
      <c r="P1955" s="17">
        <f>IF($B1955="","",IF($F1955="※类别不在基础资料里","※费用类别不在基础资料里",IF(AND(N($J1955)=0,N($K1955)=0),"※这行没填金额",IF(AND(N($J1955)&gt;0,N($K1955)&gt;0),"※收入和支出不能同一行都填",IF(AND($D1955="收入",N($J1955)=0),"※收入行要填收入金额",IF(AND($D1955="支出",N($K1955)=0),"※支出行要填支出金额",IF(AND($C1955&lt;&gt;"",ISNA(MATCH($C1955,账户表,0))),"※账户不在基础资料里",IF(AND($G1955&lt;&gt;"",ISNA(MATCH($G1955,项目名表,0))),"※项目不在项目台账里",IF(AND(LEFT($F1955,3)="成本-",$G1955=""),"※成本类支出没填项目",IF(AND(LEFT($F1955,3)="成本-",$H1955&lt;&gt;"",N($K1955)&gt;0,COUNTIFS(采购单!$B:$B,$B1955,采购单!$C:$C,$H1955,采购单!$L:$L,$K1955)&gt;0),"※这笔可能和采购单重复了",""))))))))))</f>
        <v/>
      </c>
    </row>
    <row r="1956">
      <c r="A1956" s="17">
        <f>IF($B1956="","",ROW()-3)</f>
        <v/>
      </c>
      <c r="B1956" s="18" t="n"/>
      <c r="C1956" s="13" t="n"/>
      <c r="D1956" s="13" t="n"/>
      <c r="E1956" s="13" t="n"/>
      <c r="F1956" s="17">
        <f>IF($E1956="","",IFERROR(VLOOKUP($E1956,类别归属,2,0),"※类别不在基础资料里"))</f>
        <v/>
      </c>
      <c r="G1956" s="13" t="n"/>
      <c r="H1956" s="13" t="n"/>
      <c r="I1956" s="13" t="n"/>
      <c r="J1956" s="14" t="n"/>
      <c r="K1956" s="14" t="n"/>
      <c r="L1956" s="19">
        <f>IF($C1956="","",ROUND(IFERROR(VLOOKUP($C1956,账户期初,2,0),0)+SUMIFS($J$4:J1956,$C$4:C1956,$C1956)-SUMIFS($K$4:K1956,$C$4:C1956,$C1956),2))</f>
        <v/>
      </c>
      <c r="M1956" s="19">
        <f>IF($C1956="","",ROUND(SUM(基础资料!$B$4:$B$13)+SUM($J$4:J1956)-SUM($K$4:K1956),2))</f>
        <v/>
      </c>
      <c r="N1956" s="13" t="n"/>
      <c r="O1956" s="13" t="n"/>
      <c r="P1956" s="17">
        <f>IF($B1956="","",IF($F1956="※类别不在基础资料里","※费用类别不在基础资料里",IF(AND(N($J1956)=0,N($K1956)=0),"※这行没填金额",IF(AND(N($J1956)&gt;0,N($K1956)&gt;0),"※收入和支出不能同一行都填",IF(AND($D1956="收入",N($J1956)=0),"※收入行要填收入金额",IF(AND($D1956="支出",N($K1956)=0),"※支出行要填支出金额",IF(AND($C1956&lt;&gt;"",ISNA(MATCH($C1956,账户表,0))),"※账户不在基础资料里",IF(AND($G1956&lt;&gt;"",ISNA(MATCH($G1956,项目名表,0))),"※项目不在项目台账里",IF(AND(LEFT($F1956,3)="成本-",$G1956=""),"※成本类支出没填项目",IF(AND(LEFT($F1956,3)="成本-",$H1956&lt;&gt;"",N($K1956)&gt;0,COUNTIFS(采购单!$B:$B,$B1956,采购单!$C:$C,$H1956,采购单!$L:$L,$K1956)&gt;0),"※这笔可能和采购单重复了",""))))))))))</f>
        <v/>
      </c>
    </row>
    <row r="1957">
      <c r="A1957" s="17">
        <f>IF($B1957="","",ROW()-3)</f>
        <v/>
      </c>
      <c r="B1957" s="18" t="n"/>
      <c r="C1957" s="13" t="n"/>
      <c r="D1957" s="13" t="n"/>
      <c r="E1957" s="13" t="n"/>
      <c r="F1957" s="17">
        <f>IF($E1957="","",IFERROR(VLOOKUP($E1957,类别归属,2,0),"※类别不在基础资料里"))</f>
        <v/>
      </c>
      <c r="G1957" s="13" t="n"/>
      <c r="H1957" s="13" t="n"/>
      <c r="I1957" s="13" t="n"/>
      <c r="J1957" s="14" t="n"/>
      <c r="K1957" s="14" t="n"/>
      <c r="L1957" s="19">
        <f>IF($C1957="","",ROUND(IFERROR(VLOOKUP($C1957,账户期初,2,0),0)+SUMIFS($J$4:J1957,$C$4:C1957,$C1957)-SUMIFS($K$4:K1957,$C$4:C1957,$C1957),2))</f>
        <v/>
      </c>
      <c r="M1957" s="19">
        <f>IF($C1957="","",ROUND(SUM(基础资料!$B$4:$B$13)+SUM($J$4:J1957)-SUM($K$4:K1957),2))</f>
        <v/>
      </c>
      <c r="N1957" s="13" t="n"/>
      <c r="O1957" s="13" t="n"/>
      <c r="P1957" s="17">
        <f>IF($B1957="","",IF($F1957="※类别不在基础资料里","※费用类别不在基础资料里",IF(AND(N($J1957)=0,N($K1957)=0),"※这行没填金额",IF(AND(N($J1957)&gt;0,N($K1957)&gt;0),"※收入和支出不能同一行都填",IF(AND($D1957="收入",N($J1957)=0),"※收入行要填收入金额",IF(AND($D1957="支出",N($K1957)=0),"※支出行要填支出金额",IF(AND($C1957&lt;&gt;"",ISNA(MATCH($C1957,账户表,0))),"※账户不在基础资料里",IF(AND($G1957&lt;&gt;"",ISNA(MATCH($G1957,项目名表,0))),"※项目不在项目台账里",IF(AND(LEFT($F1957,3)="成本-",$G1957=""),"※成本类支出没填项目",IF(AND(LEFT($F1957,3)="成本-",$H1957&lt;&gt;"",N($K1957)&gt;0,COUNTIFS(采购单!$B:$B,$B1957,采购单!$C:$C,$H1957,采购单!$L:$L,$K1957)&gt;0),"※这笔可能和采购单重复了",""))))))))))</f>
        <v/>
      </c>
    </row>
    <row r="1958">
      <c r="A1958" s="17">
        <f>IF($B1958="","",ROW()-3)</f>
        <v/>
      </c>
      <c r="B1958" s="18" t="n"/>
      <c r="C1958" s="13" t="n"/>
      <c r="D1958" s="13" t="n"/>
      <c r="E1958" s="13" t="n"/>
      <c r="F1958" s="17">
        <f>IF($E1958="","",IFERROR(VLOOKUP($E1958,类别归属,2,0),"※类别不在基础资料里"))</f>
        <v/>
      </c>
      <c r="G1958" s="13" t="n"/>
      <c r="H1958" s="13" t="n"/>
      <c r="I1958" s="13" t="n"/>
      <c r="J1958" s="14" t="n"/>
      <c r="K1958" s="14" t="n"/>
      <c r="L1958" s="19">
        <f>IF($C1958="","",ROUND(IFERROR(VLOOKUP($C1958,账户期初,2,0),0)+SUMIFS($J$4:J1958,$C$4:C1958,$C1958)-SUMIFS($K$4:K1958,$C$4:C1958,$C1958),2))</f>
        <v/>
      </c>
      <c r="M1958" s="19">
        <f>IF($C1958="","",ROUND(SUM(基础资料!$B$4:$B$13)+SUM($J$4:J1958)-SUM($K$4:K1958),2))</f>
        <v/>
      </c>
      <c r="N1958" s="13" t="n"/>
      <c r="O1958" s="13" t="n"/>
      <c r="P1958" s="17">
        <f>IF($B1958="","",IF($F1958="※类别不在基础资料里","※费用类别不在基础资料里",IF(AND(N($J1958)=0,N($K1958)=0),"※这行没填金额",IF(AND(N($J1958)&gt;0,N($K1958)&gt;0),"※收入和支出不能同一行都填",IF(AND($D1958="收入",N($J1958)=0),"※收入行要填收入金额",IF(AND($D1958="支出",N($K1958)=0),"※支出行要填支出金额",IF(AND($C1958&lt;&gt;"",ISNA(MATCH($C1958,账户表,0))),"※账户不在基础资料里",IF(AND($G1958&lt;&gt;"",ISNA(MATCH($G1958,项目名表,0))),"※项目不在项目台账里",IF(AND(LEFT($F1958,3)="成本-",$G1958=""),"※成本类支出没填项目",IF(AND(LEFT($F1958,3)="成本-",$H1958&lt;&gt;"",N($K1958)&gt;0,COUNTIFS(采购单!$B:$B,$B1958,采购单!$C:$C,$H1958,采购单!$L:$L,$K1958)&gt;0),"※这笔可能和采购单重复了",""))))))))))</f>
        <v/>
      </c>
    </row>
    <row r="1959">
      <c r="A1959" s="17">
        <f>IF($B1959="","",ROW()-3)</f>
        <v/>
      </c>
      <c r="B1959" s="18" t="n"/>
      <c r="C1959" s="13" t="n"/>
      <c r="D1959" s="13" t="n"/>
      <c r="E1959" s="13" t="n"/>
      <c r="F1959" s="17">
        <f>IF($E1959="","",IFERROR(VLOOKUP($E1959,类别归属,2,0),"※类别不在基础资料里"))</f>
        <v/>
      </c>
      <c r="G1959" s="13" t="n"/>
      <c r="H1959" s="13" t="n"/>
      <c r="I1959" s="13" t="n"/>
      <c r="J1959" s="14" t="n"/>
      <c r="K1959" s="14" t="n"/>
      <c r="L1959" s="19">
        <f>IF($C1959="","",ROUND(IFERROR(VLOOKUP($C1959,账户期初,2,0),0)+SUMIFS($J$4:J1959,$C$4:C1959,$C1959)-SUMIFS($K$4:K1959,$C$4:C1959,$C1959),2))</f>
        <v/>
      </c>
      <c r="M1959" s="19">
        <f>IF($C1959="","",ROUND(SUM(基础资料!$B$4:$B$13)+SUM($J$4:J1959)-SUM($K$4:K1959),2))</f>
        <v/>
      </c>
      <c r="N1959" s="13" t="n"/>
      <c r="O1959" s="13" t="n"/>
      <c r="P1959" s="17">
        <f>IF($B1959="","",IF($F1959="※类别不在基础资料里","※费用类别不在基础资料里",IF(AND(N($J1959)=0,N($K1959)=0),"※这行没填金额",IF(AND(N($J1959)&gt;0,N($K1959)&gt;0),"※收入和支出不能同一行都填",IF(AND($D1959="收入",N($J1959)=0),"※收入行要填收入金额",IF(AND($D1959="支出",N($K1959)=0),"※支出行要填支出金额",IF(AND($C1959&lt;&gt;"",ISNA(MATCH($C1959,账户表,0))),"※账户不在基础资料里",IF(AND($G1959&lt;&gt;"",ISNA(MATCH($G1959,项目名表,0))),"※项目不在项目台账里",IF(AND(LEFT($F1959,3)="成本-",$G1959=""),"※成本类支出没填项目",IF(AND(LEFT($F1959,3)="成本-",$H1959&lt;&gt;"",N($K1959)&gt;0,COUNTIFS(采购单!$B:$B,$B1959,采购单!$C:$C,$H1959,采购单!$L:$L,$K1959)&gt;0),"※这笔可能和采购单重复了",""))))))))))</f>
        <v/>
      </c>
    </row>
    <row r="1960">
      <c r="A1960" s="17">
        <f>IF($B1960="","",ROW()-3)</f>
        <v/>
      </c>
      <c r="B1960" s="18" t="n"/>
      <c r="C1960" s="13" t="n"/>
      <c r="D1960" s="13" t="n"/>
      <c r="E1960" s="13" t="n"/>
      <c r="F1960" s="17">
        <f>IF($E1960="","",IFERROR(VLOOKUP($E1960,类别归属,2,0),"※类别不在基础资料里"))</f>
        <v/>
      </c>
      <c r="G1960" s="13" t="n"/>
      <c r="H1960" s="13" t="n"/>
      <c r="I1960" s="13" t="n"/>
      <c r="J1960" s="14" t="n"/>
      <c r="K1960" s="14" t="n"/>
      <c r="L1960" s="19">
        <f>IF($C1960="","",ROUND(IFERROR(VLOOKUP($C1960,账户期初,2,0),0)+SUMIFS($J$4:J1960,$C$4:C1960,$C1960)-SUMIFS($K$4:K1960,$C$4:C1960,$C1960),2))</f>
        <v/>
      </c>
      <c r="M1960" s="19">
        <f>IF($C1960="","",ROUND(SUM(基础资料!$B$4:$B$13)+SUM($J$4:J1960)-SUM($K$4:K1960),2))</f>
        <v/>
      </c>
      <c r="N1960" s="13" t="n"/>
      <c r="O1960" s="13" t="n"/>
      <c r="P1960" s="17">
        <f>IF($B1960="","",IF($F1960="※类别不在基础资料里","※费用类别不在基础资料里",IF(AND(N($J1960)=0,N($K1960)=0),"※这行没填金额",IF(AND(N($J1960)&gt;0,N($K1960)&gt;0),"※收入和支出不能同一行都填",IF(AND($D1960="收入",N($J1960)=0),"※收入行要填收入金额",IF(AND($D1960="支出",N($K1960)=0),"※支出行要填支出金额",IF(AND($C1960&lt;&gt;"",ISNA(MATCH($C1960,账户表,0))),"※账户不在基础资料里",IF(AND($G1960&lt;&gt;"",ISNA(MATCH($G1960,项目名表,0))),"※项目不在项目台账里",IF(AND(LEFT($F1960,3)="成本-",$G1960=""),"※成本类支出没填项目",IF(AND(LEFT($F1960,3)="成本-",$H1960&lt;&gt;"",N($K1960)&gt;0,COUNTIFS(采购单!$B:$B,$B1960,采购单!$C:$C,$H1960,采购单!$L:$L,$K1960)&gt;0),"※这笔可能和采购单重复了",""))))))))))</f>
        <v/>
      </c>
    </row>
    <row r="1961">
      <c r="A1961" s="17">
        <f>IF($B1961="","",ROW()-3)</f>
        <v/>
      </c>
      <c r="B1961" s="18" t="n"/>
      <c r="C1961" s="13" t="n"/>
      <c r="D1961" s="13" t="n"/>
      <c r="E1961" s="13" t="n"/>
      <c r="F1961" s="17">
        <f>IF($E1961="","",IFERROR(VLOOKUP($E1961,类别归属,2,0),"※类别不在基础资料里"))</f>
        <v/>
      </c>
      <c r="G1961" s="13" t="n"/>
      <c r="H1961" s="13" t="n"/>
      <c r="I1961" s="13" t="n"/>
      <c r="J1961" s="14" t="n"/>
      <c r="K1961" s="14" t="n"/>
      <c r="L1961" s="19">
        <f>IF($C1961="","",ROUND(IFERROR(VLOOKUP($C1961,账户期初,2,0),0)+SUMIFS($J$4:J1961,$C$4:C1961,$C1961)-SUMIFS($K$4:K1961,$C$4:C1961,$C1961),2))</f>
        <v/>
      </c>
      <c r="M1961" s="19">
        <f>IF($C1961="","",ROUND(SUM(基础资料!$B$4:$B$13)+SUM($J$4:J1961)-SUM($K$4:K1961),2))</f>
        <v/>
      </c>
      <c r="N1961" s="13" t="n"/>
      <c r="O1961" s="13" t="n"/>
      <c r="P1961" s="17">
        <f>IF($B1961="","",IF($F1961="※类别不在基础资料里","※费用类别不在基础资料里",IF(AND(N($J1961)=0,N($K1961)=0),"※这行没填金额",IF(AND(N($J1961)&gt;0,N($K1961)&gt;0),"※收入和支出不能同一行都填",IF(AND($D1961="收入",N($J1961)=0),"※收入行要填收入金额",IF(AND($D1961="支出",N($K1961)=0),"※支出行要填支出金额",IF(AND($C1961&lt;&gt;"",ISNA(MATCH($C1961,账户表,0))),"※账户不在基础资料里",IF(AND($G1961&lt;&gt;"",ISNA(MATCH($G1961,项目名表,0))),"※项目不在项目台账里",IF(AND(LEFT($F1961,3)="成本-",$G1961=""),"※成本类支出没填项目",IF(AND(LEFT($F1961,3)="成本-",$H1961&lt;&gt;"",N($K1961)&gt;0,COUNTIFS(采购单!$B:$B,$B1961,采购单!$C:$C,$H1961,采购单!$L:$L,$K1961)&gt;0),"※这笔可能和采购单重复了",""))))))))))</f>
        <v/>
      </c>
    </row>
    <row r="1962">
      <c r="A1962" s="17">
        <f>IF($B1962="","",ROW()-3)</f>
        <v/>
      </c>
      <c r="B1962" s="18" t="n"/>
      <c r="C1962" s="13" t="n"/>
      <c r="D1962" s="13" t="n"/>
      <c r="E1962" s="13" t="n"/>
      <c r="F1962" s="17">
        <f>IF($E1962="","",IFERROR(VLOOKUP($E1962,类别归属,2,0),"※类别不在基础资料里"))</f>
        <v/>
      </c>
      <c r="G1962" s="13" t="n"/>
      <c r="H1962" s="13" t="n"/>
      <c r="I1962" s="13" t="n"/>
      <c r="J1962" s="14" t="n"/>
      <c r="K1962" s="14" t="n"/>
      <c r="L1962" s="19">
        <f>IF($C1962="","",ROUND(IFERROR(VLOOKUP($C1962,账户期初,2,0),0)+SUMIFS($J$4:J1962,$C$4:C1962,$C1962)-SUMIFS($K$4:K1962,$C$4:C1962,$C1962),2))</f>
        <v/>
      </c>
      <c r="M1962" s="19">
        <f>IF($C1962="","",ROUND(SUM(基础资料!$B$4:$B$13)+SUM($J$4:J1962)-SUM($K$4:K1962),2))</f>
        <v/>
      </c>
      <c r="N1962" s="13" t="n"/>
      <c r="O1962" s="13" t="n"/>
      <c r="P1962" s="17">
        <f>IF($B1962="","",IF($F1962="※类别不在基础资料里","※费用类别不在基础资料里",IF(AND(N($J1962)=0,N($K1962)=0),"※这行没填金额",IF(AND(N($J1962)&gt;0,N($K1962)&gt;0),"※收入和支出不能同一行都填",IF(AND($D1962="收入",N($J1962)=0),"※收入行要填收入金额",IF(AND($D1962="支出",N($K1962)=0),"※支出行要填支出金额",IF(AND($C1962&lt;&gt;"",ISNA(MATCH($C1962,账户表,0))),"※账户不在基础资料里",IF(AND($G1962&lt;&gt;"",ISNA(MATCH($G1962,项目名表,0))),"※项目不在项目台账里",IF(AND(LEFT($F1962,3)="成本-",$G1962=""),"※成本类支出没填项目",IF(AND(LEFT($F1962,3)="成本-",$H1962&lt;&gt;"",N($K1962)&gt;0,COUNTIFS(采购单!$B:$B,$B1962,采购单!$C:$C,$H1962,采购单!$L:$L,$K1962)&gt;0),"※这笔可能和采购单重复了",""))))))))))</f>
        <v/>
      </c>
    </row>
    <row r="1963">
      <c r="A1963" s="17">
        <f>IF($B1963="","",ROW()-3)</f>
        <v/>
      </c>
      <c r="B1963" s="18" t="n"/>
      <c r="C1963" s="13" t="n"/>
      <c r="D1963" s="13" t="n"/>
      <c r="E1963" s="13" t="n"/>
      <c r="F1963" s="17">
        <f>IF($E1963="","",IFERROR(VLOOKUP($E1963,类别归属,2,0),"※类别不在基础资料里"))</f>
        <v/>
      </c>
      <c r="G1963" s="13" t="n"/>
      <c r="H1963" s="13" t="n"/>
      <c r="I1963" s="13" t="n"/>
      <c r="J1963" s="14" t="n"/>
      <c r="K1963" s="14" t="n"/>
      <c r="L1963" s="19">
        <f>IF($C1963="","",ROUND(IFERROR(VLOOKUP($C1963,账户期初,2,0),0)+SUMIFS($J$4:J1963,$C$4:C1963,$C1963)-SUMIFS($K$4:K1963,$C$4:C1963,$C1963),2))</f>
        <v/>
      </c>
      <c r="M1963" s="19">
        <f>IF($C1963="","",ROUND(SUM(基础资料!$B$4:$B$13)+SUM($J$4:J1963)-SUM($K$4:K1963),2))</f>
        <v/>
      </c>
      <c r="N1963" s="13" t="n"/>
      <c r="O1963" s="13" t="n"/>
      <c r="P1963" s="17">
        <f>IF($B1963="","",IF($F1963="※类别不在基础资料里","※费用类别不在基础资料里",IF(AND(N($J1963)=0,N($K1963)=0),"※这行没填金额",IF(AND(N($J1963)&gt;0,N($K1963)&gt;0),"※收入和支出不能同一行都填",IF(AND($D1963="收入",N($J1963)=0),"※收入行要填收入金额",IF(AND($D1963="支出",N($K1963)=0),"※支出行要填支出金额",IF(AND($C1963&lt;&gt;"",ISNA(MATCH($C1963,账户表,0))),"※账户不在基础资料里",IF(AND($G1963&lt;&gt;"",ISNA(MATCH($G1963,项目名表,0))),"※项目不在项目台账里",IF(AND(LEFT($F1963,3)="成本-",$G1963=""),"※成本类支出没填项目",IF(AND(LEFT($F1963,3)="成本-",$H1963&lt;&gt;"",N($K1963)&gt;0,COUNTIFS(采购单!$B:$B,$B1963,采购单!$C:$C,$H1963,采购单!$L:$L,$K1963)&gt;0),"※这笔可能和采购单重复了",""))))))))))</f>
        <v/>
      </c>
    </row>
    <row r="1964">
      <c r="A1964" s="17">
        <f>IF($B1964="","",ROW()-3)</f>
        <v/>
      </c>
      <c r="B1964" s="18" t="n"/>
      <c r="C1964" s="13" t="n"/>
      <c r="D1964" s="13" t="n"/>
      <c r="E1964" s="13" t="n"/>
      <c r="F1964" s="17">
        <f>IF($E1964="","",IFERROR(VLOOKUP($E1964,类别归属,2,0),"※类别不在基础资料里"))</f>
        <v/>
      </c>
      <c r="G1964" s="13" t="n"/>
      <c r="H1964" s="13" t="n"/>
      <c r="I1964" s="13" t="n"/>
      <c r="J1964" s="14" t="n"/>
      <c r="K1964" s="14" t="n"/>
      <c r="L1964" s="19">
        <f>IF($C1964="","",ROUND(IFERROR(VLOOKUP($C1964,账户期初,2,0),0)+SUMIFS($J$4:J1964,$C$4:C1964,$C1964)-SUMIFS($K$4:K1964,$C$4:C1964,$C1964),2))</f>
        <v/>
      </c>
      <c r="M1964" s="19">
        <f>IF($C1964="","",ROUND(SUM(基础资料!$B$4:$B$13)+SUM($J$4:J1964)-SUM($K$4:K1964),2))</f>
        <v/>
      </c>
      <c r="N1964" s="13" t="n"/>
      <c r="O1964" s="13" t="n"/>
      <c r="P1964" s="17">
        <f>IF($B1964="","",IF($F1964="※类别不在基础资料里","※费用类别不在基础资料里",IF(AND(N($J1964)=0,N($K1964)=0),"※这行没填金额",IF(AND(N($J1964)&gt;0,N($K1964)&gt;0),"※收入和支出不能同一行都填",IF(AND($D1964="收入",N($J1964)=0),"※收入行要填收入金额",IF(AND($D1964="支出",N($K1964)=0),"※支出行要填支出金额",IF(AND($C1964&lt;&gt;"",ISNA(MATCH($C1964,账户表,0))),"※账户不在基础资料里",IF(AND($G1964&lt;&gt;"",ISNA(MATCH($G1964,项目名表,0))),"※项目不在项目台账里",IF(AND(LEFT($F1964,3)="成本-",$G1964=""),"※成本类支出没填项目",IF(AND(LEFT($F1964,3)="成本-",$H1964&lt;&gt;"",N($K1964)&gt;0,COUNTIFS(采购单!$B:$B,$B1964,采购单!$C:$C,$H1964,采购单!$L:$L,$K1964)&gt;0),"※这笔可能和采购单重复了",""))))))))))</f>
        <v/>
      </c>
    </row>
    <row r="1965">
      <c r="A1965" s="17">
        <f>IF($B1965="","",ROW()-3)</f>
        <v/>
      </c>
      <c r="B1965" s="18" t="n"/>
      <c r="C1965" s="13" t="n"/>
      <c r="D1965" s="13" t="n"/>
      <c r="E1965" s="13" t="n"/>
      <c r="F1965" s="17">
        <f>IF($E1965="","",IFERROR(VLOOKUP($E1965,类别归属,2,0),"※类别不在基础资料里"))</f>
        <v/>
      </c>
      <c r="G1965" s="13" t="n"/>
      <c r="H1965" s="13" t="n"/>
      <c r="I1965" s="13" t="n"/>
      <c r="J1965" s="14" t="n"/>
      <c r="K1965" s="14" t="n"/>
      <c r="L1965" s="19">
        <f>IF($C1965="","",ROUND(IFERROR(VLOOKUP($C1965,账户期初,2,0),0)+SUMIFS($J$4:J1965,$C$4:C1965,$C1965)-SUMIFS($K$4:K1965,$C$4:C1965,$C1965),2))</f>
        <v/>
      </c>
      <c r="M1965" s="19">
        <f>IF($C1965="","",ROUND(SUM(基础资料!$B$4:$B$13)+SUM($J$4:J1965)-SUM($K$4:K1965),2))</f>
        <v/>
      </c>
      <c r="N1965" s="13" t="n"/>
      <c r="O1965" s="13" t="n"/>
      <c r="P1965" s="17">
        <f>IF($B1965="","",IF($F1965="※类别不在基础资料里","※费用类别不在基础资料里",IF(AND(N($J1965)=0,N($K1965)=0),"※这行没填金额",IF(AND(N($J1965)&gt;0,N($K1965)&gt;0),"※收入和支出不能同一行都填",IF(AND($D1965="收入",N($J1965)=0),"※收入行要填收入金额",IF(AND($D1965="支出",N($K1965)=0),"※支出行要填支出金额",IF(AND($C1965&lt;&gt;"",ISNA(MATCH($C1965,账户表,0))),"※账户不在基础资料里",IF(AND($G1965&lt;&gt;"",ISNA(MATCH($G1965,项目名表,0))),"※项目不在项目台账里",IF(AND(LEFT($F1965,3)="成本-",$G1965=""),"※成本类支出没填项目",IF(AND(LEFT($F1965,3)="成本-",$H1965&lt;&gt;"",N($K1965)&gt;0,COUNTIFS(采购单!$B:$B,$B1965,采购单!$C:$C,$H1965,采购单!$L:$L,$K1965)&gt;0),"※这笔可能和采购单重复了",""))))))))))</f>
        <v/>
      </c>
    </row>
    <row r="1966">
      <c r="A1966" s="17">
        <f>IF($B1966="","",ROW()-3)</f>
        <v/>
      </c>
      <c r="B1966" s="18" t="n"/>
      <c r="C1966" s="13" t="n"/>
      <c r="D1966" s="13" t="n"/>
      <c r="E1966" s="13" t="n"/>
      <c r="F1966" s="17">
        <f>IF($E1966="","",IFERROR(VLOOKUP($E1966,类别归属,2,0),"※类别不在基础资料里"))</f>
        <v/>
      </c>
      <c r="G1966" s="13" t="n"/>
      <c r="H1966" s="13" t="n"/>
      <c r="I1966" s="13" t="n"/>
      <c r="J1966" s="14" t="n"/>
      <c r="K1966" s="14" t="n"/>
      <c r="L1966" s="19">
        <f>IF($C1966="","",ROUND(IFERROR(VLOOKUP($C1966,账户期初,2,0),0)+SUMIFS($J$4:J1966,$C$4:C1966,$C1966)-SUMIFS($K$4:K1966,$C$4:C1966,$C1966),2))</f>
        <v/>
      </c>
      <c r="M1966" s="19">
        <f>IF($C1966="","",ROUND(SUM(基础资料!$B$4:$B$13)+SUM($J$4:J1966)-SUM($K$4:K1966),2))</f>
        <v/>
      </c>
      <c r="N1966" s="13" t="n"/>
      <c r="O1966" s="13" t="n"/>
      <c r="P1966" s="17">
        <f>IF($B1966="","",IF($F1966="※类别不在基础资料里","※费用类别不在基础资料里",IF(AND(N($J1966)=0,N($K1966)=0),"※这行没填金额",IF(AND(N($J1966)&gt;0,N($K1966)&gt;0),"※收入和支出不能同一行都填",IF(AND($D1966="收入",N($J1966)=0),"※收入行要填收入金额",IF(AND($D1966="支出",N($K1966)=0),"※支出行要填支出金额",IF(AND($C1966&lt;&gt;"",ISNA(MATCH($C1966,账户表,0))),"※账户不在基础资料里",IF(AND($G1966&lt;&gt;"",ISNA(MATCH($G1966,项目名表,0))),"※项目不在项目台账里",IF(AND(LEFT($F1966,3)="成本-",$G1966=""),"※成本类支出没填项目",IF(AND(LEFT($F1966,3)="成本-",$H1966&lt;&gt;"",N($K1966)&gt;0,COUNTIFS(采购单!$B:$B,$B1966,采购单!$C:$C,$H1966,采购单!$L:$L,$K1966)&gt;0),"※这笔可能和采购单重复了",""))))))))))</f>
        <v/>
      </c>
    </row>
    <row r="1967">
      <c r="A1967" s="17">
        <f>IF($B1967="","",ROW()-3)</f>
        <v/>
      </c>
      <c r="B1967" s="18" t="n"/>
      <c r="C1967" s="13" t="n"/>
      <c r="D1967" s="13" t="n"/>
      <c r="E1967" s="13" t="n"/>
      <c r="F1967" s="17">
        <f>IF($E1967="","",IFERROR(VLOOKUP($E1967,类别归属,2,0),"※类别不在基础资料里"))</f>
        <v/>
      </c>
      <c r="G1967" s="13" t="n"/>
      <c r="H1967" s="13" t="n"/>
      <c r="I1967" s="13" t="n"/>
      <c r="J1967" s="14" t="n"/>
      <c r="K1967" s="14" t="n"/>
      <c r="L1967" s="19">
        <f>IF($C1967="","",ROUND(IFERROR(VLOOKUP($C1967,账户期初,2,0),0)+SUMIFS($J$4:J1967,$C$4:C1967,$C1967)-SUMIFS($K$4:K1967,$C$4:C1967,$C1967),2))</f>
        <v/>
      </c>
      <c r="M1967" s="19">
        <f>IF($C1967="","",ROUND(SUM(基础资料!$B$4:$B$13)+SUM($J$4:J1967)-SUM($K$4:K1967),2))</f>
        <v/>
      </c>
      <c r="N1967" s="13" t="n"/>
      <c r="O1967" s="13" t="n"/>
      <c r="P1967" s="17">
        <f>IF($B1967="","",IF($F1967="※类别不在基础资料里","※费用类别不在基础资料里",IF(AND(N($J1967)=0,N($K1967)=0),"※这行没填金额",IF(AND(N($J1967)&gt;0,N($K1967)&gt;0),"※收入和支出不能同一行都填",IF(AND($D1967="收入",N($J1967)=0),"※收入行要填收入金额",IF(AND($D1967="支出",N($K1967)=0),"※支出行要填支出金额",IF(AND($C1967&lt;&gt;"",ISNA(MATCH($C1967,账户表,0))),"※账户不在基础资料里",IF(AND($G1967&lt;&gt;"",ISNA(MATCH($G1967,项目名表,0))),"※项目不在项目台账里",IF(AND(LEFT($F1967,3)="成本-",$G1967=""),"※成本类支出没填项目",IF(AND(LEFT($F1967,3)="成本-",$H1967&lt;&gt;"",N($K1967)&gt;0,COUNTIFS(采购单!$B:$B,$B1967,采购单!$C:$C,$H1967,采购单!$L:$L,$K1967)&gt;0),"※这笔可能和采购单重复了",""))))))))))</f>
        <v/>
      </c>
    </row>
    <row r="1968">
      <c r="A1968" s="17">
        <f>IF($B1968="","",ROW()-3)</f>
        <v/>
      </c>
      <c r="B1968" s="18" t="n"/>
      <c r="C1968" s="13" t="n"/>
      <c r="D1968" s="13" t="n"/>
      <c r="E1968" s="13" t="n"/>
      <c r="F1968" s="17">
        <f>IF($E1968="","",IFERROR(VLOOKUP($E1968,类别归属,2,0),"※类别不在基础资料里"))</f>
        <v/>
      </c>
      <c r="G1968" s="13" t="n"/>
      <c r="H1968" s="13" t="n"/>
      <c r="I1968" s="13" t="n"/>
      <c r="J1968" s="14" t="n"/>
      <c r="K1968" s="14" t="n"/>
      <c r="L1968" s="19">
        <f>IF($C1968="","",ROUND(IFERROR(VLOOKUP($C1968,账户期初,2,0),0)+SUMIFS($J$4:J1968,$C$4:C1968,$C1968)-SUMIFS($K$4:K1968,$C$4:C1968,$C1968),2))</f>
        <v/>
      </c>
      <c r="M1968" s="19">
        <f>IF($C1968="","",ROUND(SUM(基础资料!$B$4:$B$13)+SUM($J$4:J1968)-SUM($K$4:K1968),2))</f>
        <v/>
      </c>
      <c r="N1968" s="13" t="n"/>
      <c r="O1968" s="13" t="n"/>
      <c r="P1968" s="17">
        <f>IF($B1968="","",IF($F1968="※类别不在基础资料里","※费用类别不在基础资料里",IF(AND(N($J1968)=0,N($K1968)=0),"※这行没填金额",IF(AND(N($J1968)&gt;0,N($K1968)&gt;0),"※收入和支出不能同一行都填",IF(AND($D1968="收入",N($J1968)=0),"※收入行要填收入金额",IF(AND($D1968="支出",N($K1968)=0),"※支出行要填支出金额",IF(AND($C1968&lt;&gt;"",ISNA(MATCH($C1968,账户表,0))),"※账户不在基础资料里",IF(AND($G1968&lt;&gt;"",ISNA(MATCH($G1968,项目名表,0))),"※项目不在项目台账里",IF(AND(LEFT($F1968,3)="成本-",$G1968=""),"※成本类支出没填项目",IF(AND(LEFT($F1968,3)="成本-",$H1968&lt;&gt;"",N($K1968)&gt;0,COUNTIFS(采购单!$B:$B,$B1968,采购单!$C:$C,$H1968,采购单!$L:$L,$K1968)&gt;0),"※这笔可能和采购单重复了",""))))))))))</f>
        <v/>
      </c>
    </row>
    <row r="1969">
      <c r="A1969" s="17">
        <f>IF($B1969="","",ROW()-3)</f>
        <v/>
      </c>
      <c r="B1969" s="18" t="n"/>
      <c r="C1969" s="13" t="n"/>
      <c r="D1969" s="13" t="n"/>
      <c r="E1969" s="13" t="n"/>
      <c r="F1969" s="17">
        <f>IF($E1969="","",IFERROR(VLOOKUP($E1969,类别归属,2,0),"※类别不在基础资料里"))</f>
        <v/>
      </c>
      <c r="G1969" s="13" t="n"/>
      <c r="H1969" s="13" t="n"/>
      <c r="I1969" s="13" t="n"/>
      <c r="J1969" s="14" t="n"/>
      <c r="K1969" s="14" t="n"/>
      <c r="L1969" s="19">
        <f>IF($C1969="","",ROUND(IFERROR(VLOOKUP($C1969,账户期初,2,0),0)+SUMIFS($J$4:J1969,$C$4:C1969,$C1969)-SUMIFS($K$4:K1969,$C$4:C1969,$C1969),2))</f>
        <v/>
      </c>
      <c r="M1969" s="19">
        <f>IF($C1969="","",ROUND(SUM(基础资料!$B$4:$B$13)+SUM($J$4:J1969)-SUM($K$4:K1969),2))</f>
        <v/>
      </c>
      <c r="N1969" s="13" t="n"/>
      <c r="O1969" s="13" t="n"/>
      <c r="P1969" s="17">
        <f>IF($B1969="","",IF($F1969="※类别不在基础资料里","※费用类别不在基础资料里",IF(AND(N($J1969)=0,N($K1969)=0),"※这行没填金额",IF(AND(N($J1969)&gt;0,N($K1969)&gt;0),"※收入和支出不能同一行都填",IF(AND($D1969="收入",N($J1969)=0),"※收入行要填收入金额",IF(AND($D1969="支出",N($K1969)=0),"※支出行要填支出金额",IF(AND($C1969&lt;&gt;"",ISNA(MATCH($C1969,账户表,0))),"※账户不在基础资料里",IF(AND($G1969&lt;&gt;"",ISNA(MATCH($G1969,项目名表,0))),"※项目不在项目台账里",IF(AND(LEFT($F1969,3)="成本-",$G1969=""),"※成本类支出没填项目",IF(AND(LEFT($F1969,3)="成本-",$H1969&lt;&gt;"",N($K1969)&gt;0,COUNTIFS(采购单!$B:$B,$B1969,采购单!$C:$C,$H1969,采购单!$L:$L,$K1969)&gt;0),"※这笔可能和采购单重复了",""))))))))))</f>
        <v/>
      </c>
    </row>
    <row r="1970">
      <c r="A1970" s="17">
        <f>IF($B1970="","",ROW()-3)</f>
        <v/>
      </c>
      <c r="B1970" s="18" t="n"/>
      <c r="C1970" s="13" t="n"/>
      <c r="D1970" s="13" t="n"/>
      <c r="E1970" s="13" t="n"/>
      <c r="F1970" s="17">
        <f>IF($E1970="","",IFERROR(VLOOKUP($E1970,类别归属,2,0),"※类别不在基础资料里"))</f>
        <v/>
      </c>
      <c r="G1970" s="13" t="n"/>
      <c r="H1970" s="13" t="n"/>
      <c r="I1970" s="13" t="n"/>
      <c r="J1970" s="14" t="n"/>
      <c r="K1970" s="14" t="n"/>
      <c r="L1970" s="19">
        <f>IF($C1970="","",ROUND(IFERROR(VLOOKUP($C1970,账户期初,2,0),0)+SUMIFS($J$4:J1970,$C$4:C1970,$C1970)-SUMIFS($K$4:K1970,$C$4:C1970,$C1970),2))</f>
        <v/>
      </c>
      <c r="M1970" s="19">
        <f>IF($C1970="","",ROUND(SUM(基础资料!$B$4:$B$13)+SUM($J$4:J1970)-SUM($K$4:K1970),2))</f>
        <v/>
      </c>
      <c r="N1970" s="13" t="n"/>
      <c r="O1970" s="13" t="n"/>
      <c r="P1970" s="17">
        <f>IF($B1970="","",IF($F1970="※类别不在基础资料里","※费用类别不在基础资料里",IF(AND(N($J1970)=0,N($K1970)=0),"※这行没填金额",IF(AND(N($J1970)&gt;0,N($K1970)&gt;0),"※收入和支出不能同一行都填",IF(AND($D1970="收入",N($J1970)=0),"※收入行要填收入金额",IF(AND($D1970="支出",N($K1970)=0),"※支出行要填支出金额",IF(AND($C1970&lt;&gt;"",ISNA(MATCH($C1970,账户表,0))),"※账户不在基础资料里",IF(AND($G1970&lt;&gt;"",ISNA(MATCH($G1970,项目名表,0))),"※项目不在项目台账里",IF(AND(LEFT($F1970,3)="成本-",$G1970=""),"※成本类支出没填项目",IF(AND(LEFT($F1970,3)="成本-",$H1970&lt;&gt;"",N($K1970)&gt;0,COUNTIFS(采购单!$B:$B,$B1970,采购单!$C:$C,$H1970,采购单!$L:$L,$K1970)&gt;0),"※这笔可能和采购单重复了",""))))))))))</f>
        <v/>
      </c>
    </row>
    <row r="1971">
      <c r="A1971" s="17">
        <f>IF($B1971="","",ROW()-3)</f>
        <v/>
      </c>
      <c r="B1971" s="18" t="n"/>
      <c r="C1971" s="13" t="n"/>
      <c r="D1971" s="13" t="n"/>
      <c r="E1971" s="13" t="n"/>
      <c r="F1971" s="17">
        <f>IF($E1971="","",IFERROR(VLOOKUP($E1971,类别归属,2,0),"※类别不在基础资料里"))</f>
        <v/>
      </c>
      <c r="G1971" s="13" t="n"/>
      <c r="H1971" s="13" t="n"/>
      <c r="I1971" s="13" t="n"/>
      <c r="J1971" s="14" t="n"/>
      <c r="K1971" s="14" t="n"/>
      <c r="L1971" s="19">
        <f>IF($C1971="","",ROUND(IFERROR(VLOOKUP($C1971,账户期初,2,0),0)+SUMIFS($J$4:J1971,$C$4:C1971,$C1971)-SUMIFS($K$4:K1971,$C$4:C1971,$C1971),2))</f>
        <v/>
      </c>
      <c r="M1971" s="19">
        <f>IF($C1971="","",ROUND(SUM(基础资料!$B$4:$B$13)+SUM($J$4:J1971)-SUM($K$4:K1971),2))</f>
        <v/>
      </c>
      <c r="N1971" s="13" t="n"/>
      <c r="O1971" s="13" t="n"/>
      <c r="P1971" s="17">
        <f>IF($B1971="","",IF($F1971="※类别不在基础资料里","※费用类别不在基础资料里",IF(AND(N($J1971)=0,N($K1971)=0),"※这行没填金额",IF(AND(N($J1971)&gt;0,N($K1971)&gt;0),"※收入和支出不能同一行都填",IF(AND($D1971="收入",N($J1971)=0),"※收入行要填收入金额",IF(AND($D1971="支出",N($K1971)=0),"※支出行要填支出金额",IF(AND($C1971&lt;&gt;"",ISNA(MATCH($C1971,账户表,0))),"※账户不在基础资料里",IF(AND($G1971&lt;&gt;"",ISNA(MATCH($G1971,项目名表,0))),"※项目不在项目台账里",IF(AND(LEFT($F1971,3)="成本-",$G1971=""),"※成本类支出没填项目",IF(AND(LEFT($F1971,3)="成本-",$H1971&lt;&gt;"",N($K1971)&gt;0,COUNTIFS(采购单!$B:$B,$B1971,采购单!$C:$C,$H1971,采购单!$L:$L,$K1971)&gt;0),"※这笔可能和采购单重复了",""))))))))))</f>
        <v/>
      </c>
    </row>
    <row r="1972">
      <c r="A1972" s="17">
        <f>IF($B1972="","",ROW()-3)</f>
        <v/>
      </c>
      <c r="B1972" s="18" t="n"/>
      <c r="C1972" s="13" t="n"/>
      <c r="D1972" s="13" t="n"/>
      <c r="E1972" s="13" t="n"/>
      <c r="F1972" s="17">
        <f>IF($E1972="","",IFERROR(VLOOKUP($E1972,类别归属,2,0),"※类别不在基础资料里"))</f>
        <v/>
      </c>
      <c r="G1972" s="13" t="n"/>
      <c r="H1972" s="13" t="n"/>
      <c r="I1972" s="13" t="n"/>
      <c r="J1972" s="14" t="n"/>
      <c r="K1972" s="14" t="n"/>
      <c r="L1972" s="19">
        <f>IF($C1972="","",ROUND(IFERROR(VLOOKUP($C1972,账户期初,2,0),0)+SUMIFS($J$4:J1972,$C$4:C1972,$C1972)-SUMIFS($K$4:K1972,$C$4:C1972,$C1972),2))</f>
        <v/>
      </c>
      <c r="M1972" s="19">
        <f>IF($C1972="","",ROUND(SUM(基础资料!$B$4:$B$13)+SUM($J$4:J1972)-SUM($K$4:K1972),2))</f>
        <v/>
      </c>
      <c r="N1972" s="13" t="n"/>
      <c r="O1972" s="13" t="n"/>
      <c r="P1972" s="17">
        <f>IF($B1972="","",IF($F1972="※类别不在基础资料里","※费用类别不在基础资料里",IF(AND(N($J1972)=0,N($K1972)=0),"※这行没填金额",IF(AND(N($J1972)&gt;0,N($K1972)&gt;0),"※收入和支出不能同一行都填",IF(AND($D1972="收入",N($J1972)=0),"※收入行要填收入金额",IF(AND($D1972="支出",N($K1972)=0),"※支出行要填支出金额",IF(AND($C1972&lt;&gt;"",ISNA(MATCH($C1972,账户表,0))),"※账户不在基础资料里",IF(AND($G1972&lt;&gt;"",ISNA(MATCH($G1972,项目名表,0))),"※项目不在项目台账里",IF(AND(LEFT($F1972,3)="成本-",$G1972=""),"※成本类支出没填项目",IF(AND(LEFT($F1972,3)="成本-",$H1972&lt;&gt;"",N($K1972)&gt;0,COUNTIFS(采购单!$B:$B,$B1972,采购单!$C:$C,$H1972,采购单!$L:$L,$K1972)&gt;0),"※这笔可能和采购单重复了",""))))))))))</f>
        <v/>
      </c>
    </row>
    <row r="1973">
      <c r="A1973" s="17">
        <f>IF($B1973="","",ROW()-3)</f>
        <v/>
      </c>
      <c r="B1973" s="18" t="n"/>
      <c r="C1973" s="13" t="n"/>
      <c r="D1973" s="13" t="n"/>
      <c r="E1973" s="13" t="n"/>
      <c r="F1973" s="17">
        <f>IF($E1973="","",IFERROR(VLOOKUP($E1973,类别归属,2,0),"※类别不在基础资料里"))</f>
        <v/>
      </c>
      <c r="G1973" s="13" t="n"/>
      <c r="H1973" s="13" t="n"/>
      <c r="I1973" s="13" t="n"/>
      <c r="J1973" s="14" t="n"/>
      <c r="K1973" s="14" t="n"/>
      <c r="L1973" s="19">
        <f>IF($C1973="","",ROUND(IFERROR(VLOOKUP($C1973,账户期初,2,0),0)+SUMIFS($J$4:J1973,$C$4:C1973,$C1973)-SUMIFS($K$4:K1973,$C$4:C1973,$C1973),2))</f>
        <v/>
      </c>
      <c r="M1973" s="19">
        <f>IF($C1973="","",ROUND(SUM(基础资料!$B$4:$B$13)+SUM($J$4:J1973)-SUM($K$4:K1973),2))</f>
        <v/>
      </c>
      <c r="N1973" s="13" t="n"/>
      <c r="O1973" s="13" t="n"/>
      <c r="P1973" s="17">
        <f>IF($B1973="","",IF($F1973="※类别不在基础资料里","※费用类别不在基础资料里",IF(AND(N($J1973)=0,N($K1973)=0),"※这行没填金额",IF(AND(N($J1973)&gt;0,N($K1973)&gt;0),"※收入和支出不能同一行都填",IF(AND($D1973="收入",N($J1973)=0),"※收入行要填收入金额",IF(AND($D1973="支出",N($K1973)=0),"※支出行要填支出金额",IF(AND($C1973&lt;&gt;"",ISNA(MATCH($C1973,账户表,0))),"※账户不在基础资料里",IF(AND($G1973&lt;&gt;"",ISNA(MATCH($G1973,项目名表,0))),"※项目不在项目台账里",IF(AND(LEFT($F1973,3)="成本-",$G1973=""),"※成本类支出没填项目",IF(AND(LEFT($F1973,3)="成本-",$H1973&lt;&gt;"",N($K1973)&gt;0,COUNTIFS(采购单!$B:$B,$B1973,采购单!$C:$C,$H1973,采购单!$L:$L,$K1973)&gt;0),"※这笔可能和采购单重复了",""))))))))))</f>
        <v/>
      </c>
    </row>
    <row r="1974">
      <c r="A1974" s="17">
        <f>IF($B1974="","",ROW()-3)</f>
        <v/>
      </c>
      <c r="B1974" s="18" t="n"/>
      <c r="C1974" s="13" t="n"/>
      <c r="D1974" s="13" t="n"/>
      <c r="E1974" s="13" t="n"/>
      <c r="F1974" s="17">
        <f>IF($E1974="","",IFERROR(VLOOKUP($E1974,类别归属,2,0),"※类别不在基础资料里"))</f>
        <v/>
      </c>
      <c r="G1974" s="13" t="n"/>
      <c r="H1974" s="13" t="n"/>
      <c r="I1974" s="13" t="n"/>
      <c r="J1974" s="14" t="n"/>
      <c r="K1974" s="14" t="n"/>
      <c r="L1974" s="19">
        <f>IF($C1974="","",ROUND(IFERROR(VLOOKUP($C1974,账户期初,2,0),0)+SUMIFS($J$4:J1974,$C$4:C1974,$C1974)-SUMIFS($K$4:K1974,$C$4:C1974,$C1974),2))</f>
        <v/>
      </c>
      <c r="M1974" s="19">
        <f>IF($C1974="","",ROUND(SUM(基础资料!$B$4:$B$13)+SUM($J$4:J1974)-SUM($K$4:K1974),2))</f>
        <v/>
      </c>
      <c r="N1974" s="13" t="n"/>
      <c r="O1974" s="13" t="n"/>
      <c r="P1974" s="17">
        <f>IF($B1974="","",IF($F1974="※类别不在基础资料里","※费用类别不在基础资料里",IF(AND(N($J1974)=0,N($K1974)=0),"※这行没填金额",IF(AND(N($J1974)&gt;0,N($K1974)&gt;0),"※收入和支出不能同一行都填",IF(AND($D1974="收入",N($J1974)=0),"※收入行要填收入金额",IF(AND($D1974="支出",N($K1974)=0),"※支出行要填支出金额",IF(AND($C1974&lt;&gt;"",ISNA(MATCH($C1974,账户表,0))),"※账户不在基础资料里",IF(AND($G1974&lt;&gt;"",ISNA(MATCH($G1974,项目名表,0))),"※项目不在项目台账里",IF(AND(LEFT($F1974,3)="成本-",$G1974=""),"※成本类支出没填项目",IF(AND(LEFT($F1974,3)="成本-",$H1974&lt;&gt;"",N($K1974)&gt;0,COUNTIFS(采购单!$B:$B,$B1974,采购单!$C:$C,$H1974,采购单!$L:$L,$K1974)&gt;0),"※这笔可能和采购单重复了",""))))))))))</f>
        <v/>
      </c>
    </row>
    <row r="1975">
      <c r="A1975" s="17">
        <f>IF($B1975="","",ROW()-3)</f>
        <v/>
      </c>
      <c r="B1975" s="18" t="n"/>
      <c r="C1975" s="13" t="n"/>
      <c r="D1975" s="13" t="n"/>
      <c r="E1975" s="13" t="n"/>
      <c r="F1975" s="17">
        <f>IF($E1975="","",IFERROR(VLOOKUP($E1975,类别归属,2,0),"※类别不在基础资料里"))</f>
        <v/>
      </c>
      <c r="G1975" s="13" t="n"/>
      <c r="H1975" s="13" t="n"/>
      <c r="I1975" s="13" t="n"/>
      <c r="J1975" s="14" t="n"/>
      <c r="K1975" s="14" t="n"/>
      <c r="L1975" s="19">
        <f>IF($C1975="","",ROUND(IFERROR(VLOOKUP($C1975,账户期初,2,0),0)+SUMIFS($J$4:J1975,$C$4:C1975,$C1975)-SUMIFS($K$4:K1975,$C$4:C1975,$C1975),2))</f>
        <v/>
      </c>
      <c r="M1975" s="19">
        <f>IF($C1975="","",ROUND(SUM(基础资料!$B$4:$B$13)+SUM($J$4:J1975)-SUM($K$4:K1975),2))</f>
        <v/>
      </c>
      <c r="N1975" s="13" t="n"/>
      <c r="O1975" s="13" t="n"/>
      <c r="P1975" s="17">
        <f>IF($B1975="","",IF($F1975="※类别不在基础资料里","※费用类别不在基础资料里",IF(AND(N($J1975)=0,N($K1975)=0),"※这行没填金额",IF(AND(N($J1975)&gt;0,N($K1975)&gt;0),"※收入和支出不能同一行都填",IF(AND($D1975="收入",N($J1975)=0),"※收入行要填收入金额",IF(AND($D1975="支出",N($K1975)=0),"※支出行要填支出金额",IF(AND($C1975&lt;&gt;"",ISNA(MATCH($C1975,账户表,0))),"※账户不在基础资料里",IF(AND($G1975&lt;&gt;"",ISNA(MATCH($G1975,项目名表,0))),"※项目不在项目台账里",IF(AND(LEFT($F1975,3)="成本-",$G1975=""),"※成本类支出没填项目",IF(AND(LEFT($F1975,3)="成本-",$H1975&lt;&gt;"",N($K1975)&gt;0,COUNTIFS(采购单!$B:$B,$B1975,采购单!$C:$C,$H1975,采购单!$L:$L,$K1975)&gt;0),"※这笔可能和采购单重复了",""))))))))))</f>
        <v/>
      </c>
    </row>
    <row r="1976">
      <c r="A1976" s="17">
        <f>IF($B1976="","",ROW()-3)</f>
        <v/>
      </c>
      <c r="B1976" s="18" t="n"/>
      <c r="C1976" s="13" t="n"/>
      <c r="D1976" s="13" t="n"/>
      <c r="E1976" s="13" t="n"/>
      <c r="F1976" s="17">
        <f>IF($E1976="","",IFERROR(VLOOKUP($E1976,类别归属,2,0),"※类别不在基础资料里"))</f>
        <v/>
      </c>
      <c r="G1976" s="13" t="n"/>
      <c r="H1976" s="13" t="n"/>
      <c r="I1976" s="13" t="n"/>
      <c r="J1976" s="14" t="n"/>
      <c r="K1976" s="14" t="n"/>
      <c r="L1976" s="19">
        <f>IF($C1976="","",ROUND(IFERROR(VLOOKUP($C1976,账户期初,2,0),0)+SUMIFS($J$4:J1976,$C$4:C1976,$C1976)-SUMIFS($K$4:K1976,$C$4:C1976,$C1976),2))</f>
        <v/>
      </c>
      <c r="M1976" s="19">
        <f>IF($C1976="","",ROUND(SUM(基础资料!$B$4:$B$13)+SUM($J$4:J1976)-SUM($K$4:K1976),2))</f>
        <v/>
      </c>
      <c r="N1976" s="13" t="n"/>
      <c r="O1976" s="13" t="n"/>
      <c r="P1976" s="17">
        <f>IF($B1976="","",IF($F1976="※类别不在基础资料里","※费用类别不在基础资料里",IF(AND(N($J1976)=0,N($K1976)=0),"※这行没填金额",IF(AND(N($J1976)&gt;0,N($K1976)&gt;0),"※收入和支出不能同一行都填",IF(AND($D1976="收入",N($J1976)=0),"※收入行要填收入金额",IF(AND($D1976="支出",N($K1976)=0),"※支出行要填支出金额",IF(AND($C1976&lt;&gt;"",ISNA(MATCH($C1976,账户表,0))),"※账户不在基础资料里",IF(AND($G1976&lt;&gt;"",ISNA(MATCH($G1976,项目名表,0))),"※项目不在项目台账里",IF(AND(LEFT($F1976,3)="成本-",$G1976=""),"※成本类支出没填项目",IF(AND(LEFT($F1976,3)="成本-",$H1976&lt;&gt;"",N($K1976)&gt;0,COUNTIFS(采购单!$B:$B,$B1976,采购单!$C:$C,$H1976,采购单!$L:$L,$K1976)&gt;0),"※这笔可能和采购单重复了",""))))))))))</f>
        <v/>
      </c>
    </row>
    <row r="1977">
      <c r="A1977" s="17">
        <f>IF($B1977="","",ROW()-3)</f>
        <v/>
      </c>
      <c r="B1977" s="18" t="n"/>
      <c r="C1977" s="13" t="n"/>
      <c r="D1977" s="13" t="n"/>
      <c r="E1977" s="13" t="n"/>
      <c r="F1977" s="17">
        <f>IF($E1977="","",IFERROR(VLOOKUP($E1977,类别归属,2,0),"※类别不在基础资料里"))</f>
        <v/>
      </c>
      <c r="G1977" s="13" t="n"/>
      <c r="H1977" s="13" t="n"/>
      <c r="I1977" s="13" t="n"/>
      <c r="J1977" s="14" t="n"/>
      <c r="K1977" s="14" t="n"/>
      <c r="L1977" s="19">
        <f>IF($C1977="","",ROUND(IFERROR(VLOOKUP($C1977,账户期初,2,0),0)+SUMIFS($J$4:J1977,$C$4:C1977,$C1977)-SUMIFS($K$4:K1977,$C$4:C1977,$C1977),2))</f>
        <v/>
      </c>
      <c r="M1977" s="19">
        <f>IF($C1977="","",ROUND(SUM(基础资料!$B$4:$B$13)+SUM($J$4:J1977)-SUM($K$4:K1977),2))</f>
        <v/>
      </c>
      <c r="N1977" s="13" t="n"/>
      <c r="O1977" s="13" t="n"/>
      <c r="P1977" s="17">
        <f>IF($B1977="","",IF($F1977="※类别不在基础资料里","※费用类别不在基础资料里",IF(AND(N($J1977)=0,N($K1977)=0),"※这行没填金额",IF(AND(N($J1977)&gt;0,N($K1977)&gt;0),"※收入和支出不能同一行都填",IF(AND($D1977="收入",N($J1977)=0),"※收入行要填收入金额",IF(AND($D1977="支出",N($K1977)=0),"※支出行要填支出金额",IF(AND($C1977&lt;&gt;"",ISNA(MATCH($C1977,账户表,0))),"※账户不在基础资料里",IF(AND($G1977&lt;&gt;"",ISNA(MATCH($G1977,项目名表,0))),"※项目不在项目台账里",IF(AND(LEFT($F1977,3)="成本-",$G1977=""),"※成本类支出没填项目",IF(AND(LEFT($F1977,3)="成本-",$H1977&lt;&gt;"",N($K1977)&gt;0,COUNTIFS(采购单!$B:$B,$B1977,采购单!$C:$C,$H1977,采购单!$L:$L,$K1977)&gt;0),"※这笔可能和采购单重复了",""))))))))))</f>
        <v/>
      </c>
    </row>
    <row r="1978">
      <c r="A1978" s="17">
        <f>IF($B1978="","",ROW()-3)</f>
        <v/>
      </c>
      <c r="B1978" s="18" t="n"/>
      <c r="C1978" s="13" t="n"/>
      <c r="D1978" s="13" t="n"/>
      <c r="E1978" s="13" t="n"/>
      <c r="F1978" s="17">
        <f>IF($E1978="","",IFERROR(VLOOKUP($E1978,类别归属,2,0),"※类别不在基础资料里"))</f>
        <v/>
      </c>
      <c r="G1978" s="13" t="n"/>
      <c r="H1978" s="13" t="n"/>
      <c r="I1978" s="13" t="n"/>
      <c r="J1978" s="14" t="n"/>
      <c r="K1978" s="14" t="n"/>
      <c r="L1978" s="19">
        <f>IF($C1978="","",ROUND(IFERROR(VLOOKUP($C1978,账户期初,2,0),0)+SUMIFS($J$4:J1978,$C$4:C1978,$C1978)-SUMIFS($K$4:K1978,$C$4:C1978,$C1978),2))</f>
        <v/>
      </c>
      <c r="M1978" s="19">
        <f>IF($C1978="","",ROUND(SUM(基础资料!$B$4:$B$13)+SUM($J$4:J1978)-SUM($K$4:K1978),2))</f>
        <v/>
      </c>
      <c r="N1978" s="13" t="n"/>
      <c r="O1978" s="13" t="n"/>
      <c r="P1978" s="17">
        <f>IF($B1978="","",IF($F1978="※类别不在基础资料里","※费用类别不在基础资料里",IF(AND(N($J1978)=0,N($K1978)=0),"※这行没填金额",IF(AND(N($J1978)&gt;0,N($K1978)&gt;0),"※收入和支出不能同一行都填",IF(AND($D1978="收入",N($J1978)=0),"※收入行要填收入金额",IF(AND($D1978="支出",N($K1978)=0),"※支出行要填支出金额",IF(AND($C1978&lt;&gt;"",ISNA(MATCH($C1978,账户表,0))),"※账户不在基础资料里",IF(AND($G1978&lt;&gt;"",ISNA(MATCH($G1978,项目名表,0))),"※项目不在项目台账里",IF(AND(LEFT($F1978,3)="成本-",$G1978=""),"※成本类支出没填项目",IF(AND(LEFT($F1978,3)="成本-",$H1978&lt;&gt;"",N($K1978)&gt;0,COUNTIFS(采购单!$B:$B,$B1978,采购单!$C:$C,$H1978,采购单!$L:$L,$K1978)&gt;0),"※这笔可能和采购单重复了",""))))))))))</f>
        <v/>
      </c>
    </row>
    <row r="1979">
      <c r="A1979" s="17">
        <f>IF($B1979="","",ROW()-3)</f>
        <v/>
      </c>
      <c r="B1979" s="18" t="n"/>
      <c r="C1979" s="13" t="n"/>
      <c r="D1979" s="13" t="n"/>
      <c r="E1979" s="13" t="n"/>
      <c r="F1979" s="17">
        <f>IF($E1979="","",IFERROR(VLOOKUP($E1979,类别归属,2,0),"※类别不在基础资料里"))</f>
        <v/>
      </c>
      <c r="G1979" s="13" t="n"/>
      <c r="H1979" s="13" t="n"/>
      <c r="I1979" s="13" t="n"/>
      <c r="J1979" s="14" t="n"/>
      <c r="K1979" s="14" t="n"/>
      <c r="L1979" s="19">
        <f>IF($C1979="","",ROUND(IFERROR(VLOOKUP($C1979,账户期初,2,0),0)+SUMIFS($J$4:J1979,$C$4:C1979,$C1979)-SUMIFS($K$4:K1979,$C$4:C1979,$C1979),2))</f>
        <v/>
      </c>
      <c r="M1979" s="19">
        <f>IF($C1979="","",ROUND(SUM(基础资料!$B$4:$B$13)+SUM($J$4:J1979)-SUM($K$4:K1979),2))</f>
        <v/>
      </c>
      <c r="N1979" s="13" t="n"/>
      <c r="O1979" s="13" t="n"/>
      <c r="P1979" s="17">
        <f>IF($B1979="","",IF($F1979="※类别不在基础资料里","※费用类别不在基础资料里",IF(AND(N($J1979)=0,N($K1979)=0),"※这行没填金额",IF(AND(N($J1979)&gt;0,N($K1979)&gt;0),"※收入和支出不能同一行都填",IF(AND($D1979="收入",N($J1979)=0),"※收入行要填收入金额",IF(AND($D1979="支出",N($K1979)=0),"※支出行要填支出金额",IF(AND($C1979&lt;&gt;"",ISNA(MATCH($C1979,账户表,0))),"※账户不在基础资料里",IF(AND($G1979&lt;&gt;"",ISNA(MATCH($G1979,项目名表,0))),"※项目不在项目台账里",IF(AND(LEFT($F1979,3)="成本-",$G1979=""),"※成本类支出没填项目",IF(AND(LEFT($F1979,3)="成本-",$H1979&lt;&gt;"",N($K1979)&gt;0,COUNTIFS(采购单!$B:$B,$B1979,采购单!$C:$C,$H1979,采购单!$L:$L,$K1979)&gt;0),"※这笔可能和采购单重复了",""))))))))))</f>
        <v/>
      </c>
    </row>
    <row r="1980">
      <c r="A1980" s="17">
        <f>IF($B1980="","",ROW()-3)</f>
        <v/>
      </c>
      <c r="B1980" s="18" t="n"/>
      <c r="C1980" s="13" t="n"/>
      <c r="D1980" s="13" t="n"/>
      <c r="E1980" s="13" t="n"/>
      <c r="F1980" s="17">
        <f>IF($E1980="","",IFERROR(VLOOKUP($E1980,类别归属,2,0),"※类别不在基础资料里"))</f>
        <v/>
      </c>
      <c r="G1980" s="13" t="n"/>
      <c r="H1980" s="13" t="n"/>
      <c r="I1980" s="13" t="n"/>
      <c r="J1980" s="14" t="n"/>
      <c r="K1980" s="14" t="n"/>
      <c r="L1980" s="19">
        <f>IF($C1980="","",ROUND(IFERROR(VLOOKUP($C1980,账户期初,2,0),0)+SUMIFS($J$4:J1980,$C$4:C1980,$C1980)-SUMIFS($K$4:K1980,$C$4:C1980,$C1980),2))</f>
        <v/>
      </c>
      <c r="M1980" s="19">
        <f>IF($C1980="","",ROUND(SUM(基础资料!$B$4:$B$13)+SUM($J$4:J1980)-SUM($K$4:K1980),2))</f>
        <v/>
      </c>
      <c r="N1980" s="13" t="n"/>
      <c r="O1980" s="13" t="n"/>
      <c r="P1980" s="17">
        <f>IF($B1980="","",IF($F1980="※类别不在基础资料里","※费用类别不在基础资料里",IF(AND(N($J1980)=0,N($K1980)=0),"※这行没填金额",IF(AND(N($J1980)&gt;0,N($K1980)&gt;0),"※收入和支出不能同一行都填",IF(AND($D1980="收入",N($J1980)=0),"※收入行要填收入金额",IF(AND($D1980="支出",N($K1980)=0),"※支出行要填支出金额",IF(AND($C1980&lt;&gt;"",ISNA(MATCH($C1980,账户表,0))),"※账户不在基础资料里",IF(AND($G1980&lt;&gt;"",ISNA(MATCH($G1980,项目名表,0))),"※项目不在项目台账里",IF(AND(LEFT($F1980,3)="成本-",$G1980=""),"※成本类支出没填项目",IF(AND(LEFT($F1980,3)="成本-",$H1980&lt;&gt;"",N($K1980)&gt;0,COUNTIFS(采购单!$B:$B,$B1980,采购单!$C:$C,$H1980,采购单!$L:$L,$K1980)&gt;0),"※这笔可能和采购单重复了",""))))))))))</f>
        <v/>
      </c>
    </row>
    <row r="1981">
      <c r="A1981" s="17">
        <f>IF($B1981="","",ROW()-3)</f>
        <v/>
      </c>
      <c r="B1981" s="18" t="n"/>
      <c r="C1981" s="13" t="n"/>
      <c r="D1981" s="13" t="n"/>
      <c r="E1981" s="13" t="n"/>
      <c r="F1981" s="17">
        <f>IF($E1981="","",IFERROR(VLOOKUP($E1981,类别归属,2,0),"※类别不在基础资料里"))</f>
        <v/>
      </c>
      <c r="G1981" s="13" t="n"/>
      <c r="H1981" s="13" t="n"/>
      <c r="I1981" s="13" t="n"/>
      <c r="J1981" s="14" t="n"/>
      <c r="K1981" s="14" t="n"/>
      <c r="L1981" s="19">
        <f>IF($C1981="","",ROUND(IFERROR(VLOOKUP($C1981,账户期初,2,0),0)+SUMIFS($J$4:J1981,$C$4:C1981,$C1981)-SUMIFS($K$4:K1981,$C$4:C1981,$C1981),2))</f>
        <v/>
      </c>
      <c r="M1981" s="19">
        <f>IF($C1981="","",ROUND(SUM(基础资料!$B$4:$B$13)+SUM($J$4:J1981)-SUM($K$4:K1981),2))</f>
        <v/>
      </c>
      <c r="N1981" s="13" t="n"/>
      <c r="O1981" s="13" t="n"/>
      <c r="P1981" s="17">
        <f>IF($B1981="","",IF($F1981="※类别不在基础资料里","※费用类别不在基础资料里",IF(AND(N($J1981)=0,N($K1981)=0),"※这行没填金额",IF(AND(N($J1981)&gt;0,N($K1981)&gt;0),"※收入和支出不能同一行都填",IF(AND($D1981="收入",N($J1981)=0),"※收入行要填收入金额",IF(AND($D1981="支出",N($K1981)=0),"※支出行要填支出金额",IF(AND($C1981&lt;&gt;"",ISNA(MATCH($C1981,账户表,0))),"※账户不在基础资料里",IF(AND($G1981&lt;&gt;"",ISNA(MATCH($G1981,项目名表,0))),"※项目不在项目台账里",IF(AND(LEFT($F1981,3)="成本-",$G1981=""),"※成本类支出没填项目",IF(AND(LEFT($F1981,3)="成本-",$H1981&lt;&gt;"",N($K1981)&gt;0,COUNTIFS(采购单!$B:$B,$B1981,采购单!$C:$C,$H1981,采购单!$L:$L,$K1981)&gt;0),"※这笔可能和采购单重复了",""))))))))))</f>
        <v/>
      </c>
    </row>
    <row r="1982">
      <c r="A1982" s="17">
        <f>IF($B1982="","",ROW()-3)</f>
        <v/>
      </c>
      <c r="B1982" s="18" t="n"/>
      <c r="C1982" s="13" t="n"/>
      <c r="D1982" s="13" t="n"/>
      <c r="E1982" s="13" t="n"/>
      <c r="F1982" s="17">
        <f>IF($E1982="","",IFERROR(VLOOKUP($E1982,类别归属,2,0),"※类别不在基础资料里"))</f>
        <v/>
      </c>
      <c r="G1982" s="13" t="n"/>
      <c r="H1982" s="13" t="n"/>
      <c r="I1982" s="13" t="n"/>
      <c r="J1982" s="14" t="n"/>
      <c r="K1982" s="14" t="n"/>
      <c r="L1982" s="19">
        <f>IF($C1982="","",ROUND(IFERROR(VLOOKUP($C1982,账户期初,2,0),0)+SUMIFS($J$4:J1982,$C$4:C1982,$C1982)-SUMIFS($K$4:K1982,$C$4:C1982,$C1982),2))</f>
        <v/>
      </c>
      <c r="M1982" s="19">
        <f>IF($C1982="","",ROUND(SUM(基础资料!$B$4:$B$13)+SUM($J$4:J1982)-SUM($K$4:K1982),2))</f>
        <v/>
      </c>
      <c r="N1982" s="13" t="n"/>
      <c r="O1982" s="13" t="n"/>
      <c r="P1982" s="17">
        <f>IF($B1982="","",IF($F1982="※类别不在基础资料里","※费用类别不在基础资料里",IF(AND(N($J1982)=0,N($K1982)=0),"※这行没填金额",IF(AND(N($J1982)&gt;0,N($K1982)&gt;0),"※收入和支出不能同一行都填",IF(AND($D1982="收入",N($J1982)=0),"※收入行要填收入金额",IF(AND($D1982="支出",N($K1982)=0),"※支出行要填支出金额",IF(AND($C1982&lt;&gt;"",ISNA(MATCH($C1982,账户表,0))),"※账户不在基础资料里",IF(AND($G1982&lt;&gt;"",ISNA(MATCH($G1982,项目名表,0))),"※项目不在项目台账里",IF(AND(LEFT($F1982,3)="成本-",$G1982=""),"※成本类支出没填项目",IF(AND(LEFT($F1982,3)="成本-",$H1982&lt;&gt;"",N($K1982)&gt;0,COUNTIFS(采购单!$B:$B,$B1982,采购单!$C:$C,$H1982,采购单!$L:$L,$K1982)&gt;0),"※这笔可能和采购单重复了",""))))))))))</f>
        <v/>
      </c>
    </row>
    <row r="1983">
      <c r="A1983" s="17">
        <f>IF($B1983="","",ROW()-3)</f>
        <v/>
      </c>
      <c r="B1983" s="18" t="n"/>
      <c r="C1983" s="13" t="n"/>
      <c r="D1983" s="13" t="n"/>
      <c r="E1983" s="13" t="n"/>
      <c r="F1983" s="17">
        <f>IF($E1983="","",IFERROR(VLOOKUP($E1983,类别归属,2,0),"※类别不在基础资料里"))</f>
        <v/>
      </c>
      <c r="G1983" s="13" t="n"/>
      <c r="H1983" s="13" t="n"/>
      <c r="I1983" s="13" t="n"/>
      <c r="J1983" s="14" t="n"/>
      <c r="K1983" s="14" t="n"/>
      <c r="L1983" s="19">
        <f>IF($C1983="","",ROUND(IFERROR(VLOOKUP($C1983,账户期初,2,0),0)+SUMIFS($J$4:J1983,$C$4:C1983,$C1983)-SUMIFS($K$4:K1983,$C$4:C1983,$C1983),2))</f>
        <v/>
      </c>
      <c r="M1983" s="19">
        <f>IF($C1983="","",ROUND(SUM(基础资料!$B$4:$B$13)+SUM($J$4:J1983)-SUM($K$4:K1983),2))</f>
        <v/>
      </c>
      <c r="N1983" s="13" t="n"/>
      <c r="O1983" s="13" t="n"/>
      <c r="P1983" s="17">
        <f>IF($B1983="","",IF($F1983="※类别不在基础资料里","※费用类别不在基础资料里",IF(AND(N($J1983)=0,N($K1983)=0),"※这行没填金额",IF(AND(N($J1983)&gt;0,N($K1983)&gt;0),"※收入和支出不能同一行都填",IF(AND($D1983="收入",N($J1983)=0),"※收入行要填收入金额",IF(AND($D1983="支出",N($K1983)=0),"※支出行要填支出金额",IF(AND($C1983&lt;&gt;"",ISNA(MATCH($C1983,账户表,0))),"※账户不在基础资料里",IF(AND($G1983&lt;&gt;"",ISNA(MATCH($G1983,项目名表,0))),"※项目不在项目台账里",IF(AND(LEFT($F1983,3)="成本-",$G1983=""),"※成本类支出没填项目",IF(AND(LEFT($F1983,3)="成本-",$H1983&lt;&gt;"",N($K1983)&gt;0,COUNTIFS(采购单!$B:$B,$B1983,采购单!$C:$C,$H1983,采购单!$L:$L,$K1983)&gt;0),"※这笔可能和采购单重复了",""))))))))))</f>
        <v/>
      </c>
    </row>
    <row r="1984">
      <c r="A1984" s="17">
        <f>IF($B1984="","",ROW()-3)</f>
        <v/>
      </c>
      <c r="B1984" s="18" t="n"/>
      <c r="C1984" s="13" t="n"/>
      <c r="D1984" s="13" t="n"/>
      <c r="E1984" s="13" t="n"/>
      <c r="F1984" s="17">
        <f>IF($E1984="","",IFERROR(VLOOKUP($E1984,类别归属,2,0),"※类别不在基础资料里"))</f>
        <v/>
      </c>
      <c r="G1984" s="13" t="n"/>
      <c r="H1984" s="13" t="n"/>
      <c r="I1984" s="13" t="n"/>
      <c r="J1984" s="14" t="n"/>
      <c r="K1984" s="14" t="n"/>
      <c r="L1984" s="19">
        <f>IF($C1984="","",ROUND(IFERROR(VLOOKUP($C1984,账户期初,2,0),0)+SUMIFS($J$4:J1984,$C$4:C1984,$C1984)-SUMIFS($K$4:K1984,$C$4:C1984,$C1984),2))</f>
        <v/>
      </c>
      <c r="M1984" s="19">
        <f>IF($C1984="","",ROUND(SUM(基础资料!$B$4:$B$13)+SUM($J$4:J1984)-SUM($K$4:K1984),2))</f>
        <v/>
      </c>
      <c r="N1984" s="13" t="n"/>
      <c r="O1984" s="13" t="n"/>
      <c r="P1984" s="17">
        <f>IF($B1984="","",IF($F1984="※类别不在基础资料里","※费用类别不在基础资料里",IF(AND(N($J1984)=0,N($K1984)=0),"※这行没填金额",IF(AND(N($J1984)&gt;0,N($K1984)&gt;0),"※收入和支出不能同一行都填",IF(AND($D1984="收入",N($J1984)=0),"※收入行要填收入金额",IF(AND($D1984="支出",N($K1984)=0),"※支出行要填支出金额",IF(AND($C1984&lt;&gt;"",ISNA(MATCH($C1984,账户表,0))),"※账户不在基础资料里",IF(AND($G1984&lt;&gt;"",ISNA(MATCH($G1984,项目名表,0))),"※项目不在项目台账里",IF(AND(LEFT($F1984,3)="成本-",$G1984=""),"※成本类支出没填项目",IF(AND(LEFT($F1984,3)="成本-",$H1984&lt;&gt;"",N($K1984)&gt;0,COUNTIFS(采购单!$B:$B,$B1984,采购单!$C:$C,$H1984,采购单!$L:$L,$K1984)&gt;0),"※这笔可能和采购单重复了",""))))))))))</f>
        <v/>
      </c>
    </row>
    <row r="1985">
      <c r="A1985" s="17">
        <f>IF($B1985="","",ROW()-3)</f>
        <v/>
      </c>
      <c r="B1985" s="18" t="n"/>
      <c r="C1985" s="13" t="n"/>
      <c r="D1985" s="13" t="n"/>
      <c r="E1985" s="13" t="n"/>
      <c r="F1985" s="17">
        <f>IF($E1985="","",IFERROR(VLOOKUP($E1985,类别归属,2,0),"※类别不在基础资料里"))</f>
        <v/>
      </c>
      <c r="G1985" s="13" t="n"/>
      <c r="H1985" s="13" t="n"/>
      <c r="I1985" s="13" t="n"/>
      <c r="J1985" s="14" t="n"/>
      <c r="K1985" s="14" t="n"/>
      <c r="L1985" s="19">
        <f>IF($C1985="","",ROUND(IFERROR(VLOOKUP($C1985,账户期初,2,0),0)+SUMIFS($J$4:J1985,$C$4:C1985,$C1985)-SUMIFS($K$4:K1985,$C$4:C1985,$C1985),2))</f>
        <v/>
      </c>
      <c r="M1985" s="19">
        <f>IF($C1985="","",ROUND(SUM(基础资料!$B$4:$B$13)+SUM($J$4:J1985)-SUM($K$4:K1985),2))</f>
        <v/>
      </c>
      <c r="N1985" s="13" t="n"/>
      <c r="O1985" s="13" t="n"/>
      <c r="P1985" s="17">
        <f>IF($B1985="","",IF($F1985="※类别不在基础资料里","※费用类别不在基础资料里",IF(AND(N($J1985)=0,N($K1985)=0),"※这行没填金额",IF(AND(N($J1985)&gt;0,N($K1985)&gt;0),"※收入和支出不能同一行都填",IF(AND($D1985="收入",N($J1985)=0),"※收入行要填收入金额",IF(AND($D1985="支出",N($K1985)=0),"※支出行要填支出金额",IF(AND($C1985&lt;&gt;"",ISNA(MATCH($C1985,账户表,0))),"※账户不在基础资料里",IF(AND($G1985&lt;&gt;"",ISNA(MATCH($G1985,项目名表,0))),"※项目不在项目台账里",IF(AND(LEFT($F1985,3)="成本-",$G1985=""),"※成本类支出没填项目",IF(AND(LEFT($F1985,3)="成本-",$H1985&lt;&gt;"",N($K1985)&gt;0,COUNTIFS(采购单!$B:$B,$B1985,采购单!$C:$C,$H1985,采购单!$L:$L,$K1985)&gt;0),"※这笔可能和采购单重复了",""))))))))))</f>
        <v/>
      </c>
    </row>
    <row r="1986">
      <c r="A1986" s="17">
        <f>IF($B1986="","",ROW()-3)</f>
        <v/>
      </c>
      <c r="B1986" s="18" t="n"/>
      <c r="C1986" s="13" t="n"/>
      <c r="D1986" s="13" t="n"/>
      <c r="E1986" s="13" t="n"/>
      <c r="F1986" s="17">
        <f>IF($E1986="","",IFERROR(VLOOKUP($E1986,类别归属,2,0),"※类别不在基础资料里"))</f>
        <v/>
      </c>
      <c r="G1986" s="13" t="n"/>
      <c r="H1986" s="13" t="n"/>
      <c r="I1986" s="13" t="n"/>
      <c r="J1986" s="14" t="n"/>
      <c r="K1986" s="14" t="n"/>
      <c r="L1986" s="19">
        <f>IF($C1986="","",ROUND(IFERROR(VLOOKUP($C1986,账户期初,2,0),0)+SUMIFS($J$4:J1986,$C$4:C1986,$C1986)-SUMIFS($K$4:K1986,$C$4:C1986,$C1986),2))</f>
        <v/>
      </c>
      <c r="M1986" s="19">
        <f>IF($C1986="","",ROUND(SUM(基础资料!$B$4:$B$13)+SUM($J$4:J1986)-SUM($K$4:K1986),2))</f>
        <v/>
      </c>
      <c r="N1986" s="13" t="n"/>
      <c r="O1986" s="13" t="n"/>
      <c r="P1986" s="17">
        <f>IF($B1986="","",IF($F1986="※类别不在基础资料里","※费用类别不在基础资料里",IF(AND(N($J1986)=0,N($K1986)=0),"※这行没填金额",IF(AND(N($J1986)&gt;0,N($K1986)&gt;0),"※收入和支出不能同一行都填",IF(AND($D1986="收入",N($J1986)=0),"※收入行要填收入金额",IF(AND($D1986="支出",N($K1986)=0),"※支出行要填支出金额",IF(AND($C1986&lt;&gt;"",ISNA(MATCH($C1986,账户表,0))),"※账户不在基础资料里",IF(AND($G1986&lt;&gt;"",ISNA(MATCH($G1986,项目名表,0))),"※项目不在项目台账里",IF(AND(LEFT($F1986,3)="成本-",$G1986=""),"※成本类支出没填项目",IF(AND(LEFT($F1986,3)="成本-",$H1986&lt;&gt;"",N($K1986)&gt;0,COUNTIFS(采购单!$B:$B,$B1986,采购单!$C:$C,$H1986,采购单!$L:$L,$K1986)&gt;0),"※这笔可能和采购单重复了",""))))))))))</f>
        <v/>
      </c>
    </row>
    <row r="1987">
      <c r="A1987" s="17">
        <f>IF($B1987="","",ROW()-3)</f>
        <v/>
      </c>
      <c r="B1987" s="18" t="n"/>
      <c r="C1987" s="13" t="n"/>
      <c r="D1987" s="13" t="n"/>
      <c r="E1987" s="13" t="n"/>
      <c r="F1987" s="17">
        <f>IF($E1987="","",IFERROR(VLOOKUP($E1987,类别归属,2,0),"※类别不在基础资料里"))</f>
        <v/>
      </c>
      <c r="G1987" s="13" t="n"/>
      <c r="H1987" s="13" t="n"/>
      <c r="I1987" s="13" t="n"/>
      <c r="J1987" s="14" t="n"/>
      <c r="K1987" s="14" t="n"/>
      <c r="L1987" s="19">
        <f>IF($C1987="","",ROUND(IFERROR(VLOOKUP($C1987,账户期初,2,0),0)+SUMIFS($J$4:J1987,$C$4:C1987,$C1987)-SUMIFS($K$4:K1987,$C$4:C1987,$C1987),2))</f>
        <v/>
      </c>
      <c r="M1987" s="19">
        <f>IF($C1987="","",ROUND(SUM(基础资料!$B$4:$B$13)+SUM($J$4:J1987)-SUM($K$4:K1987),2))</f>
        <v/>
      </c>
      <c r="N1987" s="13" t="n"/>
      <c r="O1987" s="13" t="n"/>
      <c r="P1987" s="17">
        <f>IF($B1987="","",IF($F1987="※类别不在基础资料里","※费用类别不在基础资料里",IF(AND(N($J1987)=0,N($K1987)=0),"※这行没填金额",IF(AND(N($J1987)&gt;0,N($K1987)&gt;0),"※收入和支出不能同一行都填",IF(AND($D1987="收入",N($J1987)=0),"※收入行要填收入金额",IF(AND($D1987="支出",N($K1987)=0),"※支出行要填支出金额",IF(AND($C1987&lt;&gt;"",ISNA(MATCH($C1987,账户表,0))),"※账户不在基础资料里",IF(AND($G1987&lt;&gt;"",ISNA(MATCH($G1987,项目名表,0))),"※项目不在项目台账里",IF(AND(LEFT($F1987,3)="成本-",$G1987=""),"※成本类支出没填项目",IF(AND(LEFT($F1987,3)="成本-",$H1987&lt;&gt;"",N($K1987)&gt;0,COUNTIFS(采购单!$B:$B,$B1987,采购单!$C:$C,$H1987,采购单!$L:$L,$K1987)&gt;0),"※这笔可能和采购单重复了",""))))))))))</f>
        <v/>
      </c>
    </row>
    <row r="1988">
      <c r="A1988" s="17">
        <f>IF($B1988="","",ROW()-3)</f>
        <v/>
      </c>
      <c r="B1988" s="18" t="n"/>
      <c r="C1988" s="13" t="n"/>
      <c r="D1988" s="13" t="n"/>
      <c r="E1988" s="13" t="n"/>
      <c r="F1988" s="17">
        <f>IF($E1988="","",IFERROR(VLOOKUP($E1988,类别归属,2,0),"※类别不在基础资料里"))</f>
        <v/>
      </c>
      <c r="G1988" s="13" t="n"/>
      <c r="H1988" s="13" t="n"/>
      <c r="I1988" s="13" t="n"/>
      <c r="J1988" s="14" t="n"/>
      <c r="K1988" s="14" t="n"/>
      <c r="L1988" s="19">
        <f>IF($C1988="","",ROUND(IFERROR(VLOOKUP($C1988,账户期初,2,0),0)+SUMIFS($J$4:J1988,$C$4:C1988,$C1988)-SUMIFS($K$4:K1988,$C$4:C1988,$C1988),2))</f>
        <v/>
      </c>
      <c r="M1988" s="19">
        <f>IF($C1988="","",ROUND(SUM(基础资料!$B$4:$B$13)+SUM($J$4:J1988)-SUM($K$4:K1988),2))</f>
        <v/>
      </c>
      <c r="N1988" s="13" t="n"/>
      <c r="O1988" s="13" t="n"/>
      <c r="P1988" s="17">
        <f>IF($B1988="","",IF($F1988="※类别不在基础资料里","※费用类别不在基础资料里",IF(AND(N($J1988)=0,N($K1988)=0),"※这行没填金额",IF(AND(N($J1988)&gt;0,N($K1988)&gt;0),"※收入和支出不能同一行都填",IF(AND($D1988="收入",N($J1988)=0),"※收入行要填收入金额",IF(AND($D1988="支出",N($K1988)=0),"※支出行要填支出金额",IF(AND($C1988&lt;&gt;"",ISNA(MATCH($C1988,账户表,0))),"※账户不在基础资料里",IF(AND($G1988&lt;&gt;"",ISNA(MATCH($G1988,项目名表,0))),"※项目不在项目台账里",IF(AND(LEFT($F1988,3)="成本-",$G1988=""),"※成本类支出没填项目",IF(AND(LEFT($F1988,3)="成本-",$H1988&lt;&gt;"",N($K1988)&gt;0,COUNTIFS(采购单!$B:$B,$B1988,采购单!$C:$C,$H1988,采购单!$L:$L,$K1988)&gt;0),"※这笔可能和采购单重复了",""))))))))))</f>
        <v/>
      </c>
    </row>
    <row r="1989">
      <c r="A1989" s="17">
        <f>IF($B1989="","",ROW()-3)</f>
        <v/>
      </c>
      <c r="B1989" s="18" t="n"/>
      <c r="C1989" s="13" t="n"/>
      <c r="D1989" s="13" t="n"/>
      <c r="E1989" s="13" t="n"/>
      <c r="F1989" s="17">
        <f>IF($E1989="","",IFERROR(VLOOKUP($E1989,类别归属,2,0),"※类别不在基础资料里"))</f>
        <v/>
      </c>
      <c r="G1989" s="13" t="n"/>
      <c r="H1989" s="13" t="n"/>
      <c r="I1989" s="13" t="n"/>
      <c r="J1989" s="14" t="n"/>
      <c r="K1989" s="14" t="n"/>
      <c r="L1989" s="19">
        <f>IF($C1989="","",ROUND(IFERROR(VLOOKUP($C1989,账户期初,2,0),0)+SUMIFS($J$4:J1989,$C$4:C1989,$C1989)-SUMIFS($K$4:K1989,$C$4:C1989,$C1989),2))</f>
        <v/>
      </c>
      <c r="M1989" s="19">
        <f>IF($C1989="","",ROUND(SUM(基础资料!$B$4:$B$13)+SUM($J$4:J1989)-SUM($K$4:K1989),2))</f>
        <v/>
      </c>
      <c r="N1989" s="13" t="n"/>
      <c r="O1989" s="13" t="n"/>
      <c r="P1989" s="17">
        <f>IF($B1989="","",IF($F1989="※类别不在基础资料里","※费用类别不在基础资料里",IF(AND(N($J1989)=0,N($K1989)=0),"※这行没填金额",IF(AND(N($J1989)&gt;0,N($K1989)&gt;0),"※收入和支出不能同一行都填",IF(AND($D1989="收入",N($J1989)=0),"※收入行要填收入金额",IF(AND($D1989="支出",N($K1989)=0),"※支出行要填支出金额",IF(AND($C1989&lt;&gt;"",ISNA(MATCH($C1989,账户表,0))),"※账户不在基础资料里",IF(AND($G1989&lt;&gt;"",ISNA(MATCH($G1989,项目名表,0))),"※项目不在项目台账里",IF(AND(LEFT($F1989,3)="成本-",$G1989=""),"※成本类支出没填项目",IF(AND(LEFT($F1989,3)="成本-",$H1989&lt;&gt;"",N($K1989)&gt;0,COUNTIFS(采购单!$B:$B,$B1989,采购单!$C:$C,$H1989,采购单!$L:$L,$K1989)&gt;0),"※这笔可能和采购单重复了",""))))))))))</f>
        <v/>
      </c>
    </row>
    <row r="1990">
      <c r="A1990" s="17">
        <f>IF($B1990="","",ROW()-3)</f>
        <v/>
      </c>
      <c r="B1990" s="18" t="n"/>
      <c r="C1990" s="13" t="n"/>
      <c r="D1990" s="13" t="n"/>
      <c r="E1990" s="13" t="n"/>
      <c r="F1990" s="17">
        <f>IF($E1990="","",IFERROR(VLOOKUP($E1990,类别归属,2,0),"※类别不在基础资料里"))</f>
        <v/>
      </c>
      <c r="G1990" s="13" t="n"/>
      <c r="H1990" s="13" t="n"/>
      <c r="I1990" s="13" t="n"/>
      <c r="J1990" s="14" t="n"/>
      <c r="K1990" s="14" t="n"/>
      <c r="L1990" s="19">
        <f>IF($C1990="","",ROUND(IFERROR(VLOOKUP($C1990,账户期初,2,0),0)+SUMIFS($J$4:J1990,$C$4:C1990,$C1990)-SUMIFS($K$4:K1990,$C$4:C1990,$C1990),2))</f>
        <v/>
      </c>
      <c r="M1990" s="19">
        <f>IF($C1990="","",ROUND(SUM(基础资料!$B$4:$B$13)+SUM($J$4:J1990)-SUM($K$4:K1990),2))</f>
        <v/>
      </c>
      <c r="N1990" s="13" t="n"/>
      <c r="O1990" s="13" t="n"/>
      <c r="P1990" s="17">
        <f>IF($B1990="","",IF($F1990="※类别不在基础资料里","※费用类别不在基础资料里",IF(AND(N($J1990)=0,N($K1990)=0),"※这行没填金额",IF(AND(N($J1990)&gt;0,N($K1990)&gt;0),"※收入和支出不能同一行都填",IF(AND($D1990="收入",N($J1990)=0),"※收入行要填收入金额",IF(AND($D1990="支出",N($K1990)=0),"※支出行要填支出金额",IF(AND($C1990&lt;&gt;"",ISNA(MATCH($C1990,账户表,0))),"※账户不在基础资料里",IF(AND($G1990&lt;&gt;"",ISNA(MATCH($G1990,项目名表,0))),"※项目不在项目台账里",IF(AND(LEFT($F1990,3)="成本-",$G1990=""),"※成本类支出没填项目",IF(AND(LEFT($F1990,3)="成本-",$H1990&lt;&gt;"",N($K1990)&gt;0,COUNTIFS(采购单!$B:$B,$B1990,采购单!$C:$C,$H1990,采购单!$L:$L,$K1990)&gt;0),"※这笔可能和采购单重复了",""))))))))))</f>
        <v/>
      </c>
    </row>
    <row r="1991">
      <c r="A1991" s="17">
        <f>IF($B1991="","",ROW()-3)</f>
        <v/>
      </c>
      <c r="B1991" s="18" t="n"/>
      <c r="C1991" s="13" t="n"/>
      <c r="D1991" s="13" t="n"/>
      <c r="E1991" s="13" t="n"/>
      <c r="F1991" s="17">
        <f>IF($E1991="","",IFERROR(VLOOKUP($E1991,类别归属,2,0),"※类别不在基础资料里"))</f>
        <v/>
      </c>
      <c r="G1991" s="13" t="n"/>
      <c r="H1991" s="13" t="n"/>
      <c r="I1991" s="13" t="n"/>
      <c r="J1991" s="14" t="n"/>
      <c r="K1991" s="14" t="n"/>
      <c r="L1991" s="19">
        <f>IF($C1991="","",ROUND(IFERROR(VLOOKUP($C1991,账户期初,2,0),0)+SUMIFS($J$4:J1991,$C$4:C1991,$C1991)-SUMIFS($K$4:K1991,$C$4:C1991,$C1991),2))</f>
        <v/>
      </c>
      <c r="M1991" s="19">
        <f>IF($C1991="","",ROUND(SUM(基础资料!$B$4:$B$13)+SUM($J$4:J1991)-SUM($K$4:K1991),2))</f>
        <v/>
      </c>
      <c r="N1991" s="13" t="n"/>
      <c r="O1991" s="13" t="n"/>
      <c r="P1991" s="17">
        <f>IF($B1991="","",IF($F1991="※类别不在基础资料里","※费用类别不在基础资料里",IF(AND(N($J1991)=0,N($K1991)=0),"※这行没填金额",IF(AND(N($J1991)&gt;0,N($K1991)&gt;0),"※收入和支出不能同一行都填",IF(AND($D1991="收入",N($J1991)=0),"※收入行要填收入金额",IF(AND($D1991="支出",N($K1991)=0),"※支出行要填支出金额",IF(AND($C1991&lt;&gt;"",ISNA(MATCH($C1991,账户表,0))),"※账户不在基础资料里",IF(AND($G1991&lt;&gt;"",ISNA(MATCH($G1991,项目名表,0))),"※项目不在项目台账里",IF(AND(LEFT($F1991,3)="成本-",$G1991=""),"※成本类支出没填项目",IF(AND(LEFT($F1991,3)="成本-",$H1991&lt;&gt;"",N($K1991)&gt;0,COUNTIFS(采购单!$B:$B,$B1991,采购单!$C:$C,$H1991,采购单!$L:$L,$K1991)&gt;0),"※这笔可能和采购单重复了",""))))))))))</f>
        <v/>
      </c>
    </row>
    <row r="1992">
      <c r="A1992" s="17">
        <f>IF($B1992="","",ROW()-3)</f>
        <v/>
      </c>
      <c r="B1992" s="18" t="n"/>
      <c r="C1992" s="13" t="n"/>
      <c r="D1992" s="13" t="n"/>
      <c r="E1992" s="13" t="n"/>
      <c r="F1992" s="17">
        <f>IF($E1992="","",IFERROR(VLOOKUP($E1992,类别归属,2,0),"※类别不在基础资料里"))</f>
        <v/>
      </c>
      <c r="G1992" s="13" t="n"/>
      <c r="H1992" s="13" t="n"/>
      <c r="I1992" s="13" t="n"/>
      <c r="J1992" s="14" t="n"/>
      <c r="K1992" s="14" t="n"/>
      <c r="L1992" s="19">
        <f>IF($C1992="","",ROUND(IFERROR(VLOOKUP($C1992,账户期初,2,0),0)+SUMIFS($J$4:J1992,$C$4:C1992,$C1992)-SUMIFS($K$4:K1992,$C$4:C1992,$C1992),2))</f>
        <v/>
      </c>
      <c r="M1992" s="19">
        <f>IF($C1992="","",ROUND(SUM(基础资料!$B$4:$B$13)+SUM($J$4:J1992)-SUM($K$4:K1992),2))</f>
        <v/>
      </c>
      <c r="N1992" s="13" t="n"/>
      <c r="O1992" s="13" t="n"/>
      <c r="P1992" s="17">
        <f>IF($B1992="","",IF($F1992="※类别不在基础资料里","※费用类别不在基础资料里",IF(AND(N($J1992)=0,N($K1992)=0),"※这行没填金额",IF(AND(N($J1992)&gt;0,N($K1992)&gt;0),"※收入和支出不能同一行都填",IF(AND($D1992="收入",N($J1992)=0),"※收入行要填收入金额",IF(AND($D1992="支出",N($K1992)=0),"※支出行要填支出金额",IF(AND($C1992&lt;&gt;"",ISNA(MATCH($C1992,账户表,0))),"※账户不在基础资料里",IF(AND($G1992&lt;&gt;"",ISNA(MATCH($G1992,项目名表,0))),"※项目不在项目台账里",IF(AND(LEFT($F1992,3)="成本-",$G1992=""),"※成本类支出没填项目",IF(AND(LEFT($F1992,3)="成本-",$H1992&lt;&gt;"",N($K1992)&gt;0,COUNTIFS(采购单!$B:$B,$B1992,采购单!$C:$C,$H1992,采购单!$L:$L,$K1992)&gt;0),"※这笔可能和采购单重复了",""))))))))))</f>
        <v/>
      </c>
    </row>
    <row r="1993">
      <c r="A1993" s="17">
        <f>IF($B1993="","",ROW()-3)</f>
        <v/>
      </c>
      <c r="B1993" s="18" t="n"/>
      <c r="C1993" s="13" t="n"/>
      <c r="D1993" s="13" t="n"/>
      <c r="E1993" s="13" t="n"/>
      <c r="F1993" s="17">
        <f>IF($E1993="","",IFERROR(VLOOKUP($E1993,类别归属,2,0),"※类别不在基础资料里"))</f>
        <v/>
      </c>
      <c r="G1993" s="13" t="n"/>
      <c r="H1993" s="13" t="n"/>
      <c r="I1993" s="13" t="n"/>
      <c r="J1993" s="14" t="n"/>
      <c r="K1993" s="14" t="n"/>
      <c r="L1993" s="19">
        <f>IF($C1993="","",ROUND(IFERROR(VLOOKUP($C1993,账户期初,2,0),0)+SUMIFS($J$4:J1993,$C$4:C1993,$C1993)-SUMIFS($K$4:K1993,$C$4:C1993,$C1993),2))</f>
        <v/>
      </c>
      <c r="M1993" s="19">
        <f>IF($C1993="","",ROUND(SUM(基础资料!$B$4:$B$13)+SUM($J$4:J1993)-SUM($K$4:K1993),2))</f>
        <v/>
      </c>
      <c r="N1993" s="13" t="n"/>
      <c r="O1993" s="13" t="n"/>
      <c r="P1993" s="17">
        <f>IF($B1993="","",IF($F1993="※类别不在基础资料里","※费用类别不在基础资料里",IF(AND(N($J1993)=0,N($K1993)=0),"※这行没填金额",IF(AND(N($J1993)&gt;0,N($K1993)&gt;0),"※收入和支出不能同一行都填",IF(AND($D1993="收入",N($J1993)=0),"※收入行要填收入金额",IF(AND($D1993="支出",N($K1993)=0),"※支出行要填支出金额",IF(AND($C1993&lt;&gt;"",ISNA(MATCH($C1993,账户表,0))),"※账户不在基础资料里",IF(AND($G1993&lt;&gt;"",ISNA(MATCH($G1993,项目名表,0))),"※项目不在项目台账里",IF(AND(LEFT($F1993,3)="成本-",$G1993=""),"※成本类支出没填项目",IF(AND(LEFT($F1993,3)="成本-",$H1993&lt;&gt;"",N($K1993)&gt;0,COUNTIFS(采购单!$B:$B,$B1993,采购单!$C:$C,$H1993,采购单!$L:$L,$K1993)&gt;0),"※这笔可能和采购单重复了",""))))))))))</f>
        <v/>
      </c>
    </row>
    <row r="1994">
      <c r="A1994" s="17">
        <f>IF($B1994="","",ROW()-3)</f>
        <v/>
      </c>
      <c r="B1994" s="18" t="n"/>
      <c r="C1994" s="13" t="n"/>
      <c r="D1994" s="13" t="n"/>
      <c r="E1994" s="13" t="n"/>
      <c r="F1994" s="17">
        <f>IF($E1994="","",IFERROR(VLOOKUP($E1994,类别归属,2,0),"※类别不在基础资料里"))</f>
        <v/>
      </c>
      <c r="G1994" s="13" t="n"/>
      <c r="H1994" s="13" t="n"/>
      <c r="I1994" s="13" t="n"/>
      <c r="J1994" s="14" t="n"/>
      <c r="K1994" s="14" t="n"/>
      <c r="L1994" s="19">
        <f>IF($C1994="","",ROUND(IFERROR(VLOOKUP($C1994,账户期初,2,0),0)+SUMIFS($J$4:J1994,$C$4:C1994,$C1994)-SUMIFS($K$4:K1994,$C$4:C1994,$C1994),2))</f>
        <v/>
      </c>
      <c r="M1994" s="19">
        <f>IF($C1994="","",ROUND(SUM(基础资料!$B$4:$B$13)+SUM($J$4:J1994)-SUM($K$4:K1994),2))</f>
        <v/>
      </c>
      <c r="N1994" s="13" t="n"/>
      <c r="O1994" s="13" t="n"/>
      <c r="P1994" s="17">
        <f>IF($B1994="","",IF($F1994="※类别不在基础资料里","※费用类别不在基础资料里",IF(AND(N($J1994)=0,N($K1994)=0),"※这行没填金额",IF(AND(N($J1994)&gt;0,N($K1994)&gt;0),"※收入和支出不能同一行都填",IF(AND($D1994="收入",N($J1994)=0),"※收入行要填收入金额",IF(AND($D1994="支出",N($K1994)=0),"※支出行要填支出金额",IF(AND($C1994&lt;&gt;"",ISNA(MATCH($C1994,账户表,0))),"※账户不在基础资料里",IF(AND($G1994&lt;&gt;"",ISNA(MATCH($G1994,项目名表,0))),"※项目不在项目台账里",IF(AND(LEFT($F1994,3)="成本-",$G1994=""),"※成本类支出没填项目",IF(AND(LEFT($F1994,3)="成本-",$H1994&lt;&gt;"",N($K1994)&gt;0,COUNTIFS(采购单!$B:$B,$B1994,采购单!$C:$C,$H1994,采购单!$L:$L,$K1994)&gt;0),"※这笔可能和采购单重复了",""))))))))))</f>
        <v/>
      </c>
    </row>
    <row r="1995">
      <c r="A1995" s="17">
        <f>IF($B1995="","",ROW()-3)</f>
        <v/>
      </c>
      <c r="B1995" s="18" t="n"/>
      <c r="C1995" s="13" t="n"/>
      <c r="D1995" s="13" t="n"/>
      <c r="E1995" s="13" t="n"/>
      <c r="F1995" s="17">
        <f>IF($E1995="","",IFERROR(VLOOKUP($E1995,类别归属,2,0),"※类别不在基础资料里"))</f>
        <v/>
      </c>
      <c r="G1995" s="13" t="n"/>
      <c r="H1995" s="13" t="n"/>
      <c r="I1995" s="13" t="n"/>
      <c r="J1995" s="14" t="n"/>
      <c r="K1995" s="14" t="n"/>
      <c r="L1995" s="19">
        <f>IF($C1995="","",ROUND(IFERROR(VLOOKUP($C1995,账户期初,2,0),0)+SUMIFS($J$4:J1995,$C$4:C1995,$C1995)-SUMIFS($K$4:K1995,$C$4:C1995,$C1995),2))</f>
        <v/>
      </c>
      <c r="M1995" s="19">
        <f>IF($C1995="","",ROUND(SUM(基础资料!$B$4:$B$13)+SUM($J$4:J1995)-SUM($K$4:K1995),2))</f>
        <v/>
      </c>
      <c r="N1995" s="13" t="n"/>
      <c r="O1995" s="13" t="n"/>
      <c r="P1995" s="17">
        <f>IF($B1995="","",IF($F1995="※类别不在基础资料里","※费用类别不在基础资料里",IF(AND(N($J1995)=0,N($K1995)=0),"※这行没填金额",IF(AND(N($J1995)&gt;0,N($K1995)&gt;0),"※收入和支出不能同一行都填",IF(AND($D1995="收入",N($J1995)=0),"※收入行要填收入金额",IF(AND($D1995="支出",N($K1995)=0),"※支出行要填支出金额",IF(AND($C1995&lt;&gt;"",ISNA(MATCH($C1995,账户表,0))),"※账户不在基础资料里",IF(AND($G1995&lt;&gt;"",ISNA(MATCH($G1995,项目名表,0))),"※项目不在项目台账里",IF(AND(LEFT($F1995,3)="成本-",$G1995=""),"※成本类支出没填项目",IF(AND(LEFT($F1995,3)="成本-",$H1995&lt;&gt;"",N($K1995)&gt;0,COUNTIFS(采购单!$B:$B,$B1995,采购单!$C:$C,$H1995,采购单!$L:$L,$K1995)&gt;0),"※这笔可能和采购单重复了",""))))))))))</f>
        <v/>
      </c>
    </row>
    <row r="1996">
      <c r="A1996" s="17">
        <f>IF($B1996="","",ROW()-3)</f>
        <v/>
      </c>
      <c r="B1996" s="18" t="n"/>
      <c r="C1996" s="13" t="n"/>
      <c r="D1996" s="13" t="n"/>
      <c r="E1996" s="13" t="n"/>
      <c r="F1996" s="17">
        <f>IF($E1996="","",IFERROR(VLOOKUP($E1996,类别归属,2,0),"※类别不在基础资料里"))</f>
        <v/>
      </c>
      <c r="G1996" s="13" t="n"/>
      <c r="H1996" s="13" t="n"/>
      <c r="I1996" s="13" t="n"/>
      <c r="J1996" s="14" t="n"/>
      <c r="K1996" s="14" t="n"/>
      <c r="L1996" s="19">
        <f>IF($C1996="","",ROUND(IFERROR(VLOOKUP($C1996,账户期初,2,0),0)+SUMIFS($J$4:J1996,$C$4:C1996,$C1996)-SUMIFS($K$4:K1996,$C$4:C1996,$C1996),2))</f>
        <v/>
      </c>
      <c r="M1996" s="19">
        <f>IF($C1996="","",ROUND(SUM(基础资料!$B$4:$B$13)+SUM($J$4:J1996)-SUM($K$4:K1996),2))</f>
        <v/>
      </c>
      <c r="N1996" s="13" t="n"/>
      <c r="O1996" s="13" t="n"/>
      <c r="P1996" s="17">
        <f>IF($B1996="","",IF($F1996="※类别不在基础资料里","※费用类别不在基础资料里",IF(AND(N($J1996)=0,N($K1996)=0),"※这行没填金额",IF(AND(N($J1996)&gt;0,N($K1996)&gt;0),"※收入和支出不能同一行都填",IF(AND($D1996="收入",N($J1996)=0),"※收入行要填收入金额",IF(AND($D1996="支出",N($K1996)=0),"※支出行要填支出金额",IF(AND($C1996&lt;&gt;"",ISNA(MATCH($C1996,账户表,0))),"※账户不在基础资料里",IF(AND($G1996&lt;&gt;"",ISNA(MATCH($G1996,项目名表,0))),"※项目不在项目台账里",IF(AND(LEFT($F1996,3)="成本-",$G1996=""),"※成本类支出没填项目",IF(AND(LEFT($F1996,3)="成本-",$H1996&lt;&gt;"",N($K1996)&gt;0,COUNTIFS(采购单!$B:$B,$B1996,采购单!$C:$C,$H1996,采购单!$L:$L,$K1996)&gt;0),"※这笔可能和采购单重复了",""))))))))))</f>
        <v/>
      </c>
    </row>
    <row r="1997">
      <c r="A1997" s="17">
        <f>IF($B1997="","",ROW()-3)</f>
        <v/>
      </c>
      <c r="B1997" s="18" t="n"/>
      <c r="C1997" s="13" t="n"/>
      <c r="D1997" s="13" t="n"/>
      <c r="E1997" s="13" t="n"/>
      <c r="F1997" s="17">
        <f>IF($E1997="","",IFERROR(VLOOKUP($E1997,类别归属,2,0),"※类别不在基础资料里"))</f>
        <v/>
      </c>
      <c r="G1997" s="13" t="n"/>
      <c r="H1997" s="13" t="n"/>
      <c r="I1997" s="13" t="n"/>
      <c r="J1997" s="14" t="n"/>
      <c r="K1997" s="14" t="n"/>
      <c r="L1997" s="19">
        <f>IF($C1997="","",ROUND(IFERROR(VLOOKUP($C1997,账户期初,2,0),0)+SUMIFS($J$4:J1997,$C$4:C1997,$C1997)-SUMIFS($K$4:K1997,$C$4:C1997,$C1997),2))</f>
        <v/>
      </c>
      <c r="M1997" s="19">
        <f>IF($C1997="","",ROUND(SUM(基础资料!$B$4:$B$13)+SUM($J$4:J1997)-SUM($K$4:K1997),2))</f>
        <v/>
      </c>
      <c r="N1997" s="13" t="n"/>
      <c r="O1997" s="13" t="n"/>
      <c r="P1997" s="17">
        <f>IF($B1997="","",IF($F1997="※类别不在基础资料里","※费用类别不在基础资料里",IF(AND(N($J1997)=0,N($K1997)=0),"※这行没填金额",IF(AND(N($J1997)&gt;0,N($K1997)&gt;0),"※收入和支出不能同一行都填",IF(AND($D1997="收入",N($J1997)=0),"※收入行要填收入金额",IF(AND($D1997="支出",N($K1997)=0),"※支出行要填支出金额",IF(AND($C1997&lt;&gt;"",ISNA(MATCH($C1997,账户表,0))),"※账户不在基础资料里",IF(AND($G1997&lt;&gt;"",ISNA(MATCH($G1997,项目名表,0))),"※项目不在项目台账里",IF(AND(LEFT($F1997,3)="成本-",$G1997=""),"※成本类支出没填项目",IF(AND(LEFT($F1997,3)="成本-",$H1997&lt;&gt;"",N($K1997)&gt;0,COUNTIFS(采购单!$B:$B,$B1997,采购单!$C:$C,$H1997,采购单!$L:$L,$K1997)&gt;0),"※这笔可能和采购单重复了",""))))))))))</f>
        <v/>
      </c>
    </row>
    <row r="1998">
      <c r="A1998" s="17">
        <f>IF($B1998="","",ROW()-3)</f>
        <v/>
      </c>
      <c r="B1998" s="18" t="n"/>
      <c r="C1998" s="13" t="n"/>
      <c r="D1998" s="13" t="n"/>
      <c r="E1998" s="13" t="n"/>
      <c r="F1998" s="17">
        <f>IF($E1998="","",IFERROR(VLOOKUP($E1998,类别归属,2,0),"※类别不在基础资料里"))</f>
        <v/>
      </c>
      <c r="G1998" s="13" t="n"/>
      <c r="H1998" s="13" t="n"/>
      <c r="I1998" s="13" t="n"/>
      <c r="J1998" s="14" t="n"/>
      <c r="K1998" s="14" t="n"/>
      <c r="L1998" s="19">
        <f>IF($C1998="","",ROUND(IFERROR(VLOOKUP($C1998,账户期初,2,0),0)+SUMIFS($J$4:J1998,$C$4:C1998,$C1998)-SUMIFS($K$4:K1998,$C$4:C1998,$C1998),2))</f>
        <v/>
      </c>
      <c r="M1998" s="19">
        <f>IF($C1998="","",ROUND(SUM(基础资料!$B$4:$B$13)+SUM($J$4:J1998)-SUM($K$4:K1998),2))</f>
        <v/>
      </c>
      <c r="N1998" s="13" t="n"/>
      <c r="O1998" s="13" t="n"/>
      <c r="P1998" s="17">
        <f>IF($B1998="","",IF($F1998="※类别不在基础资料里","※费用类别不在基础资料里",IF(AND(N($J1998)=0,N($K1998)=0),"※这行没填金额",IF(AND(N($J1998)&gt;0,N($K1998)&gt;0),"※收入和支出不能同一行都填",IF(AND($D1998="收入",N($J1998)=0),"※收入行要填收入金额",IF(AND($D1998="支出",N($K1998)=0),"※支出行要填支出金额",IF(AND($C1998&lt;&gt;"",ISNA(MATCH($C1998,账户表,0))),"※账户不在基础资料里",IF(AND($G1998&lt;&gt;"",ISNA(MATCH($G1998,项目名表,0))),"※项目不在项目台账里",IF(AND(LEFT($F1998,3)="成本-",$G1998=""),"※成本类支出没填项目",IF(AND(LEFT($F1998,3)="成本-",$H1998&lt;&gt;"",N($K1998)&gt;0,COUNTIFS(采购单!$B:$B,$B1998,采购单!$C:$C,$H1998,采购单!$L:$L,$K1998)&gt;0),"※这笔可能和采购单重复了",""))))))))))</f>
        <v/>
      </c>
    </row>
    <row r="1999">
      <c r="A1999" s="17">
        <f>IF($B1999="","",ROW()-3)</f>
        <v/>
      </c>
      <c r="B1999" s="18" t="n"/>
      <c r="C1999" s="13" t="n"/>
      <c r="D1999" s="13" t="n"/>
      <c r="E1999" s="13" t="n"/>
      <c r="F1999" s="17">
        <f>IF($E1999="","",IFERROR(VLOOKUP($E1999,类别归属,2,0),"※类别不在基础资料里"))</f>
        <v/>
      </c>
      <c r="G1999" s="13" t="n"/>
      <c r="H1999" s="13" t="n"/>
      <c r="I1999" s="13" t="n"/>
      <c r="J1999" s="14" t="n"/>
      <c r="K1999" s="14" t="n"/>
      <c r="L1999" s="19">
        <f>IF($C1999="","",ROUND(IFERROR(VLOOKUP($C1999,账户期初,2,0),0)+SUMIFS($J$4:J1999,$C$4:C1999,$C1999)-SUMIFS($K$4:K1999,$C$4:C1999,$C1999),2))</f>
        <v/>
      </c>
      <c r="M1999" s="19">
        <f>IF($C1999="","",ROUND(SUM(基础资料!$B$4:$B$13)+SUM($J$4:J1999)-SUM($K$4:K1999),2))</f>
        <v/>
      </c>
      <c r="N1999" s="13" t="n"/>
      <c r="O1999" s="13" t="n"/>
      <c r="P1999" s="17">
        <f>IF($B1999="","",IF($F1999="※类别不在基础资料里","※费用类别不在基础资料里",IF(AND(N($J1999)=0,N($K1999)=0),"※这行没填金额",IF(AND(N($J1999)&gt;0,N($K1999)&gt;0),"※收入和支出不能同一行都填",IF(AND($D1999="收入",N($J1999)=0),"※收入行要填收入金额",IF(AND($D1999="支出",N($K1999)=0),"※支出行要填支出金额",IF(AND($C1999&lt;&gt;"",ISNA(MATCH($C1999,账户表,0))),"※账户不在基础资料里",IF(AND($G1999&lt;&gt;"",ISNA(MATCH($G1999,项目名表,0))),"※项目不在项目台账里",IF(AND(LEFT($F1999,3)="成本-",$G1999=""),"※成本类支出没填项目",IF(AND(LEFT($F1999,3)="成本-",$H1999&lt;&gt;"",N($K1999)&gt;0,COUNTIFS(采购单!$B:$B,$B1999,采购单!$C:$C,$H1999,采购单!$L:$L,$K1999)&gt;0),"※这笔可能和采购单重复了",""))))))))))</f>
        <v/>
      </c>
    </row>
    <row r="2000">
      <c r="A2000" s="17">
        <f>IF($B2000="","",ROW()-3)</f>
        <v/>
      </c>
      <c r="B2000" s="18" t="n"/>
      <c r="C2000" s="13" t="n"/>
      <c r="D2000" s="13" t="n"/>
      <c r="E2000" s="13" t="n"/>
      <c r="F2000" s="17">
        <f>IF($E2000="","",IFERROR(VLOOKUP($E2000,类别归属,2,0),"※类别不在基础资料里"))</f>
        <v/>
      </c>
      <c r="G2000" s="13" t="n"/>
      <c r="H2000" s="13" t="n"/>
      <c r="I2000" s="13" t="n"/>
      <c r="J2000" s="14" t="n"/>
      <c r="K2000" s="14" t="n"/>
      <c r="L2000" s="19">
        <f>IF($C2000="","",ROUND(IFERROR(VLOOKUP($C2000,账户期初,2,0),0)+SUMIFS($J$4:J2000,$C$4:C2000,$C2000)-SUMIFS($K$4:K2000,$C$4:C2000,$C2000),2))</f>
        <v/>
      </c>
      <c r="M2000" s="19">
        <f>IF($C2000="","",ROUND(SUM(基础资料!$B$4:$B$13)+SUM($J$4:J2000)-SUM($K$4:K2000),2))</f>
        <v/>
      </c>
      <c r="N2000" s="13" t="n"/>
      <c r="O2000" s="13" t="n"/>
      <c r="P2000" s="17">
        <f>IF($B2000="","",IF($F2000="※类别不在基础资料里","※费用类别不在基础资料里",IF(AND(N($J2000)=0,N($K2000)=0),"※这行没填金额",IF(AND(N($J2000)&gt;0,N($K2000)&gt;0),"※收入和支出不能同一行都填",IF(AND($D2000="收入",N($J2000)=0),"※收入行要填收入金额",IF(AND($D2000="支出",N($K2000)=0),"※支出行要填支出金额",IF(AND($C2000&lt;&gt;"",ISNA(MATCH($C2000,账户表,0))),"※账户不在基础资料里",IF(AND($G2000&lt;&gt;"",ISNA(MATCH($G2000,项目名表,0))),"※项目不在项目台账里",IF(AND(LEFT($F2000,3)="成本-",$G2000=""),"※成本类支出没填项目",IF(AND(LEFT($F2000,3)="成本-",$H2000&lt;&gt;"",N($K2000)&gt;0,COUNTIFS(采购单!$B:$B,$B2000,采购单!$C:$C,$H2000,采购单!$L:$L,$K2000)&gt;0),"※这笔可能和采购单重复了",""))))))))))</f>
        <v/>
      </c>
    </row>
    <row r="2001">
      <c r="A2001" s="17">
        <f>IF($B2001="","",ROW()-3)</f>
        <v/>
      </c>
      <c r="B2001" s="18" t="n"/>
      <c r="C2001" s="13" t="n"/>
      <c r="D2001" s="13" t="n"/>
      <c r="E2001" s="13" t="n"/>
      <c r="F2001" s="17">
        <f>IF($E2001="","",IFERROR(VLOOKUP($E2001,类别归属,2,0),"※类别不在基础资料里"))</f>
        <v/>
      </c>
      <c r="G2001" s="13" t="n"/>
      <c r="H2001" s="13" t="n"/>
      <c r="I2001" s="13" t="n"/>
      <c r="J2001" s="14" t="n"/>
      <c r="K2001" s="14" t="n"/>
      <c r="L2001" s="19">
        <f>IF($C2001="","",ROUND(IFERROR(VLOOKUP($C2001,账户期初,2,0),0)+SUMIFS($J$4:J2001,$C$4:C2001,$C2001)-SUMIFS($K$4:K2001,$C$4:C2001,$C2001),2))</f>
        <v/>
      </c>
      <c r="M2001" s="19">
        <f>IF($C2001="","",ROUND(SUM(基础资料!$B$4:$B$13)+SUM($J$4:J2001)-SUM($K$4:K2001),2))</f>
        <v/>
      </c>
      <c r="N2001" s="13" t="n"/>
      <c r="O2001" s="13" t="n"/>
      <c r="P2001" s="17">
        <f>IF($B2001="","",IF($F2001="※类别不在基础资料里","※费用类别不在基础资料里",IF(AND(N($J2001)=0,N($K2001)=0),"※这行没填金额",IF(AND(N($J2001)&gt;0,N($K2001)&gt;0),"※收入和支出不能同一行都填",IF(AND($D2001="收入",N($J2001)=0),"※收入行要填收入金额",IF(AND($D2001="支出",N($K2001)=0),"※支出行要填支出金额",IF(AND($C2001&lt;&gt;"",ISNA(MATCH($C2001,账户表,0))),"※账户不在基础资料里",IF(AND($G2001&lt;&gt;"",ISNA(MATCH($G2001,项目名表,0))),"※项目不在项目台账里",IF(AND(LEFT($F2001,3)="成本-",$G2001=""),"※成本类支出没填项目",IF(AND(LEFT($F2001,3)="成本-",$H2001&lt;&gt;"",N($K2001)&gt;0,COUNTIFS(采购单!$B:$B,$B2001,采购单!$C:$C,$H2001,采购单!$L:$L,$K2001)&gt;0),"※这笔可能和采购单重复了",""))))))))))</f>
        <v/>
      </c>
    </row>
    <row r="2002">
      <c r="A2002" s="17">
        <f>IF($B2002="","",ROW()-3)</f>
        <v/>
      </c>
      <c r="B2002" s="18" t="n"/>
      <c r="C2002" s="13" t="n"/>
      <c r="D2002" s="13" t="n"/>
      <c r="E2002" s="13" t="n"/>
      <c r="F2002" s="17">
        <f>IF($E2002="","",IFERROR(VLOOKUP($E2002,类别归属,2,0),"※类别不在基础资料里"))</f>
        <v/>
      </c>
      <c r="G2002" s="13" t="n"/>
      <c r="H2002" s="13" t="n"/>
      <c r="I2002" s="13" t="n"/>
      <c r="J2002" s="14" t="n"/>
      <c r="K2002" s="14" t="n"/>
      <c r="L2002" s="19">
        <f>IF($C2002="","",ROUND(IFERROR(VLOOKUP($C2002,账户期初,2,0),0)+SUMIFS($J$4:J2002,$C$4:C2002,$C2002)-SUMIFS($K$4:K2002,$C$4:C2002,$C2002),2))</f>
        <v/>
      </c>
      <c r="M2002" s="19">
        <f>IF($C2002="","",ROUND(SUM(基础资料!$B$4:$B$13)+SUM($J$4:J2002)-SUM($K$4:K2002),2))</f>
        <v/>
      </c>
      <c r="N2002" s="13" t="n"/>
      <c r="O2002" s="13" t="n"/>
      <c r="P2002" s="17">
        <f>IF($B2002="","",IF($F2002="※类别不在基础资料里","※费用类别不在基础资料里",IF(AND(N($J2002)=0,N($K2002)=0),"※这行没填金额",IF(AND(N($J2002)&gt;0,N($K2002)&gt;0),"※收入和支出不能同一行都填",IF(AND($D2002="收入",N($J2002)=0),"※收入行要填收入金额",IF(AND($D2002="支出",N($K2002)=0),"※支出行要填支出金额",IF(AND($C2002&lt;&gt;"",ISNA(MATCH($C2002,账户表,0))),"※账户不在基础资料里",IF(AND($G2002&lt;&gt;"",ISNA(MATCH($G2002,项目名表,0))),"※项目不在项目台账里",IF(AND(LEFT($F2002,3)="成本-",$G2002=""),"※成本类支出没填项目",IF(AND(LEFT($F2002,3)="成本-",$H2002&lt;&gt;"",N($K2002)&gt;0,COUNTIFS(采购单!$B:$B,$B2002,采购单!$C:$C,$H2002,采购单!$L:$L,$K2002)&gt;0),"※这笔可能和采购单重复了",""))))))))))</f>
        <v/>
      </c>
    </row>
    <row r="2003">
      <c r="A2003" s="17">
        <f>IF($B2003="","",ROW()-3)</f>
        <v/>
      </c>
      <c r="B2003" s="18" t="n"/>
      <c r="C2003" s="13" t="n"/>
      <c r="D2003" s="13" t="n"/>
      <c r="E2003" s="13" t="n"/>
      <c r="F2003" s="17">
        <f>IF($E2003="","",IFERROR(VLOOKUP($E2003,类别归属,2,0),"※类别不在基础资料里"))</f>
        <v/>
      </c>
      <c r="G2003" s="13" t="n"/>
      <c r="H2003" s="13" t="n"/>
      <c r="I2003" s="13" t="n"/>
      <c r="J2003" s="14" t="n"/>
      <c r="K2003" s="14" t="n"/>
      <c r="L2003" s="19">
        <f>IF($C2003="","",ROUND(IFERROR(VLOOKUP($C2003,账户期初,2,0),0)+SUMIFS($J$4:J2003,$C$4:C2003,$C2003)-SUMIFS($K$4:K2003,$C$4:C2003,$C2003),2))</f>
        <v/>
      </c>
      <c r="M2003" s="19">
        <f>IF($C2003="","",ROUND(SUM(基础资料!$B$4:$B$13)+SUM($J$4:J2003)-SUM($K$4:K2003),2))</f>
        <v/>
      </c>
      <c r="N2003" s="13" t="n"/>
      <c r="O2003" s="13" t="n"/>
      <c r="P2003" s="17">
        <f>IF($B2003="","",IF($F2003="※类别不在基础资料里","※费用类别不在基础资料里",IF(AND(N($J2003)=0,N($K2003)=0),"※这行没填金额",IF(AND(N($J2003)&gt;0,N($K2003)&gt;0),"※收入和支出不能同一行都填",IF(AND($D2003="收入",N($J2003)=0),"※收入行要填收入金额",IF(AND($D2003="支出",N($K2003)=0),"※支出行要填支出金额",IF(AND($C2003&lt;&gt;"",ISNA(MATCH($C2003,账户表,0))),"※账户不在基础资料里",IF(AND($G2003&lt;&gt;"",ISNA(MATCH($G2003,项目名表,0))),"※项目不在项目台账里",IF(AND(LEFT($F2003,3)="成本-",$G2003=""),"※成本类支出没填项目",IF(AND(LEFT($F2003,3)="成本-",$H2003&lt;&gt;"",N($K2003)&gt;0,COUNTIFS(采购单!$B:$B,$B2003,采购单!$C:$C,$H2003,采购单!$L:$L,$K2003)&gt;0),"※这笔可能和采购单重复了",""))))))))))</f>
        <v/>
      </c>
    </row>
    <row r="2004">
      <c r="A2004" s="17">
        <f>IF($B2004="","",ROW()-3)</f>
        <v/>
      </c>
      <c r="B2004" s="18" t="n"/>
      <c r="C2004" s="13" t="n"/>
      <c r="D2004" s="13" t="n"/>
      <c r="E2004" s="13" t="n"/>
      <c r="F2004" s="17">
        <f>IF($E2004="","",IFERROR(VLOOKUP($E2004,类别归属,2,0),"※类别不在基础资料里"))</f>
        <v/>
      </c>
      <c r="G2004" s="13" t="n"/>
      <c r="H2004" s="13" t="n"/>
      <c r="I2004" s="13" t="n"/>
      <c r="J2004" s="14" t="n"/>
      <c r="K2004" s="14" t="n"/>
      <c r="L2004" s="19">
        <f>IF($C2004="","",ROUND(IFERROR(VLOOKUP($C2004,账户期初,2,0),0)+SUMIFS($J$4:J2004,$C$4:C2004,$C2004)-SUMIFS($K$4:K2004,$C$4:C2004,$C2004),2))</f>
        <v/>
      </c>
      <c r="M2004" s="19">
        <f>IF($C2004="","",ROUND(SUM(基础资料!$B$4:$B$13)+SUM($J$4:J2004)-SUM($K$4:K2004),2))</f>
        <v/>
      </c>
      <c r="N2004" s="13" t="n"/>
      <c r="O2004" s="13" t="n"/>
      <c r="P2004" s="17">
        <f>IF($B2004="","",IF($F2004="※类别不在基础资料里","※费用类别不在基础资料里",IF(AND(N($J2004)=0,N($K2004)=0),"※这行没填金额",IF(AND(N($J2004)&gt;0,N($K2004)&gt;0),"※收入和支出不能同一行都填",IF(AND($D2004="收入",N($J2004)=0),"※收入行要填收入金额",IF(AND($D2004="支出",N($K2004)=0),"※支出行要填支出金额",IF(AND($C2004&lt;&gt;"",ISNA(MATCH($C2004,账户表,0))),"※账户不在基础资料里",IF(AND($G2004&lt;&gt;"",ISNA(MATCH($G2004,项目名表,0))),"※项目不在项目台账里",IF(AND(LEFT($F2004,3)="成本-",$G2004=""),"※成本类支出没填项目",IF(AND(LEFT($F2004,3)="成本-",$H2004&lt;&gt;"",N($K2004)&gt;0,COUNTIFS(采购单!$B:$B,$B2004,采购单!$C:$C,$H2004,采购单!$L:$L,$K2004)&gt;0),"※这笔可能和采购单重复了",""))))))))))</f>
        <v/>
      </c>
    </row>
    <row r="2005">
      <c r="A2005" s="17">
        <f>IF($B2005="","",ROW()-3)</f>
        <v/>
      </c>
      <c r="B2005" s="18" t="n"/>
      <c r="C2005" s="13" t="n"/>
      <c r="D2005" s="13" t="n"/>
      <c r="E2005" s="13" t="n"/>
      <c r="F2005" s="17">
        <f>IF($E2005="","",IFERROR(VLOOKUP($E2005,类别归属,2,0),"※类别不在基础资料里"))</f>
        <v/>
      </c>
      <c r="G2005" s="13" t="n"/>
      <c r="H2005" s="13" t="n"/>
      <c r="I2005" s="13" t="n"/>
      <c r="J2005" s="14" t="n"/>
      <c r="K2005" s="14" t="n"/>
      <c r="L2005" s="19">
        <f>IF($C2005="","",ROUND(IFERROR(VLOOKUP($C2005,账户期初,2,0),0)+SUMIFS($J$4:J2005,$C$4:C2005,$C2005)-SUMIFS($K$4:K2005,$C$4:C2005,$C2005),2))</f>
        <v/>
      </c>
      <c r="M2005" s="19">
        <f>IF($C2005="","",ROUND(SUM(基础资料!$B$4:$B$13)+SUM($J$4:J2005)-SUM($K$4:K2005),2))</f>
        <v/>
      </c>
      <c r="N2005" s="13" t="n"/>
      <c r="O2005" s="13" t="n"/>
      <c r="P2005" s="17">
        <f>IF($B2005="","",IF($F2005="※类别不在基础资料里","※费用类别不在基础资料里",IF(AND(N($J2005)=0,N($K2005)=0),"※这行没填金额",IF(AND(N($J2005)&gt;0,N($K2005)&gt;0),"※收入和支出不能同一行都填",IF(AND($D2005="收入",N($J2005)=0),"※收入行要填收入金额",IF(AND($D2005="支出",N($K2005)=0),"※支出行要填支出金额",IF(AND($C2005&lt;&gt;"",ISNA(MATCH($C2005,账户表,0))),"※账户不在基础资料里",IF(AND($G2005&lt;&gt;"",ISNA(MATCH($G2005,项目名表,0))),"※项目不在项目台账里",IF(AND(LEFT($F2005,3)="成本-",$G2005=""),"※成本类支出没填项目",IF(AND(LEFT($F2005,3)="成本-",$H2005&lt;&gt;"",N($K2005)&gt;0,COUNTIFS(采购单!$B:$B,$B2005,采购单!$C:$C,$H2005,采购单!$L:$L,$K2005)&gt;0),"※这笔可能和采购单重复了",""))))))))))</f>
        <v/>
      </c>
    </row>
    <row r="2006">
      <c r="A2006" s="17">
        <f>IF($B2006="","",ROW()-3)</f>
        <v/>
      </c>
      <c r="B2006" s="18" t="n"/>
      <c r="C2006" s="13" t="n"/>
      <c r="D2006" s="13" t="n"/>
      <c r="E2006" s="13" t="n"/>
      <c r="F2006" s="17">
        <f>IF($E2006="","",IFERROR(VLOOKUP($E2006,类别归属,2,0),"※类别不在基础资料里"))</f>
        <v/>
      </c>
      <c r="G2006" s="13" t="n"/>
      <c r="H2006" s="13" t="n"/>
      <c r="I2006" s="13" t="n"/>
      <c r="J2006" s="14" t="n"/>
      <c r="K2006" s="14" t="n"/>
      <c r="L2006" s="19">
        <f>IF($C2006="","",ROUND(IFERROR(VLOOKUP($C2006,账户期初,2,0),0)+SUMIFS($J$4:J2006,$C$4:C2006,$C2006)-SUMIFS($K$4:K2006,$C$4:C2006,$C2006),2))</f>
        <v/>
      </c>
      <c r="M2006" s="19">
        <f>IF($C2006="","",ROUND(SUM(基础资料!$B$4:$B$13)+SUM($J$4:J2006)-SUM($K$4:K2006),2))</f>
        <v/>
      </c>
      <c r="N2006" s="13" t="n"/>
      <c r="O2006" s="13" t="n"/>
      <c r="P2006" s="17">
        <f>IF($B2006="","",IF($F2006="※类别不在基础资料里","※费用类别不在基础资料里",IF(AND(N($J2006)=0,N($K2006)=0),"※这行没填金额",IF(AND(N($J2006)&gt;0,N($K2006)&gt;0),"※收入和支出不能同一行都填",IF(AND($D2006="收入",N($J2006)=0),"※收入行要填收入金额",IF(AND($D2006="支出",N($K2006)=0),"※支出行要填支出金额",IF(AND($C2006&lt;&gt;"",ISNA(MATCH($C2006,账户表,0))),"※账户不在基础资料里",IF(AND($G2006&lt;&gt;"",ISNA(MATCH($G2006,项目名表,0))),"※项目不在项目台账里",IF(AND(LEFT($F2006,3)="成本-",$G2006=""),"※成本类支出没填项目",IF(AND(LEFT($F2006,3)="成本-",$H2006&lt;&gt;"",N($K2006)&gt;0,COUNTIFS(采购单!$B:$B,$B2006,采购单!$C:$C,$H2006,采购单!$L:$L,$K2006)&gt;0),"※这笔可能和采购单重复了",""))))))))))</f>
        <v/>
      </c>
    </row>
    <row r="2007">
      <c r="A2007" s="17">
        <f>IF($B2007="","",ROW()-3)</f>
        <v/>
      </c>
      <c r="B2007" s="18" t="n"/>
      <c r="C2007" s="13" t="n"/>
      <c r="D2007" s="13" t="n"/>
      <c r="E2007" s="13" t="n"/>
      <c r="F2007" s="17">
        <f>IF($E2007="","",IFERROR(VLOOKUP($E2007,类别归属,2,0),"※类别不在基础资料里"))</f>
        <v/>
      </c>
      <c r="G2007" s="13" t="n"/>
      <c r="H2007" s="13" t="n"/>
      <c r="I2007" s="13" t="n"/>
      <c r="J2007" s="14" t="n"/>
      <c r="K2007" s="14" t="n"/>
      <c r="L2007" s="19">
        <f>IF($C2007="","",ROUND(IFERROR(VLOOKUP($C2007,账户期初,2,0),0)+SUMIFS($J$4:J2007,$C$4:C2007,$C2007)-SUMIFS($K$4:K2007,$C$4:C2007,$C2007),2))</f>
        <v/>
      </c>
      <c r="M2007" s="19">
        <f>IF($C2007="","",ROUND(SUM(基础资料!$B$4:$B$13)+SUM($J$4:J2007)-SUM($K$4:K2007),2))</f>
        <v/>
      </c>
      <c r="N2007" s="13" t="n"/>
      <c r="O2007" s="13" t="n"/>
      <c r="P2007" s="17">
        <f>IF($B2007="","",IF($F2007="※类别不在基础资料里","※费用类别不在基础资料里",IF(AND(N($J2007)=0,N($K2007)=0),"※这行没填金额",IF(AND(N($J2007)&gt;0,N($K2007)&gt;0),"※收入和支出不能同一行都填",IF(AND($D2007="收入",N($J2007)=0),"※收入行要填收入金额",IF(AND($D2007="支出",N($K2007)=0),"※支出行要填支出金额",IF(AND($C2007&lt;&gt;"",ISNA(MATCH($C2007,账户表,0))),"※账户不在基础资料里",IF(AND($G2007&lt;&gt;"",ISNA(MATCH($G2007,项目名表,0))),"※项目不在项目台账里",IF(AND(LEFT($F2007,3)="成本-",$G2007=""),"※成本类支出没填项目",IF(AND(LEFT($F2007,3)="成本-",$H2007&lt;&gt;"",N($K2007)&gt;0,COUNTIFS(采购单!$B:$B,$B2007,采购单!$C:$C,$H2007,采购单!$L:$L,$K2007)&gt;0),"※这笔可能和采购单重复了",""))))))))))</f>
        <v/>
      </c>
    </row>
    <row r="2008">
      <c r="A2008" s="17">
        <f>IF($B2008="","",ROW()-3)</f>
        <v/>
      </c>
      <c r="B2008" s="18" t="n"/>
      <c r="C2008" s="13" t="n"/>
      <c r="D2008" s="13" t="n"/>
      <c r="E2008" s="13" t="n"/>
      <c r="F2008" s="17">
        <f>IF($E2008="","",IFERROR(VLOOKUP($E2008,类别归属,2,0),"※类别不在基础资料里"))</f>
        <v/>
      </c>
      <c r="G2008" s="13" t="n"/>
      <c r="H2008" s="13" t="n"/>
      <c r="I2008" s="13" t="n"/>
      <c r="J2008" s="14" t="n"/>
      <c r="K2008" s="14" t="n"/>
      <c r="L2008" s="19">
        <f>IF($C2008="","",ROUND(IFERROR(VLOOKUP($C2008,账户期初,2,0),0)+SUMIFS($J$4:J2008,$C$4:C2008,$C2008)-SUMIFS($K$4:K2008,$C$4:C2008,$C2008),2))</f>
        <v/>
      </c>
      <c r="M2008" s="19">
        <f>IF($C2008="","",ROUND(SUM(基础资料!$B$4:$B$13)+SUM($J$4:J2008)-SUM($K$4:K2008),2))</f>
        <v/>
      </c>
      <c r="N2008" s="13" t="n"/>
      <c r="O2008" s="13" t="n"/>
      <c r="P2008" s="17">
        <f>IF($B2008="","",IF($F2008="※类别不在基础资料里","※费用类别不在基础资料里",IF(AND(N($J2008)=0,N($K2008)=0),"※这行没填金额",IF(AND(N($J2008)&gt;0,N($K2008)&gt;0),"※收入和支出不能同一行都填",IF(AND($D2008="收入",N($J2008)=0),"※收入行要填收入金额",IF(AND($D2008="支出",N($K2008)=0),"※支出行要填支出金额",IF(AND($C2008&lt;&gt;"",ISNA(MATCH($C2008,账户表,0))),"※账户不在基础资料里",IF(AND($G2008&lt;&gt;"",ISNA(MATCH($G2008,项目名表,0))),"※项目不在项目台账里",IF(AND(LEFT($F2008,3)="成本-",$G2008=""),"※成本类支出没填项目",IF(AND(LEFT($F2008,3)="成本-",$H2008&lt;&gt;"",N($K2008)&gt;0,COUNTIFS(采购单!$B:$B,$B2008,采购单!$C:$C,$H2008,采购单!$L:$L,$K2008)&gt;0),"※这笔可能和采购单重复了",""))))))))))</f>
        <v/>
      </c>
    </row>
    <row r="2009">
      <c r="A2009" s="17">
        <f>IF($B2009="","",ROW()-3)</f>
        <v/>
      </c>
      <c r="B2009" s="18" t="n"/>
      <c r="C2009" s="13" t="n"/>
      <c r="D2009" s="13" t="n"/>
      <c r="E2009" s="13" t="n"/>
      <c r="F2009" s="17">
        <f>IF($E2009="","",IFERROR(VLOOKUP($E2009,类别归属,2,0),"※类别不在基础资料里"))</f>
        <v/>
      </c>
      <c r="G2009" s="13" t="n"/>
      <c r="H2009" s="13" t="n"/>
      <c r="I2009" s="13" t="n"/>
      <c r="J2009" s="14" t="n"/>
      <c r="K2009" s="14" t="n"/>
      <c r="L2009" s="19">
        <f>IF($C2009="","",ROUND(IFERROR(VLOOKUP($C2009,账户期初,2,0),0)+SUMIFS($J$4:J2009,$C$4:C2009,$C2009)-SUMIFS($K$4:K2009,$C$4:C2009,$C2009),2))</f>
        <v/>
      </c>
      <c r="M2009" s="19">
        <f>IF($C2009="","",ROUND(SUM(基础资料!$B$4:$B$13)+SUM($J$4:J2009)-SUM($K$4:K2009),2))</f>
        <v/>
      </c>
      <c r="N2009" s="13" t="n"/>
      <c r="O2009" s="13" t="n"/>
      <c r="P2009" s="17">
        <f>IF($B2009="","",IF($F2009="※类别不在基础资料里","※费用类别不在基础资料里",IF(AND(N($J2009)=0,N($K2009)=0),"※这行没填金额",IF(AND(N($J2009)&gt;0,N($K2009)&gt;0),"※收入和支出不能同一行都填",IF(AND($D2009="收入",N($J2009)=0),"※收入行要填收入金额",IF(AND($D2009="支出",N($K2009)=0),"※支出行要填支出金额",IF(AND($C2009&lt;&gt;"",ISNA(MATCH($C2009,账户表,0))),"※账户不在基础资料里",IF(AND($G2009&lt;&gt;"",ISNA(MATCH($G2009,项目名表,0))),"※项目不在项目台账里",IF(AND(LEFT($F2009,3)="成本-",$G2009=""),"※成本类支出没填项目",IF(AND(LEFT($F2009,3)="成本-",$H2009&lt;&gt;"",N($K2009)&gt;0,COUNTIFS(采购单!$B:$B,$B2009,采购单!$C:$C,$H2009,采购单!$L:$L,$K2009)&gt;0),"※这笔可能和采购单重复了",""))))))))))</f>
        <v/>
      </c>
    </row>
    <row r="2010">
      <c r="A2010" s="17">
        <f>IF($B2010="","",ROW()-3)</f>
        <v/>
      </c>
      <c r="B2010" s="18" t="n"/>
      <c r="C2010" s="13" t="n"/>
      <c r="D2010" s="13" t="n"/>
      <c r="E2010" s="13" t="n"/>
      <c r="F2010" s="17">
        <f>IF($E2010="","",IFERROR(VLOOKUP($E2010,类别归属,2,0),"※类别不在基础资料里"))</f>
        <v/>
      </c>
      <c r="G2010" s="13" t="n"/>
      <c r="H2010" s="13" t="n"/>
      <c r="I2010" s="13" t="n"/>
      <c r="J2010" s="14" t="n"/>
      <c r="K2010" s="14" t="n"/>
      <c r="L2010" s="19">
        <f>IF($C2010="","",ROUND(IFERROR(VLOOKUP($C2010,账户期初,2,0),0)+SUMIFS($J$4:J2010,$C$4:C2010,$C2010)-SUMIFS($K$4:K2010,$C$4:C2010,$C2010),2))</f>
        <v/>
      </c>
      <c r="M2010" s="19">
        <f>IF($C2010="","",ROUND(SUM(基础资料!$B$4:$B$13)+SUM($J$4:J2010)-SUM($K$4:K2010),2))</f>
        <v/>
      </c>
      <c r="N2010" s="13" t="n"/>
      <c r="O2010" s="13" t="n"/>
      <c r="P2010" s="17">
        <f>IF($B2010="","",IF($F2010="※类别不在基础资料里","※费用类别不在基础资料里",IF(AND(N($J2010)=0,N($K2010)=0),"※这行没填金额",IF(AND(N($J2010)&gt;0,N($K2010)&gt;0),"※收入和支出不能同一行都填",IF(AND($D2010="收入",N($J2010)=0),"※收入行要填收入金额",IF(AND($D2010="支出",N($K2010)=0),"※支出行要填支出金额",IF(AND($C2010&lt;&gt;"",ISNA(MATCH($C2010,账户表,0))),"※账户不在基础资料里",IF(AND($G2010&lt;&gt;"",ISNA(MATCH($G2010,项目名表,0))),"※项目不在项目台账里",IF(AND(LEFT($F2010,3)="成本-",$G2010=""),"※成本类支出没填项目",IF(AND(LEFT($F2010,3)="成本-",$H2010&lt;&gt;"",N($K2010)&gt;0,COUNTIFS(采购单!$B:$B,$B2010,采购单!$C:$C,$H2010,采购单!$L:$L,$K2010)&gt;0),"※这笔可能和采购单重复了",""))))))))))</f>
        <v/>
      </c>
    </row>
    <row r="2011">
      <c r="A2011" s="17">
        <f>IF($B2011="","",ROW()-3)</f>
        <v/>
      </c>
      <c r="B2011" s="18" t="n"/>
      <c r="C2011" s="13" t="n"/>
      <c r="D2011" s="13" t="n"/>
      <c r="E2011" s="13" t="n"/>
      <c r="F2011" s="17">
        <f>IF($E2011="","",IFERROR(VLOOKUP($E2011,类别归属,2,0),"※类别不在基础资料里"))</f>
        <v/>
      </c>
      <c r="G2011" s="13" t="n"/>
      <c r="H2011" s="13" t="n"/>
      <c r="I2011" s="13" t="n"/>
      <c r="J2011" s="14" t="n"/>
      <c r="K2011" s="14" t="n"/>
      <c r="L2011" s="19">
        <f>IF($C2011="","",ROUND(IFERROR(VLOOKUP($C2011,账户期初,2,0),0)+SUMIFS($J$4:J2011,$C$4:C2011,$C2011)-SUMIFS($K$4:K2011,$C$4:C2011,$C2011),2))</f>
        <v/>
      </c>
      <c r="M2011" s="19">
        <f>IF($C2011="","",ROUND(SUM(基础资料!$B$4:$B$13)+SUM($J$4:J2011)-SUM($K$4:K2011),2))</f>
        <v/>
      </c>
      <c r="N2011" s="13" t="n"/>
      <c r="O2011" s="13" t="n"/>
      <c r="P2011" s="17">
        <f>IF($B2011="","",IF($F2011="※类别不在基础资料里","※费用类别不在基础资料里",IF(AND(N($J2011)=0,N($K2011)=0),"※这行没填金额",IF(AND(N($J2011)&gt;0,N($K2011)&gt;0),"※收入和支出不能同一行都填",IF(AND($D2011="收入",N($J2011)=0),"※收入行要填收入金额",IF(AND($D2011="支出",N($K2011)=0),"※支出行要填支出金额",IF(AND($C2011&lt;&gt;"",ISNA(MATCH($C2011,账户表,0))),"※账户不在基础资料里",IF(AND($G2011&lt;&gt;"",ISNA(MATCH($G2011,项目名表,0))),"※项目不在项目台账里",IF(AND(LEFT($F2011,3)="成本-",$G2011=""),"※成本类支出没填项目",IF(AND(LEFT($F2011,3)="成本-",$H2011&lt;&gt;"",N($K2011)&gt;0,COUNTIFS(采购单!$B:$B,$B2011,采购单!$C:$C,$H2011,采购单!$L:$L,$K2011)&gt;0),"※这笔可能和采购单重复了",""))))))))))</f>
        <v/>
      </c>
    </row>
    <row r="2012">
      <c r="A2012" s="17">
        <f>IF($B2012="","",ROW()-3)</f>
        <v/>
      </c>
      <c r="B2012" s="18" t="n"/>
      <c r="C2012" s="13" t="n"/>
      <c r="D2012" s="13" t="n"/>
      <c r="E2012" s="13" t="n"/>
      <c r="F2012" s="17">
        <f>IF($E2012="","",IFERROR(VLOOKUP($E2012,类别归属,2,0),"※类别不在基础资料里"))</f>
        <v/>
      </c>
      <c r="G2012" s="13" t="n"/>
      <c r="H2012" s="13" t="n"/>
      <c r="I2012" s="13" t="n"/>
      <c r="J2012" s="14" t="n"/>
      <c r="K2012" s="14" t="n"/>
      <c r="L2012" s="19">
        <f>IF($C2012="","",ROUND(IFERROR(VLOOKUP($C2012,账户期初,2,0),0)+SUMIFS($J$4:J2012,$C$4:C2012,$C2012)-SUMIFS($K$4:K2012,$C$4:C2012,$C2012),2))</f>
        <v/>
      </c>
      <c r="M2012" s="19">
        <f>IF($C2012="","",ROUND(SUM(基础资料!$B$4:$B$13)+SUM($J$4:J2012)-SUM($K$4:K2012),2))</f>
        <v/>
      </c>
      <c r="N2012" s="13" t="n"/>
      <c r="O2012" s="13" t="n"/>
      <c r="P2012" s="17">
        <f>IF($B2012="","",IF($F2012="※类别不在基础资料里","※费用类别不在基础资料里",IF(AND(N($J2012)=0,N($K2012)=0),"※这行没填金额",IF(AND(N($J2012)&gt;0,N($K2012)&gt;0),"※收入和支出不能同一行都填",IF(AND($D2012="收入",N($J2012)=0),"※收入行要填收入金额",IF(AND($D2012="支出",N($K2012)=0),"※支出行要填支出金额",IF(AND($C2012&lt;&gt;"",ISNA(MATCH($C2012,账户表,0))),"※账户不在基础资料里",IF(AND($G2012&lt;&gt;"",ISNA(MATCH($G2012,项目名表,0))),"※项目不在项目台账里",IF(AND(LEFT($F2012,3)="成本-",$G2012=""),"※成本类支出没填项目",IF(AND(LEFT($F2012,3)="成本-",$H2012&lt;&gt;"",N($K2012)&gt;0,COUNTIFS(采购单!$B:$B,$B2012,采购单!$C:$C,$H2012,采购单!$L:$L,$K2012)&gt;0),"※这笔可能和采购单重复了",""))))))))))</f>
        <v/>
      </c>
    </row>
    <row r="2013">
      <c r="A2013" s="17">
        <f>IF($B2013="","",ROW()-3)</f>
        <v/>
      </c>
      <c r="B2013" s="18" t="n"/>
      <c r="C2013" s="13" t="n"/>
      <c r="D2013" s="13" t="n"/>
      <c r="E2013" s="13" t="n"/>
      <c r="F2013" s="17">
        <f>IF($E2013="","",IFERROR(VLOOKUP($E2013,类别归属,2,0),"※类别不在基础资料里"))</f>
        <v/>
      </c>
      <c r="G2013" s="13" t="n"/>
      <c r="H2013" s="13" t="n"/>
      <c r="I2013" s="13" t="n"/>
      <c r="J2013" s="14" t="n"/>
      <c r="K2013" s="14" t="n"/>
      <c r="L2013" s="19">
        <f>IF($C2013="","",ROUND(IFERROR(VLOOKUP($C2013,账户期初,2,0),0)+SUMIFS($J$4:J2013,$C$4:C2013,$C2013)-SUMIFS($K$4:K2013,$C$4:C2013,$C2013),2))</f>
        <v/>
      </c>
      <c r="M2013" s="19">
        <f>IF($C2013="","",ROUND(SUM(基础资料!$B$4:$B$13)+SUM($J$4:J2013)-SUM($K$4:K2013),2))</f>
        <v/>
      </c>
      <c r="N2013" s="13" t="n"/>
      <c r="O2013" s="13" t="n"/>
      <c r="P2013" s="17">
        <f>IF($B2013="","",IF($F2013="※类别不在基础资料里","※费用类别不在基础资料里",IF(AND(N($J2013)=0,N($K2013)=0),"※这行没填金额",IF(AND(N($J2013)&gt;0,N($K2013)&gt;0),"※收入和支出不能同一行都填",IF(AND($D2013="收入",N($J2013)=0),"※收入行要填收入金额",IF(AND($D2013="支出",N($K2013)=0),"※支出行要填支出金额",IF(AND($C2013&lt;&gt;"",ISNA(MATCH($C2013,账户表,0))),"※账户不在基础资料里",IF(AND($G2013&lt;&gt;"",ISNA(MATCH($G2013,项目名表,0))),"※项目不在项目台账里",IF(AND(LEFT($F2013,3)="成本-",$G2013=""),"※成本类支出没填项目",IF(AND(LEFT($F2013,3)="成本-",$H2013&lt;&gt;"",N($K2013)&gt;0,COUNTIFS(采购单!$B:$B,$B2013,采购单!$C:$C,$H2013,采购单!$L:$L,$K2013)&gt;0),"※这笔可能和采购单重复了",""))))))))))</f>
        <v/>
      </c>
    </row>
    <row r="2014">
      <c r="A2014" s="17">
        <f>IF($B2014="","",ROW()-3)</f>
        <v/>
      </c>
      <c r="B2014" s="18" t="n"/>
      <c r="C2014" s="13" t="n"/>
      <c r="D2014" s="13" t="n"/>
      <c r="E2014" s="13" t="n"/>
      <c r="F2014" s="17">
        <f>IF($E2014="","",IFERROR(VLOOKUP($E2014,类别归属,2,0),"※类别不在基础资料里"))</f>
        <v/>
      </c>
      <c r="G2014" s="13" t="n"/>
      <c r="H2014" s="13" t="n"/>
      <c r="I2014" s="13" t="n"/>
      <c r="J2014" s="14" t="n"/>
      <c r="K2014" s="14" t="n"/>
      <c r="L2014" s="19">
        <f>IF($C2014="","",ROUND(IFERROR(VLOOKUP($C2014,账户期初,2,0),0)+SUMIFS($J$4:J2014,$C$4:C2014,$C2014)-SUMIFS($K$4:K2014,$C$4:C2014,$C2014),2))</f>
        <v/>
      </c>
      <c r="M2014" s="19">
        <f>IF($C2014="","",ROUND(SUM(基础资料!$B$4:$B$13)+SUM($J$4:J2014)-SUM($K$4:K2014),2))</f>
        <v/>
      </c>
      <c r="N2014" s="13" t="n"/>
      <c r="O2014" s="13" t="n"/>
      <c r="P2014" s="17">
        <f>IF($B2014="","",IF($F2014="※类别不在基础资料里","※费用类别不在基础资料里",IF(AND(N($J2014)=0,N($K2014)=0),"※这行没填金额",IF(AND(N($J2014)&gt;0,N($K2014)&gt;0),"※收入和支出不能同一行都填",IF(AND($D2014="收入",N($J2014)=0),"※收入行要填收入金额",IF(AND($D2014="支出",N($K2014)=0),"※支出行要填支出金额",IF(AND($C2014&lt;&gt;"",ISNA(MATCH($C2014,账户表,0))),"※账户不在基础资料里",IF(AND($G2014&lt;&gt;"",ISNA(MATCH($G2014,项目名表,0))),"※项目不在项目台账里",IF(AND(LEFT($F2014,3)="成本-",$G2014=""),"※成本类支出没填项目",IF(AND(LEFT($F2014,3)="成本-",$H2014&lt;&gt;"",N($K2014)&gt;0,COUNTIFS(采购单!$B:$B,$B2014,采购单!$C:$C,$H2014,采购单!$L:$L,$K2014)&gt;0),"※这笔可能和采购单重复了",""))))))))))</f>
        <v/>
      </c>
    </row>
    <row r="2015">
      <c r="A2015" s="17">
        <f>IF($B2015="","",ROW()-3)</f>
        <v/>
      </c>
      <c r="B2015" s="18" t="n"/>
      <c r="C2015" s="13" t="n"/>
      <c r="D2015" s="13" t="n"/>
      <c r="E2015" s="13" t="n"/>
      <c r="F2015" s="17">
        <f>IF($E2015="","",IFERROR(VLOOKUP($E2015,类别归属,2,0),"※类别不在基础资料里"))</f>
        <v/>
      </c>
      <c r="G2015" s="13" t="n"/>
      <c r="H2015" s="13" t="n"/>
      <c r="I2015" s="13" t="n"/>
      <c r="J2015" s="14" t="n"/>
      <c r="K2015" s="14" t="n"/>
      <c r="L2015" s="19">
        <f>IF($C2015="","",ROUND(IFERROR(VLOOKUP($C2015,账户期初,2,0),0)+SUMIFS($J$4:J2015,$C$4:C2015,$C2015)-SUMIFS($K$4:K2015,$C$4:C2015,$C2015),2))</f>
        <v/>
      </c>
      <c r="M2015" s="19">
        <f>IF($C2015="","",ROUND(SUM(基础资料!$B$4:$B$13)+SUM($J$4:J2015)-SUM($K$4:K2015),2))</f>
        <v/>
      </c>
      <c r="N2015" s="13" t="n"/>
      <c r="O2015" s="13" t="n"/>
      <c r="P2015" s="17">
        <f>IF($B2015="","",IF($F2015="※类别不在基础资料里","※费用类别不在基础资料里",IF(AND(N($J2015)=0,N($K2015)=0),"※这行没填金额",IF(AND(N($J2015)&gt;0,N($K2015)&gt;0),"※收入和支出不能同一行都填",IF(AND($D2015="收入",N($J2015)=0),"※收入行要填收入金额",IF(AND($D2015="支出",N($K2015)=0),"※支出行要填支出金额",IF(AND($C2015&lt;&gt;"",ISNA(MATCH($C2015,账户表,0))),"※账户不在基础资料里",IF(AND($G2015&lt;&gt;"",ISNA(MATCH($G2015,项目名表,0))),"※项目不在项目台账里",IF(AND(LEFT($F2015,3)="成本-",$G2015=""),"※成本类支出没填项目",IF(AND(LEFT($F2015,3)="成本-",$H2015&lt;&gt;"",N($K2015)&gt;0,COUNTIFS(采购单!$B:$B,$B2015,采购单!$C:$C,$H2015,采购单!$L:$L,$K2015)&gt;0),"※这笔可能和采购单重复了",""))))))))))</f>
        <v/>
      </c>
    </row>
    <row r="2016">
      <c r="A2016" s="17">
        <f>IF($B2016="","",ROW()-3)</f>
        <v/>
      </c>
      <c r="B2016" s="18" t="n"/>
      <c r="C2016" s="13" t="n"/>
      <c r="D2016" s="13" t="n"/>
      <c r="E2016" s="13" t="n"/>
      <c r="F2016" s="17">
        <f>IF($E2016="","",IFERROR(VLOOKUP($E2016,类别归属,2,0),"※类别不在基础资料里"))</f>
        <v/>
      </c>
      <c r="G2016" s="13" t="n"/>
      <c r="H2016" s="13" t="n"/>
      <c r="I2016" s="13" t="n"/>
      <c r="J2016" s="14" t="n"/>
      <c r="K2016" s="14" t="n"/>
      <c r="L2016" s="19">
        <f>IF($C2016="","",ROUND(IFERROR(VLOOKUP($C2016,账户期初,2,0),0)+SUMIFS($J$4:J2016,$C$4:C2016,$C2016)-SUMIFS($K$4:K2016,$C$4:C2016,$C2016),2))</f>
        <v/>
      </c>
      <c r="M2016" s="19">
        <f>IF($C2016="","",ROUND(SUM(基础资料!$B$4:$B$13)+SUM($J$4:J2016)-SUM($K$4:K2016),2))</f>
        <v/>
      </c>
      <c r="N2016" s="13" t="n"/>
      <c r="O2016" s="13" t="n"/>
      <c r="P2016" s="17">
        <f>IF($B2016="","",IF($F2016="※类别不在基础资料里","※费用类别不在基础资料里",IF(AND(N($J2016)=0,N($K2016)=0),"※这行没填金额",IF(AND(N($J2016)&gt;0,N($K2016)&gt;0),"※收入和支出不能同一行都填",IF(AND($D2016="收入",N($J2016)=0),"※收入行要填收入金额",IF(AND($D2016="支出",N($K2016)=0),"※支出行要填支出金额",IF(AND($C2016&lt;&gt;"",ISNA(MATCH($C2016,账户表,0))),"※账户不在基础资料里",IF(AND($G2016&lt;&gt;"",ISNA(MATCH($G2016,项目名表,0))),"※项目不在项目台账里",IF(AND(LEFT($F2016,3)="成本-",$G2016=""),"※成本类支出没填项目",IF(AND(LEFT($F2016,3)="成本-",$H2016&lt;&gt;"",N($K2016)&gt;0,COUNTIFS(采购单!$B:$B,$B2016,采购单!$C:$C,$H2016,采购单!$L:$L,$K2016)&gt;0),"※这笔可能和采购单重复了",""))))))))))</f>
        <v/>
      </c>
    </row>
    <row r="2017">
      <c r="A2017" s="17">
        <f>IF($B2017="","",ROW()-3)</f>
        <v/>
      </c>
      <c r="B2017" s="18" t="n"/>
      <c r="C2017" s="13" t="n"/>
      <c r="D2017" s="13" t="n"/>
      <c r="E2017" s="13" t="n"/>
      <c r="F2017" s="17">
        <f>IF($E2017="","",IFERROR(VLOOKUP($E2017,类别归属,2,0),"※类别不在基础资料里"))</f>
        <v/>
      </c>
      <c r="G2017" s="13" t="n"/>
      <c r="H2017" s="13" t="n"/>
      <c r="I2017" s="13" t="n"/>
      <c r="J2017" s="14" t="n"/>
      <c r="K2017" s="14" t="n"/>
      <c r="L2017" s="19">
        <f>IF($C2017="","",ROUND(IFERROR(VLOOKUP($C2017,账户期初,2,0),0)+SUMIFS($J$4:J2017,$C$4:C2017,$C2017)-SUMIFS($K$4:K2017,$C$4:C2017,$C2017),2))</f>
        <v/>
      </c>
      <c r="M2017" s="19">
        <f>IF($C2017="","",ROUND(SUM(基础资料!$B$4:$B$13)+SUM($J$4:J2017)-SUM($K$4:K2017),2))</f>
        <v/>
      </c>
      <c r="N2017" s="13" t="n"/>
      <c r="O2017" s="13" t="n"/>
      <c r="P2017" s="17">
        <f>IF($B2017="","",IF($F2017="※类别不在基础资料里","※费用类别不在基础资料里",IF(AND(N($J2017)=0,N($K2017)=0),"※这行没填金额",IF(AND(N($J2017)&gt;0,N($K2017)&gt;0),"※收入和支出不能同一行都填",IF(AND($D2017="收入",N($J2017)=0),"※收入行要填收入金额",IF(AND($D2017="支出",N($K2017)=0),"※支出行要填支出金额",IF(AND($C2017&lt;&gt;"",ISNA(MATCH($C2017,账户表,0))),"※账户不在基础资料里",IF(AND($G2017&lt;&gt;"",ISNA(MATCH($G2017,项目名表,0))),"※项目不在项目台账里",IF(AND(LEFT($F2017,3)="成本-",$G2017=""),"※成本类支出没填项目",IF(AND(LEFT($F2017,3)="成本-",$H2017&lt;&gt;"",N($K2017)&gt;0,COUNTIFS(采购单!$B:$B,$B2017,采购单!$C:$C,$H2017,采购单!$L:$L,$K2017)&gt;0),"※这笔可能和采购单重复了",""))))))))))</f>
        <v/>
      </c>
    </row>
    <row r="2018">
      <c r="A2018" s="17">
        <f>IF($B2018="","",ROW()-3)</f>
        <v/>
      </c>
      <c r="B2018" s="18" t="n"/>
      <c r="C2018" s="13" t="n"/>
      <c r="D2018" s="13" t="n"/>
      <c r="E2018" s="13" t="n"/>
      <c r="F2018" s="17">
        <f>IF($E2018="","",IFERROR(VLOOKUP($E2018,类别归属,2,0),"※类别不在基础资料里"))</f>
        <v/>
      </c>
      <c r="G2018" s="13" t="n"/>
      <c r="H2018" s="13" t="n"/>
      <c r="I2018" s="13" t="n"/>
      <c r="J2018" s="14" t="n"/>
      <c r="K2018" s="14" t="n"/>
      <c r="L2018" s="19">
        <f>IF($C2018="","",ROUND(IFERROR(VLOOKUP($C2018,账户期初,2,0),0)+SUMIFS($J$4:J2018,$C$4:C2018,$C2018)-SUMIFS($K$4:K2018,$C$4:C2018,$C2018),2))</f>
        <v/>
      </c>
      <c r="M2018" s="19">
        <f>IF($C2018="","",ROUND(SUM(基础资料!$B$4:$B$13)+SUM($J$4:J2018)-SUM($K$4:K2018),2))</f>
        <v/>
      </c>
      <c r="N2018" s="13" t="n"/>
      <c r="O2018" s="13" t="n"/>
      <c r="P2018" s="17">
        <f>IF($B2018="","",IF($F2018="※类别不在基础资料里","※费用类别不在基础资料里",IF(AND(N($J2018)=0,N($K2018)=0),"※这行没填金额",IF(AND(N($J2018)&gt;0,N($K2018)&gt;0),"※收入和支出不能同一行都填",IF(AND($D2018="收入",N($J2018)=0),"※收入行要填收入金额",IF(AND($D2018="支出",N($K2018)=0),"※支出行要填支出金额",IF(AND($C2018&lt;&gt;"",ISNA(MATCH($C2018,账户表,0))),"※账户不在基础资料里",IF(AND($G2018&lt;&gt;"",ISNA(MATCH($G2018,项目名表,0))),"※项目不在项目台账里",IF(AND(LEFT($F2018,3)="成本-",$G2018=""),"※成本类支出没填项目",IF(AND(LEFT($F2018,3)="成本-",$H2018&lt;&gt;"",N($K2018)&gt;0,COUNTIFS(采购单!$B:$B,$B2018,采购单!$C:$C,$H2018,采购单!$L:$L,$K2018)&gt;0),"※这笔可能和采购单重复了",""))))))))))</f>
        <v/>
      </c>
    </row>
    <row r="2019">
      <c r="A2019" s="17">
        <f>IF($B2019="","",ROW()-3)</f>
        <v/>
      </c>
      <c r="B2019" s="18" t="n"/>
      <c r="C2019" s="13" t="n"/>
      <c r="D2019" s="13" t="n"/>
      <c r="E2019" s="13" t="n"/>
      <c r="F2019" s="17">
        <f>IF($E2019="","",IFERROR(VLOOKUP($E2019,类别归属,2,0),"※类别不在基础资料里"))</f>
        <v/>
      </c>
      <c r="G2019" s="13" t="n"/>
      <c r="H2019" s="13" t="n"/>
      <c r="I2019" s="13" t="n"/>
      <c r="J2019" s="14" t="n"/>
      <c r="K2019" s="14" t="n"/>
      <c r="L2019" s="19">
        <f>IF($C2019="","",ROUND(IFERROR(VLOOKUP($C2019,账户期初,2,0),0)+SUMIFS($J$4:J2019,$C$4:C2019,$C2019)-SUMIFS($K$4:K2019,$C$4:C2019,$C2019),2))</f>
        <v/>
      </c>
      <c r="M2019" s="19">
        <f>IF($C2019="","",ROUND(SUM(基础资料!$B$4:$B$13)+SUM($J$4:J2019)-SUM($K$4:K2019),2))</f>
        <v/>
      </c>
      <c r="N2019" s="13" t="n"/>
      <c r="O2019" s="13" t="n"/>
      <c r="P2019" s="17">
        <f>IF($B2019="","",IF($F2019="※类别不在基础资料里","※费用类别不在基础资料里",IF(AND(N($J2019)=0,N($K2019)=0),"※这行没填金额",IF(AND(N($J2019)&gt;0,N($K2019)&gt;0),"※收入和支出不能同一行都填",IF(AND($D2019="收入",N($J2019)=0),"※收入行要填收入金额",IF(AND($D2019="支出",N($K2019)=0),"※支出行要填支出金额",IF(AND($C2019&lt;&gt;"",ISNA(MATCH($C2019,账户表,0))),"※账户不在基础资料里",IF(AND($G2019&lt;&gt;"",ISNA(MATCH($G2019,项目名表,0))),"※项目不在项目台账里",IF(AND(LEFT($F2019,3)="成本-",$G2019=""),"※成本类支出没填项目",IF(AND(LEFT($F2019,3)="成本-",$H2019&lt;&gt;"",N($K2019)&gt;0,COUNTIFS(采购单!$B:$B,$B2019,采购单!$C:$C,$H2019,采购单!$L:$L,$K2019)&gt;0),"※这笔可能和采购单重复了",""))))))))))</f>
        <v/>
      </c>
    </row>
    <row r="2020">
      <c r="A2020" s="17">
        <f>IF($B2020="","",ROW()-3)</f>
        <v/>
      </c>
      <c r="B2020" s="18" t="n"/>
      <c r="C2020" s="13" t="n"/>
      <c r="D2020" s="13" t="n"/>
      <c r="E2020" s="13" t="n"/>
      <c r="F2020" s="17">
        <f>IF($E2020="","",IFERROR(VLOOKUP($E2020,类别归属,2,0),"※类别不在基础资料里"))</f>
        <v/>
      </c>
      <c r="G2020" s="13" t="n"/>
      <c r="H2020" s="13" t="n"/>
      <c r="I2020" s="13" t="n"/>
      <c r="J2020" s="14" t="n"/>
      <c r="K2020" s="14" t="n"/>
      <c r="L2020" s="19">
        <f>IF($C2020="","",ROUND(IFERROR(VLOOKUP($C2020,账户期初,2,0),0)+SUMIFS($J$4:J2020,$C$4:C2020,$C2020)-SUMIFS($K$4:K2020,$C$4:C2020,$C2020),2))</f>
        <v/>
      </c>
      <c r="M2020" s="19">
        <f>IF($C2020="","",ROUND(SUM(基础资料!$B$4:$B$13)+SUM($J$4:J2020)-SUM($K$4:K2020),2))</f>
        <v/>
      </c>
      <c r="N2020" s="13" t="n"/>
      <c r="O2020" s="13" t="n"/>
      <c r="P2020" s="17">
        <f>IF($B2020="","",IF($F2020="※类别不在基础资料里","※费用类别不在基础资料里",IF(AND(N($J2020)=0,N($K2020)=0),"※这行没填金额",IF(AND(N($J2020)&gt;0,N($K2020)&gt;0),"※收入和支出不能同一行都填",IF(AND($D2020="收入",N($J2020)=0),"※收入行要填收入金额",IF(AND($D2020="支出",N($K2020)=0),"※支出行要填支出金额",IF(AND($C2020&lt;&gt;"",ISNA(MATCH($C2020,账户表,0))),"※账户不在基础资料里",IF(AND($G2020&lt;&gt;"",ISNA(MATCH($G2020,项目名表,0))),"※项目不在项目台账里",IF(AND(LEFT($F2020,3)="成本-",$G2020=""),"※成本类支出没填项目",IF(AND(LEFT($F2020,3)="成本-",$H2020&lt;&gt;"",N($K2020)&gt;0,COUNTIFS(采购单!$B:$B,$B2020,采购单!$C:$C,$H2020,采购单!$L:$L,$K2020)&gt;0),"※这笔可能和采购单重复了",""))))))))))</f>
        <v/>
      </c>
    </row>
    <row r="2021">
      <c r="A2021" s="17">
        <f>IF($B2021="","",ROW()-3)</f>
        <v/>
      </c>
      <c r="B2021" s="18" t="n"/>
      <c r="C2021" s="13" t="n"/>
      <c r="D2021" s="13" t="n"/>
      <c r="E2021" s="13" t="n"/>
      <c r="F2021" s="17">
        <f>IF($E2021="","",IFERROR(VLOOKUP($E2021,类别归属,2,0),"※类别不在基础资料里"))</f>
        <v/>
      </c>
      <c r="G2021" s="13" t="n"/>
      <c r="H2021" s="13" t="n"/>
      <c r="I2021" s="13" t="n"/>
      <c r="J2021" s="14" t="n"/>
      <c r="K2021" s="14" t="n"/>
      <c r="L2021" s="19">
        <f>IF($C2021="","",ROUND(IFERROR(VLOOKUP($C2021,账户期初,2,0),0)+SUMIFS($J$4:J2021,$C$4:C2021,$C2021)-SUMIFS($K$4:K2021,$C$4:C2021,$C2021),2))</f>
        <v/>
      </c>
      <c r="M2021" s="19">
        <f>IF($C2021="","",ROUND(SUM(基础资料!$B$4:$B$13)+SUM($J$4:J2021)-SUM($K$4:K2021),2))</f>
        <v/>
      </c>
      <c r="N2021" s="13" t="n"/>
      <c r="O2021" s="13" t="n"/>
      <c r="P2021" s="17">
        <f>IF($B2021="","",IF($F2021="※类别不在基础资料里","※费用类别不在基础资料里",IF(AND(N($J2021)=0,N($K2021)=0),"※这行没填金额",IF(AND(N($J2021)&gt;0,N($K2021)&gt;0),"※收入和支出不能同一行都填",IF(AND($D2021="收入",N($J2021)=0),"※收入行要填收入金额",IF(AND($D2021="支出",N($K2021)=0),"※支出行要填支出金额",IF(AND($C2021&lt;&gt;"",ISNA(MATCH($C2021,账户表,0))),"※账户不在基础资料里",IF(AND($G2021&lt;&gt;"",ISNA(MATCH($G2021,项目名表,0))),"※项目不在项目台账里",IF(AND(LEFT($F2021,3)="成本-",$G2021=""),"※成本类支出没填项目",IF(AND(LEFT($F2021,3)="成本-",$H2021&lt;&gt;"",N($K2021)&gt;0,COUNTIFS(采购单!$B:$B,$B2021,采购单!$C:$C,$H2021,采购单!$L:$L,$K2021)&gt;0),"※这笔可能和采购单重复了",""))))))))))</f>
        <v/>
      </c>
    </row>
    <row r="2022">
      <c r="A2022" s="17">
        <f>IF($B2022="","",ROW()-3)</f>
        <v/>
      </c>
      <c r="B2022" s="18" t="n"/>
      <c r="C2022" s="13" t="n"/>
      <c r="D2022" s="13" t="n"/>
      <c r="E2022" s="13" t="n"/>
      <c r="F2022" s="17">
        <f>IF($E2022="","",IFERROR(VLOOKUP($E2022,类别归属,2,0),"※类别不在基础资料里"))</f>
        <v/>
      </c>
      <c r="G2022" s="13" t="n"/>
      <c r="H2022" s="13" t="n"/>
      <c r="I2022" s="13" t="n"/>
      <c r="J2022" s="14" t="n"/>
      <c r="K2022" s="14" t="n"/>
      <c r="L2022" s="19">
        <f>IF($C2022="","",ROUND(IFERROR(VLOOKUP($C2022,账户期初,2,0),0)+SUMIFS($J$4:J2022,$C$4:C2022,$C2022)-SUMIFS($K$4:K2022,$C$4:C2022,$C2022),2))</f>
        <v/>
      </c>
      <c r="M2022" s="19">
        <f>IF($C2022="","",ROUND(SUM(基础资料!$B$4:$B$13)+SUM($J$4:J2022)-SUM($K$4:K2022),2))</f>
        <v/>
      </c>
      <c r="N2022" s="13" t="n"/>
      <c r="O2022" s="13" t="n"/>
      <c r="P2022" s="17">
        <f>IF($B2022="","",IF($F2022="※类别不在基础资料里","※费用类别不在基础资料里",IF(AND(N($J2022)=0,N($K2022)=0),"※这行没填金额",IF(AND(N($J2022)&gt;0,N($K2022)&gt;0),"※收入和支出不能同一行都填",IF(AND($D2022="收入",N($J2022)=0),"※收入行要填收入金额",IF(AND($D2022="支出",N($K2022)=0),"※支出行要填支出金额",IF(AND($C2022&lt;&gt;"",ISNA(MATCH($C2022,账户表,0))),"※账户不在基础资料里",IF(AND($G2022&lt;&gt;"",ISNA(MATCH($G2022,项目名表,0))),"※项目不在项目台账里",IF(AND(LEFT($F2022,3)="成本-",$G2022=""),"※成本类支出没填项目",IF(AND(LEFT($F2022,3)="成本-",$H2022&lt;&gt;"",N($K2022)&gt;0,COUNTIFS(采购单!$B:$B,$B2022,采购单!$C:$C,$H2022,采购单!$L:$L,$K2022)&gt;0),"※这笔可能和采购单重复了",""))))))))))</f>
        <v/>
      </c>
    </row>
    <row r="2023">
      <c r="A2023" s="17">
        <f>IF($B2023="","",ROW()-3)</f>
        <v/>
      </c>
      <c r="B2023" s="18" t="n"/>
      <c r="C2023" s="13" t="n"/>
      <c r="D2023" s="13" t="n"/>
      <c r="E2023" s="13" t="n"/>
      <c r="F2023" s="17">
        <f>IF($E2023="","",IFERROR(VLOOKUP($E2023,类别归属,2,0),"※类别不在基础资料里"))</f>
        <v/>
      </c>
      <c r="G2023" s="13" t="n"/>
      <c r="H2023" s="13" t="n"/>
      <c r="I2023" s="13" t="n"/>
      <c r="J2023" s="14" t="n"/>
      <c r="K2023" s="14" t="n"/>
      <c r="L2023" s="19">
        <f>IF($C2023="","",ROUND(IFERROR(VLOOKUP($C2023,账户期初,2,0),0)+SUMIFS($J$4:J2023,$C$4:C2023,$C2023)-SUMIFS($K$4:K2023,$C$4:C2023,$C2023),2))</f>
        <v/>
      </c>
      <c r="M2023" s="19">
        <f>IF($C2023="","",ROUND(SUM(基础资料!$B$4:$B$13)+SUM($J$4:J2023)-SUM($K$4:K2023),2))</f>
        <v/>
      </c>
      <c r="N2023" s="13" t="n"/>
      <c r="O2023" s="13" t="n"/>
      <c r="P2023" s="17">
        <f>IF($B2023="","",IF($F2023="※类别不在基础资料里","※费用类别不在基础资料里",IF(AND(N($J2023)=0,N($K2023)=0),"※这行没填金额",IF(AND(N($J2023)&gt;0,N($K2023)&gt;0),"※收入和支出不能同一行都填",IF(AND($D2023="收入",N($J2023)=0),"※收入行要填收入金额",IF(AND($D2023="支出",N($K2023)=0),"※支出行要填支出金额",IF(AND($C2023&lt;&gt;"",ISNA(MATCH($C2023,账户表,0))),"※账户不在基础资料里",IF(AND($G2023&lt;&gt;"",ISNA(MATCH($G2023,项目名表,0))),"※项目不在项目台账里",IF(AND(LEFT($F2023,3)="成本-",$G2023=""),"※成本类支出没填项目",IF(AND(LEFT($F2023,3)="成本-",$H2023&lt;&gt;"",N($K2023)&gt;0,COUNTIFS(采购单!$B:$B,$B2023,采购单!$C:$C,$H2023,采购单!$L:$L,$K2023)&gt;0),"※这笔可能和采购单重复了",""))))))))))</f>
        <v/>
      </c>
    </row>
    <row r="2024">
      <c r="A2024" s="17">
        <f>IF($B2024="","",ROW()-3)</f>
        <v/>
      </c>
      <c r="B2024" s="18" t="n"/>
      <c r="C2024" s="13" t="n"/>
      <c r="D2024" s="13" t="n"/>
      <c r="E2024" s="13" t="n"/>
      <c r="F2024" s="17">
        <f>IF($E2024="","",IFERROR(VLOOKUP($E2024,类别归属,2,0),"※类别不在基础资料里"))</f>
        <v/>
      </c>
      <c r="G2024" s="13" t="n"/>
      <c r="H2024" s="13" t="n"/>
      <c r="I2024" s="13" t="n"/>
      <c r="J2024" s="14" t="n"/>
      <c r="K2024" s="14" t="n"/>
      <c r="L2024" s="19">
        <f>IF($C2024="","",ROUND(IFERROR(VLOOKUP($C2024,账户期初,2,0),0)+SUMIFS($J$4:J2024,$C$4:C2024,$C2024)-SUMIFS($K$4:K2024,$C$4:C2024,$C2024),2))</f>
        <v/>
      </c>
      <c r="M2024" s="19">
        <f>IF($C2024="","",ROUND(SUM(基础资料!$B$4:$B$13)+SUM($J$4:J2024)-SUM($K$4:K2024),2))</f>
        <v/>
      </c>
      <c r="N2024" s="13" t="n"/>
      <c r="O2024" s="13" t="n"/>
      <c r="P2024" s="17">
        <f>IF($B2024="","",IF($F2024="※类别不在基础资料里","※费用类别不在基础资料里",IF(AND(N($J2024)=0,N($K2024)=0),"※这行没填金额",IF(AND(N($J2024)&gt;0,N($K2024)&gt;0),"※收入和支出不能同一行都填",IF(AND($D2024="收入",N($J2024)=0),"※收入行要填收入金额",IF(AND($D2024="支出",N($K2024)=0),"※支出行要填支出金额",IF(AND($C2024&lt;&gt;"",ISNA(MATCH($C2024,账户表,0))),"※账户不在基础资料里",IF(AND($G2024&lt;&gt;"",ISNA(MATCH($G2024,项目名表,0))),"※项目不在项目台账里",IF(AND(LEFT($F2024,3)="成本-",$G2024=""),"※成本类支出没填项目",IF(AND(LEFT($F2024,3)="成本-",$H2024&lt;&gt;"",N($K2024)&gt;0,COUNTIFS(采购单!$B:$B,$B2024,采购单!$C:$C,$H2024,采购单!$L:$L,$K2024)&gt;0),"※这笔可能和采购单重复了",""))))))))))</f>
        <v/>
      </c>
    </row>
    <row r="2025">
      <c r="A2025" s="17">
        <f>IF($B2025="","",ROW()-3)</f>
        <v/>
      </c>
      <c r="B2025" s="18" t="n"/>
      <c r="C2025" s="13" t="n"/>
      <c r="D2025" s="13" t="n"/>
      <c r="E2025" s="13" t="n"/>
      <c r="F2025" s="17">
        <f>IF($E2025="","",IFERROR(VLOOKUP($E2025,类别归属,2,0),"※类别不在基础资料里"))</f>
        <v/>
      </c>
      <c r="G2025" s="13" t="n"/>
      <c r="H2025" s="13" t="n"/>
      <c r="I2025" s="13" t="n"/>
      <c r="J2025" s="14" t="n"/>
      <c r="K2025" s="14" t="n"/>
      <c r="L2025" s="19">
        <f>IF($C2025="","",ROUND(IFERROR(VLOOKUP($C2025,账户期初,2,0),0)+SUMIFS($J$4:J2025,$C$4:C2025,$C2025)-SUMIFS($K$4:K2025,$C$4:C2025,$C2025),2))</f>
        <v/>
      </c>
      <c r="M2025" s="19">
        <f>IF($C2025="","",ROUND(SUM(基础资料!$B$4:$B$13)+SUM($J$4:J2025)-SUM($K$4:K2025),2))</f>
        <v/>
      </c>
      <c r="N2025" s="13" t="n"/>
      <c r="O2025" s="13" t="n"/>
      <c r="P2025" s="17">
        <f>IF($B2025="","",IF($F2025="※类别不在基础资料里","※费用类别不在基础资料里",IF(AND(N($J2025)=0,N($K2025)=0),"※这行没填金额",IF(AND(N($J2025)&gt;0,N($K2025)&gt;0),"※收入和支出不能同一行都填",IF(AND($D2025="收入",N($J2025)=0),"※收入行要填收入金额",IF(AND($D2025="支出",N($K2025)=0),"※支出行要填支出金额",IF(AND($C2025&lt;&gt;"",ISNA(MATCH($C2025,账户表,0))),"※账户不在基础资料里",IF(AND($G2025&lt;&gt;"",ISNA(MATCH($G2025,项目名表,0))),"※项目不在项目台账里",IF(AND(LEFT($F2025,3)="成本-",$G2025=""),"※成本类支出没填项目",IF(AND(LEFT($F2025,3)="成本-",$H2025&lt;&gt;"",N($K2025)&gt;0,COUNTIFS(采购单!$B:$B,$B2025,采购单!$C:$C,$H2025,采购单!$L:$L,$K2025)&gt;0),"※这笔可能和采购单重复了",""))))))))))</f>
        <v/>
      </c>
    </row>
    <row r="2026">
      <c r="A2026" s="17">
        <f>IF($B2026="","",ROW()-3)</f>
        <v/>
      </c>
      <c r="B2026" s="18" t="n"/>
      <c r="C2026" s="13" t="n"/>
      <c r="D2026" s="13" t="n"/>
      <c r="E2026" s="13" t="n"/>
      <c r="F2026" s="17">
        <f>IF($E2026="","",IFERROR(VLOOKUP($E2026,类别归属,2,0),"※类别不在基础资料里"))</f>
        <v/>
      </c>
      <c r="G2026" s="13" t="n"/>
      <c r="H2026" s="13" t="n"/>
      <c r="I2026" s="13" t="n"/>
      <c r="J2026" s="14" t="n"/>
      <c r="K2026" s="14" t="n"/>
      <c r="L2026" s="19">
        <f>IF($C2026="","",ROUND(IFERROR(VLOOKUP($C2026,账户期初,2,0),0)+SUMIFS($J$4:J2026,$C$4:C2026,$C2026)-SUMIFS($K$4:K2026,$C$4:C2026,$C2026),2))</f>
        <v/>
      </c>
      <c r="M2026" s="19">
        <f>IF($C2026="","",ROUND(SUM(基础资料!$B$4:$B$13)+SUM($J$4:J2026)-SUM($K$4:K2026),2))</f>
        <v/>
      </c>
      <c r="N2026" s="13" t="n"/>
      <c r="O2026" s="13" t="n"/>
      <c r="P2026" s="17">
        <f>IF($B2026="","",IF($F2026="※类别不在基础资料里","※费用类别不在基础资料里",IF(AND(N($J2026)=0,N($K2026)=0),"※这行没填金额",IF(AND(N($J2026)&gt;0,N($K2026)&gt;0),"※收入和支出不能同一行都填",IF(AND($D2026="收入",N($J2026)=0),"※收入行要填收入金额",IF(AND($D2026="支出",N($K2026)=0),"※支出行要填支出金额",IF(AND($C2026&lt;&gt;"",ISNA(MATCH($C2026,账户表,0))),"※账户不在基础资料里",IF(AND($G2026&lt;&gt;"",ISNA(MATCH($G2026,项目名表,0))),"※项目不在项目台账里",IF(AND(LEFT($F2026,3)="成本-",$G2026=""),"※成本类支出没填项目",IF(AND(LEFT($F2026,3)="成本-",$H2026&lt;&gt;"",N($K2026)&gt;0,COUNTIFS(采购单!$B:$B,$B2026,采购单!$C:$C,$H2026,采购单!$L:$L,$K2026)&gt;0),"※这笔可能和采购单重复了",""))))))))))</f>
        <v/>
      </c>
    </row>
    <row r="2027">
      <c r="A2027" s="17">
        <f>IF($B2027="","",ROW()-3)</f>
        <v/>
      </c>
      <c r="B2027" s="18" t="n"/>
      <c r="C2027" s="13" t="n"/>
      <c r="D2027" s="13" t="n"/>
      <c r="E2027" s="13" t="n"/>
      <c r="F2027" s="17">
        <f>IF($E2027="","",IFERROR(VLOOKUP($E2027,类别归属,2,0),"※类别不在基础资料里"))</f>
        <v/>
      </c>
      <c r="G2027" s="13" t="n"/>
      <c r="H2027" s="13" t="n"/>
      <c r="I2027" s="13" t="n"/>
      <c r="J2027" s="14" t="n"/>
      <c r="K2027" s="14" t="n"/>
      <c r="L2027" s="19">
        <f>IF($C2027="","",ROUND(IFERROR(VLOOKUP($C2027,账户期初,2,0),0)+SUMIFS($J$4:J2027,$C$4:C2027,$C2027)-SUMIFS($K$4:K2027,$C$4:C2027,$C2027),2))</f>
        <v/>
      </c>
      <c r="M2027" s="19">
        <f>IF($C2027="","",ROUND(SUM(基础资料!$B$4:$B$13)+SUM($J$4:J2027)-SUM($K$4:K2027),2))</f>
        <v/>
      </c>
      <c r="N2027" s="13" t="n"/>
      <c r="O2027" s="13" t="n"/>
      <c r="P2027" s="17">
        <f>IF($B2027="","",IF($F2027="※类别不在基础资料里","※费用类别不在基础资料里",IF(AND(N($J2027)=0,N($K2027)=0),"※这行没填金额",IF(AND(N($J2027)&gt;0,N($K2027)&gt;0),"※收入和支出不能同一行都填",IF(AND($D2027="收入",N($J2027)=0),"※收入行要填收入金额",IF(AND($D2027="支出",N($K2027)=0),"※支出行要填支出金额",IF(AND($C2027&lt;&gt;"",ISNA(MATCH($C2027,账户表,0))),"※账户不在基础资料里",IF(AND($G2027&lt;&gt;"",ISNA(MATCH($G2027,项目名表,0))),"※项目不在项目台账里",IF(AND(LEFT($F2027,3)="成本-",$G2027=""),"※成本类支出没填项目",IF(AND(LEFT($F2027,3)="成本-",$H2027&lt;&gt;"",N($K2027)&gt;0,COUNTIFS(采购单!$B:$B,$B2027,采购单!$C:$C,$H2027,采购单!$L:$L,$K2027)&gt;0),"※这笔可能和采购单重复了",""))))))))))</f>
        <v/>
      </c>
    </row>
    <row r="2028">
      <c r="A2028" s="17">
        <f>IF($B2028="","",ROW()-3)</f>
        <v/>
      </c>
      <c r="B2028" s="18" t="n"/>
      <c r="C2028" s="13" t="n"/>
      <c r="D2028" s="13" t="n"/>
      <c r="E2028" s="13" t="n"/>
      <c r="F2028" s="17">
        <f>IF($E2028="","",IFERROR(VLOOKUP($E2028,类别归属,2,0),"※类别不在基础资料里"))</f>
        <v/>
      </c>
      <c r="G2028" s="13" t="n"/>
      <c r="H2028" s="13" t="n"/>
      <c r="I2028" s="13" t="n"/>
      <c r="J2028" s="14" t="n"/>
      <c r="K2028" s="14" t="n"/>
      <c r="L2028" s="19">
        <f>IF($C2028="","",ROUND(IFERROR(VLOOKUP($C2028,账户期初,2,0),0)+SUMIFS($J$4:J2028,$C$4:C2028,$C2028)-SUMIFS($K$4:K2028,$C$4:C2028,$C2028),2))</f>
        <v/>
      </c>
      <c r="M2028" s="19">
        <f>IF($C2028="","",ROUND(SUM(基础资料!$B$4:$B$13)+SUM($J$4:J2028)-SUM($K$4:K2028),2))</f>
        <v/>
      </c>
      <c r="N2028" s="13" t="n"/>
      <c r="O2028" s="13" t="n"/>
      <c r="P2028" s="17">
        <f>IF($B2028="","",IF($F2028="※类别不在基础资料里","※费用类别不在基础资料里",IF(AND(N($J2028)=0,N($K2028)=0),"※这行没填金额",IF(AND(N($J2028)&gt;0,N($K2028)&gt;0),"※收入和支出不能同一行都填",IF(AND($D2028="收入",N($J2028)=0),"※收入行要填收入金额",IF(AND($D2028="支出",N($K2028)=0),"※支出行要填支出金额",IF(AND($C2028&lt;&gt;"",ISNA(MATCH($C2028,账户表,0))),"※账户不在基础资料里",IF(AND($G2028&lt;&gt;"",ISNA(MATCH($G2028,项目名表,0))),"※项目不在项目台账里",IF(AND(LEFT($F2028,3)="成本-",$G2028=""),"※成本类支出没填项目",IF(AND(LEFT($F2028,3)="成本-",$H2028&lt;&gt;"",N($K2028)&gt;0,COUNTIFS(采购单!$B:$B,$B2028,采购单!$C:$C,$H2028,采购单!$L:$L,$K2028)&gt;0),"※这笔可能和采购单重复了",""))))))))))</f>
        <v/>
      </c>
    </row>
    <row r="2029">
      <c r="A2029" s="17">
        <f>IF($B2029="","",ROW()-3)</f>
        <v/>
      </c>
      <c r="B2029" s="18" t="n"/>
      <c r="C2029" s="13" t="n"/>
      <c r="D2029" s="13" t="n"/>
      <c r="E2029" s="13" t="n"/>
      <c r="F2029" s="17">
        <f>IF($E2029="","",IFERROR(VLOOKUP($E2029,类别归属,2,0),"※类别不在基础资料里"))</f>
        <v/>
      </c>
      <c r="G2029" s="13" t="n"/>
      <c r="H2029" s="13" t="n"/>
      <c r="I2029" s="13" t="n"/>
      <c r="J2029" s="14" t="n"/>
      <c r="K2029" s="14" t="n"/>
      <c r="L2029" s="19">
        <f>IF($C2029="","",ROUND(IFERROR(VLOOKUP($C2029,账户期初,2,0),0)+SUMIFS($J$4:J2029,$C$4:C2029,$C2029)-SUMIFS($K$4:K2029,$C$4:C2029,$C2029),2))</f>
        <v/>
      </c>
      <c r="M2029" s="19">
        <f>IF($C2029="","",ROUND(SUM(基础资料!$B$4:$B$13)+SUM($J$4:J2029)-SUM($K$4:K2029),2))</f>
        <v/>
      </c>
      <c r="N2029" s="13" t="n"/>
      <c r="O2029" s="13" t="n"/>
      <c r="P2029" s="17">
        <f>IF($B2029="","",IF($F2029="※类别不在基础资料里","※费用类别不在基础资料里",IF(AND(N($J2029)=0,N($K2029)=0),"※这行没填金额",IF(AND(N($J2029)&gt;0,N($K2029)&gt;0),"※收入和支出不能同一行都填",IF(AND($D2029="收入",N($J2029)=0),"※收入行要填收入金额",IF(AND($D2029="支出",N($K2029)=0),"※支出行要填支出金额",IF(AND($C2029&lt;&gt;"",ISNA(MATCH($C2029,账户表,0))),"※账户不在基础资料里",IF(AND($G2029&lt;&gt;"",ISNA(MATCH($G2029,项目名表,0))),"※项目不在项目台账里",IF(AND(LEFT($F2029,3)="成本-",$G2029=""),"※成本类支出没填项目",IF(AND(LEFT($F2029,3)="成本-",$H2029&lt;&gt;"",N($K2029)&gt;0,COUNTIFS(采购单!$B:$B,$B2029,采购单!$C:$C,$H2029,采购单!$L:$L,$K2029)&gt;0),"※这笔可能和采购单重复了",""))))))))))</f>
        <v/>
      </c>
    </row>
    <row r="2030">
      <c r="A2030" s="17">
        <f>IF($B2030="","",ROW()-3)</f>
        <v/>
      </c>
      <c r="B2030" s="18" t="n"/>
      <c r="C2030" s="13" t="n"/>
      <c r="D2030" s="13" t="n"/>
      <c r="E2030" s="13" t="n"/>
      <c r="F2030" s="17">
        <f>IF($E2030="","",IFERROR(VLOOKUP($E2030,类别归属,2,0),"※类别不在基础资料里"))</f>
        <v/>
      </c>
      <c r="G2030" s="13" t="n"/>
      <c r="H2030" s="13" t="n"/>
      <c r="I2030" s="13" t="n"/>
      <c r="J2030" s="14" t="n"/>
      <c r="K2030" s="14" t="n"/>
      <c r="L2030" s="19">
        <f>IF($C2030="","",ROUND(IFERROR(VLOOKUP($C2030,账户期初,2,0),0)+SUMIFS($J$4:J2030,$C$4:C2030,$C2030)-SUMIFS($K$4:K2030,$C$4:C2030,$C2030),2))</f>
        <v/>
      </c>
      <c r="M2030" s="19">
        <f>IF($C2030="","",ROUND(SUM(基础资料!$B$4:$B$13)+SUM($J$4:J2030)-SUM($K$4:K2030),2))</f>
        <v/>
      </c>
      <c r="N2030" s="13" t="n"/>
      <c r="O2030" s="13" t="n"/>
      <c r="P2030" s="17">
        <f>IF($B2030="","",IF($F2030="※类别不在基础资料里","※费用类别不在基础资料里",IF(AND(N($J2030)=0,N($K2030)=0),"※这行没填金额",IF(AND(N($J2030)&gt;0,N($K2030)&gt;0),"※收入和支出不能同一行都填",IF(AND($D2030="收入",N($J2030)=0),"※收入行要填收入金额",IF(AND($D2030="支出",N($K2030)=0),"※支出行要填支出金额",IF(AND($C2030&lt;&gt;"",ISNA(MATCH($C2030,账户表,0))),"※账户不在基础资料里",IF(AND($G2030&lt;&gt;"",ISNA(MATCH($G2030,项目名表,0))),"※项目不在项目台账里",IF(AND(LEFT($F2030,3)="成本-",$G2030=""),"※成本类支出没填项目",IF(AND(LEFT($F2030,3)="成本-",$H2030&lt;&gt;"",N($K2030)&gt;0,COUNTIFS(采购单!$B:$B,$B2030,采购单!$C:$C,$H2030,采购单!$L:$L,$K2030)&gt;0),"※这笔可能和采购单重复了",""))))))))))</f>
        <v/>
      </c>
    </row>
    <row r="2031">
      <c r="A2031" s="17">
        <f>IF($B2031="","",ROW()-3)</f>
        <v/>
      </c>
      <c r="B2031" s="18" t="n"/>
      <c r="C2031" s="13" t="n"/>
      <c r="D2031" s="13" t="n"/>
      <c r="E2031" s="13" t="n"/>
      <c r="F2031" s="17">
        <f>IF($E2031="","",IFERROR(VLOOKUP($E2031,类别归属,2,0),"※类别不在基础资料里"))</f>
        <v/>
      </c>
      <c r="G2031" s="13" t="n"/>
      <c r="H2031" s="13" t="n"/>
      <c r="I2031" s="13" t="n"/>
      <c r="J2031" s="14" t="n"/>
      <c r="K2031" s="14" t="n"/>
      <c r="L2031" s="19">
        <f>IF($C2031="","",ROUND(IFERROR(VLOOKUP($C2031,账户期初,2,0),0)+SUMIFS($J$4:J2031,$C$4:C2031,$C2031)-SUMIFS($K$4:K2031,$C$4:C2031,$C2031),2))</f>
        <v/>
      </c>
      <c r="M2031" s="19">
        <f>IF($C2031="","",ROUND(SUM(基础资料!$B$4:$B$13)+SUM($J$4:J2031)-SUM($K$4:K2031),2))</f>
        <v/>
      </c>
      <c r="N2031" s="13" t="n"/>
      <c r="O2031" s="13" t="n"/>
      <c r="P2031" s="17">
        <f>IF($B2031="","",IF($F2031="※类别不在基础资料里","※费用类别不在基础资料里",IF(AND(N($J2031)=0,N($K2031)=0),"※这行没填金额",IF(AND(N($J2031)&gt;0,N($K2031)&gt;0),"※收入和支出不能同一行都填",IF(AND($D2031="收入",N($J2031)=0),"※收入行要填收入金额",IF(AND($D2031="支出",N($K2031)=0),"※支出行要填支出金额",IF(AND($C2031&lt;&gt;"",ISNA(MATCH($C2031,账户表,0))),"※账户不在基础资料里",IF(AND($G2031&lt;&gt;"",ISNA(MATCH($G2031,项目名表,0))),"※项目不在项目台账里",IF(AND(LEFT($F2031,3)="成本-",$G2031=""),"※成本类支出没填项目",IF(AND(LEFT($F2031,3)="成本-",$H2031&lt;&gt;"",N($K2031)&gt;0,COUNTIFS(采购单!$B:$B,$B2031,采购单!$C:$C,$H2031,采购单!$L:$L,$K2031)&gt;0),"※这笔可能和采购单重复了",""))))))))))</f>
        <v/>
      </c>
    </row>
    <row r="2032">
      <c r="A2032" s="17">
        <f>IF($B2032="","",ROW()-3)</f>
        <v/>
      </c>
      <c r="B2032" s="18" t="n"/>
      <c r="C2032" s="13" t="n"/>
      <c r="D2032" s="13" t="n"/>
      <c r="E2032" s="13" t="n"/>
      <c r="F2032" s="17">
        <f>IF($E2032="","",IFERROR(VLOOKUP($E2032,类别归属,2,0),"※类别不在基础资料里"))</f>
        <v/>
      </c>
      <c r="G2032" s="13" t="n"/>
      <c r="H2032" s="13" t="n"/>
      <c r="I2032" s="13" t="n"/>
      <c r="J2032" s="14" t="n"/>
      <c r="K2032" s="14" t="n"/>
      <c r="L2032" s="19">
        <f>IF($C2032="","",ROUND(IFERROR(VLOOKUP($C2032,账户期初,2,0),0)+SUMIFS($J$4:J2032,$C$4:C2032,$C2032)-SUMIFS($K$4:K2032,$C$4:C2032,$C2032),2))</f>
        <v/>
      </c>
      <c r="M2032" s="19">
        <f>IF($C2032="","",ROUND(SUM(基础资料!$B$4:$B$13)+SUM($J$4:J2032)-SUM($K$4:K2032),2))</f>
        <v/>
      </c>
      <c r="N2032" s="13" t="n"/>
      <c r="O2032" s="13" t="n"/>
      <c r="P2032" s="17">
        <f>IF($B2032="","",IF($F2032="※类别不在基础资料里","※费用类别不在基础资料里",IF(AND(N($J2032)=0,N($K2032)=0),"※这行没填金额",IF(AND(N($J2032)&gt;0,N($K2032)&gt;0),"※收入和支出不能同一行都填",IF(AND($D2032="收入",N($J2032)=0),"※收入行要填收入金额",IF(AND($D2032="支出",N($K2032)=0),"※支出行要填支出金额",IF(AND($C2032&lt;&gt;"",ISNA(MATCH($C2032,账户表,0))),"※账户不在基础资料里",IF(AND($G2032&lt;&gt;"",ISNA(MATCH($G2032,项目名表,0))),"※项目不在项目台账里",IF(AND(LEFT($F2032,3)="成本-",$G2032=""),"※成本类支出没填项目",IF(AND(LEFT($F2032,3)="成本-",$H2032&lt;&gt;"",N($K2032)&gt;0,COUNTIFS(采购单!$B:$B,$B2032,采购单!$C:$C,$H2032,采购单!$L:$L,$K2032)&gt;0),"※这笔可能和采购单重复了",""))))))))))</f>
        <v/>
      </c>
    </row>
    <row r="2033">
      <c r="A2033" s="17">
        <f>IF($B2033="","",ROW()-3)</f>
        <v/>
      </c>
      <c r="B2033" s="18" t="n"/>
      <c r="C2033" s="13" t="n"/>
      <c r="D2033" s="13" t="n"/>
      <c r="E2033" s="13" t="n"/>
      <c r="F2033" s="17">
        <f>IF($E2033="","",IFERROR(VLOOKUP($E2033,类别归属,2,0),"※类别不在基础资料里"))</f>
        <v/>
      </c>
      <c r="G2033" s="13" t="n"/>
      <c r="H2033" s="13" t="n"/>
      <c r="I2033" s="13" t="n"/>
      <c r="J2033" s="14" t="n"/>
      <c r="K2033" s="14" t="n"/>
      <c r="L2033" s="19">
        <f>IF($C2033="","",ROUND(IFERROR(VLOOKUP($C2033,账户期初,2,0),0)+SUMIFS($J$4:J2033,$C$4:C2033,$C2033)-SUMIFS($K$4:K2033,$C$4:C2033,$C2033),2))</f>
        <v/>
      </c>
      <c r="M2033" s="19">
        <f>IF($C2033="","",ROUND(SUM(基础资料!$B$4:$B$13)+SUM($J$4:J2033)-SUM($K$4:K2033),2))</f>
        <v/>
      </c>
      <c r="N2033" s="13" t="n"/>
      <c r="O2033" s="13" t="n"/>
      <c r="P2033" s="17">
        <f>IF($B2033="","",IF($F2033="※类别不在基础资料里","※费用类别不在基础资料里",IF(AND(N($J2033)=0,N($K2033)=0),"※这行没填金额",IF(AND(N($J2033)&gt;0,N($K2033)&gt;0),"※收入和支出不能同一行都填",IF(AND($D2033="收入",N($J2033)=0),"※收入行要填收入金额",IF(AND($D2033="支出",N($K2033)=0),"※支出行要填支出金额",IF(AND($C2033&lt;&gt;"",ISNA(MATCH($C2033,账户表,0))),"※账户不在基础资料里",IF(AND($G2033&lt;&gt;"",ISNA(MATCH($G2033,项目名表,0))),"※项目不在项目台账里",IF(AND(LEFT($F2033,3)="成本-",$G2033=""),"※成本类支出没填项目",IF(AND(LEFT($F2033,3)="成本-",$H2033&lt;&gt;"",N($K2033)&gt;0,COUNTIFS(采购单!$B:$B,$B2033,采购单!$C:$C,$H2033,采购单!$L:$L,$K2033)&gt;0),"※这笔可能和采购单重复了",""))))))))))</f>
        <v/>
      </c>
    </row>
    <row r="2034">
      <c r="A2034" s="17">
        <f>IF($B2034="","",ROW()-3)</f>
        <v/>
      </c>
      <c r="B2034" s="18" t="n"/>
      <c r="C2034" s="13" t="n"/>
      <c r="D2034" s="13" t="n"/>
      <c r="E2034" s="13" t="n"/>
      <c r="F2034" s="17">
        <f>IF($E2034="","",IFERROR(VLOOKUP($E2034,类别归属,2,0),"※类别不在基础资料里"))</f>
        <v/>
      </c>
      <c r="G2034" s="13" t="n"/>
      <c r="H2034" s="13" t="n"/>
      <c r="I2034" s="13" t="n"/>
      <c r="J2034" s="14" t="n"/>
      <c r="K2034" s="14" t="n"/>
      <c r="L2034" s="19">
        <f>IF($C2034="","",ROUND(IFERROR(VLOOKUP($C2034,账户期初,2,0),0)+SUMIFS($J$4:J2034,$C$4:C2034,$C2034)-SUMIFS($K$4:K2034,$C$4:C2034,$C2034),2))</f>
        <v/>
      </c>
      <c r="M2034" s="19">
        <f>IF($C2034="","",ROUND(SUM(基础资料!$B$4:$B$13)+SUM($J$4:J2034)-SUM($K$4:K2034),2))</f>
        <v/>
      </c>
      <c r="N2034" s="13" t="n"/>
      <c r="O2034" s="13" t="n"/>
      <c r="P2034" s="17">
        <f>IF($B2034="","",IF($F2034="※类别不在基础资料里","※费用类别不在基础资料里",IF(AND(N($J2034)=0,N($K2034)=0),"※这行没填金额",IF(AND(N($J2034)&gt;0,N($K2034)&gt;0),"※收入和支出不能同一行都填",IF(AND($D2034="收入",N($J2034)=0),"※收入行要填收入金额",IF(AND($D2034="支出",N($K2034)=0),"※支出行要填支出金额",IF(AND($C2034&lt;&gt;"",ISNA(MATCH($C2034,账户表,0))),"※账户不在基础资料里",IF(AND($G2034&lt;&gt;"",ISNA(MATCH($G2034,项目名表,0))),"※项目不在项目台账里",IF(AND(LEFT($F2034,3)="成本-",$G2034=""),"※成本类支出没填项目",IF(AND(LEFT($F2034,3)="成本-",$H2034&lt;&gt;"",N($K2034)&gt;0,COUNTIFS(采购单!$B:$B,$B2034,采购单!$C:$C,$H2034,采购单!$L:$L,$K2034)&gt;0),"※这笔可能和采购单重复了",""))))))))))</f>
        <v/>
      </c>
    </row>
    <row r="2035">
      <c r="A2035" s="17">
        <f>IF($B2035="","",ROW()-3)</f>
        <v/>
      </c>
      <c r="B2035" s="18" t="n"/>
      <c r="C2035" s="13" t="n"/>
      <c r="D2035" s="13" t="n"/>
      <c r="E2035" s="13" t="n"/>
      <c r="F2035" s="17">
        <f>IF($E2035="","",IFERROR(VLOOKUP($E2035,类别归属,2,0),"※类别不在基础资料里"))</f>
        <v/>
      </c>
      <c r="G2035" s="13" t="n"/>
      <c r="H2035" s="13" t="n"/>
      <c r="I2035" s="13" t="n"/>
      <c r="J2035" s="14" t="n"/>
      <c r="K2035" s="14" t="n"/>
      <c r="L2035" s="19">
        <f>IF($C2035="","",ROUND(IFERROR(VLOOKUP($C2035,账户期初,2,0),0)+SUMIFS($J$4:J2035,$C$4:C2035,$C2035)-SUMIFS($K$4:K2035,$C$4:C2035,$C2035),2))</f>
        <v/>
      </c>
      <c r="M2035" s="19">
        <f>IF($C2035="","",ROUND(SUM(基础资料!$B$4:$B$13)+SUM($J$4:J2035)-SUM($K$4:K2035),2))</f>
        <v/>
      </c>
      <c r="N2035" s="13" t="n"/>
      <c r="O2035" s="13" t="n"/>
      <c r="P2035" s="17">
        <f>IF($B2035="","",IF($F2035="※类别不在基础资料里","※费用类别不在基础资料里",IF(AND(N($J2035)=0,N($K2035)=0),"※这行没填金额",IF(AND(N($J2035)&gt;0,N($K2035)&gt;0),"※收入和支出不能同一行都填",IF(AND($D2035="收入",N($J2035)=0),"※收入行要填收入金额",IF(AND($D2035="支出",N($K2035)=0),"※支出行要填支出金额",IF(AND($C2035&lt;&gt;"",ISNA(MATCH($C2035,账户表,0))),"※账户不在基础资料里",IF(AND($G2035&lt;&gt;"",ISNA(MATCH($G2035,项目名表,0))),"※项目不在项目台账里",IF(AND(LEFT($F2035,3)="成本-",$G2035=""),"※成本类支出没填项目",IF(AND(LEFT($F2035,3)="成本-",$H2035&lt;&gt;"",N($K2035)&gt;0,COUNTIFS(采购单!$B:$B,$B2035,采购单!$C:$C,$H2035,采购单!$L:$L,$K2035)&gt;0),"※这笔可能和采购单重复了",""))))))))))</f>
        <v/>
      </c>
    </row>
    <row r="2036">
      <c r="A2036" s="17">
        <f>IF($B2036="","",ROW()-3)</f>
        <v/>
      </c>
      <c r="B2036" s="18" t="n"/>
      <c r="C2036" s="13" t="n"/>
      <c r="D2036" s="13" t="n"/>
      <c r="E2036" s="13" t="n"/>
      <c r="F2036" s="17">
        <f>IF($E2036="","",IFERROR(VLOOKUP($E2036,类别归属,2,0),"※类别不在基础资料里"))</f>
        <v/>
      </c>
      <c r="G2036" s="13" t="n"/>
      <c r="H2036" s="13" t="n"/>
      <c r="I2036" s="13" t="n"/>
      <c r="J2036" s="14" t="n"/>
      <c r="K2036" s="14" t="n"/>
      <c r="L2036" s="19">
        <f>IF($C2036="","",ROUND(IFERROR(VLOOKUP($C2036,账户期初,2,0),0)+SUMIFS($J$4:J2036,$C$4:C2036,$C2036)-SUMIFS($K$4:K2036,$C$4:C2036,$C2036),2))</f>
        <v/>
      </c>
      <c r="M2036" s="19">
        <f>IF($C2036="","",ROUND(SUM(基础资料!$B$4:$B$13)+SUM($J$4:J2036)-SUM($K$4:K2036),2))</f>
        <v/>
      </c>
      <c r="N2036" s="13" t="n"/>
      <c r="O2036" s="13" t="n"/>
      <c r="P2036" s="17">
        <f>IF($B2036="","",IF($F2036="※类别不在基础资料里","※费用类别不在基础资料里",IF(AND(N($J2036)=0,N($K2036)=0),"※这行没填金额",IF(AND(N($J2036)&gt;0,N($K2036)&gt;0),"※收入和支出不能同一行都填",IF(AND($D2036="收入",N($J2036)=0),"※收入行要填收入金额",IF(AND($D2036="支出",N($K2036)=0),"※支出行要填支出金额",IF(AND($C2036&lt;&gt;"",ISNA(MATCH($C2036,账户表,0))),"※账户不在基础资料里",IF(AND($G2036&lt;&gt;"",ISNA(MATCH($G2036,项目名表,0))),"※项目不在项目台账里",IF(AND(LEFT($F2036,3)="成本-",$G2036=""),"※成本类支出没填项目",IF(AND(LEFT($F2036,3)="成本-",$H2036&lt;&gt;"",N($K2036)&gt;0,COUNTIFS(采购单!$B:$B,$B2036,采购单!$C:$C,$H2036,采购单!$L:$L,$K2036)&gt;0),"※这笔可能和采购单重复了",""))))))))))</f>
        <v/>
      </c>
    </row>
    <row r="2037">
      <c r="A2037" s="17">
        <f>IF($B2037="","",ROW()-3)</f>
        <v/>
      </c>
      <c r="B2037" s="18" t="n"/>
      <c r="C2037" s="13" t="n"/>
      <c r="D2037" s="13" t="n"/>
      <c r="E2037" s="13" t="n"/>
      <c r="F2037" s="17">
        <f>IF($E2037="","",IFERROR(VLOOKUP($E2037,类别归属,2,0),"※类别不在基础资料里"))</f>
        <v/>
      </c>
      <c r="G2037" s="13" t="n"/>
      <c r="H2037" s="13" t="n"/>
      <c r="I2037" s="13" t="n"/>
      <c r="J2037" s="14" t="n"/>
      <c r="K2037" s="14" t="n"/>
      <c r="L2037" s="19">
        <f>IF($C2037="","",ROUND(IFERROR(VLOOKUP($C2037,账户期初,2,0),0)+SUMIFS($J$4:J2037,$C$4:C2037,$C2037)-SUMIFS($K$4:K2037,$C$4:C2037,$C2037),2))</f>
        <v/>
      </c>
      <c r="M2037" s="19">
        <f>IF($C2037="","",ROUND(SUM(基础资料!$B$4:$B$13)+SUM($J$4:J2037)-SUM($K$4:K2037),2))</f>
        <v/>
      </c>
      <c r="N2037" s="13" t="n"/>
      <c r="O2037" s="13" t="n"/>
      <c r="P2037" s="17">
        <f>IF($B2037="","",IF($F2037="※类别不在基础资料里","※费用类别不在基础资料里",IF(AND(N($J2037)=0,N($K2037)=0),"※这行没填金额",IF(AND(N($J2037)&gt;0,N($K2037)&gt;0),"※收入和支出不能同一行都填",IF(AND($D2037="收入",N($J2037)=0),"※收入行要填收入金额",IF(AND($D2037="支出",N($K2037)=0),"※支出行要填支出金额",IF(AND($C2037&lt;&gt;"",ISNA(MATCH($C2037,账户表,0))),"※账户不在基础资料里",IF(AND($G2037&lt;&gt;"",ISNA(MATCH($G2037,项目名表,0))),"※项目不在项目台账里",IF(AND(LEFT($F2037,3)="成本-",$G2037=""),"※成本类支出没填项目",IF(AND(LEFT($F2037,3)="成本-",$H2037&lt;&gt;"",N($K2037)&gt;0,COUNTIFS(采购单!$B:$B,$B2037,采购单!$C:$C,$H2037,采购单!$L:$L,$K2037)&gt;0),"※这笔可能和采购单重复了",""))))))))))</f>
        <v/>
      </c>
    </row>
    <row r="2038">
      <c r="A2038" s="17">
        <f>IF($B2038="","",ROW()-3)</f>
        <v/>
      </c>
      <c r="B2038" s="18" t="n"/>
      <c r="C2038" s="13" t="n"/>
      <c r="D2038" s="13" t="n"/>
      <c r="E2038" s="13" t="n"/>
      <c r="F2038" s="17">
        <f>IF($E2038="","",IFERROR(VLOOKUP($E2038,类别归属,2,0),"※类别不在基础资料里"))</f>
        <v/>
      </c>
      <c r="G2038" s="13" t="n"/>
      <c r="H2038" s="13" t="n"/>
      <c r="I2038" s="13" t="n"/>
      <c r="J2038" s="14" t="n"/>
      <c r="K2038" s="14" t="n"/>
      <c r="L2038" s="19">
        <f>IF($C2038="","",ROUND(IFERROR(VLOOKUP($C2038,账户期初,2,0),0)+SUMIFS($J$4:J2038,$C$4:C2038,$C2038)-SUMIFS($K$4:K2038,$C$4:C2038,$C2038),2))</f>
        <v/>
      </c>
      <c r="M2038" s="19">
        <f>IF($C2038="","",ROUND(SUM(基础资料!$B$4:$B$13)+SUM($J$4:J2038)-SUM($K$4:K2038),2))</f>
        <v/>
      </c>
      <c r="N2038" s="13" t="n"/>
      <c r="O2038" s="13" t="n"/>
      <c r="P2038" s="17">
        <f>IF($B2038="","",IF($F2038="※类别不在基础资料里","※费用类别不在基础资料里",IF(AND(N($J2038)=0,N($K2038)=0),"※这行没填金额",IF(AND(N($J2038)&gt;0,N($K2038)&gt;0),"※收入和支出不能同一行都填",IF(AND($D2038="收入",N($J2038)=0),"※收入行要填收入金额",IF(AND($D2038="支出",N($K2038)=0),"※支出行要填支出金额",IF(AND($C2038&lt;&gt;"",ISNA(MATCH($C2038,账户表,0))),"※账户不在基础资料里",IF(AND($G2038&lt;&gt;"",ISNA(MATCH($G2038,项目名表,0))),"※项目不在项目台账里",IF(AND(LEFT($F2038,3)="成本-",$G2038=""),"※成本类支出没填项目",IF(AND(LEFT($F2038,3)="成本-",$H2038&lt;&gt;"",N($K2038)&gt;0,COUNTIFS(采购单!$B:$B,$B2038,采购单!$C:$C,$H2038,采购单!$L:$L,$K2038)&gt;0),"※这笔可能和采购单重复了",""))))))))))</f>
        <v/>
      </c>
    </row>
    <row r="2039">
      <c r="A2039" s="17">
        <f>IF($B2039="","",ROW()-3)</f>
        <v/>
      </c>
      <c r="B2039" s="18" t="n"/>
      <c r="C2039" s="13" t="n"/>
      <c r="D2039" s="13" t="n"/>
      <c r="E2039" s="13" t="n"/>
      <c r="F2039" s="17">
        <f>IF($E2039="","",IFERROR(VLOOKUP($E2039,类别归属,2,0),"※类别不在基础资料里"))</f>
        <v/>
      </c>
      <c r="G2039" s="13" t="n"/>
      <c r="H2039" s="13" t="n"/>
      <c r="I2039" s="13" t="n"/>
      <c r="J2039" s="14" t="n"/>
      <c r="K2039" s="14" t="n"/>
      <c r="L2039" s="19">
        <f>IF($C2039="","",ROUND(IFERROR(VLOOKUP($C2039,账户期初,2,0),0)+SUMIFS($J$4:J2039,$C$4:C2039,$C2039)-SUMIFS($K$4:K2039,$C$4:C2039,$C2039),2))</f>
        <v/>
      </c>
      <c r="M2039" s="19">
        <f>IF($C2039="","",ROUND(SUM(基础资料!$B$4:$B$13)+SUM($J$4:J2039)-SUM($K$4:K2039),2))</f>
        <v/>
      </c>
      <c r="N2039" s="13" t="n"/>
      <c r="O2039" s="13" t="n"/>
      <c r="P2039" s="17">
        <f>IF($B2039="","",IF($F2039="※类别不在基础资料里","※费用类别不在基础资料里",IF(AND(N($J2039)=0,N($K2039)=0),"※这行没填金额",IF(AND(N($J2039)&gt;0,N($K2039)&gt;0),"※收入和支出不能同一行都填",IF(AND($D2039="收入",N($J2039)=0),"※收入行要填收入金额",IF(AND($D2039="支出",N($K2039)=0),"※支出行要填支出金额",IF(AND($C2039&lt;&gt;"",ISNA(MATCH($C2039,账户表,0))),"※账户不在基础资料里",IF(AND($G2039&lt;&gt;"",ISNA(MATCH($G2039,项目名表,0))),"※项目不在项目台账里",IF(AND(LEFT($F2039,3)="成本-",$G2039=""),"※成本类支出没填项目",IF(AND(LEFT($F2039,3)="成本-",$H2039&lt;&gt;"",N($K2039)&gt;0,COUNTIFS(采购单!$B:$B,$B2039,采购单!$C:$C,$H2039,采购单!$L:$L,$K2039)&gt;0),"※这笔可能和采购单重复了",""))))))))))</f>
        <v/>
      </c>
    </row>
    <row r="2040">
      <c r="A2040" s="17">
        <f>IF($B2040="","",ROW()-3)</f>
        <v/>
      </c>
      <c r="B2040" s="18" t="n"/>
      <c r="C2040" s="13" t="n"/>
      <c r="D2040" s="13" t="n"/>
      <c r="E2040" s="13" t="n"/>
      <c r="F2040" s="17">
        <f>IF($E2040="","",IFERROR(VLOOKUP($E2040,类别归属,2,0),"※类别不在基础资料里"))</f>
        <v/>
      </c>
      <c r="G2040" s="13" t="n"/>
      <c r="H2040" s="13" t="n"/>
      <c r="I2040" s="13" t="n"/>
      <c r="J2040" s="14" t="n"/>
      <c r="K2040" s="14" t="n"/>
      <c r="L2040" s="19">
        <f>IF($C2040="","",ROUND(IFERROR(VLOOKUP($C2040,账户期初,2,0),0)+SUMIFS($J$4:J2040,$C$4:C2040,$C2040)-SUMIFS($K$4:K2040,$C$4:C2040,$C2040),2))</f>
        <v/>
      </c>
      <c r="M2040" s="19">
        <f>IF($C2040="","",ROUND(SUM(基础资料!$B$4:$B$13)+SUM($J$4:J2040)-SUM($K$4:K2040),2))</f>
        <v/>
      </c>
      <c r="N2040" s="13" t="n"/>
      <c r="O2040" s="13" t="n"/>
      <c r="P2040" s="17">
        <f>IF($B2040="","",IF($F2040="※类别不在基础资料里","※费用类别不在基础资料里",IF(AND(N($J2040)=0,N($K2040)=0),"※这行没填金额",IF(AND(N($J2040)&gt;0,N($K2040)&gt;0),"※收入和支出不能同一行都填",IF(AND($D2040="收入",N($J2040)=0),"※收入行要填收入金额",IF(AND($D2040="支出",N($K2040)=0),"※支出行要填支出金额",IF(AND($C2040&lt;&gt;"",ISNA(MATCH($C2040,账户表,0))),"※账户不在基础资料里",IF(AND($G2040&lt;&gt;"",ISNA(MATCH($G2040,项目名表,0))),"※项目不在项目台账里",IF(AND(LEFT($F2040,3)="成本-",$G2040=""),"※成本类支出没填项目",IF(AND(LEFT($F2040,3)="成本-",$H2040&lt;&gt;"",N($K2040)&gt;0,COUNTIFS(采购单!$B:$B,$B2040,采购单!$C:$C,$H2040,采购单!$L:$L,$K2040)&gt;0),"※这笔可能和采购单重复了",""))))))))))</f>
        <v/>
      </c>
    </row>
    <row r="2041">
      <c r="A2041" s="17">
        <f>IF($B2041="","",ROW()-3)</f>
        <v/>
      </c>
      <c r="B2041" s="18" t="n"/>
      <c r="C2041" s="13" t="n"/>
      <c r="D2041" s="13" t="n"/>
      <c r="E2041" s="13" t="n"/>
      <c r="F2041" s="17">
        <f>IF($E2041="","",IFERROR(VLOOKUP($E2041,类别归属,2,0),"※类别不在基础资料里"))</f>
        <v/>
      </c>
      <c r="G2041" s="13" t="n"/>
      <c r="H2041" s="13" t="n"/>
      <c r="I2041" s="13" t="n"/>
      <c r="J2041" s="14" t="n"/>
      <c r="K2041" s="14" t="n"/>
      <c r="L2041" s="19">
        <f>IF($C2041="","",ROUND(IFERROR(VLOOKUP($C2041,账户期初,2,0),0)+SUMIFS($J$4:J2041,$C$4:C2041,$C2041)-SUMIFS($K$4:K2041,$C$4:C2041,$C2041),2))</f>
        <v/>
      </c>
      <c r="M2041" s="19">
        <f>IF($C2041="","",ROUND(SUM(基础资料!$B$4:$B$13)+SUM($J$4:J2041)-SUM($K$4:K2041),2))</f>
        <v/>
      </c>
      <c r="N2041" s="13" t="n"/>
      <c r="O2041" s="13" t="n"/>
      <c r="P2041" s="17">
        <f>IF($B2041="","",IF($F2041="※类别不在基础资料里","※费用类别不在基础资料里",IF(AND(N($J2041)=0,N($K2041)=0),"※这行没填金额",IF(AND(N($J2041)&gt;0,N($K2041)&gt;0),"※收入和支出不能同一行都填",IF(AND($D2041="收入",N($J2041)=0),"※收入行要填收入金额",IF(AND($D2041="支出",N($K2041)=0),"※支出行要填支出金额",IF(AND($C2041&lt;&gt;"",ISNA(MATCH($C2041,账户表,0))),"※账户不在基础资料里",IF(AND($G2041&lt;&gt;"",ISNA(MATCH($G2041,项目名表,0))),"※项目不在项目台账里",IF(AND(LEFT($F2041,3)="成本-",$G2041=""),"※成本类支出没填项目",IF(AND(LEFT($F2041,3)="成本-",$H2041&lt;&gt;"",N($K2041)&gt;0,COUNTIFS(采购单!$B:$B,$B2041,采购单!$C:$C,$H2041,采购单!$L:$L,$K2041)&gt;0),"※这笔可能和采购单重复了",""))))))))))</f>
        <v/>
      </c>
    </row>
    <row r="2042">
      <c r="A2042" s="17">
        <f>IF($B2042="","",ROW()-3)</f>
        <v/>
      </c>
      <c r="B2042" s="18" t="n"/>
      <c r="C2042" s="13" t="n"/>
      <c r="D2042" s="13" t="n"/>
      <c r="E2042" s="13" t="n"/>
      <c r="F2042" s="17">
        <f>IF($E2042="","",IFERROR(VLOOKUP($E2042,类别归属,2,0),"※类别不在基础资料里"))</f>
        <v/>
      </c>
      <c r="G2042" s="13" t="n"/>
      <c r="H2042" s="13" t="n"/>
      <c r="I2042" s="13" t="n"/>
      <c r="J2042" s="14" t="n"/>
      <c r="K2042" s="14" t="n"/>
      <c r="L2042" s="19">
        <f>IF($C2042="","",ROUND(IFERROR(VLOOKUP($C2042,账户期初,2,0),0)+SUMIFS($J$4:J2042,$C$4:C2042,$C2042)-SUMIFS($K$4:K2042,$C$4:C2042,$C2042),2))</f>
        <v/>
      </c>
      <c r="M2042" s="19">
        <f>IF($C2042="","",ROUND(SUM(基础资料!$B$4:$B$13)+SUM($J$4:J2042)-SUM($K$4:K2042),2))</f>
        <v/>
      </c>
      <c r="N2042" s="13" t="n"/>
      <c r="O2042" s="13" t="n"/>
      <c r="P2042" s="17">
        <f>IF($B2042="","",IF($F2042="※类别不在基础资料里","※费用类别不在基础资料里",IF(AND(N($J2042)=0,N($K2042)=0),"※这行没填金额",IF(AND(N($J2042)&gt;0,N($K2042)&gt;0),"※收入和支出不能同一行都填",IF(AND($D2042="收入",N($J2042)=0),"※收入行要填收入金额",IF(AND($D2042="支出",N($K2042)=0),"※支出行要填支出金额",IF(AND($C2042&lt;&gt;"",ISNA(MATCH($C2042,账户表,0))),"※账户不在基础资料里",IF(AND($G2042&lt;&gt;"",ISNA(MATCH($G2042,项目名表,0))),"※项目不在项目台账里",IF(AND(LEFT($F2042,3)="成本-",$G2042=""),"※成本类支出没填项目",IF(AND(LEFT($F2042,3)="成本-",$H2042&lt;&gt;"",N($K2042)&gt;0,COUNTIFS(采购单!$B:$B,$B2042,采购单!$C:$C,$H2042,采购单!$L:$L,$K2042)&gt;0),"※这笔可能和采购单重复了",""))))))))))</f>
        <v/>
      </c>
    </row>
    <row r="2043">
      <c r="A2043" s="17">
        <f>IF($B2043="","",ROW()-3)</f>
        <v/>
      </c>
      <c r="B2043" s="18" t="n"/>
      <c r="C2043" s="13" t="n"/>
      <c r="D2043" s="13" t="n"/>
      <c r="E2043" s="13" t="n"/>
      <c r="F2043" s="17">
        <f>IF($E2043="","",IFERROR(VLOOKUP($E2043,类别归属,2,0),"※类别不在基础资料里"))</f>
        <v/>
      </c>
      <c r="G2043" s="13" t="n"/>
      <c r="H2043" s="13" t="n"/>
      <c r="I2043" s="13" t="n"/>
      <c r="J2043" s="14" t="n"/>
      <c r="K2043" s="14" t="n"/>
      <c r="L2043" s="19">
        <f>IF($C2043="","",ROUND(IFERROR(VLOOKUP($C2043,账户期初,2,0),0)+SUMIFS($J$4:J2043,$C$4:C2043,$C2043)-SUMIFS($K$4:K2043,$C$4:C2043,$C2043),2))</f>
        <v/>
      </c>
      <c r="M2043" s="19">
        <f>IF($C2043="","",ROUND(SUM(基础资料!$B$4:$B$13)+SUM($J$4:J2043)-SUM($K$4:K2043),2))</f>
        <v/>
      </c>
      <c r="N2043" s="13" t="n"/>
      <c r="O2043" s="13" t="n"/>
      <c r="P2043" s="17">
        <f>IF($B2043="","",IF($F2043="※类别不在基础资料里","※费用类别不在基础资料里",IF(AND(N($J2043)=0,N($K2043)=0),"※这行没填金额",IF(AND(N($J2043)&gt;0,N($K2043)&gt;0),"※收入和支出不能同一行都填",IF(AND($D2043="收入",N($J2043)=0),"※收入行要填收入金额",IF(AND($D2043="支出",N($K2043)=0),"※支出行要填支出金额",IF(AND($C2043&lt;&gt;"",ISNA(MATCH($C2043,账户表,0))),"※账户不在基础资料里",IF(AND($G2043&lt;&gt;"",ISNA(MATCH($G2043,项目名表,0))),"※项目不在项目台账里",IF(AND(LEFT($F2043,3)="成本-",$G2043=""),"※成本类支出没填项目",IF(AND(LEFT($F2043,3)="成本-",$H2043&lt;&gt;"",N($K2043)&gt;0,COUNTIFS(采购单!$B:$B,$B2043,采购单!$C:$C,$H2043,采购单!$L:$L,$K2043)&gt;0),"※这笔可能和采购单重复了",""))))))))))</f>
        <v/>
      </c>
    </row>
    <row r="2044">
      <c r="A2044" s="17">
        <f>IF($B2044="","",ROW()-3)</f>
        <v/>
      </c>
      <c r="B2044" s="18" t="n"/>
      <c r="C2044" s="13" t="n"/>
      <c r="D2044" s="13" t="n"/>
      <c r="E2044" s="13" t="n"/>
      <c r="F2044" s="17">
        <f>IF($E2044="","",IFERROR(VLOOKUP($E2044,类别归属,2,0),"※类别不在基础资料里"))</f>
        <v/>
      </c>
      <c r="G2044" s="13" t="n"/>
      <c r="H2044" s="13" t="n"/>
      <c r="I2044" s="13" t="n"/>
      <c r="J2044" s="14" t="n"/>
      <c r="K2044" s="14" t="n"/>
      <c r="L2044" s="19">
        <f>IF($C2044="","",ROUND(IFERROR(VLOOKUP($C2044,账户期初,2,0),0)+SUMIFS($J$4:J2044,$C$4:C2044,$C2044)-SUMIFS($K$4:K2044,$C$4:C2044,$C2044),2))</f>
        <v/>
      </c>
      <c r="M2044" s="19">
        <f>IF($C2044="","",ROUND(SUM(基础资料!$B$4:$B$13)+SUM($J$4:J2044)-SUM($K$4:K2044),2))</f>
        <v/>
      </c>
      <c r="N2044" s="13" t="n"/>
      <c r="O2044" s="13" t="n"/>
      <c r="P2044" s="17">
        <f>IF($B2044="","",IF($F2044="※类别不在基础资料里","※费用类别不在基础资料里",IF(AND(N($J2044)=0,N($K2044)=0),"※这行没填金额",IF(AND(N($J2044)&gt;0,N($K2044)&gt;0),"※收入和支出不能同一行都填",IF(AND($D2044="收入",N($J2044)=0),"※收入行要填收入金额",IF(AND($D2044="支出",N($K2044)=0),"※支出行要填支出金额",IF(AND($C2044&lt;&gt;"",ISNA(MATCH($C2044,账户表,0))),"※账户不在基础资料里",IF(AND($G2044&lt;&gt;"",ISNA(MATCH($G2044,项目名表,0))),"※项目不在项目台账里",IF(AND(LEFT($F2044,3)="成本-",$G2044=""),"※成本类支出没填项目",IF(AND(LEFT($F2044,3)="成本-",$H2044&lt;&gt;"",N($K2044)&gt;0,COUNTIFS(采购单!$B:$B,$B2044,采购单!$C:$C,$H2044,采购单!$L:$L,$K2044)&gt;0),"※这笔可能和采购单重复了",""))))))))))</f>
        <v/>
      </c>
    </row>
    <row r="2045">
      <c r="A2045" s="17">
        <f>IF($B2045="","",ROW()-3)</f>
        <v/>
      </c>
      <c r="B2045" s="18" t="n"/>
      <c r="C2045" s="13" t="n"/>
      <c r="D2045" s="13" t="n"/>
      <c r="E2045" s="13" t="n"/>
      <c r="F2045" s="17">
        <f>IF($E2045="","",IFERROR(VLOOKUP($E2045,类别归属,2,0),"※类别不在基础资料里"))</f>
        <v/>
      </c>
      <c r="G2045" s="13" t="n"/>
      <c r="H2045" s="13" t="n"/>
      <c r="I2045" s="13" t="n"/>
      <c r="J2045" s="14" t="n"/>
      <c r="K2045" s="14" t="n"/>
      <c r="L2045" s="19">
        <f>IF($C2045="","",ROUND(IFERROR(VLOOKUP($C2045,账户期初,2,0),0)+SUMIFS($J$4:J2045,$C$4:C2045,$C2045)-SUMIFS($K$4:K2045,$C$4:C2045,$C2045),2))</f>
        <v/>
      </c>
      <c r="M2045" s="19">
        <f>IF($C2045="","",ROUND(SUM(基础资料!$B$4:$B$13)+SUM($J$4:J2045)-SUM($K$4:K2045),2))</f>
        <v/>
      </c>
      <c r="N2045" s="13" t="n"/>
      <c r="O2045" s="13" t="n"/>
      <c r="P2045" s="17">
        <f>IF($B2045="","",IF($F2045="※类别不在基础资料里","※费用类别不在基础资料里",IF(AND(N($J2045)=0,N($K2045)=0),"※这行没填金额",IF(AND(N($J2045)&gt;0,N($K2045)&gt;0),"※收入和支出不能同一行都填",IF(AND($D2045="收入",N($J2045)=0),"※收入行要填收入金额",IF(AND($D2045="支出",N($K2045)=0),"※支出行要填支出金额",IF(AND($C2045&lt;&gt;"",ISNA(MATCH($C2045,账户表,0))),"※账户不在基础资料里",IF(AND($G2045&lt;&gt;"",ISNA(MATCH($G2045,项目名表,0))),"※项目不在项目台账里",IF(AND(LEFT($F2045,3)="成本-",$G2045=""),"※成本类支出没填项目",IF(AND(LEFT($F2045,3)="成本-",$H2045&lt;&gt;"",N($K2045)&gt;0,COUNTIFS(采购单!$B:$B,$B2045,采购单!$C:$C,$H2045,采购单!$L:$L,$K2045)&gt;0),"※这笔可能和采购单重复了",""))))))))))</f>
        <v/>
      </c>
    </row>
    <row r="2046">
      <c r="A2046" s="17">
        <f>IF($B2046="","",ROW()-3)</f>
        <v/>
      </c>
      <c r="B2046" s="18" t="n"/>
      <c r="C2046" s="13" t="n"/>
      <c r="D2046" s="13" t="n"/>
      <c r="E2046" s="13" t="n"/>
      <c r="F2046" s="17">
        <f>IF($E2046="","",IFERROR(VLOOKUP($E2046,类别归属,2,0),"※类别不在基础资料里"))</f>
        <v/>
      </c>
      <c r="G2046" s="13" t="n"/>
      <c r="H2046" s="13" t="n"/>
      <c r="I2046" s="13" t="n"/>
      <c r="J2046" s="14" t="n"/>
      <c r="K2046" s="14" t="n"/>
      <c r="L2046" s="19">
        <f>IF($C2046="","",ROUND(IFERROR(VLOOKUP($C2046,账户期初,2,0),0)+SUMIFS($J$4:J2046,$C$4:C2046,$C2046)-SUMIFS($K$4:K2046,$C$4:C2046,$C2046),2))</f>
        <v/>
      </c>
      <c r="M2046" s="19">
        <f>IF($C2046="","",ROUND(SUM(基础资料!$B$4:$B$13)+SUM($J$4:J2046)-SUM($K$4:K2046),2))</f>
        <v/>
      </c>
      <c r="N2046" s="13" t="n"/>
      <c r="O2046" s="13" t="n"/>
      <c r="P2046" s="17">
        <f>IF($B2046="","",IF($F2046="※类别不在基础资料里","※费用类别不在基础资料里",IF(AND(N($J2046)=0,N($K2046)=0),"※这行没填金额",IF(AND(N($J2046)&gt;0,N($K2046)&gt;0),"※收入和支出不能同一行都填",IF(AND($D2046="收入",N($J2046)=0),"※收入行要填收入金额",IF(AND($D2046="支出",N($K2046)=0),"※支出行要填支出金额",IF(AND($C2046&lt;&gt;"",ISNA(MATCH($C2046,账户表,0))),"※账户不在基础资料里",IF(AND($G2046&lt;&gt;"",ISNA(MATCH($G2046,项目名表,0))),"※项目不在项目台账里",IF(AND(LEFT($F2046,3)="成本-",$G2046=""),"※成本类支出没填项目",IF(AND(LEFT($F2046,3)="成本-",$H2046&lt;&gt;"",N($K2046)&gt;0,COUNTIFS(采购单!$B:$B,$B2046,采购单!$C:$C,$H2046,采购单!$L:$L,$K2046)&gt;0),"※这笔可能和采购单重复了",""))))))))))</f>
        <v/>
      </c>
    </row>
    <row r="2047">
      <c r="A2047" s="17">
        <f>IF($B2047="","",ROW()-3)</f>
        <v/>
      </c>
      <c r="B2047" s="18" t="n"/>
      <c r="C2047" s="13" t="n"/>
      <c r="D2047" s="13" t="n"/>
      <c r="E2047" s="13" t="n"/>
      <c r="F2047" s="17">
        <f>IF($E2047="","",IFERROR(VLOOKUP($E2047,类别归属,2,0),"※类别不在基础资料里"))</f>
        <v/>
      </c>
      <c r="G2047" s="13" t="n"/>
      <c r="H2047" s="13" t="n"/>
      <c r="I2047" s="13" t="n"/>
      <c r="J2047" s="14" t="n"/>
      <c r="K2047" s="14" t="n"/>
      <c r="L2047" s="19">
        <f>IF($C2047="","",ROUND(IFERROR(VLOOKUP($C2047,账户期初,2,0),0)+SUMIFS($J$4:J2047,$C$4:C2047,$C2047)-SUMIFS($K$4:K2047,$C$4:C2047,$C2047),2))</f>
        <v/>
      </c>
      <c r="M2047" s="19">
        <f>IF($C2047="","",ROUND(SUM(基础资料!$B$4:$B$13)+SUM($J$4:J2047)-SUM($K$4:K2047),2))</f>
        <v/>
      </c>
      <c r="N2047" s="13" t="n"/>
      <c r="O2047" s="13" t="n"/>
      <c r="P2047" s="17">
        <f>IF($B2047="","",IF($F2047="※类别不在基础资料里","※费用类别不在基础资料里",IF(AND(N($J2047)=0,N($K2047)=0),"※这行没填金额",IF(AND(N($J2047)&gt;0,N($K2047)&gt;0),"※收入和支出不能同一行都填",IF(AND($D2047="收入",N($J2047)=0),"※收入行要填收入金额",IF(AND($D2047="支出",N($K2047)=0),"※支出行要填支出金额",IF(AND($C2047&lt;&gt;"",ISNA(MATCH($C2047,账户表,0))),"※账户不在基础资料里",IF(AND($G2047&lt;&gt;"",ISNA(MATCH($G2047,项目名表,0))),"※项目不在项目台账里",IF(AND(LEFT($F2047,3)="成本-",$G2047=""),"※成本类支出没填项目",IF(AND(LEFT($F2047,3)="成本-",$H2047&lt;&gt;"",N($K2047)&gt;0,COUNTIFS(采购单!$B:$B,$B2047,采购单!$C:$C,$H2047,采购单!$L:$L,$K2047)&gt;0),"※这笔可能和采购单重复了",""))))))))))</f>
        <v/>
      </c>
    </row>
    <row r="2048">
      <c r="A2048" s="17">
        <f>IF($B2048="","",ROW()-3)</f>
        <v/>
      </c>
      <c r="B2048" s="18" t="n"/>
      <c r="C2048" s="13" t="n"/>
      <c r="D2048" s="13" t="n"/>
      <c r="E2048" s="13" t="n"/>
      <c r="F2048" s="17">
        <f>IF($E2048="","",IFERROR(VLOOKUP($E2048,类别归属,2,0),"※类别不在基础资料里"))</f>
        <v/>
      </c>
      <c r="G2048" s="13" t="n"/>
      <c r="H2048" s="13" t="n"/>
      <c r="I2048" s="13" t="n"/>
      <c r="J2048" s="14" t="n"/>
      <c r="K2048" s="14" t="n"/>
      <c r="L2048" s="19">
        <f>IF($C2048="","",ROUND(IFERROR(VLOOKUP($C2048,账户期初,2,0),0)+SUMIFS($J$4:J2048,$C$4:C2048,$C2048)-SUMIFS($K$4:K2048,$C$4:C2048,$C2048),2))</f>
        <v/>
      </c>
      <c r="M2048" s="19">
        <f>IF($C2048="","",ROUND(SUM(基础资料!$B$4:$B$13)+SUM($J$4:J2048)-SUM($K$4:K2048),2))</f>
        <v/>
      </c>
      <c r="N2048" s="13" t="n"/>
      <c r="O2048" s="13" t="n"/>
      <c r="P2048" s="17">
        <f>IF($B2048="","",IF($F2048="※类别不在基础资料里","※费用类别不在基础资料里",IF(AND(N($J2048)=0,N($K2048)=0),"※这行没填金额",IF(AND(N($J2048)&gt;0,N($K2048)&gt;0),"※收入和支出不能同一行都填",IF(AND($D2048="收入",N($J2048)=0),"※收入行要填收入金额",IF(AND($D2048="支出",N($K2048)=0),"※支出行要填支出金额",IF(AND($C2048&lt;&gt;"",ISNA(MATCH($C2048,账户表,0))),"※账户不在基础资料里",IF(AND($G2048&lt;&gt;"",ISNA(MATCH($G2048,项目名表,0))),"※项目不在项目台账里",IF(AND(LEFT($F2048,3)="成本-",$G2048=""),"※成本类支出没填项目",IF(AND(LEFT($F2048,3)="成本-",$H2048&lt;&gt;"",N($K2048)&gt;0,COUNTIFS(采购单!$B:$B,$B2048,采购单!$C:$C,$H2048,采购单!$L:$L,$K2048)&gt;0),"※这笔可能和采购单重复了",""))))))))))</f>
        <v/>
      </c>
    </row>
    <row r="2049">
      <c r="A2049" s="17">
        <f>IF($B2049="","",ROW()-3)</f>
        <v/>
      </c>
      <c r="B2049" s="18" t="n"/>
      <c r="C2049" s="13" t="n"/>
      <c r="D2049" s="13" t="n"/>
      <c r="E2049" s="13" t="n"/>
      <c r="F2049" s="17">
        <f>IF($E2049="","",IFERROR(VLOOKUP($E2049,类别归属,2,0),"※类别不在基础资料里"))</f>
        <v/>
      </c>
      <c r="G2049" s="13" t="n"/>
      <c r="H2049" s="13" t="n"/>
      <c r="I2049" s="13" t="n"/>
      <c r="J2049" s="14" t="n"/>
      <c r="K2049" s="14" t="n"/>
      <c r="L2049" s="19">
        <f>IF($C2049="","",ROUND(IFERROR(VLOOKUP($C2049,账户期初,2,0),0)+SUMIFS($J$4:J2049,$C$4:C2049,$C2049)-SUMIFS($K$4:K2049,$C$4:C2049,$C2049),2))</f>
        <v/>
      </c>
      <c r="M2049" s="19">
        <f>IF($C2049="","",ROUND(SUM(基础资料!$B$4:$B$13)+SUM($J$4:J2049)-SUM($K$4:K2049),2))</f>
        <v/>
      </c>
      <c r="N2049" s="13" t="n"/>
      <c r="O2049" s="13" t="n"/>
      <c r="P2049" s="17">
        <f>IF($B2049="","",IF($F2049="※类别不在基础资料里","※费用类别不在基础资料里",IF(AND(N($J2049)=0,N($K2049)=0),"※这行没填金额",IF(AND(N($J2049)&gt;0,N($K2049)&gt;0),"※收入和支出不能同一行都填",IF(AND($D2049="收入",N($J2049)=0),"※收入行要填收入金额",IF(AND($D2049="支出",N($K2049)=0),"※支出行要填支出金额",IF(AND($C2049&lt;&gt;"",ISNA(MATCH($C2049,账户表,0))),"※账户不在基础资料里",IF(AND($G2049&lt;&gt;"",ISNA(MATCH($G2049,项目名表,0))),"※项目不在项目台账里",IF(AND(LEFT($F2049,3)="成本-",$G2049=""),"※成本类支出没填项目",IF(AND(LEFT($F2049,3)="成本-",$H2049&lt;&gt;"",N($K2049)&gt;0,COUNTIFS(采购单!$B:$B,$B2049,采购单!$C:$C,$H2049,采购单!$L:$L,$K2049)&gt;0),"※这笔可能和采购单重复了",""))))))))))</f>
        <v/>
      </c>
    </row>
    <row r="2050">
      <c r="A2050" s="17">
        <f>IF($B2050="","",ROW()-3)</f>
        <v/>
      </c>
      <c r="B2050" s="18" t="n"/>
      <c r="C2050" s="13" t="n"/>
      <c r="D2050" s="13" t="n"/>
      <c r="E2050" s="13" t="n"/>
      <c r="F2050" s="17">
        <f>IF($E2050="","",IFERROR(VLOOKUP($E2050,类别归属,2,0),"※类别不在基础资料里"))</f>
        <v/>
      </c>
      <c r="G2050" s="13" t="n"/>
      <c r="H2050" s="13" t="n"/>
      <c r="I2050" s="13" t="n"/>
      <c r="J2050" s="14" t="n"/>
      <c r="K2050" s="14" t="n"/>
      <c r="L2050" s="19">
        <f>IF($C2050="","",ROUND(IFERROR(VLOOKUP($C2050,账户期初,2,0),0)+SUMIFS($J$4:J2050,$C$4:C2050,$C2050)-SUMIFS($K$4:K2050,$C$4:C2050,$C2050),2))</f>
        <v/>
      </c>
      <c r="M2050" s="19">
        <f>IF($C2050="","",ROUND(SUM(基础资料!$B$4:$B$13)+SUM($J$4:J2050)-SUM($K$4:K2050),2))</f>
        <v/>
      </c>
      <c r="N2050" s="13" t="n"/>
      <c r="O2050" s="13" t="n"/>
      <c r="P2050" s="17">
        <f>IF($B2050="","",IF($F2050="※类别不在基础资料里","※费用类别不在基础资料里",IF(AND(N($J2050)=0,N($K2050)=0),"※这行没填金额",IF(AND(N($J2050)&gt;0,N($K2050)&gt;0),"※收入和支出不能同一行都填",IF(AND($D2050="收入",N($J2050)=0),"※收入行要填收入金额",IF(AND($D2050="支出",N($K2050)=0),"※支出行要填支出金额",IF(AND($C2050&lt;&gt;"",ISNA(MATCH($C2050,账户表,0))),"※账户不在基础资料里",IF(AND($G2050&lt;&gt;"",ISNA(MATCH($G2050,项目名表,0))),"※项目不在项目台账里",IF(AND(LEFT($F2050,3)="成本-",$G2050=""),"※成本类支出没填项目",IF(AND(LEFT($F2050,3)="成本-",$H2050&lt;&gt;"",N($K2050)&gt;0,COUNTIFS(采购单!$B:$B,$B2050,采购单!$C:$C,$H2050,采购单!$L:$L,$K2050)&gt;0),"※这笔可能和采购单重复了",""))))))))))</f>
        <v/>
      </c>
    </row>
    <row r="2051">
      <c r="A2051" s="17">
        <f>IF($B2051="","",ROW()-3)</f>
        <v/>
      </c>
      <c r="B2051" s="18" t="n"/>
      <c r="C2051" s="13" t="n"/>
      <c r="D2051" s="13" t="n"/>
      <c r="E2051" s="13" t="n"/>
      <c r="F2051" s="17">
        <f>IF($E2051="","",IFERROR(VLOOKUP($E2051,类别归属,2,0),"※类别不在基础资料里"))</f>
        <v/>
      </c>
      <c r="G2051" s="13" t="n"/>
      <c r="H2051" s="13" t="n"/>
      <c r="I2051" s="13" t="n"/>
      <c r="J2051" s="14" t="n"/>
      <c r="K2051" s="14" t="n"/>
      <c r="L2051" s="19">
        <f>IF($C2051="","",ROUND(IFERROR(VLOOKUP($C2051,账户期初,2,0),0)+SUMIFS($J$4:J2051,$C$4:C2051,$C2051)-SUMIFS($K$4:K2051,$C$4:C2051,$C2051),2))</f>
        <v/>
      </c>
      <c r="M2051" s="19">
        <f>IF($C2051="","",ROUND(SUM(基础资料!$B$4:$B$13)+SUM($J$4:J2051)-SUM($K$4:K2051),2))</f>
        <v/>
      </c>
      <c r="N2051" s="13" t="n"/>
      <c r="O2051" s="13" t="n"/>
      <c r="P2051" s="17">
        <f>IF($B2051="","",IF($F2051="※类别不在基础资料里","※费用类别不在基础资料里",IF(AND(N($J2051)=0,N($K2051)=0),"※这行没填金额",IF(AND(N($J2051)&gt;0,N($K2051)&gt;0),"※收入和支出不能同一行都填",IF(AND($D2051="收入",N($J2051)=0),"※收入行要填收入金额",IF(AND($D2051="支出",N($K2051)=0),"※支出行要填支出金额",IF(AND($C2051&lt;&gt;"",ISNA(MATCH($C2051,账户表,0))),"※账户不在基础资料里",IF(AND($G2051&lt;&gt;"",ISNA(MATCH($G2051,项目名表,0))),"※项目不在项目台账里",IF(AND(LEFT($F2051,3)="成本-",$G2051=""),"※成本类支出没填项目",IF(AND(LEFT($F2051,3)="成本-",$H2051&lt;&gt;"",N($K2051)&gt;0,COUNTIFS(采购单!$B:$B,$B2051,采购单!$C:$C,$H2051,采购单!$L:$L,$K2051)&gt;0),"※这笔可能和采购单重复了",""))))))))))</f>
        <v/>
      </c>
    </row>
    <row r="2052">
      <c r="A2052" s="17">
        <f>IF($B2052="","",ROW()-3)</f>
        <v/>
      </c>
      <c r="B2052" s="18" t="n"/>
      <c r="C2052" s="13" t="n"/>
      <c r="D2052" s="13" t="n"/>
      <c r="E2052" s="13" t="n"/>
      <c r="F2052" s="17">
        <f>IF($E2052="","",IFERROR(VLOOKUP($E2052,类别归属,2,0),"※类别不在基础资料里"))</f>
        <v/>
      </c>
      <c r="G2052" s="13" t="n"/>
      <c r="H2052" s="13" t="n"/>
      <c r="I2052" s="13" t="n"/>
      <c r="J2052" s="14" t="n"/>
      <c r="K2052" s="14" t="n"/>
      <c r="L2052" s="19">
        <f>IF($C2052="","",ROUND(IFERROR(VLOOKUP($C2052,账户期初,2,0),0)+SUMIFS($J$4:J2052,$C$4:C2052,$C2052)-SUMIFS($K$4:K2052,$C$4:C2052,$C2052),2))</f>
        <v/>
      </c>
      <c r="M2052" s="19">
        <f>IF($C2052="","",ROUND(SUM(基础资料!$B$4:$B$13)+SUM($J$4:J2052)-SUM($K$4:K2052),2))</f>
        <v/>
      </c>
      <c r="N2052" s="13" t="n"/>
      <c r="O2052" s="13" t="n"/>
      <c r="P2052" s="17">
        <f>IF($B2052="","",IF($F2052="※类别不在基础资料里","※费用类别不在基础资料里",IF(AND(N($J2052)=0,N($K2052)=0),"※这行没填金额",IF(AND(N($J2052)&gt;0,N($K2052)&gt;0),"※收入和支出不能同一行都填",IF(AND($D2052="收入",N($J2052)=0),"※收入行要填收入金额",IF(AND($D2052="支出",N($K2052)=0),"※支出行要填支出金额",IF(AND($C2052&lt;&gt;"",ISNA(MATCH($C2052,账户表,0))),"※账户不在基础资料里",IF(AND($G2052&lt;&gt;"",ISNA(MATCH($G2052,项目名表,0))),"※项目不在项目台账里",IF(AND(LEFT($F2052,3)="成本-",$G2052=""),"※成本类支出没填项目",IF(AND(LEFT($F2052,3)="成本-",$H2052&lt;&gt;"",N($K2052)&gt;0,COUNTIFS(采购单!$B:$B,$B2052,采购单!$C:$C,$H2052,采购单!$L:$L,$K2052)&gt;0),"※这笔可能和采购单重复了",""))))))))))</f>
        <v/>
      </c>
    </row>
    <row r="2053">
      <c r="A2053" s="17">
        <f>IF($B2053="","",ROW()-3)</f>
        <v/>
      </c>
      <c r="B2053" s="18" t="n"/>
      <c r="C2053" s="13" t="n"/>
      <c r="D2053" s="13" t="n"/>
      <c r="E2053" s="13" t="n"/>
      <c r="F2053" s="17">
        <f>IF($E2053="","",IFERROR(VLOOKUP($E2053,类别归属,2,0),"※类别不在基础资料里"))</f>
        <v/>
      </c>
      <c r="G2053" s="13" t="n"/>
      <c r="H2053" s="13" t="n"/>
      <c r="I2053" s="13" t="n"/>
      <c r="J2053" s="14" t="n"/>
      <c r="K2053" s="14" t="n"/>
      <c r="L2053" s="19">
        <f>IF($C2053="","",ROUND(IFERROR(VLOOKUP($C2053,账户期初,2,0),0)+SUMIFS($J$4:J2053,$C$4:C2053,$C2053)-SUMIFS($K$4:K2053,$C$4:C2053,$C2053),2))</f>
        <v/>
      </c>
      <c r="M2053" s="19">
        <f>IF($C2053="","",ROUND(SUM(基础资料!$B$4:$B$13)+SUM($J$4:J2053)-SUM($K$4:K2053),2))</f>
        <v/>
      </c>
      <c r="N2053" s="13" t="n"/>
      <c r="O2053" s="13" t="n"/>
      <c r="P2053" s="17">
        <f>IF($B2053="","",IF($F2053="※类别不在基础资料里","※费用类别不在基础资料里",IF(AND(N($J2053)=0,N($K2053)=0),"※这行没填金额",IF(AND(N($J2053)&gt;0,N($K2053)&gt;0),"※收入和支出不能同一行都填",IF(AND($D2053="收入",N($J2053)=0),"※收入行要填收入金额",IF(AND($D2053="支出",N($K2053)=0),"※支出行要填支出金额",IF(AND($C2053&lt;&gt;"",ISNA(MATCH($C2053,账户表,0))),"※账户不在基础资料里",IF(AND($G2053&lt;&gt;"",ISNA(MATCH($G2053,项目名表,0))),"※项目不在项目台账里",IF(AND(LEFT($F2053,3)="成本-",$G2053=""),"※成本类支出没填项目",IF(AND(LEFT($F2053,3)="成本-",$H2053&lt;&gt;"",N($K2053)&gt;0,COUNTIFS(采购单!$B:$B,$B2053,采购单!$C:$C,$H2053,采购单!$L:$L,$K2053)&gt;0),"※这笔可能和采购单重复了",""))))))))))</f>
        <v/>
      </c>
    </row>
    <row r="2054">
      <c r="A2054" s="17">
        <f>IF($B2054="","",ROW()-3)</f>
        <v/>
      </c>
      <c r="B2054" s="18" t="n"/>
      <c r="C2054" s="13" t="n"/>
      <c r="D2054" s="13" t="n"/>
      <c r="E2054" s="13" t="n"/>
      <c r="F2054" s="17">
        <f>IF($E2054="","",IFERROR(VLOOKUP($E2054,类别归属,2,0),"※类别不在基础资料里"))</f>
        <v/>
      </c>
      <c r="G2054" s="13" t="n"/>
      <c r="H2054" s="13" t="n"/>
      <c r="I2054" s="13" t="n"/>
      <c r="J2054" s="14" t="n"/>
      <c r="K2054" s="14" t="n"/>
      <c r="L2054" s="19">
        <f>IF($C2054="","",ROUND(IFERROR(VLOOKUP($C2054,账户期初,2,0),0)+SUMIFS($J$4:J2054,$C$4:C2054,$C2054)-SUMIFS($K$4:K2054,$C$4:C2054,$C2054),2))</f>
        <v/>
      </c>
      <c r="M2054" s="19">
        <f>IF($C2054="","",ROUND(SUM(基础资料!$B$4:$B$13)+SUM($J$4:J2054)-SUM($K$4:K2054),2))</f>
        <v/>
      </c>
      <c r="N2054" s="13" t="n"/>
      <c r="O2054" s="13" t="n"/>
      <c r="P2054" s="17">
        <f>IF($B2054="","",IF($F2054="※类别不在基础资料里","※费用类别不在基础资料里",IF(AND(N($J2054)=0,N($K2054)=0),"※这行没填金额",IF(AND(N($J2054)&gt;0,N($K2054)&gt;0),"※收入和支出不能同一行都填",IF(AND($D2054="收入",N($J2054)=0),"※收入行要填收入金额",IF(AND($D2054="支出",N($K2054)=0),"※支出行要填支出金额",IF(AND($C2054&lt;&gt;"",ISNA(MATCH($C2054,账户表,0))),"※账户不在基础资料里",IF(AND($G2054&lt;&gt;"",ISNA(MATCH($G2054,项目名表,0))),"※项目不在项目台账里",IF(AND(LEFT($F2054,3)="成本-",$G2054=""),"※成本类支出没填项目",IF(AND(LEFT($F2054,3)="成本-",$H2054&lt;&gt;"",N($K2054)&gt;0,COUNTIFS(采购单!$B:$B,$B2054,采购单!$C:$C,$H2054,采购单!$L:$L,$K2054)&gt;0),"※这笔可能和采购单重复了",""))))))))))</f>
        <v/>
      </c>
    </row>
    <row r="2055">
      <c r="A2055" s="17">
        <f>IF($B2055="","",ROW()-3)</f>
        <v/>
      </c>
      <c r="B2055" s="18" t="n"/>
      <c r="C2055" s="13" t="n"/>
      <c r="D2055" s="13" t="n"/>
      <c r="E2055" s="13" t="n"/>
      <c r="F2055" s="17">
        <f>IF($E2055="","",IFERROR(VLOOKUP($E2055,类别归属,2,0),"※类别不在基础资料里"))</f>
        <v/>
      </c>
      <c r="G2055" s="13" t="n"/>
      <c r="H2055" s="13" t="n"/>
      <c r="I2055" s="13" t="n"/>
      <c r="J2055" s="14" t="n"/>
      <c r="K2055" s="14" t="n"/>
      <c r="L2055" s="19">
        <f>IF($C2055="","",ROUND(IFERROR(VLOOKUP($C2055,账户期初,2,0),0)+SUMIFS($J$4:J2055,$C$4:C2055,$C2055)-SUMIFS($K$4:K2055,$C$4:C2055,$C2055),2))</f>
        <v/>
      </c>
      <c r="M2055" s="19">
        <f>IF($C2055="","",ROUND(SUM(基础资料!$B$4:$B$13)+SUM($J$4:J2055)-SUM($K$4:K2055),2))</f>
        <v/>
      </c>
      <c r="N2055" s="13" t="n"/>
      <c r="O2055" s="13" t="n"/>
      <c r="P2055" s="17">
        <f>IF($B2055="","",IF($F2055="※类别不在基础资料里","※费用类别不在基础资料里",IF(AND(N($J2055)=0,N($K2055)=0),"※这行没填金额",IF(AND(N($J2055)&gt;0,N($K2055)&gt;0),"※收入和支出不能同一行都填",IF(AND($D2055="收入",N($J2055)=0),"※收入行要填收入金额",IF(AND($D2055="支出",N($K2055)=0),"※支出行要填支出金额",IF(AND($C2055&lt;&gt;"",ISNA(MATCH($C2055,账户表,0))),"※账户不在基础资料里",IF(AND($G2055&lt;&gt;"",ISNA(MATCH($G2055,项目名表,0))),"※项目不在项目台账里",IF(AND(LEFT($F2055,3)="成本-",$G2055=""),"※成本类支出没填项目",IF(AND(LEFT($F2055,3)="成本-",$H2055&lt;&gt;"",N($K2055)&gt;0,COUNTIFS(采购单!$B:$B,$B2055,采购单!$C:$C,$H2055,采购单!$L:$L,$K2055)&gt;0),"※这笔可能和采购单重复了",""))))))))))</f>
        <v/>
      </c>
    </row>
    <row r="2056">
      <c r="A2056" s="17">
        <f>IF($B2056="","",ROW()-3)</f>
        <v/>
      </c>
      <c r="B2056" s="18" t="n"/>
      <c r="C2056" s="13" t="n"/>
      <c r="D2056" s="13" t="n"/>
      <c r="E2056" s="13" t="n"/>
      <c r="F2056" s="17">
        <f>IF($E2056="","",IFERROR(VLOOKUP($E2056,类别归属,2,0),"※类别不在基础资料里"))</f>
        <v/>
      </c>
      <c r="G2056" s="13" t="n"/>
      <c r="H2056" s="13" t="n"/>
      <c r="I2056" s="13" t="n"/>
      <c r="J2056" s="14" t="n"/>
      <c r="K2056" s="14" t="n"/>
      <c r="L2056" s="19">
        <f>IF($C2056="","",ROUND(IFERROR(VLOOKUP($C2056,账户期初,2,0),0)+SUMIFS($J$4:J2056,$C$4:C2056,$C2056)-SUMIFS($K$4:K2056,$C$4:C2056,$C2056),2))</f>
        <v/>
      </c>
      <c r="M2056" s="19">
        <f>IF($C2056="","",ROUND(SUM(基础资料!$B$4:$B$13)+SUM($J$4:J2056)-SUM($K$4:K2056),2))</f>
        <v/>
      </c>
      <c r="N2056" s="13" t="n"/>
      <c r="O2056" s="13" t="n"/>
      <c r="P2056" s="17">
        <f>IF($B2056="","",IF($F2056="※类别不在基础资料里","※费用类别不在基础资料里",IF(AND(N($J2056)=0,N($K2056)=0),"※这行没填金额",IF(AND(N($J2056)&gt;0,N($K2056)&gt;0),"※收入和支出不能同一行都填",IF(AND($D2056="收入",N($J2056)=0),"※收入行要填收入金额",IF(AND($D2056="支出",N($K2056)=0),"※支出行要填支出金额",IF(AND($C2056&lt;&gt;"",ISNA(MATCH($C2056,账户表,0))),"※账户不在基础资料里",IF(AND($G2056&lt;&gt;"",ISNA(MATCH($G2056,项目名表,0))),"※项目不在项目台账里",IF(AND(LEFT($F2056,3)="成本-",$G2056=""),"※成本类支出没填项目",IF(AND(LEFT($F2056,3)="成本-",$H2056&lt;&gt;"",N($K2056)&gt;0,COUNTIFS(采购单!$B:$B,$B2056,采购单!$C:$C,$H2056,采购单!$L:$L,$K2056)&gt;0),"※这笔可能和采购单重复了",""))))))))))</f>
        <v/>
      </c>
    </row>
    <row r="2057">
      <c r="A2057" s="17">
        <f>IF($B2057="","",ROW()-3)</f>
        <v/>
      </c>
      <c r="B2057" s="18" t="n"/>
      <c r="C2057" s="13" t="n"/>
      <c r="D2057" s="13" t="n"/>
      <c r="E2057" s="13" t="n"/>
      <c r="F2057" s="17">
        <f>IF($E2057="","",IFERROR(VLOOKUP($E2057,类别归属,2,0),"※类别不在基础资料里"))</f>
        <v/>
      </c>
      <c r="G2057" s="13" t="n"/>
      <c r="H2057" s="13" t="n"/>
      <c r="I2057" s="13" t="n"/>
      <c r="J2057" s="14" t="n"/>
      <c r="K2057" s="14" t="n"/>
      <c r="L2057" s="19">
        <f>IF($C2057="","",ROUND(IFERROR(VLOOKUP($C2057,账户期初,2,0),0)+SUMIFS($J$4:J2057,$C$4:C2057,$C2057)-SUMIFS($K$4:K2057,$C$4:C2057,$C2057),2))</f>
        <v/>
      </c>
      <c r="M2057" s="19">
        <f>IF($C2057="","",ROUND(SUM(基础资料!$B$4:$B$13)+SUM($J$4:J2057)-SUM($K$4:K2057),2))</f>
        <v/>
      </c>
      <c r="N2057" s="13" t="n"/>
      <c r="O2057" s="13" t="n"/>
      <c r="P2057" s="17">
        <f>IF($B2057="","",IF($F2057="※类别不在基础资料里","※费用类别不在基础资料里",IF(AND(N($J2057)=0,N($K2057)=0),"※这行没填金额",IF(AND(N($J2057)&gt;0,N($K2057)&gt;0),"※收入和支出不能同一行都填",IF(AND($D2057="收入",N($J2057)=0),"※收入行要填收入金额",IF(AND($D2057="支出",N($K2057)=0),"※支出行要填支出金额",IF(AND($C2057&lt;&gt;"",ISNA(MATCH($C2057,账户表,0))),"※账户不在基础资料里",IF(AND($G2057&lt;&gt;"",ISNA(MATCH($G2057,项目名表,0))),"※项目不在项目台账里",IF(AND(LEFT($F2057,3)="成本-",$G2057=""),"※成本类支出没填项目",IF(AND(LEFT($F2057,3)="成本-",$H2057&lt;&gt;"",N($K2057)&gt;0,COUNTIFS(采购单!$B:$B,$B2057,采购单!$C:$C,$H2057,采购单!$L:$L,$K2057)&gt;0),"※这笔可能和采购单重复了",""))))))))))</f>
        <v/>
      </c>
    </row>
    <row r="2058">
      <c r="A2058" s="17">
        <f>IF($B2058="","",ROW()-3)</f>
        <v/>
      </c>
      <c r="B2058" s="18" t="n"/>
      <c r="C2058" s="13" t="n"/>
      <c r="D2058" s="13" t="n"/>
      <c r="E2058" s="13" t="n"/>
      <c r="F2058" s="17">
        <f>IF($E2058="","",IFERROR(VLOOKUP($E2058,类别归属,2,0),"※类别不在基础资料里"))</f>
        <v/>
      </c>
      <c r="G2058" s="13" t="n"/>
      <c r="H2058" s="13" t="n"/>
      <c r="I2058" s="13" t="n"/>
      <c r="J2058" s="14" t="n"/>
      <c r="K2058" s="14" t="n"/>
      <c r="L2058" s="19">
        <f>IF($C2058="","",ROUND(IFERROR(VLOOKUP($C2058,账户期初,2,0),0)+SUMIFS($J$4:J2058,$C$4:C2058,$C2058)-SUMIFS($K$4:K2058,$C$4:C2058,$C2058),2))</f>
        <v/>
      </c>
      <c r="M2058" s="19">
        <f>IF($C2058="","",ROUND(SUM(基础资料!$B$4:$B$13)+SUM($J$4:J2058)-SUM($K$4:K2058),2))</f>
        <v/>
      </c>
      <c r="N2058" s="13" t="n"/>
      <c r="O2058" s="13" t="n"/>
      <c r="P2058" s="17">
        <f>IF($B2058="","",IF($F2058="※类别不在基础资料里","※费用类别不在基础资料里",IF(AND(N($J2058)=0,N($K2058)=0),"※这行没填金额",IF(AND(N($J2058)&gt;0,N($K2058)&gt;0),"※收入和支出不能同一行都填",IF(AND($D2058="收入",N($J2058)=0),"※收入行要填收入金额",IF(AND($D2058="支出",N($K2058)=0),"※支出行要填支出金额",IF(AND($C2058&lt;&gt;"",ISNA(MATCH($C2058,账户表,0))),"※账户不在基础资料里",IF(AND($G2058&lt;&gt;"",ISNA(MATCH($G2058,项目名表,0))),"※项目不在项目台账里",IF(AND(LEFT($F2058,3)="成本-",$G2058=""),"※成本类支出没填项目",IF(AND(LEFT($F2058,3)="成本-",$H2058&lt;&gt;"",N($K2058)&gt;0,COUNTIFS(采购单!$B:$B,$B2058,采购单!$C:$C,$H2058,采购单!$L:$L,$K2058)&gt;0),"※这笔可能和采购单重复了",""))))))))))</f>
        <v/>
      </c>
    </row>
    <row r="2059">
      <c r="A2059" s="17">
        <f>IF($B2059="","",ROW()-3)</f>
        <v/>
      </c>
      <c r="B2059" s="18" t="n"/>
      <c r="C2059" s="13" t="n"/>
      <c r="D2059" s="13" t="n"/>
      <c r="E2059" s="13" t="n"/>
      <c r="F2059" s="17">
        <f>IF($E2059="","",IFERROR(VLOOKUP($E2059,类别归属,2,0),"※类别不在基础资料里"))</f>
        <v/>
      </c>
      <c r="G2059" s="13" t="n"/>
      <c r="H2059" s="13" t="n"/>
      <c r="I2059" s="13" t="n"/>
      <c r="J2059" s="14" t="n"/>
      <c r="K2059" s="14" t="n"/>
      <c r="L2059" s="19">
        <f>IF($C2059="","",ROUND(IFERROR(VLOOKUP($C2059,账户期初,2,0),0)+SUMIFS($J$4:J2059,$C$4:C2059,$C2059)-SUMIFS($K$4:K2059,$C$4:C2059,$C2059),2))</f>
        <v/>
      </c>
      <c r="M2059" s="19">
        <f>IF($C2059="","",ROUND(SUM(基础资料!$B$4:$B$13)+SUM($J$4:J2059)-SUM($K$4:K2059),2))</f>
        <v/>
      </c>
      <c r="N2059" s="13" t="n"/>
      <c r="O2059" s="13" t="n"/>
      <c r="P2059" s="17">
        <f>IF($B2059="","",IF($F2059="※类别不在基础资料里","※费用类别不在基础资料里",IF(AND(N($J2059)=0,N($K2059)=0),"※这行没填金额",IF(AND(N($J2059)&gt;0,N($K2059)&gt;0),"※收入和支出不能同一行都填",IF(AND($D2059="收入",N($J2059)=0),"※收入行要填收入金额",IF(AND($D2059="支出",N($K2059)=0),"※支出行要填支出金额",IF(AND($C2059&lt;&gt;"",ISNA(MATCH($C2059,账户表,0))),"※账户不在基础资料里",IF(AND($G2059&lt;&gt;"",ISNA(MATCH($G2059,项目名表,0))),"※项目不在项目台账里",IF(AND(LEFT($F2059,3)="成本-",$G2059=""),"※成本类支出没填项目",IF(AND(LEFT($F2059,3)="成本-",$H2059&lt;&gt;"",N($K2059)&gt;0,COUNTIFS(采购单!$B:$B,$B2059,采购单!$C:$C,$H2059,采购单!$L:$L,$K2059)&gt;0),"※这笔可能和采购单重复了",""))))))))))</f>
        <v/>
      </c>
    </row>
    <row r="2060">
      <c r="A2060" s="17">
        <f>IF($B2060="","",ROW()-3)</f>
        <v/>
      </c>
      <c r="B2060" s="18" t="n"/>
      <c r="C2060" s="13" t="n"/>
      <c r="D2060" s="13" t="n"/>
      <c r="E2060" s="13" t="n"/>
      <c r="F2060" s="17">
        <f>IF($E2060="","",IFERROR(VLOOKUP($E2060,类别归属,2,0),"※类别不在基础资料里"))</f>
        <v/>
      </c>
      <c r="G2060" s="13" t="n"/>
      <c r="H2060" s="13" t="n"/>
      <c r="I2060" s="13" t="n"/>
      <c r="J2060" s="14" t="n"/>
      <c r="K2060" s="14" t="n"/>
      <c r="L2060" s="19">
        <f>IF($C2060="","",ROUND(IFERROR(VLOOKUP($C2060,账户期初,2,0),0)+SUMIFS($J$4:J2060,$C$4:C2060,$C2060)-SUMIFS($K$4:K2060,$C$4:C2060,$C2060),2))</f>
        <v/>
      </c>
      <c r="M2060" s="19">
        <f>IF($C2060="","",ROUND(SUM(基础资料!$B$4:$B$13)+SUM($J$4:J2060)-SUM($K$4:K2060),2))</f>
        <v/>
      </c>
      <c r="N2060" s="13" t="n"/>
      <c r="O2060" s="13" t="n"/>
      <c r="P2060" s="17">
        <f>IF($B2060="","",IF($F2060="※类别不在基础资料里","※费用类别不在基础资料里",IF(AND(N($J2060)=0,N($K2060)=0),"※这行没填金额",IF(AND(N($J2060)&gt;0,N($K2060)&gt;0),"※收入和支出不能同一行都填",IF(AND($D2060="收入",N($J2060)=0),"※收入行要填收入金额",IF(AND($D2060="支出",N($K2060)=0),"※支出行要填支出金额",IF(AND($C2060&lt;&gt;"",ISNA(MATCH($C2060,账户表,0))),"※账户不在基础资料里",IF(AND($G2060&lt;&gt;"",ISNA(MATCH($G2060,项目名表,0))),"※项目不在项目台账里",IF(AND(LEFT($F2060,3)="成本-",$G2060=""),"※成本类支出没填项目",IF(AND(LEFT($F2060,3)="成本-",$H2060&lt;&gt;"",N($K2060)&gt;0,COUNTIFS(采购单!$B:$B,$B2060,采购单!$C:$C,$H2060,采购单!$L:$L,$K2060)&gt;0),"※这笔可能和采购单重复了",""))))))))))</f>
        <v/>
      </c>
    </row>
    <row r="2061">
      <c r="A2061" s="17">
        <f>IF($B2061="","",ROW()-3)</f>
        <v/>
      </c>
      <c r="B2061" s="18" t="n"/>
      <c r="C2061" s="13" t="n"/>
      <c r="D2061" s="13" t="n"/>
      <c r="E2061" s="13" t="n"/>
      <c r="F2061" s="17">
        <f>IF($E2061="","",IFERROR(VLOOKUP($E2061,类别归属,2,0),"※类别不在基础资料里"))</f>
        <v/>
      </c>
      <c r="G2061" s="13" t="n"/>
      <c r="H2061" s="13" t="n"/>
      <c r="I2061" s="13" t="n"/>
      <c r="J2061" s="14" t="n"/>
      <c r="K2061" s="14" t="n"/>
      <c r="L2061" s="19">
        <f>IF($C2061="","",ROUND(IFERROR(VLOOKUP($C2061,账户期初,2,0),0)+SUMIFS($J$4:J2061,$C$4:C2061,$C2061)-SUMIFS($K$4:K2061,$C$4:C2061,$C2061),2))</f>
        <v/>
      </c>
      <c r="M2061" s="19">
        <f>IF($C2061="","",ROUND(SUM(基础资料!$B$4:$B$13)+SUM($J$4:J2061)-SUM($K$4:K2061),2))</f>
        <v/>
      </c>
      <c r="N2061" s="13" t="n"/>
      <c r="O2061" s="13" t="n"/>
      <c r="P2061" s="17">
        <f>IF($B2061="","",IF($F2061="※类别不在基础资料里","※费用类别不在基础资料里",IF(AND(N($J2061)=0,N($K2061)=0),"※这行没填金额",IF(AND(N($J2061)&gt;0,N($K2061)&gt;0),"※收入和支出不能同一行都填",IF(AND($D2061="收入",N($J2061)=0),"※收入行要填收入金额",IF(AND($D2061="支出",N($K2061)=0),"※支出行要填支出金额",IF(AND($C2061&lt;&gt;"",ISNA(MATCH($C2061,账户表,0))),"※账户不在基础资料里",IF(AND($G2061&lt;&gt;"",ISNA(MATCH($G2061,项目名表,0))),"※项目不在项目台账里",IF(AND(LEFT($F2061,3)="成本-",$G2061=""),"※成本类支出没填项目",IF(AND(LEFT($F2061,3)="成本-",$H2061&lt;&gt;"",N($K2061)&gt;0,COUNTIFS(采购单!$B:$B,$B2061,采购单!$C:$C,$H2061,采购单!$L:$L,$K2061)&gt;0),"※这笔可能和采购单重复了",""))))))))))</f>
        <v/>
      </c>
    </row>
    <row r="2062">
      <c r="A2062" s="17">
        <f>IF($B2062="","",ROW()-3)</f>
        <v/>
      </c>
      <c r="B2062" s="18" t="n"/>
      <c r="C2062" s="13" t="n"/>
      <c r="D2062" s="13" t="n"/>
      <c r="E2062" s="13" t="n"/>
      <c r="F2062" s="17">
        <f>IF($E2062="","",IFERROR(VLOOKUP($E2062,类别归属,2,0),"※类别不在基础资料里"))</f>
        <v/>
      </c>
      <c r="G2062" s="13" t="n"/>
      <c r="H2062" s="13" t="n"/>
      <c r="I2062" s="13" t="n"/>
      <c r="J2062" s="14" t="n"/>
      <c r="K2062" s="14" t="n"/>
      <c r="L2062" s="19">
        <f>IF($C2062="","",ROUND(IFERROR(VLOOKUP($C2062,账户期初,2,0),0)+SUMIFS($J$4:J2062,$C$4:C2062,$C2062)-SUMIFS($K$4:K2062,$C$4:C2062,$C2062),2))</f>
        <v/>
      </c>
      <c r="M2062" s="19">
        <f>IF($C2062="","",ROUND(SUM(基础资料!$B$4:$B$13)+SUM($J$4:J2062)-SUM($K$4:K2062),2))</f>
        <v/>
      </c>
      <c r="N2062" s="13" t="n"/>
      <c r="O2062" s="13" t="n"/>
      <c r="P2062" s="17">
        <f>IF($B2062="","",IF($F2062="※类别不在基础资料里","※费用类别不在基础资料里",IF(AND(N($J2062)=0,N($K2062)=0),"※这行没填金额",IF(AND(N($J2062)&gt;0,N($K2062)&gt;0),"※收入和支出不能同一行都填",IF(AND($D2062="收入",N($J2062)=0),"※收入行要填收入金额",IF(AND($D2062="支出",N($K2062)=0),"※支出行要填支出金额",IF(AND($C2062&lt;&gt;"",ISNA(MATCH($C2062,账户表,0))),"※账户不在基础资料里",IF(AND($G2062&lt;&gt;"",ISNA(MATCH($G2062,项目名表,0))),"※项目不在项目台账里",IF(AND(LEFT($F2062,3)="成本-",$G2062=""),"※成本类支出没填项目",IF(AND(LEFT($F2062,3)="成本-",$H2062&lt;&gt;"",N($K2062)&gt;0,COUNTIFS(采购单!$B:$B,$B2062,采购单!$C:$C,$H2062,采购单!$L:$L,$K2062)&gt;0),"※这笔可能和采购单重复了",""))))))))))</f>
        <v/>
      </c>
    </row>
    <row r="2063">
      <c r="A2063" s="17">
        <f>IF($B2063="","",ROW()-3)</f>
        <v/>
      </c>
      <c r="B2063" s="18" t="n"/>
      <c r="C2063" s="13" t="n"/>
      <c r="D2063" s="13" t="n"/>
      <c r="E2063" s="13" t="n"/>
      <c r="F2063" s="17">
        <f>IF($E2063="","",IFERROR(VLOOKUP($E2063,类别归属,2,0),"※类别不在基础资料里"))</f>
        <v/>
      </c>
      <c r="G2063" s="13" t="n"/>
      <c r="H2063" s="13" t="n"/>
      <c r="I2063" s="13" t="n"/>
      <c r="J2063" s="14" t="n"/>
      <c r="K2063" s="14" t="n"/>
      <c r="L2063" s="19">
        <f>IF($C2063="","",ROUND(IFERROR(VLOOKUP($C2063,账户期初,2,0),0)+SUMIFS($J$4:J2063,$C$4:C2063,$C2063)-SUMIFS($K$4:K2063,$C$4:C2063,$C2063),2))</f>
        <v/>
      </c>
      <c r="M2063" s="19">
        <f>IF($C2063="","",ROUND(SUM(基础资料!$B$4:$B$13)+SUM($J$4:J2063)-SUM($K$4:K2063),2))</f>
        <v/>
      </c>
      <c r="N2063" s="13" t="n"/>
      <c r="O2063" s="13" t="n"/>
      <c r="P2063" s="17">
        <f>IF($B2063="","",IF($F2063="※类别不在基础资料里","※费用类别不在基础资料里",IF(AND(N($J2063)=0,N($K2063)=0),"※这行没填金额",IF(AND(N($J2063)&gt;0,N($K2063)&gt;0),"※收入和支出不能同一行都填",IF(AND($D2063="收入",N($J2063)=0),"※收入行要填收入金额",IF(AND($D2063="支出",N($K2063)=0),"※支出行要填支出金额",IF(AND($C2063&lt;&gt;"",ISNA(MATCH($C2063,账户表,0))),"※账户不在基础资料里",IF(AND($G2063&lt;&gt;"",ISNA(MATCH($G2063,项目名表,0))),"※项目不在项目台账里",IF(AND(LEFT($F2063,3)="成本-",$G2063=""),"※成本类支出没填项目",IF(AND(LEFT($F2063,3)="成本-",$H2063&lt;&gt;"",N($K2063)&gt;0,COUNTIFS(采购单!$B:$B,$B2063,采购单!$C:$C,$H2063,采购单!$L:$L,$K2063)&gt;0),"※这笔可能和采购单重复了",""))))))))))</f>
        <v/>
      </c>
    </row>
    <row r="2064">
      <c r="A2064" s="17">
        <f>IF($B2064="","",ROW()-3)</f>
        <v/>
      </c>
      <c r="B2064" s="18" t="n"/>
      <c r="C2064" s="13" t="n"/>
      <c r="D2064" s="13" t="n"/>
      <c r="E2064" s="13" t="n"/>
      <c r="F2064" s="17">
        <f>IF($E2064="","",IFERROR(VLOOKUP($E2064,类别归属,2,0),"※类别不在基础资料里"))</f>
        <v/>
      </c>
      <c r="G2064" s="13" t="n"/>
      <c r="H2064" s="13" t="n"/>
      <c r="I2064" s="13" t="n"/>
      <c r="J2064" s="14" t="n"/>
      <c r="K2064" s="14" t="n"/>
      <c r="L2064" s="19">
        <f>IF($C2064="","",ROUND(IFERROR(VLOOKUP($C2064,账户期初,2,0),0)+SUMIFS($J$4:J2064,$C$4:C2064,$C2064)-SUMIFS($K$4:K2064,$C$4:C2064,$C2064),2))</f>
        <v/>
      </c>
      <c r="M2064" s="19">
        <f>IF($C2064="","",ROUND(SUM(基础资料!$B$4:$B$13)+SUM($J$4:J2064)-SUM($K$4:K2064),2))</f>
        <v/>
      </c>
      <c r="N2064" s="13" t="n"/>
      <c r="O2064" s="13" t="n"/>
      <c r="P2064" s="17">
        <f>IF($B2064="","",IF($F2064="※类别不在基础资料里","※费用类别不在基础资料里",IF(AND(N($J2064)=0,N($K2064)=0),"※这行没填金额",IF(AND(N($J2064)&gt;0,N($K2064)&gt;0),"※收入和支出不能同一行都填",IF(AND($D2064="收入",N($J2064)=0),"※收入行要填收入金额",IF(AND($D2064="支出",N($K2064)=0),"※支出行要填支出金额",IF(AND($C2064&lt;&gt;"",ISNA(MATCH($C2064,账户表,0))),"※账户不在基础资料里",IF(AND($G2064&lt;&gt;"",ISNA(MATCH($G2064,项目名表,0))),"※项目不在项目台账里",IF(AND(LEFT($F2064,3)="成本-",$G2064=""),"※成本类支出没填项目",IF(AND(LEFT($F2064,3)="成本-",$H2064&lt;&gt;"",N($K2064)&gt;0,COUNTIFS(采购单!$B:$B,$B2064,采购单!$C:$C,$H2064,采购单!$L:$L,$K2064)&gt;0),"※这笔可能和采购单重复了",""))))))))))</f>
        <v/>
      </c>
    </row>
    <row r="2065">
      <c r="A2065" s="17">
        <f>IF($B2065="","",ROW()-3)</f>
        <v/>
      </c>
      <c r="B2065" s="18" t="n"/>
      <c r="C2065" s="13" t="n"/>
      <c r="D2065" s="13" t="n"/>
      <c r="E2065" s="13" t="n"/>
      <c r="F2065" s="17">
        <f>IF($E2065="","",IFERROR(VLOOKUP($E2065,类别归属,2,0),"※类别不在基础资料里"))</f>
        <v/>
      </c>
      <c r="G2065" s="13" t="n"/>
      <c r="H2065" s="13" t="n"/>
      <c r="I2065" s="13" t="n"/>
      <c r="J2065" s="14" t="n"/>
      <c r="K2065" s="14" t="n"/>
      <c r="L2065" s="19">
        <f>IF($C2065="","",ROUND(IFERROR(VLOOKUP($C2065,账户期初,2,0),0)+SUMIFS($J$4:J2065,$C$4:C2065,$C2065)-SUMIFS($K$4:K2065,$C$4:C2065,$C2065),2))</f>
        <v/>
      </c>
      <c r="M2065" s="19">
        <f>IF($C2065="","",ROUND(SUM(基础资料!$B$4:$B$13)+SUM($J$4:J2065)-SUM($K$4:K2065),2))</f>
        <v/>
      </c>
      <c r="N2065" s="13" t="n"/>
      <c r="O2065" s="13" t="n"/>
      <c r="P2065" s="17">
        <f>IF($B2065="","",IF($F2065="※类别不在基础资料里","※费用类别不在基础资料里",IF(AND(N($J2065)=0,N($K2065)=0),"※这行没填金额",IF(AND(N($J2065)&gt;0,N($K2065)&gt;0),"※收入和支出不能同一行都填",IF(AND($D2065="收入",N($J2065)=0),"※收入行要填收入金额",IF(AND($D2065="支出",N($K2065)=0),"※支出行要填支出金额",IF(AND($C2065&lt;&gt;"",ISNA(MATCH($C2065,账户表,0))),"※账户不在基础资料里",IF(AND($G2065&lt;&gt;"",ISNA(MATCH($G2065,项目名表,0))),"※项目不在项目台账里",IF(AND(LEFT($F2065,3)="成本-",$G2065=""),"※成本类支出没填项目",IF(AND(LEFT($F2065,3)="成本-",$H2065&lt;&gt;"",N($K2065)&gt;0,COUNTIFS(采购单!$B:$B,$B2065,采购单!$C:$C,$H2065,采购单!$L:$L,$K2065)&gt;0),"※这笔可能和采购单重复了",""))))))))))</f>
        <v/>
      </c>
    </row>
    <row r="2066">
      <c r="A2066" s="17">
        <f>IF($B2066="","",ROW()-3)</f>
        <v/>
      </c>
      <c r="B2066" s="18" t="n"/>
      <c r="C2066" s="13" t="n"/>
      <c r="D2066" s="13" t="n"/>
      <c r="E2066" s="13" t="n"/>
      <c r="F2066" s="17">
        <f>IF($E2066="","",IFERROR(VLOOKUP($E2066,类别归属,2,0),"※类别不在基础资料里"))</f>
        <v/>
      </c>
      <c r="G2066" s="13" t="n"/>
      <c r="H2066" s="13" t="n"/>
      <c r="I2066" s="13" t="n"/>
      <c r="J2066" s="14" t="n"/>
      <c r="K2066" s="14" t="n"/>
      <c r="L2066" s="19">
        <f>IF($C2066="","",ROUND(IFERROR(VLOOKUP($C2066,账户期初,2,0),0)+SUMIFS($J$4:J2066,$C$4:C2066,$C2066)-SUMIFS($K$4:K2066,$C$4:C2066,$C2066),2))</f>
        <v/>
      </c>
      <c r="M2066" s="19">
        <f>IF($C2066="","",ROUND(SUM(基础资料!$B$4:$B$13)+SUM($J$4:J2066)-SUM($K$4:K2066),2))</f>
        <v/>
      </c>
      <c r="N2066" s="13" t="n"/>
      <c r="O2066" s="13" t="n"/>
      <c r="P2066" s="17">
        <f>IF($B2066="","",IF($F2066="※类别不在基础资料里","※费用类别不在基础资料里",IF(AND(N($J2066)=0,N($K2066)=0),"※这行没填金额",IF(AND(N($J2066)&gt;0,N($K2066)&gt;0),"※收入和支出不能同一行都填",IF(AND($D2066="收入",N($J2066)=0),"※收入行要填收入金额",IF(AND($D2066="支出",N($K2066)=0),"※支出行要填支出金额",IF(AND($C2066&lt;&gt;"",ISNA(MATCH($C2066,账户表,0))),"※账户不在基础资料里",IF(AND($G2066&lt;&gt;"",ISNA(MATCH($G2066,项目名表,0))),"※项目不在项目台账里",IF(AND(LEFT($F2066,3)="成本-",$G2066=""),"※成本类支出没填项目",IF(AND(LEFT($F2066,3)="成本-",$H2066&lt;&gt;"",N($K2066)&gt;0,COUNTIFS(采购单!$B:$B,$B2066,采购单!$C:$C,$H2066,采购单!$L:$L,$K2066)&gt;0),"※这笔可能和采购单重复了",""))))))))))</f>
        <v/>
      </c>
    </row>
    <row r="2067">
      <c r="A2067" s="17">
        <f>IF($B2067="","",ROW()-3)</f>
        <v/>
      </c>
      <c r="B2067" s="18" t="n"/>
      <c r="C2067" s="13" t="n"/>
      <c r="D2067" s="13" t="n"/>
      <c r="E2067" s="13" t="n"/>
      <c r="F2067" s="17">
        <f>IF($E2067="","",IFERROR(VLOOKUP($E2067,类别归属,2,0),"※类别不在基础资料里"))</f>
        <v/>
      </c>
      <c r="G2067" s="13" t="n"/>
      <c r="H2067" s="13" t="n"/>
      <c r="I2067" s="13" t="n"/>
      <c r="J2067" s="14" t="n"/>
      <c r="K2067" s="14" t="n"/>
      <c r="L2067" s="19">
        <f>IF($C2067="","",ROUND(IFERROR(VLOOKUP($C2067,账户期初,2,0),0)+SUMIFS($J$4:J2067,$C$4:C2067,$C2067)-SUMIFS($K$4:K2067,$C$4:C2067,$C2067),2))</f>
        <v/>
      </c>
      <c r="M2067" s="19">
        <f>IF($C2067="","",ROUND(SUM(基础资料!$B$4:$B$13)+SUM($J$4:J2067)-SUM($K$4:K2067),2))</f>
        <v/>
      </c>
      <c r="N2067" s="13" t="n"/>
      <c r="O2067" s="13" t="n"/>
      <c r="P2067" s="17">
        <f>IF($B2067="","",IF($F2067="※类别不在基础资料里","※费用类别不在基础资料里",IF(AND(N($J2067)=0,N($K2067)=0),"※这行没填金额",IF(AND(N($J2067)&gt;0,N($K2067)&gt;0),"※收入和支出不能同一行都填",IF(AND($D2067="收入",N($J2067)=0),"※收入行要填收入金额",IF(AND($D2067="支出",N($K2067)=0),"※支出行要填支出金额",IF(AND($C2067&lt;&gt;"",ISNA(MATCH($C2067,账户表,0))),"※账户不在基础资料里",IF(AND($G2067&lt;&gt;"",ISNA(MATCH($G2067,项目名表,0))),"※项目不在项目台账里",IF(AND(LEFT($F2067,3)="成本-",$G2067=""),"※成本类支出没填项目",IF(AND(LEFT($F2067,3)="成本-",$H2067&lt;&gt;"",N($K2067)&gt;0,COUNTIFS(采购单!$B:$B,$B2067,采购单!$C:$C,$H2067,采购单!$L:$L,$K2067)&gt;0),"※这笔可能和采购单重复了",""))))))))))</f>
        <v/>
      </c>
    </row>
    <row r="2068">
      <c r="A2068" s="17">
        <f>IF($B2068="","",ROW()-3)</f>
        <v/>
      </c>
      <c r="B2068" s="18" t="n"/>
      <c r="C2068" s="13" t="n"/>
      <c r="D2068" s="13" t="n"/>
      <c r="E2068" s="13" t="n"/>
      <c r="F2068" s="17">
        <f>IF($E2068="","",IFERROR(VLOOKUP($E2068,类别归属,2,0),"※类别不在基础资料里"))</f>
        <v/>
      </c>
      <c r="G2068" s="13" t="n"/>
      <c r="H2068" s="13" t="n"/>
      <c r="I2068" s="13" t="n"/>
      <c r="J2068" s="14" t="n"/>
      <c r="K2068" s="14" t="n"/>
      <c r="L2068" s="19">
        <f>IF($C2068="","",ROUND(IFERROR(VLOOKUP($C2068,账户期初,2,0),0)+SUMIFS($J$4:J2068,$C$4:C2068,$C2068)-SUMIFS($K$4:K2068,$C$4:C2068,$C2068),2))</f>
        <v/>
      </c>
      <c r="M2068" s="19">
        <f>IF($C2068="","",ROUND(SUM(基础资料!$B$4:$B$13)+SUM($J$4:J2068)-SUM($K$4:K2068),2))</f>
        <v/>
      </c>
      <c r="N2068" s="13" t="n"/>
      <c r="O2068" s="13" t="n"/>
      <c r="P2068" s="17">
        <f>IF($B2068="","",IF($F2068="※类别不在基础资料里","※费用类别不在基础资料里",IF(AND(N($J2068)=0,N($K2068)=0),"※这行没填金额",IF(AND(N($J2068)&gt;0,N($K2068)&gt;0),"※收入和支出不能同一行都填",IF(AND($D2068="收入",N($J2068)=0),"※收入行要填收入金额",IF(AND($D2068="支出",N($K2068)=0),"※支出行要填支出金额",IF(AND($C2068&lt;&gt;"",ISNA(MATCH($C2068,账户表,0))),"※账户不在基础资料里",IF(AND($G2068&lt;&gt;"",ISNA(MATCH($G2068,项目名表,0))),"※项目不在项目台账里",IF(AND(LEFT($F2068,3)="成本-",$G2068=""),"※成本类支出没填项目",IF(AND(LEFT($F2068,3)="成本-",$H2068&lt;&gt;"",N($K2068)&gt;0,COUNTIFS(采购单!$B:$B,$B2068,采购单!$C:$C,$H2068,采购单!$L:$L,$K2068)&gt;0),"※这笔可能和采购单重复了",""))))))))))</f>
        <v/>
      </c>
    </row>
    <row r="2069">
      <c r="A2069" s="17">
        <f>IF($B2069="","",ROW()-3)</f>
        <v/>
      </c>
      <c r="B2069" s="18" t="n"/>
      <c r="C2069" s="13" t="n"/>
      <c r="D2069" s="13" t="n"/>
      <c r="E2069" s="13" t="n"/>
      <c r="F2069" s="17">
        <f>IF($E2069="","",IFERROR(VLOOKUP($E2069,类别归属,2,0),"※类别不在基础资料里"))</f>
        <v/>
      </c>
      <c r="G2069" s="13" t="n"/>
      <c r="H2069" s="13" t="n"/>
      <c r="I2069" s="13" t="n"/>
      <c r="J2069" s="14" t="n"/>
      <c r="K2069" s="14" t="n"/>
      <c r="L2069" s="19">
        <f>IF($C2069="","",ROUND(IFERROR(VLOOKUP($C2069,账户期初,2,0),0)+SUMIFS($J$4:J2069,$C$4:C2069,$C2069)-SUMIFS($K$4:K2069,$C$4:C2069,$C2069),2))</f>
        <v/>
      </c>
      <c r="M2069" s="19">
        <f>IF($C2069="","",ROUND(SUM(基础资料!$B$4:$B$13)+SUM($J$4:J2069)-SUM($K$4:K2069),2))</f>
        <v/>
      </c>
      <c r="N2069" s="13" t="n"/>
      <c r="O2069" s="13" t="n"/>
      <c r="P2069" s="17">
        <f>IF($B2069="","",IF($F2069="※类别不在基础资料里","※费用类别不在基础资料里",IF(AND(N($J2069)=0,N($K2069)=0),"※这行没填金额",IF(AND(N($J2069)&gt;0,N($K2069)&gt;0),"※收入和支出不能同一行都填",IF(AND($D2069="收入",N($J2069)=0),"※收入行要填收入金额",IF(AND($D2069="支出",N($K2069)=0),"※支出行要填支出金额",IF(AND($C2069&lt;&gt;"",ISNA(MATCH($C2069,账户表,0))),"※账户不在基础资料里",IF(AND($G2069&lt;&gt;"",ISNA(MATCH($G2069,项目名表,0))),"※项目不在项目台账里",IF(AND(LEFT($F2069,3)="成本-",$G2069=""),"※成本类支出没填项目",IF(AND(LEFT($F2069,3)="成本-",$H2069&lt;&gt;"",N($K2069)&gt;0,COUNTIFS(采购单!$B:$B,$B2069,采购单!$C:$C,$H2069,采购单!$L:$L,$K2069)&gt;0),"※这笔可能和采购单重复了",""))))))))))</f>
        <v/>
      </c>
    </row>
    <row r="2070">
      <c r="A2070" s="17">
        <f>IF($B2070="","",ROW()-3)</f>
        <v/>
      </c>
      <c r="B2070" s="18" t="n"/>
      <c r="C2070" s="13" t="n"/>
      <c r="D2070" s="13" t="n"/>
      <c r="E2070" s="13" t="n"/>
      <c r="F2070" s="17">
        <f>IF($E2070="","",IFERROR(VLOOKUP($E2070,类别归属,2,0),"※类别不在基础资料里"))</f>
        <v/>
      </c>
      <c r="G2070" s="13" t="n"/>
      <c r="H2070" s="13" t="n"/>
      <c r="I2070" s="13" t="n"/>
      <c r="J2070" s="14" t="n"/>
      <c r="K2070" s="14" t="n"/>
      <c r="L2070" s="19">
        <f>IF($C2070="","",ROUND(IFERROR(VLOOKUP($C2070,账户期初,2,0),0)+SUMIFS($J$4:J2070,$C$4:C2070,$C2070)-SUMIFS($K$4:K2070,$C$4:C2070,$C2070),2))</f>
        <v/>
      </c>
      <c r="M2070" s="19">
        <f>IF($C2070="","",ROUND(SUM(基础资料!$B$4:$B$13)+SUM($J$4:J2070)-SUM($K$4:K2070),2))</f>
        <v/>
      </c>
      <c r="N2070" s="13" t="n"/>
      <c r="O2070" s="13" t="n"/>
      <c r="P2070" s="17">
        <f>IF($B2070="","",IF($F2070="※类别不在基础资料里","※费用类别不在基础资料里",IF(AND(N($J2070)=0,N($K2070)=0),"※这行没填金额",IF(AND(N($J2070)&gt;0,N($K2070)&gt;0),"※收入和支出不能同一行都填",IF(AND($D2070="收入",N($J2070)=0),"※收入行要填收入金额",IF(AND($D2070="支出",N($K2070)=0),"※支出行要填支出金额",IF(AND($C2070&lt;&gt;"",ISNA(MATCH($C2070,账户表,0))),"※账户不在基础资料里",IF(AND($G2070&lt;&gt;"",ISNA(MATCH($G2070,项目名表,0))),"※项目不在项目台账里",IF(AND(LEFT($F2070,3)="成本-",$G2070=""),"※成本类支出没填项目",IF(AND(LEFT($F2070,3)="成本-",$H2070&lt;&gt;"",N($K2070)&gt;0,COUNTIFS(采购单!$B:$B,$B2070,采购单!$C:$C,$H2070,采购单!$L:$L,$K2070)&gt;0),"※这笔可能和采购单重复了",""))))))))))</f>
        <v/>
      </c>
    </row>
    <row r="2071">
      <c r="A2071" s="17">
        <f>IF($B2071="","",ROW()-3)</f>
        <v/>
      </c>
      <c r="B2071" s="18" t="n"/>
      <c r="C2071" s="13" t="n"/>
      <c r="D2071" s="13" t="n"/>
      <c r="E2071" s="13" t="n"/>
      <c r="F2071" s="17">
        <f>IF($E2071="","",IFERROR(VLOOKUP($E2071,类别归属,2,0),"※类别不在基础资料里"))</f>
        <v/>
      </c>
      <c r="G2071" s="13" t="n"/>
      <c r="H2071" s="13" t="n"/>
      <c r="I2071" s="13" t="n"/>
      <c r="J2071" s="14" t="n"/>
      <c r="K2071" s="14" t="n"/>
      <c r="L2071" s="19">
        <f>IF($C2071="","",ROUND(IFERROR(VLOOKUP($C2071,账户期初,2,0),0)+SUMIFS($J$4:J2071,$C$4:C2071,$C2071)-SUMIFS($K$4:K2071,$C$4:C2071,$C2071),2))</f>
        <v/>
      </c>
      <c r="M2071" s="19">
        <f>IF($C2071="","",ROUND(SUM(基础资料!$B$4:$B$13)+SUM($J$4:J2071)-SUM($K$4:K2071),2))</f>
        <v/>
      </c>
      <c r="N2071" s="13" t="n"/>
      <c r="O2071" s="13" t="n"/>
      <c r="P2071" s="17">
        <f>IF($B2071="","",IF($F2071="※类别不在基础资料里","※费用类别不在基础资料里",IF(AND(N($J2071)=0,N($K2071)=0),"※这行没填金额",IF(AND(N($J2071)&gt;0,N($K2071)&gt;0),"※收入和支出不能同一行都填",IF(AND($D2071="收入",N($J2071)=0),"※收入行要填收入金额",IF(AND($D2071="支出",N($K2071)=0),"※支出行要填支出金额",IF(AND($C2071&lt;&gt;"",ISNA(MATCH($C2071,账户表,0))),"※账户不在基础资料里",IF(AND($G2071&lt;&gt;"",ISNA(MATCH($G2071,项目名表,0))),"※项目不在项目台账里",IF(AND(LEFT($F2071,3)="成本-",$G2071=""),"※成本类支出没填项目",IF(AND(LEFT($F2071,3)="成本-",$H2071&lt;&gt;"",N($K2071)&gt;0,COUNTIFS(采购单!$B:$B,$B2071,采购单!$C:$C,$H2071,采购单!$L:$L,$K2071)&gt;0),"※这笔可能和采购单重复了",""))))))))))</f>
        <v/>
      </c>
    </row>
    <row r="2072">
      <c r="A2072" s="17">
        <f>IF($B2072="","",ROW()-3)</f>
        <v/>
      </c>
      <c r="B2072" s="18" t="n"/>
      <c r="C2072" s="13" t="n"/>
      <c r="D2072" s="13" t="n"/>
      <c r="E2072" s="13" t="n"/>
      <c r="F2072" s="17">
        <f>IF($E2072="","",IFERROR(VLOOKUP($E2072,类别归属,2,0),"※类别不在基础资料里"))</f>
        <v/>
      </c>
      <c r="G2072" s="13" t="n"/>
      <c r="H2072" s="13" t="n"/>
      <c r="I2072" s="13" t="n"/>
      <c r="J2072" s="14" t="n"/>
      <c r="K2072" s="14" t="n"/>
      <c r="L2072" s="19">
        <f>IF($C2072="","",ROUND(IFERROR(VLOOKUP($C2072,账户期初,2,0),0)+SUMIFS($J$4:J2072,$C$4:C2072,$C2072)-SUMIFS($K$4:K2072,$C$4:C2072,$C2072),2))</f>
        <v/>
      </c>
      <c r="M2072" s="19">
        <f>IF($C2072="","",ROUND(SUM(基础资料!$B$4:$B$13)+SUM($J$4:J2072)-SUM($K$4:K2072),2))</f>
        <v/>
      </c>
      <c r="N2072" s="13" t="n"/>
      <c r="O2072" s="13" t="n"/>
      <c r="P2072" s="17">
        <f>IF($B2072="","",IF($F2072="※类别不在基础资料里","※费用类别不在基础资料里",IF(AND(N($J2072)=0,N($K2072)=0),"※这行没填金额",IF(AND(N($J2072)&gt;0,N($K2072)&gt;0),"※收入和支出不能同一行都填",IF(AND($D2072="收入",N($J2072)=0),"※收入行要填收入金额",IF(AND($D2072="支出",N($K2072)=0),"※支出行要填支出金额",IF(AND($C2072&lt;&gt;"",ISNA(MATCH($C2072,账户表,0))),"※账户不在基础资料里",IF(AND($G2072&lt;&gt;"",ISNA(MATCH($G2072,项目名表,0))),"※项目不在项目台账里",IF(AND(LEFT($F2072,3)="成本-",$G2072=""),"※成本类支出没填项目",IF(AND(LEFT($F2072,3)="成本-",$H2072&lt;&gt;"",N($K2072)&gt;0,COUNTIFS(采购单!$B:$B,$B2072,采购单!$C:$C,$H2072,采购单!$L:$L,$K2072)&gt;0),"※这笔可能和采购单重复了",""))))))))))</f>
        <v/>
      </c>
    </row>
    <row r="2073">
      <c r="A2073" s="17">
        <f>IF($B2073="","",ROW()-3)</f>
        <v/>
      </c>
      <c r="B2073" s="18" t="n"/>
      <c r="C2073" s="13" t="n"/>
      <c r="D2073" s="13" t="n"/>
      <c r="E2073" s="13" t="n"/>
      <c r="F2073" s="17">
        <f>IF($E2073="","",IFERROR(VLOOKUP($E2073,类别归属,2,0),"※类别不在基础资料里"))</f>
        <v/>
      </c>
      <c r="G2073" s="13" t="n"/>
      <c r="H2073" s="13" t="n"/>
      <c r="I2073" s="13" t="n"/>
      <c r="J2073" s="14" t="n"/>
      <c r="K2073" s="14" t="n"/>
      <c r="L2073" s="19">
        <f>IF($C2073="","",ROUND(IFERROR(VLOOKUP($C2073,账户期初,2,0),0)+SUMIFS($J$4:J2073,$C$4:C2073,$C2073)-SUMIFS($K$4:K2073,$C$4:C2073,$C2073),2))</f>
        <v/>
      </c>
      <c r="M2073" s="19">
        <f>IF($C2073="","",ROUND(SUM(基础资料!$B$4:$B$13)+SUM($J$4:J2073)-SUM($K$4:K2073),2))</f>
        <v/>
      </c>
      <c r="N2073" s="13" t="n"/>
      <c r="O2073" s="13" t="n"/>
      <c r="P2073" s="17">
        <f>IF($B2073="","",IF($F2073="※类别不在基础资料里","※费用类别不在基础资料里",IF(AND(N($J2073)=0,N($K2073)=0),"※这行没填金额",IF(AND(N($J2073)&gt;0,N($K2073)&gt;0),"※收入和支出不能同一行都填",IF(AND($D2073="收入",N($J2073)=0),"※收入行要填收入金额",IF(AND($D2073="支出",N($K2073)=0),"※支出行要填支出金额",IF(AND($C2073&lt;&gt;"",ISNA(MATCH($C2073,账户表,0))),"※账户不在基础资料里",IF(AND($G2073&lt;&gt;"",ISNA(MATCH($G2073,项目名表,0))),"※项目不在项目台账里",IF(AND(LEFT($F2073,3)="成本-",$G2073=""),"※成本类支出没填项目",IF(AND(LEFT($F2073,3)="成本-",$H2073&lt;&gt;"",N($K2073)&gt;0,COUNTIFS(采购单!$B:$B,$B2073,采购单!$C:$C,$H2073,采购单!$L:$L,$K2073)&gt;0),"※这笔可能和采购单重复了",""))))))))))</f>
        <v/>
      </c>
    </row>
    <row r="2074">
      <c r="A2074" s="17">
        <f>IF($B2074="","",ROW()-3)</f>
        <v/>
      </c>
      <c r="B2074" s="18" t="n"/>
      <c r="C2074" s="13" t="n"/>
      <c r="D2074" s="13" t="n"/>
      <c r="E2074" s="13" t="n"/>
      <c r="F2074" s="17">
        <f>IF($E2074="","",IFERROR(VLOOKUP($E2074,类别归属,2,0),"※类别不在基础资料里"))</f>
        <v/>
      </c>
      <c r="G2074" s="13" t="n"/>
      <c r="H2074" s="13" t="n"/>
      <c r="I2074" s="13" t="n"/>
      <c r="J2074" s="14" t="n"/>
      <c r="K2074" s="14" t="n"/>
      <c r="L2074" s="19">
        <f>IF($C2074="","",ROUND(IFERROR(VLOOKUP($C2074,账户期初,2,0),0)+SUMIFS($J$4:J2074,$C$4:C2074,$C2074)-SUMIFS($K$4:K2074,$C$4:C2074,$C2074),2))</f>
        <v/>
      </c>
      <c r="M2074" s="19">
        <f>IF($C2074="","",ROUND(SUM(基础资料!$B$4:$B$13)+SUM($J$4:J2074)-SUM($K$4:K2074),2))</f>
        <v/>
      </c>
      <c r="N2074" s="13" t="n"/>
      <c r="O2074" s="13" t="n"/>
      <c r="P2074" s="17">
        <f>IF($B2074="","",IF($F2074="※类别不在基础资料里","※费用类别不在基础资料里",IF(AND(N($J2074)=0,N($K2074)=0),"※这行没填金额",IF(AND(N($J2074)&gt;0,N($K2074)&gt;0),"※收入和支出不能同一行都填",IF(AND($D2074="收入",N($J2074)=0),"※收入行要填收入金额",IF(AND($D2074="支出",N($K2074)=0),"※支出行要填支出金额",IF(AND($C2074&lt;&gt;"",ISNA(MATCH($C2074,账户表,0))),"※账户不在基础资料里",IF(AND($G2074&lt;&gt;"",ISNA(MATCH($G2074,项目名表,0))),"※项目不在项目台账里",IF(AND(LEFT($F2074,3)="成本-",$G2074=""),"※成本类支出没填项目",IF(AND(LEFT($F2074,3)="成本-",$H2074&lt;&gt;"",N($K2074)&gt;0,COUNTIFS(采购单!$B:$B,$B2074,采购单!$C:$C,$H2074,采购单!$L:$L,$K2074)&gt;0),"※这笔可能和采购单重复了",""))))))))))</f>
        <v/>
      </c>
    </row>
    <row r="2075">
      <c r="A2075" s="17">
        <f>IF($B2075="","",ROW()-3)</f>
        <v/>
      </c>
      <c r="B2075" s="18" t="n"/>
      <c r="C2075" s="13" t="n"/>
      <c r="D2075" s="13" t="n"/>
      <c r="E2075" s="13" t="n"/>
      <c r="F2075" s="17">
        <f>IF($E2075="","",IFERROR(VLOOKUP($E2075,类别归属,2,0),"※类别不在基础资料里"))</f>
        <v/>
      </c>
      <c r="G2075" s="13" t="n"/>
      <c r="H2075" s="13" t="n"/>
      <c r="I2075" s="13" t="n"/>
      <c r="J2075" s="14" t="n"/>
      <c r="K2075" s="14" t="n"/>
      <c r="L2075" s="19">
        <f>IF($C2075="","",ROUND(IFERROR(VLOOKUP($C2075,账户期初,2,0),0)+SUMIFS($J$4:J2075,$C$4:C2075,$C2075)-SUMIFS($K$4:K2075,$C$4:C2075,$C2075),2))</f>
        <v/>
      </c>
      <c r="M2075" s="19">
        <f>IF($C2075="","",ROUND(SUM(基础资料!$B$4:$B$13)+SUM($J$4:J2075)-SUM($K$4:K2075),2))</f>
        <v/>
      </c>
      <c r="N2075" s="13" t="n"/>
      <c r="O2075" s="13" t="n"/>
      <c r="P2075" s="17">
        <f>IF($B2075="","",IF($F2075="※类别不在基础资料里","※费用类别不在基础资料里",IF(AND(N($J2075)=0,N($K2075)=0),"※这行没填金额",IF(AND(N($J2075)&gt;0,N($K2075)&gt;0),"※收入和支出不能同一行都填",IF(AND($D2075="收入",N($J2075)=0),"※收入行要填收入金额",IF(AND($D2075="支出",N($K2075)=0),"※支出行要填支出金额",IF(AND($C2075&lt;&gt;"",ISNA(MATCH($C2075,账户表,0))),"※账户不在基础资料里",IF(AND($G2075&lt;&gt;"",ISNA(MATCH($G2075,项目名表,0))),"※项目不在项目台账里",IF(AND(LEFT($F2075,3)="成本-",$G2075=""),"※成本类支出没填项目",IF(AND(LEFT($F2075,3)="成本-",$H2075&lt;&gt;"",N($K2075)&gt;0,COUNTIFS(采购单!$B:$B,$B2075,采购单!$C:$C,$H2075,采购单!$L:$L,$K2075)&gt;0),"※这笔可能和采购单重复了",""))))))))))</f>
        <v/>
      </c>
    </row>
    <row r="2076">
      <c r="A2076" s="17">
        <f>IF($B2076="","",ROW()-3)</f>
        <v/>
      </c>
      <c r="B2076" s="18" t="n"/>
      <c r="C2076" s="13" t="n"/>
      <c r="D2076" s="13" t="n"/>
      <c r="E2076" s="13" t="n"/>
      <c r="F2076" s="17">
        <f>IF($E2076="","",IFERROR(VLOOKUP($E2076,类别归属,2,0),"※类别不在基础资料里"))</f>
        <v/>
      </c>
      <c r="G2076" s="13" t="n"/>
      <c r="H2076" s="13" t="n"/>
      <c r="I2076" s="13" t="n"/>
      <c r="J2076" s="14" t="n"/>
      <c r="K2076" s="14" t="n"/>
      <c r="L2076" s="19">
        <f>IF($C2076="","",ROUND(IFERROR(VLOOKUP($C2076,账户期初,2,0),0)+SUMIFS($J$4:J2076,$C$4:C2076,$C2076)-SUMIFS($K$4:K2076,$C$4:C2076,$C2076),2))</f>
        <v/>
      </c>
      <c r="M2076" s="19">
        <f>IF($C2076="","",ROUND(SUM(基础资料!$B$4:$B$13)+SUM($J$4:J2076)-SUM($K$4:K2076),2))</f>
        <v/>
      </c>
      <c r="N2076" s="13" t="n"/>
      <c r="O2076" s="13" t="n"/>
      <c r="P2076" s="17">
        <f>IF($B2076="","",IF($F2076="※类别不在基础资料里","※费用类别不在基础资料里",IF(AND(N($J2076)=0,N($K2076)=0),"※这行没填金额",IF(AND(N($J2076)&gt;0,N($K2076)&gt;0),"※收入和支出不能同一行都填",IF(AND($D2076="收入",N($J2076)=0),"※收入行要填收入金额",IF(AND($D2076="支出",N($K2076)=0),"※支出行要填支出金额",IF(AND($C2076&lt;&gt;"",ISNA(MATCH($C2076,账户表,0))),"※账户不在基础资料里",IF(AND($G2076&lt;&gt;"",ISNA(MATCH($G2076,项目名表,0))),"※项目不在项目台账里",IF(AND(LEFT($F2076,3)="成本-",$G2076=""),"※成本类支出没填项目",IF(AND(LEFT($F2076,3)="成本-",$H2076&lt;&gt;"",N($K2076)&gt;0,COUNTIFS(采购单!$B:$B,$B2076,采购单!$C:$C,$H2076,采购单!$L:$L,$K2076)&gt;0),"※这笔可能和采购单重复了",""))))))))))</f>
        <v/>
      </c>
    </row>
    <row r="2077">
      <c r="A2077" s="17">
        <f>IF($B2077="","",ROW()-3)</f>
        <v/>
      </c>
      <c r="B2077" s="18" t="n"/>
      <c r="C2077" s="13" t="n"/>
      <c r="D2077" s="13" t="n"/>
      <c r="E2077" s="13" t="n"/>
      <c r="F2077" s="17">
        <f>IF($E2077="","",IFERROR(VLOOKUP($E2077,类别归属,2,0),"※类别不在基础资料里"))</f>
        <v/>
      </c>
      <c r="G2077" s="13" t="n"/>
      <c r="H2077" s="13" t="n"/>
      <c r="I2077" s="13" t="n"/>
      <c r="J2077" s="14" t="n"/>
      <c r="K2077" s="14" t="n"/>
      <c r="L2077" s="19">
        <f>IF($C2077="","",ROUND(IFERROR(VLOOKUP($C2077,账户期初,2,0),0)+SUMIFS($J$4:J2077,$C$4:C2077,$C2077)-SUMIFS($K$4:K2077,$C$4:C2077,$C2077),2))</f>
        <v/>
      </c>
      <c r="M2077" s="19">
        <f>IF($C2077="","",ROUND(SUM(基础资料!$B$4:$B$13)+SUM($J$4:J2077)-SUM($K$4:K2077),2))</f>
        <v/>
      </c>
      <c r="N2077" s="13" t="n"/>
      <c r="O2077" s="13" t="n"/>
      <c r="P2077" s="17">
        <f>IF($B2077="","",IF($F2077="※类别不在基础资料里","※费用类别不在基础资料里",IF(AND(N($J2077)=0,N($K2077)=0),"※这行没填金额",IF(AND(N($J2077)&gt;0,N($K2077)&gt;0),"※收入和支出不能同一行都填",IF(AND($D2077="收入",N($J2077)=0),"※收入行要填收入金额",IF(AND($D2077="支出",N($K2077)=0),"※支出行要填支出金额",IF(AND($C2077&lt;&gt;"",ISNA(MATCH($C2077,账户表,0))),"※账户不在基础资料里",IF(AND($G2077&lt;&gt;"",ISNA(MATCH($G2077,项目名表,0))),"※项目不在项目台账里",IF(AND(LEFT($F2077,3)="成本-",$G2077=""),"※成本类支出没填项目",IF(AND(LEFT($F2077,3)="成本-",$H2077&lt;&gt;"",N($K2077)&gt;0,COUNTIFS(采购单!$B:$B,$B2077,采购单!$C:$C,$H2077,采购单!$L:$L,$K2077)&gt;0),"※这笔可能和采购单重复了",""))))))))))</f>
        <v/>
      </c>
    </row>
    <row r="2078">
      <c r="A2078" s="17">
        <f>IF($B2078="","",ROW()-3)</f>
        <v/>
      </c>
      <c r="B2078" s="18" t="n"/>
      <c r="C2078" s="13" t="n"/>
      <c r="D2078" s="13" t="n"/>
      <c r="E2078" s="13" t="n"/>
      <c r="F2078" s="17">
        <f>IF($E2078="","",IFERROR(VLOOKUP($E2078,类别归属,2,0),"※类别不在基础资料里"))</f>
        <v/>
      </c>
      <c r="G2078" s="13" t="n"/>
      <c r="H2078" s="13" t="n"/>
      <c r="I2078" s="13" t="n"/>
      <c r="J2078" s="14" t="n"/>
      <c r="K2078" s="14" t="n"/>
      <c r="L2078" s="19">
        <f>IF($C2078="","",ROUND(IFERROR(VLOOKUP($C2078,账户期初,2,0),0)+SUMIFS($J$4:J2078,$C$4:C2078,$C2078)-SUMIFS($K$4:K2078,$C$4:C2078,$C2078),2))</f>
        <v/>
      </c>
      <c r="M2078" s="19">
        <f>IF($C2078="","",ROUND(SUM(基础资料!$B$4:$B$13)+SUM($J$4:J2078)-SUM($K$4:K2078),2))</f>
        <v/>
      </c>
      <c r="N2078" s="13" t="n"/>
      <c r="O2078" s="13" t="n"/>
      <c r="P2078" s="17">
        <f>IF($B2078="","",IF($F2078="※类别不在基础资料里","※费用类别不在基础资料里",IF(AND(N($J2078)=0,N($K2078)=0),"※这行没填金额",IF(AND(N($J2078)&gt;0,N($K2078)&gt;0),"※收入和支出不能同一行都填",IF(AND($D2078="收入",N($J2078)=0),"※收入行要填收入金额",IF(AND($D2078="支出",N($K2078)=0),"※支出行要填支出金额",IF(AND($C2078&lt;&gt;"",ISNA(MATCH($C2078,账户表,0))),"※账户不在基础资料里",IF(AND($G2078&lt;&gt;"",ISNA(MATCH($G2078,项目名表,0))),"※项目不在项目台账里",IF(AND(LEFT($F2078,3)="成本-",$G2078=""),"※成本类支出没填项目",IF(AND(LEFT($F2078,3)="成本-",$H2078&lt;&gt;"",N($K2078)&gt;0,COUNTIFS(采购单!$B:$B,$B2078,采购单!$C:$C,$H2078,采购单!$L:$L,$K2078)&gt;0),"※这笔可能和采购单重复了",""))))))))))</f>
        <v/>
      </c>
    </row>
    <row r="2079">
      <c r="A2079" s="17">
        <f>IF($B2079="","",ROW()-3)</f>
        <v/>
      </c>
      <c r="B2079" s="18" t="n"/>
      <c r="C2079" s="13" t="n"/>
      <c r="D2079" s="13" t="n"/>
      <c r="E2079" s="13" t="n"/>
      <c r="F2079" s="17">
        <f>IF($E2079="","",IFERROR(VLOOKUP($E2079,类别归属,2,0),"※类别不在基础资料里"))</f>
        <v/>
      </c>
      <c r="G2079" s="13" t="n"/>
      <c r="H2079" s="13" t="n"/>
      <c r="I2079" s="13" t="n"/>
      <c r="J2079" s="14" t="n"/>
      <c r="K2079" s="14" t="n"/>
      <c r="L2079" s="19">
        <f>IF($C2079="","",ROUND(IFERROR(VLOOKUP($C2079,账户期初,2,0),0)+SUMIFS($J$4:J2079,$C$4:C2079,$C2079)-SUMIFS($K$4:K2079,$C$4:C2079,$C2079),2))</f>
        <v/>
      </c>
      <c r="M2079" s="19">
        <f>IF($C2079="","",ROUND(SUM(基础资料!$B$4:$B$13)+SUM($J$4:J2079)-SUM($K$4:K2079),2))</f>
        <v/>
      </c>
      <c r="N2079" s="13" t="n"/>
      <c r="O2079" s="13" t="n"/>
      <c r="P2079" s="17">
        <f>IF($B2079="","",IF($F2079="※类别不在基础资料里","※费用类别不在基础资料里",IF(AND(N($J2079)=0,N($K2079)=0),"※这行没填金额",IF(AND(N($J2079)&gt;0,N($K2079)&gt;0),"※收入和支出不能同一行都填",IF(AND($D2079="收入",N($J2079)=0),"※收入行要填收入金额",IF(AND($D2079="支出",N($K2079)=0),"※支出行要填支出金额",IF(AND($C2079&lt;&gt;"",ISNA(MATCH($C2079,账户表,0))),"※账户不在基础资料里",IF(AND($G2079&lt;&gt;"",ISNA(MATCH($G2079,项目名表,0))),"※项目不在项目台账里",IF(AND(LEFT($F2079,3)="成本-",$G2079=""),"※成本类支出没填项目",IF(AND(LEFT($F2079,3)="成本-",$H2079&lt;&gt;"",N($K2079)&gt;0,COUNTIFS(采购单!$B:$B,$B2079,采购单!$C:$C,$H2079,采购单!$L:$L,$K2079)&gt;0),"※这笔可能和采购单重复了",""))))))))))</f>
        <v/>
      </c>
    </row>
    <row r="2080">
      <c r="A2080" s="17">
        <f>IF($B2080="","",ROW()-3)</f>
        <v/>
      </c>
      <c r="B2080" s="18" t="n"/>
      <c r="C2080" s="13" t="n"/>
      <c r="D2080" s="13" t="n"/>
      <c r="E2080" s="13" t="n"/>
      <c r="F2080" s="17">
        <f>IF($E2080="","",IFERROR(VLOOKUP($E2080,类别归属,2,0),"※类别不在基础资料里"))</f>
        <v/>
      </c>
      <c r="G2080" s="13" t="n"/>
      <c r="H2080" s="13" t="n"/>
      <c r="I2080" s="13" t="n"/>
      <c r="J2080" s="14" t="n"/>
      <c r="K2080" s="14" t="n"/>
      <c r="L2080" s="19">
        <f>IF($C2080="","",ROUND(IFERROR(VLOOKUP($C2080,账户期初,2,0),0)+SUMIFS($J$4:J2080,$C$4:C2080,$C2080)-SUMIFS($K$4:K2080,$C$4:C2080,$C2080),2))</f>
        <v/>
      </c>
      <c r="M2080" s="19">
        <f>IF($C2080="","",ROUND(SUM(基础资料!$B$4:$B$13)+SUM($J$4:J2080)-SUM($K$4:K2080),2))</f>
        <v/>
      </c>
      <c r="N2080" s="13" t="n"/>
      <c r="O2080" s="13" t="n"/>
      <c r="P2080" s="17">
        <f>IF($B2080="","",IF($F2080="※类别不在基础资料里","※费用类别不在基础资料里",IF(AND(N($J2080)=0,N($K2080)=0),"※这行没填金额",IF(AND(N($J2080)&gt;0,N($K2080)&gt;0),"※收入和支出不能同一行都填",IF(AND($D2080="收入",N($J2080)=0),"※收入行要填收入金额",IF(AND($D2080="支出",N($K2080)=0),"※支出行要填支出金额",IF(AND($C2080&lt;&gt;"",ISNA(MATCH($C2080,账户表,0))),"※账户不在基础资料里",IF(AND($G2080&lt;&gt;"",ISNA(MATCH($G2080,项目名表,0))),"※项目不在项目台账里",IF(AND(LEFT($F2080,3)="成本-",$G2080=""),"※成本类支出没填项目",IF(AND(LEFT($F2080,3)="成本-",$H2080&lt;&gt;"",N($K2080)&gt;0,COUNTIFS(采购单!$B:$B,$B2080,采购单!$C:$C,$H2080,采购单!$L:$L,$K2080)&gt;0),"※这笔可能和采购单重复了",""))))))))))</f>
        <v/>
      </c>
    </row>
    <row r="2081">
      <c r="A2081" s="17">
        <f>IF($B2081="","",ROW()-3)</f>
        <v/>
      </c>
      <c r="B2081" s="18" t="n"/>
      <c r="C2081" s="13" t="n"/>
      <c r="D2081" s="13" t="n"/>
      <c r="E2081" s="13" t="n"/>
      <c r="F2081" s="17">
        <f>IF($E2081="","",IFERROR(VLOOKUP($E2081,类别归属,2,0),"※类别不在基础资料里"))</f>
        <v/>
      </c>
      <c r="G2081" s="13" t="n"/>
      <c r="H2081" s="13" t="n"/>
      <c r="I2081" s="13" t="n"/>
      <c r="J2081" s="14" t="n"/>
      <c r="K2081" s="14" t="n"/>
      <c r="L2081" s="19">
        <f>IF($C2081="","",ROUND(IFERROR(VLOOKUP($C2081,账户期初,2,0),0)+SUMIFS($J$4:J2081,$C$4:C2081,$C2081)-SUMIFS($K$4:K2081,$C$4:C2081,$C2081),2))</f>
        <v/>
      </c>
      <c r="M2081" s="19">
        <f>IF($C2081="","",ROUND(SUM(基础资料!$B$4:$B$13)+SUM($J$4:J2081)-SUM($K$4:K2081),2))</f>
        <v/>
      </c>
      <c r="N2081" s="13" t="n"/>
      <c r="O2081" s="13" t="n"/>
      <c r="P2081" s="17">
        <f>IF($B2081="","",IF($F2081="※类别不在基础资料里","※费用类别不在基础资料里",IF(AND(N($J2081)=0,N($K2081)=0),"※这行没填金额",IF(AND(N($J2081)&gt;0,N($K2081)&gt;0),"※收入和支出不能同一行都填",IF(AND($D2081="收入",N($J2081)=0),"※收入行要填收入金额",IF(AND($D2081="支出",N($K2081)=0),"※支出行要填支出金额",IF(AND($C2081&lt;&gt;"",ISNA(MATCH($C2081,账户表,0))),"※账户不在基础资料里",IF(AND($G2081&lt;&gt;"",ISNA(MATCH($G2081,项目名表,0))),"※项目不在项目台账里",IF(AND(LEFT($F2081,3)="成本-",$G2081=""),"※成本类支出没填项目",IF(AND(LEFT($F2081,3)="成本-",$H2081&lt;&gt;"",N($K2081)&gt;0,COUNTIFS(采购单!$B:$B,$B2081,采购单!$C:$C,$H2081,采购单!$L:$L,$K2081)&gt;0),"※这笔可能和采购单重复了",""))))))))))</f>
        <v/>
      </c>
    </row>
    <row r="2082">
      <c r="A2082" s="17">
        <f>IF($B2082="","",ROW()-3)</f>
        <v/>
      </c>
      <c r="B2082" s="18" t="n"/>
      <c r="C2082" s="13" t="n"/>
      <c r="D2082" s="13" t="n"/>
      <c r="E2082" s="13" t="n"/>
      <c r="F2082" s="17">
        <f>IF($E2082="","",IFERROR(VLOOKUP($E2082,类别归属,2,0),"※类别不在基础资料里"))</f>
        <v/>
      </c>
      <c r="G2082" s="13" t="n"/>
      <c r="H2082" s="13" t="n"/>
      <c r="I2082" s="13" t="n"/>
      <c r="J2082" s="14" t="n"/>
      <c r="K2082" s="14" t="n"/>
      <c r="L2082" s="19">
        <f>IF($C2082="","",ROUND(IFERROR(VLOOKUP($C2082,账户期初,2,0),0)+SUMIFS($J$4:J2082,$C$4:C2082,$C2082)-SUMIFS($K$4:K2082,$C$4:C2082,$C2082),2))</f>
        <v/>
      </c>
      <c r="M2082" s="19">
        <f>IF($C2082="","",ROUND(SUM(基础资料!$B$4:$B$13)+SUM($J$4:J2082)-SUM($K$4:K2082),2))</f>
        <v/>
      </c>
      <c r="N2082" s="13" t="n"/>
      <c r="O2082" s="13" t="n"/>
      <c r="P2082" s="17">
        <f>IF($B2082="","",IF($F2082="※类别不在基础资料里","※费用类别不在基础资料里",IF(AND(N($J2082)=0,N($K2082)=0),"※这行没填金额",IF(AND(N($J2082)&gt;0,N($K2082)&gt;0),"※收入和支出不能同一行都填",IF(AND($D2082="收入",N($J2082)=0),"※收入行要填收入金额",IF(AND($D2082="支出",N($K2082)=0),"※支出行要填支出金额",IF(AND($C2082&lt;&gt;"",ISNA(MATCH($C2082,账户表,0))),"※账户不在基础资料里",IF(AND($G2082&lt;&gt;"",ISNA(MATCH($G2082,项目名表,0))),"※项目不在项目台账里",IF(AND(LEFT($F2082,3)="成本-",$G2082=""),"※成本类支出没填项目",IF(AND(LEFT($F2082,3)="成本-",$H2082&lt;&gt;"",N($K2082)&gt;0,COUNTIFS(采购单!$B:$B,$B2082,采购单!$C:$C,$H2082,采购单!$L:$L,$K2082)&gt;0),"※这笔可能和采购单重复了",""))))))))))</f>
        <v/>
      </c>
    </row>
    <row r="2083">
      <c r="A2083" s="17">
        <f>IF($B2083="","",ROW()-3)</f>
        <v/>
      </c>
      <c r="B2083" s="18" t="n"/>
      <c r="C2083" s="13" t="n"/>
      <c r="D2083" s="13" t="n"/>
      <c r="E2083" s="13" t="n"/>
      <c r="F2083" s="17">
        <f>IF($E2083="","",IFERROR(VLOOKUP($E2083,类别归属,2,0),"※类别不在基础资料里"))</f>
        <v/>
      </c>
      <c r="G2083" s="13" t="n"/>
      <c r="H2083" s="13" t="n"/>
      <c r="I2083" s="13" t="n"/>
      <c r="J2083" s="14" t="n"/>
      <c r="K2083" s="14" t="n"/>
      <c r="L2083" s="19">
        <f>IF($C2083="","",ROUND(IFERROR(VLOOKUP($C2083,账户期初,2,0),0)+SUMIFS($J$4:J2083,$C$4:C2083,$C2083)-SUMIFS($K$4:K2083,$C$4:C2083,$C2083),2))</f>
        <v/>
      </c>
      <c r="M2083" s="19">
        <f>IF($C2083="","",ROUND(SUM(基础资料!$B$4:$B$13)+SUM($J$4:J2083)-SUM($K$4:K2083),2))</f>
        <v/>
      </c>
      <c r="N2083" s="13" t="n"/>
      <c r="O2083" s="13" t="n"/>
      <c r="P2083" s="17">
        <f>IF($B2083="","",IF($F2083="※类别不在基础资料里","※费用类别不在基础资料里",IF(AND(N($J2083)=0,N($K2083)=0),"※这行没填金额",IF(AND(N($J2083)&gt;0,N($K2083)&gt;0),"※收入和支出不能同一行都填",IF(AND($D2083="收入",N($J2083)=0),"※收入行要填收入金额",IF(AND($D2083="支出",N($K2083)=0),"※支出行要填支出金额",IF(AND($C2083&lt;&gt;"",ISNA(MATCH($C2083,账户表,0))),"※账户不在基础资料里",IF(AND($G2083&lt;&gt;"",ISNA(MATCH($G2083,项目名表,0))),"※项目不在项目台账里",IF(AND(LEFT($F2083,3)="成本-",$G2083=""),"※成本类支出没填项目",IF(AND(LEFT($F2083,3)="成本-",$H2083&lt;&gt;"",N($K2083)&gt;0,COUNTIFS(采购单!$B:$B,$B2083,采购单!$C:$C,$H2083,采购单!$L:$L,$K2083)&gt;0),"※这笔可能和采购单重复了",""))))))))))</f>
        <v/>
      </c>
    </row>
    <row r="2084">
      <c r="A2084" s="17">
        <f>IF($B2084="","",ROW()-3)</f>
        <v/>
      </c>
      <c r="B2084" s="18" t="n"/>
      <c r="C2084" s="13" t="n"/>
      <c r="D2084" s="13" t="n"/>
      <c r="E2084" s="13" t="n"/>
      <c r="F2084" s="17">
        <f>IF($E2084="","",IFERROR(VLOOKUP($E2084,类别归属,2,0),"※类别不在基础资料里"))</f>
        <v/>
      </c>
      <c r="G2084" s="13" t="n"/>
      <c r="H2084" s="13" t="n"/>
      <c r="I2084" s="13" t="n"/>
      <c r="J2084" s="14" t="n"/>
      <c r="K2084" s="14" t="n"/>
      <c r="L2084" s="19">
        <f>IF($C2084="","",ROUND(IFERROR(VLOOKUP($C2084,账户期初,2,0),0)+SUMIFS($J$4:J2084,$C$4:C2084,$C2084)-SUMIFS($K$4:K2084,$C$4:C2084,$C2084),2))</f>
        <v/>
      </c>
      <c r="M2084" s="19">
        <f>IF($C2084="","",ROUND(SUM(基础资料!$B$4:$B$13)+SUM($J$4:J2084)-SUM($K$4:K2084),2))</f>
        <v/>
      </c>
      <c r="N2084" s="13" t="n"/>
      <c r="O2084" s="13" t="n"/>
      <c r="P2084" s="17">
        <f>IF($B2084="","",IF($F2084="※类别不在基础资料里","※费用类别不在基础资料里",IF(AND(N($J2084)=0,N($K2084)=0),"※这行没填金额",IF(AND(N($J2084)&gt;0,N($K2084)&gt;0),"※收入和支出不能同一行都填",IF(AND($D2084="收入",N($J2084)=0),"※收入行要填收入金额",IF(AND($D2084="支出",N($K2084)=0),"※支出行要填支出金额",IF(AND($C2084&lt;&gt;"",ISNA(MATCH($C2084,账户表,0))),"※账户不在基础资料里",IF(AND($G2084&lt;&gt;"",ISNA(MATCH($G2084,项目名表,0))),"※项目不在项目台账里",IF(AND(LEFT($F2084,3)="成本-",$G2084=""),"※成本类支出没填项目",IF(AND(LEFT($F2084,3)="成本-",$H2084&lt;&gt;"",N($K2084)&gt;0,COUNTIFS(采购单!$B:$B,$B2084,采购单!$C:$C,$H2084,采购单!$L:$L,$K2084)&gt;0),"※这笔可能和采购单重复了",""))))))))))</f>
        <v/>
      </c>
    </row>
    <row r="2085">
      <c r="A2085" s="17">
        <f>IF($B2085="","",ROW()-3)</f>
        <v/>
      </c>
      <c r="B2085" s="18" t="n"/>
      <c r="C2085" s="13" t="n"/>
      <c r="D2085" s="13" t="n"/>
      <c r="E2085" s="13" t="n"/>
      <c r="F2085" s="17">
        <f>IF($E2085="","",IFERROR(VLOOKUP($E2085,类别归属,2,0),"※类别不在基础资料里"))</f>
        <v/>
      </c>
      <c r="G2085" s="13" t="n"/>
      <c r="H2085" s="13" t="n"/>
      <c r="I2085" s="13" t="n"/>
      <c r="J2085" s="14" t="n"/>
      <c r="K2085" s="14" t="n"/>
      <c r="L2085" s="19">
        <f>IF($C2085="","",ROUND(IFERROR(VLOOKUP($C2085,账户期初,2,0),0)+SUMIFS($J$4:J2085,$C$4:C2085,$C2085)-SUMIFS($K$4:K2085,$C$4:C2085,$C2085),2))</f>
        <v/>
      </c>
      <c r="M2085" s="19">
        <f>IF($C2085="","",ROUND(SUM(基础资料!$B$4:$B$13)+SUM($J$4:J2085)-SUM($K$4:K2085),2))</f>
        <v/>
      </c>
      <c r="N2085" s="13" t="n"/>
      <c r="O2085" s="13" t="n"/>
      <c r="P2085" s="17">
        <f>IF($B2085="","",IF($F2085="※类别不在基础资料里","※费用类别不在基础资料里",IF(AND(N($J2085)=0,N($K2085)=0),"※这行没填金额",IF(AND(N($J2085)&gt;0,N($K2085)&gt;0),"※收入和支出不能同一行都填",IF(AND($D2085="收入",N($J2085)=0),"※收入行要填收入金额",IF(AND($D2085="支出",N($K2085)=0),"※支出行要填支出金额",IF(AND($C2085&lt;&gt;"",ISNA(MATCH($C2085,账户表,0))),"※账户不在基础资料里",IF(AND($G2085&lt;&gt;"",ISNA(MATCH($G2085,项目名表,0))),"※项目不在项目台账里",IF(AND(LEFT($F2085,3)="成本-",$G2085=""),"※成本类支出没填项目",IF(AND(LEFT($F2085,3)="成本-",$H2085&lt;&gt;"",N($K2085)&gt;0,COUNTIFS(采购单!$B:$B,$B2085,采购单!$C:$C,$H2085,采购单!$L:$L,$K2085)&gt;0),"※这笔可能和采购单重复了",""))))))))))</f>
        <v/>
      </c>
    </row>
    <row r="2086">
      <c r="A2086" s="17">
        <f>IF($B2086="","",ROW()-3)</f>
        <v/>
      </c>
      <c r="B2086" s="18" t="n"/>
      <c r="C2086" s="13" t="n"/>
      <c r="D2086" s="13" t="n"/>
      <c r="E2086" s="13" t="n"/>
      <c r="F2086" s="17">
        <f>IF($E2086="","",IFERROR(VLOOKUP($E2086,类别归属,2,0),"※类别不在基础资料里"))</f>
        <v/>
      </c>
      <c r="G2086" s="13" t="n"/>
      <c r="H2086" s="13" t="n"/>
      <c r="I2086" s="13" t="n"/>
      <c r="J2086" s="14" t="n"/>
      <c r="K2086" s="14" t="n"/>
      <c r="L2086" s="19">
        <f>IF($C2086="","",ROUND(IFERROR(VLOOKUP($C2086,账户期初,2,0),0)+SUMIFS($J$4:J2086,$C$4:C2086,$C2086)-SUMIFS($K$4:K2086,$C$4:C2086,$C2086),2))</f>
        <v/>
      </c>
      <c r="M2086" s="19">
        <f>IF($C2086="","",ROUND(SUM(基础资料!$B$4:$B$13)+SUM($J$4:J2086)-SUM($K$4:K2086),2))</f>
        <v/>
      </c>
      <c r="N2086" s="13" t="n"/>
      <c r="O2086" s="13" t="n"/>
      <c r="P2086" s="17">
        <f>IF($B2086="","",IF($F2086="※类别不在基础资料里","※费用类别不在基础资料里",IF(AND(N($J2086)=0,N($K2086)=0),"※这行没填金额",IF(AND(N($J2086)&gt;0,N($K2086)&gt;0),"※收入和支出不能同一行都填",IF(AND($D2086="收入",N($J2086)=0),"※收入行要填收入金额",IF(AND($D2086="支出",N($K2086)=0),"※支出行要填支出金额",IF(AND($C2086&lt;&gt;"",ISNA(MATCH($C2086,账户表,0))),"※账户不在基础资料里",IF(AND($G2086&lt;&gt;"",ISNA(MATCH($G2086,项目名表,0))),"※项目不在项目台账里",IF(AND(LEFT($F2086,3)="成本-",$G2086=""),"※成本类支出没填项目",IF(AND(LEFT($F2086,3)="成本-",$H2086&lt;&gt;"",N($K2086)&gt;0,COUNTIFS(采购单!$B:$B,$B2086,采购单!$C:$C,$H2086,采购单!$L:$L,$K2086)&gt;0),"※这笔可能和采购单重复了",""))))))))))</f>
        <v/>
      </c>
    </row>
    <row r="2087">
      <c r="A2087" s="17">
        <f>IF($B2087="","",ROW()-3)</f>
        <v/>
      </c>
      <c r="B2087" s="18" t="n"/>
      <c r="C2087" s="13" t="n"/>
      <c r="D2087" s="13" t="n"/>
      <c r="E2087" s="13" t="n"/>
      <c r="F2087" s="17">
        <f>IF($E2087="","",IFERROR(VLOOKUP($E2087,类别归属,2,0),"※类别不在基础资料里"))</f>
        <v/>
      </c>
      <c r="G2087" s="13" t="n"/>
      <c r="H2087" s="13" t="n"/>
      <c r="I2087" s="13" t="n"/>
      <c r="J2087" s="14" t="n"/>
      <c r="K2087" s="14" t="n"/>
      <c r="L2087" s="19">
        <f>IF($C2087="","",ROUND(IFERROR(VLOOKUP($C2087,账户期初,2,0),0)+SUMIFS($J$4:J2087,$C$4:C2087,$C2087)-SUMIFS($K$4:K2087,$C$4:C2087,$C2087),2))</f>
        <v/>
      </c>
      <c r="M2087" s="19">
        <f>IF($C2087="","",ROUND(SUM(基础资料!$B$4:$B$13)+SUM($J$4:J2087)-SUM($K$4:K2087),2))</f>
        <v/>
      </c>
      <c r="N2087" s="13" t="n"/>
      <c r="O2087" s="13" t="n"/>
      <c r="P2087" s="17">
        <f>IF($B2087="","",IF($F2087="※类别不在基础资料里","※费用类别不在基础资料里",IF(AND(N($J2087)=0,N($K2087)=0),"※这行没填金额",IF(AND(N($J2087)&gt;0,N($K2087)&gt;0),"※收入和支出不能同一行都填",IF(AND($D2087="收入",N($J2087)=0),"※收入行要填收入金额",IF(AND($D2087="支出",N($K2087)=0),"※支出行要填支出金额",IF(AND($C2087&lt;&gt;"",ISNA(MATCH($C2087,账户表,0))),"※账户不在基础资料里",IF(AND($G2087&lt;&gt;"",ISNA(MATCH($G2087,项目名表,0))),"※项目不在项目台账里",IF(AND(LEFT($F2087,3)="成本-",$G2087=""),"※成本类支出没填项目",IF(AND(LEFT($F2087,3)="成本-",$H2087&lt;&gt;"",N($K2087)&gt;0,COUNTIFS(采购单!$B:$B,$B2087,采购单!$C:$C,$H2087,采购单!$L:$L,$K2087)&gt;0),"※这笔可能和采购单重复了",""))))))))))</f>
        <v/>
      </c>
    </row>
    <row r="2088">
      <c r="A2088" s="17">
        <f>IF($B2088="","",ROW()-3)</f>
        <v/>
      </c>
      <c r="B2088" s="18" t="n"/>
      <c r="C2088" s="13" t="n"/>
      <c r="D2088" s="13" t="n"/>
      <c r="E2088" s="13" t="n"/>
      <c r="F2088" s="17">
        <f>IF($E2088="","",IFERROR(VLOOKUP($E2088,类别归属,2,0),"※类别不在基础资料里"))</f>
        <v/>
      </c>
      <c r="G2088" s="13" t="n"/>
      <c r="H2088" s="13" t="n"/>
      <c r="I2088" s="13" t="n"/>
      <c r="J2088" s="14" t="n"/>
      <c r="K2088" s="14" t="n"/>
      <c r="L2088" s="19">
        <f>IF($C2088="","",ROUND(IFERROR(VLOOKUP($C2088,账户期初,2,0),0)+SUMIFS($J$4:J2088,$C$4:C2088,$C2088)-SUMIFS($K$4:K2088,$C$4:C2088,$C2088),2))</f>
        <v/>
      </c>
      <c r="M2088" s="19">
        <f>IF($C2088="","",ROUND(SUM(基础资料!$B$4:$B$13)+SUM($J$4:J2088)-SUM($K$4:K2088),2))</f>
        <v/>
      </c>
      <c r="N2088" s="13" t="n"/>
      <c r="O2088" s="13" t="n"/>
      <c r="P2088" s="17">
        <f>IF($B2088="","",IF($F2088="※类别不在基础资料里","※费用类别不在基础资料里",IF(AND(N($J2088)=0,N($K2088)=0),"※这行没填金额",IF(AND(N($J2088)&gt;0,N($K2088)&gt;0),"※收入和支出不能同一行都填",IF(AND($D2088="收入",N($J2088)=0),"※收入行要填收入金额",IF(AND($D2088="支出",N($K2088)=0),"※支出行要填支出金额",IF(AND($C2088&lt;&gt;"",ISNA(MATCH($C2088,账户表,0))),"※账户不在基础资料里",IF(AND($G2088&lt;&gt;"",ISNA(MATCH($G2088,项目名表,0))),"※项目不在项目台账里",IF(AND(LEFT($F2088,3)="成本-",$G2088=""),"※成本类支出没填项目",IF(AND(LEFT($F2088,3)="成本-",$H2088&lt;&gt;"",N($K2088)&gt;0,COUNTIFS(采购单!$B:$B,$B2088,采购单!$C:$C,$H2088,采购单!$L:$L,$K2088)&gt;0),"※这笔可能和采购单重复了",""))))))))))</f>
        <v/>
      </c>
    </row>
    <row r="2089">
      <c r="A2089" s="17">
        <f>IF($B2089="","",ROW()-3)</f>
        <v/>
      </c>
      <c r="B2089" s="18" t="n"/>
      <c r="C2089" s="13" t="n"/>
      <c r="D2089" s="13" t="n"/>
      <c r="E2089" s="13" t="n"/>
      <c r="F2089" s="17">
        <f>IF($E2089="","",IFERROR(VLOOKUP($E2089,类别归属,2,0),"※类别不在基础资料里"))</f>
        <v/>
      </c>
      <c r="G2089" s="13" t="n"/>
      <c r="H2089" s="13" t="n"/>
      <c r="I2089" s="13" t="n"/>
      <c r="J2089" s="14" t="n"/>
      <c r="K2089" s="14" t="n"/>
      <c r="L2089" s="19">
        <f>IF($C2089="","",ROUND(IFERROR(VLOOKUP($C2089,账户期初,2,0),0)+SUMIFS($J$4:J2089,$C$4:C2089,$C2089)-SUMIFS($K$4:K2089,$C$4:C2089,$C2089),2))</f>
        <v/>
      </c>
      <c r="M2089" s="19">
        <f>IF($C2089="","",ROUND(SUM(基础资料!$B$4:$B$13)+SUM($J$4:J2089)-SUM($K$4:K2089),2))</f>
        <v/>
      </c>
      <c r="N2089" s="13" t="n"/>
      <c r="O2089" s="13" t="n"/>
      <c r="P2089" s="17">
        <f>IF($B2089="","",IF($F2089="※类别不在基础资料里","※费用类别不在基础资料里",IF(AND(N($J2089)=0,N($K2089)=0),"※这行没填金额",IF(AND(N($J2089)&gt;0,N($K2089)&gt;0),"※收入和支出不能同一行都填",IF(AND($D2089="收入",N($J2089)=0),"※收入行要填收入金额",IF(AND($D2089="支出",N($K2089)=0),"※支出行要填支出金额",IF(AND($C2089&lt;&gt;"",ISNA(MATCH($C2089,账户表,0))),"※账户不在基础资料里",IF(AND($G2089&lt;&gt;"",ISNA(MATCH($G2089,项目名表,0))),"※项目不在项目台账里",IF(AND(LEFT($F2089,3)="成本-",$G2089=""),"※成本类支出没填项目",IF(AND(LEFT($F2089,3)="成本-",$H2089&lt;&gt;"",N($K2089)&gt;0,COUNTIFS(采购单!$B:$B,$B2089,采购单!$C:$C,$H2089,采购单!$L:$L,$K2089)&gt;0),"※这笔可能和采购单重复了",""))))))))))</f>
        <v/>
      </c>
    </row>
    <row r="2090">
      <c r="A2090" s="17">
        <f>IF($B2090="","",ROW()-3)</f>
        <v/>
      </c>
      <c r="B2090" s="18" t="n"/>
      <c r="C2090" s="13" t="n"/>
      <c r="D2090" s="13" t="n"/>
      <c r="E2090" s="13" t="n"/>
      <c r="F2090" s="17">
        <f>IF($E2090="","",IFERROR(VLOOKUP($E2090,类别归属,2,0),"※类别不在基础资料里"))</f>
        <v/>
      </c>
      <c r="G2090" s="13" t="n"/>
      <c r="H2090" s="13" t="n"/>
      <c r="I2090" s="13" t="n"/>
      <c r="J2090" s="14" t="n"/>
      <c r="K2090" s="14" t="n"/>
      <c r="L2090" s="19">
        <f>IF($C2090="","",ROUND(IFERROR(VLOOKUP($C2090,账户期初,2,0),0)+SUMIFS($J$4:J2090,$C$4:C2090,$C2090)-SUMIFS($K$4:K2090,$C$4:C2090,$C2090),2))</f>
        <v/>
      </c>
      <c r="M2090" s="19">
        <f>IF($C2090="","",ROUND(SUM(基础资料!$B$4:$B$13)+SUM($J$4:J2090)-SUM($K$4:K2090),2))</f>
        <v/>
      </c>
      <c r="N2090" s="13" t="n"/>
      <c r="O2090" s="13" t="n"/>
      <c r="P2090" s="17">
        <f>IF($B2090="","",IF($F2090="※类别不在基础资料里","※费用类别不在基础资料里",IF(AND(N($J2090)=0,N($K2090)=0),"※这行没填金额",IF(AND(N($J2090)&gt;0,N($K2090)&gt;0),"※收入和支出不能同一行都填",IF(AND($D2090="收入",N($J2090)=0),"※收入行要填收入金额",IF(AND($D2090="支出",N($K2090)=0),"※支出行要填支出金额",IF(AND($C2090&lt;&gt;"",ISNA(MATCH($C2090,账户表,0))),"※账户不在基础资料里",IF(AND($G2090&lt;&gt;"",ISNA(MATCH($G2090,项目名表,0))),"※项目不在项目台账里",IF(AND(LEFT($F2090,3)="成本-",$G2090=""),"※成本类支出没填项目",IF(AND(LEFT($F2090,3)="成本-",$H2090&lt;&gt;"",N($K2090)&gt;0,COUNTIFS(采购单!$B:$B,$B2090,采购单!$C:$C,$H2090,采购单!$L:$L,$K2090)&gt;0),"※这笔可能和采购单重复了",""))))))))))</f>
        <v/>
      </c>
    </row>
    <row r="2091">
      <c r="A2091" s="17">
        <f>IF($B2091="","",ROW()-3)</f>
        <v/>
      </c>
      <c r="B2091" s="18" t="n"/>
      <c r="C2091" s="13" t="n"/>
      <c r="D2091" s="13" t="n"/>
      <c r="E2091" s="13" t="n"/>
      <c r="F2091" s="17">
        <f>IF($E2091="","",IFERROR(VLOOKUP($E2091,类别归属,2,0),"※类别不在基础资料里"))</f>
        <v/>
      </c>
      <c r="G2091" s="13" t="n"/>
      <c r="H2091" s="13" t="n"/>
      <c r="I2091" s="13" t="n"/>
      <c r="J2091" s="14" t="n"/>
      <c r="K2091" s="14" t="n"/>
      <c r="L2091" s="19">
        <f>IF($C2091="","",ROUND(IFERROR(VLOOKUP($C2091,账户期初,2,0),0)+SUMIFS($J$4:J2091,$C$4:C2091,$C2091)-SUMIFS($K$4:K2091,$C$4:C2091,$C2091),2))</f>
        <v/>
      </c>
      <c r="M2091" s="19">
        <f>IF($C2091="","",ROUND(SUM(基础资料!$B$4:$B$13)+SUM($J$4:J2091)-SUM($K$4:K2091),2))</f>
        <v/>
      </c>
      <c r="N2091" s="13" t="n"/>
      <c r="O2091" s="13" t="n"/>
      <c r="P2091" s="17">
        <f>IF($B2091="","",IF($F2091="※类别不在基础资料里","※费用类别不在基础资料里",IF(AND(N($J2091)=0,N($K2091)=0),"※这行没填金额",IF(AND(N($J2091)&gt;0,N($K2091)&gt;0),"※收入和支出不能同一行都填",IF(AND($D2091="收入",N($J2091)=0),"※收入行要填收入金额",IF(AND($D2091="支出",N($K2091)=0),"※支出行要填支出金额",IF(AND($C2091&lt;&gt;"",ISNA(MATCH($C2091,账户表,0))),"※账户不在基础资料里",IF(AND($G2091&lt;&gt;"",ISNA(MATCH($G2091,项目名表,0))),"※项目不在项目台账里",IF(AND(LEFT($F2091,3)="成本-",$G2091=""),"※成本类支出没填项目",IF(AND(LEFT($F2091,3)="成本-",$H2091&lt;&gt;"",N($K2091)&gt;0,COUNTIFS(采购单!$B:$B,$B2091,采购单!$C:$C,$H2091,采购单!$L:$L,$K2091)&gt;0),"※这笔可能和采购单重复了",""))))))))))</f>
        <v/>
      </c>
    </row>
    <row r="2092">
      <c r="A2092" s="17">
        <f>IF($B2092="","",ROW()-3)</f>
        <v/>
      </c>
      <c r="B2092" s="18" t="n"/>
      <c r="C2092" s="13" t="n"/>
      <c r="D2092" s="13" t="n"/>
      <c r="E2092" s="13" t="n"/>
      <c r="F2092" s="17">
        <f>IF($E2092="","",IFERROR(VLOOKUP($E2092,类别归属,2,0),"※类别不在基础资料里"))</f>
        <v/>
      </c>
      <c r="G2092" s="13" t="n"/>
      <c r="H2092" s="13" t="n"/>
      <c r="I2092" s="13" t="n"/>
      <c r="J2092" s="14" t="n"/>
      <c r="K2092" s="14" t="n"/>
      <c r="L2092" s="19">
        <f>IF($C2092="","",ROUND(IFERROR(VLOOKUP($C2092,账户期初,2,0),0)+SUMIFS($J$4:J2092,$C$4:C2092,$C2092)-SUMIFS($K$4:K2092,$C$4:C2092,$C2092),2))</f>
        <v/>
      </c>
      <c r="M2092" s="19">
        <f>IF($C2092="","",ROUND(SUM(基础资料!$B$4:$B$13)+SUM($J$4:J2092)-SUM($K$4:K2092),2))</f>
        <v/>
      </c>
      <c r="N2092" s="13" t="n"/>
      <c r="O2092" s="13" t="n"/>
      <c r="P2092" s="17">
        <f>IF($B2092="","",IF($F2092="※类别不在基础资料里","※费用类别不在基础资料里",IF(AND(N($J2092)=0,N($K2092)=0),"※这行没填金额",IF(AND(N($J2092)&gt;0,N($K2092)&gt;0),"※收入和支出不能同一行都填",IF(AND($D2092="收入",N($J2092)=0),"※收入行要填收入金额",IF(AND($D2092="支出",N($K2092)=0),"※支出行要填支出金额",IF(AND($C2092&lt;&gt;"",ISNA(MATCH($C2092,账户表,0))),"※账户不在基础资料里",IF(AND($G2092&lt;&gt;"",ISNA(MATCH($G2092,项目名表,0))),"※项目不在项目台账里",IF(AND(LEFT($F2092,3)="成本-",$G2092=""),"※成本类支出没填项目",IF(AND(LEFT($F2092,3)="成本-",$H2092&lt;&gt;"",N($K2092)&gt;0,COUNTIFS(采购单!$B:$B,$B2092,采购单!$C:$C,$H2092,采购单!$L:$L,$K2092)&gt;0),"※这笔可能和采购单重复了",""))))))))))</f>
        <v/>
      </c>
    </row>
    <row r="2093">
      <c r="A2093" s="17">
        <f>IF($B2093="","",ROW()-3)</f>
        <v/>
      </c>
      <c r="B2093" s="18" t="n"/>
      <c r="C2093" s="13" t="n"/>
      <c r="D2093" s="13" t="n"/>
      <c r="E2093" s="13" t="n"/>
      <c r="F2093" s="17">
        <f>IF($E2093="","",IFERROR(VLOOKUP($E2093,类别归属,2,0),"※类别不在基础资料里"))</f>
        <v/>
      </c>
      <c r="G2093" s="13" t="n"/>
      <c r="H2093" s="13" t="n"/>
      <c r="I2093" s="13" t="n"/>
      <c r="J2093" s="14" t="n"/>
      <c r="K2093" s="14" t="n"/>
      <c r="L2093" s="19">
        <f>IF($C2093="","",ROUND(IFERROR(VLOOKUP($C2093,账户期初,2,0),0)+SUMIFS($J$4:J2093,$C$4:C2093,$C2093)-SUMIFS($K$4:K2093,$C$4:C2093,$C2093),2))</f>
        <v/>
      </c>
      <c r="M2093" s="19">
        <f>IF($C2093="","",ROUND(SUM(基础资料!$B$4:$B$13)+SUM($J$4:J2093)-SUM($K$4:K2093),2))</f>
        <v/>
      </c>
      <c r="N2093" s="13" t="n"/>
      <c r="O2093" s="13" t="n"/>
      <c r="P2093" s="17">
        <f>IF($B2093="","",IF($F2093="※类别不在基础资料里","※费用类别不在基础资料里",IF(AND(N($J2093)=0,N($K2093)=0),"※这行没填金额",IF(AND(N($J2093)&gt;0,N($K2093)&gt;0),"※收入和支出不能同一行都填",IF(AND($D2093="收入",N($J2093)=0),"※收入行要填收入金额",IF(AND($D2093="支出",N($K2093)=0),"※支出行要填支出金额",IF(AND($C2093&lt;&gt;"",ISNA(MATCH($C2093,账户表,0))),"※账户不在基础资料里",IF(AND($G2093&lt;&gt;"",ISNA(MATCH($G2093,项目名表,0))),"※项目不在项目台账里",IF(AND(LEFT($F2093,3)="成本-",$G2093=""),"※成本类支出没填项目",IF(AND(LEFT($F2093,3)="成本-",$H2093&lt;&gt;"",N($K2093)&gt;0,COUNTIFS(采购单!$B:$B,$B2093,采购单!$C:$C,$H2093,采购单!$L:$L,$K2093)&gt;0),"※这笔可能和采购单重复了",""))))))))))</f>
        <v/>
      </c>
    </row>
    <row r="2094">
      <c r="A2094" s="17">
        <f>IF($B2094="","",ROW()-3)</f>
        <v/>
      </c>
      <c r="B2094" s="18" t="n"/>
      <c r="C2094" s="13" t="n"/>
      <c r="D2094" s="13" t="n"/>
      <c r="E2094" s="13" t="n"/>
      <c r="F2094" s="17">
        <f>IF($E2094="","",IFERROR(VLOOKUP($E2094,类别归属,2,0),"※类别不在基础资料里"))</f>
        <v/>
      </c>
      <c r="G2094" s="13" t="n"/>
      <c r="H2094" s="13" t="n"/>
      <c r="I2094" s="13" t="n"/>
      <c r="J2094" s="14" t="n"/>
      <c r="K2094" s="14" t="n"/>
      <c r="L2094" s="19">
        <f>IF($C2094="","",ROUND(IFERROR(VLOOKUP($C2094,账户期初,2,0),0)+SUMIFS($J$4:J2094,$C$4:C2094,$C2094)-SUMIFS($K$4:K2094,$C$4:C2094,$C2094),2))</f>
        <v/>
      </c>
      <c r="M2094" s="19">
        <f>IF($C2094="","",ROUND(SUM(基础资料!$B$4:$B$13)+SUM($J$4:J2094)-SUM($K$4:K2094),2))</f>
        <v/>
      </c>
      <c r="N2094" s="13" t="n"/>
      <c r="O2094" s="13" t="n"/>
      <c r="P2094" s="17">
        <f>IF($B2094="","",IF($F2094="※类别不在基础资料里","※费用类别不在基础资料里",IF(AND(N($J2094)=0,N($K2094)=0),"※这行没填金额",IF(AND(N($J2094)&gt;0,N($K2094)&gt;0),"※收入和支出不能同一行都填",IF(AND($D2094="收入",N($J2094)=0),"※收入行要填收入金额",IF(AND($D2094="支出",N($K2094)=0),"※支出行要填支出金额",IF(AND($C2094&lt;&gt;"",ISNA(MATCH($C2094,账户表,0))),"※账户不在基础资料里",IF(AND($G2094&lt;&gt;"",ISNA(MATCH($G2094,项目名表,0))),"※项目不在项目台账里",IF(AND(LEFT($F2094,3)="成本-",$G2094=""),"※成本类支出没填项目",IF(AND(LEFT($F2094,3)="成本-",$H2094&lt;&gt;"",N($K2094)&gt;0,COUNTIFS(采购单!$B:$B,$B2094,采购单!$C:$C,$H2094,采购单!$L:$L,$K2094)&gt;0),"※这笔可能和采购单重复了",""))))))))))</f>
        <v/>
      </c>
    </row>
    <row r="2095">
      <c r="A2095" s="17">
        <f>IF($B2095="","",ROW()-3)</f>
        <v/>
      </c>
      <c r="B2095" s="18" t="n"/>
      <c r="C2095" s="13" t="n"/>
      <c r="D2095" s="13" t="n"/>
      <c r="E2095" s="13" t="n"/>
      <c r="F2095" s="17">
        <f>IF($E2095="","",IFERROR(VLOOKUP($E2095,类别归属,2,0),"※类别不在基础资料里"))</f>
        <v/>
      </c>
      <c r="G2095" s="13" t="n"/>
      <c r="H2095" s="13" t="n"/>
      <c r="I2095" s="13" t="n"/>
      <c r="J2095" s="14" t="n"/>
      <c r="K2095" s="14" t="n"/>
      <c r="L2095" s="19">
        <f>IF($C2095="","",ROUND(IFERROR(VLOOKUP($C2095,账户期初,2,0),0)+SUMIFS($J$4:J2095,$C$4:C2095,$C2095)-SUMIFS($K$4:K2095,$C$4:C2095,$C2095),2))</f>
        <v/>
      </c>
      <c r="M2095" s="19">
        <f>IF($C2095="","",ROUND(SUM(基础资料!$B$4:$B$13)+SUM($J$4:J2095)-SUM($K$4:K2095),2))</f>
        <v/>
      </c>
      <c r="N2095" s="13" t="n"/>
      <c r="O2095" s="13" t="n"/>
      <c r="P2095" s="17">
        <f>IF($B2095="","",IF($F2095="※类别不在基础资料里","※费用类别不在基础资料里",IF(AND(N($J2095)=0,N($K2095)=0),"※这行没填金额",IF(AND(N($J2095)&gt;0,N($K2095)&gt;0),"※收入和支出不能同一行都填",IF(AND($D2095="收入",N($J2095)=0),"※收入行要填收入金额",IF(AND($D2095="支出",N($K2095)=0),"※支出行要填支出金额",IF(AND($C2095&lt;&gt;"",ISNA(MATCH($C2095,账户表,0))),"※账户不在基础资料里",IF(AND($G2095&lt;&gt;"",ISNA(MATCH($G2095,项目名表,0))),"※项目不在项目台账里",IF(AND(LEFT($F2095,3)="成本-",$G2095=""),"※成本类支出没填项目",IF(AND(LEFT($F2095,3)="成本-",$H2095&lt;&gt;"",N($K2095)&gt;0,COUNTIFS(采购单!$B:$B,$B2095,采购单!$C:$C,$H2095,采购单!$L:$L,$K2095)&gt;0),"※这笔可能和采购单重复了",""))))))))))</f>
        <v/>
      </c>
    </row>
    <row r="2096">
      <c r="A2096" s="17">
        <f>IF($B2096="","",ROW()-3)</f>
        <v/>
      </c>
      <c r="B2096" s="18" t="n"/>
      <c r="C2096" s="13" t="n"/>
      <c r="D2096" s="13" t="n"/>
      <c r="E2096" s="13" t="n"/>
      <c r="F2096" s="17">
        <f>IF($E2096="","",IFERROR(VLOOKUP($E2096,类别归属,2,0),"※类别不在基础资料里"))</f>
        <v/>
      </c>
      <c r="G2096" s="13" t="n"/>
      <c r="H2096" s="13" t="n"/>
      <c r="I2096" s="13" t="n"/>
      <c r="J2096" s="14" t="n"/>
      <c r="K2096" s="14" t="n"/>
      <c r="L2096" s="19">
        <f>IF($C2096="","",ROUND(IFERROR(VLOOKUP($C2096,账户期初,2,0),0)+SUMIFS($J$4:J2096,$C$4:C2096,$C2096)-SUMIFS($K$4:K2096,$C$4:C2096,$C2096),2))</f>
        <v/>
      </c>
      <c r="M2096" s="19">
        <f>IF($C2096="","",ROUND(SUM(基础资料!$B$4:$B$13)+SUM($J$4:J2096)-SUM($K$4:K2096),2))</f>
        <v/>
      </c>
      <c r="N2096" s="13" t="n"/>
      <c r="O2096" s="13" t="n"/>
      <c r="P2096" s="17">
        <f>IF($B2096="","",IF($F2096="※类别不在基础资料里","※费用类别不在基础资料里",IF(AND(N($J2096)=0,N($K2096)=0),"※这行没填金额",IF(AND(N($J2096)&gt;0,N($K2096)&gt;0),"※收入和支出不能同一行都填",IF(AND($D2096="收入",N($J2096)=0),"※收入行要填收入金额",IF(AND($D2096="支出",N($K2096)=0),"※支出行要填支出金额",IF(AND($C2096&lt;&gt;"",ISNA(MATCH($C2096,账户表,0))),"※账户不在基础资料里",IF(AND($G2096&lt;&gt;"",ISNA(MATCH($G2096,项目名表,0))),"※项目不在项目台账里",IF(AND(LEFT($F2096,3)="成本-",$G2096=""),"※成本类支出没填项目",IF(AND(LEFT($F2096,3)="成本-",$H2096&lt;&gt;"",N($K2096)&gt;0,COUNTIFS(采购单!$B:$B,$B2096,采购单!$C:$C,$H2096,采购单!$L:$L,$K2096)&gt;0),"※这笔可能和采购单重复了",""))))))))))</f>
        <v/>
      </c>
    </row>
    <row r="2097">
      <c r="A2097" s="17">
        <f>IF($B2097="","",ROW()-3)</f>
        <v/>
      </c>
      <c r="B2097" s="18" t="n"/>
      <c r="C2097" s="13" t="n"/>
      <c r="D2097" s="13" t="n"/>
      <c r="E2097" s="13" t="n"/>
      <c r="F2097" s="17">
        <f>IF($E2097="","",IFERROR(VLOOKUP($E2097,类别归属,2,0),"※类别不在基础资料里"))</f>
        <v/>
      </c>
      <c r="G2097" s="13" t="n"/>
      <c r="H2097" s="13" t="n"/>
      <c r="I2097" s="13" t="n"/>
      <c r="J2097" s="14" t="n"/>
      <c r="K2097" s="14" t="n"/>
      <c r="L2097" s="19">
        <f>IF($C2097="","",ROUND(IFERROR(VLOOKUP($C2097,账户期初,2,0),0)+SUMIFS($J$4:J2097,$C$4:C2097,$C2097)-SUMIFS($K$4:K2097,$C$4:C2097,$C2097),2))</f>
        <v/>
      </c>
      <c r="M2097" s="19">
        <f>IF($C2097="","",ROUND(SUM(基础资料!$B$4:$B$13)+SUM($J$4:J2097)-SUM($K$4:K2097),2))</f>
        <v/>
      </c>
      <c r="N2097" s="13" t="n"/>
      <c r="O2097" s="13" t="n"/>
      <c r="P2097" s="17">
        <f>IF($B2097="","",IF($F2097="※类别不在基础资料里","※费用类别不在基础资料里",IF(AND(N($J2097)=0,N($K2097)=0),"※这行没填金额",IF(AND(N($J2097)&gt;0,N($K2097)&gt;0),"※收入和支出不能同一行都填",IF(AND($D2097="收入",N($J2097)=0),"※收入行要填收入金额",IF(AND($D2097="支出",N($K2097)=0),"※支出行要填支出金额",IF(AND($C2097&lt;&gt;"",ISNA(MATCH($C2097,账户表,0))),"※账户不在基础资料里",IF(AND($G2097&lt;&gt;"",ISNA(MATCH($G2097,项目名表,0))),"※项目不在项目台账里",IF(AND(LEFT($F2097,3)="成本-",$G2097=""),"※成本类支出没填项目",IF(AND(LEFT($F2097,3)="成本-",$H2097&lt;&gt;"",N($K2097)&gt;0,COUNTIFS(采购单!$B:$B,$B2097,采购单!$C:$C,$H2097,采购单!$L:$L,$K2097)&gt;0),"※这笔可能和采购单重复了",""))))))))))</f>
        <v/>
      </c>
    </row>
    <row r="2098">
      <c r="A2098" s="17">
        <f>IF($B2098="","",ROW()-3)</f>
        <v/>
      </c>
      <c r="B2098" s="18" t="n"/>
      <c r="C2098" s="13" t="n"/>
      <c r="D2098" s="13" t="n"/>
      <c r="E2098" s="13" t="n"/>
      <c r="F2098" s="17">
        <f>IF($E2098="","",IFERROR(VLOOKUP($E2098,类别归属,2,0),"※类别不在基础资料里"))</f>
        <v/>
      </c>
      <c r="G2098" s="13" t="n"/>
      <c r="H2098" s="13" t="n"/>
      <c r="I2098" s="13" t="n"/>
      <c r="J2098" s="14" t="n"/>
      <c r="K2098" s="14" t="n"/>
      <c r="L2098" s="19">
        <f>IF($C2098="","",ROUND(IFERROR(VLOOKUP($C2098,账户期初,2,0),0)+SUMIFS($J$4:J2098,$C$4:C2098,$C2098)-SUMIFS($K$4:K2098,$C$4:C2098,$C2098),2))</f>
        <v/>
      </c>
      <c r="M2098" s="19">
        <f>IF($C2098="","",ROUND(SUM(基础资料!$B$4:$B$13)+SUM($J$4:J2098)-SUM($K$4:K2098),2))</f>
        <v/>
      </c>
      <c r="N2098" s="13" t="n"/>
      <c r="O2098" s="13" t="n"/>
      <c r="P2098" s="17">
        <f>IF($B2098="","",IF($F2098="※类别不在基础资料里","※费用类别不在基础资料里",IF(AND(N($J2098)=0,N($K2098)=0),"※这行没填金额",IF(AND(N($J2098)&gt;0,N($K2098)&gt;0),"※收入和支出不能同一行都填",IF(AND($D2098="收入",N($J2098)=0),"※收入行要填收入金额",IF(AND($D2098="支出",N($K2098)=0),"※支出行要填支出金额",IF(AND($C2098&lt;&gt;"",ISNA(MATCH($C2098,账户表,0))),"※账户不在基础资料里",IF(AND($G2098&lt;&gt;"",ISNA(MATCH($G2098,项目名表,0))),"※项目不在项目台账里",IF(AND(LEFT($F2098,3)="成本-",$G2098=""),"※成本类支出没填项目",IF(AND(LEFT($F2098,3)="成本-",$H2098&lt;&gt;"",N($K2098)&gt;0,COUNTIFS(采购单!$B:$B,$B2098,采购单!$C:$C,$H2098,采购单!$L:$L,$K2098)&gt;0),"※这笔可能和采购单重复了",""))))))))))</f>
        <v/>
      </c>
    </row>
    <row r="2099">
      <c r="A2099" s="17">
        <f>IF($B2099="","",ROW()-3)</f>
        <v/>
      </c>
      <c r="B2099" s="18" t="n"/>
      <c r="C2099" s="13" t="n"/>
      <c r="D2099" s="13" t="n"/>
      <c r="E2099" s="13" t="n"/>
      <c r="F2099" s="17">
        <f>IF($E2099="","",IFERROR(VLOOKUP($E2099,类别归属,2,0),"※类别不在基础资料里"))</f>
        <v/>
      </c>
      <c r="G2099" s="13" t="n"/>
      <c r="H2099" s="13" t="n"/>
      <c r="I2099" s="13" t="n"/>
      <c r="J2099" s="14" t="n"/>
      <c r="K2099" s="14" t="n"/>
      <c r="L2099" s="19">
        <f>IF($C2099="","",ROUND(IFERROR(VLOOKUP($C2099,账户期初,2,0),0)+SUMIFS($J$4:J2099,$C$4:C2099,$C2099)-SUMIFS($K$4:K2099,$C$4:C2099,$C2099),2))</f>
        <v/>
      </c>
      <c r="M2099" s="19">
        <f>IF($C2099="","",ROUND(SUM(基础资料!$B$4:$B$13)+SUM($J$4:J2099)-SUM($K$4:K2099),2))</f>
        <v/>
      </c>
      <c r="N2099" s="13" t="n"/>
      <c r="O2099" s="13" t="n"/>
      <c r="P2099" s="17">
        <f>IF($B2099="","",IF($F2099="※类别不在基础资料里","※费用类别不在基础资料里",IF(AND(N($J2099)=0,N($K2099)=0),"※这行没填金额",IF(AND(N($J2099)&gt;0,N($K2099)&gt;0),"※收入和支出不能同一行都填",IF(AND($D2099="收入",N($J2099)=0),"※收入行要填收入金额",IF(AND($D2099="支出",N($K2099)=0),"※支出行要填支出金额",IF(AND($C2099&lt;&gt;"",ISNA(MATCH($C2099,账户表,0))),"※账户不在基础资料里",IF(AND($G2099&lt;&gt;"",ISNA(MATCH($G2099,项目名表,0))),"※项目不在项目台账里",IF(AND(LEFT($F2099,3)="成本-",$G2099=""),"※成本类支出没填项目",IF(AND(LEFT($F2099,3)="成本-",$H2099&lt;&gt;"",N($K2099)&gt;0,COUNTIFS(采购单!$B:$B,$B2099,采购单!$C:$C,$H2099,采购单!$L:$L,$K2099)&gt;0),"※这笔可能和采购单重复了",""))))))))))</f>
        <v/>
      </c>
    </row>
    <row r="2100">
      <c r="A2100" s="17">
        <f>IF($B2100="","",ROW()-3)</f>
        <v/>
      </c>
      <c r="B2100" s="18" t="n"/>
      <c r="C2100" s="13" t="n"/>
      <c r="D2100" s="13" t="n"/>
      <c r="E2100" s="13" t="n"/>
      <c r="F2100" s="17">
        <f>IF($E2100="","",IFERROR(VLOOKUP($E2100,类别归属,2,0),"※类别不在基础资料里"))</f>
        <v/>
      </c>
      <c r="G2100" s="13" t="n"/>
      <c r="H2100" s="13" t="n"/>
      <c r="I2100" s="13" t="n"/>
      <c r="J2100" s="14" t="n"/>
      <c r="K2100" s="14" t="n"/>
      <c r="L2100" s="19">
        <f>IF($C2100="","",ROUND(IFERROR(VLOOKUP($C2100,账户期初,2,0),0)+SUMIFS($J$4:J2100,$C$4:C2100,$C2100)-SUMIFS($K$4:K2100,$C$4:C2100,$C2100),2))</f>
        <v/>
      </c>
      <c r="M2100" s="19">
        <f>IF($C2100="","",ROUND(SUM(基础资料!$B$4:$B$13)+SUM($J$4:J2100)-SUM($K$4:K2100),2))</f>
        <v/>
      </c>
      <c r="N2100" s="13" t="n"/>
      <c r="O2100" s="13" t="n"/>
      <c r="P2100" s="17">
        <f>IF($B2100="","",IF($F2100="※类别不在基础资料里","※费用类别不在基础资料里",IF(AND(N($J2100)=0,N($K2100)=0),"※这行没填金额",IF(AND(N($J2100)&gt;0,N($K2100)&gt;0),"※收入和支出不能同一行都填",IF(AND($D2100="收入",N($J2100)=0),"※收入行要填收入金额",IF(AND($D2100="支出",N($K2100)=0),"※支出行要填支出金额",IF(AND($C2100&lt;&gt;"",ISNA(MATCH($C2100,账户表,0))),"※账户不在基础资料里",IF(AND($G2100&lt;&gt;"",ISNA(MATCH($G2100,项目名表,0))),"※项目不在项目台账里",IF(AND(LEFT($F2100,3)="成本-",$G2100=""),"※成本类支出没填项目",IF(AND(LEFT($F2100,3)="成本-",$H2100&lt;&gt;"",N($K2100)&gt;0,COUNTIFS(采购单!$B:$B,$B2100,采购单!$C:$C,$H2100,采购单!$L:$L,$K2100)&gt;0),"※这笔可能和采购单重复了",""))))))))))</f>
        <v/>
      </c>
    </row>
    <row r="2101">
      <c r="A2101" s="17">
        <f>IF($B2101="","",ROW()-3)</f>
        <v/>
      </c>
      <c r="B2101" s="18" t="n"/>
      <c r="C2101" s="13" t="n"/>
      <c r="D2101" s="13" t="n"/>
      <c r="E2101" s="13" t="n"/>
      <c r="F2101" s="17">
        <f>IF($E2101="","",IFERROR(VLOOKUP($E2101,类别归属,2,0),"※类别不在基础资料里"))</f>
        <v/>
      </c>
      <c r="G2101" s="13" t="n"/>
      <c r="H2101" s="13" t="n"/>
      <c r="I2101" s="13" t="n"/>
      <c r="J2101" s="14" t="n"/>
      <c r="K2101" s="14" t="n"/>
      <c r="L2101" s="19">
        <f>IF($C2101="","",ROUND(IFERROR(VLOOKUP($C2101,账户期初,2,0),0)+SUMIFS($J$4:J2101,$C$4:C2101,$C2101)-SUMIFS($K$4:K2101,$C$4:C2101,$C2101),2))</f>
        <v/>
      </c>
      <c r="M2101" s="19">
        <f>IF($C2101="","",ROUND(SUM(基础资料!$B$4:$B$13)+SUM($J$4:J2101)-SUM($K$4:K2101),2))</f>
        <v/>
      </c>
      <c r="N2101" s="13" t="n"/>
      <c r="O2101" s="13" t="n"/>
      <c r="P2101" s="17">
        <f>IF($B2101="","",IF($F2101="※类别不在基础资料里","※费用类别不在基础资料里",IF(AND(N($J2101)=0,N($K2101)=0),"※这行没填金额",IF(AND(N($J2101)&gt;0,N($K2101)&gt;0),"※收入和支出不能同一行都填",IF(AND($D2101="收入",N($J2101)=0),"※收入行要填收入金额",IF(AND($D2101="支出",N($K2101)=0),"※支出行要填支出金额",IF(AND($C2101&lt;&gt;"",ISNA(MATCH($C2101,账户表,0))),"※账户不在基础资料里",IF(AND($G2101&lt;&gt;"",ISNA(MATCH($G2101,项目名表,0))),"※项目不在项目台账里",IF(AND(LEFT($F2101,3)="成本-",$G2101=""),"※成本类支出没填项目",IF(AND(LEFT($F2101,3)="成本-",$H2101&lt;&gt;"",N($K2101)&gt;0,COUNTIFS(采购单!$B:$B,$B2101,采购单!$C:$C,$H2101,采购单!$L:$L,$K2101)&gt;0),"※这笔可能和采购单重复了",""))))))))))</f>
        <v/>
      </c>
    </row>
    <row r="2102">
      <c r="A2102" s="17">
        <f>IF($B2102="","",ROW()-3)</f>
        <v/>
      </c>
      <c r="B2102" s="18" t="n"/>
      <c r="C2102" s="13" t="n"/>
      <c r="D2102" s="13" t="n"/>
      <c r="E2102" s="13" t="n"/>
      <c r="F2102" s="17">
        <f>IF($E2102="","",IFERROR(VLOOKUP($E2102,类别归属,2,0),"※类别不在基础资料里"))</f>
        <v/>
      </c>
      <c r="G2102" s="13" t="n"/>
      <c r="H2102" s="13" t="n"/>
      <c r="I2102" s="13" t="n"/>
      <c r="J2102" s="14" t="n"/>
      <c r="K2102" s="14" t="n"/>
      <c r="L2102" s="19">
        <f>IF($C2102="","",ROUND(IFERROR(VLOOKUP($C2102,账户期初,2,0),0)+SUMIFS($J$4:J2102,$C$4:C2102,$C2102)-SUMIFS($K$4:K2102,$C$4:C2102,$C2102),2))</f>
        <v/>
      </c>
      <c r="M2102" s="19">
        <f>IF($C2102="","",ROUND(SUM(基础资料!$B$4:$B$13)+SUM($J$4:J2102)-SUM($K$4:K2102),2))</f>
        <v/>
      </c>
      <c r="N2102" s="13" t="n"/>
      <c r="O2102" s="13" t="n"/>
      <c r="P2102" s="17">
        <f>IF($B2102="","",IF($F2102="※类别不在基础资料里","※费用类别不在基础资料里",IF(AND(N($J2102)=0,N($K2102)=0),"※这行没填金额",IF(AND(N($J2102)&gt;0,N($K2102)&gt;0),"※收入和支出不能同一行都填",IF(AND($D2102="收入",N($J2102)=0),"※收入行要填收入金额",IF(AND($D2102="支出",N($K2102)=0),"※支出行要填支出金额",IF(AND($C2102&lt;&gt;"",ISNA(MATCH($C2102,账户表,0))),"※账户不在基础资料里",IF(AND($G2102&lt;&gt;"",ISNA(MATCH($G2102,项目名表,0))),"※项目不在项目台账里",IF(AND(LEFT($F2102,3)="成本-",$G2102=""),"※成本类支出没填项目",IF(AND(LEFT($F2102,3)="成本-",$H2102&lt;&gt;"",N($K2102)&gt;0,COUNTIFS(采购单!$B:$B,$B2102,采购单!$C:$C,$H2102,采购单!$L:$L,$K2102)&gt;0),"※这笔可能和采购单重复了",""))))))))))</f>
        <v/>
      </c>
    </row>
    <row r="2103">
      <c r="A2103" s="17">
        <f>IF($B2103="","",ROW()-3)</f>
        <v/>
      </c>
      <c r="B2103" s="18" t="n"/>
      <c r="C2103" s="13" t="n"/>
      <c r="D2103" s="13" t="n"/>
      <c r="E2103" s="13" t="n"/>
      <c r="F2103" s="17">
        <f>IF($E2103="","",IFERROR(VLOOKUP($E2103,类别归属,2,0),"※类别不在基础资料里"))</f>
        <v/>
      </c>
      <c r="G2103" s="13" t="n"/>
      <c r="H2103" s="13" t="n"/>
      <c r="I2103" s="13" t="n"/>
      <c r="J2103" s="14" t="n"/>
      <c r="K2103" s="14" t="n"/>
      <c r="L2103" s="19">
        <f>IF($C2103="","",ROUND(IFERROR(VLOOKUP($C2103,账户期初,2,0),0)+SUMIFS($J$4:J2103,$C$4:C2103,$C2103)-SUMIFS($K$4:K2103,$C$4:C2103,$C2103),2))</f>
        <v/>
      </c>
      <c r="M2103" s="19">
        <f>IF($C2103="","",ROUND(SUM(基础资料!$B$4:$B$13)+SUM($J$4:J2103)-SUM($K$4:K2103),2))</f>
        <v/>
      </c>
      <c r="N2103" s="13" t="n"/>
      <c r="O2103" s="13" t="n"/>
      <c r="P2103" s="17">
        <f>IF($B2103="","",IF($F2103="※类别不在基础资料里","※费用类别不在基础资料里",IF(AND(N($J2103)=0,N($K2103)=0),"※这行没填金额",IF(AND(N($J2103)&gt;0,N($K2103)&gt;0),"※收入和支出不能同一行都填",IF(AND($D2103="收入",N($J2103)=0),"※收入行要填收入金额",IF(AND($D2103="支出",N($K2103)=0),"※支出行要填支出金额",IF(AND($C2103&lt;&gt;"",ISNA(MATCH($C2103,账户表,0))),"※账户不在基础资料里",IF(AND($G2103&lt;&gt;"",ISNA(MATCH($G2103,项目名表,0))),"※项目不在项目台账里",IF(AND(LEFT($F2103,3)="成本-",$G2103=""),"※成本类支出没填项目",IF(AND(LEFT($F2103,3)="成本-",$H2103&lt;&gt;"",N($K2103)&gt;0,COUNTIFS(采购单!$B:$B,$B2103,采购单!$C:$C,$H2103,采购单!$L:$L,$K2103)&gt;0),"※这笔可能和采购单重复了",""))))))))))</f>
        <v/>
      </c>
    </row>
    <row r="2104">
      <c r="A2104" s="17">
        <f>IF($B2104="","",ROW()-3)</f>
        <v/>
      </c>
      <c r="B2104" s="18" t="n"/>
      <c r="C2104" s="13" t="n"/>
      <c r="D2104" s="13" t="n"/>
      <c r="E2104" s="13" t="n"/>
      <c r="F2104" s="17">
        <f>IF($E2104="","",IFERROR(VLOOKUP($E2104,类别归属,2,0),"※类别不在基础资料里"))</f>
        <v/>
      </c>
      <c r="G2104" s="13" t="n"/>
      <c r="H2104" s="13" t="n"/>
      <c r="I2104" s="13" t="n"/>
      <c r="J2104" s="14" t="n"/>
      <c r="K2104" s="14" t="n"/>
      <c r="L2104" s="19">
        <f>IF($C2104="","",ROUND(IFERROR(VLOOKUP($C2104,账户期初,2,0),0)+SUMIFS($J$4:J2104,$C$4:C2104,$C2104)-SUMIFS($K$4:K2104,$C$4:C2104,$C2104),2))</f>
        <v/>
      </c>
      <c r="M2104" s="19">
        <f>IF($C2104="","",ROUND(SUM(基础资料!$B$4:$B$13)+SUM($J$4:J2104)-SUM($K$4:K2104),2))</f>
        <v/>
      </c>
      <c r="N2104" s="13" t="n"/>
      <c r="O2104" s="13" t="n"/>
      <c r="P2104" s="17">
        <f>IF($B2104="","",IF($F2104="※类别不在基础资料里","※费用类别不在基础资料里",IF(AND(N($J2104)=0,N($K2104)=0),"※这行没填金额",IF(AND(N($J2104)&gt;0,N($K2104)&gt;0),"※收入和支出不能同一行都填",IF(AND($D2104="收入",N($J2104)=0),"※收入行要填收入金额",IF(AND($D2104="支出",N($K2104)=0),"※支出行要填支出金额",IF(AND($C2104&lt;&gt;"",ISNA(MATCH($C2104,账户表,0))),"※账户不在基础资料里",IF(AND($G2104&lt;&gt;"",ISNA(MATCH($G2104,项目名表,0))),"※项目不在项目台账里",IF(AND(LEFT($F2104,3)="成本-",$G2104=""),"※成本类支出没填项目",IF(AND(LEFT($F2104,3)="成本-",$H2104&lt;&gt;"",N($K2104)&gt;0,COUNTIFS(采购单!$B:$B,$B2104,采购单!$C:$C,$H2104,采购单!$L:$L,$K2104)&gt;0),"※这笔可能和采购单重复了",""))))))))))</f>
        <v/>
      </c>
    </row>
    <row r="2105">
      <c r="A2105" s="17">
        <f>IF($B2105="","",ROW()-3)</f>
        <v/>
      </c>
      <c r="B2105" s="18" t="n"/>
      <c r="C2105" s="13" t="n"/>
      <c r="D2105" s="13" t="n"/>
      <c r="E2105" s="13" t="n"/>
      <c r="F2105" s="17">
        <f>IF($E2105="","",IFERROR(VLOOKUP($E2105,类别归属,2,0),"※类别不在基础资料里"))</f>
        <v/>
      </c>
      <c r="G2105" s="13" t="n"/>
      <c r="H2105" s="13" t="n"/>
      <c r="I2105" s="13" t="n"/>
      <c r="J2105" s="14" t="n"/>
      <c r="K2105" s="14" t="n"/>
      <c r="L2105" s="19">
        <f>IF($C2105="","",ROUND(IFERROR(VLOOKUP($C2105,账户期初,2,0),0)+SUMIFS($J$4:J2105,$C$4:C2105,$C2105)-SUMIFS($K$4:K2105,$C$4:C2105,$C2105),2))</f>
        <v/>
      </c>
      <c r="M2105" s="19">
        <f>IF($C2105="","",ROUND(SUM(基础资料!$B$4:$B$13)+SUM($J$4:J2105)-SUM($K$4:K2105),2))</f>
        <v/>
      </c>
      <c r="N2105" s="13" t="n"/>
      <c r="O2105" s="13" t="n"/>
      <c r="P2105" s="17">
        <f>IF($B2105="","",IF($F2105="※类别不在基础资料里","※费用类别不在基础资料里",IF(AND(N($J2105)=0,N($K2105)=0),"※这行没填金额",IF(AND(N($J2105)&gt;0,N($K2105)&gt;0),"※收入和支出不能同一行都填",IF(AND($D2105="收入",N($J2105)=0),"※收入行要填收入金额",IF(AND($D2105="支出",N($K2105)=0),"※支出行要填支出金额",IF(AND($C2105&lt;&gt;"",ISNA(MATCH($C2105,账户表,0))),"※账户不在基础资料里",IF(AND($G2105&lt;&gt;"",ISNA(MATCH($G2105,项目名表,0))),"※项目不在项目台账里",IF(AND(LEFT($F2105,3)="成本-",$G2105=""),"※成本类支出没填项目",IF(AND(LEFT($F2105,3)="成本-",$H2105&lt;&gt;"",N($K2105)&gt;0,COUNTIFS(采购单!$B:$B,$B2105,采购单!$C:$C,$H2105,采购单!$L:$L,$K2105)&gt;0),"※这笔可能和采购单重复了",""))))))))))</f>
        <v/>
      </c>
    </row>
    <row r="2106">
      <c r="A2106" s="17">
        <f>IF($B2106="","",ROW()-3)</f>
        <v/>
      </c>
      <c r="B2106" s="18" t="n"/>
      <c r="C2106" s="13" t="n"/>
      <c r="D2106" s="13" t="n"/>
      <c r="E2106" s="13" t="n"/>
      <c r="F2106" s="17">
        <f>IF($E2106="","",IFERROR(VLOOKUP($E2106,类别归属,2,0),"※类别不在基础资料里"))</f>
        <v/>
      </c>
      <c r="G2106" s="13" t="n"/>
      <c r="H2106" s="13" t="n"/>
      <c r="I2106" s="13" t="n"/>
      <c r="J2106" s="14" t="n"/>
      <c r="K2106" s="14" t="n"/>
      <c r="L2106" s="19">
        <f>IF($C2106="","",ROUND(IFERROR(VLOOKUP($C2106,账户期初,2,0),0)+SUMIFS($J$4:J2106,$C$4:C2106,$C2106)-SUMIFS($K$4:K2106,$C$4:C2106,$C2106),2))</f>
        <v/>
      </c>
      <c r="M2106" s="19">
        <f>IF($C2106="","",ROUND(SUM(基础资料!$B$4:$B$13)+SUM($J$4:J2106)-SUM($K$4:K2106),2))</f>
        <v/>
      </c>
      <c r="N2106" s="13" t="n"/>
      <c r="O2106" s="13" t="n"/>
      <c r="P2106" s="17">
        <f>IF($B2106="","",IF($F2106="※类别不在基础资料里","※费用类别不在基础资料里",IF(AND(N($J2106)=0,N($K2106)=0),"※这行没填金额",IF(AND(N($J2106)&gt;0,N($K2106)&gt;0),"※收入和支出不能同一行都填",IF(AND($D2106="收入",N($J2106)=0),"※收入行要填收入金额",IF(AND($D2106="支出",N($K2106)=0),"※支出行要填支出金额",IF(AND($C2106&lt;&gt;"",ISNA(MATCH($C2106,账户表,0))),"※账户不在基础资料里",IF(AND($G2106&lt;&gt;"",ISNA(MATCH($G2106,项目名表,0))),"※项目不在项目台账里",IF(AND(LEFT($F2106,3)="成本-",$G2106=""),"※成本类支出没填项目",IF(AND(LEFT($F2106,3)="成本-",$H2106&lt;&gt;"",N($K2106)&gt;0,COUNTIFS(采购单!$B:$B,$B2106,采购单!$C:$C,$H2106,采购单!$L:$L,$K2106)&gt;0),"※这笔可能和采购单重复了",""))))))))))</f>
        <v/>
      </c>
    </row>
    <row r="2107">
      <c r="A2107" s="17">
        <f>IF($B2107="","",ROW()-3)</f>
        <v/>
      </c>
      <c r="B2107" s="18" t="n"/>
      <c r="C2107" s="13" t="n"/>
      <c r="D2107" s="13" t="n"/>
      <c r="E2107" s="13" t="n"/>
      <c r="F2107" s="17">
        <f>IF($E2107="","",IFERROR(VLOOKUP($E2107,类别归属,2,0),"※类别不在基础资料里"))</f>
        <v/>
      </c>
      <c r="G2107" s="13" t="n"/>
      <c r="H2107" s="13" t="n"/>
      <c r="I2107" s="13" t="n"/>
      <c r="J2107" s="14" t="n"/>
      <c r="K2107" s="14" t="n"/>
      <c r="L2107" s="19">
        <f>IF($C2107="","",ROUND(IFERROR(VLOOKUP($C2107,账户期初,2,0),0)+SUMIFS($J$4:J2107,$C$4:C2107,$C2107)-SUMIFS($K$4:K2107,$C$4:C2107,$C2107),2))</f>
        <v/>
      </c>
      <c r="M2107" s="19">
        <f>IF($C2107="","",ROUND(SUM(基础资料!$B$4:$B$13)+SUM($J$4:J2107)-SUM($K$4:K2107),2))</f>
        <v/>
      </c>
      <c r="N2107" s="13" t="n"/>
      <c r="O2107" s="13" t="n"/>
      <c r="P2107" s="17">
        <f>IF($B2107="","",IF($F2107="※类别不在基础资料里","※费用类别不在基础资料里",IF(AND(N($J2107)=0,N($K2107)=0),"※这行没填金额",IF(AND(N($J2107)&gt;0,N($K2107)&gt;0),"※收入和支出不能同一行都填",IF(AND($D2107="收入",N($J2107)=0),"※收入行要填收入金额",IF(AND($D2107="支出",N($K2107)=0),"※支出行要填支出金额",IF(AND($C2107&lt;&gt;"",ISNA(MATCH($C2107,账户表,0))),"※账户不在基础资料里",IF(AND($G2107&lt;&gt;"",ISNA(MATCH($G2107,项目名表,0))),"※项目不在项目台账里",IF(AND(LEFT($F2107,3)="成本-",$G2107=""),"※成本类支出没填项目",IF(AND(LEFT($F2107,3)="成本-",$H2107&lt;&gt;"",N($K2107)&gt;0,COUNTIFS(采购单!$B:$B,$B2107,采购单!$C:$C,$H2107,采购单!$L:$L,$K2107)&gt;0),"※这笔可能和采购单重复了",""))))))))))</f>
        <v/>
      </c>
    </row>
    <row r="2108">
      <c r="A2108" s="17">
        <f>IF($B2108="","",ROW()-3)</f>
        <v/>
      </c>
      <c r="B2108" s="18" t="n"/>
      <c r="C2108" s="13" t="n"/>
      <c r="D2108" s="13" t="n"/>
      <c r="E2108" s="13" t="n"/>
      <c r="F2108" s="17">
        <f>IF($E2108="","",IFERROR(VLOOKUP($E2108,类别归属,2,0),"※类别不在基础资料里"))</f>
        <v/>
      </c>
      <c r="G2108" s="13" t="n"/>
      <c r="H2108" s="13" t="n"/>
      <c r="I2108" s="13" t="n"/>
      <c r="J2108" s="14" t="n"/>
      <c r="K2108" s="14" t="n"/>
      <c r="L2108" s="19">
        <f>IF($C2108="","",ROUND(IFERROR(VLOOKUP($C2108,账户期初,2,0),0)+SUMIFS($J$4:J2108,$C$4:C2108,$C2108)-SUMIFS($K$4:K2108,$C$4:C2108,$C2108),2))</f>
        <v/>
      </c>
      <c r="M2108" s="19">
        <f>IF($C2108="","",ROUND(SUM(基础资料!$B$4:$B$13)+SUM($J$4:J2108)-SUM($K$4:K2108),2))</f>
        <v/>
      </c>
      <c r="N2108" s="13" t="n"/>
      <c r="O2108" s="13" t="n"/>
      <c r="P2108" s="17">
        <f>IF($B2108="","",IF($F2108="※类别不在基础资料里","※费用类别不在基础资料里",IF(AND(N($J2108)=0,N($K2108)=0),"※这行没填金额",IF(AND(N($J2108)&gt;0,N($K2108)&gt;0),"※收入和支出不能同一行都填",IF(AND($D2108="收入",N($J2108)=0),"※收入行要填收入金额",IF(AND($D2108="支出",N($K2108)=0),"※支出行要填支出金额",IF(AND($C2108&lt;&gt;"",ISNA(MATCH($C2108,账户表,0))),"※账户不在基础资料里",IF(AND($G2108&lt;&gt;"",ISNA(MATCH($G2108,项目名表,0))),"※项目不在项目台账里",IF(AND(LEFT($F2108,3)="成本-",$G2108=""),"※成本类支出没填项目",IF(AND(LEFT($F2108,3)="成本-",$H2108&lt;&gt;"",N($K2108)&gt;0,COUNTIFS(采购单!$B:$B,$B2108,采购单!$C:$C,$H2108,采购单!$L:$L,$K2108)&gt;0),"※这笔可能和采购单重复了",""))))))))))</f>
        <v/>
      </c>
    </row>
    <row r="2109">
      <c r="A2109" s="17">
        <f>IF($B2109="","",ROW()-3)</f>
        <v/>
      </c>
      <c r="B2109" s="18" t="n"/>
      <c r="C2109" s="13" t="n"/>
      <c r="D2109" s="13" t="n"/>
      <c r="E2109" s="13" t="n"/>
      <c r="F2109" s="17">
        <f>IF($E2109="","",IFERROR(VLOOKUP($E2109,类别归属,2,0),"※类别不在基础资料里"))</f>
        <v/>
      </c>
      <c r="G2109" s="13" t="n"/>
      <c r="H2109" s="13" t="n"/>
      <c r="I2109" s="13" t="n"/>
      <c r="J2109" s="14" t="n"/>
      <c r="K2109" s="14" t="n"/>
      <c r="L2109" s="19">
        <f>IF($C2109="","",ROUND(IFERROR(VLOOKUP($C2109,账户期初,2,0),0)+SUMIFS($J$4:J2109,$C$4:C2109,$C2109)-SUMIFS($K$4:K2109,$C$4:C2109,$C2109),2))</f>
        <v/>
      </c>
      <c r="M2109" s="19">
        <f>IF($C2109="","",ROUND(SUM(基础资料!$B$4:$B$13)+SUM($J$4:J2109)-SUM($K$4:K2109),2))</f>
        <v/>
      </c>
      <c r="N2109" s="13" t="n"/>
      <c r="O2109" s="13" t="n"/>
      <c r="P2109" s="17">
        <f>IF($B2109="","",IF($F2109="※类别不在基础资料里","※费用类别不在基础资料里",IF(AND(N($J2109)=0,N($K2109)=0),"※这行没填金额",IF(AND(N($J2109)&gt;0,N($K2109)&gt;0),"※收入和支出不能同一行都填",IF(AND($D2109="收入",N($J2109)=0),"※收入行要填收入金额",IF(AND($D2109="支出",N($K2109)=0),"※支出行要填支出金额",IF(AND($C2109&lt;&gt;"",ISNA(MATCH($C2109,账户表,0))),"※账户不在基础资料里",IF(AND($G2109&lt;&gt;"",ISNA(MATCH($G2109,项目名表,0))),"※项目不在项目台账里",IF(AND(LEFT($F2109,3)="成本-",$G2109=""),"※成本类支出没填项目",IF(AND(LEFT($F2109,3)="成本-",$H2109&lt;&gt;"",N($K2109)&gt;0,COUNTIFS(采购单!$B:$B,$B2109,采购单!$C:$C,$H2109,采购单!$L:$L,$K2109)&gt;0),"※这笔可能和采购单重复了",""))))))))))</f>
        <v/>
      </c>
    </row>
    <row r="2110">
      <c r="A2110" s="17">
        <f>IF($B2110="","",ROW()-3)</f>
        <v/>
      </c>
      <c r="B2110" s="18" t="n"/>
      <c r="C2110" s="13" t="n"/>
      <c r="D2110" s="13" t="n"/>
      <c r="E2110" s="13" t="n"/>
      <c r="F2110" s="17">
        <f>IF($E2110="","",IFERROR(VLOOKUP($E2110,类别归属,2,0),"※类别不在基础资料里"))</f>
        <v/>
      </c>
      <c r="G2110" s="13" t="n"/>
      <c r="H2110" s="13" t="n"/>
      <c r="I2110" s="13" t="n"/>
      <c r="J2110" s="14" t="n"/>
      <c r="K2110" s="14" t="n"/>
      <c r="L2110" s="19">
        <f>IF($C2110="","",ROUND(IFERROR(VLOOKUP($C2110,账户期初,2,0),0)+SUMIFS($J$4:J2110,$C$4:C2110,$C2110)-SUMIFS($K$4:K2110,$C$4:C2110,$C2110),2))</f>
        <v/>
      </c>
      <c r="M2110" s="19">
        <f>IF($C2110="","",ROUND(SUM(基础资料!$B$4:$B$13)+SUM($J$4:J2110)-SUM($K$4:K2110),2))</f>
        <v/>
      </c>
      <c r="N2110" s="13" t="n"/>
      <c r="O2110" s="13" t="n"/>
      <c r="P2110" s="17">
        <f>IF($B2110="","",IF($F2110="※类别不在基础资料里","※费用类别不在基础资料里",IF(AND(N($J2110)=0,N($K2110)=0),"※这行没填金额",IF(AND(N($J2110)&gt;0,N($K2110)&gt;0),"※收入和支出不能同一行都填",IF(AND($D2110="收入",N($J2110)=0),"※收入行要填收入金额",IF(AND($D2110="支出",N($K2110)=0),"※支出行要填支出金额",IF(AND($C2110&lt;&gt;"",ISNA(MATCH($C2110,账户表,0))),"※账户不在基础资料里",IF(AND($G2110&lt;&gt;"",ISNA(MATCH($G2110,项目名表,0))),"※项目不在项目台账里",IF(AND(LEFT($F2110,3)="成本-",$G2110=""),"※成本类支出没填项目",IF(AND(LEFT($F2110,3)="成本-",$H2110&lt;&gt;"",N($K2110)&gt;0,COUNTIFS(采购单!$B:$B,$B2110,采购单!$C:$C,$H2110,采购单!$L:$L,$K2110)&gt;0),"※这笔可能和采购单重复了",""))))))))))</f>
        <v/>
      </c>
    </row>
    <row r="2111">
      <c r="A2111" s="17">
        <f>IF($B2111="","",ROW()-3)</f>
        <v/>
      </c>
      <c r="B2111" s="18" t="n"/>
      <c r="C2111" s="13" t="n"/>
      <c r="D2111" s="13" t="n"/>
      <c r="E2111" s="13" t="n"/>
      <c r="F2111" s="17">
        <f>IF($E2111="","",IFERROR(VLOOKUP($E2111,类别归属,2,0),"※类别不在基础资料里"))</f>
        <v/>
      </c>
      <c r="G2111" s="13" t="n"/>
      <c r="H2111" s="13" t="n"/>
      <c r="I2111" s="13" t="n"/>
      <c r="J2111" s="14" t="n"/>
      <c r="K2111" s="14" t="n"/>
      <c r="L2111" s="19">
        <f>IF($C2111="","",ROUND(IFERROR(VLOOKUP($C2111,账户期初,2,0),0)+SUMIFS($J$4:J2111,$C$4:C2111,$C2111)-SUMIFS($K$4:K2111,$C$4:C2111,$C2111),2))</f>
        <v/>
      </c>
      <c r="M2111" s="19">
        <f>IF($C2111="","",ROUND(SUM(基础资料!$B$4:$B$13)+SUM($J$4:J2111)-SUM($K$4:K2111),2))</f>
        <v/>
      </c>
      <c r="N2111" s="13" t="n"/>
      <c r="O2111" s="13" t="n"/>
      <c r="P2111" s="17">
        <f>IF($B2111="","",IF($F2111="※类别不在基础资料里","※费用类别不在基础资料里",IF(AND(N($J2111)=0,N($K2111)=0),"※这行没填金额",IF(AND(N($J2111)&gt;0,N($K2111)&gt;0),"※收入和支出不能同一行都填",IF(AND($D2111="收入",N($J2111)=0),"※收入行要填收入金额",IF(AND($D2111="支出",N($K2111)=0),"※支出行要填支出金额",IF(AND($C2111&lt;&gt;"",ISNA(MATCH($C2111,账户表,0))),"※账户不在基础资料里",IF(AND($G2111&lt;&gt;"",ISNA(MATCH($G2111,项目名表,0))),"※项目不在项目台账里",IF(AND(LEFT($F2111,3)="成本-",$G2111=""),"※成本类支出没填项目",IF(AND(LEFT($F2111,3)="成本-",$H2111&lt;&gt;"",N($K2111)&gt;0,COUNTIFS(采购单!$B:$B,$B2111,采购单!$C:$C,$H2111,采购单!$L:$L,$K2111)&gt;0),"※这笔可能和采购单重复了",""))))))))))</f>
        <v/>
      </c>
    </row>
    <row r="2112">
      <c r="A2112" s="17">
        <f>IF($B2112="","",ROW()-3)</f>
        <v/>
      </c>
      <c r="B2112" s="18" t="n"/>
      <c r="C2112" s="13" t="n"/>
      <c r="D2112" s="13" t="n"/>
      <c r="E2112" s="13" t="n"/>
      <c r="F2112" s="17">
        <f>IF($E2112="","",IFERROR(VLOOKUP($E2112,类别归属,2,0),"※类别不在基础资料里"))</f>
        <v/>
      </c>
      <c r="G2112" s="13" t="n"/>
      <c r="H2112" s="13" t="n"/>
      <c r="I2112" s="13" t="n"/>
      <c r="J2112" s="14" t="n"/>
      <c r="K2112" s="14" t="n"/>
      <c r="L2112" s="19">
        <f>IF($C2112="","",ROUND(IFERROR(VLOOKUP($C2112,账户期初,2,0),0)+SUMIFS($J$4:J2112,$C$4:C2112,$C2112)-SUMIFS($K$4:K2112,$C$4:C2112,$C2112),2))</f>
        <v/>
      </c>
      <c r="M2112" s="19">
        <f>IF($C2112="","",ROUND(SUM(基础资料!$B$4:$B$13)+SUM($J$4:J2112)-SUM($K$4:K2112),2))</f>
        <v/>
      </c>
      <c r="N2112" s="13" t="n"/>
      <c r="O2112" s="13" t="n"/>
      <c r="P2112" s="17">
        <f>IF($B2112="","",IF($F2112="※类别不在基础资料里","※费用类别不在基础资料里",IF(AND(N($J2112)=0,N($K2112)=0),"※这行没填金额",IF(AND(N($J2112)&gt;0,N($K2112)&gt;0),"※收入和支出不能同一行都填",IF(AND($D2112="收入",N($J2112)=0),"※收入行要填收入金额",IF(AND($D2112="支出",N($K2112)=0),"※支出行要填支出金额",IF(AND($C2112&lt;&gt;"",ISNA(MATCH($C2112,账户表,0))),"※账户不在基础资料里",IF(AND($G2112&lt;&gt;"",ISNA(MATCH($G2112,项目名表,0))),"※项目不在项目台账里",IF(AND(LEFT($F2112,3)="成本-",$G2112=""),"※成本类支出没填项目",IF(AND(LEFT($F2112,3)="成本-",$H2112&lt;&gt;"",N($K2112)&gt;0,COUNTIFS(采购单!$B:$B,$B2112,采购单!$C:$C,$H2112,采购单!$L:$L,$K2112)&gt;0),"※这笔可能和采购单重复了",""))))))))))</f>
        <v/>
      </c>
    </row>
    <row r="2113">
      <c r="A2113" s="17">
        <f>IF($B2113="","",ROW()-3)</f>
        <v/>
      </c>
      <c r="B2113" s="18" t="n"/>
      <c r="C2113" s="13" t="n"/>
      <c r="D2113" s="13" t="n"/>
      <c r="E2113" s="13" t="n"/>
      <c r="F2113" s="17">
        <f>IF($E2113="","",IFERROR(VLOOKUP($E2113,类别归属,2,0),"※类别不在基础资料里"))</f>
        <v/>
      </c>
      <c r="G2113" s="13" t="n"/>
      <c r="H2113" s="13" t="n"/>
      <c r="I2113" s="13" t="n"/>
      <c r="J2113" s="14" t="n"/>
      <c r="K2113" s="14" t="n"/>
      <c r="L2113" s="19">
        <f>IF($C2113="","",ROUND(IFERROR(VLOOKUP($C2113,账户期初,2,0),0)+SUMIFS($J$4:J2113,$C$4:C2113,$C2113)-SUMIFS($K$4:K2113,$C$4:C2113,$C2113),2))</f>
        <v/>
      </c>
      <c r="M2113" s="19">
        <f>IF($C2113="","",ROUND(SUM(基础资料!$B$4:$B$13)+SUM($J$4:J2113)-SUM($K$4:K2113),2))</f>
        <v/>
      </c>
      <c r="N2113" s="13" t="n"/>
      <c r="O2113" s="13" t="n"/>
      <c r="P2113" s="17">
        <f>IF($B2113="","",IF($F2113="※类别不在基础资料里","※费用类别不在基础资料里",IF(AND(N($J2113)=0,N($K2113)=0),"※这行没填金额",IF(AND(N($J2113)&gt;0,N($K2113)&gt;0),"※收入和支出不能同一行都填",IF(AND($D2113="收入",N($J2113)=0),"※收入行要填收入金额",IF(AND($D2113="支出",N($K2113)=0),"※支出行要填支出金额",IF(AND($C2113&lt;&gt;"",ISNA(MATCH($C2113,账户表,0))),"※账户不在基础资料里",IF(AND($G2113&lt;&gt;"",ISNA(MATCH($G2113,项目名表,0))),"※项目不在项目台账里",IF(AND(LEFT($F2113,3)="成本-",$G2113=""),"※成本类支出没填项目",IF(AND(LEFT($F2113,3)="成本-",$H2113&lt;&gt;"",N($K2113)&gt;0,COUNTIFS(采购单!$B:$B,$B2113,采购单!$C:$C,$H2113,采购单!$L:$L,$K2113)&gt;0),"※这笔可能和采购单重复了",""))))))))))</f>
        <v/>
      </c>
    </row>
    <row r="2114">
      <c r="A2114" s="17">
        <f>IF($B2114="","",ROW()-3)</f>
        <v/>
      </c>
      <c r="B2114" s="18" t="n"/>
      <c r="C2114" s="13" t="n"/>
      <c r="D2114" s="13" t="n"/>
      <c r="E2114" s="13" t="n"/>
      <c r="F2114" s="17">
        <f>IF($E2114="","",IFERROR(VLOOKUP($E2114,类别归属,2,0),"※类别不在基础资料里"))</f>
        <v/>
      </c>
      <c r="G2114" s="13" t="n"/>
      <c r="H2114" s="13" t="n"/>
      <c r="I2114" s="13" t="n"/>
      <c r="J2114" s="14" t="n"/>
      <c r="K2114" s="14" t="n"/>
      <c r="L2114" s="19">
        <f>IF($C2114="","",ROUND(IFERROR(VLOOKUP($C2114,账户期初,2,0),0)+SUMIFS($J$4:J2114,$C$4:C2114,$C2114)-SUMIFS($K$4:K2114,$C$4:C2114,$C2114),2))</f>
        <v/>
      </c>
      <c r="M2114" s="19">
        <f>IF($C2114="","",ROUND(SUM(基础资料!$B$4:$B$13)+SUM($J$4:J2114)-SUM($K$4:K2114),2))</f>
        <v/>
      </c>
      <c r="N2114" s="13" t="n"/>
      <c r="O2114" s="13" t="n"/>
      <c r="P2114" s="17">
        <f>IF($B2114="","",IF($F2114="※类别不在基础资料里","※费用类别不在基础资料里",IF(AND(N($J2114)=0,N($K2114)=0),"※这行没填金额",IF(AND(N($J2114)&gt;0,N($K2114)&gt;0),"※收入和支出不能同一行都填",IF(AND($D2114="收入",N($J2114)=0),"※收入行要填收入金额",IF(AND($D2114="支出",N($K2114)=0),"※支出行要填支出金额",IF(AND($C2114&lt;&gt;"",ISNA(MATCH($C2114,账户表,0))),"※账户不在基础资料里",IF(AND($G2114&lt;&gt;"",ISNA(MATCH($G2114,项目名表,0))),"※项目不在项目台账里",IF(AND(LEFT($F2114,3)="成本-",$G2114=""),"※成本类支出没填项目",IF(AND(LEFT($F2114,3)="成本-",$H2114&lt;&gt;"",N($K2114)&gt;0,COUNTIFS(采购单!$B:$B,$B2114,采购单!$C:$C,$H2114,采购单!$L:$L,$K2114)&gt;0),"※这笔可能和采购单重复了",""))))))))))</f>
        <v/>
      </c>
    </row>
    <row r="2115">
      <c r="A2115" s="17">
        <f>IF($B2115="","",ROW()-3)</f>
        <v/>
      </c>
      <c r="B2115" s="18" t="n"/>
      <c r="C2115" s="13" t="n"/>
      <c r="D2115" s="13" t="n"/>
      <c r="E2115" s="13" t="n"/>
      <c r="F2115" s="17">
        <f>IF($E2115="","",IFERROR(VLOOKUP($E2115,类别归属,2,0),"※类别不在基础资料里"))</f>
        <v/>
      </c>
      <c r="G2115" s="13" t="n"/>
      <c r="H2115" s="13" t="n"/>
      <c r="I2115" s="13" t="n"/>
      <c r="J2115" s="14" t="n"/>
      <c r="K2115" s="14" t="n"/>
      <c r="L2115" s="19">
        <f>IF($C2115="","",ROUND(IFERROR(VLOOKUP($C2115,账户期初,2,0),0)+SUMIFS($J$4:J2115,$C$4:C2115,$C2115)-SUMIFS($K$4:K2115,$C$4:C2115,$C2115),2))</f>
        <v/>
      </c>
      <c r="M2115" s="19">
        <f>IF($C2115="","",ROUND(SUM(基础资料!$B$4:$B$13)+SUM($J$4:J2115)-SUM($K$4:K2115),2))</f>
        <v/>
      </c>
      <c r="N2115" s="13" t="n"/>
      <c r="O2115" s="13" t="n"/>
      <c r="P2115" s="17">
        <f>IF($B2115="","",IF($F2115="※类别不在基础资料里","※费用类别不在基础资料里",IF(AND(N($J2115)=0,N($K2115)=0),"※这行没填金额",IF(AND(N($J2115)&gt;0,N($K2115)&gt;0),"※收入和支出不能同一行都填",IF(AND($D2115="收入",N($J2115)=0),"※收入行要填收入金额",IF(AND($D2115="支出",N($K2115)=0),"※支出行要填支出金额",IF(AND($C2115&lt;&gt;"",ISNA(MATCH($C2115,账户表,0))),"※账户不在基础资料里",IF(AND($G2115&lt;&gt;"",ISNA(MATCH($G2115,项目名表,0))),"※项目不在项目台账里",IF(AND(LEFT($F2115,3)="成本-",$G2115=""),"※成本类支出没填项目",IF(AND(LEFT($F2115,3)="成本-",$H2115&lt;&gt;"",N($K2115)&gt;0,COUNTIFS(采购单!$B:$B,$B2115,采购单!$C:$C,$H2115,采购单!$L:$L,$K2115)&gt;0),"※这笔可能和采购单重复了",""))))))))))</f>
        <v/>
      </c>
    </row>
    <row r="2116">
      <c r="A2116" s="17">
        <f>IF($B2116="","",ROW()-3)</f>
        <v/>
      </c>
      <c r="B2116" s="18" t="n"/>
      <c r="C2116" s="13" t="n"/>
      <c r="D2116" s="13" t="n"/>
      <c r="E2116" s="13" t="n"/>
      <c r="F2116" s="17">
        <f>IF($E2116="","",IFERROR(VLOOKUP($E2116,类别归属,2,0),"※类别不在基础资料里"))</f>
        <v/>
      </c>
      <c r="G2116" s="13" t="n"/>
      <c r="H2116" s="13" t="n"/>
      <c r="I2116" s="13" t="n"/>
      <c r="J2116" s="14" t="n"/>
      <c r="K2116" s="14" t="n"/>
      <c r="L2116" s="19">
        <f>IF($C2116="","",ROUND(IFERROR(VLOOKUP($C2116,账户期初,2,0),0)+SUMIFS($J$4:J2116,$C$4:C2116,$C2116)-SUMIFS($K$4:K2116,$C$4:C2116,$C2116),2))</f>
        <v/>
      </c>
      <c r="M2116" s="19">
        <f>IF($C2116="","",ROUND(SUM(基础资料!$B$4:$B$13)+SUM($J$4:J2116)-SUM($K$4:K2116),2))</f>
        <v/>
      </c>
      <c r="N2116" s="13" t="n"/>
      <c r="O2116" s="13" t="n"/>
      <c r="P2116" s="17">
        <f>IF($B2116="","",IF($F2116="※类别不在基础资料里","※费用类别不在基础资料里",IF(AND(N($J2116)=0,N($K2116)=0),"※这行没填金额",IF(AND(N($J2116)&gt;0,N($K2116)&gt;0),"※收入和支出不能同一行都填",IF(AND($D2116="收入",N($J2116)=0),"※收入行要填收入金额",IF(AND($D2116="支出",N($K2116)=0),"※支出行要填支出金额",IF(AND($C2116&lt;&gt;"",ISNA(MATCH($C2116,账户表,0))),"※账户不在基础资料里",IF(AND($G2116&lt;&gt;"",ISNA(MATCH($G2116,项目名表,0))),"※项目不在项目台账里",IF(AND(LEFT($F2116,3)="成本-",$G2116=""),"※成本类支出没填项目",IF(AND(LEFT($F2116,3)="成本-",$H2116&lt;&gt;"",N($K2116)&gt;0,COUNTIFS(采购单!$B:$B,$B2116,采购单!$C:$C,$H2116,采购单!$L:$L,$K2116)&gt;0),"※这笔可能和采购单重复了",""))))))))))</f>
        <v/>
      </c>
    </row>
    <row r="2117">
      <c r="A2117" s="17">
        <f>IF($B2117="","",ROW()-3)</f>
        <v/>
      </c>
      <c r="B2117" s="18" t="n"/>
      <c r="C2117" s="13" t="n"/>
      <c r="D2117" s="13" t="n"/>
      <c r="E2117" s="13" t="n"/>
      <c r="F2117" s="17">
        <f>IF($E2117="","",IFERROR(VLOOKUP($E2117,类别归属,2,0),"※类别不在基础资料里"))</f>
        <v/>
      </c>
      <c r="G2117" s="13" t="n"/>
      <c r="H2117" s="13" t="n"/>
      <c r="I2117" s="13" t="n"/>
      <c r="J2117" s="14" t="n"/>
      <c r="K2117" s="14" t="n"/>
      <c r="L2117" s="19">
        <f>IF($C2117="","",ROUND(IFERROR(VLOOKUP($C2117,账户期初,2,0),0)+SUMIFS($J$4:J2117,$C$4:C2117,$C2117)-SUMIFS($K$4:K2117,$C$4:C2117,$C2117),2))</f>
        <v/>
      </c>
      <c r="M2117" s="19">
        <f>IF($C2117="","",ROUND(SUM(基础资料!$B$4:$B$13)+SUM($J$4:J2117)-SUM($K$4:K2117),2))</f>
        <v/>
      </c>
      <c r="N2117" s="13" t="n"/>
      <c r="O2117" s="13" t="n"/>
      <c r="P2117" s="17">
        <f>IF($B2117="","",IF($F2117="※类别不在基础资料里","※费用类别不在基础资料里",IF(AND(N($J2117)=0,N($K2117)=0),"※这行没填金额",IF(AND(N($J2117)&gt;0,N($K2117)&gt;0),"※收入和支出不能同一行都填",IF(AND($D2117="收入",N($J2117)=0),"※收入行要填收入金额",IF(AND($D2117="支出",N($K2117)=0),"※支出行要填支出金额",IF(AND($C2117&lt;&gt;"",ISNA(MATCH($C2117,账户表,0))),"※账户不在基础资料里",IF(AND($G2117&lt;&gt;"",ISNA(MATCH($G2117,项目名表,0))),"※项目不在项目台账里",IF(AND(LEFT($F2117,3)="成本-",$G2117=""),"※成本类支出没填项目",IF(AND(LEFT($F2117,3)="成本-",$H2117&lt;&gt;"",N($K2117)&gt;0,COUNTIFS(采购单!$B:$B,$B2117,采购单!$C:$C,$H2117,采购单!$L:$L,$K2117)&gt;0),"※这笔可能和采购单重复了",""))))))))))</f>
        <v/>
      </c>
    </row>
    <row r="2118">
      <c r="A2118" s="17">
        <f>IF($B2118="","",ROW()-3)</f>
        <v/>
      </c>
      <c r="B2118" s="18" t="n"/>
      <c r="C2118" s="13" t="n"/>
      <c r="D2118" s="13" t="n"/>
      <c r="E2118" s="13" t="n"/>
      <c r="F2118" s="17">
        <f>IF($E2118="","",IFERROR(VLOOKUP($E2118,类别归属,2,0),"※类别不在基础资料里"))</f>
        <v/>
      </c>
      <c r="G2118" s="13" t="n"/>
      <c r="H2118" s="13" t="n"/>
      <c r="I2118" s="13" t="n"/>
      <c r="J2118" s="14" t="n"/>
      <c r="K2118" s="14" t="n"/>
      <c r="L2118" s="19">
        <f>IF($C2118="","",ROUND(IFERROR(VLOOKUP($C2118,账户期初,2,0),0)+SUMIFS($J$4:J2118,$C$4:C2118,$C2118)-SUMIFS($K$4:K2118,$C$4:C2118,$C2118),2))</f>
        <v/>
      </c>
      <c r="M2118" s="19">
        <f>IF($C2118="","",ROUND(SUM(基础资料!$B$4:$B$13)+SUM($J$4:J2118)-SUM($K$4:K2118),2))</f>
        <v/>
      </c>
      <c r="N2118" s="13" t="n"/>
      <c r="O2118" s="13" t="n"/>
      <c r="P2118" s="17">
        <f>IF($B2118="","",IF($F2118="※类别不在基础资料里","※费用类别不在基础资料里",IF(AND(N($J2118)=0,N($K2118)=0),"※这行没填金额",IF(AND(N($J2118)&gt;0,N($K2118)&gt;0),"※收入和支出不能同一行都填",IF(AND($D2118="收入",N($J2118)=0),"※收入行要填收入金额",IF(AND($D2118="支出",N($K2118)=0),"※支出行要填支出金额",IF(AND($C2118&lt;&gt;"",ISNA(MATCH($C2118,账户表,0))),"※账户不在基础资料里",IF(AND($G2118&lt;&gt;"",ISNA(MATCH($G2118,项目名表,0))),"※项目不在项目台账里",IF(AND(LEFT($F2118,3)="成本-",$G2118=""),"※成本类支出没填项目",IF(AND(LEFT($F2118,3)="成本-",$H2118&lt;&gt;"",N($K2118)&gt;0,COUNTIFS(采购单!$B:$B,$B2118,采购单!$C:$C,$H2118,采购单!$L:$L,$K2118)&gt;0),"※这笔可能和采购单重复了",""))))))))))</f>
        <v/>
      </c>
    </row>
    <row r="2119">
      <c r="A2119" s="17">
        <f>IF($B2119="","",ROW()-3)</f>
        <v/>
      </c>
      <c r="B2119" s="18" t="n"/>
      <c r="C2119" s="13" t="n"/>
      <c r="D2119" s="13" t="n"/>
      <c r="E2119" s="13" t="n"/>
      <c r="F2119" s="17">
        <f>IF($E2119="","",IFERROR(VLOOKUP($E2119,类别归属,2,0),"※类别不在基础资料里"))</f>
        <v/>
      </c>
      <c r="G2119" s="13" t="n"/>
      <c r="H2119" s="13" t="n"/>
      <c r="I2119" s="13" t="n"/>
      <c r="J2119" s="14" t="n"/>
      <c r="K2119" s="14" t="n"/>
      <c r="L2119" s="19">
        <f>IF($C2119="","",ROUND(IFERROR(VLOOKUP($C2119,账户期初,2,0),0)+SUMIFS($J$4:J2119,$C$4:C2119,$C2119)-SUMIFS($K$4:K2119,$C$4:C2119,$C2119),2))</f>
        <v/>
      </c>
      <c r="M2119" s="19">
        <f>IF($C2119="","",ROUND(SUM(基础资料!$B$4:$B$13)+SUM($J$4:J2119)-SUM($K$4:K2119),2))</f>
        <v/>
      </c>
      <c r="N2119" s="13" t="n"/>
      <c r="O2119" s="13" t="n"/>
      <c r="P2119" s="17">
        <f>IF($B2119="","",IF($F2119="※类别不在基础资料里","※费用类别不在基础资料里",IF(AND(N($J2119)=0,N($K2119)=0),"※这行没填金额",IF(AND(N($J2119)&gt;0,N($K2119)&gt;0),"※收入和支出不能同一行都填",IF(AND($D2119="收入",N($J2119)=0),"※收入行要填收入金额",IF(AND($D2119="支出",N($K2119)=0),"※支出行要填支出金额",IF(AND($C2119&lt;&gt;"",ISNA(MATCH($C2119,账户表,0))),"※账户不在基础资料里",IF(AND($G2119&lt;&gt;"",ISNA(MATCH($G2119,项目名表,0))),"※项目不在项目台账里",IF(AND(LEFT($F2119,3)="成本-",$G2119=""),"※成本类支出没填项目",IF(AND(LEFT($F2119,3)="成本-",$H2119&lt;&gt;"",N($K2119)&gt;0,COUNTIFS(采购单!$B:$B,$B2119,采购单!$C:$C,$H2119,采购单!$L:$L,$K2119)&gt;0),"※这笔可能和采购单重复了",""))))))))))</f>
        <v/>
      </c>
    </row>
    <row r="2120">
      <c r="A2120" s="17">
        <f>IF($B2120="","",ROW()-3)</f>
        <v/>
      </c>
      <c r="B2120" s="18" t="n"/>
      <c r="C2120" s="13" t="n"/>
      <c r="D2120" s="13" t="n"/>
      <c r="E2120" s="13" t="n"/>
      <c r="F2120" s="17">
        <f>IF($E2120="","",IFERROR(VLOOKUP($E2120,类别归属,2,0),"※类别不在基础资料里"))</f>
        <v/>
      </c>
      <c r="G2120" s="13" t="n"/>
      <c r="H2120" s="13" t="n"/>
      <c r="I2120" s="13" t="n"/>
      <c r="J2120" s="14" t="n"/>
      <c r="K2120" s="14" t="n"/>
      <c r="L2120" s="19">
        <f>IF($C2120="","",ROUND(IFERROR(VLOOKUP($C2120,账户期初,2,0),0)+SUMIFS($J$4:J2120,$C$4:C2120,$C2120)-SUMIFS($K$4:K2120,$C$4:C2120,$C2120),2))</f>
        <v/>
      </c>
      <c r="M2120" s="19">
        <f>IF($C2120="","",ROUND(SUM(基础资料!$B$4:$B$13)+SUM($J$4:J2120)-SUM($K$4:K2120),2))</f>
        <v/>
      </c>
      <c r="N2120" s="13" t="n"/>
      <c r="O2120" s="13" t="n"/>
      <c r="P2120" s="17">
        <f>IF($B2120="","",IF($F2120="※类别不在基础资料里","※费用类别不在基础资料里",IF(AND(N($J2120)=0,N($K2120)=0),"※这行没填金额",IF(AND(N($J2120)&gt;0,N($K2120)&gt;0),"※收入和支出不能同一行都填",IF(AND($D2120="收入",N($J2120)=0),"※收入行要填收入金额",IF(AND($D2120="支出",N($K2120)=0),"※支出行要填支出金额",IF(AND($C2120&lt;&gt;"",ISNA(MATCH($C2120,账户表,0))),"※账户不在基础资料里",IF(AND($G2120&lt;&gt;"",ISNA(MATCH($G2120,项目名表,0))),"※项目不在项目台账里",IF(AND(LEFT($F2120,3)="成本-",$G2120=""),"※成本类支出没填项目",IF(AND(LEFT($F2120,3)="成本-",$H2120&lt;&gt;"",N($K2120)&gt;0,COUNTIFS(采购单!$B:$B,$B2120,采购单!$C:$C,$H2120,采购单!$L:$L,$K2120)&gt;0),"※这笔可能和采购单重复了",""))))))))))</f>
        <v/>
      </c>
    </row>
    <row r="2121">
      <c r="A2121" s="17">
        <f>IF($B2121="","",ROW()-3)</f>
        <v/>
      </c>
      <c r="B2121" s="18" t="n"/>
      <c r="C2121" s="13" t="n"/>
      <c r="D2121" s="13" t="n"/>
      <c r="E2121" s="13" t="n"/>
      <c r="F2121" s="17">
        <f>IF($E2121="","",IFERROR(VLOOKUP($E2121,类别归属,2,0),"※类别不在基础资料里"))</f>
        <v/>
      </c>
      <c r="G2121" s="13" t="n"/>
      <c r="H2121" s="13" t="n"/>
      <c r="I2121" s="13" t="n"/>
      <c r="J2121" s="14" t="n"/>
      <c r="K2121" s="14" t="n"/>
      <c r="L2121" s="19">
        <f>IF($C2121="","",ROUND(IFERROR(VLOOKUP($C2121,账户期初,2,0),0)+SUMIFS($J$4:J2121,$C$4:C2121,$C2121)-SUMIFS($K$4:K2121,$C$4:C2121,$C2121),2))</f>
        <v/>
      </c>
      <c r="M2121" s="19">
        <f>IF($C2121="","",ROUND(SUM(基础资料!$B$4:$B$13)+SUM($J$4:J2121)-SUM($K$4:K2121),2))</f>
        <v/>
      </c>
      <c r="N2121" s="13" t="n"/>
      <c r="O2121" s="13" t="n"/>
      <c r="P2121" s="17">
        <f>IF($B2121="","",IF($F2121="※类别不在基础资料里","※费用类别不在基础资料里",IF(AND(N($J2121)=0,N($K2121)=0),"※这行没填金额",IF(AND(N($J2121)&gt;0,N($K2121)&gt;0),"※收入和支出不能同一行都填",IF(AND($D2121="收入",N($J2121)=0),"※收入行要填收入金额",IF(AND($D2121="支出",N($K2121)=0),"※支出行要填支出金额",IF(AND($C2121&lt;&gt;"",ISNA(MATCH($C2121,账户表,0))),"※账户不在基础资料里",IF(AND($G2121&lt;&gt;"",ISNA(MATCH($G2121,项目名表,0))),"※项目不在项目台账里",IF(AND(LEFT($F2121,3)="成本-",$G2121=""),"※成本类支出没填项目",IF(AND(LEFT($F2121,3)="成本-",$H2121&lt;&gt;"",N($K2121)&gt;0,COUNTIFS(采购单!$B:$B,$B2121,采购单!$C:$C,$H2121,采购单!$L:$L,$K2121)&gt;0),"※这笔可能和采购单重复了",""))))))))))</f>
        <v/>
      </c>
    </row>
    <row r="2122">
      <c r="A2122" s="17">
        <f>IF($B2122="","",ROW()-3)</f>
        <v/>
      </c>
      <c r="B2122" s="18" t="n"/>
      <c r="C2122" s="13" t="n"/>
      <c r="D2122" s="13" t="n"/>
      <c r="E2122" s="13" t="n"/>
      <c r="F2122" s="17">
        <f>IF($E2122="","",IFERROR(VLOOKUP($E2122,类别归属,2,0),"※类别不在基础资料里"))</f>
        <v/>
      </c>
      <c r="G2122" s="13" t="n"/>
      <c r="H2122" s="13" t="n"/>
      <c r="I2122" s="13" t="n"/>
      <c r="J2122" s="14" t="n"/>
      <c r="K2122" s="14" t="n"/>
      <c r="L2122" s="19">
        <f>IF($C2122="","",ROUND(IFERROR(VLOOKUP($C2122,账户期初,2,0),0)+SUMIFS($J$4:J2122,$C$4:C2122,$C2122)-SUMIFS($K$4:K2122,$C$4:C2122,$C2122),2))</f>
        <v/>
      </c>
      <c r="M2122" s="19">
        <f>IF($C2122="","",ROUND(SUM(基础资料!$B$4:$B$13)+SUM($J$4:J2122)-SUM($K$4:K2122),2))</f>
        <v/>
      </c>
      <c r="N2122" s="13" t="n"/>
      <c r="O2122" s="13" t="n"/>
      <c r="P2122" s="17">
        <f>IF($B2122="","",IF($F2122="※类别不在基础资料里","※费用类别不在基础资料里",IF(AND(N($J2122)=0,N($K2122)=0),"※这行没填金额",IF(AND(N($J2122)&gt;0,N($K2122)&gt;0),"※收入和支出不能同一行都填",IF(AND($D2122="收入",N($J2122)=0),"※收入行要填收入金额",IF(AND($D2122="支出",N($K2122)=0),"※支出行要填支出金额",IF(AND($C2122&lt;&gt;"",ISNA(MATCH($C2122,账户表,0))),"※账户不在基础资料里",IF(AND($G2122&lt;&gt;"",ISNA(MATCH($G2122,项目名表,0))),"※项目不在项目台账里",IF(AND(LEFT($F2122,3)="成本-",$G2122=""),"※成本类支出没填项目",IF(AND(LEFT($F2122,3)="成本-",$H2122&lt;&gt;"",N($K2122)&gt;0,COUNTIFS(采购单!$B:$B,$B2122,采购单!$C:$C,$H2122,采购单!$L:$L,$K2122)&gt;0),"※这笔可能和采购单重复了",""))))))))))</f>
        <v/>
      </c>
    </row>
    <row r="2123">
      <c r="A2123" s="17">
        <f>IF($B2123="","",ROW()-3)</f>
        <v/>
      </c>
      <c r="B2123" s="18" t="n"/>
      <c r="C2123" s="13" t="n"/>
      <c r="D2123" s="13" t="n"/>
      <c r="E2123" s="13" t="n"/>
      <c r="F2123" s="17">
        <f>IF($E2123="","",IFERROR(VLOOKUP($E2123,类别归属,2,0),"※类别不在基础资料里"))</f>
        <v/>
      </c>
      <c r="G2123" s="13" t="n"/>
      <c r="H2123" s="13" t="n"/>
      <c r="I2123" s="13" t="n"/>
      <c r="J2123" s="14" t="n"/>
      <c r="K2123" s="14" t="n"/>
      <c r="L2123" s="19">
        <f>IF($C2123="","",ROUND(IFERROR(VLOOKUP($C2123,账户期初,2,0),0)+SUMIFS($J$4:J2123,$C$4:C2123,$C2123)-SUMIFS($K$4:K2123,$C$4:C2123,$C2123),2))</f>
        <v/>
      </c>
      <c r="M2123" s="19">
        <f>IF($C2123="","",ROUND(SUM(基础资料!$B$4:$B$13)+SUM($J$4:J2123)-SUM($K$4:K2123),2))</f>
        <v/>
      </c>
      <c r="N2123" s="13" t="n"/>
      <c r="O2123" s="13" t="n"/>
      <c r="P2123" s="17">
        <f>IF($B2123="","",IF($F2123="※类别不在基础资料里","※费用类别不在基础资料里",IF(AND(N($J2123)=0,N($K2123)=0),"※这行没填金额",IF(AND(N($J2123)&gt;0,N($K2123)&gt;0),"※收入和支出不能同一行都填",IF(AND($D2123="收入",N($J2123)=0),"※收入行要填收入金额",IF(AND($D2123="支出",N($K2123)=0),"※支出行要填支出金额",IF(AND($C2123&lt;&gt;"",ISNA(MATCH($C2123,账户表,0))),"※账户不在基础资料里",IF(AND($G2123&lt;&gt;"",ISNA(MATCH($G2123,项目名表,0))),"※项目不在项目台账里",IF(AND(LEFT($F2123,3)="成本-",$G2123=""),"※成本类支出没填项目",IF(AND(LEFT($F2123,3)="成本-",$H2123&lt;&gt;"",N($K2123)&gt;0,COUNTIFS(采购单!$B:$B,$B2123,采购单!$C:$C,$H2123,采购单!$L:$L,$K2123)&gt;0),"※这笔可能和采购单重复了",""))))))))))</f>
        <v/>
      </c>
    </row>
    <row r="2124">
      <c r="A2124" s="17">
        <f>IF($B2124="","",ROW()-3)</f>
        <v/>
      </c>
      <c r="B2124" s="18" t="n"/>
      <c r="C2124" s="13" t="n"/>
      <c r="D2124" s="13" t="n"/>
      <c r="E2124" s="13" t="n"/>
      <c r="F2124" s="17">
        <f>IF($E2124="","",IFERROR(VLOOKUP($E2124,类别归属,2,0),"※类别不在基础资料里"))</f>
        <v/>
      </c>
      <c r="G2124" s="13" t="n"/>
      <c r="H2124" s="13" t="n"/>
      <c r="I2124" s="13" t="n"/>
      <c r="J2124" s="14" t="n"/>
      <c r="K2124" s="14" t="n"/>
      <c r="L2124" s="19">
        <f>IF($C2124="","",ROUND(IFERROR(VLOOKUP($C2124,账户期初,2,0),0)+SUMIFS($J$4:J2124,$C$4:C2124,$C2124)-SUMIFS($K$4:K2124,$C$4:C2124,$C2124),2))</f>
        <v/>
      </c>
      <c r="M2124" s="19">
        <f>IF($C2124="","",ROUND(SUM(基础资料!$B$4:$B$13)+SUM($J$4:J2124)-SUM($K$4:K2124),2))</f>
        <v/>
      </c>
      <c r="N2124" s="13" t="n"/>
      <c r="O2124" s="13" t="n"/>
      <c r="P2124" s="17">
        <f>IF($B2124="","",IF($F2124="※类别不在基础资料里","※费用类别不在基础资料里",IF(AND(N($J2124)=0,N($K2124)=0),"※这行没填金额",IF(AND(N($J2124)&gt;0,N($K2124)&gt;0),"※收入和支出不能同一行都填",IF(AND($D2124="收入",N($J2124)=0),"※收入行要填收入金额",IF(AND($D2124="支出",N($K2124)=0),"※支出行要填支出金额",IF(AND($C2124&lt;&gt;"",ISNA(MATCH($C2124,账户表,0))),"※账户不在基础资料里",IF(AND($G2124&lt;&gt;"",ISNA(MATCH($G2124,项目名表,0))),"※项目不在项目台账里",IF(AND(LEFT($F2124,3)="成本-",$G2124=""),"※成本类支出没填项目",IF(AND(LEFT($F2124,3)="成本-",$H2124&lt;&gt;"",N($K2124)&gt;0,COUNTIFS(采购单!$B:$B,$B2124,采购单!$C:$C,$H2124,采购单!$L:$L,$K2124)&gt;0),"※这笔可能和采购单重复了",""))))))))))</f>
        <v/>
      </c>
    </row>
    <row r="2125">
      <c r="A2125" s="17">
        <f>IF($B2125="","",ROW()-3)</f>
        <v/>
      </c>
      <c r="B2125" s="18" t="n"/>
      <c r="C2125" s="13" t="n"/>
      <c r="D2125" s="13" t="n"/>
      <c r="E2125" s="13" t="n"/>
      <c r="F2125" s="17">
        <f>IF($E2125="","",IFERROR(VLOOKUP($E2125,类别归属,2,0),"※类别不在基础资料里"))</f>
        <v/>
      </c>
      <c r="G2125" s="13" t="n"/>
      <c r="H2125" s="13" t="n"/>
      <c r="I2125" s="13" t="n"/>
      <c r="J2125" s="14" t="n"/>
      <c r="K2125" s="14" t="n"/>
      <c r="L2125" s="19">
        <f>IF($C2125="","",ROUND(IFERROR(VLOOKUP($C2125,账户期初,2,0),0)+SUMIFS($J$4:J2125,$C$4:C2125,$C2125)-SUMIFS($K$4:K2125,$C$4:C2125,$C2125),2))</f>
        <v/>
      </c>
      <c r="M2125" s="19">
        <f>IF($C2125="","",ROUND(SUM(基础资料!$B$4:$B$13)+SUM($J$4:J2125)-SUM($K$4:K2125),2))</f>
        <v/>
      </c>
      <c r="N2125" s="13" t="n"/>
      <c r="O2125" s="13" t="n"/>
      <c r="P2125" s="17">
        <f>IF($B2125="","",IF($F2125="※类别不在基础资料里","※费用类别不在基础资料里",IF(AND(N($J2125)=0,N($K2125)=0),"※这行没填金额",IF(AND(N($J2125)&gt;0,N($K2125)&gt;0),"※收入和支出不能同一行都填",IF(AND($D2125="收入",N($J2125)=0),"※收入行要填收入金额",IF(AND($D2125="支出",N($K2125)=0),"※支出行要填支出金额",IF(AND($C2125&lt;&gt;"",ISNA(MATCH($C2125,账户表,0))),"※账户不在基础资料里",IF(AND($G2125&lt;&gt;"",ISNA(MATCH($G2125,项目名表,0))),"※项目不在项目台账里",IF(AND(LEFT($F2125,3)="成本-",$G2125=""),"※成本类支出没填项目",IF(AND(LEFT($F2125,3)="成本-",$H2125&lt;&gt;"",N($K2125)&gt;0,COUNTIFS(采购单!$B:$B,$B2125,采购单!$C:$C,$H2125,采购单!$L:$L,$K2125)&gt;0),"※这笔可能和采购单重复了",""))))))))))</f>
        <v/>
      </c>
    </row>
    <row r="2126">
      <c r="A2126" s="17">
        <f>IF($B2126="","",ROW()-3)</f>
        <v/>
      </c>
      <c r="B2126" s="18" t="n"/>
      <c r="C2126" s="13" t="n"/>
      <c r="D2126" s="13" t="n"/>
      <c r="E2126" s="13" t="n"/>
      <c r="F2126" s="17">
        <f>IF($E2126="","",IFERROR(VLOOKUP($E2126,类别归属,2,0),"※类别不在基础资料里"))</f>
        <v/>
      </c>
      <c r="G2126" s="13" t="n"/>
      <c r="H2126" s="13" t="n"/>
      <c r="I2126" s="13" t="n"/>
      <c r="J2126" s="14" t="n"/>
      <c r="K2126" s="14" t="n"/>
      <c r="L2126" s="19">
        <f>IF($C2126="","",ROUND(IFERROR(VLOOKUP($C2126,账户期初,2,0),0)+SUMIFS($J$4:J2126,$C$4:C2126,$C2126)-SUMIFS($K$4:K2126,$C$4:C2126,$C2126),2))</f>
        <v/>
      </c>
      <c r="M2126" s="19">
        <f>IF($C2126="","",ROUND(SUM(基础资料!$B$4:$B$13)+SUM($J$4:J2126)-SUM($K$4:K2126),2))</f>
        <v/>
      </c>
      <c r="N2126" s="13" t="n"/>
      <c r="O2126" s="13" t="n"/>
      <c r="P2126" s="17">
        <f>IF($B2126="","",IF($F2126="※类别不在基础资料里","※费用类别不在基础资料里",IF(AND(N($J2126)=0,N($K2126)=0),"※这行没填金额",IF(AND(N($J2126)&gt;0,N($K2126)&gt;0),"※收入和支出不能同一行都填",IF(AND($D2126="收入",N($J2126)=0),"※收入行要填收入金额",IF(AND($D2126="支出",N($K2126)=0),"※支出行要填支出金额",IF(AND($C2126&lt;&gt;"",ISNA(MATCH($C2126,账户表,0))),"※账户不在基础资料里",IF(AND($G2126&lt;&gt;"",ISNA(MATCH($G2126,项目名表,0))),"※项目不在项目台账里",IF(AND(LEFT($F2126,3)="成本-",$G2126=""),"※成本类支出没填项目",IF(AND(LEFT($F2126,3)="成本-",$H2126&lt;&gt;"",N($K2126)&gt;0,COUNTIFS(采购单!$B:$B,$B2126,采购单!$C:$C,$H2126,采购单!$L:$L,$K2126)&gt;0),"※这笔可能和采购单重复了",""))))))))))</f>
        <v/>
      </c>
    </row>
    <row r="2127">
      <c r="A2127" s="17">
        <f>IF($B2127="","",ROW()-3)</f>
        <v/>
      </c>
      <c r="B2127" s="18" t="n"/>
      <c r="C2127" s="13" t="n"/>
      <c r="D2127" s="13" t="n"/>
      <c r="E2127" s="13" t="n"/>
      <c r="F2127" s="17">
        <f>IF($E2127="","",IFERROR(VLOOKUP($E2127,类别归属,2,0),"※类别不在基础资料里"))</f>
        <v/>
      </c>
      <c r="G2127" s="13" t="n"/>
      <c r="H2127" s="13" t="n"/>
      <c r="I2127" s="13" t="n"/>
      <c r="J2127" s="14" t="n"/>
      <c r="K2127" s="14" t="n"/>
      <c r="L2127" s="19">
        <f>IF($C2127="","",ROUND(IFERROR(VLOOKUP($C2127,账户期初,2,0),0)+SUMIFS($J$4:J2127,$C$4:C2127,$C2127)-SUMIFS($K$4:K2127,$C$4:C2127,$C2127),2))</f>
        <v/>
      </c>
      <c r="M2127" s="19">
        <f>IF($C2127="","",ROUND(SUM(基础资料!$B$4:$B$13)+SUM($J$4:J2127)-SUM($K$4:K2127),2))</f>
        <v/>
      </c>
      <c r="N2127" s="13" t="n"/>
      <c r="O2127" s="13" t="n"/>
      <c r="P2127" s="17">
        <f>IF($B2127="","",IF($F2127="※类别不在基础资料里","※费用类别不在基础资料里",IF(AND(N($J2127)=0,N($K2127)=0),"※这行没填金额",IF(AND(N($J2127)&gt;0,N($K2127)&gt;0),"※收入和支出不能同一行都填",IF(AND($D2127="收入",N($J2127)=0),"※收入行要填收入金额",IF(AND($D2127="支出",N($K2127)=0),"※支出行要填支出金额",IF(AND($C2127&lt;&gt;"",ISNA(MATCH($C2127,账户表,0))),"※账户不在基础资料里",IF(AND($G2127&lt;&gt;"",ISNA(MATCH($G2127,项目名表,0))),"※项目不在项目台账里",IF(AND(LEFT($F2127,3)="成本-",$G2127=""),"※成本类支出没填项目",IF(AND(LEFT($F2127,3)="成本-",$H2127&lt;&gt;"",N($K2127)&gt;0,COUNTIFS(采购单!$B:$B,$B2127,采购单!$C:$C,$H2127,采购单!$L:$L,$K2127)&gt;0),"※这笔可能和采购单重复了",""))))))))))</f>
        <v/>
      </c>
    </row>
    <row r="2128">
      <c r="A2128" s="17">
        <f>IF($B2128="","",ROW()-3)</f>
        <v/>
      </c>
      <c r="B2128" s="18" t="n"/>
      <c r="C2128" s="13" t="n"/>
      <c r="D2128" s="13" t="n"/>
      <c r="E2128" s="13" t="n"/>
      <c r="F2128" s="17">
        <f>IF($E2128="","",IFERROR(VLOOKUP($E2128,类别归属,2,0),"※类别不在基础资料里"))</f>
        <v/>
      </c>
      <c r="G2128" s="13" t="n"/>
      <c r="H2128" s="13" t="n"/>
      <c r="I2128" s="13" t="n"/>
      <c r="J2128" s="14" t="n"/>
      <c r="K2128" s="14" t="n"/>
      <c r="L2128" s="19">
        <f>IF($C2128="","",ROUND(IFERROR(VLOOKUP($C2128,账户期初,2,0),0)+SUMIFS($J$4:J2128,$C$4:C2128,$C2128)-SUMIFS($K$4:K2128,$C$4:C2128,$C2128),2))</f>
        <v/>
      </c>
      <c r="M2128" s="19">
        <f>IF($C2128="","",ROUND(SUM(基础资料!$B$4:$B$13)+SUM($J$4:J2128)-SUM($K$4:K2128),2))</f>
        <v/>
      </c>
      <c r="N2128" s="13" t="n"/>
      <c r="O2128" s="13" t="n"/>
      <c r="P2128" s="17">
        <f>IF($B2128="","",IF($F2128="※类别不在基础资料里","※费用类别不在基础资料里",IF(AND(N($J2128)=0,N($K2128)=0),"※这行没填金额",IF(AND(N($J2128)&gt;0,N($K2128)&gt;0),"※收入和支出不能同一行都填",IF(AND($D2128="收入",N($J2128)=0),"※收入行要填收入金额",IF(AND($D2128="支出",N($K2128)=0),"※支出行要填支出金额",IF(AND($C2128&lt;&gt;"",ISNA(MATCH($C2128,账户表,0))),"※账户不在基础资料里",IF(AND($G2128&lt;&gt;"",ISNA(MATCH($G2128,项目名表,0))),"※项目不在项目台账里",IF(AND(LEFT($F2128,3)="成本-",$G2128=""),"※成本类支出没填项目",IF(AND(LEFT($F2128,3)="成本-",$H2128&lt;&gt;"",N($K2128)&gt;0,COUNTIFS(采购单!$B:$B,$B2128,采购单!$C:$C,$H2128,采购单!$L:$L,$K2128)&gt;0),"※这笔可能和采购单重复了",""))))))))))</f>
        <v/>
      </c>
    </row>
    <row r="2129">
      <c r="A2129" s="17">
        <f>IF($B2129="","",ROW()-3)</f>
        <v/>
      </c>
      <c r="B2129" s="18" t="n"/>
      <c r="C2129" s="13" t="n"/>
      <c r="D2129" s="13" t="n"/>
      <c r="E2129" s="13" t="n"/>
      <c r="F2129" s="17">
        <f>IF($E2129="","",IFERROR(VLOOKUP($E2129,类别归属,2,0),"※类别不在基础资料里"))</f>
        <v/>
      </c>
      <c r="G2129" s="13" t="n"/>
      <c r="H2129" s="13" t="n"/>
      <c r="I2129" s="13" t="n"/>
      <c r="J2129" s="14" t="n"/>
      <c r="K2129" s="14" t="n"/>
      <c r="L2129" s="19">
        <f>IF($C2129="","",ROUND(IFERROR(VLOOKUP($C2129,账户期初,2,0),0)+SUMIFS($J$4:J2129,$C$4:C2129,$C2129)-SUMIFS($K$4:K2129,$C$4:C2129,$C2129),2))</f>
        <v/>
      </c>
      <c r="M2129" s="19">
        <f>IF($C2129="","",ROUND(SUM(基础资料!$B$4:$B$13)+SUM($J$4:J2129)-SUM($K$4:K2129),2))</f>
        <v/>
      </c>
      <c r="N2129" s="13" t="n"/>
      <c r="O2129" s="13" t="n"/>
      <c r="P2129" s="17">
        <f>IF($B2129="","",IF($F2129="※类别不在基础资料里","※费用类别不在基础资料里",IF(AND(N($J2129)=0,N($K2129)=0),"※这行没填金额",IF(AND(N($J2129)&gt;0,N($K2129)&gt;0),"※收入和支出不能同一行都填",IF(AND($D2129="收入",N($J2129)=0),"※收入行要填收入金额",IF(AND($D2129="支出",N($K2129)=0),"※支出行要填支出金额",IF(AND($C2129&lt;&gt;"",ISNA(MATCH($C2129,账户表,0))),"※账户不在基础资料里",IF(AND($G2129&lt;&gt;"",ISNA(MATCH($G2129,项目名表,0))),"※项目不在项目台账里",IF(AND(LEFT($F2129,3)="成本-",$G2129=""),"※成本类支出没填项目",IF(AND(LEFT($F2129,3)="成本-",$H2129&lt;&gt;"",N($K2129)&gt;0,COUNTIFS(采购单!$B:$B,$B2129,采购单!$C:$C,$H2129,采购单!$L:$L,$K2129)&gt;0),"※这笔可能和采购单重复了",""))))))))))</f>
        <v/>
      </c>
    </row>
    <row r="2130">
      <c r="A2130" s="17">
        <f>IF($B2130="","",ROW()-3)</f>
        <v/>
      </c>
      <c r="B2130" s="18" t="n"/>
      <c r="C2130" s="13" t="n"/>
      <c r="D2130" s="13" t="n"/>
      <c r="E2130" s="13" t="n"/>
      <c r="F2130" s="17">
        <f>IF($E2130="","",IFERROR(VLOOKUP($E2130,类别归属,2,0),"※类别不在基础资料里"))</f>
        <v/>
      </c>
      <c r="G2130" s="13" t="n"/>
      <c r="H2130" s="13" t="n"/>
      <c r="I2130" s="13" t="n"/>
      <c r="J2130" s="14" t="n"/>
      <c r="K2130" s="14" t="n"/>
      <c r="L2130" s="19">
        <f>IF($C2130="","",ROUND(IFERROR(VLOOKUP($C2130,账户期初,2,0),0)+SUMIFS($J$4:J2130,$C$4:C2130,$C2130)-SUMIFS($K$4:K2130,$C$4:C2130,$C2130),2))</f>
        <v/>
      </c>
      <c r="M2130" s="19">
        <f>IF($C2130="","",ROUND(SUM(基础资料!$B$4:$B$13)+SUM($J$4:J2130)-SUM($K$4:K2130),2))</f>
        <v/>
      </c>
      <c r="N2130" s="13" t="n"/>
      <c r="O2130" s="13" t="n"/>
      <c r="P2130" s="17">
        <f>IF($B2130="","",IF($F2130="※类别不在基础资料里","※费用类别不在基础资料里",IF(AND(N($J2130)=0,N($K2130)=0),"※这行没填金额",IF(AND(N($J2130)&gt;0,N($K2130)&gt;0),"※收入和支出不能同一行都填",IF(AND($D2130="收入",N($J2130)=0),"※收入行要填收入金额",IF(AND($D2130="支出",N($K2130)=0),"※支出行要填支出金额",IF(AND($C2130&lt;&gt;"",ISNA(MATCH($C2130,账户表,0))),"※账户不在基础资料里",IF(AND($G2130&lt;&gt;"",ISNA(MATCH($G2130,项目名表,0))),"※项目不在项目台账里",IF(AND(LEFT($F2130,3)="成本-",$G2130=""),"※成本类支出没填项目",IF(AND(LEFT($F2130,3)="成本-",$H2130&lt;&gt;"",N($K2130)&gt;0,COUNTIFS(采购单!$B:$B,$B2130,采购单!$C:$C,$H2130,采购单!$L:$L,$K2130)&gt;0),"※这笔可能和采购单重复了",""))))))))))</f>
        <v/>
      </c>
    </row>
    <row r="2131">
      <c r="A2131" s="17">
        <f>IF($B2131="","",ROW()-3)</f>
        <v/>
      </c>
      <c r="B2131" s="18" t="n"/>
      <c r="C2131" s="13" t="n"/>
      <c r="D2131" s="13" t="n"/>
      <c r="E2131" s="13" t="n"/>
      <c r="F2131" s="17">
        <f>IF($E2131="","",IFERROR(VLOOKUP($E2131,类别归属,2,0),"※类别不在基础资料里"))</f>
        <v/>
      </c>
      <c r="G2131" s="13" t="n"/>
      <c r="H2131" s="13" t="n"/>
      <c r="I2131" s="13" t="n"/>
      <c r="J2131" s="14" t="n"/>
      <c r="K2131" s="14" t="n"/>
      <c r="L2131" s="19">
        <f>IF($C2131="","",ROUND(IFERROR(VLOOKUP($C2131,账户期初,2,0),0)+SUMIFS($J$4:J2131,$C$4:C2131,$C2131)-SUMIFS($K$4:K2131,$C$4:C2131,$C2131),2))</f>
        <v/>
      </c>
      <c r="M2131" s="19">
        <f>IF($C2131="","",ROUND(SUM(基础资料!$B$4:$B$13)+SUM($J$4:J2131)-SUM($K$4:K2131),2))</f>
        <v/>
      </c>
      <c r="N2131" s="13" t="n"/>
      <c r="O2131" s="13" t="n"/>
      <c r="P2131" s="17">
        <f>IF($B2131="","",IF($F2131="※类别不在基础资料里","※费用类别不在基础资料里",IF(AND(N($J2131)=0,N($K2131)=0),"※这行没填金额",IF(AND(N($J2131)&gt;0,N($K2131)&gt;0),"※收入和支出不能同一行都填",IF(AND($D2131="收入",N($J2131)=0),"※收入行要填收入金额",IF(AND($D2131="支出",N($K2131)=0),"※支出行要填支出金额",IF(AND($C2131&lt;&gt;"",ISNA(MATCH($C2131,账户表,0))),"※账户不在基础资料里",IF(AND($G2131&lt;&gt;"",ISNA(MATCH($G2131,项目名表,0))),"※项目不在项目台账里",IF(AND(LEFT($F2131,3)="成本-",$G2131=""),"※成本类支出没填项目",IF(AND(LEFT($F2131,3)="成本-",$H2131&lt;&gt;"",N($K2131)&gt;0,COUNTIFS(采购单!$B:$B,$B2131,采购单!$C:$C,$H2131,采购单!$L:$L,$K2131)&gt;0),"※这笔可能和采购单重复了",""))))))))))</f>
        <v/>
      </c>
    </row>
    <row r="2132">
      <c r="A2132" s="17">
        <f>IF($B2132="","",ROW()-3)</f>
        <v/>
      </c>
      <c r="B2132" s="18" t="n"/>
      <c r="C2132" s="13" t="n"/>
      <c r="D2132" s="13" t="n"/>
      <c r="E2132" s="13" t="n"/>
      <c r="F2132" s="17">
        <f>IF($E2132="","",IFERROR(VLOOKUP($E2132,类别归属,2,0),"※类别不在基础资料里"))</f>
        <v/>
      </c>
      <c r="G2132" s="13" t="n"/>
      <c r="H2132" s="13" t="n"/>
      <c r="I2132" s="13" t="n"/>
      <c r="J2132" s="14" t="n"/>
      <c r="K2132" s="14" t="n"/>
      <c r="L2132" s="19">
        <f>IF($C2132="","",ROUND(IFERROR(VLOOKUP($C2132,账户期初,2,0),0)+SUMIFS($J$4:J2132,$C$4:C2132,$C2132)-SUMIFS($K$4:K2132,$C$4:C2132,$C2132),2))</f>
        <v/>
      </c>
      <c r="M2132" s="19">
        <f>IF($C2132="","",ROUND(SUM(基础资料!$B$4:$B$13)+SUM($J$4:J2132)-SUM($K$4:K2132),2))</f>
        <v/>
      </c>
      <c r="N2132" s="13" t="n"/>
      <c r="O2132" s="13" t="n"/>
      <c r="P2132" s="17">
        <f>IF($B2132="","",IF($F2132="※类别不在基础资料里","※费用类别不在基础资料里",IF(AND(N($J2132)=0,N($K2132)=0),"※这行没填金额",IF(AND(N($J2132)&gt;0,N($K2132)&gt;0),"※收入和支出不能同一行都填",IF(AND($D2132="收入",N($J2132)=0),"※收入行要填收入金额",IF(AND($D2132="支出",N($K2132)=0),"※支出行要填支出金额",IF(AND($C2132&lt;&gt;"",ISNA(MATCH($C2132,账户表,0))),"※账户不在基础资料里",IF(AND($G2132&lt;&gt;"",ISNA(MATCH($G2132,项目名表,0))),"※项目不在项目台账里",IF(AND(LEFT($F2132,3)="成本-",$G2132=""),"※成本类支出没填项目",IF(AND(LEFT($F2132,3)="成本-",$H2132&lt;&gt;"",N($K2132)&gt;0,COUNTIFS(采购单!$B:$B,$B2132,采购单!$C:$C,$H2132,采购单!$L:$L,$K2132)&gt;0),"※这笔可能和采购单重复了",""))))))))))</f>
        <v/>
      </c>
    </row>
    <row r="2133">
      <c r="A2133" s="17">
        <f>IF($B2133="","",ROW()-3)</f>
        <v/>
      </c>
      <c r="B2133" s="18" t="n"/>
      <c r="C2133" s="13" t="n"/>
      <c r="D2133" s="13" t="n"/>
      <c r="E2133" s="13" t="n"/>
      <c r="F2133" s="17">
        <f>IF($E2133="","",IFERROR(VLOOKUP($E2133,类别归属,2,0),"※类别不在基础资料里"))</f>
        <v/>
      </c>
      <c r="G2133" s="13" t="n"/>
      <c r="H2133" s="13" t="n"/>
      <c r="I2133" s="13" t="n"/>
      <c r="J2133" s="14" t="n"/>
      <c r="K2133" s="14" t="n"/>
      <c r="L2133" s="19">
        <f>IF($C2133="","",ROUND(IFERROR(VLOOKUP($C2133,账户期初,2,0),0)+SUMIFS($J$4:J2133,$C$4:C2133,$C2133)-SUMIFS($K$4:K2133,$C$4:C2133,$C2133),2))</f>
        <v/>
      </c>
      <c r="M2133" s="19">
        <f>IF($C2133="","",ROUND(SUM(基础资料!$B$4:$B$13)+SUM($J$4:J2133)-SUM($K$4:K2133),2))</f>
        <v/>
      </c>
      <c r="N2133" s="13" t="n"/>
      <c r="O2133" s="13" t="n"/>
      <c r="P2133" s="17">
        <f>IF($B2133="","",IF($F2133="※类别不在基础资料里","※费用类别不在基础资料里",IF(AND(N($J2133)=0,N($K2133)=0),"※这行没填金额",IF(AND(N($J2133)&gt;0,N($K2133)&gt;0),"※收入和支出不能同一行都填",IF(AND($D2133="收入",N($J2133)=0),"※收入行要填收入金额",IF(AND($D2133="支出",N($K2133)=0),"※支出行要填支出金额",IF(AND($C2133&lt;&gt;"",ISNA(MATCH($C2133,账户表,0))),"※账户不在基础资料里",IF(AND($G2133&lt;&gt;"",ISNA(MATCH($G2133,项目名表,0))),"※项目不在项目台账里",IF(AND(LEFT($F2133,3)="成本-",$G2133=""),"※成本类支出没填项目",IF(AND(LEFT($F2133,3)="成本-",$H2133&lt;&gt;"",N($K2133)&gt;0,COUNTIFS(采购单!$B:$B,$B2133,采购单!$C:$C,$H2133,采购单!$L:$L,$K2133)&gt;0),"※这笔可能和采购单重复了",""))))))))))</f>
        <v/>
      </c>
    </row>
    <row r="2134">
      <c r="A2134" s="17">
        <f>IF($B2134="","",ROW()-3)</f>
        <v/>
      </c>
      <c r="B2134" s="18" t="n"/>
      <c r="C2134" s="13" t="n"/>
      <c r="D2134" s="13" t="n"/>
      <c r="E2134" s="13" t="n"/>
      <c r="F2134" s="17">
        <f>IF($E2134="","",IFERROR(VLOOKUP($E2134,类别归属,2,0),"※类别不在基础资料里"))</f>
        <v/>
      </c>
      <c r="G2134" s="13" t="n"/>
      <c r="H2134" s="13" t="n"/>
      <c r="I2134" s="13" t="n"/>
      <c r="J2134" s="14" t="n"/>
      <c r="K2134" s="14" t="n"/>
      <c r="L2134" s="19">
        <f>IF($C2134="","",ROUND(IFERROR(VLOOKUP($C2134,账户期初,2,0),0)+SUMIFS($J$4:J2134,$C$4:C2134,$C2134)-SUMIFS($K$4:K2134,$C$4:C2134,$C2134),2))</f>
        <v/>
      </c>
      <c r="M2134" s="19">
        <f>IF($C2134="","",ROUND(SUM(基础资料!$B$4:$B$13)+SUM($J$4:J2134)-SUM($K$4:K2134),2))</f>
        <v/>
      </c>
      <c r="N2134" s="13" t="n"/>
      <c r="O2134" s="13" t="n"/>
      <c r="P2134" s="17">
        <f>IF($B2134="","",IF($F2134="※类别不在基础资料里","※费用类别不在基础资料里",IF(AND(N($J2134)=0,N($K2134)=0),"※这行没填金额",IF(AND(N($J2134)&gt;0,N($K2134)&gt;0),"※收入和支出不能同一行都填",IF(AND($D2134="收入",N($J2134)=0),"※收入行要填收入金额",IF(AND($D2134="支出",N($K2134)=0),"※支出行要填支出金额",IF(AND($C2134&lt;&gt;"",ISNA(MATCH($C2134,账户表,0))),"※账户不在基础资料里",IF(AND($G2134&lt;&gt;"",ISNA(MATCH($G2134,项目名表,0))),"※项目不在项目台账里",IF(AND(LEFT($F2134,3)="成本-",$G2134=""),"※成本类支出没填项目",IF(AND(LEFT($F2134,3)="成本-",$H2134&lt;&gt;"",N($K2134)&gt;0,COUNTIFS(采购单!$B:$B,$B2134,采购单!$C:$C,$H2134,采购单!$L:$L,$K2134)&gt;0),"※这笔可能和采购单重复了",""))))))))))</f>
        <v/>
      </c>
    </row>
    <row r="2135">
      <c r="A2135" s="17">
        <f>IF($B2135="","",ROW()-3)</f>
        <v/>
      </c>
      <c r="B2135" s="18" t="n"/>
      <c r="C2135" s="13" t="n"/>
      <c r="D2135" s="13" t="n"/>
      <c r="E2135" s="13" t="n"/>
      <c r="F2135" s="17">
        <f>IF($E2135="","",IFERROR(VLOOKUP($E2135,类别归属,2,0),"※类别不在基础资料里"))</f>
        <v/>
      </c>
      <c r="G2135" s="13" t="n"/>
      <c r="H2135" s="13" t="n"/>
      <c r="I2135" s="13" t="n"/>
      <c r="J2135" s="14" t="n"/>
      <c r="K2135" s="14" t="n"/>
      <c r="L2135" s="19">
        <f>IF($C2135="","",ROUND(IFERROR(VLOOKUP($C2135,账户期初,2,0),0)+SUMIFS($J$4:J2135,$C$4:C2135,$C2135)-SUMIFS($K$4:K2135,$C$4:C2135,$C2135),2))</f>
        <v/>
      </c>
      <c r="M2135" s="19">
        <f>IF($C2135="","",ROUND(SUM(基础资料!$B$4:$B$13)+SUM($J$4:J2135)-SUM($K$4:K2135),2))</f>
        <v/>
      </c>
      <c r="N2135" s="13" t="n"/>
      <c r="O2135" s="13" t="n"/>
      <c r="P2135" s="17">
        <f>IF($B2135="","",IF($F2135="※类别不在基础资料里","※费用类别不在基础资料里",IF(AND(N($J2135)=0,N($K2135)=0),"※这行没填金额",IF(AND(N($J2135)&gt;0,N($K2135)&gt;0),"※收入和支出不能同一行都填",IF(AND($D2135="收入",N($J2135)=0),"※收入行要填收入金额",IF(AND($D2135="支出",N($K2135)=0),"※支出行要填支出金额",IF(AND($C2135&lt;&gt;"",ISNA(MATCH($C2135,账户表,0))),"※账户不在基础资料里",IF(AND($G2135&lt;&gt;"",ISNA(MATCH($G2135,项目名表,0))),"※项目不在项目台账里",IF(AND(LEFT($F2135,3)="成本-",$G2135=""),"※成本类支出没填项目",IF(AND(LEFT($F2135,3)="成本-",$H2135&lt;&gt;"",N($K2135)&gt;0,COUNTIFS(采购单!$B:$B,$B2135,采购单!$C:$C,$H2135,采购单!$L:$L,$K2135)&gt;0),"※这笔可能和采购单重复了",""))))))))))</f>
        <v/>
      </c>
    </row>
    <row r="2136">
      <c r="A2136" s="17">
        <f>IF($B2136="","",ROW()-3)</f>
        <v/>
      </c>
      <c r="B2136" s="18" t="n"/>
      <c r="C2136" s="13" t="n"/>
      <c r="D2136" s="13" t="n"/>
      <c r="E2136" s="13" t="n"/>
      <c r="F2136" s="17">
        <f>IF($E2136="","",IFERROR(VLOOKUP($E2136,类别归属,2,0),"※类别不在基础资料里"))</f>
        <v/>
      </c>
      <c r="G2136" s="13" t="n"/>
      <c r="H2136" s="13" t="n"/>
      <c r="I2136" s="13" t="n"/>
      <c r="J2136" s="14" t="n"/>
      <c r="K2136" s="14" t="n"/>
      <c r="L2136" s="19">
        <f>IF($C2136="","",ROUND(IFERROR(VLOOKUP($C2136,账户期初,2,0),0)+SUMIFS($J$4:J2136,$C$4:C2136,$C2136)-SUMIFS($K$4:K2136,$C$4:C2136,$C2136),2))</f>
        <v/>
      </c>
      <c r="M2136" s="19">
        <f>IF($C2136="","",ROUND(SUM(基础资料!$B$4:$B$13)+SUM($J$4:J2136)-SUM($K$4:K2136),2))</f>
        <v/>
      </c>
      <c r="N2136" s="13" t="n"/>
      <c r="O2136" s="13" t="n"/>
      <c r="P2136" s="17">
        <f>IF($B2136="","",IF($F2136="※类别不在基础资料里","※费用类别不在基础资料里",IF(AND(N($J2136)=0,N($K2136)=0),"※这行没填金额",IF(AND(N($J2136)&gt;0,N($K2136)&gt;0),"※收入和支出不能同一行都填",IF(AND($D2136="收入",N($J2136)=0),"※收入行要填收入金额",IF(AND($D2136="支出",N($K2136)=0),"※支出行要填支出金额",IF(AND($C2136&lt;&gt;"",ISNA(MATCH($C2136,账户表,0))),"※账户不在基础资料里",IF(AND($G2136&lt;&gt;"",ISNA(MATCH($G2136,项目名表,0))),"※项目不在项目台账里",IF(AND(LEFT($F2136,3)="成本-",$G2136=""),"※成本类支出没填项目",IF(AND(LEFT($F2136,3)="成本-",$H2136&lt;&gt;"",N($K2136)&gt;0,COUNTIFS(采购单!$B:$B,$B2136,采购单!$C:$C,$H2136,采购单!$L:$L,$K2136)&gt;0),"※这笔可能和采购单重复了",""))))))))))</f>
        <v/>
      </c>
    </row>
    <row r="2137">
      <c r="A2137" s="17">
        <f>IF($B2137="","",ROW()-3)</f>
        <v/>
      </c>
      <c r="B2137" s="18" t="n"/>
      <c r="C2137" s="13" t="n"/>
      <c r="D2137" s="13" t="n"/>
      <c r="E2137" s="13" t="n"/>
      <c r="F2137" s="17">
        <f>IF($E2137="","",IFERROR(VLOOKUP($E2137,类别归属,2,0),"※类别不在基础资料里"))</f>
        <v/>
      </c>
      <c r="G2137" s="13" t="n"/>
      <c r="H2137" s="13" t="n"/>
      <c r="I2137" s="13" t="n"/>
      <c r="J2137" s="14" t="n"/>
      <c r="K2137" s="14" t="n"/>
      <c r="L2137" s="19">
        <f>IF($C2137="","",ROUND(IFERROR(VLOOKUP($C2137,账户期初,2,0),0)+SUMIFS($J$4:J2137,$C$4:C2137,$C2137)-SUMIFS($K$4:K2137,$C$4:C2137,$C2137),2))</f>
        <v/>
      </c>
      <c r="M2137" s="19">
        <f>IF($C2137="","",ROUND(SUM(基础资料!$B$4:$B$13)+SUM($J$4:J2137)-SUM($K$4:K2137),2))</f>
        <v/>
      </c>
      <c r="N2137" s="13" t="n"/>
      <c r="O2137" s="13" t="n"/>
      <c r="P2137" s="17">
        <f>IF($B2137="","",IF($F2137="※类别不在基础资料里","※费用类别不在基础资料里",IF(AND(N($J2137)=0,N($K2137)=0),"※这行没填金额",IF(AND(N($J2137)&gt;0,N($K2137)&gt;0),"※收入和支出不能同一行都填",IF(AND($D2137="收入",N($J2137)=0),"※收入行要填收入金额",IF(AND($D2137="支出",N($K2137)=0),"※支出行要填支出金额",IF(AND($C2137&lt;&gt;"",ISNA(MATCH($C2137,账户表,0))),"※账户不在基础资料里",IF(AND($G2137&lt;&gt;"",ISNA(MATCH($G2137,项目名表,0))),"※项目不在项目台账里",IF(AND(LEFT($F2137,3)="成本-",$G2137=""),"※成本类支出没填项目",IF(AND(LEFT($F2137,3)="成本-",$H2137&lt;&gt;"",N($K2137)&gt;0,COUNTIFS(采购单!$B:$B,$B2137,采购单!$C:$C,$H2137,采购单!$L:$L,$K2137)&gt;0),"※这笔可能和采购单重复了",""))))))))))</f>
        <v/>
      </c>
    </row>
    <row r="2138">
      <c r="A2138" s="17">
        <f>IF($B2138="","",ROW()-3)</f>
        <v/>
      </c>
      <c r="B2138" s="18" t="n"/>
      <c r="C2138" s="13" t="n"/>
      <c r="D2138" s="13" t="n"/>
      <c r="E2138" s="13" t="n"/>
      <c r="F2138" s="17">
        <f>IF($E2138="","",IFERROR(VLOOKUP($E2138,类别归属,2,0),"※类别不在基础资料里"))</f>
        <v/>
      </c>
      <c r="G2138" s="13" t="n"/>
      <c r="H2138" s="13" t="n"/>
      <c r="I2138" s="13" t="n"/>
      <c r="J2138" s="14" t="n"/>
      <c r="K2138" s="14" t="n"/>
      <c r="L2138" s="19">
        <f>IF($C2138="","",ROUND(IFERROR(VLOOKUP($C2138,账户期初,2,0),0)+SUMIFS($J$4:J2138,$C$4:C2138,$C2138)-SUMIFS($K$4:K2138,$C$4:C2138,$C2138),2))</f>
        <v/>
      </c>
      <c r="M2138" s="19">
        <f>IF($C2138="","",ROUND(SUM(基础资料!$B$4:$B$13)+SUM($J$4:J2138)-SUM($K$4:K2138),2))</f>
        <v/>
      </c>
      <c r="N2138" s="13" t="n"/>
      <c r="O2138" s="13" t="n"/>
      <c r="P2138" s="17">
        <f>IF($B2138="","",IF($F2138="※类别不在基础资料里","※费用类别不在基础资料里",IF(AND(N($J2138)=0,N($K2138)=0),"※这行没填金额",IF(AND(N($J2138)&gt;0,N($K2138)&gt;0),"※收入和支出不能同一行都填",IF(AND($D2138="收入",N($J2138)=0),"※收入行要填收入金额",IF(AND($D2138="支出",N($K2138)=0),"※支出行要填支出金额",IF(AND($C2138&lt;&gt;"",ISNA(MATCH($C2138,账户表,0))),"※账户不在基础资料里",IF(AND($G2138&lt;&gt;"",ISNA(MATCH($G2138,项目名表,0))),"※项目不在项目台账里",IF(AND(LEFT($F2138,3)="成本-",$G2138=""),"※成本类支出没填项目",IF(AND(LEFT($F2138,3)="成本-",$H2138&lt;&gt;"",N($K2138)&gt;0,COUNTIFS(采购单!$B:$B,$B2138,采购单!$C:$C,$H2138,采购单!$L:$L,$K2138)&gt;0),"※这笔可能和采购单重复了",""))))))))))</f>
        <v/>
      </c>
    </row>
    <row r="2139">
      <c r="A2139" s="17">
        <f>IF($B2139="","",ROW()-3)</f>
        <v/>
      </c>
      <c r="B2139" s="18" t="n"/>
      <c r="C2139" s="13" t="n"/>
      <c r="D2139" s="13" t="n"/>
      <c r="E2139" s="13" t="n"/>
      <c r="F2139" s="17">
        <f>IF($E2139="","",IFERROR(VLOOKUP($E2139,类别归属,2,0),"※类别不在基础资料里"))</f>
        <v/>
      </c>
      <c r="G2139" s="13" t="n"/>
      <c r="H2139" s="13" t="n"/>
      <c r="I2139" s="13" t="n"/>
      <c r="J2139" s="14" t="n"/>
      <c r="K2139" s="14" t="n"/>
      <c r="L2139" s="19">
        <f>IF($C2139="","",ROUND(IFERROR(VLOOKUP($C2139,账户期初,2,0),0)+SUMIFS($J$4:J2139,$C$4:C2139,$C2139)-SUMIFS($K$4:K2139,$C$4:C2139,$C2139),2))</f>
        <v/>
      </c>
      <c r="M2139" s="19">
        <f>IF($C2139="","",ROUND(SUM(基础资料!$B$4:$B$13)+SUM($J$4:J2139)-SUM($K$4:K2139),2))</f>
        <v/>
      </c>
      <c r="N2139" s="13" t="n"/>
      <c r="O2139" s="13" t="n"/>
      <c r="P2139" s="17">
        <f>IF($B2139="","",IF($F2139="※类别不在基础资料里","※费用类别不在基础资料里",IF(AND(N($J2139)=0,N($K2139)=0),"※这行没填金额",IF(AND(N($J2139)&gt;0,N($K2139)&gt;0),"※收入和支出不能同一行都填",IF(AND($D2139="收入",N($J2139)=0),"※收入行要填收入金额",IF(AND($D2139="支出",N($K2139)=0),"※支出行要填支出金额",IF(AND($C2139&lt;&gt;"",ISNA(MATCH($C2139,账户表,0))),"※账户不在基础资料里",IF(AND($G2139&lt;&gt;"",ISNA(MATCH($G2139,项目名表,0))),"※项目不在项目台账里",IF(AND(LEFT($F2139,3)="成本-",$G2139=""),"※成本类支出没填项目",IF(AND(LEFT($F2139,3)="成本-",$H2139&lt;&gt;"",N($K2139)&gt;0,COUNTIFS(采购单!$B:$B,$B2139,采购单!$C:$C,$H2139,采购单!$L:$L,$K2139)&gt;0),"※这笔可能和采购单重复了",""))))))))))</f>
        <v/>
      </c>
    </row>
    <row r="2140">
      <c r="A2140" s="17">
        <f>IF($B2140="","",ROW()-3)</f>
        <v/>
      </c>
      <c r="B2140" s="18" t="n"/>
      <c r="C2140" s="13" t="n"/>
      <c r="D2140" s="13" t="n"/>
      <c r="E2140" s="13" t="n"/>
      <c r="F2140" s="17">
        <f>IF($E2140="","",IFERROR(VLOOKUP($E2140,类别归属,2,0),"※类别不在基础资料里"))</f>
        <v/>
      </c>
      <c r="G2140" s="13" t="n"/>
      <c r="H2140" s="13" t="n"/>
      <c r="I2140" s="13" t="n"/>
      <c r="J2140" s="14" t="n"/>
      <c r="K2140" s="14" t="n"/>
      <c r="L2140" s="19">
        <f>IF($C2140="","",ROUND(IFERROR(VLOOKUP($C2140,账户期初,2,0),0)+SUMIFS($J$4:J2140,$C$4:C2140,$C2140)-SUMIFS($K$4:K2140,$C$4:C2140,$C2140),2))</f>
        <v/>
      </c>
      <c r="M2140" s="19">
        <f>IF($C2140="","",ROUND(SUM(基础资料!$B$4:$B$13)+SUM($J$4:J2140)-SUM($K$4:K2140),2))</f>
        <v/>
      </c>
      <c r="N2140" s="13" t="n"/>
      <c r="O2140" s="13" t="n"/>
      <c r="P2140" s="17">
        <f>IF($B2140="","",IF($F2140="※类别不在基础资料里","※费用类别不在基础资料里",IF(AND(N($J2140)=0,N($K2140)=0),"※这行没填金额",IF(AND(N($J2140)&gt;0,N($K2140)&gt;0),"※收入和支出不能同一行都填",IF(AND($D2140="收入",N($J2140)=0),"※收入行要填收入金额",IF(AND($D2140="支出",N($K2140)=0),"※支出行要填支出金额",IF(AND($C2140&lt;&gt;"",ISNA(MATCH($C2140,账户表,0))),"※账户不在基础资料里",IF(AND($G2140&lt;&gt;"",ISNA(MATCH($G2140,项目名表,0))),"※项目不在项目台账里",IF(AND(LEFT($F2140,3)="成本-",$G2140=""),"※成本类支出没填项目",IF(AND(LEFT($F2140,3)="成本-",$H2140&lt;&gt;"",N($K2140)&gt;0,COUNTIFS(采购单!$B:$B,$B2140,采购单!$C:$C,$H2140,采购单!$L:$L,$K2140)&gt;0),"※这笔可能和采购单重复了",""))))))))))</f>
        <v/>
      </c>
    </row>
    <row r="2141">
      <c r="A2141" s="17">
        <f>IF($B2141="","",ROW()-3)</f>
        <v/>
      </c>
      <c r="B2141" s="18" t="n"/>
      <c r="C2141" s="13" t="n"/>
      <c r="D2141" s="13" t="n"/>
      <c r="E2141" s="13" t="n"/>
      <c r="F2141" s="17">
        <f>IF($E2141="","",IFERROR(VLOOKUP($E2141,类别归属,2,0),"※类别不在基础资料里"))</f>
        <v/>
      </c>
      <c r="G2141" s="13" t="n"/>
      <c r="H2141" s="13" t="n"/>
      <c r="I2141" s="13" t="n"/>
      <c r="J2141" s="14" t="n"/>
      <c r="K2141" s="14" t="n"/>
      <c r="L2141" s="19">
        <f>IF($C2141="","",ROUND(IFERROR(VLOOKUP($C2141,账户期初,2,0),0)+SUMIFS($J$4:J2141,$C$4:C2141,$C2141)-SUMIFS($K$4:K2141,$C$4:C2141,$C2141),2))</f>
        <v/>
      </c>
      <c r="M2141" s="19">
        <f>IF($C2141="","",ROUND(SUM(基础资料!$B$4:$B$13)+SUM($J$4:J2141)-SUM($K$4:K2141),2))</f>
        <v/>
      </c>
      <c r="N2141" s="13" t="n"/>
      <c r="O2141" s="13" t="n"/>
      <c r="P2141" s="17">
        <f>IF($B2141="","",IF($F2141="※类别不在基础资料里","※费用类别不在基础资料里",IF(AND(N($J2141)=0,N($K2141)=0),"※这行没填金额",IF(AND(N($J2141)&gt;0,N($K2141)&gt;0),"※收入和支出不能同一行都填",IF(AND($D2141="收入",N($J2141)=0),"※收入行要填收入金额",IF(AND($D2141="支出",N($K2141)=0),"※支出行要填支出金额",IF(AND($C2141&lt;&gt;"",ISNA(MATCH($C2141,账户表,0))),"※账户不在基础资料里",IF(AND($G2141&lt;&gt;"",ISNA(MATCH($G2141,项目名表,0))),"※项目不在项目台账里",IF(AND(LEFT($F2141,3)="成本-",$G2141=""),"※成本类支出没填项目",IF(AND(LEFT($F2141,3)="成本-",$H2141&lt;&gt;"",N($K2141)&gt;0,COUNTIFS(采购单!$B:$B,$B2141,采购单!$C:$C,$H2141,采购单!$L:$L,$K2141)&gt;0),"※这笔可能和采购单重复了",""))))))))))</f>
        <v/>
      </c>
    </row>
    <row r="2142">
      <c r="A2142" s="17">
        <f>IF($B2142="","",ROW()-3)</f>
        <v/>
      </c>
      <c r="B2142" s="18" t="n"/>
      <c r="C2142" s="13" t="n"/>
      <c r="D2142" s="13" t="n"/>
      <c r="E2142" s="13" t="n"/>
      <c r="F2142" s="17">
        <f>IF($E2142="","",IFERROR(VLOOKUP($E2142,类别归属,2,0),"※类别不在基础资料里"))</f>
        <v/>
      </c>
      <c r="G2142" s="13" t="n"/>
      <c r="H2142" s="13" t="n"/>
      <c r="I2142" s="13" t="n"/>
      <c r="J2142" s="14" t="n"/>
      <c r="K2142" s="14" t="n"/>
      <c r="L2142" s="19">
        <f>IF($C2142="","",ROUND(IFERROR(VLOOKUP($C2142,账户期初,2,0),0)+SUMIFS($J$4:J2142,$C$4:C2142,$C2142)-SUMIFS($K$4:K2142,$C$4:C2142,$C2142),2))</f>
        <v/>
      </c>
      <c r="M2142" s="19">
        <f>IF($C2142="","",ROUND(SUM(基础资料!$B$4:$B$13)+SUM($J$4:J2142)-SUM($K$4:K2142),2))</f>
        <v/>
      </c>
      <c r="N2142" s="13" t="n"/>
      <c r="O2142" s="13" t="n"/>
      <c r="P2142" s="17">
        <f>IF($B2142="","",IF($F2142="※类别不在基础资料里","※费用类别不在基础资料里",IF(AND(N($J2142)=0,N($K2142)=0),"※这行没填金额",IF(AND(N($J2142)&gt;0,N($K2142)&gt;0),"※收入和支出不能同一行都填",IF(AND($D2142="收入",N($J2142)=0),"※收入行要填收入金额",IF(AND($D2142="支出",N($K2142)=0),"※支出行要填支出金额",IF(AND($C2142&lt;&gt;"",ISNA(MATCH($C2142,账户表,0))),"※账户不在基础资料里",IF(AND($G2142&lt;&gt;"",ISNA(MATCH($G2142,项目名表,0))),"※项目不在项目台账里",IF(AND(LEFT($F2142,3)="成本-",$G2142=""),"※成本类支出没填项目",IF(AND(LEFT($F2142,3)="成本-",$H2142&lt;&gt;"",N($K2142)&gt;0,COUNTIFS(采购单!$B:$B,$B2142,采购单!$C:$C,$H2142,采购单!$L:$L,$K2142)&gt;0),"※这笔可能和采购单重复了",""))))))))))</f>
        <v/>
      </c>
    </row>
    <row r="2143">
      <c r="A2143" s="17">
        <f>IF($B2143="","",ROW()-3)</f>
        <v/>
      </c>
      <c r="B2143" s="18" t="n"/>
      <c r="C2143" s="13" t="n"/>
      <c r="D2143" s="13" t="n"/>
      <c r="E2143" s="13" t="n"/>
      <c r="F2143" s="17">
        <f>IF($E2143="","",IFERROR(VLOOKUP($E2143,类别归属,2,0),"※类别不在基础资料里"))</f>
        <v/>
      </c>
      <c r="G2143" s="13" t="n"/>
      <c r="H2143" s="13" t="n"/>
      <c r="I2143" s="13" t="n"/>
      <c r="J2143" s="14" t="n"/>
      <c r="K2143" s="14" t="n"/>
      <c r="L2143" s="19">
        <f>IF($C2143="","",ROUND(IFERROR(VLOOKUP($C2143,账户期初,2,0),0)+SUMIFS($J$4:J2143,$C$4:C2143,$C2143)-SUMIFS($K$4:K2143,$C$4:C2143,$C2143),2))</f>
        <v/>
      </c>
      <c r="M2143" s="19">
        <f>IF($C2143="","",ROUND(SUM(基础资料!$B$4:$B$13)+SUM($J$4:J2143)-SUM($K$4:K2143),2))</f>
        <v/>
      </c>
      <c r="N2143" s="13" t="n"/>
      <c r="O2143" s="13" t="n"/>
      <c r="P2143" s="17">
        <f>IF($B2143="","",IF($F2143="※类别不在基础资料里","※费用类别不在基础资料里",IF(AND(N($J2143)=0,N($K2143)=0),"※这行没填金额",IF(AND(N($J2143)&gt;0,N($K2143)&gt;0),"※收入和支出不能同一行都填",IF(AND($D2143="收入",N($J2143)=0),"※收入行要填收入金额",IF(AND($D2143="支出",N($K2143)=0),"※支出行要填支出金额",IF(AND($C2143&lt;&gt;"",ISNA(MATCH($C2143,账户表,0))),"※账户不在基础资料里",IF(AND($G2143&lt;&gt;"",ISNA(MATCH($G2143,项目名表,0))),"※项目不在项目台账里",IF(AND(LEFT($F2143,3)="成本-",$G2143=""),"※成本类支出没填项目",IF(AND(LEFT($F2143,3)="成本-",$H2143&lt;&gt;"",N($K2143)&gt;0,COUNTIFS(采购单!$B:$B,$B2143,采购单!$C:$C,$H2143,采购单!$L:$L,$K2143)&gt;0),"※这笔可能和采购单重复了",""))))))))))</f>
        <v/>
      </c>
    </row>
    <row r="2144">
      <c r="A2144" s="17">
        <f>IF($B2144="","",ROW()-3)</f>
        <v/>
      </c>
      <c r="B2144" s="18" t="n"/>
      <c r="C2144" s="13" t="n"/>
      <c r="D2144" s="13" t="n"/>
      <c r="E2144" s="13" t="n"/>
      <c r="F2144" s="17">
        <f>IF($E2144="","",IFERROR(VLOOKUP($E2144,类别归属,2,0),"※类别不在基础资料里"))</f>
        <v/>
      </c>
      <c r="G2144" s="13" t="n"/>
      <c r="H2144" s="13" t="n"/>
      <c r="I2144" s="13" t="n"/>
      <c r="J2144" s="14" t="n"/>
      <c r="K2144" s="14" t="n"/>
      <c r="L2144" s="19">
        <f>IF($C2144="","",ROUND(IFERROR(VLOOKUP($C2144,账户期初,2,0),0)+SUMIFS($J$4:J2144,$C$4:C2144,$C2144)-SUMIFS($K$4:K2144,$C$4:C2144,$C2144),2))</f>
        <v/>
      </c>
      <c r="M2144" s="19">
        <f>IF($C2144="","",ROUND(SUM(基础资料!$B$4:$B$13)+SUM($J$4:J2144)-SUM($K$4:K2144),2))</f>
        <v/>
      </c>
      <c r="N2144" s="13" t="n"/>
      <c r="O2144" s="13" t="n"/>
      <c r="P2144" s="17">
        <f>IF($B2144="","",IF($F2144="※类别不在基础资料里","※费用类别不在基础资料里",IF(AND(N($J2144)=0,N($K2144)=0),"※这行没填金额",IF(AND(N($J2144)&gt;0,N($K2144)&gt;0),"※收入和支出不能同一行都填",IF(AND($D2144="收入",N($J2144)=0),"※收入行要填收入金额",IF(AND($D2144="支出",N($K2144)=0),"※支出行要填支出金额",IF(AND($C2144&lt;&gt;"",ISNA(MATCH($C2144,账户表,0))),"※账户不在基础资料里",IF(AND($G2144&lt;&gt;"",ISNA(MATCH($G2144,项目名表,0))),"※项目不在项目台账里",IF(AND(LEFT($F2144,3)="成本-",$G2144=""),"※成本类支出没填项目",IF(AND(LEFT($F2144,3)="成本-",$H2144&lt;&gt;"",N($K2144)&gt;0,COUNTIFS(采购单!$B:$B,$B2144,采购单!$C:$C,$H2144,采购单!$L:$L,$K2144)&gt;0),"※这笔可能和采购单重复了",""))))))))))</f>
        <v/>
      </c>
    </row>
    <row r="2145">
      <c r="A2145" s="17">
        <f>IF($B2145="","",ROW()-3)</f>
        <v/>
      </c>
      <c r="B2145" s="18" t="n"/>
      <c r="C2145" s="13" t="n"/>
      <c r="D2145" s="13" t="n"/>
      <c r="E2145" s="13" t="n"/>
      <c r="F2145" s="17">
        <f>IF($E2145="","",IFERROR(VLOOKUP($E2145,类别归属,2,0),"※类别不在基础资料里"))</f>
        <v/>
      </c>
      <c r="G2145" s="13" t="n"/>
      <c r="H2145" s="13" t="n"/>
      <c r="I2145" s="13" t="n"/>
      <c r="J2145" s="14" t="n"/>
      <c r="K2145" s="14" t="n"/>
      <c r="L2145" s="19">
        <f>IF($C2145="","",ROUND(IFERROR(VLOOKUP($C2145,账户期初,2,0),0)+SUMIFS($J$4:J2145,$C$4:C2145,$C2145)-SUMIFS($K$4:K2145,$C$4:C2145,$C2145),2))</f>
        <v/>
      </c>
      <c r="M2145" s="19">
        <f>IF($C2145="","",ROUND(SUM(基础资料!$B$4:$B$13)+SUM($J$4:J2145)-SUM($K$4:K2145),2))</f>
        <v/>
      </c>
      <c r="N2145" s="13" t="n"/>
      <c r="O2145" s="13" t="n"/>
      <c r="P2145" s="17">
        <f>IF($B2145="","",IF($F2145="※类别不在基础资料里","※费用类别不在基础资料里",IF(AND(N($J2145)=0,N($K2145)=0),"※这行没填金额",IF(AND(N($J2145)&gt;0,N($K2145)&gt;0),"※收入和支出不能同一行都填",IF(AND($D2145="收入",N($J2145)=0),"※收入行要填收入金额",IF(AND($D2145="支出",N($K2145)=0),"※支出行要填支出金额",IF(AND($C2145&lt;&gt;"",ISNA(MATCH($C2145,账户表,0))),"※账户不在基础资料里",IF(AND($G2145&lt;&gt;"",ISNA(MATCH($G2145,项目名表,0))),"※项目不在项目台账里",IF(AND(LEFT($F2145,3)="成本-",$G2145=""),"※成本类支出没填项目",IF(AND(LEFT($F2145,3)="成本-",$H2145&lt;&gt;"",N($K2145)&gt;0,COUNTIFS(采购单!$B:$B,$B2145,采购单!$C:$C,$H2145,采购单!$L:$L,$K2145)&gt;0),"※这笔可能和采购单重复了",""))))))))))</f>
        <v/>
      </c>
    </row>
    <row r="2146">
      <c r="A2146" s="17">
        <f>IF($B2146="","",ROW()-3)</f>
        <v/>
      </c>
      <c r="B2146" s="18" t="n"/>
      <c r="C2146" s="13" t="n"/>
      <c r="D2146" s="13" t="n"/>
      <c r="E2146" s="13" t="n"/>
      <c r="F2146" s="17">
        <f>IF($E2146="","",IFERROR(VLOOKUP($E2146,类别归属,2,0),"※类别不在基础资料里"))</f>
        <v/>
      </c>
      <c r="G2146" s="13" t="n"/>
      <c r="H2146" s="13" t="n"/>
      <c r="I2146" s="13" t="n"/>
      <c r="J2146" s="14" t="n"/>
      <c r="K2146" s="14" t="n"/>
      <c r="L2146" s="19">
        <f>IF($C2146="","",ROUND(IFERROR(VLOOKUP($C2146,账户期初,2,0),0)+SUMIFS($J$4:J2146,$C$4:C2146,$C2146)-SUMIFS($K$4:K2146,$C$4:C2146,$C2146),2))</f>
        <v/>
      </c>
      <c r="M2146" s="19">
        <f>IF($C2146="","",ROUND(SUM(基础资料!$B$4:$B$13)+SUM($J$4:J2146)-SUM($K$4:K2146),2))</f>
        <v/>
      </c>
      <c r="N2146" s="13" t="n"/>
      <c r="O2146" s="13" t="n"/>
      <c r="P2146" s="17">
        <f>IF($B2146="","",IF($F2146="※类别不在基础资料里","※费用类别不在基础资料里",IF(AND(N($J2146)=0,N($K2146)=0),"※这行没填金额",IF(AND(N($J2146)&gt;0,N($K2146)&gt;0),"※收入和支出不能同一行都填",IF(AND($D2146="收入",N($J2146)=0),"※收入行要填收入金额",IF(AND($D2146="支出",N($K2146)=0),"※支出行要填支出金额",IF(AND($C2146&lt;&gt;"",ISNA(MATCH($C2146,账户表,0))),"※账户不在基础资料里",IF(AND($G2146&lt;&gt;"",ISNA(MATCH($G2146,项目名表,0))),"※项目不在项目台账里",IF(AND(LEFT($F2146,3)="成本-",$G2146=""),"※成本类支出没填项目",IF(AND(LEFT($F2146,3)="成本-",$H2146&lt;&gt;"",N($K2146)&gt;0,COUNTIFS(采购单!$B:$B,$B2146,采购单!$C:$C,$H2146,采购单!$L:$L,$K2146)&gt;0),"※这笔可能和采购单重复了",""))))))))))</f>
        <v/>
      </c>
    </row>
    <row r="2147">
      <c r="A2147" s="17">
        <f>IF($B2147="","",ROW()-3)</f>
        <v/>
      </c>
      <c r="B2147" s="18" t="n"/>
      <c r="C2147" s="13" t="n"/>
      <c r="D2147" s="13" t="n"/>
      <c r="E2147" s="13" t="n"/>
      <c r="F2147" s="17">
        <f>IF($E2147="","",IFERROR(VLOOKUP($E2147,类别归属,2,0),"※类别不在基础资料里"))</f>
        <v/>
      </c>
      <c r="G2147" s="13" t="n"/>
      <c r="H2147" s="13" t="n"/>
      <c r="I2147" s="13" t="n"/>
      <c r="J2147" s="14" t="n"/>
      <c r="K2147" s="14" t="n"/>
      <c r="L2147" s="19">
        <f>IF($C2147="","",ROUND(IFERROR(VLOOKUP($C2147,账户期初,2,0),0)+SUMIFS($J$4:J2147,$C$4:C2147,$C2147)-SUMIFS($K$4:K2147,$C$4:C2147,$C2147),2))</f>
        <v/>
      </c>
      <c r="M2147" s="19">
        <f>IF($C2147="","",ROUND(SUM(基础资料!$B$4:$B$13)+SUM($J$4:J2147)-SUM($K$4:K2147),2))</f>
        <v/>
      </c>
      <c r="N2147" s="13" t="n"/>
      <c r="O2147" s="13" t="n"/>
      <c r="P2147" s="17">
        <f>IF($B2147="","",IF($F2147="※类别不在基础资料里","※费用类别不在基础资料里",IF(AND(N($J2147)=0,N($K2147)=0),"※这行没填金额",IF(AND(N($J2147)&gt;0,N($K2147)&gt;0),"※收入和支出不能同一行都填",IF(AND($D2147="收入",N($J2147)=0),"※收入行要填收入金额",IF(AND($D2147="支出",N($K2147)=0),"※支出行要填支出金额",IF(AND($C2147&lt;&gt;"",ISNA(MATCH($C2147,账户表,0))),"※账户不在基础资料里",IF(AND($G2147&lt;&gt;"",ISNA(MATCH($G2147,项目名表,0))),"※项目不在项目台账里",IF(AND(LEFT($F2147,3)="成本-",$G2147=""),"※成本类支出没填项目",IF(AND(LEFT($F2147,3)="成本-",$H2147&lt;&gt;"",N($K2147)&gt;0,COUNTIFS(采购单!$B:$B,$B2147,采购单!$C:$C,$H2147,采购单!$L:$L,$K2147)&gt;0),"※这笔可能和采购单重复了",""))))))))))</f>
        <v/>
      </c>
    </row>
    <row r="2148">
      <c r="A2148" s="17">
        <f>IF($B2148="","",ROW()-3)</f>
        <v/>
      </c>
      <c r="B2148" s="18" t="n"/>
      <c r="C2148" s="13" t="n"/>
      <c r="D2148" s="13" t="n"/>
      <c r="E2148" s="13" t="n"/>
      <c r="F2148" s="17">
        <f>IF($E2148="","",IFERROR(VLOOKUP($E2148,类别归属,2,0),"※类别不在基础资料里"))</f>
        <v/>
      </c>
      <c r="G2148" s="13" t="n"/>
      <c r="H2148" s="13" t="n"/>
      <c r="I2148" s="13" t="n"/>
      <c r="J2148" s="14" t="n"/>
      <c r="K2148" s="14" t="n"/>
      <c r="L2148" s="19">
        <f>IF($C2148="","",ROUND(IFERROR(VLOOKUP($C2148,账户期初,2,0),0)+SUMIFS($J$4:J2148,$C$4:C2148,$C2148)-SUMIFS($K$4:K2148,$C$4:C2148,$C2148),2))</f>
        <v/>
      </c>
      <c r="M2148" s="19">
        <f>IF($C2148="","",ROUND(SUM(基础资料!$B$4:$B$13)+SUM($J$4:J2148)-SUM($K$4:K2148),2))</f>
        <v/>
      </c>
      <c r="N2148" s="13" t="n"/>
      <c r="O2148" s="13" t="n"/>
      <c r="P2148" s="17">
        <f>IF($B2148="","",IF($F2148="※类别不在基础资料里","※费用类别不在基础资料里",IF(AND(N($J2148)=0,N($K2148)=0),"※这行没填金额",IF(AND(N($J2148)&gt;0,N($K2148)&gt;0),"※收入和支出不能同一行都填",IF(AND($D2148="收入",N($J2148)=0),"※收入行要填收入金额",IF(AND($D2148="支出",N($K2148)=0),"※支出行要填支出金额",IF(AND($C2148&lt;&gt;"",ISNA(MATCH($C2148,账户表,0))),"※账户不在基础资料里",IF(AND($G2148&lt;&gt;"",ISNA(MATCH($G2148,项目名表,0))),"※项目不在项目台账里",IF(AND(LEFT($F2148,3)="成本-",$G2148=""),"※成本类支出没填项目",IF(AND(LEFT($F2148,3)="成本-",$H2148&lt;&gt;"",N($K2148)&gt;0,COUNTIFS(采购单!$B:$B,$B2148,采购单!$C:$C,$H2148,采购单!$L:$L,$K2148)&gt;0),"※这笔可能和采购单重复了",""))))))))))</f>
        <v/>
      </c>
    </row>
    <row r="2149">
      <c r="A2149" s="17">
        <f>IF($B2149="","",ROW()-3)</f>
        <v/>
      </c>
      <c r="B2149" s="18" t="n"/>
      <c r="C2149" s="13" t="n"/>
      <c r="D2149" s="13" t="n"/>
      <c r="E2149" s="13" t="n"/>
      <c r="F2149" s="17">
        <f>IF($E2149="","",IFERROR(VLOOKUP($E2149,类别归属,2,0),"※类别不在基础资料里"))</f>
        <v/>
      </c>
      <c r="G2149" s="13" t="n"/>
      <c r="H2149" s="13" t="n"/>
      <c r="I2149" s="13" t="n"/>
      <c r="J2149" s="14" t="n"/>
      <c r="K2149" s="14" t="n"/>
      <c r="L2149" s="19">
        <f>IF($C2149="","",ROUND(IFERROR(VLOOKUP($C2149,账户期初,2,0),0)+SUMIFS($J$4:J2149,$C$4:C2149,$C2149)-SUMIFS($K$4:K2149,$C$4:C2149,$C2149),2))</f>
        <v/>
      </c>
      <c r="M2149" s="19">
        <f>IF($C2149="","",ROUND(SUM(基础资料!$B$4:$B$13)+SUM($J$4:J2149)-SUM($K$4:K2149),2))</f>
        <v/>
      </c>
      <c r="N2149" s="13" t="n"/>
      <c r="O2149" s="13" t="n"/>
      <c r="P2149" s="17">
        <f>IF($B2149="","",IF($F2149="※类别不在基础资料里","※费用类别不在基础资料里",IF(AND(N($J2149)=0,N($K2149)=0),"※这行没填金额",IF(AND(N($J2149)&gt;0,N($K2149)&gt;0),"※收入和支出不能同一行都填",IF(AND($D2149="收入",N($J2149)=0),"※收入行要填收入金额",IF(AND($D2149="支出",N($K2149)=0),"※支出行要填支出金额",IF(AND($C2149&lt;&gt;"",ISNA(MATCH($C2149,账户表,0))),"※账户不在基础资料里",IF(AND($G2149&lt;&gt;"",ISNA(MATCH($G2149,项目名表,0))),"※项目不在项目台账里",IF(AND(LEFT($F2149,3)="成本-",$G2149=""),"※成本类支出没填项目",IF(AND(LEFT($F2149,3)="成本-",$H2149&lt;&gt;"",N($K2149)&gt;0,COUNTIFS(采购单!$B:$B,$B2149,采购单!$C:$C,$H2149,采购单!$L:$L,$K2149)&gt;0),"※这笔可能和采购单重复了",""))))))))))</f>
        <v/>
      </c>
    </row>
    <row r="2150">
      <c r="A2150" s="17">
        <f>IF($B2150="","",ROW()-3)</f>
        <v/>
      </c>
      <c r="B2150" s="18" t="n"/>
      <c r="C2150" s="13" t="n"/>
      <c r="D2150" s="13" t="n"/>
      <c r="E2150" s="13" t="n"/>
      <c r="F2150" s="17">
        <f>IF($E2150="","",IFERROR(VLOOKUP($E2150,类别归属,2,0),"※类别不在基础资料里"))</f>
        <v/>
      </c>
      <c r="G2150" s="13" t="n"/>
      <c r="H2150" s="13" t="n"/>
      <c r="I2150" s="13" t="n"/>
      <c r="J2150" s="14" t="n"/>
      <c r="K2150" s="14" t="n"/>
      <c r="L2150" s="19">
        <f>IF($C2150="","",ROUND(IFERROR(VLOOKUP($C2150,账户期初,2,0),0)+SUMIFS($J$4:J2150,$C$4:C2150,$C2150)-SUMIFS($K$4:K2150,$C$4:C2150,$C2150),2))</f>
        <v/>
      </c>
      <c r="M2150" s="19">
        <f>IF($C2150="","",ROUND(SUM(基础资料!$B$4:$B$13)+SUM($J$4:J2150)-SUM($K$4:K2150),2))</f>
        <v/>
      </c>
      <c r="N2150" s="13" t="n"/>
      <c r="O2150" s="13" t="n"/>
      <c r="P2150" s="17">
        <f>IF($B2150="","",IF($F2150="※类别不在基础资料里","※费用类别不在基础资料里",IF(AND(N($J2150)=0,N($K2150)=0),"※这行没填金额",IF(AND(N($J2150)&gt;0,N($K2150)&gt;0),"※收入和支出不能同一行都填",IF(AND($D2150="收入",N($J2150)=0),"※收入行要填收入金额",IF(AND($D2150="支出",N($K2150)=0),"※支出行要填支出金额",IF(AND($C2150&lt;&gt;"",ISNA(MATCH($C2150,账户表,0))),"※账户不在基础资料里",IF(AND($G2150&lt;&gt;"",ISNA(MATCH($G2150,项目名表,0))),"※项目不在项目台账里",IF(AND(LEFT($F2150,3)="成本-",$G2150=""),"※成本类支出没填项目",IF(AND(LEFT($F2150,3)="成本-",$H2150&lt;&gt;"",N($K2150)&gt;0,COUNTIFS(采购单!$B:$B,$B2150,采购单!$C:$C,$H2150,采购单!$L:$L,$K2150)&gt;0),"※这笔可能和采购单重复了",""))))))))))</f>
        <v/>
      </c>
    </row>
    <row r="2151">
      <c r="A2151" s="17">
        <f>IF($B2151="","",ROW()-3)</f>
        <v/>
      </c>
      <c r="B2151" s="18" t="n"/>
      <c r="C2151" s="13" t="n"/>
      <c r="D2151" s="13" t="n"/>
      <c r="E2151" s="13" t="n"/>
      <c r="F2151" s="17">
        <f>IF($E2151="","",IFERROR(VLOOKUP($E2151,类别归属,2,0),"※类别不在基础资料里"))</f>
        <v/>
      </c>
      <c r="G2151" s="13" t="n"/>
      <c r="H2151" s="13" t="n"/>
      <c r="I2151" s="13" t="n"/>
      <c r="J2151" s="14" t="n"/>
      <c r="K2151" s="14" t="n"/>
      <c r="L2151" s="19">
        <f>IF($C2151="","",ROUND(IFERROR(VLOOKUP($C2151,账户期初,2,0),0)+SUMIFS($J$4:J2151,$C$4:C2151,$C2151)-SUMIFS($K$4:K2151,$C$4:C2151,$C2151),2))</f>
        <v/>
      </c>
      <c r="M2151" s="19">
        <f>IF($C2151="","",ROUND(SUM(基础资料!$B$4:$B$13)+SUM($J$4:J2151)-SUM($K$4:K2151),2))</f>
        <v/>
      </c>
      <c r="N2151" s="13" t="n"/>
      <c r="O2151" s="13" t="n"/>
      <c r="P2151" s="17">
        <f>IF($B2151="","",IF($F2151="※类别不在基础资料里","※费用类别不在基础资料里",IF(AND(N($J2151)=0,N($K2151)=0),"※这行没填金额",IF(AND(N($J2151)&gt;0,N($K2151)&gt;0),"※收入和支出不能同一行都填",IF(AND($D2151="收入",N($J2151)=0),"※收入行要填收入金额",IF(AND($D2151="支出",N($K2151)=0),"※支出行要填支出金额",IF(AND($C2151&lt;&gt;"",ISNA(MATCH($C2151,账户表,0))),"※账户不在基础资料里",IF(AND($G2151&lt;&gt;"",ISNA(MATCH($G2151,项目名表,0))),"※项目不在项目台账里",IF(AND(LEFT($F2151,3)="成本-",$G2151=""),"※成本类支出没填项目",IF(AND(LEFT($F2151,3)="成本-",$H2151&lt;&gt;"",N($K2151)&gt;0,COUNTIFS(采购单!$B:$B,$B2151,采购单!$C:$C,$H2151,采购单!$L:$L,$K2151)&gt;0),"※这笔可能和采购单重复了",""))))))))))</f>
        <v/>
      </c>
    </row>
    <row r="2152">
      <c r="A2152" s="17">
        <f>IF($B2152="","",ROW()-3)</f>
        <v/>
      </c>
      <c r="B2152" s="18" t="n"/>
      <c r="C2152" s="13" t="n"/>
      <c r="D2152" s="13" t="n"/>
      <c r="E2152" s="13" t="n"/>
      <c r="F2152" s="17">
        <f>IF($E2152="","",IFERROR(VLOOKUP($E2152,类别归属,2,0),"※类别不在基础资料里"))</f>
        <v/>
      </c>
      <c r="G2152" s="13" t="n"/>
      <c r="H2152" s="13" t="n"/>
      <c r="I2152" s="13" t="n"/>
      <c r="J2152" s="14" t="n"/>
      <c r="K2152" s="14" t="n"/>
      <c r="L2152" s="19">
        <f>IF($C2152="","",ROUND(IFERROR(VLOOKUP($C2152,账户期初,2,0),0)+SUMIFS($J$4:J2152,$C$4:C2152,$C2152)-SUMIFS($K$4:K2152,$C$4:C2152,$C2152),2))</f>
        <v/>
      </c>
      <c r="M2152" s="19">
        <f>IF($C2152="","",ROUND(SUM(基础资料!$B$4:$B$13)+SUM($J$4:J2152)-SUM($K$4:K2152),2))</f>
        <v/>
      </c>
      <c r="N2152" s="13" t="n"/>
      <c r="O2152" s="13" t="n"/>
      <c r="P2152" s="17">
        <f>IF($B2152="","",IF($F2152="※类别不在基础资料里","※费用类别不在基础资料里",IF(AND(N($J2152)=0,N($K2152)=0),"※这行没填金额",IF(AND(N($J2152)&gt;0,N($K2152)&gt;0),"※收入和支出不能同一行都填",IF(AND($D2152="收入",N($J2152)=0),"※收入行要填收入金额",IF(AND($D2152="支出",N($K2152)=0),"※支出行要填支出金额",IF(AND($C2152&lt;&gt;"",ISNA(MATCH($C2152,账户表,0))),"※账户不在基础资料里",IF(AND($G2152&lt;&gt;"",ISNA(MATCH($G2152,项目名表,0))),"※项目不在项目台账里",IF(AND(LEFT($F2152,3)="成本-",$G2152=""),"※成本类支出没填项目",IF(AND(LEFT($F2152,3)="成本-",$H2152&lt;&gt;"",N($K2152)&gt;0,COUNTIFS(采购单!$B:$B,$B2152,采购单!$C:$C,$H2152,采购单!$L:$L,$K2152)&gt;0),"※这笔可能和采购单重复了",""))))))))))</f>
        <v/>
      </c>
    </row>
    <row r="2153">
      <c r="A2153" s="17">
        <f>IF($B2153="","",ROW()-3)</f>
        <v/>
      </c>
      <c r="B2153" s="18" t="n"/>
      <c r="C2153" s="13" t="n"/>
      <c r="D2153" s="13" t="n"/>
      <c r="E2153" s="13" t="n"/>
      <c r="F2153" s="17">
        <f>IF($E2153="","",IFERROR(VLOOKUP($E2153,类别归属,2,0),"※类别不在基础资料里"))</f>
        <v/>
      </c>
      <c r="G2153" s="13" t="n"/>
      <c r="H2153" s="13" t="n"/>
      <c r="I2153" s="13" t="n"/>
      <c r="J2153" s="14" t="n"/>
      <c r="K2153" s="14" t="n"/>
      <c r="L2153" s="19">
        <f>IF($C2153="","",ROUND(IFERROR(VLOOKUP($C2153,账户期初,2,0),0)+SUMIFS($J$4:J2153,$C$4:C2153,$C2153)-SUMIFS($K$4:K2153,$C$4:C2153,$C2153),2))</f>
        <v/>
      </c>
      <c r="M2153" s="19">
        <f>IF($C2153="","",ROUND(SUM(基础资料!$B$4:$B$13)+SUM($J$4:J2153)-SUM($K$4:K2153),2))</f>
        <v/>
      </c>
      <c r="N2153" s="13" t="n"/>
      <c r="O2153" s="13" t="n"/>
      <c r="P2153" s="17">
        <f>IF($B2153="","",IF($F2153="※类别不在基础资料里","※费用类别不在基础资料里",IF(AND(N($J2153)=0,N($K2153)=0),"※这行没填金额",IF(AND(N($J2153)&gt;0,N($K2153)&gt;0),"※收入和支出不能同一行都填",IF(AND($D2153="收入",N($J2153)=0),"※收入行要填收入金额",IF(AND($D2153="支出",N($K2153)=0),"※支出行要填支出金额",IF(AND($C2153&lt;&gt;"",ISNA(MATCH($C2153,账户表,0))),"※账户不在基础资料里",IF(AND($G2153&lt;&gt;"",ISNA(MATCH($G2153,项目名表,0))),"※项目不在项目台账里",IF(AND(LEFT($F2153,3)="成本-",$G2153=""),"※成本类支出没填项目",IF(AND(LEFT($F2153,3)="成本-",$H2153&lt;&gt;"",N($K2153)&gt;0,COUNTIFS(采购单!$B:$B,$B2153,采购单!$C:$C,$H2153,采购单!$L:$L,$K2153)&gt;0),"※这笔可能和采购单重复了",""))))))))))</f>
        <v/>
      </c>
    </row>
    <row r="2154">
      <c r="A2154" s="17">
        <f>IF($B2154="","",ROW()-3)</f>
        <v/>
      </c>
      <c r="B2154" s="18" t="n"/>
      <c r="C2154" s="13" t="n"/>
      <c r="D2154" s="13" t="n"/>
      <c r="E2154" s="13" t="n"/>
      <c r="F2154" s="17">
        <f>IF($E2154="","",IFERROR(VLOOKUP($E2154,类别归属,2,0),"※类别不在基础资料里"))</f>
        <v/>
      </c>
      <c r="G2154" s="13" t="n"/>
      <c r="H2154" s="13" t="n"/>
      <c r="I2154" s="13" t="n"/>
      <c r="J2154" s="14" t="n"/>
      <c r="K2154" s="14" t="n"/>
      <c r="L2154" s="19">
        <f>IF($C2154="","",ROUND(IFERROR(VLOOKUP($C2154,账户期初,2,0),0)+SUMIFS($J$4:J2154,$C$4:C2154,$C2154)-SUMIFS($K$4:K2154,$C$4:C2154,$C2154),2))</f>
        <v/>
      </c>
      <c r="M2154" s="19">
        <f>IF($C2154="","",ROUND(SUM(基础资料!$B$4:$B$13)+SUM($J$4:J2154)-SUM($K$4:K2154),2))</f>
        <v/>
      </c>
      <c r="N2154" s="13" t="n"/>
      <c r="O2154" s="13" t="n"/>
      <c r="P2154" s="17">
        <f>IF($B2154="","",IF($F2154="※类别不在基础资料里","※费用类别不在基础资料里",IF(AND(N($J2154)=0,N($K2154)=0),"※这行没填金额",IF(AND(N($J2154)&gt;0,N($K2154)&gt;0),"※收入和支出不能同一行都填",IF(AND($D2154="收入",N($J2154)=0),"※收入行要填收入金额",IF(AND($D2154="支出",N($K2154)=0),"※支出行要填支出金额",IF(AND($C2154&lt;&gt;"",ISNA(MATCH($C2154,账户表,0))),"※账户不在基础资料里",IF(AND($G2154&lt;&gt;"",ISNA(MATCH($G2154,项目名表,0))),"※项目不在项目台账里",IF(AND(LEFT($F2154,3)="成本-",$G2154=""),"※成本类支出没填项目",IF(AND(LEFT($F2154,3)="成本-",$H2154&lt;&gt;"",N($K2154)&gt;0,COUNTIFS(采购单!$B:$B,$B2154,采购单!$C:$C,$H2154,采购单!$L:$L,$K2154)&gt;0),"※这笔可能和采购单重复了",""))))))))))</f>
        <v/>
      </c>
    </row>
    <row r="2155">
      <c r="A2155" s="17">
        <f>IF($B2155="","",ROW()-3)</f>
        <v/>
      </c>
      <c r="B2155" s="18" t="n"/>
      <c r="C2155" s="13" t="n"/>
      <c r="D2155" s="13" t="n"/>
      <c r="E2155" s="13" t="n"/>
      <c r="F2155" s="17">
        <f>IF($E2155="","",IFERROR(VLOOKUP($E2155,类别归属,2,0),"※类别不在基础资料里"))</f>
        <v/>
      </c>
      <c r="G2155" s="13" t="n"/>
      <c r="H2155" s="13" t="n"/>
      <c r="I2155" s="13" t="n"/>
      <c r="J2155" s="14" t="n"/>
      <c r="K2155" s="14" t="n"/>
      <c r="L2155" s="19">
        <f>IF($C2155="","",ROUND(IFERROR(VLOOKUP($C2155,账户期初,2,0),0)+SUMIFS($J$4:J2155,$C$4:C2155,$C2155)-SUMIFS($K$4:K2155,$C$4:C2155,$C2155),2))</f>
        <v/>
      </c>
      <c r="M2155" s="19">
        <f>IF($C2155="","",ROUND(SUM(基础资料!$B$4:$B$13)+SUM($J$4:J2155)-SUM($K$4:K2155),2))</f>
        <v/>
      </c>
      <c r="N2155" s="13" t="n"/>
      <c r="O2155" s="13" t="n"/>
      <c r="P2155" s="17">
        <f>IF($B2155="","",IF($F2155="※类别不在基础资料里","※费用类别不在基础资料里",IF(AND(N($J2155)=0,N($K2155)=0),"※这行没填金额",IF(AND(N($J2155)&gt;0,N($K2155)&gt;0),"※收入和支出不能同一行都填",IF(AND($D2155="收入",N($J2155)=0),"※收入行要填收入金额",IF(AND($D2155="支出",N($K2155)=0),"※支出行要填支出金额",IF(AND($C2155&lt;&gt;"",ISNA(MATCH($C2155,账户表,0))),"※账户不在基础资料里",IF(AND($G2155&lt;&gt;"",ISNA(MATCH($G2155,项目名表,0))),"※项目不在项目台账里",IF(AND(LEFT($F2155,3)="成本-",$G2155=""),"※成本类支出没填项目",IF(AND(LEFT($F2155,3)="成本-",$H2155&lt;&gt;"",N($K2155)&gt;0,COUNTIFS(采购单!$B:$B,$B2155,采购单!$C:$C,$H2155,采购单!$L:$L,$K2155)&gt;0),"※这笔可能和采购单重复了",""))))))))))</f>
        <v/>
      </c>
    </row>
    <row r="2156">
      <c r="A2156" s="17">
        <f>IF($B2156="","",ROW()-3)</f>
        <v/>
      </c>
      <c r="B2156" s="18" t="n"/>
      <c r="C2156" s="13" t="n"/>
      <c r="D2156" s="13" t="n"/>
      <c r="E2156" s="13" t="n"/>
      <c r="F2156" s="17">
        <f>IF($E2156="","",IFERROR(VLOOKUP($E2156,类别归属,2,0),"※类别不在基础资料里"))</f>
        <v/>
      </c>
      <c r="G2156" s="13" t="n"/>
      <c r="H2156" s="13" t="n"/>
      <c r="I2156" s="13" t="n"/>
      <c r="J2156" s="14" t="n"/>
      <c r="K2156" s="14" t="n"/>
      <c r="L2156" s="19">
        <f>IF($C2156="","",ROUND(IFERROR(VLOOKUP($C2156,账户期初,2,0),0)+SUMIFS($J$4:J2156,$C$4:C2156,$C2156)-SUMIFS($K$4:K2156,$C$4:C2156,$C2156),2))</f>
        <v/>
      </c>
      <c r="M2156" s="19">
        <f>IF($C2156="","",ROUND(SUM(基础资料!$B$4:$B$13)+SUM($J$4:J2156)-SUM($K$4:K2156),2))</f>
        <v/>
      </c>
      <c r="N2156" s="13" t="n"/>
      <c r="O2156" s="13" t="n"/>
      <c r="P2156" s="17">
        <f>IF($B2156="","",IF($F2156="※类别不在基础资料里","※费用类别不在基础资料里",IF(AND(N($J2156)=0,N($K2156)=0),"※这行没填金额",IF(AND(N($J2156)&gt;0,N($K2156)&gt;0),"※收入和支出不能同一行都填",IF(AND($D2156="收入",N($J2156)=0),"※收入行要填收入金额",IF(AND($D2156="支出",N($K2156)=0),"※支出行要填支出金额",IF(AND($C2156&lt;&gt;"",ISNA(MATCH($C2156,账户表,0))),"※账户不在基础资料里",IF(AND($G2156&lt;&gt;"",ISNA(MATCH($G2156,项目名表,0))),"※项目不在项目台账里",IF(AND(LEFT($F2156,3)="成本-",$G2156=""),"※成本类支出没填项目",IF(AND(LEFT($F2156,3)="成本-",$H2156&lt;&gt;"",N($K2156)&gt;0,COUNTIFS(采购单!$B:$B,$B2156,采购单!$C:$C,$H2156,采购单!$L:$L,$K2156)&gt;0),"※这笔可能和采购单重复了",""))))))))))</f>
        <v/>
      </c>
    </row>
    <row r="2157">
      <c r="A2157" s="17">
        <f>IF($B2157="","",ROW()-3)</f>
        <v/>
      </c>
      <c r="B2157" s="18" t="n"/>
      <c r="C2157" s="13" t="n"/>
      <c r="D2157" s="13" t="n"/>
      <c r="E2157" s="13" t="n"/>
      <c r="F2157" s="17">
        <f>IF($E2157="","",IFERROR(VLOOKUP($E2157,类别归属,2,0),"※类别不在基础资料里"))</f>
        <v/>
      </c>
      <c r="G2157" s="13" t="n"/>
      <c r="H2157" s="13" t="n"/>
      <c r="I2157" s="13" t="n"/>
      <c r="J2157" s="14" t="n"/>
      <c r="K2157" s="14" t="n"/>
      <c r="L2157" s="19">
        <f>IF($C2157="","",ROUND(IFERROR(VLOOKUP($C2157,账户期初,2,0),0)+SUMIFS($J$4:J2157,$C$4:C2157,$C2157)-SUMIFS($K$4:K2157,$C$4:C2157,$C2157),2))</f>
        <v/>
      </c>
      <c r="M2157" s="19">
        <f>IF($C2157="","",ROUND(SUM(基础资料!$B$4:$B$13)+SUM($J$4:J2157)-SUM($K$4:K2157),2))</f>
        <v/>
      </c>
      <c r="N2157" s="13" t="n"/>
      <c r="O2157" s="13" t="n"/>
      <c r="P2157" s="17">
        <f>IF($B2157="","",IF($F2157="※类别不在基础资料里","※费用类别不在基础资料里",IF(AND(N($J2157)=0,N($K2157)=0),"※这行没填金额",IF(AND(N($J2157)&gt;0,N($K2157)&gt;0),"※收入和支出不能同一行都填",IF(AND($D2157="收入",N($J2157)=0),"※收入行要填收入金额",IF(AND($D2157="支出",N($K2157)=0),"※支出行要填支出金额",IF(AND($C2157&lt;&gt;"",ISNA(MATCH($C2157,账户表,0))),"※账户不在基础资料里",IF(AND($G2157&lt;&gt;"",ISNA(MATCH($G2157,项目名表,0))),"※项目不在项目台账里",IF(AND(LEFT($F2157,3)="成本-",$G2157=""),"※成本类支出没填项目",IF(AND(LEFT($F2157,3)="成本-",$H2157&lt;&gt;"",N($K2157)&gt;0,COUNTIFS(采购单!$B:$B,$B2157,采购单!$C:$C,$H2157,采购单!$L:$L,$K2157)&gt;0),"※这笔可能和采购单重复了",""))))))))))</f>
        <v/>
      </c>
    </row>
    <row r="2158">
      <c r="A2158" s="17">
        <f>IF($B2158="","",ROW()-3)</f>
        <v/>
      </c>
      <c r="B2158" s="18" t="n"/>
      <c r="C2158" s="13" t="n"/>
      <c r="D2158" s="13" t="n"/>
      <c r="E2158" s="13" t="n"/>
      <c r="F2158" s="17">
        <f>IF($E2158="","",IFERROR(VLOOKUP($E2158,类别归属,2,0),"※类别不在基础资料里"))</f>
        <v/>
      </c>
      <c r="G2158" s="13" t="n"/>
      <c r="H2158" s="13" t="n"/>
      <c r="I2158" s="13" t="n"/>
      <c r="J2158" s="14" t="n"/>
      <c r="K2158" s="14" t="n"/>
      <c r="L2158" s="19">
        <f>IF($C2158="","",ROUND(IFERROR(VLOOKUP($C2158,账户期初,2,0),0)+SUMIFS($J$4:J2158,$C$4:C2158,$C2158)-SUMIFS($K$4:K2158,$C$4:C2158,$C2158),2))</f>
        <v/>
      </c>
      <c r="M2158" s="19">
        <f>IF($C2158="","",ROUND(SUM(基础资料!$B$4:$B$13)+SUM($J$4:J2158)-SUM($K$4:K2158),2))</f>
        <v/>
      </c>
      <c r="N2158" s="13" t="n"/>
      <c r="O2158" s="13" t="n"/>
      <c r="P2158" s="17">
        <f>IF($B2158="","",IF($F2158="※类别不在基础资料里","※费用类别不在基础资料里",IF(AND(N($J2158)=0,N($K2158)=0),"※这行没填金额",IF(AND(N($J2158)&gt;0,N($K2158)&gt;0),"※收入和支出不能同一行都填",IF(AND($D2158="收入",N($J2158)=0),"※收入行要填收入金额",IF(AND($D2158="支出",N($K2158)=0),"※支出行要填支出金额",IF(AND($C2158&lt;&gt;"",ISNA(MATCH($C2158,账户表,0))),"※账户不在基础资料里",IF(AND($G2158&lt;&gt;"",ISNA(MATCH($G2158,项目名表,0))),"※项目不在项目台账里",IF(AND(LEFT($F2158,3)="成本-",$G2158=""),"※成本类支出没填项目",IF(AND(LEFT($F2158,3)="成本-",$H2158&lt;&gt;"",N($K2158)&gt;0,COUNTIFS(采购单!$B:$B,$B2158,采购单!$C:$C,$H2158,采购单!$L:$L,$K2158)&gt;0),"※这笔可能和采购单重复了",""))))))))))</f>
        <v/>
      </c>
    </row>
    <row r="2159">
      <c r="A2159" s="17">
        <f>IF($B2159="","",ROW()-3)</f>
        <v/>
      </c>
      <c r="B2159" s="18" t="n"/>
      <c r="C2159" s="13" t="n"/>
      <c r="D2159" s="13" t="n"/>
      <c r="E2159" s="13" t="n"/>
      <c r="F2159" s="17">
        <f>IF($E2159="","",IFERROR(VLOOKUP($E2159,类别归属,2,0),"※类别不在基础资料里"))</f>
        <v/>
      </c>
      <c r="G2159" s="13" t="n"/>
      <c r="H2159" s="13" t="n"/>
      <c r="I2159" s="13" t="n"/>
      <c r="J2159" s="14" t="n"/>
      <c r="K2159" s="14" t="n"/>
      <c r="L2159" s="19">
        <f>IF($C2159="","",ROUND(IFERROR(VLOOKUP($C2159,账户期初,2,0),0)+SUMIFS($J$4:J2159,$C$4:C2159,$C2159)-SUMIFS($K$4:K2159,$C$4:C2159,$C2159),2))</f>
        <v/>
      </c>
      <c r="M2159" s="19">
        <f>IF($C2159="","",ROUND(SUM(基础资料!$B$4:$B$13)+SUM($J$4:J2159)-SUM($K$4:K2159),2))</f>
        <v/>
      </c>
      <c r="N2159" s="13" t="n"/>
      <c r="O2159" s="13" t="n"/>
      <c r="P2159" s="17">
        <f>IF($B2159="","",IF($F2159="※类别不在基础资料里","※费用类别不在基础资料里",IF(AND(N($J2159)=0,N($K2159)=0),"※这行没填金额",IF(AND(N($J2159)&gt;0,N($K2159)&gt;0),"※收入和支出不能同一行都填",IF(AND($D2159="收入",N($J2159)=0),"※收入行要填收入金额",IF(AND($D2159="支出",N($K2159)=0),"※支出行要填支出金额",IF(AND($C2159&lt;&gt;"",ISNA(MATCH($C2159,账户表,0))),"※账户不在基础资料里",IF(AND($G2159&lt;&gt;"",ISNA(MATCH($G2159,项目名表,0))),"※项目不在项目台账里",IF(AND(LEFT($F2159,3)="成本-",$G2159=""),"※成本类支出没填项目",IF(AND(LEFT($F2159,3)="成本-",$H2159&lt;&gt;"",N($K2159)&gt;0,COUNTIFS(采购单!$B:$B,$B2159,采购单!$C:$C,$H2159,采购单!$L:$L,$K2159)&gt;0),"※这笔可能和采购单重复了",""))))))))))</f>
        <v/>
      </c>
    </row>
    <row r="2160">
      <c r="A2160" s="17">
        <f>IF($B2160="","",ROW()-3)</f>
        <v/>
      </c>
      <c r="B2160" s="18" t="n"/>
      <c r="C2160" s="13" t="n"/>
      <c r="D2160" s="13" t="n"/>
      <c r="E2160" s="13" t="n"/>
      <c r="F2160" s="17">
        <f>IF($E2160="","",IFERROR(VLOOKUP($E2160,类别归属,2,0),"※类别不在基础资料里"))</f>
        <v/>
      </c>
      <c r="G2160" s="13" t="n"/>
      <c r="H2160" s="13" t="n"/>
      <c r="I2160" s="13" t="n"/>
      <c r="J2160" s="14" t="n"/>
      <c r="K2160" s="14" t="n"/>
      <c r="L2160" s="19">
        <f>IF($C2160="","",ROUND(IFERROR(VLOOKUP($C2160,账户期初,2,0),0)+SUMIFS($J$4:J2160,$C$4:C2160,$C2160)-SUMIFS($K$4:K2160,$C$4:C2160,$C2160),2))</f>
        <v/>
      </c>
      <c r="M2160" s="19">
        <f>IF($C2160="","",ROUND(SUM(基础资料!$B$4:$B$13)+SUM($J$4:J2160)-SUM($K$4:K2160),2))</f>
        <v/>
      </c>
      <c r="N2160" s="13" t="n"/>
      <c r="O2160" s="13" t="n"/>
      <c r="P2160" s="17">
        <f>IF($B2160="","",IF($F2160="※类别不在基础资料里","※费用类别不在基础资料里",IF(AND(N($J2160)=0,N($K2160)=0),"※这行没填金额",IF(AND(N($J2160)&gt;0,N($K2160)&gt;0),"※收入和支出不能同一行都填",IF(AND($D2160="收入",N($J2160)=0),"※收入行要填收入金额",IF(AND($D2160="支出",N($K2160)=0),"※支出行要填支出金额",IF(AND($C2160&lt;&gt;"",ISNA(MATCH($C2160,账户表,0))),"※账户不在基础资料里",IF(AND($G2160&lt;&gt;"",ISNA(MATCH($G2160,项目名表,0))),"※项目不在项目台账里",IF(AND(LEFT($F2160,3)="成本-",$G2160=""),"※成本类支出没填项目",IF(AND(LEFT($F2160,3)="成本-",$H2160&lt;&gt;"",N($K2160)&gt;0,COUNTIFS(采购单!$B:$B,$B2160,采购单!$C:$C,$H2160,采购单!$L:$L,$K2160)&gt;0),"※这笔可能和采购单重复了",""))))))))))</f>
        <v/>
      </c>
    </row>
    <row r="2161">
      <c r="A2161" s="17">
        <f>IF($B2161="","",ROW()-3)</f>
        <v/>
      </c>
      <c r="B2161" s="18" t="n"/>
      <c r="C2161" s="13" t="n"/>
      <c r="D2161" s="13" t="n"/>
      <c r="E2161" s="13" t="n"/>
      <c r="F2161" s="17">
        <f>IF($E2161="","",IFERROR(VLOOKUP($E2161,类别归属,2,0),"※类别不在基础资料里"))</f>
        <v/>
      </c>
      <c r="G2161" s="13" t="n"/>
      <c r="H2161" s="13" t="n"/>
      <c r="I2161" s="13" t="n"/>
      <c r="J2161" s="14" t="n"/>
      <c r="K2161" s="14" t="n"/>
      <c r="L2161" s="19">
        <f>IF($C2161="","",ROUND(IFERROR(VLOOKUP($C2161,账户期初,2,0),0)+SUMIFS($J$4:J2161,$C$4:C2161,$C2161)-SUMIFS($K$4:K2161,$C$4:C2161,$C2161),2))</f>
        <v/>
      </c>
      <c r="M2161" s="19">
        <f>IF($C2161="","",ROUND(SUM(基础资料!$B$4:$B$13)+SUM($J$4:J2161)-SUM($K$4:K2161),2))</f>
        <v/>
      </c>
      <c r="N2161" s="13" t="n"/>
      <c r="O2161" s="13" t="n"/>
      <c r="P2161" s="17">
        <f>IF($B2161="","",IF($F2161="※类别不在基础资料里","※费用类别不在基础资料里",IF(AND(N($J2161)=0,N($K2161)=0),"※这行没填金额",IF(AND(N($J2161)&gt;0,N($K2161)&gt;0),"※收入和支出不能同一行都填",IF(AND($D2161="收入",N($J2161)=0),"※收入行要填收入金额",IF(AND($D2161="支出",N($K2161)=0),"※支出行要填支出金额",IF(AND($C2161&lt;&gt;"",ISNA(MATCH($C2161,账户表,0))),"※账户不在基础资料里",IF(AND($G2161&lt;&gt;"",ISNA(MATCH($G2161,项目名表,0))),"※项目不在项目台账里",IF(AND(LEFT($F2161,3)="成本-",$G2161=""),"※成本类支出没填项目",IF(AND(LEFT($F2161,3)="成本-",$H2161&lt;&gt;"",N($K2161)&gt;0,COUNTIFS(采购单!$B:$B,$B2161,采购单!$C:$C,$H2161,采购单!$L:$L,$K2161)&gt;0),"※这笔可能和采购单重复了",""))))))))))</f>
        <v/>
      </c>
    </row>
    <row r="2162">
      <c r="A2162" s="17">
        <f>IF($B2162="","",ROW()-3)</f>
        <v/>
      </c>
      <c r="B2162" s="18" t="n"/>
      <c r="C2162" s="13" t="n"/>
      <c r="D2162" s="13" t="n"/>
      <c r="E2162" s="13" t="n"/>
      <c r="F2162" s="17">
        <f>IF($E2162="","",IFERROR(VLOOKUP($E2162,类别归属,2,0),"※类别不在基础资料里"))</f>
        <v/>
      </c>
      <c r="G2162" s="13" t="n"/>
      <c r="H2162" s="13" t="n"/>
      <c r="I2162" s="13" t="n"/>
      <c r="J2162" s="14" t="n"/>
      <c r="K2162" s="14" t="n"/>
      <c r="L2162" s="19">
        <f>IF($C2162="","",ROUND(IFERROR(VLOOKUP($C2162,账户期初,2,0),0)+SUMIFS($J$4:J2162,$C$4:C2162,$C2162)-SUMIFS($K$4:K2162,$C$4:C2162,$C2162),2))</f>
        <v/>
      </c>
      <c r="M2162" s="19">
        <f>IF($C2162="","",ROUND(SUM(基础资料!$B$4:$B$13)+SUM($J$4:J2162)-SUM($K$4:K2162),2))</f>
        <v/>
      </c>
      <c r="N2162" s="13" t="n"/>
      <c r="O2162" s="13" t="n"/>
      <c r="P2162" s="17">
        <f>IF($B2162="","",IF($F2162="※类别不在基础资料里","※费用类别不在基础资料里",IF(AND(N($J2162)=0,N($K2162)=0),"※这行没填金额",IF(AND(N($J2162)&gt;0,N($K2162)&gt;0),"※收入和支出不能同一行都填",IF(AND($D2162="收入",N($J2162)=0),"※收入行要填收入金额",IF(AND($D2162="支出",N($K2162)=0),"※支出行要填支出金额",IF(AND($C2162&lt;&gt;"",ISNA(MATCH($C2162,账户表,0))),"※账户不在基础资料里",IF(AND($G2162&lt;&gt;"",ISNA(MATCH($G2162,项目名表,0))),"※项目不在项目台账里",IF(AND(LEFT($F2162,3)="成本-",$G2162=""),"※成本类支出没填项目",IF(AND(LEFT($F2162,3)="成本-",$H2162&lt;&gt;"",N($K2162)&gt;0,COUNTIFS(采购单!$B:$B,$B2162,采购单!$C:$C,$H2162,采购单!$L:$L,$K2162)&gt;0),"※这笔可能和采购单重复了",""))))))))))</f>
        <v/>
      </c>
    </row>
    <row r="2163">
      <c r="A2163" s="17">
        <f>IF($B2163="","",ROW()-3)</f>
        <v/>
      </c>
      <c r="B2163" s="18" t="n"/>
      <c r="C2163" s="13" t="n"/>
      <c r="D2163" s="13" t="n"/>
      <c r="E2163" s="13" t="n"/>
      <c r="F2163" s="17">
        <f>IF($E2163="","",IFERROR(VLOOKUP($E2163,类别归属,2,0),"※类别不在基础资料里"))</f>
        <v/>
      </c>
      <c r="G2163" s="13" t="n"/>
      <c r="H2163" s="13" t="n"/>
      <c r="I2163" s="13" t="n"/>
      <c r="J2163" s="14" t="n"/>
      <c r="K2163" s="14" t="n"/>
      <c r="L2163" s="19">
        <f>IF($C2163="","",ROUND(IFERROR(VLOOKUP($C2163,账户期初,2,0),0)+SUMIFS($J$4:J2163,$C$4:C2163,$C2163)-SUMIFS($K$4:K2163,$C$4:C2163,$C2163),2))</f>
        <v/>
      </c>
      <c r="M2163" s="19">
        <f>IF($C2163="","",ROUND(SUM(基础资料!$B$4:$B$13)+SUM($J$4:J2163)-SUM($K$4:K2163),2))</f>
        <v/>
      </c>
      <c r="N2163" s="13" t="n"/>
      <c r="O2163" s="13" t="n"/>
      <c r="P2163" s="17">
        <f>IF($B2163="","",IF($F2163="※类别不在基础资料里","※费用类别不在基础资料里",IF(AND(N($J2163)=0,N($K2163)=0),"※这行没填金额",IF(AND(N($J2163)&gt;0,N($K2163)&gt;0),"※收入和支出不能同一行都填",IF(AND($D2163="收入",N($J2163)=0),"※收入行要填收入金额",IF(AND($D2163="支出",N($K2163)=0),"※支出行要填支出金额",IF(AND($C2163&lt;&gt;"",ISNA(MATCH($C2163,账户表,0))),"※账户不在基础资料里",IF(AND($G2163&lt;&gt;"",ISNA(MATCH($G2163,项目名表,0))),"※项目不在项目台账里",IF(AND(LEFT($F2163,3)="成本-",$G2163=""),"※成本类支出没填项目",IF(AND(LEFT($F2163,3)="成本-",$H2163&lt;&gt;"",N($K2163)&gt;0,COUNTIFS(采购单!$B:$B,$B2163,采购单!$C:$C,$H2163,采购单!$L:$L,$K2163)&gt;0),"※这笔可能和采购单重复了",""))))))))))</f>
        <v/>
      </c>
    </row>
    <row r="2164">
      <c r="A2164" s="17">
        <f>IF($B2164="","",ROW()-3)</f>
        <v/>
      </c>
      <c r="B2164" s="18" t="n"/>
      <c r="C2164" s="13" t="n"/>
      <c r="D2164" s="13" t="n"/>
      <c r="E2164" s="13" t="n"/>
      <c r="F2164" s="17">
        <f>IF($E2164="","",IFERROR(VLOOKUP($E2164,类别归属,2,0),"※类别不在基础资料里"))</f>
        <v/>
      </c>
      <c r="G2164" s="13" t="n"/>
      <c r="H2164" s="13" t="n"/>
      <c r="I2164" s="13" t="n"/>
      <c r="J2164" s="14" t="n"/>
      <c r="K2164" s="14" t="n"/>
      <c r="L2164" s="19">
        <f>IF($C2164="","",ROUND(IFERROR(VLOOKUP($C2164,账户期初,2,0),0)+SUMIFS($J$4:J2164,$C$4:C2164,$C2164)-SUMIFS($K$4:K2164,$C$4:C2164,$C2164),2))</f>
        <v/>
      </c>
      <c r="M2164" s="19">
        <f>IF($C2164="","",ROUND(SUM(基础资料!$B$4:$B$13)+SUM($J$4:J2164)-SUM($K$4:K2164),2))</f>
        <v/>
      </c>
      <c r="N2164" s="13" t="n"/>
      <c r="O2164" s="13" t="n"/>
      <c r="P2164" s="17">
        <f>IF($B2164="","",IF($F2164="※类别不在基础资料里","※费用类别不在基础资料里",IF(AND(N($J2164)=0,N($K2164)=0),"※这行没填金额",IF(AND(N($J2164)&gt;0,N($K2164)&gt;0),"※收入和支出不能同一行都填",IF(AND($D2164="收入",N($J2164)=0),"※收入行要填收入金额",IF(AND($D2164="支出",N($K2164)=0),"※支出行要填支出金额",IF(AND($C2164&lt;&gt;"",ISNA(MATCH($C2164,账户表,0))),"※账户不在基础资料里",IF(AND($G2164&lt;&gt;"",ISNA(MATCH($G2164,项目名表,0))),"※项目不在项目台账里",IF(AND(LEFT($F2164,3)="成本-",$G2164=""),"※成本类支出没填项目",IF(AND(LEFT($F2164,3)="成本-",$H2164&lt;&gt;"",N($K2164)&gt;0,COUNTIFS(采购单!$B:$B,$B2164,采购单!$C:$C,$H2164,采购单!$L:$L,$K2164)&gt;0),"※这笔可能和采购单重复了",""))))))))))</f>
        <v/>
      </c>
    </row>
    <row r="2165">
      <c r="A2165" s="17">
        <f>IF($B2165="","",ROW()-3)</f>
        <v/>
      </c>
      <c r="B2165" s="18" t="n"/>
      <c r="C2165" s="13" t="n"/>
      <c r="D2165" s="13" t="n"/>
      <c r="E2165" s="13" t="n"/>
      <c r="F2165" s="17">
        <f>IF($E2165="","",IFERROR(VLOOKUP($E2165,类别归属,2,0),"※类别不在基础资料里"))</f>
        <v/>
      </c>
      <c r="G2165" s="13" t="n"/>
      <c r="H2165" s="13" t="n"/>
      <c r="I2165" s="13" t="n"/>
      <c r="J2165" s="14" t="n"/>
      <c r="K2165" s="14" t="n"/>
      <c r="L2165" s="19">
        <f>IF($C2165="","",ROUND(IFERROR(VLOOKUP($C2165,账户期初,2,0),0)+SUMIFS($J$4:J2165,$C$4:C2165,$C2165)-SUMIFS($K$4:K2165,$C$4:C2165,$C2165),2))</f>
        <v/>
      </c>
      <c r="M2165" s="19">
        <f>IF($C2165="","",ROUND(SUM(基础资料!$B$4:$B$13)+SUM($J$4:J2165)-SUM($K$4:K2165),2))</f>
        <v/>
      </c>
      <c r="N2165" s="13" t="n"/>
      <c r="O2165" s="13" t="n"/>
      <c r="P2165" s="17">
        <f>IF($B2165="","",IF($F2165="※类别不在基础资料里","※费用类别不在基础资料里",IF(AND(N($J2165)=0,N($K2165)=0),"※这行没填金额",IF(AND(N($J2165)&gt;0,N($K2165)&gt;0),"※收入和支出不能同一行都填",IF(AND($D2165="收入",N($J2165)=0),"※收入行要填收入金额",IF(AND($D2165="支出",N($K2165)=0),"※支出行要填支出金额",IF(AND($C2165&lt;&gt;"",ISNA(MATCH($C2165,账户表,0))),"※账户不在基础资料里",IF(AND($G2165&lt;&gt;"",ISNA(MATCH($G2165,项目名表,0))),"※项目不在项目台账里",IF(AND(LEFT($F2165,3)="成本-",$G2165=""),"※成本类支出没填项目",IF(AND(LEFT($F2165,3)="成本-",$H2165&lt;&gt;"",N($K2165)&gt;0,COUNTIFS(采购单!$B:$B,$B2165,采购单!$C:$C,$H2165,采购单!$L:$L,$K2165)&gt;0),"※这笔可能和采购单重复了",""))))))))))</f>
        <v/>
      </c>
    </row>
    <row r="2166">
      <c r="A2166" s="17">
        <f>IF($B2166="","",ROW()-3)</f>
        <v/>
      </c>
      <c r="B2166" s="18" t="n"/>
      <c r="C2166" s="13" t="n"/>
      <c r="D2166" s="13" t="n"/>
      <c r="E2166" s="13" t="n"/>
      <c r="F2166" s="17">
        <f>IF($E2166="","",IFERROR(VLOOKUP($E2166,类别归属,2,0),"※类别不在基础资料里"))</f>
        <v/>
      </c>
      <c r="G2166" s="13" t="n"/>
      <c r="H2166" s="13" t="n"/>
      <c r="I2166" s="13" t="n"/>
      <c r="J2166" s="14" t="n"/>
      <c r="K2166" s="14" t="n"/>
      <c r="L2166" s="19">
        <f>IF($C2166="","",ROUND(IFERROR(VLOOKUP($C2166,账户期初,2,0),0)+SUMIFS($J$4:J2166,$C$4:C2166,$C2166)-SUMIFS($K$4:K2166,$C$4:C2166,$C2166),2))</f>
        <v/>
      </c>
      <c r="M2166" s="19">
        <f>IF($C2166="","",ROUND(SUM(基础资料!$B$4:$B$13)+SUM($J$4:J2166)-SUM($K$4:K2166),2))</f>
        <v/>
      </c>
      <c r="N2166" s="13" t="n"/>
      <c r="O2166" s="13" t="n"/>
      <c r="P2166" s="17">
        <f>IF($B2166="","",IF($F2166="※类别不在基础资料里","※费用类别不在基础资料里",IF(AND(N($J2166)=0,N($K2166)=0),"※这行没填金额",IF(AND(N($J2166)&gt;0,N($K2166)&gt;0),"※收入和支出不能同一行都填",IF(AND($D2166="收入",N($J2166)=0),"※收入行要填收入金额",IF(AND($D2166="支出",N($K2166)=0),"※支出行要填支出金额",IF(AND($C2166&lt;&gt;"",ISNA(MATCH($C2166,账户表,0))),"※账户不在基础资料里",IF(AND($G2166&lt;&gt;"",ISNA(MATCH($G2166,项目名表,0))),"※项目不在项目台账里",IF(AND(LEFT($F2166,3)="成本-",$G2166=""),"※成本类支出没填项目",IF(AND(LEFT($F2166,3)="成本-",$H2166&lt;&gt;"",N($K2166)&gt;0,COUNTIFS(采购单!$B:$B,$B2166,采购单!$C:$C,$H2166,采购单!$L:$L,$K2166)&gt;0),"※这笔可能和采购单重复了",""))))))))))</f>
        <v/>
      </c>
    </row>
    <row r="2167">
      <c r="A2167" s="17">
        <f>IF($B2167="","",ROW()-3)</f>
        <v/>
      </c>
      <c r="B2167" s="18" t="n"/>
      <c r="C2167" s="13" t="n"/>
      <c r="D2167" s="13" t="n"/>
      <c r="E2167" s="13" t="n"/>
      <c r="F2167" s="17">
        <f>IF($E2167="","",IFERROR(VLOOKUP($E2167,类别归属,2,0),"※类别不在基础资料里"))</f>
        <v/>
      </c>
      <c r="G2167" s="13" t="n"/>
      <c r="H2167" s="13" t="n"/>
      <c r="I2167" s="13" t="n"/>
      <c r="J2167" s="14" t="n"/>
      <c r="K2167" s="14" t="n"/>
      <c r="L2167" s="19">
        <f>IF($C2167="","",ROUND(IFERROR(VLOOKUP($C2167,账户期初,2,0),0)+SUMIFS($J$4:J2167,$C$4:C2167,$C2167)-SUMIFS($K$4:K2167,$C$4:C2167,$C2167),2))</f>
        <v/>
      </c>
      <c r="M2167" s="19">
        <f>IF($C2167="","",ROUND(SUM(基础资料!$B$4:$B$13)+SUM($J$4:J2167)-SUM($K$4:K2167),2))</f>
        <v/>
      </c>
      <c r="N2167" s="13" t="n"/>
      <c r="O2167" s="13" t="n"/>
      <c r="P2167" s="17">
        <f>IF($B2167="","",IF($F2167="※类别不在基础资料里","※费用类别不在基础资料里",IF(AND(N($J2167)=0,N($K2167)=0),"※这行没填金额",IF(AND(N($J2167)&gt;0,N($K2167)&gt;0),"※收入和支出不能同一行都填",IF(AND($D2167="收入",N($J2167)=0),"※收入行要填收入金额",IF(AND($D2167="支出",N($K2167)=0),"※支出行要填支出金额",IF(AND($C2167&lt;&gt;"",ISNA(MATCH($C2167,账户表,0))),"※账户不在基础资料里",IF(AND($G2167&lt;&gt;"",ISNA(MATCH($G2167,项目名表,0))),"※项目不在项目台账里",IF(AND(LEFT($F2167,3)="成本-",$G2167=""),"※成本类支出没填项目",IF(AND(LEFT($F2167,3)="成本-",$H2167&lt;&gt;"",N($K2167)&gt;0,COUNTIFS(采购单!$B:$B,$B2167,采购单!$C:$C,$H2167,采购单!$L:$L,$K2167)&gt;0),"※这笔可能和采购单重复了",""))))))))))</f>
        <v/>
      </c>
    </row>
    <row r="2168">
      <c r="A2168" s="17">
        <f>IF($B2168="","",ROW()-3)</f>
        <v/>
      </c>
      <c r="B2168" s="18" t="n"/>
      <c r="C2168" s="13" t="n"/>
      <c r="D2168" s="13" t="n"/>
      <c r="E2168" s="13" t="n"/>
      <c r="F2168" s="17">
        <f>IF($E2168="","",IFERROR(VLOOKUP($E2168,类别归属,2,0),"※类别不在基础资料里"))</f>
        <v/>
      </c>
      <c r="G2168" s="13" t="n"/>
      <c r="H2168" s="13" t="n"/>
      <c r="I2168" s="13" t="n"/>
      <c r="J2168" s="14" t="n"/>
      <c r="K2168" s="14" t="n"/>
      <c r="L2168" s="19">
        <f>IF($C2168="","",ROUND(IFERROR(VLOOKUP($C2168,账户期初,2,0),0)+SUMIFS($J$4:J2168,$C$4:C2168,$C2168)-SUMIFS($K$4:K2168,$C$4:C2168,$C2168),2))</f>
        <v/>
      </c>
      <c r="M2168" s="19">
        <f>IF($C2168="","",ROUND(SUM(基础资料!$B$4:$B$13)+SUM($J$4:J2168)-SUM($K$4:K2168),2))</f>
        <v/>
      </c>
      <c r="N2168" s="13" t="n"/>
      <c r="O2168" s="13" t="n"/>
      <c r="P2168" s="17">
        <f>IF($B2168="","",IF($F2168="※类别不在基础资料里","※费用类别不在基础资料里",IF(AND(N($J2168)=0,N($K2168)=0),"※这行没填金额",IF(AND(N($J2168)&gt;0,N($K2168)&gt;0),"※收入和支出不能同一行都填",IF(AND($D2168="收入",N($J2168)=0),"※收入行要填收入金额",IF(AND($D2168="支出",N($K2168)=0),"※支出行要填支出金额",IF(AND($C2168&lt;&gt;"",ISNA(MATCH($C2168,账户表,0))),"※账户不在基础资料里",IF(AND($G2168&lt;&gt;"",ISNA(MATCH($G2168,项目名表,0))),"※项目不在项目台账里",IF(AND(LEFT($F2168,3)="成本-",$G2168=""),"※成本类支出没填项目",IF(AND(LEFT($F2168,3)="成本-",$H2168&lt;&gt;"",N($K2168)&gt;0,COUNTIFS(采购单!$B:$B,$B2168,采购单!$C:$C,$H2168,采购单!$L:$L,$K2168)&gt;0),"※这笔可能和采购单重复了",""))))))))))</f>
        <v/>
      </c>
    </row>
    <row r="2169">
      <c r="A2169" s="17">
        <f>IF($B2169="","",ROW()-3)</f>
        <v/>
      </c>
      <c r="B2169" s="18" t="n"/>
      <c r="C2169" s="13" t="n"/>
      <c r="D2169" s="13" t="n"/>
      <c r="E2169" s="13" t="n"/>
      <c r="F2169" s="17">
        <f>IF($E2169="","",IFERROR(VLOOKUP($E2169,类别归属,2,0),"※类别不在基础资料里"))</f>
        <v/>
      </c>
      <c r="G2169" s="13" t="n"/>
      <c r="H2169" s="13" t="n"/>
      <c r="I2169" s="13" t="n"/>
      <c r="J2169" s="14" t="n"/>
      <c r="K2169" s="14" t="n"/>
      <c r="L2169" s="19">
        <f>IF($C2169="","",ROUND(IFERROR(VLOOKUP($C2169,账户期初,2,0),0)+SUMIFS($J$4:J2169,$C$4:C2169,$C2169)-SUMIFS($K$4:K2169,$C$4:C2169,$C2169),2))</f>
        <v/>
      </c>
      <c r="M2169" s="19">
        <f>IF($C2169="","",ROUND(SUM(基础资料!$B$4:$B$13)+SUM($J$4:J2169)-SUM($K$4:K2169),2))</f>
        <v/>
      </c>
      <c r="N2169" s="13" t="n"/>
      <c r="O2169" s="13" t="n"/>
      <c r="P2169" s="17">
        <f>IF($B2169="","",IF($F2169="※类别不在基础资料里","※费用类别不在基础资料里",IF(AND(N($J2169)=0,N($K2169)=0),"※这行没填金额",IF(AND(N($J2169)&gt;0,N($K2169)&gt;0),"※收入和支出不能同一行都填",IF(AND($D2169="收入",N($J2169)=0),"※收入行要填收入金额",IF(AND($D2169="支出",N($K2169)=0),"※支出行要填支出金额",IF(AND($C2169&lt;&gt;"",ISNA(MATCH($C2169,账户表,0))),"※账户不在基础资料里",IF(AND($G2169&lt;&gt;"",ISNA(MATCH($G2169,项目名表,0))),"※项目不在项目台账里",IF(AND(LEFT($F2169,3)="成本-",$G2169=""),"※成本类支出没填项目",IF(AND(LEFT($F2169,3)="成本-",$H2169&lt;&gt;"",N($K2169)&gt;0,COUNTIFS(采购单!$B:$B,$B2169,采购单!$C:$C,$H2169,采购单!$L:$L,$K2169)&gt;0),"※这笔可能和采购单重复了",""))))))))))</f>
        <v/>
      </c>
    </row>
    <row r="2170">
      <c r="A2170" s="17">
        <f>IF($B2170="","",ROW()-3)</f>
        <v/>
      </c>
      <c r="B2170" s="18" t="n"/>
      <c r="C2170" s="13" t="n"/>
      <c r="D2170" s="13" t="n"/>
      <c r="E2170" s="13" t="n"/>
      <c r="F2170" s="17">
        <f>IF($E2170="","",IFERROR(VLOOKUP($E2170,类别归属,2,0),"※类别不在基础资料里"))</f>
        <v/>
      </c>
      <c r="G2170" s="13" t="n"/>
      <c r="H2170" s="13" t="n"/>
      <c r="I2170" s="13" t="n"/>
      <c r="J2170" s="14" t="n"/>
      <c r="K2170" s="14" t="n"/>
      <c r="L2170" s="19">
        <f>IF($C2170="","",ROUND(IFERROR(VLOOKUP($C2170,账户期初,2,0),0)+SUMIFS($J$4:J2170,$C$4:C2170,$C2170)-SUMIFS($K$4:K2170,$C$4:C2170,$C2170),2))</f>
        <v/>
      </c>
      <c r="M2170" s="19">
        <f>IF($C2170="","",ROUND(SUM(基础资料!$B$4:$B$13)+SUM($J$4:J2170)-SUM($K$4:K2170),2))</f>
        <v/>
      </c>
      <c r="N2170" s="13" t="n"/>
      <c r="O2170" s="13" t="n"/>
      <c r="P2170" s="17">
        <f>IF($B2170="","",IF($F2170="※类别不在基础资料里","※费用类别不在基础资料里",IF(AND(N($J2170)=0,N($K2170)=0),"※这行没填金额",IF(AND(N($J2170)&gt;0,N($K2170)&gt;0),"※收入和支出不能同一行都填",IF(AND($D2170="收入",N($J2170)=0),"※收入行要填收入金额",IF(AND($D2170="支出",N($K2170)=0),"※支出行要填支出金额",IF(AND($C2170&lt;&gt;"",ISNA(MATCH($C2170,账户表,0))),"※账户不在基础资料里",IF(AND($G2170&lt;&gt;"",ISNA(MATCH($G2170,项目名表,0))),"※项目不在项目台账里",IF(AND(LEFT($F2170,3)="成本-",$G2170=""),"※成本类支出没填项目",IF(AND(LEFT($F2170,3)="成本-",$H2170&lt;&gt;"",N($K2170)&gt;0,COUNTIFS(采购单!$B:$B,$B2170,采购单!$C:$C,$H2170,采购单!$L:$L,$K2170)&gt;0),"※这笔可能和采购单重复了",""))))))))))</f>
        <v/>
      </c>
    </row>
    <row r="2171">
      <c r="A2171" s="17">
        <f>IF($B2171="","",ROW()-3)</f>
        <v/>
      </c>
      <c r="B2171" s="18" t="n"/>
      <c r="C2171" s="13" t="n"/>
      <c r="D2171" s="13" t="n"/>
      <c r="E2171" s="13" t="n"/>
      <c r="F2171" s="17">
        <f>IF($E2171="","",IFERROR(VLOOKUP($E2171,类别归属,2,0),"※类别不在基础资料里"))</f>
        <v/>
      </c>
      <c r="G2171" s="13" t="n"/>
      <c r="H2171" s="13" t="n"/>
      <c r="I2171" s="13" t="n"/>
      <c r="J2171" s="14" t="n"/>
      <c r="K2171" s="14" t="n"/>
      <c r="L2171" s="19">
        <f>IF($C2171="","",ROUND(IFERROR(VLOOKUP($C2171,账户期初,2,0),0)+SUMIFS($J$4:J2171,$C$4:C2171,$C2171)-SUMIFS($K$4:K2171,$C$4:C2171,$C2171),2))</f>
        <v/>
      </c>
      <c r="M2171" s="19">
        <f>IF($C2171="","",ROUND(SUM(基础资料!$B$4:$B$13)+SUM($J$4:J2171)-SUM($K$4:K2171),2))</f>
        <v/>
      </c>
      <c r="N2171" s="13" t="n"/>
      <c r="O2171" s="13" t="n"/>
      <c r="P2171" s="17">
        <f>IF($B2171="","",IF($F2171="※类别不在基础资料里","※费用类别不在基础资料里",IF(AND(N($J2171)=0,N($K2171)=0),"※这行没填金额",IF(AND(N($J2171)&gt;0,N($K2171)&gt;0),"※收入和支出不能同一行都填",IF(AND($D2171="收入",N($J2171)=0),"※收入行要填收入金额",IF(AND($D2171="支出",N($K2171)=0),"※支出行要填支出金额",IF(AND($C2171&lt;&gt;"",ISNA(MATCH($C2171,账户表,0))),"※账户不在基础资料里",IF(AND($G2171&lt;&gt;"",ISNA(MATCH($G2171,项目名表,0))),"※项目不在项目台账里",IF(AND(LEFT($F2171,3)="成本-",$G2171=""),"※成本类支出没填项目",IF(AND(LEFT($F2171,3)="成本-",$H2171&lt;&gt;"",N($K2171)&gt;0,COUNTIFS(采购单!$B:$B,$B2171,采购单!$C:$C,$H2171,采购单!$L:$L,$K2171)&gt;0),"※这笔可能和采购单重复了",""))))))))))</f>
        <v/>
      </c>
    </row>
    <row r="2172">
      <c r="A2172" s="17">
        <f>IF($B2172="","",ROW()-3)</f>
        <v/>
      </c>
      <c r="B2172" s="18" t="n"/>
      <c r="C2172" s="13" t="n"/>
      <c r="D2172" s="13" t="n"/>
      <c r="E2172" s="13" t="n"/>
      <c r="F2172" s="17">
        <f>IF($E2172="","",IFERROR(VLOOKUP($E2172,类别归属,2,0),"※类别不在基础资料里"))</f>
        <v/>
      </c>
      <c r="G2172" s="13" t="n"/>
      <c r="H2172" s="13" t="n"/>
      <c r="I2172" s="13" t="n"/>
      <c r="J2172" s="14" t="n"/>
      <c r="K2172" s="14" t="n"/>
      <c r="L2172" s="19">
        <f>IF($C2172="","",ROUND(IFERROR(VLOOKUP($C2172,账户期初,2,0),0)+SUMIFS($J$4:J2172,$C$4:C2172,$C2172)-SUMIFS($K$4:K2172,$C$4:C2172,$C2172),2))</f>
        <v/>
      </c>
      <c r="M2172" s="19">
        <f>IF($C2172="","",ROUND(SUM(基础资料!$B$4:$B$13)+SUM($J$4:J2172)-SUM($K$4:K2172),2))</f>
        <v/>
      </c>
      <c r="N2172" s="13" t="n"/>
      <c r="O2172" s="13" t="n"/>
      <c r="P2172" s="17">
        <f>IF($B2172="","",IF($F2172="※类别不在基础资料里","※费用类别不在基础资料里",IF(AND(N($J2172)=0,N($K2172)=0),"※这行没填金额",IF(AND(N($J2172)&gt;0,N($K2172)&gt;0),"※收入和支出不能同一行都填",IF(AND($D2172="收入",N($J2172)=0),"※收入行要填收入金额",IF(AND($D2172="支出",N($K2172)=0),"※支出行要填支出金额",IF(AND($C2172&lt;&gt;"",ISNA(MATCH($C2172,账户表,0))),"※账户不在基础资料里",IF(AND($G2172&lt;&gt;"",ISNA(MATCH($G2172,项目名表,0))),"※项目不在项目台账里",IF(AND(LEFT($F2172,3)="成本-",$G2172=""),"※成本类支出没填项目",IF(AND(LEFT($F2172,3)="成本-",$H2172&lt;&gt;"",N($K2172)&gt;0,COUNTIFS(采购单!$B:$B,$B2172,采购单!$C:$C,$H2172,采购单!$L:$L,$K2172)&gt;0),"※这笔可能和采购单重复了",""))))))))))</f>
        <v/>
      </c>
    </row>
    <row r="2173">
      <c r="A2173" s="17">
        <f>IF($B2173="","",ROW()-3)</f>
        <v/>
      </c>
      <c r="B2173" s="18" t="n"/>
      <c r="C2173" s="13" t="n"/>
      <c r="D2173" s="13" t="n"/>
      <c r="E2173" s="13" t="n"/>
      <c r="F2173" s="17">
        <f>IF($E2173="","",IFERROR(VLOOKUP($E2173,类别归属,2,0),"※类别不在基础资料里"))</f>
        <v/>
      </c>
      <c r="G2173" s="13" t="n"/>
      <c r="H2173" s="13" t="n"/>
      <c r="I2173" s="13" t="n"/>
      <c r="J2173" s="14" t="n"/>
      <c r="K2173" s="14" t="n"/>
      <c r="L2173" s="19">
        <f>IF($C2173="","",ROUND(IFERROR(VLOOKUP($C2173,账户期初,2,0),0)+SUMIFS($J$4:J2173,$C$4:C2173,$C2173)-SUMIFS($K$4:K2173,$C$4:C2173,$C2173),2))</f>
        <v/>
      </c>
      <c r="M2173" s="19">
        <f>IF($C2173="","",ROUND(SUM(基础资料!$B$4:$B$13)+SUM($J$4:J2173)-SUM($K$4:K2173),2))</f>
        <v/>
      </c>
      <c r="N2173" s="13" t="n"/>
      <c r="O2173" s="13" t="n"/>
      <c r="P2173" s="17">
        <f>IF($B2173="","",IF($F2173="※类别不在基础资料里","※费用类别不在基础资料里",IF(AND(N($J2173)=0,N($K2173)=0),"※这行没填金额",IF(AND(N($J2173)&gt;0,N($K2173)&gt;0),"※收入和支出不能同一行都填",IF(AND($D2173="收入",N($J2173)=0),"※收入行要填收入金额",IF(AND($D2173="支出",N($K2173)=0),"※支出行要填支出金额",IF(AND($C2173&lt;&gt;"",ISNA(MATCH($C2173,账户表,0))),"※账户不在基础资料里",IF(AND($G2173&lt;&gt;"",ISNA(MATCH($G2173,项目名表,0))),"※项目不在项目台账里",IF(AND(LEFT($F2173,3)="成本-",$G2173=""),"※成本类支出没填项目",IF(AND(LEFT($F2173,3)="成本-",$H2173&lt;&gt;"",N($K2173)&gt;0,COUNTIFS(采购单!$B:$B,$B2173,采购单!$C:$C,$H2173,采购单!$L:$L,$K2173)&gt;0),"※这笔可能和采购单重复了",""))))))))))</f>
        <v/>
      </c>
    </row>
    <row r="2174">
      <c r="A2174" s="17">
        <f>IF($B2174="","",ROW()-3)</f>
        <v/>
      </c>
      <c r="B2174" s="18" t="n"/>
      <c r="C2174" s="13" t="n"/>
      <c r="D2174" s="13" t="n"/>
      <c r="E2174" s="13" t="n"/>
      <c r="F2174" s="17">
        <f>IF($E2174="","",IFERROR(VLOOKUP($E2174,类别归属,2,0),"※类别不在基础资料里"))</f>
        <v/>
      </c>
      <c r="G2174" s="13" t="n"/>
      <c r="H2174" s="13" t="n"/>
      <c r="I2174" s="13" t="n"/>
      <c r="J2174" s="14" t="n"/>
      <c r="K2174" s="14" t="n"/>
      <c r="L2174" s="19">
        <f>IF($C2174="","",ROUND(IFERROR(VLOOKUP($C2174,账户期初,2,0),0)+SUMIFS($J$4:J2174,$C$4:C2174,$C2174)-SUMIFS($K$4:K2174,$C$4:C2174,$C2174),2))</f>
        <v/>
      </c>
      <c r="M2174" s="19">
        <f>IF($C2174="","",ROUND(SUM(基础资料!$B$4:$B$13)+SUM($J$4:J2174)-SUM($K$4:K2174),2))</f>
        <v/>
      </c>
      <c r="N2174" s="13" t="n"/>
      <c r="O2174" s="13" t="n"/>
      <c r="P2174" s="17">
        <f>IF($B2174="","",IF($F2174="※类别不在基础资料里","※费用类别不在基础资料里",IF(AND(N($J2174)=0,N($K2174)=0),"※这行没填金额",IF(AND(N($J2174)&gt;0,N($K2174)&gt;0),"※收入和支出不能同一行都填",IF(AND($D2174="收入",N($J2174)=0),"※收入行要填收入金额",IF(AND($D2174="支出",N($K2174)=0),"※支出行要填支出金额",IF(AND($C2174&lt;&gt;"",ISNA(MATCH($C2174,账户表,0))),"※账户不在基础资料里",IF(AND($G2174&lt;&gt;"",ISNA(MATCH($G2174,项目名表,0))),"※项目不在项目台账里",IF(AND(LEFT($F2174,3)="成本-",$G2174=""),"※成本类支出没填项目",IF(AND(LEFT($F2174,3)="成本-",$H2174&lt;&gt;"",N($K2174)&gt;0,COUNTIFS(采购单!$B:$B,$B2174,采购单!$C:$C,$H2174,采购单!$L:$L,$K2174)&gt;0),"※这笔可能和采购单重复了",""))))))))))</f>
        <v/>
      </c>
    </row>
    <row r="2175">
      <c r="A2175" s="17">
        <f>IF($B2175="","",ROW()-3)</f>
        <v/>
      </c>
      <c r="B2175" s="18" t="n"/>
      <c r="C2175" s="13" t="n"/>
      <c r="D2175" s="13" t="n"/>
      <c r="E2175" s="13" t="n"/>
      <c r="F2175" s="17">
        <f>IF($E2175="","",IFERROR(VLOOKUP($E2175,类别归属,2,0),"※类别不在基础资料里"))</f>
        <v/>
      </c>
      <c r="G2175" s="13" t="n"/>
      <c r="H2175" s="13" t="n"/>
      <c r="I2175" s="13" t="n"/>
      <c r="J2175" s="14" t="n"/>
      <c r="K2175" s="14" t="n"/>
      <c r="L2175" s="19">
        <f>IF($C2175="","",ROUND(IFERROR(VLOOKUP($C2175,账户期初,2,0),0)+SUMIFS($J$4:J2175,$C$4:C2175,$C2175)-SUMIFS($K$4:K2175,$C$4:C2175,$C2175),2))</f>
        <v/>
      </c>
      <c r="M2175" s="19">
        <f>IF($C2175="","",ROUND(SUM(基础资料!$B$4:$B$13)+SUM($J$4:J2175)-SUM($K$4:K2175),2))</f>
        <v/>
      </c>
      <c r="N2175" s="13" t="n"/>
      <c r="O2175" s="13" t="n"/>
      <c r="P2175" s="17">
        <f>IF($B2175="","",IF($F2175="※类别不在基础资料里","※费用类别不在基础资料里",IF(AND(N($J2175)=0,N($K2175)=0),"※这行没填金额",IF(AND(N($J2175)&gt;0,N($K2175)&gt;0),"※收入和支出不能同一行都填",IF(AND($D2175="收入",N($J2175)=0),"※收入行要填收入金额",IF(AND($D2175="支出",N($K2175)=0),"※支出行要填支出金额",IF(AND($C2175&lt;&gt;"",ISNA(MATCH($C2175,账户表,0))),"※账户不在基础资料里",IF(AND($G2175&lt;&gt;"",ISNA(MATCH($G2175,项目名表,0))),"※项目不在项目台账里",IF(AND(LEFT($F2175,3)="成本-",$G2175=""),"※成本类支出没填项目",IF(AND(LEFT($F2175,3)="成本-",$H2175&lt;&gt;"",N($K2175)&gt;0,COUNTIFS(采购单!$B:$B,$B2175,采购单!$C:$C,$H2175,采购单!$L:$L,$K2175)&gt;0),"※这笔可能和采购单重复了",""))))))))))</f>
        <v/>
      </c>
    </row>
    <row r="2176">
      <c r="A2176" s="17">
        <f>IF($B2176="","",ROW()-3)</f>
        <v/>
      </c>
      <c r="B2176" s="18" t="n"/>
      <c r="C2176" s="13" t="n"/>
      <c r="D2176" s="13" t="n"/>
      <c r="E2176" s="13" t="n"/>
      <c r="F2176" s="17">
        <f>IF($E2176="","",IFERROR(VLOOKUP($E2176,类别归属,2,0),"※类别不在基础资料里"))</f>
        <v/>
      </c>
      <c r="G2176" s="13" t="n"/>
      <c r="H2176" s="13" t="n"/>
      <c r="I2176" s="13" t="n"/>
      <c r="J2176" s="14" t="n"/>
      <c r="K2176" s="14" t="n"/>
      <c r="L2176" s="19">
        <f>IF($C2176="","",ROUND(IFERROR(VLOOKUP($C2176,账户期初,2,0),0)+SUMIFS($J$4:J2176,$C$4:C2176,$C2176)-SUMIFS($K$4:K2176,$C$4:C2176,$C2176),2))</f>
        <v/>
      </c>
      <c r="M2176" s="19">
        <f>IF($C2176="","",ROUND(SUM(基础资料!$B$4:$B$13)+SUM($J$4:J2176)-SUM($K$4:K2176),2))</f>
        <v/>
      </c>
      <c r="N2176" s="13" t="n"/>
      <c r="O2176" s="13" t="n"/>
      <c r="P2176" s="17">
        <f>IF($B2176="","",IF($F2176="※类别不在基础资料里","※费用类别不在基础资料里",IF(AND(N($J2176)=0,N($K2176)=0),"※这行没填金额",IF(AND(N($J2176)&gt;0,N($K2176)&gt;0),"※收入和支出不能同一行都填",IF(AND($D2176="收入",N($J2176)=0),"※收入行要填收入金额",IF(AND($D2176="支出",N($K2176)=0),"※支出行要填支出金额",IF(AND($C2176&lt;&gt;"",ISNA(MATCH($C2176,账户表,0))),"※账户不在基础资料里",IF(AND($G2176&lt;&gt;"",ISNA(MATCH($G2176,项目名表,0))),"※项目不在项目台账里",IF(AND(LEFT($F2176,3)="成本-",$G2176=""),"※成本类支出没填项目",IF(AND(LEFT($F2176,3)="成本-",$H2176&lt;&gt;"",N($K2176)&gt;0,COUNTIFS(采购单!$B:$B,$B2176,采购单!$C:$C,$H2176,采购单!$L:$L,$K2176)&gt;0),"※这笔可能和采购单重复了",""))))))))))</f>
        <v/>
      </c>
    </row>
    <row r="2177">
      <c r="A2177" s="17">
        <f>IF($B2177="","",ROW()-3)</f>
        <v/>
      </c>
      <c r="B2177" s="18" t="n"/>
      <c r="C2177" s="13" t="n"/>
      <c r="D2177" s="13" t="n"/>
      <c r="E2177" s="13" t="n"/>
      <c r="F2177" s="17">
        <f>IF($E2177="","",IFERROR(VLOOKUP($E2177,类别归属,2,0),"※类别不在基础资料里"))</f>
        <v/>
      </c>
      <c r="G2177" s="13" t="n"/>
      <c r="H2177" s="13" t="n"/>
      <c r="I2177" s="13" t="n"/>
      <c r="J2177" s="14" t="n"/>
      <c r="K2177" s="14" t="n"/>
      <c r="L2177" s="19">
        <f>IF($C2177="","",ROUND(IFERROR(VLOOKUP($C2177,账户期初,2,0),0)+SUMIFS($J$4:J2177,$C$4:C2177,$C2177)-SUMIFS($K$4:K2177,$C$4:C2177,$C2177),2))</f>
        <v/>
      </c>
      <c r="M2177" s="19">
        <f>IF($C2177="","",ROUND(SUM(基础资料!$B$4:$B$13)+SUM($J$4:J2177)-SUM($K$4:K2177),2))</f>
        <v/>
      </c>
      <c r="N2177" s="13" t="n"/>
      <c r="O2177" s="13" t="n"/>
      <c r="P2177" s="17">
        <f>IF($B2177="","",IF($F2177="※类别不在基础资料里","※费用类别不在基础资料里",IF(AND(N($J2177)=0,N($K2177)=0),"※这行没填金额",IF(AND(N($J2177)&gt;0,N($K2177)&gt;0),"※收入和支出不能同一行都填",IF(AND($D2177="收入",N($J2177)=0),"※收入行要填收入金额",IF(AND($D2177="支出",N($K2177)=0),"※支出行要填支出金额",IF(AND($C2177&lt;&gt;"",ISNA(MATCH($C2177,账户表,0))),"※账户不在基础资料里",IF(AND($G2177&lt;&gt;"",ISNA(MATCH($G2177,项目名表,0))),"※项目不在项目台账里",IF(AND(LEFT($F2177,3)="成本-",$G2177=""),"※成本类支出没填项目",IF(AND(LEFT($F2177,3)="成本-",$H2177&lt;&gt;"",N($K2177)&gt;0,COUNTIFS(采购单!$B:$B,$B2177,采购单!$C:$C,$H2177,采购单!$L:$L,$K2177)&gt;0),"※这笔可能和采购单重复了",""))))))))))</f>
        <v/>
      </c>
    </row>
    <row r="2178">
      <c r="A2178" s="17">
        <f>IF($B2178="","",ROW()-3)</f>
        <v/>
      </c>
      <c r="B2178" s="18" t="n"/>
      <c r="C2178" s="13" t="n"/>
      <c r="D2178" s="13" t="n"/>
      <c r="E2178" s="13" t="n"/>
      <c r="F2178" s="17">
        <f>IF($E2178="","",IFERROR(VLOOKUP($E2178,类别归属,2,0),"※类别不在基础资料里"))</f>
        <v/>
      </c>
      <c r="G2178" s="13" t="n"/>
      <c r="H2178" s="13" t="n"/>
      <c r="I2178" s="13" t="n"/>
      <c r="J2178" s="14" t="n"/>
      <c r="K2178" s="14" t="n"/>
      <c r="L2178" s="19">
        <f>IF($C2178="","",ROUND(IFERROR(VLOOKUP($C2178,账户期初,2,0),0)+SUMIFS($J$4:J2178,$C$4:C2178,$C2178)-SUMIFS($K$4:K2178,$C$4:C2178,$C2178),2))</f>
        <v/>
      </c>
      <c r="M2178" s="19">
        <f>IF($C2178="","",ROUND(SUM(基础资料!$B$4:$B$13)+SUM($J$4:J2178)-SUM($K$4:K2178),2))</f>
        <v/>
      </c>
      <c r="N2178" s="13" t="n"/>
      <c r="O2178" s="13" t="n"/>
      <c r="P2178" s="17">
        <f>IF($B2178="","",IF($F2178="※类别不在基础资料里","※费用类别不在基础资料里",IF(AND(N($J2178)=0,N($K2178)=0),"※这行没填金额",IF(AND(N($J2178)&gt;0,N($K2178)&gt;0),"※收入和支出不能同一行都填",IF(AND($D2178="收入",N($J2178)=0),"※收入行要填收入金额",IF(AND($D2178="支出",N($K2178)=0),"※支出行要填支出金额",IF(AND($C2178&lt;&gt;"",ISNA(MATCH($C2178,账户表,0))),"※账户不在基础资料里",IF(AND($G2178&lt;&gt;"",ISNA(MATCH($G2178,项目名表,0))),"※项目不在项目台账里",IF(AND(LEFT($F2178,3)="成本-",$G2178=""),"※成本类支出没填项目",IF(AND(LEFT($F2178,3)="成本-",$H2178&lt;&gt;"",N($K2178)&gt;0,COUNTIFS(采购单!$B:$B,$B2178,采购单!$C:$C,$H2178,采购单!$L:$L,$K2178)&gt;0),"※这笔可能和采购单重复了",""))))))))))</f>
        <v/>
      </c>
    </row>
    <row r="2179">
      <c r="A2179" s="17">
        <f>IF($B2179="","",ROW()-3)</f>
        <v/>
      </c>
      <c r="B2179" s="18" t="n"/>
      <c r="C2179" s="13" t="n"/>
      <c r="D2179" s="13" t="n"/>
      <c r="E2179" s="13" t="n"/>
      <c r="F2179" s="17">
        <f>IF($E2179="","",IFERROR(VLOOKUP($E2179,类别归属,2,0),"※类别不在基础资料里"))</f>
        <v/>
      </c>
      <c r="G2179" s="13" t="n"/>
      <c r="H2179" s="13" t="n"/>
      <c r="I2179" s="13" t="n"/>
      <c r="J2179" s="14" t="n"/>
      <c r="K2179" s="14" t="n"/>
      <c r="L2179" s="19">
        <f>IF($C2179="","",ROUND(IFERROR(VLOOKUP($C2179,账户期初,2,0),0)+SUMIFS($J$4:J2179,$C$4:C2179,$C2179)-SUMIFS($K$4:K2179,$C$4:C2179,$C2179),2))</f>
        <v/>
      </c>
      <c r="M2179" s="19">
        <f>IF($C2179="","",ROUND(SUM(基础资料!$B$4:$B$13)+SUM($J$4:J2179)-SUM($K$4:K2179),2))</f>
        <v/>
      </c>
      <c r="N2179" s="13" t="n"/>
      <c r="O2179" s="13" t="n"/>
      <c r="P2179" s="17">
        <f>IF($B2179="","",IF($F2179="※类别不在基础资料里","※费用类别不在基础资料里",IF(AND(N($J2179)=0,N($K2179)=0),"※这行没填金额",IF(AND(N($J2179)&gt;0,N($K2179)&gt;0),"※收入和支出不能同一行都填",IF(AND($D2179="收入",N($J2179)=0),"※收入行要填收入金额",IF(AND($D2179="支出",N($K2179)=0),"※支出行要填支出金额",IF(AND($C2179&lt;&gt;"",ISNA(MATCH($C2179,账户表,0))),"※账户不在基础资料里",IF(AND($G2179&lt;&gt;"",ISNA(MATCH($G2179,项目名表,0))),"※项目不在项目台账里",IF(AND(LEFT($F2179,3)="成本-",$G2179=""),"※成本类支出没填项目",IF(AND(LEFT($F2179,3)="成本-",$H2179&lt;&gt;"",N($K2179)&gt;0,COUNTIFS(采购单!$B:$B,$B2179,采购单!$C:$C,$H2179,采购单!$L:$L,$K2179)&gt;0),"※这笔可能和采购单重复了",""))))))))))</f>
        <v/>
      </c>
    </row>
    <row r="2180">
      <c r="A2180" s="17">
        <f>IF($B2180="","",ROW()-3)</f>
        <v/>
      </c>
      <c r="B2180" s="18" t="n"/>
      <c r="C2180" s="13" t="n"/>
      <c r="D2180" s="13" t="n"/>
      <c r="E2180" s="13" t="n"/>
      <c r="F2180" s="17">
        <f>IF($E2180="","",IFERROR(VLOOKUP($E2180,类别归属,2,0),"※类别不在基础资料里"))</f>
        <v/>
      </c>
      <c r="G2180" s="13" t="n"/>
      <c r="H2180" s="13" t="n"/>
      <c r="I2180" s="13" t="n"/>
      <c r="J2180" s="14" t="n"/>
      <c r="K2180" s="14" t="n"/>
      <c r="L2180" s="19">
        <f>IF($C2180="","",ROUND(IFERROR(VLOOKUP($C2180,账户期初,2,0),0)+SUMIFS($J$4:J2180,$C$4:C2180,$C2180)-SUMIFS($K$4:K2180,$C$4:C2180,$C2180),2))</f>
        <v/>
      </c>
      <c r="M2180" s="19">
        <f>IF($C2180="","",ROUND(SUM(基础资料!$B$4:$B$13)+SUM($J$4:J2180)-SUM($K$4:K2180),2))</f>
        <v/>
      </c>
      <c r="N2180" s="13" t="n"/>
      <c r="O2180" s="13" t="n"/>
      <c r="P2180" s="17">
        <f>IF($B2180="","",IF($F2180="※类别不在基础资料里","※费用类别不在基础资料里",IF(AND(N($J2180)=0,N($K2180)=0),"※这行没填金额",IF(AND(N($J2180)&gt;0,N($K2180)&gt;0),"※收入和支出不能同一行都填",IF(AND($D2180="收入",N($J2180)=0),"※收入行要填收入金额",IF(AND($D2180="支出",N($K2180)=0),"※支出行要填支出金额",IF(AND($C2180&lt;&gt;"",ISNA(MATCH($C2180,账户表,0))),"※账户不在基础资料里",IF(AND($G2180&lt;&gt;"",ISNA(MATCH($G2180,项目名表,0))),"※项目不在项目台账里",IF(AND(LEFT($F2180,3)="成本-",$G2180=""),"※成本类支出没填项目",IF(AND(LEFT($F2180,3)="成本-",$H2180&lt;&gt;"",N($K2180)&gt;0,COUNTIFS(采购单!$B:$B,$B2180,采购单!$C:$C,$H2180,采购单!$L:$L,$K2180)&gt;0),"※这笔可能和采购单重复了",""))))))))))</f>
        <v/>
      </c>
    </row>
    <row r="2181">
      <c r="A2181" s="17">
        <f>IF($B2181="","",ROW()-3)</f>
        <v/>
      </c>
      <c r="B2181" s="18" t="n"/>
      <c r="C2181" s="13" t="n"/>
      <c r="D2181" s="13" t="n"/>
      <c r="E2181" s="13" t="n"/>
      <c r="F2181" s="17">
        <f>IF($E2181="","",IFERROR(VLOOKUP($E2181,类别归属,2,0),"※类别不在基础资料里"))</f>
        <v/>
      </c>
      <c r="G2181" s="13" t="n"/>
      <c r="H2181" s="13" t="n"/>
      <c r="I2181" s="13" t="n"/>
      <c r="J2181" s="14" t="n"/>
      <c r="K2181" s="14" t="n"/>
      <c r="L2181" s="19">
        <f>IF($C2181="","",ROUND(IFERROR(VLOOKUP($C2181,账户期初,2,0),0)+SUMIFS($J$4:J2181,$C$4:C2181,$C2181)-SUMIFS($K$4:K2181,$C$4:C2181,$C2181),2))</f>
        <v/>
      </c>
      <c r="M2181" s="19">
        <f>IF($C2181="","",ROUND(SUM(基础资料!$B$4:$B$13)+SUM($J$4:J2181)-SUM($K$4:K2181),2))</f>
        <v/>
      </c>
      <c r="N2181" s="13" t="n"/>
      <c r="O2181" s="13" t="n"/>
      <c r="P2181" s="17">
        <f>IF($B2181="","",IF($F2181="※类别不在基础资料里","※费用类别不在基础资料里",IF(AND(N($J2181)=0,N($K2181)=0),"※这行没填金额",IF(AND(N($J2181)&gt;0,N($K2181)&gt;0),"※收入和支出不能同一行都填",IF(AND($D2181="收入",N($J2181)=0),"※收入行要填收入金额",IF(AND($D2181="支出",N($K2181)=0),"※支出行要填支出金额",IF(AND($C2181&lt;&gt;"",ISNA(MATCH($C2181,账户表,0))),"※账户不在基础资料里",IF(AND($G2181&lt;&gt;"",ISNA(MATCH($G2181,项目名表,0))),"※项目不在项目台账里",IF(AND(LEFT($F2181,3)="成本-",$G2181=""),"※成本类支出没填项目",IF(AND(LEFT($F2181,3)="成本-",$H2181&lt;&gt;"",N($K2181)&gt;0,COUNTIFS(采购单!$B:$B,$B2181,采购单!$C:$C,$H2181,采购单!$L:$L,$K2181)&gt;0),"※这笔可能和采购单重复了",""))))))))))</f>
        <v/>
      </c>
    </row>
    <row r="2182">
      <c r="A2182" s="17">
        <f>IF($B2182="","",ROW()-3)</f>
        <v/>
      </c>
      <c r="B2182" s="18" t="n"/>
      <c r="C2182" s="13" t="n"/>
      <c r="D2182" s="13" t="n"/>
      <c r="E2182" s="13" t="n"/>
      <c r="F2182" s="17">
        <f>IF($E2182="","",IFERROR(VLOOKUP($E2182,类别归属,2,0),"※类别不在基础资料里"))</f>
        <v/>
      </c>
      <c r="G2182" s="13" t="n"/>
      <c r="H2182" s="13" t="n"/>
      <c r="I2182" s="13" t="n"/>
      <c r="J2182" s="14" t="n"/>
      <c r="K2182" s="14" t="n"/>
      <c r="L2182" s="19">
        <f>IF($C2182="","",ROUND(IFERROR(VLOOKUP($C2182,账户期初,2,0),0)+SUMIFS($J$4:J2182,$C$4:C2182,$C2182)-SUMIFS($K$4:K2182,$C$4:C2182,$C2182),2))</f>
        <v/>
      </c>
      <c r="M2182" s="19">
        <f>IF($C2182="","",ROUND(SUM(基础资料!$B$4:$B$13)+SUM($J$4:J2182)-SUM($K$4:K2182),2))</f>
        <v/>
      </c>
      <c r="N2182" s="13" t="n"/>
      <c r="O2182" s="13" t="n"/>
      <c r="P2182" s="17">
        <f>IF($B2182="","",IF($F2182="※类别不在基础资料里","※费用类别不在基础资料里",IF(AND(N($J2182)=0,N($K2182)=0),"※这行没填金额",IF(AND(N($J2182)&gt;0,N($K2182)&gt;0),"※收入和支出不能同一行都填",IF(AND($D2182="收入",N($J2182)=0),"※收入行要填收入金额",IF(AND($D2182="支出",N($K2182)=0),"※支出行要填支出金额",IF(AND($C2182&lt;&gt;"",ISNA(MATCH($C2182,账户表,0))),"※账户不在基础资料里",IF(AND($G2182&lt;&gt;"",ISNA(MATCH($G2182,项目名表,0))),"※项目不在项目台账里",IF(AND(LEFT($F2182,3)="成本-",$G2182=""),"※成本类支出没填项目",IF(AND(LEFT($F2182,3)="成本-",$H2182&lt;&gt;"",N($K2182)&gt;0,COUNTIFS(采购单!$B:$B,$B2182,采购单!$C:$C,$H2182,采购单!$L:$L,$K2182)&gt;0),"※这笔可能和采购单重复了",""))))))))))</f>
        <v/>
      </c>
    </row>
    <row r="2183">
      <c r="A2183" s="17">
        <f>IF($B2183="","",ROW()-3)</f>
        <v/>
      </c>
      <c r="B2183" s="18" t="n"/>
      <c r="C2183" s="13" t="n"/>
      <c r="D2183" s="13" t="n"/>
      <c r="E2183" s="13" t="n"/>
      <c r="F2183" s="17">
        <f>IF($E2183="","",IFERROR(VLOOKUP($E2183,类别归属,2,0),"※类别不在基础资料里"))</f>
        <v/>
      </c>
      <c r="G2183" s="13" t="n"/>
      <c r="H2183" s="13" t="n"/>
      <c r="I2183" s="13" t="n"/>
      <c r="J2183" s="14" t="n"/>
      <c r="K2183" s="14" t="n"/>
      <c r="L2183" s="19">
        <f>IF($C2183="","",ROUND(IFERROR(VLOOKUP($C2183,账户期初,2,0),0)+SUMIFS($J$4:J2183,$C$4:C2183,$C2183)-SUMIFS($K$4:K2183,$C$4:C2183,$C2183),2))</f>
        <v/>
      </c>
      <c r="M2183" s="19">
        <f>IF($C2183="","",ROUND(SUM(基础资料!$B$4:$B$13)+SUM($J$4:J2183)-SUM($K$4:K2183),2))</f>
        <v/>
      </c>
      <c r="N2183" s="13" t="n"/>
      <c r="O2183" s="13" t="n"/>
      <c r="P2183" s="17">
        <f>IF($B2183="","",IF($F2183="※类别不在基础资料里","※费用类别不在基础资料里",IF(AND(N($J2183)=0,N($K2183)=0),"※这行没填金额",IF(AND(N($J2183)&gt;0,N($K2183)&gt;0),"※收入和支出不能同一行都填",IF(AND($D2183="收入",N($J2183)=0),"※收入行要填收入金额",IF(AND($D2183="支出",N($K2183)=0),"※支出行要填支出金额",IF(AND($C2183&lt;&gt;"",ISNA(MATCH($C2183,账户表,0))),"※账户不在基础资料里",IF(AND($G2183&lt;&gt;"",ISNA(MATCH($G2183,项目名表,0))),"※项目不在项目台账里",IF(AND(LEFT($F2183,3)="成本-",$G2183=""),"※成本类支出没填项目",IF(AND(LEFT($F2183,3)="成本-",$H2183&lt;&gt;"",N($K2183)&gt;0,COUNTIFS(采购单!$B:$B,$B2183,采购单!$C:$C,$H2183,采购单!$L:$L,$K2183)&gt;0),"※这笔可能和采购单重复了",""))))))))))</f>
        <v/>
      </c>
    </row>
    <row r="2184">
      <c r="A2184" s="17">
        <f>IF($B2184="","",ROW()-3)</f>
        <v/>
      </c>
      <c r="B2184" s="18" t="n"/>
      <c r="C2184" s="13" t="n"/>
      <c r="D2184" s="13" t="n"/>
      <c r="E2184" s="13" t="n"/>
      <c r="F2184" s="17">
        <f>IF($E2184="","",IFERROR(VLOOKUP($E2184,类别归属,2,0),"※类别不在基础资料里"))</f>
        <v/>
      </c>
      <c r="G2184" s="13" t="n"/>
      <c r="H2184" s="13" t="n"/>
      <c r="I2184" s="13" t="n"/>
      <c r="J2184" s="14" t="n"/>
      <c r="K2184" s="14" t="n"/>
      <c r="L2184" s="19">
        <f>IF($C2184="","",ROUND(IFERROR(VLOOKUP($C2184,账户期初,2,0),0)+SUMIFS($J$4:J2184,$C$4:C2184,$C2184)-SUMIFS($K$4:K2184,$C$4:C2184,$C2184),2))</f>
        <v/>
      </c>
      <c r="M2184" s="19">
        <f>IF($C2184="","",ROUND(SUM(基础资料!$B$4:$B$13)+SUM($J$4:J2184)-SUM($K$4:K2184),2))</f>
        <v/>
      </c>
      <c r="N2184" s="13" t="n"/>
      <c r="O2184" s="13" t="n"/>
      <c r="P2184" s="17">
        <f>IF($B2184="","",IF($F2184="※类别不在基础资料里","※费用类别不在基础资料里",IF(AND(N($J2184)=0,N($K2184)=0),"※这行没填金额",IF(AND(N($J2184)&gt;0,N($K2184)&gt;0),"※收入和支出不能同一行都填",IF(AND($D2184="收入",N($J2184)=0),"※收入行要填收入金额",IF(AND($D2184="支出",N($K2184)=0),"※支出行要填支出金额",IF(AND($C2184&lt;&gt;"",ISNA(MATCH($C2184,账户表,0))),"※账户不在基础资料里",IF(AND($G2184&lt;&gt;"",ISNA(MATCH($G2184,项目名表,0))),"※项目不在项目台账里",IF(AND(LEFT($F2184,3)="成本-",$G2184=""),"※成本类支出没填项目",IF(AND(LEFT($F2184,3)="成本-",$H2184&lt;&gt;"",N($K2184)&gt;0,COUNTIFS(采购单!$B:$B,$B2184,采购单!$C:$C,$H2184,采购单!$L:$L,$K2184)&gt;0),"※这笔可能和采购单重复了",""))))))))))</f>
        <v/>
      </c>
    </row>
    <row r="2185">
      <c r="A2185" s="17">
        <f>IF($B2185="","",ROW()-3)</f>
        <v/>
      </c>
      <c r="B2185" s="18" t="n"/>
      <c r="C2185" s="13" t="n"/>
      <c r="D2185" s="13" t="n"/>
      <c r="E2185" s="13" t="n"/>
      <c r="F2185" s="17">
        <f>IF($E2185="","",IFERROR(VLOOKUP($E2185,类别归属,2,0),"※类别不在基础资料里"))</f>
        <v/>
      </c>
      <c r="G2185" s="13" t="n"/>
      <c r="H2185" s="13" t="n"/>
      <c r="I2185" s="13" t="n"/>
      <c r="J2185" s="14" t="n"/>
      <c r="K2185" s="14" t="n"/>
      <c r="L2185" s="19">
        <f>IF($C2185="","",ROUND(IFERROR(VLOOKUP($C2185,账户期初,2,0),0)+SUMIFS($J$4:J2185,$C$4:C2185,$C2185)-SUMIFS($K$4:K2185,$C$4:C2185,$C2185),2))</f>
        <v/>
      </c>
      <c r="M2185" s="19">
        <f>IF($C2185="","",ROUND(SUM(基础资料!$B$4:$B$13)+SUM($J$4:J2185)-SUM($K$4:K2185),2))</f>
        <v/>
      </c>
      <c r="N2185" s="13" t="n"/>
      <c r="O2185" s="13" t="n"/>
      <c r="P2185" s="17">
        <f>IF($B2185="","",IF($F2185="※类别不在基础资料里","※费用类别不在基础资料里",IF(AND(N($J2185)=0,N($K2185)=0),"※这行没填金额",IF(AND(N($J2185)&gt;0,N($K2185)&gt;0),"※收入和支出不能同一行都填",IF(AND($D2185="收入",N($J2185)=0),"※收入行要填收入金额",IF(AND($D2185="支出",N($K2185)=0),"※支出行要填支出金额",IF(AND($C2185&lt;&gt;"",ISNA(MATCH($C2185,账户表,0))),"※账户不在基础资料里",IF(AND($G2185&lt;&gt;"",ISNA(MATCH($G2185,项目名表,0))),"※项目不在项目台账里",IF(AND(LEFT($F2185,3)="成本-",$G2185=""),"※成本类支出没填项目",IF(AND(LEFT($F2185,3)="成本-",$H2185&lt;&gt;"",N($K2185)&gt;0,COUNTIFS(采购单!$B:$B,$B2185,采购单!$C:$C,$H2185,采购单!$L:$L,$K2185)&gt;0),"※这笔可能和采购单重复了",""))))))))))</f>
        <v/>
      </c>
    </row>
    <row r="2186">
      <c r="A2186" s="17">
        <f>IF($B2186="","",ROW()-3)</f>
        <v/>
      </c>
      <c r="B2186" s="18" t="n"/>
      <c r="C2186" s="13" t="n"/>
      <c r="D2186" s="13" t="n"/>
      <c r="E2186" s="13" t="n"/>
      <c r="F2186" s="17">
        <f>IF($E2186="","",IFERROR(VLOOKUP($E2186,类别归属,2,0),"※类别不在基础资料里"))</f>
        <v/>
      </c>
      <c r="G2186" s="13" t="n"/>
      <c r="H2186" s="13" t="n"/>
      <c r="I2186" s="13" t="n"/>
      <c r="J2186" s="14" t="n"/>
      <c r="K2186" s="14" t="n"/>
      <c r="L2186" s="19">
        <f>IF($C2186="","",ROUND(IFERROR(VLOOKUP($C2186,账户期初,2,0),0)+SUMIFS($J$4:J2186,$C$4:C2186,$C2186)-SUMIFS($K$4:K2186,$C$4:C2186,$C2186),2))</f>
        <v/>
      </c>
      <c r="M2186" s="19">
        <f>IF($C2186="","",ROUND(SUM(基础资料!$B$4:$B$13)+SUM($J$4:J2186)-SUM($K$4:K2186),2))</f>
        <v/>
      </c>
      <c r="N2186" s="13" t="n"/>
      <c r="O2186" s="13" t="n"/>
      <c r="P2186" s="17">
        <f>IF($B2186="","",IF($F2186="※类别不在基础资料里","※费用类别不在基础资料里",IF(AND(N($J2186)=0,N($K2186)=0),"※这行没填金额",IF(AND(N($J2186)&gt;0,N($K2186)&gt;0),"※收入和支出不能同一行都填",IF(AND($D2186="收入",N($J2186)=0),"※收入行要填收入金额",IF(AND($D2186="支出",N($K2186)=0),"※支出行要填支出金额",IF(AND($C2186&lt;&gt;"",ISNA(MATCH($C2186,账户表,0))),"※账户不在基础资料里",IF(AND($G2186&lt;&gt;"",ISNA(MATCH($G2186,项目名表,0))),"※项目不在项目台账里",IF(AND(LEFT($F2186,3)="成本-",$G2186=""),"※成本类支出没填项目",IF(AND(LEFT($F2186,3)="成本-",$H2186&lt;&gt;"",N($K2186)&gt;0,COUNTIFS(采购单!$B:$B,$B2186,采购单!$C:$C,$H2186,采购单!$L:$L,$K2186)&gt;0),"※这笔可能和采购单重复了",""))))))))))</f>
        <v/>
      </c>
    </row>
    <row r="2187">
      <c r="A2187" s="17">
        <f>IF($B2187="","",ROW()-3)</f>
        <v/>
      </c>
      <c r="B2187" s="18" t="n"/>
      <c r="C2187" s="13" t="n"/>
      <c r="D2187" s="13" t="n"/>
      <c r="E2187" s="13" t="n"/>
      <c r="F2187" s="17">
        <f>IF($E2187="","",IFERROR(VLOOKUP($E2187,类别归属,2,0),"※类别不在基础资料里"))</f>
        <v/>
      </c>
      <c r="G2187" s="13" t="n"/>
      <c r="H2187" s="13" t="n"/>
      <c r="I2187" s="13" t="n"/>
      <c r="J2187" s="14" t="n"/>
      <c r="K2187" s="14" t="n"/>
      <c r="L2187" s="19">
        <f>IF($C2187="","",ROUND(IFERROR(VLOOKUP($C2187,账户期初,2,0),0)+SUMIFS($J$4:J2187,$C$4:C2187,$C2187)-SUMIFS($K$4:K2187,$C$4:C2187,$C2187),2))</f>
        <v/>
      </c>
      <c r="M2187" s="19">
        <f>IF($C2187="","",ROUND(SUM(基础资料!$B$4:$B$13)+SUM($J$4:J2187)-SUM($K$4:K2187),2))</f>
        <v/>
      </c>
      <c r="N2187" s="13" t="n"/>
      <c r="O2187" s="13" t="n"/>
      <c r="P2187" s="17">
        <f>IF($B2187="","",IF($F2187="※类别不在基础资料里","※费用类别不在基础资料里",IF(AND(N($J2187)=0,N($K2187)=0),"※这行没填金额",IF(AND(N($J2187)&gt;0,N($K2187)&gt;0),"※收入和支出不能同一行都填",IF(AND($D2187="收入",N($J2187)=0),"※收入行要填收入金额",IF(AND($D2187="支出",N($K2187)=0),"※支出行要填支出金额",IF(AND($C2187&lt;&gt;"",ISNA(MATCH($C2187,账户表,0))),"※账户不在基础资料里",IF(AND($G2187&lt;&gt;"",ISNA(MATCH($G2187,项目名表,0))),"※项目不在项目台账里",IF(AND(LEFT($F2187,3)="成本-",$G2187=""),"※成本类支出没填项目",IF(AND(LEFT($F2187,3)="成本-",$H2187&lt;&gt;"",N($K2187)&gt;0,COUNTIFS(采购单!$B:$B,$B2187,采购单!$C:$C,$H2187,采购单!$L:$L,$K2187)&gt;0),"※这笔可能和采购单重复了",""))))))))))</f>
        <v/>
      </c>
    </row>
    <row r="2188">
      <c r="A2188" s="17">
        <f>IF($B2188="","",ROW()-3)</f>
        <v/>
      </c>
      <c r="B2188" s="18" t="n"/>
      <c r="C2188" s="13" t="n"/>
      <c r="D2188" s="13" t="n"/>
      <c r="E2188" s="13" t="n"/>
      <c r="F2188" s="17">
        <f>IF($E2188="","",IFERROR(VLOOKUP($E2188,类别归属,2,0),"※类别不在基础资料里"))</f>
        <v/>
      </c>
      <c r="G2188" s="13" t="n"/>
      <c r="H2188" s="13" t="n"/>
      <c r="I2188" s="13" t="n"/>
      <c r="J2188" s="14" t="n"/>
      <c r="K2188" s="14" t="n"/>
      <c r="L2188" s="19">
        <f>IF($C2188="","",ROUND(IFERROR(VLOOKUP($C2188,账户期初,2,0),0)+SUMIFS($J$4:J2188,$C$4:C2188,$C2188)-SUMIFS($K$4:K2188,$C$4:C2188,$C2188),2))</f>
        <v/>
      </c>
      <c r="M2188" s="19">
        <f>IF($C2188="","",ROUND(SUM(基础资料!$B$4:$B$13)+SUM($J$4:J2188)-SUM($K$4:K2188),2))</f>
        <v/>
      </c>
      <c r="N2188" s="13" t="n"/>
      <c r="O2188" s="13" t="n"/>
      <c r="P2188" s="17">
        <f>IF($B2188="","",IF($F2188="※类别不在基础资料里","※费用类别不在基础资料里",IF(AND(N($J2188)=0,N($K2188)=0),"※这行没填金额",IF(AND(N($J2188)&gt;0,N($K2188)&gt;0),"※收入和支出不能同一行都填",IF(AND($D2188="收入",N($J2188)=0),"※收入行要填收入金额",IF(AND($D2188="支出",N($K2188)=0),"※支出行要填支出金额",IF(AND($C2188&lt;&gt;"",ISNA(MATCH($C2188,账户表,0))),"※账户不在基础资料里",IF(AND($G2188&lt;&gt;"",ISNA(MATCH($G2188,项目名表,0))),"※项目不在项目台账里",IF(AND(LEFT($F2188,3)="成本-",$G2188=""),"※成本类支出没填项目",IF(AND(LEFT($F2188,3)="成本-",$H2188&lt;&gt;"",N($K2188)&gt;0,COUNTIFS(采购单!$B:$B,$B2188,采购单!$C:$C,$H2188,采购单!$L:$L,$K2188)&gt;0),"※这笔可能和采购单重复了",""))))))))))</f>
        <v/>
      </c>
    </row>
    <row r="2189">
      <c r="A2189" s="17">
        <f>IF($B2189="","",ROW()-3)</f>
        <v/>
      </c>
      <c r="B2189" s="18" t="n"/>
      <c r="C2189" s="13" t="n"/>
      <c r="D2189" s="13" t="n"/>
      <c r="E2189" s="13" t="n"/>
      <c r="F2189" s="17">
        <f>IF($E2189="","",IFERROR(VLOOKUP($E2189,类别归属,2,0),"※类别不在基础资料里"))</f>
        <v/>
      </c>
      <c r="G2189" s="13" t="n"/>
      <c r="H2189" s="13" t="n"/>
      <c r="I2189" s="13" t="n"/>
      <c r="J2189" s="14" t="n"/>
      <c r="K2189" s="14" t="n"/>
      <c r="L2189" s="19">
        <f>IF($C2189="","",ROUND(IFERROR(VLOOKUP($C2189,账户期初,2,0),0)+SUMIFS($J$4:J2189,$C$4:C2189,$C2189)-SUMIFS($K$4:K2189,$C$4:C2189,$C2189),2))</f>
        <v/>
      </c>
      <c r="M2189" s="19">
        <f>IF($C2189="","",ROUND(SUM(基础资料!$B$4:$B$13)+SUM($J$4:J2189)-SUM($K$4:K2189),2))</f>
        <v/>
      </c>
      <c r="N2189" s="13" t="n"/>
      <c r="O2189" s="13" t="n"/>
      <c r="P2189" s="17">
        <f>IF($B2189="","",IF($F2189="※类别不在基础资料里","※费用类别不在基础资料里",IF(AND(N($J2189)=0,N($K2189)=0),"※这行没填金额",IF(AND(N($J2189)&gt;0,N($K2189)&gt;0),"※收入和支出不能同一行都填",IF(AND($D2189="收入",N($J2189)=0),"※收入行要填收入金额",IF(AND($D2189="支出",N($K2189)=0),"※支出行要填支出金额",IF(AND($C2189&lt;&gt;"",ISNA(MATCH($C2189,账户表,0))),"※账户不在基础资料里",IF(AND($G2189&lt;&gt;"",ISNA(MATCH($G2189,项目名表,0))),"※项目不在项目台账里",IF(AND(LEFT($F2189,3)="成本-",$G2189=""),"※成本类支出没填项目",IF(AND(LEFT($F2189,3)="成本-",$H2189&lt;&gt;"",N($K2189)&gt;0,COUNTIFS(采购单!$B:$B,$B2189,采购单!$C:$C,$H2189,采购单!$L:$L,$K2189)&gt;0),"※这笔可能和采购单重复了",""))))))))))</f>
        <v/>
      </c>
    </row>
    <row r="2190">
      <c r="A2190" s="17">
        <f>IF($B2190="","",ROW()-3)</f>
        <v/>
      </c>
      <c r="B2190" s="18" t="n"/>
      <c r="C2190" s="13" t="n"/>
      <c r="D2190" s="13" t="n"/>
      <c r="E2190" s="13" t="n"/>
      <c r="F2190" s="17">
        <f>IF($E2190="","",IFERROR(VLOOKUP($E2190,类别归属,2,0),"※类别不在基础资料里"))</f>
        <v/>
      </c>
      <c r="G2190" s="13" t="n"/>
      <c r="H2190" s="13" t="n"/>
      <c r="I2190" s="13" t="n"/>
      <c r="J2190" s="14" t="n"/>
      <c r="K2190" s="14" t="n"/>
      <c r="L2190" s="19">
        <f>IF($C2190="","",ROUND(IFERROR(VLOOKUP($C2190,账户期初,2,0),0)+SUMIFS($J$4:J2190,$C$4:C2190,$C2190)-SUMIFS($K$4:K2190,$C$4:C2190,$C2190),2))</f>
        <v/>
      </c>
      <c r="M2190" s="19">
        <f>IF($C2190="","",ROUND(SUM(基础资料!$B$4:$B$13)+SUM($J$4:J2190)-SUM($K$4:K2190),2))</f>
        <v/>
      </c>
      <c r="N2190" s="13" t="n"/>
      <c r="O2190" s="13" t="n"/>
      <c r="P2190" s="17">
        <f>IF($B2190="","",IF($F2190="※类别不在基础资料里","※费用类别不在基础资料里",IF(AND(N($J2190)=0,N($K2190)=0),"※这行没填金额",IF(AND(N($J2190)&gt;0,N($K2190)&gt;0),"※收入和支出不能同一行都填",IF(AND($D2190="收入",N($J2190)=0),"※收入行要填收入金额",IF(AND($D2190="支出",N($K2190)=0),"※支出行要填支出金额",IF(AND($C2190&lt;&gt;"",ISNA(MATCH($C2190,账户表,0))),"※账户不在基础资料里",IF(AND($G2190&lt;&gt;"",ISNA(MATCH($G2190,项目名表,0))),"※项目不在项目台账里",IF(AND(LEFT($F2190,3)="成本-",$G2190=""),"※成本类支出没填项目",IF(AND(LEFT($F2190,3)="成本-",$H2190&lt;&gt;"",N($K2190)&gt;0,COUNTIFS(采购单!$B:$B,$B2190,采购单!$C:$C,$H2190,采购单!$L:$L,$K2190)&gt;0),"※这笔可能和采购单重复了",""))))))))))</f>
        <v/>
      </c>
    </row>
    <row r="2191">
      <c r="A2191" s="17">
        <f>IF($B2191="","",ROW()-3)</f>
        <v/>
      </c>
      <c r="B2191" s="18" t="n"/>
      <c r="C2191" s="13" t="n"/>
      <c r="D2191" s="13" t="n"/>
      <c r="E2191" s="13" t="n"/>
      <c r="F2191" s="17">
        <f>IF($E2191="","",IFERROR(VLOOKUP($E2191,类别归属,2,0),"※类别不在基础资料里"))</f>
        <v/>
      </c>
      <c r="G2191" s="13" t="n"/>
      <c r="H2191" s="13" t="n"/>
      <c r="I2191" s="13" t="n"/>
      <c r="J2191" s="14" t="n"/>
      <c r="K2191" s="14" t="n"/>
      <c r="L2191" s="19">
        <f>IF($C2191="","",ROUND(IFERROR(VLOOKUP($C2191,账户期初,2,0),0)+SUMIFS($J$4:J2191,$C$4:C2191,$C2191)-SUMIFS($K$4:K2191,$C$4:C2191,$C2191),2))</f>
        <v/>
      </c>
      <c r="M2191" s="19">
        <f>IF($C2191="","",ROUND(SUM(基础资料!$B$4:$B$13)+SUM($J$4:J2191)-SUM($K$4:K2191),2))</f>
        <v/>
      </c>
      <c r="N2191" s="13" t="n"/>
      <c r="O2191" s="13" t="n"/>
      <c r="P2191" s="17">
        <f>IF($B2191="","",IF($F2191="※类别不在基础资料里","※费用类别不在基础资料里",IF(AND(N($J2191)=0,N($K2191)=0),"※这行没填金额",IF(AND(N($J2191)&gt;0,N($K2191)&gt;0),"※收入和支出不能同一行都填",IF(AND($D2191="收入",N($J2191)=0),"※收入行要填收入金额",IF(AND($D2191="支出",N($K2191)=0),"※支出行要填支出金额",IF(AND($C2191&lt;&gt;"",ISNA(MATCH($C2191,账户表,0))),"※账户不在基础资料里",IF(AND($G2191&lt;&gt;"",ISNA(MATCH($G2191,项目名表,0))),"※项目不在项目台账里",IF(AND(LEFT($F2191,3)="成本-",$G2191=""),"※成本类支出没填项目",IF(AND(LEFT($F2191,3)="成本-",$H2191&lt;&gt;"",N($K2191)&gt;0,COUNTIFS(采购单!$B:$B,$B2191,采购单!$C:$C,$H2191,采购单!$L:$L,$K2191)&gt;0),"※这笔可能和采购单重复了",""))))))))))</f>
        <v/>
      </c>
    </row>
    <row r="2192">
      <c r="A2192" s="17">
        <f>IF($B2192="","",ROW()-3)</f>
        <v/>
      </c>
      <c r="B2192" s="18" t="n"/>
      <c r="C2192" s="13" t="n"/>
      <c r="D2192" s="13" t="n"/>
      <c r="E2192" s="13" t="n"/>
      <c r="F2192" s="17">
        <f>IF($E2192="","",IFERROR(VLOOKUP($E2192,类别归属,2,0),"※类别不在基础资料里"))</f>
        <v/>
      </c>
      <c r="G2192" s="13" t="n"/>
      <c r="H2192" s="13" t="n"/>
      <c r="I2192" s="13" t="n"/>
      <c r="J2192" s="14" t="n"/>
      <c r="K2192" s="14" t="n"/>
      <c r="L2192" s="19">
        <f>IF($C2192="","",ROUND(IFERROR(VLOOKUP($C2192,账户期初,2,0),0)+SUMIFS($J$4:J2192,$C$4:C2192,$C2192)-SUMIFS($K$4:K2192,$C$4:C2192,$C2192),2))</f>
        <v/>
      </c>
      <c r="M2192" s="19">
        <f>IF($C2192="","",ROUND(SUM(基础资料!$B$4:$B$13)+SUM($J$4:J2192)-SUM($K$4:K2192),2))</f>
        <v/>
      </c>
      <c r="N2192" s="13" t="n"/>
      <c r="O2192" s="13" t="n"/>
      <c r="P2192" s="17">
        <f>IF($B2192="","",IF($F2192="※类别不在基础资料里","※费用类别不在基础资料里",IF(AND(N($J2192)=0,N($K2192)=0),"※这行没填金额",IF(AND(N($J2192)&gt;0,N($K2192)&gt;0),"※收入和支出不能同一行都填",IF(AND($D2192="收入",N($J2192)=0),"※收入行要填收入金额",IF(AND($D2192="支出",N($K2192)=0),"※支出行要填支出金额",IF(AND($C2192&lt;&gt;"",ISNA(MATCH($C2192,账户表,0))),"※账户不在基础资料里",IF(AND($G2192&lt;&gt;"",ISNA(MATCH($G2192,项目名表,0))),"※项目不在项目台账里",IF(AND(LEFT($F2192,3)="成本-",$G2192=""),"※成本类支出没填项目",IF(AND(LEFT($F2192,3)="成本-",$H2192&lt;&gt;"",N($K2192)&gt;0,COUNTIFS(采购单!$B:$B,$B2192,采购单!$C:$C,$H2192,采购单!$L:$L,$K2192)&gt;0),"※这笔可能和采购单重复了",""))))))))))</f>
        <v/>
      </c>
    </row>
    <row r="2193">
      <c r="A2193" s="17">
        <f>IF($B2193="","",ROW()-3)</f>
        <v/>
      </c>
      <c r="B2193" s="18" t="n"/>
      <c r="C2193" s="13" t="n"/>
      <c r="D2193" s="13" t="n"/>
      <c r="E2193" s="13" t="n"/>
      <c r="F2193" s="17">
        <f>IF($E2193="","",IFERROR(VLOOKUP($E2193,类别归属,2,0),"※类别不在基础资料里"))</f>
        <v/>
      </c>
      <c r="G2193" s="13" t="n"/>
      <c r="H2193" s="13" t="n"/>
      <c r="I2193" s="13" t="n"/>
      <c r="J2193" s="14" t="n"/>
      <c r="K2193" s="14" t="n"/>
      <c r="L2193" s="19">
        <f>IF($C2193="","",ROUND(IFERROR(VLOOKUP($C2193,账户期初,2,0),0)+SUMIFS($J$4:J2193,$C$4:C2193,$C2193)-SUMIFS($K$4:K2193,$C$4:C2193,$C2193),2))</f>
        <v/>
      </c>
      <c r="M2193" s="19">
        <f>IF($C2193="","",ROUND(SUM(基础资料!$B$4:$B$13)+SUM($J$4:J2193)-SUM($K$4:K2193),2))</f>
        <v/>
      </c>
      <c r="N2193" s="13" t="n"/>
      <c r="O2193" s="13" t="n"/>
      <c r="P2193" s="17">
        <f>IF($B2193="","",IF($F2193="※类别不在基础资料里","※费用类别不在基础资料里",IF(AND(N($J2193)=0,N($K2193)=0),"※这行没填金额",IF(AND(N($J2193)&gt;0,N($K2193)&gt;0),"※收入和支出不能同一行都填",IF(AND($D2193="收入",N($J2193)=0),"※收入行要填收入金额",IF(AND($D2193="支出",N($K2193)=0),"※支出行要填支出金额",IF(AND($C2193&lt;&gt;"",ISNA(MATCH($C2193,账户表,0))),"※账户不在基础资料里",IF(AND($G2193&lt;&gt;"",ISNA(MATCH($G2193,项目名表,0))),"※项目不在项目台账里",IF(AND(LEFT($F2193,3)="成本-",$G2193=""),"※成本类支出没填项目",IF(AND(LEFT($F2193,3)="成本-",$H2193&lt;&gt;"",N($K2193)&gt;0,COUNTIFS(采购单!$B:$B,$B2193,采购单!$C:$C,$H2193,采购单!$L:$L,$K2193)&gt;0),"※这笔可能和采购单重复了",""))))))))))</f>
        <v/>
      </c>
    </row>
    <row r="2194">
      <c r="A2194" s="17">
        <f>IF($B2194="","",ROW()-3)</f>
        <v/>
      </c>
      <c r="B2194" s="18" t="n"/>
      <c r="C2194" s="13" t="n"/>
      <c r="D2194" s="13" t="n"/>
      <c r="E2194" s="13" t="n"/>
      <c r="F2194" s="17">
        <f>IF($E2194="","",IFERROR(VLOOKUP($E2194,类别归属,2,0),"※类别不在基础资料里"))</f>
        <v/>
      </c>
      <c r="G2194" s="13" t="n"/>
      <c r="H2194" s="13" t="n"/>
      <c r="I2194" s="13" t="n"/>
      <c r="J2194" s="14" t="n"/>
      <c r="K2194" s="14" t="n"/>
      <c r="L2194" s="19">
        <f>IF($C2194="","",ROUND(IFERROR(VLOOKUP($C2194,账户期初,2,0),0)+SUMIFS($J$4:J2194,$C$4:C2194,$C2194)-SUMIFS($K$4:K2194,$C$4:C2194,$C2194),2))</f>
        <v/>
      </c>
      <c r="M2194" s="19">
        <f>IF($C2194="","",ROUND(SUM(基础资料!$B$4:$B$13)+SUM($J$4:J2194)-SUM($K$4:K2194),2))</f>
        <v/>
      </c>
      <c r="N2194" s="13" t="n"/>
      <c r="O2194" s="13" t="n"/>
      <c r="P2194" s="17">
        <f>IF($B2194="","",IF($F2194="※类别不在基础资料里","※费用类别不在基础资料里",IF(AND(N($J2194)=0,N($K2194)=0),"※这行没填金额",IF(AND(N($J2194)&gt;0,N($K2194)&gt;0),"※收入和支出不能同一行都填",IF(AND($D2194="收入",N($J2194)=0),"※收入行要填收入金额",IF(AND($D2194="支出",N($K2194)=0),"※支出行要填支出金额",IF(AND($C2194&lt;&gt;"",ISNA(MATCH($C2194,账户表,0))),"※账户不在基础资料里",IF(AND($G2194&lt;&gt;"",ISNA(MATCH($G2194,项目名表,0))),"※项目不在项目台账里",IF(AND(LEFT($F2194,3)="成本-",$G2194=""),"※成本类支出没填项目",IF(AND(LEFT($F2194,3)="成本-",$H2194&lt;&gt;"",N($K2194)&gt;0,COUNTIFS(采购单!$B:$B,$B2194,采购单!$C:$C,$H2194,采购单!$L:$L,$K2194)&gt;0),"※这笔可能和采购单重复了",""))))))))))</f>
        <v/>
      </c>
    </row>
    <row r="2195">
      <c r="A2195" s="17">
        <f>IF($B2195="","",ROW()-3)</f>
        <v/>
      </c>
      <c r="B2195" s="18" t="n"/>
      <c r="C2195" s="13" t="n"/>
      <c r="D2195" s="13" t="n"/>
      <c r="E2195" s="13" t="n"/>
      <c r="F2195" s="17">
        <f>IF($E2195="","",IFERROR(VLOOKUP($E2195,类别归属,2,0),"※类别不在基础资料里"))</f>
        <v/>
      </c>
      <c r="G2195" s="13" t="n"/>
      <c r="H2195" s="13" t="n"/>
      <c r="I2195" s="13" t="n"/>
      <c r="J2195" s="14" t="n"/>
      <c r="K2195" s="14" t="n"/>
      <c r="L2195" s="19">
        <f>IF($C2195="","",ROUND(IFERROR(VLOOKUP($C2195,账户期初,2,0),0)+SUMIFS($J$4:J2195,$C$4:C2195,$C2195)-SUMIFS($K$4:K2195,$C$4:C2195,$C2195),2))</f>
        <v/>
      </c>
      <c r="M2195" s="19">
        <f>IF($C2195="","",ROUND(SUM(基础资料!$B$4:$B$13)+SUM($J$4:J2195)-SUM($K$4:K2195),2))</f>
        <v/>
      </c>
      <c r="N2195" s="13" t="n"/>
      <c r="O2195" s="13" t="n"/>
      <c r="P2195" s="17">
        <f>IF($B2195="","",IF($F2195="※类别不在基础资料里","※费用类别不在基础资料里",IF(AND(N($J2195)=0,N($K2195)=0),"※这行没填金额",IF(AND(N($J2195)&gt;0,N($K2195)&gt;0),"※收入和支出不能同一行都填",IF(AND($D2195="收入",N($J2195)=0),"※收入行要填收入金额",IF(AND($D2195="支出",N($K2195)=0),"※支出行要填支出金额",IF(AND($C2195&lt;&gt;"",ISNA(MATCH($C2195,账户表,0))),"※账户不在基础资料里",IF(AND($G2195&lt;&gt;"",ISNA(MATCH($G2195,项目名表,0))),"※项目不在项目台账里",IF(AND(LEFT($F2195,3)="成本-",$G2195=""),"※成本类支出没填项目",IF(AND(LEFT($F2195,3)="成本-",$H2195&lt;&gt;"",N($K2195)&gt;0,COUNTIFS(采购单!$B:$B,$B2195,采购单!$C:$C,$H2195,采购单!$L:$L,$K2195)&gt;0),"※这笔可能和采购单重复了",""))))))))))</f>
        <v/>
      </c>
    </row>
    <row r="2196">
      <c r="A2196" s="17">
        <f>IF($B2196="","",ROW()-3)</f>
        <v/>
      </c>
      <c r="B2196" s="18" t="n"/>
      <c r="C2196" s="13" t="n"/>
      <c r="D2196" s="13" t="n"/>
      <c r="E2196" s="13" t="n"/>
      <c r="F2196" s="17">
        <f>IF($E2196="","",IFERROR(VLOOKUP($E2196,类别归属,2,0),"※类别不在基础资料里"))</f>
        <v/>
      </c>
      <c r="G2196" s="13" t="n"/>
      <c r="H2196" s="13" t="n"/>
      <c r="I2196" s="13" t="n"/>
      <c r="J2196" s="14" t="n"/>
      <c r="K2196" s="14" t="n"/>
      <c r="L2196" s="19">
        <f>IF($C2196="","",ROUND(IFERROR(VLOOKUP($C2196,账户期初,2,0),0)+SUMIFS($J$4:J2196,$C$4:C2196,$C2196)-SUMIFS($K$4:K2196,$C$4:C2196,$C2196),2))</f>
        <v/>
      </c>
      <c r="M2196" s="19">
        <f>IF($C2196="","",ROUND(SUM(基础资料!$B$4:$B$13)+SUM($J$4:J2196)-SUM($K$4:K2196),2))</f>
        <v/>
      </c>
      <c r="N2196" s="13" t="n"/>
      <c r="O2196" s="13" t="n"/>
      <c r="P2196" s="17">
        <f>IF($B2196="","",IF($F2196="※类别不在基础资料里","※费用类别不在基础资料里",IF(AND(N($J2196)=0,N($K2196)=0),"※这行没填金额",IF(AND(N($J2196)&gt;0,N($K2196)&gt;0),"※收入和支出不能同一行都填",IF(AND($D2196="收入",N($J2196)=0),"※收入行要填收入金额",IF(AND($D2196="支出",N($K2196)=0),"※支出行要填支出金额",IF(AND($C2196&lt;&gt;"",ISNA(MATCH($C2196,账户表,0))),"※账户不在基础资料里",IF(AND($G2196&lt;&gt;"",ISNA(MATCH($G2196,项目名表,0))),"※项目不在项目台账里",IF(AND(LEFT($F2196,3)="成本-",$G2196=""),"※成本类支出没填项目",IF(AND(LEFT($F2196,3)="成本-",$H2196&lt;&gt;"",N($K2196)&gt;0,COUNTIFS(采购单!$B:$B,$B2196,采购单!$C:$C,$H2196,采购单!$L:$L,$K2196)&gt;0),"※这笔可能和采购单重复了",""))))))))))</f>
        <v/>
      </c>
    </row>
    <row r="2197">
      <c r="A2197" s="17">
        <f>IF($B2197="","",ROW()-3)</f>
        <v/>
      </c>
      <c r="B2197" s="18" t="n"/>
      <c r="C2197" s="13" t="n"/>
      <c r="D2197" s="13" t="n"/>
      <c r="E2197" s="13" t="n"/>
      <c r="F2197" s="17">
        <f>IF($E2197="","",IFERROR(VLOOKUP($E2197,类别归属,2,0),"※类别不在基础资料里"))</f>
        <v/>
      </c>
      <c r="G2197" s="13" t="n"/>
      <c r="H2197" s="13" t="n"/>
      <c r="I2197" s="13" t="n"/>
      <c r="J2197" s="14" t="n"/>
      <c r="K2197" s="14" t="n"/>
      <c r="L2197" s="19">
        <f>IF($C2197="","",ROUND(IFERROR(VLOOKUP($C2197,账户期初,2,0),0)+SUMIFS($J$4:J2197,$C$4:C2197,$C2197)-SUMIFS($K$4:K2197,$C$4:C2197,$C2197),2))</f>
        <v/>
      </c>
      <c r="M2197" s="19">
        <f>IF($C2197="","",ROUND(SUM(基础资料!$B$4:$B$13)+SUM($J$4:J2197)-SUM($K$4:K2197),2))</f>
        <v/>
      </c>
      <c r="N2197" s="13" t="n"/>
      <c r="O2197" s="13" t="n"/>
      <c r="P2197" s="17">
        <f>IF($B2197="","",IF($F2197="※类别不在基础资料里","※费用类别不在基础资料里",IF(AND(N($J2197)=0,N($K2197)=0),"※这行没填金额",IF(AND(N($J2197)&gt;0,N($K2197)&gt;0),"※收入和支出不能同一行都填",IF(AND($D2197="收入",N($J2197)=0),"※收入行要填收入金额",IF(AND($D2197="支出",N($K2197)=0),"※支出行要填支出金额",IF(AND($C2197&lt;&gt;"",ISNA(MATCH($C2197,账户表,0))),"※账户不在基础资料里",IF(AND($G2197&lt;&gt;"",ISNA(MATCH($G2197,项目名表,0))),"※项目不在项目台账里",IF(AND(LEFT($F2197,3)="成本-",$G2197=""),"※成本类支出没填项目",IF(AND(LEFT($F2197,3)="成本-",$H2197&lt;&gt;"",N($K2197)&gt;0,COUNTIFS(采购单!$B:$B,$B2197,采购单!$C:$C,$H2197,采购单!$L:$L,$K2197)&gt;0),"※这笔可能和采购单重复了",""))))))))))</f>
        <v/>
      </c>
    </row>
    <row r="2198">
      <c r="A2198" s="17">
        <f>IF($B2198="","",ROW()-3)</f>
        <v/>
      </c>
      <c r="B2198" s="18" t="n"/>
      <c r="C2198" s="13" t="n"/>
      <c r="D2198" s="13" t="n"/>
      <c r="E2198" s="13" t="n"/>
      <c r="F2198" s="17">
        <f>IF($E2198="","",IFERROR(VLOOKUP($E2198,类别归属,2,0),"※类别不在基础资料里"))</f>
        <v/>
      </c>
      <c r="G2198" s="13" t="n"/>
      <c r="H2198" s="13" t="n"/>
      <c r="I2198" s="13" t="n"/>
      <c r="J2198" s="14" t="n"/>
      <c r="K2198" s="14" t="n"/>
      <c r="L2198" s="19">
        <f>IF($C2198="","",ROUND(IFERROR(VLOOKUP($C2198,账户期初,2,0),0)+SUMIFS($J$4:J2198,$C$4:C2198,$C2198)-SUMIFS($K$4:K2198,$C$4:C2198,$C2198),2))</f>
        <v/>
      </c>
      <c r="M2198" s="19">
        <f>IF($C2198="","",ROUND(SUM(基础资料!$B$4:$B$13)+SUM($J$4:J2198)-SUM($K$4:K2198),2))</f>
        <v/>
      </c>
      <c r="N2198" s="13" t="n"/>
      <c r="O2198" s="13" t="n"/>
      <c r="P2198" s="17">
        <f>IF($B2198="","",IF($F2198="※类别不在基础资料里","※费用类别不在基础资料里",IF(AND(N($J2198)=0,N($K2198)=0),"※这行没填金额",IF(AND(N($J2198)&gt;0,N($K2198)&gt;0),"※收入和支出不能同一行都填",IF(AND($D2198="收入",N($J2198)=0),"※收入行要填收入金额",IF(AND($D2198="支出",N($K2198)=0),"※支出行要填支出金额",IF(AND($C2198&lt;&gt;"",ISNA(MATCH($C2198,账户表,0))),"※账户不在基础资料里",IF(AND($G2198&lt;&gt;"",ISNA(MATCH($G2198,项目名表,0))),"※项目不在项目台账里",IF(AND(LEFT($F2198,3)="成本-",$G2198=""),"※成本类支出没填项目",IF(AND(LEFT($F2198,3)="成本-",$H2198&lt;&gt;"",N($K2198)&gt;0,COUNTIFS(采购单!$B:$B,$B2198,采购单!$C:$C,$H2198,采购单!$L:$L,$K2198)&gt;0),"※这笔可能和采购单重复了",""))))))))))</f>
        <v/>
      </c>
    </row>
    <row r="2199">
      <c r="A2199" s="17">
        <f>IF($B2199="","",ROW()-3)</f>
        <v/>
      </c>
      <c r="B2199" s="18" t="n"/>
      <c r="C2199" s="13" t="n"/>
      <c r="D2199" s="13" t="n"/>
      <c r="E2199" s="13" t="n"/>
      <c r="F2199" s="17">
        <f>IF($E2199="","",IFERROR(VLOOKUP($E2199,类别归属,2,0),"※类别不在基础资料里"))</f>
        <v/>
      </c>
      <c r="G2199" s="13" t="n"/>
      <c r="H2199" s="13" t="n"/>
      <c r="I2199" s="13" t="n"/>
      <c r="J2199" s="14" t="n"/>
      <c r="K2199" s="14" t="n"/>
      <c r="L2199" s="19">
        <f>IF($C2199="","",ROUND(IFERROR(VLOOKUP($C2199,账户期初,2,0),0)+SUMIFS($J$4:J2199,$C$4:C2199,$C2199)-SUMIFS($K$4:K2199,$C$4:C2199,$C2199),2))</f>
        <v/>
      </c>
      <c r="M2199" s="19">
        <f>IF($C2199="","",ROUND(SUM(基础资料!$B$4:$B$13)+SUM($J$4:J2199)-SUM($K$4:K2199),2))</f>
        <v/>
      </c>
      <c r="N2199" s="13" t="n"/>
      <c r="O2199" s="13" t="n"/>
      <c r="P2199" s="17">
        <f>IF($B2199="","",IF($F2199="※类别不在基础资料里","※费用类别不在基础资料里",IF(AND(N($J2199)=0,N($K2199)=0),"※这行没填金额",IF(AND(N($J2199)&gt;0,N($K2199)&gt;0),"※收入和支出不能同一行都填",IF(AND($D2199="收入",N($J2199)=0),"※收入行要填收入金额",IF(AND($D2199="支出",N($K2199)=0),"※支出行要填支出金额",IF(AND($C2199&lt;&gt;"",ISNA(MATCH($C2199,账户表,0))),"※账户不在基础资料里",IF(AND($G2199&lt;&gt;"",ISNA(MATCH($G2199,项目名表,0))),"※项目不在项目台账里",IF(AND(LEFT($F2199,3)="成本-",$G2199=""),"※成本类支出没填项目",IF(AND(LEFT($F2199,3)="成本-",$H2199&lt;&gt;"",N($K2199)&gt;0,COUNTIFS(采购单!$B:$B,$B2199,采购单!$C:$C,$H2199,采购单!$L:$L,$K2199)&gt;0),"※这笔可能和采购单重复了",""))))))))))</f>
        <v/>
      </c>
    </row>
    <row r="2200">
      <c r="A2200" s="17">
        <f>IF($B2200="","",ROW()-3)</f>
        <v/>
      </c>
      <c r="B2200" s="18" t="n"/>
      <c r="C2200" s="13" t="n"/>
      <c r="D2200" s="13" t="n"/>
      <c r="E2200" s="13" t="n"/>
      <c r="F2200" s="17">
        <f>IF($E2200="","",IFERROR(VLOOKUP($E2200,类别归属,2,0),"※类别不在基础资料里"))</f>
        <v/>
      </c>
      <c r="G2200" s="13" t="n"/>
      <c r="H2200" s="13" t="n"/>
      <c r="I2200" s="13" t="n"/>
      <c r="J2200" s="14" t="n"/>
      <c r="K2200" s="14" t="n"/>
      <c r="L2200" s="19">
        <f>IF($C2200="","",ROUND(IFERROR(VLOOKUP($C2200,账户期初,2,0),0)+SUMIFS($J$4:J2200,$C$4:C2200,$C2200)-SUMIFS($K$4:K2200,$C$4:C2200,$C2200),2))</f>
        <v/>
      </c>
      <c r="M2200" s="19">
        <f>IF($C2200="","",ROUND(SUM(基础资料!$B$4:$B$13)+SUM($J$4:J2200)-SUM($K$4:K2200),2))</f>
        <v/>
      </c>
      <c r="N2200" s="13" t="n"/>
      <c r="O2200" s="13" t="n"/>
      <c r="P2200" s="17">
        <f>IF($B2200="","",IF($F2200="※类别不在基础资料里","※费用类别不在基础资料里",IF(AND(N($J2200)=0,N($K2200)=0),"※这行没填金额",IF(AND(N($J2200)&gt;0,N($K2200)&gt;0),"※收入和支出不能同一行都填",IF(AND($D2200="收入",N($J2200)=0),"※收入行要填收入金额",IF(AND($D2200="支出",N($K2200)=0),"※支出行要填支出金额",IF(AND($C2200&lt;&gt;"",ISNA(MATCH($C2200,账户表,0))),"※账户不在基础资料里",IF(AND($G2200&lt;&gt;"",ISNA(MATCH($G2200,项目名表,0))),"※项目不在项目台账里",IF(AND(LEFT($F2200,3)="成本-",$G2200=""),"※成本类支出没填项目",IF(AND(LEFT($F2200,3)="成本-",$H2200&lt;&gt;"",N($K2200)&gt;0,COUNTIFS(采购单!$B:$B,$B2200,采购单!$C:$C,$H2200,采购单!$L:$L,$K2200)&gt;0),"※这笔可能和采购单重复了",""))))))))))</f>
        <v/>
      </c>
    </row>
    <row r="2201">
      <c r="A2201" s="17">
        <f>IF($B2201="","",ROW()-3)</f>
        <v/>
      </c>
      <c r="B2201" s="18" t="n"/>
      <c r="C2201" s="13" t="n"/>
      <c r="D2201" s="13" t="n"/>
      <c r="E2201" s="13" t="n"/>
      <c r="F2201" s="17">
        <f>IF($E2201="","",IFERROR(VLOOKUP($E2201,类别归属,2,0),"※类别不在基础资料里"))</f>
        <v/>
      </c>
      <c r="G2201" s="13" t="n"/>
      <c r="H2201" s="13" t="n"/>
      <c r="I2201" s="13" t="n"/>
      <c r="J2201" s="14" t="n"/>
      <c r="K2201" s="14" t="n"/>
      <c r="L2201" s="19">
        <f>IF($C2201="","",ROUND(IFERROR(VLOOKUP($C2201,账户期初,2,0),0)+SUMIFS($J$4:J2201,$C$4:C2201,$C2201)-SUMIFS($K$4:K2201,$C$4:C2201,$C2201),2))</f>
        <v/>
      </c>
      <c r="M2201" s="19">
        <f>IF($C2201="","",ROUND(SUM(基础资料!$B$4:$B$13)+SUM($J$4:J2201)-SUM($K$4:K2201),2))</f>
        <v/>
      </c>
      <c r="N2201" s="13" t="n"/>
      <c r="O2201" s="13" t="n"/>
      <c r="P2201" s="17">
        <f>IF($B2201="","",IF($F2201="※类别不在基础资料里","※费用类别不在基础资料里",IF(AND(N($J2201)=0,N($K2201)=0),"※这行没填金额",IF(AND(N($J2201)&gt;0,N($K2201)&gt;0),"※收入和支出不能同一行都填",IF(AND($D2201="收入",N($J2201)=0),"※收入行要填收入金额",IF(AND($D2201="支出",N($K2201)=0),"※支出行要填支出金额",IF(AND($C2201&lt;&gt;"",ISNA(MATCH($C2201,账户表,0))),"※账户不在基础资料里",IF(AND($G2201&lt;&gt;"",ISNA(MATCH($G2201,项目名表,0))),"※项目不在项目台账里",IF(AND(LEFT($F2201,3)="成本-",$G2201=""),"※成本类支出没填项目",IF(AND(LEFT($F2201,3)="成本-",$H2201&lt;&gt;"",N($K2201)&gt;0,COUNTIFS(采购单!$B:$B,$B2201,采购单!$C:$C,$H2201,采购单!$L:$L,$K2201)&gt;0),"※这笔可能和采购单重复了",""))))))))))</f>
        <v/>
      </c>
    </row>
    <row r="2202">
      <c r="A2202" s="17">
        <f>IF($B2202="","",ROW()-3)</f>
        <v/>
      </c>
      <c r="B2202" s="18" t="n"/>
      <c r="C2202" s="13" t="n"/>
      <c r="D2202" s="13" t="n"/>
      <c r="E2202" s="13" t="n"/>
      <c r="F2202" s="17">
        <f>IF($E2202="","",IFERROR(VLOOKUP($E2202,类别归属,2,0),"※类别不在基础资料里"))</f>
        <v/>
      </c>
      <c r="G2202" s="13" t="n"/>
      <c r="H2202" s="13" t="n"/>
      <c r="I2202" s="13" t="n"/>
      <c r="J2202" s="14" t="n"/>
      <c r="K2202" s="14" t="n"/>
      <c r="L2202" s="19">
        <f>IF($C2202="","",ROUND(IFERROR(VLOOKUP($C2202,账户期初,2,0),0)+SUMIFS($J$4:J2202,$C$4:C2202,$C2202)-SUMIFS($K$4:K2202,$C$4:C2202,$C2202),2))</f>
        <v/>
      </c>
      <c r="M2202" s="19">
        <f>IF($C2202="","",ROUND(SUM(基础资料!$B$4:$B$13)+SUM($J$4:J2202)-SUM($K$4:K2202),2))</f>
        <v/>
      </c>
      <c r="N2202" s="13" t="n"/>
      <c r="O2202" s="13" t="n"/>
      <c r="P2202" s="17">
        <f>IF($B2202="","",IF($F2202="※类别不在基础资料里","※费用类别不在基础资料里",IF(AND(N($J2202)=0,N($K2202)=0),"※这行没填金额",IF(AND(N($J2202)&gt;0,N($K2202)&gt;0),"※收入和支出不能同一行都填",IF(AND($D2202="收入",N($J2202)=0),"※收入行要填收入金额",IF(AND($D2202="支出",N($K2202)=0),"※支出行要填支出金额",IF(AND($C2202&lt;&gt;"",ISNA(MATCH($C2202,账户表,0))),"※账户不在基础资料里",IF(AND($G2202&lt;&gt;"",ISNA(MATCH($G2202,项目名表,0))),"※项目不在项目台账里",IF(AND(LEFT($F2202,3)="成本-",$G2202=""),"※成本类支出没填项目",IF(AND(LEFT($F2202,3)="成本-",$H2202&lt;&gt;"",N($K2202)&gt;0,COUNTIFS(采购单!$B:$B,$B2202,采购单!$C:$C,$H2202,采购单!$L:$L,$K2202)&gt;0),"※这笔可能和采购单重复了",""))))))))))</f>
        <v/>
      </c>
    </row>
    <row r="2203">
      <c r="A2203" s="17">
        <f>IF($B2203="","",ROW()-3)</f>
        <v/>
      </c>
      <c r="B2203" s="18" t="n"/>
      <c r="C2203" s="13" t="n"/>
      <c r="D2203" s="13" t="n"/>
      <c r="E2203" s="13" t="n"/>
      <c r="F2203" s="17">
        <f>IF($E2203="","",IFERROR(VLOOKUP($E2203,类别归属,2,0),"※类别不在基础资料里"))</f>
        <v/>
      </c>
      <c r="G2203" s="13" t="n"/>
      <c r="H2203" s="13" t="n"/>
      <c r="I2203" s="13" t="n"/>
      <c r="J2203" s="14" t="n"/>
      <c r="K2203" s="14" t="n"/>
      <c r="L2203" s="19">
        <f>IF($C2203="","",ROUND(IFERROR(VLOOKUP($C2203,账户期初,2,0),0)+SUMIFS($J$4:J2203,$C$4:C2203,$C2203)-SUMIFS($K$4:K2203,$C$4:C2203,$C2203),2))</f>
        <v/>
      </c>
      <c r="M2203" s="19">
        <f>IF($C2203="","",ROUND(SUM(基础资料!$B$4:$B$13)+SUM($J$4:J2203)-SUM($K$4:K2203),2))</f>
        <v/>
      </c>
      <c r="N2203" s="13" t="n"/>
      <c r="O2203" s="13" t="n"/>
      <c r="P2203" s="17">
        <f>IF($B2203="","",IF($F2203="※类别不在基础资料里","※费用类别不在基础资料里",IF(AND(N($J2203)=0,N($K2203)=0),"※这行没填金额",IF(AND(N($J2203)&gt;0,N($K2203)&gt;0),"※收入和支出不能同一行都填",IF(AND($D2203="收入",N($J2203)=0),"※收入行要填收入金额",IF(AND($D2203="支出",N($K2203)=0),"※支出行要填支出金额",IF(AND($C2203&lt;&gt;"",ISNA(MATCH($C2203,账户表,0))),"※账户不在基础资料里",IF(AND($G2203&lt;&gt;"",ISNA(MATCH($G2203,项目名表,0))),"※项目不在项目台账里",IF(AND(LEFT($F2203,3)="成本-",$G2203=""),"※成本类支出没填项目",IF(AND(LEFT($F2203,3)="成本-",$H2203&lt;&gt;"",N($K2203)&gt;0,COUNTIFS(采购单!$B:$B,$B2203,采购单!$C:$C,$H2203,采购单!$L:$L,$K2203)&gt;0),"※这笔可能和采购单重复了",""))))))))))</f>
        <v/>
      </c>
    </row>
    <row r="2204">
      <c r="A2204" s="17">
        <f>IF($B2204="","",ROW()-3)</f>
        <v/>
      </c>
      <c r="B2204" s="18" t="n"/>
      <c r="C2204" s="13" t="n"/>
      <c r="D2204" s="13" t="n"/>
      <c r="E2204" s="13" t="n"/>
      <c r="F2204" s="17">
        <f>IF($E2204="","",IFERROR(VLOOKUP($E2204,类别归属,2,0),"※类别不在基础资料里"))</f>
        <v/>
      </c>
      <c r="G2204" s="13" t="n"/>
      <c r="H2204" s="13" t="n"/>
      <c r="I2204" s="13" t="n"/>
      <c r="J2204" s="14" t="n"/>
      <c r="K2204" s="14" t="n"/>
      <c r="L2204" s="19">
        <f>IF($C2204="","",ROUND(IFERROR(VLOOKUP($C2204,账户期初,2,0),0)+SUMIFS($J$4:J2204,$C$4:C2204,$C2204)-SUMIFS($K$4:K2204,$C$4:C2204,$C2204),2))</f>
        <v/>
      </c>
      <c r="M2204" s="19">
        <f>IF($C2204="","",ROUND(SUM(基础资料!$B$4:$B$13)+SUM($J$4:J2204)-SUM($K$4:K2204),2))</f>
        <v/>
      </c>
      <c r="N2204" s="13" t="n"/>
      <c r="O2204" s="13" t="n"/>
      <c r="P2204" s="17">
        <f>IF($B2204="","",IF($F2204="※类别不在基础资料里","※费用类别不在基础资料里",IF(AND(N($J2204)=0,N($K2204)=0),"※这行没填金额",IF(AND(N($J2204)&gt;0,N($K2204)&gt;0),"※收入和支出不能同一行都填",IF(AND($D2204="收入",N($J2204)=0),"※收入行要填收入金额",IF(AND($D2204="支出",N($K2204)=0),"※支出行要填支出金额",IF(AND($C2204&lt;&gt;"",ISNA(MATCH($C2204,账户表,0))),"※账户不在基础资料里",IF(AND($G2204&lt;&gt;"",ISNA(MATCH($G2204,项目名表,0))),"※项目不在项目台账里",IF(AND(LEFT($F2204,3)="成本-",$G2204=""),"※成本类支出没填项目",IF(AND(LEFT($F2204,3)="成本-",$H2204&lt;&gt;"",N($K2204)&gt;0,COUNTIFS(采购单!$B:$B,$B2204,采购单!$C:$C,$H2204,采购单!$L:$L,$K2204)&gt;0),"※这笔可能和采购单重复了",""))))))))))</f>
        <v/>
      </c>
    </row>
    <row r="2205">
      <c r="A2205" s="17">
        <f>IF($B2205="","",ROW()-3)</f>
        <v/>
      </c>
      <c r="B2205" s="18" t="n"/>
      <c r="C2205" s="13" t="n"/>
      <c r="D2205" s="13" t="n"/>
      <c r="E2205" s="13" t="n"/>
      <c r="F2205" s="17">
        <f>IF($E2205="","",IFERROR(VLOOKUP($E2205,类别归属,2,0),"※类别不在基础资料里"))</f>
        <v/>
      </c>
      <c r="G2205" s="13" t="n"/>
      <c r="H2205" s="13" t="n"/>
      <c r="I2205" s="13" t="n"/>
      <c r="J2205" s="14" t="n"/>
      <c r="K2205" s="14" t="n"/>
      <c r="L2205" s="19">
        <f>IF($C2205="","",ROUND(IFERROR(VLOOKUP($C2205,账户期初,2,0),0)+SUMIFS($J$4:J2205,$C$4:C2205,$C2205)-SUMIFS($K$4:K2205,$C$4:C2205,$C2205),2))</f>
        <v/>
      </c>
      <c r="M2205" s="19">
        <f>IF($C2205="","",ROUND(SUM(基础资料!$B$4:$B$13)+SUM($J$4:J2205)-SUM($K$4:K2205),2))</f>
        <v/>
      </c>
      <c r="N2205" s="13" t="n"/>
      <c r="O2205" s="13" t="n"/>
      <c r="P2205" s="17">
        <f>IF($B2205="","",IF($F2205="※类别不在基础资料里","※费用类别不在基础资料里",IF(AND(N($J2205)=0,N($K2205)=0),"※这行没填金额",IF(AND(N($J2205)&gt;0,N($K2205)&gt;0),"※收入和支出不能同一行都填",IF(AND($D2205="收入",N($J2205)=0),"※收入行要填收入金额",IF(AND($D2205="支出",N($K2205)=0),"※支出行要填支出金额",IF(AND($C2205&lt;&gt;"",ISNA(MATCH($C2205,账户表,0))),"※账户不在基础资料里",IF(AND($G2205&lt;&gt;"",ISNA(MATCH($G2205,项目名表,0))),"※项目不在项目台账里",IF(AND(LEFT($F2205,3)="成本-",$G2205=""),"※成本类支出没填项目",IF(AND(LEFT($F2205,3)="成本-",$H2205&lt;&gt;"",N($K2205)&gt;0,COUNTIFS(采购单!$B:$B,$B2205,采购单!$C:$C,$H2205,采购单!$L:$L,$K2205)&gt;0),"※这笔可能和采购单重复了",""))))))))))</f>
        <v/>
      </c>
    </row>
    <row r="2206">
      <c r="A2206" s="17">
        <f>IF($B2206="","",ROW()-3)</f>
        <v/>
      </c>
      <c r="B2206" s="18" t="n"/>
      <c r="C2206" s="13" t="n"/>
      <c r="D2206" s="13" t="n"/>
      <c r="E2206" s="13" t="n"/>
      <c r="F2206" s="17">
        <f>IF($E2206="","",IFERROR(VLOOKUP($E2206,类别归属,2,0),"※类别不在基础资料里"))</f>
        <v/>
      </c>
      <c r="G2206" s="13" t="n"/>
      <c r="H2206" s="13" t="n"/>
      <c r="I2206" s="13" t="n"/>
      <c r="J2206" s="14" t="n"/>
      <c r="K2206" s="14" t="n"/>
      <c r="L2206" s="19">
        <f>IF($C2206="","",ROUND(IFERROR(VLOOKUP($C2206,账户期初,2,0),0)+SUMIFS($J$4:J2206,$C$4:C2206,$C2206)-SUMIFS($K$4:K2206,$C$4:C2206,$C2206),2))</f>
        <v/>
      </c>
      <c r="M2206" s="19">
        <f>IF($C2206="","",ROUND(SUM(基础资料!$B$4:$B$13)+SUM($J$4:J2206)-SUM($K$4:K2206),2))</f>
        <v/>
      </c>
      <c r="N2206" s="13" t="n"/>
      <c r="O2206" s="13" t="n"/>
      <c r="P2206" s="17">
        <f>IF($B2206="","",IF($F2206="※类别不在基础资料里","※费用类别不在基础资料里",IF(AND(N($J2206)=0,N($K2206)=0),"※这行没填金额",IF(AND(N($J2206)&gt;0,N($K2206)&gt;0),"※收入和支出不能同一行都填",IF(AND($D2206="收入",N($J2206)=0),"※收入行要填收入金额",IF(AND($D2206="支出",N($K2206)=0),"※支出行要填支出金额",IF(AND($C2206&lt;&gt;"",ISNA(MATCH($C2206,账户表,0))),"※账户不在基础资料里",IF(AND($G2206&lt;&gt;"",ISNA(MATCH($G2206,项目名表,0))),"※项目不在项目台账里",IF(AND(LEFT($F2206,3)="成本-",$G2206=""),"※成本类支出没填项目",IF(AND(LEFT($F2206,3)="成本-",$H2206&lt;&gt;"",N($K2206)&gt;0,COUNTIFS(采购单!$B:$B,$B2206,采购单!$C:$C,$H2206,采购单!$L:$L,$K2206)&gt;0),"※这笔可能和采购单重复了",""))))))))))</f>
        <v/>
      </c>
    </row>
    <row r="2207">
      <c r="A2207" s="17">
        <f>IF($B2207="","",ROW()-3)</f>
        <v/>
      </c>
      <c r="B2207" s="18" t="n"/>
      <c r="C2207" s="13" t="n"/>
      <c r="D2207" s="13" t="n"/>
      <c r="E2207" s="13" t="n"/>
      <c r="F2207" s="17">
        <f>IF($E2207="","",IFERROR(VLOOKUP($E2207,类别归属,2,0),"※类别不在基础资料里"))</f>
        <v/>
      </c>
      <c r="G2207" s="13" t="n"/>
      <c r="H2207" s="13" t="n"/>
      <c r="I2207" s="13" t="n"/>
      <c r="J2207" s="14" t="n"/>
      <c r="K2207" s="14" t="n"/>
      <c r="L2207" s="19">
        <f>IF($C2207="","",ROUND(IFERROR(VLOOKUP($C2207,账户期初,2,0),0)+SUMIFS($J$4:J2207,$C$4:C2207,$C2207)-SUMIFS($K$4:K2207,$C$4:C2207,$C2207),2))</f>
        <v/>
      </c>
      <c r="M2207" s="19">
        <f>IF($C2207="","",ROUND(SUM(基础资料!$B$4:$B$13)+SUM($J$4:J2207)-SUM($K$4:K2207),2))</f>
        <v/>
      </c>
      <c r="N2207" s="13" t="n"/>
      <c r="O2207" s="13" t="n"/>
      <c r="P2207" s="17">
        <f>IF($B2207="","",IF($F2207="※类别不在基础资料里","※费用类别不在基础资料里",IF(AND(N($J2207)=0,N($K2207)=0),"※这行没填金额",IF(AND(N($J2207)&gt;0,N($K2207)&gt;0),"※收入和支出不能同一行都填",IF(AND($D2207="收入",N($J2207)=0),"※收入行要填收入金额",IF(AND($D2207="支出",N($K2207)=0),"※支出行要填支出金额",IF(AND($C2207&lt;&gt;"",ISNA(MATCH($C2207,账户表,0))),"※账户不在基础资料里",IF(AND($G2207&lt;&gt;"",ISNA(MATCH($G2207,项目名表,0))),"※项目不在项目台账里",IF(AND(LEFT($F2207,3)="成本-",$G2207=""),"※成本类支出没填项目",IF(AND(LEFT($F2207,3)="成本-",$H2207&lt;&gt;"",N($K2207)&gt;0,COUNTIFS(采购单!$B:$B,$B2207,采购单!$C:$C,$H2207,采购单!$L:$L,$K2207)&gt;0),"※这笔可能和采购单重复了",""))))))))))</f>
        <v/>
      </c>
    </row>
    <row r="2208">
      <c r="A2208" s="17">
        <f>IF($B2208="","",ROW()-3)</f>
        <v/>
      </c>
      <c r="B2208" s="18" t="n"/>
      <c r="C2208" s="13" t="n"/>
      <c r="D2208" s="13" t="n"/>
      <c r="E2208" s="13" t="n"/>
      <c r="F2208" s="17">
        <f>IF($E2208="","",IFERROR(VLOOKUP($E2208,类别归属,2,0),"※类别不在基础资料里"))</f>
        <v/>
      </c>
      <c r="G2208" s="13" t="n"/>
      <c r="H2208" s="13" t="n"/>
      <c r="I2208" s="13" t="n"/>
      <c r="J2208" s="14" t="n"/>
      <c r="K2208" s="14" t="n"/>
      <c r="L2208" s="19">
        <f>IF($C2208="","",ROUND(IFERROR(VLOOKUP($C2208,账户期初,2,0),0)+SUMIFS($J$4:J2208,$C$4:C2208,$C2208)-SUMIFS($K$4:K2208,$C$4:C2208,$C2208),2))</f>
        <v/>
      </c>
      <c r="M2208" s="19">
        <f>IF($C2208="","",ROUND(SUM(基础资料!$B$4:$B$13)+SUM($J$4:J2208)-SUM($K$4:K2208),2))</f>
        <v/>
      </c>
      <c r="N2208" s="13" t="n"/>
      <c r="O2208" s="13" t="n"/>
      <c r="P2208" s="17">
        <f>IF($B2208="","",IF($F2208="※类别不在基础资料里","※费用类别不在基础资料里",IF(AND(N($J2208)=0,N($K2208)=0),"※这行没填金额",IF(AND(N($J2208)&gt;0,N($K2208)&gt;0),"※收入和支出不能同一行都填",IF(AND($D2208="收入",N($J2208)=0),"※收入行要填收入金额",IF(AND($D2208="支出",N($K2208)=0),"※支出行要填支出金额",IF(AND($C2208&lt;&gt;"",ISNA(MATCH($C2208,账户表,0))),"※账户不在基础资料里",IF(AND($G2208&lt;&gt;"",ISNA(MATCH($G2208,项目名表,0))),"※项目不在项目台账里",IF(AND(LEFT($F2208,3)="成本-",$G2208=""),"※成本类支出没填项目",IF(AND(LEFT($F2208,3)="成本-",$H2208&lt;&gt;"",N($K2208)&gt;0,COUNTIFS(采购单!$B:$B,$B2208,采购单!$C:$C,$H2208,采购单!$L:$L,$K2208)&gt;0),"※这笔可能和采购单重复了",""))))))))))</f>
        <v/>
      </c>
    </row>
    <row r="2209">
      <c r="A2209" s="17">
        <f>IF($B2209="","",ROW()-3)</f>
        <v/>
      </c>
      <c r="B2209" s="18" t="n"/>
      <c r="C2209" s="13" t="n"/>
      <c r="D2209" s="13" t="n"/>
      <c r="E2209" s="13" t="n"/>
      <c r="F2209" s="17">
        <f>IF($E2209="","",IFERROR(VLOOKUP($E2209,类别归属,2,0),"※类别不在基础资料里"))</f>
        <v/>
      </c>
      <c r="G2209" s="13" t="n"/>
      <c r="H2209" s="13" t="n"/>
      <c r="I2209" s="13" t="n"/>
      <c r="J2209" s="14" t="n"/>
      <c r="K2209" s="14" t="n"/>
      <c r="L2209" s="19">
        <f>IF($C2209="","",ROUND(IFERROR(VLOOKUP($C2209,账户期初,2,0),0)+SUMIFS($J$4:J2209,$C$4:C2209,$C2209)-SUMIFS($K$4:K2209,$C$4:C2209,$C2209),2))</f>
        <v/>
      </c>
      <c r="M2209" s="19">
        <f>IF($C2209="","",ROUND(SUM(基础资料!$B$4:$B$13)+SUM($J$4:J2209)-SUM($K$4:K2209),2))</f>
        <v/>
      </c>
      <c r="N2209" s="13" t="n"/>
      <c r="O2209" s="13" t="n"/>
      <c r="P2209" s="17">
        <f>IF($B2209="","",IF($F2209="※类别不在基础资料里","※费用类别不在基础资料里",IF(AND(N($J2209)=0,N($K2209)=0),"※这行没填金额",IF(AND(N($J2209)&gt;0,N($K2209)&gt;0),"※收入和支出不能同一行都填",IF(AND($D2209="收入",N($J2209)=0),"※收入行要填收入金额",IF(AND($D2209="支出",N($K2209)=0),"※支出行要填支出金额",IF(AND($C2209&lt;&gt;"",ISNA(MATCH($C2209,账户表,0))),"※账户不在基础资料里",IF(AND($G2209&lt;&gt;"",ISNA(MATCH($G2209,项目名表,0))),"※项目不在项目台账里",IF(AND(LEFT($F2209,3)="成本-",$G2209=""),"※成本类支出没填项目",IF(AND(LEFT($F2209,3)="成本-",$H2209&lt;&gt;"",N($K2209)&gt;0,COUNTIFS(采购单!$B:$B,$B2209,采购单!$C:$C,$H2209,采购单!$L:$L,$K2209)&gt;0),"※这笔可能和采购单重复了",""))))))))))</f>
        <v/>
      </c>
    </row>
    <row r="2210">
      <c r="A2210" s="17">
        <f>IF($B2210="","",ROW()-3)</f>
        <v/>
      </c>
      <c r="B2210" s="18" t="n"/>
      <c r="C2210" s="13" t="n"/>
      <c r="D2210" s="13" t="n"/>
      <c r="E2210" s="13" t="n"/>
      <c r="F2210" s="17">
        <f>IF($E2210="","",IFERROR(VLOOKUP($E2210,类别归属,2,0),"※类别不在基础资料里"))</f>
        <v/>
      </c>
      <c r="G2210" s="13" t="n"/>
      <c r="H2210" s="13" t="n"/>
      <c r="I2210" s="13" t="n"/>
      <c r="J2210" s="14" t="n"/>
      <c r="K2210" s="14" t="n"/>
      <c r="L2210" s="19">
        <f>IF($C2210="","",ROUND(IFERROR(VLOOKUP($C2210,账户期初,2,0),0)+SUMIFS($J$4:J2210,$C$4:C2210,$C2210)-SUMIFS($K$4:K2210,$C$4:C2210,$C2210),2))</f>
        <v/>
      </c>
      <c r="M2210" s="19">
        <f>IF($C2210="","",ROUND(SUM(基础资料!$B$4:$B$13)+SUM($J$4:J2210)-SUM($K$4:K2210),2))</f>
        <v/>
      </c>
      <c r="N2210" s="13" t="n"/>
      <c r="O2210" s="13" t="n"/>
      <c r="P2210" s="17">
        <f>IF($B2210="","",IF($F2210="※类别不在基础资料里","※费用类别不在基础资料里",IF(AND(N($J2210)=0,N($K2210)=0),"※这行没填金额",IF(AND(N($J2210)&gt;0,N($K2210)&gt;0),"※收入和支出不能同一行都填",IF(AND($D2210="收入",N($J2210)=0),"※收入行要填收入金额",IF(AND($D2210="支出",N($K2210)=0),"※支出行要填支出金额",IF(AND($C2210&lt;&gt;"",ISNA(MATCH($C2210,账户表,0))),"※账户不在基础资料里",IF(AND($G2210&lt;&gt;"",ISNA(MATCH($G2210,项目名表,0))),"※项目不在项目台账里",IF(AND(LEFT($F2210,3)="成本-",$G2210=""),"※成本类支出没填项目",IF(AND(LEFT($F2210,3)="成本-",$H2210&lt;&gt;"",N($K2210)&gt;0,COUNTIFS(采购单!$B:$B,$B2210,采购单!$C:$C,$H2210,采购单!$L:$L,$K2210)&gt;0),"※这笔可能和采购单重复了",""))))))))))</f>
        <v/>
      </c>
    </row>
    <row r="2211">
      <c r="A2211" s="17">
        <f>IF($B2211="","",ROW()-3)</f>
        <v/>
      </c>
      <c r="B2211" s="18" t="n"/>
      <c r="C2211" s="13" t="n"/>
      <c r="D2211" s="13" t="n"/>
      <c r="E2211" s="13" t="n"/>
      <c r="F2211" s="17">
        <f>IF($E2211="","",IFERROR(VLOOKUP($E2211,类别归属,2,0),"※类别不在基础资料里"))</f>
        <v/>
      </c>
      <c r="G2211" s="13" t="n"/>
      <c r="H2211" s="13" t="n"/>
      <c r="I2211" s="13" t="n"/>
      <c r="J2211" s="14" t="n"/>
      <c r="K2211" s="14" t="n"/>
      <c r="L2211" s="19">
        <f>IF($C2211="","",ROUND(IFERROR(VLOOKUP($C2211,账户期初,2,0),0)+SUMIFS($J$4:J2211,$C$4:C2211,$C2211)-SUMIFS($K$4:K2211,$C$4:C2211,$C2211),2))</f>
        <v/>
      </c>
      <c r="M2211" s="19">
        <f>IF($C2211="","",ROUND(SUM(基础资料!$B$4:$B$13)+SUM($J$4:J2211)-SUM($K$4:K2211),2))</f>
        <v/>
      </c>
      <c r="N2211" s="13" t="n"/>
      <c r="O2211" s="13" t="n"/>
      <c r="P2211" s="17">
        <f>IF($B2211="","",IF($F2211="※类别不在基础资料里","※费用类别不在基础资料里",IF(AND(N($J2211)=0,N($K2211)=0),"※这行没填金额",IF(AND(N($J2211)&gt;0,N($K2211)&gt;0),"※收入和支出不能同一行都填",IF(AND($D2211="收入",N($J2211)=0),"※收入行要填收入金额",IF(AND($D2211="支出",N($K2211)=0),"※支出行要填支出金额",IF(AND($C2211&lt;&gt;"",ISNA(MATCH($C2211,账户表,0))),"※账户不在基础资料里",IF(AND($G2211&lt;&gt;"",ISNA(MATCH($G2211,项目名表,0))),"※项目不在项目台账里",IF(AND(LEFT($F2211,3)="成本-",$G2211=""),"※成本类支出没填项目",IF(AND(LEFT($F2211,3)="成本-",$H2211&lt;&gt;"",N($K2211)&gt;0,COUNTIFS(采购单!$B:$B,$B2211,采购单!$C:$C,$H2211,采购单!$L:$L,$K2211)&gt;0),"※这笔可能和采购单重复了",""))))))))))</f>
        <v/>
      </c>
    </row>
    <row r="2212">
      <c r="A2212" s="17">
        <f>IF($B2212="","",ROW()-3)</f>
        <v/>
      </c>
      <c r="B2212" s="18" t="n"/>
      <c r="C2212" s="13" t="n"/>
      <c r="D2212" s="13" t="n"/>
      <c r="E2212" s="13" t="n"/>
      <c r="F2212" s="17">
        <f>IF($E2212="","",IFERROR(VLOOKUP($E2212,类别归属,2,0),"※类别不在基础资料里"))</f>
        <v/>
      </c>
      <c r="G2212" s="13" t="n"/>
      <c r="H2212" s="13" t="n"/>
      <c r="I2212" s="13" t="n"/>
      <c r="J2212" s="14" t="n"/>
      <c r="K2212" s="14" t="n"/>
      <c r="L2212" s="19">
        <f>IF($C2212="","",ROUND(IFERROR(VLOOKUP($C2212,账户期初,2,0),0)+SUMIFS($J$4:J2212,$C$4:C2212,$C2212)-SUMIFS($K$4:K2212,$C$4:C2212,$C2212),2))</f>
        <v/>
      </c>
      <c r="M2212" s="19">
        <f>IF($C2212="","",ROUND(SUM(基础资料!$B$4:$B$13)+SUM($J$4:J2212)-SUM($K$4:K2212),2))</f>
        <v/>
      </c>
      <c r="N2212" s="13" t="n"/>
      <c r="O2212" s="13" t="n"/>
      <c r="P2212" s="17">
        <f>IF($B2212="","",IF($F2212="※类别不在基础资料里","※费用类别不在基础资料里",IF(AND(N($J2212)=0,N($K2212)=0),"※这行没填金额",IF(AND(N($J2212)&gt;0,N($K2212)&gt;0),"※收入和支出不能同一行都填",IF(AND($D2212="收入",N($J2212)=0),"※收入行要填收入金额",IF(AND($D2212="支出",N($K2212)=0),"※支出行要填支出金额",IF(AND($C2212&lt;&gt;"",ISNA(MATCH($C2212,账户表,0))),"※账户不在基础资料里",IF(AND($G2212&lt;&gt;"",ISNA(MATCH($G2212,项目名表,0))),"※项目不在项目台账里",IF(AND(LEFT($F2212,3)="成本-",$G2212=""),"※成本类支出没填项目",IF(AND(LEFT($F2212,3)="成本-",$H2212&lt;&gt;"",N($K2212)&gt;0,COUNTIFS(采购单!$B:$B,$B2212,采购单!$C:$C,$H2212,采购单!$L:$L,$K2212)&gt;0),"※这笔可能和采购单重复了",""))))))))))</f>
        <v/>
      </c>
    </row>
    <row r="2213">
      <c r="A2213" s="17">
        <f>IF($B2213="","",ROW()-3)</f>
        <v/>
      </c>
      <c r="B2213" s="18" t="n"/>
      <c r="C2213" s="13" t="n"/>
      <c r="D2213" s="13" t="n"/>
      <c r="E2213" s="13" t="n"/>
      <c r="F2213" s="17">
        <f>IF($E2213="","",IFERROR(VLOOKUP($E2213,类别归属,2,0),"※类别不在基础资料里"))</f>
        <v/>
      </c>
      <c r="G2213" s="13" t="n"/>
      <c r="H2213" s="13" t="n"/>
      <c r="I2213" s="13" t="n"/>
      <c r="J2213" s="14" t="n"/>
      <c r="K2213" s="14" t="n"/>
      <c r="L2213" s="19">
        <f>IF($C2213="","",ROUND(IFERROR(VLOOKUP($C2213,账户期初,2,0),0)+SUMIFS($J$4:J2213,$C$4:C2213,$C2213)-SUMIFS($K$4:K2213,$C$4:C2213,$C2213),2))</f>
        <v/>
      </c>
      <c r="M2213" s="19">
        <f>IF($C2213="","",ROUND(SUM(基础资料!$B$4:$B$13)+SUM($J$4:J2213)-SUM($K$4:K2213),2))</f>
        <v/>
      </c>
      <c r="N2213" s="13" t="n"/>
      <c r="O2213" s="13" t="n"/>
      <c r="P2213" s="17">
        <f>IF($B2213="","",IF($F2213="※类别不在基础资料里","※费用类别不在基础资料里",IF(AND(N($J2213)=0,N($K2213)=0),"※这行没填金额",IF(AND(N($J2213)&gt;0,N($K2213)&gt;0),"※收入和支出不能同一行都填",IF(AND($D2213="收入",N($J2213)=0),"※收入行要填收入金额",IF(AND($D2213="支出",N($K2213)=0),"※支出行要填支出金额",IF(AND($C2213&lt;&gt;"",ISNA(MATCH($C2213,账户表,0))),"※账户不在基础资料里",IF(AND($G2213&lt;&gt;"",ISNA(MATCH($G2213,项目名表,0))),"※项目不在项目台账里",IF(AND(LEFT($F2213,3)="成本-",$G2213=""),"※成本类支出没填项目",IF(AND(LEFT($F2213,3)="成本-",$H2213&lt;&gt;"",N($K2213)&gt;0,COUNTIFS(采购单!$B:$B,$B2213,采购单!$C:$C,$H2213,采购单!$L:$L,$K2213)&gt;0),"※这笔可能和采购单重复了",""))))))))))</f>
        <v/>
      </c>
    </row>
    <row r="2214">
      <c r="A2214" s="17">
        <f>IF($B2214="","",ROW()-3)</f>
        <v/>
      </c>
      <c r="B2214" s="18" t="n"/>
      <c r="C2214" s="13" t="n"/>
      <c r="D2214" s="13" t="n"/>
      <c r="E2214" s="13" t="n"/>
      <c r="F2214" s="17">
        <f>IF($E2214="","",IFERROR(VLOOKUP($E2214,类别归属,2,0),"※类别不在基础资料里"))</f>
        <v/>
      </c>
      <c r="G2214" s="13" t="n"/>
      <c r="H2214" s="13" t="n"/>
      <c r="I2214" s="13" t="n"/>
      <c r="J2214" s="14" t="n"/>
      <c r="K2214" s="14" t="n"/>
      <c r="L2214" s="19">
        <f>IF($C2214="","",ROUND(IFERROR(VLOOKUP($C2214,账户期初,2,0),0)+SUMIFS($J$4:J2214,$C$4:C2214,$C2214)-SUMIFS($K$4:K2214,$C$4:C2214,$C2214),2))</f>
        <v/>
      </c>
      <c r="M2214" s="19">
        <f>IF($C2214="","",ROUND(SUM(基础资料!$B$4:$B$13)+SUM($J$4:J2214)-SUM($K$4:K2214),2))</f>
        <v/>
      </c>
      <c r="N2214" s="13" t="n"/>
      <c r="O2214" s="13" t="n"/>
      <c r="P2214" s="17">
        <f>IF($B2214="","",IF($F2214="※类别不在基础资料里","※费用类别不在基础资料里",IF(AND(N($J2214)=0,N($K2214)=0),"※这行没填金额",IF(AND(N($J2214)&gt;0,N($K2214)&gt;0),"※收入和支出不能同一行都填",IF(AND($D2214="收入",N($J2214)=0),"※收入行要填收入金额",IF(AND($D2214="支出",N($K2214)=0),"※支出行要填支出金额",IF(AND($C2214&lt;&gt;"",ISNA(MATCH($C2214,账户表,0))),"※账户不在基础资料里",IF(AND($G2214&lt;&gt;"",ISNA(MATCH($G2214,项目名表,0))),"※项目不在项目台账里",IF(AND(LEFT($F2214,3)="成本-",$G2214=""),"※成本类支出没填项目",IF(AND(LEFT($F2214,3)="成本-",$H2214&lt;&gt;"",N($K2214)&gt;0,COUNTIFS(采购单!$B:$B,$B2214,采购单!$C:$C,$H2214,采购单!$L:$L,$K2214)&gt;0),"※这笔可能和采购单重复了",""))))))))))</f>
        <v/>
      </c>
    </row>
    <row r="2215">
      <c r="A2215" s="17">
        <f>IF($B2215="","",ROW()-3)</f>
        <v/>
      </c>
      <c r="B2215" s="18" t="n"/>
      <c r="C2215" s="13" t="n"/>
      <c r="D2215" s="13" t="n"/>
      <c r="E2215" s="13" t="n"/>
      <c r="F2215" s="17">
        <f>IF($E2215="","",IFERROR(VLOOKUP($E2215,类别归属,2,0),"※类别不在基础资料里"))</f>
        <v/>
      </c>
      <c r="G2215" s="13" t="n"/>
      <c r="H2215" s="13" t="n"/>
      <c r="I2215" s="13" t="n"/>
      <c r="J2215" s="14" t="n"/>
      <c r="K2215" s="14" t="n"/>
      <c r="L2215" s="19">
        <f>IF($C2215="","",ROUND(IFERROR(VLOOKUP($C2215,账户期初,2,0),0)+SUMIFS($J$4:J2215,$C$4:C2215,$C2215)-SUMIFS($K$4:K2215,$C$4:C2215,$C2215),2))</f>
        <v/>
      </c>
      <c r="M2215" s="19">
        <f>IF($C2215="","",ROUND(SUM(基础资料!$B$4:$B$13)+SUM($J$4:J2215)-SUM($K$4:K2215),2))</f>
        <v/>
      </c>
      <c r="N2215" s="13" t="n"/>
      <c r="O2215" s="13" t="n"/>
      <c r="P2215" s="17">
        <f>IF($B2215="","",IF($F2215="※类别不在基础资料里","※费用类别不在基础资料里",IF(AND(N($J2215)=0,N($K2215)=0),"※这行没填金额",IF(AND(N($J2215)&gt;0,N($K2215)&gt;0),"※收入和支出不能同一行都填",IF(AND($D2215="收入",N($J2215)=0),"※收入行要填收入金额",IF(AND($D2215="支出",N($K2215)=0),"※支出行要填支出金额",IF(AND($C2215&lt;&gt;"",ISNA(MATCH($C2215,账户表,0))),"※账户不在基础资料里",IF(AND($G2215&lt;&gt;"",ISNA(MATCH($G2215,项目名表,0))),"※项目不在项目台账里",IF(AND(LEFT($F2215,3)="成本-",$G2215=""),"※成本类支出没填项目",IF(AND(LEFT($F2215,3)="成本-",$H2215&lt;&gt;"",N($K2215)&gt;0,COUNTIFS(采购单!$B:$B,$B2215,采购单!$C:$C,$H2215,采购单!$L:$L,$K2215)&gt;0),"※这笔可能和采购单重复了",""))))))))))</f>
        <v/>
      </c>
    </row>
    <row r="2216">
      <c r="A2216" s="17">
        <f>IF($B2216="","",ROW()-3)</f>
        <v/>
      </c>
      <c r="B2216" s="18" t="n"/>
      <c r="C2216" s="13" t="n"/>
      <c r="D2216" s="13" t="n"/>
      <c r="E2216" s="13" t="n"/>
      <c r="F2216" s="17">
        <f>IF($E2216="","",IFERROR(VLOOKUP($E2216,类别归属,2,0),"※类别不在基础资料里"))</f>
        <v/>
      </c>
      <c r="G2216" s="13" t="n"/>
      <c r="H2216" s="13" t="n"/>
      <c r="I2216" s="13" t="n"/>
      <c r="J2216" s="14" t="n"/>
      <c r="K2216" s="14" t="n"/>
      <c r="L2216" s="19">
        <f>IF($C2216="","",ROUND(IFERROR(VLOOKUP($C2216,账户期初,2,0),0)+SUMIFS($J$4:J2216,$C$4:C2216,$C2216)-SUMIFS($K$4:K2216,$C$4:C2216,$C2216),2))</f>
        <v/>
      </c>
      <c r="M2216" s="19">
        <f>IF($C2216="","",ROUND(SUM(基础资料!$B$4:$B$13)+SUM($J$4:J2216)-SUM($K$4:K2216),2))</f>
        <v/>
      </c>
      <c r="N2216" s="13" t="n"/>
      <c r="O2216" s="13" t="n"/>
      <c r="P2216" s="17">
        <f>IF($B2216="","",IF($F2216="※类别不在基础资料里","※费用类别不在基础资料里",IF(AND(N($J2216)=0,N($K2216)=0),"※这行没填金额",IF(AND(N($J2216)&gt;0,N($K2216)&gt;0),"※收入和支出不能同一行都填",IF(AND($D2216="收入",N($J2216)=0),"※收入行要填收入金额",IF(AND($D2216="支出",N($K2216)=0),"※支出行要填支出金额",IF(AND($C2216&lt;&gt;"",ISNA(MATCH($C2216,账户表,0))),"※账户不在基础资料里",IF(AND($G2216&lt;&gt;"",ISNA(MATCH($G2216,项目名表,0))),"※项目不在项目台账里",IF(AND(LEFT($F2216,3)="成本-",$G2216=""),"※成本类支出没填项目",IF(AND(LEFT($F2216,3)="成本-",$H2216&lt;&gt;"",N($K2216)&gt;0,COUNTIFS(采购单!$B:$B,$B2216,采购单!$C:$C,$H2216,采购单!$L:$L,$K2216)&gt;0),"※这笔可能和采购单重复了",""))))))))))</f>
        <v/>
      </c>
    </row>
    <row r="2217">
      <c r="A2217" s="17">
        <f>IF($B2217="","",ROW()-3)</f>
        <v/>
      </c>
      <c r="B2217" s="18" t="n"/>
      <c r="C2217" s="13" t="n"/>
      <c r="D2217" s="13" t="n"/>
      <c r="E2217" s="13" t="n"/>
      <c r="F2217" s="17">
        <f>IF($E2217="","",IFERROR(VLOOKUP($E2217,类别归属,2,0),"※类别不在基础资料里"))</f>
        <v/>
      </c>
      <c r="G2217" s="13" t="n"/>
      <c r="H2217" s="13" t="n"/>
      <c r="I2217" s="13" t="n"/>
      <c r="J2217" s="14" t="n"/>
      <c r="K2217" s="14" t="n"/>
      <c r="L2217" s="19">
        <f>IF($C2217="","",ROUND(IFERROR(VLOOKUP($C2217,账户期初,2,0),0)+SUMIFS($J$4:J2217,$C$4:C2217,$C2217)-SUMIFS($K$4:K2217,$C$4:C2217,$C2217),2))</f>
        <v/>
      </c>
      <c r="M2217" s="19">
        <f>IF($C2217="","",ROUND(SUM(基础资料!$B$4:$B$13)+SUM($J$4:J2217)-SUM($K$4:K2217),2))</f>
        <v/>
      </c>
      <c r="N2217" s="13" t="n"/>
      <c r="O2217" s="13" t="n"/>
      <c r="P2217" s="17">
        <f>IF($B2217="","",IF($F2217="※类别不在基础资料里","※费用类别不在基础资料里",IF(AND(N($J2217)=0,N($K2217)=0),"※这行没填金额",IF(AND(N($J2217)&gt;0,N($K2217)&gt;0),"※收入和支出不能同一行都填",IF(AND($D2217="收入",N($J2217)=0),"※收入行要填收入金额",IF(AND($D2217="支出",N($K2217)=0),"※支出行要填支出金额",IF(AND($C2217&lt;&gt;"",ISNA(MATCH($C2217,账户表,0))),"※账户不在基础资料里",IF(AND($G2217&lt;&gt;"",ISNA(MATCH($G2217,项目名表,0))),"※项目不在项目台账里",IF(AND(LEFT($F2217,3)="成本-",$G2217=""),"※成本类支出没填项目",IF(AND(LEFT($F2217,3)="成本-",$H2217&lt;&gt;"",N($K2217)&gt;0,COUNTIFS(采购单!$B:$B,$B2217,采购单!$C:$C,$H2217,采购单!$L:$L,$K2217)&gt;0),"※这笔可能和采购单重复了",""))))))))))</f>
        <v/>
      </c>
    </row>
    <row r="2218">
      <c r="A2218" s="17">
        <f>IF($B2218="","",ROW()-3)</f>
        <v/>
      </c>
      <c r="B2218" s="18" t="n"/>
      <c r="C2218" s="13" t="n"/>
      <c r="D2218" s="13" t="n"/>
      <c r="E2218" s="13" t="n"/>
      <c r="F2218" s="17">
        <f>IF($E2218="","",IFERROR(VLOOKUP($E2218,类别归属,2,0),"※类别不在基础资料里"))</f>
        <v/>
      </c>
      <c r="G2218" s="13" t="n"/>
      <c r="H2218" s="13" t="n"/>
      <c r="I2218" s="13" t="n"/>
      <c r="J2218" s="14" t="n"/>
      <c r="K2218" s="14" t="n"/>
      <c r="L2218" s="19">
        <f>IF($C2218="","",ROUND(IFERROR(VLOOKUP($C2218,账户期初,2,0),0)+SUMIFS($J$4:J2218,$C$4:C2218,$C2218)-SUMIFS($K$4:K2218,$C$4:C2218,$C2218),2))</f>
        <v/>
      </c>
      <c r="M2218" s="19">
        <f>IF($C2218="","",ROUND(SUM(基础资料!$B$4:$B$13)+SUM($J$4:J2218)-SUM($K$4:K2218),2))</f>
        <v/>
      </c>
      <c r="N2218" s="13" t="n"/>
      <c r="O2218" s="13" t="n"/>
      <c r="P2218" s="17">
        <f>IF($B2218="","",IF($F2218="※类别不在基础资料里","※费用类别不在基础资料里",IF(AND(N($J2218)=0,N($K2218)=0),"※这行没填金额",IF(AND(N($J2218)&gt;0,N($K2218)&gt;0),"※收入和支出不能同一行都填",IF(AND($D2218="收入",N($J2218)=0),"※收入行要填收入金额",IF(AND($D2218="支出",N($K2218)=0),"※支出行要填支出金额",IF(AND($C2218&lt;&gt;"",ISNA(MATCH($C2218,账户表,0))),"※账户不在基础资料里",IF(AND($G2218&lt;&gt;"",ISNA(MATCH($G2218,项目名表,0))),"※项目不在项目台账里",IF(AND(LEFT($F2218,3)="成本-",$G2218=""),"※成本类支出没填项目",IF(AND(LEFT($F2218,3)="成本-",$H2218&lt;&gt;"",N($K2218)&gt;0,COUNTIFS(采购单!$B:$B,$B2218,采购单!$C:$C,$H2218,采购单!$L:$L,$K2218)&gt;0),"※这笔可能和采购单重复了",""))))))))))</f>
        <v/>
      </c>
    </row>
    <row r="2219">
      <c r="A2219" s="17">
        <f>IF($B2219="","",ROW()-3)</f>
        <v/>
      </c>
      <c r="B2219" s="18" t="n"/>
      <c r="C2219" s="13" t="n"/>
      <c r="D2219" s="13" t="n"/>
      <c r="E2219" s="13" t="n"/>
      <c r="F2219" s="17">
        <f>IF($E2219="","",IFERROR(VLOOKUP($E2219,类别归属,2,0),"※类别不在基础资料里"))</f>
        <v/>
      </c>
      <c r="G2219" s="13" t="n"/>
      <c r="H2219" s="13" t="n"/>
      <c r="I2219" s="13" t="n"/>
      <c r="J2219" s="14" t="n"/>
      <c r="K2219" s="14" t="n"/>
      <c r="L2219" s="19">
        <f>IF($C2219="","",ROUND(IFERROR(VLOOKUP($C2219,账户期初,2,0),0)+SUMIFS($J$4:J2219,$C$4:C2219,$C2219)-SUMIFS($K$4:K2219,$C$4:C2219,$C2219),2))</f>
        <v/>
      </c>
      <c r="M2219" s="19">
        <f>IF($C2219="","",ROUND(SUM(基础资料!$B$4:$B$13)+SUM($J$4:J2219)-SUM($K$4:K2219),2))</f>
        <v/>
      </c>
      <c r="N2219" s="13" t="n"/>
      <c r="O2219" s="13" t="n"/>
      <c r="P2219" s="17">
        <f>IF($B2219="","",IF($F2219="※类别不在基础资料里","※费用类别不在基础资料里",IF(AND(N($J2219)=0,N($K2219)=0),"※这行没填金额",IF(AND(N($J2219)&gt;0,N($K2219)&gt;0),"※收入和支出不能同一行都填",IF(AND($D2219="收入",N($J2219)=0),"※收入行要填收入金额",IF(AND($D2219="支出",N($K2219)=0),"※支出行要填支出金额",IF(AND($C2219&lt;&gt;"",ISNA(MATCH($C2219,账户表,0))),"※账户不在基础资料里",IF(AND($G2219&lt;&gt;"",ISNA(MATCH($G2219,项目名表,0))),"※项目不在项目台账里",IF(AND(LEFT($F2219,3)="成本-",$G2219=""),"※成本类支出没填项目",IF(AND(LEFT($F2219,3)="成本-",$H2219&lt;&gt;"",N($K2219)&gt;0,COUNTIFS(采购单!$B:$B,$B2219,采购单!$C:$C,$H2219,采购单!$L:$L,$K2219)&gt;0),"※这笔可能和采购单重复了",""))))))))))</f>
        <v/>
      </c>
    </row>
    <row r="2220">
      <c r="A2220" s="17">
        <f>IF($B2220="","",ROW()-3)</f>
        <v/>
      </c>
      <c r="B2220" s="18" t="n"/>
      <c r="C2220" s="13" t="n"/>
      <c r="D2220" s="13" t="n"/>
      <c r="E2220" s="13" t="n"/>
      <c r="F2220" s="17">
        <f>IF($E2220="","",IFERROR(VLOOKUP($E2220,类别归属,2,0),"※类别不在基础资料里"))</f>
        <v/>
      </c>
      <c r="G2220" s="13" t="n"/>
      <c r="H2220" s="13" t="n"/>
      <c r="I2220" s="13" t="n"/>
      <c r="J2220" s="14" t="n"/>
      <c r="K2220" s="14" t="n"/>
      <c r="L2220" s="19">
        <f>IF($C2220="","",ROUND(IFERROR(VLOOKUP($C2220,账户期初,2,0),0)+SUMIFS($J$4:J2220,$C$4:C2220,$C2220)-SUMIFS($K$4:K2220,$C$4:C2220,$C2220),2))</f>
        <v/>
      </c>
      <c r="M2220" s="19">
        <f>IF($C2220="","",ROUND(SUM(基础资料!$B$4:$B$13)+SUM($J$4:J2220)-SUM($K$4:K2220),2))</f>
        <v/>
      </c>
      <c r="N2220" s="13" t="n"/>
      <c r="O2220" s="13" t="n"/>
      <c r="P2220" s="17">
        <f>IF($B2220="","",IF($F2220="※类别不在基础资料里","※费用类别不在基础资料里",IF(AND(N($J2220)=0,N($K2220)=0),"※这行没填金额",IF(AND(N($J2220)&gt;0,N($K2220)&gt;0),"※收入和支出不能同一行都填",IF(AND($D2220="收入",N($J2220)=0),"※收入行要填收入金额",IF(AND($D2220="支出",N($K2220)=0),"※支出行要填支出金额",IF(AND($C2220&lt;&gt;"",ISNA(MATCH($C2220,账户表,0))),"※账户不在基础资料里",IF(AND($G2220&lt;&gt;"",ISNA(MATCH($G2220,项目名表,0))),"※项目不在项目台账里",IF(AND(LEFT($F2220,3)="成本-",$G2220=""),"※成本类支出没填项目",IF(AND(LEFT($F2220,3)="成本-",$H2220&lt;&gt;"",N($K2220)&gt;0,COUNTIFS(采购单!$B:$B,$B2220,采购单!$C:$C,$H2220,采购单!$L:$L,$K2220)&gt;0),"※这笔可能和采购单重复了",""))))))))))</f>
        <v/>
      </c>
    </row>
    <row r="2221">
      <c r="A2221" s="17">
        <f>IF($B2221="","",ROW()-3)</f>
        <v/>
      </c>
      <c r="B2221" s="18" t="n"/>
      <c r="C2221" s="13" t="n"/>
      <c r="D2221" s="13" t="n"/>
      <c r="E2221" s="13" t="n"/>
      <c r="F2221" s="17">
        <f>IF($E2221="","",IFERROR(VLOOKUP($E2221,类别归属,2,0),"※类别不在基础资料里"))</f>
        <v/>
      </c>
      <c r="G2221" s="13" t="n"/>
      <c r="H2221" s="13" t="n"/>
      <c r="I2221" s="13" t="n"/>
      <c r="J2221" s="14" t="n"/>
      <c r="K2221" s="14" t="n"/>
      <c r="L2221" s="19">
        <f>IF($C2221="","",ROUND(IFERROR(VLOOKUP($C2221,账户期初,2,0),0)+SUMIFS($J$4:J2221,$C$4:C2221,$C2221)-SUMIFS($K$4:K2221,$C$4:C2221,$C2221),2))</f>
        <v/>
      </c>
      <c r="M2221" s="19">
        <f>IF($C2221="","",ROUND(SUM(基础资料!$B$4:$B$13)+SUM($J$4:J2221)-SUM($K$4:K2221),2))</f>
        <v/>
      </c>
      <c r="N2221" s="13" t="n"/>
      <c r="O2221" s="13" t="n"/>
      <c r="P2221" s="17">
        <f>IF($B2221="","",IF($F2221="※类别不在基础资料里","※费用类别不在基础资料里",IF(AND(N($J2221)=0,N($K2221)=0),"※这行没填金额",IF(AND(N($J2221)&gt;0,N($K2221)&gt;0),"※收入和支出不能同一行都填",IF(AND($D2221="收入",N($J2221)=0),"※收入行要填收入金额",IF(AND($D2221="支出",N($K2221)=0),"※支出行要填支出金额",IF(AND($C2221&lt;&gt;"",ISNA(MATCH($C2221,账户表,0))),"※账户不在基础资料里",IF(AND($G2221&lt;&gt;"",ISNA(MATCH($G2221,项目名表,0))),"※项目不在项目台账里",IF(AND(LEFT($F2221,3)="成本-",$G2221=""),"※成本类支出没填项目",IF(AND(LEFT($F2221,3)="成本-",$H2221&lt;&gt;"",N($K2221)&gt;0,COUNTIFS(采购单!$B:$B,$B2221,采购单!$C:$C,$H2221,采购单!$L:$L,$K2221)&gt;0),"※这笔可能和采购单重复了",""))))))))))</f>
        <v/>
      </c>
    </row>
    <row r="2222">
      <c r="A2222" s="17">
        <f>IF($B2222="","",ROW()-3)</f>
        <v/>
      </c>
      <c r="B2222" s="18" t="n"/>
      <c r="C2222" s="13" t="n"/>
      <c r="D2222" s="13" t="n"/>
      <c r="E2222" s="13" t="n"/>
      <c r="F2222" s="17">
        <f>IF($E2222="","",IFERROR(VLOOKUP($E2222,类别归属,2,0),"※类别不在基础资料里"))</f>
        <v/>
      </c>
      <c r="G2222" s="13" t="n"/>
      <c r="H2222" s="13" t="n"/>
      <c r="I2222" s="13" t="n"/>
      <c r="J2222" s="14" t="n"/>
      <c r="K2222" s="14" t="n"/>
      <c r="L2222" s="19">
        <f>IF($C2222="","",ROUND(IFERROR(VLOOKUP($C2222,账户期初,2,0),0)+SUMIFS($J$4:J2222,$C$4:C2222,$C2222)-SUMIFS($K$4:K2222,$C$4:C2222,$C2222),2))</f>
        <v/>
      </c>
      <c r="M2222" s="19">
        <f>IF($C2222="","",ROUND(SUM(基础资料!$B$4:$B$13)+SUM($J$4:J2222)-SUM($K$4:K2222),2))</f>
        <v/>
      </c>
      <c r="N2222" s="13" t="n"/>
      <c r="O2222" s="13" t="n"/>
      <c r="P2222" s="17">
        <f>IF($B2222="","",IF($F2222="※类别不在基础资料里","※费用类别不在基础资料里",IF(AND(N($J2222)=0,N($K2222)=0),"※这行没填金额",IF(AND(N($J2222)&gt;0,N($K2222)&gt;0),"※收入和支出不能同一行都填",IF(AND($D2222="收入",N($J2222)=0),"※收入行要填收入金额",IF(AND($D2222="支出",N($K2222)=0),"※支出行要填支出金额",IF(AND($C2222&lt;&gt;"",ISNA(MATCH($C2222,账户表,0))),"※账户不在基础资料里",IF(AND($G2222&lt;&gt;"",ISNA(MATCH($G2222,项目名表,0))),"※项目不在项目台账里",IF(AND(LEFT($F2222,3)="成本-",$G2222=""),"※成本类支出没填项目",IF(AND(LEFT($F2222,3)="成本-",$H2222&lt;&gt;"",N($K2222)&gt;0,COUNTIFS(采购单!$B:$B,$B2222,采购单!$C:$C,$H2222,采购单!$L:$L,$K2222)&gt;0),"※这笔可能和采购单重复了",""))))))))))</f>
        <v/>
      </c>
    </row>
    <row r="2223">
      <c r="A2223" s="17">
        <f>IF($B2223="","",ROW()-3)</f>
        <v/>
      </c>
      <c r="B2223" s="18" t="n"/>
      <c r="C2223" s="13" t="n"/>
      <c r="D2223" s="13" t="n"/>
      <c r="E2223" s="13" t="n"/>
      <c r="F2223" s="17">
        <f>IF($E2223="","",IFERROR(VLOOKUP($E2223,类别归属,2,0),"※类别不在基础资料里"))</f>
        <v/>
      </c>
      <c r="G2223" s="13" t="n"/>
      <c r="H2223" s="13" t="n"/>
      <c r="I2223" s="13" t="n"/>
      <c r="J2223" s="14" t="n"/>
      <c r="K2223" s="14" t="n"/>
      <c r="L2223" s="19">
        <f>IF($C2223="","",ROUND(IFERROR(VLOOKUP($C2223,账户期初,2,0),0)+SUMIFS($J$4:J2223,$C$4:C2223,$C2223)-SUMIFS($K$4:K2223,$C$4:C2223,$C2223),2))</f>
        <v/>
      </c>
      <c r="M2223" s="19">
        <f>IF($C2223="","",ROUND(SUM(基础资料!$B$4:$B$13)+SUM($J$4:J2223)-SUM($K$4:K2223),2))</f>
        <v/>
      </c>
      <c r="N2223" s="13" t="n"/>
      <c r="O2223" s="13" t="n"/>
      <c r="P2223" s="17">
        <f>IF($B2223="","",IF($F2223="※类别不在基础资料里","※费用类别不在基础资料里",IF(AND(N($J2223)=0,N($K2223)=0),"※这行没填金额",IF(AND(N($J2223)&gt;0,N($K2223)&gt;0),"※收入和支出不能同一行都填",IF(AND($D2223="收入",N($J2223)=0),"※收入行要填收入金额",IF(AND($D2223="支出",N($K2223)=0),"※支出行要填支出金额",IF(AND($C2223&lt;&gt;"",ISNA(MATCH($C2223,账户表,0))),"※账户不在基础资料里",IF(AND($G2223&lt;&gt;"",ISNA(MATCH($G2223,项目名表,0))),"※项目不在项目台账里",IF(AND(LEFT($F2223,3)="成本-",$G2223=""),"※成本类支出没填项目",IF(AND(LEFT($F2223,3)="成本-",$H2223&lt;&gt;"",N($K2223)&gt;0,COUNTIFS(采购单!$B:$B,$B2223,采购单!$C:$C,$H2223,采购单!$L:$L,$K2223)&gt;0),"※这笔可能和采购单重复了",""))))))))))</f>
        <v/>
      </c>
    </row>
    <row r="2224">
      <c r="A2224" s="17">
        <f>IF($B2224="","",ROW()-3)</f>
        <v/>
      </c>
      <c r="B2224" s="18" t="n"/>
      <c r="C2224" s="13" t="n"/>
      <c r="D2224" s="13" t="n"/>
      <c r="E2224" s="13" t="n"/>
      <c r="F2224" s="17">
        <f>IF($E2224="","",IFERROR(VLOOKUP($E2224,类别归属,2,0),"※类别不在基础资料里"))</f>
        <v/>
      </c>
      <c r="G2224" s="13" t="n"/>
      <c r="H2224" s="13" t="n"/>
      <c r="I2224" s="13" t="n"/>
      <c r="J2224" s="14" t="n"/>
      <c r="K2224" s="14" t="n"/>
      <c r="L2224" s="19">
        <f>IF($C2224="","",ROUND(IFERROR(VLOOKUP($C2224,账户期初,2,0),0)+SUMIFS($J$4:J2224,$C$4:C2224,$C2224)-SUMIFS($K$4:K2224,$C$4:C2224,$C2224),2))</f>
        <v/>
      </c>
      <c r="M2224" s="19">
        <f>IF($C2224="","",ROUND(SUM(基础资料!$B$4:$B$13)+SUM($J$4:J2224)-SUM($K$4:K2224),2))</f>
        <v/>
      </c>
      <c r="N2224" s="13" t="n"/>
      <c r="O2224" s="13" t="n"/>
      <c r="P2224" s="17">
        <f>IF($B2224="","",IF($F2224="※类别不在基础资料里","※费用类别不在基础资料里",IF(AND(N($J2224)=0,N($K2224)=0),"※这行没填金额",IF(AND(N($J2224)&gt;0,N($K2224)&gt;0),"※收入和支出不能同一行都填",IF(AND($D2224="收入",N($J2224)=0),"※收入行要填收入金额",IF(AND($D2224="支出",N($K2224)=0),"※支出行要填支出金额",IF(AND($C2224&lt;&gt;"",ISNA(MATCH($C2224,账户表,0))),"※账户不在基础资料里",IF(AND($G2224&lt;&gt;"",ISNA(MATCH($G2224,项目名表,0))),"※项目不在项目台账里",IF(AND(LEFT($F2224,3)="成本-",$G2224=""),"※成本类支出没填项目",IF(AND(LEFT($F2224,3)="成本-",$H2224&lt;&gt;"",N($K2224)&gt;0,COUNTIFS(采购单!$B:$B,$B2224,采购单!$C:$C,$H2224,采购单!$L:$L,$K2224)&gt;0),"※这笔可能和采购单重复了",""))))))))))</f>
        <v/>
      </c>
    </row>
    <row r="2225">
      <c r="A2225" s="17">
        <f>IF($B2225="","",ROW()-3)</f>
        <v/>
      </c>
      <c r="B2225" s="18" t="n"/>
      <c r="C2225" s="13" t="n"/>
      <c r="D2225" s="13" t="n"/>
      <c r="E2225" s="13" t="n"/>
      <c r="F2225" s="17">
        <f>IF($E2225="","",IFERROR(VLOOKUP($E2225,类别归属,2,0),"※类别不在基础资料里"))</f>
        <v/>
      </c>
      <c r="G2225" s="13" t="n"/>
      <c r="H2225" s="13" t="n"/>
      <c r="I2225" s="13" t="n"/>
      <c r="J2225" s="14" t="n"/>
      <c r="K2225" s="14" t="n"/>
      <c r="L2225" s="19">
        <f>IF($C2225="","",ROUND(IFERROR(VLOOKUP($C2225,账户期初,2,0),0)+SUMIFS($J$4:J2225,$C$4:C2225,$C2225)-SUMIFS($K$4:K2225,$C$4:C2225,$C2225),2))</f>
        <v/>
      </c>
      <c r="M2225" s="19">
        <f>IF($C2225="","",ROUND(SUM(基础资料!$B$4:$B$13)+SUM($J$4:J2225)-SUM($K$4:K2225),2))</f>
        <v/>
      </c>
      <c r="N2225" s="13" t="n"/>
      <c r="O2225" s="13" t="n"/>
      <c r="P2225" s="17">
        <f>IF($B2225="","",IF($F2225="※类别不在基础资料里","※费用类别不在基础资料里",IF(AND(N($J2225)=0,N($K2225)=0),"※这行没填金额",IF(AND(N($J2225)&gt;0,N($K2225)&gt;0),"※收入和支出不能同一行都填",IF(AND($D2225="收入",N($J2225)=0),"※收入行要填收入金额",IF(AND($D2225="支出",N($K2225)=0),"※支出行要填支出金额",IF(AND($C2225&lt;&gt;"",ISNA(MATCH($C2225,账户表,0))),"※账户不在基础资料里",IF(AND($G2225&lt;&gt;"",ISNA(MATCH($G2225,项目名表,0))),"※项目不在项目台账里",IF(AND(LEFT($F2225,3)="成本-",$G2225=""),"※成本类支出没填项目",IF(AND(LEFT($F2225,3)="成本-",$H2225&lt;&gt;"",N($K2225)&gt;0,COUNTIFS(采购单!$B:$B,$B2225,采购单!$C:$C,$H2225,采购单!$L:$L,$K2225)&gt;0),"※这笔可能和采购单重复了",""))))))))))</f>
        <v/>
      </c>
    </row>
    <row r="2226">
      <c r="A2226" s="17">
        <f>IF($B2226="","",ROW()-3)</f>
        <v/>
      </c>
      <c r="B2226" s="18" t="n"/>
      <c r="C2226" s="13" t="n"/>
      <c r="D2226" s="13" t="n"/>
      <c r="E2226" s="13" t="n"/>
      <c r="F2226" s="17">
        <f>IF($E2226="","",IFERROR(VLOOKUP($E2226,类别归属,2,0),"※类别不在基础资料里"))</f>
        <v/>
      </c>
      <c r="G2226" s="13" t="n"/>
      <c r="H2226" s="13" t="n"/>
      <c r="I2226" s="13" t="n"/>
      <c r="J2226" s="14" t="n"/>
      <c r="K2226" s="14" t="n"/>
      <c r="L2226" s="19">
        <f>IF($C2226="","",ROUND(IFERROR(VLOOKUP($C2226,账户期初,2,0),0)+SUMIFS($J$4:J2226,$C$4:C2226,$C2226)-SUMIFS($K$4:K2226,$C$4:C2226,$C2226),2))</f>
        <v/>
      </c>
      <c r="M2226" s="19">
        <f>IF($C2226="","",ROUND(SUM(基础资料!$B$4:$B$13)+SUM($J$4:J2226)-SUM($K$4:K2226),2))</f>
        <v/>
      </c>
      <c r="N2226" s="13" t="n"/>
      <c r="O2226" s="13" t="n"/>
      <c r="P2226" s="17">
        <f>IF($B2226="","",IF($F2226="※类别不在基础资料里","※费用类别不在基础资料里",IF(AND(N($J2226)=0,N($K2226)=0),"※这行没填金额",IF(AND(N($J2226)&gt;0,N($K2226)&gt;0),"※收入和支出不能同一行都填",IF(AND($D2226="收入",N($J2226)=0),"※收入行要填收入金额",IF(AND($D2226="支出",N($K2226)=0),"※支出行要填支出金额",IF(AND($C2226&lt;&gt;"",ISNA(MATCH($C2226,账户表,0))),"※账户不在基础资料里",IF(AND($G2226&lt;&gt;"",ISNA(MATCH($G2226,项目名表,0))),"※项目不在项目台账里",IF(AND(LEFT($F2226,3)="成本-",$G2226=""),"※成本类支出没填项目",IF(AND(LEFT($F2226,3)="成本-",$H2226&lt;&gt;"",N($K2226)&gt;0,COUNTIFS(采购单!$B:$B,$B2226,采购单!$C:$C,$H2226,采购单!$L:$L,$K2226)&gt;0),"※这笔可能和采购单重复了",""))))))))))</f>
        <v/>
      </c>
    </row>
    <row r="2227">
      <c r="A2227" s="17">
        <f>IF($B2227="","",ROW()-3)</f>
        <v/>
      </c>
      <c r="B2227" s="18" t="n"/>
      <c r="C2227" s="13" t="n"/>
      <c r="D2227" s="13" t="n"/>
      <c r="E2227" s="13" t="n"/>
      <c r="F2227" s="17">
        <f>IF($E2227="","",IFERROR(VLOOKUP($E2227,类别归属,2,0),"※类别不在基础资料里"))</f>
        <v/>
      </c>
      <c r="G2227" s="13" t="n"/>
      <c r="H2227" s="13" t="n"/>
      <c r="I2227" s="13" t="n"/>
      <c r="J2227" s="14" t="n"/>
      <c r="K2227" s="14" t="n"/>
      <c r="L2227" s="19">
        <f>IF($C2227="","",ROUND(IFERROR(VLOOKUP($C2227,账户期初,2,0),0)+SUMIFS($J$4:J2227,$C$4:C2227,$C2227)-SUMIFS($K$4:K2227,$C$4:C2227,$C2227),2))</f>
        <v/>
      </c>
      <c r="M2227" s="19">
        <f>IF($C2227="","",ROUND(SUM(基础资料!$B$4:$B$13)+SUM($J$4:J2227)-SUM($K$4:K2227),2))</f>
        <v/>
      </c>
      <c r="N2227" s="13" t="n"/>
      <c r="O2227" s="13" t="n"/>
      <c r="P2227" s="17">
        <f>IF($B2227="","",IF($F2227="※类别不在基础资料里","※费用类别不在基础资料里",IF(AND(N($J2227)=0,N($K2227)=0),"※这行没填金额",IF(AND(N($J2227)&gt;0,N($K2227)&gt;0),"※收入和支出不能同一行都填",IF(AND($D2227="收入",N($J2227)=0),"※收入行要填收入金额",IF(AND($D2227="支出",N($K2227)=0),"※支出行要填支出金额",IF(AND($C2227&lt;&gt;"",ISNA(MATCH($C2227,账户表,0))),"※账户不在基础资料里",IF(AND($G2227&lt;&gt;"",ISNA(MATCH($G2227,项目名表,0))),"※项目不在项目台账里",IF(AND(LEFT($F2227,3)="成本-",$G2227=""),"※成本类支出没填项目",IF(AND(LEFT($F2227,3)="成本-",$H2227&lt;&gt;"",N($K2227)&gt;0,COUNTIFS(采购单!$B:$B,$B2227,采购单!$C:$C,$H2227,采购单!$L:$L,$K2227)&gt;0),"※这笔可能和采购单重复了",""))))))))))</f>
        <v/>
      </c>
    </row>
    <row r="2228">
      <c r="A2228" s="17">
        <f>IF($B2228="","",ROW()-3)</f>
        <v/>
      </c>
      <c r="B2228" s="18" t="n"/>
      <c r="C2228" s="13" t="n"/>
      <c r="D2228" s="13" t="n"/>
      <c r="E2228" s="13" t="n"/>
      <c r="F2228" s="17">
        <f>IF($E2228="","",IFERROR(VLOOKUP($E2228,类别归属,2,0),"※类别不在基础资料里"))</f>
        <v/>
      </c>
      <c r="G2228" s="13" t="n"/>
      <c r="H2228" s="13" t="n"/>
      <c r="I2228" s="13" t="n"/>
      <c r="J2228" s="14" t="n"/>
      <c r="K2228" s="14" t="n"/>
      <c r="L2228" s="19">
        <f>IF($C2228="","",ROUND(IFERROR(VLOOKUP($C2228,账户期初,2,0),0)+SUMIFS($J$4:J2228,$C$4:C2228,$C2228)-SUMIFS($K$4:K2228,$C$4:C2228,$C2228),2))</f>
        <v/>
      </c>
      <c r="M2228" s="19">
        <f>IF($C2228="","",ROUND(SUM(基础资料!$B$4:$B$13)+SUM($J$4:J2228)-SUM($K$4:K2228),2))</f>
        <v/>
      </c>
      <c r="N2228" s="13" t="n"/>
      <c r="O2228" s="13" t="n"/>
      <c r="P2228" s="17">
        <f>IF($B2228="","",IF($F2228="※类别不在基础资料里","※费用类别不在基础资料里",IF(AND(N($J2228)=0,N($K2228)=0),"※这行没填金额",IF(AND(N($J2228)&gt;0,N($K2228)&gt;0),"※收入和支出不能同一行都填",IF(AND($D2228="收入",N($J2228)=0),"※收入行要填收入金额",IF(AND($D2228="支出",N($K2228)=0),"※支出行要填支出金额",IF(AND($C2228&lt;&gt;"",ISNA(MATCH($C2228,账户表,0))),"※账户不在基础资料里",IF(AND($G2228&lt;&gt;"",ISNA(MATCH($G2228,项目名表,0))),"※项目不在项目台账里",IF(AND(LEFT($F2228,3)="成本-",$G2228=""),"※成本类支出没填项目",IF(AND(LEFT($F2228,3)="成本-",$H2228&lt;&gt;"",N($K2228)&gt;0,COUNTIFS(采购单!$B:$B,$B2228,采购单!$C:$C,$H2228,采购单!$L:$L,$K2228)&gt;0),"※这笔可能和采购单重复了",""))))))))))</f>
        <v/>
      </c>
    </row>
    <row r="2229">
      <c r="A2229" s="17">
        <f>IF($B2229="","",ROW()-3)</f>
        <v/>
      </c>
      <c r="B2229" s="18" t="n"/>
      <c r="C2229" s="13" t="n"/>
      <c r="D2229" s="13" t="n"/>
      <c r="E2229" s="13" t="n"/>
      <c r="F2229" s="17">
        <f>IF($E2229="","",IFERROR(VLOOKUP($E2229,类别归属,2,0),"※类别不在基础资料里"))</f>
        <v/>
      </c>
      <c r="G2229" s="13" t="n"/>
      <c r="H2229" s="13" t="n"/>
      <c r="I2229" s="13" t="n"/>
      <c r="J2229" s="14" t="n"/>
      <c r="K2229" s="14" t="n"/>
      <c r="L2229" s="19">
        <f>IF($C2229="","",ROUND(IFERROR(VLOOKUP($C2229,账户期初,2,0),0)+SUMIFS($J$4:J2229,$C$4:C2229,$C2229)-SUMIFS($K$4:K2229,$C$4:C2229,$C2229),2))</f>
        <v/>
      </c>
      <c r="M2229" s="19">
        <f>IF($C2229="","",ROUND(SUM(基础资料!$B$4:$B$13)+SUM($J$4:J2229)-SUM($K$4:K2229),2))</f>
        <v/>
      </c>
      <c r="N2229" s="13" t="n"/>
      <c r="O2229" s="13" t="n"/>
      <c r="P2229" s="17">
        <f>IF($B2229="","",IF($F2229="※类别不在基础资料里","※费用类别不在基础资料里",IF(AND(N($J2229)=0,N($K2229)=0),"※这行没填金额",IF(AND(N($J2229)&gt;0,N($K2229)&gt;0),"※收入和支出不能同一行都填",IF(AND($D2229="收入",N($J2229)=0),"※收入行要填收入金额",IF(AND($D2229="支出",N($K2229)=0),"※支出行要填支出金额",IF(AND($C2229&lt;&gt;"",ISNA(MATCH($C2229,账户表,0))),"※账户不在基础资料里",IF(AND($G2229&lt;&gt;"",ISNA(MATCH($G2229,项目名表,0))),"※项目不在项目台账里",IF(AND(LEFT($F2229,3)="成本-",$G2229=""),"※成本类支出没填项目",IF(AND(LEFT($F2229,3)="成本-",$H2229&lt;&gt;"",N($K2229)&gt;0,COUNTIFS(采购单!$B:$B,$B2229,采购单!$C:$C,$H2229,采购单!$L:$L,$K2229)&gt;0),"※这笔可能和采购单重复了",""))))))))))</f>
        <v/>
      </c>
    </row>
    <row r="2230">
      <c r="A2230" s="17">
        <f>IF($B2230="","",ROW()-3)</f>
        <v/>
      </c>
      <c r="B2230" s="18" t="n"/>
      <c r="C2230" s="13" t="n"/>
      <c r="D2230" s="13" t="n"/>
      <c r="E2230" s="13" t="n"/>
      <c r="F2230" s="17">
        <f>IF($E2230="","",IFERROR(VLOOKUP($E2230,类别归属,2,0),"※类别不在基础资料里"))</f>
        <v/>
      </c>
      <c r="G2230" s="13" t="n"/>
      <c r="H2230" s="13" t="n"/>
      <c r="I2230" s="13" t="n"/>
      <c r="J2230" s="14" t="n"/>
      <c r="K2230" s="14" t="n"/>
      <c r="L2230" s="19">
        <f>IF($C2230="","",ROUND(IFERROR(VLOOKUP($C2230,账户期初,2,0),0)+SUMIFS($J$4:J2230,$C$4:C2230,$C2230)-SUMIFS($K$4:K2230,$C$4:C2230,$C2230),2))</f>
        <v/>
      </c>
      <c r="M2230" s="19">
        <f>IF($C2230="","",ROUND(SUM(基础资料!$B$4:$B$13)+SUM($J$4:J2230)-SUM($K$4:K2230),2))</f>
        <v/>
      </c>
      <c r="N2230" s="13" t="n"/>
      <c r="O2230" s="13" t="n"/>
      <c r="P2230" s="17">
        <f>IF($B2230="","",IF($F2230="※类别不在基础资料里","※费用类别不在基础资料里",IF(AND(N($J2230)=0,N($K2230)=0),"※这行没填金额",IF(AND(N($J2230)&gt;0,N($K2230)&gt;0),"※收入和支出不能同一行都填",IF(AND($D2230="收入",N($J2230)=0),"※收入行要填收入金额",IF(AND($D2230="支出",N($K2230)=0),"※支出行要填支出金额",IF(AND($C2230&lt;&gt;"",ISNA(MATCH($C2230,账户表,0))),"※账户不在基础资料里",IF(AND($G2230&lt;&gt;"",ISNA(MATCH($G2230,项目名表,0))),"※项目不在项目台账里",IF(AND(LEFT($F2230,3)="成本-",$G2230=""),"※成本类支出没填项目",IF(AND(LEFT($F2230,3)="成本-",$H2230&lt;&gt;"",N($K2230)&gt;0,COUNTIFS(采购单!$B:$B,$B2230,采购单!$C:$C,$H2230,采购单!$L:$L,$K2230)&gt;0),"※这笔可能和采购单重复了",""))))))))))</f>
        <v/>
      </c>
    </row>
    <row r="2231">
      <c r="A2231" s="17">
        <f>IF($B2231="","",ROW()-3)</f>
        <v/>
      </c>
      <c r="B2231" s="18" t="n"/>
      <c r="C2231" s="13" t="n"/>
      <c r="D2231" s="13" t="n"/>
      <c r="E2231" s="13" t="n"/>
      <c r="F2231" s="17">
        <f>IF($E2231="","",IFERROR(VLOOKUP($E2231,类别归属,2,0),"※类别不在基础资料里"))</f>
        <v/>
      </c>
      <c r="G2231" s="13" t="n"/>
      <c r="H2231" s="13" t="n"/>
      <c r="I2231" s="13" t="n"/>
      <c r="J2231" s="14" t="n"/>
      <c r="K2231" s="14" t="n"/>
      <c r="L2231" s="19">
        <f>IF($C2231="","",ROUND(IFERROR(VLOOKUP($C2231,账户期初,2,0),0)+SUMIFS($J$4:J2231,$C$4:C2231,$C2231)-SUMIFS($K$4:K2231,$C$4:C2231,$C2231),2))</f>
        <v/>
      </c>
      <c r="M2231" s="19">
        <f>IF($C2231="","",ROUND(SUM(基础资料!$B$4:$B$13)+SUM($J$4:J2231)-SUM($K$4:K2231),2))</f>
        <v/>
      </c>
      <c r="N2231" s="13" t="n"/>
      <c r="O2231" s="13" t="n"/>
      <c r="P2231" s="17">
        <f>IF($B2231="","",IF($F2231="※类别不在基础资料里","※费用类别不在基础资料里",IF(AND(N($J2231)=0,N($K2231)=0),"※这行没填金额",IF(AND(N($J2231)&gt;0,N($K2231)&gt;0),"※收入和支出不能同一行都填",IF(AND($D2231="收入",N($J2231)=0),"※收入行要填收入金额",IF(AND($D2231="支出",N($K2231)=0),"※支出行要填支出金额",IF(AND($C2231&lt;&gt;"",ISNA(MATCH($C2231,账户表,0))),"※账户不在基础资料里",IF(AND($G2231&lt;&gt;"",ISNA(MATCH($G2231,项目名表,0))),"※项目不在项目台账里",IF(AND(LEFT($F2231,3)="成本-",$G2231=""),"※成本类支出没填项目",IF(AND(LEFT($F2231,3)="成本-",$H2231&lt;&gt;"",N($K2231)&gt;0,COUNTIFS(采购单!$B:$B,$B2231,采购单!$C:$C,$H2231,采购单!$L:$L,$K2231)&gt;0),"※这笔可能和采购单重复了",""))))))))))</f>
        <v/>
      </c>
    </row>
    <row r="2232">
      <c r="A2232" s="17">
        <f>IF($B2232="","",ROW()-3)</f>
        <v/>
      </c>
      <c r="B2232" s="18" t="n"/>
      <c r="C2232" s="13" t="n"/>
      <c r="D2232" s="13" t="n"/>
      <c r="E2232" s="13" t="n"/>
      <c r="F2232" s="17">
        <f>IF($E2232="","",IFERROR(VLOOKUP($E2232,类别归属,2,0),"※类别不在基础资料里"))</f>
        <v/>
      </c>
      <c r="G2232" s="13" t="n"/>
      <c r="H2232" s="13" t="n"/>
      <c r="I2232" s="13" t="n"/>
      <c r="J2232" s="14" t="n"/>
      <c r="K2232" s="14" t="n"/>
      <c r="L2232" s="19">
        <f>IF($C2232="","",ROUND(IFERROR(VLOOKUP($C2232,账户期初,2,0),0)+SUMIFS($J$4:J2232,$C$4:C2232,$C2232)-SUMIFS($K$4:K2232,$C$4:C2232,$C2232),2))</f>
        <v/>
      </c>
      <c r="M2232" s="19">
        <f>IF($C2232="","",ROUND(SUM(基础资料!$B$4:$B$13)+SUM($J$4:J2232)-SUM($K$4:K2232),2))</f>
        <v/>
      </c>
      <c r="N2232" s="13" t="n"/>
      <c r="O2232" s="13" t="n"/>
      <c r="P2232" s="17">
        <f>IF($B2232="","",IF($F2232="※类别不在基础资料里","※费用类别不在基础资料里",IF(AND(N($J2232)=0,N($K2232)=0),"※这行没填金额",IF(AND(N($J2232)&gt;0,N($K2232)&gt;0),"※收入和支出不能同一行都填",IF(AND($D2232="收入",N($J2232)=0),"※收入行要填收入金额",IF(AND($D2232="支出",N($K2232)=0),"※支出行要填支出金额",IF(AND($C2232&lt;&gt;"",ISNA(MATCH($C2232,账户表,0))),"※账户不在基础资料里",IF(AND($G2232&lt;&gt;"",ISNA(MATCH($G2232,项目名表,0))),"※项目不在项目台账里",IF(AND(LEFT($F2232,3)="成本-",$G2232=""),"※成本类支出没填项目",IF(AND(LEFT($F2232,3)="成本-",$H2232&lt;&gt;"",N($K2232)&gt;0,COUNTIFS(采购单!$B:$B,$B2232,采购单!$C:$C,$H2232,采购单!$L:$L,$K2232)&gt;0),"※这笔可能和采购单重复了",""))))))))))</f>
        <v/>
      </c>
    </row>
    <row r="2233">
      <c r="A2233" s="17">
        <f>IF($B2233="","",ROW()-3)</f>
        <v/>
      </c>
      <c r="B2233" s="18" t="n"/>
      <c r="C2233" s="13" t="n"/>
      <c r="D2233" s="13" t="n"/>
      <c r="E2233" s="13" t="n"/>
      <c r="F2233" s="17">
        <f>IF($E2233="","",IFERROR(VLOOKUP($E2233,类别归属,2,0),"※类别不在基础资料里"))</f>
        <v/>
      </c>
      <c r="G2233" s="13" t="n"/>
      <c r="H2233" s="13" t="n"/>
      <c r="I2233" s="13" t="n"/>
      <c r="J2233" s="14" t="n"/>
      <c r="K2233" s="14" t="n"/>
      <c r="L2233" s="19">
        <f>IF($C2233="","",ROUND(IFERROR(VLOOKUP($C2233,账户期初,2,0),0)+SUMIFS($J$4:J2233,$C$4:C2233,$C2233)-SUMIFS($K$4:K2233,$C$4:C2233,$C2233),2))</f>
        <v/>
      </c>
      <c r="M2233" s="19">
        <f>IF($C2233="","",ROUND(SUM(基础资料!$B$4:$B$13)+SUM($J$4:J2233)-SUM($K$4:K2233),2))</f>
        <v/>
      </c>
      <c r="N2233" s="13" t="n"/>
      <c r="O2233" s="13" t="n"/>
      <c r="P2233" s="17">
        <f>IF($B2233="","",IF($F2233="※类别不在基础资料里","※费用类别不在基础资料里",IF(AND(N($J2233)=0,N($K2233)=0),"※这行没填金额",IF(AND(N($J2233)&gt;0,N($K2233)&gt;0),"※收入和支出不能同一行都填",IF(AND($D2233="收入",N($J2233)=0),"※收入行要填收入金额",IF(AND($D2233="支出",N($K2233)=0),"※支出行要填支出金额",IF(AND($C2233&lt;&gt;"",ISNA(MATCH($C2233,账户表,0))),"※账户不在基础资料里",IF(AND($G2233&lt;&gt;"",ISNA(MATCH($G2233,项目名表,0))),"※项目不在项目台账里",IF(AND(LEFT($F2233,3)="成本-",$G2233=""),"※成本类支出没填项目",IF(AND(LEFT($F2233,3)="成本-",$H2233&lt;&gt;"",N($K2233)&gt;0,COUNTIFS(采购单!$B:$B,$B2233,采购单!$C:$C,$H2233,采购单!$L:$L,$K2233)&gt;0),"※这笔可能和采购单重复了",""))))))))))</f>
        <v/>
      </c>
    </row>
    <row r="2234">
      <c r="A2234" s="17">
        <f>IF($B2234="","",ROW()-3)</f>
        <v/>
      </c>
      <c r="B2234" s="18" t="n"/>
      <c r="C2234" s="13" t="n"/>
      <c r="D2234" s="13" t="n"/>
      <c r="E2234" s="13" t="n"/>
      <c r="F2234" s="17">
        <f>IF($E2234="","",IFERROR(VLOOKUP($E2234,类别归属,2,0),"※类别不在基础资料里"))</f>
        <v/>
      </c>
      <c r="G2234" s="13" t="n"/>
      <c r="H2234" s="13" t="n"/>
      <c r="I2234" s="13" t="n"/>
      <c r="J2234" s="14" t="n"/>
      <c r="K2234" s="14" t="n"/>
      <c r="L2234" s="19">
        <f>IF($C2234="","",ROUND(IFERROR(VLOOKUP($C2234,账户期初,2,0),0)+SUMIFS($J$4:J2234,$C$4:C2234,$C2234)-SUMIFS($K$4:K2234,$C$4:C2234,$C2234),2))</f>
        <v/>
      </c>
      <c r="M2234" s="19">
        <f>IF($C2234="","",ROUND(SUM(基础资料!$B$4:$B$13)+SUM($J$4:J2234)-SUM($K$4:K2234),2))</f>
        <v/>
      </c>
      <c r="N2234" s="13" t="n"/>
      <c r="O2234" s="13" t="n"/>
      <c r="P2234" s="17">
        <f>IF($B2234="","",IF($F2234="※类别不在基础资料里","※费用类别不在基础资料里",IF(AND(N($J2234)=0,N($K2234)=0),"※这行没填金额",IF(AND(N($J2234)&gt;0,N($K2234)&gt;0),"※收入和支出不能同一行都填",IF(AND($D2234="收入",N($J2234)=0),"※收入行要填收入金额",IF(AND($D2234="支出",N($K2234)=0),"※支出行要填支出金额",IF(AND($C2234&lt;&gt;"",ISNA(MATCH($C2234,账户表,0))),"※账户不在基础资料里",IF(AND($G2234&lt;&gt;"",ISNA(MATCH($G2234,项目名表,0))),"※项目不在项目台账里",IF(AND(LEFT($F2234,3)="成本-",$G2234=""),"※成本类支出没填项目",IF(AND(LEFT($F2234,3)="成本-",$H2234&lt;&gt;"",N($K2234)&gt;0,COUNTIFS(采购单!$B:$B,$B2234,采购单!$C:$C,$H2234,采购单!$L:$L,$K2234)&gt;0),"※这笔可能和采购单重复了",""))))))))))</f>
        <v/>
      </c>
    </row>
    <row r="2235">
      <c r="A2235" s="17">
        <f>IF($B2235="","",ROW()-3)</f>
        <v/>
      </c>
      <c r="B2235" s="18" t="n"/>
      <c r="C2235" s="13" t="n"/>
      <c r="D2235" s="13" t="n"/>
      <c r="E2235" s="13" t="n"/>
      <c r="F2235" s="17">
        <f>IF($E2235="","",IFERROR(VLOOKUP($E2235,类别归属,2,0),"※类别不在基础资料里"))</f>
        <v/>
      </c>
      <c r="G2235" s="13" t="n"/>
      <c r="H2235" s="13" t="n"/>
      <c r="I2235" s="13" t="n"/>
      <c r="J2235" s="14" t="n"/>
      <c r="K2235" s="14" t="n"/>
      <c r="L2235" s="19">
        <f>IF($C2235="","",ROUND(IFERROR(VLOOKUP($C2235,账户期初,2,0),0)+SUMIFS($J$4:J2235,$C$4:C2235,$C2235)-SUMIFS($K$4:K2235,$C$4:C2235,$C2235),2))</f>
        <v/>
      </c>
      <c r="M2235" s="19">
        <f>IF($C2235="","",ROUND(SUM(基础资料!$B$4:$B$13)+SUM($J$4:J2235)-SUM($K$4:K2235),2))</f>
        <v/>
      </c>
      <c r="N2235" s="13" t="n"/>
      <c r="O2235" s="13" t="n"/>
      <c r="P2235" s="17">
        <f>IF($B2235="","",IF($F2235="※类别不在基础资料里","※费用类别不在基础资料里",IF(AND(N($J2235)=0,N($K2235)=0),"※这行没填金额",IF(AND(N($J2235)&gt;0,N($K2235)&gt;0),"※收入和支出不能同一行都填",IF(AND($D2235="收入",N($J2235)=0),"※收入行要填收入金额",IF(AND($D2235="支出",N($K2235)=0),"※支出行要填支出金额",IF(AND($C2235&lt;&gt;"",ISNA(MATCH($C2235,账户表,0))),"※账户不在基础资料里",IF(AND($G2235&lt;&gt;"",ISNA(MATCH($G2235,项目名表,0))),"※项目不在项目台账里",IF(AND(LEFT($F2235,3)="成本-",$G2235=""),"※成本类支出没填项目",IF(AND(LEFT($F2235,3)="成本-",$H2235&lt;&gt;"",N($K2235)&gt;0,COUNTIFS(采购单!$B:$B,$B2235,采购单!$C:$C,$H2235,采购单!$L:$L,$K2235)&gt;0),"※这笔可能和采购单重复了",""))))))))))</f>
        <v/>
      </c>
    </row>
    <row r="2236">
      <c r="A2236" s="17">
        <f>IF($B2236="","",ROW()-3)</f>
        <v/>
      </c>
      <c r="B2236" s="18" t="n"/>
      <c r="C2236" s="13" t="n"/>
      <c r="D2236" s="13" t="n"/>
      <c r="E2236" s="13" t="n"/>
      <c r="F2236" s="17">
        <f>IF($E2236="","",IFERROR(VLOOKUP($E2236,类别归属,2,0),"※类别不在基础资料里"))</f>
        <v/>
      </c>
      <c r="G2236" s="13" t="n"/>
      <c r="H2236" s="13" t="n"/>
      <c r="I2236" s="13" t="n"/>
      <c r="J2236" s="14" t="n"/>
      <c r="K2236" s="14" t="n"/>
      <c r="L2236" s="19">
        <f>IF($C2236="","",ROUND(IFERROR(VLOOKUP($C2236,账户期初,2,0),0)+SUMIFS($J$4:J2236,$C$4:C2236,$C2236)-SUMIFS($K$4:K2236,$C$4:C2236,$C2236),2))</f>
        <v/>
      </c>
      <c r="M2236" s="19">
        <f>IF($C2236="","",ROUND(SUM(基础资料!$B$4:$B$13)+SUM($J$4:J2236)-SUM($K$4:K2236),2))</f>
        <v/>
      </c>
      <c r="N2236" s="13" t="n"/>
      <c r="O2236" s="13" t="n"/>
      <c r="P2236" s="17">
        <f>IF($B2236="","",IF($F2236="※类别不在基础资料里","※费用类别不在基础资料里",IF(AND(N($J2236)=0,N($K2236)=0),"※这行没填金额",IF(AND(N($J2236)&gt;0,N($K2236)&gt;0),"※收入和支出不能同一行都填",IF(AND($D2236="收入",N($J2236)=0),"※收入行要填收入金额",IF(AND($D2236="支出",N($K2236)=0),"※支出行要填支出金额",IF(AND($C2236&lt;&gt;"",ISNA(MATCH($C2236,账户表,0))),"※账户不在基础资料里",IF(AND($G2236&lt;&gt;"",ISNA(MATCH($G2236,项目名表,0))),"※项目不在项目台账里",IF(AND(LEFT($F2236,3)="成本-",$G2236=""),"※成本类支出没填项目",IF(AND(LEFT($F2236,3)="成本-",$H2236&lt;&gt;"",N($K2236)&gt;0,COUNTIFS(采购单!$B:$B,$B2236,采购单!$C:$C,$H2236,采购单!$L:$L,$K2236)&gt;0),"※这笔可能和采购单重复了",""))))))))))</f>
        <v/>
      </c>
    </row>
    <row r="2237">
      <c r="A2237" s="17">
        <f>IF($B2237="","",ROW()-3)</f>
        <v/>
      </c>
      <c r="B2237" s="18" t="n"/>
      <c r="C2237" s="13" t="n"/>
      <c r="D2237" s="13" t="n"/>
      <c r="E2237" s="13" t="n"/>
      <c r="F2237" s="17">
        <f>IF($E2237="","",IFERROR(VLOOKUP($E2237,类别归属,2,0),"※类别不在基础资料里"))</f>
        <v/>
      </c>
      <c r="G2237" s="13" t="n"/>
      <c r="H2237" s="13" t="n"/>
      <c r="I2237" s="13" t="n"/>
      <c r="J2237" s="14" t="n"/>
      <c r="K2237" s="14" t="n"/>
      <c r="L2237" s="19">
        <f>IF($C2237="","",ROUND(IFERROR(VLOOKUP($C2237,账户期初,2,0),0)+SUMIFS($J$4:J2237,$C$4:C2237,$C2237)-SUMIFS($K$4:K2237,$C$4:C2237,$C2237),2))</f>
        <v/>
      </c>
      <c r="M2237" s="19">
        <f>IF($C2237="","",ROUND(SUM(基础资料!$B$4:$B$13)+SUM($J$4:J2237)-SUM($K$4:K2237),2))</f>
        <v/>
      </c>
      <c r="N2237" s="13" t="n"/>
      <c r="O2237" s="13" t="n"/>
      <c r="P2237" s="17">
        <f>IF($B2237="","",IF($F2237="※类别不在基础资料里","※费用类别不在基础资料里",IF(AND(N($J2237)=0,N($K2237)=0),"※这行没填金额",IF(AND(N($J2237)&gt;0,N($K2237)&gt;0),"※收入和支出不能同一行都填",IF(AND($D2237="收入",N($J2237)=0),"※收入行要填收入金额",IF(AND($D2237="支出",N($K2237)=0),"※支出行要填支出金额",IF(AND($C2237&lt;&gt;"",ISNA(MATCH($C2237,账户表,0))),"※账户不在基础资料里",IF(AND($G2237&lt;&gt;"",ISNA(MATCH($G2237,项目名表,0))),"※项目不在项目台账里",IF(AND(LEFT($F2237,3)="成本-",$G2237=""),"※成本类支出没填项目",IF(AND(LEFT($F2237,3)="成本-",$H2237&lt;&gt;"",N($K2237)&gt;0,COUNTIFS(采购单!$B:$B,$B2237,采购单!$C:$C,$H2237,采购单!$L:$L,$K2237)&gt;0),"※这笔可能和采购单重复了",""))))))))))</f>
        <v/>
      </c>
    </row>
    <row r="2238">
      <c r="A2238" s="17">
        <f>IF($B2238="","",ROW()-3)</f>
        <v/>
      </c>
      <c r="B2238" s="18" t="n"/>
      <c r="C2238" s="13" t="n"/>
      <c r="D2238" s="13" t="n"/>
      <c r="E2238" s="13" t="n"/>
      <c r="F2238" s="17">
        <f>IF($E2238="","",IFERROR(VLOOKUP($E2238,类别归属,2,0),"※类别不在基础资料里"))</f>
        <v/>
      </c>
      <c r="G2238" s="13" t="n"/>
      <c r="H2238" s="13" t="n"/>
      <c r="I2238" s="13" t="n"/>
      <c r="J2238" s="14" t="n"/>
      <c r="K2238" s="14" t="n"/>
      <c r="L2238" s="19">
        <f>IF($C2238="","",ROUND(IFERROR(VLOOKUP($C2238,账户期初,2,0),0)+SUMIFS($J$4:J2238,$C$4:C2238,$C2238)-SUMIFS($K$4:K2238,$C$4:C2238,$C2238),2))</f>
        <v/>
      </c>
      <c r="M2238" s="19">
        <f>IF($C2238="","",ROUND(SUM(基础资料!$B$4:$B$13)+SUM($J$4:J2238)-SUM($K$4:K2238),2))</f>
        <v/>
      </c>
      <c r="N2238" s="13" t="n"/>
      <c r="O2238" s="13" t="n"/>
      <c r="P2238" s="17">
        <f>IF($B2238="","",IF($F2238="※类别不在基础资料里","※费用类别不在基础资料里",IF(AND(N($J2238)=0,N($K2238)=0),"※这行没填金额",IF(AND(N($J2238)&gt;0,N($K2238)&gt;0),"※收入和支出不能同一行都填",IF(AND($D2238="收入",N($J2238)=0),"※收入行要填收入金额",IF(AND($D2238="支出",N($K2238)=0),"※支出行要填支出金额",IF(AND($C2238&lt;&gt;"",ISNA(MATCH($C2238,账户表,0))),"※账户不在基础资料里",IF(AND($G2238&lt;&gt;"",ISNA(MATCH($G2238,项目名表,0))),"※项目不在项目台账里",IF(AND(LEFT($F2238,3)="成本-",$G2238=""),"※成本类支出没填项目",IF(AND(LEFT($F2238,3)="成本-",$H2238&lt;&gt;"",N($K2238)&gt;0,COUNTIFS(采购单!$B:$B,$B2238,采购单!$C:$C,$H2238,采购单!$L:$L,$K2238)&gt;0),"※这笔可能和采购单重复了",""))))))))))</f>
        <v/>
      </c>
    </row>
    <row r="2239">
      <c r="A2239" s="17">
        <f>IF($B2239="","",ROW()-3)</f>
        <v/>
      </c>
      <c r="B2239" s="18" t="n"/>
      <c r="C2239" s="13" t="n"/>
      <c r="D2239" s="13" t="n"/>
      <c r="E2239" s="13" t="n"/>
      <c r="F2239" s="17">
        <f>IF($E2239="","",IFERROR(VLOOKUP($E2239,类别归属,2,0),"※类别不在基础资料里"))</f>
        <v/>
      </c>
      <c r="G2239" s="13" t="n"/>
      <c r="H2239" s="13" t="n"/>
      <c r="I2239" s="13" t="n"/>
      <c r="J2239" s="14" t="n"/>
      <c r="K2239" s="14" t="n"/>
      <c r="L2239" s="19">
        <f>IF($C2239="","",ROUND(IFERROR(VLOOKUP($C2239,账户期初,2,0),0)+SUMIFS($J$4:J2239,$C$4:C2239,$C2239)-SUMIFS($K$4:K2239,$C$4:C2239,$C2239),2))</f>
        <v/>
      </c>
      <c r="M2239" s="19">
        <f>IF($C2239="","",ROUND(SUM(基础资料!$B$4:$B$13)+SUM($J$4:J2239)-SUM($K$4:K2239),2))</f>
        <v/>
      </c>
      <c r="N2239" s="13" t="n"/>
      <c r="O2239" s="13" t="n"/>
      <c r="P2239" s="17">
        <f>IF($B2239="","",IF($F2239="※类别不在基础资料里","※费用类别不在基础资料里",IF(AND(N($J2239)=0,N($K2239)=0),"※这行没填金额",IF(AND(N($J2239)&gt;0,N($K2239)&gt;0),"※收入和支出不能同一行都填",IF(AND($D2239="收入",N($J2239)=0),"※收入行要填收入金额",IF(AND($D2239="支出",N($K2239)=0),"※支出行要填支出金额",IF(AND($C2239&lt;&gt;"",ISNA(MATCH($C2239,账户表,0))),"※账户不在基础资料里",IF(AND($G2239&lt;&gt;"",ISNA(MATCH($G2239,项目名表,0))),"※项目不在项目台账里",IF(AND(LEFT($F2239,3)="成本-",$G2239=""),"※成本类支出没填项目",IF(AND(LEFT($F2239,3)="成本-",$H2239&lt;&gt;"",N($K2239)&gt;0,COUNTIFS(采购单!$B:$B,$B2239,采购单!$C:$C,$H2239,采购单!$L:$L,$K2239)&gt;0),"※这笔可能和采购单重复了",""))))))))))</f>
        <v/>
      </c>
    </row>
    <row r="2240">
      <c r="A2240" s="17">
        <f>IF($B2240="","",ROW()-3)</f>
        <v/>
      </c>
      <c r="B2240" s="18" t="n"/>
      <c r="C2240" s="13" t="n"/>
      <c r="D2240" s="13" t="n"/>
      <c r="E2240" s="13" t="n"/>
      <c r="F2240" s="17">
        <f>IF($E2240="","",IFERROR(VLOOKUP($E2240,类别归属,2,0),"※类别不在基础资料里"))</f>
        <v/>
      </c>
      <c r="G2240" s="13" t="n"/>
      <c r="H2240" s="13" t="n"/>
      <c r="I2240" s="13" t="n"/>
      <c r="J2240" s="14" t="n"/>
      <c r="K2240" s="14" t="n"/>
      <c r="L2240" s="19">
        <f>IF($C2240="","",ROUND(IFERROR(VLOOKUP($C2240,账户期初,2,0),0)+SUMIFS($J$4:J2240,$C$4:C2240,$C2240)-SUMIFS($K$4:K2240,$C$4:C2240,$C2240),2))</f>
        <v/>
      </c>
      <c r="M2240" s="19">
        <f>IF($C2240="","",ROUND(SUM(基础资料!$B$4:$B$13)+SUM($J$4:J2240)-SUM($K$4:K2240),2))</f>
        <v/>
      </c>
      <c r="N2240" s="13" t="n"/>
      <c r="O2240" s="13" t="n"/>
      <c r="P2240" s="17">
        <f>IF($B2240="","",IF($F2240="※类别不在基础资料里","※费用类别不在基础资料里",IF(AND(N($J2240)=0,N($K2240)=0),"※这行没填金额",IF(AND(N($J2240)&gt;0,N($K2240)&gt;0),"※收入和支出不能同一行都填",IF(AND($D2240="收入",N($J2240)=0),"※收入行要填收入金额",IF(AND($D2240="支出",N($K2240)=0),"※支出行要填支出金额",IF(AND($C2240&lt;&gt;"",ISNA(MATCH($C2240,账户表,0))),"※账户不在基础资料里",IF(AND($G2240&lt;&gt;"",ISNA(MATCH($G2240,项目名表,0))),"※项目不在项目台账里",IF(AND(LEFT($F2240,3)="成本-",$G2240=""),"※成本类支出没填项目",IF(AND(LEFT($F2240,3)="成本-",$H2240&lt;&gt;"",N($K2240)&gt;0,COUNTIFS(采购单!$B:$B,$B2240,采购单!$C:$C,$H2240,采购单!$L:$L,$K2240)&gt;0),"※这笔可能和采购单重复了",""))))))))))</f>
        <v/>
      </c>
    </row>
    <row r="2241">
      <c r="A2241" s="17">
        <f>IF($B2241="","",ROW()-3)</f>
        <v/>
      </c>
      <c r="B2241" s="18" t="n"/>
      <c r="C2241" s="13" t="n"/>
      <c r="D2241" s="13" t="n"/>
      <c r="E2241" s="13" t="n"/>
      <c r="F2241" s="17">
        <f>IF($E2241="","",IFERROR(VLOOKUP($E2241,类别归属,2,0),"※类别不在基础资料里"))</f>
        <v/>
      </c>
      <c r="G2241" s="13" t="n"/>
      <c r="H2241" s="13" t="n"/>
      <c r="I2241" s="13" t="n"/>
      <c r="J2241" s="14" t="n"/>
      <c r="K2241" s="14" t="n"/>
      <c r="L2241" s="19">
        <f>IF($C2241="","",ROUND(IFERROR(VLOOKUP($C2241,账户期初,2,0),0)+SUMIFS($J$4:J2241,$C$4:C2241,$C2241)-SUMIFS($K$4:K2241,$C$4:C2241,$C2241),2))</f>
        <v/>
      </c>
      <c r="M2241" s="19">
        <f>IF($C2241="","",ROUND(SUM(基础资料!$B$4:$B$13)+SUM($J$4:J2241)-SUM($K$4:K2241),2))</f>
        <v/>
      </c>
      <c r="N2241" s="13" t="n"/>
      <c r="O2241" s="13" t="n"/>
      <c r="P2241" s="17">
        <f>IF($B2241="","",IF($F2241="※类别不在基础资料里","※费用类别不在基础资料里",IF(AND(N($J2241)=0,N($K2241)=0),"※这行没填金额",IF(AND(N($J2241)&gt;0,N($K2241)&gt;0),"※收入和支出不能同一行都填",IF(AND($D2241="收入",N($J2241)=0),"※收入行要填收入金额",IF(AND($D2241="支出",N($K2241)=0),"※支出行要填支出金额",IF(AND($C2241&lt;&gt;"",ISNA(MATCH($C2241,账户表,0))),"※账户不在基础资料里",IF(AND($G2241&lt;&gt;"",ISNA(MATCH($G2241,项目名表,0))),"※项目不在项目台账里",IF(AND(LEFT($F2241,3)="成本-",$G2241=""),"※成本类支出没填项目",IF(AND(LEFT($F2241,3)="成本-",$H2241&lt;&gt;"",N($K2241)&gt;0,COUNTIFS(采购单!$B:$B,$B2241,采购单!$C:$C,$H2241,采购单!$L:$L,$K2241)&gt;0),"※这笔可能和采购单重复了",""))))))))))</f>
        <v/>
      </c>
    </row>
    <row r="2242">
      <c r="A2242" s="17">
        <f>IF($B2242="","",ROW()-3)</f>
        <v/>
      </c>
      <c r="B2242" s="18" t="n"/>
      <c r="C2242" s="13" t="n"/>
      <c r="D2242" s="13" t="n"/>
      <c r="E2242" s="13" t="n"/>
      <c r="F2242" s="17">
        <f>IF($E2242="","",IFERROR(VLOOKUP($E2242,类别归属,2,0),"※类别不在基础资料里"))</f>
        <v/>
      </c>
      <c r="G2242" s="13" t="n"/>
      <c r="H2242" s="13" t="n"/>
      <c r="I2242" s="13" t="n"/>
      <c r="J2242" s="14" t="n"/>
      <c r="K2242" s="14" t="n"/>
      <c r="L2242" s="19">
        <f>IF($C2242="","",ROUND(IFERROR(VLOOKUP($C2242,账户期初,2,0),0)+SUMIFS($J$4:J2242,$C$4:C2242,$C2242)-SUMIFS($K$4:K2242,$C$4:C2242,$C2242),2))</f>
        <v/>
      </c>
      <c r="M2242" s="19">
        <f>IF($C2242="","",ROUND(SUM(基础资料!$B$4:$B$13)+SUM($J$4:J2242)-SUM($K$4:K2242),2))</f>
        <v/>
      </c>
      <c r="N2242" s="13" t="n"/>
      <c r="O2242" s="13" t="n"/>
      <c r="P2242" s="17">
        <f>IF($B2242="","",IF($F2242="※类别不在基础资料里","※费用类别不在基础资料里",IF(AND(N($J2242)=0,N($K2242)=0),"※这行没填金额",IF(AND(N($J2242)&gt;0,N($K2242)&gt;0),"※收入和支出不能同一行都填",IF(AND($D2242="收入",N($J2242)=0),"※收入行要填收入金额",IF(AND($D2242="支出",N($K2242)=0),"※支出行要填支出金额",IF(AND($C2242&lt;&gt;"",ISNA(MATCH($C2242,账户表,0))),"※账户不在基础资料里",IF(AND($G2242&lt;&gt;"",ISNA(MATCH($G2242,项目名表,0))),"※项目不在项目台账里",IF(AND(LEFT($F2242,3)="成本-",$G2242=""),"※成本类支出没填项目",IF(AND(LEFT($F2242,3)="成本-",$H2242&lt;&gt;"",N($K2242)&gt;0,COUNTIFS(采购单!$B:$B,$B2242,采购单!$C:$C,$H2242,采购单!$L:$L,$K2242)&gt;0),"※这笔可能和采购单重复了",""))))))))))</f>
        <v/>
      </c>
    </row>
    <row r="2243">
      <c r="A2243" s="17">
        <f>IF($B2243="","",ROW()-3)</f>
        <v/>
      </c>
      <c r="B2243" s="18" t="n"/>
      <c r="C2243" s="13" t="n"/>
      <c r="D2243" s="13" t="n"/>
      <c r="E2243" s="13" t="n"/>
      <c r="F2243" s="17">
        <f>IF($E2243="","",IFERROR(VLOOKUP($E2243,类别归属,2,0),"※类别不在基础资料里"))</f>
        <v/>
      </c>
      <c r="G2243" s="13" t="n"/>
      <c r="H2243" s="13" t="n"/>
      <c r="I2243" s="13" t="n"/>
      <c r="J2243" s="14" t="n"/>
      <c r="K2243" s="14" t="n"/>
      <c r="L2243" s="19">
        <f>IF($C2243="","",ROUND(IFERROR(VLOOKUP($C2243,账户期初,2,0),0)+SUMIFS($J$4:J2243,$C$4:C2243,$C2243)-SUMIFS($K$4:K2243,$C$4:C2243,$C2243),2))</f>
        <v/>
      </c>
      <c r="M2243" s="19">
        <f>IF($C2243="","",ROUND(SUM(基础资料!$B$4:$B$13)+SUM($J$4:J2243)-SUM($K$4:K2243),2))</f>
        <v/>
      </c>
      <c r="N2243" s="13" t="n"/>
      <c r="O2243" s="13" t="n"/>
      <c r="P2243" s="17">
        <f>IF($B2243="","",IF($F2243="※类别不在基础资料里","※费用类别不在基础资料里",IF(AND(N($J2243)=0,N($K2243)=0),"※这行没填金额",IF(AND(N($J2243)&gt;0,N($K2243)&gt;0),"※收入和支出不能同一行都填",IF(AND($D2243="收入",N($J2243)=0),"※收入行要填收入金额",IF(AND($D2243="支出",N($K2243)=0),"※支出行要填支出金额",IF(AND($C2243&lt;&gt;"",ISNA(MATCH($C2243,账户表,0))),"※账户不在基础资料里",IF(AND($G2243&lt;&gt;"",ISNA(MATCH($G2243,项目名表,0))),"※项目不在项目台账里",IF(AND(LEFT($F2243,3)="成本-",$G2243=""),"※成本类支出没填项目",IF(AND(LEFT($F2243,3)="成本-",$H2243&lt;&gt;"",N($K2243)&gt;0,COUNTIFS(采购单!$B:$B,$B2243,采购单!$C:$C,$H2243,采购单!$L:$L,$K2243)&gt;0),"※这笔可能和采购单重复了",""))))))))))</f>
        <v/>
      </c>
    </row>
    <row r="2244">
      <c r="A2244" s="17">
        <f>IF($B2244="","",ROW()-3)</f>
        <v/>
      </c>
      <c r="B2244" s="18" t="n"/>
      <c r="C2244" s="13" t="n"/>
      <c r="D2244" s="13" t="n"/>
      <c r="E2244" s="13" t="n"/>
      <c r="F2244" s="17">
        <f>IF($E2244="","",IFERROR(VLOOKUP($E2244,类别归属,2,0),"※类别不在基础资料里"))</f>
        <v/>
      </c>
      <c r="G2244" s="13" t="n"/>
      <c r="H2244" s="13" t="n"/>
      <c r="I2244" s="13" t="n"/>
      <c r="J2244" s="14" t="n"/>
      <c r="K2244" s="14" t="n"/>
      <c r="L2244" s="19">
        <f>IF($C2244="","",ROUND(IFERROR(VLOOKUP($C2244,账户期初,2,0),0)+SUMIFS($J$4:J2244,$C$4:C2244,$C2244)-SUMIFS($K$4:K2244,$C$4:C2244,$C2244),2))</f>
        <v/>
      </c>
      <c r="M2244" s="19">
        <f>IF($C2244="","",ROUND(SUM(基础资料!$B$4:$B$13)+SUM($J$4:J2244)-SUM($K$4:K2244),2))</f>
        <v/>
      </c>
      <c r="N2244" s="13" t="n"/>
      <c r="O2244" s="13" t="n"/>
      <c r="P2244" s="17">
        <f>IF($B2244="","",IF($F2244="※类别不在基础资料里","※费用类别不在基础资料里",IF(AND(N($J2244)=0,N($K2244)=0),"※这行没填金额",IF(AND(N($J2244)&gt;0,N($K2244)&gt;0),"※收入和支出不能同一行都填",IF(AND($D2244="收入",N($J2244)=0),"※收入行要填收入金额",IF(AND($D2244="支出",N($K2244)=0),"※支出行要填支出金额",IF(AND($C2244&lt;&gt;"",ISNA(MATCH($C2244,账户表,0))),"※账户不在基础资料里",IF(AND($G2244&lt;&gt;"",ISNA(MATCH($G2244,项目名表,0))),"※项目不在项目台账里",IF(AND(LEFT($F2244,3)="成本-",$G2244=""),"※成本类支出没填项目",IF(AND(LEFT($F2244,3)="成本-",$H2244&lt;&gt;"",N($K2244)&gt;0,COUNTIFS(采购单!$B:$B,$B2244,采购单!$C:$C,$H2244,采购单!$L:$L,$K2244)&gt;0),"※这笔可能和采购单重复了",""))))))))))</f>
        <v/>
      </c>
    </row>
    <row r="2245">
      <c r="A2245" s="17">
        <f>IF($B2245="","",ROW()-3)</f>
        <v/>
      </c>
      <c r="B2245" s="18" t="n"/>
      <c r="C2245" s="13" t="n"/>
      <c r="D2245" s="13" t="n"/>
      <c r="E2245" s="13" t="n"/>
      <c r="F2245" s="17">
        <f>IF($E2245="","",IFERROR(VLOOKUP($E2245,类别归属,2,0),"※类别不在基础资料里"))</f>
        <v/>
      </c>
      <c r="G2245" s="13" t="n"/>
      <c r="H2245" s="13" t="n"/>
      <c r="I2245" s="13" t="n"/>
      <c r="J2245" s="14" t="n"/>
      <c r="K2245" s="14" t="n"/>
      <c r="L2245" s="19">
        <f>IF($C2245="","",ROUND(IFERROR(VLOOKUP($C2245,账户期初,2,0),0)+SUMIFS($J$4:J2245,$C$4:C2245,$C2245)-SUMIFS($K$4:K2245,$C$4:C2245,$C2245),2))</f>
        <v/>
      </c>
      <c r="M2245" s="19">
        <f>IF($C2245="","",ROUND(SUM(基础资料!$B$4:$B$13)+SUM($J$4:J2245)-SUM($K$4:K2245),2))</f>
        <v/>
      </c>
      <c r="N2245" s="13" t="n"/>
      <c r="O2245" s="13" t="n"/>
      <c r="P2245" s="17">
        <f>IF($B2245="","",IF($F2245="※类别不在基础资料里","※费用类别不在基础资料里",IF(AND(N($J2245)=0,N($K2245)=0),"※这行没填金额",IF(AND(N($J2245)&gt;0,N($K2245)&gt;0),"※收入和支出不能同一行都填",IF(AND($D2245="收入",N($J2245)=0),"※收入行要填收入金额",IF(AND($D2245="支出",N($K2245)=0),"※支出行要填支出金额",IF(AND($C2245&lt;&gt;"",ISNA(MATCH($C2245,账户表,0))),"※账户不在基础资料里",IF(AND($G2245&lt;&gt;"",ISNA(MATCH($G2245,项目名表,0))),"※项目不在项目台账里",IF(AND(LEFT($F2245,3)="成本-",$G2245=""),"※成本类支出没填项目",IF(AND(LEFT($F2245,3)="成本-",$H2245&lt;&gt;"",N($K2245)&gt;0,COUNTIFS(采购单!$B:$B,$B2245,采购单!$C:$C,$H2245,采购单!$L:$L,$K2245)&gt;0),"※这笔可能和采购单重复了",""))))))))))</f>
        <v/>
      </c>
    </row>
    <row r="2246">
      <c r="A2246" s="17">
        <f>IF($B2246="","",ROW()-3)</f>
        <v/>
      </c>
      <c r="B2246" s="18" t="n"/>
      <c r="C2246" s="13" t="n"/>
      <c r="D2246" s="13" t="n"/>
      <c r="E2246" s="13" t="n"/>
      <c r="F2246" s="17">
        <f>IF($E2246="","",IFERROR(VLOOKUP($E2246,类别归属,2,0),"※类别不在基础资料里"))</f>
        <v/>
      </c>
      <c r="G2246" s="13" t="n"/>
      <c r="H2246" s="13" t="n"/>
      <c r="I2246" s="13" t="n"/>
      <c r="J2246" s="14" t="n"/>
      <c r="K2246" s="14" t="n"/>
      <c r="L2246" s="19">
        <f>IF($C2246="","",ROUND(IFERROR(VLOOKUP($C2246,账户期初,2,0),0)+SUMIFS($J$4:J2246,$C$4:C2246,$C2246)-SUMIFS($K$4:K2246,$C$4:C2246,$C2246),2))</f>
        <v/>
      </c>
      <c r="M2246" s="19">
        <f>IF($C2246="","",ROUND(SUM(基础资料!$B$4:$B$13)+SUM($J$4:J2246)-SUM($K$4:K2246),2))</f>
        <v/>
      </c>
      <c r="N2246" s="13" t="n"/>
      <c r="O2246" s="13" t="n"/>
      <c r="P2246" s="17">
        <f>IF($B2246="","",IF($F2246="※类别不在基础资料里","※费用类别不在基础资料里",IF(AND(N($J2246)=0,N($K2246)=0),"※这行没填金额",IF(AND(N($J2246)&gt;0,N($K2246)&gt;0),"※收入和支出不能同一行都填",IF(AND($D2246="收入",N($J2246)=0),"※收入行要填收入金额",IF(AND($D2246="支出",N($K2246)=0),"※支出行要填支出金额",IF(AND($C2246&lt;&gt;"",ISNA(MATCH($C2246,账户表,0))),"※账户不在基础资料里",IF(AND($G2246&lt;&gt;"",ISNA(MATCH($G2246,项目名表,0))),"※项目不在项目台账里",IF(AND(LEFT($F2246,3)="成本-",$G2246=""),"※成本类支出没填项目",IF(AND(LEFT($F2246,3)="成本-",$H2246&lt;&gt;"",N($K2246)&gt;0,COUNTIFS(采购单!$B:$B,$B2246,采购单!$C:$C,$H2246,采购单!$L:$L,$K2246)&gt;0),"※这笔可能和采购单重复了",""))))))))))</f>
        <v/>
      </c>
    </row>
    <row r="2247">
      <c r="A2247" s="17">
        <f>IF($B2247="","",ROW()-3)</f>
        <v/>
      </c>
      <c r="B2247" s="18" t="n"/>
      <c r="C2247" s="13" t="n"/>
      <c r="D2247" s="13" t="n"/>
      <c r="E2247" s="13" t="n"/>
      <c r="F2247" s="17">
        <f>IF($E2247="","",IFERROR(VLOOKUP($E2247,类别归属,2,0),"※类别不在基础资料里"))</f>
        <v/>
      </c>
      <c r="G2247" s="13" t="n"/>
      <c r="H2247" s="13" t="n"/>
      <c r="I2247" s="13" t="n"/>
      <c r="J2247" s="14" t="n"/>
      <c r="K2247" s="14" t="n"/>
      <c r="L2247" s="19">
        <f>IF($C2247="","",ROUND(IFERROR(VLOOKUP($C2247,账户期初,2,0),0)+SUMIFS($J$4:J2247,$C$4:C2247,$C2247)-SUMIFS($K$4:K2247,$C$4:C2247,$C2247),2))</f>
        <v/>
      </c>
      <c r="M2247" s="19">
        <f>IF($C2247="","",ROUND(SUM(基础资料!$B$4:$B$13)+SUM($J$4:J2247)-SUM($K$4:K2247),2))</f>
        <v/>
      </c>
      <c r="N2247" s="13" t="n"/>
      <c r="O2247" s="13" t="n"/>
      <c r="P2247" s="17">
        <f>IF($B2247="","",IF($F2247="※类别不在基础资料里","※费用类别不在基础资料里",IF(AND(N($J2247)=0,N($K2247)=0),"※这行没填金额",IF(AND(N($J2247)&gt;0,N($K2247)&gt;0),"※收入和支出不能同一行都填",IF(AND($D2247="收入",N($J2247)=0),"※收入行要填收入金额",IF(AND($D2247="支出",N($K2247)=0),"※支出行要填支出金额",IF(AND($C2247&lt;&gt;"",ISNA(MATCH($C2247,账户表,0))),"※账户不在基础资料里",IF(AND($G2247&lt;&gt;"",ISNA(MATCH($G2247,项目名表,0))),"※项目不在项目台账里",IF(AND(LEFT($F2247,3)="成本-",$G2247=""),"※成本类支出没填项目",IF(AND(LEFT($F2247,3)="成本-",$H2247&lt;&gt;"",N($K2247)&gt;0,COUNTIFS(采购单!$B:$B,$B2247,采购单!$C:$C,$H2247,采购单!$L:$L,$K2247)&gt;0),"※这笔可能和采购单重复了",""))))))))))</f>
        <v/>
      </c>
    </row>
    <row r="2248">
      <c r="A2248" s="17">
        <f>IF($B2248="","",ROW()-3)</f>
        <v/>
      </c>
      <c r="B2248" s="18" t="n"/>
      <c r="C2248" s="13" t="n"/>
      <c r="D2248" s="13" t="n"/>
      <c r="E2248" s="13" t="n"/>
      <c r="F2248" s="17">
        <f>IF($E2248="","",IFERROR(VLOOKUP($E2248,类别归属,2,0),"※类别不在基础资料里"))</f>
        <v/>
      </c>
      <c r="G2248" s="13" t="n"/>
      <c r="H2248" s="13" t="n"/>
      <c r="I2248" s="13" t="n"/>
      <c r="J2248" s="14" t="n"/>
      <c r="K2248" s="14" t="n"/>
      <c r="L2248" s="19">
        <f>IF($C2248="","",ROUND(IFERROR(VLOOKUP($C2248,账户期初,2,0),0)+SUMIFS($J$4:J2248,$C$4:C2248,$C2248)-SUMIFS($K$4:K2248,$C$4:C2248,$C2248),2))</f>
        <v/>
      </c>
      <c r="M2248" s="19">
        <f>IF($C2248="","",ROUND(SUM(基础资料!$B$4:$B$13)+SUM($J$4:J2248)-SUM($K$4:K2248),2))</f>
        <v/>
      </c>
      <c r="N2248" s="13" t="n"/>
      <c r="O2248" s="13" t="n"/>
      <c r="P2248" s="17">
        <f>IF($B2248="","",IF($F2248="※类别不在基础资料里","※费用类别不在基础资料里",IF(AND(N($J2248)=0,N($K2248)=0),"※这行没填金额",IF(AND(N($J2248)&gt;0,N($K2248)&gt;0),"※收入和支出不能同一行都填",IF(AND($D2248="收入",N($J2248)=0),"※收入行要填收入金额",IF(AND($D2248="支出",N($K2248)=0),"※支出行要填支出金额",IF(AND($C2248&lt;&gt;"",ISNA(MATCH($C2248,账户表,0))),"※账户不在基础资料里",IF(AND($G2248&lt;&gt;"",ISNA(MATCH($G2248,项目名表,0))),"※项目不在项目台账里",IF(AND(LEFT($F2248,3)="成本-",$G2248=""),"※成本类支出没填项目",IF(AND(LEFT($F2248,3)="成本-",$H2248&lt;&gt;"",N($K2248)&gt;0,COUNTIFS(采购单!$B:$B,$B2248,采购单!$C:$C,$H2248,采购单!$L:$L,$K2248)&gt;0),"※这笔可能和采购单重复了",""))))))))))</f>
        <v/>
      </c>
    </row>
    <row r="2249">
      <c r="A2249" s="17">
        <f>IF($B2249="","",ROW()-3)</f>
        <v/>
      </c>
      <c r="B2249" s="18" t="n"/>
      <c r="C2249" s="13" t="n"/>
      <c r="D2249" s="13" t="n"/>
      <c r="E2249" s="13" t="n"/>
      <c r="F2249" s="17">
        <f>IF($E2249="","",IFERROR(VLOOKUP($E2249,类别归属,2,0),"※类别不在基础资料里"))</f>
        <v/>
      </c>
      <c r="G2249" s="13" t="n"/>
      <c r="H2249" s="13" t="n"/>
      <c r="I2249" s="13" t="n"/>
      <c r="J2249" s="14" t="n"/>
      <c r="K2249" s="14" t="n"/>
      <c r="L2249" s="19">
        <f>IF($C2249="","",ROUND(IFERROR(VLOOKUP($C2249,账户期初,2,0),0)+SUMIFS($J$4:J2249,$C$4:C2249,$C2249)-SUMIFS($K$4:K2249,$C$4:C2249,$C2249),2))</f>
        <v/>
      </c>
      <c r="M2249" s="19">
        <f>IF($C2249="","",ROUND(SUM(基础资料!$B$4:$B$13)+SUM($J$4:J2249)-SUM($K$4:K2249),2))</f>
        <v/>
      </c>
      <c r="N2249" s="13" t="n"/>
      <c r="O2249" s="13" t="n"/>
      <c r="P2249" s="17">
        <f>IF($B2249="","",IF($F2249="※类别不在基础资料里","※费用类别不在基础资料里",IF(AND(N($J2249)=0,N($K2249)=0),"※这行没填金额",IF(AND(N($J2249)&gt;0,N($K2249)&gt;0),"※收入和支出不能同一行都填",IF(AND($D2249="收入",N($J2249)=0),"※收入行要填收入金额",IF(AND($D2249="支出",N($K2249)=0),"※支出行要填支出金额",IF(AND($C2249&lt;&gt;"",ISNA(MATCH($C2249,账户表,0))),"※账户不在基础资料里",IF(AND($G2249&lt;&gt;"",ISNA(MATCH($G2249,项目名表,0))),"※项目不在项目台账里",IF(AND(LEFT($F2249,3)="成本-",$G2249=""),"※成本类支出没填项目",IF(AND(LEFT($F2249,3)="成本-",$H2249&lt;&gt;"",N($K2249)&gt;0,COUNTIFS(采购单!$B:$B,$B2249,采购单!$C:$C,$H2249,采购单!$L:$L,$K2249)&gt;0),"※这笔可能和采购单重复了",""))))))))))</f>
        <v/>
      </c>
    </row>
    <row r="2250">
      <c r="A2250" s="17">
        <f>IF($B2250="","",ROW()-3)</f>
        <v/>
      </c>
      <c r="B2250" s="18" t="n"/>
      <c r="C2250" s="13" t="n"/>
      <c r="D2250" s="13" t="n"/>
      <c r="E2250" s="13" t="n"/>
      <c r="F2250" s="17">
        <f>IF($E2250="","",IFERROR(VLOOKUP($E2250,类别归属,2,0),"※类别不在基础资料里"))</f>
        <v/>
      </c>
      <c r="G2250" s="13" t="n"/>
      <c r="H2250" s="13" t="n"/>
      <c r="I2250" s="13" t="n"/>
      <c r="J2250" s="14" t="n"/>
      <c r="K2250" s="14" t="n"/>
      <c r="L2250" s="19">
        <f>IF($C2250="","",ROUND(IFERROR(VLOOKUP($C2250,账户期初,2,0),0)+SUMIFS($J$4:J2250,$C$4:C2250,$C2250)-SUMIFS($K$4:K2250,$C$4:C2250,$C2250),2))</f>
        <v/>
      </c>
      <c r="M2250" s="19">
        <f>IF($C2250="","",ROUND(SUM(基础资料!$B$4:$B$13)+SUM($J$4:J2250)-SUM($K$4:K2250),2))</f>
        <v/>
      </c>
      <c r="N2250" s="13" t="n"/>
      <c r="O2250" s="13" t="n"/>
      <c r="P2250" s="17">
        <f>IF($B2250="","",IF($F2250="※类别不在基础资料里","※费用类别不在基础资料里",IF(AND(N($J2250)=0,N($K2250)=0),"※这行没填金额",IF(AND(N($J2250)&gt;0,N($K2250)&gt;0),"※收入和支出不能同一行都填",IF(AND($D2250="收入",N($J2250)=0),"※收入行要填收入金额",IF(AND($D2250="支出",N($K2250)=0),"※支出行要填支出金额",IF(AND($C2250&lt;&gt;"",ISNA(MATCH($C2250,账户表,0))),"※账户不在基础资料里",IF(AND($G2250&lt;&gt;"",ISNA(MATCH($G2250,项目名表,0))),"※项目不在项目台账里",IF(AND(LEFT($F2250,3)="成本-",$G2250=""),"※成本类支出没填项目",IF(AND(LEFT($F2250,3)="成本-",$H2250&lt;&gt;"",N($K2250)&gt;0,COUNTIFS(采购单!$B:$B,$B2250,采购单!$C:$C,$H2250,采购单!$L:$L,$K2250)&gt;0),"※这笔可能和采购单重复了",""))))))))))</f>
        <v/>
      </c>
    </row>
    <row r="2251">
      <c r="A2251" s="17">
        <f>IF($B2251="","",ROW()-3)</f>
        <v/>
      </c>
      <c r="B2251" s="18" t="n"/>
      <c r="C2251" s="13" t="n"/>
      <c r="D2251" s="13" t="n"/>
      <c r="E2251" s="13" t="n"/>
      <c r="F2251" s="17">
        <f>IF($E2251="","",IFERROR(VLOOKUP($E2251,类别归属,2,0),"※类别不在基础资料里"))</f>
        <v/>
      </c>
      <c r="G2251" s="13" t="n"/>
      <c r="H2251" s="13" t="n"/>
      <c r="I2251" s="13" t="n"/>
      <c r="J2251" s="14" t="n"/>
      <c r="K2251" s="14" t="n"/>
      <c r="L2251" s="19">
        <f>IF($C2251="","",ROUND(IFERROR(VLOOKUP($C2251,账户期初,2,0),0)+SUMIFS($J$4:J2251,$C$4:C2251,$C2251)-SUMIFS($K$4:K2251,$C$4:C2251,$C2251),2))</f>
        <v/>
      </c>
      <c r="M2251" s="19">
        <f>IF($C2251="","",ROUND(SUM(基础资料!$B$4:$B$13)+SUM($J$4:J2251)-SUM($K$4:K2251),2))</f>
        <v/>
      </c>
      <c r="N2251" s="13" t="n"/>
      <c r="O2251" s="13" t="n"/>
      <c r="P2251" s="17">
        <f>IF($B2251="","",IF($F2251="※类别不在基础资料里","※费用类别不在基础资料里",IF(AND(N($J2251)=0,N($K2251)=0),"※这行没填金额",IF(AND(N($J2251)&gt;0,N($K2251)&gt;0),"※收入和支出不能同一行都填",IF(AND($D2251="收入",N($J2251)=0),"※收入行要填收入金额",IF(AND($D2251="支出",N($K2251)=0),"※支出行要填支出金额",IF(AND($C2251&lt;&gt;"",ISNA(MATCH($C2251,账户表,0))),"※账户不在基础资料里",IF(AND($G2251&lt;&gt;"",ISNA(MATCH($G2251,项目名表,0))),"※项目不在项目台账里",IF(AND(LEFT($F2251,3)="成本-",$G2251=""),"※成本类支出没填项目",IF(AND(LEFT($F2251,3)="成本-",$H2251&lt;&gt;"",N($K2251)&gt;0,COUNTIFS(采购单!$B:$B,$B2251,采购单!$C:$C,$H2251,采购单!$L:$L,$K2251)&gt;0),"※这笔可能和采购单重复了",""))))))))))</f>
        <v/>
      </c>
    </row>
    <row r="2252">
      <c r="A2252" s="17">
        <f>IF($B2252="","",ROW()-3)</f>
        <v/>
      </c>
      <c r="B2252" s="18" t="n"/>
      <c r="C2252" s="13" t="n"/>
      <c r="D2252" s="13" t="n"/>
      <c r="E2252" s="13" t="n"/>
      <c r="F2252" s="17">
        <f>IF($E2252="","",IFERROR(VLOOKUP($E2252,类别归属,2,0),"※类别不在基础资料里"))</f>
        <v/>
      </c>
      <c r="G2252" s="13" t="n"/>
      <c r="H2252" s="13" t="n"/>
      <c r="I2252" s="13" t="n"/>
      <c r="J2252" s="14" t="n"/>
      <c r="K2252" s="14" t="n"/>
      <c r="L2252" s="19">
        <f>IF($C2252="","",ROUND(IFERROR(VLOOKUP($C2252,账户期初,2,0),0)+SUMIFS($J$4:J2252,$C$4:C2252,$C2252)-SUMIFS($K$4:K2252,$C$4:C2252,$C2252),2))</f>
        <v/>
      </c>
      <c r="M2252" s="19">
        <f>IF($C2252="","",ROUND(SUM(基础资料!$B$4:$B$13)+SUM($J$4:J2252)-SUM($K$4:K2252),2))</f>
        <v/>
      </c>
      <c r="N2252" s="13" t="n"/>
      <c r="O2252" s="13" t="n"/>
      <c r="P2252" s="17">
        <f>IF($B2252="","",IF($F2252="※类别不在基础资料里","※费用类别不在基础资料里",IF(AND(N($J2252)=0,N($K2252)=0),"※这行没填金额",IF(AND(N($J2252)&gt;0,N($K2252)&gt;0),"※收入和支出不能同一行都填",IF(AND($D2252="收入",N($J2252)=0),"※收入行要填收入金额",IF(AND($D2252="支出",N($K2252)=0),"※支出行要填支出金额",IF(AND($C2252&lt;&gt;"",ISNA(MATCH($C2252,账户表,0))),"※账户不在基础资料里",IF(AND($G2252&lt;&gt;"",ISNA(MATCH($G2252,项目名表,0))),"※项目不在项目台账里",IF(AND(LEFT($F2252,3)="成本-",$G2252=""),"※成本类支出没填项目",IF(AND(LEFT($F2252,3)="成本-",$H2252&lt;&gt;"",N($K2252)&gt;0,COUNTIFS(采购单!$B:$B,$B2252,采购单!$C:$C,$H2252,采购单!$L:$L,$K2252)&gt;0),"※这笔可能和采购单重复了",""))))))))))</f>
        <v/>
      </c>
    </row>
    <row r="2253">
      <c r="A2253" s="17">
        <f>IF($B2253="","",ROW()-3)</f>
        <v/>
      </c>
      <c r="B2253" s="18" t="n"/>
      <c r="C2253" s="13" t="n"/>
      <c r="D2253" s="13" t="n"/>
      <c r="E2253" s="13" t="n"/>
      <c r="F2253" s="17">
        <f>IF($E2253="","",IFERROR(VLOOKUP($E2253,类别归属,2,0),"※类别不在基础资料里"))</f>
        <v/>
      </c>
      <c r="G2253" s="13" t="n"/>
      <c r="H2253" s="13" t="n"/>
      <c r="I2253" s="13" t="n"/>
      <c r="J2253" s="14" t="n"/>
      <c r="K2253" s="14" t="n"/>
      <c r="L2253" s="19">
        <f>IF($C2253="","",ROUND(IFERROR(VLOOKUP($C2253,账户期初,2,0),0)+SUMIFS($J$4:J2253,$C$4:C2253,$C2253)-SUMIFS($K$4:K2253,$C$4:C2253,$C2253),2))</f>
        <v/>
      </c>
      <c r="M2253" s="19">
        <f>IF($C2253="","",ROUND(SUM(基础资料!$B$4:$B$13)+SUM($J$4:J2253)-SUM($K$4:K2253),2))</f>
        <v/>
      </c>
      <c r="N2253" s="13" t="n"/>
      <c r="O2253" s="13" t="n"/>
      <c r="P2253" s="17">
        <f>IF($B2253="","",IF($F2253="※类别不在基础资料里","※费用类别不在基础资料里",IF(AND(N($J2253)=0,N($K2253)=0),"※这行没填金额",IF(AND(N($J2253)&gt;0,N($K2253)&gt;0),"※收入和支出不能同一行都填",IF(AND($D2253="收入",N($J2253)=0),"※收入行要填收入金额",IF(AND($D2253="支出",N($K2253)=0),"※支出行要填支出金额",IF(AND($C2253&lt;&gt;"",ISNA(MATCH($C2253,账户表,0))),"※账户不在基础资料里",IF(AND($G2253&lt;&gt;"",ISNA(MATCH($G2253,项目名表,0))),"※项目不在项目台账里",IF(AND(LEFT($F2253,3)="成本-",$G2253=""),"※成本类支出没填项目",IF(AND(LEFT($F2253,3)="成本-",$H2253&lt;&gt;"",N($K2253)&gt;0,COUNTIFS(采购单!$B:$B,$B2253,采购单!$C:$C,$H2253,采购单!$L:$L,$K2253)&gt;0),"※这笔可能和采购单重复了",""))))))))))</f>
        <v/>
      </c>
    </row>
    <row r="2254">
      <c r="A2254" s="17">
        <f>IF($B2254="","",ROW()-3)</f>
        <v/>
      </c>
      <c r="B2254" s="18" t="n"/>
      <c r="C2254" s="13" t="n"/>
      <c r="D2254" s="13" t="n"/>
      <c r="E2254" s="13" t="n"/>
      <c r="F2254" s="17">
        <f>IF($E2254="","",IFERROR(VLOOKUP($E2254,类别归属,2,0),"※类别不在基础资料里"))</f>
        <v/>
      </c>
      <c r="G2254" s="13" t="n"/>
      <c r="H2254" s="13" t="n"/>
      <c r="I2254" s="13" t="n"/>
      <c r="J2254" s="14" t="n"/>
      <c r="K2254" s="14" t="n"/>
      <c r="L2254" s="19">
        <f>IF($C2254="","",ROUND(IFERROR(VLOOKUP($C2254,账户期初,2,0),0)+SUMIFS($J$4:J2254,$C$4:C2254,$C2254)-SUMIFS($K$4:K2254,$C$4:C2254,$C2254),2))</f>
        <v/>
      </c>
      <c r="M2254" s="19">
        <f>IF($C2254="","",ROUND(SUM(基础资料!$B$4:$B$13)+SUM($J$4:J2254)-SUM($K$4:K2254),2))</f>
        <v/>
      </c>
      <c r="N2254" s="13" t="n"/>
      <c r="O2254" s="13" t="n"/>
      <c r="P2254" s="17">
        <f>IF($B2254="","",IF($F2254="※类别不在基础资料里","※费用类别不在基础资料里",IF(AND(N($J2254)=0,N($K2254)=0),"※这行没填金额",IF(AND(N($J2254)&gt;0,N($K2254)&gt;0),"※收入和支出不能同一行都填",IF(AND($D2254="收入",N($J2254)=0),"※收入行要填收入金额",IF(AND($D2254="支出",N($K2254)=0),"※支出行要填支出金额",IF(AND($C2254&lt;&gt;"",ISNA(MATCH($C2254,账户表,0))),"※账户不在基础资料里",IF(AND($G2254&lt;&gt;"",ISNA(MATCH($G2254,项目名表,0))),"※项目不在项目台账里",IF(AND(LEFT($F2254,3)="成本-",$G2254=""),"※成本类支出没填项目",IF(AND(LEFT($F2254,3)="成本-",$H2254&lt;&gt;"",N($K2254)&gt;0,COUNTIFS(采购单!$B:$B,$B2254,采购单!$C:$C,$H2254,采购单!$L:$L,$K2254)&gt;0),"※这笔可能和采购单重复了",""))))))))))</f>
        <v/>
      </c>
    </row>
    <row r="2255">
      <c r="A2255" s="17">
        <f>IF($B2255="","",ROW()-3)</f>
        <v/>
      </c>
      <c r="B2255" s="18" t="n"/>
      <c r="C2255" s="13" t="n"/>
      <c r="D2255" s="13" t="n"/>
      <c r="E2255" s="13" t="n"/>
      <c r="F2255" s="17">
        <f>IF($E2255="","",IFERROR(VLOOKUP($E2255,类别归属,2,0),"※类别不在基础资料里"))</f>
        <v/>
      </c>
      <c r="G2255" s="13" t="n"/>
      <c r="H2255" s="13" t="n"/>
      <c r="I2255" s="13" t="n"/>
      <c r="J2255" s="14" t="n"/>
      <c r="K2255" s="14" t="n"/>
      <c r="L2255" s="19">
        <f>IF($C2255="","",ROUND(IFERROR(VLOOKUP($C2255,账户期初,2,0),0)+SUMIFS($J$4:J2255,$C$4:C2255,$C2255)-SUMIFS($K$4:K2255,$C$4:C2255,$C2255),2))</f>
        <v/>
      </c>
      <c r="M2255" s="19">
        <f>IF($C2255="","",ROUND(SUM(基础资料!$B$4:$B$13)+SUM($J$4:J2255)-SUM($K$4:K2255),2))</f>
        <v/>
      </c>
      <c r="N2255" s="13" t="n"/>
      <c r="O2255" s="13" t="n"/>
      <c r="P2255" s="17">
        <f>IF($B2255="","",IF($F2255="※类别不在基础资料里","※费用类别不在基础资料里",IF(AND(N($J2255)=0,N($K2255)=0),"※这行没填金额",IF(AND(N($J2255)&gt;0,N($K2255)&gt;0),"※收入和支出不能同一行都填",IF(AND($D2255="收入",N($J2255)=0),"※收入行要填收入金额",IF(AND($D2255="支出",N($K2255)=0),"※支出行要填支出金额",IF(AND($C2255&lt;&gt;"",ISNA(MATCH($C2255,账户表,0))),"※账户不在基础资料里",IF(AND($G2255&lt;&gt;"",ISNA(MATCH($G2255,项目名表,0))),"※项目不在项目台账里",IF(AND(LEFT($F2255,3)="成本-",$G2255=""),"※成本类支出没填项目",IF(AND(LEFT($F2255,3)="成本-",$H2255&lt;&gt;"",N($K2255)&gt;0,COUNTIFS(采购单!$B:$B,$B2255,采购单!$C:$C,$H2255,采购单!$L:$L,$K2255)&gt;0),"※这笔可能和采购单重复了",""))))))))))</f>
        <v/>
      </c>
    </row>
    <row r="2256">
      <c r="A2256" s="17">
        <f>IF($B2256="","",ROW()-3)</f>
        <v/>
      </c>
      <c r="B2256" s="18" t="n"/>
      <c r="C2256" s="13" t="n"/>
      <c r="D2256" s="13" t="n"/>
      <c r="E2256" s="13" t="n"/>
      <c r="F2256" s="17">
        <f>IF($E2256="","",IFERROR(VLOOKUP($E2256,类别归属,2,0),"※类别不在基础资料里"))</f>
        <v/>
      </c>
      <c r="G2256" s="13" t="n"/>
      <c r="H2256" s="13" t="n"/>
      <c r="I2256" s="13" t="n"/>
      <c r="J2256" s="14" t="n"/>
      <c r="K2256" s="14" t="n"/>
      <c r="L2256" s="19">
        <f>IF($C2256="","",ROUND(IFERROR(VLOOKUP($C2256,账户期初,2,0),0)+SUMIFS($J$4:J2256,$C$4:C2256,$C2256)-SUMIFS($K$4:K2256,$C$4:C2256,$C2256),2))</f>
        <v/>
      </c>
      <c r="M2256" s="19">
        <f>IF($C2256="","",ROUND(SUM(基础资料!$B$4:$B$13)+SUM($J$4:J2256)-SUM($K$4:K2256),2))</f>
        <v/>
      </c>
      <c r="N2256" s="13" t="n"/>
      <c r="O2256" s="13" t="n"/>
      <c r="P2256" s="17">
        <f>IF($B2256="","",IF($F2256="※类别不在基础资料里","※费用类别不在基础资料里",IF(AND(N($J2256)=0,N($K2256)=0),"※这行没填金额",IF(AND(N($J2256)&gt;0,N($K2256)&gt;0),"※收入和支出不能同一行都填",IF(AND($D2256="收入",N($J2256)=0),"※收入行要填收入金额",IF(AND($D2256="支出",N($K2256)=0),"※支出行要填支出金额",IF(AND($C2256&lt;&gt;"",ISNA(MATCH($C2256,账户表,0))),"※账户不在基础资料里",IF(AND($G2256&lt;&gt;"",ISNA(MATCH($G2256,项目名表,0))),"※项目不在项目台账里",IF(AND(LEFT($F2256,3)="成本-",$G2256=""),"※成本类支出没填项目",IF(AND(LEFT($F2256,3)="成本-",$H2256&lt;&gt;"",N($K2256)&gt;0,COUNTIFS(采购单!$B:$B,$B2256,采购单!$C:$C,$H2256,采购单!$L:$L,$K2256)&gt;0),"※这笔可能和采购单重复了",""))))))))))</f>
        <v/>
      </c>
    </row>
    <row r="2257">
      <c r="A2257" s="17">
        <f>IF($B2257="","",ROW()-3)</f>
        <v/>
      </c>
      <c r="B2257" s="18" t="n"/>
      <c r="C2257" s="13" t="n"/>
      <c r="D2257" s="13" t="n"/>
      <c r="E2257" s="13" t="n"/>
      <c r="F2257" s="17">
        <f>IF($E2257="","",IFERROR(VLOOKUP($E2257,类别归属,2,0),"※类别不在基础资料里"))</f>
        <v/>
      </c>
      <c r="G2257" s="13" t="n"/>
      <c r="H2257" s="13" t="n"/>
      <c r="I2257" s="13" t="n"/>
      <c r="J2257" s="14" t="n"/>
      <c r="K2257" s="14" t="n"/>
      <c r="L2257" s="19">
        <f>IF($C2257="","",ROUND(IFERROR(VLOOKUP($C2257,账户期初,2,0),0)+SUMIFS($J$4:J2257,$C$4:C2257,$C2257)-SUMIFS($K$4:K2257,$C$4:C2257,$C2257),2))</f>
        <v/>
      </c>
      <c r="M2257" s="19">
        <f>IF($C2257="","",ROUND(SUM(基础资料!$B$4:$B$13)+SUM($J$4:J2257)-SUM($K$4:K2257),2))</f>
        <v/>
      </c>
      <c r="N2257" s="13" t="n"/>
      <c r="O2257" s="13" t="n"/>
      <c r="P2257" s="17">
        <f>IF($B2257="","",IF($F2257="※类别不在基础资料里","※费用类别不在基础资料里",IF(AND(N($J2257)=0,N($K2257)=0),"※这行没填金额",IF(AND(N($J2257)&gt;0,N($K2257)&gt;0),"※收入和支出不能同一行都填",IF(AND($D2257="收入",N($J2257)=0),"※收入行要填收入金额",IF(AND($D2257="支出",N($K2257)=0),"※支出行要填支出金额",IF(AND($C2257&lt;&gt;"",ISNA(MATCH($C2257,账户表,0))),"※账户不在基础资料里",IF(AND($G2257&lt;&gt;"",ISNA(MATCH($G2257,项目名表,0))),"※项目不在项目台账里",IF(AND(LEFT($F2257,3)="成本-",$G2257=""),"※成本类支出没填项目",IF(AND(LEFT($F2257,3)="成本-",$H2257&lt;&gt;"",N($K2257)&gt;0,COUNTIFS(采购单!$B:$B,$B2257,采购单!$C:$C,$H2257,采购单!$L:$L,$K2257)&gt;0),"※这笔可能和采购单重复了",""))))))))))</f>
        <v/>
      </c>
    </row>
    <row r="2258">
      <c r="A2258" s="17">
        <f>IF($B2258="","",ROW()-3)</f>
        <v/>
      </c>
      <c r="B2258" s="18" t="n"/>
      <c r="C2258" s="13" t="n"/>
      <c r="D2258" s="13" t="n"/>
      <c r="E2258" s="13" t="n"/>
      <c r="F2258" s="17">
        <f>IF($E2258="","",IFERROR(VLOOKUP($E2258,类别归属,2,0),"※类别不在基础资料里"))</f>
        <v/>
      </c>
      <c r="G2258" s="13" t="n"/>
      <c r="H2258" s="13" t="n"/>
      <c r="I2258" s="13" t="n"/>
      <c r="J2258" s="14" t="n"/>
      <c r="K2258" s="14" t="n"/>
      <c r="L2258" s="19">
        <f>IF($C2258="","",ROUND(IFERROR(VLOOKUP($C2258,账户期初,2,0),0)+SUMIFS($J$4:J2258,$C$4:C2258,$C2258)-SUMIFS($K$4:K2258,$C$4:C2258,$C2258),2))</f>
        <v/>
      </c>
      <c r="M2258" s="19">
        <f>IF($C2258="","",ROUND(SUM(基础资料!$B$4:$B$13)+SUM($J$4:J2258)-SUM($K$4:K2258),2))</f>
        <v/>
      </c>
      <c r="N2258" s="13" t="n"/>
      <c r="O2258" s="13" t="n"/>
      <c r="P2258" s="17">
        <f>IF($B2258="","",IF($F2258="※类别不在基础资料里","※费用类别不在基础资料里",IF(AND(N($J2258)=0,N($K2258)=0),"※这行没填金额",IF(AND(N($J2258)&gt;0,N($K2258)&gt;0),"※收入和支出不能同一行都填",IF(AND($D2258="收入",N($J2258)=0),"※收入行要填收入金额",IF(AND($D2258="支出",N($K2258)=0),"※支出行要填支出金额",IF(AND($C2258&lt;&gt;"",ISNA(MATCH($C2258,账户表,0))),"※账户不在基础资料里",IF(AND($G2258&lt;&gt;"",ISNA(MATCH($G2258,项目名表,0))),"※项目不在项目台账里",IF(AND(LEFT($F2258,3)="成本-",$G2258=""),"※成本类支出没填项目",IF(AND(LEFT($F2258,3)="成本-",$H2258&lt;&gt;"",N($K2258)&gt;0,COUNTIFS(采购单!$B:$B,$B2258,采购单!$C:$C,$H2258,采购单!$L:$L,$K2258)&gt;0),"※这笔可能和采购单重复了",""))))))))))</f>
        <v/>
      </c>
    </row>
    <row r="2259">
      <c r="A2259" s="17">
        <f>IF($B2259="","",ROW()-3)</f>
        <v/>
      </c>
      <c r="B2259" s="18" t="n"/>
      <c r="C2259" s="13" t="n"/>
      <c r="D2259" s="13" t="n"/>
      <c r="E2259" s="13" t="n"/>
      <c r="F2259" s="17">
        <f>IF($E2259="","",IFERROR(VLOOKUP($E2259,类别归属,2,0),"※类别不在基础资料里"))</f>
        <v/>
      </c>
      <c r="G2259" s="13" t="n"/>
      <c r="H2259" s="13" t="n"/>
      <c r="I2259" s="13" t="n"/>
      <c r="J2259" s="14" t="n"/>
      <c r="K2259" s="14" t="n"/>
      <c r="L2259" s="19">
        <f>IF($C2259="","",ROUND(IFERROR(VLOOKUP($C2259,账户期初,2,0),0)+SUMIFS($J$4:J2259,$C$4:C2259,$C2259)-SUMIFS($K$4:K2259,$C$4:C2259,$C2259),2))</f>
        <v/>
      </c>
      <c r="M2259" s="19">
        <f>IF($C2259="","",ROUND(SUM(基础资料!$B$4:$B$13)+SUM($J$4:J2259)-SUM($K$4:K2259),2))</f>
        <v/>
      </c>
      <c r="N2259" s="13" t="n"/>
      <c r="O2259" s="13" t="n"/>
      <c r="P2259" s="17">
        <f>IF($B2259="","",IF($F2259="※类别不在基础资料里","※费用类别不在基础资料里",IF(AND(N($J2259)=0,N($K2259)=0),"※这行没填金额",IF(AND(N($J2259)&gt;0,N($K2259)&gt;0),"※收入和支出不能同一行都填",IF(AND($D2259="收入",N($J2259)=0),"※收入行要填收入金额",IF(AND($D2259="支出",N($K2259)=0),"※支出行要填支出金额",IF(AND($C2259&lt;&gt;"",ISNA(MATCH($C2259,账户表,0))),"※账户不在基础资料里",IF(AND($G2259&lt;&gt;"",ISNA(MATCH($G2259,项目名表,0))),"※项目不在项目台账里",IF(AND(LEFT($F2259,3)="成本-",$G2259=""),"※成本类支出没填项目",IF(AND(LEFT($F2259,3)="成本-",$H2259&lt;&gt;"",N($K2259)&gt;0,COUNTIFS(采购单!$B:$B,$B2259,采购单!$C:$C,$H2259,采购单!$L:$L,$K2259)&gt;0),"※这笔可能和采购单重复了",""))))))))))</f>
        <v/>
      </c>
    </row>
    <row r="2260">
      <c r="A2260" s="17">
        <f>IF($B2260="","",ROW()-3)</f>
        <v/>
      </c>
      <c r="B2260" s="18" t="n"/>
      <c r="C2260" s="13" t="n"/>
      <c r="D2260" s="13" t="n"/>
      <c r="E2260" s="13" t="n"/>
      <c r="F2260" s="17">
        <f>IF($E2260="","",IFERROR(VLOOKUP($E2260,类别归属,2,0),"※类别不在基础资料里"))</f>
        <v/>
      </c>
      <c r="G2260" s="13" t="n"/>
      <c r="H2260" s="13" t="n"/>
      <c r="I2260" s="13" t="n"/>
      <c r="J2260" s="14" t="n"/>
      <c r="K2260" s="14" t="n"/>
      <c r="L2260" s="19">
        <f>IF($C2260="","",ROUND(IFERROR(VLOOKUP($C2260,账户期初,2,0),0)+SUMIFS($J$4:J2260,$C$4:C2260,$C2260)-SUMIFS($K$4:K2260,$C$4:C2260,$C2260),2))</f>
        <v/>
      </c>
      <c r="M2260" s="19">
        <f>IF($C2260="","",ROUND(SUM(基础资料!$B$4:$B$13)+SUM($J$4:J2260)-SUM($K$4:K2260),2))</f>
        <v/>
      </c>
      <c r="N2260" s="13" t="n"/>
      <c r="O2260" s="13" t="n"/>
      <c r="P2260" s="17">
        <f>IF($B2260="","",IF($F2260="※类别不在基础资料里","※费用类别不在基础资料里",IF(AND(N($J2260)=0,N($K2260)=0),"※这行没填金额",IF(AND(N($J2260)&gt;0,N($K2260)&gt;0),"※收入和支出不能同一行都填",IF(AND($D2260="收入",N($J2260)=0),"※收入行要填收入金额",IF(AND($D2260="支出",N($K2260)=0),"※支出行要填支出金额",IF(AND($C2260&lt;&gt;"",ISNA(MATCH($C2260,账户表,0))),"※账户不在基础资料里",IF(AND($G2260&lt;&gt;"",ISNA(MATCH($G2260,项目名表,0))),"※项目不在项目台账里",IF(AND(LEFT($F2260,3)="成本-",$G2260=""),"※成本类支出没填项目",IF(AND(LEFT($F2260,3)="成本-",$H2260&lt;&gt;"",N($K2260)&gt;0,COUNTIFS(采购单!$B:$B,$B2260,采购单!$C:$C,$H2260,采购单!$L:$L,$K2260)&gt;0),"※这笔可能和采购单重复了",""))))))))))</f>
        <v/>
      </c>
    </row>
    <row r="2261">
      <c r="A2261" s="17">
        <f>IF($B2261="","",ROW()-3)</f>
        <v/>
      </c>
      <c r="B2261" s="18" t="n"/>
      <c r="C2261" s="13" t="n"/>
      <c r="D2261" s="13" t="n"/>
      <c r="E2261" s="13" t="n"/>
      <c r="F2261" s="17">
        <f>IF($E2261="","",IFERROR(VLOOKUP($E2261,类别归属,2,0),"※类别不在基础资料里"))</f>
        <v/>
      </c>
      <c r="G2261" s="13" t="n"/>
      <c r="H2261" s="13" t="n"/>
      <c r="I2261" s="13" t="n"/>
      <c r="J2261" s="14" t="n"/>
      <c r="K2261" s="14" t="n"/>
      <c r="L2261" s="19">
        <f>IF($C2261="","",ROUND(IFERROR(VLOOKUP($C2261,账户期初,2,0),0)+SUMIFS($J$4:J2261,$C$4:C2261,$C2261)-SUMIFS($K$4:K2261,$C$4:C2261,$C2261),2))</f>
        <v/>
      </c>
      <c r="M2261" s="19">
        <f>IF($C2261="","",ROUND(SUM(基础资料!$B$4:$B$13)+SUM($J$4:J2261)-SUM($K$4:K2261),2))</f>
        <v/>
      </c>
      <c r="N2261" s="13" t="n"/>
      <c r="O2261" s="13" t="n"/>
      <c r="P2261" s="17">
        <f>IF($B2261="","",IF($F2261="※类别不在基础资料里","※费用类别不在基础资料里",IF(AND(N($J2261)=0,N($K2261)=0),"※这行没填金额",IF(AND(N($J2261)&gt;0,N($K2261)&gt;0),"※收入和支出不能同一行都填",IF(AND($D2261="收入",N($J2261)=0),"※收入行要填收入金额",IF(AND($D2261="支出",N($K2261)=0),"※支出行要填支出金额",IF(AND($C2261&lt;&gt;"",ISNA(MATCH($C2261,账户表,0))),"※账户不在基础资料里",IF(AND($G2261&lt;&gt;"",ISNA(MATCH($G2261,项目名表,0))),"※项目不在项目台账里",IF(AND(LEFT($F2261,3)="成本-",$G2261=""),"※成本类支出没填项目",IF(AND(LEFT($F2261,3)="成本-",$H2261&lt;&gt;"",N($K2261)&gt;0,COUNTIFS(采购单!$B:$B,$B2261,采购单!$C:$C,$H2261,采购单!$L:$L,$K2261)&gt;0),"※这笔可能和采购单重复了",""))))))))))</f>
        <v/>
      </c>
    </row>
    <row r="2262">
      <c r="A2262" s="17">
        <f>IF($B2262="","",ROW()-3)</f>
        <v/>
      </c>
      <c r="B2262" s="18" t="n"/>
      <c r="C2262" s="13" t="n"/>
      <c r="D2262" s="13" t="n"/>
      <c r="E2262" s="13" t="n"/>
      <c r="F2262" s="17">
        <f>IF($E2262="","",IFERROR(VLOOKUP($E2262,类别归属,2,0),"※类别不在基础资料里"))</f>
        <v/>
      </c>
      <c r="G2262" s="13" t="n"/>
      <c r="H2262" s="13" t="n"/>
      <c r="I2262" s="13" t="n"/>
      <c r="J2262" s="14" t="n"/>
      <c r="K2262" s="14" t="n"/>
      <c r="L2262" s="19">
        <f>IF($C2262="","",ROUND(IFERROR(VLOOKUP($C2262,账户期初,2,0),0)+SUMIFS($J$4:J2262,$C$4:C2262,$C2262)-SUMIFS($K$4:K2262,$C$4:C2262,$C2262),2))</f>
        <v/>
      </c>
      <c r="M2262" s="19">
        <f>IF($C2262="","",ROUND(SUM(基础资料!$B$4:$B$13)+SUM($J$4:J2262)-SUM($K$4:K2262),2))</f>
        <v/>
      </c>
      <c r="N2262" s="13" t="n"/>
      <c r="O2262" s="13" t="n"/>
      <c r="P2262" s="17">
        <f>IF($B2262="","",IF($F2262="※类别不在基础资料里","※费用类别不在基础资料里",IF(AND(N($J2262)=0,N($K2262)=0),"※这行没填金额",IF(AND(N($J2262)&gt;0,N($K2262)&gt;0),"※收入和支出不能同一行都填",IF(AND($D2262="收入",N($J2262)=0),"※收入行要填收入金额",IF(AND($D2262="支出",N($K2262)=0),"※支出行要填支出金额",IF(AND($C2262&lt;&gt;"",ISNA(MATCH($C2262,账户表,0))),"※账户不在基础资料里",IF(AND($G2262&lt;&gt;"",ISNA(MATCH($G2262,项目名表,0))),"※项目不在项目台账里",IF(AND(LEFT($F2262,3)="成本-",$G2262=""),"※成本类支出没填项目",IF(AND(LEFT($F2262,3)="成本-",$H2262&lt;&gt;"",N($K2262)&gt;0,COUNTIFS(采购单!$B:$B,$B2262,采购单!$C:$C,$H2262,采购单!$L:$L,$K2262)&gt;0),"※这笔可能和采购单重复了",""))))))))))</f>
        <v/>
      </c>
    </row>
    <row r="2263">
      <c r="A2263" s="17">
        <f>IF($B2263="","",ROW()-3)</f>
        <v/>
      </c>
      <c r="B2263" s="18" t="n"/>
      <c r="C2263" s="13" t="n"/>
      <c r="D2263" s="13" t="n"/>
      <c r="E2263" s="13" t="n"/>
      <c r="F2263" s="17">
        <f>IF($E2263="","",IFERROR(VLOOKUP($E2263,类别归属,2,0),"※类别不在基础资料里"))</f>
        <v/>
      </c>
      <c r="G2263" s="13" t="n"/>
      <c r="H2263" s="13" t="n"/>
      <c r="I2263" s="13" t="n"/>
      <c r="J2263" s="14" t="n"/>
      <c r="K2263" s="14" t="n"/>
      <c r="L2263" s="19">
        <f>IF($C2263="","",ROUND(IFERROR(VLOOKUP($C2263,账户期初,2,0),0)+SUMIFS($J$4:J2263,$C$4:C2263,$C2263)-SUMIFS($K$4:K2263,$C$4:C2263,$C2263),2))</f>
        <v/>
      </c>
      <c r="M2263" s="19">
        <f>IF($C2263="","",ROUND(SUM(基础资料!$B$4:$B$13)+SUM($J$4:J2263)-SUM($K$4:K2263),2))</f>
        <v/>
      </c>
      <c r="N2263" s="13" t="n"/>
      <c r="O2263" s="13" t="n"/>
      <c r="P2263" s="17">
        <f>IF($B2263="","",IF($F2263="※类别不在基础资料里","※费用类别不在基础资料里",IF(AND(N($J2263)=0,N($K2263)=0),"※这行没填金额",IF(AND(N($J2263)&gt;0,N($K2263)&gt;0),"※收入和支出不能同一行都填",IF(AND($D2263="收入",N($J2263)=0),"※收入行要填收入金额",IF(AND($D2263="支出",N($K2263)=0),"※支出行要填支出金额",IF(AND($C2263&lt;&gt;"",ISNA(MATCH($C2263,账户表,0))),"※账户不在基础资料里",IF(AND($G2263&lt;&gt;"",ISNA(MATCH($G2263,项目名表,0))),"※项目不在项目台账里",IF(AND(LEFT($F2263,3)="成本-",$G2263=""),"※成本类支出没填项目",IF(AND(LEFT($F2263,3)="成本-",$H2263&lt;&gt;"",N($K2263)&gt;0,COUNTIFS(采购单!$B:$B,$B2263,采购单!$C:$C,$H2263,采购单!$L:$L,$K2263)&gt;0),"※这笔可能和采购单重复了",""))))))))))</f>
        <v/>
      </c>
    </row>
    <row r="2264">
      <c r="A2264" s="17">
        <f>IF($B2264="","",ROW()-3)</f>
        <v/>
      </c>
      <c r="B2264" s="18" t="n"/>
      <c r="C2264" s="13" t="n"/>
      <c r="D2264" s="13" t="n"/>
      <c r="E2264" s="13" t="n"/>
      <c r="F2264" s="17">
        <f>IF($E2264="","",IFERROR(VLOOKUP($E2264,类别归属,2,0),"※类别不在基础资料里"))</f>
        <v/>
      </c>
      <c r="G2264" s="13" t="n"/>
      <c r="H2264" s="13" t="n"/>
      <c r="I2264" s="13" t="n"/>
      <c r="J2264" s="14" t="n"/>
      <c r="K2264" s="14" t="n"/>
      <c r="L2264" s="19">
        <f>IF($C2264="","",ROUND(IFERROR(VLOOKUP($C2264,账户期初,2,0),0)+SUMIFS($J$4:J2264,$C$4:C2264,$C2264)-SUMIFS($K$4:K2264,$C$4:C2264,$C2264),2))</f>
        <v/>
      </c>
      <c r="M2264" s="19">
        <f>IF($C2264="","",ROUND(SUM(基础资料!$B$4:$B$13)+SUM($J$4:J2264)-SUM($K$4:K2264),2))</f>
        <v/>
      </c>
      <c r="N2264" s="13" t="n"/>
      <c r="O2264" s="13" t="n"/>
      <c r="P2264" s="17">
        <f>IF($B2264="","",IF($F2264="※类别不在基础资料里","※费用类别不在基础资料里",IF(AND(N($J2264)=0,N($K2264)=0),"※这行没填金额",IF(AND(N($J2264)&gt;0,N($K2264)&gt;0),"※收入和支出不能同一行都填",IF(AND($D2264="收入",N($J2264)=0),"※收入行要填收入金额",IF(AND($D2264="支出",N($K2264)=0),"※支出行要填支出金额",IF(AND($C2264&lt;&gt;"",ISNA(MATCH($C2264,账户表,0))),"※账户不在基础资料里",IF(AND($G2264&lt;&gt;"",ISNA(MATCH($G2264,项目名表,0))),"※项目不在项目台账里",IF(AND(LEFT($F2264,3)="成本-",$G2264=""),"※成本类支出没填项目",IF(AND(LEFT($F2264,3)="成本-",$H2264&lt;&gt;"",N($K2264)&gt;0,COUNTIFS(采购单!$B:$B,$B2264,采购单!$C:$C,$H2264,采购单!$L:$L,$K2264)&gt;0),"※这笔可能和采购单重复了",""))))))))))</f>
        <v/>
      </c>
    </row>
    <row r="2265">
      <c r="A2265" s="17">
        <f>IF($B2265="","",ROW()-3)</f>
        <v/>
      </c>
      <c r="B2265" s="18" t="n"/>
      <c r="C2265" s="13" t="n"/>
      <c r="D2265" s="13" t="n"/>
      <c r="E2265" s="13" t="n"/>
      <c r="F2265" s="17">
        <f>IF($E2265="","",IFERROR(VLOOKUP($E2265,类别归属,2,0),"※类别不在基础资料里"))</f>
        <v/>
      </c>
      <c r="G2265" s="13" t="n"/>
      <c r="H2265" s="13" t="n"/>
      <c r="I2265" s="13" t="n"/>
      <c r="J2265" s="14" t="n"/>
      <c r="K2265" s="14" t="n"/>
      <c r="L2265" s="19">
        <f>IF($C2265="","",ROUND(IFERROR(VLOOKUP($C2265,账户期初,2,0),0)+SUMIFS($J$4:J2265,$C$4:C2265,$C2265)-SUMIFS($K$4:K2265,$C$4:C2265,$C2265),2))</f>
        <v/>
      </c>
      <c r="M2265" s="19">
        <f>IF($C2265="","",ROUND(SUM(基础资料!$B$4:$B$13)+SUM($J$4:J2265)-SUM($K$4:K2265),2))</f>
        <v/>
      </c>
      <c r="N2265" s="13" t="n"/>
      <c r="O2265" s="13" t="n"/>
      <c r="P2265" s="17">
        <f>IF($B2265="","",IF($F2265="※类别不在基础资料里","※费用类别不在基础资料里",IF(AND(N($J2265)=0,N($K2265)=0),"※这行没填金额",IF(AND(N($J2265)&gt;0,N($K2265)&gt;0),"※收入和支出不能同一行都填",IF(AND($D2265="收入",N($J2265)=0),"※收入行要填收入金额",IF(AND($D2265="支出",N($K2265)=0),"※支出行要填支出金额",IF(AND($C2265&lt;&gt;"",ISNA(MATCH($C2265,账户表,0))),"※账户不在基础资料里",IF(AND($G2265&lt;&gt;"",ISNA(MATCH($G2265,项目名表,0))),"※项目不在项目台账里",IF(AND(LEFT($F2265,3)="成本-",$G2265=""),"※成本类支出没填项目",IF(AND(LEFT($F2265,3)="成本-",$H2265&lt;&gt;"",N($K2265)&gt;0,COUNTIFS(采购单!$B:$B,$B2265,采购单!$C:$C,$H2265,采购单!$L:$L,$K2265)&gt;0),"※这笔可能和采购单重复了",""))))))))))</f>
        <v/>
      </c>
    </row>
    <row r="2266">
      <c r="A2266" s="17">
        <f>IF($B2266="","",ROW()-3)</f>
        <v/>
      </c>
      <c r="B2266" s="18" t="n"/>
      <c r="C2266" s="13" t="n"/>
      <c r="D2266" s="13" t="n"/>
      <c r="E2266" s="13" t="n"/>
      <c r="F2266" s="17">
        <f>IF($E2266="","",IFERROR(VLOOKUP($E2266,类别归属,2,0),"※类别不在基础资料里"))</f>
        <v/>
      </c>
      <c r="G2266" s="13" t="n"/>
      <c r="H2266" s="13" t="n"/>
      <c r="I2266" s="13" t="n"/>
      <c r="J2266" s="14" t="n"/>
      <c r="K2266" s="14" t="n"/>
      <c r="L2266" s="19">
        <f>IF($C2266="","",ROUND(IFERROR(VLOOKUP($C2266,账户期初,2,0),0)+SUMIFS($J$4:J2266,$C$4:C2266,$C2266)-SUMIFS($K$4:K2266,$C$4:C2266,$C2266),2))</f>
        <v/>
      </c>
      <c r="M2266" s="19">
        <f>IF($C2266="","",ROUND(SUM(基础资料!$B$4:$B$13)+SUM($J$4:J2266)-SUM($K$4:K2266),2))</f>
        <v/>
      </c>
      <c r="N2266" s="13" t="n"/>
      <c r="O2266" s="13" t="n"/>
      <c r="P2266" s="17">
        <f>IF($B2266="","",IF($F2266="※类别不在基础资料里","※费用类别不在基础资料里",IF(AND(N($J2266)=0,N($K2266)=0),"※这行没填金额",IF(AND(N($J2266)&gt;0,N($K2266)&gt;0),"※收入和支出不能同一行都填",IF(AND($D2266="收入",N($J2266)=0),"※收入行要填收入金额",IF(AND($D2266="支出",N($K2266)=0),"※支出行要填支出金额",IF(AND($C2266&lt;&gt;"",ISNA(MATCH($C2266,账户表,0))),"※账户不在基础资料里",IF(AND($G2266&lt;&gt;"",ISNA(MATCH($G2266,项目名表,0))),"※项目不在项目台账里",IF(AND(LEFT($F2266,3)="成本-",$G2266=""),"※成本类支出没填项目",IF(AND(LEFT($F2266,3)="成本-",$H2266&lt;&gt;"",N($K2266)&gt;0,COUNTIFS(采购单!$B:$B,$B2266,采购单!$C:$C,$H2266,采购单!$L:$L,$K2266)&gt;0),"※这笔可能和采购单重复了",""))))))))))</f>
        <v/>
      </c>
    </row>
    <row r="2267">
      <c r="A2267" s="17">
        <f>IF($B2267="","",ROW()-3)</f>
        <v/>
      </c>
      <c r="B2267" s="18" t="n"/>
      <c r="C2267" s="13" t="n"/>
      <c r="D2267" s="13" t="n"/>
      <c r="E2267" s="13" t="n"/>
      <c r="F2267" s="17">
        <f>IF($E2267="","",IFERROR(VLOOKUP($E2267,类别归属,2,0),"※类别不在基础资料里"))</f>
        <v/>
      </c>
      <c r="G2267" s="13" t="n"/>
      <c r="H2267" s="13" t="n"/>
      <c r="I2267" s="13" t="n"/>
      <c r="J2267" s="14" t="n"/>
      <c r="K2267" s="14" t="n"/>
      <c r="L2267" s="19">
        <f>IF($C2267="","",ROUND(IFERROR(VLOOKUP($C2267,账户期初,2,0),0)+SUMIFS($J$4:J2267,$C$4:C2267,$C2267)-SUMIFS($K$4:K2267,$C$4:C2267,$C2267),2))</f>
        <v/>
      </c>
      <c r="M2267" s="19">
        <f>IF($C2267="","",ROUND(SUM(基础资料!$B$4:$B$13)+SUM($J$4:J2267)-SUM($K$4:K2267),2))</f>
        <v/>
      </c>
      <c r="N2267" s="13" t="n"/>
      <c r="O2267" s="13" t="n"/>
      <c r="P2267" s="17">
        <f>IF($B2267="","",IF($F2267="※类别不在基础资料里","※费用类别不在基础资料里",IF(AND(N($J2267)=0,N($K2267)=0),"※这行没填金额",IF(AND(N($J2267)&gt;0,N($K2267)&gt;0),"※收入和支出不能同一行都填",IF(AND($D2267="收入",N($J2267)=0),"※收入行要填收入金额",IF(AND($D2267="支出",N($K2267)=0),"※支出行要填支出金额",IF(AND($C2267&lt;&gt;"",ISNA(MATCH($C2267,账户表,0))),"※账户不在基础资料里",IF(AND($G2267&lt;&gt;"",ISNA(MATCH($G2267,项目名表,0))),"※项目不在项目台账里",IF(AND(LEFT($F2267,3)="成本-",$G2267=""),"※成本类支出没填项目",IF(AND(LEFT($F2267,3)="成本-",$H2267&lt;&gt;"",N($K2267)&gt;0,COUNTIFS(采购单!$B:$B,$B2267,采购单!$C:$C,$H2267,采购单!$L:$L,$K2267)&gt;0),"※这笔可能和采购单重复了",""))))))))))</f>
        <v/>
      </c>
    </row>
    <row r="2268">
      <c r="A2268" s="17">
        <f>IF($B2268="","",ROW()-3)</f>
        <v/>
      </c>
      <c r="B2268" s="18" t="n"/>
      <c r="C2268" s="13" t="n"/>
      <c r="D2268" s="13" t="n"/>
      <c r="E2268" s="13" t="n"/>
      <c r="F2268" s="17">
        <f>IF($E2268="","",IFERROR(VLOOKUP($E2268,类别归属,2,0),"※类别不在基础资料里"))</f>
        <v/>
      </c>
      <c r="G2268" s="13" t="n"/>
      <c r="H2268" s="13" t="n"/>
      <c r="I2268" s="13" t="n"/>
      <c r="J2268" s="14" t="n"/>
      <c r="K2268" s="14" t="n"/>
      <c r="L2268" s="19">
        <f>IF($C2268="","",ROUND(IFERROR(VLOOKUP($C2268,账户期初,2,0),0)+SUMIFS($J$4:J2268,$C$4:C2268,$C2268)-SUMIFS($K$4:K2268,$C$4:C2268,$C2268),2))</f>
        <v/>
      </c>
      <c r="M2268" s="19">
        <f>IF($C2268="","",ROUND(SUM(基础资料!$B$4:$B$13)+SUM($J$4:J2268)-SUM($K$4:K2268),2))</f>
        <v/>
      </c>
      <c r="N2268" s="13" t="n"/>
      <c r="O2268" s="13" t="n"/>
      <c r="P2268" s="17">
        <f>IF($B2268="","",IF($F2268="※类别不在基础资料里","※费用类别不在基础资料里",IF(AND(N($J2268)=0,N($K2268)=0),"※这行没填金额",IF(AND(N($J2268)&gt;0,N($K2268)&gt;0),"※收入和支出不能同一行都填",IF(AND($D2268="收入",N($J2268)=0),"※收入行要填收入金额",IF(AND($D2268="支出",N($K2268)=0),"※支出行要填支出金额",IF(AND($C2268&lt;&gt;"",ISNA(MATCH($C2268,账户表,0))),"※账户不在基础资料里",IF(AND($G2268&lt;&gt;"",ISNA(MATCH($G2268,项目名表,0))),"※项目不在项目台账里",IF(AND(LEFT($F2268,3)="成本-",$G2268=""),"※成本类支出没填项目",IF(AND(LEFT($F2268,3)="成本-",$H2268&lt;&gt;"",N($K2268)&gt;0,COUNTIFS(采购单!$B:$B,$B2268,采购单!$C:$C,$H2268,采购单!$L:$L,$K2268)&gt;0),"※这笔可能和采购单重复了",""))))))))))</f>
        <v/>
      </c>
    </row>
    <row r="2269">
      <c r="A2269" s="17">
        <f>IF($B2269="","",ROW()-3)</f>
        <v/>
      </c>
      <c r="B2269" s="18" t="n"/>
      <c r="C2269" s="13" t="n"/>
      <c r="D2269" s="13" t="n"/>
      <c r="E2269" s="13" t="n"/>
      <c r="F2269" s="17">
        <f>IF($E2269="","",IFERROR(VLOOKUP($E2269,类别归属,2,0),"※类别不在基础资料里"))</f>
        <v/>
      </c>
      <c r="G2269" s="13" t="n"/>
      <c r="H2269" s="13" t="n"/>
      <c r="I2269" s="13" t="n"/>
      <c r="J2269" s="14" t="n"/>
      <c r="K2269" s="14" t="n"/>
      <c r="L2269" s="19">
        <f>IF($C2269="","",ROUND(IFERROR(VLOOKUP($C2269,账户期初,2,0),0)+SUMIFS($J$4:J2269,$C$4:C2269,$C2269)-SUMIFS($K$4:K2269,$C$4:C2269,$C2269),2))</f>
        <v/>
      </c>
      <c r="M2269" s="19">
        <f>IF($C2269="","",ROUND(SUM(基础资料!$B$4:$B$13)+SUM($J$4:J2269)-SUM($K$4:K2269),2))</f>
        <v/>
      </c>
      <c r="N2269" s="13" t="n"/>
      <c r="O2269" s="13" t="n"/>
      <c r="P2269" s="17">
        <f>IF($B2269="","",IF($F2269="※类别不在基础资料里","※费用类别不在基础资料里",IF(AND(N($J2269)=0,N($K2269)=0),"※这行没填金额",IF(AND(N($J2269)&gt;0,N($K2269)&gt;0),"※收入和支出不能同一行都填",IF(AND($D2269="收入",N($J2269)=0),"※收入行要填收入金额",IF(AND($D2269="支出",N($K2269)=0),"※支出行要填支出金额",IF(AND($C2269&lt;&gt;"",ISNA(MATCH($C2269,账户表,0))),"※账户不在基础资料里",IF(AND($G2269&lt;&gt;"",ISNA(MATCH($G2269,项目名表,0))),"※项目不在项目台账里",IF(AND(LEFT($F2269,3)="成本-",$G2269=""),"※成本类支出没填项目",IF(AND(LEFT($F2269,3)="成本-",$H2269&lt;&gt;"",N($K2269)&gt;0,COUNTIFS(采购单!$B:$B,$B2269,采购单!$C:$C,$H2269,采购单!$L:$L,$K2269)&gt;0),"※这笔可能和采购单重复了",""))))))))))</f>
        <v/>
      </c>
    </row>
    <row r="2270">
      <c r="A2270" s="17">
        <f>IF($B2270="","",ROW()-3)</f>
        <v/>
      </c>
      <c r="B2270" s="18" t="n"/>
      <c r="C2270" s="13" t="n"/>
      <c r="D2270" s="13" t="n"/>
      <c r="E2270" s="13" t="n"/>
      <c r="F2270" s="17">
        <f>IF($E2270="","",IFERROR(VLOOKUP($E2270,类别归属,2,0),"※类别不在基础资料里"))</f>
        <v/>
      </c>
      <c r="G2270" s="13" t="n"/>
      <c r="H2270" s="13" t="n"/>
      <c r="I2270" s="13" t="n"/>
      <c r="J2270" s="14" t="n"/>
      <c r="K2270" s="14" t="n"/>
      <c r="L2270" s="19">
        <f>IF($C2270="","",ROUND(IFERROR(VLOOKUP($C2270,账户期初,2,0),0)+SUMIFS($J$4:J2270,$C$4:C2270,$C2270)-SUMIFS($K$4:K2270,$C$4:C2270,$C2270),2))</f>
        <v/>
      </c>
      <c r="M2270" s="19">
        <f>IF($C2270="","",ROUND(SUM(基础资料!$B$4:$B$13)+SUM($J$4:J2270)-SUM($K$4:K2270),2))</f>
        <v/>
      </c>
      <c r="N2270" s="13" t="n"/>
      <c r="O2270" s="13" t="n"/>
      <c r="P2270" s="17">
        <f>IF($B2270="","",IF($F2270="※类别不在基础资料里","※费用类别不在基础资料里",IF(AND(N($J2270)=0,N($K2270)=0),"※这行没填金额",IF(AND(N($J2270)&gt;0,N($K2270)&gt;0),"※收入和支出不能同一行都填",IF(AND($D2270="收入",N($J2270)=0),"※收入行要填收入金额",IF(AND($D2270="支出",N($K2270)=0),"※支出行要填支出金额",IF(AND($C2270&lt;&gt;"",ISNA(MATCH($C2270,账户表,0))),"※账户不在基础资料里",IF(AND($G2270&lt;&gt;"",ISNA(MATCH($G2270,项目名表,0))),"※项目不在项目台账里",IF(AND(LEFT($F2270,3)="成本-",$G2270=""),"※成本类支出没填项目",IF(AND(LEFT($F2270,3)="成本-",$H2270&lt;&gt;"",N($K2270)&gt;0,COUNTIFS(采购单!$B:$B,$B2270,采购单!$C:$C,$H2270,采购单!$L:$L,$K2270)&gt;0),"※这笔可能和采购单重复了",""))))))))))</f>
        <v/>
      </c>
    </row>
    <row r="2271">
      <c r="A2271" s="17">
        <f>IF($B2271="","",ROW()-3)</f>
        <v/>
      </c>
      <c r="B2271" s="18" t="n"/>
      <c r="C2271" s="13" t="n"/>
      <c r="D2271" s="13" t="n"/>
      <c r="E2271" s="13" t="n"/>
      <c r="F2271" s="17">
        <f>IF($E2271="","",IFERROR(VLOOKUP($E2271,类别归属,2,0),"※类别不在基础资料里"))</f>
        <v/>
      </c>
      <c r="G2271" s="13" t="n"/>
      <c r="H2271" s="13" t="n"/>
      <c r="I2271" s="13" t="n"/>
      <c r="J2271" s="14" t="n"/>
      <c r="K2271" s="14" t="n"/>
      <c r="L2271" s="19">
        <f>IF($C2271="","",ROUND(IFERROR(VLOOKUP($C2271,账户期初,2,0),0)+SUMIFS($J$4:J2271,$C$4:C2271,$C2271)-SUMIFS($K$4:K2271,$C$4:C2271,$C2271),2))</f>
        <v/>
      </c>
      <c r="M2271" s="19">
        <f>IF($C2271="","",ROUND(SUM(基础资料!$B$4:$B$13)+SUM($J$4:J2271)-SUM($K$4:K2271),2))</f>
        <v/>
      </c>
      <c r="N2271" s="13" t="n"/>
      <c r="O2271" s="13" t="n"/>
      <c r="P2271" s="17">
        <f>IF($B2271="","",IF($F2271="※类别不在基础资料里","※费用类别不在基础资料里",IF(AND(N($J2271)=0,N($K2271)=0),"※这行没填金额",IF(AND(N($J2271)&gt;0,N($K2271)&gt;0),"※收入和支出不能同一行都填",IF(AND($D2271="收入",N($J2271)=0),"※收入行要填收入金额",IF(AND($D2271="支出",N($K2271)=0),"※支出行要填支出金额",IF(AND($C2271&lt;&gt;"",ISNA(MATCH($C2271,账户表,0))),"※账户不在基础资料里",IF(AND($G2271&lt;&gt;"",ISNA(MATCH($G2271,项目名表,0))),"※项目不在项目台账里",IF(AND(LEFT($F2271,3)="成本-",$G2271=""),"※成本类支出没填项目",IF(AND(LEFT($F2271,3)="成本-",$H2271&lt;&gt;"",N($K2271)&gt;0,COUNTIFS(采购单!$B:$B,$B2271,采购单!$C:$C,$H2271,采购单!$L:$L,$K2271)&gt;0),"※这笔可能和采购单重复了",""))))))))))</f>
        <v/>
      </c>
    </row>
    <row r="2272">
      <c r="A2272" s="17">
        <f>IF($B2272="","",ROW()-3)</f>
        <v/>
      </c>
      <c r="B2272" s="18" t="n"/>
      <c r="C2272" s="13" t="n"/>
      <c r="D2272" s="13" t="n"/>
      <c r="E2272" s="13" t="n"/>
      <c r="F2272" s="17">
        <f>IF($E2272="","",IFERROR(VLOOKUP($E2272,类别归属,2,0),"※类别不在基础资料里"))</f>
        <v/>
      </c>
      <c r="G2272" s="13" t="n"/>
      <c r="H2272" s="13" t="n"/>
      <c r="I2272" s="13" t="n"/>
      <c r="J2272" s="14" t="n"/>
      <c r="K2272" s="14" t="n"/>
      <c r="L2272" s="19">
        <f>IF($C2272="","",ROUND(IFERROR(VLOOKUP($C2272,账户期初,2,0),0)+SUMIFS($J$4:J2272,$C$4:C2272,$C2272)-SUMIFS($K$4:K2272,$C$4:C2272,$C2272),2))</f>
        <v/>
      </c>
      <c r="M2272" s="19">
        <f>IF($C2272="","",ROUND(SUM(基础资料!$B$4:$B$13)+SUM($J$4:J2272)-SUM($K$4:K2272),2))</f>
        <v/>
      </c>
      <c r="N2272" s="13" t="n"/>
      <c r="O2272" s="13" t="n"/>
      <c r="P2272" s="17">
        <f>IF($B2272="","",IF($F2272="※类别不在基础资料里","※费用类别不在基础资料里",IF(AND(N($J2272)=0,N($K2272)=0),"※这行没填金额",IF(AND(N($J2272)&gt;0,N($K2272)&gt;0),"※收入和支出不能同一行都填",IF(AND($D2272="收入",N($J2272)=0),"※收入行要填收入金额",IF(AND($D2272="支出",N($K2272)=0),"※支出行要填支出金额",IF(AND($C2272&lt;&gt;"",ISNA(MATCH($C2272,账户表,0))),"※账户不在基础资料里",IF(AND($G2272&lt;&gt;"",ISNA(MATCH($G2272,项目名表,0))),"※项目不在项目台账里",IF(AND(LEFT($F2272,3)="成本-",$G2272=""),"※成本类支出没填项目",IF(AND(LEFT($F2272,3)="成本-",$H2272&lt;&gt;"",N($K2272)&gt;0,COUNTIFS(采购单!$B:$B,$B2272,采购单!$C:$C,$H2272,采购单!$L:$L,$K2272)&gt;0),"※这笔可能和采购单重复了",""))))))))))</f>
        <v/>
      </c>
    </row>
    <row r="2273">
      <c r="A2273" s="17">
        <f>IF($B2273="","",ROW()-3)</f>
        <v/>
      </c>
      <c r="B2273" s="18" t="n"/>
      <c r="C2273" s="13" t="n"/>
      <c r="D2273" s="13" t="n"/>
      <c r="E2273" s="13" t="n"/>
      <c r="F2273" s="17">
        <f>IF($E2273="","",IFERROR(VLOOKUP($E2273,类别归属,2,0),"※类别不在基础资料里"))</f>
        <v/>
      </c>
      <c r="G2273" s="13" t="n"/>
      <c r="H2273" s="13" t="n"/>
      <c r="I2273" s="13" t="n"/>
      <c r="J2273" s="14" t="n"/>
      <c r="K2273" s="14" t="n"/>
      <c r="L2273" s="19">
        <f>IF($C2273="","",ROUND(IFERROR(VLOOKUP($C2273,账户期初,2,0),0)+SUMIFS($J$4:J2273,$C$4:C2273,$C2273)-SUMIFS($K$4:K2273,$C$4:C2273,$C2273),2))</f>
        <v/>
      </c>
      <c r="M2273" s="19">
        <f>IF($C2273="","",ROUND(SUM(基础资料!$B$4:$B$13)+SUM($J$4:J2273)-SUM($K$4:K2273),2))</f>
        <v/>
      </c>
      <c r="N2273" s="13" t="n"/>
      <c r="O2273" s="13" t="n"/>
      <c r="P2273" s="17">
        <f>IF($B2273="","",IF($F2273="※类别不在基础资料里","※费用类别不在基础资料里",IF(AND(N($J2273)=0,N($K2273)=0),"※这行没填金额",IF(AND(N($J2273)&gt;0,N($K2273)&gt;0),"※收入和支出不能同一行都填",IF(AND($D2273="收入",N($J2273)=0),"※收入行要填收入金额",IF(AND($D2273="支出",N($K2273)=0),"※支出行要填支出金额",IF(AND($C2273&lt;&gt;"",ISNA(MATCH($C2273,账户表,0))),"※账户不在基础资料里",IF(AND($G2273&lt;&gt;"",ISNA(MATCH($G2273,项目名表,0))),"※项目不在项目台账里",IF(AND(LEFT($F2273,3)="成本-",$G2273=""),"※成本类支出没填项目",IF(AND(LEFT($F2273,3)="成本-",$H2273&lt;&gt;"",N($K2273)&gt;0,COUNTIFS(采购单!$B:$B,$B2273,采购单!$C:$C,$H2273,采购单!$L:$L,$K2273)&gt;0),"※这笔可能和采购单重复了",""))))))))))</f>
        <v/>
      </c>
    </row>
    <row r="2274">
      <c r="A2274" s="17">
        <f>IF($B2274="","",ROW()-3)</f>
        <v/>
      </c>
      <c r="B2274" s="18" t="n"/>
      <c r="C2274" s="13" t="n"/>
      <c r="D2274" s="13" t="n"/>
      <c r="E2274" s="13" t="n"/>
      <c r="F2274" s="17">
        <f>IF($E2274="","",IFERROR(VLOOKUP($E2274,类别归属,2,0),"※类别不在基础资料里"))</f>
        <v/>
      </c>
      <c r="G2274" s="13" t="n"/>
      <c r="H2274" s="13" t="n"/>
      <c r="I2274" s="13" t="n"/>
      <c r="J2274" s="14" t="n"/>
      <c r="K2274" s="14" t="n"/>
      <c r="L2274" s="19">
        <f>IF($C2274="","",ROUND(IFERROR(VLOOKUP($C2274,账户期初,2,0),0)+SUMIFS($J$4:J2274,$C$4:C2274,$C2274)-SUMIFS($K$4:K2274,$C$4:C2274,$C2274),2))</f>
        <v/>
      </c>
      <c r="M2274" s="19">
        <f>IF($C2274="","",ROUND(SUM(基础资料!$B$4:$B$13)+SUM($J$4:J2274)-SUM($K$4:K2274),2))</f>
        <v/>
      </c>
      <c r="N2274" s="13" t="n"/>
      <c r="O2274" s="13" t="n"/>
      <c r="P2274" s="17">
        <f>IF($B2274="","",IF($F2274="※类别不在基础资料里","※费用类别不在基础资料里",IF(AND(N($J2274)=0,N($K2274)=0),"※这行没填金额",IF(AND(N($J2274)&gt;0,N($K2274)&gt;0),"※收入和支出不能同一行都填",IF(AND($D2274="收入",N($J2274)=0),"※收入行要填收入金额",IF(AND($D2274="支出",N($K2274)=0),"※支出行要填支出金额",IF(AND($C2274&lt;&gt;"",ISNA(MATCH($C2274,账户表,0))),"※账户不在基础资料里",IF(AND($G2274&lt;&gt;"",ISNA(MATCH($G2274,项目名表,0))),"※项目不在项目台账里",IF(AND(LEFT($F2274,3)="成本-",$G2274=""),"※成本类支出没填项目",IF(AND(LEFT($F2274,3)="成本-",$H2274&lt;&gt;"",N($K2274)&gt;0,COUNTIFS(采购单!$B:$B,$B2274,采购单!$C:$C,$H2274,采购单!$L:$L,$K2274)&gt;0),"※这笔可能和采购单重复了",""))))))))))</f>
        <v/>
      </c>
    </row>
    <row r="2275">
      <c r="A2275" s="17">
        <f>IF($B2275="","",ROW()-3)</f>
        <v/>
      </c>
      <c r="B2275" s="18" t="n"/>
      <c r="C2275" s="13" t="n"/>
      <c r="D2275" s="13" t="n"/>
      <c r="E2275" s="13" t="n"/>
      <c r="F2275" s="17">
        <f>IF($E2275="","",IFERROR(VLOOKUP($E2275,类别归属,2,0),"※类别不在基础资料里"))</f>
        <v/>
      </c>
      <c r="G2275" s="13" t="n"/>
      <c r="H2275" s="13" t="n"/>
      <c r="I2275" s="13" t="n"/>
      <c r="J2275" s="14" t="n"/>
      <c r="K2275" s="14" t="n"/>
      <c r="L2275" s="19">
        <f>IF($C2275="","",ROUND(IFERROR(VLOOKUP($C2275,账户期初,2,0),0)+SUMIFS($J$4:J2275,$C$4:C2275,$C2275)-SUMIFS($K$4:K2275,$C$4:C2275,$C2275),2))</f>
        <v/>
      </c>
      <c r="M2275" s="19">
        <f>IF($C2275="","",ROUND(SUM(基础资料!$B$4:$B$13)+SUM($J$4:J2275)-SUM($K$4:K2275),2))</f>
        <v/>
      </c>
      <c r="N2275" s="13" t="n"/>
      <c r="O2275" s="13" t="n"/>
      <c r="P2275" s="17">
        <f>IF($B2275="","",IF($F2275="※类别不在基础资料里","※费用类别不在基础资料里",IF(AND(N($J2275)=0,N($K2275)=0),"※这行没填金额",IF(AND(N($J2275)&gt;0,N($K2275)&gt;0),"※收入和支出不能同一行都填",IF(AND($D2275="收入",N($J2275)=0),"※收入行要填收入金额",IF(AND($D2275="支出",N($K2275)=0),"※支出行要填支出金额",IF(AND($C2275&lt;&gt;"",ISNA(MATCH($C2275,账户表,0))),"※账户不在基础资料里",IF(AND($G2275&lt;&gt;"",ISNA(MATCH($G2275,项目名表,0))),"※项目不在项目台账里",IF(AND(LEFT($F2275,3)="成本-",$G2275=""),"※成本类支出没填项目",IF(AND(LEFT($F2275,3)="成本-",$H2275&lt;&gt;"",N($K2275)&gt;0,COUNTIFS(采购单!$B:$B,$B2275,采购单!$C:$C,$H2275,采购单!$L:$L,$K2275)&gt;0),"※这笔可能和采购单重复了",""))))))))))</f>
        <v/>
      </c>
    </row>
    <row r="2276">
      <c r="A2276" s="17">
        <f>IF($B2276="","",ROW()-3)</f>
        <v/>
      </c>
      <c r="B2276" s="18" t="n"/>
      <c r="C2276" s="13" t="n"/>
      <c r="D2276" s="13" t="n"/>
      <c r="E2276" s="13" t="n"/>
      <c r="F2276" s="17">
        <f>IF($E2276="","",IFERROR(VLOOKUP($E2276,类别归属,2,0),"※类别不在基础资料里"))</f>
        <v/>
      </c>
      <c r="G2276" s="13" t="n"/>
      <c r="H2276" s="13" t="n"/>
      <c r="I2276" s="13" t="n"/>
      <c r="J2276" s="14" t="n"/>
      <c r="K2276" s="14" t="n"/>
      <c r="L2276" s="19">
        <f>IF($C2276="","",ROUND(IFERROR(VLOOKUP($C2276,账户期初,2,0),0)+SUMIFS($J$4:J2276,$C$4:C2276,$C2276)-SUMIFS($K$4:K2276,$C$4:C2276,$C2276),2))</f>
        <v/>
      </c>
      <c r="M2276" s="19">
        <f>IF($C2276="","",ROUND(SUM(基础资料!$B$4:$B$13)+SUM($J$4:J2276)-SUM($K$4:K2276),2))</f>
        <v/>
      </c>
      <c r="N2276" s="13" t="n"/>
      <c r="O2276" s="13" t="n"/>
      <c r="P2276" s="17">
        <f>IF($B2276="","",IF($F2276="※类别不在基础资料里","※费用类别不在基础资料里",IF(AND(N($J2276)=0,N($K2276)=0),"※这行没填金额",IF(AND(N($J2276)&gt;0,N($K2276)&gt;0),"※收入和支出不能同一行都填",IF(AND($D2276="收入",N($J2276)=0),"※收入行要填收入金额",IF(AND($D2276="支出",N($K2276)=0),"※支出行要填支出金额",IF(AND($C2276&lt;&gt;"",ISNA(MATCH($C2276,账户表,0))),"※账户不在基础资料里",IF(AND($G2276&lt;&gt;"",ISNA(MATCH($G2276,项目名表,0))),"※项目不在项目台账里",IF(AND(LEFT($F2276,3)="成本-",$G2276=""),"※成本类支出没填项目",IF(AND(LEFT($F2276,3)="成本-",$H2276&lt;&gt;"",N($K2276)&gt;0,COUNTIFS(采购单!$B:$B,$B2276,采购单!$C:$C,$H2276,采购单!$L:$L,$K2276)&gt;0),"※这笔可能和采购单重复了",""))))))))))</f>
        <v/>
      </c>
    </row>
    <row r="2277">
      <c r="A2277" s="17">
        <f>IF($B2277="","",ROW()-3)</f>
        <v/>
      </c>
      <c r="B2277" s="18" t="n"/>
      <c r="C2277" s="13" t="n"/>
      <c r="D2277" s="13" t="n"/>
      <c r="E2277" s="13" t="n"/>
      <c r="F2277" s="17">
        <f>IF($E2277="","",IFERROR(VLOOKUP($E2277,类别归属,2,0),"※类别不在基础资料里"))</f>
        <v/>
      </c>
      <c r="G2277" s="13" t="n"/>
      <c r="H2277" s="13" t="n"/>
      <c r="I2277" s="13" t="n"/>
      <c r="J2277" s="14" t="n"/>
      <c r="K2277" s="14" t="n"/>
      <c r="L2277" s="19">
        <f>IF($C2277="","",ROUND(IFERROR(VLOOKUP($C2277,账户期初,2,0),0)+SUMIFS($J$4:J2277,$C$4:C2277,$C2277)-SUMIFS($K$4:K2277,$C$4:C2277,$C2277),2))</f>
        <v/>
      </c>
      <c r="M2277" s="19">
        <f>IF($C2277="","",ROUND(SUM(基础资料!$B$4:$B$13)+SUM($J$4:J2277)-SUM($K$4:K2277),2))</f>
        <v/>
      </c>
      <c r="N2277" s="13" t="n"/>
      <c r="O2277" s="13" t="n"/>
      <c r="P2277" s="17">
        <f>IF($B2277="","",IF($F2277="※类别不在基础资料里","※费用类别不在基础资料里",IF(AND(N($J2277)=0,N($K2277)=0),"※这行没填金额",IF(AND(N($J2277)&gt;0,N($K2277)&gt;0),"※收入和支出不能同一行都填",IF(AND($D2277="收入",N($J2277)=0),"※收入行要填收入金额",IF(AND($D2277="支出",N($K2277)=0),"※支出行要填支出金额",IF(AND($C2277&lt;&gt;"",ISNA(MATCH($C2277,账户表,0))),"※账户不在基础资料里",IF(AND($G2277&lt;&gt;"",ISNA(MATCH($G2277,项目名表,0))),"※项目不在项目台账里",IF(AND(LEFT($F2277,3)="成本-",$G2277=""),"※成本类支出没填项目",IF(AND(LEFT($F2277,3)="成本-",$H2277&lt;&gt;"",N($K2277)&gt;0,COUNTIFS(采购单!$B:$B,$B2277,采购单!$C:$C,$H2277,采购单!$L:$L,$K2277)&gt;0),"※这笔可能和采购单重复了",""))))))))))</f>
        <v/>
      </c>
    </row>
    <row r="2278">
      <c r="A2278" s="17">
        <f>IF($B2278="","",ROW()-3)</f>
        <v/>
      </c>
      <c r="B2278" s="18" t="n"/>
      <c r="C2278" s="13" t="n"/>
      <c r="D2278" s="13" t="n"/>
      <c r="E2278" s="13" t="n"/>
      <c r="F2278" s="17">
        <f>IF($E2278="","",IFERROR(VLOOKUP($E2278,类别归属,2,0),"※类别不在基础资料里"))</f>
        <v/>
      </c>
      <c r="G2278" s="13" t="n"/>
      <c r="H2278" s="13" t="n"/>
      <c r="I2278" s="13" t="n"/>
      <c r="J2278" s="14" t="n"/>
      <c r="K2278" s="14" t="n"/>
      <c r="L2278" s="19">
        <f>IF($C2278="","",ROUND(IFERROR(VLOOKUP($C2278,账户期初,2,0),0)+SUMIFS($J$4:J2278,$C$4:C2278,$C2278)-SUMIFS($K$4:K2278,$C$4:C2278,$C2278),2))</f>
        <v/>
      </c>
      <c r="M2278" s="19">
        <f>IF($C2278="","",ROUND(SUM(基础资料!$B$4:$B$13)+SUM($J$4:J2278)-SUM($K$4:K2278),2))</f>
        <v/>
      </c>
      <c r="N2278" s="13" t="n"/>
      <c r="O2278" s="13" t="n"/>
      <c r="P2278" s="17">
        <f>IF($B2278="","",IF($F2278="※类别不在基础资料里","※费用类别不在基础资料里",IF(AND(N($J2278)=0,N($K2278)=0),"※这行没填金额",IF(AND(N($J2278)&gt;0,N($K2278)&gt;0),"※收入和支出不能同一行都填",IF(AND($D2278="收入",N($J2278)=0),"※收入行要填收入金额",IF(AND($D2278="支出",N($K2278)=0),"※支出行要填支出金额",IF(AND($C2278&lt;&gt;"",ISNA(MATCH($C2278,账户表,0))),"※账户不在基础资料里",IF(AND($G2278&lt;&gt;"",ISNA(MATCH($G2278,项目名表,0))),"※项目不在项目台账里",IF(AND(LEFT($F2278,3)="成本-",$G2278=""),"※成本类支出没填项目",IF(AND(LEFT($F2278,3)="成本-",$H2278&lt;&gt;"",N($K2278)&gt;0,COUNTIFS(采购单!$B:$B,$B2278,采购单!$C:$C,$H2278,采购单!$L:$L,$K2278)&gt;0),"※这笔可能和采购单重复了",""))))))))))</f>
        <v/>
      </c>
    </row>
    <row r="2279">
      <c r="A2279" s="17">
        <f>IF($B2279="","",ROW()-3)</f>
        <v/>
      </c>
      <c r="B2279" s="18" t="n"/>
      <c r="C2279" s="13" t="n"/>
      <c r="D2279" s="13" t="n"/>
      <c r="E2279" s="13" t="n"/>
      <c r="F2279" s="17">
        <f>IF($E2279="","",IFERROR(VLOOKUP($E2279,类别归属,2,0),"※类别不在基础资料里"))</f>
        <v/>
      </c>
      <c r="G2279" s="13" t="n"/>
      <c r="H2279" s="13" t="n"/>
      <c r="I2279" s="13" t="n"/>
      <c r="J2279" s="14" t="n"/>
      <c r="K2279" s="14" t="n"/>
      <c r="L2279" s="19">
        <f>IF($C2279="","",ROUND(IFERROR(VLOOKUP($C2279,账户期初,2,0),0)+SUMIFS($J$4:J2279,$C$4:C2279,$C2279)-SUMIFS($K$4:K2279,$C$4:C2279,$C2279),2))</f>
        <v/>
      </c>
      <c r="M2279" s="19">
        <f>IF($C2279="","",ROUND(SUM(基础资料!$B$4:$B$13)+SUM($J$4:J2279)-SUM($K$4:K2279),2))</f>
        <v/>
      </c>
      <c r="N2279" s="13" t="n"/>
      <c r="O2279" s="13" t="n"/>
      <c r="P2279" s="17">
        <f>IF($B2279="","",IF($F2279="※类别不在基础资料里","※费用类别不在基础资料里",IF(AND(N($J2279)=0,N($K2279)=0),"※这行没填金额",IF(AND(N($J2279)&gt;0,N($K2279)&gt;0),"※收入和支出不能同一行都填",IF(AND($D2279="收入",N($J2279)=0),"※收入行要填收入金额",IF(AND($D2279="支出",N($K2279)=0),"※支出行要填支出金额",IF(AND($C2279&lt;&gt;"",ISNA(MATCH($C2279,账户表,0))),"※账户不在基础资料里",IF(AND($G2279&lt;&gt;"",ISNA(MATCH($G2279,项目名表,0))),"※项目不在项目台账里",IF(AND(LEFT($F2279,3)="成本-",$G2279=""),"※成本类支出没填项目",IF(AND(LEFT($F2279,3)="成本-",$H2279&lt;&gt;"",N($K2279)&gt;0,COUNTIFS(采购单!$B:$B,$B2279,采购单!$C:$C,$H2279,采购单!$L:$L,$K2279)&gt;0),"※这笔可能和采购单重复了",""))))))))))</f>
        <v/>
      </c>
    </row>
    <row r="2280">
      <c r="A2280" s="17">
        <f>IF($B2280="","",ROW()-3)</f>
        <v/>
      </c>
      <c r="B2280" s="18" t="n"/>
      <c r="C2280" s="13" t="n"/>
      <c r="D2280" s="13" t="n"/>
      <c r="E2280" s="13" t="n"/>
      <c r="F2280" s="17">
        <f>IF($E2280="","",IFERROR(VLOOKUP($E2280,类别归属,2,0),"※类别不在基础资料里"))</f>
        <v/>
      </c>
      <c r="G2280" s="13" t="n"/>
      <c r="H2280" s="13" t="n"/>
      <c r="I2280" s="13" t="n"/>
      <c r="J2280" s="14" t="n"/>
      <c r="K2280" s="14" t="n"/>
      <c r="L2280" s="19">
        <f>IF($C2280="","",ROUND(IFERROR(VLOOKUP($C2280,账户期初,2,0),0)+SUMIFS($J$4:J2280,$C$4:C2280,$C2280)-SUMIFS($K$4:K2280,$C$4:C2280,$C2280),2))</f>
        <v/>
      </c>
      <c r="M2280" s="19">
        <f>IF($C2280="","",ROUND(SUM(基础资料!$B$4:$B$13)+SUM($J$4:J2280)-SUM($K$4:K2280),2))</f>
        <v/>
      </c>
      <c r="N2280" s="13" t="n"/>
      <c r="O2280" s="13" t="n"/>
      <c r="P2280" s="17">
        <f>IF($B2280="","",IF($F2280="※类别不在基础资料里","※费用类别不在基础资料里",IF(AND(N($J2280)=0,N($K2280)=0),"※这行没填金额",IF(AND(N($J2280)&gt;0,N($K2280)&gt;0),"※收入和支出不能同一行都填",IF(AND($D2280="收入",N($J2280)=0),"※收入行要填收入金额",IF(AND($D2280="支出",N($K2280)=0),"※支出行要填支出金额",IF(AND($C2280&lt;&gt;"",ISNA(MATCH($C2280,账户表,0))),"※账户不在基础资料里",IF(AND($G2280&lt;&gt;"",ISNA(MATCH($G2280,项目名表,0))),"※项目不在项目台账里",IF(AND(LEFT($F2280,3)="成本-",$G2280=""),"※成本类支出没填项目",IF(AND(LEFT($F2280,3)="成本-",$H2280&lt;&gt;"",N($K2280)&gt;0,COUNTIFS(采购单!$B:$B,$B2280,采购单!$C:$C,$H2280,采购单!$L:$L,$K2280)&gt;0),"※这笔可能和采购单重复了",""))))))))))</f>
        <v/>
      </c>
    </row>
    <row r="2281">
      <c r="A2281" s="17">
        <f>IF($B2281="","",ROW()-3)</f>
        <v/>
      </c>
      <c r="B2281" s="18" t="n"/>
      <c r="C2281" s="13" t="n"/>
      <c r="D2281" s="13" t="n"/>
      <c r="E2281" s="13" t="n"/>
      <c r="F2281" s="17">
        <f>IF($E2281="","",IFERROR(VLOOKUP($E2281,类别归属,2,0),"※类别不在基础资料里"))</f>
        <v/>
      </c>
      <c r="G2281" s="13" t="n"/>
      <c r="H2281" s="13" t="n"/>
      <c r="I2281" s="13" t="n"/>
      <c r="J2281" s="14" t="n"/>
      <c r="K2281" s="14" t="n"/>
      <c r="L2281" s="19">
        <f>IF($C2281="","",ROUND(IFERROR(VLOOKUP($C2281,账户期初,2,0),0)+SUMIFS($J$4:J2281,$C$4:C2281,$C2281)-SUMIFS($K$4:K2281,$C$4:C2281,$C2281),2))</f>
        <v/>
      </c>
      <c r="M2281" s="19">
        <f>IF($C2281="","",ROUND(SUM(基础资料!$B$4:$B$13)+SUM($J$4:J2281)-SUM($K$4:K2281),2))</f>
        <v/>
      </c>
      <c r="N2281" s="13" t="n"/>
      <c r="O2281" s="13" t="n"/>
      <c r="P2281" s="17">
        <f>IF($B2281="","",IF($F2281="※类别不在基础资料里","※费用类别不在基础资料里",IF(AND(N($J2281)=0,N($K2281)=0),"※这行没填金额",IF(AND(N($J2281)&gt;0,N($K2281)&gt;0),"※收入和支出不能同一行都填",IF(AND($D2281="收入",N($J2281)=0),"※收入行要填收入金额",IF(AND($D2281="支出",N($K2281)=0),"※支出行要填支出金额",IF(AND($C2281&lt;&gt;"",ISNA(MATCH($C2281,账户表,0))),"※账户不在基础资料里",IF(AND($G2281&lt;&gt;"",ISNA(MATCH($G2281,项目名表,0))),"※项目不在项目台账里",IF(AND(LEFT($F2281,3)="成本-",$G2281=""),"※成本类支出没填项目",IF(AND(LEFT($F2281,3)="成本-",$H2281&lt;&gt;"",N($K2281)&gt;0,COUNTIFS(采购单!$B:$B,$B2281,采购单!$C:$C,$H2281,采购单!$L:$L,$K2281)&gt;0),"※这笔可能和采购单重复了",""))))))))))</f>
        <v/>
      </c>
    </row>
    <row r="2282">
      <c r="A2282" s="17">
        <f>IF($B2282="","",ROW()-3)</f>
        <v/>
      </c>
      <c r="B2282" s="18" t="n"/>
      <c r="C2282" s="13" t="n"/>
      <c r="D2282" s="13" t="n"/>
      <c r="E2282" s="13" t="n"/>
      <c r="F2282" s="17">
        <f>IF($E2282="","",IFERROR(VLOOKUP($E2282,类别归属,2,0),"※类别不在基础资料里"))</f>
        <v/>
      </c>
      <c r="G2282" s="13" t="n"/>
      <c r="H2282" s="13" t="n"/>
      <c r="I2282" s="13" t="n"/>
      <c r="J2282" s="14" t="n"/>
      <c r="K2282" s="14" t="n"/>
      <c r="L2282" s="19">
        <f>IF($C2282="","",ROUND(IFERROR(VLOOKUP($C2282,账户期初,2,0),0)+SUMIFS($J$4:J2282,$C$4:C2282,$C2282)-SUMIFS($K$4:K2282,$C$4:C2282,$C2282),2))</f>
        <v/>
      </c>
      <c r="M2282" s="19">
        <f>IF($C2282="","",ROUND(SUM(基础资料!$B$4:$B$13)+SUM($J$4:J2282)-SUM($K$4:K2282),2))</f>
        <v/>
      </c>
      <c r="N2282" s="13" t="n"/>
      <c r="O2282" s="13" t="n"/>
      <c r="P2282" s="17">
        <f>IF($B2282="","",IF($F2282="※类别不在基础资料里","※费用类别不在基础资料里",IF(AND(N($J2282)=0,N($K2282)=0),"※这行没填金额",IF(AND(N($J2282)&gt;0,N($K2282)&gt;0),"※收入和支出不能同一行都填",IF(AND($D2282="收入",N($J2282)=0),"※收入行要填收入金额",IF(AND($D2282="支出",N($K2282)=0),"※支出行要填支出金额",IF(AND($C2282&lt;&gt;"",ISNA(MATCH($C2282,账户表,0))),"※账户不在基础资料里",IF(AND($G2282&lt;&gt;"",ISNA(MATCH($G2282,项目名表,0))),"※项目不在项目台账里",IF(AND(LEFT($F2282,3)="成本-",$G2282=""),"※成本类支出没填项目",IF(AND(LEFT($F2282,3)="成本-",$H2282&lt;&gt;"",N($K2282)&gt;0,COUNTIFS(采购单!$B:$B,$B2282,采购单!$C:$C,$H2282,采购单!$L:$L,$K2282)&gt;0),"※这笔可能和采购单重复了",""))))))))))</f>
        <v/>
      </c>
    </row>
    <row r="2283">
      <c r="A2283" s="17">
        <f>IF($B2283="","",ROW()-3)</f>
        <v/>
      </c>
      <c r="B2283" s="18" t="n"/>
      <c r="C2283" s="13" t="n"/>
      <c r="D2283" s="13" t="n"/>
      <c r="E2283" s="13" t="n"/>
      <c r="F2283" s="17">
        <f>IF($E2283="","",IFERROR(VLOOKUP($E2283,类别归属,2,0),"※类别不在基础资料里"))</f>
        <v/>
      </c>
      <c r="G2283" s="13" t="n"/>
      <c r="H2283" s="13" t="n"/>
      <c r="I2283" s="13" t="n"/>
      <c r="J2283" s="14" t="n"/>
      <c r="K2283" s="14" t="n"/>
      <c r="L2283" s="19">
        <f>IF($C2283="","",ROUND(IFERROR(VLOOKUP($C2283,账户期初,2,0),0)+SUMIFS($J$4:J2283,$C$4:C2283,$C2283)-SUMIFS($K$4:K2283,$C$4:C2283,$C2283),2))</f>
        <v/>
      </c>
      <c r="M2283" s="19">
        <f>IF($C2283="","",ROUND(SUM(基础资料!$B$4:$B$13)+SUM($J$4:J2283)-SUM($K$4:K2283),2))</f>
        <v/>
      </c>
      <c r="N2283" s="13" t="n"/>
      <c r="O2283" s="13" t="n"/>
      <c r="P2283" s="17">
        <f>IF($B2283="","",IF($F2283="※类别不在基础资料里","※费用类别不在基础资料里",IF(AND(N($J2283)=0,N($K2283)=0),"※这行没填金额",IF(AND(N($J2283)&gt;0,N($K2283)&gt;0),"※收入和支出不能同一行都填",IF(AND($D2283="收入",N($J2283)=0),"※收入行要填收入金额",IF(AND($D2283="支出",N($K2283)=0),"※支出行要填支出金额",IF(AND($C2283&lt;&gt;"",ISNA(MATCH($C2283,账户表,0))),"※账户不在基础资料里",IF(AND($G2283&lt;&gt;"",ISNA(MATCH($G2283,项目名表,0))),"※项目不在项目台账里",IF(AND(LEFT($F2283,3)="成本-",$G2283=""),"※成本类支出没填项目",IF(AND(LEFT($F2283,3)="成本-",$H2283&lt;&gt;"",N($K2283)&gt;0,COUNTIFS(采购单!$B:$B,$B2283,采购单!$C:$C,$H2283,采购单!$L:$L,$K2283)&gt;0),"※这笔可能和采购单重复了",""))))))))))</f>
        <v/>
      </c>
    </row>
    <row r="2284">
      <c r="A2284" s="17">
        <f>IF($B2284="","",ROW()-3)</f>
        <v/>
      </c>
      <c r="B2284" s="18" t="n"/>
      <c r="C2284" s="13" t="n"/>
      <c r="D2284" s="13" t="n"/>
      <c r="E2284" s="13" t="n"/>
      <c r="F2284" s="17">
        <f>IF($E2284="","",IFERROR(VLOOKUP($E2284,类别归属,2,0),"※类别不在基础资料里"))</f>
        <v/>
      </c>
      <c r="G2284" s="13" t="n"/>
      <c r="H2284" s="13" t="n"/>
      <c r="I2284" s="13" t="n"/>
      <c r="J2284" s="14" t="n"/>
      <c r="K2284" s="14" t="n"/>
      <c r="L2284" s="19">
        <f>IF($C2284="","",ROUND(IFERROR(VLOOKUP($C2284,账户期初,2,0),0)+SUMIFS($J$4:J2284,$C$4:C2284,$C2284)-SUMIFS($K$4:K2284,$C$4:C2284,$C2284),2))</f>
        <v/>
      </c>
      <c r="M2284" s="19">
        <f>IF($C2284="","",ROUND(SUM(基础资料!$B$4:$B$13)+SUM($J$4:J2284)-SUM($K$4:K2284),2))</f>
        <v/>
      </c>
      <c r="N2284" s="13" t="n"/>
      <c r="O2284" s="13" t="n"/>
      <c r="P2284" s="17">
        <f>IF($B2284="","",IF($F2284="※类别不在基础资料里","※费用类别不在基础资料里",IF(AND(N($J2284)=0,N($K2284)=0),"※这行没填金额",IF(AND(N($J2284)&gt;0,N($K2284)&gt;0),"※收入和支出不能同一行都填",IF(AND($D2284="收入",N($J2284)=0),"※收入行要填收入金额",IF(AND($D2284="支出",N($K2284)=0),"※支出行要填支出金额",IF(AND($C2284&lt;&gt;"",ISNA(MATCH($C2284,账户表,0))),"※账户不在基础资料里",IF(AND($G2284&lt;&gt;"",ISNA(MATCH($G2284,项目名表,0))),"※项目不在项目台账里",IF(AND(LEFT($F2284,3)="成本-",$G2284=""),"※成本类支出没填项目",IF(AND(LEFT($F2284,3)="成本-",$H2284&lt;&gt;"",N($K2284)&gt;0,COUNTIFS(采购单!$B:$B,$B2284,采购单!$C:$C,$H2284,采购单!$L:$L,$K2284)&gt;0),"※这笔可能和采购单重复了",""))))))))))</f>
        <v/>
      </c>
    </row>
    <row r="2285">
      <c r="A2285" s="17">
        <f>IF($B2285="","",ROW()-3)</f>
        <v/>
      </c>
      <c r="B2285" s="18" t="n"/>
      <c r="C2285" s="13" t="n"/>
      <c r="D2285" s="13" t="n"/>
      <c r="E2285" s="13" t="n"/>
      <c r="F2285" s="17">
        <f>IF($E2285="","",IFERROR(VLOOKUP($E2285,类别归属,2,0),"※类别不在基础资料里"))</f>
        <v/>
      </c>
      <c r="G2285" s="13" t="n"/>
      <c r="H2285" s="13" t="n"/>
      <c r="I2285" s="13" t="n"/>
      <c r="J2285" s="14" t="n"/>
      <c r="K2285" s="14" t="n"/>
      <c r="L2285" s="19">
        <f>IF($C2285="","",ROUND(IFERROR(VLOOKUP($C2285,账户期初,2,0),0)+SUMIFS($J$4:J2285,$C$4:C2285,$C2285)-SUMIFS($K$4:K2285,$C$4:C2285,$C2285),2))</f>
        <v/>
      </c>
      <c r="M2285" s="19">
        <f>IF($C2285="","",ROUND(SUM(基础资料!$B$4:$B$13)+SUM($J$4:J2285)-SUM($K$4:K2285),2))</f>
        <v/>
      </c>
      <c r="N2285" s="13" t="n"/>
      <c r="O2285" s="13" t="n"/>
      <c r="P2285" s="17">
        <f>IF($B2285="","",IF($F2285="※类别不在基础资料里","※费用类别不在基础资料里",IF(AND(N($J2285)=0,N($K2285)=0),"※这行没填金额",IF(AND(N($J2285)&gt;0,N($K2285)&gt;0),"※收入和支出不能同一行都填",IF(AND($D2285="收入",N($J2285)=0),"※收入行要填收入金额",IF(AND($D2285="支出",N($K2285)=0),"※支出行要填支出金额",IF(AND($C2285&lt;&gt;"",ISNA(MATCH($C2285,账户表,0))),"※账户不在基础资料里",IF(AND($G2285&lt;&gt;"",ISNA(MATCH($G2285,项目名表,0))),"※项目不在项目台账里",IF(AND(LEFT($F2285,3)="成本-",$G2285=""),"※成本类支出没填项目",IF(AND(LEFT($F2285,3)="成本-",$H2285&lt;&gt;"",N($K2285)&gt;0,COUNTIFS(采购单!$B:$B,$B2285,采购单!$C:$C,$H2285,采购单!$L:$L,$K2285)&gt;0),"※这笔可能和采购单重复了",""))))))))))</f>
        <v/>
      </c>
    </row>
    <row r="2286">
      <c r="A2286" s="17">
        <f>IF($B2286="","",ROW()-3)</f>
        <v/>
      </c>
      <c r="B2286" s="18" t="n"/>
      <c r="C2286" s="13" t="n"/>
      <c r="D2286" s="13" t="n"/>
      <c r="E2286" s="13" t="n"/>
      <c r="F2286" s="17">
        <f>IF($E2286="","",IFERROR(VLOOKUP($E2286,类别归属,2,0),"※类别不在基础资料里"))</f>
        <v/>
      </c>
      <c r="G2286" s="13" t="n"/>
      <c r="H2286" s="13" t="n"/>
      <c r="I2286" s="13" t="n"/>
      <c r="J2286" s="14" t="n"/>
      <c r="K2286" s="14" t="n"/>
      <c r="L2286" s="19">
        <f>IF($C2286="","",ROUND(IFERROR(VLOOKUP($C2286,账户期初,2,0),0)+SUMIFS($J$4:J2286,$C$4:C2286,$C2286)-SUMIFS($K$4:K2286,$C$4:C2286,$C2286),2))</f>
        <v/>
      </c>
      <c r="M2286" s="19">
        <f>IF($C2286="","",ROUND(SUM(基础资料!$B$4:$B$13)+SUM($J$4:J2286)-SUM($K$4:K2286),2))</f>
        <v/>
      </c>
      <c r="N2286" s="13" t="n"/>
      <c r="O2286" s="13" t="n"/>
      <c r="P2286" s="17">
        <f>IF($B2286="","",IF($F2286="※类别不在基础资料里","※费用类别不在基础资料里",IF(AND(N($J2286)=0,N($K2286)=0),"※这行没填金额",IF(AND(N($J2286)&gt;0,N($K2286)&gt;0),"※收入和支出不能同一行都填",IF(AND($D2286="收入",N($J2286)=0),"※收入行要填收入金额",IF(AND($D2286="支出",N($K2286)=0),"※支出行要填支出金额",IF(AND($C2286&lt;&gt;"",ISNA(MATCH($C2286,账户表,0))),"※账户不在基础资料里",IF(AND($G2286&lt;&gt;"",ISNA(MATCH($G2286,项目名表,0))),"※项目不在项目台账里",IF(AND(LEFT($F2286,3)="成本-",$G2286=""),"※成本类支出没填项目",IF(AND(LEFT($F2286,3)="成本-",$H2286&lt;&gt;"",N($K2286)&gt;0,COUNTIFS(采购单!$B:$B,$B2286,采购单!$C:$C,$H2286,采购单!$L:$L,$K2286)&gt;0),"※这笔可能和采购单重复了",""))))))))))</f>
        <v/>
      </c>
    </row>
    <row r="2287">
      <c r="A2287" s="17">
        <f>IF($B2287="","",ROW()-3)</f>
        <v/>
      </c>
      <c r="B2287" s="18" t="n"/>
      <c r="C2287" s="13" t="n"/>
      <c r="D2287" s="13" t="n"/>
      <c r="E2287" s="13" t="n"/>
      <c r="F2287" s="17">
        <f>IF($E2287="","",IFERROR(VLOOKUP($E2287,类别归属,2,0),"※类别不在基础资料里"))</f>
        <v/>
      </c>
      <c r="G2287" s="13" t="n"/>
      <c r="H2287" s="13" t="n"/>
      <c r="I2287" s="13" t="n"/>
      <c r="J2287" s="14" t="n"/>
      <c r="K2287" s="14" t="n"/>
      <c r="L2287" s="19">
        <f>IF($C2287="","",ROUND(IFERROR(VLOOKUP($C2287,账户期初,2,0),0)+SUMIFS($J$4:J2287,$C$4:C2287,$C2287)-SUMIFS($K$4:K2287,$C$4:C2287,$C2287),2))</f>
        <v/>
      </c>
      <c r="M2287" s="19">
        <f>IF($C2287="","",ROUND(SUM(基础资料!$B$4:$B$13)+SUM($J$4:J2287)-SUM($K$4:K2287),2))</f>
        <v/>
      </c>
      <c r="N2287" s="13" t="n"/>
      <c r="O2287" s="13" t="n"/>
      <c r="P2287" s="17">
        <f>IF($B2287="","",IF($F2287="※类别不在基础资料里","※费用类别不在基础资料里",IF(AND(N($J2287)=0,N($K2287)=0),"※这行没填金额",IF(AND(N($J2287)&gt;0,N($K2287)&gt;0),"※收入和支出不能同一行都填",IF(AND($D2287="收入",N($J2287)=0),"※收入行要填收入金额",IF(AND($D2287="支出",N($K2287)=0),"※支出行要填支出金额",IF(AND($C2287&lt;&gt;"",ISNA(MATCH($C2287,账户表,0))),"※账户不在基础资料里",IF(AND($G2287&lt;&gt;"",ISNA(MATCH($G2287,项目名表,0))),"※项目不在项目台账里",IF(AND(LEFT($F2287,3)="成本-",$G2287=""),"※成本类支出没填项目",IF(AND(LEFT($F2287,3)="成本-",$H2287&lt;&gt;"",N($K2287)&gt;0,COUNTIFS(采购单!$B:$B,$B2287,采购单!$C:$C,$H2287,采购单!$L:$L,$K2287)&gt;0),"※这笔可能和采购单重复了",""))))))))))</f>
        <v/>
      </c>
    </row>
    <row r="2288">
      <c r="A2288" s="17">
        <f>IF($B2288="","",ROW()-3)</f>
        <v/>
      </c>
      <c r="B2288" s="18" t="n"/>
      <c r="C2288" s="13" t="n"/>
      <c r="D2288" s="13" t="n"/>
      <c r="E2288" s="13" t="n"/>
      <c r="F2288" s="17">
        <f>IF($E2288="","",IFERROR(VLOOKUP($E2288,类别归属,2,0),"※类别不在基础资料里"))</f>
        <v/>
      </c>
      <c r="G2288" s="13" t="n"/>
      <c r="H2288" s="13" t="n"/>
      <c r="I2288" s="13" t="n"/>
      <c r="J2288" s="14" t="n"/>
      <c r="K2288" s="14" t="n"/>
      <c r="L2288" s="19">
        <f>IF($C2288="","",ROUND(IFERROR(VLOOKUP($C2288,账户期初,2,0),0)+SUMIFS($J$4:J2288,$C$4:C2288,$C2288)-SUMIFS($K$4:K2288,$C$4:C2288,$C2288),2))</f>
        <v/>
      </c>
      <c r="M2288" s="19">
        <f>IF($C2288="","",ROUND(SUM(基础资料!$B$4:$B$13)+SUM($J$4:J2288)-SUM($K$4:K2288),2))</f>
        <v/>
      </c>
      <c r="N2288" s="13" t="n"/>
      <c r="O2288" s="13" t="n"/>
      <c r="P2288" s="17">
        <f>IF($B2288="","",IF($F2288="※类别不在基础资料里","※费用类别不在基础资料里",IF(AND(N($J2288)=0,N($K2288)=0),"※这行没填金额",IF(AND(N($J2288)&gt;0,N($K2288)&gt;0),"※收入和支出不能同一行都填",IF(AND($D2288="收入",N($J2288)=0),"※收入行要填收入金额",IF(AND($D2288="支出",N($K2288)=0),"※支出行要填支出金额",IF(AND($C2288&lt;&gt;"",ISNA(MATCH($C2288,账户表,0))),"※账户不在基础资料里",IF(AND($G2288&lt;&gt;"",ISNA(MATCH($G2288,项目名表,0))),"※项目不在项目台账里",IF(AND(LEFT($F2288,3)="成本-",$G2288=""),"※成本类支出没填项目",IF(AND(LEFT($F2288,3)="成本-",$H2288&lt;&gt;"",N($K2288)&gt;0,COUNTIFS(采购单!$B:$B,$B2288,采购单!$C:$C,$H2288,采购单!$L:$L,$K2288)&gt;0),"※这笔可能和采购单重复了",""))))))))))</f>
        <v/>
      </c>
    </row>
    <row r="2289">
      <c r="A2289" s="17">
        <f>IF($B2289="","",ROW()-3)</f>
        <v/>
      </c>
      <c r="B2289" s="18" t="n"/>
      <c r="C2289" s="13" t="n"/>
      <c r="D2289" s="13" t="n"/>
      <c r="E2289" s="13" t="n"/>
      <c r="F2289" s="17">
        <f>IF($E2289="","",IFERROR(VLOOKUP($E2289,类别归属,2,0),"※类别不在基础资料里"))</f>
        <v/>
      </c>
      <c r="G2289" s="13" t="n"/>
      <c r="H2289" s="13" t="n"/>
      <c r="I2289" s="13" t="n"/>
      <c r="J2289" s="14" t="n"/>
      <c r="K2289" s="14" t="n"/>
      <c r="L2289" s="19">
        <f>IF($C2289="","",ROUND(IFERROR(VLOOKUP($C2289,账户期初,2,0),0)+SUMIFS($J$4:J2289,$C$4:C2289,$C2289)-SUMIFS($K$4:K2289,$C$4:C2289,$C2289),2))</f>
        <v/>
      </c>
      <c r="M2289" s="19">
        <f>IF($C2289="","",ROUND(SUM(基础资料!$B$4:$B$13)+SUM($J$4:J2289)-SUM($K$4:K2289),2))</f>
        <v/>
      </c>
      <c r="N2289" s="13" t="n"/>
      <c r="O2289" s="13" t="n"/>
      <c r="P2289" s="17">
        <f>IF($B2289="","",IF($F2289="※类别不在基础资料里","※费用类别不在基础资料里",IF(AND(N($J2289)=0,N($K2289)=0),"※这行没填金额",IF(AND(N($J2289)&gt;0,N($K2289)&gt;0),"※收入和支出不能同一行都填",IF(AND($D2289="收入",N($J2289)=0),"※收入行要填收入金额",IF(AND($D2289="支出",N($K2289)=0),"※支出行要填支出金额",IF(AND($C2289&lt;&gt;"",ISNA(MATCH($C2289,账户表,0))),"※账户不在基础资料里",IF(AND($G2289&lt;&gt;"",ISNA(MATCH($G2289,项目名表,0))),"※项目不在项目台账里",IF(AND(LEFT($F2289,3)="成本-",$G2289=""),"※成本类支出没填项目",IF(AND(LEFT($F2289,3)="成本-",$H2289&lt;&gt;"",N($K2289)&gt;0,COUNTIFS(采购单!$B:$B,$B2289,采购单!$C:$C,$H2289,采购单!$L:$L,$K2289)&gt;0),"※这笔可能和采购单重复了",""))))))))))</f>
        <v/>
      </c>
    </row>
    <row r="2290">
      <c r="A2290" s="17">
        <f>IF($B2290="","",ROW()-3)</f>
        <v/>
      </c>
      <c r="B2290" s="18" t="n"/>
      <c r="C2290" s="13" t="n"/>
      <c r="D2290" s="13" t="n"/>
      <c r="E2290" s="13" t="n"/>
      <c r="F2290" s="17">
        <f>IF($E2290="","",IFERROR(VLOOKUP($E2290,类别归属,2,0),"※类别不在基础资料里"))</f>
        <v/>
      </c>
      <c r="G2290" s="13" t="n"/>
      <c r="H2290" s="13" t="n"/>
      <c r="I2290" s="13" t="n"/>
      <c r="J2290" s="14" t="n"/>
      <c r="K2290" s="14" t="n"/>
      <c r="L2290" s="19">
        <f>IF($C2290="","",ROUND(IFERROR(VLOOKUP($C2290,账户期初,2,0),0)+SUMIFS($J$4:J2290,$C$4:C2290,$C2290)-SUMIFS($K$4:K2290,$C$4:C2290,$C2290),2))</f>
        <v/>
      </c>
      <c r="M2290" s="19">
        <f>IF($C2290="","",ROUND(SUM(基础资料!$B$4:$B$13)+SUM($J$4:J2290)-SUM($K$4:K2290),2))</f>
        <v/>
      </c>
      <c r="N2290" s="13" t="n"/>
      <c r="O2290" s="13" t="n"/>
      <c r="P2290" s="17">
        <f>IF($B2290="","",IF($F2290="※类别不在基础资料里","※费用类别不在基础资料里",IF(AND(N($J2290)=0,N($K2290)=0),"※这行没填金额",IF(AND(N($J2290)&gt;0,N($K2290)&gt;0),"※收入和支出不能同一行都填",IF(AND($D2290="收入",N($J2290)=0),"※收入行要填收入金额",IF(AND($D2290="支出",N($K2290)=0),"※支出行要填支出金额",IF(AND($C2290&lt;&gt;"",ISNA(MATCH($C2290,账户表,0))),"※账户不在基础资料里",IF(AND($G2290&lt;&gt;"",ISNA(MATCH($G2290,项目名表,0))),"※项目不在项目台账里",IF(AND(LEFT($F2290,3)="成本-",$G2290=""),"※成本类支出没填项目",IF(AND(LEFT($F2290,3)="成本-",$H2290&lt;&gt;"",N($K2290)&gt;0,COUNTIFS(采购单!$B:$B,$B2290,采购单!$C:$C,$H2290,采购单!$L:$L,$K2290)&gt;0),"※这笔可能和采购单重复了",""))))))))))</f>
        <v/>
      </c>
    </row>
    <row r="2291">
      <c r="A2291" s="17">
        <f>IF($B2291="","",ROW()-3)</f>
        <v/>
      </c>
      <c r="B2291" s="18" t="n"/>
      <c r="C2291" s="13" t="n"/>
      <c r="D2291" s="13" t="n"/>
      <c r="E2291" s="13" t="n"/>
      <c r="F2291" s="17">
        <f>IF($E2291="","",IFERROR(VLOOKUP($E2291,类别归属,2,0),"※类别不在基础资料里"))</f>
        <v/>
      </c>
      <c r="G2291" s="13" t="n"/>
      <c r="H2291" s="13" t="n"/>
      <c r="I2291" s="13" t="n"/>
      <c r="J2291" s="14" t="n"/>
      <c r="K2291" s="14" t="n"/>
      <c r="L2291" s="19">
        <f>IF($C2291="","",ROUND(IFERROR(VLOOKUP($C2291,账户期初,2,0),0)+SUMIFS($J$4:J2291,$C$4:C2291,$C2291)-SUMIFS($K$4:K2291,$C$4:C2291,$C2291),2))</f>
        <v/>
      </c>
      <c r="M2291" s="19">
        <f>IF($C2291="","",ROUND(SUM(基础资料!$B$4:$B$13)+SUM($J$4:J2291)-SUM($K$4:K2291),2))</f>
        <v/>
      </c>
      <c r="N2291" s="13" t="n"/>
      <c r="O2291" s="13" t="n"/>
      <c r="P2291" s="17">
        <f>IF($B2291="","",IF($F2291="※类别不在基础资料里","※费用类别不在基础资料里",IF(AND(N($J2291)=0,N($K2291)=0),"※这行没填金额",IF(AND(N($J2291)&gt;0,N($K2291)&gt;0),"※收入和支出不能同一行都填",IF(AND($D2291="收入",N($J2291)=0),"※收入行要填收入金额",IF(AND($D2291="支出",N($K2291)=0),"※支出行要填支出金额",IF(AND($C2291&lt;&gt;"",ISNA(MATCH($C2291,账户表,0))),"※账户不在基础资料里",IF(AND($G2291&lt;&gt;"",ISNA(MATCH($G2291,项目名表,0))),"※项目不在项目台账里",IF(AND(LEFT($F2291,3)="成本-",$G2291=""),"※成本类支出没填项目",IF(AND(LEFT($F2291,3)="成本-",$H2291&lt;&gt;"",N($K2291)&gt;0,COUNTIFS(采购单!$B:$B,$B2291,采购单!$C:$C,$H2291,采购单!$L:$L,$K2291)&gt;0),"※这笔可能和采购单重复了",""))))))))))</f>
        <v/>
      </c>
    </row>
    <row r="2292">
      <c r="A2292" s="17">
        <f>IF($B2292="","",ROW()-3)</f>
        <v/>
      </c>
      <c r="B2292" s="18" t="n"/>
      <c r="C2292" s="13" t="n"/>
      <c r="D2292" s="13" t="n"/>
      <c r="E2292" s="13" t="n"/>
      <c r="F2292" s="17">
        <f>IF($E2292="","",IFERROR(VLOOKUP($E2292,类别归属,2,0),"※类别不在基础资料里"))</f>
        <v/>
      </c>
      <c r="G2292" s="13" t="n"/>
      <c r="H2292" s="13" t="n"/>
      <c r="I2292" s="13" t="n"/>
      <c r="J2292" s="14" t="n"/>
      <c r="K2292" s="14" t="n"/>
      <c r="L2292" s="19">
        <f>IF($C2292="","",ROUND(IFERROR(VLOOKUP($C2292,账户期初,2,0),0)+SUMIFS($J$4:J2292,$C$4:C2292,$C2292)-SUMIFS($K$4:K2292,$C$4:C2292,$C2292),2))</f>
        <v/>
      </c>
      <c r="M2292" s="19">
        <f>IF($C2292="","",ROUND(SUM(基础资料!$B$4:$B$13)+SUM($J$4:J2292)-SUM($K$4:K2292),2))</f>
        <v/>
      </c>
      <c r="N2292" s="13" t="n"/>
      <c r="O2292" s="13" t="n"/>
      <c r="P2292" s="17">
        <f>IF($B2292="","",IF($F2292="※类别不在基础资料里","※费用类别不在基础资料里",IF(AND(N($J2292)=0,N($K2292)=0),"※这行没填金额",IF(AND(N($J2292)&gt;0,N($K2292)&gt;0),"※收入和支出不能同一行都填",IF(AND($D2292="收入",N($J2292)=0),"※收入行要填收入金额",IF(AND($D2292="支出",N($K2292)=0),"※支出行要填支出金额",IF(AND($C2292&lt;&gt;"",ISNA(MATCH($C2292,账户表,0))),"※账户不在基础资料里",IF(AND($G2292&lt;&gt;"",ISNA(MATCH($G2292,项目名表,0))),"※项目不在项目台账里",IF(AND(LEFT($F2292,3)="成本-",$G2292=""),"※成本类支出没填项目",IF(AND(LEFT($F2292,3)="成本-",$H2292&lt;&gt;"",N($K2292)&gt;0,COUNTIFS(采购单!$B:$B,$B2292,采购单!$C:$C,$H2292,采购单!$L:$L,$K2292)&gt;0),"※这笔可能和采购单重复了",""))))))))))</f>
        <v/>
      </c>
    </row>
    <row r="2293">
      <c r="A2293" s="17">
        <f>IF($B2293="","",ROW()-3)</f>
        <v/>
      </c>
      <c r="B2293" s="18" t="n"/>
      <c r="C2293" s="13" t="n"/>
      <c r="D2293" s="13" t="n"/>
      <c r="E2293" s="13" t="n"/>
      <c r="F2293" s="17">
        <f>IF($E2293="","",IFERROR(VLOOKUP($E2293,类别归属,2,0),"※类别不在基础资料里"))</f>
        <v/>
      </c>
      <c r="G2293" s="13" t="n"/>
      <c r="H2293" s="13" t="n"/>
      <c r="I2293" s="13" t="n"/>
      <c r="J2293" s="14" t="n"/>
      <c r="K2293" s="14" t="n"/>
      <c r="L2293" s="19">
        <f>IF($C2293="","",ROUND(IFERROR(VLOOKUP($C2293,账户期初,2,0),0)+SUMIFS($J$4:J2293,$C$4:C2293,$C2293)-SUMIFS($K$4:K2293,$C$4:C2293,$C2293),2))</f>
        <v/>
      </c>
      <c r="M2293" s="19">
        <f>IF($C2293="","",ROUND(SUM(基础资料!$B$4:$B$13)+SUM($J$4:J2293)-SUM($K$4:K2293),2))</f>
        <v/>
      </c>
      <c r="N2293" s="13" t="n"/>
      <c r="O2293" s="13" t="n"/>
      <c r="P2293" s="17">
        <f>IF($B2293="","",IF($F2293="※类别不在基础资料里","※费用类别不在基础资料里",IF(AND(N($J2293)=0,N($K2293)=0),"※这行没填金额",IF(AND(N($J2293)&gt;0,N($K2293)&gt;0),"※收入和支出不能同一行都填",IF(AND($D2293="收入",N($J2293)=0),"※收入行要填收入金额",IF(AND($D2293="支出",N($K2293)=0),"※支出行要填支出金额",IF(AND($C2293&lt;&gt;"",ISNA(MATCH($C2293,账户表,0))),"※账户不在基础资料里",IF(AND($G2293&lt;&gt;"",ISNA(MATCH($G2293,项目名表,0))),"※项目不在项目台账里",IF(AND(LEFT($F2293,3)="成本-",$G2293=""),"※成本类支出没填项目",IF(AND(LEFT($F2293,3)="成本-",$H2293&lt;&gt;"",N($K2293)&gt;0,COUNTIFS(采购单!$B:$B,$B2293,采购单!$C:$C,$H2293,采购单!$L:$L,$K2293)&gt;0),"※这笔可能和采购单重复了",""))))))))))</f>
        <v/>
      </c>
    </row>
    <row r="2294">
      <c r="A2294" s="17">
        <f>IF($B2294="","",ROW()-3)</f>
        <v/>
      </c>
      <c r="B2294" s="18" t="n"/>
      <c r="C2294" s="13" t="n"/>
      <c r="D2294" s="13" t="n"/>
      <c r="E2294" s="13" t="n"/>
      <c r="F2294" s="17">
        <f>IF($E2294="","",IFERROR(VLOOKUP($E2294,类别归属,2,0),"※类别不在基础资料里"))</f>
        <v/>
      </c>
      <c r="G2294" s="13" t="n"/>
      <c r="H2294" s="13" t="n"/>
      <c r="I2294" s="13" t="n"/>
      <c r="J2294" s="14" t="n"/>
      <c r="K2294" s="14" t="n"/>
      <c r="L2294" s="19">
        <f>IF($C2294="","",ROUND(IFERROR(VLOOKUP($C2294,账户期初,2,0),0)+SUMIFS($J$4:J2294,$C$4:C2294,$C2294)-SUMIFS($K$4:K2294,$C$4:C2294,$C2294),2))</f>
        <v/>
      </c>
      <c r="M2294" s="19">
        <f>IF($C2294="","",ROUND(SUM(基础资料!$B$4:$B$13)+SUM($J$4:J2294)-SUM($K$4:K2294),2))</f>
        <v/>
      </c>
      <c r="N2294" s="13" t="n"/>
      <c r="O2294" s="13" t="n"/>
      <c r="P2294" s="17">
        <f>IF($B2294="","",IF($F2294="※类别不在基础资料里","※费用类别不在基础资料里",IF(AND(N($J2294)=0,N($K2294)=0),"※这行没填金额",IF(AND(N($J2294)&gt;0,N($K2294)&gt;0),"※收入和支出不能同一行都填",IF(AND($D2294="收入",N($J2294)=0),"※收入行要填收入金额",IF(AND($D2294="支出",N($K2294)=0),"※支出行要填支出金额",IF(AND($C2294&lt;&gt;"",ISNA(MATCH($C2294,账户表,0))),"※账户不在基础资料里",IF(AND($G2294&lt;&gt;"",ISNA(MATCH($G2294,项目名表,0))),"※项目不在项目台账里",IF(AND(LEFT($F2294,3)="成本-",$G2294=""),"※成本类支出没填项目",IF(AND(LEFT($F2294,3)="成本-",$H2294&lt;&gt;"",N($K2294)&gt;0,COUNTIFS(采购单!$B:$B,$B2294,采购单!$C:$C,$H2294,采购单!$L:$L,$K2294)&gt;0),"※这笔可能和采购单重复了",""))))))))))</f>
        <v/>
      </c>
    </row>
    <row r="2295">
      <c r="A2295" s="17">
        <f>IF($B2295="","",ROW()-3)</f>
        <v/>
      </c>
      <c r="B2295" s="18" t="n"/>
      <c r="C2295" s="13" t="n"/>
      <c r="D2295" s="13" t="n"/>
      <c r="E2295" s="13" t="n"/>
      <c r="F2295" s="17">
        <f>IF($E2295="","",IFERROR(VLOOKUP($E2295,类别归属,2,0),"※类别不在基础资料里"))</f>
        <v/>
      </c>
      <c r="G2295" s="13" t="n"/>
      <c r="H2295" s="13" t="n"/>
      <c r="I2295" s="13" t="n"/>
      <c r="J2295" s="14" t="n"/>
      <c r="K2295" s="14" t="n"/>
      <c r="L2295" s="19">
        <f>IF($C2295="","",ROUND(IFERROR(VLOOKUP($C2295,账户期初,2,0),0)+SUMIFS($J$4:J2295,$C$4:C2295,$C2295)-SUMIFS($K$4:K2295,$C$4:C2295,$C2295),2))</f>
        <v/>
      </c>
      <c r="M2295" s="19">
        <f>IF($C2295="","",ROUND(SUM(基础资料!$B$4:$B$13)+SUM($J$4:J2295)-SUM($K$4:K2295),2))</f>
        <v/>
      </c>
      <c r="N2295" s="13" t="n"/>
      <c r="O2295" s="13" t="n"/>
      <c r="P2295" s="17">
        <f>IF($B2295="","",IF($F2295="※类别不在基础资料里","※费用类别不在基础资料里",IF(AND(N($J2295)=0,N($K2295)=0),"※这行没填金额",IF(AND(N($J2295)&gt;0,N($K2295)&gt;0),"※收入和支出不能同一行都填",IF(AND($D2295="收入",N($J2295)=0),"※收入行要填收入金额",IF(AND($D2295="支出",N($K2295)=0),"※支出行要填支出金额",IF(AND($C2295&lt;&gt;"",ISNA(MATCH($C2295,账户表,0))),"※账户不在基础资料里",IF(AND($G2295&lt;&gt;"",ISNA(MATCH($G2295,项目名表,0))),"※项目不在项目台账里",IF(AND(LEFT($F2295,3)="成本-",$G2295=""),"※成本类支出没填项目",IF(AND(LEFT($F2295,3)="成本-",$H2295&lt;&gt;"",N($K2295)&gt;0,COUNTIFS(采购单!$B:$B,$B2295,采购单!$C:$C,$H2295,采购单!$L:$L,$K2295)&gt;0),"※这笔可能和采购单重复了",""))))))))))</f>
        <v/>
      </c>
    </row>
    <row r="2296">
      <c r="A2296" s="17">
        <f>IF($B2296="","",ROW()-3)</f>
        <v/>
      </c>
      <c r="B2296" s="18" t="n"/>
      <c r="C2296" s="13" t="n"/>
      <c r="D2296" s="13" t="n"/>
      <c r="E2296" s="13" t="n"/>
      <c r="F2296" s="17">
        <f>IF($E2296="","",IFERROR(VLOOKUP($E2296,类别归属,2,0),"※类别不在基础资料里"))</f>
        <v/>
      </c>
      <c r="G2296" s="13" t="n"/>
      <c r="H2296" s="13" t="n"/>
      <c r="I2296" s="13" t="n"/>
      <c r="J2296" s="14" t="n"/>
      <c r="K2296" s="14" t="n"/>
      <c r="L2296" s="19">
        <f>IF($C2296="","",ROUND(IFERROR(VLOOKUP($C2296,账户期初,2,0),0)+SUMIFS($J$4:J2296,$C$4:C2296,$C2296)-SUMIFS($K$4:K2296,$C$4:C2296,$C2296),2))</f>
        <v/>
      </c>
      <c r="M2296" s="19">
        <f>IF($C2296="","",ROUND(SUM(基础资料!$B$4:$B$13)+SUM($J$4:J2296)-SUM($K$4:K2296),2))</f>
        <v/>
      </c>
      <c r="N2296" s="13" t="n"/>
      <c r="O2296" s="13" t="n"/>
      <c r="P2296" s="17">
        <f>IF($B2296="","",IF($F2296="※类别不在基础资料里","※费用类别不在基础资料里",IF(AND(N($J2296)=0,N($K2296)=0),"※这行没填金额",IF(AND(N($J2296)&gt;0,N($K2296)&gt;0),"※收入和支出不能同一行都填",IF(AND($D2296="收入",N($J2296)=0),"※收入行要填收入金额",IF(AND($D2296="支出",N($K2296)=0),"※支出行要填支出金额",IF(AND($C2296&lt;&gt;"",ISNA(MATCH($C2296,账户表,0))),"※账户不在基础资料里",IF(AND($G2296&lt;&gt;"",ISNA(MATCH($G2296,项目名表,0))),"※项目不在项目台账里",IF(AND(LEFT($F2296,3)="成本-",$G2296=""),"※成本类支出没填项目",IF(AND(LEFT($F2296,3)="成本-",$H2296&lt;&gt;"",N($K2296)&gt;0,COUNTIFS(采购单!$B:$B,$B2296,采购单!$C:$C,$H2296,采购单!$L:$L,$K2296)&gt;0),"※这笔可能和采购单重复了",""))))))))))</f>
        <v/>
      </c>
    </row>
    <row r="2297">
      <c r="A2297" s="17">
        <f>IF($B2297="","",ROW()-3)</f>
        <v/>
      </c>
      <c r="B2297" s="18" t="n"/>
      <c r="C2297" s="13" t="n"/>
      <c r="D2297" s="13" t="n"/>
      <c r="E2297" s="13" t="n"/>
      <c r="F2297" s="17">
        <f>IF($E2297="","",IFERROR(VLOOKUP($E2297,类别归属,2,0),"※类别不在基础资料里"))</f>
        <v/>
      </c>
      <c r="G2297" s="13" t="n"/>
      <c r="H2297" s="13" t="n"/>
      <c r="I2297" s="13" t="n"/>
      <c r="J2297" s="14" t="n"/>
      <c r="K2297" s="14" t="n"/>
      <c r="L2297" s="19">
        <f>IF($C2297="","",ROUND(IFERROR(VLOOKUP($C2297,账户期初,2,0),0)+SUMIFS($J$4:J2297,$C$4:C2297,$C2297)-SUMIFS($K$4:K2297,$C$4:C2297,$C2297),2))</f>
        <v/>
      </c>
      <c r="M2297" s="19">
        <f>IF($C2297="","",ROUND(SUM(基础资料!$B$4:$B$13)+SUM($J$4:J2297)-SUM($K$4:K2297),2))</f>
        <v/>
      </c>
      <c r="N2297" s="13" t="n"/>
      <c r="O2297" s="13" t="n"/>
      <c r="P2297" s="17">
        <f>IF($B2297="","",IF($F2297="※类别不在基础资料里","※费用类别不在基础资料里",IF(AND(N($J2297)=0,N($K2297)=0),"※这行没填金额",IF(AND(N($J2297)&gt;0,N($K2297)&gt;0),"※收入和支出不能同一行都填",IF(AND($D2297="收入",N($J2297)=0),"※收入行要填收入金额",IF(AND($D2297="支出",N($K2297)=0),"※支出行要填支出金额",IF(AND($C2297&lt;&gt;"",ISNA(MATCH($C2297,账户表,0))),"※账户不在基础资料里",IF(AND($G2297&lt;&gt;"",ISNA(MATCH($G2297,项目名表,0))),"※项目不在项目台账里",IF(AND(LEFT($F2297,3)="成本-",$G2297=""),"※成本类支出没填项目",IF(AND(LEFT($F2297,3)="成本-",$H2297&lt;&gt;"",N($K2297)&gt;0,COUNTIFS(采购单!$B:$B,$B2297,采购单!$C:$C,$H2297,采购单!$L:$L,$K2297)&gt;0),"※这笔可能和采购单重复了",""))))))))))</f>
        <v/>
      </c>
    </row>
    <row r="2298">
      <c r="A2298" s="17">
        <f>IF($B2298="","",ROW()-3)</f>
        <v/>
      </c>
      <c r="B2298" s="18" t="n"/>
      <c r="C2298" s="13" t="n"/>
      <c r="D2298" s="13" t="n"/>
      <c r="E2298" s="13" t="n"/>
      <c r="F2298" s="17">
        <f>IF($E2298="","",IFERROR(VLOOKUP($E2298,类别归属,2,0),"※类别不在基础资料里"))</f>
        <v/>
      </c>
      <c r="G2298" s="13" t="n"/>
      <c r="H2298" s="13" t="n"/>
      <c r="I2298" s="13" t="n"/>
      <c r="J2298" s="14" t="n"/>
      <c r="K2298" s="14" t="n"/>
      <c r="L2298" s="19">
        <f>IF($C2298="","",ROUND(IFERROR(VLOOKUP($C2298,账户期初,2,0),0)+SUMIFS($J$4:J2298,$C$4:C2298,$C2298)-SUMIFS($K$4:K2298,$C$4:C2298,$C2298),2))</f>
        <v/>
      </c>
      <c r="M2298" s="19">
        <f>IF($C2298="","",ROUND(SUM(基础资料!$B$4:$B$13)+SUM($J$4:J2298)-SUM($K$4:K2298),2))</f>
        <v/>
      </c>
      <c r="N2298" s="13" t="n"/>
      <c r="O2298" s="13" t="n"/>
      <c r="P2298" s="17">
        <f>IF($B2298="","",IF($F2298="※类别不在基础资料里","※费用类别不在基础资料里",IF(AND(N($J2298)=0,N($K2298)=0),"※这行没填金额",IF(AND(N($J2298)&gt;0,N($K2298)&gt;0),"※收入和支出不能同一行都填",IF(AND($D2298="收入",N($J2298)=0),"※收入行要填收入金额",IF(AND($D2298="支出",N($K2298)=0),"※支出行要填支出金额",IF(AND($C2298&lt;&gt;"",ISNA(MATCH($C2298,账户表,0))),"※账户不在基础资料里",IF(AND($G2298&lt;&gt;"",ISNA(MATCH($G2298,项目名表,0))),"※项目不在项目台账里",IF(AND(LEFT($F2298,3)="成本-",$G2298=""),"※成本类支出没填项目",IF(AND(LEFT($F2298,3)="成本-",$H2298&lt;&gt;"",N($K2298)&gt;0,COUNTIFS(采购单!$B:$B,$B2298,采购单!$C:$C,$H2298,采购单!$L:$L,$K2298)&gt;0),"※这笔可能和采购单重复了",""))))))))))</f>
        <v/>
      </c>
    </row>
    <row r="2299">
      <c r="A2299" s="17">
        <f>IF($B2299="","",ROW()-3)</f>
        <v/>
      </c>
      <c r="B2299" s="18" t="n"/>
      <c r="C2299" s="13" t="n"/>
      <c r="D2299" s="13" t="n"/>
      <c r="E2299" s="13" t="n"/>
      <c r="F2299" s="17">
        <f>IF($E2299="","",IFERROR(VLOOKUP($E2299,类别归属,2,0),"※类别不在基础资料里"))</f>
        <v/>
      </c>
      <c r="G2299" s="13" t="n"/>
      <c r="H2299" s="13" t="n"/>
      <c r="I2299" s="13" t="n"/>
      <c r="J2299" s="14" t="n"/>
      <c r="K2299" s="14" t="n"/>
      <c r="L2299" s="19">
        <f>IF($C2299="","",ROUND(IFERROR(VLOOKUP($C2299,账户期初,2,0),0)+SUMIFS($J$4:J2299,$C$4:C2299,$C2299)-SUMIFS($K$4:K2299,$C$4:C2299,$C2299),2))</f>
        <v/>
      </c>
      <c r="M2299" s="19">
        <f>IF($C2299="","",ROUND(SUM(基础资料!$B$4:$B$13)+SUM($J$4:J2299)-SUM($K$4:K2299),2))</f>
        <v/>
      </c>
      <c r="N2299" s="13" t="n"/>
      <c r="O2299" s="13" t="n"/>
      <c r="P2299" s="17">
        <f>IF($B2299="","",IF($F2299="※类别不在基础资料里","※费用类别不在基础资料里",IF(AND(N($J2299)=0,N($K2299)=0),"※这行没填金额",IF(AND(N($J2299)&gt;0,N($K2299)&gt;0),"※收入和支出不能同一行都填",IF(AND($D2299="收入",N($J2299)=0),"※收入行要填收入金额",IF(AND($D2299="支出",N($K2299)=0),"※支出行要填支出金额",IF(AND($C2299&lt;&gt;"",ISNA(MATCH($C2299,账户表,0))),"※账户不在基础资料里",IF(AND($G2299&lt;&gt;"",ISNA(MATCH($G2299,项目名表,0))),"※项目不在项目台账里",IF(AND(LEFT($F2299,3)="成本-",$G2299=""),"※成本类支出没填项目",IF(AND(LEFT($F2299,3)="成本-",$H2299&lt;&gt;"",N($K2299)&gt;0,COUNTIFS(采购单!$B:$B,$B2299,采购单!$C:$C,$H2299,采购单!$L:$L,$K2299)&gt;0),"※这笔可能和采购单重复了",""))))))))))</f>
        <v/>
      </c>
    </row>
    <row r="2300">
      <c r="A2300" s="17">
        <f>IF($B2300="","",ROW()-3)</f>
        <v/>
      </c>
      <c r="B2300" s="18" t="n"/>
      <c r="C2300" s="13" t="n"/>
      <c r="D2300" s="13" t="n"/>
      <c r="E2300" s="13" t="n"/>
      <c r="F2300" s="17">
        <f>IF($E2300="","",IFERROR(VLOOKUP($E2300,类别归属,2,0),"※类别不在基础资料里"))</f>
        <v/>
      </c>
      <c r="G2300" s="13" t="n"/>
      <c r="H2300" s="13" t="n"/>
      <c r="I2300" s="13" t="n"/>
      <c r="J2300" s="14" t="n"/>
      <c r="K2300" s="14" t="n"/>
      <c r="L2300" s="19">
        <f>IF($C2300="","",ROUND(IFERROR(VLOOKUP($C2300,账户期初,2,0),0)+SUMIFS($J$4:J2300,$C$4:C2300,$C2300)-SUMIFS($K$4:K2300,$C$4:C2300,$C2300),2))</f>
        <v/>
      </c>
      <c r="M2300" s="19">
        <f>IF($C2300="","",ROUND(SUM(基础资料!$B$4:$B$13)+SUM($J$4:J2300)-SUM($K$4:K2300),2))</f>
        <v/>
      </c>
      <c r="N2300" s="13" t="n"/>
      <c r="O2300" s="13" t="n"/>
      <c r="P2300" s="17">
        <f>IF($B2300="","",IF($F2300="※类别不在基础资料里","※费用类别不在基础资料里",IF(AND(N($J2300)=0,N($K2300)=0),"※这行没填金额",IF(AND(N($J2300)&gt;0,N($K2300)&gt;0),"※收入和支出不能同一行都填",IF(AND($D2300="收入",N($J2300)=0),"※收入行要填收入金额",IF(AND($D2300="支出",N($K2300)=0),"※支出行要填支出金额",IF(AND($C2300&lt;&gt;"",ISNA(MATCH($C2300,账户表,0))),"※账户不在基础资料里",IF(AND($G2300&lt;&gt;"",ISNA(MATCH($G2300,项目名表,0))),"※项目不在项目台账里",IF(AND(LEFT($F2300,3)="成本-",$G2300=""),"※成本类支出没填项目",IF(AND(LEFT($F2300,3)="成本-",$H2300&lt;&gt;"",N($K2300)&gt;0,COUNTIFS(采购单!$B:$B,$B2300,采购单!$C:$C,$H2300,采购单!$L:$L,$K2300)&gt;0),"※这笔可能和采购单重复了",""))))))))))</f>
        <v/>
      </c>
    </row>
    <row r="2301">
      <c r="A2301" s="17">
        <f>IF($B2301="","",ROW()-3)</f>
        <v/>
      </c>
      <c r="B2301" s="18" t="n"/>
      <c r="C2301" s="13" t="n"/>
      <c r="D2301" s="13" t="n"/>
      <c r="E2301" s="13" t="n"/>
      <c r="F2301" s="17">
        <f>IF($E2301="","",IFERROR(VLOOKUP($E2301,类别归属,2,0),"※类别不在基础资料里"))</f>
        <v/>
      </c>
      <c r="G2301" s="13" t="n"/>
      <c r="H2301" s="13" t="n"/>
      <c r="I2301" s="13" t="n"/>
      <c r="J2301" s="14" t="n"/>
      <c r="K2301" s="14" t="n"/>
      <c r="L2301" s="19">
        <f>IF($C2301="","",ROUND(IFERROR(VLOOKUP($C2301,账户期初,2,0),0)+SUMIFS($J$4:J2301,$C$4:C2301,$C2301)-SUMIFS($K$4:K2301,$C$4:C2301,$C2301),2))</f>
        <v/>
      </c>
      <c r="M2301" s="19">
        <f>IF($C2301="","",ROUND(SUM(基础资料!$B$4:$B$13)+SUM($J$4:J2301)-SUM($K$4:K2301),2))</f>
        <v/>
      </c>
      <c r="N2301" s="13" t="n"/>
      <c r="O2301" s="13" t="n"/>
      <c r="P2301" s="17">
        <f>IF($B2301="","",IF($F2301="※类别不在基础资料里","※费用类别不在基础资料里",IF(AND(N($J2301)=0,N($K2301)=0),"※这行没填金额",IF(AND(N($J2301)&gt;0,N($K2301)&gt;0),"※收入和支出不能同一行都填",IF(AND($D2301="收入",N($J2301)=0),"※收入行要填收入金额",IF(AND($D2301="支出",N($K2301)=0),"※支出行要填支出金额",IF(AND($C2301&lt;&gt;"",ISNA(MATCH($C2301,账户表,0))),"※账户不在基础资料里",IF(AND($G2301&lt;&gt;"",ISNA(MATCH($G2301,项目名表,0))),"※项目不在项目台账里",IF(AND(LEFT($F2301,3)="成本-",$G2301=""),"※成本类支出没填项目",IF(AND(LEFT($F2301,3)="成本-",$H2301&lt;&gt;"",N($K2301)&gt;0,COUNTIFS(采购单!$B:$B,$B2301,采购单!$C:$C,$H2301,采购单!$L:$L,$K2301)&gt;0),"※这笔可能和采购单重复了",""))))))))))</f>
        <v/>
      </c>
    </row>
    <row r="2302">
      <c r="A2302" s="17">
        <f>IF($B2302="","",ROW()-3)</f>
        <v/>
      </c>
      <c r="B2302" s="18" t="n"/>
      <c r="C2302" s="13" t="n"/>
      <c r="D2302" s="13" t="n"/>
      <c r="E2302" s="13" t="n"/>
      <c r="F2302" s="17">
        <f>IF($E2302="","",IFERROR(VLOOKUP($E2302,类别归属,2,0),"※类别不在基础资料里"))</f>
        <v/>
      </c>
      <c r="G2302" s="13" t="n"/>
      <c r="H2302" s="13" t="n"/>
      <c r="I2302" s="13" t="n"/>
      <c r="J2302" s="14" t="n"/>
      <c r="K2302" s="14" t="n"/>
      <c r="L2302" s="19">
        <f>IF($C2302="","",ROUND(IFERROR(VLOOKUP($C2302,账户期初,2,0),0)+SUMIFS($J$4:J2302,$C$4:C2302,$C2302)-SUMIFS($K$4:K2302,$C$4:C2302,$C2302),2))</f>
        <v/>
      </c>
      <c r="M2302" s="19">
        <f>IF($C2302="","",ROUND(SUM(基础资料!$B$4:$B$13)+SUM($J$4:J2302)-SUM($K$4:K2302),2))</f>
        <v/>
      </c>
      <c r="N2302" s="13" t="n"/>
      <c r="O2302" s="13" t="n"/>
      <c r="P2302" s="17">
        <f>IF($B2302="","",IF($F2302="※类别不在基础资料里","※费用类别不在基础资料里",IF(AND(N($J2302)=0,N($K2302)=0),"※这行没填金额",IF(AND(N($J2302)&gt;0,N($K2302)&gt;0),"※收入和支出不能同一行都填",IF(AND($D2302="收入",N($J2302)=0),"※收入行要填收入金额",IF(AND($D2302="支出",N($K2302)=0),"※支出行要填支出金额",IF(AND($C2302&lt;&gt;"",ISNA(MATCH($C2302,账户表,0))),"※账户不在基础资料里",IF(AND($G2302&lt;&gt;"",ISNA(MATCH($G2302,项目名表,0))),"※项目不在项目台账里",IF(AND(LEFT($F2302,3)="成本-",$G2302=""),"※成本类支出没填项目",IF(AND(LEFT($F2302,3)="成本-",$H2302&lt;&gt;"",N($K2302)&gt;0,COUNTIFS(采购单!$B:$B,$B2302,采购单!$C:$C,$H2302,采购单!$L:$L,$K2302)&gt;0),"※这笔可能和采购单重复了",""))))))))))</f>
        <v/>
      </c>
    </row>
    <row r="2303">
      <c r="A2303" s="17">
        <f>IF($B2303="","",ROW()-3)</f>
        <v/>
      </c>
      <c r="B2303" s="18" t="n"/>
      <c r="C2303" s="13" t="n"/>
      <c r="D2303" s="13" t="n"/>
      <c r="E2303" s="13" t="n"/>
      <c r="F2303" s="17">
        <f>IF($E2303="","",IFERROR(VLOOKUP($E2303,类别归属,2,0),"※类别不在基础资料里"))</f>
        <v/>
      </c>
      <c r="G2303" s="13" t="n"/>
      <c r="H2303" s="13" t="n"/>
      <c r="I2303" s="13" t="n"/>
      <c r="J2303" s="14" t="n"/>
      <c r="K2303" s="14" t="n"/>
      <c r="L2303" s="19">
        <f>IF($C2303="","",ROUND(IFERROR(VLOOKUP($C2303,账户期初,2,0),0)+SUMIFS($J$4:J2303,$C$4:C2303,$C2303)-SUMIFS($K$4:K2303,$C$4:C2303,$C2303),2))</f>
        <v/>
      </c>
      <c r="M2303" s="19">
        <f>IF($C2303="","",ROUND(SUM(基础资料!$B$4:$B$13)+SUM($J$4:J2303)-SUM($K$4:K2303),2))</f>
        <v/>
      </c>
      <c r="N2303" s="13" t="n"/>
      <c r="O2303" s="13" t="n"/>
      <c r="P2303" s="17">
        <f>IF($B2303="","",IF($F2303="※类别不在基础资料里","※费用类别不在基础资料里",IF(AND(N($J2303)=0,N($K2303)=0),"※这行没填金额",IF(AND(N($J2303)&gt;0,N($K2303)&gt;0),"※收入和支出不能同一行都填",IF(AND($D2303="收入",N($J2303)=0),"※收入行要填收入金额",IF(AND($D2303="支出",N($K2303)=0),"※支出行要填支出金额",IF(AND($C2303&lt;&gt;"",ISNA(MATCH($C2303,账户表,0))),"※账户不在基础资料里",IF(AND($G2303&lt;&gt;"",ISNA(MATCH($G2303,项目名表,0))),"※项目不在项目台账里",IF(AND(LEFT($F2303,3)="成本-",$G2303=""),"※成本类支出没填项目",IF(AND(LEFT($F2303,3)="成本-",$H2303&lt;&gt;"",N($K2303)&gt;0,COUNTIFS(采购单!$B:$B,$B2303,采购单!$C:$C,$H2303,采购单!$L:$L,$K2303)&gt;0),"※这笔可能和采购单重复了",""))))))))))</f>
        <v/>
      </c>
    </row>
    <row r="2304">
      <c r="A2304" s="17">
        <f>IF($B2304="","",ROW()-3)</f>
        <v/>
      </c>
      <c r="B2304" s="18" t="n"/>
      <c r="C2304" s="13" t="n"/>
      <c r="D2304" s="13" t="n"/>
      <c r="E2304" s="13" t="n"/>
      <c r="F2304" s="17">
        <f>IF($E2304="","",IFERROR(VLOOKUP($E2304,类别归属,2,0),"※类别不在基础资料里"))</f>
        <v/>
      </c>
      <c r="G2304" s="13" t="n"/>
      <c r="H2304" s="13" t="n"/>
      <c r="I2304" s="13" t="n"/>
      <c r="J2304" s="14" t="n"/>
      <c r="K2304" s="14" t="n"/>
      <c r="L2304" s="19">
        <f>IF($C2304="","",ROUND(IFERROR(VLOOKUP($C2304,账户期初,2,0),0)+SUMIFS($J$4:J2304,$C$4:C2304,$C2304)-SUMIFS($K$4:K2304,$C$4:C2304,$C2304),2))</f>
        <v/>
      </c>
      <c r="M2304" s="19">
        <f>IF($C2304="","",ROUND(SUM(基础资料!$B$4:$B$13)+SUM($J$4:J2304)-SUM($K$4:K2304),2))</f>
        <v/>
      </c>
      <c r="N2304" s="13" t="n"/>
      <c r="O2304" s="13" t="n"/>
      <c r="P2304" s="17">
        <f>IF($B2304="","",IF($F2304="※类别不在基础资料里","※费用类别不在基础资料里",IF(AND(N($J2304)=0,N($K2304)=0),"※这行没填金额",IF(AND(N($J2304)&gt;0,N($K2304)&gt;0),"※收入和支出不能同一行都填",IF(AND($D2304="收入",N($J2304)=0),"※收入行要填收入金额",IF(AND($D2304="支出",N($K2304)=0),"※支出行要填支出金额",IF(AND($C2304&lt;&gt;"",ISNA(MATCH($C2304,账户表,0))),"※账户不在基础资料里",IF(AND($G2304&lt;&gt;"",ISNA(MATCH($G2304,项目名表,0))),"※项目不在项目台账里",IF(AND(LEFT($F2304,3)="成本-",$G2304=""),"※成本类支出没填项目",IF(AND(LEFT($F2304,3)="成本-",$H2304&lt;&gt;"",N($K2304)&gt;0,COUNTIFS(采购单!$B:$B,$B2304,采购单!$C:$C,$H2304,采购单!$L:$L,$K2304)&gt;0),"※这笔可能和采购单重复了",""))))))))))</f>
        <v/>
      </c>
    </row>
    <row r="2305">
      <c r="A2305" s="17">
        <f>IF($B2305="","",ROW()-3)</f>
        <v/>
      </c>
      <c r="B2305" s="18" t="n"/>
      <c r="C2305" s="13" t="n"/>
      <c r="D2305" s="13" t="n"/>
      <c r="E2305" s="13" t="n"/>
      <c r="F2305" s="17">
        <f>IF($E2305="","",IFERROR(VLOOKUP($E2305,类别归属,2,0),"※类别不在基础资料里"))</f>
        <v/>
      </c>
      <c r="G2305" s="13" t="n"/>
      <c r="H2305" s="13" t="n"/>
      <c r="I2305" s="13" t="n"/>
      <c r="J2305" s="14" t="n"/>
      <c r="K2305" s="14" t="n"/>
      <c r="L2305" s="19">
        <f>IF($C2305="","",ROUND(IFERROR(VLOOKUP($C2305,账户期初,2,0),0)+SUMIFS($J$4:J2305,$C$4:C2305,$C2305)-SUMIFS($K$4:K2305,$C$4:C2305,$C2305),2))</f>
        <v/>
      </c>
      <c r="M2305" s="19">
        <f>IF($C2305="","",ROUND(SUM(基础资料!$B$4:$B$13)+SUM($J$4:J2305)-SUM($K$4:K2305),2))</f>
        <v/>
      </c>
      <c r="N2305" s="13" t="n"/>
      <c r="O2305" s="13" t="n"/>
      <c r="P2305" s="17">
        <f>IF($B2305="","",IF($F2305="※类别不在基础资料里","※费用类别不在基础资料里",IF(AND(N($J2305)=0,N($K2305)=0),"※这行没填金额",IF(AND(N($J2305)&gt;0,N($K2305)&gt;0),"※收入和支出不能同一行都填",IF(AND($D2305="收入",N($J2305)=0),"※收入行要填收入金额",IF(AND($D2305="支出",N($K2305)=0),"※支出行要填支出金额",IF(AND($C2305&lt;&gt;"",ISNA(MATCH($C2305,账户表,0))),"※账户不在基础资料里",IF(AND($G2305&lt;&gt;"",ISNA(MATCH($G2305,项目名表,0))),"※项目不在项目台账里",IF(AND(LEFT($F2305,3)="成本-",$G2305=""),"※成本类支出没填项目",IF(AND(LEFT($F2305,3)="成本-",$H2305&lt;&gt;"",N($K2305)&gt;0,COUNTIFS(采购单!$B:$B,$B2305,采购单!$C:$C,$H2305,采购单!$L:$L,$K2305)&gt;0),"※这笔可能和采购单重复了",""))))))))))</f>
        <v/>
      </c>
    </row>
    <row r="2306">
      <c r="A2306" s="17">
        <f>IF($B2306="","",ROW()-3)</f>
        <v/>
      </c>
      <c r="B2306" s="18" t="n"/>
      <c r="C2306" s="13" t="n"/>
      <c r="D2306" s="13" t="n"/>
      <c r="E2306" s="13" t="n"/>
      <c r="F2306" s="17">
        <f>IF($E2306="","",IFERROR(VLOOKUP($E2306,类别归属,2,0),"※类别不在基础资料里"))</f>
        <v/>
      </c>
      <c r="G2306" s="13" t="n"/>
      <c r="H2306" s="13" t="n"/>
      <c r="I2306" s="13" t="n"/>
      <c r="J2306" s="14" t="n"/>
      <c r="K2306" s="14" t="n"/>
      <c r="L2306" s="19">
        <f>IF($C2306="","",ROUND(IFERROR(VLOOKUP($C2306,账户期初,2,0),0)+SUMIFS($J$4:J2306,$C$4:C2306,$C2306)-SUMIFS($K$4:K2306,$C$4:C2306,$C2306),2))</f>
        <v/>
      </c>
      <c r="M2306" s="19">
        <f>IF($C2306="","",ROUND(SUM(基础资料!$B$4:$B$13)+SUM($J$4:J2306)-SUM($K$4:K2306),2))</f>
        <v/>
      </c>
      <c r="N2306" s="13" t="n"/>
      <c r="O2306" s="13" t="n"/>
      <c r="P2306" s="17">
        <f>IF($B2306="","",IF($F2306="※类别不在基础资料里","※费用类别不在基础资料里",IF(AND(N($J2306)=0,N($K2306)=0),"※这行没填金额",IF(AND(N($J2306)&gt;0,N($K2306)&gt;0),"※收入和支出不能同一行都填",IF(AND($D2306="收入",N($J2306)=0),"※收入行要填收入金额",IF(AND($D2306="支出",N($K2306)=0),"※支出行要填支出金额",IF(AND($C2306&lt;&gt;"",ISNA(MATCH($C2306,账户表,0))),"※账户不在基础资料里",IF(AND($G2306&lt;&gt;"",ISNA(MATCH($G2306,项目名表,0))),"※项目不在项目台账里",IF(AND(LEFT($F2306,3)="成本-",$G2306=""),"※成本类支出没填项目",IF(AND(LEFT($F2306,3)="成本-",$H2306&lt;&gt;"",N($K2306)&gt;0,COUNTIFS(采购单!$B:$B,$B2306,采购单!$C:$C,$H2306,采购单!$L:$L,$K2306)&gt;0),"※这笔可能和采购单重复了",""))))))))))</f>
        <v/>
      </c>
    </row>
    <row r="2307">
      <c r="A2307" s="17">
        <f>IF($B2307="","",ROW()-3)</f>
        <v/>
      </c>
      <c r="B2307" s="18" t="n"/>
      <c r="C2307" s="13" t="n"/>
      <c r="D2307" s="13" t="n"/>
      <c r="E2307" s="13" t="n"/>
      <c r="F2307" s="17">
        <f>IF($E2307="","",IFERROR(VLOOKUP($E2307,类别归属,2,0),"※类别不在基础资料里"))</f>
        <v/>
      </c>
      <c r="G2307" s="13" t="n"/>
      <c r="H2307" s="13" t="n"/>
      <c r="I2307" s="13" t="n"/>
      <c r="J2307" s="14" t="n"/>
      <c r="K2307" s="14" t="n"/>
      <c r="L2307" s="19">
        <f>IF($C2307="","",ROUND(IFERROR(VLOOKUP($C2307,账户期初,2,0),0)+SUMIFS($J$4:J2307,$C$4:C2307,$C2307)-SUMIFS($K$4:K2307,$C$4:C2307,$C2307),2))</f>
        <v/>
      </c>
      <c r="M2307" s="19">
        <f>IF($C2307="","",ROUND(SUM(基础资料!$B$4:$B$13)+SUM($J$4:J2307)-SUM($K$4:K2307),2))</f>
        <v/>
      </c>
      <c r="N2307" s="13" t="n"/>
      <c r="O2307" s="13" t="n"/>
      <c r="P2307" s="17">
        <f>IF($B2307="","",IF($F2307="※类别不在基础资料里","※费用类别不在基础资料里",IF(AND(N($J2307)=0,N($K2307)=0),"※这行没填金额",IF(AND(N($J2307)&gt;0,N($K2307)&gt;0),"※收入和支出不能同一行都填",IF(AND($D2307="收入",N($J2307)=0),"※收入行要填收入金额",IF(AND($D2307="支出",N($K2307)=0),"※支出行要填支出金额",IF(AND($C2307&lt;&gt;"",ISNA(MATCH($C2307,账户表,0))),"※账户不在基础资料里",IF(AND($G2307&lt;&gt;"",ISNA(MATCH($G2307,项目名表,0))),"※项目不在项目台账里",IF(AND(LEFT($F2307,3)="成本-",$G2307=""),"※成本类支出没填项目",IF(AND(LEFT($F2307,3)="成本-",$H2307&lt;&gt;"",N($K2307)&gt;0,COUNTIFS(采购单!$B:$B,$B2307,采购单!$C:$C,$H2307,采购单!$L:$L,$K2307)&gt;0),"※这笔可能和采购单重复了",""))))))))))</f>
        <v/>
      </c>
    </row>
    <row r="2308">
      <c r="A2308" s="17">
        <f>IF($B2308="","",ROW()-3)</f>
        <v/>
      </c>
      <c r="B2308" s="18" t="n"/>
      <c r="C2308" s="13" t="n"/>
      <c r="D2308" s="13" t="n"/>
      <c r="E2308" s="13" t="n"/>
      <c r="F2308" s="17">
        <f>IF($E2308="","",IFERROR(VLOOKUP($E2308,类别归属,2,0),"※类别不在基础资料里"))</f>
        <v/>
      </c>
      <c r="G2308" s="13" t="n"/>
      <c r="H2308" s="13" t="n"/>
      <c r="I2308" s="13" t="n"/>
      <c r="J2308" s="14" t="n"/>
      <c r="K2308" s="14" t="n"/>
      <c r="L2308" s="19">
        <f>IF($C2308="","",ROUND(IFERROR(VLOOKUP($C2308,账户期初,2,0),0)+SUMIFS($J$4:J2308,$C$4:C2308,$C2308)-SUMIFS($K$4:K2308,$C$4:C2308,$C2308),2))</f>
        <v/>
      </c>
      <c r="M2308" s="19">
        <f>IF($C2308="","",ROUND(SUM(基础资料!$B$4:$B$13)+SUM($J$4:J2308)-SUM($K$4:K2308),2))</f>
        <v/>
      </c>
      <c r="N2308" s="13" t="n"/>
      <c r="O2308" s="13" t="n"/>
      <c r="P2308" s="17">
        <f>IF($B2308="","",IF($F2308="※类别不在基础资料里","※费用类别不在基础资料里",IF(AND(N($J2308)=0,N($K2308)=0),"※这行没填金额",IF(AND(N($J2308)&gt;0,N($K2308)&gt;0),"※收入和支出不能同一行都填",IF(AND($D2308="收入",N($J2308)=0),"※收入行要填收入金额",IF(AND($D2308="支出",N($K2308)=0),"※支出行要填支出金额",IF(AND($C2308&lt;&gt;"",ISNA(MATCH($C2308,账户表,0))),"※账户不在基础资料里",IF(AND($G2308&lt;&gt;"",ISNA(MATCH($G2308,项目名表,0))),"※项目不在项目台账里",IF(AND(LEFT($F2308,3)="成本-",$G2308=""),"※成本类支出没填项目",IF(AND(LEFT($F2308,3)="成本-",$H2308&lt;&gt;"",N($K2308)&gt;0,COUNTIFS(采购单!$B:$B,$B2308,采购单!$C:$C,$H2308,采购单!$L:$L,$K2308)&gt;0),"※这笔可能和采购单重复了",""))))))))))</f>
        <v/>
      </c>
    </row>
    <row r="2309">
      <c r="A2309" s="17">
        <f>IF($B2309="","",ROW()-3)</f>
        <v/>
      </c>
      <c r="B2309" s="18" t="n"/>
      <c r="C2309" s="13" t="n"/>
      <c r="D2309" s="13" t="n"/>
      <c r="E2309" s="13" t="n"/>
      <c r="F2309" s="17">
        <f>IF($E2309="","",IFERROR(VLOOKUP($E2309,类别归属,2,0),"※类别不在基础资料里"))</f>
        <v/>
      </c>
      <c r="G2309" s="13" t="n"/>
      <c r="H2309" s="13" t="n"/>
      <c r="I2309" s="13" t="n"/>
      <c r="J2309" s="14" t="n"/>
      <c r="K2309" s="14" t="n"/>
      <c r="L2309" s="19">
        <f>IF($C2309="","",ROUND(IFERROR(VLOOKUP($C2309,账户期初,2,0),0)+SUMIFS($J$4:J2309,$C$4:C2309,$C2309)-SUMIFS($K$4:K2309,$C$4:C2309,$C2309),2))</f>
        <v/>
      </c>
      <c r="M2309" s="19">
        <f>IF($C2309="","",ROUND(SUM(基础资料!$B$4:$B$13)+SUM($J$4:J2309)-SUM($K$4:K2309),2))</f>
        <v/>
      </c>
      <c r="N2309" s="13" t="n"/>
      <c r="O2309" s="13" t="n"/>
      <c r="P2309" s="17">
        <f>IF($B2309="","",IF($F2309="※类别不在基础资料里","※费用类别不在基础资料里",IF(AND(N($J2309)=0,N($K2309)=0),"※这行没填金额",IF(AND(N($J2309)&gt;0,N($K2309)&gt;0),"※收入和支出不能同一行都填",IF(AND($D2309="收入",N($J2309)=0),"※收入行要填收入金额",IF(AND($D2309="支出",N($K2309)=0),"※支出行要填支出金额",IF(AND($C2309&lt;&gt;"",ISNA(MATCH($C2309,账户表,0))),"※账户不在基础资料里",IF(AND($G2309&lt;&gt;"",ISNA(MATCH($G2309,项目名表,0))),"※项目不在项目台账里",IF(AND(LEFT($F2309,3)="成本-",$G2309=""),"※成本类支出没填项目",IF(AND(LEFT($F2309,3)="成本-",$H2309&lt;&gt;"",N($K2309)&gt;0,COUNTIFS(采购单!$B:$B,$B2309,采购单!$C:$C,$H2309,采购单!$L:$L,$K2309)&gt;0),"※这笔可能和采购单重复了",""))))))))))</f>
        <v/>
      </c>
    </row>
    <row r="2310">
      <c r="A2310" s="17">
        <f>IF($B2310="","",ROW()-3)</f>
        <v/>
      </c>
      <c r="B2310" s="18" t="n"/>
      <c r="C2310" s="13" t="n"/>
      <c r="D2310" s="13" t="n"/>
      <c r="E2310" s="13" t="n"/>
      <c r="F2310" s="17">
        <f>IF($E2310="","",IFERROR(VLOOKUP($E2310,类别归属,2,0),"※类别不在基础资料里"))</f>
        <v/>
      </c>
      <c r="G2310" s="13" t="n"/>
      <c r="H2310" s="13" t="n"/>
      <c r="I2310" s="13" t="n"/>
      <c r="J2310" s="14" t="n"/>
      <c r="K2310" s="14" t="n"/>
      <c r="L2310" s="19">
        <f>IF($C2310="","",ROUND(IFERROR(VLOOKUP($C2310,账户期初,2,0),0)+SUMIFS($J$4:J2310,$C$4:C2310,$C2310)-SUMIFS($K$4:K2310,$C$4:C2310,$C2310),2))</f>
        <v/>
      </c>
      <c r="M2310" s="19">
        <f>IF($C2310="","",ROUND(SUM(基础资料!$B$4:$B$13)+SUM($J$4:J2310)-SUM($K$4:K2310),2))</f>
        <v/>
      </c>
      <c r="N2310" s="13" t="n"/>
      <c r="O2310" s="13" t="n"/>
      <c r="P2310" s="17">
        <f>IF($B2310="","",IF($F2310="※类别不在基础资料里","※费用类别不在基础资料里",IF(AND(N($J2310)=0,N($K2310)=0),"※这行没填金额",IF(AND(N($J2310)&gt;0,N($K2310)&gt;0),"※收入和支出不能同一行都填",IF(AND($D2310="收入",N($J2310)=0),"※收入行要填收入金额",IF(AND($D2310="支出",N($K2310)=0),"※支出行要填支出金额",IF(AND($C2310&lt;&gt;"",ISNA(MATCH($C2310,账户表,0))),"※账户不在基础资料里",IF(AND($G2310&lt;&gt;"",ISNA(MATCH($G2310,项目名表,0))),"※项目不在项目台账里",IF(AND(LEFT($F2310,3)="成本-",$G2310=""),"※成本类支出没填项目",IF(AND(LEFT($F2310,3)="成本-",$H2310&lt;&gt;"",N($K2310)&gt;0,COUNTIFS(采购单!$B:$B,$B2310,采购单!$C:$C,$H2310,采购单!$L:$L,$K2310)&gt;0),"※这笔可能和采购单重复了",""))))))))))</f>
        <v/>
      </c>
    </row>
    <row r="2311">
      <c r="A2311" s="17">
        <f>IF($B2311="","",ROW()-3)</f>
        <v/>
      </c>
      <c r="B2311" s="18" t="n"/>
      <c r="C2311" s="13" t="n"/>
      <c r="D2311" s="13" t="n"/>
      <c r="E2311" s="13" t="n"/>
      <c r="F2311" s="17">
        <f>IF($E2311="","",IFERROR(VLOOKUP($E2311,类别归属,2,0),"※类别不在基础资料里"))</f>
        <v/>
      </c>
      <c r="G2311" s="13" t="n"/>
      <c r="H2311" s="13" t="n"/>
      <c r="I2311" s="13" t="n"/>
      <c r="J2311" s="14" t="n"/>
      <c r="K2311" s="14" t="n"/>
      <c r="L2311" s="19">
        <f>IF($C2311="","",ROUND(IFERROR(VLOOKUP($C2311,账户期初,2,0),0)+SUMIFS($J$4:J2311,$C$4:C2311,$C2311)-SUMIFS($K$4:K2311,$C$4:C2311,$C2311),2))</f>
        <v/>
      </c>
      <c r="M2311" s="19">
        <f>IF($C2311="","",ROUND(SUM(基础资料!$B$4:$B$13)+SUM($J$4:J2311)-SUM($K$4:K2311),2))</f>
        <v/>
      </c>
      <c r="N2311" s="13" t="n"/>
      <c r="O2311" s="13" t="n"/>
      <c r="P2311" s="17">
        <f>IF($B2311="","",IF($F2311="※类别不在基础资料里","※费用类别不在基础资料里",IF(AND(N($J2311)=0,N($K2311)=0),"※这行没填金额",IF(AND(N($J2311)&gt;0,N($K2311)&gt;0),"※收入和支出不能同一行都填",IF(AND($D2311="收入",N($J2311)=0),"※收入行要填收入金额",IF(AND($D2311="支出",N($K2311)=0),"※支出行要填支出金额",IF(AND($C2311&lt;&gt;"",ISNA(MATCH($C2311,账户表,0))),"※账户不在基础资料里",IF(AND($G2311&lt;&gt;"",ISNA(MATCH($G2311,项目名表,0))),"※项目不在项目台账里",IF(AND(LEFT($F2311,3)="成本-",$G2311=""),"※成本类支出没填项目",IF(AND(LEFT($F2311,3)="成本-",$H2311&lt;&gt;"",N($K2311)&gt;0,COUNTIFS(采购单!$B:$B,$B2311,采购单!$C:$C,$H2311,采购单!$L:$L,$K2311)&gt;0),"※这笔可能和采购单重复了",""))))))))))</f>
        <v/>
      </c>
    </row>
    <row r="2312">
      <c r="A2312" s="17">
        <f>IF($B2312="","",ROW()-3)</f>
        <v/>
      </c>
      <c r="B2312" s="18" t="n"/>
      <c r="C2312" s="13" t="n"/>
      <c r="D2312" s="13" t="n"/>
      <c r="E2312" s="13" t="n"/>
      <c r="F2312" s="17">
        <f>IF($E2312="","",IFERROR(VLOOKUP($E2312,类别归属,2,0),"※类别不在基础资料里"))</f>
        <v/>
      </c>
      <c r="G2312" s="13" t="n"/>
      <c r="H2312" s="13" t="n"/>
      <c r="I2312" s="13" t="n"/>
      <c r="J2312" s="14" t="n"/>
      <c r="K2312" s="14" t="n"/>
      <c r="L2312" s="19">
        <f>IF($C2312="","",ROUND(IFERROR(VLOOKUP($C2312,账户期初,2,0),0)+SUMIFS($J$4:J2312,$C$4:C2312,$C2312)-SUMIFS($K$4:K2312,$C$4:C2312,$C2312),2))</f>
        <v/>
      </c>
      <c r="M2312" s="19">
        <f>IF($C2312="","",ROUND(SUM(基础资料!$B$4:$B$13)+SUM($J$4:J2312)-SUM($K$4:K2312),2))</f>
        <v/>
      </c>
      <c r="N2312" s="13" t="n"/>
      <c r="O2312" s="13" t="n"/>
      <c r="P2312" s="17">
        <f>IF($B2312="","",IF($F2312="※类别不在基础资料里","※费用类别不在基础资料里",IF(AND(N($J2312)=0,N($K2312)=0),"※这行没填金额",IF(AND(N($J2312)&gt;0,N($K2312)&gt;0),"※收入和支出不能同一行都填",IF(AND($D2312="收入",N($J2312)=0),"※收入行要填收入金额",IF(AND($D2312="支出",N($K2312)=0),"※支出行要填支出金额",IF(AND($C2312&lt;&gt;"",ISNA(MATCH($C2312,账户表,0))),"※账户不在基础资料里",IF(AND($G2312&lt;&gt;"",ISNA(MATCH($G2312,项目名表,0))),"※项目不在项目台账里",IF(AND(LEFT($F2312,3)="成本-",$G2312=""),"※成本类支出没填项目",IF(AND(LEFT($F2312,3)="成本-",$H2312&lt;&gt;"",N($K2312)&gt;0,COUNTIFS(采购单!$B:$B,$B2312,采购单!$C:$C,$H2312,采购单!$L:$L,$K2312)&gt;0),"※这笔可能和采购单重复了",""))))))))))</f>
        <v/>
      </c>
    </row>
    <row r="2313">
      <c r="A2313" s="17">
        <f>IF($B2313="","",ROW()-3)</f>
        <v/>
      </c>
      <c r="B2313" s="18" t="n"/>
      <c r="C2313" s="13" t="n"/>
      <c r="D2313" s="13" t="n"/>
      <c r="E2313" s="13" t="n"/>
      <c r="F2313" s="17">
        <f>IF($E2313="","",IFERROR(VLOOKUP($E2313,类别归属,2,0),"※类别不在基础资料里"))</f>
        <v/>
      </c>
      <c r="G2313" s="13" t="n"/>
      <c r="H2313" s="13" t="n"/>
      <c r="I2313" s="13" t="n"/>
      <c r="J2313" s="14" t="n"/>
      <c r="K2313" s="14" t="n"/>
      <c r="L2313" s="19">
        <f>IF($C2313="","",ROUND(IFERROR(VLOOKUP($C2313,账户期初,2,0),0)+SUMIFS($J$4:J2313,$C$4:C2313,$C2313)-SUMIFS($K$4:K2313,$C$4:C2313,$C2313),2))</f>
        <v/>
      </c>
      <c r="M2313" s="19">
        <f>IF($C2313="","",ROUND(SUM(基础资料!$B$4:$B$13)+SUM($J$4:J2313)-SUM($K$4:K2313),2))</f>
        <v/>
      </c>
      <c r="N2313" s="13" t="n"/>
      <c r="O2313" s="13" t="n"/>
      <c r="P2313" s="17">
        <f>IF($B2313="","",IF($F2313="※类别不在基础资料里","※费用类别不在基础资料里",IF(AND(N($J2313)=0,N($K2313)=0),"※这行没填金额",IF(AND(N($J2313)&gt;0,N($K2313)&gt;0),"※收入和支出不能同一行都填",IF(AND($D2313="收入",N($J2313)=0),"※收入行要填收入金额",IF(AND($D2313="支出",N($K2313)=0),"※支出行要填支出金额",IF(AND($C2313&lt;&gt;"",ISNA(MATCH($C2313,账户表,0))),"※账户不在基础资料里",IF(AND($G2313&lt;&gt;"",ISNA(MATCH($G2313,项目名表,0))),"※项目不在项目台账里",IF(AND(LEFT($F2313,3)="成本-",$G2313=""),"※成本类支出没填项目",IF(AND(LEFT($F2313,3)="成本-",$H2313&lt;&gt;"",N($K2313)&gt;0,COUNTIFS(采购单!$B:$B,$B2313,采购单!$C:$C,$H2313,采购单!$L:$L,$K2313)&gt;0),"※这笔可能和采购单重复了",""))))))))))</f>
        <v/>
      </c>
    </row>
    <row r="2314">
      <c r="A2314" s="17">
        <f>IF($B2314="","",ROW()-3)</f>
        <v/>
      </c>
      <c r="B2314" s="18" t="n"/>
      <c r="C2314" s="13" t="n"/>
      <c r="D2314" s="13" t="n"/>
      <c r="E2314" s="13" t="n"/>
      <c r="F2314" s="17">
        <f>IF($E2314="","",IFERROR(VLOOKUP($E2314,类别归属,2,0),"※类别不在基础资料里"))</f>
        <v/>
      </c>
      <c r="G2314" s="13" t="n"/>
      <c r="H2314" s="13" t="n"/>
      <c r="I2314" s="13" t="n"/>
      <c r="J2314" s="14" t="n"/>
      <c r="K2314" s="14" t="n"/>
      <c r="L2314" s="19">
        <f>IF($C2314="","",ROUND(IFERROR(VLOOKUP($C2314,账户期初,2,0),0)+SUMIFS($J$4:J2314,$C$4:C2314,$C2314)-SUMIFS($K$4:K2314,$C$4:C2314,$C2314),2))</f>
        <v/>
      </c>
      <c r="M2314" s="19">
        <f>IF($C2314="","",ROUND(SUM(基础资料!$B$4:$B$13)+SUM($J$4:J2314)-SUM($K$4:K2314),2))</f>
        <v/>
      </c>
      <c r="N2314" s="13" t="n"/>
      <c r="O2314" s="13" t="n"/>
      <c r="P2314" s="17">
        <f>IF($B2314="","",IF($F2314="※类别不在基础资料里","※费用类别不在基础资料里",IF(AND(N($J2314)=0,N($K2314)=0),"※这行没填金额",IF(AND(N($J2314)&gt;0,N($K2314)&gt;0),"※收入和支出不能同一行都填",IF(AND($D2314="收入",N($J2314)=0),"※收入行要填收入金额",IF(AND($D2314="支出",N($K2314)=0),"※支出行要填支出金额",IF(AND($C2314&lt;&gt;"",ISNA(MATCH($C2314,账户表,0))),"※账户不在基础资料里",IF(AND($G2314&lt;&gt;"",ISNA(MATCH($G2314,项目名表,0))),"※项目不在项目台账里",IF(AND(LEFT($F2314,3)="成本-",$G2314=""),"※成本类支出没填项目",IF(AND(LEFT($F2314,3)="成本-",$H2314&lt;&gt;"",N($K2314)&gt;0,COUNTIFS(采购单!$B:$B,$B2314,采购单!$C:$C,$H2314,采购单!$L:$L,$K2314)&gt;0),"※这笔可能和采购单重复了",""))))))))))</f>
        <v/>
      </c>
    </row>
    <row r="2315">
      <c r="A2315" s="17">
        <f>IF($B2315="","",ROW()-3)</f>
        <v/>
      </c>
      <c r="B2315" s="18" t="n"/>
      <c r="C2315" s="13" t="n"/>
      <c r="D2315" s="13" t="n"/>
      <c r="E2315" s="13" t="n"/>
      <c r="F2315" s="17">
        <f>IF($E2315="","",IFERROR(VLOOKUP($E2315,类别归属,2,0),"※类别不在基础资料里"))</f>
        <v/>
      </c>
      <c r="G2315" s="13" t="n"/>
      <c r="H2315" s="13" t="n"/>
      <c r="I2315" s="13" t="n"/>
      <c r="J2315" s="14" t="n"/>
      <c r="K2315" s="14" t="n"/>
      <c r="L2315" s="19">
        <f>IF($C2315="","",ROUND(IFERROR(VLOOKUP($C2315,账户期初,2,0),0)+SUMIFS($J$4:J2315,$C$4:C2315,$C2315)-SUMIFS($K$4:K2315,$C$4:C2315,$C2315),2))</f>
        <v/>
      </c>
      <c r="M2315" s="19">
        <f>IF($C2315="","",ROUND(SUM(基础资料!$B$4:$B$13)+SUM($J$4:J2315)-SUM($K$4:K2315),2))</f>
        <v/>
      </c>
      <c r="N2315" s="13" t="n"/>
      <c r="O2315" s="13" t="n"/>
      <c r="P2315" s="17">
        <f>IF($B2315="","",IF($F2315="※类别不在基础资料里","※费用类别不在基础资料里",IF(AND(N($J2315)=0,N($K2315)=0),"※这行没填金额",IF(AND(N($J2315)&gt;0,N($K2315)&gt;0),"※收入和支出不能同一行都填",IF(AND($D2315="收入",N($J2315)=0),"※收入行要填收入金额",IF(AND($D2315="支出",N($K2315)=0),"※支出行要填支出金额",IF(AND($C2315&lt;&gt;"",ISNA(MATCH($C2315,账户表,0))),"※账户不在基础资料里",IF(AND($G2315&lt;&gt;"",ISNA(MATCH($G2315,项目名表,0))),"※项目不在项目台账里",IF(AND(LEFT($F2315,3)="成本-",$G2315=""),"※成本类支出没填项目",IF(AND(LEFT($F2315,3)="成本-",$H2315&lt;&gt;"",N($K2315)&gt;0,COUNTIFS(采购单!$B:$B,$B2315,采购单!$C:$C,$H2315,采购单!$L:$L,$K2315)&gt;0),"※这笔可能和采购单重复了",""))))))))))</f>
        <v/>
      </c>
    </row>
    <row r="2316">
      <c r="A2316" s="17">
        <f>IF($B2316="","",ROW()-3)</f>
        <v/>
      </c>
      <c r="B2316" s="18" t="n"/>
      <c r="C2316" s="13" t="n"/>
      <c r="D2316" s="13" t="n"/>
      <c r="E2316" s="13" t="n"/>
      <c r="F2316" s="17">
        <f>IF($E2316="","",IFERROR(VLOOKUP($E2316,类别归属,2,0),"※类别不在基础资料里"))</f>
        <v/>
      </c>
      <c r="G2316" s="13" t="n"/>
      <c r="H2316" s="13" t="n"/>
      <c r="I2316" s="13" t="n"/>
      <c r="J2316" s="14" t="n"/>
      <c r="K2316" s="14" t="n"/>
      <c r="L2316" s="19">
        <f>IF($C2316="","",ROUND(IFERROR(VLOOKUP($C2316,账户期初,2,0),0)+SUMIFS($J$4:J2316,$C$4:C2316,$C2316)-SUMIFS($K$4:K2316,$C$4:C2316,$C2316),2))</f>
        <v/>
      </c>
      <c r="M2316" s="19">
        <f>IF($C2316="","",ROUND(SUM(基础资料!$B$4:$B$13)+SUM($J$4:J2316)-SUM($K$4:K2316),2))</f>
        <v/>
      </c>
      <c r="N2316" s="13" t="n"/>
      <c r="O2316" s="13" t="n"/>
      <c r="P2316" s="17">
        <f>IF($B2316="","",IF($F2316="※类别不在基础资料里","※费用类别不在基础资料里",IF(AND(N($J2316)=0,N($K2316)=0),"※这行没填金额",IF(AND(N($J2316)&gt;0,N($K2316)&gt;0),"※收入和支出不能同一行都填",IF(AND($D2316="收入",N($J2316)=0),"※收入行要填收入金额",IF(AND($D2316="支出",N($K2316)=0),"※支出行要填支出金额",IF(AND($C2316&lt;&gt;"",ISNA(MATCH($C2316,账户表,0))),"※账户不在基础资料里",IF(AND($G2316&lt;&gt;"",ISNA(MATCH($G2316,项目名表,0))),"※项目不在项目台账里",IF(AND(LEFT($F2316,3)="成本-",$G2316=""),"※成本类支出没填项目",IF(AND(LEFT($F2316,3)="成本-",$H2316&lt;&gt;"",N($K2316)&gt;0,COUNTIFS(采购单!$B:$B,$B2316,采购单!$C:$C,$H2316,采购单!$L:$L,$K2316)&gt;0),"※这笔可能和采购单重复了",""))))))))))</f>
        <v/>
      </c>
    </row>
    <row r="2317">
      <c r="A2317" s="17">
        <f>IF($B2317="","",ROW()-3)</f>
        <v/>
      </c>
      <c r="B2317" s="18" t="n"/>
      <c r="C2317" s="13" t="n"/>
      <c r="D2317" s="13" t="n"/>
      <c r="E2317" s="13" t="n"/>
      <c r="F2317" s="17">
        <f>IF($E2317="","",IFERROR(VLOOKUP($E2317,类别归属,2,0),"※类别不在基础资料里"))</f>
        <v/>
      </c>
      <c r="G2317" s="13" t="n"/>
      <c r="H2317" s="13" t="n"/>
      <c r="I2317" s="13" t="n"/>
      <c r="J2317" s="14" t="n"/>
      <c r="K2317" s="14" t="n"/>
      <c r="L2317" s="19">
        <f>IF($C2317="","",ROUND(IFERROR(VLOOKUP($C2317,账户期初,2,0),0)+SUMIFS($J$4:J2317,$C$4:C2317,$C2317)-SUMIFS($K$4:K2317,$C$4:C2317,$C2317),2))</f>
        <v/>
      </c>
      <c r="M2317" s="19">
        <f>IF($C2317="","",ROUND(SUM(基础资料!$B$4:$B$13)+SUM($J$4:J2317)-SUM($K$4:K2317),2))</f>
        <v/>
      </c>
      <c r="N2317" s="13" t="n"/>
      <c r="O2317" s="13" t="n"/>
      <c r="P2317" s="17">
        <f>IF($B2317="","",IF($F2317="※类别不在基础资料里","※费用类别不在基础资料里",IF(AND(N($J2317)=0,N($K2317)=0),"※这行没填金额",IF(AND(N($J2317)&gt;0,N($K2317)&gt;0),"※收入和支出不能同一行都填",IF(AND($D2317="收入",N($J2317)=0),"※收入行要填收入金额",IF(AND($D2317="支出",N($K2317)=0),"※支出行要填支出金额",IF(AND($C2317&lt;&gt;"",ISNA(MATCH($C2317,账户表,0))),"※账户不在基础资料里",IF(AND($G2317&lt;&gt;"",ISNA(MATCH($G2317,项目名表,0))),"※项目不在项目台账里",IF(AND(LEFT($F2317,3)="成本-",$G2317=""),"※成本类支出没填项目",IF(AND(LEFT($F2317,3)="成本-",$H2317&lt;&gt;"",N($K2317)&gt;0,COUNTIFS(采购单!$B:$B,$B2317,采购单!$C:$C,$H2317,采购单!$L:$L,$K2317)&gt;0),"※这笔可能和采购单重复了",""))))))))))</f>
        <v/>
      </c>
    </row>
    <row r="2318">
      <c r="A2318" s="17">
        <f>IF($B2318="","",ROW()-3)</f>
        <v/>
      </c>
      <c r="B2318" s="18" t="n"/>
      <c r="C2318" s="13" t="n"/>
      <c r="D2318" s="13" t="n"/>
      <c r="E2318" s="13" t="n"/>
      <c r="F2318" s="17">
        <f>IF($E2318="","",IFERROR(VLOOKUP($E2318,类别归属,2,0),"※类别不在基础资料里"))</f>
        <v/>
      </c>
      <c r="G2318" s="13" t="n"/>
      <c r="H2318" s="13" t="n"/>
      <c r="I2318" s="13" t="n"/>
      <c r="J2318" s="14" t="n"/>
      <c r="K2318" s="14" t="n"/>
      <c r="L2318" s="19">
        <f>IF($C2318="","",ROUND(IFERROR(VLOOKUP($C2318,账户期初,2,0),0)+SUMIFS($J$4:J2318,$C$4:C2318,$C2318)-SUMIFS($K$4:K2318,$C$4:C2318,$C2318),2))</f>
        <v/>
      </c>
      <c r="M2318" s="19">
        <f>IF($C2318="","",ROUND(SUM(基础资料!$B$4:$B$13)+SUM($J$4:J2318)-SUM($K$4:K2318),2))</f>
        <v/>
      </c>
      <c r="N2318" s="13" t="n"/>
      <c r="O2318" s="13" t="n"/>
      <c r="P2318" s="17">
        <f>IF($B2318="","",IF($F2318="※类别不在基础资料里","※费用类别不在基础资料里",IF(AND(N($J2318)=0,N($K2318)=0),"※这行没填金额",IF(AND(N($J2318)&gt;0,N($K2318)&gt;0),"※收入和支出不能同一行都填",IF(AND($D2318="收入",N($J2318)=0),"※收入行要填收入金额",IF(AND($D2318="支出",N($K2318)=0),"※支出行要填支出金额",IF(AND($C2318&lt;&gt;"",ISNA(MATCH($C2318,账户表,0))),"※账户不在基础资料里",IF(AND($G2318&lt;&gt;"",ISNA(MATCH($G2318,项目名表,0))),"※项目不在项目台账里",IF(AND(LEFT($F2318,3)="成本-",$G2318=""),"※成本类支出没填项目",IF(AND(LEFT($F2318,3)="成本-",$H2318&lt;&gt;"",N($K2318)&gt;0,COUNTIFS(采购单!$B:$B,$B2318,采购单!$C:$C,$H2318,采购单!$L:$L,$K2318)&gt;0),"※这笔可能和采购单重复了",""))))))))))</f>
        <v/>
      </c>
    </row>
    <row r="2319">
      <c r="A2319" s="17">
        <f>IF($B2319="","",ROW()-3)</f>
        <v/>
      </c>
      <c r="B2319" s="18" t="n"/>
      <c r="C2319" s="13" t="n"/>
      <c r="D2319" s="13" t="n"/>
      <c r="E2319" s="13" t="n"/>
      <c r="F2319" s="17">
        <f>IF($E2319="","",IFERROR(VLOOKUP($E2319,类别归属,2,0),"※类别不在基础资料里"))</f>
        <v/>
      </c>
      <c r="G2319" s="13" t="n"/>
      <c r="H2319" s="13" t="n"/>
      <c r="I2319" s="13" t="n"/>
      <c r="J2319" s="14" t="n"/>
      <c r="K2319" s="14" t="n"/>
      <c r="L2319" s="19">
        <f>IF($C2319="","",ROUND(IFERROR(VLOOKUP($C2319,账户期初,2,0),0)+SUMIFS($J$4:J2319,$C$4:C2319,$C2319)-SUMIFS($K$4:K2319,$C$4:C2319,$C2319),2))</f>
        <v/>
      </c>
      <c r="M2319" s="19">
        <f>IF($C2319="","",ROUND(SUM(基础资料!$B$4:$B$13)+SUM($J$4:J2319)-SUM($K$4:K2319),2))</f>
        <v/>
      </c>
      <c r="N2319" s="13" t="n"/>
      <c r="O2319" s="13" t="n"/>
      <c r="P2319" s="17">
        <f>IF($B2319="","",IF($F2319="※类别不在基础资料里","※费用类别不在基础资料里",IF(AND(N($J2319)=0,N($K2319)=0),"※这行没填金额",IF(AND(N($J2319)&gt;0,N($K2319)&gt;0),"※收入和支出不能同一行都填",IF(AND($D2319="收入",N($J2319)=0),"※收入行要填收入金额",IF(AND($D2319="支出",N($K2319)=0),"※支出行要填支出金额",IF(AND($C2319&lt;&gt;"",ISNA(MATCH($C2319,账户表,0))),"※账户不在基础资料里",IF(AND($G2319&lt;&gt;"",ISNA(MATCH($G2319,项目名表,0))),"※项目不在项目台账里",IF(AND(LEFT($F2319,3)="成本-",$G2319=""),"※成本类支出没填项目",IF(AND(LEFT($F2319,3)="成本-",$H2319&lt;&gt;"",N($K2319)&gt;0,COUNTIFS(采购单!$B:$B,$B2319,采购单!$C:$C,$H2319,采购单!$L:$L,$K2319)&gt;0),"※这笔可能和采购单重复了",""))))))))))</f>
        <v/>
      </c>
    </row>
    <row r="2320">
      <c r="A2320" s="17">
        <f>IF($B2320="","",ROW()-3)</f>
        <v/>
      </c>
      <c r="B2320" s="18" t="n"/>
      <c r="C2320" s="13" t="n"/>
      <c r="D2320" s="13" t="n"/>
      <c r="E2320" s="13" t="n"/>
      <c r="F2320" s="17">
        <f>IF($E2320="","",IFERROR(VLOOKUP($E2320,类别归属,2,0),"※类别不在基础资料里"))</f>
        <v/>
      </c>
      <c r="G2320" s="13" t="n"/>
      <c r="H2320" s="13" t="n"/>
      <c r="I2320" s="13" t="n"/>
      <c r="J2320" s="14" t="n"/>
      <c r="K2320" s="14" t="n"/>
      <c r="L2320" s="19">
        <f>IF($C2320="","",ROUND(IFERROR(VLOOKUP($C2320,账户期初,2,0),0)+SUMIFS($J$4:J2320,$C$4:C2320,$C2320)-SUMIFS($K$4:K2320,$C$4:C2320,$C2320),2))</f>
        <v/>
      </c>
      <c r="M2320" s="19">
        <f>IF($C2320="","",ROUND(SUM(基础资料!$B$4:$B$13)+SUM($J$4:J2320)-SUM($K$4:K2320),2))</f>
        <v/>
      </c>
      <c r="N2320" s="13" t="n"/>
      <c r="O2320" s="13" t="n"/>
      <c r="P2320" s="17">
        <f>IF($B2320="","",IF($F2320="※类别不在基础资料里","※费用类别不在基础资料里",IF(AND(N($J2320)=0,N($K2320)=0),"※这行没填金额",IF(AND(N($J2320)&gt;0,N($K2320)&gt;0),"※收入和支出不能同一行都填",IF(AND($D2320="收入",N($J2320)=0),"※收入行要填收入金额",IF(AND($D2320="支出",N($K2320)=0),"※支出行要填支出金额",IF(AND($C2320&lt;&gt;"",ISNA(MATCH($C2320,账户表,0))),"※账户不在基础资料里",IF(AND($G2320&lt;&gt;"",ISNA(MATCH($G2320,项目名表,0))),"※项目不在项目台账里",IF(AND(LEFT($F2320,3)="成本-",$G2320=""),"※成本类支出没填项目",IF(AND(LEFT($F2320,3)="成本-",$H2320&lt;&gt;"",N($K2320)&gt;0,COUNTIFS(采购单!$B:$B,$B2320,采购单!$C:$C,$H2320,采购单!$L:$L,$K2320)&gt;0),"※这笔可能和采购单重复了",""))))))))))</f>
        <v/>
      </c>
    </row>
    <row r="2321">
      <c r="A2321" s="17">
        <f>IF($B2321="","",ROW()-3)</f>
        <v/>
      </c>
      <c r="B2321" s="18" t="n"/>
      <c r="C2321" s="13" t="n"/>
      <c r="D2321" s="13" t="n"/>
      <c r="E2321" s="13" t="n"/>
      <c r="F2321" s="17">
        <f>IF($E2321="","",IFERROR(VLOOKUP($E2321,类别归属,2,0),"※类别不在基础资料里"))</f>
        <v/>
      </c>
      <c r="G2321" s="13" t="n"/>
      <c r="H2321" s="13" t="n"/>
      <c r="I2321" s="13" t="n"/>
      <c r="J2321" s="14" t="n"/>
      <c r="K2321" s="14" t="n"/>
      <c r="L2321" s="19">
        <f>IF($C2321="","",ROUND(IFERROR(VLOOKUP($C2321,账户期初,2,0),0)+SUMIFS($J$4:J2321,$C$4:C2321,$C2321)-SUMIFS($K$4:K2321,$C$4:C2321,$C2321),2))</f>
        <v/>
      </c>
      <c r="M2321" s="19">
        <f>IF($C2321="","",ROUND(SUM(基础资料!$B$4:$B$13)+SUM($J$4:J2321)-SUM($K$4:K2321),2))</f>
        <v/>
      </c>
      <c r="N2321" s="13" t="n"/>
      <c r="O2321" s="13" t="n"/>
      <c r="P2321" s="17">
        <f>IF($B2321="","",IF($F2321="※类别不在基础资料里","※费用类别不在基础资料里",IF(AND(N($J2321)=0,N($K2321)=0),"※这行没填金额",IF(AND(N($J2321)&gt;0,N($K2321)&gt;0),"※收入和支出不能同一行都填",IF(AND($D2321="收入",N($J2321)=0),"※收入行要填收入金额",IF(AND($D2321="支出",N($K2321)=0),"※支出行要填支出金额",IF(AND($C2321&lt;&gt;"",ISNA(MATCH($C2321,账户表,0))),"※账户不在基础资料里",IF(AND($G2321&lt;&gt;"",ISNA(MATCH($G2321,项目名表,0))),"※项目不在项目台账里",IF(AND(LEFT($F2321,3)="成本-",$G2321=""),"※成本类支出没填项目",IF(AND(LEFT($F2321,3)="成本-",$H2321&lt;&gt;"",N($K2321)&gt;0,COUNTIFS(采购单!$B:$B,$B2321,采购单!$C:$C,$H2321,采购单!$L:$L,$K2321)&gt;0),"※这笔可能和采购单重复了",""))))))))))</f>
        <v/>
      </c>
    </row>
    <row r="2322">
      <c r="A2322" s="17">
        <f>IF($B2322="","",ROW()-3)</f>
        <v/>
      </c>
      <c r="B2322" s="18" t="n"/>
      <c r="C2322" s="13" t="n"/>
      <c r="D2322" s="13" t="n"/>
      <c r="E2322" s="13" t="n"/>
      <c r="F2322" s="17">
        <f>IF($E2322="","",IFERROR(VLOOKUP($E2322,类别归属,2,0),"※类别不在基础资料里"))</f>
        <v/>
      </c>
      <c r="G2322" s="13" t="n"/>
      <c r="H2322" s="13" t="n"/>
      <c r="I2322" s="13" t="n"/>
      <c r="J2322" s="14" t="n"/>
      <c r="K2322" s="14" t="n"/>
      <c r="L2322" s="19">
        <f>IF($C2322="","",ROUND(IFERROR(VLOOKUP($C2322,账户期初,2,0),0)+SUMIFS($J$4:J2322,$C$4:C2322,$C2322)-SUMIFS($K$4:K2322,$C$4:C2322,$C2322),2))</f>
        <v/>
      </c>
      <c r="M2322" s="19">
        <f>IF($C2322="","",ROUND(SUM(基础资料!$B$4:$B$13)+SUM($J$4:J2322)-SUM($K$4:K2322),2))</f>
        <v/>
      </c>
      <c r="N2322" s="13" t="n"/>
      <c r="O2322" s="13" t="n"/>
      <c r="P2322" s="17">
        <f>IF($B2322="","",IF($F2322="※类别不在基础资料里","※费用类别不在基础资料里",IF(AND(N($J2322)=0,N($K2322)=0),"※这行没填金额",IF(AND(N($J2322)&gt;0,N($K2322)&gt;0),"※收入和支出不能同一行都填",IF(AND($D2322="收入",N($J2322)=0),"※收入行要填收入金额",IF(AND($D2322="支出",N($K2322)=0),"※支出行要填支出金额",IF(AND($C2322&lt;&gt;"",ISNA(MATCH($C2322,账户表,0))),"※账户不在基础资料里",IF(AND($G2322&lt;&gt;"",ISNA(MATCH($G2322,项目名表,0))),"※项目不在项目台账里",IF(AND(LEFT($F2322,3)="成本-",$G2322=""),"※成本类支出没填项目",IF(AND(LEFT($F2322,3)="成本-",$H2322&lt;&gt;"",N($K2322)&gt;0,COUNTIFS(采购单!$B:$B,$B2322,采购单!$C:$C,$H2322,采购单!$L:$L,$K2322)&gt;0),"※这笔可能和采购单重复了",""))))))))))</f>
        <v/>
      </c>
    </row>
    <row r="2323">
      <c r="A2323" s="17">
        <f>IF($B2323="","",ROW()-3)</f>
        <v/>
      </c>
      <c r="B2323" s="18" t="n"/>
      <c r="C2323" s="13" t="n"/>
      <c r="D2323" s="13" t="n"/>
      <c r="E2323" s="13" t="n"/>
      <c r="F2323" s="17">
        <f>IF($E2323="","",IFERROR(VLOOKUP($E2323,类别归属,2,0),"※类别不在基础资料里"))</f>
        <v/>
      </c>
      <c r="G2323" s="13" t="n"/>
      <c r="H2323" s="13" t="n"/>
      <c r="I2323" s="13" t="n"/>
      <c r="J2323" s="14" t="n"/>
      <c r="K2323" s="14" t="n"/>
      <c r="L2323" s="19">
        <f>IF($C2323="","",ROUND(IFERROR(VLOOKUP($C2323,账户期初,2,0),0)+SUMIFS($J$4:J2323,$C$4:C2323,$C2323)-SUMIFS($K$4:K2323,$C$4:C2323,$C2323),2))</f>
        <v/>
      </c>
      <c r="M2323" s="19">
        <f>IF($C2323="","",ROUND(SUM(基础资料!$B$4:$B$13)+SUM($J$4:J2323)-SUM($K$4:K2323),2))</f>
        <v/>
      </c>
      <c r="N2323" s="13" t="n"/>
      <c r="O2323" s="13" t="n"/>
      <c r="P2323" s="17">
        <f>IF($B2323="","",IF($F2323="※类别不在基础资料里","※费用类别不在基础资料里",IF(AND(N($J2323)=0,N($K2323)=0),"※这行没填金额",IF(AND(N($J2323)&gt;0,N($K2323)&gt;0),"※收入和支出不能同一行都填",IF(AND($D2323="收入",N($J2323)=0),"※收入行要填收入金额",IF(AND($D2323="支出",N($K2323)=0),"※支出行要填支出金额",IF(AND($C2323&lt;&gt;"",ISNA(MATCH($C2323,账户表,0))),"※账户不在基础资料里",IF(AND($G2323&lt;&gt;"",ISNA(MATCH($G2323,项目名表,0))),"※项目不在项目台账里",IF(AND(LEFT($F2323,3)="成本-",$G2323=""),"※成本类支出没填项目",IF(AND(LEFT($F2323,3)="成本-",$H2323&lt;&gt;"",N($K2323)&gt;0,COUNTIFS(采购单!$B:$B,$B2323,采购单!$C:$C,$H2323,采购单!$L:$L,$K2323)&gt;0),"※这笔可能和采购单重复了",""))))))))))</f>
        <v/>
      </c>
    </row>
    <row r="2324">
      <c r="A2324" s="17">
        <f>IF($B2324="","",ROW()-3)</f>
        <v/>
      </c>
      <c r="B2324" s="18" t="n"/>
      <c r="C2324" s="13" t="n"/>
      <c r="D2324" s="13" t="n"/>
      <c r="E2324" s="13" t="n"/>
      <c r="F2324" s="17">
        <f>IF($E2324="","",IFERROR(VLOOKUP($E2324,类别归属,2,0),"※类别不在基础资料里"))</f>
        <v/>
      </c>
      <c r="G2324" s="13" t="n"/>
      <c r="H2324" s="13" t="n"/>
      <c r="I2324" s="13" t="n"/>
      <c r="J2324" s="14" t="n"/>
      <c r="K2324" s="14" t="n"/>
      <c r="L2324" s="19">
        <f>IF($C2324="","",ROUND(IFERROR(VLOOKUP($C2324,账户期初,2,0),0)+SUMIFS($J$4:J2324,$C$4:C2324,$C2324)-SUMIFS($K$4:K2324,$C$4:C2324,$C2324),2))</f>
        <v/>
      </c>
      <c r="M2324" s="19">
        <f>IF($C2324="","",ROUND(SUM(基础资料!$B$4:$B$13)+SUM($J$4:J2324)-SUM($K$4:K2324),2))</f>
        <v/>
      </c>
      <c r="N2324" s="13" t="n"/>
      <c r="O2324" s="13" t="n"/>
      <c r="P2324" s="17">
        <f>IF($B2324="","",IF($F2324="※类别不在基础资料里","※费用类别不在基础资料里",IF(AND(N($J2324)=0,N($K2324)=0),"※这行没填金额",IF(AND(N($J2324)&gt;0,N($K2324)&gt;0),"※收入和支出不能同一行都填",IF(AND($D2324="收入",N($J2324)=0),"※收入行要填收入金额",IF(AND($D2324="支出",N($K2324)=0),"※支出行要填支出金额",IF(AND($C2324&lt;&gt;"",ISNA(MATCH($C2324,账户表,0))),"※账户不在基础资料里",IF(AND($G2324&lt;&gt;"",ISNA(MATCH($G2324,项目名表,0))),"※项目不在项目台账里",IF(AND(LEFT($F2324,3)="成本-",$G2324=""),"※成本类支出没填项目",IF(AND(LEFT($F2324,3)="成本-",$H2324&lt;&gt;"",N($K2324)&gt;0,COUNTIFS(采购单!$B:$B,$B2324,采购单!$C:$C,$H2324,采购单!$L:$L,$K2324)&gt;0),"※这笔可能和采购单重复了",""))))))))))</f>
        <v/>
      </c>
    </row>
    <row r="2325">
      <c r="A2325" s="17">
        <f>IF($B2325="","",ROW()-3)</f>
        <v/>
      </c>
      <c r="B2325" s="18" t="n"/>
      <c r="C2325" s="13" t="n"/>
      <c r="D2325" s="13" t="n"/>
      <c r="E2325" s="13" t="n"/>
      <c r="F2325" s="17">
        <f>IF($E2325="","",IFERROR(VLOOKUP($E2325,类别归属,2,0),"※类别不在基础资料里"))</f>
        <v/>
      </c>
      <c r="G2325" s="13" t="n"/>
      <c r="H2325" s="13" t="n"/>
      <c r="I2325" s="13" t="n"/>
      <c r="J2325" s="14" t="n"/>
      <c r="K2325" s="14" t="n"/>
      <c r="L2325" s="19">
        <f>IF($C2325="","",ROUND(IFERROR(VLOOKUP($C2325,账户期初,2,0),0)+SUMIFS($J$4:J2325,$C$4:C2325,$C2325)-SUMIFS($K$4:K2325,$C$4:C2325,$C2325),2))</f>
        <v/>
      </c>
      <c r="M2325" s="19">
        <f>IF($C2325="","",ROUND(SUM(基础资料!$B$4:$B$13)+SUM($J$4:J2325)-SUM($K$4:K2325),2))</f>
        <v/>
      </c>
      <c r="N2325" s="13" t="n"/>
      <c r="O2325" s="13" t="n"/>
      <c r="P2325" s="17">
        <f>IF($B2325="","",IF($F2325="※类别不在基础资料里","※费用类别不在基础资料里",IF(AND(N($J2325)=0,N($K2325)=0),"※这行没填金额",IF(AND(N($J2325)&gt;0,N($K2325)&gt;0),"※收入和支出不能同一行都填",IF(AND($D2325="收入",N($J2325)=0),"※收入行要填收入金额",IF(AND($D2325="支出",N($K2325)=0),"※支出行要填支出金额",IF(AND($C2325&lt;&gt;"",ISNA(MATCH($C2325,账户表,0))),"※账户不在基础资料里",IF(AND($G2325&lt;&gt;"",ISNA(MATCH($G2325,项目名表,0))),"※项目不在项目台账里",IF(AND(LEFT($F2325,3)="成本-",$G2325=""),"※成本类支出没填项目",IF(AND(LEFT($F2325,3)="成本-",$H2325&lt;&gt;"",N($K2325)&gt;0,COUNTIFS(采购单!$B:$B,$B2325,采购单!$C:$C,$H2325,采购单!$L:$L,$K2325)&gt;0),"※这笔可能和采购单重复了",""))))))))))</f>
        <v/>
      </c>
    </row>
    <row r="2326">
      <c r="A2326" s="17">
        <f>IF($B2326="","",ROW()-3)</f>
        <v/>
      </c>
      <c r="B2326" s="18" t="n"/>
      <c r="C2326" s="13" t="n"/>
      <c r="D2326" s="13" t="n"/>
      <c r="E2326" s="13" t="n"/>
      <c r="F2326" s="17">
        <f>IF($E2326="","",IFERROR(VLOOKUP($E2326,类别归属,2,0),"※类别不在基础资料里"))</f>
        <v/>
      </c>
      <c r="G2326" s="13" t="n"/>
      <c r="H2326" s="13" t="n"/>
      <c r="I2326" s="13" t="n"/>
      <c r="J2326" s="14" t="n"/>
      <c r="K2326" s="14" t="n"/>
      <c r="L2326" s="19">
        <f>IF($C2326="","",ROUND(IFERROR(VLOOKUP($C2326,账户期初,2,0),0)+SUMIFS($J$4:J2326,$C$4:C2326,$C2326)-SUMIFS($K$4:K2326,$C$4:C2326,$C2326),2))</f>
        <v/>
      </c>
      <c r="M2326" s="19">
        <f>IF($C2326="","",ROUND(SUM(基础资料!$B$4:$B$13)+SUM($J$4:J2326)-SUM($K$4:K2326),2))</f>
        <v/>
      </c>
      <c r="N2326" s="13" t="n"/>
      <c r="O2326" s="13" t="n"/>
      <c r="P2326" s="17">
        <f>IF($B2326="","",IF($F2326="※类别不在基础资料里","※费用类别不在基础资料里",IF(AND(N($J2326)=0,N($K2326)=0),"※这行没填金额",IF(AND(N($J2326)&gt;0,N($K2326)&gt;0),"※收入和支出不能同一行都填",IF(AND($D2326="收入",N($J2326)=0),"※收入行要填收入金额",IF(AND($D2326="支出",N($K2326)=0),"※支出行要填支出金额",IF(AND($C2326&lt;&gt;"",ISNA(MATCH($C2326,账户表,0))),"※账户不在基础资料里",IF(AND($G2326&lt;&gt;"",ISNA(MATCH($G2326,项目名表,0))),"※项目不在项目台账里",IF(AND(LEFT($F2326,3)="成本-",$G2326=""),"※成本类支出没填项目",IF(AND(LEFT($F2326,3)="成本-",$H2326&lt;&gt;"",N($K2326)&gt;0,COUNTIFS(采购单!$B:$B,$B2326,采购单!$C:$C,$H2326,采购单!$L:$L,$K2326)&gt;0),"※这笔可能和采购单重复了",""))))))))))</f>
        <v/>
      </c>
    </row>
    <row r="2327">
      <c r="A2327" s="17">
        <f>IF($B2327="","",ROW()-3)</f>
        <v/>
      </c>
      <c r="B2327" s="18" t="n"/>
      <c r="C2327" s="13" t="n"/>
      <c r="D2327" s="13" t="n"/>
      <c r="E2327" s="13" t="n"/>
      <c r="F2327" s="17">
        <f>IF($E2327="","",IFERROR(VLOOKUP($E2327,类别归属,2,0),"※类别不在基础资料里"))</f>
        <v/>
      </c>
      <c r="G2327" s="13" t="n"/>
      <c r="H2327" s="13" t="n"/>
      <c r="I2327" s="13" t="n"/>
      <c r="J2327" s="14" t="n"/>
      <c r="K2327" s="14" t="n"/>
      <c r="L2327" s="19">
        <f>IF($C2327="","",ROUND(IFERROR(VLOOKUP($C2327,账户期初,2,0),0)+SUMIFS($J$4:J2327,$C$4:C2327,$C2327)-SUMIFS($K$4:K2327,$C$4:C2327,$C2327),2))</f>
        <v/>
      </c>
      <c r="M2327" s="19">
        <f>IF($C2327="","",ROUND(SUM(基础资料!$B$4:$B$13)+SUM($J$4:J2327)-SUM($K$4:K2327),2))</f>
        <v/>
      </c>
      <c r="N2327" s="13" t="n"/>
      <c r="O2327" s="13" t="n"/>
      <c r="P2327" s="17">
        <f>IF($B2327="","",IF($F2327="※类别不在基础资料里","※费用类别不在基础资料里",IF(AND(N($J2327)=0,N($K2327)=0),"※这行没填金额",IF(AND(N($J2327)&gt;0,N($K2327)&gt;0),"※收入和支出不能同一行都填",IF(AND($D2327="收入",N($J2327)=0),"※收入行要填收入金额",IF(AND($D2327="支出",N($K2327)=0),"※支出行要填支出金额",IF(AND($C2327&lt;&gt;"",ISNA(MATCH($C2327,账户表,0))),"※账户不在基础资料里",IF(AND($G2327&lt;&gt;"",ISNA(MATCH($G2327,项目名表,0))),"※项目不在项目台账里",IF(AND(LEFT($F2327,3)="成本-",$G2327=""),"※成本类支出没填项目",IF(AND(LEFT($F2327,3)="成本-",$H2327&lt;&gt;"",N($K2327)&gt;0,COUNTIFS(采购单!$B:$B,$B2327,采购单!$C:$C,$H2327,采购单!$L:$L,$K2327)&gt;0),"※这笔可能和采购单重复了",""))))))))))</f>
        <v/>
      </c>
    </row>
    <row r="2328">
      <c r="A2328" s="17">
        <f>IF($B2328="","",ROW()-3)</f>
        <v/>
      </c>
      <c r="B2328" s="18" t="n"/>
      <c r="C2328" s="13" t="n"/>
      <c r="D2328" s="13" t="n"/>
      <c r="E2328" s="13" t="n"/>
      <c r="F2328" s="17">
        <f>IF($E2328="","",IFERROR(VLOOKUP($E2328,类别归属,2,0),"※类别不在基础资料里"))</f>
        <v/>
      </c>
      <c r="G2328" s="13" t="n"/>
      <c r="H2328" s="13" t="n"/>
      <c r="I2328" s="13" t="n"/>
      <c r="J2328" s="14" t="n"/>
      <c r="K2328" s="14" t="n"/>
      <c r="L2328" s="19">
        <f>IF($C2328="","",ROUND(IFERROR(VLOOKUP($C2328,账户期初,2,0),0)+SUMIFS($J$4:J2328,$C$4:C2328,$C2328)-SUMIFS($K$4:K2328,$C$4:C2328,$C2328),2))</f>
        <v/>
      </c>
      <c r="M2328" s="19">
        <f>IF($C2328="","",ROUND(SUM(基础资料!$B$4:$B$13)+SUM($J$4:J2328)-SUM($K$4:K2328),2))</f>
        <v/>
      </c>
      <c r="N2328" s="13" t="n"/>
      <c r="O2328" s="13" t="n"/>
      <c r="P2328" s="17">
        <f>IF($B2328="","",IF($F2328="※类别不在基础资料里","※费用类别不在基础资料里",IF(AND(N($J2328)=0,N($K2328)=0),"※这行没填金额",IF(AND(N($J2328)&gt;0,N($K2328)&gt;0),"※收入和支出不能同一行都填",IF(AND($D2328="收入",N($J2328)=0),"※收入行要填收入金额",IF(AND($D2328="支出",N($K2328)=0),"※支出行要填支出金额",IF(AND($C2328&lt;&gt;"",ISNA(MATCH($C2328,账户表,0))),"※账户不在基础资料里",IF(AND($G2328&lt;&gt;"",ISNA(MATCH($G2328,项目名表,0))),"※项目不在项目台账里",IF(AND(LEFT($F2328,3)="成本-",$G2328=""),"※成本类支出没填项目",IF(AND(LEFT($F2328,3)="成本-",$H2328&lt;&gt;"",N($K2328)&gt;0,COUNTIFS(采购单!$B:$B,$B2328,采购单!$C:$C,$H2328,采购单!$L:$L,$K2328)&gt;0),"※这笔可能和采购单重复了",""))))))))))</f>
        <v/>
      </c>
    </row>
    <row r="2329">
      <c r="A2329" s="17">
        <f>IF($B2329="","",ROW()-3)</f>
        <v/>
      </c>
      <c r="B2329" s="18" t="n"/>
      <c r="C2329" s="13" t="n"/>
      <c r="D2329" s="13" t="n"/>
      <c r="E2329" s="13" t="n"/>
      <c r="F2329" s="17">
        <f>IF($E2329="","",IFERROR(VLOOKUP($E2329,类别归属,2,0),"※类别不在基础资料里"))</f>
        <v/>
      </c>
      <c r="G2329" s="13" t="n"/>
      <c r="H2329" s="13" t="n"/>
      <c r="I2329" s="13" t="n"/>
      <c r="J2329" s="14" t="n"/>
      <c r="K2329" s="14" t="n"/>
      <c r="L2329" s="19">
        <f>IF($C2329="","",ROUND(IFERROR(VLOOKUP($C2329,账户期初,2,0),0)+SUMIFS($J$4:J2329,$C$4:C2329,$C2329)-SUMIFS($K$4:K2329,$C$4:C2329,$C2329),2))</f>
        <v/>
      </c>
      <c r="M2329" s="19">
        <f>IF($C2329="","",ROUND(SUM(基础资料!$B$4:$B$13)+SUM($J$4:J2329)-SUM($K$4:K2329),2))</f>
        <v/>
      </c>
      <c r="N2329" s="13" t="n"/>
      <c r="O2329" s="13" t="n"/>
      <c r="P2329" s="17">
        <f>IF($B2329="","",IF($F2329="※类别不在基础资料里","※费用类别不在基础资料里",IF(AND(N($J2329)=0,N($K2329)=0),"※这行没填金额",IF(AND(N($J2329)&gt;0,N($K2329)&gt;0),"※收入和支出不能同一行都填",IF(AND($D2329="收入",N($J2329)=0),"※收入行要填收入金额",IF(AND($D2329="支出",N($K2329)=0),"※支出行要填支出金额",IF(AND($C2329&lt;&gt;"",ISNA(MATCH($C2329,账户表,0))),"※账户不在基础资料里",IF(AND($G2329&lt;&gt;"",ISNA(MATCH($G2329,项目名表,0))),"※项目不在项目台账里",IF(AND(LEFT($F2329,3)="成本-",$G2329=""),"※成本类支出没填项目",IF(AND(LEFT($F2329,3)="成本-",$H2329&lt;&gt;"",N($K2329)&gt;0,COUNTIFS(采购单!$B:$B,$B2329,采购单!$C:$C,$H2329,采购单!$L:$L,$K2329)&gt;0),"※这笔可能和采购单重复了",""))))))))))</f>
        <v/>
      </c>
    </row>
    <row r="2330">
      <c r="A2330" s="17">
        <f>IF($B2330="","",ROW()-3)</f>
        <v/>
      </c>
      <c r="B2330" s="18" t="n"/>
      <c r="C2330" s="13" t="n"/>
      <c r="D2330" s="13" t="n"/>
      <c r="E2330" s="13" t="n"/>
      <c r="F2330" s="17">
        <f>IF($E2330="","",IFERROR(VLOOKUP($E2330,类别归属,2,0),"※类别不在基础资料里"))</f>
        <v/>
      </c>
      <c r="G2330" s="13" t="n"/>
      <c r="H2330" s="13" t="n"/>
      <c r="I2330" s="13" t="n"/>
      <c r="J2330" s="14" t="n"/>
      <c r="K2330" s="14" t="n"/>
      <c r="L2330" s="19">
        <f>IF($C2330="","",ROUND(IFERROR(VLOOKUP($C2330,账户期初,2,0),0)+SUMIFS($J$4:J2330,$C$4:C2330,$C2330)-SUMIFS($K$4:K2330,$C$4:C2330,$C2330),2))</f>
        <v/>
      </c>
      <c r="M2330" s="19">
        <f>IF($C2330="","",ROUND(SUM(基础资料!$B$4:$B$13)+SUM($J$4:J2330)-SUM($K$4:K2330),2))</f>
        <v/>
      </c>
      <c r="N2330" s="13" t="n"/>
      <c r="O2330" s="13" t="n"/>
      <c r="P2330" s="17">
        <f>IF($B2330="","",IF($F2330="※类别不在基础资料里","※费用类别不在基础资料里",IF(AND(N($J2330)=0,N($K2330)=0),"※这行没填金额",IF(AND(N($J2330)&gt;0,N($K2330)&gt;0),"※收入和支出不能同一行都填",IF(AND($D2330="收入",N($J2330)=0),"※收入行要填收入金额",IF(AND($D2330="支出",N($K2330)=0),"※支出行要填支出金额",IF(AND($C2330&lt;&gt;"",ISNA(MATCH($C2330,账户表,0))),"※账户不在基础资料里",IF(AND($G2330&lt;&gt;"",ISNA(MATCH($G2330,项目名表,0))),"※项目不在项目台账里",IF(AND(LEFT($F2330,3)="成本-",$G2330=""),"※成本类支出没填项目",IF(AND(LEFT($F2330,3)="成本-",$H2330&lt;&gt;"",N($K2330)&gt;0,COUNTIFS(采购单!$B:$B,$B2330,采购单!$C:$C,$H2330,采购单!$L:$L,$K2330)&gt;0),"※这笔可能和采购单重复了",""))))))))))</f>
        <v/>
      </c>
    </row>
    <row r="2331">
      <c r="A2331" s="17">
        <f>IF($B2331="","",ROW()-3)</f>
        <v/>
      </c>
      <c r="B2331" s="18" t="n"/>
      <c r="C2331" s="13" t="n"/>
      <c r="D2331" s="13" t="n"/>
      <c r="E2331" s="13" t="n"/>
      <c r="F2331" s="17">
        <f>IF($E2331="","",IFERROR(VLOOKUP($E2331,类别归属,2,0),"※类别不在基础资料里"))</f>
        <v/>
      </c>
      <c r="G2331" s="13" t="n"/>
      <c r="H2331" s="13" t="n"/>
      <c r="I2331" s="13" t="n"/>
      <c r="J2331" s="14" t="n"/>
      <c r="K2331" s="14" t="n"/>
      <c r="L2331" s="19">
        <f>IF($C2331="","",ROUND(IFERROR(VLOOKUP($C2331,账户期初,2,0),0)+SUMIFS($J$4:J2331,$C$4:C2331,$C2331)-SUMIFS($K$4:K2331,$C$4:C2331,$C2331),2))</f>
        <v/>
      </c>
      <c r="M2331" s="19">
        <f>IF($C2331="","",ROUND(SUM(基础资料!$B$4:$B$13)+SUM($J$4:J2331)-SUM($K$4:K2331),2))</f>
        <v/>
      </c>
      <c r="N2331" s="13" t="n"/>
      <c r="O2331" s="13" t="n"/>
      <c r="P2331" s="17">
        <f>IF($B2331="","",IF($F2331="※类别不在基础资料里","※费用类别不在基础资料里",IF(AND(N($J2331)=0,N($K2331)=0),"※这行没填金额",IF(AND(N($J2331)&gt;0,N($K2331)&gt;0),"※收入和支出不能同一行都填",IF(AND($D2331="收入",N($J2331)=0),"※收入行要填收入金额",IF(AND($D2331="支出",N($K2331)=0),"※支出行要填支出金额",IF(AND($C2331&lt;&gt;"",ISNA(MATCH($C2331,账户表,0))),"※账户不在基础资料里",IF(AND($G2331&lt;&gt;"",ISNA(MATCH($G2331,项目名表,0))),"※项目不在项目台账里",IF(AND(LEFT($F2331,3)="成本-",$G2331=""),"※成本类支出没填项目",IF(AND(LEFT($F2331,3)="成本-",$H2331&lt;&gt;"",N($K2331)&gt;0,COUNTIFS(采购单!$B:$B,$B2331,采购单!$C:$C,$H2331,采购单!$L:$L,$K2331)&gt;0),"※这笔可能和采购单重复了",""))))))))))</f>
        <v/>
      </c>
    </row>
    <row r="2332">
      <c r="A2332" s="17">
        <f>IF($B2332="","",ROW()-3)</f>
        <v/>
      </c>
      <c r="B2332" s="18" t="n"/>
      <c r="C2332" s="13" t="n"/>
      <c r="D2332" s="13" t="n"/>
      <c r="E2332" s="13" t="n"/>
      <c r="F2332" s="17">
        <f>IF($E2332="","",IFERROR(VLOOKUP($E2332,类别归属,2,0),"※类别不在基础资料里"))</f>
        <v/>
      </c>
      <c r="G2332" s="13" t="n"/>
      <c r="H2332" s="13" t="n"/>
      <c r="I2332" s="13" t="n"/>
      <c r="J2332" s="14" t="n"/>
      <c r="K2332" s="14" t="n"/>
      <c r="L2332" s="19">
        <f>IF($C2332="","",ROUND(IFERROR(VLOOKUP($C2332,账户期初,2,0),0)+SUMIFS($J$4:J2332,$C$4:C2332,$C2332)-SUMIFS($K$4:K2332,$C$4:C2332,$C2332),2))</f>
        <v/>
      </c>
      <c r="M2332" s="19">
        <f>IF($C2332="","",ROUND(SUM(基础资料!$B$4:$B$13)+SUM($J$4:J2332)-SUM($K$4:K2332),2))</f>
        <v/>
      </c>
      <c r="N2332" s="13" t="n"/>
      <c r="O2332" s="13" t="n"/>
      <c r="P2332" s="17">
        <f>IF($B2332="","",IF($F2332="※类别不在基础资料里","※费用类别不在基础资料里",IF(AND(N($J2332)=0,N($K2332)=0),"※这行没填金额",IF(AND(N($J2332)&gt;0,N($K2332)&gt;0),"※收入和支出不能同一行都填",IF(AND($D2332="收入",N($J2332)=0),"※收入行要填收入金额",IF(AND($D2332="支出",N($K2332)=0),"※支出行要填支出金额",IF(AND($C2332&lt;&gt;"",ISNA(MATCH($C2332,账户表,0))),"※账户不在基础资料里",IF(AND($G2332&lt;&gt;"",ISNA(MATCH($G2332,项目名表,0))),"※项目不在项目台账里",IF(AND(LEFT($F2332,3)="成本-",$G2332=""),"※成本类支出没填项目",IF(AND(LEFT($F2332,3)="成本-",$H2332&lt;&gt;"",N($K2332)&gt;0,COUNTIFS(采购单!$B:$B,$B2332,采购单!$C:$C,$H2332,采购单!$L:$L,$K2332)&gt;0),"※这笔可能和采购单重复了",""))))))))))</f>
        <v/>
      </c>
    </row>
    <row r="2333">
      <c r="A2333" s="17">
        <f>IF($B2333="","",ROW()-3)</f>
        <v/>
      </c>
      <c r="B2333" s="18" t="n"/>
      <c r="C2333" s="13" t="n"/>
      <c r="D2333" s="13" t="n"/>
      <c r="E2333" s="13" t="n"/>
      <c r="F2333" s="17">
        <f>IF($E2333="","",IFERROR(VLOOKUP($E2333,类别归属,2,0),"※类别不在基础资料里"))</f>
        <v/>
      </c>
      <c r="G2333" s="13" t="n"/>
      <c r="H2333" s="13" t="n"/>
      <c r="I2333" s="13" t="n"/>
      <c r="J2333" s="14" t="n"/>
      <c r="K2333" s="14" t="n"/>
      <c r="L2333" s="19">
        <f>IF($C2333="","",ROUND(IFERROR(VLOOKUP($C2333,账户期初,2,0),0)+SUMIFS($J$4:J2333,$C$4:C2333,$C2333)-SUMIFS($K$4:K2333,$C$4:C2333,$C2333),2))</f>
        <v/>
      </c>
      <c r="M2333" s="19">
        <f>IF($C2333="","",ROUND(SUM(基础资料!$B$4:$B$13)+SUM($J$4:J2333)-SUM($K$4:K2333),2))</f>
        <v/>
      </c>
      <c r="N2333" s="13" t="n"/>
      <c r="O2333" s="13" t="n"/>
      <c r="P2333" s="17">
        <f>IF($B2333="","",IF($F2333="※类别不在基础资料里","※费用类别不在基础资料里",IF(AND(N($J2333)=0,N($K2333)=0),"※这行没填金额",IF(AND(N($J2333)&gt;0,N($K2333)&gt;0),"※收入和支出不能同一行都填",IF(AND($D2333="收入",N($J2333)=0),"※收入行要填收入金额",IF(AND($D2333="支出",N($K2333)=0),"※支出行要填支出金额",IF(AND($C2333&lt;&gt;"",ISNA(MATCH($C2333,账户表,0))),"※账户不在基础资料里",IF(AND($G2333&lt;&gt;"",ISNA(MATCH($G2333,项目名表,0))),"※项目不在项目台账里",IF(AND(LEFT($F2333,3)="成本-",$G2333=""),"※成本类支出没填项目",IF(AND(LEFT($F2333,3)="成本-",$H2333&lt;&gt;"",N($K2333)&gt;0,COUNTIFS(采购单!$B:$B,$B2333,采购单!$C:$C,$H2333,采购单!$L:$L,$K2333)&gt;0),"※这笔可能和采购单重复了",""))))))))))</f>
        <v/>
      </c>
    </row>
    <row r="2334">
      <c r="A2334" s="17">
        <f>IF($B2334="","",ROW()-3)</f>
        <v/>
      </c>
      <c r="B2334" s="18" t="n"/>
      <c r="C2334" s="13" t="n"/>
      <c r="D2334" s="13" t="n"/>
      <c r="E2334" s="13" t="n"/>
      <c r="F2334" s="17">
        <f>IF($E2334="","",IFERROR(VLOOKUP($E2334,类别归属,2,0),"※类别不在基础资料里"))</f>
        <v/>
      </c>
      <c r="G2334" s="13" t="n"/>
      <c r="H2334" s="13" t="n"/>
      <c r="I2334" s="13" t="n"/>
      <c r="J2334" s="14" t="n"/>
      <c r="K2334" s="14" t="n"/>
      <c r="L2334" s="19">
        <f>IF($C2334="","",ROUND(IFERROR(VLOOKUP($C2334,账户期初,2,0),0)+SUMIFS($J$4:J2334,$C$4:C2334,$C2334)-SUMIFS($K$4:K2334,$C$4:C2334,$C2334),2))</f>
        <v/>
      </c>
      <c r="M2334" s="19">
        <f>IF($C2334="","",ROUND(SUM(基础资料!$B$4:$B$13)+SUM($J$4:J2334)-SUM($K$4:K2334),2))</f>
        <v/>
      </c>
      <c r="N2334" s="13" t="n"/>
      <c r="O2334" s="13" t="n"/>
      <c r="P2334" s="17">
        <f>IF($B2334="","",IF($F2334="※类别不在基础资料里","※费用类别不在基础资料里",IF(AND(N($J2334)=0,N($K2334)=0),"※这行没填金额",IF(AND(N($J2334)&gt;0,N($K2334)&gt;0),"※收入和支出不能同一行都填",IF(AND($D2334="收入",N($J2334)=0),"※收入行要填收入金额",IF(AND($D2334="支出",N($K2334)=0),"※支出行要填支出金额",IF(AND($C2334&lt;&gt;"",ISNA(MATCH($C2334,账户表,0))),"※账户不在基础资料里",IF(AND($G2334&lt;&gt;"",ISNA(MATCH($G2334,项目名表,0))),"※项目不在项目台账里",IF(AND(LEFT($F2334,3)="成本-",$G2334=""),"※成本类支出没填项目",IF(AND(LEFT($F2334,3)="成本-",$H2334&lt;&gt;"",N($K2334)&gt;0,COUNTIFS(采购单!$B:$B,$B2334,采购单!$C:$C,$H2334,采购单!$L:$L,$K2334)&gt;0),"※这笔可能和采购单重复了",""))))))))))</f>
        <v/>
      </c>
    </row>
    <row r="2335">
      <c r="A2335" s="17">
        <f>IF($B2335="","",ROW()-3)</f>
        <v/>
      </c>
      <c r="B2335" s="18" t="n"/>
      <c r="C2335" s="13" t="n"/>
      <c r="D2335" s="13" t="n"/>
      <c r="E2335" s="13" t="n"/>
      <c r="F2335" s="17">
        <f>IF($E2335="","",IFERROR(VLOOKUP($E2335,类别归属,2,0),"※类别不在基础资料里"))</f>
        <v/>
      </c>
      <c r="G2335" s="13" t="n"/>
      <c r="H2335" s="13" t="n"/>
      <c r="I2335" s="13" t="n"/>
      <c r="J2335" s="14" t="n"/>
      <c r="K2335" s="14" t="n"/>
      <c r="L2335" s="19">
        <f>IF($C2335="","",ROUND(IFERROR(VLOOKUP($C2335,账户期初,2,0),0)+SUMIFS($J$4:J2335,$C$4:C2335,$C2335)-SUMIFS($K$4:K2335,$C$4:C2335,$C2335),2))</f>
        <v/>
      </c>
      <c r="M2335" s="19">
        <f>IF($C2335="","",ROUND(SUM(基础资料!$B$4:$B$13)+SUM($J$4:J2335)-SUM($K$4:K2335),2))</f>
        <v/>
      </c>
      <c r="N2335" s="13" t="n"/>
      <c r="O2335" s="13" t="n"/>
      <c r="P2335" s="17">
        <f>IF($B2335="","",IF($F2335="※类别不在基础资料里","※费用类别不在基础资料里",IF(AND(N($J2335)=0,N($K2335)=0),"※这行没填金额",IF(AND(N($J2335)&gt;0,N($K2335)&gt;0),"※收入和支出不能同一行都填",IF(AND($D2335="收入",N($J2335)=0),"※收入行要填收入金额",IF(AND($D2335="支出",N($K2335)=0),"※支出行要填支出金额",IF(AND($C2335&lt;&gt;"",ISNA(MATCH($C2335,账户表,0))),"※账户不在基础资料里",IF(AND($G2335&lt;&gt;"",ISNA(MATCH($G2335,项目名表,0))),"※项目不在项目台账里",IF(AND(LEFT($F2335,3)="成本-",$G2335=""),"※成本类支出没填项目",IF(AND(LEFT($F2335,3)="成本-",$H2335&lt;&gt;"",N($K2335)&gt;0,COUNTIFS(采购单!$B:$B,$B2335,采购单!$C:$C,$H2335,采购单!$L:$L,$K2335)&gt;0),"※这笔可能和采购单重复了",""))))))))))</f>
        <v/>
      </c>
    </row>
    <row r="2336">
      <c r="A2336" s="17">
        <f>IF($B2336="","",ROW()-3)</f>
        <v/>
      </c>
      <c r="B2336" s="18" t="n"/>
      <c r="C2336" s="13" t="n"/>
      <c r="D2336" s="13" t="n"/>
      <c r="E2336" s="13" t="n"/>
      <c r="F2336" s="17">
        <f>IF($E2336="","",IFERROR(VLOOKUP($E2336,类别归属,2,0),"※类别不在基础资料里"))</f>
        <v/>
      </c>
      <c r="G2336" s="13" t="n"/>
      <c r="H2336" s="13" t="n"/>
      <c r="I2336" s="13" t="n"/>
      <c r="J2336" s="14" t="n"/>
      <c r="K2336" s="14" t="n"/>
      <c r="L2336" s="19">
        <f>IF($C2336="","",ROUND(IFERROR(VLOOKUP($C2336,账户期初,2,0),0)+SUMIFS($J$4:J2336,$C$4:C2336,$C2336)-SUMIFS($K$4:K2336,$C$4:C2336,$C2336),2))</f>
        <v/>
      </c>
      <c r="M2336" s="19">
        <f>IF($C2336="","",ROUND(SUM(基础资料!$B$4:$B$13)+SUM($J$4:J2336)-SUM($K$4:K2336),2))</f>
        <v/>
      </c>
      <c r="N2336" s="13" t="n"/>
      <c r="O2336" s="13" t="n"/>
      <c r="P2336" s="17">
        <f>IF($B2336="","",IF($F2336="※类别不在基础资料里","※费用类别不在基础资料里",IF(AND(N($J2336)=0,N($K2336)=0),"※这行没填金额",IF(AND(N($J2336)&gt;0,N($K2336)&gt;0),"※收入和支出不能同一行都填",IF(AND($D2336="收入",N($J2336)=0),"※收入行要填收入金额",IF(AND($D2336="支出",N($K2336)=0),"※支出行要填支出金额",IF(AND($C2336&lt;&gt;"",ISNA(MATCH($C2336,账户表,0))),"※账户不在基础资料里",IF(AND($G2336&lt;&gt;"",ISNA(MATCH($G2336,项目名表,0))),"※项目不在项目台账里",IF(AND(LEFT($F2336,3)="成本-",$G2336=""),"※成本类支出没填项目",IF(AND(LEFT($F2336,3)="成本-",$H2336&lt;&gt;"",N($K2336)&gt;0,COUNTIFS(采购单!$B:$B,$B2336,采购单!$C:$C,$H2336,采购单!$L:$L,$K2336)&gt;0),"※这笔可能和采购单重复了",""))))))))))</f>
        <v/>
      </c>
    </row>
    <row r="2337">
      <c r="A2337" s="17">
        <f>IF($B2337="","",ROW()-3)</f>
        <v/>
      </c>
      <c r="B2337" s="18" t="n"/>
      <c r="C2337" s="13" t="n"/>
      <c r="D2337" s="13" t="n"/>
      <c r="E2337" s="13" t="n"/>
      <c r="F2337" s="17">
        <f>IF($E2337="","",IFERROR(VLOOKUP($E2337,类别归属,2,0),"※类别不在基础资料里"))</f>
        <v/>
      </c>
      <c r="G2337" s="13" t="n"/>
      <c r="H2337" s="13" t="n"/>
      <c r="I2337" s="13" t="n"/>
      <c r="J2337" s="14" t="n"/>
      <c r="K2337" s="14" t="n"/>
      <c r="L2337" s="19">
        <f>IF($C2337="","",ROUND(IFERROR(VLOOKUP($C2337,账户期初,2,0),0)+SUMIFS($J$4:J2337,$C$4:C2337,$C2337)-SUMIFS($K$4:K2337,$C$4:C2337,$C2337),2))</f>
        <v/>
      </c>
      <c r="M2337" s="19">
        <f>IF($C2337="","",ROUND(SUM(基础资料!$B$4:$B$13)+SUM($J$4:J2337)-SUM($K$4:K2337),2))</f>
        <v/>
      </c>
      <c r="N2337" s="13" t="n"/>
      <c r="O2337" s="13" t="n"/>
      <c r="P2337" s="17">
        <f>IF($B2337="","",IF($F2337="※类别不在基础资料里","※费用类别不在基础资料里",IF(AND(N($J2337)=0,N($K2337)=0),"※这行没填金额",IF(AND(N($J2337)&gt;0,N($K2337)&gt;0),"※收入和支出不能同一行都填",IF(AND($D2337="收入",N($J2337)=0),"※收入行要填收入金额",IF(AND($D2337="支出",N($K2337)=0),"※支出行要填支出金额",IF(AND($C2337&lt;&gt;"",ISNA(MATCH($C2337,账户表,0))),"※账户不在基础资料里",IF(AND($G2337&lt;&gt;"",ISNA(MATCH($G2337,项目名表,0))),"※项目不在项目台账里",IF(AND(LEFT($F2337,3)="成本-",$G2337=""),"※成本类支出没填项目",IF(AND(LEFT($F2337,3)="成本-",$H2337&lt;&gt;"",N($K2337)&gt;0,COUNTIFS(采购单!$B:$B,$B2337,采购单!$C:$C,$H2337,采购单!$L:$L,$K2337)&gt;0),"※这笔可能和采购单重复了",""))))))))))</f>
        <v/>
      </c>
    </row>
    <row r="2338">
      <c r="A2338" s="17">
        <f>IF($B2338="","",ROW()-3)</f>
        <v/>
      </c>
      <c r="B2338" s="18" t="n"/>
      <c r="C2338" s="13" t="n"/>
      <c r="D2338" s="13" t="n"/>
      <c r="E2338" s="13" t="n"/>
      <c r="F2338" s="17">
        <f>IF($E2338="","",IFERROR(VLOOKUP($E2338,类别归属,2,0),"※类别不在基础资料里"))</f>
        <v/>
      </c>
      <c r="G2338" s="13" t="n"/>
      <c r="H2338" s="13" t="n"/>
      <c r="I2338" s="13" t="n"/>
      <c r="J2338" s="14" t="n"/>
      <c r="K2338" s="14" t="n"/>
      <c r="L2338" s="19">
        <f>IF($C2338="","",ROUND(IFERROR(VLOOKUP($C2338,账户期初,2,0),0)+SUMIFS($J$4:J2338,$C$4:C2338,$C2338)-SUMIFS($K$4:K2338,$C$4:C2338,$C2338),2))</f>
        <v/>
      </c>
      <c r="M2338" s="19">
        <f>IF($C2338="","",ROUND(SUM(基础资料!$B$4:$B$13)+SUM($J$4:J2338)-SUM($K$4:K2338),2))</f>
        <v/>
      </c>
      <c r="N2338" s="13" t="n"/>
      <c r="O2338" s="13" t="n"/>
      <c r="P2338" s="17">
        <f>IF($B2338="","",IF($F2338="※类别不在基础资料里","※费用类别不在基础资料里",IF(AND(N($J2338)=0,N($K2338)=0),"※这行没填金额",IF(AND(N($J2338)&gt;0,N($K2338)&gt;0),"※收入和支出不能同一行都填",IF(AND($D2338="收入",N($J2338)=0),"※收入行要填收入金额",IF(AND($D2338="支出",N($K2338)=0),"※支出行要填支出金额",IF(AND($C2338&lt;&gt;"",ISNA(MATCH($C2338,账户表,0))),"※账户不在基础资料里",IF(AND($G2338&lt;&gt;"",ISNA(MATCH($G2338,项目名表,0))),"※项目不在项目台账里",IF(AND(LEFT($F2338,3)="成本-",$G2338=""),"※成本类支出没填项目",IF(AND(LEFT($F2338,3)="成本-",$H2338&lt;&gt;"",N($K2338)&gt;0,COUNTIFS(采购单!$B:$B,$B2338,采购单!$C:$C,$H2338,采购单!$L:$L,$K2338)&gt;0),"※这笔可能和采购单重复了",""))))))))))</f>
        <v/>
      </c>
    </row>
    <row r="2339">
      <c r="A2339" s="17">
        <f>IF($B2339="","",ROW()-3)</f>
        <v/>
      </c>
      <c r="B2339" s="18" t="n"/>
      <c r="C2339" s="13" t="n"/>
      <c r="D2339" s="13" t="n"/>
      <c r="E2339" s="13" t="n"/>
      <c r="F2339" s="17">
        <f>IF($E2339="","",IFERROR(VLOOKUP($E2339,类别归属,2,0),"※类别不在基础资料里"))</f>
        <v/>
      </c>
      <c r="G2339" s="13" t="n"/>
      <c r="H2339" s="13" t="n"/>
      <c r="I2339" s="13" t="n"/>
      <c r="J2339" s="14" t="n"/>
      <c r="K2339" s="14" t="n"/>
      <c r="L2339" s="19">
        <f>IF($C2339="","",ROUND(IFERROR(VLOOKUP($C2339,账户期初,2,0),0)+SUMIFS($J$4:J2339,$C$4:C2339,$C2339)-SUMIFS($K$4:K2339,$C$4:C2339,$C2339),2))</f>
        <v/>
      </c>
      <c r="M2339" s="19">
        <f>IF($C2339="","",ROUND(SUM(基础资料!$B$4:$B$13)+SUM($J$4:J2339)-SUM($K$4:K2339),2))</f>
        <v/>
      </c>
      <c r="N2339" s="13" t="n"/>
      <c r="O2339" s="13" t="n"/>
      <c r="P2339" s="17">
        <f>IF($B2339="","",IF($F2339="※类别不在基础资料里","※费用类别不在基础资料里",IF(AND(N($J2339)=0,N($K2339)=0),"※这行没填金额",IF(AND(N($J2339)&gt;0,N($K2339)&gt;0),"※收入和支出不能同一行都填",IF(AND($D2339="收入",N($J2339)=0),"※收入行要填收入金额",IF(AND($D2339="支出",N($K2339)=0),"※支出行要填支出金额",IF(AND($C2339&lt;&gt;"",ISNA(MATCH($C2339,账户表,0))),"※账户不在基础资料里",IF(AND($G2339&lt;&gt;"",ISNA(MATCH($G2339,项目名表,0))),"※项目不在项目台账里",IF(AND(LEFT($F2339,3)="成本-",$G2339=""),"※成本类支出没填项目",IF(AND(LEFT($F2339,3)="成本-",$H2339&lt;&gt;"",N($K2339)&gt;0,COUNTIFS(采购单!$B:$B,$B2339,采购单!$C:$C,$H2339,采购单!$L:$L,$K2339)&gt;0),"※这笔可能和采购单重复了",""))))))))))</f>
        <v/>
      </c>
    </row>
    <row r="2340">
      <c r="A2340" s="17">
        <f>IF($B2340="","",ROW()-3)</f>
        <v/>
      </c>
      <c r="B2340" s="18" t="n"/>
      <c r="C2340" s="13" t="n"/>
      <c r="D2340" s="13" t="n"/>
      <c r="E2340" s="13" t="n"/>
      <c r="F2340" s="17">
        <f>IF($E2340="","",IFERROR(VLOOKUP($E2340,类别归属,2,0),"※类别不在基础资料里"))</f>
        <v/>
      </c>
      <c r="G2340" s="13" t="n"/>
      <c r="H2340" s="13" t="n"/>
      <c r="I2340" s="13" t="n"/>
      <c r="J2340" s="14" t="n"/>
      <c r="K2340" s="14" t="n"/>
      <c r="L2340" s="19">
        <f>IF($C2340="","",ROUND(IFERROR(VLOOKUP($C2340,账户期初,2,0),0)+SUMIFS($J$4:J2340,$C$4:C2340,$C2340)-SUMIFS($K$4:K2340,$C$4:C2340,$C2340),2))</f>
        <v/>
      </c>
      <c r="M2340" s="19">
        <f>IF($C2340="","",ROUND(SUM(基础资料!$B$4:$B$13)+SUM($J$4:J2340)-SUM($K$4:K2340),2))</f>
        <v/>
      </c>
      <c r="N2340" s="13" t="n"/>
      <c r="O2340" s="13" t="n"/>
      <c r="P2340" s="17">
        <f>IF($B2340="","",IF($F2340="※类别不在基础资料里","※费用类别不在基础资料里",IF(AND(N($J2340)=0,N($K2340)=0),"※这行没填金额",IF(AND(N($J2340)&gt;0,N($K2340)&gt;0),"※收入和支出不能同一行都填",IF(AND($D2340="收入",N($J2340)=0),"※收入行要填收入金额",IF(AND($D2340="支出",N($K2340)=0),"※支出行要填支出金额",IF(AND($C2340&lt;&gt;"",ISNA(MATCH($C2340,账户表,0))),"※账户不在基础资料里",IF(AND($G2340&lt;&gt;"",ISNA(MATCH($G2340,项目名表,0))),"※项目不在项目台账里",IF(AND(LEFT($F2340,3)="成本-",$G2340=""),"※成本类支出没填项目",IF(AND(LEFT($F2340,3)="成本-",$H2340&lt;&gt;"",N($K2340)&gt;0,COUNTIFS(采购单!$B:$B,$B2340,采购单!$C:$C,$H2340,采购单!$L:$L,$K2340)&gt;0),"※这笔可能和采购单重复了",""))))))))))</f>
        <v/>
      </c>
    </row>
    <row r="2341">
      <c r="A2341" s="17">
        <f>IF($B2341="","",ROW()-3)</f>
        <v/>
      </c>
      <c r="B2341" s="18" t="n"/>
      <c r="C2341" s="13" t="n"/>
      <c r="D2341" s="13" t="n"/>
      <c r="E2341" s="13" t="n"/>
      <c r="F2341" s="17">
        <f>IF($E2341="","",IFERROR(VLOOKUP($E2341,类别归属,2,0),"※类别不在基础资料里"))</f>
        <v/>
      </c>
      <c r="G2341" s="13" t="n"/>
      <c r="H2341" s="13" t="n"/>
      <c r="I2341" s="13" t="n"/>
      <c r="J2341" s="14" t="n"/>
      <c r="K2341" s="14" t="n"/>
      <c r="L2341" s="19">
        <f>IF($C2341="","",ROUND(IFERROR(VLOOKUP($C2341,账户期初,2,0),0)+SUMIFS($J$4:J2341,$C$4:C2341,$C2341)-SUMIFS($K$4:K2341,$C$4:C2341,$C2341),2))</f>
        <v/>
      </c>
      <c r="M2341" s="19">
        <f>IF($C2341="","",ROUND(SUM(基础资料!$B$4:$B$13)+SUM($J$4:J2341)-SUM($K$4:K2341),2))</f>
        <v/>
      </c>
      <c r="N2341" s="13" t="n"/>
      <c r="O2341" s="13" t="n"/>
      <c r="P2341" s="17">
        <f>IF($B2341="","",IF($F2341="※类别不在基础资料里","※费用类别不在基础资料里",IF(AND(N($J2341)=0,N($K2341)=0),"※这行没填金额",IF(AND(N($J2341)&gt;0,N($K2341)&gt;0),"※收入和支出不能同一行都填",IF(AND($D2341="收入",N($J2341)=0),"※收入行要填收入金额",IF(AND($D2341="支出",N($K2341)=0),"※支出行要填支出金额",IF(AND($C2341&lt;&gt;"",ISNA(MATCH($C2341,账户表,0))),"※账户不在基础资料里",IF(AND($G2341&lt;&gt;"",ISNA(MATCH($G2341,项目名表,0))),"※项目不在项目台账里",IF(AND(LEFT($F2341,3)="成本-",$G2341=""),"※成本类支出没填项目",IF(AND(LEFT($F2341,3)="成本-",$H2341&lt;&gt;"",N($K2341)&gt;0,COUNTIFS(采购单!$B:$B,$B2341,采购单!$C:$C,$H2341,采购单!$L:$L,$K2341)&gt;0),"※这笔可能和采购单重复了",""))))))))))</f>
        <v/>
      </c>
    </row>
    <row r="2342">
      <c r="A2342" s="17">
        <f>IF($B2342="","",ROW()-3)</f>
        <v/>
      </c>
      <c r="B2342" s="18" t="n"/>
      <c r="C2342" s="13" t="n"/>
      <c r="D2342" s="13" t="n"/>
      <c r="E2342" s="13" t="n"/>
      <c r="F2342" s="17">
        <f>IF($E2342="","",IFERROR(VLOOKUP($E2342,类别归属,2,0),"※类别不在基础资料里"))</f>
        <v/>
      </c>
      <c r="G2342" s="13" t="n"/>
      <c r="H2342" s="13" t="n"/>
      <c r="I2342" s="13" t="n"/>
      <c r="J2342" s="14" t="n"/>
      <c r="K2342" s="14" t="n"/>
      <c r="L2342" s="19">
        <f>IF($C2342="","",ROUND(IFERROR(VLOOKUP($C2342,账户期初,2,0),0)+SUMIFS($J$4:J2342,$C$4:C2342,$C2342)-SUMIFS($K$4:K2342,$C$4:C2342,$C2342),2))</f>
        <v/>
      </c>
      <c r="M2342" s="19">
        <f>IF($C2342="","",ROUND(SUM(基础资料!$B$4:$B$13)+SUM($J$4:J2342)-SUM($K$4:K2342),2))</f>
        <v/>
      </c>
      <c r="N2342" s="13" t="n"/>
      <c r="O2342" s="13" t="n"/>
      <c r="P2342" s="17">
        <f>IF($B2342="","",IF($F2342="※类别不在基础资料里","※费用类别不在基础资料里",IF(AND(N($J2342)=0,N($K2342)=0),"※这行没填金额",IF(AND(N($J2342)&gt;0,N($K2342)&gt;0),"※收入和支出不能同一行都填",IF(AND($D2342="收入",N($J2342)=0),"※收入行要填收入金额",IF(AND($D2342="支出",N($K2342)=0),"※支出行要填支出金额",IF(AND($C2342&lt;&gt;"",ISNA(MATCH($C2342,账户表,0))),"※账户不在基础资料里",IF(AND($G2342&lt;&gt;"",ISNA(MATCH($G2342,项目名表,0))),"※项目不在项目台账里",IF(AND(LEFT($F2342,3)="成本-",$G2342=""),"※成本类支出没填项目",IF(AND(LEFT($F2342,3)="成本-",$H2342&lt;&gt;"",N($K2342)&gt;0,COUNTIFS(采购单!$B:$B,$B2342,采购单!$C:$C,$H2342,采购单!$L:$L,$K2342)&gt;0),"※这笔可能和采购单重复了",""))))))))))</f>
        <v/>
      </c>
    </row>
    <row r="2343">
      <c r="A2343" s="17">
        <f>IF($B2343="","",ROW()-3)</f>
        <v/>
      </c>
      <c r="B2343" s="18" t="n"/>
      <c r="C2343" s="13" t="n"/>
      <c r="D2343" s="13" t="n"/>
      <c r="E2343" s="13" t="n"/>
      <c r="F2343" s="17">
        <f>IF($E2343="","",IFERROR(VLOOKUP($E2343,类别归属,2,0),"※类别不在基础资料里"))</f>
        <v/>
      </c>
      <c r="G2343" s="13" t="n"/>
      <c r="H2343" s="13" t="n"/>
      <c r="I2343" s="13" t="n"/>
      <c r="J2343" s="14" t="n"/>
      <c r="K2343" s="14" t="n"/>
      <c r="L2343" s="19">
        <f>IF($C2343="","",ROUND(IFERROR(VLOOKUP($C2343,账户期初,2,0),0)+SUMIFS($J$4:J2343,$C$4:C2343,$C2343)-SUMIFS($K$4:K2343,$C$4:C2343,$C2343),2))</f>
        <v/>
      </c>
      <c r="M2343" s="19">
        <f>IF($C2343="","",ROUND(SUM(基础资料!$B$4:$B$13)+SUM($J$4:J2343)-SUM($K$4:K2343),2))</f>
        <v/>
      </c>
      <c r="N2343" s="13" t="n"/>
      <c r="O2343" s="13" t="n"/>
      <c r="P2343" s="17">
        <f>IF($B2343="","",IF($F2343="※类别不在基础资料里","※费用类别不在基础资料里",IF(AND(N($J2343)=0,N($K2343)=0),"※这行没填金额",IF(AND(N($J2343)&gt;0,N($K2343)&gt;0),"※收入和支出不能同一行都填",IF(AND($D2343="收入",N($J2343)=0),"※收入行要填收入金额",IF(AND($D2343="支出",N($K2343)=0),"※支出行要填支出金额",IF(AND($C2343&lt;&gt;"",ISNA(MATCH($C2343,账户表,0))),"※账户不在基础资料里",IF(AND($G2343&lt;&gt;"",ISNA(MATCH($G2343,项目名表,0))),"※项目不在项目台账里",IF(AND(LEFT($F2343,3)="成本-",$G2343=""),"※成本类支出没填项目",IF(AND(LEFT($F2343,3)="成本-",$H2343&lt;&gt;"",N($K2343)&gt;0,COUNTIFS(采购单!$B:$B,$B2343,采购单!$C:$C,$H2343,采购单!$L:$L,$K2343)&gt;0),"※这笔可能和采购单重复了",""))))))))))</f>
        <v/>
      </c>
    </row>
    <row r="2344">
      <c r="A2344" s="17">
        <f>IF($B2344="","",ROW()-3)</f>
        <v/>
      </c>
      <c r="B2344" s="18" t="n"/>
      <c r="C2344" s="13" t="n"/>
      <c r="D2344" s="13" t="n"/>
      <c r="E2344" s="13" t="n"/>
      <c r="F2344" s="17">
        <f>IF($E2344="","",IFERROR(VLOOKUP($E2344,类别归属,2,0),"※类别不在基础资料里"))</f>
        <v/>
      </c>
      <c r="G2344" s="13" t="n"/>
      <c r="H2344" s="13" t="n"/>
      <c r="I2344" s="13" t="n"/>
      <c r="J2344" s="14" t="n"/>
      <c r="K2344" s="14" t="n"/>
      <c r="L2344" s="19">
        <f>IF($C2344="","",ROUND(IFERROR(VLOOKUP($C2344,账户期初,2,0),0)+SUMIFS($J$4:J2344,$C$4:C2344,$C2344)-SUMIFS($K$4:K2344,$C$4:C2344,$C2344),2))</f>
        <v/>
      </c>
      <c r="M2344" s="19">
        <f>IF($C2344="","",ROUND(SUM(基础资料!$B$4:$B$13)+SUM($J$4:J2344)-SUM($K$4:K2344),2))</f>
        <v/>
      </c>
      <c r="N2344" s="13" t="n"/>
      <c r="O2344" s="13" t="n"/>
      <c r="P2344" s="17">
        <f>IF($B2344="","",IF($F2344="※类别不在基础资料里","※费用类别不在基础资料里",IF(AND(N($J2344)=0,N($K2344)=0),"※这行没填金额",IF(AND(N($J2344)&gt;0,N($K2344)&gt;0),"※收入和支出不能同一行都填",IF(AND($D2344="收入",N($J2344)=0),"※收入行要填收入金额",IF(AND($D2344="支出",N($K2344)=0),"※支出行要填支出金额",IF(AND($C2344&lt;&gt;"",ISNA(MATCH($C2344,账户表,0))),"※账户不在基础资料里",IF(AND($G2344&lt;&gt;"",ISNA(MATCH($G2344,项目名表,0))),"※项目不在项目台账里",IF(AND(LEFT($F2344,3)="成本-",$G2344=""),"※成本类支出没填项目",IF(AND(LEFT($F2344,3)="成本-",$H2344&lt;&gt;"",N($K2344)&gt;0,COUNTIFS(采购单!$B:$B,$B2344,采购单!$C:$C,$H2344,采购单!$L:$L,$K2344)&gt;0),"※这笔可能和采购单重复了",""))))))))))</f>
        <v/>
      </c>
    </row>
    <row r="2345">
      <c r="A2345" s="17">
        <f>IF($B2345="","",ROW()-3)</f>
        <v/>
      </c>
      <c r="B2345" s="18" t="n"/>
      <c r="C2345" s="13" t="n"/>
      <c r="D2345" s="13" t="n"/>
      <c r="E2345" s="13" t="n"/>
      <c r="F2345" s="17">
        <f>IF($E2345="","",IFERROR(VLOOKUP($E2345,类别归属,2,0),"※类别不在基础资料里"))</f>
        <v/>
      </c>
      <c r="G2345" s="13" t="n"/>
      <c r="H2345" s="13" t="n"/>
      <c r="I2345" s="13" t="n"/>
      <c r="J2345" s="14" t="n"/>
      <c r="K2345" s="14" t="n"/>
      <c r="L2345" s="19">
        <f>IF($C2345="","",ROUND(IFERROR(VLOOKUP($C2345,账户期初,2,0),0)+SUMIFS($J$4:J2345,$C$4:C2345,$C2345)-SUMIFS($K$4:K2345,$C$4:C2345,$C2345),2))</f>
        <v/>
      </c>
      <c r="M2345" s="19">
        <f>IF($C2345="","",ROUND(SUM(基础资料!$B$4:$B$13)+SUM($J$4:J2345)-SUM($K$4:K2345),2))</f>
        <v/>
      </c>
      <c r="N2345" s="13" t="n"/>
      <c r="O2345" s="13" t="n"/>
      <c r="P2345" s="17">
        <f>IF($B2345="","",IF($F2345="※类别不在基础资料里","※费用类别不在基础资料里",IF(AND(N($J2345)=0,N($K2345)=0),"※这行没填金额",IF(AND(N($J2345)&gt;0,N($K2345)&gt;0),"※收入和支出不能同一行都填",IF(AND($D2345="收入",N($J2345)=0),"※收入行要填收入金额",IF(AND($D2345="支出",N($K2345)=0),"※支出行要填支出金额",IF(AND($C2345&lt;&gt;"",ISNA(MATCH($C2345,账户表,0))),"※账户不在基础资料里",IF(AND($G2345&lt;&gt;"",ISNA(MATCH($G2345,项目名表,0))),"※项目不在项目台账里",IF(AND(LEFT($F2345,3)="成本-",$G2345=""),"※成本类支出没填项目",IF(AND(LEFT($F2345,3)="成本-",$H2345&lt;&gt;"",N($K2345)&gt;0,COUNTIFS(采购单!$B:$B,$B2345,采购单!$C:$C,$H2345,采购单!$L:$L,$K2345)&gt;0),"※这笔可能和采购单重复了",""))))))))))</f>
        <v/>
      </c>
    </row>
    <row r="2346">
      <c r="A2346" s="17">
        <f>IF($B2346="","",ROW()-3)</f>
        <v/>
      </c>
      <c r="B2346" s="18" t="n"/>
      <c r="C2346" s="13" t="n"/>
      <c r="D2346" s="13" t="n"/>
      <c r="E2346" s="13" t="n"/>
      <c r="F2346" s="17">
        <f>IF($E2346="","",IFERROR(VLOOKUP($E2346,类别归属,2,0),"※类别不在基础资料里"))</f>
        <v/>
      </c>
      <c r="G2346" s="13" t="n"/>
      <c r="H2346" s="13" t="n"/>
      <c r="I2346" s="13" t="n"/>
      <c r="J2346" s="14" t="n"/>
      <c r="K2346" s="14" t="n"/>
      <c r="L2346" s="19">
        <f>IF($C2346="","",ROUND(IFERROR(VLOOKUP($C2346,账户期初,2,0),0)+SUMIFS($J$4:J2346,$C$4:C2346,$C2346)-SUMIFS($K$4:K2346,$C$4:C2346,$C2346),2))</f>
        <v/>
      </c>
      <c r="M2346" s="19">
        <f>IF($C2346="","",ROUND(SUM(基础资料!$B$4:$B$13)+SUM($J$4:J2346)-SUM($K$4:K2346),2))</f>
        <v/>
      </c>
      <c r="N2346" s="13" t="n"/>
      <c r="O2346" s="13" t="n"/>
      <c r="P2346" s="17">
        <f>IF($B2346="","",IF($F2346="※类别不在基础资料里","※费用类别不在基础资料里",IF(AND(N($J2346)=0,N($K2346)=0),"※这行没填金额",IF(AND(N($J2346)&gt;0,N($K2346)&gt;0),"※收入和支出不能同一行都填",IF(AND($D2346="收入",N($J2346)=0),"※收入行要填收入金额",IF(AND($D2346="支出",N($K2346)=0),"※支出行要填支出金额",IF(AND($C2346&lt;&gt;"",ISNA(MATCH($C2346,账户表,0))),"※账户不在基础资料里",IF(AND($G2346&lt;&gt;"",ISNA(MATCH($G2346,项目名表,0))),"※项目不在项目台账里",IF(AND(LEFT($F2346,3)="成本-",$G2346=""),"※成本类支出没填项目",IF(AND(LEFT($F2346,3)="成本-",$H2346&lt;&gt;"",N($K2346)&gt;0,COUNTIFS(采购单!$B:$B,$B2346,采购单!$C:$C,$H2346,采购单!$L:$L,$K2346)&gt;0),"※这笔可能和采购单重复了",""))))))))))</f>
        <v/>
      </c>
    </row>
    <row r="2347">
      <c r="A2347" s="17">
        <f>IF($B2347="","",ROW()-3)</f>
        <v/>
      </c>
      <c r="B2347" s="18" t="n"/>
      <c r="C2347" s="13" t="n"/>
      <c r="D2347" s="13" t="n"/>
      <c r="E2347" s="13" t="n"/>
      <c r="F2347" s="17">
        <f>IF($E2347="","",IFERROR(VLOOKUP($E2347,类别归属,2,0),"※类别不在基础资料里"))</f>
        <v/>
      </c>
      <c r="G2347" s="13" t="n"/>
      <c r="H2347" s="13" t="n"/>
      <c r="I2347" s="13" t="n"/>
      <c r="J2347" s="14" t="n"/>
      <c r="K2347" s="14" t="n"/>
      <c r="L2347" s="19">
        <f>IF($C2347="","",ROUND(IFERROR(VLOOKUP($C2347,账户期初,2,0),0)+SUMIFS($J$4:J2347,$C$4:C2347,$C2347)-SUMIFS($K$4:K2347,$C$4:C2347,$C2347),2))</f>
        <v/>
      </c>
      <c r="M2347" s="19">
        <f>IF($C2347="","",ROUND(SUM(基础资料!$B$4:$B$13)+SUM($J$4:J2347)-SUM($K$4:K2347),2))</f>
        <v/>
      </c>
      <c r="N2347" s="13" t="n"/>
      <c r="O2347" s="13" t="n"/>
      <c r="P2347" s="17">
        <f>IF($B2347="","",IF($F2347="※类别不在基础资料里","※费用类别不在基础资料里",IF(AND(N($J2347)=0,N($K2347)=0),"※这行没填金额",IF(AND(N($J2347)&gt;0,N($K2347)&gt;0),"※收入和支出不能同一行都填",IF(AND($D2347="收入",N($J2347)=0),"※收入行要填收入金额",IF(AND($D2347="支出",N($K2347)=0),"※支出行要填支出金额",IF(AND($C2347&lt;&gt;"",ISNA(MATCH($C2347,账户表,0))),"※账户不在基础资料里",IF(AND($G2347&lt;&gt;"",ISNA(MATCH($G2347,项目名表,0))),"※项目不在项目台账里",IF(AND(LEFT($F2347,3)="成本-",$G2347=""),"※成本类支出没填项目",IF(AND(LEFT($F2347,3)="成本-",$H2347&lt;&gt;"",N($K2347)&gt;0,COUNTIFS(采购单!$B:$B,$B2347,采购单!$C:$C,$H2347,采购单!$L:$L,$K2347)&gt;0),"※这笔可能和采购单重复了",""))))))))))</f>
        <v/>
      </c>
    </row>
    <row r="2348">
      <c r="A2348" s="17">
        <f>IF($B2348="","",ROW()-3)</f>
        <v/>
      </c>
      <c r="B2348" s="18" t="n"/>
      <c r="C2348" s="13" t="n"/>
      <c r="D2348" s="13" t="n"/>
      <c r="E2348" s="13" t="n"/>
      <c r="F2348" s="17">
        <f>IF($E2348="","",IFERROR(VLOOKUP($E2348,类别归属,2,0),"※类别不在基础资料里"))</f>
        <v/>
      </c>
      <c r="G2348" s="13" t="n"/>
      <c r="H2348" s="13" t="n"/>
      <c r="I2348" s="13" t="n"/>
      <c r="J2348" s="14" t="n"/>
      <c r="K2348" s="14" t="n"/>
      <c r="L2348" s="19">
        <f>IF($C2348="","",ROUND(IFERROR(VLOOKUP($C2348,账户期初,2,0),0)+SUMIFS($J$4:J2348,$C$4:C2348,$C2348)-SUMIFS($K$4:K2348,$C$4:C2348,$C2348),2))</f>
        <v/>
      </c>
      <c r="M2348" s="19">
        <f>IF($C2348="","",ROUND(SUM(基础资料!$B$4:$B$13)+SUM($J$4:J2348)-SUM($K$4:K2348),2))</f>
        <v/>
      </c>
      <c r="N2348" s="13" t="n"/>
      <c r="O2348" s="13" t="n"/>
      <c r="P2348" s="17">
        <f>IF($B2348="","",IF($F2348="※类别不在基础资料里","※费用类别不在基础资料里",IF(AND(N($J2348)=0,N($K2348)=0),"※这行没填金额",IF(AND(N($J2348)&gt;0,N($K2348)&gt;0),"※收入和支出不能同一行都填",IF(AND($D2348="收入",N($J2348)=0),"※收入行要填收入金额",IF(AND($D2348="支出",N($K2348)=0),"※支出行要填支出金额",IF(AND($C2348&lt;&gt;"",ISNA(MATCH($C2348,账户表,0))),"※账户不在基础资料里",IF(AND($G2348&lt;&gt;"",ISNA(MATCH($G2348,项目名表,0))),"※项目不在项目台账里",IF(AND(LEFT($F2348,3)="成本-",$G2348=""),"※成本类支出没填项目",IF(AND(LEFT($F2348,3)="成本-",$H2348&lt;&gt;"",N($K2348)&gt;0,COUNTIFS(采购单!$B:$B,$B2348,采购单!$C:$C,$H2348,采购单!$L:$L,$K2348)&gt;0),"※这笔可能和采购单重复了",""))))))))))</f>
        <v/>
      </c>
    </row>
    <row r="2349">
      <c r="A2349" s="17">
        <f>IF($B2349="","",ROW()-3)</f>
        <v/>
      </c>
      <c r="B2349" s="18" t="n"/>
      <c r="C2349" s="13" t="n"/>
      <c r="D2349" s="13" t="n"/>
      <c r="E2349" s="13" t="n"/>
      <c r="F2349" s="17">
        <f>IF($E2349="","",IFERROR(VLOOKUP($E2349,类别归属,2,0),"※类别不在基础资料里"))</f>
        <v/>
      </c>
      <c r="G2349" s="13" t="n"/>
      <c r="H2349" s="13" t="n"/>
      <c r="I2349" s="13" t="n"/>
      <c r="J2349" s="14" t="n"/>
      <c r="K2349" s="14" t="n"/>
      <c r="L2349" s="19">
        <f>IF($C2349="","",ROUND(IFERROR(VLOOKUP($C2349,账户期初,2,0),0)+SUMIFS($J$4:J2349,$C$4:C2349,$C2349)-SUMIFS($K$4:K2349,$C$4:C2349,$C2349),2))</f>
        <v/>
      </c>
      <c r="M2349" s="19">
        <f>IF($C2349="","",ROUND(SUM(基础资料!$B$4:$B$13)+SUM($J$4:J2349)-SUM($K$4:K2349),2))</f>
        <v/>
      </c>
      <c r="N2349" s="13" t="n"/>
      <c r="O2349" s="13" t="n"/>
      <c r="P2349" s="17">
        <f>IF($B2349="","",IF($F2349="※类别不在基础资料里","※费用类别不在基础资料里",IF(AND(N($J2349)=0,N($K2349)=0),"※这行没填金额",IF(AND(N($J2349)&gt;0,N($K2349)&gt;0),"※收入和支出不能同一行都填",IF(AND($D2349="收入",N($J2349)=0),"※收入行要填收入金额",IF(AND($D2349="支出",N($K2349)=0),"※支出行要填支出金额",IF(AND($C2349&lt;&gt;"",ISNA(MATCH($C2349,账户表,0))),"※账户不在基础资料里",IF(AND($G2349&lt;&gt;"",ISNA(MATCH($G2349,项目名表,0))),"※项目不在项目台账里",IF(AND(LEFT($F2349,3)="成本-",$G2349=""),"※成本类支出没填项目",IF(AND(LEFT($F2349,3)="成本-",$H2349&lt;&gt;"",N($K2349)&gt;0,COUNTIFS(采购单!$B:$B,$B2349,采购单!$C:$C,$H2349,采购单!$L:$L,$K2349)&gt;0),"※这笔可能和采购单重复了",""))))))))))</f>
        <v/>
      </c>
    </row>
    <row r="2350">
      <c r="A2350" s="17">
        <f>IF($B2350="","",ROW()-3)</f>
        <v/>
      </c>
      <c r="B2350" s="18" t="n"/>
      <c r="C2350" s="13" t="n"/>
      <c r="D2350" s="13" t="n"/>
      <c r="E2350" s="13" t="n"/>
      <c r="F2350" s="17">
        <f>IF($E2350="","",IFERROR(VLOOKUP($E2350,类别归属,2,0),"※类别不在基础资料里"))</f>
        <v/>
      </c>
      <c r="G2350" s="13" t="n"/>
      <c r="H2350" s="13" t="n"/>
      <c r="I2350" s="13" t="n"/>
      <c r="J2350" s="14" t="n"/>
      <c r="K2350" s="14" t="n"/>
      <c r="L2350" s="19">
        <f>IF($C2350="","",ROUND(IFERROR(VLOOKUP($C2350,账户期初,2,0),0)+SUMIFS($J$4:J2350,$C$4:C2350,$C2350)-SUMIFS($K$4:K2350,$C$4:C2350,$C2350),2))</f>
        <v/>
      </c>
      <c r="M2350" s="19">
        <f>IF($C2350="","",ROUND(SUM(基础资料!$B$4:$B$13)+SUM($J$4:J2350)-SUM($K$4:K2350),2))</f>
        <v/>
      </c>
      <c r="N2350" s="13" t="n"/>
      <c r="O2350" s="13" t="n"/>
      <c r="P2350" s="17">
        <f>IF($B2350="","",IF($F2350="※类别不在基础资料里","※费用类别不在基础资料里",IF(AND(N($J2350)=0,N($K2350)=0),"※这行没填金额",IF(AND(N($J2350)&gt;0,N($K2350)&gt;0),"※收入和支出不能同一行都填",IF(AND($D2350="收入",N($J2350)=0),"※收入行要填收入金额",IF(AND($D2350="支出",N($K2350)=0),"※支出行要填支出金额",IF(AND($C2350&lt;&gt;"",ISNA(MATCH($C2350,账户表,0))),"※账户不在基础资料里",IF(AND($G2350&lt;&gt;"",ISNA(MATCH($G2350,项目名表,0))),"※项目不在项目台账里",IF(AND(LEFT($F2350,3)="成本-",$G2350=""),"※成本类支出没填项目",IF(AND(LEFT($F2350,3)="成本-",$H2350&lt;&gt;"",N($K2350)&gt;0,COUNTIFS(采购单!$B:$B,$B2350,采购单!$C:$C,$H2350,采购单!$L:$L,$K2350)&gt;0),"※这笔可能和采购单重复了",""))))))))))</f>
        <v/>
      </c>
    </row>
    <row r="2351">
      <c r="A2351" s="17">
        <f>IF($B2351="","",ROW()-3)</f>
        <v/>
      </c>
      <c r="B2351" s="18" t="n"/>
      <c r="C2351" s="13" t="n"/>
      <c r="D2351" s="13" t="n"/>
      <c r="E2351" s="13" t="n"/>
      <c r="F2351" s="17">
        <f>IF($E2351="","",IFERROR(VLOOKUP($E2351,类别归属,2,0),"※类别不在基础资料里"))</f>
        <v/>
      </c>
      <c r="G2351" s="13" t="n"/>
      <c r="H2351" s="13" t="n"/>
      <c r="I2351" s="13" t="n"/>
      <c r="J2351" s="14" t="n"/>
      <c r="K2351" s="14" t="n"/>
      <c r="L2351" s="19">
        <f>IF($C2351="","",ROUND(IFERROR(VLOOKUP($C2351,账户期初,2,0),0)+SUMIFS($J$4:J2351,$C$4:C2351,$C2351)-SUMIFS($K$4:K2351,$C$4:C2351,$C2351),2))</f>
        <v/>
      </c>
      <c r="M2351" s="19">
        <f>IF($C2351="","",ROUND(SUM(基础资料!$B$4:$B$13)+SUM($J$4:J2351)-SUM($K$4:K2351),2))</f>
        <v/>
      </c>
      <c r="N2351" s="13" t="n"/>
      <c r="O2351" s="13" t="n"/>
      <c r="P2351" s="17">
        <f>IF($B2351="","",IF($F2351="※类别不在基础资料里","※费用类别不在基础资料里",IF(AND(N($J2351)=0,N($K2351)=0),"※这行没填金额",IF(AND(N($J2351)&gt;0,N($K2351)&gt;0),"※收入和支出不能同一行都填",IF(AND($D2351="收入",N($J2351)=0),"※收入行要填收入金额",IF(AND($D2351="支出",N($K2351)=0),"※支出行要填支出金额",IF(AND($C2351&lt;&gt;"",ISNA(MATCH($C2351,账户表,0))),"※账户不在基础资料里",IF(AND($G2351&lt;&gt;"",ISNA(MATCH($G2351,项目名表,0))),"※项目不在项目台账里",IF(AND(LEFT($F2351,3)="成本-",$G2351=""),"※成本类支出没填项目",IF(AND(LEFT($F2351,3)="成本-",$H2351&lt;&gt;"",N($K2351)&gt;0,COUNTIFS(采购单!$B:$B,$B2351,采购单!$C:$C,$H2351,采购单!$L:$L,$K2351)&gt;0),"※这笔可能和采购单重复了",""))))))))))</f>
        <v/>
      </c>
    </row>
    <row r="2352">
      <c r="A2352" s="17">
        <f>IF($B2352="","",ROW()-3)</f>
        <v/>
      </c>
      <c r="B2352" s="18" t="n"/>
      <c r="C2352" s="13" t="n"/>
      <c r="D2352" s="13" t="n"/>
      <c r="E2352" s="13" t="n"/>
      <c r="F2352" s="17">
        <f>IF($E2352="","",IFERROR(VLOOKUP($E2352,类别归属,2,0),"※类别不在基础资料里"))</f>
        <v/>
      </c>
      <c r="G2352" s="13" t="n"/>
      <c r="H2352" s="13" t="n"/>
      <c r="I2352" s="13" t="n"/>
      <c r="J2352" s="14" t="n"/>
      <c r="K2352" s="14" t="n"/>
      <c r="L2352" s="19">
        <f>IF($C2352="","",ROUND(IFERROR(VLOOKUP($C2352,账户期初,2,0),0)+SUMIFS($J$4:J2352,$C$4:C2352,$C2352)-SUMIFS($K$4:K2352,$C$4:C2352,$C2352),2))</f>
        <v/>
      </c>
      <c r="M2352" s="19">
        <f>IF($C2352="","",ROUND(SUM(基础资料!$B$4:$B$13)+SUM($J$4:J2352)-SUM($K$4:K2352),2))</f>
        <v/>
      </c>
      <c r="N2352" s="13" t="n"/>
      <c r="O2352" s="13" t="n"/>
      <c r="P2352" s="17">
        <f>IF($B2352="","",IF($F2352="※类别不在基础资料里","※费用类别不在基础资料里",IF(AND(N($J2352)=0,N($K2352)=0),"※这行没填金额",IF(AND(N($J2352)&gt;0,N($K2352)&gt;0),"※收入和支出不能同一行都填",IF(AND($D2352="收入",N($J2352)=0),"※收入行要填收入金额",IF(AND($D2352="支出",N($K2352)=0),"※支出行要填支出金额",IF(AND($C2352&lt;&gt;"",ISNA(MATCH($C2352,账户表,0))),"※账户不在基础资料里",IF(AND($G2352&lt;&gt;"",ISNA(MATCH($G2352,项目名表,0))),"※项目不在项目台账里",IF(AND(LEFT($F2352,3)="成本-",$G2352=""),"※成本类支出没填项目",IF(AND(LEFT($F2352,3)="成本-",$H2352&lt;&gt;"",N($K2352)&gt;0,COUNTIFS(采购单!$B:$B,$B2352,采购单!$C:$C,$H2352,采购单!$L:$L,$K2352)&gt;0),"※这笔可能和采购单重复了",""))))))))))</f>
        <v/>
      </c>
    </row>
    <row r="2353">
      <c r="A2353" s="17">
        <f>IF($B2353="","",ROW()-3)</f>
        <v/>
      </c>
      <c r="B2353" s="18" t="n"/>
      <c r="C2353" s="13" t="n"/>
      <c r="D2353" s="13" t="n"/>
      <c r="E2353" s="13" t="n"/>
      <c r="F2353" s="17">
        <f>IF($E2353="","",IFERROR(VLOOKUP($E2353,类别归属,2,0),"※类别不在基础资料里"))</f>
        <v/>
      </c>
      <c r="G2353" s="13" t="n"/>
      <c r="H2353" s="13" t="n"/>
      <c r="I2353" s="13" t="n"/>
      <c r="J2353" s="14" t="n"/>
      <c r="K2353" s="14" t="n"/>
      <c r="L2353" s="19">
        <f>IF($C2353="","",ROUND(IFERROR(VLOOKUP($C2353,账户期初,2,0),0)+SUMIFS($J$4:J2353,$C$4:C2353,$C2353)-SUMIFS($K$4:K2353,$C$4:C2353,$C2353),2))</f>
        <v/>
      </c>
      <c r="M2353" s="19">
        <f>IF($C2353="","",ROUND(SUM(基础资料!$B$4:$B$13)+SUM($J$4:J2353)-SUM($K$4:K2353),2))</f>
        <v/>
      </c>
      <c r="N2353" s="13" t="n"/>
      <c r="O2353" s="13" t="n"/>
      <c r="P2353" s="17">
        <f>IF($B2353="","",IF($F2353="※类别不在基础资料里","※费用类别不在基础资料里",IF(AND(N($J2353)=0,N($K2353)=0),"※这行没填金额",IF(AND(N($J2353)&gt;0,N($K2353)&gt;0),"※收入和支出不能同一行都填",IF(AND($D2353="收入",N($J2353)=0),"※收入行要填收入金额",IF(AND($D2353="支出",N($K2353)=0),"※支出行要填支出金额",IF(AND($C2353&lt;&gt;"",ISNA(MATCH($C2353,账户表,0))),"※账户不在基础资料里",IF(AND($G2353&lt;&gt;"",ISNA(MATCH($G2353,项目名表,0))),"※项目不在项目台账里",IF(AND(LEFT($F2353,3)="成本-",$G2353=""),"※成本类支出没填项目",IF(AND(LEFT($F2353,3)="成本-",$H2353&lt;&gt;"",N($K2353)&gt;0,COUNTIFS(采购单!$B:$B,$B2353,采购单!$C:$C,$H2353,采购单!$L:$L,$K2353)&gt;0),"※这笔可能和采购单重复了",""))))))))))</f>
        <v/>
      </c>
    </row>
    <row r="2354">
      <c r="A2354" s="17">
        <f>IF($B2354="","",ROW()-3)</f>
        <v/>
      </c>
      <c r="B2354" s="18" t="n"/>
      <c r="C2354" s="13" t="n"/>
      <c r="D2354" s="13" t="n"/>
      <c r="E2354" s="13" t="n"/>
      <c r="F2354" s="17">
        <f>IF($E2354="","",IFERROR(VLOOKUP($E2354,类别归属,2,0),"※类别不在基础资料里"))</f>
        <v/>
      </c>
      <c r="G2354" s="13" t="n"/>
      <c r="H2354" s="13" t="n"/>
      <c r="I2354" s="13" t="n"/>
      <c r="J2354" s="14" t="n"/>
      <c r="K2354" s="14" t="n"/>
      <c r="L2354" s="19">
        <f>IF($C2354="","",ROUND(IFERROR(VLOOKUP($C2354,账户期初,2,0),0)+SUMIFS($J$4:J2354,$C$4:C2354,$C2354)-SUMIFS($K$4:K2354,$C$4:C2354,$C2354),2))</f>
        <v/>
      </c>
      <c r="M2354" s="19">
        <f>IF($C2354="","",ROUND(SUM(基础资料!$B$4:$B$13)+SUM($J$4:J2354)-SUM($K$4:K2354),2))</f>
        <v/>
      </c>
      <c r="N2354" s="13" t="n"/>
      <c r="O2354" s="13" t="n"/>
      <c r="P2354" s="17">
        <f>IF($B2354="","",IF($F2354="※类别不在基础资料里","※费用类别不在基础资料里",IF(AND(N($J2354)=0,N($K2354)=0),"※这行没填金额",IF(AND(N($J2354)&gt;0,N($K2354)&gt;0),"※收入和支出不能同一行都填",IF(AND($D2354="收入",N($J2354)=0),"※收入行要填收入金额",IF(AND($D2354="支出",N($K2354)=0),"※支出行要填支出金额",IF(AND($C2354&lt;&gt;"",ISNA(MATCH($C2354,账户表,0))),"※账户不在基础资料里",IF(AND($G2354&lt;&gt;"",ISNA(MATCH($G2354,项目名表,0))),"※项目不在项目台账里",IF(AND(LEFT($F2354,3)="成本-",$G2354=""),"※成本类支出没填项目",IF(AND(LEFT($F2354,3)="成本-",$H2354&lt;&gt;"",N($K2354)&gt;0,COUNTIFS(采购单!$B:$B,$B2354,采购单!$C:$C,$H2354,采购单!$L:$L,$K2354)&gt;0),"※这笔可能和采购单重复了",""))))))))))</f>
        <v/>
      </c>
    </row>
    <row r="2355">
      <c r="A2355" s="17">
        <f>IF($B2355="","",ROW()-3)</f>
        <v/>
      </c>
      <c r="B2355" s="18" t="n"/>
      <c r="C2355" s="13" t="n"/>
      <c r="D2355" s="13" t="n"/>
      <c r="E2355" s="13" t="n"/>
      <c r="F2355" s="17">
        <f>IF($E2355="","",IFERROR(VLOOKUP($E2355,类别归属,2,0),"※类别不在基础资料里"))</f>
        <v/>
      </c>
      <c r="G2355" s="13" t="n"/>
      <c r="H2355" s="13" t="n"/>
      <c r="I2355" s="13" t="n"/>
      <c r="J2355" s="14" t="n"/>
      <c r="K2355" s="14" t="n"/>
      <c r="L2355" s="19">
        <f>IF($C2355="","",ROUND(IFERROR(VLOOKUP($C2355,账户期初,2,0),0)+SUMIFS($J$4:J2355,$C$4:C2355,$C2355)-SUMIFS($K$4:K2355,$C$4:C2355,$C2355),2))</f>
        <v/>
      </c>
      <c r="M2355" s="19">
        <f>IF($C2355="","",ROUND(SUM(基础资料!$B$4:$B$13)+SUM($J$4:J2355)-SUM($K$4:K2355),2))</f>
        <v/>
      </c>
      <c r="N2355" s="13" t="n"/>
      <c r="O2355" s="13" t="n"/>
      <c r="P2355" s="17">
        <f>IF($B2355="","",IF($F2355="※类别不在基础资料里","※费用类别不在基础资料里",IF(AND(N($J2355)=0,N($K2355)=0),"※这行没填金额",IF(AND(N($J2355)&gt;0,N($K2355)&gt;0),"※收入和支出不能同一行都填",IF(AND($D2355="收入",N($J2355)=0),"※收入行要填收入金额",IF(AND($D2355="支出",N($K2355)=0),"※支出行要填支出金额",IF(AND($C2355&lt;&gt;"",ISNA(MATCH($C2355,账户表,0))),"※账户不在基础资料里",IF(AND($G2355&lt;&gt;"",ISNA(MATCH($G2355,项目名表,0))),"※项目不在项目台账里",IF(AND(LEFT($F2355,3)="成本-",$G2355=""),"※成本类支出没填项目",IF(AND(LEFT($F2355,3)="成本-",$H2355&lt;&gt;"",N($K2355)&gt;0,COUNTIFS(采购单!$B:$B,$B2355,采购单!$C:$C,$H2355,采购单!$L:$L,$K2355)&gt;0),"※这笔可能和采购单重复了",""))))))))))</f>
        <v/>
      </c>
    </row>
    <row r="2356">
      <c r="A2356" s="17">
        <f>IF($B2356="","",ROW()-3)</f>
        <v/>
      </c>
      <c r="B2356" s="18" t="n"/>
      <c r="C2356" s="13" t="n"/>
      <c r="D2356" s="13" t="n"/>
      <c r="E2356" s="13" t="n"/>
      <c r="F2356" s="17">
        <f>IF($E2356="","",IFERROR(VLOOKUP($E2356,类别归属,2,0),"※类别不在基础资料里"))</f>
        <v/>
      </c>
      <c r="G2356" s="13" t="n"/>
      <c r="H2356" s="13" t="n"/>
      <c r="I2356" s="13" t="n"/>
      <c r="J2356" s="14" t="n"/>
      <c r="K2356" s="14" t="n"/>
      <c r="L2356" s="19">
        <f>IF($C2356="","",ROUND(IFERROR(VLOOKUP($C2356,账户期初,2,0),0)+SUMIFS($J$4:J2356,$C$4:C2356,$C2356)-SUMIFS($K$4:K2356,$C$4:C2356,$C2356),2))</f>
        <v/>
      </c>
      <c r="M2356" s="19">
        <f>IF($C2356="","",ROUND(SUM(基础资料!$B$4:$B$13)+SUM($J$4:J2356)-SUM($K$4:K2356),2))</f>
        <v/>
      </c>
      <c r="N2356" s="13" t="n"/>
      <c r="O2356" s="13" t="n"/>
      <c r="P2356" s="17">
        <f>IF($B2356="","",IF($F2356="※类别不在基础资料里","※费用类别不在基础资料里",IF(AND(N($J2356)=0,N($K2356)=0),"※这行没填金额",IF(AND(N($J2356)&gt;0,N($K2356)&gt;0),"※收入和支出不能同一行都填",IF(AND($D2356="收入",N($J2356)=0),"※收入行要填收入金额",IF(AND($D2356="支出",N($K2356)=0),"※支出行要填支出金额",IF(AND($C2356&lt;&gt;"",ISNA(MATCH($C2356,账户表,0))),"※账户不在基础资料里",IF(AND($G2356&lt;&gt;"",ISNA(MATCH($G2356,项目名表,0))),"※项目不在项目台账里",IF(AND(LEFT($F2356,3)="成本-",$G2356=""),"※成本类支出没填项目",IF(AND(LEFT($F2356,3)="成本-",$H2356&lt;&gt;"",N($K2356)&gt;0,COUNTIFS(采购单!$B:$B,$B2356,采购单!$C:$C,$H2356,采购单!$L:$L,$K2356)&gt;0),"※这笔可能和采购单重复了",""))))))))))</f>
        <v/>
      </c>
    </row>
    <row r="2357">
      <c r="A2357" s="17">
        <f>IF($B2357="","",ROW()-3)</f>
        <v/>
      </c>
      <c r="B2357" s="18" t="n"/>
      <c r="C2357" s="13" t="n"/>
      <c r="D2357" s="13" t="n"/>
      <c r="E2357" s="13" t="n"/>
      <c r="F2357" s="17">
        <f>IF($E2357="","",IFERROR(VLOOKUP($E2357,类别归属,2,0),"※类别不在基础资料里"))</f>
        <v/>
      </c>
      <c r="G2357" s="13" t="n"/>
      <c r="H2357" s="13" t="n"/>
      <c r="I2357" s="13" t="n"/>
      <c r="J2357" s="14" t="n"/>
      <c r="K2357" s="14" t="n"/>
      <c r="L2357" s="19">
        <f>IF($C2357="","",ROUND(IFERROR(VLOOKUP($C2357,账户期初,2,0),0)+SUMIFS($J$4:J2357,$C$4:C2357,$C2357)-SUMIFS($K$4:K2357,$C$4:C2357,$C2357),2))</f>
        <v/>
      </c>
      <c r="M2357" s="19">
        <f>IF($C2357="","",ROUND(SUM(基础资料!$B$4:$B$13)+SUM($J$4:J2357)-SUM($K$4:K2357),2))</f>
        <v/>
      </c>
      <c r="N2357" s="13" t="n"/>
      <c r="O2357" s="13" t="n"/>
      <c r="P2357" s="17">
        <f>IF($B2357="","",IF($F2357="※类别不在基础资料里","※费用类别不在基础资料里",IF(AND(N($J2357)=0,N($K2357)=0),"※这行没填金额",IF(AND(N($J2357)&gt;0,N($K2357)&gt;0),"※收入和支出不能同一行都填",IF(AND($D2357="收入",N($J2357)=0),"※收入行要填收入金额",IF(AND($D2357="支出",N($K2357)=0),"※支出行要填支出金额",IF(AND($C2357&lt;&gt;"",ISNA(MATCH($C2357,账户表,0))),"※账户不在基础资料里",IF(AND($G2357&lt;&gt;"",ISNA(MATCH($G2357,项目名表,0))),"※项目不在项目台账里",IF(AND(LEFT($F2357,3)="成本-",$G2357=""),"※成本类支出没填项目",IF(AND(LEFT($F2357,3)="成本-",$H2357&lt;&gt;"",N($K2357)&gt;0,COUNTIFS(采购单!$B:$B,$B2357,采购单!$C:$C,$H2357,采购单!$L:$L,$K2357)&gt;0),"※这笔可能和采购单重复了",""))))))))))</f>
        <v/>
      </c>
    </row>
    <row r="2358">
      <c r="A2358" s="17">
        <f>IF($B2358="","",ROW()-3)</f>
        <v/>
      </c>
      <c r="B2358" s="18" t="n"/>
      <c r="C2358" s="13" t="n"/>
      <c r="D2358" s="13" t="n"/>
      <c r="E2358" s="13" t="n"/>
      <c r="F2358" s="17">
        <f>IF($E2358="","",IFERROR(VLOOKUP($E2358,类别归属,2,0),"※类别不在基础资料里"))</f>
        <v/>
      </c>
      <c r="G2358" s="13" t="n"/>
      <c r="H2358" s="13" t="n"/>
      <c r="I2358" s="13" t="n"/>
      <c r="J2358" s="14" t="n"/>
      <c r="K2358" s="14" t="n"/>
      <c r="L2358" s="19">
        <f>IF($C2358="","",ROUND(IFERROR(VLOOKUP($C2358,账户期初,2,0),0)+SUMIFS($J$4:J2358,$C$4:C2358,$C2358)-SUMIFS($K$4:K2358,$C$4:C2358,$C2358),2))</f>
        <v/>
      </c>
      <c r="M2358" s="19">
        <f>IF($C2358="","",ROUND(SUM(基础资料!$B$4:$B$13)+SUM($J$4:J2358)-SUM($K$4:K2358),2))</f>
        <v/>
      </c>
      <c r="N2358" s="13" t="n"/>
      <c r="O2358" s="13" t="n"/>
      <c r="P2358" s="17">
        <f>IF($B2358="","",IF($F2358="※类别不在基础资料里","※费用类别不在基础资料里",IF(AND(N($J2358)=0,N($K2358)=0),"※这行没填金额",IF(AND(N($J2358)&gt;0,N($K2358)&gt;0),"※收入和支出不能同一行都填",IF(AND($D2358="收入",N($J2358)=0),"※收入行要填收入金额",IF(AND($D2358="支出",N($K2358)=0),"※支出行要填支出金额",IF(AND($C2358&lt;&gt;"",ISNA(MATCH($C2358,账户表,0))),"※账户不在基础资料里",IF(AND($G2358&lt;&gt;"",ISNA(MATCH($G2358,项目名表,0))),"※项目不在项目台账里",IF(AND(LEFT($F2358,3)="成本-",$G2358=""),"※成本类支出没填项目",IF(AND(LEFT($F2358,3)="成本-",$H2358&lt;&gt;"",N($K2358)&gt;0,COUNTIFS(采购单!$B:$B,$B2358,采购单!$C:$C,$H2358,采购单!$L:$L,$K2358)&gt;0),"※这笔可能和采购单重复了",""))))))))))</f>
        <v/>
      </c>
    </row>
    <row r="2359">
      <c r="A2359" s="17">
        <f>IF($B2359="","",ROW()-3)</f>
        <v/>
      </c>
      <c r="B2359" s="18" t="n"/>
      <c r="C2359" s="13" t="n"/>
      <c r="D2359" s="13" t="n"/>
      <c r="E2359" s="13" t="n"/>
      <c r="F2359" s="17">
        <f>IF($E2359="","",IFERROR(VLOOKUP($E2359,类别归属,2,0),"※类别不在基础资料里"))</f>
        <v/>
      </c>
      <c r="G2359" s="13" t="n"/>
      <c r="H2359" s="13" t="n"/>
      <c r="I2359" s="13" t="n"/>
      <c r="J2359" s="14" t="n"/>
      <c r="K2359" s="14" t="n"/>
      <c r="L2359" s="19">
        <f>IF($C2359="","",ROUND(IFERROR(VLOOKUP($C2359,账户期初,2,0),0)+SUMIFS($J$4:J2359,$C$4:C2359,$C2359)-SUMIFS($K$4:K2359,$C$4:C2359,$C2359),2))</f>
        <v/>
      </c>
      <c r="M2359" s="19">
        <f>IF($C2359="","",ROUND(SUM(基础资料!$B$4:$B$13)+SUM($J$4:J2359)-SUM($K$4:K2359),2))</f>
        <v/>
      </c>
      <c r="N2359" s="13" t="n"/>
      <c r="O2359" s="13" t="n"/>
      <c r="P2359" s="17">
        <f>IF($B2359="","",IF($F2359="※类别不在基础资料里","※费用类别不在基础资料里",IF(AND(N($J2359)=0,N($K2359)=0),"※这行没填金额",IF(AND(N($J2359)&gt;0,N($K2359)&gt;0),"※收入和支出不能同一行都填",IF(AND($D2359="收入",N($J2359)=0),"※收入行要填收入金额",IF(AND($D2359="支出",N($K2359)=0),"※支出行要填支出金额",IF(AND($C2359&lt;&gt;"",ISNA(MATCH($C2359,账户表,0))),"※账户不在基础资料里",IF(AND($G2359&lt;&gt;"",ISNA(MATCH($G2359,项目名表,0))),"※项目不在项目台账里",IF(AND(LEFT($F2359,3)="成本-",$G2359=""),"※成本类支出没填项目",IF(AND(LEFT($F2359,3)="成本-",$H2359&lt;&gt;"",N($K2359)&gt;0,COUNTIFS(采购单!$B:$B,$B2359,采购单!$C:$C,$H2359,采购单!$L:$L,$K2359)&gt;0),"※这笔可能和采购单重复了",""))))))))))</f>
        <v/>
      </c>
    </row>
    <row r="2360">
      <c r="A2360" s="17">
        <f>IF($B2360="","",ROW()-3)</f>
        <v/>
      </c>
      <c r="B2360" s="18" t="n"/>
      <c r="C2360" s="13" t="n"/>
      <c r="D2360" s="13" t="n"/>
      <c r="E2360" s="13" t="n"/>
      <c r="F2360" s="17">
        <f>IF($E2360="","",IFERROR(VLOOKUP($E2360,类别归属,2,0),"※类别不在基础资料里"))</f>
        <v/>
      </c>
      <c r="G2360" s="13" t="n"/>
      <c r="H2360" s="13" t="n"/>
      <c r="I2360" s="13" t="n"/>
      <c r="J2360" s="14" t="n"/>
      <c r="K2360" s="14" t="n"/>
      <c r="L2360" s="19">
        <f>IF($C2360="","",ROUND(IFERROR(VLOOKUP($C2360,账户期初,2,0),0)+SUMIFS($J$4:J2360,$C$4:C2360,$C2360)-SUMIFS($K$4:K2360,$C$4:C2360,$C2360),2))</f>
        <v/>
      </c>
      <c r="M2360" s="19">
        <f>IF($C2360="","",ROUND(SUM(基础资料!$B$4:$B$13)+SUM($J$4:J2360)-SUM($K$4:K2360),2))</f>
        <v/>
      </c>
      <c r="N2360" s="13" t="n"/>
      <c r="O2360" s="13" t="n"/>
      <c r="P2360" s="17">
        <f>IF($B2360="","",IF($F2360="※类别不在基础资料里","※费用类别不在基础资料里",IF(AND(N($J2360)=0,N($K2360)=0),"※这行没填金额",IF(AND(N($J2360)&gt;0,N($K2360)&gt;0),"※收入和支出不能同一行都填",IF(AND($D2360="收入",N($J2360)=0),"※收入行要填收入金额",IF(AND($D2360="支出",N($K2360)=0),"※支出行要填支出金额",IF(AND($C2360&lt;&gt;"",ISNA(MATCH($C2360,账户表,0))),"※账户不在基础资料里",IF(AND($G2360&lt;&gt;"",ISNA(MATCH($G2360,项目名表,0))),"※项目不在项目台账里",IF(AND(LEFT($F2360,3)="成本-",$G2360=""),"※成本类支出没填项目",IF(AND(LEFT($F2360,3)="成本-",$H2360&lt;&gt;"",N($K2360)&gt;0,COUNTIFS(采购单!$B:$B,$B2360,采购单!$C:$C,$H2360,采购单!$L:$L,$K2360)&gt;0),"※这笔可能和采购单重复了",""))))))))))</f>
        <v/>
      </c>
    </row>
    <row r="2361">
      <c r="A2361" s="17">
        <f>IF($B2361="","",ROW()-3)</f>
        <v/>
      </c>
      <c r="B2361" s="18" t="n"/>
      <c r="C2361" s="13" t="n"/>
      <c r="D2361" s="13" t="n"/>
      <c r="E2361" s="13" t="n"/>
      <c r="F2361" s="17">
        <f>IF($E2361="","",IFERROR(VLOOKUP($E2361,类别归属,2,0),"※类别不在基础资料里"))</f>
        <v/>
      </c>
      <c r="G2361" s="13" t="n"/>
      <c r="H2361" s="13" t="n"/>
      <c r="I2361" s="13" t="n"/>
      <c r="J2361" s="14" t="n"/>
      <c r="K2361" s="14" t="n"/>
      <c r="L2361" s="19">
        <f>IF($C2361="","",ROUND(IFERROR(VLOOKUP($C2361,账户期初,2,0),0)+SUMIFS($J$4:J2361,$C$4:C2361,$C2361)-SUMIFS($K$4:K2361,$C$4:C2361,$C2361),2))</f>
        <v/>
      </c>
      <c r="M2361" s="19">
        <f>IF($C2361="","",ROUND(SUM(基础资料!$B$4:$B$13)+SUM($J$4:J2361)-SUM($K$4:K2361),2))</f>
        <v/>
      </c>
      <c r="N2361" s="13" t="n"/>
      <c r="O2361" s="13" t="n"/>
      <c r="P2361" s="17">
        <f>IF($B2361="","",IF($F2361="※类别不在基础资料里","※费用类别不在基础资料里",IF(AND(N($J2361)=0,N($K2361)=0),"※这行没填金额",IF(AND(N($J2361)&gt;0,N($K2361)&gt;0),"※收入和支出不能同一行都填",IF(AND($D2361="收入",N($J2361)=0),"※收入行要填收入金额",IF(AND($D2361="支出",N($K2361)=0),"※支出行要填支出金额",IF(AND($C2361&lt;&gt;"",ISNA(MATCH($C2361,账户表,0))),"※账户不在基础资料里",IF(AND($G2361&lt;&gt;"",ISNA(MATCH($G2361,项目名表,0))),"※项目不在项目台账里",IF(AND(LEFT($F2361,3)="成本-",$G2361=""),"※成本类支出没填项目",IF(AND(LEFT($F2361,3)="成本-",$H2361&lt;&gt;"",N($K2361)&gt;0,COUNTIFS(采购单!$B:$B,$B2361,采购单!$C:$C,$H2361,采购单!$L:$L,$K2361)&gt;0),"※这笔可能和采购单重复了",""))))))))))</f>
        <v/>
      </c>
    </row>
    <row r="2362">
      <c r="A2362" s="17">
        <f>IF($B2362="","",ROW()-3)</f>
        <v/>
      </c>
      <c r="B2362" s="18" t="n"/>
      <c r="C2362" s="13" t="n"/>
      <c r="D2362" s="13" t="n"/>
      <c r="E2362" s="13" t="n"/>
      <c r="F2362" s="17">
        <f>IF($E2362="","",IFERROR(VLOOKUP($E2362,类别归属,2,0),"※类别不在基础资料里"))</f>
        <v/>
      </c>
      <c r="G2362" s="13" t="n"/>
      <c r="H2362" s="13" t="n"/>
      <c r="I2362" s="13" t="n"/>
      <c r="J2362" s="14" t="n"/>
      <c r="K2362" s="14" t="n"/>
      <c r="L2362" s="19">
        <f>IF($C2362="","",ROUND(IFERROR(VLOOKUP($C2362,账户期初,2,0),0)+SUMIFS($J$4:J2362,$C$4:C2362,$C2362)-SUMIFS($K$4:K2362,$C$4:C2362,$C2362),2))</f>
        <v/>
      </c>
      <c r="M2362" s="19">
        <f>IF($C2362="","",ROUND(SUM(基础资料!$B$4:$B$13)+SUM($J$4:J2362)-SUM($K$4:K2362),2))</f>
        <v/>
      </c>
      <c r="N2362" s="13" t="n"/>
      <c r="O2362" s="13" t="n"/>
      <c r="P2362" s="17">
        <f>IF($B2362="","",IF($F2362="※类别不在基础资料里","※费用类别不在基础资料里",IF(AND(N($J2362)=0,N($K2362)=0),"※这行没填金额",IF(AND(N($J2362)&gt;0,N($K2362)&gt;0),"※收入和支出不能同一行都填",IF(AND($D2362="收入",N($J2362)=0),"※收入行要填收入金额",IF(AND($D2362="支出",N($K2362)=0),"※支出行要填支出金额",IF(AND($C2362&lt;&gt;"",ISNA(MATCH($C2362,账户表,0))),"※账户不在基础资料里",IF(AND($G2362&lt;&gt;"",ISNA(MATCH($G2362,项目名表,0))),"※项目不在项目台账里",IF(AND(LEFT($F2362,3)="成本-",$G2362=""),"※成本类支出没填项目",IF(AND(LEFT($F2362,3)="成本-",$H2362&lt;&gt;"",N($K2362)&gt;0,COUNTIFS(采购单!$B:$B,$B2362,采购单!$C:$C,$H2362,采购单!$L:$L,$K2362)&gt;0),"※这笔可能和采购单重复了",""))))))))))</f>
        <v/>
      </c>
    </row>
    <row r="2363">
      <c r="A2363" s="17">
        <f>IF($B2363="","",ROW()-3)</f>
        <v/>
      </c>
      <c r="B2363" s="18" t="n"/>
      <c r="C2363" s="13" t="n"/>
      <c r="D2363" s="13" t="n"/>
      <c r="E2363" s="13" t="n"/>
      <c r="F2363" s="17">
        <f>IF($E2363="","",IFERROR(VLOOKUP($E2363,类别归属,2,0),"※类别不在基础资料里"))</f>
        <v/>
      </c>
      <c r="G2363" s="13" t="n"/>
      <c r="H2363" s="13" t="n"/>
      <c r="I2363" s="13" t="n"/>
      <c r="J2363" s="14" t="n"/>
      <c r="K2363" s="14" t="n"/>
      <c r="L2363" s="19">
        <f>IF($C2363="","",ROUND(IFERROR(VLOOKUP($C2363,账户期初,2,0),0)+SUMIFS($J$4:J2363,$C$4:C2363,$C2363)-SUMIFS($K$4:K2363,$C$4:C2363,$C2363),2))</f>
        <v/>
      </c>
      <c r="M2363" s="19">
        <f>IF($C2363="","",ROUND(SUM(基础资料!$B$4:$B$13)+SUM($J$4:J2363)-SUM($K$4:K2363),2))</f>
        <v/>
      </c>
      <c r="N2363" s="13" t="n"/>
      <c r="O2363" s="13" t="n"/>
      <c r="P2363" s="17">
        <f>IF($B2363="","",IF($F2363="※类别不在基础资料里","※费用类别不在基础资料里",IF(AND(N($J2363)=0,N($K2363)=0),"※这行没填金额",IF(AND(N($J2363)&gt;0,N($K2363)&gt;0),"※收入和支出不能同一行都填",IF(AND($D2363="收入",N($J2363)=0),"※收入行要填收入金额",IF(AND($D2363="支出",N($K2363)=0),"※支出行要填支出金额",IF(AND($C2363&lt;&gt;"",ISNA(MATCH($C2363,账户表,0))),"※账户不在基础资料里",IF(AND($G2363&lt;&gt;"",ISNA(MATCH($G2363,项目名表,0))),"※项目不在项目台账里",IF(AND(LEFT($F2363,3)="成本-",$G2363=""),"※成本类支出没填项目",IF(AND(LEFT($F2363,3)="成本-",$H2363&lt;&gt;"",N($K2363)&gt;0,COUNTIFS(采购单!$B:$B,$B2363,采购单!$C:$C,$H2363,采购单!$L:$L,$K2363)&gt;0),"※这笔可能和采购单重复了",""))))))))))</f>
        <v/>
      </c>
    </row>
    <row r="2364">
      <c r="A2364" s="17">
        <f>IF($B2364="","",ROW()-3)</f>
        <v/>
      </c>
      <c r="B2364" s="18" t="n"/>
      <c r="C2364" s="13" t="n"/>
      <c r="D2364" s="13" t="n"/>
      <c r="E2364" s="13" t="n"/>
      <c r="F2364" s="17">
        <f>IF($E2364="","",IFERROR(VLOOKUP($E2364,类别归属,2,0),"※类别不在基础资料里"))</f>
        <v/>
      </c>
      <c r="G2364" s="13" t="n"/>
      <c r="H2364" s="13" t="n"/>
      <c r="I2364" s="13" t="n"/>
      <c r="J2364" s="14" t="n"/>
      <c r="K2364" s="14" t="n"/>
      <c r="L2364" s="19">
        <f>IF($C2364="","",ROUND(IFERROR(VLOOKUP($C2364,账户期初,2,0),0)+SUMIFS($J$4:J2364,$C$4:C2364,$C2364)-SUMIFS($K$4:K2364,$C$4:C2364,$C2364),2))</f>
        <v/>
      </c>
      <c r="M2364" s="19">
        <f>IF($C2364="","",ROUND(SUM(基础资料!$B$4:$B$13)+SUM($J$4:J2364)-SUM($K$4:K2364),2))</f>
        <v/>
      </c>
      <c r="N2364" s="13" t="n"/>
      <c r="O2364" s="13" t="n"/>
      <c r="P2364" s="17">
        <f>IF($B2364="","",IF($F2364="※类别不在基础资料里","※费用类别不在基础资料里",IF(AND(N($J2364)=0,N($K2364)=0),"※这行没填金额",IF(AND(N($J2364)&gt;0,N($K2364)&gt;0),"※收入和支出不能同一行都填",IF(AND($D2364="收入",N($J2364)=0),"※收入行要填收入金额",IF(AND($D2364="支出",N($K2364)=0),"※支出行要填支出金额",IF(AND($C2364&lt;&gt;"",ISNA(MATCH($C2364,账户表,0))),"※账户不在基础资料里",IF(AND($G2364&lt;&gt;"",ISNA(MATCH($G2364,项目名表,0))),"※项目不在项目台账里",IF(AND(LEFT($F2364,3)="成本-",$G2364=""),"※成本类支出没填项目",IF(AND(LEFT($F2364,3)="成本-",$H2364&lt;&gt;"",N($K2364)&gt;0,COUNTIFS(采购单!$B:$B,$B2364,采购单!$C:$C,$H2364,采购单!$L:$L,$K2364)&gt;0),"※这笔可能和采购单重复了",""))))))))))</f>
        <v/>
      </c>
    </row>
    <row r="2365">
      <c r="A2365" s="17">
        <f>IF($B2365="","",ROW()-3)</f>
        <v/>
      </c>
      <c r="B2365" s="18" t="n"/>
      <c r="C2365" s="13" t="n"/>
      <c r="D2365" s="13" t="n"/>
      <c r="E2365" s="13" t="n"/>
      <c r="F2365" s="17">
        <f>IF($E2365="","",IFERROR(VLOOKUP($E2365,类别归属,2,0),"※类别不在基础资料里"))</f>
        <v/>
      </c>
      <c r="G2365" s="13" t="n"/>
      <c r="H2365" s="13" t="n"/>
      <c r="I2365" s="13" t="n"/>
      <c r="J2365" s="14" t="n"/>
      <c r="K2365" s="14" t="n"/>
      <c r="L2365" s="19">
        <f>IF($C2365="","",ROUND(IFERROR(VLOOKUP($C2365,账户期初,2,0),0)+SUMIFS($J$4:J2365,$C$4:C2365,$C2365)-SUMIFS($K$4:K2365,$C$4:C2365,$C2365),2))</f>
        <v/>
      </c>
      <c r="M2365" s="19">
        <f>IF($C2365="","",ROUND(SUM(基础资料!$B$4:$B$13)+SUM($J$4:J2365)-SUM($K$4:K2365),2))</f>
        <v/>
      </c>
      <c r="N2365" s="13" t="n"/>
      <c r="O2365" s="13" t="n"/>
      <c r="P2365" s="17">
        <f>IF($B2365="","",IF($F2365="※类别不在基础资料里","※费用类别不在基础资料里",IF(AND(N($J2365)=0,N($K2365)=0),"※这行没填金额",IF(AND(N($J2365)&gt;0,N($K2365)&gt;0),"※收入和支出不能同一行都填",IF(AND($D2365="收入",N($J2365)=0),"※收入行要填收入金额",IF(AND($D2365="支出",N($K2365)=0),"※支出行要填支出金额",IF(AND($C2365&lt;&gt;"",ISNA(MATCH($C2365,账户表,0))),"※账户不在基础资料里",IF(AND($G2365&lt;&gt;"",ISNA(MATCH($G2365,项目名表,0))),"※项目不在项目台账里",IF(AND(LEFT($F2365,3)="成本-",$G2365=""),"※成本类支出没填项目",IF(AND(LEFT($F2365,3)="成本-",$H2365&lt;&gt;"",N($K2365)&gt;0,COUNTIFS(采购单!$B:$B,$B2365,采购单!$C:$C,$H2365,采购单!$L:$L,$K2365)&gt;0),"※这笔可能和采购单重复了",""))))))))))</f>
        <v/>
      </c>
    </row>
    <row r="2366">
      <c r="A2366" s="17">
        <f>IF($B2366="","",ROW()-3)</f>
        <v/>
      </c>
      <c r="B2366" s="18" t="n"/>
      <c r="C2366" s="13" t="n"/>
      <c r="D2366" s="13" t="n"/>
      <c r="E2366" s="13" t="n"/>
      <c r="F2366" s="17">
        <f>IF($E2366="","",IFERROR(VLOOKUP($E2366,类别归属,2,0),"※类别不在基础资料里"))</f>
        <v/>
      </c>
      <c r="G2366" s="13" t="n"/>
      <c r="H2366" s="13" t="n"/>
      <c r="I2366" s="13" t="n"/>
      <c r="J2366" s="14" t="n"/>
      <c r="K2366" s="14" t="n"/>
      <c r="L2366" s="19">
        <f>IF($C2366="","",ROUND(IFERROR(VLOOKUP($C2366,账户期初,2,0),0)+SUMIFS($J$4:J2366,$C$4:C2366,$C2366)-SUMIFS($K$4:K2366,$C$4:C2366,$C2366),2))</f>
        <v/>
      </c>
      <c r="M2366" s="19">
        <f>IF($C2366="","",ROUND(SUM(基础资料!$B$4:$B$13)+SUM($J$4:J2366)-SUM($K$4:K2366),2))</f>
        <v/>
      </c>
      <c r="N2366" s="13" t="n"/>
      <c r="O2366" s="13" t="n"/>
      <c r="P2366" s="17">
        <f>IF($B2366="","",IF($F2366="※类别不在基础资料里","※费用类别不在基础资料里",IF(AND(N($J2366)=0,N($K2366)=0),"※这行没填金额",IF(AND(N($J2366)&gt;0,N($K2366)&gt;0),"※收入和支出不能同一行都填",IF(AND($D2366="收入",N($J2366)=0),"※收入行要填收入金额",IF(AND($D2366="支出",N($K2366)=0),"※支出行要填支出金额",IF(AND($C2366&lt;&gt;"",ISNA(MATCH($C2366,账户表,0))),"※账户不在基础资料里",IF(AND($G2366&lt;&gt;"",ISNA(MATCH($G2366,项目名表,0))),"※项目不在项目台账里",IF(AND(LEFT($F2366,3)="成本-",$G2366=""),"※成本类支出没填项目",IF(AND(LEFT($F2366,3)="成本-",$H2366&lt;&gt;"",N($K2366)&gt;0,COUNTIFS(采购单!$B:$B,$B2366,采购单!$C:$C,$H2366,采购单!$L:$L,$K2366)&gt;0),"※这笔可能和采购单重复了",""))))))))))</f>
        <v/>
      </c>
    </row>
    <row r="2367">
      <c r="A2367" s="17">
        <f>IF($B2367="","",ROW()-3)</f>
        <v/>
      </c>
      <c r="B2367" s="18" t="n"/>
      <c r="C2367" s="13" t="n"/>
      <c r="D2367" s="13" t="n"/>
      <c r="E2367" s="13" t="n"/>
      <c r="F2367" s="17">
        <f>IF($E2367="","",IFERROR(VLOOKUP($E2367,类别归属,2,0),"※类别不在基础资料里"))</f>
        <v/>
      </c>
      <c r="G2367" s="13" t="n"/>
      <c r="H2367" s="13" t="n"/>
      <c r="I2367" s="13" t="n"/>
      <c r="J2367" s="14" t="n"/>
      <c r="K2367" s="14" t="n"/>
      <c r="L2367" s="19">
        <f>IF($C2367="","",ROUND(IFERROR(VLOOKUP($C2367,账户期初,2,0),0)+SUMIFS($J$4:J2367,$C$4:C2367,$C2367)-SUMIFS($K$4:K2367,$C$4:C2367,$C2367),2))</f>
        <v/>
      </c>
      <c r="M2367" s="19">
        <f>IF($C2367="","",ROUND(SUM(基础资料!$B$4:$B$13)+SUM($J$4:J2367)-SUM($K$4:K2367),2))</f>
        <v/>
      </c>
      <c r="N2367" s="13" t="n"/>
      <c r="O2367" s="13" t="n"/>
      <c r="P2367" s="17">
        <f>IF($B2367="","",IF($F2367="※类别不在基础资料里","※费用类别不在基础资料里",IF(AND(N($J2367)=0,N($K2367)=0),"※这行没填金额",IF(AND(N($J2367)&gt;0,N($K2367)&gt;0),"※收入和支出不能同一行都填",IF(AND($D2367="收入",N($J2367)=0),"※收入行要填收入金额",IF(AND($D2367="支出",N($K2367)=0),"※支出行要填支出金额",IF(AND($C2367&lt;&gt;"",ISNA(MATCH($C2367,账户表,0))),"※账户不在基础资料里",IF(AND($G2367&lt;&gt;"",ISNA(MATCH($G2367,项目名表,0))),"※项目不在项目台账里",IF(AND(LEFT($F2367,3)="成本-",$G2367=""),"※成本类支出没填项目",IF(AND(LEFT($F2367,3)="成本-",$H2367&lt;&gt;"",N($K2367)&gt;0,COUNTIFS(采购单!$B:$B,$B2367,采购单!$C:$C,$H2367,采购单!$L:$L,$K2367)&gt;0),"※这笔可能和采购单重复了",""))))))))))</f>
        <v/>
      </c>
    </row>
    <row r="2368">
      <c r="A2368" s="17">
        <f>IF($B2368="","",ROW()-3)</f>
        <v/>
      </c>
      <c r="B2368" s="18" t="n"/>
      <c r="C2368" s="13" t="n"/>
      <c r="D2368" s="13" t="n"/>
      <c r="E2368" s="13" t="n"/>
      <c r="F2368" s="17">
        <f>IF($E2368="","",IFERROR(VLOOKUP($E2368,类别归属,2,0),"※类别不在基础资料里"))</f>
        <v/>
      </c>
      <c r="G2368" s="13" t="n"/>
      <c r="H2368" s="13" t="n"/>
      <c r="I2368" s="13" t="n"/>
      <c r="J2368" s="14" t="n"/>
      <c r="K2368" s="14" t="n"/>
      <c r="L2368" s="19">
        <f>IF($C2368="","",ROUND(IFERROR(VLOOKUP($C2368,账户期初,2,0),0)+SUMIFS($J$4:J2368,$C$4:C2368,$C2368)-SUMIFS($K$4:K2368,$C$4:C2368,$C2368),2))</f>
        <v/>
      </c>
      <c r="M2368" s="19">
        <f>IF($C2368="","",ROUND(SUM(基础资料!$B$4:$B$13)+SUM($J$4:J2368)-SUM($K$4:K2368),2))</f>
        <v/>
      </c>
      <c r="N2368" s="13" t="n"/>
      <c r="O2368" s="13" t="n"/>
      <c r="P2368" s="17">
        <f>IF($B2368="","",IF($F2368="※类别不在基础资料里","※费用类别不在基础资料里",IF(AND(N($J2368)=0,N($K2368)=0),"※这行没填金额",IF(AND(N($J2368)&gt;0,N($K2368)&gt;0),"※收入和支出不能同一行都填",IF(AND($D2368="收入",N($J2368)=0),"※收入行要填收入金额",IF(AND($D2368="支出",N($K2368)=0),"※支出行要填支出金额",IF(AND($C2368&lt;&gt;"",ISNA(MATCH($C2368,账户表,0))),"※账户不在基础资料里",IF(AND($G2368&lt;&gt;"",ISNA(MATCH($G2368,项目名表,0))),"※项目不在项目台账里",IF(AND(LEFT($F2368,3)="成本-",$G2368=""),"※成本类支出没填项目",IF(AND(LEFT($F2368,3)="成本-",$H2368&lt;&gt;"",N($K2368)&gt;0,COUNTIFS(采购单!$B:$B,$B2368,采购单!$C:$C,$H2368,采购单!$L:$L,$K2368)&gt;0),"※这笔可能和采购单重复了",""))))))))))</f>
        <v/>
      </c>
    </row>
    <row r="2369">
      <c r="A2369" s="17">
        <f>IF($B2369="","",ROW()-3)</f>
        <v/>
      </c>
      <c r="B2369" s="18" t="n"/>
      <c r="C2369" s="13" t="n"/>
      <c r="D2369" s="13" t="n"/>
      <c r="E2369" s="13" t="n"/>
      <c r="F2369" s="17">
        <f>IF($E2369="","",IFERROR(VLOOKUP($E2369,类别归属,2,0),"※类别不在基础资料里"))</f>
        <v/>
      </c>
      <c r="G2369" s="13" t="n"/>
      <c r="H2369" s="13" t="n"/>
      <c r="I2369" s="13" t="n"/>
      <c r="J2369" s="14" t="n"/>
      <c r="K2369" s="14" t="n"/>
      <c r="L2369" s="19">
        <f>IF($C2369="","",ROUND(IFERROR(VLOOKUP($C2369,账户期初,2,0),0)+SUMIFS($J$4:J2369,$C$4:C2369,$C2369)-SUMIFS($K$4:K2369,$C$4:C2369,$C2369),2))</f>
        <v/>
      </c>
      <c r="M2369" s="19">
        <f>IF($C2369="","",ROUND(SUM(基础资料!$B$4:$B$13)+SUM($J$4:J2369)-SUM($K$4:K2369),2))</f>
        <v/>
      </c>
      <c r="N2369" s="13" t="n"/>
      <c r="O2369" s="13" t="n"/>
      <c r="P2369" s="17">
        <f>IF($B2369="","",IF($F2369="※类别不在基础资料里","※费用类别不在基础资料里",IF(AND(N($J2369)=0,N($K2369)=0),"※这行没填金额",IF(AND(N($J2369)&gt;0,N($K2369)&gt;0),"※收入和支出不能同一行都填",IF(AND($D2369="收入",N($J2369)=0),"※收入行要填收入金额",IF(AND($D2369="支出",N($K2369)=0),"※支出行要填支出金额",IF(AND($C2369&lt;&gt;"",ISNA(MATCH($C2369,账户表,0))),"※账户不在基础资料里",IF(AND($G2369&lt;&gt;"",ISNA(MATCH($G2369,项目名表,0))),"※项目不在项目台账里",IF(AND(LEFT($F2369,3)="成本-",$G2369=""),"※成本类支出没填项目",IF(AND(LEFT($F2369,3)="成本-",$H2369&lt;&gt;"",N($K2369)&gt;0,COUNTIFS(采购单!$B:$B,$B2369,采购单!$C:$C,$H2369,采购单!$L:$L,$K2369)&gt;0),"※这笔可能和采购单重复了",""))))))))))</f>
        <v/>
      </c>
    </row>
    <row r="2370">
      <c r="A2370" s="17">
        <f>IF($B2370="","",ROW()-3)</f>
        <v/>
      </c>
      <c r="B2370" s="18" t="n"/>
      <c r="C2370" s="13" t="n"/>
      <c r="D2370" s="13" t="n"/>
      <c r="E2370" s="13" t="n"/>
      <c r="F2370" s="17">
        <f>IF($E2370="","",IFERROR(VLOOKUP($E2370,类别归属,2,0),"※类别不在基础资料里"))</f>
        <v/>
      </c>
      <c r="G2370" s="13" t="n"/>
      <c r="H2370" s="13" t="n"/>
      <c r="I2370" s="13" t="n"/>
      <c r="J2370" s="14" t="n"/>
      <c r="K2370" s="14" t="n"/>
      <c r="L2370" s="19">
        <f>IF($C2370="","",ROUND(IFERROR(VLOOKUP($C2370,账户期初,2,0),0)+SUMIFS($J$4:J2370,$C$4:C2370,$C2370)-SUMIFS($K$4:K2370,$C$4:C2370,$C2370),2))</f>
        <v/>
      </c>
      <c r="M2370" s="19">
        <f>IF($C2370="","",ROUND(SUM(基础资料!$B$4:$B$13)+SUM($J$4:J2370)-SUM($K$4:K2370),2))</f>
        <v/>
      </c>
      <c r="N2370" s="13" t="n"/>
      <c r="O2370" s="13" t="n"/>
      <c r="P2370" s="17">
        <f>IF($B2370="","",IF($F2370="※类别不在基础资料里","※费用类别不在基础资料里",IF(AND(N($J2370)=0,N($K2370)=0),"※这行没填金额",IF(AND(N($J2370)&gt;0,N($K2370)&gt;0),"※收入和支出不能同一行都填",IF(AND($D2370="收入",N($J2370)=0),"※收入行要填收入金额",IF(AND($D2370="支出",N($K2370)=0),"※支出行要填支出金额",IF(AND($C2370&lt;&gt;"",ISNA(MATCH($C2370,账户表,0))),"※账户不在基础资料里",IF(AND($G2370&lt;&gt;"",ISNA(MATCH($G2370,项目名表,0))),"※项目不在项目台账里",IF(AND(LEFT($F2370,3)="成本-",$G2370=""),"※成本类支出没填项目",IF(AND(LEFT($F2370,3)="成本-",$H2370&lt;&gt;"",N($K2370)&gt;0,COUNTIFS(采购单!$B:$B,$B2370,采购单!$C:$C,$H2370,采购单!$L:$L,$K2370)&gt;0),"※这笔可能和采购单重复了",""))))))))))</f>
        <v/>
      </c>
    </row>
    <row r="2371">
      <c r="A2371" s="17">
        <f>IF($B2371="","",ROW()-3)</f>
        <v/>
      </c>
      <c r="B2371" s="18" t="n"/>
      <c r="C2371" s="13" t="n"/>
      <c r="D2371" s="13" t="n"/>
      <c r="E2371" s="13" t="n"/>
      <c r="F2371" s="17">
        <f>IF($E2371="","",IFERROR(VLOOKUP($E2371,类别归属,2,0),"※类别不在基础资料里"))</f>
        <v/>
      </c>
      <c r="G2371" s="13" t="n"/>
      <c r="H2371" s="13" t="n"/>
      <c r="I2371" s="13" t="n"/>
      <c r="J2371" s="14" t="n"/>
      <c r="K2371" s="14" t="n"/>
      <c r="L2371" s="19">
        <f>IF($C2371="","",ROUND(IFERROR(VLOOKUP($C2371,账户期初,2,0),0)+SUMIFS($J$4:J2371,$C$4:C2371,$C2371)-SUMIFS($K$4:K2371,$C$4:C2371,$C2371),2))</f>
        <v/>
      </c>
      <c r="M2371" s="19">
        <f>IF($C2371="","",ROUND(SUM(基础资料!$B$4:$B$13)+SUM($J$4:J2371)-SUM($K$4:K2371),2))</f>
        <v/>
      </c>
      <c r="N2371" s="13" t="n"/>
      <c r="O2371" s="13" t="n"/>
      <c r="P2371" s="17">
        <f>IF($B2371="","",IF($F2371="※类别不在基础资料里","※费用类别不在基础资料里",IF(AND(N($J2371)=0,N($K2371)=0),"※这行没填金额",IF(AND(N($J2371)&gt;0,N($K2371)&gt;0),"※收入和支出不能同一行都填",IF(AND($D2371="收入",N($J2371)=0),"※收入行要填收入金额",IF(AND($D2371="支出",N($K2371)=0),"※支出行要填支出金额",IF(AND($C2371&lt;&gt;"",ISNA(MATCH($C2371,账户表,0))),"※账户不在基础资料里",IF(AND($G2371&lt;&gt;"",ISNA(MATCH($G2371,项目名表,0))),"※项目不在项目台账里",IF(AND(LEFT($F2371,3)="成本-",$G2371=""),"※成本类支出没填项目",IF(AND(LEFT($F2371,3)="成本-",$H2371&lt;&gt;"",N($K2371)&gt;0,COUNTIFS(采购单!$B:$B,$B2371,采购单!$C:$C,$H2371,采购单!$L:$L,$K2371)&gt;0),"※这笔可能和采购单重复了",""))))))))))</f>
        <v/>
      </c>
    </row>
    <row r="2372">
      <c r="A2372" s="17">
        <f>IF($B2372="","",ROW()-3)</f>
        <v/>
      </c>
      <c r="B2372" s="18" t="n"/>
      <c r="C2372" s="13" t="n"/>
      <c r="D2372" s="13" t="n"/>
      <c r="E2372" s="13" t="n"/>
      <c r="F2372" s="17">
        <f>IF($E2372="","",IFERROR(VLOOKUP($E2372,类别归属,2,0),"※类别不在基础资料里"))</f>
        <v/>
      </c>
      <c r="G2372" s="13" t="n"/>
      <c r="H2372" s="13" t="n"/>
      <c r="I2372" s="13" t="n"/>
      <c r="J2372" s="14" t="n"/>
      <c r="K2372" s="14" t="n"/>
      <c r="L2372" s="19">
        <f>IF($C2372="","",ROUND(IFERROR(VLOOKUP($C2372,账户期初,2,0),0)+SUMIFS($J$4:J2372,$C$4:C2372,$C2372)-SUMIFS($K$4:K2372,$C$4:C2372,$C2372),2))</f>
        <v/>
      </c>
      <c r="M2372" s="19">
        <f>IF($C2372="","",ROUND(SUM(基础资料!$B$4:$B$13)+SUM($J$4:J2372)-SUM($K$4:K2372),2))</f>
        <v/>
      </c>
      <c r="N2372" s="13" t="n"/>
      <c r="O2372" s="13" t="n"/>
      <c r="P2372" s="17">
        <f>IF($B2372="","",IF($F2372="※类别不在基础资料里","※费用类别不在基础资料里",IF(AND(N($J2372)=0,N($K2372)=0),"※这行没填金额",IF(AND(N($J2372)&gt;0,N($K2372)&gt;0),"※收入和支出不能同一行都填",IF(AND($D2372="收入",N($J2372)=0),"※收入行要填收入金额",IF(AND($D2372="支出",N($K2372)=0),"※支出行要填支出金额",IF(AND($C2372&lt;&gt;"",ISNA(MATCH($C2372,账户表,0))),"※账户不在基础资料里",IF(AND($G2372&lt;&gt;"",ISNA(MATCH($G2372,项目名表,0))),"※项目不在项目台账里",IF(AND(LEFT($F2372,3)="成本-",$G2372=""),"※成本类支出没填项目",IF(AND(LEFT($F2372,3)="成本-",$H2372&lt;&gt;"",N($K2372)&gt;0,COUNTIFS(采购单!$B:$B,$B2372,采购单!$C:$C,$H2372,采购单!$L:$L,$K2372)&gt;0),"※这笔可能和采购单重复了",""))))))))))</f>
        <v/>
      </c>
    </row>
    <row r="2373">
      <c r="A2373" s="17">
        <f>IF($B2373="","",ROW()-3)</f>
        <v/>
      </c>
      <c r="B2373" s="18" t="n"/>
      <c r="C2373" s="13" t="n"/>
      <c r="D2373" s="13" t="n"/>
      <c r="E2373" s="13" t="n"/>
      <c r="F2373" s="17">
        <f>IF($E2373="","",IFERROR(VLOOKUP($E2373,类别归属,2,0),"※类别不在基础资料里"))</f>
        <v/>
      </c>
      <c r="G2373" s="13" t="n"/>
      <c r="H2373" s="13" t="n"/>
      <c r="I2373" s="13" t="n"/>
      <c r="J2373" s="14" t="n"/>
      <c r="K2373" s="14" t="n"/>
      <c r="L2373" s="19">
        <f>IF($C2373="","",ROUND(IFERROR(VLOOKUP($C2373,账户期初,2,0),0)+SUMIFS($J$4:J2373,$C$4:C2373,$C2373)-SUMIFS($K$4:K2373,$C$4:C2373,$C2373),2))</f>
        <v/>
      </c>
      <c r="M2373" s="19">
        <f>IF($C2373="","",ROUND(SUM(基础资料!$B$4:$B$13)+SUM($J$4:J2373)-SUM($K$4:K2373),2))</f>
        <v/>
      </c>
      <c r="N2373" s="13" t="n"/>
      <c r="O2373" s="13" t="n"/>
      <c r="P2373" s="17">
        <f>IF($B2373="","",IF($F2373="※类别不在基础资料里","※费用类别不在基础资料里",IF(AND(N($J2373)=0,N($K2373)=0),"※这行没填金额",IF(AND(N($J2373)&gt;0,N($K2373)&gt;0),"※收入和支出不能同一行都填",IF(AND($D2373="收入",N($J2373)=0),"※收入行要填收入金额",IF(AND($D2373="支出",N($K2373)=0),"※支出行要填支出金额",IF(AND($C2373&lt;&gt;"",ISNA(MATCH($C2373,账户表,0))),"※账户不在基础资料里",IF(AND($G2373&lt;&gt;"",ISNA(MATCH($G2373,项目名表,0))),"※项目不在项目台账里",IF(AND(LEFT($F2373,3)="成本-",$G2373=""),"※成本类支出没填项目",IF(AND(LEFT($F2373,3)="成本-",$H2373&lt;&gt;"",N($K2373)&gt;0,COUNTIFS(采购单!$B:$B,$B2373,采购单!$C:$C,$H2373,采购单!$L:$L,$K2373)&gt;0),"※这笔可能和采购单重复了",""))))))))))</f>
        <v/>
      </c>
    </row>
    <row r="2374">
      <c r="A2374" s="17">
        <f>IF($B2374="","",ROW()-3)</f>
        <v/>
      </c>
      <c r="B2374" s="18" t="n"/>
      <c r="C2374" s="13" t="n"/>
      <c r="D2374" s="13" t="n"/>
      <c r="E2374" s="13" t="n"/>
      <c r="F2374" s="17">
        <f>IF($E2374="","",IFERROR(VLOOKUP($E2374,类别归属,2,0),"※类别不在基础资料里"))</f>
        <v/>
      </c>
      <c r="G2374" s="13" t="n"/>
      <c r="H2374" s="13" t="n"/>
      <c r="I2374" s="13" t="n"/>
      <c r="J2374" s="14" t="n"/>
      <c r="K2374" s="14" t="n"/>
      <c r="L2374" s="19">
        <f>IF($C2374="","",ROUND(IFERROR(VLOOKUP($C2374,账户期初,2,0),0)+SUMIFS($J$4:J2374,$C$4:C2374,$C2374)-SUMIFS($K$4:K2374,$C$4:C2374,$C2374),2))</f>
        <v/>
      </c>
      <c r="M2374" s="19">
        <f>IF($C2374="","",ROUND(SUM(基础资料!$B$4:$B$13)+SUM($J$4:J2374)-SUM($K$4:K2374),2))</f>
        <v/>
      </c>
      <c r="N2374" s="13" t="n"/>
      <c r="O2374" s="13" t="n"/>
      <c r="P2374" s="17">
        <f>IF($B2374="","",IF($F2374="※类别不在基础资料里","※费用类别不在基础资料里",IF(AND(N($J2374)=0,N($K2374)=0),"※这行没填金额",IF(AND(N($J2374)&gt;0,N($K2374)&gt;0),"※收入和支出不能同一行都填",IF(AND($D2374="收入",N($J2374)=0),"※收入行要填收入金额",IF(AND($D2374="支出",N($K2374)=0),"※支出行要填支出金额",IF(AND($C2374&lt;&gt;"",ISNA(MATCH($C2374,账户表,0))),"※账户不在基础资料里",IF(AND($G2374&lt;&gt;"",ISNA(MATCH($G2374,项目名表,0))),"※项目不在项目台账里",IF(AND(LEFT($F2374,3)="成本-",$G2374=""),"※成本类支出没填项目",IF(AND(LEFT($F2374,3)="成本-",$H2374&lt;&gt;"",N($K2374)&gt;0,COUNTIFS(采购单!$B:$B,$B2374,采购单!$C:$C,$H2374,采购单!$L:$L,$K2374)&gt;0),"※这笔可能和采购单重复了",""))))))))))</f>
        <v/>
      </c>
    </row>
    <row r="2375">
      <c r="A2375" s="17">
        <f>IF($B2375="","",ROW()-3)</f>
        <v/>
      </c>
      <c r="B2375" s="18" t="n"/>
      <c r="C2375" s="13" t="n"/>
      <c r="D2375" s="13" t="n"/>
      <c r="E2375" s="13" t="n"/>
      <c r="F2375" s="17">
        <f>IF($E2375="","",IFERROR(VLOOKUP($E2375,类别归属,2,0),"※类别不在基础资料里"))</f>
        <v/>
      </c>
      <c r="G2375" s="13" t="n"/>
      <c r="H2375" s="13" t="n"/>
      <c r="I2375" s="13" t="n"/>
      <c r="J2375" s="14" t="n"/>
      <c r="K2375" s="14" t="n"/>
      <c r="L2375" s="19">
        <f>IF($C2375="","",ROUND(IFERROR(VLOOKUP($C2375,账户期初,2,0),0)+SUMIFS($J$4:J2375,$C$4:C2375,$C2375)-SUMIFS($K$4:K2375,$C$4:C2375,$C2375),2))</f>
        <v/>
      </c>
      <c r="M2375" s="19">
        <f>IF($C2375="","",ROUND(SUM(基础资料!$B$4:$B$13)+SUM($J$4:J2375)-SUM($K$4:K2375),2))</f>
        <v/>
      </c>
      <c r="N2375" s="13" t="n"/>
      <c r="O2375" s="13" t="n"/>
      <c r="P2375" s="17">
        <f>IF($B2375="","",IF($F2375="※类别不在基础资料里","※费用类别不在基础资料里",IF(AND(N($J2375)=0,N($K2375)=0),"※这行没填金额",IF(AND(N($J2375)&gt;0,N($K2375)&gt;0),"※收入和支出不能同一行都填",IF(AND($D2375="收入",N($J2375)=0),"※收入行要填收入金额",IF(AND($D2375="支出",N($K2375)=0),"※支出行要填支出金额",IF(AND($C2375&lt;&gt;"",ISNA(MATCH($C2375,账户表,0))),"※账户不在基础资料里",IF(AND($G2375&lt;&gt;"",ISNA(MATCH($G2375,项目名表,0))),"※项目不在项目台账里",IF(AND(LEFT($F2375,3)="成本-",$G2375=""),"※成本类支出没填项目",IF(AND(LEFT($F2375,3)="成本-",$H2375&lt;&gt;"",N($K2375)&gt;0,COUNTIFS(采购单!$B:$B,$B2375,采购单!$C:$C,$H2375,采购单!$L:$L,$K2375)&gt;0),"※这笔可能和采购单重复了",""))))))))))</f>
        <v/>
      </c>
    </row>
    <row r="2376">
      <c r="A2376" s="17">
        <f>IF($B2376="","",ROW()-3)</f>
        <v/>
      </c>
      <c r="B2376" s="18" t="n"/>
      <c r="C2376" s="13" t="n"/>
      <c r="D2376" s="13" t="n"/>
      <c r="E2376" s="13" t="n"/>
      <c r="F2376" s="17">
        <f>IF($E2376="","",IFERROR(VLOOKUP($E2376,类别归属,2,0),"※类别不在基础资料里"))</f>
        <v/>
      </c>
      <c r="G2376" s="13" t="n"/>
      <c r="H2376" s="13" t="n"/>
      <c r="I2376" s="13" t="n"/>
      <c r="J2376" s="14" t="n"/>
      <c r="K2376" s="14" t="n"/>
      <c r="L2376" s="19">
        <f>IF($C2376="","",ROUND(IFERROR(VLOOKUP($C2376,账户期初,2,0),0)+SUMIFS($J$4:J2376,$C$4:C2376,$C2376)-SUMIFS($K$4:K2376,$C$4:C2376,$C2376),2))</f>
        <v/>
      </c>
      <c r="M2376" s="19">
        <f>IF($C2376="","",ROUND(SUM(基础资料!$B$4:$B$13)+SUM($J$4:J2376)-SUM($K$4:K2376),2))</f>
        <v/>
      </c>
      <c r="N2376" s="13" t="n"/>
      <c r="O2376" s="13" t="n"/>
      <c r="P2376" s="17">
        <f>IF($B2376="","",IF($F2376="※类别不在基础资料里","※费用类别不在基础资料里",IF(AND(N($J2376)=0,N($K2376)=0),"※这行没填金额",IF(AND(N($J2376)&gt;0,N($K2376)&gt;0),"※收入和支出不能同一行都填",IF(AND($D2376="收入",N($J2376)=0),"※收入行要填收入金额",IF(AND($D2376="支出",N($K2376)=0),"※支出行要填支出金额",IF(AND($C2376&lt;&gt;"",ISNA(MATCH($C2376,账户表,0))),"※账户不在基础资料里",IF(AND($G2376&lt;&gt;"",ISNA(MATCH($G2376,项目名表,0))),"※项目不在项目台账里",IF(AND(LEFT($F2376,3)="成本-",$G2376=""),"※成本类支出没填项目",IF(AND(LEFT($F2376,3)="成本-",$H2376&lt;&gt;"",N($K2376)&gt;0,COUNTIFS(采购单!$B:$B,$B2376,采购单!$C:$C,$H2376,采购单!$L:$L,$K2376)&gt;0),"※这笔可能和采购单重复了",""))))))))))</f>
        <v/>
      </c>
    </row>
    <row r="2377">
      <c r="A2377" s="17">
        <f>IF($B2377="","",ROW()-3)</f>
        <v/>
      </c>
      <c r="B2377" s="18" t="n"/>
      <c r="C2377" s="13" t="n"/>
      <c r="D2377" s="13" t="n"/>
      <c r="E2377" s="13" t="n"/>
      <c r="F2377" s="17">
        <f>IF($E2377="","",IFERROR(VLOOKUP($E2377,类别归属,2,0),"※类别不在基础资料里"))</f>
        <v/>
      </c>
      <c r="G2377" s="13" t="n"/>
      <c r="H2377" s="13" t="n"/>
      <c r="I2377" s="13" t="n"/>
      <c r="J2377" s="14" t="n"/>
      <c r="K2377" s="14" t="n"/>
      <c r="L2377" s="19">
        <f>IF($C2377="","",ROUND(IFERROR(VLOOKUP($C2377,账户期初,2,0),0)+SUMIFS($J$4:J2377,$C$4:C2377,$C2377)-SUMIFS($K$4:K2377,$C$4:C2377,$C2377),2))</f>
        <v/>
      </c>
      <c r="M2377" s="19">
        <f>IF($C2377="","",ROUND(SUM(基础资料!$B$4:$B$13)+SUM($J$4:J2377)-SUM($K$4:K2377),2))</f>
        <v/>
      </c>
      <c r="N2377" s="13" t="n"/>
      <c r="O2377" s="13" t="n"/>
      <c r="P2377" s="17">
        <f>IF($B2377="","",IF($F2377="※类别不在基础资料里","※费用类别不在基础资料里",IF(AND(N($J2377)=0,N($K2377)=0),"※这行没填金额",IF(AND(N($J2377)&gt;0,N($K2377)&gt;0),"※收入和支出不能同一行都填",IF(AND($D2377="收入",N($J2377)=0),"※收入行要填收入金额",IF(AND($D2377="支出",N($K2377)=0),"※支出行要填支出金额",IF(AND($C2377&lt;&gt;"",ISNA(MATCH($C2377,账户表,0))),"※账户不在基础资料里",IF(AND($G2377&lt;&gt;"",ISNA(MATCH($G2377,项目名表,0))),"※项目不在项目台账里",IF(AND(LEFT($F2377,3)="成本-",$G2377=""),"※成本类支出没填项目",IF(AND(LEFT($F2377,3)="成本-",$H2377&lt;&gt;"",N($K2377)&gt;0,COUNTIFS(采购单!$B:$B,$B2377,采购单!$C:$C,$H2377,采购单!$L:$L,$K2377)&gt;0),"※这笔可能和采购单重复了",""))))))))))</f>
        <v/>
      </c>
    </row>
    <row r="2378">
      <c r="A2378" s="17">
        <f>IF($B2378="","",ROW()-3)</f>
        <v/>
      </c>
      <c r="B2378" s="18" t="n"/>
      <c r="C2378" s="13" t="n"/>
      <c r="D2378" s="13" t="n"/>
      <c r="E2378" s="13" t="n"/>
      <c r="F2378" s="17">
        <f>IF($E2378="","",IFERROR(VLOOKUP($E2378,类别归属,2,0),"※类别不在基础资料里"))</f>
        <v/>
      </c>
      <c r="G2378" s="13" t="n"/>
      <c r="H2378" s="13" t="n"/>
      <c r="I2378" s="13" t="n"/>
      <c r="J2378" s="14" t="n"/>
      <c r="K2378" s="14" t="n"/>
      <c r="L2378" s="19">
        <f>IF($C2378="","",ROUND(IFERROR(VLOOKUP($C2378,账户期初,2,0),0)+SUMIFS($J$4:J2378,$C$4:C2378,$C2378)-SUMIFS($K$4:K2378,$C$4:C2378,$C2378),2))</f>
        <v/>
      </c>
      <c r="M2378" s="19">
        <f>IF($C2378="","",ROUND(SUM(基础资料!$B$4:$B$13)+SUM($J$4:J2378)-SUM($K$4:K2378),2))</f>
        <v/>
      </c>
      <c r="N2378" s="13" t="n"/>
      <c r="O2378" s="13" t="n"/>
      <c r="P2378" s="17">
        <f>IF($B2378="","",IF($F2378="※类别不在基础资料里","※费用类别不在基础资料里",IF(AND(N($J2378)=0,N($K2378)=0),"※这行没填金额",IF(AND(N($J2378)&gt;0,N($K2378)&gt;0),"※收入和支出不能同一行都填",IF(AND($D2378="收入",N($J2378)=0),"※收入行要填收入金额",IF(AND($D2378="支出",N($K2378)=0),"※支出行要填支出金额",IF(AND($C2378&lt;&gt;"",ISNA(MATCH($C2378,账户表,0))),"※账户不在基础资料里",IF(AND($G2378&lt;&gt;"",ISNA(MATCH($G2378,项目名表,0))),"※项目不在项目台账里",IF(AND(LEFT($F2378,3)="成本-",$G2378=""),"※成本类支出没填项目",IF(AND(LEFT($F2378,3)="成本-",$H2378&lt;&gt;"",N($K2378)&gt;0,COUNTIFS(采购单!$B:$B,$B2378,采购单!$C:$C,$H2378,采购单!$L:$L,$K2378)&gt;0),"※这笔可能和采购单重复了",""))))))))))</f>
        <v/>
      </c>
    </row>
    <row r="2379">
      <c r="A2379" s="17">
        <f>IF($B2379="","",ROW()-3)</f>
        <v/>
      </c>
      <c r="B2379" s="18" t="n"/>
      <c r="C2379" s="13" t="n"/>
      <c r="D2379" s="13" t="n"/>
      <c r="E2379" s="13" t="n"/>
      <c r="F2379" s="17">
        <f>IF($E2379="","",IFERROR(VLOOKUP($E2379,类别归属,2,0),"※类别不在基础资料里"))</f>
        <v/>
      </c>
      <c r="G2379" s="13" t="n"/>
      <c r="H2379" s="13" t="n"/>
      <c r="I2379" s="13" t="n"/>
      <c r="J2379" s="14" t="n"/>
      <c r="K2379" s="14" t="n"/>
      <c r="L2379" s="19">
        <f>IF($C2379="","",ROUND(IFERROR(VLOOKUP($C2379,账户期初,2,0),0)+SUMIFS($J$4:J2379,$C$4:C2379,$C2379)-SUMIFS($K$4:K2379,$C$4:C2379,$C2379),2))</f>
        <v/>
      </c>
      <c r="M2379" s="19">
        <f>IF($C2379="","",ROUND(SUM(基础资料!$B$4:$B$13)+SUM($J$4:J2379)-SUM($K$4:K2379),2))</f>
        <v/>
      </c>
      <c r="N2379" s="13" t="n"/>
      <c r="O2379" s="13" t="n"/>
      <c r="P2379" s="17">
        <f>IF($B2379="","",IF($F2379="※类别不在基础资料里","※费用类别不在基础资料里",IF(AND(N($J2379)=0,N($K2379)=0),"※这行没填金额",IF(AND(N($J2379)&gt;0,N($K2379)&gt;0),"※收入和支出不能同一行都填",IF(AND($D2379="收入",N($J2379)=0),"※收入行要填收入金额",IF(AND($D2379="支出",N($K2379)=0),"※支出行要填支出金额",IF(AND($C2379&lt;&gt;"",ISNA(MATCH($C2379,账户表,0))),"※账户不在基础资料里",IF(AND($G2379&lt;&gt;"",ISNA(MATCH($G2379,项目名表,0))),"※项目不在项目台账里",IF(AND(LEFT($F2379,3)="成本-",$G2379=""),"※成本类支出没填项目",IF(AND(LEFT($F2379,3)="成本-",$H2379&lt;&gt;"",N($K2379)&gt;0,COUNTIFS(采购单!$B:$B,$B2379,采购单!$C:$C,$H2379,采购单!$L:$L,$K2379)&gt;0),"※这笔可能和采购单重复了",""))))))))))</f>
        <v/>
      </c>
    </row>
    <row r="2380">
      <c r="A2380" s="17">
        <f>IF($B2380="","",ROW()-3)</f>
        <v/>
      </c>
      <c r="B2380" s="18" t="n"/>
      <c r="C2380" s="13" t="n"/>
      <c r="D2380" s="13" t="n"/>
      <c r="E2380" s="13" t="n"/>
      <c r="F2380" s="17">
        <f>IF($E2380="","",IFERROR(VLOOKUP($E2380,类别归属,2,0),"※类别不在基础资料里"))</f>
        <v/>
      </c>
      <c r="G2380" s="13" t="n"/>
      <c r="H2380" s="13" t="n"/>
      <c r="I2380" s="13" t="n"/>
      <c r="J2380" s="14" t="n"/>
      <c r="K2380" s="14" t="n"/>
      <c r="L2380" s="19">
        <f>IF($C2380="","",ROUND(IFERROR(VLOOKUP($C2380,账户期初,2,0),0)+SUMIFS($J$4:J2380,$C$4:C2380,$C2380)-SUMIFS($K$4:K2380,$C$4:C2380,$C2380),2))</f>
        <v/>
      </c>
      <c r="M2380" s="19">
        <f>IF($C2380="","",ROUND(SUM(基础资料!$B$4:$B$13)+SUM($J$4:J2380)-SUM($K$4:K2380),2))</f>
        <v/>
      </c>
      <c r="N2380" s="13" t="n"/>
      <c r="O2380" s="13" t="n"/>
      <c r="P2380" s="17">
        <f>IF($B2380="","",IF($F2380="※类别不在基础资料里","※费用类别不在基础资料里",IF(AND(N($J2380)=0,N($K2380)=0),"※这行没填金额",IF(AND(N($J2380)&gt;0,N($K2380)&gt;0),"※收入和支出不能同一行都填",IF(AND($D2380="收入",N($J2380)=0),"※收入行要填收入金额",IF(AND($D2380="支出",N($K2380)=0),"※支出行要填支出金额",IF(AND($C2380&lt;&gt;"",ISNA(MATCH($C2380,账户表,0))),"※账户不在基础资料里",IF(AND($G2380&lt;&gt;"",ISNA(MATCH($G2380,项目名表,0))),"※项目不在项目台账里",IF(AND(LEFT($F2380,3)="成本-",$G2380=""),"※成本类支出没填项目",IF(AND(LEFT($F2380,3)="成本-",$H2380&lt;&gt;"",N($K2380)&gt;0,COUNTIFS(采购单!$B:$B,$B2380,采购单!$C:$C,$H2380,采购单!$L:$L,$K2380)&gt;0),"※这笔可能和采购单重复了",""))))))))))</f>
        <v/>
      </c>
    </row>
    <row r="2381">
      <c r="A2381" s="17">
        <f>IF($B2381="","",ROW()-3)</f>
        <v/>
      </c>
      <c r="B2381" s="18" t="n"/>
      <c r="C2381" s="13" t="n"/>
      <c r="D2381" s="13" t="n"/>
      <c r="E2381" s="13" t="n"/>
      <c r="F2381" s="17">
        <f>IF($E2381="","",IFERROR(VLOOKUP($E2381,类别归属,2,0),"※类别不在基础资料里"))</f>
        <v/>
      </c>
      <c r="G2381" s="13" t="n"/>
      <c r="H2381" s="13" t="n"/>
      <c r="I2381" s="13" t="n"/>
      <c r="J2381" s="14" t="n"/>
      <c r="K2381" s="14" t="n"/>
      <c r="L2381" s="19">
        <f>IF($C2381="","",ROUND(IFERROR(VLOOKUP($C2381,账户期初,2,0),0)+SUMIFS($J$4:J2381,$C$4:C2381,$C2381)-SUMIFS($K$4:K2381,$C$4:C2381,$C2381),2))</f>
        <v/>
      </c>
      <c r="M2381" s="19">
        <f>IF($C2381="","",ROUND(SUM(基础资料!$B$4:$B$13)+SUM($J$4:J2381)-SUM($K$4:K2381),2))</f>
        <v/>
      </c>
      <c r="N2381" s="13" t="n"/>
      <c r="O2381" s="13" t="n"/>
      <c r="P2381" s="17">
        <f>IF($B2381="","",IF($F2381="※类别不在基础资料里","※费用类别不在基础资料里",IF(AND(N($J2381)=0,N($K2381)=0),"※这行没填金额",IF(AND(N($J2381)&gt;0,N($K2381)&gt;0),"※收入和支出不能同一行都填",IF(AND($D2381="收入",N($J2381)=0),"※收入行要填收入金额",IF(AND($D2381="支出",N($K2381)=0),"※支出行要填支出金额",IF(AND($C2381&lt;&gt;"",ISNA(MATCH($C2381,账户表,0))),"※账户不在基础资料里",IF(AND($G2381&lt;&gt;"",ISNA(MATCH($G2381,项目名表,0))),"※项目不在项目台账里",IF(AND(LEFT($F2381,3)="成本-",$G2381=""),"※成本类支出没填项目",IF(AND(LEFT($F2381,3)="成本-",$H2381&lt;&gt;"",N($K2381)&gt;0,COUNTIFS(采购单!$B:$B,$B2381,采购单!$C:$C,$H2381,采购单!$L:$L,$K2381)&gt;0),"※这笔可能和采购单重复了",""))))))))))</f>
        <v/>
      </c>
    </row>
    <row r="2382">
      <c r="A2382" s="17">
        <f>IF($B2382="","",ROW()-3)</f>
        <v/>
      </c>
      <c r="B2382" s="18" t="n"/>
      <c r="C2382" s="13" t="n"/>
      <c r="D2382" s="13" t="n"/>
      <c r="E2382" s="13" t="n"/>
      <c r="F2382" s="17">
        <f>IF($E2382="","",IFERROR(VLOOKUP($E2382,类别归属,2,0),"※类别不在基础资料里"))</f>
        <v/>
      </c>
      <c r="G2382" s="13" t="n"/>
      <c r="H2382" s="13" t="n"/>
      <c r="I2382" s="13" t="n"/>
      <c r="J2382" s="14" t="n"/>
      <c r="K2382" s="14" t="n"/>
      <c r="L2382" s="19">
        <f>IF($C2382="","",ROUND(IFERROR(VLOOKUP($C2382,账户期初,2,0),0)+SUMIFS($J$4:J2382,$C$4:C2382,$C2382)-SUMIFS($K$4:K2382,$C$4:C2382,$C2382),2))</f>
        <v/>
      </c>
      <c r="M2382" s="19">
        <f>IF($C2382="","",ROUND(SUM(基础资料!$B$4:$B$13)+SUM($J$4:J2382)-SUM($K$4:K2382),2))</f>
        <v/>
      </c>
      <c r="N2382" s="13" t="n"/>
      <c r="O2382" s="13" t="n"/>
      <c r="P2382" s="17">
        <f>IF($B2382="","",IF($F2382="※类别不在基础资料里","※费用类别不在基础资料里",IF(AND(N($J2382)=0,N($K2382)=0),"※这行没填金额",IF(AND(N($J2382)&gt;0,N($K2382)&gt;0),"※收入和支出不能同一行都填",IF(AND($D2382="收入",N($J2382)=0),"※收入行要填收入金额",IF(AND($D2382="支出",N($K2382)=0),"※支出行要填支出金额",IF(AND($C2382&lt;&gt;"",ISNA(MATCH($C2382,账户表,0))),"※账户不在基础资料里",IF(AND($G2382&lt;&gt;"",ISNA(MATCH($G2382,项目名表,0))),"※项目不在项目台账里",IF(AND(LEFT($F2382,3)="成本-",$G2382=""),"※成本类支出没填项目",IF(AND(LEFT($F2382,3)="成本-",$H2382&lt;&gt;"",N($K2382)&gt;0,COUNTIFS(采购单!$B:$B,$B2382,采购单!$C:$C,$H2382,采购单!$L:$L,$K2382)&gt;0),"※这笔可能和采购单重复了",""))))))))))</f>
        <v/>
      </c>
    </row>
    <row r="2383">
      <c r="A2383" s="17">
        <f>IF($B2383="","",ROW()-3)</f>
        <v/>
      </c>
      <c r="B2383" s="18" t="n"/>
      <c r="C2383" s="13" t="n"/>
      <c r="D2383" s="13" t="n"/>
      <c r="E2383" s="13" t="n"/>
      <c r="F2383" s="17">
        <f>IF($E2383="","",IFERROR(VLOOKUP($E2383,类别归属,2,0),"※类别不在基础资料里"))</f>
        <v/>
      </c>
      <c r="G2383" s="13" t="n"/>
      <c r="H2383" s="13" t="n"/>
      <c r="I2383" s="13" t="n"/>
      <c r="J2383" s="14" t="n"/>
      <c r="K2383" s="14" t="n"/>
      <c r="L2383" s="19">
        <f>IF($C2383="","",ROUND(IFERROR(VLOOKUP($C2383,账户期初,2,0),0)+SUMIFS($J$4:J2383,$C$4:C2383,$C2383)-SUMIFS($K$4:K2383,$C$4:C2383,$C2383),2))</f>
        <v/>
      </c>
      <c r="M2383" s="19">
        <f>IF($C2383="","",ROUND(SUM(基础资料!$B$4:$B$13)+SUM($J$4:J2383)-SUM($K$4:K2383),2))</f>
        <v/>
      </c>
      <c r="N2383" s="13" t="n"/>
      <c r="O2383" s="13" t="n"/>
      <c r="P2383" s="17">
        <f>IF($B2383="","",IF($F2383="※类别不在基础资料里","※费用类别不在基础资料里",IF(AND(N($J2383)=0,N($K2383)=0),"※这行没填金额",IF(AND(N($J2383)&gt;0,N($K2383)&gt;0),"※收入和支出不能同一行都填",IF(AND($D2383="收入",N($J2383)=0),"※收入行要填收入金额",IF(AND($D2383="支出",N($K2383)=0),"※支出行要填支出金额",IF(AND($C2383&lt;&gt;"",ISNA(MATCH($C2383,账户表,0))),"※账户不在基础资料里",IF(AND($G2383&lt;&gt;"",ISNA(MATCH($G2383,项目名表,0))),"※项目不在项目台账里",IF(AND(LEFT($F2383,3)="成本-",$G2383=""),"※成本类支出没填项目",IF(AND(LEFT($F2383,3)="成本-",$H2383&lt;&gt;"",N($K2383)&gt;0,COUNTIFS(采购单!$B:$B,$B2383,采购单!$C:$C,$H2383,采购单!$L:$L,$K2383)&gt;0),"※这笔可能和采购单重复了",""))))))))))</f>
        <v/>
      </c>
    </row>
    <row r="2384">
      <c r="A2384" s="17">
        <f>IF($B2384="","",ROW()-3)</f>
        <v/>
      </c>
      <c r="B2384" s="18" t="n"/>
      <c r="C2384" s="13" t="n"/>
      <c r="D2384" s="13" t="n"/>
      <c r="E2384" s="13" t="n"/>
      <c r="F2384" s="17">
        <f>IF($E2384="","",IFERROR(VLOOKUP($E2384,类别归属,2,0),"※类别不在基础资料里"))</f>
        <v/>
      </c>
      <c r="G2384" s="13" t="n"/>
      <c r="H2384" s="13" t="n"/>
      <c r="I2384" s="13" t="n"/>
      <c r="J2384" s="14" t="n"/>
      <c r="K2384" s="14" t="n"/>
      <c r="L2384" s="19">
        <f>IF($C2384="","",ROUND(IFERROR(VLOOKUP($C2384,账户期初,2,0),0)+SUMIFS($J$4:J2384,$C$4:C2384,$C2384)-SUMIFS($K$4:K2384,$C$4:C2384,$C2384),2))</f>
        <v/>
      </c>
      <c r="M2384" s="19">
        <f>IF($C2384="","",ROUND(SUM(基础资料!$B$4:$B$13)+SUM($J$4:J2384)-SUM($K$4:K2384),2))</f>
        <v/>
      </c>
      <c r="N2384" s="13" t="n"/>
      <c r="O2384" s="13" t="n"/>
      <c r="P2384" s="17">
        <f>IF($B2384="","",IF($F2384="※类别不在基础资料里","※费用类别不在基础资料里",IF(AND(N($J2384)=0,N($K2384)=0),"※这行没填金额",IF(AND(N($J2384)&gt;0,N($K2384)&gt;0),"※收入和支出不能同一行都填",IF(AND($D2384="收入",N($J2384)=0),"※收入行要填收入金额",IF(AND($D2384="支出",N($K2384)=0),"※支出行要填支出金额",IF(AND($C2384&lt;&gt;"",ISNA(MATCH($C2384,账户表,0))),"※账户不在基础资料里",IF(AND($G2384&lt;&gt;"",ISNA(MATCH($G2384,项目名表,0))),"※项目不在项目台账里",IF(AND(LEFT($F2384,3)="成本-",$G2384=""),"※成本类支出没填项目",IF(AND(LEFT($F2384,3)="成本-",$H2384&lt;&gt;"",N($K2384)&gt;0,COUNTIFS(采购单!$B:$B,$B2384,采购单!$C:$C,$H2384,采购单!$L:$L,$K2384)&gt;0),"※这笔可能和采购单重复了",""))))))))))</f>
        <v/>
      </c>
    </row>
    <row r="2385">
      <c r="A2385" s="17">
        <f>IF($B2385="","",ROW()-3)</f>
        <v/>
      </c>
      <c r="B2385" s="18" t="n"/>
      <c r="C2385" s="13" t="n"/>
      <c r="D2385" s="13" t="n"/>
      <c r="E2385" s="13" t="n"/>
      <c r="F2385" s="17">
        <f>IF($E2385="","",IFERROR(VLOOKUP($E2385,类别归属,2,0),"※类别不在基础资料里"))</f>
        <v/>
      </c>
      <c r="G2385" s="13" t="n"/>
      <c r="H2385" s="13" t="n"/>
      <c r="I2385" s="13" t="n"/>
      <c r="J2385" s="14" t="n"/>
      <c r="K2385" s="14" t="n"/>
      <c r="L2385" s="19">
        <f>IF($C2385="","",ROUND(IFERROR(VLOOKUP($C2385,账户期初,2,0),0)+SUMIFS($J$4:J2385,$C$4:C2385,$C2385)-SUMIFS($K$4:K2385,$C$4:C2385,$C2385),2))</f>
        <v/>
      </c>
      <c r="M2385" s="19">
        <f>IF($C2385="","",ROUND(SUM(基础资料!$B$4:$B$13)+SUM($J$4:J2385)-SUM($K$4:K2385),2))</f>
        <v/>
      </c>
      <c r="N2385" s="13" t="n"/>
      <c r="O2385" s="13" t="n"/>
      <c r="P2385" s="17">
        <f>IF($B2385="","",IF($F2385="※类别不在基础资料里","※费用类别不在基础资料里",IF(AND(N($J2385)=0,N($K2385)=0),"※这行没填金额",IF(AND(N($J2385)&gt;0,N($K2385)&gt;0),"※收入和支出不能同一行都填",IF(AND($D2385="收入",N($J2385)=0),"※收入行要填收入金额",IF(AND($D2385="支出",N($K2385)=0),"※支出行要填支出金额",IF(AND($C2385&lt;&gt;"",ISNA(MATCH($C2385,账户表,0))),"※账户不在基础资料里",IF(AND($G2385&lt;&gt;"",ISNA(MATCH($G2385,项目名表,0))),"※项目不在项目台账里",IF(AND(LEFT($F2385,3)="成本-",$G2385=""),"※成本类支出没填项目",IF(AND(LEFT($F2385,3)="成本-",$H2385&lt;&gt;"",N($K2385)&gt;0,COUNTIFS(采购单!$B:$B,$B2385,采购单!$C:$C,$H2385,采购单!$L:$L,$K2385)&gt;0),"※这笔可能和采购单重复了",""))))))))))</f>
        <v/>
      </c>
    </row>
    <row r="2386">
      <c r="A2386" s="17">
        <f>IF($B2386="","",ROW()-3)</f>
        <v/>
      </c>
      <c r="B2386" s="18" t="n"/>
      <c r="C2386" s="13" t="n"/>
      <c r="D2386" s="13" t="n"/>
      <c r="E2386" s="13" t="n"/>
      <c r="F2386" s="17">
        <f>IF($E2386="","",IFERROR(VLOOKUP($E2386,类别归属,2,0),"※类别不在基础资料里"))</f>
        <v/>
      </c>
      <c r="G2386" s="13" t="n"/>
      <c r="H2386" s="13" t="n"/>
      <c r="I2386" s="13" t="n"/>
      <c r="J2386" s="14" t="n"/>
      <c r="K2386" s="14" t="n"/>
      <c r="L2386" s="19">
        <f>IF($C2386="","",ROUND(IFERROR(VLOOKUP($C2386,账户期初,2,0),0)+SUMIFS($J$4:J2386,$C$4:C2386,$C2386)-SUMIFS($K$4:K2386,$C$4:C2386,$C2386),2))</f>
        <v/>
      </c>
      <c r="M2386" s="19">
        <f>IF($C2386="","",ROUND(SUM(基础资料!$B$4:$B$13)+SUM($J$4:J2386)-SUM($K$4:K2386),2))</f>
        <v/>
      </c>
      <c r="N2386" s="13" t="n"/>
      <c r="O2386" s="13" t="n"/>
      <c r="P2386" s="17">
        <f>IF($B2386="","",IF($F2386="※类别不在基础资料里","※费用类别不在基础资料里",IF(AND(N($J2386)=0,N($K2386)=0),"※这行没填金额",IF(AND(N($J2386)&gt;0,N($K2386)&gt;0),"※收入和支出不能同一行都填",IF(AND($D2386="收入",N($J2386)=0),"※收入行要填收入金额",IF(AND($D2386="支出",N($K2386)=0),"※支出行要填支出金额",IF(AND($C2386&lt;&gt;"",ISNA(MATCH($C2386,账户表,0))),"※账户不在基础资料里",IF(AND($G2386&lt;&gt;"",ISNA(MATCH($G2386,项目名表,0))),"※项目不在项目台账里",IF(AND(LEFT($F2386,3)="成本-",$G2386=""),"※成本类支出没填项目",IF(AND(LEFT($F2386,3)="成本-",$H2386&lt;&gt;"",N($K2386)&gt;0,COUNTIFS(采购单!$B:$B,$B2386,采购单!$C:$C,$H2386,采购单!$L:$L,$K2386)&gt;0),"※这笔可能和采购单重复了",""))))))))))</f>
        <v/>
      </c>
    </row>
    <row r="2387">
      <c r="A2387" s="17">
        <f>IF($B2387="","",ROW()-3)</f>
        <v/>
      </c>
      <c r="B2387" s="18" t="n"/>
      <c r="C2387" s="13" t="n"/>
      <c r="D2387" s="13" t="n"/>
      <c r="E2387" s="13" t="n"/>
      <c r="F2387" s="17">
        <f>IF($E2387="","",IFERROR(VLOOKUP($E2387,类别归属,2,0),"※类别不在基础资料里"))</f>
        <v/>
      </c>
      <c r="G2387" s="13" t="n"/>
      <c r="H2387" s="13" t="n"/>
      <c r="I2387" s="13" t="n"/>
      <c r="J2387" s="14" t="n"/>
      <c r="K2387" s="14" t="n"/>
      <c r="L2387" s="19">
        <f>IF($C2387="","",ROUND(IFERROR(VLOOKUP($C2387,账户期初,2,0),0)+SUMIFS($J$4:J2387,$C$4:C2387,$C2387)-SUMIFS($K$4:K2387,$C$4:C2387,$C2387),2))</f>
        <v/>
      </c>
      <c r="M2387" s="19">
        <f>IF($C2387="","",ROUND(SUM(基础资料!$B$4:$B$13)+SUM($J$4:J2387)-SUM($K$4:K2387),2))</f>
        <v/>
      </c>
      <c r="N2387" s="13" t="n"/>
      <c r="O2387" s="13" t="n"/>
      <c r="P2387" s="17">
        <f>IF($B2387="","",IF($F2387="※类别不在基础资料里","※费用类别不在基础资料里",IF(AND(N($J2387)=0,N($K2387)=0),"※这行没填金额",IF(AND(N($J2387)&gt;0,N($K2387)&gt;0),"※收入和支出不能同一行都填",IF(AND($D2387="收入",N($J2387)=0),"※收入行要填收入金额",IF(AND($D2387="支出",N($K2387)=0),"※支出行要填支出金额",IF(AND($C2387&lt;&gt;"",ISNA(MATCH($C2387,账户表,0))),"※账户不在基础资料里",IF(AND($G2387&lt;&gt;"",ISNA(MATCH($G2387,项目名表,0))),"※项目不在项目台账里",IF(AND(LEFT($F2387,3)="成本-",$G2387=""),"※成本类支出没填项目",IF(AND(LEFT($F2387,3)="成本-",$H2387&lt;&gt;"",N($K2387)&gt;0,COUNTIFS(采购单!$B:$B,$B2387,采购单!$C:$C,$H2387,采购单!$L:$L,$K2387)&gt;0),"※这笔可能和采购单重复了",""))))))))))</f>
        <v/>
      </c>
    </row>
    <row r="2388">
      <c r="A2388" s="17">
        <f>IF($B2388="","",ROW()-3)</f>
        <v/>
      </c>
      <c r="B2388" s="18" t="n"/>
      <c r="C2388" s="13" t="n"/>
      <c r="D2388" s="13" t="n"/>
      <c r="E2388" s="13" t="n"/>
      <c r="F2388" s="17">
        <f>IF($E2388="","",IFERROR(VLOOKUP($E2388,类别归属,2,0),"※类别不在基础资料里"))</f>
        <v/>
      </c>
      <c r="G2388" s="13" t="n"/>
      <c r="H2388" s="13" t="n"/>
      <c r="I2388" s="13" t="n"/>
      <c r="J2388" s="14" t="n"/>
      <c r="K2388" s="14" t="n"/>
      <c r="L2388" s="19">
        <f>IF($C2388="","",ROUND(IFERROR(VLOOKUP($C2388,账户期初,2,0),0)+SUMIFS($J$4:J2388,$C$4:C2388,$C2388)-SUMIFS($K$4:K2388,$C$4:C2388,$C2388),2))</f>
        <v/>
      </c>
      <c r="M2388" s="19">
        <f>IF($C2388="","",ROUND(SUM(基础资料!$B$4:$B$13)+SUM($J$4:J2388)-SUM($K$4:K2388),2))</f>
        <v/>
      </c>
      <c r="N2388" s="13" t="n"/>
      <c r="O2388" s="13" t="n"/>
      <c r="P2388" s="17">
        <f>IF($B2388="","",IF($F2388="※类别不在基础资料里","※费用类别不在基础资料里",IF(AND(N($J2388)=0,N($K2388)=0),"※这行没填金额",IF(AND(N($J2388)&gt;0,N($K2388)&gt;0),"※收入和支出不能同一行都填",IF(AND($D2388="收入",N($J2388)=0),"※收入行要填收入金额",IF(AND($D2388="支出",N($K2388)=0),"※支出行要填支出金额",IF(AND($C2388&lt;&gt;"",ISNA(MATCH($C2388,账户表,0))),"※账户不在基础资料里",IF(AND($G2388&lt;&gt;"",ISNA(MATCH($G2388,项目名表,0))),"※项目不在项目台账里",IF(AND(LEFT($F2388,3)="成本-",$G2388=""),"※成本类支出没填项目",IF(AND(LEFT($F2388,3)="成本-",$H2388&lt;&gt;"",N($K2388)&gt;0,COUNTIFS(采购单!$B:$B,$B2388,采购单!$C:$C,$H2388,采购单!$L:$L,$K2388)&gt;0),"※这笔可能和采购单重复了",""))))))))))</f>
        <v/>
      </c>
    </row>
    <row r="2389">
      <c r="A2389" s="17">
        <f>IF($B2389="","",ROW()-3)</f>
        <v/>
      </c>
      <c r="B2389" s="18" t="n"/>
      <c r="C2389" s="13" t="n"/>
      <c r="D2389" s="13" t="n"/>
      <c r="E2389" s="13" t="n"/>
      <c r="F2389" s="17">
        <f>IF($E2389="","",IFERROR(VLOOKUP($E2389,类别归属,2,0),"※类别不在基础资料里"))</f>
        <v/>
      </c>
      <c r="G2389" s="13" t="n"/>
      <c r="H2389" s="13" t="n"/>
      <c r="I2389" s="13" t="n"/>
      <c r="J2389" s="14" t="n"/>
      <c r="K2389" s="14" t="n"/>
      <c r="L2389" s="19">
        <f>IF($C2389="","",ROUND(IFERROR(VLOOKUP($C2389,账户期初,2,0),0)+SUMIFS($J$4:J2389,$C$4:C2389,$C2389)-SUMIFS($K$4:K2389,$C$4:C2389,$C2389),2))</f>
        <v/>
      </c>
      <c r="M2389" s="19">
        <f>IF($C2389="","",ROUND(SUM(基础资料!$B$4:$B$13)+SUM($J$4:J2389)-SUM($K$4:K2389),2))</f>
        <v/>
      </c>
      <c r="N2389" s="13" t="n"/>
      <c r="O2389" s="13" t="n"/>
      <c r="P2389" s="17">
        <f>IF($B2389="","",IF($F2389="※类别不在基础资料里","※费用类别不在基础资料里",IF(AND(N($J2389)=0,N($K2389)=0),"※这行没填金额",IF(AND(N($J2389)&gt;0,N($K2389)&gt;0),"※收入和支出不能同一行都填",IF(AND($D2389="收入",N($J2389)=0),"※收入行要填收入金额",IF(AND($D2389="支出",N($K2389)=0),"※支出行要填支出金额",IF(AND($C2389&lt;&gt;"",ISNA(MATCH($C2389,账户表,0))),"※账户不在基础资料里",IF(AND($G2389&lt;&gt;"",ISNA(MATCH($G2389,项目名表,0))),"※项目不在项目台账里",IF(AND(LEFT($F2389,3)="成本-",$G2389=""),"※成本类支出没填项目",IF(AND(LEFT($F2389,3)="成本-",$H2389&lt;&gt;"",N($K2389)&gt;0,COUNTIFS(采购单!$B:$B,$B2389,采购单!$C:$C,$H2389,采购单!$L:$L,$K2389)&gt;0),"※这笔可能和采购单重复了",""))))))))))</f>
        <v/>
      </c>
    </row>
    <row r="2390">
      <c r="A2390" s="17">
        <f>IF($B2390="","",ROW()-3)</f>
        <v/>
      </c>
      <c r="B2390" s="18" t="n"/>
      <c r="C2390" s="13" t="n"/>
      <c r="D2390" s="13" t="n"/>
      <c r="E2390" s="13" t="n"/>
      <c r="F2390" s="17">
        <f>IF($E2390="","",IFERROR(VLOOKUP($E2390,类别归属,2,0),"※类别不在基础资料里"))</f>
        <v/>
      </c>
      <c r="G2390" s="13" t="n"/>
      <c r="H2390" s="13" t="n"/>
      <c r="I2390" s="13" t="n"/>
      <c r="J2390" s="14" t="n"/>
      <c r="K2390" s="14" t="n"/>
      <c r="L2390" s="19">
        <f>IF($C2390="","",ROUND(IFERROR(VLOOKUP($C2390,账户期初,2,0),0)+SUMIFS($J$4:J2390,$C$4:C2390,$C2390)-SUMIFS($K$4:K2390,$C$4:C2390,$C2390),2))</f>
        <v/>
      </c>
      <c r="M2390" s="19">
        <f>IF($C2390="","",ROUND(SUM(基础资料!$B$4:$B$13)+SUM($J$4:J2390)-SUM($K$4:K2390),2))</f>
        <v/>
      </c>
      <c r="N2390" s="13" t="n"/>
      <c r="O2390" s="13" t="n"/>
      <c r="P2390" s="17">
        <f>IF($B2390="","",IF($F2390="※类别不在基础资料里","※费用类别不在基础资料里",IF(AND(N($J2390)=0,N($K2390)=0),"※这行没填金额",IF(AND(N($J2390)&gt;0,N($K2390)&gt;0),"※收入和支出不能同一行都填",IF(AND($D2390="收入",N($J2390)=0),"※收入行要填收入金额",IF(AND($D2390="支出",N($K2390)=0),"※支出行要填支出金额",IF(AND($C2390&lt;&gt;"",ISNA(MATCH($C2390,账户表,0))),"※账户不在基础资料里",IF(AND($G2390&lt;&gt;"",ISNA(MATCH($G2390,项目名表,0))),"※项目不在项目台账里",IF(AND(LEFT($F2390,3)="成本-",$G2390=""),"※成本类支出没填项目",IF(AND(LEFT($F2390,3)="成本-",$H2390&lt;&gt;"",N($K2390)&gt;0,COUNTIFS(采购单!$B:$B,$B2390,采购单!$C:$C,$H2390,采购单!$L:$L,$K2390)&gt;0),"※这笔可能和采购单重复了",""))))))))))</f>
        <v/>
      </c>
    </row>
    <row r="2391">
      <c r="A2391" s="17">
        <f>IF($B2391="","",ROW()-3)</f>
        <v/>
      </c>
      <c r="B2391" s="18" t="n"/>
      <c r="C2391" s="13" t="n"/>
      <c r="D2391" s="13" t="n"/>
      <c r="E2391" s="13" t="n"/>
      <c r="F2391" s="17">
        <f>IF($E2391="","",IFERROR(VLOOKUP($E2391,类别归属,2,0),"※类别不在基础资料里"))</f>
        <v/>
      </c>
      <c r="G2391" s="13" t="n"/>
      <c r="H2391" s="13" t="n"/>
      <c r="I2391" s="13" t="n"/>
      <c r="J2391" s="14" t="n"/>
      <c r="K2391" s="14" t="n"/>
      <c r="L2391" s="19">
        <f>IF($C2391="","",ROUND(IFERROR(VLOOKUP($C2391,账户期初,2,0),0)+SUMIFS($J$4:J2391,$C$4:C2391,$C2391)-SUMIFS($K$4:K2391,$C$4:C2391,$C2391),2))</f>
        <v/>
      </c>
      <c r="M2391" s="19">
        <f>IF($C2391="","",ROUND(SUM(基础资料!$B$4:$B$13)+SUM($J$4:J2391)-SUM($K$4:K2391),2))</f>
        <v/>
      </c>
      <c r="N2391" s="13" t="n"/>
      <c r="O2391" s="13" t="n"/>
      <c r="P2391" s="17">
        <f>IF($B2391="","",IF($F2391="※类别不在基础资料里","※费用类别不在基础资料里",IF(AND(N($J2391)=0,N($K2391)=0),"※这行没填金额",IF(AND(N($J2391)&gt;0,N($K2391)&gt;0),"※收入和支出不能同一行都填",IF(AND($D2391="收入",N($J2391)=0),"※收入行要填收入金额",IF(AND($D2391="支出",N($K2391)=0),"※支出行要填支出金额",IF(AND($C2391&lt;&gt;"",ISNA(MATCH($C2391,账户表,0))),"※账户不在基础资料里",IF(AND($G2391&lt;&gt;"",ISNA(MATCH($G2391,项目名表,0))),"※项目不在项目台账里",IF(AND(LEFT($F2391,3)="成本-",$G2391=""),"※成本类支出没填项目",IF(AND(LEFT($F2391,3)="成本-",$H2391&lt;&gt;"",N($K2391)&gt;0,COUNTIFS(采购单!$B:$B,$B2391,采购单!$C:$C,$H2391,采购单!$L:$L,$K2391)&gt;0),"※这笔可能和采购单重复了",""))))))))))</f>
        <v/>
      </c>
    </row>
    <row r="2392">
      <c r="A2392" s="17">
        <f>IF($B2392="","",ROW()-3)</f>
        <v/>
      </c>
      <c r="B2392" s="18" t="n"/>
      <c r="C2392" s="13" t="n"/>
      <c r="D2392" s="13" t="n"/>
      <c r="E2392" s="13" t="n"/>
      <c r="F2392" s="17">
        <f>IF($E2392="","",IFERROR(VLOOKUP($E2392,类别归属,2,0),"※类别不在基础资料里"))</f>
        <v/>
      </c>
      <c r="G2392" s="13" t="n"/>
      <c r="H2392" s="13" t="n"/>
      <c r="I2392" s="13" t="n"/>
      <c r="J2392" s="14" t="n"/>
      <c r="K2392" s="14" t="n"/>
      <c r="L2392" s="19">
        <f>IF($C2392="","",ROUND(IFERROR(VLOOKUP($C2392,账户期初,2,0),0)+SUMIFS($J$4:J2392,$C$4:C2392,$C2392)-SUMIFS($K$4:K2392,$C$4:C2392,$C2392),2))</f>
        <v/>
      </c>
      <c r="M2392" s="19">
        <f>IF($C2392="","",ROUND(SUM(基础资料!$B$4:$B$13)+SUM($J$4:J2392)-SUM($K$4:K2392),2))</f>
        <v/>
      </c>
      <c r="N2392" s="13" t="n"/>
      <c r="O2392" s="13" t="n"/>
      <c r="P2392" s="17">
        <f>IF($B2392="","",IF($F2392="※类别不在基础资料里","※费用类别不在基础资料里",IF(AND(N($J2392)=0,N($K2392)=0),"※这行没填金额",IF(AND(N($J2392)&gt;0,N($K2392)&gt;0),"※收入和支出不能同一行都填",IF(AND($D2392="收入",N($J2392)=0),"※收入行要填收入金额",IF(AND($D2392="支出",N($K2392)=0),"※支出行要填支出金额",IF(AND($C2392&lt;&gt;"",ISNA(MATCH($C2392,账户表,0))),"※账户不在基础资料里",IF(AND($G2392&lt;&gt;"",ISNA(MATCH($G2392,项目名表,0))),"※项目不在项目台账里",IF(AND(LEFT($F2392,3)="成本-",$G2392=""),"※成本类支出没填项目",IF(AND(LEFT($F2392,3)="成本-",$H2392&lt;&gt;"",N($K2392)&gt;0,COUNTIFS(采购单!$B:$B,$B2392,采购单!$C:$C,$H2392,采购单!$L:$L,$K2392)&gt;0),"※这笔可能和采购单重复了",""))))))))))</f>
        <v/>
      </c>
    </row>
    <row r="2393">
      <c r="A2393" s="17">
        <f>IF($B2393="","",ROW()-3)</f>
        <v/>
      </c>
      <c r="B2393" s="18" t="n"/>
      <c r="C2393" s="13" t="n"/>
      <c r="D2393" s="13" t="n"/>
      <c r="E2393" s="13" t="n"/>
      <c r="F2393" s="17">
        <f>IF($E2393="","",IFERROR(VLOOKUP($E2393,类别归属,2,0),"※类别不在基础资料里"))</f>
        <v/>
      </c>
      <c r="G2393" s="13" t="n"/>
      <c r="H2393" s="13" t="n"/>
      <c r="I2393" s="13" t="n"/>
      <c r="J2393" s="14" t="n"/>
      <c r="K2393" s="14" t="n"/>
      <c r="L2393" s="19">
        <f>IF($C2393="","",ROUND(IFERROR(VLOOKUP($C2393,账户期初,2,0),0)+SUMIFS($J$4:J2393,$C$4:C2393,$C2393)-SUMIFS($K$4:K2393,$C$4:C2393,$C2393),2))</f>
        <v/>
      </c>
      <c r="M2393" s="19">
        <f>IF($C2393="","",ROUND(SUM(基础资料!$B$4:$B$13)+SUM($J$4:J2393)-SUM($K$4:K2393),2))</f>
        <v/>
      </c>
      <c r="N2393" s="13" t="n"/>
      <c r="O2393" s="13" t="n"/>
      <c r="P2393" s="17">
        <f>IF($B2393="","",IF($F2393="※类别不在基础资料里","※费用类别不在基础资料里",IF(AND(N($J2393)=0,N($K2393)=0),"※这行没填金额",IF(AND(N($J2393)&gt;0,N($K2393)&gt;0),"※收入和支出不能同一行都填",IF(AND($D2393="收入",N($J2393)=0),"※收入行要填收入金额",IF(AND($D2393="支出",N($K2393)=0),"※支出行要填支出金额",IF(AND($C2393&lt;&gt;"",ISNA(MATCH($C2393,账户表,0))),"※账户不在基础资料里",IF(AND($G2393&lt;&gt;"",ISNA(MATCH($G2393,项目名表,0))),"※项目不在项目台账里",IF(AND(LEFT($F2393,3)="成本-",$G2393=""),"※成本类支出没填项目",IF(AND(LEFT($F2393,3)="成本-",$H2393&lt;&gt;"",N($K2393)&gt;0,COUNTIFS(采购单!$B:$B,$B2393,采购单!$C:$C,$H2393,采购单!$L:$L,$K2393)&gt;0),"※这笔可能和采购单重复了",""))))))))))</f>
        <v/>
      </c>
    </row>
    <row r="2394">
      <c r="A2394" s="17">
        <f>IF($B2394="","",ROW()-3)</f>
        <v/>
      </c>
      <c r="B2394" s="18" t="n"/>
      <c r="C2394" s="13" t="n"/>
      <c r="D2394" s="13" t="n"/>
      <c r="E2394" s="13" t="n"/>
      <c r="F2394" s="17">
        <f>IF($E2394="","",IFERROR(VLOOKUP($E2394,类别归属,2,0),"※类别不在基础资料里"))</f>
        <v/>
      </c>
      <c r="G2394" s="13" t="n"/>
      <c r="H2394" s="13" t="n"/>
      <c r="I2394" s="13" t="n"/>
      <c r="J2394" s="14" t="n"/>
      <c r="K2394" s="14" t="n"/>
      <c r="L2394" s="19">
        <f>IF($C2394="","",ROUND(IFERROR(VLOOKUP($C2394,账户期初,2,0),0)+SUMIFS($J$4:J2394,$C$4:C2394,$C2394)-SUMIFS($K$4:K2394,$C$4:C2394,$C2394),2))</f>
        <v/>
      </c>
      <c r="M2394" s="19">
        <f>IF($C2394="","",ROUND(SUM(基础资料!$B$4:$B$13)+SUM($J$4:J2394)-SUM($K$4:K2394),2))</f>
        <v/>
      </c>
      <c r="N2394" s="13" t="n"/>
      <c r="O2394" s="13" t="n"/>
      <c r="P2394" s="17">
        <f>IF($B2394="","",IF($F2394="※类别不在基础资料里","※费用类别不在基础资料里",IF(AND(N($J2394)=0,N($K2394)=0),"※这行没填金额",IF(AND(N($J2394)&gt;0,N($K2394)&gt;0),"※收入和支出不能同一行都填",IF(AND($D2394="收入",N($J2394)=0),"※收入行要填收入金额",IF(AND($D2394="支出",N($K2394)=0),"※支出行要填支出金额",IF(AND($C2394&lt;&gt;"",ISNA(MATCH($C2394,账户表,0))),"※账户不在基础资料里",IF(AND($G2394&lt;&gt;"",ISNA(MATCH($G2394,项目名表,0))),"※项目不在项目台账里",IF(AND(LEFT($F2394,3)="成本-",$G2394=""),"※成本类支出没填项目",IF(AND(LEFT($F2394,3)="成本-",$H2394&lt;&gt;"",N($K2394)&gt;0,COUNTIFS(采购单!$B:$B,$B2394,采购单!$C:$C,$H2394,采购单!$L:$L,$K2394)&gt;0),"※这笔可能和采购单重复了",""))))))))))</f>
        <v/>
      </c>
    </row>
    <row r="2395">
      <c r="A2395" s="17">
        <f>IF($B2395="","",ROW()-3)</f>
        <v/>
      </c>
      <c r="B2395" s="18" t="n"/>
      <c r="C2395" s="13" t="n"/>
      <c r="D2395" s="13" t="n"/>
      <c r="E2395" s="13" t="n"/>
      <c r="F2395" s="17">
        <f>IF($E2395="","",IFERROR(VLOOKUP($E2395,类别归属,2,0),"※类别不在基础资料里"))</f>
        <v/>
      </c>
      <c r="G2395" s="13" t="n"/>
      <c r="H2395" s="13" t="n"/>
      <c r="I2395" s="13" t="n"/>
      <c r="J2395" s="14" t="n"/>
      <c r="K2395" s="14" t="n"/>
      <c r="L2395" s="19">
        <f>IF($C2395="","",ROUND(IFERROR(VLOOKUP($C2395,账户期初,2,0),0)+SUMIFS($J$4:J2395,$C$4:C2395,$C2395)-SUMIFS($K$4:K2395,$C$4:C2395,$C2395),2))</f>
        <v/>
      </c>
      <c r="M2395" s="19">
        <f>IF($C2395="","",ROUND(SUM(基础资料!$B$4:$B$13)+SUM($J$4:J2395)-SUM($K$4:K2395),2))</f>
        <v/>
      </c>
      <c r="N2395" s="13" t="n"/>
      <c r="O2395" s="13" t="n"/>
      <c r="P2395" s="17">
        <f>IF($B2395="","",IF($F2395="※类别不在基础资料里","※费用类别不在基础资料里",IF(AND(N($J2395)=0,N($K2395)=0),"※这行没填金额",IF(AND(N($J2395)&gt;0,N($K2395)&gt;0),"※收入和支出不能同一行都填",IF(AND($D2395="收入",N($J2395)=0),"※收入行要填收入金额",IF(AND($D2395="支出",N($K2395)=0),"※支出行要填支出金额",IF(AND($C2395&lt;&gt;"",ISNA(MATCH($C2395,账户表,0))),"※账户不在基础资料里",IF(AND($G2395&lt;&gt;"",ISNA(MATCH($G2395,项目名表,0))),"※项目不在项目台账里",IF(AND(LEFT($F2395,3)="成本-",$G2395=""),"※成本类支出没填项目",IF(AND(LEFT($F2395,3)="成本-",$H2395&lt;&gt;"",N($K2395)&gt;0,COUNTIFS(采购单!$B:$B,$B2395,采购单!$C:$C,$H2395,采购单!$L:$L,$K2395)&gt;0),"※这笔可能和采购单重复了",""))))))))))</f>
        <v/>
      </c>
    </row>
    <row r="2396">
      <c r="A2396" s="17">
        <f>IF($B2396="","",ROW()-3)</f>
        <v/>
      </c>
      <c r="B2396" s="18" t="n"/>
      <c r="C2396" s="13" t="n"/>
      <c r="D2396" s="13" t="n"/>
      <c r="E2396" s="13" t="n"/>
      <c r="F2396" s="17">
        <f>IF($E2396="","",IFERROR(VLOOKUP($E2396,类别归属,2,0),"※类别不在基础资料里"))</f>
        <v/>
      </c>
      <c r="G2396" s="13" t="n"/>
      <c r="H2396" s="13" t="n"/>
      <c r="I2396" s="13" t="n"/>
      <c r="J2396" s="14" t="n"/>
      <c r="K2396" s="14" t="n"/>
      <c r="L2396" s="19">
        <f>IF($C2396="","",ROUND(IFERROR(VLOOKUP($C2396,账户期初,2,0),0)+SUMIFS($J$4:J2396,$C$4:C2396,$C2396)-SUMIFS($K$4:K2396,$C$4:C2396,$C2396),2))</f>
        <v/>
      </c>
      <c r="M2396" s="19">
        <f>IF($C2396="","",ROUND(SUM(基础资料!$B$4:$B$13)+SUM($J$4:J2396)-SUM($K$4:K2396),2))</f>
        <v/>
      </c>
      <c r="N2396" s="13" t="n"/>
      <c r="O2396" s="13" t="n"/>
      <c r="P2396" s="17">
        <f>IF($B2396="","",IF($F2396="※类别不在基础资料里","※费用类别不在基础资料里",IF(AND(N($J2396)=0,N($K2396)=0),"※这行没填金额",IF(AND(N($J2396)&gt;0,N($K2396)&gt;0),"※收入和支出不能同一行都填",IF(AND($D2396="收入",N($J2396)=0),"※收入行要填收入金额",IF(AND($D2396="支出",N($K2396)=0),"※支出行要填支出金额",IF(AND($C2396&lt;&gt;"",ISNA(MATCH($C2396,账户表,0))),"※账户不在基础资料里",IF(AND($G2396&lt;&gt;"",ISNA(MATCH($G2396,项目名表,0))),"※项目不在项目台账里",IF(AND(LEFT($F2396,3)="成本-",$G2396=""),"※成本类支出没填项目",IF(AND(LEFT($F2396,3)="成本-",$H2396&lt;&gt;"",N($K2396)&gt;0,COUNTIFS(采购单!$B:$B,$B2396,采购单!$C:$C,$H2396,采购单!$L:$L,$K2396)&gt;0),"※这笔可能和采购单重复了",""))))))))))</f>
        <v/>
      </c>
    </row>
    <row r="2397">
      <c r="A2397" s="17">
        <f>IF($B2397="","",ROW()-3)</f>
        <v/>
      </c>
      <c r="B2397" s="18" t="n"/>
      <c r="C2397" s="13" t="n"/>
      <c r="D2397" s="13" t="n"/>
      <c r="E2397" s="13" t="n"/>
      <c r="F2397" s="17">
        <f>IF($E2397="","",IFERROR(VLOOKUP($E2397,类别归属,2,0),"※类别不在基础资料里"))</f>
        <v/>
      </c>
      <c r="G2397" s="13" t="n"/>
      <c r="H2397" s="13" t="n"/>
      <c r="I2397" s="13" t="n"/>
      <c r="J2397" s="14" t="n"/>
      <c r="K2397" s="14" t="n"/>
      <c r="L2397" s="19">
        <f>IF($C2397="","",ROUND(IFERROR(VLOOKUP($C2397,账户期初,2,0),0)+SUMIFS($J$4:J2397,$C$4:C2397,$C2397)-SUMIFS($K$4:K2397,$C$4:C2397,$C2397),2))</f>
        <v/>
      </c>
      <c r="M2397" s="19">
        <f>IF($C2397="","",ROUND(SUM(基础资料!$B$4:$B$13)+SUM($J$4:J2397)-SUM($K$4:K2397),2))</f>
        <v/>
      </c>
      <c r="N2397" s="13" t="n"/>
      <c r="O2397" s="13" t="n"/>
      <c r="P2397" s="17">
        <f>IF($B2397="","",IF($F2397="※类别不在基础资料里","※费用类别不在基础资料里",IF(AND(N($J2397)=0,N($K2397)=0),"※这行没填金额",IF(AND(N($J2397)&gt;0,N($K2397)&gt;0),"※收入和支出不能同一行都填",IF(AND($D2397="收入",N($J2397)=0),"※收入行要填收入金额",IF(AND($D2397="支出",N($K2397)=0),"※支出行要填支出金额",IF(AND($C2397&lt;&gt;"",ISNA(MATCH($C2397,账户表,0))),"※账户不在基础资料里",IF(AND($G2397&lt;&gt;"",ISNA(MATCH($G2397,项目名表,0))),"※项目不在项目台账里",IF(AND(LEFT($F2397,3)="成本-",$G2397=""),"※成本类支出没填项目",IF(AND(LEFT($F2397,3)="成本-",$H2397&lt;&gt;"",N($K2397)&gt;0,COUNTIFS(采购单!$B:$B,$B2397,采购单!$C:$C,$H2397,采购单!$L:$L,$K2397)&gt;0),"※这笔可能和采购单重复了",""))))))))))</f>
        <v/>
      </c>
    </row>
    <row r="2398">
      <c r="A2398" s="17">
        <f>IF($B2398="","",ROW()-3)</f>
        <v/>
      </c>
      <c r="B2398" s="18" t="n"/>
      <c r="C2398" s="13" t="n"/>
      <c r="D2398" s="13" t="n"/>
      <c r="E2398" s="13" t="n"/>
      <c r="F2398" s="17">
        <f>IF($E2398="","",IFERROR(VLOOKUP($E2398,类别归属,2,0),"※类别不在基础资料里"))</f>
        <v/>
      </c>
      <c r="G2398" s="13" t="n"/>
      <c r="H2398" s="13" t="n"/>
      <c r="I2398" s="13" t="n"/>
      <c r="J2398" s="14" t="n"/>
      <c r="K2398" s="14" t="n"/>
      <c r="L2398" s="19">
        <f>IF($C2398="","",ROUND(IFERROR(VLOOKUP($C2398,账户期初,2,0),0)+SUMIFS($J$4:J2398,$C$4:C2398,$C2398)-SUMIFS($K$4:K2398,$C$4:C2398,$C2398),2))</f>
        <v/>
      </c>
      <c r="M2398" s="19">
        <f>IF($C2398="","",ROUND(SUM(基础资料!$B$4:$B$13)+SUM($J$4:J2398)-SUM($K$4:K2398),2))</f>
        <v/>
      </c>
      <c r="N2398" s="13" t="n"/>
      <c r="O2398" s="13" t="n"/>
      <c r="P2398" s="17">
        <f>IF($B2398="","",IF($F2398="※类别不在基础资料里","※费用类别不在基础资料里",IF(AND(N($J2398)=0,N($K2398)=0),"※这行没填金额",IF(AND(N($J2398)&gt;0,N($K2398)&gt;0),"※收入和支出不能同一行都填",IF(AND($D2398="收入",N($J2398)=0),"※收入行要填收入金额",IF(AND($D2398="支出",N($K2398)=0),"※支出行要填支出金额",IF(AND($C2398&lt;&gt;"",ISNA(MATCH($C2398,账户表,0))),"※账户不在基础资料里",IF(AND($G2398&lt;&gt;"",ISNA(MATCH($G2398,项目名表,0))),"※项目不在项目台账里",IF(AND(LEFT($F2398,3)="成本-",$G2398=""),"※成本类支出没填项目",IF(AND(LEFT($F2398,3)="成本-",$H2398&lt;&gt;"",N($K2398)&gt;0,COUNTIFS(采购单!$B:$B,$B2398,采购单!$C:$C,$H2398,采购单!$L:$L,$K2398)&gt;0),"※这笔可能和采购单重复了",""))))))))))</f>
        <v/>
      </c>
    </row>
    <row r="2399">
      <c r="A2399" s="17">
        <f>IF($B2399="","",ROW()-3)</f>
        <v/>
      </c>
      <c r="B2399" s="18" t="n"/>
      <c r="C2399" s="13" t="n"/>
      <c r="D2399" s="13" t="n"/>
      <c r="E2399" s="13" t="n"/>
      <c r="F2399" s="17">
        <f>IF($E2399="","",IFERROR(VLOOKUP($E2399,类别归属,2,0),"※类别不在基础资料里"))</f>
        <v/>
      </c>
      <c r="G2399" s="13" t="n"/>
      <c r="H2399" s="13" t="n"/>
      <c r="I2399" s="13" t="n"/>
      <c r="J2399" s="14" t="n"/>
      <c r="K2399" s="14" t="n"/>
      <c r="L2399" s="19">
        <f>IF($C2399="","",ROUND(IFERROR(VLOOKUP($C2399,账户期初,2,0),0)+SUMIFS($J$4:J2399,$C$4:C2399,$C2399)-SUMIFS($K$4:K2399,$C$4:C2399,$C2399),2))</f>
        <v/>
      </c>
      <c r="M2399" s="19">
        <f>IF($C2399="","",ROUND(SUM(基础资料!$B$4:$B$13)+SUM($J$4:J2399)-SUM($K$4:K2399),2))</f>
        <v/>
      </c>
      <c r="N2399" s="13" t="n"/>
      <c r="O2399" s="13" t="n"/>
      <c r="P2399" s="17">
        <f>IF($B2399="","",IF($F2399="※类别不在基础资料里","※费用类别不在基础资料里",IF(AND(N($J2399)=0,N($K2399)=0),"※这行没填金额",IF(AND(N($J2399)&gt;0,N($K2399)&gt;0),"※收入和支出不能同一行都填",IF(AND($D2399="收入",N($J2399)=0),"※收入行要填收入金额",IF(AND($D2399="支出",N($K2399)=0),"※支出行要填支出金额",IF(AND($C2399&lt;&gt;"",ISNA(MATCH($C2399,账户表,0))),"※账户不在基础资料里",IF(AND($G2399&lt;&gt;"",ISNA(MATCH($G2399,项目名表,0))),"※项目不在项目台账里",IF(AND(LEFT($F2399,3)="成本-",$G2399=""),"※成本类支出没填项目",IF(AND(LEFT($F2399,3)="成本-",$H2399&lt;&gt;"",N($K2399)&gt;0,COUNTIFS(采购单!$B:$B,$B2399,采购单!$C:$C,$H2399,采购单!$L:$L,$K2399)&gt;0),"※这笔可能和采购单重复了",""))))))))))</f>
        <v/>
      </c>
    </row>
    <row r="2400">
      <c r="A2400" s="17">
        <f>IF($B2400="","",ROW()-3)</f>
        <v/>
      </c>
      <c r="B2400" s="18" t="n"/>
      <c r="C2400" s="13" t="n"/>
      <c r="D2400" s="13" t="n"/>
      <c r="E2400" s="13" t="n"/>
      <c r="F2400" s="17">
        <f>IF($E2400="","",IFERROR(VLOOKUP($E2400,类别归属,2,0),"※类别不在基础资料里"))</f>
        <v/>
      </c>
      <c r="G2400" s="13" t="n"/>
      <c r="H2400" s="13" t="n"/>
      <c r="I2400" s="13" t="n"/>
      <c r="J2400" s="14" t="n"/>
      <c r="K2400" s="14" t="n"/>
      <c r="L2400" s="19">
        <f>IF($C2400="","",ROUND(IFERROR(VLOOKUP($C2400,账户期初,2,0),0)+SUMIFS($J$4:J2400,$C$4:C2400,$C2400)-SUMIFS($K$4:K2400,$C$4:C2400,$C2400),2))</f>
        <v/>
      </c>
      <c r="M2400" s="19">
        <f>IF($C2400="","",ROUND(SUM(基础资料!$B$4:$B$13)+SUM($J$4:J2400)-SUM($K$4:K2400),2))</f>
        <v/>
      </c>
      <c r="N2400" s="13" t="n"/>
      <c r="O2400" s="13" t="n"/>
      <c r="P2400" s="17">
        <f>IF($B2400="","",IF($F2400="※类别不在基础资料里","※费用类别不在基础资料里",IF(AND(N($J2400)=0,N($K2400)=0),"※这行没填金额",IF(AND(N($J2400)&gt;0,N($K2400)&gt;0),"※收入和支出不能同一行都填",IF(AND($D2400="收入",N($J2400)=0),"※收入行要填收入金额",IF(AND($D2400="支出",N($K2400)=0),"※支出行要填支出金额",IF(AND($C2400&lt;&gt;"",ISNA(MATCH($C2400,账户表,0))),"※账户不在基础资料里",IF(AND($G2400&lt;&gt;"",ISNA(MATCH($G2400,项目名表,0))),"※项目不在项目台账里",IF(AND(LEFT($F2400,3)="成本-",$G2400=""),"※成本类支出没填项目",IF(AND(LEFT($F2400,3)="成本-",$H2400&lt;&gt;"",N($K2400)&gt;0,COUNTIFS(采购单!$B:$B,$B2400,采购单!$C:$C,$H2400,采购单!$L:$L,$K2400)&gt;0),"※这笔可能和采购单重复了",""))))))))))</f>
        <v/>
      </c>
    </row>
    <row r="2401">
      <c r="A2401" s="17">
        <f>IF($B2401="","",ROW()-3)</f>
        <v/>
      </c>
      <c r="B2401" s="18" t="n"/>
      <c r="C2401" s="13" t="n"/>
      <c r="D2401" s="13" t="n"/>
      <c r="E2401" s="13" t="n"/>
      <c r="F2401" s="17">
        <f>IF($E2401="","",IFERROR(VLOOKUP($E2401,类别归属,2,0),"※类别不在基础资料里"))</f>
        <v/>
      </c>
      <c r="G2401" s="13" t="n"/>
      <c r="H2401" s="13" t="n"/>
      <c r="I2401" s="13" t="n"/>
      <c r="J2401" s="14" t="n"/>
      <c r="K2401" s="14" t="n"/>
      <c r="L2401" s="19">
        <f>IF($C2401="","",ROUND(IFERROR(VLOOKUP($C2401,账户期初,2,0),0)+SUMIFS($J$4:J2401,$C$4:C2401,$C2401)-SUMIFS($K$4:K2401,$C$4:C2401,$C2401),2))</f>
        <v/>
      </c>
      <c r="M2401" s="19">
        <f>IF($C2401="","",ROUND(SUM(基础资料!$B$4:$B$13)+SUM($J$4:J2401)-SUM($K$4:K2401),2))</f>
        <v/>
      </c>
      <c r="N2401" s="13" t="n"/>
      <c r="O2401" s="13" t="n"/>
      <c r="P2401" s="17">
        <f>IF($B2401="","",IF($F2401="※类别不在基础资料里","※费用类别不在基础资料里",IF(AND(N($J2401)=0,N($K2401)=0),"※这行没填金额",IF(AND(N($J2401)&gt;0,N($K2401)&gt;0),"※收入和支出不能同一行都填",IF(AND($D2401="收入",N($J2401)=0),"※收入行要填收入金额",IF(AND($D2401="支出",N($K2401)=0),"※支出行要填支出金额",IF(AND($C2401&lt;&gt;"",ISNA(MATCH($C2401,账户表,0))),"※账户不在基础资料里",IF(AND($G2401&lt;&gt;"",ISNA(MATCH($G2401,项目名表,0))),"※项目不在项目台账里",IF(AND(LEFT($F2401,3)="成本-",$G2401=""),"※成本类支出没填项目",IF(AND(LEFT($F2401,3)="成本-",$H2401&lt;&gt;"",N($K2401)&gt;0,COUNTIFS(采购单!$B:$B,$B2401,采购单!$C:$C,$H2401,采购单!$L:$L,$K2401)&gt;0),"※这笔可能和采购单重复了",""))))))))))</f>
        <v/>
      </c>
    </row>
    <row r="2402">
      <c r="A2402" s="17">
        <f>IF($B2402="","",ROW()-3)</f>
        <v/>
      </c>
      <c r="B2402" s="18" t="n"/>
      <c r="C2402" s="13" t="n"/>
      <c r="D2402" s="13" t="n"/>
      <c r="E2402" s="13" t="n"/>
      <c r="F2402" s="17">
        <f>IF($E2402="","",IFERROR(VLOOKUP($E2402,类别归属,2,0),"※类别不在基础资料里"))</f>
        <v/>
      </c>
      <c r="G2402" s="13" t="n"/>
      <c r="H2402" s="13" t="n"/>
      <c r="I2402" s="13" t="n"/>
      <c r="J2402" s="14" t="n"/>
      <c r="K2402" s="14" t="n"/>
      <c r="L2402" s="19">
        <f>IF($C2402="","",ROUND(IFERROR(VLOOKUP($C2402,账户期初,2,0),0)+SUMIFS($J$4:J2402,$C$4:C2402,$C2402)-SUMIFS($K$4:K2402,$C$4:C2402,$C2402),2))</f>
        <v/>
      </c>
      <c r="M2402" s="19">
        <f>IF($C2402="","",ROUND(SUM(基础资料!$B$4:$B$13)+SUM($J$4:J2402)-SUM($K$4:K2402),2))</f>
        <v/>
      </c>
      <c r="N2402" s="13" t="n"/>
      <c r="O2402" s="13" t="n"/>
      <c r="P2402" s="17">
        <f>IF($B2402="","",IF($F2402="※类别不在基础资料里","※费用类别不在基础资料里",IF(AND(N($J2402)=0,N($K2402)=0),"※这行没填金额",IF(AND(N($J2402)&gt;0,N($K2402)&gt;0),"※收入和支出不能同一行都填",IF(AND($D2402="收入",N($J2402)=0),"※收入行要填收入金额",IF(AND($D2402="支出",N($K2402)=0),"※支出行要填支出金额",IF(AND($C2402&lt;&gt;"",ISNA(MATCH($C2402,账户表,0))),"※账户不在基础资料里",IF(AND($G2402&lt;&gt;"",ISNA(MATCH($G2402,项目名表,0))),"※项目不在项目台账里",IF(AND(LEFT($F2402,3)="成本-",$G2402=""),"※成本类支出没填项目",IF(AND(LEFT($F2402,3)="成本-",$H2402&lt;&gt;"",N($K2402)&gt;0,COUNTIFS(采购单!$B:$B,$B2402,采购单!$C:$C,$H2402,采购单!$L:$L,$K2402)&gt;0),"※这笔可能和采购单重复了",""))))))))))</f>
        <v/>
      </c>
    </row>
    <row r="2403">
      <c r="A2403" s="17">
        <f>IF($B2403="","",ROW()-3)</f>
        <v/>
      </c>
      <c r="B2403" s="18" t="n"/>
      <c r="C2403" s="13" t="n"/>
      <c r="D2403" s="13" t="n"/>
      <c r="E2403" s="13" t="n"/>
      <c r="F2403" s="17">
        <f>IF($E2403="","",IFERROR(VLOOKUP($E2403,类别归属,2,0),"※类别不在基础资料里"))</f>
        <v/>
      </c>
      <c r="G2403" s="13" t="n"/>
      <c r="H2403" s="13" t="n"/>
      <c r="I2403" s="13" t="n"/>
      <c r="J2403" s="14" t="n"/>
      <c r="K2403" s="14" t="n"/>
      <c r="L2403" s="19">
        <f>IF($C2403="","",ROUND(IFERROR(VLOOKUP($C2403,账户期初,2,0),0)+SUMIFS($J$4:J2403,$C$4:C2403,$C2403)-SUMIFS($K$4:K2403,$C$4:C2403,$C2403),2))</f>
        <v/>
      </c>
      <c r="M2403" s="19">
        <f>IF($C2403="","",ROUND(SUM(基础资料!$B$4:$B$13)+SUM($J$4:J2403)-SUM($K$4:K2403),2))</f>
        <v/>
      </c>
      <c r="N2403" s="13" t="n"/>
      <c r="O2403" s="13" t="n"/>
      <c r="P2403" s="17">
        <f>IF($B2403="","",IF($F2403="※类别不在基础资料里","※费用类别不在基础资料里",IF(AND(N($J2403)=0,N($K2403)=0),"※这行没填金额",IF(AND(N($J2403)&gt;0,N($K2403)&gt;0),"※收入和支出不能同一行都填",IF(AND($D2403="收入",N($J2403)=0),"※收入行要填收入金额",IF(AND($D2403="支出",N($K2403)=0),"※支出行要填支出金额",IF(AND($C2403&lt;&gt;"",ISNA(MATCH($C2403,账户表,0))),"※账户不在基础资料里",IF(AND($G2403&lt;&gt;"",ISNA(MATCH($G2403,项目名表,0))),"※项目不在项目台账里",IF(AND(LEFT($F2403,3)="成本-",$G2403=""),"※成本类支出没填项目",IF(AND(LEFT($F2403,3)="成本-",$H2403&lt;&gt;"",N($K2403)&gt;0,COUNTIFS(采购单!$B:$B,$B2403,采购单!$C:$C,$H2403,采购单!$L:$L,$K2403)&gt;0),"※这笔可能和采购单重复了",""))))))))))</f>
        <v/>
      </c>
    </row>
    <row r="2404">
      <c r="A2404" s="17">
        <f>IF($B2404="","",ROW()-3)</f>
        <v/>
      </c>
      <c r="B2404" s="18" t="n"/>
      <c r="C2404" s="13" t="n"/>
      <c r="D2404" s="13" t="n"/>
      <c r="E2404" s="13" t="n"/>
      <c r="F2404" s="17">
        <f>IF($E2404="","",IFERROR(VLOOKUP($E2404,类别归属,2,0),"※类别不在基础资料里"))</f>
        <v/>
      </c>
      <c r="G2404" s="13" t="n"/>
      <c r="H2404" s="13" t="n"/>
      <c r="I2404" s="13" t="n"/>
      <c r="J2404" s="14" t="n"/>
      <c r="K2404" s="14" t="n"/>
      <c r="L2404" s="19">
        <f>IF($C2404="","",ROUND(IFERROR(VLOOKUP($C2404,账户期初,2,0),0)+SUMIFS($J$4:J2404,$C$4:C2404,$C2404)-SUMIFS($K$4:K2404,$C$4:C2404,$C2404),2))</f>
        <v/>
      </c>
      <c r="M2404" s="19">
        <f>IF($C2404="","",ROUND(SUM(基础资料!$B$4:$B$13)+SUM($J$4:J2404)-SUM($K$4:K2404),2))</f>
        <v/>
      </c>
      <c r="N2404" s="13" t="n"/>
      <c r="O2404" s="13" t="n"/>
      <c r="P2404" s="17">
        <f>IF($B2404="","",IF($F2404="※类别不在基础资料里","※费用类别不在基础资料里",IF(AND(N($J2404)=0,N($K2404)=0),"※这行没填金额",IF(AND(N($J2404)&gt;0,N($K2404)&gt;0),"※收入和支出不能同一行都填",IF(AND($D2404="收入",N($J2404)=0),"※收入行要填收入金额",IF(AND($D2404="支出",N($K2404)=0),"※支出行要填支出金额",IF(AND($C2404&lt;&gt;"",ISNA(MATCH($C2404,账户表,0))),"※账户不在基础资料里",IF(AND($G2404&lt;&gt;"",ISNA(MATCH($G2404,项目名表,0))),"※项目不在项目台账里",IF(AND(LEFT($F2404,3)="成本-",$G2404=""),"※成本类支出没填项目",IF(AND(LEFT($F2404,3)="成本-",$H2404&lt;&gt;"",N($K2404)&gt;0,COUNTIFS(采购单!$B:$B,$B2404,采购单!$C:$C,$H2404,采购单!$L:$L,$K2404)&gt;0),"※这笔可能和采购单重复了",""))))))))))</f>
        <v/>
      </c>
    </row>
    <row r="2405">
      <c r="A2405" s="17">
        <f>IF($B2405="","",ROW()-3)</f>
        <v/>
      </c>
      <c r="B2405" s="18" t="n"/>
      <c r="C2405" s="13" t="n"/>
      <c r="D2405" s="13" t="n"/>
      <c r="E2405" s="13" t="n"/>
      <c r="F2405" s="17">
        <f>IF($E2405="","",IFERROR(VLOOKUP($E2405,类别归属,2,0),"※类别不在基础资料里"))</f>
        <v/>
      </c>
      <c r="G2405" s="13" t="n"/>
      <c r="H2405" s="13" t="n"/>
      <c r="I2405" s="13" t="n"/>
      <c r="J2405" s="14" t="n"/>
      <c r="K2405" s="14" t="n"/>
      <c r="L2405" s="19">
        <f>IF($C2405="","",ROUND(IFERROR(VLOOKUP($C2405,账户期初,2,0),0)+SUMIFS($J$4:J2405,$C$4:C2405,$C2405)-SUMIFS($K$4:K2405,$C$4:C2405,$C2405),2))</f>
        <v/>
      </c>
      <c r="M2405" s="19">
        <f>IF($C2405="","",ROUND(SUM(基础资料!$B$4:$B$13)+SUM($J$4:J2405)-SUM($K$4:K2405),2))</f>
        <v/>
      </c>
      <c r="N2405" s="13" t="n"/>
      <c r="O2405" s="13" t="n"/>
      <c r="P2405" s="17">
        <f>IF($B2405="","",IF($F2405="※类别不在基础资料里","※费用类别不在基础资料里",IF(AND(N($J2405)=0,N($K2405)=0),"※这行没填金额",IF(AND(N($J2405)&gt;0,N($K2405)&gt;0),"※收入和支出不能同一行都填",IF(AND($D2405="收入",N($J2405)=0),"※收入行要填收入金额",IF(AND($D2405="支出",N($K2405)=0),"※支出行要填支出金额",IF(AND($C2405&lt;&gt;"",ISNA(MATCH($C2405,账户表,0))),"※账户不在基础资料里",IF(AND($G2405&lt;&gt;"",ISNA(MATCH($G2405,项目名表,0))),"※项目不在项目台账里",IF(AND(LEFT($F2405,3)="成本-",$G2405=""),"※成本类支出没填项目",IF(AND(LEFT($F2405,3)="成本-",$H2405&lt;&gt;"",N($K2405)&gt;0,COUNTIFS(采购单!$B:$B,$B2405,采购单!$C:$C,$H2405,采购单!$L:$L,$K2405)&gt;0),"※这笔可能和采购单重复了",""))))))))))</f>
        <v/>
      </c>
    </row>
    <row r="2406">
      <c r="A2406" s="17">
        <f>IF($B2406="","",ROW()-3)</f>
        <v/>
      </c>
      <c r="B2406" s="18" t="n"/>
      <c r="C2406" s="13" t="n"/>
      <c r="D2406" s="13" t="n"/>
      <c r="E2406" s="13" t="n"/>
      <c r="F2406" s="17">
        <f>IF($E2406="","",IFERROR(VLOOKUP($E2406,类别归属,2,0),"※类别不在基础资料里"))</f>
        <v/>
      </c>
      <c r="G2406" s="13" t="n"/>
      <c r="H2406" s="13" t="n"/>
      <c r="I2406" s="13" t="n"/>
      <c r="J2406" s="14" t="n"/>
      <c r="K2406" s="14" t="n"/>
      <c r="L2406" s="19">
        <f>IF($C2406="","",ROUND(IFERROR(VLOOKUP($C2406,账户期初,2,0),0)+SUMIFS($J$4:J2406,$C$4:C2406,$C2406)-SUMIFS($K$4:K2406,$C$4:C2406,$C2406),2))</f>
        <v/>
      </c>
      <c r="M2406" s="19">
        <f>IF($C2406="","",ROUND(SUM(基础资料!$B$4:$B$13)+SUM($J$4:J2406)-SUM($K$4:K2406),2))</f>
        <v/>
      </c>
      <c r="N2406" s="13" t="n"/>
      <c r="O2406" s="13" t="n"/>
      <c r="P2406" s="17">
        <f>IF($B2406="","",IF($F2406="※类别不在基础资料里","※费用类别不在基础资料里",IF(AND(N($J2406)=0,N($K2406)=0),"※这行没填金额",IF(AND(N($J2406)&gt;0,N($K2406)&gt;0),"※收入和支出不能同一行都填",IF(AND($D2406="收入",N($J2406)=0),"※收入行要填收入金额",IF(AND($D2406="支出",N($K2406)=0),"※支出行要填支出金额",IF(AND($C2406&lt;&gt;"",ISNA(MATCH($C2406,账户表,0))),"※账户不在基础资料里",IF(AND($G2406&lt;&gt;"",ISNA(MATCH($G2406,项目名表,0))),"※项目不在项目台账里",IF(AND(LEFT($F2406,3)="成本-",$G2406=""),"※成本类支出没填项目",IF(AND(LEFT($F2406,3)="成本-",$H2406&lt;&gt;"",N($K2406)&gt;0,COUNTIFS(采购单!$B:$B,$B2406,采购单!$C:$C,$H2406,采购单!$L:$L,$K2406)&gt;0),"※这笔可能和采购单重复了",""))))))))))</f>
        <v/>
      </c>
    </row>
    <row r="2407">
      <c r="A2407" s="17">
        <f>IF($B2407="","",ROW()-3)</f>
        <v/>
      </c>
      <c r="B2407" s="18" t="n"/>
      <c r="C2407" s="13" t="n"/>
      <c r="D2407" s="13" t="n"/>
      <c r="E2407" s="13" t="n"/>
      <c r="F2407" s="17">
        <f>IF($E2407="","",IFERROR(VLOOKUP($E2407,类别归属,2,0),"※类别不在基础资料里"))</f>
        <v/>
      </c>
      <c r="G2407" s="13" t="n"/>
      <c r="H2407" s="13" t="n"/>
      <c r="I2407" s="13" t="n"/>
      <c r="J2407" s="14" t="n"/>
      <c r="K2407" s="14" t="n"/>
      <c r="L2407" s="19">
        <f>IF($C2407="","",ROUND(IFERROR(VLOOKUP($C2407,账户期初,2,0),0)+SUMIFS($J$4:J2407,$C$4:C2407,$C2407)-SUMIFS($K$4:K2407,$C$4:C2407,$C2407),2))</f>
        <v/>
      </c>
      <c r="M2407" s="19">
        <f>IF($C2407="","",ROUND(SUM(基础资料!$B$4:$B$13)+SUM($J$4:J2407)-SUM($K$4:K2407),2))</f>
        <v/>
      </c>
      <c r="N2407" s="13" t="n"/>
      <c r="O2407" s="13" t="n"/>
      <c r="P2407" s="17">
        <f>IF($B2407="","",IF($F2407="※类别不在基础资料里","※费用类别不在基础资料里",IF(AND(N($J2407)=0,N($K2407)=0),"※这行没填金额",IF(AND(N($J2407)&gt;0,N($K2407)&gt;0),"※收入和支出不能同一行都填",IF(AND($D2407="收入",N($J2407)=0),"※收入行要填收入金额",IF(AND($D2407="支出",N($K2407)=0),"※支出行要填支出金额",IF(AND($C2407&lt;&gt;"",ISNA(MATCH($C2407,账户表,0))),"※账户不在基础资料里",IF(AND($G2407&lt;&gt;"",ISNA(MATCH($G2407,项目名表,0))),"※项目不在项目台账里",IF(AND(LEFT($F2407,3)="成本-",$G2407=""),"※成本类支出没填项目",IF(AND(LEFT($F2407,3)="成本-",$H2407&lt;&gt;"",N($K2407)&gt;0,COUNTIFS(采购单!$B:$B,$B2407,采购单!$C:$C,$H2407,采购单!$L:$L,$K2407)&gt;0),"※这笔可能和采购单重复了",""))))))))))</f>
        <v/>
      </c>
    </row>
    <row r="2408">
      <c r="A2408" s="17">
        <f>IF($B2408="","",ROW()-3)</f>
        <v/>
      </c>
      <c r="B2408" s="18" t="n"/>
      <c r="C2408" s="13" t="n"/>
      <c r="D2408" s="13" t="n"/>
      <c r="E2408" s="13" t="n"/>
      <c r="F2408" s="17">
        <f>IF($E2408="","",IFERROR(VLOOKUP($E2408,类别归属,2,0),"※类别不在基础资料里"))</f>
        <v/>
      </c>
      <c r="G2408" s="13" t="n"/>
      <c r="H2408" s="13" t="n"/>
      <c r="I2408" s="13" t="n"/>
      <c r="J2408" s="14" t="n"/>
      <c r="K2408" s="14" t="n"/>
      <c r="L2408" s="19">
        <f>IF($C2408="","",ROUND(IFERROR(VLOOKUP($C2408,账户期初,2,0),0)+SUMIFS($J$4:J2408,$C$4:C2408,$C2408)-SUMIFS($K$4:K2408,$C$4:C2408,$C2408),2))</f>
        <v/>
      </c>
      <c r="M2408" s="19">
        <f>IF($C2408="","",ROUND(SUM(基础资料!$B$4:$B$13)+SUM($J$4:J2408)-SUM($K$4:K2408),2))</f>
        <v/>
      </c>
      <c r="N2408" s="13" t="n"/>
      <c r="O2408" s="13" t="n"/>
      <c r="P2408" s="17">
        <f>IF($B2408="","",IF($F2408="※类别不在基础资料里","※费用类别不在基础资料里",IF(AND(N($J2408)=0,N($K2408)=0),"※这行没填金额",IF(AND(N($J2408)&gt;0,N($K2408)&gt;0),"※收入和支出不能同一行都填",IF(AND($D2408="收入",N($J2408)=0),"※收入行要填收入金额",IF(AND($D2408="支出",N($K2408)=0),"※支出行要填支出金额",IF(AND($C2408&lt;&gt;"",ISNA(MATCH($C2408,账户表,0))),"※账户不在基础资料里",IF(AND($G2408&lt;&gt;"",ISNA(MATCH($G2408,项目名表,0))),"※项目不在项目台账里",IF(AND(LEFT($F2408,3)="成本-",$G2408=""),"※成本类支出没填项目",IF(AND(LEFT($F2408,3)="成本-",$H2408&lt;&gt;"",N($K2408)&gt;0,COUNTIFS(采购单!$B:$B,$B2408,采购单!$C:$C,$H2408,采购单!$L:$L,$K2408)&gt;0),"※这笔可能和采购单重复了",""))))))))))</f>
        <v/>
      </c>
    </row>
    <row r="2409">
      <c r="A2409" s="17">
        <f>IF($B2409="","",ROW()-3)</f>
        <v/>
      </c>
      <c r="B2409" s="18" t="n"/>
      <c r="C2409" s="13" t="n"/>
      <c r="D2409" s="13" t="n"/>
      <c r="E2409" s="13" t="n"/>
      <c r="F2409" s="17">
        <f>IF($E2409="","",IFERROR(VLOOKUP($E2409,类别归属,2,0),"※类别不在基础资料里"))</f>
        <v/>
      </c>
      <c r="G2409" s="13" t="n"/>
      <c r="H2409" s="13" t="n"/>
      <c r="I2409" s="13" t="n"/>
      <c r="J2409" s="14" t="n"/>
      <c r="K2409" s="14" t="n"/>
      <c r="L2409" s="19">
        <f>IF($C2409="","",ROUND(IFERROR(VLOOKUP($C2409,账户期初,2,0),0)+SUMIFS($J$4:J2409,$C$4:C2409,$C2409)-SUMIFS($K$4:K2409,$C$4:C2409,$C2409),2))</f>
        <v/>
      </c>
      <c r="M2409" s="19">
        <f>IF($C2409="","",ROUND(SUM(基础资料!$B$4:$B$13)+SUM($J$4:J2409)-SUM($K$4:K2409),2))</f>
        <v/>
      </c>
      <c r="N2409" s="13" t="n"/>
      <c r="O2409" s="13" t="n"/>
      <c r="P2409" s="17">
        <f>IF($B2409="","",IF($F2409="※类别不在基础资料里","※费用类别不在基础资料里",IF(AND(N($J2409)=0,N($K2409)=0),"※这行没填金额",IF(AND(N($J2409)&gt;0,N($K2409)&gt;0),"※收入和支出不能同一行都填",IF(AND($D2409="收入",N($J2409)=0),"※收入行要填收入金额",IF(AND($D2409="支出",N($K2409)=0),"※支出行要填支出金额",IF(AND($C2409&lt;&gt;"",ISNA(MATCH($C2409,账户表,0))),"※账户不在基础资料里",IF(AND($G2409&lt;&gt;"",ISNA(MATCH($G2409,项目名表,0))),"※项目不在项目台账里",IF(AND(LEFT($F2409,3)="成本-",$G2409=""),"※成本类支出没填项目",IF(AND(LEFT($F2409,3)="成本-",$H2409&lt;&gt;"",N($K2409)&gt;0,COUNTIFS(采购单!$B:$B,$B2409,采购单!$C:$C,$H2409,采购单!$L:$L,$K2409)&gt;0),"※这笔可能和采购单重复了",""))))))))))</f>
        <v/>
      </c>
    </row>
    <row r="2410">
      <c r="A2410" s="17">
        <f>IF($B2410="","",ROW()-3)</f>
        <v/>
      </c>
      <c r="B2410" s="18" t="n"/>
      <c r="C2410" s="13" t="n"/>
      <c r="D2410" s="13" t="n"/>
      <c r="E2410" s="13" t="n"/>
      <c r="F2410" s="17">
        <f>IF($E2410="","",IFERROR(VLOOKUP($E2410,类别归属,2,0),"※类别不在基础资料里"))</f>
        <v/>
      </c>
      <c r="G2410" s="13" t="n"/>
      <c r="H2410" s="13" t="n"/>
      <c r="I2410" s="13" t="n"/>
      <c r="J2410" s="14" t="n"/>
      <c r="K2410" s="14" t="n"/>
      <c r="L2410" s="19">
        <f>IF($C2410="","",ROUND(IFERROR(VLOOKUP($C2410,账户期初,2,0),0)+SUMIFS($J$4:J2410,$C$4:C2410,$C2410)-SUMIFS($K$4:K2410,$C$4:C2410,$C2410),2))</f>
        <v/>
      </c>
      <c r="M2410" s="19">
        <f>IF($C2410="","",ROUND(SUM(基础资料!$B$4:$B$13)+SUM($J$4:J2410)-SUM($K$4:K2410),2))</f>
        <v/>
      </c>
      <c r="N2410" s="13" t="n"/>
      <c r="O2410" s="13" t="n"/>
      <c r="P2410" s="17">
        <f>IF($B2410="","",IF($F2410="※类别不在基础资料里","※费用类别不在基础资料里",IF(AND(N($J2410)=0,N($K2410)=0),"※这行没填金额",IF(AND(N($J2410)&gt;0,N($K2410)&gt;0),"※收入和支出不能同一行都填",IF(AND($D2410="收入",N($J2410)=0),"※收入行要填收入金额",IF(AND($D2410="支出",N($K2410)=0),"※支出行要填支出金额",IF(AND($C2410&lt;&gt;"",ISNA(MATCH($C2410,账户表,0))),"※账户不在基础资料里",IF(AND($G2410&lt;&gt;"",ISNA(MATCH($G2410,项目名表,0))),"※项目不在项目台账里",IF(AND(LEFT($F2410,3)="成本-",$G2410=""),"※成本类支出没填项目",IF(AND(LEFT($F2410,3)="成本-",$H2410&lt;&gt;"",N($K2410)&gt;0,COUNTIFS(采购单!$B:$B,$B2410,采购单!$C:$C,$H2410,采购单!$L:$L,$K2410)&gt;0),"※这笔可能和采购单重复了",""))))))))))</f>
        <v/>
      </c>
    </row>
    <row r="2411">
      <c r="A2411" s="17">
        <f>IF($B2411="","",ROW()-3)</f>
        <v/>
      </c>
      <c r="B2411" s="18" t="n"/>
      <c r="C2411" s="13" t="n"/>
      <c r="D2411" s="13" t="n"/>
      <c r="E2411" s="13" t="n"/>
      <c r="F2411" s="17">
        <f>IF($E2411="","",IFERROR(VLOOKUP($E2411,类别归属,2,0),"※类别不在基础资料里"))</f>
        <v/>
      </c>
      <c r="G2411" s="13" t="n"/>
      <c r="H2411" s="13" t="n"/>
      <c r="I2411" s="13" t="n"/>
      <c r="J2411" s="14" t="n"/>
      <c r="K2411" s="14" t="n"/>
      <c r="L2411" s="19">
        <f>IF($C2411="","",ROUND(IFERROR(VLOOKUP($C2411,账户期初,2,0),0)+SUMIFS($J$4:J2411,$C$4:C2411,$C2411)-SUMIFS($K$4:K2411,$C$4:C2411,$C2411),2))</f>
        <v/>
      </c>
      <c r="M2411" s="19">
        <f>IF($C2411="","",ROUND(SUM(基础资料!$B$4:$B$13)+SUM($J$4:J2411)-SUM($K$4:K2411),2))</f>
        <v/>
      </c>
      <c r="N2411" s="13" t="n"/>
      <c r="O2411" s="13" t="n"/>
      <c r="P2411" s="17">
        <f>IF($B2411="","",IF($F2411="※类别不在基础资料里","※费用类别不在基础资料里",IF(AND(N($J2411)=0,N($K2411)=0),"※这行没填金额",IF(AND(N($J2411)&gt;0,N($K2411)&gt;0),"※收入和支出不能同一行都填",IF(AND($D2411="收入",N($J2411)=0),"※收入行要填收入金额",IF(AND($D2411="支出",N($K2411)=0),"※支出行要填支出金额",IF(AND($C2411&lt;&gt;"",ISNA(MATCH($C2411,账户表,0))),"※账户不在基础资料里",IF(AND($G2411&lt;&gt;"",ISNA(MATCH($G2411,项目名表,0))),"※项目不在项目台账里",IF(AND(LEFT($F2411,3)="成本-",$G2411=""),"※成本类支出没填项目",IF(AND(LEFT($F2411,3)="成本-",$H2411&lt;&gt;"",N($K2411)&gt;0,COUNTIFS(采购单!$B:$B,$B2411,采购单!$C:$C,$H2411,采购单!$L:$L,$K2411)&gt;0),"※这笔可能和采购单重复了",""))))))))))</f>
        <v/>
      </c>
    </row>
    <row r="2412">
      <c r="A2412" s="17">
        <f>IF($B2412="","",ROW()-3)</f>
        <v/>
      </c>
      <c r="B2412" s="18" t="n"/>
      <c r="C2412" s="13" t="n"/>
      <c r="D2412" s="13" t="n"/>
      <c r="E2412" s="13" t="n"/>
      <c r="F2412" s="17">
        <f>IF($E2412="","",IFERROR(VLOOKUP($E2412,类别归属,2,0),"※类别不在基础资料里"))</f>
        <v/>
      </c>
      <c r="G2412" s="13" t="n"/>
      <c r="H2412" s="13" t="n"/>
      <c r="I2412" s="13" t="n"/>
      <c r="J2412" s="14" t="n"/>
      <c r="K2412" s="14" t="n"/>
      <c r="L2412" s="19">
        <f>IF($C2412="","",ROUND(IFERROR(VLOOKUP($C2412,账户期初,2,0),0)+SUMIFS($J$4:J2412,$C$4:C2412,$C2412)-SUMIFS($K$4:K2412,$C$4:C2412,$C2412),2))</f>
        <v/>
      </c>
      <c r="M2412" s="19">
        <f>IF($C2412="","",ROUND(SUM(基础资料!$B$4:$B$13)+SUM($J$4:J2412)-SUM($K$4:K2412),2))</f>
        <v/>
      </c>
      <c r="N2412" s="13" t="n"/>
      <c r="O2412" s="13" t="n"/>
      <c r="P2412" s="17">
        <f>IF($B2412="","",IF($F2412="※类别不在基础资料里","※费用类别不在基础资料里",IF(AND(N($J2412)=0,N($K2412)=0),"※这行没填金额",IF(AND(N($J2412)&gt;0,N($K2412)&gt;0),"※收入和支出不能同一行都填",IF(AND($D2412="收入",N($J2412)=0),"※收入行要填收入金额",IF(AND($D2412="支出",N($K2412)=0),"※支出行要填支出金额",IF(AND($C2412&lt;&gt;"",ISNA(MATCH($C2412,账户表,0))),"※账户不在基础资料里",IF(AND($G2412&lt;&gt;"",ISNA(MATCH($G2412,项目名表,0))),"※项目不在项目台账里",IF(AND(LEFT($F2412,3)="成本-",$G2412=""),"※成本类支出没填项目",IF(AND(LEFT($F2412,3)="成本-",$H2412&lt;&gt;"",N($K2412)&gt;0,COUNTIFS(采购单!$B:$B,$B2412,采购单!$C:$C,$H2412,采购单!$L:$L,$K2412)&gt;0),"※这笔可能和采购单重复了",""))))))))))</f>
        <v/>
      </c>
    </row>
    <row r="2413">
      <c r="A2413" s="17">
        <f>IF($B2413="","",ROW()-3)</f>
        <v/>
      </c>
      <c r="B2413" s="18" t="n"/>
      <c r="C2413" s="13" t="n"/>
      <c r="D2413" s="13" t="n"/>
      <c r="E2413" s="13" t="n"/>
      <c r="F2413" s="17">
        <f>IF($E2413="","",IFERROR(VLOOKUP($E2413,类别归属,2,0),"※类别不在基础资料里"))</f>
        <v/>
      </c>
      <c r="G2413" s="13" t="n"/>
      <c r="H2413" s="13" t="n"/>
      <c r="I2413" s="13" t="n"/>
      <c r="J2413" s="14" t="n"/>
      <c r="K2413" s="14" t="n"/>
      <c r="L2413" s="19">
        <f>IF($C2413="","",ROUND(IFERROR(VLOOKUP($C2413,账户期初,2,0),0)+SUMIFS($J$4:J2413,$C$4:C2413,$C2413)-SUMIFS($K$4:K2413,$C$4:C2413,$C2413),2))</f>
        <v/>
      </c>
      <c r="M2413" s="19">
        <f>IF($C2413="","",ROUND(SUM(基础资料!$B$4:$B$13)+SUM($J$4:J2413)-SUM($K$4:K2413),2))</f>
        <v/>
      </c>
      <c r="N2413" s="13" t="n"/>
      <c r="O2413" s="13" t="n"/>
      <c r="P2413" s="17">
        <f>IF($B2413="","",IF($F2413="※类别不在基础资料里","※费用类别不在基础资料里",IF(AND(N($J2413)=0,N($K2413)=0),"※这行没填金额",IF(AND(N($J2413)&gt;0,N($K2413)&gt;0),"※收入和支出不能同一行都填",IF(AND($D2413="收入",N($J2413)=0),"※收入行要填收入金额",IF(AND($D2413="支出",N($K2413)=0),"※支出行要填支出金额",IF(AND($C2413&lt;&gt;"",ISNA(MATCH($C2413,账户表,0))),"※账户不在基础资料里",IF(AND($G2413&lt;&gt;"",ISNA(MATCH($G2413,项目名表,0))),"※项目不在项目台账里",IF(AND(LEFT($F2413,3)="成本-",$G2413=""),"※成本类支出没填项目",IF(AND(LEFT($F2413,3)="成本-",$H2413&lt;&gt;"",N($K2413)&gt;0,COUNTIFS(采购单!$B:$B,$B2413,采购单!$C:$C,$H2413,采购单!$L:$L,$K2413)&gt;0),"※这笔可能和采购单重复了",""))))))))))</f>
        <v/>
      </c>
    </row>
    <row r="2414">
      <c r="A2414" s="17">
        <f>IF($B2414="","",ROW()-3)</f>
        <v/>
      </c>
      <c r="B2414" s="18" t="n"/>
      <c r="C2414" s="13" t="n"/>
      <c r="D2414" s="13" t="n"/>
      <c r="E2414" s="13" t="n"/>
      <c r="F2414" s="17">
        <f>IF($E2414="","",IFERROR(VLOOKUP($E2414,类别归属,2,0),"※类别不在基础资料里"))</f>
        <v/>
      </c>
      <c r="G2414" s="13" t="n"/>
      <c r="H2414" s="13" t="n"/>
      <c r="I2414" s="13" t="n"/>
      <c r="J2414" s="14" t="n"/>
      <c r="K2414" s="14" t="n"/>
      <c r="L2414" s="19">
        <f>IF($C2414="","",ROUND(IFERROR(VLOOKUP($C2414,账户期初,2,0),0)+SUMIFS($J$4:J2414,$C$4:C2414,$C2414)-SUMIFS($K$4:K2414,$C$4:C2414,$C2414),2))</f>
        <v/>
      </c>
      <c r="M2414" s="19">
        <f>IF($C2414="","",ROUND(SUM(基础资料!$B$4:$B$13)+SUM($J$4:J2414)-SUM($K$4:K2414),2))</f>
        <v/>
      </c>
      <c r="N2414" s="13" t="n"/>
      <c r="O2414" s="13" t="n"/>
      <c r="P2414" s="17">
        <f>IF($B2414="","",IF($F2414="※类别不在基础资料里","※费用类别不在基础资料里",IF(AND(N($J2414)=0,N($K2414)=0),"※这行没填金额",IF(AND(N($J2414)&gt;0,N($K2414)&gt;0),"※收入和支出不能同一行都填",IF(AND($D2414="收入",N($J2414)=0),"※收入行要填收入金额",IF(AND($D2414="支出",N($K2414)=0),"※支出行要填支出金额",IF(AND($C2414&lt;&gt;"",ISNA(MATCH($C2414,账户表,0))),"※账户不在基础资料里",IF(AND($G2414&lt;&gt;"",ISNA(MATCH($G2414,项目名表,0))),"※项目不在项目台账里",IF(AND(LEFT($F2414,3)="成本-",$G2414=""),"※成本类支出没填项目",IF(AND(LEFT($F2414,3)="成本-",$H2414&lt;&gt;"",N($K2414)&gt;0,COUNTIFS(采购单!$B:$B,$B2414,采购单!$C:$C,$H2414,采购单!$L:$L,$K2414)&gt;0),"※这笔可能和采购单重复了",""))))))))))</f>
        <v/>
      </c>
    </row>
    <row r="2415">
      <c r="A2415" s="17">
        <f>IF($B2415="","",ROW()-3)</f>
        <v/>
      </c>
      <c r="B2415" s="18" t="n"/>
      <c r="C2415" s="13" t="n"/>
      <c r="D2415" s="13" t="n"/>
      <c r="E2415" s="13" t="n"/>
      <c r="F2415" s="17">
        <f>IF($E2415="","",IFERROR(VLOOKUP($E2415,类别归属,2,0),"※类别不在基础资料里"))</f>
        <v/>
      </c>
      <c r="G2415" s="13" t="n"/>
      <c r="H2415" s="13" t="n"/>
      <c r="I2415" s="13" t="n"/>
      <c r="J2415" s="14" t="n"/>
      <c r="K2415" s="14" t="n"/>
      <c r="L2415" s="19">
        <f>IF($C2415="","",ROUND(IFERROR(VLOOKUP($C2415,账户期初,2,0),0)+SUMIFS($J$4:J2415,$C$4:C2415,$C2415)-SUMIFS($K$4:K2415,$C$4:C2415,$C2415),2))</f>
        <v/>
      </c>
      <c r="M2415" s="19">
        <f>IF($C2415="","",ROUND(SUM(基础资料!$B$4:$B$13)+SUM($J$4:J2415)-SUM($K$4:K2415),2))</f>
        <v/>
      </c>
      <c r="N2415" s="13" t="n"/>
      <c r="O2415" s="13" t="n"/>
      <c r="P2415" s="17">
        <f>IF($B2415="","",IF($F2415="※类别不在基础资料里","※费用类别不在基础资料里",IF(AND(N($J2415)=0,N($K2415)=0),"※这行没填金额",IF(AND(N($J2415)&gt;0,N($K2415)&gt;0),"※收入和支出不能同一行都填",IF(AND($D2415="收入",N($J2415)=0),"※收入行要填收入金额",IF(AND($D2415="支出",N($K2415)=0),"※支出行要填支出金额",IF(AND($C2415&lt;&gt;"",ISNA(MATCH($C2415,账户表,0))),"※账户不在基础资料里",IF(AND($G2415&lt;&gt;"",ISNA(MATCH($G2415,项目名表,0))),"※项目不在项目台账里",IF(AND(LEFT($F2415,3)="成本-",$G2415=""),"※成本类支出没填项目",IF(AND(LEFT($F2415,3)="成本-",$H2415&lt;&gt;"",N($K2415)&gt;0,COUNTIFS(采购单!$B:$B,$B2415,采购单!$C:$C,$H2415,采购单!$L:$L,$K2415)&gt;0),"※这笔可能和采购单重复了",""))))))))))</f>
        <v/>
      </c>
    </row>
    <row r="2416">
      <c r="A2416" s="17">
        <f>IF($B2416="","",ROW()-3)</f>
        <v/>
      </c>
      <c r="B2416" s="18" t="n"/>
      <c r="C2416" s="13" t="n"/>
      <c r="D2416" s="13" t="n"/>
      <c r="E2416" s="13" t="n"/>
      <c r="F2416" s="17">
        <f>IF($E2416="","",IFERROR(VLOOKUP($E2416,类别归属,2,0),"※类别不在基础资料里"))</f>
        <v/>
      </c>
      <c r="G2416" s="13" t="n"/>
      <c r="H2416" s="13" t="n"/>
      <c r="I2416" s="13" t="n"/>
      <c r="J2416" s="14" t="n"/>
      <c r="K2416" s="14" t="n"/>
      <c r="L2416" s="19">
        <f>IF($C2416="","",ROUND(IFERROR(VLOOKUP($C2416,账户期初,2,0),0)+SUMIFS($J$4:J2416,$C$4:C2416,$C2416)-SUMIFS($K$4:K2416,$C$4:C2416,$C2416),2))</f>
        <v/>
      </c>
      <c r="M2416" s="19">
        <f>IF($C2416="","",ROUND(SUM(基础资料!$B$4:$B$13)+SUM($J$4:J2416)-SUM($K$4:K2416),2))</f>
        <v/>
      </c>
      <c r="N2416" s="13" t="n"/>
      <c r="O2416" s="13" t="n"/>
      <c r="P2416" s="17">
        <f>IF($B2416="","",IF($F2416="※类别不在基础资料里","※费用类别不在基础资料里",IF(AND(N($J2416)=0,N($K2416)=0),"※这行没填金额",IF(AND(N($J2416)&gt;0,N($K2416)&gt;0),"※收入和支出不能同一行都填",IF(AND($D2416="收入",N($J2416)=0),"※收入行要填收入金额",IF(AND($D2416="支出",N($K2416)=0),"※支出行要填支出金额",IF(AND($C2416&lt;&gt;"",ISNA(MATCH($C2416,账户表,0))),"※账户不在基础资料里",IF(AND($G2416&lt;&gt;"",ISNA(MATCH($G2416,项目名表,0))),"※项目不在项目台账里",IF(AND(LEFT($F2416,3)="成本-",$G2416=""),"※成本类支出没填项目",IF(AND(LEFT($F2416,3)="成本-",$H2416&lt;&gt;"",N($K2416)&gt;0,COUNTIFS(采购单!$B:$B,$B2416,采购单!$C:$C,$H2416,采购单!$L:$L,$K2416)&gt;0),"※这笔可能和采购单重复了",""))))))))))</f>
        <v/>
      </c>
    </row>
    <row r="2417">
      <c r="A2417" s="17">
        <f>IF($B2417="","",ROW()-3)</f>
        <v/>
      </c>
      <c r="B2417" s="18" t="n"/>
      <c r="C2417" s="13" t="n"/>
      <c r="D2417" s="13" t="n"/>
      <c r="E2417" s="13" t="n"/>
      <c r="F2417" s="17">
        <f>IF($E2417="","",IFERROR(VLOOKUP($E2417,类别归属,2,0),"※类别不在基础资料里"))</f>
        <v/>
      </c>
      <c r="G2417" s="13" t="n"/>
      <c r="H2417" s="13" t="n"/>
      <c r="I2417" s="13" t="n"/>
      <c r="J2417" s="14" t="n"/>
      <c r="K2417" s="14" t="n"/>
      <c r="L2417" s="19">
        <f>IF($C2417="","",ROUND(IFERROR(VLOOKUP($C2417,账户期初,2,0),0)+SUMIFS($J$4:J2417,$C$4:C2417,$C2417)-SUMIFS($K$4:K2417,$C$4:C2417,$C2417),2))</f>
        <v/>
      </c>
      <c r="M2417" s="19">
        <f>IF($C2417="","",ROUND(SUM(基础资料!$B$4:$B$13)+SUM($J$4:J2417)-SUM($K$4:K2417),2))</f>
        <v/>
      </c>
      <c r="N2417" s="13" t="n"/>
      <c r="O2417" s="13" t="n"/>
      <c r="P2417" s="17">
        <f>IF($B2417="","",IF($F2417="※类别不在基础资料里","※费用类别不在基础资料里",IF(AND(N($J2417)=0,N($K2417)=0),"※这行没填金额",IF(AND(N($J2417)&gt;0,N($K2417)&gt;0),"※收入和支出不能同一行都填",IF(AND($D2417="收入",N($J2417)=0),"※收入行要填收入金额",IF(AND($D2417="支出",N($K2417)=0),"※支出行要填支出金额",IF(AND($C2417&lt;&gt;"",ISNA(MATCH($C2417,账户表,0))),"※账户不在基础资料里",IF(AND($G2417&lt;&gt;"",ISNA(MATCH($G2417,项目名表,0))),"※项目不在项目台账里",IF(AND(LEFT($F2417,3)="成本-",$G2417=""),"※成本类支出没填项目",IF(AND(LEFT($F2417,3)="成本-",$H2417&lt;&gt;"",N($K2417)&gt;0,COUNTIFS(采购单!$B:$B,$B2417,采购单!$C:$C,$H2417,采购单!$L:$L,$K2417)&gt;0),"※这笔可能和采购单重复了",""))))))))))</f>
        <v/>
      </c>
    </row>
    <row r="2418">
      <c r="A2418" s="17">
        <f>IF($B2418="","",ROW()-3)</f>
        <v/>
      </c>
      <c r="B2418" s="18" t="n"/>
      <c r="C2418" s="13" t="n"/>
      <c r="D2418" s="13" t="n"/>
      <c r="E2418" s="13" t="n"/>
      <c r="F2418" s="17">
        <f>IF($E2418="","",IFERROR(VLOOKUP($E2418,类别归属,2,0),"※类别不在基础资料里"))</f>
        <v/>
      </c>
      <c r="G2418" s="13" t="n"/>
      <c r="H2418" s="13" t="n"/>
      <c r="I2418" s="13" t="n"/>
      <c r="J2418" s="14" t="n"/>
      <c r="K2418" s="14" t="n"/>
      <c r="L2418" s="19">
        <f>IF($C2418="","",ROUND(IFERROR(VLOOKUP($C2418,账户期初,2,0),0)+SUMIFS($J$4:J2418,$C$4:C2418,$C2418)-SUMIFS($K$4:K2418,$C$4:C2418,$C2418),2))</f>
        <v/>
      </c>
      <c r="M2418" s="19">
        <f>IF($C2418="","",ROUND(SUM(基础资料!$B$4:$B$13)+SUM($J$4:J2418)-SUM($K$4:K2418),2))</f>
        <v/>
      </c>
      <c r="N2418" s="13" t="n"/>
      <c r="O2418" s="13" t="n"/>
      <c r="P2418" s="17">
        <f>IF($B2418="","",IF($F2418="※类别不在基础资料里","※费用类别不在基础资料里",IF(AND(N($J2418)=0,N($K2418)=0),"※这行没填金额",IF(AND(N($J2418)&gt;0,N($K2418)&gt;0),"※收入和支出不能同一行都填",IF(AND($D2418="收入",N($J2418)=0),"※收入行要填收入金额",IF(AND($D2418="支出",N($K2418)=0),"※支出行要填支出金额",IF(AND($C2418&lt;&gt;"",ISNA(MATCH($C2418,账户表,0))),"※账户不在基础资料里",IF(AND($G2418&lt;&gt;"",ISNA(MATCH($G2418,项目名表,0))),"※项目不在项目台账里",IF(AND(LEFT($F2418,3)="成本-",$G2418=""),"※成本类支出没填项目",IF(AND(LEFT($F2418,3)="成本-",$H2418&lt;&gt;"",N($K2418)&gt;0,COUNTIFS(采购单!$B:$B,$B2418,采购单!$C:$C,$H2418,采购单!$L:$L,$K2418)&gt;0),"※这笔可能和采购单重复了",""))))))))))</f>
        <v/>
      </c>
    </row>
    <row r="2419">
      <c r="A2419" s="17">
        <f>IF($B2419="","",ROW()-3)</f>
        <v/>
      </c>
      <c r="B2419" s="18" t="n"/>
      <c r="C2419" s="13" t="n"/>
      <c r="D2419" s="13" t="n"/>
      <c r="E2419" s="13" t="n"/>
      <c r="F2419" s="17">
        <f>IF($E2419="","",IFERROR(VLOOKUP($E2419,类别归属,2,0),"※类别不在基础资料里"))</f>
        <v/>
      </c>
      <c r="G2419" s="13" t="n"/>
      <c r="H2419" s="13" t="n"/>
      <c r="I2419" s="13" t="n"/>
      <c r="J2419" s="14" t="n"/>
      <c r="K2419" s="14" t="n"/>
      <c r="L2419" s="19">
        <f>IF($C2419="","",ROUND(IFERROR(VLOOKUP($C2419,账户期初,2,0),0)+SUMIFS($J$4:J2419,$C$4:C2419,$C2419)-SUMIFS($K$4:K2419,$C$4:C2419,$C2419),2))</f>
        <v/>
      </c>
      <c r="M2419" s="19">
        <f>IF($C2419="","",ROUND(SUM(基础资料!$B$4:$B$13)+SUM($J$4:J2419)-SUM($K$4:K2419),2))</f>
        <v/>
      </c>
      <c r="N2419" s="13" t="n"/>
      <c r="O2419" s="13" t="n"/>
      <c r="P2419" s="17">
        <f>IF($B2419="","",IF($F2419="※类别不在基础资料里","※费用类别不在基础资料里",IF(AND(N($J2419)=0,N($K2419)=0),"※这行没填金额",IF(AND(N($J2419)&gt;0,N($K2419)&gt;0),"※收入和支出不能同一行都填",IF(AND($D2419="收入",N($J2419)=0),"※收入行要填收入金额",IF(AND($D2419="支出",N($K2419)=0),"※支出行要填支出金额",IF(AND($C2419&lt;&gt;"",ISNA(MATCH($C2419,账户表,0))),"※账户不在基础资料里",IF(AND($G2419&lt;&gt;"",ISNA(MATCH($G2419,项目名表,0))),"※项目不在项目台账里",IF(AND(LEFT($F2419,3)="成本-",$G2419=""),"※成本类支出没填项目",IF(AND(LEFT($F2419,3)="成本-",$H2419&lt;&gt;"",N($K2419)&gt;0,COUNTIFS(采购单!$B:$B,$B2419,采购单!$C:$C,$H2419,采购单!$L:$L,$K2419)&gt;0),"※这笔可能和采购单重复了",""))))))))))</f>
        <v/>
      </c>
    </row>
    <row r="2420">
      <c r="A2420" s="17">
        <f>IF($B2420="","",ROW()-3)</f>
        <v/>
      </c>
      <c r="B2420" s="18" t="n"/>
      <c r="C2420" s="13" t="n"/>
      <c r="D2420" s="13" t="n"/>
      <c r="E2420" s="13" t="n"/>
      <c r="F2420" s="17">
        <f>IF($E2420="","",IFERROR(VLOOKUP($E2420,类别归属,2,0),"※类别不在基础资料里"))</f>
        <v/>
      </c>
      <c r="G2420" s="13" t="n"/>
      <c r="H2420" s="13" t="n"/>
      <c r="I2420" s="13" t="n"/>
      <c r="J2420" s="14" t="n"/>
      <c r="K2420" s="14" t="n"/>
      <c r="L2420" s="19">
        <f>IF($C2420="","",ROUND(IFERROR(VLOOKUP($C2420,账户期初,2,0),0)+SUMIFS($J$4:J2420,$C$4:C2420,$C2420)-SUMIFS($K$4:K2420,$C$4:C2420,$C2420),2))</f>
        <v/>
      </c>
      <c r="M2420" s="19">
        <f>IF($C2420="","",ROUND(SUM(基础资料!$B$4:$B$13)+SUM($J$4:J2420)-SUM($K$4:K2420),2))</f>
        <v/>
      </c>
      <c r="N2420" s="13" t="n"/>
      <c r="O2420" s="13" t="n"/>
      <c r="P2420" s="17">
        <f>IF($B2420="","",IF($F2420="※类别不在基础资料里","※费用类别不在基础资料里",IF(AND(N($J2420)=0,N($K2420)=0),"※这行没填金额",IF(AND(N($J2420)&gt;0,N($K2420)&gt;0),"※收入和支出不能同一行都填",IF(AND($D2420="收入",N($J2420)=0),"※收入行要填收入金额",IF(AND($D2420="支出",N($K2420)=0),"※支出行要填支出金额",IF(AND($C2420&lt;&gt;"",ISNA(MATCH($C2420,账户表,0))),"※账户不在基础资料里",IF(AND($G2420&lt;&gt;"",ISNA(MATCH($G2420,项目名表,0))),"※项目不在项目台账里",IF(AND(LEFT($F2420,3)="成本-",$G2420=""),"※成本类支出没填项目",IF(AND(LEFT($F2420,3)="成本-",$H2420&lt;&gt;"",N($K2420)&gt;0,COUNTIFS(采购单!$B:$B,$B2420,采购单!$C:$C,$H2420,采购单!$L:$L,$K2420)&gt;0),"※这笔可能和采购单重复了",""))))))))))</f>
        <v/>
      </c>
    </row>
    <row r="2421">
      <c r="A2421" s="17">
        <f>IF($B2421="","",ROW()-3)</f>
        <v/>
      </c>
      <c r="B2421" s="18" t="n"/>
      <c r="C2421" s="13" t="n"/>
      <c r="D2421" s="13" t="n"/>
      <c r="E2421" s="13" t="n"/>
      <c r="F2421" s="17">
        <f>IF($E2421="","",IFERROR(VLOOKUP($E2421,类别归属,2,0),"※类别不在基础资料里"))</f>
        <v/>
      </c>
      <c r="G2421" s="13" t="n"/>
      <c r="H2421" s="13" t="n"/>
      <c r="I2421" s="13" t="n"/>
      <c r="J2421" s="14" t="n"/>
      <c r="K2421" s="14" t="n"/>
      <c r="L2421" s="19">
        <f>IF($C2421="","",ROUND(IFERROR(VLOOKUP($C2421,账户期初,2,0),0)+SUMIFS($J$4:J2421,$C$4:C2421,$C2421)-SUMIFS($K$4:K2421,$C$4:C2421,$C2421),2))</f>
        <v/>
      </c>
      <c r="M2421" s="19">
        <f>IF($C2421="","",ROUND(SUM(基础资料!$B$4:$B$13)+SUM($J$4:J2421)-SUM($K$4:K2421),2))</f>
        <v/>
      </c>
      <c r="N2421" s="13" t="n"/>
      <c r="O2421" s="13" t="n"/>
      <c r="P2421" s="17">
        <f>IF($B2421="","",IF($F2421="※类别不在基础资料里","※费用类别不在基础资料里",IF(AND(N($J2421)=0,N($K2421)=0),"※这行没填金额",IF(AND(N($J2421)&gt;0,N($K2421)&gt;0),"※收入和支出不能同一行都填",IF(AND($D2421="收入",N($J2421)=0),"※收入行要填收入金额",IF(AND($D2421="支出",N($K2421)=0),"※支出行要填支出金额",IF(AND($C2421&lt;&gt;"",ISNA(MATCH($C2421,账户表,0))),"※账户不在基础资料里",IF(AND($G2421&lt;&gt;"",ISNA(MATCH($G2421,项目名表,0))),"※项目不在项目台账里",IF(AND(LEFT($F2421,3)="成本-",$G2421=""),"※成本类支出没填项目",IF(AND(LEFT($F2421,3)="成本-",$H2421&lt;&gt;"",N($K2421)&gt;0,COUNTIFS(采购单!$B:$B,$B2421,采购单!$C:$C,$H2421,采购单!$L:$L,$K2421)&gt;0),"※这笔可能和采购单重复了",""))))))))))</f>
        <v/>
      </c>
    </row>
    <row r="2422">
      <c r="A2422" s="17">
        <f>IF($B2422="","",ROW()-3)</f>
        <v/>
      </c>
      <c r="B2422" s="18" t="n"/>
      <c r="C2422" s="13" t="n"/>
      <c r="D2422" s="13" t="n"/>
      <c r="E2422" s="13" t="n"/>
      <c r="F2422" s="17">
        <f>IF($E2422="","",IFERROR(VLOOKUP($E2422,类别归属,2,0),"※类别不在基础资料里"))</f>
        <v/>
      </c>
      <c r="G2422" s="13" t="n"/>
      <c r="H2422" s="13" t="n"/>
      <c r="I2422" s="13" t="n"/>
      <c r="J2422" s="14" t="n"/>
      <c r="K2422" s="14" t="n"/>
      <c r="L2422" s="19">
        <f>IF($C2422="","",ROUND(IFERROR(VLOOKUP($C2422,账户期初,2,0),0)+SUMIFS($J$4:J2422,$C$4:C2422,$C2422)-SUMIFS($K$4:K2422,$C$4:C2422,$C2422),2))</f>
        <v/>
      </c>
      <c r="M2422" s="19">
        <f>IF($C2422="","",ROUND(SUM(基础资料!$B$4:$B$13)+SUM($J$4:J2422)-SUM($K$4:K2422),2))</f>
        <v/>
      </c>
      <c r="N2422" s="13" t="n"/>
      <c r="O2422" s="13" t="n"/>
      <c r="P2422" s="17">
        <f>IF($B2422="","",IF($F2422="※类别不在基础资料里","※费用类别不在基础资料里",IF(AND(N($J2422)=0,N($K2422)=0),"※这行没填金额",IF(AND(N($J2422)&gt;0,N($K2422)&gt;0),"※收入和支出不能同一行都填",IF(AND($D2422="收入",N($J2422)=0),"※收入行要填收入金额",IF(AND($D2422="支出",N($K2422)=0),"※支出行要填支出金额",IF(AND($C2422&lt;&gt;"",ISNA(MATCH($C2422,账户表,0))),"※账户不在基础资料里",IF(AND($G2422&lt;&gt;"",ISNA(MATCH($G2422,项目名表,0))),"※项目不在项目台账里",IF(AND(LEFT($F2422,3)="成本-",$G2422=""),"※成本类支出没填项目",IF(AND(LEFT($F2422,3)="成本-",$H2422&lt;&gt;"",N($K2422)&gt;0,COUNTIFS(采购单!$B:$B,$B2422,采购单!$C:$C,$H2422,采购单!$L:$L,$K2422)&gt;0),"※这笔可能和采购单重复了",""))))))))))</f>
        <v/>
      </c>
    </row>
    <row r="2423">
      <c r="A2423" s="17">
        <f>IF($B2423="","",ROW()-3)</f>
        <v/>
      </c>
      <c r="B2423" s="18" t="n"/>
      <c r="C2423" s="13" t="n"/>
      <c r="D2423" s="13" t="n"/>
      <c r="E2423" s="13" t="n"/>
      <c r="F2423" s="17">
        <f>IF($E2423="","",IFERROR(VLOOKUP($E2423,类别归属,2,0),"※类别不在基础资料里"))</f>
        <v/>
      </c>
      <c r="G2423" s="13" t="n"/>
      <c r="H2423" s="13" t="n"/>
      <c r="I2423" s="13" t="n"/>
      <c r="J2423" s="14" t="n"/>
      <c r="K2423" s="14" t="n"/>
      <c r="L2423" s="19">
        <f>IF($C2423="","",ROUND(IFERROR(VLOOKUP($C2423,账户期初,2,0),0)+SUMIFS($J$4:J2423,$C$4:C2423,$C2423)-SUMIFS($K$4:K2423,$C$4:C2423,$C2423),2))</f>
        <v/>
      </c>
      <c r="M2423" s="19">
        <f>IF($C2423="","",ROUND(SUM(基础资料!$B$4:$B$13)+SUM($J$4:J2423)-SUM($K$4:K2423),2))</f>
        <v/>
      </c>
      <c r="N2423" s="13" t="n"/>
      <c r="O2423" s="13" t="n"/>
      <c r="P2423" s="17">
        <f>IF($B2423="","",IF($F2423="※类别不在基础资料里","※费用类别不在基础资料里",IF(AND(N($J2423)=0,N($K2423)=0),"※这行没填金额",IF(AND(N($J2423)&gt;0,N($K2423)&gt;0),"※收入和支出不能同一行都填",IF(AND($D2423="收入",N($J2423)=0),"※收入行要填收入金额",IF(AND($D2423="支出",N($K2423)=0),"※支出行要填支出金额",IF(AND($C2423&lt;&gt;"",ISNA(MATCH($C2423,账户表,0))),"※账户不在基础资料里",IF(AND($G2423&lt;&gt;"",ISNA(MATCH($G2423,项目名表,0))),"※项目不在项目台账里",IF(AND(LEFT($F2423,3)="成本-",$G2423=""),"※成本类支出没填项目",IF(AND(LEFT($F2423,3)="成本-",$H2423&lt;&gt;"",N($K2423)&gt;0,COUNTIFS(采购单!$B:$B,$B2423,采购单!$C:$C,$H2423,采购单!$L:$L,$K2423)&gt;0),"※这笔可能和采购单重复了",""))))))))))</f>
        <v/>
      </c>
    </row>
    <row r="2424">
      <c r="A2424" s="17">
        <f>IF($B2424="","",ROW()-3)</f>
        <v/>
      </c>
      <c r="B2424" s="18" t="n"/>
      <c r="C2424" s="13" t="n"/>
      <c r="D2424" s="13" t="n"/>
      <c r="E2424" s="13" t="n"/>
      <c r="F2424" s="17">
        <f>IF($E2424="","",IFERROR(VLOOKUP($E2424,类别归属,2,0),"※类别不在基础资料里"))</f>
        <v/>
      </c>
      <c r="G2424" s="13" t="n"/>
      <c r="H2424" s="13" t="n"/>
      <c r="I2424" s="13" t="n"/>
      <c r="J2424" s="14" t="n"/>
      <c r="K2424" s="14" t="n"/>
      <c r="L2424" s="19">
        <f>IF($C2424="","",ROUND(IFERROR(VLOOKUP($C2424,账户期初,2,0),0)+SUMIFS($J$4:J2424,$C$4:C2424,$C2424)-SUMIFS($K$4:K2424,$C$4:C2424,$C2424),2))</f>
        <v/>
      </c>
      <c r="M2424" s="19">
        <f>IF($C2424="","",ROUND(SUM(基础资料!$B$4:$B$13)+SUM($J$4:J2424)-SUM($K$4:K2424),2))</f>
        <v/>
      </c>
      <c r="N2424" s="13" t="n"/>
      <c r="O2424" s="13" t="n"/>
      <c r="P2424" s="17">
        <f>IF($B2424="","",IF($F2424="※类别不在基础资料里","※费用类别不在基础资料里",IF(AND(N($J2424)=0,N($K2424)=0),"※这行没填金额",IF(AND(N($J2424)&gt;0,N($K2424)&gt;0),"※收入和支出不能同一行都填",IF(AND($D2424="收入",N($J2424)=0),"※收入行要填收入金额",IF(AND($D2424="支出",N($K2424)=0),"※支出行要填支出金额",IF(AND($C2424&lt;&gt;"",ISNA(MATCH($C2424,账户表,0))),"※账户不在基础资料里",IF(AND($G2424&lt;&gt;"",ISNA(MATCH($G2424,项目名表,0))),"※项目不在项目台账里",IF(AND(LEFT($F2424,3)="成本-",$G2424=""),"※成本类支出没填项目",IF(AND(LEFT($F2424,3)="成本-",$H2424&lt;&gt;"",N($K2424)&gt;0,COUNTIFS(采购单!$B:$B,$B2424,采购单!$C:$C,$H2424,采购单!$L:$L,$K2424)&gt;0),"※这笔可能和采购单重复了",""))))))))))</f>
        <v/>
      </c>
    </row>
    <row r="2425">
      <c r="A2425" s="17">
        <f>IF($B2425="","",ROW()-3)</f>
        <v/>
      </c>
      <c r="B2425" s="18" t="n"/>
      <c r="C2425" s="13" t="n"/>
      <c r="D2425" s="13" t="n"/>
      <c r="E2425" s="13" t="n"/>
      <c r="F2425" s="17">
        <f>IF($E2425="","",IFERROR(VLOOKUP($E2425,类别归属,2,0),"※类别不在基础资料里"))</f>
        <v/>
      </c>
      <c r="G2425" s="13" t="n"/>
      <c r="H2425" s="13" t="n"/>
      <c r="I2425" s="13" t="n"/>
      <c r="J2425" s="14" t="n"/>
      <c r="K2425" s="14" t="n"/>
      <c r="L2425" s="19">
        <f>IF($C2425="","",ROUND(IFERROR(VLOOKUP($C2425,账户期初,2,0),0)+SUMIFS($J$4:J2425,$C$4:C2425,$C2425)-SUMIFS($K$4:K2425,$C$4:C2425,$C2425),2))</f>
        <v/>
      </c>
      <c r="M2425" s="19">
        <f>IF($C2425="","",ROUND(SUM(基础资料!$B$4:$B$13)+SUM($J$4:J2425)-SUM($K$4:K2425),2))</f>
        <v/>
      </c>
      <c r="N2425" s="13" t="n"/>
      <c r="O2425" s="13" t="n"/>
      <c r="P2425" s="17">
        <f>IF($B2425="","",IF($F2425="※类别不在基础资料里","※费用类别不在基础资料里",IF(AND(N($J2425)=0,N($K2425)=0),"※这行没填金额",IF(AND(N($J2425)&gt;0,N($K2425)&gt;0),"※收入和支出不能同一行都填",IF(AND($D2425="收入",N($J2425)=0),"※收入行要填收入金额",IF(AND($D2425="支出",N($K2425)=0),"※支出行要填支出金额",IF(AND($C2425&lt;&gt;"",ISNA(MATCH($C2425,账户表,0))),"※账户不在基础资料里",IF(AND($G2425&lt;&gt;"",ISNA(MATCH($G2425,项目名表,0))),"※项目不在项目台账里",IF(AND(LEFT($F2425,3)="成本-",$G2425=""),"※成本类支出没填项目",IF(AND(LEFT($F2425,3)="成本-",$H2425&lt;&gt;"",N($K2425)&gt;0,COUNTIFS(采购单!$B:$B,$B2425,采购单!$C:$C,$H2425,采购单!$L:$L,$K2425)&gt;0),"※这笔可能和采购单重复了",""))))))))))</f>
        <v/>
      </c>
    </row>
    <row r="2426">
      <c r="A2426" s="17">
        <f>IF($B2426="","",ROW()-3)</f>
        <v/>
      </c>
      <c r="B2426" s="18" t="n"/>
      <c r="C2426" s="13" t="n"/>
      <c r="D2426" s="13" t="n"/>
      <c r="E2426" s="13" t="n"/>
      <c r="F2426" s="17">
        <f>IF($E2426="","",IFERROR(VLOOKUP($E2426,类别归属,2,0),"※类别不在基础资料里"))</f>
        <v/>
      </c>
      <c r="G2426" s="13" t="n"/>
      <c r="H2426" s="13" t="n"/>
      <c r="I2426" s="13" t="n"/>
      <c r="J2426" s="14" t="n"/>
      <c r="K2426" s="14" t="n"/>
      <c r="L2426" s="19">
        <f>IF($C2426="","",ROUND(IFERROR(VLOOKUP($C2426,账户期初,2,0),0)+SUMIFS($J$4:J2426,$C$4:C2426,$C2426)-SUMIFS($K$4:K2426,$C$4:C2426,$C2426),2))</f>
        <v/>
      </c>
      <c r="M2426" s="19">
        <f>IF($C2426="","",ROUND(SUM(基础资料!$B$4:$B$13)+SUM($J$4:J2426)-SUM($K$4:K2426),2))</f>
        <v/>
      </c>
      <c r="N2426" s="13" t="n"/>
      <c r="O2426" s="13" t="n"/>
      <c r="P2426" s="17">
        <f>IF($B2426="","",IF($F2426="※类别不在基础资料里","※费用类别不在基础资料里",IF(AND(N($J2426)=0,N($K2426)=0),"※这行没填金额",IF(AND(N($J2426)&gt;0,N($K2426)&gt;0),"※收入和支出不能同一行都填",IF(AND($D2426="收入",N($J2426)=0),"※收入行要填收入金额",IF(AND($D2426="支出",N($K2426)=0),"※支出行要填支出金额",IF(AND($C2426&lt;&gt;"",ISNA(MATCH($C2426,账户表,0))),"※账户不在基础资料里",IF(AND($G2426&lt;&gt;"",ISNA(MATCH($G2426,项目名表,0))),"※项目不在项目台账里",IF(AND(LEFT($F2426,3)="成本-",$G2426=""),"※成本类支出没填项目",IF(AND(LEFT($F2426,3)="成本-",$H2426&lt;&gt;"",N($K2426)&gt;0,COUNTIFS(采购单!$B:$B,$B2426,采购单!$C:$C,$H2426,采购单!$L:$L,$K2426)&gt;0),"※这笔可能和采购单重复了",""))))))))))</f>
        <v/>
      </c>
    </row>
    <row r="2427">
      <c r="A2427" s="17">
        <f>IF($B2427="","",ROW()-3)</f>
        <v/>
      </c>
      <c r="B2427" s="18" t="n"/>
      <c r="C2427" s="13" t="n"/>
      <c r="D2427" s="13" t="n"/>
      <c r="E2427" s="13" t="n"/>
      <c r="F2427" s="17">
        <f>IF($E2427="","",IFERROR(VLOOKUP($E2427,类别归属,2,0),"※类别不在基础资料里"))</f>
        <v/>
      </c>
      <c r="G2427" s="13" t="n"/>
      <c r="H2427" s="13" t="n"/>
      <c r="I2427" s="13" t="n"/>
      <c r="J2427" s="14" t="n"/>
      <c r="K2427" s="14" t="n"/>
      <c r="L2427" s="19">
        <f>IF($C2427="","",ROUND(IFERROR(VLOOKUP($C2427,账户期初,2,0),0)+SUMIFS($J$4:J2427,$C$4:C2427,$C2427)-SUMIFS($K$4:K2427,$C$4:C2427,$C2427),2))</f>
        <v/>
      </c>
      <c r="M2427" s="19">
        <f>IF($C2427="","",ROUND(SUM(基础资料!$B$4:$B$13)+SUM($J$4:J2427)-SUM($K$4:K2427),2))</f>
        <v/>
      </c>
      <c r="N2427" s="13" t="n"/>
      <c r="O2427" s="13" t="n"/>
      <c r="P2427" s="17">
        <f>IF($B2427="","",IF($F2427="※类别不在基础资料里","※费用类别不在基础资料里",IF(AND(N($J2427)=0,N($K2427)=0),"※这行没填金额",IF(AND(N($J2427)&gt;0,N($K2427)&gt;0),"※收入和支出不能同一行都填",IF(AND($D2427="收入",N($J2427)=0),"※收入行要填收入金额",IF(AND($D2427="支出",N($K2427)=0),"※支出行要填支出金额",IF(AND($C2427&lt;&gt;"",ISNA(MATCH($C2427,账户表,0))),"※账户不在基础资料里",IF(AND($G2427&lt;&gt;"",ISNA(MATCH($G2427,项目名表,0))),"※项目不在项目台账里",IF(AND(LEFT($F2427,3)="成本-",$G2427=""),"※成本类支出没填项目",IF(AND(LEFT($F2427,3)="成本-",$H2427&lt;&gt;"",N($K2427)&gt;0,COUNTIFS(采购单!$B:$B,$B2427,采购单!$C:$C,$H2427,采购单!$L:$L,$K2427)&gt;0),"※这笔可能和采购单重复了",""))))))))))</f>
        <v/>
      </c>
    </row>
    <row r="2428">
      <c r="A2428" s="17">
        <f>IF($B2428="","",ROW()-3)</f>
        <v/>
      </c>
      <c r="B2428" s="18" t="n"/>
      <c r="C2428" s="13" t="n"/>
      <c r="D2428" s="13" t="n"/>
      <c r="E2428" s="13" t="n"/>
      <c r="F2428" s="17">
        <f>IF($E2428="","",IFERROR(VLOOKUP($E2428,类别归属,2,0),"※类别不在基础资料里"))</f>
        <v/>
      </c>
      <c r="G2428" s="13" t="n"/>
      <c r="H2428" s="13" t="n"/>
      <c r="I2428" s="13" t="n"/>
      <c r="J2428" s="14" t="n"/>
      <c r="K2428" s="14" t="n"/>
      <c r="L2428" s="19">
        <f>IF($C2428="","",ROUND(IFERROR(VLOOKUP($C2428,账户期初,2,0),0)+SUMIFS($J$4:J2428,$C$4:C2428,$C2428)-SUMIFS($K$4:K2428,$C$4:C2428,$C2428),2))</f>
        <v/>
      </c>
      <c r="M2428" s="19">
        <f>IF($C2428="","",ROUND(SUM(基础资料!$B$4:$B$13)+SUM($J$4:J2428)-SUM($K$4:K2428),2))</f>
        <v/>
      </c>
      <c r="N2428" s="13" t="n"/>
      <c r="O2428" s="13" t="n"/>
      <c r="P2428" s="17">
        <f>IF($B2428="","",IF($F2428="※类别不在基础资料里","※费用类别不在基础资料里",IF(AND(N($J2428)=0,N($K2428)=0),"※这行没填金额",IF(AND(N($J2428)&gt;0,N($K2428)&gt;0),"※收入和支出不能同一行都填",IF(AND($D2428="收入",N($J2428)=0),"※收入行要填收入金额",IF(AND($D2428="支出",N($K2428)=0),"※支出行要填支出金额",IF(AND($C2428&lt;&gt;"",ISNA(MATCH($C2428,账户表,0))),"※账户不在基础资料里",IF(AND($G2428&lt;&gt;"",ISNA(MATCH($G2428,项目名表,0))),"※项目不在项目台账里",IF(AND(LEFT($F2428,3)="成本-",$G2428=""),"※成本类支出没填项目",IF(AND(LEFT($F2428,3)="成本-",$H2428&lt;&gt;"",N($K2428)&gt;0,COUNTIFS(采购单!$B:$B,$B2428,采购单!$C:$C,$H2428,采购单!$L:$L,$K2428)&gt;0),"※这笔可能和采购单重复了",""))))))))))</f>
        <v/>
      </c>
    </row>
    <row r="2429">
      <c r="A2429" s="17">
        <f>IF($B2429="","",ROW()-3)</f>
        <v/>
      </c>
      <c r="B2429" s="18" t="n"/>
      <c r="C2429" s="13" t="n"/>
      <c r="D2429" s="13" t="n"/>
      <c r="E2429" s="13" t="n"/>
      <c r="F2429" s="17">
        <f>IF($E2429="","",IFERROR(VLOOKUP($E2429,类别归属,2,0),"※类别不在基础资料里"))</f>
        <v/>
      </c>
      <c r="G2429" s="13" t="n"/>
      <c r="H2429" s="13" t="n"/>
      <c r="I2429" s="13" t="n"/>
      <c r="J2429" s="14" t="n"/>
      <c r="K2429" s="14" t="n"/>
      <c r="L2429" s="19">
        <f>IF($C2429="","",ROUND(IFERROR(VLOOKUP($C2429,账户期初,2,0),0)+SUMIFS($J$4:J2429,$C$4:C2429,$C2429)-SUMIFS($K$4:K2429,$C$4:C2429,$C2429),2))</f>
        <v/>
      </c>
      <c r="M2429" s="19">
        <f>IF($C2429="","",ROUND(SUM(基础资料!$B$4:$B$13)+SUM($J$4:J2429)-SUM($K$4:K2429),2))</f>
        <v/>
      </c>
      <c r="N2429" s="13" t="n"/>
      <c r="O2429" s="13" t="n"/>
      <c r="P2429" s="17">
        <f>IF($B2429="","",IF($F2429="※类别不在基础资料里","※费用类别不在基础资料里",IF(AND(N($J2429)=0,N($K2429)=0),"※这行没填金额",IF(AND(N($J2429)&gt;0,N($K2429)&gt;0),"※收入和支出不能同一行都填",IF(AND($D2429="收入",N($J2429)=0),"※收入行要填收入金额",IF(AND($D2429="支出",N($K2429)=0),"※支出行要填支出金额",IF(AND($C2429&lt;&gt;"",ISNA(MATCH($C2429,账户表,0))),"※账户不在基础资料里",IF(AND($G2429&lt;&gt;"",ISNA(MATCH($G2429,项目名表,0))),"※项目不在项目台账里",IF(AND(LEFT($F2429,3)="成本-",$G2429=""),"※成本类支出没填项目",IF(AND(LEFT($F2429,3)="成本-",$H2429&lt;&gt;"",N($K2429)&gt;0,COUNTIFS(采购单!$B:$B,$B2429,采购单!$C:$C,$H2429,采购单!$L:$L,$K2429)&gt;0),"※这笔可能和采购单重复了",""))))))))))</f>
        <v/>
      </c>
    </row>
    <row r="2430">
      <c r="A2430" s="17">
        <f>IF($B2430="","",ROW()-3)</f>
        <v/>
      </c>
      <c r="B2430" s="18" t="n"/>
      <c r="C2430" s="13" t="n"/>
      <c r="D2430" s="13" t="n"/>
      <c r="E2430" s="13" t="n"/>
      <c r="F2430" s="17">
        <f>IF($E2430="","",IFERROR(VLOOKUP($E2430,类别归属,2,0),"※类别不在基础资料里"))</f>
        <v/>
      </c>
      <c r="G2430" s="13" t="n"/>
      <c r="H2430" s="13" t="n"/>
      <c r="I2430" s="13" t="n"/>
      <c r="J2430" s="14" t="n"/>
      <c r="K2430" s="14" t="n"/>
      <c r="L2430" s="19">
        <f>IF($C2430="","",ROUND(IFERROR(VLOOKUP($C2430,账户期初,2,0),0)+SUMIFS($J$4:J2430,$C$4:C2430,$C2430)-SUMIFS($K$4:K2430,$C$4:C2430,$C2430),2))</f>
        <v/>
      </c>
      <c r="M2430" s="19">
        <f>IF($C2430="","",ROUND(SUM(基础资料!$B$4:$B$13)+SUM($J$4:J2430)-SUM($K$4:K2430),2))</f>
        <v/>
      </c>
      <c r="N2430" s="13" t="n"/>
      <c r="O2430" s="13" t="n"/>
      <c r="P2430" s="17">
        <f>IF($B2430="","",IF($F2430="※类别不在基础资料里","※费用类别不在基础资料里",IF(AND(N($J2430)=0,N($K2430)=0),"※这行没填金额",IF(AND(N($J2430)&gt;0,N($K2430)&gt;0),"※收入和支出不能同一行都填",IF(AND($D2430="收入",N($J2430)=0),"※收入行要填收入金额",IF(AND($D2430="支出",N($K2430)=0),"※支出行要填支出金额",IF(AND($C2430&lt;&gt;"",ISNA(MATCH($C2430,账户表,0))),"※账户不在基础资料里",IF(AND($G2430&lt;&gt;"",ISNA(MATCH($G2430,项目名表,0))),"※项目不在项目台账里",IF(AND(LEFT($F2430,3)="成本-",$G2430=""),"※成本类支出没填项目",IF(AND(LEFT($F2430,3)="成本-",$H2430&lt;&gt;"",N($K2430)&gt;0,COUNTIFS(采购单!$B:$B,$B2430,采购单!$C:$C,$H2430,采购单!$L:$L,$K2430)&gt;0),"※这笔可能和采购单重复了",""))))))))))</f>
        <v/>
      </c>
    </row>
    <row r="2431">
      <c r="A2431" s="17">
        <f>IF($B2431="","",ROW()-3)</f>
        <v/>
      </c>
      <c r="B2431" s="18" t="n"/>
      <c r="C2431" s="13" t="n"/>
      <c r="D2431" s="13" t="n"/>
      <c r="E2431" s="13" t="n"/>
      <c r="F2431" s="17">
        <f>IF($E2431="","",IFERROR(VLOOKUP($E2431,类别归属,2,0),"※类别不在基础资料里"))</f>
        <v/>
      </c>
      <c r="G2431" s="13" t="n"/>
      <c r="H2431" s="13" t="n"/>
      <c r="I2431" s="13" t="n"/>
      <c r="J2431" s="14" t="n"/>
      <c r="K2431" s="14" t="n"/>
      <c r="L2431" s="19">
        <f>IF($C2431="","",ROUND(IFERROR(VLOOKUP($C2431,账户期初,2,0),0)+SUMIFS($J$4:J2431,$C$4:C2431,$C2431)-SUMIFS($K$4:K2431,$C$4:C2431,$C2431),2))</f>
        <v/>
      </c>
      <c r="M2431" s="19">
        <f>IF($C2431="","",ROUND(SUM(基础资料!$B$4:$B$13)+SUM($J$4:J2431)-SUM($K$4:K2431),2))</f>
        <v/>
      </c>
      <c r="N2431" s="13" t="n"/>
      <c r="O2431" s="13" t="n"/>
      <c r="P2431" s="17">
        <f>IF($B2431="","",IF($F2431="※类别不在基础资料里","※费用类别不在基础资料里",IF(AND(N($J2431)=0,N($K2431)=0),"※这行没填金额",IF(AND(N($J2431)&gt;0,N($K2431)&gt;0),"※收入和支出不能同一行都填",IF(AND($D2431="收入",N($J2431)=0),"※收入行要填收入金额",IF(AND($D2431="支出",N($K2431)=0),"※支出行要填支出金额",IF(AND($C2431&lt;&gt;"",ISNA(MATCH($C2431,账户表,0))),"※账户不在基础资料里",IF(AND($G2431&lt;&gt;"",ISNA(MATCH($G2431,项目名表,0))),"※项目不在项目台账里",IF(AND(LEFT($F2431,3)="成本-",$G2431=""),"※成本类支出没填项目",IF(AND(LEFT($F2431,3)="成本-",$H2431&lt;&gt;"",N($K2431)&gt;0,COUNTIFS(采购单!$B:$B,$B2431,采购单!$C:$C,$H2431,采购单!$L:$L,$K2431)&gt;0),"※这笔可能和采购单重复了",""))))))))))</f>
        <v/>
      </c>
    </row>
    <row r="2432">
      <c r="A2432" s="17">
        <f>IF($B2432="","",ROW()-3)</f>
        <v/>
      </c>
      <c r="B2432" s="18" t="n"/>
      <c r="C2432" s="13" t="n"/>
      <c r="D2432" s="13" t="n"/>
      <c r="E2432" s="13" t="n"/>
      <c r="F2432" s="17">
        <f>IF($E2432="","",IFERROR(VLOOKUP($E2432,类别归属,2,0),"※类别不在基础资料里"))</f>
        <v/>
      </c>
      <c r="G2432" s="13" t="n"/>
      <c r="H2432" s="13" t="n"/>
      <c r="I2432" s="13" t="n"/>
      <c r="J2432" s="14" t="n"/>
      <c r="K2432" s="14" t="n"/>
      <c r="L2432" s="19">
        <f>IF($C2432="","",ROUND(IFERROR(VLOOKUP($C2432,账户期初,2,0),0)+SUMIFS($J$4:J2432,$C$4:C2432,$C2432)-SUMIFS($K$4:K2432,$C$4:C2432,$C2432),2))</f>
        <v/>
      </c>
      <c r="M2432" s="19">
        <f>IF($C2432="","",ROUND(SUM(基础资料!$B$4:$B$13)+SUM($J$4:J2432)-SUM($K$4:K2432),2))</f>
        <v/>
      </c>
      <c r="N2432" s="13" t="n"/>
      <c r="O2432" s="13" t="n"/>
      <c r="P2432" s="17">
        <f>IF($B2432="","",IF($F2432="※类别不在基础资料里","※费用类别不在基础资料里",IF(AND(N($J2432)=0,N($K2432)=0),"※这行没填金额",IF(AND(N($J2432)&gt;0,N($K2432)&gt;0),"※收入和支出不能同一行都填",IF(AND($D2432="收入",N($J2432)=0),"※收入行要填收入金额",IF(AND($D2432="支出",N($K2432)=0),"※支出行要填支出金额",IF(AND($C2432&lt;&gt;"",ISNA(MATCH($C2432,账户表,0))),"※账户不在基础资料里",IF(AND($G2432&lt;&gt;"",ISNA(MATCH($G2432,项目名表,0))),"※项目不在项目台账里",IF(AND(LEFT($F2432,3)="成本-",$G2432=""),"※成本类支出没填项目",IF(AND(LEFT($F2432,3)="成本-",$H2432&lt;&gt;"",N($K2432)&gt;0,COUNTIFS(采购单!$B:$B,$B2432,采购单!$C:$C,$H2432,采购单!$L:$L,$K2432)&gt;0),"※这笔可能和采购单重复了",""))))))))))</f>
        <v/>
      </c>
    </row>
    <row r="2433">
      <c r="A2433" s="17">
        <f>IF($B2433="","",ROW()-3)</f>
        <v/>
      </c>
      <c r="B2433" s="18" t="n"/>
      <c r="C2433" s="13" t="n"/>
      <c r="D2433" s="13" t="n"/>
      <c r="E2433" s="13" t="n"/>
      <c r="F2433" s="17">
        <f>IF($E2433="","",IFERROR(VLOOKUP($E2433,类别归属,2,0),"※类别不在基础资料里"))</f>
        <v/>
      </c>
      <c r="G2433" s="13" t="n"/>
      <c r="H2433" s="13" t="n"/>
      <c r="I2433" s="13" t="n"/>
      <c r="J2433" s="14" t="n"/>
      <c r="K2433" s="14" t="n"/>
      <c r="L2433" s="19">
        <f>IF($C2433="","",ROUND(IFERROR(VLOOKUP($C2433,账户期初,2,0),0)+SUMIFS($J$4:J2433,$C$4:C2433,$C2433)-SUMIFS($K$4:K2433,$C$4:C2433,$C2433),2))</f>
        <v/>
      </c>
      <c r="M2433" s="19">
        <f>IF($C2433="","",ROUND(SUM(基础资料!$B$4:$B$13)+SUM($J$4:J2433)-SUM($K$4:K2433),2))</f>
        <v/>
      </c>
      <c r="N2433" s="13" t="n"/>
      <c r="O2433" s="13" t="n"/>
      <c r="P2433" s="17">
        <f>IF($B2433="","",IF($F2433="※类别不在基础资料里","※费用类别不在基础资料里",IF(AND(N($J2433)=0,N($K2433)=0),"※这行没填金额",IF(AND(N($J2433)&gt;0,N($K2433)&gt;0),"※收入和支出不能同一行都填",IF(AND($D2433="收入",N($J2433)=0),"※收入行要填收入金额",IF(AND($D2433="支出",N($K2433)=0),"※支出行要填支出金额",IF(AND($C2433&lt;&gt;"",ISNA(MATCH($C2433,账户表,0))),"※账户不在基础资料里",IF(AND($G2433&lt;&gt;"",ISNA(MATCH($G2433,项目名表,0))),"※项目不在项目台账里",IF(AND(LEFT($F2433,3)="成本-",$G2433=""),"※成本类支出没填项目",IF(AND(LEFT($F2433,3)="成本-",$H2433&lt;&gt;"",N($K2433)&gt;0,COUNTIFS(采购单!$B:$B,$B2433,采购单!$C:$C,$H2433,采购单!$L:$L,$K2433)&gt;0),"※这笔可能和采购单重复了",""))))))))))</f>
        <v/>
      </c>
    </row>
    <row r="2434">
      <c r="A2434" s="17">
        <f>IF($B2434="","",ROW()-3)</f>
        <v/>
      </c>
      <c r="B2434" s="18" t="n"/>
      <c r="C2434" s="13" t="n"/>
      <c r="D2434" s="13" t="n"/>
      <c r="E2434" s="13" t="n"/>
      <c r="F2434" s="17">
        <f>IF($E2434="","",IFERROR(VLOOKUP($E2434,类别归属,2,0),"※类别不在基础资料里"))</f>
        <v/>
      </c>
      <c r="G2434" s="13" t="n"/>
      <c r="H2434" s="13" t="n"/>
      <c r="I2434" s="13" t="n"/>
      <c r="J2434" s="14" t="n"/>
      <c r="K2434" s="14" t="n"/>
      <c r="L2434" s="19">
        <f>IF($C2434="","",ROUND(IFERROR(VLOOKUP($C2434,账户期初,2,0),0)+SUMIFS($J$4:J2434,$C$4:C2434,$C2434)-SUMIFS($K$4:K2434,$C$4:C2434,$C2434),2))</f>
        <v/>
      </c>
      <c r="M2434" s="19">
        <f>IF($C2434="","",ROUND(SUM(基础资料!$B$4:$B$13)+SUM($J$4:J2434)-SUM($K$4:K2434),2))</f>
        <v/>
      </c>
      <c r="N2434" s="13" t="n"/>
      <c r="O2434" s="13" t="n"/>
      <c r="P2434" s="17">
        <f>IF($B2434="","",IF($F2434="※类别不在基础资料里","※费用类别不在基础资料里",IF(AND(N($J2434)=0,N($K2434)=0),"※这行没填金额",IF(AND(N($J2434)&gt;0,N($K2434)&gt;0),"※收入和支出不能同一行都填",IF(AND($D2434="收入",N($J2434)=0),"※收入行要填收入金额",IF(AND($D2434="支出",N($K2434)=0),"※支出行要填支出金额",IF(AND($C2434&lt;&gt;"",ISNA(MATCH($C2434,账户表,0))),"※账户不在基础资料里",IF(AND($G2434&lt;&gt;"",ISNA(MATCH($G2434,项目名表,0))),"※项目不在项目台账里",IF(AND(LEFT($F2434,3)="成本-",$G2434=""),"※成本类支出没填项目",IF(AND(LEFT($F2434,3)="成本-",$H2434&lt;&gt;"",N($K2434)&gt;0,COUNTIFS(采购单!$B:$B,$B2434,采购单!$C:$C,$H2434,采购单!$L:$L,$K2434)&gt;0),"※这笔可能和采购单重复了",""))))))))))</f>
        <v/>
      </c>
    </row>
    <row r="2435">
      <c r="A2435" s="17">
        <f>IF($B2435="","",ROW()-3)</f>
        <v/>
      </c>
      <c r="B2435" s="18" t="n"/>
      <c r="C2435" s="13" t="n"/>
      <c r="D2435" s="13" t="n"/>
      <c r="E2435" s="13" t="n"/>
      <c r="F2435" s="17">
        <f>IF($E2435="","",IFERROR(VLOOKUP($E2435,类别归属,2,0),"※类别不在基础资料里"))</f>
        <v/>
      </c>
      <c r="G2435" s="13" t="n"/>
      <c r="H2435" s="13" t="n"/>
      <c r="I2435" s="13" t="n"/>
      <c r="J2435" s="14" t="n"/>
      <c r="K2435" s="14" t="n"/>
      <c r="L2435" s="19">
        <f>IF($C2435="","",ROUND(IFERROR(VLOOKUP($C2435,账户期初,2,0),0)+SUMIFS($J$4:J2435,$C$4:C2435,$C2435)-SUMIFS($K$4:K2435,$C$4:C2435,$C2435),2))</f>
        <v/>
      </c>
      <c r="M2435" s="19">
        <f>IF($C2435="","",ROUND(SUM(基础资料!$B$4:$B$13)+SUM($J$4:J2435)-SUM($K$4:K2435),2))</f>
        <v/>
      </c>
      <c r="N2435" s="13" t="n"/>
      <c r="O2435" s="13" t="n"/>
      <c r="P2435" s="17">
        <f>IF($B2435="","",IF($F2435="※类别不在基础资料里","※费用类别不在基础资料里",IF(AND(N($J2435)=0,N($K2435)=0),"※这行没填金额",IF(AND(N($J2435)&gt;0,N($K2435)&gt;0),"※收入和支出不能同一行都填",IF(AND($D2435="收入",N($J2435)=0),"※收入行要填收入金额",IF(AND($D2435="支出",N($K2435)=0),"※支出行要填支出金额",IF(AND($C2435&lt;&gt;"",ISNA(MATCH($C2435,账户表,0))),"※账户不在基础资料里",IF(AND($G2435&lt;&gt;"",ISNA(MATCH($G2435,项目名表,0))),"※项目不在项目台账里",IF(AND(LEFT($F2435,3)="成本-",$G2435=""),"※成本类支出没填项目",IF(AND(LEFT($F2435,3)="成本-",$H2435&lt;&gt;"",N($K2435)&gt;0,COUNTIFS(采购单!$B:$B,$B2435,采购单!$C:$C,$H2435,采购单!$L:$L,$K2435)&gt;0),"※这笔可能和采购单重复了",""))))))))))</f>
        <v/>
      </c>
    </row>
    <row r="2436">
      <c r="A2436" s="17">
        <f>IF($B2436="","",ROW()-3)</f>
        <v/>
      </c>
      <c r="B2436" s="18" t="n"/>
      <c r="C2436" s="13" t="n"/>
      <c r="D2436" s="13" t="n"/>
      <c r="E2436" s="13" t="n"/>
      <c r="F2436" s="17">
        <f>IF($E2436="","",IFERROR(VLOOKUP($E2436,类别归属,2,0),"※类别不在基础资料里"))</f>
        <v/>
      </c>
      <c r="G2436" s="13" t="n"/>
      <c r="H2436" s="13" t="n"/>
      <c r="I2436" s="13" t="n"/>
      <c r="J2436" s="14" t="n"/>
      <c r="K2436" s="14" t="n"/>
      <c r="L2436" s="19">
        <f>IF($C2436="","",ROUND(IFERROR(VLOOKUP($C2436,账户期初,2,0),0)+SUMIFS($J$4:J2436,$C$4:C2436,$C2436)-SUMIFS($K$4:K2436,$C$4:C2436,$C2436),2))</f>
        <v/>
      </c>
      <c r="M2436" s="19">
        <f>IF($C2436="","",ROUND(SUM(基础资料!$B$4:$B$13)+SUM($J$4:J2436)-SUM($K$4:K2436),2))</f>
        <v/>
      </c>
      <c r="N2436" s="13" t="n"/>
      <c r="O2436" s="13" t="n"/>
      <c r="P2436" s="17">
        <f>IF($B2436="","",IF($F2436="※类别不在基础资料里","※费用类别不在基础资料里",IF(AND(N($J2436)=0,N($K2436)=0),"※这行没填金额",IF(AND(N($J2436)&gt;0,N($K2436)&gt;0),"※收入和支出不能同一行都填",IF(AND($D2436="收入",N($J2436)=0),"※收入行要填收入金额",IF(AND($D2436="支出",N($K2436)=0),"※支出行要填支出金额",IF(AND($C2436&lt;&gt;"",ISNA(MATCH($C2436,账户表,0))),"※账户不在基础资料里",IF(AND($G2436&lt;&gt;"",ISNA(MATCH($G2436,项目名表,0))),"※项目不在项目台账里",IF(AND(LEFT($F2436,3)="成本-",$G2436=""),"※成本类支出没填项目",IF(AND(LEFT($F2436,3)="成本-",$H2436&lt;&gt;"",N($K2436)&gt;0,COUNTIFS(采购单!$B:$B,$B2436,采购单!$C:$C,$H2436,采购单!$L:$L,$K2436)&gt;0),"※这笔可能和采购单重复了",""))))))))))</f>
        <v/>
      </c>
    </row>
    <row r="2437">
      <c r="A2437" s="17">
        <f>IF($B2437="","",ROW()-3)</f>
        <v/>
      </c>
      <c r="B2437" s="18" t="n"/>
      <c r="C2437" s="13" t="n"/>
      <c r="D2437" s="13" t="n"/>
      <c r="E2437" s="13" t="n"/>
      <c r="F2437" s="17">
        <f>IF($E2437="","",IFERROR(VLOOKUP($E2437,类别归属,2,0),"※类别不在基础资料里"))</f>
        <v/>
      </c>
      <c r="G2437" s="13" t="n"/>
      <c r="H2437" s="13" t="n"/>
      <c r="I2437" s="13" t="n"/>
      <c r="J2437" s="14" t="n"/>
      <c r="K2437" s="14" t="n"/>
      <c r="L2437" s="19">
        <f>IF($C2437="","",ROUND(IFERROR(VLOOKUP($C2437,账户期初,2,0),0)+SUMIFS($J$4:J2437,$C$4:C2437,$C2437)-SUMIFS($K$4:K2437,$C$4:C2437,$C2437),2))</f>
        <v/>
      </c>
      <c r="M2437" s="19">
        <f>IF($C2437="","",ROUND(SUM(基础资料!$B$4:$B$13)+SUM($J$4:J2437)-SUM($K$4:K2437),2))</f>
        <v/>
      </c>
      <c r="N2437" s="13" t="n"/>
      <c r="O2437" s="13" t="n"/>
      <c r="P2437" s="17">
        <f>IF($B2437="","",IF($F2437="※类别不在基础资料里","※费用类别不在基础资料里",IF(AND(N($J2437)=0,N($K2437)=0),"※这行没填金额",IF(AND(N($J2437)&gt;0,N($K2437)&gt;0),"※收入和支出不能同一行都填",IF(AND($D2437="收入",N($J2437)=0),"※收入行要填收入金额",IF(AND($D2437="支出",N($K2437)=0),"※支出行要填支出金额",IF(AND($C2437&lt;&gt;"",ISNA(MATCH($C2437,账户表,0))),"※账户不在基础资料里",IF(AND($G2437&lt;&gt;"",ISNA(MATCH($G2437,项目名表,0))),"※项目不在项目台账里",IF(AND(LEFT($F2437,3)="成本-",$G2437=""),"※成本类支出没填项目",IF(AND(LEFT($F2437,3)="成本-",$H2437&lt;&gt;"",N($K2437)&gt;0,COUNTIFS(采购单!$B:$B,$B2437,采购单!$C:$C,$H2437,采购单!$L:$L,$K2437)&gt;0),"※这笔可能和采购单重复了",""))))))))))</f>
        <v/>
      </c>
    </row>
    <row r="2438">
      <c r="A2438" s="17">
        <f>IF($B2438="","",ROW()-3)</f>
        <v/>
      </c>
      <c r="B2438" s="18" t="n"/>
      <c r="C2438" s="13" t="n"/>
      <c r="D2438" s="13" t="n"/>
      <c r="E2438" s="13" t="n"/>
      <c r="F2438" s="17">
        <f>IF($E2438="","",IFERROR(VLOOKUP($E2438,类别归属,2,0),"※类别不在基础资料里"))</f>
        <v/>
      </c>
      <c r="G2438" s="13" t="n"/>
      <c r="H2438" s="13" t="n"/>
      <c r="I2438" s="13" t="n"/>
      <c r="J2438" s="14" t="n"/>
      <c r="K2438" s="14" t="n"/>
      <c r="L2438" s="19">
        <f>IF($C2438="","",ROUND(IFERROR(VLOOKUP($C2438,账户期初,2,0),0)+SUMIFS($J$4:J2438,$C$4:C2438,$C2438)-SUMIFS($K$4:K2438,$C$4:C2438,$C2438),2))</f>
        <v/>
      </c>
      <c r="M2438" s="19">
        <f>IF($C2438="","",ROUND(SUM(基础资料!$B$4:$B$13)+SUM($J$4:J2438)-SUM($K$4:K2438),2))</f>
        <v/>
      </c>
      <c r="N2438" s="13" t="n"/>
      <c r="O2438" s="13" t="n"/>
      <c r="P2438" s="17">
        <f>IF($B2438="","",IF($F2438="※类别不在基础资料里","※费用类别不在基础资料里",IF(AND(N($J2438)=0,N($K2438)=0),"※这行没填金额",IF(AND(N($J2438)&gt;0,N($K2438)&gt;0),"※收入和支出不能同一行都填",IF(AND($D2438="收入",N($J2438)=0),"※收入行要填收入金额",IF(AND($D2438="支出",N($K2438)=0),"※支出行要填支出金额",IF(AND($C2438&lt;&gt;"",ISNA(MATCH($C2438,账户表,0))),"※账户不在基础资料里",IF(AND($G2438&lt;&gt;"",ISNA(MATCH($G2438,项目名表,0))),"※项目不在项目台账里",IF(AND(LEFT($F2438,3)="成本-",$G2438=""),"※成本类支出没填项目",IF(AND(LEFT($F2438,3)="成本-",$H2438&lt;&gt;"",N($K2438)&gt;0,COUNTIFS(采购单!$B:$B,$B2438,采购单!$C:$C,$H2438,采购单!$L:$L,$K2438)&gt;0),"※这笔可能和采购单重复了",""))))))))))</f>
        <v/>
      </c>
    </row>
    <row r="2439">
      <c r="A2439" s="17">
        <f>IF($B2439="","",ROW()-3)</f>
        <v/>
      </c>
      <c r="B2439" s="18" t="n"/>
      <c r="C2439" s="13" t="n"/>
      <c r="D2439" s="13" t="n"/>
      <c r="E2439" s="13" t="n"/>
      <c r="F2439" s="17">
        <f>IF($E2439="","",IFERROR(VLOOKUP($E2439,类别归属,2,0),"※类别不在基础资料里"))</f>
        <v/>
      </c>
      <c r="G2439" s="13" t="n"/>
      <c r="H2439" s="13" t="n"/>
      <c r="I2439" s="13" t="n"/>
      <c r="J2439" s="14" t="n"/>
      <c r="K2439" s="14" t="n"/>
      <c r="L2439" s="19">
        <f>IF($C2439="","",ROUND(IFERROR(VLOOKUP($C2439,账户期初,2,0),0)+SUMIFS($J$4:J2439,$C$4:C2439,$C2439)-SUMIFS($K$4:K2439,$C$4:C2439,$C2439),2))</f>
        <v/>
      </c>
      <c r="M2439" s="19">
        <f>IF($C2439="","",ROUND(SUM(基础资料!$B$4:$B$13)+SUM($J$4:J2439)-SUM($K$4:K2439),2))</f>
        <v/>
      </c>
      <c r="N2439" s="13" t="n"/>
      <c r="O2439" s="13" t="n"/>
      <c r="P2439" s="17">
        <f>IF($B2439="","",IF($F2439="※类别不在基础资料里","※费用类别不在基础资料里",IF(AND(N($J2439)=0,N($K2439)=0),"※这行没填金额",IF(AND(N($J2439)&gt;0,N($K2439)&gt;0),"※收入和支出不能同一行都填",IF(AND($D2439="收入",N($J2439)=0),"※收入行要填收入金额",IF(AND($D2439="支出",N($K2439)=0),"※支出行要填支出金额",IF(AND($C2439&lt;&gt;"",ISNA(MATCH($C2439,账户表,0))),"※账户不在基础资料里",IF(AND($G2439&lt;&gt;"",ISNA(MATCH($G2439,项目名表,0))),"※项目不在项目台账里",IF(AND(LEFT($F2439,3)="成本-",$G2439=""),"※成本类支出没填项目",IF(AND(LEFT($F2439,3)="成本-",$H2439&lt;&gt;"",N($K2439)&gt;0,COUNTIFS(采购单!$B:$B,$B2439,采购单!$C:$C,$H2439,采购单!$L:$L,$K2439)&gt;0),"※这笔可能和采购单重复了",""))))))))))</f>
        <v/>
      </c>
    </row>
    <row r="2440">
      <c r="A2440" s="17">
        <f>IF($B2440="","",ROW()-3)</f>
        <v/>
      </c>
      <c r="B2440" s="18" t="n"/>
      <c r="C2440" s="13" t="n"/>
      <c r="D2440" s="13" t="n"/>
      <c r="E2440" s="13" t="n"/>
      <c r="F2440" s="17">
        <f>IF($E2440="","",IFERROR(VLOOKUP($E2440,类别归属,2,0),"※类别不在基础资料里"))</f>
        <v/>
      </c>
      <c r="G2440" s="13" t="n"/>
      <c r="H2440" s="13" t="n"/>
      <c r="I2440" s="13" t="n"/>
      <c r="J2440" s="14" t="n"/>
      <c r="K2440" s="14" t="n"/>
      <c r="L2440" s="19">
        <f>IF($C2440="","",ROUND(IFERROR(VLOOKUP($C2440,账户期初,2,0),0)+SUMIFS($J$4:J2440,$C$4:C2440,$C2440)-SUMIFS($K$4:K2440,$C$4:C2440,$C2440),2))</f>
        <v/>
      </c>
      <c r="M2440" s="19">
        <f>IF($C2440="","",ROUND(SUM(基础资料!$B$4:$B$13)+SUM($J$4:J2440)-SUM($K$4:K2440),2))</f>
        <v/>
      </c>
      <c r="N2440" s="13" t="n"/>
      <c r="O2440" s="13" t="n"/>
      <c r="P2440" s="17">
        <f>IF($B2440="","",IF($F2440="※类别不在基础资料里","※费用类别不在基础资料里",IF(AND(N($J2440)=0,N($K2440)=0),"※这行没填金额",IF(AND(N($J2440)&gt;0,N($K2440)&gt;0),"※收入和支出不能同一行都填",IF(AND($D2440="收入",N($J2440)=0),"※收入行要填收入金额",IF(AND($D2440="支出",N($K2440)=0),"※支出行要填支出金额",IF(AND($C2440&lt;&gt;"",ISNA(MATCH($C2440,账户表,0))),"※账户不在基础资料里",IF(AND($G2440&lt;&gt;"",ISNA(MATCH($G2440,项目名表,0))),"※项目不在项目台账里",IF(AND(LEFT($F2440,3)="成本-",$G2440=""),"※成本类支出没填项目",IF(AND(LEFT($F2440,3)="成本-",$H2440&lt;&gt;"",N($K2440)&gt;0,COUNTIFS(采购单!$B:$B,$B2440,采购单!$C:$C,$H2440,采购单!$L:$L,$K2440)&gt;0),"※这笔可能和采购单重复了",""))))))))))</f>
        <v/>
      </c>
    </row>
    <row r="2441">
      <c r="A2441" s="17">
        <f>IF($B2441="","",ROW()-3)</f>
        <v/>
      </c>
      <c r="B2441" s="18" t="n"/>
      <c r="C2441" s="13" t="n"/>
      <c r="D2441" s="13" t="n"/>
      <c r="E2441" s="13" t="n"/>
      <c r="F2441" s="17">
        <f>IF($E2441="","",IFERROR(VLOOKUP($E2441,类别归属,2,0),"※类别不在基础资料里"))</f>
        <v/>
      </c>
      <c r="G2441" s="13" t="n"/>
      <c r="H2441" s="13" t="n"/>
      <c r="I2441" s="13" t="n"/>
      <c r="J2441" s="14" t="n"/>
      <c r="K2441" s="14" t="n"/>
      <c r="L2441" s="19">
        <f>IF($C2441="","",ROUND(IFERROR(VLOOKUP($C2441,账户期初,2,0),0)+SUMIFS($J$4:J2441,$C$4:C2441,$C2441)-SUMIFS($K$4:K2441,$C$4:C2441,$C2441),2))</f>
        <v/>
      </c>
      <c r="M2441" s="19">
        <f>IF($C2441="","",ROUND(SUM(基础资料!$B$4:$B$13)+SUM($J$4:J2441)-SUM($K$4:K2441),2))</f>
        <v/>
      </c>
      <c r="N2441" s="13" t="n"/>
      <c r="O2441" s="13" t="n"/>
      <c r="P2441" s="17">
        <f>IF($B2441="","",IF($F2441="※类别不在基础资料里","※费用类别不在基础资料里",IF(AND(N($J2441)=0,N($K2441)=0),"※这行没填金额",IF(AND(N($J2441)&gt;0,N($K2441)&gt;0),"※收入和支出不能同一行都填",IF(AND($D2441="收入",N($J2441)=0),"※收入行要填收入金额",IF(AND($D2441="支出",N($K2441)=0),"※支出行要填支出金额",IF(AND($C2441&lt;&gt;"",ISNA(MATCH($C2441,账户表,0))),"※账户不在基础资料里",IF(AND($G2441&lt;&gt;"",ISNA(MATCH($G2441,项目名表,0))),"※项目不在项目台账里",IF(AND(LEFT($F2441,3)="成本-",$G2441=""),"※成本类支出没填项目",IF(AND(LEFT($F2441,3)="成本-",$H2441&lt;&gt;"",N($K2441)&gt;0,COUNTIFS(采购单!$B:$B,$B2441,采购单!$C:$C,$H2441,采购单!$L:$L,$K2441)&gt;0),"※这笔可能和采购单重复了",""))))))))))</f>
        <v/>
      </c>
    </row>
    <row r="2442">
      <c r="A2442" s="17">
        <f>IF($B2442="","",ROW()-3)</f>
        <v/>
      </c>
      <c r="B2442" s="18" t="n"/>
      <c r="C2442" s="13" t="n"/>
      <c r="D2442" s="13" t="n"/>
      <c r="E2442" s="13" t="n"/>
      <c r="F2442" s="17">
        <f>IF($E2442="","",IFERROR(VLOOKUP($E2442,类别归属,2,0),"※类别不在基础资料里"))</f>
        <v/>
      </c>
      <c r="G2442" s="13" t="n"/>
      <c r="H2442" s="13" t="n"/>
      <c r="I2442" s="13" t="n"/>
      <c r="J2442" s="14" t="n"/>
      <c r="K2442" s="14" t="n"/>
      <c r="L2442" s="19">
        <f>IF($C2442="","",ROUND(IFERROR(VLOOKUP($C2442,账户期初,2,0),0)+SUMIFS($J$4:J2442,$C$4:C2442,$C2442)-SUMIFS($K$4:K2442,$C$4:C2442,$C2442),2))</f>
        <v/>
      </c>
      <c r="M2442" s="19">
        <f>IF($C2442="","",ROUND(SUM(基础资料!$B$4:$B$13)+SUM($J$4:J2442)-SUM($K$4:K2442),2))</f>
        <v/>
      </c>
      <c r="N2442" s="13" t="n"/>
      <c r="O2442" s="13" t="n"/>
      <c r="P2442" s="17">
        <f>IF($B2442="","",IF($F2442="※类别不在基础资料里","※费用类别不在基础资料里",IF(AND(N($J2442)=0,N($K2442)=0),"※这行没填金额",IF(AND(N($J2442)&gt;0,N($K2442)&gt;0),"※收入和支出不能同一行都填",IF(AND($D2442="收入",N($J2442)=0),"※收入行要填收入金额",IF(AND($D2442="支出",N($K2442)=0),"※支出行要填支出金额",IF(AND($C2442&lt;&gt;"",ISNA(MATCH($C2442,账户表,0))),"※账户不在基础资料里",IF(AND($G2442&lt;&gt;"",ISNA(MATCH($G2442,项目名表,0))),"※项目不在项目台账里",IF(AND(LEFT($F2442,3)="成本-",$G2442=""),"※成本类支出没填项目",IF(AND(LEFT($F2442,3)="成本-",$H2442&lt;&gt;"",N($K2442)&gt;0,COUNTIFS(采购单!$B:$B,$B2442,采购单!$C:$C,$H2442,采购单!$L:$L,$K2442)&gt;0),"※这笔可能和采购单重复了",""))))))))))</f>
        <v/>
      </c>
    </row>
    <row r="2443">
      <c r="A2443" s="17">
        <f>IF($B2443="","",ROW()-3)</f>
        <v/>
      </c>
      <c r="B2443" s="18" t="n"/>
      <c r="C2443" s="13" t="n"/>
      <c r="D2443" s="13" t="n"/>
      <c r="E2443" s="13" t="n"/>
      <c r="F2443" s="17">
        <f>IF($E2443="","",IFERROR(VLOOKUP($E2443,类别归属,2,0),"※类别不在基础资料里"))</f>
        <v/>
      </c>
      <c r="G2443" s="13" t="n"/>
      <c r="H2443" s="13" t="n"/>
      <c r="I2443" s="13" t="n"/>
      <c r="J2443" s="14" t="n"/>
      <c r="K2443" s="14" t="n"/>
      <c r="L2443" s="19">
        <f>IF($C2443="","",ROUND(IFERROR(VLOOKUP($C2443,账户期初,2,0),0)+SUMIFS($J$4:J2443,$C$4:C2443,$C2443)-SUMIFS($K$4:K2443,$C$4:C2443,$C2443),2))</f>
        <v/>
      </c>
      <c r="M2443" s="19">
        <f>IF($C2443="","",ROUND(SUM(基础资料!$B$4:$B$13)+SUM($J$4:J2443)-SUM($K$4:K2443),2))</f>
        <v/>
      </c>
      <c r="N2443" s="13" t="n"/>
      <c r="O2443" s="13" t="n"/>
      <c r="P2443" s="17">
        <f>IF($B2443="","",IF($F2443="※类别不在基础资料里","※费用类别不在基础资料里",IF(AND(N($J2443)=0,N($K2443)=0),"※这行没填金额",IF(AND(N($J2443)&gt;0,N($K2443)&gt;0),"※收入和支出不能同一行都填",IF(AND($D2443="收入",N($J2443)=0),"※收入行要填收入金额",IF(AND($D2443="支出",N($K2443)=0),"※支出行要填支出金额",IF(AND($C2443&lt;&gt;"",ISNA(MATCH($C2443,账户表,0))),"※账户不在基础资料里",IF(AND($G2443&lt;&gt;"",ISNA(MATCH($G2443,项目名表,0))),"※项目不在项目台账里",IF(AND(LEFT($F2443,3)="成本-",$G2443=""),"※成本类支出没填项目",IF(AND(LEFT($F2443,3)="成本-",$H2443&lt;&gt;"",N($K2443)&gt;0,COUNTIFS(采购单!$B:$B,$B2443,采购单!$C:$C,$H2443,采购单!$L:$L,$K2443)&gt;0),"※这笔可能和采购单重复了",""))))))))))</f>
        <v/>
      </c>
    </row>
    <row r="2444">
      <c r="A2444" s="17">
        <f>IF($B2444="","",ROW()-3)</f>
        <v/>
      </c>
      <c r="B2444" s="18" t="n"/>
      <c r="C2444" s="13" t="n"/>
      <c r="D2444" s="13" t="n"/>
      <c r="E2444" s="13" t="n"/>
      <c r="F2444" s="17">
        <f>IF($E2444="","",IFERROR(VLOOKUP($E2444,类别归属,2,0),"※类别不在基础资料里"))</f>
        <v/>
      </c>
      <c r="G2444" s="13" t="n"/>
      <c r="H2444" s="13" t="n"/>
      <c r="I2444" s="13" t="n"/>
      <c r="J2444" s="14" t="n"/>
      <c r="K2444" s="14" t="n"/>
      <c r="L2444" s="19">
        <f>IF($C2444="","",ROUND(IFERROR(VLOOKUP($C2444,账户期初,2,0),0)+SUMIFS($J$4:J2444,$C$4:C2444,$C2444)-SUMIFS($K$4:K2444,$C$4:C2444,$C2444),2))</f>
        <v/>
      </c>
      <c r="M2444" s="19">
        <f>IF($C2444="","",ROUND(SUM(基础资料!$B$4:$B$13)+SUM($J$4:J2444)-SUM($K$4:K2444),2))</f>
        <v/>
      </c>
      <c r="N2444" s="13" t="n"/>
      <c r="O2444" s="13" t="n"/>
      <c r="P2444" s="17">
        <f>IF($B2444="","",IF($F2444="※类别不在基础资料里","※费用类别不在基础资料里",IF(AND(N($J2444)=0,N($K2444)=0),"※这行没填金额",IF(AND(N($J2444)&gt;0,N($K2444)&gt;0),"※收入和支出不能同一行都填",IF(AND($D2444="收入",N($J2444)=0),"※收入行要填收入金额",IF(AND($D2444="支出",N($K2444)=0),"※支出行要填支出金额",IF(AND($C2444&lt;&gt;"",ISNA(MATCH($C2444,账户表,0))),"※账户不在基础资料里",IF(AND($G2444&lt;&gt;"",ISNA(MATCH($G2444,项目名表,0))),"※项目不在项目台账里",IF(AND(LEFT($F2444,3)="成本-",$G2444=""),"※成本类支出没填项目",IF(AND(LEFT($F2444,3)="成本-",$H2444&lt;&gt;"",N($K2444)&gt;0,COUNTIFS(采购单!$B:$B,$B2444,采购单!$C:$C,$H2444,采购单!$L:$L,$K2444)&gt;0),"※这笔可能和采购单重复了",""))))))))))</f>
        <v/>
      </c>
    </row>
    <row r="2445">
      <c r="A2445" s="17">
        <f>IF($B2445="","",ROW()-3)</f>
        <v/>
      </c>
      <c r="B2445" s="18" t="n"/>
      <c r="C2445" s="13" t="n"/>
      <c r="D2445" s="13" t="n"/>
      <c r="E2445" s="13" t="n"/>
      <c r="F2445" s="17">
        <f>IF($E2445="","",IFERROR(VLOOKUP($E2445,类别归属,2,0),"※类别不在基础资料里"))</f>
        <v/>
      </c>
      <c r="G2445" s="13" t="n"/>
      <c r="H2445" s="13" t="n"/>
      <c r="I2445" s="13" t="n"/>
      <c r="J2445" s="14" t="n"/>
      <c r="K2445" s="14" t="n"/>
      <c r="L2445" s="19">
        <f>IF($C2445="","",ROUND(IFERROR(VLOOKUP($C2445,账户期初,2,0),0)+SUMIFS($J$4:J2445,$C$4:C2445,$C2445)-SUMIFS($K$4:K2445,$C$4:C2445,$C2445),2))</f>
        <v/>
      </c>
      <c r="M2445" s="19">
        <f>IF($C2445="","",ROUND(SUM(基础资料!$B$4:$B$13)+SUM($J$4:J2445)-SUM($K$4:K2445),2))</f>
        <v/>
      </c>
      <c r="N2445" s="13" t="n"/>
      <c r="O2445" s="13" t="n"/>
      <c r="P2445" s="17">
        <f>IF($B2445="","",IF($F2445="※类别不在基础资料里","※费用类别不在基础资料里",IF(AND(N($J2445)=0,N($K2445)=0),"※这行没填金额",IF(AND(N($J2445)&gt;0,N($K2445)&gt;0),"※收入和支出不能同一行都填",IF(AND($D2445="收入",N($J2445)=0),"※收入行要填收入金额",IF(AND($D2445="支出",N($K2445)=0),"※支出行要填支出金额",IF(AND($C2445&lt;&gt;"",ISNA(MATCH($C2445,账户表,0))),"※账户不在基础资料里",IF(AND($G2445&lt;&gt;"",ISNA(MATCH($G2445,项目名表,0))),"※项目不在项目台账里",IF(AND(LEFT($F2445,3)="成本-",$G2445=""),"※成本类支出没填项目",IF(AND(LEFT($F2445,3)="成本-",$H2445&lt;&gt;"",N($K2445)&gt;0,COUNTIFS(采购单!$B:$B,$B2445,采购单!$C:$C,$H2445,采购单!$L:$L,$K2445)&gt;0),"※这笔可能和采购单重复了",""))))))))))</f>
        <v/>
      </c>
    </row>
    <row r="2446">
      <c r="A2446" s="17">
        <f>IF($B2446="","",ROW()-3)</f>
        <v/>
      </c>
      <c r="B2446" s="18" t="n"/>
      <c r="C2446" s="13" t="n"/>
      <c r="D2446" s="13" t="n"/>
      <c r="E2446" s="13" t="n"/>
      <c r="F2446" s="17">
        <f>IF($E2446="","",IFERROR(VLOOKUP($E2446,类别归属,2,0),"※类别不在基础资料里"))</f>
        <v/>
      </c>
      <c r="G2446" s="13" t="n"/>
      <c r="H2446" s="13" t="n"/>
      <c r="I2446" s="13" t="n"/>
      <c r="J2446" s="14" t="n"/>
      <c r="K2446" s="14" t="n"/>
      <c r="L2446" s="19">
        <f>IF($C2446="","",ROUND(IFERROR(VLOOKUP($C2446,账户期初,2,0),0)+SUMIFS($J$4:J2446,$C$4:C2446,$C2446)-SUMIFS($K$4:K2446,$C$4:C2446,$C2446),2))</f>
        <v/>
      </c>
      <c r="M2446" s="19">
        <f>IF($C2446="","",ROUND(SUM(基础资料!$B$4:$B$13)+SUM($J$4:J2446)-SUM($K$4:K2446),2))</f>
        <v/>
      </c>
      <c r="N2446" s="13" t="n"/>
      <c r="O2446" s="13" t="n"/>
      <c r="P2446" s="17">
        <f>IF($B2446="","",IF($F2446="※类别不在基础资料里","※费用类别不在基础资料里",IF(AND(N($J2446)=0,N($K2446)=0),"※这行没填金额",IF(AND(N($J2446)&gt;0,N($K2446)&gt;0),"※收入和支出不能同一行都填",IF(AND($D2446="收入",N($J2446)=0),"※收入行要填收入金额",IF(AND($D2446="支出",N($K2446)=0),"※支出行要填支出金额",IF(AND($C2446&lt;&gt;"",ISNA(MATCH($C2446,账户表,0))),"※账户不在基础资料里",IF(AND($G2446&lt;&gt;"",ISNA(MATCH($G2446,项目名表,0))),"※项目不在项目台账里",IF(AND(LEFT($F2446,3)="成本-",$G2446=""),"※成本类支出没填项目",IF(AND(LEFT($F2446,3)="成本-",$H2446&lt;&gt;"",N($K2446)&gt;0,COUNTIFS(采购单!$B:$B,$B2446,采购单!$C:$C,$H2446,采购单!$L:$L,$K2446)&gt;0),"※这笔可能和采购单重复了",""))))))))))</f>
        <v/>
      </c>
    </row>
    <row r="2447">
      <c r="A2447" s="17">
        <f>IF($B2447="","",ROW()-3)</f>
        <v/>
      </c>
      <c r="B2447" s="18" t="n"/>
      <c r="C2447" s="13" t="n"/>
      <c r="D2447" s="13" t="n"/>
      <c r="E2447" s="13" t="n"/>
      <c r="F2447" s="17">
        <f>IF($E2447="","",IFERROR(VLOOKUP($E2447,类别归属,2,0),"※类别不在基础资料里"))</f>
        <v/>
      </c>
      <c r="G2447" s="13" t="n"/>
      <c r="H2447" s="13" t="n"/>
      <c r="I2447" s="13" t="n"/>
      <c r="J2447" s="14" t="n"/>
      <c r="K2447" s="14" t="n"/>
      <c r="L2447" s="19">
        <f>IF($C2447="","",ROUND(IFERROR(VLOOKUP($C2447,账户期初,2,0),0)+SUMIFS($J$4:J2447,$C$4:C2447,$C2447)-SUMIFS($K$4:K2447,$C$4:C2447,$C2447),2))</f>
        <v/>
      </c>
      <c r="M2447" s="19">
        <f>IF($C2447="","",ROUND(SUM(基础资料!$B$4:$B$13)+SUM($J$4:J2447)-SUM($K$4:K2447),2))</f>
        <v/>
      </c>
      <c r="N2447" s="13" t="n"/>
      <c r="O2447" s="13" t="n"/>
      <c r="P2447" s="17">
        <f>IF($B2447="","",IF($F2447="※类别不在基础资料里","※费用类别不在基础资料里",IF(AND(N($J2447)=0,N($K2447)=0),"※这行没填金额",IF(AND(N($J2447)&gt;0,N($K2447)&gt;0),"※收入和支出不能同一行都填",IF(AND($D2447="收入",N($J2447)=0),"※收入行要填收入金额",IF(AND($D2447="支出",N($K2447)=0),"※支出行要填支出金额",IF(AND($C2447&lt;&gt;"",ISNA(MATCH($C2447,账户表,0))),"※账户不在基础资料里",IF(AND($G2447&lt;&gt;"",ISNA(MATCH($G2447,项目名表,0))),"※项目不在项目台账里",IF(AND(LEFT($F2447,3)="成本-",$G2447=""),"※成本类支出没填项目",IF(AND(LEFT($F2447,3)="成本-",$H2447&lt;&gt;"",N($K2447)&gt;0,COUNTIFS(采购单!$B:$B,$B2447,采购单!$C:$C,$H2447,采购单!$L:$L,$K2447)&gt;0),"※这笔可能和采购单重复了",""))))))))))</f>
        <v/>
      </c>
    </row>
    <row r="2448">
      <c r="A2448" s="17">
        <f>IF($B2448="","",ROW()-3)</f>
        <v/>
      </c>
      <c r="B2448" s="18" t="n"/>
      <c r="C2448" s="13" t="n"/>
      <c r="D2448" s="13" t="n"/>
      <c r="E2448" s="13" t="n"/>
      <c r="F2448" s="17">
        <f>IF($E2448="","",IFERROR(VLOOKUP($E2448,类别归属,2,0),"※类别不在基础资料里"))</f>
        <v/>
      </c>
      <c r="G2448" s="13" t="n"/>
      <c r="H2448" s="13" t="n"/>
      <c r="I2448" s="13" t="n"/>
      <c r="J2448" s="14" t="n"/>
      <c r="K2448" s="14" t="n"/>
      <c r="L2448" s="19">
        <f>IF($C2448="","",ROUND(IFERROR(VLOOKUP($C2448,账户期初,2,0),0)+SUMIFS($J$4:J2448,$C$4:C2448,$C2448)-SUMIFS($K$4:K2448,$C$4:C2448,$C2448),2))</f>
        <v/>
      </c>
      <c r="M2448" s="19">
        <f>IF($C2448="","",ROUND(SUM(基础资料!$B$4:$B$13)+SUM($J$4:J2448)-SUM($K$4:K2448),2))</f>
        <v/>
      </c>
      <c r="N2448" s="13" t="n"/>
      <c r="O2448" s="13" t="n"/>
      <c r="P2448" s="17">
        <f>IF($B2448="","",IF($F2448="※类别不在基础资料里","※费用类别不在基础资料里",IF(AND(N($J2448)=0,N($K2448)=0),"※这行没填金额",IF(AND(N($J2448)&gt;0,N($K2448)&gt;0),"※收入和支出不能同一行都填",IF(AND($D2448="收入",N($J2448)=0),"※收入行要填收入金额",IF(AND($D2448="支出",N($K2448)=0),"※支出行要填支出金额",IF(AND($C2448&lt;&gt;"",ISNA(MATCH($C2448,账户表,0))),"※账户不在基础资料里",IF(AND($G2448&lt;&gt;"",ISNA(MATCH($G2448,项目名表,0))),"※项目不在项目台账里",IF(AND(LEFT($F2448,3)="成本-",$G2448=""),"※成本类支出没填项目",IF(AND(LEFT($F2448,3)="成本-",$H2448&lt;&gt;"",N($K2448)&gt;0,COUNTIFS(采购单!$B:$B,$B2448,采购单!$C:$C,$H2448,采购单!$L:$L,$K2448)&gt;0),"※这笔可能和采购单重复了",""))))))))))</f>
        <v/>
      </c>
    </row>
    <row r="2449">
      <c r="A2449" s="17">
        <f>IF($B2449="","",ROW()-3)</f>
        <v/>
      </c>
      <c r="B2449" s="18" t="n"/>
      <c r="C2449" s="13" t="n"/>
      <c r="D2449" s="13" t="n"/>
      <c r="E2449" s="13" t="n"/>
      <c r="F2449" s="17">
        <f>IF($E2449="","",IFERROR(VLOOKUP($E2449,类别归属,2,0),"※类别不在基础资料里"))</f>
        <v/>
      </c>
      <c r="G2449" s="13" t="n"/>
      <c r="H2449" s="13" t="n"/>
      <c r="I2449" s="13" t="n"/>
      <c r="J2449" s="14" t="n"/>
      <c r="K2449" s="14" t="n"/>
      <c r="L2449" s="19">
        <f>IF($C2449="","",ROUND(IFERROR(VLOOKUP($C2449,账户期初,2,0),0)+SUMIFS($J$4:J2449,$C$4:C2449,$C2449)-SUMIFS($K$4:K2449,$C$4:C2449,$C2449),2))</f>
        <v/>
      </c>
      <c r="M2449" s="19">
        <f>IF($C2449="","",ROUND(SUM(基础资料!$B$4:$B$13)+SUM($J$4:J2449)-SUM($K$4:K2449),2))</f>
        <v/>
      </c>
      <c r="N2449" s="13" t="n"/>
      <c r="O2449" s="13" t="n"/>
      <c r="P2449" s="17">
        <f>IF($B2449="","",IF($F2449="※类别不在基础资料里","※费用类别不在基础资料里",IF(AND(N($J2449)=0,N($K2449)=0),"※这行没填金额",IF(AND(N($J2449)&gt;0,N($K2449)&gt;0),"※收入和支出不能同一行都填",IF(AND($D2449="收入",N($J2449)=0),"※收入行要填收入金额",IF(AND($D2449="支出",N($K2449)=0),"※支出行要填支出金额",IF(AND($C2449&lt;&gt;"",ISNA(MATCH($C2449,账户表,0))),"※账户不在基础资料里",IF(AND($G2449&lt;&gt;"",ISNA(MATCH($G2449,项目名表,0))),"※项目不在项目台账里",IF(AND(LEFT($F2449,3)="成本-",$G2449=""),"※成本类支出没填项目",IF(AND(LEFT($F2449,3)="成本-",$H2449&lt;&gt;"",N($K2449)&gt;0,COUNTIFS(采购单!$B:$B,$B2449,采购单!$C:$C,$H2449,采购单!$L:$L,$K2449)&gt;0),"※这笔可能和采购单重复了",""))))))))))</f>
        <v/>
      </c>
    </row>
    <row r="2450">
      <c r="A2450" s="17">
        <f>IF($B2450="","",ROW()-3)</f>
        <v/>
      </c>
      <c r="B2450" s="18" t="n"/>
      <c r="C2450" s="13" t="n"/>
      <c r="D2450" s="13" t="n"/>
      <c r="E2450" s="13" t="n"/>
      <c r="F2450" s="17">
        <f>IF($E2450="","",IFERROR(VLOOKUP($E2450,类别归属,2,0),"※类别不在基础资料里"))</f>
        <v/>
      </c>
      <c r="G2450" s="13" t="n"/>
      <c r="H2450" s="13" t="n"/>
      <c r="I2450" s="13" t="n"/>
      <c r="J2450" s="14" t="n"/>
      <c r="K2450" s="14" t="n"/>
      <c r="L2450" s="19">
        <f>IF($C2450="","",ROUND(IFERROR(VLOOKUP($C2450,账户期初,2,0),0)+SUMIFS($J$4:J2450,$C$4:C2450,$C2450)-SUMIFS($K$4:K2450,$C$4:C2450,$C2450),2))</f>
        <v/>
      </c>
      <c r="M2450" s="19">
        <f>IF($C2450="","",ROUND(SUM(基础资料!$B$4:$B$13)+SUM($J$4:J2450)-SUM($K$4:K2450),2))</f>
        <v/>
      </c>
      <c r="N2450" s="13" t="n"/>
      <c r="O2450" s="13" t="n"/>
      <c r="P2450" s="17">
        <f>IF($B2450="","",IF($F2450="※类别不在基础资料里","※费用类别不在基础资料里",IF(AND(N($J2450)=0,N($K2450)=0),"※这行没填金额",IF(AND(N($J2450)&gt;0,N($K2450)&gt;0),"※收入和支出不能同一行都填",IF(AND($D2450="收入",N($J2450)=0),"※收入行要填收入金额",IF(AND($D2450="支出",N($K2450)=0),"※支出行要填支出金额",IF(AND($C2450&lt;&gt;"",ISNA(MATCH($C2450,账户表,0))),"※账户不在基础资料里",IF(AND($G2450&lt;&gt;"",ISNA(MATCH($G2450,项目名表,0))),"※项目不在项目台账里",IF(AND(LEFT($F2450,3)="成本-",$G2450=""),"※成本类支出没填项目",IF(AND(LEFT($F2450,3)="成本-",$H2450&lt;&gt;"",N($K2450)&gt;0,COUNTIFS(采购单!$B:$B,$B2450,采购单!$C:$C,$H2450,采购单!$L:$L,$K2450)&gt;0),"※这笔可能和采购单重复了",""))))))))))</f>
        <v/>
      </c>
    </row>
    <row r="2451">
      <c r="A2451" s="17">
        <f>IF($B2451="","",ROW()-3)</f>
        <v/>
      </c>
      <c r="B2451" s="18" t="n"/>
      <c r="C2451" s="13" t="n"/>
      <c r="D2451" s="13" t="n"/>
      <c r="E2451" s="13" t="n"/>
      <c r="F2451" s="17">
        <f>IF($E2451="","",IFERROR(VLOOKUP($E2451,类别归属,2,0),"※类别不在基础资料里"))</f>
        <v/>
      </c>
      <c r="G2451" s="13" t="n"/>
      <c r="H2451" s="13" t="n"/>
      <c r="I2451" s="13" t="n"/>
      <c r="J2451" s="14" t="n"/>
      <c r="K2451" s="14" t="n"/>
      <c r="L2451" s="19">
        <f>IF($C2451="","",ROUND(IFERROR(VLOOKUP($C2451,账户期初,2,0),0)+SUMIFS($J$4:J2451,$C$4:C2451,$C2451)-SUMIFS($K$4:K2451,$C$4:C2451,$C2451),2))</f>
        <v/>
      </c>
      <c r="M2451" s="19">
        <f>IF($C2451="","",ROUND(SUM(基础资料!$B$4:$B$13)+SUM($J$4:J2451)-SUM($K$4:K2451),2))</f>
        <v/>
      </c>
      <c r="N2451" s="13" t="n"/>
      <c r="O2451" s="13" t="n"/>
      <c r="P2451" s="17">
        <f>IF($B2451="","",IF($F2451="※类别不在基础资料里","※费用类别不在基础资料里",IF(AND(N($J2451)=0,N($K2451)=0),"※这行没填金额",IF(AND(N($J2451)&gt;0,N($K2451)&gt;0),"※收入和支出不能同一行都填",IF(AND($D2451="收入",N($J2451)=0),"※收入行要填收入金额",IF(AND($D2451="支出",N($K2451)=0),"※支出行要填支出金额",IF(AND($C2451&lt;&gt;"",ISNA(MATCH($C2451,账户表,0))),"※账户不在基础资料里",IF(AND($G2451&lt;&gt;"",ISNA(MATCH($G2451,项目名表,0))),"※项目不在项目台账里",IF(AND(LEFT($F2451,3)="成本-",$G2451=""),"※成本类支出没填项目",IF(AND(LEFT($F2451,3)="成本-",$H2451&lt;&gt;"",N($K2451)&gt;0,COUNTIFS(采购单!$B:$B,$B2451,采购单!$C:$C,$H2451,采购单!$L:$L,$K2451)&gt;0),"※这笔可能和采购单重复了",""))))))))))</f>
        <v/>
      </c>
    </row>
    <row r="2452">
      <c r="A2452" s="17">
        <f>IF($B2452="","",ROW()-3)</f>
        <v/>
      </c>
      <c r="B2452" s="18" t="n"/>
      <c r="C2452" s="13" t="n"/>
      <c r="D2452" s="13" t="n"/>
      <c r="E2452" s="13" t="n"/>
      <c r="F2452" s="17">
        <f>IF($E2452="","",IFERROR(VLOOKUP($E2452,类别归属,2,0),"※类别不在基础资料里"))</f>
        <v/>
      </c>
      <c r="G2452" s="13" t="n"/>
      <c r="H2452" s="13" t="n"/>
      <c r="I2452" s="13" t="n"/>
      <c r="J2452" s="14" t="n"/>
      <c r="K2452" s="14" t="n"/>
      <c r="L2452" s="19">
        <f>IF($C2452="","",ROUND(IFERROR(VLOOKUP($C2452,账户期初,2,0),0)+SUMIFS($J$4:J2452,$C$4:C2452,$C2452)-SUMIFS($K$4:K2452,$C$4:C2452,$C2452),2))</f>
        <v/>
      </c>
      <c r="M2452" s="19">
        <f>IF($C2452="","",ROUND(SUM(基础资料!$B$4:$B$13)+SUM($J$4:J2452)-SUM($K$4:K2452),2))</f>
        <v/>
      </c>
      <c r="N2452" s="13" t="n"/>
      <c r="O2452" s="13" t="n"/>
      <c r="P2452" s="17">
        <f>IF($B2452="","",IF($F2452="※类别不在基础资料里","※费用类别不在基础资料里",IF(AND(N($J2452)=0,N($K2452)=0),"※这行没填金额",IF(AND(N($J2452)&gt;0,N($K2452)&gt;0),"※收入和支出不能同一行都填",IF(AND($D2452="收入",N($J2452)=0),"※收入行要填收入金额",IF(AND($D2452="支出",N($K2452)=0),"※支出行要填支出金额",IF(AND($C2452&lt;&gt;"",ISNA(MATCH($C2452,账户表,0))),"※账户不在基础资料里",IF(AND($G2452&lt;&gt;"",ISNA(MATCH($G2452,项目名表,0))),"※项目不在项目台账里",IF(AND(LEFT($F2452,3)="成本-",$G2452=""),"※成本类支出没填项目",IF(AND(LEFT($F2452,3)="成本-",$H2452&lt;&gt;"",N($K2452)&gt;0,COUNTIFS(采购单!$B:$B,$B2452,采购单!$C:$C,$H2452,采购单!$L:$L,$K2452)&gt;0),"※这笔可能和采购单重复了",""))))))))))</f>
        <v/>
      </c>
    </row>
    <row r="2453">
      <c r="A2453" s="17">
        <f>IF($B2453="","",ROW()-3)</f>
        <v/>
      </c>
      <c r="B2453" s="18" t="n"/>
      <c r="C2453" s="13" t="n"/>
      <c r="D2453" s="13" t="n"/>
      <c r="E2453" s="13" t="n"/>
      <c r="F2453" s="17">
        <f>IF($E2453="","",IFERROR(VLOOKUP($E2453,类别归属,2,0),"※类别不在基础资料里"))</f>
        <v/>
      </c>
      <c r="G2453" s="13" t="n"/>
      <c r="H2453" s="13" t="n"/>
      <c r="I2453" s="13" t="n"/>
      <c r="J2453" s="14" t="n"/>
      <c r="K2453" s="14" t="n"/>
      <c r="L2453" s="19">
        <f>IF($C2453="","",ROUND(IFERROR(VLOOKUP($C2453,账户期初,2,0),0)+SUMIFS($J$4:J2453,$C$4:C2453,$C2453)-SUMIFS($K$4:K2453,$C$4:C2453,$C2453),2))</f>
        <v/>
      </c>
      <c r="M2453" s="19">
        <f>IF($C2453="","",ROUND(SUM(基础资料!$B$4:$B$13)+SUM($J$4:J2453)-SUM($K$4:K2453),2))</f>
        <v/>
      </c>
      <c r="N2453" s="13" t="n"/>
      <c r="O2453" s="13" t="n"/>
      <c r="P2453" s="17">
        <f>IF($B2453="","",IF($F2453="※类别不在基础资料里","※费用类别不在基础资料里",IF(AND(N($J2453)=0,N($K2453)=0),"※这行没填金额",IF(AND(N($J2453)&gt;0,N($K2453)&gt;0),"※收入和支出不能同一行都填",IF(AND($D2453="收入",N($J2453)=0),"※收入行要填收入金额",IF(AND($D2453="支出",N($K2453)=0),"※支出行要填支出金额",IF(AND($C2453&lt;&gt;"",ISNA(MATCH($C2453,账户表,0))),"※账户不在基础资料里",IF(AND($G2453&lt;&gt;"",ISNA(MATCH($G2453,项目名表,0))),"※项目不在项目台账里",IF(AND(LEFT($F2453,3)="成本-",$G2453=""),"※成本类支出没填项目",IF(AND(LEFT($F2453,3)="成本-",$H2453&lt;&gt;"",N($K2453)&gt;0,COUNTIFS(采购单!$B:$B,$B2453,采购单!$C:$C,$H2453,采购单!$L:$L,$K2453)&gt;0),"※这笔可能和采购单重复了",""))))))))))</f>
        <v/>
      </c>
    </row>
    <row r="2454">
      <c r="A2454" s="17">
        <f>IF($B2454="","",ROW()-3)</f>
        <v/>
      </c>
      <c r="B2454" s="18" t="n"/>
      <c r="C2454" s="13" t="n"/>
      <c r="D2454" s="13" t="n"/>
      <c r="E2454" s="13" t="n"/>
      <c r="F2454" s="17">
        <f>IF($E2454="","",IFERROR(VLOOKUP($E2454,类别归属,2,0),"※类别不在基础资料里"))</f>
        <v/>
      </c>
      <c r="G2454" s="13" t="n"/>
      <c r="H2454" s="13" t="n"/>
      <c r="I2454" s="13" t="n"/>
      <c r="J2454" s="14" t="n"/>
      <c r="K2454" s="14" t="n"/>
      <c r="L2454" s="19">
        <f>IF($C2454="","",ROUND(IFERROR(VLOOKUP($C2454,账户期初,2,0),0)+SUMIFS($J$4:J2454,$C$4:C2454,$C2454)-SUMIFS($K$4:K2454,$C$4:C2454,$C2454),2))</f>
        <v/>
      </c>
      <c r="M2454" s="19">
        <f>IF($C2454="","",ROUND(SUM(基础资料!$B$4:$B$13)+SUM($J$4:J2454)-SUM($K$4:K2454),2))</f>
        <v/>
      </c>
      <c r="N2454" s="13" t="n"/>
      <c r="O2454" s="13" t="n"/>
      <c r="P2454" s="17">
        <f>IF($B2454="","",IF($F2454="※类别不在基础资料里","※费用类别不在基础资料里",IF(AND(N($J2454)=0,N($K2454)=0),"※这行没填金额",IF(AND(N($J2454)&gt;0,N($K2454)&gt;0),"※收入和支出不能同一行都填",IF(AND($D2454="收入",N($J2454)=0),"※收入行要填收入金额",IF(AND($D2454="支出",N($K2454)=0),"※支出行要填支出金额",IF(AND($C2454&lt;&gt;"",ISNA(MATCH($C2454,账户表,0))),"※账户不在基础资料里",IF(AND($G2454&lt;&gt;"",ISNA(MATCH($G2454,项目名表,0))),"※项目不在项目台账里",IF(AND(LEFT($F2454,3)="成本-",$G2454=""),"※成本类支出没填项目",IF(AND(LEFT($F2454,3)="成本-",$H2454&lt;&gt;"",N($K2454)&gt;0,COUNTIFS(采购单!$B:$B,$B2454,采购单!$C:$C,$H2454,采购单!$L:$L,$K2454)&gt;0),"※这笔可能和采购单重复了",""))))))))))</f>
        <v/>
      </c>
    </row>
    <row r="2455">
      <c r="A2455" s="17">
        <f>IF($B2455="","",ROW()-3)</f>
        <v/>
      </c>
      <c r="B2455" s="18" t="n"/>
      <c r="C2455" s="13" t="n"/>
      <c r="D2455" s="13" t="n"/>
      <c r="E2455" s="13" t="n"/>
      <c r="F2455" s="17">
        <f>IF($E2455="","",IFERROR(VLOOKUP($E2455,类别归属,2,0),"※类别不在基础资料里"))</f>
        <v/>
      </c>
      <c r="G2455" s="13" t="n"/>
      <c r="H2455" s="13" t="n"/>
      <c r="I2455" s="13" t="n"/>
      <c r="J2455" s="14" t="n"/>
      <c r="K2455" s="14" t="n"/>
      <c r="L2455" s="19">
        <f>IF($C2455="","",ROUND(IFERROR(VLOOKUP($C2455,账户期初,2,0),0)+SUMIFS($J$4:J2455,$C$4:C2455,$C2455)-SUMIFS($K$4:K2455,$C$4:C2455,$C2455),2))</f>
        <v/>
      </c>
      <c r="M2455" s="19">
        <f>IF($C2455="","",ROUND(SUM(基础资料!$B$4:$B$13)+SUM($J$4:J2455)-SUM($K$4:K2455),2))</f>
        <v/>
      </c>
      <c r="N2455" s="13" t="n"/>
      <c r="O2455" s="13" t="n"/>
      <c r="P2455" s="17">
        <f>IF($B2455="","",IF($F2455="※类别不在基础资料里","※费用类别不在基础资料里",IF(AND(N($J2455)=0,N($K2455)=0),"※这行没填金额",IF(AND(N($J2455)&gt;0,N($K2455)&gt;0),"※收入和支出不能同一行都填",IF(AND($D2455="收入",N($J2455)=0),"※收入行要填收入金额",IF(AND($D2455="支出",N($K2455)=0),"※支出行要填支出金额",IF(AND($C2455&lt;&gt;"",ISNA(MATCH($C2455,账户表,0))),"※账户不在基础资料里",IF(AND($G2455&lt;&gt;"",ISNA(MATCH($G2455,项目名表,0))),"※项目不在项目台账里",IF(AND(LEFT($F2455,3)="成本-",$G2455=""),"※成本类支出没填项目",IF(AND(LEFT($F2455,3)="成本-",$H2455&lt;&gt;"",N($K2455)&gt;0,COUNTIFS(采购单!$B:$B,$B2455,采购单!$C:$C,$H2455,采购单!$L:$L,$K2455)&gt;0),"※这笔可能和采购单重复了",""))))))))))</f>
        <v/>
      </c>
    </row>
    <row r="2456">
      <c r="A2456" s="17">
        <f>IF($B2456="","",ROW()-3)</f>
        <v/>
      </c>
      <c r="B2456" s="18" t="n"/>
      <c r="C2456" s="13" t="n"/>
      <c r="D2456" s="13" t="n"/>
      <c r="E2456" s="13" t="n"/>
      <c r="F2456" s="17">
        <f>IF($E2456="","",IFERROR(VLOOKUP($E2456,类别归属,2,0),"※类别不在基础资料里"))</f>
        <v/>
      </c>
      <c r="G2456" s="13" t="n"/>
      <c r="H2456" s="13" t="n"/>
      <c r="I2456" s="13" t="n"/>
      <c r="J2456" s="14" t="n"/>
      <c r="K2456" s="14" t="n"/>
      <c r="L2456" s="19">
        <f>IF($C2456="","",ROUND(IFERROR(VLOOKUP($C2456,账户期初,2,0),0)+SUMIFS($J$4:J2456,$C$4:C2456,$C2456)-SUMIFS($K$4:K2456,$C$4:C2456,$C2456),2))</f>
        <v/>
      </c>
      <c r="M2456" s="19">
        <f>IF($C2456="","",ROUND(SUM(基础资料!$B$4:$B$13)+SUM($J$4:J2456)-SUM($K$4:K2456),2))</f>
        <v/>
      </c>
      <c r="N2456" s="13" t="n"/>
      <c r="O2456" s="13" t="n"/>
      <c r="P2456" s="17">
        <f>IF($B2456="","",IF($F2456="※类别不在基础资料里","※费用类别不在基础资料里",IF(AND(N($J2456)=0,N($K2456)=0),"※这行没填金额",IF(AND(N($J2456)&gt;0,N($K2456)&gt;0),"※收入和支出不能同一行都填",IF(AND($D2456="收入",N($J2456)=0),"※收入行要填收入金额",IF(AND($D2456="支出",N($K2456)=0),"※支出行要填支出金额",IF(AND($C2456&lt;&gt;"",ISNA(MATCH($C2456,账户表,0))),"※账户不在基础资料里",IF(AND($G2456&lt;&gt;"",ISNA(MATCH($G2456,项目名表,0))),"※项目不在项目台账里",IF(AND(LEFT($F2456,3)="成本-",$G2456=""),"※成本类支出没填项目",IF(AND(LEFT($F2456,3)="成本-",$H2456&lt;&gt;"",N($K2456)&gt;0,COUNTIFS(采购单!$B:$B,$B2456,采购单!$C:$C,$H2456,采购单!$L:$L,$K2456)&gt;0),"※这笔可能和采购单重复了",""))))))))))</f>
        <v/>
      </c>
    </row>
    <row r="2457">
      <c r="A2457" s="17">
        <f>IF($B2457="","",ROW()-3)</f>
        <v/>
      </c>
      <c r="B2457" s="18" t="n"/>
      <c r="C2457" s="13" t="n"/>
      <c r="D2457" s="13" t="n"/>
      <c r="E2457" s="13" t="n"/>
      <c r="F2457" s="17">
        <f>IF($E2457="","",IFERROR(VLOOKUP($E2457,类别归属,2,0),"※类别不在基础资料里"))</f>
        <v/>
      </c>
      <c r="G2457" s="13" t="n"/>
      <c r="H2457" s="13" t="n"/>
      <c r="I2457" s="13" t="n"/>
      <c r="J2457" s="14" t="n"/>
      <c r="K2457" s="14" t="n"/>
      <c r="L2457" s="19">
        <f>IF($C2457="","",ROUND(IFERROR(VLOOKUP($C2457,账户期初,2,0),0)+SUMIFS($J$4:J2457,$C$4:C2457,$C2457)-SUMIFS($K$4:K2457,$C$4:C2457,$C2457),2))</f>
        <v/>
      </c>
      <c r="M2457" s="19">
        <f>IF($C2457="","",ROUND(SUM(基础资料!$B$4:$B$13)+SUM($J$4:J2457)-SUM($K$4:K2457),2))</f>
        <v/>
      </c>
      <c r="N2457" s="13" t="n"/>
      <c r="O2457" s="13" t="n"/>
      <c r="P2457" s="17">
        <f>IF($B2457="","",IF($F2457="※类别不在基础资料里","※费用类别不在基础资料里",IF(AND(N($J2457)=0,N($K2457)=0),"※这行没填金额",IF(AND(N($J2457)&gt;0,N($K2457)&gt;0),"※收入和支出不能同一行都填",IF(AND($D2457="收入",N($J2457)=0),"※收入行要填收入金额",IF(AND($D2457="支出",N($K2457)=0),"※支出行要填支出金额",IF(AND($C2457&lt;&gt;"",ISNA(MATCH($C2457,账户表,0))),"※账户不在基础资料里",IF(AND($G2457&lt;&gt;"",ISNA(MATCH($G2457,项目名表,0))),"※项目不在项目台账里",IF(AND(LEFT($F2457,3)="成本-",$G2457=""),"※成本类支出没填项目",IF(AND(LEFT($F2457,3)="成本-",$H2457&lt;&gt;"",N($K2457)&gt;0,COUNTIFS(采购单!$B:$B,$B2457,采购单!$C:$C,$H2457,采购单!$L:$L,$K2457)&gt;0),"※这笔可能和采购单重复了",""))))))))))</f>
        <v/>
      </c>
    </row>
    <row r="2458">
      <c r="A2458" s="17">
        <f>IF($B2458="","",ROW()-3)</f>
        <v/>
      </c>
      <c r="B2458" s="18" t="n"/>
      <c r="C2458" s="13" t="n"/>
      <c r="D2458" s="13" t="n"/>
      <c r="E2458" s="13" t="n"/>
      <c r="F2458" s="17">
        <f>IF($E2458="","",IFERROR(VLOOKUP($E2458,类别归属,2,0),"※类别不在基础资料里"))</f>
        <v/>
      </c>
      <c r="G2458" s="13" t="n"/>
      <c r="H2458" s="13" t="n"/>
      <c r="I2458" s="13" t="n"/>
      <c r="J2458" s="14" t="n"/>
      <c r="K2458" s="14" t="n"/>
      <c r="L2458" s="19">
        <f>IF($C2458="","",ROUND(IFERROR(VLOOKUP($C2458,账户期初,2,0),0)+SUMIFS($J$4:J2458,$C$4:C2458,$C2458)-SUMIFS($K$4:K2458,$C$4:C2458,$C2458),2))</f>
        <v/>
      </c>
      <c r="M2458" s="19">
        <f>IF($C2458="","",ROUND(SUM(基础资料!$B$4:$B$13)+SUM($J$4:J2458)-SUM($K$4:K2458),2))</f>
        <v/>
      </c>
      <c r="N2458" s="13" t="n"/>
      <c r="O2458" s="13" t="n"/>
      <c r="P2458" s="17">
        <f>IF($B2458="","",IF($F2458="※类别不在基础资料里","※费用类别不在基础资料里",IF(AND(N($J2458)=0,N($K2458)=0),"※这行没填金额",IF(AND(N($J2458)&gt;0,N($K2458)&gt;0),"※收入和支出不能同一行都填",IF(AND($D2458="收入",N($J2458)=0),"※收入行要填收入金额",IF(AND($D2458="支出",N($K2458)=0),"※支出行要填支出金额",IF(AND($C2458&lt;&gt;"",ISNA(MATCH($C2458,账户表,0))),"※账户不在基础资料里",IF(AND($G2458&lt;&gt;"",ISNA(MATCH($G2458,项目名表,0))),"※项目不在项目台账里",IF(AND(LEFT($F2458,3)="成本-",$G2458=""),"※成本类支出没填项目",IF(AND(LEFT($F2458,3)="成本-",$H2458&lt;&gt;"",N($K2458)&gt;0,COUNTIFS(采购单!$B:$B,$B2458,采购单!$C:$C,$H2458,采购单!$L:$L,$K2458)&gt;0),"※这笔可能和采购单重复了",""))))))))))</f>
        <v/>
      </c>
    </row>
    <row r="2459">
      <c r="A2459" s="17">
        <f>IF($B2459="","",ROW()-3)</f>
        <v/>
      </c>
      <c r="B2459" s="18" t="n"/>
      <c r="C2459" s="13" t="n"/>
      <c r="D2459" s="13" t="n"/>
      <c r="E2459" s="13" t="n"/>
      <c r="F2459" s="17">
        <f>IF($E2459="","",IFERROR(VLOOKUP($E2459,类别归属,2,0),"※类别不在基础资料里"))</f>
        <v/>
      </c>
      <c r="G2459" s="13" t="n"/>
      <c r="H2459" s="13" t="n"/>
      <c r="I2459" s="13" t="n"/>
      <c r="J2459" s="14" t="n"/>
      <c r="K2459" s="14" t="n"/>
      <c r="L2459" s="19">
        <f>IF($C2459="","",ROUND(IFERROR(VLOOKUP($C2459,账户期初,2,0),0)+SUMIFS($J$4:J2459,$C$4:C2459,$C2459)-SUMIFS($K$4:K2459,$C$4:C2459,$C2459),2))</f>
        <v/>
      </c>
      <c r="M2459" s="19">
        <f>IF($C2459="","",ROUND(SUM(基础资料!$B$4:$B$13)+SUM($J$4:J2459)-SUM($K$4:K2459),2))</f>
        <v/>
      </c>
      <c r="N2459" s="13" t="n"/>
      <c r="O2459" s="13" t="n"/>
      <c r="P2459" s="17">
        <f>IF($B2459="","",IF($F2459="※类别不在基础资料里","※费用类别不在基础资料里",IF(AND(N($J2459)=0,N($K2459)=0),"※这行没填金额",IF(AND(N($J2459)&gt;0,N($K2459)&gt;0),"※收入和支出不能同一行都填",IF(AND($D2459="收入",N($J2459)=0),"※收入行要填收入金额",IF(AND($D2459="支出",N($K2459)=0),"※支出行要填支出金额",IF(AND($C2459&lt;&gt;"",ISNA(MATCH($C2459,账户表,0))),"※账户不在基础资料里",IF(AND($G2459&lt;&gt;"",ISNA(MATCH($G2459,项目名表,0))),"※项目不在项目台账里",IF(AND(LEFT($F2459,3)="成本-",$G2459=""),"※成本类支出没填项目",IF(AND(LEFT($F2459,3)="成本-",$H2459&lt;&gt;"",N($K2459)&gt;0,COUNTIFS(采购单!$B:$B,$B2459,采购单!$C:$C,$H2459,采购单!$L:$L,$K2459)&gt;0),"※这笔可能和采购单重复了",""))))))))))</f>
        <v/>
      </c>
    </row>
    <row r="2460">
      <c r="A2460" s="17">
        <f>IF($B2460="","",ROW()-3)</f>
        <v/>
      </c>
      <c r="B2460" s="18" t="n"/>
      <c r="C2460" s="13" t="n"/>
      <c r="D2460" s="13" t="n"/>
      <c r="E2460" s="13" t="n"/>
      <c r="F2460" s="17">
        <f>IF($E2460="","",IFERROR(VLOOKUP($E2460,类别归属,2,0),"※类别不在基础资料里"))</f>
        <v/>
      </c>
      <c r="G2460" s="13" t="n"/>
      <c r="H2460" s="13" t="n"/>
      <c r="I2460" s="13" t="n"/>
      <c r="J2460" s="14" t="n"/>
      <c r="K2460" s="14" t="n"/>
      <c r="L2460" s="19">
        <f>IF($C2460="","",ROUND(IFERROR(VLOOKUP($C2460,账户期初,2,0),0)+SUMIFS($J$4:J2460,$C$4:C2460,$C2460)-SUMIFS($K$4:K2460,$C$4:C2460,$C2460),2))</f>
        <v/>
      </c>
      <c r="M2460" s="19">
        <f>IF($C2460="","",ROUND(SUM(基础资料!$B$4:$B$13)+SUM($J$4:J2460)-SUM($K$4:K2460),2))</f>
        <v/>
      </c>
      <c r="N2460" s="13" t="n"/>
      <c r="O2460" s="13" t="n"/>
      <c r="P2460" s="17">
        <f>IF($B2460="","",IF($F2460="※类别不在基础资料里","※费用类别不在基础资料里",IF(AND(N($J2460)=0,N($K2460)=0),"※这行没填金额",IF(AND(N($J2460)&gt;0,N($K2460)&gt;0),"※收入和支出不能同一行都填",IF(AND($D2460="收入",N($J2460)=0),"※收入行要填收入金额",IF(AND($D2460="支出",N($K2460)=0),"※支出行要填支出金额",IF(AND($C2460&lt;&gt;"",ISNA(MATCH($C2460,账户表,0))),"※账户不在基础资料里",IF(AND($G2460&lt;&gt;"",ISNA(MATCH($G2460,项目名表,0))),"※项目不在项目台账里",IF(AND(LEFT($F2460,3)="成本-",$G2460=""),"※成本类支出没填项目",IF(AND(LEFT($F2460,3)="成本-",$H2460&lt;&gt;"",N($K2460)&gt;0,COUNTIFS(采购单!$B:$B,$B2460,采购单!$C:$C,$H2460,采购单!$L:$L,$K2460)&gt;0),"※这笔可能和采购单重复了",""))))))))))</f>
        <v/>
      </c>
    </row>
    <row r="2461">
      <c r="A2461" s="17">
        <f>IF($B2461="","",ROW()-3)</f>
        <v/>
      </c>
      <c r="B2461" s="18" t="n"/>
      <c r="C2461" s="13" t="n"/>
      <c r="D2461" s="13" t="n"/>
      <c r="E2461" s="13" t="n"/>
      <c r="F2461" s="17">
        <f>IF($E2461="","",IFERROR(VLOOKUP($E2461,类别归属,2,0),"※类别不在基础资料里"))</f>
        <v/>
      </c>
      <c r="G2461" s="13" t="n"/>
      <c r="H2461" s="13" t="n"/>
      <c r="I2461" s="13" t="n"/>
      <c r="J2461" s="14" t="n"/>
      <c r="K2461" s="14" t="n"/>
      <c r="L2461" s="19">
        <f>IF($C2461="","",ROUND(IFERROR(VLOOKUP($C2461,账户期初,2,0),0)+SUMIFS($J$4:J2461,$C$4:C2461,$C2461)-SUMIFS($K$4:K2461,$C$4:C2461,$C2461),2))</f>
        <v/>
      </c>
      <c r="M2461" s="19">
        <f>IF($C2461="","",ROUND(SUM(基础资料!$B$4:$B$13)+SUM($J$4:J2461)-SUM($K$4:K2461),2))</f>
        <v/>
      </c>
      <c r="N2461" s="13" t="n"/>
      <c r="O2461" s="13" t="n"/>
      <c r="P2461" s="17">
        <f>IF($B2461="","",IF($F2461="※类别不在基础资料里","※费用类别不在基础资料里",IF(AND(N($J2461)=0,N($K2461)=0),"※这行没填金额",IF(AND(N($J2461)&gt;0,N($K2461)&gt;0),"※收入和支出不能同一行都填",IF(AND($D2461="收入",N($J2461)=0),"※收入行要填收入金额",IF(AND($D2461="支出",N($K2461)=0),"※支出行要填支出金额",IF(AND($C2461&lt;&gt;"",ISNA(MATCH($C2461,账户表,0))),"※账户不在基础资料里",IF(AND($G2461&lt;&gt;"",ISNA(MATCH($G2461,项目名表,0))),"※项目不在项目台账里",IF(AND(LEFT($F2461,3)="成本-",$G2461=""),"※成本类支出没填项目",IF(AND(LEFT($F2461,3)="成本-",$H2461&lt;&gt;"",N($K2461)&gt;0,COUNTIFS(采购单!$B:$B,$B2461,采购单!$C:$C,$H2461,采购单!$L:$L,$K2461)&gt;0),"※这笔可能和采购单重复了",""))))))))))</f>
        <v/>
      </c>
    </row>
    <row r="2462">
      <c r="A2462" s="17">
        <f>IF($B2462="","",ROW()-3)</f>
        <v/>
      </c>
      <c r="B2462" s="18" t="n"/>
      <c r="C2462" s="13" t="n"/>
      <c r="D2462" s="13" t="n"/>
      <c r="E2462" s="13" t="n"/>
      <c r="F2462" s="17">
        <f>IF($E2462="","",IFERROR(VLOOKUP($E2462,类别归属,2,0),"※类别不在基础资料里"))</f>
        <v/>
      </c>
      <c r="G2462" s="13" t="n"/>
      <c r="H2462" s="13" t="n"/>
      <c r="I2462" s="13" t="n"/>
      <c r="J2462" s="14" t="n"/>
      <c r="K2462" s="14" t="n"/>
      <c r="L2462" s="19">
        <f>IF($C2462="","",ROUND(IFERROR(VLOOKUP($C2462,账户期初,2,0),0)+SUMIFS($J$4:J2462,$C$4:C2462,$C2462)-SUMIFS($K$4:K2462,$C$4:C2462,$C2462),2))</f>
        <v/>
      </c>
      <c r="M2462" s="19">
        <f>IF($C2462="","",ROUND(SUM(基础资料!$B$4:$B$13)+SUM($J$4:J2462)-SUM($K$4:K2462),2))</f>
        <v/>
      </c>
      <c r="N2462" s="13" t="n"/>
      <c r="O2462" s="13" t="n"/>
      <c r="P2462" s="17">
        <f>IF($B2462="","",IF($F2462="※类别不在基础资料里","※费用类别不在基础资料里",IF(AND(N($J2462)=0,N($K2462)=0),"※这行没填金额",IF(AND(N($J2462)&gt;0,N($K2462)&gt;0),"※收入和支出不能同一行都填",IF(AND($D2462="收入",N($J2462)=0),"※收入行要填收入金额",IF(AND($D2462="支出",N($K2462)=0),"※支出行要填支出金额",IF(AND($C2462&lt;&gt;"",ISNA(MATCH($C2462,账户表,0))),"※账户不在基础资料里",IF(AND($G2462&lt;&gt;"",ISNA(MATCH($G2462,项目名表,0))),"※项目不在项目台账里",IF(AND(LEFT($F2462,3)="成本-",$G2462=""),"※成本类支出没填项目",IF(AND(LEFT($F2462,3)="成本-",$H2462&lt;&gt;"",N($K2462)&gt;0,COUNTIFS(采购单!$B:$B,$B2462,采购单!$C:$C,$H2462,采购单!$L:$L,$K2462)&gt;0),"※这笔可能和采购单重复了",""))))))))))</f>
        <v/>
      </c>
    </row>
    <row r="2463">
      <c r="A2463" s="17">
        <f>IF($B2463="","",ROW()-3)</f>
        <v/>
      </c>
      <c r="B2463" s="18" t="n"/>
      <c r="C2463" s="13" t="n"/>
      <c r="D2463" s="13" t="n"/>
      <c r="E2463" s="13" t="n"/>
      <c r="F2463" s="17">
        <f>IF($E2463="","",IFERROR(VLOOKUP($E2463,类别归属,2,0),"※类别不在基础资料里"))</f>
        <v/>
      </c>
      <c r="G2463" s="13" t="n"/>
      <c r="H2463" s="13" t="n"/>
      <c r="I2463" s="13" t="n"/>
      <c r="J2463" s="14" t="n"/>
      <c r="K2463" s="14" t="n"/>
      <c r="L2463" s="19">
        <f>IF($C2463="","",ROUND(IFERROR(VLOOKUP($C2463,账户期初,2,0),0)+SUMIFS($J$4:J2463,$C$4:C2463,$C2463)-SUMIFS($K$4:K2463,$C$4:C2463,$C2463),2))</f>
        <v/>
      </c>
      <c r="M2463" s="19">
        <f>IF($C2463="","",ROUND(SUM(基础资料!$B$4:$B$13)+SUM($J$4:J2463)-SUM($K$4:K2463),2))</f>
        <v/>
      </c>
      <c r="N2463" s="13" t="n"/>
      <c r="O2463" s="13" t="n"/>
      <c r="P2463" s="17">
        <f>IF($B2463="","",IF($F2463="※类别不在基础资料里","※费用类别不在基础资料里",IF(AND(N($J2463)=0,N($K2463)=0),"※这行没填金额",IF(AND(N($J2463)&gt;0,N($K2463)&gt;0),"※收入和支出不能同一行都填",IF(AND($D2463="收入",N($J2463)=0),"※收入行要填收入金额",IF(AND($D2463="支出",N($K2463)=0),"※支出行要填支出金额",IF(AND($C2463&lt;&gt;"",ISNA(MATCH($C2463,账户表,0))),"※账户不在基础资料里",IF(AND($G2463&lt;&gt;"",ISNA(MATCH($G2463,项目名表,0))),"※项目不在项目台账里",IF(AND(LEFT($F2463,3)="成本-",$G2463=""),"※成本类支出没填项目",IF(AND(LEFT($F2463,3)="成本-",$H2463&lt;&gt;"",N($K2463)&gt;0,COUNTIFS(采购单!$B:$B,$B2463,采购单!$C:$C,$H2463,采购单!$L:$L,$K2463)&gt;0),"※这笔可能和采购单重复了",""))))))))))</f>
        <v/>
      </c>
    </row>
    <row r="2464">
      <c r="A2464" s="17">
        <f>IF($B2464="","",ROW()-3)</f>
        <v/>
      </c>
      <c r="B2464" s="18" t="n"/>
      <c r="C2464" s="13" t="n"/>
      <c r="D2464" s="13" t="n"/>
      <c r="E2464" s="13" t="n"/>
      <c r="F2464" s="17">
        <f>IF($E2464="","",IFERROR(VLOOKUP($E2464,类别归属,2,0),"※类别不在基础资料里"))</f>
        <v/>
      </c>
      <c r="G2464" s="13" t="n"/>
      <c r="H2464" s="13" t="n"/>
      <c r="I2464" s="13" t="n"/>
      <c r="J2464" s="14" t="n"/>
      <c r="K2464" s="14" t="n"/>
      <c r="L2464" s="19">
        <f>IF($C2464="","",ROUND(IFERROR(VLOOKUP($C2464,账户期初,2,0),0)+SUMIFS($J$4:J2464,$C$4:C2464,$C2464)-SUMIFS($K$4:K2464,$C$4:C2464,$C2464),2))</f>
        <v/>
      </c>
      <c r="M2464" s="19">
        <f>IF($C2464="","",ROUND(SUM(基础资料!$B$4:$B$13)+SUM($J$4:J2464)-SUM($K$4:K2464),2))</f>
        <v/>
      </c>
      <c r="N2464" s="13" t="n"/>
      <c r="O2464" s="13" t="n"/>
      <c r="P2464" s="17">
        <f>IF($B2464="","",IF($F2464="※类别不在基础资料里","※费用类别不在基础资料里",IF(AND(N($J2464)=0,N($K2464)=0),"※这行没填金额",IF(AND(N($J2464)&gt;0,N($K2464)&gt;0),"※收入和支出不能同一行都填",IF(AND($D2464="收入",N($J2464)=0),"※收入行要填收入金额",IF(AND($D2464="支出",N($K2464)=0),"※支出行要填支出金额",IF(AND($C2464&lt;&gt;"",ISNA(MATCH($C2464,账户表,0))),"※账户不在基础资料里",IF(AND($G2464&lt;&gt;"",ISNA(MATCH($G2464,项目名表,0))),"※项目不在项目台账里",IF(AND(LEFT($F2464,3)="成本-",$G2464=""),"※成本类支出没填项目",IF(AND(LEFT($F2464,3)="成本-",$H2464&lt;&gt;"",N($K2464)&gt;0,COUNTIFS(采购单!$B:$B,$B2464,采购单!$C:$C,$H2464,采购单!$L:$L,$K2464)&gt;0),"※这笔可能和采购单重复了",""))))))))))</f>
        <v/>
      </c>
    </row>
    <row r="2465">
      <c r="A2465" s="17">
        <f>IF($B2465="","",ROW()-3)</f>
        <v/>
      </c>
      <c r="B2465" s="18" t="n"/>
      <c r="C2465" s="13" t="n"/>
      <c r="D2465" s="13" t="n"/>
      <c r="E2465" s="13" t="n"/>
      <c r="F2465" s="17">
        <f>IF($E2465="","",IFERROR(VLOOKUP($E2465,类别归属,2,0),"※类别不在基础资料里"))</f>
        <v/>
      </c>
      <c r="G2465" s="13" t="n"/>
      <c r="H2465" s="13" t="n"/>
      <c r="I2465" s="13" t="n"/>
      <c r="J2465" s="14" t="n"/>
      <c r="K2465" s="14" t="n"/>
      <c r="L2465" s="19">
        <f>IF($C2465="","",ROUND(IFERROR(VLOOKUP($C2465,账户期初,2,0),0)+SUMIFS($J$4:J2465,$C$4:C2465,$C2465)-SUMIFS($K$4:K2465,$C$4:C2465,$C2465),2))</f>
        <v/>
      </c>
      <c r="M2465" s="19">
        <f>IF($C2465="","",ROUND(SUM(基础资料!$B$4:$B$13)+SUM($J$4:J2465)-SUM($K$4:K2465),2))</f>
        <v/>
      </c>
      <c r="N2465" s="13" t="n"/>
      <c r="O2465" s="13" t="n"/>
      <c r="P2465" s="17">
        <f>IF($B2465="","",IF($F2465="※类别不在基础资料里","※费用类别不在基础资料里",IF(AND(N($J2465)=0,N($K2465)=0),"※这行没填金额",IF(AND(N($J2465)&gt;0,N($K2465)&gt;0),"※收入和支出不能同一行都填",IF(AND($D2465="收入",N($J2465)=0),"※收入行要填收入金额",IF(AND($D2465="支出",N($K2465)=0),"※支出行要填支出金额",IF(AND($C2465&lt;&gt;"",ISNA(MATCH($C2465,账户表,0))),"※账户不在基础资料里",IF(AND($G2465&lt;&gt;"",ISNA(MATCH($G2465,项目名表,0))),"※项目不在项目台账里",IF(AND(LEFT($F2465,3)="成本-",$G2465=""),"※成本类支出没填项目",IF(AND(LEFT($F2465,3)="成本-",$H2465&lt;&gt;"",N($K2465)&gt;0,COUNTIFS(采购单!$B:$B,$B2465,采购单!$C:$C,$H2465,采购单!$L:$L,$K2465)&gt;0),"※这笔可能和采购单重复了",""))))))))))</f>
        <v/>
      </c>
    </row>
    <row r="2466">
      <c r="A2466" s="17">
        <f>IF($B2466="","",ROW()-3)</f>
        <v/>
      </c>
      <c r="B2466" s="18" t="n"/>
      <c r="C2466" s="13" t="n"/>
      <c r="D2466" s="13" t="n"/>
      <c r="E2466" s="13" t="n"/>
      <c r="F2466" s="17">
        <f>IF($E2466="","",IFERROR(VLOOKUP($E2466,类别归属,2,0),"※类别不在基础资料里"))</f>
        <v/>
      </c>
      <c r="G2466" s="13" t="n"/>
      <c r="H2466" s="13" t="n"/>
      <c r="I2466" s="13" t="n"/>
      <c r="J2466" s="14" t="n"/>
      <c r="K2466" s="14" t="n"/>
      <c r="L2466" s="19">
        <f>IF($C2466="","",ROUND(IFERROR(VLOOKUP($C2466,账户期初,2,0),0)+SUMIFS($J$4:J2466,$C$4:C2466,$C2466)-SUMIFS($K$4:K2466,$C$4:C2466,$C2466),2))</f>
        <v/>
      </c>
      <c r="M2466" s="19">
        <f>IF($C2466="","",ROUND(SUM(基础资料!$B$4:$B$13)+SUM($J$4:J2466)-SUM($K$4:K2466),2))</f>
        <v/>
      </c>
      <c r="N2466" s="13" t="n"/>
      <c r="O2466" s="13" t="n"/>
      <c r="P2466" s="17">
        <f>IF($B2466="","",IF($F2466="※类别不在基础资料里","※费用类别不在基础资料里",IF(AND(N($J2466)=0,N($K2466)=0),"※这行没填金额",IF(AND(N($J2466)&gt;0,N($K2466)&gt;0),"※收入和支出不能同一行都填",IF(AND($D2466="收入",N($J2466)=0),"※收入行要填收入金额",IF(AND($D2466="支出",N($K2466)=0),"※支出行要填支出金额",IF(AND($C2466&lt;&gt;"",ISNA(MATCH($C2466,账户表,0))),"※账户不在基础资料里",IF(AND($G2466&lt;&gt;"",ISNA(MATCH($G2466,项目名表,0))),"※项目不在项目台账里",IF(AND(LEFT($F2466,3)="成本-",$G2466=""),"※成本类支出没填项目",IF(AND(LEFT($F2466,3)="成本-",$H2466&lt;&gt;"",N($K2466)&gt;0,COUNTIFS(采购单!$B:$B,$B2466,采购单!$C:$C,$H2466,采购单!$L:$L,$K2466)&gt;0),"※这笔可能和采购单重复了",""))))))))))</f>
        <v/>
      </c>
    </row>
    <row r="2467">
      <c r="A2467" s="17">
        <f>IF($B2467="","",ROW()-3)</f>
        <v/>
      </c>
      <c r="B2467" s="18" t="n"/>
      <c r="C2467" s="13" t="n"/>
      <c r="D2467" s="13" t="n"/>
      <c r="E2467" s="13" t="n"/>
      <c r="F2467" s="17">
        <f>IF($E2467="","",IFERROR(VLOOKUP($E2467,类别归属,2,0),"※类别不在基础资料里"))</f>
        <v/>
      </c>
      <c r="G2467" s="13" t="n"/>
      <c r="H2467" s="13" t="n"/>
      <c r="I2467" s="13" t="n"/>
      <c r="J2467" s="14" t="n"/>
      <c r="K2467" s="14" t="n"/>
      <c r="L2467" s="19">
        <f>IF($C2467="","",ROUND(IFERROR(VLOOKUP($C2467,账户期初,2,0),0)+SUMIFS($J$4:J2467,$C$4:C2467,$C2467)-SUMIFS($K$4:K2467,$C$4:C2467,$C2467),2))</f>
        <v/>
      </c>
      <c r="M2467" s="19">
        <f>IF($C2467="","",ROUND(SUM(基础资料!$B$4:$B$13)+SUM($J$4:J2467)-SUM($K$4:K2467),2))</f>
        <v/>
      </c>
      <c r="N2467" s="13" t="n"/>
      <c r="O2467" s="13" t="n"/>
      <c r="P2467" s="17">
        <f>IF($B2467="","",IF($F2467="※类别不在基础资料里","※费用类别不在基础资料里",IF(AND(N($J2467)=0,N($K2467)=0),"※这行没填金额",IF(AND(N($J2467)&gt;0,N($K2467)&gt;0),"※收入和支出不能同一行都填",IF(AND($D2467="收入",N($J2467)=0),"※收入行要填收入金额",IF(AND($D2467="支出",N($K2467)=0),"※支出行要填支出金额",IF(AND($C2467&lt;&gt;"",ISNA(MATCH($C2467,账户表,0))),"※账户不在基础资料里",IF(AND($G2467&lt;&gt;"",ISNA(MATCH($G2467,项目名表,0))),"※项目不在项目台账里",IF(AND(LEFT($F2467,3)="成本-",$G2467=""),"※成本类支出没填项目",IF(AND(LEFT($F2467,3)="成本-",$H2467&lt;&gt;"",N($K2467)&gt;0,COUNTIFS(采购单!$B:$B,$B2467,采购单!$C:$C,$H2467,采购单!$L:$L,$K2467)&gt;0),"※这笔可能和采购单重复了",""))))))))))</f>
        <v/>
      </c>
    </row>
    <row r="2468">
      <c r="A2468" s="17">
        <f>IF($B2468="","",ROW()-3)</f>
        <v/>
      </c>
      <c r="B2468" s="18" t="n"/>
      <c r="C2468" s="13" t="n"/>
      <c r="D2468" s="13" t="n"/>
      <c r="E2468" s="13" t="n"/>
      <c r="F2468" s="17">
        <f>IF($E2468="","",IFERROR(VLOOKUP($E2468,类别归属,2,0),"※类别不在基础资料里"))</f>
        <v/>
      </c>
      <c r="G2468" s="13" t="n"/>
      <c r="H2468" s="13" t="n"/>
      <c r="I2468" s="13" t="n"/>
      <c r="J2468" s="14" t="n"/>
      <c r="K2468" s="14" t="n"/>
      <c r="L2468" s="19">
        <f>IF($C2468="","",ROUND(IFERROR(VLOOKUP($C2468,账户期初,2,0),0)+SUMIFS($J$4:J2468,$C$4:C2468,$C2468)-SUMIFS($K$4:K2468,$C$4:C2468,$C2468),2))</f>
        <v/>
      </c>
      <c r="M2468" s="19">
        <f>IF($C2468="","",ROUND(SUM(基础资料!$B$4:$B$13)+SUM($J$4:J2468)-SUM($K$4:K2468),2))</f>
        <v/>
      </c>
      <c r="N2468" s="13" t="n"/>
      <c r="O2468" s="13" t="n"/>
      <c r="P2468" s="17">
        <f>IF($B2468="","",IF($F2468="※类别不在基础资料里","※费用类别不在基础资料里",IF(AND(N($J2468)=0,N($K2468)=0),"※这行没填金额",IF(AND(N($J2468)&gt;0,N($K2468)&gt;0),"※收入和支出不能同一行都填",IF(AND($D2468="收入",N($J2468)=0),"※收入行要填收入金额",IF(AND($D2468="支出",N($K2468)=0),"※支出行要填支出金额",IF(AND($C2468&lt;&gt;"",ISNA(MATCH($C2468,账户表,0))),"※账户不在基础资料里",IF(AND($G2468&lt;&gt;"",ISNA(MATCH($G2468,项目名表,0))),"※项目不在项目台账里",IF(AND(LEFT($F2468,3)="成本-",$G2468=""),"※成本类支出没填项目",IF(AND(LEFT($F2468,3)="成本-",$H2468&lt;&gt;"",N($K2468)&gt;0,COUNTIFS(采购单!$B:$B,$B2468,采购单!$C:$C,$H2468,采购单!$L:$L,$K2468)&gt;0),"※这笔可能和采购单重复了",""))))))))))</f>
        <v/>
      </c>
    </row>
    <row r="2469">
      <c r="A2469" s="17">
        <f>IF($B2469="","",ROW()-3)</f>
        <v/>
      </c>
      <c r="B2469" s="18" t="n"/>
      <c r="C2469" s="13" t="n"/>
      <c r="D2469" s="13" t="n"/>
      <c r="E2469" s="13" t="n"/>
      <c r="F2469" s="17">
        <f>IF($E2469="","",IFERROR(VLOOKUP($E2469,类别归属,2,0),"※类别不在基础资料里"))</f>
        <v/>
      </c>
      <c r="G2469" s="13" t="n"/>
      <c r="H2469" s="13" t="n"/>
      <c r="I2469" s="13" t="n"/>
      <c r="J2469" s="14" t="n"/>
      <c r="K2469" s="14" t="n"/>
      <c r="L2469" s="19">
        <f>IF($C2469="","",ROUND(IFERROR(VLOOKUP($C2469,账户期初,2,0),0)+SUMIFS($J$4:J2469,$C$4:C2469,$C2469)-SUMIFS($K$4:K2469,$C$4:C2469,$C2469),2))</f>
        <v/>
      </c>
      <c r="M2469" s="19">
        <f>IF($C2469="","",ROUND(SUM(基础资料!$B$4:$B$13)+SUM($J$4:J2469)-SUM($K$4:K2469),2))</f>
        <v/>
      </c>
      <c r="N2469" s="13" t="n"/>
      <c r="O2469" s="13" t="n"/>
      <c r="P2469" s="17">
        <f>IF($B2469="","",IF($F2469="※类别不在基础资料里","※费用类别不在基础资料里",IF(AND(N($J2469)=0,N($K2469)=0),"※这行没填金额",IF(AND(N($J2469)&gt;0,N($K2469)&gt;0),"※收入和支出不能同一行都填",IF(AND($D2469="收入",N($J2469)=0),"※收入行要填收入金额",IF(AND($D2469="支出",N($K2469)=0),"※支出行要填支出金额",IF(AND($C2469&lt;&gt;"",ISNA(MATCH($C2469,账户表,0))),"※账户不在基础资料里",IF(AND($G2469&lt;&gt;"",ISNA(MATCH($G2469,项目名表,0))),"※项目不在项目台账里",IF(AND(LEFT($F2469,3)="成本-",$G2469=""),"※成本类支出没填项目",IF(AND(LEFT($F2469,3)="成本-",$H2469&lt;&gt;"",N($K2469)&gt;0,COUNTIFS(采购单!$B:$B,$B2469,采购单!$C:$C,$H2469,采购单!$L:$L,$K2469)&gt;0),"※这笔可能和采购单重复了",""))))))))))</f>
        <v/>
      </c>
    </row>
    <row r="2470">
      <c r="A2470" s="17">
        <f>IF($B2470="","",ROW()-3)</f>
        <v/>
      </c>
      <c r="B2470" s="18" t="n"/>
      <c r="C2470" s="13" t="n"/>
      <c r="D2470" s="13" t="n"/>
      <c r="E2470" s="13" t="n"/>
      <c r="F2470" s="17">
        <f>IF($E2470="","",IFERROR(VLOOKUP($E2470,类别归属,2,0),"※类别不在基础资料里"))</f>
        <v/>
      </c>
      <c r="G2470" s="13" t="n"/>
      <c r="H2470" s="13" t="n"/>
      <c r="I2470" s="13" t="n"/>
      <c r="J2470" s="14" t="n"/>
      <c r="K2470" s="14" t="n"/>
      <c r="L2470" s="19">
        <f>IF($C2470="","",ROUND(IFERROR(VLOOKUP($C2470,账户期初,2,0),0)+SUMIFS($J$4:J2470,$C$4:C2470,$C2470)-SUMIFS($K$4:K2470,$C$4:C2470,$C2470),2))</f>
        <v/>
      </c>
      <c r="M2470" s="19">
        <f>IF($C2470="","",ROUND(SUM(基础资料!$B$4:$B$13)+SUM($J$4:J2470)-SUM($K$4:K2470),2))</f>
        <v/>
      </c>
      <c r="N2470" s="13" t="n"/>
      <c r="O2470" s="13" t="n"/>
      <c r="P2470" s="17">
        <f>IF($B2470="","",IF($F2470="※类别不在基础资料里","※费用类别不在基础资料里",IF(AND(N($J2470)=0,N($K2470)=0),"※这行没填金额",IF(AND(N($J2470)&gt;0,N($K2470)&gt;0),"※收入和支出不能同一行都填",IF(AND($D2470="收入",N($J2470)=0),"※收入行要填收入金额",IF(AND($D2470="支出",N($K2470)=0),"※支出行要填支出金额",IF(AND($C2470&lt;&gt;"",ISNA(MATCH($C2470,账户表,0))),"※账户不在基础资料里",IF(AND($G2470&lt;&gt;"",ISNA(MATCH($G2470,项目名表,0))),"※项目不在项目台账里",IF(AND(LEFT($F2470,3)="成本-",$G2470=""),"※成本类支出没填项目",IF(AND(LEFT($F2470,3)="成本-",$H2470&lt;&gt;"",N($K2470)&gt;0,COUNTIFS(采购单!$B:$B,$B2470,采购单!$C:$C,$H2470,采购单!$L:$L,$K2470)&gt;0),"※这笔可能和采购单重复了",""))))))))))</f>
        <v/>
      </c>
    </row>
    <row r="2471">
      <c r="A2471" s="17">
        <f>IF($B2471="","",ROW()-3)</f>
        <v/>
      </c>
      <c r="B2471" s="18" t="n"/>
      <c r="C2471" s="13" t="n"/>
      <c r="D2471" s="13" t="n"/>
      <c r="E2471" s="13" t="n"/>
      <c r="F2471" s="17">
        <f>IF($E2471="","",IFERROR(VLOOKUP($E2471,类别归属,2,0),"※类别不在基础资料里"))</f>
        <v/>
      </c>
      <c r="G2471" s="13" t="n"/>
      <c r="H2471" s="13" t="n"/>
      <c r="I2471" s="13" t="n"/>
      <c r="J2471" s="14" t="n"/>
      <c r="K2471" s="14" t="n"/>
      <c r="L2471" s="19">
        <f>IF($C2471="","",ROUND(IFERROR(VLOOKUP($C2471,账户期初,2,0),0)+SUMIFS($J$4:J2471,$C$4:C2471,$C2471)-SUMIFS($K$4:K2471,$C$4:C2471,$C2471),2))</f>
        <v/>
      </c>
      <c r="M2471" s="19">
        <f>IF($C2471="","",ROUND(SUM(基础资料!$B$4:$B$13)+SUM($J$4:J2471)-SUM($K$4:K2471),2))</f>
        <v/>
      </c>
      <c r="N2471" s="13" t="n"/>
      <c r="O2471" s="13" t="n"/>
      <c r="P2471" s="17">
        <f>IF($B2471="","",IF($F2471="※类别不在基础资料里","※费用类别不在基础资料里",IF(AND(N($J2471)=0,N($K2471)=0),"※这行没填金额",IF(AND(N($J2471)&gt;0,N($K2471)&gt;0),"※收入和支出不能同一行都填",IF(AND($D2471="收入",N($J2471)=0),"※收入行要填收入金额",IF(AND($D2471="支出",N($K2471)=0),"※支出行要填支出金额",IF(AND($C2471&lt;&gt;"",ISNA(MATCH($C2471,账户表,0))),"※账户不在基础资料里",IF(AND($G2471&lt;&gt;"",ISNA(MATCH($G2471,项目名表,0))),"※项目不在项目台账里",IF(AND(LEFT($F2471,3)="成本-",$G2471=""),"※成本类支出没填项目",IF(AND(LEFT($F2471,3)="成本-",$H2471&lt;&gt;"",N($K2471)&gt;0,COUNTIFS(采购单!$B:$B,$B2471,采购单!$C:$C,$H2471,采购单!$L:$L,$K2471)&gt;0),"※这笔可能和采购单重复了",""))))))))))</f>
        <v/>
      </c>
    </row>
    <row r="2472">
      <c r="A2472" s="17">
        <f>IF($B2472="","",ROW()-3)</f>
        <v/>
      </c>
      <c r="B2472" s="18" t="n"/>
      <c r="C2472" s="13" t="n"/>
      <c r="D2472" s="13" t="n"/>
      <c r="E2472" s="13" t="n"/>
      <c r="F2472" s="17">
        <f>IF($E2472="","",IFERROR(VLOOKUP($E2472,类别归属,2,0),"※类别不在基础资料里"))</f>
        <v/>
      </c>
      <c r="G2472" s="13" t="n"/>
      <c r="H2472" s="13" t="n"/>
      <c r="I2472" s="13" t="n"/>
      <c r="J2472" s="14" t="n"/>
      <c r="K2472" s="14" t="n"/>
      <c r="L2472" s="19">
        <f>IF($C2472="","",ROUND(IFERROR(VLOOKUP($C2472,账户期初,2,0),0)+SUMIFS($J$4:J2472,$C$4:C2472,$C2472)-SUMIFS($K$4:K2472,$C$4:C2472,$C2472),2))</f>
        <v/>
      </c>
      <c r="M2472" s="19">
        <f>IF($C2472="","",ROUND(SUM(基础资料!$B$4:$B$13)+SUM($J$4:J2472)-SUM($K$4:K2472),2))</f>
        <v/>
      </c>
      <c r="N2472" s="13" t="n"/>
      <c r="O2472" s="13" t="n"/>
      <c r="P2472" s="17">
        <f>IF($B2472="","",IF($F2472="※类别不在基础资料里","※费用类别不在基础资料里",IF(AND(N($J2472)=0,N($K2472)=0),"※这行没填金额",IF(AND(N($J2472)&gt;0,N($K2472)&gt;0),"※收入和支出不能同一行都填",IF(AND($D2472="收入",N($J2472)=0),"※收入行要填收入金额",IF(AND($D2472="支出",N($K2472)=0),"※支出行要填支出金额",IF(AND($C2472&lt;&gt;"",ISNA(MATCH($C2472,账户表,0))),"※账户不在基础资料里",IF(AND($G2472&lt;&gt;"",ISNA(MATCH($G2472,项目名表,0))),"※项目不在项目台账里",IF(AND(LEFT($F2472,3)="成本-",$G2472=""),"※成本类支出没填项目",IF(AND(LEFT($F2472,3)="成本-",$H2472&lt;&gt;"",N($K2472)&gt;0,COUNTIFS(采购单!$B:$B,$B2472,采购单!$C:$C,$H2472,采购单!$L:$L,$K2472)&gt;0),"※这笔可能和采购单重复了",""))))))))))</f>
        <v/>
      </c>
    </row>
    <row r="2473">
      <c r="A2473" s="17">
        <f>IF($B2473="","",ROW()-3)</f>
        <v/>
      </c>
      <c r="B2473" s="18" t="n"/>
      <c r="C2473" s="13" t="n"/>
      <c r="D2473" s="13" t="n"/>
      <c r="E2473" s="13" t="n"/>
      <c r="F2473" s="17">
        <f>IF($E2473="","",IFERROR(VLOOKUP($E2473,类别归属,2,0),"※类别不在基础资料里"))</f>
        <v/>
      </c>
      <c r="G2473" s="13" t="n"/>
      <c r="H2473" s="13" t="n"/>
      <c r="I2473" s="13" t="n"/>
      <c r="J2473" s="14" t="n"/>
      <c r="K2473" s="14" t="n"/>
      <c r="L2473" s="19">
        <f>IF($C2473="","",ROUND(IFERROR(VLOOKUP($C2473,账户期初,2,0),0)+SUMIFS($J$4:J2473,$C$4:C2473,$C2473)-SUMIFS($K$4:K2473,$C$4:C2473,$C2473),2))</f>
        <v/>
      </c>
      <c r="M2473" s="19">
        <f>IF($C2473="","",ROUND(SUM(基础资料!$B$4:$B$13)+SUM($J$4:J2473)-SUM($K$4:K2473),2))</f>
        <v/>
      </c>
      <c r="N2473" s="13" t="n"/>
      <c r="O2473" s="13" t="n"/>
      <c r="P2473" s="17">
        <f>IF($B2473="","",IF($F2473="※类别不在基础资料里","※费用类别不在基础资料里",IF(AND(N($J2473)=0,N($K2473)=0),"※这行没填金额",IF(AND(N($J2473)&gt;0,N($K2473)&gt;0),"※收入和支出不能同一行都填",IF(AND($D2473="收入",N($J2473)=0),"※收入行要填收入金额",IF(AND($D2473="支出",N($K2473)=0),"※支出行要填支出金额",IF(AND($C2473&lt;&gt;"",ISNA(MATCH($C2473,账户表,0))),"※账户不在基础资料里",IF(AND($G2473&lt;&gt;"",ISNA(MATCH($G2473,项目名表,0))),"※项目不在项目台账里",IF(AND(LEFT($F2473,3)="成本-",$G2473=""),"※成本类支出没填项目",IF(AND(LEFT($F2473,3)="成本-",$H2473&lt;&gt;"",N($K2473)&gt;0,COUNTIFS(采购单!$B:$B,$B2473,采购单!$C:$C,$H2473,采购单!$L:$L,$K2473)&gt;0),"※这笔可能和采购单重复了",""))))))))))</f>
        <v/>
      </c>
    </row>
    <row r="2474">
      <c r="A2474" s="17">
        <f>IF($B2474="","",ROW()-3)</f>
        <v/>
      </c>
      <c r="B2474" s="18" t="n"/>
      <c r="C2474" s="13" t="n"/>
      <c r="D2474" s="13" t="n"/>
      <c r="E2474" s="13" t="n"/>
      <c r="F2474" s="17">
        <f>IF($E2474="","",IFERROR(VLOOKUP($E2474,类别归属,2,0),"※类别不在基础资料里"))</f>
        <v/>
      </c>
      <c r="G2474" s="13" t="n"/>
      <c r="H2474" s="13" t="n"/>
      <c r="I2474" s="13" t="n"/>
      <c r="J2474" s="14" t="n"/>
      <c r="K2474" s="14" t="n"/>
      <c r="L2474" s="19">
        <f>IF($C2474="","",ROUND(IFERROR(VLOOKUP($C2474,账户期初,2,0),0)+SUMIFS($J$4:J2474,$C$4:C2474,$C2474)-SUMIFS($K$4:K2474,$C$4:C2474,$C2474),2))</f>
        <v/>
      </c>
      <c r="M2474" s="19">
        <f>IF($C2474="","",ROUND(SUM(基础资料!$B$4:$B$13)+SUM($J$4:J2474)-SUM($K$4:K2474),2))</f>
        <v/>
      </c>
      <c r="N2474" s="13" t="n"/>
      <c r="O2474" s="13" t="n"/>
      <c r="P2474" s="17">
        <f>IF($B2474="","",IF($F2474="※类别不在基础资料里","※费用类别不在基础资料里",IF(AND(N($J2474)=0,N($K2474)=0),"※这行没填金额",IF(AND(N($J2474)&gt;0,N($K2474)&gt;0),"※收入和支出不能同一行都填",IF(AND($D2474="收入",N($J2474)=0),"※收入行要填收入金额",IF(AND($D2474="支出",N($K2474)=0),"※支出行要填支出金额",IF(AND($C2474&lt;&gt;"",ISNA(MATCH($C2474,账户表,0))),"※账户不在基础资料里",IF(AND($G2474&lt;&gt;"",ISNA(MATCH($G2474,项目名表,0))),"※项目不在项目台账里",IF(AND(LEFT($F2474,3)="成本-",$G2474=""),"※成本类支出没填项目",IF(AND(LEFT($F2474,3)="成本-",$H2474&lt;&gt;"",N($K2474)&gt;0,COUNTIFS(采购单!$B:$B,$B2474,采购单!$C:$C,$H2474,采购单!$L:$L,$K2474)&gt;0),"※这笔可能和采购单重复了",""))))))))))</f>
        <v/>
      </c>
    </row>
    <row r="2475">
      <c r="A2475" s="17">
        <f>IF($B2475="","",ROW()-3)</f>
        <v/>
      </c>
      <c r="B2475" s="18" t="n"/>
      <c r="C2475" s="13" t="n"/>
      <c r="D2475" s="13" t="n"/>
      <c r="E2475" s="13" t="n"/>
      <c r="F2475" s="17">
        <f>IF($E2475="","",IFERROR(VLOOKUP($E2475,类别归属,2,0),"※类别不在基础资料里"))</f>
        <v/>
      </c>
      <c r="G2475" s="13" t="n"/>
      <c r="H2475" s="13" t="n"/>
      <c r="I2475" s="13" t="n"/>
      <c r="J2475" s="14" t="n"/>
      <c r="K2475" s="14" t="n"/>
      <c r="L2475" s="19">
        <f>IF($C2475="","",ROUND(IFERROR(VLOOKUP($C2475,账户期初,2,0),0)+SUMIFS($J$4:J2475,$C$4:C2475,$C2475)-SUMIFS($K$4:K2475,$C$4:C2475,$C2475),2))</f>
        <v/>
      </c>
      <c r="M2475" s="19">
        <f>IF($C2475="","",ROUND(SUM(基础资料!$B$4:$B$13)+SUM($J$4:J2475)-SUM($K$4:K2475),2))</f>
        <v/>
      </c>
      <c r="N2475" s="13" t="n"/>
      <c r="O2475" s="13" t="n"/>
      <c r="P2475" s="17">
        <f>IF($B2475="","",IF($F2475="※类别不在基础资料里","※费用类别不在基础资料里",IF(AND(N($J2475)=0,N($K2475)=0),"※这行没填金额",IF(AND(N($J2475)&gt;0,N($K2475)&gt;0),"※收入和支出不能同一行都填",IF(AND($D2475="收入",N($J2475)=0),"※收入行要填收入金额",IF(AND($D2475="支出",N($K2475)=0),"※支出行要填支出金额",IF(AND($C2475&lt;&gt;"",ISNA(MATCH($C2475,账户表,0))),"※账户不在基础资料里",IF(AND($G2475&lt;&gt;"",ISNA(MATCH($G2475,项目名表,0))),"※项目不在项目台账里",IF(AND(LEFT($F2475,3)="成本-",$G2475=""),"※成本类支出没填项目",IF(AND(LEFT($F2475,3)="成本-",$H2475&lt;&gt;"",N($K2475)&gt;0,COUNTIFS(采购单!$B:$B,$B2475,采购单!$C:$C,$H2475,采购单!$L:$L,$K2475)&gt;0),"※这笔可能和采购单重复了",""))))))))))</f>
        <v/>
      </c>
    </row>
    <row r="2476">
      <c r="A2476" s="17">
        <f>IF($B2476="","",ROW()-3)</f>
        <v/>
      </c>
      <c r="B2476" s="18" t="n"/>
      <c r="C2476" s="13" t="n"/>
      <c r="D2476" s="13" t="n"/>
      <c r="E2476" s="13" t="n"/>
      <c r="F2476" s="17">
        <f>IF($E2476="","",IFERROR(VLOOKUP($E2476,类别归属,2,0),"※类别不在基础资料里"))</f>
        <v/>
      </c>
      <c r="G2476" s="13" t="n"/>
      <c r="H2476" s="13" t="n"/>
      <c r="I2476" s="13" t="n"/>
      <c r="J2476" s="14" t="n"/>
      <c r="K2476" s="14" t="n"/>
      <c r="L2476" s="19">
        <f>IF($C2476="","",ROUND(IFERROR(VLOOKUP($C2476,账户期初,2,0),0)+SUMIFS($J$4:J2476,$C$4:C2476,$C2476)-SUMIFS($K$4:K2476,$C$4:C2476,$C2476),2))</f>
        <v/>
      </c>
      <c r="M2476" s="19">
        <f>IF($C2476="","",ROUND(SUM(基础资料!$B$4:$B$13)+SUM($J$4:J2476)-SUM($K$4:K2476),2))</f>
        <v/>
      </c>
      <c r="N2476" s="13" t="n"/>
      <c r="O2476" s="13" t="n"/>
      <c r="P2476" s="17">
        <f>IF($B2476="","",IF($F2476="※类别不在基础资料里","※费用类别不在基础资料里",IF(AND(N($J2476)=0,N($K2476)=0),"※这行没填金额",IF(AND(N($J2476)&gt;0,N($K2476)&gt;0),"※收入和支出不能同一行都填",IF(AND($D2476="收入",N($J2476)=0),"※收入行要填收入金额",IF(AND($D2476="支出",N($K2476)=0),"※支出行要填支出金额",IF(AND($C2476&lt;&gt;"",ISNA(MATCH($C2476,账户表,0))),"※账户不在基础资料里",IF(AND($G2476&lt;&gt;"",ISNA(MATCH($G2476,项目名表,0))),"※项目不在项目台账里",IF(AND(LEFT($F2476,3)="成本-",$G2476=""),"※成本类支出没填项目",IF(AND(LEFT($F2476,3)="成本-",$H2476&lt;&gt;"",N($K2476)&gt;0,COUNTIFS(采购单!$B:$B,$B2476,采购单!$C:$C,$H2476,采购单!$L:$L,$K2476)&gt;0),"※这笔可能和采购单重复了",""))))))))))</f>
        <v/>
      </c>
    </row>
    <row r="2477">
      <c r="A2477" s="17">
        <f>IF($B2477="","",ROW()-3)</f>
        <v/>
      </c>
      <c r="B2477" s="18" t="n"/>
      <c r="C2477" s="13" t="n"/>
      <c r="D2477" s="13" t="n"/>
      <c r="E2477" s="13" t="n"/>
      <c r="F2477" s="17">
        <f>IF($E2477="","",IFERROR(VLOOKUP($E2477,类别归属,2,0),"※类别不在基础资料里"))</f>
        <v/>
      </c>
      <c r="G2477" s="13" t="n"/>
      <c r="H2477" s="13" t="n"/>
      <c r="I2477" s="13" t="n"/>
      <c r="J2477" s="14" t="n"/>
      <c r="K2477" s="14" t="n"/>
      <c r="L2477" s="19">
        <f>IF($C2477="","",ROUND(IFERROR(VLOOKUP($C2477,账户期初,2,0),0)+SUMIFS($J$4:J2477,$C$4:C2477,$C2477)-SUMIFS($K$4:K2477,$C$4:C2477,$C2477),2))</f>
        <v/>
      </c>
      <c r="M2477" s="19">
        <f>IF($C2477="","",ROUND(SUM(基础资料!$B$4:$B$13)+SUM($J$4:J2477)-SUM($K$4:K2477),2))</f>
        <v/>
      </c>
      <c r="N2477" s="13" t="n"/>
      <c r="O2477" s="13" t="n"/>
      <c r="P2477" s="17">
        <f>IF($B2477="","",IF($F2477="※类别不在基础资料里","※费用类别不在基础资料里",IF(AND(N($J2477)=0,N($K2477)=0),"※这行没填金额",IF(AND(N($J2477)&gt;0,N($K2477)&gt;0),"※收入和支出不能同一行都填",IF(AND($D2477="收入",N($J2477)=0),"※收入行要填收入金额",IF(AND($D2477="支出",N($K2477)=0),"※支出行要填支出金额",IF(AND($C2477&lt;&gt;"",ISNA(MATCH($C2477,账户表,0))),"※账户不在基础资料里",IF(AND($G2477&lt;&gt;"",ISNA(MATCH($G2477,项目名表,0))),"※项目不在项目台账里",IF(AND(LEFT($F2477,3)="成本-",$G2477=""),"※成本类支出没填项目",IF(AND(LEFT($F2477,3)="成本-",$H2477&lt;&gt;"",N($K2477)&gt;0,COUNTIFS(采购单!$B:$B,$B2477,采购单!$C:$C,$H2477,采购单!$L:$L,$K2477)&gt;0),"※这笔可能和采购单重复了",""))))))))))</f>
        <v/>
      </c>
    </row>
    <row r="2478">
      <c r="A2478" s="17">
        <f>IF($B2478="","",ROW()-3)</f>
        <v/>
      </c>
      <c r="B2478" s="18" t="n"/>
      <c r="C2478" s="13" t="n"/>
      <c r="D2478" s="13" t="n"/>
      <c r="E2478" s="13" t="n"/>
      <c r="F2478" s="17">
        <f>IF($E2478="","",IFERROR(VLOOKUP($E2478,类别归属,2,0),"※类别不在基础资料里"))</f>
        <v/>
      </c>
      <c r="G2478" s="13" t="n"/>
      <c r="H2478" s="13" t="n"/>
      <c r="I2478" s="13" t="n"/>
      <c r="J2478" s="14" t="n"/>
      <c r="K2478" s="14" t="n"/>
      <c r="L2478" s="19">
        <f>IF($C2478="","",ROUND(IFERROR(VLOOKUP($C2478,账户期初,2,0),0)+SUMIFS($J$4:J2478,$C$4:C2478,$C2478)-SUMIFS($K$4:K2478,$C$4:C2478,$C2478),2))</f>
        <v/>
      </c>
      <c r="M2478" s="19">
        <f>IF($C2478="","",ROUND(SUM(基础资料!$B$4:$B$13)+SUM($J$4:J2478)-SUM($K$4:K2478),2))</f>
        <v/>
      </c>
      <c r="N2478" s="13" t="n"/>
      <c r="O2478" s="13" t="n"/>
      <c r="P2478" s="17">
        <f>IF($B2478="","",IF($F2478="※类别不在基础资料里","※费用类别不在基础资料里",IF(AND(N($J2478)=0,N($K2478)=0),"※这行没填金额",IF(AND(N($J2478)&gt;0,N($K2478)&gt;0),"※收入和支出不能同一行都填",IF(AND($D2478="收入",N($J2478)=0),"※收入行要填收入金额",IF(AND($D2478="支出",N($K2478)=0),"※支出行要填支出金额",IF(AND($C2478&lt;&gt;"",ISNA(MATCH($C2478,账户表,0))),"※账户不在基础资料里",IF(AND($G2478&lt;&gt;"",ISNA(MATCH($G2478,项目名表,0))),"※项目不在项目台账里",IF(AND(LEFT($F2478,3)="成本-",$G2478=""),"※成本类支出没填项目",IF(AND(LEFT($F2478,3)="成本-",$H2478&lt;&gt;"",N($K2478)&gt;0,COUNTIFS(采购单!$B:$B,$B2478,采购单!$C:$C,$H2478,采购单!$L:$L,$K2478)&gt;0),"※这笔可能和采购单重复了",""))))))))))</f>
        <v/>
      </c>
    </row>
    <row r="2479">
      <c r="A2479" s="17">
        <f>IF($B2479="","",ROW()-3)</f>
        <v/>
      </c>
      <c r="B2479" s="18" t="n"/>
      <c r="C2479" s="13" t="n"/>
      <c r="D2479" s="13" t="n"/>
      <c r="E2479" s="13" t="n"/>
      <c r="F2479" s="17">
        <f>IF($E2479="","",IFERROR(VLOOKUP($E2479,类别归属,2,0),"※类别不在基础资料里"))</f>
        <v/>
      </c>
      <c r="G2479" s="13" t="n"/>
      <c r="H2479" s="13" t="n"/>
      <c r="I2479" s="13" t="n"/>
      <c r="J2479" s="14" t="n"/>
      <c r="K2479" s="14" t="n"/>
      <c r="L2479" s="19">
        <f>IF($C2479="","",ROUND(IFERROR(VLOOKUP($C2479,账户期初,2,0),0)+SUMIFS($J$4:J2479,$C$4:C2479,$C2479)-SUMIFS($K$4:K2479,$C$4:C2479,$C2479),2))</f>
        <v/>
      </c>
      <c r="M2479" s="19">
        <f>IF($C2479="","",ROUND(SUM(基础资料!$B$4:$B$13)+SUM($J$4:J2479)-SUM($K$4:K2479),2))</f>
        <v/>
      </c>
      <c r="N2479" s="13" t="n"/>
      <c r="O2479" s="13" t="n"/>
      <c r="P2479" s="17">
        <f>IF($B2479="","",IF($F2479="※类别不在基础资料里","※费用类别不在基础资料里",IF(AND(N($J2479)=0,N($K2479)=0),"※这行没填金额",IF(AND(N($J2479)&gt;0,N($K2479)&gt;0),"※收入和支出不能同一行都填",IF(AND($D2479="收入",N($J2479)=0),"※收入行要填收入金额",IF(AND($D2479="支出",N($K2479)=0),"※支出行要填支出金额",IF(AND($C2479&lt;&gt;"",ISNA(MATCH($C2479,账户表,0))),"※账户不在基础资料里",IF(AND($G2479&lt;&gt;"",ISNA(MATCH($G2479,项目名表,0))),"※项目不在项目台账里",IF(AND(LEFT($F2479,3)="成本-",$G2479=""),"※成本类支出没填项目",IF(AND(LEFT($F2479,3)="成本-",$H2479&lt;&gt;"",N($K2479)&gt;0,COUNTIFS(采购单!$B:$B,$B2479,采购单!$C:$C,$H2479,采购单!$L:$L,$K2479)&gt;0),"※这笔可能和采购单重复了",""))))))))))</f>
        <v/>
      </c>
    </row>
    <row r="2480">
      <c r="A2480" s="17">
        <f>IF($B2480="","",ROW()-3)</f>
        <v/>
      </c>
      <c r="B2480" s="18" t="n"/>
      <c r="C2480" s="13" t="n"/>
      <c r="D2480" s="13" t="n"/>
      <c r="E2480" s="13" t="n"/>
      <c r="F2480" s="17">
        <f>IF($E2480="","",IFERROR(VLOOKUP($E2480,类别归属,2,0),"※类别不在基础资料里"))</f>
        <v/>
      </c>
      <c r="G2480" s="13" t="n"/>
      <c r="H2480" s="13" t="n"/>
      <c r="I2480" s="13" t="n"/>
      <c r="J2480" s="14" t="n"/>
      <c r="K2480" s="14" t="n"/>
      <c r="L2480" s="19">
        <f>IF($C2480="","",ROUND(IFERROR(VLOOKUP($C2480,账户期初,2,0),0)+SUMIFS($J$4:J2480,$C$4:C2480,$C2480)-SUMIFS($K$4:K2480,$C$4:C2480,$C2480),2))</f>
        <v/>
      </c>
      <c r="M2480" s="19">
        <f>IF($C2480="","",ROUND(SUM(基础资料!$B$4:$B$13)+SUM($J$4:J2480)-SUM($K$4:K2480),2))</f>
        <v/>
      </c>
      <c r="N2480" s="13" t="n"/>
      <c r="O2480" s="13" t="n"/>
      <c r="P2480" s="17">
        <f>IF($B2480="","",IF($F2480="※类别不在基础资料里","※费用类别不在基础资料里",IF(AND(N($J2480)=0,N($K2480)=0),"※这行没填金额",IF(AND(N($J2480)&gt;0,N($K2480)&gt;0),"※收入和支出不能同一行都填",IF(AND($D2480="收入",N($J2480)=0),"※收入行要填收入金额",IF(AND($D2480="支出",N($K2480)=0),"※支出行要填支出金额",IF(AND($C2480&lt;&gt;"",ISNA(MATCH($C2480,账户表,0))),"※账户不在基础资料里",IF(AND($G2480&lt;&gt;"",ISNA(MATCH($G2480,项目名表,0))),"※项目不在项目台账里",IF(AND(LEFT($F2480,3)="成本-",$G2480=""),"※成本类支出没填项目",IF(AND(LEFT($F2480,3)="成本-",$H2480&lt;&gt;"",N($K2480)&gt;0,COUNTIFS(采购单!$B:$B,$B2480,采购单!$C:$C,$H2480,采购单!$L:$L,$K2480)&gt;0),"※这笔可能和采购单重复了",""))))))))))</f>
        <v/>
      </c>
    </row>
    <row r="2481">
      <c r="A2481" s="17">
        <f>IF($B2481="","",ROW()-3)</f>
        <v/>
      </c>
      <c r="B2481" s="18" t="n"/>
      <c r="C2481" s="13" t="n"/>
      <c r="D2481" s="13" t="n"/>
      <c r="E2481" s="13" t="n"/>
      <c r="F2481" s="17">
        <f>IF($E2481="","",IFERROR(VLOOKUP($E2481,类别归属,2,0),"※类别不在基础资料里"))</f>
        <v/>
      </c>
      <c r="G2481" s="13" t="n"/>
      <c r="H2481" s="13" t="n"/>
      <c r="I2481" s="13" t="n"/>
      <c r="J2481" s="14" t="n"/>
      <c r="K2481" s="14" t="n"/>
      <c r="L2481" s="19">
        <f>IF($C2481="","",ROUND(IFERROR(VLOOKUP($C2481,账户期初,2,0),0)+SUMIFS($J$4:J2481,$C$4:C2481,$C2481)-SUMIFS($K$4:K2481,$C$4:C2481,$C2481),2))</f>
        <v/>
      </c>
      <c r="M2481" s="19">
        <f>IF($C2481="","",ROUND(SUM(基础资料!$B$4:$B$13)+SUM($J$4:J2481)-SUM($K$4:K2481),2))</f>
        <v/>
      </c>
      <c r="N2481" s="13" t="n"/>
      <c r="O2481" s="13" t="n"/>
      <c r="P2481" s="17">
        <f>IF($B2481="","",IF($F2481="※类别不在基础资料里","※费用类别不在基础资料里",IF(AND(N($J2481)=0,N($K2481)=0),"※这行没填金额",IF(AND(N($J2481)&gt;0,N($K2481)&gt;0),"※收入和支出不能同一行都填",IF(AND($D2481="收入",N($J2481)=0),"※收入行要填收入金额",IF(AND($D2481="支出",N($K2481)=0),"※支出行要填支出金额",IF(AND($C2481&lt;&gt;"",ISNA(MATCH($C2481,账户表,0))),"※账户不在基础资料里",IF(AND($G2481&lt;&gt;"",ISNA(MATCH($G2481,项目名表,0))),"※项目不在项目台账里",IF(AND(LEFT($F2481,3)="成本-",$G2481=""),"※成本类支出没填项目",IF(AND(LEFT($F2481,3)="成本-",$H2481&lt;&gt;"",N($K2481)&gt;0,COUNTIFS(采购单!$B:$B,$B2481,采购单!$C:$C,$H2481,采购单!$L:$L,$K2481)&gt;0),"※这笔可能和采购单重复了",""))))))))))</f>
        <v/>
      </c>
    </row>
    <row r="2482">
      <c r="A2482" s="17">
        <f>IF($B2482="","",ROW()-3)</f>
        <v/>
      </c>
      <c r="B2482" s="18" t="n"/>
      <c r="C2482" s="13" t="n"/>
      <c r="D2482" s="13" t="n"/>
      <c r="E2482" s="13" t="n"/>
      <c r="F2482" s="17">
        <f>IF($E2482="","",IFERROR(VLOOKUP($E2482,类别归属,2,0),"※类别不在基础资料里"))</f>
        <v/>
      </c>
      <c r="G2482" s="13" t="n"/>
      <c r="H2482" s="13" t="n"/>
      <c r="I2482" s="13" t="n"/>
      <c r="J2482" s="14" t="n"/>
      <c r="K2482" s="14" t="n"/>
      <c r="L2482" s="19">
        <f>IF($C2482="","",ROUND(IFERROR(VLOOKUP($C2482,账户期初,2,0),0)+SUMIFS($J$4:J2482,$C$4:C2482,$C2482)-SUMIFS($K$4:K2482,$C$4:C2482,$C2482),2))</f>
        <v/>
      </c>
      <c r="M2482" s="19">
        <f>IF($C2482="","",ROUND(SUM(基础资料!$B$4:$B$13)+SUM($J$4:J2482)-SUM($K$4:K2482),2))</f>
        <v/>
      </c>
      <c r="N2482" s="13" t="n"/>
      <c r="O2482" s="13" t="n"/>
      <c r="P2482" s="17">
        <f>IF($B2482="","",IF($F2482="※类别不在基础资料里","※费用类别不在基础资料里",IF(AND(N($J2482)=0,N($K2482)=0),"※这行没填金额",IF(AND(N($J2482)&gt;0,N($K2482)&gt;0),"※收入和支出不能同一行都填",IF(AND($D2482="收入",N($J2482)=0),"※收入行要填收入金额",IF(AND($D2482="支出",N($K2482)=0),"※支出行要填支出金额",IF(AND($C2482&lt;&gt;"",ISNA(MATCH($C2482,账户表,0))),"※账户不在基础资料里",IF(AND($G2482&lt;&gt;"",ISNA(MATCH($G2482,项目名表,0))),"※项目不在项目台账里",IF(AND(LEFT($F2482,3)="成本-",$G2482=""),"※成本类支出没填项目",IF(AND(LEFT($F2482,3)="成本-",$H2482&lt;&gt;"",N($K2482)&gt;0,COUNTIFS(采购单!$B:$B,$B2482,采购单!$C:$C,$H2482,采购单!$L:$L,$K2482)&gt;0),"※这笔可能和采购单重复了",""))))))))))</f>
        <v/>
      </c>
    </row>
    <row r="2483">
      <c r="A2483" s="17">
        <f>IF($B2483="","",ROW()-3)</f>
        <v/>
      </c>
      <c r="B2483" s="18" t="n"/>
      <c r="C2483" s="13" t="n"/>
      <c r="D2483" s="13" t="n"/>
      <c r="E2483" s="13" t="n"/>
      <c r="F2483" s="17">
        <f>IF($E2483="","",IFERROR(VLOOKUP($E2483,类别归属,2,0),"※类别不在基础资料里"))</f>
        <v/>
      </c>
      <c r="G2483" s="13" t="n"/>
      <c r="H2483" s="13" t="n"/>
      <c r="I2483" s="13" t="n"/>
      <c r="J2483" s="14" t="n"/>
      <c r="K2483" s="14" t="n"/>
      <c r="L2483" s="19">
        <f>IF($C2483="","",ROUND(IFERROR(VLOOKUP($C2483,账户期初,2,0),0)+SUMIFS($J$4:J2483,$C$4:C2483,$C2483)-SUMIFS($K$4:K2483,$C$4:C2483,$C2483),2))</f>
        <v/>
      </c>
      <c r="M2483" s="19">
        <f>IF($C2483="","",ROUND(SUM(基础资料!$B$4:$B$13)+SUM($J$4:J2483)-SUM($K$4:K2483),2))</f>
        <v/>
      </c>
      <c r="N2483" s="13" t="n"/>
      <c r="O2483" s="13" t="n"/>
      <c r="P2483" s="17">
        <f>IF($B2483="","",IF($F2483="※类别不在基础资料里","※费用类别不在基础资料里",IF(AND(N($J2483)=0,N($K2483)=0),"※这行没填金额",IF(AND(N($J2483)&gt;0,N($K2483)&gt;0),"※收入和支出不能同一行都填",IF(AND($D2483="收入",N($J2483)=0),"※收入行要填收入金额",IF(AND($D2483="支出",N($K2483)=0),"※支出行要填支出金额",IF(AND($C2483&lt;&gt;"",ISNA(MATCH($C2483,账户表,0))),"※账户不在基础资料里",IF(AND($G2483&lt;&gt;"",ISNA(MATCH($G2483,项目名表,0))),"※项目不在项目台账里",IF(AND(LEFT($F2483,3)="成本-",$G2483=""),"※成本类支出没填项目",IF(AND(LEFT($F2483,3)="成本-",$H2483&lt;&gt;"",N($K2483)&gt;0,COUNTIFS(采购单!$B:$B,$B2483,采购单!$C:$C,$H2483,采购单!$L:$L,$K2483)&gt;0),"※这笔可能和采购单重复了",""))))))))))</f>
        <v/>
      </c>
    </row>
    <row r="2484">
      <c r="A2484" s="17">
        <f>IF($B2484="","",ROW()-3)</f>
        <v/>
      </c>
      <c r="B2484" s="18" t="n"/>
      <c r="C2484" s="13" t="n"/>
      <c r="D2484" s="13" t="n"/>
      <c r="E2484" s="13" t="n"/>
      <c r="F2484" s="17">
        <f>IF($E2484="","",IFERROR(VLOOKUP($E2484,类别归属,2,0),"※类别不在基础资料里"))</f>
        <v/>
      </c>
      <c r="G2484" s="13" t="n"/>
      <c r="H2484" s="13" t="n"/>
      <c r="I2484" s="13" t="n"/>
      <c r="J2484" s="14" t="n"/>
      <c r="K2484" s="14" t="n"/>
      <c r="L2484" s="19">
        <f>IF($C2484="","",ROUND(IFERROR(VLOOKUP($C2484,账户期初,2,0),0)+SUMIFS($J$4:J2484,$C$4:C2484,$C2484)-SUMIFS($K$4:K2484,$C$4:C2484,$C2484),2))</f>
        <v/>
      </c>
      <c r="M2484" s="19">
        <f>IF($C2484="","",ROUND(SUM(基础资料!$B$4:$B$13)+SUM($J$4:J2484)-SUM($K$4:K2484),2))</f>
        <v/>
      </c>
      <c r="N2484" s="13" t="n"/>
      <c r="O2484" s="13" t="n"/>
      <c r="P2484" s="17">
        <f>IF($B2484="","",IF($F2484="※类别不在基础资料里","※费用类别不在基础资料里",IF(AND(N($J2484)=0,N($K2484)=0),"※这行没填金额",IF(AND(N($J2484)&gt;0,N($K2484)&gt;0),"※收入和支出不能同一行都填",IF(AND($D2484="收入",N($J2484)=0),"※收入行要填收入金额",IF(AND($D2484="支出",N($K2484)=0),"※支出行要填支出金额",IF(AND($C2484&lt;&gt;"",ISNA(MATCH($C2484,账户表,0))),"※账户不在基础资料里",IF(AND($G2484&lt;&gt;"",ISNA(MATCH($G2484,项目名表,0))),"※项目不在项目台账里",IF(AND(LEFT($F2484,3)="成本-",$G2484=""),"※成本类支出没填项目",IF(AND(LEFT($F2484,3)="成本-",$H2484&lt;&gt;"",N($K2484)&gt;0,COUNTIFS(采购单!$B:$B,$B2484,采购单!$C:$C,$H2484,采购单!$L:$L,$K2484)&gt;0),"※这笔可能和采购单重复了",""))))))))))</f>
        <v/>
      </c>
    </row>
    <row r="2485">
      <c r="A2485" s="17">
        <f>IF($B2485="","",ROW()-3)</f>
        <v/>
      </c>
      <c r="B2485" s="18" t="n"/>
      <c r="C2485" s="13" t="n"/>
      <c r="D2485" s="13" t="n"/>
      <c r="E2485" s="13" t="n"/>
      <c r="F2485" s="17">
        <f>IF($E2485="","",IFERROR(VLOOKUP($E2485,类别归属,2,0),"※类别不在基础资料里"))</f>
        <v/>
      </c>
      <c r="G2485" s="13" t="n"/>
      <c r="H2485" s="13" t="n"/>
      <c r="I2485" s="13" t="n"/>
      <c r="J2485" s="14" t="n"/>
      <c r="K2485" s="14" t="n"/>
      <c r="L2485" s="19">
        <f>IF($C2485="","",ROUND(IFERROR(VLOOKUP($C2485,账户期初,2,0),0)+SUMIFS($J$4:J2485,$C$4:C2485,$C2485)-SUMIFS($K$4:K2485,$C$4:C2485,$C2485),2))</f>
        <v/>
      </c>
      <c r="M2485" s="19">
        <f>IF($C2485="","",ROUND(SUM(基础资料!$B$4:$B$13)+SUM($J$4:J2485)-SUM($K$4:K2485),2))</f>
        <v/>
      </c>
      <c r="N2485" s="13" t="n"/>
      <c r="O2485" s="13" t="n"/>
      <c r="P2485" s="17">
        <f>IF($B2485="","",IF($F2485="※类别不在基础资料里","※费用类别不在基础资料里",IF(AND(N($J2485)=0,N($K2485)=0),"※这行没填金额",IF(AND(N($J2485)&gt;0,N($K2485)&gt;0),"※收入和支出不能同一行都填",IF(AND($D2485="收入",N($J2485)=0),"※收入行要填收入金额",IF(AND($D2485="支出",N($K2485)=0),"※支出行要填支出金额",IF(AND($C2485&lt;&gt;"",ISNA(MATCH($C2485,账户表,0))),"※账户不在基础资料里",IF(AND($G2485&lt;&gt;"",ISNA(MATCH($G2485,项目名表,0))),"※项目不在项目台账里",IF(AND(LEFT($F2485,3)="成本-",$G2485=""),"※成本类支出没填项目",IF(AND(LEFT($F2485,3)="成本-",$H2485&lt;&gt;"",N($K2485)&gt;0,COUNTIFS(采购单!$B:$B,$B2485,采购单!$C:$C,$H2485,采购单!$L:$L,$K2485)&gt;0),"※这笔可能和采购单重复了",""))))))))))</f>
        <v/>
      </c>
    </row>
    <row r="2486">
      <c r="A2486" s="17">
        <f>IF($B2486="","",ROW()-3)</f>
        <v/>
      </c>
      <c r="B2486" s="18" t="n"/>
      <c r="C2486" s="13" t="n"/>
      <c r="D2486" s="13" t="n"/>
      <c r="E2486" s="13" t="n"/>
      <c r="F2486" s="17">
        <f>IF($E2486="","",IFERROR(VLOOKUP($E2486,类别归属,2,0),"※类别不在基础资料里"))</f>
        <v/>
      </c>
      <c r="G2486" s="13" t="n"/>
      <c r="H2486" s="13" t="n"/>
      <c r="I2486" s="13" t="n"/>
      <c r="J2486" s="14" t="n"/>
      <c r="K2486" s="14" t="n"/>
      <c r="L2486" s="19">
        <f>IF($C2486="","",ROUND(IFERROR(VLOOKUP($C2486,账户期初,2,0),0)+SUMIFS($J$4:J2486,$C$4:C2486,$C2486)-SUMIFS($K$4:K2486,$C$4:C2486,$C2486),2))</f>
        <v/>
      </c>
      <c r="M2486" s="19">
        <f>IF($C2486="","",ROUND(SUM(基础资料!$B$4:$B$13)+SUM($J$4:J2486)-SUM($K$4:K2486),2))</f>
        <v/>
      </c>
      <c r="N2486" s="13" t="n"/>
      <c r="O2486" s="13" t="n"/>
      <c r="P2486" s="17">
        <f>IF($B2486="","",IF($F2486="※类别不在基础资料里","※费用类别不在基础资料里",IF(AND(N($J2486)=0,N($K2486)=0),"※这行没填金额",IF(AND(N($J2486)&gt;0,N($K2486)&gt;0),"※收入和支出不能同一行都填",IF(AND($D2486="收入",N($J2486)=0),"※收入行要填收入金额",IF(AND($D2486="支出",N($K2486)=0),"※支出行要填支出金额",IF(AND($C2486&lt;&gt;"",ISNA(MATCH($C2486,账户表,0))),"※账户不在基础资料里",IF(AND($G2486&lt;&gt;"",ISNA(MATCH($G2486,项目名表,0))),"※项目不在项目台账里",IF(AND(LEFT($F2486,3)="成本-",$G2486=""),"※成本类支出没填项目",IF(AND(LEFT($F2486,3)="成本-",$H2486&lt;&gt;"",N($K2486)&gt;0,COUNTIFS(采购单!$B:$B,$B2486,采购单!$C:$C,$H2486,采购单!$L:$L,$K2486)&gt;0),"※这笔可能和采购单重复了",""))))))))))</f>
        <v/>
      </c>
    </row>
    <row r="2487">
      <c r="A2487" s="17">
        <f>IF($B2487="","",ROW()-3)</f>
        <v/>
      </c>
      <c r="B2487" s="18" t="n"/>
      <c r="C2487" s="13" t="n"/>
      <c r="D2487" s="13" t="n"/>
      <c r="E2487" s="13" t="n"/>
      <c r="F2487" s="17">
        <f>IF($E2487="","",IFERROR(VLOOKUP($E2487,类别归属,2,0),"※类别不在基础资料里"))</f>
        <v/>
      </c>
      <c r="G2487" s="13" t="n"/>
      <c r="H2487" s="13" t="n"/>
      <c r="I2487" s="13" t="n"/>
      <c r="J2487" s="14" t="n"/>
      <c r="K2487" s="14" t="n"/>
      <c r="L2487" s="19">
        <f>IF($C2487="","",ROUND(IFERROR(VLOOKUP($C2487,账户期初,2,0),0)+SUMIFS($J$4:J2487,$C$4:C2487,$C2487)-SUMIFS($K$4:K2487,$C$4:C2487,$C2487),2))</f>
        <v/>
      </c>
      <c r="M2487" s="19">
        <f>IF($C2487="","",ROUND(SUM(基础资料!$B$4:$B$13)+SUM($J$4:J2487)-SUM($K$4:K2487),2))</f>
        <v/>
      </c>
      <c r="N2487" s="13" t="n"/>
      <c r="O2487" s="13" t="n"/>
      <c r="P2487" s="17">
        <f>IF($B2487="","",IF($F2487="※类别不在基础资料里","※费用类别不在基础资料里",IF(AND(N($J2487)=0,N($K2487)=0),"※这行没填金额",IF(AND(N($J2487)&gt;0,N($K2487)&gt;0),"※收入和支出不能同一行都填",IF(AND($D2487="收入",N($J2487)=0),"※收入行要填收入金额",IF(AND($D2487="支出",N($K2487)=0),"※支出行要填支出金额",IF(AND($C2487&lt;&gt;"",ISNA(MATCH($C2487,账户表,0))),"※账户不在基础资料里",IF(AND($G2487&lt;&gt;"",ISNA(MATCH($G2487,项目名表,0))),"※项目不在项目台账里",IF(AND(LEFT($F2487,3)="成本-",$G2487=""),"※成本类支出没填项目",IF(AND(LEFT($F2487,3)="成本-",$H2487&lt;&gt;"",N($K2487)&gt;0,COUNTIFS(采购单!$B:$B,$B2487,采购单!$C:$C,$H2487,采购单!$L:$L,$K2487)&gt;0),"※这笔可能和采购单重复了",""))))))))))</f>
        <v/>
      </c>
    </row>
    <row r="2488">
      <c r="A2488" s="17">
        <f>IF($B2488="","",ROW()-3)</f>
        <v/>
      </c>
      <c r="B2488" s="18" t="n"/>
      <c r="C2488" s="13" t="n"/>
      <c r="D2488" s="13" t="n"/>
      <c r="E2488" s="13" t="n"/>
      <c r="F2488" s="17">
        <f>IF($E2488="","",IFERROR(VLOOKUP($E2488,类别归属,2,0),"※类别不在基础资料里"))</f>
        <v/>
      </c>
      <c r="G2488" s="13" t="n"/>
      <c r="H2488" s="13" t="n"/>
      <c r="I2488" s="13" t="n"/>
      <c r="J2488" s="14" t="n"/>
      <c r="K2488" s="14" t="n"/>
      <c r="L2488" s="19">
        <f>IF($C2488="","",ROUND(IFERROR(VLOOKUP($C2488,账户期初,2,0),0)+SUMIFS($J$4:J2488,$C$4:C2488,$C2488)-SUMIFS($K$4:K2488,$C$4:C2488,$C2488),2))</f>
        <v/>
      </c>
      <c r="M2488" s="19">
        <f>IF($C2488="","",ROUND(SUM(基础资料!$B$4:$B$13)+SUM($J$4:J2488)-SUM($K$4:K2488),2))</f>
        <v/>
      </c>
      <c r="N2488" s="13" t="n"/>
      <c r="O2488" s="13" t="n"/>
      <c r="P2488" s="17">
        <f>IF($B2488="","",IF($F2488="※类别不在基础资料里","※费用类别不在基础资料里",IF(AND(N($J2488)=0,N($K2488)=0),"※这行没填金额",IF(AND(N($J2488)&gt;0,N($K2488)&gt;0),"※收入和支出不能同一行都填",IF(AND($D2488="收入",N($J2488)=0),"※收入行要填收入金额",IF(AND($D2488="支出",N($K2488)=0),"※支出行要填支出金额",IF(AND($C2488&lt;&gt;"",ISNA(MATCH($C2488,账户表,0))),"※账户不在基础资料里",IF(AND($G2488&lt;&gt;"",ISNA(MATCH($G2488,项目名表,0))),"※项目不在项目台账里",IF(AND(LEFT($F2488,3)="成本-",$G2488=""),"※成本类支出没填项目",IF(AND(LEFT($F2488,3)="成本-",$H2488&lt;&gt;"",N($K2488)&gt;0,COUNTIFS(采购单!$B:$B,$B2488,采购单!$C:$C,$H2488,采购单!$L:$L,$K2488)&gt;0),"※这笔可能和采购单重复了",""))))))))))</f>
        <v/>
      </c>
    </row>
    <row r="2489">
      <c r="A2489" s="17">
        <f>IF($B2489="","",ROW()-3)</f>
        <v/>
      </c>
      <c r="B2489" s="18" t="n"/>
      <c r="C2489" s="13" t="n"/>
      <c r="D2489" s="13" t="n"/>
      <c r="E2489" s="13" t="n"/>
      <c r="F2489" s="17">
        <f>IF($E2489="","",IFERROR(VLOOKUP($E2489,类别归属,2,0),"※类别不在基础资料里"))</f>
        <v/>
      </c>
      <c r="G2489" s="13" t="n"/>
      <c r="H2489" s="13" t="n"/>
      <c r="I2489" s="13" t="n"/>
      <c r="J2489" s="14" t="n"/>
      <c r="K2489" s="14" t="n"/>
      <c r="L2489" s="19">
        <f>IF($C2489="","",ROUND(IFERROR(VLOOKUP($C2489,账户期初,2,0),0)+SUMIFS($J$4:J2489,$C$4:C2489,$C2489)-SUMIFS($K$4:K2489,$C$4:C2489,$C2489),2))</f>
        <v/>
      </c>
      <c r="M2489" s="19">
        <f>IF($C2489="","",ROUND(SUM(基础资料!$B$4:$B$13)+SUM($J$4:J2489)-SUM($K$4:K2489),2))</f>
        <v/>
      </c>
      <c r="N2489" s="13" t="n"/>
      <c r="O2489" s="13" t="n"/>
      <c r="P2489" s="17">
        <f>IF($B2489="","",IF($F2489="※类别不在基础资料里","※费用类别不在基础资料里",IF(AND(N($J2489)=0,N($K2489)=0),"※这行没填金额",IF(AND(N($J2489)&gt;0,N($K2489)&gt;0),"※收入和支出不能同一行都填",IF(AND($D2489="收入",N($J2489)=0),"※收入行要填收入金额",IF(AND($D2489="支出",N($K2489)=0),"※支出行要填支出金额",IF(AND($C2489&lt;&gt;"",ISNA(MATCH($C2489,账户表,0))),"※账户不在基础资料里",IF(AND($G2489&lt;&gt;"",ISNA(MATCH($G2489,项目名表,0))),"※项目不在项目台账里",IF(AND(LEFT($F2489,3)="成本-",$G2489=""),"※成本类支出没填项目",IF(AND(LEFT($F2489,3)="成本-",$H2489&lt;&gt;"",N($K2489)&gt;0,COUNTIFS(采购单!$B:$B,$B2489,采购单!$C:$C,$H2489,采购单!$L:$L,$K2489)&gt;0),"※这笔可能和采购单重复了",""))))))))))</f>
        <v/>
      </c>
    </row>
    <row r="2490">
      <c r="A2490" s="17">
        <f>IF($B2490="","",ROW()-3)</f>
        <v/>
      </c>
      <c r="B2490" s="18" t="n"/>
      <c r="C2490" s="13" t="n"/>
      <c r="D2490" s="13" t="n"/>
      <c r="E2490" s="13" t="n"/>
      <c r="F2490" s="17">
        <f>IF($E2490="","",IFERROR(VLOOKUP($E2490,类别归属,2,0),"※类别不在基础资料里"))</f>
        <v/>
      </c>
      <c r="G2490" s="13" t="n"/>
      <c r="H2490" s="13" t="n"/>
      <c r="I2490" s="13" t="n"/>
      <c r="J2490" s="14" t="n"/>
      <c r="K2490" s="14" t="n"/>
      <c r="L2490" s="19">
        <f>IF($C2490="","",ROUND(IFERROR(VLOOKUP($C2490,账户期初,2,0),0)+SUMIFS($J$4:J2490,$C$4:C2490,$C2490)-SUMIFS($K$4:K2490,$C$4:C2490,$C2490),2))</f>
        <v/>
      </c>
      <c r="M2490" s="19">
        <f>IF($C2490="","",ROUND(SUM(基础资料!$B$4:$B$13)+SUM($J$4:J2490)-SUM($K$4:K2490),2))</f>
        <v/>
      </c>
      <c r="N2490" s="13" t="n"/>
      <c r="O2490" s="13" t="n"/>
      <c r="P2490" s="17">
        <f>IF($B2490="","",IF($F2490="※类别不在基础资料里","※费用类别不在基础资料里",IF(AND(N($J2490)=0,N($K2490)=0),"※这行没填金额",IF(AND(N($J2490)&gt;0,N($K2490)&gt;0),"※收入和支出不能同一行都填",IF(AND($D2490="收入",N($J2490)=0),"※收入行要填收入金额",IF(AND($D2490="支出",N($K2490)=0),"※支出行要填支出金额",IF(AND($C2490&lt;&gt;"",ISNA(MATCH($C2490,账户表,0))),"※账户不在基础资料里",IF(AND($G2490&lt;&gt;"",ISNA(MATCH($G2490,项目名表,0))),"※项目不在项目台账里",IF(AND(LEFT($F2490,3)="成本-",$G2490=""),"※成本类支出没填项目",IF(AND(LEFT($F2490,3)="成本-",$H2490&lt;&gt;"",N($K2490)&gt;0,COUNTIFS(采购单!$B:$B,$B2490,采购单!$C:$C,$H2490,采购单!$L:$L,$K2490)&gt;0),"※这笔可能和采购单重复了",""))))))))))</f>
        <v/>
      </c>
    </row>
    <row r="2491">
      <c r="A2491" s="17">
        <f>IF($B2491="","",ROW()-3)</f>
        <v/>
      </c>
      <c r="B2491" s="18" t="n"/>
      <c r="C2491" s="13" t="n"/>
      <c r="D2491" s="13" t="n"/>
      <c r="E2491" s="13" t="n"/>
      <c r="F2491" s="17">
        <f>IF($E2491="","",IFERROR(VLOOKUP($E2491,类别归属,2,0),"※类别不在基础资料里"))</f>
        <v/>
      </c>
      <c r="G2491" s="13" t="n"/>
      <c r="H2491" s="13" t="n"/>
      <c r="I2491" s="13" t="n"/>
      <c r="J2491" s="14" t="n"/>
      <c r="K2491" s="14" t="n"/>
      <c r="L2491" s="19">
        <f>IF($C2491="","",ROUND(IFERROR(VLOOKUP($C2491,账户期初,2,0),0)+SUMIFS($J$4:J2491,$C$4:C2491,$C2491)-SUMIFS($K$4:K2491,$C$4:C2491,$C2491),2))</f>
        <v/>
      </c>
      <c r="M2491" s="19">
        <f>IF($C2491="","",ROUND(SUM(基础资料!$B$4:$B$13)+SUM($J$4:J2491)-SUM($K$4:K2491),2))</f>
        <v/>
      </c>
      <c r="N2491" s="13" t="n"/>
      <c r="O2491" s="13" t="n"/>
      <c r="P2491" s="17">
        <f>IF($B2491="","",IF($F2491="※类别不在基础资料里","※费用类别不在基础资料里",IF(AND(N($J2491)=0,N($K2491)=0),"※这行没填金额",IF(AND(N($J2491)&gt;0,N($K2491)&gt;0),"※收入和支出不能同一行都填",IF(AND($D2491="收入",N($J2491)=0),"※收入行要填收入金额",IF(AND($D2491="支出",N($K2491)=0),"※支出行要填支出金额",IF(AND($C2491&lt;&gt;"",ISNA(MATCH($C2491,账户表,0))),"※账户不在基础资料里",IF(AND($G2491&lt;&gt;"",ISNA(MATCH($G2491,项目名表,0))),"※项目不在项目台账里",IF(AND(LEFT($F2491,3)="成本-",$G2491=""),"※成本类支出没填项目",IF(AND(LEFT($F2491,3)="成本-",$H2491&lt;&gt;"",N($K2491)&gt;0,COUNTIFS(采购单!$B:$B,$B2491,采购单!$C:$C,$H2491,采购单!$L:$L,$K2491)&gt;0),"※这笔可能和采购单重复了",""))))))))))</f>
        <v/>
      </c>
    </row>
    <row r="2492">
      <c r="A2492" s="17">
        <f>IF($B2492="","",ROW()-3)</f>
        <v/>
      </c>
      <c r="B2492" s="18" t="n"/>
      <c r="C2492" s="13" t="n"/>
      <c r="D2492" s="13" t="n"/>
      <c r="E2492" s="13" t="n"/>
      <c r="F2492" s="17">
        <f>IF($E2492="","",IFERROR(VLOOKUP($E2492,类别归属,2,0),"※类别不在基础资料里"))</f>
        <v/>
      </c>
      <c r="G2492" s="13" t="n"/>
      <c r="H2492" s="13" t="n"/>
      <c r="I2492" s="13" t="n"/>
      <c r="J2492" s="14" t="n"/>
      <c r="K2492" s="14" t="n"/>
      <c r="L2492" s="19">
        <f>IF($C2492="","",ROUND(IFERROR(VLOOKUP($C2492,账户期初,2,0),0)+SUMIFS($J$4:J2492,$C$4:C2492,$C2492)-SUMIFS($K$4:K2492,$C$4:C2492,$C2492),2))</f>
        <v/>
      </c>
      <c r="M2492" s="19">
        <f>IF($C2492="","",ROUND(SUM(基础资料!$B$4:$B$13)+SUM($J$4:J2492)-SUM($K$4:K2492),2))</f>
        <v/>
      </c>
      <c r="N2492" s="13" t="n"/>
      <c r="O2492" s="13" t="n"/>
      <c r="P2492" s="17">
        <f>IF($B2492="","",IF($F2492="※类别不在基础资料里","※费用类别不在基础资料里",IF(AND(N($J2492)=0,N($K2492)=0),"※这行没填金额",IF(AND(N($J2492)&gt;0,N($K2492)&gt;0),"※收入和支出不能同一行都填",IF(AND($D2492="收入",N($J2492)=0),"※收入行要填收入金额",IF(AND($D2492="支出",N($K2492)=0),"※支出行要填支出金额",IF(AND($C2492&lt;&gt;"",ISNA(MATCH($C2492,账户表,0))),"※账户不在基础资料里",IF(AND($G2492&lt;&gt;"",ISNA(MATCH($G2492,项目名表,0))),"※项目不在项目台账里",IF(AND(LEFT($F2492,3)="成本-",$G2492=""),"※成本类支出没填项目",IF(AND(LEFT($F2492,3)="成本-",$H2492&lt;&gt;"",N($K2492)&gt;0,COUNTIFS(采购单!$B:$B,$B2492,采购单!$C:$C,$H2492,采购单!$L:$L,$K2492)&gt;0),"※这笔可能和采购单重复了",""))))))))))</f>
        <v/>
      </c>
    </row>
    <row r="2493">
      <c r="A2493" s="17">
        <f>IF($B2493="","",ROW()-3)</f>
        <v/>
      </c>
      <c r="B2493" s="18" t="n"/>
      <c r="C2493" s="13" t="n"/>
      <c r="D2493" s="13" t="n"/>
      <c r="E2493" s="13" t="n"/>
      <c r="F2493" s="17">
        <f>IF($E2493="","",IFERROR(VLOOKUP($E2493,类别归属,2,0),"※类别不在基础资料里"))</f>
        <v/>
      </c>
      <c r="G2493" s="13" t="n"/>
      <c r="H2493" s="13" t="n"/>
      <c r="I2493" s="13" t="n"/>
      <c r="J2493" s="14" t="n"/>
      <c r="K2493" s="14" t="n"/>
      <c r="L2493" s="19">
        <f>IF($C2493="","",ROUND(IFERROR(VLOOKUP($C2493,账户期初,2,0),0)+SUMIFS($J$4:J2493,$C$4:C2493,$C2493)-SUMIFS($K$4:K2493,$C$4:C2493,$C2493),2))</f>
        <v/>
      </c>
      <c r="M2493" s="19">
        <f>IF($C2493="","",ROUND(SUM(基础资料!$B$4:$B$13)+SUM($J$4:J2493)-SUM($K$4:K2493),2))</f>
        <v/>
      </c>
      <c r="N2493" s="13" t="n"/>
      <c r="O2493" s="13" t="n"/>
      <c r="P2493" s="17">
        <f>IF($B2493="","",IF($F2493="※类别不在基础资料里","※费用类别不在基础资料里",IF(AND(N($J2493)=0,N($K2493)=0),"※这行没填金额",IF(AND(N($J2493)&gt;0,N($K2493)&gt;0),"※收入和支出不能同一行都填",IF(AND($D2493="收入",N($J2493)=0),"※收入行要填收入金额",IF(AND($D2493="支出",N($K2493)=0),"※支出行要填支出金额",IF(AND($C2493&lt;&gt;"",ISNA(MATCH($C2493,账户表,0))),"※账户不在基础资料里",IF(AND($G2493&lt;&gt;"",ISNA(MATCH($G2493,项目名表,0))),"※项目不在项目台账里",IF(AND(LEFT($F2493,3)="成本-",$G2493=""),"※成本类支出没填项目",IF(AND(LEFT($F2493,3)="成本-",$H2493&lt;&gt;"",N($K2493)&gt;0,COUNTIFS(采购单!$B:$B,$B2493,采购单!$C:$C,$H2493,采购单!$L:$L,$K2493)&gt;0),"※这笔可能和采购单重复了",""))))))))))</f>
        <v/>
      </c>
    </row>
    <row r="2494">
      <c r="A2494" s="17">
        <f>IF($B2494="","",ROW()-3)</f>
        <v/>
      </c>
      <c r="B2494" s="18" t="n"/>
      <c r="C2494" s="13" t="n"/>
      <c r="D2494" s="13" t="n"/>
      <c r="E2494" s="13" t="n"/>
      <c r="F2494" s="17">
        <f>IF($E2494="","",IFERROR(VLOOKUP($E2494,类别归属,2,0),"※类别不在基础资料里"))</f>
        <v/>
      </c>
      <c r="G2494" s="13" t="n"/>
      <c r="H2494" s="13" t="n"/>
      <c r="I2494" s="13" t="n"/>
      <c r="J2494" s="14" t="n"/>
      <c r="K2494" s="14" t="n"/>
      <c r="L2494" s="19">
        <f>IF($C2494="","",ROUND(IFERROR(VLOOKUP($C2494,账户期初,2,0),0)+SUMIFS($J$4:J2494,$C$4:C2494,$C2494)-SUMIFS($K$4:K2494,$C$4:C2494,$C2494),2))</f>
        <v/>
      </c>
      <c r="M2494" s="19">
        <f>IF($C2494="","",ROUND(SUM(基础资料!$B$4:$B$13)+SUM($J$4:J2494)-SUM($K$4:K2494),2))</f>
        <v/>
      </c>
      <c r="N2494" s="13" t="n"/>
      <c r="O2494" s="13" t="n"/>
      <c r="P2494" s="17">
        <f>IF($B2494="","",IF($F2494="※类别不在基础资料里","※费用类别不在基础资料里",IF(AND(N($J2494)=0,N($K2494)=0),"※这行没填金额",IF(AND(N($J2494)&gt;0,N($K2494)&gt;0),"※收入和支出不能同一行都填",IF(AND($D2494="收入",N($J2494)=0),"※收入行要填收入金额",IF(AND($D2494="支出",N($K2494)=0),"※支出行要填支出金额",IF(AND($C2494&lt;&gt;"",ISNA(MATCH($C2494,账户表,0))),"※账户不在基础资料里",IF(AND($G2494&lt;&gt;"",ISNA(MATCH($G2494,项目名表,0))),"※项目不在项目台账里",IF(AND(LEFT($F2494,3)="成本-",$G2494=""),"※成本类支出没填项目",IF(AND(LEFT($F2494,3)="成本-",$H2494&lt;&gt;"",N($K2494)&gt;0,COUNTIFS(采购单!$B:$B,$B2494,采购单!$C:$C,$H2494,采购单!$L:$L,$K2494)&gt;0),"※这笔可能和采购单重复了",""))))))))))</f>
        <v/>
      </c>
    </row>
    <row r="2495">
      <c r="A2495" s="17">
        <f>IF($B2495="","",ROW()-3)</f>
        <v/>
      </c>
      <c r="B2495" s="18" t="n"/>
      <c r="C2495" s="13" t="n"/>
      <c r="D2495" s="13" t="n"/>
      <c r="E2495" s="13" t="n"/>
      <c r="F2495" s="17">
        <f>IF($E2495="","",IFERROR(VLOOKUP($E2495,类别归属,2,0),"※类别不在基础资料里"))</f>
        <v/>
      </c>
      <c r="G2495" s="13" t="n"/>
      <c r="H2495" s="13" t="n"/>
      <c r="I2495" s="13" t="n"/>
      <c r="J2495" s="14" t="n"/>
      <c r="K2495" s="14" t="n"/>
      <c r="L2495" s="19">
        <f>IF($C2495="","",ROUND(IFERROR(VLOOKUP($C2495,账户期初,2,0),0)+SUMIFS($J$4:J2495,$C$4:C2495,$C2495)-SUMIFS($K$4:K2495,$C$4:C2495,$C2495),2))</f>
        <v/>
      </c>
      <c r="M2495" s="19">
        <f>IF($C2495="","",ROUND(SUM(基础资料!$B$4:$B$13)+SUM($J$4:J2495)-SUM($K$4:K2495),2))</f>
        <v/>
      </c>
      <c r="N2495" s="13" t="n"/>
      <c r="O2495" s="13" t="n"/>
      <c r="P2495" s="17">
        <f>IF($B2495="","",IF($F2495="※类别不在基础资料里","※费用类别不在基础资料里",IF(AND(N($J2495)=0,N($K2495)=0),"※这行没填金额",IF(AND(N($J2495)&gt;0,N($K2495)&gt;0),"※收入和支出不能同一行都填",IF(AND($D2495="收入",N($J2495)=0),"※收入行要填收入金额",IF(AND($D2495="支出",N($K2495)=0),"※支出行要填支出金额",IF(AND($C2495&lt;&gt;"",ISNA(MATCH($C2495,账户表,0))),"※账户不在基础资料里",IF(AND($G2495&lt;&gt;"",ISNA(MATCH($G2495,项目名表,0))),"※项目不在项目台账里",IF(AND(LEFT($F2495,3)="成本-",$G2495=""),"※成本类支出没填项目",IF(AND(LEFT($F2495,3)="成本-",$H2495&lt;&gt;"",N($K2495)&gt;0,COUNTIFS(采购单!$B:$B,$B2495,采购单!$C:$C,$H2495,采购单!$L:$L,$K2495)&gt;0),"※这笔可能和采购单重复了",""))))))))))</f>
        <v/>
      </c>
    </row>
    <row r="2496">
      <c r="A2496" s="17">
        <f>IF($B2496="","",ROW()-3)</f>
        <v/>
      </c>
      <c r="B2496" s="18" t="n"/>
      <c r="C2496" s="13" t="n"/>
      <c r="D2496" s="13" t="n"/>
      <c r="E2496" s="13" t="n"/>
      <c r="F2496" s="17">
        <f>IF($E2496="","",IFERROR(VLOOKUP($E2496,类别归属,2,0),"※类别不在基础资料里"))</f>
        <v/>
      </c>
      <c r="G2496" s="13" t="n"/>
      <c r="H2496" s="13" t="n"/>
      <c r="I2496" s="13" t="n"/>
      <c r="J2496" s="14" t="n"/>
      <c r="K2496" s="14" t="n"/>
      <c r="L2496" s="19">
        <f>IF($C2496="","",ROUND(IFERROR(VLOOKUP($C2496,账户期初,2,0),0)+SUMIFS($J$4:J2496,$C$4:C2496,$C2496)-SUMIFS($K$4:K2496,$C$4:C2496,$C2496),2))</f>
        <v/>
      </c>
      <c r="M2496" s="19">
        <f>IF($C2496="","",ROUND(SUM(基础资料!$B$4:$B$13)+SUM($J$4:J2496)-SUM($K$4:K2496),2))</f>
        <v/>
      </c>
      <c r="N2496" s="13" t="n"/>
      <c r="O2496" s="13" t="n"/>
      <c r="P2496" s="17">
        <f>IF($B2496="","",IF($F2496="※类别不在基础资料里","※费用类别不在基础资料里",IF(AND(N($J2496)=0,N($K2496)=0),"※这行没填金额",IF(AND(N($J2496)&gt;0,N($K2496)&gt;0),"※收入和支出不能同一行都填",IF(AND($D2496="收入",N($J2496)=0),"※收入行要填收入金额",IF(AND($D2496="支出",N($K2496)=0),"※支出行要填支出金额",IF(AND($C2496&lt;&gt;"",ISNA(MATCH($C2496,账户表,0))),"※账户不在基础资料里",IF(AND($G2496&lt;&gt;"",ISNA(MATCH($G2496,项目名表,0))),"※项目不在项目台账里",IF(AND(LEFT($F2496,3)="成本-",$G2496=""),"※成本类支出没填项目",IF(AND(LEFT($F2496,3)="成本-",$H2496&lt;&gt;"",N($K2496)&gt;0,COUNTIFS(采购单!$B:$B,$B2496,采购单!$C:$C,$H2496,采购单!$L:$L,$K2496)&gt;0),"※这笔可能和采购单重复了",""))))))))))</f>
        <v/>
      </c>
    </row>
    <row r="2497">
      <c r="A2497" s="17">
        <f>IF($B2497="","",ROW()-3)</f>
        <v/>
      </c>
      <c r="B2497" s="18" t="n"/>
      <c r="C2497" s="13" t="n"/>
      <c r="D2497" s="13" t="n"/>
      <c r="E2497" s="13" t="n"/>
      <c r="F2497" s="17">
        <f>IF($E2497="","",IFERROR(VLOOKUP($E2497,类别归属,2,0),"※类别不在基础资料里"))</f>
        <v/>
      </c>
      <c r="G2497" s="13" t="n"/>
      <c r="H2497" s="13" t="n"/>
      <c r="I2497" s="13" t="n"/>
      <c r="J2497" s="14" t="n"/>
      <c r="K2497" s="14" t="n"/>
      <c r="L2497" s="19">
        <f>IF($C2497="","",ROUND(IFERROR(VLOOKUP($C2497,账户期初,2,0),0)+SUMIFS($J$4:J2497,$C$4:C2497,$C2497)-SUMIFS($K$4:K2497,$C$4:C2497,$C2497),2))</f>
        <v/>
      </c>
      <c r="M2497" s="19">
        <f>IF($C2497="","",ROUND(SUM(基础资料!$B$4:$B$13)+SUM($J$4:J2497)-SUM($K$4:K2497),2))</f>
        <v/>
      </c>
      <c r="N2497" s="13" t="n"/>
      <c r="O2497" s="13" t="n"/>
      <c r="P2497" s="17">
        <f>IF($B2497="","",IF($F2497="※类别不在基础资料里","※费用类别不在基础资料里",IF(AND(N($J2497)=0,N($K2497)=0),"※这行没填金额",IF(AND(N($J2497)&gt;0,N($K2497)&gt;0),"※收入和支出不能同一行都填",IF(AND($D2497="收入",N($J2497)=0),"※收入行要填收入金额",IF(AND($D2497="支出",N($K2497)=0),"※支出行要填支出金额",IF(AND($C2497&lt;&gt;"",ISNA(MATCH($C2497,账户表,0))),"※账户不在基础资料里",IF(AND($G2497&lt;&gt;"",ISNA(MATCH($G2497,项目名表,0))),"※项目不在项目台账里",IF(AND(LEFT($F2497,3)="成本-",$G2497=""),"※成本类支出没填项目",IF(AND(LEFT($F2497,3)="成本-",$H2497&lt;&gt;"",N($K2497)&gt;0,COUNTIFS(采购单!$B:$B,$B2497,采购单!$C:$C,$H2497,采购单!$L:$L,$K2497)&gt;0),"※这笔可能和采购单重复了",""))))))))))</f>
        <v/>
      </c>
    </row>
    <row r="2498">
      <c r="A2498" s="17">
        <f>IF($B2498="","",ROW()-3)</f>
        <v/>
      </c>
      <c r="B2498" s="18" t="n"/>
      <c r="C2498" s="13" t="n"/>
      <c r="D2498" s="13" t="n"/>
      <c r="E2498" s="13" t="n"/>
      <c r="F2498" s="17">
        <f>IF($E2498="","",IFERROR(VLOOKUP($E2498,类别归属,2,0),"※类别不在基础资料里"))</f>
        <v/>
      </c>
      <c r="G2498" s="13" t="n"/>
      <c r="H2498" s="13" t="n"/>
      <c r="I2498" s="13" t="n"/>
      <c r="J2498" s="14" t="n"/>
      <c r="K2498" s="14" t="n"/>
      <c r="L2498" s="19">
        <f>IF($C2498="","",ROUND(IFERROR(VLOOKUP($C2498,账户期初,2,0),0)+SUMIFS($J$4:J2498,$C$4:C2498,$C2498)-SUMIFS($K$4:K2498,$C$4:C2498,$C2498),2))</f>
        <v/>
      </c>
      <c r="M2498" s="19">
        <f>IF($C2498="","",ROUND(SUM(基础资料!$B$4:$B$13)+SUM($J$4:J2498)-SUM($K$4:K2498),2))</f>
        <v/>
      </c>
      <c r="N2498" s="13" t="n"/>
      <c r="O2498" s="13" t="n"/>
      <c r="P2498" s="17">
        <f>IF($B2498="","",IF($F2498="※类别不在基础资料里","※费用类别不在基础资料里",IF(AND(N($J2498)=0,N($K2498)=0),"※这行没填金额",IF(AND(N($J2498)&gt;0,N($K2498)&gt;0),"※收入和支出不能同一行都填",IF(AND($D2498="收入",N($J2498)=0),"※收入行要填收入金额",IF(AND($D2498="支出",N($K2498)=0),"※支出行要填支出金额",IF(AND($C2498&lt;&gt;"",ISNA(MATCH($C2498,账户表,0))),"※账户不在基础资料里",IF(AND($G2498&lt;&gt;"",ISNA(MATCH($G2498,项目名表,0))),"※项目不在项目台账里",IF(AND(LEFT($F2498,3)="成本-",$G2498=""),"※成本类支出没填项目",IF(AND(LEFT($F2498,3)="成本-",$H2498&lt;&gt;"",N($K2498)&gt;0,COUNTIFS(采购单!$B:$B,$B2498,采购单!$C:$C,$H2498,采购单!$L:$L,$K2498)&gt;0),"※这笔可能和采购单重复了",""))))))))))</f>
        <v/>
      </c>
    </row>
    <row r="2499">
      <c r="A2499" s="17">
        <f>IF($B2499="","",ROW()-3)</f>
        <v/>
      </c>
      <c r="B2499" s="18" t="n"/>
      <c r="C2499" s="13" t="n"/>
      <c r="D2499" s="13" t="n"/>
      <c r="E2499" s="13" t="n"/>
      <c r="F2499" s="17">
        <f>IF($E2499="","",IFERROR(VLOOKUP($E2499,类别归属,2,0),"※类别不在基础资料里"))</f>
        <v/>
      </c>
      <c r="G2499" s="13" t="n"/>
      <c r="H2499" s="13" t="n"/>
      <c r="I2499" s="13" t="n"/>
      <c r="J2499" s="14" t="n"/>
      <c r="K2499" s="14" t="n"/>
      <c r="L2499" s="19">
        <f>IF($C2499="","",ROUND(IFERROR(VLOOKUP($C2499,账户期初,2,0),0)+SUMIFS($J$4:J2499,$C$4:C2499,$C2499)-SUMIFS($K$4:K2499,$C$4:C2499,$C2499),2))</f>
        <v/>
      </c>
      <c r="M2499" s="19">
        <f>IF($C2499="","",ROUND(SUM(基础资料!$B$4:$B$13)+SUM($J$4:J2499)-SUM($K$4:K2499),2))</f>
        <v/>
      </c>
      <c r="N2499" s="13" t="n"/>
      <c r="O2499" s="13" t="n"/>
      <c r="P2499" s="17">
        <f>IF($B2499="","",IF($F2499="※类别不在基础资料里","※费用类别不在基础资料里",IF(AND(N($J2499)=0,N($K2499)=0),"※这行没填金额",IF(AND(N($J2499)&gt;0,N($K2499)&gt;0),"※收入和支出不能同一行都填",IF(AND($D2499="收入",N($J2499)=0),"※收入行要填收入金额",IF(AND($D2499="支出",N($K2499)=0),"※支出行要填支出金额",IF(AND($C2499&lt;&gt;"",ISNA(MATCH($C2499,账户表,0))),"※账户不在基础资料里",IF(AND($G2499&lt;&gt;"",ISNA(MATCH($G2499,项目名表,0))),"※项目不在项目台账里",IF(AND(LEFT($F2499,3)="成本-",$G2499=""),"※成本类支出没填项目",IF(AND(LEFT($F2499,3)="成本-",$H2499&lt;&gt;"",N($K2499)&gt;0,COUNTIFS(采购单!$B:$B,$B2499,采购单!$C:$C,$H2499,采购单!$L:$L,$K2499)&gt;0),"※这笔可能和采购单重复了",""))))))))))</f>
        <v/>
      </c>
    </row>
    <row r="2500">
      <c r="A2500" s="17">
        <f>IF($B2500="","",ROW()-3)</f>
        <v/>
      </c>
      <c r="B2500" s="18" t="n"/>
      <c r="C2500" s="13" t="n"/>
      <c r="D2500" s="13" t="n"/>
      <c r="E2500" s="13" t="n"/>
      <c r="F2500" s="17">
        <f>IF($E2500="","",IFERROR(VLOOKUP($E2500,类别归属,2,0),"※类别不在基础资料里"))</f>
        <v/>
      </c>
      <c r="G2500" s="13" t="n"/>
      <c r="H2500" s="13" t="n"/>
      <c r="I2500" s="13" t="n"/>
      <c r="J2500" s="14" t="n"/>
      <c r="K2500" s="14" t="n"/>
      <c r="L2500" s="19">
        <f>IF($C2500="","",ROUND(IFERROR(VLOOKUP($C2500,账户期初,2,0),0)+SUMIFS($J$4:J2500,$C$4:C2500,$C2500)-SUMIFS($K$4:K2500,$C$4:C2500,$C2500),2))</f>
        <v/>
      </c>
      <c r="M2500" s="19">
        <f>IF($C2500="","",ROUND(SUM(基础资料!$B$4:$B$13)+SUM($J$4:J2500)-SUM($K$4:K2500),2))</f>
        <v/>
      </c>
      <c r="N2500" s="13" t="n"/>
      <c r="O2500" s="13" t="n"/>
      <c r="P2500" s="17">
        <f>IF($B2500="","",IF($F2500="※类别不在基础资料里","※费用类别不在基础资料里",IF(AND(N($J2500)=0,N($K2500)=0),"※这行没填金额",IF(AND(N($J2500)&gt;0,N($K2500)&gt;0),"※收入和支出不能同一行都填",IF(AND($D2500="收入",N($J2500)=0),"※收入行要填收入金额",IF(AND($D2500="支出",N($K2500)=0),"※支出行要填支出金额",IF(AND($C2500&lt;&gt;"",ISNA(MATCH($C2500,账户表,0))),"※账户不在基础资料里",IF(AND($G2500&lt;&gt;"",ISNA(MATCH($G2500,项目名表,0))),"※项目不在项目台账里",IF(AND(LEFT($F2500,3)="成本-",$G2500=""),"※成本类支出没填项目",IF(AND(LEFT($F2500,3)="成本-",$H2500&lt;&gt;"",N($K2500)&gt;0,COUNTIFS(采购单!$B:$B,$B2500,采购单!$C:$C,$H2500,采购单!$L:$L,$K2500)&gt;0),"※这笔可能和采购单重复了",""))))))))))</f>
        <v/>
      </c>
    </row>
    <row r="2501">
      <c r="A2501" s="17">
        <f>IF($B2501="","",ROW()-3)</f>
        <v/>
      </c>
      <c r="B2501" s="18" t="n"/>
      <c r="C2501" s="13" t="n"/>
      <c r="D2501" s="13" t="n"/>
      <c r="E2501" s="13" t="n"/>
      <c r="F2501" s="17">
        <f>IF($E2501="","",IFERROR(VLOOKUP($E2501,类别归属,2,0),"※类别不在基础资料里"))</f>
        <v/>
      </c>
      <c r="G2501" s="13" t="n"/>
      <c r="H2501" s="13" t="n"/>
      <c r="I2501" s="13" t="n"/>
      <c r="J2501" s="14" t="n"/>
      <c r="K2501" s="14" t="n"/>
      <c r="L2501" s="19">
        <f>IF($C2501="","",ROUND(IFERROR(VLOOKUP($C2501,账户期初,2,0),0)+SUMIFS($J$4:J2501,$C$4:C2501,$C2501)-SUMIFS($K$4:K2501,$C$4:C2501,$C2501),2))</f>
        <v/>
      </c>
      <c r="M2501" s="19">
        <f>IF($C2501="","",ROUND(SUM(基础资料!$B$4:$B$13)+SUM($J$4:J2501)-SUM($K$4:K2501),2))</f>
        <v/>
      </c>
      <c r="N2501" s="13" t="n"/>
      <c r="O2501" s="13" t="n"/>
      <c r="P2501" s="17">
        <f>IF($B2501="","",IF($F2501="※类别不在基础资料里","※费用类别不在基础资料里",IF(AND(N($J2501)=0,N($K2501)=0),"※这行没填金额",IF(AND(N($J2501)&gt;0,N($K2501)&gt;0),"※收入和支出不能同一行都填",IF(AND($D2501="收入",N($J2501)=0),"※收入行要填收入金额",IF(AND($D2501="支出",N($K2501)=0),"※支出行要填支出金额",IF(AND($C2501&lt;&gt;"",ISNA(MATCH($C2501,账户表,0))),"※账户不在基础资料里",IF(AND($G2501&lt;&gt;"",ISNA(MATCH($G2501,项目名表,0))),"※项目不在项目台账里",IF(AND(LEFT($F2501,3)="成本-",$G2501=""),"※成本类支出没填项目",IF(AND(LEFT($F2501,3)="成本-",$H2501&lt;&gt;"",N($K2501)&gt;0,COUNTIFS(采购单!$B:$B,$B2501,采购单!$C:$C,$H2501,采购单!$L:$L,$K2501)&gt;0),"※这笔可能和采购单重复了",""))))))))))</f>
        <v/>
      </c>
    </row>
    <row r="2502">
      <c r="A2502" s="17">
        <f>IF($B2502="","",ROW()-3)</f>
        <v/>
      </c>
      <c r="B2502" s="18" t="n"/>
      <c r="C2502" s="13" t="n"/>
      <c r="D2502" s="13" t="n"/>
      <c r="E2502" s="13" t="n"/>
      <c r="F2502" s="17">
        <f>IF($E2502="","",IFERROR(VLOOKUP($E2502,类别归属,2,0),"※类别不在基础资料里"))</f>
        <v/>
      </c>
      <c r="G2502" s="13" t="n"/>
      <c r="H2502" s="13" t="n"/>
      <c r="I2502" s="13" t="n"/>
      <c r="J2502" s="14" t="n"/>
      <c r="K2502" s="14" t="n"/>
      <c r="L2502" s="19">
        <f>IF($C2502="","",ROUND(IFERROR(VLOOKUP($C2502,账户期初,2,0),0)+SUMIFS($J$4:J2502,$C$4:C2502,$C2502)-SUMIFS($K$4:K2502,$C$4:C2502,$C2502),2))</f>
        <v/>
      </c>
      <c r="M2502" s="19">
        <f>IF($C2502="","",ROUND(SUM(基础资料!$B$4:$B$13)+SUM($J$4:J2502)-SUM($K$4:K2502),2))</f>
        <v/>
      </c>
      <c r="N2502" s="13" t="n"/>
      <c r="O2502" s="13" t="n"/>
      <c r="P2502" s="17">
        <f>IF($B2502="","",IF($F2502="※类别不在基础资料里","※费用类别不在基础资料里",IF(AND(N($J2502)=0,N($K2502)=0),"※这行没填金额",IF(AND(N($J2502)&gt;0,N($K2502)&gt;0),"※收入和支出不能同一行都填",IF(AND($D2502="收入",N($J2502)=0),"※收入行要填收入金额",IF(AND($D2502="支出",N($K2502)=0),"※支出行要填支出金额",IF(AND($C2502&lt;&gt;"",ISNA(MATCH($C2502,账户表,0))),"※账户不在基础资料里",IF(AND($G2502&lt;&gt;"",ISNA(MATCH($G2502,项目名表,0))),"※项目不在项目台账里",IF(AND(LEFT($F2502,3)="成本-",$G2502=""),"※成本类支出没填项目",IF(AND(LEFT($F2502,3)="成本-",$H2502&lt;&gt;"",N($K2502)&gt;0,COUNTIFS(采购单!$B:$B,$B2502,采购单!$C:$C,$H2502,采购单!$L:$L,$K2502)&gt;0),"※这笔可能和采购单重复了",""))))))))))</f>
        <v/>
      </c>
    </row>
    <row r="2503">
      <c r="A2503" s="17">
        <f>IF($B2503="","",ROW()-3)</f>
        <v/>
      </c>
      <c r="B2503" s="18" t="n"/>
      <c r="C2503" s="13" t="n"/>
      <c r="D2503" s="13" t="n"/>
      <c r="E2503" s="13" t="n"/>
      <c r="F2503" s="17">
        <f>IF($E2503="","",IFERROR(VLOOKUP($E2503,类别归属,2,0),"※类别不在基础资料里"))</f>
        <v/>
      </c>
      <c r="G2503" s="13" t="n"/>
      <c r="H2503" s="13" t="n"/>
      <c r="I2503" s="13" t="n"/>
      <c r="J2503" s="14" t="n"/>
      <c r="K2503" s="14" t="n"/>
      <c r="L2503" s="19">
        <f>IF($C2503="","",ROUND(IFERROR(VLOOKUP($C2503,账户期初,2,0),0)+SUMIFS($J$4:J2503,$C$4:C2503,$C2503)-SUMIFS($K$4:K2503,$C$4:C2503,$C2503),2))</f>
        <v/>
      </c>
      <c r="M2503" s="19">
        <f>IF($C2503="","",ROUND(SUM(基础资料!$B$4:$B$13)+SUM($J$4:J2503)-SUM($K$4:K2503),2))</f>
        <v/>
      </c>
      <c r="N2503" s="13" t="n"/>
      <c r="O2503" s="13" t="n"/>
      <c r="P2503" s="17">
        <f>IF($B2503="","",IF($F2503="※类别不在基础资料里","※费用类别不在基础资料里",IF(AND(N($J2503)=0,N($K2503)=0),"※这行没填金额",IF(AND(N($J2503)&gt;0,N($K2503)&gt;0),"※收入和支出不能同一行都填",IF(AND($D2503="收入",N($J2503)=0),"※收入行要填收入金额",IF(AND($D2503="支出",N($K2503)=0),"※支出行要填支出金额",IF(AND($C2503&lt;&gt;"",ISNA(MATCH($C2503,账户表,0))),"※账户不在基础资料里",IF(AND($G2503&lt;&gt;"",ISNA(MATCH($G2503,项目名表,0))),"※项目不在项目台账里",IF(AND(LEFT($F2503,3)="成本-",$G2503=""),"※成本类支出没填项目",IF(AND(LEFT($F2503,3)="成本-",$H2503&lt;&gt;"",N($K2503)&gt;0,COUNTIFS(采购单!$B:$B,$B2503,采购单!$C:$C,$H2503,采购单!$L:$L,$K2503)&gt;0),"※这笔可能和采购单重复了",""))))))))))</f>
        <v/>
      </c>
    </row>
  </sheetData>
  <autoFilter ref="A3:P2503"/>
  <mergeCells count="2">
    <mergeCell ref="A1:P1"/>
    <mergeCell ref="A2:P2"/>
  </mergeCells>
  <conditionalFormatting sqref="F4:F2503">
    <cfRule type="expression" priority="1" dxfId="0">
      <formula>LEFT(F4,1)="※"</formula>
    </cfRule>
  </conditionalFormatting>
  <conditionalFormatting sqref="P4:P2503">
    <cfRule type="expression" priority="2" dxfId="0">
      <formula>LEFT(P4,1)="※"</formula>
    </cfRule>
  </conditionalFormatting>
  <conditionalFormatting sqref="D4:D2503">
    <cfRule type="cellIs" priority="3" operator="equal" dxfId="1">
      <formula>"收入"</formula>
    </cfRule>
    <cfRule type="cellIs" priority="4" operator="equal" dxfId="2">
      <formula>"支出"</formula>
    </cfRule>
  </conditionalFormatting>
  <dataValidations count="6">
    <dataValidation sqref="C4:C2503" showDropDown="0" showInputMessage="0" showErrorMessage="1" allowBlank="1" errorTitle="这一项没在名单里" error="不在名单里。先去【基础资料】把它加上，或者直接选一个已有的。" type="list" errorStyle="stop">
      <formula1>=账户表</formula1>
    </dataValidation>
    <dataValidation sqref="D4:D2503" showDropDown="0" showInputMessage="0" showErrorMessage="1" allowBlank="1" errorTitle="这一项没在名单里" error="不在名单里。先去【基础资料】把它加上，或者直接选一个已有的。" type="list" errorStyle="stop">
      <formula1>=收支表</formula1>
    </dataValidation>
    <dataValidation sqref="E4:E2503" showDropDown="0" showInputMessage="0" showErrorMessage="1" allowBlank="1" errorTitle="这一项没在名单里" error="不在名单里。先去【基础资料】把它加上，或者直接选一个已有的。" type="list" errorStyle="stop">
      <formula1>=类别表</formula1>
    </dataValidation>
    <dataValidation sqref="G4:G2503" showDropDown="0" showInputMessage="0" showErrorMessage="1" allowBlank="1" errorTitle="这一项没在名单里" error="不在名单里。先去【基础资料】把它加上，或者直接选一个已有的。" type="list" errorStyle="warning">
      <formula1>=项目名表</formula1>
    </dataValidation>
    <dataValidation sqref="H4:H2503" showDropDown="0" showInputMessage="0" showErrorMessage="1" allowBlank="1" errorTitle="这一项没在名单里" error="不在名单里。先去【基础资料】把它加上，或者直接选一个已有的。" type="list" errorStyle="warning">
      <formula1>=往来单位表</formula1>
    </dataValidation>
    <dataValidation sqref="N4:N2503" showDropDown="0" showInputMessage="0" showErrorMessage="1" allowBlank="1" errorTitle="这一项没在名单里" error="不在名单里。先去【基础资料】把它加上，或者直接选一个已有的。" type="list" errorStyle="warning">
      <formula1>=人员表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9" customWidth="1" min="8" max="8"/>
    <col width="13" customWidth="1" min="9" max="9"/>
  </cols>
  <sheetData>
    <row r="1" ht="30" customHeight="1">
      <c r="A1" s="1" t="inlineStr">
        <is>
          <t>账户余额 · 自动，不用填</t>
        </is>
      </c>
    </row>
    <row r="2" ht="22" customHeight="1">
      <c r="A2" s="2" t="inlineStr">
        <is>
          <t>每天收工前用「实盘余额」那一栏跟手机上的真实余额对一下，差异不为零就说明日记账少记或多记了。</t>
        </is>
      </c>
    </row>
    <row r="3" ht="34" customHeight="1">
      <c r="A3" s="21" t="inlineStr">
        <is>
          <t>账户</t>
        </is>
      </c>
      <c r="B3" s="21" t="inlineStr">
        <is>
          <t>期初余额</t>
        </is>
      </c>
      <c r="C3" s="21" t="inlineStr">
        <is>
          <t>累计收入</t>
        </is>
      </c>
      <c r="D3" s="21" t="inlineStr">
        <is>
          <t>累计支出</t>
        </is>
      </c>
      <c r="E3" s="21" t="inlineStr">
        <is>
          <t>当前余额</t>
        </is>
      </c>
      <c r="F3" s="21" t="inlineStr">
        <is>
          <t>本月收入</t>
        </is>
      </c>
      <c r="G3" s="21" t="inlineStr">
        <is>
          <t>本月支出</t>
        </is>
      </c>
      <c r="H3" s="21" t="inlineStr">
        <is>
          <t>笔数</t>
        </is>
      </c>
      <c r="I3" s="21" t="inlineStr">
        <is>
          <t>最后一笔</t>
        </is>
      </c>
    </row>
    <row r="4">
      <c r="A4" s="17">
        <f>IF(基础资料!$A4="","",基础资料!$A4)</f>
        <v/>
      </c>
      <c r="B4" s="19">
        <f>IF($A4="","",N(基础资料!$B4))</f>
        <v/>
      </c>
      <c r="C4" s="19">
        <f>IF($A4="","",ROUND(SUMIF(资金日记账!$C$4:$C$2503,$A4,资金日记账!$J$4:$J$2503),2))</f>
        <v/>
      </c>
      <c r="D4" s="19">
        <f>IF($A4="","",ROUND(SUMIF(资金日记账!$C$4:$C$2503,$A4,资金日记账!$K$4:$K$2503),2))</f>
        <v/>
      </c>
      <c r="E4" s="19">
        <f>IF($A4="","",ROUND($B4+$C4-$D4,2))</f>
        <v/>
      </c>
      <c r="F4" s="19">
        <f>IF($A4="","",ROUND(SUMIFS(资金日记账!$J$4:$J$2503,资金日记账!$C$4:$C$2503,$A4,资金日记账!$B$4:$B$2503,"&gt;="&amp;$D$18,资金日记账!$B$4:$B$2503,"&lt;="&amp;$E$18),2))</f>
        <v/>
      </c>
      <c r="G4" s="19">
        <f>IF($A4="","",ROUND(SUMIFS(资金日记账!$K$4:$K$2503,资金日记账!$C$4:$C$2503,$A4,资金日记账!$B$4:$B$2503,"&gt;="&amp;$D$18,资金日记账!$B$4:$B$2503,"&lt;="&amp;$E$18),2))</f>
        <v/>
      </c>
      <c r="H4" s="22">
        <f>IF($A4="","",COUNTIF(资金日记账!$C$4:$C$2503,$A4))</f>
        <v/>
      </c>
      <c r="I4" s="23">
        <f>IF($A4="","",IFERROR(LOOKUP(1,0/(资金日记账!$C$4:$C$2503=$A4),资金日记账!$B$4:$B$2503),""))</f>
        <v/>
      </c>
    </row>
    <row r="5">
      <c r="A5" s="17">
        <f>IF(基础资料!$A5="","",基础资料!$A5)</f>
        <v/>
      </c>
      <c r="B5" s="19">
        <f>IF($A5="","",N(基础资料!$B5))</f>
        <v/>
      </c>
      <c r="C5" s="19">
        <f>IF($A5="","",ROUND(SUMIF(资金日记账!$C$4:$C$2503,$A5,资金日记账!$J$4:$J$2503),2))</f>
        <v/>
      </c>
      <c r="D5" s="19">
        <f>IF($A5="","",ROUND(SUMIF(资金日记账!$C$4:$C$2503,$A5,资金日记账!$K$4:$K$2503),2))</f>
        <v/>
      </c>
      <c r="E5" s="19">
        <f>IF($A5="","",ROUND($B5+$C5-$D5,2))</f>
        <v/>
      </c>
      <c r="F5" s="19">
        <f>IF($A5="","",ROUND(SUMIFS(资金日记账!$J$4:$J$2503,资金日记账!$C$4:$C$2503,$A5,资金日记账!$B$4:$B$2503,"&gt;="&amp;$D$18,资金日记账!$B$4:$B$2503,"&lt;="&amp;$E$18),2))</f>
        <v/>
      </c>
      <c r="G5" s="19">
        <f>IF($A5="","",ROUND(SUMIFS(资金日记账!$K$4:$K$2503,资金日记账!$C$4:$C$2503,$A5,资金日记账!$B$4:$B$2503,"&gt;="&amp;$D$18,资金日记账!$B$4:$B$2503,"&lt;="&amp;$E$18),2))</f>
        <v/>
      </c>
      <c r="H5" s="22">
        <f>IF($A5="","",COUNTIF(资金日记账!$C$4:$C$2503,$A5))</f>
        <v/>
      </c>
      <c r="I5" s="23">
        <f>IF($A5="","",IFERROR(LOOKUP(1,0/(资金日记账!$C$4:$C$2503=$A5),资金日记账!$B$4:$B$2503),""))</f>
        <v/>
      </c>
    </row>
    <row r="6">
      <c r="A6" s="17">
        <f>IF(基础资料!$A6="","",基础资料!$A6)</f>
        <v/>
      </c>
      <c r="B6" s="19">
        <f>IF($A6="","",N(基础资料!$B6))</f>
        <v/>
      </c>
      <c r="C6" s="19">
        <f>IF($A6="","",ROUND(SUMIF(资金日记账!$C$4:$C$2503,$A6,资金日记账!$J$4:$J$2503),2))</f>
        <v/>
      </c>
      <c r="D6" s="19">
        <f>IF($A6="","",ROUND(SUMIF(资金日记账!$C$4:$C$2503,$A6,资金日记账!$K$4:$K$2503),2))</f>
        <v/>
      </c>
      <c r="E6" s="19">
        <f>IF($A6="","",ROUND($B6+$C6-$D6,2))</f>
        <v/>
      </c>
      <c r="F6" s="19">
        <f>IF($A6="","",ROUND(SUMIFS(资金日记账!$J$4:$J$2503,资金日记账!$C$4:$C$2503,$A6,资金日记账!$B$4:$B$2503,"&gt;="&amp;$D$18,资金日记账!$B$4:$B$2503,"&lt;="&amp;$E$18),2))</f>
        <v/>
      </c>
      <c r="G6" s="19">
        <f>IF($A6="","",ROUND(SUMIFS(资金日记账!$K$4:$K$2503,资金日记账!$C$4:$C$2503,$A6,资金日记账!$B$4:$B$2503,"&gt;="&amp;$D$18,资金日记账!$B$4:$B$2503,"&lt;="&amp;$E$18),2))</f>
        <v/>
      </c>
      <c r="H6" s="22">
        <f>IF($A6="","",COUNTIF(资金日记账!$C$4:$C$2503,$A6))</f>
        <v/>
      </c>
      <c r="I6" s="23">
        <f>IF($A6="","",IFERROR(LOOKUP(1,0/(资金日记账!$C$4:$C$2503=$A6),资金日记账!$B$4:$B$2503),""))</f>
        <v/>
      </c>
    </row>
    <row r="7">
      <c r="A7" s="17">
        <f>IF(基础资料!$A7="","",基础资料!$A7)</f>
        <v/>
      </c>
      <c r="B7" s="19">
        <f>IF($A7="","",N(基础资料!$B7))</f>
        <v/>
      </c>
      <c r="C7" s="19">
        <f>IF($A7="","",ROUND(SUMIF(资金日记账!$C$4:$C$2503,$A7,资金日记账!$J$4:$J$2503),2))</f>
        <v/>
      </c>
      <c r="D7" s="19">
        <f>IF($A7="","",ROUND(SUMIF(资金日记账!$C$4:$C$2503,$A7,资金日记账!$K$4:$K$2503),2))</f>
        <v/>
      </c>
      <c r="E7" s="19">
        <f>IF($A7="","",ROUND($B7+$C7-$D7,2))</f>
        <v/>
      </c>
      <c r="F7" s="19">
        <f>IF($A7="","",ROUND(SUMIFS(资金日记账!$J$4:$J$2503,资金日记账!$C$4:$C$2503,$A7,资金日记账!$B$4:$B$2503,"&gt;="&amp;$D$18,资金日记账!$B$4:$B$2503,"&lt;="&amp;$E$18),2))</f>
        <v/>
      </c>
      <c r="G7" s="19">
        <f>IF($A7="","",ROUND(SUMIFS(资金日记账!$K$4:$K$2503,资金日记账!$C$4:$C$2503,$A7,资金日记账!$B$4:$B$2503,"&gt;="&amp;$D$18,资金日记账!$B$4:$B$2503,"&lt;="&amp;$E$18),2))</f>
        <v/>
      </c>
      <c r="H7" s="22">
        <f>IF($A7="","",COUNTIF(资金日记账!$C$4:$C$2503,$A7))</f>
        <v/>
      </c>
      <c r="I7" s="23">
        <f>IF($A7="","",IFERROR(LOOKUP(1,0/(资金日记账!$C$4:$C$2503=$A7),资金日记账!$B$4:$B$2503),""))</f>
        <v/>
      </c>
    </row>
    <row r="8">
      <c r="A8" s="17">
        <f>IF(基础资料!$A8="","",基础资料!$A8)</f>
        <v/>
      </c>
      <c r="B8" s="19">
        <f>IF($A8="","",N(基础资料!$B8))</f>
        <v/>
      </c>
      <c r="C8" s="19">
        <f>IF($A8="","",ROUND(SUMIF(资金日记账!$C$4:$C$2503,$A8,资金日记账!$J$4:$J$2503),2))</f>
        <v/>
      </c>
      <c r="D8" s="19">
        <f>IF($A8="","",ROUND(SUMIF(资金日记账!$C$4:$C$2503,$A8,资金日记账!$K$4:$K$2503),2))</f>
        <v/>
      </c>
      <c r="E8" s="19">
        <f>IF($A8="","",ROUND($B8+$C8-$D8,2))</f>
        <v/>
      </c>
      <c r="F8" s="19">
        <f>IF($A8="","",ROUND(SUMIFS(资金日记账!$J$4:$J$2503,资金日记账!$C$4:$C$2503,$A8,资金日记账!$B$4:$B$2503,"&gt;="&amp;$D$18,资金日记账!$B$4:$B$2503,"&lt;="&amp;$E$18),2))</f>
        <v/>
      </c>
      <c r="G8" s="19">
        <f>IF($A8="","",ROUND(SUMIFS(资金日记账!$K$4:$K$2503,资金日记账!$C$4:$C$2503,$A8,资金日记账!$B$4:$B$2503,"&gt;="&amp;$D$18,资金日记账!$B$4:$B$2503,"&lt;="&amp;$E$18),2))</f>
        <v/>
      </c>
      <c r="H8" s="22">
        <f>IF($A8="","",COUNTIF(资金日记账!$C$4:$C$2503,$A8))</f>
        <v/>
      </c>
      <c r="I8" s="23">
        <f>IF($A8="","",IFERROR(LOOKUP(1,0/(资金日记账!$C$4:$C$2503=$A8),资金日记账!$B$4:$B$2503),""))</f>
        <v/>
      </c>
    </row>
    <row r="9">
      <c r="A9" s="17">
        <f>IF(基础资料!$A9="","",基础资料!$A9)</f>
        <v/>
      </c>
      <c r="B9" s="19">
        <f>IF($A9="","",N(基础资料!$B9))</f>
        <v/>
      </c>
      <c r="C9" s="19">
        <f>IF($A9="","",ROUND(SUMIF(资金日记账!$C$4:$C$2503,$A9,资金日记账!$J$4:$J$2503),2))</f>
        <v/>
      </c>
      <c r="D9" s="19">
        <f>IF($A9="","",ROUND(SUMIF(资金日记账!$C$4:$C$2503,$A9,资金日记账!$K$4:$K$2503),2))</f>
        <v/>
      </c>
      <c r="E9" s="19">
        <f>IF($A9="","",ROUND($B9+$C9-$D9,2))</f>
        <v/>
      </c>
      <c r="F9" s="19">
        <f>IF($A9="","",ROUND(SUMIFS(资金日记账!$J$4:$J$2503,资金日记账!$C$4:$C$2503,$A9,资金日记账!$B$4:$B$2503,"&gt;="&amp;$D$18,资金日记账!$B$4:$B$2503,"&lt;="&amp;$E$18),2))</f>
        <v/>
      </c>
      <c r="G9" s="19">
        <f>IF($A9="","",ROUND(SUMIFS(资金日记账!$K$4:$K$2503,资金日记账!$C$4:$C$2503,$A9,资金日记账!$B$4:$B$2503,"&gt;="&amp;$D$18,资金日记账!$B$4:$B$2503,"&lt;="&amp;$E$18),2))</f>
        <v/>
      </c>
      <c r="H9" s="22">
        <f>IF($A9="","",COUNTIF(资金日记账!$C$4:$C$2503,$A9))</f>
        <v/>
      </c>
      <c r="I9" s="23">
        <f>IF($A9="","",IFERROR(LOOKUP(1,0/(资金日记账!$C$4:$C$2503=$A9),资金日记账!$B$4:$B$2503),""))</f>
        <v/>
      </c>
    </row>
    <row r="10">
      <c r="A10" s="17">
        <f>IF(基础资料!$A10="","",基础资料!$A10)</f>
        <v/>
      </c>
      <c r="B10" s="19">
        <f>IF($A10="","",N(基础资料!$B10))</f>
        <v/>
      </c>
      <c r="C10" s="19">
        <f>IF($A10="","",ROUND(SUMIF(资金日记账!$C$4:$C$2503,$A10,资金日记账!$J$4:$J$2503),2))</f>
        <v/>
      </c>
      <c r="D10" s="19">
        <f>IF($A10="","",ROUND(SUMIF(资金日记账!$C$4:$C$2503,$A10,资金日记账!$K$4:$K$2503),2))</f>
        <v/>
      </c>
      <c r="E10" s="19">
        <f>IF($A10="","",ROUND($B10+$C10-$D10,2))</f>
        <v/>
      </c>
      <c r="F10" s="19">
        <f>IF($A10="","",ROUND(SUMIFS(资金日记账!$J$4:$J$2503,资金日记账!$C$4:$C$2503,$A10,资金日记账!$B$4:$B$2503,"&gt;="&amp;$D$18,资金日记账!$B$4:$B$2503,"&lt;="&amp;$E$18),2))</f>
        <v/>
      </c>
      <c r="G10" s="19">
        <f>IF($A10="","",ROUND(SUMIFS(资金日记账!$K$4:$K$2503,资金日记账!$C$4:$C$2503,$A10,资金日记账!$B$4:$B$2503,"&gt;="&amp;$D$18,资金日记账!$B$4:$B$2503,"&lt;="&amp;$E$18),2))</f>
        <v/>
      </c>
      <c r="H10" s="22">
        <f>IF($A10="","",COUNTIF(资金日记账!$C$4:$C$2503,$A10))</f>
        <v/>
      </c>
      <c r="I10" s="23">
        <f>IF($A10="","",IFERROR(LOOKUP(1,0/(资金日记账!$C$4:$C$2503=$A10),资金日记账!$B$4:$B$2503),""))</f>
        <v/>
      </c>
    </row>
    <row r="11">
      <c r="A11" s="17">
        <f>IF(基础资料!$A11="","",基础资料!$A11)</f>
        <v/>
      </c>
      <c r="B11" s="19">
        <f>IF($A11="","",N(基础资料!$B11))</f>
        <v/>
      </c>
      <c r="C11" s="19">
        <f>IF($A11="","",ROUND(SUMIF(资金日记账!$C$4:$C$2503,$A11,资金日记账!$J$4:$J$2503),2))</f>
        <v/>
      </c>
      <c r="D11" s="19">
        <f>IF($A11="","",ROUND(SUMIF(资金日记账!$C$4:$C$2503,$A11,资金日记账!$K$4:$K$2503),2))</f>
        <v/>
      </c>
      <c r="E11" s="19">
        <f>IF($A11="","",ROUND($B11+$C11-$D11,2))</f>
        <v/>
      </c>
      <c r="F11" s="19">
        <f>IF($A11="","",ROUND(SUMIFS(资金日记账!$J$4:$J$2503,资金日记账!$C$4:$C$2503,$A11,资金日记账!$B$4:$B$2503,"&gt;="&amp;$D$18,资金日记账!$B$4:$B$2503,"&lt;="&amp;$E$18),2))</f>
        <v/>
      </c>
      <c r="G11" s="19">
        <f>IF($A11="","",ROUND(SUMIFS(资金日记账!$K$4:$K$2503,资金日记账!$C$4:$C$2503,$A11,资金日记账!$B$4:$B$2503,"&gt;="&amp;$D$18,资金日记账!$B$4:$B$2503,"&lt;="&amp;$E$18),2))</f>
        <v/>
      </c>
      <c r="H11" s="22">
        <f>IF($A11="","",COUNTIF(资金日记账!$C$4:$C$2503,$A11))</f>
        <v/>
      </c>
      <c r="I11" s="23">
        <f>IF($A11="","",IFERROR(LOOKUP(1,0/(资金日记账!$C$4:$C$2503=$A11),资金日记账!$B$4:$B$2503),""))</f>
        <v/>
      </c>
    </row>
    <row r="12">
      <c r="A12" s="17">
        <f>IF(基础资料!$A12="","",基础资料!$A12)</f>
        <v/>
      </c>
      <c r="B12" s="19">
        <f>IF($A12="","",N(基础资料!$B12))</f>
        <v/>
      </c>
      <c r="C12" s="19">
        <f>IF($A12="","",ROUND(SUMIF(资金日记账!$C$4:$C$2503,$A12,资金日记账!$J$4:$J$2503),2))</f>
        <v/>
      </c>
      <c r="D12" s="19">
        <f>IF($A12="","",ROUND(SUMIF(资金日记账!$C$4:$C$2503,$A12,资金日记账!$K$4:$K$2503),2))</f>
        <v/>
      </c>
      <c r="E12" s="19">
        <f>IF($A12="","",ROUND($B12+$C12-$D12,2))</f>
        <v/>
      </c>
      <c r="F12" s="19">
        <f>IF($A12="","",ROUND(SUMIFS(资金日记账!$J$4:$J$2503,资金日记账!$C$4:$C$2503,$A12,资金日记账!$B$4:$B$2503,"&gt;="&amp;$D$18,资金日记账!$B$4:$B$2503,"&lt;="&amp;$E$18),2))</f>
        <v/>
      </c>
      <c r="G12" s="19">
        <f>IF($A12="","",ROUND(SUMIFS(资金日记账!$K$4:$K$2503,资金日记账!$C$4:$C$2503,$A12,资金日记账!$B$4:$B$2503,"&gt;="&amp;$D$18,资金日记账!$B$4:$B$2503,"&lt;="&amp;$E$18),2))</f>
        <v/>
      </c>
      <c r="H12" s="22">
        <f>IF($A12="","",COUNTIF(资金日记账!$C$4:$C$2503,$A12))</f>
        <v/>
      </c>
      <c r="I12" s="23">
        <f>IF($A12="","",IFERROR(LOOKUP(1,0/(资金日记账!$C$4:$C$2503=$A12),资金日记账!$B$4:$B$2503),""))</f>
        <v/>
      </c>
    </row>
    <row r="13">
      <c r="A13" s="17">
        <f>IF(基础资料!$A13="","",基础资料!$A13)</f>
        <v/>
      </c>
      <c r="B13" s="19">
        <f>IF($A13="","",N(基础资料!$B13))</f>
        <v/>
      </c>
      <c r="C13" s="19">
        <f>IF($A13="","",ROUND(SUMIF(资金日记账!$C$4:$C$2503,$A13,资金日记账!$J$4:$J$2503),2))</f>
        <v/>
      </c>
      <c r="D13" s="19">
        <f>IF($A13="","",ROUND(SUMIF(资金日记账!$C$4:$C$2503,$A13,资金日记账!$K$4:$K$2503),2))</f>
        <v/>
      </c>
      <c r="E13" s="19">
        <f>IF($A13="","",ROUND($B13+$C13-$D13,2))</f>
        <v/>
      </c>
      <c r="F13" s="19">
        <f>IF($A13="","",ROUND(SUMIFS(资金日记账!$J$4:$J$2503,资金日记账!$C$4:$C$2503,$A13,资金日记账!$B$4:$B$2503,"&gt;="&amp;$D$18,资金日记账!$B$4:$B$2503,"&lt;="&amp;$E$18),2))</f>
        <v/>
      </c>
      <c r="G13" s="19">
        <f>IF($A13="","",ROUND(SUMIFS(资金日记账!$K$4:$K$2503,资金日记账!$C$4:$C$2503,$A13,资金日记账!$B$4:$B$2503,"&gt;="&amp;$D$18,资金日记账!$B$4:$B$2503,"&lt;="&amp;$E$18),2))</f>
        <v/>
      </c>
      <c r="H13" s="22">
        <f>IF($A13="","",COUNTIF(资金日记账!$C$4:$C$2503,$A13))</f>
        <v/>
      </c>
      <c r="I13" s="23">
        <f>IF($A13="","",IFERROR(LOOKUP(1,0/(资金日记账!$C$4:$C$2503=$A13),资金日记账!$B$4:$B$2503),""))</f>
        <v/>
      </c>
    </row>
    <row r="14">
      <c r="A14" s="24" t="inlineStr">
        <is>
          <t>合计</t>
        </is>
      </c>
      <c r="B14" s="25">
        <f>ROUND(SUM(B4:B13),2)</f>
        <v/>
      </c>
      <c r="C14" s="25">
        <f>ROUND(SUM(C4:C13),2)</f>
        <v/>
      </c>
      <c r="D14" s="25">
        <f>ROUND(SUM(D4:D13),2)</f>
        <v/>
      </c>
      <c r="E14" s="25">
        <f>ROUND(SUM(E4:E13),2)</f>
        <v/>
      </c>
      <c r="F14" s="25">
        <f>ROUND(SUM(F4:F13),2)</f>
        <v/>
      </c>
      <c r="G14" s="25">
        <f>ROUND(SUM(G4:G13),2)</f>
        <v/>
      </c>
      <c r="H14" s="26">
        <f>SUM(H4:H13)</f>
        <v/>
      </c>
      <c r="I14" s="27" t="inlineStr"/>
    </row>
    <row r="17">
      <c r="A17" s="4" t="inlineStr">
        <is>
          <t>查询月份 →</t>
        </is>
      </c>
      <c r="B17" s="28" t="inlineStr">
        <is>
          <t>年</t>
        </is>
      </c>
      <c r="C17" s="28" t="inlineStr">
        <is>
          <t>月</t>
        </is>
      </c>
      <c r="D17" s="28" t="inlineStr">
        <is>
          <t>本月第一天</t>
        </is>
      </c>
      <c r="E17" s="28" t="inlineStr">
        <is>
          <t>本月最后一天</t>
        </is>
      </c>
    </row>
    <row r="18">
      <c r="B18" s="29" t="n">
        <v>2026</v>
      </c>
      <c r="C18" s="29" t="n">
        <v>9</v>
      </c>
      <c r="D18" s="23">
        <f>DATE($B$18,$C$18,1)</f>
        <v/>
      </c>
      <c r="E18" s="23">
        <f>EOMONTH($D$18,0)</f>
        <v/>
      </c>
    </row>
    <row r="20">
      <c r="A20" s="30" t="inlineStr">
        <is>
          <t>每天对一下账（实盘余额自己填）</t>
        </is>
      </c>
    </row>
    <row r="21">
      <c r="A21" s="21" t="inlineStr">
        <is>
          <t>账户</t>
        </is>
      </c>
      <c r="B21" s="21" t="inlineStr">
        <is>
          <t>账面余额</t>
        </is>
      </c>
      <c r="C21" s="21" t="inlineStr">
        <is>
          <t>实盘余额(手填)</t>
        </is>
      </c>
      <c r="D21" s="21" t="inlineStr">
        <is>
          <t>差异</t>
        </is>
      </c>
      <c r="E21" s="21" t="inlineStr">
        <is>
          <t>说明</t>
        </is>
      </c>
    </row>
    <row r="22">
      <c r="A22" s="17">
        <f>IF($A4="","",$A4)</f>
        <v/>
      </c>
      <c r="B22" s="19">
        <f>IF($A22="","",$E4)</f>
        <v/>
      </c>
      <c r="C22" s="14" t="n"/>
      <c r="D22" s="31">
        <f>IF(OR($A22="",$C22=""),"",ROUND($C22-$B22,2))</f>
        <v/>
      </c>
      <c r="E22" s="15">
        <f>IF($D22="","",IF(ROUND($D22,2)=0,"对得上","※差 "&amp;TEXT($D22,"0.00")&amp;"，查日记账"))</f>
        <v/>
      </c>
    </row>
    <row r="23">
      <c r="A23" s="17">
        <f>IF($A5="","",$A5)</f>
        <v/>
      </c>
      <c r="B23" s="19">
        <f>IF($A23="","",$E5)</f>
        <v/>
      </c>
      <c r="C23" s="14" t="n"/>
      <c r="D23" s="31">
        <f>IF(OR($A23="",$C23=""),"",ROUND($C23-$B23,2))</f>
        <v/>
      </c>
      <c r="E23" s="15">
        <f>IF($D23="","",IF(ROUND($D23,2)=0,"对得上","※差 "&amp;TEXT($D23,"0.00")&amp;"，查日记账"))</f>
        <v/>
      </c>
    </row>
    <row r="24">
      <c r="A24" s="17">
        <f>IF($A6="","",$A6)</f>
        <v/>
      </c>
      <c r="B24" s="19">
        <f>IF($A24="","",$E6)</f>
        <v/>
      </c>
      <c r="C24" s="14" t="n"/>
      <c r="D24" s="31">
        <f>IF(OR($A24="",$C24=""),"",ROUND($C24-$B24,2))</f>
        <v/>
      </c>
      <c r="E24" s="15">
        <f>IF($D24="","",IF(ROUND($D24,2)=0,"对得上","※差 "&amp;TEXT($D24,"0.00")&amp;"，查日记账"))</f>
        <v/>
      </c>
    </row>
    <row r="25">
      <c r="A25" s="17">
        <f>IF($A7="","",$A7)</f>
        <v/>
      </c>
      <c r="B25" s="19">
        <f>IF($A25="","",$E7)</f>
        <v/>
      </c>
      <c r="C25" s="14" t="n"/>
      <c r="D25" s="31">
        <f>IF(OR($A25="",$C25=""),"",ROUND($C25-$B25,2))</f>
        <v/>
      </c>
      <c r="E25" s="15">
        <f>IF($D25="","",IF(ROUND($D25,2)=0,"对得上","※差 "&amp;TEXT($D25,"0.00")&amp;"，查日记账"))</f>
        <v/>
      </c>
    </row>
    <row r="26">
      <c r="A26" s="17">
        <f>IF($A8="","",$A8)</f>
        <v/>
      </c>
      <c r="B26" s="19">
        <f>IF($A26="","",$E8)</f>
        <v/>
      </c>
      <c r="C26" s="14" t="n"/>
      <c r="D26" s="31">
        <f>IF(OR($A26="",$C26=""),"",ROUND($C26-$B26,2))</f>
        <v/>
      </c>
      <c r="E26" s="15">
        <f>IF($D26="","",IF(ROUND($D26,2)=0,"对得上","※差 "&amp;TEXT($D26,"0.00")&amp;"，查日记账"))</f>
        <v/>
      </c>
    </row>
    <row r="27">
      <c r="A27" s="17">
        <f>IF($A9="","",$A9)</f>
        <v/>
      </c>
      <c r="B27" s="19">
        <f>IF($A27="","",$E9)</f>
        <v/>
      </c>
      <c r="C27" s="14" t="n"/>
      <c r="D27" s="31">
        <f>IF(OR($A27="",$C27=""),"",ROUND($C27-$B27,2))</f>
        <v/>
      </c>
      <c r="E27" s="15">
        <f>IF($D27="","",IF(ROUND($D27,2)=0,"对得上","※差 "&amp;TEXT($D27,"0.00")&amp;"，查日记账"))</f>
        <v/>
      </c>
    </row>
    <row r="28">
      <c r="A28" s="17">
        <f>IF($A10="","",$A10)</f>
        <v/>
      </c>
      <c r="B28" s="19">
        <f>IF($A28="","",$E10)</f>
        <v/>
      </c>
      <c r="C28" s="14" t="n"/>
      <c r="D28" s="31">
        <f>IF(OR($A28="",$C28=""),"",ROUND($C28-$B28,2))</f>
        <v/>
      </c>
      <c r="E28" s="15">
        <f>IF($D28="","",IF(ROUND($D28,2)=0,"对得上","※差 "&amp;TEXT($D28,"0.00")&amp;"，查日记账"))</f>
        <v/>
      </c>
    </row>
    <row r="29">
      <c r="A29" s="17">
        <f>IF($A11="","",$A11)</f>
        <v/>
      </c>
      <c r="B29" s="19">
        <f>IF($A29="","",$E11)</f>
        <v/>
      </c>
      <c r="C29" s="14" t="n"/>
      <c r="D29" s="31">
        <f>IF(OR($A29="",$C29=""),"",ROUND($C29-$B29,2))</f>
        <v/>
      </c>
      <c r="E29" s="15">
        <f>IF($D29="","",IF(ROUND($D29,2)=0,"对得上","※差 "&amp;TEXT($D29,"0.00")&amp;"，查日记账"))</f>
        <v/>
      </c>
    </row>
    <row r="30">
      <c r="A30" s="17">
        <f>IF($A12="","",$A12)</f>
        <v/>
      </c>
      <c r="B30" s="19">
        <f>IF($A30="","",$E12)</f>
        <v/>
      </c>
      <c r="C30" s="14" t="n"/>
      <c r="D30" s="31">
        <f>IF(OR($A30="",$C30=""),"",ROUND($C30-$B30,2))</f>
        <v/>
      </c>
      <c r="E30" s="15">
        <f>IF($D30="","",IF(ROUND($D30,2)=0,"对得上","※差 "&amp;TEXT($D30,"0.00")&amp;"，查日记账"))</f>
        <v/>
      </c>
    </row>
    <row r="31">
      <c r="A31" s="17">
        <f>IF($A13="","",$A13)</f>
        <v/>
      </c>
      <c r="B31" s="19">
        <f>IF($A31="","",$E13)</f>
        <v/>
      </c>
      <c r="C31" s="14" t="n"/>
      <c r="D31" s="31">
        <f>IF(OR($A31="",$C31=""),"",ROUND($C31-$B31,2))</f>
        <v/>
      </c>
      <c r="E31" s="15">
        <f>IF($D31="","",IF(ROUND($D31,2)=0,"对得上","※差 "&amp;TEXT($D31,"0.00")&amp;"，查日记账"))</f>
        <v/>
      </c>
    </row>
  </sheetData>
  <mergeCells count="3">
    <mergeCell ref="A1:I1"/>
    <mergeCell ref="A2:I2"/>
    <mergeCell ref="A20:E20"/>
  </mergeCells>
  <conditionalFormatting sqref="E22:E31">
    <cfRule type="expression" priority="1" dxfId="0">
      <formula>LEFT(E22,1)="※"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U4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0" customWidth="1" min="19" max="19"/>
    <col hidden="1" width="10" customWidth="1" min="20" max="20"/>
    <col width="20" customWidth="1" min="21" max="21"/>
  </cols>
  <sheetData>
    <row r="1" ht="30" customHeight="1">
      <c r="A1" s="1" t="inlineStr">
        <is>
          <t>项目核算 · 自动，不用填（一个项目一行）</t>
        </is>
      </c>
    </row>
    <row r="2" ht="22" customHeight="1">
      <c r="A2" s="2" t="inlineStr">
        <is>
          <t>成本 = 采购单 + 生产安装 + 日记账里选了成本类别的支出，三个地方自动加起来。想看某个项目的明细，去对应的表按项目名筛选即可。</t>
        </is>
      </c>
    </row>
    <row r="3" ht="34" customHeight="1">
      <c r="A3" s="21" t="inlineStr">
        <is>
          <t>项目编号</t>
        </is>
      </c>
      <c r="B3" s="21" t="inlineStr">
        <is>
          <t>项目名称</t>
        </is>
      </c>
      <c r="C3" s="21" t="inlineStr">
        <is>
          <t>客户</t>
        </is>
      </c>
      <c r="D3" s="21" t="inlineStr">
        <is>
          <t>类型</t>
        </is>
      </c>
      <c r="E3" s="21" t="inlineStr">
        <is>
          <t>负责人</t>
        </is>
      </c>
      <c r="F3" s="21" t="inlineStr">
        <is>
          <t>下单日期</t>
        </is>
      </c>
      <c r="G3" s="21" t="inlineStr">
        <is>
          <t>完工日期</t>
        </is>
      </c>
      <c r="H3" s="21" t="inlineStr">
        <is>
          <t>状态</t>
        </is>
      </c>
      <c r="I3" s="21" t="inlineStr">
        <is>
          <t>合同总额</t>
        </is>
      </c>
      <c r="J3" s="21" t="inlineStr">
        <is>
          <t>已收款</t>
        </is>
      </c>
      <c r="K3" s="21" t="inlineStr">
        <is>
          <t>未收款</t>
        </is>
      </c>
      <c r="L3" s="21" t="inlineStr">
        <is>
          <t>主材</t>
        </is>
      </c>
      <c r="M3" s="21" t="inlineStr">
        <is>
          <t>辅材</t>
        </is>
      </c>
      <c r="N3" s="21" t="inlineStr">
        <is>
          <t>人工
(设计制作安装)</t>
        </is>
      </c>
      <c r="O3" s="21" t="inlineStr">
        <is>
          <t>运费车费</t>
        </is>
      </c>
      <c r="P3" s="21" t="inlineStr">
        <is>
          <t>其他直接</t>
        </is>
      </c>
      <c r="Q3" s="21" t="inlineStr">
        <is>
          <t>成本合计</t>
        </is>
      </c>
      <c r="R3" s="21" t="inlineStr">
        <is>
          <t>毛利</t>
        </is>
      </c>
      <c r="S3" s="21" t="inlineStr">
        <is>
          <t>毛利率</t>
        </is>
      </c>
      <c r="T3" s="21" t="inlineStr">
        <is>
          <t>完工年月</t>
        </is>
      </c>
      <c r="U3" s="21" t="inlineStr">
        <is>
          <t>备注</t>
        </is>
      </c>
    </row>
    <row r="4">
      <c r="A4" s="24" t="inlineStr">
        <is>
          <t>合计</t>
        </is>
      </c>
      <c r="B4" s="24">
        <f>COUNTIF($B5:$B404,"?*")&amp;" 个项目"</f>
        <v/>
      </c>
      <c r="C4" s="17" t="n"/>
      <c r="D4" s="17" t="n"/>
      <c r="E4" s="17" t="n"/>
      <c r="F4" s="23" t="n"/>
      <c r="G4" s="23" t="n"/>
      <c r="H4" s="17" t="n"/>
      <c r="I4" s="25">
        <f>ROUND(SUM(I5:I404),2)</f>
        <v/>
      </c>
      <c r="J4" s="25">
        <f>ROUND(SUM(J5:J404),2)</f>
        <v/>
      </c>
      <c r="K4" s="25">
        <f>ROUND(SUM(K5:K404),2)</f>
        <v/>
      </c>
      <c r="L4" s="25">
        <f>ROUND(SUM(L5:L404),2)</f>
        <v/>
      </c>
      <c r="M4" s="25">
        <f>ROUND(SUM(M5:M404),2)</f>
        <v/>
      </c>
      <c r="N4" s="25">
        <f>ROUND(SUM(N5:N404),2)</f>
        <v/>
      </c>
      <c r="O4" s="25">
        <f>ROUND(SUM(O5:O404),2)</f>
        <v/>
      </c>
      <c r="P4" s="25">
        <f>ROUND(SUM(P5:P404),2)</f>
        <v/>
      </c>
      <c r="Q4" s="25">
        <f>ROUND(SUM(Q5:Q404),2)</f>
        <v/>
      </c>
      <c r="R4" s="25">
        <f>ROUND(SUM(R5:R404),2)</f>
        <v/>
      </c>
      <c r="S4" s="32">
        <f>IF(ROUND($I4,2)=0,"",ROUND($R4/$I4,4))</f>
        <v/>
      </c>
      <c r="T4" s="22" t="n"/>
      <c r="U4" s="17" t="n"/>
    </row>
    <row r="5">
      <c r="A5" s="17">
        <f>IF(项目台账!$B4="","",项目台账!$A4)</f>
        <v/>
      </c>
      <c r="B5" s="17">
        <f>IF(项目台账!$B4="","",项目台账!$B4)</f>
        <v/>
      </c>
      <c r="C5" s="17">
        <f>IF($B5="","",IF(项目台账!$C4="","",项目台账!$C4))</f>
        <v/>
      </c>
      <c r="D5" s="17">
        <f>IF($B5="","",IF(项目台账!$D4="","",项目台账!$D4))</f>
        <v/>
      </c>
      <c r="E5" s="17">
        <f>IF($B5="","",IF(项目台账!$E4="","",项目台账!$E4))</f>
        <v/>
      </c>
      <c r="F5" s="23">
        <f>IF($B5="","",IF(项目台账!$F4="","",项目台账!$F4))</f>
        <v/>
      </c>
      <c r="G5" s="23">
        <f>IF($B5="","",IF(项目台账!$J4="","",项目台账!$J4))</f>
        <v/>
      </c>
      <c r="H5" s="17">
        <f>IF($B5="","",IF(项目台账!$Q4="","",项目台账!$Q4))</f>
        <v/>
      </c>
      <c r="I5" s="19">
        <f>IF($B5="","",项目台账!$M4)</f>
        <v/>
      </c>
      <c r="J5" s="19">
        <f>IF($B5="","",项目台账!$O4)</f>
        <v/>
      </c>
      <c r="K5" s="19">
        <f>IF($B5="","",项目台账!$P4)</f>
        <v/>
      </c>
      <c r="L5" s="19">
        <f>IF($B5="","",ROUND(SUMIFS(采购单!$L$4:$L$2003,采购单!$D$4:$D$2003,$B5,采购单!$F$4:$F$2003,"成本-主材")+SUMIFS(生产安装!$J$4:$J$1203,生产安装!$C$4:$C$1203,$B5,生产安装!$E$4:$E$1203,"成本-主材")+SUMIFS(资金日记账!$K$4:$K$2503,资金日记账!$G$4:$G$2503,$B5,资金日记账!$F$4:$F$2503,"成本-主材")-SUMIFS(资金日记账!$J$4:$J$2503,资金日记账!$G$4:$G$2503,$B5,资金日记账!$F$4:$F$2503,"成本-主材"),2))</f>
        <v/>
      </c>
      <c r="M5" s="19">
        <f>IF($B5="","",ROUND(SUMIFS(采购单!$L$4:$L$2003,采购单!$D$4:$D$2003,$B5,采购单!$F$4:$F$2003,"成本-辅材")+SUMIFS(生产安装!$J$4:$J$1203,生产安装!$C$4:$C$1203,$B5,生产安装!$E$4:$E$1203,"成本-辅材")+SUMIFS(资金日记账!$K$4:$K$2503,资金日记账!$G$4:$G$2503,$B5,资金日记账!$F$4:$F$2503,"成本-辅材")-SUMIFS(资金日记账!$J$4:$J$2503,资金日记账!$G$4:$G$2503,$B5,资金日记账!$F$4:$F$2503,"成本-辅材"),2))</f>
        <v/>
      </c>
      <c r="N5" s="19">
        <f>IF($B5="","",ROUND(SUMIFS(采购单!$L$4:$L$2003,采购单!$D$4:$D$2003,$B5,采购单!$F$4:$F$2003,"成本-人工")+SUMIFS(生产安装!$J$4:$J$1203,生产安装!$C$4:$C$1203,$B5,生产安装!$E$4:$E$1203,"成本-人工")+SUMIFS(资金日记账!$K$4:$K$2503,资金日记账!$G$4:$G$2503,$B5,资金日记账!$F$4:$F$2503,"成本-人工")-SUMIFS(资金日记账!$J$4:$J$2503,资金日记账!$G$4:$G$2503,$B5,资金日记账!$F$4:$F$2503,"成本-人工"),2))</f>
        <v/>
      </c>
      <c r="O5" s="19">
        <f>IF($B5="","",ROUND(SUMIFS(采购单!$L$4:$L$2003,采购单!$D$4:$D$2003,$B5,采购单!$F$4:$F$2003,"成本-车运")+SUMIFS(生产安装!$J$4:$J$1203,生产安装!$C$4:$C$1203,$B5,生产安装!$E$4:$E$1203,"成本-车运")+SUMIFS(资金日记账!$K$4:$K$2503,资金日记账!$G$4:$G$2503,$B5,资金日记账!$F$4:$F$2503,"成本-车运")-SUMIFS(资金日记账!$J$4:$J$2503,资金日记账!$G$4:$G$2503,$B5,资金日记账!$F$4:$F$2503,"成本-车运"),2))</f>
        <v/>
      </c>
      <c r="P5" s="19">
        <f>IF($B5="","",ROUND(SUMIFS(采购单!$L$4:$L$2003,采购单!$D$4:$D$2003,$B5,采购单!$F$4:$F$2003,"成本-其他")+SUMIFS(生产安装!$J$4:$J$1203,生产安装!$C$4:$C$1203,$B5,生产安装!$E$4:$E$1203,"成本-其他")+SUMIFS(资金日记账!$K$4:$K$2503,资金日记账!$G$4:$G$2503,$B5,资金日记账!$F$4:$F$2503,"成本-其他")-SUMIFS(资金日记账!$J$4:$J$2503,资金日记账!$G$4:$G$2503,$B5,资金日记账!$F$4:$F$2503,"成本-其他"),2))</f>
        <v/>
      </c>
      <c r="Q5" s="19">
        <f>IF($B5="","",ROUND(SUM($L5:$P5),2))</f>
        <v/>
      </c>
      <c r="R5" s="19">
        <f>IF($B5="","",ROUND($I5-$Q5,2))</f>
        <v/>
      </c>
      <c r="S5" s="33">
        <f>IF($B5="","",IF(ROUND($I5,2)=0,"",ROUND($R5/$I5,4)))</f>
        <v/>
      </c>
      <c r="T5" s="22">
        <f>IF($B5="","",IF($G5="",0,YEAR($G5)*100+MONTH($G5)))</f>
        <v/>
      </c>
      <c r="U5" s="17">
        <f>IF($B5="","",IF(项目台账!$R4="","",项目台账!$R4))</f>
        <v/>
      </c>
    </row>
    <row r="6">
      <c r="A6" s="17">
        <f>IF(项目台账!$B5="","",项目台账!$A5)</f>
        <v/>
      </c>
      <c r="B6" s="17">
        <f>IF(项目台账!$B5="","",项目台账!$B5)</f>
        <v/>
      </c>
      <c r="C6" s="17">
        <f>IF($B6="","",IF(项目台账!$C5="","",项目台账!$C5))</f>
        <v/>
      </c>
      <c r="D6" s="17">
        <f>IF($B6="","",IF(项目台账!$D5="","",项目台账!$D5))</f>
        <v/>
      </c>
      <c r="E6" s="17">
        <f>IF($B6="","",IF(项目台账!$E5="","",项目台账!$E5))</f>
        <v/>
      </c>
      <c r="F6" s="23">
        <f>IF($B6="","",IF(项目台账!$F5="","",项目台账!$F5))</f>
        <v/>
      </c>
      <c r="G6" s="23">
        <f>IF($B6="","",IF(项目台账!$J5="","",项目台账!$J5))</f>
        <v/>
      </c>
      <c r="H6" s="17">
        <f>IF($B6="","",IF(项目台账!$Q5="","",项目台账!$Q5))</f>
        <v/>
      </c>
      <c r="I6" s="19">
        <f>IF($B6="","",项目台账!$M5)</f>
        <v/>
      </c>
      <c r="J6" s="19">
        <f>IF($B6="","",项目台账!$O5)</f>
        <v/>
      </c>
      <c r="K6" s="19">
        <f>IF($B6="","",项目台账!$P5)</f>
        <v/>
      </c>
      <c r="L6" s="19">
        <f>IF($B6="","",ROUND(SUMIFS(采购单!$L$4:$L$2003,采购单!$D$4:$D$2003,$B6,采购单!$F$4:$F$2003,"成本-主材")+SUMIFS(生产安装!$J$4:$J$1203,生产安装!$C$4:$C$1203,$B6,生产安装!$E$4:$E$1203,"成本-主材")+SUMIFS(资金日记账!$K$4:$K$2503,资金日记账!$G$4:$G$2503,$B6,资金日记账!$F$4:$F$2503,"成本-主材")-SUMIFS(资金日记账!$J$4:$J$2503,资金日记账!$G$4:$G$2503,$B6,资金日记账!$F$4:$F$2503,"成本-主材"),2))</f>
        <v/>
      </c>
      <c r="M6" s="19">
        <f>IF($B6="","",ROUND(SUMIFS(采购单!$L$4:$L$2003,采购单!$D$4:$D$2003,$B6,采购单!$F$4:$F$2003,"成本-辅材")+SUMIFS(生产安装!$J$4:$J$1203,生产安装!$C$4:$C$1203,$B6,生产安装!$E$4:$E$1203,"成本-辅材")+SUMIFS(资金日记账!$K$4:$K$2503,资金日记账!$G$4:$G$2503,$B6,资金日记账!$F$4:$F$2503,"成本-辅材")-SUMIFS(资金日记账!$J$4:$J$2503,资金日记账!$G$4:$G$2503,$B6,资金日记账!$F$4:$F$2503,"成本-辅材"),2))</f>
        <v/>
      </c>
      <c r="N6" s="19">
        <f>IF($B6="","",ROUND(SUMIFS(采购单!$L$4:$L$2003,采购单!$D$4:$D$2003,$B6,采购单!$F$4:$F$2003,"成本-人工")+SUMIFS(生产安装!$J$4:$J$1203,生产安装!$C$4:$C$1203,$B6,生产安装!$E$4:$E$1203,"成本-人工")+SUMIFS(资金日记账!$K$4:$K$2503,资金日记账!$G$4:$G$2503,$B6,资金日记账!$F$4:$F$2503,"成本-人工")-SUMIFS(资金日记账!$J$4:$J$2503,资金日记账!$G$4:$G$2503,$B6,资金日记账!$F$4:$F$2503,"成本-人工"),2))</f>
        <v/>
      </c>
      <c r="O6" s="19">
        <f>IF($B6="","",ROUND(SUMIFS(采购单!$L$4:$L$2003,采购单!$D$4:$D$2003,$B6,采购单!$F$4:$F$2003,"成本-车运")+SUMIFS(生产安装!$J$4:$J$1203,生产安装!$C$4:$C$1203,$B6,生产安装!$E$4:$E$1203,"成本-车运")+SUMIFS(资金日记账!$K$4:$K$2503,资金日记账!$G$4:$G$2503,$B6,资金日记账!$F$4:$F$2503,"成本-车运")-SUMIFS(资金日记账!$J$4:$J$2503,资金日记账!$G$4:$G$2503,$B6,资金日记账!$F$4:$F$2503,"成本-车运"),2))</f>
        <v/>
      </c>
      <c r="P6" s="19">
        <f>IF($B6="","",ROUND(SUMIFS(采购单!$L$4:$L$2003,采购单!$D$4:$D$2003,$B6,采购单!$F$4:$F$2003,"成本-其他")+SUMIFS(生产安装!$J$4:$J$1203,生产安装!$C$4:$C$1203,$B6,生产安装!$E$4:$E$1203,"成本-其他")+SUMIFS(资金日记账!$K$4:$K$2503,资金日记账!$G$4:$G$2503,$B6,资金日记账!$F$4:$F$2503,"成本-其他")-SUMIFS(资金日记账!$J$4:$J$2503,资金日记账!$G$4:$G$2503,$B6,资金日记账!$F$4:$F$2503,"成本-其他"),2))</f>
        <v/>
      </c>
      <c r="Q6" s="19">
        <f>IF($B6="","",ROUND(SUM($L6:$P6),2))</f>
        <v/>
      </c>
      <c r="R6" s="19">
        <f>IF($B6="","",ROUND($I6-$Q6,2))</f>
        <v/>
      </c>
      <c r="S6" s="33">
        <f>IF($B6="","",IF(ROUND($I6,2)=0,"",ROUND($R6/$I6,4)))</f>
        <v/>
      </c>
      <c r="T6" s="22">
        <f>IF($B6="","",IF($G6="",0,YEAR($G6)*100+MONTH($G6)))</f>
        <v/>
      </c>
      <c r="U6" s="17">
        <f>IF($B6="","",IF(项目台账!$R5="","",项目台账!$R5))</f>
        <v/>
      </c>
    </row>
    <row r="7">
      <c r="A7" s="17">
        <f>IF(项目台账!$B6="","",项目台账!$A6)</f>
        <v/>
      </c>
      <c r="B7" s="17">
        <f>IF(项目台账!$B6="","",项目台账!$B6)</f>
        <v/>
      </c>
      <c r="C7" s="17">
        <f>IF($B7="","",IF(项目台账!$C6="","",项目台账!$C6))</f>
        <v/>
      </c>
      <c r="D7" s="17">
        <f>IF($B7="","",IF(项目台账!$D6="","",项目台账!$D6))</f>
        <v/>
      </c>
      <c r="E7" s="17">
        <f>IF($B7="","",IF(项目台账!$E6="","",项目台账!$E6))</f>
        <v/>
      </c>
      <c r="F7" s="23">
        <f>IF($B7="","",IF(项目台账!$F6="","",项目台账!$F6))</f>
        <v/>
      </c>
      <c r="G7" s="23">
        <f>IF($B7="","",IF(项目台账!$J6="","",项目台账!$J6))</f>
        <v/>
      </c>
      <c r="H7" s="17">
        <f>IF($B7="","",IF(项目台账!$Q6="","",项目台账!$Q6))</f>
        <v/>
      </c>
      <c r="I7" s="19">
        <f>IF($B7="","",项目台账!$M6)</f>
        <v/>
      </c>
      <c r="J7" s="19">
        <f>IF($B7="","",项目台账!$O6)</f>
        <v/>
      </c>
      <c r="K7" s="19">
        <f>IF($B7="","",项目台账!$P6)</f>
        <v/>
      </c>
      <c r="L7" s="19">
        <f>IF($B7="","",ROUND(SUMIFS(采购单!$L$4:$L$2003,采购单!$D$4:$D$2003,$B7,采购单!$F$4:$F$2003,"成本-主材")+SUMIFS(生产安装!$J$4:$J$1203,生产安装!$C$4:$C$1203,$B7,生产安装!$E$4:$E$1203,"成本-主材")+SUMIFS(资金日记账!$K$4:$K$2503,资金日记账!$G$4:$G$2503,$B7,资金日记账!$F$4:$F$2503,"成本-主材")-SUMIFS(资金日记账!$J$4:$J$2503,资金日记账!$G$4:$G$2503,$B7,资金日记账!$F$4:$F$2503,"成本-主材"),2))</f>
        <v/>
      </c>
      <c r="M7" s="19">
        <f>IF($B7="","",ROUND(SUMIFS(采购单!$L$4:$L$2003,采购单!$D$4:$D$2003,$B7,采购单!$F$4:$F$2003,"成本-辅材")+SUMIFS(生产安装!$J$4:$J$1203,生产安装!$C$4:$C$1203,$B7,生产安装!$E$4:$E$1203,"成本-辅材")+SUMIFS(资金日记账!$K$4:$K$2503,资金日记账!$G$4:$G$2503,$B7,资金日记账!$F$4:$F$2503,"成本-辅材")-SUMIFS(资金日记账!$J$4:$J$2503,资金日记账!$G$4:$G$2503,$B7,资金日记账!$F$4:$F$2503,"成本-辅材"),2))</f>
        <v/>
      </c>
      <c r="N7" s="19">
        <f>IF($B7="","",ROUND(SUMIFS(采购单!$L$4:$L$2003,采购单!$D$4:$D$2003,$B7,采购单!$F$4:$F$2003,"成本-人工")+SUMIFS(生产安装!$J$4:$J$1203,生产安装!$C$4:$C$1203,$B7,生产安装!$E$4:$E$1203,"成本-人工")+SUMIFS(资金日记账!$K$4:$K$2503,资金日记账!$G$4:$G$2503,$B7,资金日记账!$F$4:$F$2503,"成本-人工")-SUMIFS(资金日记账!$J$4:$J$2503,资金日记账!$G$4:$G$2503,$B7,资金日记账!$F$4:$F$2503,"成本-人工"),2))</f>
        <v/>
      </c>
      <c r="O7" s="19">
        <f>IF($B7="","",ROUND(SUMIFS(采购单!$L$4:$L$2003,采购单!$D$4:$D$2003,$B7,采购单!$F$4:$F$2003,"成本-车运")+SUMIFS(生产安装!$J$4:$J$1203,生产安装!$C$4:$C$1203,$B7,生产安装!$E$4:$E$1203,"成本-车运")+SUMIFS(资金日记账!$K$4:$K$2503,资金日记账!$G$4:$G$2503,$B7,资金日记账!$F$4:$F$2503,"成本-车运")-SUMIFS(资金日记账!$J$4:$J$2503,资金日记账!$G$4:$G$2503,$B7,资金日记账!$F$4:$F$2503,"成本-车运"),2))</f>
        <v/>
      </c>
      <c r="P7" s="19">
        <f>IF($B7="","",ROUND(SUMIFS(采购单!$L$4:$L$2003,采购单!$D$4:$D$2003,$B7,采购单!$F$4:$F$2003,"成本-其他")+SUMIFS(生产安装!$J$4:$J$1203,生产安装!$C$4:$C$1203,$B7,生产安装!$E$4:$E$1203,"成本-其他")+SUMIFS(资金日记账!$K$4:$K$2503,资金日记账!$G$4:$G$2503,$B7,资金日记账!$F$4:$F$2503,"成本-其他")-SUMIFS(资金日记账!$J$4:$J$2503,资金日记账!$G$4:$G$2503,$B7,资金日记账!$F$4:$F$2503,"成本-其他"),2))</f>
        <v/>
      </c>
      <c r="Q7" s="19">
        <f>IF($B7="","",ROUND(SUM($L7:$P7),2))</f>
        <v/>
      </c>
      <c r="R7" s="19">
        <f>IF($B7="","",ROUND($I7-$Q7,2))</f>
        <v/>
      </c>
      <c r="S7" s="33">
        <f>IF($B7="","",IF(ROUND($I7,2)=0,"",ROUND($R7/$I7,4)))</f>
        <v/>
      </c>
      <c r="T7" s="22">
        <f>IF($B7="","",IF($G7="",0,YEAR($G7)*100+MONTH($G7)))</f>
        <v/>
      </c>
      <c r="U7" s="17">
        <f>IF($B7="","",IF(项目台账!$R6="","",项目台账!$R6))</f>
        <v/>
      </c>
    </row>
    <row r="8">
      <c r="A8" s="17">
        <f>IF(项目台账!$B7="","",项目台账!$A7)</f>
        <v/>
      </c>
      <c r="B8" s="17">
        <f>IF(项目台账!$B7="","",项目台账!$B7)</f>
        <v/>
      </c>
      <c r="C8" s="17">
        <f>IF($B8="","",IF(项目台账!$C7="","",项目台账!$C7))</f>
        <v/>
      </c>
      <c r="D8" s="17">
        <f>IF($B8="","",IF(项目台账!$D7="","",项目台账!$D7))</f>
        <v/>
      </c>
      <c r="E8" s="17">
        <f>IF($B8="","",IF(项目台账!$E7="","",项目台账!$E7))</f>
        <v/>
      </c>
      <c r="F8" s="23">
        <f>IF($B8="","",IF(项目台账!$F7="","",项目台账!$F7))</f>
        <v/>
      </c>
      <c r="G8" s="23">
        <f>IF($B8="","",IF(项目台账!$J7="","",项目台账!$J7))</f>
        <v/>
      </c>
      <c r="H8" s="17">
        <f>IF($B8="","",IF(项目台账!$Q7="","",项目台账!$Q7))</f>
        <v/>
      </c>
      <c r="I8" s="19">
        <f>IF($B8="","",项目台账!$M7)</f>
        <v/>
      </c>
      <c r="J8" s="19">
        <f>IF($B8="","",项目台账!$O7)</f>
        <v/>
      </c>
      <c r="K8" s="19">
        <f>IF($B8="","",项目台账!$P7)</f>
        <v/>
      </c>
      <c r="L8" s="19">
        <f>IF($B8="","",ROUND(SUMIFS(采购单!$L$4:$L$2003,采购单!$D$4:$D$2003,$B8,采购单!$F$4:$F$2003,"成本-主材")+SUMIFS(生产安装!$J$4:$J$1203,生产安装!$C$4:$C$1203,$B8,生产安装!$E$4:$E$1203,"成本-主材")+SUMIFS(资金日记账!$K$4:$K$2503,资金日记账!$G$4:$G$2503,$B8,资金日记账!$F$4:$F$2503,"成本-主材")-SUMIFS(资金日记账!$J$4:$J$2503,资金日记账!$G$4:$G$2503,$B8,资金日记账!$F$4:$F$2503,"成本-主材"),2))</f>
        <v/>
      </c>
      <c r="M8" s="19">
        <f>IF($B8="","",ROUND(SUMIFS(采购单!$L$4:$L$2003,采购单!$D$4:$D$2003,$B8,采购单!$F$4:$F$2003,"成本-辅材")+SUMIFS(生产安装!$J$4:$J$1203,生产安装!$C$4:$C$1203,$B8,生产安装!$E$4:$E$1203,"成本-辅材")+SUMIFS(资金日记账!$K$4:$K$2503,资金日记账!$G$4:$G$2503,$B8,资金日记账!$F$4:$F$2503,"成本-辅材")-SUMIFS(资金日记账!$J$4:$J$2503,资金日记账!$G$4:$G$2503,$B8,资金日记账!$F$4:$F$2503,"成本-辅材"),2))</f>
        <v/>
      </c>
      <c r="N8" s="19">
        <f>IF($B8="","",ROUND(SUMIFS(采购单!$L$4:$L$2003,采购单!$D$4:$D$2003,$B8,采购单!$F$4:$F$2003,"成本-人工")+SUMIFS(生产安装!$J$4:$J$1203,生产安装!$C$4:$C$1203,$B8,生产安装!$E$4:$E$1203,"成本-人工")+SUMIFS(资金日记账!$K$4:$K$2503,资金日记账!$G$4:$G$2503,$B8,资金日记账!$F$4:$F$2503,"成本-人工")-SUMIFS(资金日记账!$J$4:$J$2503,资金日记账!$G$4:$G$2503,$B8,资金日记账!$F$4:$F$2503,"成本-人工"),2))</f>
        <v/>
      </c>
      <c r="O8" s="19">
        <f>IF($B8="","",ROUND(SUMIFS(采购单!$L$4:$L$2003,采购单!$D$4:$D$2003,$B8,采购单!$F$4:$F$2003,"成本-车运")+SUMIFS(生产安装!$J$4:$J$1203,生产安装!$C$4:$C$1203,$B8,生产安装!$E$4:$E$1203,"成本-车运")+SUMIFS(资金日记账!$K$4:$K$2503,资金日记账!$G$4:$G$2503,$B8,资金日记账!$F$4:$F$2503,"成本-车运")-SUMIFS(资金日记账!$J$4:$J$2503,资金日记账!$G$4:$G$2503,$B8,资金日记账!$F$4:$F$2503,"成本-车运"),2))</f>
        <v/>
      </c>
      <c r="P8" s="19">
        <f>IF($B8="","",ROUND(SUMIFS(采购单!$L$4:$L$2003,采购单!$D$4:$D$2003,$B8,采购单!$F$4:$F$2003,"成本-其他")+SUMIFS(生产安装!$J$4:$J$1203,生产安装!$C$4:$C$1203,$B8,生产安装!$E$4:$E$1203,"成本-其他")+SUMIFS(资金日记账!$K$4:$K$2503,资金日记账!$G$4:$G$2503,$B8,资金日记账!$F$4:$F$2503,"成本-其他")-SUMIFS(资金日记账!$J$4:$J$2503,资金日记账!$G$4:$G$2503,$B8,资金日记账!$F$4:$F$2503,"成本-其他"),2))</f>
        <v/>
      </c>
      <c r="Q8" s="19">
        <f>IF($B8="","",ROUND(SUM($L8:$P8),2))</f>
        <v/>
      </c>
      <c r="R8" s="19">
        <f>IF($B8="","",ROUND($I8-$Q8,2))</f>
        <v/>
      </c>
      <c r="S8" s="33">
        <f>IF($B8="","",IF(ROUND($I8,2)=0,"",ROUND($R8/$I8,4)))</f>
        <v/>
      </c>
      <c r="T8" s="22">
        <f>IF($B8="","",IF($G8="",0,YEAR($G8)*100+MONTH($G8)))</f>
        <v/>
      </c>
      <c r="U8" s="17">
        <f>IF($B8="","",IF(项目台账!$R7="","",项目台账!$R7))</f>
        <v/>
      </c>
    </row>
    <row r="9">
      <c r="A9" s="17">
        <f>IF(项目台账!$B8="","",项目台账!$A8)</f>
        <v/>
      </c>
      <c r="B9" s="17">
        <f>IF(项目台账!$B8="","",项目台账!$B8)</f>
        <v/>
      </c>
      <c r="C9" s="17">
        <f>IF($B9="","",IF(项目台账!$C8="","",项目台账!$C8))</f>
        <v/>
      </c>
      <c r="D9" s="17">
        <f>IF($B9="","",IF(项目台账!$D8="","",项目台账!$D8))</f>
        <v/>
      </c>
      <c r="E9" s="17">
        <f>IF($B9="","",IF(项目台账!$E8="","",项目台账!$E8))</f>
        <v/>
      </c>
      <c r="F9" s="23">
        <f>IF($B9="","",IF(项目台账!$F8="","",项目台账!$F8))</f>
        <v/>
      </c>
      <c r="G9" s="23">
        <f>IF($B9="","",IF(项目台账!$J8="","",项目台账!$J8))</f>
        <v/>
      </c>
      <c r="H9" s="17">
        <f>IF($B9="","",IF(项目台账!$Q8="","",项目台账!$Q8))</f>
        <v/>
      </c>
      <c r="I9" s="19">
        <f>IF($B9="","",项目台账!$M8)</f>
        <v/>
      </c>
      <c r="J9" s="19">
        <f>IF($B9="","",项目台账!$O8)</f>
        <v/>
      </c>
      <c r="K9" s="19">
        <f>IF($B9="","",项目台账!$P8)</f>
        <v/>
      </c>
      <c r="L9" s="19">
        <f>IF($B9="","",ROUND(SUMIFS(采购单!$L$4:$L$2003,采购单!$D$4:$D$2003,$B9,采购单!$F$4:$F$2003,"成本-主材")+SUMIFS(生产安装!$J$4:$J$1203,生产安装!$C$4:$C$1203,$B9,生产安装!$E$4:$E$1203,"成本-主材")+SUMIFS(资金日记账!$K$4:$K$2503,资金日记账!$G$4:$G$2503,$B9,资金日记账!$F$4:$F$2503,"成本-主材")-SUMIFS(资金日记账!$J$4:$J$2503,资金日记账!$G$4:$G$2503,$B9,资金日记账!$F$4:$F$2503,"成本-主材"),2))</f>
        <v/>
      </c>
      <c r="M9" s="19">
        <f>IF($B9="","",ROUND(SUMIFS(采购单!$L$4:$L$2003,采购单!$D$4:$D$2003,$B9,采购单!$F$4:$F$2003,"成本-辅材")+SUMIFS(生产安装!$J$4:$J$1203,生产安装!$C$4:$C$1203,$B9,生产安装!$E$4:$E$1203,"成本-辅材")+SUMIFS(资金日记账!$K$4:$K$2503,资金日记账!$G$4:$G$2503,$B9,资金日记账!$F$4:$F$2503,"成本-辅材")-SUMIFS(资金日记账!$J$4:$J$2503,资金日记账!$G$4:$G$2503,$B9,资金日记账!$F$4:$F$2503,"成本-辅材"),2))</f>
        <v/>
      </c>
      <c r="N9" s="19">
        <f>IF($B9="","",ROUND(SUMIFS(采购单!$L$4:$L$2003,采购单!$D$4:$D$2003,$B9,采购单!$F$4:$F$2003,"成本-人工")+SUMIFS(生产安装!$J$4:$J$1203,生产安装!$C$4:$C$1203,$B9,生产安装!$E$4:$E$1203,"成本-人工")+SUMIFS(资金日记账!$K$4:$K$2503,资金日记账!$G$4:$G$2503,$B9,资金日记账!$F$4:$F$2503,"成本-人工")-SUMIFS(资金日记账!$J$4:$J$2503,资金日记账!$G$4:$G$2503,$B9,资金日记账!$F$4:$F$2503,"成本-人工"),2))</f>
        <v/>
      </c>
      <c r="O9" s="19">
        <f>IF($B9="","",ROUND(SUMIFS(采购单!$L$4:$L$2003,采购单!$D$4:$D$2003,$B9,采购单!$F$4:$F$2003,"成本-车运")+SUMIFS(生产安装!$J$4:$J$1203,生产安装!$C$4:$C$1203,$B9,生产安装!$E$4:$E$1203,"成本-车运")+SUMIFS(资金日记账!$K$4:$K$2503,资金日记账!$G$4:$G$2503,$B9,资金日记账!$F$4:$F$2503,"成本-车运")-SUMIFS(资金日记账!$J$4:$J$2503,资金日记账!$G$4:$G$2503,$B9,资金日记账!$F$4:$F$2503,"成本-车运"),2))</f>
        <v/>
      </c>
      <c r="P9" s="19">
        <f>IF($B9="","",ROUND(SUMIFS(采购单!$L$4:$L$2003,采购单!$D$4:$D$2003,$B9,采购单!$F$4:$F$2003,"成本-其他")+SUMIFS(生产安装!$J$4:$J$1203,生产安装!$C$4:$C$1203,$B9,生产安装!$E$4:$E$1203,"成本-其他")+SUMIFS(资金日记账!$K$4:$K$2503,资金日记账!$G$4:$G$2503,$B9,资金日记账!$F$4:$F$2503,"成本-其他")-SUMIFS(资金日记账!$J$4:$J$2503,资金日记账!$G$4:$G$2503,$B9,资金日记账!$F$4:$F$2503,"成本-其他"),2))</f>
        <v/>
      </c>
      <c r="Q9" s="19">
        <f>IF($B9="","",ROUND(SUM($L9:$P9),2))</f>
        <v/>
      </c>
      <c r="R9" s="19">
        <f>IF($B9="","",ROUND($I9-$Q9,2))</f>
        <v/>
      </c>
      <c r="S9" s="33">
        <f>IF($B9="","",IF(ROUND($I9,2)=0,"",ROUND($R9/$I9,4)))</f>
        <v/>
      </c>
      <c r="T9" s="22">
        <f>IF($B9="","",IF($G9="",0,YEAR($G9)*100+MONTH($G9)))</f>
        <v/>
      </c>
      <c r="U9" s="17">
        <f>IF($B9="","",IF(项目台账!$R8="","",项目台账!$R8))</f>
        <v/>
      </c>
    </row>
    <row r="10">
      <c r="A10" s="17">
        <f>IF(项目台账!$B9="","",项目台账!$A9)</f>
        <v/>
      </c>
      <c r="B10" s="17">
        <f>IF(项目台账!$B9="","",项目台账!$B9)</f>
        <v/>
      </c>
      <c r="C10" s="17">
        <f>IF($B10="","",IF(项目台账!$C9="","",项目台账!$C9))</f>
        <v/>
      </c>
      <c r="D10" s="17">
        <f>IF($B10="","",IF(项目台账!$D9="","",项目台账!$D9))</f>
        <v/>
      </c>
      <c r="E10" s="17">
        <f>IF($B10="","",IF(项目台账!$E9="","",项目台账!$E9))</f>
        <v/>
      </c>
      <c r="F10" s="23">
        <f>IF($B10="","",IF(项目台账!$F9="","",项目台账!$F9))</f>
        <v/>
      </c>
      <c r="G10" s="23">
        <f>IF($B10="","",IF(项目台账!$J9="","",项目台账!$J9))</f>
        <v/>
      </c>
      <c r="H10" s="17">
        <f>IF($B10="","",IF(项目台账!$Q9="","",项目台账!$Q9))</f>
        <v/>
      </c>
      <c r="I10" s="19">
        <f>IF($B10="","",项目台账!$M9)</f>
        <v/>
      </c>
      <c r="J10" s="19">
        <f>IF($B10="","",项目台账!$O9)</f>
        <v/>
      </c>
      <c r="K10" s="19">
        <f>IF($B10="","",项目台账!$P9)</f>
        <v/>
      </c>
      <c r="L10" s="19">
        <f>IF($B10="","",ROUND(SUMIFS(采购单!$L$4:$L$2003,采购单!$D$4:$D$2003,$B10,采购单!$F$4:$F$2003,"成本-主材")+SUMIFS(生产安装!$J$4:$J$1203,生产安装!$C$4:$C$1203,$B10,生产安装!$E$4:$E$1203,"成本-主材")+SUMIFS(资金日记账!$K$4:$K$2503,资金日记账!$G$4:$G$2503,$B10,资金日记账!$F$4:$F$2503,"成本-主材")-SUMIFS(资金日记账!$J$4:$J$2503,资金日记账!$G$4:$G$2503,$B10,资金日记账!$F$4:$F$2503,"成本-主材"),2))</f>
        <v/>
      </c>
      <c r="M10" s="19">
        <f>IF($B10="","",ROUND(SUMIFS(采购单!$L$4:$L$2003,采购单!$D$4:$D$2003,$B10,采购单!$F$4:$F$2003,"成本-辅材")+SUMIFS(生产安装!$J$4:$J$1203,生产安装!$C$4:$C$1203,$B10,生产安装!$E$4:$E$1203,"成本-辅材")+SUMIFS(资金日记账!$K$4:$K$2503,资金日记账!$G$4:$G$2503,$B10,资金日记账!$F$4:$F$2503,"成本-辅材")-SUMIFS(资金日记账!$J$4:$J$2503,资金日记账!$G$4:$G$2503,$B10,资金日记账!$F$4:$F$2503,"成本-辅材"),2))</f>
        <v/>
      </c>
      <c r="N10" s="19">
        <f>IF($B10="","",ROUND(SUMIFS(采购单!$L$4:$L$2003,采购单!$D$4:$D$2003,$B10,采购单!$F$4:$F$2003,"成本-人工")+SUMIFS(生产安装!$J$4:$J$1203,生产安装!$C$4:$C$1203,$B10,生产安装!$E$4:$E$1203,"成本-人工")+SUMIFS(资金日记账!$K$4:$K$2503,资金日记账!$G$4:$G$2503,$B10,资金日记账!$F$4:$F$2503,"成本-人工")-SUMIFS(资金日记账!$J$4:$J$2503,资金日记账!$G$4:$G$2503,$B10,资金日记账!$F$4:$F$2503,"成本-人工"),2))</f>
        <v/>
      </c>
      <c r="O10" s="19">
        <f>IF($B10="","",ROUND(SUMIFS(采购单!$L$4:$L$2003,采购单!$D$4:$D$2003,$B10,采购单!$F$4:$F$2003,"成本-车运")+SUMIFS(生产安装!$J$4:$J$1203,生产安装!$C$4:$C$1203,$B10,生产安装!$E$4:$E$1203,"成本-车运")+SUMIFS(资金日记账!$K$4:$K$2503,资金日记账!$G$4:$G$2503,$B10,资金日记账!$F$4:$F$2503,"成本-车运")-SUMIFS(资金日记账!$J$4:$J$2503,资金日记账!$G$4:$G$2503,$B10,资金日记账!$F$4:$F$2503,"成本-车运"),2))</f>
        <v/>
      </c>
      <c r="P10" s="19">
        <f>IF($B10="","",ROUND(SUMIFS(采购单!$L$4:$L$2003,采购单!$D$4:$D$2003,$B10,采购单!$F$4:$F$2003,"成本-其他")+SUMIFS(生产安装!$J$4:$J$1203,生产安装!$C$4:$C$1203,$B10,生产安装!$E$4:$E$1203,"成本-其他")+SUMIFS(资金日记账!$K$4:$K$2503,资金日记账!$G$4:$G$2503,$B10,资金日记账!$F$4:$F$2503,"成本-其他")-SUMIFS(资金日记账!$J$4:$J$2503,资金日记账!$G$4:$G$2503,$B10,资金日记账!$F$4:$F$2503,"成本-其他"),2))</f>
        <v/>
      </c>
      <c r="Q10" s="19">
        <f>IF($B10="","",ROUND(SUM($L10:$P10),2))</f>
        <v/>
      </c>
      <c r="R10" s="19">
        <f>IF($B10="","",ROUND($I10-$Q10,2))</f>
        <v/>
      </c>
      <c r="S10" s="33">
        <f>IF($B10="","",IF(ROUND($I10,2)=0,"",ROUND($R10/$I10,4)))</f>
        <v/>
      </c>
      <c r="T10" s="22">
        <f>IF($B10="","",IF($G10="",0,YEAR($G10)*100+MONTH($G10)))</f>
        <v/>
      </c>
      <c r="U10" s="17">
        <f>IF($B10="","",IF(项目台账!$R9="","",项目台账!$R9))</f>
        <v/>
      </c>
    </row>
    <row r="11">
      <c r="A11" s="17">
        <f>IF(项目台账!$B10="","",项目台账!$A10)</f>
        <v/>
      </c>
      <c r="B11" s="17">
        <f>IF(项目台账!$B10="","",项目台账!$B10)</f>
        <v/>
      </c>
      <c r="C11" s="17">
        <f>IF($B11="","",IF(项目台账!$C10="","",项目台账!$C10))</f>
        <v/>
      </c>
      <c r="D11" s="17">
        <f>IF($B11="","",IF(项目台账!$D10="","",项目台账!$D10))</f>
        <v/>
      </c>
      <c r="E11" s="17">
        <f>IF($B11="","",IF(项目台账!$E10="","",项目台账!$E10))</f>
        <v/>
      </c>
      <c r="F11" s="23">
        <f>IF($B11="","",IF(项目台账!$F10="","",项目台账!$F10))</f>
        <v/>
      </c>
      <c r="G11" s="23">
        <f>IF($B11="","",IF(项目台账!$J10="","",项目台账!$J10))</f>
        <v/>
      </c>
      <c r="H11" s="17">
        <f>IF($B11="","",IF(项目台账!$Q10="","",项目台账!$Q10))</f>
        <v/>
      </c>
      <c r="I11" s="19">
        <f>IF($B11="","",项目台账!$M10)</f>
        <v/>
      </c>
      <c r="J11" s="19">
        <f>IF($B11="","",项目台账!$O10)</f>
        <v/>
      </c>
      <c r="K11" s="19">
        <f>IF($B11="","",项目台账!$P10)</f>
        <v/>
      </c>
      <c r="L11" s="19">
        <f>IF($B11="","",ROUND(SUMIFS(采购单!$L$4:$L$2003,采购单!$D$4:$D$2003,$B11,采购单!$F$4:$F$2003,"成本-主材")+SUMIFS(生产安装!$J$4:$J$1203,生产安装!$C$4:$C$1203,$B11,生产安装!$E$4:$E$1203,"成本-主材")+SUMIFS(资金日记账!$K$4:$K$2503,资金日记账!$G$4:$G$2503,$B11,资金日记账!$F$4:$F$2503,"成本-主材")-SUMIFS(资金日记账!$J$4:$J$2503,资金日记账!$G$4:$G$2503,$B11,资金日记账!$F$4:$F$2503,"成本-主材"),2))</f>
        <v/>
      </c>
      <c r="M11" s="19">
        <f>IF($B11="","",ROUND(SUMIFS(采购单!$L$4:$L$2003,采购单!$D$4:$D$2003,$B11,采购单!$F$4:$F$2003,"成本-辅材")+SUMIFS(生产安装!$J$4:$J$1203,生产安装!$C$4:$C$1203,$B11,生产安装!$E$4:$E$1203,"成本-辅材")+SUMIFS(资金日记账!$K$4:$K$2503,资金日记账!$G$4:$G$2503,$B11,资金日记账!$F$4:$F$2503,"成本-辅材")-SUMIFS(资金日记账!$J$4:$J$2503,资金日记账!$G$4:$G$2503,$B11,资金日记账!$F$4:$F$2503,"成本-辅材"),2))</f>
        <v/>
      </c>
      <c r="N11" s="19">
        <f>IF($B11="","",ROUND(SUMIFS(采购单!$L$4:$L$2003,采购单!$D$4:$D$2003,$B11,采购单!$F$4:$F$2003,"成本-人工")+SUMIFS(生产安装!$J$4:$J$1203,生产安装!$C$4:$C$1203,$B11,生产安装!$E$4:$E$1203,"成本-人工")+SUMIFS(资金日记账!$K$4:$K$2503,资金日记账!$G$4:$G$2503,$B11,资金日记账!$F$4:$F$2503,"成本-人工")-SUMIFS(资金日记账!$J$4:$J$2503,资金日记账!$G$4:$G$2503,$B11,资金日记账!$F$4:$F$2503,"成本-人工"),2))</f>
        <v/>
      </c>
      <c r="O11" s="19">
        <f>IF($B11="","",ROUND(SUMIFS(采购单!$L$4:$L$2003,采购单!$D$4:$D$2003,$B11,采购单!$F$4:$F$2003,"成本-车运")+SUMIFS(生产安装!$J$4:$J$1203,生产安装!$C$4:$C$1203,$B11,生产安装!$E$4:$E$1203,"成本-车运")+SUMIFS(资金日记账!$K$4:$K$2503,资金日记账!$G$4:$G$2503,$B11,资金日记账!$F$4:$F$2503,"成本-车运")-SUMIFS(资金日记账!$J$4:$J$2503,资金日记账!$G$4:$G$2503,$B11,资金日记账!$F$4:$F$2503,"成本-车运"),2))</f>
        <v/>
      </c>
      <c r="P11" s="19">
        <f>IF($B11="","",ROUND(SUMIFS(采购单!$L$4:$L$2003,采购单!$D$4:$D$2003,$B11,采购单!$F$4:$F$2003,"成本-其他")+SUMIFS(生产安装!$J$4:$J$1203,生产安装!$C$4:$C$1203,$B11,生产安装!$E$4:$E$1203,"成本-其他")+SUMIFS(资金日记账!$K$4:$K$2503,资金日记账!$G$4:$G$2503,$B11,资金日记账!$F$4:$F$2503,"成本-其他")-SUMIFS(资金日记账!$J$4:$J$2503,资金日记账!$G$4:$G$2503,$B11,资金日记账!$F$4:$F$2503,"成本-其他"),2))</f>
        <v/>
      </c>
      <c r="Q11" s="19">
        <f>IF($B11="","",ROUND(SUM($L11:$P11),2))</f>
        <v/>
      </c>
      <c r="R11" s="19">
        <f>IF($B11="","",ROUND($I11-$Q11,2))</f>
        <v/>
      </c>
      <c r="S11" s="33">
        <f>IF($B11="","",IF(ROUND($I11,2)=0,"",ROUND($R11/$I11,4)))</f>
        <v/>
      </c>
      <c r="T11" s="22">
        <f>IF($B11="","",IF($G11="",0,YEAR($G11)*100+MONTH($G11)))</f>
        <v/>
      </c>
      <c r="U11" s="17">
        <f>IF($B11="","",IF(项目台账!$R10="","",项目台账!$R10))</f>
        <v/>
      </c>
    </row>
    <row r="12">
      <c r="A12" s="17">
        <f>IF(项目台账!$B11="","",项目台账!$A11)</f>
        <v/>
      </c>
      <c r="B12" s="17">
        <f>IF(项目台账!$B11="","",项目台账!$B11)</f>
        <v/>
      </c>
      <c r="C12" s="17">
        <f>IF($B12="","",IF(项目台账!$C11="","",项目台账!$C11))</f>
        <v/>
      </c>
      <c r="D12" s="17">
        <f>IF($B12="","",IF(项目台账!$D11="","",项目台账!$D11))</f>
        <v/>
      </c>
      <c r="E12" s="17">
        <f>IF($B12="","",IF(项目台账!$E11="","",项目台账!$E11))</f>
        <v/>
      </c>
      <c r="F12" s="23">
        <f>IF($B12="","",IF(项目台账!$F11="","",项目台账!$F11))</f>
        <v/>
      </c>
      <c r="G12" s="23">
        <f>IF($B12="","",IF(项目台账!$J11="","",项目台账!$J11))</f>
        <v/>
      </c>
      <c r="H12" s="17">
        <f>IF($B12="","",IF(项目台账!$Q11="","",项目台账!$Q11))</f>
        <v/>
      </c>
      <c r="I12" s="19">
        <f>IF($B12="","",项目台账!$M11)</f>
        <v/>
      </c>
      <c r="J12" s="19">
        <f>IF($B12="","",项目台账!$O11)</f>
        <v/>
      </c>
      <c r="K12" s="19">
        <f>IF($B12="","",项目台账!$P11)</f>
        <v/>
      </c>
      <c r="L12" s="19">
        <f>IF($B12="","",ROUND(SUMIFS(采购单!$L$4:$L$2003,采购单!$D$4:$D$2003,$B12,采购单!$F$4:$F$2003,"成本-主材")+SUMIFS(生产安装!$J$4:$J$1203,生产安装!$C$4:$C$1203,$B12,生产安装!$E$4:$E$1203,"成本-主材")+SUMIFS(资金日记账!$K$4:$K$2503,资金日记账!$G$4:$G$2503,$B12,资金日记账!$F$4:$F$2503,"成本-主材")-SUMIFS(资金日记账!$J$4:$J$2503,资金日记账!$G$4:$G$2503,$B12,资金日记账!$F$4:$F$2503,"成本-主材"),2))</f>
        <v/>
      </c>
      <c r="M12" s="19">
        <f>IF($B12="","",ROUND(SUMIFS(采购单!$L$4:$L$2003,采购单!$D$4:$D$2003,$B12,采购单!$F$4:$F$2003,"成本-辅材")+SUMIFS(生产安装!$J$4:$J$1203,生产安装!$C$4:$C$1203,$B12,生产安装!$E$4:$E$1203,"成本-辅材")+SUMIFS(资金日记账!$K$4:$K$2503,资金日记账!$G$4:$G$2503,$B12,资金日记账!$F$4:$F$2503,"成本-辅材")-SUMIFS(资金日记账!$J$4:$J$2503,资金日记账!$G$4:$G$2503,$B12,资金日记账!$F$4:$F$2503,"成本-辅材"),2))</f>
        <v/>
      </c>
      <c r="N12" s="19">
        <f>IF($B12="","",ROUND(SUMIFS(采购单!$L$4:$L$2003,采购单!$D$4:$D$2003,$B12,采购单!$F$4:$F$2003,"成本-人工")+SUMIFS(生产安装!$J$4:$J$1203,生产安装!$C$4:$C$1203,$B12,生产安装!$E$4:$E$1203,"成本-人工")+SUMIFS(资金日记账!$K$4:$K$2503,资金日记账!$G$4:$G$2503,$B12,资金日记账!$F$4:$F$2503,"成本-人工")-SUMIFS(资金日记账!$J$4:$J$2503,资金日记账!$G$4:$G$2503,$B12,资金日记账!$F$4:$F$2503,"成本-人工"),2))</f>
        <v/>
      </c>
      <c r="O12" s="19">
        <f>IF($B12="","",ROUND(SUMIFS(采购单!$L$4:$L$2003,采购单!$D$4:$D$2003,$B12,采购单!$F$4:$F$2003,"成本-车运")+SUMIFS(生产安装!$J$4:$J$1203,生产安装!$C$4:$C$1203,$B12,生产安装!$E$4:$E$1203,"成本-车运")+SUMIFS(资金日记账!$K$4:$K$2503,资金日记账!$G$4:$G$2503,$B12,资金日记账!$F$4:$F$2503,"成本-车运")-SUMIFS(资金日记账!$J$4:$J$2503,资金日记账!$G$4:$G$2503,$B12,资金日记账!$F$4:$F$2503,"成本-车运"),2))</f>
        <v/>
      </c>
      <c r="P12" s="19">
        <f>IF($B12="","",ROUND(SUMIFS(采购单!$L$4:$L$2003,采购单!$D$4:$D$2003,$B12,采购单!$F$4:$F$2003,"成本-其他")+SUMIFS(生产安装!$J$4:$J$1203,生产安装!$C$4:$C$1203,$B12,生产安装!$E$4:$E$1203,"成本-其他")+SUMIFS(资金日记账!$K$4:$K$2503,资金日记账!$G$4:$G$2503,$B12,资金日记账!$F$4:$F$2503,"成本-其他")-SUMIFS(资金日记账!$J$4:$J$2503,资金日记账!$G$4:$G$2503,$B12,资金日记账!$F$4:$F$2503,"成本-其他"),2))</f>
        <v/>
      </c>
      <c r="Q12" s="19">
        <f>IF($B12="","",ROUND(SUM($L12:$P12),2))</f>
        <v/>
      </c>
      <c r="R12" s="19">
        <f>IF($B12="","",ROUND($I12-$Q12,2))</f>
        <v/>
      </c>
      <c r="S12" s="33">
        <f>IF($B12="","",IF(ROUND($I12,2)=0,"",ROUND($R12/$I12,4)))</f>
        <v/>
      </c>
      <c r="T12" s="22">
        <f>IF($B12="","",IF($G12="",0,YEAR($G12)*100+MONTH($G12)))</f>
        <v/>
      </c>
      <c r="U12" s="17">
        <f>IF($B12="","",IF(项目台账!$R11="","",项目台账!$R11))</f>
        <v/>
      </c>
    </row>
    <row r="13">
      <c r="A13" s="17">
        <f>IF(项目台账!$B12="","",项目台账!$A12)</f>
        <v/>
      </c>
      <c r="B13" s="17">
        <f>IF(项目台账!$B12="","",项目台账!$B12)</f>
        <v/>
      </c>
      <c r="C13" s="17">
        <f>IF($B13="","",IF(项目台账!$C12="","",项目台账!$C12))</f>
        <v/>
      </c>
      <c r="D13" s="17">
        <f>IF($B13="","",IF(项目台账!$D12="","",项目台账!$D12))</f>
        <v/>
      </c>
      <c r="E13" s="17">
        <f>IF($B13="","",IF(项目台账!$E12="","",项目台账!$E12))</f>
        <v/>
      </c>
      <c r="F13" s="23">
        <f>IF($B13="","",IF(项目台账!$F12="","",项目台账!$F12))</f>
        <v/>
      </c>
      <c r="G13" s="23">
        <f>IF($B13="","",IF(项目台账!$J12="","",项目台账!$J12))</f>
        <v/>
      </c>
      <c r="H13" s="17">
        <f>IF($B13="","",IF(项目台账!$Q12="","",项目台账!$Q12))</f>
        <v/>
      </c>
      <c r="I13" s="19">
        <f>IF($B13="","",项目台账!$M12)</f>
        <v/>
      </c>
      <c r="J13" s="19">
        <f>IF($B13="","",项目台账!$O12)</f>
        <v/>
      </c>
      <c r="K13" s="19">
        <f>IF($B13="","",项目台账!$P12)</f>
        <v/>
      </c>
      <c r="L13" s="19">
        <f>IF($B13="","",ROUND(SUMIFS(采购单!$L$4:$L$2003,采购单!$D$4:$D$2003,$B13,采购单!$F$4:$F$2003,"成本-主材")+SUMIFS(生产安装!$J$4:$J$1203,生产安装!$C$4:$C$1203,$B13,生产安装!$E$4:$E$1203,"成本-主材")+SUMIFS(资金日记账!$K$4:$K$2503,资金日记账!$G$4:$G$2503,$B13,资金日记账!$F$4:$F$2503,"成本-主材")-SUMIFS(资金日记账!$J$4:$J$2503,资金日记账!$G$4:$G$2503,$B13,资金日记账!$F$4:$F$2503,"成本-主材"),2))</f>
        <v/>
      </c>
      <c r="M13" s="19">
        <f>IF($B13="","",ROUND(SUMIFS(采购单!$L$4:$L$2003,采购单!$D$4:$D$2003,$B13,采购单!$F$4:$F$2003,"成本-辅材")+SUMIFS(生产安装!$J$4:$J$1203,生产安装!$C$4:$C$1203,$B13,生产安装!$E$4:$E$1203,"成本-辅材")+SUMIFS(资金日记账!$K$4:$K$2503,资金日记账!$G$4:$G$2503,$B13,资金日记账!$F$4:$F$2503,"成本-辅材")-SUMIFS(资金日记账!$J$4:$J$2503,资金日记账!$G$4:$G$2503,$B13,资金日记账!$F$4:$F$2503,"成本-辅材"),2))</f>
        <v/>
      </c>
      <c r="N13" s="19">
        <f>IF($B13="","",ROUND(SUMIFS(采购单!$L$4:$L$2003,采购单!$D$4:$D$2003,$B13,采购单!$F$4:$F$2003,"成本-人工")+SUMIFS(生产安装!$J$4:$J$1203,生产安装!$C$4:$C$1203,$B13,生产安装!$E$4:$E$1203,"成本-人工")+SUMIFS(资金日记账!$K$4:$K$2503,资金日记账!$G$4:$G$2503,$B13,资金日记账!$F$4:$F$2503,"成本-人工")-SUMIFS(资金日记账!$J$4:$J$2503,资金日记账!$G$4:$G$2503,$B13,资金日记账!$F$4:$F$2503,"成本-人工"),2))</f>
        <v/>
      </c>
      <c r="O13" s="19">
        <f>IF($B13="","",ROUND(SUMIFS(采购单!$L$4:$L$2003,采购单!$D$4:$D$2003,$B13,采购单!$F$4:$F$2003,"成本-车运")+SUMIFS(生产安装!$J$4:$J$1203,生产安装!$C$4:$C$1203,$B13,生产安装!$E$4:$E$1203,"成本-车运")+SUMIFS(资金日记账!$K$4:$K$2503,资金日记账!$G$4:$G$2503,$B13,资金日记账!$F$4:$F$2503,"成本-车运")-SUMIFS(资金日记账!$J$4:$J$2503,资金日记账!$G$4:$G$2503,$B13,资金日记账!$F$4:$F$2503,"成本-车运"),2))</f>
        <v/>
      </c>
      <c r="P13" s="19">
        <f>IF($B13="","",ROUND(SUMIFS(采购单!$L$4:$L$2003,采购单!$D$4:$D$2003,$B13,采购单!$F$4:$F$2003,"成本-其他")+SUMIFS(生产安装!$J$4:$J$1203,生产安装!$C$4:$C$1203,$B13,生产安装!$E$4:$E$1203,"成本-其他")+SUMIFS(资金日记账!$K$4:$K$2503,资金日记账!$G$4:$G$2503,$B13,资金日记账!$F$4:$F$2503,"成本-其他")-SUMIFS(资金日记账!$J$4:$J$2503,资金日记账!$G$4:$G$2503,$B13,资金日记账!$F$4:$F$2503,"成本-其他"),2))</f>
        <v/>
      </c>
      <c r="Q13" s="19">
        <f>IF($B13="","",ROUND(SUM($L13:$P13),2))</f>
        <v/>
      </c>
      <c r="R13" s="19">
        <f>IF($B13="","",ROUND($I13-$Q13,2))</f>
        <v/>
      </c>
      <c r="S13" s="33">
        <f>IF($B13="","",IF(ROUND($I13,2)=0,"",ROUND($R13/$I13,4)))</f>
        <v/>
      </c>
      <c r="T13" s="22">
        <f>IF($B13="","",IF($G13="",0,YEAR($G13)*100+MONTH($G13)))</f>
        <v/>
      </c>
      <c r="U13" s="17">
        <f>IF($B13="","",IF(项目台账!$R12="","",项目台账!$R12))</f>
        <v/>
      </c>
    </row>
    <row r="14">
      <c r="A14" s="17">
        <f>IF(项目台账!$B13="","",项目台账!$A13)</f>
        <v/>
      </c>
      <c r="B14" s="17">
        <f>IF(项目台账!$B13="","",项目台账!$B13)</f>
        <v/>
      </c>
      <c r="C14" s="17">
        <f>IF($B14="","",IF(项目台账!$C13="","",项目台账!$C13))</f>
        <v/>
      </c>
      <c r="D14" s="17">
        <f>IF($B14="","",IF(项目台账!$D13="","",项目台账!$D13))</f>
        <v/>
      </c>
      <c r="E14" s="17">
        <f>IF($B14="","",IF(项目台账!$E13="","",项目台账!$E13))</f>
        <v/>
      </c>
      <c r="F14" s="23">
        <f>IF($B14="","",IF(项目台账!$F13="","",项目台账!$F13))</f>
        <v/>
      </c>
      <c r="G14" s="23">
        <f>IF($B14="","",IF(项目台账!$J13="","",项目台账!$J13))</f>
        <v/>
      </c>
      <c r="H14" s="17">
        <f>IF($B14="","",IF(项目台账!$Q13="","",项目台账!$Q13))</f>
        <v/>
      </c>
      <c r="I14" s="19">
        <f>IF($B14="","",项目台账!$M13)</f>
        <v/>
      </c>
      <c r="J14" s="19">
        <f>IF($B14="","",项目台账!$O13)</f>
        <v/>
      </c>
      <c r="K14" s="19">
        <f>IF($B14="","",项目台账!$P13)</f>
        <v/>
      </c>
      <c r="L14" s="19">
        <f>IF($B14="","",ROUND(SUMIFS(采购单!$L$4:$L$2003,采购单!$D$4:$D$2003,$B14,采购单!$F$4:$F$2003,"成本-主材")+SUMIFS(生产安装!$J$4:$J$1203,生产安装!$C$4:$C$1203,$B14,生产安装!$E$4:$E$1203,"成本-主材")+SUMIFS(资金日记账!$K$4:$K$2503,资金日记账!$G$4:$G$2503,$B14,资金日记账!$F$4:$F$2503,"成本-主材")-SUMIFS(资金日记账!$J$4:$J$2503,资金日记账!$G$4:$G$2503,$B14,资金日记账!$F$4:$F$2503,"成本-主材"),2))</f>
        <v/>
      </c>
      <c r="M14" s="19">
        <f>IF($B14="","",ROUND(SUMIFS(采购单!$L$4:$L$2003,采购单!$D$4:$D$2003,$B14,采购单!$F$4:$F$2003,"成本-辅材")+SUMIFS(生产安装!$J$4:$J$1203,生产安装!$C$4:$C$1203,$B14,生产安装!$E$4:$E$1203,"成本-辅材")+SUMIFS(资金日记账!$K$4:$K$2503,资金日记账!$G$4:$G$2503,$B14,资金日记账!$F$4:$F$2503,"成本-辅材")-SUMIFS(资金日记账!$J$4:$J$2503,资金日记账!$G$4:$G$2503,$B14,资金日记账!$F$4:$F$2503,"成本-辅材"),2))</f>
        <v/>
      </c>
      <c r="N14" s="19">
        <f>IF($B14="","",ROUND(SUMIFS(采购单!$L$4:$L$2003,采购单!$D$4:$D$2003,$B14,采购单!$F$4:$F$2003,"成本-人工")+SUMIFS(生产安装!$J$4:$J$1203,生产安装!$C$4:$C$1203,$B14,生产安装!$E$4:$E$1203,"成本-人工")+SUMIFS(资金日记账!$K$4:$K$2503,资金日记账!$G$4:$G$2503,$B14,资金日记账!$F$4:$F$2503,"成本-人工")-SUMIFS(资金日记账!$J$4:$J$2503,资金日记账!$G$4:$G$2503,$B14,资金日记账!$F$4:$F$2503,"成本-人工"),2))</f>
        <v/>
      </c>
      <c r="O14" s="19">
        <f>IF($B14="","",ROUND(SUMIFS(采购单!$L$4:$L$2003,采购单!$D$4:$D$2003,$B14,采购单!$F$4:$F$2003,"成本-车运")+SUMIFS(生产安装!$J$4:$J$1203,生产安装!$C$4:$C$1203,$B14,生产安装!$E$4:$E$1203,"成本-车运")+SUMIFS(资金日记账!$K$4:$K$2503,资金日记账!$G$4:$G$2503,$B14,资金日记账!$F$4:$F$2503,"成本-车运")-SUMIFS(资金日记账!$J$4:$J$2503,资金日记账!$G$4:$G$2503,$B14,资金日记账!$F$4:$F$2503,"成本-车运"),2))</f>
        <v/>
      </c>
      <c r="P14" s="19">
        <f>IF($B14="","",ROUND(SUMIFS(采购单!$L$4:$L$2003,采购单!$D$4:$D$2003,$B14,采购单!$F$4:$F$2003,"成本-其他")+SUMIFS(生产安装!$J$4:$J$1203,生产安装!$C$4:$C$1203,$B14,生产安装!$E$4:$E$1203,"成本-其他")+SUMIFS(资金日记账!$K$4:$K$2503,资金日记账!$G$4:$G$2503,$B14,资金日记账!$F$4:$F$2503,"成本-其他")-SUMIFS(资金日记账!$J$4:$J$2503,资金日记账!$G$4:$G$2503,$B14,资金日记账!$F$4:$F$2503,"成本-其他"),2))</f>
        <v/>
      </c>
      <c r="Q14" s="19">
        <f>IF($B14="","",ROUND(SUM($L14:$P14),2))</f>
        <v/>
      </c>
      <c r="R14" s="19">
        <f>IF($B14="","",ROUND($I14-$Q14,2))</f>
        <v/>
      </c>
      <c r="S14" s="33">
        <f>IF($B14="","",IF(ROUND($I14,2)=0,"",ROUND($R14/$I14,4)))</f>
        <v/>
      </c>
      <c r="T14" s="22">
        <f>IF($B14="","",IF($G14="",0,YEAR($G14)*100+MONTH($G14)))</f>
        <v/>
      </c>
      <c r="U14" s="17">
        <f>IF($B14="","",IF(项目台账!$R13="","",项目台账!$R13))</f>
        <v/>
      </c>
    </row>
    <row r="15">
      <c r="A15" s="17">
        <f>IF(项目台账!$B14="","",项目台账!$A14)</f>
        <v/>
      </c>
      <c r="B15" s="17">
        <f>IF(项目台账!$B14="","",项目台账!$B14)</f>
        <v/>
      </c>
      <c r="C15" s="17">
        <f>IF($B15="","",IF(项目台账!$C14="","",项目台账!$C14))</f>
        <v/>
      </c>
      <c r="D15" s="17">
        <f>IF($B15="","",IF(项目台账!$D14="","",项目台账!$D14))</f>
        <v/>
      </c>
      <c r="E15" s="17">
        <f>IF($B15="","",IF(项目台账!$E14="","",项目台账!$E14))</f>
        <v/>
      </c>
      <c r="F15" s="23">
        <f>IF($B15="","",IF(项目台账!$F14="","",项目台账!$F14))</f>
        <v/>
      </c>
      <c r="G15" s="23">
        <f>IF($B15="","",IF(项目台账!$J14="","",项目台账!$J14))</f>
        <v/>
      </c>
      <c r="H15" s="17">
        <f>IF($B15="","",IF(项目台账!$Q14="","",项目台账!$Q14))</f>
        <v/>
      </c>
      <c r="I15" s="19">
        <f>IF($B15="","",项目台账!$M14)</f>
        <v/>
      </c>
      <c r="J15" s="19">
        <f>IF($B15="","",项目台账!$O14)</f>
        <v/>
      </c>
      <c r="K15" s="19">
        <f>IF($B15="","",项目台账!$P14)</f>
        <v/>
      </c>
      <c r="L15" s="19">
        <f>IF($B15="","",ROUND(SUMIFS(采购单!$L$4:$L$2003,采购单!$D$4:$D$2003,$B15,采购单!$F$4:$F$2003,"成本-主材")+SUMIFS(生产安装!$J$4:$J$1203,生产安装!$C$4:$C$1203,$B15,生产安装!$E$4:$E$1203,"成本-主材")+SUMIFS(资金日记账!$K$4:$K$2503,资金日记账!$G$4:$G$2503,$B15,资金日记账!$F$4:$F$2503,"成本-主材")-SUMIFS(资金日记账!$J$4:$J$2503,资金日记账!$G$4:$G$2503,$B15,资金日记账!$F$4:$F$2503,"成本-主材"),2))</f>
        <v/>
      </c>
      <c r="M15" s="19">
        <f>IF($B15="","",ROUND(SUMIFS(采购单!$L$4:$L$2003,采购单!$D$4:$D$2003,$B15,采购单!$F$4:$F$2003,"成本-辅材")+SUMIFS(生产安装!$J$4:$J$1203,生产安装!$C$4:$C$1203,$B15,生产安装!$E$4:$E$1203,"成本-辅材")+SUMIFS(资金日记账!$K$4:$K$2503,资金日记账!$G$4:$G$2503,$B15,资金日记账!$F$4:$F$2503,"成本-辅材")-SUMIFS(资金日记账!$J$4:$J$2503,资金日记账!$G$4:$G$2503,$B15,资金日记账!$F$4:$F$2503,"成本-辅材"),2))</f>
        <v/>
      </c>
      <c r="N15" s="19">
        <f>IF($B15="","",ROUND(SUMIFS(采购单!$L$4:$L$2003,采购单!$D$4:$D$2003,$B15,采购单!$F$4:$F$2003,"成本-人工")+SUMIFS(生产安装!$J$4:$J$1203,生产安装!$C$4:$C$1203,$B15,生产安装!$E$4:$E$1203,"成本-人工")+SUMIFS(资金日记账!$K$4:$K$2503,资金日记账!$G$4:$G$2503,$B15,资金日记账!$F$4:$F$2503,"成本-人工")-SUMIFS(资金日记账!$J$4:$J$2503,资金日记账!$G$4:$G$2503,$B15,资金日记账!$F$4:$F$2503,"成本-人工"),2))</f>
        <v/>
      </c>
      <c r="O15" s="19">
        <f>IF($B15="","",ROUND(SUMIFS(采购单!$L$4:$L$2003,采购单!$D$4:$D$2003,$B15,采购单!$F$4:$F$2003,"成本-车运")+SUMIFS(生产安装!$J$4:$J$1203,生产安装!$C$4:$C$1203,$B15,生产安装!$E$4:$E$1203,"成本-车运")+SUMIFS(资金日记账!$K$4:$K$2503,资金日记账!$G$4:$G$2503,$B15,资金日记账!$F$4:$F$2503,"成本-车运")-SUMIFS(资金日记账!$J$4:$J$2503,资金日记账!$G$4:$G$2503,$B15,资金日记账!$F$4:$F$2503,"成本-车运"),2))</f>
        <v/>
      </c>
      <c r="P15" s="19">
        <f>IF($B15="","",ROUND(SUMIFS(采购单!$L$4:$L$2003,采购单!$D$4:$D$2003,$B15,采购单!$F$4:$F$2003,"成本-其他")+SUMIFS(生产安装!$J$4:$J$1203,生产安装!$C$4:$C$1203,$B15,生产安装!$E$4:$E$1203,"成本-其他")+SUMIFS(资金日记账!$K$4:$K$2503,资金日记账!$G$4:$G$2503,$B15,资金日记账!$F$4:$F$2503,"成本-其他")-SUMIFS(资金日记账!$J$4:$J$2503,资金日记账!$G$4:$G$2503,$B15,资金日记账!$F$4:$F$2503,"成本-其他"),2))</f>
        <v/>
      </c>
      <c r="Q15" s="19">
        <f>IF($B15="","",ROUND(SUM($L15:$P15),2))</f>
        <v/>
      </c>
      <c r="R15" s="19">
        <f>IF($B15="","",ROUND($I15-$Q15,2))</f>
        <v/>
      </c>
      <c r="S15" s="33">
        <f>IF($B15="","",IF(ROUND($I15,2)=0,"",ROUND($R15/$I15,4)))</f>
        <v/>
      </c>
      <c r="T15" s="22">
        <f>IF($B15="","",IF($G15="",0,YEAR($G15)*100+MONTH($G15)))</f>
        <v/>
      </c>
      <c r="U15" s="17">
        <f>IF($B15="","",IF(项目台账!$R14="","",项目台账!$R14))</f>
        <v/>
      </c>
    </row>
    <row r="16">
      <c r="A16" s="17">
        <f>IF(项目台账!$B15="","",项目台账!$A15)</f>
        <v/>
      </c>
      <c r="B16" s="17">
        <f>IF(项目台账!$B15="","",项目台账!$B15)</f>
        <v/>
      </c>
      <c r="C16" s="17">
        <f>IF($B16="","",IF(项目台账!$C15="","",项目台账!$C15))</f>
        <v/>
      </c>
      <c r="D16" s="17">
        <f>IF($B16="","",IF(项目台账!$D15="","",项目台账!$D15))</f>
        <v/>
      </c>
      <c r="E16" s="17">
        <f>IF($B16="","",IF(项目台账!$E15="","",项目台账!$E15))</f>
        <v/>
      </c>
      <c r="F16" s="23">
        <f>IF($B16="","",IF(项目台账!$F15="","",项目台账!$F15))</f>
        <v/>
      </c>
      <c r="G16" s="23">
        <f>IF($B16="","",IF(项目台账!$J15="","",项目台账!$J15))</f>
        <v/>
      </c>
      <c r="H16" s="17">
        <f>IF($B16="","",IF(项目台账!$Q15="","",项目台账!$Q15))</f>
        <v/>
      </c>
      <c r="I16" s="19">
        <f>IF($B16="","",项目台账!$M15)</f>
        <v/>
      </c>
      <c r="J16" s="19">
        <f>IF($B16="","",项目台账!$O15)</f>
        <v/>
      </c>
      <c r="K16" s="19">
        <f>IF($B16="","",项目台账!$P15)</f>
        <v/>
      </c>
      <c r="L16" s="19">
        <f>IF($B16="","",ROUND(SUMIFS(采购单!$L$4:$L$2003,采购单!$D$4:$D$2003,$B16,采购单!$F$4:$F$2003,"成本-主材")+SUMIFS(生产安装!$J$4:$J$1203,生产安装!$C$4:$C$1203,$B16,生产安装!$E$4:$E$1203,"成本-主材")+SUMIFS(资金日记账!$K$4:$K$2503,资金日记账!$G$4:$G$2503,$B16,资金日记账!$F$4:$F$2503,"成本-主材")-SUMIFS(资金日记账!$J$4:$J$2503,资金日记账!$G$4:$G$2503,$B16,资金日记账!$F$4:$F$2503,"成本-主材"),2))</f>
        <v/>
      </c>
      <c r="M16" s="19">
        <f>IF($B16="","",ROUND(SUMIFS(采购单!$L$4:$L$2003,采购单!$D$4:$D$2003,$B16,采购单!$F$4:$F$2003,"成本-辅材")+SUMIFS(生产安装!$J$4:$J$1203,生产安装!$C$4:$C$1203,$B16,生产安装!$E$4:$E$1203,"成本-辅材")+SUMIFS(资金日记账!$K$4:$K$2503,资金日记账!$G$4:$G$2503,$B16,资金日记账!$F$4:$F$2503,"成本-辅材")-SUMIFS(资金日记账!$J$4:$J$2503,资金日记账!$G$4:$G$2503,$B16,资金日记账!$F$4:$F$2503,"成本-辅材"),2))</f>
        <v/>
      </c>
      <c r="N16" s="19">
        <f>IF($B16="","",ROUND(SUMIFS(采购单!$L$4:$L$2003,采购单!$D$4:$D$2003,$B16,采购单!$F$4:$F$2003,"成本-人工")+SUMIFS(生产安装!$J$4:$J$1203,生产安装!$C$4:$C$1203,$B16,生产安装!$E$4:$E$1203,"成本-人工")+SUMIFS(资金日记账!$K$4:$K$2503,资金日记账!$G$4:$G$2503,$B16,资金日记账!$F$4:$F$2503,"成本-人工")-SUMIFS(资金日记账!$J$4:$J$2503,资金日记账!$G$4:$G$2503,$B16,资金日记账!$F$4:$F$2503,"成本-人工"),2))</f>
        <v/>
      </c>
      <c r="O16" s="19">
        <f>IF($B16="","",ROUND(SUMIFS(采购单!$L$4:$L$2003,采购单!$D$4:$D$2003,$B16,采购单!$F$4:$F$2003,"成本-车运")+SUMIFS(生产安装!$J$4:$J$1203,生产安装!$C$4:$C$1203,$B16,生产安装!$E$4:$E$1203,"成本-车运")+SUMIFS(资金日记账!$K$4:$K$2503,资金日记账!$G$4:$G$2503,$B16,资金日记账!$F$4:$F$2503,"成本-车运")-SUMIFS(资金日记账!$J$4:$J$2503,资金日记账!$G$4:$G$2503,$B16,资金日记账!$F$4:$F$2503,"成本-车运"),2))</f>
        <v/>
      </c>
      <c r="P16" s="19">
        <f>IF($B16="","",ROUND(SUMIFS(采购单!$L$4:$L$2003,采购单!$D$4:$D$2003,$B16,采购单!$F$4:$F$2003,"成本-其他")+SUMIFS(生产安装!$J$4:$J$1203,生产安装!$C$4:$C$1203,$B16,生产安装!$E$4:$E$1203,"成本-其他")+SUMIFS(资金日记账!$K$4:$K$2503,资金日记账!$G$4:$G$2503,$B16,资金日记账!$F$4:$F$2503,"成本-其他")-SUMIFS(资金日记账!$J$4:$J$2503,资金日记账!$G$4:$G$2503,$B16,资金日记账!$F$4:$F$2503,"成本-其他"),2))</f>
        <v/>
      </c>
      <c r="Q16" s="19">
        <f>IF($B16="","",ROUND(SUM($L16:$P16),2))</f>
        <v/>
      </c>
      <c r="R16" s="19">
        <f>IF($B16="","",ROUND($I16-$Q16,2))</f>
        <v/>
      </c>
      <c r="S16" s="33">
        <f>IF($B16="","",IF(ROUND($I16,2)=0,"",ROUND($R16/$I16,4)))</f>
        <v/>
      </c>
      <c r="T16" s="22">
        <f>IF($B16="","",IF($G16="",0,YEAR($G16)*100+MONTH($G16)))</f>
        <v/>
      </c>
      <c r="U16" s="17">
        <f>IF($B16="","",IF(项目台账!$R15="","",项目台账!$R15))</f>
        <v/>
      </c>
    </row>
    <row r="17">
      <c r="A17" s="17">
        <f>IF(项目台账!$B16="","",项目台账!$A16)</f>
        <v/>
      </c>
      <c r="B17" s="17">
        <f>IF(项目台账!$B16="","",项目台账!$B16)</f>
        <v/>
      </c>
      <c r="C17" s="17">
        <f>IF($B17="","",IF(项目台账!$C16="","",项目台账!$C16))</f>
        <v/>
      </c>
      <c r="D17" s="17">
        <f>IF($B17="","",IF(项目台账!$D16="","",项目台账!$D16))</f>
        <v/>
      </c>
      <c r="E17" s="17">
        <f>IF($B17="","",IF(项目台账!$E16="","",项目台账!$E16))</f>
        <v/>
      </c>
      <c r="F17" s="23">
        <f>IF($B17="","",IF(项目台账!$F16="","",项目台账!$F16))</f>
        <v/>
      </c>
      <c r="G17" s="23">
        <f>IF($B17="","",IF(项目台账!$J16="","",项目台账!$J16))</f>
        <v/>
      </c>
      <c r="H17" s="17">
        <f>IF($B17="","",IF(项目台账!$Q16="","",项目台账!$Q16))</f>
        <v/>
      </c>
      <c r="I17" s="19">
        <f>IF($B17="","",项目台账!$M16)</f>
        <v/>
      </c>
      <c r="J17" s="19">
        <f>IF($B17="","",项目台账!$O16)</f>
        <v/>
      </c>
      <c r="K17" s="19">
        <f>IF($B17="","",项目台账!$P16)</f>
        <v/>
      </c>
      <c r="L17" s="19">
        <f>IF($B17="","",ROUND(SUMIFS(采购单!$L$4:$L$2003,采购单!$D$4:$D$2003,$B17,采购单!$F$4:$F$2003,"成本-主材")+SUMIFS(生产安装!$J$4:$J$1203,生产安装!$C$4:$C$1203,$B17,生产安装!$E$4:$E$1203,"成本-主材")+SUMIFS(资金日记账!$K$4:$K$2503,资金日记账!$G$4:$G$2503,$B17,资金日记账!$F$4:$F$2503,"成本-主材")-SUMIFS(资金日记账!$J$4:$J$2503,资金日记账!$G$4:$G$2503,$B17,资金日记账!$F$4:$F$2503,"成本-主材"),2))</f>
        <v/>
      </c>
      <c r="M17" s="19">
        <f>IF($B17="","",ROUND(SUMIFS(采购单!$L$4:$L$2003,采购单!$D$4:$D$2003,$B17,采购单!$F$4:$F$2003,"成本-辅材")+SUMIFS(生产安装!$J$4:$J$1203,生产安装!$C$4:$C$1203,$B17,生产安装!$E$4:$E$1203,"成本-辅材")+SUMIFS(资金日记账!$K$4:$K$2503,资金日记账!$G$4:$G$2503,$B17,资金日记账!$F$4:$F$2503,"成本-辅材")-SUMIFS(资金日记账!$J$4:$J$2503,资金日记账!$G$4:$G$2503,$B17,资金日记账!$F$4:$F$2503,"成本-辅材"),2))</f>
        <v/>
      </c>
      <c r="N17" s="19">
        <f>IF($B17="","",ROUND(SUMIFS(采购单!$L$4:$L$2003,采购单!$D$4:$D$2003,$B17,采购单!$F$4:$F$2003,"成本-人工")+SUMIFS(生产安装!$J$4:$J$1203,生产安装!$C$4:$C$1203,$B17,生产安装!$E$4:$E$1203,"成本-人工")+SUMIFS(资金日记账!$K$4:$K$2503,资金日记账!$G$4:$G$2503,$B17,资金日记账!$F$4:$F$2503,"成本-人工")-SUMIFS(资金日记账!$J$4:$J$2503,资金日记账!$G$4:$G$2503,$B17,资金日记账!$F$4:$F$2503,"成本-人工"),2))</f>
        <v/>
      </c>
      <c r="O17" s="19">
        <f>IF($B17="","",ROUND(SUMIFS(采购单!$L$4:$L$2003,采购单!$D$4:$D$2003,$B17,采购单!$F$4:$F$2003,"成本-车运")+SUMIFS(生产安装!$J$4:$J$1203,生产安装!$C$4:$C$1203,$B17,生产安装!$E$4:$E$1203,"成本-车运")+SUMIFS(资金日记账!$K$4:$K$2503,资金日记账!$G$4:$G$2503,$B17,资金日记账!$F$4:$F$2503,"成本-车运")-SUMIFS(资金日记账!$J$4:$J$2503,资金日记账!$G$4:$G$2503,$B17,资金日记账!$F$4:$F$2503,"成本-车运"),2))</f>
        <v/>
      </c>
      <c r="P17" s="19">
        <f>IF($B17="","",ROUND(SUMIFS(采购单!$L$4:$L$2003,采购单!$D$4:$D$2003,$B17,采购单!$F$4:$F$2003,"成本-其他")+SUMIFS(生产安装!$J$4:$J$1203,生产安装!$C$4:$C$1203,$B17,生产安装!$E$4:$E$1203,"成本-其他")+SUMIFS(资金日记账!$K$4:$K$2503,资金日记账!$G$4:$G$2503,$B17,资金日记账!$F$4:$F$2503,"成本-其他")-SUMIFS(资金日记账!$J$4:$J$2503,资金日记账!$G$4:$G$2503,$B17,资金日记账!$F$4:$F$2503,"成本-其他"),2))</f>
        <v/>
      </c>
      <c r="Q17" s="19">
        <f>IF($B17="","",ROUND(SUM($L17:$P17),2))</f>
        <v/>
      </c>
      <c r="R17" s="19">
        <f>IF($B17="","",ROUND($I17-$Q17,2))</f>
        <v/>
      </c>
      <c r="S17" s="33">
        <f>IF($B17="","",IF(ROUND($I17,2)=0,"",ROUND($R17/$I17,4)))</f>
        <v/>
      </c>
      <c r="T17" s="22">
        <f>IF($B17="","",IF($G17="",0,YEAR($G17)*100+MONTH($G17)))</f>
        <v/>
      </c>
      <c r="U17" s="17">
        <f>IF($B17="","",IF(项目台账!$R16="","",项目台账!$R16))</f>
        <v/>
      </c>
    </row>
    <row r="18">
      <c r="A18" s="17">
        <f>IF(项目台账!$B17="","",项目台账!$A17)</f>
        <v/>
      </c>
      <c r="B18" s="17">
        <f>IF(项目台账!$B17="","",项目台账!$B17)</f>
        <v/>
      </c>
      <c r="C18" s="17">
        <f>IF($B18="","",IF(项目台账!$C17="","",项目台账!$C17))</f>
        <v/>
      </c>
      <c r="D18" s="17">
        <f>IF($B18="","",IF(项目台账!$D17="","",项目台账!$D17))</f>
        <v/>
      </c>
      <c r="E18" s="17">
        <f>IF($B18="","",IF(项目台账!$E17="","",项目台账!$E17))</f>
        <v/>
      </c>
      <c r="F18" s="23">
        <f>IF($B18="","",IF(项目台账!$F17="","",项目台账!$F17))</f>
        <v/>
      </c>
      <c r="G18" s="23">
        <f>IF($B18="","",IF(项目台账!$J17="","",项目台账!$J17))</f>
        <v/>
      </c>
      <c r="H18" s="17">
        <f>IF($B18="","",IF(项目台账!$Q17="","",项目台账!$Q17))</f>
        <v/>
      </c>
      <c r="I18" s="19">
        <f>IF($B18="","",项目台账!$M17)</f>
        <v/>
      </c>
      <c r="J18" s="19">
        <f>IF($B18="","",项目台账!$O17)</f>
        <v/>
      </c>
      <c r="K18" s="19">
        <f>IF($B18="","",项目台账!$P17)</f>
        <v/>
      </c>
      <c r="L18" s="19">
        <f>IF($B18="","",ROUND(SUMIFS(采购单!$L$4:$L$2003,采购单!$D$4:$D$2003,$B18,采购单!$F$4:$F$2003,"成本-主材")+SUMIFS(生产安装!$J$4:$J$1203,生产安装!$C$4:$C$1203,$B18,生产安装!$E$4:$E$1203,"成本-主材")+SUMIFS(资金日记账!$K$4:$K$2503,资金日记账!$G$4:$G$2503,$B18,资金日记账!$F$4:$F$2503,"成本-主材")-SUMIFS(资金日记账!$J$4:$J$2503,资金日记账!$G$4:$G$2503,$B18,资金日记账!$F$4:$F$2503,"成本-主材"),2))</f>
        <v/>
      </c>
      <c r="M18" s="19">
        <f>IF($B18="","",ROUND(SUMIFS(采购单!$L$4:$L$2003,采购单!$D$4:$D$2003,$B18,采购单!$F$4:$F$2003,"成本-辅材")+SUMIFS(生产安装!$J$4:$J$1203,生产安装!$C$4:$C$1203,$B18,生产安装!$E$4:$E$1203,"成本-辅材")+SUMIFS(资金日记账!$K$4:$K$2503,资金日记账!$G$4:$G$2503,$B18,资金日记账!$F$4:$F$2503,"成本-辅材")-SUMIFS(资金日记账!$J$4:$J$2503,资金日记账!$G$4:$G$2503,$B18,资金日记账!$F$4:$F$2503,"成本-辅材"),2))</f>
        <v/>
      </c>
      <c r="N18" s="19">
        <f>IF($B18="","",ROUND(SUMIFS(采购单!$L$4:$L$2003,采购单!$D$4:$D$2003,$B18,采购单!$F$4:$F$2003,"成本-人工")+SUMIFS(生产安装!$J$4:$J$1203,生产安装!$C$4:$C$1203,$B18,生产安装!$E$4:$E$1203,"成本-人工")+SUMIFS(资金日记账!$K$4:$K$2503,资金日记账!$G$4:$G$2503,$B18,资金日记账!$F$4:$F$2503,"成本-人工")-SUMIFS(资金日记账!$J$4:$J$2503,资金日记账!$G$4:$G$2503,$B18,资金日记账!$F$4:$F$2503,"成本-人工"),2))</f>
        <v/>
      </c>
      <c r="O18" s="19">
        <f>IF($B18="","",ROUND(SUMIFS(采购单!$L$4:$L$2003,采购单!$D$4:$D$2003,$B18,采购单!$F$4:$F$2003,"成本-车运")+SUMIFS(生产安装!$J$4:$J$1203,生产安装!$C$4:$C$1203,$B18,生产安装!$E$4:$E$1203,"成本-车运")+SUMIFS(资金日记账!$K$4:$K$2503,资金日记账!$G$4:$G$2503,$B18,资金日记账!$F$4:$F$2503,"成本-车运")-SUMIFS(资金日记账!$J$4:$J$2503,资金日记账!$G$4:$G$2503,$B18,资金日记账!$F$4:$F$2503,"成本-车运"),2))</f>
        <v/>
      </c>
      <c r="P18" s="19">
        <f>IF($B18="","",ROUND(SUMIFS(采购单!$L$4:$L$2003,采购单!$D$4:$D$2003,$B18,采购单!$F$4:$F$2003,"成本-其他")+SUMIFS(生产安装!$J$4:$J$1203,生产安装!$C$4:$C$1203,$B18,生产安装!$E$4:$E$1203,"成本-其他")+SUMIFS(资金日记账!$K$4:$K$2503,资金日记账!$G$4:$G$2503,$B18,资金日记账!$F$4:$F$2503,"成本-其他")-SUMIFS(资金日记账!$J$4:$J$2503,资金日记账!$G$4:$G$2503,$B18,资金日记账!$F$4:$F$2503,"成本-其他"),2))</f>
        <v/>
      </c>
      <c r="Q18" s="19">
        <f>IF($B18="","",ROUND(SUM($L18:$P18),2))</f>
        <v/>
      </c>
      <c r="R18" s="19">
        <f>IF($B18="","",ROUND($I18-$Q18,2))</f>
        <v/>
      </c>
      <c r="S18" s="33">
        <f>IF($B18="","",IF(ROUND($I18,2)=0,"",ROUND($R18/$I18,4)))</f>
        <v/>
      </c>
      <c r="T18" s="22">
        <f>IF($B18="","",IF($G18="",0,YEAR($G18)*100+MONTH($G18)))</f>
        <v/>
      </c>
      <c r="U18" s="17">
        <f>IF($B18="","",IF(项目台账!$R17="","",项目台账!$R17))</f>
        <v/>
      </c>
    </row>
    <row r="19">
      <c r="A19" s="17">
        <f>IF(项目台账!$B18="","",项目台账!$A18)</f>
        <v/>
      </c>
      <c r="B19" s="17">
        <f>IF(项目台账!$B18="","",项目台账!$B18)</f>
        <v/>
      </c>
      <c r="C19" s="17">
        <f>IF($B19="","",IF(项目台账!$C18="","",项目台账!$C18))</f>
        <v/>
      </c>
      <c r="D19" s="17">
        <f>IF($B19="","",IF(项目台账!$D18="","",项目台账!$D18))</f>
        <v/>
      </c>
      <c r="E19" s="17">
        <f>IF($B19="","",IF(项目台账!$E18="","",项目台账!$E18))</f>
        <v/>
      </c>
      <c r="F19" s="23">
        <f>IF($B19="","",IF(项目台账!$F18="","",项目台账!$F18))</f>
        <v/>
      </c>
      <c r="G19" s="23">
        <f>IF($B19="","",IF(项目台账!$J18="","",项目台账!$J18))</f>
        <v/>
      </c>
      <c r="H19" s="17">
        <f>IF($B19="","",IF(项目台账!$Q18="","",项目台账!$Q18))</f>
        <v/>
      </c>
      <c r="I19" s="19">
        <f>IF($B19="","",项目台账!$M18)</f>
        <v/>
      </c>
      <c r="J19" s="19">
        <f>IF($B19="","",项目台账!$O18)</f>
        <v/>
      </c>
      <c r="K19" s="19">
        <f>IF($B19="","",项目台账!$P18)</f>
        <v/>
      </c>
      <c r="L19" s="19">
        <f>IF($B19="","",ROUND(SUMIFS(采购单!$L$4:$L$2003,采购单!$D$4:$D$2003,$B19,采购单!$F$4:$F$2003,"成本-主材")+SUMIFS(生产安装!$J$4:$J$1203,生产安装!$C$4:$C$1203,$B19,生产安装!$E$4:$E$1203,"成本-主材")+SUMIFS(资金日记账!$K$4:$K$2503,资金日记账!$G$4:$G$2503,$B19,资金日记账!$F$4:$F$2503,"成本-主材")-SUMIFS(资金日记账!$J$4:$J$2503,资金日记账!$G$4:$G$2503,$B19,资金日记账!$F$4:$F$2503,"成本-主材"),2))</f>
        <v/>
      </c>
      <c r="M19" s="19">
        <f>IF($B19="","",ROUND(SUMIFS(采购单!$L$4:$L$2003,采购单!$D$4:$D$2003,$B19,采购单!$F$4:$F$2003,"成本-辅材")+SUMIFS(生产安装!$J$4:$J$1203,生产安装!$C$4:$C$1203,$B19,生产安装!$E$4:$E$1203,"成本-辅材")+SUMIFS(资金日记账!$K$4:$K$2503,资金日记账!$G$4:$G$2503,$B19,资金日记账!$F$4:$F$2503,"成本-辅材")-SUMIFS(资金日记账!$J$4:$J$2503,资金日记账!$G$4:$G$2503,$B19,资金日记账!$F$4:$F$2503,"成本-辅材"),2))</f>
        <v/>
      </c>
      <c r="N19" s="19">
        <f>IF($B19="","",ROUND(SUMIFS(采购单!$L$4:$L$2003,采购单!$D$4:$D$2003,$B19,采购单!$F$4:$F$2003,"成本-人工")+SUMIFS(生产安装!$J$4:$J$1203,生产安装!$C$4:$C$1203,$B19,生产安装!$E$4:$E$1203,"成本-人工")+SUMIFS(资金日记账!$K$4:$K$2503,资金日记账!$G$4:$G$2503,$B19,资金日记账!$F$4:$F$2503,"成本-人工")-SUMIFS(资金日记账!$J$4:$J$2503,资金日记账!$G$4:$G$2503,$B19,资金日记账!$F$4:$F$2503,"成本-人工"),2))</f>
        <v/>
      </c>
      <c r="O19" s="19">
        <f>IF($B19="","",ROUND(SUMIFS(采购单!$L$4:$L$2003,采购单!$D$4:$D$2003,$B19,采购单!$F$4:$F$2003,"成本-车运")+SUMIFS(生产安装!$J$4:$J$1203,生产安装!$C$4:$C$1203,$B19,生产安装!$E$4:$E$1203,"成本-车运")+SUMIFS(资金日记账!$K$4:$K$2503,资金日记账!$G$4:$G$2503,$B19,资金日记账!$F$4:$F$2503,"成本-车运")-SUMIFS(资金日记账!$J$4:$J$2503,资金日记账!$G$4:$G$2503,$B19,资金日记账!$F$4:$F$2503,"成本-车运"),2))</f>
        <v/>
      </c>
      <c r="P19" s="19">
        <f>IF($B19="","",ROUND(SUMIFS(采购单!$L$4:$L$2003,采购单!$D$4:$D$2003,$B19,采购单!$F$4:$F$2003,"成本-其他")+SUMIFS(生产安装!$J$4:$J$1203,生产安装!$C$4:$C$1203,$B19,生产安装!$E$4:$E$1203,"成本-其他")+SUMIFS(资金日记账!$K$4:$K$2503,资金日记账!$G$4:$G$2503,$B19,资金日记账!$F$4:$F$2503,"成本-其他")-SUMIFS(资金日记账!$J$4:$J$2503,资金日记账!$G$4:$G$2503,$B19,资金日记账!$F$4:$F$2503,"成本-其他"),2))</f>
        <v/>
      </c>
      <c r="Q19" s="19">
        <f>IF($B19="","",ROUND(SUM($L19:$P19),2))</f>
        <v/>
      </c>
      <c r="R19" s="19">
        <f>IF($B19="","",ROUND($I19-$Q19,2))</f>
        <v/>
      </c>
      <c r="S19" s="33">
        <f>IF($B19="","",IF(ROUND($I19,2)=0,"",ROUND($R19/$I19,4)))</f>
        <v/>
      </c>
      <c r="T19" s="22">
        <f>IF($B19="","",IF($G19="",0,YEAR($G19)*100+MONTH($G19)))</f>
        <v/>
      </c>
      <c r="U19" s="17">
        <f>IF($B19="","",IF(项目台账!$R18="","",项目台账!$R18))</f>
        <v/>
      </c>
    </row>
    <row r="20">
      <c r="A20" s="17">
        <f>IF(项目台账!$B19="","",项目台账!$A19)</f>
        <v/>
      </c>
      <c r="B20" s="17">
        <f>IF(项目台账!$B19="","",项目台账!$B19)</f>
        <v/>
      </c>
      <c r="C20" s="17">
        <f>IF($B20="","",IF(项目台账!$C19="","",项目台账!$C19))</f>
        <v/>
      </c>
      <c r="D20" s="17">
        <f>IF($B20="","",IF(项目台账!$D19="","",项目台账!$D19))</f>
        <v/>
      </c>
      <c r="E20" s="17">
        <f>IF($B20="","",IF(项目台账!$E19="","",项目台账!$E19))</f>
        <v/>
      </c>
      <c r="F20" s="23">
        <f>IF($B20="","",IF(项目台账!$F19="","",项目台账!$F19))</f>
        <v/>
      </c>
      <c r="G20" s="23">
        <f>IF($B20="","",IF(项目台账!$J19="","",项目台账!$J19))</f>
        <v/>
      </c>
      <c r="H20" s="17">
        <f>IF($B20="","",IF(项目台账!$Q19="","",项目台账!$Q19))</f>
        <v/>
      </c>
      <c r="I20" s="19">
        <f>IF($B20="","",项目台账!$M19)</f>
        <v/>
      </c>
      <c r="J20" s="19">
        <f>IF($B20="","",项目台账!$O19)</f>
        <v/>
      </c>
      <c r="K20" s="19">
        <f>IF($B20="","",项目台账!$P19)</f>
        <v/>
      </c>
      <c r="L20" s="19">
        <f>IF($B20="","",ROUND(SUMIFS(采购单!$L$4:$L$2003,采购单!$D$4:$D$2003,$B20,采购单!$F$4:$F$2003,"成本-主材")+SUMIFS(生产安装!$J$4:$J$1203,生产安装!$C$4:$C$1203,$B20,生产安装!$E$4:$E$1203,"成本-主材")+SUMIFS(资金日记账!$K$4:$K$2503,资金日记账!$G$4:$G$2503,$B20,资金日记账!$F$4:$F$2503,"成本-主材")-SUMIFS(资金日记账!$J$4:$J$2503,资金日记账!$G$4:$G$2503,$B20,资金日记账!$F$4:$F$2503,"成本-主材"),2))</f>
        <v/>
      </c>
      <c r="M20" s="19">
        <f>IF($B20="","",ROUND(SUMIFS(采购单!$L$4:$L$2003,采购单!$D$4:$D$2003,$B20,采购单!$F$4:$F$2003,"成本-辅材")+SUMIFS(生产安装!$J$4:$J$1203,生产安装!$C$4:$C$1203,$B20,生产安装!$E$4:$E$1203,"成本-辅材")+SUMIFS(资金日记账!$K$4:$K$2503,资金日记账!$G$4:$G$2503,$B20,资金日记账!$F$4:$F$2503,"成本-辅材")-SUMIFS(资金日记账!$J$4:$J$2503,资金日记账!$G$4:$G$2503,$B20,资金日记账!$F$4:$F$2503,"成本-辅材"),2))</f>
        <v/>
      </c>
      <c r="N20" s="19">
        <f>IF($B20="","",ROUND(SUMIFS(采购单!$L$4:$L$2003,采购单!$D$4:$D$2003,$B20,采购单!$F$4:$F$2003,"成本-人工")+SUMIFS(生产安装!$J$4:$J$1203,生产安装!$C$4:$C$1203,$B20,生产安装!$E$4:$E$1203,"成本-人工")+SUMIFS(资金日记账!$K$4:$K$2503,资金日记账!$G$4:$G$2503,$B20,资金日记账!$F$4:$F$2503,"成本-人工")-SUMIFS(资金日记账!$J$4:$J$2503,资金日记账!$G$4:$G$2503,$B20,资金日记账!$F$4:$F$2503,"成本-人工"),2))</f>
        <v/>
      </c>
      <c r="O20" s="19">
        <f>IF($B20="","",ROUND(SUMIFS(采购单!$L$4:$L$2003,采购单!$D$4:$D$2003,$B20,采购单!$F$4:$F$2003,"成本-车运")+SUMIFS(生产安装!$J$4:$J$1203,生产安装!$C$4:$C$1203,$B20,生产安装!$E$4:$E$1203,"成本-车运")+SUMIFS(资金日记账!$K$4:$K$2503,资金日记账!$G$4:$G$2503,$B20,资金日记账!$F$4:$F$2503,"成本-车运")-SUMIFS(资金日记账!$J$4:$J$2503,资金日记账!$G$4:$G$2503,$B20,资金日记账!$F$4:$F$2503,"成本-车运"),2))</f>
        <v/>
      </c>
      <c r="P20" s="19">
        <f>IF($B20="","",ROUND(SUMIFS(采购单!$L$4:$L$2003,采购单!$D$4:$D$2003,$B20,采购单!$F$4:$F$2003,"成本-其他")+SUMIFS(生产安装!$J$4:$J$1203,生产安装!$C$4:$C$1203,$B20,生产安装!$E$4:$E$1203,"成本-其他")+SUMIFS(资金日记账!$K$4:$K$2503,资金日记账!$G$4:$G$2503,$B20,资金日记账!$F$4:$F$2503,"成本-其他")-SUMIFS(资金日记账!$J$4:$J$2503,资金日记账!$G$4:$G$2503,$B20,资金日记账!$F$4:$F$2503,"成本-其他"),2))</f>
        <v/>
      </c>
      <c r="Q20" s="19">
        <f>IF($B20="","",ROUND(SUM($L20:$P20),2))</f>
        <v/>
      </c>
      <c r="R20" s="19">
        <f>IF($B20="","",ROUND($I20-$Q20,2))</f>
        <v/>
      </c>
      <c r="S20" s="33">
        <f>IF($B20="","",IF(ROUND($I20,2)=0,"",ROUND($R20/$I20,4)))</f>
        <v/>
      </c>
      <c r="T20" s="22">
        <f>IF($B20="","",IF($G20="",0,YEAR($G20)*100+MONTH($G20)))</f>
        <v/>
      </c>
      <c r="U20" s="17">
        <f>IF($B20="","",IF(项目台账!$R19="","",项目台账!$R19))</f>
        <v/>
      </c>
    </row>
    <row r="21">
      <c r="A21" s="17">
        <f>IF(项目台账!$B20="","",项目台账!$A20)</f>
        <v/>
      </c>
      <c r="B21" s="17">
        <f>IF(项目台账!$B20="","",项目台账!$B20)</f>
        <v/>
      </c>
      <c r="C21" s="17">
        <f>IF($B21="","",IF(项目台账!$C20="","",项目台账!$C20))</f>
        <v/>
      </c>
      <c r="D21" s="17">
        <f>IF($B21="","",IF(项目台账!$D20="","",项目台账!$D20))</f>
        <v/>
      </c>
      <c r="E21" s="17">
        <f>IF($B21="","",IF(项目台账!$E20="","",项目台账!$E20))</f>
        <v/>
      </c>
      <c r="F21" s="23">
        <f>IF($B21="","",IF(项目台账!$F20="","",项目台账!$F20))</f>
        <v/>
      </c>
      <c r="G21" s="23">
        <f>IF($B21="","",IF(项目台账!$J20="","",项目台账!$J20))</f>
        <v/>
      </c>
      <c r="H21" s="17">
        <f>IF($B21="","",IF(项目台账!$Q20="","",项目台账!$Q20))</f>
        <v/>
      </c>
      <c r="I21" s="19">
        <f>IF($B21="","",项目台账!$M20)</f>
        <v/>
      </c>
      <c r="J21" s="19">
        <f>IF($B21="","",项目台账!$O20)</f>
        <v/>
      </c>
      <c r="K21" s="19">
        <f>IF($B21="","",项目台账!$P20)</f>
        <v/>
      </c>
      <c r="L21" s="19">
        <f>IF($B21="","",ROUND(SUMIFS(采购单!$L$4:$L$2003,采购单!$D$4:$D$2003,$B21,采购单!$F$4:$F$2003,"成本-主材")+SUMIFS(生产安装!$J$4:$J$1203,生产安装!$C$4:$C$1203,$B21,生产安装!$E$4:$E$1203,"成本-主材")+SUMIFS(资金日记账!$K$4:$K$2503,资金日记账!$G$4:$G$2503,$B21,资金日记账!$F$4:$F$2503,"成本-主材")-SUMIFS(资金日记账!$J$4:$J$2503,资金日记账!$G$4:$G$2503,$B21,资金日记账!$F$4:$F$2503,"成本-主材"),2))</f>
        <v/>
      </c>
      <c r="M21" s="19">
        <f>IF($B21="","",ROUND(SUMIFS(采购单!$L$4:$L$2003,采购单!$D$4:$D$2003,$B21,采购单!$F$4:$F$2003,"成本-辅材")+SUMIFS(生产安装!$J$4:$J$1203,生产安装!$C$4:$C$1203,$B21,生产安装!$E$4:$E$1203,"成本-辅材")+SUMIFS(资金日记账!$K$4:$K$2503,资金日记账!$G$4:$G$2503,$B21,资金日记账!$F$4:$F$2503,"成本-辅材")-SUMIFS(资金日记账!$J$4:$J$2503,资金日记账!$G$4:$G$2503,$B21,资金日记账!$F$4:$F$2503,"成本-辅材"),2))</f>
        <v/>
      </c>
      <c r="N21" s="19">
        <f>IF($B21="","",ROUND(SUMIFS(采购单!$L$4:$L$2003,采购单!$D$4:$D$2003,$B21,采购单!$F$4:$F$2003,"成本-人工")+SUMIFS(生产安装!$J$4:$J$1203,生产安装!$C$4:$C$1203,$B21,生产安装!$E$4:$E$1203,"成本-人工")+SUMIFS(资金日记账!$K$4:$K$2503,资金日记账!$G$4:$G$2503,$B21,资金日记账!$F$4:$F$2503,"成本-人工")-SUMIFS(资金日记账!$J$4:$J$2503,资金日记账!$G$4:$G$2503,$B21,资金日记账!$F$4:$F$2503,"成本-人工"),2))</f>
        <v/>
      </c>
      <c r="O21" s="19">
        <f>IF($B21="","",ROUND(SUMIFS(采购单!$L$4:$L$2003,采购单!$D$4:$D$2003,$B21,采购单!$F$4:$F$2003,"成本-车运")+SUMIFS(生产安装!$J$4:$J$1203,生产安装!$C$4:$C$1203,$B21,生产安装!$E$4:$E$1203,"成本-车运")+SUMIFS(资金日记账!$K$4:$K$2503,资金日记账!$G$4:$G$2503,$B21,资金日记账!$F$4:$F$2503,"成本-车运")-SUMIFS(资金日记账!$J$4:$J$2503,资金日记账!$G$4:$G$2503,$B21,资金日记账!$F$4:$F$2503,"成本-车运"),2))</f>
        <v/>
      </c>
      <c r="P21" s="19">
        <f>IF($B21="","",ROUND(SUMIFS(采购单!$L$4:$L$2003,采购单!$D$4:$D$2003,$B21,采购单!$F$4:$F$2003,"成本-其他")+SUMIFS(生产安装!$J$4:$J$1203,生产安装!$C$4:$C$1203,$B21,生产安装!$E$4:$E$1203,"成本-其他")+SUMIFS(资金日记账!$K$4:$K$2503,资金日记账!$G$4:$G$2503,$B21,资金日记账!$F$4:$F$2503,"成本-其他")-SUMIFS(资金日记账!$J$4:$J$2503,资金日记账!$G$4:$G$2503,$B21,资金日记账!$F$4:$F$2503,"成本-其他"),2))</f>
        <v/>
      </c>
      <c r="Q21" s="19">
        <f>IF($B21="","",ROUND(SUM($L21:$P21),2))</f>
        <v/>
      </c>
      <c r="R21" s="19">
        <f>IF($B21="","",ROUND($I21-$Q21,2))</f>
        <v/>
      </c>
      <c r="S21" s="33">
        <f>IF($B21="","",IF(ROUND($I21,2)=0,"",ROUND($R21/$I21,4)))</f>
        <v/>
      </c>
      <c r="T21" s="22">
        <f>IF($B21="","",IF($G21="",0,YEAR($G21)*100+MONTH($G21)))</f>
        <v/>
      </c>
      <c r="U21" s="17">
        <f>IF($B21="","",IF(项目台账!$R20="","",项目台账!$R20))</f>
        <v/>
      </c>
    </row>
    <row r="22">
      <c r="A22" s="17">
        <f>IF(项目台账!$B21="","",项目台账!$A21)</f>
        <v/>
      </c>
      <c r="B22" s="17">
        <f>IF(项目台账!$B21="","",项目台账!$B21)</f>
        <v/>
      </c>
      <c r="C22" s="17">
        <f>IF($B22="","",IF(项目台账!$C21="","",项目台账!$C21))</f>
        <v/>
      </c>
      <c r="D22" s="17">
        <f>IF($B22="","",IF(项目台账!$D21="","",项目台账!$D21))</f>
        <v/>
      </c>
      <c r="E22" s="17">
        <f>IF($B22="","",IF(项目台账!$E21="","",项目台账!$E21))</f>
        <v/>
      </c>
      <c r="F22" s="23">
        <f>IF($B22="","",IF(项目台账!$F21="","",项目台账!$F21))</f>
        <v/>
      </c>
      <c r="G22" s="23">
        <f>IF($B22="","",IF(项目台账!$J21="","",项目台账!$J21))</f>
        <v/>
      </c>
      <c r="H22" s="17">
        <f>IF($B22="","",IF(项目台账!$Q21="","",项目台账!$Q21))</f>
        <v/>
      </c>
      <c r="I22" s="19">
        <f>IF($B22="","",项目台账!$M21)</f>
        <v/>
      </c>
      <c r="J22" s="19">
        <f>IF($B22="","",项目台账!$O21)</f>
        <v/>
      </c>
      <c r="K22" s="19">
        <f>IF($B22="","",项目台账!$P21)</f>
        <v/>
      </c>
      <c r="L22" s="19">
        <f>IF($B22="","",ROUND(SUMIFS(采购单!$L$4:$L$2003,采购单!$D$4:$D$2003,$B22,采购单!$F$4:$F$2003,"成本-主材")+SUMIFS(生产安装!$J$4:$J$1203,生产安装!$C$4:$C$1203,$B22,生产安装!$E$4:$E$1203,"成本-主材")+SUMIFS(资金日记账!$K$4:$K$2503,资金日记账!$G$4:$G$2503,$B22,资金日记账!$F$4:$F$2503,"成本-主材")-SUMIFS(资金日记账!$J$4:$J$2503,资金日记账!$G$4:$G$2503,$B22,资金日记账!$F$4:$F$2503,"成本-主材"),2))</f>
        <v/>
      </c>
      <c r="M22" s="19">
        <f>IF($B22="","",ROUND(SUMIFS(采购单!$L$4:$L$2003,采购单!$D$4:$D$2003,$B22,采购单!$F$4:$F$2003,"成本-辅材")+SUMIFS(生产安装!$J$4:$J$1203,生产安装!$C$4:$C$1203,$B22,生产安装!$E$4:$E$1203,"成本-辅材")+SUMIFS(资金日记账!$K$4:$K$2503,资金日记账!$G$4:$G$2503,$B22,资金日记账!$F$4:$F$2503,"成本-辅材")-SUMIFS(资金日记账!$J$4:$J$2503,资金日记账!$G$4:$G$2503,$B22,资金日记账!$F$4:$F$2503,"成本-辅材"),2))</f>
        <v/>
      </c>
      <c r="N22" s="19">
        <f>IF($B22="","",ROUND(SUMIFS(采购单!$L$4:$L$2003,采购单!$D$4:$D$2003,$B22,采购单!$F$4:$F$2003,"成本-人工")+SUMIFS(生产安装!$J$4:$J$1203,生产安装!$C$4:$C$1203,$B22,生产安装!$E$4:$E$1203,"成本-人工")+SUMIFS(资金日记账!$K$4:$K$2503,资金日记账!$G$4:$G$2503,$B22,资金日记账!$F$4:$F$2503,"成本-人工")-SUMIFS(资金日记账!$J$4:$J$2503,资金日记账!$G$4:$G$2503,$B22,资金日记账!$F$4:$F$2503,"成本-人工"),2))</f>
        <v/>
      </c>
      <c r="O22" s="19">
        <f>IF($B22="","",ROUND(SUMIFS(采购单!$L$4:$L$2003,采购单!$D$4:$D$2003,$B22,采购单!$F$4:$F$2003,"成本-车运")+SUMIFS(生产安装!$J$4:$J$1203,生产安装!$C$4:$C$1203,$B22,生产安装!$E$4:$E$1203,"成本-车运")+SUMIFS(资金日记账!$K$4:$K$2503,资金日记账!$G$4:$G$2503,$B22,资金日记账!$F$4:$F$2503,"成本-车运")-SUMIFS(资金日记账!$J$4:$J$2503,资金日记账!$G$4:$G$2503,$B22,资金日记账!$F$4:$F$2503,"成本-车运"),2))</f>
        <v/>
      </c>
      <c r="P22" s="19">
        <f>IF($B22="","",ROUND(SUMIFS(采购单!$L$4:$L$2003,采购单!$D$4:$D$2003,$B22,采购单!$F$4:$F$2003,"成本-其他")+SUMIFS(生产安装!$J$4:$J$1203,生产安装!$C$4:$C$1203,$B22,生产安装!$E$4:$E$1203,"成本-其他")+SUMIFS(资金日记账!$K$4:$K$2503,资金日记账!$G$4:$G$2503,$B22,资金日记账!$F$4:$F$2503,"成本-其他")-SUMIFS(资金日记账!$J$4:$J$2503,资金日记账!$G$4:$G$2503,$B22,资金日记账!$F$4:$F$2503,"成本-其他"),2))</f>
        <v/>
      </c>
      <c r="Q22" s="19">
        <f>IF($B22="","",ROUND(SUM($L22:$P22),2))</f>
        <v/>
      </c>
      <c r="R22" s="19">
        <f>IF($B22="","",ROUND($I22-$Q22,2))</f>
        <v/>
      </c>
      <c r="S22" s="33">
        <f>IF($B22="","",IF(ROUND($I22,2)=0,"",ROUND($R22/$I22,4)))</f>
        <v/>
      </c>
      <c r="T22" s="22">
        <f>IF($B22="","",IF($G22="",0,YEAR($G22)*100+MONTH($G22)))</f>
        <v/>
      </c>
      <c r="U22" s="17">
        <f>IF($B22="","",IF(项目台账!$R21="","",项目台账!$R21))</f>
        <v/>
      </c>
    </row>
    <row r="23">
      <c r="A23" s="17">
        <f>IF(项目台账!$B22="","",项目台账!$A22)</f>
        <v/>
      </c>
      <c r="B23" s="17">
        <f>IF(项目台账!$B22="","",项目台账!$B22)</f>
        <v/>
      </c>
      <c r="C23" s="17">
        <f>IF($B23="","",IF(项目台账!$C22="","",项目台账!$C22))</f>
        <v/>
      </c>
      <c r="D23" s="17">
        <f>IF($B23="","",IF(项目台账!$D22="","",项目台账!$D22))</f>
        <v/>
      </c>
      <c r="E23" s="17">
        <f>IF($B23="","",IF(项目台账!$E22="","",项目台账!$E22))</f>
        <v/>
      </c>
      <c r="F23" s="23">
        <f>IF($B23="","",IF(项目台账!$F22="","",项目台账!$F22))</f>
        <v/>
      </c>
      <c r="G23" s="23">
        <f>IF($B23="","",IF(项目台账!$J22="","",项目台账!$J22))</f>
        <v/>
      </c>
      <c r="H23" s="17">
        <f>IF($B23="","",IF(项目台账!$Q22="","",项目台账!$Q22))</f>
        <v/>
      </c>
      <c r="I23" s="19">
        <f>IF($B23="","",项目台账!$M22)</f>
        <v/>
      </c>
      <c r="J23" s="19">
        <f>IF($B23="","",项目台账!$O22)</f>
        <v/>
      </c>
      <c r="K23" s="19">
        <f>IF($B23="","",项目台账!$P22)</f>
        <v/>
      </c>
      <c r="L23" s="19">
        <f>IF($B23="","",ROUND(SUMIFS(采购单!$L$4:$L$2003,采购单!$D$4:$D$2003,$B23,采购单!$F$4:$F$2003,"成本-主材")+SUMIFS(生产安装!$J$4:$J$1203,生产安装!$C$4:$C$1203,$B23,生产安装!$E$4:$E$1203,"成本-主材")+SUMIFS(资金日记账!$K$4:$K$2503,资金日记账!$G$4:$G$2503,$B23,资金日记账!$F$4:$F$2503,"成本-主材")-SUMIFS(资金日记账!$J$4:$J$2503,资金日记账!$G$4:$G$2503,$B23,资金日记账!$F$4:$F$2503,"成本-主材"),2))</f>
        <v/>
      </c>
      <c r="M23" s="19">
        <f>IF($B23="","",ROUND(SUMIFS(采购单!$L$4:$L$2003,采购单!$D$4:$D$2003,$B23,采购单!$F$4:$F$2003,"成本-辅材")+SUMIFS(生产安装!$J$4:$J$1203,生产安装!$C$4:$C$1203,$B23,生产安装!$E$4:$E$1203,"成本-辅材")+SUMIFS(资金日记账!$K$4:$K$2503,资金日记账!$G$4:$G$2503,$B23,资金日记账!$F$4:$F$2503,"成本-辅材")-SUMIFS(资金日记账!$J$4:$J$2503,资金日记账!$G$4:$G$2503,$B23,资金日记账!$F$4:$F$2503,"成本-辅材"),2))</f>
        <v/>
      </c>
      <c r="N23" s="19">
        <f>IF($B23="","",ROUND(SUMIFS(采购单!$L$4:$L$2003,采购单!$D$4:$D$2003,$B23,采购单!$F$4:$F$2003,"成本-人工")+SUMIFS(生产安装!$J$4:$J$1203,生产安装!$C$4:$C$1203,$B23,生产安装!$E$4:$E$1203,"成本-人工")+SUMIFS(资金日记账!$K$4:$K$2503,资金日记账!$G$4:$G$2503,$B23,资金日记账!$F$4:$F$2503,"成本-人工")-SUMIFS(资金日记账!$J$4:$J$2503,资金日记账!$G$4:$G$2503,$B23,资金日记账!$F$4:$F$2503,"成本-人工"),2))</f>
        <v/>
      </c>
      <c r="O23" s="19">
        <f>IF($B23="","",ROUND(SUMIFS(采购单!$L$4:$L$2003,采购单!$D$4:$D$2003,$B23,采购单!$F$4:$F$2003,"成本-车运")+SUMIFS(生产安装!$J$4:$J$1203,生产安装!$C$4:$C$1203,$B23,生产安装!$E$4:$E$1203,"成本-车运")+SUMIFS(资金日记账!$K$4:$K$2503,资金日记账!$G$4:$G$2503,$B23,资金日记账!$F$4:$F$2503,"成本-车运")-SUMIFS(资金日记账!$J$4:$J$2503,资金日记账!$G$4:$G$2503,$B23,资金日记账!$F$4:$F$2503,"成本-车运"),2))</f>
        <v/>
      </c>
      <c r="P23" s="19">
        <f>IF($B23="","",ROUND(SUMIFS(采购单!$L$4:$L$2003,采购单!$D$4:$D$2003,$B23,采购单!$F$4:$F$2003,"成本-其他")+SUMIFS(生产安装!$J$4:$J$1203,生产安装!$C$4:$C$1203,$B23,生产安装!$E$4:$E$1203,"成本-其他")+SUMIFS(资金日记账!$K$4:$K$2503,资金日记账!$G$4:$G$2503,$B23,资金日记账!$F$4:$F$2503,"成本-其他")-SUMIFS(资金日记账!$J$4:$J$2503,资金日记账!$G$4:$G$2503,$B23,资金日记账!$F$4:$F$2503,"成本-其他"),2))</f>
        <v/>
      </c>
      <c r="Q23" s="19">
        <f>IF($B23="","",ROUND(SUM($L23:$P23),2))</f>
        <v/>
      </c>
      <c r="R23" s="19">
        <f>IF($B23="","",ROUND($I23-$Q23,2))</f>
        <v/>
      </c>
      <c r="S23" s="33">
        <f>IF($B23="","",IF(ROUND($I23,2)=0,"",ROUND($R23/$I23,4)))</f>
        <v/>
      </c>
      <c r="T23" s="22">
        <f>IF($B23="","",IF($G23="",0,YEAR($G23)*100+MONTH($G23)))</f>
        <v/>
      </c>
      <c r="U23" s="17">
        <f>IF($B23="","",IF(项目台账!$R22="","",项目台账!$R22))</f>
        <v/>
      </c>
    </row>
    <row r="24">
      <c r="A24" s="17">
        <f>IF(项目台账!$B23="","",项目台账!$A23)</f>
        <v/>
      </c>
      <c r="B24" s="17">
        <f>IF(项目台账!$B23="","",项目台账!$B23)</f>
        <v/>
      </c>
      <c r="C24" s="17">
        <f>IF($B24="","",IF(项目台账!$C23="","",项目台账!$C23))</f>
        <v/>
      </c>
      <c r="D24" s="17">
        <f>IF($B24="","",IF(项目台账!$D23="","",项目台账!$D23))</f>
        <v/>
      </c>
      <c r="E24" s="17">
        <f>IF($B24="","",IF(项目台账!$E23="","",项目台账!$E23))</f>
        <v/>
      </c>
      <c r="F24" s="23">
        <f>IF($B24="","",IF(项目台账!$F23="","",项目台账!$F23))</f>
        <v/>
      </c>
      <c r="G24" s="23">
        <f>IF($B24="","",IF(项目台账!$J23="","",项目台账!$J23))</f>
        <v/>
      </c>
      <c r="H24" s="17">
        <f>IF($B24="","",IF(项目台账!$Q23="","",项目台账!$Q23))</f>
        <v/>
      </c>
      <c r="I24" s="19">
        <f>IF($B24="","",项目台账!$M23)</f>
        <v/>
      </c>
      <c r="J24" s="19">
        <f>IF($B24="","",项目台账!$O23)</f>
        <v/>
      </c>
      <c r="K24" s="19">
        <f>IF($B24="","",项目台账!$P23)</f>
        <v/>
      </c>
      <c r="L24" s="19">
        <f>IF($B24="","",ROUND(SUMIFS(采购单!$L$4:$L$2003,采购单!$D$4:$D$2003,$B24,采购单!$F$4:$F$2003,"成本-主材")+SUMIFS(生产安装!$J$4:$J$1203,生产安装!$C$4:$C$1203,$B24,生产安装!$E$4:$E$1203,"成本-主材")+SUMIFS(资金日记账!$K$4:$K$2503,资金日记账!$G$4:$G$2503,$B24,资金日记账!$F$4:$F$2503,"成本-主材")-SUMIFS(资金日记账!$J$4:$J$2503,资金日记账!$G$4:$G$2503,$B24,资金日记账!$F$4:$F$2503,"成本-主材"),2))</f>
        <v/>
      </c>
      <c r="M24" s="19">
        <f>IF($B24="","",ROUND(SUMIFS(采购单!$L$4:$L$2003,采购单!$D$4:$D$2003,$B24,采购单!$F$4:$F$2003,"成本-辅材")+SUMIFS(生产安装!$J$4:$J$1203,生产安装!$C$4:$C$1203,$B24,生产安装!$E$4:$E$1203,"成本-辅材")+SUMIFS(资金日记账!$K$4:$K$2503,资金日记账!$G$4:$G$2503,$B24,资金日记账!$F$4:$F$2503,"成本-辅材")-SUMIFS(资金日记账!$J$4:$J$2503,资金日记账!$G$4:$G$2503,$B24,资金日记账!$F$4:$F$2503,"成本-辅材"),2))</f>
        <v/>
      </c>
      <c r="N24" s="19">
        <f>IF($B24="","",ROUND(SUMIFS(采购单!$L$4:$L$2003,采购单!$D$4:$D$2003,$B24,采购单!$F$4:$F$2003,"成本-人工")+SUMIFS(生产安装!$J$4:$J$1203,生产安装!$C$4:$C$1203,$B24,生产安装!$E$4:$E$1203,"成本-人工")+SUMIFS(资金日记账!$K$4:$K$2503,资金日记账!$G$4:$G$2503,$B24,资金日记账!$F$4:$F$2503,"成本-人工")-SUMIFS(资金日记账!$J$4:$J$2503,资金日记账!$G$4:$G$2503,$B24,资金日记账!$F$4:$F$2503,"成本-人工"),2))</f>
        <v/>
      </c>
      <c r="O24" s="19">
        <f>IF($B24="","",ROUND(SUMIFS(采购单!$L$4:$L$2003,采购单!$D$4:$D$2003,$B24,采购单!$F$4:$F$2003,"成本-车运")+SUMIFS(生产安装!$J$4:$J$1203,生产安装!$C$4:$C$1203,$B24,生产安装!$E$4:$E$1203,"成本-车运")+SUMIFS(资金日记账!$K$4:$K$2503,资金日记账!$G$4:$G$2503,$B24,资金日记账!$F$4:$F$2503,"成本-车运")-SUMIFS(资金日记账!$J$4:$J$2503,资金日记账!$G$4:$G$2503,$B24,资金日记账!$F$4:$F$2503,"成本-车运"),2))</f>
        <v/>
      </c>
      <c r="P24" s="19">
        <f>IF($B24="","",ROUND(SUMIFS(采购单!$L$4:$L$2003,采购单!$D$4:$D$2003,$B24,采购单!$F$4:$F$2003,"成本-其他")+SUMIFS(生产安装!$J$4:$J$1203,生产安装!$C$4:$C$1203,$B24,生产安装!$E$4:$E$1203,"成本-其他")+SUMIFS(资金日记账!$K$4:$K$2503,资金日记账!$G$4:$G$2503,$B24,资金日记账!$F$4:$F$2503,"成本-其他")-SUMIFS(资金日记账!$J$4:$J$2503,资金日记账!$G$4:$G$2503,$B24,资金日记账!$F$4:$F$2503,"成本-其他"),2))</f>
        <v/>
      </c>
      <c r="Q24" s="19">
        <f>IF($B24="","",ROUND(SUM($L24:$P24),2))</f>
        <v/>
      </c>
      <c r="R24" s="19">
        <f>IF($B24="","",ROUND($I24-$Q24,2))</f>
        <v/>
      </c>
      <c r="S24" s="33">
        <f>IF($B24="","",IF(ROUND($I24,2)=0,"",ROUND($R24/$I24,4)))</f>
        <v/>
      </c>
      <c r="T24" s="22">
        <f>IF($B24="","",IF($G24="",0,YEAR($G24)*100+MONTH($G24)))</f>
        <v/>
      </c>
      <c r="U24" s="17">
        <f>IF($B24="","",IF(项目台账!$R23="","",项目台账!$R23))</f>
        <v/>
      </c>
    </row>
    <row r="25">
      <c r="A25" s="17">
        <f>IF(项目台账!$B24="","",项目台账!$A24)</f>
        <v/>
      </c>
      <c r="B25" s="17">
        <f>IF(项目台账!$B24="","",项目台账!$B24)</f>
        <v/>
      </c>
      <c r="C25" s="17">
        <f>IF($B25="","",IF(项目台账!$C24="","",项目台账!$C24))</f>
        <v/>
      </c>
      <c r="D25" s="17">
        <f>IF($B25="","",IF(项目台账!$D24="","",项目台账!$D24))</f>
        <v/>
      </c>
      <c r="E25" s="17">
        <f>IF($B25="","",IF(项目台账!$E24="","",项目台账!$E24))</f>
        <v/>
      </c>
      <c r="F25" s="23">
        <f>IF($B25="","",IF(项目台账!$F24="","",项目台账!$F24))</f>
        <v/>
      </c>
      <c r="G25" s="23">
        <f>IF($B25="","",IF(项目台账!$J24="","",项目台账!$J24))</f>
        <v/>
      </c>
      <c r="H25" s="17">
        <f>IF($B25="","",IF(项目台账!$Q24="","",项目台账!$Q24))</f>
        <v/>
      </c>
      <c r="I25" s="19">
        <f>IF($B25="","",项目台账!$M24)</f>
        <v/>
      </c>
      <c r="J25" s="19">
        <f>IF($B25="","",项目台账!$O24)</f>
        <v/>
      </c>
      <c r="K25" s="19">
        <f>IF($B25="","",项目台账!$P24)</f>
        <v/>
      </c>
      <c r="L25" s="19">
        <f>IF($B25="","",ROUND(SUMIFS(采购单!$L$4:$L$2003,采购单!$D$4:$D$2003,$B25,采购单!$F$4:$F$2003,"成本-主材")+SUMIFS(生产安装!$J$4:$J$1203,生产安装!$C$4:$C$1203,$B25,生产安装!$E$4:$E$1203,"成本-主材")+SUMIFS(资金日记账!$K$4:$K$2503,资金日记账!$G$4:$G$2503,$B25,资金日记账!$F$4:$F$2503,"成本-主材")-SUMIFS(资金日记账!$J$4:$J$2503,资金日记账!$G$4:$G$2503,$B25,资金日记账!$F$4:$F$2503,"成本-主材"),2))</f>
        <v/>
      </c>
      <c r="M25" s="19">
        <f>IF($B25="","",ROUND(SUMIFS(采购单!$L$4:$L$2003,采购单!$D$4:$D$2003,$B25,采购单!$F$4:$F$2003,"成本-辅材")+SUMIFS(生产安装!$J$4:$J$1203,生产安装!$C$4:$C$1203,$B25,生产安装!$E$4:$E$1203,"成本-辅材")+SUMIFS(资金日记账!$K$4:$K$2503,资金日记账!$G$4:$G$2503,$B25,资金日记账!$F$4:$F$2503,"成本-辅材")-SUMIFS(资金日记账!$J$4:$J$2503,资金日记账!$G$4:$G$2503,$B25,资金日记账!$F$4:$F$2503,"成本-辅材"),2))</f>
        <v/>
      </c>
      <c r="N25" s="19">
        <f>IF($B25="","",ROUND(SUMIFS(采购单!$L$4:$L$2003,采购单!$D$4:$D$2003,$B25,采购单!$F$4:$F$2003,"成本-人工")+SUMIFS(生产安装!$J$4:$J$1203,生产安装!$C$4:$C$1203,$B25,生产安装!$E$4:$E$1203,"成本-人工")+SUMIFS(资金日记账!$K$4:$K$2503,资金日记账!$G$4:$G$2503,$B25,资金日记账!$F$4:$F$2503,"成本-人工")-SUMIFS(资金日记账!$J$4:$J$2503,资金日记账!$G$4:$G$2503,$B25,资金日记账!$F$4:$F$2503,"成本-人工"),2))</f>
        <v/>
      </c>
      <c r="O25" s="19">
        <f>IF($B25="","",ROUND(SUMIFS(采购单!$L$4:$L$2003,采购单!$D$4:$D$2003,$B25,采购单!$F$4:$F$2003,"成本-车运")+SUMIFS(生产安装!$J$4:$J$1203,生产安装!$C$4:$C$1203,$B25,生产安装!$E$4:$E$1203,"成本-车运")+SUMIFS(资金日记账!$K$4:$K$2503,资金日记账!$G$4:$G$2503,$B25,资金日记账!$F$4:$F$2503,"成本-车运")-SUMIFS(资金日记账!$J$4:$J$2503,资金日记账!$G$4:$G$2503,$B25,资金日记账!$F$4:$F$2503,"成本-车运"),2))</f>
        <v/>
      </c>
      <c r="P25" s="19">
        <f>IF($B25="","",ROUND(SUMIFS(采购单!$L$4:$L$2003,采购单!$D$4:$D$2003,$B25,采购单!$F$4:$F$2003,"成本-其他")+SUMIFS(生产安装!$J$4:$J$1203,生产安装!$C$4:$C$1203,$B25,生产安装!$E$4:$E$1203,"成本-其他")+SUMIFS(资金日记账!$K$4:$K$2503,资金日记账!$G$4:$G$2503,$B25,资金日记账!$F$4:$F$2503,"成本-其他")-SUMIFS(资金日记账!$J$4:$J$2503,资金日记账!$G$4:$G$2503,$B25,资金日记账!$F$4:$F$2503,"成本-其他"),2))</f>
        <v/>
      </c>
      <c r="Q25" s="19">
        <f>IF($B25="","",ROUND(SUM($L25:$P25),2))</f>
        <v/>
      </c>
      <c r="R25" s="19">
        <f>IF($B25="","",ROUND($I25-$Q25,2))</f>
        <v/>
      </c>
      <c r="S25" s="33">
        <f>IF($B25="","",IF(ROUND($I25,2)=0,"",ROUND($R25/$I25,4)))</f>
        <v/>
      </c>
      <c r="T25" s="22">
        <f>IF($B25="","",IF($G25="",0,YEAR($G25)*100+MONTH($G25)))</f>
        <v/>
      </c>
      <c r="U25" s="17">
        <f>IF($B25="","",IF(项目台账!$R24="","",项目台账!$R24))</f>
        <v/>
      </c>
    </row>
    <row r="26">
      <c r="A26" s="17">
        <f>IF(项目台账!$B25="","",项目台账!$A25)</f>
        <v/>
      </c>
      <c r="B26" s="17">
        <f>IF(项目台账!$B25="","",项目台账!$B25)</f>
        <v/>
      </c>
      <c r="C26" s="17">
        <f>IF($B26="","",IF(项目台账!$C25="","",项目台账!$C25))</f>
        <v/>
      </c>
      <c r="D26" s="17">
        <f>IF($B26="","",IF(项目台账!$D25="","",项目台账!$D25))</f>
        <v/>
      </c>
      <c r="E26" s="17">
        <f>IF($B26="","",IF(项目台账!$E25="","",项目台账!$E25))</f>
        <v/>
      </c>
      <c r="F26" s="23">
        <f>IF($B26="","",IF(项目台账!$F25="","",项目台账!$F25))</f>
        <v/>
      </c>
      <c r="G26" s="23">
        <f>IF($B26="","",IF(项目台账!$J25="","",项目台账!$J25))</f>
        <v/>
      </c>
      <c r="H26" s="17">
        <f>IF($B26="","",IF(项目台账!$Q25="","",项目台账!$Q25))</f>
        <v/>
      </c>
      <c r="I26" s="19">
        <f>IF($B26="","",项目台账!$M25)</f>
        <v/>
      </c>
      <c r="J26" s="19">
        <f>IF($B26="","",项目台账!$O25)</f>
        <v/>
      </c>
      <c r="K26" s="19">
        <f>IF($B26="","",项目台账!$P25)</f>
        <v/>
      </c>
      <c r="L26" s="19">
        <f>IF($B26="","",ROUND(SUMIFS(采购单!$L$4:$L$2003,采购单!$D$4:$D$2003,$B26,采购单!$F$4:$F$2003,"成本-主材")+SUMIFS(生产安装!$J$4:$J$1203,生产安装!$C$4:$C$1203,$B26,生产安装!$E$4:$E$1203,"成本-主材")+SUMIFS(资金日记账!$K$4:$K$2503,资金日记账!$G$4:$G$2503,$B26,资金日记账!$F$4:$F$2503,"成本-主材")-SUMIFS(资金日记账!$J$4:$J$2503,资金日记账!$G$4:$G$2503,$B26,资金日记账!$F$4:$F$2503,"成本-主材"),2))</f>
        <v/>
      </c>
      <c r="M26" s="19">
        <f>IF($B26="","",ROUND(SUMIFS(采购单!$L$4:$L$2003,采购单!$D$4:$D$2003,$B26,采购单!$F$4:$F$2003,"成本-辅材")+SUMIFS(生产安装!$J$4:$J$1203,生产安装!$C$4:$C$1203,$B26,生产安装!$E$4:$E$1203,"成本-辅材")+SUMIFS(资金日记账!$K$4:$K$2503,资金日记账!$G$4:$G$2503,$B26,资金日记账!$F$4:$F$2503,"成本-辅材")-SUMIFS(资金日记账!$J$4:$J$2503,资金日记账!$G$4:$G$2503,$B26,资金日记账!$F$4:$F$2503,"成本-辅材"),2))</f>
        <v/>
      </c>
      <c r="N26" s="19">
        <f>IF($B26="","",ROUND(SUMIFS(采购单!$L$4:$L$2003,采购单!$D$4:$D$2003,$B26,采购单!$F$4:$F$2003,"成本-人工")+SUMIFS(生产安装!$J$4:$J$1203,生产安装!$C$4:$C$1203,$B26,生产安装!$E$4:$E$1203,"成本-人工")+SUMIFS(资金日记账!$K$4:$K$2503,资金日记账!$G$4:$G$2503,$B26,资金日记账!$F$4:$F$2503,"成本-人工")-SUMIFS(资金日记账!$J$4:$J$2503,资金日记账!$G$4:$G$2503,$B26,资金日记账!$F$4:$F$2503,"成本-人工"),2))</f>
        <v/>
      </c>
      <c r="O26" s="19">
        <f>IF($B26="","",ROUND(SUMIFS(采购单!$L$4:$L$2003,采购单!$D$4:$D$2003,$B26,采购单!$F$4:$F$2003,"成本-车运")+SUMIFS(生产安装!$J$4:$J$1203,生产安装!$C$4:$C$1203,$B26,生产安装!$E$4:$E$1203,"成本-车运")+SUMIFS(资金日记账!$K$4:$K$2503,资金日记账!$G$4:$G$2503,$B26,资金日记账!$F$4:$F$2503,"成本-车运")-SUMIFS(资金日记账!$J$4:$J$2503,资金日记账!$G$4:$G$2503,$B26,资金日记账!$F$4:$F$2503,"成本-车运"),2))</f>
        <v/>
      </c>
      <c r="P26" s="19">
        <f>IF($B26="","",ROUND(SUMIFS(采购单!$L$4:$L$2003,采购单!$D$4:$D$2003,$B26,采购单!$F$4:$F$2003,"成本-其他")+SUMIFS(生产安装!$J$4:$J$1203,生产安装!$C$4:$C$1203,$B26,生产安装!$E$4:$E$1203,"成本-其他")+SUMIFS(资金日记账!$K$4:$K$2503,资金日记账!$G$4:$G$2503,$B26,资金日记账!$F$4:$F$2503,"成本-其他")-SUMIFS(资金日记账!$J$4:$J$2503,资金日记账!$G$4:$G$2503,$B26,资金日记账!$F$4:$F$2503,"成本-其他"),2))</f>
        <v/>
      </c>
      <c r="Q26" s="19">
        <f>IF($B26="","",ROUND(SUM($L26:$P26),2))</f>
        <v/>
      </c>
      <c r="R26" s="19">
        <f>IF($B26="","",ROUND($I26-$Q26,2))</f>
        <v/>
      </c>
      <c r="S26" s="33">
        <f>IF($B26="","",IF(ROUND($I26,2)=0,"",ROUND($R26/$I26,4)))</f>
        <v/>
      </c>
      <c r="T26" s="22">
        <f>IF($B26="","",IF($G26="",0,YEAR($G26)*100+MONTH($G26)))</f>
        <v/>
      </c>
      <c r="U26" s="17">
        <f>IF($B26="","",IF(项目台账!$R25="","",项目台账!$R25))</f>
        <v/>
      </c>
    </row>
    <row r="27">
      <c r="A27" s="17">
        <f>IF(项目台账!$B26="","",项目台账!$A26)</f>
        <v/>
      </c>
      <c r="B27" s="17">
        <f>IF(项目台账!$B26="","",项目台账!$B26)</f>
        <v/>
      </c>
      <c r="C27" s="17">
        <f>IF($B27="","",IF(项目台账!$C26="","",项目台账!$C26))</f>
        <v/>
      </c>
      <c r="D27" s="17">
        <f>IF($B27="","",IF(项目台账!$D26="","",项目台账!$D26))</f>
        <v/>
      </c>
      <c r="E27" s="17">
        <f>IF($B27="","",IF(项目台账!$E26="","",项目台账!$E26))</f>
        <v/>
      </c>
      <c r="F27" s="23">
        <f>IF($B27="","",IF(项目台账!$F26="","",项目台账!$F26))</f>
        <v/>
      </c>
      <c r="G27" s="23">
        <f>IF($B27="","",IF(项目台账!$J26="","",项目台账!$J26))</f>
        <v/>
      </c>
      <c r="H27" s="17">
        <f>IF($B27="","",IF(项目台账!$Q26="","",项目台账!$Q26))</f>
        <v/>
      </c>
      <c r="I27" s="19">
        <f>IF($B27="","",项目台账!$M26)</f>
        <v/>
      </c>
      <c r="J27" s="19">
        <f>IF($B27="","",项目台账!$O26)</f>
        <v/>
      </c>
      <c r="K27" s="19">
        <f>IF($B27="","",项目台账!$P26)</f>
        <v/>
      </c>
      <c r="L27" s="19">
        <f>IF($B27="","",ROUND(SUMIFS(采购单!$L$4:$L$2003,采购单!$D$4:$D$2003,$B27,采购单!$F$4:$F$2003,"成本-主材")+SUMIFS(生产安装!$J$4:$J$1203,生产安装!$C$4:$C$1203,$B27,生产安装!$E$4:$E$1203,"成本-主材")+SUMIFS(资金日记账!$K$4:$K$2503,资金日记账!$G$4:$G$2503,$B27,资金日记账!$F$4:$F$2503,"成本-主材")-SUMIFS(资金日记账!$J$4:$J$2503,资金日记账!$G$4:$G$2503,$B27,资金日记账!$F$4:$F$2503,"成本-主材"),2))</f>
        <v/>
      </c>
      <c r="M27" s="19">
        <f>IF($B27="","",ROUND(SUMIFS(采购单!$L$4:$L$2003,采购单!$D$4:$D$2003,$B27,采购单!$F$4:$F$2003,"成本-辅材")+SUMIFS(生产安装!$J$4:$J$1203,生产安装!$C$4:$C$1203,$B27,生产安装!$E$4:$E$1203,"成本-辅材")+SUMIFS(资金日记账!$K$4:$K$2503,资金日记账!$G$4:$G$2503,$B27,资金日记账!$F$4:$F$2503,"成本-辅材")-SUMIFS(资金日记账!$J$4:$J$2503,资金日记账!$G$4:$G$2503,$B27,资金日记账!$F$4:$F$2503,"成本-辅材"),2))</f>
        <v/>
      </c>
      <c r="N27" s="19">
        <f>IF($B27="","",ROUND(SUMIFS(采购单!$L$4:$L$2003,采购单!$D$4:$D$2003,$B27,采购单!$F$4:$F$2003,"成本-人工")+SUMIFS(生产安装!$J$4:$J$1203,生产安装!$C$4:$C$1203,$B27,生产安装!$E$4:$E$1203,"成本-人工")+SUMIFS(资金日记账!$K$4:$K$2503,资金日记账!$G$4:$G$2503,$B27,资金日记账!$F$4:$F$2503,"成本-人工")-SUMIFS(资金日记账!$J$4:$J$2503,资金日记账!$G$4:$G$2503,$B27,资金日记账!$F$4:$F$2503,"成本-人工"),2))</f>
        <v/>
      </c>
      <c r="O27" s="19">
        <f>IF($B27="","",ROUND(SUMIFS(采购单!$L$4:$L$2003,采购单!$D$4:$D$2003,$B27,采购单!$F$4:$F$2003,"成本-车运")+SUMIFS(生产安装!$J$4:$J$1203,生产安装!$C$4:$C$1203,$B27,生产安装!$E$4:$E$1203,"成本-车运")+SUMIFS(资金日记账!$K$4:$K$2503,资金日记账!$G$4:$G$2503,$B27,资金日记账!$F$4:$F$2503,"成本-车运")-SUMIFS(资金日记账!$J$4:$J$2503,资金日记账!$G$4:$G$2503,$B27,资金日记账!$F$4:$F$2503,"成本-车运"),2))</f>
        <v/>
      </c>
      <c r="P27" s="19">
        <f>IF($B27="","",ROUND(SUMIFS(采购单!$L$4:$L$2003,采购单!$D$4:$D$2003,$B27,采购单!$F$4:$F$2003,"成本-其他")+SUMIFS(生产安装!$J$4:$J$1203,生产安装!$C$4:$C$1203,$B27,生产安装!$E$4:$E$1203,"成本-其他")+SUMIFS(资金日记账!$K$4:$K$2503,资金日记账!$G$4:$G$2503,$B27,资金日记账!$F$4:$F$2503,"成本-其他")-SUMIFS(资金日记账!$J$4:$J$2503,资金日记账!$G$4:$G$2503,$B27,资金日记账!$F$4:$F$2503,"成本-其他"),2))</f>
        <v/>
      </c>
      <c r="Q27" s="19">
        <f>IF($B27="","",ROUND(SUM($L27:$P27),2))</f>
        <v/>
      </c>
      <c r="R27" s="19">
        <f>IF($B27="","",ROUND($I27-$Q27,2))</f>
        <v/>
      </c>
      <c r="S27" s="33">
        <f>IF($B27="","",IF(ROUND($I27,2)=0,"",ROUND($R27/$I27,4)))</f>
        <v/>
      </c>
      <c r="T27" s="22">
        <f>IF($B27="","",IF($G27="",0,YEAR($G27)*100+MONTH($G27)))</f>
        <v/>
      </c>
      <c r="U27" s="17">
        <f>IF($B27="","",IF(项目台账!$R26="","",项目台账!$R26))</f>
        <v/>
      </c>
    </row>
    <row r="28">
      <c r="A28" s="17">
        <f>IF(项目台账!$B27="","",项目台账!$A27)</f>
        <v/>
      </c>
      <c r="B28" s="17">
        <f>IF(项目台账!$B27="","",项目台账!$B27)</f>
        <v/>
      </c>
      <c r="C28" s="17">
        <f>IF($B28="","",IF(项目台账!$C27="","",项目台账!$C27))</f>
        <v/>
      </c>
      <c r="D28" s="17">
        <f>IF($B28="","",IF(项目台账!$D27="","",项目台账!$D27))</f>
        <v/>
      </c>
      <c r="E28" s="17">
        <f>IF($B28="","",IF(项目台账!$E27="","",项目台账!$E27))</f>
        <v/>
      </c>
      <c r="F28" s="23">
        <f>IF($B28="","",IF(项目台账!$F27="","",项目台账!$F27))</f>
        <v/>
      </c>
      <c r="G28" s="23">
        <f>IF($B28="","",IF(项目台账!$J27="","",项目台账!$J27))</f>
        <v/>
      </c>
      <c r="H28" s="17">
        <f>IF($B28="","",IF(项目台账!$Q27="","",项目台账!$Q27))</f>
        <v/>
      </c>
      <c r="I28" s="19">
        <f>IF($B28="","",项目台账!$M27)</f>
        <v/>
      </c>
      <c r="J28" s="19">
        <f>IF($B28="","",项目台账!$O27)</f>
        <v/>
      </c>
      <c r="K28" s="19">
        <f>IF($B28="","",项目台账!$P27)</f>
        <v/>
      </c>
      <c r="L28" s="19">
        <f>IF($B28="","",ROUND(SUMIFS(采购单!$L$4:$L$2003,采购单!$D$4:$D$2003,$B28,采购单!$F$4:$F$2003,"成本-主材")+SUMIFS(生产安装!$J$4:$J$1203,生产安装!$C$4:$C$1203,$B28,生产安装!$E$4:$E$1203,"成本-主材")+SUMIFS(资金日记账!$K$4:$K$2503,资金日记账!$G$4:$G$2503,$B28,资金日记账!$F$4:$F$2503,"成本-主材")-SUMIFS(资金日记账!$J$4:$J$2503,资金日记账!$G$4:$G$2503,$B28,资金日记账!$F$4:$F$2503,"成本-主材"),2))</f>
        <v/>
      </c>
      <c r="M28" s="19">
        <f>IF($B28="","",ROUND(SUMIFS(采购单!$L$4:$L$2003,采购单!$D$4:$D$2003,$B28,采购单!$F$4:$F$2003,"成本-辅材")+SUMIFS(生产安装!$J$4:$J$1203,生产安装!$C$4:$C$1203,$B28,生产安装!$E$4:$E$1203,"成本-辅材")+SUMIFS(资金日记账!$K$4:$K$2503,资金日记账!$G$4:$G$2503,$B28,资金日记账!$F$4:$F$2503,"成本-辅材")-SUMIFS(资金日记账!$J$4:$J$2503,资金日记账!$G$4:$G$2503,$B28,资金日记账!$F$4:$F$2503,"成本-辅材"),2))</f>
        <v/>
      </c>
      <c r="N28" s="19">
        <f>IF($B28="","",ROUND(SUMIFS(采购单!$L$4:$L$2003,采购单!$D$4:$D$2003,$B28,采购单!$F$4:$F$2003,"成本-人工")+SUMIFS(生产安装!$J$4:$J$1203,生产安装!$C$4:$C$1203,$B28,生产安装!$E$4:$E$1203,"成本-人工")+SUMIFS(资金日记账!$K$4:$K$2503,资金日记账!$G$4:$G$2503,$B28,资金日记账!$F$4:$F$2503,"成本-人工")-SUMIFS(资金日记账!$J$4:$J$2503,资金日记账!$G$4:$G$2503,$B28,资金日记账!$F$4:$F$2503,"成本-人工"),2))</f>
        <v/>
      </c>
      <c r="O28" s="19">
        <f>IF($B28="","",ROUND(SUMIFS(采购单!$L$4:$L$2003,采购单!$D$4:$D$2003,$B28,采购单!$F$4:$F$2003,"成本-车运")+SUMIFS(生产安装!$J$4:$J$1203,生产安装!$C$4:$C$1203,$B28,生产安装!$E$4:$E$1203,"成本-车运")+SUMIFS(资金日记账!$K$4:$K$2503,资金日记账!$G$4:$G$2503,$B28,资金日记账!$F$4:$F$2503,"成本-车运")-SUMIFS(资金日记账!$J$4:$J$2503,资金日记账!$G$4:$G$2503,$B28,资金日记账!$F$4:$F$2503,"成本-车运"),2))</f>
        <v/>
      </c>
      <c r="P28" s="19">
        <f>IF($B28="","",ROUND(SUMIFS(采购单!$L$4:$L$2003,采购单!$D$4:$D$2003,$B28,采购单!$F$4:$F$2003,"成本-其他")+SUMIFS(生产安装!$J$4:$J$1203,生产安装!$C$4:$C$1203,$B28,生产安装!$E$4:$E$1203,"成本-其他")+SUMIFS(资金日记账!$K$4:$K$2503,资金日记账!$G$4:$G$2503,$B28,资金日记账!$F$4:$F$2503,"成本-其他")-SUMIFS(资金日记账!$J$4:$J$2503,资金日记账!$G$4:$G$2503,$B28,资金日记账!$F$4:$F$2503,"成本-其他"),2))</f>
        <v/>
      </c>
      <c r="Q28" s="19">
        <f>IF($B28="","",ROUND(SUM($L28:$P28),2))</f>
        <v/>
      </c>
      <c r="R28" s="19">
        <f>IF($B28="","",ROUND($I28-$Q28,2))</f>
        <v/>
      </c>
      <c r="S28" s="33">
        <f>IF($B28="","",IF(ROUND($I28,2)=0,"",ROUND($R28/$I28,4)))</f>
        <v/>
      </c>
      <c r="T28" s="22">
        <f>IF($B28="","",IF($G28="",0,YEAR($G28)*100+MONTH($G28)))</f>
        <v/>
      </c>
      <c r="U28" s="17">
        <f>IF($B28="","",IF(项目台账!$R27="","",项目台账!$R27))</f>
        <v/>
      </c>
    </row>
    <row r="29">
      <c r="A29" s="17">
        <f>IF(项目台账!$B28="","",项目台账!$A28)</f>
        <v/>
      </c>
      <c r="B29" s="17">
        <f>IF(项目台账!$B28="","",项目台账!$B28)</f>
        <v/>
      </c>
      <c r="C29" s="17">
        <f>IF($B29="","",IF(项目台账!$C28="","",项目台账!$C28))</f>
        <v/>
      </c>
      <c r="D29" s="17">
        <f>IF($B29="","",IF(项目台账!$D28="","",项目台账!$D28))</f>
        <v/>
      </c>
      <c r="E29" s="17">
        <f>IF($B29="","",IF(项目台账!$E28="","",项目台账!$E28))</f>
        <v/>
      </c>
      <c r="F29" s="23">
        <f>IF($B29="","",IF(项目台账!$F28="","",项目台账!$F28))</f>
        <v/>
      </c>
      <c r="G29" s="23">
        <f>IF($B29="","",IF(项目台账!$J28="","",项目台账!$J28))</f>
        <v/>
      </c>
      <c r="H29" s="17">
        <f>IF($B29="","",IF(项目台账!$Q28="","",项目台账!$Q28))</f>
        <v/>
      </c>
      <c r="I29" s="19">
        <f>IF($B29="","",项目台账!$M28)</f>
        <v/>
      </c>
      <c r="J29" s="19">
        <f>IF($B29="","",项目台账!$O28)</f>
        <v/>
      </c>
      <c r="K29" s="19">
        <f>IF($B29="","",项目台账!$P28)</f>
        <v/>
      </c>
      <c r="L29" s="19">
        <f>IF($B29="","",ROUND(SUMIFS(采购单!$L$4:$L$2003,采购单!$D$4:$D$2003,$B29,采购单!$F$4:$F$2003,"成本-主材")+SUMIFS(生产安装!$J$4:$J$1203,生产安装!$C$4:$C$1203,$B29,生产安装!$E$4:$E$1203,"成本-主材")+SUMIFS(资金日记账!$K$4:$K$2503,资金日记账!$G$4:$G$2503,$B29,资金日记账!$F$4:$F$2503,"成本-主材")-SUMIFS(资金日记账!$J$4:$J$2503,资金日记账!$G$4:$G$2503,$B29,资金日记账!$F$4:$F$2503,"成本-主材"),2))</f>
        <v/>
      </c>
      <c r="M29" s="19">
        <f>IF($B29="","",ROUND(SUMIFS(采购单!$L$4:$L$2003,采购单!$D$4:$D$2003,$B29,采购单!$F$4:$F$2003,"成本-辅材")+SUMIFS(生产安装!$J$4:$J$1203,生产安装!$C$4:$C$1203,$B29,生产安装!$E$4:$E$1203,"成本-辅材")+SUMIFS(资金日记账!$K$4:$K$2503,资金日记账!$G$4:$G$2503,$B29,资金日记账!$F$4:$F$2503,"成本-辅材")-SUMIFS(资金日记账!$J$4:$J$2503,资金日记账!$G$4:$G$2503,$B29,资金日记账!$F$4:$F$2503,"成本-辅材"),2))</f>
        <v/>
      </c>
      <c r="N29" s="19">
        <f>IF($B29="","",ROUND(SUMIFS(采购单!$L$4:$L$2003,采购单!$D$4:$D$2003,$B29,采购单!$F$4:$F$2003,"成本-人工")+SUMIFS(生产安装!$J$4:$J$1203,生产安装!$C$4:$C$1203,$B29,生产安装!$E$4:$E$1203,"成本-人工")+SUMIFS(资金日记账!$K$4:$K$2503,资金日记账!$G$4:$G$2503,$B29,资金日记账!$F$4:$F$2503,"成本-人工")-SUMIFS(资金日记账!$J$4:$J$2503,资金日记账!$G$4:$G$2503,$B29,资金日记账!$F$4:$F$2503,"成本-人工"),2))</f>
        <v/>
      </c>
      <c r="O29" s="19">
        <f>IF($B29="","",ROUND(SUMIFS(采购单!$L$4:$L$2003,采购单!$D$4:$D$2003,$B29,采购单!$F$4:$F$2003,"成本-车运")+SUMIFS(生产安装!$J$4:$J$1203,生产安装!$C$4:$C$1203,$B29,生产安装!$E$4:$E$1203,"成本-车运")+SUMIFS(资金日记账!$K$4:$K$2503,资金日记账!$G$4:$G$2503,$B29,资金日记账!$F$4:$F$2503,"成本-车运")-SUMIFS(资金日记账!$J$4:$J$2503,资金日记账!$G$4:$G$2503,$B29,资金日记账!$F$4:$F$2503,"成本-车运"),2))</f>
        <v/>
      </c>
      <c r="P29" s="19">
        <f>IF($B29="","",ROUND(SUMIFS(采购单!$L$4:$L$2003,采购单!$D$4:$D$2003,$B29,采购单!$F$4:$F$2003,"成本-其他")+SUMIFS(生产安装!$J$4:$J$1203,生产安装!$C$4:$C$1203,$B29,生产安装!$E$4:$E$1203,"成本-其他")+SUMIFS(资金日记账!$K$4:$K$2503,资金日记账!$G$4:$G$2503,$B29,资金日记账!$F$4:$F$2503,"成本-其他")-SUMIFS(资金日记账!$J$4:$J$2503,资金日记账!$G$4:$G$2503,$B29,资金日记账!$F$4:$F$2503,"成本-其他"),2))</f>
        <v/>
      </c>
      <c r="Q29" s="19">
        <f>IF($B29="","",ROUND(SUM($L29:$P29),2))</f>
        <v/>
      </c>
      <c r="R29" s="19">
        <f>IF($B29="","",ROUND($I29-$Q29,2))</f>
        <v/>
      </c>
      <c r="S29" s="33">
        <f>IF($B29="","",IF(ROUND($I29,2)=0,"",ROUND($R29/$I29,4)))</f>
        <v/>
      </c>
      <c r="T29" s="22">
        <f>IF($B29="","",IF($G29="",0,YEAR($G29)*100+MONTH($G29)))</f>
        <v/>
      </c>
      <c r="U29" s="17">
        <f>IF($B29="","",IF(项目台账!$R28="","",项目台账!$R28))</f>
        <v/>
      </c>
    </row>
    <row r="30">
      <c r="A30" s="17">
        <f>IF(项目台账!$B29="","",项目台账!$A29)</f>
        <v/>
      </c>
      <c r="B30" s="17">
        <f>IF(项目台账!$B29="","",项目台账!$B29)</f>
        <v/>
      </c>
      <c r="C30" s="17">
        <f>IF($B30="","",IF(项目台账!$C29="","",项目台账!$C29))</f>
        <v/>
      </c>
      <c r="D30" s="17">
        <f>IF($B30="","",IF(项目台账!$D29="","",项目台账!$D29))</f>
        <v/>
      </c>
      <c r="E30" s="17">
        <f>IF($B30="","",IF(项目台账!$E29="","",项目台账!$E29))</f>
        <v/>
      </c>
      <c r="F30" s="23">
        <f>IF($B30="","",IF(项目台账!$F29="","",项目台账!$F29))</f>
        <v/>
      </c>
      <c r="G30" s="23">
        <f>IF($B30="","",IF(项目台账!$J29="","",项目台账!$J29))</f>
        <v/>
      </c>
      <c r="H30" s="17">
        <f>IF($B30="","",IF(项目台账!$Q29="","",项目台账!$Q29))</f>
        <v/>
      </c>
      <c r="I30" s="19">
        <f>IF($B30="","",项目台账!$M29)</f>
        <v/>
      </c>
      <c r="J30" s="19">
        <f>IF($B30="","",项目台账!$O29)</f>
        <v/>
      </c>
      <c r="K30" s="19">
        <f>IF($B30="","",项目台账!$P29)</f>
        <v/>
      </c>
      <c r="L30" s="19">
        <f>IF($B30="","",ROUND(SUMIFS(采购单!$L$4:$L$2003,采购单!$D$4:$D$2003,$B30,采购单!$F$4:$F$2003,"成本-主材")+SUMIFS(生产安装!$J$4:$J$1203,生产安装!$C$4:$C$1203,$B30,生产安装!$E$4:$E$1203,"成本-主材")+SUMIFS(资金日记账!$K$4:$K$2503,资金日记账!$G$4:$G$2503,$B30,资金日记账!$F$4:$F$2503,"成本-主材")-SUMIFS(资金日记账!$J$4:$J$2503,资金日记账!$G$4:$G$2503,$B30,资金日记账!$F$4:$F$2503,"成本-主材"),2))</f>
        <v/>
      </c>
      <c r="M30" s="19">
        <f>IF($B30="","",ROUND(SUMIFS(采购单!$L$4:$L$2003,采购单!$D$4:$D$2003,$B30,采购单!$F$4:$F$2003,"成本-辅材")+SUMIFS(生产安装!$J$4:$J$1203,生产安装!$C$4:$C$1203,$B30,生产安装!$E$4:$E$1203,"成本-辅材")+SUMIFS(资金日记账!$K$4:$K$2503,资金日记账!$G$4:$G$2503,$B30,资金日记账!$F$4:$F$2503,"成本-辅材")-SUMIFS(资金日记账!$J$4:$J$2503,资金日记账!$G$4:$G$2503,$B30,资金日记账!$F$4:$F$2503,"成本-辅材"),2))</f>
        <v/>
      </c>
      <c r="N30" s="19">
        <f>IF($B30="","",ROUND(SUMIFS(采购单!$L$4:$L$2003,采购单!$D$4:$D$2003,$B30,采购单!$F$4:$F$2003,"成本-人工")+SUMIFS(生产安装!$J$4:$J$1203,生产安装!$C$4:$C$1203,$B30,生产安装!$E$4:$E$1203,"成本-人工")+SUMIFS(资金日记账!$K$4:$K$2503,资金日记账!$G$4:$G$2503,$B30,资金日记账!$F$4:$F$2503,"成本-人工")-SUMIFS(资金日记账!$J$4:$J$2503,资金日记账!$G$4:$G$2503,$B30,资金日记账!$F$4:$F$2503,"成本-人工"),2))</f>
        <v/>
      </c>
      <c r="O30" s="19">
        <f>IF($B30="","",ROUND(SUMIFS(采购单!$L$4:$L$2003,采购单!$D$4:$D$2003,$B30,采购单!$F$4:$F$2003,"成本-车运")+SUMIFS(生产安装!$J$4:$J$1203,生产安装!$C$4:$C$1203,$B30,生产安装!$E$4:$E$1203,"成本-车运")+SUMIFS(资金日记账!$K$4:$K$2503,资金日记账!$G$4:$G$2503,$B30,资金日记账!$F$4:$F$2503,"成本-车运")-SUMIFS(资金日记账!$J$4:$J$2503,资金日记账!$G$4:$G$2503,$B30,资金日记账!$F$4:$F$2503,"成本-车运"),2))</f>
        <v/>
      </c>
      <c r="P30" s="19">
        <f>IF($B30="","",ROUND(SUMIFS(采购单!$L$4:$L$2003,采购单!$D$4:$D$2003,$B30,采购单!$F$4:$F$2003,"成本-其他")+SUMIFS(生产安装!$J$4:$J$1203,生产安装!$C$4:$C$1203,$B30,生产安装!$E$4:$E$1203,"成本-其他")+SUMIFS(资金日记账!$K$4:$K$2503,资金日记账!$G$4:$G$2503,$B30,资金日记账!$F$4:$F$2503,"成本-其他")-SUMIFS(资金日记账!$J$4:$J$2503,资金日记账!$G$4:$G$2503,$B30,资金日记账!$F$4:$F$2503,"成本-其他"),2))</f>
        <v/>
      </c>
      <c r="Q30" s="19">
        <f>IF($B30="","",ROUND(SUM($L30:$P30),2))</f>
        <v/>
      </c>
      <c r="R30" s="19">
        <f>IF($B30="","",ROUND($I30-$Q30,2))</f>
        <v/>
      </c>
      <c r="S30" s="33">
        <f>IF($B30="","",IF(ROUND($I30,2)=0,"",ROUND($R30/$I30,4)))</f>
        <v/>
      </c>
      <c r="T30" s="22">
        <f>IF($B30="","",IF($G30="",0,YEAR($G30)*100+MONTH($G30)))</f>
        <v/>
      </c>
      <c r="U30" s="17">
        <f>IF($B30="","",IF(项目台账!$R29="","",项目台账!$R29))</f>
        <v/>
      </c>
    </row>
    <row r="31">
      <c r="A31" s="17">
        <f>IF(项目台账!$B30="","",项目台账!$A30)</f>
        <v/>
      </c>
      <c r="B31" s="17">
        <f>IF(项目台账!$B30="","",项目台账!$B30)</f>
        <v/>
      </c>
      <c r="C31" s="17">
        <f>IF($B31="","",IF(项目台账!$C30="","",项目台账!$C30))</f>
        <v/>
      </c>
      <c r="D31" s="17">
        <f>IF($B31="","",IF(项目台账!$D30="","",项目台账!$D30))</f>
        <v/>
      </c>
      <c r="E31" s="17">
        <f>IF($B31="","",IF(项目台账!$E30="","",项目台账!$E30))</f>
        <v/>
      </c>
      <c r="F31" s="23">
        <f>IF($B31="","",IF(项目台账!$F30="","",项目台账!$F30))</f>
        <v/>
      </c>
      <c r="G31" s="23">
        <f>IF($B31="","",IF(项目台账!$J30="","",项目台账!$J30))</f>
        <v/>
      </c>
      <c r="H31" s="17">
        <f>IF($B31="","",IF(项目台账!$Q30="","",项目台账!$Q30))</f>
        <v/>
      </c>
      <c r="I31" s="19">
        <f>IF($B31="","",项目台账!$M30)</f>
        <v/>
      </c>
      <c r="J31" s="19">
        <f>IF($B31="","",项目台账!$O30)</f>
        <v/>
      </c>
      <c r="K31" s="19">
        <f>IF($B31="","",项目台账!$P30)</f>
        <v/>
      </c>
      <c r="L31" s="19">
        <f>IF($B31="","",ROUND(SUMIFS(采购单!$L$4:$L$2003,采购单!$D$4:$D$2003,$B31,采购单!$F$4:$F$2003,"成本-主材")+SUMIFS(生产安装!$J$4:$J$1203,生产安装!$C$4:$C$1203,$B31,生产安装!$E$4:$E$1203,"成本-主材")+SUMIFS(资金日记账!$K$4:$K$2503,资金日记账!$G$4:$G$2503,$B31,资金日记账!$F$4:$F$2503,"成本-主材")-SUMIFS(资金日记账!$J$4:$J$2503,资金日记账!$G$4:$G$2503,$B31,资金日记账!$F$4:$F$2503,"成本-主材"),2))</f>
        <v/>
      </c>
      <c r="M31" s="19">
        <f>IF($B31="","",ROUND(SUMIFS(采购单!$L$4:$L$2003,采购单!$D$4:$D$2003,$B31,采购单!$F$4:$F$2003,"成本-辅材")+SUMIFS(生产安装!$J$4:$J$1203,生产安装!$C$4:$C$1203,$B31,生产安装!$E$4:$E$1203,"成本-辅材")+SUMIFS(资金日记账!$K$4:$K$2503,资金日记账!$G$4:$G$2503,$B31,资金日记账!$F$4:$F$2503,"成本-辅材")-SUMIFS(资金日记账!$J$4:$J$2503,资金日记账!$G$4:$G$2503,$B31,资金日记账!$F$4:$F$2503,"成本-辅材"),2))</f>
        <v/>
      </c>
      <c r="N31" s="19">
        <f>IF($B31="","",ROUND(SUMIFS(采购单!$L$4:$L$2003,采购单!$D$4:$D$2003,$B31,采购单!$F$4:$F$2003,"成本-人工")+SUMIFS(生产安装!$J$4:$J$1203,生产安装!$C$4:$C$1203,$B31,生产安装!$E$4:$E$1203,"成本-人工")+SUMIFS(资金日记账!$K$4:$K$2503,资金日记账!$G$4:$G$2503,$B31,资金日记账!$F$4:$F$2503,"成本-人工")-SUMIFS(资金日记账!$J$4:$J$2503,资金日记账!$G$4:$G$2503,$B31,资金日记账!$F$4:$F$2503,"成本-人工"),2))</f>
        <v/>
      </c>
      <c r="O31" s="19">
        <f>IF($B31="","",ROUND(SUMIFS(采购单!$L$4:$L$2003,采购单!$D$4:$D$2003,$B31,采购单!$F$4:$F$2003,"成本-车运")+SUMIFS(生产安装!$J$4:$J$1203,生产安装!$C$4:$C$1203,$B31,生产安装!$E$4:$E$1203,"成本-车运")+SUMIFS(资金日记账!$K$4:$K$2503,资金日记账!$G$4:$G$2503,$B31,资金日记账!$F$4:$F$2503,"成本-车运")-SUMIFS(资金日记账!$J$4:$J$2503,资金日记账!$G$4:$G$2503,$B31,资金日记账!$F$4:$F$2503,"成本-车运"),2))</f>
        <v/>
      </c>
      <c r="P31" s="19">
        <f>IF($B31="","",ROUND(SUMIFS(采购单!$L$4:$L$2003,采购单!$D$4:$D$2003,$B31,采购单!$F$4:$F$2003,"成本-其他")+SUMIFS(生产安装!$J$4:$J$1203,生产安装!$C$4:$C$1203,$B31,生产安装!$E$4:$E$1203,"成本-其他")+SUMIFS(资金日记账!$K$4:$K$2503,资金日记账!$G$4:$G$2503,$B31,资金日记账!$F$4:$F$2503,"成本-其他")-SUMIFS(资金日记账!$J$4:$J$2503,资金日记账!$G$4:$G$2503,$B31,资金日记账!$F$4:$F$2503,"成本-其他"),2))</f>
        <v/>
      </c>
      <c r="Q31" s="19">
        <f>IF($B31="","",ROUND(SUM($L31:$P31),2))</f>
        <v/>
      </c>
      <c r="R31" s="19">
        <f>IF($B31="","",ROUND($I31-$Q31,2))</f>
        <v/>
      </c>
      <c r="S31" s="33">
        <f>IF($B31="","",IF(ROUND($I31,2)=0,"",ROUND($R31/$I31,4)))</f>
        <v/>
      </c>
      <c r="T31" s="22">
        <f>IF($B31="","",IF($G31="",0,YEAR($G31)*100+MONTH($G31)))</f>
        <v/>
      </c>
      <c r="U31" s="17">
        <f>IF($B31="","",IF(项目台账!$R30="","",项目台账!$R30))</f>
        <v/>
      </c>
    </row>
    <row r="32">
      <c r="A32" s="17">
        <f>IF(项目台账!$B31="","",项目台账!$A31)</f>
        <v/>
      </c>
      <c r="B32" s="17">
        <f>IF(项目台账!$B31="","",项目台账!$B31)</f>
        <v/>
      </c>
      <c r="C32" s="17">
        <f>IF($B32="","",IF(项目台账!$C31="","",项目台账!$C31))</f>
        <v/>
      </c>
      <c r="D32" s="17">
        <f>IF($B32="","",IF(项目台账!$D31="","",项目台账!$D31))</f>
        <v/>
      </c>
      <c r="E32" s="17">
        <f>IF($B32="","",IF(项目台账!$E31="","",项目台账!$E31))</f>
        <v/>
      </c>
      <c r="F32" s="23">
        <f>IF($B32="","",IF(项目台账!$F31="","",项目台账!$F31))</f>
        <v/>
      </c>
      <c r="G32" s="23">
        <f>IF($B32="","",IF(项目台账!$J31="","",项目台账!$J31))</f>
        <v/>
      </c>
      <c r="H32" s="17">
        <f>IF($B32="","",IF(项目台账!$Q31="","",项目台账!$Q31))</f>
        <v/>
      </c>
      <c r="I32" s="19">
        <f>IF($B32="","",项目台账!$M31)</f>
        <v/>
      </c>
      <c r="J32" s="19">
        <f>IF($B32="","",项目台账!$O31)</f>
        <v/>
      </c>
      <c r="K32" s="19">
        <f>IF($B32="","",项目台账!$P31)</f>
        <v/>
      </c>
      <c r="L32" s="19">
        <f>IF($B32="","",ROUND(SUMIFS(采购单!$L$4:$L$2003,采购单!$D$4:$D$2003,$B32,采购单!$F$4:$F$2003,"成本-主材")+SUMIFS(生产安装!$J$4:$J$1203,生产安装!$C$4:$C$1203,$B32,生产安装!$E$4:$E$1203,"成本-主材")+SUMIFS(资金日记账!$K$4:$K$2503,资金日记账!$G$4:$G$2503,$B32,资金日记账!$F$4:$F$2503,"成本-主材")-SUMIFS(资金日记账!$J$4:$J$2503,资金日记账!$G$4:$G$2503,$B32,资金日记账!$F$4:$F$2503,"成本-主材"),2))</f>
        <v/>
      </c>
      <c r="M32" s="19">
        <f>IF($B32="","",ROUND(SUMIFS(采购单!$L$4:$L$2003,采购单!$D$4:$D$2003,$B32,采购单!$F$4:$F$2003,"成本-辅材")+SUMIFS(生产安装!$J$4:$J$1203,生产安装!$C$4:$C$1203,$B32,生产安装!$E$4:$E$1203,"成本-辅材")+SUMIFS(资金日记账!$K$4:$K$2503,资金日记账!$G$4:$G$2503,$B32,资金日记账!$F$4:$F$2503,"成本-辅材")-SUMIFS(资金日记账!$J$4:$J$2503,资金日记账!$G$4:$G$2503,$B32,资金日记账!$F$4:$F$2503,"成本-辅材"),2))</f>
        <v/>
      </c>
      <c r="N32" s="19">
        <f>IF($B32="","",ROUND(SUMIFS(采购单!$L$4:$L$2003,采购单!$D$4:$D$2003,$B32,采购单!$F$4:$F$2003,"成本-人工")+SUMIFS(生产安装!$J$4:$J$1203,生产安装!$C$4:$C$1203,$B32,生产安装!$E$4:$E$1203,"成本-人工")+SUMIFS(资金日记账!$K$4:$K$2503,资金日记账!$G$4:$G$2503,$B32,资金日记账!$F$4:$F$2503,"成本-人工")-SUMIFS(资金日记账!$J$4:$J$2503,资金日记账!$G$4:$G$2503,$B32,资金日记账!$F$4:$F$2503,"成本-人工"),2))</f>
        <v/>
      </c>
      <c r="O32" s="19">
        <f>IF($B32="","",ROUND(SUMIFS(采购单!$L$4:$L$2003,采购单!$D$4:$D$2003,$B32,采购单!$F$4:$F$2003,"成本-车运")+SUMIFS(生产安装!$J$4:$J$1203,生产安装!$C$4:$C$1203,$B32,生产安装!$E$4:$E$1203,"成本-车运")+SUMIFS(资金日记账!$K$4:$K$2503,资金日记账!$G$4:$G$2503,$B32,资金日记账!$F$4:$F$2503,"成本-车运")-SUMIFS(资金日记账!$J$4:$J$2503,资金日记账!$G$4:$G$2503,$B32,资金日记账!$F$4:$F$2503,"成本-车运"),2))</f>
        <v/>
      </c>
      <c r="P32" s="19">
        <f>IF($B32="","",ROUND(SUMIFS(采购单!$L$4:$L$2003,采购单!$D$4:$D$2003,$B32,采购单!$F$4:$F$2003,"成本-其他")+SUMIFS(生产安装!$J$4:$J$1203,生产安装!$C$4:$C$1203,$B32,生产安装!$E$4:$E$1203,"成本-其他")+SUMIFS(资金日记账!$K$4:$K$2503,资金日记账!$G$4:$G$2503,$B32,资金日记账!$F$4:$F$2503,"成本-其他")-SUMIFS(资金日记账!$J$4:$J$2503,资金日记账!$G$4:$G$2503,$B32,资金日记账!$F$4:$F$2503,"成本-其他"),2))</f>
        <v/>
      </c>
      <c r="Q32" s="19">
        <f>IF($B32="","",ROUND(SUM($L32:$P32),2))</f>
        <v/>
      </c>
      <c r="R32" s="19">
        <f>IF($B32="","",ROUND($I32-$Q32,2))</f>
        <v/>
      </c>
      <c r="S32" s="33">
        <f>IF($B32="","",IF(ROUND($I32,2)=0,"",ROUND($R32/$I32,4)))</f>
        <v/>
      </c>
      <c r="T32" s="22">
        <f>IF($B32="","",IF($G32="",0,YEAR($G32)*100+MONTH($G32)))</f>
        <v/>
      </c>
      <c r="U32" s="17">
        <f>IF($B32="","",IF(项目台账!$R31="","",项目台账!$R31))</f>
        <v/>
      </c>
    </row>
    <row r="33">
      <c r="A33" s="17">
        <f>IF(项目台账!$B32="","",项目台账!$A32)</f>
        <v/>
      </c>
      <c r="B33" s="17">
        <f>IF(项目台账!$B32="","",项目台账!$B32)</f>
        <v/>
      </c>
      <c r="C33" s="17">
        <f>IF($B33="","",IF(项目台账!$C32="","",项目台账!$C32))</f>
        <v/>
      </c>
      <c r="D33" s="17">
        <f>IF($B33="","",IF(项目台账!$D32="","",项目台账!$D32))</f>
        <v/>
      </c>
      <c r="E33" s="17">
        <f>IF($B33="","",IF(项目台账!$E32="","",项目台账!$E32))</f>
        <v/>
      </c>
      <c r="F33" s="23">
        <f>IF($B33="","",IF(项目台账!$F32="","",项目台账!$F32))</f>
        <v/>
      </c>
      <c r="G33" s="23">
        <f>IF($B33="","",IF(项目台账!$J32="","",项目台账!$J32))</f>
        <v/>
      </c>
      <c r="H33" s="17">
        <f>IF($B33="","",IF(项目台账!$Q32="","",项目台账!$Q32))</f>
        <v/>
      </c>
      <c r="I33" s="19">
        <f>IF($B33="","",项目台账!$M32)</f>
        <v/>
      </c>
      <c r="J33" s="19">
        <f>IF($B33="","",项目台账!$O32)</f>
        <v/>
      </c>
      <c r="K33" s="19">
        <f>IF($B33="","",项目台账!$P32)</f>
        <v/>
      </c>
      <c r="L33" s="19">
        <f>IF($B33="","",ROUND(SUMIFS(采购单!$L$4:$L$2003,采购单!$D$4:$D$2003,$B33,采购单!$F$4:$F$2003,"成本-主材")+SUMIFS(生产安装!$J$4:$J$1203,生产安装!$C$4:$C$1203,$B33,生产安装!$E$4:$E$1203,"成本-主材")+SUMIFS(资金日记账!$K$4:$K$2503,资金日记账!$G$4:$G$2503,$B33,资金日记账!$F$4:$F$2503,"成本-主材")-SUMIFS(资金日记账!$J$4:$J$2503,资金日记账!$G$4:$G$2503,$B33,资金日记账!$F$4:$F$2503,"成本-主材"),2))</f>
        <v/>
      </c>
      <c r="M33" s="19">
        <f>IF($B33="","",ROUND(SUMIFS(采购单!$L$4:$L$2003,采购单!$D$4:$D$2003,$B33,采购单!$F$4:$F$2003,"成本-辅材")+SUMIFS(生产安装!$J$4:$J$1203,生产安装!$C$4:$C$1203,$B33,生产安装!$E$4:$E$1203,"成本-辅材")+SUMIFS(资金日记账!$K$4:$K$2503,资金日记账!$G$4:$G$2503,$B33,资金日记账!$F$4:$F$2503,"成本-辅材")-SUMIFS(资金日记账!$J$4:$J$2503,资金日记账!$G$4:$G$2503,$B33,资金日记账!$F$4:$F$2503,"成本-辅材"),2))</f>
        <v/>
      </c>
      <c r="N33" s="19">
        <f>IF($B33="","",ROUND(SUMIFS(采购单!$L$4:$L$2003,采购单!$D$4:$D$2003,$B33,采购单!$F$4:$F$2003,"成本-人工")+SUMIFS(生产安装!$J$4:$J$1203,生产安装!$C$4:$C$1203,$B33,生产安装!$E$4:$E$1203,"成本-人工")+SUMIFS(资金日记账!$K$4:$K$2503,资金日记账!$G$4:$G$2503,$B33,资金日记账!$F$4:$F$2503,"成本-人工")-SUMIFS(资金日记账!$J$4:$J$2503,资金日记账!$G$4:$G$2503,$B33,资金日记账!$F$4:$F$2503,"成本-人工"),2))</f>
        <v/>
      </c>
      <c r="O33" s="19">
        <f>IF($B33="","",ROUND(SUMIFS(采购单!$L$4:$L$2003,采购单!$D$4:$D$2003,$B33,采购单!$F$4:$F$2003,"成本-车运")+SUMIFS(生产安装!$J$4:$J$1203,生产安装!$C$4:$C$1203,$B33,生产安装!$E$4:$E$1203,"成本-车运")+SUMIFS(资金日记账!$K$4:$K$2503,资金日记账!$G$4:$G$2503,$B33,资金日记账!$F$4:$F$2503,"成本-车运")-SUMIFS(资金日记账!$J$4:$J$2503,资金日记账!$G$4:$G$2503,$B33,资金日记账!$F$4:$F$2503,"成本-车运"),2))</f>
        <v/>
      </c>
      <c r="P33" s="19">
        <f>IF($B33="","",ROUND(SUMIFS(采购单!$L$4:$L$2003,采购单!$D$4:$D$2003,$B33,采购单!$F$4:$F$2003,"成本-其他")+SUMIFS(生产安装!$J$4:$J$1203,生产安装!$C$4:$C$1203,$B33,生产安装!$E$4:$E$1203,"成本-其他")+SUMIFS(资金日记账!$K$4:$K$2503,资金日记账!$G$4:$G$2503,$B33,资金日记账!$F$4:$F$2503,"成本-其他")-SUMIFS(资金日记账!$J$4:$J$2503,资金日记账!$G$4:$G$2503,$B33,资金日记账!$F$4:$F$2503,"成本-其他"),2))</f>
        <v/>
      </c>
      <c r="Q33" s="19">
        <f>IF($B33="","",ROUND(SUM($L33:$P33),2))</f>
        <v/>
      </c>
      <c r="R33" s="19">
        <f>IF($B33="","",ROUND($I33-$Q33,2))</f>
        <v/>
      </c>
      <c r="S33" s="33">
        <f>IF($B33="","",IF(ROUND($I33,2)=0,"",ROUND($R33/$I33,4)))</f>
        <v/>
      </c>
      <c r="T33" s="22">
        <f>IF($B33="","",IF($G33="",0,YEAR($G33)*100+MONTH($G33)))</f>
        <v/>
      </c>
      <c r="U33" s="17">
        <f>IF($B33="","",IF(项目台账!$R32="","",项目台账!$R32))</f>
        <v/>
      </c>
    </row>
    <row r="34">
      <c r="A34" s="17">
        <f>IF(项目台账!$B33="","",项目台账!$A33)</f>
        <v/>
      </c>
      <c r="B34" s="17">
        <f>IF(项目台账!$B33="","",项目台账!$B33)</f>
        <v/>
      </c>
      <c r="C34" s="17">
        <f>IF($B34="","",IF(项目台账!$C33="","",项目台账!$C33))</f>
        <v/>
      </c>
      <c r="D34" s="17">
        <f>IF($B34="","",IF(项目台账!$D33="","",项目台账!$D33))</f>
        <v/>
      </c>
      <c r="E34" s="17">
        <f>IF($B34="","",IF(项目台账!$E33="","",项目台账!$E33))</f>
        <v/>
      </c>
      <c r="F34" s="23">
        <f>IF($B34="","",IF(项目台账!$F33="","",项目台账!$F33))</f>
        <v/>
      </c>
      <c r="G34" s="23">
        <f>IF($B34="","",IF(项目台账!$J33="","",项目台账!$J33))</f>
        <v/>
      </c>
      <c r="H34" s="17">
        <f>IF($B34="","",IF(项目台账!$Q33="","",项目台账!$Q33))</f>
        <v/>
      </c>
      <c r="I34" s="19">
        <f>IF($B34="","",项目台账!$M33)</f>
        <v/>
      </c>
      <c r="J34" s="19">
        <f>IF($B34="","",项目台账!$O33)</f>
        <v/>
      </c>
      <c r="K34" s="19">
        <f>IF($B34="","",项目台账!$P33)</f>
        <v/>
      </c>
      <c r="L34" s="19">
        <f>IF($B34="","",ROUND(SUMIFS(采购单!$L$4:$L$2003,采购单!$D$4:$D$2003,$B34,采购单!$F$4:$F$2003,"成本-主材")+SUMIFS(生产安装!$J$4:$J$1203,生产安装!$C$4:$C$1203,$B34,生产安装!$E$4:$E$1203,"成本-主材")+SUMIFS(资金日记账!$K$4:$K$2503,资金日记账!$G$4:$G$2503,$B34,资金日记账!$F$4:$F$2503,"成本-主材")-SUMIFS(资金日记账!$J$4:$J$2503,资金日记账!$G$4:$G$2503,$B34,资金日记账!$F$4:$F$2503,"成本-主材"),2))</f>
        <v/>
      </c>
      <c r="M34" s="19">
        <f>IF($B34="","",ROUND(SUMIFS(采购单!$L$4:$L$2003,采购单!$D$4:$D$2003,$B34,采购单!$F$4:$F$2003,"成本-辅材")+SUMIFS(生产安装!$J$4:$J$1203,生产安装!$C$4:$C$1203,$B34,生产安装!$E$4:$E$1203,"成本-辅材")+SUMIFS(资金日记账!$K$4:$K$2503,资金日记账!$G$4:$G$2503,$B34,资金日记账!$F$4:$F$2503,"成本-辅材")-SUMIFS(资金日记账!$J$4:$J$2503,资金日记账!$G$4:$G$2503,$B34,资金日记账!$F$4:$F$2503,"成本-辅材"),2))</f>
        <v/>
      </c>
      <c r="N34" s="19">
        <f>IF($B34="","",ROUND(SUMIFS(采购单!$L$4:$L$2003,采购单!$D$4:$D$2003,$B34,采购单!$F$4:$F$2003,"成本-人工")+SUMIFS(生产安装!$J$4:$J$1203,生产安装!$C$4:$C$1203,$B34,生产安装!$E$4:$E$1203,"成本-人工")+SUMIFS(资金日记账!$K$4:$K$2503,资金日记账!$G$4:$G$2503,$B34,资金日记账!$F$4:$F$2503,"成本-人工")-SUMIFS(资金日记账!$J$4:$J$2503,资金日记账!$G$4:$G$2503,$B34,资金日记账!$F$4:$F$2503,"成本-人工"),2))</f>
        <v/>
      </c>
      <c r="O34" s="19">
        <f>IF($B34="","",ROUND(SUMIFS(采购单!$L$4:$L$2003,采购单!$D$4:$D$2003,$B34,采购单!$F$4:$F$2003,"成本-车运")+SUMIFS(生产安装!$J$4:$J$1203,生产安装!$C$4:$C$1203,$B34,生产安装!$E$4:$E$1203,"成本-车运")+SUMIFS(资金日记账!$K$4:$K$2503,资金日记账!$G$4:$G$2503,$B34,资金日记账!$F$4:$F$2503,"成本-车运")-SUMIFS(资金日记账!$J$4:$J$2503,资金日记账!$G$4:$G$2503,$B34,资金日记账!$F$4:$F$2503,"成本-车运"),2))</f>
        <v/>
      </c>
      <c r="P34" s="19">
        <f>IF($B34="","",ROUND(SUMIFS(采购单!$L$4:$L$2003,采购单!$D$4:$D$2003,$B34,采购单!$F$4:$F$2003,"成本-其他")+SUMIFS(生产安装!$J$4:$J$1203,生产安装!$C$4:$C$1203,$B34,生产安装!$E$4:$E$1203,"成本-其他")+SUMIFS(资金日记账!$K$4:$K$2503,资金日记账!$G$4:$G$2503,$B34,资金日记账!$F$4:$F$2503,"成本-其他")-SUMIFS(资金日记账!$J$4:$J$2503,资金日记账!$G$4:$G$2503,$B34,资金日记账!$F$4:$F$2503,"成本-其他"),2))</f>
        <v/>
      </c>
      <c r="Q34" s="19">
        <f>IF($B34="","",ROUND(SUM($L34:$P34),2))</f>
        <v/>
      </c>
      <c r="R34" s="19">
        <f>IF($B34="","",ROUND($I34-$Q34,2))</f>
        <v/>
      </c>
      <c r="S34" s="33">
        <f>IF($B34="","",IF(ROUND($I34,2)=0,"",ROUND($R34/$I34,4)))</f>
        <v/>
      </c>
      <c r="T34" s="22">
        <f>IF($B34="","",IF($G34="",0,YEAR($G34)*100+MONTH($G34)))</f>
        <v/>
      </c>
      <c r="U34" s="17">
        <f>IF($B34="","",IF(项目台账!$R33="","",项目台账!$R33))</f>
        <v/>
      </c>
    </row>
    <row r="35">
      <c r="A35" s="17">
        <f>IF(项目台账!$B34="","",项目台账!$A34)</f>
        <v/>
      </c>
      <c r="B35" s="17">
        <f>IF(项目台账!$B34="","",项目台账!$B34)</f>
        <v/>
      </c>
      <c r="C35" s="17">
        <f>IF($B35="","",IF(项目台账!$C34="","",项目台账!$C34))</f>
        <v/>
      </c>
      <c r="D35" s="17">
        <f>IF($B35="","",IF(项目台账!$D34="","",项目台账!$D34))</f>
        <v/>
      </c>
      <c r="E35" s="17">
        <f>IF($B35="","",IF(项目台账!$E34="","",项目台账!$E34))</f>
        <v/>
      </c>
      <c r="F35" s="23">
        <f>IF($B35="","",IF(项目台账!$F34="","",项目台账!$F34))</f>
        <v/>
      </c>
      <c r="G35" s="23">
        <f>IF($B35="","",IF(项目台账!$J34="","",项目台账!$J34))</f>
        <v/>
      </c>
      <c r="H35" s="17">
        <f>IF($B35="","",IF(项目台账!$Q34="","",项目台账!$Q34))</f>
        <v/>
      </c>
      <c r="I35" s="19">
        <f>IF($B35="","",项目台账!$M34)</f>
        <v/>
      </c>
      <c r="J35" s="19">
        <f>IF($B35="","",项目台账!$O34)</f>
        <v/>
      </c>
      <c r="K35" s="19">
        <f>IF($B35="","",项目台账!$P34)</f>
        <v/>
      </c>
      <c r="L35" s="19">
        <f>IF($B35="","",ROUND(SUMIFS(采购单!$L$4:$L$2003,采购单!$D$4:$D$2003,$B35,采购单!$F$4:$F$2003,"成本-主材")+SUMIFS(生产安装!$J$4:$J$1203,生产安装!$C$4:$C$1203,$B35,生产安装!$E$4:$E$1203,"成本-主材")+SUMIFS(资金日记账!$K$4:$K$2503,资金日记账!$G$4:$G$2503,$B35,资金日记账!$F$4:$F$2503,"成本-主材")-SUMIFS(资金日记账!$J$4:$J$2503,资金日记账!$G$4:$G$2503,$B35,资金日记账!$F$4:$F$2503,"成本-主材"),2))</f>
        <v/>
      </c>
      <c r="M35" s="19">
        <f>IF($B35="","",ROUND(SUMIFS(采购单!$L$4:$L$2003,采购单!$D$4:$D$2003,$B35,采购单!$F$4:$F$2003,"成本-辅材")+SUMIFS(生产安装!$J$4:$J$1203,生产安装!$C$4:$C$1203,$B35,生产安装!$E$4:$E$1203,"成本-辅材")+SUMIFS(资金日记账!$K$4:$K$2503,资金日记账!$G$4:$G$2503,$B35,资金日记账!$F$4:$F$2503,"成本-辅材")-SUMIFS(资金日记账!$J$4:$J$2503,资金日记账!$G$4:$G$2503,$B35,资金日记账!$F$4:$F$2503,"成本-辅材"),2))</f>
        <v/>
      </c>
      <c r="N35" s="19">
        <f>IF($B35="","",ROUND(SUMIFS(采购单!$L$4:$L$2003,采购单!$D$4:$D$2003,$B35,采购单!$F$4:$F$2003,"成本-人工")+SUMIFS(生产安装!$J$4:$J$1203,生产安装!$C$4:$C$1203,$B35,生产安装!$E$4:$E$1203,"成本-人工")+SUMIFS(资金日记账!$K$4:$K$2503,资金日记账!$G$4:$G$2503,$B35,资金日记账!$F$4:$F$2503,"成本-人工")-SUMIFS(资金日记账!$J$4:$J$2503,资金日记账!$G$4:$G$2503,$B35,资金日记账!$F$4:$F$2503,"成本-人工"),2))</f>
        <v/>
      </c>
      <c r="O35" s="19">
        <f>IF($B35="","",ROUND(SUMIFS(采购单!$L$4:$L$2003,采购单!$D$4:$D$2003,$B35,采购单!$F$4:$F$2003,"成本-车运")+SUMIFS(生产安装!$J$4:$J$1203,生产安装!$C$4:$C$1203,$B35,生产安装!$E$4:$E$1203,"成本-车运")+SUMIFS(资金日记账!$K$4:$K$2503,资金日记账!$G$4:$G$2503,$B35,资金日记账!$F$4:$F$2503,"成本-车运")-SUMIFS(资金日记账!$J$4:$J$2503,资金日记账!$G$4:$G$2503,$B35,资金日记账!$F$4:$F$2503,"成本-车运"),2))</f>
        <v/>
      </c>
      <c r="P35" s="19">
        <f>IF($B35="","",ROUND(SUMIFS(采购单!$L$4:$L$2003,采购单!$D$4:$D$2003,$B35,采购单!$F$4:$F$2003,"成本-其他")+SUMIFS(生产安装!$J$4:$J$1203,生产安装!$C$4:$C$1203,$B35,生产安装!$E$4:$E$1203,"成本-其他")+SUMIFS(资金日记账!$K$4:$K$2503,资金日记账!$G$4:$G$2503,$B35,资金日记账!$F$4:$F$2503,"成本-其他")-SUMIFS(资金日记账!$J$4:$J$2503,资金日记账!$G$4:$G$2503,$B35,资金日记账!$F$4:$F$2503,"成本-其他"),2))</f>
        <v/>
      </c>
      <c r="Q35" s="19">
        <f>IF($B35="","",ROUND(SUM($L35:$P35),2))</f>
        <v/>
      </c>
      <c r="R35" s="19">
        <f>IF($B35="","",ROUND($I35-$Q35,2))</f>
        <v/>
      </c>
      <c r="S35" s="33">
        <f>IF($B35="","",IF(ROUND($I35,2)=0,"",ROUND($R35/$I35,4)))</f>
        <v/>
      </c>
      <c r="T35" s="22">
        <f>IF($B35="","",IF($G35="",0,YEAR($G35)*100+MONTH($G35)))</f>
        <v/>
      </c>
      <c r="U35" s="17">
        <f>IF($B35="","",IF(项目台账!$R34="","",项目台账!$R34))</f>
        <v/>
      </c>
    </row>
    <row r="36">
      <c r="A36" s="17">
        <f>IF(项目台账!$B35="","",项目台账!$A35)</f>
        <v/>
      </c>
      <c r="B36" s="17">
        <f>IF(项目台账!$B35="","",项目台账!$B35)</f>
        <v/>
      </c>
      <c r="C36" s="17">
        <f>IF($B36="","",IF(项目台账!$C35="","",项目台账!$C35))</f>
        <v/>
      </c>
      <c r="D36" s="17">
        <f>IF($B36="","",IF(项目台账!$D35="","",项目台账!$D35))</f>
        <v/>
      </c>
      <c r="E36" s="17">
        <f>IF($B36="","",IF(项目台账!$E35="","",项目台账!$E35))</f>
        <v/>
      </c>
      <c r="F36" s="23">
        <f>IF($B36="","",IF(项目台账!$F35="","",项目台账!$F35))</f>
        <v/>
      </c>
      <c r="G36" s="23">
        <f>IF($B36="","",IF(项目台账!$J35="","",项目台账!$J35))</f>
        <v/>
      </c>
      <c r="H36" s="17">
        <f>IF($B36="","",IF(项目台账!$Q35="","",项目台账!$Q35))</f>
        <v/>
      </c>
      <c r="I36" s="19">
        <f>IF($B36="","",项目台账!$M35)</f>
        <v/>
      </c>
      <c r="J36" s="19">
        <f>IF($B36="","",项目台账!$O35)</f>
        <v/>
      </c>
      <c r="K36" s="19">
        <f>IF($B36="","",项目台账!$P35)</f>
        <v/>
      </c>
      <c r="L36" s="19">
        <f>IF($B36="","",ROUND(SUMIFS(采购单!$L$4:$L$2003,采购单!$D$4:$D$2003,$B36,采购单!$F$4:$F$2003,"成本-主材")+SUMIFS(生产安装!$J$4:$J$1203,生产安装!$C$4:$C$1203,$B36,生产安装!$E$4:$E$1203,"成本-主材")+SUMIFS(资金日记账!$K$4:$K$2503,资金日记账!$G$4:$G$2503,$B36,资金日记账!$F$4:$F$2503,"成本-主材")-SUMIFS(资金日记账!$J$4:$J$2503,资金日记账!$G$4:$G$2503,$B36,资金日记账!$F$4:$F$2503,"成本-主材"),2))</f>
        <v/>
      </c>
      <c r="M36" s="19">
        <f>IF($B36="","",ROUND(SUMIFS(采购单!$L$4:$L$2003,采购单!$D$4:$D$2003,$B36,采购单!$F$4:$F$2003,"成本-辅材")+SUMIFS(生产安装!$J$4:$J$1203,生产安装!$C$4:$C$1203,$B36,生产安装!$E$4:$E$1203,"成本-辅材")+SUMIFS(资金日记账!$K$4:$K$2503,资金日记账!$G$4:$G$2503,$B36,资金日记账!$F$4:$F$2503,"成本-辅材")-SUMIFS(资金日记账!$J$4:$J$2503,资金日记账!$G$4:$G$2503,$B36,资金日记账!$F$4:$F$2503,"成本-辅材"),2))</f>
        <v/>
      </c>
      <c r="N36" s="19">
        <f>IF($B36="","",ROUND(SUMIFS(采购单!$L$4:$L$2003,采购单!$D$4:$D$2003,$B36,采购单!$F$4:$F$2003,"成本-人工")+SUMIFS(生产安装!$J$4:$J$1203,生产安装!$C$4:$C$1203,$B36,生产安装!$E$4:$E$1203,"成本-人工")+SUMIFS(资金日记账!$K$4:$K$2503,资金日记账!$G$4:$G$2503,$B36,资金日记账!$F$4:$F$2503,"成本-人工")-SUMIFS(资金日记账!$J$4:$J$2503,资金日记账!$G$4:$G$2503,$B36,资金日记账!$F$4:$F$2503,"成本-人工"),2))</f>
        <v/>
      </c>
      <c r="O36" s="19">
        <f>IF($B36="","",ROUND(SUMIFS(采购单!$L$4:$L$2003,采购单!$D$4:$D$2003,$B36,采购单!$F$4:$F$2003,"成本-车运")+SUMIFS(生产安装!$J$4:$J$1203,生产安装!$C$4:$C$1203,$B36,生产安装!$E$4:$E$1203,"成本-车运")+SUMIFS(资金日记账!$K$4:$K$2503,资金日记账!$G$4:$G$2503,$B36,资金日记账!$F$4:$F$2503,"成本-车运")-SUMIFS(资金日记账!$J$4:$J$2503,资金日记账!$G$4:$G$2503,$B36,资金日记账!$F$4:$F$2503,"成本-车运"),2))</f>
        <v/>
      </c>
      <c r="P36" s="19">
        <f>IF($B36="","",ROUND(SUMIFS(采购单!$L$4:$L$2003,采购单!$D$4:$D$2003,$B36,采购单!$F$4:$F$2003,"成本-其他")+SUMIFS(生产安装!$J$4:$J$1203,生产安装!$C$4:$C$1203,$B36,生产安装!$E$4:$E$1203,"成本-其他")+SUMIFS(资金日记账!$K$4:$K$2503,资金日记账!$G$4:$G$2503,$B36,资金日记账!$F$4:$F$2503,"成本-其他")-SUMIFS(资金日记账!$J$4:$J$2503,资金日记账!$G$4:$G$2503,$B36,资金日记账!$F$4:$F$2503,"成本-其他"),2))</f>
        <v/>
      </c>
      <c r="Q36" s="19">
        <f>IF($B36="","",ROUND(SUM($L36:$P36),2))</f>
        <v/>
      </c>
      <c r="R36" s="19">
        <f>IF($B36="","",ROUND($I36-$Q36,2))</f>
        <v/>
      </c>
      <c r="S36" s="33">
        <f>IF($B36="","",IF(ROUND($I36,2)=0,"",ROUND($R36/$I36,4)))</f>
        <v/>
      </c>
      <c r="T36" s="22">
        <f>IF($B36="","",IF($G36="",0,YEAR($G36)*100+MONTH($G36)))</f>
        <v/>
      </c>
      <c r="U36" s="17">
        <f>IF($B36="","",IF(项目台账!$R35="","",项目台账!$R35))</f>
        <v/>
      </c>
    </row>
    <row r="37">
      <c r="A37" s="17">
        <f>IF(项目台账!$B36="","",项目台账!$A36)</f>
        <v/>
      </c>
      <c r="B37" s="17">
        <f>IF(项目台账!$B36="","",项目台账!$B36)</f>
        <v/>
      </c>
      <c r="C37" s="17">
        <f>IF($B37="","",IF(项目台账!$C36="","",项目台账!$C36))</f>
        <v/>
      </c>
      <c r="D37" s="17">
        <f>IF($B37="","",IF(项目台账!$D36="","",项目台账!$D36))</f>
        <v/>
      </c>
      <c r="E37" s="17">
        <f>IF($B37="","",IF(项目台账!$E36="","",项目台账!$E36))</f>
        <v/>
      </c>
      <c r="F37" s="23">
        <f>IF($B37="","",IF(项目台账!$F36="","",项目台账!$F36))</f>
        <v/>
      </c>
      <c r="G37" s="23">
        <f>IF($B37="","",IF(项目台账!$J36="","",项目台账!$J36))</f>
        <v/>
      </c>
      <c r="H37" s="17">
        <f>IF($B37="","",IF(项目台账!$Q36="","",项目台账!$Q36))</f>
        <v/>
      </c>
      <c r="I37" s="19">
        <f>IF($B37="","",项目台账!$M36)</f>
        <v/>
      </c>
      <c r="J37" s="19">
        <f>IF($B37="","",项目台账!$O36)</f>
        <v/>
      </c>
      <c r="K37" s="19">
        <f>IF($B37="","",项目台账!$P36)</f>
        <v/>
      </c>
      <c r="L37" s="19">
        <f>IF($B37="","",ROUND(SUMIFS(采购单!$L$4:$L$2003,采购单!$D$4:$D$2003,$B37,采购单!$F$4:$F$2003,"成本-主材")+SUMIFS(生产安装!$J$4:$J$1203,生产安装!$C$4:$C$1203,$B37,生产安装!$E$4:$E$1203,"成本-主材")+SUMIFS(资金日记账!$K$4:$K$2503,资金日记账!$G$4:$G$2503,$B37,资金日记账!$F$4:$F$2503,"成本-主材")-SUMIFS(资金日记账!$J$4:$J$2503,资金日记账!$G$4:$G$2503,$B37,资金日记账!$F$4:$F$2503,"成本-主材"),2))</f>
        <v/>
      </c>
      <c r="M37" s="19">
        <f>IF($B37="","",ROUND(SUMIFS(采购单!$L$4:$L$2003,采购单!$D$4:$D$2003,$B37,采购单!$F$4:$F$2003,"成本-辅材")+SUMIFS(生产安装!$J$4:$J$1203,生产安装!$C$4:$C$1203,$B37,生产安装!$E$4:$E$1203,"成本-辅材")+SUMIFS(资金日记账!$K$4:$K$2503,资金日记账!$G$4:$G$2503,$B37,资金日记账!$F$4:$F$2503,"成本-辅材")-SUMIFS(资金日记账!$J$4:$J$2503,资金日记账!$G$4:$G$2503,$B37,资金日记账!$F$4:$F$2503,"成本-辅材"),2))</f>
        <v/>
      </c>
      <c r="N37" s="19">
        <f>IF($B37="","",ROUND(SUMIFS(采购单!$L$4:$L$2003,采购单!$D$4:$D$2003,$B37,采购单!$F$4:$F$2003,"成本-人工")+SUMIFS(生产安装!$J$4:$J$1203,生产安装!$C$4:$C$1203,$B37,生产安装!$E$4:$E$1203,"成本-人工")+SUMIFS(资金日记账!$K$4:$K$2503,资金日记账!$G$4:$G$2503,$B37,资金日记账!$F$4:$F$2503,"成本-人工")-SUMIFS(资金日记账!$J$4:$J$2503,资金日记账!$G$4:$G$2503,$B37,资金日记账!$F$4:$F$2503,"成本-人工"),2))</f>
        <v/>
      </c>
      <c r="O37" s="19">
        <f>IF($B37="","",ROUND(SUMIFS(采购单!$L$4:$L$2003,采购单!$D$4:$D$2003,$B37,采购单!$F$4:$F$2003,"成本-车运")+SUMIFS(生产安装!$J$4:$J$1203,生产安装!$C$4:$C$1203,$B37,生产安装!$E$4:$E$1203,"成本-车运")+SUMIFS(资金日记账!$K$4:$K$2503,资金日记账!$G$4:$G$2503,$B37,资金日记账!$F$4:$F$2503,"成本-车运")-SUMIFS(资金日记账!$J$4:$J$2503,资金日记账!$G$4:$G$2503,$B37,资金日记账!$F$4:$F$2503,"成本-车运"),2))</f>
        <v/>
      </c>
      <c r="P37" s="19">
        <f>IF($B37="","",ROUND(SUMIFS(采购单!$L$4:$L$2003,采购单!$D$4:$D$2003,$B37,采购单!$F$4:$F$2003,"成本-其他")+SUMIFS(生产安装!$J$4:$J$1203,生产安装!$C$4:$C$1203,$B37,生产安装!$E$4:$E$1203,"成本-其他")+SUMIFS(资金日记账!$K$4:$K$2503,资金日记账!$G$4:$G$2503,$B37,资金日记账!$F$4:$F$2503,"成本-其他")-SUMIFS(资金日记账!$J$4:$J$2503,资金日记账!$G$4:$G$2503,$B37,资金日记账!$F$4:$F$2503,"成本-其他"),2))</f>
        <v/>
      </c>
      <c r="Q37" s="19">
        <f>IF($B37="","",ROUND(SUM($L37:$P37),2))</f>
        <v/>
      </c>
      <c r="R37" s="19">
        <f>IF($B37="","",ROUND($I37-$Q37,2))</f>
        <v/>
      </c>
      <c r="S37" s="33">
        <f>IF($B37="","",IF(ROUND($I37,2)=0,"",ROUND($R37/$I37,4)))</f>
        <v/>
      </c>
      <c r="T37" s="22">
        <f>IF($B37="","",IF($G37="",0,YEAR($G37)*100+MONTH($G37)))</f>
        <v/>
      </c>
      <c r="U37" s="17">
        <f>IF($B37="","",IF(项目台账!$R36="","",项目台账!$R36))</f>
        <v/>
      </c>
    </row>
    <row r="38">
      <c r="A38" s="17">
        <f>IF(项目台账!$B37="","",项目台账!$A37)</f>
        <v/>
      </c>
      <c r="B38" s="17">
        <f>IF(项目台账!$B37="","",项目台账!$B37)</f>
        <v/>
      </c>
      <c r="C38" s="17">
        <f>IF($B38="","",IF(项目台账!$C37="","",项目台账!$C37))</f>
        <v/>
      </c>
      <c r="D38" s="17">
        <f>IF($B38="","",IF(项目台账!$D37="","",项目台账!$D37))</f>
        <v/>
      </c>
      <c r="E38" s="17">
        <f>IF($B38="","",IF(项目台账!$E37="","",项目台账!$E37))</f>
        <v/>
      </c>
      <c r="F38" s="23">
        <f>IF($B38="","",IF(项目台账!$F37="","",项目台账!$F37))</f>
        <v/>
      </c>
      <c r="G38" s="23">
        <f>IF($B38="","",IF(项目台账!$J37="","",项目台账!$J37))</f>
        <v/>
      </c>
      <c r="H38" s="17">
        <f>IF($B38="","",IF(项目台账!$Q37="","",项目台账!$Q37))</f>
        <v/>
      </c>
      <c r="I38" s="19">
        <f>IF($B38="","",项目台账!$M37)</f>
        <v/>
      </c>
      <c r="J38" s="19">
        <f>IF($B38="","",项目台账!$O37)</f>
        <v/>
      </c>
      <c r="K38" s="19">
        <f>IF($B38="","",项目台账!$P37)</f>
        <v/>
      </c>
      <c r="L38" s="19">
        <f>IF($B38="","",ROUND(SUMIFS(采购单!$L$4:$L$2003,采购单!$D$4:$D$2003,$B38,采购单!$F$4:$F$2003,"成本-主材")+SUMIFS(生产安装!$J$4:$J$1203,生产安装!$C$4:$C$1203,$B38,生产安装!$E$4:$E$1203,"成本-主材")+SUMIFS(资金日记账!$K$4:$K$2503,资金日记账!$G$4:$G$2503,$B38,资金日记账!$F$4:$F$2503,"成本-主材")-SUMIFS(资金日记账!$J$4:$J$2503,资金日记账!$G$4:$G$2503,$B38,资金日记账!$F$4:$F$2503,"成本-主材"),2))</f>
        <v/>
      </c>
      <c r="M38" s="19">
        <f>IF($B38="","",ROUND(SUMIFS(采购单!$L$4:$L$2003,采购单!$D$4:$D$2003,$B38,采购单!$F$4:$F$2003,"成本-辅材")+SUMIFS(生产安装!$J$4:$J$1203,生产安装!$C$4:$C$1203,$B38,生产安装!$E$4:$E$1203,"成本-辅材")+SUMIFS(资金日记账!$K$4:$K$2503,资金日记账!$G$4:$G$2503,$B38,资金日记账!$F$4:$F$2503,"成本-辅材")-SUMIFS(资金日记账!$J$4:$J$2503,资金日记账!$G$4:$G$2503,$B38,资金日记账!$F$4:$F$2503,"成本-辅材"),2))</f>
        <v/>
      </c>
      <c r="N38" s="19">
        <f>IF($B38="","",ROUND(SUMIFS(采购单!$L$4:$L$2003,采购单!$D$4:$D$2003,$B38,采购单!$F$4:$F$2003,"成本-人工")+SUMIFS(生产安装!$J$4:$J$1203,生产安装!$C$4:$C$1203,$B38,生产安装!$E$4:$E$1203,"成本-人工")+SUMIFS(资金日记账!$K$4:$K$2503,资金日记账!$G$4:$G$2503,$B38,资金日记账!$F$4:$F$2503,"成本-人工")-SUMIFS(资金日记账!$J$4:$J$2503,资金日记账!$G$4:$G$2503,$B38,资金日记账!$F$4:$F$2503,"成本-人工"),2))</f>
        <v/>
      </c>
      <c r="O38" s="19">
        <f>IF($B38="","",ROUND(SUMIFS(采购单!$L$4:$L$2003,采购单!$D$4:$D$2003,$B38,采购单!$F$4:$F$2003,"成本-车运")+SUMIFS(生产安装!$J$4:$J$1203,生产安装!$C$4:$C$1203,$B38,生产安装!$E$4:$E$1203,"成本-车运")+SUMIFS(资金日记账!$K$4:$K$2503,资金日记账!$G$4:$G$2503,$B38,资金日记账!$F$4:$F$2503,"成本-车运")-SUMIFS(资金日记账!$J$4:$J$2503,资金日记账!$G$4:$G$2503,$B38,资金日记账!$F$4:$F$2503,"成本-车运"),2))</f>
        <v/>
      </c>
      <c r="P38" s="19">
        <f>IF($B38="","",ROUND(SUMIFS(采购单!$L$4:$L$2003,采购单!$D$4:$D$2003,$B38,采购单!$F$4:$F$2003,"成本-其他")+SUMIFS(生产安装!$J$4:$J$1203,生产安装!$C$4:$C$1203,$B38,生产安装!$E$4:$E$1203,"成本-其他")+SUMIFS(资金日记账!$K$4:$K$2503,资金日记账!$G$4:$G$2503,$B38,资金日记账!$F$4:$F$2503,"成本-其他")-SUMIFS(资金日记账!$J$4:$J$2503,资金日记账!$G$4:$G$2503,$B38,资金日记账!$F$4:$F$2503,"成本-其他"),2))</f>
        <v/>
      </c>
      <c r="Q38" s="19">
        <f>IF($B38="","",ROUND(SUM($L38:$P38),2))</f>
        <v/>
      </c>
      <c r="R38" s="19">
        <f>IF($B38="","",ROUND($I38-$Q38,2))</f>
        <v/>
      </c>
      <c r="S38" s="33">
        <f>IF($B38="","",IF(ROUND($I38,2)=0,"",ROUND($R38/$I38,4)))</f>
        <v/>
      </c>
      <c r="T38" s="22">
        <f>IF($B38="","",IF($G38="",0,YEAR($G38)*100+MONTH($G38)))</f>
        <v/>
      </c>
      <c r="U38" s="17">
        <f>IF($B38="","",IF(项目台账!$R37="","",项目台账!$R37))</f>
        <v/>
      </c>
    </row>
    <row r="39">
      <c r="A39" s="17">
        <f>IF(项目台账!$B38="","",项目台账!$A38)</f>
        <v/>
      </c>
      <c r="B39" s="17">
        <f>IF(项目台账!$B38="","",项目台账!$B38)</f>
        <v/>
      </c>
      <c r="C39" s="17">
        <f>IF($B39="","",IF(项目台账!$C38="","",项目台账!$C38))</f>
        <v/>
      </c>
      <c r="D39" s="17">
        <f>IF($B39="","",IF(项目台账!$D38="","",项目台账!$D38))</f>
        <v/>
      </c>
      <c r="E39" s="17">
        <f>IF($B39="","",IF(项目台账!$E38="","",项目台账!$E38))</f>
        <v/>
      </c>
      <c r="F39" s="23">
        <f>IF($B39="","",IF(项目台账!$F38="","",项目台账!$F38))</f>
        <v/>
      </c>
      <c r="G39" s="23">
        <f>IF($B39="","",IF(项目台账!$J38="","",项目台账!$J38))</f>
        <v/>
      </c>
      <c r="H39" s="17">
        <f>IF($B39="","",IF(项目台账!$Q38="","",项目台账!$Q38))</f>
        <v/>
      </c>
      <c r="I39" s="19">
        <f>IF($B39="","",项目台账!$M38)</f>
        <v/>
      </c>
      <c r="J39" s="19">
        <f>IF($B39="","",项目台账!$O38)</f>
        <v/>
      </c>
      <c r="K39" s="19">
        <f>IF($B39="","",项目台账!$P38)</f>
        <v/>
      </c>
      <c r="L39" s="19">
        <f>IF($B39="","",ROUND(SUMIFS(采购单!$L$4:$L$2003,采购单!$D$4:$D$2003,$B39,采购单!$F$4:$F$2003,"成本-主材")+SUMIFS(生产安装!$J$4:$J$1203,生产安装!$C$4:$C$1203,$B39,生产安装!$E$4:$E$1203,"成本-主材")+SUMIFS(资金日记账!$K$4:$K$2503,资金日记账!$G$4:$G$2503,$B39,资金日记账!$F$4:$F$2503,"成本-主材")-SUMIFS(资金日记账!$J$4:$J$2503,资金日记账!$G$4:$G$2503,$B39,资金日记账!$F$4:$F$2503,"成本-主材"),2))</f>
        <v/>
      </c>
      <c r="M39" s="19">
        <f>IF($B39="","",ROUND(SUMIFS(采购单!$L$4:$L$2003,采购单!$D$4:$D$2003,$B39,采购单!$F$4:$F$2003,"成本-辅材")+SUMIFS(生产安装!$J$4:$J$1203,生产安装!$C$4:$C$1203,$B39,生产安装!$E$4:$E$1203,"成本-辅材")+SUMIFS(资金日记账!$K$4:$K$2503,资金日记账!$G$4:$G$2503,$B39,资金日记账!$F$4:$F$2503,"成本-辅材")-SUMIFS(资金日记账!$J$4:$J$2503,资金日记账!$G$4:$G$2503,$B39,资金日记账!$F$4:$F$2503,"成本-辅材"),2))</f>
        <v/>
      </c>
      <c r="N39" s="19">
        <f>IF($B39="","",ROUND(SUMIFS(采购单!$L$4:$L$2003,采购单!$D$4:$D$2003,$B39,采购单!$F$4:$F$2003,"成本-人工")+SUMIFS(生产安装!$J$4:$J$1203,生产安装!$C$4:$C$1203,$B39,生产安装!$E$4:$E$1203,"成本-人工")+SUMIFS(资金日记账!$K$4:$K$2503,资金日记账!$G$4:$G$2503,$B39,资金日记账!$F$4:$F$2503,"成本-人工")-SUMIFS(资金日记账!$J$4:$J$2503,资金日记账!$G$4:$G$2503,$B39,资金日记账!$F$4:$F$2503,"成本-人工"),2))</f>
        <v/>
      </c>
      <c r="O39" s="19">
        <f>IF($B39="","",ROUND(SUMIFS(采购单!$L$4:$L$2003,采购单!$D$4:$D$2003,$B39,采购单!$F$4:$F$2003,"成本-车运")+SUMIFS(生产安装!$J$4:$J$1203,生产安装!$C$4:$C$1203,$B39,生产安装!$E$4:$E$1203,"成本-车运")+SUMIFS(资金日记账!$K$4:$K$2503,资金日记账!$G$4:$G$2503,$B39,资金日记账!$F$4:$F$2503,"成本-车运")-SUMIFS(资金日记账!$J$4:$J$2503,资金日记账!$G$4:$G$2503,$B39,资金日记账!$F$4:$F$2503,"成本-车运"),2))</f>
        <v/>
      </c>
      <c r="P39" s="19">
        <f>IF($B39="","",ROUND(SUMIFS(采购单!$L$4:$L$2003,采购单!$D$4:$D$2003,$B39,采购单!$F$4:$F$2003,"成本-其他")+SUMIFS(生产安装!$J$4:$J$1203,生产安装!$C$4:$C$1203,$B39,生产安装!$E$4:$E$1203,"成本-其他")+SUMIFS(资金日记账!$K$4:$K$2503,资金日记账!$G$4:$G$2503,$B39,资金日记账!$F$4:$F$2503,"成本-其他")-SUMIFS(资金日记账!$J$4:$J$2503,资金日记账!$G$4:$G$2503,$B39,资金日记账!$F$4:$F$2503,"成本-其他"),2))</f>
        <v/>
      </c>
      <c r="Q39" s="19">
        <f>IF($B39="","",ROUND(SUM($L39:$P39),2))</f>
        <v/>
      </c>
      <c r="R39" s="19">
        <f>IF($B39="","",ROUND($I39-$Q39,2))</f>
        <v/>
      </c>
      <c r="S39" s="33">
        <f>IF($B39="","",IF(ROUND($I39,2)=0,"",ROUND($R39/$I39,4)))</f>
        <v/>
      </c>
      <c r="T39" s="22">
        <f>IF($B39="","",IF($G39="",0,YEAR($G39)*100+MONTH($G39)))</f>
        <v/>
      </c>
      <c r="U39" s="17">
        <f>IF($B39="","",IF(项目台账!$R38="","",项目台账!$R38))</f>
        <v/>
      </c>
    </row>
    <row r="40">
      <c r="A40" s="17">
        <f>IF(项目台账!$B39="","",项目台账!$A39)</f>
        <v/>
      </c>
      <c r="B40" s="17">
        <f>IF(项目台账!$B39="","",项目台账!$B39)</f>
        <v/>
      </c>
      <c r="C40" s="17">
        <f>IF($B40="","",IF(项目台账!$C39="","",项目台账!$C39))</f>
        <v/>
      </c>
      <c r="D40" s="17">
        <f>IF($B40="","",IF(项目台账!$D39="","",项目台账!$D39))</f>
        <v/>
      </c>
      <c r="E40" s="17">
        <f>IF($B40="","",IF(项目台账!$E39="","",项目台账!$E39))</f>
        <v/>
      </c>
      <c r="F40" s="23">
        <f>IF($B40="","",IF(项目台账!$F39="","",项目台账!$F39))</f>
        <v/>
      </c>
      <c r="G40" s="23">
        <f>IF($B40="","",IF(项目台账!$J39="","",项目台账!$J39))</f>
        <v/>
      </c>
      <c r="H40" s="17">
        <f>IF($B40="","",IF(项目台账!$Q39="","",项目台账!$Q39))</f>
        <v/>
      </c>
      <c r="I40" s="19">
        <f>IF($B40="","",项目台账!$M39)</f>
        <v/>
      </c>
      <c r="J40" s="19">
        <f>IF($B40="","",项目台账!$O39)</f>
        <v/>
      </c>
      <c r="K40" s="19">
        <f>IF($B40="","",项目台账!$P39)</f>
        <v/>
      </c>
      <c r="L40" s="19">
        <f>IF($B40="","",ROUND(SUMIFS(采购单!$L$4:$L$2003,采购单!$D$4:$D$2003,$B40,采购单!$F$4:$F$2003,"成本-主材")+SUMIFS(生产安装!$J$4:$J$1203,生产安装!$C$4:$C$1203,$B40,生产安装!$E$4:$E$1203,"成本-主材")+SUMIFS(资金日记账!$K$4:$K$2503,资金日记账!$G$4:$G$2503,$B40,资金日记账!$F$4:$F$2503,"成本-主材")-SUMIFS(资金日记账!$J$4:$J$2503,资金日记账!$G$4:$G$2503,$B40,资金日记账!$F$4:$F$2503,"成本-主材"),2))</f>
        <v/>
      </c>
      <c r="M40" s="19">
        <f>IF($B40="","",ROUND(SUMIFS(采购单!$L$4:$L$2003,采购单!$D$4:$D$2003,$B40,采购单!$F$4:$F$2003,"成本-辅材")+SUMIFS(生产安装!$J$4:$J$1203,生产安装!$C$4:$C$1203,$B40,生产安装!$E$4:$E$1203,"成本-辅材")+SUMIFS(资金日记账!$K$4:$K$2503,资金日记账!$G$4:$G$2503,$B40,资金日记账!$F$4:$F$2503,"成本-辅材")-SUMIFS(资金日记账!$J$4:$J$2503,资金日记账!$G$4:$G$2503,$B40,资金日记账!$F$4:$F$2503,"成本-辅材"),2))</f>
        <v/>
      </c>
      <c r="N40" s="19">
        <f>IF($B40="","",ROUND(SUMIFS(采购单!$L$4:$L$2003,采购单!$D$4:$D$2003,$B40,采购单!$F$4:$F$2003,"成本-人工")+SUMIFS(生产安装!$J$4:$J$1203,生产安装!$C$4:$C$1203,$B40,生产安装!$E$4:$E$1203,"成本-人工")+SUMIFS(资金日记账!$K$4:$K$2503,资金日记账!$G$4:$G$2503,$B40,资金日记账!$F$4:$F$2503,"成本-人工")-SUMIFS(资金日记账!$J$4:$J$2503,资金日记账!$G$4:$G$2503,$B40,资金日记账!$F$4:$F$2503,"成本-人工"),2))</f>
        <v/>
      </c>
      <c r="O40" s="19">
        <f>IF($B40="","",ROUND(SUMIFS(采购单!$L$4:$L$2003,采购单!$D$4:$D$2003,$B40,采购单!$F$4:$F$2003,"成本-车运")+SUMIFS(生产安装!$J$4:$J$1203,生产安装!$C$4:$C$1203,$B40,生产安装!$E$4:$E$1203,"成本-车运")+SUMIFS(资金日记账!$K$4:$K$2503,资金日记账!$G$4:$G$2503,$B40,资金日记账!$F$4:$F$2503,"成本-车运")-SUMIFS(资金日记账!$J$4:$J$2503,资金日记账!$G$4:$G$2503,$B40,资金日记账!$F$4:$F$2503,"成本-车运"),2))</f>
        <v/>
      </c>
      <c r="P40" s="19">
        <f>IF($B40="","",ROUND(SUMIFS(采购单!$L$4:$L$2003,采购单!$D$4:$D$2003,$B40,采购单!$F$4:$F$2003,"成本-其他")+SUMIFS(生产安装!$J$4:$J$1203,生产安装!$C$4:$C$1203,$B40,生产安装!$E$4:$E$1203,"成本-其他")+SUMIFS(资金日记账!$K$4:$K$2503,资金日记账!$G$4:$G$2503,$B40,资金日记账!$F$4:$F$2503,"成本-其他")-SUMIFS(资金日记账!$J$4:$J$2503,资金日记账!$G$4:$G$2503,$B40,资金日记账!$F$4:$F$2503,"成本-其他"),2))</f>
        <v/>
      </c>
      <c r="Q40" s="19">
        <f>IF($B40="","",ROUND(SUM($L40:$P40),2))</f>
        <v/>
      </c>
      <c r="R40" s="19">
        <f>IF($B40="","",ROUND($I40-$Q40,2))</f>
        <v/>
      </c>
      <c r="S40" s="33">
        <f>IF($B40="","",IF(ROUND($I40,2)=0,"",ROUND($R40/$I40,4)))</f>
        <v/>
      </c>
      <c r="T40" s="22">
        <f>IF($B40="","",IF($G40="",0,YEAR($G40)*100+MONTH($G40)))</f>
        <v/>
      </c>
      <c r="U40" s="17">
        <f>IF($B40="","",IF(项目台账!$R39="","",项目台账!$R39))</f>
        <v/>
      </c>
    </row>
    <row r="41">
      <c r="A41" s="17">
        <f>IF(项目台账!$B40="","",项目台账!$A40)</f>
        <v/>
      </c>
      <c r="B41" s="17">
        <f>IF(项目台账!$B40="","",项目台账!$B40)</f>
        <v/>
      </c>
      <c r="C41" s="17">
        <f>IF($B41="","",IF(项目台账!$C40="","",项目台账!$C40))</f>
        <v/>
      </c>
      <c r="D41" s="17">
        <f>IF($B41="","",IF(项目台账!$D40="","",项目台账!$D40))</f>
        <v/>
      </c>
      <c r="E41" s="17">
        <f>IF($B41="","",IF(项目台账!$E40="","",项目台账!$E40))</f>
        <v/>
      </c>
      <c r="F41" s="23">
        <f>IF($B41="","",IF(项目台账!$F40="","",项目台账!$F40))</f>
        <v/>
      </c>
      <c r="G41" s="23">
        <f>IF($B41="","",IF(项目台账!$J40="","",项目台账!$J40))</f>
        <v/>
      </c>
      <c r="H41" s="17">
        <f>IF($B41="","",IF(项目台账!$Q40="","",项目台账!$Q40))</f>
        <v/>
      </c>
      <c r="I41" s="19">
        <f>IF($B41="","",项目台账!$M40)</f>
        <v/>
      </c>
      <c r="J41" s="19">
        <f>IF($B41="","",项目台账!$O40)</f>
        <v/>
      </c>
      <c r="K41" s="19">
        <f>IF($B41="","",项目台账!$P40)</f>
        <v/>
      </c>
      <c r="L41" s="19">
        <f>IF($B41="","",ROUND(SUMIFS(采购单!$L$4:$L$2003,采购单!$D$4:$D$2003,$B41,采购单!$F$4:$F$2003,"成本-主材")+SUMIFS(生产安装!$J$4:$J$1203,生产安装!$C$4:$C$1203,$B41,生产安装!$E$4:$E$1203,"成本-主材")+SUMIFS(资金日记账!$K$4:$K$2503,资金日记账!$G$4:$G$2503,$B41,资金日记账!$F$4:$F$2503,"成本-主材")-SUMIFS(资金日记账!$J$4:$J$2503,资金日记账!$G$4:$G$2503,$B41,资金日记账!$F$4:$F$2503,"成本-主材"),2))</f>
        <v/>
      </c>
      <c r="M41" s="19">
        <f>IF($B41="","",ROUND(SUMIFS(采购单!$L$4:$L$2003,采购单!$D$4:$D$2003,$B41,采购单!$F$4:$F$2003,"成本-辅材")+SUMIFS(生产安装!$J$4:$J$1203,生产安装!$C$4:$C$1203,$B41,生产安装!$E$4:$E$1203,"成本-辅材")+SUMIFS(资金日记账!$K$4:$K$2503,资金日记账!$G$4:$G$2503,$B41,资金日记账!$F$4:$F$2503,"成本-辅材")-SUMIFS(资金日记账!$J$4:$J$2503,资金日记账!$G$4:$G$2503,$B41,资金日记账!$F$4:$F$2503,"成本-辅材"),2))</f>
        <v/>
      </c>
      <c r="N41" s="19">
        <f>IF($B41="","",ROUND(SUMIFS(采购单!$L$4:$L$2003,采购单!$D$4:$D$2003,$B41,采购单!$F$4:$F$2003,"成本-人工")+SUMIFS(生产安装!$J$4:$J$1203,生产安装!$C$4:$C$1203,$B41,生产安装!$E$4:$E$1203,"成本-人工")+SUMIFS(资金日记账!$K$4:$K$2503,资金日记账!$G$4:$G$2503,$B41,资金日记账!$F$4:$F$2503,"成本-人工")-SUMIFS(资金日记账!$J$4:$J$2503,资金日记账!$G$4:$G$2503,$B41,资金日记账!$F$4:$F$2503,"成本-人工"),2))</f>
        <v/>
      </c>
      <c r="O41" s="19">
        <f>IF($B41="","",ROUND(SUMIFS(采购单!$L$4:$L$2003,采购单!$D$4:$D$2003,$B41,采购单!$F$4:$F$2003,"成本-车运")+SUMIFS(生产安装!$J$4:$J$1203,生产安装!$C$4:$C$1203,$B41,生产安装!$E$4:$E$1203,"成本-车运")+SUMIFS(资金日记账!$K$4:$K$2503,资金日记账!$G$4:$G$2503,$B41,资金日记账!$F$4:$F$2503,"成本-车运")-SUMIFS(资金日记账!$J$4:$J$2503,资金日记账!$G$4:$G$2503,$B41,资金日记账!$F$4:$F$2503,"成本-车运"),2))</f>
        <v/>
      </c>
      <c r="P41" s="19">
        <f>IF($B41="","",ROUND(SUMIFS(采购单!$L$4:$L$2003,采购单!$D$4:$D$2003,$B41,采购单!$F$4:$F$2003,"成本-其他")+SUMIFS(生产安装!$J$4:$J$1203,生产安装!$C$4:$C$1203,$B41,生产安装!$E$4:$E$1203,"成本-其他")+SUMIFS(资金日记账!$K$4:$K$2503,资金日记账!$G$4:$G$2503,$B41,资金日记账!$F$4:$F$2503,"成本-其他")-SUMIFS(资金日记账!$J$4:$J$2503,资金日记账!$G$4:$G$2503,$B41,资金日记账!$F$4:$F$2503,"成本-其他"),2))</f>
        <v/>
      </c>
      <c r="Q41" s="19">
        <f>IF($B41="","",ROUND(SUM($L41:$P41),2))</f>
        <v/>
      </c>
      <c r="R41" s="19">
        <f>IF($B41="","",ROUND($I41-$Q41,2))</f>
        <v/>
      </c>
      <c r="S41" s="33">
        <f>IF($B41="","",IF(ROUND($I41,2)=0,"",ROUND($R41/$I41,4)))</f>
        <v/>
      </c>
      <c r="T41" s="22">
        <f>IF($B41="","",IF($G41="",0,YEAR($G41)*100+MONTH($G41)))</f>
        <v/>
      </c>
      <c r="U41" s="17">
        <f>IF($B41="","",IF(项目台账!$R40="","",项目台账!$R40))</f>
        <v/>
      </c>
    </row>
    <row r="42">
      <c r="A42" s="17">
        <f>IF(项目台账!$B41="","",项目台账!$A41)</f>
        <v/>
      </c>
      <c r="B42" s="17">
        <f>IF(项目台账!$B41="","",项目台账!$B41)</f>
        <v/>
      </c>
      <c r="C42" s="17">
        <f>IF($B42="","",IF(项目台账!$C41="","",项目台账!$C41))</f>
        <v/>
      </c>
      <c r="D42" s="17">
        <f>IF($B42="","",IF(项目台账!$D41="","",项目台账!$D41))</f>
        <v/>
      </c>
      <c r="E42" s="17">
        <f>IF($B42="","",IF(项目台账!$E41="","",项目台账!$E41))</f>
        <v/>
      </c>
      <c r="F42" s="23">
        <f>IF($B42="","",IF(项目台账!$F41="","",项目台账!$F41))</f>
        <v/>
      </c>
      <c r="G42" s="23">
        <f>IF($B42="","",IF(项目台账!$J41="","",项目台账!$J41))</f>
        <v/>
      </c>
      <c r="H42" s="17">
        <f>IF($B42="","",IF(项目台账!$Q41="","",项目台账!$Q41))</f>
        <v/>
      </c>
      <c r="I42" s="19">
        <f>IF($B42="","",项目台账!$M41)</f>
        <v/>
      </c>
      <c r="J42" s="19">
        <f>IF($B42="","",项目台账!$O41)</f>
        <v/>
      </c>
      <c r="K42" s="19">
        <f>IF($B42="","",项目台账!$P41)</f>
        <v/>
      </c>
      <c r="L42" s="19">
        <f>IF($B42="","",ROUND(SUMIFS(采购单!$L$4:$L$2003,采购单!$D$4:$D$2003,$B42,采购单!$F$4:$F$2003,"成本-主材")+SUMIFS(生产安装!$J$4:$J$1203,生产安装!$C$4:$C$1203,$B42,生产安装!$E$4:$E$1203,"成本-主材")+SUMIFS(资金日记账!$K$4:$K$2503,资金日记账!$G$4:$G$2503,$B42,资金日记账!$F$4:$F$2503,"成本-主材")-SUMIFS(资金日记账!$J$4:$J$2503,资金日记账!$G$4:$G$2503,$B42,资金日记账!$F$4:$F$2503,"成本-主材"),2))</f>
        <v/>
      </c>
      <c r="M42" s="19">
        <f>IF($B42="","",ROUND(SUMIFS(采购单!$L$4:$L$2003,采购单!$D$4:$D$2003,$B42,采购单!$F$4:$F$2003,"成本-辅材")+SUMIFS(生产安装!$J$4:$J$1203,生产安装!$C$4:$C$1203,$B42,生产安装!$E$4:$E$1203,"成本-辅材")+SUMIFS(资金日记账!$K$4:$K$2503,资金日记账!$G$4:$G$2503,$B42,资金日记账!$F$4:$F$2503,"成本-辅材")-SUMIFS(资金日记账!$J$4:$J$2503,资金日记账!$G$4:$G$2503,$B42,资金日记账!$F$4:$F$2503,"成本-辅材"),2))</f>
        <v/>
      </c>
      <c r="N42" s="19">
        <f>IF($B42="","",ROUND(SUMIFS(采购单!$L$4:$L$2003,采购单!$D$4:$D$2003,$B42,采购单!$F$4:$F$2003,"成本-人工")+SUMIFS(生产安装!$J$4:$J$1203,生产安装!$C$4:$C$1203,$B42,生产安装!$E$4:$E$1203,"成本-人工")+SUMIFS(资金日记账!$K$4:$K$2503,资金日记账!$G$4:$G$2503,$B42,资金日记账!$F$4:$F$2503,"成本-人工")-SUMIFS(资金日记账!$J$4:$J$2503,资金日记账!$G$4:$G$2503,$B42,资金日记账!$F$4:$F$2503,"成本-人工"),2))</f>
        <v/>
      </c>
      <c r="O42" s="19">
        <f>IF($B42="","",ROUND(SUMIFS(采购单!$L$4:$L$2003,采购单!$D$4:$D$2003,$B42,采购单!$F$4:$F$2003,"成本-车运")+SUMIFS(生产安装!$J$4:$J$1203,生产安装!$C$4:$C$1203,$B42,生产安装!$E$4:$E$1203,"成本-车运")+SUMIFS(资金日记账!$K$4:$K$2503,资金日记账!$G$4:$G$2503,$B42,资金日记账!$F$4:$F$2503,"成本-车运")-SUMIFS(资金日记账!$J$4:$J$2503,资金日记账!$G$4:$G$2503,$B42,资金日记账!$F$4:$F$2503,"成本-车运"),2))</f>
        <v/>
      </c>
      <c r="P42" s="19">
        <f>IF($B42="","",ROUND(SUMIFS(采购单!$L$4:$L$2003,采购单!$D$4:$D$2003,$B42,采购单!$F$4:$F$2003,"成本-其他")+SUMIFS(生产安装!$J$4:$J$1203,生产安装!$C$4:$C$1203,$B42,生产安装!$E$4:$E$1203,"成本-其他")+SUMIFS(资金日记账!$K$4:$K$2503,资金日记账!$G$4:$G$2503,$B42,资金日记账!$F$4:$F$2503,"成本-其他")-SUMIFS(资金日记账!$J$4:$J$2503,资金日记账!$G$4:$G$2503,$B42,资金日记账!$F$4:$F$2503,"成本-其他"),2))</f>
        <v/>
      </c>
      <c r="Q42" s="19">
        <f>IF($B42="","",ROUND(SUM($L42:$P42),2))</f>
        <v/>
      </c>
      <c r="R42" s="19">
        <f>IF($B42="","",ROUND($I42-$Q42,2))</f>
        <v/>
      </c>
      <c r="S42" s="33">
        <f>IF($B42="","",IF(ROUND($I42,2)=0,"",ROUND($R42/$I42,4)))</f>
        <v/>
      </c>
      <c r="T42" s="22">
        <f>IF($B42="","",IF($G42="",0,YEAR($G42)*100+MONTH($G42)))</f>
        <v/>
      </c>
      <c r="U42" s="17">
        <f>IF($B42="","",IF(项目台账!$R41="","",项目台账!$R41))</f>
        <v/>
      </c>
    </row>
    <row r="43">
      <c r="A43" s="17">
        <f>IF(项目台账!$B42="","",项目台账!$A42)</f>
        <v/>
      </c>
      <c r="B43" s="17">
        <f>IF(项目台账!$B42="","",项目台账!$B42)</f>
        <v/>
      </c>
      <c r="C43" s="17">
        <f>IF($B43="","",IF(项目台账!$C42="","",项目台账!$C42))</f>
        <v/>
      </c>
      <c r="D43" s="17">
        <f>IF($B43="","",IF(项目台账!$D42="","",项目台账!$D42))</f>
        <v/>
      </c>
      <c r="E43" s="17">
        <f>IF($B43="","",IF(项目台账!$E42="","",项目台账!$E42))</f>
        <v/>
      </c>
      <c r="F43" s="23">
        <f>IF($B43="","",IF(项目台账!$F42="","",项目台账!$F42))</f>
        <v/>
      </c>
      <c r="G43" s="23">
        <f>IF($B43="","",IF(项目台账!$J42="","",项目台账!$J42))</f>
        <v/>
      </c>
      <c r="H43" s="17">
        <f>IF($B43="","",IF(项目台账!$Q42="","",项目台账!$Q42))</f>
        <v/>
      </c>
      <c r="I43" s="19">
        <f>IF($B43="","",项目台账!$M42)</f>
        <v/>
      </c>
      <c r="J43" s="19">
        <f>IF($B43="","",项目台账!$O42)</f>
        <v/>
      </c>
      <c r="K43" s="19">
        <f>IF($B43="","",项目台账!$P42)</f>
        <v/>
      </c>
      <c r="L43" s="19">
        <f>IF($B43="","",ROUND(SUMIFS(采购单!$L$4:$L$2003,采购单!$D$4:$D$2003,$B43,采购单!$F$4:$F$2003,"成本-主材")+SUMIFS(生产安装!$J$4:$J$1203,生产安装!$C$4:$C$1203,$B43,生产安装!$E$4:$E$1203,"成本-主材")+SUMIFS(资金日记账!$K$4:$K$2503,资金日记账!$G$4:$G$2503,$B43,资金日记账!$F$4:$F$2503,"成本-主材")-SUMIFS(资金日记账!$J$4:$J$2503,资金日记账!$G$4:$G$2503,$B43,资金日记账!$F$4:$F$2503,"成本-主材"),2))</f>
        <v/>
      </c>
      <c r="M43" s="19">
        <f>IF($B43="","",ROUND(SUMIFS(采购单!$L$4:$L$2003,采购单!$D$4:$D$2003,$B43,采购单!$F$4:$F$2003,"成本-辅材")+SUMIFS(生产安装!$J$4:$J$1203,生产安装!$C$4:$C$1203,$B43,生产安装!$E$4:$E$1203,"成本-辅材")+SUMIFS(资金日记账!$K$4:$K$2503,资金日记账!$G$4:$G$2503,$B43,资金日记账!$F$4:$F$2503,"成本-辅材")-SUMIFS(资金日记账!$J$4:$J$2503,资金日记账!$G$4:$G$2503,$B43,资金日记账!$F$4:$F$2503,"成本-辅材"),2))</f>
        <v/>
      </c>
      <c r="N43" s="19">
        <f>IF($B43="","",ROUND(SUMIFS(采购单!$L$4:$L$2003,采购单!$D$4:$D$2003,$B43,采购单!$F$4:$F$2003,"成本-人工")+SUMIFS(生产安装!$J$4:$J$1203,生产安装!$C$4:$C$1203,$B43,生产安装!$E$4:$E$1203,"成本-人工")+SUMIFS(资金日记账!$K$4:$K$2503,资金日记账!$G$4:$G$2503,$B43,资金日记账!$F$4:$F$2503,"成本-人工")-SUMIFS(资金日记账!$J$4:$J$2503,资金日记账!$G$4:$G$2503,$B43,资金日记账!$F$4:$F$2503,"成本-人工"),2))</f>
        <v/>
      </c>
      <c r="O43" s="19">
        <f>IF($B43="","",ROUND(SUMIFS(采购单!$L$4:$L$2003,采购单!$D$4:$D$2003,$B43,采购单!$F$4:$F$2003,"成本-车运")+SUMIFS(生产安装!$J$4:$J$1203,生产安装!$C$4:$C$1203,$B43,生产安装!$E$4:$E$1203,"成本-车运")+SUMIFS(资金日记账!$K$4:$K$2503,资金日记账!$G$4:$G$2503,$B43,资金日记账!$F$4:$F$2503,"成本-车运")-SUMIFS(资金日记账!$J$4:$J$2503,资金日记账!$G$4:$G$2503,$B43,资金日记账!$F$4:$F$2503,"成本-车运"),2))</f>
        <v/>
      </c>
      <c r="P43" s="19">
        <f>IF($B43="","",ROUND(SUMIFS(采购单!$L$4:$L$2003,采购单!$D$4:$D$2003,$B43,采购单!$F$4:$F$2003,"成本-其他")+SUMIFS(生产安装!$J$4:$J$1203,生产安装!$C$4:$C$1203,$B43,生产安装!$E$4:$E$1203,"成本-其他")+SUMIFS(资金日记账!$K$4:$K$2503,资金日记账!$G$4:$G$2503,$B43,资金日记账!$F$4:$F$2503,"成本-其他")-SUMIFS(资金日记账!$J$4:$J$2503,资金日记账!$G$4:$G$2503,$B43,资金日记账!$F$4:$F$2503,"成本-其他"),2))</f>
        <v/>
      </c>
      <c r="Q43" s="19">
        <f>IF($B43="","",ROUND(SUM($L43:$P43),2))</f>
        <v/>
      </c>
      <c r="R43" s="19">
        <f>IF($B43="","",ROUND($I43-$Q43,2))</f>
        <v/>
      </c>
      <c r="S43" s="33">
        <f>IF($B43="","",IF(ROUND($I43,2)=0,"",ROUND($R43/$I43,4)))</f>
        <v/>
      </c>
      <c r="T43" s="22">
        <f>IF($B43="","",IF($G43="",0,YEAR($G43)*100+MONTH($G43)))</f>
        <v/>
      </c>
      <c r="U43" s="17">
        <f>IF($B43="","",IF(项目台账!$R42="","",项目台账!$R42))</f>
        <v/>
      </c>
    </row>
    <row r="44">
      <c r="A44" s="17">
        <f>IF(项目台账!$B43="","",项目台账!$A43)</f>
        <v/>
      </c>
      <c r="B44" s="17">
        <f>IF(项目台账!$B43="","",项目台账!$B43)</f>
        <v/>
      </c>
      <c r="C44" s="17">
        <f>IF($B44="","",IF(项目台账!$C43="","",项目台账!$C43))</f>
        <v/>
      </c>
      <c r="D44" s="17">
        <f>IF($B44="","",IF(项目台账!$D43="","",项目台账!$D43))</f>
        <v/>
      </c>
      <c r="E44" s="17">
        <f>IF($B44="","",IF(项目台账!$E43="","",项目台账!$E43))</f>
        <v/>
      </c>
      <c r="F44" s="23">
        <f>IF($B44="","",IF(项目台账!$F43="","",项目台账!$F43))</f>
        <v/>
      </c>
      <c r="G44" s="23">
        <f>IF($B44="","",IF(项目台账!$J43="","",项目台账!$J43))</f>
        <v/>
      </c>
      <c r="H44" s="17">
        <f>IF($B44="","",IF(项目台账!$Q43="","",项目台账!$Q43))</f>
        <v/>
      </c>
      <c r="I44" s="19">
        <f>IF($B44="","",项目台账!$M43)</f>
        <v/>
      </c>
      <c r="J44" s="19">
        <f>IF($B44="","",项目台账!$O43)</f>
        <v/>
      </c>
      <c r="K44" s="19">
        <f>IF($B44="","",项目台账!$P43)</f>
        <v/>
      </c>
      <c r="L44" s="19">
        <f>IF($B44="","",ROUND(SUMIFS(采购单!$L$4:$L$2003,采购单!$D$4:$D$2003,$B44,采购单!$F$4:$F$2003,"成本-主材")+SUMIFS(生产安装!$J$4:$J$1203,生产安装!$C$4:$C$1203,$B44,生产安装!$E$4:$E$1203,"成本-主材")+SUMIFS(资金日记账!$K$4:$K$2503,资金日记账!$G$4:$G$2503,$B44,资金日记账!$F$4:$F$2503,"成本-主材")-SUMIFS(资金日记账!$J$4:$J$2503,资金日记账!$G$4:$G$2503,$B44,资金日记账!$F$4:$F$2503,"成本-主材"),2))</f>
        <v/>
      </c>
      <c r="M44" s="19">
        <f>IF($B44="","",ROUND(SUMIFS(采购单!$L$4:$L$2003,采购单!$D$4:$D$2003,$B44,采购单!$F$4:$F$2003,"成本-辅材")+SUMIFS(生产安装!$J$4:$J$1203,生产安装!$C$4:$C$1203,$B44,生产安装!$E$4:$E$1203,"成本-辅材")+SUMIFS(资金日记账!$K$4:$K$2503,资金日记账!$G$4:$G$2503,$B44,资金日记账!$F$4:$F$2503,"成本-辅材")-SUMIFS(资金日记账!$J$4:$J$2503,资金日记账!$G$4:$G$2503,$B44,资金日记账!$F$4:$F$2503,"成本-辅材"),2))</f>
        <v/>
      </c>
      <c r="N44" s="19">
        <f>IF($B44="","",ROUND(SUMIFS(采购单!$L$4:$L$2003,采购单!$D$4:$D$2003,$B44,采购单!$F$4:$F$2003,"成本-人工")+SUMIFS(生产安装!$J$4:$J$1203,生产安装!$C$4:$C$1203,$B44,生产安装!$E$4:$E$1203,"成本-人工")+SUMIFS(资金日记账!$K$4:$K$2503,资金日记账!$G$4:$G$2503,$B44,资金日记账!$F$4:$F$2503,"成本-人工")-SUMIFS(资金日记账!$J$4:$J$2503,资金日记账!$G$4:$G$2503,$B44,资金日记账!$F$4:$F$2503,"成本-人工"),2))</f>
        <v/>
      </c>
      <c r="O44" s="19">
        <f>IF($B44="","",ROUND(SUMIFS(采购单!$L$4:$L$2003,采购单!$D$4:$D$2003,$B44,采购单!$F$4:$F$2003,"成本-车运")+SUMIFS(生产安装!$J$4:$J$1203,生产安装!$C$4:$C$1203,$B44,生产安装!$E$4:$E$1203,"成本-车运")+SUMIFS(资金日记账!$K$4:$K$2503,资金日记账!$G$4:$G$2503,$B44,资金日记账!$F$4:$F$2503,"成本-车运")-SUMIFS(资金日记账!$J$4:$J$2503,资金日记账!$G$4:$G$2503,$B44,资金日记账!$F$4:$F$2503,"成本-车运"),2))</f>
        <v/>
      </c>
      <c r="P44" s="19">
        <f>IF($B44="","",ROUND(SUMIFS(采购单!$L$4:$L$2003,采购单!$D$4:$D$2003,$B44,采购单!$F$4:$F$2003,"成本-其他")+SUMIFS(生产安装!$J$4:$J$1203,生产安装!$C$4:$C$1203,$B44,生产安装!$E$4:$E$1203,"成本-其他")+SUMIFS(资金日记账!$K$4:$K$2503,资金日记账!$G$4:$G$2503,$B44,资金日记账!$F$4:$F$2503,"成本-其他")-SUMIFS(资金日记账!$J$4:$J$2503,资金日记账!$G$4:$G$2503,$B44,资金日记账!$F$4:$F$2503,"成本-其他"),2))</f>
        <v/>
      </c>
      <c r="Q44" s="19">
        <f>IF($B44="","",ROUND(SUM($L44:$P44),2))</f>
        <v/>
      </c>
      <c r="R44" s="19">
        <f>IF($B44="","",ROUND($I44-$Q44,2))</f>
        <v/>
      </c>
      <c r="S44" s="33">
        <f>IF($B44="","",IF(ROUND($I44,2)=0,"",ROUND($R44/$I44,4)))</f>
        <v/>
      </c>
      <c r="T44" s="22">
        <f>IF($B44="","",IF($G44="",0,YEAR($G44)*100+MONTH($G44)))</f>
        <v/>
      </c>
      <c r="U44" s="17">
        <f>IF($B44="","",IF(项目台账!$R43="","",项目台账!$R43))</f>
        <v/>
      </c>
    </row>
    <row r="45">
      <c r="A45" s="17">
        <f>IF(项目台账!$B44="","",项目台账!$A44)</f>
        <v/>
      </c>
      <c r="B45" s="17">
        <f>IF(项目台账!$B44="","",项目台账!$B44)</f>
        <v/>
      </c>
      <c r="C45" s="17">
        <f>IF($B45="","",IF(项目台账!$C44="","",项目台账!$C44))</f>
        <v/>
      </c>
      <c r="D45" s="17">
        <f>IF($B45="","",IF(项目台账!$D44="","",项目台账!$D44))</f>
        <v/>
      </c>
      <c r="E45" s="17">
        <f>IF($B45="","",IF(项目台账!$E44="","",项目台账!$E44))</f>
        <v/>
      </c>
      <c r="F45" s="23">
        <f>IF($B45="","",IF(项目台账!$F44="","",项目台账!$F44))</f>
        <v/>
      </c>
      <c r="G45" s="23">
        <f>IF($B45="","",IF(项目台账!$J44="","",项目台账!$J44))</f>
        <v/>
      </c>
      <c r="H45" s="17">
        <f>IF($B45="","",IF(项目台账!$Q44="","",项目台账!$Q44))</f>
        <v/>
      </c>
      <c r="I45" s="19">
        <f>IF($B45="","",项目台账!$M44)</f>
        <v/>
      </c>
      <c r="J45" s="19">
        <f>IF($B45="","",项目台账!$O44)</f>
        <v/>
      </c>
      <c r="K45" s="19">
        <f>IF($B45="","",项目台账!$P44)</f>
        <v/>
      </c>
      <c r="L45" s="19">
        <f>IF($B45="","",ROUND(SUMIFS(采购单!$L$4:$L$2003,采购单!$D$4:$D$2003,$B45,采购单!$F$4:$F$2003,"成本-主材")+SUMIFS(生产安装!$J$4:$J$1203,生产安装!$C$4:$C$1203,$B45,生产安装!$E$4:$E$1203,"成本-主材")+SUMIFS(资金日记账!$K$4:$K$2503,资金日记账!$G$4:$G$2503,$B45,资金日记账!$F$4:$F$2503,"成本-主材")-SUMIFS(资金日记账!$J$4:$J$2503,资金日记账!$G$4:$G$2503,$B45,资金日记账!$F$4:$F$2503,"成本-主材"),2))</f>
        <v/>
      </c>
      <c r="M45" s="19">
        <f>IF($B45="","",ROUND(SUMIFS(采购单!$L$4:$L$2003,采购单!$D$4:$D$2003,$B45,采购单!$F$4:$F$2003,"成本-辅材")+SUMIFS(生产安装!$J$4:$J$1203,生产安装!$C$4:$C$1203,$B45,生产安装!$E$4:$E$1203,"成本-辅材")+SUMIFS(资金日记账!$K$4:$K$2503,资金日记账!$G$4:$G$2503,$B45,资金日记账!$F$4:$F$2503,"成本-辅材")-SUMIFS(资金日记账!$J$4:$J$2503,资金日记账!$G$4:$G$2503,$B45,资金日记账!$F$4:$F$2503,"成本-辅材"),2))</f>
        <v/>
      </c>
      <c r="N45" s="19">
        <f>IF($B45="","",ROUND(SUMIFS(采购单!$L$4:$L$2003,采购单!$D$4:$D$2003,$B45,采购单!$F$4:$F$2003,"成本-人工")+SUMIFS(生产安装!$J$4:$J$1203,生产安装!$C$4:$C$1203,$B45,生产安装!$E$4:$E$1203,"成本-人工")+SUMIFS(资金日记账!$K$4:$K$2503,资金日记账!$G$4:$G$2503,$B45,资金日记账!$F$4:$F$2503,"成本-人工")-SUMIFS(资金日记账!$J$4:$J$2503,资金日记账!$G$4:$G$2503,$B45,资金日记账!$F$4:$F$2503,"成本-人工"),2))</f>
        <v/>
      </c>
      <c r="O45" s="19">
        <f>IF($B45="","",ROUND(SUMIFS(采购单!$L$4:$L$2003,采购单!$D$4:$D$2003,$B45,采购单!$F$4:$F$2003,"成本-车运")+SUMIFS(生产安装!$J$4:$J$1203,生产安装!$C$4:$C$1203,$B45,生产安装!$E$4:$E$1203,"成本-车运")+SUMIFS(资金日记账!$K$4:$K$2503,资金日记账!$G$4:$G$2503,$B45,资金日记账!$F$4:$F$2503,"成本-车运")-SUMIFS(资金日记账!$J$4:$J$2503,资金日记账!$G$4:$G$2503,$B45,资金日记账!$F$4:$F$2503,"成本-车运"),2))</f>
        <v/>
      </c>
      <c r="P45" s="19">
        <f>IF($B45="","",ROUND(SUMIFS(采购单!$L$4:$L$2003,采购单!$D$4:$D$2003,$B45,采购单!$F$4:$F$2003,"成本-其他")+SUMIFS(生产安装!$J$4:$J$1203,生产安装!$C$4:$C$1203,$B45,生产安装!$E$4:$E$1203,"成本-其他")+SUMIFS(资金日记账!$K$4:$K$2503,资金日记账!$G$4:$G$2503,$B45,资金日记账!$F$4:$F$2503,"成本-其他")-SUMIFS(资金日记账!$J$4:$J$2503,资金日记账!$G$4:$G$2503,$B45,资金日记账!$F$4:$F$2503,"成本-其他"),2))</f>
        <v/>
      </c>
      <c r="Q45" s="19">
        <f>IF($B45="","",ROUND(SUM($L45:$P45),2))</f>
        <v/>
      </c>
      <c r="R45" s="19">
        <f>IF($B45="","",ROUND($I45-$Q45,2))</f>
        <v/>
      </c>
      <c r="S45" s="33">
        <f>IF($B45="","",IF(ROUND($I45,2)=0,"",ROUND($R45/$I45,4)))</f>
        <v/>
      </c>
      <c r="T45" s="22">
        <f>IF($B45="","",IF($G45="",0,YEAR($G45)*100+MONTH($G45)))</f>
        <v/>
      </c>
      <c r="U45" s="17">
        <f>IF($B45="","",IF(项目台账!$R44="","",项目台账!$R44))</f>
        <v/>
      </c>
    </row>
    <row r="46">
      <c r="A46" s="17">
        <f>IF(项目台账!$B45="","",项目台账!$A45)</f>
        <v/>
      </c>
      <c r="B46" s="17">
        <f>IF(项目台账!$B45="","",项目台账!$B45)</f>
        <v/>
      </c>
      <c r="C46" s="17">
        <f>IF($B46="","",IF(项目台账!$C45="","",项目台账!$C45))</f>
        <v/>
      </c>
      <c r="D46" s="17">
        <f>IF($B46="","",IF(项目台账!$D45="","",项目台账!$D45))</f>
        <v/>
      </c>
      <c r="E46" s="17">
        <f>IF($B46="","",IF(项目台账!$E45="","",项目台账!$E45))</f>
        <v/>
      </c>
      <c r="F46" s="23">
        <f>IF($B46="","",IF(项目台账!$F45="","",项目台账!$F45))</f>
        <v/>
      </c>
      <c r="G46" s="23">
        <f>IF($B46="","",IF(项目台账!$J45="","",项目台账!$J45))</f>
        <v/>
      </c>
      <c r="H46" s="17">
        <f>IF($B46="","",IF(项目台账!$Q45="","",项目台账!$Q45))</f>
        <v/>
      </c>
      <c r="I46" s="19">
        <f>IF($B46="","",项目台账!$M45)</f>
        <v/>
      </c>
      <c r="J46" s="19">
        <f>IF($B46="","",项目台账!$O45)</f>
        <v/>
      </c>
      <c r="K46" s="19">
        <f>IF($B46="","",项目台账!$P45)</f>
        <v/>
      </c>
      <c r="L46" s="19">
        <f>IF($B46="","",ROUND(SUMIFS(采购单!$L$4:$L$2003,采购单!$D$4:$D$2003,$B46,采购单!$F$4:$F$2003,"成本-主材")+SUMIFS(生产安装!$J$4:$J$1203,生产安装!$C$4:$C$1203,$B46,生产安装!$E$4:$E$1203,"成本-主材")+SUMIFS(资金日记账!$K$4:$K$2503,资金日记账!$G$4:$G$2503,$B46,资金日记账!$F$4:$F$2503,"成本-主材")-SUMIFS(资金日记账!$J$4:$J$2503,资金日记账!$G$4:$G$2503,$B46,资金日记账!$F$4:$F$2503,"成本-主材"),2))</f>
        <v/>
      </c>
      <c r="M46" s="19">
        <f>IF($B46="","",ROUND(SUMIFS(采购单!$L$4:$L$2003,采购单!$D$4:$D$2003,$B46,采购单!$F$4:$F$2003,"成本-辅材")+SUMIFS(生产安装!$J$4:$J$1203,生产安装!$C$4:$C$1203,$B46,生产安装!$E$4:$E$1203,"成本-辅材")+SUMIFS(资金日记账!$K$4:$K$2503,资金日记账!$G$4:$G$2503,$B46,资金日记账!$F$4:$F$2503,"成本-辅材")-SUMIFS(资金日记账!$J$4:$J$2503,资金日记账!$G$4:$G$2503,$B46,资金日记账!$F$4:$F$2503,"成本-辅材"),2))</f>
        <v/>
      </c>
      <c r="N46" s="19">
        <f>IF($B46="","",ROUND(SUMIFS(采购单!$L$4:$L$2003,采购单!$D$4:$D$2003,$B46,采购单!$F$4:$F$2003,"成本-人工")+SUMIFS(生产安装!$J$4:$J$1203,生产安装!$C$4:$C$1203,$B46,生产安装!$E$4:$E$1203,"成本-人工")+SUMIFS(资金日记账!$K$4:$K$2503,资金日记账!$G$4:$G$2503,$B46,资金日记账!$F$4:$F$2503,"成本-人工")-SUMIFS(资金日记账!$J$4:$J$2503,资金日记账!$G$4:$G$2503,$B46,资金日记账!$F$4:$F$2503,"成本-人工"),2))</f>
        <v/>
      </c>
      <c r="O46" s="19">
        <f>IF($B46="","",ROUND(SUMIFS(采购单!$L$4:$L$2003,采购单!$D$4:$D$2003,$B46,采购单!$F$4:$F$2003,"成本-车运")+SUMIFS(生产安装!$J$4:$J$1203,生产安装!$C$4:$C$1203,$B46,生产安装!$E$4:$E$1203,"成本-车运")+SUMIFS(资金日记账!$K$4:$K$2503,资金日记账!$G$4:$G$2503,$B46,资金日记账!$F$4:$F$2503,"成本-车运")-SUMIFS(资金日记账!$J$4:$J$2503,资金日记账!$G$4:$G$2503,$B46,资金日记账!$F$4:$F$2503,"成本-车运"),2))</f>
        <v/>
      </c>
      <c r="P46" s="19">
        <f>IF($B46="","",ROUND(SUMIFS(采购单!$L$4:$L$2003,采购单!$D$4:$D$2003,$B46,采购单!$F$4:$F$2003,"成本-其他")+SUMIFS(生产安装!$J$4:$J$1203,生产安装!$C$4:$C$1203,$B46,生产安装!$E$4:$E$1203,"成本-其他")+SUMIFS(资金日记账!$K$4:$K$2503,资金日记账!$G$4:$G$2503,$B46,资金日记账!$F$4:$F$2503,"成本-其他")-SUMIFS(资金日记账!$J$4:$J$2503,资金日记账!$G$4:$G$2503,$B46,资金日记账!$F$4:$F$2503,"成本-其他"),2))</f>
        <v/>
      </c>
      <c r="Q46" s="19">
        <f>IF($B46="","",ROUND(SUM($L46:$P46),2))</f>
        <v/>
      </c>
      <c r="R46" s="19">
        <f>IF($B46="","",ROUND($I46-$Q46,2))</f>
        <v/>
      </c>
      <c r="S46" s="33">
        <f>IF($B46="","",IF(ROUND($I46,2)=0,"",ROUND($R46/$I46,4)))</f>
        <v/>
      </c>
      <c r="T46" s="22">
        <f>IF($B46="","",IF($G46="",0,YEAR($G46)*100+MONTH($G46)))</f>
        <v/>
      </c>
      <c r="U46" s="17">
        <f>IF($B46="","",IF(项目台账!$R45="","",项目台账!$R45))</f>
        <v/>
      </c>
    </row>
    <row r="47">
      <c r="A47" s="17">
        <f>IF(项目台账!$B46="","",项目台账!$A46)</f>
        <v/>
      </c>
      <c r="B47" s="17">
        <f>IF(项目台账!$B46="","",项目台账!$B46)</f>
        <v/>
      </c>
      <c r="C47" s="17">
        <f>IF($B47="","",IF(项目台账!$C46="","",项目台账!$C46))</f>
        <v/>
      </c>
      <c r="D47" s="17">
        <f>IF($B47="","",IF(项目台账!$D46="","",项目台账!$D46))</f>
        <v/>
      </c>
      <c r="E47" s="17">
        <f>IF($B47="","",IF(项目台账!$E46="","",项目台账!$E46))</f>
        <v/>
      </c>
      <c r="F47" s="23">
        <f>IF($B47="","",IF(项目台账!$F46="","",项目台账!$F46))</f>
        <v/>
      </c>
      <c r="G47" s="23">
        <f>IF($B47="","",IF(项目台账!$J46="","",项目台账!$J46))</f>
        <v/>
      </c>
      <c r="H47" s="17">
        <f>IF($B47="","",IF(项目台账!$Q46="","",项目台账!$Q46))</f>
        <v/>
      </c>
      <c r="I47" s="19">
        <f>IF($B47="","",项目台账!$M46)</f>
        <v/>
      </c>
      <c r="J47" s="19">
        <f>IF($B47="","",项目台账!$O46)</f>
        <v/>
      </c>
      <c r="K47" s="19">
        <f>IF($B47="","",项目台账!$P46)</f>
        <v/>
      </c>
      <c r="L47" s="19">
        <f>IF($B47="","",ROUND(SUMIFS(采购单!$L$4:$L$2003,采购单!$D$4:$D$2003,$B47,采购单!$F$4:$F$2003,"成本-主材")+SUMIFS(生产安装!$J$4:$J$1203,生产安装!$C$4:$C$1203,$B47,生产安装!$E$4:$E$1203,"成本-主材")+SUMIFS(资金日记账!$K$4:$K$2503,资金日记账!$G$4:$G$2503,$B47,资金日记账!$F$4:$F$2503,"成本-主材")-SUMIFS(资金日记账!$J$4:$J$2503,资金日记账!$G$4:$G$2503,$B47,资金日记账!$F$4:$F$2503,"成本-主材"),2))</f>
        <v/>
      </c>
      <c r="M47" s="19">
        <f>IF($B47="","",ROUND(SUMIFS(采购单!$L$4:$L$2003,采购单!$D$4:$D$2003,$B47,采购单!$F$4:$F$2003,"成本-辅材")+SUMIFS(生产安装!$J$4:$J$1203,生产安装!$C$4:$C$1203,$B47,生产安装!$E$4:$E$1203,"成本-辅材")+SUMIFS(资金日记账!$K$4:$K$2503,资金日记账!$G$4:$G$2503,$B47,资金日记账!$F$4:$F$2503,"成本-辅材")-SUMIFS(资金日记账!$J$4:$J$2503,资金日记账!$G$4:$G$2503,$B47,资金日记账!$F$4:$F$2503,"成本-辅材"),2))</f>
        <v/>
      </c>
      <c r="N47" s="19">
        <f>IF($B47="","",ROUND(SUMIFS(采购单!$L$4:$L$2003,采购单!$D$4:$D$2003,$B47,采购单!$F$4:$F$2003,"成本-人工")+SUMIFS(生产安装!$J$4:$J$1203,生产安装!$C$4:$C$1203,$B47,生产安装!$E$4:$E$1203,"成本-人工")+SUMIFS(资金日记账!$K$4:$K$2503,资金日记账!$G$4:$G$2503,$B47,资金日记账!$F$4:$F$2503,"成本-人工")-SUMIFS(资金日记账!$J$4:$J$2503,资金日记账!$G$4:$G$2503,$B47,资金日记账!$F$4:$F$2503,"成本-人工"),2))</f>
        <v/>
      </c>
      <c r="O47" s="19">
        <f>IF($B47="","",ROUND(SUMIFS(采购单!$L$4:$L$2003,采购单!$D$4:$D$2003,$B47,采购单!$F$4:$F$2003,"成本-车运")+SUMIFS(生产安装!$J$4:$J$1203,生产安装!$C$4:$C$1203,$B47,生产安装!$E$4:$E$1203,"成本-车运")+SUMIFS(资金日记账!$K$4:$K$2503,资金日记账!$G$4:$G$2503,$B47,资金日记账!$F$4:$F$2503,"成本-车运")-SUMIFS(资金日记账!$J$4:$J$2503,资金日记账!$G$4:$G$2503,$B47,资金日记账!$F$4:$F$2503,"成本-车运"),2))</f>
        <v/>
      </c>
      <c r="P47" s="19">
        <f>IF($B47="","",ROUND(SUMIFS(采购单!$L$4:$L$2003,采购单!$D$4:$D$2003,$B47,采购单!$F$4:$F$2003,"成本-其他")+SUMIFS(生产安装!$J$4:$J$1203,生产安装!$C$4:$C$1203,$B47,生产安装!$E$4:$E$1203,"成本-其他")+SUMIFS(资金日记账!$K$4:$K$2503,资金日记账!$G$4:$G$2503,$B47,资金日记账!$F$4:$F$2503,"成本-其他")-SUMIFS(资金日记账!$J$4:$J$2503,资金日记账!$G$4:$G$2503,$B47,资金日记账!$F$4:$F$2503,"成本-其他"),2))</f>
        <v/>
      </c>
      <c r="Q47" s="19">
        <f>IF($B47="","",ROUND(SUM($L47:$P47),2))</f>
        <v/>
      </c>
      <c r="R47" s="19">
        <f>IF($B47="","",ROUND($I47-$Q47,2))</f>
        <v/>
      </c>
      <c r="S47" s="33">
        <f>IF($B47="","",IF(ROUND($I47,2)=0,"",ROUND($R47/$I47,4)))</f>
        <v/>
      </c>
      <c r="T47" s="22">
        <f>IF($B47="","",IF($G47="",0,YEAR($G47)*100+MONTH($G47)))</f>
        <v/>
      </c>
      <c r="U47" s="17">
        <f>IF($B47="","",IF(项目台账!$R46="","",项目台账!$R46))</f>
        <v/>
      </c>
    </row>
    <row r="48">
      <c r="A48" s="17">
        <f>IF(项目台账!$B47="","",项目台账!$A47)</f>
        <v/>
      </c>
      <c r="B48" s="17">
        <f>IF(项目台账!$B47="","",项目台账!$B47)</f>
        <v/>
      </c>
      <c r="C48" s="17">
        <f>IF($B48="","",IF(项目台账!$C47="","",项目台账!$C47))</f>
        <v/>
      </c>
      <c r="D48" s="17">
        <f>IF($B48="","",IF(项目台账!$D47="","",项目台账!$D47))</f>
        <v/>
      </c>
      <c r="E48" s="17">
        <f>IF($B48="","",IF(项目台账!$E47="","",项目台账!$E47))</f>
        <v/>
      </c>
      <c r="F48" s="23">
        <f>IF($B48="","",IF(项目台账!$F47="","",项目台账!$F47))</f>
        <v/>
      </c>
      <c r="G48" s="23">
        <f>IF($B48="","",IF(项目台账!$J47="","",项目台账!$J47))</f>
        <v/>
      </c>
      <c r="H48" s="17">
        <f>IF($B48="","",IF(项目台账!$Q47="","",项目台账!$Q47))</f>
        <v/>
      </c>
      <c r="I48" s="19">
        <f>IF($B48="","",项目台账!$M47)</f>
        <v/>
      </c>
      <c r="J48" s="19">
        <f>IF($B48="","",项目台账!$O47)</f>
        <v/>
      </c>
      <c r="K48" s="19">
        <f>IF($B48="","",项目台账!$P47)</f>
        <v/>
      </c>
      <c r="L48" s="19">
        <f>IF($B48="","",ROUND(SUMIFS(采购单!$L$4:$L$2003,采购单!$D$4:$D$2003,$B48,采购单!$F$4:$F$2003,"成本-主材")+SUMIFS(生产安装!$J$4:$J$1203,生产安装!$C$4:$C$1203,$B48,生产安装!$E$4:$E$1203,"成本-主材")+SUMIFS(资金日记账!$K$4:$K$2503,资金日记账!$G$4:$G$2503,$B48,资金日记账!$F$4:$F$2503,"成本-主材")-SUMIFS(资金日记账!$J$4:$J$2503,资金日记账!$G$4:$G$2503,$B48,资金日记账!$F$4:$F$2503,"成本-主材"),2))</f>
        <v/>
      </c>
      <c r="M48" s="19">
        <f>IF($B48="","",ROUND(SUMIFS(采购单!$L$4:$L$2003,采购单!$D$4:$D$2003,$B48,采购单!$F$4:$F$2003,"成本-辅材")+SUMIFS(生产安装!$J$4:$J$1203,生产安装!$C$4:$C$1203,$B48,生产安装!$E$4:$E$1203,"成本-辅材")+SUMIFS(资金日记账!$K$4:$K$2503,资金日记账!$G$4:$G$2503,$B48,资金日记账!$F$4:$F$2503,"成本-辅材")-SUMIFS(资金日记账!$J$4:$J$2503,资金日记账!$G$4:$G$2503,$B48,资金日记账!$F$4:$F$2503,"成本-辅材"),2))</f>
        <v/>
      </c>
      <c r="N48" s="19">
        <f>IF($B48="","",ROUND(SUMIFS(采购单!$L$4:$L$2003,采购单!$D$4:$D$2003,$B48,采购单!$F$4:$F$2003,"成本-人工")+SUMIFS(生产安装!$J$4:$J$1203,生产安装!$C$4:$C$1203,$B48,生产安装!$E$4:$E$1203,"成本-人工")+SUMIFS(资金日记账!$K$4:$K$2503,资金日记账!$G$4:$G$2503,$B48,资金日记账!$F$4:$F$2503,"成本-人工")-SUMIFS(资金日记账!$J$4:$J$2503,资金日记账!$G$4:$G$2503,$B48,资金日记账!$F$4:$F$2503,"成本-人工"),2))</f>
        <v/>
      </c>
      <c r="O48" s="19">
        <f>IF($B48="","",ROUND(SUMIFS(采购单!$L$4:$L$2003,采购单!$D$4:$D$2003,$B48,采购单!$F$4:$F$2003,"成本-车运")+SUMIFS(生产安装!$J$4:$J$1203,生产安装!$C$4:$C$1203,$B48,生产安装!$E$4:$E$1203,"成本-车运")+SUMIFS(资金日记账!$K$4:$K$2503,资金日记账!$G$4:$G$2503,$B48,资金日记账!$F$4:$F$2503,"成本-车运")-SUMIFS(资金日记账!$J$4:$J$2503,资金日记账!$G$4:$G$2503,$B48,资金日记账!$F$4:$F$2503,"成本-车运"),2))</f>
        <v/>
      </c>
      <c r="P48" s="19">
        <f>IF($B48="","",ROUND(SUMIFS(采购单!$L$4:$L$2003,采购单!$D$4:$D$2003,$B48,采购单!$F$4:$F$2003,"成本-其他")+SUMIFS(生产安装!$J$4:$J$1203,生产安装!$C$4:$C$1203,$B48,生产安装!$E$4:$E$1203,"成本-其他")+SUMIFS(资金日记账!$K$4:$K$2503,资金日记账!$G$4:$G$2503,$B48,资金日记账!$F$4:$F$2503,"成本-其他")-SUMIFS(资金日记账!$J$4:$J$2503,资金日记账!$G$4:$G$2503,$B48,资金日记账!$F$4:$F$2503,"成本-其他"),2))</f>
        <v/>
      </c>
      <c r="Q48" s="19">
        <f>IF($B48="","",ROUND(SUM($L48:$P48),2))</f>
        <v/>
      </c>
      <c r="R48" s="19">
        <f>IF($B48="","",ROUND($I48-$Q48,2))</f>
        <v/>
      </c>
      <c r="S48" s="33">
        <f>IF($B48="","",IF(ROUND($I48,2)=0,"",ROUND($R48/$I48,4)))</f>
        <v/>
      </c>
      <c r="T48" s="22">
        <f>IF($B48="","",IF($G48="",0,YEAR($G48)*100+MONTH($G48)))</f>
        <v/>
      </c>
      <c r="U48" s="17">
        <f>IF($B48="","",IF(项目台账!$R47="","",项目台账!$R47))</f>
        <v/>
      </c>
    </row>
    <row r="49">
      <c r="A49" s="17">
        <f>IF(项目台账!$B48="","",项目台账!$A48)</f>
        <v/>
      </c>
      <c r="B49" s="17">
        <f>IF(项目台账!$B48="","",项目台账!$B48)</f>
        <v/>
      </c>
      <c r="C49" s="17">
        <f>IF($B49="","",IF(项目台账!$C48="","",项目台账!$C48))</f>
        <v/>
      </c>
      <c r="D49" s="17">
        <f>IF($B49="","",IF(项目台账!$D48="","",项目台账!$D48))</f>
        <v/>
      </c>
      <c r="E49" s="17">
        <f>IF($B49="","",IF(项目台账!$E48="","",项目台账!$E48))</f>
        <v/>
      </c>
      <c r="F49" s="23">
        <f>IF($B49="","",IF(项目台账!$F48="","",项目台账!$F48))</f>
        <v/>
      </c>
      <c r="G49" s="23">
        <f>IF($B49="","",IF(项目台账!$J48="","",项目台账!$J48))</f>
        <v/>
      </c>
      <c r="H49" s="17">
        <f>IF($B49="","",IF(项目台账!$Q48="","",项目台账!$Q48))</f>
        <v/>
      </c>
      <c r="I49" s="19">
        <f>IF($B49="","",项目台账!$M48)</f>
        <v/>
      </c>
      <c r="J49" s="19">
        <f>IF($B49="","",项目台账!$O48)</f>
        <v/>
      </c>
      <c r="K49" s="19">
        <f>IF($B49="","",项目台账!$P48)</f>
        <v/>
      </c>
      <c r="L49" s="19">
        <f>IF($B49="","",ROUND(SUMIFS(采购单!$L$4:$L$2003,采购单!$D$4:$D$2003,$B49,采购单!$F$4:$F$2003,"成本-主材")+SUMIFS(生产安装!$J$4:$J$1203,生产安装!$C$4:$C$1203,$B49,生产安装!$E$4:$E$1203,"成本-主材")+SUMIFS(资金日记账!$K$4:$K$2503,资金日记账!$G$4:$G$2503,$B49,资金日记账!$F$4:$F$2503,"成本-主材")-SUMIFS(资金日记账!$J$4:$J$2503,资金日记账!$G$4:$G$2503,$B49,资金日记账!$F$4:$F$2503,"成本-主材"),2))</f>
        <v/>
      </c>
      <c r="M49" s="19">
        <f>IF($B49="","",ROUND(SUMIFS(采购单!$L$4:$L$2003,采购单!$D$4:$D$2003,$B49,采购单!$F$4:$F$2003,"成本-辅材")+SUMIFS(生产安装!$J$4:$J$1203,生产安装!$C$4:$C$1203,$B49,生产安装!$E$4:$E$1203,"成本-辅材")+SUMIFS(资金日记账!$K$4:$K$2503,资金日记账!$G$4:$G$2503,$B49,资金日记账!$F$4:$F$2503,"成本-辅材")-SUMIFS(资金日记账!$J$4:$J$2503,资金日记账!$G$4:$G$2503,$B49,资金日记账!$F$4:$F$2503,"成本-辅材"),2))</f>
        <v/>
      </c>
      <c r="N49" s="19">
        <f>IF($B49="","",ROUND(SUMIFS(采购单!$L$4:$L$2003,采购单!$D$4:$D$2003,$B49,采购单!$F$4:$F$2003,"成本-人工")+SUMIFS(生产安装!$J$4:$J$1203,生产安装!$C$4:$C$1203,$B49,生产安装!$E$4:$E$1203,"成本-人工")+SUMIFS(资金日记账!$K$4:$K$2503,资金日记账!$G$4:$G$2503,$B49,资金日记账!$F$4:$F$2503,"成本-人工")-SUMIFS(资金日记账!$J$4:$J$2503,资金日记账!$G$4:$G$2503,$B49,资金日记账!$F$4:$F$2503,"成本-人工"),2))</f>
        <v/>
      </c>
      <c r="O49" s="19">
        <f>IF($B49="","",ROUND(SUMIFS(采购单!$L$4:$L$2003,采购单!$D$4:$D$2003,$B49,采购单!$F$4:$F$2003,"成本-车运")+SUMIFS(生产安装!$J$4:$J$1203,生产安装!$C$4:$C$1203,$B49,生产安装!$E$4:$E$1203,"成本-车运")+SUMIFS(资金日记账!$K$4:$K$2503,资金日记账!$G$4:$G$2503,$B49,资金日记账!$F$4:$F$2503,"成本-车运")-SUMIFS(资金日记账!$J$4:$J$2503,资金日记账!$G$4:$G$2503,$B49,资金日记账!$F$4:$F$2503,"成本-车运"),2))</f>
        <v/>
      </c>
      <c r="P49" s="19">
        <f>IF($B49="","",ROUND(SUMIFS(采购单!$L$4:$L$2003,采购单!$D$4:$D$2003,$B49,采购单!$F$4:$F$2003,"成本-其他")+SUMIFS(生产安装!$J$4:$J$1203,生产安装!$C$4:$C$1203,$B49,生产安装!$E$4:$E$1203,"成本-其他")+SUMIFS(资金日记账!$K$4:$K$2503,资金日记账!$G$4:$G$2503,$B49,资金日记账!$F$4:$F$2503,"成本-其他")-SUMIFS(资金日记账!$J$4:$J$2503,资金日记账!$G$4:$G$2503,$B49,资金日记账!$F$4:$F$2503,"成本-其他"),2))</f>
        <v/>
      </c>
      <c r="Q49" s="19">
        <f>IF($B49="","",ROUND(SUM($L49:$P49),2))</f>
        <v/>
      </c>
      <c r="R49" s="19">
        <f>IF($B49="","",ROUND($I49-$Q49,2))</f>
        <v/>
      </c>
      <c r="S49" s="33">
        <f>IF($B49="","",IF(ROUND($I49,2)=0,"",ROUND($R49/$I49,4)))</f>
        <v/>
      </c>
      <c r="T49" s="22">
        <f>IF($B49="","",IF($G49="",0,YEAR($G49)*100+MONTH($G49)))</f>
        <v/>
      </c>
      <c r="U49" s="17">
        <f>IF($B49="","",IF(项目台账!$R48="","",项目台账!$R48))</f>
        <v/>
      </c>
    </row>
    <row r="50">
      <c r="A50" s="17">
        <f>IF(项目台账!$B49="","",项目台账!$A49)</f>
        <v/>
      </c>
      <c r="B50" s="17">
        <f>IF(项目台账!$B49="","",项目台账!$B49)</f>
        <v/>
      </c>
      <c r="C50" s="17">
        <f>IF($B50="","",IF(项目台账!$C49="","",项目台账!$C49))</f>
        <v/>
      </c>
      <c r="D50" s="17">
        <f>IF($B50="","",IF(项目台账!$D49="","",项目台账!$D49))</f>
        <v/>
      </c>
      <c r="E50" s="17">
        <f>IF($B50="","",IF(项目台账!$E49="","",项目台账!$E49))</f>
        <v/>
      </c>
      <c r="F50" s="23">
        <f>IF($B50="","",IF(项目台账!$F49="","",项目台账!$F49))</f>
        <v/>
      </c>
      <c r="G50" s="23">
        <f>IF($B50="","",IF(项目台账!$J49="","",项目台账!$J49))</f>
        <v/>
      </c>
      <c r="H50" s="17">
        <f>IF($B50="","",IF(项目台账!$Q49="","",项目台账!$Q49))</f>
        <v/>
      </c>
      <c r="I50" s="19">
        <f>IF($B50="","",项目台账!$M49)</f>
        <v/>
      </c>
      <c r="J50" s="19">
        <f>IF($B50="","",项目台账!$O49)</f>
        <v/>
      </c>
      <c r="K50" s="19">
        <f>IF($B50="","",项目台账!$P49)</f>
        <v/>
      </c>
      <c r="L50" s="19">
        <f>IF($B50="","",ROUND(SUMIFS(采购单!$L$4:$L$2003,采购单!$D$4:$D$2003,$B50,采购单!$F$4:$F$2003,"成本-主材")+SUMIFS(生产安装!$J$4:$J$1203,生产安装!$C$4:$C$1203,$B50,生产安装!$E$4:$E$1203,"成本-主材")+SUMIFS(资金日记账!$K$4:$K$2503,资金日记账!$G$4:$G$2503,$B50,资金日记账!$F$4:$F$2503,"成本-主材")-SUMIFS(资金日记账!$J$4:$J$2503,资金日记账!$G$4:$G$2503,$B50,资金日记账!$F$4:$F$2503,"成本-主材"),2))</f>
        <v/>
      </c>
      <c r="M50" s="19">
        <f>IF($B50="","",ROUND(SUMIFS(采购单!$L$4:$L$2003,采购单!$D$4:$D$2003,$B50,采购单!$F$4:$F$2003,"成本-辅材")+SUMIFS(生产安装!$J$4:$J$1203,生产安装!$C$4:$C$1203,$B50,生产安装!$E$4:$E$1203,"成本-辅材")+SUMIFS(资金日记账!$K$4:$K$2503,资金日记账!$G$4:$G$2503,$B50,资金日记账!$F$4:$F$2503,"成本-辅材")-SUMIFS(资金日记账!$J$4:$J$2503,资金日记账!$G$4:$G$2503,$B50,资金日记账!$F$4:$F$2503,"成本-辅材"),2))</f>
        <v/>
      </c>
      <c r="N50" s="19">
        <f>IF($B50="","",ROUND(SUMIFS(采购单!$L$4:$L$2003,采购单!$D$4:$D$2003,$B50,采购单!$F$4:$F$2003,"成本-人工")+SUMIFS(生产安装!$J$4:$J$1203,生产安装!$C$4:$C$1203,$B50,生产安装!$E$4:$E$1203,"成本-人工")+SUMIFS(资金日记账!$K$4:$K$2503,资金日记账!$G$4:$G$2503,$B50,资金日记账!$F$4:$F$2503,"成本-人工")-SUMIFS(资金日记账!$J$4:$J$2503,资金日记账!$G$4:$G$2503,$B50,资金日记账!$F$4:$F$2503,"成本-人工"),2))</f>
        <v/>
      </c>
      <c r="O50" s="19">
        <f>IF($B50="","",ROUND(SUMIFS(采购单!$L$4:$L$2003,采购单!$D$4:$D$2003,$B50,采购单!$F$4:$F$2003,"成本-车运")+SUMIFS(生产安装!$J$4:$J$1203,生产安装!$C$4:$C$1203,$B50,生产安装!$E$4:$E$1203,"成本-车运")+SUMIFS(资金日记账!$K$4:$K$2503,资金日记账!$G$4:$G$2503,$B50,资金日记账!$F$4:$F$2503,"成本-车运")-SUMIFS(资金日记账!$J$4:$J$2503,资金日记账!$G$4:$G$2503,$B50,资金日记账!$F$4:$F$2503,"成本-车运"),2))</f>
        <v/>
      </c>
      <c r="P50" s="19">
        <f>IF($B50="","",ROUND(SUMIFS(采购单!$L$4:$L$2003,采购单!$D$4:$D$2003,$B50,采购单!$F$4:$F$2003,"成本-其他")+SUMIFS(生产安装!$J$4:$J$1203,生产安装!$C$4:$C$1203,$B50,生产安装!$E$4:$E$1203,"成本-其他")+SUMIFS(资金日记账!$K$4:$K$2503,资金日记账!$G$4:$G$2503,$B50,资金日记账!$F$4:$F$2503,"成本-其他")-SUMIFS(资金日记账!$J$4:$J$2503,资金日记账!$G$4:$G$2503,$B50,资金日记账!$F$4:$F$2503,"成本-其他"),2))</f>
        <v/>
      </c>
      <c r="Q50" s="19">
        <f>IF($B50="","",ROUND(SUM($L50:$P50),2))</f>
        <v/>
      </c>
      <c r="R50" s="19">
        <f>IF($B50="","",ROUND($I50-$Q50,2))</f>
        <v/>
      </c>
      <c r="S50" s="33">
        <f>IF($B50="","",IF(ROUND($I50,2)=0,"",ROUND($R50/$I50,4)))</f>
        <v/>
      </c>
      <c r="T50" s="22">
        <f>IF($B50="","",IF($G50="",0,YEAR($G50)*100+MONTH($G50)))</f>
        <v/>
      </c>
      <c r="U50" s="17">
        <f>IF($B50="","",IF(项目台账!$R49="","",项目台账!$R49))</f>
        <v/>
      </c>
    </row>
    <row r="51">
      <c r="A51" s="17">
        <f>IF(项目台账!$B50="","",项目台账!$A50)</f>
        <v/>
      </c>
      <c r="B51" s="17">
        <f>IF(项目台账!$B50="","",项目台账!$B50)</f>
        <v/>
      </c>
      <c r="C51" s="17">
        <f>IF($B51="","",IF(项目台账!$C50="","",项目台账!$C50))</f>
        <v/>
      </c>
      <c r="D51" s="17">
        <f>IF($B51="","",IF(项目台账!$D50="","",项目台账!$D50))</f>
        <v/>
      </c>
      <c r="E51" s="17">
        <f>IF($B51="","",IF(项目台账!$E50="","",项目台账!$E50))</f>
        <v/>
      </c>
      <c r="F51" s="23">
        <f>IF($B51="","",IF(项目台账!$F50="","",项目台账!$F50))</f>
        <v/>
      </c>
      <c r="G51" s="23">
        <f>IF($B51="","",IF(项目台账!$J50="","",项目台账!$J50))</f>
        <v/>
      </c>
      <c r="H51" s="17">
        <f>IF($B51="","",IF(项目台账!$Q50="","",项目台账!$Q50))</f>
        <v/>
      </c>
      <c r="I51" s="19">
        <f>IF($B51="","",项目台账!$M50)</f>
        <v/>
      </c>
      <c r="J51" s="19">
        <f>IF($B51="","",项目台账!$O50)</f>
        <v/>
      </c>
      <c r="K51" s="19">
        <f>IF($B51="","",项目台账!$P50)</f>
        <v/>
      </c>
      <c r="L51" s="19">
        <f>IF($B51="","",ROUND(SUMIFS(采购单!$L$4:$L$2003,采购单!$D$4:$D$2003,$B51,采购单!$F$4:$F$2003,"成本-主材")+SUMIFS(生产安装!$J$4:$J$1203,生产安装!$C$4:$C$1203,$B51,生产安装!$E$4:$E$1203,"成本-主材")+SUMIFS(资金日记账!$K$4:$K$2503,资金日记账!$G$4:$G$2503,$B51,资金日记账!$F$4:$F$2503,"成本-主材")-SUMIFS(资金日记账!$J$4:$J$2503,资金日记账!$G$4:$G$2503,$B51,资金日记账!$F$4:$F$2503,"成本-主材"),2))</f>
        <v/>
      </c>
      <c r="M51" s="19">
        <f>IF($B51="","",ROUND(SUMIFS(采购单!$L$4:$L$2003,采购单!$D$4:$D$2003,$B51,采购单!$F$4:$F$2003,"成本-辅材")+SUMIFS(生产安装!$J$4:$J$1203,生产安装!$C$4:$C$1203,$B51,生产安装!$E$4:$E$1203,"成本-辅材")+SUMIFS(资金日记账!$K$4:$K$2503,资金日记账!$G$4:$G$2503,$B51,资金日记账!$F$4:$F$2503,"成本-辅材")-SUMIFS(资金日记账!$J$4:$J$2503,资金日记账!$G$4:$G$2503,$B51,资金日记账!$F$4:$F$2503,"成本-辅材"),2))</f>
        <v/>
      </c>
      <c r="N51" s="19">
        <f>IF($B51="","",ROUND(SUMIFS(采购单!$L$4:$L$2003,采购单!$D$4:$D$2003,$B51,采购单!$F$4:$F$2003,"成本-人工")+SUMIFS(生产安装!$J$4:$J$1203,生产安装!$C$4:$C$1203,$B51,生产安装!$E$4:$E$1203,"成本-人工")+SUMIFS(资金日记账!$K$4:$K$2503,资金日记账!$G$4:$G$2503,$B51,资金日记账!$F$4:$F$2503,"成本-人工")-SUMIFS(资金日记账!$J$4:$J$2503,资金日记账!$G$4:$G$2503,$B51,资金日记账!$F$4:$F$2503,"成本-人工"),2))</f>
        <v/>
      </c>
      <c r="O51" s="19">
        <f>IF($B51="","",ROUND(SUMIFS(采购单!$L$4:$L$2003,采购单!$D$4:$D$2003,$B51,采购单!$F$4:$F$2003,"成本-车运")+SUMIFS(生产安装!$J$4:$J$1203,生产安装!$C$4:$C$1203,$B51,生产安装!$E$4:$E$1203,"成本-车运")+SUMIFS(资金日记账!$K$4:$K$2503,资金日记账!$G$4:$G$2503,$B51,资金日记账!$F$4:$F$2503,"成本-车运")-SUMIFS(资金日记账!$J$4:$J$2503,资金日记账!$G$4:$G$2503,$B51,资金日记账!$F$4:$F$2503,"成本-车运"),2))</f>
        <v/>
      </c>
      <c r="P51" s="19">
        <f>IF($B51="","",ROUND(SUMIFS(采购单!$L$4:$L$2003,采购单!$D$4:$D$2003,$B51,采购单!$F$4:$F$2003,"成本-其他")+SUMIFS(生产安装!$J$4:$J$1203,生产安装!$C$4:$C$1203,$B51,生产安装!$E$4:$E$1203,"成本-其他")+SUMIFS(资金日记账!$K$4:$K$2503,资金日记账!$G$4:$G$2503,$B51,资金日记账!$F$4:$F$2503,"成本-其他")-SUMIFS(资金日记账!$J$4:$J$2503,资金日记账!$G$4:$G$2503,$B51,资金日记账!$F$4:$F$2503,"成本-其他"),2))</f>
        <v/>
      </c>
      <c r="Q51" s="19">
        <f>IF($B51="","",ROUND(SUM($L51:$P51),2))</f>
        <v/>
      </c>
      <c r="R51" s="19">
        <f>IF($B51="","",ROUND($I51-$Q51,2))</f>
        <v/>
      </c>
      <c r="S51" s="33">
        <f>IF($B51="","",IF(ROUND($I51,2)=0,"",ROUND($R51/$I51,4)))</f>
        <v/>
      </c>
      <c r="T51" s="22">
        <f>IF($B51="","",IF($G51="",0,YEAR($G51)*100+MONTH($G51)))</f>
        <v/>
      </c>
      <c r="U51" s="17">
        <f>IF($B51="","",IF(项目台账!$R50="","",项目台账!$R50))</f>
        <v/>
      </c>
    </row>
    <row r="52">
      <c r="A52" s="17">
        <f>IF(项目台账!$B51="","",项目台账!$A51)</f>
        <v/>
      </c>
      <c r="B52" s="17">
        <f>IF(项目台账!$B51="","",项目台账!$B51)</f>
        <v/>
      </c>
      <c r="C52" s="17">
        <f>IF($B52="","",IF(项目台账!$C51="","",项目台账!$C51))</f>
        <v/>
      </c>
      <c r="D52" s="17">
        <f>IF($B52="","",IF(项目台账!$D51="","",项目台账!$D51))</f>
        <v/>
      </c>
      <c r="E52" s="17">
        <f>IF($B52="","",IF(项目台账!$E51="","",项目台账!$E51))</f>
        <v/>
      </c>
      <c r="F52" s="23">
        <f>IF($B52="","",IF(项目台账!$F51="","",项目台账!$F51))</f>
        <v/>
      </c>
      <c r="G52" s="23">
        <f>IF($B52="","",IF(项目台账!$J51="","",项目台账!$J51))</f>
        <v/>
      </c>
      <c r="H52" s="17">
        <f>IF($B52="","",IF(项目台账!$Q51="","",项目台账!$Q51))</f>
        <v/>
      </c>
      <c r="I52" s="19">
        <f>IF($B52="","",项目台账!$M51)</f>
        <v/>
      </c>
      <c r="J52" s="19">
        <f>IF($B52="","",项目台账!$O51)</f>
        <v/>
      </c>
      <c r="K52" s="19">
        <f>IF($B52="","",项目台账!$P51)</f>
        <v/>
      </c>
      <c r="L52" s="19">
        <f>IF($B52="","",ROUND(SUMIFS(采购单!$L$4:$L$2003,采购单!$D$4:$D$2003,$B52,采购单!$F$4:$F$2003,"成本-主材")+SUMIFS(生产安装!$J$4:$J$1203,生产安装!$C$4:$C$1203,$B52,生产安装!$E$4:$E$1203,"成本-主材")+SUMIFS(资金日记账!$K$4:$K$2503,资金日记账!$G$4:$G$2503,$B52,资金日记账!$F$4:$F$2503,"成本-主材")-SUMIFS(资金日记账!$J$4:$J$2503,资金日记账!$G$4:$G$2503,$B52,资金日记账!$F$4:$F$2503,"成本-主材"),2))</f>
        <v/>
      </c>
      <c r="M52" s="19">
        <f>IF($B52="","",ROUND(SUMIFS(采购单!$L$4:$L$2003,采购单!$D$4:$D$2003,$B52,采购单!$F$4:$F$2003,"成本-辅材")+SUMIFS(生产安装!$J$4:$J$1203,生产安装!$C$4:$C$1203,$B52,生产安装!$E$4:$E$1203,"成本-辅材")+SUMIFS(资金日记账!$K$4:$K$2503,资金日记账!$G$4:$G$2503,$B52,资金日记账!$F$4:$F$2503,"成本-辅材")-SUMIFS(资金日记账!$J$4:$J$2503,资金日记账!$G$4:$G$2503,$B52,资金日记账!$F$4:$F$2503,"成本-辅材"),2))</f>
        <v/>
      </c>
      <c r="N52" s="19">
        <f>IF($B52="","",ROUND(SUMIFS(采购单!$L$4:$L$2003,采购单!$D$4:$D$2003,$B52,采购单!$F$4:$F$2003,"成本-人工")+SUMIFS(生产安装!$J$4:$J$1203,生产安装!$C$4:$C$1203,$B52,生产安装!$E$4:$E$1203,"成本-人工")+SUMIFS(资金日记账!$K$4:$K$2503,资金日记账!$G$4:$G$2503,$B52,资金日记账!$F$4:$F$2503,"成本-人工")-SUMIFS(资金日记账!$J$4:$J$2503,资金日记账!$G$4:$G$2503,$B52,资金日记账!$F$4:$F$2503,"成本-人工"),2))</f>
        <v/>
      </c>
      <c r="O52" s="19">
        <f>IF($B52="","",ROUND(SUMIFS(采购单!$L$4:$L$2003,采购单!$D$4:$D$2003,$B52,采购单!$F$4:$F$2003,"成本-车运")+SUMIFS(生产安装!$J$4:$J$1203,生产安装!$C$4:$C$1203,$B52,生产安装!$E$4:$E$1203,"成本-车运")+SUMIFS(资金日记账!$K$4:$K$2503,资金日记账!$G$4:$G$2503,$B52,资金日记账!$F$4:$F$2503,"成本-车运")-SUMIFS(资金日记账!$J$4:$J$2503,资金日记账!$G$4:$G$2503,$B52,资金日记账!$F$4:$F$2503,"成本-车运"),2))</f>
        <v/>
      </c>
      <c r="P52" s="19">
        <f>IF($B52="","",ROUND(SUMIFS(采购单!$L$4:$L$2003,采购单!$D$4:$D$2003,$B52,采购单!$F$4:$F$2003,"成本-其他")+SUMIFS(生产安装!$J$4:$J$1203,生产安装!$C$4:$C$1203,$B52,生产安装!$E$4:$E$1203,"成本-其他")+SUMIFS(资金日记账!$K$4:$K$2503,资金日记账!$G$4:$G$2503,$B52,资金日记账!$F$4:$F$2503,"成本-其他")-SUMIFS(资金日记账!$J$4:$J$2503,资金日记账!$G$4:$G$2503,$B52,资金日记账!$F$4:$F$2503,"成本-其他"),2))</f>
        <v/>
      </c>
      <c r="Q52" s="19">
        <f>IF($B52="","",ROUND(SUM($L52:$P52),2))</f>
        <v/>
      </c>
      <c r="R52" s="19">
        <f>IF($B52="","",ROUND($I52-$Q52,2))</f>
        <v/>
      </c>
      <c r="S52" s="33">
        <f>IF($B52="","",IF(ROUND($I52,2)=0,"",ROUND($R52/$I52,4)))</f>
        <v/>
      </c>
      <c r="T52" s="22">
        <f>IF($B52="","",IF($G52="",0,YEAR($G52)*100+MONTH($G52)))</f>
        <v/>
      </c>
      <c r="U52" s="17">
        <f>IF($B52="","",IF(项目台账!$R51="","",项目台账!$R51))</f>
        <v/>
      </c>
    </row>
    <row r="53">
      <c r="A53" s="17">
        <f>IF(项目台账!$B52="","",项目台账!$A52)</f>
        <v/>
      </c>
      <c r="B53" s="17">
        <f>IF(项目台账!$B52="","",项目台账!$B52)</f>
        <v/>
      </c>
      <c r="C53" s="17">
        <f>IF($B53="","",IF(项目台账!$C52="","",项目台账!$C52))</f>
        <v/>
      </c>
      <c r="D53" s="17">
        <f>IF($B53="","",IF(项目台账!$D52="","",项目台账!$D52))</f>
        <v/>
      </c>
      <c r="E53" s="17">
        <f>IF($B53="","",IF(项目台账!$E52="","",项目台账!$E52))</f>
        <v/>
      </c>
      <c r="F53" s="23">
        <f>IF($B53="","",IF(项目台账!$F52="","",项目台账!$F52))</f>
        <v/>
      </c>
      <c r="G53" s="23">
        <f>IF($B53="","",IF(项目台账!$J52="","",项目台账!$J52))</f>
        <v/>
      </c>
      <c r="H53" s="17">
        <f>IF($B53="","",IF(项目台账!$Q52="","",项目台账!$Q52))</f>
        <v/>
      </c>
      <c r="I53" s="19">
        <f>IF($B53="","",项目台账!$M52)</f>
        <v/>
      </c>
      <c r="J53" s="19">
        <f>IF($B53="","",项目台账!$O52)</f>
        <v/>
      </c>
      <c r="K53" s="19">
        <f>IF($B53="","",项目台账!$P52)</f>
        <v/>
      </c>
      <c r="L53" s="19">
        <f>IF($B53="","",ROUND(SUMIFS(采购单!$L$4:$L$2003,采购单!$D$4:$D$2003,$B53,采购单!$F$4:$F$2003,"成本-主材")+SUMIFS(生产安装!$J$4:$J$1203,生产安装!$C$4:$C$1203,$B53,生产安装!$E$4:$E$1203,"成本-主材")+SUMIFS(资金日记账!$K$4:$K$2503,资金日记账!$G$4:$G$2503,$B53,资金日记账!$F$4:$F$2503,"成本-主材")-SUMIFS(资金日记账!$J$4:$J$2503,资金日记账!$G$4:$G$2503,$B53,资金日记账!$F$4:$F$2503,"成本-主材"),2))</f>
        <v/>
      </c>
      <c r="M53" s="19">
        <f>IF($B53="","",ROUND(SUMIFS(采购单!$L$4:$L$2003,采购单!$D$4:$D$2003,$B53,采购单!$F$4:$F$2003,"成本-辅材")+SUMIFS(生产安装!$J$4:$J$1203,生产安装!$C$4:$C$1203,$B53,生产安装!$E$4:$E$1203,"成本-辅材")+SUMIFS(资金日记账!$K$4:$K$2503,资金日记账!$G$4:$G$2503,$B53,资金日记账!$F$4:$F$2503,"成本-辅材")-SUMIFS(资金日记账!$J$4:$J$2503,资金日记账!$G$4:$G$2503,$B53,资金日记账!$F$4:$F$2503,"成本-辅材"),2))</f>
        <v/>
      </c>
      <c r="N53" s="19">
        <f>IF($B53="","",ROUND(SUMIFS(采购单!$L$4:$L$2003,采购单!$D$4:$D$2003,$B53,采购单!$F$4:$F$2003,"成本-人工")+SUMIFS(生产安装!$J$4:$J$1203,生产安装!$C$4:$C$1203,$B53,生产安装!$E$4:$E$1203,"成本-人工")+SUMIFS(资金日记账!$K$4:$K$2503,资金日记账!$G$4:$G$2503,$B53,资金日记账!$F$4:$F$2503,"成本-人工")-SUMIFS(资金日记账!$J$4:$J$2503,资金日记账!$G$4:$G$2503,$B53,资金日记账!$F$4:$F$2503,"成本-人工"),2))</f>
        <v/>
      </c>
      <c r="O53" s="19">
        <f>IF($B53="","",ROUND(SUMIFS(采购单!$L$4:$L$2003,采购单!$D$4:$D$2003,$B53,采购单!$F$4:$F$2003,"成本-车运")+SUMIFS(生产安装!$J$4:$J$1203,生产安装!$C$4:$C$1203,$B53,生产安装!$E$4:$E$1203,"成本-车运")+SUMIFS(资金日记账!$K$4:$K$2503,资金日记账!$G$4:$G$2503,$B53,资金日记账!$F$4:$F$2503,"成本-车运")-SUMIFS(资金日记账!$J$4:$J$2503,资金日记账!$G$4:$G$2503,$B53,资金日记账!$F$4:$F$2503,"成本-车运"),2))</f>
        <v/>
      </c>
      <c r="P53" s="19">
        <f>IF($B53="","",ROUND(SUMIFS(采购单!$L$4:$L$2003,采购单!$D$4:$D$2003,$B53,采购单!$F$4:$F$2003,"成本-其他")+SUMIFS(生产安装!$J$4:$J$1203,生产安装!$C$4:$C$1203,$B53,生产安装!$E$4:$E$1203,"成本-其他")+SUMIFS(资金日记账!$K$4:$K$2503,资金日记账!$G$4:$G$2503,$B53,资金日记账!$F$4:$F$2503,"成本-其他")-SUMIFS(资金日记账!$J$4:$J$2503,资金日记账!$G$4:$G$2503,$B53,资金日记账!$F$4:$F$2503,"成本-其他"),2))</f>
        <v/>
      </c>
      <c r="Q53" s="19">
        <f>IF($B53="","",ROUND(SUM($L53:$P53),2))</f>
        <v/>
      </c>
      <c r="R53" s="19">
        <f>IF($B53="","",ROUND($I53-$Q53,2))</f>
        <v/>
      </c>
      <c r="S53" s="33">
        <f>IF($B53="","",IF(ROUND($I53,2)=0,"",ROUND($R53/$I53,4)))</f>
        <v/>
      </c>
      <c r="T53" s="22">
        <f>IF($B53="","",IF($G53="",0,YEAR($G53)*100+MONTH($G53)))</f>
        <v/>
      </c>
      <c r="U53" s="17">
        <f>IF($B53="","",IF(项目台账!$R52="","",项目台账!$R52))</f>
        <v/>
      </c>
    </row>
    <row r="54">
      <c r="A54" s="17">
        <f>IF(项目台账!$B53="","",项目台账!$A53)</f>
        <v/>
      </c>
      <c r="B54" s="17">
        <f>IF(项目台账!$B53="","",项目台账!$B53)</f>
        <v/>
      </c>
      <c r="C54" s="17">
        <f>IF($B54="","",IF(项目台账!$C53="","",项目台账!$C53))</f>
        <v/>
      </c>
      <c r="D54" s="17">
        <f>IF($B54="","",IF(项目台账!$D53="","",项目台账!$D53))</f>
        <v/>
      </c>
      <c r="E54" s="17">
        <f>IF($B54="","",IF(项目台账!$E53="","",项目台账!$E53))</f>
        <v/>
      </c>
      <c r="F54" s="23">
        <f>IF($B54="","",IF(项目台账!$F53="","",项目台账!$F53))</f>
        <v/>
      </c>
      <c r="G54" s="23">
        <f>IF($B54="","",IF(项目台账!$J53="","",项目台账!$J53))</f>
        <v/>
      </c>
      <c r="H54" s="17">
        <f>IF($B54="","",IF(项目台账!$Q53="","",项目台账!$Q53))</f>
        <v/>
      </c>
      <c r="I54" s="19">
        <f>IF($B54="","",项目台账!$M53)</f>
        <v/>
      </c>
      <c r="J54" s="19">
        <f>IF($B54="","",项目台账!$O53)</f>
        <v/>
      </c>
      <c r="K54" s="19">
        <f>IF($B54="","",项目台账!$P53)</f>
        <v/>
      </c>
      <c r="L54" s="19">
        <f>IF($B54="","",ROUND(SUMIFS(采购单!$L$4:$L$2003,采购单!$D$4:$D$2003,$B54,采购单!$F$4:$F$2003,"成本-主材")+SUMIFS(生产安装!$J$4:$J$1203,生产安装!$C$4:$C$1203,$B54,生产安装!$E$4:$E$1203,"成本-主材")+SUMIFS(资金日记账!$K$4:$K$2503,资金日记账!$G$4:$G$2503,$B54,资金日记账!$F$4:$F$2503,"成本-主材")-SUMIFS(资金日记账!$J$4:$J$2503,资金日记账!$G$4:$G$2503,$B54,资金日记账!$F$4:$F$2503,"成本-主材"),2))</f>
        <v/>
      </c>
      <c r="M54" s="19">
        <f>IF($B54="","",ROUND(SUMIFS(采购单!$L$4:$L$2003,采购单!$D$4:$D$2003,$B54,采购单!$F$4:$F$2003,"成本-辅材")+SUMIFS(生产安装!$J$4:$J$1203,生产安装!$C$4:$C$1203,$B54,生产安装!$E$4:$E$1203,"成本-辅材")+SUMIFS(资金日记账!$K$4:$K$2503,资金日记账!$G$4:$G$2503,$B54,资金日记账!$F$4:$F$2503,"成本-辅材")-SUMIFS(资金日记账!$J$4:$J$2503,资金日记账!$G$4:$G$2503,$B54,资金日记账!$F$4:$F$2503,"成本-辅材"),2))</f>
        <v/>
      </c>
      <c r="N54" s="19">
        <f>IF($B54="","",ROUND(SUMIFS(采购单!$L$4:$L$2003,采购单!$D$4:$D$2003,$B54,采购单!$F$4:$F$2003,"成本-人工")+SUMIFS(生产安装!$J$4:$J$1203,生产安装!$C$4:$C$1203,$B54,生产安装!$E$4:$E$1203,"成本-人工")+SUMIFS(资金日记账!$K$4:$K$2503,资金日记账!$G$4:$G$2503,$B54,资金日记账!$F$4:$F$2503,"成本-人工")-SUMIFS(资金日记账!$J$4:$J$2503,资金日记账!$G$4:$G$2503,$B54,资金日记账!$F$4:$F$2503,"成本-人工"),2))</f>
        <v/>
      </c>
      <c r="O54" s="19">
        <f>IF($B54="","",ROUND(SUMIFS(采购单!$L$4:$L$2003,采购单!$D$4:$D$2003,$B54,采购单!$F$4:$F$2003,"成本-车运")+SUMIFS(生产安装!$J$4:$J$1203,生产安装!$C$4:$C$1203,$B54,生产安装!$E$4:$E$1203,"成本-车运")+SUMIFS(资金日记账!$K$4:$K$2503,资金日记账!$G$4:$G$2503,$B54,资金日记账!$F$4:$F$2503,"成本-车运")-SUMIFS(资金日记账!$J$4:$J$2503,资金日记账!$G$4:$G$2503,$B54,资金日记账!$F$4:$F$2503,"成本-车运"),2))</f>
        <v/>
      </c>
      <c r="P54" s="19">
        <f>IF($B54="","",ROUND(SUMIFS(采购单!$L$4:$L$2003,采购单!$D$4:$D$2003,$B54,采购单!$F$4:$F$2003,"成本-其他")+SUMIFS(生产安装!$J$4:$J$1203,生产安装!$C$4:$C$1203,$B54,生产安装!$E$4:$E$1203,"成本-其他")+SUMIFS(资金日记账!$K$4:$K$2503,资金日记账!$G$4:$G$2503,$B54,资金日记账!$F$4:$F$2503,"成本-其他")-SUMIFS(资金日记账!$J$4:$J$2503,资金日记账!$G$4:$G$2503,$B54,资金日记账!$F$4:$F$2503,"成本-其他"),2))</f>
        <v/>
      </c>
      <c r="Q54" s="19">
        <f>IF($B54="","",ROUND(SUM($L54:$P54),2))</f>
        <v/>
      </c>
      <c r="R54" s="19">
        <f>IF($B54="","",ROUND($I54-$Q54,2))</f>
        <v/>
      </c>
      <c r="S54" s="33">
        <f>IF($B54="","",IF(ROUND($I54,2)=0,"",ROUND($R54/$I54,4)))</f>
        <v/>
      </c>
      <c r="T54" s="22">
        <f>IF($B54="","",IF($G54="",0,YEAR($G54)*100+MONTH($G54)))</f>
        <v/>
      </c>
      <c r="U54" s="17">
        <f>IF($B54="","",IF(项目台账!$R53="","",项目台账!$R53))</f>
        <v/>
      </c>
    </row>
    <row r="55">
      <c r="A55" s="17">
        <f>IF(项目台账!$B54="","",项目台账!$A54)</f>
        <v/>
      </c>
      <c r="B55" s="17">
        <f>IF(项目台账!$B54="","",项目台账!$B54)</f>
        <v/>
      </c>
      <c r="C55" s="17">
        <f>IF($B55="","",IF(项目台账!$C54="","",项目台账!$C54))</f>
        <v/>
      </c>
      <c r="D55" s="17">
        <f>IF($B55="","",IF(项目台账!$D54="","",项目台账!$D54))</f>
        <v/>
      </c>
      <c r="E55" s="17">
        <f>IF($B55="","",IF(项目台账!$E54="","",项目台账!$E54))</f>
        <v/>
      </c>
      <c r="F55" s="23">
        <f>IF($B55="","",IF(项目台账!$F54="","",项目台账!$F54))</f>
        <v/>
      </c>
      <c r="G55" s="23">
        <f>IF($B55="","",IF(项目台账!$J54="","",项目台账!$J54))</f>
        <v/>
      </c>
      <c r="H55" s="17">
        <f>IF($B55="","",IF(项目台账!$Q54="","",项目台账!$Q54))</f>
        <v/>
      </c>
      <c r="I55" s="19">
        <f>IF($B55="","",项目台账!$M54)</f>
        <v/>
      </c>
      <c r="J55" s="19">
        <f>IF($B55="","",项目台账!$O54)</f>
        <v/>
      </c>
      <c r="K55" s="19">
        <f>IF($B55="","",项目台账!$P54)</f>
        <v/>
      </c>
      <c r="L55" s="19">
        <f>IF($B55="","",ROUND(SUMIFS(采购单!$L$4:$L$2003,采购单!$D$4:$D$2003,$B55,采购单!$F$4:$F$2003,"成本-主材")+SUMIFS(生产安装!$J$4:$J$1203,生产安装!$C$4:$C$1203,$B55,生产安装!$E$4:$E$1203,"成本-主材")+SUMIFS(资金日记账!$K$4:$K$2503,资金日记账!$G$4:$G$2503,$B55,资金日记账!$F$4:$F$2503,"成本-主材")-SUMIFS(资金日记账!$J$4:$J$2503,资金日记账!$G$4:$G$2503,$B55,资金日记账!$F$4:$F$2503,"成本-主材"),2))</f>
        <v/>
      </c>
      <c r="M55" s="19">
        <f>IF($B55="","",ROUND(SUMIFS(采购单!$L$4:$L$2003,采购单!$D$4:$D$2003,$B55,采购单!$F$4:$F$2003,"成本-辅材")+SUMIFS(生产安装!$J$4:$J$1203,生产安装!$C$4:$C$1203,$B55,生产安装!$E$4:$E$1203,"成本-辅材")+SUMIFS(资金日记账!$K$4:$K$2503,资金日记账!$G$4:$G$2503,$B55,资金日记账!$F$4:$F$2503,"成本-辅材")-SUMIFS(资金日记账!$J$4:$J$2503,资金日记账!$G$4:$G$2503,$B55,资金日记账!$F$4:$F$2503,"成本-辅材"),2))</f>
        <v/>
      </c>
      <c r="N55" s="19">
        <f>IF($B55="","",ROUND(SUMIFS(采购单!$L$4:$L$2003,采购单!$D$4:$D$2003,$B55,采购单!$F$4:$F$2003,"成本-人工")+SUMIFS(生产安装!$J$4:$J$1203,生产安装!$C$4:$C$1203,$B55,生产安装!$E$4:$E$1203,"成本-人工")+SUMIFS(资金日记账!$K$4:$K$2503,资金日记账!$G$4:$G$2503,$B55,资金日记账!$F$4:$F$2503,"成本-人工")-SUMIFS(资金日记账!$J$4:$J$2503,资金日记账!$G$4:$G$2503,$B55,资金日记账!$F$4:$F$2503,"成本-人工"),2))</f>
        <v/>
      </c>
      <c r="O55" s="19">
        <f>IF($B55="","",ROUND(SUMIFS(采购单!$L$4:$L$2003,采购单!$D$4:$D$2003,$B55,采购单!$F$4:$F$2003,"成本-车运")+SUMIFS(生产安装!$J$4:$J$1203,生产安装!$C$4:$C$1203,$B55,生产安装!$E$4:$E$1203,"成本-车运")+SUMIFS(资金日记账!$K$4:$K$2503,资金日记账!$G$4:$G$2503,$B55,资金日记账!$F$4:$F$2503,"成本-车运")-SUMIFS(资金日记账!$J$4:$J$2503,资金日记账!$G$4:$G$2503,$B55,资金日记账!$F$4:$F$2503,"成本-车运"),2))</f>
        <v/>
      </c>
      <c r="P55" s="19">
        <f>IF($B55="","",ROUND(SUMIFS(采购单!$L$4:$L$2003,采购单!$D$4:$D$2003,$B55,采购单!$F$4:$F$2003,"成本-其他")+SUMIFS(生产安装!$J$4:$J$1203,生产安装!$C$4:$C$1203,$B55,生产安装!$E$4:$E$1203,"成本-其他")+SUMIFS(资金日记账!$K$4:$K$2503,资金日记账!$G$4:$G$2503,$B55,资金日记账!$F$4:$F$2503,"成本-其他")-SUMIFS(资金日记账!$J$4:$J$2503,资金日记账!$G$4:$G$2503,$B55,资金日记账!$F$4:$F$2503,"成本-其他"),2))</f>
        <v/>
      </c>
      <c r="Q55" s="19">
        <f>IF($B55="","",ROUND(SUM($L55:$P55),2))</f>
        <v/>
      </c>
      <c r="R55" s="19">
        <f>IF($B55="","",ROUND($I55-$Q55,2))</f>
        <v/>
      </c>
      <c r="S55" s="33">
        <f>IF($B55="","",IF(ROUND($I55,2)=0,"",ROUND($R55/$I55,4)))</f>
        <v/>
      </c>
      <c r="T55" s="22">
        <f>IF($B55="","",IF($G55="",0,YEAR($G55)*100+MONTH($G55)))</f>
        <v/>
      </c>
      <c r="U55" s="17">
        <f>IF($B55="","",IF(项目台账!$R54="","",项目台账!$R54))</f>
        <v/>
      </c>
    </row>
    <row r="56">
      <c r="A56" s="17">
        <f>IF(项目台账!$B55="","",项目台账!$A55)</f>
        <v/>
      </c>
      <c r="B56" s="17">
        <f>IF(项目台账!$B55="","",项目台账!$B55)</f>
        <v/>
      </c>
      <c r="C56" s="17">
        <f>IF($B56="","",IF(项目台账!$C55="","",项目台账!$C55))</f>
        <v/>
      </c>
      <c r="D56" s="17">
        <f>IF($B56="","",IF(项目台账!$D55="","",项目台账!$D55))</f>
        <v/>
      </c>
      <c r="E56" s="17">
        <f>IF($B56="","",IF(项目台账!$E55="","",项目台账!$E55))</f>
        <v/>
      </c>
      <c r="F56" s="23">
        <f>IF($B56="","",IF(项目台账!$F55="","",项目台账!$F55))</f>
        <v/>
      </c>
      <c r="G56" s="23">
        <f>IF($B56="","",IF(项目台账!$J55="","",项目台账!$J55))</f>
        <v/>
      </c>
      <c r="H56" s="17">
        <f>IF($B56="","",IF(项目台账!$Q55="","",项目台账!$Q55))</f>
        <v/>
      </c>
      <c r="I56" s="19">
        <f>IF($B56="","",项目台账!$M55)</f>
        <v/>
      </c>
      <c r="J56" s="19">
        <f>IF($B56="","",项目台账!$O55)</f>
        <v/>
      </c>
      <c r="K56" s="19">
        <f>IF($B56="","",项目台账!$P55)</f>
        <v/>
      </c>
      <c r="L56" s="19">
        <f>IF($B56="","",ROUND(SUMIFS(采购单!$L$4:$L$2003,采购单!$D$4:$D$2003,$B56,采购单!$F$4:$F$2003,"成本-主材")+SUMIFS(生产安装!$J$4:$J$1203,生产安装!$C$4:$C$1203,$B56,生产安装!$E$4:$E$1203,"成本-主材")+SUMIFS(资金日记账!$K$4:$K$2503,资金日记账!$G$4:$G$2503,$B56,资金日记账!$F$4:$F$2503,"成本-主材")-SUMIFS(资金日记账!$J$4:$J$2503,资金日记账!$G$4:$G$2503,$B56,资金日记账!$F$4:$F$2503,"成本-主材"),2))</f>
        <v/>
      </c>
      <c r="M56" s="19">
        <f>IF($B56="","",ROUND(SUMIFS(采购单!$L$4:$L$2003,采购单!$D$4:$D$2003,$B56,采购单!$F$4:$F$2003,"成本-辅材")+SUMIFS(生产安装!$J$4:$J$1203,生产安装!$C$4:$C$1203,$B56,生产安装!$E$4:$E$1203,"成本-辅材")+SUMIFS(资金日记账!$K$4:$K$2503,资金日记账!$G$4:$G$2503,$B56,资金日记账!$F$4:$F$2503,"成本-辅材")-SUMIFS(资金日记账!$J$4:$J$2503,资金日记账!$G$4:$G$2503,$B56,资金日记账!$F$4:$F$2503,"成本-辅材"),2))</f>
        <v/>
      </c>
      <c r="N56" s="19">
        <f>IF($B56="","",ROUND(SUMIFS(采购单!$L$4:$L$2003,采购单!$D$4:$D$2003,$B56,采购单!$F$4:$F$2003,"成本-人工")+SUMIFS(生产安装!$J$4:$J$1203,生产安装!$C$4:$C$1203,$B56,生产安装!$E$4:$E$1203,"成本-人工")+SUMIFS(资金日记账!$K$4:$K$2503,资金日记账!$G$4:$G$2503,$B56,资金日记账!$F$4:$F$2503,"成本-人工")-SUMIFS(资金日记账!$J$4:$J$2503,资金日记账!$G$4:$G$2503,$B56,资金日记账!$F$4:$F$2503,"成本-人工"),2))</f>
        <v/>
      </c>
      <c r="O56" s="19">
        <f>IF($B56="","",ROUND(SUMIFS(采购单!$L$4:$L$2003,采购单!$D$4:$D$2003,$B56,采购单!$F$4:$F$2003,"成本-车运")+SUMIFS(生产安装!$J$4:$J$1203,生产安装!$C$4:$C$1203,$B56,生产安装!$E$4:$E$1203,"成本-车运")+SUMIFS(资金日记账!$K$4:$K$2503,资金日记账!$G$4:$G$2503,$B56,资金日记账!$F$4:$F$2503,"成本-车运")-SUMIFS(资金日记账!$J$4:$J$2503,资金日记账!$G$4:$G$2503,$B56,资金日记账!$F$4:$F$2503,"成本-车运"),2))</f>
        <v/>
      </c>
      <c r="P56" s="19">
        <f>IF($B56="","",ROUND(SUMIFS(采购单!$L$4:$L$2003,采购单!$D$4:$D$2003,$B56,采购单!$F$4:$F$2003,"成本-其他")+SUMIFS(生产安装!$J$4:$J$1203,生产安装!$C$4:$C$1203,$B56,生产安装!$E$4:$E$1203,"成本-其他")+SUMIFS(资金日记账!$K$4:$K$2503,资金日记账!$G$4:$G$2503,$B56,资金日记账!$F$4:$F$2503,"成本-其他")-SUMIFS(资金日记账!$J$4:$J$2503,资金日记账!$G$4:$G$2503,$B56,资金日记账!$F$4:$F$2503,"成本-其他"),2))</f>
        <v/>
      </c>
      <c r="Q56" s="19">
        <f>IF($B56="","",ROUND(SUM($L56:$P56),2))</f>
        <v/>
      </c>
      <c r="R56" s="19">
        <f>IF($B56="","",ROUND($I56-$Q56,2))</f>
        <v/>
      </c>
      <c r="S56" s="33">
        <f>IF($B56="","",IF(ROUND($I56,2)=0,"",ROUND($R56/$I56,4)))</f>
        <v/>
      </c>
      <c r="T56" s="22">
        <f>IF($B56="","",IF($G56="",0,YEAR($G56)*100+MONTH($G56)))</f>
        <v/>
      </c>
      <c r="U56" s="17">
        <f>IF($B56="","",IF(项目台账!$R55="","",项目台账!$R55))</f>
        <v/>
      </c>
    </row>
    <row r="57">
      <c r="A57" s="17">
        <f>IF(项目台账!$B56="","",项目台账!$A56)</f>
        <v/>
      </c>
      <c r="B57" s="17">
        <f>IF(项目台账!$B56="","",项目台账!$B56)</f>
        <v/>
      </c>
      <c r="C57" s="17">
        <f>IF($B57="","",IF(项目台账!$C56="","",项目台账!$C56))</f>
        <v/>
      </c>
      <c r="D57" s="17">
        <f>IF($B57="","",IF(项目台账!$D56="","",项目台账!$D56))</f>
        <v/>
      </c>
      <c r="E57" s="17">
        <f>IF($B57="","",IF(项目台账!$E56="","",项目台账!$E56))</f>
        <v/>
      </c>
      <c r="F57" s="23">
        <f>IF($B57="","",IF(项目台账!$F56="","",项目台账!$F56))</f>
        <v/>
      </c>
      <c r="G57" s="23">
        <f>IF($B57="","",IF(项目台账!$J56="","",项目台账!$J56))</f>
        <v/>
      </c>
      <c r="H57" s="17">
        <f>IF($B57="","",IF(项目台账!$Q56="","",项目台账!$Q56))</f>
        <v/>
      </c>
      <c r="I57" s="19">
        <f>IF($B57="","",项目台账!$M56)</f>
        <v/>
      </c>
      <c r="J57" s="19">
        <f>IF($B57="","",项目台账!$O56)</f>
        <v/>
      </c>
      <c r="K57" s="19">
        <f>IF($B57="","",项目台账!$P56)</f>
        <v/>
      </c>
      <c r="L57" s="19">
        <f>IF($B57="","",ROUND(SUMIFS(采购单!$L$4:$L$2003,采购单!$D$4:$D$2003,$B57,采购单!$F$4:$F$2003,"成本-主材")+SUMIFS(生产安装!$J$4:$J$1203,生产安装!$C$4:$C$1203,$B57,生产安装!$E$4:$E$1203,"成本-主材")+SUMIFS(资金日记账!$K$4:$K$2503,资金日记账!$G$4:$G$2503,$B57,资金日记账!$F$4:$F$2503,"成本-主材")-SUMIFS(资金日记账!$J$4:$J$2503,资金日记账!$G$4:$G$2503,$B57,资金日记账!$F$4:$F$2503,"成本-主材"),2))</f>
        <v/>
      </c>
      <c r="M57" s="19">
        <f>IF($B57="","",ROUND(SUMIFS(采购单!$L$4:$L$2003,采购单!$D$4:$D$2003,$B57,采购单!$F$4:$F$2003,"成本-辅材")+SUMIFS(生产安装!$J$4:$J$1203,生产安装!$C$4:$C$1203,$B57,生产安装!$E$4:$E$1203,"成本-辅材")+SUMIFS(资金日记账!$K$4:$K$2503,资金日记账!$G$4:$G$2503,$B57,资金日记账!$F$4:$F$2503,"成本-辅材")-SUMIFS(资金日记账!$J$4:$J$2503,资金日记账!$G$4:$G$2503,$B57,资金日记账!$F$4:$F$2503,"成本-辅材"),2))</f>
        <v/>
      </c>
      <c r="N57" s="19">
        <f>IF($B57="","",ROUND(SUMIFS(采购单!$L$4:$L$2003,采购单!$D$4:$D$2003,$B57,采购单!$F$4:$F$2003,"成本-人工")+SUMIFS(生产安装!$J$4:$J$1203,生产安装!$C$4:$C$1203,$B57,生产安装!$E$4:$E$1203,"成本-人工")+SUMIFS(资金日记账!$K$4:$K$2503,资金日记账!$G$4:$G$2503,$B57,资金日记账!$F$4:$F$2503,"成本-人工")-SUMIFS(资金日记账!$J$4:$J$2503,资金日记账!$G$4:$G$2503,$B57,资金日记账!$F$4:$F$2503,"成本-人工"),2))</f>
        <v/>
      </c>
      <c r="O57" s="19">
        <f>IF($B57="","",ROUND(SUMIFS(采购单!$L$4:$L$2003,采购单!$D$4:$D$2003,$B57,采购单!$F$4:$F$2003,"成本-车运")+SUMIFS(生产安装!$J$4:$J$1203,生产安装!$C$4:$C$1203,$B57,生产安装!$E$4:$E$1203,"成本-车运")+SUMIFS(资金日记账!$K$4:$K$2503,资金日记账!$G$4:$G$2503,$B57,资金日记账!$F$4:$F$2503,"成本-车运")-SUMIFS(资金日记账!$J$4:$J$2503,资金日记账!$G$4:$G$2503,$B57,资金日记账!$F$4:$F$2503,"成本-车运"),2))</f>
        <v/>
      </c>
      <c r="P57" s="19">
        <f>IF($B57="","",ROUND(SUMIFS(采购单!$L$4:$L$2003,采购单!$D$4:$D$2003,$B57,采购单!$F$4:$F$2003,"成本-其他")+SUMIFS(生产安装!$J$4:$J$1203,生产安装!$C$4:$C$1203,$B57,生产安装!$E$4:$E$1203,"成本-其他")+SUMIFS(资金日记账!$K$4:$K$2503,资金日记账!$G$4:$G$2503,$B57,资金日记账!$F$4:$F$2503,"成本-其他")-SUMIFS(资金日记账!$J$4:$J$2503,资金日记账!$G$4:$G$2503,$B57,资金日记账!$F$4:$F$2503,"成本-其他"),2))</f>
        <v/>
      </c>
      <c r="Q57" s="19">
        <f>IF($B57="","",ROUND(SUM($L57:$P57),2))</f>
        <v/>
      </c>
      <c r="R57" s="19">
        <f>IF($B57="","",ROUND($I57-$Q57,2))</f>
        <v/>
      </c>
      <c r="S57" s="33">
        <f>IF($B57="","",IF(ROUND($I57,2)=0,"",ROUND($R57/$I57,4)))</f>
        <v/>
      </c>
      <c r="T57" s="22">
        <f>IF($B57="","",IF($G57="",0,YEAR($G57)*100+MONTH($G57)))</f>
        <v/>
      </c>
      <c r="U57" s="17">
        <f>IF($B57="","",IF(项目台账!$R56="","",项目台账!$R56))</f>
        <v/>
      </c>
    </row>
    <row r="58">
      <c r="A58" s="17">
        <f>IF(项目台账!$B57="","",项目台账!$A57)</f>
        <v/>
      </c>
      <c r="B58" s="17">
        <f>IF(项目台账!$B57="","",项目台账!$B57)</f>
        <v/>
      </c>
      <c r="C58" s="17">
        <f>IF($B58="","",IF(项目台账!$C57="","",项目台账!$C57))</f>
        <v/>
      </c>
      <c r="D58" s="17">
        <f>IF($B58="","",IF(项目台账!$D57="","",项目台账!$D57))</f>
        <v/>
      </c>
      <c r="E58" s="17">
        <f>IF($B58="","",IF(项目台账!$E57="","",项目台账!$E57))</f>
        <v/>
      </c>
      <c r="F58" s="23">
        <f>IF($B58="","",IF(项目台账!$F57="","",项目台账!$F57))</f>
        <v/>
      </c>
      <c r="G58" s="23">
        <f>IF($B58="","",IF(项目台账!$J57="","",项目台账!$J57))</f>
        <v/>
      </c>
      <c r="H58" s="17">
        <f>IF($B58="","",IF(项目台账!$Q57="","",项目台账!$Q57))</f>
        <v/>
      </c>
      <c r="I58" s="19">
        <f>IF($B58="","",项目台账!$M57)</f>
        <v/>
      </c>
      <c r="J58" s="19">
        <f>IF($B58="","",项目台账!$O57)</f>
        <v/>
      </c>
      <c r="K58" s="19">
        <f>IF($B58="","",项目台账!$P57)</f>
        <v/>
      </c>
      <c r="L58" s="19">
        <f>IF($B58="","",ROUND(SUMIFS(采购单!$L$4:$L$2003,采购单!$D$4:$D$2003,$B58,采购单!$F$4:$F$2003,"成本-主材")+SUMIFS(生产安装!$J$4:$J$1203,生产安装!$C$4:$C$1203,$B58,生产安装!$E$4:$E$1203,"成本-主材")+SUMIFS(资金日记账!$K$4:$K$2503,资金日记账!$G$4:$G$2503,$B58,资金日记账!$F$4:$F$2503,"成本-主材")-SUMIFS(资金日记账!$J$4:$J$2503,资金日记账!$G$4:$G$2503,$B58,资金日记账!$F$4:$F$2503,"成本-主材"),2))</f>
        <v/>
      </c>
      <c r="M58" s="19">
        <f>IF($B58="","",ROUND(SUMIFS(采购单!$L$4:$L$2003,采购单!$D$4:$D$2003,$B58,采购单!$F$4:$F$2003,"成本-辅材")+SUMIFS(生产安装!$J$4:$J$1203,生产安装!$C$4:$C$1203,$B58,生产安装!$E$4:$E$1203,"成本-辅材")+SUMIFS(资金日记账!$K$4:$K$2503,资金日记账!$G$4:$G$2503,$B58,资金日记账!$F$4:$F$2503,"成本-辅材")-SUMIFS(资金日记账!$J$4:$J$2503,资金日记账!$G$4:$G$2503,$B58,资金日记账!$F$4:$F$2503,"成本-辅材"),2))</f>
        <v/>
      </c>
      <c r="N58" s="19">
        <f>IF($B58="","",ROUND(SUMIFS(采购单!$L$4:$L$2003,采购单!$D$4:$D$2003,$B58,采购单!$F$4:$F$2003,"成本-人工")+SUMIFS(生产安装!$J$4:$J$1203,生产安装!$C$4:$C$1203,$B58,生产安装!$E$4:$E$1203,"成本-人工")+SUMIFS(资金日记账!$K$4:$K$2503,资金日记账!$G$4:$G$2503,$B58,资金日记账!$F$4:$F$2503,"成本-人工")-SUMIFS(资金日记账!$J$4:$J$2503,资金日记账!$G$4:$G$2503,$B58,资金日记账!$F$4:$F$2503,"成本-人工"),2))</f>
        <v/>
      </c>
      <c r="O58" s="19">
        <f>IF($B58="","",ROUND(SUMIFS(采购单!$L$4:$L$2003,采购单!$D$4:$D$2003,$B58,采购单!$F$4:$F$2003,"成本-车运")+SUMIFS(生产安装!$J$4:$J$1203,生产安装!$C$4:$C$1203,$B58,生产安装!$E$4:$E$1203,"成本-车运")+SUMIFS(资金日记账!$K$4:$K$2503,资金日记账!$G$4:$G$2503,$B58,资金日记账!$F$4:$F$2503,"成本-车运")-SUMIFS(资金日记账!$J$4:$J$2503,资金日记账!$G$4:$G$2503,$B58,资金日记账!$F$4:$F$2503,"成本-车运"),2))</f>
        <v/>
      </c>
      <c r="P58" s="19">
        <f>IF($B58="","",ROUND(SUMIFS(采购单!$L$4:$L$2003,采购单!$D$4:$D$2003,$B58,采购单!$F$4:$F$2003,"成本-其他")+SUMIFS(生产安装!$J$4:$J$1203,生产安装!$C$4:$C$1203,$B58,生产安装!$E$4:$E$1203,"成本-其他")+SUMIFS(资金日记账!$K$4:$K$2503,资金日记账!$G$4:$G$2503,$B58,资金日记账!$F$4:$F$2503,"成本-其他")-SUMIFS(资金日记账!$J$4:$J$2503,资金日记账!$G$4:$G$2503,$B58,资金日记账!$F$4:$F$2503,"成本-其他"),2))</f>
        <v/>
      </c>
      <c r="Q58" s="19">
        <f>IF($B58="","",ROUND(SUM($L58:$P58),2))</f>
        <v/>
      </c>
      <c r="R58" s="19">
        <f>IF($B58="","",ROUND($I58-$Q58,2))</f>
        <v/>
      </c>
      <c r="S58" s="33">
        <f>IF($B58="","",IF(ROUND($I58,2)=0,"",ROUND($R58/$I58,4)))</f>
        <v/>
      </c>
      <c r="T58" s="22">
        <f>IF($B58="","",IF($G58="",0,YEAR($G58)*100+MONTH($G58)))</f>
        <v/>
      </c>
      <c r="U58" s="17">
        <f>IF($B58="","",IF(项目台账!$R57="","",项目台账!$R57))</f>
        <v/>
      </c>
    </row>
    <row r="59">
      <c r="A59" s="17">
        <f>IF(项目台账!$B58="","",项目台账!$A58)</f>
        <v/>
      </c>
      <c r="B59" s="17">
        <f>IF(项目台账!$B58="","",项目台账!$B58)</f>
        <v/>
      </c>
      <c r="C59" s="17">
        <f>IF($B59="","",IF(项目台账!$C58="","",项目台账!$C58))</f>
        <v/>
      </c>
      <c r="D59" s="17">
        <f>IF($B59="","",IF(项目台账!$D58="","",项目台账!$D58))</f>
        <v/>
      </c>
      <c r="E59" s="17">
        <f>IF($B59="","",IF(项目台账!$E58="","",项目台账!$E58))</f>
        <v/>
      </c>
      <c r="F59" s="23">
        <f>IF($B59="","",IF(项目台账!$F58="","",项目台账!$F58))</f>
        <v/>
      </c>
      <c r="G59" s="23">
        <f>IF($B59="","",IF(项目台账!$J58="","",项目台账!$J58))</f>
        <v/>
      </c>
      <c r="H59" s="17">
        <f>IF($B59="","",IF(项目台账!$Q58="","",项目台账!$Q58))</f>
        <v/>
      </c>
      <c r="I59" s="19">
        <f>IF($B59="","",项目台账!$M58)</f>
        <v/>
      </c>
      <c r="J59" s="19">
        <f>IF($B59="","",项目台账!$O58)</f>
        <v/>
      </c>
      <c r="K59" s="19">
        <f>IF($B59="","",项目台账!$P58)</f>
        <v/>
      </c>
      <c r="L59" s="19">
        <f>IF($B59="","",ROUND(SUMIFS(采购单!$L$4:$L$2003,采购单!$D$4:$D$2003,$B59,采购单!$F$4:$F$2003,"成本-主材")+SUMIFS(生产安装!$J$4:$J$1203,生产安装!$C$4:$C$1203,$B59,生产安装!$E$4:$E$1203,"成本-主材")+SUMIFS(资金日记账!$K$4:$K$2503,资金日记账!$G$4:$G$2503,$B59,资金日记账!$F$4:$F$2503,"成本-主材")-SUMIFS(资金日记账!$J$4:$J$2503,资金日记账!$G$4:$G$2503,$B59,资金日记账!$F$4:$F$2503,"成本-主材"),2))</f>
        <v/>
      </c>
      <c r="M59" s="19">
        <f>IF($B59="","",ROUND(SUMIFS(采购单!$L$4:$L$2003,采购单!$D$4:$D$2003,$B59,采购单!$F$4:$F$2003,"成本-辅材")+SUMIFS(生产安装!$J$4:$J$1203,生产安装!$C$4:$C$1203,$B59,生产安装!$E$4:$E$1203,"成本-辅材")+SUMIFS(资金日记账!$K$4:$K$2503,资金日记账!$G$4:$G$2503,$B59,资金日记账!$F$4:$F$2503,"成本-辅材")-SUMIFS(资金日记账!$J$4:$J$2503,资金日记账!$G$4:$G$2503,$B59,资金日记账!$F$4:$F$2503,"成本-辅材"),2))</f>
        <v/>
      </c>
      <c r="N59" s="19">
        <f>IF($B59="","",ROUND(SUMIFS(采购单!$L$4:$L$2003,采购单!$D$4:$D$2003,$B59,采购单!$F$4:$F$2003,"成本-人工")+SUMIFS(生产安装!$J$4:$J$1203,生产安装!$C$4:$C$1203,$B59,生产安装!$E$4:$E$1203,"成本-人工")+SUMIFS(资金日记账!$K$4:$K$2503,资金日记账!$G$4:$G$2503,$B59,资金日记账!$F$4:$F$2503,"成本-人工")-SUMIFS(资金日记账!$J$4:$J$2503,资金日记账!$G$4:$G$2503,$B59,资金日记账!$F$4:$F$2503,"成本-人工"),2))</f>
        <v/>
      </c>
      <c r="O59" s="19">
        <f>IF($B59="","",ROUND(SUMIFS(采购单!$L$4:$L$2003,采购单!$D$4:$D$2003,$B59,采购单!$F$4:$F$2003,"成本-车运")+SUMIFS(生产安装!$J$4:$J$1203,生产安装!$C$4:$C$1203,$B59,生产安装!$E$4:$E$1203,"成本-车运")+SUMIFS(资金日记账!$K$4:$K$2503,资金日记账!$G$4:$G$2503,$B59,资金日记账!$F$4:$F$2503,"成本-车运")-SUMIFS(资金日记账!$J$4:$J$2503,资金日记账!$G$4:$G$2503,$B59,资金日记账!$F$4:$F$2503,"成本-车运"),2))</f>
        <v/>
      </c>
      <c r="P59" s="19">
        <f>IF($B59="","",ROUND(SUMIFS(采购单!$L$4:$L$2003,采购单!$D$4:$D$2003,$B59,采购单!$F$4:$F$2003,"成本-其他")+SUMIFS(生产安装!$J$4:$J$1203,生产安装!$C$4:$C$1203,$B59,生产安装!$E$4:$E$1203,"成本-其他")+SUMIFS(资金日记账!$K$4:$K$2503,资金日记账!$G$4:$G$2503,$B59,资金日记账!$F$4:$F$2503,"成本-其他")-SUMIFS(资金日记账!$J$4:$J$2503,资金日记账!$G$4:$G$2503,$B59,资金日记账!$F$4:$F$2503,"成本-其他"),2))</f>
        <v/>
      </c>
      <c r="Q59" s="19">
        <f>IF($B59="","",ROUND(SUM($L59:$P59),2))</f>
        <v/>
      </c>
      <c r="R59" s="19">
        <f>IF($B59="","",ROUND($I59-$Q59,2))</f>
        <v/>
      </c>
      <c r="S59" s="33">
        <f>IF($B59="","",IF(ROUND($I59,2)=0,"",ROUND($R59/$I59,4)))</f>
        <v/>
      </c>
      <c r="T59" s="22">
        <f>IF($B59="","",IF($G59="",0,YEAR($G59)*100+MONTH($G59)))</f>
        <v/>
      </c>
      <c r="U59" s="17">
        <f>IF($B59="","",IF(项目台账!$R58="","",项目台账!$R58))</f>
        <v/>
      </c>
    </row>
    <row r="60">
      <c r="A60" s="17">
        <f>IF(项目台账!$B59="","",项目台账!$A59)</f>
        <v/>
      </c>
      <c r="B60" s="17">
        <f>IF(项目台账!$B59="","",项目台账!$B59)</f>
        <v/>
      </c>
      <c r="C60" s="17">
        <f>IF($B60="","",IF(项目台账!$C59="","",项目台账!$C59))</f>
        <v/>
      </c>
      <c r="D60" s="17">
        <f>IF($B60="","",IF(项目台账!$D59="","",项目台账!$D59))</f>
        <v/>
      </c>
      <c r="E60" s="17">
        <f>IF($B60="","",IF(项目台账!$E59="","",项目台账!$E59))</f>
        <v/>
      </c>
      <c r="F60" s="23">
        <f>IF($B60="","",IF(项目台账!$F59="","",项目台账!$F59))</f>
        <v/>
      </c>
      <c r="G60" s="23">
        <f>IF($B60="","",IF(项目台账!$J59="","",项目台账!$J59))</f>
        <v/>
      </c>
      <c r="H60" s="17">
        <f>IF($B60="","",IF(项目台账!$Q59="","",项目台账!$Q59))</f>
        <v/>
      </c>
      <c r="I60" s="19">
        <f>IF($B60="","",项目台账!$M59)</f>
        <v/>
      </c>
      <c r="J60" s="19">
        <f>IF($B60="","",项目台账!$O59)</f>
        <v/>
      </c>
      <c r="K60" s="19">
        <f>IF($B60="","",项目台账!$P59)</f>
        <v/>
      </c>
      <c r="L60" s="19">
        <f>IF($B60="","",ROUND(SUMIFS(采购单!$L$4:$L$2003,采购单!$D$4:$D$2003,$B60,采购单!$F$4:$F$2003,"成本-主材")+SUMIFS(生产安装!$J$4:$J$1203,生产安装!$C$4:$C$1203,$B60,生产安装!$E$4:$E$1203,"成本-主材")+SUMIFS(资金日记账!$K$4:$K$2503,资金日记账!$G$4:$G$2503,$B60,资金日记账!$F$4:$F$2503,"成本-主材")-SUMIFS(资金日记账!$J$4:$J$2503,资金日记账!$G$4:$G$2503,$B60,资金日记账!$F$4:$F$2503,"成本-主材"),2))</f>
        <v/>
      </c>
      <c r="M60" s="19">
        <f>IF($B60="","",ROUND(SUMIFS(采购单!$L$4:$L$2003,采购单!$D$4:$D$2003,$B60,采购单!$F$4:$F$2003,"成本-辅材")+SUMIFS(生产安装!$J$4:$J$1203,生产安装!$C$4:$C$1203,$B60,生产安装!$E$4:$E$1203,"成本-辅材")+SUMIFS(资金日记账!$K$4:$K$2503,资金日记账!$G$4:$G$2503,$B60,资金日记账!$F$4:$F$2503,"成本-辅材")-SUMIFS(资金日记账!$J$4:$J$2503,资金日记账!$G$4:$G$2503,$B60,资金日记账!$F$4:$F$2503,"成本-辅材"),2))</f>
        <v/>
      </c>
      <c r="N60" s="19">
        <f>IF($B60="","",ROUND(SUMIFS(采购单!$L$4:$L$2003,采购单!$D$4:$D$2003,$B60,采购单!$F$4:$F$2003,"成本-人工")+SUMIFS(生产安装!$J$4:$J$1203,生产安装!$C$4:$C$1203,$B60,生产安装!$E$4:$E$1203,"成本-人工")+SUMIFS(资金日记账!$K$4:$K$2503,资金日记账!$G$4:$G$2503,$B60,资金日记账!$F$4:$F$2503,"成本-人工")-SUMIFS(资金日记账!$J$4:$J$2503,资金日记账!$G$4:$G$2503,$B60,资金日记账!$F$4:$F$2503,"成本-人工"),2))</f>
        <v/>
      </c>
      <c r="O60" s="19">
        <f>IF($B60="","",ROUND(SUMIFS(采购单!$L$4:$L$2003,采购单!$D$4:$D$2003,$B60,采购单!$F$4:$F$2003,"成本-车运")+SUMIFS(生产安装!$J$4:$J$1203,生产安装!$C$4:$C$1203,$B60,生产安装!$E$4:$E$1203,"成本-车运")+SUMIFS(资金日记账!$K$4:$K$2503,资金日记账!$G$4:$G$2503,$B60,资金日记账!$F$4:$F$2503,"成本-车运")-SUMIFS(资金日记账!$J$4:$J$2503,资金日记账!$G$4:$G$2503,$B60,资金日记账!$F$4:$F$2503,"成本-车运"),2))</f>
        <v/>
      </c>
      <c r="P60" s="19">
        <f>IF($B60="","",ROUND(SUMIFS(采购单!$L$4:$L$2003,采购单!$D$4:$D$2003,$B60,采购单!$F$4:$F$2003,"成本-其他")+SUMIFS(生产安装!$J$4:$J$1203,生产安装!$C$4:$C$1203,$B60,生产安装!$E$4:$E$1203,"成本-其他")+SUMIFS(资金日记账!$K$4:$K$2503,资金日记账!$G$4:$G$2503,$B60,资金日记账!$F$4:$F$2503,"成本-其他")-SUMIFS(资金日记账!$J$4:$J$2503,资金日记账!$G$4:$G$2503,$B60,资金日记账!$F$4:$F$2503,"成本-其他"),2))</f>
        <v/>
      </c>
      <c r="Q60" s="19">
        <f>IF($B60="","",ROUND(SUM($L60:$P60),2))</f>
        <v/>
      </c>
      <c r="R60" s="19">
        <f>IF($B60="","",ROUND($I60-$Q60,2))</f>
        <v/>
      </c>
      <c r="S60" s="33">
        <f>IF($B60="","",IF(ROUND($I60,2)=0,"",ROUND($R60/$I60,4)))</f>
        <v/>
      </c>
      <c r="T60" s="22">
        <f>IF($B60="","",IF($G60="",0,YEAR($G60)*100+MONTH($G60)))</f>
        <v/>
      </c>
      <c r="U60" s="17">
        <f>IF($B60="","",IF(项目台账!$R59="","",项目台账!$R59))</f>
        <v/>
      </c>
    </row>
    <row r="61">
      <c r="A61" s="17">
        <f>IF(项目台账!$B60="","",项目台账!$A60)</f>
        <v/>
      </c>
      <c r="B61" s="17">
        <f>IF(项目台账!$B60="","",项目台账!$B60)</f>
        <v/>
      </c>
      <c r="C61" s="17">
        <f>IF($B61="","",IF(项目台账!$C60="","",项目台账!$C60))</f>
        <v/>
      </c>
      <c r="D61" s="17">
        <f>IF($B61="","",IF(项目台账!$D60="","",项目台账!$D60))</f>
        <v/>
      </c>
      <c r="E61" s="17">
        <f>IF($B61="","",IF(项目台账!$E60="","",项目台账!$E60))</f>
        <v/>
      </c>
      <c r="F61" s="23">
        <f>IF($B61="","",IF(项目台账!$F60="","",项目台账!$F60))</f>
        <v/>
      </c>
      <c r="G61" s="23">
        <f>IF($B61="","",IF(项目台账!$J60="","",项目台账!$J60))</f>
        <v/>
      </c>
      <c r="H61" s="17">
        <f>IF($B61="","",IF(项目台账!$Q60="","",项目台账!$Q60))</f>
        <v/>
      </c>
      <c r="I61" s="19">
        <f>IF($B61="","",项目台账!$M60)</f>
        <v/>
      </c>
      <c r="J61" s="19">
        <f>IF($B61="","",项目台账!$O60)</f>
        <v/>
      </c>
      <c r="K61" s="19">
        <f>IF($B61="","",项目台账!$P60)</f>
        <v/>
      </c>
      <c r="L61" s="19">
        <f>IF($B61="","",ROUND(SUMIFS(采购单!$L$4:$L$2003,采购单!$D$4:$D$2003,$B61,采购单!$F$4:$F$2003,"成本-主材")+SUMIFS(生产安装!$J$4:$J$1203,生产安装!$C$4:$C$1203,$B61,生产安装!$E$4:$E$1203,"成本-主材")+SUMIFS(资金日记账!$K$4:$K$2503,资金日记账!$G$4:$G$2503,$B61,资金日记账!$F$4:$F$2503,"成本-主材")-SUMIFS(资金日记账!$J$4:$J$2503,资金日记账!$G$4:$G$2503,$B61,资金日记账!$F$4:$F$2503,"成本-主材"),2))</f>
        <v/>
      </c>
      <c r="M61" s="19">
        <f>IF($B61="","",ROUND(SUMIFS(采购单!$L$4:$L$2003,采购单!$D$4:$D$2003,$B61,采购单!$F$4:$F$2003,"成本-辅材")+SUMIFS(生产安装!$J$4:$J$1203,生产安装!$C$4:$C$1203,$B61,生产安装!$E$4:$E$1203,"成本-辅材")+SUMIFS(资金日记账!$K$4:$K$2503,资金日记账!$G$4:$G$2503,$B61,资金日记账!$F$4:$F$2503,"成本-辅材")-SUMIFS(资金日记账!$J$4:$J$2503,资金日记账!$G$4:$G$2503,$B61,资金日记账!$F$4:$F$2503,"成本-辅材"),2))</f>
        <v/>
      </c>
      <c r="N61" s="19">
        <f>IF($B61="","",ROUND(SUMIFS(采购单!$L$4:$L$2003,采购单!$D$4:$D$2003,$B61,采购单!$F$4:$F$2003,"成本-人工")+SUMIFS(生产安装!$J$4:$J$1203,生产安装!$C$4:$C$1203,$B61,生产安装!$E$4:$E$1203,"成本-人工")+SUMIFS(资金日记账!$K$4:$K$2503,资金日记账!$G$4:$G$2503,$B61,资金日记账!$F$4:$F$2503,"成本-人工")-SUMIFS(资金日记账!$J$4:$J$2503,资金日记账!$G$4:$G$2503,$B61,资金日记账!$F$4:$F$2503,"成本-人工"),2))</f>
        <v/>
      </c>
      <c r="O61" s="19">
        <f>IF($B61="","",ROUND(SUMIFS(采购单!$L$4:$L$2003,采购单!$D$4:$D$2003,$B61,采购单!$F$4:$F$2003,"成本-车运")+SUMIFS(生产安装!$J$4:$J$1203,生产安装!$C$4:$C$1203,$B61,生产安装!$E$4:$E$1203,"成本-车运")+SUMIFS(资金日记账!$K$4:$K$2503,资金日记账!$G$4:$G$2503,$B61,资金日记账!$F$4:$F$2503,"成本-车运")-SUMIFS(资金日记账!$J$4:$J$2503,资金日记账!$G$4:$G$2503,$B61,资金日记账!$F$4:$F$2503,"成本-车运"),2))</f>
        <v/>
      </c>
      <c r="P61" s="19">
        <f>IF($B61="","",ROUND(SUMIFS(采购单!$L$4:$L$2003,采购单!$D$4:$D$2003,$B61,采购单!$F$4:$F$2003,"成本-其他")+SUMIFS(生产安装!$J$4:$J$1203,生产安装!$C$4:$C$1203,$B61,生产安装!$E$4:$E$1203,"成本-其他")+SUMIFS(资金日记账!$K$4:$K$2503,资金日记账!$G$4:$G$2503,$B61,资金日记账!$F$4:$F$2503,"成本-其他")-SUMIFS(资金日记账!$J$4:$J$2503,资金日记账!$G$4:$G$2503,$B61,资金日记账!$F$4:$F$2503,"成本-其他"),2))</f>
        <v/>
      </c>
      <c r="Q61" s="19">
        <f>IF($B61="","",ROUND(SUM($L61:$P61),2))</f>
        <v/>
      </c>
      <c r="R61" s="19">
        <f>IF($B61="","",ROUND($I61-$Q61,2))</f>
        <v/>
      </c>
      <c r="S61" s="33">
        <f>IF($B61="","",IF(ROUND($I61,2)=0,"",ROUND($R61/$I61,4)))</f>
        <v/>
      </c>
      <c r="T61" s="22">
        <f>IF($B61="","",IF($G61="",0,YEAR($G61)*100+MONTH($G61)))</f>
        <v/>
      </c>
      <c r="U61" s="17">
        <f>IF($B61="","",IF(项目台账!$R60="","",项目台账!$R60))</f>
        <v/>
      </c>
    </row>
    <row r="62">
      <c r="A62" s="17">
        <f>IF(项目台账!$B61="","",项目台账!$A61)</f>
        <v/>
      </c>
      <c r="B62" s="17">
        <f>IF(项目台账!$B61="","",项目台账!$B61)</f>
        <v/>
      </c>
      <c r="C62" s="17">
        <f>IF($B62="","",IF(项目台账!$C61="","",项目台账!$C61))</f>
        <v/>
      </c>
      <c r="D62" s="17">
        <f>IF($B62="","",IF(项目台账!$D61="","",项目台账!$D61))</f>
        <v/>
      </c>
      <c r="E62" s="17">
        <f>IF($B62="","",IF(项目台账!$E61="","",项目台账!$E61))</f>
        <v/>
      </c>
      <c r="F62" s="23">
        <f>IF($B62="","",IF(项目台账!$F61="","",项目台账!$F61))</f>
        <v/>
      </c>
      <c r="G62" s="23">
        <f>IF($B62="","",IF(项目台账!$J61="","",项目台账!$J61))</f>
        <v/>
      </c>
      <c r="H62" s="17">
        <f>IF($B62="","",IF(项目台账!$Q61="","",项目台账!$Q61))</f>
        <v/>
      </c>
      <c r="I62" s="19">
        <f>IF($B62="","",项目台账!$M61)</f>
        <v/>
      </c>
      <c r="J62" s="19">
        <f>IF($B62="","",项目台账!$O61)</f>
        <v/>
      </c>
      <c r="K62" s="19">
        <f>IF($B62="","",项目台账!$P61)</f>
        <v/>
      </c>
      <c r="L62" s="19">
        <f>IF($B62="","",ROUND(SUMIFS(采购单!$L$4:$L$2003,采购单!$D$4:$D$2003,$B62,采购单!$F$4:$F$2003,"成本-主材")+SUMIFS(生产安装!$J$4:$J$1203,生产安装!$C$4:$C$1203,$B62,生产安装!$E$4:$E$1203,"成本-主材")+SUMIFS(资金日记账!$K$4:$K$2503,资金日记账!$G$4:$G$2503,$B62,资金日记账!$F$4:$F$2503,"成本-主材")-SUMIFS(资金日记账!$J$4:$J$2503,资金日记账!$G$4:$G$2503,$B62,资金日记账!$F$4:$F$2503,"成本-主材"),2))</f>
        <v/>
      </c>
      <c r="M62" s="19">
        <f>IF($B62="","",ROUND(SUMIFS(采购单!$L$4:$L$2003,采购单!$D$4:$D$2003,$B62,采购单!$F$4:$F$2003,"成本-辅材")+SUMIFS(生产安装!$J$4:$J$1203,生产安装!$C$4:$C$1203,$B62,生产安装!$E$4:$E$1203,"成本-辅材")+SUMIFS(资金日记账!$K$4:$K$2503,资金日记账!$G$4:$G$2503,$B62,资金日记账!$F$4:$F$2503,"成本-辅材")-SUMIFS(资金日记账!$J$4:$J$2503,资金日记账!$G$4:$G$2503,$B62,资金日记账!$F$4:$F$2503,"成本-辅材"),2))</f>
        <v/>
      </c>
      <c r="N62" s="19">
        <f>IF($B62="","",ROUND(SUMIFS(采购单!$L$4:$L$2003,采购单!$D$4:$D$2003,$B62,采购单!$F$4:$F$2003,"成本-人工")+SUMIFS(生产安装!$J$4:$J$1203,生产安装!$C$4:$C$1203,$B62,生产安装!$E$4:$E$1203,"成本-人工")+SUMIFS(资金日记账!$K$4:$K$2503,资金日记账!$G$4:$G$2503,$B62,资金日记账!$F$4:$F$2503,"成本-人工")-SUMIFS(资金日记账!$J$4:$J$2503,资金日记账!$G$4:$G$2503,$B62,资金日记账!$F$4:$F$2503,"成本-人工"),2))</f>
        <v/>
      </c>
      <c r="O62" s="19">
        <f>IF($B62="","",ROUND(SUMIFS(采购单!$L$4:$L$2003,采购单!$D$4:$D$2003,$B62,采购单!$F$4:$F$2003,"成本-车运")+SUMIFS(生产安装!$J$4:$J$1203,生产安装!$C$4:$C$1203,$B62,生产安装!$E$4:$E$1203,"成本-车运")+SUMIFS(资金日记账!$K$4:$K$2503,资金日记账!$G$4:$G$2503,$B62,资金日记账!$F$4:$F$2503,"成本-车运")-SUMIFS(资金日记账!$J$4:$J$2503,资金日记账!$G$4:$G$2503,$B62,资金日记账!$F$4:$F$2503,"成本-车运"),2))</f>
        <v/>
      </c>
      <c r="P62" s="19">
        <f>IF($B62="","",ROUND(SUMIFS(采购单!$L$4:$L$2003,采购单!$D$4:$D$2003,$B62,采购单!$F$4:$F$2003,"成本-其他")+SUMIFS(生产安装!$J$4:$J$1203,生产安装!$C$4:$C$1203,$B62,生产安装!$E$4:$E$1203,"成本-其他")+SUMIFS(资金日记账!$K$4:$K$2503,资金日记账!$G$4:$G$2503,$B62,资金日记账!$F$4:$F$2503,"成本-其他")-SUMIFS(资金日记账!$J$4:$J$2503,资金日记账!$G$4:$G$2503,$B62,资金日记账!$F$4:$F$2503,"成本-其他"),2))</f>
        <v/>
      </c>
      <c r="Q62" s="19">
        <f>IF($B62="","",ROUND(SUM($L62:$P62),2))</f>
        <v/>
      </c>
      <c r="R62" s="19">
        <f>IF($B62="","",ROUND($I62-$Q62,2))</f>
        <v/>
      </c>
      <c r="S62" s="33">
        <f>IF($B62="","",IF(ROUND($I62,2)=0,"",ROUND($R62/$I62,4)))</f>
        <v/>
      </c>
      <c r="T62" s="22">
        <f>IF($B62="","",IF($G62="",0,YEAR($G62)*100+MONTH($G62)))</f>
        <v/>
      </c>
      <c r="U62" s="17">
        <f>IF($B62="","",IF(项目台账!$R61="","",项目台账!$R61))</f>
        <v/>
      </c>
    </row>
    <row r="63">
      <c r="A63" s="17">
        <f>IF(项目台账!$B62="","",项目台账!$A62)</f>
        <v/>
      </c>
      <c r="B63" s="17">
        <f>IF(项目台账!$B62="","",项目台账!$B62)</f>
        <v/>
      </c>
      <c r="C63" s="17">
        <f>IF($B63="","",IF(项目台账!$C62="","",项目台账!$C62))</f>
        <v/>
      </c>
      <c r="D63" s="17">
        <f>IF($B63="","",IF(项目台账!$D62="","",项目台账!$D62))</f>
        <v/>
      </c>
      <c r="E63" s="17">
        <f>IF($B63="","",IF(项目台账!$E62="","",项目台账!$E62))</f>
        <v/>
      </c>
      <c r="F63" s="23">
        <f>IF($B63="","",IF(项目台账!$F62="","",项目台账!$F62))</f>
        <v/>
      </c>
      <c r="G63" s="23">
        <f>IF($B63="","",IF(项目台账!$J62="","",项目台账!$J62))</f>
        <v/>
      </c>
      <c r="H63" s="17">
        <f>IF($B63="","",IF(项目台账!$Q62="","",项目台账!$Q62))</f>
        <v/>
      </c>
      <c r="I63" s="19">
        <f>IF($B63="","",项目台账!$M62)</f>
        <v/>
      </c>
      <c r="J63" s="19">
        <f>IF($B63="","",项目台账!$O62)</f>
        <v/>
      </c>
      <c r="K63" s="19">
        <f>IF($B63="","",项目台账!$P62)</f>
        <v/>
      </c>
      <c r="L63" s="19">
        <f>IF($B63="","",ROUND(SUMIFS(采购单!$L$4:$L$2003,采购单!$D$4:$D$2003,$B63,采购单!$F$4:$F$2003,"成本-主材")+SUMIFS(生产安装!$J$4:$J$1203,生产安装!$C$4:$C$1203,$B63,生产安装!$E$4:$E$1203,"成本-主材")+SUMIFS(资金日记账!$K$4:$K$2503,资金日记账!$G$4:$G$2503,$B63,资金日记账!$F$4:$F$2503,"成本-主材")-SUMIFS(资金日记账!$J$4:$J$2503,资金日记账!$G$4:$G$2503,$B63,资金日记账!$F$4:$F$2503,"成本-主材"),2))</f>
        <v/>
      </c>
      <c r="M63" s="19">
        <f>IF($B63="","",ROUND(SUMIFS(采购单!$L$4:$L$2003,采购单!$D$4:$D$2003,$B63,采购单!$F$4:$F$2003,"成本-辅材")+SUMIFS(生产安装!$J$4:$J$1203,生产安装!$C$4:$C$1203,$B63,生产安装!$E$4:$E$1203,"成本-辅材")+SUMIFS(资金日记账!$K$4:$K$2503,资金日记账!$G$4:$G$2503,$B63,资金日记账!$F$4:$F$2503,"成本-辅材")-SUMIFS(资金日记账!$J$4:$J$2503,资金日记账!$G$4:$G$2503,$B63,资金日记账!$F$4:$F$2503,"成本-辅材"),2))</f>
        <v/>
      </c>
      <c r="N63" s="19">
        <f>IF($B63="","",ROUND(SUMIFS(采购单!$L$4:$L$2003,采购单!$D$4:$D$2003,$B63,采购单!$F$4:$F$2003,"成本-人工")+SUMIFS(生产安装!$J$4:$J$1203,生产安装!$C$4:$C$1203,$B63,生产安装!$E$4:$E$1203,"成本-人工")+SUMIFS(资金日记账!$K$4:$K$2503,资金日记账!$G$4:$G$2503,$B63,资金日记账!$F$4:$F$2503,"成本-人工")-SUMIFS(资金日记账!$J$4:$J$2503,资金日记账!$G$4:$G$2503,$B63,资金日记账!$F$4:$F$2503,"成本-人工"),2))</f>
        <v/>
      </c>
      <c r="O63" s="19">
        <f>IF($B63="","",ROUND(SUMIFS(采购单!$L$4:$L$2003,采购单!$D$4:$D$2003,$B63,采购单!$F$4:$F$2003,"成本-车运")+SUMIFS(生产安装!$J$4:$J$1203,生产安装!$C$4:$C$1203,$B63,生产安装!$E$4:$E$1203,"成本-车运")+SUMIFS(资金日记账!$K$4:$K$2503,资金日记账!$G$4:$G$2503,$B63,资金日记账!$F$4:$F$2503,"成本-车运")-SUMIFS(资金日记账!$J$4:$J$2503,资金日记账!$G$4:$G$2503,$B63,资金日记账!$F$4:$F$2503,"成本-车运"),2))</f>
        <v/>
      </c>
      <c r="P63" s="19">
        <f>IF($B63="","",ROUND(SUMIFS(采购单!$L$4:$L$2003,采购单!$D$4:$D$2003,$B63,采购单!$F$4:$F$2003,"成本-其他")+SUMIFS(生产安装!$J$4:$J$1203,生产安装!$C$4:$C$1203,$B63,生产安装!$E$4:$E$1203,"成本-其他")+SUMIFS(资金日记账!$K$4:$K$2503,资金日记账!$G$4:$G$2503,$B63,资金日记账!$F$4:$F$2503,"成本-其他")-SUMIFS(资金日记账!$J$4:$J$2503,资金日记账!$G$4:$G$2503,$B63,资金日记账!$F$4:$F$2503,"成本-其他"),2))</f>
        <v/>
      </c>
      <c r="Q63" s="19">
        <f>IF($B63="","",ROUND(SUM($L63:$P63),2))</f>
        <v/>
      </c>
      <c r="R63" s="19">
        <f>IF($B63="","",ROUND($I63-$Q63,2))</f>
        <v/>
      </c>
      <c r="S63" s="33">
        <f>IF($B63="","",IF(ROUND($I63,2)=0,"",ROUND($R63/$I63,4)))</f>
        <v/>
      </c>
      <c r="T63" s="22">
        <f>IF($B63="","",IF($G63="",0,YEAR($G63)*100+MONTH($G63)))</f>
        <v/>
      </c>
      <c r="U63" s="17">
        <f>IF($B63="","",IF(项目台账!$R62="","",项目台账!$R62))</f>
        <v/>
      </c>
    </row>
    <row r="64">
      <c r="A64" s="17">
        <f>IF(项目台账!$B63="","",项目台账!$A63)</f>
        <v/>
      </c>
      <c r="B64" s="17">
        <f>IF(项目台账!$B63="","",项目台账!$B63)</f>
        <v/>
      </c>
      <c r="C64" s="17">
        <f>IF($B64="","",IF(项目台账!$C63="","",项目台账!$C63))</f>
        <v/>
      </c>
      <c r="D64" s="17">
        <f>IF($B64="","",IF(项目台账!$D63="","",项目台账!$D63))</f>
        <v/>
      </c>
      <c r="E64" s="17">
        <f>IF($B64="","",IF(项目台账!$E63="","",项目台账!$E63))</f>
        <v/>
      </c>
      <c r="F64" s="23">
        <f>IF($B64="","",IF(项目台账!$F63="","",项目台账!$F63))</f>
        <v/>
      </c>
      <c r="G64" s="23">
        <f>IF($B64="","",IF(项目台账!$J63="","",项目台账!$J63))</f>
        <v/>
      </c>
      <c r="H64" s="17">
        <f>IF($B64="","",IF(项目台账!$Q63="","",项目台账!$Q63))</f>
        <v/>
      </c>
      <c r="I64" s="19">
        <f>IF($B64="","",项目台账!$M63)</f>
        <v/>
      </c>
      <c r="J64" s="19">
        <f>IF($B64="","",项目台账!$O63)</f>
        <v/>
      </c>
      <c r="K64" s="19">
        <f>IF($B64="","",项目台账!$P63)</f>
        <v/>
      </c>
      <c r="L64" s="19">
        <f>IF($B64="","",ROUND(SUMIFS(采购单!$L$4:$L$2003,采购单!$D$4:$D$2003,$B64,采购单!$F$4:$F$2003,"成本-主材")+SUMIFS(生产安装!$J$4:$J$1203,生产安装!$C$4:$C$1203,$B64,生产安装!$E$4:$E$1203,"成本-主材")+SUMIFS(资金日记账!$K$4:$K$2503,资金日记账!$G$4:$G$2503,$B64,资金日记账!$F$4:$F$2503,"成本-主材")-SUMIFS(资金日记账!$J$4:$J$2503,资金日记账!$G$4:$G$2503,$B64,资金日记账!$F$4:$F$2503,"成本-主材"),2))</f>
        <v/>
      </c>
      <c r="M64" s="19">
        <f>IF($B64="","",ROUND(SUMIFS(采购单!$L$4:$L$2003,采购单!$D$4:$D$2003,$B64,采购单!$F$4:$F$2003,"成本-辅材")+SUMIFS(生产安装!$J$4:$J$1203,生产安装!$C$4:$C$1203,$B64,生产安装!$E$4:$E$1203,"成本-辅材")+SUMIFS(资金日记账!$K$4:$K$2503,资金日记账!$G$4:$G$2503,$B64,资金日记账!$F$4:$F$2503,"成本-辅材")-SUMIFS(资金日记账!$J$4:$J$2503,资金日记账!$G$4:$G$2503,$B64,资金日记账!$F$4:$F$2503,"成本-辅材"),2))</f>
        <v/>
      </c>
      <c r="N64" s="19">
        <f>IF($B64="","",ROUND(SUMIFS(采购单!$L$4:$L$2003,采购单!$D$4:$D$2003,$B64,采购单!$F$4:$F$2003,"成本-人工")+SUMIFS(生产安装!$J$4:$J$1203,生产安装!$C$4:$C$1203,$B64,生产安装!$E$4:$E$1203,"成本-人工")+SUMIFS(资金日记账!$K$4:$K$2503,资金日记账!$G$4:$G$2503,$B64,资金日记账!$F$4:$F$2503,"成本-人工")-SUMIFS(资金日记账!$J$4:$J$2503,资金日记账!$G$4:$G$2503,$B64,资金日记账!$F$4:$F$2503,"成本-人工"),2))</f>
        <v/>
      </c>
      <c r="O64" s="19">
        <f>IF($B64="","",ROUND(SUMIFS(采购单!$L$4:$L$2003,采购单!$D$4:$D$2003,$B64,采购单!$F$4:$F$2003,"成本-车运")+SUMIFS(生产安装!$J$4:$J$1203,生产安装!$C$4:$C$1203,$B64,生产安装!$E$4:$E$1203,"成本-车运")+SUMIFS(资金日记账!$K$4:$K$2503,资金日记账!$G$4:$G$2503,$B64,资金日记账!$F$4:$F$2503,"成本-车运")-SUMIFS(资金日记账!$J$4:$J$2503,资金日记账!$G$4:$G$2503,$B64,资金日记账!$F$4:$F$2503,"成本-车运"),2))</f>
        <v/>
      </c>
      <c r="P64" s="19">
        <f>IF($B64="","",ROUND(SUMIFS(采购单!$L$4:$L$2003,采购单!$D$4:$D$2003,$B64,采购单!$F$4:$F$2003,"成本-其他")+SUMIFS(生产安装!$J$4:$J$1203,生产安装!$C$4:$C$1203,$B64,生产安装!$E$4:$E$1203,"成本-其他")+SUMIFS(资金日记账!$K$4:$K$2503,资金日记账!$G$4:$G$2503,$B64,资金日记账!$F$4:$F$2503,"成本-其他")-SUMIFS(资金日记账!$J$4:$J$2503,资金日记账!$G$4:$G$2503,$B64,资金日记账!$F$4:$F$2503,"成本-其他"),2))</f>
        <v/>
      </c>
      <c r="Q64" s="19">
        <f>IF($B64="","",ROUND(SUM($L64:$P64),2))</f>
        <v/>
      </c>
      <c r="R64" s="19">
        <f>IF($B64="","",ROUND($I64-$Q64,2))</f>
        <v/>
      </c>
      <c r="S64" s="33">
        <f>IF($B64="","",IF(ROUND($I64,2)=0,"",ROUND($R64/$I64,4)))</f>
        <v/>
      </c>
      <c r="T64" s="22">
        <f>IF($B64="","",IF($G64="",0,YEAR($G64)*100+MONTH($G64)))</f>
        <v/>
      </c>
      <c r="U64" s="17">
        <f>IF($B64="","",IF(项目台账!$R63="","",项目台账!$R63))</f>
        <v/>
      </c>
    </row>
    <row r="65">
      <c r="A65" s="17">
        <f>IF(项目台账!$B64="","",项目台账!$A64)</f>
        <v/>
      </c>
      <c r="B65" s="17">
        <f>IF(项目台账!$B64="","",项目台账!$B64)</f>
        <v/>
      </c>
      <c r="C65" s="17">
        <f>IF($B65="","",IF(项目台账!$C64="","",项目台账!$C64))</f>
        <v/>
      </c>
      <c r="D65" s="17">
        <f>IF($B65="","",IF(项目台账!$D64="","",项目台账!$D64))</f>
        <v/>
      </c>
      <c r="E65" s="17">
        <f>IF($B65="","",IF(项目台账!$E64="","",项目台账!$E64))</f>
        <v/>
      </c>
      <c r="F65" s="23">
        <f>IF($B65="","",IF(项目台账!$F64="","",项目台账!$F64))</f>
        <v/>
      </c>
      <c r="G65" s="23">
        <f>IF($B65="","",IF(项目台账!$J64="","",项目台账!$J64))</f>
        <v/>
      </c>
      <c r="H65" s="17">
        <f>IF($B65="","",IF(项目台账!$Q64="","",项目台账!$Q64))</f>
        <v/>
      </c>
      <c r="I65" s="19">
        <f>IF($B65="","",项目台账!$M64)</f>
        <v/>
      </c>
      <c r="J65" s="19">
        <f>IF($B65="","",项目台账!$O64)</f>
        <v/>
      </c>
      <c r="K65" s="19">
        <f>IF($B65="","",项目台账!$P64)</f>
        <v/>
      </c>
      <c r="L65" s="19">
        <f>IF($B65="","",ROUND(SUMIFS(采购单!$L$4:$L$2003,采购单!$D$4:$D$2003,$B65,采购单!$F$4:$F$2003,"成本-主材")+SUMIFS(生产安装!$J$4:$J$1203,生产安装!$C$4:$C$1203,$B65,生产安装!$E$4:$E$1203,"成本-主材")+SUMIFS(资金日记账!$K$4:$K$2503,资金日记账!$G$4:$G$2503,$B65,资金日记账!$F$4:$F$2503,"成本-主材")-SUMIFS(资金日记账!$J$4:$J$2503,资金日记账!$G$4:$G$2503,$B65,资金日记账!$F$4:$F$2503,"成本-主材"),2))</f>
        <v/>
      </c>
      <c r="M65" s="19">
        <f>IF($B65="","",ROUND(SUMIFS(采购单!$L$4:$L$2003,采购单!$D$4:$D$2003,$B65,采购单!$F$4:$F$2003,"成本-辅材")+SUMIFS(生产安装!$J$4:$J$1203,生产安装!$C$4:$C$1203,$B65,生产安装!$E$4:$E$1203,"成本-辅材")+SUMIFS(资金日记账!$K$4:$K$2503,资金日记账!$G$4:$G$2503,$B65,资金日记账!$F$4:$F$2503,"成本-辅材")-SUMIFS(资金日记账!$J$4:$J$2503,资金日记账!$G$4:$G$2503,$B65,资金日记账!$F$4:$F$2503,"成本-辅材"),2))</f>
        <v/>
      </c>
      <c r="N65" s="19">
        <f>IF($B65="","",ROUND(SUMIFS(采购单!$L$4:$L$2003,采购单!$D$4:$D$2003,$B65,采购单!$F$4:$F$2003,"成本-人工")+SUMIFS(生产安装!$J$4:$J$1203,生产安装!$C$4:$C$1203,$B65,生产安装!$E$4:$E$1203,"成本-人工")+SUMIFS(资金日记账!$K$4:$K$2503,资金日记账!$G$4:$G$2503,$B65,资金日记账!$F$4:$F$2503,"成本-人工")-SUMIFS(资金日记账!$J$4:$J$2503,资金日记账!$G$4:$G$2503,$B65,资金日记账!$F$4:$F$2503,"成本-人工"),2))</f>
        <v/>
      </c>
      <c r="O65" s="19">
        <f>IF($B65="","",ROUND(SUMIFS(采购单!$L$4:$L$2003,采购单!$D$4:$D$2003,$B65,采购单!$F$4:$F$2003,"成本-车运")+SUMIFS(生产安装!$J$4:$J$1203,生产安装!$C$4:$C$1203,$B65,生产安装!$E$4:$E$1203,"成本-车运")+SUMIFS(资金日记账!$K$4:$K$2503,资金日记账!$G$4:$G$2503,$B65,资金日记账!$F$4:$F$2503,"成本-车运")-SUMIFS(资金日记账!$J$4:$J$2503,资金日记账!$G$4:$G$2503,$B65,资金日记账!$F$4:$F$2503,"成本-车运"),2))</f>
        <v/>
      </c>
      <c r="P65" s="19">
        <f>IF($B65="","",ROUND(SUMIFS(采购单!$L$4:$L$2003,采购单!$D$4:$D$2003,$B65,采购单!$F$4:$F$2003,"成本-其他")+SUMIFS(生产安装!$J$4:$J$1203,生产安装!$C$4:$C$1203,$B65,生产安装!$E$4:$E$1203,"成本-其他")+SUMIFS(资金日记账!$K$4:$K$2503,资金日记账!$G$4:$G$2503,$B65,资金日记账!$F$4:$F$2503,"成本-其他")-SUMIFS(资金日记账!$J$4:$J$2503,资金日记账!$G$4:$G$2503,$B65,资金日记账!$F$4:$F$2503,"成本-其他"),2))</f>
        <v/>
      </c>
      <c r="Q65" s="19">
        <f>IF($B65="","",ROUND(SUM($L65:$P65),2))</f>
        <v/>
      </c>
      <c r="R65" s="19">
        <f>IF($B65="","",ROUND($I65-$Q65,2))</f>
        <v/>
      </c>
      <c r="S65" s="33">
        <f>IF($B65="","",IF(ROUND($I65,2)=0,"",ROUND($R65/$I65,4)))</f>
        <v/>
      </c>
      <c r="T65" s="22">
        <f>IF($B65="","",IF($G65="",0,YEAR($G65)*100+MONTH($G65)))</f>
        <v/>
      </c>
      <c r="U65" s="17">
        <f>IF($B65="","",IF(项目台账!$R64="","",项目台账!$R64))</f>
        <v/>
      </c>
    </row>
    <row r="66">
      <c r="A66" s="17">
        <f>IF(项目台账!$B65="","",项目台账!$A65)</f>
        <v/>
      </c>
      <c r="B66" s="17">
        <f>IF(项目台账!$B65="","",项目台账!$B65)</f>
        <v/>
      </c>
      <c r="C66" s="17">
        <f>IF($B66="","",IF(项目台账!$C65="","",项目台账!$C65))</f>
        <v/>
      </c>
      <c r="D66" s="17">
        <f>IF($B66="","",IF(项目台账!$D65="","",项目台账!$D65))</f>
        <v/>
      </c>
      <c r="E66" s="17">
        <f>IF($B66="","",IF(项目台账!$E65="","",项目台账!$E65))</f>
        <v/>
      </c>
      <c r="F66" s="23">
        <f>IF($B66="","",IF(项目台账!$F65="","",项目台账!$F65))</f>
        <v/>
      </c>
      <c r="G66" s="23">
        <f>IF($B66="","",IF(项目台账!$J65="","",项目台账!$J65))</f>
        <v/>
      </c>
      <c r="H66" s="17">
        <f>IF($B66="","",IF(项目台账!$Q65="","",项目台账!$Q65))</f>
        <v/>
      </c>
      <c r="I66" s="19">
        <f>IF($B66="","",项目台账!$M65)</f>
        <v/>
      </c>
      <c r="J66" s="19">
        <f>IF($B66="","",项目台账!$O65)</f>
        <v/>
      </c>
      <c r="K66" s="19">
        <f>IF($B66="","",项目台账!$P65)</f>
        <v/>
      </c>
      <c r="L66" s="19">
        <f>IF($B66="","",ROUND(SUMIFS(采购单!$L$4:$L$2003,采购单!$D$4:$D$2003,$B66,采购单!$F$4:$F$2003,"成本-主材")+SUMIFS(生产安装!$J$4:$J$1203,生产安装!$C$4:$C$1203,$B66,生产安装!$E$4:$E$1203,"成本-主材")+SUMIFS(资金日记账!$K$4:$K$2503,资金日记账!$G$4:$G$2503,$B66,资金日记账!$F$4:$F$2503,"成本-主材")-SUMIFS(资金日记账!$J$4:$J$2503,资金日记账!$G$4:$G$2503,$B66,资金日记账!$F$4:$F$2503,"成本-主材"),2))</f>
        <v/>
      </c>
      <c r="M66" s="19">
        <f>IF($B66="","",ROUND(SUMIFS(采购单!$L$4:$L$2003,采购单!$D$4:$D$2003,$B66,采购单!$F$4:$F$2003,"成本-辅材")+SUMIFS(生产安装!$J$4:$J$1203,生产安装!$C$4:$C$1203,$B66,生产安装!$E$4:$E$1203,"成本-辅材")+SUMIFS(资金日记账!$K$4:$K$2503,资金日记账!$G$4:$G$2503,$B66,资金日记账!$F$4:$F$2503,"成本-辅材")-SUMIFS(资金日记账!$J$4:$J$2503,资金日记账!$G$4:$G$2503,$B66,资金日记账!$F$4:$F$2503,"成本-辅材"),2))</f>
        <v/>
      </c>
      <c r="N66" s="19">
        <f>IF($B66="","",ROUND(SUMIFS(采购单!$L$4:$L$2003,采购单!$D$4:$D$2003,$B66,采购单!$F$4:$F$2003,"成本-人工")+SUMIFS(生产安装!$J$4:$J$1203,生产安装!$C$4:$C$1203,$B66,生产安装!$E$4:$E$1203,"成本-人工")+SUMIFS(资金日记账!$K$4:$K$2503,资金日记账!$G$4:$G$2503,$B66,资金日记账!$F$4:$F$2503,"成本-人工")-SUMIFS(资金日记账!$J$4:$J$2503,资金日记账!$G$4:$G$2503,$B66,资金日记账!$F$4:$F$2503,"成本-人工"),2))</f>
        <v/>
      </c>
      <c r="O66" s="19">
        <f>IF($B66="","",ROUND(SUMIFS(采购单!$L$4:$L$2003,采购单!$D$4:$D$2003,$B66,采购单!$F$4:$F$2003,"成本-车运")+SUMIFS(生产安装!$J$4:$J$1203,生产安装!$C$4:$C$1203,$B66,生产安装!$E$4:$E$1203,"成本-车运")+SUMIFS(资金日记账!$K$4:$K$2503,资金日记账!$G$4:$G$2503,$B66,资金日记账!$F$4:$F$2503,"成本-车运")-SUMIFS(资金日记账!$J$4:$J$2503,资金日记账!$G$4:$G$2503,$B66,资金日记账!$F$4:$F$2503,"成本-车运"),2))</f>
        <v/>
      </c>
      <c r="P66" s="19">
        <f>IF($B66="","",ROUND(SUMIFS(采购单!$L$4:$L$2003,采购单!$D$4:$D$2003,$B66,采购单!$F$4:$F$2003,"成本-其他")+SUMIFS(生产安装!$J$4:$J$1203,生产安装!$C$4:$C$1203,$B66,生产安装!$E$4:$E$1203,"成本-其他")+SUMIFS(资金日记账!$K$4:$K$2503,资金日记账!$G$4:$G$2503,$B66,资金日记账!$F$4:$F$2503,"成本-其他")-SUMIFS(资金日记账!$J$4:$J$2503,资金日记账!$G$4:$G$2503,$B66,资金日记账!$F$4:$F$2503,"成本-其他"),2))</f>
        <v/>
      </c>
      <c r="Q66" s="19">
        <f>IF($B66="","",ROUND(SUM($L66:$P66),2))</f>
        <v/>
      </c>
      <c r="R66" s="19">
        <f>IF($B66="","",ROUND($I66-$Q66,2))</f>
        <v/>
      </c>
      <c r="S66" s="33">
        <f>IF($B66="","",IF(ROUND($I66,2)=0,"",ROUND($R66/$I66,4)))</f>
        <v/>
      </c>
      <c r="T66" s="22">
        <f>IF($B66="","",IF($G66="",0,YEAR($G66)*100+MONTH($G66)))</f>
        <v/>
      </c>
      <c r="U66" s="17">
        <f>IF($B66="","",IF(项目台账!$R65="","",项目台账!$R65))</f>
        <v/>
      </c>
    </row>
    <row r="67">
      <c r="A67" s="17">
        <f>IF(项目台账!$B66="","",项目台账!$A66)</f>
        <v/>
      </c>
      <c r="B67" s="17">
        <f>IF(项目台账!$B66="","",项目台账!$B66)</f>
        <v/>
      </c>
      <c r="C67" s="17">
        <f>IF($B67="","",IF(项目台账!$C66="","",项目台账!$C66))</f>
        <v/>
      </c>
      <c r="D67" s="17">
        <f>IF($B67="","",IF(项目台账!$D66="","",项目台账!$D66))</f>
        <v/>
      </c>
      <c r="E67" s="17">
        <f>IF($B67="","",IF(项目台账!$E66="","",项目台账!$E66))</f>
        <v/>
      </c>
      <c r="F67" s="23">
        <f>IF($B67="","",IF(项目台账!$F66="","",项目台账!$F66))</f>
        <v/>
      </c>
      <c r="G67" s="23">
        <f>IF($B67="","",IF(项目台账!$J66="","",项目台账!$J66))</f>
        <v/>
      </c>
      <c r="H67" s="17">
        <f>IF($B67="","",IF(项目台账!$Q66="","",项目台账!$Q66))</f>
        <v/>
      </c>
      <c r="I67" s="19">
        <f>IF($B67="","",项目台账!$M66)</f>
        <v/>
      </c>
      <c r="J67" s="19">
        <f>IF($B67="","",项目台账!$O66)</f>
        <v/>
      </c>
      <c r="K67" s="19">
        <f>IF($B67="","",项目台账!$P66)</f>
        <v/>
      </c>
      <c r="L67" s="19">
        <f>IF($B67="","",ROUND(SUMIFS(采购单!$L$4:$L$2003,采购单!$D$4:$D$2003,$B67,采购单!$F$4:$F$2003,"成本-主材")+SUMIFS(生产安装!$J$4:$J$1203,生产安装!$C$4:$C$1203,$B67,生产安装!$E$4:$E$1203,"成本-主材")+SUMIFS(资金日记账!$K$4:$K$2503,资金日记账!$G$4:$G$2503,$B67,资金日记账!$F$4:$F$2503,"成本-主材")-SUMIFS(资金日记账!$J$4:$J$2503,资金日记账!$G$4:$G$2503,$B67,资金日记账!$F$4:$F$2503,"成本-主材"),2))</f>
        <v/>
      </c>
      <c r="M67" s="19">
        <f>IF($B67="","",ROUND(SUMIFS(采购单!$L$4:$L$2003,采购单!$D$4:$D$2003,$B67,采购单!$F$4:$F$2003,"成本-辅材")+SUMIFS(生产安装!$J$4:$J$1203,生产安装!$C$4:$C$1203,$B67,生产安装!$E$4:$E$1203,"成本-辅材")+SUMIFS(资金日记账!$K$4:$K$2503,资金日记账!$G$4:$G$2503,$B67,资金日记账!$F$4:$F$2503,"成本-辅材")-SUMIFS(资金日记账!$J$4:$J$2503,资金日记账!$G$4:$G$2503,$B67,资金日记账!$F$4:$F$2503,"成本-辅材"),2))</f>
        <v/>
      </c>
      <c r="N67" s="19">
        <f>IF($B67="","",ROUND(SUMIFS(采购单!$L$4:$L$2003,采购单!$D$4:$D$2003,$B67,采购单!$F$4:$F$2003,"成本-人工")+SUMIFS(生产安装!$J$4:$J$1203,生产安装!$C$4:$C$1203,$B67,生产安装!$E$4:$E$1203,"成本-人工")+SUMIFS(资金日记账!$K$4:$K$2503,资金日记账!$G$4:$G$2503,$B67,资金日记账!$F$4:$F$2503,"成本-人工")-SUMIFS(资金日记账!$J$4:$J$2503,资金日记账!$G$4:$G$2503,$B67,资金日记账!$F$4:$F$2503,"成本-人工"),2))</f>
        <v/>
      </c>
      <c r="O67" s="19">
        <f>IF($B67="","",ROUND(SUMIFS(采购单!$L$4:$L$2003,采购单!$D$4:$D$2003,$B67,采购单!$F$4:$F$2003,"成本-车运")+SUMIFS(生产安装!$J$4:$J$1203,生产安装!$C$4:$C$1203,$B67,生产安装!$E$4:$E$1203,"成本-车运")+SUMIFS(资金日记账!$K$4:$K$2503,资金日记账!$G$4:$G$2503,$B67,资金日记账!$F$4:$F$2503,"成本-车运")-SUMIFS(资金日记账!$J$4:$J$2503,资金日记账!$G$4:$G$2503,$B67,资金日记账!$F$4:$F$2503,"成本-车运"),2))</f>
        <v/>
      </c>
      <c r="P67" s="19">
        <f>IF($B67="","",ROUND(SUMIFS(采购单!$L$4:$L$2003,采购单!$D$4:$D$2003,$B67,采购单!$F$4:$F$2003,"成本-其他")+SUMIFS(生产安装!$J$4:$J$1203,生产安装!$C$4:$C$1203,$B67,生产安装!$E$4:$E$1203,"成本-其他")+SUMIFS(资金日记账!$K$4:$K$2503,资金日记账!$G$4:$G$2503,$B67,资金日记账!$F$4:$F$2503,"成本-其他")-SUMIFS(资金日记账!$J$4:$J$2503,资金日记账!$G$4:$G$2503,$B67,资金日记账!$F$4:$F$2503,"成本-其他"),2))</f>
        <v/>
      </c>
      <c r="Q67" s="19">
        <f>IF($B67="","",ROUND(SUM($L67:$P67),2))</f>
        <v/>
      </c>
      <c r="R67" s="19">
        <f>IF($B67="","",ROUND($I67-$Q67,2))</f>
        <v/>
      </c>
      <c r="S67" s="33">
        <f>IF($B67="","",IF(ROUND($I67,2)=0,"",ROUND($R67/$I67,4)))</f>
        <v/>
      </c>
      <c r="T67" s="22">
        <f>IF($B67="","",IF($G67="",0,YEAR($G67)*100+MONTH($G67)))</f>
        <v/>
      </c>
      <c r="U67" s="17">
        <f>IF($B67="","",IF(项目台账!$R66="","",项目台账!$R66))</f>
        <v/>
      </c>
    </row>
    <row r="68">
      <c r="A68" s="17">
        <f>IF(项目台账!$B67="","",项目台账!$A67)</f>
        <v/>
      </c>
      <c r="B68" s="17">
        <f>IF(项目台账!$B67="","",项目台账!$B67)</f>
        <v/>
      </c>
      <c r="C68" s="17">
        <f>IF($B68="","",IF(项目台账!$C67="","",项目台账!$C67))</f>
        <v/>
      </c>
      <c r="D68" s="17">
        <f>IF($B68="","",IF(项目台账!$D67="","",项目台账!$D67))</f>
        <v/>
      </c>
      <c r="E68" s="17">
        <f>IF($B68="","",IF(项目台账!$E67="","",项目台账!$E67))</f>
        <v/>
      </c>
      <c r="F68" s="23">
        <f>IF($B68="","",IF(项目台账!$F67="","",项目台账!$F67))</f>
        <v/>
      </c>
      <c r="G68" s="23">
        <f>IF($B68="","",IF(项目台账!$J67="","",项目台账!$J67))</f>
        <v/>
      </c>
      <c r="H68" s="17">
        <f>IF($B68="","",IF(项目台账!$Q67="","",项目台账!$Q67))</f>
        <v/>
      </c>
      <c r="I68" s="19">
        <f>IF($B68="","",项目台账!$M67)</f>
        <v/>
      </c>
      <c r="J68" s="19">
        <f>IF($B68="","",项目台账!$O67)</f>
        <v/>
      </c>
      <c r="K68" s="19">
        <f>IF($B68="","",项目台账!$P67)</f>
        <v/>
      </c>
      <c r="L68" s="19">
        <f>IF($B68="","",ROUND(SUMIFS(采购单!$L$4:$L$2003,采购单!$D$4:$D$2003,$B68,采购单!$F$4:$F$2003,"成本-主材")+SUMIFS(生产安装!$J$4:$J$1203,生产安装!$C$4:$C$1203,$B68,生产安装!$E$4:$E$1203,"成本-主材")+SUMIFS(资金日记账!$K$4:$K$2503,资金日记账!$G$4:$G$2503,$B68,资金日记账!$F$4:$F$2503,"成本-主材")-SUMIFS(资金日记账!$J$4:$J$2503,资金日记账!$G$4:$G$2503,$B68,资金日记账!$F$4:$F$2503,"成本-主材"),2))</f>
        <v/>
      </c>
      <c r="M68" s="19">
        <f>IF($B68="","",ROUND(SUMIFS(采购单!$L$4:$L$2003,采购单!$D$4:$D$2003,$B68,采购单!$F$4:$F$2003,"成本-辅材")+SUMIFS(生产安装!$J$4:$J$1203,生产安装!$C$4:$C$1203,$B68,生产安装!$E$4:$E$1203,"成本-辅材")+SUMIFS(资金日记账!$K$4:$K$2503,资金日记账!$G$4:$G$2503,$B68,资金日记账!$F$4:$F$2503,"成本-辅材")-SUMIFS(资金日记账!$J$4:$J$2503,资金日记账!$G$4:$G$2503,$B68,资金日记账!$F$4:$F$2503,"成本-辅材"),2))</f>
        <v/>
      </c>
      <c r="N68" s="19">
        <f>IF($B68="","",ROUND(SUMIFS(采购单!$L$4:$L$2003,采购单!$D$4:$D$2003,$B68,采购单!$F$4:$F$2003,"成本-人工")+SUMIFS(生产安装!$J$4:$J$1203,生产安装!$C$4:$C$1203,$B68,生产安装!$E$4:$E$1203,"成本-人工")+SUMIFS(资金日记账!$K$4:$K$2503,资金日记账!$G$4:$G$2503,$B68,资金日记账!$F$4:$F$2503,"成本-人工")-SUMIFS(资金日记账!$J$4:$J$2503,资金日记账!$G$4:$G$2503,$B68,资金日记账!$F$4:$F$2503,"成本-人工"),2))</f>
        <v/>
      </c>
      <c r="O68" s="19">
        <f>IF($B68="","",ROUND(SUMIFS(采购单!$L$4:$L$2003,采购单!$D$4:$D$2003,$B68,采购单!$F$4:$F$2003,"成本-车运")+SUMIFS(生产安装!$J$4:$J$1203,生产安装!$C$4:$C$1203,$B68,生产安装!$E$4:$E$1203,"成本-车运")+SUMIFS(资金日记账!$K$4:$K$2503,资金日记账!$G$4:$G$2503,$B68,资金日记账!$F$4:$F$2503,"成本-车运")-SUMIFS(资金日记账!$J$4:$J$2503,资金日记账!$G$4:$G$2503,$B68,资金日记账!$F$4:$F$2503,"成本-车运"),2))</f>
        <v/>
      </c>
      <c r="P68" s="19">
        <f>IF($B68="","",ROUND(SUMIFS(采购单!$L$4:$L$2003,采购单!$D$4:$D$2003,$B68,采购单!$F$4:$F$2003,"成本-其他")+SUMIFS(生产安装!$J$4:$J$1203,生产安装!$C$4:$C$1203,$B68,生产安装!$E$4:$E$1203,"成本-其他")+SUMIFS(资金日记账!$K$4:$K$2503,资金日记账!$G$4:$G$2503,$B68,资金日记账!$F$4:$F$2503,"成本-其他")-SUMIFS(资金日记账!$J$4:$J$2503,资金日记账!$G$4:$G$2503,$B68,资金日记账!$F$4:$F$2503,"成本-其他"),2))</f>
        <v/>
      </c>
      <c r="Q68" s="19">
        <f>IF($B68="","",ROUND(SUM($L68:$P68),2))</f>
        <v/>
      </c>
      <c r="R68" s="19">
        <f>IF($B68="","",ROUND($I68-$Q68,2))</f>
        <v/>
      </c>
      <c r="S68" s="33">
        <f>IF($B68="","",IF(ROUND($I68,2)=0,"",ROUND($R68/$I68,4)))</f>
        <v/>
      </c>
      <c r="T68" s="22">
        <f>IF($B68="","",IF($G68="",0,YEAR($G68)*100+MONTH($G68)))</f>
        <v/>
      </c>
      <c r="U68" s="17">
        <f>IF($B68="","",IF(项目台账!$R67="","",项目台账!$R67))</f>
        <v/>
      </c>
    </row>
    <row r="69">
      <c r="A69" s="17">
        <f>IF(项目台账!$B68="","",项目台账!$A68)</f>
        <v/>
      </c>
      <c r="B69" s="17">
        <f>IF(项目台账!$B68="","",项目台账!$B68)</f>
        <v/>
      </c>
      <c r="C69" s="17">
        <f>IF($B69="","",IF(项目台账!$C68="","",项目台账!$C68))</f>
        <v/>
      </c>
      <c r="D69" s="17">
        <f>IF($B69="","",IF(项目台账!$D68="","",项目台账!$D68))</f>
        <v/>
      </c>
      <c r="E69" s="17">
        <f>IF($B69="","",IF(项目台账!$E68="","",项目台账!$E68))</f>
        <v/>
      </c>
      <c r="F69" s="23">
        <f>IF($B69="","",IF(项目台账!$F68="","",项目台账!$F68))</f>
        <v/>
      </c>
      <c r="G69" s="23">
        <f>IF($B69="","",IF(项目台账!$J68="","",项目台账!$J68))</f>
        <v/>
      </c>
      <c r="H69" s="17">
        <f>IF($B69="","",IF(项目台账!$Q68="","",项目台账!$Q68))</f>
        <v/>
      </c>
      <c r="I69" s="19">
        <f>IF($B69="","",项目台账!$M68)</f>
        <v/>
      </c>
      <c r="J69" s="19">
        <f>IF($B69="","",项目台账!$O68)</f>
        <v/>
      </c>
      <c r="K69" s="19">
        <f>IF($B69="","",项目台账!$P68)</f>
        <v/>
      </c>
      <c r="L69" s="19">
        <f>IF($B69="","",ROUND(SUMIFS(采购单!$L$4:$L$2003,采购单!$D$4:$D$2003,$B69,采购单!$F$4:$F$2003,"成本-主材")+SUMIFS(生产安装!$J$4:$J$1203,生产安装!$C$4:$C$1203,$B69,生产安装!$E$4:$E$1203,"成本-主材")+SUMIFS(资金日记账!$K$4:$K$2503,资金日记账!$G$4:$G$2503,$B69,资金日记账!$F$4:$F$2503,"成本-主材")-SUMIFS(资金日记账!$J$4:$J$2503,资金日记账!$G$4:$G$2503,$B69,资金日记账!$F$4:$F$2503,"成本-主材"),2))</f>
        <v/>
      </c>
      <c r="M69" s="19">
        <f>IF($B69="","",ROUND(SUMIFS(采购单!$L$4:$L$2003,采购单!$D$4:$D$2003,$B69,采购单!$F$4:$F$2003,"成本-辅材")+SUMIFS(生产安装!$J$4:$J$1203,生产安装!$C$4:$C$1203,$B69,生产安装!$E$4:$E$1203,"成本-辅材")+SUMIFS(资金日记账!$K$4:$K$2503,资金日记账!$G$4:$G$2503,$B69,资金日记账!$F$4:$F$2503,"成本-辅材")-SUMIFS(资金日记账!$J$4:$J$2503,资金日记账!$G$4:$G$2503,$B69,资金日记账!$F$4:$F$2503,"成本-辅材"),2))</f>
        <v/>
      </c>
      <c r="N69" s="19">
        <f>IF($B69="","",ROUND(SUMIFS(采购单!$L$4:$L$2003,采购单!$D$4:$D$2003,$B69,采购单!$F$4:$F$2003,"成本-人工")+SUMIFS(生产安装!$J$4:$J$1203,生产安装!$C$4:$C$1203,$B69,生产安装!$E$4:$E$1203,"成本-人工")+SUMIFS(资金日记账!$K$4:$K$2503,资金日记账!$G$4:$G$2503,$B69,资金日记账!$F$4:$F$2503,"成本-人工")-SUMIFS(资金日记账!$J$4:$J$2503,资金日记账!$G$4:$G$2503,$B69,资金日记账!$F$4:$F$2503,"成本-人工"),2))</f>
        <v/>
      </c>
      <c r="O69" s="19">
        <f>IF($B69="","",ROUND(SUMIFS(采购单!$L$4:$L$2003,采购单!$D$4:$D$2003,$B69,采购单!$F$4:$F$2003,"成本-车运")+SUMIFS(生产安装!$J$4:$J$1203,生产安装!$C$4:$C$1203,$B69,生产安装!$E$4:$E$1203,"成本-车运")+SUMIFS(资金日记账!$K$4:$K$2503,资金日记账!$G$4:$G$2503,$B69,资金日记账!$F$4:$F$2503,"成本-车运")-SUMIFS(资金日记账!$J$4:$J$2503,资金日记账!$G$4:$G$2503,$B69,资金日记账!$F$4:$F$2503,"成本-车运"),2))</f>
        <v/>
      </c>
      <c r="P69" s="19">
        <f>IF($B69="","",ROUND(SUMIFS(采购单!$L$4:$L$2003,采购单!$D$4:$D$2003,$B69,采购单!$F$4:$F$2003,"成本-其他")+SUMIFS(生产安装!$J$4:$J$1203,生产安装!$C$4:$C$1203,$B69,生产安装!$E$4:$E$1203,"成本-其他")+SUMIFS(资金日记账!$K$4:$K$2503,资金日记账!$G$4:$G$2503,$B69,资金日记账!$F$4:$F$2503,"成本-其他")-SUMIFS(资金日记账!$J$4:$J$2503,资金日记账!$G$4:$G$2503,$B69,资金日记账!$F$4:$F$2503,"成本-其他"),2))</f>
        <v/>
      </c>
      <c r="Q69" s="19">
        <f>IF($B69="","",ROUND(SUM($L69:$P69),2))</f>
        <v/>
      </c>
      <c r="R69" s="19">
        <f>IF($B69="","",ROUND($I69-$Q69,2))</f>
        <v/>
      </c>
      <c r="S69" s="33">
        <f>IF($B69="","",IF(ROUND($I69,2)=0,"",ROUND($R69/$I69,4)))</f>
        <v/>
      </c>
      <c r="T69" s="22">
        <f>IF($B69="","",IF($G69="",0,YEAR($G69)*100+MONTH($G69)))</f>
        <v/>
      </c>
      <c r="U69" s="17">
        <f>IF($B69="","",IF(项目台账!$R68="","",项目台账!$R68))</f>
        <v/>
      </c>
    </row>
    <row r="70">
      <c r="A70" s="17">
        <f>IF(项目台账!$B69="","",项目台账!$A69)</f>
        <v/>
      </c>
      <c r="B70" s="17">
        <f>IF(项目台账!$B69="","",项目台账!$B69)</f>
        <v/>
      </c>
      <c r="C70" s="17">
        <f>IF($B70="","",IF(项目台账!$C69="","",项目台账!$C69))</f>
        <v/>
      </c>
      <c r="D70" s="17">
        <f>IF($B70="","",IF(项目台账!$D69="","",项目台账!$D69))</f>
        <v/>
      </c>
      <c r="E70" s="17">
        <f>IF($B70="","",IF(项目台账!$E69="","",项目台账!$E69))</f>
        <v/>
      </c>
      <c r="F70" s="23">
        <f>IF($B70="","",IF(项目台账!$F69="","",项目台账!$F69))</f>
        <v/>
      </c>
      <c r="G70" s="23">
        <f>IF($B70="","",IF(项目台账!$J69="","",项目台账!$J69))</f>
        <v/>
      </c>
      <c r="H70" s="17">
        <f>IF($B70="","",IF(项目台账!$Q69="","",项目台账!$Q69))</f>
        <v/>
      </c>
      <c r="I70" s="19">
        <f>IF($B70="","",项目台账!$M69)</f>
        <v/>
      </c>
      <c r="J70" s="19">
        <f>IF($B70="","",项目台账!$O69)</f>
        <v/>
      </c>
      <c r="K70" s="19">
        <f>IF($B70="","",项目台账!$P69)</f>
        <v/>
      </c>
      <c r="L70" s="19">
        <f>IF($B70="","",ROUND(SUMIFS(采购单!$L$4:$L$2003,采购单!$D$4:$D$2003,$B70,采购单!$F$4:$F$2003,"成本-主材")+SUMIFS(生产安装!$J$4:$J$1203,生产安装!$C$4:$C$1203,$B70,生产安装!$E$4:$E$1203,"成本-主材")+SUMIFS(资金日记账!$K$4:$K$2503,资金日记账!$G$4:$G$2503,$B70,资金日记账!$F$4:$F$2503,"成本-主材")-SUMIFS(资金日记账!$J$4:$J$2503,资金日记账!$G$4:$G$2503,$B70,资金日记账!$F$4:$F$2503,"成本-主材"),2))</f>
        <v/>
      </c>
      <c r="M70" s="19">
        <f>IF($B70="","",ROUND(SUMIFS(采购单!$L$4:$L$2003,采购单!$D$4:$D$2003,$B70,采购单!$F$4:$F$2003,"成本-辅材")+SUMIFS(生产安装!$J$4:$J$1203,生产安装!$C$4:$C$1203,$B70,生产安装!$E$4:$E$1203,"成本-辅材")+SUMIFS(资金日记账!$K$4:$K$2503,资金日记账!$G$4:$G$2503,$B70,资金日记账!$F$4:$F$2503,"成本-辅材")-SUMIFS(资金日记账!$J$4:$J$2503,资金日记账!$G$4:$G$2503,$B70,资金日记账!$F$4:$F$2503,"成本-辅材"),2))</f>
        <v/>
      </c>
      <c r="N70" s="19">
        <f>IF($B70="","",ROUND(SUMIFS(采购单!$L$4:$L$2003,采购单!$D$4:$D$2003,$B70,采购单!$F$4:$F$2003,"成本-人工")+SUMIFS(生产安装!$J$4:$J$1203,生产安装!$C$4:$C$1203,$B70,生产安装!$E$4:$E$1203,"成本-人工")+SUMIFS(资金日记账!$K$4:$K$2503,资金日记账!$G$4:$G$2503,$B70,资金日记账!$F$4:$F$2503,"成本-人工")-SUMIFS(资金日记账!$J$4:$J$2503,资金日记账!$G$4:$G$2503,$B70,资金日记账!$F$4:$F$2503,"成本-人工"),2))</f>
        <v/>
      </c>
      <c r="O70" s="19">
        <f>IF($B70="","",ROUND(SUMIFS(采购单!$L$4:$L$2003,采购单!$D$4:$D$2003,$B70,采购单!$F$4:$F$2003,"成本-车运")+SUMIFS(生产安装!$J$4:$J$1203,生产安装!$C$4:$C$1203,$B70,生产安装!$E$4:$E$1203,"成本-车运")+SUMIFS(资金日记账!$K$4:$K$2503,资金日记账!$G$4:$G$2503,$B70,资金日记账!$F$4:$F$2503,"成本-车运")-SUMIFS(资金日记账!$J$4:$J$2503,资金日记账!$G$4:$G$2503,$B70,资金日记账!$F$4:$F$2503,"成本-车运"),2))</f>
        <v/>
      </c>
      <c r="P70" s="19">
        <f>IF($B70="","",ROUND(SUMIFS(采购单!$L$4:$L$2003,采购单!$D$4:$D$2003,$B70,采购单!$F$4:$F$2003,"成本-其他")+SUMIFS(生产安装!$J$4:$J$1203,生产安装!$C$4:$C$1203,$B70,生产安装!$E$4:$E$1203,"成本-其他")+SUMIFS(资金日记账!$K$4:$K$2503,资金日记账!$G$4:$G$2503,$B70,资金日记账!$F$4:$F$2503,"成本-其他")-SUMIFS(资金日记账!$J$4:$J$2503,资金日记账!$G$4:$G$2503,$B70,资金日记账!$F$4:$F$2503,"成本-其他"),2))</f>
        <v/>
      </c>
      <c r="Q70" s="19">
        <f>IF($B70="","",ROUND(SUM($L70:$P70),2))</f>
        <v/>
      </c>
      <c r="R70" s="19">
        <f>IF($B70="","",ROUND($I70-$Q70,2))</f>
        <v/>
      </c>
      <c r="S70" s="33">
        <f>IF($B70="","",IF(ROUND($I70,2)=0,"",ROUND($R70/$I70,4)))</f>
        <v/>
      </c>
      <c r="T70" s="22">
        <f>IF($B70="","",IF($G70="",0,YEAR($G70)*100+MONTH($G70)))</f>
        <v/>
      </c>
      <c r="U70" s="17">
        <f>IF($B70="","",IF(项目台账!$R69="","",项目台账!$R69))</f>
        <v/>
      </c>
    </row>
    <row r="71">
      <c r="A71" s="17">
        <f>IF(项目台账!$B70="","",项目台账!$A70)</f>
        <v/>
      </c>
      <c r="B71" s="17">
        <f>IF(项目台账!$B70="","",项目台账!$B70)</f>
        <v/>
      </c>
      <c r="C71" s="17">
        <f>IF($B71="","",IF(项目台账!$C70="","",项目台账!$C70))</f>
        <v/>
      </c>
      <c r="D71" s="17">
        <f>IF($B71="","",IF(项目台账!$D70="","",项目台账!$D70))</f>
        <v/>
      </c>
      <c r="E71" s="17">
        <f>IF($B71="","",IF(项目台账!$E70="","",项目台账!$E70))</f>
        <v/>
      </c>
      <c r="F71" s="23">
        <f>IF($B71="","",IF(项目台账!$F70="","",项目台账!$F70))</f>
        <v/>
      </c>
      <c r="G71" s="23">
        <f>IF($B71="","",IF(项目台账!$J70="","",项目台账!$J70))</f>
        <v/>
      </c>
      <c r="H71" s="17">
        <f>IF($B71="","",IF(项目台账!$Q70="","",项目台账!$Q70))</f>
        <v/>
      </c>
      <c r="I71" s="19">
        <f>IF($B71="","",项目台账!$M70)</f>
        <v/>
      </c>
      <c r="J71" s="19">
        <f>IF($B71="","",项目台账!$O70)</f>
        <v/>
      </c>
      <c r="K71" s="19">
        <f>IF($B71="","",项目台账!$P70)</f>
        <v/>
      </c>
      <c r="L71" s="19">
        <f>IF($B71="","",ROUND(SUMIFS(采购单!$L$4:$L$2003,采购单!$D$4:$D$2003,$B71,采购单!$F$4:$F$2003,"成本-主材")+SUMIFS(生产安装!$J$4:$J$1203,生产安装!$C$4:$C$1203,$B71,生产安装!$E$4:$E$1203,"成本-主材")+SUMIFS(资金日记账!$K$4:$K$2503,资金日记账!$G$4:$G$2503,$B71,资金日记账!$F$4:$F$2503,"成本-主材")-SUMIFS(资金日记账!$J$4:$J$2503,资金日记账!$G$4:$G$2503,$B71,资金日记账!$F$4:$F$2503,"成本-主材"),2))</f>
        <v/>
      </c>
      <c r="M71" s="19">
        <f>IF($B71="","",ROUND(SUMIFS(采购单!$L$4:$L$2003,采购单!$D$4:$D$2003,$B71,采购单!$F$4:$F$2003,"成本-辅材")+SUMIFS(生产安装!$J$4:$J$1203,生产安装!$C$4:$C$1203,$B71,生产安装!$E$4:$E$1203,"成本-辅材")+SUMIFS(资金日记账!$K$4:$K$2503,资金日记账!$G$4:$G$2503,$B71,资金日记账!$F$4:$F$2503,"成本-辅材")-SUMIFS(资金日记账!$J$4:$J$2503,资金日记账!$G$4:$G$2503,$B71,资金日记账!$F$4:$F$2503,"成本-辅材"),2))</f>
        <v/>
      </c>
      <c r="N71" s="19">
        <f>IF($B71="","",ROUND(SUMIFS(采购单!$L$4:$L$2003,采购单!$D$4:$D$2003,$B71,采购单!$F$4:$F$2003,"成本-人工")+SUMIFS(生产安装!$J$4:$J$1203,生产安装!$C$4:$C$1203,$B71,生产安装!$E$4:$E$1203,"成本-人工")+SUMIFS(资金日记账!$K$4:$K$2503,资金日记账!$G$4:$G$2503,$B71,资金日记账!$F$4:$F$2503,"成本-人工")-SUMIFS(资金日记账!$J$4:$J$2503,资金日记账!$G$4:$G$2503,$B71,资金日记账!$F$4:$F$2503,"成本-人工"),2))</f>
        <v/>
      </c>
      <c r="O71" s="19">
        <f>IF($B71="","",ROUND(SUMIFS(采购单!$L$4:$L$2003,采购单!$D$4:$D$2003,$B71,采购单!$F$4:$F$2003,"成本-车运")+SUMIFS(生产安装!$J$4:$J$1203,生产安装!$C$4:$C$1203,$B71,生产安装!$E$4:$E$1203,"成本-车运")+SUMIFS(资金日记账!$K$4:$K$2503,资金日记账!$G$4:$G$2503,$B71,资金日记账!$F$4:$F$2503,"成本-车运")-SUMIFS(资金日记账!$J$4:$J$2503,资金日记账!$G$4:$G$2503,$B71,资金日记账!$F$4:$F$2503,"成本-车运"),2))</f>
        <v/>
      </c>
      <c r="P71" s="19">
        <f>IF($B71="","",ROUND(SUMIFS(采购单!$L$4:$L$2003,采购单!$D$4:$D$2003,$B71,采购单!$F$4:$F$2003,"成本-其他")+SUMIFS(生产安装!$J$4:$J$1203,生产安装!$C$4:$C$1203,$B71,生产安装!$E$4:$E$1203,"成本-其他")+SUMIFS(资金日记账!$K$4:$K$2503,资金日记账!$G$4:$G$2503,$B71,资金日记账!$F$4:$F$2503,"成本-其他")-SUMIFS(资金日记账!$J$4:$J$2503,资金日记账!$G$4:$G$2503,$B71,资金日记账!$F$4:$F$2503,"成本-其他"),2))</f>
        <v/>
      </c>
      <c r="Q71" s="19">
        <f>IF($B71="","",ROUND(SUM($L71:$P71),2))</f>
        <v/>
      </c>
      <c r="R71" s="19">
        <f>IF($B71="","",ROUND($I71-$Q71,2))</f>
        <v/>
      </c>
      <c r="S71" s="33">
        <f>IF($B71="","",IF(ROUND($I71,2)=0,"",ROUND($R71/$I71,4)))</f>
        <v/>
      </c>
      <c r="T71" s="22">
        <f>IF($B71="","",IF($G71="",0,YEAR($G71)*100+MONTH($G71)))</f>
        <v/>
      </c>
      <c r="U71" s="17">
        <f>IF($B71="","",IF(项目台账!$R70="","",项目台账!$R70))</f>
        <v/>
      </c>
    </row>
    <row r="72">
      <c r="A72" s="17">
        <f>IF(项目台账!$B71="","",项目台账!$A71)</f>
        <v/>
      </c>
      <c r="B72" s="17">
        <f>IF(项目台账!$B71="","",项目台账!$B71)</f>
        <v/>
      </c>
      <c r="C72" s="17">
        <f>IF($B72="","",IF(项目台账!$C71="","",项目台账!$C71))</f>
        <v/>
      </c>
      <c r="D72" s="17">
        <f>IF($B72="","",IF(项目台账!$D71="","",项目台账!$D71))</f>
        <v/>
      </c>
      <c r="E72" s="17">
        <f>IF($B72="","",IF(项目台账!$E71="","",项目台账!$E71))</f>
        <v/>
      </c>
      <c r="F72" s="23">
        <f>IF($B72="","",IF(项目台账!$F71="","",项目台账!$F71))</f>
        <v/>
      </c>
      <c r="G72" s="23">
        <f>IF($B72="","",IF(项目台账!$J71="","",项目台账!$J71))</f>
        <v/>
      </c>
      <c r="H72" s="17">
        <f>IF($B72="","",IF(项目台账!$Q71="","",项目台账!$Q71))</f>
        <v/>
      </c>
      <c r="I72" s="19">
        <f>IF($B72="","",项目台账!$M71)</f>
        <v/>
      </c>
      <c r="J72" s="19">
        <f>IF($B72="","",项目台账!$O71)</f>
        <v/>
      </c>
      <c r="K72" s="19">
        <f>IF($B72="","",项目台账!$P71)</f>
        <v/>
      </c>
      <c r="L72" s="19">
        <f>IF($B72="","",ROUND(SUMIFS(采购单!$L$4:$L$2003,采购单!$D$4:$D$2003,$B72,采购单!$F$4:$F$2003,"成本-主材")+SUMIFS(生产安装!$J$4:$J$1203,生产安装!$C$4:$C$1203,$B72,生产安装!$E$4:$E$1203,"成本-主材")+SUMIFS(资金日记账!$K$4:$K$2503,资金日记账!$G$4:$G$2503,$B72,资金日记账!$F$4:$F$2503,"成本-主材")-SUMIFS(资金日记账!$J$4:$J$2503,资金日记账!$G$4:$G$2503,$B72,资金日记账!$F$4:$F$2503,"成本-主材"),2))</f>
        <v/>
      </c>
      <c r="M72" s="19">
        <f>IF($B72="","",ROUND(SUMIFS(采购单!$L$4:$L$2003,采购单!$D$4:$D$2003,$B72,采购单!$F$4:$F$2003,"成本-辅材")+SUMIFS(生产安装!$J$4:$J$1203,生产安装!$C$4:$C$1203,$B72,生产安装!$E$4:$E$1203,"成本-辅材")+SUMIFS(资金日记账!$K$4:$K$2503,资金日记账!$G$4:$G$2503,$B72,资金日记账!$F$4:$F$2503,"成本-辅材")-SUMIFS(资金日记账!$J$4:$J$2503,资金日记账!$G$4:$G$2503,$B72,资金日记账!$F$4:$F$2503,"成本-辅材"),2))</f>
        <v/>
      </c>
      <c r="N72" s="19">
        <f>IF($B72="","",ROUND(SUMIFS(采购单!$L$4:$L$2003,采购单!$D$4:$D$2003,$B72,采购单!$F$4:$F$2003,"成本-人工")+SUMIFS(生产安装!$J$4:$J$1203,生产安装!$C$4:$C$1203,$B72,生产安装!$E$4:$E$1203,"成本-人工")+SUMIFS(资金日记账!$K$4:$K$2503,资金日记账!$G$4:$G$2503,$B72,资金日记账!$F$4:$F$2503,"成本-人工")-SUMIFS(资金日记账!$J$4:$J$2503,资金日记账!$G$4:$G$2503,$B72,资金日记账!$F$4:$F$2503,"成本-人工"),2))</f>
        <v/>
      </c>
      <c r="O72" s="19">
        <f>IF($B72="","",ROUND(SUMIFS(采购单!$L$4:$L$2003,采购单!$D$4:$D$2003,$B72,采购单!$F$4:$F$2003,"成本-车运")+SUMIFS(生产安装!$J$4:$J$1203,生产安装!$C$4:$C$1203,$B72,生产安装!$E$4:$E$1203,"成本-车运")+SUMIFS(资金日记账!$K$4:$K$2503,资金日记账!$G$4:$G$2503,$B72,资金日记账!$F$4:$F$2503,"成本-车运")-SUMIFS(资金日记账!$J$4:$J$2503,资金日记账!$G$4:$G$2503,$B72,资金日记账!$F$4:$F$2503,"成本-车运"),2))</f>
        <v/>
      </c>
      <c r="P72" s="19">
        <f>IF($B72="","",ROUND(SUMIFS(采购单!$L$4:$L$2003,采购单!$D$4:$D$2003,$B72,采购单!$F$4:$F$2003,"成本-其他")+SUMIFS(生产安装!$J$4:$J$1203,生产安装!$C$4:$C$1203,$B72,生产安装!$E$4:$E$1203,"成本-其他")+SUMIFS(资金日记账!$K$4:$K$2503,资金日记账!$G$4:$G$2503,$B72,资金日记账!$F$4:$F$2503,"成本-其他")-SUMIFS(资金日记账!$J$4:$J$2503,资金日记账!$G$4:$G$2503,$B72,资金日记账!$F$4:$F$2503,"成本-其他"),2))</f>
        <v/>
      </c>
      <c r="Q72" s="19">
        <f>IF($B72="","",ROUND(SUM($L72:$P72),2))</f>
        <v/>
      </c>
      <c r="R72" s="19">
        <f>IF($B72="","",ROUND($I72-$Q72,2))</f>
        <v/>
      </c>
      <c r="S72" s="33">
        <f>IF($B72="","",IF(ROUND($I72,2)=0,"",ROUND($R72/$I72,4)))</f>
        <v/>
      </c>
      <c r="T72" s="22">
        <f>IF($B72="","",IF($G72="",0,YEAR($G72)*100+MONTH($G72)))</f>
        <v/>
      </c>
      <c r="U72" s="17">
        <f>IF($B72="","",IF(项目台账!$R71="","",项目台账!$R71))</f>
        <v/>
      </c>
    </row>
    <row r="73">
      <c r="A73" s="17">
        <f>IF(项目台账!$B72="","",项目台账!$A72)</f>
        <v/>
      </c>
      <c r="B73" s="17">
        <f>IF(项目台账!$B72="","",项目台账!$B72)</f>
        <v/>
      </c>
      <c r="C73" s="17">
        <f>IF($B73="","",IF(项目台账!$C72="","",项目台账!$C72))</f>
        <v/>
      </c>
      <c r="D73" s="17">
        <f>IF($B73="","",IF(项目台账!$D72="","",项目台账!$D72))</f>
        <v/>
      </c>
      <c r="E73" s="17">
        <f>IF($B73="","",IF(项目台账!$E72="","",项目台账!$E72))</f>
        <v/>
      </c>
      <c r="F73" s="23">
        <f>IF($B73="","",IF(项目台账!$F72="","",项目台账!$F72))</f>
        <v/>
      </c>
      <c r="G73" s="23">
        <f>IF($B73="","",IF(项目台账!$J72="","",项目台账!$J72))</f>
        <v/>
      </c>
      <c r="H73" s="17">
        <f>IF($B73="","",IF(项目台账!$Q72="","",项目台账!$Q72))</f>
        <v/>
      </c>
      <c r="I73" s="19">
        <f>IF($B73="","",项目台账!$M72)</f>
        <v/>
      </c>
      <c r="J73" s="19">
        <f>IF($B73="","",项目台账!$O72)</f>
        <v/>
      </c>
      <c r="K73" s="19">
        <f>IF($B73="","",项目台账!$P72)</f>
        <v/>
      </c>
      <c r="L73" s="19">
        <f>IF($B73="","",ROUND(SUMIFS(采购单!$L$4:$L$2003,采购单!$D$4:$D$2003,$B73,采购单!$F$4:$F$2003,"成本-主材")+SUMIFS(生产安装!$J$4:$J$1203,生产安装!$C$4:$C$1203,$B73,生产安装!$E$4:$E$1203,"成本-主材")+SUMIFS(资金日记账!$K$4:$K$2503,资金日记账!$G$4:$G$2503,$B73,资金日记账!$F$4:$F$2503,"成本-主材")-SUMIFS(资金日记账!$J$4:$J$2503,资金日记账!$G$4:$G$2503,$B73,资金日记账!$F$4:$F$2503,"成本-主材"),2))</f>
        <v/>
      </c>
      <c r="M73" s="19">
        <f>IF($B73="","",ROUND(SUMIFS(采购单!$L$4:$L$2003,采购单!$D$4:$D$2003,$B73,采购单!$F$4:$F$2003,"成本-辅材")+SUMIFS(生产安装!$J$4:$J$1203,生产安装!$C$4:$C$1203,$B73,生产安装!$E$4:$E$1203,"成本-辅材")+SUMIFS(资金日记账!$K$4:$K$2503,资金日记账!$G$4:$G$2503,$B73,资金日记账!$F$4:$F$2503,"成本-辅材")-SUMIFS(资金日记账!$J$4:$J$2503,资金日记账!$G$4:$G$2503,$B73,资金日记账!$F$4:$F$2503,"成本-辅材"),2))</f>
        <v/>
      </c>
      <c r="N73" s="19">
        <f>IF($B73="","",ROUND(SUMIFS(采购单!$L$4:$L$2003,采购单!$D$4:$D$2003,$B73,采购单!$F$4:$F$2003,"成本-人工")+SUMIFS(生产安装!$J$4:$J$1203,生产安装!$C$4:$C$1203,$B73,生产安装!$E$4:$E$1203,"成本-人工")+SUMIFS(资金日记账!$K$4:$K$2503,资金日记账!$G$4:$G$2503,$B73,资金日记账!$F$4:$F$2503,"成本-人工")-SUMIFS(资金日记账!$J$4:$J$2503,资金日记账!$G$4:$G$2503,$B73,资金日记账!$F$4:$F$2503,"成本-人工"),2))</f>
        <v/>
      </c>
      <c r="O73" s="19">
        <f>IF($B73="","",ROUND(SUMIFS(采购单!$L$4:$L$2003,采购单!$D$4:$D$2003,$B73,采购单!$F$4:$F$2003,"成本-车运")+SUMIFS(生产安装!$J$4:$J$1203,生产安装!$C$4:$C$1203,$B73,生产安装!$E$4:$E$1203,"成本-车运")+SUMIFS(资金日记账!$K$4:$K$2503,资金日记账!$G$4:$G$2503,$B73,资金日记账!$F$4:$F$2503,"成本-车运")-SUMIFS(资金日记账!$J$4:$J$2503,资金日记账!$G$4:$G$2503,$B73,资金日记账!$F$4:$F$2503,"成本-车运"),2))</f>
        <v/>
      </c>
      <c r="P73" s="19">
        <f>IF($B73="","",ROUND(SUMIFS(采购单!$L$4:$L$2003,采购单!$D$4:$D$2003,$B73,采购单!$F$4:$F$2003,"成本-其他")+SUMIFS(生产安装!$J$4:$J$1203,生产安装!$C$4:$C$1203,$B73,生产安装!$E$4:$E$1203,"成本-其他")+SUMIFS(资金日记账!$K$4:$K$2503,资金日记账!$G$4:$G$2503,$B73,资金日记账!$F$4:$F$2503,"成本-其他")-SUMIFS(资金日记账!$J$4:$J$2503,资金日记账!$G$4:$G$2503,$B73,资金日记账!$F$4:$F$2503,"成本-其他"),2))</f>
        <v/>
      </c>
      <c r="Q73" s="19">
        <f>IF($B73="","",ROUND(SUM($L73:$P73),2))</f>
        <v/>
      </c>
      <c r="R73" s="19">
        <f>IF($B73="","",ROUND($I73-$Q73,2))</f>
        <v/>
      </c>
      <c r="S73" s="33">
        <f>IF($B73="","",IF(ROUND($I73,2)=0,"",ROUND($R73/$I73,4)))</f>
        <v/>
      </c>
      <c r="T73" s="22">
        <f>IF($B73="","",IF($G73="",0,YEAR($G73)*100+MONTH($G73)))</f>
        <v/>
      </c>
      <c r="U73" s="17">
        <f>IF($B73="","",IF(项目台账!$R72="","",项目台账!$R72))</f>
        <v/>
      </c>
    </row>
    <row r="74">
      <c r="A74" s="17">
        <f>IF(项目台账!$B73="","",项目台账!$A73)</f>
        <v/>
      </c>
      <c r="B74" s="17">
        <f>IF(项目台账!$B73="","",项目台账!$B73)</f>
        <v/>
      </c>
      <c r="C74" s="17">
        <f>IF($B74="","",IF(项目台账!$C73="","",项目台账!$C73))</f>
        <v/>
      </c>
      <c r="D74" s="17">
        <f>IF($B74="","",IF(项目台账!$D73="","",项目台账!$D73))</f>
        <v/>
      </c>
      <c r="E74" s="17">
        <f>IF($B74="","",IF(项目台账!$E73="","",项目台账!$E73))</f>
        <v/>
      </c>
      <c r="F74" s="23">
        <f>IF($B74="","",IF(项目台账!$F73="","",项目台账!$F73))</f>
        <v/>
      </c>
      <c r="G74" s="23">
        <f>IF($B74="","",IF(项目台账!$J73="","",项目台账!$J73))</f>
        <v/>
      </c>
      <c r="H74" s="17">
        <f>IF($B74="","",IF(项目台账!$Q73="","",项目台账!$Q73))</f>
        <v/>
      </c>
      <c r="I74" s="19">
        <f>IF($B74="","",项目台账!$M73)</f>
        <v/>
      </c>
      <c r="J74" s="19">
        <f>IF($B74="","",项目台账!$O73)</f>
        <v/>
      </c>
      <c r="K74" s="19">
        <f>IF($B74="","",项目台账!$P73)</f>
        <v/>
      </c>
      <c r="L74" s="19">
        <f>IF($B74="","",ROUND(SUMIFS(采购单!$L$4:$L$2003,采购单!$D$4:$D$2003,$B74,采购单!$F$4:$F$2003,"成本-主材")+SUMIFS(生产安装!$J$4:$J$1203,生产安装!$C$4:$C$1203,$B74,生产安装!$E$4:$E$1203,"成本-主材")+SUMIFS(资金日记账!$K$4:$K$2503,资金日记账!$G$4:$G$2503,$B74,资金日记账!$F$4:$F$2503,"成本-主材")-SUMIFS(资金日记账!$J$4:$J$2503,资金日记账!$G$4:$G$2503,$B74,资金日记账!$F$4:$F$2503,"成本-主材"),2))</f>
        <v/>
      </c>
      <c r="M74" s="19">
        <f>IF($B74="","",ROUND(SUMIFS(采购单!$L$4:$L$2003,采购单!$D$4:$D$2003,$B74,采购单!$F$4:$F$2003,"成本-辅材")+SUMIFS(生产安装!$J$4:$J$1203,生产安装!$C$4:$C$1203,$B74,生产安装!$E$4:$E$1203,"成本-辅材")+SUMIFS(资金日记账!$K$4:$K$2503,资金日记账!$G$4:$G$2503,$B74,资金日记账!$F$4:$F$2503,"成本-辅材")-SUMIFS(资金日记账!$J$4:$J$2503,资金日记账!$G$4:$G$2503,$B74,资金日记账!$F$4:$F$2503,"成本-辅材"),2))</f>
        <v/>
      </c>
      <c r="N74" s="19">
        <f>IF($B74="","",ROUND(SUMIFS(采购单!$L$4:$L$2003,采购单!$D$4:$D$2003,$B74,采购单!$F$4:$F$2003,"成本-人工")+SUMIFS(生产安装!$J$4:$J$1203,生产安装!$C$4:$C$1203,$B74,生产安装!$E$4:$E$1203,"成本-人工")+SUMIFS(资金日记账!$K$4:$K$2503,资金日记账!$G$4:$G$2503,$B74,资金日记账!$F$4:$F$2503,"成本-人工")-SUMIFS(资金日记账!$J$4:$J$2503,资金日记账!$G$4:$G$2503,$B74,资金日记账!$F$4:$F$2503,"成本-人工"),2))</f>
        <v/>
      </c>
      <c r="O74" s="19">
        <f>IF($B74="","",ROUND(SUMIFS(采购单!$L$4:$L$2003,采购单!$D$4:$D$2003,$B74,采购单!$F$4:$F$2003,"成本-车运")+SUMIFS(生产安装!$J$4:$J$1203,生产安装!$C$4:$C$1203,$B74,生产安装!$E$4:$E$1203,"成本-车运")+SUMIFS(资金日记账!$K$4:$K$2503,资金日记账!$G$4:$G$2503,$B74,资金日记账!$F$4:$F$2503,"成本-车运")-SUMIFS(资金日记账!$J$4:$J$2503,资金日记账!$G$4:$G$2503,$B74,资金日记账!$F$4:$F$2503,"成本-车运"),2))</f>
        <v/>
      </c>
      <c r="P74" s="19">
        <f>IF($B74="","",ROUND(SUMIFS(采购单!$L$4:$L$2003,采购单!$D$4:$D$2003,$B74,采购单!$F$4:$F$2003,"成本-其他")+SUMIFS(生产安装!$J$4:$J$1203,生产安装!$C$4:$C$1203,$B74,生产安装!$E$4:$E$1203,"成本-其他")+SUMIFS(资金日记账!$K$4:$K$2503,资金日记账!$G$4:$G$2503,$B74,资金日记账!$F$4:$F$2503,"成本-其他")-SUMIFS(资金日记账!$J$4:$J$2503,资金日记账!$G$4:$G$2503,$B74,资金日记账!$F$4:$F$2503,"成本-其他"),2))</f>
        <v/>
      </c>
      <c r="Q74" s="19">
        <f>IF($B74="","",ROUND(SUM($L74:$P74),2))</f>
        <v/>
      </c>
      <c r="R74" s="19">
        <f>IF($B74="","",ROUND($I74-$Q74,2))</f>
        <v/>
      </c>
      <c r="S74" s="33">
        <f>IF($B74="","",IF(ROUND($I74,2)=0,"",ROUND($R74/$I74,4)))</f>
        <v/>
      </c>
      <c r="T74" s="22">
        <f>IF($B74="","",IF($G74="",0,YEAR($G74)*100+MONTH($G74)))</f>
        <v/>
      </c>
      <c r="U74" s="17">
        <f>IF($B74="","",IF(项目台账!$R73="","",项目台账!$R73))</f>
        <v/>
      </c>
    </row>
    <row r="75">
      <c r="A75" s="17">
        <f>IF(项目台账!$B74="","",项目台账!$A74)</f>
        <v/>
      </c>
      <c r="B75" s="17">
        <f>IF(项目台账!$B74="","",项目台账!$B74)</f>
        <v/>
      </c>
      <c r="C75" s="17">
        <f>IF($B75="","",IF(项目台账!$C74="","",项目台账!$C74))</f>
        <v/>
      </c>
      <c r="D75" s="17">
        <f>IF($B75="","",IF(项目台账!$D74="","",项目台账!$D74))</f>
        <v/>
      </c>
      <c r="E75" s="17">
        <f>IF($B75="","",IF(项目台账!$E74="","",项目台账!$E74))</f>
        <v/>
      </c>
      <c r="F75" s="23">
        <f>IF($B75="","",IF(项目台账!$F74="","",项目台账!$F74))</f>
        <v/>
      </c>
      <c r="G75" s="23">
        <f>IF($B75="","",IF(项目台账!$J74="","",项目台账!$J74))</f>
        <v/>
      </c>
      <c r="H75" s="17">
        <f>IF($B75="","",IF(项目台账!$Q74="","",项目台账!$Q74))</f>
        <v/>
      </c>
      <c r="I75" s="19">
        <f>IF($B75="","",项目台账!$M74)</f>
        <v/>
      </c>
      <c r="J75" s="19">
        <f>IF($B75="","",项目台账!$O74)</f>
        <v/>
      </c>
      <c r="K75" s="19">
        <f>IF($B75="","",项目台账!$P74)</f>
        <v/>
      </c>
      <c r="L75" s="19">
        <f>IF($B75="","",ROUND(SUMIFS(采购单!$L$4:$L$2003,采购单!$D$4:$D$2003,$B75,采购单!$F$4:$F$2003,"成本-主材")+SUMIFS(生产安装!$J$4:$J$1203,生产安装!$C$4:$C$1203,$B75,生产安装!$E$4:$E$1203,"成本-主材")+SUMIFS(资金日记账!$K$4:$K$2503,资金日记账!$G$4:$G$2503,$B75,资金日记账!$F$4:$F$2503,"成本-主材")-SUMIFS(资金日记账!$J$4:$J$2503,资金日记账!$G$4:$G$2503,$B75,资金日记账!$F$4:$F$2503,"成本-主材"),2))</f>
        <v/>
      </c>
      <c r="M75" s="19">
        <f>IF($B75="","",ROUND(SUMIFS(采购单!$L$4:$L$2003,采购单!$D$4:$D$2003,$B75,采购单!$F$4:$F$2003,"成本-辅材")+SUMIFS(生产安装!$J$4:$J$1203,生产安装!$C$4:$C$1203,$B75,生产安装!$E$4:$E$1203,"成本-辅材")+SUMIFS(资金日记账!$K$4:$K$2503,资金日记账!$G$4:$G$2503,$B75,资金日记账!$F$4:$F$2503,"成本-辅材")-SUMIFS(资金日记账!$J$4:$J$2503,资金日记账!$G$4:$G$2503,$B75,资金日记账!$F$4:$F$2503,"成本-辅材"),2))</f>
        <v/>
      </c>
      <c r="N75" s="19">
        <f>IF($B75="","",ROUND(SUMIFS(采购单!$L$4:$L$2003,采购单!$D$4:$D$2003,$B75,采购单!$F$4:$F$2003,"成本-人工")+SUMIFS(生产安装!$J$4:$J$1203,生产安装!$C$4:$C$1203,$B75,生产安装!$E$4:$E$1203,"成本-人工")+SUMIFS(资金日记账!$K$4:$K$2503,资金日记账!$G$4:$G$2503,$B75,资金日记账!$F$4:$F$2503,"成本-人工")-SUMIFS(资金日记账!$J$4:$J$2503,资金日记账!$G$4:$G$2503,$B75,资金日记账!$F$4:$F$2503,"成本-人工"),2))</f>
        <v/>
      </c>
      <c r="O75" s="19">
        <f>IF($B75="","",ROUND(SUMIFS(采购单!$L$4:$L$2003,采购单!$D$4:$D$2003,$B75,采购单!$F$4:$F$2003,"成本-车运")+SUMIFS(生产安装!$J$4:$J$1203,生产安装!$C$4:$C$1203,$B75,生产安装!$E$4:$E$1203,"成本-车运")+SUMIFS(资金日记账!$K$4:$K$2503,资金日记账!$G$4:$G$2503,$B75,资金日记账!$F$4:$F$2503,"成本-车运")-SUMIFS(资金日记账!$J$4:$J$2503,资金日记账!$G$4:$G$2503,$B75,资金日记账!$F$4:$F$2503,"成本-车运"),2))</f>
        <v/>
      </c>
      <c r="P75" s="19">
        <f>IF($B75="","",ROUND(SUMIFS(采购单!$L$4:$L$2003,采购单!$D$4:$D$2003,$B75,采购单!$F$4:$F$2003,"成本-其他")+SUMIFS(生产安装!$J$4:$J$1203,生产安装!$C$4:$C$1203,$B75,生产安装!$E$4:$E$1203,"成本-其他")+SUMIFS(资金日记账!$K$4:$K$2503,资金日记账!$G$4:$G$2503,$B75,资金日记账!$F$4:$F$2503,"成本-其他")-SUMIFS(资金日记账!$J$4:$J$2503,资金日记账!$G$4:$G$2503,$B75,资金日记账!$F$4:$F$2503,"成本-其他"),2))</f>
        <v/>
      </c>
      <c r="Q75" s="19">
        <f>IF($B75="","",ROUND(SUM($L75:$P75),2))</f>
        <v/>
      </c>
      <c r="R75" s="19">
        <f>IF($B75="","",ROUND($I75-$Q75,2))</f>
        <v/>
      </c>
      <c r="S75" s="33">
        <f>IF($B75="","",IF(ROUND($I75,2)=0,"",ROUND($R75/$I75,4)))</f>
        <v/>
      </c>
      <c r="T75" s="22">
        <f>IF($B75="","",IF($G75="",0,YEAR($G75)*100+MONTH($G75)))</f>
        <v/>
      </c>
      <c r="U75" s="17">
        <f>IF($B75="","",IF(项目台账!$R74="","",项目台账!$R74))</f>
        <v/>
      </c>
    </row>
    <row r="76">
      <c r="A76" s="17">
        <f>IF(项目台账!$B75="","",项目台账!$A75)</f>
        <v/>
      </c>
      <c r="B76" s="17">
        <f>IF(项目台账!$B75="","",项目台账!$B75)</f>
        <v/>
      </c>
      <c r="C76" s="17">
        <f>IF($B76="","",IF(项目台账!$C75="","",项目台账!$C75))</f>
        <v/>
      </c>
      <c r="D76" s="17">
        <f>IF($B76="","",IF(项目台账!$D75="","",项目台账!$D75))</f>
        <v/>
      </c>
      <c r="E76" s="17">
        <f>IF($B76="","",IF(项目台账!$E75="","",项目台账!$E75))</f>
        <v/>
      </c>
      <c r="F76" s="23">
        <f>IF($B76="","",IF(项目台账!$F75="","",项目台账!$F75))</f>
        <v/>
      </c>
      <c r="G76" s="23">
        <f>IF($B76="","",IF(项目台账!$J75="","",项目台账!$J75))</f>
        <v/>
      </c>
      <c r="H76" s="17">
        <f>IF($B76="","",IF(项目台账!$Q75="","",项目台账!$Q75))</f>
        <v/>
      </c>
      <c r="I76" s="19">
        <f>IF($B76="","",项目台账!$M75)</f>
        <v/>
      </c>
      <c r="J76" s="19">
        <f>IF($B76="","",项目台账!$O75)</f>
        <v/>
      </c>
      <c r="K76" s="19">
        <f>IF($B76="","",项目台账!$P75)</f>
        <v/>
      </c>
      <c r="L76" s="19">
        <f>IF($B76="","",ROUND(SUMIFS(采购单!$L$4:$L$2003,采购单!$D$4:$D$2003,$B76,采购单!$F$4:$F$2003,"成本-主材")+SUMIFS(生产安装!$J$4:$J$1203,生产安装!$C$4:$C$1203,$B76,生产安装!$E$4:$E$1203,"成本-主材")+SUMIFS(资金日记账!$K$4:$K$2503,资金日记账!$G$4:$G$2503,$B76,资金日记账!$F$4:$F$2503,"成本-主材")-SUMIFS(资金日记账!$J$4:$J$2503,资金日记账!$G$4:$G$2503,$B76,资金日记账!$F$4:$F$2503,"成本-主材"),2))</f>
        <v/>
      </c>
      <c r="M76" s="19">
        <f>IF($B76="","",ROUND(SUMIFS(采购单!$L$4:$L$2003,采购单!$D$4:$D$2003,$B76,采购单!$F$4:$F$2003,"成本-辅材")+SUMIFS(生产安装!$J$4:$J$1203,生产安装!$C$4:$C$1203,$B76,生产安装!$E$4:$E$1203,"成本-辅材")+SUMIFS(资金日记账!$K$4:$K$2503,资金日记账!$G$4:$G$2503,$B76,资金日记账!$F$4:$F$2503,"成本-辅材")-SUMIFS(资金日记账!$J$4:$J$2503,资金日记账!$G$4:$G$2503,$B76,资金日记账!$F$4:$F$2503,"成本-辅材"),2))</f>
        <v/>
      </c>
      <c r="N76" s="19">
        <f>IF($B76="","",ROUND(SUMIFS(采购单!$L$4:$L$2003,采购单!$D$4:$D$2003,$B76,采购单!$F$4:$F$2003,"成本-人工")+SUMIFS(生产安装!$J$4:$J$1203,生产安装!$C$4:$C$1203,$B76,生产安装!$E$4:$E$1203,"成本-人工")+SUMIFS(资金日记账!$K$4:$K$2503,资金日记账!$G$4:$G$2503,$B76,资金日记账!$F$4:$F$2503,"成本-人工")-SUMIFS(资金日记账!$J$4:$J$2503,资金日记账!$G$4:$G$2503,$B76,资金日记账!$F$4:$F$2503,"成本-人工"),2))</f>
        <v/>
      </c>
      <c r="O76" s="19">
        <f>IF($B76="","",ROUND(SUMIFS(采购单!$L$4:$L$2003,采购单!$D$4:$D$2003,$B76,采购单!$F$4:$F$2003,"成本-车运")+SUMIFS(生产安装!$J$4:$J$1203,生产安装!$C$4:$C$1203,$B76,生产安装!$E$4:$E$1203,"成本-车运")+SUMIFS(资金日记账!$K$4:$K$2503,资金日记账!$G$4:$G$2503,$B76,资金日记账!$F$4:$F$2503,"成本-车运")-SUMIFS(资金日记账!$J$4:$J$2503,资金日记账!$G$4:$G$2503,$B76,资金日记账!$F$4:$F$2503,"成本-车运"),2))</f>
        <v/>
      </c>
      <c r="P76" s="19">
        <f>IF($B76="","",ROUND(SUMIFS(采购单!$L$4:$L$2003,采购单!$D$4:$D$2003,$B76,采购单!$F$4:$F$2003,"成本-其他")+SUMIFS(生产安装!$J$4:$J$1203,生产安装!$C$4:$C$1203,$B76,生产安装!$E$4:$E$1203,"成本-其他")+SUMIFS(资金日记账!$K$4:$K$2503,资金日记账!$G$4:$G$2503,$B76,资金日记账!$F$4:$F$2503,"成本-其他")-SUMIFS(资金日记账!$J$4:$J$2503,资金日记账!$G$4:$G$2503,$B76,资金日记账!$F$4:$F$2503,"成本-其他"),2))</f>
        <v/>
      </c>
      <c r="Q76" s="19">
        <f>IF($B76="","",ROUND(SUM($L76:$P76),2))</f>
        <v/>
      </c>
      <c r="R76" s="19">
        <f>IF($B76="","",ROUND($I76-$Q76,2))</f>
        <v/>
      </c>
      <c r="S76" s="33">
        <f>IF($B76="","",IF(ROUND($I76,2)=0,"",ROUND($R76/$I76,4)))</f>
        <v/>
      </c>
      <c r="T76" s="22">
        <f>IF($B76="","",IF($G76="",0,YEAR($G76)*100+MONTH($G76)))</f>
        <v/>
      </c>
      <c r="U76" s="17">
        <f>IF($B76="","",IF(项目台账!$R75="","",项目台账!$R75))</f>
        <v/>
      </c>
    </row>
    <row r="77">
      <c r="A77" s="17">
        <f>IF(项目台账!$B76="","",项目台账!$A76)</f>
        <v/>
      </c>
      <c r="B77" s="17">
        <f>IF(项目台账!$B76="","",项目台账!$B76)</f>
        <v/>
      </c>
      <c r="C77" s="17">
        <f>IF($B77="","",IF(项目台账!$C76="","",项目台账!$C76))</f>
        <v/>
      </c>
      <c r="D77" s="17">
        <f>IF($B77="","",IF(项目台账!$D76="","",项目台账!$D76))</f>
        <v/>
      </c>
      <c r="E77" s="17">
        <f>IF($B77="","",IF(项目台账!$E76="","",项目台账!$E76))</f>
        <v/>
      </c>
      <c r="F77" s="23">
        <f>IF($B77="","",IF(项目台账!$F76="","",项目台账!$F76))</f>
        <v/>
      </c>
      <c r="G77" s="23">
        <f>IF($B77="","",IF(项目台账!$J76="","",项目台账!$J76))</f>
        <v/>
      </c>
      <c r="H77" s="17">
        <f>IF($B77="","",IF(项目台账!$Q76="","",项目台账!$Q76))</f>
        <v/>
      </c>
      <c r="I77" s="19">
        <f>IF($B77="","",项目台账!$M76)</f>
        <v/>
      </c>
      <c r="J77" s="19">
        <f>IF($B77="","",项目台账!$O76)</f>
        <v/>
      </c>
      <c r="K77" s="19">
        <f>IF($B77="","",项目台账!$P76)</f>
        <v/>
      </c>
      <c r="L77" s="19">
        <f>IF($B77="","",ROUND(SUMIFS(采购单!$L$4:$L$2003,采购单!$D$4:$D$2003,$B77,采购单!$F$4:$F$2003,"成本-主材")+SUMIFS(生产安装!$J$4:$J$1203,生产安装!$C$4:$C$1203,$B77,生产安装!$E$4:$E$1203,"成本-主材")+SUMIFS(资金日记账!$K$4:$K$2503,资金日记账!$G$4:$G$2503,$B77,资金日记账!$F$4:$F$2503,"成本-主材")-SUMIFS(资金日记账!$J$4:$J$2503,资金日记账!$G$4:$G$2503,$B77,资金日记账!$F$4:$F$2503,"成本-主材"),2))</f>
        <v/>
      </c>
      <c r="M77" s="19">
        <f>IF($B77="","",ROUND(SUMIFS(采购单!$L$4:$L$2003,采购单!$D$4:$D$2003,$B77,采购单!$F$4:$F$2003,"成本-辅材")+SUMIFS(生产安装!$J$4:$J$1203,生产安装!$C$4:$C$1203,$B77,生产安装!$E$4:$E$1203,"成本-辅材")+SUMIFS(资金日记账!$K$4:$K$2503,资金日记账!$G$4:$G$2503,$B77,资金日记账!$F$4:$F$2503,"成本-辅材")-SUMIFS(资金日记账!$J$4:$J$2503,资金日记账!$G$4:$G$2503,$B77,资金日记账!$F$4:$F$2503,"成本-辅材"),2))</f>
        <v/>
      </c>
      <c r="N77" s="19">
        <f>IF($B77="","",ROUND(SUMIFS(采购单!$L$4:$L$2003,采购单!$D$4:$D$2003,$B77,采购单!$F$4:$F$2003,"成本-人工")+SUMIFS(生产安装!$J$4:$J$1203,生产安装!$C$4:$C$1203,$B77,生产安装!$E$4:$E$1203,"成本-人工")+SUMIFS(资金日记账!$K$4:$K$2503,资金日记账!$G$4:$G$2503,$B77,资金日记账!$F$4:$F$2503,"成本-人工")-SUMIFS(资金日记账!$J$4:$J$2503,资金日记账!$G$4:$G$2503,$B77,资金日记账!$F$4:$F$2503,"成本-人工"),2))</f>
        <v/>
      </c>
      <c r="O77" s="19">
        <f>IF($B77="","",ROUND(SUMIFS(采购单!$L$4:$L$2003,采购单!$D$4:$D$2003,$B77,采购单!$F$4:$F$2003,"成本-车运")+SUMIFS(生产安装!$J$4:$J$1203,生产安装!$C$4:$C$1203,$B77,生产安装!$E$4:$E$1203,"成本-车运")+SUMIFS(资金日记账!$K$4:$K$2503,资金日记账!$G$4:$G$2503,$B77,资金日记账!$F$4:$F$2503,"成本-车运")-SUMIFS(资金日记账!$J$4:$J$2503,资金日记账!$G$4:$G$2503,$B77,资金日记账!$F$4:$F$2503,"成本-车运"),2))</f>
        <v/>
      </c>
      <c r="P77" s="19">
        <f>IF($B77="","",ROUND(SUMIFS(采购单!$L$4:$L$2003,采购单!$D$4:$D$2003,$B77,采购单!$F$4:$F$2003,"成本-其他")+SUMIFS(生产安装!$J$4:$J$1203,生产安装!$C$4:$C$1203,$B77,生产安装!$E$4:$E$1203,"成本-其他")+SUMIFS(资金日记账!$K$4:$K$2503,资金日记账!$G$4:$G$2503,$B77,资金日记账!$F$4:$F$2503,"成本-其他")-SUMIFS(资金日记账!$J$4:$J$2503,资金日记账!$G$4:$G$2503,$B77,资金日记账!$F$4:$F$2503,"成本-其他"),2))</f>
        <v/>
      </c>
      <c r="Q77" s="19">
        <f>IF($B77="","",ROUND(SUM($L77:$P77),2))</f>
        <v/>
      </c>
      <c r="R77" s="19">
        <f>IF($B77="","",ROUND($I77-$Q77,2))</f>
        <v/>
      </c>
      <c r="S77" s="33">
        <f>IF($B77="","",IF(ROUND($I77,2)=0,"",ROUND($R77/$I77,4)))</f>
        <v/>
      </c>
      <c r="T77" s="22">
        <f>IF($B77="","",IF($G77="",0,YEAR($G77)*100+MONTH($G77)))</f>
        <v/>
      </c>
      <c r="U77" s="17">
        <f>IF($B77="","",IF(项目台账!$R76="","",项目台账!$R76))</f>
        <v/>
      </c>
    </row>
    <row r="78">
      <c r="A78" s="17">
        <f>IF(项目台账!$B77="","",项目台账!$A77)</f>
        <v/>
      </c>
      <c r="B78" s="17">
        <f>IF(项目台账!$B77="","",项目台账!$B77)</f>
        <v/>
      </c>
      <c r="C78" s="17">
        <f>IF($B78="","",IF(项目台账!$C77="","",项目台账!$C77))</f>
        <v/>
      </c>
      <c r="D78" s="17">
        <f>IF($B78="","",IF(项目台账!$D77="","",项目台账!$D77))</f>
        <v/>
      </c>
      <c r="E78" s="17">
        <f>IF($B78="","",IF(项目台账!$E77="","",项目台账!$E77))</f>
        <v/>
      </c>
      <c r="F78" s="23">
        <f>IF($B78="","",IF(项目台账!$F77="","",项目台账!$F77))</f>
        <v/>
      </c>
      <c r="G78" s="23">
        <f>IF($B78="","",IF(项目台账!$J77="","",项目台账!$J77))</f>
        <v/>
      </c>
      <c r="H78" s="17">
        <f>IF($B78="","",IF(项目台账!$Q77="","",项目台账!$Q77))</f>
        <v/>
      </c>
      <c r="I78" s="19">
        <f>IF($B78="","",项目台账!$M77)</f>
        <v/>
      </c>
      <c r="J78" s="19">
        <f>IF($B78="","",项目台账!$O77)</f>
        <v/>
      </c>
      <c r="K78" s="19">
        <f>IF($B78="","",项目台账!$P77)</f>
        <v/>
      </c>
      <c r="L78" s="19">
        <f>IF($B78="","",ROUND(SUMIFS(采购单!$L$4:$L$2003,采购单!$D$4:$D$2003,$B78,采购单!$F$4:$F$2003,"成本-主材")+SUMIFS(生产安装!$J$4:$J$1203,生产安装!$C$4:$C$1203,$B78,生产安装!$E$4:$E$1203,"成本-主材")+SUMIFS(资金日记账!$K$4:$K$2503,资金日记账!$G$4:$G$2503,$B78,资金日记账!$F$4:$F$2503,"成本-主材")-SUMIFS(资金日记账!$J$4:$J$2503,资金日记账!$G$4:$G$2503,$B78,资金日记账!$F$4:$F$2503,"成本-主材"),2))</f>
        <v/>
      </c>
      <c r="M78" s="19">
        <f>IF($B78="","",ROUND(SUMIFS(采购单!$L$4:$L$2003,采购单!$D$4:$D$2003,$B78,采购单!$F$4:$F$2003,"成本-辅材")+SUMIFS(生产安装!$J$4:$J$1203,生产安装!$C$4:$C$1203,$B78,生产安装!$E$4:$E$1203,"成本-辅材")+SUMIFS(资金日记账!$K$4:$K$2503,资金日记账!$G$4:$G$2503,$B78,资金日记账!$F$4:$F$2503,"成本-辅材")-SUMIFS(资金日记账!$J$4:$J$2503,资金日记账!$G$4:$G$2503,$B78,资金日记账!$F$4:$F$2503,"成本-辅材"),2))</f>
        <v/>
      </c>
      <c r="N78" s="19">
        <f>IF($B78="","",ROUND(SUMIFS(采购单!$L$4:$L$2003,采购单!$D$4:$D$2003,$B78,采购单!$F$4:$F$2003,"成本-人工")+SUMIFS(生产安装!$J$4:$J$1203,生产安装!$C$4:$C$1203,$B78,生产安装!$E$4:$E$1203,"成本-人工")+SUMIFS(资金日记账!$K$4:$K$2503,资金日记账!$G$4:$G$2503,$B78,资金日记账!$F$4:$F$2503,"成本-人工")-SUMIFS(资金日记账!$J$4:$J$2503,资金日记账!$G$4:$G$2503,$B78,资金日记账!$F$4:$F$2503,"成本-人工"),2))</f>
        <v/>
      </c>
      <c r="O78" s="19">
        <f>IF($B78="","",ROUND(SUMIFS(采购单!$L$4:$L$2003,采购单!$D$4:$D$2003,$B78,采购单!$F$4:$F$2003,"成本-车运")+SUMIFS(生产安装!$J$4:$J$1203,生产安装!$C$4:$C$1203,$B78,生产安装!$E$4:$E$1203,"成本-车运")+SUMIFS(资金日记账!$K$4:$K$2503,资金日记账!$G$4:$G$2503,$B78,资金日记账!$F$4:$F$2503,"成本-车运")-SUMIFS(资金日记账!$J$4:$J$2503,资金日记账!$G$4:$G$2503,$B78,资金日记账!$F$4:$F$2503,"成本-车运"),2))</f>
        <v/>
      </c>
      <c r="P78" s="19">
        <f>IF($B78="","",ROUND(SUMIFS(采购单!$L$4:$L$2003,采购单!$D$4:$D$2003,$B78,采购单!$F$4:$F$2003,"成本-其他")+SUMIFS(生产安装!$J$4:$J$1203,生产安装!$C$4:$C$1203,$B78,生产安装!$E$4:$E$1203,"成本-其他")+SUMIFS(资金日记账!$K$4:$K$2503,资金日记账!$G$4:$G$2503,$B78,资金日记账!$F$4:$F$2503,"成本-其他")-SUMIFS(资金日记账!$J$4:$J$2503,资金日记账!$G$4:$G$2503,$B78,资金日记账!$F$4:$F$2503,"成本-其他"),2))</f>
        <v/>
      </c>
      <c r="Q78" s="19">
        <f>IF($B78="","",ROUND(SUM($L78:$P78),2))</f>
        <v/>
      </c>
      <c r="R78" s="19">
        <f>IF($B78="","",ROUND($I78-$Q78,2))</f>
        <v/>
      </c>
      <c r="S78" s="33">
        <f>IF($B78="","",IF(ROUND($I78,2)=0,"",ROUND($R78/$I78,4)))</f>
        <v/>
      </c>
      <c r="T78" s="22">
        <f>IF($B78="","",IF($G78="",0,YEAR($G78)*100+MONTH($G78)))</f>
        <v/>
      </c>
      <c r="U78" s="17">
        <f>IF($B78="","",IF(项目台账!$R77="","",项目台账!$R77))</f>
        <v/>
      </c>
    </row>
    <row r="79">
      <c r="A79" s="17">
        <f>IF(项目台账!$B78="","",项目台账!$A78)</f>
        <v/>
      </c>
      <c r="B79" s="17">
        <f>IF(项目台账!$B78="","",项目台账!$B78)</f>
        <v/>
      </c>
      <c r="C79" s="17">
        <f>IF($B79="","",IF(项目台账!$C78="","",项目台账!$C78))</f>
        <v/>
      </c>
      <c r="D79" s="17">
        <f>IF($B79="","",IF(项目台账!$D78="","",项目台账!$D78))</f>
        <v/>
      </c>
      <c r="E79" s="17">
        <f>IF($B79="","",IF(项目台账!$E78="","",项目台账!$E78))</f>
        <v/>
      </c>
      <c r="F79" s="23">
        <f>IF($B79="","",IF(项目台账!$F78="","",项目台账!$F78))</f>
        <v/>
      </c>
      <c r="G79" s="23">
        <f>IF($B79="","",IF(项目台账!$J78="","",项目台账!$J78))</f>
        <v/>
      </c>
      <c r="H79" s="17">
        <f>IF($B79="","",IF(项目台账!$Q78="","",项目台账!$Q78))</f>
        <v/>
      </c>
      <c r="I79" s="19">
        <f>IF($B79="","",项目台账!$M78)</f>
        <v/>
      </c>
      <c r="J79" s="19">
        <f>IF($B79="","",项目台账!$O78)</f>
        <v/>
      </c>
      <c r="K79" s="19">
        <f>IF($B79="","",项目台账!$P78)</f>
        <v/>
      </c>
      <c r="L79" s="19">
        <f>IF($B79="","",ROUND(SUMIFS(采购单!$L$4:$L$2003,采购单!$D$4:$D$2003,$B79,采购单!$F$4:$F$2003,"成本-主材")+SUMIFS(生产安装!$J$4:$J$1203,生产安装!$C$4:$C$1203,$B79,生产安装!$E$4:$E$1203,"成本-主材")+SUMIFS(资金日记账!$K$4:$K$2503,资金日记账!$G$4:$G$2503,$B79,资金日记账!$F$4:$F$2503,"成本-主材")-SUMIFS(资金日记账!$J$4:$J$2503,资金日记账!$G$4:$G$2503,$B79,资金日记账!$F$4:$F$2503,"成本-主材"),2))</f>
        <v/>
      </c>
      <c r="M79" s="19">
        <f>IF($B79="","",ROUND(SUMIFS(采购单!$L$4:$L$2003,采购单!$D$4:$D$2003,$B79,采购单!$F$4:$F$2003,"成本-辅材")+SUMIFS(生产安装!$J$4:$J$1203,生产安装!$C$4:$C$1203,$B79,生产安装!$E$4:$E$1203,"成本-辅材")+SUMIFS(资金日记账!$K$4:$K$2503,资金日记账!$G$4:$G$2503,$B79,资金日记账!$F$4:$F$2503,"成本-辅材")-SUMIFS(资金日记账!$J$4:$J$2503,资金日记账!$G$4:$G$2503,$B79,资金日记账!$F$4:$F$2503,"成本-辅材"),2))</f>
        <v/>
      </c>
      <c r="N79" s="19">
        <f>IF($B79="","",ROUND(SUMIFS(采购单!$L$4:$L$2003,采购单!$D$4:$D$2003,$B79,采购单!$F$4:$F$2003,"成本-人工")+SUMIFS(生产安装!$J$4:$J$1203,生产安装!$C$4:$C$1203,$B79,生产安装!$E$4:$E$1203,"成本-人工")+SUMIFS(资金日记账!$K$4:$K$2503,资金日记账!$G$4:$G$2503,$B79,资金日记账!$F$4:$F$2503,"成本-人工")-SUMIFS(资金日记账!$J$4:$J$2503,资金日记账!$G$4:$G$2503,$B79,资金日记账!$F$4:$F$2503,"成本-人工"),2))</f>
        <v/>
      </c>
      <c r="O79" s="19">
        <f>IF($B79="","",ROUND(SUMIFS(采购单!$L$4:$L$2003,采购单!$D$4:$D$2003,$B79,采购单!$F$4:$F$2003,"成本-车运")+SUMIFS(生产安装!$J$4:$J$1203,生产安装!$C$4:$C$1203,$B79,生产安装!$E$4:$E$1203,"成本-车运")+SUMIFS(资金日记账!$K$4:$K$2503,资金日记账!$G$4:$G$2503,$B79,资金日记账!$F$4:$F$2503,"成本-车运")-SUMIFS(资金日记账!$J$4:$J$2503,资金日记账!$G$4:$G$2503,$B79,资金日记账!$F$4:$F$2503,"成本-车运"),2))</f>
        <v/>
      </c>
      <c r="P79" s="19">
        <f>IF($B79="","",ROUND(SUMIFS(采购单!$L$4:$L$2003,采购单!$D$4:$D$2003,$B79,采购单!$F$4:$F$2003,"成本-其他")+SUMIFS(生产安装!$J$4:$J$1203,生产安装!$C$4:$C$1203,$B79,生产安装!$E$4:$E$1203,"成本-其他")+SUMIFS(资金日记账!$K$4:$K$2503,资金日记账!$G$4:$G$2503,$B79,资金日记账!$F$4:$F$2503,"成本-其他")-SUMIFS(资金日记账!$J$4:$J$2503,资金日记账!$G$4:$G$2503,$B79,资金日记账!$F$4:$F$2503,"成本-其他"),2))</f>
        <v/>
      </c>
      <c r="Q79" s="19">
        <f>IF($B79="","",ROUND(SUM($L79:$P79),2))</f>
        <v/>
      </c>
      <c r="R79" s="19">
        <f>IF($B79="","",ROUND($I79-$Q79,2))</f>
        <v/>
      </c>
      <c r="S79" s="33">
        <f>IF($B79="","",IF(ROUND($I79,2)=0,"",ROUND($R79/$I79,4)))</f>
        <v/>
      </c>
      <c r="T79" s="22">
        <f>IF($B79="","",IF($G79="",0,YEAR($G79)*100+MONTH($G79)))</f>
        <v/>
      </c>
      <c r="U79" s="17">
        <f>IF($B79="","",IF(项目台账!$R78="","",项目台账!$R78))</f>
        <v/>
      </c>
    </row>
    <row r="80">
      <c r="A80" s="17">
        <f>IF(项目台账!$B79="","",项目台账!$A79)</f>
        <v/>
      </c>
      <c r="B80" s="17">
        <f>IF(项目台账!$B79="","",项目台账!$B79)</f>
        <v/>
      </c>
      <c r="C80" s="17">
        <f>IF($B80="","",IF(项目台账!$C79="","",项目台账!$C79))</f>
        <v/>
      </c>
      <c r="D80" s="17">
        <f>IF($B80="","",IF(项目台账!$D79="","",项目台账!$D79))</f>
        <v/>
      </c>
      <c r="E80" s="17">
        <f>IF($B80="","",IF(项目台账!$E79="","",项目台账!$E79))</f>
        <v/>
      </c>
      <c r="F80" s="23">
        <f>IF($B80="","",IF(项目台账!$F79="","",项目台账!$F79))</f>
        <v/>
      </c>
      <c r="G80" s="23">
        <f>IF($B80="","",IF(项目台账!$J79="","",项目台账!$J79))</f>
        <v/>
      </c>
      <c r="H80" s="17">
        <f>IF($B80="","",IF(项目台账!$Q79="","",项目台账!$Q79))</f>
        <v/>
      </c>
      <c r="I80" s="19">
        <f>IF($B80="","",项目台账!$M79)</f>
        <v/>
      </c>
      <c r="J80" s="19">
        <f>IF($B80="","",项目台账!$O79)</f>
        <v/>
      </c>
      <c r="K80" s="19">
        <f>IF($B80="","",项目台账!$P79)</f>
        <v/>
      </c>
      <c r="L80" s="19">
        <f>IF($B80="","",ROUND(SUMIFS(采购单!$L$4:$L$2003,采购单!$D$4:$D$2003,$B80,采购单!$F$4:$F$2003,"成本-主材")+SUMIFS(生产安装!$J$4:$J$1203,生产安装!$C$4:$C$1203,$B80,生产安装!$E$4:$E$1203,"成本-主材")+SUMIFS(资金日记账!$K$4:$K$2503,资金日记账!$G$4:$G$2503,$B80,资金日记账!$F$4:$F$2503,"成本-主材")-SUMIFS(资金日记账!$J$4:$J$2503,资金日记账!$G$4:$G$2503,$B80,资金日记账!$F$4:$F$2503,"成本-主材"),2))</f>
        <v/>
      </c>
      <c r="M80" s="19">
        <f>IF($B80="","",ROUND(SUMIFS(采购单!$L$4:$L$2003,采购单!$D$4:$D$2003,$B80,采购单!$F$4:$F$2003,"成本-辅材")+SUMIFS(生产安装!$J$4:$J$1203,生产安装!$C$4:$C$1203,$B80,生产安装!$E$4:$E$1203,"成本-辅材")+SUMIFS(资金日记账!$K$4:$K$2503,资金日记账!$G$4:$G$2503,$B80,资金日记账!$F$4:$F$2503,"成本-辅材")-SUMIFS(资金日记账!$J$4:$J$2503,资金日记账!$G$4:$G$2503,$B80,资金日记账!$F$4:$F$2503,"成本-辅材"),2))</f>
        <v/>
      </c>
      <c r="N80" s="19">
        <f>IF($B80="","",ROUND(SUMIFS(采购单!$L$4:$L$2003,采购单!$D$4:$D$2003,$B80,采购单!$F$4:$F$2003,"成本-人工")+SUMIFS(生产安装!$J$4:$J$1203,生产安装!$C$4:$C$1203,$B80,生产安装!$E$4:$E$1203,"成本-人工")+SUMIFS(资金日记账!$K$4:$K$2503,资金日记账!$G$4:$G$2503,$B80,资金日记账!$F$4:$F$2503,"成本-人工")-SUMIFS(资金日记账!$J$4:$J$2503,资金日记账!$G$4:$G$2503,$B80,资金日记账!$F$4:$F$2503,"成本-人工"),2))</f>
        <v/>
      </c>
      <c r="O80" s="19">
        <f>IF($B80="","",ROUND(SUMIFS(采购单!$L$4:$L$2003,采购单!$D$4:$D$2003,$B80,采购单!$F$4:$F$2003,"成本-车运")+SUMIFS(生产安装!$J$4:$J$1203,生产安装!$C$4:$C$1203,$B80,生产安装!$E$4:$E$1203,"成本-车运")+SUMIFS(资金日记账!$K$4:$K$2503,资金日记账!$G$4:$G$2503,$B80,资金日记账!$F$4:$F$2503,"成本-车运")-SUMIFS(资金日记账!$J$4:$J$2503,资金日记账!$G$4:$G$2503,$B80,资金日记账!$F$4:$F$2503,"成本-车运"),2))</f>
        <v/>
      </c>
      <c r="P80" s="19">
        <f>IF($B80="","",ROUND(SUMIFS(采购单!$L$4:$L$2003,采购单!$D$4:$D$2003,$B80,采购单!$F$4:$F$2003,"成本-其他")+SUMIFS(生产安装!$J$4:$J$1203,生产安装!$C$4:$C$1203,$B80,生产安装!$E$4:$E$1203,"成本-其他")+SUMIFS(资金日记账!$K$4:$K$2503,资金日记账!$G$4:$G$2503,$B80,资金日记账!$F$4:$F$2503,"成本-其他")-SUMIFS(资金日记账!$J$4:$J$2503,资金日记账!$G$4:$G$2503,$B80,资金日记账!$F$4:$F$2503,"成本-其他"),2))</f>
        <v/>
      </c>
      <c r="Q80" s="19">
        <f>IF($B80="","",ROUND(SUM($L80:$P80),2))</f>
        <v/>
      </c>
      <c r="R80" s="19">
        <f>IF($B80="","",ROUND($I80-$Q80,2))</f>
        <v/>
      </c>
      <c r="S80" s="33">
        <f>IF($B80="","",IF(ROUND($I80,2)=0,"",ROUND($R80/$I80,4)))</f>
        <v/>
      </c>
      <c r="T80" s="22">
        <f>IF($B80="","",IF($G80="",0,YEAR($G80)*100+MONTH($G80)))</f>
        <v/>
      </c>
      <c r="U80" s="17">
        <f>IF($B80="","",IF(项目台账!$R79="","",项目台账!$R79))</f>
        <v/>
      </c>
    </row>
    <row r="81">
      <c r="A81" s="17">
        <f>IF(项目台账!$B80="","",项目台账!$A80)</f>
        <v/>
      </c>
      <c r="B81" s="17">
        <f>IF(项目台账!$B80="","",项目台账!$B80)</f>
        <v/>
      </c>
      <c r="C81" s="17">
        <f>IF($B81="","",IF(项目台账!$C80="","",项目台账!$C80))</f>
        <v/>
      </c>
      <c r="D81" s="17">
        <f>IF($B81="","",IF(项目台账!$D80="","",项目台账!$D80))</f>
        <v/>
      </c>
      <c r="E81" s="17">
        <f>IF($B81="","",IF(项目台账!$E80="","",项目台账!$E80))</f>
        <v/>
      </c>
      <c r="F81" s="23">
        <f>IF($B81="","",IF(项目台账!$F80="","",项目台账!$F80))</f>
        <v/>
      </c>
      <c r="G81" s="23">
        <f>IF($B81="","",IF(项目台账!$J80="","",项目台账!$J80))</f>
        <v/>
      </c>
      <c r="H81" s="17">
        <f>IF($B81="","",IF(项目台账!$Q80="","",项目台账!$Q80))</f>
        <v/>
      </c>
      <c r="I81" s="19">
        <f>IF($B81="","",项目台账!$M80)</f>
        <v/>
      </c>
      <c r="J81" s="19">
        <f>IF($B81="","",项目台账!$O80)</f>
        <v/>
      </c>
      <c r="K81" s="19">
        <f>IF($B81="","",项目台账!$P80)</f>
        <v/>
      </c>
      <c r="L81" s="19">
        <f>IF($B81="","",ROUND(SUMIFS(采购单!$L$4:$L$2003,采购单!$D$4:$D$2003,$B81,采购单!$F$4:$F$2003,"成本-主材")+SUMIFS(生产安装!$J$4:$J$1203,生产安装!$C$4:$C$1203,$B81,生产安装!$E$4:$E$1203,"成本-主材")+SUMIFS(资金日记账!$K$4:$K$2503,资金日记账!$G$4:$G$2503,$B81,资金日记账!$F$4:$F$2503,"成本-主材")-SUMIFS(资金日记账!$J$4:$J$2503,资金日记账!$G$4:$G$2503,$B81,资金日记账!$F$4:$F$2503,"成本-主材"),2))</f>
        <v/>
      </c>
      <c r="M81" s="19">
        <f>IF($B81="","",ROUND(SUMIFS(采购单!$L$4:$L$2003,采购单!$D$4:$D$2003,$B81,采购单!$F$4:$F$2003,"成本-辅材")+SUMIFS(生产安装!$J$4:$J$1203,生产安装!$C$4:$C$1203,$B81,生产安装!$E$4:$E$1203,"成本-辅材")+SUMIFS(资金日记账!$K$4:$K$2503,资金日记账!$G$4:$G$2503,$B81,资金日记账!$F$4:$F$2503,"成本-辅材")-SUMIFS(资金日记账!$J$4:$J$2503,资金日记账!$G$4:$G$2503,$B81,资金日记账!$F$4:$F$2503,"成本-辅材"),2))</f>
        <v/>
      </c>
      <c r="N81" s="19">
        <f>IF($B81="","",ROUND(SUMIFS(采购单!$L$4:$L$2003,采购单!$D$4:$D$2003,$B81,采购单!$F$4:$F$2003,"成本-人工")+SUMIFS(生产安装!$J$4:$J$1203,生产安装!$C$4:$C$1203,$B81,生产安装!$E$4:$E$1203,"成本-人工")+SUMIFS(资金日记账!$K$4:$K$2503,资金日记账!$G$4:$G$2503,$B81,资金日记账!$F$4:$F$2503,"成本-人工")-SUMIFS(资金日记账!$J$4:$J$2503,资金日记账!$G$4:$G$2503,$B81,资金日记账!$F$4:$F$2503,"成本-人工"),2))</f>
        <v/>
      </c>
      <c r="O81" s="19">
        <f>IF($B81="","",ROUND(SUMIFS(采购单!$L$4:$L$2003,采购单!$D$4:$D$2003,$B81,采购单!$F$4:$F$2003,"成本-车运")+SUMIFS(生产安装!$J$4:$J$1203,生产安装!$C$4:$C$1203,$B81,生产安装!$E$4:$E$1203,"成本-车运")+SUMIFS(资金日记账!$K$4:$K$2503,资金日记账!$G$4:$G$2503,$B81,资金日记账!$F$4:$F$2503,"成本-车运")-SUMIFS(资金日记账!$J$4:$J$2503,资金日记账!$G$4:$G$2503,$B81,资金日记账!$F$4:$F$2503,"成本-车运"),2))</f>
        <v/>
      </c>
      <c r="P81" s="19">
        <f>IF($B81="","",ROUND(SUMIFS(采购单!$L$4:$L$2003,采购单!$D$4:$D$2003,$B81,采购单!$F$4:$F$2003,"成本-其他")+SUMIFS(生产安装!$J$4:$J$1203,生产安装!$C$4:$C$1203,$B81,生产安装!$E$4:$E$1203,"成本-其他")+SUMIFS(资金日记账!$K$4:$K$2503,资金日记账!$G$4:$G$2503,$B81,资金日记账!$F$4:$F$2503,"成本-其他")-SUMIFS(资金日记账!$J$4:$J$2503,资金日记账!$G$4:$G$2503,$B81,资金日记账!$F$4:$F$2503,"成本-其他"),2))</f>
        <v/>
      </c>
      <c r="Q81" s="19">
        <f>IF($B81="","",ROUND(SUM($L81:$P81),2))</f>
        <v/>
      </c>
      <c r="R81" s="19">
        <f>IF($B81="","",ROUND($I81-$Q81,2))</f>
        <v/>
      </c>
      <c r="S81" s="33">
        <f>IF($B81="","",IF(ROUND($I81,2)=0,"",ROUND($R81/$I81,4)))</f>
        <v/>
      </c>
      <c r="T81" s="22">
        <f>IF($B81="","",IF($G81="",0,YEAR($G81)*100+MONTH($G81)))</f>
        <v/>
      </c>
      <c r="U81" s="17">
        <f>IF($B81="","",IF(项目台账!$R80="","",项目台账!$R80))</f>
        <v/>
      </c>
    </row>
    <row r="82">
      <c r="A82" s="17">
        <f>IF(项目台账!$B81="","",项目台账!$A81)</f>
        <v/>
      </c>
      <c r="B82" s="17">
        <f>IF(项目台账!$B81="","",项目台账!$B81)</f>
        <v/>
      </c>
      <c r="C82" s="17">
        <f>IF($B82="","",IF(项目台账!$C81="","",项目台账!$C81))</f>
        <v/>
      </c>
      <c r="D82" s="17">
        <f>IF($B82="","",IF(项目台账!$D81="","",项目台账!$D81))</f>
        <v/>
      </c>
      <c r="E82" s="17">
        <f>IF($B82="","",IF(项目台账!$E81="","",项目台账!$E81))</f>
        <v/>
      </c>
      <c r="F82" s="23">
        <f>IF($B82="","",IF(项目台账!$F81="","",项目台账!$F81))</f>
        <v/>
      </c>
      <c r="G82" s="23">
        <f>IF($B82="","",IF(项目台账!$J81="","",项目台账!$J81))</f>
        <v/>
      </c>
      <c r="H82" s="17">
        <f>IF($B82="","",IF(项目台账!$Q81="","",项目台账!$Q81))</f>
        <v/>
      </c>
      <c r="I82" s="19">
        <f>IF($B82="","",项目台账!$M81)</f>
        <v/>
      </c>
      <c r="J82" s="19">
        <f>IF($B82="","",项目台账!$O81)</f>
        <v/>
      </c>
      <c r="K82" s="19">
        <f>IF($B82="","",项目台账!$P81)</f>
        <v/>
      </c>
      <c r="L82" s="19">
        <f>IF($B82="","",ROUND(SUMIFS(采购单!$L$4:$L$2003,采购单!$D$4:$D$2003,$B82,采购单!$F$4:$F$2003,"成本-主材")+SUMIFS(生产安装!$J$4:$J$1203,生产安装!$C$4:$C$1203,$B82,生产安装!$E$4:$E$1203,"成本-主材")+SUMIFS(资金日记账!$K$4:$K$2503,资金日记账!$G$4:$G$2503,$B82,资金日记账!$F$4:$F$2503,"成本-主材")-SUMIFS(资金日记账!$J$4:$J$2503,资金日记账!$G$4:$G$2503,$B82,资金日记账!$F$4:$F$2503,"成本-主材"),2))</f>
        <v/>
      </c>
      <c r="M82" s="19">
        <f>IF($B82="","",ROUND(SUMIFS(采购单!$L$4:$L$2003,采购单!$D$4:$D$2003,$B82,采购单!$F$4:$F$2003,"成本-辅材")+SUMIFS(生产安装!$J$4:$J$1203,生产安装!$C$4:$C$1203,$B82,生产安装!$E$4:$E$1203,"成本-辅材")+SUMIFS(资金日记账!$K$4:$K$2503,资金日记账!$G$4:$G$2503,$B82,资金日记账!$F$4:$F$2503,"成本-辅材")-SUMIFS(资金日记账!$J$4:$J$2503,资金日记账!$G$4:$G$2503,$B82,资金日记账!$F$4:$F$2503,"成本-辅材"),2))</f>
        <v/>
      </c>
      <c r="N82" s="19">
        <f>IF($B82="","",ROUND(SUMIFS(采购单!$L$4:$L$2003,采购单!$D$4:$D$2003,$B82,采购单!$F$4:$F$2003,"成本-人工")+SUMIFS(生产安装!$J$4:$J$1203,生产安装!$C$4:$C$1203,$B82,生产安装!$E$4:$E$1203,"成本-人工")+SUMIFS(资金日记账!$K$4:$K$2503,资金日记账!$G$4:$G$2503,$B82,资金日记账!$F$4:$F$2503,"成本-人工")-SUMIFS(资金日记账!$J$4:$J$2503,资金日记账!$G$4:$G$2503,$B82,资金日记账!$F$4:$F$2503,"成本-人工"),2))</f>
        <v/>
      </c>
      <c r="O82" s="19">
        <f>IF($B82="","",ROUND(SUMIFS(采购单!$L$4:$L$2003,采购单!$D$4:$D$2003,$B82,采购单!$F$4:$F$2003,"成本-车运")+SUMIFS(生产安装!$J$4:$J$1203,生产安装!$C$4:$C$1203,$B82,生产安装!$E$4:$E$1203,"成本-车运")+SUMIFS(资金日记账!$K$4:$K$2503,资金日记账!$G$4:$G$2503,$B82,资金日记账!$F$4:$F$2503,"成本-车运")-SUMIFS(资金日记账!$J$4:$J$2503,资金日记账!$G$4:$G$2503,$B82,资金日记账!$F$4:$F$2503,"成本-车运"),2))</f>
        <v/>
      </c>
      <c r="P82" s="19">
        <f>IF($B82="","",ROUND(SUMIFS(采购单!$L$4:$L$2003,采购单!$D$4:$D$2003,$B82,采购单!$F$4:$F$2003,"成本-其他")+SUMIFS(生产安装!$J$4:$J$1203,生产安装!$C$4:$C$1203,$B82,生产安装!$E$4:$E$1203,"成本-其他")+SUMIFS(资金日记账!$K$4:$K$2503,资金日记账!$G$4:$G$2503,$B82,资金日记账!$F$4:$F$2503,"成本-其他")-SUMIFS(资金日记账!$J$4:$J$2503,资金日记账!$G$4:$G$2503,$B82,资金日记账!$F$4:$F$2503,"成本-其他"),2))</f>
        <v/>
      </c>
      <c r="Q82" s="19">
        <f>IF($B82="","",ROUND(SUM($L82:$P82),2))</f>
        <v/>
      </c>
      <c r="R82" s="19">
        <f>IF($B82="","",ROUND($I82-$Q82,2))</f>
        <v/>
      </c>
      <c r="S82" s="33">
        <f>IF($B82="","",IF(ROUND($I82,2)=0,"",ROUND($R82/$I82,4)))</f>
        <v/>
      </c>
      <c r="T82" s="22">
        <f>IF($B82="","",IF($G82="",0,YEAR($G82)*100+MONTH($G82)))</f>
        <v/>
      </c>
      <c r="U82" s="17">
        <f>IF($B82="","",IF(项目台账!$R81="","",项目台账!$R81))</f>
        <v/>
      </c>
    </row>
    <row r="83">
      <c r="A83" s="17">
        <f>IF(项目台账!$B82="","",项目台账!$A82)</f>
        <v/>
      </c>
      <c r="B83" s="17">
        <f>IF(项目台账!$B82="","",项目台账!$B82)</f>
        <v/>
      </c>
      <c r="C83" s="17">
        <f>IF($B83="","",IF(项目台账!$C82="","",项目台账!$C82))</f>
        <v/>
      </c>
      <c r="D83" s="17">
        <f>IF($B83="","",IF(项目台账!$D82="","",项目台账!$D82))</f>
        <v/>
      </c>
      <c r="E83" s="17">
        <f>IF($B83="","",IF(项目台账!$E82="","",项目台账!$E82))</f>
        <v/>
      </c>
      <c r="F83" s="23">
        <f>IF($B83="","",IF(项目台账!$F82="","",项目台账!$F82))</f>
        <v/>
      </c>
      <c r="G83" s="23">
        <f>IF($B83="","",IF(项目台账!$J82="","",项目台账!$J82))</f>
        <v/>
      </c>
      <c r="H83" s="17">
        <f>IF($B83="","",IF(项目台账!$Q82="","",项目台账!$Q82))</f>
        <v/>
      </c>
      <c r="I83" s="19">
        <f>IF($B83="","",项目台账!$M82)</f>
        <v/>
      </c>
      <c r="J83" s="19">
        <f>IF($B83="","",项目台账!$O82)</f>
        <v/>
      </c>
      <c r="K83" s="19">
        <f>IF($B83="","",项目台账!$P82)</f>
        <v/>
      </c>
      <c r="L83" s="19">
        <f>IF($B83="","",ROUND(SUMIFS(采购单!$L$4:$L$2003,采购单!$D$4:$D$2003,$B83,采购单!$F$4:$F$2003,"成本-主材")+SUMIFS(生产安装!$J$4:$J$1203,生产安装!$C$4:$C$1203,$B83,生产安装!$E$4:$E$1203,"成本-主材")+SUMIFS(资金日记账!$K$4:$K$2503,资金日记账!$G$4:$G$2503,$B83,资金日记账!$F$4:$F$2503,"成本-主材")-SUMIFS(资金日记账!$J$4:$J$2503,资金日记账!$G$4:$G$2503,$B83,资金日记账!$F$4:$F$2503,"成本-主材"),2))</f>
        <v/>
      </c>
      <c r="M83" s="19">
        <f>IF($B83="","",ROUND(SUMIFS(采购单!$L$4:$L$2003,采购单!$D$4:$D$2003,$B83,采购单!$F$4:$F$2003,"成本-辅材")+SUMIFS(生产安装!$J$4:$J$1203,生产安装!$C$4:$C$1203,$B83,生产安装!$E$4:$E$1203,"成本-辅材")+SUMIFS(资金日记账!$K$4:$K$2503,资金日记账!$G$4:$G$2503,$B83,资金日记账!$F$4:$F$2503,"成本-辅材")-SUMIFS(资金日记账!$J$4:$J$2503,资金日记账!$G$4:$G$2503,$B83,资金日记账!$F$4:$F$2503,"成本-辅材"),2))</f>
        <v/>
      </c>
      <c r="N83" s="19">
        <f>IF($B83="","",ROUND(SUMIFS(采购单!$L$4:$L$2003,采购单!$D$4:$D$2003,$B83,采购单!$F$4:$F$2003,"成本-人工")+SUMIFS(生产安装!$J$4:$J$1203,生产安装!$C$4:$C$1203,$B83,生产安装!$E$4:$E$1203,"成本-人工")+SUMIFS(资金日记账!$K$4:$K$2503,资金日记账!$G$4:$G$2503,$B83,资金日记账!$F$4:$F$2503,"成本-人工")-SUMIFS(资金日记账!$J$4:$J$2503,资金日记账!$G$4:$G$2503,$B83,资金日记账!$F$4:$F$2503,"成本-人工"),2))</f>
        <v/>
      </c>
      <c r="O83" s="19">
        <f>IF($B83="","",ROUND(SUMIFS(采购单!$L$4:$L$2003,采购单!$D$4:$D$2003,$B83,采购单!$F$4:$F$2003,"成本-车运")+SUMIFS(生产安装!$J$4:$J$1203,生产安装!$C$4:$C$1203,$B83,生产安装!$E$4:$E$1203,"成本-车运")+SUMIFS(资金日记账!$K$4:$K$2503,资金日记账!$G$4:$G$2503,$B83,资金日记账!$F$4:$F$2503,"成本-车运")-SUMIFS(资金日记账!$J$4:$J$2503,资金日记账!$G$4:$G$2503,$B83,资金日记账!$F$4:$F$2503,"成本-车运"),2))</f>
        <v/>
      </c>
      <c r="P83" s="19">
        <f>IF($B83="","",ROUND(SUMIFS(采购单!$L$4:$L$2003,采购单!$D$4:$D$2003,$B83,采购单!$F$4:$F$2003,"成本-其他")+SUMIFS(生产安装!$J$4:$J$1203,生产安装!$C$4:$C$1203,$B83,生产安装!$E$4:$E$1203,"成本-其他")+SUMIFS(资金日记账!$K$4:$K$2503,资金日记账!$G$4:$G$2503,$B83,资金日记账!$F$4:$F$2503,"成本-其他")-SUMIFS(资金日记账!$J$4:$J$2503,资金日记账!$G$4:$G$2503,$B83,资金日记账!$F$4:$F$2503,"成本-其他"),2))</f>
        <v/>
      </c>
      <c r="Q83" s="19">
        <f>IF($B83="","",ROUND(SUM($L83:$P83),2))</f>
        <v/>
      </c>
      <c r="R83" s="19">
        <f>IF($B83="","",ROUND($I83-$Q83,2))</f>
        <v/>
      </c>
      <c r="S83" s="33">
        <f>IF($B83="","",IF(ROUND($I83,2)=0,"",ROUND($R83/$I83,4)))</f>
        <v/>
      </c>
      <c r="T83" s="22">
        <f>IF($B83="","",IF($G83="",0,YEAR($G83)*100+MONTH($G83)))</f>
        <v/>
      </c>
      <c r="U83" s="17">
        <f>IF($B83="","",IF(项目台账!$R82="","",项目台账!$R82))</f>
        <v/>
      </c>
    </row>
    <row r="84">
      <c r="A84" s="17">
        <f>IF(项目台账!$B83="","",项目台账!$A83)</f>
        <v/>
      </c>
      <c r="B84" s="17">
        <f>IF(项目台账!$B83="","",项目台账!$B83)</f>
        <v/>
      </c>
      <c r="C84" s="17">
        <f>IF($B84="","",IF(项目台账!$C83="","",项目台账!$C83))</f>
        <v/>
      </c>
      <c r="D84" s="17">
        <f>IF($B84="","",IF(项目台账!$D83="","",项目台账!$D83))</f>
        <v/>
      </c>
      <c r="E84" s="17">
        <f>IF($B84="","",IF(项目台账!$E83="","",项目台账!$E83))</f>
        <v/>
      </c>
      <c r="F84" s="23">
        <f>IF($B84="","",IF(项目台账!$F83="","",项目台账!$F83))</f>
        <v/>
      </c>
      <c r="G84" s="23">
        <f>IF($B84="","",IF(项目台账!$J83="","",项目台账!$J83))</f>
        <v/>
      </c>
      <c r="H84" s="17">
        <f>IF($B84="","",IF(项目台账!$Q83="","",项目台账!$Q83))</f>
        <v/>
      </c>
      <c r="I84" s="19">
        <f>IF($B84="","",项目台账!$M83)</f>
        <v/>
      </c>
      <c r="J84" s="19">
        <f>IF($B84="","",项目台账!$O83)</f>
        <v/>
      </c>
      <c r="K84" s="19">
        <f>IF($B84="","",项目台账!$P83)</f>
        <v/>
      </c>
      <c r="L84" s="19">
        <f>IF($B84="","",ROUND(SUMIFS(采购单!$L$4:$L$2003,采购单!$D$4:$D$2003,$B84,采购单!$F$4:$F$2003,"成本-主材")+SUMIFS(生产安装!$J$4:$J$1203,生产安装!$C$4:$C$1203,$B84,生产安装!$E$4:$E$1203,"成本-主材")+SUMIFS(资金日记账!$K$4:$K$2503,资金日记账!$G$4:$G$2503,$B84,资金日记账!$F$4:$F$2503,"成本-主材")-SUMIFS(资金日记账!$J$4:$J$2503,资金日记账!$G$4:$G$2503,$B84,资金日记账!$F$4:$F$2503,"成本-主材"),2))</f>
        <v/>
      </c>
      <c r="M84" s="19">
        <f>IF($B84="","",ROUND(SUMIFS(采购单!$L$4:$L$2003,采购单!$D$4:$D$2003,$B84,采购单!$F$4:$F$2003,"成本-辅材")+SUMIFS(生产安装!$J$4:$J$1203,生产安装!$C$4:$C$1203,$B84,生产安装!$E$4:$E$1203,"成本-辅材")+SUMIFS(资金日记账!$K$4:$K$2503,资金日记账!$G$4:$G$2503,$B84,资金日记账!$F$4:$F$2503,"成本-辅材")-SUMIFS(资金日记账!$J$4:$J$2503,资金日记账!$G$4:$G$2503,$B84,资金日记账!$F$4:$F$2503,"成本-辅材"),2))</f>
        <v/>
      </c>
      <c r="N84" s="19">
        <f>IF($B84="","",ROUND(SUMIFS(采购单!$L$4:$L$2003,采购单!$D$4:$D$2003,$B84,采购单!$F$4:$F$2003,"成本-人工")+SUMIFS(生产安装!$J$4:$J$1203,生产安装!$C$4:$C$1203,$B84,生产安装!$E$4:$E$1203,"成本-人工")+SUMIFS(资金日记账!$K$4:$K$2503,资金日记账!$G$4:$G$2503,$B84,资金日记账!$F$4:$F$2503,"成本-人工")-SUMIFS(资金日记账!$J$4:$J$2503,资金日记账!$G$4:$G$2503,$B84,资金日记账!$F$4:$F$2503,"成本-人工"),2))</f>
        <v/>
      </c>
      <c r="O84" s="19">
        <f>IF($B84="","",ROUND(SUMIFS(采购单!$L$4:$L$2003,采购单!$D$4:$D$2003,$B84,采购单!$F$4:$F$2003,"成本-车运")+SUMIFS(生产安装!$J$4:$J$1203,生产安装!$C$4:$C$1203,$B84,生产安装!$E$4:$E$1203,"成本-车运")+SUMIFS(资金日记账!$K$4:$K$2503,资金日记账!$G$4:$G$2503,$B84,资金日记账!$F$4:$F$2503,"成本-车运")-SUMIFS(资金日记账!$J$4:$J$2503,资金日记账!$G$4:$G$2503,$B84,资金日记账!$F$4:$F$2503,"成本-车运"),2))</f>
        <v/>
      </c>
      <c r="P84" s="19">
        <f>IF($B84="","",ROUND(SUMIFS(采购单!$L$4:$L$2003,采购单!$D$4:$D$2003,$B84,采购单!$F$4:$F$2003,"成本-其他")+SUMIFS(生产安装!$J$4:$J$1203,生产安装!$C$4:$C$1203,$B84,生产安装!$E$4:$E$1203,"成本-其他")+SUMIFS(资金日记账!$K$4:$K$2503,资金日记账!$G$4:$G$2503,$B84,资金日记账!$F$4:$F$2503,"成本-其他")-SUMIFS(资金日记账!$J$4:$J$2503,资金日记账!$G$4:$G$2503,$B84,资金日记账!$F$4:$F$2503,"成本-其他"),2))</f>
        <v/>
      </c>
      <c r="Q84" s="19">
        <f>IF($B84="","",ROUND(SUM($L84:$P84),2))</f>
        <v/>
      </c>
      <c r="R84" s="19">
        <f>IF($B84="","",ROUND($I84-$Q84,2))</f>
        <v/>
      </c>
      <c r="S84" s="33">
        <f>IF($B84="","",IF(ROUND($I84,2)=0,"",ROUND($R84/$I84,4)))</f>
        <v/>
      </c>
      <c r="T84" s="22">
        <f>IF($B84="","",IF($G84="",0,YEAR($G84)*100+MONTH($G84)))</f>
        <v/>
      </c>
      <c r="U84" s="17">
        <f>IF($B84="","",IF(项目台账!$R83="","",项目台账!$R83))</f>
        <v/>
      </c>
    </row>
    <row r="85">
      <c r="A85" s="17">
        <f>IF(项目台账!$B84="","",项目台账!$A84)</f>
        <v/>
      </c>
      <c r="B85" s="17">
        <f>IF(项目台账!$B84="","",项目台账!$B84)</f>
        <v/>
      </c>
      <c r="C85" s="17">
        <f>IF($B85="","",IF(项目台账!$C84="","",项目台账!$C84))</f>
        <v/>
      </c>
      <c r="D85" s="17">
        <f>IF($B85="","",IF(项目台账!$D84="","",项目台账!$D84))</f>
        <v/>
      </c>
      <c r="E85" s="17">
        <f>IF($B85="","",IF(项目台账!$E84="","",项目台账!$E84))</f>
        <v/>
      </c>
      <c r="F85" s="23">
        <f>IF($B85="","",IF(项目台账!$F84="","",项目台账!$F84))</f>
        <v/>
      </c>
      <c r="G85" s="23">
        <f>IF($B85="","",IF(项目台账!$J84="","",项目台账!$J84))</f>
        <v/>
      </c>
      <c r="H85" s="17">
        <f>IF($B85="","",IF(项目台账!$Q84="","",项目台账!$Q84))</f>
        <v/>
      </c>
      <c r="I85" s="19">
        <f>IF($B85="","",项目台账!$M84)</f>
        <v/>
      </c>
      <c r="J85" s="19">
        <f>IF($B85="","",项目台账!$O84)</f>
        <v/>
      </c>
      <c r="K85" s="19">
        <f>IF($B85="","",项目台账!$P84)</f>
        <v/>
      </c>
      <c r="L85" s="19">
        <f>IF($B85="","",ROUND(SUMIFS(采购单!$L$4:$L$2003,采购单!$D$4:$D$2003,$B85,采购单!$F$4:$F$2003,"成本-主材")+SUMIFS(生产安装!$J$4:$J$1203,生产安装!$C$4:$C$1203,$B85,生产安装!$E$4:$E$1203,"成本-主材")+SUMIFS(资金日记账!$K$4:$K$2503,资金日记账!$G$4:$G$2503,$B85,资金日记账!$F$4:$F$2503,"成本-主材")-SUMIFS(资金日记账!$J$4:$J$2503,资金日记账!$G$4:$G$2503,$B85,资金日记账!$F$4:$F$2503,"成本-主材"),2))</f>
        <v/>
      </c>
      <c r="M85" s="19">
        <f>IF($B85="","",ROUND(SUMIFS(采购单!$L$4:$L$2003,采购单!$D$4:$D$2003,$B85,采购单!$F$4:$F$2003,"成本-辅材")+SUMIFS(生产安装!$J$4:$J$1203,生产安装!$C$4:$C$1203,$B85,生产安装!$E$4:$E$1203,"成本-辅材")+SUMIFS(资金日记账!$K$4:$K$2503,资金日记账!$G$4:$G$2503,$B85,资金日记账!$F$4:$F$2503,"成本-辅材")-SUMIFS(资金日记账!$J$4:$J$2503,资金日记账!$G$4:$G$2503,$B85,资金日记账!$F$4:$F$2503,"成本-辅材"),2))</f>
        <v/>
      </c>
      <c r="N85" s="19">
        <f>IF($B85="","",ROUND(SUMIFS(采购单!$L$4:$L$2003,采购单!$D$4:$D$2003,$B85,采购单!$F$4:$F$2003,"成本-人工")+SUMIFS(生产安装!$J$4:$J$1203,生产安装!$C$4:$C$1203,$B85,生产安装!$E$4:$E$1203,"成本-人工")+SUMIFS(资金日记账!$K$4:$K$2503,资金日记账!$G$4:$G$2503,$B85,资金日记账!$F$4:$F$2503,"成本-人工")-SUMIFS(资金日记账!$J$4:$J$2503,资金日记账!$G$4:$G$2503,$B85,资金日记账!$F$4:$F$2503,"成本-人工"),2))</f>
        <v/>
      </c>
      <c r="O85" s="19">
        <f>IF($B85="","",ROUND(SUMIFS(采购单!$L$4:$L$2003,采购单!$D$4:$D$2003,$B85,采购单!$F$4:$F$2003,"成本-车运")+SUMIFS(生产安装!$J$4:$J$1203,生产安装!$C$4:$C$1203,$B85,生产安装!$E$4:$E$1203,"成本-车运")+SUMIFS(资金日记账!$K$4:$K$2503,资金日记账!$G$4:$G$2503,$B85,资金日记账!$F$4:$F$2503,"成本-车运")-SUMIFS(资金日记账!$J$4:$J$2503,资金日记账!$G$4:$G$2503,$B85,资金日记账!$F$4:$F$2503,"成本-车运"),2))</f>
        <v/>
      </c>
      <c r="P85" s="19">
        <f>IF($B85="","",ROUND(SUMIFS(采购单!$L$4:$L$2003,采购单!$D$4:$D$2003,$B85,采购单!$F$4:$F$2003,"成本-其他")+SUMIFS(生产安装!$J$4:$J$1203,生产安装!$C$4:$C$1203,$B85,生产安装!$E$4:$E$1203,"成本-其他")+SUMIFS(资金日记账!$K$4:$K$2503,资金日记账!$G$4:$G$2503,$B85,资金日记账!$F$4:$F$2503,"成本-其他")-SUMIFS(资金日记账!$J$4:$J$2503,资金日记账!$G$4:$G$2503,$B85,资金日记账!$F$4:$F$2503,"成本-其他"),2))</f>
        <v/>
      </c>
      <c r="Q85" s="19">
        <f>IF($B85="","",ROUND(SUM($L85:$P85),2))</f>
        <v/>
      </c>
      <c r="R85" s="19">
        <f>IF($B85="","",ROUND($I85-$Q85,2))</f>
        <v/>
      </c>
      <c r="S85" s="33">
        <f>IF($B85="","",IF(ROUND($I85,2)=0,"",ROUND($R85/$I85,4)))</f>
        <v/>
      </c>
      <c r="T85" s="22">
        <f>IF($B85="","",IF($G85="",0,YEAR($G85)*100+MONTH($G85)))</f>
        <v/>
      </c>
      <c r="U85" s="17">
        <f>IF($B85="","",IF(项目台账!$R84="","",项目台账!$R84))</f>
        <v/>
      </c>
    </row>
    <row r="86">
      <c r="A86" s="17">
        <f>IF(项目台账!$B85="","",项目台账!$A85)</f>
        <v/>
      </c>
      <c r="B86" s="17">
        <f>IF(项目台账!$B85="","",项目台账!$B85)</f>
        <v/>
      </c>
      <c r="C86" s="17">
        <f>IF($B86="","",IF(项目台账!$C85="","",项目台账!$C85))</f>
        <v/>
      </c>
      <c r="D86" s="17">
        <f>IF($B86="","",IF(项目台账!$D85="","",项目台账!$D85))</f>
        <v/>
      </c>
      <c r="E86" s="17">
        <f>IF($B86="","",IF(项目台账!$E85="","",项目台账!$E85))</f>
        <v/>
      </c>
      <c r="F86" s="23">
        <f>IF($B86="","",IF(项目台账!$F85="","",项目台账!$F85))</f>
        <v/>
      </c>
      <c r="G86" s="23">
        <f>IF($B86="","",IF(项目台账!$J85="","",项目台账!$J85))</f>
        <v/>
      </c>
      <c r="H86" s="17">
        <f>IF($B86="","",IF(项目台账!$Q85="","",项目台账!$Q85))</f>
        <v/>
      </c>
      <c r="I86" s="19">
        <f>IF($B86="","",项目台账!$M85)</f>
        <v/>
      </c>
      <c r="J86" s="19">
        <f>IF($B86="","",项目台账!$O85)</f>
        <v/>
      </c>
      <c r="K86" s="19">
        <f>IF($B86="","",项目台账!$P85)</f>
        <v/>
      </c>
      <c r="L86" s="19">
        <f>IF($B86="","",ROUND(SUMIFS(采购单!$L$4:$L$2003,采购单!$D$4:$D$2003,$B86,采购单!$F$4:$F$2003,"成本-主材")+SUMIFS(生产安装!$J$4:$J$1203,生产安装!$C$4:$C$1203,$B86,生产安装!$E$4:$E$1203,"成本-主材")+SUMIFS(资金日记账!$K$4:$K$2503,资金日记账!$G$4:$G$2503,$B86,资金日记账!$F$4:$F$2503,"成本-主材")-SUMIFS(资金日记账!$J$4:$J$2503,资金日记账!$G$4:$G$2503,$B86,资金日记账!$F$4:$F$2503,"成本-主材"),2))</f>
        <v/>
      </c>
      <c r="M86" s="19">
        <f>IF($B86="","",ROUND(SUMIFS(采购单!$L$4:$L$2003,采购单!$D$4:$D$2003,$B86,采购单!$F$4:$F$2003,"成本-辅材")+SUMIFS(生产安装!$J$4:$J$1203,生产安装!$C$4:$C$1203,$B86,生产安装!$E$4:$E$1203,"成本-辅材")+SUMIFS(资金日记账!$K$4:$K$2503,资金日记账!$G$4:$G$2503,$B86,资金日记账!$F$4:$F$2503,"成本-辅材")-SUMIFS(资金日记账!$J$4:$J$2503,资金日记账!$G$4:$G$2503,$B86,资金日记账!$F$4:$F$2503,"成本-辅材"),2))</f>
        <v/>
      </c>
      <c r="N86" s="19">
        <f>IF($B86="","",ROUND(SUMIFS(采购单!$L$4:$L$2003,采购单!$D$4:$D$2003,$B86,采购单!$F$4:$F$2003,"成本-人工")+SUMIFS(生产安装!$J$4:$J$1203,生产安装!$C$4:$C$1203,$B86,生产安装!$E$4:$E$1203,"成本-人工")+SUMIFS(资金日记账!$K$4:$K$2503,资金日记账!$G$4:$G$2503,$B86,资金日记账!$F$4:$F$2503,"成本-人工")-SUMIFS(资金日记账!$J$4:$J$2503,资金日记账!$G$4:$G$2503,$B86,资金日记账!$F$4:$F$2503,"成本-人工"),2))</f>
        <v/>
      </c>
      <c r="O86" s="19">
        <f>IF($B86="","",ROUND(SUMIFS(采购单!$L$4:$L$2003,采购单!$D$4:$D$2003,$B86,采购单!$F$4:$F$2003,"成本-车运")+SUMIFS(生产安装!$J$4:$J$1203,生产安装!$C$4:$C$1203,$B86,生产安装!$E$4:$E$1203,"成本-车运")+SUMIFS(资金日记账!$K$4:$K$2503,资金日记账!$G$4:$G$2503,$B86,资金日记账!$F$4:$F$2503,"成本-车运")-SUMIFS(资金日记账!$J$4:$J$2503,资金日记账!$G$4:$G$2503,$B86,资金日记账!$F$4:$F$2503,"成本-车运"),2))</f>
        <v/>
      </c>
      <c r="P86" s="19">
        <f>IF($B86="","",ROUND(SUMIFS(采购单!$L$4:$L$2003,采购单!$D$4:$D$2003,$B86,采购单!$F$4:$F$2003,"成本-其他")+SUMIFS(生产安装!$J$4:$J$1203,生产安装!$C$4:$C$1203,$B86,生产安装!$E$4:$E$1203,"成本-其他")+SUMIFS(资金日记账!$K$4:$K$2503,资金日记账!$G$4:$G$2503,$B86,资金日记账!$F$4:$F$2503,"成本-其他")-SUMIFS(资金日记账!$J$4:$J$2503,资金日记账!$G$4:$G$2503,$B86,资金日记账!$F$4:$F$2503,"成本-其他"),2))</f>
        <v/>
      </c>
      <c r="Q86" s="19">
        <f>IF($B86="","",ROUND(SUM($L86:$P86),2))</f>
        <v/>
      </c>
      <c r="R86" s="19">
        <f>IF($B86="","",ROUND($I86-$Q86,2))</f>
        <v/>
      </c>
      <c r="S86" s="33">
        <f>IF($B86="","",IF(ROUND($I86,2)=0,"",ROUND($R86/$I86,4)))</f>
        <v/>
      </c>
      <c r="T86" s="22">
        <f>IF($B86="","",IF($G86="",0,YEAR($G86)*100+MONTH($G86)))</f>
        <v/>
      </c>
      <c r="U86" s="17">
        <f>IF($B86="","",IF(项目台账!$R85="","",项目台账!$R85))</f>
        <v/>
      </c>
    </row>
    <row r="87">
      <c r="A87" s="17">
        <f>IF(项目台账!$B86="","",项目台账!$A86)</f>
        <v/>
      </c>
      <c r="B87" s="17">
        <f>IF(项目台账!$B86="","",项目台账!$B86)</f>
        <v/>
      </c>
      <c r="C87" s="17">
        <f>IF($B87="","",IF(项目台账!$C86="","",项目台账!$C86))</f>
        <v/>
      </c>
      <c r="D87" s="17">
        <f>IF($B87="","",IF(项目台账!$D86="","",项目台账!$D86))</f>
        <v/>
      </c>
      <c r="E87" s="17">
        <f>IF($B87="","",IF(项目台账!$E86="","",项目台账!$E86))</f>
        <v/>
      </c>
      <c r="F87" s="23">
        <f>IF($B87="","",IF(项目台账!$F86="","",项目台账!$F86))</f>
        <v/>
      </c>
      <c r="G87" s="23">
        <f>IF($B87="","",IF(项目台账!$J86="","",项目台账!$J86))</f>
        <v/>
      </c>
      <c r="H87" s="17">
        <f>IF($B87="","",IF(项目台账!$Q86="","",项目台账!$Q86))</f>
        <v/>
      </c>
      <c r="I87" s="19">
        <f>IF($B87="","",项目台账!$M86)</f>
        <v/>
      </c>
      <c r="J87" s="19">
        <f>IF($B87="","",项目台账!$O86)</f>
        <v/>
      </c>
      <c r="K87" s="19">
        <f>IF($B87="","",项目台账!$P86)</f>
        <v/>
      </c>
      <c r="L87" s="19">
        <f>IF($B87="","",ROUND(SUMIFS(采购单!$L$4:$L$2003,采购单!$D$4:$D$2003,$B87,采购单!$F$4:$F$2003,"成本-主材")+SUMIFS(生产安装!$J$4:$J$1203,生产安装!$C$4:$C$1203,$B87,生产安装!$E$4:$E$1203,"成本-主材")+SUMIFS(资金日记账!$K$4:$K$2503,资金日记账!$G$4:$G$2503,$B87,资金日记账!$F$4:$F$2503,"成本-主材")-SUMIFS(资金日记账!$J$4:$J$2503,资金日记账!$G$4:$G$2503,$B87,资金日记账!$F$4:$F$2503,"成本-主材"),2))</f>
        <v/>
      </c>
      <c r="M87" s="19">
        <f>IF($B87="","",ROUND(SUMIFS(采购单!$L$4:$L$2003,采购单!$D$4:$D$2003,$B87,采购单!$F$4:$F$2003,"成本-辅材")+SUMIFS(生产安装!$J$4:$J$1203,生产安装!$C$4:$C$1203,$B87,生产安装!$E$4:$E$1203,"成本-辅材")+SUMIFS(资金日记账!$K$4:$K$2503,资金日记账!$G$4:$G$2503,$B87,资金日记账!$F$4:$F$2503,"成本-辅材")-SUMIFS(资金日记账!$J$4:$J$2503,资金日记账!$G$4:$G$2503,$B87,资金日记账!$F$4:$F$2503,"成本-辅材"),2))</f>
        <v/>
      </c>
      <c r="N87" s="19">
        <f>IF($B87="","",ROUND(SUMIFS(采购单!$L$4:$L$2003,采购单!$D$4:$D$2003,$B87,采购单!$F$4:$F$2003,"成本-人工")+SUMIFS(生产安装!$J$4:$J$1203,生产安装!$C$4:$C$1203,$B87,生产安装!$E$4:$E$1203,"成本-人工")+SUMIFS(资金日记账!$K$4:$K$2503,资金日记账!$G$4:$G$2503,$B87,资金日记账!$F$4:$F$2503,"成本-人工")-SUMIFS(资金日记账!$J$4:$J$2503,资金日记账!$G$4:$G$2503,$B87,资金日记账!$F$4:$F$2503,"成本-人工"),2))</f>
        <v/>
      </c>
      <c r="O87" s="19">
        <f>IF($B87="","",ROUND(SUMIFS(采购单!$L$4:$L$2003,采购单!$D$4:$D$2003,$B87,采购单!$F$4:$F$2003,"成本-车运")+SUMIFS(生产安装!$J$4:$J$1203,生产安装!$C$4:$C$1203,$B87,生产安装!$E$4:$E$1203,"成本-车运")+SUMIFS(资金日记账!$K$4:$K$2503,资金日记账!$G$4:$G$2503,$B87,资金日记账!$F$4:$F$2503,"成本-车运")-SUMIFS(资金日记账!$J$4:$J$2503,资金日记账!$G$4:$G$2503,$B87,资金日记账!$F$4:$F$2503,"成本-车运"),2))</f>
        <v/>
      </c>
      <c r="P87" s="19">
        <f>IF($B87="","",ROUND(SUMIFS(采购单!$L$4:$L$2003,采购单!$D$4:$D$2003,$B87,采购单!$F$4:$F$2003,"成本-其他")+SUMIFS(生产安装!$J$4:$J$1203,生产安装!$C$4:$C$1203,$B87,生产安装!$E$4:$E$1203,"成本-其他")+SUMIFS(资金日记账!$K$4:$K$2503,资金日记账!$G$4:$G$2503,$B87,资金日记账!$F$4:$F$2503,"成本-其他")-SUMIFS(资金日记账!$J$4:$J$2503,资金日记账!$G$4:$G$2503,$B87,资金日记账!$F$4:$F$2503,"成本-其他"),2))</f>
        <v/>
      </c>
      <c r="Q87" s="19">
        <f>IF($B87="","",ROUND(SUM($L87:$P87),2))</f>
        <v/>
      </c>
      <c r="R87" s="19">
        <f>IF($B87="","",ROUND($I87-$Q87,2))</f>
        <v/>
      </c>
      <c r="S87" s="33">
        <f>IF($B87="","",IF(ROUND($I87,2)=0,"",ROUND($R87/$I87,4)))</f>
        <v/>
      </c>
      <c r="T87" s="22">
        <f>IF($B87="","",IF($G87="",0,YEAR($G87)*100+MONTH($G87)))</f>
        <v/>
      </c>
      <c r="U87" s="17">
        <f>IF($B87="","",IF(项目台账!$R86="","",项目台账!$R86))</f>
        <v/>
      </c>
    </row>
    <row r="88">
      <c r="A88" s="17">
        <f>IF(项目台账!$B87="","",项目台账!$A87)</f>
        <v/>
      </c>
      <c r="B88" s="17">
        <f>IF(项目台账!$B87="","",项目台账!$B87)</f>
        <v/>
      </c>
      <c r="C88" s="17">
        <f>IF($B88="","",IF(项目台账!$C87="","",项目台账!$C87))</f>
        <v/>
      </c>
      <c r="D88" s="17">
        <f>IF($B88="","",IF(项目台账!$D87="","",项目台账!$D87))</f>
        <v/>
      </c>
      <c r="E88" s="17">
        <f>IF($B88="","",IF(项目台账!$E87="","",项目台账!$E87))</f>
        <v/>
      </c>
      <c r="F88" s="23">
        <f>IF($B88="","",IF(项目台账!$F87="","",项目台账!$F87))</f>
        <v/>
      </c>
      <c r="G88" s="23">
        <f>IF($B88="","",IF(项目台账!$J87="","",项目台账!$J87))</f>
        <v/>
      </c>
      <c r="H88" s="17">
        <f>IF($B88="","",IF(项目台账!$Q87="","",项目台账!$Q87))</f>
        <v/>
      </c>
      <c r="I88" s="19">
        <f>IF($B88="","",项目台账!$M87)</f>
        <v/>
      </c>
      <c r="J88" s="19">
        <f>IF($B88="","",项目台账!$O87)</f>
        <v/>
      </c>
      <c r="K88" s="19">
        <f>IF($B88="","",项目台账!$P87)</f>
        <v/>
      </c>
      <c r="L88" s="19">
        <f>IF($B88="","",ROUND(SUMIFS(采购单!$L$4:$L$2003,采购单!$D$4:$D$2003,$B88,采购单!$F$4:$F$2003,"成本-主材")+SUMIFS(生产安装!$J$4:$J$1203,生产安装!$C$4:$C$1203,$B88,生产安装!$E$4:$E$1203,"成本-主材")+SUMIFS(资金日记账!$K$4:$K$2503,资金日记账!$G$4:$G$2503,$B88,资金日记账!$F$4:$F$2503,"成本-主材")-SUMIFS(资金日记账!$J$4:$J$2503,资金日记账!$G$4:$G$2503,$B88,资金日记账!$F$4:$F$2503,"成本-主材"),2))</f>
        <v/>
      </c>
      <c r="M88" s="19">
        <f>IF($B88="","",ROUND(SUMIFS(采购单!$L$4:$L$2003,采购单!$D$4:$D$2003,$B88,采购单!$F$4:$F$2003,"成本-辅材")+SUMIFS(生产安装!$J$4:$J$1203,生产安装!$C$4:$C$1203,$B88,生产安装!$E$4:$E$1203,"成本-辅材")+SUMIFS(资金日记账!$K$4:$K$2503,资金日记账!$G$4:$G$2503,$B88,资金日记账!$F$4:$F$2503,"成本-辅材")-SUMIFS(资金日记账!$J$4:$J$2503,资金日记账!$G$4:$G$2503,$B88,资金日记账!$F$4:$F$2503,"成本-辅材"),2))</f>
        <v/>
      </c>
      <c r="N88" s="19">
        <f>IF($B88="","",ROUND(SUMIFS(采购单!$L$4:$L$2003,采购单!$D$4:$D$2003,$B88,采购单!$F$4:$F$2003,"成本-人工")+SUMIFS(生产安装!$J$4:$J$1203,生产安装!$C$4:$C$1203,$B88,生产安装!$E$4:$E$1203,"成本-人工")+SUMIFS(资金日记账!$K$4:$K$2503,资金日记账!$G$4:$G$2503,$B88,资金日记账!$F$4:$F$2503,"成本-人工")-SUMIFS(资金日记账!$J$4:$J$2503,资金日记账!$G$4:$G$2503,$B88,资金日记账!$F$4:$F$2503,"成本-人工"),2))</f>
        <v/>
      </c>
      <c r="O88" s="19">
        <f>IF($B88="","",ROUND(SUMIFS(采购单!$L$4:$L$2003,采购单!$D$4:$D$2003,$B88,采购单!$F$4:$F$2003,"成本-车运")+SUMIFS(生产安装!$J$4:$J$1203,生产安装!$C$4:$C$1203,$B88,生产安装!$E$4:$E$1203,"成本-车运")+SUMIFS(资金日记账!$K$4:$K$2503,资金日记账!$G$4:$G$2503,$B88,资金日记账!$F$4:$F$2503,"成本-车运")-SUMIFS(资金日记账!$J$4:$J$2503,资金日记账!$G$4:$G$2503,$B88,资金日记账!$F$4:$F$2503,"成本-车运"),2))</f>
        <v/>
      </c>
      <c r="P88" s="19">
        <f>IF($B88="","",ROUND(SUMIFS(采购单!$L$4:$L$2003,采购单!$D$4:$D$2003,$B88,采购单!$F$4:$F$2003,"成本-其他")+SUMIFS(生产安装!$J$4:$J$1203,生产安装!$C$4:$C$1203,$B88,生产安装!$E$4:$E$1203,"成本-其他")+SUMIFS(资金日记账!$K$4:$K$2503,资金日记账!$G$4:$G$2503,$B88,资金日记账!$F$4:$F$2503,"成本-其他")-SUMIFS(资金日记账!$J$4:$J$2503,资金日记账!$G$4:$G$2503,$B88,资金日记账!$F$4:$F$2503,"成本-其他"),2))</f>
        <v/>
      </c>
      <c r="Q88" s="19">
        <f>IF($B88="","",ROUND(SUM($L88:$P88),2))</f>
        <v/>
      </c>
      <c r="R88" s="19">
        <f>IF($B88="","",ROUND($I88-$Q88,2))</f>
        <v/>
      </c>
      <c r="S88" s="33">
        <f>IF($B88="","",IF(ROUND($I88,2)=0,"",ROUND($R88/$I88,4)))</f>
        <v/>
      </c>
      <c r="T88" s="22">
        <f>IF($B88="","",IF($G88="",0,YEAR($G88)*100+MONTH($G88)))</f>
        <v/>
      </c>
      <c r="U88" s="17">
        <f>IF($B88="","",IF(项目台账!$R87="","",项目台账!$R87))</f>
        <v/>
      </c>
    </row>
    <row r="89">
      <c r="A89" s="17">
        <f>IF(项目台账!$B88="","",项目台账!$A88)</f>
        <v/>
      </c>
      <c r="B89" s="17">
        <f>IF(项目台账!$B88="","",项目台账!$B88)</f>
        <v/>
      </c>
      <c r="C89" s="17">
        <f>IF($B89="","",IF(项目台账!$C88="","",项目台账!$C88))</f>
        <v/>
      </c>
      <c r="D89" s="17">
        <f>IF($B89="","",IF(项目台账!$D88="","",项目台账!$D88))</f>
        <v/>
      </c>
      <c r="E89" s="17">
        <f>IF($B89="","",IF(项目台账!$E88="","",项目台账!$E88))</f>
        <v/>
      </c>
      <c r="F89" s="23">
        <f>IF($B89="","",IF(项目台账!$F88="","",项目台账!$F88))</f>
        <v/>
      </c>
      <c r="G89" s="23">
        <f>IF($B89="","",IF(项目台账!$J88="","",项目台账!$J88))</f>
        <v/>
      </c>
      <c r="H89" s="17">
        <f>IF($B89="","",IF(项目台账!$Q88="","",项目台账!$Q88))</f>
        <v/>
      </c>
      <c r="I89" s="19">
        <f>IF($B89="","",项目台账!$M88)</f>
        <v/>
      </c>
      <c r="J89" s="19">
        <f>IF($B89="","",项目台账!$O88)</f>
        <v/>
      </c>
      <c r="K89" s="19">
        <f>IF($B89="","",项目台账!$P88)</f>
        <v/>
      </c>
      <c r="L89" s="19">
        <f>IF($B89="","",ROUND(SUMIFS(采购单!$L$4:$L$2003,采购单!$D$4:$D$2003,$B89,采购单!$F$4:$F$2003,"成本-主材")+SUMIFS(生产安装!$J$4:$J$1203,生产安装!$C$4:$C$1203,$B89,生产安装!$E$4:$E$1203,"成本-主材")+SUMIFS(资金日记账!$K$4:$K$2503,资金日记账!$G$4:$G$2503,$B89,资金日记账!$F$4:$F$2503,"成本-主材")-SUMIFS(资金日记账!$J$4:$J$2503,资金日记账!$G$4:$G$2503,$B89,资金日记账!$F$4:$F$2503,"成本-主材"),2))</f>
        <v/>
      </c>
      <c r="M89" s="19">
        <f>IF($B89="","",ROUND(SUMIFS(采购单!$L$4:$L$2003,采购单!$D$4:$D$2003,$B89,采购单!$F$4:$F$2003,"成本-辅材")+SUMIFS(生产安装!$J$4:$J$1203,生产安装!$C$4:$C$1203,$B89,生产安装!$E$4:$E$1203,"成本-辅材")+SUMIFS(资金日记账!$K$4:$K$2503,资金日记账!$G$4:$G$2503,$B89,资金日记账!$F$4:$F$2503,"成本-辅材")-SUMIFS(资金日记账!$J$4:$J$2503,资金日记账!$G$4:$G$2503,$B89,资金日记账!$F$4:$F$2503,"成本-辅材"),2))</f>
        <v/>
      </c>
      <c r="N89" s="19">
        <f>IF($B89="","",ROUND(SUMIFS(采购单!$L$4:$L$2003,采购单!$D$4:$D$2003,$B89,采购单!$F$4:$F$2003,"成本-人工")+SUMIFS(生产安装!$J$4:$J$1203,生产安装!$C$4:$C$1203,$B89,生产安装!$E$4:$E$1203,"成本-人工")+SUMIFS(资金日记账!$K$4:$K$2503,资金日记账!$G$4:$G$2503,$B89,资金日记账!$F$4:$F$2503,"成本-人工")-SUMIFS(资金日记账!$J$4:$J$2503,资金日记账!$G$4:$G$2503,$B89,资金日记账!$F$4:$F$2503,"成本-人工"),2))</f>
        <v/>
      </c>
      <c r="O89" s="19">
        <f>IF($B89="","",ROUND(SUMIFS(采购单!$L$4:$L$2003,采购单!$D$4:$D$2003,$B89,采购单!$F$4:$F$2003,"成本-车运")+SUMIFS(生产安装!$J$4:$J$1203,生产安装!$C$4:$C$1203,$B89,生产安装!$E$4:$E$1203,"成本-车运")+SUMIFS(资金日记账!$K$4:$K$2503,资金日记账!$G$4:$G$2503,$B89,资金日记账!$F$4:$F$2503,"成本-车运")-SUMIFS(资金日记账!$J$4:$J$2503,资金日记账!$G$4:$G$2503,$B89,资金日记账!$F$4:$F$2503,"成本-车运"),2))</f>
        <v/>
      </c>
      <c r="P89" s="19">
        <f>IF($B89="","",ROUND(SUMIFS(采购单!$L$4:$L$2003,采购单!$D$4:$D$2003,$B89,采购单!$F$4:$F$2003,"成本-其他")+SUMIFS(生产安装!$J$4:$J$1203,生产安装!$C$4:$C$1203,$B89,生产安装!$E$4:$E$1203,"成本-其他")+SUMIFS(资金日记账!$K$4:$K$2503,资金日记账!$G$4:$G$2503,$B89,资金日记账!$F$4:$F$2503,"成本-其他")-SUMIFS(资金日记账!$J$4:$J$2503,资金日记账!$G$4:$G$2503,$B89,资金日记账!$F$4:$F$2503,"成本-其他"),2))</f>
        <v/>
      </c>
      <c r="Q89" s="19">
        <f>IF($B89="","",ROUND(SUM($L89:$P89),2))</f>
        <v/>
      </c>
      <c r="R89" s="19">
        <f>IF($B89="","",ROUND($I89-$Q89,2))</f>
        <v/>
      </c>
      <c r="S89" s="33">
        <f>IF($B89="","",IF(ROUND($I89,2)=0,"",ROUND($R89/$I89,4)))</f>
        <v/>
      </c>
      <c r="T89" s="22">
        <f>IF($B89="","",IF($G89="",0,YEAR($G89)*100+MONTH($G89)))</f>
        <v/>
      </c>
      <c r="U89" s="17">
        <f>IF($B89="","",IF(项目台账!$R88="","",项目台账!$R88))</f>
        <v/>
      </c>
    </row>
    <row r="90">
      <c r="A90" s="17">
        <f>IF(项目台账!$B89="","",项目台账!$A89)</f>
        <v/>
      </c>
      <c r="B90" s="17">
        <f>IF(项目台账!$B89="","",项目台账!$B89)</f>
        <v/>
      </c>
      <c r="C90" s="17">
        <f>IF($B90="","",IF(项目台账!$C89="","",项目台账!$C89))</f>
        <v/>
      </c>
      <c r="D90" s="17">
        <f>IF($B90="","",IF(项目台账!$D89="","",项目台账!$D89))</f>
        <v/>
      </c>
      <c r="E90" s="17">
        <f>IF($B90="","",IF(项目台账!$E89="","",项目台账!$E89))</f>
        <v/>
      </c>
      <c r="F90" s="23">
        <f>IF($B90="","",IF(项目台账!$F89="","",项目台账!$F89))</f>
        <v/>
      </c>
      <c r="G90" s="23">
        <f>IF($B90="","",IF(项目台账!$J89="","",项目台账!$J89))</f>
        <v/>
      </c>
      <c r="H90" s="17">
        <f>IF($B90="","",IF(项目台账!$Q89="","",项目台账!$Q89))</f>
        <v/>
      </c>
      <c r="I90" s="19">
        <f>IF($B90="","",项目台账!$M89)</f>
        <v/>
      </c>
      <c r="J90" s="19">
        <f>IF($B90="","",项目台账!$O89)</f>
        <v/>
      </c>
      <c r="K90" s="19">
        <f>IF($B90="","",项目台账!$P89)</f>
        <v/>
      </c>
      <c r="L90" s="19">
        <f>IF($B90="","",ROUND(SUMIFS(采购单!$L$4:$L$2003,采购单!$D$4:$D$2003,$B90,采购单!$F$4:$F$2003,"成本-主材")+SUMIFS(生产安装!$J$4:$J$1203,生产安装!$C$4:$C$1203,$B90,生产安装!$E$4:$E$1203,"成本-主材")+SUMIFS(资金日记账!$K$4:$K$2503,资金日记账!$G$4:$G$2503,$B90,资金日记账!$F$4:$F$2503,"成本-主材")-SUMIFS(资金日记账!$J$4:$J$2503,资金日记账!$G$4:$G$2503,$B90,资金日记账!$F$4:$F$2503,"成本-主材"),2))</f>
        <v/>
      </c>
      <c r="M90" s="19">
        <f>IF($B90="","",ROUND(SUMIFS(采购单!$L$4:$L$2003,采购单!$D$4:$D$2003,$B90,采购单!$F$4:$F$2003,"成本-辅材")+SUMIFS(生产安装!$J$4:$J$1203,生产安装!$C$4:$C$1203,$B90,生产安装!$E$4:$E$1203,"成本-辅材")+SUMIFS(资金日记账!$K$4:$K$2503,资金日记账!$G$4:$G$2503,$B90,资金日记账!$F$4:$F$2503,"成本-辅材")-SUMIFS(资金日记账!$J$4:$J$2503,资金日记账!$G$4:$G$2503,$B90,资金日记账!$F$4:$F$2503,"成本-辅材"),2))</f>
        <v/>
      </c>
      <c r="N90" s="19">
        <f>IF($B90="","",ROUND(SUMIFS(采购单!$L$4:$L$2003,采购单!$D$4:$D$2003,$B90,采购单!$F$4:$F$2003,"成本-人工")+SUMIFS(生产安装!$J$4:$J$1203,生产安装!$C$4:$C$1203,$B90,生产安装!$E$4:$E$1203,"成本-人工")+SUMIFS(资金日记账!$K$4:$K$2503,资金日记账!$G$4:$G$2503,$B90,资金日记账!$F$4:$F$2503,"成本-人工")-SUMIFS(资金日记账!$J$4:$J$2503,资金日记账!$G$4:$G$2503,$B90,资金日记账!$F$4:$F$2503,"成本-人工"),2))</f>
        <v/>
      </c>
      <c r="O90" s="19">
        <f>IF($B90="","",ROUND(SUMIFS(采购单!$L$4:$L$2003,采购单!$D$4:$D$2003,$B90,采购单!$F$4:$F$2003,"成本-车运")+SUMIFS(生产安装!$J$4:$J$1203,生产安装!$C$4:$C$1203,$B90,生产安装!$E$4:$E$1203,"成本-车运")+SUMIFS(资金日记账!$K$4:$K$2503,资金日记账!$G$4:$G$2503,$B90,资金日记账!$F$4:$F$2503,"成本-车运")-SUMIFS(资金日记账!$J$4:$J$2503,资金日记账!$G$4:$G$2503,$B90,资金日记账!$F$4:$F$2503,"成本-车运"),2))</f>
        <v/>
      </c>
      <c r="P90" s="19">
        <f>IF($B90="","",ROUND(SUMIFS(采购单!$L$4:$L$2003,采购单!$D$4:$D$2003,$B90,采购单!$F$4:$F$2003,"成本-其他")+SUMIFS(生产安装!$J$4:$J$1203,生产安装!$C$4:$C$1203,$B90,生产安装!$E$4:$E$1203,"成本-其他")+SUMIFS(资金日记账!$K$4:$K$2503,资金日记账!$G$4:$G$2503,$B90,资金日记账!$F$4:$F$2503,"成本-其他")-SUMIFS(资金日记账!$J$4:$J$2503,资金日记账!$G$4:$G$2503,$B90,资金日记账!$F$4:$F$2503,"成本-其他"),2))</f>
        <v/>
      </c>
      <c r="Q90" s="19">
        <f>IF($B90="","",ROUND(SUM($L90:$P90),2))</f>
        <v/>
      </c>
      <c r="R90" s="19">
        <f>IF($B90="","",ROUND($I90-$Q90,2))</f>
        <v/>
      </c>
      <c r="S90" s="33">
        <f>IF($B90="","",IF(ROUND($I90,2)=0,"",ROUND($R90/$I90,4)))</f>
        <v/>
      </c>
      <c r="T90" s="22">
        <f>IF($B90="","",IF($G90="",0,YEAR($G90)*100+MONTH($G90)))</f>
        <v/>
      </c>
      <c r="U90" s="17">
        <f>IF($B90="","",IF(项目台账!$R89="","",项目台账!$R89))</f>
        <v/>
      </c>
    </row>
    <row r="91">
      <c r="A91" s="17">
        <f>IF(项目台账!$B90="","",项目台账!$A90)</f>
        <v/>
      </c>
      <c r="B91" s="17">
        <f>IF(项目台账!$B90="","",项目台账!$B90)</f>
        <v/>
      </c>
      <c r="C91" s="17">
        <f>IF($B91="","",IF(项目台账!$C90="","",项目台账!$C90))</f>
        <v/>
      </c>
      <c r="D91" s="17">
        <f>IF($B91="","",IF(项目台账!$D90="","",项目台账!$D90))</f>
        <v/>
      </c>
      <c r="E91" s="17">
        <f>IF($B91="","",IF(项目台账!$E90="","",项目台账!$E90))</f>
        <v/>
      </c>
      <c r="F91" s="23">
        <f>IF($B91="","",IF(项目台账!$F90="","",项目台账!$F90))</f>
        <v/>
      </c>
      <c r="G91" s="23">
        <f>IF($B91="","",IF(项目台账!$J90="","",项目台账!$J90))</f>
        <v/>
      </c>
      <c r="H91" s="17">
        <f>IF($B91="","",IF(项目台账!$Q90="","",项目台账!$Q90))</f>
        <v/>
      </c>
      <c r="I91" s="19">
        <f>IF($B91="","",项目台账!$M90)</f>
        <v/>
      </c>
      <c r="J91" s="19">
        <f>IF($B91="","",项目台账!$O90)</f>
        <v/>
      </c>
      <c r="K91" s="19">
        <f>IF($B91="","",项目台账!$P90)</f>
        <v/>
      </c>
      <c r="L91" s="19">
        <f>IF($B91="","",ROUND(SUMIFS(采购单!$L$4:$L$2003,采购单!$D$4:$D$2003,$B91,采购单!$F$4:$F$2003,"成本-主材")+SUMIFS(生产安装!$J$4:$J$1203,生产安装!$C$4:$C$1203,$B91,生产安装!$E$4:$E$1203,"成本-主材")+SUMIFS(资金日记账!$K$4:$K$2503,资金日记账!$G$4:$G$2503,$B91,资金日记账!$F$4:$F$2503,"成本-主材")-SUMIFS(资金日记账!$J$4:$J$2503,资金日记账!$G$4:$G$2503,$B91,资金日记账!$F$4:$F$2503,"成本-主材"),2))</f>
        <v/>
      </c>
      <c r="M91" s="19">
        <f>IF($B91="","",ROUND(SUMIFS(采购单!$L$4:$L$2003,采购单!$D$4:$D$2003,$B91,采购单!$F$4:$F$2003,"成本-辅材")+SUMIFS(生产安装!$J$4:$J$1203,生产安装!$C$4:$C$1203,$B91,生产安装!$E$4:$E$1203,"成本-辅材")+SUMIFS(资金日记账!$K$4:$K$2503,资金日记账!$G$4:$G$2503,$B91,资金日记账!$F$4:$F$2503,"成本-辅材")-SUMIFS(资金日记账!$J$4:$J$2503,资金日记账!$G$4:$G$2503,$B91,资金日记账!$F$4:$F$2503,"成本-辅材"),2))</f>
        <v/>
      </c>
      <c r="N91" s="19">
        <f>IF($B91="","",ROUND(SUMIFS(采购单!$L$4:$L$2003,采购单!$D$4:$D$2003,$B91,采购单!$F$4:$F$2003,"成本-人工")+SUMIFS(生产安装!$J$4:$J$1203,生产安装!$C$4:$C$1203,$B91,生产安装!$E$4:$E$1203,"成本-人工")+SUMIFS(资金日记账!$K$4:$K$2503,资金日记账!$G$4:$G$2503,$B91,资金日记账!$F$4:$F$2503,"成本-人工")-SUMIFS(资金日记账!$J$4:$J$2503,资金日记账!$G$4:$G$2503,$B91,资金日记账!$F$4:$F$2503,"成本-人工"),2))</f>
        <v/>
      </c>
      <c r="O91" s="19">
        <f>IF($B91="","",ROUND(SUMIFS(采购单!$L$4:$L$2003,采购单!$D$4:$D$2003,$B91,采购单!$F$4:$F$2003,"成本-车运")+SUMIFS(生产安装!$J$4:$J$1203,生产安装!$C$4:$C$1203,$B91,生产安装!$E$4:$E$1203,"成本-车运")+SUMIFS(资金日记账!$K$4:$K$2503,资金日记账!$G$4:$G$2503,$B91,资金日记账!$F$4:$F$2503,"成本-车运")-SUMIFS(资金日记账!$J$4:$J$2503,资金日记账!$G$4:$G$2503,$B91,资金日记账!$F$4:$F$2503,"成本-车运"),2))</f>
        <v/>
      </c>
      <c r="P91" s="19">
        <f>IF($B91="","",ROUND(SUMIFS(采购单!$L$4:$L$2003,采购单!$D$4:$D$2003,$B91,采购单!$F$4:$F$2003,"成本-其他")+SUMIFS(生产安装!$J$4:$J$1203,生产安装!$C$4:$C$1203,$B91,生产安装!$E$4:$E$1203,"成本-其他")+SUMIFS(资金日记账!$K$4:$K$2503,资金日记账!$G$4:$G$2503,$B91,资金日记账!$F$4:$F$2503,"成本-其他")-SUMIFS(资金日记账!$J$4:$J$2503,资金日记账!$G$4:$G$2503,$B91,资金日记账!$F$4:$F$2503,"成本-其他"),2))</f>
        <v/>
      </c>
      <c r="Q91" s="19">
        <f>IF($B91="","",ROUND(SUM($L91:$P91),2))</f>
        <v/>
      </c>
      <c r="R91" s="19">
        <f>IF($B91="","",ROUND($I91-$Q91,2))</f>
        <v/>
      </c>
      <c r="S91" s="33">
        <f>IF($B91="","",IF(ROUND($I91,2)=0,"",ROUND($R91/$I91,4)))</f>
        <v/>
      </c>
      <c r="T91" s="22">
        <f>IF($B91="","",IF($G91="",0,YEAR($G91)*100+MONTH($G91)))</f>
        <v/>
      </c>
      <c r="U91" s="17">
        <f>IF($B91="","",IF(项目台账!$R90="","",项目台账!$R90))</f>
        <v/>
      </c>
    </row>
    <row r="92">
      <c r="A92" s="17">
        <f>IF(项目台账!$B91="","",项目台账!$A91)</f>
        <v/>
      </c>
      <c r="B92" s="17">
        <f>IF(项目台账!$B91="","",项目台账!$B91)</f>
        <v/>
      </c>
      <c r="C92" s="17">
        <f>IF($B92="","",IF(项目台账!$C91="","",项目台账!$C91))</f>
        <v/>
      </c>
      <c r="D92" s="17">
        <f>IF($B92="","",IF(项目台账!$D91="","",项目台账!$D91))</f>
        <v/>
      </c>
      <c r="E92" s="17">
        <f>IF($B92="","",IF(项目台账!$E91="","",项目台账!$E91))</f>
        <v/>
      </c>
      <c r="F92" s="23">
        <f>IF($B92="","",IF(项目台账!$F91="","",项目台账!$F91))</f>
        <v/>
      </c>
      <c r="G92" s="23">
        <f>IF($B92="","",IF(项目台账!$J91="","",项目台账!$J91))</f>
        <v/>
      </c>
      <c r="H92" s="17">
        <f>IF($B92="","",IF(项目台账!$Q91="","",项目台账!$Q91))</f>
        <v/>
      </c>
      <c r="I92" s="19">
        <f>IF($B92="","",项目台账!$M91)</f>
        <v/>
      </c>
      <c r="J92" s="19">
        <f>IF($B92="","",项目台账!$O91)</f>
        <v/>
      </c>
      <c r="K92" s="19">
        <f>IF($B92="","",项目台账!$P91)</f>
        <v/>
      </c>
      <c r="L92" s="19">
        <f>IF($B92="","",ROUND(SUMIFS(采购单!$L$4:$L$2003,采购单!$D$4:$D$2003,$B92,采购单!$F$4:$F$2003,"成本-主材")+SUMIFS(生产安装!$J$4:$J$1203,生产安装!$C$4:$C$1203,$B92,生产安装!$E$4:$E$1203,"成本-主材")+SUMIFS(资金日记账!$K$4:$K$2503,资金日记账!$G$4:$G$2503,$B92,资金日记账!$F$4:$F$2503,"成本-主材")-SUMIFS(资金日记账!$J$4:$J$2503,资金日记账!$G$4:$G$2503,$B92,资金日记账!$F$4:$F$2503,"成本-主材"),2))</f>
        <v/>
      </c>
      <c r="M92" s="19">
        <f>IF($B92="","",ROUND(SUMIFS(采购单!$L$4:$L$2003,采购单!$D$4:$D$2003,$B92,采购单!$F$4:$F$2003,"成本-辅材")+SUMIFS(生产安装!$J$4:$J$1203,生产安装!$C$4:$C$1203,$B92,生产安装!$E$4:$E$1203,"成本-辅材")+SUMIFS(资金日记账!$K$4:$K$2503,资金日记账!$G$4:$G$2503,$B92,资金日记账!$F$4:$F$2503,"成本-辅材")-SUMIFS(资金日记账!$J$4:$J$2503,资金日记账!$G$4:$G$2503,$B92,资金日记账!$F$4:$F$2503,"成本-辅材"),2))</f>
        <v/>
      </c>
      <c r="N92" s="19">
        <f>IF($B92="","",ROUND(SUMIFS(采购单!$L$4:$L$2003,采购单!$D$4:$D$2003,$B92,采购单!$F$4:$F$2003,"成本-人工")+SUMIFS(生产安装!$J$4:$J$1203,生产安装!$C$4:$C$1203,$B92,生产安装!$E$4:$E$1203,"成本-人工")+SUMIFS(资金日记账!$K$4:$K$2503,资金日记账!$G$4:$G$2503,$B92,资金日记账!$F$4:$F$2503,"成本-人工")-SUMIFS(资金日记账!$J$4:$J$2503,资金日记账!$G$4:$G$2503,$B92,资金日记账!$F$4:$F$2503,"成本-人工"),2))</f>
        <v/>
      </c>
      <c r="O92" s="19">
        <f>IF($B92="","",ROUND(SUMIFS(采购单!$L$4:$L$2003,采购单!$D$4:$D$2003,$B92,采购单!$F$4:$F$2003,"成本-车运")+SUMIFS(生产安装!$J$4:$J$1203,生产安装!$C$4:$C$1203,$B92,生产安装!$E$4:$E$1203,"成本-车运")+SUMIFS(资金日记账!$K$4:$K$2503,资金日记账!$G$4:$G$2503,$B92,资金日记账!$F$4:$F$2503,"成本-车运")-SUMIFS(资金日记账!$J$4:$J$2503,资金日记账!$G$4:$G$2503,$B92,资金日记账!$F$4:$F$2503,"成本-车运"),2))</f>
        <v/>
      </c>
      <c r="P92" s="19">
        <f>IF($B92="","",ROUND(SUMIFS(采购单!$L$4:$L$2003,采购单!$D$4:$D$2003,$B92,采购单!$F$4:$F$2003,"成本-其他")+SUMIFS(生产安装!$J$4:$J$1203,生产安装!$C$4:$C$1203,$B92,生产安装!$E$4:$E$1203,"成本-其他")+SUMIFS(资金日记账!$K$4:$K$2503,资金日记账!$G$4:$G$2503,$B92,资金日记账!$F$4:$F$2503,"成本-其他")-SUMIFS(资金日记账!$J$4:$J$2503,资金日记账!$G$4:$G$2503,$B92,资金日记账!$F$4:$F$2503,"成本-其他"),2))</f>
        <v/>
      </c>
      <c r="Q92" s="19">
        <f>IF($B92="","",ROUND(SUM($L92:$P92),2))</f>
        <v/>
      </c>
      <c r="R92" s="19">
        <f>IF($B92="","",ROUND($I92-$Q92,2))</f>
        <v/>
      </c>
      <c r="S92" s="33">
        <f>IF($B92="","",IF(ROUND($I92,2)=0,"",ROUND($R92/$I92,4)))</f>
        <v/>
      </c>
      <c r="T92" s="22">
        <f>IF($B92="","",IF($G92="",0,YEAR($G92)*100+MONTH($G92)))</f>
        <v/>
      </c>
      <c r="U92" s="17">
        <f>IF($B92="","",IF(项目台账!$R91="","",项目台账!$R91))</f>
        <v/>
      </c>
    </row>
    <row r="93">
      <c r="A93" s="17">
        <f>IF(项目台账!$B92="","",项目台账!$A92)</f>
        <v/>
      </c>
      <c r="B93" s="17">
        <f>IF(项目台账!$B92="","",项目台账!$B92)</f>
        <v/>
      </c>
      <c r="C93" s="17">
        <f>IF($B93="","",IF(项目台账!$C92="","",项目台账!$C92))</f>
        <v/>
      </c>
      <c r="D93" s="17">
        <f>IF($B93="","",IF(项目台账!$D92="","",项目台账!$D92))</f>
        <v/>
      </c>
      <c r="E93" s="17">
        <f>IF($B93="","",IF(项目台账!$E92="","",项目台账!$E92))</f>
        <v/>
      </c>
      <c r="F93" s="23">
        <f>IF($B93="","",IF(项目台账!$F92="","",项目台账!$F92))</f>
        <v/>
      </c>
      <c r="G93" s="23">
        <f>IF($B93="","",IF(项目台账!$J92="","",项目台账!$J92))</f>
        <v/>
      </c>
      <c r="H93" s="17">
        <f>IF($B93="","",IF(项目台账!$Q92="","",项目台账!$Q92))</f>
        <v/>
      </c>
      <c r="I93" s="19">
        <f>IF($B93="","",项目台账!$M92)</f>
        <v/>
      </c>
      <c r="J93" s="19">
        <f>IF($B93="","",项目台账!$O92)</f>
        <v/>
      </c>
      <c r="K93" s="19">
        <f>IF($B93="","",项目台账!$P92)</f>
        <v/>
      </c>
      <c r="L93" s="19">
        <f>IF($B93="","",ROUND(SUMIFS(采购单!$L$4:$L$2003,采购单!$D$4:$D$2003,$B93,采购单!$F$4:$F$2003,"成本-主材")+SUMIFS(生产安装!$J$4:$J$1203,生产安装!$C$4:$C$1203,$B93,生产安装!$E$4:$E$1203,"成本-主材")+SUMIFS(资金日记账!$K$4:$K$2503,资金日记账!$G$4:$G$2503,$B93,资金日记账!$F$4:$F$2503,"成本-主材")-SUMIFS(资金日记账!$J$4:$J$2503,资金日记账!$G$4:$G$2503,$B93,资金日记账!$F$4:$F$2503,"成本-主材"),2))</f>
        <v/>
      </c>
      <c r="M93" s="19">
        <f>IF($B93="","",ROUND(SUMIFS(采购单!$L$4:$L$2003,采购单!$D$4:$D$2003,$B93,采购单!$F$4:$F$2003,"成本-辅材")+SUMIFS(生产安装!$J$4:$J$1203,生产安装!$C$4:$C$1203,$B93,生产安装!$E$4:$E$1203,"成本-辅材")+SUMIFS(资金日记账!$K$4:$K$2503,资金日记账!$G$4:$G$2503,$B93,资金日记账!$F$4:$F$2503,"成本-辅材")-SUMIFS(资金日记账!$J$4:$J$2503,资金日记账!$G$4:$G$2503,$B93,资金日记账!$F$4:$F$2503,"成本-辅材"),2))</f>
        <v/>
      </c>
      <c r="N93" s="19">
        <f>IF($B93="","",ROUND(SUMIFS(采购单!$L$4:$L$2003,采购单!$D$4:$D$2003,$B93,采购单!$F$4:$F$2003,"成本-人工")+SUMIFS(生产安装!$J$4:$J$1203,生产安装!$C$4:$C$1203,$B93,生产安装!$E$4:$E$1203,"成本-人工")+SUMIFS(资金日记账!$K$4:$K$2503,资金日记账!$G$4:$G$2503,$B93,资金日记账!$F$4:$F$2503,"成本-人工")-SUMIFS(资金日记账!$J$4:$J$2503,资金日记账!$G$4:$G$2503,$B93,资金日记账!$F$4:$F$2503,"成本-人工"),2))</f>
        <v/>
      </c>
      <c r="O93" s="19">
        <f>IF($B93="","",ROUND(SUMIFS(采购单!$L$4:$L$2003,采购单!$D$4:$D$2003,$B93,采购单!$F$4:$F$2003,"成本-车运")+SUMIFS(生产安装!$J$4:$J$1203,生产安装!$C$4:$C$1203,$B93,生产安装!$E$4:$E$1203,"成本-车运")+SUMIFS(资金日记账!$K$4:$K$2503,资金日记账!$G$4:$G$2503,$B93,资金日记账!$F$4:$F$2503,"成本-车运")-SUMIFS(资金日记账!$J$4:$J$2503,资金日记账!$G$4:$G$2503,$B93,资金日记账!$F$4:$F$2503,"成本-车运"),2))</f>
        <v/>
      </c>
      <c r="P93" s="19">
        <f>IF($B93="","",ROUND(SUMIFS(采购单!$L$4:$L$2003,采购单!$D$4:$D$2003,$B93,采购单!$F$4:$F$2003,"成本-其他")+SUMIFS(生产安装!$J$4:$J$1203,生产安装!$C$4:$C$1203,$B93,生产安装!$E$4:$E$1203,"成本-其他")+SUMIFS(资金日记账!$K$4:$K$2503,资金日记账!$G$4:$G$2503,$B93,资金日记账!$F$4:$F$2503,"成本-其他")-SUMIFS(资金日记账!$J$4:$J$2503,资金日记账!$G$4:$G$2503,$B93,资金日记账!$F$4:$F$2503,"成本-其他"),2))</f>
        <v/>
      </c>
      <c r="Q93" s="19">
        <f>IF($B93="","",ROUND(SUM($L93:$P93),2))</f>
        <v/>
      </c>
      <c r="R93" s="19">
        <f>IF($B93="","",ROUND($I93-$Q93,2))</f>
        <v/>
      </c>
      <c r="S93" s="33">
        <f>IF($B93="","",IF(ROUND($I93,2)=0,"",ROUND($R93/$I93,4)))</f>
        <v/>
      </c>
      <c r="T93" s="22">
        <f>IF($B93="","",IF($G93="",0,YEAR($G93)*100+MONTH($G93)))</f>
        <v/>
      </c>
      <c r="U93" s="17">
        <f>IF($B93="","",IF(项目台账!$R92="","",项目台账!$R92))</f>
        <v/>
      </c>
    </row>
    <row r="94">
      <c r="A94" s="17">
        <f>IF(项目台账!$B93="","",项目台账!$A93)</f>
        <v/>
      </c>
      <c r="B94" s="17">
        <f>IF(项目台账!$B93="","",项目台账!$B93)</f>
        <v/>
      </c>
      <c r="C94" s="17">
        <f>IF($B94="","",IF(项目台账!$C93="","",项目台账!$C93))</f>
        <v/>
      </c>
      <c r="D94" s="17">
        <f>IF($B94="","",IF(项目台账!$D93="","",项目台账!$D93))</f>
        <v/>
      </c>
      <c r="E94" s="17">
        <f>IF($B94="","",IF(项目台账!$E93="","",项目台账!$E93))</f>
        <v/>
      </c>
      <c r="F94" s="23">
        <f>IF($B94="","",IF(项目台账!$F93="","",项目台账!$F93))</f>
        <v/>
      </c>
      <c r="G94" s="23">
        <f>IF($B94="","",IF(项目台账!$J93="","",项目台账!$J93))</f>
        <v/>
      </c>
      <c r="H94" s="17">
        <f>IF($B94="","",IF(项目台账!$Q93="","",项目台账!$Q93))</f>
        <v/>
      </c>
      <c r="I94" s="19">
        <f>IF($B94="","",项目台账!$M93)</f>
        <v/>
      </c>
      <c r="J94" s="19">
        <f>IF($B94="","",项目台账!$O93)</f>
        <v/>
      </c>
      <c r="K94" s="19">
        <f>IF($B94="","",项目台账!$P93)</f>
        <v/>
      </c>
      <c r="L94" s="19">
        <f>IF($B94="","",ROUND(SUMIFS(采购单!$L$4:$L$2003,采购单!$D$4:$D$2003,$B94,采购单!$F$4:$F$2003,"成本-主材")+SUMIFS(生产安装!$J$4:$J$1203,生产安装!$C$4:$C$1203,$B94,生产安装!$E$4:$E$1203,"成本-主材")+SUMIFS(资金日记账!$K$4:$K$2503,资金日记账!$G$4:$G$2503,$B94,资金日记账!$F$4:$F$2503,"成本-主材")-SUMIFS(资金日记账!$J$4:$J$2503,资金日记账!$G$4:$G$2503,$B94,资金日记账!$F$4:$F$2503,"成本-主材"),2))</f>
        <v/>
      </c>
      <c r="M94" s="19">
        <f>IF($B94="","",ROUND(SUMIFS(采购单!$L$4:$L$2003,采购单!$D$4:$D$2003,$B94,采购单!$F$4:$F$2003,"成本-辅材")+SUMIFS(生产安装!$J$4:$J$1203,生产安装!$C$4:$C$1203,$B94,生产安装!$E$4:$E$1203,"成本-辅材")+SUMIFS(资金日记账!$K$4:$K$2503,资金日记账!$G$4:$G$2503,$B94,资金日记账!$F$4:$F$2503,"成本-辅材")-SUMIFS(资金日记账!$J$4:$J$2503,资金日记账!$G$4:$G$2503,$B94,资金日记账!$F$4:$F$2503,"成本-辅材"),2))</f>
        <v/>
      </c>
      <c r="N94" s="19">
        <f>IF($B94="","",ROUND(SUMIFS(采购单!$L$4:$L$2003,采购单!$D$4:$D$2003,$B94,采购单!$F$4:$F$2003,"成本-人工")+SUMIFS(生产安装!$J$4:$J$1203,生产安装!$C$4:$C$1203,$B94,生产安装!$E$4:$E$1203,"成本-人工")+SUMIFS(资金日记账!$K$4:$K$2503,资金日记账!$G$4:$G$2503,$B94,资金日记账!$F$4:$F$2503,"成本-人工")-SUMIFS(资金日记账!$J$4:$J$2503,资金日记账!$G$4:$G$2503,$B94,资金日记账!$F$4:$F$2503,"成本-人工"),2))</f>
        <v/>
      </c>
      <c r="O94" s="19">
        <f>IF($B94="","",ROUND(SUMIFS(采购单!$L$4:$L$2003,采购单!$D$4:$D$2003,$B94,采购单!$F$4:$F$2003,"成本-车运")+SUMIFS(生产安装!$J$4:$J$1203,生产安装!$C$4:$C$1203,$B94,生产安装!$E$4:$E$1203,"成本-车运")+SUMIFS(资金日记账!$K$4:$K$2503,资金日记账!$G$4:$G$2503,$B94,资金日记账!$F$4:$F$2503,"成本-车运")-SUMIFS(资金日记账!$J$4:$J$2503,资金日记账!$G$4:$G$2503,$B94,资金日记账!$F$4:$F$2503,"成本-车运"),2))</f>
        <v/>
      </c>
      <c r="P94" s="19">
        <f>IF($B94="","",ROUND(SUMIFS(采购单!$L$4:$L$2003,采购单!$D$4:$D$2003,$B94,采购单!$F$4:$F$2003,"成本-其他")+SUMIFS(生产安装!$J$4:$J$1203,生产安装!$C$4:$C$1203,$B94,生产安装!$E$4:$E$1203,"成本-其他")+SUMIFS(资金日记账!$K$4:$K$2503,资金日记账!$G$4:$G$2503,$B94,资金日记账!$F$4:$F$2503,"成本-其他")-SUMIFS(资金日记账!$J$4:$J$2503,资金日记账!$G$4:$G$2503,$B94,资金日记账!$F$4:$F$2503,"成本-其他"),2))</f>
        <v/>
      </c>
      <c r="Q94" s="19">
        <f>IF($B94="","",ROUND(SUM($L94:$P94),2))</f>
        <v/>
      </c>
      <c r="R94" s="19">
        <f>IF($B94="","",ROUND($I94-$Q94,2))</f>
        <v/>
      </c>
      <c r="S94" s="33">
        <f>IF($B94="","",IF(ROUND($I94,2)=0,"",ROUND($R94/$I94,4)))</f>
        <v/>
      </c>
      <c r="T94" s="22">
        <f>IF($B94="","",IF($G94="",0,YEAR($G94)*100+MONTH($G94)))</f>
        <v/>
      </c>
      <c r="U94" s="17">
        <f>IF($B94="","",IF(项目台账!$R93="","",项目台账!$R93))</f>
        <v/>
      </c>
    </row>
    <row r="95">
      <c r="A95" s="17">
        <f>IF(项目台账!$B94="","",项目台账!$A94)</f>
        <v/>
      </c>
      <c r="B95" s="17">
        <f>IF(项目台账!$B94="","",项目台账!$B94)</f>
        <v/>
      </c>
      <c r="C95" s="17">
        <f>IF($B95="","",IF(项目台账!$C94="","",项目台账!$C94))</f>
        <v/>
      </c>
      <c r="D95" s="17">
        <f>IF($B95="","",IF(项目台账!$D94="","",项目台账!$D94))</f>
        <v/>
      </c>
      <c r="E95" s="17">
        <f>IF($B95="","",IF(项目台账!$E94="","",项目台账!$E94))</f>
        <v/>
      </c>
      <c r="F95" s="23">
        <f>IF($B95="","",IF(项目台账!$F94="","",项目台账!$F94))</f>
        <v/>
      </c>
      <c r="G95" s="23">
        <f>IF($B95="","",IF(项目台账!$J94="","",项目台账!$J94))</f>
        <v/>
      </c>
      <c r="H95" s="17">
        <f>IF($B95="","",IF(项目台账!$Q94="","",项目台账!$Q94))</f>
        <v/>
      </c>
      <c r="I95" s="19">
        <f>IF($B95="","",项目台账!$M94)</f>
        <v/>
      </c>
      <c r="J95" s="19">
        <f>IF($B95="","",项目台账!$O94)</f>
        <v/>
      </c>
      <c r="K95" s="19">
        <f>IF($B95="","",项目台账!$P94)</f>
        <v/>
      </c>
      <c r="L95" s="19">
        <f>IF($B95="","",ROUND(SUMIFS(采购单!$L$4:$L$2003,采购单!$D$4:$D$2003,$B95,采购单!$F$4:$F$2003,"成本-主材")+SUMIFS(生产安装!$J$4:$J$1203,生产安装!$C$4:$C$1203,$B95,生产安装!$E$4:$E$1203,"成本-主材")+SUMIFS(资金日记账!$K$4:$K$2503,资金日记账!$G$4:$G$2503,$B95,资金日记账!$F$4:$F$2503,"成本-主材")-SUMIFS(资金日记账!$J$4:$J$2503,资金日记账!$G$4:$G$2503,$B95,资金日记账!$F$4:$F$2503,"成本-主材"),2))</f>
        <v/>
      </c>
      <c r="M95" s="19">
        <f>IF($B95="","",ROUND(SUMIFS(采购单!$L$4:$L$2003,采购单!$D$4:$D$2003,$B95,采购单!$F$4:$F$2003,"成本-辅材")+SUMIFS(生产安装!$J$4:$J$1203,生产安装!$C$4:$C$1203,$B95,生产安装!$E$4:$E$1203,"成本-辅材")+SUMIFS(资金日记账!$K$4:$K$2503,资金日记账!$G$4:$G$2503,$B95,资金日记账!$F$4:$F$2503,"成本-辅材")-SUMIFS(资金日记账!$J$4:$J$2503,资金日记账!$G$4:$G$2503,$B95,资金日记账!$F$4:$F$2503,"成本-辅材"),2))</f>
        <v/>
      </c>
      <c r="N95" s="19">
        <f>IF($B95="","",ROUND(SUMIFS(采购单!$L$4:$L$2003,采购单!$D$4:$D$2003,$B95,采购单!$F$4:$F$2003,"成本-人工")+SUMIFS(生产安装!$J$4:$J$1203,生产安装!$C$4:$C$1203,$B95,生产安装!$E$4:$E$1203,"成本-人工")+SUMIFS(资金日记账!$K$4:$K$2503,资金日记账!$G$4:$G$2503,$B95,资金日记账!$F$4:$F$2503,"成本-人工")-SUMIFS(资金日记账!$J$4:$J$2503,资金日记账!$G$4:$G$2503,$B95,资金日记账!$F$4:$F$2503,"成本-人工"),2))</f>
        <v/>
      </c>
      <c r="O95" s="19">
        <f>IF($B95="","",ROUND(SUMIFS(采购单!$L$4:$L$2003,采购单!$D$4:$D$2003,$B95,采购单!$F$4:$F$2003,"成本-车运")+SUMIFS(生产安装!$J$4:$J$1203,生产安装!$C$4:$C$1203,$B95,生产安装!$E$4:$E$1203,"成本-车运")+SUMIFS(资金日记账!$K$4:$K$2503,资金日记账!$G$4:$G$2503,$B95,资金日记账!$F$4:$F$2503,"成本-车运")-SUMIFS(资金日记账!$J$4:$J$2503,资金日记账!$G$4:$G$2503,$B95,资金日记账!$F$4:$F$2503,"成本-车运"),2))</f>
        <v/>
      </c>
      <c r="P95" s="19">
        <f>IF($B95="","",ROUND(SUMIFS(采购单!$L$4:$L$2003,采购单!$D$4:$D$2003,$B95,采购单!$F$4:$F$2003,"成本-其他")+SUMIFS(生产安装!$J$4:$J$1203,生产安装!$C$4:$C$1203,$B95,生产安装!$E$4:$E$1203,"成本-其他")+SUMIFS(资金日记账!$K$4:$K$2503,资金日记账!$G$4:$G$2503,$B95,资金日记账!$F$4:$F$2503,"成本-其他")-SUMIFS(资金日记账!$J$4:$J$2503,资金日记账!$G$4:$G$2503,$B95,资金日记账!$F$4:$F$2503,"成本-其他"),2))</f>
        <v/>
      </c>
      <c r="Q95" s="19">
        <f>IF($B95="","",ROUND(SUM($L95:$P95),2))</f>
        <v/>
      </c>
      <c r="R95" s="19">
        <f>IF($B95="","",ROUND($I95-$Q95,2))</f>
        <v/>
      </c>
      <c r="S95" s="33">
        <f>IF($B95="","",IF(ROUND($I95,2)=0,"",ROUND($R95/$I95,4)))</f>
        <v/>
      </c>
      <c r="T95" s="22">
        <f>IF($B95="","",IF($G95="",0,YEAR($G95)*100+MONTH($G95)))</f>
        <v/>
      </c>
      <c r="U95" s="17">
        <f>IF($B95="","",IF(项目台账!$R94="","",项目台账!$R94))</f>
        <v/>
      </c>
    </row>
    <row r="96">
      <c r="A96" s="17">
        <f>IF(项目台账!$B95="","",项目台账!$A95)</f>
        <v/>
      </c>
      <c r="B96" s="17">
        <f>IF(项目台账!$B95="","",项目台账!$B95)</f>
        <v/>
      </c>
      <c r="C96" s="17">
        <f>IF($B96="","",IF(项目台账!$C95="","",项目台账!$C95))</f>
        <v/>
      </c>
      <c r="D96" s="17">
        <f>IF($B96="","",IF(项目台账!$D95="","",项目台账!$D95))</f>
        <v/>
      </c>
      <c r="E96" s="17">
        <f>IF($B96="","",IF(项目台账!$E95="","",项目台账!$E95))</f>
        <v/>
      </c>
      <c r="F96" s="23">
        <f>IF($B96="","",IF(项目台账!$F95="","",项目台账!$F95))</f>
        <v/>
      </c>
      <c r="G96" s="23">
        <f>IF($B96="","",IF(项目台账!$J95="","",项目台账!$J95))</f>
        <v/>
      </c>
      <c r="H96" s="17">
        <f>IF($B96="","",IF(项目台账!$Q95="","",项目台账!$Q95))</f>
        <v/>
      </c>
      <c r="I96" s="19">
        <f>IF($B96="","",项目台账!$M95)</f>
        <v/>
      </c>
      <c r="J96" s="19">
        <f>IF($B96="","",项目台账!$O95)</f>
        <v/>
      </c>
      <c r="K96" s="19">
        <f>IF($B96="","",项目台账!$P95)</f>
        <v/>
      </c>
      <c r="L96" s="19">
        <f>IF($B96="","",ROUND(SUMIFS(采购单!$L$4:$L$2003,采购单!$D$4:$D$2003,$B96,采购单!$F$4:$F$2003,"成本-主材")+SUMIFS(生产安装!$J$4:$J$1203,生产安装!$C$4:$C$1203,$B96,生产安装!$E$4:$E$1203,"成本-主材")+SUMIFS(资金日记账!$K$4:$K$2503,资金日记账!$G$4:$G$2503,$B96,资金日记账!$F$4:$F$2503,"成本-主材")-SUMIFS(资金日记账!$J$4:$J$2503,资金日记账!$G$4:$G$2503,$B96,资金日记账!$F$4:$F$2503,"成本-主材"),2))</f>
        <v/>
      </c>
      <c r="M96" s="19">
        <f>IF($B96="","",ROUND(SUMIFS(采购单!$L$4:$L$2003,采购单!$D$4:$D$2003,$B96,采购单!$F$4:$F$2003,"成本-辅材")+SUMIFS(生产安装!$J$4:$J$1203,生产安装!$C$4:$C$1203,$B96,生产安装!$E$4:$E$1203,"成本-辅材")+SUMIFS(资金日记账!$K$4:$K$2503,资金日记账!$G$4:$G$2503,$B96,资金日记账!$F$4:$F$2503,"成本-辅材")-SUMIFS(资金日记账!$J$4:$J$2503,资金日记账!$G$4:$G$2503,$B96,资金日记账!$F$4:$F$2503,"成本-辅材"),2))</f>
        <v/>
      </c>
      <c r="N96" s="19">
        <f>IF($B96="","",ROUND(SUMIFS(采购单!$L$4:$L$2003,采购单!$D$4:$D$2003,$B96,采购单!$F$4:$F$2003,"成本-人工")+SUMIFS(生产安装!$J$4:$J$1203,生产安装!$C$4:$C$1203,$B96,生产安装!$E$4:$E$1203,"成本-人工")+SUMIFS(资金日记账!$K$4:$K$2503,资金日记账!$G$4:$G$2503,$B96,资金日记账!$F$4:$F$2503,"成本-人工")-SUMIFS(资金日记账!$J$4:$J$2503,资金日记账!$G$4:$G$2503,$B96,资金日记账!$F$4:$F$2503,"成本-人工"),2))</f>
        <v/>
      </c>
      <c r="O96" s="19">
        <f>IF($B96="","",ROUND(SUMIFS(采购单!$L$4:$L$2003,采购单!$D$4:$D$2003,$B96,采购单!$F$4:$F$2003,"成本-车运")+SUMIFS(生产安装!$J$4:$J$1203,生产安装!$C$4:$C$1203,$B96,生产安装!$E$4:$E$1203,"成本-车运")+SUMIFS(资金日记账!$K$4:$K$2503,资金日记账!$G$4:$G$2503,$B96,资金日记账!$F$4:$F$2503,"成本-车运")-SUMIFS(资金日记账!$J$4:$J$2503,资金日记账!$G$4:$G$2503,$B96,资金日记账!$F$4:$F$2503,"成本-车运"),2))</f>
        <v/>
      </c>
      <c r="P96" s="19">
        <f>IF($B96="","",ROUND(SUMIFS(采购单!$L$4:$L$2003,采购单!$D$4:$D$2003,$B96,采购单!$F$4:$F$2003,"成本-其他")+SUMIFS(生产安装!$J$4:$J$1203,生产安装!$C$4:$C$1203,$B96,生产安装!$E$4:$E$1203,"成本-其他")+SUMIFS(资金日记账!$K$4:$K$2503,资金日记账!$G$4:$G$2503,$B96,资金日记账!$F$4:$F$2503,"成本-其他")-SUMIFS(资金日记账!$J$4:$J$2503,资金日记账!$G$4:$G$2503,$B96,资金日记账!$F$4:$F$2503,"成本-其他"),2))</f>
        <v/>
      </c>
      <c r="Q96" s="19">
        <f>IF($B96="","",ROUND(SUM($L96:$P96),2))</f>
        <v/>
      </c>
      <c r="R96" s="19">
        <f>IF($B96="","",ROUND($I96-$Q96,2))</f>
        <v/>
      </c>
      <c r="S96" s="33">
        <f>IF($B96="","",IF(ROUND($I96,2)=0,"",ROUND($R96/$I96,4)))</f>
        <v/>
      </c>
      <c r="T96" s="22">
        <f>IF($B96="","",IF($G96="",0,YEAR($G96)*100+MONTH($G96)))</f>
        <v/>
      </c>
      <c r="U96" s="17">
        <f>IF($B96="","",IF(项目台账!$R95="","",项目台账!$R95))</f>
        <v/>
      </c>
    </row>
    <row r="97">
      <c r="A97" s="17">
        <f>IF(项目台账!$B96="","",项目台账!$A96)</f>
        <v/>
      </c>
      <c r="B97" s="17">
        <f>IF(项目台账!$B96="","",项目台账!$B96)</f>
        <v/>
      </c>
      <c r="C97" s="17">
        <f>IF($B97="","",IF(项目台账!$C96="","",项目台账!$C96))</f>
        <v/>
      </c>
      <c r="D97" s="17">
        <f>IF($B97="","",IF(项目台账!$D96="","",项目台账!$D96))</f>
        <v/>
      </c>
      <c r="E97" s="17">
        <f>IF($B97="","",IF(项目台账!$E96="","",项目台账!$E96))</f>
        <v/>
      </c>
      <c r="F97" s="23">
        <f>IF($B97="","",IF(项目台账!$F96="","",项目台账!$F96))</f>
        <v/>
      </c>
      <c r="G97" s="23">
        <f>IF($B97="","",IF(项目台账!$J96="","",项目台账!$J96))</f>
        <v/>
      </c>
      <c r="H97" s="17">
        <f>IF($B97="","",IF(项目台账!$Q96="","",项目台账!$Q96))</f>
        <v/>
      </c>
      <c r="I97" s="19">
        <f>IF($B97="","",项目台账!$M96)</f>
        <v/>
      </c>
      <c r="J97" s="19">
        <f>IF($B97="","",项目台账!$O96)</f>
        <v/>
      </c>
      <c r="K97" s="19">
        <f>IF($B97="","",项目台账!$P96)</f>
        <v/>
      </c>
      <c r="L97" s="19">
        <f>IF($B97="","",ROUND(SUMIFS(采购单!$L$4:$L$2003,采购单!$D$4:$D$2003,$B97,采购单!$F$4:$F$2003,"成本-主材")+SUMIFS(生产安装!$J$4:$J$1203,生产安装!$C$4:$C$1203,$B97,生产安装!$E$4:$E$1203,"成本-主材")+SUMIFS(资金日记账!$K$4:$K$2503,资金日记账!$G$4:$G$2503,$B97,资金日记账!$F$4:$F$2503,"成本-主材")-SUMIFS(资金日记账!$J$4:$J$2503,资金日记账!$G$4:$G$2503,$B97,资金日记账!$F$4:$F$2503,"成本-主材"),2))</f>
        <v/>
      </c>
      <c r="M97" s="19">
        <f>IF($B97="","",ROUND(SUMIFS(采购单!$L$4:$L$2003,采购单!$D$4:$D$2003,$B97,采购单!$F$4:$F$2003,"成本-辅材")+SUMIFS(生产安装!$J$4:$J$1203,生产安装!$C$4:$C$1203,$B97,生产安装!$E$4:$E$1203,"成本-辅材")+SUMIFS(资金日记账!$K$4:$K$2503,资金日记账!$G$4:$G$2503,$B97,资金日记账!$F$4:$F$2503,"成本-辅材")-SUMIFS(资金日记账!$J$4:$J$2503,资金日记账!$G$4:$G$2503,$B97,资金日记账!$F$4:$F$2503,"成本-辅材"),2))</f>
        <v/>
      </c>
      <c r="N97" s="19">
        <f>IF($B97="","",ROUND(SUMIFS(采购单!$L$4:$L$2003,采购单!$D$4:$D$2003,$B97,采购单!$F$4:$F$2003,"成本-人工")+SUMIFS(生产安装!$J$4:$J$1203,生产安装!$C$4:$C$1203,$B97,生产安装!$E$4:$E$1203,"成本-人工")+SUMIFS(资金日记账!$K$4:$K$2503,资金日记账!$G$4:$G$2503,$B97,资金日记账!$F$4:$F$2503,"成本-人工")-SUMIFS(资金日记账!$J$4:$J$2503,资金日记账!$G$4:$G$2503,$B97,资金日记账!$F$4:$F$2503,"成本-人工"),2))</f>
        <v/>
      </c>
      <c r="O97" s="19">
        <f>IF($B97="","",ROUND(SUMIFS(采购单!$L$4:$L$2003,采购单!$D$4:$D$2003,$B97,采购单!$F$4:$F$2003,"成本-车运")+SUMIFS(生产安装!$J$4:$J$1203,生产安装!$C$4:$C$1203,$B97,生产安装!$E$4:$E$1203,"成本-车运")+SUMIFS(资金日记账!$K$4:$K$2503,资金日记账!$G$4:$G$2503,$B97,资金日记账!$F$4:$F$2503,"成本-车运")-SUMIFS(资金日记账!$J$4:$J$2503,资金日记账!$G$4:$G$2503,$B97,资金日记账!$F$4:$F$2503,"成本-车运"),2))</f>
        <v/>
      </c>
      <c r="P97" s="19">
        <f>IF($B97="","",ROUND(SUMIFS(采购单!$L$4:$L$2003,采购单!$D$4:$D$2003,$B97,采购单!$F$4:$F$2003,"成本-其他")+SUMIFS(生产安装!$J$4:$J$1203,生产安装!$C$4:$C$1203,$B97,生产安装!$E$4:$E$1203,"成本-其他")+SUMIFS(资金日记账!$K$4:$K$2503,资金日记账!$G$4:$G$2503,$B97,资金日记账!$F$4:$F$2503,"成本-其他")-SUMIFS(资金日记账!$J$4:$J$2503,资金日记账!$G$4:$G$2503,$B97,资金日记账!$F$4:$F$2503,"成本-其他"),2))</f>
        <v/>
      </c>
      <c r="Q97" s="19">
        <f>IF($B97="","",ROUND(SUM($L97:$P97),2))</f>
        <v/>
      </c>
      <c r="R97" s="19">
        <f>IF($B97="","",ROUND($I97-$Q97,2))</f>
        <v/>
      </c>
      <c r="S97" s="33">
        <f>IF($B97="","",IF(ROUND($I97,2)=0,"",ROUND($R97/$I97,4)))</f>
        <v/>
      </c>
      <c r="T97" s="22">
        <f>IF($B97="","",IF($G97="",0,YEAR($G97)*100+MONTH($G97)))</f>
        <v/>
      </c>
      <c r="U97" s="17">
        <f>IF($B97="","",IF(项目台账!$R96="","",项目台账!$R96))</f>
        <v/>
      </c>
    </row>
    <row r="98">
      <c r="A98" s="17">
        <f>IF(项目台账!$B97="","",项目台账!$A97)</f>
        <v/>
      </c>
      <c r="B98" s="17">
        <f>IF(项目台账!$B97="","",项目台账!$B97)</f>
        <v/>
      </c>
      <c r="C98" s="17">
        <f>IF($B98="","",IF(项目台账!$C97="","",项目台账!$C97))</f>
        <v/>
      </c>
      <c r="D98" s="17">
        <f>IF($B98="","",IF(项目台账!$D97="","",项目台账!$D97))</f>
        <v/>
      </c>
      <c r="E98" s="17">
        <f>IF($B98="","",IF(项目台账!$E97="","",项目台账!$E97))</f>
        <v/>
      </c>
      <c r="F98" s="23">
        <f>IF($B98="","",IF(项目台账!$F97="","",项目台账!$F97))</f>
        <v/>
      </c>
      <c r="G98" s="23">
        <f>IF($B98="","",IF(项目台账!$J97="","",项目台账!$J97))</f>
        <v/>
      </c>
      <c r="H98" s="17">
        <f>IF($B98="","",IF(项目台账!$Q97="","",项目台账!$Q97))</f>
        <v/>
      </c>
      <c r="I98" s="19">
        <f>IF($B98="","",项目台账!$M97)</f>
        <v/>
      </c>
      <c r="J98" s="19">
        <f>IF($B98="","",项目台账!$O97)</f>
        <v/>
      </c>
      <c r="K98" s="19">
        <f>IF($B98="","",项目台账!$P97)</f>
        <v/>
      </c>
      <c r="L98" s="19">
        <f>IF($B98="","",ROUND(SUMIFS(采购单!$L$4:$L$2003,采购单!$D$4:$D$2003,$B98,采购单!$F$4:$F$2003,"成本-主材")+SUMIFS(生产安装!$J$4:$J$1203,生产安装!$C$4:$C$1203,$B98,生产安装!$E$4:$E$1203,"成本-主材")+SUMIFS(资金日记账!$K$4:$K$2503,资金日记账!$G$4:$G$2503,$B98,资金日记账!$F$4:$F$2503,"成本-主材")-SUMIFS(资金日记账!$J$4:$J$2503,资金日记账!$G$4:$G$2503,$B98,资金日记账!$F$4:$F$2503,"成本-主材"),2))</f>
        <v/>
      </c>
      <c r="M98" s="19">
        <f>IF($B98="","",ROUND(SUMIFS(采购单!$L$4:$L$2003,采购单!$D$4:$D$2003,$B98,采购单!$F$4:$F$2003,"成本-辅材")+SUMIFS(生产安装!$J$4:$J$1203,生产安装!$C$4:$C$1203,$B98,生产安装!$E$4:$E$1203,"成本-辅材")+SUMIFS(资金日记账!$K$4:$K$2503,资金日记账!$G$4:$G$2503,$B98,资金日记账!$F$4:$F$2503,"成本-辅材")-SUMIFS(资金日记账!$J$4:$J$2503,资金日记账!$G$4:$G$2503,$B98,资金日记账!$F$4:$F$2503,"成本-辅材"),2))</f>
        <v/>
      </c>
      <c r="N98" s="19">
        <f>IF($B98="","",ROUND(SUMIFS(采购单!$L$4:$L$2003,采购单!$D$4:$D$2003,$B98,采购单!$F$4:$F$2003,"成本-人工")+SUMIFS(生产安装!$J$4:$J$1203,生产安装!$C$4:$C$1203,$B98,生产安装!$E$4:$E$1203,"成本-人工")+SUMIFS(资金日记账!$K$4:$K$2503,资金日记账!$G$4:$G$2503,$B98,资金日记账!$F$4:$F$2503,"成本-人工")-SUMIFS(资金日记账!$J$4:$J$2503,资金日记账!$G$4:$G$2503,$B98,资金日记账!$F$4:$F$2503,"成本-人工"),2))</f>
        <v/>
      </c>
      <c r="O98" s="19">
        <f>IF($B98="","",ROUND(SUMIFS(采购单!$L$4:$L$2003,采购单!$D$4:$D$2003,$B98,采购单!$F$4:$F$2003,"成本-车运")+SUMIFS(生产安装!$J$4:$J$1203,生产安装!$C$4:$C$1203,$B98,生产安装!$E$4:$E$1203,"成本-车运")+SUMIFS(资金日记账!$K$4:$K$2503,资金日记账!$G$4:$G$2503,$B98,资金日记账!$F$4:$F$2503,"成本-车运")-SUMIFS(资金日记账!$J$4:$J$2503,资金日记账!$G$4:$G$2503,$B98,资金日记账!$F$4:$F$2503,"成本-车运"),2))</f>
        <v/>
      </c>
      <c r="P98" s="19">
        <f>IF($B98="","",ROUND(SUMIFS(采购单!$L$4:$L$2003,采购单!$D$4:$D$2003,$B98,采购单!$F$4:$F$2003,"成本-其他")+SUMIFS(生产安装!$J$4:$J$1203,生产安装!$C$4:$C$1203,$B98,生产安装!$E$4:$E$1203,"成本-其他")+SUMIFS(资金日记账!$K$4:$K$2503,资金日记账!$G$4:$G$2503,$B98,资金日记账!$F$4:$F$2503,"成本-其他")-SUMIFS(资金日记账!$J$4:$J$2503,资金日记账!$G$4:$G$2503,$B98,资金日记账!$F$4:$F$2503,"成本-其他"),2))</f>
        <v/>
      </c>
      <c r="Q98" s="19">
        <f>IF($B98="","",ROUND(SUM($L98:$P98),2))</f>
        <v/>
      </c>
      <c r="R98" s="19">
        <f>IF($B98="","",ROUND($I98-$Q98,2))</f>
        <v/>
      </c>
      <c r="S98" s="33">
        <f>IF($B98="","",IF(ROUND($I98,2)=0,"",ROUND($R98/$I98,4)))</f>
        <v/>
      </c>
      <c r="T98" s="22">
        <f>IF($B98="","",IF($G98="",0,YEAR($G98)*100+MONTH($G98)))</f>
        <v/>
      </c>
      <c r="U98" s="17">
        <f>IF($B98="","",IF(项目台账!$R97="","",项目台账!$R97))</f>
        <v/>
      </c>
    </row>
    <row r="99">
      <c r="A99" s="17">
        <f>IF(项目台账!$B98="","",项目台账!$A98)</f>
        <v/>
      </c>
      <c r="B99" s="17">
        <f>IF(项目台账!$B98="","",项目台账!$B98)</f>
        <v/>
      </c>
      <c r="C99" s="17">
        <f>IF($B99="","",IF(项目台账!$C98="","",项目台账!$C98))</f>
        <v/>
      </c>
      <c r="D99" s="17">
        <f>IF($B99="","",IF(项目台账!$D98="","",项目台账!$D98))</f>
        <v/>
      </c>
      <c r="E99" s="17">
        <f>IF($B99="","",IF(项目台账!$E98="","",项目台账!$E98))</f>
        <v/>
      </c>
      <c r="F99" s="23">
        <f>IF($B99="","",IF(项目台账!$F98="","",项目台账!$F98))</f>
        <v/>
      </c>
      <c r="G99" s="23">
        <f>IF($B99="","",IF(项目台账!$J98="","",项目台账!$J98))</f>
        <v/>
      </c>
      <c r="H99" s="17">
        <f>IF($B99="","",IF(项目台账!$Q98="","",项目台账!$Q98))</f>
        <v/>
      </c>
      <c r="I99" s="19">
        <f>IF($B99="","",项目台账!$M98)</f>
        <v/>
      </c>
      <c r="J99" s="19">
        <f>IF($B99="","",项目台账!$O98)</f>
        <v/>
      </c>
      <c r="K99" s="19">
        <f>IF($B99="","",项目台账!$P98)</f>
        <v/>
      </c>
      <c r="L99" s="19">
        <f>IF($B99="","",ROUND(SUMIFS(采购单!$L$4:$L$2003,采购单!$D$4:$D$2003,$B99,采购单!$F$4:$F$2003,"成本-主材")+SUMIFS(生产安装!$J$4:$J$1203,生产安装!$C$4:$C$1203,$B99,生产安装!$E$4:$E$1203,"成本-主材")+SUMIFS(资金日记账!$K$4:$K$2503,资金日记账!$G$4:$G$2503,$B99,资金日记账!$F$4:$F$2503,"成本-主材")-SUMIFS(资金日记账!$J$4:$J$2503,资金日记账!$G$4:$G$2503,$B99,资金日记账!$F$4:$F$2503,"成本-主材"),2))</f>
        <v/>
      </c>
      <c r="M99" s="19">
        <f>IF($B99="","",ROUND(SUMIFS(采购单!$L$4:$L$2003,采购单!$D$4:$D$2003,$B99,采购单!$F$4:$F$2003,"成本-辅材")+SUMIFS(生产安装!$J$4:$J$1203,生产安装!$C$4:$C$1203,$B99,生产安装!$E$4:$E$1203,"成本-辅材")+SUMIFS(资金日记账!$K$4:$K$2503,资金日记账!$G$4:$G$2503,$B99,资金日记账!$F$4:$F$2503,"成本-辅材")-SUMIFS(资金日记账!$J$4:$J$2503,资金日记账!$G$4:$G$2503,$B99,资金日记账!$F$4:$F$2503,"成本-辅材"),2))</f>
        <v/>
      </c>
      <c r="N99" s="19">
        <f>IF($B99="","",ROUND(SUMIFS(采购单!$L$4:$L$2003,采购单!$D$4:$D$2003,$B99,采购单!$F$4:$F$2003,"成本-人工")+SUMIFS(生产安装!$J$4:$J$1203,生产安装!$C$4:$C$1203,$B99,生产安装!$E$4:$E$1203,"成本-人工")+SUMIFS(资金日记账!$K$4:$K$2503,资金日记账!$G$4:$G$2503,$B99,资金日记账!$F$4:$F$2503,"成本-人工")-SUMIFS(资金日记账!$J$4:$J$2503,资金日记账!$G$4:$G$2503,$B99,资金日记账!$F$4:$F$2503,"成本-人工"),2))</f>
        <v/>
      </c>
      <c r="O99" s="19">
        <f>IF($B99="","",ROUND(SUMIFS(采购单!$L$4:$L$2003,采购单!$D$4:$D$2003,$B99,采购单!$F$4:$F$2003,"成本-车运")+SUMIFS(生产安装!$J$4:$J$1203,生产安装!$C$4:$C$1203,$B99,生产安装!$E$4:$E$1203,"成本-车运")+SUMIFS(资金日记账!$K$4:$K$2503,资金日记账!$G$4:$G$2503,$B99,资金日记账!$F$4:$F$2503,"成本-车运")-SUMIFS(资金日记账!$J$4:$J$2503,资金日记账!$G$4:$G$2503,$B99,资金日记账!$F$4:$F$2503,"成本-车运"),2))</f>
        <v/>
      </c>
      <c r="P99" s="19">
        <f>IF($B99="","",ROUND(SUMIFS(采购单!$L$4:$L$2003,采购单!$D$4:$D$2003,$B99,采购单!$F$4:$F$2003,"成本-其他")+SUMIFS(生产安装!$J$4:$J$1203,生产安装!$C$4:$C$1203,$B99,生产安装!$E$4:$E$1203,"成本-其他")+SUMIFS(资金日记账!$K$4:$K$2503,资金日记账!$G$4:$G$2503,$B99,资金日记账!$F$4:$F$2503,"成本-其他")-SUMIFS(资金日记账!$J$4:$J$2503,资金日记账!$G$4:$G$2503,$B99,资金日记账!$F$4:$F$2503,"成本-其他"),2))</f>
        <v/>
      </c>
      <c r="Q99" s="19">
        <f>IF($B99="","",ROUND(SUM($L99:$P99),2))</f>
        <v/>
      </c>
      <c r="R99" s="19">
        <f>IF($B99="","",ROUND($I99-$Q99,2))</f>
        <v/>
      </c>
      <c r="S99" s="33">
        <f>IF($B99="","",IF(ROUND($I99,2)=0,"",ROUND($R99/$I99,4)))</f>
        <v/>
      </c>
      <c r="T99" s="22">
        <f>IF($B99="","",IF($G99="",0,YEAR($G99)*100+MONTH($G99)))</f>
        <v/>
      </c>
      <c r="U99" s="17">
        <f>IF($B99="","",IF(项目台账!$R98="","",项目台账!$R98))</f>
        <v/>
      </c>
    </row>
    <row r="100">
      <c r="A100" s="17">
        <f>IF(项目台账!$B99="","",项目台账!$A99)</f>
        <v/>
      </c>
      <c r="B100" s="17">
        <f>IF(项目台账!$B99="","",项目台账!$B99)</f>
        <v/>
      </c>
      <c r="C100" s="17">
        <f>IF($B100="","",IF(项目台账!$C99="","",项目台账!$C99))</f>
        <v/>
      </c>
      <c r="D100" s="17">
        <f>IF($B100="","",IF(项目台账!$D99="","",项目台账!$D99))</f>
        <v/>
      </c>
      <c r="E100" s="17">
        <f>IF($B100="","",IF(项目台账!$E99="","",项目台账!$E99))</f>
        <v/>
      </c>
      <c r="F100" s="23">
        <f>IF($B100="","",IF(项目台账!$F99="","",项目台账!$F99))</f>
        <v/>
      </c>
      <c r="G100" s="23">
        <f>IF($B100="","",IF(项目台账!$J99="","",项目台账!$J99))</f>
        <v/>
      </c>
      <c r="H100" s="17">
        <f>IF($B100="","",IF(项目台账!$Q99="","",项目台账!$Q99))</f>
        <v/>
      </c>
      <c r="I100" s="19">
        <f>IF($B100="","",项目台账!$M99)</f>
        <v/>
      </c>
      <c r="J100" s="19">
        <f>IF($B100="","",项目台账!$O99)</f>
        <v/>
      </c>
      <c r="K100" s="19">
        <f>IF($B100="","",项目台账!$P99)</f>
        <v/>
      </c>
      <c r="L100" s="19">
        <f>IF($B100="","",ROUND(SUMIFS(采购单!$L$4:$L$2003,采购单!$D$4:$D$2003,$B100,采购单!$F$4:$F$2003,"成本-主材")+SUMIFS(生产安装!$J$4:$J$1203,生产安装!$C$4:$C$1203,$B100,生产安装!$E$4:$E$1203,"成本-主材")+SUMIFS(资金日记账!$K$4:$K$2503,资金日记账!$G$4:$G$2503,$B100,资金日记账!$F$4:$F$2503,"成本-主材")-SUMIFS(资金日记账!$J$4:$J$2503,资金日记账!$G$4:$G$2503,$B100,资金日记账!$F$4:$F$2503,"成本-主材"),2))</f>
        <v/>
      </c>
      <c r="M100" s="19">
        <f>IF($B100="","",ROUND(SUMIFS(采购单!$L$4:$L$2003,采购单!$D$4:$D$2003,$B100,采购单!$F$4:$F$2003,"成本-辅材")+SUMIFS(生产安装!$J$4:$J$1203,生产安装!$C$4:$C$1203,$B100,生产安装!$E$4:$E$1203,"成本-辅材")+SUMIFS(资金日记账!$K$4:$K$2503,资金日记账!$G$4:$G$2503,$B100,资金日记账!$F$4:$F$2503,"成本-辅材")-SUMIFS(资金日记账!$J$4:$J$2503,资金日记账!$G$4:$G$2503,$B100,资金日记账!$F$4:$F$2503,"成本-辅材"),2))</f>
        <v/>
      </c>
      <c r="N100" s="19">
        <f>IF($B100="","",ROUND(SUMIFS(采购单!$L$4:$L$2003,采购单!$D$4:$D$2003,$B100,采购单!$F$4:$F$2003,"成本-人工")+SUMIFS(生产安装!$J$4:$J$1203,生产安装!$C$4:$C$1203,$B100,生产安装!$E$4:$E$1203,"成本-人工")+SUMIFS(资金日记账!$K$4:$K$2503,资金日记账!$G$4:$G$2503,$B100,资金日记账!$F$4:$F$2503,"成本-人工")-SUMIFS(资金日记账!$J$4:$J$2503,资金日记账!$G$4:$G$2503,$B100,资金日记账!$F$4:$F$2503,"成本-人工"),2))</f>
        <v/>
      </c>
      <c r="O100" s="19">
        <f>IF($B100="","",ROUND(SUMIFS(采购单!$L$4:$L$2003,采购单!$D$4:$D$2003,$B100,采购单!$F$4:$F$2003,"成本-车运")+SUMIFS(生产安装!$J$4:$J$1203,生产安装!$C$4:$C$1203,$B100,生产安装!$E$4:$E$1203,"成本-车运")+SUMIFS(资金日记账!$K$4:$K$2503,资金日记账!$G$4:$G$2503,$B100,资金日记账!$F$4:$F$2503,"成本-车运")-SUMIFS(资金日记账!$J$4:$J$2503,资金日记账!$G$4:$G$2503,$B100,资金日记账!$F$4:$F$2503,"成本-车运"),2))</f>
        <v/>
      </c>
      <c r="P100" s="19">
        <f>IF($B100="","",ROUND(SUMIFS(采购单!$L$4:$L$2003,采购单!$D$4:$D$2003,$B100,采购单!$F$4:$F$2003,"成本-其他")+SUMIFS(生产安装!$J$4:$J$1203,生产安装!$C$4:$C$1203,$B100,生产安装!$E$4:$E$1203,"成本-其他")+SUMIFS(资金日记账!$K$4:$K$2503,资金日记账!$G$4:$G$2503,$B100,资金日记账!$F$4:$F$2503,"成本-其他")-SUMIFS(资金日记账!$J$4:$J$2503,资金日记账!$G$4:$G$2503,$B100,资金日记账!$F$4:$F$2503,"成本-其他"),2))</f>
        <v/>
      </c>
      <c r="Q100" s="19">
        <f>IF($B100="","",ROUND(SUM($L100:$P100),2))</f>
        <v/>
      </c>
      <c r="R100" s="19">
        <f>IF($B100="","",ROUND($I100-$Q100,2))</f>
        <v/>
      </c>
      <c r="S100" s="33">
        <f>IF($B100="","",IF(ROUND($I100,2)=0,"",ROUND($R100/$I100,4)))</f>
        <v/>
      </c>
      <c r="T100" s="22">
        <f>IF($B100="","",IF($G100="",0,YEAR($G100)*100+MONTH($G100)))</f>
        <v/>
      </c>
      <c r="U100" s="17">
        <f>IF($B100="","",IF(项目台账!$R99="","",项目台账!$R99))</f>
        <v/>
      </c>
    </row>
    <row r="101">
      <c r="A101" s="17">
        <f>IF(项目台账!$B100="","",项目台账!$A100)</f>
        <v/>
      </c>
      <c r="B101" s="17">
        <f>IF(项目台账!$B100="","",项目台账!$B100)</f>
        <v/>
      </c>
      <c r="C101" s="17">
        <f>IF($B101="","",IF(项目台账!$C100="","",项目台账!$C100))</f>
        <v/>
      </c>
      <c r="D101" s="17">
        <f>IF($B101="","",IF(项目台账!$D100="","",项目台账!$D100))</f>
        <v/>
      </c>
      <c r="E101" s="17">
        <f>IF($B101="","",IF(项目台账!$E100="","",项目台账!$E100))</f>
        <v/>
      </c>
      <c r="F101" s="23">
        <f>IF($B101="","",IF(项目台账!$F100="","",项目台账!$F100))</f>
        <v/>
      </c>
      <c r="G101" s="23">
        <f>IF($B101="","",IF(项目台账!$J100="","",项目台账!$J100))</f>
        <v/>
      </c>
      <c r="H101" s="17">
        <f>IF($B101="","",IF(项目台账!$Q100="","",项目台账!$Q100))</f>
        <v/>
      </c>
      <c r="I101" s="19">
        <f>IF($B101="","",项目台账!$M100)</f>
        <v/>
      </c>
      <c r="J101" s="19">
        <f>IF($B101="","",项目台账!$O100)</f>
        <v/>
      </c>
      <c r="K101" s="19">
        <f>IF($B101="","",项目台账!$P100)</f>
        <v/>
      </c>
      <c r="L101" s="19">
        <f>IF($B101="","",ROUND(SUMIFS(采购单!$L$4:$L$2003,采购单!$D$4:$D$2003,$B101,采购单!$F$4:$F$2003,"成本-主材")+SUMIFS(生产安装!$J$4:$J$1203,生产安装!$C$4:$C$1203,$B101,生产安装!$E$4:$E$1203,"成本-主材")+SUMIFS(资金日记账!$K$4:$K$2503,资金日记账!$G$4:$G$2503,$B101,资金日记账!$F$4:$F$2503,"成本-主材")-SUMIFS(资金日记账!$J$4:$J$2503,资金日记账!$G$4:$G$2503,$B101,资金日记账!$F$4:$F$2503,"成本-主材"),2))</f>
        <v/>
      </c>
      <c r="M101" s="19">
        <f>IF($B101="","",ROUND(SUMIFS(采购单!$L$4:$L$2003,采购单!$D$4:$D$2003,$B101,采购单!$F$4:$F$2003,"成本-辅材")+SUMIFS(生产安装!$J$4:$J$1203,生产安装!$C$4:$C$1203,$B101,生产安装!$E$4:$E$1203,"成本-辅材")+SUMIFS(资金日记账!$K$4:$K$2503,资金日记账!$G$4:$G$2503,$B101,资金日记账!$F$4:$F$2503,"成本-辅材")-SUMIFS(资金日记账!$J$4:$J$2503,资金日记账!$G$4:$G$2503,$B101,资金日记账!$F$4:$F$2503,"成本-辅材"),2))</f>
        <v/>
      </c>
      <c r="N101" s="19">
        <f>IF($B101="","",ROUND(SUMIFS(采购单!$L$4:$L$2003,采购单!$D$4:$D$2003,$B101,采购单!$F$4:$F$2003,"成本-人工")+SUMIFS(生产安装!$J$4:$J$1203,生产安装!$C$4:$C$1203,$B101,生产安装!$E$4:$E$1203,"成本-人工")+SUMIFS(资金日记账!$K$4:$K$2503,资金日记账!$G$4:$G$2503,$B101,资金日记账!$F$4:$F$2503,"成本-人工")-SUMIFS(资金日记账!$J$4:$J$2503,资金日记账!$G$4:$G$2503,$B101,资金日记账!$F$4:$F$2503,"成本-人工"),2))</f>
        <v/>
      </c>
      <c r="O101" s="19">
        <f>IF($B101="","",ROUND(SUMIFS(采购单!$L$4:$L$2003,采购单!$D$4:$D$2003,$B101,采购单!$F$4:$F$2003,"成本-车运")+SUMIFS(生产安装!$J$4:$J$1203,生产安装!$C$4:$C$1203,$B101,生产安装!$E$4:$E$1203,"成本-车运")+SUMIFS(资金日记账!$K$4:$K$2503,资金日记账!$G$4:$G$2503,$B101,资金日记账!$F$4:$F$2503,"成本-车运")-SUMIFS(资金日记账!$J$4:$J$2503,资金日记账!$G$4:$G$2503,$B101,资金日记账!$F$4:$F$2503,"成本-车运"),2))</f>
        <v/>
      </c>
      <c r="P101" s="19">
        <f>IF($B101="","",ROUND(SUMIFS(采购单!$L$4:$L$2003,采购单!$D$4:$D$2003,$B101,采购单!$F$4:$F$2003,"成本-其他")+SUMIFS(生产安装!$J$4:$J$1203,生产安装!$C$4:$C$1203,$B101,生产安装!$E$4:$E$1203,"成本-其他")+SUMIFS(资金日记账!$K$4:$K$2503,资金日记账!$G$4:$G$2503,$B101,资金日记账!$F$4:$F$2503,"成本-其他")-SUMIFS(资金日记账!$J$4:$J$2503,资金日记账!$G$4:$G$2503,$B101,资金日记账!$F$4:$F$2503,"成本-其他"),2))</f>
        <v/>
      </c>
      <c r="Q101" s="19">
        <f>IF($B101="","",ROUND(SUM($L101:$P101),2))</f>
        <v/>
      </c>
      <c r="R101" s="19">
        <f>IF($B101="","",ROUND($I101-$Q101,2))</f>
        <v/>
      </c>
      <c r="S101" s="33">
        <f>IF($B101="","",IF(ROUND($I101,2)=0,"",ROUND($R101/$I101,4)))</f>
        <v/>
      </c>
      <c r="T101" s="22">
        <f>IF($B101="","",IF($G101="",0,YEAR($G101)*100+MONTH($G101)))</f>
        <v/>
      </c>
      <c r="U101" s="17">
        <f>IF($B101="","",IF(项目台账!$R100="","",项目台账!$R100))</f>
        <v/>
      </c>
    </row>
    <row r="102">
      <c r="A102" s="17">
        <f>IF(项目台账!$B101="","",项目台账!$A101)</f>
        <v/>
      </c>
      <c r="B102" s="17">
        <f>IF(项目台账!$B101="","",项目台账!$B101)</f>
        <v/>
      </c>
      <c r="C102" s="17">
        <f>IF($B102="","",IF(项目台账!$C101="","",项目台账!$C101))</f>
        <v/>
      </c>
      <c r="D102" s="17">
        <f>IF($B102="","",IF(项目台账!$D101="","",项目台账!$D101))</f>
        <v/>
      </c>
      <c r="E102" s="17">
        <f>IF($B102="","",IF(项目台账!$E101="","",项目台账!$E101))</f>
        <v/>
      </c>
      <c r="F102" s="23">
        <f>IF($B102="","",IF(项目台账!$F101="","",项目台账!$F101))</f>
        <v/>
      </c>
      <c r="G102" s="23">
        <f>IF($B102="","",IF(项目台账!$J101="","",项目台账!$J101))</f>
        <v/>
      </c>
      <c r="H102" s="17">
        <f>IF($B102="","",IF(项目台账!$Q101="","",项目台账!$Q101))</f>
        <v/>
      </c>
      <c r="I102" s="19">
        <f>IF($B102="","",项目台账!$M101)</f>
        <v/>
      </c>
      <c r="J102" s="19">
        <f>IF($B102="","",项目台账!$O101)</f>
        <v/>
      </c>
      <c r="K102" s="19">
        <f>IF($B102="","",项目台账!$P101)</f>
        <v/>
      </c>
      <c r="L102" s="19">
        <f>IF($B102="","",ROUND(SUMIFS(采购单!$L$4:$L$2003,采购单!$D$4:$D$2003,$B102,采购单!$F$4:$F$2003,"成本-主材")+SUMIFS(生产安装!$J$4:$J$1203,生产安装!$C$4:$C$1203,$B102,生产安装!$E$4:$E$1203,"成本-主材")+SUMIFS(资金日记账!$K$4:$K$2503,资金日记账!$G$4:$G$2503,$B102,资金日记账!$F$4:$F$2503,"成本-主材")-SUMIFS(资金日记账!$J$4:$J$2503,资金日记账!$G$4:$G$2503,$B102,资金日记账!$F$4:$F$2503,"成本-主材"),2))</f>
        <v/>
      </c>
      <c r="M102" s="19">
        <f>IF($B102="","",ROUND(SUMIFS(采购单!$L$4:$L$2003,采购单!$D$4:$D$2003,$B102,采购单!$F$4:$F$2003,"成本-辅材")+SUMIFS(生产安装!$J$4:$J$1203,生产安装!$C$4:$C$1203,$B102,生产安装!$E$4:$E$1203,"成本-辅材")+SUMIFS(资金日记账!$K$4:$K$2503,资金日记账!$G$4:$G$2503,$B102,资金日记账!$F$4:$F$2503,"成本-辅材")-SUMIFS(资金日记账!$J$4:$J$2503,资金日记账!$G$4:$G$2503,$B102,资金日记账!$F$4:$F$2503,"成本-辅材"),2))</f>
        <v/>
      </c>
      <c r="N102" s="19">
        <f>IF($B102="","",ROUND(SUMIFS(采购单!$L$4:$L$2003,采购单!$D$4:$D$2003,$B102,采购单!$F$4:$F$2003,"成本-人工")+SUMIFS(生产安装!$J$4:$J$1203,生产安装!$C$4:$C$1203,$B102,生产安装!$E$4:$E$1203,"成本-人工")+SUMIFS(资金日记账!$K$4:$K$2503,资金日记账!$G$4:$G$2503,$B102,资金日记账!$F$4:$F$2503,"成本-人工")-SUMIFS(资金日记账!$J$4:$J$2503,资金日记账!$G$4:$G$2503,$B102,资金日记账!$F$4:$F$2503,"成本-人工"),2))</f>
        <v/>
      </c>
      <c r="O102" s="19">
        <f>IF($B102="","",ROUND(SUMIFS(采购单!$L$4:$L$2003,采购单!$D$4:$D$2003,$B102,采购单!$F$4:$F$2003,"成本-车运")+SUMIFS(生产安装!$J$4:$J$1203,生产安装!$C$4:$C$1203,$B102,生产安装!$E$4:$E$1203,"成本-车运")+SUMIFS(资金日记账!$K$4:$K$2503,资金日记账!$G$4:$G$2503,$B102,资金日记账!$F$4:$F$2503,"成本-车运")-SUMIFS(资金日记账!$J$4:$J$2503,资金日记账!$G$4:$G$2503,$B102,资金日记账!$F$4:$F$2503,"成本-车运"),2))</f>
        <v/>
      </c>
      <c r="P102" s="19">
        <f>IF($B102="","",ROUND(SUMIFS(采购单!$L$4:$L$2003,采购单!$D$4:$D$2003,$B102,采购单!$F$4:$F$2003,"成本-其他")+SUMIFS(生产安装!$J$4:$J$1203,生产安装!$C$4:$C$1203,$B102,生产安装!$E$4:$E$1203,"成本-其他")+SUMIFS(资金日记账!$K$4:$K$2503,资金日记账!$G$4:$G$2503,$B102,资金日记账!$F$4:$F$2503,"成本-其他")-SUMIFS(资金日记账!$J$4:$J$2503,资金日记账!$G$4:$G$2503,$B102,资金日记账!$F$4:$F$2503,"成本-其他"),2))</f>
        <v/>
      </c>
      <c r="Q102" s="19">
        <f>IF($B102="","",ROUND(SUM($L102:$P102),2))</f>
        <v/>
      </c>
      <c r="R102" s="19">
        <f>IF($B102="","",ROUND($I102-$Q102,2))</f>
        <v/>
      </c>
      <c r="S102" s="33">
        <f>IF($B102="","",IF(ROUND($I102,2)=0,"",ROUND($R102/$I102,4)))</f>
        <v/>
      </c>
      <c r="T102" s="22">
        <f>IF($B102="","",IF($G102="",0,YEAR($G102)*100+MONTH($G102)))</f>
        <v/>
      </c>
      <c r="U102" s="17">
        <f>IF($B102="","",IF(项目台账!$R101="","",项目台账!$R101))</f>
        <v/>
      </c>
    </row>
    <row r="103">
      <c r="A103" s="17">
        <f>IF(项目台账!$B102="","",项目台账!$A102)</f>
        <v/>
      </c>
      <c r="B103" s="17">
        <f>IF(项目台账!$B102="","",项目台账!$B102)</f>
        <v/>
      </c>
      <c r="C103" s="17">
        <f>IF($B103="","",IF(项目台账!$C102="","",项目台账!$C102))</f>
        <v/>
      </c>
      <c r="D103" s="17">
        <f>IF($B103="","",IF(项目台账!$D102="","",项目台账!$D102))</f>
        <v/>
      </c>
      <c r="E103" s="17">
        <f>IF($B103="","",IF(项目台账!$E102="","",项目台账!$E102))</f>
        <v/>
      </c>
      <c r="F103" s="23">
        <f>IF($B103="","",IF(项目台账!$F102="","",项目台账!$F102))</f>
        <v/>
      </c>
      <c r="G103" s="23">
        <f>IF($B103="","",IF(项目台账!$J102="","",项目台账!$J102))</f>
        <v/>
      </c>
      <c r="H103" s="17">
        <f>IF($B103="","",IF(项目台账!$Q102="","",项目台账!$Q102))</f>
        <v/>
      </c>
      <c r="I103" s="19">
        <f>IF($B103="","",项目台账!$M102)</f>
        <v/>
      </c>
      <c r="J103" s="19">
        <f>IF($B103="","",项目台账!$O102)</f>
        <v/>
      </c>
      <c r="K103" s="19">
        <f>IF($B103="","",项目台账!$P102)</f>
        <v/>
      </c>
      <c r="L103" s="19">
        <f>IF($B103="","",ROUND(SUMIFS(采购单!$L$4:$L$2003,采购单!$D$4:$D$2003,$B103,采购单!$F$4:$F$2003,"成本-主材")+SUMIFS(生产安装!$J$4:$J$1203,生产安装!$C$4:$C$1203,$B103,生产安装!$E$4:$E$1203,"成本-主材")+SUMIFS(资金日记账!$K$4:$K$2503,资金日记账!$G$4:$G$2503,$B103,资金日记账!$F$4:$F$2503,"成本-主材")-SUMIFS(资金日记账!$J$4:$J$2503,资金日记账!$G$4:$G$2503,$B103,资金日记账!$F$4:$F$2503,"成本-主材"),2))</f>
        <v/>
      </c>
      <c r="M103" s="19">
        <f>IF($B103="","",ROUND(SUMIFS(采购单!$L$4:$L$2003,采购单!$D$4:$D$2003,$B103,采购单!$F$4:$F$2003,"成本-辅材")+SUMIFS(生产安装!$J$4:$J$1203,生产安装!$C$4:$C$1203,$B103,生产安装!$E$4:$E$1203,"成本-辅材")+SUMIFS(资金日记账!$K$4:$K$2503,资金日记账!$G$4:$G$2503,$B103,资金日记账!$F$4:$F$2503,"成本-辅材")-SUMIFS(资金日记账!$J$4:$J$2503,资金日记账!$G$4:$G$2503,$B103,资金日记账!$F$4:$F$2503,"成本-辅材"),2))</f>
        <v/>
      </c>
      <c r="N103" s="19">
        <f>IF($B103="","",ROUND(SUMIFS(采购单!$L$4:$L$2003,采购单!$D$4:$D$2003,$B103,采购单!$F$4:$F$2003,"成本-人工")+SUMIFS(生产安装!$J$4:$J$1203,生产安装!$C$4:$C$1203,$B103,生产安装!$E$4:$E$1203,"成本-人工")+SUMIFS(资金日记账!$K$4:$K$2503,资金日记账!$G$4:$G$2503,$B103,资金日记账!$F$4:$F$2503,"成本-人工")-SUMIFS(资金日记账!$J$4:$J$2503,资金日记账!$G$4:$G$2503,$B103,资金日记账!$F$4:$F$2503,"成本-人工"),2))</f>
        <v/>
      </c>
      <c r="O103" s="19">
        <f>IF($B103="","",ROUND(SUMIFS(采购单!$L$4:$L$2003,采购单!$D$4:$D$2003,$B103,采购单!$F$4:$F$2003,"成本-车运")+SUMIFS(生产安装!$J$4:$J$1203,生产安装!$C$4:$C$1203,$B103,生产安装!$E$4:$E$1203,"成本-车运")+SUMIFS(资金日记账!$K$4:$K$2503,资金日记账!$G$4:$G$2503,$B103,资金日记账!$F$4:$F$2503,"成本-车运")-SUMIFS(资金日记账!$J$4:$J$2503,资金日记账!$G$4:$G$2503,$B103,资金日记账!$F$4:$F$2503,"成本-车运"),2))</f>
        <v/>
      </c>
      <c r="P103" s="19">
        <f>IF($B103="","",ROUND(SUMIFS(采购单!$L$4:$L$2003,采购单!$D$4:$D$2003,$B103,采购单!$F$4:$F$2003,"成本-其他")+SUMIFS(生产安装!$J$4:$J$1203,生产安装!$C$4:$C$1203,$B103,生产安装!$E$4:$E$1203,"成本-其他")+SUMIFS(资金日记账!$K$4:$K$2503,资金日记账!$G$4:$G$2503,$B103,资金日记账!$F$4:$F$2503,"成本-其他")-SUMIFS(资金日记账!$J$4:$J$2503,资金日记账!$G$4:$G$2503,$B103,资金日记账!$F$4:$F$2503,"成本-其他"),2))</f>
        <v/>
      </c>
      <c r="Q103" s="19">
        <f>IF($B103="","",ROUND(SUM($L103:$P103),2))</f>
        <v/>
      </c>
      <c r="R103" s="19">
        <f>IF($B103="","",ROUND($I103-$Q103,2))</f>
        <v/>
      </c>
      <c r="S103" s="33">
        <f>IF($B103="","",IF(ROUND($I103,2)=0,"",ROUND($R103/$I103,4)))</f>
        <v/>
      </c>
      <c r="T103" s="22">
        <f>IF($B103="","",IF($G103="",0,YEAR($G103)*100+MONTH($G103)))</f>
        <v/>
      </c>
      <c r="U103" s="17">
        <f>IF($B103="","",IF(项目台账!$R102="","",项目台账!$R102))</f>
        <v/>
      </c>
    </row>
    <row r="104">
      <c r="A104" s="17">
        <f>IF(项目台账!$B103="","",项目台账!$A103)</f>
        <v/>
      </c>
      <c r="B104" s="17">
        <f>IF(项目台账!$B103="","",项目台账!$B103)</f>
        <v/>
      </c>
      <c r="C104" s="17">
        <f>IF($B104="","",IF(项目台账!$C103="","",项目台账!$C103))</f>
        <v/>
      </c>
      <c r="D104" s="17">
        <f>IF($B104="","",IF(项目台账!$D103="","",项目台账!$D103))</f>
        <v/>
      </c>
      <c r="E104" s="17">
        <f>IF($B104="","",IF(项目台账!$E103="","",项目台账!$E103))</f>
        <v/>
      </c>
      <c r="F104" s="23">
        <f>IF($B104="","",IF(项目台账!$F103="","",项目台账!$F103))</f>
        <v/>
      </c>
      <c r="G104" s="23">
        <f>IF($B104="","",IF(项目台账!$J103="","",项目台账!$J103))</f>
        <v/>
      </c>
      <c r="H104" s="17">
        <f>IF($B104="","",IF(项目台账!$Q103="","",项目台账!$Q103))</f>
        <v/>
      </c>
      <c r="I104" s="19">
        <f>IF($B104="","",项目台账!$M103)</f>
        <v/>
      </c>
      <c r="J104" s="19">
        <f>IF($B104="","",项目台账!$O103)</f>
        <v/>
      </c>
      <c r="K104" s="19">
        <f>IF($B104="","",项目台账!$P103)</f>
        <v/>
      </c>
      <c r="L104" s="19">
        <f>IF($B104="","",ROUND(SUMIFS(采购单!$L$4:$L$2003,采购单!$D$4:$D$2003,$B104,采购单!$F$4:$F$2003,"成本-主材")+SUMIFS(生产安装!$J$4:$J$1203,生产安装!$C$4:$C$1203,$B104,生产安装!$E$4:$E$1203,"成本-主材")+SUMIFS(资金日记账!$K$4:$K$2503,资金日记账!$G$4:$G$2503,$B104,资金日记账!$F$4:$F$2503,"成本-主材")-SUMIFS(资金日记账!$J$4:$J$2503,资金日记账!$G$4:$G$2503,$B104,资金日记账!$F$4:$F$2503,"成本-主材"),2))</f>
        <v/>
      </c>
      <c r="M104" s="19">
        <f>IF($B104="","",ROUND(SUMIFS(采购单!$L$4:$L$2003,采购单!$D$4:$D$2003,$B104,采购单!$F$4:$F$2003,"成本-辅材")+SUMIFS(生产安装!$J$4:$J$1203,生产安装!$C$4:$C$1203,$B104,生产安装!$E$4:$E$1203,"成本-辅材")+SUMIFS(资金日记账!$K$4:$K$2503,资金日记账!$G$4:$G$2503,$B104,资金日记账!$F$4:$F$2503,"成本-辅材")-SUMIFS(资金日记账!$J$4:$J$2503,资金日记账!$G$4:$G$2503,$B104,资金日记账!$F$4:$F$2503,"成本-辅材"),2))</f>
        <v/>
      </c>
      <c r="N104" s="19">
        <f>IF($B104="","",ROUND(SUMIFS(采购单!$L$4:$L$2003,采购单!$D$4:$D$2003,$B104,采购单!$F$4:$F$2003,"成本-人工")+SUMIFS(生产安装!$J$4:$J$1203,生产安装!$C$4:$C$1203,$B104,生产安装!$E$4:$E$1203,"成本-人工")+SUMIFS(资金日记账!$K$4:$K$2503,资金日记账!$G$4:$G$2503,$B104,资金日记账!$F$4:$F$2503,"成本-人工")-SUMIFS(资金日记账!$J$4:$J$2503,资金日记账!$G$4:$G$2503,$B104,资金日记账!$F$4:$F$2503,"成本-人工"),2))</f>
        <v/>
      </c>
      <c r="O104" s="19">
        <f>IF($B104="","",ROUND(SUMIFS(采购单!$L$4:$L$2003,采购单!$D$4:$D$2003,$B104,采购单!$F$4:$F$2003,"成本-车运")+SUMIFS(生产安装!$J$4:$J$1203,生产安装!$C$4:$C$1203,$B104,生产安装!$E$4:$E$1203,"成本-车运")+SUMIFS(资金日记账!$K$4:$K$2503,资金日记账!$G$4:$G$2503,$B104,资金日记账!$F$4:$F$2503,"成本-车运")-SUMIFS(资金日记账!$J$4:$J$2503,资金日记账!$G$4:$G$2503,$B104,资金日记账!$F$4:$F$2503,"成本-车运"),2))</f>
        <v/>
      </c>
      <c r="P104" s="19">
        <f>IF($B104="","",ROUND(SUMIFS(采购单!$L$4:$L$2003,采购单!$D$4:$D$2003,$B104,采购单!$F$4:$F$2003,"成本-其他")+SUMIFS(生产安装!$J$4:$J$1203,生产安装!$C$4:$C$1203,$B104,生产安装!$E$4:$E$1203,"成本-其他")+SUMIFS(资金日记账!$K$4:$K$2503,资金日记账!$G$4:$G$2503,$B104,资金日记账!$F$4:$F$2503,"成本-其他")-SUMIFS(资金日记账!$J$4:$J$2503,资金日记账!$G$4:$G$2503,$B104,资金日记账!$F$4:$F$2503,"成本-其他"),2))</f>
        <v/>
      </c>
      <c r="Q104" s="19">
        <f>IF($B104="","",ROUND(SUM($L104:$P104),2))</f>
        <v/>
      </c>
      <c r="R104" s="19">
        <f>IF($B104="","",ROUND($I104-$Q104,2))</f>
        <v/>
      </c>
      <c r="S104" s="33">
        <f>IF($B104="","",IF(ROUND($I104,2)=0,"",ROUND($R104/$I104,4)))</f>
        <v/>
      </c>
      <c r="T104" s="22">
        <f>IF($B104="","",IF($G104="",0,YEAR($G104)*100+MONTH($G104)))</f>
        <v/>
      </c>
      <c r="U104" s="17">
        <f>IF($B104="","",IF(项目台账!$R103="","",项目台账!$R103))</f>
        <v/>
      </c>
    </row>
    <row r="105">
      <c r="A105" s="17">
        <f>IF(项目台账!$B104="","",项目台账!$A104)</f>
        <v/>
      </c>
      <c r="B105" s="17">
        <f>IF(项目台账!$B104="","",项目台账!$B104)</f>
        <v/>
      </c>
      <c r="C105" s="17">
        <f>IF($B105="","",IF(项目台账!$C104="","",项目台账!$C104))</f>
        <v/>
      </c>
      <c r="D105" s="17">
        <f>IF($B105="","",IF(项目台账!$D104="","",项目台账!$D104))</f>
        <v/>
      </c>
      <c r="E105" s="17">
        <f>IF($B105="","",IF(项目台账!$E104="","",项目台账!$E104))</f>
        <v/>
      </c>
      <c r="F105" s="23">
        <f>IF($B105="","",IF(项目台账!$F104="","",项目台账!$F104))</f>
        <v/>
      </c>
      <c r="G105" s="23">
        <f>IF($B105="","",IF(项目台账!$J104="","",项目台账!$J104))</f>
        <v/>
      </c>
      <c r="H105" s="17">
        <f>IF($B105="","",IF(项目台账!$Q104="","",项目台账!$Q104))</f>
        <v/>
      </c>
      <c r="I105" s="19">
        <f>IF($B105="","",项目台账!$M104)</f>
        <v/>
      </c>
      <c r="J105" s="19">
        <f>IF($B105="","",项目台账!$O104)</f>
        <v/>
      </c>
      <c r="K105" s="19">
        <f>IF($B105="","",项目台账!$P104)</f>
        <v/>
      </c>
      <c r="L105" s="19">
        <f>IF($B105="","",ROUND(SUMIFS(采购单!$L$4:$L$2003,采购单!$D$4:$D$2003,$B105,采购单!$F$4:$F$2003,"成本-主材")+SUMIFS(生产安装!$J$4:$J$1203,生产安装!$C$4:$C$1203,$B105,生产安装!$E$4:$E$1203,"成本-主材")+SUMIFS(资金日记账!$K$4:$K$2503,资金日记账!$G$4:$G$2503,$B105,资金日记账!$F$4:$F$2503,"成本-主材")-SUMIFS(资金日记账!$J$4:$J$2503,资金日记账!$G$4:$G$2503,$B105,资金日记账!$F$4:$F$2503,"成本-主材"),2))</f>
        <v/>
      </c>
      <c r="M105" s="19">
        <f>IF($B105="","",ROUND(SUMIFS(采购单!$L$4:$L$2003,采购单!$D$4:$D$2003,$B105,采购单!$F$4:$F$2003,"成本-辅材")+SUMIFS(生产安装!$J$4:$J$1203,生产安装!$C$4:$C$1203,$B105,生产安装!$E$4:$E$1203,"成本-辅材")+SUMIFS(资金日记账!$K$4:$K$2503,资金日记账!$G$4:$G$2503,$B105,资金日记账!$F$4:$F$2503,"成本-辅材")-SUMIFS(资金日记账!$J$4:$J$2503,资金日记账!$G$4:$G$2503,$B105,资金日记账!$F$4:$F$2503,"成本-辅材"),2))</f>
        <v/>
      </c>
      <c r="N105" s="19">
        <f>IF($B105="","",ROUND(SUMIFS(采购单!$L$4:$L$2003,采购单!$D$4:$D$2003,$B105,采购单!$F$4:$F$2003,"成本-人工")+SUMIFS(生产安装!$J$4:$J$1203,生产安装!$C$4:$C$1203,$B105,生产安装!$E$4:$E$1203,"成本-人工")+SUMIFS(资金日记账!$K$4:$K$2503,资金日记账!$G$4:$G$2503,$B105,资金日记账!$F$4:$F$2503,"成本-人工")-SUMIFS(资金日记账!$J$4:$J$2503,资金日记账!$G$4:$G$2503,$B105,资金日记账!$F$4:$F$2503,"成本-人工"),2))</f>
        <v/>
      </c>
      <c r="O105" s="19">
        <f>IF($B105="","",ROUND(SUMIFS(采购单!$L$4:$L$2003,采购单!$D$4:$D$2003,$B105,采购单!$F$4:$F$2003,"成本-车运")+SUMIFS(生产安装!$J$4:$J$1203,生产安装!$C$4:$C$1203,$B105,生产安装!$E$4:$E$1203,"成本-车运")+SUMIFS(资金日记账!$K$4:$K$2503,资金日记账!$G$4:$G$2503,$B105,资金日记账!$F$4:$F$2503,"成本-车运")-SUMIFS(资金日记账!$J$4:$J$2503,资金日记账!$G$4:$G$2503,$B105,资金日记账!$F$4:$F$2503,"成本-车运"),2))</f>
        <v/>
      </c>
      <c r="P105" s="19">
        <f>IF($B105="","",ROUND(SUMIFS(采购单!$L$4:$L$2003,采购单!$D$4:$D$2003,$B105,采购单!$F$4:$F$2003,"成本-其他")+SUMIFS(生产安装!$J$4:$J$1203,生产安装!$C$4:$C$1203,$B105,生产安装!$E$4:$E$1203,"成本-其他")+SUMIFS(资金日记账!$K$4:$K$2503,资金日记账!$G$4:$G$2503,$B105,资金日记账!$F$4:$F$2503,"成本-其他")-SUMIFS(资金日记账!$J$4:$J$2503,资金日记账!$G$4:$G$2503,$B105,资金日记账!$F$4:$F$2503,"成本-其他"),2))</f>
        <v/>
      </c>
      <c r="Q105" s="19">
        <f>IF($B105="","",ROUND(SUM($L105:$P105),2))</f>
        <v/>
      </c>
      <c r="R105" s="19">
        <f>IF($B105="","",ROUND($I105-$Q105,2))</f>
        <v/>
      </c>
      <c r="S105" s="33">
        <f>IF($B105="","",IF(ROUND($I105,2)=0,"",ROUND($R105/$I105,4)))</f>
        <v/>
      </c>
      <c r="T105" s="22">
        <f>IF($B105="","",IF($G105="",0,YEAR($G105)*100+MONTH($G105)))</f>
        <v/>
      </c>
      <c r="U105" s="17">
        <f>IF($B105="","",IF(项目台账!$R104="","",项目台账!$R104))</f>
        <v/>
      </c>
    </row>
    <row r="106">
      <c r="A106" s="17">
        <f>IF(项目台账!$B105="","",项目台账!$A105)</f>
        <v/>
      </c>
      <c r="B106" s="17">
        <f>IF(项目台账!$B105="","",项目台账!$B105)</f>
        <v/>
      </c>
      <c r="C106" s="17">
        <f>IF($B106="","",IF(项目台账!$C105="","",项目台账!$C105))</f>
        <v/>
      </c>
      <c r="D106" s="17">
        <f>IF($B106="","",IF(项目台账!$D105="","",项目台账!$D105))</f>
        <v/>
      </c>
      <c r="E106" s="17">
        <f>IF($B106="","",IF(项目台账!$E105="","",项目台账!$E105))</f>
        <v/>
      </c>
      <c r="F106" s="23">
        <f>IF($B106="","",IF(项目台账!$F105="","",项目台账!$F105))</f>
        <v/>
      </c>
      <c r="G106" s="23">
        <f>IF($B106="","",IF(项目台账!$J105="","",项目台账!$J105))</f>
        <v/>
      </c>
      <c r="H106" s="17">
        <f>IF($B106="","",IF(项目台账!$Q105="","",项目台账!$Q105))</f>
        <v/>
      </c>
      <c r="I106" s="19">
        <f>IF($B106="","",项目台账!$M105)</f>
        <v/>
      </c>
      <c r="J106" s="19">
        <f>IF($B106="","",项目台账!$O105)</f>
        <v/>
      </c>
      <c r="K106" s="19">
        <f>IF($B106="","",项目台账!$P105)</f>
        <v/>
      </c>
      <c r="L106" s="19">
        <f>IF($B106="","",ROUND(SUMIFS(采购单!$L$4:$L$2003,采购单!$D$4:$D$2003,$B106,采购单!$F$4:$F$2003,"成本-主材")+SUMIFS(生产安装!$J$4:$J$1203,生产安装!$C$4:$C$1203,$B106,生产安装!$E$4:$E$1203,"成本-主材")+SUMIFS(资金日记账!$K$4:$K$2503,资金日记账!$G$4:$G$2503,$B106,资金日记账!$F$4:$F$2503,"成本-主材")-SUMIFS(资金日记账!$J$4:$J$2503,资金日记账!$G$4:$G$2503,$B106,资金日记账!$F$4:$F$2503,"成本-主材"),2))</f>
        <v/>
      </c>
      <c r="M106" s="19">
        <f>IF($B106="","",ROUND(SUMIFS(采购单!$L$4:$L$2003,采购单!$D$4:$D$2003,$B106,采购单!$F$4:$F$2003,"成本-辅材")+SUMIFS(生产安装!$J$4:$J$1203,生产安装!$C$4:$C$1203,$B106,生产安装!$E$4:$E$1203,"成本-辅材")+SUMIFS(资金日记账!$K$4:$K$2503,资金日记账!$G$4:$G$2503,$B106,资金日记账!$F$4:$F$2503,"成本-辅材")-SUMIFS(资金日记账!$J$4:$J$2503,资金日记账!$G$4:$G$2503,$B106,资金日记账!$F$4:$F$2503,"成本-辅材"),2))</f>
        <v/>
      </c>
      <c r="N106" s="19">
        <f>IF($B106="","",ROUND(SUMIFS(采购单!$L$4:$L$2003,采购单!$D$4:$D$2003,$B106,采购单!$F$4:$F$2003,"成本-人工")+SUMIFS(生产安装!$J$4:$J$1203,生产安装!$C$4:$C$1203,$B106,生产安装!$E$4:$E$1203,"成本-人工")+SUMIFS(资金日记账!$K$4:$K$2503,资金日记账!$G$4:$G$2503,$B106,资金日记账!$F$4:$F$2503,"成本-人工")-SUMIFS(资金日记账!$J$4:$J$2503,资金日记账!$G$4:$G$2503,$B106,资金日记账!$F$4:$F$2503,"成本-人工"),2))</f>
        <v/>
      </c>
      <c r="O106" s="19">
        <f>IF($B106="","",ROUND(SUMIFS(采购单!$L$4:$L$2003,采购单!$D$4:$D$2003,$B106,采购单!$F$4:$F$2003,"成本-车运")+SUMIFS(生产安装!$J$4:$J$1203,生产安装!$C$4:$C$1203,$B106,生产安装!$E$4:$E$1203,"成本-车运")+SUMIFS(资金日记账!$K$4:$K$2503,资金日记账!$G$4:$G$2503,$B106,资金日记账!$F$4:$F$2503,"成本-车运")-SUMIFS(资金日记账!$J$4:$J$2503,资金日记账!$G$4:$G$2503,$B106,资金日记账!$F$4:$F$2503,"成本-车运"),2))</f>
        <v/>
      </c>
      <c r="P106" s="19">
        <f>IF($B106="","",ROUND(SUMIFS(采购单!$L$4:$L$2003,采购单!$D$4:$D$2003,$B106,采购单!$F$4:$F$2003,"成本-其他")+SUMIFS(生产安装!$J$4:$J$1203,生产安装!$C$4:$C$1203,$B106,生产安装!$E$4:$E$1203,"成本-其他")+SUMIFS(资金日记账!$K$4:$K$2503,资金日记账!$G$4:$G$2503,$B106,资金日记账!$F$4:$F$2503,"成本-其他")-SUMIFS(资金日记账!$J$4:$J$2503,资金日记账!$G$4:$G$2503,$B106,资金日记账!$F$4:$F$2503,"成本-其他"),2))</f>
        <v/>
      </c>
      <c r="Q106" s="19">
        <f>IF($B106="","",ROUND(SUM($L106:$P106),2))</f>
        <v/>
      </c>
      <c r="R106" s="19">
        <f>IF($B106="","",ROUND($I106-$Q106,2))</f>
        <v/>
      </c>
      <c r="S106" s="33">
        <f>IF($B106="","",IF(ROUND($I106,2)=0,"",ROUND($R106/$I106,4)))</f>
        <v/>
      </c>
      <c r="T106" s="22">
        <f>IF($B106="","",IF($G106="",0,YEAR($G106)*100+MONTH($G106)))</f>
        <v/>
      </c>
      <c r="U106" s="17">
        <f>IF($B106="","",IF(项目台账!$R105="","",项目台账!$R105))</f>
        <v/>
      </c>
    </row>
    <row r="107">
      <c r="A107" s="17">
        <f>IF(项目台账!$B106="","",项目台账!$A106)</f>
        <v/>
      </c>
      <c r="B107" s="17">
        <f>IF(项目台账!$B106="","",项目台账!$B106)</f>
        <v/>
      </c>
      <c r="C107" s="17">
        <f>IF($B107="","",IF(项目台账!$C106="","",项目台账!$C106))</f>
        <v/>
      </c>
      <c r="D107" s="17">
        <f>IF($B107="","",IF(项目台账!$D106="","",项目台账!$D106))</f>
        <v/>
      </c>
      <c r="E107" s="17">
        <f>IF($B107="","",IF(项目台账!$E106="","",项目台账!$E106))</f>
        <v/>
      </c>
      <c r="F107" s="23">
        <f>IF($B107="","",IF(项目台账!$F106="","",项目台账!$F106))</f>
        <v/>
      </c>
      <c r="G107" s="23">
        <f>IF($B107="","",IF(项目台账!$J106="","",项目台账!$J106))</f>
        <v/>
      </c>
      <c r="H107" s="17">
        <f>IF($B107="","",IF(项目台账!$Q106="","",项目台账!$Q106))</f>
        <v/>
      </c>
      <c r="I107" s="19">
        <f>IF($B107="","",项目台账!$M106)</f>
        <v/>
      </c>
      <c r="J107" s="19">
        <f>IF($B107="","",项目台账!$O106)</f>
        <v/>
      </c>
      <c r="K107" s="19">
        <f>IF($B107="","",项目台账!$P106)</f>
        <v/>
      </c>
      <c r="L107" s="19">
        <f>IF($B107="","",ROUND(SUMIFS(采购单!$L$4:$L$2003,采购单!$D$4:$D$2003,$B107,采购单!$F$4:$F$2003,"成本-主材")+SUMIFS(生产安装!$J$4:$J$1203,生产安装!$C$4:$C$1203,$B107,生产安装!$E$4:$E$1203,"成本-主材")+SUMIFS(资金日记账!$K$4:$K$2503,资金日记账!$G$4:$G$2503,$B107,资金日记账!$F$4:$F$2503,"成本-主材")-SUMIFS(资金日记账!$J$4:$J$2503,资金日记账!$G$4:$G$2503,$B107,资金日记账!$F$4:$F$2503,"成本-主材"),2))</f>
        <v/>
      </c>
      <c r="M107" s="19">
        <f>IF($B107="","",ROUND(SUMIFS(采购单!$L$4:$L$2003,采购单!$D$4:$D$2003,$B107,采购单!$F$4:$F$2003,"成本-辅材")+SUMIFS(生产安装!$J$4:$J$1203,生产安装!$C$4:$C$1203,$B107,生产安装!$E$4:$E$1203,"成本-辅材")+SUMIFS(资金日记账!$K$4:$K$2503,资金日记账!$G$4:$G$2503,$B107,资金日记账!$F$4:$F$2503,"成本-辅材")-SUMIFS(资金日记账!$J$4:$J$2503,资金日记账!$G$4:$G$2503,$B107,资金日记账!$F$4:$F$2503,"成本-辅材"),2))</f>
        <v/>
      </c>
      <c r="N107" s="19">
        <f>IF($B107="","",ROUND(SUMIFS(采购单!$L$4:$L$2003,采购单!$D$4:$D$2003,$B107,采购单!$F$4:$F$2003,"成本-人工")+SUMIFS(生产安装!$J$4:$J$1203,生产安装!$C$4:$C$1203,$B107,生产安装!$E$4:$E$1203,"成本-人工")+SUMIFS(资金日记账!$K$4:$K$2503,资金日记账!$G$4:$G$2503,$B107,资金日记账!$F$4:$F$2503,"成本-人工")-SUMIFS(资金日记账!$J$4:$J$2503,资金日记账!$G$4:$G$2503,$B107,资金日记账!$F$4:$F$2503,"成本-人工"),2))</f>
        <v/>
      </c>
      <c r="O107" s="19">
        <f>IF($B107="","",ROUND(SUMIFS(采购单!$L$4:$L$2003,采购单!$D$4:$D$2003,$B107,采购单!$F$4:$F$2003,"成本-车运")+SUMIFS(生产安装!$J$4:$J$1203,生产安装!$C$4:$C$1203,$B107,生产安装!$E$4:$E$1203,"成本-车运")+SUMIFS(资金日记账!$K$4:$K$2503,资金日记账!$G$4:$G$2503,$B107,资金日记账!$F$4:$F$2503,"成本-车运")-SUMIFS(资金日记账!$J$4:$J$2503,资金日记账!$G$4:$G$2503,$B107,资金日记账!$F$4:$F$2503,"成本-车运"),2))</f>
        <v/>
      </c>
      <c r="P107" s="19">
        <f>IF($B107="","",ROUND(SUMIFS(采购单!$L$4:$L$2003,采购单!$D$4:$D$2003,$B107,采购单!$F$4:$F$2003,"成本-其他")+SUMIFS(生产安装!$J$4:$J$1203,生产安装!$C$4:$C$1203,$B107,生产安装!$E$4:$E$1203,"成本-其他")+SUMIFS(资金日记账!$K$4:$K$2503,资金日记账!$G$4:$G$2503,$B107,资金日记账!$F$4:$F$2503,"成本-其他")-SUMIFS(资金日记账!$J$4:$J$2503,资金日记账!$G$4:$G$2503,$B107,资金日记账!$F$4:$F$2503,"成本-其他"),2))</f>
        <v/>
      </c>
      <c r="Q107" s="19">
        <f>IF($B107="","",ROUND(SUM($L107:$P107),2))</f>
        <v/>
      </c>
      <c r="R107" s="19">
        <f>IF($B107="","",ROUND($I107-$Q107,2))</f>
        <v/>
      </c>
      <c r="S107" s="33">
        <f>IF($B107="","",IF(ROUND($I107,2)=0,"",ROUND($R107/$I107,4)))</f>
        <v/>
      </c>
      <c r="T107" s="22">
        <f>IF($B107="","",IF($G107="",0,YEAR($G107)*100+MONTH($G107)))</f>
        <v/>
      </c>
      <c r="U107" s="17">
        <f>IF($B107="","",IF(项目台账!$R106="","",项目台账!$R106))</f>
        <v/>
      </c>
    </row>
    <row r="108">
      <c r="A108" s="17">
        <f>IF(项目台账!$B107="","",项目台账!$A107)</f>
        <v/>
      </c>
      <c r="B108" s="17">
        <f>IF(项目台账!$B107="","",项目台账!$B107)</f>
        <v/>
      </c>
      <c r="C108" s="17">
        <f>IF($B108="","",IF(项目台账!$C107="","",项目台账!$C107))</f>
        <v/>
      </c>
      <c r="D108" s="17">
        <f>IF($B108="","",IF(项目台账!$D107="","",项目台账!$D107))</f>
        <v/>
      </c>
      <c r="E108" s="17">
        <f>IF($B108="","",IF(项目台账!$E107="","",项目台账!$E107))</f>
        <v/>
      </c>
      <c r="F108" s="23">
        <f>IF($B108="","",IF(项目台账!$F107="","",项目台账!$F107))</f>
        <v/>
      </c>
      <c r="G108" s="23">
        <f>IF($B108="","",IF(项目台账!$J107="","",项目台账!$J107))</f>
        <v/>
      </c>
      <c r="H108" s="17">
        <f>IF($B108="","",IF(项目台账!$Q107="","",项目台账!$Q107))</f>
        <v/>
      </c>
      <c r="I108" s="19">
        <f>IF($B108="","",项目台账!$M107)</f>
        <v/>
      </c>
      <c r="J108" s="19">
        <f>IF($B108="","",项目台账!$O107)</f>
        <v/>
      </c>
      <c r="K108" s="19">
        <f>IF($B108="","",项目台账!$P107)</f>
        <v/>
      </c>
      <c r="L108" s="19">
        <f>IF($B108="","",ROUND(SUMIFS(采购单!$L$4:$L$2003,采购单!$D$4:$D$2003,$B108,采购单!$F$4:$F$2003,"成本-主材")+SUMIFS(生产安装!$J$4:$J$1203,生产安装!$C$4:$C$1203,$B108,生产安装!$E$4:$E$1203,"成本-主材")+SUMIFS(资金日记账!$K$4:$K$2503,资金日记账!$G$4:$G$2503,$B108,资金日记账!$F$4:$F$2503,"成本-主材")-SUMIFS(资金日记账!$J$4:$J$2503,资金日记账!$G$4:$G$2503,$B108,资金日记账!$F$4:$F$2503,"成本-主材"),2))</f>
        <v/>
      </c>
      <c r="M108" s="19">
        <f>IF($B108="","",ROUND(SUMIFS(采购单!$L$4:$L$2003,采购单!$D$4:$D$2003,$B108,采购单!$F$4:$F$2003,"成本-辅材")+SUMIFS(生产安装!$J$4:$J$1203,生产安装!$C$4:$C$1203,$B108,生产安装!$E$4:$E$1203,"成本-辅材")+SUMIFS(资金日记账!$K$4:$K$2503,资金日记账!$G$4:$G$2503,$B108,资金日记账!$F$4:$F$2503,"成本-辅材")-SUMIFS(资金日记账!$J$4:$J$2503,资金日记账!$G$4:$G$2503,$B108,资金日记账!$F$4:$F$2503,"成本-辅材"),2))</f>
        <v/>
      </c>
      <c r="N108" s="19">
        <f>IF($B108="","",ROUND(SUMIFS(采购单!$L$4:$L$2003,采购单!$D$4:$D$2003,$B108,采购单!$F$4:$F$2003,"成本-人工")+SUMIFS(生产安装!$J$4:$J$1203,生产安装!$C$4:$C$1203,$B108,生产安装!$E$4:$E$1203,"成本-人工")+SUMIFS(资金日记账!$K$4:$K$2503,资金日记账!$G$4:$G$2503,$B108,资金日记账!$F$4:$F$2503,"成本-人工")-SUMIFS(资金日记账!$J$4:$J$2503,资金日记账!$G$4:$G$2503,$B108,资金日记账!$F$4:$F$2503,"成本-人工"),2))</f>
        <v/>
      </c>
      <c r="O108" s="19">
        <f>IF($B108="","",ROUND(SUMIFS(采购单!$L$4:$L$2003,采购单!$D$4:$D$2003,$B108,采购单!$F$4:$F$2003,"成本-车运")+SUMIFS(生产安装!$J$4:$J$1203,生产安装!$C$4:$C$1203,$B108,生产安装!$E$4:$E$1203,"成本-车运")+SUMIFS(资金日记账!$K$4:$K$2503,资金日记账!$G$4:$G$2503,$B108,资金日记账!$F$4:$F$2503,"成本-车运")-SUMIFS(资金日记账!$J$4:$J$2503,资金日记账!$G$4:$G$2503,$B108,资金日记账!$F$4:$F$2503,"成本-车运"),2))</f>
        <v/>
      </c>
      <c r="P108" s="19">
        <f>IF($B108="","",ROUND(SUMIFS(采购单!$L$4:$L$2003,采购单!$D$4:$D$2003,$B108,采购单!$F$4:$F$2003,"成本-其他")+SUMIFS(生产安装!$J$4:$J$1203,生产安装!$C$4:$C$1203,$B108,生产安装!$E$4:$E$1203,"成本-其他")+SUMIFS(资金日记账!$K$4:$K$2503,资金日记账!$G$4:$G$2503,$B108,资金日记账!$F$4:$F$2503,"成本-其他")-SUMIFS(资金日记账!$J$4:$J$2503,资金日记账!$G$4:$G$2503,$B108,资金日记账!$F$4:$F$2503,"成本-其他"),2))</f>
        <v/>
      </c>
      <c r="Q108" s="19">
        <f>IF($B108="","",ROUND(SUM($L108:$P108),2))</f>
        <v/>
      </c>
      <c r="R108" s="19">
        <f>IF($B108="","",ROUND($I108-$Q108,2))</f>
        <v/>
      </c>
      <c r="S108" s="33">
        <f>IF($B108="","",IF(ROUND($I108,2)=0,"",ROUND($R108/$I108,4)))</f>
        <v/>
      </c>
      <c r="T108" s="22">
        <f>IF($B108="","",IF($G108="",0,YEAR($G108)*100+MONTH($G108)))</f>
        <v/>
      </c>
      <c r="U108" s="17">
        <f>IF($B108="","",IF(项目台账!$R107="","",项目台账!$R107))</f>
        <v/>
      </c>
    </row>
    <row r="109">
      <c r="A109" s="17">
        <f>IF(项目台账!$B108="","",项目台账!$A108)</f>
        <v/>
      </c>
      <c r="B109" s="17">
        <f>IF(项目台账!$B108="","",项目台账!$B108)</f>
        <v/>
      </c>
      <c r="C109" s="17">
        <f>IF($B109="","",IF(项目台账!$C108="","",项目台账!$C108))</f>
        <v/>
      </c>
      <c r="D109" s="17">
        <f>IF($B109="","",IF(项目台账!$D108="","",项目台账!$D108))</f>
        <v/>
      </c>
      <c r="E109" s="17">
        <f>IF($B109="","",IF(项目台账!$E108="","",项目台账!$E108))</f>
        <v/>
      </c>
      <c r="F109" s="23">
        <f>IF($B109="","",IF(项目台账!$F108="","",项目台账!$F108))</f>
        <v/>
      </c>
      <c r="G109" s="23">
        <f>IF($B109="","",IF(项目台账!$J108="","",项目台账!$J108))</f>
        <v/>
      </c>
      <c r="H109" s="17">
        <f>IF($B109="","",IF(项目台账!$Q108="","",项目台账!$Q108))</f>
        <v/>
      </c>
      <c r="I109" s="19">
        <f>IF($B109="","",项目台账!$M108)</f>
        <v/>
      </c>
      <c r="J109" s="19">
        <f>IF($B109="","",项目台账!$O108)</f>
        <v/>
      </c>
      <c r="K109" s="19">
        <f>IF($B109="","",项目台账!$P108)</f>
        <v/>
      </c>
      <c r="L109" s="19">
        <f>IF($B109="","",ROUND(SUMIFS(采购单!$L$4:$L$2003,采购单!$D$4:$D$2003,$B109,采购单!$F$4:$F$2003,"成本-主材")+SUMIFS(生产安装!$J$4:$J$1203,生产安装!$C$4:$C$1203,$B109,生产安装!$E$4:$E$1203,"成本-主材")+SUMIFS(资金日记账!$K$4:$K$2503,资金日记账!$G$4:$G$2503,$B109,资金日记账!$F$4:$F$2503,"成本-主材")-SUMIFS(资金日记账!$J$4:$J$2503,资金日记账!$G$4:$G$2503,$B109,资金日记账!$F$4:$F$2503,"成本-主材"),2))</f>
        <v/>
      </c>
      <c r="M109" s="19">
        <f>IF($B109="","",ROUND(SUMIFS(采购单!$L$4:$L$2003,采购单!$D$4:$D$2003,$B109,采购单!$F$4:$F$2003,"成本-辅材")+SUMIFS(生产安装!$J$4:$J$1203,生产安装!$C$4:$C$1203,$B109,生产安装!$E$4:$E$1203,"成本-辅材")+SUMIFS(资金日记账!$K$4:$K$2503,资金日记账!$G$4:$G$2503,$B109,资金日记账!$F$4:$F$2503,"成本-辅材")-SUMIFS(资金日记账!$J$4:$J$2503,资金日记账!$G$4:$G$2503,$B109,资金日记账!$F$4:$F$2503,"成本-辅材"),2))</f>
        <v/>
      </c>
      <c r="N109" s="19">
        <f>IF($B109="","",ROUND(SUMIFS(采购单!$L$4:$L$2003,采购单!$D$4:$D$2003,$B109,采购单!$F$4:$F$2003,"成本-人工")+SUMIFS(生产安装!$J$4:$J$1203,生产安装!$C$4:$C$1203,$B109,生产安装!$E$4:$E$1203,"成本-人工")+SUMIFS(资金日记账!$K$4:$K$2503,资金日记账!$G$4:$G$2503,$B109,资金日记账!$F$4:$F$2503,"成本-人工")-SUMIFS(资金日记账!$J$4:$J$2503,资金日记账!$G$4:$G$2503,$B109,资金日记账!$F$4:$F$2503,"成本-人工"),2))</f>
        <v/>
      </c>
      <c r="O109" s="19">
        <f>IF($B109="","",ROUND(SUMIFS(采购单!$L$4:$L$2003,采购单!$D$4:$D$2003,$B109,采购单!$F$4:$F$2003,"成本-车运")+SUMIFS(生产安装!$J$4:$J$1203,生产安装!$C$4:$C$1203,$B109,生产安装!$E$4:$E$1203,"成本-车运")+SUMIFS(资金日记账!$K$4:$K$2503,资金日记账!$G$4:$G$2503,$B109,资金日记账!$F$4:$F$2503,"成本-车运")-SUMIFS(资金日记账!$J$4:$J$2503,资金日记账!$G$4:$G$2503,$B109,资金日记账!$F$4:$F$2503,"成本-车运"),2))</f>
        <v/>
      </c>
      <c r="P109" s="19">
        <f>IF($B109="","",ROUND(SUMIFS(采购单!$L$4:$L$2003,采购单!$D$4:$D$2003,$B109,采购单!$F$4:$F$2003,"成本-其他")+SUMIFS(生产安装!$J$4:$J$1203,生产安装!$C$4:$C$1203,$B109,生产安装!$E$4:$E$1203,"成本-其他")+SUMIFS(资金日记账!$K$4:$K$2503,资金日记账!$G$4:$G$2503,$B109,资金日记账!$F$4:$F$2503,"成本-其他")-SUMIFS(资金日记账!$J$4:$J$2503,资金日记账!$G$4:$G$2503,$B109,资金日记账!$F$4:$F$2503,"成本-其他"),2))</f>
        <v/>
      </c>
      <c r="Q109" s="19">
        <f>IF($B109="","",ROUND(SUM($L109:$P109),2))</f>
        <v/>
      </c>
      <c r="R109" s="19">
        <f>IF($B109="","",ROUND($I109-$Q109,2))</f>
        <v/>
      </c>
      <c r="S109" s="33">
        <f>IF($B109="","",IF(ROUND($I109,2)=0,"",ROUND($R109/$I109,4)))</f>
        <v/>
      </c>
      <c r="T109" s="22">
        <f>IF($B109="","",IF($G109="",0,YEAR($G109)*100+MONTH($G109)))</f>
        <v/>
      </c>
      <c r="U109" s="17">
        <f>IF($B109="","",IF(项目台账!$R108="","",项目台账!$R108))</f>
        <v/>
      </c>
    </row>
    <row r="110">
      <c r="A110" s="17">
        <f>IF(项目台账!$B109="","",项目台账!$A109)</f>
        <v/>
      </c>
      <c r="B110" s="17">
        <f>IF(项目台账!$B109="","",项目台账!$B109)</f>
        <v/>
      </c>
      <c r="C110" s="17">
        <f>IF($B110="","",IF(项目台账!$C109="","",项目台账!$C109))</f>
        <v/>
      </c>
      <c r="D110" s="17">
        <f>IF($B110="","",IF(项目台账!$D109="","",项目台账!$D109))</f>
        <v/>
      </c>
      <c r="E110" s="17">
        <f>IF($B110="","",IF(项目台账!$E109="","",项目台账!$E109))</f>
        <v/>
      </c>
      <c r="F110" s="23">
        <f>IF($B110="","",IF(项目台账!$F109="","",项目台账!$F109))</f>
        <v/>
      </c>
      <c r="G110" s="23">
        <f>IF($B110="","",IF(项目台账!$J109="","",项目台账!$J109))</f>
        <v/>
      </c>
      <c r="H110" s="17">
        <f>IF($B110="","",IF(项目台账!$Q109="","",项目台账!$Q109))</f>
        <v/>
      </c>
      <c r="I110" s="19">
        <f>IF($B110="","",项目台账!$M109)</f>
        <v/>
      </c>
      <c r="J110" s="19">
        <f>IF($B110="","",项目台账!$O109)</f>
        <v/>
      </c>
      <c r="K110" s="19">
        <f>IF($B110="","",项目台账!$P109)</f>
        <v/>
      </c>
      <c r="L110" s="19">
        <f>IF($B110="","",ROUND(SUMIFS(采购单!$L$4:$L$2003,采购单!$D$4:$D$2003,$B110,采购单!$F$4:$F$2003,"成本-主材")+SUMIFS(生产安装!$J$4:$J$1203,生产安装!$C$4:$C$1203,$B110,生产安装!$E$4:$E$1203,"成本-主材")+SUMIFS(资金日记账!$K$4:$K$2503,资金日记账!$G$4:$G$2503,$B110,资金日记账!$F$4:$F$2503,"成本-主材")-SUMIFS(资金日记账!$J$4:$J$2503,资金日记账!$G$4:$G$2503,$B110,资金日记账!$F$4:$F$2503,"成本-主材"),2))</f>
        <v/>
      </c>
      <c r="M110" s="19">
        <f>IF($B110="","",ROUND(SUMIFS(采购单!$L$4:$L$2003,采购单!$D$4:$D$2003,$B110,采购单!$F$4:$F$2003,"成本-辅材")+SUMIFS(生产安装!$J$4:$J$1203,生产安装!$C$4:$C$1203,$B110,生产安装!$E$4:$E$1203,"成本-辅材")+SUMIFS(资金日记账!$K$4:$K$2503,资金日记账!$G$4:$G$2503,$B110,资金日记账!$F$4:$F$2503,"成本-辅材")-SUMIFS(资金日记账!$J$4:$J$2503,资金日记账!$G$4:$G$2503,$B110,资金日记账!$F$4:$F$2503,"成本-辅材"),2))</f>
        <v/>
      </c>
      <c r="N110" s="19">
        <f>IF($B110="","",ROUND(SUMIFS(采购单!$L$4:$L$2003,采购单!$D$4:$D$2003,$B110,采购单!$F$4:$F$2003,"成本-人工")+SUMIFS(生产安装!$J$4:$J$1203,生产安装!$C$4:$C$1203,$B110,生产安装!$E$4:$E$1203,"成本-人工")+SUMIFS(资金日记账!$K$4:$K$2503,资金日记账!$G$4:$G$2503,$B110,资金日记账!$F$4:$F$2503,"成本-人工")-SUMIFS(资金日记账!$J$4:$J$2503,资金日记账!$G$4:$G$2503,$B110,资金日记账!$F$4:$F$2503,"成本-人工"),2))</f>
        <v/>
      </c>
      <c r="O110" s="19">
        <f>IF($B110="","",ROUND(SUMIFS(采购单!$L$4:$L$2003,采购单!$D$4:$D$2003,$B110,采购单!$F$4:$F$2003,"成本-车运")+SUMIFS(生产安装!$J$4:$J$1203,生产安装!$C$4:$C$1203,$B110,生产安装!$E$4:$E$1203,"成本-车运")+SUMIFS(资金日记账!$K$4:$K$2503,资金日记账!$G$4:$G$2503,$B110,资金日记账!$F$4:$F$2503,"成本-车运")-SUMIFS(资金日记账!$J$4:$J$2503,资金日记账!$G$4:$G$2503,$B110,资金日记账!$F$4:$F$2503,"成本-车运"),2))</f>
        <v/>
      </c>
      <c r="P110" s="19">
        <f>IF($B110="","",ROUND(SUMIFS(采购单!$L$4:$L$2003,采购单!$D$4:$D$2003,$B110,采购单!$F$4:$F$2003,"成本-其他")+SUMIFS(生产安装!$J$4:$J$1203,生产安装!$C$4:$C$1203,$B110,生产安装!$E$4:$E$1203,"成本-其他")+SUMIFS(资金日记账!$K$4:$K$2503,资金日记账!$G$4:$G$2503,$B110,资金日记账!$F$4:$F$2503,"成本-其他")-SUMIFS(资金日记账!$J$4:$J$2503,资金日记账!$G$4:$G$2503,$B110,资金日记账!$F$4:$F$2503,"成本-其他"),2))</f>
        <v/>
      </c>
      <c r="Q110" s="19">
        <f>IF($B110="","",ROUND(SUM($L110:$P110),2))</f>
        <v/>
      </c>
      <c r="R110" s="19">
        <f>IF($B110="","",ROUND($I110-$Q110,2))</f>
        <v/>
      </c>
      <c r="S110" s="33">
        <f>IF($B110="","",IF(ROUND($I110,2)=0,"",ROUND($R110/$I110,4)))</f>
        <v/>
      </c>
      <c r="T110" s="22">
        <f>IF($B110="","",IF($G110="",0,YEAR($G110)*100+MONTH($G110)))</f>
        <v/>
      </c>
      <c r="U110" s="17">
        <f>IF($B110="","",IF(项目台账!$R109="","",项目台账!$R109))</f>
        <v/>
      </c>
    </row>
    <row r="111">
      <c r="A111" s="17">
        <f>IF(项目台账!$B110="","",项目台账!$A110)</f>
        <v/>
      </c>
      <c r="B111" s="17">
        <f>IF(项目台账!$B110="","",项目台账!$B110)</f>
        <v/>
      </c>
      <c r="C111" s="17">
        <f>IF($B111="","",IF(项目台账!$C110="","",项目台账!$C110))</f>
        <v/>
      </c>
      <c r="D111" s="17">
        <f>IF($B111="","",IF(项目台账!$D110="","",项目台账!$D110))</f>
        <v/>
      </c>
      <c r="E111" s="17">
        <f>IF($B111="","",IF(项目台账!$E110="","",项目台账!$E110))</f>
        <v/>
      </c>
      <c r="F111" s="23">
        <f>IF($B111="","",IF(项目台账!$F110="","",项目台账!$F110))</f>
        <v/>
      </c>
      <c r="G111" s="23">
        <f>IF($B111="","",IF(项目台账!$J110="","",项目台账!$J110))</f>
        <v/>
      </c>
      <c r="H111" s="17">
        <f>IF($B111="","",IF(项目台账!$Q110="","",项目台账!$Q110))</f>
        <v/>
      </c>
      <c r="I111" s="19">
        <f>IF($B111="","",项目台账!$M110)</f>
        <v/>
      </c>
      <c r="J111" s="19">
        <f>IF($B111="","",项目台账!$O110)</f>
        <v/>
      </c>
      <c r="K111" s="19">
        <f>IF($B111="","",项目台账!$P110)</f>
        <v/>
      </c>
      <c r="L111" s="19">
        <f>IF($B111="","",ROUND(SUMIFS(采购单!$L$4:$L$2003,采购单!$D$4:$D$2003,$B111,采购单!$F$4:$F$2003,"成本-主材")+SUMIFS(生产安装!$J$4:$J$1203,生产安装!$C$4:$C$1203,$B111,生产安装!$E$4:$E$1203,"成本-主材")+SUMIFS(资金日记账!$K$4:$K$2503,资金日记账!$G$4:$G$2503,$B111,资金日记账!$F$4:$F$2503,"成本-主材")-SUMIFS(资金日记账!$J$4:$J$2503,资金日记账!$G$4:$G$2503,$B111,资金日记账!$F$4:$F$2503,"成本-主材"),2))</f>
        <v/>
      </c>
      <c r="M111" s="19">
        <f>IF($B111="","",ROUND(SUMIFS(采购单!$L$4:$L$2003,采购单!$D$4:$D$2003,$B111,采购单!$F$4:$F$2003,"成本-辅材")+SUMIFS(生产安装!$J$4:$J$1203,生产安装!$C$4:$C$1203,$B111,生产安装!$E$4:$E$1203,"成本-辅材")+SUMIFS(资金日记账!$K$4:$K$2503,资金日记账!$G$4:$G$2503,$B111,资金日记账!$F$4:$F$2503,"成本-辅材")-SUMIFS(资金日记账!$J$4:$J$2503,资金日记账!$G$4:$G$2503,$B111,资金日记账!$F$4:$F$2503,"成本-辅材"),2))</f>
        <v/>
      </c>
      <c r="N111" s="19">
        <f>IF($B111="","",ROUND(SUMIFS(采购单!$L$4:$L$2003,采购单!$D$4:$D$2003,$B111,采购单!$F$4:$F$2003,"成本-人工")+SUMIFS(生产安装!$J$4:$J$1203,生产安装!$C$4:$C$1203,$B111,生产安装!$E$4:$E$1203,"成本-人工")+SUMIFS(资金日记账!$K$4:$K$2503,资金日记账!$G$4:$G$2503,$B111,资金日记账!$F$4:$F$2503,"成本-人工")-SUMIFS(资金日记账!$J$4:$J$2503,资金日记账!$G$4:$G$2503,$B111,资金日记账!$F$4:$F$2503,"成本-人工"),2))</f>
        <v/>
      </c>
      <c r="O111" s="19">
        <f>IF($B111="","",ROUND(SUMIFS(采购单!$L$4:$L$2003,采购单!$D$4:$D$2003,$B111,采购单!$F$4:$F$2003,"成本-车运")+SUMIFS(生产安装!$J$4:$J$1203,生产安装!$C$4:$C$1203,$B111,生产安装!$E$4:$E$1203,"成本-车运")+SUMIFS(资金日记账!$K$4:$K$2503,资金日记账!$G$4:$G$2503,$B111,资金日记账!$F$4:$F$2503,"成本-车运")-SUMIFS(资金日记账!$J$4:$J$2503,资金日记账!$G$4:$G$2503,$B111,资金日记账!$F$4:$F$2503,"成本-车运"),2))</f>
        <v/>
      </c>
      <c r="P111" s="19">
        <f>IF($B111="","",ROUND(SUMIFS(采购单!$L$4:$L$2003,采购单!$D$4:$D$2003,$B111,采购单!$F$4:$F$2003,"成本-其他")+SUMIFS(生产安装!$J$4:$J$1203,生产安装!$C$4:$C$1203,$B111,生产安装!$E$4:$E$1203,"成本-其他")+SUMIFS(资金日记账!$K$4:$K$2503,资金日记账!$G$4:$G$2503,$B111,资金日记账!$F$4:$F$2503,"成本-其他")-SUMIFS(资金日记账!$J$4:$J$2503,资金日记账!$G$4:$G$2503,$B111,资金日记账!$F$4:$F$2503,"成本-其他"),2))</f>
        <v/>
      </c>
      <c r="Q111" s="19">
        <f>IF($B111="","",ROUND(SUM($L111:$P111),2))</f>
        <v/>
      </c>
      <c r="R111" s="19">
        <f>IF($B111="","",ROUND($I111-$Q111,2))</f>
        <v/>
      </c>
      <c r="S111" s="33">
        <f>IF($B111="","",IF(ROUND($I111,2)=0,"",ROUND($R111/$I111,4)))</f>
        <v/>
      </c>
      <c r="T111" s="22">
        <f>IF($B111="","",IF($G111="",0,YEAR($G111)*100+MONTH($G111)))</f>
        <v/>
      </c>
      <c r="U111" s="17">
        <f>IF($B111="","",IF(项目台账!$R110="","",项目台账!$R110))</f>
        <v/>
      </c>
    </row>
    <row r="112">
      <c r="A112" s="17">
        <f>IF(项目台账!$B111="","",项目台账!$A111)</f>
        <v/>
      </c>
      <c r="B112" s="17">
        <f>IF(项目台账!$B111="","",项目台账!$B111)</f>
        <v/>
      </c>
      <c r="C112" s="17">
        <f>IF($B112="","",IF(项目台账!$C111="","",项目台账!$C111))</f>
        <v/>
      </c>
      <c r="D112" s="17">
        <f>IF($B112="","",IF(项目台账!$D111="","",项目台账!$D111))</f>
        <v/>
      </c>
      <c r="E112" s="17">
        <f>IF($B112="","",IF(项目台账!$E111="","",项目台账!$E111))</f>
        <v/>
      </c>
      <c r="F112" s="23">
        <f>IF($B112="","",IF(项目台账!$F111="","",项目台账!$F111))</f>
        <v/>
      </c>
      <c r="G112" s="23">
        <f>IF($B112="","",IF(项目台账!$J111="","",项目台账!$J111))</f>
        <v/>
      </c>
      <c r="H112" s="17">
        <f>IF($B112="","",IF(项目台账!$Q111="","",项目台账!$Q111))</f>
        <v/>
      </c>
      <c r="I112" s="19">
        <f>IF($B112="","",项目台账!$M111)</f>
        <v/>
      </c>
      <c r="J112" s="19">
        <f>IF($B112="","",项目台账!$O111)</f>
        <v/>
      </c>
      <c r="K112" s="19">
        <f>IF($B112="","",项目台账!$P111)</f>
        <v/>
      </c>
      <c r="L112" s="19">
        <f>IF($B112="","",ROUND(SUMIFS(采购单!$L$4:$L$2003,采购单!$D$4:$D$2003,$B112,采购单!$F$4:$F$2003,"成本-主材")+SUMIFS(生产安装!$J$4:$J$1203,生产安装!$C$4:$C$1203,$B112,生产安装!$E$4:$E$1203,"成本-主材")+SUMIFS(资金日记账!$K$4:$K$2503,资金日记账!$G$4:$G$2503,$B112,资金日记账!$F$4:$F$2503,"成本-主材")-SUMIFS(资金日记账!$J$4:$J$2503,资金日记账!$G$4:$G$2503,$B112,资金日记账!$F$4:$F$2503,"成本-主材"),2))</f>
        <v/>
      </c>
      <c r="M112" s="19">
        <f>IF($B112="","",ROUND(SUMIFS(采购单!$L$4:$L$2003,采购单!$D$4:$D$2003,$B112,采购单!$F$4:$F$2003,"成本-辅材")+SUMIFS(生产安装!$J$4:$J$1203,生产安装!$C$4:$C$1203,$B112,生产安装!$E$4:$E$1203,"成本-辅材")+SUMIFS(资金日记账!$K$4:$K$2503,资金日记账!$G$4:$G$2503,$B112,资金日记账!$F$4:$F$2503,"成本-辅材")-SUMIFS(资金日记账!$J$4:$J$2503,资金日记账!$G$4:$G$2503,$B112,资金日记账!$F$4:$F$2503,"成本-辅材"),2))</f>
        <v/>
      </c>
      <c r="N112" s="19">
        <f>IF($B112="","",ROUND(SUMIFS(采购单!$L$4:$L$2003,采购单!$D$4:$D$2003,$B112,采购单!$F$4:$F$2003,"成本-人工")+SUMIFS(生产安装!$J$4:$J$1203,生产安装!$C$4:$C$1203,$B112,生产安装!$E$4:$E$1203,"成本-人工")+SUMIFS(资金日记账!$K$4:$K$2503,资金日记账!$G$4:$G$2503,$B112,资金日记账!$F$4:$F$2503,"成本-人工")-SUMIFS(资金日记账!$J$4:$J$2503,资金日记账!$G$4:$G$2503,$B112,资金日记账!$F$4:$F$2503,"成本-人工"),2))</f>
        <v/>
      </c>
      <c r="O112" s="19">
        <f>IF($B112="","",ROUND(SUMIFS(采购单!$L$4:$L$2003,采购单!$D$4:$D$2003,$B112,采购单!$F$4:$F$2003,"成本-车运")+SUMIFS(生产安装!$J$4:$J$1203,生产安装!$C$4:$C$1203,$B112,生产安装!$E$4:$E$1203,"成本-车运")+SUMIFS(资金日记账!$K$4:$K$2503,资金日记账!$G$4:$G$2503,$B112,资金日记账!$F$4:$F$2503,"成本-车运")-SUMIFS(资金日记账!$J$4:$J$2503,资金日记账!$G$4:$G$2503,$B112,资金日记账!$F$4:$F$2503,"成本-车运"),2))</f>
        <v/>
      </c>
      <c r="P112" s="19">
        <f>IF($B112="","",ROUND(SUMIFS(采购单!$L$4:$L$2003,采购单!$D$4:$D$2003,$B112,采购单!$F$4:$F$2003,"成本-其他")+SUMIFS(生产安装!$J$4:$J$1203,生产安装!$C$4:$C$1203,$B112,生产安装!$E$4:$E$1203,"成本-其他")+SUMIFS(资金日记账!$K$4:$K$2503,资金日记账!$G$4:$G$2503,$B112,资金日记账!$F$4:$F$2503,"成本-其他")-SUMIFS(资金日记账!$J$4:$J$2503,资金日记账!$G$4:$G$2503,$B112,资金日记账!$F$4:$F$2503,"成本-其他"),2))</f>
        <v/>
      </c>
      <c r="Q112" s="19">
        <f>IF($B112="","",ROUND(SUM($L112:$P112),2))</f>
        <v/>
      </c>
      <c r="R112" s="19">
        <f>IF($B112="","",ROUND($I112-$Q112,2))</f>
        <v/>
      </c>
      <c r="S112" s="33">
        <f>IF($B112="","",IF(ROUND($I112,2)=0,"",ROUND($R112/$I112,4)))</f>
        <v/>
      </c>
      <c r="T112" s="22">
        <f>IF($B112="","",IF($G112="",0,YEAR($G112)*100+MONTH($G112)))</f>
        <v/>
      </c>
      <c r="U112" s="17">
        <f>IF($B112="","",IF(项目台账!$R111="","",项目台账!$R111))</f>
        <v/>
      </c>
    </row>
    <row r="113">
      <c r="A113" s="17">
        <f>IF(项目台账!$B112="","",项目台账!$A112)</f>
        <v/>
      </c>
      <c r="B113" s="17">
        <f>IF(项目台账!$B112="","",项目台账!$B112)</f>
        <v/>
      </c>
      <c r="C113" s="17">
        <f>IF($B113="","",IF(项目台账!$C112="","",项目台账!$C112))</f>
        <v/>
      </c>
      <c r="D113" s="17">
        <f>IF($B113="","",IF(项目台账!$D112="","",项目台账!$D112))</f>
        <v/>
      </c>
      <c r="E113" s="17">
        <f>IF($B113="","",IF(项目台账!$E112="","",项目台账!$E112))</f>
        <v/>
      </c>
      <c r="F113" s="23">
        <f>IF($B113="","",IF(项目台账!$F112="","",项目台账!$F112))</f>
        <v/>
      </c>
      <c r="G113" s="23">
        <f>IF($B113="","",IF(项目台账!$J112="","",项目台账!$J112))</f>
        <v/>
      </c>
      <c r="H113" s="17">
        <f>IF($B113="","",IF(项目台账!$Q112="","",项目台账!$Q112))</f>
        <v/>
      </c>
      <c r="I113" s="19">
        <f>IF($B113="","",项目台账!$M112)</f>
        <v/>
      </c>
      <c r="J113" s="19">
        <f>IF($B113="","",项目台账!$O112)</f>
        <v/>
      </c>
      <c r="K113" s="19">
        <f>IF($B113="","",项目台账!$P112)</f>
        <v/>
      </c>
      <c r="L113" s="19">
        <f>IF($B113="","",ROUND(SUMIFS(采购单!$L$4:$L$2003,采购单!$D$4:$D$2003,$B113,采购单!$F$4:$F$2003,"成本-主材")+SUMIFS(生产安装!$J$4:$J$1203,生产安装!$C$4:$C$1203,$B113,生产安装!$E$4:$E$1203,"成本-主材")+SUMIFS(资金日记账!$K$4:$K$2503,资金日记账!$G$4:$G$2503,$B113,资金日记账!$F$4:$F$2503,"成本-主材")-SUMIFS(资金日记账!$J$4:$J$2503,资金日记账!$G$4:$G$2503,$B113,资金日记账!$F$4:$F$2503,"成本-主材"),2))</f>
        <v/>
      </c>
      <c r="M113" s="19">
        <f>IF($B113="","",ROUND(SUMIFS(采购单!$L$4:$L$2003,采购单!$D$4:$D$2003,$B113,采购单!$F$4:$F$2003,"成本-辅材")+SUMIFS(生产安装!$J$4:$J$1203,生产安装!$C$4:$C$1203,$B113,生产安装!$E$4:$E$1203,"成本-辅材")+SUMIFS(资金日记账!$K$4:$K$2503,资金日记账!$G$4:$G$2503,$B113,资金日记账!$F$4:$F$2503,"成本-辅材")-SUMIFS(资金日记账!$J$4:$J$2503,资金日记账!$G$4:$G$2503,$B113,资金日记账!$F$4:$F$2503,"成本-辅材"),2))</f>
        <v/>
      </c>
      <c r="N113" s="19">
        <f>IF($B113="","",ROUND(SUMIFS(采购单!$L$4:$L$2003,采购单!$D$4:$D$2003,$B113,采购单!$F$4:$F$2003,"成本-人工")+SUMIFS(生产安装!$J$4:$J$1203,生产安装!$C$4:$C$1203,$B113,生产安装!$E$4:$E$1203,"成本-人工")+SUMIFS(资金日记账!$K$4:$K$2503,资金日记账!$G$4:$G$2503,$B113,资金日记账!$F$4:$F$2503,"成本-人工")-SUMIFS(资金日记账!$J$4:$J$2503,资金日记账!$G$4:$G$2503,$B113,资金日记账!$F$4:$F$2503,"成本-人工"),2))</f>
        <v/>
      </c>
      <c r="O113" s="19">
        <f>IF($B113="","",ROUND(SUMIFS(采购单!$L$4:$L$2003,采购单!$D$4:$D$2003,$B113,采购单!$F$4:$F$2003,"成本-车运")+SUMIFS(生产安装!$J$4:$J$1203,生产安装!$C$4:$C$1203,$B113,生产安装!$E$4:$E$1203,"成本-车运")+SUMIFS(资金日记账!$K$4:$K$2503,资金日记账!$G$4:$G$2503,$B113,资金日记账!$F$4:$F$2503,"成本-车运")-SUMIFS(资金日记账!$J$4:$J$2503,资金日记账!$G$4:$G$2503,$B113,资金日记账!$F$4:$F$2503,"成本-车运"),2))</f>
        <v/>
      </c>
      <c r="P113" s="19">
        <f>IF($B113="","",ROUND(SUMIFS(采购单!$L$4:$L$2003,采购单!$D$4:$D$2003,$B113,采购单!$F$4:$F$2003,"成本-其他")+SUMIFS(生产安装!$J$4:$J$1203,生产安装!$C$4:$C$1203,$B113,生产安装!$E$4:$E$1203,"成本-其他")+SUMIFS(资金日记账!$K$4:$K$2503,资金日记账!$G$4:$G$2503,$B113,资金日记账!$F$4:$F$2503,"成本-其他")-SUMIFS(资金日记账!$J$4:$J$2503,资金日记账!$G$4:$G$2503,$B113,资金日记账!$F$4:$F$2503,"成本-其他"),2))</f>
        <v/>
      </c>
      <c r="Q113" s="19">
        <f>IF($B113="","",ROUND(SUM($L113:$P113),2))</f>
        <v/>
      </c>
      <c r="R113" s="19">
        <f>IF($B113="","",ROUND($I113-$Q113,2))</f>
        <v/>
      </c>
      <c r="S113" s="33">
        <f>IF($B113="","",IF(ROUND($I113,2)=0,"",ROUND($R113/$I113,4)))</f>
        <v/>
      </c>
      <c r="T113" s="22">
        <f>IF($B113="","",IF($G113="",0,YEAR($G113)*100+MONTH($G113)))</f>
        <v/>
      </c>
      <c r="U113" s="17">
        <f>IF($B113="","",IF(项目台账!$R112="","",项目台账!$R112))</f>
        <v/>
      </c>
    </row>
    <row r="114">
      <c r="A114" s="17">
        <f>IF(项目台账!$B113="","",项目台账!$A113)</f>
        <v/>
      </c>
      <c r="B114" s="17">
        <f>IF(项目台账!$B113="","",项目台账!$B113)</f>
        <v/>
      </c>
      <c r="C114" s="17">
        <f>IF($B114="","",IF(项目台账!$C113="","",项目台账!$C113))</f>
        <v/>
      </c>
      <c r="D114" s="17">
        <f>IF($B114="","",IF(项目台账!$D113="","",项目台账!$D113))</f>
        <v/>
      </c>
      <c r="E114" s="17">
        <f>IF($B114="","",IF(项目台账!$E113="","",项目台账!$E113))</f>
        <v/>
      </c>
      <c r="F114" s="23">
        <f>IF($B114="","",IF(项目台账!$F113="","",项目台账!$F113))</f>
        <v/>
      </c>
      <c r="G114" s="23">
        <f>IF($B114="","",IF(项目台账!$J113="","",项目台账!$J113))</f>
        <v/>
      </c>
      <c r="H114" s="17">
        <f>IF($B114="","",IF(项目台账!$Q113="","",项目台账!$Q113))</f>
        <v/>
      </c>
      <c r="I114" s="19">
        <f>IF($B114="","",项目台账!$M113)</f>
        <v/>
      </c>
      <c r="J114" s="19">
        <f>IF($B114="","",项目台账!$O113)</f>
        <v/>
      </c>
      <c r="K114" s="19">
        <f>IF($B114="","",项目台账!$P113)</f>
        <v/>
      </c>
      <c r="L114" s="19">
        <f>IF($B114="","",ROUND(SUMIFS(采购单!$L$4:$L$2003,采购单!$D$4:$D$2003,$B114,采购单!$F$4:$F$2003,"成本-主材")+SUMIFS(生产安装!$J$4:$J$1203,生产安装!$C$4:$C$1203,$B114,生产安装!$E$4:$E$1203,"成本-主材")+SUMIFS(资金日记账!$K$4:$K$2503,资金日记账!$G$4:$G$2503,$B114,资金日记账!$F$4:$F$2503,"成本-主材")-SUMIFS(资金日记账!$J$4:$J$2503,资金日记账!$G$4:$G$2503,$B114,资金日记账!$F$4:$F$2503,"成本-主材"),2))</f>
        <v/>
      </c>
      <c r="M114" s="19">
        <f>IF($B114="","",ROUND(SUMIFS(采购单!$L$4:$L$2003,采购单!$D$4:$D$2003,$B114,采购单!$F$4:$F$2003,"成本-辅材")+SUMIFS(生产安装!$J$4:$J$1203,生产安装!$C$4:$C$1203,$B114,生产安装!$E$4:$E$1203,"成本-辅材")+SUMIFS(资金日记账!$K$4:$K$2503,资金日记账!$G$4:$G$2503,$B114,资金日记账!$F$4:$F$2503,"成本-辅材")-SUMIFS(资金日记账!$J$4:$J$2503,资金日记账!$G$4:$G$2503,$B114,资金日记账!$F$4:$F$2503,"成本-辅材"),2))</f>
        <v/>
      </c>
      <c r="N114" s="19">
        <f>IF($B114="","",ROUND(SUMIFS(采购单!$L$4:$L$2003,采购单!$D$4:$D$2003,$B114,采购单!$F$4:$F$2003,"成本-人工")+SUMIFS(生产安装!$J$4:$J$1203,生产安装!$C$4:$C$1203,$B114,生产安装!$E$4:$E$1203,"成本-人工")+SUMIFS(资金日记账!$K$4:$K$2503,资金日记账!$G$4:$G$2503,$B114,资金日记账!$F$4:$F$2503,"成本-人工")-SUMIFS(资金日记账!$J$4:$J$2503,资金日记账!$G$4:$G$2503,$B114,资金日记账!$F$4:$F$2503,"成本-人工"),2))</f>
        <v/>
      </c>
      <c r="O114" s="19">
        <f>IF($B114="","",ROUND(SUMIFS(采购单!$L$4:$L$2003,采购单!$D$4:$D$2003,$B114,采购单!$F$4:$F$2003,"成本-车运")+SUMIFS(生产安装!$J$4:$J$1203,生产安装!$C$4:$C$1203,$B114,生产安装!$E$4:$E$1203,"成本-车运")+SUMIFS(资金日记账!$K$4:$K$2503,资金日记账!$G$4:$G$2503,$B114,资金日记账!$F$4:$F$2503,"成本-车运")-SUMIFS(资金日记账!$J$4:$J$2503,资金日记账!$G$4:$G$2503,$B114,资金日记账!$F$4:$F$2503,"成本-车运"),2))</f>
        <v/>
      </c>
      <c r="P114" s="19">
        <f>IF($B114="","",ROUND(SUMIFS(采购单!$L$4:$L$2003,采购单!$D$4:$D$2003,$B114,采购单!$F$4:$F$2003,"成本-其他")+SUMIFS(生产安装!$J$4:$J$1203,生产安装!$C$4:$C$1203,$B114,生产安装!$E$4:$E$1203,"成本-其他")+SUMIFS(资金日记账!$K$4:$K$2503,资金日记账!$G$4:$G$2503,$B114,资金日记账!$F$4:$F$2503,"成本-其他")-SUMIFS(资金日记账!$J$4:$J$2503,资金日记账!$G$4:$G$2503,$B114,资金日记账!$F$4:$F$2503,"成本-其他"),2))</f>
        <v/>
      </c>
      <c r="Q114" s="19">
        <f>IF($B114="","",ROUND(SUM($L114:$P114),2))</f>
        <v/>
      </c>
      <c r="R114" s="19">
        <f>IF($B114="","",ROUND($I114-$Q114,2))</f>
        <v/>
      </c>
      <c r="S114" s="33">
        <f>IF($B114="","",IF(ROUND($I114,2)=0,"",ROUND($R114/$I114,4)))</f>
        <v/>
      </c>
      <c r="T114" s="22">
        <f>IF($B114="","",IF($G114="",0,YEAR($G114)*100+MONTH($G114)))</f>
        <v/>
      </c>
      <c r="U114" s="17">
        <f>IF($B114="","",IF(项目台账!$R113="","",项目台账!$R113))</f>
        <v/>
      </c>
    </row>
    <row r="115">
      <c r="A115" s="17">
        <f>IF(项目台账!$B114="","",项目台账!$A114)</f>
        <v/>
      </c>
      <c r="B115" s="17">
        <f>IF(项目台账!$B114="","",项目台账!$B114)</f>
        <v/>
      </c>
      <c r="C115" s="17">
        <f>IF($B115="","",IF(项目台账!$C114="","",项目台账!$C114))</f>
        <v/>
      </c>
      <c r="D115" s="17">
        <f>IF($B115="","",IF(项目台账!$D114="","",项目台账!$D114))</f>
        <v/>
      </c>
      <c r="E115" s="17">
        <f>IF($B115="","",IF(项目台账!$E114="","",项目台账!$E114))</f>
        <v/>
      </c>
      <c r="F115" s="23">
        <f>IF($B115="","",IF(项目台账!$F114="","",项目台账!$F114))</f>
        <v/>
      </c>
      <c r="G115" s="23">
        <f>IF($B115="","",IF(项目台账!$J114="","",项目台账!$J114))</f>
        <v/>
      </c>
      <c r="H115" s="17">
        <f>IF($B115="","",IF(项目台账!$Q114="","",项目台账!$Q114))</f>
        <v/>
      </c>
      <c r="I115" s="19">
        <f>IF($B115="","",项目台账!$M114)</f>
        <v/>
      </c>
      <c r="J115" s="19">
        <f>IF($B115="","",项目台账!$O114)</f>
        <v/>
      </c>
      <c r="K115" s="19">
        <f>IF($B115="","",项目台账!$P114)</f>
        <v/>
      </c>
      <c r="L115" s="19">
        <f>IF($B115="","",ROUND(SUMIFS(采购单!$L$4:$L$2003,采购单!$D$4:$D$2003,$B115,采购单!$F$4:$F$2003,"成本-主材")+SUMIFS(生产安装!$J$4:$J$1203,生产安装!$C$4:$C$1203,$B115,生产安装!$E$4:$E$1203,"成本-主材")+SUMIFS(资金日记账!$K$4:$K$2503,资金日记账!$G$4:$G$2503,$B115,资金日记账!$F$4:$F$2503,"成本-主材")-SUMIFS(资金日记账!$J$4:$J$2503,资金日记账!$G$4:$G$2503,$B115,资金日记账!$F$4:$F$2503,"成本-主材"),2))</f>
        <v/>
      </c>
      <c r="M115" s="19">
        <f>IF($B115="","",ROUND(SUMIFS(采购单!$L$4:$L$2003,采购单!$D$4:$D$2003,$B115,采购单!$F$4:$F$2003,"成本-辅材")+SUMIFS(生产安装!$J$4:$J$1203,生产安装!$C$4:$C$1203,$B115,生产安装!$E$4:$E$1203,"成本-辅材")+SUMIFS(资金日记账!$K$4:$K$2503,资金日记账!$G$4:$G$2503,$B115,资金日记账!$F$4:$F$2503,"成本-辅材")-SUMIFS(资金日记账!$J$4:$J$2503,资金日记账!$G$4:$G$2503,$B115,资金日记账!$F$4:$F$2503,"成本-辅材"),2))</f>
        <v/>
      </c>
      <c r="N115" s="19">
        <f>IF($B115="","",ROUND(SUMIFS(采购单!$L$4:$L$2003,采购单!$D$4:$D$2003,$B115,采购单!$F$4:$F$2003,"成本-人工")+SUMIFS(生产安装!$J$4:$J$1203,生产安装!$C$4:$C$1203,$B115,生产安装!$E$4:$E$1203,"成本-人工")+SUMIFS(资金日记账!$K$4:$K$2503,资金日记账!$G$4:$G$2503,$B115,资金日记账!$F$4:$F$2503,"成本-人工")-SUMIFS(资金日记账!$J$4:$J$2503,资金日记账!$G$4:$G$2503,$B115,资金日记账!$F$4:$F$2503,"成本-人工"),2))</f>
        <v/>
      </c>
      <c r="O115" s="19">
        <f>IF($B115="","",ROUND(SUMIFS(采购单!$L$4:$L$2003,采购单!$D$4:$D$2003,$B115,采购单!$F$4:$F$2003,"成本-车运")+SUMIFS(生产安装!$J$4:$J$1203,生产安装!$C$4:$C$1203,$B115,生产安装!$E$4:$E$1203,"成本-车运")+SUMIFS(资金日记账!$K$4:$K$2503,资金日记账!$G$4:$G$2503,$B115,资金日记账!$F$4:$F$2503,"成本-车运")-SUMIFS(资金日记账!$J$4:$J$2503,资金日记账!$G$4:$G$2503,$B115,资金日记账!$F$4:$F$2503,"成本-车运"),2))</f>
        <v/>
      </c>
      <c r="P115" s="19">
        <f>IF($B115="","",ROUND(SUMIFS(采购单!$L$4:$L$2003,采购单!$D$4:$D$2003,$B115,采购单!$F$4:$F$2003,"成本-其他")+SUMIFS(生产安装!$J$4:$J$1203,生产安装!$C$4:$C$1203,$B115,生产安装!$E$4:$E$1203,"成本-其他")+SUMIFS(资金日记账!$K$4:$K$2503,资金日记账!$G$4:$G$2503,$B115,资金日记账!$F$4:$F$2503,"成本-其他")-SUMIFS(资金日记账!$J$4:$J$2503,资金日记账!$G$4:$G$2503,$B115,资金日记账!$F$4:$F$2503,"成本-其他"),2))</f>
        <v/>
      </c>
      <c r="Q115" s="19">
        <f>IF($B115="","",ROUND(SUM($L115:$P115),2))</f>
        <v/>
      </c>
      <c r="R115" s="19">
        <f>IF($B115="","",ROUND($I115-$Q115,2))</f>
        <v/>
      </c>
      <c r="S115" s="33">
        <f>IF($B115="","",IF(ROUND($I115,2)=0,"",ROUND($R115/$I115,4)))</f>
        <v/>
      </c>
      <c r="T115" s="22">
        <f>IF($B115="","",IF($G115="",0,YEAR($G115)*100+MONTH($G115)))</f>
        <v/>
      </c>
      <c r="U115" s="17">
        <f>IF($B115="","",IF(项目台账!$R114="","",项目台账!$R114))</f>
        <v/>
      </c>
    </row>
    <row r="116">
      <c r="A116" s="17">
        <f>IF(项目台账!$B115="","",项目台账!$A115)</f>
        <v/>
      </c>
      <c r="B116" s="17">
        <f>IF(项目台账!$B115="","",项目台账!$B115)</f>
        <v/>
      </c>
      <c r="C116" s="17">
        <f>IF($B116="","",IF(项目台账!$C115="","",项目台账!$C115))</f>
        <v/>
      </c>
      <c r="D116" s="17">
        <f>IF($B116="","",IF(项目台账!$D115="","",项目台账!$D115))</f>
        <v/>
      </c>
      <c r="E116" s="17">
        <f>IF($B116="","",IF(项目台账!$E115="","",项目台账!$E115))</f>
        <v/>
      </c>
      <c r="F116" s="23">
        <f>IF($B116="","",IF(项目台账!$F115="","",项目台账!$F115))</f>
        <v/>
      </c>
      <c r="G116" s="23">
        <f>IF($B116="","",IF(项目台账!$J115="","",项目台账!$J115))</f>
        <v/>
      </c>
      <c r="H116" s="17">
        <f>IF($B116="","",IF(项目台账!$Q115="","",项目台账!$Q115))</f>
        <v/>
      </c>
      <c r="I116" s="19">
        <f>IF($B116="","",项目台账!$M115)</f>
        <v/>
      </c>
      <c r="J116" s="19">
        <f>IF($B116="","",项目台账!$O115)</f>
        <v/>
      </c>
      <c r="K116" s="19">
        <f>IF($B116="","",项目台账!$P115)</f>
        <v/>
      </c>
      <c r="L116" s="19">
        <f>IF($B116="","",ROUND(SUMIFS(采购单!$L$4:$L$2003,采购单!$D$4:$D$2003,$B116,采购单!$F$4:$F$2003,"成本-主材")+SUMIFS(生产安装!$J$4:$J$1203,生产安装!$C$4:$C$1203,$B116,生产安装!$E$4:$E$1203,"成本-主材")+SUMIFS(资金日记账!$K$4:$K$2503,资金日记账!$G$4:$G$2503,$B116,资金日记账!$F$4:$F$2503,"成本-主材")-SUMIFS(资金日记账!$J$4:$J$2503,资金日记账!$G$4:$G$2503,$B116,资金日记账!$F$4:$F$2503,"成本-主材"),2))</f>
        <v/>
      </c>
      <c r="M116" s="19">
        <f>IF($B116="","",ROUND(SUMIFS(采购单!$L$4:$L$2003,采购单!$D$4:$D$2003,$B116,采购单!$F$4:$F$2003,"成本-辅材")+SUMIFS(生产安装!$J$4:$J$1203,生产安装!$C$4:$C$1203,$B116,生产安装!$E$4:$E$1203,"成本-辅材")+SUMIFS(资金日记账!$K$4:$K$2503,资金日记账!$G$4:$G$2503,$B116,资金日记账!$F$4:$F$2503,"成本-辅材")-SUMIFS(资金日记账!$J$4:$J$2503,资金日记账!$G$4:$G$2503,$B116,资金日记账!$F$4:$F$2503,"成本-辅材"),2))</f>
        <v/>
      </c>
      <c r="N116" s="19">
        <f>IF($B116="","",ROUND(SUMIFS(采购单!$L$4:$L$2003,采购单!$D$4:$D$2003,$B116,采购单!$F$4:$F$2003,"成本-人工")+SUMIFS(生产安装!$J$4:$J$1203,生产安装!$C$4:$C$1203,$B116,生产安装!$E$4:$E$1203,"成本-人工")+SUMIFS(资金日记账!$K$4:$K$2503,资金日记账!$G$4:$G$2503,$B116,资金日记账!$F$4:$F$2503,"成本-人工")-SUMIFS(资金日记账!$J$4:$J$2503,资金日记账!$G$4:$G$2503,$B116,资金日记账!$F$4:$F$2503,"成本-人工"),2))</f>
        <v/>
      </c>
      <c r="O116" s="19">
        <f>IF($B116="","",ROUND(SUMIFS(采购单!$L$4:$L$2003,采购单!$D$4:$D$2003,$B116,采购单!$F$4:$F$2003,"成本-车运")+SUMIFS(生产安装!$J$4:$J$1203,生产安装!$C$4:$C$1203,$B116,生产安装!$E$4:$E$1203,"成本-车运")+SUMIFS(资金日记账!$K$4:$K$2503,资金日记账!$G$4:$G$2503,$B116,资金日记账!$F$4:$F$2503,"成本-车运")-SUMIFS(资金日记账!$J$4:$J$2503,资金日记账!$G$4:$G$2503,$B116,资金日记账!$F$4:$F$2503,"成本-车运"),2))</f>
        <v/>
      </c>
      <c r="P116" s="19">
        <f>IF($B116="","",ROUND(SUMIFS(采购单!$L$4:$L$2003,采购单!$D$4:$D$2003,$B116,采购单!$F$4:$F$2003,"成本-其他")+SUMIFS(生产安装!$J$4:$J$1203,生产安装!$C$4:$C$1203,$B116,生产安装!$E$4:$E$1203,"成本-其他")+SUMIFS(资金日记账!$K$4:$K$2503,资金日记账!$G$4:$G$2503,$B116,资金日记账!$F$4:$F$2503,"成本-其他")-SUMIFS(资金日记账!$J$4:$J$2503,资金日记账!$G$4:$G$2503,$B116,资金日记账!$F$4:$F$2503,"成本-其他"),2))</f>
        <v/>
      </c>
      <c r="Q116" s="19">
        <f>IF($B116="","",ROUND(SUM($L116:$P116),2))</f>
        <v/>
      </c>
      <c r="R116" s="19">
        <f>IF($B116="","",ROUND($I116-$Q116,2))</f>
        <v/>
      </c>
      <c r="S116" s="33">
        <f>IF($B116="","",IF(ROUND($I116,2)=0,"",ROUND($R116/$I116,4)))</f>
        <v/>
      </c>
      <c r="T116" s="22">
        <f>IF($B116="","",IF($G116="",0,YEAR($G116)*100+MONTH($G116)))</f>
        <v/>
      </c>
      <c r="U116" s="17">
        <f>IF($B116="","",IF(项目台账!$R115="","",项目台账!$R115))</f>
        <v/>
      </c>
    </row>
    <row r="117">
      <c r="A117" s="17">
        <f>IF(项目台账!$B116="","",项目台账!$A116)</f>
        <v/>
      </c>
      <c r="B117" s="17">
        <f>IF(项目台账!$B116="","",项目台账!$B116)</f>
        <v/>
      </c>
      <c r="C117" s="17">
        <f>IF($B117="","",IF(项目台账!$C116="","",项目台账!$C116))</f>
        <v/>
      </c>
      <c r="D117" s="17">
        <f>IF($B117="","",IF(项目台账!$D116="","",项目台账!$D116))</f>
        <v/>
      </c>
      <c r="E117" s="17">
        <f>IF($B117="","",IF(项目台账!$E116="","",项目台账!$E116))</f>
        <v/>
      </c>
      <c r="F117" s="23">
        <f>IF($B117="","",IF(项目台账!$F116="","",项目台账!$F116))</f>
        <v/>
      </c>
      <c r="G117" s="23">
        <f>IF($B117="","",IF(项目台账!$J116="","",项目台账!$J116))</f>
        <v/>
      </c>
      <c r="H117" s="17">
        <f>IF($B117="","",IF(项目台账!$Q116="","",项目台账!$Q116))</f>
        <v/>
      </c>
      <c r="I117" s="19">
        <f>IF($B117="","",项目台账!$M116)</f>
        <v/>
      </c>
      <c r="J117" s="19">
        <f>IF($B117="","",项目台账!$O116)</f>
        <v/>
      </c>
      <c r="K117" s="19">
        <f>IF($B117="","",项目台账!$P116)</f>
        <v/>
      </c>
      <c r="L117" s="19">
        <f>IF($B117="","",ROUND(SUMIFS(采购单!$L$4:$L$2003,采购单!$D$4:$D$2003,$B117,采购单!$F$4:$F$2003,"成本-主材")+SUMIFS(生产安装!$J$4:$J$1203,生产安装!$C$4:$C$1203,$B117,生产安装!$E$4:$E$1203,"成本-主材")+SUMIFS(资金日记账!$K$4:$K$2503,资金日记账!$G$4:$G$2503,$B117,资金日记账!$F$4:$F$2503,"成本-主材")-SUMIFS(资金日记账!$J$4:$J$2503,资金日记账!$G$4:$G$2503,$B117,资金日记账!$F$4:$F$2503,"成本-主材"),2))</f>
        <v/>
      </c>
      <c r="M117" s="19">
        <f>IF($B117="","",ROUND(SUMIFS(采购单!$L$4:$L$2003,采购单!$D$4:$D$2003,$B117,采购单!$F$4:$F$2003,"成本-辅材")+SUMIFS(生产安装!$J$4:$J$1203,生产安装!$C$4:$C$1203,$B117,生产安装!$E$4:$E$1203,"成本-辅材")+SUMIFS(资金日记账!$K$4:$K$2503,资金日记账!$G$4:$G$2503,$B117,资金日记账!$F$4:$F$2503,"成本-辅材")-SUMIFS(资金日记账!$J$4:$J$2503,资金日记账!$G$4:$G$2503,$B117,资金日记账!$F$4:$F$2503,"成本-辅材"),2))</f>
        <v/>
      </c>
      <c r="N117" s="19">
        <f>IF($B117="","",ROUND(SUMIFS(采购单!$L$4:$L$2003,采购单!$D$4:$D$2003,$B117,采购单!$F$4:$F$2003,"成本-人工")+SUMIFS(生产安装!$J$4:$J$1203,生产安装!$C$4:$C$1203,$B117,生产安装!$E$4:$E$1203,"成本-人工")+SUMIFS(资金日记账!$K$4:$K$2503,资金日记账!$G$4:$G$2503,$B117,资金日记账!$F$4:$F$2503,"成本-人工")-SUMIFS(资金日记账!$J$4:$J$2503,资金日记账!$G$4:$G$2503,$B117,资金日记账!$F$4:$F$2503,"成本-人工"),2))</f>
        <v/>
      </c>
      <c r="O117" s="19">
        <f>IF($B117="","",ROUND(SUMIFS(采购单!$L$4:$L$2003,采购单!$D$4:$D$2003,$B117,采购单!$F$4:$F$2003,"成本-车运")+SUMIFS(生产安装!$J$4:$J$1203,生产安装!$C$4:$C$1203,$B117,生产安装!$E$4:$E$1203,"成本-车运")+SUMIFS(资金日记账!$K$4:$K$2503,资金日记账!$G$4:$G$2503,$B117,资金日记账!$F$4:$F$2503,"成本-车运")-SUMIFS(资金日记账!$J$4:$J$2503,资金日记账!$G$4:$G$2503,$B117,资金日记账!$F$4:$F$2503,"成本-车运"),2))</f>
        <v/>
      </c>
      <c r="P117" s="19">
        <f>IF($B117="","",ROUND(SUMIFS(采购单!$L$4:$L$2003,采购单!$D$4:$D$2003,$B117,采购单!$F$4:$F$2003,"成本-其他")+SUMIFS(生产安装!$J$4:$J$1203,生产安装!$C$4:$C$1203,$B117,生产安装!$E$4:$E$1203,"成本-其他")+SUMIFS(资金日记账!$K$4:$K$2503,资金日记账!$G$4:$G$2503,$B117,资金日记账!$F$4:$F$2503,"成本-其他")-SUMIFS(资金日记账!$J$4:$J$2503,资金日记账!$G$4:$G$2503,$B117,资金日记账!$F$4:$F$2503,"成本-其他"),2))</f>
        <v/>
      </c>
      <c r="Q117" s="19">
        <f>IF($B117="","",ROUND(SUM($L117:$P117),2))</f>
        <v/>
      </c>
      <c r="R117" s="19">
        <f>IF($B117="","",ROUND($I117-$Q117,2))</f>
        <v/>
      </c>
      <c r="S117" s="33">
        <f>IF($B117="","",IF(ROUND($I117,2)=0,"",ROUND($R117/$I117,4)))</f>
        <v/>
      </c>
      <c r="T117" s="22">
        <f>IF($B117="","",IF($G117="",0,YEAR($G117)*100+MONTH($G117)))</f>
        <v/>
      </c>
      <c r="U117" s="17">
        <f>IF($B117="","",IF(项目台账!$R116="","",项目台账!$R116))</f>
        <v/>
      </c>
    </row>
    <row r="118">
      <c r="A118" s="17">
        <f>IF(项目台账!$B117="","",项目台账!$A117)</f>
        <v/>
      </c>
      <c r="B118" s="17">
        <f>IF(项目台账!$B117="","",项目台账!$B117)</f>
        <v/>
      </c>
      <c r="C118" s="17">
        <f>IF($B118="","",IF(项目台账!$C117="","",项目台账!$C117))</f>
        <v/>
      </c>
      <c r="D118" s="17">
        <f>IF($B118="","",IF(项目台账!$D117="","",项目台账!$D117))</f>
        <v/>
      </c>
      <c r="E118" s="17">
        <f>IF($B118="","",IF(项目台账!$E117="","",项目台账!$E117))</f>
        <v/>
      </c>
      <c r="F118" s="23">
        <f>IF($B118="","",IF(项目台账!$F117="","",项目台账!$F117))</f>
        <v/>
      </c>
      <c r="G118" s="23">
        <f>IF($B118="","",IF(项目台账!$J117="","",项目台账!$J117))</f>
        <v/>
      </c>
      <c r="H118" s="17">
        <f>IF($B118="","",IF(项目台账!$Q117="","",项目台账!$Q117))</f>
        <v/>
      </c>
      <c r="I118" s="19">
        <f>IF($B118="","",项目台账!$M117)</f>
        <v/>
      </c>
      <c r="J118" s="19">
        <f>IF($B118="","",项目台账!$O117)</f>
        <v/>
      </c>
      <c r="K118" s="19">
        <f>IF($B118="","",项目台账!$P117)</f>
        <v/>
      </c>
      <c r="L118" s="19">
        <f>IF($B118="","",ROUND(SUMIFS(采购单!$L$4:$L$2003,采购单!$D$4:$D$2003,$B118,采购单!$F$4:$F$2003,"成本-主材")+SUMIFS(生产安装!$J$4:$J$1203,生产安装!$C$4:$C$1203,$B118,生产安装!$E$4:$E$1203,"成本-主材")+SUMIFS(资金日记账!$K$4:$K$2503,资金日记账!$G$4:$G$2503,$B118,资金日记账!$F$4:$F$2503,"成本-主材")-SUMIFS(资金日记账!$J$4:$J$2503,资金日记账!$G$4:$G$2503,$B118,资金日记账!$F$4:$F$2503,"成本-主材"),2))</f>
        <v/>
      </c>
      <c r="M118" s="19">
        <f>IF($B118="","",ROUND(SUMIFS(采购单!$L$4:$L$2003,采购单!$D$4:$D$2003,$B118,采购单!$F$4:$F$2003,"成本-辅材")+SUMIFS(生产安装!$J$4:$J$1203,生产安装!$C$4:$C$1203,$B118,生产安装!$E$4:$E$1203,"成本-辅材")+SUMIFS(资金日记账!$K$4:$K$2503,资金日记账!$G$4:$G$2503,$B118,资金日记账!$F$4:$F$2503,"成本-辅材")-SUMIFS(资金日记账!$J$4:$J$2503,资金日记账!$G$4:$G$2503,$B118,资金日记账!$F$4:$F$2503,"成本-辅材"),2))</f>
        <v/>
      </c>
      <c r="N118" s="19">
        <f>IF($B118="","",ROUND(SUMIFS(采购单!$L$4:$L$2003,采购单!$D$4:$D$2003,$B118,采购单!$F$4:$F$2003,"成本-人工")+SUMIFS(生产安装!$J$4:$J$1203,生产安装!$C$4:$C$1203,$B118,生产安装!$E$4:$E$1203,"成本-人工")+SUMIFS(资金日记账!$K$4:$K$2503,资金日记账!$G$4:$G$2503,$B118,资金日记账!$F$4:$F$2503,"成本-人工")-SUMIFS(资金日记账!$J$4:$J$2503,资金日记账!$G$4:$G$2503,$B118,资金日记账!$F$4:$F$2503,"成本-人工"),2))</f>
        <v/>
      </c>
      <c r="O118" s="19">
        <f>IF($B118="","",ROUND(SUMIFS(采购单!$L$4:$L$2003,采购单!$D$4:$D$2003,$B118,采购单!$F$4:$F$2003,"成本-车运")+SUMIFS(生产安装!$J$4:$J$1203,生产安装!$C$4:$C$1203,$B118,生产安装!$E$4:$E$1203,"成本-车运")+SUMIFS(资金日记账!$K$4:$K$2503,资金日记账!$G$4:$G$2503,$B118,资金日记账!$F$4:$F$2503,"成本-车运")-SUMIFS(资金日记账!$J$4:$J$2503,资金日记账!$G$4:$G$2503,$B118,资金日记账!$F$4:$F$2503,"成本-车运"),2))</f>
        <v/>
      </c>
      <c r="P118" s="19">
        <f>IF($B118="","",ROUND(SUMIFS(采购单!$L$4:$L$2003,采购单!$D$4:$D$2003,$B118,采购单!$F$4:$F$2003,"成本-其他")+SUMIFS(生产安装!$J$4:$J$1203,生产安装!$C$4:$C$1203,$B118,生产安装!$E$4:$E$1203,"成本-其他")+SUMIFS(资金日记账!$K$4:$K$2503,资金日记账!$G$4:$G$2503,$B118,资金日记账!$F$4:$F$2503,"成本-其他")-SUMIFS(资金日记账!$J$4:$J$2503,资金日记账!$G$4:$G$2503,$B118,资金日记账!$F$4:$F$2503,"成本-其他"),2))</f>
        <v/>
      </c>
      <c r="Q118" s="19">
        <f>IF($B118="","",ROUND(SUM($L118:$P118),2))</f>
        <v/>
      </c>
      <c r="R118" s="19">
        <f>IF($B118="","",ROUND($I118-$Q118,2))</f>
        <v/>
      </c>
      <c r="S118" s="33">
        <f>IF($B118="","",IF(ROUND($I118,2)=0,"",ROUND($R118/$I118,4)))</f>
        <v/>
      </c>
      <c r="T118" s="22">
        <f>IF($B118="","",IF($G118="",0,YEAR($G118)*100+MONTH($G118)))</f>
        <v/>
      </c>
      <c r="U118" s="17">
        <f>IF($B118="","",IF(项目台账!$R117="","",项目台账!$R117))</f>
        <v/>
      </c>
    </row>
    <row r="119">
      <c r="A119" s="17">
        <f>IF(项目台账!$B118="","",项目台账!$A118)</f>
        <v/>
      </c>
      <c r="B119" s="17">
        <f>IF(项目台账!$B118="","",项目台账!$B118)</f>
        <v/>
      </c>
      <c r="C119" s="17">
        <f>IF($B119="","",IF(项目台账!$C118="","",项目台账!$C118))</f>
        <v/>
      </c>
      <c r="D119" s="17">
        <f>IF($B119="","",IF(项目台账!$D118="","",项目台账!$D118))</f>
        <v/>
      </c>
      <c r="E119" s="17">
        <f>IF($B119="","",IF(项目台账!$E118="","",项目台账!$E118))</f>
        <v/>
      </c>
      <c r="F119" s="23">
        <f>IF($B119="","",IF(项目台账!$F118="","",项目台账!$F118))</f>
        <v/>
      </c>
      <c r="G119" s="23">
        <f>IF($B119="","",IF(项目台账!$J118="","",项目台账!$J118))</f>
        <v/>
      </c>
      <c r="H119" s="17">
        <f>IF($B119="","",IF(项目台账!$Q118="","",项目台账!$Q118))</f>
        <v/>
      </c>
      <c r="I119" s="19">
        <f>IF($B119="","",项目台账!$M118)</f>
        <v/>
      </c>
      <c r="J119" s="19">
        <f>IF($B119="","",项目台账!$O118)</f>
        <v/>
      </c>
      <c r="K119" s="19">
        <f>IF($B119="","",项目台账!$P118)</f>
        <v/>
      </c>
      <c r="L119" s="19">
        <f>IF($B119="","",ROUND(SUMIFS(采购单!$L$4:$L$2003,采购单!$D$4:$D$2003,$B119,采购单!$F$4:$F$2003,"成本-主材")+SUMIFS(生产安装!$J$4:$J$1203,生产安装!$C$4:$C$1203,$B119,生产安装!$E$4:$E$1203,"成本-主材")+SUMIFS(资金日记账!$K$4:$K$2503,资金日记账!$G$4:$G$2503,$B119,资金日记账!$F$4:$F$2503,"成本-主材")-SUMIFS(资金日记账!$J$4:$J$2503,资金日记账!$G$4:$G$2503,$B119,资金日记账!$F$4:$F$2503,"成本-主材"),2))</f>
        <v/>
      </c>
      <c r="M119" s="19">
        <f>IF($B119="","",ROUND(SUMIFS(采购单!$L$4:$L$2003,采购单!$D$4:$D$2003,$B119,采购单!$F$4:$F$2003,"成本-辅材")+SUMIFS(生产安装!$J$4:$J$1203,生产安装!$C$4:$C$1203,$B119,生产安装!$E$4:$E$1203,"成本-辅材")+SUMIFS(资金日记账!$K$4:$K$2503,资金日记账!$G$4:$G$2503,$B119,资金日记账!$F$4:$F$2503,"成本-辅材")-SUMIFS(资金日记账!$J$4:$J$2503,资金日记账!$G$4:$G$2503,$B119,资金日记账!$F$4:$F$2503,"成本-辅材"),2))</f>
        <v/>
      </c>
      <c r="N119" s="19">
        <f>IF($B119="","",ROUND(SUMIFS(采购单!$L$4:$L$2003,采购单!$D$4:$D$2003,$B119,采购单!$F$4:$F$2003,"成本-人工")+SUMIFS(生产安装!$J$4:$J$1203,生产安装!$C$4:$C$1203,$B119,生产安装!$E$4:$E$1203,"成本-人工")+SUMIFS(资金日记账!$K$4:$K$2503,资金日记账!$G$4:$G$2503,$B119,资金日记账!$F$4:$F$2503,"成本-人工")-SUMIFS(资金日记账!$J$4:$J$2503,资金日记账!$G$4:$G$2503,$B119,资金日记账!$F$4:$F$2503,"成本-人工"),2))</f>
        <v/>
      </c>
      <c r="O119" s="19">
        <f>IF($B119="","",ROUND(SUMIFS(采购单!$L$4:$L$2003,采购单!$D$4:$D$2003,$B119,采购单!$F$4:$F$2003,"成本-车运")+SUMIFS(生产安装!$J$4:$J$1203,生产安装!$C$4:$C$1203,$B119,生产安装!$E$4:$E$1203,"成本-车运")+SUMIFS(资金日记账!$K$4:$K$2503,资金日记账!$G$4:$G$2503,$B119,资金日记账!$F$4:$F$2503,"成本-车运")-SUMIFS(资金日记账!$J$4:$J$2503,资金日记账!$G$4:$G$2503,$B119,资金日记账!$F$4:$F$2503,"成本-车运"),2))</f>
        <v/>
      </c>
      <c r="P119" s="19">
        <f>IF($B119="","",ROUND(SUMIFS(采购单!$L$4:$L$2003,采购单!$D$4:$D$2003,$B119,采购单!$F$4:$F$2003,"成本-其他")+SUMIFS(生产安装!$J$4:$J$1203,生产安装!$C$4:$C$1203,$B119,生产安装!$E$4:$E$1203,"成本-其他")+SUMIFS(资金日记账!$K$4:$K$2503,资金日记账!$G$4:$G$2503,$B119,资金日记账!$F$4:$F$2503,"成本-其他")-SUMIFS(资金日记账!$J$4:$J$2503,资金日记账!$G$4:$G$2503,$B119,资金日记账!$F$4:$F$2503,"成本-其他"),2))</f>
        <v/>
      </c>
      <c r="Q119" s="19">
        <f>IF($B119="","",ROUND(SUM($L119:$P119),2))</f>
        <v/>
      </c>
      <c r="R119" s="19">
        <f>IF($B119="","",ROUND($I119-$Q119,2))</f>
        <v/>
      </c>
      <c r="S119" s="33">
        <f>IF($B119="","",IF(ROUND($I119,2)=0,"",ROUND($R119/$I119,4)))</f>
        <v/>
      </c>
      <c r="T119" s="22">
        <f>IF($B119="","",IF($G119="",0,YEAR($G119)*100+MONTH($G119)))</f>
        <v/>
      </c>
      <c r="U119" s="17">
        <f>IF($B119="","",IF(项目台账!$R118="","",项目台账!$R118))</f>
        <v/>
      </c>
    </row>
    <row r="120">
      <c r="A120" s="17">
        <f>IF(项目台账!$B119="","",项目台账!$A119)</f>
        <v/>
      </c>
      <c r="B120" s="17">
        <f>IF(项目台账!$B119="","",项目台账!$B119)</f>
        <v/>
      </c>
      <c r="C120" s="17">
        <f>IF($B120="","",IF(项目台账!$C119="","",项目台账!$C119))</f>
        <v/>
      </c>
      <c r="D120" s="17">
        <f>IF($B120="","",IF(项目台账!$D119="","",项目台账!$D119))</f>
        <v/>
      </c>
      <c r="E120" s="17">
        <f>IF($B120="","",IF(项目台账!$E119="","",项目台账!$E119))</f>
        <v/>
      </c>
      <c r="F120" s="23">
        <f>IF($B120="","",IF(项目台账!$F119="","",项目台账!$F119))</f>
        <v/>
      </c>
      <c r="G120" s="23">
        <f>IF($B120="","",IF(项目台账!$J119="","",项目台账!$J119))</f>
        <v/>
      </c>
      <c r="H120" s="17">
        <f>IF($B120="","",IF(项目台账!$Q119="","",项目台账!$Q119))</f>
        <v/>
      </c>
      <c r="I120" s="19">
        <f>IF($B120="","",项目台账!$M119)</f>
        <v/>
      </c>
      <c r="J120" s="19">
        <f>IF($B120="","",项目台账!$O119)</f>
        <v/>
      </c>
      <c r="K120" s="19">
        <f>IF($B120="","",项目台账!$P119)</f>
        <v/>
      </c>
      <c r="L120" s="19">
        <f>IF($B120="","",ROUND(SUMIFS(采购单!$L$4:$L$2003,采购单!$D$4:$D$2003,$B120,采购单!$F$4:$F$2003,"成本-主材")+SUMIFS(生产安装!$J$4:$J$1203,生产安装!$C$4:$C$1203,$B120,生产安装!$E$4:$E$1203,"成本-主材")+SUMIFS(资金日记账!$K$4:$K$2503,资金日记账!$G$4:$G$2503,$B120,资金日记账!$F$4:$F$2503,"成本-主材")-SUMIFS(资金日记账!$J$4:$J$2503,资金日记账!$G$4:$G$2503,$B120,资金日记账!$F$4:$F$2503,"成本-主材"),2))</f>
        <v/>
      </c>
      <c r="M120" s="19">
        <f>IF($B120="","",ROUND(SUMIFS(采购单!$L$4:$L$2003,采购单!$D$4:$D$2003,$B120,采购单!$F$4:$F$2003,"成本-辅材")+SUMIFS(生产安装!$J$4:$J$1203,生产安装!$C$4:$C$1203,$B120,生产安装!$E$4:$E$1203,"成本-辅材")+SUMIFS(资金日记账!$K$4:$K$2503,资金日记账!$G$4:$G$2503,$B120,资金日记账!$F$4:$F$2503,"成本-辅材")-SUMIFS(资金日记账!$J$4:$J$2503,资金日记账!$G$4:$G$2503,$B120,资金日记账!$F$4:$F$2503,"成本-辅材"),2))</f>
        <v/>
      </c>
      <c r="N120" s="19">
        <f>IF($B120="","",ROUND(SUMIFS(采购单!$L$4:$L$2003,采购单!$D$4:$D$2003,$B120,采购单!$F$4:$F$2003,"成本-人工")+SUMIFS(生产安装!$J$4:$J$1203,生产安装!$C$4:$C$1203,$B120,生产安装!$E$4:$E$1203,"成本-人工")+SUMIFS(资金日记账!$K$4:$K$2503,资金日记账!$G$4:$G$2503,$B120,资金日记账!$F$4:$F$2503,"成本-人工")-SUMIFS(资金日记账!$J$4:$J$2503,资金日记账!$G$4:$G$2503,$B120,资金日记账!$F$4:$F$2503,"成本-人工"),2))</f>
        <v/>
      </c>
      <c r="O120" s="19">
        <f>IF($B120="","",ROUND(SUMIFS(采购单!$L$4:$L$2003,采购单!$D$4:$D$2003,$B120,采购单!$F$4:$F$2003,"成本-车运")+SUMIFS(生产安装!$J$4:$J$1203,生产安装!$C$4:$C$1203,$B120,生产安装!$E$4:$E$1203,"成本-车运")+SUMIFS(资金日记账!$K$4:$K$2503,资金日记账!$G$4:$G$2503,$B120,资金日记账!$F$4:$F$2503,"成本-车运")-SUMIFS(资金日记账!$J$4:$J$2503,资金日记账!$G$4:$G$2503,$B120,资金日记账!$F$4:$F$2503,"成本-车运"),2))</f>
        <v/>
      </c>
      <c r="P120" s="19">
        <f>IF($B120="","",ROUND(SUMIFS(采购单!$L$4:$L$2003,采购单!$D$4:$D$2003,$B120,采购单!$F$4:$F$2003,"成本-其他")+SUMIFS(生产安装!$J$4:$J$1203,生产安装!$C$4:$C$1203,$B120,生产安装!$E$4:$E$1203,"成本-其他")+SUMIFS(资金日记账!$K$4:$K$2503,资金日记账!$G$4:$G$2503,$B120,资金日记账!$F$4:$F$2503,"成本-其他")-SUMIFS(资金日记账!$J$4:$J$2503,资金日记账!$G$4:$G$2503,$B120,资金日记账!$F$4:$F$2503,"成本-其他"),2))</f>
        <v/>
      </c>
      <c r="Q120" s="19">
        <f>IF($B120="","",ROUND(SUM($L120:$P120),2))</f>
        <v/>
      </c>
      <c r="R120" s="19">
        <f>IF($B120="","",ROUND($I120-$Q120,2))</f>
        <v/>
      </c>
      <c r="S120" s="33">
        <f>IF($B120="","",IF(ROUND($I120,2)=0,"",ROUND($R120/$I120,4)))</f>
        <v/>
      </c>
      <c r="T120" s="22">
        <f>IF($B120="","",IF($G120="",0,YEAR($G120)*100+MONTH($G120)))</f>
        <v/>
      </c>
      <c r="U120" s="17">
        <f>IF($B120="","",IF(项目台账!$R119="","",项目台账!$R119))</f>
        <v/>
      </c>
    </row>
    <row r="121">
      <c r="A121" s="17">
        <f>IF(项目台账!$B120="","",项目台账!$A120)</f>
        <v/>
      </c>
      <c r="B121" s="17">
        <f>IF(项目台账!$B120="","",项目台账!$B120)</f>
        <v/>
      </c>
      <c r="C121" s="17">
        <f>IF($B121="","",IF(项目台账!$C120="","",项目台账!$C120))</f>
        <v/>
      </c>
      <c r="D121" s="17">
        <f>IF($B121="","",IF(项目台账!$D120="","",项目台账!$D120))</f>
        <v/>
      </c>
      <c r="E121" s="17">
        <f>IF($B121="","",IF(项目台账!$E120="","",项目台账!$E120))</f>
        <v/>
      </c>
      <c r="F121" s="23">
        <f>IF($B121="","",IF(项目台账!$F120="","",项目台账!$F120))</f>
        <v/>
      </c>
      <c r="G121" s="23">
        <f>IF($B121="","",IF(项目台账!$J120="","",项目台账!$J120))</f>
        <v/>
      </c>
      <c r="H121" s="17">
        <f>IF($B121="","",IF(项目台账!$Q120="","",项目台账!$Q120))</f>
        <v/>
      </c>
      <c r="I121" s="19">
        <f>IF($B121="","",项目台账!$M120)</f>
        <v/>
      </c>
      <c r="J121" s="19">
        <f>IF($B121="","",项目台账!$O120)</f>
        <v/>
      </c>
      <c r="K121" s="19">
        <f>IF($B121="","",项目台账!$P120)</f>
        <v/>
      </c>
      <c r="L121" s="19">
        <f>IF($B121="","",ROUND(SUMIFS(采购单!$L$4:$L$2003,采购单!$D$4:$D$2003,$B121,采购单!$F$4:$F$2003,"成本-主材")+SUMIFS(生产安装!$J$4:$J$1203,生产安装!$C$4:$C$1203,$B121,生产安装!$E$4:$E$1203,"成本-主材")+SUMIFS(资金日记账!$K$4:$K$2503,资金日记账!$G$4:$G$2503,$B121,资金日记账!$F$4:$F$2503,"成本-主材")-SUMIFS(资金日记账!$J$4:$J$2503,资金日记账!$G$4:$G$2503,$B121,资金日记账!$F$4:$F$2503,"成本-主材"),2))</f>
        <v/>
      </c>
      <c r="M121" s="19">
        <f>IF($B121="","",ROUND(SUMIFS(采购单!$L$4:$L$2003,采购单!$D$4:$D$2003,$B121,采购单!$F$4:$F$2003,"成本-辅材")+SUMIFS(生产安装!$J$4:$J$1203,生产安装!$C$4:$C$1203,$B121,生产安装!$E$4:$E$1203,"成本-辅材")+SUMIFS(资金日记账!$K$4:$K$2503,资金日记账!$G$4:$G$2503,$B121,资金日记账!$F$4:$F$2503,"成本-辅材")-SUMIFS(资金日记账!$J$4:$J$2503,资金日记账!$G$4:$G$2503,$B121,资金日记账!$F$4:$F$2503,"成本-辅材"),2))</f>
        <v/>
      </c>
      <c r="N121" s="19">
        <f>IF($B121="","",ROUND(SUMIFS(采购单!$L$4:$L$2003,采购单!$D$4:$D$2003,$B121,采购单!$F$4:$F$2003,"成本-人工")+SUMIFS(生产安装!$J$4:$J$1203,生产安装!$C$4:$C$1203,$B121,生产安装!$E$4:$E$1203,"成本-人工")+SUMIFS(资金日记账!$K$4:$K$2503,资金日记账!$G$4:$G$2503,$B121,资金日记账!$F$4:$F$2503,"成本-人工")-SUMIFS(资金日记账!$J$4:$J$2503,资金日记账!$G$4:$G$2503,$B121,资金日记账!$F$4:$F$2503,"成本-人工"),2))</f>
        <v/>
      </c>
      <c r="O121" s="19">
        <f>IF($B121="","",ROUND(SUMIFS(采购单!$L$4:$L$2003,采购单!$D$4:$D$2003,$B121,采购单!$F$4:$F$2003,"成本-车运")+SUMIFS(生产安装!$J$4:$J$1203,生产安装!$C$4:$C$1203,$B121,生产安装!$E$4:$E$1203,"成本-车运")+SUMIFS(资金日记账!$K$4:$K$2503,资金日记账!$G$4:$G$2503,$B121,资金日记账!$F$4:$F$2503,"成本-车运")-SUMIFS(资金日记账!$J$4:$J$2503,资金日记账!$G$4:$G$2503,$B121,资金日记账!$F$4:$F$2503,"成本-车运"),2))</f>
        <v/>
      </c>
      <c r="P121" s="19">
        <f>IF($B121="","",ROUND(SUMIFS(采购单!$L$4:$L$2003,采购单!$D$4:$D$2003,$B121,采购单!$F$4:$F$2003,"成本-其他")+SUMIFS(生产安装!$J$4:$J$1203,生产安装!$C$4:$C$1203,$B121,生产安装!$E$4:$E$1203,"成本-其他")+SUMIFS(资金日记账!$K$4:$K$2503,资金日记账!$G$4:$G$2503,$B121,资金日记账!$F$4:$F$2503,"成本-其他")-SUMIFS(资金日记账!$J$4:$J$2503,资金日记账!$G$4:$G$2503,$B121,资金日记账!$F$4:$F$2503,"成本-其他"),2))</f>
        <v/>
      </c>
      <c r="Q121" s="19">
        <f>IF($B121="","",ROUND(SUM($L121:$P121),2))</f>
        <v/>
      </c>
      <c r="R121" s="19">
        <f>IF($B121="","",ROUND($I121-$Q121,2))</f>
        <v/>
      </c>
      <c r="S121" s="33">
        <f>IF($B121="","",IF(ROUND($I121,2)=0,"",ROUND($R121/$I121,4)))</f>
        <v/>
      </c>
      <c r="T121" s="22">
        <f>IF($B121="","",IF($G121="",0,YEAR($G121)*100+MONTH($G121)))</f>
        <v/>
      </c>
      <c r="U121" s="17">
        <f>IF($B121="","",IF(项目台账!$R120="","",项目台账!$R120))</f>
        <v/>
      </c>
    </row>
    <row r="122">
      <c r="A122" s="17">
        <f>IF(项目台账!$B121="","",项目台账!$A121)</f>
        <v/>
      </c>
      <c r="B122" s="17">
        <f>IF(项目台账!$B121="","",项目台账!$B121)</f>
        <v/>
      </c>
      <c r="C122" s="17">
        <f>IF($B122="","",IF(项目台账!$C121="","",项目台账!$C121))</f>
        <v/>
      </c>
      <c r="D122" s="17">
        <f>IF($B122="","",IF(项目台账!$D121="","",项目台账!$D121))</f>
        <v/>
      </c>
      <c r="E122" s="17">
        <f>IF($B122="","",IF(项目台账!$E121="","",项目台账!$E121))</f>
        <v/>
      </c>
      <c r="F122" s="23">
        <f>IF($B122="","",IF(项目台账!$F121="","",项目台账!$F121))</f>
        <v/>
      </c>
      <c r="G122" s="23">
        <f>IF($B122="","",IF(项目台账!$J121="","",项目台账!$J121))</f>
        <v/>
      </c>
      <c r="H122" s="17">
        <f>IF($B122="","",IF(项目台账!$Q121="","",项目台账!$Q121))</f>
        <v/>
      </c>
      <c r="I122" s="19">
        <f>IF($B122="","",项目台账!$M121)</f>
        <v/>
      </c>
      <c r="J122" s="19">
        <f>IF($B122="","",项目台账!$O121)</f>
        <v/>
      </c>
      <c r="K122" s="19">
        <f>IF($B122="","",项目台账!$P121)</f>
        <v/>
      </c>
      <c r="L122" s="19">
        <f>IF($B122="","",ROUND(SUMIFS(采购单!$L$4:$L$2003,采购单!$D$4:$D$2003,$B122,采购单!$F$4:$F$2003,"成本-主材")+SUMIFS(生产安装!$J$4:$J$1203,生产安装!$C$4:$C$1203,$B122,生产安装!$E$4:$E$1203,"成本-主材")+SUMIFS(资金日记账!$K$4:$K$2503,资金日记账!$G$4:$G$2503,$B122,资金日记账!$F$4:$F$2503,"成本-主材")-SUMIFS(资金日记账!$J$4:$J$2503,资金日记账!$G$4:$G$2503,$B122,资金日记账!$F$4:$F$2503,"成本-主材"),2))</f>
        <v/>
      </c>
      <c r="M122" s="19">
        <f>IF($B122="","",ROUND(SUMIFS(采购单!$L$4:$L$2003,采购单!$D$4:$D$2003,$B122,采购单!$F$4:$F$2003,"成本-辅材")+SUMIFS(生产安装!$J$4:$J$1203,生产安装!$C$4:$C$1203,$B122,生产安装!$E$4:$E$1203,"成本-辅材")+SUMIFS(资金日记账!$K$4:$K$2503,资金日记账!$G$4:$G$2503,$B122,资金日记账!$F$4:$F$2503,"成本-辅材")-SUMIFS(资金日记账!$J$4:$J$2503,资金日记账!$G$4:$G$2503,$B122,资金日记账!$F$4:$F$2503,"成本-辅材"),2))</f>
        <v/>
      </c>
      <c r="N122" s="19">
        <f>IF($B122="","",ROUND(SUMIFS(采购单!$L$4:$L$2003,采购单!$D$4:$D$2003,$B122,采购单!$F$4:$F$2003,"成本-人工")+SUMIFS(生产安装!$J$4:$J$1203,生产安装!$C$4:$C$1203,$B122,生产安装!$E$4:$E$1203,"成本-人工")+SUMIFS(资金日记账!$K$4:$K$2503,资金日记账!$G$4:$G$2503,$B122,资金日记账!$F$4:$F$2503,"成本-人工")-SUMIFS(资金日记账!$J$4:$J$2503,资金日记账!$G$4:$G$2503,$B122,资金日记账!$F$4:$F$2503,"成本-人工"),2))</f>
        <v/>
      </c>
      <c r="O122" s="19">
        <f>IF($B122="","",ROUND(SUMIFS(采购单!$L$4:$L$2003,采购单!$D$4:$D$2003,$B122,采购单!$F$4:$F$2003,"成本-车运")+SUMIFS(生产安装!$J$4:$J$1203,生产安装!$C$4:$C$1203,$B122,生产安装!$E$4:$E$1203,"成本-车运")+SUMIFS(资金日记账!$K$4:$K$2503,资金日记账!$G$4:$G$2503,$B122,资金日记账!$F$4:$F$2503,"成本-车运")-SUMIFS(资金日记账!$J$4:$J$2503,资金日记账!$G$4:$G$2503,$B122,资金日记账!$F$4:$F$2503,"成本-车运"),2))</f>
        <v/>
      </c>
      <c r="P122" s="19">
        <f>IF($B122="","",ROUND(SUMIFS(采购单!$L$4:$L$2003,采购单!$D$4:$D$2003,$B122,采购单!$F$4:$F$2003,"成本-其他")+SUMIFS(生产安装!$J$4:$J$1203,生产安装!$C$4:$C$1203,$B122,生产安装!$E$4:$E$1203,"成本-其他")+SUMIFS(资金日记账!$K$4:$K$2503,资金日记账!$G$4:$G$2503,$B122,资金日记账!$F$4:$F$2503,"成本-其他")-SUMIFS(资金日记账!$J$4:$J$2503,资金日记账!$G$4:$G$2503,$B122,资金日记账!$F$4:$F$2503,"成本-其他"),2))</f>
        <v/>
      </c>
      <c r="Q122" s="19">
        <f>IF($B122="","",ROUND(SUM($L122:$P122),2))</f>
        <v/>
      </c>
      <c r="R122" s="19">
        <f>IF($B122="","",ROUND($I122-$Q122,2))</f>
        <v/>
      </c>
      <c r="S122" s="33">
        <f>IF($B122="","",IF(ROUND($I122,2)=0,"",ROUND($R122/$I122,4)))</f>
        <v/>
      </c>
      <c r="T122" s="22">
        <f>IF($B122="","",IF($G122="",0,YEAR($G122)*100+MONTH($G122)))</f>
        <v/>
      </c>
      <c r="U122" s="17">
        <f>IF($B122="","",IF(项目台账!$R121="","",项目台账!$R121))</f>
        <v/>
      </c>
    </row>
    <row r="123">
      <c r="A123" s="17">
        <f>IF(项目台账!$B122="","",项目台账!$A122)</f>
        <v/>
      </c>
      <c r="B123" s="17">
        <f>IF(项目台账!$B122="","",项目台账!$B122)</f>
        <v/>
      </c>
      <c r="C123" s="17">
        <f>IF($B123="","",IF(项目台账!$C122="","",项目台账!$C122))</f>
        <v/>
      </c>
      <c r="D123" s="17">
        <f>IF($B123="","",IF(项目台账!$D122="","",项目台账!$D122))</f>
        <v/>
      </c>
      <c r="E123" s="17">
        <f>IF($B123="","",IF(项目台账!$E122="","",项目台账!$E122))</f>
        <v/>
      </c>
      <c r="F123" s="23">
        <f>IF($B123="","",IF(项目台账!$F122="","",项目台账!$F122))</f>
        <v/>
      </c>
      <c r="G123" s="23">
        <f>IF($B123="","",IF(项目台账!$J122="","",项目台账!$J122))</f>
        <v/>
      </c>
      <c r="H123" s="17">
        <f>IF($B123="","",IF(项目台账!$Q122="","",项目台账!$Q122))</f>
        <v/>
      </c>
      <c r="I123" s="19">
        <f>IF($B123="","",项目台账!$M122)</f>
        <v/>
      </c>
      <c r="J123" s="19">
        <f>IF($B123="","",项目台账!$O122)</f>
        <v/>
      </c>
      <c r="K123" s="19">
        <f>IF($B123="","",项目台账!$P122)</f>
        <v/>
      </c>
      <c r="L123" s="19">
        <f>IF($B123="","",ROUND(SUMIFS(采购单!$L$4:$L$2003,采购单!$D$4:$D$2003,$B123,采购单!$F$4:$F$2003,"成本-主材")+SUMIFS(生产安装!$J$4:$J$1203,生产安装!$C$4:$C$1203,$B123,生产安装!$E$4:$E$1203,"成本-主材")+SUMIFS(资金日记账!$K$4:$K$2503,资金日记账!$G$4:$G$2503,$B123,资金日记账!$F$4:$F$2503,"成本-主材")-SUMIFS(资金日记账!$J$4:$J$2503,资金日记账!$G$4:$G$2503,$B123,资金日记账!$F$4:$F$2503,"成本-主材"),2))</f>
        <v/>
      </c>
      <c r="M123" s="19">
        <f>IF($B123="","",ROUND(SUMIFS(采购单!$L$4:$L$2003,采购单!$D$4:$D$2003,$B123,采购单!$F$4:$F$2003,"成本-辅材")+SUMIFS(生产安装!$J$4:$J$1203,生产安装!$C$4:$C$1203,$B123,生产安装!$E$4:$E$1203,"成本-辅材")+SUMIFS(资金日记账!$K$4:$K$2503,资金日记账!$G$4:$G$2503,$B123,资金日记账!$F$4:$F$2503,"成本-辅材")-SUMIFS(资金日记账!$J$4:$J$2503,资金日记账!$G$4:$G$2503,$B123,资金日记账!$F$4:$F$2503,"成本-辅材"),2))</f>
        <v/>
      </c>
      <c r="N123" s="19">
        <f>IF($B123="","",ROUND(SUMIFS(采购单!$L$4:$L$2003,采购单!$D$4:$D$2003,$B123,采购单!$F$4:$F$2003,"成本-人工")+SUMIFS(生产安装!$J$4:$J$1203,生产安装!$C$4:$C$1203,$B123,生产安装!$E$4:$E$1203,"成本-人工")+SUMIFS(资金日记账!$K$4:$K$2503,资金日记账!$G$4:$G$2503,$B123,资金日记账!$F$4:$F$2503,"成本-人工")-SUMIFS(资金日记账!$J$4:$J$2503,资金日记账!$G$4:$G$2503,$B123,资金日记账!$F$4:$F$2503,"成本-人工"),2))</f>
        <v/>
      </c>
      <c r="O123" s="19">
        <f>IF($B123="","",ROUND(SUMIFS(采购单!$L$4:$L$2003,采购单!$D$4:$D$2003,$B123,采购单!$F$4:$F$2003,"成本-车运")+SUMIFS(生产安装!$J$4:$J$1203,生产安装!$C$4:$C$1203,$B123,生产安装!$E$4:$E$1203,"成本-车运")+SUMIFS(资金日记账!$K$4:$K$2503,资金日记账!$G$4:$G$2503,$B123,资金日记账!$F$4:$F$2503,"成本-车运")-SUMIFS(资金日记账!$J$4:$J$2503,资金日记账!$G$4:$G$2503,$B123,资金日记账!$F$4:$F$2503,"成本-车运"),2))</f>
        <v/>
      </c>
      <c r="P123" s="19">
        <f>IF($B123="","",ROUND(SUMIFS(采购单!$L$4:$L$2003,采购单!$D$4:$D$2003,$B123,采购单!$F$4:$F$2003,"成本-其他")+SUMIFS(生产安装!$J$4:$J$1203,生产安装!$C$4:$C$1203,$B123,生产安装!$E$4:$E$1203,"成本-其他")+SUMIFS(资金日记账!$K$4:$K$2503,资金日记账!$G$4:$G$2503,$B123,资金日记账!$F$4:$F$2503,"成本-其他")-SUMIFS(资金日记账!$J$4:$J$2503,资金日记账!$G$4:$G$2503,$B123,资金日记账!$F$4:$F$2503,"成本-其他"),2))</f>
        <v/>
      </c>
      <c r="Q123" s="19">
        <f>IF($B123="","",ROUND(SUM($L123:$P123),2))</f>
        <v/>
      </c>
      <c r="R123" s="19">
        <f>IF($B123="","",ROUND($I123-$Q123,2))</f>
        <v/>
      </c>
      <c r="S123" s="33">
        <f>IF($B123="","",IF(ROUND($I123,2)=0,"",ROUND($R123/$I123,4)))</f>
        <v/>
      </c>
      <c r="T123" s="22">
        <f>IF($B123="","",IF($G123="",0,YEAR($G123)*100+MONTH($G123)))</f>
        <v/>
      </c>
      <c r="U123" s="17">
        <f>IF($B123="","",IF(项目台账!$R122="","",项目台账!$R122))</f>
        <v/>
      </c>
    </row>
    <row r="124">
      <c r="A124" s="17">
        <f>IF(项目台账!$B123="","",项目台账!$A123)</f>
        <v/>
      </c>
      <c r="B124" s="17">
        <f>IF(项目台账!$B123="","",项目台账!$B123)</f>
        <v/>
      </c>
      <c r="C124" s="17">
        <f>IF($B124="","",IF(项目台账!$C123="","",项目台账!$C123))</f>
        <v/>
      </c>
      <c r="D124" s="17">
        <f>IF($B124="","",IF(项目台账!$D123="","",项目台账!$D123))</f>
        <v/>
      </c>
      <c r="E124" s="17">
        <f>IF($B124="","",IF(项目台账!$E123="","",项目台账!$E123))</f>
        <v/>
      </c>
      <c r="F124" s="23">
        <f>IF($B124="","",IF(项目台账!$F123="","",项目台账!$F123))</f>
        <v/>
      </c>
      <c r="G124" s="23">
        <f>IF($B124="","",IF(项目台账!$J123="","",项目台账!$J123))</f>
        <v/>
      </c>
      <c r="H124" s="17">
        <f>IF($B124="","",IF(项目台账!$Q123="","",项目台账!$Q123))</f>
        <v/>
      </c>
      <c r="I124" s="19">
        <f>IF($B124="","",项目台账!$M123)</f>
        <v/>
      </c>
      <c r="J124" s="19">
        <f>IF($B124="","",项目台账!$O123)</f>
        <v/>
      </c>
      <c r="K124" s="19">
        <f>IF($B124="","",项目台账!$P123)</f>
        <v/>
      </c>
      <c r="L124" s="19">
        <f>IF($B124="","",ROUND(SUMIFS(采购单!$L$4:$L$2003,采购单!$D$4:$D$2003,$B124,采购单!$F$4:$F$2003,"成本-主材")+SUMIFS(生产安装!$J$4:$J$1203,生产安装!$C$4:$C$1203,$B124,生产安装!$E$4:$E$1203,"成本-主材")+SUMIFS(资金日记账!$K$4:$K$2503,资金日记账!$G$4:$G$2503,$B124,资金日记账!$F$4:$F$2503,"成本-主材")-SUMIFS(资金日记账!$J$4:$J$2503,资金日记账!$G$4:$G$2503,$B124,资金日记账!$F$4:$F$2503,"成本-主材"),2))</f>
        <v/>
      </c>
      <c r="M124" s="19">
        <f>IF($B124="","",ROUND(SUMIFS(采购单!$L$4:$L$2003,采购单!$D$4:$D$2003,$B124,采购单!$F$4:$F$2003,"成本-辅材")+SUMIFS(生产安装!$J$4:$J$1203,生产安装!$C$4:$C$1203,$B124,生产安装!$E$4:$E$1203,"成本-辅材")+SUMIFS(资金日记账!$K$4:$K$2503,资金日记账!$G$4:$G$2503,$B124,资金日记账!$F$4:$F$2503,"成本-辅材")-SUMIFS(资金日记账!$J$4:$J$2503,资金日记账!$G$4:$G$2503,$B124,资金日记账!$F$4:$F$2503,"成本-辅材"),2))</f>
        <v/>
      </c>
      <c r="N124" s="19">
        <f>IF($B124="","",ROUND(SUMIFS(采购单!$L$4:$L$2003,采购单!$D$4:$D$2003,$B124,采购单!$F$4:$F$2003,"成本-人工")+SUMIFS(生产安装!$J$4:$J$1203,生产安装!$C$4:$C$1203,$B124,生产安装!$E$4:$E$1203,"成本-人工")+SUMIFS(资金日记账!$K$4:$K$2503,资金日记账!$G$4:$G$2503,$B124,资金日记账!$F$4:$F$2503,"成本-人工")-SUMIFS(资金日记账!$J$4:$J$2503,资金日记账!$G$4:$G$2503,$B124,资金日记账!$F$4:$F$2503,"成本-人工"),2))</f>
        <v/>
      </c>
      <c r="O124" s="19">
        <f>IF($B124="","",ROUND(SUMIFS(采购单!$L$4:$L$2003,采购单!$D$4:$D$2003,$B124,采购单!$F$4:$F$2003,"成本-车运")+SUMIFS(生产安装!$J$4:$J$1203,生产安装!$C$4:$C$1203,$B124,生产安装!$E$4:$E$1203,"成本-车运")+SUMIFS(资金日记账!$K$4:$K$2503,资金日记账!$G$4:$G$2503,$B124,资金日记账!$F$4:$F$2503,"成本-车运")-SUMIFS(资金日记账!$J$4:$J$2503,资金日记账!$G$4:$G$2503,$B124,资金日记账!$F$4:$F$2503,"成本-车运"),2))</f>
        <v/>
      </c>
      <c r="P124" s="19">
        <f>IF($B124="","",ROUND(SUMIFS(采购单!$L$4:$L$2003,采购单!$D$4:$D$2003,$B124,采购单!$F$4:$F$2003,"成本-其他")+SUMIFS(生产安装!$J$4:$J$1203,生产安装!$C$4:$C$1203,$B124,生产安装!$E$4:$E$1203,"成本-其他")+SUMIFS(资金日记账!$K$4:$K$2503,资金日记账!$G$4:$G$2503,$B124,资金日记账!$F$4:$F$2503,"成本-其他")-SUMIFS(资金日记账!$J$4:$J$2503,资金日记账!$G$4:$G$2503,$B124,资金日记账!$F$4:$F$2503,"成本-其他"),2))</f>
        <v/>
      </c>
      <c r="Q124" s="19">
        <f>IF($B124="","",ROUND(SUM($L124:$P124),2))</f>
        <v/>
      </c>
      <c r="R124" s="19">
        <f>IF($B124="","",ROUND($I124-$Q124,2))</f>
        <v/>
      </c>
      <c r="S124" s="33">
        <f>IF($B124="","",IF(ROUND($I124,2)=0,"",ROUND($R124/$I124,4)))</f>
        <v/>
      </c>
      <c r="T124" s="22">
        <f>IF($B124="","",IF($G124="",0,YEAR($G124)*100+MONTH($G124)))</f>
        <v/>
      </c>
      <c r="U124" s="17">
        <f>IF($B124="","",IF(项目台账!$R123="","",项目台账!$R123))</f>
        <v/>
      </c>
    </row>
    <row r="125">
      <c r="A125" s="17">
        <f>IF(项目台账!$B124="","",项目台账!$A124)</f>
        <v/>
      </c>
      <c r="B125" s="17">
        <f>IF(项目台账!$B124="","",项目台账!$B124)</f>
        <v/>
      </c>
      <c r="C125" s="17">
        <f>IF($B125="","",IF(项目台账!$C124="","",项目台账!$C124))</f>
        <v/>
      </c>
      <c r="D125" s="17">
        <f>IF($B125="","",IF(项目台账!$D124="","",项目台账!$D124))</f>
        <v/>
      </c>
      <c r="E125" s="17">
        <f>IF($B125="","",IF(项目台账!$E124="","",项目台账!$E124))</f>
        <v/>
      </c>
      <c r="F125" s="23">
        <f>IF($B125="","",IF(项目台账!$F124="","",项目台账!$F124))</f>
        <v/>
      </c>
      <c r="G125" s="23">
        <f>IF($B125="","",IF(项目台账!$J124="","",项目台账!$J124))</f>
        <v/>
      </c>
      <c r="H125" s="17">
        <f>IF($B125="","",IF(项目台账!$Q124="","",项目台账!$Q124))</f>
        <v/>
      </c>
      <c r="I125" s="19">
        <f>IF($B125="","",项目台账!$M124)</f>
        <v/>
      </c>
      <c r="J125" s="19">
        <f>IF($B125="","",项目台账!$O124)</f>
        <v/>
      </c>
      <c r="K125" s="19">
        <f>IF($B125="","",项目台账!$P124)</f>
        <v/>
      </c>
      <c r="L125" s="19">
        <f>IF($B125="","",ROUND(SUMIFS(采购单!$L$4:$L$2003,采购单!$D$4:$D$2003,$B125,采购单!$F$4:$F$2003,"成本-主材")+SUMIFS(生产安装!$J$4:$J$1203,生产安装!$C$4:$C$1203,$B125,生产安装!$E$4:$E$1203,"成本-主材")+SUMIFS(资金日记账!$K$4:$K$2503,资金日记账!$G$4:$G$2503,$B125,资金日记账!$F$4:$F$2503,"成本-主材")-SUMIFS(资金日记账!$J$4:$J$2503,资金日记账!$G$4:$G$2503,$B125,资金日记账!$F$4:$F$2503,"成本-主材"),2))</f>
        <v/>
      </c>
      <c r="M125" s="19">
        <f>IF($B125="","",ROUND(SUMIFS(采购单!$L$4:$L$2003,采购单!$D$4:$D$2003,$B125,采购单!$F$4:$F$2003,"成本-辅材")+SUMIFS(生产安装!$J$4:$J$1203,生产安装!$C$4:$C$1203,$B125,生产安装!$E$4:$E$1203,"成本-辅材")+SUMIFS(资金日记账!$K$4:$K$2503,资金日记账!$G$4:$G$2503,$B125,资金日记账!$F$4:$F$2503,"成本-辅材")-SUMIFS(资金日记账!$J$4:$J$2503,资金日记账!$G$4:$G$2503,$B125,资金日记账!$F$4:$F$2503,"成本-辅材"),2))</f>
        <v/>
      </c>
      <c r="N125" s="19">
        <f>IF($B125="","",ROUND(SUMIFS(采购单!$L$4:$L$2003,采购单!$D$4:$D$2003,$B125,采购单!$F$4:$F$2003,"成本-人工")+SUMIFS(生产安装!$J$4:$J$1203,生产安装!$C$4:$C$1203,$B125,生产安装!$E$4:$E$1203,"成本-人工")+SUMIFS(资金日记账!$K$4:$K$2503,资金日记账!$G$4:$G$2503,$B125,资金日记账!$F$4:$F$2503,"成本-人工")-SUMIFS(资金日记账!$J$4:$J$2503,资金日记账!$G$4:$G$2503,$B125,资金日记账!$F$4:$F$2503,"成本-人工"),2))</f>
        <v/>
      </c>
      <c r="O125" s="19">
        <f>IF($B125="","",ROUND(SUMIFS(采购单!$L$4:$L$2003,采购单!$D$4:$D$2003,$B125,采购单!$F$4:$F$2003,"成本-车运")+SUMIFS(生产安装!$J$4:$J$1203,生产安装!$C$4:$C$1203,$B125,生产安装!$E$4:$E$1203,"成本-车运")+SUMIFS(资金日记账!$K$4:$K$2503,资金日记账!$G$4:$G$2503,$B125,资金日记账!$F$4:$F$2503,"成本-车运")-SUMIFS(资金日记账!$J$4:$J$2503,资金日记账!$G$4:$G$2503,$B125,资金日记账!$F$4:$F$2503,"成本-车运"),2))</f>
        <v/>
      </c>
      <c r="P125" s="19">
        <f>IF($B125="","",ROUND(SUMIFS(采购单!$L$4:$L$2003,采购单!$D$4:$D$2003,$B125,采购单!$F$4:$F$2003,"成本-其他")+SUMIFS(生产安装!$J$4:$J$1203,生产安装!$C$4:$C$1203,$B125,生产安装!$E$4:$E$1203,"成本-其他")+SUMIFS(资金日记账!$K$4:$K$2503,资金日记账!$G$4:$G$2503,$B125,资金日记账!$F$4:$F$2503,"成本-其他")-SUMIFS(资金日记账!$J$4:$J$2503,资金日记账!$G$4:$G$2503,$B125,资金日记账!$F$4:$F$2503,"成本-其他"),2))</f>
        <v/>
      </c>
      <c r="Q125" s="19">
        <f>IF($B125="","",ROUND(SUM($L125:$P125),2))</f>
        <v/>
      </c>
      <c r="R125" s="19">
        <f>IF($B125="","",ROUND($I125-$Q125,2))</f>
        <v/>
      </c>
      <c r="S125" s="33">
        <f>IF($B125="","",IF(ROUND($I125,2)=0,"",ROUND($R125/$I125,4)))</f>
        <v/>
      </c>
      <c r="T125" s="22">
        <f>IF($B125="","",IF($G125="",0,YEAR($G125)*100+MONTH($G125)))</f>
        <v/>
      </c>
      <c r="U125" s="17">
        <f>IF($B125="","",IF(项目台账!$R124="","",项目台账!$R124))</f>
        <v/>
      </c>
    </row>
    <row r="126">
      <c r="A126" s="17">
        <f>IF(项目台账!$B125="","",项目台账!$A125)</f>
        <v/>
      </c>
      <c r="B126" s="17">
        <f>IF(项目台账!$B125="","",项目台账!$B125)</f>
        <v/>
      </c>
      <c r="C126" s="17">
        <f>IF($B126="","",IF(项目台账!$C125="","",项目台账!$C125))</f>
        <v/>
      </c>
      <c r="D126" s="17">
        <f>IF($B126="","",IF(项目台账!$D125="","",项目台账!$D125))</f>
        <v/>
      </c>
      <c r="E126" s="17">
        <f>IF($B126="","",IF(项目台账!$E125="","",项目台账!$E125))</f>
        <v/>
      </c>
      <c r="F126" s="23">
        <f>IF($B126="","",IF(项目台账!$F125="","",项目台账!$F125))</f>
        <v/>
      </c>
      <c r="G126" s="23">
        <f>IF($B126="","",IF(项目台账!$J125="","",项目台账!$J125))</f>
        <v/>
      </c>
      <c r="H126" s="17">
        <f>IF($B126="","",IF(项目台账!$Q125="","",项目台账!$Q125))</f>
        <v/>
      </c>
      <c r="I126" s="19">
        <f>IF($B126="","",项目台账!$M125)</f>
        <v/>
      </c>
      <c r="J126" s="19">
        <f>IF($B126="","",项目台账!$O125)</f>
        <v/>
      </c>
      <c r="K126" s="19">
        <f>IF($B126="","",项目台账!$P125)</f>
        <v/>
      </c>
      <c r="L126" s="19">
        <f>IF($B126="","",ROUND(SUMIFS(采购单!$L$4:$L$2003,采购单!$D$4:$D$2003,$B126,采购单!$F$4:$F$2003,"成本-主材")+SUMIFS(生产安装!$J$4:$J$1203,生产安装!$C$4:$C$1203,$B126,生产安装!$E$4:$E$1203,"成本-主材")+SUMIFS(资金日记账!$K$4:$K$2503,资金日记账!$G$4:$G$2503,$B126,资金日记账!$F$4:$F$2503,"成本-主材")-SUMIFS(资金日记账!$J$4:$J$2503,资金日记账!$G$4:$G$2503,$B126,资金日记账!$F$4:$F$2503,"成本-主材"),2))</f>
        <v/>
      </c>
      <c r="M126" s="19">
        <f>IF($B126="","",ROUND(SUMIFS(采购单!$L$4:$L$2003,采购单!$D$4:$D$2003,$B126,采购单!$F$4:$F$2003,"成本-辅材")+SUMIFS(生产安装!$J$4:$J$1203,生产安装!$C$4:$C$1203,$B126,生产安装!$E$4:$E$1203,"成本-辅材")+SUMIFS(资金日记账!$K$4:$K$2503,资金日记账!$G$4:$G$2503,$B126,资金日记账!$F$4:$F$2503,"成本-辅材")-SUMIFS(资金日记账!$J$4:$J$2503,资金日记账!$G$4:$G$2503,$B126,资金日记账!$F$4:$F$2503,"成本-辅材"),2))</f>
        <v/>
      </c>
      <c r="N126" s="19">
        <f>IF($B126="","",ROUND(SUMIFS(采购单!$L$4:$L$2003,采购单!$D$4:$D$2003,$B126,采购单!$F$4:$F$2003,"成本-人工")+SUMIFS(生产安装!$J$4:$J$1203,生产安装!$C$4:$C$1203,$B126,生产安装!$E$4:$E$1203,"成本-人工")+SUMIFS(资金日记账!$K$4:$K$2503,资金日记账!$G$4:$G$2503,$B126,资金日记账!$F$4:$F$2503,"成本-人工")-SUMIFS(资金日记账!$J$4:$J$2503,资金日记账!$G$4:$G$2503,$B126,资金日记账!$F$4:$F$2503,"成本-人工"),2))</f>
        <v/>
      </c>
      <c r="O126" s="19">
        <f>IF($B126="","",ROUND(SUMIFS(采购单!$L$4:$L$2003,采购单!$D$4:$D$2003,$B126,采购单!$F$4:$F$2003,"成本-车运")+SUMIFS(生产安装!$J$4:$J$1203,生产安装!$C$4:$C$1203,$B126,生产安装!$E$4:$E$1203,"成本-车运")+SUMIFS(资金日记账!$K$4:$K$2503,资金日记账!$G$4:$G$2503,$B126,资金日记账!$F$4:$F$2503,"成本-车运")-SUMIFS(资金日记账!$J$4:$J$2503,资金日记账!$G$4:$G$2503,$B126,资金日记账!$F$4:$F$2503,"成本-车运"),2))</f>
        <v/>
      </c>
      <c r="P126" s="19">
        <f>IF($B126="","",ROUND(SUMIFS(采购单!$L$4:$L$2003,采购单!$D$4:$D$2003,$B126,采购单!$F$4:$F$2003,"成本-其他")+SUMIFS(生产安装!$J$4:$J$1203,生产安装!$C$4:$C$1203,$B126,生产安装!$E$4:$E$1203,"成本-其他")+SUMIFS(资金日记账!$K$4:$K$2503,资金日记账!$G$4:$G$2503,$B126,资金日记账!$F$4:$F$2503,"成本-其他")-SUMIFS(资金日记账!$J$4:$J$2503,资金日记账!$G$4:$G$2503,$B126,资金日记账!$F$4:$F$2503,"成本-其他"),2))</f>
        <v/>
      </c>
      <c r="Q126" s="19">
        <f>IF($B126="","",ROUND(SUM($L126:$P126),2))</f>
        <v/>
      </c>
      <c r="R126" s="19">
        <f>IF($B126="","",ROUND($I126-$Q126,2))</f>
        <v/>
      </c>
      <c r="S126" s="33">
        <f>IF($B126="","",IF(ROUND($I126,2)=0,"",ROUND($R126/$I126,4)))</f>
        <v/>
      </c>
      <c r="T126" s="22">
        <f>IF($B126="","",IF($G126="",0,YEAR($G126)*100+MONTH($G126)))</f>
        <v/>
      </c>
      <c r="U126" s="17">
        <f>IF($B126="","",IF(项目台账!$R125="","",项目台账!$R125))</f>
        <v/>
      </c>
    </row>
    <row r="127">
      <c r="A127" s="17">
        <f>IF(项目台账!$B126="","",项目台账!$A126)</f>
        <v/>
      </c>
      <c r="B127" s="17">
        <f>IF(项目台账!$B126="","",项目台账!$B126)</f>
        <v/>
      </c>
      <c r="C127" s="17">
        <f>IF($B127="","",IF(项目台账!$C126="","",项目台账!$C126))</f>
        <v/>
      </c>
      <c r="D127" s="17">
        <f>IF($B127="","",IF(项目台账!$D126="","",项目台账!$D126))</f>
        <v/>
      </c>
      <c r="E127" s="17">
        <f>IF($B127="","",IF(项目台账!$E126="","",项目台账!$E126))</f>
        <v/>
      </c>
      <c r="F127" s="23">
        <f>IF($B127="","",IF(项目台账!$F126="","",项目台账!$F126))</f>
        <v/>
      </c>
      <c r="G127" s="23">
        <f>IF($B127="","",IF(项目台账!$J126="","",项目台账!$J126))</f>
        <v/>
      </c>
      <c r="H127" s="17">
        <f>IF($B127="","",IF(项目台账!$Q126="","",项目台账!$Q126))</f>
        <v/>
      </c>
      <c r="I127" s="19">
        <f>IF($B127="","",项目台账!$M126)</f>
        <v/>
      </c>
      <c r="J127" s="19">
        <f>IF($B127="","",项目台账!$O126)</f>
        <v/>
      </c>
      <c r="K127" s="19">
        <f>IF($B127="","",项目台账!$P126)</f>
        <v/>
      </c>
      <c r="L127" s="19">
        <f>IF($B127="","",ROUND(SUMIFS(采购单!$L$4:$L$2003,采购单!$D$4:$D$2003,$B127,采购单!$F$4:$F$2003,"成本-主材")+SUMIFS(生产安装!$J$4:$J$1203,生产安装!$C$4:$C$1203,$B127,生产安装!$E$4:$E$1203,"成本-主材")+SUMIFS(资金日记账!$K$4:$K$2503,资金日记账!$G$4:$G$2503,$B127,资金日记账!$F$4:$F$2503,"成本-主材")-SUMIFS(资金日记账!$J$4:$J$2503,资金日记账!$G$4:$G$2503,$B127,资金日记账!$F$4:$F$2503,"成本-主材"),2))</f>
        <v/>
      </c>
      <c r="M127" s="19">
        <f>IF($B127="","",ROUND(SUMIFS(采购单!$L$4:$L$2003,采购单!$D$4:$D$2003,$B127,采购单!$F$4:$F$2003,"成本-辅材")+SUMIFS(生产安装!$J$4:$J$1203,生产安装!$C$4:$C$1203,$B127,生产安装!$E$4:$E$1203,"成本-辅材")+SUMIFS(资金日记账!$K$4:$K$2503,资金日记账!$G$4:$G$2503,$B127,资金日记账!$F$4:$F$2503,"成本-辅材")-SUMIFS(资金日记账!$J$4:$J$2503,资金日记账!$G$4:$G$2503,$B127,资金日记账!$F$4:$F$2503,"成本-辅材"),2))</f>
        <v/>
      </c>
      <c r="N127" s="19">
        <f>IF($B127="","",ROUND(SUMIFS(采购单!$L$4:$L$2003,采购单!$D$4:$D$2003,$B127,采购单!$F$4:$F$2003,"成本-人工")+SUMIFS(生产安装!$J$4:$J$1203,生产安装!$C$4:$C$1203,$B127,生产安装!$E$4:$E$1203,"成本-人工")+SUMIFS(资金日记账!$K$4:$K$2503,资金日记账!$G$4:$G$2503,$B127,资金日记账!$F$4:$F$2503,"成本-人工")-SUMIFS(资金日记账!$J$4:$J$2503,资金日记账!$G$4:$G$2503,$B127,资金日记账!$F$4:$F$2503,"成本-人工"),2))</f>
        <v/>
      </c>
      <c r="O127" s="19">
        <f>IF($B127="","",ROUND(SUMIFS(采购单!$L$4:$L$2003,采购单!$D$4:$D$2003,$B127,采购单!$F$4:$F$2003,"成本-车运")+SUMIFS(生产安装!$J$4:$J$1203,生产安装!$C$4:$C$1203,$B127,生产安装!$E$4:$E$1203,"成本-车运")+SUMIFS(资金日记账!$K$4:$K$2503,资金日记账!$G$4:$G$2503,$B127,资金日记账!$F$4:$F$2503,"成本-车运")-SUMIFS(资金日记账!$J$4:$J$2503,资金日记账!$G$4:$G$2503,$B127,资金日记账!$F$4:$F$2503,"成本-车运"),2))</f>
        <v/>
      </c>
      <c r="P127" s="19">
        <f>IF($B127="","",ROUND(SUMIFS(采购单!$L$4:$L$2003,采购单!$D$4:$D$2003,$B127,采购单!$F$4:$F$2003,"成本-其他")+SUMIFS(生产安装!$J$4:$J$1203,生产安装!$C$4:$C$1203,$B127,生产安装!$E$4:$E$1203,"成本-其他")+SUMIFS(资金日记账!$K$4:$K$2503,资金日记账!$G$4:$G$2503,$B127,资金日记账!$F$4:$F$2503,"成本-其他")-SUMIFS(资金日记账!$J$4:$J$2503,资金日记账!$G$4:$G$2503,$B127,资金日记账!$F$4:$F$2503,"成本-其他"),2))</f>
        <v/>
      </c>
      <c r="Q127" s="19">
        <f>IF($B127="","",ROUND(SUM($L127:$P127),2))</f>
        <v/>
      </c>
      <c r="R127" s="19">
        <f>IF($B127="","",ROUND($I127-$Q127,2))</f>
        <v/>
      </c>
      <c r="S127" s="33">
        <f>IF($B127="","",IF(ROUND($I127,2)=0,"",ROUND($R127/$I127,4)))</f>
        <v/>
      </c>
      <c r="T127" s="22">
        <f>IF($B127="","",IF($G127="",0,YEAR($G127)*100+MONTH($G127)))</f>
        <v/>
      </c>
      <c r="U127" s="17">
        <f>IF($B127="","",IF(项目台账!$R126="","",项目台账!$R126))</f>
        <v/>
      </c>
    </row>
    <row r="128">
      <c r="A128" s="17">
        <f>IF(项目台账!$B127="","",项目台账!$A127)</f>
        <v/>
      </c>
      <c r="B128" s="17">
        <f>IF(项目台账!$B127="","",项目台账!$B127)</f>
        <v/>
      </c>
      <c r="C128" s="17">
        <f>IF($B128="","",IF(项目台账!$C127="","",项目台账!$C127))</f>
        <v/>
      </c>
      <c r="D128" s="17">
        <f>IF($B128="","",IF(项目台账!$D127="","",项目台账!$D127))</f>
        <v/>
      </c>
      <c r="E128" s="17">
        <f>IF($B128="","",IF(项目台账!$E127="","",项目台账!$E127))</f>
        <v/>
      </c>
      <c r="F128" s="23">
        <f>IF($B128="","",IF(项目台账!$F127="","",项目台账!$F127))</f>
        <v/>
      </c>
      <c r="G128" s="23">
        <f>IF($B128="","",IF(项目台账!$J127="","",项目台账!$J127))</f>
        <v/>
      </c>
      <c r="H128" s="17">
        <f>IF($B128="","",IF(项目台账!$Q127="","",项目台账!$Q127))</f>
        <v/>
      </c>
      <c r="I128" s="19">
        <f>IF($B128="","",项目台账!$M127)</f>
        <v/>
      </c>
      <c r="J128" s="19">
        <f>IF($B128="","",项目台账!$O127)</f>
        <v/>
      </c>
      <c r="K128" s="19">
        <f>IF($B128="","",项目台账!$P127)</f>
        <v/>
      </c>
      <c r="L128" s="19">
        <f>IF($B128="","",ROUND(SUMIFS(采购单!$L$4:$L$2003,采购单!$D$4:$D$2003,$B128,采购单!$F$4:$F$2003,"成本-主材")+SUMIFS(生产安装!$J$4:$J$1203,生产安装!$C$4:$C$1203,$B128,生产安装!$E$4:$E$1203,"成本-主材")+SUMIFS(资金日记账!$K$4:$K$2503,资金日记账!$G$4:$G$2503,$B128,资金日记账!$F$4:$F$2503,"成本-主材")-SUMIFS(资金日记账!$J$4:$J$2503,资金日记账!$G$4:$G$2503,$B128,资金日记账!$F$4:$F$2503,"成本-主材"),2))</f>
        <v/>
      </c>
      <c r="M128" s="19">
        <f>IF($B128="","",ROUND(SUMIFS(采购单!$L$4:$L$2003,采购单!$D$4:$D$2003,$B128,采购单!$F$4:$F$2003,"成本-辅材")+SUMIFS(生产安装!$J$4:$J$1203,生产安装!$C$4:$C$1203,$B128,生产安装!$E$4:$E$1203,"成本-辅材")+SUMIFS(资金日记账!$K$4:$K$2503,资金日记账!$G$4:$G$2503,$B128,资金日记账!$F$4:$F$2503,"成本-辅材")-SUMIFS(资金日记账!$J$4:$J$2503,资金日记账!$G$4:$G$2503,$B128,资金日记账!$F$4:$F$2503,"成本-辅材"),2))</f>
        <v/>
      </c>
      <c r="N128" s="19">
        <f>IF($B128="","",ROUND(SUMIFS(采购单!$L$4:$L$2003,采购单!$D$4:$D$2003,$B128,采购单!$F$4:$F$2003,"成本-人工")+SUMIFS(生产安装!$J$4:$J$1203,生产安装!$C$4:$C$1203,$B128,生产安装!$E$4:$E$1203,"成本-人工")+SUMIFS(资金日记账!$K$4:$K$2503,资金日记账!$G$4:$G$2503,$B128,资金日记账!$F$4:$F$2503,"成本-人工")-SUMIFS(资金日记账!$J$4:$J$2503,资金日记账!$G$4:$G$2503,$B128,资金日记账!$F$4:$F$2503,"成本-人工"),2))</f>
        <v/>
      </c>
      <c r="O128" s="19">
        <f>IF($B128="","",ROUND(SUMIFS(采购单!$L$4:$L$2003,采购单!$D$4:$D$2003,$B128,采购单!$F$4:$F$2003,"成本-车运")+SUMIFS(生产安装!$J$4:$J$1203,生产安装!$C$4:$C$1203,$B128,生产安装!$E$4:$E$1203,"成本-车运")+SUMIFS(资金日记账!$K$4:$K$2503,资金日记账!$G$4:$G$2503,$B128,资金日记账!$F$4:$F$2503,"成本-车运")-SUMIFS(资金日记账!$J$4:$J$2503,资金日记账!$G$4:$G$2503,$B128,资金日记账!$F$4:$F$2503,"成本-车运"),2))</f>
        <v/>
      </c>
      <c r="P128" s="19">
        <f>IF($B128="","",ROUND(SUMIFS(采购单!$L$4:$L$2003,采购单!$D$4:$D$2003,$B128,采购单!$F$4:$F$2003,"成本-其他")+SUMIFS(生产安装!$J$4:$J$1203,生产安装!$C$4:$C$1203,$B128,生产安装!$E$4:$E$1203,"成本-其他")+SUMIFS(资金日记账!$K$4:$K$2503,资金日记账!$G$4:$G$2503,$B128,资金日记账!$F$4:$F$2503,"成本-其他")-SUMIFS(资金日记账!$J$4:$J$2503,资金日记账!$G$4:$G$2503,$B128,资金日记账!$F$4:$F$2503,"成本-其他"),2))</f>
        <v/>
      </c>
      <c r="Q128" s="19">
        <f>IF($B128="","",ROUND(SUM($L128:$P128),2))</f>
        <v/>
      </c>
      <c r="R128" s="19">
        <f>IF($B128="","",ROUND($I128-$Q128,2))</f>
        <v/>
      </c>
      <c r="S128" s="33">
        <f>IF($B128="","",IF(ROUND($I128,2)=0,"",ROUND($R128/$I128,4)))</f>
        <v/>
      </c>
      <c r="T128" s="22">
        <f>IF($B128="","",IF($G128="",0,YEAR($G128)*100+MONTH($G128)))</f>
        <v/>
      </c>
      <c r="U128" s="17">
        <f>IF($B128="","",IF(项目台账!$R127="","",项目台账!$R127))</f>
        <v/>
      </c>
    </row>
    <row r="129">
      <c r="A129" s="17">
        <f>IF(项目台账!$B128="","",项目台账!$A128)</f>
        <v/>
      </c>
      <c r="B129" s="17">
        <f>IF(项目台账!$B128="","",项目台账!$B128)</f>
        <v/>
      </c>
      <c r="C129" s="17">
        <f>IF($B129="","",IF(项目台账!$C128="","",项目台账!$C128))</f>
        <v/>
      </c>
      <c r="D129" s="17">
        <f>IF($B129="","",IF(项目台账!$D128="","",项目台账!$D128))</f>
        <v/>
      </c>
      <c r="E129" s="17">
        <f>IF($B129="","",IF(项目台账!$E128="","",项目台账!$E128))</f>
        <v/>
      </c>
      <c r="F129" s="23">
        <f>IF($B129="","",IF(项目台账!$F128="","",项目台账!$F128))</f>
        <v/>
      </c>
      <c r="G129" s="23">
        <f>IF($B129="","",IF(项目台账!$J128="","",项目台账!$J128))</f>
        <v/>
      </c>
      <c r="H129" s="17">
        <f>IF($B129="","",IF(项目台账!$Q128="","",项目台账!$Q128))</f>
        <v/>
      </c>
      <c r="I129" s="19">
        <f>IF($B129="","",项目台账!$M128)</f>
        <v/>
      </c>
      <c r="J129" s="19">
        <f>IF($B129="","",项目台账!$O128)</f>
        <v/>
      </c>
      <c r="K129" s="19">
        <f>IF($B129="","",项目台账!$P128)</f>
        <v/>
      </c>
      <c r="L129" s="19">
        <f>IF($B129="","",ROUND(SUMIFS(采购单!$L$4:$L$2003,采购单!$D$4:$D$2003,$B129,采购单!$F$4:$F$2003,"成本-主材")+SUMIFS(生产安装!$J$4:$J$1203,生产安装!$C$4:$C$1203,$B129,生产安装!$E$4:$E$1203,"成本-主材")+SUMIFS(资金日记账!$K$4:$K$2503,资金日记账!$G$4:$G$2503,$B129,资金日记账!$F$4:$F$2503,"成本-主材")-SUMIFS(资金日记账!$J$4:$J$2503,资金日记账!$G$4:$G$2503,$B129,资金日记账!$F$4:$F$2503,"成本-主材"),2))</f>
        <v/>
      </c>
      <c r="M129" s="19">
        <f>IF($B129="","",ROUND(SUMIFS(采购单!$L$4:$L$2003,采购单!$D$4:$D$2003,$B129,采购单!$F$4:$F$2003,"成本-辅材")+SUMIFS(生产安装!$J$4:$J$1203,生产安装!$C$4:$C$1203,$B129,生产安装!$E$4:$E$1203,"成本-辅材")+SUMIFS(资金日记账!$K$4:$K$2503,资金日记账!$G$4:$G$2503,$B129,资金日记账!$F$4:$F$2503,"成本-辅材")-SUMIFS(资金日记账!$J$4:$J$2503,资金日记账!$G$4:$G$2503,$B129,资金日记账!$F$4:$F$2503,"成本-辅材"),2))</f>
        <v/>
      </c>
      <c r="N129" s="19">
        <f>IF($B129="","",ROUND(SUMIFS(采购单!$L$4:$L$2003,采购单!$D$4:$D$2003,$B129,采购单!$F$4:$F$2003,"成本-人工")+SUMIFS(生产安装!$J$4:$J$1203,生产安装!$C$4:$C$1203,$B129,生产安装!$E$4:$E$1203,"成本-人工")+SUMIFS(资金日记账!$K$4:$K$2503,资金日记账!$G$4:$G$2503,$B129,资金日记账!$F$4:$F$2503,"成本-人工")-SUMIFS(资金日记账!$J$4:$J$2503,资金日记账!$G$4:$G$2503,$B129,资金日记账!$F$4:$F$2503,"成本-人工"),2))</f>
        <v/>
      </c>
      <c r="O129" s="19">
        <f>IF($B129="","",ROUND(SUMIFS(采购单!$L$4:$L$2003,采购单!$D$4:$D$2003,$B129,采购单!$F$4:$F$2003,"成本-车运")+SUMIFS(生产安装!$J$4:$J$1203,生产安装!$C$4:$C$1203,$B129,生产安装!$E$4:$E$1203,"成本-车运")+SUMIFS(资金日记账!$K$4:$K$2503,资金日记账!$G$4:$G$2503,$B129,资金日记账!$F$4:$F$2503,"成本-车运")-SUMIFS(资金日记账!$J$4:$J$2503,资金日记账!$G$4:$G$2503,$B129,资金日记账!$F$4:$F$2503,"成本-车运"),2))</f>
        <v/>
      </c>
      <c r="P129" s="19">
        <f>IF($B129="","",ROUND(SUMIFS(采购单!$L$4:$L$2003,采购单!$D$4:$D$2003,$B129,采购单!$F$4:$F$2003,"成本-其他")+SUMIFS(生产安装!$J$4:$J$1203,生产安装!$C$4:$C$1203,$B129,生产安装!$E$4:$E$1203,"成本-其他")+SUMIFS(资金日记账!$K$4:$K$2503,资金日记账!$G$4:$G$2503,$B129,资金日记账!$F$4:$F$2503,"成本-其他")-SUMIFS(资金日记账!$J$4:$J$2503,资金日记账!$G$4:$G$2503,$B129,资金日记账!$F$4:$F$2503,"成本-其他"),2))</f>
        <v/>
      </c>
      <c r="Q129" s="19">
        <f>IF($B129="","",ROUND(SUM($L129:$P129),2))</f>
        <v/>
      </c>
      <c r="R129" s="19">
        <f>IF($B129="","",ROUND($I129-$Q129,2))</f>
        <v/>
      </c>
      <c r="S129" s="33">
        <f>IF($B129="","",IF(ROUND($I129,2)=0,"",ROUND($R129/$I129,4)))</f>
        <v/>
      </c>
      <c r="T129" s="22">
        <f>IF($B129="","",IF($G129="",0,YEAR($G129)*100+MONTH($G129)))</f>
        <v/>
      </c>
      <c r="U129" s="17">
        <f>IF($B129="","",IF(项目台账!$R128="","",项目台账!$R128))</f>
        <v/>
      </c>
    </row>
    <row r="130">
      <c r="A130" s="17">
        <f>IF(项目台账!$B129="","",项目台账!$A129)</f>
        <v/>
      </c>
      <c r="B130" s="17">
        <f>IF(项目台账!$B129="","",项目台账!$B129)</f>
        <v/>
      </c>
      <c r="C130" s="17">
        <f>IF($B130="","",IF(项目台账!$C129="","",项目台账!$C129))</f>
        <v/>
      </c>
      <c r="D130" s="17">
        <f>IF($B130="","",IF(项目台账!$D129="","",项目台账!$D129))</f>
        <v/>
      </c>
      <c r="E130" s="17">
        <f>IF($B130="","",IF(项目台账!$E129="","",项目台账!$E129))</f>
        <v/>
      </c>
      <c r="F130" s="23">
        <f>IF($B130="","",IF(项目台账!$F129="","",项目台账!$F129))</f>
        <v/>
      </c>
      <c r="G130" s="23">
        <f>IF($B130="","",IF(项目台账!$J129="","",项目台账!$J129))</f>
        <v/>
      </c>
      <c r="H130" s="17">
        <f>IF($B130="","",IF(项目台账!$Q129="","",项目台账!$Q129))</f>
        <v/>
      </c>
      <c r="I130" s="19">
        <f>IF($B130="","",项目台账!$M129)</f>
        <v/>
      </c>
      <c r="J130" s="19">
        <f>IF($B130="","",项目台账!$O129)</f>
        <v/>
      </c>
      <c r="K130" s="19">
        <f>IF($B130="","",项目台账!$P129)</f>
        <v/>
      </c>
      <c r="L130" s="19">
        <f>IF($B130="","",ROUND(SUMIFS(采购单!$L$4:$L$2003,采购单!$D$4:$D$2003,$B130,采购单!$F$4:$F$2003,"成本-主材")+SUMIFS(生产安装!$J$4:$J$1203,生产安装!$C$4:$C$1203,$B130,生产安装!$E$4:$E$1203,"成本-主材")+SUMIFS(资金日记账!$K$4:$K$2503,资金日记账!$G$4:$G$2503,$B130,资金日记账!$F$4:$F$2503,"成本-主材")-SUMIFS(资金日记账!$J$4:$J$2503,资金日记账!$G$4:$G$2503,$B130,资金日记账!$F$4:$F$2503,"成本-主材"),2))</f>
        <v/>
      </c>
      <c r="M130" s="19">
        <f>IF($B130="","",ROUND(SUMIFS(采购单!$L$4:$L$2003,采购单!$D$4:$D$2003,$B130,采购单!$F$4:$F$2003,"成本-辅材")+SUMIFS(生产安装!$J$4:$J$1203,生产安装!$C$4:$C$1203,$B130,生产安装!$E$4:$E$1203,"成本-辅材")+SUMIFS(资金日记账!$K$4:$K$2503,资金日记账!$G$4:$G$2503,$B130,资金日记账!$F$4:$F$2503,"成本-辅材")-SUMIFS(资金日记账!$J$4:$J$2503,资金日记账!$G$4:$G$2503,$B130,资金日记账!$F$4:$F$2503,"成本-辅材"),2))</f>
        <v/>
      </c>
      <c r="N130" s="19">
        <f>IF($B130="","",ROUND(SUMIFS(采购单!$L$4:$L$2003,采购单!$D$4:$D$2003,$B130,采购单!$F$4:$F$2003,"成本-人工")+SUMIFS(生产安装!$J$4:$J$1203,生产安装!$C$4:$C$1203,$B130,生产安装!$E$4:$E$1203,"成本-人工")+SUMIFS(资金日记账!$K$4:$K$2503,资金日记账!$G$4:$G$2503,$B130,资金日记账!$F$4:$F$2503,"成本-人工")-SUMIFS(资金日记账!$J$4:$J$2503,资金日记账!$G$4:$G$2503,$B130,资金日记账!$F$4:$F$2503,"成本-人工"),2))</f>
        <v/>
      </c>
      <c r="O130" s="19">
        <f>IF($B130="","",ROUND(SUMIFS(采购单!$L$4:$L$2003,采购单!$D$4:$D$2003,$B130,采购单!$F$4:$F$2003,"成本-车运")+SUMIFS(生产安装!$J$4:$J$1203,生产安装!$C$4:$C$1203,$B130,生产安装!$E$4:$E$1203,"成本-车运")+SUMIFS(资金日记账!$K$4:$K$2503,资金日记账!$G$4:$G$2503,$B130,资金日记账!$F$4:$F$2503,"成本-车运")-SUMIFS(资金日记账!$J$4:$J$2503,资金日记账!$G$4:$G$2503,$B130,资金日记账!$F$4:$F$2503,"成本-车运"),2))</f>
        <v/>
      </c>
      <c r="P130" s="19">
        <f>IF($B130="","",ROUND(SUMIFS(采购单!$L$4:$L$2003,采购单!$D$4:$D$2003,$B130,采购单!$F$4:$F$2003,"成本-其他")+SUMIFS(生产安装!$J$4:$J$1203,生产安装!$C$4:$C$1203,$B130,生产安装!$E$4:$E$1203,"成本-其他")+SUMIFS(资金日记账!$K$4:$K$2503,资金日记账!$G$4:$G$2503,$B130,资金日记账!$F$4:$F$2503,"成本-其他")-SUMIFS(资金日记账!$J$4:$J$2503,资金日记账!$G$4:$G$2503,$B130,资金日记账!$F$4:$F$2503,"成本-其他"),2))</f>
        <v/>
      </c>
      <c r="Q130" s="19">
        <f>IF($B130="","",ROUND(SUM($L130:$P130),2))</f>
        <v/>
      </c>
      <c r="R130" s="19">
        <f>IF($B130="","",ROUND($I130-$Q130,2))</f>
        <v/>
      </c>
      <c r="S130" s="33">
        <f>IF($B130="","",IF(ROUND($I130,2)=0,"",ROUND($R130/$I130,4)))</f>
        <v/>
      </c>
      <c r="T130" s="22">
        <f>IF($B130="","",IF($G130="",0,YEAR($G130)*100+MONTH($G130)))</f>
        <v/>
      </c>
      <c r="U130" s="17">
        <f>IF($B130="","",IF(项目台账!$R129="","",项目台账!$R129))</f>
        <v/>
      </c>
    </row>
    <row r="131">
      <c r="A131" s="17">
        <f>IF(项目台账!$B130="","",项目台账!$A130)</f>
        <v/>
      </c>
      <c r="B131" s="17">
        <f>IF(项目台账!$B130="","",项目台账!$B130)</f>
        <v/>
      </c>
      <c r="C131" s="17">
        <f>IF($B131="","",IF(项目台账!$C130="","",项目台账!$C130))</f>
        <v/>
      </c>
      <c r="D131" s="17">
        <f>IF($B131="","",IF(项目台账!$D130="","",项目台账!$D130))</f>
        <v/>
      </c>
      <c r="E131" s="17">
        <f>IF($B131="","",IF(项目台账!$E130="","",项目台账!$E130))</f>
        <v/>
      </c>
      <c r="F131" s="23">
        <f>IF($B131="","",IF(项目台账!$F130="","",项目台账!$F130))</f>
        <v/>
      </c>
      <c r="G131" s="23">
        <f>IF($B131="","",IF(项目台账!$J130="","",项目台账!$J130))</f>
        <v/>
      </c>
      <c r="H131" s="17">
        <f>IF($B131="","",IF(项目台账!$Q130="","",项目台账!$Q130))</f>
        <v/>
      </c>
      <c r="I131" s="19">
        <f>IF($B131="","",项目台账!$M130)</f>
        <v/>
      </c>
      <c r="J131" s="19">
        <f>IF($B131="","",项目台账!$O130)</f>
        <v/>
      </c>
      <c r="K131" s="19">
        <f>IF($B131="","",项目台账!$P130)</f>
        <v/>
      </c>
      <c r="L131" s="19">
        <f>IF($B131="","",ROUND(SUMIFS(采购单!$L$4:$L$2003,采购单!$D$4:$D$2003,$B131,采购单!$F$4:$F$2003,"成本-主材")+SUMIFS(生产安装!$J$4:$J$1203,生产安装!$C$4:$C$1203,$B131,生产安装!$E$4:$E$1203,"成本-主材")+SUMIFS(资金日记账!$K$4:$K$2503,资金日记账!$G$4:$G$2503,$B131,资金日记账!$F$4:$F$2503,"成本-主材")-SUMIFS(资金日记账!$J$4:$J$2503,资金日记账!$G$4:$G$2503,$B131,资金日记账!$F$4:$F$2503,"成本-主材"),2))</f>
        <v/>
      </c>
      <c r="M131" s="19">
        <f>IF($B131="","",ROUND(SUMIFS(采购单!$L$4:$L$2003,采购单!$D$4:$D$2003,$B131,采购单!$F$4:$F$2003,"成本-辅材")+SUMIFS(生产安装!$J$4:$J$1203,生产安装!$C$4:$C$1203,$B131,生产安装!$E$4:$E$1203,"成本-辅材")+SUMIFS(资金日记账!$K$4:$K$2503,资金日记账!$G$4:$G$2503,$B131,资金日记账!$F$4:$F$2503,"成本-辅材")-SUMIFS(资金日记账!$J$4:$J$2503,资金日记账!$G$4:$G$2503,$B131,资金日记账!$F$4:$F$2503,"成本-辅材"),2))</f>
        <v/>
      </c>
      <c r="N131" s="19">
        <f>IF($B131="","",ROUND(SUMIFS(采购单!$L$4:$L$2003,采购单!$D$4:$D$2003,$B131,采购单!$F$4:$F$2003,"成本-人工")+SUMIFS(生产安装!$J$4:$J$1203,生产安装!$C$4:$C$1203,$B131,生产安装!$E$4:$E$1203,"成本-人工")+SUMIFS(资金日记账!$K$4:$K$2503,资金日记账!$G$4:$G$2503,$B131,资金日记账!$F$4:$F$2503,"成本-人工")-SUMIFS(资金日记账!$J$4:$J$2503,资金日记账!$G$4:$G$2503,$B131,资金日记账!$F$4:$F$2503,"成本-人工"),2))</f>
        <v/>
      </c>
      <c r="O131" s="19">
        <f>IF($B131="","",ROUND(SUMIFS(采购单!$L$4:$L$2003,采购单!$D$4:$D$2003,$B131,采购单!$F$4:$F$2003,"成本-车运")+SUMIFS(生产安装!$J$4:$J$1203,生产安装!$C$4:$C$1203,$B131,生产安装!$E$4:$E$1203,"成本-车运")+SUMIFS(资金日记账!$K$4:$K$2503,资金日记账!$G$4:$G$2503,$B131,资金日记账!$F$4:$F$2503,"成本-车运")-SUMIFS(资金日记账!$J$4:$J$2503,资金日记账!$G$4:$G$2503,$B131,资金日记账!$F$4:$F$2503,"成本-车运"),2))</f>
        <v/>
      </c>
      <c r="P131" s="19">
        <f>IF($B131="","",ROUND(SUMIFS(采购单!$L$4:$L$2003,采购单!$D$4:$D$2003,$B131,采购单!$F$4:$F$2003,"成本-其他")+SUMIFS(生产安装!$J$4:$J$1203,生产安装!$C$4:$C$1203,$B131,生产安装!$E$4:$E$1203,"成本-其他")+SUMIFS(资金日记账!$K$4:$K$2503,资金日记账!$G$4:$G$2503,$B131,资金日记账!$F$4:$F$2503,"成本-其他")-SUMIFS(资金日记账!$J$4:$J$2503,资金日记账!$G$4:$G$2503,$B131,资金日记账!$F$4:$F$2503,"成本-其他"),2))</f>
        <v/>
      </c>
      <c r="Q131" s="19">
        <f>IF($B131="","",ROUND(SUM($L131:$P131),2))</f>
        <v/>
      </c>
      <c r="R131" s="19">
        <f>IF($B131="","",ROUND($I131-$Q131,2))</f>
        <v/>
      </c>
      <c r="S131" s="33">
        <f>IF($B131="","",IF(ROUND($I131,2)=0,"",ROUND($R131/$I131,4)))</f>
        <v/>
      </c>
      <c r="T131" s="22">
        <f>IF($B131="","",IF($G131="",0,YEAR($G131)*100+MONTH($G131)))</f>
        <v/>
      </c>
      <c r="U131" s="17">
        <f>IF($B131="","",IF(项目台账!$R130="","",项目台账!$R130))</f>
        <v/>
      </c>
    </row>
    <row r="132">
      <c r="A132" s="17">
        <f>IF(项目台账!$B131="","",项目台账!$A131)</f>
        <v/>
      </c>
      <c r="B132" s="17">
        <f>IF(项目台账!$B131="","",项目台账!$B131)</f>
        <v/>
      </c>
      <c r="C132" s="17">
        <f>IF($B132="","",IF(项目台账!$C131="","",项目台账!$C131))</f>
        <v/>
      </c>
      <c r="D132" s="17">
        <f>IF($B132="","",IF(项目台账!$D131="","",项目台账!$D131))</f>
        <v/>
      </c>
      <c r="E132" s="17">
        <f>IF($B132="","",IF(项目台账!$E131="","",项目台账!$E131))</f>
        <v/>
      </c>
      <c r="F132" s="23">
        <f>IF($B132="","",IF(项目台账!$F131="","",项目台账!$F131))</f>
        <v/>
      </c>
      <c r="G132" s="23">
        <f>IF($B132="","",IF(项目台账!$J131="","",项目台账!$J131))</f>
        <v/>
      </c>
      <c r="H132" s="17">
        <f>IF($B132="","",IF(项目台账!$Q131="","",项目台账!$Q131))</f>
        <v/>
      </c>
      <c r="I132" s="19">
        <f>IF($B132="","",项目台账!$M131)</f>
        <v/>
      </c>
      <c r="J132" s="19">
        <f>IF($B132="","",项目台账!$O131)</f>
        <v/>
      </c>
      <c r="K132" s="19">
        <f>IF($B132="","",项目台账!$P131)</f>
        <v/>
      </c>
      <c r="L132" s="19">
        <f>IF($B132="","",ROUND(SUMIFS(采购单!$L$4:$L$2003,采购单!$D$4:$D$2003,$B132,采购单!$F$4:$F$2003,"成本-主材")+SUMIFS(生产安装!$J$4:$J$1203,生产安装!$C$4:$C$1203,$B132,生产安装!$E$4:$E$1203,"成本-主材")+SUMIFS(资金日记账!$K$4:$K$2503,资金日记账!$G$4:$G$2503,$B132,资金日记账!$F$4:$F$2503,"成本-主材")-SUMIFS(资金日记账!$J$4:$J$2503,资金日记账!$G$4:$G$2503,$B132,资金日记账!$F$4:$F$2503,"成本-主材"),2))</f>
        <v/>
      </c>
      <c r="M132" s="19">
        <f>IF($B132="","",ROUND(SUMIFS(采购单!$L$4:$L$2003,采购单!$D$4:$D$2003,$B132,采购单!$F$4:$F$2003,"成本-辅材")+SUMIFS(生产安装!$J$4:$J$1203,生产安装!$C$4:$C$1203,$B132,生产安装!$E$4:$E$1203,"成本-辅材")+SUMIFS(资金日记账!$K$4:$K$2503,资金日记账!$G$4:$G$2503,$B132,资金日记账!$F$4:$F$2503,"成本-辅材")-SUMIFS(资金日记账!$J$4:$J$2503,资金日记账!$G$4:$G$2503,$B132,资金日记账!$F$4:$F$2503,"成本-辅材"),2))</f>
        <v/>
      </c>
      <c r="N132" s="19">
        <f>IF($B132="","",ROUND(SUMIFS(采购单!$L$4:$L$2003,采购单!$D$4:$D$2003,$B132,采购单!$F$4:$F$2003,"成本-人工")+SUMIFS(生产安装!$J$4:$J$1203,生产安装!$C$4:$C$1203,$B132,生产安装!$E$4:$E$1203,"成本-人工")+SUMIFS(资金日记账!$K$4:$K$2503,资金日记账!$G$4:$G$2503,$B132,资金日记账!$F$4:$F$2503,"成本-人工")-SUMIFS(资金日记账!$J$4:$J$2503,资金日记账!$G$4:$G$2503,$B132,资金日记账!$F$4:$F$2503,"成本-人工"),2))</f>
        <v/>
      </c>
      <c r="O132" s="19">
        <f>IF($B132="","",ROUND(SUMIFS(采购单!$L$4:$L$2003,采购单!$D$4:$D$2003,$B132,采购单!$F$4:$F$2003,"成本-车运")+SUMIFS(生产安装!$J$4:$J$1203,生产安装!$C$4:$C$1203,$B132,生产安装!$E$4:$E$1203,"成本-车运")+SUMIFS(资金日记账!$K$4:$K$2503,资金日记账!$G$4:$G$2503,$B132,资金日记账!$F$4:$F$2503,"成本-车运")-SUMIFS(资金日记账!$J$4:$J$2503,资金日记账!$G$4:$G$2503,$B132,资金日记账!$F$4:$F$2503,"成本-车运"),2))</f>
        <v/>
      </c>
      <c r="P132" s="19">
        <f>IF($B132="","",ROUND(SUMIFS(采购单!$L$4:$L$2003,采购单!$D$4:$D$2003,$B132,采购单!$F$4:$F$2003,"成本-其他")+SUMIFS(生产安装!$J$4:$J$1203,生产安装!$C$4:$C$1203,$B132,生产安装!$E$4:$E$1203,"成本-其他")+SUMIFS(资金日记账!$K$4:$K$2503,资金日记账!$G$4:$G$2503,$B132,资金日记账!$F$4:$F$2503,"成本-其他")-SUMIFS(资金日记账!$J$4:$J$2503,资金日记账!$G$4:$G$2503,$B132,资金日记账!$F$4:$F$2503,"成本-其他"),2))</f>
        <v/>
      </c>
      <c r="Q132" s="19">
        <f>IF($B132="","",ROUND(SUM($L132:$P132),2))</f>
        <v/>
      </c>
      <c r="R132" s="19">
        <f>IF($B132="","",ROUND($I132-$Q132,2))</f>
        <v/>
      </c>
      <c r="S132" s="33">
        <f>IF($B132="","",IF(ROUND($I132,2)=0,"",ROUND($R132/$I132,4)))</f>
        <v/>
      </c>
      <c r="T132" s="22">
        <f>IF($B132="","",IF($G132="",0,YEAR($G132)*100+MONTH($G132)))</f>
        <v/>
      </c>
      <c r="U132" s="17">
        <f>IF($B132="","",IF(项目台账!$R131="","",项目台账!$R131))</f>
        <v/>
      </c>
    </row>
    <row r="133">
      <c r="A133" s="17">
        <f>IF(项目台账!$B132="","",项目台账!$A132)</f>
        <v/>
      </c>
      <c r="B133" s="17">
        <f>IF(项目台账!$B132="","",项目台账!$B132)</f>
        <v/>
      </c>
      <c r="C133" s="17">
        <f>IF($B133="","",IF(项目台账!$C132="","",项目台账!$C132))</f>
        <v/>
      </c>
      <c r="D133" s="17">
        <f>IF($B133="","",IF(项目台账!$D132="","",项目台账!$D132))</f>
        <v/>
      </c>
      <c r="E133" s="17">
        <f>IF($B133="","",IF(项目台账!$E132="","",项目台账!$E132))</f>
        <v/>
      </c>
      <c r="F133" s="23">
        <f>IF($B133="","",IF(项目台账!$F132="","",项目台账!$F132))</f>
        <v/>
      </c>
      <c r="G133" s="23">
        <f>IF($B133="","",IF(项目台账!$J132="","",项目台账!$J132))</f>
        <v/>
      </c>
      <c r="H133" s="17">
        <f>IF($B133="","",IF(项目台账!$Q132="","",项目台账!$Q132))</f>
        <v/>
      </c>
      <c r="I133" s="19">
        <f>IF($B133="","",项目台账!$M132)</f>
        <v/>
      </c>
      <c r="J133" s="19">
        <f>IF($B133="","",项目台账!$O132)</f>
        <v/>
      </c>
      <c r="K133" s="19">
        <f>IF($B133="","",项目台账!$P132)</f>
        <v/>
      </c>
      <c r="L133" s="19">
        <f>IF($B133="","",ROUND(SUMIFS(采购单!$L$4:$L$2003,采购单!$D$4:$D$2003,$B133,采购单!$F$4:$F$2003,"成本-主材")+SUMIFS(生产安装!$J$4:$J$1203,生产安装!$C$4:$C$1203,$B133,生产安装!$E$4:$E$1203,"成本-主材")+SUMIFS(资金日记账!$K$4:$K$2503,资金日记账!$G$4:$G$2503,$B133,资金日记账!$F$4:$F$2503,"成本-主材")-SUMIFS(资金日记账!$J$4:$J$2503,资金日记账!$G$4:$G$2503,$B133,资金日记账!$F$4:$F$2503,"成本-主材"),2))</f>
        <v/>
      </c>
      <c r="M133" s="19">
        <f>IF($B133="","",ROUND(SUMIFS(采购单!$L$4:$L$2003,采购单!$D$4:$D$2003,$B133,采购单!$F$4:$F$2003,"成本-辅材")+SUMIFS(生产安装!$J$4:$J$1203,生产安装!$C$4:$C$1203,$B133,生产安装!$E$4:$E$1203,"成本-辅材")+SUMIFS(资金日记账!$K$4:$K$2503,资金日记账!$G$4:$G$2503,$B133,资金日记账!$F$4:$F$2503,"成本-辅材")-SUMIFS(资金日记账!$J$4:$J$2503,资金日记账!$G$4:$G$2503,$B133,资金日记账!$F$4:$F$2503,"成本-辅材"),2))</f>
        <v/>
      </c>
      <c r="N133" s="19">
        <f>IF($B133="","",ROUND(SUMIFS(采购单!$L$4:$L$2003,采购单!$D$4:$D$2003,$B133,采购单!$F$4:$F$2003,"成本-人工")+SUMIFS(生产安装!$J$4:$J$1203,生产安装!$C$4:$C$1203,$B133,生产安装!$E$4:$E$1203,"成本-人工")+SUMIFS(资金日记账!$K$4:$K$2503,资金日记账!$G$4:$G$2503,$B133,资金日记账!$F$4:$F$2503,"成本-人工")-SUMIFS(资金日记账!$J$4:$J$2503,资金日记账!$G$4:$G$2503,$B133,资金日记账!$F$4:$F$2503,"成本-人工"),2))</f>
        <v/>
      </c>
      <c r="O133" s="19">
        <f>IF($B133="","",ROUND(SUMIFS(采购单!$L$4:$L$2003,采购单!$D$4:$D$2003,$B133,采购单!$F$4:$F$2003,"成本-车运")+SUMIFS(生产安装!$J$4:$J$1203,生产安装!$C$4:$C$1203,$B133,生产安装!$E$4:$E$1203,"成本-车运")+SUMIFS(资金日记账!$K$4:$K$2503,资金日记账!$G$4:$G$2503,$B133,资金日记账!$F$4:$F$2503,"成本-车运")-SUMIFS(资金日记账!$J$4:$J$2503,资金日记账!$G$4:$G$2503,$B133,资金日记账!$F$4:$F$2503,"成本-车运"),2))</f>
        <v/>
      </c>
      <c r="P133" s="19">
        <f>IF($B133="","",ROUND(SUMIFS(采购单!$L$4:$L$2003,采购单!$D$4:$D$2003,$B133,采购单!$F$4:$F$2003,"成本-其他")+SUMIFS(生产安装!$J$4:$J$1203,生产安装!$C$4:$C$1203,$B133,生产安装!$E$4:$E$1203,"成本-其他")+SUMIFS(资金日记账!$K$4:$K$2503,资金日记账!$G$4:$G$2503,$B133,资金日记账!$F$4:$F$2503,"成本-其他")-SUMIFS(资金日记账!$J$4:$J$2503,资金日记账!$G$4:$G$2503,$B133,资金日记账!$F$4:$F$2503,"成本-其他"),2))</f>
        <v/>
      </c>
      <c r="Q133" s="19">
        <f>IF($B133="","",ROUND(SUM($L133:$P133),2))</f>
        <v/>
      </c>
      <c r="R133" s="19">
        <f>IF($B133="","",ROUND($I133-$Q133,2))</f>
        <v/>
      </c>
      <c r="S133" s="33">
        <f>IF($B133="","",IF(ROUND($I133,2)=0,"",ROUND($R133/$I133,4)))</f>
        <v/>
      </c>
      <c r="T133" s="22">
        <f>IF($B133="","",IF($G133="",0,YEAR($G133)*100+MONTH($G133)))</f>
        <v/>
      </c>
      <c r="U133" s="17">
        <f>IF($B133="","",IF(项目台账!$R132="","",项目台账!$R132))</f>
        <v/>
      </c>
    </row>
    <row r="134">
      <c r="A134" s="17">
        <f>IF(项目台账!$B133="","",项目台账!$A133)</f>
        <v/>
      </c>
      <c r="B134" s="17">
        <f>IF(项目台账!$B133="","",项目台账!$B133)</f>
        <v/>
      </c>
      <c r="C134" s="17">
        <f>IF($B134="","",IF(项目台账!$C133="","",项目台账!$C133))</f>
        <v/>
      </c>
      <c r="D134" s="17">
        <f>IF($B134="","",IF(项目台账!$D133="","",项目台账!$D133))</f>
        <v/>
      </c>
      <c r="E134" s="17">
        <f>IF($B134="","",IF(项目台账!$E133="","",项目台账!$E133))</f>
        <v/>
      </c>
      <c r="F134" s="23">
        <f>IF($B134="","",IF(项目台账!$F133="","",项目台账!$F133))</f>
        <v/>
      </c>
      <c r="G134" s="23">
        <f>IF($B134="","",IF(项目台账!$J133="","",项目台账!$J133))</f>
        <v/>
      </c>
      <c r="H134" s="17">
        <f>IF($B134="","",IF(项目台账!$Q133="","",项目台账!$Q133))</f>
        <v/>
      </c>
      <c r="I134" s="19">
        <f>IF($B134="","",项目台账!$M133)</f>
        <v/>
      </c>
      <c r="J134" s="19">
        <f>IF($B134="","",项目台账!$O133)</f>
        <v/>
      </c>
      <c r="K134" s="19">
        <f>IF($B134="","",项目台账!$P133)</f>
        <v/>
      </c>
      <c r="L134" s="19">
        <f>IF($B134="","",ROUND(SUMIFS(采购单!$L$4:$L$2003,采购单!$D$4:$D$2003,$B134,采购单!$F$4:$F$2003,"成本-主材")+SUMIFS(生产安装!$J$4:$J$1203,生产安装!$C$4:$C$1203,$B134,生产安装!$E$4:$E$1203,"成本-主材")+SUMIFS(资金日记账!$K$4:$K$2503,资金日记账!$G$4:$G$2503,$B134,资金日记账!$F$4:$F$2503,"成本-主材")-SUMIFS(资金日记账!$J$4:$J$2503,资金日记账!$G$4:$G$2503,$B134,资金日记账!$F$4:$F$2503,"成本-主材"),2))</f>
        <v/>
      </c>
      <c r="M134" s="19">
        <f>IF($B134="","",ROUND(SUMIFS(采购单!$L$4:$L$2003,采购单!$D$4:$D$2003,$B134,采购单!$F$4:$F$2003,"成本-辅材")+SUMIFS(生产安装!$J$4:$J$1203,生产安装!$C$4:$C$1203,$B134,生产安装!$E$4:$E$1203,"成本-辅材")+SUMIFS(资金日记账!$K$4:$K$2503,资金日记账!$G$4:$G$2503,$B134,资金日记账!$F$4:$F$2503,"成本-辅材")-SUMIFS(资金日记账!$J$4:$J$2503,资金日记账!$G$4:$G$2503,$B134,资金日记账!$F$4:$F$2503,"成本-辅材"),2))</f>
        <v/>
      </c>
      <c r="N134" s="19">
        <f>IF($B134="","",ROUND(SUMIFS(采购单!$L$4:$L$2003,采购单!$D$4:$D$2003,$B134,采购单!$F$4:$F$2003,"成本-人工")+SUMIFS(生产安装!$J$4:$J$1203,生产安装!$C$4:$C$1203,$B134,生产安装!$E$4:$E$1203,"成本-人工")+SUMIFS(资金日记账!$K$4:$K$2503,资金日记账!$G$4:$G$2503,$B134,资金日记账!$F$4:$F$2503,"成本-人工")-SUMIFS(资金日记账!$J$4:$J$2503,资金日记账!$G$4:$G$2503,$B134,资金日记账!$F$4:$F$2503,"成本-人工"),2))</f>
        <v/>
      </c>
      <c r="O134" s="19">
        <f>IF($B134="","",ROUND(SUMIFS(采购单!$L$4:$L$2003,采购单!$D$4:$D$2003,$B134,采购单!$F$4:$F$2003,"成本-车运")+SUMIFS(生产安装!$J$4:$J$1203,生产安装!$C$4:$C$1203,$B134,生产安装!$E$4:$E$1203,"成本-车运")+SUMIFS(资金日记账!$K$4:$K$2503,资金日记账!$G$4:$G$2503,$B134,资金日记账!$F$4:$F$2503,"成本-车运")-SUMIFS(资金日记账!$J$4:$J$2503,资金日记账!$G$4:$G$2503,$B134,资金日记账!$F$4:$F$2503,"成本-车运"),2))</f>
        <v/>
      </c>
      <c r="P134" s="19">
        <f>IF($B134="","",ROUND(SUMIFS(采购单!$L$4:$L$2003,采购单!$D$4:$D$2003,$B134,采购单!$F$4:$F$2003,"成本-其他")+SUMIFS(生产安装!$J$4:$J$1203,生产安装!$C$4:$C$1203,$B134,生产安装!$E$4:$E$1203,"成本-其他")+SUMIFS(资金日记账!$K$4:$K$2503,资金日记账!$G$4:$G$2503,$B134,资金日记账!$F$4:$F$2503,"成本-其他")-SUMIFS(资金日记账!$J$4:$J$2503,资金日记账!$G$4:$G$2503,$B134,资金日记账!$F$4:$F$2503,"成本-其他"),2))</f>
        <v/>
      </c>
      <c r="Q134" s="19">
        <f>IF($B134="","",ROUND(SUM($L134:$P134),2))</f>
        <v/>
      </c>
      <c r="R134" s="19">
        <f>IF($B134="","",ROUND($I134-$Q134,2))</f>
        <v/>
      </c>
      <c r="S134" s="33">
        <f>IF($B134="","",IF(ROUND($I134,2)=0,"",ROUND($R134/$I134,4)))</f>
        <v/>
      </c>
      <c r="T134" s="22">
        <f>IF($B134="","",IF($G134="",0,YEAR($G134)*100+MONTH($G134)))</f>
        <v/>
      </c>
      <c r="U134" s="17">
        <f>IF($B134="","",IF(项目台账!$R133="","",项目台账!$R133))</f>
        <v/>
      </c>
    </row>
    <row r="135">
      <c r="A135" s="17">
        <f>IF(项目台账!$B134="","",项目台账!$A134)</f>
        <v/>
      </c>
      <c r="B135" s="17">
        <f>IF(项目台账!$B134="","",项目台账!$B134)</f>
        <v/>
      </c>
      <c r="C135" s="17">
        <f>IF($B135="","",IF(项目台账!$C134="","",项目台账!$C134))</f>
        <v/>
      </c>
      <c r="D135" s="17">
        <f>IF($B135="","",IF(项目台账!$D134="","",项目台账!$D134))</f>
        <v/>
      </c>
      <c r="E135" s="17">
        <f>IF($B135="","",IF(项目台账!$E134="","",项目台账!$E134))</f>
        <v/>
      </c>
      <c r="F135" s="23">
        <f>IF($B135="","",IF(项目台账!$F134="","",项目台账!$F134))</f>
        <v/>
      </c>
      <c r="G135" s="23">
        <f>IF($B135="","",IF(项目台账!$J134="","",项目台账!$J134))</f>
        <v/>
      </c>
      <c r="H135" s="17">
        <f>IF($B135="","",IF(项目台账!$Q134="","",项目台账!$Q134))</f>
        <v/>
      </c>
      <c r="I135" s="19">
        <f>IF($B135="","",项目台账!$M134)</f>
        <v/>
      </c>
      <c r="J135" s="19">
        <f>IF($B135="","",项目台账!$O134)</f>
        <v/>
      </c>
      <c r="K135" s="19">
        <f>IF($B135="","",项目台账!$P134)</f>
        <v/>
      </c>
      <c r="L135" s="19">
        <f>IF($B135="","",ROUND(SUMIFS(采购单!$L$4:$L$2003,采购单!$D$4:$D$2003,$B135,采购单!$F$4:$F$2003,"成本-主材")+SUMIFS(生产安装!$J$4:$J$1203,生产安装!$C$4:$C$1203,$B135,生产安装!$E$4:$E$1203,"成本-主材")+SUMIFS(资金日记账!$K$4:$K$2503,资金日记账!$G$4:$G$2503,$B135,资金日记账!$F$4:$F$2503,"成本-主材")-SUMIFS(资金日记账!$J$4:$J$2503,资金日记账!$G$4:$G$2503,$B135,资金日记账!$F$4:$F$2503,"成本-主材"),2))</f>
        <v/>
      </c>
      <c r="M135" s="19">
        <f>IF($B135="","",ROUND(SUMIFS(采购单!$L$4:$L$2003,采购单!$D$4:$D$2003,$B135,采购单!$F$4:$F$2003,"成本-辅材")+SUMIFS(生产安装!$J$4:$J$1203,生产安装!$C$4:$C$1203,$B135,生产安装!$E$4:$E$1203,"成本-辅材")+SUMIFS(资金日记账!$K$4:$K$2503,资金日记账!$G$4:$G$2503,$B135,资金日记账!$F$4:$F$2503,"成本-辅材")-SUMIFS(资金日记账!$J$4:$J$2503,资金日记账!$G$4:$G$2503,$B135,资金日记账!$F$4:$F$2503,"成本-辅材"),2))</f>
        <v/>
      </c>
      <c r="N135" s="19">
        <f>IF($B135="","",ROUND(SUMIFS(采购单!$L$4:$L$2003,采购单!$D$4:$D$2003,$B135,采购单!$F$4:$F$2003,"成本-人工")+SUMIFS(生产安装!$J$4:$J$1203,生产安装!$C$4:$C$1203,$B135,生产安装!$E$4:$E$1203,"成本-人工")+SUMIFS(资金日记账!$K$4:$K$2503,资金日记账!$G$4:$G$2503,$B135,资金日记账!$F$4:$F$2503,"成本-人工")-SUMIFS(资金日记账!$J$4:$J$2503,资金日记账!$G$4:$G$2503,$B135,资金日记账!$F$4:$F$2503,"成本-人工"),2))</f>
        <v/>
      </c>
      <c r="O135" s="19">
        <f>IF($B135="","",ROUND(SUMIFS(采购单!$L$4:$L$2003,采购单!$D$4:$D$2003,$B135,采购单!$F$4:$F$2003,"成本-车运")+SUMIFS(生产安装!$J$4:$J$1203,生产安装!$C$4:$C$1203,$B135,生产安装!$E$4:$E$1203,"成本-车运")+SUMIFS(资金日记账!$K$4:$K$2503,资金日记账!$G$4:$G$2503,$B135,资金日记账!$F$4:$F$2503,"成本-车运")-SUMIFS(资金日记账!$J$4:$J$2503,资金日记账!$G$4:$G$2503,$B135,资金日记账!$F$4:$F$2503,"成本-车运"),2))</f>
        <v/>
      </c>
      <c r="P135" s="19">
        <f>IF($B135="","",ROUND(SUMIFS(采购单!$L$4:$L$2003,采购单!$D$4:$D$2003,$B135,采购单!$F$4:$F$2003,"成本-其他")+SUMIFS(生产安装!$J$4:$J$1203,生产安装!$C$4:$C$1203,$B135,生产安装!$E$4:$E$1203,"成本-其他")+SUMIFS(资金日记账!$K$4:$K$2503,资金日记账!$G$4:$G$2503,$B135,资金日记账!$F$4:$F$2503,"成本-其他")-SUMIFS(资金日记账!$J$4:$J$2503,资金日记账!$G$4:$G$2503,$B135,资金日记账!$F$4:$F$2503,"成本-其他"),2))</f>
        <v/>
      </c>
      <c r="Q135" s="19">
        <f>IF($B135="","",ROUND(SUM($L135:$P135),2))</f>
        <v/>
      </c>
      <c r="R135" s="19">
        <f>IF($B135="","",ROUND($I135-$Q135,2))</f>
        <v/>
      </c>
      <c r="S135" s="33">
        <f>IF($B135="","",IF(ROUND($I135,2)=0,"",ROUND($R135/$I135,4)))</f>
        <v/>
      </c>
      <c r="T135" s="22">
        <f>IF($B135="","",IF($G135="",0,YEAR($G135)*100+MONTH($G135)))</f>
        <v/>
      </c>
      <c r="U135" s="17">
        <f>IF($B135="","",IF(项目台账!$R134="","",项目台账!$R134))</f>
        <v/>
      </c>
    </row>
    <row r="136">
      <c r="A136" s="17">
        <f>IF(项目台账!$B135="","",项目台账!$A135)</f>
        <v/>
      </c>
      <c r="B136" s="17">
        <f>IF(项目台账!$B135="","",项目台账!$B135)</f>
        <v/>
      </c>
      <c r="C136" s="17">
        <f>IF($B136="","",IF(项目台账!$C135="","",项目台账!$C135))</f>
        <v/>
      </c>
      <c r="D136" s="17">
        <f>IF($B136="","",IF(项目台账!$D135="","",项目台账!$D135))</f>
        <v/>
      </c>
      <c r="E136" s="17">
        <f>IF($B136="","",IF(项目台账!$E135="","",项目台账!$E135))</f>
        <v/>
      </c>
      <c r="F136" s="23">
        <f>IF($B136="","",IF(项目台账!$F135="","",项目台账!$F135))</f>
        <v/>
      </c>
      <c r="G136" s="23">
        <f>IF($B136="","",IF(项目台账!$J135="","",项目台账!$J135))</f>
        <v/>
      </c>
      <c r="H136" s="17">
        <f>IF($B136="","",IF(项目台账!$Q135="","",项目台账!$Q135))</f>
        <v/>
      </c>
      <c r="I136" s="19">
        <f>IF($B136="","",项目台账!$M135)</f>
        <v/>
      </c>
      <c r="J136" s="19">
        <f>IF($B136="","",项目台账!$O135)</f>
        <v/>
      </c>
      <c r="K136" s="19">
        <f>IF($B136="","",项目台账!$P135)</f>
        <v/>
      </c>
      <c r="L136" s="19">
        <f>IF($B136="","",ROUND(SUMIFS(采购单!$L$4:$L$2003,采购单!$D$4:$D$2003,$B136,采购单!$F$4:$F$2003,"成本-主材")+SUMIFS(生产安装!$J$4:$J$1203,生产安装!$C$4:$C$1203,$B136,生产安装!$E$4:$E$1203,"成本-主材")+SUMIFS(资金日记账!$K$4:$K$2503,资金日记账!$G$4:$G$2503,$B136,资金日记账!$F$4:$F$2503,"成本-主材")-SUMIFS(资金日记账!$J$4:$J$2503,资金日记账!$G$4:$G$2503,$B136,资金日记账!$F$4:$F$2503,"成本-主材"),2))</f>
        <v/>
      </c>
      <c r="M136" s="19">
        <f>IF($B136="","",ROUND(SUMIFS(采购单!$L$4:$L$2003,采购单!$D$4:$D$2003,$B136,采购单!$F$4:$F$2003,"成本-辅材")+SUMIFS(生产安装!$J$4:$J$1203,生产安装!$C$4:$C$1203,$B136,生产安装!$E$4:$E$1203,"成本-辅材")+SUMIFS(资金日记账!$K$4:$K$2503,资金日记账!$G$4:$G$2503,$B136,资金日记账!$F$4:$F$2503,"成本-辅材")-SUMIFS(资金日记账!$J$4:$J$2503,资金日记账!$G$4:$G$2503,$B136,资金日记账!$F$4:$F$2503,"成本-辅材"),2))</f>
        <v/>
      </c>
      <c r="N136" s="19">
        <f>IF($B136="","",ROUND(SUMIFS(采购单!$L$4:$L$2003,采购单!$D$4:$D$2003,$B136,采购单!$F$4:$F$2003,"成本-人工")+SUMIFS(生产安装!$J$4:$J$1203,生产安装!$C$4:$C$1203,$B136,生产安装!$E$4:$E$1203,"成本-人工")+SUMIFS(资金日记账!$K$4:$K$2503,资金日记账!$G$4:$G$2503,$B136,资金日记账!$F$4:$F$2503,"成本-人工")-SUMIFS(资金日记账!$J$4:$J$2503,资金日记账!$G$4:$G$2503,$B136,资金日记账!$F$4:$F$2503,"成本-人工"),2))</f>
        <v/>
      </c>
      <c r="O136" s="19">
        <f>IF($B136="","",ROUND(SUMIFS(采购单!$L$4:$L$2003,采购单!$D$4:$D$2003,$B136,采购单!$F$4:$F$2003,"成本-车运")+SUMIFS(生产安装!$J$4:$J$1203,生产安装!$C$4:$C$1203,$B136,生产安装!$E$4:$E$1203,"成本-车运")+SUMIFS(资金日记账!$K$4:$K$2503,资金日记账!$G$4:$G$2503,$B136,资金日记账!$F$4:$F$2503,"成本-车运")-SUMIFS(资金日记账!$J$4:$J$2503,资金日记账!$G$4:$G$2503,$B136,资金日记账!$F$4:$F$2503,"成本-车运"),2))</f>
        <v/>
      </c>
      <c r="P136" s="19">
        <f>IF($B136="","",ROUND(SUMIFS(采购单!$L$4:$L$2003,采购单!$D$4:$D$2003,$B136,采购单!$F$4:$F$2003,"成本-其他")+SUMIFS(生产安装!$J$4:$J$1203,生产安装!$C$4:$C$1203,$B136,生产安装!$E$4:$E$1203,"成本-其他")+SUMIFS(资金日记账!$K$4:$K$2503,资金日记账!$G$4:$G$2503,$B136,资金日记账!$F$4:$F$2503,"成本-其他")-SUMIFS(资金日记账!$J$4:$J$2503,资金日记账!$G$4:$G$2503,$B136,资金日记账!$F$4:$F$2503,"成本-其他"),2))</f>
        <v/>
      </c>
      <c r="Q136" s="19">
        <f>IF($B136="","",ROUND(SUM($L136:$P136),2))</f>
        <v/>
      </c>
      <c r="R136" s="19">
        <f>IF($B136="","",ROUND($I136-$Q136,2))</f>
        <v/>
      </c>
      <c r="S136" s="33">
        <f>IF($B136="","",IF(ROUND($I136,2)=0,"",ROUND($R136/$I136,4)))</f>
        <v/>
      </c>
      <c r="T136" s="22">
        <f>IF($B136="","",IF($G136="",0,YEAR($G136)*100+MONTH($G136)))</f>
        <v/>
      </c>
      <c r="U136" s="17">
        <f>IF($B136="","",IF(项目台账!$R135="","",项目台账!$R135))</f>
        <v/>
      </c>
    </row>
    <row r="137">
      <c r="A137" s="17">
        <f>IF(项目台账!$B136="","",项目台账!$A136)</f>
        <v/>
      </c>
      <c r="B137" s="17">
        <f>IF(项目台账!$B136="","",项目台账!$B136)</f>
        <v/>
      </c>
      <c r="C137" s="17">
        <f>IF($B137="","",IF(项目台账!$C136="","",项目台账!$C136))</f>
        <v/>
      </c>
      <c r="D137" s="17">
        <f>IF($B137="","",IF(项目台账!$D136="","",项目台账!$D136))</f>
        <v/>
      </c>
      <c r="E137" s="17">
        <f>IF($B137="","",IF(项目台账!$E136="","",项目台账!$E136))</f>
        <v/>
      </c>
      <c r="F137" s="23">
        <f>IF($B137="","",IF(项目台账!$F136="","",项目台账!$F136))</f>
        <v/>
      </c>
      <c r="G137" s="23">
        <f>IF($B137="","",IF(项目台账!$J136="","",项目台账!$J136))</f>
        <v/>
      </c>
      <c r="H137" s="17">
        <f>IF($B137="","",IF(项目台账!$Q136="","",项目台账!$Q136))</f>
        <v/>
      </c>
      <c r="I137" s="19">
        <f>IF($B137="","",项目台账!$M136)</f>
        <v/>
      </c>
      <c r="J137" s="19">
        <f>IF($B137="","",项目台账!$O136)</f>
        <v/>
      </c>
      <c r="K137" s="19">
        <f>IF($B137="","",项目台账!$P136)</f>
        <v/>
      </c>
      <c r="L137" s="19">
        <f>IF($B137="","",ROUND(SUMIFS(采购单!$L$4:$L$2003,采购单!$D$4:$D$2003,$B137,采购单!$F$4:$F$2003,"成本-主材")+SUMIFS(生产安装!$J$4:$J$1203,生产安装!$C$4:$C$1203,$B137,生产安装!$E$4:$E$1203,"成本-主材")+SUMIFS(资金日记账!$K$4:$K$2503,资金日记账!$G$4:$G$2503,$B137,资金日记账!$F$4:$F$2503,"成本-主材")-SUMIFS(资金日记账!$J$4:$J$2503,资金日记账!$G$4:$G$2503,$B137,资金日记账!$F$4:$F$2503,"成本-主材"),2))</f>
        <v/>
      </c>
      <c r="M137" s="19">
        <f>IF($B137="","",ROUND(SUMIFS(采购单!$L$4:$L$2003,采购单!$D$4:$D$2003,$B137,采购单!$F$4:$F$2003,"成本-辅材")+SUMIFS(生产安装!$J$4:$J$1203,生产安装!$C$4:$C$1203,$B137,生产安装!$E$4:$E$1203,"成本-辅材")+SUMIFS(资金日记账!$K$4:$K$2503,资金日记账!$G$4:$G$2503,$B137,资金日记账!$F$4:$F$2503,"成本-辅材")-SUMIFS(资金日记账!$J$4:$J$2503,资金日记账!$G$4:$G$2503,$B137,资金日记账!$F$4:$F$2503,"成本-辅材"),2))</f>
        <v/>
      </c>
      <c r="N137" s="19">
        <f>IF($B137="","",ROUND(SUMIFS(采购单!$L$4:$L$2003,采购单!$D$4:$D$2003,$B137,采购单!$F$4:$F$2003,"成本-人工")+SUMIFS(生产安装!$J$4:$J$1203,生产安装!$C$4:$C$1203,$B137,生产安装!$E$4:$E$1203,"成本-人工")+SUMIFS(资金日记账!$K$4:$K$2503,资金日记账!$G$4:$G$2503,$B137,资金日记账!$F$4:$F$2503,"成本-人工")-SUMIFS(资金日记账!$J$4:$J$2503,资金日记账!$G$4:$G$2503,$B137,资金日记账!$F$4:$F$2503,"成本-人工"),2))</f>
        <v/>
      </c>
      <c r="O137" s="19">
        <f>IF($B137="","",ROUND(SUMIFS(采购单!$L$4:$L$2003,采购单!$D$4:$D$2003,$B137,采购单!$F$4:$F$2003,"成本-车运")+SUMIFS(生产安装!$J$4:$J$1203,生产安装!$C$4:$C$1203,$B137,生产安装!$E$4:$E$1203,"成本-车运")+SUMIFS(资金日记账!$K$4:$K$2503,资金日记账!$G$4:$G$2503,$B137,资金日记账!$F$4:$F$2503,"成本-车运")-SUMIFS(资金日记账!$J$4:$J$2503,资金日记账!$G$4:$G$2503,$B137,资金日记账!$F$4:$F$2503,"成本-车运"),2))</f>
        <v/>
      </c>
      <c r="P137" s="19">
        <f>IF($B137="","",ROUND(SUMIFS(采购单!$L$4:$L$2003,采购单!$D$4:$D$2003,$B137,采购单!$F$4:$F$2003,"成本-其他")+SUMIFS(生产安装!$J$4:$J$1203,生产安装!$C$4:$C$1203,$B137,生产安装!$E$4:$E$1203,"成本-其他")+SUMIFS(资金日记账!$K$4:$K$2503,资金日记账!$G$4:$G$2503,$B137,资金日记账!$F$4:$F$2503,"成本-其他")-SUMIFS(资金日记账!$J$4:$J$2503,资金日记账!$G$4:$G$2503,$B137,资金日记账!$F$4:$F$2503,"成本-其他"),2))</f>
        <v/>
      </c>
      <c r="Q137" s="19">
        <f>IF($B137="","",ROUND(SUM($L137:$P137),2))</f>
        <v/>
      </c>
      <c r="R137" s="19">
        <f>IF($B137="","",ROUND($I137-$Q137,2))</f>
        <v/>
      </c>
      <c r="S137" s="33">
        <f>IF($B137="","",IF(ROUND($I137,2)=0,"",ROUND($R137/$I137,4)))</f>
        <v/>
      </c>
      <c r="T137" s="22">
        <f>IF($B137="","",IF($G137="",0,YEAR($G137)*100+MONTH($G137)))</f>
        <v/>
      </c>
      <c r="U137" s="17">
        <f>IF($B137="","",IF(项目台账!$R136="","",项目台账!$R136))</f>
        <v/>
      </c>
    </row>
    <row r="138">
      <c r="A138" s="17">
        <f>IF(项目台账!$B137="","",项目台账!$A137)</f>
        <v/>
      </c>
      <c r="B138" s="17">
        <f>IF(项目台账!$B137="","",项目台账!$B137)</f>
        <v/>
      </c>
      <c r="C138" s="17">
        <f>IF($B138="","",IF(项目台账!$C137="","",项目台账!$C137))</f>
        <v/>
      </c>
      <c r="D138" s="17">
        <f>IF($B138="","",IF(项目台账!$D137="","",项目台账!$D137))</f>
        <v/>
      </c>
      <c r="E138" s="17">
        <f>IF($B138="","",IF(项目台账!$E137="","",项目台账!$E137))</f>
        <v/>
      </c>
      <c r="F138" s="23">
        <f>IF($B138="","",IF(项目台账!$F137="","",项目台账!$F137))</f>
        <v/>
      </c>
      <c r="G138" s="23">
        <f>IF($B138="","",IF(项目台账!$J137="","",项目台账!$J137))</f>
        <v/>
      </c>
      <c r="H138" s="17">
        <f>IF($B138="","",IF(项目台账!$Q137="","",项目台账!$Q137))</f>
        <v/>
      </c>
      <c r="I138" s="19">
        <f>IF($B138="","",项目台账!$M137)</f>
        <v/>
      </c>
      <c r="J138" s="19">
        <f>IF($B138="","",项目台账!$O137)</f>
        <v/>
      </c>
      <c r="K138" s="19">
        <f>IF($B138="","",项目台账!$P137)</f>
        <v/>
      </c>
      <c r="L138" s="19">
        <f>IF($B138="","",ROUND(SUMIFS(采购单!$L$4:$L$2003,采购单!$D$4:$D$2003,$B138,采购单!$F$4:$F$2003,"成本-主材")+SUMIFS(生产安装!$J$4:$J$1203,生产安装!$C$4:$C$1203,$B138,生产安装!$E$4:$E$1203,"成本-主材")+SUMIFS(资金日记账!$K$4:$K$2503,资金日记账!$G$4:$G$2503,$B138,资金日记账!$F$4:$F$2503,"成本-主材")-SUMIFS(资金日记账!$J$4:$J$2503,资金日记账!$G$4:$G$2503,$B138,资金日记账!$F$4:$F$2503,"成本-主材"),2))</f>
        <v/>
      </c>
      <c r="M138" s="19">
        <f>IF($B138="","",ROUND(SUMIFS(采购单!$L$4:$L$2003,采购单!$D$4:$D$2003,$B138,采购单!$F$4:$F$2003,"成本-辅材")+SUMIFS(生产安装!$J$4:$J$1203,生产安装!$C$4:$C$1203,$B138,生产安装!$E$4:$E$1203,"成本-辅材")+SUMIFS(资金日记账!$K$4:$K$2503,资金日记账!$G$4:$G$2503,$B138,资金日记账!$F$4:$F$2503,"成本-辅材")-SUMIFS(资金日记账!$J$4:$J$2503,资金日记账!$G$4:$G$2503,$B138,资金日记账!$F$4:$F$2503,"成本-辅材"),2))</f>
        <v/>
      </c>
      <c r="N138" s="19">
        <f>IF($B138="","",ROUND(SUMIFS(采购单!$L$4:$L$2003,采购单!$D$4:$D$2003,$B138,采购单!$F$4:$F$2003,"成本-人工")+SUMIFS(生产安装!$J$4:$J$1203,生产安装!$C$4:$C$1203,$B138,生产安装!$E$4:$E$1203,"成本-人工")+SUMIFS(资金日记账!$K$4:$K$2503,资金日记账!$G$4:$G$2503,$B138,资金日记账!$F$4:$F$2503,"成本-人工")-SUMIFS(资金日记账!$J$4:$J$2503,资金日记账!$G$4:$G$2503,$B138,资金日记账!$F$4:$F$2503,"成本-人工"),2))</f>
        <v/>
      </c>
      <c r="O138" s="19">
        <f>IF($B138="","",ROUND(SUMIFS(采购单!$L$4:$L$2003,采购单!$D$4:$D$2003,$B138,采购单!$F$4:$F$2003,"成本-车运")+SUMIFS(生产安装!$J$4:$J$1203,生产安装!$C$4:$C$1203,$B138,生产安装!$E$4:$E$1203,"成本-车运")+SUMIFS(资金日记账!$K$4:$K$2503,资金日记账!$G$4:$G$2503,$B138,资金日记账!$F$4:$F$2503,"成本-车运")-SUMIFS(资金日记账!$J$4:$J$2503,资金日记账!$G$4:$G$2503,$B138,资金日记账!$F$4:$F$2503,"成本-车运"),2))</f>
        <v/>
      </c>
      <c r="P138" s="19">
        <f>IF($B138="","",ROUND(SUMIFS(采购单!$L$4:$L$2003,采购单!$D$4:$D$2003,$B138,采购单!$F$4:$F$2003,"成本-其他")+SUMIFS(生产安装!$J$4:$J$1203,生产安装!$C$4:$C$1203,$B138,生产安装!$E$4:$E$1203,"成本-其他")+SUMIFS(资金日记账!$K$4:$K$2503,资金日记账!$G$4:$G$2503,$B138,资金日记账!$F$4:$F$2503,"成本-其他")-SUMIFS(资金日记账!$J$4:$J$2503,资金日记账!$G$4:$G$2503,$B138,资金日记账!$F$4:$F$2503,"成本-其他"),2))</f>
        <v/>
      </c>
      <c r="Q138" s="19">
        <f>IF($B138="","",ROUND(SUM($L138:$P138),2))</f>
        <v/>
      </c>
      <c r="R138" s="19">
        <f>IF($B138="","",ROUND($I138-$Q138,2))</f>
        <v/>
      </c>
      <c r="S138" s="33">
        <f>IF($B138="","",IF(ROUND($I138,2)=0,"",ROUND($R138/$I138,4)))</f>
        <v/>
      </c>
      <c r="T138" s="22">
        <f>IF($B138="","",IF($G138="",0,YEAR($G138)*100+MONTH($G138)))</f>
        <v/>
      </c>
      <c r="U138" s="17">
        <f>IF($B138="","",IF(项目台账!$R137="","",项目台账!$R137))</f>
        <v/>
      </c>
    </row>
    <row r="139">
      <c r="A139" s="17">
        <f>IF(项目台账!$B138="","",项目台账!$A138)</f>
        <v/>
      </c>
      <c r="B139" s="17">
        <f>IF(项目台账!$B138="","",项目台账!$B138)</f>
        <v/>
      </c>
      <c r="C139" s="17">
        <f>IF($B139="","",IF(项目台账!$C138="","",项目台账!$C138))</f>
        <v/>
      </c>
      <c r="D139" s="17">
        <f>IF($B139="","",IF(项目台账!$D138="","",项目台账!$D138))</f>
        <v/>
      </c>
      <c r="E139" s="17">
        <f>IF($B139="","",IF(项目台账!$E138="","",项目台账!$E138))</f>
        <v/>
      </c>
      <c r="F139" s="23">
        <f>IF($B139="","",IF(项目台账!$F138="","",项目台账!$F138))</f>
        <v/>
      </c>
      <c r="G139" s="23">
        <f>IF($B139="","",IF(项目台账!$J138="","",项目台账!$J138))</f>
        <v/>
      </c>
      <c r="H139" s="17">
        <f>IF($B139="","",IF(项目台账!$Q138="","",项目台账!$Q138))</f>
        <v/>
      </c>
      <c r="I139" s="19">
        <f>IF($B139="","",项目台账!$M138)</f>
        <v/>
      </c>
      <c r="J139" s="19">
        <f>IF($B139="","",项目台账!$O138)</f>
        <v/>
      </c>
      <c r="K139" s="19">
        <f>IF($B139="","",项目台账!$P138)</f>
        <v/>
      </c>
      <c r="L139" s="19">
        <f>IF($B139="","",ROUND(SUMIFS(采购单!$L$4:$L$2003,采购单!$D$4:$D$2003,$B139,采购单!$F$4:$F$2003,"成本-主材")+SUMIFS(生产安装!$J$4:$J$1203,生产安装!$C$4:$C$1203,$B139,生产安装!$E$4:$E$1203,"成本-主材")+SUMIFS(资金日记账!$K$4:$K$2503,资金日记账!$G$4:$G$2503,$B139,资金日记账!$F$4:$F$2503,"成本-主材")-SUMIFS(资金日记账!$J$4:$J$2503,资金日记账!$G$4:$G$2503,$B139,资金日记账!$F$4:$F$2503,"成本-主材"),2))</f>
        <v/>
      </c>
      <c r="M139" s="19">
        <f>IF($B139="","",ROUND(SUMIFS(采购单!$L$4:$L$2003,采购单!$D$4:$D$2003,$B139,采购单!$F$4:$F$2003,"成本-辅材")+SUMIFS(生产安装!$J$4:$J$1203,生产安装!$C$4:$C$1203,$B139,生产安装!$E$4:$E$1203,"成本-辅材")+SUMIFS(资金日记账!$K$4:$K$2503,资金日记账!$G$4:$G$2503,$B139,资金日记账!$F$4:$F$2503,"成本-辅材")-SUMIFS(资金日记账!$J$4:$J$2503,资金日记账!$G$4:$G$2503,$B139,资金日记账!$F$4:$F$2503,"成本-辅材"),2))</f>
        <v/>
      </c>
      <c r="N139" s="19">
        <f>IF($B139="","",ROUND(SUMIFS(采购单!$L$4:$L$2003,采购单!$D$4:$D$2003,$B139,采购单!$F$4:$F$2003,"成本-人工")+SUMIFS(生产安装!$J$4:$J$1203,生产安装!$C$4:$C$1203,$B139,生产安装!$E$4:$E$1203,"成本-人工")+SUMIFS(资金日记账!$K$4:$K$2503,资金日记账!$G$4:$G$2503,$B139,资金日记账!$F$4:$F$2503,"成本-人工")-SUMIFS(资金日记账!$J$4:$J$2503,资金日记账!$G$4:$G$2503,$B139,资金日记账!$F$4:$F$2503,"成本-人工"),2))</f>
        <v/>
      </c>
      <c r="O139" s="19">
        <f>IF($B139="","",ROUND(SUMIFS(采购单!$L$4:$L$2003,采购单!$D$4:$D$2003,$B139,采购单!$F$4:$F$2003,"成本-车运")+SUMIFS(生产安装!$J$4:$J$1203,生产安装!$C$4:$C$1203,$B139,生产安装!$E$4:$E$1203,"成本-车运")+SUMIFS(资金日记账!$K$4:$K$2503,资金日记账!$G$4:$G$2503,$B139,资金日记账!$F$4:$F$2503,"成本-车运")-SUMIFS(资金日记账!$J$4:$J$2503,资金日记账!$G$4:$G$2503,$B139,资金日记账!$F$4:$F$2503,"成本-车运"),2))</f>
        <v/>
      </c>
      <c r="P139" s="19">
        <f>IF($B139="","",ROUND(SUMIFS(采购单!$L$4:$L$2003,采购单!$D$4:$D$2003,$B139,采购单!$F$4:$F$2003,"成本-其他")+SUMIFS(生产安装!$J$4:$J$1203,生产安装!$C$4:$C$1203,$B139,生产安装!$E$4:$E$1203,"成本-其他")+SUMIFS(资金日记账!$K$4:$K$2503,资金日记账!$G$4:$G$2503,$B139,资金日记账!$F$4:$F$2503,"成本-其他")-SUMIFS(资金日记账!$J$4:$J$2503,资金日记账!$G$4:$G$2503,$B139,资金日记账!$F$4:$F$2503,"成本-其他"),2))</f>
        <v/>
      </c>
      <c r="Q139" s="19">
        <f>IF($B139="","",ROUND(SUM($L139:$P139),2))</f>
        <v/>
      </c>
      <c r="R139" s="19">
        <f>IF($B139="","",ROUND($I139-$Q139,2))</f>
        <v/>
      </c>
      <c r="S139" s="33">
        <f>IF($B139="","",IF(ROUND($I139,2)=0,"",ROUND($R139/$I139,4)))</f>
        <v/>
      </c>
      <c r="T139" s="22">
        <f>IF($B139="","",IF($G139="",0,YEAR($G139)*100+MONTH($G139)))</f>
        <v/>
      </c>
      <c r="U139" s="17">
        <f>IF($B139="","",IF(项目台账!$R138="","",项目台账!$R138))</f>
        <v/>
      </c>
    </row>
    <row r="140">
      <c r="A140" s="17">
        <f>IF(项目台账!$B139="","",项目台账!$A139)</f>
        <v/>
      </c>
      <c r="B140" s="17">
        <f>IF(项目台账!$B139="","",项目台账!$B139)</f>
        <v/>
      </c>
      <c r="C140" s="17">
        <f>IF($B140="","",IF(项目台账!$C139="","",项目台账!$C139))</f>
        <v/>
      </c>
      <c r="D140" s="17">
        <f>IF($B140="","",IF(项目台账!$D139="","",项目台账!$D139))</f>
        <v/>
      </c>
      <c r="E140" s="17">
        <f>IF($B140="","",IF(项目台账!$E139="","",项目台账!$E139))</f>
        <v/>
      </c>
      <c r="F140" s="23">
        <f>IF($B140="","",IF(项目台账!$F139="","",项目台账!$F139))</f>
        <v/>
      </c>
      <c r="G140" s="23">
        <f>IF($B140="","",IF(项目台账!$J139="","",项目台账!$J139))</f>
        <v/>
      </c>
      <c r="H140" s="17">
        <f>IF($B140="","",IF(项目台账!$Q139="","",项目台账!$Q139))</f>
        <v/>
      </c>
      <c r="I140" s="19">
        <f>IF($B140="","",项目台账!$M139)</f>
        <v/>
      </c>
      <c r="J140" s="19">
        <f>IF($B140="","",项目台账!$O139)</f>
        <v/>
      </c>
      <c r="K140" s="19">
        <f>IF($B140="","",项目台账!$P139)</f>
        <v/>
      </c>
      <c r="L140" s="19">
        <f>IF($B140="","",ROUND(SUMIFS(采购单!$L$4:$L$2003,采购单!$D$4:$D$2003,$B140,采购单!$F$4:$F$2003,"成本-主材")+SUMIFS(生产安装!$J$4:$J$1203,生产安装!$C$4:$C$1203,$B140,生产安装!$E$4:$E$1203,"成本-主材")+SUMIFS(资金日记账!$K$4:$K$2503,资金日记账!$G$4:$G$2503,$B140,资金日记账!$F$4:$F$2503,"成本-主材")-SUMIFS(资金日记账!$J$4:$J$2503,资金日记账!$G$4:$G$2503,$B140,资金日记账!$F$4:$F$2503,"成本-主材"),2))</f>
        <v/>
      </c>
      <c r="M140" s="19">
        <f>IF($B140="","",ROUND(SUMIFS(采购单!$L$4:$L$2003,采购单!$D$4:$D$2003,$B140,采购单!$F$4:$F$2003,"成本-辅材")+SUMIFS(生产安装!$J$4:$J$1203,生产安装!$C$4:$C$1203,$B140,生产安装!$E$4:$E$1203,"成本-辅材")+SUMIFS(资金日记账!$K$4:$K$2503,资金日记账!$G$4:$G$2503,$B140,资金日记账!$F$4:$F$2503,"成本-辅材")-SUMIFS(资金日记账!$J$4:$J$2503,资金日记账!$G$4:$G$2503,$B140,资金日记账!$F$4:$F$2503,"成本-辅材"),2))</f>
        <v/>
      </c>
      <c r="N140" s="19">
        <f>IF($B140="","",ROUND(SUMIFS(采购单!$L$4:$L$2003,采购单!$D$4:$D$2003,$B140,采购单!$F$4:$F$2003,"成本-人工")+SUMIFS(生产安装!$J$4:$J$1203,生产安装!$C$4:$C$1203,$B140,生产安装!$E$4:$E$1203,"成本-人工")+SUMIFS(资金日记账!$K$4:$K$2503,资金日记账!$G$4:$G$2503,$B140,资金日记账!$F$4:$F$2503,"成本-人工")-SUMIFS(资金日记账!$J$4:$J$2503,资金日记账!$G$4:$G$2503,$B140,资金日记账!$F$4:$F$2503,"成本-人工"),2))</f>
        <v/>
      </c>
      <c r="O140" s="19">
        <f>IF($B140="","",ROUND(SUMIFS(采购单!$L$4:$L$2003,采购单!$D$4:$D$2003,$B140,采购单!$F$4:$F$2003,"成本-车运")+SUMIFS(生产安装!$J$4:$J$1203,生产安装!$C$4:$C$1203,$B140,生产安装!$E$4:$E$1203,"成本-车运")+SUMIFS(资金日记账!$K$4:$K$2503,资金日记账!$G$4:$G$2503,$B140,资金日记账!$F$4:$F$2503,"成本-车运")-SUMIFS(资金日记账!$J$4:$J$2503,资金日记账!$G$4:$G$2503,$B140,资金日记账!$F$4:$F$2503,"成本-车运"),2))</f>
        <v/>
      </c>
      <c r="P140" s="19">
        <f>IF($B140="","",ROUND(SUMIFS(采购单!$L$4:$L$2003,采购单!$D$4:$D$2003,$B140,采购单!$F$4:$F$2003,"成本-其他")+SUMIFS(生产安装!$J$4:$J$1203,生产安装!$C$4:$C$1203,$B140,生产安装!$E$4:$E$1203,"成本-其他")+SUMIFS(资金日记账!$K$4:$K$2503,资金日记账!$G$4:$G$2503,$B140,资金日记账!$F$4:$F$2503,"成本-其他")-SUMIFS(资金日记账!$J$4:$J$2503,资金日记账!$G$4:$G$2503,$B140,资金日记账!$F$4:$F$2503,"成本-其他"),2))</f>
        <v/>
      </c>
      <c r="Q140" s="19">
        <f>IF($B140="","",ROUND(SUM($L140:$P140),2))</f>
        <v/>
      </c>
      <c r="R140" s="19">
        <f>IF($B140="","",ROUND($I140-$Q140,2))</f>
        <v/>
      </c>
      <c r="S140" s="33">
        <f>IF($B140="","",IF(ROUND($I140,2)=0,"",ROUND($R140/$I140,4)))</f>
        <v/>
      </c>
      <c r="T140" s="22">
        <f>IF($B140="","",IF($G140="",0,YEAR($G140)*100+MONTH($G140)))</f>
        <v/>
      </c>
      <c r="U140" s="17">
        <f>IF($B140="","",IF(项目台账!$R139="","",项目台账!$R139))</f>
        <v/>
      </c>
    </row>
    <row r="141">
      <c r="A141" s="17">
        <f>IF(项目台账!$B140="","",项目台账!$A140)</f>
        <v/>
      </c>
      <c r="B141" s="17">
        <f>IF(项目台账!$B140="","",项目台账!$B140)</f>
        <v/>
      </c>
      <c r="C141" s="17">
        <f>IF($B141="","",IF(项目台账!$C140="","",项目台账!$C140))</f>
        <v/>
      </c>
      <c r="D141" s="17">
        <f>IF($B141="","",IF(项目台账!$D140="","",项目台账!$D140))</f>
        <v/>
      </c>
      <c r="E141" s="17">
        <f>IF($B141="","",IF(项目台账!$E140="","",项目台账!$E140))</f>
        <v/>
      </c>
      <c r="F141" s="23">
        <f>IF($B141="","",IF(项目台账!$F140="","",项目台账!$F140))</f>
        <v/>
      </c>
      <c r="G141" s="23">
        <f>IF($B141="","",IF(项目台账!$J140="","",项目台账!$J140))</f>
        <v/>
      </c>
      <c r="H141" s="17">
        <f>IF($B141="","",IF(项目台账!$Q140="","",项目台账!$Q140))</f>
        <v/>
      </c>
      <c r="I141" s="19">
        <f>IF($B141="","",项目台账!$M140)</f>
        <v/>
      </c>
      <c r="J141" s="19">
        <f>IF($B141="","",项目台账!$O140)</f>
        <v/>
      </c>
      <c r="K141" s="19">
        <f>IF($B141="","",项目台账!$P140)</f>
        <v/>
      </c>
      <c r="L141" s="19">
        <f>IF($B141="","",ROUND(SUMIFS(采购单!$L$4:$L$2003,采购单!$D$4:$D$2003,$B141,采购单!$F$4:$F$2003,"成本-主材")+SUMIFS(生产安装!$J$4:$J$1203,生产安装!$C$4:$C$1203,$B141,生产安装!$E$4:$E$1203,"成本-主材")+SUMIFS(资金日记账!$K$4:$K$2503,资金日记账!$G$4:$G$2503,$B141,资金日记账!$F$4:$F$2503,"成本-主材")-SUMIFS(资金日记账!$J$4:$J$2503,资金日记账!$G$4:$G$2503,$B141,资金日记账!$F$4:$F$2503,"成本-主材"),2))</f>
        <v/>
      </c>
      <c r="M141" s="19">
        <f>IF($B141="","",ROUND(SUMIFS(采购单!$L$4:$L$2003,采购单!$D$4:$D$2003,$B141,采购单!$F$4:$F$2003,"成本-辅材")+SUMIFS(生产安装!$J$4:$J$1203,生产安装!$C$4:$C$1203,$B141,生产安装!$E$4:$E$1203,"成本-辅材")+SUMIFS(资金日记账!$K$4:$K$2503,资金日记账!$G$4:$G$2503,$B141,资金日记账!$F$4:$F$2503,"成本-辅材")-SUMIFS(资金日记账!$J$4:$J$2503,资金日记账!$G$4:$G$2503,$B141,资金日记账!$F$4:$F$2503,"成本-辅材"),2))</f>
        <v/>
      </c>
      <c r="N141" s="19">
        <f>IF($B141="","",ROUND(SUMIFS(采购单!$L$4:$L$2003,采购单!$D$4:$D$2003,$B141,采购单!$F$4:$F$2003,"成本-人工")+SUMIFS(生产安装!$J$4:$J$1203,生产安装!$C$4:$C$1203,$B141,生产安装!$E$4:$E$1203,"成本-人工")+SUMIFS(资金日记账!$K$4:$K$2503,资金日记账!$G$4:$G$2503,$B141,资金日记账!$F$4:$F$2503,"成本-人工")-SUMIFS(资金日记账!$J$4:$J$2503,资金日记账!$G$4:$G$2503,$B141,资金日记账!$F$4:$F$2503,"成本-人工"),2))</f>
        <v/>
      </c>
      <c r="O141" s="19">
        <f>IF($B141="","",ROUND(SUMIFS(采购单!$L$4:$L$2003,采购单!$D$4:$D$2003,$B141,采购单!$F$4:$F$2003,"成本-车运")+SUMIFS(生产安装!$J$4:$J$1203,生产安装!$C$4:$C$1203,$B141,生产安装!$E$4:$E$1203,"成本-车运")+SUMIFS(资金日记账!$K$4:$K$2503,资金日记账!$G$4:$G$2503,$B141,资金日记账!$F$4:$F$2503,"成本-车运")-SUMIFS(资金日记账!$J$4:$J$2503,资金日记账!$G$4:$G$2503,$B141,资金日记账!$F$4:$F$2503,"成本-车运"),2))</f>
        <v/>
      </c>
      <c r="P141" s="19">
        <f>IF($B141="","",ROUND(SUMIFS(采购单!$L$4:$L$2003,采购单!$D$4:$D$2003,$B141,采购单!$F$4:$F$2003,"成本-其他")+SUMIFS(生产安装!$J$4:$J$1203,生产安装!$C$4:$C$1203,$B141,生产安装!$E$4:$E$1203,"成本-其他")+SUMIFS(资金日记账!$K$4:$K$2503,资金日记账!$G$4:$G$2503,$B141,资金日记账!$F$4:$F$2503,"成本-其他")-SUMIFS(资金日记账!$J$4:$J$2503,资金日记账!$G$4:$G$2503,$B141,资金日记账!$F$4:$F$2503,"成本-其他"),2))</f>
        <v/>
      </c>
      <c r="Q141" s="19">
        <f>IF($B141="","",ROUND(SUM($L141:$P141),2))</f>
        <v/>
      </c>
      <c r="R141" s="19">
        <f>IF($B141="","",ROUND($I141-$Q141,2))</f>
        <v/>
      </c>
      <c r="S141" s="33">
        <f>IF($B141="","",IF(ROUND($I141,2)=0,"",ROUND($R141/$I141,4)))</f>
        <v/>
      </c>
      <c r="T141" s="22">
        <f>IF($B141="","",IF($G141="",0,YEAR($G141)*100+MONTH($G141)))</f>
        <v/>
      </c>
      <c r="U141" s="17">
        <f>IF($B141="","",IF(项目台账!$R140="","",项目台账!$R140))</f>
        <v/>
      </c>
    </row>
    <row r="142">
      <c r="A142" s="17">
        <f>IF(项目台账!$B141="","",项目台账!$A141)</f>
        <v/>
      </c>
      <c r="B142" s="17">
        <f>IF(项目台账!$B141="","",项目台账!$B141)</f>
        <v/>
      </c>
      <c r="C142" s="17">
        <f>IF($B142="","",IF(项目台账!$C141="","",项目台账!$C141))</f>
        <v/>
      </c>
      <c r="D142" s="17">
        <f>IF($B142="","",IF(项目台账!$D141="","",项目台账!$D141))</f>
        <v/>
      </c>
      <c r="E142" s="17">
        <f>IF($B142="","",IF(项目台账!$E141="","",项目台账!$E141))</f>
        <v/>
      </c>
      <c r="F142" s="23">
        <f>IF($B142="","",IF(项目台账!$F141="","",项目台账!$F141))</f>
        <v/>
      </c>
      <c r="G142" s="23">
        <f>IF($B142="","",IF(项目台账!$J141="","",项目台账!$J141))</f>
        <v/>
      </c>
      <c r="H142" s="17">
        <f>IF($B142="","",IF(项目台账!$Q141="","",项目台账!$Q141))</f>
        <v/>
      </c>
      <c r="I142" s="19">
        <f>IF($B142="","",项目台账!$M141)</f>
        <v/>
      </c>
      <c r="J142" s="19">
        <f>IF($B142="","",项目台账!$O141)</f>
        <v/>
      </c>
      <c r="K142" s="19">
        <f>IF($B142="","",项目台账!$P141)</f>
        <v/>
      </c>
      <c r="L142" s="19">
        <f>IF($B142="","",ROUND(SUMIFS(采购单!$L$4:$L$2003,采购单!$D$4:$D$2003,$B142,采购单!$F$4:$F$2003,"成本-主材")+SUMIFS(生产安装!$J$4:$J$1203,生产安装!$C$4:$C$1203,$B142,生产安装!$E$4:$E$1203,"成本-主材")+SUMIFS(资金日记账!$K$4:$K$2503,资金日记账!$G$4:$G$2503,$B142,资金日记账!$F$4:$F$2503,"成本-主材")-SUMIFS(资金日记账!$J$4:$J$2503,资金日记账!$G$4:$G$2503,$B142,资金日记账!$F$4:$F$2503,"成本-主材"),2))</f>
        <v/>
      </c>
      <c r="M142" s="19">
        <f>IF($B142="","",ROUND(SUMIFS(采购单!$L$4:$L$2003,采购单!$D$4:$D$2003,$B142,采购单!$F$4:$F$2003,"成本-辅材")+SUMIFS(生产安装!$J$4:$J$1203,生产安装!$C$4:$C$1203,$B142,生产安装!$E$4:$E$1203,"成本-辅材")+SUMIFS(资金日记账!$K$4:$K$2503,资金日记账!$G$4:$G$2503,$B142,资金日记账!$F$4:$F$2503,"成本-辅材")-SUMIFS(资金日记账!$J$4:$J$2503,资金日记账!$G$4:$G$2503,$B142,资金日记账!$F$4:$F$2503,"成本-辅材"),2))</f>
        <v/>
      </c>
      <c r="N142" s="19">
        <f>IF($B142="","",ROUND(SUMIFS(采购单!$L$4:$L$2003,采购单!$D$4:$D$2003,$B142,采购单!$F$4:$F$2003,"成本-人工")+SUMIFS(生产安装!$J$4:$J$1203,生产安装!$C$4:$C$1203,$B142,生产安装!$E$4:$E$1203,"成本-人工")+SUMIFS(资金日记账!$K$4:$K$2503,资金日记账!$G$4:$G$2503,$B142,资金日记账!$F$4:$F$2503,"成本-人工")-SUMIFS(资金日记账!$J$4:$J$2503,资金日记账!$G$4:$G$2503,$B142,资金日记账!$F$4:$F$2503,"成本-人工"),2))</f>
        <v/>
      </c>
      <c r="O142" s="19">
        <f>IF($B142="","",ROUND(SUMIFS(采购单!$L$4:$L$2003,采购单!$D$4:$D$2003,$B142,采购单!$F$4:$F$2003,"成本-车运")+SUMIFS(生产安装!$J$4:$J$1203,生产安装!$C$4:$C$1203,$B142,生产安装!$E$4:$E$1203,"成本-车运")+SUMIFS(资金日记账!$K$4:$K$2503,资金日记账!$G$4:$G$2503,$B142,资金日记账!$F$4:$F$2503,"成本-车运")-SUMIFS(资金日记账!$J$4:$J$2503,资金日记账!$G$4:$G$2503,$B142,资金日记账!$F$4:$F$2503,"成本-车运"),2))</f>
        <v/>
      </c>
      <c r="P142" s="19">
        <f>IF($B142="","",ROUND(SUMIFS(采购单!$L$4:$L$2003,采购单!$D$4:$D$2003,$B142,采购单!$F$4:$F$2003,"成本-其他")+SUMIFS(生产安装!$J$4:$J$1203,生产安装!$C$4:$C$1203,$B142,生产安装!$E$4:$E$1203,"成本-其他")+SUMIFS(资金日记账!$K$4:$K$2503,资金日记账!$G$4:$G$2503,$B142,资金日记账!$F$4:$F$2503,"成本-其他")-SUMIFS(资金日记账!$J$4:$J$2503,资金日记账!$G$4:$G$2503,$B142,资金日记账!$F$4:$F$2503,"成本-其他"),2))</f>
        <v/>
      </c>
      <c r="Q142" s="19">
        <f>IF($B142="","",ROUND(SUM($L142:$P142),2))</f>
        <v/>
      </c>
      <c r="R142" s="19">
        <f>IF($B142="","",ROUND($I142-$Q142,2))</f>
        <v/>
      </c>
      <c r="S142" s="33">
        <f>IF($B142="","",IF(ROUND($I142,2)=0,"",ROUND($R142/$I142,4)))</f>
        <v/>
      </c>
      <c r="T142" s="22">
        <f>IF($B142="","",IF($G142="",0,YEAR($G142)*100+MONTH($G142)))</f>
        <v/>
      </c>
      <c r="U142" s="17">
        <f>IF($B142="","",IF(项目台账!$R141="","",项目台账!$R141))</f>
        <v/>
      </c>
    </row>
    <row r="143">
      <c r="A143" s="17">
        <f>IF(项目台账!$B142="","",项目台账!$A142)</f>
        <v/>
      </c>
      <c r="B143" s="17">
        <f>IF(项目台账!$B142="","",项目台账!$B142)</f>
        <v/>
      </c>
      <c r="C143" s="17">
        <f>IF($B143="","",IF(项目台账!$C142="","",项目台账!$C142))</f>
        <v/>
      </c>
      <c r="D143" s="17">
        <f>IF($B143="","",IF(项目台账!$D142="","",项目台账!$D142))</f>
        <v/>
      </c>
      <c r="E143" s="17">
        <f>IF($B143="","",IF(项目台账!$E142="","",项目台账!$E142))</f>
        <v/>
      </c>
      <c r="F143" s="23">
        <f>IF($B143="","",IF(项目台账!$F142="","",项目台账!$F142))</f>
        <v/>
      </c>
      <c r="G143" s="23">
        <f>IF($B143="","",IF(项目台账!$J142="","",项目台账!$J142))</f>
        <v/>
      </c>
      <c r="H143" s="17">
        <f>IF($B143="","",IF(项目台账!$Q142="","",项目台账!$Q142))</f>
        <v/>
      </c>
      <c r="I143" s="19">
        <f>IF($B143="","",项目台账!$M142)</f>
        <v/>
      </c>
      <c r="J143" s="19">
        <f>IF($B143="","",项目台账!$O142)</f>
        <v/>
      </c>
      <c r="K143" s="19">
        <f>IF($B143="","",项目台账!$P142)</f>
        <v/>
      </c>
      <c r="L143" s="19">
        <f>IF($B143="","",ROUND(SUMIFS(采购单!$L$4:$L$2003,采购单!$D$4:$D$2003,$B143,采购单!$F$4:$F$2003,"成本-主材")+SUMIFS(生产安装!$J$4:$J$1203,生产安装!$C$4:$C$1203,$B143,生产安装!$E$4:$E$1203,"成本-主材")+SUMIFS(资金日记账!$K$4:$K$2503,资金日记账!$G$4:$G$2503,$B143,资金日记账!$F$4:$F$2503,"成本-主材")-SUMIFS(资金日记账!$J$4:$J$2503,资金日记账!$G$4:$G$2503,$B143,资金日记账!$F$4:$F$2503,"成本-主材"),2))</f>
        <v/>
      </c>
      <c r="M143" s="19">
        <f>IF($B143="","",ROUND(SUMIFS(采购单!$L$4:$L$2003,采购单!$D$4:$D$2003,$B143,采购单!$F$4:$F$2003,"成本-辅材")+SUMIFS(生产安装!$J$4:$J$1203,生产安装!$C$4:$C$1203,$B143,生产安装!$E$4:$E$1203,"成本-辅材")+SUMIFS(资金日记账!$K$4:$K$2503,资金日记账!$G$4:$G$2503,$B143,资金日记账!$F$4:$F$2503,"成本-辅材")-SUMIFS(资金日记账!$J$4:$J$2503,资金日记账!$G$4:$G$2503,$B143,资金日记账!$F$4:$F$2503,"成本-辅材"),2))</f>
        <v/>
      </c>
      <c r="N143" s="19">
        <f>IF($B143="","",ROUND(SUMIFS(采购单!$L$4:$L$2003,采购单!$D$4:$D$2003,$B143,采购单!$F$4:$F$2003,"成本-人工")+SUMIFS(生产安装!$J$4:$J$1203,生产安装!$C$4:$C$1203,$B143,生产安装!$E$4:$E$1203,"成本-人工")+SUMIFS(资金日记账!$K$4:$K$2503,资金日记账!$G$4:$G$2503,$B143,资金日记账!$F$4:$F$2503,"成本-人工")-SUMIFS(资金日记账!$J$4:$J$2503,资金日记账!$G$4:$G$2503,$B143,资金日记账!$F$4:$F$2503,"成本-人工"),2))</f>
        <v/>
      </c>
      <c r="O143" s="19">
        <f>IF($B143="","",ROUND(SUMIFS(采购单!$L$4:$L$2003,采购单!$D$4:$D$2003,$B143,采购单!$F$4:$F$2003,"成本-车运")+SUMIFS(生产安装!$J$4:$J$1203,生产安装!$C$4:$C$1203,$B143,生产安装!$E$4:$E$1203,"成本-车运")+SUMIFS(资金日记账!$K$4:$K$2503,资金日记账!$G$4:$G$2503,$B143,资金日记账!$F$4:$F$2503,"成本-车运")-SUMIFS(资金日记账!$J$4:$J$2503,资金日记账!$G$4:$G$2503,$B143,资金日记账!$F$4:$F$2503,"成本-车运"),2))</f>
        <v/>
      </c>
      <c r="P143" s="19">
        <f>IF($B143="","",ROUND(SUMIFS(采购单!$L$4:$L$2003,采购单!$D$4:$D$2003,$B143,采购单!$F$4:$F$2003,"成本-其他")+SUMIFS(生产安装!$J$4:$J$1203,生产安装!$C$4:$C$1203,$B143,生产安装!$E$4:$E$1203,"成本-其他")+SUMIFS(资金日记账!$K$4:$K$2503,资金日记账!$G$4:$G$2503,$B143,资金日记账!$F$4:$F$2503,"成本-其他")-SUMIFS(资金日记账!$J$4:$J$2503,资金日记账!$G$4:$G$2503,$B143,资金日记账!$F$4:$F$2503,"成本-其他"),2))</f>
        <v/>
      </c>
      <c r="Q143" s="19">
        <f>IF($B143="","",ROUND(SUM($L143:$P143),2))</f>
        <v/>
      </c>
      <c r="R143" s="19">
        <f>IF($B143="","",ROUND($I143-$Q143,2))</f>
        <v/>
      </c>
      <c r="S143" s="33">
        <f>IF($B143="","",IF(ROUND($I143,2)=0,"",ROUND($R143/$I143,4)))</f>
        <v/>
      </c>
      <c r="T143" s="22">
        <f>IF($B143="","",IF($G143="",0,YEAR($G143)*100+MONTH($G143)))</f>
        <v/>
      </c>
      <c r="U143" s="17">
        <f>IF($B143="","",IF(项目台账!$R142="","",项目台账!$R142))</f>
        <v/>
      </c>
    </row>
    <row r="144">
      <c r="A144" s="17">
        <f>IF(项目台账!$B143="","",项目台账!$A143)</f>
        <v/>
      </c>
      <c r="B144" s="17">
        <f>IF(项目台账!$B143="","",项目台账!$B143)</f>
        <v/>
      </c>
      <c r="C144" s="17">
        <f>IF($B144="","",IF(项目台账!$C143="","",项目台账!$C143))</f>
        <v/>
      </c>
      <c r="D144" s="17">
        <f>IF($B144="","",IF(项目台账!$D143="","",项目台账!$D143))</f>
        <v/>
      </c>
      <c r="E144" s="17">
        <f>IF($B144="","",IF(项目台账!$E143="","",项目台账!$E143))</f>
        <v/>
      </c>
      <c r="F144" s="23">
        <f>IF($B144="","",IF(项目台账!$F143="","",项目台账!$F143))</f>
        <v/>
      </c>
      <c r="G144" s="23">
        <f>IF($B144="","",IF(项目台账!$J143="","",项目台账!$J143))</f>
        <v/>
      </c>
      <c r="H144" s="17">
        <f>IF($B144="","",IF(项目台账!$Q143="","",项目台账!$Q143))</f>
        <v/>
      </c>
      <c r="I144" s="19">
        <f>IF($B144="","",项目台账!$M143)</f>
        <v/>
      </c>
      <c r="J144" s="19">
        <f>IF($B144="","",项目台账!$O143)</f>
        <v/>
      </c>
      <c r="K144" s="19">
        <f>IF($B144="","",项目台账!$P143)</f>
        <v/>
      </c>
      <c r="L144" s="19">
        <f>IF($B144="","",ROUND(SUMIFS(采购单!$L$4:$L$2003,采购单!$D$4:$D$2003,$B144,采购单!$F$4:$F$2003,"成本-主材")+SUMIFS(生产安装!$J$4:$J$1203,生产安装!$C$4:$C$1203,$B144,生产安装!$E$4:$E$1203,"成本-主材")+SUMIFS(资金日记账!$K$4:$K$2503,资金日记账!$G$4:$G$2503,$B144,资金日记账!$F$4:$F$2503,"成本-主材")-SUMIFS(资金日记账!$J$4:$J$2503,资金日记账!$G$4:$G$2503,$B144,资金日记账!$F$4:$F$2503,"成本-主材"),2))</f>
        <v/>
      </c>
      <c r="M144" s="19">
        <f>IF($B144="","",ROUND(SUMIFS(采购单!$L$4:$L$2003,采购单!$D$4:$D$2003,$B144,采购单!$F$4:$F$2003,"成本-辅材")+SUMIFS(生产安装!$J$4:$J$1203,生产安装!$C$4:$C$1203,$B144,生产安装!$E$4:$E$1203,"成本-辅材")+SUMIFS(资金日记账!$K$4:$K$2503,资金日记账!$G$4:$G$2503,$B144,资金日记账!$F$4:$F$2503,"成本-辅材")-SUMIFS(资金日记账!$J$4:$J$2503,资金日记账!$G$4:$G$2503,$B144,资金日记账!$F$4:$F$2503,"成本-辅材"),2))</f>
        <v/>
      </c>
      <c r="N144" s="19">
        <f>IF($B144="","",ROUND(SUMIFS(采购单!$L$4:$L$2003,采购单!$D$4:$D$2003,$B144,采购单!$F$4:$F$2003,"成本-人工")+SUMIFS(生产安装!$J$4:$J$1203,生产安装!$C$4:$C$1203,$B144,生产安装!$E$4:$E$1203,"成本-人工")+SUMIFS(资金日记账!$K$4:$K$2503,资金日记账!$G$4:$G$2503,$B144,资金日记账!$F$4:$F$2503,"成本-人工")-SUMIFS(资金日记账!$J$4:$J$2503,资金日记账!$G$4:$G$2503,$B144,资金日记账!$F$4:$F$2503,"成本-人工"),2))</f>
        <v/>
      </c>
      <c r="O144" s="19">
        <f>IF($B144="","",ROUND(SUMIFS(采购单!$L$4:$L$2003,采购单!$D$4:$D$2003,$B144,采购单!$F$4:$F$2003,"成本-车运")+SUMIFS(生产安装!$J$4:$J$1203,生产安装!$C$4:$C$1203,$B144,生产安装!$E$4:$E$1203,"成本-车运")+SUMIFS(资金日记账!$K$4:$K$2503,资金日记账!$G$4:$G$2503,$B144,资金日记账!$F$4:$F$2503,"成本-车运")-SUMIFS(资金日记账!$J$4:$J$2503,资金日记账!$G$4:$G$2503,$B144,资金日记账!$F$4:$F$2503,"成本-车运"),2))</f>
        <v/>
      </c>
      <c r="P144" s="19">
        <f>IF($B144="","",ROUND(SUMIFS(采购单!$L$4:$L$2003,采购单!$D$4:$D$2003,$B144,采购单!$F$4:$F$2003,"成本-其他")+SUMIFS(生产安装!$J$4:$J$1203,生产安装!$C$4:$C$1203,$B144,生产安装!$E$4:$E$1203,"成本-其他")+SUMIFS(资金日记账!$K$4:$K$2503,资金日记账!$G$4:$G$2503,$B144,资金日记账!$F$4:$F$2503,"成本-其他")-SUMIFS(资金日记账!$J$4:$J$2503,资金日记账!$G$4:$G$2503,$B144,资金日记账!$F$4:$F$2503,"成本-其他"),2))</f>
        <v/>
      </c>
      <c r="Q144" s="19">
        <f>IF($B144="","",ROUND(SUM($L144:$P144),2))</f>
        <v/>
      </c>
      <c r="R144" s="19">
        <f>IF($B144="","",ROUND($I144-$Q144,2))</f>
        <v/>
      </c>
      <c r="S144" s="33">
        <f>IF($B144="","",IF(ROUND($I144,2)=0,"",ROUND($R144/$I144,4)))</f>
        <v/>
      </c>
      <c r="T144" s="22">
        <f>IF($B144="","",IF($G144="",0,YEAR($G144)*100+MONTH($G144)))</f>
        <v/>
      </c>
      <c r="U144" s="17">
        <f>IF($B144="","",IF(项目台账!$R143="","",项目台账!$R143))</f>
        <v/>
      </c>
    </row>
    <row r="145">
      <c r="A145" s="17">
        <f>IF(项目台账!$B144="","",项目台账!$A144)</f>
        <v/>
      </c>
      <c r="B145" s="17">
        <f>IF(项目台账!$B144="","",项目台账!$B144)</f>
        <v/>
      </c>
      <c r="C145" s="17">
        <f>IF($B145="","",IF(项目台账!$C144="","",项目台账!$C144))</f>
        <v/>
      </c>
      <c r="D145" s="17">
        <f>IF($B145="","",IF(项目台账!$D144="","",项目台账!$D144))</f>
        <v/>
      </c>
      <c r="E145" s="17">
        <f>IF($B145="","",IF(项目台账!$E144="","",项目台账!$E144))</f>
        <v/>
      </c>
      <c r="F145" s="23">
        <f>IF($B145="","",IF(项目台账!$F144="","",项目台账!$F144))</f>
        <v/>
      </c>
      <c r="G145" s="23">
        <f>IF($B145="","",IF(项目台账!$J144="","",项目台账!$J144))</f>
        <v/>
      </c>
      <c r="H145" s="17">
        <f>IF($B145="","",IF(项目台账!$Q144="","",项目台账!$Q144))</f>
        <v/>
      </c>
      <c r="I145" s="19">
        <f>IF($B145="","",项目台账!$M144)</f>
        <v/>
      </c>
      <c r="J145" s="19">
        <f>IF($B145="","",项目台账!$O144)</f>
        <v/>
      </c>
      <c r="K145" s="19">
        <f>IF($B145="","",项目台账!$P144)</f>
        <v/>
      </c>
      <c r="L145" s="19">
        <f>IF($B145="","",ROUND(SUMIFS(采购单!$L$4:$L$2003,采购单!$D$4:$D$2003,$B145,采购单!$F$4:$F$2003,"成本-主材")+SUMIFS(生产安装!$J$4:$J$1203,生产安装!$C$4:$C$1203,$B145,生产安装!$E$4:$E$1203,"成本-主材")+SUMIFS(资金日记账!$K$4:$K$2503,资金日记账!$G$4:$G$2503,$B145,资金日记账!$F$4:$F$2503,"成本-主材")-SUMIFS(资金日记账!$J$4:$J$2503,资金日记账!$G$4:$G$2503,$B145,资金日记账!$F$4:$F$2503,"成本-主材"),2))</f>
        <v/>
      </c>
      <c r="M145" s="19">
        <f>IF($B145="","",ROUND(SUMIFS(采购单!$L$4:$L$2003,采购单!$D$4:$D$2003,$B145,采购单!$F$4:$F$2003,"成本-辅材")+SUMIFS(生产安装!$J$4:$J$1203,生产安装!$C$4:$C$1203,$B145,生产安装!$E$4:$E$1203,"成本-辅材")+SUMIFS(资金日记账!$K$4:$K$2503,资金日记账!$G$4:$G$2503,$B145,资金日记账!$F$4:$F$2503,"成本-辅材")-SUMIFS(资金日记账!$J$4:$J$2503,资金日记账!$G$4:$G$2503,$B145,资金日记账!$F$4:$F$2503,"成本-辅材"),2))</f>
        <v/>
      </c>
      <c r="N145" s="19">
        <f>IF($B145="","",ROUND(SUMIFS(采购单!$L$4:$L$2003,采购单!$D$4:$D$2003,$B145,采购单!$F$4:$F$2003,"成本-人工")+SUMIFS(生产安装!$J$4:$J$1203,生产安装!$C$4:$C$1203,$B145,生产安装!$E$4:$E$1203,"成本-人工")+SUMIFS(资金日记账!$K$4:$K$2503,资金日记账!$G$4:$G$2503,$B145,资金日记账!$F$4:$F$2503,"成本-人工")-SUMIFS(资金日记账!$J$4:$J$2503,资金日记账!$G$4:$G$2503,$B145,资金日记账!$F$4:$F$2503,"成本-人工"),2))</f>
        <v/>
      </c>
      <c r="O145" s="19">
        <f>IF($B145="","",ROUND(SUMIFS(采购单!$L$4:$L$2003,采购单!$D$4:$D$2003,$B145,采购单!$F$4:$F$2003,"成本-车运")+SUMIFS(生产安装!$J$4:$J$1203,生产安装!$C$4:$C$1203,$B145,生产安装!$E$4:$E$1203,"成本-车运")+SUMIFS(资金日记账!$K$4:$K$2503,资金日记账!$G$4:$G$2503,$B145,资金日记账!$F$4:$F$2503,"成本-车运")-SUMIFS(资金日记账!$J$4:$J$2503,资金日记账!$G$4:$G$2503,$B145,资金日记账!$F$4:$F$2503,"成本-车运"),2))</f>
        <v/>
      </c>
      <c r="P145" s="19">
        <f>IF($B145="","",ROUND(SUMIFS(采购单!$L$4:$L$2003,采购单!$D$4:$D$2003,$B145,采购单!$F$4:$F$2003,"成本-其他")+SUMIFS(生产安装!$J$4:$J$1203,生产安装!$C$4:$C$1203,$B145,生产安装!$E$4:$E$1203,"成本-其他")+SUMIFS(资金日记账!$K$4:$K$2503,资金日记账!$G$4:$G$2503,$B145,资金日记账!$F$4:$F$2503,"成本-其他")-SUMIFS(资金日记账!$J$4:$J$2503,资金日记账!$G$4:$G$2503,$B145,资金日记账!$F$4:$F$2503,"成本-其他"),2))</f>
        <v/>
      </c>
      <c r="Q145" s="19">
        <f>IF($B145="","",ROUND(SUM($L145:$P145),2))</f>
        <v/>
      </c>
      <c r="R145" s="19">
        <f>IF($B145="","",ROUND($I145-$Q145,2))</f>
        <v/>
      </c>
      <c r="S145" s="33">
        <f>IF($B145="","",IF(ROUND($I145,2)=0,"",ROUND($R145/$I145,4)))</f>
        <v/>
      </c>
      <c r="T145" s="22">
        <f>IF($B145="","",IF($G145="",0,YEAR($G145)*100+MONTH($G145)))</f>
        <v/>
      </c>
      <c r="U145" s="17">
        <f>IF($B145="","",IF(项目台账!$R144="","",项目台账!$R144))</f>
        <v/>
      </c>
    </row>
    <row r="146">
      <c r="A146" s="17">
        <f>IF(项目台账!$B145="","",项目台账!$A145)</f>
        <v/>
      </c>
      <c r="B146" s="17">
        <f>IF(项目台账!$B145="","",项目台账!$B145)</f>
        <v/>
      </c>
      <c r="C146" s="17">
        <f>IF($B146="","",IF(项目台账!$C145="","",项目台账!$C145))</f>
        <v/>
      </c>
      <c r="D146" s="17">
        <f>IF($B146="","",IF(项目台账!$D145="","",项目台账!$D145))</f>
        <v/>
      </c>
      <c r="E146" s="17">
        <f>IF($B146="","",IF(项目台账!$E145="","",项目台账!$E145))</f>
        <v/>
      </c>
      <c r="F146" s="23">
        <f>IF($B146="","",IF(项目台账!$F145="","",项目台账!$F145))</f>
        <v/>
      </c>
      <c r="G146" s="23">
        <f>IF($B146="","",IF(项目台账!$J145="","",项目台账!$J145))</f>
        <v/>
      </c>
      <c r="H146" s="17">
        <f>IF($B146="","",IF(项目台账!$Q145="","",项目台账!$Q145))</f>
        <v/>
      </c>
      <c r="I146" s="19">
        <f>IF($B146="","",项目台账!$M145)</f>
        <v/>
      </c>
      <c r="J146" s="19">
        <f>IF($B146="","",项目台账!$O145)</f>
        <v/>
      </c>
      <c r="K146" s="19">
        <f>IF($B146="","",项目台账!$P145)</f>
        <v/>
      </c>
      <c r="L146" s="19">
        <f>IF($B146="","",ROUND(SUMIFS(采购单!$L$4:$L$2003,采购单!$D$4:$D$2003,$B146,采购单!$F$4:$F$2003,"成本-主材")+SUMIFS(生产安装!$J$4:$J$1203,生产安装!$C$4:$C$1203,$B146,生产安装!$E$4:$E$1203,"成本-主材")+SUMIFS(资金日记账!$K$4:$K$2503,资金日记账!$G$4:$G$2503,$B146,资金日记账!$F$4:$F$2503,"成本-主材")-SUMIFS(资金日记账!$J$4:$J$2503,资金日记账!$G$4:$G$2503,$B146,资金日记账!$F$4:$F$2503,"成本-主材"),2))</f>
        <v/>
      </c>
      <c r="M146" s="19">
        <f>IF($B146="","",ROUND(SUMIFS(采购单!$L$4:$L$2003,采购单!$D$4:$D$2003,$B146,采购单!$F$4:$F$2003,"成本-辅材")+SUMIFS(生产安装!$J$4:$J$1203,生产安装!$C$4:$C$1203,$B146,生产安装!$E$4:$E$1203,"成本-辅材")+SUMIFS(资金日记账!$K$4:$K$2503,资金日记账!$G$4:$G$2503,$B146,资金日记账!$F$4:$F$2503,"成本-辅材")-SUMIFS(资金日记账!$J$4:$J$2503,资金日记账!$G$4:$G$2503,$B146,资金日记账!$F$4:$F$2503,"成本-辅材"),2))</f>
        <v/>
      </c>
      <c r="N146" s="19">
        <f>IF($B146="","",ROUND(SUMIFS(采购单!$L$4:$L$2003,采购单!$D$4:$D$2003,$B146,采购单!$F$4:$F$2003,"成本-人工")+SUMIFS(生产安装!$J$4:$J$1203,生产安装!$C$4:$C$1203,$B146,生产安装!$E$4:$E$1203,"成本-人工")+SUMIFS(资金日记账!$K$4:$K$2503,资金日记账!$G$4:$G$2503,$B146,资金日记账!$F$4:$F$2503,"成本-人工")-SUMIFS(资金日记账!$J$4:$J$2503,资金日记账!$G$4:$G$2503,$B146,资金日记账!$F$4:$F$2503,"成本-人工"),2))</f>
        <v/>
      </c>
      <c r="O146" s="19">
        <f>IF($B146="","",ROUND(SUMIFS(采购单!$L$4:$L$2003,采购单!$D$4:$D$2003,$B146,采购单!$F$4:$F$2003,"成本-车运")+SUMIFS(生产安装!$J$4:$J$1203,生产安装!$C$4:$C$1203,$B146,生产安装!$E$4:$E$1203,"成本-车运")+SUMIFS(资金日记账!$K$4:$K$2503,资金日记账!$G$4:$G$2503,$B146,资金日记账!$F$4:$F$2503,"成本-车运")-SUMIFS(资金日记账!$J$4:$J$2503,资金日记账!$G$4:$G$2503,$B146,资金日记账!$F$4:$F$2503,"成本-车运"),2))</f>
        <v/>
      </c>
      <c r="P146" s="19">
        <f>IF($B146="","",ROUND(SUMIFS(采购单!$L$4:$L$2003,采购单!$D$4:$D$2003,$B146,采购单!$F$4:$F$2003,"成本-其他")+SUMIFS(生产安装!$J$4:$J$1203,生产安装!$C$4:$C$1203,$B146,生产安装!$E$4:$E$1203,"成本-其他")+SUMIFS(资金日记账!$K$4:$K$2503,资金日记账!$G$4:$G$2503,$B146,资金日记账!$F$4:$F$2503,"成本-其他")-SUMIFS(资金日记账!$J$4:$J$2503,资金日记账!$G$4:$G$2503,$B146,资金日记账!$F$4:$F$2503,"成本-其他"),2))</f>
        <v/>
      </c>
      <c r="Q146" s="19">
        <f>IF($B146="","",ROUND(SUM($L146:$P146),2))</f>
        <v/>
      </c>
      <c r="R146" s="19">
        <f>IF($B146="","",ROUND($I146-$Q146,2))</f>
        <v/>
      </c>
      <c r="S146" s="33">
        <f>IF($B146="","",IF(ROUND($I146,2)=0,"",ROUND($R146/$I146,4)))</f>
        <v/>
      </c>
      <c r="T146" s="22">
        <f>IF($B146="","",IF($G146="",0,YEAR($G146)*100+MONTH($G146)))</f>
        <v/>
      </c>
      <c r="U146" s="17">
        <f>IF($B146="","",IF(项目台账!$R145="","",项目台账!$R145))</f>
        <v/>
      </c>
    </row>
    <row r="147">
      <c r="A147" s="17">
        <f>IF(项目台账!$B146="","",项目台账!$A146)</f>
        <v/>
      </c>
      <c r="B147" s="17">
        <f>IF(项目台账!$B146="","",项目台账!$B146)</f>
        <v/>
      </c>
      <c r="C147" s="17">
        <f>IF($B147="","",IF(项目台账!$C146="","",项目台账!$C146))</f>
        <v/>
      </c>
      <c r="D147" s="17">
        <f>IF($B147="","",IF(项目台账!$D146="","",项目台账!$D146))</f>
        <v/>
      </c>
      <c r="E147" s="17">
        <f>IF($B147="","",IF(项目台账!$E146="","",项目台账!$E146))</f>
        <v/>
      </c>
      <c r="F147" s="23">
        <f>IF($B147="","",IF(项目台账!$F146="","",项目台账!$F146))</f>
        <v/>
      </c>
      <c r="G147" s="23">
        <f>IF($B147="","",IF(项目台账!$J146="","",项目台账!$J146))</f>
        <v/>
      </c>
      <c r="H147" s="17">
        <f>IF($B147="","",IF(项目台账!$Q146="","",项目台账!$Q146))</f>
        <v/>
      </c>
      <c r="I147" s="19">
        <f>IF($B147="","",项目台账!$M146)</f>
        <v/>
      </c>
      <c r="J147" s="19">
        <f>IF($B147="","",项目台账!$O146)</f>
        <v/>
      </c>
      <c r="K147" s="19">
        <f>IF($B147="","",项目台账!$P146)</f>
        <v/>
      </c>
      <c r="L147" s="19">
        <f>IF($B147="","",ROUND(SUMIFS(采购单!$L$4:$L$2003,采购单!$D$4:$D$2003,$B147,采购单!$F$4:$F$2003,"成本-主材")+SUMIFS(生产安装!$J$4:$J$1203,生产安装!$C$4:$C$1203,$B147,生产安装!$E$4:$E$1203,"成本-主材")+SUMIFS(资金日记账!$K$4:$K$2503,资金日记账!$G$4:$G$2503,$B147,资金日记账!$F$4:$F$2503,"成本-主材")-SUMIFS(资金日记账!$J$4:$J$2503,资金日记账!$G$4:$G$2503,$B147,资金日记账!$F$4:$F$2503,"成本-主材"),2))</f>
        <v/>
      </c>
      <c r="M147" s="19">
        <f>IF($B147="","",ROUND(SUMIFS(采购单!$L$4:$L$2003,采购单!$D$4:$D$2003,$B147,采购单!$F$4:$F$2003,"成本-辅材")+SUMIFS(生产安装!$J$4:$J$1203,生产安装!$C$4:$C$1203,$B147,生产安装!$E$4:$E$1203,"成本-辅材")+SUMIFS(资金日记账!$K$4:$K$2503,资金日记账!$G$4:$G$2503,$B147,资金日记账!$F$4:$F$2503,"成本-辅材")-SUMIFS(资金日记账!$J$4:$J$2503,资金日记账!$G$4:$G$2503,$B147,资金日记账!$F$4:$F$2503,"成本-辅材"),2))</f>
        <v/>
      </c>
      <c r="N147" s="19">
        <f>IF($B147="","",ROUND(SUMIFS(采购单!$L$4:$L$2003,采购单!$D$4:$D$2003,$B147,采购单!$F$4:$F$2003,"成本-人工")+SUMIFS(生产安装!$J$4:$J$1203,生产安装!$C$4:$C$1203,$B147,生产安装!$E$4:$E$1203,"成本-人工")+SUMIFS(资金日记账!$K$4:$K$2503,资金日记账!$G$4:$G$2503,$B147,资金日记账!$F$4:$F$2503,"成本-人工")-SUMIFS(资金日记账!$J$4:$J$2503,资金日记账!$G$4:$G$2503,$B147,资金日记账!$F$4:$F$2503,"成本-人工"),2))</f>
        <v/>
      </c>
      <c r="O147" s="19">
        <f>IF($B147="","",ROUND(SUMIFS(采购单!$L$4:$L$2003,采购单!$D$4:$D$2003,$B147,采购单!$F$4:$F$2003,"成本-车运")+SUMIFS(生产安装!$J$4:$J$1203,生产安装!$C$4:$C$1203,$B147,生产安装!$E$4:$E$1203,"成本-车运")+SUMIFS(资金日记账!$K$4:$K$2503,资金日记账!$G$4:$G$2503,$B147,资金日记账!$F$4:$F$2503,"成本-车运")-SUMIFS(资金日记账!$J$4:$J$2503,资金日记账!$G$4:$G$2503,$B147,资金日记账!$F$4:$F$2503,"成本-车运"),2))</f>
        <v/>
      </c>
      <c r="P147" s="19">
        <f>IF($B147="","",ROUND(SUMIFS(采购单!$L$4:$L$2003,采购单!$D$4:$D$2003,$B147,采购单!$F$4:$F$2003,"成本-其他")+SUMIFS(生产安装!$J$4:$J$1203,生产安装!$C$4:$C$1203,$B147,生产安装!$E$4:$E$1203,"成本-其他")+SUMIFS(资金日记账!$K$4:$K$2503,资金日记账!$G$4:$G$2503,$B147,资金日记账!$F$4:$F$2503,"成本-其他")-SUMIFS(资金日记账!$J$4:$J$2503,资金日记账!$G$4:$G$2503,$B147,资金日记账!$F$4:$F$2503,"成本-其他"),2))</f>
        <v/>
      </c>
      <c r="Q147" s="19">
        <f>IF($B147="","",ROUND(SUM($L147:$P147),2))</f>
        <v/>
      </c>
      <c r="R147" s="19">
        <f>IF($B147="","",ROUND($I147-$Q147,2))</f>
        <v/>
      </c>
      <c r="S147" s="33">
        <f>IF($B147="","",IF(ROUND($I147,2)=0,"",ROUND($R147/$I147,4)))</f>
        <v/>
      </c>
      <c r="T147" s="22">
        <f>IF($B147="","",IF($G147="",0,YEAR($G147)*100+MONTH($G147)))</f>
        <v/>
      </c>
      <c r="U147" s="17">
        <f>IF($B147="","",IF(项目台账!$R146="","",项目台账!$R146))</f>
        <v/>
      </c>
    </row>
    <row r="148">
      <c r="A148" s="17">
        <f>IF(项目台账!$B147="","",项目台账!$A147)</f>
        <v/>
      </c>
      <c r="B148" s="17">
        <f>IF(项目台账!$B147="","",项目台账!$B147)</f>
        <v/>
      </c>
      <c r="C148" s="17">
        <f>IF($B148="","",IF(项目台账!$C147="","",项目台账!$C147))</f>
        <v/>
      </c>
      <c r="D148" s="17">
        <f>IF($B148="","",IF(项目台账!$D147="","",项目台账!$D147))</f>
        <v/>
      </c>
      <c r="E148" s="17">
        <f>IF($B148="","",IF(项目台账!$E147="","",项目台账!$E147))</f>
        <v/>
      </c>
      <c r="F148" s="23">
        <f>IF($B148="","",IF(项目台账!$F147="","",项目台账!$F147))</f>
        <v/>
      </c>
      <c r="G148" s="23">
        <f>IF($B148="","",IF(项目台账!$J147="","",项目台账!$J147))</f>
        <v/>
      </c>
      <c r="H148" s="17">
        <f>IF($B148="","",IF(项目台账!$Q147="","",项目台账!$Q147))</f>
        <v/>
      </c>
      <c r="I148" s="19">
        <f>IF($B148="","",项目台账!$M147)</f>
        <v/>
      </c>
      <c r="J148" s="19">
        <f>IF($B148="","",项目台账!$O147)</f>
        <v/>
      </c>
      <c r="K148" s="19">
        <f>IF($B148="","",项目台账!$P147)</f>
        <v/>
      </c>
      <c r="L148" s="19">
        <f>IF($B148="","",ROUND(SUMIFS(采购单!$L$4:$L$2003,采购单!$D$4:$D$2003,$B148,采购单!$F$4:$F$2003,"成本-主材")+SUMIFS(生产安装!$J$4:$J$1203,生产安装!$C$4:$C$1203,$B148,生产安装!$E$4:$E$1203,"成本-主材")+SUMIFS(资金日记账!$K$4:$K$2503,资金日记账!$G$4:$G$2503,$B148,资金日记账!$F$4:$F$2503,"成本-主材")-SUMIFS(资金日记账!$J$4:$J$2503,资金日记账!$G$4:$G$2503,$B148,资金日记账!$F$4:$F$2503,"成本-主材"),2))</f>
        <v/>
      </c>
      <c r="M148" s="19">
        <f>IF($B148="","",ROUND(SUMIFS(采购单!$L$4:$L$2003,采购单!$D$4:$D$2003,$B148,采购单!$F$4:$F$2003,"成本-辅材")+SUMIFS(生产安装!$J$4:$J$1203,生产安装!$C$4:$C$1203,$B148,生产安装!$E$4:$E$1203,"成本-辅材")+SUMIFS(资金日记账!$K$4:$K$2503,资金日记账!$G$4:$G$2503,$B148,资金日记账!$F$4:$F$2503,"成本-辅材")-SUMIFS(资金日记账!$J$4:$J$2503,资金日记账!$G$4:$G$2503,$B148,资金日记账!$F$4:$F$2503,"成本-辅材"),2))</f>
        <v/>
      </c>
      <c r="N148" s="19">
        <f>IF($B148="","",ROUND(SUMIFS(采购单!$L$4:$L$2003,采购单!$D$4:$D$2003,$B148,采购单!$F$4:$F$2003,"成本-人工")+SUMIFS(生产安装!$J$4:$J$1203,生产安装!$C$4:$C$1203,$B148,生产安装!$E$4:$E$1203,"成本-人工")+SUMIFS(资金日记账!$K$4:$K$2503,资金日记账!$G$4:$G$2503,$B148,资金日记账!$F$4:$F$2503,"成本-人工")-SUMIFS(资金日记账!$J$4:$J$2503,资金日记账!$G$4:$G$2503,$B148,资金日记账!$F$4:$F$2503,"成本-人工"),2))</f>
        <v/>
      </c>
      <c r="O148" s="19">
        <f>IF($B148="","",ROUND(SUMIFS(采购单!$L$4:$L$2003,采购单!$D$4:$D$2003,$B148,采购单!$F$4:$F$2003,"成本-车运")+SUMIFS(生产安装!$J$4:$J$1203,生产安装!$C$4:$C$1203,$B148,生产安装!$E$4:$E$1203,"成本-车运")+SUMIFS(资金日记账!$K$4:$K$2503,资金日记账!$G$4:$G$2503,$B148,资金日记账!$F$4:$F$2503,"成本-车运")-SUMIFS(资金日记账!$J$4:$J$2503,资金日记账!$G$4:$G$2503,$B148,资金日记账!$F$4:$F$2503,"成本-车运"),2))</f>
        <v/>
      </c>
      <c r="P148" s="19">
        <f>IF($B148="","",ROUND(SUMIFS(采购单!$L$4:$L$2003,采购单!$D$4:$D$2003,$B148,采购单!$F$4:$F$2003,"成本-其他")+SUMIFS(生产安装!$J$4:$J$1203,生产安装!$C$4:$C$1203,$B148,生产安装!$E$4:$E$1203,"成本-其他")+SUMIFS(资金日记账!$K$4:$K$2503,资金日记账!$G$4:$G$2503,$B148,资金日记账!$F$4:$F$2503,"成本-其他")-SUMIFS(资金日记账!$J$4:$J$2503,资金日记账!$G$4:$G$2503,$B148,资金日记账!$F$4:$F$2503,"成本-其他"),2))</f>
        <v/>
      </c>
      <c r="Q148" s="19">
        <f>IF($B148="","",ROUND(SUM($L148:$P148),2))</f>
        <v/>
      </c>
      <c r="R148" s="19">
        <f>IF($B148="","",ROUND($I148-$Q148,2))</f>
        <v/>
      </c>
      <c r="S148" s="33">
        <f>IF($B148="","",IF(ROUND($I148,2)=0,"",ROUND($R148/$I148,4)))</f>
        <v/>
      </c>
      <c r="T148" s="22">
        <f>IF($B148="","",IF($G148="",0,YEAR($G148)*100+MONTH($G148)))</f>
        <v/>
      </c>
      <c r="U148" s="17">
        <f>IF($B148="","",IF(项目台账!$R147="","",项目台账!$R147))</f>
        <v/>
      </c>
    </row>
    <row r="149">
      <c r="A149" s="17">
        <f>IF(项目台账!$B148="","",项目台账!$A148)</f>
        <v/>
      </c>
      <c r="B149" s="17">
        <f>IF(项目台账!$B148="","",项目台账!$B148)</f>
        <v/>
      </c>
      <c r="C149" s="17">
        <f>IF($B149="","",IF(项目台账!$C148="","",项目台账!$C148))</f>
        <v/>
      </c>
      <c r="D149" s="17">
        <f>IF($B149="","",IF(项目台账!$D148="","",项目台账!$D148))</f>
        <v/>
      </c>
      <c r="E149" s="17">
        <f>IF($B149="","",IF(项目台账!$E148="","",项目台账!$E148))</f>
        <v/>
      </c>
      <c r="F149" s="23">
        <f>IF($B149="","",IF(项目台账!$F148="","",项目台账!$F148))</f>
        <v/>
      </c>
      <c r="G149" s="23">
        <f>IF($B149="","",IF(项目台账!$J148="","",项目台账!$J148))</f>
        <v/>
      </c>
      <c r="H149" s="17">
        <f>IF($B149="","",IF(项目台账!$Q148="","",项目台账!$Q148))</f>
        <v/>
      </c>
      <c r="I149" s="19">
        <f>IF($B149="","",项目台账!$M148)</f>
        <v/>
      </c>
      <c r="J149" s="19">
        <f>IF($B149="","",项目台账!$O148)</f>
        <v/>
      </c>
      <c r="K149" s="19">
        <f>IF($B149="","",项目台账!$P148)</f>
        <v/>
      </c>
      <c r="L149" s="19">
        <f>IF($B149="","",ROUND(SUMIFS(采购单!$L$4:$L$2003,采购单!$D$4:$D$2003,$B149,采购单!$F$4:$F$2003,"成本-主材")+SUMIFS(生产安装!$J$4:$J$1203,生产安装!$C$4:$C$1203,$B149,生产安装!$E$4:$E$1203,"成本-主材")+SUMIFS(资金日记账!$K$4:$K$2503,资金日记账!$G$4:$G$2503,$B149,资金日记账!$F$4:$F$2503,"成本-主材")-SUMIFS(资金日记账!$J$4:$J$2503,资金日记账!$G$4:$G$2503,$B149,资金日记账!$F$4:$F$2503,"成本-主材"),2))</f>
        <v/>
      </c>
      <c r="M149" s="19">
        <f>IF($B149="","",ROUND(SUMIFS(采购单!$L$4:$L$2003,采购单!$D$4:$D$2003,$B149,采购单!$F$4:$F$2003,"成本-辅材")+SUMIFS(生产安装!$J$4:$J$1203,生产安装!$C$4:$C$1203,$B149,生产安装!$E$4:$E$1203,"成本-辅材")+SUMIFS(资金日记账!$K$4:$K$2503,资金日记账!$G$4:$G$2503,$B149,资金日记账!$F$4:$F$2503,"成本-辅材")-SUMIFS(资金日记账!$J$4:$J$2503,资金日记账!$G$4:$G$2503,$B149,资金日记账!$F$4:$F$2503,"成本-辅材"),2))</f>
        <v/>
      </c>
      <c r="N149" s="19">
        <f>IF($B149="","",ROUND(SUMIFS(采购单!$L$4:$L$2003,采购单!$D$4:$D$2003,$B149,采购单!$F$4:$F$2003,"成本-人工")+SUMIFS(生产安装!$J$4:$J$1203,生产安装!$C$4:$C$1203,$B149,生产安装!$E$4:$E$1203,"成本-人工")+SUMIFS(资金日记账!$K$4:$K$2503,资金日记账!$G$4:$G$2503,$B149,资金日记账!$F$4:$F$2503,"成本-人工")-SUMIFS(资金日记账!$J$4:$J$2503,资金日记账!$G$4:$G$2503,$B149,资金日记账!$F$4:$F$2503,"成本-人工"),2))</f>
        <v/>
      </c>
      <c r="O149" s="19">
        <f>IF($B149="","",ROUND(SUMIFS(采购单!$L$4:$L$2003,采购单!$D$4:$D$2003,$B149,采购单!$F$4:$F$2003,"成本-车运")+SUMIFS(生产安装!$J$4:$J$1203,生产安装!$C$4:$C$1203,$B149,生产安装!$E$4:$E$1203,"成本-车运")+SUMIFS(资金日记账!$K$4:$K$2503,资金日记账!$G$4:$G$2503,$B149,资金日记账!$F$4:$F$2503,"成本-车运")-SUMIFS(资金日记账!$J$4:$J$2503,资金日记账!$G$4:$G$2503,$B149,资金日记账!$F$4:$F$2503,"成本-车运"),2))</f>
        <v/>
      </c>
      <c r="P149" s="19">
        <f>IF($B149="","",ROUND(SUMIFS(采购单!$L$4:$L$2003,采购单!$D$4:$D$2003,$B149,采购单!$F$4:$F$2003,"成本-其他")+SUMIFS(生产安装!$J$4:$J$1203,生产安装!$C$4:$C$1203,$B149,生产安装!$E$4:$E$1203,"成本-其他")+SUMIFS(资金日记账!$K$4:$K$2503,资金日记账!$G$4:$G$2503,$B149,资金日记账!$F$4:$F$2503,"成本-其他")-SUMIFS(资金日记账!$J$4:$J$2503,资金日记账!$G$4:$G$2503,$B149,资金日记账!$F$4:$F$2503,"成本-其他"),2))</f>
        <v/>
      </c>
      <c r="Q149" s="19">
        <f>IF($B149="","",ROUND(SUM($L149:$P149),2))</f>
        <v/>
      </c>
      <c r="R149" s="19">
        <f>IF($B149="","",ROUND($I149-$Q149,2))</f>
        <v/>
      </c>
      <c r="S149" s="33">
        <f>IF($B149="","",IF(ROUND($I149,2)=0,"",ROUND($R149/$I149,4)))</f>
        <v/>
      </c>
      <c r="T149" s="22">
        <f>IF($B149="","",IF($G149="",0,YEAR($G149)*100+MONTH($G149)))</f>
        <v/>
      </c>
      <c r="U149" s="17">
        <f>IF($B149="","",IF(项目台账!$R148="","",项目台账!$R148))</f>
        <v/>
      </c>
    </row>
    <row r="150">
      <c r="A150" s="17">
        <f>IF(项目台账!$B149="","",项目台账!$A149)</f>
        <v/>
      </c>
      <c r="B150" s="17">
        <f>IF(项目台账!$B149="","",项目台账!$B149)</f>
        <v/>
      </c>
      <c r="C150" s="17">
        <f>IF($B150="","",IF(项目台账!$C149="","",项目台账!$C149))</f>
        <v/>
      </c>
      <c r="D150" s="17">
        <f>IF($B150="","",IF(项目台账!$D149="","",项目台账!$D149))</f>
        <v/>
      </c>
      <c r="E150" s="17">
        <f>IF($B150="","",IF(项目台账!$E149="","",项目台账!$E149))</f>
        <v/>
      </c>
      <c r="F150" s="23">
        <f>IF($B150="","",IF(项目台账!$F149="","",项目台账!$F149))</f>
        <v/>
      </c>
      <c r="G150" s="23">
        <f>IF($B150="","",IF(项目台账!$J149="","",项目台账!$J149))</f>
        <v/>
      </c>
      <c r="H150" s="17">
        <f>IF($B150="","",IF(项目台账!$Q149="","",项目台账!$Q149))</f>
        <v/>
      </c>
      <c r="I150" s="19">
        <f>IF($B150="","",项目台账!$M149)</f>
        <v/>
      </c>
      <c r="J150" s="19">
        <f>IF($B150="","",项目台账!$O149)</f>
        <v/>
      </c>
      <c r="K150" s="19">
        <f>IF($B150="","",项目台账!$P149)</f>
        <v/>
      </c>
      <c r="L150" s="19">
        <f>IF($B150="","",ROUND(SUMIFS(采购单!$L$4:$L$2003,采购单!$D$4:$D$2003,$B150,采购单!$F$4:$F$2003,"成本-主材")+SUMIFS(生产安装!$J$4:$J$1203,生产安装!$C$4:$C$1203,$B150,生产安装!$E$4:$E$1203,"成本-主材")+SUMIFS(资金日记账!$K$4:$K$2503,资金日记账!$G$4:$G$2503,$B150,资金日记账!$F$4:$F$2503,"成本-主材")-SUMIFS(资金日记账!$J$4:$J$2503,资金日记账!$G$4:$G$2503,$B150,资金日记账!$F$4:$F$2503,"成本-主材"),2))</f>
        <v/>
      </c>
      <c r="M150" s="19">
        <f>IF($B150="","",ROUND(SUMIFS(采购单!$L$4:$L$2003,采购单!$D$4:$D$2003,$B150,采购单!$F$4:$F$2003,"成本-辅材")+SUMIFS(生产安装!$J$4:$J$1203,生产安装!$C$4:$C$1203,$B150,生产安装!$E$4:$E$1203,"成本-辅材")+SUMIFS(资金日记账!$K$4:$K$2503,资金日记账!$G$4:$G$2503,$B150,资金日记账!$F$4:$F$2503,"成本-辅材")-SUMIFS(资金日记账!$J$4:$J$2503,资金日记账!$G$4:$G$2503,$B150,资金日记账!$F$4:$F$2503,"成本-辅材"),2))</f>
        <v/>
      </c>
      <c r="N150" s="19">
        <f>IF($B150="","",ROUND(SUMIFS(采购单!$L$4:$L$2003,采购单!$D$4:$D$2003,$B150,采购单!$F$4:$F$2003,"成本-人工")+SUMIFS(生产安装!$J$4:$J$1203,生产安装!$C$4:$C$1203,$B150,生产安装!$E$4:$E$1203,"成本-人工")+SUMIFS(资金日记账!$K$4:$K$2503,资金日记账!$G$4:$G$2503,$B150,资金日记账!$F$4:$F$2503,"成本-人工")-SUMIFS(资金日记账!$J$4:$J$2503,资金日记账!$G$4:$G$2503,$B150,资金日记账!$F$4:$F$2503,"成本-人工"),2))</f>
        <v/>
      </c>
      <c r="O150" s="19">
        <f>IF($B150="","",ROUND(SUMIFS(采购单!$L$4:$L$2003,采购单!$D$4:$D$2003,$B150,采购单!$F$4:$F$2003,"成本-车运")+SUMIFS(生产安装!$J$4:$J$1203,生产安装!$C$4:$C$1203,$B150,生产安装!$E$4:$E$1203,"成本-车运")+SUMIFS(资金日记账!$K$4:$K$2503,资金日记账!$G$4:$G$2503,$B150,资金日记账!$F$4:$F$2503,"成本-车运")-SUMIFS(资金日记账!$J$4:$J$2503,资金日记账!$G$4:$G$2503,$B150,资金日记账!$F$4:$F$2503,"成本-车运"),2))</f>
        <v/>
      </c>
      <c r="P150" s="19">
        <f>IF($B150="","",ROUND(SUMIFS(采购单!$L$4:$L$2003,采购单!$D$4:$D$2003,$B150,采购单!$F$4:$F$2003,"成本-其他")+SUMIFS(生产安装!$J$4:$J$1203,生产安装!$C$4:$C$1203,$B150,生产安装!$E$4:$E$1203,"成本-其他")+SUMIFS(资金日记账!$K$4:$K$2503,资金日记账!$G$4:$G$2503,$B150,资金日记账!$F$4:$F$2503,"成本-其他")-SUMIFS(资金日记账!$J$4:$J$2503,资金日记账!$G$4:$G$2503,$B150,资金日记账!$F$4:$F$2503,"成本-其他"),2))</f>
        <v/>
      </c>
      <c r="Q150" s="19">
        <f>IF($B150="","",ROUND(SUM($L150:$P150),2))</f>
        <v/>
      </c>
      <c r="R150" s="19">
        <f>IF($B150="","",ROUND($I150-$Q150,2))</f>
        <v/>
      </c>
      <c r="S150" s="33">
        <f>IF($B150="","",IF(ROUND($I150,2)=0,"",ROUND($R150/$I150,4)))</f>
        <v/>
      </c>
      <c r="T150" s="22">
        <f>IF($B150="","",IF($G150="",0,YEAR($G150)*100+MONTH($G150)))</f>
        <v/>
      </c>
      <c r="U150" s="17">
        <f>IF($B150="","",IF(项目台账!$R149="","",项目台账!$R149))</f>
        <v/>
      </c>
    </row>
    <row r="151">
      <c r="A151" s="17">
        <f>IF(项目台账!$B150="","",项目台账!$A150)</f>
        <v/>
      </c>
      <c r="B151" s="17">
        <f>IF(项目台账!$B150="","",项目台账!$B150)</f>
        <v/>
      </c>
      <c r="C151" s="17">
        <f>IF($B151="","",IF(项目台账!$C150="","",项目台账!$C150))</f>
        <v/>
      </c>
      <c r="D151" s="17">
        <f>IF($B151="","",IF(项目台账!$D150="","",项目台账!$D150))</f>
        <v/>
      </c>
      <c r="E151" s="17">
        <f>IF($B151="","",IF(项目台账!$E150="","",项目台账!$E150))</f>
        <v/>
      </c>
      <c r="F151" s="23">
        <f>IF($B151="","",IF(项目台账!$F150="","",项目台账!$F150))</f>
        <v/>
      </c>
      <c r="G151" s="23">
        <f>IF($B151="","",IF(项目台账!$J150="","",项目台账!$J150))</f>
        <v/>
      </c>
      <c r="H151" s="17">
        <f>IF($B151="","",IF(项目台账!$Q150="","",项目台账!$Q150))</f>
        <v/>
      </c>
      <c r="I151" s="19">
        <f>IF($B151="","",项目台账!$M150)</f>
        <v/>
      </c>
      <c r="J151" s="19">
        <f>IF($B151="","",项目台账!$O150)</f>
        <v/>
      </c>
      <c r="K151" s="19">
        <f>IF($B151="","",项目台账!$P150)</f>
        <v/>
      </c>
      <c r="L151" s="19">
        <f>IF($B151="","",ROUND(SUMIFS(采购单!$L$4:$L$2003,采购单!$D$4:$D$2003,$B151,采购单!$F$4:$F$2003,"成本-主材")+SUMIFS(生产安装!$J$4:$J$1203,生产安装!$C$4:$C$1203,$B151,生产安装!$E$4:$E$1203,"成本-主材")+SUMIFS(资金日记账!$K$4:$K$2503,资金日记账!$G$4:$G$2503,$B151,资金日记账!$F$4:$F$2503,"成本-主材")-SUMIFS(资金日记账!$J$4:$J$2503,资金日记账!$G$4:$G$2503,$B151,资金日记账!$F$4:$F$2503,"成本-主材"),2))</f>
        <v/>
      </c>
      <c r="M151" s="19">
        <f>IF($B151="","",ROUND(SUMIFS(采购单!$L$4:$L$2003,采购单!$D$4:$D$2003,$B151,采购单!$F$4:$F$2003,"成本-辅材")+SUMIFS(生产安装!$J$4:$J$1203,生产安装!$C$4:$C$1203,$B151,生产安装!$E$4:$E$1203,"成本-辅材")+SUMIFS(资金日记账!$K$4:$K$2503,资金日记账!$G$4:$G$2503,$B151,资金日记账!$F$4:$F$2503,"成本-辅材")-SUMIFS(资金日记账!$J$4:$J$2503,资金日记账!$G$4:$G$2503,$B151,资金日记账!$F$4:$F$2503,"成本-辅材"),2))</f>
        <v/>
      </c>
      <c r="N151" s="19">
        <f>IF($B151="","",ROUND(SUMIFS(采购单!$L$4:$L$2003,采购单!$D$4:$D$2003,$B151,采购单!$F$4:$F$2003,"成本-人工")+SUMIFS(生产安装!$J$4:$J$1203,生产安装!$C$4:$C$1203,$B151,生产安装!$E$4:$E$1203,"成本-人工")+SUMIFS(资金日记账!$K$4:$K$2503,资金日记账!$G$4:$G$2503,$B151,资金日记账!$F$4:$F$2503,"成本-人工")-SUMIFS(资金日记账!$J$4:$J$2503,资金日记账!$G$4:$G$2503,$B151,资金日记账!$F$4:$F$2503,"成本-人工"),2))</f>
        <v/>
      </c>
      <c r="O151" s="19">
        <f>IF($B151="","",ROUND(SUMIFS(采购单!$L$4:$L$2003,采购单!$D$4:$D$2003,$B151,采购单!$F$4:$F$2003,"成本-车运")+SUMIFS(生产安装!$J$4:$J$1203,生产安装!$C$4:$C$1203,$B151,生产安装!$E$4:$E$1203,"成本-车运")+SUMIFS(资金日记账!$K$4:$K$2503,资金日记账!$G$4:$G$2503,$B151,资金日记账!$F$4:$F$2503,"成本-车运")-SUMIFS(资金日记账!$J$4:$J$2503,资金日记账!$G$4:$G$2503,$B151,资金日记账!$F$4:$F$2503,"成本-车运"),2))</f>
        <v/>
      </c>
      <c r="P151" s="19">
        <f>IF($B151="","",ROUND(SUMIFS(采购单!$L$4:$L$2003,采购单!$D$4:$D$2003,$B151,采购单!$F$4:$F$2003,"成本-其他")+SUMIFS(生产安装!$J$4:$J$1203,生产安装!$C$4:$C$1203,$B151,生产安装!$E$4:$E$1203,"成本-其他")+SUMIFS(资金日记账!$K$4:$K$2503,资金日记账!$G$4:$G$2503,$B151,资金日记账!$F$4:$F$2503,"成本-其他")-SUMIFS(资金日记账!$J$4:$J$2503,资金日记账!$G$4:$G$2503,$B151,资金日记账!$F$4:$F$2503,"成本-其他"),2))</f>
        <v/>
      </c>
      <c r="Q151" s="19">
        <f>IF($B151="","",ROUND(SUM($L151:$P151),2))</f>
        <v/>
      </c>
      <c r="R151" s="19">
        <f>IF($B151="","",ROUND($I151-$Q151,2))</f>
        <v/>
      </c>
      <c r="S151" s="33">
        <f>IF($B151="","",IF(ROUND($I151,2)=0,"",ROUND($R151/$I151,4)))</f>
        <v/>
      </c>
      <c r="T151" s="22">
        <f>IF($B151="","",IF($G151="",0,YEAR($G151)*100+MONTH($G151)))</f>
        <v/>
      </c>
      <c r="U151" s="17">
        <f>IF($B151="","",IF(项目台账!$R150="","",项目台账!$R150))</f>
        <v/>
      </c>
    </row>
    <row r="152">
      <c r="A152" s="17">
        <f>IF(项目台账!$B151="","",项目台账!$A151)</f>
        <v/>
      </c>
      <c r="B152" s="17">
        <f>IF(项目台账!$B151="","",项目台账!$B151)</f>
        <v/>
      </c>
      <c r="C152" s="17">
        <f>IF($B152="","",IF(项目台账!$C151="","",项目台账!$C151))</f>
        <v/>
      </c>
      <c r="D152" s="17">
        <f>IF($B152="","",IF(项目台账!$D151="","",项目台账!$D151))</f>
        <v/>
      </c>
      <c r="E152" s="17">
        <f>IF($B152="","",IF(项目台账!$E151="","",项目台账!$E151))</f>
        <v/>
      </c>
      <c r="F152" s="23">
        <f>IF($B152="","",IF(项目台账!$F151="","",项目台账!$F151))</f>
        <v/>
      </c>
      <c r="G152" s="23">
        <f>IF($B152="","",IF(项目台账!$J151="","",项目台账!$J151))</f>
        <v/>
      </c>
      <c r="H152" s="17">
        <f>IF($B152="","",IF(项目台账!$Q151="","",项目台账!$Q151))</f>
        <v/>
      </c>
      <c r="I152" s="19">
        <f>IF($B152="","",项目台账!$M151)</f>
        <v/>
      </c>
      <c r="J152" s="19">
        <f>IF($B152="","",项目台账!$O151)</f>
        <v/>
      </c>
      <c r="K152" s="19">
        <f>IF($B152="","",项目台账!$P151)</f>
        <v/>
      </c>
      <c r="L152" s="19">
        <f>IF($B152="","",ROUND(SUMIFS(采购单!$L$4:$L$2003,采购单!$D$4:$D$2003,$B152,采购单!$F$4:$F$2003,"成本-主材")+SUMIFS(生产安装!$J$4:$J$1203,生产安装!$C$4:$C$1203,$B152,生产安装!$E$4:$E$1203,"成本-主材")+SUMIFS(资金日记账!$K$4:$K$2503,资金日记账!$G$4:$G$2503,$B152,资金日记账!$F$4:$F$2503,"成本-主材")-SUMIFS(资金日记账!$J$4:$J$2503,资金日记账!$G$4:$G$2503,$B152,资金日记账!$F$4:$F$2503,"成本-主材"),2))</f>
        <v/>
      </c>
      <c r="M152" s="19">
        <f>IF($B152="","",ROUND(SUMIFS(采购单!$L$4:$L$2003,采购单!$D$4:$D$2003,$B152,采购单!$F$4:$F$2003,"成本-辅材")+SUMIFS(生产安装!$J$4:$J$1203,生产安装!$C$4:$C$1203,$B152,生产安装!$E$4:$E$1203,"成本-辅材")+SUMIFS(资金日记账!$K$4:$K$2503,资金日记账!$G$4:$G$2503,$B152,资金日记账!$F$4:$F$2503,"成本-辅材")-SUMIFS(资金日记账!$J$4:$J$2503,资金日记账!$G$4:$G$2503,$B152,资金日记账!$F$4:$F$2503,"成本-辅材"),2))</f>
        <v/>
      </c>
      <c r="N152" s="19">
        <f>IF($B152="","",ROUND(SUMIFS(采购单!$L$4:$L$2003,采购单!$D$4:$D$2003,$B152,采购单!$F$4:$F$2003,"成本-人工")+SUMIFS(生产安装!$J$4:$J$1203,生产安装!$C$4:$C$1203,$B152,生产安装!$E$4:$E$1203,"成本-人工")+SUMIFS(资金日记账!$K$4:$K$2503,资金日记账!$G$4:$G$2503,$B152,资金日记账!$F$4:$F$2503,"成本-人工")-SUMIFS(资金日记账!$J$4:$J$2503,资金日记账!$G$4:$G$2503,$B152,资金日记账!$F$4:$F$2503,"成本-人工"),2))</f>
        <v/>
      </c>
      <c r="O152" s="19">
        <f>IF($B152="","",ROUND(SUMIFS(采购单!$L$4:$L$2003,采购单!$D$4:$D$2003,$B152,采购单!$F$4:$F$2003,"成本-车运")+SUMIFS(生产安装!$J$4:$J$1203,生产安装!$C$4:$C$1203,$B152,生产安装!$E$4:$E$1203,"成本-车运")+SUMIFS(资金日记账!$K$4:$K$2503,资金日记账!$G$4:$G$2503,$B152,资金日记账!$F$4:$F$2503,"成本-车运")-SUMIFS(资金日记账!$J$4:$J$2503,资金日记账!$G$4:$G$2503,$B152,资金日记账!$F$4:$F$2503,"成本-车运"),2))</f>
        <v/>
      </c>
      <c r="P152" s="19">
        <f>IF($B152="","",ROUND(SUMIFS(采购单!$L$4:$L$2003,采购单!$D$4:$D$2003,$B152,采购单!$F$4:$F$2003,"成本-其他")+SUMIFS(生产安装!$J$4:$J$1203,生产安装!$C$4:$C$1203,$B152,生产安装!$E$4:$E$1203,"成本-其他")+SUMIFS(资金日记账!$K$4:$K$2503,资金日记账!$G$4:$G$2503,$B152,资金日记账!$F$4:$F$2503,"成本-其他")-SUMIFS(资金日记账!$J$4:$J$2503,资金日记账!$G$4:$G$2503,$B152,资金日记账!$F$4:$F$2503,"成本-其他"),2))</f>
        <v/>
      </c>
      <c r="Q152" s="19">
        <f>IF($B152="","",ROUND(SUM($L152:$P152),2))</f>
        <v/>
      </c>
      <c r="R152" s="19">
        <f>IF($B152="","",ROUND($I152-$Q152,2))</f>
        <v/>
      </c>
      <c r="S152" s="33">
        <f>IF($B152="","",IF(ROUND($I152,2)=0,"",ROUND($R152/$I152,4)))</f>
        <v/>
      </c>
      <c r="T152" s="22">
        <f>IF($B152="","",IF($G152="",0,YEAR($G152)*100+MONTH($G152)))</f>
        <v/>
      </c>
      <c r="U152" s="17">
        <f>IF($B152="","",IF(项目台账!$R151="","",项目台账!$R151))</f>
        <v/>
      </c>
    </row>
    <row r="153">
      <c r="A153" s="17">
        <f>IF(项目台账!$B152="","",项目台账!$A152)</f>
        <v/>
      </c>
      <c r="B153" s="17">
        <f>IF(项目台账!$B152="","",项目台账!$B152)</f>
        <v/>
      </c>
      <c r="C153" s="17">
        <f>IF($B153="","",IF(项目台账!$C152="","",项目台账!$C152))</f>
        <v/>
      </c>
      <c r="D153" s="17">
        <f>IF($B153="","",IF(项目台账!$D152="","",项目台账!$D152))</f>
        <v/>
      </c>
      <c r="E153" s="17">
        <f>IF($B153="","",IF(项目台账!$E152="","",项目台账!$E152))</f>
        <v/>
      </c>
      <c r="F153" s="23">
        <f>IF($B153="","",IF(项目台账!$F152="","",项目台账!$F152))</f>
        <v/>
      </c>
      <c r="G153" s="23">
        <f>IF($B153="","",IF(项目台账!$J152="","",项目台账!$J152))</f>
        <v/>
      </c>
      <c r="H153" s="17">
        <f>IF($B153="","",IF(项目台账!$Q152="","",项目台账!$Q152))</f>
        <v/>
      </c>
      <c r="I153" s="19">
        <f>IF($B153="","",项目台账!$M152)</f>
        <v/>
      </c>
      <c r="J153" s="19">
        <f>IF($B153="","",项目台账!$O152)</f>
        <v/>
      </c>
      <c r="K153" s="19">
        <f>IF($B153="","",项目台账!$P152)</f>
        <v/>
      </c>
      <c r="L153" s="19">
        <f>IF($B153="","",ROUND(SUMIFS(采购单!$L$4:$L$2003,采购单!$D$4:$D$2003,$B153,采购单!$F$4:$F$2003,"成本-主材")+SUMIFS(生产安装!$J$4:$J$1203,生产安装!$C$4:$C$1203,$B153,生产安装!$E$4:$E$1203,"成本-主材")+SUMIFS(资金日记账!$K$4:$K$2503,资金日记账!$G$4:$G$2503,$B153,资金日记账!$F$4:$F$2503,"成本-主材")-SUMIFS(资金日记账!$J$4:$J$2503,资金日记账!$G$4:$G$2503,$B153,资金日记账!$F$4:$F$2503,"成本-主材"),2))</f>
        <v/>
      </c>
      <c r="M153" s="19">
        <f>IF($B153="","",ROUND(SUMIFS(采购单!$L$4:$L$2003,采购单!$D$4:$D$2003,$B153,采购单!$F$4:$F$2003,"成本-辅材")+SUMIFS(生产安装!$J$4:$J$1203,生产安装!$C$4:$C$1203,$B153,生产安装!$E$4:$E$1203,"成本-辅材")+SUMIFS(资金日记账!$K$4:$K$2503,资金日记账!$G$4:$G$2503,$B153,资金日记账!$F$4:$F$2503,"成本-辅材")-SUMIFS(资金日记账!$J$4:$J$2503,资金日记账!$G$4:$G$2503,$B153,资金日记账!$F$4:$F$2503,"成本-辅材"),2))</f>
        <v/>
      </c>
      <c r="N153" s="19">
        <f>IF($B153="","",ROUND(SUMIFS(采购单!$L$4:$L$2003,采购单!$D$4:$D$2003,$B153,采购单!$F$4:$F$2003,"成本-人工")+SUMIFS(生产安装!$J$4:$J$1203,生产安装!$C$4:$C$1203,$B153,生产安装!$E$4:$E$1203,"成本-人工")+SUMIFS(资金日记账!$K$4:$K$2503,资金日记账!$G$4:$G$2503,$B153,资金日记账!$F$4:$F$2503,"成本-人工")-SUMIFS(资金日记账!$J$4:$J$2503,资金日记账!$G$4:$G$2503,$B153,资金日记账!$F$4:$F$2503,"成本-人工"),2))</f>
        <v/>
      </c>
      <c r="O153" s="19">
        <f>IF($B153="","",ROUND(SUMIFS(采购单!$L$4:$L$2003,采购单!$D$4:$D$2003,$B153,采购单!$F$4:$F$2003,"成本-车运")+SUMIFS(生产安装!$J$4:$J$1203,生产安装!$C$4:$C$1203,$B153,生产安装!$E$4:$E$1203,"成本-车运")+SUMIFS(资金日记账!$K$4:$K$2503,资金日记账!$G$4:$G$2503,$B153,资金日记账!$F$4:$F$2503,"成本-车运")-SUMIFS(资金日记账!$J$4:$J$2503,资金日记账!$G$4:$G$2503,$B153,资金日记账!$F$4:$F$2503,"成本-车运"),2))</f>
        <v/>
      </c>
      <c r="P153" s="19">
        <f>IF($B153="","",ROUND(SUMIFS(采购单!$L$4:$L$2003,采购单!$D$4:$D$2003,$B153,采购单!$F$4:$F$2003,"成本-其他")+SUMIFS(生产安装!$J$4:$J$1203,生产安装!$C$4:$C$1203,$B153,生产安装!$E$4:$E$1203,"成本-其他")+SUMIFS(资金日记账!$K$4:$K$2503,资金日记账!$G$4:$G$2503,$B153,资金日记账!$F$4:$F$2503,"成本-其他")-SUMIFS(资金日记账!$J$4:$J$2503,资金日记账!$G$4:$G$2503,$B153,资金日记账!$F$4:$F$2503,"成本-其他"),2))</f>
        <v/>
      </c>
      <c r="Q153" s="19">
        <f>IF($B153="","",ROUND(SUM($L153:$P153),2))</f>
        <v/>
      </c>
      <c r="R153" s="19">
        <f>IF($B153="","",ROUND($I153-$Q153,2))</f>
        <v/>
      </c>
      <c r="S153" s="33">
        <f>IF($B153="","",IF(ROUND($I153,2)=0,"",ROUND($R153/$I153,4)))</f>
        <v/>
      </c>
      <c r="T153" s="22">
        <f>IF($B153="","",IF($G153="",0,YEAR($G153)*100+MONTH($G153)))</f>
        <v/>
      </c>
      <c r="U153" s="17">
        <f>IF($B153="","",IF(项目台账!$R152="","",项目台账!$R152))</f>
        <v/>
      </c>
    </row>
    <row r="154">
      <c r="A154" s="17">
        <f>IF(项目台账!$B153="","",项目台账!$A153)</f>
        <v/>
      </c>
      <c r="B154" s="17">
        <f>IF(项目台账!$B153="","",项目台账!$B153)</f>
        <v/>
      </c>
      <c r="C154" s="17">
        <f>IF($B154="","",IF(项目台账!$C153="","",项目台账!$C153))</f>
        <v/>
      </c>
      <c r="D154" s="17">
        <f>IF($B154="","",IF(项目台账!$D153="","",项目台账!$D153))</f>
        <v/>
      </c>
      <c r="E154" s="17">
        <f>IF($B154="","",IF(项目台账!$E153="","",项目台账!$E153))</f>
        <v/>
      </c>
      <c r="F154" s="23">
        <f>IF($B154="","",IF(项目台账!$F153="","",项目台账!$F153))</f>
        <v/>
      </c>
      <c r="G154" s="23">
        <f>IF($B154="","",IF(项目台账!$J153="","",项目台账!$J153))</f>
        <v/>
      </c>
      <c r="H154" s="17">
        <f>IF($B154="","",IF(项目台账!$Q153="","",项目台账!$Q153))</f>
        <v/>
      </c>
      <c r="I154" s="19">
        <f>IF($B154="","",项目台账!$M153)</f>
        <v/>
      </c>
      <c r="J154" s="19">
        <f>IF($B154="","",项目台账!$O153)</f>
        <v/>
      </c>
      <c r="K154" s="19">
        <f>IF($B154="","",项目台账!$P153)</f>
        <v/>
      </c>
      <c r="L154" s="19">
        <f>IF($B154="","",ROUND(SUMIFS(采购单!$L$4:$L$2003,采购单!$D$4:$D$2003,$B154,采购单!$F$4:$F$2003,"成本-主材")+SUMIFS(生产安装!$J$4:$J$1203,生产安装!$C$4:$C$1203,$B154,生产安装!$E$4:$E$1203,"成本-主材")+SUMIFS(资金日记账!$K$4:$K$2503,资金日记账!$G$4:$G$2503,$B154,资金日记账!$F$4:$F$2503,"成本-主材")-SUMIFS(资金日记账!$J$4:$J$2503,资金日记账!$G$4:$G$2503,$B154,资金日记账!$F$4:$F$2503,"成本-主材"),2))</f>
        <v/>
      </c>
      <c r="M154" s="19">
        <f>IF($B154="","",ROUND(SUMIFS(采购单!$L$4:$L$2003,采购单!$D$4:$D$2003,$B154,采购单!$F$4:$F$2003,"成本-辅材")+SUMIFS(生产安装!$J$4:$J$1203,生产安装!$C$4:$C$1203,$B154,生产安装!$E$4:$E$1203,"成本-辅材")+SUMIFS(资金日记账!$K$4:$K$2503,资金日记账!$G$4:$G$2503,$B154,资金日记账!$F$4:$F$2503,"成本-辅材")-SUMIFS(资金日记账!$J$4:$J$2503,资金日记账!$G$4:$G$2503,$B154,资金日记账!$F$4:$F$2503,"成本-辅材"),2))</f>
        <v/>
      </c>
      <c r="N154" s="19">
        <f>IF($B154="","",ROUND(SUMIFS(采购单!$L$4:$L$2003,采购单!$D$4:$D$2003,$B154,采购单!$F$4:$F$2003,"成本-人工")+SUMIFS(生产安装!$J$4:$J$1203,生产安装!$C$4:$C$1203,$B154,生产安装!$E$4:$E$1203,"成本-人工")+SUMIFS(资金日记账!$K$4:$K$2503,资金日记账!$G$4:$G$2503,$B154,资金日记账!$F$4:$F$2503,"成本-人工")-SUMIFS(资金日记账!$J$4:$J$2503,资金日记账!$G$4:$G$2503,$B154,资金日记账!$F$4:$F$2503,"成本-人工"),2))</f>
        <v/>
      </c>
      <c r="O154" s="19">
        <f>IF($B154="","",ROUND(SUMIFS(采购单!$L$4:$L$2003,采购单!$D$4:$D$2003,$B154,采购单!$F$4:$F$2003,"成本-车运")+SUMIFS(生产安装!$J$4:$J$1203,生产安装!$C$4:$C$1203,$B154,生产安装!$E$4:$E$1203,"成本-车运")+SUMIFS(资金日记账!$K$4:$K$2503,资金日记账!$G$4:$G$2503,$B154,资金日记账!$F$4:$F$2503,"成本-车运")-SUMIFS(资金日记账!$J$4:$J$2503,资金日记账!$G$4:$G$2503,$B154,资金日记账!$F$4:$F$2503,"成本-车运"),2))</f>
        <v/>
      </c>
      <c r="P154" s="19">
        <f>IF($B154="","",ROUND(SUMIFS(采购单!$L$4:$L$2003,采购单!$D$4:$D$2003,$B154,采购单!$F$4:$F$2003,"成本-其他")+SUMIFS(生产安装!$J$4:$J$1203,生产安装!$C$4:$C$1203,$B154,生产安装!$E$4:$E$1203,"成本-其他")+SUMIFS(资金日记账!$K$4:$K$2503,资金日记账!$G$4:$G$2503,$B154,资金日记账!$F$4:$F$2503,"成本-其他")-SUMIFS(资金日记账!$J$4:$J$2503,资金日记账!$G$4:$G$2503,$B154,资金日记账!$F$4:$F$2503,"成本-其他"),2))</f>
        <v/>
      </c>
      <c r="Q154" s="19">
        <f>IF($B154="","",ROUND(SUM($L154:$P154),2))</f>
        <v/>
      </c>
      <c r="R154" s="19">
        <f>IF($B154="","",ROUND($I154-$Q154,2))</f>
        <v/>
      </c>
      <c r="S154" s="33">
        <f>IF($B154="","",IF(ROUND($I154,2)=0,"",ROUND($R154/$I154,4)))</f>
        <v/>
      </c>
      <c r="T154" s="22">
        <f>IF($B154="","",IF($G154="",0,YEAR($G154)*100+MONTH($G154)))</f>
        <v/>
      </c>
      <c r="U154" s="17">
        <f>IF($B154="","",IF(项目台账!$R153="","",项目台账!$R153))</f>
        <v/>
      </c>
    </row>
    <row r="155">
      <c r="A155" s="17">
        <f>IF(项目台账!$B154="","",项目台账!$A154)</f>
        <v/>
      </c>
      <c r="B155" s="17">
        <f>IF(项目台账!$B154="","",项目台账!$B154)</f>
        <v/>
      </c>
      <c r="C155" s="17">
        <f>IF($B155="","",IF(项目台账!$C154="","",项目台账!$C154))</f>
        <v/>
      </c>
      <c r="D155" s="17">
        <f>IF($B155="","",IF(项目台账!$D154="","",项目台账!$D154))</f>
        <v/>
      </c>
      <c r="E155" s="17">
        <f>IF($B155="","",IF(项目台账!$E154="","",项目台账!$E154))</f>
        <v/>
      </c>
      <c r="F155" s="23">
        <f>IF($B155="","",IF(项目台账!$F154="","",项目台账!$F154))</f>
        <v/>
      </c>
      <c r="G155" s="23">
        <f>IF($B155="","",IF(项目台账!$J154="","",项目台账!$J154))</f>
        <v/>
      </c>
      <c r="H155" s="17">
        <f>IF($B155="","",IF(项目台账!$Q154="","",项目台账!$Q154))</f>
        <v/>
      </c>
      <c r="I155" s="19">
        <f>IF($B155="","",项目台账!$M154)</f>
        <v/>
      </c>
      <c r="J155" s="19">
        <f>IF($B155="","",项目台账!$O154)</f>
        <v/>
      </c>
      <c r="K155" s="19">
        <f>IF($B155="","",项目台账!$P154)</f>
        <v/>
      </c>
      <c r="L155" s="19">
        <f>IF($B155="","",ROUND(SUMIFS(采购单!$L$4:$L$2003,采购单!$D$4:$D$2003,$B155,采购单!$F$4:$F$2003,"成本-主材")+SUMIFS(生产安装!$J$4:$J$1203,生产安装!$C$4:$C$1203,$B155,生产安装!$E$4:$E$1203,"成本-主材")+SUMIFS(资金日记账!$K$4:$K$2503,资金日记账!$G$4:$G$2503,$B155,资金日记账!$F$4:$F$2503,"成本-主材")-SUMIFS(资金日记账!$J$4:$J$2503,资金日记账!$G$4:$G$2503,$B155,资金日记账!$F$4:$F$2503,"成本-主材"),2))</f>
        <v/>
      </c>
      <c r="M155" s="19">
        <f>IF($B155="","",ROUND(SUMIFS(采购单!$L$4:$L$2003,采购单!$D$4:$D$2003,$B155,采购单!$F$4:$F$2003,"成本-辅材")+SUMIFS(生产安装!$J$4:$J$1203,生产安装!$C$4:$C$1203,$B155,生产安装!$E$4:$E$1203,"成本-辅材")+SUMIFS(资金日记账!$K$4:$K$2503,资金日记账!$G$4:$G$2503,$B155,资金日记账!$F$4:$F$2503,"成本-辅材")-SUMIFS(资金日记账!$J$4:$J$2503,资金日记账!$G$4:$G$2503,$B155,资金日记账!$F$4:$F$2503,"成本-辅材"),2))</f>
        <v/>
      </c>
      <c r="N155" s="19">
        <f>IF($B155="","",ROUND(SUMIFS(采购单!$L$4:$L$2003,采购单!$D$4:$D$2003,$B155,采购单!$F$4:$F$2003,"成本-人工")+SUMIFS(生产安装!$J$4:$J$1203,生产安装!$C$4:$C$1203,$B155,生产安装!$E$4:$E$1203,"成本-人工")+SUMIFS(资金日记账!$K$4:$K$2503,资金日记账!$G$4:$G$2503,$B155,资金日记账!$F$4:$F$2503,"成本-人工")-SUMIFS(资金日记账!$J$4:$J$2503,资金日记账!$G$4:$G$2503,$B155,资金日记账!$F$4:$F$2503,"成本-人工"),2))</f>
        <v/>
      </c>
      <c r="O155" s="19">
        <f>IF($B155="","",ROUND(SUMIFS(采购单!$L$4:$L$2003,采购单!$D$4:$D$2003,$B155,采购单!$F$4:$F$2003,"成本-车运")+SUMIFS(生产安装!$J$4:$J$1203,生产安装!$C$4:$C$1203,$B155,生产安装!$E$4:$E$1203,"成本-车运")+SUMIFS(资金日记账!$K$4:$K$2503,资金日记账!$G$4:$G$2503,$B155,资金日记账!$F$4:$F$2503,"成本-车运")-SUMIFS(资金日记账!$J$4:$J$2503,资金日记账!$G$4:$G$2503,$B155,资金日记账!$F$4:$F$2503,"成本-车运"),2))</f>
        <v/>
      </c>
      <c r="P155" s="19">
        <f>IF($B155="","",ROUND(SUMIFS(采购单!$L$4:$L$2003,采购单!$D$4:$D$2003,$B155,采购单!$F$4:$F$2003,"成本-其他")+SUMIFS(生产安装!$J$4:$J$1203,生产安装!$C$4:$C$1203,$B155,生产安装!$E$4:$E$1203,"成本-其他")+SUMIFS(资金日记账!$K$4:$K$2503,资金日记账!$G$4:$G$2503,$B155,资金日记账!$F$4:$F$2503,"成本-其他")-SUMIFS(资金日记账!$J$4:$J$2503,资金日记账!$G$4:$G$2503,$B155,资金日记账!$F$4:$F$2503,"成本-其他"),2))</f>
        <v/>
      </c>
      <c r="Q155" s="19">
        <f>IF($B155="","",ROUND(SUM($L155:$P155),2))</f>
        <v/>
      </c>
      <c r="R155" s="19">
        <f>IF($B155="","",ROUND($I155-$Q155,2))</f>
        <v/>
      </c>
      <c r="S155" s="33">
        <f>IF($B155="","",IF(ROUND($I155,2)=0,"",ROUND($R155/$I155,4)))</f>
        <v/>
      </c>
      <c r="T155" s="22">
        <f>IF($B155="","",IF($G155="",0,YEAR($G155)*100+MONTH($G155)))</f>
        <v/>
      </c>
      <c r="U155" s="17">
        <f>IF($B155="","",IF(项目台账!$R154="","",项目台账!$R154))</f>
        <v/>
      </c>
    </row>
    <row r="156">
      <c r="A156" s="17">
        <f>IF(项目台账!$B155="","",项目台账!$A155)</f>
        <v/>
      </c>
      <c r="B156" s="17">
        <f>IF(项目台账!$B155="","",项目台账!$B155)</f>
        <v/>
      </c>
      <c r="C156" s="17">
        <f>IF($B156="","",IF(项目台账!$C155="","",项目台账!$C155))</f>
        <v/>
      </c>
      <c r="D156" s="17">
        <f>IF($B156="","",IF(项目台账!$D155="","",项目台账!$D155))</f>
        <v/>
      </c>
      <c r="E156" s="17">
        <f>IF($B156="","",IF(项目台账!$E155="","",项目台账!$E155))</f>
        <v/>
      </c>
      <c r="F156" s="23">
        <f>IF($B156="","",IF(项目台账!$F155="","",项目台账!$F155))</f>
        <v/>
      </c>
      <c r="G156" s="23">
        <f>IF($B156="","",IF(项目台账!$J155="","",项目台账!$J155))</f>
        <v/>
      </c>
      <c r="H156" s="17">
        <f>IF($B156="","",IF(项目台账!$Q155="","",项目台账!$Q155))</f>
        <v/>
      </c>
      <c r="I156" s="19">
        <f>IF($B156="","",项目台账!$M155)</f>
        <v/>
      </c>
      <c r="J156" s="19">
        <f>IF($B156="","",项目台账!$O155)</f>
        <v/>
      </c>
      <c r="K156" s="19">
        <f>IF($B156="","",项目台账!$P155)</f>
        <v/>
      </c>
      <c r="L156" s="19">
        <f>IF($B156="","",ROUND(SUMIFS(采购单!$L$4:$L$2003,采购单!$D$4:$D$2003,$B156,采购单!$F$4:$F$2003,"成本-主材")+SUMIFS(生产安装!$J$4:$J$1203,生产安装!$C$4:$C$1203,$B156,生产安装!$E$4:$E$1203,"成本-主材")+SUMIFS(资金日记账!$K$4:$K$2503,资金日记账!$G$4:$G$2503,$B156,资金日记账!$F$4:$F$2503,"成本-主材")-SUMIFS(资金日记账!$J$4:$J$2503,资金日记账!$G$4:$G$2503,$B156,资金日记账!$F$4:$F$2503,"成本-主材"),2))</f>
        <v/>
      </c>
      <c r="M156" s="19">
        <f>IF($B156="","",ROUND(SUMIFS(采购单!$L$4:$L$2003,采购单!$D$4:$D$2003,$B156,采购单!$F$4:$F$2003,"成本-辅材")+SUMIFS(生产安装!$J$4:$J$1203,生产安装!$C$4:$C$1203,$B156,生产安装!$E$4:$E$1203,"成本-辅材")+SUMIFS(资金日记账!$K$4:$K$2503,资金日记账!$G$4:$G$2503,$B156,资金日记账!$F$4:$F$2503,"成本-辅材")-SUMIFS(资金日记账!$J$4:$J$2503,资金日记账!$G$4:$G$2503,$B156,资金日记账!$F$4:$F$2503,"成本-辅材"),2))</f>
        <v/>
      </c>
      <c r="N156" s="19">
        <f>IF($B156="","",ROUND(SUMIFS(采购单!$L$4:$L$2003,采购单!$D$4:$D$2003,$B156,采购单!$F$4:$F$2003,"成本-人工")+SUMIFS(生产安装!$J$4:$J$1203,生产安装!$C$4:$C$1203,$B156,生产安装!$E$4:$E$1203,"成本-人工")+SUMIFS(资金日记账!$K$4:$K$2503,资金日记账!$G$4:$G$2503,$B156,资金日记账!$F$4:$F$2503,"成本-人工")-SUMIFS(资金日记账!$J$4:$J$2503,资金日记账!$G$4:$G$2503,$B156,资金日记账!$F$4:$F$2503,"成本-人工"),2))</f>
        <v/>
      </c>
      <c r="O156" s="19">
        <f>IF($B156="","",ROUND(SUMIFS(采购单!$L$4:$L$2003,采购单!$D$4:$D$2003,$B156,采购单!$F$4:$F$2003,"成本-车运")+SUMIFS(生产安装!$J$4:$J$1203,生产安装!$C$4:$C$1203,$B156,生产安装!$E$4:$E$1203,"成本-车运")+SUMIFS(资金日记账!$K$4:$K$2503,资金日记账!$G$4:$G$2503,$B156,资金日记账!$F$4:$F$2503,"成本-车运")-SUMIFS(资金日记账!$J$4:$J$2503,资金日记账!$G$4:$G$2503,$B156,资金日记账!$F$4:$F$2503,"成本-车运"),2))</f>
        <v/>
      </c>
      <c r="P156" s="19">
        <f>IF($B156="","",ROUND(SUMIFS(采购单!$L$4:$L$2003,采购单!$D$4:$D$2003,$B156,采购单!$F$4:$F$2003,"成本-其他")+SUMIFS(生产安装!$J$4:$J$1203,生产安装!$C$4:$C$1203,$B156,生产安装!$E$4:$E$1203,"成本-其他")+SUMIFS(资金日记账!$K$4:$K$2503,资金日记账!$G$4:$G$2503,$B156,资金日记账!$F$4:$F$2503,"成本-其他")-SUMIFS(资金日记账!$J$4:$J$2503,资金日记账!$G$4:$G$2503,$B156,资金日记账!$F$4:$F$2503,"成本-其他"),2))</f>
        <v/>
      </c>
      <c r="Q156" s="19">
        <f>IF($B156="","",ROUND(SUM($L156:$P156),2))</f>
        <v/>
      </c>
      <c r="R156" s="19">
        <f>IF($B156="","",ROUND($I156-$Q156,2))</f>
        <v/>
      </c>
      <c r="S156" s="33">
        <f>IF($B156="","",IF(ROUND($I156,2)=0,"",ROUND($R156/$I156,4)))</f>
        <v/>
      </c>
      <c r="T156" s="22">
        <f>IF($B156="","",IF($G156="",0,YEAR($G156)*100+MONTH($G156)))</f>
        <v/>
      </c>
      <c r="U156" s="17">
        <f>IF($B156="","",IF(项目台账!$R155="","",项目台账!$R155))</f>
        <v/>
      </c>
    </row>
    <row r="157">
      <c r="A157" s="17">
        <f>IF(项目台账!$B156="","",项目台账!$A156)</f>
        <v/>
      </c>
      <c r="B157" s="17">
        <f>IF(项目台账!$B156="","",项目台账!$B156)</f>
        <v/>
      </c>
      <c r="C157" s="17">
        <f>IF($B157="","",IF(项目台账!$C156="","",项目台账!$C156))</f>
        <v/>
      </c>
      <c r="D157" s="17">
        <f>IF($B157="","",IF(项目台账!$D156="","",项目台账!$D156))</f>
        <v/>
      </c>
      <c r="E157" s="17">
        <f>IF($B157="","",IF(项目台账!$E156="","",项目台账!$E156))</f>
        <v/>
      </c>
      <c r="F157" s="23">
        <f>IF($B157="","",IF(项目台账!$F156="","",项目台账!$F156))</f>
        <v/>
      </c>
      <c r="G157" s="23">
        <f>IF($B157="","",IF(项目台账!$J156="","",项目台账!$J156))</f>
        <v/>
      </c>
      <c r="H157" s="17">
        <f>IF($B157="","",IF(项目台账!$Q156="","",项目台账!$Q156))</f>
        <v/>
      </c>
      <c r="I157" s="19">
        <f>IF($B157="","",项目台账!$M156)</f>
        <v/>
      </c>
      <c r="J157" s="19">
        <f>IF($B157="","",项目台账!$O156)</f>
        <v/>
      </c>
      <c r="K157" s="19">
        <f>IF($B157="","",项目台账!$P156)</f>
        <v/>
      </c>
      <c r="L157" s="19">
        <f>IF($B157="","",ROUND(SUMIFS(采购单!$L$4:$L$2003,采购单!$D$4:$D$2003,$B157,采购单!$F$4:$F$2003,"成本-主材")+SUMIFS(生产安装!$J$4:$J$1203,生产安装!$C$4:$C$1203,$B157,生产安装!$E$4:$E$1203,"成本-主材")+SUMIFS(资金日记账!$K$4:$K$2503,资金日记账!$G$4:$G$2503,$B157,资金日记账!$F$4:$F$2503,"成本-主材")-SUMIFS(资金日记账!$J$4:$J$2503,资金日记账!$G$4:$G$2503,$B157,资金日记账!$F$4:$F$2503,"成本-主材"),2))</f>
        <v/>
      </c>
      <c r="M157" s="19">
        <f>IF($B157="","",ROUND(SUMIFS(采购单!$L$4:$L$2003,采购单!$D$4:$D$2003,$B157,采购单!$F$4:$F$2003,"成本-辅材")+SUMIFS(生产安装!$J$4:$J$1203,生产安装!$C$4:$C$1203,$B157,生产安装!$E$4:$E$1203,"成本-辅材")+SUMIFS(资金日记账!$K$4:$K$2503,资金日记账!$G$4:$G$2503,$B157,资金日记账!$F$4:$F$2503,"成本-辅材")-SUMIFS(资金日记账!$J$4:$J$2503,资金日记账!$G$4:$G$2503,$B157,资金日记账!$F$4:$F$2503,"成本-辅材"),2))</f>
        <v/>
      </c>
      <c r="N157" s="19">
        <f>IF($B157="","",ROUND(SUMIFS(采购单!$L$4:$L$2003,采购单!$D$4:$D$2003,$B157,采购单!$F$4:$F$2003,"成本-人工")+SUMIFS(生产安装!$J$4:$J$1203,生产安装!$C$4:$C$1203,$B157,生产安装!$E$4:$E$1203,"成本-人工")+SUMIFS(资金日记账!$K$4:$K$2503,资金日记账!$G$4:$G$2503,$B157,资金日记账!$F$4:$F$2503,"成本-人工")-SUMIFS(资金日记账!$J$4:$J$2503,资金日记账!$G$4:$G$2503,$B157,资金日记账!$F$4:$F$2503,"成本-人工"),2))</f>
        <v/>
      </c>
      <c r="O157" s="19">
        <f>IF($B157="","",ROUND(SUMIFS(采购单!$L$4:$L$2003,采购单!$D$4:$D$2003,$B157,采购单!$F$4:$F$2003,"成本-车运")+SUMIFS(生产安装!$J$4:$J$1203,生产安装!$C$4:$C$1203,$B157,生产安装!$E$4:$E$1203,"成本-车运")+SUMIFS(资金日记账!$K$4:$K$2503,资金日记账!$G$4:$G$2503,$B157,资金日记账!$F$4:$F$2503,"成本-车运")-SUMIFS(资金日记账!$J$4:$J$2503,资金日记账!$G$4:$G$2503,$B157,资金日记账!$F$4:$F$2503,"成本-车运"),2))</f>
        <v/>
      </c>
      <c r="P157" s="19">
        <f>IF($B157="","",ROUND(SUMIFS(采购单!$L$4:$L$2003,采购单!$D$4:$D$2003,$B157,采购单!$F$4:$F$2003,"成本-其他")+SUMIFS(生产安装!$J$4:$J$1203,生产安装!$C$4:$C$1203,$B157,生产安装!$E$4:$E$1203,"成本-其他")+SUMIFS(资金日记账!$K$4:$K$2503,资金日记账!$G$4:$G$2503,$B157,资金日记账!$F$4:$F$2503,"成本-其他")-SUMIFS(资金日记账!$J$4:$J$2503,资金日记账!$G$4:$G$2503,$B157,资金日记账!$F$4:$F$2503,"成本-其他"),2))</f>
        <v/>
      </c>
      <c r="Q157" s="19">
        <f>IF($B157="","",ROUND(SUM($L157:$P157),2))</f>
        <v/>
      </c>
      <c r="R157" s="19">
        <f>IF($B157="","",ROUND($I157-$Q157,2))</f>
        <v/>
      </c>
      <c r="S157" s="33">
        <f>IF($B157="","",IF(ROUND($I157,2)=0,"",ROUND($R157/$I157,4)))</f>
        <v/>
      </c>
      <c r="T157" s="22">
        <f>IF($B157="","",IF($G157="",0,YEAR($G157)*100+MONTH($G157)))</f>
        <v/>
      </c>
      <c r="U157" s="17">
        <f>IF($B157="","",IF(项目台账!$R156="","",项目台账!$R156))</f>
        <v/>
      </c>
    </row>
    <row r="158">
      <c r="A158" s="17">
        <f>IF(项目台账!$B157="","",项目台账!$A157)</f>
        <v/>
      </c>
      <c r="B158" s="17">
        <f>IF(项目台账!$B157="","",项目台账!$B157)</f>
        <v/>
      </c>
      <c r="C158" s="17">
        <f>IF($B158="","",IF(项目台账!$C157="","",项目台账!$C157))</f>
        <v/>
      </c>
      <c r="D158" s="17">
        <f>IF($B158="","",IF(项目台账!$D157="","",项目台账!$D157))</f>
        <v/>
      </c>
      <c r="E158" s="17">
        <f>IF($B158="","",IF(项目台账!$E157="","",项目台账!$E157))</f>
        <v/>
      </c>
      <c r="F158" s="23">
        <f>IF($B158="","",IF(项目台账!$F157="","",项目台账!$F157))</f>
        <v/>
      </c>
      <c r="G158" s="23">
        <f>IF($B158="","",IF(项目台账!$J157="","",项目台账!$J157))</f>
        <v/>
      </c>
      <c r="H158" s="17">
        <f>IF($B158="","",IF(项目台账!$Q157="","",项目台账!$Q157))</f>
        <v/>
      </c>
      <c r="I158" s="19">
        <f>IF($B158="","",项目台账!$M157)</f>
        <v/>
      </c>
      <c r="J158" s="19">
        <f>IF($B158="","",项目台账!$O157)</f>
        <v/>
      </c>
      <c r="K158" s="19">
        <f>IF($B158="","",项目台账!$P157)</f>
        <v/>
      </c>
      <c r="L158" s="19">
        <f>IF($B158="","",ROUND(SUMIFS(采购单!$L$4:$L$2003,采购单!$D$4:$D$2003,$B158,采购单!$F$4:$F$2003,"成本-主材")+SUMIFS(生产安装!$J$4:$J$1203,生产安装!$C$4:$C$1203,$B158,生产安装!$E$4:$E$1203,"成本-主材")+SUMIFS(资金日记账!$K$4:$K$2503,资金日记账!$G$4:$G$2503,$B158,资金日记账!$F$4:$F$2503,"成本-主材")-SUMIFS(资金日记账!$J$4:$J$2503,资金日记账!$G$4:$G$2503,$B158,资金日记账!$F$4:$F$2503,"成本-主材"),2))</f>
        <v/>
      </c>
      <c r="M158" s="19">
        <f>IF($B158="","",ROUND(SUMIFS(采购单!$L$4:$L$2003,采购单!$D$4:$D$2003,$B158,采购单!$F$4:$F$2003,"成本-辅材")+SUMIFS(生产安装!$J$4:$J$1203,生产安装!$C$4:$C$1203,$B158,生产安装!$E$4:$E$1203,"成本-辅材")+SUMIFS(资金日记账!$K$4:$K$2503,资金日记账!$G$4:$G$2503,$B158,资金日记账!$F$4:$F$2503,"成本-辅材")-SUMIFS(资金日记账!$J$4:$J$2503,资金日记账!$G$4:$G$2503,$B158,资金日记账!$F$4:$F$2503,"成本-辅材"),2))</f>
        <v/>
      </c>
      <c r="N158" s="19">
        <f>IF($B158="","",ROUND(SUMIFS(采购单!$L$4:$L$2003,采购单!$D$4:$D$2003,$B158,采购单!$F$4:$F$2003,"成本-人工")+SUMIFS(生产安装!$J$4:$J$1203,生产安装!$C$4:$C$1203,$B158,生产安装!$E$4:$E$1203,"成本-人工")+SUMIFS(资金日记账!$K$4:$K$2503,资金日记账!$G$4:$G$2503,$B158,资金日记账!$F$4:$F$2503,"成本-人工")-SUMIFS(资金日记账!$J$4:$J$2503,资金日记账!$G$4:$G$2503,$B158,资金日记账!$F$4:$F$2503,"成本-人工"),2))</f>
        <v/>
      </c>
      <c r="O158" s="19">
        <f>IF($B158="","",ROUND(SUMIFS(采购单!$L$4:$L$2003,采购单!$D$4:$D$2003,$B158,采购单!$F$4:$F$2003,"成本-车运")+SUMIFS(生产安装!$J$4:$J$1203,生产安装!$C$4:$C$1203,$B158,生产安装!$E$4:$E$1203,"成本-车运")+SUMIFS(资金日记账!$K$4:$K$2503,资金日记账!$G$4:$G$2503,$B158,资金日记账!$F$4:$F$2503,"成本-车运")-SUMIFS(资金日记账!$J$4:$J$2503,资金日记账!$G$4:$G$2503,$B158,资金日记账!$F$4:$F$2503,"成本-车运"),2))</f>
        <v/>
      </c>
      <c r="P158" s="19">
        <f>IF($B158="","",ROUND(SUMIFS(采购单!$L$4:$L$2003,采购单!$D$4:$D$2003,$B158,采购单!$F$4:$F$2003,"成本-其他")+SUMIFS(生产安装!$J$4:$J$1203,生产安装!$C$4:$C$1203,$B158,生产安装!$E$4:$E$1203,"成本-其他")+SUMIFS(资金日记账!$K$4:$K$2503,资金日记账!$G$4:$G$2503,$B158,资金日记账!$F$4:$F$2503,"成本-其他")-SUMIFS(资金日记账!$J$4:$J$2503,资金日记账!$G$4:$G$2503,$B158,资金日记账!$F$4:$F$2503,"成本-其他"),2))</f>
        <v/>
      </c>
      <c r="Q158" s="19">
        <f>IF($B158="","",ROUND(SUM($L158:$P158),2))</f>
        <v/>
      </c>
      <c r="R158" s="19">
        <f>IF($B158="","",ROUND($I158-$Q158,2))</f>
        <v/>
      </c>
      <c r="S158" s="33">
        <f>IF($B158="","",IF(ROUND($I158,2)=0,"",ROUND($R158/$I158,4)))</f>
        <v/>
      </c>
      <c r="T158" s="22">
        <f>IF($B158="","",IF($G158="",0,YEAR($G158)*100+MONTH($G158)))</f>
        <v/>
      </c>
      <c r="U158" s="17">
        <f>IF($B158="","",IF(项目台账!$R157="","",项目台账!$R157))</f>
        <v/>
      </c>
    </row>
    <row r="159">
      <c r="A159" s="17">
        <f>IF(项目台账!$B158="","",项目台账!$A158)</f>
        <v/>
      </c>
      <c r="B159" s="17">
        <f>IF(项目台账!$B158="","",项目台账!$B158)</f>
        <v/>
      </c>
      <c r="C159" s="17">
        <f>IF($B159="","",IF(项目台账!$C158="","",项目台账!$C158))</f>
        <v/>
      </c>
      <c r="D159" s="17">
        <f>IF($B159="","",IF(项目台账!$D158="","",项目台账!$D158))</f>
        <v/>
      </c>
      <c r="E159" s="17">
        <f>IF($B159="","",IF(项目台账!$E158="","",项目台账!$E158))</f>
        <v/>
      </c>
      <c r="F159" s="23">
        <f>IF($B159="","",IF(项目台账!$F158="","",项目台账!$F158))</f>
        <v/>
      </c>
      <c r="G159" s="23">
        <f>IF($B159="","",IF(项目台账!$J158="","",项目台账!$J158))</f>
        <v/>
      </c>
      <c r="H159" s="17">
        <f>IF($B159="","",IF(项目台账!$Q158="","",项目台账!$Q158))</f>
        <v/>
      </c>
      <c r="I159" s="19">
        <f>IF($B159="","",项目台账!$M158)</f>
        <v/>
      </c>
      <c r="J159" s="19">
        <f>IF($B159="","",项目台账!$O158)</f>
        <v/>
      </c>
      <c r="K159" s="19">
        <f>IF($B159="","",项目台账!$P158)</f>
        <v/>
      </c>
      <c r="L159" s="19">
        <f>IF($B159="","",ROUND(SUMIFS(采购单!$L$4:$L$2003,采购单!$D$4:$D$2003,$B159,采购单!$F$4:$F$2003,"成本-主材")+SUMIFS(生产安装!$J$4:$J$1203,生产安装!$C$4:$C$1203,$B159,生产安装!$E$4:$E$1203,"成本-主材")+SUMIFS(资金日记账!$K$4:$K$2503,资金日记账!$G$4:$G$2503,$B159,资金日记账!$F$4:$F$2503,"成本-主材")-SUMIFS(资金日记账!$J$4:$J$2503,资金日记账!$G$4:$G$2503,$B159,资金日记账!$F$4:$F$2503,"成本-主材"),2))</f>
        <v/>
      </c>
      <c r="M159" s="19">
        <f>IF($B159="","",ROUND(SUMIFS(采购单!$L$4:$L$2003,采购单!$D$4:$D$2003,$B159,采购单!$F$4:$F$2003,"成本-辅材")+SUMIFS(生产安装!$J$4:$J$1203,生产安装!$C$4:$C$1203,$B159,生产安装!$E$4:$E$1203,"成本-辅材")+SUMIFS(资金日记账!$K$4:$K$2503,资金日记账!$G$4:$G$2503,$B159,资金日记账!$F$4:$F$2503,"成本-辅材")-SUMIFS(资金日记账!$J$4:$J$2503,资金日记账!$G$4:$G$2503,$B159,资金日记账!$F$4:$F$2503,"成本-辅材"),2))</f>
        <v/>
      </c>
      <c r="N159" s="19">
        <f>IF($B159="","",ROUND(SUMIFS(采购单!$L$4:$L$2003,采购单!$D$4:$D$2003,$B159,采购单!$F$4:$F$2003,"成本-人工")+SUMIFS(生产安装!$J$4:$J$1203,生产安装!$C$4:$C$1203,$B159,生产安装!$E$4:$E$1203,"成本-人工")+SUMIFS(资金日记账!$K$4:$K$2503,资金日记账!$G$4:$G$2503,$B159,资金日记账!$F$4:$F$2503,"成本-人工")-SUMIFS(资金日记账!$J$4:$J$2503,资金日记账!$G$4:$G$2503,$B159,资金日记账!$F$4:$F$2503,"成本-人工"),2))</f>
        <v/>
      </c>
      <c r="O159" s="19">
        <f>IF($B159="","",ROUND(SUMIFS(采购单!$L$4:$L$2003,采购单!$D$4:$D$2003,$B159,采购单!$F$4:$F$2003,"成本-车运")+SUMIFS(生产安装!$J$4:$J$1203,生产安装!$C$4:$C$1203,$B159,生产安装!$E$4:$E$1203,"成本-车运")+SUMIFS(资金日记账!$K$4:$K$2503,资金日记账!$G$4:$G$2503,$B159,资金日记账!$F$4:$F$2503,"成本-车运")-SUMIFS(资金日记账!$J$4:$J$2503,资金日记账!$G$4:$G$2503,$B159,资金日记账!$F$4:$F$2503,"成本-车运"),2))</f>
        <v/>
      </c>
      <c r="P159" s="19">
        <f>IF($B159="","",ROUND(SUMIFS(采购单!$L$4:$L$2003,采购单!$D$4:$D$2003,$B159,采购单!$F$4:$F$2003,"成本-其他")+SUMIFS(生产安装!$J$4:$J$1203,生产安装!$C$4:$C$1203,$B159,生产安装!$E$4:$E$1203,"成本-其他")+SUMIFS(资金日记账!$K$4:$K$2503,资金日记账!$G$4:$G$2503,$B159,资金日记账!$F$4:$F$2503,"成本-其他")-SUMIFS(资金日记账!$J$4:$J$2503,资金日记账!$G$4:$G$2503,$B159,资金日记账!$F$4:$F$2503,"成本-其他"),2))</f>
        <v/>
      </c>
      <c r="Q159" s="19">
        <f>IF($B159="","",ROUND(SUM($L159:$P159),2))</f>
        <v/>
      </c>
      <c r="R159" s="19">
        <f>IF($B159="","",ROUND($I159-$Q159,2))</f>
        <v/>
      </c>
      <c r="S159" s="33">
        <f>IF($B159="","",IF(ROUND($I159,2)=0,"",ROUND($R159/$I159,4)))</f>
        <v/>
      </c>
      <c r="T159" s="22">
        <f>IF($B159="","",IF($G159="",0,YEAR($G159)*100+MONTH($G159)))</f>
        <v/>
      </c>
      <c r="U159" s="17">
        <f>IF($B159="","",IF(项目台账!$R158="","",项目台账!$R158))</f>
        <v/>
      </c>
    </row>
    <row r="160">
      <c r="A160" s="17">
        <f>IF(项目台账!$B159="","",项目台账!$A159)</f>
        <v/>
      </c>
      <c r="B160" s="17">
        <f>IF(项目台账!$B159="","",项目台账!$B159)</f>
        <v/>
      </c>
      <c r="C160" s="17">
        <f>IF($B160="","",IF(项目台账!$C159="","",项目台账!$C159))</f>
        <v/>
      </c>
      <c r="D160" s="17">
        <f>IF($B160="","",IF(项目台账!$D159="","",项目台账!$D159))</f>
        <v/>
      </c>
      <c r="E160" s="17">
        <f>IF($B160="","",IF(项目台账!$E159="","",项目台账!$E159))</f>
        <v/>
      </c>
      <c r="F160" s="23">
        <f>IF($B160="","",IF(项目台账!$F159="","",项目台账!$F159))</f>
        <v/>
      </c>
      <c r="G160" s="23">
        <f>IF($B160="","",IF(项目台账!$J159="","",项目台账!$J159))</f>
        <v/>
      </c>
      <c r="H160" s="17">
        <f>IF($B160="","",IF(项目台账!$Q159="","",项目台账!$Q159))</f>
        <v/>
      </c>
      <c r="I160" s="19">
        <f>IF($B160="","",项目台账!$M159)</f>
        <v/>
      </c>
      <c r="J160" s="19">
        <f>IF($B160="","",项目台账!$O159)</f>
        <v/>
      </c>
      <c r="K160" s="19">
        <f>IF($B160="","",项目台账!$P159)</f>
        <v/>
      </c>
      <c r="L160" s="19">
        <f>IF($B160="","",ROUND(SUMIFS(采购单!$L$4:$L$2003,采购单!$D$4:$D$2003,$B160,采购单!$F$4:$F$2003,"成本-主材")+SUMIFS(生产安装!$J$4:$J$1203,生产安装!$C$4:$C$1203,$B160,生产安装!$E$4:$E$1203,"成本-主材")+SUMIFS(资金日记账!$K$4:$K$2503,资金日记账!$G$4:$G$2503,$B160,资金日记账!$F$4:$F$2503,"成本-主材")-SUMIFS(资金日记账!$J$4:$J$2503,资金日记账!$G$4:$G$2503,$B160,资金日记账!$F$4:$F$2503,"成本-主材"),2))</f>
        <v/>
      </c>
      <c r="M160" s="19">
        <f>IF($B160="","",ROUND(SUMIFS(采购单!$L$4:$L$2003,采购单!$D$4:$D$2003,$B160,采购单!$F$4:$F$2003,"成本-辅材")+SUMIFS(生产安装!$J$4:$J$1203,生产安装!$C$4:$C$1203,$B160,生产安装!$E$4:$E$1203,"成本-辅材")+SUMIFS(资金日记账!$K$4:$K$2503,资金日记账!$G$4:$G$2503,$B160,资金日记账!$F$4:$F$2503,"成本-辅材")-SUMIFS(资金日记账!$J$4:$J$2503,资金日记账!$G$4:$G$2503,$B160,资金日记账!$F$4:$F$2503,"成本-辅材"),2))</f>
        <v/>
      </c>
      <c r="N160" s="19">
        <f>IF($B160="","",ROUND(SUMIFS(采购单!$L$4:$L$2003,采购单!$D$4:$D$2003,$B160,采购单!$F$4:$F$2003,"成本-人工")+SUMIFS(生产安装!$J$4:$J$1203,生产安装!$C$4:$C$1203,$B160,生产安装!$E$4:$E$1203,"成本-人工")+SUMIFS(资金日记账!$K$4:$K$2503,资金日记账!$G$4:$G$2503,$B160,资金日记账!$F$4:$F$2503,"成本-人工")-SUMIFS(资金日记账!$J$4:$J$2503,资金日记账!$G$4:$G$2503,$B160,资金日记账!$F$4:$F$2503,"成本-人工"),2))</f>
        <v/>
      </c>
      <c r="O160" s="19">
        <f>IF($B160="","",ROUND(SUMIFS(采购单!$L$4:$L$2003,采购单!$D$4:$D$2003,$B160,采购单!$F$4:$F$2003,"成本-车运")+SUMIFS(生产安装!$J$4:$J$1203,生产安装!$C$4:$C$1203,$B160,生产安装!$E$4:$E$1203,"成本-车运")+SUMIFS(资金日记账!$K$4:$K$2503,资金日记账!$G$4:$G$2503,$B160,资金日记账!$F$4:$F$2503,"成本-车运")-SUMIFS(资金日记账!$J$4:$J$2503,资金日记账!$G$4:$G$2503,$B160,资金日记账!$F$4:$F$2503,"成本-车运"),2))</f>
        <v/>
      </c>
      <c r="P160" s="19">
        <f>IF($B160="","",ROUND(SUMIFS(采购单!$L$4:$L$2003,采购单!$D$4:$D$2003,$B160,采购单!$F$4:$F$2003,"成本-其他")+SUMIFS(生产安装!$J$4:$J$1203,生产安装!$C$4:$C$1203,$B160,生产安装!$E$4:$E$1203,"成本-其他")+SUMIFS(资金日记账!$K$4:$K$2503,资金日记账!$G$4:$G$2503,$B160,资金日记账!$F$4:$F$2503,"成本-其他")-SUMIFS(资金日记账!$J$4:$J$2503,资金日记账!$G$4:$G$2503,$B160,资金日记账!$F$4:$F$2503,"成本-其他"),2))</f>
        <v/>
      </c>
      <c r="Q160" s="19">
        <f>IF($B160="","",ROUND(SUM($L160:$P160),2))</f>
        <v/>
      </c>
      <c r="R160" s="19">
        <f>IF($B160="","",ROUND($I160-$Q160,2))</f>
        <v/>
      </c>
      <c r="S160" s="33">
        <f>IF($B160="","",IF(ROUND($I160,2)=0,"",ROUND($R160/$I160,4)))</f>
        <v/>
      </c>
      <c r="T160" s="22">
        <f>IF($B160="","",IF($G160="",0,YEAR($G160)*100+MONTH($G160)))</f>
        <v/>
      </c>
      <c r="U160" s="17">
        <f>IF($B160="","",IF(项目台账!$R159="","",项目台账!$R159))</f>
        <v/>
      </c>
    </row>
    <row r="161">
      <c r="A161" s="17">
        <f>IF(项目台账!$B160="","",项目台账!$A160)</f>
        <v/>
      </c>
      <c r="B161" s="17">
        <f>IF(项目台账!$B160="","",项目台账!$B160)</f>
        <v/>
      </c>
      <c r="C161" s="17">
        <f>IF($B161="","",IF(项目台账!$C160="","",项目台账!$C160))</f>
        <v/>
      </c>
      <c r="D161" s="17">
        <f>IF($B161="","",IF(项目台账!$D160="","",项目台账!$D160))</f>
        <v/>
      </c>
      <c r="E161" s="17">
        <f>IF($B161="","",IF(项目台账!$E160="","",项目台账!$E160))</f>
        <v/>
      </c>
      <c r="F161" s="23">
        <f>IF($B161="","",IF(项目台账!$F160="","",项目台账!$F160))</f>
        <v/>
      </c>
      <c r="G161" s="23">
        <f>IF($B161="","",IF(项目台账!$J160="","",项目台账!$J160))</f>
        <v/>
      </c>
      <c r="H161" s="17">
        <f>IF($B161="","",IF(项目台账!$Q160="","",项目台账!$Q160))</f>
        <v/>
      </c>
      <c r="I161" s="19">
        <f>IF($B161="","",项目台账!$M160)</f>
        <v/>
      </c>
      <c r="J161" s="19">
        <f>IF($B161="","",项目台账!$O160)</f>
        <v/>
      </c>
      <c r="K161" s="19">
        <f>IF($B161="","",项目台账!$P160)</f>
        <v/>
      </c>
      <c r="L161" s="19">
        <f>IF($B161="","",ROUND(SUMIFS(采购单!$L$4:$L$2003,采购单!$D$4:$D$2003,$B161,采购单!$F$4:$F$2003,"成本-主材")+SUMIFS(生产安装!$J$4:$J$1203,生产安装!$C$4:$C$1203,$B161,生产安装!$E$4:$E$1203,"成本-主材")+SUMIFS(资金日记账!$K$4:$K$2503,资金日记账!$G$4:$G$2503,$B161,资金日记账!$F$4:$F$2503,"成本-主材")-SUMIFS(资金日记账!$J$4:$J$2503,资金日记账!$G$4:$G$2503,$B161,资金日记账!$F$4:$F$2503,"成本-主材"),2))</f>
        <v/>
      </c>
      <c r="M161" s="19">
        <f>IF($B161="","",ROUND(SUMIFS(采购单!$L$4:$L$2003,采购单!$D$4:$D$2003,$B161,采购单!$F$4:$F$2003,"成本-辅材")+SUMIFS(生产安装!$J$4:$J$1203,生产安装!$C$4:$C$1203,$B161,生产安装!$E$4:$E$1203,"成本-辅材")+SUMIFS(资金日记账!$K$4:$K$2503,资金日记账!$G$4:$G$2503,$B161,资金日记账!$F$4:$F$2503,"成本-辅材")-SUMIFS(资金日记账!$J$4:$J$2503,资金日记账!$G$4:$G$2503,$B161,资金日记账!$F$4:$F$2503,"成本-辅材"),2))</f>
        <v/>
      </c>
      <c r="N161" s="19">
        <f>IF($B161="","",ROUND(SUMIFS(采购单!$L$4:$L$2003,采购单!$D$4:$D$2003,$B161,采购单!$F$4:$F$2003,"成本-人工")+SUMIFS(生产安装!$J$4:$J$1203,生产安装!$C$4:$C$1203,$B161,生产安装!$E$4:$E$1203,"成本-人工")+SUMIFS(资金日记账!$K$4:$K$2503,资金日记账!$G$4:$G$2503,$B161,资金日记账!$F$4:$F$2503,"成本-人工")-SUMIFS(资金日记账!$J$4:$J$2503,资金日记账!$G$4:$G$2503,$B161,资金日记账!$F$4:$F$2503,"成本-人工"),2))</f>
        <v/>
      </c>
      <c r="O161" s="19">
        <f>IF($B161="","",ROUND(SUMIFS(采购单!$L$4:$L$2003,采购单!$D$4:$D$2003,$B161,采购单!$F$4:$F$2003,"成本-车运")+SUMIFS(生产安装!$J$4:$J$1203,生产安装!$C$4:$C$1203,$B161,生产安装!$E$4:$E$1203,"成本-车运")+SUMIFS(资金日记账!$K$4:$K$2503,资金日记账!$G$4:$G$2503,$B161,资金日记账!$F$4:$F$2503,"成本-车运")-SUMIFS(资金日记账!$J$4:$J$2503,资金日记账!$G$4:$G$2503,$B161,资金日记账!$F$4:$F$2503,"成本-车运"),2))</f>
        <v/>
      </c>
      <c r="P161" s="19">
        <f>IF($B161="","",ROUND(SUMIFS(采购单!$L$4:$L$2003,采购单!$D$4:$D$2003,$B161,采购单!$F$4:$F$2003,"成本-其他")+SUMIFS(生产安装!$J$4:$J$1203,生产安装!$C$4:$C$1203,$B161,生产安装!$E$4:$E$1203,"成本-其他")+SUMIFS(资金日记账!$K$4:$K$2503,资金日记账!$G$4:$G$2503,$B161,资金日记账!$F$4:$F$2503,"成本-其他")-SUMIFS(资金日记账!$J$4:$J$2503,资金日记账!$G$4:$G$2503,$B161,资金日记账!$F$4:$F$2503,"成本-其他"),2))</f>
        <v/>
      </c>
      <c r="Q161" s="19">
        <f>IF($B161="","",ROUND(SUM($L161:$P161),2))</f>
        <v/>
      </c>
      <c r="R161" s="19">
        <f>IF($B161="","",ROUND($I161-$Q161,2))</f>
        <v/>
      </c>
      <c r="S161" s="33">
        <f>IF($B161="","",IF(ROUND($I161,2)=0,"",ROUND($R161/$I161,4)))</f>
        <v/>
      </c>
      <c r="T161" s="22">
        <f>IF($B161="","",IF($G161="",0,YEAR($G161)*100+MONTH($G161)))</f>
        <v/>
      </c>
      <c r="U161" s="17">
        <f>IF($B161="","",IF(项目台账!$R160="","",项目台账!$R160))</f>
        <v/>
      </c>
    </row>
    <row r="162">
      <c r="A162" s="17">
        <f>IF(项目台账!$B161="","",项目台账!$A161)</f>
        <v/>
      </c>
      <c r="B162" s="17">
        <f>IF(项目台账!$B161="","",项目台账!$B161)</f>
        <v/>
      </c>
      <c r="C162" s="17">
        <f>IF($B162="","",IF(项目台账!$C161="","",项目台账!$C161))</f>
        <v/>
      </c>
      <c r="D162" s="17">
        <f>IF($B162="","",IF(项目台账!$D161="","",项目台账!$D161))</f>
        <v/>
      </c>
      <c r="E162" s="17">
        <f>IF($B162="","",IF(项目台账!$E161="","",项目台账!$E161))</f>
        <v/>
      </c>
      <c r="F162" s="23">
        <f>IF($B162="","",IF(项目台账!$F161="","",项目台账!$F161))</f>
        <v/>
      </c>
      <c r="G162" s="23">
        <f>IF($B162="","",IF(项目台账!$J161="","",项目台账!$J161))</f>
        <v/>
      </c>
      <c r="H162" s="17">
        <f>IF($B162="","",IF(项目台账!$Q161="","",项目台账!$Q161))</f>
        <v/>
      </c>
      <c r="I162" s="19">
        <f>IF($B162="","",项目台账!$M161)</f>
        <v/>
      </c>
      <c r="J162" s="19">
        <f>IF($B162="","",项目台账!$O161)</f>
        <v/>
      </c>
      <c r="K162" s="19">
        <f>IF($B162="","",项目台账!$P161)</f>
        <v/>
      </c>
      <c r="L162" s="19">
        <f>IF($B162="","",ROUND(SUMIFS(采购单!$L$4:$L$2003,采购单!$D$4:$D$2003,$B162,采购单!$F$4:$F$2003,"成本-主材")+SUMIFS(生产安装!$J$4:$J$1203,生产安装!$C$4:$C$1203,$B162,生产安装!$E$4:$E$1203,"成本-主材")+SUMIFS(资金日记账!$K$4:$K$2503,资金日记账!$G$4:$G$2503,$B162,资金日记账!$F$4:$F$2503,"成本-主材")-SUMIFS(资金日记账!$J$4:$J$2503,资金日记账!$G$4:$G$2503,$B162,资金日记账!$F$4:$F$2503,"成本-主材"),2))</f>
        <v/>
      </c>
      <c r="M162" s="19">
        <f>IF($B162="","",ROUND(SUMIFS(采购单!$L$4:$L$2003,采购单!$D$4:$D$2003,$B162,采购单!$F$4:$F$2003,"成本-辅材")+SUMIFS(生产安装!$J$4:$J$1203,生产安装!$C$4:$C$1203,$B162,生产安装!$E$4:$E$1203,"成本-辅材")+SUMIFS(资金日记账!$K$4:$K$2503,资金日记账!$G$4:$G$2503,$B162,资金日记账!$F$4:$F$2503,"成本-辅材")-SUMIFS(资金日记账!$J$4:$J$2503,资金日记账!$G$4:$G$2503,$B162,资金日记账!$F$4:$F$2503,"成本-辅材"),2))</f>
        <v/>
      </c>
      <c r="N162" s="19">
        <f>IF($B162="","",ROUND(SUMIFS(采购单!$L$4:$L$2003,采购单!$D$4:$D$2003,$B162,采购单!$F$4:$F$2003,"成本-人工")+SUMIFS(生产安装!$J$4:$J$1203,生产安装!$C$4:$C$1203,$B162,生产安装!$E$4:$E$1203,"成本-人工")+SUMIFS(资金日记账!$K$4:$K$2503,资金日记账!$G$4:$G$2503,$B162,资金日记账!$F$4:$F$2503,"成本-人工")-SUMIFS(资金日记账!$J$4:$J$2503,资金日记账!$G$4:$G$2503,$B162,资金日记账!$F$4:$F$2503,"成本-人工"),2))</f>
        <v/>
      </c>
      <c r="O162" s="19">
        <f>IF($B162="","",ROUND(SUMIFS(采购单!$L$4:$L$2003,采购单!$D$4:$D$2003,$B162,采购单!$F$4:$F$2003,"成本-车运")+SUMIFS(生产安装!$J$4:$J$1203,生产安装!$C$4:$C$1203,$B162,生产安装!$E$4:$E$1203,"成本-车运")+SUMIFS(资金日记账!$K$4:$K$2503,资金日记账!$G$4:$G$2503,$B162,资金日记账!$F$4:$F$2503,"成本-车运")-SUMIFS(资金日记账!$J$4:$J$2503,资金日记账!$G$4:$G$2503,$B162,资金日记账!$F$4:$F$2503,"成本-车运"),2))</f>
        <v/>
      </c>
      <c r="P162" s="19">
        <f>IF($B162="","",ROUND(SUMIFS(采购单!$L$4:$L$2003,采购单!$D$4:$D$2003,$B162,采购单!$F$4:$F$2003,"成本-其他")+SUMIFS(生产安装!$J$4:$J$1203,生产安装!$C$4:$C$1203,$B162,生产安装!$E$4:$E$1203,"成本-其他")+SUMIFS(资金日记账!$K$4:$K$2503,资金日记账!$G$4:$G$2503,$B162,资金日记账!$F$4:$F$2503,"成本-其他")-SUMIFS(资金日记账!$J$4:$J$2503,资金日记账!$G$4:$G$2503,$B162,资金日记账!$F$4:$F$2503,"成本-其他"),2))</f>
        <v/>
      </c>
      <c r="Q162" s="19">
        <f>IF($B162="","",ROUND(SUM($L162:$P162),2))</f>
        <v/>
      </c>
      <c r="R162" s="19">
        <f>IF($B162="","",ROUND($I162-$Q162,2))</f>
        <v/>
      </c>
      <c r="S162" s="33">
        <f>IF($B162="","",IF(ROUND($I162,2)=0,"",ROUND($R162/$I162,4)))</f>
        <v/>
      </c>
      <c r="T162" s="22">
        <f>IF($B162="","",IF($G162="",0,YEAR($G162)*100+MONTH($G162)))</f>
        <v/>
      </c>
      <c r="U162" s="17">
        <f>IF($B162="","",IF(项目台账!$R161="","",项目台账!$R161))</f>
        <v/>
      </c>
    </row>
    <row r="163">
      <c r="A163" s="17">
        <f>IF(项目台账!$B162="","",项目台账!$A162)</f>
        <v/>
      </c>
      <c r="B163" s="17">
        <f>IF(项目台账!$B162="","",项目台账!$B162)</f>
        <v/>
      </c>
      <c r="C163" s="17">
        <f>IF($B163="","",IF(项目台账!$C162="","",项目台账!$C162))</f>
        <v/>
      </c>
      <c r="D163" s="17">
        <f>IF($B163="","",IF(项目台账!$D162="","",项目台账!$D162))</f>
        <v/>
      </c>
      <c r="E163" s="17">
        <f>IF($B163="","",IF(项目台账!$E162="","",项目台账!$E162))</f>
        <v/>
      </c>
      <c r="F163" s="23">
        <f>IF($B163="","",IF(项目台账!$F162="","",项目台账!$F162))</f>
        <v/>
      </c>
      <c r="G163" s="23">
        <f>IF($B163="","",IF(项目台账!$J162="","",项目台账!$J162))</f>
        <v/>
      </c>
      <c r="H163" s="17">
        <f>IF($B163="","",IF(项目台账!$Q162="","",项目台账!$Q162))</f>
        <v/>
      </c>
      <c r="I163" s="19">
        <f>IF($B163="","",项目台账!$M162)</f>
        <v/>
      </c>
      <c r="J163" s="19">
        <f>IF($B163="","",项目台账!$O162)</f>
        <v/>
      </c>
      <c r="K163" s="19">
        <f>IF($B163="","",项目台账!$P162)</f>
        <v/>
      </c>
      <c r="L163" s="19">
        <f>IF($B163="","",ROUND(SUMIFS(采购单!$L$4:$L$2003,采购单!$D$4:$D$2003,$B163,采购单!$F$4:$F$2003,"成本-主材")+SUMIFS(生产安装!$J$4:$J$1203,生产安装!$C$4:$C$1203,$B163,生产安装!$E$4:$E$1203,"成本-主材")+SUMIFS(资金日记账!$K$4:$K$2503,资金日记账!$G$4:$G$2503,$B163,资金日记账!$F$4:$F$2503,"成本-主材")-SUMIFS(资金日记账!$J$4:$J$2503,资金日记账!$G$4:$G$2503,$B163,资金日记账!$F$4:$F$2503,"成本-主材"),2))</f>
        <v/>
      </c>
      <c r="M163" s="19">
        <f>IF($B163="","",ROUND(SUMIFS(采购单!$L$4:$L$2003,采购单!$D$4:$D$2003,$B163,采购单!$F$4:$F$2003,"成本-辅材")+SUMIFS(生产安装!$J$4:$J$1203,生产安装!$C$4:$C$1203,$B163,生产安装!$E$4:$E$1203,"成本-辅材")+SUMIFS(资金日记账!$K$4:$K$2503,资金日记账!$G$4:$G$2503,$B163,资金日记账!$F$4:$F$2503,"成本-辅材")-SUMIFS(资金日记账!$J$4:$J$2503,资金日记账!$G$4:$G$2503,$B163,资金日记账!$F$4:$F$2503,"成本-辅材"),2))</f>
        <v/>
      </c>
      <c r="N163" s="19">
        <f>IF($B163="","",ROUND(SUMIFS(采购单!$L$4:$L$2003,采购单!$D$4:$D$2003,$B163,采购单!$F$4:$F$2003,"成本-人工")+SUMIFS(生产安装!$J$4:$J$1203,生产安装!$C$4:$C$1203,$B163,生产安装!$E$4:$E$1203,"成本-人工")+SUMIFS(资金日记账!$K$4:$K$2503,资金日记账!$G$4:$G$2503,$B163,资金日记账!$F$4:$F$2503,"成本-人工")-SUMIFS(资金日记账!$J$4:$J$2503,资金日记账!$G$4:$G$2503,$B163,资金日记账!$F$4:$F$2503,"成本-人工"),2))</f>
        <v/>
      </c>
      <c r="O163" s="19">
        <f>IF($B163="","",ROUND(SUMIFS(采购单!$L$4:$L$2003,采购单!$D$4:$D$2003,$B163,采购单!$F$4:$F$2003,"成本-车运")+SUMIFS(生产安装!$J$4:$J$1203,生产安装!$C$4:$C$1203,$B163,生产安装!$E$4:$E$1203,"成本-车运")+SUMIFS(资金日记账!$K$4:$K$2503,资金日记账!$G$4:$G$2503,$B163,资金日记账!$F$4:$F$2503,"成本-车运")-SUMIFS(资金日记账!$J$4:$J$2503,资金日记账!$G$4:$G$2503,$B163,资金日记账!$F$4:$F$2503,"成本-车运"),2))</f>
        <v/>
      </c>
      <c r="P163" s="19">
        <f>IF($B163="","",ROUND(SUMIFS(采购单!$L$4:$L$2003,采购单!$D$4:$D$2003,$B163,采购单!$F$4:$F$2003,"成本-其他")+SUMIFS(生产安装!$J$4:$J$1203,生产安装!$C$4:$C$1203,$B163,生产安装!$E$4:$E$1203,"成本-其他")+SUMIFS(资金日记账!$K$4:$K$2503,资金日记账!$G$4:$G$2503,$B163,资金日记账!$F$4:$F$2503,"成本-其他")-SUMIFS(资金日记账!$J$4:$J$2503,资金日记账!$G$4:$G$2503,$B163,资金日记账!$F$4:$F$2503,"成本-其他"),2))</f>
        <v/>
      </c>
      <c r="Q163" s="19">
        <f>IF($B163="","",ROUND(SUM($L163:$P163),2))</f>
        <v/>
      </c>
      <c r="R163" s="19">
        <f>IF($B163="","",ROUND($I163-$Q163,2))</f>
        <v/>
      </c>
      <c r="S163" s="33">
        <f>IF($B163="","",IF(ROUND($I163,2)=0,"",ROUND($R163/$I163,4)))</f>
        <v/>
      </c>
      <c r="T163" s="22">
        <f>IF($B163="","",IF($G163="",0,YEAR($G163)*100+MONTH($G163)))</f>
        <v/>
      </c>
      <c r="U163" s="17">
        <f>IF($B163="","",IF(项目台账!$R162="","",项目台账!$R162))</f>
        <v/>
      </c>
    </row>
    <row r="164">
      <c r="A164" s="17">
        <f>IF(项目台账!$B163="","",项目台账!$A163)</f>
        <v/>
      </c>
      <c r="B164" s="17">
        <f>IF(项目台账!$B163="","",项目台账!$B163)</f>
        <v/>
      </c>
      <c r="C164" s="17">
        <f>IF($B164="","",IF(项目台账!$C163="","",项目台账!$C163))</f>
        <v/>
      </c>
      <c r="D164" s="17">
        <f>IF($B164="","",IF(项目台账!$D163="","",项目台账!$D163))</f>
        <v/>
      </c>
      <c r="E164" s="17">
        <f>IF($B164="","",IF(项目台账!$E163="","",项目台账!$E163))</f>
        <v/>
      </c>
      <c r="F164" s="23">
        <f>IF($B164="","",IF(项目台账!$F163="","",项目台账!$F163))</f>
        <v/>
      </c>
      <c r="G164" s="23">
        <f>IF($B164="","",IF(项目台账!$J163="","",项目台账!$J163))</f>
        <v/>
      </c>
      <c r="H164" s="17">
        <f>IF($B164="","",IF(项目台账!$Q163="","",项目台账!$Q163))</f>
        <v/>
      </c>
      <c r="I164" s="19">
        <f>IF($B164="","",项目台账!$M163)</f>
        <v/>
      </c>
      <c r="J164" s="19">
        <f>IF($B164="","",项目台账!$O163)</f>
        <v/>
      </c>
      <c r="K164" s="19">
        <f>IF($B164="","",项目台账!$P163)</f>
        <v/>
      </c>
      <c r="L164" s="19">
        <f>IF($B164="","",ROUND(SUMIFS(采购单!$L$4:$L$2003,采购单!$D$4:$D$2003,$B164,采购单!$F$4:$F$2003,"成本-主材")+SUMIFS(生产安装!$J$4:$J$1203,生产安装!$C$4:$C$1203,$B164,生产安装!$E$4:$E$1203,"成本-主材")+SUMIFS(资金日记账!$K$4:$K$2503,资金日记账!$G$4:$G$2503,$B164,资金日记账!$F$4:$F$2503,"成本-主材")-SUMIFS(资金日记账!$J$4:$J$2503,资金日记账!$G$4:$G$2503,$B164,资金日记账!$F$4:$F$2503,"成本-主材"),2))</f>
        <v/>
      </c>
      <c r="M164" s="19">
        <f>IF($B164="","",ROUND(SUMIFS(采购单!$L$4:$L$2003,采购单!$D$4:$D$2003,$B164,采购单!$F$4:$F$2003,"成本-辅材")+SUMIFS(生产安装!$J$4:$J$1203,生产安装!$C$4:$C$1203,$B164,生产安装!$E$4:$E$1203,"成本-辅材")+SUMIFS(资金日记账!$K$4:$K$2503,资金日记账!$G$4:$G$2503,$B164,资金日记账!$F$4:$F$2503,"成本-辅材")-SUMIFS(资金日记账!$J$4:$J$2503,资金日记账!$G$4:$G$2503,$B164,资金日记账!$F$4:$F$2503,"成本-辅材"),2))</f>
        <v/>
      </c>
      <c r="N164" s="19">
        <f>IF($B164="","",ROUND(SUMIFS(采购单!$L$4:$L$2003,采购单!$D$4:$D$2003,$B164,采购单!$F$4:$F$2003,"成本-人工")+SUMIFS(生产安装!$J$4:$J$1203,生产安装!$C$4:$C$1203,$B164,生产安装!$E$4:$E$1203,"成本-人工")+SUMIFS(资金日记账!$K$4:$K$2503,资金日记账!$G$4:$G$2503,$B164,资金日记账!$F$4:$F$2503,"成本-人工")-SUMIFS(资金日记账!$J$4:$J$2503,资金日记账!$G$4:$G$2503,$B164,资金日记账!$F$4:$F$2503,"成本-人工"),2))</f>
        <v/>
      </c>
      <c r="O164" s="19">
        <f>IF($B164="","",ROUND(SUMIFS(采购单!$L$4:$L$2003,采购单!$D$4:$D$2003,$B164,采购单!$F$4:$F$2003,"成本-车运")+SUMIFS(生产安装!$J$4:$J$1203,生产安装!$C$4:$C$1203,$B164,生产安装!$E$4:$E$1203,"成本-车运")+SUMIFS(资金日记账!$K$4:$K$2503,资金日记账!$G$4:$G$2503,$B164,资金日记账!$F$4:$F$2503,"成本-车运")-SUMIFS(资金日记账!$J$4:$J$2503,资金日记账!$G$4:$G$2503,$B164,资金日记账!$F$4:$F$2503,"成本-车运"),2))</f>
        <v/>
      </c>
      <c r="P164" s="19">
        <f>IF($B164="","",ROUND(SUMIFS(采购单!$L$4:$L$2003,采购单!$D$4:$D$2003,$B164,采购单!$F$4:$F$2003,"成本-其他")+SUMIFS(生产安装!$J$4:$J$1203,生产安装!$C$4:$C$1203,$B164,生产安装!$E$4:$E$1203,"成本-其他")+SUMIFS(资金日记账!$K$4:$K$2503,资金日记账!$G$4:$G$2503,$B164,资金日记账!$F$4:$F$2503,"成本-其他")-SUMIFS(资金日记账!$J$4:$J$2503,资金日记账!$G$4:$G$2503,$B164,资金日记账!$F$4:$F$2503,"成本-其他"),2))</f>
        <v/>
      </c>
      <c r="Q164" s="19">
        <f>IF($B164="","",ROUND(SUM($L164:$P164),2))</f>
        <v/>
      </c>
      <c r="R164" s="19">
        <f>IF($B164="","",ROUND($I164-$Q164,2))</f>
        <v/>
      </c>
      <c r="S164" s="33">
        <f>IF($B164="","",IF(ROUND($I164,2)=0,"",ROUND($R164/$I164,4)))</f>
        <v/>
      </c>
      <c r="T164" s="22">
        <f>IF($B164="","",IF($G164="",0,YEAR($G164)*100+MONTH($G164)))</f>
        <v/>
      </c>
      <c r="U164" s="17">
        <f>IF($B164="","",IF(项目台账!$R163="","",项目台账!$R163))</f>
        <v/>
      </c>
    </row>
    <row r="165">
      <c r="A165" s="17">
        <f>IF(项目台账!$B164="","",项目台账!$A164)</f>
        <v/>
      </c>
      <c r="B165" s="17">
        <f>IF(项目台账!$B164="","",项目台账!$B164)</f>
        <v/>
      </c>
      <c r="C165" s="17">
        <f>IF($B165="","",IF(项目台账!$C164="","",项目台账!$C164))</f>
        <v/>
      </c>
      <c r="D165" s="17">
        <f>IF($B165="","",IF(项目台账!$D164="","",项目台账!$D164))</f>
        <v/>
      </c>
      <c r="E165" s="17">
        <f>IF($B165="","",IF(项目台账!$E164="","",项目台账!$E164))</f>
        <v/>
      </c>
      <c r="F165" s="23">
        <f>IF($B165="","",IF(项目台账!$F164="","",项目台账!$F164))</f>
        <v/>
      </c>
      <c r="G165" s="23">
        <f>IF($B165="","",IF(项目台账!$J164="","",项目台账!$J164))</f>
        <v/>
      </c>
      <c r="H165" s="17">
        <f>IF($B165="","",IF(项目台账!$Q164="","",项目台账!$Q164))</f>
        <v/>
      </c>
      <c r="I165" s="19">
        <f>IF($B165="","",项目台账!$M164)</f>
        <v/>
      </c>
      <c r="J165" s="19">
        <f>IF($B165="","",项目台账!$O164)</f>
        <v/>
      </c>
      <c r="K165" s="19">
        <f>IF($B165="","",项目台账!$P164)</f>
        <v/>
      </c>
      <c r="L165" s="19">
        <f>IF($B165="","",ROUND(SUMIFS(采购单!$L$4:$L$2003,采购单!$D$4:$D$2003,$B165,采购单!$F$4:$F$2003,"成本-主材")+SUMIFS(生产安装!$J$4:$J$1203,生产安装!$C$4:$C$1203,$B165,生产安装!$E$4:$E$1203,"成本-主材")+SUMIFS(资金日记账!$K$4:$K$2503,资金日记账!$G$4:$G$2503,$B165,资金日记账!$F$4:$F$2503,"成本-主材")-SUMIFS(资金日记账!$J$4:$J$2503,资金日记账!$G$4:$G$2503,$B165,资金日记账!$F$4:$F$2503,"成本-主材"),2))</f>
        <v/>
      </c>
      <c r="M165" s="19">
        <f>IF($B165="","",ROUND(SUMIFS(采购单!$L$4:$L$2003,采购单!$D$4:$D$2003,$B165,采购单!$F$4:$F$2003,"成本-辅材")+SUMIFS(生产安装!$J$4:$J$1203,生产安装!$C$4:$C$1203,$B165,生产安装!$E$4:$E$1203,"成本-辅材")+SUMIFS(资金日记账!$K$4:$K$2503,资金日记账!$G$4:$G$2503,$B165,资金日记账!$F$4:$F$2503,"成本-辅材")-SUMIFS(资金日记账!$J$4:$J$2503,资金日记账!$G$4:$G$2503,$B165,资金日记账!$F$4:$F$2503,"成本-辅材"),2))</f>
        <v/>
      </c>
      <c r="N165" s="19">
        <f>IF($B165="","",ROUND(SUMIFS(采购单!$L$4:$L$2003,采购单!$D$4:$D$2003,$B165,采购单!$F$4:$F$2003,"成本-人工")+SUMIFS(生产安装!$J$4:$J$1203,生产安装!$C$4:$C$1203,$B165,生产安装!$E$4:$E$1203,"成本-人工")+SUMIFS(资金日记账!$K$4:$K$2503,资金日记账!$G$4:$G$2503,$B165,资金日记账!$F$4:$F$2503,"成本-人工")-SUMIFS(资金日记账!$J$4:$J$2503,资金日记账!$G$4:$G$2503,$B165,资金日记账!$F$4:$F$2503,"成本-人工"),2))</f>
        <v/>
      </c>
      <c r="O165" s="19">
        <f>IF($B165="","",ROUND(SUMIFS(采购单!$L$4:$L$2003,采购单!$D$4:$D$2003,$B165,采购单!$F$4:$F$2003,"成本-车运")+SUMIFS(生产安装!$J$4:$J$1203,生产安装!$C$4:$C$1203,$B165,生产安装!$E$4:$E$1203,"成本-车运")+SUMIFS(资金日记账!$K$4:$K$2503,资金日记账!$G$4:$G$2503,$B165,资金日记账!$F$4:$F$2503,"成本-车运")-SUMIFS(资金日记账!$J$4:$J$2503,资金日记账!$G$4:$G$2503,$B165,资金日记账!$F$4:$F$2503,"成本-车运"),2))</f>
        <v/>
      </c>
      <c r="P165" s="19">
        <f>IF($B165="","",ROUND(SUMIFS(采购单!$L$4:$L$2003,采购单!$D$4:$D$2003,$B165,采购单!$F$4:$F$2003,"成本-其他")+SUMIFS(生产安装!$J$4:$J$1203,生产安装!$C$4:$C$1203,$B165,生产安装!$E$4:$E$1203,"成本-其他")+SUMIFS(资金日记账!$K$4:$K$2503,资金日记账!$G$4:$G$2503,$B165,资金日记账!$F$4:$F$2503,"成本-其他")-SUMIFS(资金日记账!$J$4:$J$2503,资金日记账!$G$4:$G$2503,$B165,资金日记账!$F$4:$F$2503,"成本-其他"),2))</f>
        <v/>
      </c>
      <c r="Q165" s="19">
        <f>IF($B165="","",ROUND(SUM($L165:$P165),2))</f>
        <v/>
      </c>
      <c r="R165" s="19">
        <f>IF($B165="","",ROUND($I165-$Q165,2))</f>
        <v/>
      </c>
      <c r="S165" s="33">
        <f>IF($B165="","",IF(ROUND($I165,2)=0,"",ROUND($R165/$I165,4)))</f>
        <v/>
      </c>
      <c r="T165" s="22">
        <f>IF($B165="","",IF($G165="",0,YEAR($G165)*100+MONTH($G165)))</f>
        <v/>
      </c>
      <c r="U165" s="17">
        <f>IF($B165="","",IF(项目台账!$R164="","",项目台账!$R164))</f>
        <v/>
      </c>
    </row>
    <row r="166">
      <c r="A166" s="17">
        <f>IF(项目台账!$B165="","",项目台账!$A165)</f>
        <v/>
      </c>
      <c r="B166" s="17">
        <f>IF(项目台账!$B165="","",项目台账!$B165)</f>
        <v/>
      </c>
      <c r="C166" s="17">
        <f>IF($B166="","",IF(项目台账!$C165="","",项目台账!$C165))</f>
        <v/>
      </c>
      <c r="D166" s="17">
        <f>IF($B166="","",IF(项目台账!$D165="","",项目台账!$D165))</f>
        <v/>
      </c>
      <c r="E166" s="17">
        <f>IF($B166="","",IF(项目台账!$E165="","",项目台账!$E165))</f>
        <v/>
      </c>
      <c r="F166" s="23">
        <f>IF($B166="","",IF(项目台账!$F165="","",项目台账!$F165))</f>
        <v/>
      </c>
      <c r="G166" s="23">
        <f>IF($B166="","",IF(项目台账!$J165="","",项目台账!$J165))</f>
        <v/>
      </c>
      <c r="H166" s="17">
        <f>IF($B166="","",IF(项目台账!$Q165="","",项目台账!$Q165))</f>
        <v/>
      </c>
      <c r="I166" s="19">
        <f>IF($B166="","",项目台账!$M165)</f>
        <v/>
      </c>
      <c r="J166" s="19">
        <f>IF($B166="","",项目台账!$O165)</f>
        <v/>
      </c>
      <c r="K166" s="19">
        <f>IF($B166="","",项目台账!$P165)</f>
        <v/>
      </c>
      <c r="L166" s="19">
        <f>IF($B166="","",ROUND(SUMIFS(采购单!$L$4:$L$2003,采购单!$D$4:$D$2003,$B166,采购单!$F$4:$F$2003,"成本-主材")+SUMIFS(生产安装!$J$4:$J$1203,生产安装!$C$4:$C$1203,$B166,生产安装!$E$4:$E$1203,"成本-主材")+SUMIFS(资金日记账!$K$4:$K$2503,资金日记账!$G$4:$G$2503,$B166,资金日记账!$F$4:$F$2503,"成本-主材")-SUMIFS(资金日记账!$J$4:$J$2503,资金日记账!$G$4:$G$2503,$B166,资金日记账!$F$4:$F$2503,"成本-主材"),2))</f>
        <v/>
      </c>
      <c r="M166" s="19">
        <f>IF($B166="","",ROUND(SUMIFS(采购单!$L$4:$L$2003,采购单!$D$4:$D$2003,$B166,采购单!$F$4:$F$2003,"成本-辅材")+SUMIFS(生产安装!$J$4:$J$1203,生产安装!$C$4:$C$1203,$B166,生产安装!$E$4:$E$1203,"成本-辅材")+SUMIFS(资金日记账!$K$4:$K$2503,资金日记账!$G$4:$G$2503,$B166,资金日记账!$F$4:$F$2503,"成本-辅材")-SUMIFS(资金日记账!$J$4:$J$2503,资金日记账!$G$4:$G$2503,$B166,资金日记账!$F$4:$F$2503,"成本-辅材"),2))</f>
        <v/>
      </c>
      <c r="N166" s="19">
        <f>IF($B166="","",ROUND(SUMIFS(采购单!$L$4:$L$2003,采购单!$D$4:$D$2003,$B166,采购单!$F$4:$F$2003,"成本-人工")+SUMIFS(生产安装!$J$4:$J$1203,生产安装!$C$4:$C$1203,$B166,生产安装!$E$4:$E$1203,"成本-人工")+SUMIFS(资金日记账!$K$4:$K$2503,资金日记账!$G$4:$G$2503,$B166,资金日记账!$F$4:$F$2503,"成本-人工")-SUMIFS(资金日记账!$J$4:$J$2503,资金日记账!$G$4:$G$2503,$B166,资金日记账!$F$4:$F$2503,"成本-人工"),2))</f>
        <v/>
      </c>
      <c r="O166" s="19">
        <f>IF($B166="","",ROUND(SUMIFS(采购单!$L$4:$L$2003,采购单!$D$4:$D$2003,$B166,采购单!$F$4:$F$2003,"成本-车运")+SUMIFS(生产安装!$J$4:$J$1203,生产安装!$C$4:$C$1203,$B166,生产安装!$E$4:$E$1203,"成本-车运")+SUMIFS(资金日记账!$K$4:$K$2503,资金日记账!$G$4:$G$2503,$B166,资金日记账!$F$4:$F$2503,"成本-车运")-SUMIFS(资金日记账!$J$4:$J$2503,资金日记账!$G$4:$G$2503,$B166,资金日记账!$F$4:$F$2503,"成本-车运"),2))</f>
        <v/>
      </c>
      <c r="P166" s="19">
        <f>IF($B166="","",ROUND(SUMIFS(采购单!$L$4:$L$2003,采购单!$D$4:$D$2003,$B166,采购单!$F$4:$F$2003,"成本-其他")+SUMIFS(生产安装!$J$4:$J$1203,生产安装!$C$4:$C$1203,$B166,生产安装!$E$4:$E$1203,"成本-其他")+SUMIFS(资金日记账!$K$4:$K$2503,资金日记账!$G$4:$G$2503,$B166,资金日记账!$F$4:$F$2503,"成本-其他")-SUMIFS(资金日记账!$J$4:$J$2503,资金日记账!$G$4:$G$2503,$B166,资金日记账!$F$4:$F$2503,"成本-其他"),2))</f>
        <v/>
      </c>
      <c r="Q166" s="19">
        <f>IF($B166="","",ROUND(SUM($L166:$P166),2))</f>
        <v/>
      </c>
      <c r="R166" s="19">
        <f>IF($B166="","",ROUND($I166-$Q166,2))</f>
        <v/>
      </c>
      <c r="S166" s="33">
        <f>IF($B166="","",IF(ROUND($I166,2)=0,"",ROUND($R166/$I166,4)))</f>
        <v/>
      </c>
      <c r="T166" s="22">
        <f>IF($B166="","",IF($G166="",0,YEAR($G166)*100+MONTH($G166)))</f>
        <v/>
      </c>
      <c r="U166" s="17">
        <f>IF($B166="","",IF(项目台账!$R165="","",项目台账!$R165))</f>
        <v/>
      </c>
    </row>
    <row r="167">
      <c r="A167" s="17">
        <f>IF(项目台账!$B166="","",项目台账!$A166)</f>
        <v/>
      </c>
      <c r="B167" s="17">
        <f>IF(项目台账!$B166="","",项目台账!$B166)</f>
        <v/>
      </c>
      <c r="C167" s="17">
        <f>IF($B167="","",IF(项目台账!$C166="","",项目台账!$C166))</f>
        <v/>
      </c>
      <c r="D167" s="17">
        <f>IF($B167="","",IF(项目台账!$D166="","",项目台账!$D166))</f>
        <v/>
      </c>
      <c r="E167" s="17">
        <f>IF($B167="","",IF(项目台账!$E166="","",项目台账!$E166))</f>
        <v/>
      </c>
      <c r="F167" s="23">
        <f>IF($B167="","",IF(项目台账!$F166="","",项目台账!$F166))</f>
        <v/>
      </c>
      <c r="G167" s="23">
        <f>IF($B167="","",IF(项目台账!$J166="","",项目台账!$J166))</f>
        <v/>
      </c>
      <c r="H167" s="17">
        <f>IF($B167="","",IF(项目台账!$Q166="","",项目台账!$Q166))</f>
        <v/>
      </c>
      <c r="I167" s="19">
        <f>IF($B167="","",项目台账!$M166)</f>
        <v/>
      </c>
      <c r="J167" s="19">
        <f>IF($B167="","",项目台账!$O166)</f>
        <v/>
      </c>
      <c r="K167" s="19">
        <f>IF($B167="","",项目台账!$P166)</f>
        <v/>
      </c>
      <c r="L167" s="19">
        <f>IF($B167="","",ROUND(SUMIFS(采购单!$L$4:$L$2003,采购单!$D$4:$D$2003,$B167,采购单!$F$4:$F$2003,"成本-主材")+SUMIFS(生产安装!$J$4:$J$1203,生产安装!$C$4:$C$1203,$B167,生产安装!$E$4:$E$1203,"成本-主材")+SUMIFS(资金日记账!$K$4:$K$2503,资金日记账!$G$4:$G$2503,$B167,资金日记账!$F$4:$F$2503,"成本-主材")-SUMIFS(资金日记账!$J$4:$J$2503,资金日记账!$G$4:$G$2503,$B167,资金日记账!$F$4:$F$2503,"成本-主材"),2))</f>
        <v/>
      </c>
      <c r="M167" s="19">
        <f>IF($B167="","",ROUND(SUMIFS(采购单!$L$4:$L$2003,采购单!$D$4:$D$2003,$B167,采购单!$F$4:$F$2003,"成本-辅材")+SUMIFS(生产安装!$J$4:$J$1203,生产安装!$C$4:$C$1203,$B167,生产安装!$E$4:$E$1203,"成本-辅材")+SUMIFS(资金日记账!$K$4:$K$2503,资金日记账!$G$4:$G$2503,$B167,资金日记账!$F$4:$F$2503,"成本-辅材")-SUMIFS(资金日记账!$J$4:$J$2503,资金日记账!$G$4:$G$2503,$B167,资金日记账!$F$4:$F$2503,"成本-辅材"),2))</f>
        <v/>
      </c>
      <c r="N167" s="19">
        <f>IF($B167="","",ROUND(SUMIFS(采购单!$L$4:$L$2003,采购单!$D$4:$D$2003,$B167,采购单!$F$4:$F$2003,"成本-人工")+SUMIFS(生产安装!$J$4:$J$1203,生产安装!$C$4:$C$1203,$B167,生产安装!$E$4:$E$1203,"成本-人工")+SUMIFS(资金日记账!$K$4:$K$2503,资金日记账!$G$4:$G$2503,$B167,资金日记账!$F$4:$F$2503,"成本-人工")-SUMIFS(资金日记账!$J$4:$J$2503,资金日记账!$G$4:$G$2503,$B167,资金日记账!$F$4:$F$2503,"成本-人工"),2))</f>
        <v/>
      </c>
      <c r="O167" s="19">
        <f>IF($B167="","",ROUND(SUMIFS(采购单!$L$4:$L$2003,采购单!$D$4:$D$2003,$B167,采购单!$F$4:$F$2003,"成本-车运")+SUMIFS(生产安装!$J$4:$J$1203,生产安装!$C$4:$C$1203,$B167,生产安装!$E$4:$E$1203,"成本-车运")+SUMIFS(资金日记账!$K$4:$K$2503,资金日记账!$G$4:$G$2503,$B167,资金日记账!$F$4:$F$2503,"成本-车运")-SUMIFS(资金日记账!$J$4:$J$2503,资金日记账!$G$4:$G$2503,$B167,资金日记账!$F$4:$F$2503,"成本-车运"),2))</f>
        <v/>
      </c>
      <c r="P167" s="19">
        <f>IF($B167="","",ROUND(SUMIFS(采购单!$L$4:$L$2003,采购单!$D$4:$D$2003,$B167,采购单!$F$4:$F$2003,"成本-其他")+SUMIFS(生产安装!$J$4:$J$1203,生产安装!$C$4:$C$1203,$B167,生产安装!$E$4:$E$1203,"成本-其他")+SUMIFS(资金日记账!$K$4:$K$2503,资金日记账!$G$4:$G$2503,$B167,资金日记账!$F$4:$F$2503,"成本-其他")-SUMIFS(资金日记账!$J$4:$J$2503,资金日记账!$G$4:$G$2503,$B167,资金日记账!$F$4:$F$2503,"成本-其他"),2))</f>
        <v/>
      </c>
      <c r="Q167" s="19">
        <f>IF($B167="","",ROUND(SUM($L167:$P167),2))</f>
        <v/>
      </c>
      <c r="R167" s="19">
        <f>IF($B167="","",ROUND($I167-$Q167,2))</f>
        <v/>
      </c>
      <c r="S167" s="33">
        <f>IF($B167="","",IF(ROUND($I167,2)=0,"",ROUND($R167/$I167,4)))</f>
        <v/>
      </c>
      <c r="T167" s="22">
        <f>IF($B167="","",IF($G167="",0,YEAR($G167)*100+MONTH($G167)))</f>
        <v/>
      </c>
      <c r="U167" s="17">
        <f>IF($B167="","",IF(项目台账!$R166="","",项目台账!$R166))</f>
        <v/>
      </c>
    </row>
    <row r="168">
      <c r="A168" s="17">
        <f>IF(项目台账!$B167="","",项目台账!$A167)</f>
        <v/>
      </c>
      <c r="B168" s="17">
        <f>IF(项目台账!$B167="","",项目台账!$B167)</f>
        <v/>
      </c>
      <c r="C168" s="17">
        <f>IF($B168="","",IF(项目台账!$C167="","",项目台账!$C167))</f>
        <v/>
      </c>
      <c r="D168" s="17">
        <f>IF($B168="","",IF(项目台账!$D167="","",项目台账!$D167))</f>
        <v/>
      </c>
      <c r="E168" s="17">
        <f>IF($B168="","",IF(项目台账!$E167="","",项目台账!$E167))</f>
        <v/>
      </c>
      <c r="F168" s="23">
        <f>IF($B168="","",IF(项目台账!$F167="","",项目台账!$F167))</f>
        <v/>
      </c>
      <c r="G168" s="23">
        <f>IF($B168="","",IF(项目台账!$J167="","",项目台账!$J167))</f>
        <v/>
      </c>
      <c r="H168" s="17">
        <f>IF($B168="","",IF(项目台账!$Q167="","",项目台账!$Q167))</f>
        <v/>
      </c>
      <c r="I168" s="19">
        <f>IF($B168="","",项目台账!$M167)</f>
        <v/>
      </c>
      <c r="J168" s="19">
        <f>IF($B168="","",项目台账!$O167)</f>
        <v/>
      </c>
      <c r="K168" s="19">
        <f>IF($B168="","",项目台账!$P167)</f>
        <v/>
      </c>
      <c r="L168" s="19">
        <f>IF($B168="","",ROUND(SUMIFS(采购单!$L$4:$L$2003,采购单!$D$4:$D$2003,$B168,采购单!$F$4:$F$2003,"成本-主材")+SUMIFS(生产安装!$J$4:$J$1203,生产安装!$C$4:$C$1203,$B168,生产安装!$E$4:$E$1203,"成本-主材")+SUMIFS(资金日记账!$K$4:$K$2503,资金日记账!$G$4:$G$2503,$B168,资金日记账!$F$4:$F$2503,"成本-主材")-SUMIFS(资金日记账!$J$4:$J$2503,资金日记账!$G$4:$G$2503,$B168,资金日记账!$F$4:$F$2503,"成本-主材"),2))</f>
        <v/>
      </c>
      <c r="M168" s="19">
        <f>IF($B168="","",ROUND(SUMIFS(采购单!$L$4:$L$2003,采购单!$D$4:$D$2003,$B168,采购单!$F$4:$F$2003,"成本-辅材")+SUMIFS(生产安装!$J$4:$J$1203,生产安装!$C$4:$C$1203,$B168,生产安装!$E$4:$E$1203,"成本-辅材")+SUMIFS(资金日记账!$K$4:$K$2503,资金日记账!$G$4:$G$2503,$B168,资金日记账!$F$4:$F$2503,"成本-辅材")-SUMIFS(资金日记账!$J$4:$J$2503,资金日记账!$G$4:$G$2503,$B168,资金日记账!$F$4:$F$2503,"成本-辅材"),2))</f>
        <v/>
      </c>
      <c r="N168" s="19">
        <f>IF($B168="","",ROUND(SUMIFS(采购单!$L$4:$L$2003,采购单!$D$4:$D$2003,$B168,采购单!$F$4:$F$2003,"成本-人工")+SUMIFS(生产安装!$J$4:$J$1203,生产安装!$C$4:$C$1203,$B168,生产安装!$E$4:$E$1203,"成本-人工")+SUMIFS(资金日记账!$K$4:$K$2503,资金日记账!$G$4:$G$2503,$B168,资金日记账!$F$4:$F$2503,"成本-人工")-SUMIFS(资金日记账!$J$4:$J$2503,资金日记账!$G$4:$G$2503,$B168,资金日记账!$F$4:$F$2503,"成本-人工"),2))</f>
        <v/>
      </c>
      <c r="O168" s="19">
        <f>IF($B168="","",ROUND(SUMIFS(采购单!$L$4:$L$2003,采购单!$D$4:$D$2003,$B168,采购单!$F$4:$F$2003,"成本-车运")+SUMIFS(生产安装!$J$4:$J$1203,生产安装!$C$4:$C$1203,$B168,生产安装!$E$4:$E$1203,"成本-车运")+SUMIFS(资金日记账!$K$4:$K$2503,资金日记账!$G$4:$G$2503,$B168,资金日记账!$F$4:$F$2503,"成本-车运")-SUMIFS(资金日记账!$J$4:$J$2503,资金日记账!$G$4:$G$2503,$B168,资金日记账!$F$4:$F$2503,"成本-车运"),2))</f>
        <v/>
      </c>
      <c r="P168" s="19">
        <f>IF($B168="","",ROUND(SUMIFS(采购单!$L$4:$L$2003,采购单!$D$4:$D$2003,$B168,采购单!$F$4:$F$2003,"成本-其他")+SUMIFS(生产安装!$J$4:$J$1203,生产安装!$C$4:$C$1203,$B168,生产安装!$E$4:$E$1203,"成本-其他")+SUMIFS(资金日记账!$K$4:$K$2503,资金日记账!$G$4:$G$2503,$B168,资金日记账!$F$4:$F$2503,"成本-其他")-SUMIFS(资金日记账!$J$4:$J$2503,资金日记账!$G$4:$G$2503,$B168,资金日记账!$F$4:$F$2503,"成本-其他"),2))</f>
        <v/>
      </c>
      <c r="Q168" s="19">
        <f>IF($B168="","",ROUND(SUM($L168:$P168),2))</f>
        <v/>
      </c>
      <c r="R168" s="19">
        <f>IF($B168="","",ROUND($I168-$Q168,2))</f>
        <v/>
      </c>
      <c r="S168" s="33">
        <f>IF($B168="","",IF(ROUND($I168,2)=0,"",ROUND($R168/$I168,4)))</f>
        <v/>
      </c>
      <c r="T168" s="22">
        <f>IF($B168="","",IF($G168="",0,YEAR($G168)*100+MONTH($G168)))</f>
        <v/>
      </c>
      <c r="U168" s="17">
        <f>IF($B168="","",IF(项目台账!$R167="","",项目台账!$R167))</f>
        <v/>
      </c>
    </row>
    <row r="169">
      <c r="A169" s="17">
        <f>IF(项目台账!$B168="","",项目台账!$A168)</f>
        <v/>
      </c>
      <c r="B169" s="17">
        <f>IF(项目台账!$B168="","",项目台账!$B168)</f>
        <v/>
      </c>
      <c r="C169" s="17">
        <f>IF($B169="","",IF(项目台账!$C168="","",项目台账!$C168))</f>
        <v/>
      </c>
      <c r="D169" s="17">
        <f>IF($B169="","",IF(项目台账!$D168="","",项目台账!$D168))</f>
        <v/>
      </c>
      <c r="E169" s="17">
        <f>IF($B169="","",IF(项目台账!$E168="","",项目台账!$E168))</f>
        <v/>
      </c>
      <c r="F169" s="23">
        <f>IF($B169="","",IF(项目台账!$F168="","",项目台账!$F168))</f>
        <v/>
      </c>
      <c r="G169" s="23">
        <f>IF($B169="","",IF(项目台账!$J168="","",项目台账!$J168))</f>
        <v/>
      </c>
      <c r="H169" s="17">
        <f>IF($B169="","",IF(项目台账!$Q168="","",项目台账!$Q168))</f>
        <v/>
      </c>
      <c r="I169" s="19">
        <f>IF($B169="","",项目台账!$M168)</f>
        <v/>
      </c>
      <c r="J169" s="19">
        <f>IF($B169="","",项目台账!$O168)</f>
        <v/>
      </c>
      <c r="K169" s="19">
        <f>IF($B169="","",项目台账!$P168)</f>
        <v/>
      </c>
      <c r="L169" s="19">
        <f>IF($B169="","",ROUND(SUMIFS(采购单!$L$4:$L$2003,采购单!$D$4:$D$2003,$B169,采购单!$F$4:$F$2003,"成本-主材")+SUMIFS(生产安装!$J$4:$J$1203,生产安装!$C$4:$C$1203,$B169,生产安装!$E$4:$E$1203,"成本-主材")+SUMIFS(资金日记账!$K$4:$K$2503,资金日记账!$G$4:$G$2503,$B169,资金日记账!$F$4:$F$2503,"成本-主材")-SUMIFS(资金日记账!$J$4:$J$2503,资金日记账!$G$4:$G$2503,$B169,资金日记账!$F$4:$F$2503,"成本-主材"),2))</f>
        <v/>
      </c>
      <c r="M169" s="19">
        <f>IF($B169="","",ROUND(SUMIFS(采购单!$L$4:$L$2003,采购单!$D$4:$D$2003,$B169,采购单!$F$4:$F$2003,"成本-辅材")+SUMIFS(生产安装!$J$4:$J$1203,生产安装!$C$4:$C$1203,$B169,生产安装!$E$4:$E$1203,"成本-辅材")+SUMIFS(资金日记账!$K$4:$K$2503,资金日记账!$G$4:$G$2503,$B169,资金日记账!$F$4:$F$2503,"成本-辅材")-SUMIFS(资金日记账!$J$4:$J$2503,资金日记账!$G$4:$G$2503,$B169,资金日记账!$F$4:$F$2503,"成本-辅材"),2))</f>
        <v/>
      </c>
      <c r="N169" s="19">
        <f>IF($B169="","",ROUND(SUMIFS(采购单!$L$4:$L$2003,采购单!$D$4:$D$2003,$B169,采购单!$F$4:$F$2003,"成本-人工")+SUMIFS(生产安装!$J$4:$J$1203,生产安装!$C$4:$C$1203,$B169,生产安装!$E$4:$E$1203,"成本-人工")+SUMIFS(资金日记账!$K$4:$K$2503,资金日记账!$G$4:$G$2503,$B169,资金日记账!$F$4:$F$2503,"成本-人工")-SUMIFS(资金日记账!$J$4:$J$2503,资金日记账!$G$4:$G$2503,$B169,资金日记账!$F$4:$F$2503,"成本-人工"),2))</f>
        <v/>
      </c>
      <c r="O169" s="19">
        <f>IF($B169="","",ROUND(SUMIFS(采购单!$L$4:$L$2003,采购单!$D$4:$D$2003,$B169,采购单!$F$4:$F$2003,"成本-车运")+SUMIFS(生产安装!$J$4:$J$1203,生产安装!$C$4:$C$1203,$B169,生产安装!$E$4:$E$1203,"成本-车运")+SUMIFS(资金日记账!$K$4:$K$2503,资金日记账!$G$4:$G$2503,$B169,资金日记账!$F$4:$F$2503,"成本-车运")-SUMIFS(资金日记账!$J$4:$J$2503,资金日记账!$G$4:$G$2503,$B169,资金日记账!$F$4:$F$2503,"成本-车运"),2))</f>
        <v/>
      </c>
      <c r="P169" s="19">
        <f>IF($B169="","",ROUND(SUMIFS(采购单!$L$4:$L$2003,采购单!$D$4:$D$2003,$B169,采购单!$F$4:$F$2003,"成本-其他")+SUMIFS(生产安装!$J$4:$J$1203,生产安装!$C$4:$C$1203,$B169,生产安装!$E$4:$E$1203,"成本-其他")+SUMIFS(资金日记账!$K$4:$K$2503,资金日记账!$G$4:$G$2503,$B169,资金日记账!$F$4:$F$2503,"成本-其他")-SUMIFS(资金日记账!$J$4:$J$2503,资金日记账!$G$4:$G$2503,$B169,资金日记账!$F$4:$F$2503,"成本-其他"),2))</f>
        <v/>
      </c>
      <c r="Q169" s="19">
        <f>IF($B169="","",ROUND(SUM($L169:$P169),2))</f>
        <v/>
      </c>
      <c r="R169" s="19">
        <f>IF($B169="","",ROUND($I169-$Q169,2))</f>
        <v/>
      </c>
      <c r="S169" s="33">
        <f>IF($B169="","",IF(ROUND($I169,2)=0,"",ROUND($R169/$I169,4)))</f>
        <v/>
      </c>
      <c r="T169" s="22">
        <f>IF($B169="","",IF($G169="",0,YEAR($G169)*100+MONTH($G169)))</f>
        <v/>
      </c>
      <c r="U169" s="17">
        <f>IF($B169="","",IF(项目台账!$R168="","",项目台账!$R168))</f>
        <v/>
      </c>
    </row>
    <row r="170">
      <c r="A170" s="17">
        <f>IF(项目台账!$B169="","",项目台账!$A169)</f>
        <v/>
      </c>
      <c r="B170" s="17">
        <f>IF(项目台账!$B169="","",项目台账!$B169)</f>
        <v/>
      </c>
      <c r="C170" s="17">
        <f>IF($B170="","",IF(项目台账!$C169="","",项目台账!$C169))</f>
        <v/>
      </c>
      <c r="D170" s="17">
        <f>IF($B170="","",IF(项目台账!$D169="","",项目台账!$D169))</f>
        <v/>
      </c>
      <c r="E170" s="17">
        <f>IF($B170="","",IF(项目台账!$E169="","",项目台账!$E169))</f>
        <v/>
      </c>
      <c r="F170" s="23">
        <f>IF($B170="","",IF(项目台账!$F169="","",项目台账!$F169))</f>
        <v/>
      </c>
      <c r="G170" s="23">
        <f>IF($B170="","",IF(项目台账!$J169="","",项目台账!$J169))</f>
        <v/>
      </c>
      <c r="H170" s="17">
        <f>IF($B170="","",IF(项目台账!$Q169="","",项目台账!$Q169))</f>
        <v/>
      </c>
      <c r="I170" s="19">
        <f>IF($B170="","",项目台账!$M169)</f>
        <v/>
      </c>
      <c r="J170" s="19">
        <f>IF($B170="","",项目台账!$O169)</f>
        <v/>
      </c>
      <c r="K170" s="19">
        <f>IF($B170="","",项目台账!$P169)</f>
        <v/>
      </c>
      <c r="L170" s="19">
        <f>IF($B170="","",ROUND(SUMIFS(采购单!$L$4:$L$2003,采购单!$D$4:$D$2003,$B170,采购单!$F$4:$F$2003,"成本-主材")+SUMIFS(生产安装!$J$4:$J$1203,生产安装!$C$4:$C$1203,$B170,生产安装!$E$4:$E$1203,"成本-主材")+SUMIFS(资金日记账!$K$4:$K$2503,资金日记账!$G$4:$G$2503,$B170,资金日记账!$F$4:$F$2503,"成本-主材")-SUMIFS(资金日记账!$J$4:$J$2503,资金日记账!$G$4:$G$2503,$B170,资金日记账!$F$4:$F$2503,"成本-主材"),2))</f>
        <v/>
      </c>
      <c r="M170" s="19">
        <f>IF($B170="","",ROUND(SUMIFS(采购单!$L$4:$L$2003,采购单!$D$4:$D$2003,$B170,采购单!$F$4:$F$2003,"成本-辅材")+SUMIFS(生产安装!$J$4:$J$1203,生产安装!$C$4:$C$1203,$B170,生产安装!$E$4:$E$1203,"成本-辅材")+SUMIFS(资金日记账!$K$4:$K$2503,资金日记账!$G$4:$G$2503,$B170,资金日记账!$F$4:$F$2503,"成本-辅材")-SUMIFS(资金日记账!$J$4:$J$2503,资金日记账!$G$4:$G$2503,$B170,资金日记账!$F$4:$F$2503,"成本-辅材"),2))</f>
        <v/>
      </c>
      <c r="N170" s="19">
        <f>IF($B170="","",ROUND(SUMIFS(采购单!$L$4:$L$2003,采购单!$D$4:$D$2003,$B170,采购单!$F$4:$F$2003,"成本-人工")+SUMIFS(生产安装!$J$4:$J$1203,生产安装!$C$4:$C$1203,$B170,生产安装!$E$4:$E$1203,"成本-人工")+SUMIFS(资金日记账!$K$4:$K$2503,资金日记账!$G$4:$G$2503,$B170,资金日记账!$F$4:$F$2503,"成本-人工")-SUMIFS(资金日记账!$J$4:$J$2503,资金日记账!$G$4:$G$2503,$B170,资金日记账!$F$4:$F$2503,"成本-人工"),2))</f>
        <v/>
      </c>
      <c r="O170" s="19">
        <f>IF($B170="","",ROUND(SUMIFS(采购单!$L$4:$L$2003,采购单!$D$4:$D$2003,$B170,采购单!$F$4:$F$2003,"成本-车运")+SUMIFS(生产安装!$J$4:$J$1203,生产安装!$C$4:$C$1203,$B170,生产安装!$E$4:$E$1203,"成本-车运")+SUMIFS(资金日记账!$K$4:$K$2503,资金日记账!$G$4:$G$2503,$B170,资金日记账!$F$4:$F$2503,"成本-车运")-SUMIFS(资金日记账!$J$4:$J$2503,资金日记账!$G$4:$G$2503,$B170,资金日记账!$F$4:$F$2503,"成本-车运"),2))</f>
        <v/>
      </c>
      <c r="P170" s="19">
        <f>IF($B170="","",ROUND(SUMIFS(采购单!$L$4:$L$2003,采购单!$D$4:$D$2003,$B170,采购单!$F$4:$F$2003,"成本-其他")+SUMIFS(生产安装!$J$4:$J$1203,生产安装!$C$4:$C$1203,$B170,生产安装!$E$4:$E$1203,"成本-其他")+SUMIFS(资金日记账!$K$4:$K$2503,资金日记账!$G$4:$G$2503,$B170,资金日记账!$F$4:$F$2503,"成本-其他")-SUMIFS(资金日记账!$J$4:$J$2503,资金日记账!$G$4:$G$2503,$B170,资金日记账!$F$4:$F$2503,"成本-其他"),2))</f>
        <v/>
      </c>
      <c r="Q170" s="19">
        <f>IF($B170="","",ROUND(SUM($L170:$P170),2))</f>
        <v/>
      </c>
      <c r="R170" s="19">
        <f>IF($B170="","",ROUND($I170-$Q170,2))</f>
        <v/>
      </c>
      <c r="S170" s="33">
        <f>IF($B170="","",IF(ROUND($I170,2)=0,"",ROUND($R170/$I170,4)))</f>
        <v/>
      </c>
      <c r="T170" s="22">
        <f>IF($B170="","",IF($G170="",0,YEAR($G170)*100+MONTH($G170)))</f>
        <v/>
      </c>
      <c r="U170" s="17">
        <f>IF($B170="","",IF(项目台账!$R169="","",项目台账!$R169))</f>
        <v/>
      </c>
    </row>
    <row r="171">
      <c r="A171" s="17">
        <f>IF(项目台账!$B170="","",项目台账!$A170)</f>
        <v/>
      </c>
      <c r="B171" s="17">
        <f>IF(项目台账!$B170="","",项目台账!$B170)</f>
        <v/>
      </c>
      <c r="C171" s="17">
        <f>IF($B171="","",IF(项目台账!$C170="","",项目台账!$C170))</f>
        <v/>
      </c>
      <c r="D171" s="17">
        <f>IF($B171="","",IF(项目台账!$D170="","",项目台账!$D170))</f>
        <v/>
      </c>
      <c r="E171" s="17">
        <f>IF($B171="","",IF(项目台账!$E170="","",项目台账!$E170))</f>
        <v/>
      </c>
      <c r="F171" s="23">
        <f>IF($B171="","",IF(项目台账!$F170="","",项目台账!$F170))</f>
        <v/>
      </c>
      <c r="G171" s="23">
        <f>IF($B171="","",IF(项目台账!$J170="","",项目台账!$J170))</f>
        <v/>
      </c>
      <c r="H171" s="17">
        <f>IF($B171="","",IF(项目台账!$Q170="","",项目台账!$Q170))</f>
        <v/>
      </c>
      <c r="I171" s="19">
        <f>IF($B171="","",项目台账!$M170)</f>
        <v/>
      </c>
      <c r="J171" s="19">
        <f>IF($B171="","",项目台账!$O170)</f>
        <v/>
      </c>
      <c r="K171" s="19">
        <f>IF($B171="","",项目台账!$P170)</f>
        <v/>
      </c>
      <c r="L171" s="19">
        <f>IF($B171="","",ROUND(SUMIFS(采购单!$L$4:$L$2003,采购单!$D$4:$D$2003,$B171,采购单!$F$4:$F$2003,"成本-主材")+SUMIFS(生产安装!$J$4:$J$1203,生产安装!$C$4:$C$1203,$B171,生产安装!$E$4:$E$1203,"成本-主材")+SUMIFS(资金日记账!$K$4:$K$2503,资金日记账!$G$4:$G$2503,$B171,资金日记账!$F$4:$F$2503,"成本-主材")-SUMIFS(资金日记账!$J$4:$J$2503,资金日记账!$G$4:$G$2503,$B171,资金日记账!$F$4:$F$2503,"成本-主材"),2))</f>
        <v/>
      </c>
      <c r="M171" s="19">
        <f>IF($B171="","",ROUND(SUMIFS(采购单!$L$4:$L$2003,采购单!$D$4:$D$2003,$B171,采购单!$F$4:$F$2003,"成本-辅材")+SUMIFS(生产安装!$J$4:$J$1203,生产安装!$C$4:$C$1203,$B171,生产安装!$E$4:$E$1203,"成本-辅材")+SUMIFS(资金日记账!$K$4:$K$2503,资金日记账!$G$4:$G$2503,$B171,资金日记账!$F$4:$F$2503,"成本-辅材")-SUMIFS(资金日记账!$J$4:$J$2503,资金日记账!$G$4:$G$2503,$B171,资金日记账!$F$4:$F$2503,"成本-辅材"),2))</f>
        <v/>
      </c>
      <c r="N171" s="19">
        <f>IF($B171="","",ROUND(SUMIFS(采购单!$L$4:$L$2003,采购单!$D$4:$D$2003,$B171,采购单!$F$4:$F$2003,"成本-人工")+SUMIFS(生产安装!$J$4:$J$1203,生产安装!$C$4:$C$1203,$B171,生产安装!$E$4:$E$1203,"成本-人工")+SUMIFS(资金日记账!$K$4:$K$2503,资金日记账!$G$4:$G$2503,$B171,资金日记账!$F$4:$F$2503,"成本-人工")-SUMIFS(资金日记账!$J$4:$J$2503,资金日记账!$G$4:$G$2503,$B171,资金日记账!$F$4:$F$2503,"成本-人工"),2))</f>
        <v/>
      </c>
      <c r="O171" s="19">
        <f>IF($B171="","",ROUND(SUMIFS(采购单!$L$4:$L$2003,采购单!$D$4:$D$2003,$B171,采购单!$F$4:$F$2003,"成本-车运")+SUMIFS(生产安装!$J$4:$J$1203,生产安装!$C$4:$C$1203,$B171,生产安装!$E$4:$E$1203,"成本-车运")+SUMIFS(资金日记账!$K$4:$K$2503,资金日记账!$G$4:$G$2503,$B171,资金日记账!$F$4:$F$2503,"成本-车运")-SUMIFS(资金日记账!$J$4:$J$2503,资金日记账!$G$4:$G$2503,$B171,资金日记账!$F$4:$F$2503,"成本-车运"),2))</f>
        <v/>
      </c>
      <c r="P171" s="19">
        <f>IF($B171="","",ROUND(SUMIFS(采购单!$L$4:$L$2003,采购单!$D$4:$D$2003,$B171,采购单!$F$4:$F$2003,"成本-其他")+SUMIFS(生产安装!$J$4:$J$1203,生产安装!$C$4:$C$1203,$B171,生产安装!$E$4:$E$1203,"成本-其他")+SUMIFS(资金日记账!$K$4:$K$2503,资金日记账!$G$4:$G$2503,$B171,资金日记账!$F$4:$F$2503,"成本-其他")-SUMIFS(资金日记账!$J$4:$J$2503,资金日记账!$G$4:$G$2503,$B171,资金日记账!$F$4:$F$2503,"成本-其他"),2))</f>
        <v/>
      </c>
      <c r="Q171" s="19">
        <f>IF($B171="","",ROUND(SUM($L171:$P171),2))</f>
        <v/>
      </c>
      <c r="R171" s="19">
        <f>IF($B171="","",ROUND($I171-$Q171,2))</f>
        <v/>
      </c>
      <c r="S171" s="33">
        <f>IF($B171="","",IF(ROUND($I171,2)=0,"",ROUND($R171/$I171,4)))</f>
        <v/>
      </c>
      <c r="T171" s="22">
        <f>IF($B171="","",IF($G171="",0,YEAR($G171)*100+MONTH($G171)))</f>
        <v/>
      </c>
      <c r="U171" s="17">
        <f>IF($B171="","",IF(项目台账!$R170="","",项目台账!$R170))</f>
        <v/>
      </c>
    </row>
    <row r="172">
      <c r="A172" s="17">
        <f>IF(项目台账!$B171="","",项目台账!$A171)</f>
        <v/>
      </c>
      <c r="B172" s="17">
        <f>IF(项目台账!$B171="","",项目台账!$B171)</f>
        <v/>
      </c>
      <c r="C172" s="17">
        <f>IF($B172="","",IF(项目台账!$C171="","",项目台账!$C171))</f>
        <v/>
      </c>
      <c r="D172" s="17">
        <f>IF($B172="","",IF(项目台账!$D171="","",项目台账!$D171))</f>
        <v/>
      </c>
      <c r="E172" s="17">
        <f>IF($B172="","",IF(项目台账!$E171="","",项目台账!$E171))</f>
        <v/>
      </c>
      <c r="F172" s="23">
        <f>IF($B172="","",IF(项目台账!$F171="","",项目台账!$F171))</f>
        <v/>
      </c>
      <c r="G172" s="23">
        <f>IF($B172="","",IF(项目台账!$J171="","",项目台账!$J171))</f>
        <v/>
      </c>
      <c r="H172" s="17">
        <f>IF($B172="","",IF(项目台账!$Q171="","",项目台账!$Q171))</f>
        <v/>
      </c>
      <c r="I172" s="19">
        <f>IF($B172="","",项目台账!$M171)</f>
        <v/>
      </c>
      <c r="J172" s="19">
        <f>IF($B172="","",项目台账!$O171)</f>
        <v/>
      </c>
      <c r="K172" s="19">
        <f>IF($B172="","",项目台账!$P171)</f>
        <v/>
      </c>
      <c r="L172" s="19">
        <f>IF($B172="","",ROUND(SUMIFS(采购单!$L$4:$L$2003,采购单!$D$4:$D$2003,$B172,采购单!$F$4:$F$2003,"成本-主材")+SUMIFS(生产安装!$J$4:$J$1203,生产安装!$C$4:$C$1203,$B172,生产安装!$E$4:$E$1203,"成本-主材")+SUMIFS(资金日记账!$K$4:$K$2503,资金日记账!$G$4:$G$2503,$B172,资金日记账!$F$4:$F$2503,"成本-主材")-SUMIFS(资金日记账!$J$4:$J$2503,资金日记账!$G$4:$G$2503,$B172,资金日记账!$F$4:$F$2503,"成本-主材"),2))</f>
        <v/>
      </c>
      <c r="M172" s="19">
        <f>IF($B172="","",ROUND(SUMIFS(采购单!$L$4:$L$2003,采购单!$D$4:$D$2003,$B172,采购单!$F$4:$F$2003,"成本-辅材")+SUMIFS(生产安装!$J$4:$J$1203,生产安装!$C$4:$C$1203,$B172,生产安装!$E$4:$E$1203,"成本-辅材")+SUMIFS(资金日记账!$K$4:$K$2503,资金日记账!$G$4:$G$2503,$B172,资金日记账!$F$4:$F$2503,"成本-辅材")-SUMIFS(资金日记账!$J$4:$J$2503,资金日记账!$G$4:$G$2503,$B172,资金日记账!$F$4:$F$2503,"成本-辅材"),2))</f>
        <v/>
      </c>
      <c r="N172" s="19">
        <f>IF($B172="","",ROUND(SUMIFS(采购单!$L$4:$L$2003,采购单!$D$4:$D$2003,$B172,采购单!$F$4:$F$2003,"成本-人工")+SUMIFS(生产安装!$J$4:$J$1203,生产安装!$C$4:$C$1203,$B172,生产安装!$E$4:$E$1203,"成本-人工")+SUMIFS(资金日记账!$K$4:$K$2503,资金日记账!$G$4:$G$2503,$B172,资金日记账!$F$4:$F$2503,"成本-人工")-SUMIFS(资金日记账!$J$4:$J$2503,资金日记账!$G$4:$G$2503,$B172,资金日记账!$F$4:$F$2503,"成本-人工"),2))</f>
        <v/>
      </c>
      <c r="O172" s="19">
        <f>IF($B172="","",ROUND(SUMIFS(采购单!$L$4:$L$2003,采购单!$D$4:$D$2003,$B172,采购单!$F$4:$F$2003,"成本-车运")+SUMIFS(生产安装!$J$4:$J$1203,生产安装!$C$4:$C$1203,$B172,生产安装!$E$4:$E$1203,"成本-车运")+SUMIFS(资金日记账!$K$4:$K$2503,资金日记账!$G$4:$G$2503,$B172,资金日记账!$F$4:$F$2503,"成本-车运")-SUMIFS(资金日记账!$J$4:$J$2503,资金日记账!$G$4:$G$2503,$B172,资金日记账!$F$4:$F$2503,"成本-车运"),2))</f>
        <v/>
      </c>
      <c r="P172" s="19">
        <f>IF($B172="","",ROUND(SUMIFS(采购单!$L$4:$L$2003,采购单!$D$4:$D$2003,$B172,采购单!$F$4:$F$2003,"成本-其他")+SUMIFS(生产安装!$J$4:$J$1203,生产安装!$C$4:$C$1203,$B172,生产安装!$E$4:$E$1203,"成本-其他")+SUMIFS(资金日记账!$K$4:$K$2503,资金日记账!$G$4:$G$2503,$B172,资金日记账!$F$4:$F$2503,"成本-其他")-SUMIFS(资金日记账!$J$4:$J$2503,资金日记账!$G$4:$G$2503,$B172,资金日记账!$F$4:$F$2503,"成本-其他"),2))</f>
        <v/>
      </c>
      <c r="Q172" s="19">
        <f>IF($B172="","",ROUND(SUM($L172:$P172),2))</f>
        <v/>
      </c>
      <c r="R172" s="19">
        <f>IF($B172="","",ROUND($I172-$Q172,2))</f>
        <v/>
      </c>
      <c r="S172" s="33">
        <f>IF($B172="","",IF(ROUND($I172,2)=0,"",ROUND($R172/$I172,4)))</f>
        <v/>
      </c>
      <c r="T172" s="22">
        <f>IF($B172="","",IF($G172="",0,YEAR($G172)*100+MONTH($G172)))</f>
        <v/>
      </c>
      <c r="U172" s="17">
        <f>IF($B172="","",IF(项目台账!$R171="","",项目台账!$R171))</f>
        <v/>
      </c>
    </row>
    <row r="173">
      <c r="A173" s="17">
        <f>IF(项目台账!$B172="","",项目台账!$A172)</f>
        <v/>
      </c>
      <c r="B173" s="17">
        <f>IF(项目台账!$B172="","",项目台账!$B172)</f>
        <v/>
      </c>
      <c r="C173" s="17">
        <f>IF($B173="","",IF(项目台账!$C172="","",项目台账!$C172))</f>
        <v/>
      </c>
      <c r="D173" s="17">
        <f>IF($B173="","",IF(项目台账!$D172="","",项目台账!$D172))</f>
        <v/>
      </c>
      <c r="E173" s="17">
        <f>IF($B173="","",IF(项目台账!$E172="","",项目台账!$E172))</f>
        <v/>
      </c>
      <c r="F173" s="23">
        <f>IF($B173="","",IF(项目台账!$F172="","",项目台账!$F172))</f>
        <v/>
      </c>
      <c r="G173" s="23">
        <f>IF($B173="","",IF(项目台账!$J172="","",项目台账!$J172))</f>
        <v/>
      </c>
      <c r="H173" s="17">
        <f>IF($B173="","",IF(项目台账!$Q172="","",项目台账!$Q172))</f>
        <v/>
      </c>
      <c r="I173" s="19">
        <f>IF($B173="","",项目台账!$M172)</f>
        <v/>
      </c>
      <c r="J173" s="19">
        <f>IF($B173="","",项目台账!$O172)</f>
        <v/>
      </c>
      <c r="K173" s="19">
        <f>IF($B173="","",项目台账!$P172)</f>
        <v/>
      </c>
      <c r="L173" s="19">
        <f>IF($B173="","",ROUND(SUMIFS(采购单!$L$4:$L$2003,采购单!$D$4:$D$2003,$B173,采购单!$F$4:$F$2003,"成本-主材")+SUMIFS(生产安装!$J$4:$J$1203,生产安装!$C$4:$C$1203,$B173,生产安装!$E$4:$E$1203,"成本-主材")+SUMIFS(资金日记账!$K$4:$K$2503,资金日记账!$G$4:$G$2503,$B173,资金日记账!$F$4:$F$2503,"成本-主材")-SUMIFS(资金日记账!$J$4:$J$2503,资金日记账!$G$4:$G$2503,$B173,资金日记账!$F$4:$F$2503,"成本-主材"),2))</f>
        <v/>
      </c>
      <c r="M173" s="19">
        <f>IF($B173="","",ROUND(SUMIFS(采购单!$L$4:$L$2003,采购单!$D$4:$D$2003,$B173,采购单!$F$4:$F$2003,"成本-辅材")+SUMIFS(生产安装!$J$4:$J$1203,生产安装!$C$4:$C$1203,$B173,生产安装!$E$4:$E$1203,"成本-辅材")+SUMIFS(资金日记账!$K$4:$K$2503,资金日记账!$G$4:$G$2503,$B173,资金日记账!$F$4:$F$2503,"成本-辅材")-SUMIFS(资金日记账!$J$4:$J$2503,资金日记账!$G$4:$G$2503,$B173,资金日记账!$F$4:$F$2503,"成本-辅材"),2))</f>
        <v/>
      </c>
      <c r="N173" s="19">
        <f>IF($B173="","",ROUND(SUMIFS(采购单!$L$4:$L$2003,采购单!$D$4:$D$2003,$B173,采购单!$F$4:$F$2003,"成本-人工")+SUMIFS(生产安装!$J$4:$J$1203,生产安装!$C$4:$C$1203,$B173,生产安装!$E$4:$E$1203,"成本-人工")+SUMIFS(资金日记账!$K$4:$K$2503,资金日记账!$G$4:$G$2503,$B173,资金日记账!$F$4:$F$2503,"成本-人工")-SUMIFS(资金日记账!$J$4:$J$2503,资金日记账!$G$4:$G$2503,$B173,资金日记账!$F$4:$F$2503,"成本-人工"),2))</f>
        <v/>
      </c>
      <c r="O173" s="19">
        <f>IF($B173="","",ROUND(SUMIFS(采购单!$L$4:$L$2003,采购单!$D$4:$D$2003,$B173,采购单!$F$4:$F$2003,"成本-车运")+SUMIFS(生产安装!$J$4:$J$1203,生产安装!$C$4:$C$1203,$B173,生产安装!$E$4:$E$1203,"成本-车运")+SUMIFS(资金日记账!$K$4:$K$2503,资金日记账!$G$4:$G$2503,$B173,资金日记账!$F$4:$F$2503,"成本-车运")-SUMIFS(资金日记账!$J$4:$J$2503,资金日记账!$G$4:$G$2503,$B173,资金日记账!$F$4:$F$2503,"成本-车运"),2))</f>
        <v/>
      </c>
      <c r="P173" s="19">
        <f>IF($B173="","",ROUND(SUMIFS(采购单!$L$4:$L$2003,采购单!$D$4:$D$2003,$B173,采购单!$F$4:$F$2003,"成本-其他")+SUMIFS(生产安装!$J$4:$J$1203,生产安装!$C$4:$C$1203,$B173,生产安装!$E$4:$E$1203,"成本-其他")+SUMIFS(资金日记账!$K$4:$K$2503,资金日记账!$G$4:$G$2503,$B173,资金日记账!$F$4:$F$2503,"成本-其他")-SUMIFS(资金日记账!$J$4:$J$2503,资金日记账!$G$4:$G$2503,$B173,资金日记账!$F$4:$F$2503,"成本-其他"),2))</f>
        <v/>
      </c>
      <c r="Q173" s="19">
        <f>IF($B173="","",ROUND(SUM($L173:$P173),2))</f>
        <v/>
      </c>
      <c r="R173" s="19">
        <f>IF($B173="","",ROUND($I173-$Q173,2))</f>
        <v/>
      </c>
      <c r="S173" s="33">
        <f>IF($B173="","",IF(ROUND($I173,2)=0,"",ROUND($R173/$I173,4)))</f>
        <v/>
      </c>
      <c r="T173" s="22">
        <f>IF($B173="","",IF($G173="",0,YEAR($G173)*100+MONTH($G173)))</f>
        <v/>
      </c>
      <c r="U173" s="17">
        <f>IF($B173="","",IF(项目台账!$R172="","",项目台账!$R172))</f>
        <v/>
      </c>
    </row>
    <row r="174">
      <c r="A174" s="17">
        <f>IF(项目台账!$B173="","",项目台账!$A173)</f>
        <v/>
      </c>
      <c r="B174" s="17">
        <f>IF(项目台账!$B173="","",项目台账!$B173)</f>
        <v/>
      </c>
      <c r="C174" s="17">
        <f>IF($B174="","",IF(项目台账!$C173="","",项目台账!$C173))</f>
        <v/>
      </c>
      <c r="D174" s="17">
        <f>IF($B174="","",IF(项目台账!$D173="","",项目台账!$D173))</f>
        <v/>
      </c>
      <c r="E174" s="17">
        <f>IF($B174="","",IF(项目台账!$E173="","",项目台账!$E173))</f>
        <v/>
      </c>
      <c r="F174" s="23">
        <f>IF($B174="","",IF(项目台账!$F173="","",项目台账!$F173))</f>
        <v/>
      </c>
      <c r="G174" s="23">
        <f>IF($B174="","",IF(项目台账!$J173="","",项目台账!$J173))</f>
        <v/>
      </c>
      <c r="H174" s="17">
        <f>IF($B174="","",IF(项目台账!$Q173="","",项目台账!$Q173))</f>
        <v/>
      </c>
      <c r="I174" s="19">
        <f>IF($B174="","",项目台账!$M173)</f>
        <v/>
      </c>
      <c r="J174" s="19">
        <f>IF($B174="","",项目台账!$O173)</f>
        <v/>
      </c>
      <c r="K174" s="19">
        <f>IF($B174="","",项目台账!$P173)</f>
        <v/>
      </c>
      <c r="L174" s="19">
        <f>IF($B174="","",ROUND(SUMIFS(采购单!$L$4:$L$2003,采购单!$D$4:$D$2003,$B174,采购单!$F$4:$F$2003,"成本-主材")+SUMIFS(生产安装!$J$4:$J$1203,生产安装!$C$4:$C$1203,$B174,生产安装!$E$4:$E$1203,"成本-主材")+SUMIFS(资金日记账!$K$4:$K$2503,资金日记账!$G$4:$G$2503,$B174,资金日记账!$F$4:$F$2503,"成本-主材")-SUMIFS(资金日记账!$J$4:$J$2503,资金日记账!$G$4:$G$2503,$B174,资金日记账!$F$4:$F$2503,"成本-主材"),2))</f>
        <v/>
      </c>
      <c r="M174" s="19">
        <f>IF($B174="","",ROUND(SUMIFS(采购单!$L$4:$L$2003,采购单!$D$4:$D$2003,$B174,采购单!$F$4:$F$2003,"成本-辅材")+SUMIFS(生产安装!$J$4:$J$1203,生产安装!$C$4:$C$1203,$B174,生产安装!$E$4:$E$1203,"成本-辅材")+SUMIFS(资金日记账!$K$4:$K$2503,资金日记账!$G$4:$G$2503,$B174,资金日记账!$F$4:$F$2503,"成本-辅材")-SUMIFS(资金日记账!$J$4:$J$2503,资金日记账!$G$4:$G$2503,$B174,资金日记账!$F$4:$F$2503,"成本-辅材"),2))</f>
        <v/>
      </c>
      <c r="N174" s="19">
        <f>IF($B174="","",ROUND(SUMIFS(采购单!$L$4:$L$2003,采购单!$D$4:$D$2003,$B174,采购单!$F$4:$F$2003,"成本-人工")+SUMIFS(生产安装!$J$4:$J$1203,生产安装!$C$4:$C$1203,$B174,生产安装!$E$4:$E$1203,"成本-人工")+SUMIFS(资金日记账!$K$4:$K$2503,资金日记账!$G$4:$G$2503,$B174,资金日记账!$F$4:$F$2503,"成本-人工")-SUMIFS(资金日记账!$J$4:$J$2503,资金日记账!$G$4:$G$2503,$B174,资金日记账!$F$4:$F$2503,"成本-人工"),2))</f>
        <v/>
      </c>
      <c r="O174" s="19">
        <f>IF($B174="","",ROUND(SUMIFS(采购单!$L$4:$L$2003,采购单!$D$4:$D$2003,$B174,采购单!$F$4:$F$2003,"成本-车运")+SUMIFS(生产安装!$J$4:$J$1203,生产安装!$C$4:$C$1203,$B174,生产安装!$E$4:$E$1203,"成本-车运")+SUMIFS(资金日记账!$K$4:$K$2503,资金日记账!$G$4:$G$2503,$B174,资金日记账!$F$4:$F$2503,"成本-车运")-SUMIFS(资金日记账!$J$4:$J$2503,资金日记账!$G$4:$G$2503,$B174,资金日记账!$F$4:$F$2503,"成本-车运"),2))</f>
        <v/>
      </c>
      <c r="P174" s="19">
        <f>IF($B174="","",ROUND(SUMIFS(采购单!$L$4:$L$2003,采购单!$D$4:$D$2003,$B174,采购单!$F$4:$F$2003,"成本-其他")+SUMIFS(生产安装!$J$4:$J$1203,生产安装!$C$4:$C$1203,$B174,生产安装!$E$4:$E$1203,"成本-其他")+SUMIFS(资金日记账!$K$4:$K$2503,资金日记账!$G$4:$G$2503,$B174,资金日记账!$F$4:$F$2503,"成本-其他")-SUMIFS(资金日记账!$J$4:$J$2503,资金日记账!$G$4:$G$2503,$B174,资金日记账!$F$4:$F$2503,"成本-其他"),2))</f>
        <v/>
      </c>
      <c r="Q174" s="19">
        <f>IF($B174="","",ROUND(SUM($L174:$P174),2))</f>
        <v/>
      </c>
      <c r="R174" s="19">
        <f>IF($B174="","",ROUND($I174-$Q174,2))</f>
        <v/>
      </c>
      <c r="S174" s="33">
        <f>IF($B174="","",IF(ROUND($I174,2)=0,"",ROUND($R174/$I174,4)))</f>
        <v/>
      </c>
      <c r="T174" s="22">
        <f>IF($B174="","",IF($G174="",0,YEAR($G174)*100+MONTH($G174)))</f>
        <v/>
      </c>
      <c r="U174" s="17">
        <f>IF($B174="","",IF(项目台账!$R173="","",项目台账!$R173))</f>
        <v/>
      </c>
    </row>
    <row r="175">
      <c r="A175" s="17">
        <f>IF(项目台账!$B174="","",项目台账!$A174)</f>
        <v/>
      </c>
      <c r="B175" s="17">
        <f>IF(项目台账!$B174="","",项目台账!$B174)</f>
        <v/>
      </c>
      <c r="C175" s="17">
        <f>IF($B175="","",IF(项目台账!$C174="","",项目台账!$C174))</f>
        <v/>
      </c>
      <c r="D175" s="17">
        <f>IF($B175="","",IF(项目台账!$D174="","",项目台账!$D174))</f>
        <v/>
      </c>
      <c r="E175" s="17">
        <f>IF($B175="","",IF(项目台账!$E174="","",项目台账!$E174))</f>
        <v/>
      </c>
      <c r="F175" s="23">
        <f>IF($B175="","",IF(项目台账!$F174="","",项目台账!$F174))</f>
        <v/>
      </c>
      <c r="G175" s="23">
        <f>IF($B175="","",IF(项目台账!$J174="","",项目台账!$J174))</f>
        <v/>
      </c>
      <c r="H175" s="17">
        <f>IF($B175="","",IF(项目台账!$Q174="","",项目台账!$Q174))</f>
        <v/>
      </c>
      <c r="I175" s="19">
        <f>IF($B175="","",项目台账!$M174)</f>
        <v/>
      </c>
      <c r="J175" s="19">
        <f>IF($B175="","",项目台账!$O174)</f>
        <v/>
      </c>
      <c r="K175" s="19">
        <f>IF($B175="","",项目台账!$P174)</f>
        <v/>
      </c>
      <c r="L175" s="19">
        <f>IF($B175="","",ROUND(SUMIFS(采购单!$L$4:$L$2003,采购单!$D$4:$D$2003,$B175,采购单!$F$4:$F$2003,"成本-主材")+SUMIFS(生产安装!$J$4:$J$1203,生产安装!$C$4:$C$1203,$B175,生产安装!$E$4:$E$1203,"成本-主材")+SUMIFS(资金日记账!$K$4:$K$2503,资金日记账!$G$4:$G$2503,$B175,资金日记账!$F$4:$F$2503,"成本-主材")-SUMIFS(资金日记账!$J$4:$J$2503,资金日记账!$G$4:$G$2503,$B175,资金日记账!$F$4:$F$2503,"成本-主材"),2))</f>
        <v/>
      </c>
      <c r="M175" s="19">
        <f>IF($B175="","",ROUND(SUMIFS(采购单!$L$4:$L$2003,采购单!$D$4:$D$2003,$B175,采购单!$F$4:$F$2003,"成本-辅材")+SUMIFS(生产安装!$J$4:$J$1203,生产安装!$C$4:$C$1203,$B175,生产安装!$E$4:$E$1203,"成本-辅材")+SUMIFS(资金日记账!$K$4:$K$2503,资金日记账!$G$4:$G$2503,$B175,资金日记账!$F$4:$F$2503,"成本-辅材")-SUMIFS(资金日记账!$J$4:$J$2503,资金日记账!$G$4:$G$2503,$B175,资金日记账!$F$4:$F$2503,"成本-辅材"),2))</f>
        <v/>
      </c>
      <c r="N175" s="19">
        <f>IF($B175="","",ROUND(SUMIFS(采购单!$L$4:$L$2003,采购单!$D$4:$D$2003,$B175,采购单!$F$4:$F$2003,"成本-人工")+SUMIFS(生产安装!$J$4:$J$1203,生产安装!$C$4:$C$1203,$B175,生产安装!$E$4:$E$1203,"成本-人工")+SUMIFS(资金日记账!$K$4:$K$2503,资金日记账!$G$4:$G$2503,$B175,资金日记账!$F$4:$F$2503,"成本-人工")-SUMIFS(资金日记账!$J$4:$J$2503,资金日记账!$G$4:$G$2503,$B175,资金日记账!$F$4:$F$2503,"成本-人工"),2))</f>
        <v/>
      </c>
      <c r="O175" s="19">
        <f>IF($B175="","",ROUND(SUMIFS(采购单!$L$4:$L$2003,采购单!$D$4:$D$2003,$B175,采购单!$F$4:$F$2003,"成本-车运")+SUMIFS(生产安装!$J$4:$J$1203,生产安装!$C$4:$C$1203,$B175,生产安装!$E$4:$E$1203,"成本-车运")+SUMIFS(资金日记账!$K$4:$K$2503,资金日记账!$G$4:$G$2503,$B175,资金日记账!$F$4:$F$2503,"成本-车运")-SUMIFS(资金日记账!$J$4:$J$2503,资金日记账!$G$4:$G$2503,$B175,资金日记账!$F$4:$F$2503,"成本-车运"),2))</f>
        <v/>
      </c>
      <c r="P175" s="19">
        <f>IF($B175="","",ROUND(SUMIFS(采购单!$L$4:$L$2003,采购单!$D$4:$D$2003,$B175,采购单!$F$4:$F$2003,"成本-其他")+SUMIFS(生产安装!$J$4:$J$1203,生产安装!$C$4:$C$1203,$B175,生产安装!$E$4:$E$1203,"成本-其他")+SUMIFS(资金日记账!$K$4:$K$2503,资金日记账!$G$4:$G$2503,$B175,资金日记账!$F$4:$F$2503,"成本-其他")-SUMIFS(资金日记账!$J$4:$J$2503,资金日记账!$G$4:$G$2503,$B175,资金日记账!$F$4:$F$2503,"成本-其他"),2))</f>
        <v/>
      </c>
      <c r="Q175" s="19">
        <f>IF($B175="","",ROUND(SUM($L175:$P175),2))</f>
        <v/>
      </c>
      <c r="R175" s="19">
        <f>IF($B175="","",ROUND($I175-$Q175,2))</f>
        <v/>
      </c>
      <c r="S175" s="33">
        <f>IF($B175="","",IF(ROUND($I175,2)=0,"",ROUND($R175/$I175,4)))</f>
        <v/>
      </c>
      <c r="T175" s="22">
        <f>IF($B175="","",IF($G175="",0,YEAR($G175)*100+MONTH($G175)))</f>
        <v/>
      </c>
      <c r="U175" s="17">
        <f>IF($B175="","",IF(项目台账!$R174="","",项目台账!$R174))</f>
        <v/>
      </c>
    </row>
    <row r="176">
      <c r="A176" s="17">
        <f>IF(项目台账!$B175="","",项目台账!$A175)</f>
        <v/>
      </c>
      <c r="B176" s="17">
        <f>IF(项目台账!$B175="","",项目台账!$B175)</f>
        <v/>
      </c>
      <c r="C176" s="17">
        <f>IF($B176="","",IF(项目台账!$C175="","",项目台账!$C175))</f>
        <v/>
      </c>
      <c r="D176" s="17">
        <f>IF($B176="","",IF(项目台账!$D175="","",项目台账!$D175))</f>
        <v/>
      </c>
      <c r="E176" s="17">
        <f>IF($B176="","",IF(项目台账!$E175="","",项目台账!$E175))</f>
        <v/>
      </c>
      <c r="F176" s="23">
        <f>IF($B176="","",IF(项目台账!$F175="","",项目台账!$F175))</f>
        <v/>
      </c>
      <c r="G176" s="23">
        <f>IF($B176="","",IF(项目台账!$J175="","",项目台账!$J175))</f>
        <v/>
      </c>
      <c r="H176" s="17">
        <f>IF($B176="","",IF(项目台账!$Q175="","",项目台账!$Q175))</f>
        <v/>
      </c>
      <c r="I176" s="19">
        <f>IF($B176="","",项目台账!$M175)</f>
        <v/>
      </c>
      <c r="J176" s="19">
        <f>IF($B176="","",项目台账!$O175)</f>
        <v/>
      </c>
      <c r="K176" s="19">
        <f>IF($B176="","",项目台账!$P175)</f>
        <v/>
      </c>
      <c r="L176" s="19">
        <f>IF($B176="","",ROUND(SUMIFS(采购单!$L$4:$L$2003,采购单!$D$4:$D$2003,$B176,采购单!$F$4:$F$2003,"成本-主材")+SUMIFS(生产安装!$J$4:$J$1203,生产安装!$C$4:$C$1203,$B176,生产安装!$E$4:$E$1203,"成本-主材")+SUMIFS(资金日记账!$K$4:$K$2503,资金日记账!$G$4:$G$2503,$B176,资金日记账!$F$4:$F$2503,"成本-主材")-SUMIFS(资金日记账!$J$4:$J$2503,资金日记账!$G$4:$G$2503,$B176,资金日记账!$F$4:$F$2503,"成本-主材"),2))</f>
        <v/>
      </c>
      <c r="M176" s="19">
        <f>IF($B176="","",ROUND(SUMIFS(采购单!$L$4:$L$2003,采购单!$D$4:$D$2003,$B176,采购单!$F$4:$F$2003,"成本-辅材")+SUMIFS(生产安装!$J$4:$J$1203,生产安装!$C$4:$C$1203,$B176,生产安装!$E$4:$E$1203,"成本-辅材")+SUMIFS(资金日记账!$K$4:$K$2503,资金日记账!$G$4:$G$2503,$B176,资金日记账!$F$4:$F$2503,"成本-辅材")-SUMIFS(资金日记账!$J$4:$J$2503,资金日记账!$G$4:$G$2503,$B176,资金日记账!$F$4:$F$2503,"成本-辅材"),2))</f>
        <v/>
      </c>
      <c r="N176" s="19">
        <f>IF($B176="","",ROUND(SUMIFS(采购单!$L$4:$L$2003,采购单!$D$4:$D$2003,$B176,采购单!$F$4:$F$2003,"成本-人工")+SUMIFS(生产安装!$J$4:$J$1203,生产安装!$C$4:$C$1203,$B176,生产安装!$E$4:$E$1203,"成本-人工")+SUMIFS(资金日记账!$K$4:$K$2503,资金日记账!$G$4:$G$2503,$B176,资金日记账!$F$4:$F$2503,"成本-人工")-SUMIFS(资金日记账!$J$4:$J$2503,资金日记账!$G$4:$G$2503,$B176,资金日记账!$F$4:$F$2503,"成本-人工"),2))</f>
        <v/>
      </c>
      <c r="O176" s="19">
        <f>IF($B176="","",ROUND(SUMIFS(采购单!$L$4:$L$2003,采购单!$D$4:$D$2003,$B176,采购单!$F$4:$F$2003,"成本-车运")+SUMIFS(生产安装!$J$4:$J$1203,生产安装!$C$4:$C$1203,$B176,生产安装!$E$4:$E$1203,"成本-车运")+SUMIFS(资金日记账!$K$4:$K$2503,资金日记账!$G$4:$G$2503,$B176,资金日记账!$F$4:$F$2503,"成本-车运")-SUMIFS(资金日记账!$J$4:$J$2503,资金日记账!$G$4:$G$2503,$B176,资金日记账!$F$4:$F$2503,"成本-车运"),2))</f>
        <v/>
      </c>
      <c r="P176" s="19">
        <f>IF($B176="","",ROUND(SUMIFS(采购单!$L$4:$L$2003,采购单!$D$4:$D$2003,$B176,采购单!$F$4:$F$2003,"成本-其他")+SUMIFS(生产安装!$J$4:$J$1203,生产安装!$C$4:$C$1203,$B176,生产安装!$E$4:$E$1203,"成本-其他")+SUMIFS(资金日记账!$K$4:$K$2503,资金日记账!$G$4:$G$2503,$B176,资金日记账!$F$4:$F$2503,"成本-其他")-SUMIFS(资金日记账!$J$4:$J$2503,资金日记账!$G$4:$G$2503,$B176,资金日记账!$F$4:$F$2503,"成本-其他"),2))</f>
        <v/>
      </c>
      <c r="Q176" s="19">
        <f>IF($B176="","",ROUND(SUM($L176:$P176),2))</f>
        <v/>
      </c>
      <c r="R176" s="19">
        <f>IF($B176="","",ROUND($I176-$Q176,2))</f>
        <v/>
      </c>
      <c r="S176" s="33">
        <f>IF($B176="","",IF(ROUND($I176,2)=0,"",ROUND($R176/$I176,4)))</f>
        <v/>
      </c>
      <c r="T176" s="22">
        <f>IF($B176="","",IF($G176="",0,YEAR($G176)*100+MONTH($G176)))</f>
        <v/>
      </c>
      <c r="U176" s="17">
        <f>IF($B176="","",IF(项目台账!$R175="","",项目台账!$R175))</f>
        <v/>
      </c>
    </row>
    <row r="177">
      <c r="A177" s="17">
        <f>IF(项目台账!$B176="","",项目台账!$A176)</f>
        <v/>
      </c>
      <c r="B177" s="17">
        <f>IF(项目台账!$B176="","",项目台账!$B176)</f>
        <v/>
      </c>
      <c r="C177" s="17">
        <f>IF($B177="","",IF(项目台账!$C176="","",项目台账!$C176))</f>
        <v/>
      </c>
      <c r="D177" s="17">
        <f>IF($B177="","",IF(项目台账!$D176="","",项目台账!$D176))</f>
        <v/>
      </c>
      <c r="E177" s="17">
        <f>IF($B177="","",IF(项目台账!$E176="","",项目台账!$E176))</f>
        <v/>
      </c>
      <c r="F177" s="23">
        <f>IF($B177="","",IF(项目台账!$F176="","",项目台账!$F176))</f>
        <v/>
      </c>
      <c r="G177" s="23">
        <f>IF($B177="","",IF(项目台账!$J176="","",项目台账!$J176))</f>
        <v/>
      </c>
      <c r="H177" s="17">
        <f>IF($B177="","",IF(项目台账!$Q176="","",项目台账!$Q176))</f>
        <v/>
      </c>
      <c r="I177" s="19">
        <f>IF($B177="","",项目台账!$M176)</f>
        <v/>
      </c>
      <c r="J177" s="19">
        <f>IF($B177="","",项目台账!$O176)</f>
        <v/>
      </c>
      <c r="K177" s="19">
        <f>IF($B177="","",项目台账!$P176)</f>
        <v/>
      </c>
      <c r="L177" s="19">
        <f>IF($B177="","",ROUND(SUMIFS(采购单!$L$4:$L$2003,采购单!$D$4:$D$2003,$B177,采购单!$F$4:$F$2003,"成本-主材")+SUMIFS(生产安装!$J$4:$J$1203,生产安装!$C$4:$C$1203,$B177,生产安装!$E$4:$E$1203,"成本-主材")+SUMIFS(资金日记账!$K$4:$K$2503,资金日记账!$G$4:$G$2503,$B177,资金日记账!$F$4:$F$2503,"成本-主材")-SUMIFS(资金日记账!$J$4:$J$2503,资金日记账!$G$4:$G$2503,$B177,资金日记账!$F$4:$F$2503,"成本-主材"),2))</f>
        <v/>
      </c>
      <c r="M177" s="19">
        <f>IF($B177="","",ROUND(SUMIFS(采购单!$L$4:$L$2003,采购单!$D$4:$D$2003,$B177,采购单!$F$4:$F$2003,"成本-辅材")+SUMIFS(生产安装!$J$4:$J$1203,生产安装!$C$4:$C$1203,$B177,生产安装!$E$4:$E$1203,"成本-辅材")+SUMIFS(资金日记账!$K$4:$K$2503,资金日记账!$G$4:$G$2503,$B177,资金日记账!$F$4:$F$2503,"成本-辅材")-SUMIFS(资金日记账!$J$4:$J$2503,资金日记账!$G$4:$G$2503,$B177,资金日记账!$F$4:$F$2503,"成本-辅材"),2))</f>
        <v/>
      </c>
      <c r="N177" s="19">
        <f>IF($B177="","",ROUND(SUMIFS(采购单!$L$4:$L$2003,采购单!$D$4:$D$2003,$B177,采购单!$F$4:$F$2003,"成本-人工")+SUMIFS(生产安装!$J$4:$J$1203,生产安装!$C$4:$C$1203,$B177,生产安装!$E$4:$E$1203,"成本-人工")+SUMIFS(资金日记账!$K$4:$K$2503,资金日记账!$G$4:$G$2503,$B177,资金日记账!$F$4:$F$2503,"成本-人工")-SUMIFS(资金日记账!$J$4:$J$2503,资金日记账!$G$4:$G$2503,$B177,资金日记账!$F$4:$F$2503,"成本-人工"),2))</f>
        <v/>
      </c>
      <c r="O177" s="19">
        <f>IF($B177="","",ROUND(SUMIFS(采购单!$L$4:$L$2003,采购单!$D$4:$D$2003,$B177,采购单!$F$4:$F$2003,"成本-车运")+SUMIFS(生产安装!$J$4:$J$1203,生产安装!$C$4:$C$1203,$B177,生产安装!$E$4:$E$1203,"成本-车运")+SUMIFS(资金日记账!$K$4:$K$2503,资金日记账!$G$4:$G$2503,$B177,资金日记账!$F$4:$F$2503,"成本-车运")-SUMIFS(资金日记账!$J$4:$J$2503,资金日记账!$G$4:$G$2503,$B177,资金日记账!$F$4:$F$2503,"成本-车运"),2))</f>
        <v/>
      </c>
      <c r="P177" s="19">
        <f>IF($B177="","",ROUND(SUMIFS(采购单!$L$4:$L$2003,采购单!$D$4:$D$2003,$B177,采购单!$F$4:$F$2003,"成本-其他")+SUMIFS(生产安装!$J$4:$J$1203,生产安装!$C$4:$C$1203,$B177,生产安装!$E$4:$E$1203,"成本-其他")+SUMIFS(资金日记账!$K$4:$K$2503,资金日记账!$G$4:$G$2503,$B177,资金日记账!$F$4:$F$2503,"成本-其他")-SUMIFS(资金日记账!$J$4:$J$2503,资金日记账!$G$4:$G$2503,$B177,资金日记账!$F$4:$F$2503,"成本-其他"),2))</f>
        <v/>
      </c>
      <c r="Q177" s="19">
        <f>IF($B177="","",ROUND(SUM($L177:$P177),2))</f>
        <v/>
      </c>
      <c r="R177" s="19">
        <f>IF($B177="","",ROUND($I177-$Q177,2))</f>
        <v/>
      </c>
      <c r="S177" s="33">
        <f>IF($B177="","",IF(ROUND($I177,2)=0,"",ROUND($R177/$I177,4)))</f>
        <v/>
      </c>
      <c r="T177" s="22">
        <f>IF($B177="","",IF($G177="",0,YEAR($G177)*100+MONTH($G177)))</f>
        <v/>
      </c>
      <c r="U177" s="17">
        <f>IF($B177="","",IF(项目台账!$R176="","",项目台账!$R176))</f>
        <v/>
      </c>
    </row>
    <row r="178">
      <c r="A178" s="17">
        <f>IF(项目台账!$B177="","",项目台账!$A177)</f>
        <v/>
      </c>
      <c r="B178" s="17">
        <f>IF(项目台账!$B177="","",项目台账!$B177)</f>
        <v/>
      </c>
      <c r="C178" s="17">
        <f>IF($B178="","",IF(项目台账!$C177="","",项目台账!$C177))</f>
        <v/>
      </c>
      <c r="D178" s="17">
        <f>IF($B178="","",IF(项目台账!$D177="","",项目台账!$D177))</f>
        <v/>
      </c>
      <c r="E178" s="17">
        <f>IF($B178="","",IF(项目台账!$E177="","",项目台账!$E177))</f>
        <v/>
      </c>
      <c r="F178" s="23">
        <f>IF($B178="","",IF(项目台账!$F177="","",项目台账!$F177))</f>
        <v/>
      </c>
      <c r="G178" s="23">
        <f>IF($B178="","",IF(项目台账!$J177="","",项目台账!$J177))</f>
        <v/>
      </c>
      <c r="H178" s="17">
        <f>IF($B178="","",IF(项目台账!$Q177="","",项目台账!$Q177))</f>
        <v/>
      </c>
      <c r="I178" s="19">
        <f>IF($B178="","",项目台账!$M177)</f>
        <v/>
      </c>
      <c r="J178" s="19">
        <f>IF($B178="","",项目台账!$O177)</f>
        <v/>
      </c>
      <c r="K178" s="19">
        <f>IF($B178="","",项目台账!$P177)</f>
        <v/>
      </c>
      <c r="L178" s="19">
        <f>IF($B178="","",ROUND(SUMIFS(采购单!$L$4:$L$2003,采购单!$D$4:$D$2003,$B178,采购单!$F$4:$F$2003,"成本-主材")+SUMIFS(生产安装!$J$4:$J$1203,生产安装!$C$4:$C$1203,$B178,生产安装!$E$4:$E$1203,"成本-主材")+SUMIFS(资金日记账!$K$4:$K$2503,资金日记账!$G$4:$G$2503,$B178,资金日记账!$F$4:$F$2503,"成本-主材")-SUMIFS(资金日记账!$J$4:$J$2503,资金日记账!$G$4:$G$2503,$B178,资金日记账!$F$4:$F$2503,"成本-主材"),2))</f>
        <v/>
      </c>
      <c r="M178" s="19">
        <f>IF($B178="","",ROUND(SUMIFS(采购单!$L$4:$L$2003,采购单!$D$4:$D$2003,$B178,采购单!$F$4:$F$2003,"成本-辅材")+SUMIFS(生产安装!$J$4:$J$1203,生产安装!$C$4:$C$1203,$B178,生产安装!$E$4:$E$1203,"成本-辅材")+SUMIFS(资金日记账!$K$4:$K$2503,资金日记账!$G$4:$G$2503,$B178,资金日记账!$F$4:$F$2503,"成本-辅材")-SUMIFS(资金日记账!$J$4:$J$2503,资金日记账!$G$4:$G$2503,$B178,资金日记账!$F$4:$F$2503,"成本-辅材"),2))</f>
        <v/>
      </c>
      <c r="N178" s="19">
        <f>IF($B178="","",ROUND(SUMIFS(采购单!$L$4:$L$2003,采购单!$D$4:$D$2003,$B178,采购单!$F$4:$F$2003,"成本-人工")+SUMIFS(生产安装!$J$4:$J$1203,生产安装!$C$4:$C$1203,$B178,生产安装!$E$4:$E$1203,"成本-人工")+SUMIFS(资金日记账!$K$4:$K$2503,资金日记账!$G$4:$G$2503,$B178,资金日记账!$F$4:$F$2503,"成本-人工")-SUMIFS(资金日记账!$J$4:$J$2503,资金日记账!$G$4:$G$2503,$B178,资金日记账!$F$4:$F$2503,"成本-人工"),2))</f>
        <v/>
      </c>
      <c r="O178" s="19">
        <f>IF($B178="","",ROUND(SUMIFS(采购单!$L$4:$L$2003,采购单!$D$4:$D$2003,$B178,采购单!$F$4:$F$2003,"成本-车运")+SUMIFS(生产安装!$J$4:$J$1203,生产安装!$C$4:$C$1203,$B178,生产安装!$E$4:$E$1203,"成本-车运")+SUMIFS(资金日记账!$K$4:$K$2503,资金日记账!$G$4:$G$2503,$B178,资金日记账!$F$4:$F$2503,"成本-车运")-SUMIFS(资金日记账!$J$4:$J$2503,资金日记账!$G$4:$G$2503,$B178,资金日记账!$F$4:$F$2503,"成本-车运"),2))</f>
        <v/>
      </c>
      <c r="P178" s="19">
        <f>IF($B178="","",ROUND(SUMIFS(采购单!$L$4:$L$2003,采购单!$D$4:$D$2003,$B178,采购单!$F$4:$F$2003,"成本-其他")+SUMIFS(生产安装!$J$4:$J$1203,生产安装!$C$4:$C$1203,$B178,生产安装!$E$4:$E$1203,"成本-其他")+SUMIFS(资金日记账!$K$4:$K$2503,资金日记账!$G$4:$G$2503,$B178,资金日记账!$F$4:$F$2503,"成本-其他")-SUMIFS(资金日记账!$J$4:$J$2503,资金日记账!$G$4:$G$2503,$B178,资金日记账!$F$4:$F$2503,"成本-其他"),2))</f>
        <v/>
      </c>
      <c r="Q178" s="19">
        <f>IF($B178="","",ROUND(SUM($L178:$P178),2))</f>
        <v/>
      </c>
      <c r="R178" s="19">
        <f>IF($B178="","",ROUND($I178-$Q178,2))</f>
        <v/>
      </c>
      <c r="S178" s="33">
        <f>IF($B178="","",IF(ROUND($I178,2)=0,"",ROUND($R178/$I178,4)))</f>
        <v/>
      </c>
      <c r="T178" s="22">
        <f>IF($B178="","",IF($G178="",0,YEAR($G178)*100+MONTH($G178)))</f>
        <v/>
      </c>
      <c r="U178" s="17">
        <f>IF($B178="","",IF(项目台账!$R177="","",项目台账!$R177))</f>
        <v/>
      </c>
    </row>
    <row r="179">
      <c r="A179" s="17">
        <f>IF(项目台账!$B178="","",项目台账!$A178)</f>
        <v/>
      </c>
      <c r="B179" s="17">
        <f>IF(项目台账!$B178="","",项目台账!$B178)</f>
        <v/>
      </c>
      <c r="C179" s="17">
        <f>IF($B179="","",IF(项目台账!$C178="","",项目台账!$C178))</f>
        <v/>
      </c>
      <c r="D179" s="17">
        <f>IF($B179="","",IF(项目台账!$D178="","",项目台账!$D178))</f>
        <v/>
      </c>
      <c r="E179" s="17">
        <f>IF($B179="","",IF(项目台账!$E178="","",项目台账!$E178))</f>
        <v/>
      </c>
      <c r="F179" s="23">
        <f>IF($B179="","",IF(项目台账!$F178="","",项目台账!$F178))</f>
        <v/>
      </c>
      <c r="G179" s="23">
        <f>IF($B179="","",IF(项目台账!$J178="","",项目台账!$J178))</f>
        <v/>
      </c>
      <c r="H179" s="17">
        <f>IF($B179="","",IF(项目台账!$Q178="","",项目台账!$Q178))</f>
        <v/>
      </c>
      <c r="I179" s="19">
        <f>IF($B179="","",项目台账!$M178)</f>
        <v/>
      </c>
      <c r="J179" s="19">
        <f>IF($B179="","",项目台账!$O178)</f>
        <v/>
      </c>
      <c r="K179" s="19">
        <f>IF($B179="","",项目台账!$P178)</f>
        <v/>
      </c>
      <c r="L179" s="19">
        <f>IF($B179="","",ROUND(SUMIFS(采购单!$L$4:$L$2003,采购单!$D$4:$D$2003,$B179,采购单!$F$4:$F$2003,"成本-主材")+SUMIFS(生产安装!$J$4:$J$1203,生产安装!$C$4:$C$1203,$B179,生产安装!$E$4:$E$1203,"成本-主材")+SUMIFS(资金日记账!$K$4:$K$2503,资金日记账!$G$4:$G$2503,$B179,资金日记账!$F$4:$F$2503,"成本-主材")-SUMIFS(资金日记账!$J$4:$J$2503,资金日记账!$G$4:$G$2503,$B179,资金日记账!$F$4:$F$2503,"成本-主材"),2))</f>
        <v/>
      </c>
      <c r="M179" s="19">
        <f>IF($B179="","",ROUND(SUMIFS(采购单!$L$4:$L$2003,采购单!$D$4:$D$2003,$B179,采购单!$F$4:$F$2003,"成本-辅材")+SUMIFS(生产安装!$J$4:$J$1203,生产安装!$C$4:$C$1203,$B179,生产安装!$E$4:$E$1203,"成本-辅材")+SUMIFS(资金日记账!$K$4:$K$2503,资金日记账!$G$4:$G$2503,$B179,资金日记账!$F$4:$F$2503,"成本-辅材")-SUMIFS(资金日记账!$J$4:$J$2503,资金日记账!$G$4:$G$2503,$B179,资金日记账!$F$4:$F$2503,"成本-辅材"),2))</f>
        <v/>
      </c>
      <c r="N179" s="19">
        <f>IF($B179="","",ROUND(SUMIFS(采购单!$L$4:$L$2003,采购单!$D$4:$D$2003,$B179,采购单!$F$4:$F$2003,"成本-人工")+SUMIFS(生产安装!$J$4:$J$1203,生产安装!$C$4:$C$1203,$B179,生产安装!$E$4:$E$1203,"成本-人工")+SUMIFS(资金日记账!$K$4:$K$2503,资金日记账!$G$4:$G$2503,$B179,资金日记账!$F$4:$F$2503,"成本-人工")-SUMIFS(资金日记账!$J$4:$J$2503,资金日记账!$G$4:$G$2503,$B179,资金日记账!$F$4:$F$2503,"成本-人工"),2))</f>
        <v/>
      </c>
      <c r="O179" s="19">
        <f>IF($B179="","",ROUND(SUMIFS(采购单!$L$4:$L$2003,采购单!$D$4:$D$2003,$B179,采购单!$F$4:$F$2003,"成本-车运")+SUMIFS(生产安装!$J$4:$J$1203,生产安装!$C$4:$C$1203,$B179,生产安装!$E$4:$E$1203,"成本-车运")+SUMIFS(资金日记账!$K$4:$K$2503,资金日记账!$G$4:$G$2503,$B179,资金日记账!$F$4:$F$2503,"成本-车运")-SUMIFS(资金日记账!$J$4:$J$2503,资金日记账!$G$4:$G$2503,$B179,资金日记账!$F$4:$F$2503,"成本-车运"),2))</f>
        <v/>
      </c>
      <c r="P179" s="19">
        <f>IF($B179="","",ROUND(SUMIFS(采购单!$L$4:$L$2003,采购单!$D$4:$D$2003,$B179,采购单!$F$4:$F$2003,"成本-其他")+SUMIFS(生产安装!$J$4:$J$1203,生产安装!$C$4:$C$1203,$B179,生产安装!$E$4:$E$1203,"成本-其他")+SUMIFS(资金日记账!$K$4:$K$2503,资金日记账!$G$4:$G$2503,$B179,资金日记账!$F$4:$F$2503,"成本-其他")-SUMIFS(资金日记账!$J$4:$J$2503,资金日记账!$G$4:$G$2503,$B179,资金日记账!$F$4:$F$2503,"成本-其他"),2))</f>
        <v/>
      </c>
      <c r="Q179" s="19">
        <f>IF($B179="","",ROUND(SUM($L179:$P179),2))</f>
        <v/>
      </c>
      <c r="R179" s="19">
        <f>IF($B179="","",ROUND($I179-$Q179,2))</f>
        <v/>
      </c>
      <c r="S179" s="33">
        <f>IF($B179="","",IF(ROUND($I179,2)=0,"",ROUND($R179/$I179,4)))</f>
        <v/>
      </c>
      <c r="T179" s="22">
        <f>IF($B179="","",IF($G179="",0,YEAR($G179)*100+MONTH($G179)))</f>
        <v/>
      </c>
      <c r="U179" s="17">
        <f>IF($B179="","",IF(项目台账!$R178="","",项目台账!$R178))</f>
        <v/>
      </c>
    </row>
    <row r="180">
      <c r="A180" s="17">
        <f>IF(项目台账!$B179="","",项目台账!$A179)</f>
        <v/>
      </c>
      <c r="B180" s="17">
        <f>IF(项目台账!$B179="","",项目台账!$B179)</f>
        <v/>
      </c>
      <c r="C180" s="17">
        <f>IF($B180="","",IF(项目台账!$C179="","",项目台账!$C179))</f>
        <v/>
      </c>
      <c r="D180" s="17">
        <f>IF($B180="","",IF(项目台账!$D179="","",项目台账!$D179))</f>
        <v/>
      </c>
      <c r="E180" s="17">
        <f>IF($B180="","",IF(项目台账!$E179="","",项目台账!$E179))</f>
        <v/>
      </c>
      <c r="F180" s="23">
        <f>IF($B180="","",IF(项目台账!$F179="","",项目台账!$F179))</f>
        <v/>
      </c>
      <c r="G180" s="23">
        <f>IF($B180="","",IF(项目台账!$J179="","",项目台账!$J179))</f>
        <v/>
      </c>
      <c r="H180" s="17">
        <f>IF($B180="","",IF(项目台账!$Q179="","",项目台账!$Q179))</f>
        <v/>
      </c>
      <c r="I180" s="19">
        <f>IF($B180="","",项目台账!$M179)</f>
        <v/>
      </c>
      <c r="J180" s="19">
        <f>IF($B180="","",项目台账!$O179)</f>
        <v/>
      </c>
      <c r="K180" s="19">
        <f>IF($B180="","",项目台账!$P179)</f>
        <v/>
      </c>
      <c r="L180" s="19">
        <f>IF($B180="","",ROUND(SUMIFS(采购单!$L$4:$L$2003,采购单!$D$4:$D$2003,$B180,采购单!$F$4:$F$2003,"成本-主材")+SUMIFS(生产安装!$J$4:$J$1203,生产安装!$C$4:$C$1203,$B180,生产安装!$E$4:$E$1203,"成本-主材")+SUMIFS(资金日记账!$K$4:$K$2503,资金日记账!$G$4:$G$2503,$B180,资金日记账!$F$4:$F$2503,"成本-主材")-SUMIFS(资金日记账!$J$4:$J$2503,资金日记账!$G$4:$G$2503,$B180,资金日记账!$F$4:$F$2503,"成本-主材"),2))</f>
        <v/>
      </c>
      <c r="M180" s="19">
        <f>IF($B180="","",ROUND(SUMIFS(采购单!$L$4:$L$2003,采购单!$D$4:$D$2003,$B180,采购单!$F$4:$F$2003,"成本-辅材")+SUMIFS(生产安装!$J$4:$J$1203,生产安装!$C$4:$C$1203,$B180,生产安装!$E$4:$E$1203,"成本-辅材")+SUMIFS(资金日记账!$K$4:$K$2503,资金日记账!$G$4:$G$2503,$B180,资金日记账!$F$4:$F$2503,"成本-辅材")-SUMIFS(资金日记账!$J$4:$J$2503,资金日记账!$G$4:$G$2503,$B180,资金日记账!$F$4:$F$2503,"成本-辅材"),2))</f>
        <v/>
      </c>
      <c r="N180" s="19">
        <f>IF($B180="","",ROUND(SUMIFS(采购单!$L$4:$L$2003,采购单!$D$4:$D$2003,$B180,采购单!$F$4:$F$2003,"成本-人工")+SUMIFS(生产安装!$J$4:$J$1203,生产安装!$C$4:$C$1203,$B180,生产安装!$E$4:$E$1203,"成本-人工")+SUMIFS(资金日记账!$K$4:$K$2503,资金日记账!$G$4:$G$2503,$B180,资金日记账!$F$4:$F$2503,"成本-人工")-SUMIFS(资金日记账!$J$4:$J$2503,资金日记账!$G$4:$G$2503,$B180,资金日记账!$F$4:$F$2503,"成本-人工"),2))</f>
        <v/>
      </c>
      <c r="O180" s="19">
        <f>IF($B180="","",ROUND(SUMIFS(采购单!$L$4:$L$2003,采购单!$D$4:$D$2003,$B180,采购单!$F$4:$F$2003,"成本-车运")+SUMIFS(生产安装!$J$4:$J$1203,生产安装!$C$4:$C$1203,$B180,生产安装!$E$4:$E$1203,"成本-车运")+SUMIFS(资金日记账!$K$4:$K$2503,资金日记账!$G$4:$G$2503,$B180,资金日记账!$F$4:$F$2503,"成本-车运")-SUMIFS(资金日记账!$J$4:$J$2503,资金日记账!$G$4:$G$2503,$B180,资金日记账!$F$4:$F$2503,"成本-车运"),2))</f>
        <v/>
      </c>
      <c r="P180" s="19">
        <f>IF($B180="","",ROUND(SUMIFS(采购单!$L$4:$L$2003,采购单!$D$4:$D$2003,$B180,采购单!$F$4:$F$2003,"成本-其他")+SUMIFS(生产安装!$J$4:$J$1203,生产安装!$C$4:$C$1203,$B180,生产安装!$E$4:$E$1203,"成本-其他")+SUMIFS(资金日记账!$K$4:$K$2503,资金日记账!$G$4:$G$2503,$B180,资金日记账!$F$4:$F$2503,"成本-其他")-SUMIFS(资金日记账!$J$4:$J$2503,资金日记账!$G$4:$G$2503,$B180,资金日记账!$F$4:$F$2503,"成本-其他"),2))</f>
        <v/>
      </c>
      <c r="Q180" s="19">
        <f>IF($B180="","",ROUND(SUM($L180:$P180),2))</f>
        <v/>
      </c>
      <c r="R180" s="19">
        <f>IF($B180="","",ROUND($I180-$Q180,2))</f>
        <v/>
      </c>
      <c r="S180" s="33">
        <f>IF($B180="","",IF(ROUND($I180,2)=0,"",ROUND($R180/$I180,4)))</f>
        <v/>
      </c>
      <c r="T180" s="22">
        <f>IF($B180="","",IF($G180="",0,YEAR($G180)*100+MONTH($G180)))</f>
        <v/>
      </c>
      <c r="U180" s="17">
        <f>IF($B180="","",IF(项目台账!$R179="","",项目台账!$R179))</f>
        <v/>
      </c>
    </row>
    <row r="181">
      <c r="A181" s="17">
        <f>IF(项目台账!$B180="","",项目台账!$A180)</f>
        <v/>
      </c>
      <c r="B181" s="17">
        <f>IF(项目台账!$B180="","",项目台账!$B180)</f>
        <v/>
      </c>
      <c r="C181" s="17">
        <f>IF($B181="","",IF(项目台账!$C180="","",项目台账!$C180))</f>
        <v/>
      </c>
      <c r="D181" s="17">
        <f>IF($B181="","",IF(项目台账!$D180="","",项目台账!$D180))</f>
        <v/>
      </c>
      <c r="E181" s="17">
        <f>IF($B181="","",IF(项目台账!$E180="","",项目台账!$E180))</f>
        <v/>
      </c>
      <c r="F181" s="23">
        <f>IF($B181="","",IF(项目台账!$F180="","",项目台账!$F180))</f>
        <v/>
      </c>
      <c r="G181" s="23">
        <f>IF($B181="","",IF(项目台账!$J180="","",项目台账!$J180))</f>
        <v/>
      </c>
      <c r="H181" s="17">
        <f>IF($B181="","",IF(项目台账!$Q180="","",项目台账!$Q180))</f>
        <v/>
      </c>
      <c r="I181" s="19">
        <f>IF($B181="","",项目台账!$M180)</f>
        <v/>
      </c>
      <c r="J181" s="19">
        <f>IF($B181="","",项目台账!$O180)</f>
        <v/>
      </c>
      <c r="K181" s="19">
        <f>IF($B181="","",项目台账!$P180)</f>
        <v/>
      </c>
      <c r="L181" s="19">
        <f>IF($B181="","",ROUND(SUMIFS(采购单!$L$4:$L$2003,采购单!$D$4:$D$2003,$B181,采购单!$F$4:$F$2003,"成本-主材")+SUMIFS(生产安装!$J$4:$J$1203,生产安装!$C$4:$C$1203,$B181,生产安装!$E$4:$E$1203,"成本-主材")+SUMIFS(资金日记账!$K$4:$K$2503,资金日记账!$G$4:$G$2503,$B181,资金日记账!$F$4:$F$2503,"成本-主材")-SUMIFS(资金日记账!$J$4:$J$2503,资金日记账!$G$4:$G$2503,$B181,资金日记账!$F$4:$F$2503,"成本-主材"),2))</f>
        <v/>
      </c>
      <c r="M181" s="19">
        <f>IF($B181="","",ROUND(SUMIFS(采购单!$L$4:$L$2003,采购单!$D$4:$D$2003,$B181,采购单!$F$4:$F$2003,"成本-辅材")+SUMIFS(生产安装!$J$4:$J$1203,生产安装!$C$4:$C$1203,$B181,生产安装!$E$4:$E$1203,"成本-辅材")+SUMIFS(资金日记账!$K$4:$K$2503,资金日记账!$G$4:$G$2503,$B181,资金日记账!$F$4:$F$2503,"成本-辅材")-SUMIFS(资金日记账!$J$4:$J$2503,资金日记账!$G$4:$G$2503,$B181,资金日记账!$F$4:$F$2503,"成本-辅材"),2))</f>
        <v/>
      </c>
      <c r="N181" s="19">
        <f>IF($B181="","",ROUND(SUMIFS(采购单!$L$4:$L$2003,采购单!$D$4:$D$2003,$B181,采购单!$F$4:$F$2003,"成本-人工")+SUMIFS(生产安装!$J$4:$J$1203,生产安装!$C$4:$C$1203,$B181,生产安装!$E$4:$E$1203,"成本-人工")+SUMIFS(资金日记账!$K$4:$K$2503,资金日记账!$G$4:$G$2503,$B181,资金日记账!$F$4:$F$2503,"成本-人工")-SUMIFS(资金日记账!$J$4:$J$2503,资金日记账!$G$4:$G$2503,$B181,资金日记账!$F$4:$F$2503,"成本-人工"),2))</f>
        <v/>
      </c>
      <c r="O181" s="19">
        <f>IF($B181="","",ROUND(SUMIFS(采购单!$L$4:$L$2003,采购单!$D$4:$D$2003,$B181,采购单!$F$4:$F$2003,"成本-车运")+SUMIFS(生产安装!$J$4:$J$1203,生产安装!$C$4:$C$1203,$B181,生产安装!$E$4:$E$1203,"成本-车运")+SUMIFS(资金日记账!$K$4:$K$2503,资金日记账!$G$4:$G$2503,$B181,资金日记账!$F$4:$F$2503,"成本-车运")-SUMIFS(资金日记账!$J$4:$J$2503,资金日记账!$G$4:$G$2503,$B181,资金日记账!$F$4:$F$2503,"成本-车运"),2))</f>
        <v/>
      </c>
      <c r="P181" s="19">
        <f>IF($B181="","",ROUND(SUMIFS(采购单!$L$4:$L$2003,采购单!$D$4:$D$2003,$B181,采购单!$F$4:$F$2003,"成本-其他")+SUMIFS(生产安装!$J$4:$J$1203,生产安装!$C$4:$C$1203,$B181,生产安装!$E$4:$E$1203,"成本-其他")+SUMIFS(资金日记账!$K$4:$K$2503,资金日记账!$G$4:$G$2503,$B181,资金日记账!$F$4:$F$2503,"成本-其他")-SUMIFS(资金日记账!$J$4:$J$2503,资金日记账!$G$4:$G$2503,$B181,资金日记账!$F$4:$F$2503,"成本-其他"),2))</f>
        <v/>
      </c>
      <c r="Q181" s="19">
        <f>IF($B181="","",ROUND(SUM($L181:$P181),2))</f>
        <v/>
      </c>
      <c r="R181" s="19">
        <f>IF($B181="","",ROUND($I181-$Q181,2))</f>
        <v/>
      </c>
      <c r="S181" s="33">
        <f>IF($B181="","",IF(ROUND($I181,2)=0,"",ROUND($R181/$I181,4)))</f>
        <v/>
      </c>
      <c r="T181" s="22">
        <f>IF($B181="","",IF($G181="",0,YEAR($G181)*100+MONTH($G181)))</f>
        <v/>
      </c>
      <c r="U181" s="17">
        <f>IF($B181="","",IF(项目台账!$R180="","",项目台账!$R180))</f>
        <v/>
      </c>
    </row>
    <row r="182">
      <c r="A182" s="17">
        <f>IF(项目台账!$B181="","",项目台账!$A181)</f>
        <v/>
      </c>
      <c r="B182" s="17">
        <f>IF(项目台账!$B181="","",项目台账!$B181)</f>
        <v/>
      </c>
      <c r="C182" s="17">
        <f>IF($B182="","",IF(项目台账!$C181="","",项目台账!$C181))</f>
        <v/>
      </c>
      <c r="D182" s="17">
        <f>IF($B182="","",IF(项目台账!$D181="","",项目台账!$D181))</f>
        <v/>
      </c>
      <c r="E182" s="17">
        <f>IF($B182="","",IF(项目台账!$E181="","",项目台账!$E181))</f>
        <v/>
      </c>
      <c r="F182" s="23">
        <f>IF($B182="","",IF(项目台账!$F181="","",项目台账!$F181))</f>
        <v/>
      </c>
      <c r="G182" s="23">
        <f>IF($B182="","",IF(项目台账!$J181="","",项目台账!$J181))</f>
        <v/>
      </c>
      <c r="H182" s="17">
        <f>IF($B182="","",IF(项目台账!$Q181="","",项目台账!$Q181))</f>
        <v/>
      </c>
      <c r="I182" s="19">
        <f>IF($B182="","",项目台账!$M181)</f>
        <v/>
      </c>
      <c r="J182" s="19">
        <f>IF($B182="","",项目台账!$O181)</f>
        <v/>
      </c>
      <c r="K182" s="19">
        <f>IF($B182="","",项目台账!$P181)</f>
        <v/>
      </c>
      <c r="L182" s="19">
        <f>IF($B182="","",ROUND(SUMIFS(采购单!$L$4:$L$2003,采购单!$D$4:$D$2003,$B182,采购单!$F$4:$F$2003,"成本-主材")+SUMIFS(生产安装!$J$4:$J$1203,生产安装!$C$4:$C$1203,$B182,生产安装!$E$4:$E$1203,"成本-主材")+SUMIFS(资金日记账!$K$4:$K$2503,资金日记账!$G$4:$G$2503,$B182,资金日记账!$F$4:$F$2503,"成本-主材")-SUMIFS(资金日记账!$J$4:$J$2503,资金日记账!$G$4:$G$2503,$B182,资金日记账!$F$4:$F$2503,"成本-主材"),2))</f>
        <v/>
      </c>
      <c r="M182" s="19">
        <f>IF($B182="","",ROUND(SUMIFS(采购单!$L$4:$L$2003,采购单!$D$4:$D$2003,$B182,采购单!$F$4:$F$2003,"成本-辅材")+SUMIFS(生产安装!$J$4:$J$1203,生产安装!$C$4:$C$1203,$B182,生产安装!$E$4:$E$1203,"成本-辅材")+SUMIFS(资金日记账!$K$4:$K$2503,资金日记账!$G$4:$G$2503,$B182,资金日记账!$F$4:$F$2503,"成本-辅材")-SUMIFS(资金日记账!$J$4:$J$2503,资金日记账!$G$4:$G$2503,$B182,资金日记账!$F$4:$F$2503,"成本-辅材"),2))</f>
        <v/>
      </c>
      <c r="N182" s="19">
        <f>IF($B182="","",ROUND(SUMIFS(采购单!$L$4:$L$2003,采购单!$D$4:$D$2003,$B182,采购单!$F$4:$F$2003,"成本-人工")+SUMIFS(生产安装!$J$4:$J$1203,生产安装!$C$4:$C$1203,$B182,生产安装!$E$4:$E$1203,"成本-人工")+SUMIFS(资金日记账!$K$4:$K$2503,资金日记账!$G$4:$G$2503,$B182,资金日记账!$F$4:$F$2503,"成本-人工")-SUMIFS(资金日记账!$J$4:$J$2503,资金日记账!$G$4:$G$2503,$B182,资金日记账!$F$4:$F$2503,"成本-人工"),2))</f>
        <v/>
      </c>
      <c r="O182" s="19">
        <f>IF($B182="","",ROUND(SUMIFS(采购单!$L$4:$L$2003,采购单!$D$4:$D$2003,$B182,采购单!$F$4:$F$2003,"成本-车运")+SUMIFS(生产安装!$J$4:$J$1203,生产安装!$C$4:$C$1203,$B182,生产安装!$E$4:$E$1203,"成本-车运")+SUMIFS(资金日记账!$K$4:$K$2503,资金日记账!$G$4:$G$2503,$B182,资金日记账!$F$4:$F$2503,"成本-车运")-SUMIFS(资金日记账!$J$4:$J$2503,资金日记账!$G$4:$G$2503,$B182,资金日记账!$F$4:$F$2503,"成本-车运"),2))</f>
        <v/>
      </c>
      <c r="P182" s="19">
        <f>IF($B182="","",ROUND(SUMIFS(采购单!$L$4:$L$2003,采购单!$D$4:$D$2003,$B182,采购单!$F$4:$F$2003,"成本-其他")+SUMIFS(生产安装!$J$4:$J$1203,生产安装!$C$4:$C$1203,$B182,生产安装!$E$4:$E$1203,"成本-其他")+SUMIFS(资金日记账!$K$4:$K$2503,资金日记账!$G$4:$G$2503,$B182,资金日记账!$F$4:$F$2503,"成本-其他")-SUMIFS(资金日记账!$J$4:$J$2503,资金日记账!$G$4:$G$2503,$B182,资金日记账!$F$4:$F$2503,"成本-其他"),2))</f>
        <v/>
      </c>
      <c r="Q182" s="19">
        <f>IF($B182="","",ROUND(SUM($L182:$P182),2))</f>
        <v/>
      </c>
      <c r="R182" s="19">
        <f>IF($B182="","",ROUND($I182-$Q182,2))</f>
        <v/>
      </c>
      <c r="S182" s="33">
        <f>IF($B182="","",IF(ROUND($I182,2)=0,"",ROUND($R182/$I182,4)))</f>
        <v/>
      </c>
      <c r="T182" s="22">
        <f>IF($B182="","",IF($G182="",0,YEAR($G182)*100+MONTH($G182)))</f>
        <v/>
      </c>
      <c r="U182" s="17">
        <f>IF($B182="","",IF(项目台账!$R181="","",项目台账!$R181))</f>
        <v/>
      </c>
    </row>
    <row r="183">
      <c r="A183" s="17">
        <f>IF(项目台账!$B182="","",项目台账!$A182)</f>
        <v/>
      </c>
      <c r="B183" s="17">
        <f>IF(项目台账!$B182="","",项目台账!$B182)</f>
        <v/>
      </c>
      <c r="C183" s="17">
        <f>IF($B183="","",IF(项目台账!$C182="","",项目台账!$C182))</f>
        <v/>
      </c>
      <c r="D183" s="17">
        <f>IF($B183="","",IF(项目台账!$D182="","",项目台账!$D182))</f>
        <v/>
      </c>
      <c r="E183" s="17">
        <f>IF($B183="","",IF(项目台账!$E182="","",项目台账!$E182))</f>
        <v/>
      </c>
      <c r="F183" s="23">
        <f>IF($B183="","",IF(项目台账!$F182="","",项目台账!$F182))</f>
        <v/>
      </c>
      <c r="G183" s="23">
        <f>IF($B183="","",IF(项目台账!$J182="","",项目台账!$J182))</f>
        <v/>
      </c>
      <c r="H183" s="17">
        <f>IF($B183="","",IF(项目台账!$Q182="","",项目台账!$Q182))</f>
        <v/>
      </c>
      <c r="I183" s="19">
        <f>IF($B183="","",项目台账!$M182)</f>
        <v/>
      </c>
      <c r="J183" s="19">
        <f>IF($B183="","",项目台账!$O182)</f>
        <v/>
      </c>
      <c r="K183" s="19">
        <f>IF($B183="","",项目台账!$P182)</f>
        <v/>
      </c>
      <c r="L183" s="19">
        <f>IF($B183="","",ROUND(SUMIFS(采购单!$L$4:$L$2003,采购单!$D$4:$D$2003,$B183,采购单!$F$4:$F$2003,"成本-主材")+SUMIFS(生产安装!$J$4:$J$1203,生产安装!$C$4:$C$1203,$B183,生产安装!$E$4:$E$1203,"成本-主材")+SUMIFS(资金日记账!$K$4:$K$2503,资金日记账!$G$4:$G$2503,$B183,资金日记账!$F$4:$F$2503,"成本-主材")-SUMIFS(资金日记账!$J$4:$J$2503,资金日记账!$G$4:$G$2503,$B183,资金日记账!$F$4:$F$2503,"成本-主材"),2))</f>
        <v/>
      </c>
      <c r="M183" s="19">
        <f>IF($B183="","",ROUND(SUMIFS(采购单!$L$4:$L$2003,采购单!$D$4:$D$2003,$B183,采购单!$F$4:$F$2003,"成本-辅材")+SUMIFS(生产安装!$J$4:$J$1203,生产安装!$C$4:$C$1203,$B183,生产安装!$E$4:$E$1203,"成本-辅材")+SUMIFS(资金日记账!$K$4:$K$2503,资金日记账!$G$4:$G$2503,$B183,资金日记账!$F$4:$F$2503,"成本-辅材")-SUMIFS(资金日记账!$J$4:$J$2503,资金日记账!$G$4:$G$2503,$B183,资金日记账!$F$4:$F$2503,"成本-辅材"),2))</f>
        <v/>
      </c>
      <c r="N183" s="19">
        <f>IF($B183="","",ROUND(SUMIFS(采购单!$L$4:$L$2003,采购单!$D$4:$D$2003,$B183,采购单!$F$4:$F$2003,"成本-人工")+SUMIFS(生产安装!$J$4:$J$1203,生产安装!$C$4:$C$1203,$B183,生产安装!$E$4:$E$1203,"成本-人工")+SUMIFS(资金日记账!$K$4:$K$2503,资金日记账!$G$4:$G$2503,$B183,资金日记账!$F$4:$F$2503,"成本-人工")-SUMIFS(资金日记账!$J$4:$J$2503,资金日记账!$G$4:$G$2503,$B183,资金日记账!$F$4:$F$2503,"成本-人工"),2))</f>
        <v/>
      </c>
      <c r="O183" s="19">
        <f>IF($B183="","",ROUND(SUMIFS(采购单!$L$4:$L$2003,采购单!$D$4:$D$2003,$B183,采购单!$F$4:$F$2003,"成本-车运")+SUMIFS(生产安装!$J$4:$J$1203,生产安装!$C$4:$C$1203,$B183,生产安装!$E$4:$E$1203,"成本-车运")+SUMIFS(资金日记账!$K$4:$K$2503,资金日记账!$G$4:$G$2503,$B183,资金日记账!$F$4:$F$2503,"成本-车运")-SUMIFS(资金日记账!$J$4:$J$2503,资金日记账!$G$4:$G$2503,$B183,资金日记账!$F$4:$F$2503,"成本-车运"),2))</f>
        <v/>
      </c>
      <c r="P183" s="19">
        <f>IF($B183="","",ROUND(SUMIFS(采购单!$L$4:$L$2003,采购单!$D$4:$D$2003,$B183,采购单!$F$4:$F$2003,"成本-其他")+SUMIFS(生产安装!$J$4:$J$1203,生产安装!$C$4:$C$1203,$B183,生产安装!$E$4:$E$1203,"成本-其他")+SUMIFS(资金日记账!$K$4:$K$2503,资金日记账!$G$4:$G$2503,$B183,资金日记账!$F$4:$F$2503,"成本-其他")-SUMIFS(资金日记账!$J$4:$J$2503,资金日记账!$G$4:$G$2503,$B183,资金日记账!$F$4:$F$2503,"成本-其他"),2))</f>
        <v/>
      </c>
      <c r="Q183" s="19">
        <f>IF($B183="","",ROUND(SUM($L183:$P183),2))</f>
        <v/>
      </c>
      <c r="R183" s="19">
        <f>IF($B183="","",ROUND($I183-$Q183,2))</f>
        <v/>
      </c>
      <c r="S183" s="33">
        <f>IF($B183="","",IF(ROUND($I183,2)=0,"",ROUND($R183/$I183,4)))</f>
        <v/>
      </c>
      <c r="T183" s="22">
        <f>IF($B183="","",IF($G183="",0,YEAR($G183)*100+MONTH($G183)))</f>
        <v/>
      </c>
      <c r="U183" s="17">
        <f>IF($B183="","",IF(项目台账!$R182="","",项目台账!$R182))</f>
        <v/>
      </c>
    </row>
    <row r="184">
      <c r="A184" s="17">
        <f>IF(项目台账!$B183="","",项目台账!$A183)</f>
        <v/>
      </c>
      <c r="B184" s="17">
        <f>IF(项目台账!$B183="","",项目台账!$B183)</f>
        <v/>
      </c>
      <c r="C184" s="17">
        <f>IF($B184="","",IF(项目台账!$C183="","",项目台账!$C183))</f>
        <v/>
      </c>
      <c r="D184" s="17">
        <f>IF($B184="","",IF(项目台账!$D183="","",项目台账!$D183))</f>
        <v/>
      </c>
      <c r="E184" s="17">
        <f>IF($B184="","",IF(项目台账!$E183="","",项目台账!$E183))</f>
        <v/>
      </c>
      <c r="F184" s="23">
        <f>IF($B184="","",IF(项目台账!$F183="","",项目台账!$F183))</f>
        <v/>
      </c>
      <c r="G184" s="23">
        <f>IF($B184="","",IF(项目台账!$J183="","",项目台账!$J183))</f>
        <v/>
      </c>
      <c r="H184" s="17">
        <f>IF($B184="","",IF(项目台账!$Q183="","",项目台账!$Q183))</f>
        <v/>
      </c>
      <c r="I184" s="19">
        <f>IF($B184="","",项目台账!$M183)</f>
        <v/>
      </c>
      <c r="J184" s="19">
        <f>IF($B184="","",项目台账!$O183)</f>
        <v/>
      </c>
      <c r="K184" s="19">
        <f>IF($B184="","",项目台账!$P183)</f>
        <v/>
      </c>
      <c r="L184" s="19">
        <f>IF($B184="","",ROUND(SUMIFS(采购单!$L$4:$L$2003,采购单!$D$4:$D$2003,$B184,采购单!$F$4:$F$2003,"成本-主材")+SUMIFS(生产安装!$J$4:$J$1203,生产安装!$C$4:$C$1203,$B184,生产安装!$E$4:$E$1203,"成本-主材")+SUMIFS(资金日记账!$K$4:$K$2503,资金日记账!$G$4:$G$2503,$B184,资金日记账!$F$4:$F$2503,"成本-主材")-SUMIFS(资金日记账!$J$4:$J$2503,资金日记账!$G$4:$G$2503,$B184,资金日记账!$F$4:$F$2503,"成本-主材"),2))</f>
        <v/>
      </c>
      <c r="M184" s="19">
        <f>IF($B184="","",ROUND(SUMIFS(采购单!$L$4:$L$2003,采购单!$D$4:$D$2003,$B184,采购单!$F$4:$F$2003,"成本-辅材")+SUMIFS(生产安装!$J$4:$J$1203,生产安装!$C$4:$C$1203,$B184,生产安装!$E$4:$E$1203,"成本-辅材")+SUMIFS(资金日记账!$K$4:$K$2503,资金日记账!$G$4:$G$2503,$B184,资金日记账!$F$4:$F$2503,"成本-辅材")-SUMIFS(资金日记账!$J$4:$J$2503,资金日记账!$G$4:$G$2503,$B184,资金日记账!$F$4:$F$2503,"成本-辅材"),2))</f>
        <v/>
      </c>
      <c r="N184" s="19">
        <f>IF($B184="","",ROUND(SUMIFS(采购单!$L$4:$L$2003,采购单!$D$4:$D$2003,$B184,采购单!$F$4:$F$2003,"成本-人工")+SUMIFS(生产安装!$J$4:$J$1203,生产安装!$C$4:$C$1203,$B184,生产安装!$E$4:$E$1203,"成本-人工")+SUMIFS(资金日记账!$K$4:$K$2503,资金日记账!$G$4:$G$2503,$B184,资金日记账!$F$4:$F$2503,"成本-人工")-SUMIFS(资金日记账!$J$4:$J$2503,资金日记账!$G$4:$G$2503,$B184,资金日记账!$F$4:$F$2503,"成本-人工"),2))</f>
        <v/>
      </c>
      <c r="O184" s="19">
        <f>IF($B184="","",ROUND(SUMIFS(采购单!$L$4:$L$2003,采购单!$D$4:$D$2003,$B184,采购单!$F$4:$F$2003,"成本-车运")+SUMIFS(生产安装!$J$4:$J$1203,生产安装!$C$4:$C$1203,$B184,生产安装!$E$4:$E$1203,"成本-车运")+SUMIFS(资金日记账!$K$4:$K$2503,资金日记账!$G$4:$G$2503,$B184,资金日记账!$F$4:$F$2503,"成本-车运")-SUMIFS(资金日记账!$J$4:$J$2503,资金日记账!$G$4:$G$2503,$B184,资金日记账!$F$4:$F$2503,"成本-车运"),2))</f>
        <v/>
      </c>
      <c r="P184" s="19">
        <f>IF($B184="","",ROUND(SUMIFS(采购单!$L$4:$L$2003,采购单!$D$4:$D$2003,$B184,采购单!$F$4:$F$2003,"成本-其他")+SUMIFS(生产安装!$J$4:$J$1203,生产安装!$C$4:$C$1203,$B184,生产安装!$E$4:$E$1203,"成本-其他")+SUMIFS(资金日记账!$K$4:$K$2503,资金日记账!$G$4:$G$2503,$B184,资金日记账!$F$4:$F$2503,"成本-其他")-SUMIFS(资金日记账!$J$4:$J$2503,资金日记账!$G$4:$G$2503,$B184,资金日记账!$F$4:$F$2503,"成本-其他"),2))</f>
        <v/>
      </c>
      <c r="Q184" s="19">
        <f>IF($B184="","",ROUND(SUM($L184:$P184),2))</f>
        <v/>
      </c>
      <c r="R184" s="19">
        <f>IF($B184="","",ROUND($I184-$Q184,2))</f>
        <v/>
      </c>
      <c r="S184" s="33">
        <f>IF($B184="","",IF(ROUND($I184,2)=0,"",ROUND($R184/$I184,4)))</f>
        <v/>
      </c>
      <c r="T184" s="22">
        <f>IF($B184="","",IF($G184="",0,YEAR($G184)*100+MONTH($G184)))</f>
        <v/>
      </c>
      <c r="U184" s="17">
        <f>IF($B184="","",IF(项目台账!$R183="","",项目台账!$R183))</f>
        <v/>
      </c>
    </row>
    <row r="185">
      <c r="A185" s="17">
        <f>IF(项目台账!$B184="","",项目台账!$A184)</f>
        <v/>
      </c>
      <c r="B185" s="17">
        <f>IF(项目台账!$B184="","",项目台账!$B184)</f>
        <v/>
      </c>
      <c r="C185" s="17">
        <f>IF($B185="","",IF(项目台账!$C184="","",项目台账!$C184))</f>
        <v/>
      </c>
      <c r="D185" s="17">
        <f>IF($B185="","",IF(项目台账!$D184="","",项目台账!$D184))</f>
        <v/>
      </c>
      <c r="E185" s="17">
        <f>IF($B185="","",IF(项目台账!$E184="","",项目台账!$E184))</f>
        <v/>
      </c>
      <c r="F185" s="23">
        <f>IF($B185="","",IF(项目台账!$F184="","",项目台账!$F184))</f>
        <v/>
      </c>
      <c r="G185" s="23">
        <f>IF($B185="","",IF(项目台账!$J184="","",项目台账!$J184))</f>
        <v/>
      </c>
      <c r="H185" s="17">
        <f>IF($B185="","",IF(项目台账!$Q184="","",项目台账!$Q184))</f>
        <v/>
      </c>
      <c r="I185" s="19">
        <f>IF($B185="","",项目台账!$M184)</f>
        <v/>
      </c>
      <c r="J185" s="19">
        <f>IF($B185="","",项目台账!$O184)</f>
        <v/>
      </c>
      <c r="K185" s="19">
        <f>IF($B185="","",项目台账!$P184)</f>
        <v/>
      </c>
      <c r="L185" s="19">
        <f>IF($B185="","",ROUND(SUMIFS(采购单!$L$4:$L$2003,采购单!$D$4:$D$2003,$B185,采购单!$F$4:$F$2003,"成本-主材")+SUMIFS(生产安装!$J$4:$J$1203,生产安装!$C$4:$C$1203,$B185,生产安装!$E$4:$E$1203,"成本-主材")+SUMIFS(资金日记账!$K$4:$K$2503,资金日记账!$G$4:$G$2503,$B185,资金日记账!$F$4:$F$2503,"成本-主材")-SUMIFS(资金日记账!$J$4:$J$2503,资金日记账!$G$4:$G$2503,$B185,资金日记账!$F$4:$F$2503,"成本-主材"),2))</f>
        <v/>
      </c>
      <c r="M185" s="19">
        <f>IF($B185="","",ROUND(SUMIFS(采购单!$L$4:$L$2003,采购单!$D$4:$D$2003,$B185,采购单!$F$4:$F$2003,"成本-辅材")+SUMIFS(生产安装!$J$4:$J$1203,生产安装!$C$4:$C$1203,$B185,生产安装!$E$4:$E$1203,"成本-辅材")+SUMIFS(资金日记账!$K$4:$K$2503,资金日记账!$G$4:$G$2503,$B185,资金日记账!$F$4:$F$2503,"成本-辅材")-SUMIFS(资金日记账!$J$4:$J$2503,资金日记账!$G$4:$G$2503,$B185,资金日记账!$F$4:$F$2503,"成本-辅材"),2))</f>
        <v/>
      </c>
      <c r="N185" s="19">
        <f>IF($B185="","",ROUND(SUMIFS(采购单!$L$4:$L$2003,采购单!$D$4:$D$2003,$B185,采购单!$F$4:$F$2003,"成本-人工")+SUMIFS(生产安装!$J$4:$J$1203,生产安装!$C$4:$C$1203,$B185,生产安装!$E$4:$E$1203,"成本-人工")+SUMIFS(资金日记账!$K$4:$K$2503,资金日记账!$G$4:$G$2503,$B185,资金日记账!$F$4:$F$2503,"成本-人工")-SUMIFS(资金日记账!$J$4:$J$2503,资金日记账!$G$4:$G$2503,$B185,资金日记账!$F$4:$F$2503,"成本-人工"),2))</f>
        <v/>
      </c>
      <c r="O185" s="19">
        <f>IF($B185="","",ROUND(SUMIFS(采购单!$L$4:$L$2003,采购单!$D$4:$D$2003,$B185,采购单!$F$4:$F$2003,"成本-车运")+SUMIFS(生产安装!$J$4:$J$1203,生产安装!$C$4:$C$1203,$B185,生产安装!$E$4:$E$1203,"成本-车运")+SUMIFS(资金日记账!$K$4:$K$2503,资金日记账!$G$4:$G$2503,$B185,资金日记账!$F$4:$F$2503,"成本-车运")-SUMIFS(资金日记账!$J$4:$J$2503,资金日记账!$G$4:$G$2503,$B185,资金日记账!$F$4:$F$2503,"成本-车运"),2))</f>
        <v/>
      </c>
      <c r="P185" s="19">
        <f>IF($B185="","",ROUND(SUMIFS(采购单!$L$4:$L$2003,采购单!$D$4:$D$2003,$B185,采购单!$F$4:$F$2003,"成本-其他")+SUMIFS(生产安装!$J$4:$J$1203,生产安装!$C$4:$C$1203,$B185,生产安装!$E$4:$E$1203,"成本-其他")+SUMIFS(资金日记账!$K$4:$K$2503,资金日记账!$G$4:$G$2503,$B185,资金日记账!$F$4:$F$2503,"成本-其他")-SUMIFS(资金日记账!$J$4:$J$2503,资金日记账!$G$4:$G$2503,$B185,资金日记账!$F$4:$F$2503,"成本-其他"),2))</f>
        <v/>
      </c>
      <c r="Q185" s="19">
        <f>IF($B185="","",ROUND(SUM($L185:$P185),2))</f>
        <v/>
      </c>
      <c r="R185" s="19">
        <f>IF($B185="","",ROUND($I185-$Q185,2))</f>
        <v/>
      </c>
      <c r="S185" s="33">
        <f>IF($B185="","",IF(ROUND($I185,2)=0,"",ROUND($R185/$I185,4)))</f>
        <v/>
      </c>
      <c r="T185" s="22">
        <f>IF($B185="","",IF($G185="",0,YEAR($G185)*100+MONTH($G185)))</f>
        <v/>
      </c>
      <c r="U185" s="17">
        <f>IF($B185="","",IF(项目台账!$R184="","",项目台账!$R184))</f>
        <v/>
      </c>
    </row>
    <row r="186">
      <c r="A186" s="17">
        <f>IF(项目台账!$B185="","",项目台账!$A185)</f>
        <v/>
      </c>
      <c r="B186" s="17">
        <f>IF(项目台账!$B185="","",项目台账!$B185)</f>
        <v/>
      </c>
      <c r="C186" s="17">
        <f>IF($B186="","",IF(项目台账!$C185="","",项目台账!$C185))</f>
        <v/>
      </c>
      <c r="D186" s="17">
        <f>IF($B186="","",IF(项目台账!$D185="","",项目台账!$D185))</f>
        <v/>
      </c>
      <c r="E186" s="17">
        <f>IF($B186="","",IF(项目台账!$E185="","",项目台账!$E185))</f>
        <v/>
      </c>
      <c r="F186" s="23">
        <f>IF($B186="","",IF(项目台账!$F185="","",项目台账!$F185))</f>
        <v/>
      </c>
      <c r="G186" s="23">
        <f>IF($B186="","",IF(项目台账!$J185="","",项目台账!$J185))</f>
        <v/>
      </c>
      <c r="H186" s="17">
        <f>IF($B186="","",IF(项目台账!$Q185="","",项目台账!$Q185))</f>
        <v/>
      </c>
      <c r="I186" s="19">
        <f>IF($B186="","",项目台账!$M185)</f>
        <v/>
      </c>
      <c r="J186" s="19">
        <f>IF($B186="","",项目台账!$O185)</f>
        <v/>
      </c>
      <c r="K186" s="19">
        <f>IF($B186="","",项目台账!$P185)</f>
        <v/>
      </c>
      <c r="L186" s="19">
        <f>IF($B186="","",ROUND(SUMIFS(采购单!$L$4:$L$2003,采购单!$D$4:$D$2003,$B186,采购单!$F$4:$F$2003,"成本-主材")+SUMIFS(生产安装!$J$4:$J$1203,生产安装!$C$4:$C$1203,$B186,生产安装!$E$4:$E$1203,"成本-主材")+SUMIFS(资金日记账!$K$4:$K$2503,资金日记账!$G$4:$G$2503,$B186,资金日记账!$F$4:$F$2503,"成本-主材")-SUMIFS(资金日记账!$J$4:$J$2503,资金日记账!$G$4:$G$2503,$B186,资金日记账!$F$4:$F$2503,"成本-主材"),2))</f>
        <v/>
      </c>
      <c r="M186" s="19">
        <f>IF($B186="","",ROUND(SUMIFS(采购单!$L$4:$L$2003,采购单!$D$4:$D$2003,$B186,采购单!$F$4:$F$2003,"成本-辅材")+SUMIFS(生产安装!$J$4:$J$1203,生产安装!$C$4:$C$1203,$B186,生产安装!$E$4:$E$1203,"成本-辅材")+SUMIFS(资金日记账!$K$4:$K$2503,资金日记账!$G$4:$G$2503,$B186,资金日记账!$F$4:$F$2503,"成本-辅材")-SUMIFS(资金日记账!$J$4:$J$2503,资金日记账!$G$4:$G$2503,$B186,资金日记账!$F$4:$F$2503,"成本-辅材"),2))</f>
        <v/>
      </c>
      <c r="N186" s="19">
        <f>IF($B186="","",ROUND(SUMIFS(采购单!$L$4:$L$2003,采购单!$D$4:$D$2003,$B186,采购单!$F$4:$F$2003,"成本-人工")+SUMIFS(生产安装!$J$4:$J$1203,生产安装!$C$4:$C$1203,$B186,生产安装!$E$4:$E$1203,"成本-人工")+SUMIFS(资金日记账!$K$4:$K$2503,资金日记账!$G$4:$G$2503,$B186,资金日记账!$F$4:$F$2503,"成本-人工")-SUMIFS(资金日记账!$J$4:$J$2503,资金日记账!$G$4:$G$2503,$B186,资金日记账!$F$4:$F$2503,"成本-人工"),2))</f>
        <v/>
      </c>
      <c r="O186" s="19">
        <f>IF($B186="","",ROUND(SUMIFS(采购单!$L$4:$L$2003,采购单!$D$4:$D$2003,$B186,采购单!$F$4:$F$2003,"成本-车运")+SUMIFS(生产安装!$J$4:$J$1203,生产安装!$C$4:$C$1203,$B186,生产安装!$E$4:$E$1203,"成本-车运")+SUMIFS(资金日记账!$K$4:$K$2503,资金日记账!$G$4:$G$2503,$B186,资金日记账!$F$4:$F$2503,"成本-车运")-SUMIFS(资金日记账!$J$4:$J$2503,资金日记账!$G$4:$G$2503,$B186,资金日记账!$F$4:$F$2503,"成本-车运"),2))</f>
        <v/>
      </c>
      <c r="P186" s="19">
        <f>IF($B186="","",ROUND(SUMIFS(采购单!$L$4:$L$2003,采购单!$D$4:$D$2003,$B186,采购单!$F$4:$F$2003,"成本-其他")+SUMIFS(生产安装!$J$4:$J$1203,生产安装!$C$4:$C$1203,$B186,生产安装!$E$4:$E$1203,"成本-其他")+SUMIFS(资金日记账!$K$4:$K$2503,资金日记账!$G$4:$G$2503,$B186,资金日记账!$F$4:$F$2503,"成本-其他")-SUMIFS(资金日记账!$J$4:$J$2503,资金日记账!$G$4:$G$2503,$B186,资金日记账!$F$4:$F$2503,"成本-其他"),2))</f>
        <v/>
      </c>
      <c r="Q186" s="19">
        <f>IF($B186="","",ROUND(SUM($L186:$P186),2))</f>
        <v/>
      </c>
      <c r="R186" s="19">
        <f>IF($B186="","",ROUND($I186-$Q186,2))</f>
        <v/>
      </c>
      <c r="S186" s="33">
        <f>IF($B186="","",IF(ROUND($I186,2)=0,"",ROUND($R186/$I186,4)))</f>
        <v/>
      </c>
      <c r="T186" s="22">
        <f>IF($B186="","",IF($G186="",0,YEAR($G186)*100+MONTH($G186)))</f>
        <v/>
      </c>
      <c r="U186" s="17">
        <f>IF($B186="","",IF(项目台账!$R185="","",项目台账!$R185))</f>
        <v/>
      </c>
    </row>
    <row r="187">
      <c r="A187" s="17">
        <f>IF(项目台账!$B186="","",项目台账!$A186)</f>
        <v/>
      </c>
      <c r="B187" s="17">
        <f>IF(项目台账!$B186="","",项目台账!$B186)</f>
        <v/>
      </c>
      <c r="C187" s="17">
        <f>IF($B187="","",IF(项目台账!$C186="","",项目台账!$C186))</f>
        <v/>
      </c>
      <c r="D187" s="17">
        <f>IF($B187="","",IF(项目台账!$D186="","",项目台账!$D186))</f>
        <v/>
      </c>
      <c r="E187" s="17">
        <f>IF($B187="","",IF(项目台账!$E186="","",项目台账!$E186))</f>
        <v/>
      </c>
      <c r="F187" s="23">
        <f>IF($B187="","",IF(项目台账!$F186="","",项目台账!$F186))</f>
        <v/>
      </c>
      <c r="G187" s="23">
        <f>IF($B187="","",IF(项目台账!$J186="","",项目台账!$J186))</f>
        <v/>
      </c>
      <c r="H187" s="17">
        <f>IF($B187="","",IF(项目台账!$Q186="","",项目台账!$Q186))</f>
        <v/>
      </c>
      <c r="I187" s="19">
        <f>IF($B187="","",项目台账!$M186)</f>
        <v/>
      </c>
      <c r="J187" s="19">
        <f>IF($B187="","",项目台账!$O186)</f>
        <v/>
      </c>
      <c r="K187" s="19">
        <f>IF($B187="","",项目台账!$P186)</f>
        <v/>
      </c>
      <c r="L187" s="19">
        <f>IF($B187="","",ROUND(SUMIFS(采购单!$L$4:$L$2003,采购单!$D$4:$D$2003,$B187,采购单!$F$4:$F$2003,"成本-主材")+SUMIFS(生产安装!$J$4:$J$1203,生产安装!$C$4:$C$1203,$B187,生产安装!$E$4:$E$1203,"成本-主材")+SUMIFS(资金日记账!$K$4:$K$2503,资金日记账!$G$4:$G$2503,$B187,资金日记账!$F$4:$F$2503,"成本-主材")-SUMIFS(资金日记账!$J$4:$J$2503,资金日记账!$G$4:$G$2503,$B187,资金日记账!$F$4:$F$2503,"成本-主材"),2))</f>
        <v/>
      </c>
      <c r="M187" s="19">
        <f>IF($B187="","",ROUND(SUMIFS(采购单!$L$4:$L$2003,采购单!$D$4:$D$2003,$B187,采购单!$F$4:$F$2003,"成本-辅材")+SUMIFS(生产安装!$J$4:$J$1203,生产安装!$C$4:$C$1203,$B187,生产安装!$E$4:$E$1203,"成本-辅材")+SUMIFS(资金日记账!$K$4:$K$2503,资金日记账!$G$4:$G$2503,$B187,资金日记账!$F$4:$F$2503,"成本-辅材")-SUMIFS(资金日记账!$J$4:$J$2503,资金日记账!$G$4:$G$2503,$B187,资金日记账!$F$4:$F$2503,"成本-辅材"),2))</f>
        <v/>
      </c>
      <c r="N187" s="19">
        <f>IF($B187="","",ROUND(SUMIFS(采购单!$L$4:$L$2003,采购单!$D$4:$D$2003,$B187,采购单!$F$4:$F$2003,"成本-人工")+SUMIFS(生产安装!$J$4:$J$1203,生产安装!$C$4:$C$1203,$B187,生产安装!$E$4:$E$1203,"成本-人工")+SUMIFS(资金日记账!$K$4:$K$2503,资金日记账!$G$4:$G$2503,$B187,资金日记账!$F$4:$F$2503,"成本-人工")-SUMIFS(资金日记账!$J$4:$J$2503,资金日记账!$G$4:$G$2503,$B187,资金日记账!$F$4:$F$2503,"成本-人工"),2))</f>
        <v/>
      </c>
      <c r="O187" s="19">
        <f>IF($B187="","",ROUND(SUMIFS(采购单!$L$4:$L$2003,采购单!$D$4:$D$2003,$B187,采购单!$F$4:$F$2003,"成本-车运")+SUMIFS(生产安装!$J$4:$J$1203,生产安装!$C$4:$C$1203,$B187,生产安装!$E$4:$E$1203,"成本-车运")+SUMIFS(资金日记账!$K$4:$K$2503,资金日记账!$G$4:$G$2503,$B187,资金日记账!$F$4:$F$2503,"成本-车运")-SUMIFS(资金日记账!$J$4:$J$2503,资金日记账!$G$4:$G$2503,$B187,资金日记账!$F$4:$F$2503,"成本-车运"),2))</f>
        <v/>
      </c>
      <c r="P187" s="19">
        <f>IF($B187="","",ROUND(SUMIFS(采购单!$L$4:$L$2003,采购单!$D$4:$D$2003,$B187,采购单!$F$4:$F$2003,"成本-其他")+SUMIFS(生产安装!$J$4:$J$1203,生产安装!$C$4:$C$1203,$B187,生产安装!$E$4:$E$1203,"成本-其他")+SUMIFS(资金日记账!$K$4:$K$2503,资金日记账!$G$4:$G$2503,$B187,资金日记账!$F$4:$F$2503,"成本-其他")-SUMIFS(资金日记账!$J$4:$J$2503,资金日记账!$G$4:$G$2503,$B187,资金日记账!$F$4:$F$2503,"成本-其他"),2))</f>
        <v/>
      </c>
      <c r="Q187" s="19">
        <f>IF($B187="","",ROUND(SUM($L187:$P187),2))</f>
        <v/>
      </c>
      <c r="R187" s="19">
        <f>IF($B187="","",ROUND($I187-$Q187,2))</f>
        <v/>
      </c>
      <c r="S187" s="33">
        <f>IF($B187="","",IF(ROUND($I187,2)=0,"",ROUND($R187/$I187,4)))</f>
        <v/>
      </c>
      <c r="T187" s="22">
        <f>IF($B187="","",IF($G187="",0,YEAR($G187)*100+MONTH($G187)))</f>
        <v/>
      </c>
      <c r="U187" s="17">
        <f>IF($B187="","",IF(项目台账!$R186="","",项目台账!$R186))</f>
        <v/>
      </c>
    </row>
    <row r="188">
      <c r="A188" s="17">
        <f>IF(项目台账!$B187="","",项目台账!$A187)</f>
        <v/>
      </c>
      <c r="B188" s="17">
        <f>IF(项目台账!$B187="","",项目台账!$B187)</f>
        <v/>
      </c>
      <c r="C188" s="17">
        <f>IF($B188="","",IF(项目台账!$C187="","",项目台账!$C187))</f>
        <v/>
      </c>
      <c r="D188" s="17">
        <f>IF($B188="","",IF(项目台账!$D187="","",项目台账!$D187))</f>
        <v/>
      </c>
      <c r="E188" s="17">
        <f>IF($B188="","",IF(项目台账!$E187="","",项目台账!$E187))</f>
        <v/>
      </c>
      <c r="F188" s="23">
        <f>IF($B188="","",IF(项目台账!$F187="","",项目台账!$F187))</f>
        <v/>
      </c>
      <c r="G188" s="23">
        <f>IF($B188="","",IF(项目台账!$J187="","",项目台账!$J187))</f>
        <v/>
      </c>
      <c r="H188" s="17">
        <f>IF($B188="","",IF(项目台账!$Q187="","",项目台账!$Q187))</f>
        <v/>
      </c>
      <c r="I188" s="19">
        <f>IF($B188="","",项目台账!$M187)</f>
        <v/>
      </c>
      <c r="J188" s="19">
        <f>IF($B188="","",项目台账!$O187)</f>
        <v/>
      </c>
      <c r="K188" s="19">
        <f>IF($B188="","",项目台账!$P187)</f>
        <v/>
      </c>
      <c r="L188" s="19">
        <f>IF($B188="","",ROUND(SUMIFS(采购单!$L$4:$L$2003,采购单!$D$4:$D$2003,$B188,采购单!$F$4:$F$2003,"成本-主材")+SUMIFS(生产安装!$J$4:$J$1203,生产安装!$C$4:$C$1203,$B188,生产安装!$E$4:$E$1203,"成本-主材")+SUMIFS(资金日记账!$K$4:$K$2503,资金日记账!$G$4:$G$2503,$B188,资金日记账!$F$4:$F$2503,"成本-主材")-SUMIFS(资金日记账!$J$4:$J$2503,资金日记账!$G$4:$G$2503,$B188,资金日记账!$F$4:$F$2503,"成本-主材"),2))</f>
        <v/>
      </c>
      <c r="M188" s="19">
        <f>IF($B188="","",ROUND(SUMIFS(采购单!$L$4:$L$2003,采购单!$D$4:$D$2003,$B188,采购单!$F$4:$F$2003,"成本-辅材")+SUMIFS(生产安装!$J$4:$J$1203,生产安装!$C$4:$C$1203,$B188,生产安装!$E$4:$E$1203,"成本-辅材")+SUMIFS(资金日记账!$K$4:$K$2503,资金日记账!$G$4:$G$2503,$B188,资金日记账!$F$4:$F$2503,"成本-辅材")-SUMIFS(资金日记账!$J$4:$J$2503,资金日记账!$G$4:$G$2503,$B188,资金日记账!$F$4:$F$2503,"成本-辅材"),2))</f>
        <v/>
      </c>
      <c r="N188" s="19">
        <f>IF($B188="","",ROUND(SUMIFS(采购单!$L$4:$L$2003,采购单!$D$4:$D$2003,$B188,采购单!$F$4:$F$2003,"成本-人工")+SUMIFS(生产安装!$J$4:$J$1203,生产安装!$C$4:$C$1203,$B188,生产安装!$E$4:$E$1203,"成本-人工")+SUMIFS(资金日记账!$K$4:$K$2503,资金日记账!$G$4:$G$2503,$B188,资金日记账!$F$4:$F$2503,"成本-人工")-SUMIFS(资金日记账!$J$4:$J$2503,资金日记账!$G$4:$G$2503,$B188,资金日记账!$F$4:$F$2503,"成本-人工"),2))</f>
        <v/>
      </c>
      <c r="O188" s="19">
        <f>IF($B188="","",ROUND(SUMIFS(采购单!$L$4:$L$2003,采购单!$D$4:$D$2003,$B188,采购单!$F$4:$F$2003,"成本-车运")+SUMIFS(生产安装!$J$4:$J$1203,生产安装!$C$4:$C$1203,$B188,生产安装!$E$4:$E$1203,"成本-车运")+SUMIFS(资金日记账!$K$4:$K$2503,资金日记账!$G$4:$G$2503,$B188,资金日记账!$F$4:$F$2503,"成本-车运")-SUMIFS(资金日记账!$J$4:$J$2503,资金日记账!$G$4:$G$2503,$B188,资金日记账!$F$4:$F$2503,"成本-车运"),2))</f>
        <v/>
      </c>
      <c r="P188" s="19">
        <f>IF($B188="","",ROUND(SUMIFS(采购单!$L$4:$L$2003,采购单!$D$4:$D$2003,$B188,采购单!$F$4:$F$2003,"成本-其他")+SUMIFS(生产安装!$J$4:$J$1203,生产安装!$C$4:$C$1203,$B188,生产安装!$E$4:$E$1203,"成本-其他")+SUMIFS(资金日记账!$K$4:$K$2503,资金日记账!$G$4:$G$2503,$B188,资金日记账!$F$4:$F$2503,"成本-其他")-SUMIFS(资金日记账!$J$4:$J$2503,资金日记账!$G$4:$G$2503,$B188,资金日记账!$F$4:$F$2503,"成本-其他"),2))</f>
        <v/>
      </c>
      <c r="Q188" s="19">
        <f>IF($B188="","",ROUND(SUM($L188:$P188),2))</f>
        <v/>
      </c>
      <c r="R188" s="19">
        <f>IF($B188="","",ROUND($I188-$Q188,2))</f>
        <v/>
      </c>
      <c r="S188" s="33">
        <f>IF($B188="","",IF(ROUND($I188,2)=0,"",ROUND($R188/$I188,4)))</f>
        <v/>
      </c>
      <c r="T188" s="22">
        <f>IF($B188="","",IF($G188="",0,YEAR($G188)*100+MONTH($G188)))</f>
        <v/>
      </c>
      <c r="U188" s="17">
        <f>IF($B188="","",IF(项目台账!$R187="","",项目台账!$R187))</f>
        <v/>
      </c>
    </row>
    <row r="189">
      <c r="A189" s="17">
        <f>IF(项目台账!$B188="","",项目台账!$A188)</f>
        <v/>
      </c>
      <c r="B189" s="17">
        <f>IF(项目台账!$B188="","",项目台账!$B188)</f>
        <v/>
      </c>
      <c r="C189" s="17">
        <f>IF($B189="","",IF(项目台账!$C188="","",项目台账!$C188))</f>
        <v/>
      </c>
      <c r="D189" s="17">
        <f>IF($B189="","",IF(项目台账!$D188="","",项目台账!$D188))</f>
        <v/>
      </c>
      <c r="E189" s="17">
        <f>IF($B189="","",IF(项目台账!$E188="","",项目台账!$E188))</f>
        <v/>
      </c>
      <c r="F189" s="23">
        <f>IF($B189="","",IF(项目台账!$F188="","",项目台账!$F188))</f>
        <v/>
      </c>
      <c r="G189" s="23">
        <f>IF($B189="","",IF(项目台账!$J188="","",项目台账!$J188))</f>
        <v/>
      </c>
      <c r="H189" s="17">
        <f>IF($B189="","",IF(项目台账!$Q188="","",项目台账!$Q188))</f>
        <v/>
      </c>
      <c r="I189" s="19">
        <f>IF($B189="","",项目台账!$M188)</f>
        <v/>
      </c>
      <c r="J189" s="19">
        <f>IF($B189="","",项目台账!$O188)</f>
        <v/>
      </c>
      <c r="K189" s="19">
        <f>IF($B189="","",项目台账!$P188)</f>
        <v/>
      </c>
      <c r="L189" s="19">
        <f>IF($B189="","",ROUND(SUMIFS(采购单!$L$4:$L$2003,采购单!$D$4:$D$2003,$B189,采购单!$F$4:$F$2003,"成本-主材")+SUMIFS(生产安装!$J$4:$J$1203,生产安装!$C$4:$C$1203,$B189,生产安装!$E$4:$E$1203,"成本-主材")+SUMIFS(资金日记账!$K$4:$K$2503,资金日记账!$G$4:$G$2503,$B189,资金日记账!$F$4:$F$2503,"成本-主材")-SUMIFS(资金日记账!$J$4:$J$2503,资金日记账!$G$4:$G$2503,$B189,资金日记账!$F$4:$F$2503,"成本-主材"),2))</f>
        <v/>
      </c>
      <c r="M189" s="19">
        <f>IF($B189="","",ROUND(SUMIFS(采购单!$L$4:$L$2003,采购单!$D$4:$D$2003,$B189,采购单!$F$4:$F$2003,"成本-辅材")+SUMIFS(生产安装!$J$4:$J$1203,生产安装!$C$4:$C$1203,$B189,生产安装!$E$4:$E$1203,"成本-辅材")+SUMIFS(资金日记账!$K$4:$K$2503,资金日记账!$G$4:$G$2503,$B189,资金日记账!$F$4:$F$2503,"成本-辅材")-SUMIFS(资金日记账!$J$4:$J$2503,资金日记账!$G$4:$G$2503,$B189,资金日记账!$F$4:$F$2503,"成本-辅材"),2))</f>
        <v/>
      </c>
      <c r="N189" s="19">
        <f>IF($B189="","",ROUND(SUMIFS(采购单!$L$4:$L$2003,采购单!$D$4:$D$2003,$B189,采购单!$F$4:$F$2003,"成本-人工")+SUMIFS(生产安装!$J$4:$J$1203,生产安装!$C$4:$C$1203,$B189,生产安装!$E$4:$E$1203,"成本-人工")+SUMIFS(资金日记账!$K$4:$K$2503,资金日记账!$G$4:$G$2503,$B189,资金日记账!$F$4:$F$2503,"成本-人工")-SUMIFS(资金日记账!$J$4:$J$2503,资金日记账!$G$4:$G$2503,$B189,资金日记账!$F$4:$F$2503,"成本-人工"),2))</f>
        <v/>
      </c>
      <c r="O189" s="19">
        <f>IF($B189="","",ROUND(SUMIFS(采购单!$L$4:$L$2003,采购单!$D$4:$D$2003,$B189,采购单!$F$4:$F$2003,"成本-车运")+SUMIFS(生产安装!$J$4:$J$1203,生产安装!$C$4:$C$1203,$B189,生产安装!$E$4:$E$1203,"成本-车运")+SUMIFS(资金日记账!$K$4:$K$2503,资金日记账!$G$4:$G$2503,$B189,资金日记账!$F$4:$F$2503,"成本-车运")-SUMIFS(资金日记账!$J$4:$J$2503,资金日记账!$G$4:$G$2503,$B189,资金日记账!$F$4:$F$2503,"成本-车运"),2))</f>
        <v/>
      </c>
      <c r="P189" s="19">
        <f>IF($B189="","",ROUND(SUMIFS(采购单!$L$4:$L$2003,采购单!$D$4:$D$2003,$B189,采购单!$F$4:$F$2003,"成本-其他")+SUMIFS(生产安装!$J$4:$J$1203,生产安装!$C$4:$C$1203,$B189,生产安装!$E$4:$E$1203,"成本-其他")+SUMIFS(资金日记账!$K$4:$K$2503,资金日记账!$G$4:$G$2503,$B189,资金日记账!$F$4:$F$2503,"成本-其他")-SUMIFS(资金日记账!$J$4:$J$2503,资金日记账!$G$4:$G$2503,$B189,资金日记账!$F$4:$F$2503,"成本-其他"),2))</f>
        <v/>
      </c>
      <c r="Q189" s="19">
        <f>IF($B189="","",ROUND(SUM($L189:$P189),2))</f>
        <v/>
      </c>
      <c r="R189" s="19">
        <f>IF($B189="","",ROUND($I189-$Q189,2))</f>
        <v/>
      </c>
      <c r="S189" s="33">
        <f>IF($B189="","",IF(ROUND($I189,2)=0,"",ROUND($R189/$I189,4)))</f>
        <v/>
      </c>
      <c r="T189" s="22">
        <f>IF($B189="","",IF($G189="",0,YEAR($G189)*100+MONTH($G189)))</f>
        <v/>
      </c>
      <c r="U189" s="17">
        <f>IF($B189="","",IF(项目台账!$R188="","",项目台账!$R188))</f>
        <v/>
      </c>
    </row>
    <row r="190">
      <c r="A190" s="17">
        <f>IF(项目台账!$B189="","",项目台账!$A189)</f>
        <v/>
      </c>
      <c r="B190" s="17">
        <f>IF(项目台账!$B189="","",项目台账!$B189)</f>
        <v/>
      </c>
      <c r="C190" s="17">
        <f>IF($B190="","",IF(项目台账!$C189="","",项目台账!$C189))</f>
        <v/>
      </c>
      <c r="D190" s="17">
        <f>IF($B190="","",IF(项目台账!$D189="","",项目台账!$D189))</f>
        <v/>
      </c>
      <c r="E190" s="17">
        <f>IF($B190="","",IF(项目台账!$E189="","",项目台账!$E189))</f>
        <v/>
      </c>
      <c r="F190" s="23">
        <f>IF($B190="","",IF(项目台账!$F189="","",项目台账!$F189))</f>
        <v/>
      </c>
      <c r="G190" s="23">
        <f>IF($B190="","",IF(项目台账!$J189="","",项目台账!$J189))</f>
        <v/>
      </c>
      <c r="H190" s="17">
        <f>IF($B190="","",IF(项目台账!$Q189="","",项目台账!$Q189))</f>
        <v/>
      </c>
      <c r="I190" s="19">
        <f>IF($B190="","",项目台账!$M189)</f>
        <v/>
      </c>
      <c r="J190" s="19">
        <f>IF($B190="","",项目台账!$O189)</f>
        <v/>
      </c>
      <c r="K190" s="19">
        <f>IF($B190="","",项目台账!$P189)</f>
        <v/>
      </c>
      <c r="L190" s="19">
        <f>IF($B190="","",ROUND(SUMIFS(采购单!$L$4:$L$2003,采购单!$D$4:$D$2003,$B190,采购单!$F$4:$F$2003,"成本-主材")+SUMIFS(生产安装!$J$4:$J$1203,生产安装!$C$4:$C$1203,$B190,生产安装!$E$4:$E$1203,"成本-主材")+SUMIFS(资金日记账!$K$4:$K$2503,资金日记账!$G$4:$G$2503,$B190,资金日记账!$F$4:$F$2503,"成本-主材")-SUMIFS(资金日记账!$J$4:$J$2503,资金日记账!$G$4:$G$2503,$B190,资金日记账!$F$4:$F$2503,"成本-主材"),2))</f>
        <v/>
      </c>
      <c r="M190" s="19">
        <f>IF($B190="","",ROUND(SUMIFS(采购单!$L$4:$L$2003,采购单!$D$4:$D$2003,$B190,采购单!$F$4:$F$2003,"成本-辅材")+SUMIFS(生产安装!$J$4:$J$1203,生产安装!$C$4:$C$1203,$B190,生产安装!$E$4:$E$1203,"成本-辅材")+SUMIFS(资金日记账!$K$4:$K$2503,资金日记账!$G$4:$G$2503,$B190,资金日记账!$F$4:$F$2503,"成本-辅材")-SUMIFS(资金日记账!$J$4:$J$2503,资金日记账!$G$4:$G$2503,$B190,资金日记账!$F$4:$F$2503,"成本-辅材"),2))</f>
        <v/>
      </c>
      <c r="N190" s="19">
        <f>IF($B190="","",ROUND(SUMIFS(采购单!$L$4:$L$2003,采购单!$D$4:$D$2003,$B190,采购单!$F$4:$F$2003,"成本-人工")+SUMIFS(生产安装!$J$4:$J$1203,生产安装!$C$4:$C$1203,$B190,生产安装!$E$4:$E$1203,"成本-人工")+SUMIFS(资金日记账!$K$4:$K$2503,资金日记账!$G$4:$G$2503,$B190,资金日记账!$F$4:$F$2503,"成本-人工")-SUMIFS(资金日记账!$J$4:$J$2503,资金日记账!$G$4:$G$2503,$B190,资金日记账!$F$4:$F$2503,"成本-人工"),2))</f>
        <v/>
      </c>
      <c r="O190" s="19">
        <f>IF($B190="","",ROUND(SUMIFS(采购单!$L$4:$L$2003,采购单!$D$4:$D$2003,$B190,采购单!$F$4:$F$2003,"成本-车运")+SUMIFS(生产安装!$J$4:$J$1203,生产安装!$C$4:$C$1203,$B190,生产安装!$E$4:$E$1203,"成本-车运")+SUMIFS(资金日记账!$K$4:$K$2503,资金日记账!$G$4:$G$2503,$B190,资金日记账!$F$4:$F$2503,"成本-车运")-SUMIFS(资金日记账!$J$4:$J$2503,资金日记账!$G$4:$G$2503,$B190,资金日记账!$F$4:$F$2503,"成本-车运"),2))</f>
        <v/>
      </c>
      <c r="P190" s="19">
        <f>IF($B190="","",ROUND(SUMIFS(采购单!$L$4:$L$2003,采购单!$D$4:$D$2003,$B190,采购单!$F$4:$F$2003,"成本-其他")+SUMIFS(生产安装!$J$4:$J$1203,生产安装!$C$4:$C$1203,$B190,生产安装!$E$4:$E$1203,"成本-其他")+SUMIFS(资金日记账!$K$4:$K$2503,资金日记账!$G$4:$G$2503,$B190,资金日记账!$F$4:$F$2503,"成本-其他")-SUMIFS(资金日记账!$J$4:$J$2503,资金日记账!$G$4:$G$2503,$B190,资金日记账!$F$4:$F$2503,"成本-其他"),2))</f>
        <v/>
      </c>
      <c r="Q190" s="19">
        <f>IF($B190="","",ROUND(SUM($L190:$P190),2))</f>
        <v/>
      </c>
      <c r="R190" s="19">
        <f>IF($B190="","",ROUND($I190-$Q190,2))</f>
        <v/>
      </c>
      <c r="S190" s="33">
        <f>IF($B190="","",IF(ROUND($I190,2)=0,"",ROUND($R190/$I190,4)))</f>
        <v/>
      </c>
      <c r="T190" s="22">
        <f>IF($B190="","",IF($G190="",0,YEAR($G190)*100+MONTH($G190)))</f>
        <v/>
      </c>
      <c r="U190" s="17">
        <f>IF($B190="","",IF(项目台账!$R189="","",项目台账!$R189))</f>
        <v/>
      </c>
    </row>
    <row r="191">
      <c r="A191" s="17">
        <f>IF(项目台账!$B190="","",项目台账!$A190)</f>
        <v/>
      </c>
      <c r="B191" s="17">
        <f>IF(项目台账!$B190="","",项目台账!$B190)</f>
        <v/>
      </c>
      <c r="C191" s="17">
        <f>IF($B191="","",IF(项目台账!$C190="","",项目台账!$C190))</f>
        <v/>
      </c>
      <c r="D191" s="17">
        <f>IF($B191="","",IF(项目台账!$D190="","",项目台账!$D190))</f>
        <v/>
      </c>
      <c r="E191" s="17">
        <f>IF($B191="","",IF(项目台账!$E190="","",项目台账!$E190))</f>
        <v/>
      </c>
      <c r="F191" s="23">
        <f>IF($B191="","",IF(项目台账!$F190="","",项目台账!$F190))</f>
        <v/>
      </c>
      <c r="G191" s="23">
        <f>IF($B191="","",IF(项目台账!$J190="","",项目台账!$J190))</f>
        <v/>
      </c>
      <c r="H191" s="17">
        <f>IF($B191="","",IF(项目台账!$Q190="","",项目台账!$Q190))</f>
        <v/>
      </c>
      <c r="I191" s="19">
        <f>IF($B191="","",项目台账!$M190)</f>
        <v/>
      </c>
      <c r="J191" s="19">
        <f>IF($B191="","",项目台账!$O190)</f>
        <v/>
      </c>
      <c r="K191" s="19">
        <f>IF($B191="","",项目台账!$P190)</f>
        <v/>
      </c>
      <c r="L191" s="19">
        <f>IF($B191="","",ROUND(SUMIFS(采购单!$L$4:$L$2003,采购单!$D$4:$D$2003,$B191,采购单!$F$4:$F$2003,"成本-主材")+SUMIFS(生产安装!$J$4:$J$1203,生产安装!$C$4:$C$1203,$B191,生产安装!$E$4:$E$1203,"成本-主材")+SUMIFS(资金日记账!$K$4:$K$2503,资金日记账!$G$4:$G$2503,$B191,资金日记账!$F$4:$F$2503,"成本-主材")-SUMIFS(资金日记账!$J$4:$J$2503,资金日记账!$G$4:$G$2503,$B191,资金日记账!$F$4:$F$2503,"成本-主材"),2))</f>
        <v/>
      </c>
      <c r="M191" s="19">
        <f>IF($B191="","",ROUND(SUMIFS(采购单!$L$4:$L$2003,采购单!$D$4:$D$2003,$B191,采购单!$F$4:$F$2003,"成本-辅材")+SUMIFS(生产安装!$J$4:$J$1203,生产安装!$C$4:$C$1203,$B191,生产安装!$E$4:$E$1203,"成本-辅材")+SUMIFS(资金日记账!$K$4:$K$2503,资金日记账!$G$4:$G$2503,$B191,资金日记账!$F$4:$F$2503,"成本-辅材")-SUMIFS(资金日记账!$J$4:$J$2503,资金日记账!$G$4:$G$2503,$B191,资金日记账!$F$4:$F$2503,"成本-辅材"),2))</f>
        <v/>
      </c>
      <c r="N191" s="19">
        <f>IF($B191="","",ROUND(SUMIFS(采购单!$L$4:$L$2003,采购单!$D$4:$D$2003,$B191,采购单!$F$4:$F$2003,"成本-人工")+SUMIFS(生产安装!$J$4:$J$1203,生产安装!$C$4:$C$1203,$B191,生产安装!$E$4:$E$1203,"成本-人工")+SUMIFS(资金日记账!$K$4:$K$2503,资金日记账!$G$4:$G$2503,$B191,资金日记账!$F$4:$F$2503,"成本-人工")-SUMIFS(资金日记账!$J$4:$J$2503,资金日记账!$G$4:$G$2503,$B191,资金日记账!$F$4:$F$2503,"成本-人工"),2))</f>
        <v/>
      </c>
      <c r="O191" s="19">
        <f>IF($B191="","",ROUND(SUMIFS(采购单!$L$4:$L$2003,采购单!$D$4:$D$2003,$B191,采购单!$F$4:$F$2003,"成本-车运")+SUMIFS(生产安装!$J$4:$J$1203,生产安装!$C$4:$C$1203,$B191,生产安装!$E$4:$E$1203,"成本-车运")+SUMIFS(资金日记账!$K$4:$K$2503,资金日记账!$G$4:$G$2503,$B191,资金日记账!$F$4:$F$2503,"成本-车运")-SUMIFS(资金日记账!$J$4:$J$2503,资金日记账!$G$4:$G$2503,$B191,资金日记账!$F$4:$F$2503,"成本-车运"),2))</f>
        <v/>
      </c>
      <c r="P191" s="19">
        <f>IF($B191="","",ROUND(SUMIFS(采购单!$L$4:$L$2003,采购单!$D$4:$D$2003,$B191,采购单!$F$4:$F$2003,"成本-其他")+SUMIFS(生产安装!$J$4:$J$1203,生产安装!$C$4:$C$1203,$B191,生产安装!$E$4:$E$1203,"成本-其他")+SUMIFS(资金日记账!$K$4:$K$2503,资金日记账!$G$4:$G$2503,$B191,资金日记账!$F$4:$F$2503,"成本-其他")-SUMIFS(资金日记账!$J$4:$J$2503,资金日记账!$G$4:$G$2503,$B191,资金日记账!$F$4:$F$2503,"成本-其他"),2))</f>
        <v/>
      </c>
      <c r="Q191" s="19">
        <f>IF($B191="","",ROUND(SUM($L191:$P191),2))</f>
        <v/>
      </c>
      <c r="R191" s="19">
        <f>IF($B191="","",ROUND($I191-$Q191,2))</f>
        <v/>
      </c>
      <c r="S191" s="33">
        <f>IF($B191="","",IF(ROUND($I191,2)=0,"",ROUND($R191/$I191,4)))</f>
        <v/>
      </c>
      <c r="T191" s="22">
        <f>IF($B191="","",IF($G191="",0,YEAR($G191)*100+MONTH($G191)))</f>
        <v/>
      </c>
      <c r="U191" s="17">
        <f>IF($B191="","",IF(项目台账!$R190="","",项目台账!$R190))</f>
        <v/>
      </c>
    </row>
    <row r="192">
      <c r="A192" s="17">
        <f>IF(项目台账!$B191="","",项目台账!$A191)</f>
        <v/>
      </c>
      <c r="B192" s="17">
        <f>IF(项目台账!$B191="","",项目台账!$B191)</f>
        <v/>
      </c>
      <c r="C192" s="17">
        <f>IF($B192="","",IF(项目台账!$C191="","",项目台账!$C191))</f>
        <v/>
      </c>
      <c r="D192" s="17">
        <f>IF($B192="","",IF(项目台账!$D191="","",项目台账!$D191))</f>
        <v/>
      </c>
      <c r="E192" s="17">
        <f>IF($B192="","",IF(项目台账!$E191="","",项目台账!$E191))</f>
        <v/>
      </c>
      <c r="F192" s="23">
        <f>IF($B192="","",IF(项目台账!$F191="","",项目台账!$F191))</f>
        <v/>
      </c>
      <c r="G192" s="23">
        <f>IF($B192="","",IF(项目台账!$J191="","",项目台账!$J191))</f>
        <v/>
      </c>
      <c r="H192" s="17">
        <f>IF($B192="","",IF(项目台账!$Q191="","",项目台账!$Q191))</f>
        <v/>
      </c>
      <c r="I192" s="19">
        <f>IF($B192="","",项目台账!$M191)</f>
        <v/>
      </c>
      <c r="J192" s="19">
        <f>IF($B192="","",项目台账!$O191)</f>
        <v/>
      </c>
      <c r="K192" s="19">
        <f>IF($B192="","",项目台账!$P191)</f>
        <v/>
      </c>
      <c r="L192" s="19">
        <f>IF($B192="","",ROUND(SUMIFS(采购单!$L$4:$L$2003,采购单!$D$4:$D$2003,$B192,采购单!$F$4:$F$2003,"成本-主材")+SUMIFS(生产安装!$J$4:$J$1203,生产安装!$C$4:$C$1203,$B192,生产安装!$E$4:$E$1203,"成本-主材")+SUMIFS(资金日记账!$K$4:$K$2503,资金日记账!$G$4:$G$2503,$B192,资金日记账!$F$4:$F$2503,"成本-主材")-SUMIFS(资金日记账!$J$4:$J$2503,资金日记账!$G$4:$G$2503,$B192,资金日记账!$F$4:$F$2503,"成本-主材"),2))</f>
        <v/>
      </c>
      <c r="M192" s="19">
        <f>IF($B192="","",ROUND(SUMIFS(采购单!$L$4:$L$2003,采购单!$D$4:$D$2003,$B192,采购单!$F$4:$F$2003,"成本-辅材")+SUMIFS(生产安装!$J$4:$J$1203,生产安装!$C$4:$C$1203,$B192,生产安装!$E$4:$E$1203,"成本-辅材")+SUMIFS(资金日记账!$K$4:$K$2503,资金日记账!$G$4:$G$2503,$B192,资金日记账!$F$4:$F$2503,"成本-辅材")-SUMIFS(资金日记账!$J$4:$J$2503,资金日记账!$G$4:$G$2503,$B192,资金日记账!$F$4:$F$2503,"成本-辅材"),2))</f>
        <v/>
      </c>
      <c r="N192" s="19">
        <f>IF($B192="","",ROUND(SUMIFS(采购单!$L$4:$L$2003,采购单!$D$4:$D$2003,$B192,采购单!$F$4:$F$2003,"成本-人工")+SUMIFS(生产安装!$J$4:$J$1203,生产安装!$C$4:$C$1203,$B192,生产安装!$E$4:$E$1203,"成本-人工")+SUMIFS(资金日记账!$K$4:$K$2503,资金日记账!$G$4:$G$2503,$B192,资金日记账!$F$4:$F$2503,"成本-人工")-SUMIFS(资金日记账!$J$4:$J$2503,资金日记账!$G$4:$G$2503,$B192,资金日记账!$F$4:$F$2503,"成本-人工"),2))</f>
        <v/>
      </c>
      <c r="O192" s="19">
        <f>IF($B192="","",ROUND(SUMIFS(采购单!$L$4:$L$2003,采购单!$D$4:$D$2003,$B192,采购单!$F$4:$F$2003,"成本-车运")+SUMIFS(生产安装!$J$4:$J$1203,生产安装!$C$4:$C$1203,$B192,生产安装!$E$4:$E$1203,"成本-车运")+SUMIFS(资金日记账!$K$4:$K$2503,资金日记账!$G$4:$G$2503,$B192,资金日记账!$F$4:$F$2503,"成本-车运")-SUMIFS(资金日记账!$J$4:$J$2503,资金日记账!$G$4:$G$2503,$B192,资金日记账!$F$4:$F$2503,"成本-车运"),2))</f>
        <v/>
      </c>
      <c r="P192" s="19">
        <f>IF($B192="","",ROUND(SUMIFS(采购单!$L$4:$L$2003,采购单!$D$4:$D$2003,$B192,采购单!$F$4:$F$2003,"成本-其他")+SUMIFS(生产安装!$J$4:$J$1203,生产安装!$C$4:$C$1203,$B192,生产安装!$E$4:$E$1203,"成本-其他")+SUMIFS(资金日记账!$K$4:$K$2503,资金日记账!$G$4:$G$2503,$B192,资金日记账!$F$4:$F$2503,"成本-其他")-SUMIFS(资金日记账!$J$4:$J$2503,资金日记账!$G$4:$G$2503,$B192,资金日记账!$F$4:$F$2503,"成本-其他"),2))</f>
        <v/>
      </c>
      <c r="Q192" s="19">
        <f>IF($B192="","",ROUND(SUM($L192:$P192),2))</f>
        <v/>
      </c>
      <c r="R192" s="19">
        <f>IF($B192="","",ROUND($I192-$Q192,2))</f>
        <v/>
      </c>
      <c r="S192" s="33">
        <f>IF($B192="","",IF(ROUND($I192,2)=0,"",ROUND($R192/$I192,4)))</f>
        <v/>
      </c>
      <c r="T192" s="22">
        <f>IF($B192="","",IF($G192="",0,YEAR($G192)*100+MONTH($G192)))</f>
        <v/>
      </c>
      <c r="U192" s="17">
        <f>IF($B192="","",IF(项目台账!$R191="","",项目台账!$R191))</f>
        <v/>
      </c>
    </row>
    <row r="193">
      <c r="A193" s="17">
        <f>IF(项目台账!$B192="","",项目台账!$A192)</f>
        <v/>
      </c>
      <c r="B193" s="17">
        <f>IF(项目台账!$B192="","",项目台账!$B192)</f>
        <v/>
      </c>
      <c r="C193" s="17">
        <f>IF($B193="","",IF(项目台账!$C192="","",项目台账!$C192))</f>
        <v/>
      </c>
      <c r="D193" s="17">
        <f>IF($B193="","",IF(项目台账!$D192="","",项目台账!$D192))</f>
        <v/>
      </c>
      <c r="E193" s="17">
        <f>IF($B193="","",IF(项目台账!$E192="","",项目台账!$E192))</f>
        <v/>
      </c>
      <c r="F193" s="23">
        <f>IF($B193="","",IF(项目台账!$F192="","",项目台账!$F192))</f>
        <v/>
      </c>
      <c r="G193" s="23">
        <f>IF($B193="","",IF(项目台账!$J192="","",项目台账!$J192))</f>
        <v/>
      </c>
      <c r="H193" s="17">
        <f>IF($B193="","",IF(项目台账!$Q192="","",项目台账!$Q192))</f>
        <v/>
      </c>
      <c r="I193" s="19">
        <f>IF($B193="","",项目台账!$M192)</f>
        <v/>
      </c>
      <c r="J193" s="19">
        <f>IF($B193="","",项目台账!$O192)</f>
        <v/>
      </c>
      <c r="K193" s="19">
        <f>IF($B193="","",项目台账!$P192)</f>
        <v/>
      </c>
      <c r="L193" s="19">
        <f>IF($B193="","",ROUND(SUMIFS(采购单!$L$4:$L$2003,采购单!$D$4:$D$2003,$B193,采购单!$F$4:$F$2003,"成本-主材")+SUMIFS(生产安装!$J$4:$J$1203,生产安装!$C$4:$C$1203,$B193,生产安装!$E$4:$E$1203,"成本-主材")+SUMIFS(资金日记账!$K$4:$K$2503,资金日记账!$G$4:$G$2503,$B193,资金日记账!$F$4:$F$2503,"成本-主材")-SUMIFS(资金日记账!$J$4:$J$2503,资金日记账!$G$4:$G$2503,$B193,资金日记账!$F$4:$F$2503,"成本-主材"),2))</f>
        <v/>
      </c>
      <c r="M193" s="19">
        <f>IF($B193="","",ROUND(SUMIFS(采购单!$L$4:$L$2003,采购单!$D$4:$D$2003,$B193,采购单!$F$4:$F$2003,"成本-辅材")+SUMIFS(生产安装!$J$4:$J$1203,生产安装!$C$4:$C$1203,$B193,生产安装!$E$4:$E$1203,"成本-辅材")+SUMIFS(资金日记账!$K$4:$K$2503,资金日记账!$G$4:$G$2503,$B193,资金日记账!$F$4:$F$2503,"成本-辅材")-SUMIFS(资金日记账!$J$4:$J$2503,资金日记账!$G$4:$G$2503,$B193,资金日记账!$F$4:$F$2503,"成本-辅材"),2))</f>
        <v/>
      </c>
      <c r="N193" s="19">
        <f>IF($B193="","",ROUND(SUMIFS(采购单!$L$4:$L$2003,采购单!$D$4:$D$2003,$B193,采购单!$F$4:$F$2003,"成本-人工")+SUMIFS(生产安装!$J$4:$J$1203,生产安装!$C$4:$C$1203,$B193,生产安装!$E$4:$E$1203,"成本-人工")+SUMIFS(资金日记账!$K$4:$K$2503,资金日记账!$G$4:$G$2503,$B193,资金日记账!$F$4:$F$2503,"成本-人工")-SUMIFS(资金日记账!$J$4:$J$2503,资金日记账!$G$4:$G$2503,$B193,资金日记账!$F$4:$F$2503,"成本-人工"),2))</f>
        <v/>
      </c>
      <c r="O193" s="19">
        <f>IF($B193="","",ROUND(SUMIFS(采购单!$L$4:$L$2003,采购单!$D$4:$D$2003,$B193,采购单!$F$4:$F$2003,"成本-车运")+SUMIFS(生产安装!$J$4:$J$1203,生产安装!$C$4:$C$1203,$B193,生产安装!$E$4:$E$1203,"成本-车运")+SUMIFS(资金日记账!$K$4:$K$2503,资金日记账!$G$4:$G$2503,$B193,资金日记账!$F$4:$F$2503,"成本-车运")-SUMIFS(资金日记账!$J$4:$J$2503,资金日记账!$G$4:$G$2503,$B193,资金日记账!$F$4:$F$2503,"成本-车运"),2))</f>
        <v/>
      </c>
      <c r="P193" s="19">
        <f>IF($B193="","",ROUND(SUMIFS(采购单!$L$4:$L$2003,采购单!$D$4:$D$2003,$B193,采购单!$F$4:$F$2003,"成本-其他")+SUMIFS(生产安装!$J$4:$J$1203,生产安装!$C$4:$C$1203,$B193,生产安装!$E$4:$E$1203,"成本-其他")+SUMIFS(资金日记账!$K$4:$K$2503,资金日记账!$G$4:$G$2503,$B193,资金日记账!$F$4:$F$2503,"成本-其他")-SUMIFS(资金日记账!$J$4:$J$2503,资金日记账!$G$4:$G$2503,$B193,资金日记账!$F$4:$F$2503,"成本-其他"),2))</f>
        <v/>
      </c>
      <c r="Q193" s="19">
        <f>IF($B193="","",ROUND(SUM($L193:$P193),2))</f>
        <v/>
      </c>
      <c r="R193" s="19">
        <f>IF($B193="","",ROUND($I193-$Q193,2))</f>
        <v/>
      </c>
      <c r="S193" s="33">
        <f>IF($B193="","",IF(ROUND($I193,2)=0,"",ROUND($R193/$I193,4)))</f>
        <v/>
      </c>
      <c r="T193" s="22">
        <f>IF($B193="","",IF($G193="",0,YEAR($G193)*100+MONTH($G193)))</f>
        <v/>
      </c>
      <c r="U193" s="17">
        <f>IF($B193="","",IF(项目台账!$R192="","",项目台账!$R192))</f>
        <v/>
      </c>
    </row>
    <row r="194">
      <c r="A194" s="17">
        <f>IF(项目台账!$B193="","",项目台账!$A193)</f>
        <v/>
      </c>
      <c r="B194" s="17">
        <f>IF(项目台账!$B193="","",项目台账!$B193)</f>
        <v/>
      </c>
      <c r="C194" s="17">
        <f>IF($B194="","",IF(项目台账!$C193="","",项目台账!$C193))</f>
        <v/>
      </c>
      <c r="D194" s="17">
        <f>IF($B194="","",IF(项目台账!$D193="","",项目台账!$D193))</f>
        <v/>
      </c>
      <c r="E194" s="17">
        <f>IF($B194="","",IF(项目台账!$E193="","",项目台账!$E193))</f>
        <v/>
      </c>
      <c r="F194" s="23">
        <f>IF($B194="","",IF(项目台账!$F193="","",项目台账!$F193))</f>
        <v/>
      </c>
      <c r="G194" s="23">
        <f>IF($B194="","",IF(项目台账!$J193="","",项目台账!$J193))</f>
        <v/>
      </c>
      <c r="H194" s="17">
        <f>IF($B194="","",IF(项目台账!$Q193="","",项目台账!$Q193))</f>
        <v/>
      </c>
      <c r="I194" s="19">
        <f>IF($B194="","",项目台账!$M193)</f>
        <v/>
      </c>
      <c r="J194" s="19">
        <f>IF($B194="","",项目台账!$O193)</f>
        <v/>
      </c>
      <c r="K194" s="19">
        <f>IF($B194="","",项目台账!$P193)</f>
        <v/>
      </c>
      <c r="L194" s="19">
        <f>IF($B194="","",ROUND(SUMIFS(采购单!$L$4:$L$2003,采购单!$D$4:$D$2003,$B194,采购单!$F$4:$F$2003,"成本-主材")+SUMIFS(生产安装!$J$4:$J$1203,生产安装!$C$4:$C$1203,$B194,生产安装!$E$4:$E$1203,"成本-主材")+SUMIFS(资金日记账!$K$4:$K$2503,资金日记账!$G$4:$G$2503,$B194,资金日记账!$F$4:$F$2503,"成本-主材")-SUMIFS(资金日记账!$J$4:$J$2503,资金日记账!$G$4:$G$2503,$B194,资金日记账!$F$4:$F$2503,"成本-主材"),2))</f>
        <v/>
      </c>
      <c r="M194" s="19">
        <f>IF($B194="","",ROUND(SUMIFS(采购单!$L$4:$L$2003,采购单!$D$4:$D$2003,$B194,采购单!$F$4:$F$2003,"成本-辅材")+SUMIFS(生产安装!$J$4:$J$1203,生产安装!$C$4:$C$1203,$B194,生产安装!$E$4:$E$1203,"成本-辅材")+SUMIFS(资金日记账!$K$4:$K$2503,资金日记账!$G$4:$G$2503,$B194,资金日记账!$F$4:$F$2503,"成本-辅材")-SUMIFS(资金日记账!$J$4:$J$2503,资金日记账!$G$4:$G$2503,$B194,资金日记账!$F$4:$F$2503,"成本-辅材"),2))</f>
        <v/>
      </c>
      <c r="N194" s="19">
        <f>IF($B194="","",ROUND(SUMIFS(采购单!$L$4:$L$2003,采购单!$D$4:$D$2003,$B194,采购单!$F$4:$F$2003,"成本-人工")+SUMIFS(生产安装!$J$4:$J$1203,生产安装!$C$4:$C$1203,$B194,生产安装!$E$4:$E$1203,"成本-人工")+SUMIFS(资金日记账!$K$4:$K$2503,资金日记账!$G$4:$G$2503,$B194,资金日记账!$F$4:$F$2503,"成本-人工")-SUMIFS(资金日记账!$J$4:$J$2503,资金日记账!$G$4:$G$2503,$B194,资金日记账!$F$4:$F$2503,"成本-人工"),2))</f>
        <v/>
      </c>
      <c r="O194" s="19">
        <f>IF($B194="","",ROUND(SUMIFS(采购单!$L$4:$L$2003,采购单!$D$4:$D$2003,$B194,采购单!$F$4:$F$2003,"成本-车运")+SUMIFS(生产安装!$J$4:$J$1203,生产安装!$C$4:$C$1203,$B194,生产安装!$E$4:$E$1203,"成本-车运")+SUMIFS(资金日记账!$K$4:$K$2503,资金日记账!$G$4:$G$2503,$B194,资金日记账!$F$4:$F$2503,"成本-车运")-SUMIFS(资金日记账!$J$4:$J$2503,资金日记账!$G$4:$G$2503,$B194,资金日记账!$F$4:$F$2503,"成本-车运"),2))</f>
        <v/>
      </c>
      <c r="P194" s="19">
        <f>IF($B194="","",ROUND(SUMIFS(采购单!$L$4:$L$2003,采购单!$D$4:$D$2003,$B194,采购单!$F$4:$F$2003,"成本-其他")+SUMIFS(生产安装!$J$4:$J$1203,生产安装!$C$4:$C$1203,$B194,生产安装!$E$4:$E$1203,"成本-其他")+SUMIFS(资金日记账!$K$4:$K$2503,资金日记账!$G$4:$G$2503,$B194,资金日记账!$F$4:$F$2503,"成本-其他")-SUMIFS(资金日记账!$J$4:$J$2503,资金日记账!$G$4:$G$2503,$B194,资金日记账!$F$4:$F$2503,"成本-其他"),2))</f>
        <v/>
      </c>
      <c r="Q194" s="19">
        <f>IF($B194="","",ROUND(SUM($L194:$P194),2))</f>
        <v/>
      </c>
      <c r="R194" s="19">
        <f>IF($B194="","",ROUND($I194-$Q194,2))</f>
        <v/>
      </c>
      <c r="S194" s="33">
        <f>IF($B194="","",IF(ROUND($I194,2)=0,"",ROUND($R194/$I194,4)))</f>
        <v/>
      </c>
      <c r="T194" s="22">
        <f>IF($B194="","",IF($G194="",0,YEAR($G194)*100+MONTH($G194)))</f>
        <v/>
      </c>
      <c r="U194" s="17">
        <f>IF($B194="","",IF(项目台账!$R193="","",项目台账!$R193))</f>
        <v/>
      </c>
    </row>
    <row r="195">
      <c r="A195" s="17">
        <f>IF(项目台账!$B194="","",项目台账!$A194)</f>
        <v/>
      </c>
      <c r="B195" s="17">
        <f>IF(项目台账!$B194="","",项目台账!$B194)</f>
        <v/>
      </c>
      <c r="C195" s="17">
        <f>IF($B195="","",IF(项目台账!$C194="","",项目台账!$C194))</f>
        <v/>
      </c>
      <c r="D195" s="17">
        <f>IF($B195="","",IF(项目台账!$D194="","",项目台账!$D194))</f>
        <v/>
      </c>
      <c r="E195" s="17">
        <f>IF($B195="","",IF(项目台账!$E194="","",项目台账!$E194))</f>
        <v/>
      </c>
      <c r="F195" s="23">
        <f>IF($B195="","",IF(项目台账!$F194="","",项目台账!$F194))</f>
        <v/>
      </c>
      <c r="G195" s="23">
        <f>IF($B195="","",IF(项目台账!$J194="","",项目台账!$J194))</f>
        <v/>
      </c>
      <c r="H195" s="17">
        <f>IF($B195="","",IF(项目台账!$Q194="","",项目台账!$Q194))</f>
        <v/>
      </c>
      <c r="I195" s="19">
        <f>IF($B195="","",项目台账!$M194)</f>
        <v/>
      </c>
      <c r="J195" s="19">
        <f>IF($B195="","",项目台账!$O194)</f>
        <v/>
      </c>
      <c r="K195" s="19">
        <f>IF($B195="","",项目台账!$P194)</f>
        <v/>
      </c>
      <c r="L195" s="19">
        <f>IF($B195="","",ROUND(SUMIFS(采购单!$L$4:$L$2003,采购单!$D$4:$D$2003,$B195,采购单!$F$4:$F$2003,"成本-主材")+SUMIFS(生产安装!$J$4:$J$1203,生产安装!$C$4:$C$1203,$B195,生产安装!$E$4:$E$1203,"成本-主材")+SUMIFS(资金日记账!$K$4:$K$2503,资金日记账!$G$4:$G$2503,$B195,资金日记账!$F$4:$F$2503,"成本-主材")-SUMIFS(资金日记账!$J$4:$J$2503,资金日记账!$G$4:$G$2503,$B195,资金日记账!$F$4:$F$2503,"成本-主材"),2))</f>
        <v/>
      </c>
      <c r="M195" s="19">
        <f>IF($B195="","",ROUND(SUMIFS(采购单!$L$4:$L$2003,采购单!$D$4:$D$2003,$B195,采购单!$F$4:$F$2003,"成本-辅材")+SUMIFS(生产安装!$J$4:$J$1203,生产安装!$C$4:$C$1203,$B195,生产安装!$E$4:$E$1203,"成本-辅材")+SUMIFS(资金日记账!$K$4:$K$2503,资金日记账!$G$4:$G$2503,$B195,资金日记账!$F$4:$F$2503,"成本-辅材")-SUMIFS(资金日记账!$J$4:$J$2503,资金日记账!$G$4:$G$2503,$B195,资金日记账!$F$4:$F$2503,"成本-辅材"),2))</f>
        <v/>
      </c>
      <c r="N195" s="19">
        <f>IF($B195="","",ROUND(SUMIFS(采购单!$L$4:$L$2003,采购单!$D$4:$D$2003,$B195,采购单!$F$4:$F$2003,"成本-人工")+SUMIFS(生产安装!$J$4:$J$1203,生产安装!$C$4:$C$1203,$B195,生产安装!$E$4:$E$1203,"成本-人工")+SUMIFS(资金日记账!$K$4:$K$2503,资金日记账!$G$4:$G$2503,$B195,资金日记账!$F$4:$F$2503,"成本-人工")-SUMIFS(资金日记账!$J$4:$J$2503,资金日记账!$G$4:$G$2503,$B195,资金日记账!$F$4:$F$2503,"成本-人工"),2))</f>
        <v/>
      </c>
      <c r="O195" s="19">
        <f>IF($B195="","",ROUND(SUMIFS(采购单!$L$4:$L$2003,采购单!$D$4:$D$2003,$B195,采购单!$F$4:$F$2003,"成本-车运")+SUMIFS(生产安装!$J$4:$J$1203,生产安装!$C$4:$C$1203,$B195,生产安装!$E$4:$E$1203,"成本-车运")+SUMIFS(资金日记账!$K$4:$K$2503,资金日记账!$G$4:$G$2503,$B195,资金日记账!$F$4:$F$2503,"成本-车运")-SUMIFS(资金日记账!$J$4:$J$2503,资金日记账!$G$4:$G$2503,$B195,资金日记账!$F$4:$F$2503,"成本-车运"),2))</f>
        <v/>
      </c>
      <c r="P195" s="19">
        <f>IF($B195="","",ROUND(SUMIFS(采购单!$L$4:$L$2003,采购单!$D$4:$D$2003,$B195,采购单!$F$4:$F$2003,"成本-其他")+SUMIFS(生产安装!$J$4:$J$1203,生产安装!$C$4:$C$1203,$B195,生产安装!$E$4:$E$1203,"成本-其他")+SUMIFS(资金日记账!$K$4:$K$2503,资金日记账!$G$4:$G$2503,$B195,资金日记账!$F$4:$F$2503,"成本-其他")-SUMIFS(资金日记账!$J$4:$J$2503,资金日记账!$G$4:$G$2503,$B195,资金日记账!$F$4:$F$2503,"成本-其他"),2))</f>
        <v/>
      </c>
      <c r="Q195" s="19">
        <f>IF($B195="","",ROUND(SUM($L195:$P195),2))</f>
        <v/>
      </c>
      <c r="R195" s="19">
        <f>IF($B195="","",ROUND($I195-$Q195,2))</f>
        <v/>
      </c>
      <c r="S195" s="33">
        <f>IF($B195="","",IF(ROUND($I195,2)=0,"",ROUND($R195/$I195,4)))</f>
        <v/>
      </c>
      <c r="T195" s="22">
        <f>IF($B195="","",IF($G195="",0,YEAR($G195)*100+MONTH($G195)))</f>
        <v/>
      </c>
      <c r="U195" s="17">
        <f>IF($B195="","",IF(项目台账!$R194="","",项目台账!$R194))</f>
        <v/>
      </c>
    </row>
    <row r="196">
      <c r="A196" s="17">
        <f>IF(项目台账!$B195="","",项目台账!$A195)</f>
        <v/>
      </c>
      <c r="B196" s="17">
        <f>IF(项目台账!$B195="","",项目台账!$B195)</f>
        <v/>
      </c>
      <c r="C196" s="17">
        <f>IF($B196="","",IF(项目台账!$C195="","",项目台账!$C195))</f>
        <v/>
      </c>
      <c r="D196" s="17">
        <f>IF($B196="","",IF(项目台账!$D195="","",项目台账!$D195))</f>
        <v/>
      </c>
      <c r="E196" s="17">
        <f>IF($B196="","",IF(项目台账!$E195="","",项目台账!$E195))</f>
        <v/>
      </c>
      <c r="F196" s="23">
        <f>IF($B196="","",IF(项目台账!$F195="","",项目台账!$F195))</f>
        <v/>
      </c>
      <c r="G196" s="23">
        <f>IF($B196="","",IF(项目台账!$J195="","",项目台账!$J195))</f>
        <v/>
      </c>
      <c r="H196" s="17">
        <f>IF($B196="","",IF(项目台账!$Q195="","",项目台账!$Q195))</f>
        <v/>
      </c>
      <c r="I196" s="19">
        <f>IF($B196="","",项目台账!$M195)</f>
        <v/>
      </c>
      <c r="J196" s="19">
        <f>IF($B196="","",项目台账!$O195)</f>
        <v/>
      </c>
      <c r="K196" s="19">
        <f>IF($B196="","",项目台账!$P195)</f>
        <v/>
      </c>
      <c r="L196" s="19">
        <f>IF($B196="","",ROUND(SUMIFS(采购单!$L$4:$L$2003,采购单!$D$4:$D$2003,$B196,采购单!$F$4:$F$2003,"成本-主材")+SUMIFS(生产安装!$J$4:$J$1203,生产安装!$C$4:$C$1203,$B196,生产安装!$E$4:$E$1203,"成本-主材")+SUMIFS(资金日记账!$K$4:$K$2503,资金日记账!$G$4:$G$2503,$B196,资金日记账!$F$4:$F$2503,"成本-主材")-SUMIFS(资金日记账!$J$4:$J$2503,资金日记账!$G$4:$G$2503,$B196,资金日记账!$F$4:$F$2503,"成本-主材"),2))</f>
        <v/>
      </c>
      <c r="M196" s="19">
        <f>IF($B196="","",ROUND(SUMIFS(采购单!$L$4:$L$2003,采购单!$D$4:$D$2003,$B196,采购单!$F$4:$F$2003,"成本-辅材")+SUMIFS(生产安装!$J$4:$J$1203,生产安装!$C$4:$C$1203,$B196,生产安装!$E$4:$E$1203,"成本-辅材")+SUMIFS(资金日记账!$K$4:$K$2503,资金日记账!$G$4:$G$2503,$B196,资金日记账!$F$4:$F$2503,"成本-辅材")-SUMIFS(资金日记账!$J$4:$J$2503,资金日记账!$G$4:$G$2503,$B196,资金日记账!$F$4:$F$2503,"成本-辅材"),2))</f>
        <v/>
      </c>
      <c r="N196" s="19">
        <f>IF($B196="","",ROUND(SUMIFS(采购单!$L$4:$L$2003,采购单!$D$4:$D$2003,$B196,采购单!$F$4:$F$2003,"成本-人工")+SUMIFS(生产安装!$J$4:$J$1203,生产安装!$C$4:$C$1203,$B196,生产安装!$E$4:$E$1203,"成本-人工")+SUMIFS(资金日记账!$K$4:$K$2503,资金日记账!$G$4:$G$2503,$B196,资金日记账!$F$4:$F$2503,"成本-人工")-SUMIFS(资金日记账!$J$4:$J$2503,资金日记账!$G$4:$G$2503,$B196,资金日记账!$F$4:$F$2503,"成本-人工"),2))</f>
        <v/>
      </c>
      <c r="O196" s="19">
        <f>IF($B196="","",ROUND(SUMIFS(采购单!$L$4:$L$2003,采购单!$D$4:$D$2003,$B196,采购单!$F$4:$F$2003,"成本-车运")+SUMIFS(生产安装!$J$4:$J$1203,生产安装!$C$4:$C$1203,$B196,生产安装!$E$4:$E$1203,"成本-车运")+SUMIFS(资金日记账!$K$4:$K$2503,资金日记账!$G$4:$G$2503,$B196,资金日记账!$F$4:$F$2503,"成本-车运")-SUMIFS(资金日记账!$J$4:$J$2503,资金日记账!$G$4:$G$2503,$B196,资金日记账!$F$4:$F$2503,"成本-车运"),2))</f>
        <v/>
      </c>
      <c r="P196" s="19">
        <f>IF($B196="","",ROUND(SUMIFS(采购单!$L$4:$L$2003,采购单!$D$4:$D$2003,$B196,采购单!$F$4:$F$2003,"成本-其他")+SUMIFS(生产安装!$J$4:$J$1203,生产安装!$C$4:$C$1203,$B196,生产安装!$E$4:$E$1203,"成本-其他")+SUMIFS(资金日记账!$K$4:$K$2503,资金日记账!$G$4:$G$2503,$B196,资金日记账!$F$4:$F$2503,"成本-其他")-SUMIFS(资金日记账!$J$4:$J$2503,资金日记账!$G$4:$G$2503,$B196,资金日记账!$F$4:$F$2503,"成本-其他"),2))</f>
        <v/>
      </c>
      <c r="Q196" s="19">
        <f>IF($B196="","",ROUND(SUM($L196:$P196),2))</f>
        <v/>
      </c>
      <c r="R196" s="19">
        <f>IF($B196="","",ROUND($I196-$Q196,2))</f>
        <v/>
      </c>
      <c r="S196" s="33">
        <f>IF($B196="","",IF(ROUND($I196,2)=0,"",ROUND($R196/$I196,4)))</f>
        <v/>
      </c>
      <c r="T196" s="22">
        <f>IF($B196="","",IF($G196="",0,YEAR($G196)*100+MONTH($G196)))</f>
        <v/>
      </c>
      <c r="U196" s="17">
        <f>IF($B196="","",IF(项目台账!$R195="","",项目台账!$R195))</f>
        <v/>
      </c>
    </row>
    <row r="197">
      <c r="A197" s="17">
        <f>IF(项目台账!$B196="","",项目台账!$A196)</f>
        <v/>
      </c>
      <c r="B197" s="17">
        <f>IF(项目台账!$B196="","",项目台账!$B196)</f>
        <v/>
      </c>
      <c r="C197" s="17">
        <f>IF($B197="","",IF(项目台账!$C196="","",项目台账!$C196))</f>
        <v/>
      </c>
      <c r="D197" s="17">
        <f>IF($B197="","",IF(项目台账!$D196="","",项目台账!$D196))</f>
        <v/>
      </c>
      <c r="E197" s="17">
        <f>IF($B197="","",IF(项目台账!$E196="","",项目台账!$E196))</f>
        <v/>
      </c>
      <c r="F197" s="23">
        <f>IF($B197="","",IF(项目台账!$F196="","",项目台账!$F196))</f>
        <v/>
      </c>
      <c r="G197" s="23">
        <f>IF($B197="","",IF(项目台账!$J196="","",项目台账!$J196))</f>
        <v/>
      </c>
      <c r="H197" s="17">
        <f>IF($B197="","",IF(项目台账!$Q196="","",项目台账!$Q196))</f>
        <v/>
      </c>
      <c r="I197" s="19">
        <f>IF($B197="","",项目台账!$M196)</f>
        <v/>
      </c>
      <c r="J197" s="19">
        <f>IF($B197="","",项目台账!$O196)</f>
        <v/>
      </c>
      <c r="K197" s="19">
        <f>IF($B197="","",项目台账!$P196)</f>
        <v/>
      </c>
      <c r="L197" s="19">
        <f>IF($B197="","",ROUND(SUMIFS(采购单!$L$4:$L$2003,采购单!$D$4:$D$2003,$B197,采购单!$F$4:$F$2003,"成本-主材")+SUMIFS(生产安装!$J$4:$J$1203,生产安装!$C$4:$C$1203,$B197,生产安装!$E$4:$E$1203,"成本-主材")+SUMIFS(资金日记账!$K$4:$K$2503,资金日记账!$G$4:$G$2503,$B197,资金日记账!$F$4:$F$2503,"成本-主材")-SUMIFS(资金日记账!$J$4:$J$2503,资金日记账!$G$4:$G$2503,$B197,资金日记账!$F$4:$F$2503,"成本-主材"),2))</f>
        <v/>
      </c>
      <c r="M197" s="19">
        <f>IF($B197="","",ROUND(SUMIFS(采购单!$L$4:$L$2003,采购单!$D$4:$D$2003,$B197,采购单!$F$4:$F$2003,"成本-辅材")+SUMIFS(生产安装!$J$4:$J$1203,生产安装!$C$4:$C$1203,$B197,生产安装!$E$4:$E$1203,"成本-辅材")+SUMIFS(资金日记账!$K$4:$K$2503,资金日记账!$G$4:$G$2503,$B197,资金日记账!$F$4:$F$2503,"成本-辅材")-SUMIFS(资金日记账!$J$4:$J$2503,资金日记账!$G$4:$G$2503,$B197,资金日记账!$F$4:$F$2503,"成本-辅材"),2))</f>
        <v/>
      </c>
      <c r="N197" s="19">
        <f>IF($B197="","",ROUND(SUMIFS(采购单!$L$4:$L$2003,采购单!$D$4:$D$2003,$B197,采购单!$F$4:$F$2003,"成本-人工")+SUMIFS(生产安装!$J$4:$J$1203,生产安装!$C$4:$C$1203,$B197,生产安装!$E$4:$E$1203,"成本-人工")+SUMIFS(资金日记账!$K$4:$K$2503,资金日记账!$G$4:$G$2503,$B197,资金日记账!$F$4:$F$2503,"成本-人工")-SUMIFS(资金日记账!$J$4:$J$2503,资金日记账!$G$4:$G$2503,$B197,资金日记账!$F$4:$F$2503,"成本-人工"),2))</f>
        <v/>
      </c>
      <c r="O197" s="19">
        <f>IF($B197="","",ROUND(SUMIFS(采购单!$L$4:$L$2003,采购单!$D$4:$D$2003,$B197,采购单!$F$4:$F$2003,"成本-车运")+SUMIFS(生产安装!$J$4:$J$1203,生产安装!$C$4:$C$1203,$B197,生产安装!$E$4:$E$1203,"成本-车运")+SUMIFS(资金日记账!$K$4:$K$2503,资金日记账!$G$4:$G$2503,$B197,资金日记账!$F$4:$F$2503,"成本-车运")-SUMIFS(资金日记账!$J$4:$J$2503,资金日记账!$G$4:$G$2503,$B197,资金日记账!$F$4:$F$2503,"成本-车运"),2))</f>
        <v/>
      </c>
      <c r="P197" s="19">
        <f>IF($B197="","",ROUND(SUMIFS(采购单!$L$4:$L$2003,采购单!$D$4:$D$2003,$B197,采购单!$F$4:$F$2003,"成本-其他")+SUMIFS(生产安装!$J$4:$J$1203,生产安装!$C$4:$C$1203,$B197,生产安装!$E$4:$E$1203,"成本-其他")+SUMIFS(资金日记账!$K$4:$K$2503,资金日记账!$G$4:$G$2503,$B197,资金日记账!$F$4:$F$2503,"成本-其他")-SUMIFS(资金日记账!$J$4:$J$2503,资金日记账!$G$4:$G$2503,$B197,资金日记账!$F$4:$F$2503,"成本-其他"),2))</f>
        <v/>
      </c>
      <c r="Q197" s="19">
        <f>IF($B197="","",ROUND(SUM($L197:$P197),2))</f>
        <v/>
      </c>
      <c r="R197" s="19">
        <f>IF($B197="","",ROUND($I197-$Q197,2))</f>
        <v/>
      </c>
      <c r="S197" s="33">
        <f>IF($B197="","",IF(ROUND($I197,2)=0,"",ROUND($R197/$I197,4)))</f>
        <v/>
      </c>
      <c r="T197" s="22">
        <f>IF($B197="","",IF($G197="",0,YEAR($G197)*100+MONTH($G197)))</f>
        <v/>
      </c>
      <c r="U197" s="17">
        <f>IF($B197="","",IF(项目台账!$R196="","",项目台账!$R196))</f>
        <v/>
      </c>
    </row>
    <row r="198">
      <c r="A198" s="17">
        <f>IF(项目台账!$B197="","",项目台账!$A197)</f>
        <v/>
      </c>
      <c r="B198" s="17">
        <f>IF(项目台账!$B197="","",项目台账!$B197)</f>
        <v/>
      </c>
      <c r="C198" s="17">
        <f>IF($B198="","",IF(项目台账!$C197="","",项目台账!$C197))</f>
        <v/>
      </c>
      <c r="D198" s="17">
        <f>IF($B198="","",IF(项目台账!$D197="","",项目台账!$D197))</f>
        <v/>
      </c>
      <c r="E198" s="17">
        <f>IF($B198="","",IF(项目台账!$E197="","",项目台账!$E197))</f>
        <v/>
      </c>
      <c r="F198" s="23">
        <f>IF($B198="","",IF(项目台账!$F197="","",项目台账!$F197))</f>
        <v/>
      </c>
      <c r="G198" s="23">
        <f>IF($B198="","",IF(项目台账!$J197="","",项目台账!$J197))</f>
        <v/>
      </c>
      <c r="H198" s="17">
        <f>IF($B198="","",IF(项目台账!$Q197="","",项目台账!$Q197))</f>
        <v/>
      </c>
      <c r="I198" s="19">
        <f>IF($B198="","",项目台账!$M197)</f>
        <v/>
      </c>
      <c r="J198" s="19">
        <f>IF($B198="","",项目台账!$O197)</f>
        <v/>
      </c>
      <c r="K198" s="19">
        <f>IF($B198="","",项目台账!$P197)</f>
        <v/>
      </c>
      <c r="L198" s="19">
        <f>IF($B198="","",ROUND(SUMIFS(采购单!$L$4:$L$2003,采购单!$D$4:$D$2003,$B198,采购单!$F$4:$F$2003,"成本-主材")+SUMIFS(生产安装!$J$4:$J$1203,生产安装!$C$4:$C$1203,$B198,生产安装!$E$4:$E$1203,"成本-主材")+SUMIFS(资金日记账!$K$4:$K$2503,资金日记账!$G$4:$G$2503,$B198,资金日记账!$F$4:$F$2503,"成本-主材")-SUMIFS(资金日记账!$J$4:$J$2503,资金日记账!$G$4:$G$2503,$B198,资金日记账!$F$4:$F$2503,"成本-主材"),2))</f>
        <v/>
      </c>
      <c r="M198" s="19">
        <f>IF($B198="","",ROUND(SUMIFS(采购单!$L$4:$L$2003,采购单!$D$4:$D$2003,$B198,采购单!$F$4:$F$2003,"成本-辅材")+SUMIFS(生产安装!$J$4:$J$1203,生产安装!$C$4:$C$1203,$B198,生产安装!$E$4:$E$1203,"成本-辅材")+SUMIFS(资金日记账!$K$4:$K$2503,资金日记账!$G$4:$G$2503,$B198,资金日记账!$F$4:$F$2503,"成本-辅材")-SUMIFS(资金日记账!$J$4:$J$2503,资金日记账!$G$4:$G$2503,$B198,资金日记账!$F$4:$F$2503,"成本-辅材"),2))</f>
        <v/>
      </c>
      <c r="N198" s="19">
        <f>IF($B198="","",ROUND(SUMIFS(采购单!$L$4:$L$2003,采购单!$D$4:$D$2003,$B198,采购单!$F$4:$F$2003,"成本-人工")+SUMIFS(生产安装!$J$4:$J$1203,生产安装!$C$4:$C$1203,$B198,生产安装!$E$4:$E$1203,"成本-人工")+SUMIFS(资金日记账!$K$4:$K$2503,资金日记账!$G$4:$G$2503,$B198,资金日记账!$F$4:$F$2503,"成本-人工")-SUMIFS(资金日记账!$J$4:$J$2503,资金日记账!$G$4:$G$2503,$B198,资金日记账!$F$4:$F$2503,"成本-人工"),2))</f>
        <v/>
      </c>
      <c r="O198" s="19">
        <f>IF($B198="","",ROUND(SUMIFS(采购单!$L$4:$L$2003,采购单!$D$4:$D$2003,$B198,采购单!$F$4:$F$2003,"成本-车运")+SUMIFS(生产安装!$J$4:$J$1203,生产安装!$C$4:$C$1203,$B198,生产安装!$E$4:$E$1203,"成本-车运")+SUMIFS(资金日记账!$K$4:$K$2503,资金日记账!$G$4:$G$2503,$B198,资金日记账!$F$4:$F$2503,"成本-车运")-SUMIFS(资金日记账!$J$4:$J$2503,资金日记账!$G$4:$G$2503,$B198,资金日记账!$F$4:$F$2503,"成本-车运"),2))</f>
        <v/>
      </c>
      <c r="P198" s="19">
        <f>IF($B198="","",ROUND(SUMIFS(采购单!$L$4:$L$2003,采购单!$D$4:$D$2003,$B198,采购单!$F$4:$F$2003,"成本-其他")+SUMIFS(生产安装!$J$4:$J$1203,生产安装!$C$4:$C$1203,$B198,生产安装!$E$4:$E$1203,"成本-其他")+SUMIFS(资金日记账!$K$4:$K$2503,资金日记账!$G$4:$G$2503,$B198,资金日记账!$F$4:$F$2503,"成本-其他")-SUMIFS(资金日记账!$J$4:$J$2503,资金日记账!$G$4:$G$2503,$B198,资金日记账!$F$4:$F$2503,"成本-其他"),2))</f>
        <v/>
      </c>
      <c r="Q198" s="19">
        <f>IF($B198="","",ROUND(SUM($L198:$P198),2))</f>
        <v/>
      </c>
      <c r="R198" s="19">
        <f>IF($B198="","",ROUND($I198-$Q198,2))</f>
        <v/>
      </c>
      <c r="S198" s="33">
        <f>IF($B198="","",IF(ROUND($I198,2)=0,"",ROUND($R198/$I198,4)))</f>
        <v/>
      </c>
      <c r="T198" s="22">
        <f>IF($B198="","",IF($G198="",0,YEAR($G198)*100+MONTH($G198)))</f>
        <v/>
      </c>
      <c r="U198" s="17">
        <f>IF($B198="","",IF(项目台账!$R197="","",项目台账!$R197))</f>
        <v/>
      </c>
    </row>
    <row r="199">
      <c r="A199" s="17">
        <f>IF(项目台账!$B198="","",项目台账!$A198)</f>
        <v/>
      </c>
      <c r="B199" s="17">
        <f>IF(项目台账!$B198="","",项目台账!$B198)</f>
        <v/>
      </c>
      <c r="C199" s="17">
        <f>IF($B199="","",IF(项目台账!$C198="","",项目台账!$C198))</f>
        <v/>
      </c>
      <c r="D199" s="17">
        <f>IF($B199="","",IF(项目台账!$D198="","",项目台账!$D198))</f>
        <v/>
      </c>
      <c r="E199" s="17">
        <f>IF($B199="","",IF(项目台账!$E198="","",项目台账!$E198))</f>
        <v/>
      </c>
      <c r="F199" s="23">
        <f>IF($B199="","",IF(项目台账!$F198="","",项目台账!$F198))</f>
        <v/>
      </c>
      <c r="G199" s="23">
        <f>IF($B199="","",IF(项目台账!$J198="","",项目台账!$J198))</f>
        <v/>
      </c>
      <c r="H199" s="17">
        <f>IF($B199="","",IF(项目台账!$Q198="","",项目台账!$Q198))</f>
        <v/>
      </c>
      <c r="I199" s="19">
        <f>IF($B199="","",项目台账!$M198)</f>
        <v/>
      </c>
      <c r="J199" s="19">
        <f>IF($B199="","",项目台账!$O198)</f>
        <v/>
      </c>
      <c r="K199" s="19">
        <f>IF($B199="","",项目台账!$P198)</f>
        <v/>
      </c>
      <c r="L199" s="19">
        <f>IF($B199="","",ROUND(SUMIFS(采购单!$L$4:$L$2003,采购单!$D$4:$D$2003,$B199,采购单!$F$4:$F$2003,"成本-主材")+SUMIFS(生产安装!$J$4:$J$1203,生产安装!$C$4:$C$1203,$B199,生产安装!$E$4:$E$1203,"成本-主材")+SUMIFS(资金日记账!$K$4:$K$2503,资金日记账!$G$4:$G$2503,$B199,资金日记账!$F$4:$F$2503,"成本-主材")-SUMIFS(资金日记账!$J$4:$J$2503,资金日记账!$G$4:$G$2503,$B199,资金日记账!$F$4:$F$2503,"成本-主材"),2))</f>
        <v/>
      </c>
      <c r="M199" s="19">
        <f>IF($B199="","",ROUND(SUMIFS(采购单!$L$4:$L$2003,采购单!$D$4:$D$2003,$B199,采购单!$F$4:$F$2003,"成本-辅材")+SUMIFS(生产安装!$J$4:$J$1203,生产安装!$C$4:$C$1203,$B199,生产安装!$E$4:$E$1203,"成本-辅材")+SUMIFS(资金日记账!$K$4:$K$2503,资金日记账!$G$4:$G$2503,$B199,资金日记账!$F$4:$F$2503,"成本-辅材")-SUMIFS(资金日记账!$J$4:$J$2503,资金日记账!$G$4:$G$2503,$B199,资金日记账!$F$4:$F$2503,"成本-辅材"),2))</f>
        <v/>
      </c>
      <c r="N199" s="19">
        <f>IF($B199="","",ROUND(SUMIFS(采购单!$L$4:$L$2003,采购单!$D$4:$D$2003,$B199,采购单!$F$4:$F$2003,"成本-人工")+SUMIFS(生产安装!$J$4:$J$1203,生产安装!$C$4:$C$1203,$B199,生产安装!$E$4:$E$1203,"成本-人工")+SUMIFS(资金日记账!$K$4:$K$2503,资金日记账!$G$4:$G$2503,$B199,资金日记账!$F$4:$F$2503,"成本-人工")-SUMIFS(资金日记账!$J$4:$J$2503,资金日记账!$G$4:$G$2503,$B199,资金日记账!$F$4:$F$2503,"成本-人工"),2))</f>
        <v/>
      </c>
      <c r="O199" s="19">
        <f>IF($B199="","",ROUND(SUMIFS(采购单!$L$4:$L$2003,采购单!$D$4:$D$2003,$B199,采购单!$F$4:$F$2003,"成本-车运")+SUMIFS(生产安装!$J$4:$J$1203,生产安装!$C$4:$C$1203,$B199,生产安装!$E$4:$E$1203,"成本-车运")+SUMIFS(资金日记账!$K$4:$K$2503,资金日记账!$G$4:$G$2503,$B199,资金日记账!$F$4:$F$2503,"成本-车运")-SUMIFS(资金日记账!$J$4:$J$2503,资金日记账!$G$4:$G$2503,$B199,资金日记账!$F$4:$F$2503,"成本-车运"),2))</f>
        <v/>
      </c>
      <c r="P199" s="19">
        <f>IF($B199="","",ROUND(SUMIFS(采购单!$L$4:$L$2003,采购单!$D$4:$D$2003,$B199,采购单!$F$4:$F$2003,"成本-其他")+SUMIFS(生产安装!$J$4:$J$1203,生产安装!$C$4:$C$1203,$B199,生产安装!$E$4:$E$1203,"成本-其他")+SUMIFS(资金日记账!$K$4:$K$2503,资金日记账!$G$4:$G$2503,$B199,资金日记账!$F$4:$F$2503,"成本-其他")-SUMIFS(资金日记账!$J$4:$J$2503,资金日记账!$G$4:$G$2503,$B199,资金日记账!$F$4:$F$2503,"成本-其他"),2))</f>
        <v/>
      </c>
      <c r="Q199" s="19">
        <f>IF($B199="","",ROUND(SUM($L199:$P199),2))</f>
        <v/>
      </c>
      <c r="R199" s="19">
        <f>IF($B199="","",ROUND($I199-$Q199,2))</f>
        <v/>
      </c>
      <c r="S199" s="33">
        <f>IF($B199="","",IF(ROUND($I199,2)=0,"",ROUND($R199/$I199,4)))</f>
        <v/>
      </c>
      <c r="T199" s="22">
        <f>IF($B199="","",IF($G199="",0,YEAR($G199)*100+MONTH($G199)))</f>
        <v/>
      </c>
      <c r="U199" s="17">
        <f>IF($B199="","",IF(项目台账!$R198="","",项目台账!$R198))</f>
        <v/>
      </c>
    </row>
    <row r="200">
      <c r="A200" s="17">
        <f>IF(项目台账!$B199="","",项目台账!$A199)</f>
        <v/>
      </c>
      <c r="B200" s="17">
        <f>IF(项目台账!$B199="","",项目台账!$B199)</f>
        <v/>
      </c>
      <c r="C200" s="17">
        <f>IF($B200="","",IF(项目台账!$C199="","",项目台账!$C199))</f>
        <v/>
      </c>
      <c r="D200" s="17">
        <f>IF($B200="","",IF(项目台账!$D199="","",项目台账!$D199))</f>
        <v/>
      </c>
      <c r="E200" s="17">
        <f>IF($B200="","",IF(项目台账!$E199="","",项目台账!$E199))</f>
        <v/>
      </c>
      <c r="F200" s="23">
        <f>IF($B200="","",IF(项目台账!$F199="","",项目台账!$F199))</f>
        <v/>
      </c>
      <c r="G200" s="23">
        <f>IF($B200="","",IF(项目台账!$J199="","",项目台账!$J199))</f>
        <v/>
      </c>
      <c r="H200" s="17">
        <f>IF($B200="","",IF(项目台账!$Q199="","",项目台账!$Q199))</f>
        <v/>
      </c>
      <c r="I200" s="19">
        <f>IF($B200="","",项目台账!$M199)</f>
        <v/>
      </c>
      <c r="J200" s="19">
        <f>IF($B200="","",项目台账!$O199)</f>
        <v/>
      </c>
      <c r="K200" s="19">
        <f>IF($B200="","",项目台账!$P199)</f>
        <v/>
      </c>
      <c r="L200" s="19">
        <f>IF($B200="","",ROUND(SUMIFS(采购单!$L$4:$L$2003,采购单!$D$4:$D$2003,$B200,采购单!$F$4:$F$2003,"成本-主材")+SUMIFS(生产安装!$J$4:$J$1203,生产安装!$C$4:$C$1203,$B200,生产安装!$E$4:$E$1203,"成本-主材")+SUMIFS(资金日记账!$K$4:$K$2503,资金日记账!$G$4:$G$2503,$B200,资金日记账!$F$4:$F$2503,"成本-主材")-SUMIFS(资金日记账!$J$4:$J$2503,资金日记账!$G$4:$G$2503,$B200,资金日记账!$F$4:$F$2503,"成本-主材"),2))</f>
        <v/>
      </c>
      <c r="M200" s="19">
        <f>IF($B200="","",ROUND(SUMIFS(采购单!$L$4:$L$2003,采购单!$D$4:$D$2003,$B200,采购单!$F$4:$F$2003,"成本-辅材")+SUMIFS(生产安装!$J$4:$J$1203,生产安装!$C$4:$C$1203,$B200,生产安装!$E$4:$E$1203,"成本-辅材")+SUMIFS(资金日记账!$K$4:$K$2503,资金日记账!$G$4:$G$2503,$B200,资金日记账!$F$4:$F$2503,"成本-辅材")-SUMIFS(资金日记账!$J$4:$J$2503,资金日记账!$G$4:$G$2503,$B200,资金日记账!$F$4:$F$2503,"成本-辅材"),2))</f>
        <v/>
      </c>
      <c r="N200" s="19">
        <f>IF($B200="","",ROUND(SUMIFS(采购单!$L$4:$L$2003,采购单!$D$4:$D$2003,$B200,采购单!$F$4:$F$2003,"成本-人工")+SUMIFS(生产安装!$J$4:$J$1203,生产安装!$C$4:$C$1203,$B200,生产安装!$E$4:$E$1203,"成本-人工")+SUMIFS(资金日记账!$K$4:$K$2503,资金日记账!$G$4:$G$2503,$B200,资金日记账!$F$4:$F$2503,"成本-人工")-SUMIFS(资金日记账!$J$4:$J$2503,资金日记账!$G$4:$G$2503,$B200,资金日记账!$F$4:$F$2503,"成本-人工"),2))</f>
        <v/>
      </c>
      <c r="O200" s="19">
        <f>IF($B200="","",ROUND(SUMIFS(采购单!$L$4:$L$2003,采购单!$D$4:$D$2003,$B200,采购单!$F$4:$F$2003,"成本-车运")+SUMIFS(生产安装!$J$4:$J$1203,生产安装!$C$4:$C$1203,$B200,生产安装!$E$4:$E$1203,"成本-车运")+SUMIFS(资金日记账!$K$4:$K$2503,资金日记账!$G$4:$G$2503,$B200,资金日记账!$F$4:$F$2503,"成本-车运")-SUMIFS(资金日记账!$J$4:$J$2503,资金日记账!$G$4:$G$2503,$B200,资金日记账!$F$4:$F$2503,"成本-车运"),2))</f>
        <v/>
      </c>
      <c r="P200" s="19">
        <f>IF($B200="","",ROUND(SUMIFS(采购单!$L$4:$L$2003,采购单!$D$4:$D$2003,$B200,采购单!$F$4:$F$2003,"成本-其他")+SUMIFS(生产安装!$J$4:$J$1203,生产安装!$C$4:$C$1203,$B200,生产安装!$E$4:$E$1203,"成本-其他")+SUMIFS(资金日记账!$K$4:$K$2503,资金日记账!$G$4:$G$2503,$B200,资金日记账!$F$4:$F$2503,"成本-其他")-SUMIFS(资金日记账!$J$4:$J$2503,资金日记账!$G$4:$G$2503,$B200,资金日记账!$F$4:$F$2503,"成本-其他"),2))</f>
        <v/>
      </c>
      <c r="Q200" s="19">
        <f>IF($B200="","",ROUND(SUM($L200:$P200),2))</f>
        <v/>
      </c>
      <c r="R200" s="19">
        <f>IF($B200="","",ROUND($I200-$Q200,2))</f>
        <v/>
      </c>
      <c r="S200" s="33">
        <f>IF($B200="","",IF(ROUND($I200,2)=0,"",ROUND($R200/$I200,4)))</f>
        <v/>
      </c>
      <c r="T200" s="22">
        <f>IF($B200="","",IF($G200="",0,YEAR($G200)*100+MONTH($G200)))</f>
        <v/>
      </c>
      <c r="U200" s="17">
        <f>IF($B200="","",IF(项目台账!$R199="","",项目台账!$R199))</f>
        <v/>
      </c>
    </row>
    <row r="201">
      <c r="A201" s="17">
        <f>IF(项目台账!$B200="","",项目台账!$A200)</f>
        <v/>
      </c>
      <c r="B201" s="17">
        <f>IF(项目台账!$B200="","",项目台账!$B200)</f>
        <v/>
      </c>
      <c r="C201" s="17">
        <f>IF($B201="","",IF(项目台账!$C200="","",项目台账!$C200))</f>
        <v/>
      </c>
      <c r="D201" s="17">
        <f>IF($B201="","",IF(项目台账!$D200="","",项目台账!$D200))</f>
        <v/>
      </c>
      <c r="E201" s="17">
        <f>IF($B201="","",IF(项目台账!$E200="","",项目台账!$E200))</f>
        <v/>
      </c>
      <c r="F201" s="23">
        <f>IF($B201="","",IF(项目台账!$F200="","",项目台账!$F200))</f>
        <v/>
      </c>
      <c r="G201" s="23">
        <f>IF($B201="","",IF(项目台账!$J200="","",项目台账!$J200))</f>
        <v/>
      </c>
      <c r="H201" s="17">
        <f>IF($B201="","",IF(项目台账!$Q200="","",项目台账!$Q200))</f>
        <v/>
      </c>
      <c r="I201" s="19">
        <f>IF($B201="","",项目台账!$M200)</f>
        <v/>
      </c>
      <c r="J201" s="19">
        <f>IF($B201="","",项目台账!$O200)</f>
        <v/>
      </c>
      <c r="K201" s="19">
        <f>IF($B201="","",项目台账!$P200)</f>
        <v/>
      </c>
      <c r="L201" s="19">
        <f>IF($B201="","",ROUND(SUMIFS(采购单!$L$4:$L$2003,采购单!$D$4:$D$2003,$B201,采购单!$F$4:$F$2003,"成本-主材")+SUMIFS(生产安装!$J$4:$J$1203,生产安装!$C$4:$C$1203,$B201,生产安装!$E$4:$E$1203,"成本-主材")+SUMIFS(资金日记账!$K$4:$K$2503,资金日记账!$G$4:$G$2503,$B201,资金日记账!$F$4:$F$2503,"成本-主材")-SUMIFS(资金日记账!$J$4:$J$2503,资金日记账!$G$4:$G$2503,$B201,资金日记账!$F$4:$F$2503,"成本-主材"),2))</f>
        <v/>
      </c>
      <c r="M201" s="19">
        <f>IF($B201="","",ROUND(SUMIFS(采购单!$L$4:$L$2003,采购单!$D$4:$D$2003,$B201,采购单!$F$4:$F$2003,"成本-辅材")+SUMIFS(生产安装!$J$4:$J$1203,生产安装!$C$4:$C$1203,$B201,生产安装!$E$4:$E$1203,"成本-辅材")+SUMIFS(资金日记账!$K$4:$K$2503,资金日记账!$G$4:$G$2503,$B201,资金日记账!$F$4:$F$2503,"成本-辅材")-SUMIFS(资金日记账!$J$4:$J$2503,资金日记账!$G$4:$G$2503,$B201,资金日记账!$F$4:$F$2503,"成本-辅材"),2))</f>
        <v/>
      </c>
      <c r="N201" s="19">
        <f>IF($B201="","",ROUND(SUMIFS(采购单!$L$4:$L$2003,采购单!$D$4:$D$2003,$B201,采购单!$F$4:$F$2003,"成本-人工")+SUMIFS(生产安装!$J$4:$J$1203,生产安装!$C$4:$C$1203,$B201,生产安装!$E$4:$E$1203,"成本-人工")+SUMIFS(资金日记账!$K$4:$K$2503,资金日记账!$G$4:$G$2503,$B201,资金日记账!$F$4:$F$2503,"成本-人工")-SUMIFS(资金日记账!$J$4:$J$2503,资金日记账!$G$4:$G$2503,$B201,资金日记账!$F$4:$F$2503,"成本-人工"),2))</f>
        <v/>
      </c>
      <c r="O201" s="19">
        <f>IF($B201="","",ROUND(SUMIFS(采购单!$L$4:$L$2003,采购单!$D$4:$D$2003,$B201,采购单!$F$4:$F$2003,"成本-车运")+SUMIFS(生产安装!$J$4:$J$1203,生产安装!$C$4:$C$1203,$B201,生产安装!$E$4:$E$1203,"成本-车运")+SUMIFS(资金日记账!$K$4:$K$2503,资金日记账!$G$4:$G$2503,$B201,资金日记账!$F$4:$F$2503,"成本-车运")-SUMIFS(资金日记账!$J$4:$J$2503,资金日记账!$G$4:$G$2503,$B201,资金日记账!$F$4:$F$2503,"成本-车运"),2))</f>
        <v/>
      </c>
      <c r="P201" s="19">
        <f>IF($B201="","",ROUND(SUMIFS(采购单!$L$4:$L$2003,采购单!$D$4:$D$2003,$B201,采购单!$F$4:$F$2003,"成本-其他")+SUMIFS(生产安装!$J$4:$J$1203,生产安装!$C$4:$C$1203,$B201,生产安装!$E$4:$E$1203,"成本-其他")+SUMIFS(资金日记账!$K$4:$K$2503,资金日记账!$G$4:$G$2503,$B201,资金日记账!$F$4:$F$2503,"成本-其他")-SUMIFS(资金日记账!$J$4:$J$2503,资金日记账!$G$4:$G$2503,$B201,资金日记账!$F$4:$F$2503,"成本-其他"),2))</f>
        <v/>
      </c>
      <c r="Q201" s="19">
        <f>IF($B201="","",ROUND(SUM($L201:$P201),2))</f>
        <v/>
      </c>
      <c r="R201" s="19">
        <f>IF($B201="","",ROUND($I201-$Q201,2))</f>
        <v/>
      </c>
      <c r="S201" s="33">
        <f>IF($B201="","",IF(ROUND($I201,2)=0,"",ROUND($R201/$I201,4)))</f>
        <v/>
      </c>
      <c r="T201" s="22">
        <f>IF($B201="","",IF($G201="",0,YEAR($G201)*100+MONTH($G201)))</f>
        <v/>
      </c>
      <c r="U201" s="17">
        <f>IF($B201="","",IF(项目台账!$R200="","",项目台账!$R200))</f>
        <v/>
      </c>
    </row>
    <row r="202">
      <c r="A202" s="17">
        <f>IF(项目台账!$B201="","",项目台账!$A201)</f>
        <v/>
      </c>
      <c r="B202" s="17">
        <f>IF(项目台账!$B201="","",项目台账!$B201)</f>
        <v/>
      </c>
      <c r="C202" s="17">
        <f>IF($B202="","",IF(项目台账!$C201="","",项目台账!$C201))</f>
        <v/>
      </c>
      <c r="D202" s="17">
        <f>IF($B202="","",IF(项目台账!$D201="","",项目台账!$D201))</f>
        <v/>
      </c>
      <c r="E202" s="17">
        <f>IF($B202="","",IF(项目台账!$E201="","",项目台账!$E201))</f>
        <v/>
      </c>
      <c r="F202" s="23">
        <f>IF($B202="","",IF(项目台账!$F201="","",项目台账!$F201))</f>
        <v/>
      </c>
      <c r="G202" s="23">
        <f>IF($B202="","",IF(项目台账!$J201="","",项目台账!$J201))</f>
        <v/>
      </c>
      <c r="H202" s="17">
        <f>IF($B202="","",IF(项目台账!$Q201="","",项目台账!$Q201))</f>
        <v/>
      </c>
      <c r="I202" s="19">
        <f>IF($B202="","",项目台账!$M201)</f>
        <v/>
      </c>
      <c r="J202" s="19">
        <f>IF($B202="","",项目台账!$O201)</f>
        <v/>
      </c>
      <c r="K202" s="19">
        <f>IF($B202="","",项目台账!$P201)</f>
        <v/>
      </c>
      <c r="L202" s="19">
        <f>IF($B202="","",ROUND(SUMIFS(采购单!$L$4:$L$2003,采购单!$D$4:$D$2003,$B202,采购单!$F$4:$F$2003,"成本-主材")+SUMIFS(生产安装!$J$4:$J$1203,生产安装!$C$4:$C$1203,$B202,生产安装!$E$4:$E$1203,"成本-主材")+SUMIFS(资金日记账!$K$4:$K$2503,资金日记账!$G$4:$G$2503,$B202,资金日记账!$F$4:$F$2503,"成本-主材")-SUMIFS(资金日记账!$J$4:$J$2503,资金日记账!$G$4:$G$2503,$B202,资金日记账!$F$4:$F$2503,"成本-主材"),2))</f>
        <v/>
      </c>
      <c r="M202" s="19">
        <f>IF($B202="","",ROUND(SUMIFS(采购单!$L$4:$L$2003,采购单!$D$4:$D$2003,$B202,采购单!$F$4:$F$2003,"成本-辅材")+SUMIFS(生产安装!$J$4:$J$1203,生产安装!$C$4:$C$1203,$B202,生产安装!$E$4:$E$1203,"成本-辅材")+SUMIFS(资金日记账!$K$4:$K$2503,资金日记账!$G$4:$G$2503,$B202,资金日记账!$F$4:$F$2503,"成本-辅材")-SUMIFS(资金日记账!$J$4:$J$2503,资金日记账!$G$4:$G$2503,$B202,资金日记账!$F$4:$F$2503,"成本-辅材"),2))</f>
        <v/>
      </c>
      <c r="N202" s="19">
        <f>IF($B202="","",ROUND(SUMIFS(采购单!$L$4:$L$2003,采购单!$D$4:$D$2003,$B202,采购单!$F$4:$F$2003,"成本-人工")+SUMIFS(生产安装!$J$4:$J$1203,生产安装!$C$4:$C$1203,$B202,生产安装!$E$4:$E$1203,"成本-人工")+SUMIFS(资金日记账!$K$4:$K$2503,资金日记账!$G$4:$G$2503,$B202,资金日记账!$F$4:$F$2503,"成本-人工")-SUMIFS(资金日记账!$J$4:$J$2503,资金日记账!$G$4:$G$2503,$B202,资金日记账!$F$4:$F$2503,"成本-人工"),2))</f>
        <v/>
      </c>
      <c r="O202" s="19">
        <f>IF($B202="","",ROUND(SUMIFS(采购单!$L$4:$L$2003,采购单!$D$4:$D$2003,$B202,采购单!$F$4:$F$2003,"成本-车运")+SUMIFS(生产安装!$J$4:$J$1203,生产安装!$C$4:$C$1203,$B202,生产安装!$E$4:$E$1203,"成本-车运")+SUMIFS(资金日记账!$K$4:$K$2503,资金日记账!$G$4:$G$2503,$B202,资金日记账!$F$4:$F$2503,"成本-车运")-SUMIFS(资金日记账!$J$4:$J$2503,资金日记账!$G$4:$G$2503,$B202,资金日记账!$F$4:$F$2503,"成本-车运"),2))</f>
        <v/>
      </c>
      <c r="P202" s="19">
        <f>IF($B202="","",ROUND(SUMIFS(采购单!$L$4:$L$2003,采购单!$D$4:$D$2003,$B202,采购单!$F$4:$F$2003,"成本-其他")+SUMIFS(生产安装!$J$4:$J$1203,生产安装!$C$4:$C$1203,$B202,生产安装!$E$4:$E$1203,"成本-其他")+SUMIFS(资金日记账!$K$4:$K$2503,资金日记账!$G$4:$G$2503,$B202,资金日记账!$F$4:$F$2503,"成本-其他")-SUMIFS(资金日记账!$J$4:$J$2503,资金日记账!$G$4:$G$2503,$B202,资金日记账!$F$4:$F$2503,"成本-其他"),2))</f>
        <v/>
      </c>
      <c r="Q202" s="19">
        <f>IF($B202="","",ROUND(SUM($L202:$P202),2))</f>
        <v/>
      </c>
      <c r="R202" s="19">
        <f>IF($B202="","",ROUND($I202-$Q202,2))</f>
        <v/>
      </c>
      <c r="S202" s="33">
        <f>IF($B202="","",IF(ROUND($I202,2)=0,"",ROUND($R202/$I202,4)))</f>
        <v/>
      </c>
      <c r="T202" s="22">
        <f>IF($B202="","",IF($G202="",0,YEAR($G202)*100+MONTH($G202)))</f>
        <v/>
      </c>
      <c r="U202" s="17">
        <f>IF($B202="","",IF(项目台账!$R201="","",项目台账!$R201))</f>
        <v/>
      </c>
    </row>
    <row r="203">
      <c r="A203" s="17">
        <f>IF(项目台账!$B202="","",项目台账!$A202)</f>
        <v/>
      </c>
      <c r="B203" s="17">
        <f>IF(项目台账!$B202="","",项目台账!$B202)</f>
        <v/>
      </c>
      <c r="C203" s="17">
        <f>IF($B203="","",IF(项目台账!$C202="","",项目台账!$C202))</f>
        <v/>
      </c>
      <c r="D203" s="17">
        <f>IF($B203="","",IF(项目台账!$D202="","",项目台账!$D202))</f>
        <v/>
      </c>
      <c r="E203" s="17">
        <f>IF($B203="","",IF(项目台账!$E202="","",项目台账!$E202))</f>
        <v/>
      </c>
      <c r="F203" s="23">
        <f>IF($B203="","",IF(项目台账!$F202="","",项目台账!$F202))</f>
        <v/>
      </c>
      <c r="G203" s="23">
        <f>IF($B203="","",IF(项目台账!$J202="","",项目台账!$J202))</f>
        <v/>
      </c>
      <c r="H203" s="17">
        <f>IF($B203="","",IF(项目台账!$Q202="","",项目台账!$Q202))</f>
        <v/>
      </c>
      <c r="I203" s="19">
        <f>IF($B203="","",项目台账!$M202)</f>
        <v/>
      </c>
      <c r="J203" s="19">
        <f>IF($B203="","",项目台账!$O202)</f>
        <v/>
      </c>
      <c r="K203" s="19">
        <f>IF($B203="","",项目台账!$P202)</f>
        <v/>
      </c>
      <c r="L203" s="19">
        <f>IF($B203="","",ROUND(SUMIFS(采购单!$L$4:$L$2003,采购单!$D$4:$D$2003,$B203,采购单!$F$4:$F$2003,"成本-主材")+SUMIFS(生产安装!$J$4:$J$1203,生产安装!$C$4:$C$1203,$B203,生产安装!$E$4:$E$1203,"成本-主材")+SUMIFS(资金日记账!$K$4:$K$2503,资金日记账!$G$4:$G$2503,$B203,资金日记账!$F$4:$F$2503,"成本-主材")-SUMIFS(资金日记账!$J$4:$J$2503,资金日记账!$G$4:$G$2503,$B203,资金日记账!$F$4:$F$2503,"成本-主材"),2))</f>
        <v/>
      </c>
      <c r="M203" s="19">
        <f>IF($B203="","",ROUND(SUMIFS(采购单!$L$4:$L$2003,采购单!$D$4:$D$2003,$B203,采购单!$F$4:$F$2003,"成本-辅材")+SUMIFS(生产安装!$J$4:$J$1203,生产安装!$C$4:$C$1203,$B203,生产安装!$E$4:$E$1203,"成本-辅材")+SUMIFS(资金日记账!$K$4:$K$2503,资金日记账!$G$4:$G$2503,$B203,资金日记账!$F$4:$F$2503,"成本-辅材")-SUMIFS(资金日记账!$J$4:$J$2503,资金日记账!$G$4:$G$2503,$B203,资金日记账!$F$4:$F$2503,"成本-辅材"),2))</f>
        <v/>
      </c>
      <c r="N203" s="19">
        <f>IF($B203="","",ROUND(SUMIFS(采购单!$L$4:$L$2003,采购单!$D$4:$D$2003,$B203,采购单!$F$4:$F$2003,"成本-人工")+SUMIFS(生产安装!$J$4:$J$1203,生产安装!$C$4:$C$1203,$B203,生产安装!$E$4:$E$1203,"成本-人工")+SUMIFS(资金日记账!$K$4:$K$2503,资金日记账!$G$4:$G$2503,$B203,资金日记账!$F$4:$F$2503,"成本-人工")-SUMIFS(资金日记账!$J$4:$J$2503,资金日记账!$G$4:$G$2503,$B203,资金日记账!$F$4:$F$2503,"成本-人工"),2))</f>
        <v/>
      </c>
      <c r="O203" s="19">
        <f>IF($B203="","",ROUND(SUMIFS(采购单!$L$4:$L$2003,采购单!$D$4:$D$2003,$B203,采购单!$F$4:$F$2003,"成本-车运")+SUMIFS(生产安装!$J$4:$J$1203,生产安装!$C$4:$C$1203,$B203,生产安装!$E$4:$E$1203,"成本-车运")+SUMIFS(资金日记账!$K$4:$K$2503,资金日记账!$G$4:$G$2503,$B203,资金日记账!$F$4:$F$2503,"成本-车运")-SUMIFS(资金日记账!$J$4:$J$2503,资金日记账!$G$4:$G$2503,$B203,资金日记账!$F$4:$F$2503,"成本-车运"),2))</f>
        <v/>
      </c>
      <c r="P203" s="19">
        <f>IF($B203="","",ROUND(SUMIFS(采购单!$L$4:$L$2003,采购单!$D$4:$D$2003,$B203,采购单!$F$4:$F$2003,"成本-其他")+SUMIFS(生产安装!$J$4:$J$1203,生产安装!$C$4:$C$1203,$B203,生产安装!$E$4:$E$1203,"成本-其他")+SUMIFS(资金日记账!$K$4:$K$2503,资金日记账!$G$4:$G$2503,$B203,资金日记账!$F$4:$F$2503,"成本-其他")-SUMIFS(资金日记账!$J$4:$J$2503,资金日记账!$G$4:$G$2503,$B203,资金日记账!$F$4:$F$2503,"成本-其他"),2))</f>
        <v/>
      </c>
      <c r="Q203" s="19">
        <f>IF($B203="","",ROUND(SUM($L203:$P203),2))</f>
        <v/>
      </c>
      <c r="R203" s="19">
        <f>IF($B203="","",ROUND($I203-$Q203,2))</f>
        <v/>
      </c>
      <c r="S203" s="33">
        <f>IF($B203="","",IF(ROUND($I203,2)=0,"",ROUND($R203/$I203,4)))</f>
        <v/>
      </c>
      <c r="T203" s="22">
        <f>IF($B203="","",IF($G203="",0,YEAR($G203)*100+MONTH($G203)))</f>
        <v/>
      </c>
      <c r="U203" s="17">
        <f>IF($B203="","",IF(项目台账!$R202="","",项目台账!$R202))</f>
        <v/>
      </c>
    </row>
    <row r="204">
      <c r="A204" s="17">
        <f>IF(项目台账!$B203="","",项目台账!$A203)</f>
        <v/>
      </c>
      <c r="B204" s="17">
        <f>IF(项目台账!$B203="","",项目台账!$B203)</f>
        <v/>
      </c>
      <c r="C204" s="17">
        <f>IF($B204="","",IF(项目台账!$C203="","",项目台账!$C203))</f>
        <v/>
      </c>
      <c r="D204" s="17">
        <f>IF($B204="","",IF(项目台账!$D203="","",项目台账!$D203))</f>
        <v/>
      </c>
      <c r="E204" s="17">
        <f>IF($B204="","",IF(项目台账!$E203="","",项目台账!$E203))</f>
        <v/>
      </c>
      <c r="F204" s="23">
        <f>IF($B204="","",IF(项目台账!$F203="","",项目台账!$F203))</f>
        <v/>
      </c>
      <c r="G204" s="23">
        <f>IF($B204="","",IF(项目台账!$J203="","",项目台账!$J203))</f>
        <v/>
      </c>
      <c r="H204" s="17">
        <f>IF($B204="","",IF(项目台账!$Q203="","",项目台账!$Q203))</f>
        <v/>
      </c>
      <c r="I204" s="19">
        <f>IF($B204="","",项目台账!$M203)</f>
        <v/>
      </c>
      <c r="J204" s="19">
        <f>IF($B204="","",项目台账!$O203)</f>
        <v/>
      </c>
      <c r="K204" s="19">
        <f>IF($B204="","",项目台账!$P203)</f>
        <v/>
      </c>
      <c r="L204" s="19">
        <f>IF($B204="","",ROUND(SUMIFS(采购单!$L$4:$L$2003,采购单!$D$4:$D$2003,$B204,采购单!$F$4:$F$2003,"成本-主材")+SUMIFS(生产安装!$J$4:$J$1203,生产安装!$C$4:$C$1203,$B204,生产安装!$E$4:$E$1203,"成本-主材")+SUMIFS(资金日记账!$K$4:$K$2503,资金日记账!$G$4:$G$2503,$B204,资金日记账!$F$4:$F$2503,"成本-主材")-SUMIFS(资金日记账!$J$4:$J$2503,资金日记账!$G$4:$G$2503,$B204,资金日记账!$F$4:$F$2503,"成本-主材"),2))</f>
        <v/>
      </c>
      <c r="M204" s="19">
        <f>IF($B204="","",ROUND(SUMIFS(采购单!$L$4:$L$2003,采购单!$D$4:$D$2003,$B204,采购单!$F$4:$F$2003,"成本-辅材")+SUMIFS(生产安装!$J$4:$J$1203,生产安装!$C$4:$C$1203,$B204,生产安装!$E$4:$E$1203,"成本-辅材")+SUMIFS(资金日记账!$K$4:$K$2503,资金日记账!$G$4:$G$2503,$B204,资金日记账!$F$4:$F$2503,"成本-辅材")-SUMIFS(资金日记账!$J$4:$J$2503,资金日记账!$G$4:$G$2503,$B204,资金日记账!$F$4:$F$2503,"成本-辅材"),2))</f>
        <v/>
      </c>
      <c r="N204" s="19">
        <f>IF($B204="","",ROUND(SUMIFS(采购单!$L$4:$L$2003,采购单!$D$4:$D$2003,$B204,采购单!$F$4:$F$2003,"成本-人工")+SUMIFS(生产安装!$J$4:$J$1203,生产安装!$C$4:$C$1203,$B204,生产安装!$E$4:$E$1203,"成本-人工")+SUMIFS(资金日记账!$K$4:$K$2503,资金日记账!$G$4:$G$2503,$B204,资金日记账!$F$4:$F$2503,"成本-人工")-SUMIFS(资金日记账!$J$4:$J$2503,资金日记账!$G$4:$G$2503,$B204,资金日记账!$F$4:$F$2503,"成本-人工"),2))</f>
        <v/>
      </c>
      <c r="O204" s="19">
        <f>IF($B204="","",ROUND(SUMIFS(采购单!$L$4:$L$2003,采购单!$D$4:$D$2003,$B204,采购单!$F$4:$F$2003,"成本-车运")+SUMIFS(生产安装!$J$4:$J$1203,生产安装!$C$4:$C$1203,$B204,生产安装!$E$4:$E$1203,"成本-车运")+SUMIFS(资金日记账!$K$4:$K$2503,资金日记账!$G$4:$G$2503,$B204,资金日记账!$F$4:$F$2503,"成本-车运")-SUMIFS(资金日记账!$J$4:$J$2503,资金日记账!$G$4:$G$2503,$B204,资金日记账!$F$4:$F$2503,"成本-车运"),2))</f>
        <v/>
      </c>
      <c r="P204" s="19">
        <f>IF($B204="","",ROUND(SUMIFS(采购单!$L$4:$L$2003,采购单!$D$4:$D$2003,$B204,采购单!$F$4:$F$2003,"成本-其他")+SUMIFS(生产安装!$J$4:$J$1203,生产安装!$C$4:$C$1203,$B204,生产安装!$E$4:$E$1203,"成本-其他")+SUMIFS(资金日记账!$K$4:$K$2503,资金日记账!$G$4:$G$2503,$B204,资金日记账!$F$4:$F$2503,"成本-其他")-SUMIFS(资金日记账!$J$4:$J$2503,资金日记账!$G$4:$G$2503,$B204,资金日记账!$F$4:$F$2503,"成本-其他"),2))</f>
        <v/>
      </c>
      <c r="Q204" s="19">
        <f>IF($B204="","",ROUND(SUM($L204:$P204),2))</f>
        <v/>
      </c>
      <c r="R204" s="19">
        <f>IF($B204="","",ROUND($I204-$Q204,2))</f>
        <v/>
      </c>
      <c r="S204" s="33">
        <f>IF($B204="","",IF(ROUND($I204,2)=0,"",ROUND($R204/$I204,4)))</f>
        <v/>
      </c>
      <c r="T204" s="22">
        <f>IF($B204="","",IF($G204="",0,YEAR($G204)*100+MONTH($G204)))</f>
        <v/>
      </c>
      <c r="U204" s="17">
        <f>IF($B204="","",IF(项目台账!$R203="","",项目台账!$R203))</f>
        <v/>
      </c>
    </row>
    <row r="205">
      <c r="A205" s="17">
        <f>IF(项目台账!$B204="","",项目台账!$A204)</f>
        <v/>
      </c>
      <c r="B205" s="17">
        <f>IF(项目台账!$B204="","",项目台账!$B204)</f>
        <v/>
      </c>
      <c r="C205" s="17">
        <f>IF($B205="","",IF(项目台账!$C204="","",项目台账!$C204))</f>
        <v/>
      </c>
      <c r="D205" s="17">
        <f>IF($B205="","",IF(项目台账!$D204="","",项目台账!$D204))</f>
        <v/>
      </c>
      <c r="E205" s="17">
        <f>IF($B205="","",IF(项目台账!$E204="","",项目台账!$E204))</f>
        <v/>
      </c>
      <c r="F205" s="23">
        <f>IF($B205="","",IF(项目台账!$F204="","",项目台账!$F204))</f>
        <v/>
      </c>
      <c r="G205" s="23">
        <f>IF($B205="","",IF(项目台账!$J204="","",项目台账!$J204))</f>
        <v/>
      </c>
      <c r="H205" s="17">
        <f>IF($B205="","",IF(项目台账!$Q204="","",项目台账!$Q204))</f>
        <v/>
      </c>
      <c r="I205" s="19">
        <f>IF($B205="","",项目台账!$M204)</f>
        <v/>
      </c>
      <c r="J205" s="19">
        <f>IF($B205="","",项目台账!$O204)</f>
        <v/>
      </c>
      <c r="K205" s="19">
        <f>IF($B205="","",项目台账!$P204)</f>
        <v/>
      </c>
      <c r="L205" s="19">
        <f>IF($B205="","",ROUND(SUMIFS(采购单!$L$4:$L$2003,采购单!$D$4:$D$2003,$B205,采购单!$F$4:$F$2003,"成本-主材")+SUMIFS(生产安装!$J$4:$J$1203,生产安装!$C$4:$C$1203,$B205,生产安装!$E$4:$E$1203,"成本-主材")+SUMIFS(资金日记账!$K$4:$K$2503,资金日记账!$G$4:$G$2503,$B205,资金日记账!$F$4:$F$2503,"成本-主材")-SUMIFS(资金日记账!$J$4:$J$2503,资金日记账!$G$4:$G$2503,$B205,资金日记账!$F$4:$F$2503,"成本-主材"),2))</f>
        <v/>
      </c>
      <c r="M205" s="19">
        <f>IF($B205="","",ROUND(SUMIFS(采购单!$L$4:$L$2003,采购单!$D$4:$D$2003,$B205,采购单!$F$4:$F$2003,"成本-辅材")+SUMIFS(生产安装!$J$4:$J$1203,生产安装!$C$4:$C$1203,$B205,生产安装!$E$4:$E$1203,"成本-辅材")+SUMIFS(资金日记账!$K$4:$K$2503,资金日记账!$G$4:$G$2503,$B205,资金日记账!$F$4:$F$2503,"成本-辅材")-SUMIFS(资金日记账!$J$4:$J$2503,资金日记账!$G$4:$G$2503,$B205,资金日记账!$F$4:$F$2503,"成本-辅材"),2))</f>
        <v/>
      </c>
      <c r="N205" s="19">
        <f>IF($B205="","",ROUND(SUMIFS(采购单!$L$4:$L$2003,采购单!$D$4:$D$2003,$B205,采购单!$F$4:$F$2003,"成本-人工")+SUMIFS(生产安装!$J$4:$J$1203,生产安装!$C$4:$C$1203,$B205,生产安装!$E$4:$E$1203,"成本-人工")+SUMIFS(资金日记账!$K$4:$K$2503,资金日记账!$G$4:$G$2503,$B205,资金日记账!$F$4:$F$2503,"成本-人工")-SUMIFS(资金日记账!$J$4:$J$2503,资金日记账!$G$4:$G$2503,$B205,资金日记账!$F$4:$F$2503,"成本-人工"),2))</f>
        <v/>
      </c>
      <c r="O205" s="19">
        <f>IF($B205="","",ROUND(SUMIFS(采购单!$L$4:$L$2003,采购单!$D$4:$D$2003,$B205,采购单!$F$4:$F$2003,"成本-车运")+SUMIFS(生产安装!$J$4:$J$1203,生产安装!$C$4:$C$1203,$B205,生产安装!$E$4:$E$1203,"成本-车运")+SUMIFS(资金日记账!$K$4:$K$2503,资金日记账!$G$4:$G$2503,$B205,资金日记账!$F$4:$F$2503,"成本-车运")-SUMIFS(资金日记账!$J$4:$J$2503,资金日记账!$G$4:$G$2503,$B205,资金日记账!$F$4:$F$2503,"成本-车运"),2))</f>
        <v/>
      </c>
      <c r="P205" s="19">
        <f>IF($B205="","",ROUND(SUMIFS(采购单!$L$4:$L$2003,采购单!$D$4:$D$2003,$B205,采购单!$F$4:$F$2003,"成本-其他")+SUMIFS(生产安装!$J$4:$J$1203,生产安装!$C$4:$C$1203,$B205,生产安装!$E$4:$E$1203,"成本-其他")+SUMIFS(资金日记账!$K$4:$K$2503,资金日记账!$G$4:$G$2503,$B205,资金日记账!$F$4:$F$2503,"成本-其他")-SUMIFS(资金日记账!$J$4:$J$2503,资金日记账!$G$4:$G$2503,$B205,资金日记账!$F$4:$F$2503,"成本-其他"),2))</f>
        <v/>
      </c>
      <c r="Q205" s="19">
        <f>IF($B205="","",ROUND(SUM($L205:$P205),2))</f>
        <v/>
      </c>
      <c r="R205" s="19">
        <f>IF($B205="","",ROUND($I205-$Q205,2))</f>
        <v/>
      </c>
      <c r="S205" s="33">
        <f>IF($B205="","",IF(ROUND($I205,2)=0,"",ROUND($R205/$I205,4)))</f>
        <v/>
      </c>
      <c r="T205" s="22">
        <f>IF($B205="","",IF($G205="",0,YEAR($G205)*100+MONTH($G205)))</f>
        <v/>
      </c>
      <c r="U205" s="17">
        <f>IF($B205="","",IF(项目台账!$R204="","",项目台账!$R204))</f>
        <v/>
      </c>
    </row>
    <row r="206">
      <c r="A206" s="17">
        <f>IF(项目台账!$B205="","",项目台账!$A205)</f>
        <v/>
      </c>
      <c r="B206" s="17">
        <f>IF(项目台账!$B205="","",项目台账!$B205)</f>
        <v/>
      </c>
      <c r="C206" s="17">
        <f>IF($B206="","",IF(项目台账!$C205="","",项目台账!$C205))</f>
        <v/>
      </c>
      <c r="D206" s="17">
        <f>IF($B206="","",IF(项目台账!$D205="","",项目台账!$D205))</f>
        <v/>
      </c>
      <c r="E206" s="17">
        <f>IF($B206="","",IF(项目台账!$E205="","",项目台账!$E205))</f>
        <v/>
      </c>
      <c r="F206" s="23">
        <f>IF($B206="","",IF(项目台账!$F205="","",项目台账!$F205))</f>
        <v/>
      </c>
      <c r="G206" s="23">
        <f>IF($B206="","",IF(项目台账!$J205="","",项目台账!$J205))</f>
        <v/>
      </c>
      <c r="H206" s="17">
        <f>IF($B206="","",IF(项目台账!$Q205="","",项目台账!$Q205))</f>
        <v/>
      </c>
      <c r="I206" s="19">
        <f>IF($B206="","",项目台账!$M205)</f>
        <v/>
      </c>
      <c r="J206" s="19">
        <f>IF($B206="","",项目台账!$O205)</f>
        <v/>
      </c>
      <c r="K206" s="19">
        <f>IF($B206="","",项目台账!$P205)</f>
        <v/>
      </c>
      <c r="L206" s="19">
        <f>IF($B206="","",ROUND(SUMIFS(采购单!$L$4:$L$2003,采购单!$D$4:$D$2003,$B206,采购单!$F$4:$F$2003,"成本-主材")+SUMIFS(生产安装!$J$4:$J$1203,生产安装!$C$4:$C$1203,$B206,生产安装!$E$4:$E$1203,"成本-主材")+SUMIFS(资金日记账!$K$4:$K$2503,资金日记账!$G$4:$G$2503,$B206,资金日记账!$F$4:$F$2503,"成本-主材")-SUMIFS(资金日记账!$J$4:$J$2503,资金日记账!$G$4:$G$2503,$B206,资金日记账!$F$4:$F$2503,"成本-主材"),2))</f>
        <v/>
      </c>
      <c r="M206" s="19">
        <f>IF($B206="","",ROUND(SUMIFS(采购单!$L$4:$L$2003,采购单!$D$4:$D$2003,$B206,采购单!$F$4:$F$2003,"成本-辅材")+SUMIFS(生产安装!$J$4:$J$1203,生产安装!$C$4:$C$1203,$B206,生产安装!$E$4:$E$1203,"成本-辅材")+SUMIFS(资金日记账!$K$4:$K$2503,资金日记账!$G$4:$G$2503,$B206,资金日记账!$F$4:$F$2503,"成本-辅材")-SUMIFS(资金日记账!$J$4:$J$2503,资金日记账!$G$4:$G$2503,$B206,资金日记账!$F$4:$F$2503,"成本-辅材"),2))</f>
        <v/>
      </c>
      <c r="N206" s="19">
        <f>IF($B206="","",ROUND(SUMIFS(采购单!$L$4:$L$2003,采购单!$D$4:$D$2003,$B206,采购单!$F$4:$F$2003,"成本-人工")+SUMIFS(生产安装!$J$4:$J$1203,生产安装!$C$4:$C$1203,$B206,生产安装!$E$4:$E$1203,"成本-人工")+SUMIFS(资金日记账!$K$4:$K$2503,资金日记账!$G$4:$G$2503,$B206,资金日记账!$F$4:$F$2503,"成本-人工")-SUMIFS(资金日记账!$J$4:$J$2503,资金日记账!$G$4:$G$2503,$B206,资金日记账!$F$4:$F$2503,"成本-人工"),2))</f>
        <v/>
      </c>
      <c r="O206" s="19">
        <f>IF($B206="","",ROUND(SUMIFS(采购单!$L$4:$L$2003,采购单!$D$4:$D$2003,$B206,采购单!$F$4:$F$2003,"成本-车运")+SUMIFS(生产安装!$J$4:$J$1203,生产安装!$C$4:$C$1203,$B206,生产安装!$E$4:$E$1203,"成本-车运")+SUMIFS(资金日记账!$K$4:$K$2503,资金日记账!$G$4:$G$2503,$B206,资金日记账!$F$4:$F$2503,"成本-车运")-SUMIFS(资金日记账!$J$4:$J$2503,资金日记账!$G$4:$G$2503,$B206,资金日记账!$F$4:$F$2503,"成本-车运"),2))</f>
        <v/>
      </c>
      <c r="P206" s="19">
        <f>IF($B206="","",ROUND(SUMIFS(采购单!$L$4:$L$2003,采购单!$D$4:$D$2003,$B206,采购单!$F$4:$F$2003,"成本-其他")+SUMIFS(生产安装!$J$4:$J$1203,生产安装!$C$4:$C$1203,$B206,生产安装!$E$4:$E$1203,"成本-其他")+SUMIFS(资金日记账!$K$4:$K$2503,资金日记账!$G$4:$G$2503,$B206,资金日记账!$F$4:$F$2503,"成本-其他")-SUMIFS(资金日记账!$J$4:$J$2503,资金日记账!$G$4:$G$2503,$B206,资金日记账!$F$4:$F$2503,"成本-其他"),2))</f>
        <v/>
      </c>
      <c r="Q206" s="19">
        <f>IF($B206="","",ROUND(SUM($L206:$P206),2))</f>
        <v/>
      </c>
      <c r="R206" s="19">
        <f>IF($B206="","",ROUND($I206-$Q206,2))</f>
        <v/>
      </c>
      <c r="S206" s="33">
        <f>IF($B206="","",IF(ROUND($I206,2)=0,"",ROUND($R206/$I206,4)))</f>
        <v/>
      </c>
      <c r="T206" s="22">
        <f>IF($B206="","",IF($G206="",0,YEAR($G206)*100+MONTH($G206)))</f>
        <v/>
      </c>
      <c r="U206" s="17">
        <f>IF($B206="","",IF(项目台账!$R205="","",项目台账!$R205))</f>
        <v/>
      </c>
    </row>
    <row r="207">
      <c r="A207" s="17">
        <f>IF(项目台账!$B206="","",项目台账!$A206)</f>
        <v/>
      </c>
      <c r="B207" s="17">
        <f>IF(项目台账!$B206="","",项目台账!$B206)</f>
        <v/>
      </c>
      <c r="C207" s="17">
        <f>IF($B207="","",IF(项目台账!$C206="","",项目台账!$C206))</f>
        <v/>
      </c>
      <c r="D207" s="17">
        <f>IF($B207="","",IF(项目台账!$D206="","",项目台账!$D206))</f>
        <v/>
      </c>
      <c r="E207" s="17">
        <f>IF($B207="","",IF(项目台账!$E206="","",项目台账!$E206))</f>
        <v/>
      </c>
      <c r="F207" s="23">
        <f>IF($B207="","",IF(项目台账!$F206="","",项目台账!$F206))</f>
        <v/>
      </c>
      <c r="G207" s="23">
        <f>IF($B207="","",IF(项目台账!$J206="","",项目台账!$J206))</f>
        <v/>
      </c>
      <c r="H207" s="17">
        <f>IF($B207="","",IF(项目台账!$Q206="","",项目台账!$Q206))</f>
        <v/>
      </c>
      <c r="I207" s="19">
        <f>IF($B207="","",项目台账!$M206)</f>
        <v/>
      </c>
      <c r="J207" s="19">
        <f>IF($B207="","",项目台账!$O206)</f>
        <v/>
      </c>
      <c r="K207" s="19">
        <f>IF($B207="","",项目台账!$P206)</f>
        <v/>
      </c>
      <c r="L207" s="19">
        <f>IF($B207="","",ROUND(SUMIFS(采购单!$L$4:$L$2003,采购单!$D$4:$D$2003,$B207,采购单!$F$4:$F$2003,"成本-主材")+SUMIFS(生产安装!$J$4:$J$1203,生产安装!$C$4:$C$1203,$B207,生产安装!$E$4:$E$1203,"成本-主材")+SUMIFS(资金日记账!$K$4:$K$2503,资金日记账!$G$4:$G$2503,$B207,资金日记账!$F$4:$F$2503,"成本-主材")-SUMIFS(资金日记账!$J$4:$J$2503,资金日记账!$G$4:$G$2503,$B207,资金日记账!$F$4:$F$2503,"成本-主材"),2))</f>
        <v/>
      </c>
      <c r="M207" s="19">
        <f>IF($B207="","",ROUND(SUMIFS(采购单!$L$4:$L$2003,采购单!$D$4:$D$2003,$B207,采购单!$F$4:$F$2003,"成本-辅材")+SUMIFS(生产安装!$J$4:$J$1203,生产安装!$C$4:$C$1203,$B207,生产安装!$E$4:$E$1203,"成本-辅材")+SUMIFS(资金日记账!$K$4:$K$2503,资金日记账!$G$4:$G$2503,$B207,资金日记账!$F$4:$F$2503,"成本-辅材")-SUMIFS(资金日记账!$J$4:$J$2503,资金日记账!$G$4:$G$2503,$B207,资金日记账!$F$4:$F$2503,"成本-辅材"),2))</f>
        <v/>
      </c>
      <c r="N207" s="19">
        <f>IF($B207="","",ROUND(SUMIFS(采购单!$L$4:$L$2003,采购单!$D$4:$D$2003,$B207,采购单!$F$4:$F$2003,"成本-人工")+SUMIFS(生产安装!$J$4:$J$1203,生产安装!$C$4:$C$1203,$B207,生产安装!$E$4:$E$1203,"成本-人工")+SUMIFS(资金日记账!$K$4:$K$2503,资金日记账!$G$4:$G$2503,$B207,资金日记账!$F$4:$F$2503,"成本-人工")-SUMIFS(资金日记账!$J$4:$J$2503,资金日记账!$G$4:$G$2503,$B207,资金日记账!$F$4:$F$2503,"成本-人工"),2))</f>
        <v/>
      </c>
      <c r="O207" s="19">
        <f>IF($B207="","",ROUND(SUMIFS(采购单!$L$4:$L$2003,采购单!$D$4:$D$2003,$B207,采购单!$F$4:$F$2003,"成本-车运")+SUMIFS(生产安装!$J$4:$J$1203,生产安装!$C$4:$C$1203,$B207,生产安装!$E$4:$E$1203,"成本-车运")+SUMIFS(资金日记账!$K$4:$K$2503,资金日记账!$G$4:$G$2503,$B207,资金日记账!$F$4:$F$2503,"成本-车运")-SUMIFS(资金日记账!$J$4:$J$2503,资金日记账!$G$4:$G$2503,$B207,资金日记账!$F$4:$F$2503,"成本-车运"),2))</f>
        <v/>
      </c>
      <c r="P207" s="19">
        <f>IF($B207="","",ROUND(SUMIFS(采购单!$L$4:$L$2003,采购单!$D$4:$D$2003,$B207,采购单!$F$4:$F$2003,"成本-其他")+SUMIFS(生产安装!$J$4:$J$1203,生产安装!$C$4:$C$1203,$B207,生产安装!$E$4:$E$1203,"成本-其他")+SUMIFS(资金日记账!$K$4:$K$2503,资金日记账!$G$4:$G$2503,$B207,资金日记账!$F$4:$F$2503,"成本-其他")-SUMIFS(资金日记账!$J$4:$J$2503,资金日记账!$G$4:$G$2503,$B207,资金日记账!$F$4:$F$2503,"成本-其他"),2))</f>
        <v/>
      </c>
      <c r="Q207" s="19">
        <f>IF($B207="","",ROUND(SUM($L207:$P207),2))</f>
        <v/>
      </c>
      <c r="R207" s="19">
        <f>IF($B207="","",ROUND($I207-$Q207,2))</f>
        <v/>
      </c>
      <c r="S207" s="33">
        <f>IF($B207="","",IF(ROUND($I207,2)=0,"",ROUND($R207/$I207,4)))</f>
        <v/>
      </c>
      <c r="T207" s="22">
        <f>IF($B207="","",IF($G207="",0,YEAR($G207)*100+MONTH($G207)))</f>
        <v/>
      </c>
      <c r="U207" s="17">
        <f>IF($B207="","",IF(项目台账!$R206="","",项目台账!$R206))</f>
        <v/>
      </c>
    </row>
    <row r="208">
      <c r="A208" s="17">
        <f>IF(项目台账!$B207="","",项目台账!$A207)</f>
        <v/>
      </c>
      <c r="B208" s="17">
        <f>IF(项目台账!$B207="","",项目台账!$B207)</f>
        <v/>
      </c>
      <c r="C208" s="17">
        <f>IF($B208="","",IF(项目台账!$C207="","",项目台账!$C207))</f>
        <v/>
      </c>
      <c r="D208" s="17">
        <f>IF($B208="","",IF(项目台账!$D207="","",项目台账!$D207))</f>
        <v/>
      </c>
      <c r="E208" s="17">
        <f>IF($B208="","",IF(项目台账!$E207="","",项目台账!$E207))</f>
        <v/>
      </c>
      <c r="F208" s="23">
        <f>IF($B208="","",IF(项目台账!$F207="","",项目台账!$F207))</f>
        <v/>
      </c>
      <c r="G208" s="23">
        <f>IF($B208="","",IF(项目台账!$J207="","",项目台账!$J207))</f>
        <v/>
      </c>
      <c r="H208" s="17">
        <f>IF($B208="","",IF(项目台账!$Q207="","",项目台账!$Q207))</f>
        <v/>
      </c>
      <c r="I208" s="19">
        <f>IF($B208="","",项目台账!$M207)</f>
        <v/>
      </c>
      <c r="J208" s="19">
        <f>IF($B208="","",项目台账!$O207)</f>
        <v/>
      </c>
      <c r="K208" s="19">
        <f>IF($B208="","",项目台账!$P207)</f>
        <v/>
      </c>
      <c r="L208" s="19">
        <f>IF($B208="","",ROUND(SUMIFS(采购单!$L$4:$L$2003,采购单!$D$4:$D$2003,$B208,采购单!$F$4:$F$2003,"成本-主材")+SUMIFS(生产安装!$J$4:$J$1203,生产安装!$C$4:$C$1203,$B208,生产安装!$E$4:$E$1203,"成本-主材")+SUMIFS(资金日记账!$K$4:$K$2503,资金日记账!$G$4:$G$2503,$B208,资金日记账!$F$4:$F$2503,"成本-主材")-SUMIFS(资金日记账!$J$4:$J$2503,资金日记账!$G$4:$G$2503,$B208,资金日记账!$F$4:$F$2503,"成本-主材"),2))</f>
        <v/>
      </c>
      <c r="M208" s="19">
        <f>IF($B208="","",ROUND(SUMIFS(采购单!$L$4:$L$2003,采购单!$D$4:$D$2003,$B208,采购单!$F$4:$F$2003,"成本-辅材")+SUMIFS(生产安装!$J$4:$J$1203,生产安装!$C$4:$C$1203,$B208,生产安装!$E$4:$E$1203,"成本-辅材")+SUMIFS(资金日记账!$K$4:$K$2503,资金日记账!$G$4:$G$2503,$B208,资金日记账!$F$4:$F$2503,"成本-辅材")-SUMIFS(资金日记账!$J$4:$J$2503,资金日记账!$G$4:$G$2503,$B208,资金日记账!$F$4:$F$2503,"成本-辅材"),2))</f>
        <v/>
      </c>
      <c r="N208" s="19">
        <f>IF($B208="","",ROUND(SUMIFS(采购单!$L$4:$L$2003,采购单!$D$4:$D$2003,$B208,采购单!$F$4:$F$2003,"成本-人工")+SUMIFS(生产安装!$J$4:$J$1203,生产安装!$C$4:$C$1203,$B208,生产安装!$E$4:$E$1203,"成本-人工")+SUMIFS(资金日记账!$K$4:$K$2503,资金日记账!$G$4:$G$2503,$B208,资金日记账!$F$4:$F$2503,"成本-人工")-SUMIFS(资金日记账!$J$4:$J$2503,资金日记账!$G$4:$G$2503,$B208,资金日记账!$F$4:$F$2503,"成本-人工"),2))</f>
        <v/>
      </c>
      <c r="O208" s="19">
        <f>IF($B208="","",ROUND(SUMIFS(采购单!$L$4:$L$2003,采购单!$D$4:$D$2003,$B208,采购单!$F$4:$F$2003,"成本-车运")+SUMIFS(生产安装!$J$4:$J$1203,生产安装!$C$4:$C$1203,$B208,生产安装!$E$4:$E$1203,"成本-车运")+SUMIFS(资金日记账!$K$4:$K$2503,资金日记账!$G$4:$G$2503,$B208,资金日记账!$F$4:$F$2503,"成本-车运")-SUMIFS(资金日记账!$J$4:$J$2503,资金日记账!$G$4:$G$2503,$B208,资金日记账!$F$4:$F$2503,"成本-车运"),2))</f>
        <v/>
      </c>
      <c r="P208" s="19">
        <f>IF($B208="","",ROUND(SUMIFS(采购单!$L$4:$L$2003,采购单!$D$4:$D$2003,$B208,采购单!$F$4:$F$2003,"成本-其他")+SUMIFS(生产安装!$J$4:$J$1203,生产安装!$C$4:$C$1203,$B208,生产安装!$E$4:$E$1203,"成本-其他")+SUMIFS(资金日记账!$K$4:$K$2503,资金日记账!$G$4:$G$2503,$B208,资金日记账!$F$4:$F$2503,"成本-其他")-SUMIFS(资金日记账!$J$4:$J$2503,资金日记账!$G$4:$G$2503,$B208,资金日记账!$F$4:$F$2503,"成本-其他"),2))</f>
        <v/>
      </c>
      <c r="Q208" s="19">
        <f>IF($B208="","",ROUND(SUM($L208:$P208),2))</f>
        <v/>
      </c>
      <c r="R208" s="19">
        <f>IF($B208="","",ROUND($I208-$Q208,2))</f>
        <v/>
      </c>
      <c r="S208" s="33">
        <f>IF($B208="","",IF(ROUND($I208,2)=0,"",ROUND($R208/$I208,4)))</f>
        <v/>
      </c>
      <c r="T208" s="22">
        <f>IF($B208="","",IF($G208="",0,YEAR($G208)*100+MONTH($G208)))</f>
        <v/>
      </c>
      <c r="U208" s="17">
        <f>IF($B208="","",IF(项目台账!$R207="","",项目台账!$R207))</f>
        <v/>
      </c>
    </row>
    <row r="209">
      <c r="A209" s="17">
        <f>IF(项目台账!$B208="","",项目台账!$A208)</f>
        <v/>
      </c>
      <c r="B209" s="17">
        <f>IF(项目台账!$B208="","",项目台账!$B208)</f>
        <v/>
      </c>
      <c r="C209" s="17">
        <f>IF($B209="","",IF(项目台账!$C208="","",项目台账!$C208))</f>
        <v/>
      </c>
      <c r="D209" s="17">
        <f>IF($B209="","",IF(项目台账!$D208="","",项目台账!$D208))</f>
        <v/>
      </c>
      <c r="E209" s="17">
        <f>IF($B209="","",IF(项目台账!$E208="","",项目台账!$E208))</f>
        <v/>
      </c>
      <c r="F209" s="23">
        <f>IF($B209="","",IF(项目台账!$F208="","",项目台账!$F208))</f>
        <v/>
      </c>
      <c r="G209" s="23">
        <f>IF($B209="","",IF(项目台账!$J208="","",项目台账!$J208))</f>
        <v/>
      </c>
      <c r="H209" s="17">
        <f>IF($B209="","",IF(项目台账!$Q208="","",项目台账!$Q208))</f>
        <v/>
      </c>
      <c r="I209" s="19">
        <f>IF($B209="","",项目台账!$M208)</f>
        <v/>
      </c>
      <c r="J209" s="19">
        <f>IF($B209="","",项目台账!$O208)</f>
        <v/>
      </c>
      <c r="K209" s="19">
        <f>IF($B209="","",项目台账!$P208)</f>
        <v/>
      </c>
      <c r="L209" s="19">
        <f>IF($B209="","",ROUND(SUMIFS(采购单!$L$4:$L$2003,采购单!$D$4:$D$2003,$B209,采购单!$F$4:$F$2003,"成本-主材")+SUMIFS(生产安装!$J$4:$J$1203,生产安装!$C$4:$C$1203,$B209,生产安装!$E$4:$E$1203,"成本-主材")+SUMIFS(资金日记账!$K$4:$K$2503,资金日记账!$G$4:$G$2503,$B209,资金日记账!$F$4:$F$2503,"成本-主材")-SUMIFS(资金日记账!$J$4:$J$2503,资金日记账!$G$4:$G$2503,$B209,资金日记账!$F$4:$F$2503,"成本-主材"),2))</f>
        <v/>
      </c>
      <c r="M209" s="19">
        <f>IF($B209="","",ROUND(SUMIFS(采购单!$L$4:$L$2003,采购单!$D$4:$D$2003,$B209,采购单!$F$4:$F$2003,"成本-辅材")+SUMIFS(生产安装!$J$4:$J$1203,生产安装!$C$4:$C$1203,$B209,生产安装!$E$4:$E$1203,"成本-辅材")+SUMIFS(资金日记账!$K$4:$K$2503,资金日记账!$G$4:$G$2503,$B209,资金日记账!$F$4:$F$2503,"成本-辅材")-SUMIFS(资金日记账!$J$4:$J$2503,资金日记账!$G$4:$G$2503,$B209,资金日记账!$F$4:$F$2503,"成本-辅材"),2))</f>
        <v/>
      </c>
      <c r="N209" s="19">
        <f>IF($B209="","",ROUND(SUMIFS(采购单!$L$4:$L$2003,采购单!$D$4:$D$2003,$B209,采购单!$F$4:$F$2003,"成本-人工")+SUMIFS(生产安装!$J$4:$J$1203,生产安装!$C$4:$C$1203,$B209,生产安装!$E$4:$E$1203,"成本-人工")+SUMIFS(资金日记账!$K$4:$K$2503,资金日记账!$G$4:$G$2503,$B209,资金日记账!$F$4:$F$2503,"成本-人工")-SUMIFS(资金日记账!$J$4:$J$2503,资金日记账!$G$4:$G$2503,$B209,资金日记账!$F$4:$F$2503,"成本-人工"),2))</f>
        <v/>
      </c>
      <c r="O209" s="19">
        <f>IF($B209="","",ROUND(SUMIFS(采购单!$L$4:$L$2003,采购单!$D$4:$D$2003,$B209,采购单!$F$4:$F$2003,"成本-车运")+SUMIFS(生产安装!$J$4:$J$1203,生产安装!$C$4:$C$1203,$B209,生产安装!$E$4:$E$1203,"成本-车运")+SUMIFS(资金日记账!$K$4:$K$2503,资金日记账!$G$4:$G$2503,$B209,资金日记账!$F$4:$F$2503,"成本-车运")-SUMIFS(资金日记账!$J$4:$J$2503,资金日记账!$G$4:$G$2503,$B209,资金日记账!$F$4:$F$2503,"成本-车运"),2))</f>
        <v/>
      </c>
      <c r="P209" s="19">
        <f>IF($B209="","",ROUND(SUMIFS(采购单!$L$4:$L$2003,采购单!$D$4:$D$2003,$B209,采购单!$F$4:$F$2003,"成本-其他")+SUMIFS(生产安装!$J$4:$J$1203,生产安装!$C$4:$C$1203,$B209,生产安装!$E$4:$E$1203,"成本-其他")+SUMIFS(资金日记账!$K$4:$K$2503,资金日记账!$G$4:$G$2503,$B209,资金日记账!$F$4:$F$2503,"成本-其他")-SUMIFS(资金日记账!$J$4:$J$2503,资金日记账!$G$4:$G$2503,$B209,资金日记账!$F$4:$F$2503,"成本-其他"),2))</f>
        <v/>
      </c>
      <c r="Q209" s="19">
        <f>IF($B209="","",ROUND(SUM($L209:$P209),2))</f>
        <v/>
      </c>
      <c r="R209" s="19">
        <f>IF($B209="","",ROUND($I209-$Q209,2))</f>
        <v/>
      </c>
      <c r="S209" s="33">
        <f>IF($B209="","",IF(ROUND($I209,2)=0,"",ROUND($R209/$I209,4)))</f>
        <v/>
      </c>
      <c r="T209" s="22">
        <f>IF($B209="","",IF($G209="",0,YEAR($G209)*100+MONTH($G209)))</f>
        <v/>
      </c>
      <c r="U209" s="17">
        <f>IF($B209="","",IF(项目台账!$R208="","",项目台账!$R208))</f>
        <v/>
      </c>
    </row>
    <row r="210">
      <c r="A210" s="17">
        <f>IF(项目台账!$B209="","",项目台账!$A209)</f>
        <v/>
      </c>
      <c r="B210" s="17">
        <f>IF(项目台账!$B209="","",项目台账!$B209)</f>
        <v/>
      </c>
      <c r="C210" s="17">
        <f>IF($B210="","",IF(项目台账!$C209="","",项目台账!$C209))</f>
        <v/>
      </c>
      <c r="D210" s="17">
        <f>IF($B210="","",IF(项目台账!$D209="","",项目台账!$D209))</f>
        <v/>
      </c>
      <c r="E210" s="17">
        <f>IF($B210="","",IF(项目台账!$E209="","",项目台账!$E209))</f>
        <v/>
      </c>
      <c r="F210" s="23">
        <f>IF($B210="","",IF(项目台账!$F209="","",项目台账!$F209))</f>
        <v/>
      </c>
      <c r="G210" s="23">
        <f>IF($B210="","",IF(项目台账!$J209="","",项目台账!$J209))</f>
        <v/>
      </c>
      <c r="H210" s="17">
        <f>IF($B210="","",IF(项目台账!$Q209="","",项目台账!$Q209))</f>
        <v/>
      </c>
      <c r="I210" s="19">
        <f>IF($B210="","",项目台账!$M209)</f>
        <v/>
      </c>
      <c r="J210" s="19">
        <f>IF($B210="","",项目台账!$O209)</f>
        <v/>
      </c>
      <c r="K210" s="19">
        <f>IF($B210="","",项目台账!$P209)</f>
        <v/>
      </c>
      <c r="L210" s="19">
        <f>IF($B210="","",ROUND(SUMIFS(采购单!$L$4:$L$2003,采购单!$D$4:$D$2003,$B210,采购单!$F$4:$F$2003,"成本-主材")+SUMIFS(生产安装!$J$4:$J$1203,生产安装!$C$4:$C$1203,$B210,生产安装!$E$4:$E$1203,"成本-主材")+SUMIFS(资金日记账!$K$4:$K$2503,资金日记账!$G$4:$G$2503,$B210,资金日记账!$F$4:$F$2503,"成本-主材")-SUMIFS(资金日记账!$J$4:$J$2503,资金日记账!$G$4:$G$2503,$B210,资金日记账!$F$4:$F$2503,"成本-主材"),2))</f>
        <v/>
      </c>
      <c r="M210" s="19">
        <f>IF($B210="","",ROUND(SUMIFS(采购单!$L$4:$L$2003,采购单!$D$4:$D$2003,$B210,采购单!$F$4:$F$2003,"成本-辅材")+SUMIFS(生产安装!$J$4:$J$1203,生产安装!$C$4:$C$1203,$B210,生产安装!$E$4:$E$1203,"成本-辅材")+SUMIFS(资金日记账!$K$4:$K$2503,资金日记账!$G$4:$G$2503,$B210,资金日记账!$F$4:$F$2503,"成本-辅材")-SUMIFS(资金日记账!$J$4:$J$2503,资金日记账!$G$4:$G$2503,$B210,资金日记账!$F$4:$F$2503,"成本-辅材"),2))</f>
        <v/>
      </c>
      <c r="N210" s="19">
        <f>IF($B210="","",ROUND(SUMIFS(采购单!$L$4:$L$2003,采购单!$D$4:$D$2003,$B210,采购单!$F$4:$F$2003,"成本-人工")+SUMIFS(生产安装!$J$4:$J$1203,生产安装!$C$4:$C$1203,$B210,生产安装!$E$4:$E$1203,"成本-人工")+SUMIFS(资金日记账!$K$4:$K$2503,资金日记账!$G$4:$G$2503,$B210,资金日记账!$F$4:$F$2503,"成本-人工")-SUMIFS(资金日记账!$J$4:$J$2503,资金日记账!$G$4:$G$2503,$B210,资金日记账!$F$4:$F$2503,"成本-人工"),2))</f>
        <v/>
      </c>
      <c r="O210" s="19">
        <f>IF($B210="","",ROUND(SUMIFS(采购单!$L$4:$L$2003,采购单!$D$4:$D$2003,$B210,采购单!$F$4:$F$2003,"成本-车运")+SUMIFS(生产安装!$J$4:$J$1203,生产安装!$C$4:$C$1203,$B210,生产安装!$E$4:$E$1203,"成本-车运")+SUMIFS(资金日记账!$K$4:$K$2503,资金日记账!$G$4:$G$2503,$B210,资金日记账!$F$4:$F$2503,"成本-车运")-SUMIFS(资金日记账!$J$4:$J$2503,资金日记账!$G$4:$G$2503,$B210,资金日记账!$F$4:$F$2503,"成本-车运"),2))</f>
        <v/>
      </c>
      <c r="P210" s="19">
        <f>IF($B210="","",ROUND(SUMIFS(采购单!$L$4:$L$2003,采购单!$D$4:$D$2003,$B210,采购单!$F$4:$F$2003,"成本-其他")+SUMIFS(生产安装!$J$4:$J$1203,生产安装!$C$4:$C$1203,$B210,生产安装!$E$4:$E$1203,"成本-其他")+SUMIFS(资金日记账!$K$4:$K$2503,资金日记账!$G$4:$G$2503,$B210,资金日记账!$F$4:$F$2503,"成本-其他")-SUMIFS(资金日记账!$J$4:$J$2503,资金日记账!$G$4:$G$2503,$B210,资金日记账!$F$4:$F$2503,"成本-其他"),2))</f>
        <v/>
      </c>
      <c r="Q210" s="19">
        <f>IF($B210="","",ROUND(SUM($L210:$P210),2))</f>
        <v/>
      </c>
      <c r="R210" s="19">
        <f>IF($B210="","",ROUND($I210-$Q210,2))</f>
        <v/>
      </c>
      <c r="S210" s="33">
        <f>IF($B210="","",IF(ROUND($I210,2)=0,"",ROUND($R210/$I210,4)))</f>
        <v/>
      </c>
      <c r="T210" s="22">
        <f>IF($B210="","",IF($G210="",0,YEAR($G210)*100+MONTH($G210)))</f>
        <v/>
      </c>
      <c r="U210" s="17">
        <f>IF($B210="","",IF(项目台账!$R209="","",项目台账!$R209))</f>
        <v/>
      </c>
    </row>
    <row r="211">
      <c r="A211" s="17">
        <f>IF(项目台账!$B210="","",项目台账!$A210)</f>
        <v/>
      </c>
      <c r="B211" s="17">
        <f>IF(项目台账!$B210="","",项目台账!$B210)</f>
        <v/>
      </c>
      <c r="C211" s="17">
        <f>IF($B211="","",IF(项目台账!$C210="","",项目台账!$C210))</f>
        <v/>
      </c>
      <c r="D211" s="17">
        <f>IF($B211="","",IF(项目台账!$D210="","",项目台账!$D210))</f>
        <v/>
      </c>
      <c r="E211" s="17">
        <f>IF($B211="","",IF(项目台账!$E210="","",项目台账!$E210))</f>
        <v/>
      </c>
      <c r="F211" s="23">
        <f>IF($B211="","",IF(项目台账!$F210="","",项目台账!$F210))</f>
        <v/>
      </c>
      <c r="G211" s="23">
        <f>IF($B211="","",IF(项目台账!$J210="","",项目台账!$J210))</f>
        <v/>
      </c>
      <c r="H211" s="17">
        <f>IF($B211="","",IF(项目台账!$Q210="","",项目台账!$Q210))</f>
        <v/>
      </c>
      <c r="I211" s="19">
        <f>IF($B211="","",项目台账!$M210)</f>
        <v/>
      </c>
      <c r="J211" s="19">
        <f>IF($B211="","",项目台账!$O210)</f>
        <v/>
      </c>
      <c r="K211" s="19">
        <f>IF($B211="","",项目台账!$P210)</f>
        <v/>
      </c>
      <c r="L211" s="19">
        <f>IF($B211="","",ROUND(SUMIFS(采购单!$L$4:$L$2003,采购单!$D$4:$D$2003,$B211,采购单!$F$4:$F$2003,"成本-主材")+SUMIFS(生产安装!$J$4:$J$1203,生产安装!$C$4:$C$1203,$B211,生产安装!$E$4:$E$1203,"成本-主材")+SUMIFS(资金日记账!$K$4:$K$2503,资金日记账!$G$4:$G$2503,$B211,资金日记账!$F$4:$F$2503,"成本-主材")-SUMIFS(资金日记账!$J$4:$J$2503,资金日记账!$G$4:$G$2503,$B211,资金日记账!$F$4:$F$2503,"成本-主材"),2))</f>
        <v/>
      </c>
      <c r="M211" s="19">
        <f>IF($B211="","",ROUND(SUMIFS(采购单!$L$4:$L$2003,采购单!$D$4:$D$2003,$B211,采购单!$F$4:$F$2003,"成本-辅材")+SUMIFS(生产安装!$J$4:$J$1203,生产安装!$C$4:$C$1203,$B211,生产安装!$E$4:$E$1203,"成本-辅材")+SUMIFS(资金日记账!$K$4:$K$2503,资金日记账!$G$4:$G$2503,$B211,资金日记账!$F$4:$F$2503,"成本-辅材")-SUMIFS(资金日记账!$J$4:$J$2503,资金日记账!$G$4:$G$2503,$B211,资金日记账!$F$4:$F$2503,"成本-辅材"),2))</f>
        <v/>
      </c>
      <c r="N211" s="19">
        <f>IF($B211="","",ROUND(SUMIFS(采购单!$L$4:$L$2003,采购单!$D$4:$D$2003,$B211,采购单!$F$4:$F$2003,"成本-人工")+SUMIFS(生产安装!$J$4:$J$1203,生产安装!$C$4:$C$1203,$B211,生产安装!$E$4:$E$1203,"成本-人工")+SUMIFS(资金日记账!$K$4:$K$2503,资金日记账!$G$4:$G$2503,$B211,资金日记账!$F$4:$F$2503,"成本-人工")-SUMIFS(资金日记账!$J$4:$J$2503,资金日记账!$G$4:$G$2503,$B211,资金日记账!$F$4:$F$2503,"成本-人工"),2))</f>
        <v/>
      </c>
      <c r="O211" s="19">
        <f>IF($B211="","",ROUND(SUMIFS(采购单!$L$4:$L$2003,采购单!$D$4:$D$2003,$B211,采购单!$F$4:$F$2003,"成本-车运")+SUMIFS(生产安装!$J$4:$J$1203,生产安装!$C$4:$C$1203,$B211,生产安装!$E$4:$E$1203,"成本-车运")+SUMIFS(资金日记账!$K$4:$K$2503,资金日记账!$G$4:$G$2503,$B211,资金日记账!$F$4:$F$2503,"成本-车运")-SUMIFS(资金日记账!$J$4:$J$2503,资金日记账!$G$4:$G$2503,$B211,资金日记账!$F$4:$F$2503,"成本-车运"),2))</f>
        <v/>
      </c>
      <c r="P211" s="19">
        <f>IF($B211="","",ROUND(SUMIFS(采购单!$L$4:$L$2003,采购单!$D$4:$D$2003,$B211,采购单!$F$4:$F$2003,"成本-其他")+SUMIFS(生产安装!$J$4:$J$1203,生产安装!$C$4:$C$1203,$B211,生产安装!$E$4:$E$1203,"成本-其他")+SUMIFS(资金日记账!$K$4:$K$2503,资金日记账!$G$4:$G$2503,$B211,资金日记账!$F$4:$F$2503,"成本-其他")-SUMIFS(资金日记账!$J$4:$J$2503,资金日记账!$G$4:$G$2503,$B211,资金日记账!$F$4:$F$2503,"成本-其他"),2))</f>
        <v/>
      </c>
      <c r="Q211" s="19">
        <f>IF($B211="","",ROUND(SUM($L211:$P211),2))</f>
        <v/>
      </c>
      <c r="R211" s="19">
        <f>IF($B211="","",ROUND($I211-$Q211,2))</f>
        <v/>
      </c>
      <c r="S211" s="33">
        <f>IF($B211="","",IF(ROUND($I211,2)=0,"",ROUND($R211/$I211,4)))</f>
        <v/>
      </c>
      <c r="T211" s="22">
        <f>IF($B211="","",IF($G211="",0,YEAR($G211)*100+MONTH($G211)))</f>
        <v/>
      </c>
      <c r="U211" s="17">
        <f>IF($B211="","",IF(项目台账!$R210="","",项目台账!$R210))</f>
        <v/>
      </c>
    </row>
    <row r="212">
      <c r="A212" s="17">
        <f>IF(项目台账!$B211="","",项目台账!$A211)</f>
        <v/>
      </c>
      <c r="B212" s="17">
        <f>IF(项目台账!$B211="","",项目台账!$B211)</f>
        <v/>
      </c>
      <c r="C212" s="17">
        <f>IF($B212="","",IF(项目台账!$C211="","",项目台账!$C211))</f>
        <v/>
      </c>
      <c r="D212" s="17">
        <f>IF($B212="","",IF(项目台账!$D211="","",项目台账!$D211))</f>
        <v/>
      </c>
      <c r="E212" s="17">
        <f>IF($B212="","",IF(项目台账!$E211="","",项目台账!$E211))</f>
        <v/>
      </c>
      <c r="F212" s="23">
        <f>IF($B212="","",IF(项目台账!$F211="","",项目台账!$F211))</f>
        <v/>
      </c>
      <c r="G212" s="23">
        <f>IF($B212="","",IF(项目台账!$J211="","",项目台账!$J211))</f>
        <v/>
      </c>
      <c r="H212" s="17">
        <f>IF($B212="","",IF(项目台账!$Q211="","",项目台账!$Q211))</f>
        <v/>
      </c>
      <c r="I212" s="19">
        <f>IF($B212="","",项目台账!$M211)</f>
        <v/>
      </c>
      <c r="J212" s="19">
        <f>IF($B212="","",项目台账!$O211)</f>
        <v/>
      </c>
      <c r="K212" s="19">
        <f>IF($B212="","",项目台账!$P211)</f>
        <v/>
      </c>
      <c r="L212" s="19">
        <f>IF($B212="","",ROUND(SUMIFS(采购单!$L$4:$L$2003,采购单!$D$4:$D$2003,$B212,采购单!$F$4:$F$2003,"成本-主材")+SUMIFS(生产安装!$J$4:$J$1203,生产安装!$C$4:$C$1203,$B212,生产安装!$E$4:$E$1203,"成本-主材")+SUMIFS(资金日记账!$K$4:$K$2503,资金日记账!$G$4:$G$2503,$B212,资金日记账!$F$4:$F$2503,"成本-主材")-SUMIFS(资金日记账!$J$4:$J$2503,资金日记账!$G$4:$G$2503,$B212,资金日记账!$F$4:$F$2503,"成本-主材"),2))</f>
        <v/>
      </c>
      <c r="M212" s="19">
        <f>IF($B212="","",ROUND(SUMIFS(采购单!$L$4:$L$2003,采购单!$D$4:$D$2003,$B212,采购单!$F$4:$F$2003,"成本-辅材")+SUMIFS(生产安装!$J$4:$J$1203,生产安装!$C$4:$C$1203,$B212,生产安装!$E$4:$E$1203,"成本-辅材")+SUMIFS(资金日记账!$K$4:$K$2503,资金日记账!$G$4:$G$2503,$B212,资金日记账!$F$4:$F$2503,"成本-辅材")-SUMIFS(资金日记账!$J$4:$J$2503,资金日记账!$G$4:$G$2503,$B212,资金日记账!$F$4:$F$2503,"成本-辅材"),2))</f>
        <v/>
      </c>
      <c r="N212" s="19">
        <f>IF($B212="","",ROUND(SUMIFS(采购单!$L$4:$L$2003,采购单!$D$4:$D$2003,$B212,采购单!$F$4:$F$2003,"成本-人工")+SUMIFS(生产安装!$J$4:$J$1203,生产安装!$C$4:$C$1203,$B212,生产安装!$E$4:$E$1203,"成本-人工")+SUMIFS(资金日记账!$K$4:$K$2503,资金日记账!$G$4:$G$2503,$B212,资金日记账!$F$4:$F$2503,"成本-人工")-SUMIFS(资金日记账!$J$4:$J$2503,资金日记账!$G$4:$G$2503,$B212,资金日记账!$F$4:$F$2503,"成本-人工"),2))</f>
        <v/>
      </c>
      <c r="O212" s="19">
        <f>IF($B212="","",ROUND(SUMIFS(采购单!$L$4:$L$2003,采购单!$D$4:$D$2003,$B212,采购单!$F$4:$F$2003,"成本-车运")+SUMIFS(生产安装!$J$4:$J$1203,生产安装!$C$4:$C$1203,$B212,生产安装!$E$4:$E$1203,"成本-车运")+SUMIFS(资金日记账!$K$4:$K$2503,资金日记账!$G$4:$G$2503,$B212,资金日记账!$F$4:$F$2503,"成本-车运")-SUMIFS(资金日记账!$J$4:$J$2503,资金日记账!$G$4:$G$2503,$B212,资金日记账!$F$4:$F$2503,"成本-车运"),2))</f>
        <v/>
      </c>
      <c r="P212" s="19">
        <f>IF($B212="","",ROUND(SUMIFS(采购单!$L$4:$L$2003,采购单!$D$4:$D$2003,$B212,采购单!$F$4:$F$2003,"成本-其他")+SUMIFS(生产安装!$J$4:$J$1203,生产安装!$C$4:$C$1203,$B212,生产安装!$E$4:$E$1203,"成本-其他")+SUMIFS(资金日记账!$K$4:$K$2503,资金日记账!$G$4:$G$2503,$B212,资金日记账!$F$4:$F$2503,"成本-其他")-SUMIFS(资金日记账!$J$4:$J$2503,资金日记账!$G$4:$G$2503,$B212,资金日记账!$F$4:$F$2503,"成本-其他"),2))</f>
        <v/>
      </c>
      <c r="Q212" s="19">
        <f>IF($B212="","",ROUND(SUM($L212:$P212),2))</f>
        <v/>
      </c>
      <c r="R212" s="19">
        <f>IF($B212="","",ROUND($I212-$Q212,2))</f>
        <v/>
      </c>
      <c r="S212" s="33">
        <f>IF($B212="","",IF(ROUND($I212,2)=0,"",ROUND($R212/$I212,4)))</f>
        <v/>
      </c>
      <c r="T212" s="22">
        <f>IF($B212="","",IF($G212="",0,YEAR($G212)*100+MONTH($G212)))</f>
        <v/>
      </c>
      <c r="U212" s="17">
        <f>IF($B212="","",IF(项目台账!$R211="","",项目台账!$R211))</f>
        <v/>
      </c>
    </row>
    <row r="213">
      <c r="A213" s="17">
        <f>IF(项目台账!$B212="","",项目台账!$A212)</f>
        <v/>
      </c>
      <c r="B213" s="17">
        <f>IF(项目台账!$B212="","",项目台账!$B212)</f>
        <v/>
      </c>
      <c r="C213" s="17">
        <f>IF($B213="","",IF(项目台账!$C212="","",项目台账!$C212))</f>
        <v/>
      </c>
      <c r="D213" s="17">
        <f>IF($B213="","",IF(项目台账!$D212="","",项目台账!$D212))</f>
        <v/>
      </c>
      <c r="E213" s="17">
        <f>IF($B213="","",IF(项目台账!$E212="","",项目台账!$E212))</f>
        <v/>
      </c>
      <c r="F213" s="23">
        <f>IF($B213="","",IF(项目台账!$F212="","",项目台账!$F212))</f>
        <v/>
      </c>
      <c r="G213" s="23">
        <f>IF($B213="","",IF(项目台账!$J212="","",项目台账!$J212))</f>
        <v/>
      </c>
      <c r="H213" s="17">
        <f>IF($B213="","",IF(项目台账!$Q212="","",项目台账!$Q212))</f>
        <v/>
      </c>
      <c r="I213" s="19">
        <f>IF($B213="","",项目台账!$M212)</f>
        <v/>
      </c>
      <c r="J213" s="19">
        <f>IF($B213="","",项目台账!$O212)</f>
        <v/>
      </c>
      <c r="K213" s="19">
        <f>IF($B213="","",项目台账!$P212)</f>
        <v/>
      </c>
      <c r="L213" s="19">
        <f>IF($B213="","",ROUND(SUMIFS(采购单!$L$4:$L$2003,采购单!$D$4:$D$2003,$B213,采购单!$F$4:$F$2003,"成本-主材")+SUMIFS(生产安装!$J$4:$J$1203,生产安装!$C$4:$C$1203,$B213,生产安装!$E$4:$E$1203,"成本-主材")+SUMIFS(资金日记账!$K$4:$K$2503,资金日记账!$G$4:$G$2503,$B213,资金日记账!$F$4:$F$2503,"成本-主材")-SUMIFS(资金日记账!$J$4:$J$2503,资金日记账!$G$4:$G$2503,$B213,资金日记账!$F$4:$F$2503,"成本-主材"),2))</f>
        <v/>
      </c>
      <c r="M213" s="19">
        <f>IF($B213="","",ROUND(SUMIFS(采购单!$L$4:$L$2003,采购单!$D$4:$D$2003,$B213,采购单!$F$4:$F$2003,"成本-辅材")+SUMIFS(生产安装!$J$4:$J$1203,生产安装!$C$4:$C$1203,$B213,生产安装!$E$4:$E$1203,"成本-辅材")+SUMIFS(资金日记账!$K$4:$K$2503,资金日记账!$G$4:$G$2503,$B213,资金日记账!$F$4:$F$2503,"成本-辅材")-SUMIFS(资金日记账!$J$4:$J$2503,资金日记账!$G$4:$G$2503,$B213,资金日记账!$F$4:$F$2503,"成本-辅材"),2))</f>
        <v/>
      </c>
      <c r="N213" s="19">
        <f>IF($B213="","",ROUND(SUMIFS(采购单!$L$4:$L$2003,采购单!$D$4:$D$2003,$B213,采购单!$F$4:$F$2003,"成本-人工")+SUMIFS(生产安装!$J$4:$J$1203,生产安装!$C$4:$C$1203,$B213,生产安装!$E$4:$E$1203,"成本-人工")+SUMIFS(资金日记账!$K$4:$K$2503,资金日记账!$G$4:$G$2503,$B213,资金日记账!$F$4:$F$2503,"成本-人工")-SUMIFS(资金日记账!$J$4:$J$2503,资金日记账!$G$4:$G$2503,$B213,资金日记账!$F$4:$F$2503,"成本-人工"),2))</f>
        <v/>
      </c>
      <c r="O213" s="19">
        <f>IF($B213="","",ROUND(SUMIFS(采购单!$L$4:$L$2003,采购单!$D$4:$D$2003,$B213,采购单!$F$4:$F$2003,"成本-车运")+SUMIFS(生产安装!$J$4:$J$1203,生产安装!$C$4:$C$1203,$B213,生产安装!$E$4:$E$1203,"成本-车运")+SUMIFS(资金日记账!$K$4:$K$2503,资金日记账!$G$4:$G$2503,$B213,资金日记账!$F$4:$F$2503,"成本-车运")-SUMIFS(资金日记账!$J$4:$J$2503,资金日记账!$G$4:$G$2503,$B213,资金日记账!$F$4:$F$2503,"成本-车运"),2))</f>
        <v/>
      </c>
      <c r="P213" s="19">
        <f>IF($B213="","",ROUND(SUMIFS(采购单!$L$4:$L$2003,采购单!$D$4:$D$2003,$B213,采购单!$F$4:$F$2003,"成本-其他")+SUMIFS(生产安装!$J$4:$J$1203,生产安装!$C$4:$C$1203,$B213,生产安装!$E$4:$E$1203,"成本-其他")+SUMIFS(资金日记账!$K$4:$K$2503,资金日记账!$G$4:$G$2503,$B213,资金日记账!$F$4:$F$2503,"成本-其他")-SUMIFS(资金日记账!$J$4:$J$2503,资金日记账!$G$4:$G$2503,$B213,资金日记账!$F$4:$F$2503,"成本-其他"),2))</f>
        <v/>
      </c>
      <c r="Q213" s="19">
        <f>IF($B213="","",ROUND(SUM($L213:$P213),2))</f>
        <v/>
      </c>
      <c r="R213" s="19">
        <f>IF($B213="","",ROUND($I213-$Q213,2))</f>
        <v/>
      </c>
      <c r="S213" s="33">
        <f>IF($B213="","",IF(ROUND($I213,2)=0,"",ROUND($R213/$I213,4)))</f>
        <v/>
      </c>
      <c r="T213" s="22">
        <f>IF($B213="","",IF($G213="",0,YEAR($G213)*100+MONTH($G213)))</f>
        <v/>
      </c>
      <c r="U213" s="17">
        <f>IF($B213="","",IF(项目台账!$R212="","",项目台账!$R212))</f>
        <v/>
      </c>
    </row>
    <row r="214">
      <c r="A214" s="17">
        <f>IF(项目台账!$B213="","",项目台账!$A213)</f>
        <v/>
      </c>
      <c r="B214" s="17">
        <f>IF(项目台账!$B213="","",项目台账!$B213)</f>
        <v/>
      </c>
      <c r="C214" s="17">
        <f>IF($B214="","",IF(项目台账!$C213="","",项目台账!$C213))</f>
        <v/>
      </c>
      <c r="D214" s="17">
        <f>IF($B214="","",IF(项目台账!$D213="","",项目台账!$D213))</f>
        <v/>
      </c>
      <c r="E214" s="17">
        <f>IF($B214="","",IF(项目台账!$E213="","",项目台账!$E213))</f>
        <v/>
      </c>
      <c r="F214" s="23">
        <f>IF($B214="","",IF(项目台账!$F213="","",项目台账!$F213))</f>
        <v/>
      </c>
      <c r="G214" s="23">
        <f>IF($B214="","",IF(项目台账!$J213="","",项目台账!$J213))</f>
        <v/>
      </c>
      <c r="H214" s="17">
        <f>IF($B214="","",IF(项目台账!$Q213="","",项目台账!$Q213))</f>
        <v/>
      </c>
      <c r="I214" s="19">
        <f>IF($B214="","",项目台账!$M213)</f>
        <v/>
      </c>
      <c r="J214" s="19">
        <f>IF($B214="","",项目台账!$O213)</f>
        <v/>
      </c>
      <c r="K214" s="19">
        <f>IF($B214="","",项目台账!$P213)</f>
        <v/>
      </c>
      <c r="L214" s="19">
        <f>IF($B214="","",ROUND(SUMIFS(采购单!$L$4:$L$2003,采购单!$D$4:$D$2003,$B214,采购单!$F$4:$F$2003,"成本-主材")+SUMIFS(生产安装!$J$4:$J$1203,生产安装!$C$4:$C$1203,$B214,生产安装!$E$4:$E$1203,"成本-主材")+SUMIFS(资金日记账!$K$4:$K$2503,资金日记账!$G$4:$G$2503,$B214,资金日记账!$F$4:$F$2503,"成本-主材")-SUMIFS(资金日记账!$J$4:$J$2503,资金日记账!$G$4:$G$2503,$B214,资金日记账!$F$4:$F$2503,"成本-主材"),2))</f>
        <v/>
      </c>
      <c r="M214" s="19">
        <f>IF($B214="","",ROUND(SUMIFS(采购单!$L$4:$L$2003,采购单!$D$4:$D$2003,$B214,采购单!$F$4:$F$2003,"成本-辅材")+SUMIFS(生产安装!$J$4:$J$1203,生产安装!$C$4:$C$1203,$B214,生产安装!$E$4:$E$1203,"成本-辅材")+SUMIFS(资金日记账!$K$4:$K$2503,资金日记账!$G$4:$G$2503,$B214,资金日记账!$F$4:$F$2503,"成本-辅材")-SUMIFS(资金日记账!$J$4:$J$2503,资金日记账!$G$4:$G$2503,$B214,资金日记账!$F$4:$F$2503,"成本-辅材"),2))</f>
        <v/>
      </c>
      <c r="N214" s="19">
        <f>IF($B214="","",ROUND(SUMIFS(采购单!$L$4:$L$2003,采购单!$D$4:$D$2003,$B214,采购单!$F$4:$F$2003,"成本-人工")+SUMIFS(生产安装!$J$4:$J$1203,生产安装!$C$4:$C$1203,$B214,生产安装!$E$4:$E$1203,"成本-人工")+SUMIFS(资金日记账!$K$4:$K$2503,资金日记账!$G$4:$G$2503,$B214,资金日记账!$F$4:$F$2503,"成本-人工")-SUMIFS(资金日记账!$J$4:$J$2503,资金日记账!$G$4:$G$2503,$B214,资金日记账!$F$4:$F$2503,"成本-人工"),2))</f>
        <v/>
      </c>
      <c r="O214" s="19">
        <f>IF($B214="","",ROUND(SUMIFS(采购单!$L$4:$L$2003,采购单!$D$4:$D$2003,$B214,采购单!$F$4:$F$2003,"成本-车运")+SUMIFS(生产安装!$J$4:$J$1203,生产安装!$C$4:$C$1203,$B214,生产安装!$E$4:$E$1203,"成本-车运")+SUMIFS(资金日记账!$K$4:$K$2503,资金日记账!$G$4:$G$2503,$B214,资金日记账!$F$4:$F$2503,"成本-车运")-SUMIFS(资金日记账!$J$4:$J$2503,资金日记账!$G$4:$G$2503,$B214,资金日记账!$F$4:$F$2503,"成本-车运"),2))</f>
        <v/>
      </c>
      <c r="P214" s="19">
        <f>IF($B214="","",ROUND(SUMIFS(采购单!$L$4:$L$2003,采购单!$D$4:$D$2003,$B214,采购单!$F$4:$F$2003,"成本-其他")+SUMIFS(生产安装!$J$4:$J$1203,生产安装!$C$4:$C$1203,$B214,生产安装!$E$4:$E$1203,"成本-其他")+SUMIFS(资金日记账!$K$4:$K$2503,资金日记账!$G$4:$G$2503,$B214,资金日记账!$F$4:$F$2503,"成本-其他")-SUMIFS(资金日记账!$J$4:$J$2503,资金日记账!$G$4:$G$2503,$B214,资金日记账!$F$4:$F$2503,"成本-其他"),2))</f>
        <v/>
      </c>
      <c r="Q214" s="19">
        <f>IF($B214="","",ROUND(SUM($L214:$P214),2))</f>
        <v/>
      </c>
      <c r="R214" s="19">
        <f>IF($B214="","",ROUND($I214-$Q214,2))</f>
        <v/>
      </c>
      <c r="S214" s="33">
        <f>IF($B214="","",IF(ROUND($I214,2)=0,"",ROUND($R214/$I214,4)))</f>
        <v/>
      </c>
      <c r="T214" s="22">
        <f>IF($B214="","",IF($G214="",0,YEAR($G214)*100+MONTH($G214)))</f>
        <v/>
      </c>
      <c r="U214" s="17">
        <f>IF($B214="","",IF(项目台账!$R213="","",项目台账!$R213))</f>
        <v/>
      </c>
    </row>
    <row r="215">
      <c r="A215" s="17">
        <f>IF(项目台账!$B214="","",项目台账!$A214)</f>
        <v/>
      </c>
      <c r="B215" s="17">
        <f>IF(项目台账!$B214="","",项目台账!$B214)</f>
        <v/>
      </c>
      <c r="C215" s="17">
        <f>IF($B215="","",IF(项目台账!$C214="","",项目台账!$C214))</f>
        <v/>
      </c>
      <c r="D215" s="17">
        <f>IF($B215="","",IF(项目台账!$D214="","",项目台账!$D214))</f>
        <v/>
      </c>
      <c r="E215" s="17">
        <f>IF($B215="","",IF(项目台账!$E214="","",项目台账!$E214))</f>
        <v/>
      </c>
      <c r="F215" s="23">
        <f>IF($B215="","",IF(项目台账!$F214="","",项目台账!$F214))</f>
        <v/>
      </c>
      <c r="G215" s="23">
        <f>IF($B215="","",IF(项目台账!$J214="","",项目台账!$J214))</f>
        <v/>
      </c>
      <c r="H215" s="17">
        <f>IF($B215="","",IF(项目台账!$Q214="","",项目台账!$Q214))</f>
        <v/>
      </c>
      <c r="I215" s="19">
        <f>IF($B215="","",项目台账!$M214)</f>
        <v/>
      </c>
      <c r="J215" s="19">
        <f>IF($B215="","",项目台账!$O214)</f>
        <v/>
      </c>
      <c r="K215" s="19">
        <f>IF($B215="","",项目台账!$P214)</f>
        <v/>
      </c>
      <c r="L215" s="19">
        <f>IF($B215="","",ROUND(SUMIFS(采购单!$L$4:$L$2003,采购单!$D$4:$D$2003,$B215,采购单!$F$4:$F$2003,"成本-主材")+SUMIFS(生产安装!$J$4:$J$1203,生产安装!$C$4:$C$1203,$B215,生产安装!$E$4:$E$1203,"成本-主材")+SUMIFS(资金日记账!$K$4:$K$2503,资金日记账!$G$4:$G$2503,$B215,资金日记账!$F$4:$F$2503,"成本-主材")-SUMIFS(资金日记账!$J$4:$J$2503,资金日记账!$G$4:$G$2503,$B215,资金日记账!$F$4:$F$2503,"成本-主材"),2))</f>
        <v/>
      </c>
      <c r="M215" s="19">
        <f>IF($B215="","",ROUND(SUMIFS(采购单!$L$4:$L$2003,采购单!$D$4:$D$2003,$B215,采购单!$F$4:$F$2003,"成本-辅材")+SUMIFS(生产安装!$J$4:$J$1203,生产安装!$C$4:$C$1203,$B215,生产安装!$E$4:$E$1203,"成本-辅材")+SUMIFS(资金日记账!$K$4:$K$2503,资金日记账!$G$4:$G$2503,$B215,资金日记账!$F$4:$F$2503,"成本-辅材")-SUMIFS(资金日记账!$J$4:$J$2503,资金日记账!$G$4:$G$2503,$B215,资金日记账!$F$4:$F$2503,"成本-辅材"),2))</f>
        <v/>
      </c>
      <c r="N215" s="19">
        <f>IF($B215="","",ROUND(SUMIFS(采购单!$L$4:$L$2003,采购单!$D$4:$D$2003,$B215,采购单!$F$4:$F$2003,"成本-人工")+SUMIFS(生产安装!$J$4:$J$1203,生产安装!$C$4:$C$1203,$B215,生产安装!$E$4:$E$1203,"成本-人工")+SUMIFS(资金日记账!$K$4:$K$2503,资金日记账!$G$4:$G$2503,$B215,资金日记账!$F$4:$F$2503,"成本-人工")-SUMIFS(资金日记账!$J$4:$J$2503,资金日记账!$G$4:$G$2503,$B215,资金日记账!$F$4:$F$2503,"成本-人工"),2))</f>
        <v/>
      </c>
      <c r="O215" s="19">
        <f>IF($B215="","",ROUND(SUMIFS(采购单!$L$4:$L$2003,采购单!$D$4:$D$2003,$B215,采购单!$F$4:$F$2003,"成本-车运")+SUMIFS(生产安装!$J$4:$J$1203,生产安装!$C$4:$C$1203,$B215,生产安装!$E$4:$E$1203,"成本-车运")+SUMIFS(资金日记账!$K$4:$K$2503,资金日记账!$G$4:$G$2503,$B215,资金日记账!$F$4:$F$2503,"成本-车运")-SUMIFS(资金日记账!$J$4:$J$2503,资金日记账!$G$4:$G$2503,$B215,资金日记账!$F$4:$F$2503,"成本-车运"),2))</f>
        <v/>
      </c>
      <c r="P215" s="19">
        <f>IF($B215="","",ROUND(SUMIFS(采购单!$L$4:$L$2003,采购单!$D$4:$D$2003,$B215,采购单!$F$4:$F$2003,"成本-其他")+SUMIFS(生产安装!$J$4:$J$1203,生产安装!$C$4:$C$1203,$B215,生产安装!$E$4:$E$1203,"成本-其他")+SUMIFS(资金日记账!$K$4:$K$2503,资金日记账!$G$4:$G$2503,$B215,资金日记账!$F$4:$F$2503,"成本-其他")-SUMIFS(资金日记账!$J$4:$J$2503,资金日记账!$G$4:$G$2503,$B215,资金日记账!$F$4:$F$2503,"成本-其他"),2))</f>
        <v/>
      </c>
      <c r="Q215" s="19">
        <f>IF($B215="","",ROUND(SUM($L215:$P215),2))</f>
        <v/>
      </c>
      <c r="R215" s="19">
        <f>IF($B215="","",ROUND($I215-$Q215,2))</f>
        <v/>
      </c>
      <c r="S215" s="33">
        <f>IF($B215="","",IF(ROUND($I215,2)=0,"",ROUND($R215/$I215,4)))</f>
        <v/>
      </c>
      <c r="T215" s="22">
        <f>IF($B215="","",IF($G215="",0,YEAR($G215)*100+MONTH($G215)))</f>
        <v/>
      </c>
      <c r="U215" s="17">
        <f>IF($B215="","",IF(项目台账!$R214="","",项目台账!$R214))</f>
        <v/>
      </c>
    </row>
    <row r="216">
      <c r="A216" s="17">
        <f>IF(项目台账!$B215="","",项目台账!$A215)</f>
        <v/>
      </c>
      <c r="B216" s="17">
        <f>IF(项目台账!$B215="","",项目台账!$B215)</f>
        <v/>
      </c>
      <c r="C216" s="17">
        <f>IF($B216="","",IF(项目台账!$C215="","",项目台账!$C215))</f>
        <v/>
      </c>
      <c r="D216" s="17">
        <f>IF($B216="","",IF(项目台账!$D215="","",项目台账!$D215))</f>
        <v/>
      </c>
      <c r="E216" s="17">
        <f>IF($B216="","",IF(项目台账!$E215="","",项目台账!$E215))</f>
        <v/>
      </c>
      <c r="F216" s="23">
        <f>IF($B216="","",IF(项目台账!$F215="","",项目台账!$F215))</f>
        <v/>
      </c>
      <c r="G216" s="23">
        <f>IF($B216="","",IF(项目台账!$J215="","",项目台账!$J215))</f>
        <v/>
      </c>
      <c r="H216" s="17">
        <f>IF($B216="","",IF(项目台账!$Q215="","",项目台账!$Q215))</f>
        <v/>
      </c>
      <c r="I216" s="19">
        <f>IF($B216="","",项目台账!$M215)</f>
        <v/>
      </c>
      <c r="J216" s="19">
        <f>IF($B216="","",项目台账!$O215)</f>
        <v/>
      </c>
      <c r="K216" s="19">
        <f>IF($B216="","",项目台账!$P215)</f>
        <v/>
      </c>
      <c r="L216" s="19">
        <f>IF($B216="","",ROUND(SUMIFS(采购单!$L$4:$L$2003,采购单!$D$4:$D$2003,$B216,采购单!$F$4:$F$2003,"成本-主材")+SUMIFS(生产安装!$J$4:$J$1203,生产安装!$C$4:$C$1203,$B216,生产安装!$E$4:$E$1203,"成本-主材")+SUMIFS(资金日记账!$K$4:$K$2503,资金日记账!$G$4:$G$2503,$B216,资金日记账!$F$4:$F$2503,"成本-主材")-SUMIFS(资金日记账!$J$4:$J$2503,资金日记账!$G$4:$G$2503,$B216,资金日记账!$F$4:$F$2503,"成本-主材"),2))</f>
        <v/>
      </c>
      <c r="M216" s="19">
        <f>IF($B216="","",ROUND(SUMIFS(采购单!$L$4:$L$2003,采购单!$D$4:$D$2003,$B216,采购单!$F$4:$F$2003,"成本-辅材")+SUMIFS(生产安装!$J$4:$J$1203,生产安装!$C$4:$C$1203,$B216,生产安装!$E$4:$E$1203,"成本-辅材")+SUMIFS(资金日记账!$K$4:$K$2503,资金日记账!$G$4:$G$2503,$B216,资金日记账!$F$4:$F$2503,"成本-辅材")-SUMIFS(资金日记账!$J$4:$J$2503,资金日记账!$G$4:$G$2503,$B216,资金日记账!$F$4:$F$2503,"成本-辅材"),2))</f>
        <v/>
      </c>
      <c r="N216" s="19">
        <f>IF($B216="","",ROUND(SUMIFS(采购单!$L$4:$L$2003,采购单!$D$4:$D$2003,$B216,采购单!$F$4:$F$2003,"成本-人工")+SUMIFS(生产安装!$J$4:$J$1203,生产安装!$C$4:$C$1203,$B216,生产安装!$E$4:$E$1203,"成本-人工")+SUMIFS(资金日记账!$K$4:$K$2503,资金日记账!$G$4:$G$2503,$B216,资金日记账!$F$4:$F$2503,"成本-人工")-SUMIFS(资金日记账!$J$4:$J$2503,资金日记账!$G$4:$G$2503,$B216,资金日记账!$F$4:$F$2503,"成本-人工"),2))</f>
        <v/>
      </c>
      <c r="O216" s="19">
        <f>IF($B216="","",ROUND(SUMIFS(采购单!$L$4:$L$2003,采购单!$D$4:$D$2003,$B216,采购单!$F$4:$F$2003,"成本-车运")+SUMIFS(生产安装!$J$4:$J$1203,生产安装!$C$4:$C$1203,$B216,生产安装!$E$4:$E$1203,"成本-车运")+SUMIFS(资金日记账!$K$4:$K$2503,资金日记账!$G$4:$G$2503,$B216,资金日记账!$F$4:$F$2503,"成本-车运")-SUMIFS(资金日记账!$J$4:$J$2503,资金日记账!$G$4:$G$2503,$B216,资金日记账!$F$4:$F$2503,"成本-车运"),2))</f>
        <v/>
      </c>
      <c r="P216" s="19">
        <f>IF($B216="","",ROUND(SUMIFS(采购单!$L$4:$L$2003,采购单!$D$4:$D$2003,$B216,采购单!$F$4:$F$2003,"成本-其他")+SUMIFS(生产安装!$J$4:$J$1203,生产安装!$C$4:$C$1203,$B216,生产安装!$E$4:$E$1203,"成本-其他")+SUMIFS(资金日记账!$K$4:$K$2503,资金日记账!$G$4:$G$2503,$B216,资金日记账!$F$4:$F$2503,"成本-其他")-SUMIFS(资金日记账!$J$4:$J$2503,资金日记账!$G$4:$G$2503,$B216,资金日记账!$F$4:$F$2503,"成本-其他"),2))</f>
        <v/>
      </c>
      <c r="Q216" s="19">
        <f>IF($B216="","",ROUND(SUM($L216:$P216),2))</f>
        <v/>
      </c>
      <c r="R216" s="19">
        <f>IF($B216="","",ROUND($I216-$Q216,2))</f>
        <v/>
      </c>
      <c r="S216" s="33">
        <f>IF($B216="","",IF(ROUND($I216,2)=0,"",ROUND($R216/$I216,4)))</f>
        <v/>
      </c>
      <c r="T216" s="22">
        <f>IF($B216="","",IF($G216="",0,YEAR($G216)*100+MONTH($G216)))</f>
        <v/>
      </c>
      <c r="U216" s="17">
        <f>IF($B216="","",IF(项目台账!$R215="","",项目台账!$R215))</f>
        <v/>
      </c>
    </row>
    <row r="217">
      <c r="A217" s="17">
        <f>IF(项目台账!$B216="","",项目台账!$A216)</f>
        <v/>
      </c>
      <c r="B217" s="17">
        <f>IF(项目台账!$B216="","",项目台账!$B216)</f>
        <v/>
      </c>
      <c r="C217" s="17">
        <f>IF($B217="","",IF(项目台账!$C216="","",项目台账!$C216))</f>
        <v/>
      </c>
      <c r="D217" s="17">
        <f>IF($B217="","",IF(项目台账!$D216="","",项目台账!$D216))</f>
        <v/>
      </c>
      <c r="E217" s="17">
        <f>IF($B217="","",IF(项目台账!$E216="","",项目台账!$E216))</f>
        <v/>
      </c>
      <c r="F217" s="23">
        <f>IF($B217="","",IF(项目台账!$F216="","",项目台账!$F216))</f>
        <v/>
      </c>
      <c r="G217" s="23">
        <f>IF($B217="","",IF(项目台账!$J216="","",项目台账!$J216))</f>
        <v/>
      </c>
      <c r="H217" s="17">
        <f>IF($B217="","",IF(项目台账!$Q216="","",项目台账!$Q216))</f>
        <v/>
      </c>
      <c r="I217" s="19">
        <f>IF($B217="","",项目台账!$M216)</f>
        <v/>
      </c>
      <c r="J217" s="19">
        <f>IF($B217="","",项目台账!$O216)</f>
        <v/>
      </c>
      <c r="K217" s="19">
        <f>IF($B217="","",项目台账!$P216)</f>
        <v/>
      </c>
      <c r="L217" s="19">
        <f>IF($B217="","",ROUND(SUMIFS(采购单!$L$4:$L$2003,采购单!$D$4:$D$2003,$B217,采购单!$F$4:$F$2003,"成本-主材")+SUMIFS(生产安装!$J$4:$J$1203,生产安装!$C$4:$C$1203,$B217,生产安装!$E$4:$E$1203,"成本-主材")+SUMIFS(资金日记账!$K$4:$K$2503,资金日记账!$G$4:$G$2503,$B217,资金日记账!$F$4:$F$2503,"成本-主材")-SUMIFS(资金日记账!$J$4:$J$2503,资金日记账!$G$4:$G$2503,$B217,资金日记账!$F$4:$F$2503,"成本-主材"),2))</f>
        <v/>
      </c>
      <c r="M217" s="19">
        <f>IF($B217="","",ROUND(SUMIFS(采购单!$L$4:$L$2003,采购单!$D$4:$D$2003,$B217,采购单!$F$4:$F$2003,"成本-辅材")+SUMIFS(生产安装!$J$4:$J$1203,生产安装!$C$4:$C$1203,$B217,生产安装!$E$4:$E$1203,"成本-辅材")+SUMIFS(资金日记账!$K$4:$K$2503,资金日记账!$G$4:$G$2503,$B217,资金日记账!$F$4:$F$2503,"成本-辅材")-SUMIFS(资金日记账!$J$4:$J$2503,资金日记账!$G$4:$G$2503,$B217,资金日记账!$F$4:$F$2503,"成本-辅材"),2))</f>
        <v/>
      </c>
      <c r="N217" s="19">
        <f>IF($B217="","",ROUND(SUMIFS(采购单!$L$4:$L$2003,采购单!$D$4:$D$2003,$B217,采购单!$F$4:$F$2003,"成本-人工")+SUMIFS(生产安装!$J$4:$J$1203,生产安装!$C$4:$C$1203,$B217,生产安装!$E$4:$E$1203,"成本-人工")+SUMIFS(资金日记账!$K$4:$K$2503,资金日记账!$G$4:$G$2503,$B217,资金日记账!$F$4:$F$2503,"成本-人工")-SUMIFS(资金日记账!$J$4:$J$2503,资金日记账!$G$4:$G$2503,$B217,资金日记账!$F$4:$F$2503,"成本-人工"),2))</f>
        <v/>
      </c>
      <c r="O217" s="19">
        <f>IF($B217="","",ROUND(SUMIFS(采购单!$L$4:$L$2003,采购单!$D$4:$D$2003,$B217,采购单!$F$4:$F$2003,"成本-车运")+SUMIFS(生产安装!$J$4:$J$1203,生产安装!$C$4:$C$1203,$B217,生产安装!$E$4:$E$1203,"成本-车运")+SUMIFS(资金日记账!$K$4:$K$2503,资金日记账!$G$4:$G$2503,$B217,资金日记账!$F$4:$F$2503,"成本-车运")-SUMIFS(资金日记账!$J$4:$J$2503,资金日记账!$G$4:$G$2503,$B217,资金日记账!$F$4:$F$2503,"成本-车运"),2))</f>
        <v/>
      </c>
      <c r="P217" s="19">
        <f>IF($B217="","",ROUND(SUMIFS(采购单!$L$4:$L$2003,采购单!$D$4:$D$2003,$B217,采购单!$F$4:$F$2003,"成本-其他")+SUMIFS(生产安装!$J$4:$J$1203,生产安装!$C$4:$C$1203,$B217,生产安装!$E$4:$E$1203,"成本-其他")+SUMIFS(资金日记账!$K$4:$K$2503,资金日记账!$G$4:$G$2503,$B217,资金日记账!$F$4:$F$2503,"成本-其他")-SUMIFS(资金日记账!$J$4:$J$2503,资金日记账!$G$4:$G$2503,$B217,资金日记账!$F$4:$F$2503,"成本-其他"),2))</f>
        <v/>
      </c>
      <c r="Q217" s="19">
        <f>IF($B217="","",ROUND(SUM($L217:$P217),2))</f>
        <v/>
      </c>
      <c r="R217" s="19">
        <f>IF($B217="","",ROUND($I217-$Q217,2))</f>
        <v/>
      </c>
      <c r="S217" s="33">
        <f>IF($B217="","",IF(ROUND($I217,2)=0,"",ROUND($R217/$I217,4)))</f>
        <v/>
      </c>
      <c r="T217" s="22">
        <f>IF($B217="","",IF($G217="",0,YEAR($G217)*100+MONTH($G217)))</f>
        <v/>
      </c>
      <c r="U217" s="17">
        <f>IF($B217="","",IF(项目台账!$R216="","",项目台账!$R216))</f>
        <v/>
      </c>
    </row>
    <row r="218">
      <c r="A218" s="17">
        <f>IF(项目台账!$B217="","",项目台账!$A217)</f>
        <v/>
      </c>
      <c r="B218" s="17">
        <f>IF(项目台账!$B217="","",项目台账!$B217)</f>
        <v/>
      </c>
      <c r="C218" s="17">
        <f>IF($B218="","",IF(项目台账!$C217="","",项目台账!$C217))</f>
        <v/>
      </c>
      <c r="D218" s="17">
        <f>IF($B218="","",IF(项目台账!$D217="","",项目台账!$D217))</f>
        <v/>
      </c>
      <c r="E218" s="17">
        <f>IF($B218="","",IF(项目台账!$E217="","",项目台账!$E217))</f>
        <v/>
      </c>
      <c r="F218" s="23">
        <f>IF($B218="","",IF(项目台账!$F217="","",项目台账!$F217))</f>
        <v/>
      </c>
      <c r="G218" s="23">
        <f>IF($B218="","",IF(项目台账!$J217="","",项目台账!$J217))</f>
        <v/>
      </c>
      <c r="H218" s="17">
        <f>IF($B218="","",IF(项目台账!$Q217="","",项目台账!$Q217))</f>
        <v/>
      </c>
      <c r="I218" s="19">
        <f>IF($B218="","",项目台账!$M217)</f>
        <v/>
      </c>
      <c r="J218" s="19">
        <f>IF($B218="","",项目台账!$O217)</f>
        <v/>
      </c>
      <c r="K218" s="19">
        <f>IF($B218="","",项目台账!$P217)</f>
        <v/>
      </c>
      <c r="L218" s="19">
        <f>IF($B218="","",ROUND(SUMIFS(采购单!$L$4:$L$2003,采购单!$D$4:$D$2003,$B218,采购单!$F$4:$F$2003,"成本-主材")+SUMIFS(生产安装!$J$4:$J$1203,生产安装!$C$4:$C$1203,$B218,生产安装!$E$4:$E$1203,"成本-主材")+SUMIFS(资金日记账!$K$4:$K$2503,资金日记账!$G$4:$G$2503,$B218,资金日记账!$F$4:$F$2503,"成本-主材")-SUMIFS(资金日记账!$J$4:$J$2503,资金日记账!$G$4:$G$2503,$B218,资金日记账!$F$4:$F$2503,"成本-主材"),2))</f>
        <v/>
      </c>
      <c r="M218" s="19">
        <f>IF($B218="","",ROUND(SUMIFS(采购单!$L$4:$L$2003,采购单!$D$4:$D$2003,$B218,采购单!$F$4:$F$2003,"成本-辅材")+SUMIFS(生产安装!$J$4:$J$1203,生产安装!$C$4:$C$1203,$B218,生产安装!$E$4:$E$1203,"成本-辅材")+SUMIFS(资金日记账!$K$4:$K$2503,资金日记账!$G$4:$G$2503,$B218,资金日记账!$F$4:$F$2503,"成本-辅材")-SUMIFS(资金日记账!$J$4:$J$2503,资金日记账!$G$4:$G$2503,$B218,资金日记账!$F$4:$F$2503,"成本-辅材"),2))</f>
        <v/>
      </c>
      <c r="N218" s="19">
        <f>IF($B218="","",ROUND(SUMIFS(采购单!$L$4:$L$2003,采购单!$D$4:$D$2003,$B218,采购单!$F$4:$F$2003,"成本-人工")+SUMIFS(生产安装!$J$4:$J$1203,生产安装!$C$4:$C$1203,$B218,生产安装!$E$4:$E$1203,"成本-人工")+SUMIFS(资金日记账!$K$4:$K$2503,资金日记账!$G$4:$G$2503,$B218,资金日记账!$F$4:$F$2503,"成本-人工")-SUMIFS(资金日记账!$J$4:$J$2503,资金日记账!$G$4:$G$2503,$B218,资金日记账!$F$4:$F$2503,"成本-人工"),2))</f>
        <v/>
      </c>
      <c r="O218" s="19">
        <f>IF($B218="","",ROUND(SUMIFS(采购单!$L$4:$L$2003,采购单!$D$4:$D$2003,$B218,采购单!$F$4:$F$2003,"成本-车运")+SUMIFS(生产安装!$J$4:$J$1203,生产安装!$C$4:$C$1203,$B218,生产安装!$E$4:$E$1203,"成本-车运")+SUMIFS(资金日记账!$K$4:$K$2503,资金日记账!$G$4:$G$2503,$B218,资金日记账!$F$4:$F$2503,"成本-车运")-SUMIFS(资金日记账!$J$4:$J$2503,资金日记账!$G$4:$G$2503,$B218,资金日记账!$F$4:$F$2503,"成本-车运"),2))</f>
        <v/>
      </c>
      <c r="P218" s="19">
        <f>IF($B218="","",ROUND(SUMIFS(采购单!$L$4:$L$2003,采购单!$D$4:$D$2003,$B218,采购单!$F$4:$F$2003,"成本-其他")+SUMIFS(生产安装!$J$4:$J$1203,生产安装!$C$4:$C$1203,$B218,生产安装!$E$4:$E$1203,"成本-其他")+SUMIFS(资金日记账!$K$4:$K$2503,资金日记账!$G$4:$G$2503,$B218,资金日记账!$F$4:$F$2503,"成本-其他")-SUMIFS(资金日记账!$J$4:$J$2503,资金日记账!$G$4:$G$2503,$B218,资金日记账!$F$4:$F$2503,"成本-其他"),2))</f>
        <v/>
      </c>
      <c r="Q218" s="19">
        <f>IF($B218="","",ROUND(SUM($L218:$P218),2))</f>
        <v/>
      </c>
      <c r="R218" s="19">
        <f>IF($B218="","",ROUND($I218-$Q218,2))</f>
        <v/>
      </c>
      <c r="S218" s="33">
        <f>IF($B218="","",IF(ROUND($I218,2)=0,"",ROUND($R218/$I218,4)))</f>
        <v/>
      </c>
      <c r="T218" s="22">
        <f>IF($B218="","",IF($G218="",0,YEAR($G218)*100+MONTH($G218)))</f>
        <v/>
      </c>
      <c r="U218" s="17">
        <f>IF($B218="","",IF(项目台账!$R217="","",项目台账!$R217))</f>
        <v/>
      </c>
    </row>
    <row r="219">
      <c r="A219" s="17">
        <f>IF(项目台账!$B218="","",项目台账!$A218)</f>
        <v/>
      </c>
      <c r="B219" s="17">
        <f>IF(项目台账!$B218="","",项目台账!$B218)</f>
        <v/>
      </c>
      <c r="C219" s="17">
        <f>IF($B219="","",IF(项目台账!$C218="","",项目台账!$C218))</f>
        <v/>
      </c>
      <c r="D219" s="17">
        <f>IF($B219="","",IF(项目台账!$D218="","",项目台账!$D218))</f>
        <v/>
      </c>
      <c r="E219" s="17">
        <f>IF($B219="","",IF(项目台账!$E218="","",项目台账!$E218))</f>
        <v/>
      </c>
      <c r="F219" s="23">
        <f>IF($B219="","",IF(项目台账!$F218="","",项目台账!$F218))</f>
        <v/>
      </c>
      <c r="G219" s="23">
        <f>IF($B219="","",IF(项目台账!$J218="","",项目台账!$J218))</f>
        <v/>
      </c>
      <c r="H219" s="17">
        <f>IF($B219="","",IF(项目台账!$Q218="","",项目台账!$Q218))</f>
        <v/>
      </c>
      <c r="I219" s="19">
        <f>IF($B219="","",项目台账!$M218)</f>
        <v/>
      </c>
      <c r="J219" s="19">
        <f>IF($B219="","",项目台账!$O218)</f>
        <v/>
      </c>
      <c r="K219" s="19">
        <f>IF($B219="","",项目台账!$P218)</f>
        <v/>
      </c>
      <c r="L219" s="19">
        <f>IF($B219="","",ROUND(SUMIFS(采购单!$L$4:$L$2003,采购单!$D$4:$D$2003,$B219,采购单!$F$4:$F$2003,"成本-主材")+SUMIFS(生产安装!$J$4:$J$1203,生产安装!$C$4:$C$1203,$B219,生产安装!$E$4:$E$1203,"成本-主材")+SUMIFS(资金日记账!$K$4:$K$2503,资金日记账!$G$4:$G$2503,$B219,资金日记账!$F$4:$F$2503,"成本-主材")-SUMIFS(资金日记账!$J$4:$J$2503,资金日记账!$G$4:$G$2503,$B219,资金日记账!$F$4:$F$2503,"成本-主材"),2))</f>
        <v/>
      </c>
      <c r="M219" s="19">
        <f>IF($B219="","",ROUND(SUMIFS(采购单!$L$4:$L$2003,采购单!$D$4:$D$2003,$B219,采购单!$F$4:$F$2003,"成本-辅材")+SUMIFS(生产安装!$J$4:$J$1203,生产安装!$C$4:$C$1203,$B219,生产安装!$E$4:$E$1203,"成本-辅材")+SUMIFS(资金日记账!$K$4:$K$2503,资金日记账!$G$4:$G$2503,$B219,资金日记账!$F$4:$F$2503,"成本-辅材")-SUMIFS(资金日记账!$J$4:$J$2503,资金日记账!$G$4:$G$2503,$B219,资金日记账!$F$4:$F$2503,"成本-辅材"),2))</f>
        <v/>
      </c>
      <c r="N219" s="19">
        <f>IF($B219="","",ROUND(SUMIFS(采购单!$L$4:$L$2003,采购单!$D$4:$D$2003,$B219,采购单!$F$4:$F$2003,"成本-人工")+SUMIFS(生产安装!$J$4:$J$1203,生产安装!$C$4:$C$1203,$B219,生产安装!$E$4:$E$1203,"成本-人工")+SUMIFS(资金日记账!$K$4:$K$2503,资金日记账!$G$4:$G$2503,$B219,资金日记账!$F$4:$F$2503,"成本-人工")-SUMIFS(资金日记账!$J$4:$J$2503,资金日记账!$G$4:$G$2503,$B219,资金日记账!$F$4:$F$2503,"成本-人工"),2))</f>
        <v/>
      </c>
      <c r="O219" s="19">
        <f>IF($B219="","",ROUND(SUMIFS(采购单!$L$4:$L$2003,采购单!$D$4:$D$2003,$B219,采购单!$F$4:$F$2003,"成本-车运")+SUMIFS(生产安装!$J$4:$J$1203,生产安装!$C$4:$C$1203,$B219,生产安装!$E$4:$E$1203,"成本-车运")+SUMIFS(资金日记账!$K$4:$K$2503,资金日记账!$G$4:$G$2503,$B219,资金日记账!$F$4:$F$2503,"成本-车运")-SUMIFS(资金日记账!$J$4:$J$2503,资金日记账!$G$4:$G$2503,$B219,资金日记账!$F$4:$F$2503,"成本-车运"),2))</f>
        <v/>
      </c>
      <c r="P219" s="19">
        <f>IF($B219="","",ROUND(SUMIFS(采购单!$L$4:$L$2003,采购单!$D$4:$D$2003,$B219,采购单!$F$4:$F$2003,"成本-其他")+SUMIFS(生产安装!$J$4:$J$1203,生产安装!$C$4:$C$1203,$B219,生产安装!$E$4:$E$1203,"成本-其他")+SUMIFS(资金日记账!$K$4:$K$2503,资金日记账!$G$4:$G$2503,$B219,资金日记账!$F$4:$F$2503,"成本-其他")-SUMIFS(资金日记账!$J$4:$J$2503,资金日记账!$G$4:$G$2503,$B219,资金日记账!$F$4:$F$2503,"成本-其他"),2))</f>
        <v/>
      </c>
      <c r="Q219" s="19">
        <f>IF($B219="","",ROUND(SUM($L219:$P219),2))</f>
        <v/>
      </c>
      <c r="R219" s="19">
        <f>IF($B219="","",ROUND($I219-$Q219,2))</f>
        <v/>
      </c>
      <c r="S219" s="33">
        <f>IF($B219="","",IF(ROUND($I219,2)=0,"",ROUND($R219/$I219,4)))</f>
        <v/>
      </c>
      <c r="T219" s="22">
        <f>IF($B219="","",IF($G219="",0,YEAR($G219)*100+MONTH($G219)))</f>
        <v/>
      </c>
      <c r="U219" s="17">
        <f>IF($B219="","",IF(项目台账!$R218="","",项目台账!$R218))</f>
        <v/>
      </c>
    </row>
    <row r="220">
      <c r="A220" s="17">
        <f>IF(项目台账!$B219="","",项目台账!$A219)</f>
        <v/>
      </c>
      <c r="B220" s="17">
        <f>IF(项目台账!$B219="","",项目台账!$B219)</f>
        <v/>
      </c>
      <c r="C220" s="17">
        <f>IF($B220="","",IF(项目台账!$C219="","",项目台账!$C219))</f>
        <v/>
      </c>
      <c r="D220" s="17">
        <f>IF($B220="","",IF(项目台账!$D219="","",项目台账!$D219))</f>
        <v/>
      </c>
      <c r="E220" s="17">
        <f>IF($B220="","",IF(项目台账!$E219="","",项目台账!$E219))</f>
        <v/>
      </c>
      <c r="F220" s="23">
        <f>IF($B220="","",IF(项目台账!$F219="","",项目台账!$F219))</f>
        <v/>
      </c>
      <c r="G220" s="23">
        <f>IF($B220="","",IF(项目台账!$J219="","",项目台账!$J219))</f>
        <v/>
      </c>
      <c r="H220" s="17">
        <f>IF($B220="","",IF(项目台账!$Q219="","",项目台账!$Q219))</f>
        <v/>
      </c>
      <c r="I220" s="19">
        <f>IF($B220="","",项目台账!$M219)</f>
        <v/>
      </c>
      <c r="J220" s="19">
        <f>IF($B220="","",项目台账!$O219)</f>
        <v/>
      </c>
      <c r="K220" s="19">
        <f>IF($B220="","",项目台账!$P219)</f>
        <v/>
      </c>
      <c r="L220" s="19">
        <f>IF($B220="","",ROUND(SUMIFS(采购单!$L$4:$L$2003,采购单!$D$4:$D$2003,$B220,采购单!$F$4:$F$2003,"成本-主材")+SUMIFS(生产安装!$J$4:$J$1203,生产安装!$C$4:$C$1203,$B220,生产安装!$E$4:$E$1203,"成本-主材")+SUMIFS(资金日记账!$K$4:$K$2503,资金日记账!$G$4:$G$2503,$B220,资金日记账!$F$4:$F$2503,"成本-主材")-SUMIFS(资金日记账!$J$4:$J$2503,资金日记账!$G$4:$G$2503,$B220,资金日记账!$F$4:$F$2503,"成本-主材"),2))</f>
        <v/>
      </c>
      <c r="M220" s="19">
        <f>IF($B220="","",ROUND(SUMIFS(采购单!$L$4:$L$2003,采购单!$D$4:$D$2003,$B220,采购单!$F$4:$F$2003,"成本-辅材")+SUMIFS(生产安装!$J$4:$J$1203,生产安装!$C$4:$C$1203,$B220,生产安装!$E$4:$E$1203,"成本-辅材")+SUMIFS(资金日记账!$K$4:$K$2503,资金日记账!$G$4:$G$2503,$B220,资金日记账!$F$4:$F$2503,"成本-辅材")-SUMIFS(资金日记账!$J$4:$J$2503,资金日记账!$G$4:$G$2503,$B220,资金日记账!$F$4:$F$2503,"成本-辅材"),2))</f>
        <v/>
      </c>
      <c r="N220" s="19">
        <f>IF($B220="","",ROUND(SUMIFS(采购单!$L$4:$L$2003,采购单!$D$4:$D$2003,$B220,采购单!$F$4:$F$2003,"成本-人工")+SUMIFS(生产安装!$J$4:$J$1203,生产安装!$C$4:$C$1203,$B220,生产安装!$E$4:$E$1203,"成本-人工")+SUMIFS(资金日记账!$K$4:$K$2503,资金日记账!$G$4:$G$2503,$B220,资金日记账!$F$4:$F$2503,"成本-人工")-SUMIFS(资金日记账!$J$4:$J$2503,资金日记账!$G$4:$G$2503,$B220,资金日记账!$F$4:$F$2503,"成本-人工"),2))</f>
        <v/>
      </c>
      <c r="O220" s="19">
        <f>IF($B220="","",ROUND(SUMIFS(采购单!$L$4:$L$2003,采购单!$D$4:$D$2003,$B220,采购单!$F$4:$F$2003,"成本-车运")+SUMIFS(生产安装!$J$4:$J$1203,生产安装!$C$4:$C$1203,$B220,生产安装!$E$4:$E$1203,"成本-车运")+SUMIFS(资金日记账!$K$4:$K$2503,资金日记账!$G$4:$G$2503,$B220,资金日记账!$F$4:$F$2503,"成本-车运")-SUMIFS(资金日记账!$J$4:$J$2503,资金日记账!$G$4:$G$2503,$B220,资金日记账!$F$4:$F$2503,"成本-车运"),2))</f>
        <v/>
      </c>
      <c r="P220" s="19">
        <f>IF($B220="","",ROUND(SUMIFS(采购单!$L$4:$L$2003,采购单!$D$4:$D$2003,$B220,采购单!$F$4:$F$2003,"成本-其他")+SUMIFS(生产安装!$J$4:$J$1203,生产安装!$C$4:$C$1203,$B220,生产安装!$E$4:$E$1203,"成本-其他")+SUMIFS(资金日记账!$K$4:$K$2503,资金日记账!$G$4:$G$2503,$B220,资金日记账!$F$4:$F$2503,"成本-其他")-SUMIFS(资金日记账!$J$4:$J$2503,资金日记账!$G$4:$G$2503,$B220,资金日记账!$F$4:$F$2503,"成本-其他"),2))</f>
        <v/>
      </c>
      <c r="Q220" s="19">
        <f>IF($B220="","",ROUND(SUM($L220:$P220),2))</f>
        <v/>
      </c>
      <c r="R220" s="19">
        <f>IF($B220="","",ROUND($I220-$Q220,2))</f>
        <v/>
      </c>
      <c r="S220" s="33">
        <f>IF($B220="","",IF(ROUND($I220,2)=0,"",ROUND($R220/$I220,4)))</f>
        <v/>
      </c>
      <c r="T220" s="22">
        <f>IF($B220="","",IF($G220="",0,YEAR($G220)*100+MONTH($G220)))</f>
        <v/>
      </c>
      <c r="U220" s="17">
        <f>IF($B220="","",IF(项目台账!$R219="","",项目台账!$R219))</f>
        <v/>
      </c>
    </row>
    <row r="221">
      <c r="A221" s="17">
        <f>IF(项目台账!$B220="","",项目台账!$A220)</f>
        <v/>
      </c>
      <c r="B221" s="17">
        <f>IF(项目台账!$B220="","",项目台账!$B220)</f>
        <v/>
      </c>
      <c r="C221" s="17">
        <f>IF($B221="","",IF(项目台账!$C220="","",项目台账!$C220))</f>
        <v/>
      </c>
      <c r="D221" s="17">
        <f>IF($B221="","",IF(项目台账!$D220="","",项目台账!$D220))</f>
        <v/>
      </c>
      <c r="E221" s="17">
        <f>IF($B221="","",IF(项目台账!$E220="","",项目台账!$E220))</f>
        <v/>
      </c>
      <c r="F221" s="23">
        <f>IF($B221="","",IF(项目台账!$F220="","",项目台账!$F220))</f>
        <v/>
      </c>
      <c r="G221" s="23">
        <f>IF($B221="","",IF(项目台账!$J220="","",项目台账!$J220))</f>
        <v/>
      </c>
      <c r="H221" s="17">
        <f>IF($B221="","",IF(项目台账!$Q220="","",项目台账!$Q220))</f>
        <v/>
      </c>
      <c r="I221" s="19">
        <f>IF($B221="","",项目台账!$M220)</f>
        <v/>
      </c>
      <c r="J221" s="19">
        <f>IF($B221="","",项目台账!$O220)</f>
        <v/>
      </c>
      <c r="K221" s="19">
        <f>IF($B221="","",项目台账!$P220)</f>
        <v/>
      </c>
      <c r="L221" s="19">
        <f>IF($B221="","",ROUND(SUMIFS(采购单!$L$4:$L$2003,采购单!$D$4:$D$2003,$B221,采购单!$F$4:$F$2003,"成本-主材")+SUMIFS(生产安装!$J$4:$J$1203,生产安装!$C$4:$C$1203,$B221,生产安装!$E$4:$E$1203,"成本-主材")+SUMIFS(资金日记账!$K$4:$K$2503,资金日记账!$G$4:$G$2503,$B221,资金日记账!$F$4:$F$2503,"成本-主材")-SUMIFS(资金日记账!$J$4:$J$2503,资金日记账!$G$4:$G$2503,$B221,资金日记账!$F$4:$F$2503,"成本-主材"),2))</f>
        <v/>
      </c>
      <c r="M221" s="19">
        <f>IF($B221="","",ROUND(SUMIFS(采购单!$L$4:$L$2003,采购单!$D$4:$D$2003,$B221,采购单!$F$4:$F$2003,"成本-辅材")+SUMIFS(生产安装!$J$4:$J$1203,生产安装!$C$4:$C$1203,$B221,生产安装!$E$4:$E$1203,"成本-辅材")+SUMIFS(资金日记账!$K$4:$K$2503,资金日记账!$G$4:$G$2503,$B221,资金日记账!$F$4:$F$2503,"成本-辅材")-SUMIFS(资金日记账!$J$4:$J$2503,资金日记账!$G$4:$G$2503,$B221,资金日记账!$F$4:$F$2503,"成本-辅材"),2))</f>
        <v/>
      </c>
      <c r="N221" s="19">
        <f>IF($B221="","",ROUND(SUMIFS(采购单!$L$4:$L$2003,采购单!$D$4:$D$2003,$B221,采购单!$F$4:$F$2003,"成本-人工")+SUMIFS(生产安装!$J$4:$J$1203,生产安装!$C$4:$C$1203,$B221,生产安装!$E$4:$E$1203,"成本-人工")+SUMIFS(资金日记账!$K$4:$K$2503,资金日记账!$G$4:$G$2503,$B221,资金日记账!$F$4:$F$2503,"成本-人工")-SUMIFS(资金日记账!$J$4:$J$2503,资金日记账!$G$4:$G$2503,$B221,资金日记账!$F$4:$F$2503,"成本-人工"),2))</f>
        <v/>
      </c>
      <c r="O221" s="19">
        <f>IF($B221="","",ROUND(SUMIFS(采购单!$L$4:$L$2003,采购单!$D$4:$D$2003,$B221,采购单!$F$4:$F$2003,"成本-车运")+SUMIFS(生产安装!$J$4:$J$1203,生产安装!$C$4:$C$1203,$B221,生产安装!$E$4:$E$1203,"成本-车运")+SUMIFS(资金日记账!$K$4:$K$2503,资金日记账!$G$4:$G$2503,$B221,资金日记账!$F$4:$F$2503,"成本-车运")-SUMIFS(资金日记账!$J$4:$J$2503,资金日记账!$G$4:$G$2503,$B221,资金日记账!$F$4:$F$2503,"成本-车运"),2))</f>
        <v/>
      </c>
      <c r="P221" s="19">
        <f>IF($B221="","",ROUND(SUMIFS(采购单!$L$4:$L$2003,采购单!$D$4:$D$2003,$B221,采购单!$F$4:$F$2003,"成本-其他")+SUMIFS(生产安装!$J$4:$J$1203,生产安装!$C$4:$C$1203,$B221,生产安装!$E$4:$E$1203,"成本-其他")+SUMIFS(资金日记账!$K$4:$K$2503,资金日记账!$G$4:$G$2503,$B221,资金日记账!$F$4:$F$2503,"成本-其他")-SUMIFS(资金日记账!$J$4:$J$2503,资金日记账!$G$4:$G$2503,$B221,资金日记账!$F$4:$F$2503,"成本-其他"),2))</f>
        <v/>
      </c>
      <c r="Q221" s="19">
        <f>IF($B221="","",ROUND(SUM($L221:$P221),2))</f>
        <v/>
      </c>
      <c r="R221" s="19">
        <f>IF($B221="","",ROUND($I221-$Q221,2))</f>
        <v/>
      </c>
      <c r="S221" s="33">
        <f>IF($B221="","",IF(ROUND($I221,2)=0,"",ROUND($R221/$I221,4)))</f>
        <v/>
      </c>
      <c r="T221" s="22">
        <f>IF($B221="","",IF($G221="",0,YEAR($G221)*100+MONTH($G221)))</f>
        <v/>
      </c>
      <c r="U221" s="17">
        <f>IF($B221="","",IF(项目台账!$R220="","",项目台账!$R220))</f>
        <v/>
      </c>
    </row>
    <row r="222">
      <c r="A222" s="17">
        <f>IF(项目台账!$B221="","",项目台账!$A221)</f>
        <v/>
      </c>
      <c r="B222" s="17">
        <f>IF(项目台账!$B221="","",项目台账!$B221)</f>
        <v/>
      </c>
      <c r="C222" s="17">
        <f>IF($B222="","",IF(项目台账!$C221="","",项目台账!$C221))</f>
        <v/>
      </c>
      <c r="D222" s="17">
        <f>IF($B222="","",IF(项目台账!$D221="","",项目台账!$D221))</f>
        <v/>
      </c>
      <c r="E222" s="17">
        <f>IF($B222="","",IF(项目台账!$E221="","",项目台账!$E221))</f>
        <v/>
      </c>
      <c r="F222" s="23">
        <f>IF($B222="","",IF(项目台账!$F221="","",项目台账!$F221))</f>
        <v/>
      </c>
      <c r="G222" s="23">
        <f>IF($B222="","",IF(项目台账!$J221="","",项目台账!$J221))</f>
        <v/>
      </c>
      <c r="H222" s="17">
        <f>IF($B222="","",IF(项目台账!$Q221="","",项目台账!$Q221))</f>
        <v/>
      </c>
      <c r="I222" s="19">
        <f>IF($B222="","",项目台账!$M221)</f>
        <v/>
      </c>
      <c r="J222" s="19">
        <f>IF($B222="","",项目台账!$O221)</f>
        <v/>
      </c>
      <c r="K222" s="19">
        <f>IF($B222="","",项目台账!$P221)</f>
        <v/>
      </c>
      <c r="L222" s="19">
        <f>IF($B222="","",ROUND(SUMIFS(采购单!$L$4:$L$2003,采购单!$D$4:$D$2003,$B222,采购单!$F$4:$F$2003,"成本-主材")+SUMIFS(生产安装!$J$4:$J$1203,生产安装!$C$4:$C$1203,$B222,生产安装!$E$4:$E$1203,"成本-主材")+SUMIFS(资金日记账!$K$4:$K$2503,资金日记账!$G$4:$G$2503,$B222,资金日记账!$F$4:$F$2503,"成本-主材")-SUMIFS(资金日记账!$J$4:$J$2503,资金日记账!$G$4:$G$2503,$B222,资金日记账!$F$4:$F$2503,"成本-主材"),2))</f>
        <v/>
      </c>
      <c r="M222" s="19">
        <f>IF($B222="","",ROUND(SUMIFS(采购单!$L$4:$L$2003,采购单!$D$4:$D$2003,$B222,采购单!$F$4:$F$2003,"成本-辅材")+SUMIFS(生产安装!$J$4:$J$1203,生产安装!$C$4:$C$1203,$B222,生产安装!$E$4:$E$1203,"成本-辅材")+SUMIFS(资金日记账!$K$4:$K$2503,资金日记账!$G$4:$G$2503,$B222,资金日记账!$F$4:$F$2503,"成本-辅材")-SUMIFS(资金日记账!$J$4:$J$2503,资金日记账!$G$4:$G$2503,$B222,资金日记账!$F$4:$F$2503,"成本-辅材"),2))</f>
        <v/>
      </c>
      <c r="N222" s="19">
        <f>IF($B222="","",ROUND(SUMIFS(采购单!$L$4:$L$2003,采购单!$D$4:$D$2003,$B222,采购单!$F$4:$F$2003,"成本-人工")+SUMIFS(生产安装!$J$4:$J$1203,生产安装!$C$4:$C$1203,$B222,生产安装!$E$4:$E$1203,"成本-人工")+SUMIFS(资金日记账!$K$4:$K$2503,资金日记账!$G$4:$G$2503,$B222,资金日记账!$F$4:$F$2503,"成本-人工")-SUMIFS(资金日记账!$J$4:$J$2503,资金日记账!$G$4:$G$2503,$B222,资金日记账!$F$4:$F$2503,"成本-人工"),2))</f>
        <v/>
      </c>
      <c r="O222" s="19">
        <f>IF($B222="","",ROUND(SUMIFS(采购单!$L$4:$L$2003,采购单!$D$4:$D$2003,$B222,采购单!$F$4:$F$2003,"成本-车运")+SUMIFS(生产安装!$J$4:$J$1203,生产安装!$C$4:$C$1203,$B222,生产安装!$E$4:$E$1203,"成本-车运")+SUMIFS(资金日记账!$K$4:$K$2503,资金日记账!$G$4:$G$2503,$B222,资金日记账!$F$4:$F$2503,"成本-车运")-SUMIFS(资金日记账!$J$4:$J$2503,资金日记账!$G$4:$G$2503,$B222,资金日记账!$F$4:$F$2503,"成本-车运"),2))</f>
        <v/>
      </c>
      <c r="P222" s="19">
        <f>IF($B222="","",ROUND(SUMIFS(采购单!$L$4:$L$2003,采购单!$D$4:$D$2003,$B222,采购单!$F$4:$F$2003,"成本-其他")+SUMIFS(生产安装!$J$4:$J$1203,生产安装!$C$4:$C$1203,$B222,生产安装!$E$4:$E$1203,"成本-其他")+SUMIFS(资金日记账!$K$4:$K$2503,资金日记账!$G$4:$G$2503,$B222,资金日记账!$F$4:$F$2503,"成本-其他")-SUMIFS(资金日记账!$J$4:$J$2503,资金日记账!$G$4:$G$2503,$B222,资金日记账!$F$4:$F$2503,"成本-其他"),2))</f>
        <v/>
      </c>
      <c r="Q222" s="19">
        <f>IF($B222="","",ROUND(SUM($L222:$P222),2))</f>
        <v/>
      </c>
      <c r="R222" s="19">
        <f>IF($B222="","",ROUND($I222-$Q222,2))</f>
        <v/>
      </c>
      <c r="S222" s="33">
        <f>IF($B222="","",IF(ROUND($I222,2)=0,"",ROUND($R222/$I222,4)))</f>
        <v/>
      </c>
      <c r="T222" s="22">
        <f>IF($B222="","",IF($G222="",0,YEAR($G222)*100+MONTH($G222)))</f>
        <v/>
      </c>
      <c r="U222" s="17">
        <f>IF($B222="","",IF(项目台账!$R221="","",项目台账!$R221))</f>
        <v/>
      </c>
    </row>
    <row r="223">
      <c r="A223" s="17">
        <f>IF(项目台账!$B222="","",项目台账!$A222)</f>
        <v/>
      </c>
      <c r="B223" s="17">
        <f>IF(项目台账!$B222="","",项目台账!$B222)</f>
        <v/>
      </c>
      <c r="C223" s="17">
        <f>IF($B223="","",IF(项目台账!$C222="","",项目台账!$C222))</f>
        <v/>
      </c>
      <c r="D223" s="17">
        <f>IF($B223="","",IF(项目台账!$D222="","",项目台账!$D222))</f>
        <v/>
      </c>
      <c r="E223" s="17">
        <f>IF($B223="","",IF(项目台账!$E222="","",项目台账!$E222))</f>
        <v/>
      </c>
      <c r="F223" s="23">
        <f>IF($B223="","",IF(项目台账!$F222="","",项目台账!$F222))</f>
        <v/>
      </c>
      <c r="G223" s="23">
        <f>IF($B223="","",IF(项目台账!$J222="","",项目台账!$J222))</f>
        <v/>
      </c>
      <c r="H223" s="17">
        <f>IF($B223="","",IF(项目台账!$Q222="","",项目台账!$Q222))</f>
        <v/>
      </c>
      <c r="I223" s="19">
        <f>IF($B223="","",项目台账!$M222)</f>
        <v/>
      </c>
      <c r="J223" s="19">
        <f>IF($B223="","",项目台账!$O222)</f>
        <v/>
      </c>
      <c r="K223" s="19">
        <f>IF($B223="","",项目台账!$P222)</f>
        <v/>
      </c>
      <c r="L223" s="19">
        <f>IF($B223="","",ROUND(SUMIFS(采购单!$L$4:$L$2003,采购单!$D$4:$D$2003,$B223,采购单!$F$4:$F$2003,"成本-主材")+SUMIFS(生产安装!$J$4:$J$1203,生产安装!$C$4:$C$1203,$B223,生产安装!$E$4:$E$1203,"成本-主材")+SUMIFS(资金日记账!$K$4:$K$2503,资金日记账!$G$4:$G$2503,$B223,资金日记账!$F$4:$F$2503,"成本-主材")-SUMIFS(资金日记账!$J$4:$J$2503,资金日记账!$G$4:$G$2503,$B223,资金日记账!$F$4:$F$2503,"成本-主材"),2))</f>
        <v/>
      </c>
      <c r="M223" s="19">
        <f>IF($B223="","",ROUND(SUMIFS(采购单!$L$4:$L$2003,采购单!$D$4:$D$2003,$B223,采购单!$F$4:$F$2003,"成本-辅材")+SUMIFS(生产安装!$J$4:$J$1203,生产安装!$C$4:$C$1203,$B223,生产安装!$E$4:$E$1203,"成本-辅材")+SUMIFS(资金日记账!$K$4:$K$2503,资金日记账!$G$4:$G$2503,$B223,资金日记账!$F$4:$F$2503,"成本-辅材")-SUMIFS(资金日记账!$J$4:$J$2503,资金日记账!$G$4:$G$2503,$B223,资金日记账!$F$4:$F$2503,"成本-辅材"),2))</f>
        <v/>
      </c>
      <c r="N223" s="19">
        <f>IF($B223="","",ROUND(SUMIFS(采购单!$L$4:$L$2003,采购单!$D$4:$D$2003,$B223,采购单!$F$4:$F$2003,"成本-人工")+SUMIFS(生产安装!$J$4:$J$1203,生产安装!$C$4:$C$1203,$B223,生产安装!$E$4:$E$1203,"成本-人工")+SUMIFS(资金日记账!$K$4:$K$2503,资金日记账!$G$4:$G$2503,$B223,资金日记账!$F$4:$F$2503,"成本-人工")-SUMIFS(资金日记账!$J$4:$J$2503,资金日记账!$G$4:$G$2503,$B223,资金日记账!$F$4:$F$2503,"成本-人工"),2))</f>
        <v/>
      </c>
      <c r="O223" s="19">
        <f>IF($B223="","",ROUND(SUMIFS(采购单!$L$4:$L$2003,采购单!$D$4:$D$2003,$B223,采购单!$F$4:$F$2003,"成本-车运")+SUMIFS(生产安装!$J$4:$J$1203,生产安装!$C$4:$C$1203,$B223,生产安装!$E$4:$E$1203,"成本-车运")+SUMIFS(资金日记账!$K$4:$K$2503,资金日记账!$G$4:$G$2503,$B223,资金日记账!$F$4:$F$2503,"成本-车运")-SUMIFS(资金日记账!$J$4:$J$2503,资金日记账!$G$4:$G$2503,$B223,资金日记账!$F$4:$F$2503,"成本-车运"),2))</f>
        <v/>
      </c>
      <c r="P223" s="19">
        <f>IF($B223="","",ROUND(SUMIFS(采购单!$L$4:$L$2003,采购单!$D$4:$D$2003,$B223,采购单!$F$4:$F$2003,"成本-其他")+SUMIFS(生产安装!$J$4:$J$1203,生产安装!$C$4:$C$1203,$B223,生产安装!$E$4:$E$1203,"成本-其他")+SUMIFS(资金日记账!$K$4:$K$2503,资金日记账!$G$4:$G$2503,$B223,资金日记账!$F$4:$F$2503,"成本-其他")-SUMIFS(资金日记账!$J$4:$J$2503,资金日记账!$G$4:$G$2503,$B223,资金日记账!$F$4:$F$2503,"成本-其他"),2))</f>
        <v/>
      </c>
      <c r="Q223" s="19">
        <f>IF($B223="","",ROUND(SUM($L223:$P223),2))</f>
        <v/>
      </c>
      <c r="R223" s="19">
        <f>IF($B223="","",ROUND($I223-$Q223,2))</f>
        <v/>
      </c>
      <c r="S223" s="33">
        <f>IF($B223="","",IF(ROUND($I223,2)=0,"",ROUND($R223/$I223,4)))</f>
        <v/>
      </c>
      <c r="T223" s="22">
        <f>IF($B223="","",IF($G223="",0,YEAR($G223)*100+MONTH($G223)))</f>
        <v/>
      </c>
      <c r="U223" s="17">
        <f>IF($B223="","",IF(项目台账!$R222="","",项目台账!$R222))</f>
        <v/>
      </c>
    </row>
    <row r="224">
      <c r="A224" s="17">
        <f>IF(项目台账!$B223="","",项目台账!$A223)</f>
        <v/>
      </c>
      <c r="B224" s="17">
        <f>IF(项目台账!$B223="","",项目台账!$B223)</f>
        <v/>
      </c>
      <c r="C224" s="17">
        <f>IF($B224="","",IF(项目台账!$C223="","",项目台账!$C223))</f>
        <v/>
      </c>
      <c r="D224" s="17">
        <f>IF($B224="","",IF(项目台账!$D223="","",项目台账!$D223))</f>
        <v/>
      </c>
      <c r="E224" s="17">
        <f>IF($B224="","",IF(项目台账!$E223="","",项目台账!$E223))</f>
        <v/>
      </c>
      <c r="F224" s="23">
        <f>IF($B224="","",IF(项目台账!$F223="","",项目台账!$F223))</f>
        <v/>
      </c>
      <c r="G224" s="23">
        <f>IF($B224="","",IF(项目台账!$J223="","",项目台账!$J223))</f>
        <v/>
      </c>
      <c r="H224" s="17">
        <f>IF($B224="","",IF(项目台账!$Q223="","",项目台账!$Q223))</f>
        <v/>
      </c>
      <c r="I224" s="19">
        <f>IF($B224="","",项目台账!$M223)</f>
        <v/>
      </c>
      <c r="J224" s="19">
        <f>IF($B224="","",项目台账!$O223)</f>
        <v/>
      </c>
      <c r="K224" s="19">
        <f>IF($B224="","",项目台账!$P223)</f>
        <v/>
      </c>
      <c r="L224" s="19">
        <f>IF($B224="","",ROUND(SUMIFS(采购单!$L$4:$L$2003,采购单!$D$4:$D$2003,$B224,采购单!$F$4:$F$2003,"成本-主材")+SUMIFS(生产安装!$J$4:$J$1203,生产安装!$C$4:$C$1203,$B224,生产安装!$E$4:$E$1203,"成本-主材")+SUMIFS(资金日记账!$K$4:$K$2503,资金日记账!$G$4:$G$2503,$B224,资金日记账!$F$4:$F$2503,"成本-主材")-SUMIFS(资金日记账!$J$4:$J$2503,资金日记账!$G$4:$G$2503,$B224,资金日记账!$F$4:$F$2503,"成本-主材"),2))</f>
        <v/>
      </c>
      <c r="M224" s="19">
        <f>IF($B224="","",ROUND(SUMIFS(采购单!$L$4:$L$2003,采购单!$D$4:$D$2003,$B224,采购单!$F$4:$F$2003,"成本-辅材")+SUMIFS(生产安装!$J$4:$J$1203,生产安装!$C$4:$C$1203,$B224,生产安装!$E$4:$E$1203,"成本-辅材")+SUMIFS(资金日记账!$K$4:$K$2503,资金日记账!$G$4:$G$2503,$B224,资金日记账!$F$4:$F$2503,"成本-辅材")-SUMIFS(资金日记账!$J$4:$J$2503,资金日记账!$G$4:$G$2503,$B224,资金日记账!$F$4:$F$2503,"成本-辅材"),2))</f>
        <v/>
      </c>
      <c r="N224" s="19">
        <f>IF($B224="","",ROUND(SUMIFS(采购单!$L$4:$L$2003,采购单!$D$4:$D$2003,$B224,采购单!$F$4:$F$2003,"成本-人工")+SUMIFS(生产安装!$J$4:$J$1203,生产安装!$C$4:$C$1203,$B224,生产安装!$E$4:$E$1203,"成本-人工")+SUMIFS(资金日记账!$K$4:$K$2503,资金日记账!$G$4:$G$2503,$B224,资金日记账!$F$4:$F$2503,"成本-人工")-SUMIFS(资金日记账!$J$4:$J$2503,资金日记账!$G$4:$G$2503,$B224,资金日记账!$F$4:$F$2503,"成本-人工"),2))</f>
        <v/>
      </c>
      <c r="O224" s="19">
        <f>IF($B224="","",ROUND(SUMIFS(采购单!$L$4:$L$2003,采购单!$D$4:$D$2003,$B224,采购单!$F$4:$F$2003,"成本-车运")+SUMIFS(生产安装!$J$4:$J$1203,生产安装!$C$4:$C$1203,$B224,生产安装!$E$4:$E$1203,"成本-车运")+SUMIFS(资金日记账!$K$4:$K$2503,资金日记账!$G$4:$G$2503,$B224,资金日记账!$F$4:$F$2503,"成本-车运")-SUMIFS(资金日记账!$J$4:$J$2503,资金日记账!$G$4:$G$2503,$B224,资金日记账!$F$4:$F$2503,"成本-车运"),2))</f>
        <v/>
      </c>
      <c r="P224" s="19">
        <f>IF($B224="","",ROUND(SUMIFS(采购单!$L$4:$L$2003,采购单!$D$4:$D$2003,$B224,采购单!$F$4:$F$2003,"成本-其他")+SUMIFS(生产安装!$J$4:$J$1203,生产安装!$C$4:$C$1203,$B224,生产安装!$E$4:$E$1203,"成本-其他")+SUMIFS(资金日记账!$K$4:$K$2503,资金日记账!$G$4:$G$2503,$B224,资金日记账!$F$4:$F$2503,"成本-其他")-SUMIFS(资金日记账!$J$4:$J$2503,资金日记账!$G$4:$G$2503,$B224,资金日记账!$F$4:$F$2503,"成本-其他"),2))</f>
        <v/>
      </c>
      <c r="Q224" s="19">
        <f>IF($B224="","",ROUND(SUM($L224:$P224),2))</f>
        <v/>
      </c>
      <c r="R224" s="19">
        <f>IF($B224="","",ROUND($I224-$Q224,2))</f>
        <v/>
      </c>
      <c r="S224" s="33">
        <f>IF($B224="","",IF(ROUND($I224,2)=0,"",ROUND($R224/$I224,4)))</f>
        <v/>
      </c>
      <c r="T224" s="22">
        <f>IF($B224="","",IF($G224="",0,YEAR($G224)*100+MONTH($G224)))</f>
        <v/>
      </c>
      <c r="U224" s="17">
        <f>IF($B224="","",IF(项目台账!$R223="","",项目台账!$R223))</f>
        <v/>
      </c>
    </row>
    <row r="225">
      <c r="A225" s="17">
        <f>IF(项目台账!$B224="","",项目台账!$A224)</f>
        <v/>
      </c>
      <c r="B225" s="17">
        <f>IF(项目台账!$B224="","",项目台账!$B224)</f>
        <v/>
      </c>
      <c r="C225" s="17">
        <f>IF($B225="","",IF(项目台账!$C224="","",项目台账!$C224))</f>
        <v/>
      </c>
      <c r="D225" s="17">
        <f>IF($B225="","",IF(项目台账!$D224="","",项目台账!$D224))</f>
        <v/>
      </c>
      <c r="E225" s="17">
        <f>IF($B225="","",IF(项目台账!$E224="","",项目台账!$E224))</f>
        <v/>
      </c>
      <c r="F225" s="23">
        <f>IF($B225="","",IF(项目台账!$F224="","",项目台账!$F224))</f>
        <v/>
      </c>
      <c r="G225" s="23">
        <f>IF($B225="","",IF(项目台账!$J224="","",项目台账!$J224))</f>
        <v/>
      </c>
      <c r="H225" s="17">
        <f>IF($B225="","",IF(项目台账!$Q224="","",项目台账!$Q224))</f>
        <v/>
      </c>
      <c r="I225" s="19">
        <f>IF($B225="","",项目台账!$M224)</f>
        <v/>
      </c>
      <c r="J225" s="19">
        <f>IF($B225="","",项目台账!$O224)</f>
        <v/>
      </c>
      <c r="K225" s="19">
        <f>IF($B225="","",项目台账!$P224)</f>
        <v/>
      </c>
      <c r="L225" s="19">
        <f>IF($B225="","",ROUND(SUMIFS(采购单!$L$4:$L$2003,采购单!$D$4:$D$2003,$B225,采购单!$F$4:$F$2003,"成本-主材")+SUMIFS(生产安装!$J$4:$J$1203,生产安装!$C$4:$C$1203,$B225,生产安装!$E$4:$E$1203,"成本-主材")+SUMIFS(资金日记账!$K$4:$K$2503,资金日记账!$G$4:$G$2503,$B225,资金日记账!$F$4:$F$2503,"成本-主材")-SUMIFS(资金日记账!$J$4:$J$2503,资金日记账!$G$4:$G$2503,$B225,资金日记账!$F$4:$F$2503,"成本-主材"),2))</f>
        <v/>
      </c>
      <c r="M225" s="19">
        <f>IF($B225="","",ROUND(SUMIFS(采购单!$L$4:$L$2003,采购单!$D$4:$D$2003,$B225,采购单!$F$4:$F$2003,"成本-辅材")+SUMIFS(生产安装!$J$4:$J$1203,生产安装!$C$4:$C$1203,$B225,生产安装!$E$4:$E$1203,"成本-辅材")+SUMIFS(资金日记账!$K$4:$K$2503,资金日记账!$G$4:$G$2503,$B225,资金日记账!$F$4:$F$2503,"成本-辅材")-SUMIFS(资金日记账!$J$4:$J$2503,资金日记账!$G$4:$G$2503,$B225,资金日记账!$F$4:$F$2503,"成本-辅材"),2))</f>
        <v/>
      </c>
      <c r="N225" s="19">
        <f>IF($B225="","",ROUND(SUMIFS(采购单!$L$4:$L$2003,采购单!$D$4:$D$2003,$B225,采购单!$F$4:$F$2003,"成本-人工")+SUMIFS(生产安装!$J$4:$J$1203,生产安装!$C$4:$C$1203,$B225,生产安装!$E$4:$E$1203,"成本-人工")+SUMIFS(资金日记账!$K$4:$K$2503,资金日记账!$G$4:$G$2503,$B225,资金日记账!$F$4:$F$2503,"成本-人工")-SUMIFS(资金日记账!$J$4:$J$2503,资金日记账!$G$4:$G$2503,$B225,资金日记账!$F$4:$F$2503,"成本-人工"),2))</f>
        <v/>
      </c>
      <c r="O225" s="19">
        <f>IF($B225="","",ROUND(SUMIFS(采购单!$L$4:$L$2003,采购单!$D$4:$D$2003,$B225,采购单!$F$4:$F$2003,"成本-车运")+SUMIFS(生产安装!$J$4:$J$1203,生产安装!$C$4:$C$1203,$B225,生产安装!$E$4:$E$1203,"成本-车运")+SUMIFS(资金日记账!$K$4:$K$2503,资金日记账!$G$4:$G$2503,$B225,资金日记账!$F$4:$F$2503,"成本-车运")-SUMIFS(资金日记账!$J$4:$J$2503,资金日记账!$G$4:$G$2503,$B225,资金日记账!$F$4:$F$2503,"成本-车运"),2))</f>
        <v/>
      </c>
      <c r="P225" s="19">
        <f>IF($B225="","",ROUND(SUMIFS(采购单!$L$4:$L$2003,采购单!$D$4:$D$2003,$B225,采购单!$F$4:$F$2003,"成本-其他")+SUMIFS(生产安装!$J$4:$J$1203,生产安装!$C$4:$C$1203,$B225,生产安装!$E$4:$E$1203,"成本-其他")+SUMIFS(资金日记账!$K$4:$K$2503,资金日记账!$G$4:$G$2503,$B225,资金日记账!$F$4:$F$2503,"成本-其他")-SUMIFS(资金日记账!$J$4:$J$2503,资金日记账!$G$4:$G$2503,$B225,资金日记账!$F$4:$F$2503,"成本-其他"),2))</f>
        <v/>
      </c>
      <c r="Q225" s="19">
        <f>IF($B225="","",ROUND(SUM($L225:$P225),2))</f>
        <v/>
      </c>
      <c r="R225" s="19">
        <f>IF($B225="","",ROUND($I225-$Q225,2))</f>
        <v/>
      </c>
      <c r="S225" s="33">
        <f>IF($B225="","",IF(ROUND($I225,2)=0,"",ROUND($R225/$I225,4)))</f>
        <v/>
      </c>
      <c r="T225" s="22">
        <f>IF($B225="","",IF($G225="",0,YEAR($G225)*100+MONTH($G225)))</f>
        <v/>
      </c>
      <c r="U225" s="17">
        <f>IF($B225="","",IF(项目台账!$R224="","",项目台账!$R224))</f>
        <v/>
      </c>
    </row>
    <row r="226">
      <c r="A226" s="17">
        <f>IF(项目台账!$B225="","",项目台账!$A225)</f>
        <v/>
      </c>
      <c r="B226" s="17">
        <f>IF(项目台账!$B225="","",项目台账!$B225)</f>
        <v/>
      </c>
      <c r="C226" s="17">
        <f>IF($B226="","",IF(项目台账!$C225="","",项目台账!$C225))</f>
        <v/>
      </c>
      <c r="D226" s="17">
        <f>IF($B226="","",IF(项目台账!$D225="","",项目台账!$D225))</f>
        <v/>
      </c>
      <c r="E226" s="17">
        <f>IF($B226="","",IF(项目台账!$E225="","",项目台账!$E225))</f>
        <v/>
      </c>
      <c r="F226" s="23">
        <f>IF($B226="","",IF(项目台账!$F225="","",项目台账!$F225))</f>
        <v/>
      </c>
      <c r="G226" s="23">
        <f>IF($B226="","",IF(项目台账!$J225="","",项目台账!$J225))</f>
        <v/>
      </c>
      <c r="H226" s="17">
        <f>IF($B226="","",IF(项目台账!$Q225="","",项目台账!$Q225))</f>
        <v/>
      </c>
      <c r="I226" s="19">
        <f>IF($B226="","",项目台账!$M225)</f>
        <v/>
      </c>
      <c r="J226" s="19">
        <f>IF($B226="","",项目台账!$O225)</f>
        <v/>
      </c>
      <c r="K226" s="19">
        <f>IF($B226="","",项目台账!$P225)</f>
        <v/>
      </c>
      <c r="L226" s="19">
        <f>IF($B226="","",ROUND(SUMIFS(采购单!$L$4:$L$2003,采购单!$D$4:$D$2003,$B226,采购单!$F$4:$F$2003,"成本-主材")+SUMIFS(生产安装!$J$4:$J$1203,生产安装!$C$4:$C$1203,$B226,生产安装!$E$4:$E$1203,"成本-主材")+SUMIFS(资金日记账!$K$4:$K$2503,资金日记账!$G$4:$G$2503,$B226,资金日记账!$F$4:$F$2503,"成本-主材")-SUMIFS(资金日记账!$J$4:$J$2503,资金日记账!$G$4:$G$2503,$B226,资金日记账!$F$4:$F$2503,"成本-主材"),2))</f>
        <v/>
      </c>
      <c r="M226" s="19">
        <f>IF($B226="","",ROUND(SUMIFS(采购单!$L$4:$L$2003,采购单!$D$4:$D$2003,$B226,采购单!$F$4:$F$2003,"成本-辅材")+SUMIFS(生产安装!$J$4:$J$1203,生产安装!$C$4:$C$1203,$B226,生产安装!$E$4:$E$1203,"成本-辅材")+SUMIFS(资金日记账!$K$4:$K$2503,资金日记账!$G$4:$G$2503,$B226,资金日记账!$F$4:$F$2503,"成本-辅材")-SUMIFS(资金日记账!$J$4:$J$2503,资金日记账!$G$4:$G$2503,$B226,资金日记账!$F$4:$F$2503,"成本-辅材"),2))</f>
        <v/>
      </c>
      <c r="N226" s="19">
        <f>IF($B226="","",ROUND(SUMIFS(采购单!$L$4:$L$2003,采购单!$D$4:$D$2003,$B226,采购单!$F$4:$F$2003,"成本-人工")+SUMIFS(生产安装!$J$4:$J$1203,生产安装!$C$4:$C$1203,$B226,生产安装!$E$4:$E$1203,"成本-人工")+SUMIFS(资金日记账!$K$4:$K$2503,资金日记账!$G$4:$G$2503,$B226,资金日记账!$F$4:$F$2503,"成本-人工")-SUMIFS(资金日记账!$J$4:$J$2503,资金日记账!$G$4:$G$2503,$B226,资金日记账!$F$4:$F$2503,"成本-人工"),2))</f>
        <v/>
      </c>
      <c r="O226" s="19">
        <f>IF($B226="","",ROUND(SUMIFS(采购单!$L$4:$L$2003,采购单!$D$4:$D$2003,$B226,采购单!$F$4:$F$2003,"成本-车运")+SUMIFS(生产安装!$J$4:$J$1203,生产安装!$C$4:$C$1203,$B226,生产安装!$E$4:$E$1203,"成本-车运")+SUMIFS(资金日记账!$K$4:$K$2503,资金日记账!$G$4:$G$2503,$B226,资金日记账!$F$4:$F$2503,"成本-车运")-SUMIFS(资金日记账!$J$4:$J$2503,资金日记账!$G$4:$G$2503,$B226,资金日记账!$F$4:$F$2503,"成本-车运"),2))</f>
        <v/>
      </c>
      <c r="P226" s="19">
        <f>IF($B226="","",ROUND(SUMIFS(采购单!$L$4:$L$2003,采购单!$D$4:$D$2003,$B226,采购单!$F$4:$F$2003,"成本-其他")+SUMIFS(生产安装!$J$4:$J$1203,生产安装!$C$4:$C$1203,$B226,生产安装!$E$4:$E$1203,"成本-其他")+SUMIFS(资金日记账!$K$4:$K$2503,资金日记账!$G$4:$G$2503,$B226,资金日记账!$F$4:$F$2503,"成本-其他")-SUMIFS(资金日记账!$J$4:$J$2503,资金日记账!$G$4:$G$2503,$B226,资金日记账!$F$4:$F$2503,"成本-其他"),2))</f>
        <v/>
      </c>
      <c r="Q226" s="19">
        <f>IF($B226="","",ROUND(SUM($L226:$P226),2))</f>
        <v/>
      </c>
      <c r="R226" s="19">
        <f>IF($B226="","",ROUND($I226-$Q226,2))</f>
        <v/>
      </c>
      <c r="S226" s="33">
        <f>IF($B226="","",IF(ROUND($I226,2)=0,"",ROUND($R226/$I226,4)))</f>
        <v/>
      </c>
      <c r="T226" s="22">
        <f>IF($B226="","",IF($G226="",0,YEAR($G226)*100+MONTH($G226)))</f>
        <v/>
      </c>
      <c r="U226" s="17">
        <f>IF($B226="","",IF(项目台账!$R225="","",项目台账!$R225))</f>
        <v/>
      </c>
    </row>
    <row r="227">
      <c r="A227" s="17">
        <f>IF(项目台账!$B226="","",项目台账!$A226)</f>
        <v/>
      </c>
      <c r="B227" s="17">
        <f>IF(项目台账!$B226="","",项目台账!$B226)</f>
        <v/>
      </c>
      <c r="C227" s="17">
        <f>IF($B227="","",IF(项目台账!$C226="","",项目台账!$C226))</f>
        <v/>
      </c>
      <c r="D227" s="17">
        <f>IF($B227="","",IF(项目台账!$D226="","",项目台账!$D226))</f>
        <v/>
      </c>
      <c r="E227" s="17">
        <f>IF($B227="","",IF(项目台账!$E226="","",项目台账!$E226))</f>
        <v/>
      </c>
      <c r="F227" s="23">
        <f>IF($B227="","",IF(项目台账!$F226="","",项目台账!$F226))</f>
        <v/>
      </c>
      <c r="G227" s="23">
        <f>IF($B227="","",IF(项目台账!$J226="","",项目台账!$J226))</f>
        <v/>
      </c>
      <c r="H227" s="17">
        <f>IF($B227="","",IF(项目台账!$Q226="","",项目台账!$Q226))</f>
        <v/>
      </c>
      <c r="I227" s="19">
        <f>IF($B227="","",项目台账!$M226)</f>
        <v/>
      </c>
      <c r="J227" s="19">
        <f>IF($B227="","",项目台账!$O226)</f>
        <v/>
      </c>
      <c r="K227" s="19">
        <f>IF($B227="","",项目台账!$P226)</f>
        <v/>
      </c>
      <c r="L227" s="19">
        <f>IF($B227="","",ROUND(SUMIFS(采购单!$L$4:$L$2003,采购单!$D$4:$D$2003,$B227,采购单!$F$4:$F$2003,"成本-主材")+SUMIFS(生产安装!$J$4:$J$1203,生产安装!$C$4:$C$1203,$B227,生产安装!$E$4:$E$1203,"成本-主材")+SUMIFS(资金日记账!$K$4:$K$2503,资金日记账!$G$4:$G$2503,$B227,资金日记账!$F$4:$F$2503,"成本-主材")-SUMIFS(资金日记账!$J$4:$J$2503,资金日记账!$G$4:$G$2503,$B227,资金日记账!$F$4:$F$2503,"成本-主材"),2))</f>
        <v/>
      </c>
      <c r="M227" s="19">
        <f>IF($B227="","",ROUND(SUMIFS(采购单!$L$4:$L$2003,采购单!$D$4:$D$2003,$B227,采购单!$F$4:$F$2003,"成本-辅材")+SUMIFS(生产安装!$J$4:$J$1203,生产安装!$C$4:$C$1203,$B227,生产安装!$E$4:$E$1203,"成本-辅材")+SUMIFS(资金日记账!$K$4:$K$2503,资金日记账!$G$4:$G$2503,$B227,资金日记账!$F$4:$F$2503,"成本-辅材")-SUMIFS(资金日记账!$J$4:$J$2503,资金日记账!$G$4:$G$2503,$B227,资金日记账!$F$4:$F$2503,"成本-辅材"),2))</f>
        <v/>
      </c>
      <c r="N227" s="19">
        <f>IF($B227="","",ROUND(SUMIFS(采购单!$L$4:$L$2003,采购单!$D$4:$D$2003,$B227,采购单!$F$4:$F$2003,"成本-人工")+SUMIFS(生产安装!$J$4:$J$1203,生产安装!$C$4:$C$1203,$B227,生产安装!$E$4:$E$1203,"成本-人工")+SUMIFS(资金日记账!$K$4:$K$2503,资金日记账!$G$4:$G$2503,$B227,资金日记账!$F$4:$F$2503,"成本-人工")-SUMIFS(资金日记账!$J$4:$J$2503,资金日记账!$G$4:$G$2503,$B227,资金日记账!$F$4:$F$2503,"成本-人工"),2))</f>
        <v/>
      </c>
      <c r="O227" s="19">
        <f>IF($B227="","",ROUND(SUMIFS(采购单!$L$4:$L$2003,采购单!$D$4:$D$2003,$B227,采购单!$F$4:$F$2003,"成本-车运")+SUMIFS(生产安装!$J$4:$J$1203,生产安装!$C$4:$C$1203,$B227,生产安装!$E$4:$E$1203,"成本-车运")+SUMIFS(资金日记账!$K$4:$K$2503,资金日记账!$G$4:$G$2503,$B227,资金日记账!$F$4:$F$2503,"成本-车运")-SUMIFS(资金日记账!$J$4:$J$2503,资金日记账!$G$4:$G$2503,$B227,资金日记账!$F$4:$F$2503,"成本-车运"),2))</f>
        <v/>
      </c>
      <c r="P227" s="19">
        <f>IF($B227="","",ROUND(SUMIFS(采购单!$L$4:$L$2003,采购单!$D$4:$D$2003,$B227,采购单!$F$4:$F$2003,"成本-其他")+SUMIFS(生产安装!$J$4:$J$1203,生产安装!$C$4:$C$1203,$B227,生产安装!$E$4:$E$1203,"成本-其他")+SUMIFS(资金日记账!$K$4:$K$2503,资金日记账!$G$4:$G$2503,$B227,资金日记账!$F$4:$F$2503,"成本-其他")-SUMIFS(资金日记账!$J$4:$J$2503,资金日记账!$G$4:$G$2503,$B227,资金日记账!$F$4:$F$2503,"成本-其他"),2))</f>
        <v/>
      </c>
      <c r="Q227" s="19">
        <f>IF($B227="","",ROUND(SUM($L227:$P227),2))</f>
        <v/>
      </c>
      <c r="R227" s="19">
        <f>IF($B227="","",ROUND($I227-$Q227,2))</f>
        <v/>
      </c>
      <c r="S227" s="33">
        <f>IF($B227="","",IF(ROUND($I227,2)=0,"",ROUND($R227/$I227,4)))</f>
        <v/>
      </c>
      <c r="T227" s="22">
        <f>IF($B227="","",IF($G227="",0,YEAR($G227)*100+MONTH($G227)))</f>
        <v/>
      </c>
      <c r="U227" s="17">
        <f>IF($B227="","",IF(项目台账!$R226="","",项目台账!$R226))</f>
        <v/>
      </c>
    </row>
    <row r="228">
      <c r="A228" s="17">
        <f>IF(项目台账!$B227="","",项目台账!$A227)</f>
        <v/>
      </c>
      <c r="B228" s="17">
        <f>IF(项目台账!$B227="","",项目台账!$B227)</f>
        <v/>
      </c>
      <c r="C228" s="17">
        <f>IF($B228="","",IF(项目台账!$C227="","",项目台账!$C227))</f>
        <v/>
      </c>
      <c r="D228" s="17">
        <f>IF($B228="","",IF(项目台账!$D227="","",项目台账!$D227))</f>
        <v/>
      </c>
      <c r="E228" s="17">
        <f>IF($B228="","",IF(项目台账!$E227="","",项目台账!$E227))</f>
        <v/>
      </c>
      <c r="F228" s="23">
        <f>IF($B228="","",IF(项目台账!$F227="","",项目台账!$F227))</f>
        <v/>
      </c>
      <c r="G228" s="23">
        <f>IF($B228="","",IF(项目台账!$J227="","",项目台账!$J227))</f>
        <v/>
      </c>
      <c r="H228" s="17">
        <f>IF($B228="","",IF(项目台账!$Q227="","",项目台账!$Q227))</f>
        <v/>
      </c>
      <c r="I228" s="19">
        <f>IF($B228="","",项目台账!$M227)</f>
        <v/>
      </c>
      <c r="J228" s="19">
        <f>IF($B228="","",项目台账!$O227)</f>
        <v/>
      </c>
      <c r="K228" s="19">
        <f>IF($B228="","",项目台账!$P227)</f>
        <v/>
      </c>
      <c r="L228" s="19">
        <f>IF($B228="","",ROUND(SUMIFS(采购单!$L$4:$L$2003,采购单!$D$4:$D$2003,$B228,采购单!$F$4:$F$2003,"成本-主材")+SUMIFS(生产安装!$J$4:$J$1203,生产安装!$C$4:$C$1203,$B228,生产安装!$E$4:$E$1203,"成本-主材")+SUMIFS(资金日记账!$K$4:$K$2503,资金日记账!$G$4:$G$2503,$B228,资金日记账!$F$4:$F$2503,"成本-主材")-SUMIFS(资金日记账!$J$4:$J$2503,资金日记账!$G$4:$G$2503,$B228,资金日记账!$F$4:$F$2503,"成本-主材"),2))</f>
        <v/>
      </c>
      <c r="M228" s="19">
        <f>IF($B228="","",ROUND(SUMIFS(采购单!$L$4:$L$2003,采购单!$D$4:$D$2003,$B228,采购单!$F$4:$F$2003,"成本-辅材")+SUMIFS(生产安装!$J$4:$J$1203,生产安装!$C$4:$C$1203,$B228,生产安装!$E$4:$E$1203,"成本-辅材")+SUMIFS(资金日记账!$K$4:$K$2503,资金日记账!$G$4:$G$2503,$B228,资金日记账!$F$4:$F$2503,"成本-辅材")-SUMIFS(资金日记账!$J$4:$J$2503,资金日记账!$G$4:$G$2503,$B228,资金日记账!$F$4:$F$2503,"成本-辅材"),2))</f>
        <v/>
      </c>
      <c r="N228" s="19">
        <f>IF($B228="","",ROUND(SUMIFS(采购单!$L$4:$L$2003,采购单!$D$4:$D$2003,$B228,采购单!$F$4:$F$2003,"成本-人工")+SUMIFS(生产安装!$J$4:$J$1203,生产安装!$C$4:$C$1203,$B228,生产安装!$E$4:$E$1203,"成本-人工")+SUMIFS(资金日记账!$K$4:$K$2503,资金日记账!$G$4:$G$2503,$B228,资金日记账!$F$4:$F$2503,"成本-人工")-SUMIFS(资金日记账!$J$4:$J$2503,资金日记账!$G$4:$G$2503,$B228,资金日记账!$F$4:$F$2503,"成本-人工"),2))</f>
        <v/>
      </c>
      <c r="O228" s="19">
        <f>IF($B228="","",ROUND(SUMIFS(采购单!$L$4:$L$2003,采购单!$D$4:$D$2003,$B228,采购单!$F$4:$F$2003,"成本-车运")+SUMIFS(生产安装!$J$4:$J$1203,生产安装!$C$4:$C$1203,$B228,生产安装!$E$4:$E$1203,"成本-车运")+SUMIFS(资金日记账!$K$4:$K$2503,资金日记账!$G$4:$G$2503,$B228,资金日记账!$F$4:$F$2503,"成本-车运")-SUMIFS(资金日记账!$J$4:$J$2503,资金日记账!$G$4:$G$2503,$B228,资金日记账!$F$4:$F$2503,"成本-车运"),2))</f>
        <v/>
      </c>
      <c r="P228" s="19">
        <f>IF($B228="","",ROUND(SUMIFS(采购单!$L$4:$L$2003,采购单!$D$4:$D$2003,$B228,采购单!$F$4:$F$2003,"成本-其他")+SUMIFS(生产安装!$J$4:$J$1203,生产安装!$C$4:$C$1203,$B228,生产安装!$E$4:$E$1203,"成本-其他")+SUMIFS(资金日记账!$K$4:$K$2503,资金日记账!$G$4:$G$2503,$B228,资金日记账!$F$4:$F$2503,"成本-其他")-SUMIFS(资金日记账!$J$4:$J$2503,资金日记账!$G$4:$G$2503,$B228,资金日记账!$F$4:$F$2503,"成本-其他"),2))</f>
        <v/>
      </c>
      <c r="Q228" s="19">
        <f>IF($B228="","",ROUND(SUM($L228:$P228),2))</f>
        <v/>
      </c>
      <c r="R228" s="19">
        <f>IF($B228="","",ROUND($I228-$Q228,2))</f>
        <v/>
      </c>
      <c r="S228" s="33">
        <f>IF($B228="","",IF(ROUND($I228,2)=0,"",ROUND($R228/$I228,4)))</f>
        <v/>
      </c>
      <c r="T228" s="22">
        <f>IF($B228="","",IF($G228="",0,YEAR($G228)*100+MONTH($G228)))</f>
        <v/>
      </c>
      <c r="U228" s="17">
        <f>IF($B228="","",IF(项目台账!$R227="","",项目台账!$R227))</f>
        <v/>
      </c>
    </row>
    <row r="229">
      <c r="A229" s="17">
        <f>IF(项目台账!$B228="","",项目台账!$A228)</f>
        <v/>
      </c>
      <c r="B229" s="17">
        <f>IF(项目台账!$B228="","",项目台账!$B228)</f>
        <v/>
      </c>
      <c r="C229" s="17">
        <f>IF($B229="","",IF(项目台账!$C228="","",项目台账!$C228))</f>
        <v/>
      </c>
      <c r="D229" s="17">
        <f>IF($B229="","",IF(项目台账!$D228="","",项目台账!$D228))</f>
        <v/>
      </c>
      <c r="E229" s="17">
        <f>IF($B229="","",IF(项目台账!$E228="","",项目台账!$E228))</f>
        <v/>
      </c>
      <c r="F229" s="23">
        <f>IF($B229="","",IF(项目台账!$F228="","",项目台账!$F228))</f>
        <v/>
      </c>
      <c r="G229" s="23">
        <f>IF($B229="","",IF(项目台账!$J228="","",项目台账!$J228))</f>
        <v/>
      </c>
      <c r="H229" s="17">
        <f>IF($B229="","",IF(项目台账!$Q228="","",项目台账!$Q228))</f>
        <v/>
      </c>
      <c r="I229" s="19">
        <f>IF($B229="","",项目台账!$M228)</f>
        <v/>
      </c>
      <c r="J229" s="19">
        <f>IF($B229="","",项目台账!$O228)</f>
        <v/>
      </c>
      <c r="K229" s="19">
        <f>IF($B229="","",项目台账!$P228)</f>
        <v/>
      </c>
      <c r="L229" s="19">
        <f>IF($B229="","",ROUND(SUMIFS(采购单!$L$4:$L$2003,采购单!$D$4:$D$2003,$B229,采购单!$F$4:$F$2003,"成本-主材")+SUMIFS(生产安装!$J$4:$J$1203,生产安装!$C$4:$C$1203,$B229,生产安装!$E$4:$E$1203,"成本-主材")+SUMIFS(资金日记账!$K$4:$K$2503,资金日记账!$G$4:$G$2503,$B229,资金日记账!$F$4:$F$2503,"成本-主材")-SUMIFS(资金日记账!$J$4:$J$2503,资金日记账!$G$4:$G$2503,$B229,资金日记账!$F$4:$F$2503,"成本-主材"),2))</f>
        <v/>
      </c>
      <c r="M229" s="19">
        <f>IF($B229="","",ROUND(SUMIFS(采购单!$L$4:$L$2003,采购单!$D$4:$D$2003,$B229,采购单!$F$4:$F$2003,"成本-辅材")+SUMIFS(生产安装!$J$4:$J$1203,生产安装!$C$4:$C$1203,$B229,生产安装!$E$4:$E$1203,"成本-辅材")+SUMIFS(资金日记账!$K$4:$K$2503,资金日记账!$G$4:$G$2503,$B229,资金日记账!$F$4:$F$2503,"成本-辅材")-SUMIFS(资金日记账!$J$4:$J$2503,资金日记账!$G$4:$G$2503,$B229,资金日记账!$F$4:$F$2503,"成本-辅材"),2))</f>
        <v/>
      </c>
      <c r="N229" s="19">
        <f>IF($B229="","",ROUND(SUMIFS(采购单!$L$4:$L$2003,采购单!$D$4:$D$2003,$B229,采购单!$F$4:$F$2003,"成本-人工")+SUMIFS(生产安装!$J$4:$J$1203,生产安装!$C$4:$C$1203,$B229,生产安装!$E$4:$E$1203,"成本-人工")+SUMIFS(资金日记账!$K$4:$K$2503,资金日记账!$G$4:$G$2503,$B229,资金日记账!$F$4:$F$2503,"成本-人工")-SUMIFS(资金日记账!$J$4:$J$2503,资金日记账!$G$4:$G$2503,$B229,资金日记账!$F$4:$F$2503,"成本-人工"),2))</f>
        <v/>
      </c>
      <c r="O229" s="19">
        <f>IF($B229="","",ROUND(SUMIFS(采购单!$L$4:$L$2003,采购单!$D$4:$D$2003,$B229,采购单!$F$4:$F$2003,"成本-车运")+SUMIFS(生产安装!$J$4:$J$1203,生产安装!$C$4:$C$1203,$B229,生产安装!$E$4:$E$1203,"成本-车运")+SUMIFS(资金日记账!$K$4:$K$2503,资金日记账!$G$4:$G$2503,$B229,资金日记账!$F$4:$F$2503,"成本-车运")-SUMIFS(资金日记账!$J$4:$J$2503,资金日记账!$G$4:$G$2503,$B229,资金日记账!$F$4:$F$2503,"成本-车运"),2))</f>
        <v/>
      </c>
      <c r="P229" s="19">
        <f>IF($B229="","",ROUND(SUMIFS(采购单!$L$4:$L$2003,采购单!$D$4:$D$2003,$B229,采购单!$F$4:$F$2003,"成本-其他")+SUMIFS(生产安装!$J$4:$J$1203,生产安装!$C$4:$C$1203,$B229,生产安装!$E$4:$E$1203,"成本-其他")+SUMIFS(资金日记账!$K$4:$K$2503,资金日记账!$G$4:$G$2503,$B229,资金日记账!$F$4:$F$2503,"成本-其他")-SUMIFS(资金日记账!$J$4:$J$2503,资金日记账!$G$4:$G$2503,$B229,资金日记账!$F$4:$F$2503,"成本-其他"),2))</f>
        <v/>
      </c>
      <c r="Q229" s="19">
        <f>IF($B229="","",ROUND(SUM($L229:$P229),2))</f>
        <v/>
      </c>
      <c r="R229" s="19">
        <f>IF($B229="","",ROUND($I229-$Q229,2))</f>
        <v/>
      </c>
      <c r="S229" s="33">
        <f>IF($B229="","",IF(ROUND($I229,2)=0,"",ROUND($R229/$I229,4)))</f>
        <v/>
      </c>
      <c r="T229" s="22">
        <f>IF($B229="","",IF($G229="",0,YEAR($G229)*100+MONTH($G229)))</f>
        <v/>
      </c>
      <c r="U229" s="17">
        <f>IF($B229="","",IF(项目台账!$R228="","",项目台账!$R228))</f>
        <v/>
      </c>
    </row>
    <row r="230">
      <c r="A230" s="17">
        <f>IF(项目台账!$B229="","",项目台账!$A229)</f>
        <v/>
      </c>
      <c r="B230" s="17">
        <f>IF(项目台账!$B229="","",项目台账!$B229)</f>
        <v/>
      </c>
      <c r="C230" s="17">
        <f>IF($B230="","",IF(项目台账!$C229="","",项目台账!$C229))</f>
        <v/>
      </c>
      <c r="D230" s="17">
        <f>IF($B230="","",IF(项目台账!$D229="","",项目台账!$D229))</f>
        <v/>
      </c>
      <c r="E230" s="17">
        <f>IF($B230="","",IF(项目台账!$E229="","",项目台账!$E229))</f>
        <v/>
      </c>
      <c r="F230" s="23">
        <f>IF($B230="","",IF(项目台账!$F229="","",项目台账!$F229))</f>
        <v/>
      </c>
      <c r="G230" s="23">
        <f>IF($B230="","",IF(项目台账!$J229="","",项目台账!$J229))</f>
        <v/>
      </c>
      <c r="H230" s="17">
        <f>IF($B230="","",IF(项目台账!$Q229="","",项目台账!$Q229))</f>
        <v/>
      </c>
      <c r="I230" s="19">
        <f>IF($B230="","",项目台账!$M229)</f>
        <v/>
      </c>
      <c r="J230" s="19">
        <f>IF($B230="","",项目台账!$O229)</f>
        <v/>
      </c>
      <c r="K230" s="19">
        <f>IF($B230="","",项目台账!$P229)</f>
        <v/>
      </c>
      <c r="L230" s="19">
        <f>IF($B230="","",ROUND(SUMIFS(采购单!$L$4:$L$2003,采购单!$D$4:$D$2003,$B230,采购单!$F$4:$F$2003,"成本-主材")+SUMIFS(生产安装!$J$4:$J$1203,生产安装!$C$4:$C$1203,$B230,生产安装!$E$4:$E$1203,"成本-主材")+SUMIFS(资金日记账!$K$4:$K$2503,资金日记账!$G$4:$G$2503,$B230,资金日记账!$F$4:$F$2503,"成本-主材")-SUMIFS(资金日记账!$J$4:$J$2503,资金日记账!$G$4:$G$2503,$B230,资金日记账!$F$4:$F$2503,"成本-主材"),2))</f>
        <v/>
      </c>
      <c r="M230" s="19">
        <f>IF($B230="","",ROUND(SUMIFS(采购单!$L$4:$L$2003,采购单!$D$4:$D$2003,$B230,采购单!$F$4:$F$2003,"成本-辅材")+SUMIFS(生产安装!$J$4:$J$1203,生产安装!$C$4:$C$1203,$B230,生产安装!$E$4:$E$1203,"成本-辅材")+SUMIFS(资金日记账!$K$4:$K$2503,资金日记账!$G$4:$G$2503,$B230,资金日记账!$F$4:$F$2503,"成本-辅材")-SUMIFS(资金日记账!$J$4:$J$2503,资金日记账!$G$4:$G$2503,$B230,资金日记账!$F$4:$F$2503,"成本-辅材"),2))</f>
        <v/>
      </c>
      <c r="N230" s="19">
        <f>IF($B230="","",ROUND(SUMIFS(采购单!$L$4:$L$2003,采购单!$D$4:$D$2003,$B230,采购单!$F$4:$F$2003,"成本-人工")+SUMIFS(生产安装!$J$4:$J$1203,生产安装!$C$4:$C$1203,$B230,生产安装!$E$4:$E$1203,"成本-人工")+SUMIFS(资金日记账!$K$4:$K$2503,资金日记账!$G$4:$G$2503,$B230,资金日记账!$F$4:$F$2503,"成本-人工")-SUMIFS(资金日记账!$J$4:$J$2503,资金日记账!$G$4:$G$2503,$B230,资金日记账!$F$4:$F$2503,"成本-人工"),2))</f>
        <v/>
      </c>
      <c r="O230" s="19">
        <f>IF($B230="","",ROUND(SUMIFS(采购单!$L$4:$L$2003,采购单!$D$4:$D$2003,$B230,采购单!$F$4:$F$2003,"成本-车运")+SUMIFS(生产安装!$J$4:$J$1203,生产安装!$C$4:$C$1203,$B230,生产安装!$E$4:$E$1203,"成本-车运")+SUMIFS(资金日记账!$K$4:$K$2503,资金日记账!$G$4:$G$2503,$B230,资金日记账!$F$4:$F$2503,"成本-车运")-SUMIFS(资金日记账!$J$4:$J$2503,资金日记账!$G$4:$G$2503,$B230,资金日记账!$F$4:$F$2503,"成本-车运"),2))</f>
        <v/>
      </c>
      <c r="P230" s="19">
        <f>IF($B230="","",ROUND(SUMIFS(采购单!$L$4:$L$2003,采购单!$D$4:$D$2003,$B230,采购单!$F$4:$F$2003,"成本-其他")+SUMIFS(生产安装!$J$4:$J$1203,生产安装!$C$4:$C$1203,$B230,生产安装!$E$4:$E$1203,"成本-其他")+SUMIFS(资金日记账!$K$4:$K$2503,资金日记账!$G$4:$G$2503,$B230,资金日记账!$F$4:$F$2503,"成本-其他")-SUMIFS(资金日记账!$J$4:$J$2503,资金日记账!$G$4:$G$2503,$B230,资金日记账!$F$4:$F$2503,"成本-其他"),2))</f>
        <v/>
      </c>
      <c r="Q230" s="19">
        <f>IF($B230="","",ROUND(SUM($L230:$P230),2))</f>
        <v/>
      </c>
      <c r="R230" s="19">
        <f>IF($B230="","",ROUND($I230-$Q230,2))</f>
        <v/>
      </c>
      <c r="S230" s="33">
        <f>IF($B230="","",IF(ROUND($I230,2)=0,"",ROUND($R230/$I230,4)))</f>
        <v/>
      </c>
      <c r="T230" s="22">
        <f>IF($B230="","",IF($G230="",0,YEAR($G230)*100+MONTH($G230)))</f>
        <v/>
      </c>
      <c r="U230" s="17">
        <f>IF($B230="","",IF(项目台账!$R229="","",项目台账!$R229))</f>
        <v/>
      </c>
    </row>
    <row r="231">
      <c r="A231" s="17">
        <f>IF(项目台账!$B230="","",项目台账!$A230)</f>
        <v/>
      </c>
      <c r="B231" s="17">
        <f>IF(项目台账!$B230="","",项目台账!$B230)</f>
        <v/>
      </c>
      <c r="C231" s="17">
        <f>IF($B231="","",IF(项目台账!$C230="","",项目台账!$C230))</f>
        <v/>
      </c>
      <c r="D231" s="17">
        <f>IF($B231="","",IF(项目台账!$D230="","",项目台账!$D230))</f>
        <v/>
      </c>
      <c r="E231" s="17">
        <f>IF($B231="","",IF(项目台账!$E230="","",项目台账!$E230))</f>
        <v/>
      </c>
      <c r="F231" s="23">
        <f>IF($B231="","",IF(项目台账!$F230="","",项目台账!$F230))</f>
        <v/>
      </c>
      <c r="G231" s="23">
        <f>IF($B231="","",IF(项目台账!$J230="","",项目台账!$J230))</f>
        <v/>
      </c>
      <c r="H231" s="17">
        <f>IF($B231="","",IF(项目台账!$Q230="","",项目台账!$Q230))</f>
        <v/>
      </c>
      <c r="I231" s="19">
        <f>IF($B231="","",项目台账!$M230)</f>
        <v/>
      </c>
      <c r="J231" s="19">
        <f>IF($B231="","",项目台账!$O230)</f>
        <v/>
      </c>
      <c r="K231" s="19">
        <f>IF($B231="","",项目台账!$P230)</f>
        <v/>
      </c>
      <c r="L231" s="19">
        <f>IF($B231="","",ROUND(SUMIFS(采购单!$L$4:$L$2003,采购单!$D$4:$D$2003,$B231,采购单!$F$4:$F$2003,"成本-主材")+SUMIFS(生产安装!$J$4:$J$1203,生产安装!$C$4:$C$1203,$B231,生产安装!$E$4:$E$1203,"成本-主材")+SUMIFS(资金日记账!$K$4:$K$2503,资金日记账!$G$4:$G$2503,$B231,资金日记账!$F$4:$F$2503,"成本-主材")-SUMIFS(资金日记账!$J$4:$J$2503,资金日记账!$G$4:$G$2503,$B231,资金日记账!$F$4:$F$2503,"成本-主材"),2))</f>
        <v/>
      </c>
      <c r="M231" s="19">
        <f>IF($B231="","",ROUND(SUMIFS(采购单!$L$4:$L$2003,采购单!$D$4:$D$2003,$B231,采购单!$F$4:$F$2003,"成本-辅材")+SUMIFS(生产安装!$J$4:$J$1203,生产安装!$C$4:$C$1203,$B231,生产安装!$E$4:$E$1203,"成本-辅材")+SUMIFS(资金日记账!$K$4:$K$2503,资金日记账!$G$4:$G$2503,$B231,资金日记账!$F$4:$F$2503,"成本-辅材")-SUMIFS(资金日记账!$J$4:$J$2503,资金日记账!$G$4:$G$2503,$B231,资金日记账!$F$4:$F$2503,"成本-辅材"),2))</f>
        <v/>
      </c>
      <c r="N231" s="19">
        <f>IF($B231="","",ROUND(SUMIFS(采购单!$L$4:$L$2003,采购单!$D$4:$D$2003,$B231,采购单!$F$4:$F$2003,"成本-人工")+SUMIFS(生产安装!$J$4:$J$1203,生产安装!$C$4:$C$1203,$B231,生产安装!$E$4:$E$1203,"成本-人工")+SUMIFS(资金日记账!$K$4:$K$2503,资金日记账!$G$4:$G$2503,$B231,资金日记账!$F$4:$F$2503,"成本-人工")-SUMIFS(资金日记账!$J$4:$J$2503,资金日记账!$G$4:$G$2503,$B231,资金日记账!$F$4:$F$2503,"成本-人工"),2))</f>
        <v/>
      </c>
      <c r="O231" s="19">
        <f>IF($B231="","",ROUND(SUMIFS(采购单!$L$4:$L$2003,采购单!$D$4:$D$2003,$B231,采购单!$F$4:$F$2003,"成本-车运")+SUMIFS(生产安装!$J$4:$J$1203,生产安装!$C$4:$C$1203,$B231,生产安装!$E$4:$E$1203,"成本-车运")+SUMIFS(资金日记账!$K$4:$K$2503,资金日记账!$G$4:$G$2503,$B231,资金日记账!$F$4:$F$2503,"成本-车运")-SUMIFS(资金日记账!$J$4:$J$2503,资金日记账!$G$4:$G$2503,$B231,资金日记账!$F$4:$F$2503,"成本-车运"),2))</f>
        <v/>
      </c>
      <c r="P231" s="19">
        <f>IF($B231="","",ROUND(SUMIFS(采购单!$L$4:$L$2003,采购单!$D$4:$D$2003,$B231,采购单!$F$4:$F$2003,"成本-其他")+SUMIFS(生产安装!$J$4:$J$1203,生产安装!$C$4:$C$1203,$B231,生产安装!$E$4:$E$1203,"成本-其他")+SUMIFS(资金日记账!$K$4:$K$2503,资金日记账!$G$4:$G$2503,$B231,资金日记账!$F$4:$F$2503,"成本-其他")-SUMIFS(资金日记账!$J$4:$J$2503,资金日记账!$G$4:$G$2503,$B231,资金日记账!$F$4:$F$2503,"成本-其他"),2))</f>
        <v/>
      </c>
      <c r="Q231" s="19">
        <f>IF($B231="","",ROUND(SUM($L231:$P231),2))</f>
        <v/>
      </c>
      <c r="R231" s="19">
        <f>IF($B231="","",ROUND($I231-$Q231,2))</f>
        <v/>
      </c>
      <c r="S231" s="33">
        <f>IF($B231="","",IF(ROUND($I231,2)=0,"",ROUND($R231/$I231,4)))</f>
        <v/>
      </c>
      <c r="T231" s="22">
        <f>IF($B231="","",IF($G231="",0,YEAR($G231)*100+MONTH($G231)))</f>
        <v/>
      </c>
      <c r="U231" s="17">
        <f>IF($B231="","",IF(项目台账!$R230="","",项目台账!$R230))</f>
        <v/>
      </c>
    </row>
    <row r="232">
      <c r="A232" s="17">
        <f>IF(项目台账!$B231="","",项目台账!$A231)</f>
        <v/>
      </c>
      <c r="B232" s="17">
        <f>IF(项目台账!$B231="","",项目台账!$B231)</f>
        <v/>
      </c>
      <c r="C232" s="17">
        <f>IF($B232="","",IF(项目台账!$C231="","",项目台账!$C231))</f>
        <v/>
      </c>
      <c r="D232" s="17">
        <f>IF($B232="","",IF(项目台账!$D231="","",项目台账!$D231))</f>
        <v/>
      </c>
      <c r="E232" s="17">
        <f>IF($B232="","",IF(项目台账!$E231="","",项目台账!$E231))</f>
        <v/>
      </c>
      <c r="F232" s="23">
        <f>IF($B232="","",IF(项目台账!$F231="","",项目台账!$F231))</f>
        <v/>
      </c>
      <c r="G232" s="23">
        <f>IF($B232="","",IF(项目台账!$J231="","",项目台账!$J231))</f>
        <v/>
      </c>
      <c r="H232" s="17">
        <f>IF($B232="","",IF(项目台账!$Q231="","",项目台账!$Q231))</f>
        <v/>
      </c>
      <c r="I232" s="19">
        <f>IF($B232="","",项目台账!$M231)</f>
        <v/>
      </c>
      <c r="J232" s="19">
        <f>IF($B232="","",项目台账!$O231)</f>
        <v/>
      </c>
      <c r="K232" s="19">
        <f>IF($B232="","",项目台账!$P231)</f>
        <v/>
      </c>
      <c r="L232" s="19">
        <f>IF($B232="","",ROUND(SUMIFS(采购单!$L$4:$L$2003,采购单!$D$4:$D$2003,$B232,采购单!$F$4:$F$2003,"成本-主材")+SUMIFS(生产安装!$J$4:$J$1203,生产安装!$C$4:$C$1203,$B232,生产安装!$E$4:$E$1203,"成本-主材")+SUMIFS(资金日记账!$K$4:$K$2503,资金日记账!$G$4:$G$2503,$B232,资金日记账!$F$4:$F$2503,"成本-主材")-SUMIFS(资金日记账!$J$4:$J$2503,资金日记账!$G$4:$G$2503,$B232,资金日记账!$F$4:$F$2503,"成本-主材"),2))</f>
        <v/>
      </c>
      <c r="M232" s="19">
        <f>IF($B232="","",ROUND(SUMIFS(采购单!$L$4:$L$2003,采购单!$D$4:$D$2003,$B232,采购单!$F$4:$F$2003,"成本-辅材")+SUMIFS(生产安装!$J$4:$J$1203,生产安装!$C$4:$C$1203,$B232,生产安装!$E$4:$E$1203,"成本-辅材")+SUMIFS(资金日记账!$K$4:$K$2503,资金日记账!$G$4:$G$2503,$B232,资金日记账!$F$4:$F$2503,"成本-辅材")-SUMIFS(资金日记账!$J$4:$J$2503,资金日记账!$G$4:$G$2503,$B232,资金日记账!$F$4:$F$2503,"成本-辅材"),2))</f>
        <v/>
      </c>
      <c r="N232" s="19">
        <f>IF($B232="","",ROUND(SUMIFS(采购单!$L$4:$L$2003,采购单!$D$4:$D$2003,$B232,采购单!$F$4:$F$2003,"成本-人工")+SUMIFS(生产安装!$J$4:$J$1203,生产安装!$C$4:$C$1203,$B232,生产安装!$E$4:$E$1203,"成本-人工")+SUMIFS(资金日记账!$K$4:$K$2503,资金日记账!$G$4:$G$2503,$B232,资金日记账!$F$4:$F$2503,"成本-人工")-SUMIFS(资金日记账!$J$4:$J$2503,资金日记账!$G$4:$G$2503,$B232,资金日记账!$F$4:$F$2503,"成本-人工"),2))</f>
        <v/>
      </c>
      <c r="O232" s="19">
        <f>IF($B232="","",ROUND(SUMIFS(采购单!$L$4:$L$2003,采购单!$D$4:$D$2003,$B232,采购单!$F$4:$F$2003,"成本-车运")+SUMIFS(生产安装!$J$4:$J$1203,生产安装!$C$4:$C$1203,$B232,生产安装!$E$4:$E$1203,"成本-车运")+SUMIFS(资金日记账!$K$4:$K$2503,资金日记账!$G$4:$G$2503,$B232,资金日记账!$F$4:$F$2503,"成本-车运")-SUMIFS(资金日记账!$J$4:$J$2503,资金日记账!$G$4:$G$2503,$B232,资金日记账!$F$4:$F$2503,"成本-车运"),2))</f>
        <v/>
      </c>
      <c r="P232" s="19">
        <f>IF($B232="","",ROUND(SUMIFS(采购单!$L$4:$L$2003,采购单!$D$4:$D$2003,$B232,采购单!$F$4:$F$2003,"成本-其他")+SUMIFS(生产安装!$J$4:$J$1203,生产安装!$C$4:$C$1203,$B232,生产安装!$E$4:$E$1203,"成本-其他")+SUMIFS(资金日记账!$K$4:$K$2503,资金日记账!$G$4:$G$2503,$B232,资金日记账!$F$4:$F$2503,"成本-其他")-SUMIFS(资金日记账!$J$4:$J$2503,资金日记账!$G$4:$G$2503,$B232,资金日记账!$F$4:$F$2503,"成本-其他"),2))</f>
        <v/>
      </c>
      <c r="Q232" s="19">
        <f>IF($B232="","",ROUND(SUM($L232:$P232),2))</f>
        <v/>
      </c>
      <c r="R232" s="19">
        <f>IF($B232="","",ROUND($I232-$Q232,2))</f>
        <v/>
      </c>
      <c r="S232" s="33">
        <f>IF($B232="","",IF(ROUND($I232,2)=0,"",ROUND($R232/$I232,4)))</f>
        <v/>
      </c>
      <c r="T232" s="22">
        <f>IF($B232="","",IF($G232="",0,YEAR($G232)*100+MONTH($G232)))</f>
        <v/>
      </c>
      <c r="U232" s="17">
        <f>IF($B232="","",IF(项目台账!$R231="","",项目台账!$R231))</f>
        <v/>
      </c>
    </row>
    <row r="233">
      <c r="A233" s="17">
        <f>IF(项目台账!$B232="","",项目台账!$A232)</f>
        <v/>
      </c>
      <c r="B233" s="17">
        <f>IF(项目台账!$B232="","",项目台账!$B232)</f>
        <v/>
      </c>
      <c r="C233" s="17">
        <f>IF($B233="","",IF(项目台账!$C232="","",项目台账!$C232))</f>
        <v/>
      </c>
      <c r="D233" s="17">
        <f>IF($B233="","",IF(项目台账!$D232="","",项目台账!$D232))</f>
        <v/>
      </c>
      <c r="E233" s="17">
        <f>IF($B233="","",IF(项目台账!$E232="","",项目台账!$E232))</f>
        <v/>
      </c>
      <c r="F233" s="23">
        <f>IF($B233="","",IF(项目台账!$F232="","",项目台账!$F232))</f>
        <v/>
      </c>
      <c r="G233" s="23">
        <f>IF($B233="","",IF(项目台账!$J232="","",项目台账!$J232))</f>
        <v/>
      </c>
      <c r="H233" s="17">
        <f>IF($B233="","",IF(项目台账!$Q232="","",项目台账!$Q232))</f>
        <v/>
      </c>
      <c r="I233" s="19">
        <f>IF($B233="","",项目台账!$M232)</f>
        <v/>
      </c>
      <c r="J233" s="19">
        <f>IF($B233="","",项目台账!$O232)</f>
        <v/>
      </c>
      <c r="K233" s="19">
        <f>IF($B233="","",项目台账!$P232)</f>
        <v/>
      </c>
      <c r="L233" s="19">
        <f>IF($B233="","",ROUND(SUMIFS(采购单!$L$4:$L$2003,采购单!$D$4:$D$2003,$B233,采购单!$F$4:$F$2003,"成本-主材")+SUMIFS(生产安装!$J$4:$J$1203,生产安装!$C$4:$C$1203,$B233,生产安装!$E$4:$E$1203,"成本-主材")+SUMIFS(资金日记账!$K$4:$K$2503,资金日记账!$G$4:$G$2503,$B233,资金日记账!$F$4:$F$2503,"成本-主材")-SUMIFS(资金日记账!$J$4:$J$2503,资金日记账!$G$4:$G$2503,$B233,资金日记账!$F$4:$F$2503,"成本-主材"),2))</f>
        <v/>
      </c>
      <c r="M233" s="19">
        <f>IF($B233="","",ROUND(SUMIFS(采购单!$L$4:$L$2003,采购单!$D$4:$D$2003,$B233,采购单!$F$4:$F$2003,"成本-辅材")+SUMIFS(生产安装!$J$4:$J$1203,生产安装!$C$4:$C$1203,$B233,生产安装!$E$4:$E$1203,"成本-辅材")+SUMIFS(资金日记账!$K$4:$K$2503,资金日记账!$G$4:$G$2503,$B233,资金日记账!$F$4:$F$2503,"成本-辅材")-SUMIFS(资金日记账!$J$4:$J$2503,资金日记账!$G$4:$G$2503,$B233,资金日记账!$F$4:$F$2503,"成本-辅材"),2))</f>
        <v/>
      </c>
      <c r="N233" s="19">
        <f>IF($B233="","",ROUND(SUMIFS(采购单!$L$4:$L$2003,采购单!$D$4:$D$2003,$B233,采购单!$F$4:$F$2003,"成本-人工")+SUMIFS(生产安装!$J$4:$J$1203,生产安装!$C$4:$C$1203,$B233,生产安装!$E$4:$E$1203,"成本-人工")+SUMIFS(资金日记账!$K$4:$K$2503,资金日记账!$G$4:$G$2503,$B233,资金日记账!$F$4:$F$2503,"成本-人工")-SUMIFS(资金日记账!$J$4:$J$2503,资金日记账!$G$4:$G$2503,$B233,资金日记账!$F$4:$F$2503,"成本-人工"),2))</f>
        <v/>
      </c>
      <c r="O233" s="19">
        <f>IF($B233="","",ROUND(SUMIFS(采购单!$L$4:$L$2003,采购单!$D$4:$D$2003,$B233,采购单!$F$4:$F$2003,"成本-车运")+SUMIFS(生产安装!$J$4:$J$1203,生产安装!$C$4:$C$1203,$B233,生产安装!$E$4:$E$1203,"成本-车运")+SUMIFS(资金日记账!$K$4:$K$2503,资金日记账!$G$4:$G$2503,$B233,资金日记账!$F$4:$F$2503,"成本-车运")-SUMIFS(资金日记账!$J$4:$J$2503,资金日记账!$G$4:$G$2503,$B233,资金日记账!$F$4:$F$2503,"成本-车运"),2))</f>
        <v/>
      </c>
      <c r="P233" s="19">
        <f>IF($B233="","",ROUND(SUMIFS(采购单!$L$4:$L$2003,采购单!$D$4:$D$2003,$B233,采购单!$F$4:$F$2003,"成本-其他")+SUMIFS(生产安装!$J$4:$J$1203,生产安装!$C$4:$C$1203,$B233,生产安装!$E$4:$E$1203,"成本-其他")+SUMIFS(资金日记账!$K$4:$K$2503,资金日记账!$G$4:$G$2503,$B233,资金日记账!$F$4:$F$2503,"成本-其他")-SUMIFS(资金日记账!$J$4:$J$2503,资金日记账!$G$4:$G$2503,$B233,资金日记账!$F$4:$F$2503,"成本-其他"),2))</f>
        <v/>
      </c>
      <c r="Q233" s="19">
        <f>IF($B233="","",ROUND(SUM($L233:$P233),2))</f>
        <v/>
      </c>
      <c r="R233" s="19">
        <f>IF($B233="","",ROUND($I233-$Q233,2))</f>
        <v/>
      </c>
      <c r="S233" s="33">
        <f>IF($B233="","",IF(ROUND($I233,2)=0,"",ROUND($R233/$I233,4)))</f>
        <v/>
      </c>
      <c r="T233" s="22">
        <f>IF($B233="","",IF($G233="",0,YEAR($G233)*100+MONTH($G233)))</f>
        <v/>
      </c>
      <c r="U233" s="17">
        <f>IF($B233="","",IF(项目台账!$R232="","",项目台账!$R232))</f>
        <v/>
      </c>
    </row>
    <row r="234">
      <c r="A234" s="17">
        <f>IF(项目台账!$B233="","",项目台账!$A233)</f>
        <v/>
      </c>
      <c r="B234" s="17">
        <f>IF(项目台账!$B233="","",项目台账!$B233)</f>
        <v/>
      </c>
      <c r="C234" s="17">
        <f>IF($B234="","",IF(项目台账!$C233="","",项目台账!$C233))</f>
        <v/>
      </c>
      <c r="D234" s="17">
        <f>IF($B234="","",IF(项目台账!$D233="","",项目台账!$D233))</f>
        <v/>
      </c>
      <c r="E234" s="17">
        <f>IF($B234="","",IF(项目台账!$E233="","",项目台账!$E233))</f>
        <v/>
      </c>
      <c r="F234" s="23">
        <f>IF($B234="","",IF(项目台账!$F233="","",项目台账!$F233))</f>
        <v/>
      </c>
      <c r="G234" s="23">
        <f>IF($B234="","",IF(项目台账!$J233="","",项目台账!$J233))</f>
        <v/>
      </c>
      <c r="H234" s="17">
        <f>IF($B234="","",IF(项目台账!$Q233="","",项目台账!$Q233))</f>
        <v/>
      </c>
      <c r="I234" s="19">
        <f>IF($B234="","",项目台账!$M233)</f>
        <v/>
      </c>
      <c r="J234" s="19">
        <f>IF($B234="","",项目台账!$O233)</f>
        <v/>
      </c>
      <c r="K234" s="19">
        <f>IF($B234="","",项目台账!$P233)</f>
        <v/>
      </c>
      <c r="L234" s="19">
        <f>IF($B234="","",ROUND(SUMIFS(采购单!$L$4:$L$2003,采购单!$D$4:$D$2003,$B234,采购单!$F$4:$F$2003,"成本-主材")+SUMIFS(生产安装!$J$4:$J$1203,生产安装!$C$4:$C$1203,$B234,生产安装!$E$4:$E$1203,"成本-主材")+SUMIFS(资金日记账!$K$4:$K$2503,资金日记账!$G$4:$G$2503,$B234,资金日记账!$F$4:$F$2503,"成本-主材")-SUMIFS(资金日记账!$J$4:$J$2503,资金日记账!$G$4:$G$2503,$B234,资金日记账!$F$4:$F$2503,"成本-主材"),2))</f>
        <v/>
      </c>
      <c r="M234" s="19">
        <f>IF($B234="","",ROUND(SUMIFS(采购单!$L$4:$L$2003,采购单!$D$4:$D$2003,$B234,采购单!$F$4:$F$2003,"成本-辅材")+SUMIFS(生产安装!$J$4:$J$1203,生产安装!$C$4:$C$1203,$B234,生产安装!$E$4:$E$1203,"成本-辅材")+SUMIFS(资金日记账!$K$4:$K$2503,资金日记账!$G$4:$G$2503,$B234,资金日记账!$F$4:$F$2503,"成本-辅材")-SUMIFS(资金日记账!$J$4:$J$2503,资金日记账!$G$4:$G$2503,$B234,资金日记账!$F$4:$F$2503,"成本-辅材"),2))</f>
        <v/>
      </c>
      <c r="N234" s="19">
        <f>IF($B234="","",ROUND(SUMIFS(采购单!$L$4:$L$2003,采购单!$D$4:$D$2003,$B234,采购单!$F$4:$F$2003,"成本-人工")+SUMIFS(生产安装!$J$4:$J$1203,生产安装!$C$4:$C$1203,$B234,生产安装!$E$4:$E$1203,"成本-人工")+SUMIFS(资金日记账!$K$4:$K$2503,资金日记账!$G$4:$G$2503,$B234,资金日记账!$F$4:$F$2503,"成本-人工")-SUMIFS(资金日记账!$J$4:$J$2503,资金日记账!$G$4:$G$2503,$B234,资金日记账!$F$4:$F$2503,"成本-人工"),2))</f>
        <v/>
      </c>
      <c r="O234" s="19">
        <f>IF($B234="","",ROUND(SUMIFS(采购单!$L$4:$L$2003,采购单!$D$4:$D$2003,$B234,采购单!$F$4:$F$2003,"成本-车运")+SUMIFS(生产安装!$J$4:$J$1203,生产安装!$C$4:$C$1203,$B234,生产安装!$E$4:$E$1203,"成本-车运")+SUMIFS(资金日记账!$K$4:$K$2503,资金日记账!$G$4:$G$2503,$B234,资金日记账!$F$4:$F$2503,"成本-车运")-SUMIFS(资金日记账!$J$4:$J$2503,资金日记账!$G$4:$G$2503,$B234,资金日记账!$F$4:$F$2503,"成本-车运"),2))</f>
        <v/>
      </c>
      <c r="P234" s="19">
        <f>IF($B234="","",ROUND(SUMIFS(采购单!$L$4:$L$2003,采购单!$D$4:$D$2003,$B234,采购单!$F$4:$F$2003,"成本-其他")+SUMIFS(生产安装!$J$4:$J$1203,生产安装!$C$4:$C$1203,$B234,生产安装!$E$4:$E$1203,"成本-其他")+SUMIFS(资金日记账!$K$4:$K$2503,资金日记账!$G$4:$G$2503,$B234,资金日记账!$F$4:$F$2503,"成本-其他")-SUMIFS(资金日记账!$J$4:$J$2503,资金日记账!$G$4:$G$2503,$B234,资金日记账!$F$4:$F$2503,"成本-其他"),2))</f>
        <v/>
      </c>
      <c r="Q234" s="19">
        <f>IF($B234="","",ROUND(SUM($L234:$P234),2))</f>
        <v/>
      </c>
      <c r="R234" s="19">
        <f>IF($B234="","",ROUND($I234-$Q234,2))</f>
        <v/>
      </c>
      <c r="S234" s="33">
        <f>IF($B234="","",IF(ROUND($I234,2)=0,"",ROUND($R234/$I234,4)))</f>
        <v/>
      </c>
      <c r="T234" s="22">
        <f>IF($B234="","",IF($G234="",0,YEAR($G234)*100+MONTH($G234)))</f>
        <v/>
      </c>
      <c r="U234" s="17">
        <f>IF($B234="","",IF(项目台账!$R233="","",项目台账!$R233))</f>
        <v/>
      </c>
    </row>
    <row r="235">
      <c r="A235" s="17">
        <f>IF(项目台账!$B234="","",项目台账!$A234)</f>
        <v/>
      </c>
      <c r="B235" s="17">
        <f>IF(项目台账!$B234="","",项目台账!$B234)</f>
        <v/>
      </c>
      <c r="C235" s="17">
        <f>IF($B235="","",IF(项目台账!$C234="","",项目台账!$C234))</f>
        <v/>
      </c>
      <c r="D235" s="17">
        <f>IF($B235="","",IF(项目台账!$D234="","",项目台账!$D234))</f>
        <v/>
      </c>
      <c r="E235" s="17">
        <f>IF($B235="","",IF(项目台账!$E234="","",项目台账!$E234))</f>
        <v/>
      </c>
      <c r="F235" s="23">
        <f>IF($B235="","",IF(项目台账!$F234="","",项目台账!$F234))</f>
        <v/>
      </c>
      <c r="G235" s="23">
        <f>IF($B235="","",IF(项目台账!$J234="","",项目台账!$J234))</f>
        <v/>
      </c>
      <c r="H235" s="17">
        <f>IF($B235="","",IF(项目台账!$Q234="","",项目台账!$Q234))</f>
        <v/>
      </c>
      <c r="I235" s="19">
        <f>IF($B235="","",项目台账!$M234)</f>
        <v/>
      </c>
      <c r="J235" s="19">
        <f>IF($B235="","",项目台账!$O234)</f>
        <v/>
      </c>
      <c r="K235" s="19">
        <f>IF($B235="","",项目台账!$P234)</f>
        <v/>
      </c>
      <c r="L235" s="19">
        <f>IF($B235="","",ROUND(SUMIFS(采购单!$L$4:$L$2003,采购单!$D$4:$D$2003,$B235,采购单!$F$4:$F$2003,"成本-主材")+SUMIFS(生产安装!$J$4:$J$1203,生产安装!$C$4:$C$1203,$B235,生产安装!$E$4:$E$1203,"成本-主材")+SUMIFS(资金日记账!$K$4:$K$2503,资金日记账!$G$4:$G$2503,$B235,资金日记账!$F$4:$F$2503,"成本-主材")-SUMIFS(资金日记账!$J$4:$J$2503,资金日记账!$G$4:$G$2503,$B235,资金日记账!$F$4:$F$2503,"成本-主材"),2))</f>
        <v/>
      </c>
      <c r="M235" s="19">
        <f>IF($B235="","",ROUND(SUMIFS(采购单!$L$4:$L$2003,采购单!$D$4:$D$2003,$B235,采购单!$F$4:$F$2003,"成本-辅材")+SUMIFS(生产安装!$J$4:$J$1203,生产安装!$C$4:$C$1203,$B235,生产安装!$E$4:$E$1203,"成本-辅材")+SUMIFS(资金日记账!$K$4:$K$2503,资金日记账!$G$4:$G$2503,$B235,资金日记账!$F$4:$F$2503,"成本-辅材")-SUMIFS(资金日记账!$J$4:$J$2503,资金日记账!$G$4:$G$2503,$B235,资金日记账!$F$4:$F$2503,"成本-辅材"),2))</f>
        <v/>
      </c>
      <c r="N235" s="19">
        <f>IF($B235="","",ROUND(SUMIFS(采购单!$L$4:$L$2003,采购单!$D$4:$D$2003,$B235,采购单!$F$4:$F$2003,"成本-人工")+SUMIFS(生产安装!$J$4:$J$1203,生产安装!$C$4:$C$1203,$B235,生产安装!$E$4:$E$1203,"成本-人工")+SUMIFS(资金日记账!$K$4:$K$2503,资金日记账!$G$4:$G$2503,$B235,资金日记账!$F$4:$F$2503,"成本-人工")-SUMIFS(资金日记账!$J$4:$J$2503,资金日记账!$G$4:$G$2503,$B235,资金日记账!$F$4:$F$2503,"成本-人工"),2))</f>
        <v/>
      </c>
      <c r="O235" s="19">
        <f>IF($B235="","",ROUND(SUMIFS(采购单!$L$4:$L$2003,采购单!$D$4:$D$2003,$B235,采购单!$F$4:$F$2003,"成本-车运")+SUMIFS(生产安装!$J$4:$J$1203,生产安装!$C$4:$C$1203,$B235,生产安装!$E$4:$E$1203,"成本-车运")+SUMIFS(资金日记账!$K$4:$K$2503,资金日记账!$G$4:$G$2503,$B235,资金日记账!$F$4:$F$2503,"成本-车运")-SUMIFS(资金日记账!$J$4:$J$2503,资金日记账!$G$4:$G$2503,$B235,资金日记账!$F$4:$F$2503,"成本-车运"),2))</f>
        <v/>
      </c>
      <c r="P235" s="19">
        <f>IF($B235="","",ROUND(SUMIFS(采购单!$L$4:$L$2003,采购单!$D$4:$D$2003,$B235,采购单!$F$4:$F$2003,"成本-其他")+SUMIFS(生产安装!$J$4:$J$1203,生产安装!$C$4:$C$1203,$B235,生产安装!$E$4:$E$1203,"成本-其他")+SUMIFS(资金日记账!$K$4:$K$2503,资金日记账!$G$4:$G$2503,$B235,资金日记账!$F$4:$F$2503,"成本-其他")-SUMIFS(资金日记账!$J$4:$J$2503,资金日记账!$G$4:$G$2503,$B235,资金日记账!$F$4:$F$2503,"成本-其他"),2))</f>
        <v/>
      </c>
      <c r="Q235" s="19">
        <f>IF($B235="","",ROUND(SUM($L235:$P235),2))</f>
        <v/>
      </c>
      <c r="R235" s="19">
        <f>IF($B235="","",ROUND($I235-$Q235,2))</f>
        <v/>
      </c>
      <c r="S235" s="33">
        <f>IF($B235="","",IF(ROUND($I235,2)=0,"",ROUND($R235/$I235,4)))</f>
        <v/>
      </c>
      <c r="T235" s="22">
        <f>IF($B235="","",IF($G235="",0,YEAR($G235)*100+MONTH($G235)))</f>
        <v/>
      </c>
      <c r="U235" s="17">
        <f>IF($B235="","",IF(项目台账!$R234="","",项目台账!$R234))</f>
        <v/>
      </c>
    </row>
    <row r="236">
      <c r="A236" s="17">
        <f>IF(项目台账!$B235="","",项目台账!$A235)</f>
        <v/>
      </c>
      <c r="B236" s="17">
        <f>IF(项目台账!$B235="","",项目台账!$B235)</f>
        <v/>
      </c>
      <c r="C236" s="17">
        <f>IF($B236="","",IF(项目台账!$C235="","",项目台账!$C235))</f>
        <v/>
      </c>
      <c r="D236" s="17">
        <f>IF($B236="","",IF(项目台账!$D235="","",项目台账!$D235))</f>
        <v/>
      </c>
      <c r="E236" s="17">
        <f>IF($B236="","",IF(项目台账!$E235="","",项目台账!$E235))</f>
        <v/>
      </c>
      <c r="F236" s="23">
        <f>IF($B236="","",IF(项目台账!$F235="","",项目台账!$F235))</f>
        <v/>
      </c>
      <c r="G236" s="23">
        <f>IF($B236="","",IF(项目台账!$J235="","",项目台账!$J235))</f>
        <v/>
      </c>
      <c r="H236" s="17">
        <f>IF($B236="","",IF(项目台账!$Q235="","",项目台账!$Q235))</f>
        <v/>
      </c>
      <c r="I236" s="19">
        <f>IF($B236="","",项目台账!$M235)</f>
        <v/>
      </c>
      <c r="J236" s="19">
        <f>IF($B236="","",项目台账!$O235)</f>
        <v/>
      </c>
      <c r="K236" s="19">
        <f>IF($B236="","",项目台账!$P235)</f>
        <v/>
      </c>
      <c r="L236" s="19">
        <f>IF($B236="","",ROUND(SUMIFS(采购单!$L$4:$L$2003,采购单!$D$4:$D$2003,$B236,采购单!$F$4:$F$2003,"成本-主材")+SUMIFS(生产安装!$J$4:$J$1203,生产安装!$C$4:$C$1203,$B236,生产安装!$E$4:$E$1203,"成本-主材")+SUMIFS(资金日记账!$K$4:$K$2503,资金日记账!$G$4:$G$2503,$B236,资金日记账!$F$4:$F$2503,"成本-主材")-SUMIFS(资金日记账!$J$4:$J$2503,资金日记账!$G$4:$G$2503,$B236,资金日记账!$F$4:$F$2503,"成本-主材"),2))</f>
        <v/>
      </c>
      <c r="M236" s="19">
        <f>IF($B236="","",ROUND(SUMIFS(采购单!$L$4:$L$2003,采购单!$D$4:$D$2003,$B236,采购单!$F$4:$F$2003,"成本-辅材")+SUMIFS(生产安装!$J$4:$J$1203,生产安装!$C$4:$C$1203,$B236,生产安装!$E$4:$E$1203,"成本-辅材")+SUMIFS(资金日记账!$K$4:$K$2503,资金日记账!$G$4:$G$2503,$B236,资金日记账!$F$4:$F$2503,"成本-辅材")-SUMIFS(资金日记账!$J$4:$J$2503,资金日记账!$G$4:$G$2503,$B236,资金日记账!$F$4:$F$2503,"成本-辅材"),2))</f>
        <v/>
      </c>
      <c r="N236" s="19">
        <f>IF($B236="","",ROUND(SUMIFS(采购单!$L$4:$L$2003,采购单!$D$4:$D$2003,$B236,采购单!$F$4:$F$2003,"成本-人工")+SUMIFS(生产安装!$J$4:$J$1203,生产安装!$C$4:$C$1203,$B236,生产安装!$E$4:$E$1203,"成本-人工")+SUMIFS(资金日记账!$K$4:$K$2503,资金日记账!$G$4:$G$2503,$B236,资金日记账!$F$4:$F$2503,"成本-人工")-SUMIFS(资金日记账!$J$4:$J$2503,资金日记账!$G$4:$G$2503,$B236,资金日记账!$F$4:$F$2503,"成本-人工"),2))</f>
        <v/>
      </c>
      <c r="O236" s="19">
        <f>IF($B236="","",ROUND(SUMIFS(采购单!$L$4:$L$2003,采购单!$D$4:$D$2003,$B236,采购单!$F$4:$F$2003,"成本-车运")+SUMIFS(生产安装!$J$4:$J$1203,生产安装!$C$4:$C$1203,$B236,生产安装!$E$4:$E$1203,"成本-车运")+SUMIFS(资金日记账!$K$4:$K$2503,资金日记账!$G$4:$G$2503,$B236,资金日记账!$F$4:$F$2503,"成本-车运")-SUMIFS(资金日记账!$J$4:$J$2503,资金日记账!$G$4:$G$2503,$B236,资金日记账!$F$4:$F$2503,"成本-车运"),2))</f>
        <v/>
      </c>
      <c r="P236" s="19">
        <f>IF($B236="","",ROUND(SUMIFS(采购单!$L$4:$L$2003,采购单!$D$4:$D$2003,$B236,采购单!$F$4:$F$2003,"成本-其他")+SUMIFS(生产安装!$J$4:$J$1203,生产安装!$C$4:$C$1203,$B236,生产安装!$E$4:$E$1203,"成本-其他")+SUMIFS(资金日记账!$K$4:$K$2503,资金日记账!$G$4:$G$2503,$B236,资金日记账!$F$4:$F$2503,"成本-其他")-SUMIFS(资金日记账!$J$4:$J$2503,资金日记账!$G$4:$G$2503,$B236,资金日记账!$F$4:$F$2503,"成本-其他"),2))</f>
        <v/>
      </c>
      <c r="Q236" s="19">
        <f>IF($B236="","",ROUND(SUM($L236:$P236),2))</f>
        <v/>
      </c>
      <c r="R236" s="19">
        <f>IF($B236="","",ROUND($I236-$Q236,2))</f>
        <v/>
      </c>
      <c r="S236" s="33">
        <f>IF($B236="","",IF(ROUND($I236,2)=0,"",ROUND($R236/$I236,4)))</f>
        <v/>
      </c>
      <c r="T236" s="22">
        <f>IF($B236="","",IF($G236="",0,YEAR($G236)*100+MONTH($G236)))</f>
        <v/>
      </c>
      <c r="U236" s="17">
        <f>IF($B236="","",IF(项目台账!$R235="","",项目台账!$R235))</f>
        <v/>
      </c>
    </row>
    <row r="237">
      <c r="A237" s="17">
        <f>IF(项目台账!$B236="","",项目台账!$A236)</f>
        <v/>
      </c>
      <c r="B237" s="17">
        <f>IF(项目台账!$B236="","",项目台账!$B236)</f>
        <v/>
      </c>
      <c r="C237" s="17">
        <f>IF($B237="","",IF(项目台账!$C236="","",项目台账!$C236))</f>
        <v/>
      </c>
      <c r="D237" s="17">
        <f>IF($B237="","",IF(项目台账!$D236="","",项目台账!$D236))</f>
        <v/>
      </c>
      <c r="E237" s="17">
        <f>IF($B237="","",IF(项目台账!$E236="","",项目台账!$E236))</f>
        <v/>
      </c>
      <c r="F237" s="23">
        <f>IF($B237="","",IF(项目台账!$F236="","",项目台账!$F236))</f>
        <v/>
      </c>
      <c r="G237" s="23">
        <f>IF($B237="","",IF(项目台账!$J236="","",项目台账!$J236))</f>
        <v/>
      </c>
      <c r="H237" s="17">
        <f>IF($B237="","",IF(项目台账!$Q236="","",项目台账!$Q236))</f>
        <v/>
      </c>
      <c r="I237" s="19">
        <f>IF($B237="","",项目台账!$M236)</f>
        <v/>
      </c>
      <c r="J237" s="19">
        <f>IF($B237="","",项目台账!$O236)</f>
        <v/>
      </c>
      <c r="K237" s="19">
        <f>IF($B237="","",项目台账!$P236)</f>
        <v/>
      </c>
      <c r="L237" s="19">
        <f>IF($B237="","",ROUND(SUMIFS(采购单!$L$4:$L$2003,采购单!$D$4:$D$2003,$B237,采购单!$F$4:$F$2003,"成本-主材")+SUMIFS(生产安装!$J$4:$J$1203,生产安装!$C$4:$C$1203,$B237,生产安装!$E$4:$E$1203,"成本-主材")+SUMIFS(资金日记账!$K$4:$K$2503,资金日记账!$G$4:$G$2503,$B237,资金日记账!$F$4:$F$2503,"成本-主材")-SUMIFS(资金日记账!$J$4:$J$2503,资金日记账!$G$4:$G$2503,$B237,资金日记账!$F$4:$F$2503,"成本-主材"),2))</f>
        <v/>
      </c>
      <c r="M237" s="19">
        <f>IF($B237="","",ROUND(SUMIFS(采购单!$L$4:$L$2003,采购单!$D$4:$D$2003,$B237,采购单!$F$4:$F$2003,"成本-辅材")+SUMIFS(生产安装!$J$4:$J$1203,生产安装!$C$4:$C$1203,$B237,生产安装!$E$4:$E$1203,"成本-辅材")+SUMIFS(资金日记账!$K$4:$K$2503,资金日记账!$G$4:$G$2503,$B237,资金日记账!$F$4:$F$2503,"成本-辅材")-SUMIFS(资金日记账!$J$4:$J$2503,资金日记账!$G$4:$G$2503,$B237,资金日记账!$F$4:$F$2503,"成本-辅材"),2))</f>
        <v/>
      </c>
      <c r="N237" s="19">
        <f>IF($B237="","",ROUND(SUMIFS(采购单!$L$4:$L$2003,采购单!$D$4:$D$2003,$B237,采购单!$F$4:$F$2003,"成本-人工")+SUMIFS(生产安装!$J$4:$J$1203,生产安装!$C$4:$C$1203,$B237,生产安装!$E$4:$E$1203,"成本-人工")+SUMIFS(资金日记账!$K$4:$K$2503,资金日记账!$G$4:$G$2503,$B237,资金日记账!$F$4:$F$2503,"成本-人工")-SUMIFS(资金日记账!$J$4:$J$2503,资金日记账!$G$4:$G$2503,$B237,资金日记账!$F$4:$F$2503,"成本-人工"),2))</f>
        <v/>
      </c>
      <c r="O237" s="19">
        <f>IF($B237="","",ROUND(SUMIFS(采购单!$L$4:$L$2003,采购单!$D$4:$D$2003,$B237,采购单!$F$4:$F$2003,"成本-车运")+SUMIFS(生产安装!$J$4:$J$1203,生产安装!$C$4:$C$1203,$B237,生产安装!$E$4:$E$1203,"成本-车运")+SUMIFS(资金日记账!$K$4:$K$2503,资金日记账!$G$4:$G$2503,$B237,资金日记账!$F$4:$F$2503,"成本-车运")-SUMIFS(资金日记账!$J$4:$J$2503,资金日记账!$G$4:$G$2503,$B237,资金日记账!$F$4:$F$2503,"成本-车运"),2))</f>
        <v/>
      </c>
      <c r="P237" s="19">
        <f>IF($B237="","",ROUND(SUMIFS(采购单!$L$4:$L$2003,采购单!$D$4:$D$2003,$B237,采购单!$F$4:$F$2003,"成本-其他")+SUMIFS(生产安装!$J$4:$J$1203,生产安装!$C$4:$C$1203,$B237,生产安装!$E$4:$E$1203,"成本-其他")+SUMIFS(资金日记账!$K$4:$K$2503,资金日记账!$G$4:$G$2503,$B237,资金日记账!$F$4:$F$2503,"成本-其他")-SUMIFS(资金日记账!$J$4:$J$2503,资金日记账!$G$4:$G$2503,$B237,资金日记账!$F$4:$F$2503,"成本-其他"),2))</f>
        <v/>
      </c>
      <c r="Q237" s="19">
        <f>IF($B237="","",ROUND(SUM($L237:$P237),2))</f>
        <v/>
      </c>
      <c r="R237" s="19">
        <f>IF($B237="","",ROUND($I237-$Q237,2))</f>
        <v/>
      </c>
      <c r="S237" s="33">
        <f>IF($B237="","",IF(ROUND($I237,2)=0,"",ROUND($R237/$I237,4)))</f>
        <v/>
      </c>
      <c r="T237" s="22">
        <f>IF($B237="","",IF($G237="",0,YEAR($G237)*100+MONTH($G237)))</f>
        <v/>
      </c>
      <c r="U237" s="17">
        <f>IF($B237="","",IF(项目台账!$R236="","",项目台账!$R236))</f>
        <v/>
      </c>
    </row>
    <row r="238">
      <c r="A238" s="17">
        <f>IF(项目台账!$B237="","",项目台账!$A237)</f>
        <v/>
      </c>
      <c r="B238" s="17">
        <f>IF(项目台账!$B237="","",项目台账!$B237)</f>
        <v/>
      </c>
      <c r="C238" s="17">
        <f>IF($B238="","",IF(项目台账!$C237="","",项目台账!$C237))</f>
        <v/>
      </c>
      <c r="D238" s="17">
        <f>IF($B238="","",IF(项目台账!$D237="","",项目台账!$D237))</f>
        <v/>
      </c>
      <c r="E238" s="17">
        <f>IF($B238="","",IF(项目台账!$E237="","",项目台账!$E237))</f>
        <v/>
      </c>
      <c r="F238" s="23">
        <f>IF($B238="","",IF(项目台账!$F237="","",项目台账!$F237))</f>
        <v/>
      </c>
      <c r="G238" s="23">
        <f>IF($B238="","",IF(项目台账!$J237="","",项目台账!$J237))</f>
        <v/>
      </c>
      <c r="H238" s="17">
        <f>IF($B238="","",IF(项目台账!$Q237="","",项目台账!$Q237))</f>
        <v/>
      </c>
      <c r="I238" s="19">
        <f>IF($B238="","",项目台账!$M237)</f>
        <v/>
      </c>
      <c r="J238" s="19">
        <f>IF($B238="","",项目台账!$O237)</f>
        <v/>
      </c>
      <c r="K238" s="19">
        <f>IF($B238="","",项目台账!$P237)</f>
        <v/>
      </c>
      <c r="L238" s="19">
        <f>IF($B238="","",ROUND(SUMIFS(采购单!$L$4:$L$2003,采购单!$D$4:$D$2003,$B238,采购单!$F$4:$F$2003,"成本-主材")+SUMIFS(生产安装!$J$4:$J$1203,生产安装!$C$4:$C$1203,$B238,生产安装!$E$4:$E$1203,"成本-主材")+SUMIFS(资金日记账!$K$4:$K$2503,资金日记账!$G$4:$G$2503,$B238,资金日记账!$F$4:$F$2503,"成本-主材")-SUMIFS(资金日记账!$J$4:$J$2503,资金日记账!$G$4:$G$2503,$B238,资金日记账!$F$4:$F$2503,"成本-主材"),2))</f>
        <v/>
      </c>
      <c r="M238" s="19">
        <f>IF($B238="","",ROUND(SUMIFS(采购单!$L$4:$L$2003,采购单!$D$4:$D$2003,$B238,采购单!$F$4:$F$2003,"成本-辅材")+SUMIFS(生产安装!$J$4:$J$1203,生产安装!$C$4:$C$1203,$B238,生产安装!$E$4:$E$1203,"成本-辅材")+SUMIFS(资金日记账!$K$4:$K$2503,资金日记账!$G$4:$G$2503,$B238,资金日记账!$F$4:$F$2503,"成本-辅材")-SUMIFS(资金日记账!$J$4:$J$2503,资金日记账!$G$4:$G$2503,$B238,资金日记账!$F$4:$F$2503,"成本-辅材"),2))</f>
        <v/>
      </c>
      <c r="N238" s="19">
        <f>IF($B238="","",ROUND(SUMIFS(采购单!$L$4:$L$2003,采购单!$D$4:$D$2003,$B238,采购单!$F$4:$F$2003,"成本-人工")+SUMIFS(生产安装!$J$4:$J$1203,生产安装!$C$4:$C$1203,$B238,生产安装!$E$4:$E$1203,"成本-人工")+SUMIFS(资金日记账!$K$4:$K$2503,资金日记账!$G$4:$G$2503,$B238,资金日记账!$F$4:$F$2503,"成本-人工")-SUMIFS(资金日记账!$J$4:$J$2503,资金日记账!$G$4:$G$2503,$B238,资金日记账!$F$4:$F$2503,"成本-人工"),2))</f>
        <v/>
      </c>
      <c r="O238" s="19">
        <f>IF($B238="","",ROUND(SUMIFS(采购单!$L$4:$L$2003,采购单!$D$4:$D$2003,$B238,采购单!$F$4:$F$2003,"成本-车运")+SUMIFS(生产安装!$J$4:$J$1203,生产安装!$C$4:$C$1203,$B238,生产安装!$E$4:$E$1203,"成本-车运")+SUMIFS(资金日记账!$K$4:$K$2503,资金日记账!$G$4:$G$2503,$B238,资金日记账!$F$4:$F$2503,"成本-车运")-SUMIFS(资金日记账!$J$4:$J$2503,资金日记账!$G$4:$G$2503,$B238,资金日记账!$F$4:$F$2503,"成本-车运"),2))</f>
        <v/>
      </c>
      <c r="P238" s="19">
        <f>IF($B238="","",ROUND(SUMIFS(采购单!$L$4:$L$2003,采购单!$D$4:$D$2003,$B238,采购单!$F$4:$F$2003,"成本-其他")+SUMIFS(生产安装!$J$4:$J$1203,生产安装!$C$4:$C$1203,$B238,生产安装!$E$4:$E$1203,"成本-其他")+SUMIFS(资金日记账!$K$4:$K$2503,资金日记账!$G$4:$G$2503,$B238,资金日记账!$F$4:$F$2503,"成本-其他")-SUMIFS(资金日记账!$J$4:$J$2503,资金日记账!$G$4:$G$2503,$B238,资金日记账!$F$4:$F$2503,"成本-其他"),2))</f>
        <v/>
      </c>
      <c r="Q238" s="19">
        <f>IF($B238="","",ROUND(SUM($L238:$P238),2))</f>
        <v/>
      </c>
      <c r="R238" s="19">
        <f>IF($B238="","",ROUND($I238-$Q238,2))</f>
        <v/>
      </c>
      <c r="S238" s="33">
        <f>IF($B238="","",IF(ROUND($I238,2)=0,"",ROUND($R238/$I238,4)))</f>
        <v/>
      </c>
      <c r="T238" s="22">
        <f>IF($B238="","",IF($G238="",0,YEAR($G238)*100+MONTH($G238)))</f>
        <v/>
      </c>
      <c r="U238" s="17">
        <f>IF($B238="","",IF(项目台账!$R237="","",项目台账!$R237))</f>
        <v/>
      </c>
    </row>
    <row r="239">
      <c r="A239" s="17">
        <f>IF(项目台账!$B238="","",项目台账!$A238)</f>
        <v/>
      </c>
      <c r="B239" s="17">
        <f>IF(项目台账!$B238="","",项目台账!$B238)</f>
        <v/>
      </c>
      <c r="C239" s="17">
        <f>IF($B239="","",IF(项目台账!$C238="","",项目台账!$C238))</f>
        <v/>
      </c>
      <c r="D239" s="17">
        <f>IF($B239="","",IF(项目台账!$D238="","",项目台账!$D238))</f>
        <v/>
      </c>
      <c r="E239" s="17">
        <f>IF($B239="","",IF(项目台账!$E238="","",项目台账!$E238))</f>
        <v/>
      </c>
      <c r="F239" s="23">
        <f>IF($B239="","",IF(项目台账!$F238="","",项目台账!$F238))</f>
        <v/>
      </c>
      <c r="G239" s="23">
        <f>IF($B239="","",IF(项目台账!$J238="","",项目台账!$J238))</f>
        <v/>
      </c>
      <c r="H239" s="17">
        <f>IF($B239="","",IF(项目台账!$Q238="","",项目台账!$Q238))</f>
        <v/>
      </c>
      <c r="I239" s="19">
        <f>IF($B239="","",项目台账!$M238)</f>
        <v/>
      </c>
      <c r="J239" s="19">
        <f>IF($B239="","",项目台账!$O238)</f>
        <v/>
      </c>
      <c r="K239" s="19">
        <f>IF($B239="","",项目台账!$P238)</f>
        <v/>
      </c>
      <c r="L239" s="19">
        <f>IF($B239="","",ROUND(SUMIFS(采购单!$L$4:$L$2003,采购单!$D$4:$D$2003,$B239,采购单!$F$4:$F$2003,"成本-主材")+SUMIFS(生产安装!$J$4:$J$1203,生产安装!$C$4:$C$1203,$B239,生产安装!$E$4:$E$1203,"成本-主材")+SUMIFS(资金日记账!$K$4:$K$2503,资金日记账!$G$4:$G$2503,$B239,资金日记账!$F$4:$F$2503,"成本-主材")-SUMIFS(资金日记账!$J$4:$J$2503,资金日记账!$G$4:$G$2503,$B239,资金日记账!$F$4:$F$2503,"成本-主材"),2))</f>
        <v/>
      </c>
      <c r="M239" s="19">
        <f>IF($B239="","",ROUND(SUMIFS(采购单!$L$4:$L$2003,采购单!$D$4:$D$2003,$B239,采购单!$F$4:$F$2003,"成本-辅材")+SUMIFS(生产安装!$J$4:$J$1203,生产安装!$C$4:$C$1203,$B239,生产安装!$E$4:$E$1203,"成本-辅材")+SUMIFS(资金日记账!$K$4:$K$2503,资金日记账!$G$4:$G$2503,$B239,资金日记账!$F$4:$F$2503,"成本-辅材")-SUMIFS(资金日记账!$J$4:$J$2503,资金日记账!$G$4:$G$2503,$B239,资金日记账!$F$4:$F$2503,"成本-辅材"),2))</f>
        <v/>
      </c>
      <c r="N239" s="19">
        <f>IF($B239="","",ROUND(SUMIFS(采购单!$L$4:$L$2003,采购单!$D$4:$D$2003,$B239,采购单!$F$4:$F$2003,"成本-人工")+SUMIFS(生产安装!$J$4:$J$1203,生产安装!$C$4:$C$1203,$B239,生产安装!$E$4:$E$1203,"成本-人工")+SUMIFS(资金日记账!$K$4:$K$2503,资金日记账!$G$4:$G$2503,$B239,资金日记账!$F$4:$F$2503,"成本-人工")-SUMIFS(资金日记账!$J$4:$J$2503,资金日记账!$G$4:$G$2503,$B239,资金日记账!$F$4:$F$2503,"成本-人工"),2))</f>
        <v/>
      </c>
      <c r="O239" s="19">
        <f>IF($B239="","",ROUND(SUMIFS(采购单!$L$4:$L$2003,采购单!$D$4:$D$2003,$B239,采购单!$F$4:$F$2003,"成本-车运")+SUMIFS(生产安装!$J$4:$J$1203,生产安装!$C$4:$C$1203,$B239,生产安装!$E$4:$E$1203,"成本-车运")+SUMIFS(资金日记账!$K$4:$K$2503,资金日记账!$G$4:$G$2503,$B239,资金日记账!$F$4:$F$2503,"成本-车运")-SUMIFS(资金日记账!$J$4:$J$2503,资金日记账!$G$4:$G$2503,$B239,资金日记账!$F$4:$F$2503,"成本-车运"),2))</f>
        <v/>
      </c>
      <c r="P239" s="19">
        <f>IF($B239="","",ROUND(SUMIFS(采购单!$L$4:$L$2003,采购单!$D$4:$D$2003,$B239,采购单!$F$4:$F$2003,"成本-其他")+SUMIFS(生产安装!$J$4:$J$1203,生产安装!$C$4:$C$1203,$B239,生产安装!$E$4:$E$1203,"成本-其他")+SUMIFS(资金日记账!$K$4:$K$2503,资金日记账!$G$4:$G$2503,$B239,资金日记账!$F$4:$F$2503,"成本-其他")-SUMIFS(资金日记账!$J$4:$J$2503,资金日记账!$G$4:$G$2503,$B239,资金日记账!$F$4:$F$2503,"成本-其他"),2))</f>
        <v/>
      </c>
      <c r="Q239" s="19">
        <f>IF($B239="","",ROUND(SUM($L239:$P239),2))</f>
        <v/>
      </c>
      <c r="R239" s="19">
        <f>IF($B239="","",ROUND($I239-$Q239,2))</f>
        <v/>
      </c>
      <c r="S239" s="33">
        <f>IF($B239="","",IF(ROUND($I239,2)=0,"",ROUND($R239/$I239,4)))</f>
        <v/>
      </c>
      <c r="T239" s="22">
        <f>IF($B239="","",IF($G239="",0,YEAR($G239)*100+MONTH($G239)))</f>
        <v/>
      </c>
      <c r="U239" s="17">
        <f>IF($B239="","",IF(项目台账!$R238="","",项目台账!$R238))</f>
        <v/>
      </c>
    </row>
    <row r="240">
      <c r="A240" s="17">
        <f>IF(项目台账!$B239="","",项目台账!$A239)</f>
        <v/>
      </c>
      <c r="B240" s="17">
        <f>IF(项目台账!$B239="","",项目台账!$B239)</f>
        <v/>
      </c>
      <c r="C240" s="17">
        <f>IF($B240="","",IF(项目台账!$C239="","",项目台账!$C239))</f>
        <v/>
      </c>
      <c r="D240" s="17">
        <f>IF($B240="","",IF(项目台账!$D239="","",项目台账!$D239))</f>
        <v/>
      </c>
      <c r="E240" s="17">
        <f>IF($B240="","",IF(项目台账!$E239="","",项目台账!$E239))</f>
        <v/>
      </c>
      <c r="F240" s="23">
        <f>IF($B240="","",IF(项目台账!$F239="","",项目台账!$F239))</f>
        <v/>
      </c>
      <c r="G240" s="23">
        <f>IF($B240="","",IF(项目台账!$J239="","",项目台账!$J239))</f>
        <v/>
      </c>
      <c r="H240" s="17">
        <f>IF($B240="","",IF(项目台账!$Q239="","",项目台账!$Q239))</f>
        <v/>
      </c>
      <c r="I240" s="19">
        <f>IF($B240="","",项目台账!$M239)</f>
        <v/>
      </c>
      <c r="J240" s="19">
        <f>IF($B240="","",项目台账!$O239)</f>
        <v/>
      </c>
      <c r="K240" s="19">
        <f>IF($B240="","",项目台账!$P239)</f>
        <v/>
      </c>
      <c r="L240" s="19">
        <f>IF($B240="","",ROUND(SUMIFS(采购单!$L$4:$L$2003,采购单!$D$4:$D$2003,$B240,采购单!$F$4:$F$2003,"成本-主材")+SUMIFS(生产安装!$J$4:$J$1203,生产安装!$C$4:$C$1203,$B240,生产安装!$E$4:$E$1203,"成本-主材")+SUMIFS(资金日记账!$K$4:$K$2503,资金日记账!$G$4:$G$2503,$B240,资金日记账!$F$4:$F$2503,"成本-主材")-SUMIFS(资金日记账!$J$4:$J$2503,资金日记账!$G$4:$G$2503,$B240,资金日记账!$F$4:$F$2503,"成本-主材"),2))</f>
        <v/>
      </c>
      <c r="M240" s="19">
        <f>IF($B240="","",ROUND(SUMIFS(采购单!$L$4:$L$2003,采购单!$D$4:$D$2003,$B240,采购单!$F$4:$F$2003,"成本-辅材")+SUMIFS(生产安装!$J$4:$J$1203,生产安装!$C$4:$C$1203,$B240,生产安装!$E$4:$E$1203,"成本-辅材")+SUMIFS(资金日记账!$K$4:$K$2503,资金日记账!$G$4:$G$2503,$B240,资金日记账!$F$4:$F$2503,"成本-辅材")-SUMIFS(资金日记账!$J$4:$J$2503,资金日记账!$G$4:$G$2503,$B240,资金日记账!$F$4:$F$2503,"成本-辅材"),2))</f>
        <v/>
      </c>
      <c r="N240" s="19">
        <f>IF($B240="","",ROUND(SUMIFS(采购单!$L$4:$L$2003,采购单!$D$4:$D$2003,$B240,采购单!$F$4:$F$2003,"成本-人工")+SUMIFS(生产安装!$J$4:$J$1203,生产安装!$C$4:$C$1203,$B240,生产安装!$E$4:$E$1203,"成本-人工")+SUMIFS(资金日记账!$K$4:$K$2503,资金日记账!$G$4:$G$2503,$B240,资金日记账!$F$4:$F$2503,"成本-人工")-SUMIFS(资金日记账!$J$4:$J$2503,资金日记账!$G$4:$G$2503,$B240,资金日记账!$F$4:$F$2503,"成本-人工"),2))</f>
        <v/>
      </c>
      <c r="O240" s="19">
        <f>IF($B240="","",ROUND(SUMIFS(采购单!$L$4:$L$2003,采购单!$D$4:$D$2003,$B240,采购单!$F$4:$F$2003,"成本-车运")+SUMIFS(生产安装!$J$4:$J$1203,生产安装!$C$4:$C$1203,$B240,生产安装!$E$4:$E$1203,"成本-车运")+SUMIFS(资金日记账!$K$4:$K$2503,资金日记账!$G$4:$G$2503,$B240,资金日记账!$F$4:$F$2503,"成本-车运")-SUMIFS(资金日记账!$J$4:$J$2503,资金日记账!$G$4:$G$2503,$B240,资金日记账!$F$4:$F$2503,"成本-车运"),2))</f>
        <v/>
      </c>
      <c r="P240" s="19">
        <f>IF($B240="","",ROUND(SUMIFS(采购单!$L$4:$L$2003,采购单!$D$4:$D$2003,$B240,采购单!$F$4:$F$2003,"成本-其他")+SUMIFS(生产安装!$J$4:$J$1203,生产安装!$C$4:$C$1203,$B240,生产安装!$E$4:$E$1203,"成本-其他")+SUMIFS(资金日记账!$K$4:$K$2503,资金日记账!$G$4:$G$2503,$B240,资金日记账!$F$4:$F$2503,"成本-其他")-SUMIFS(资金日记账!$J$4:$J$2503,资金日记账!$G$4:$G$2503,$B240,资金日记账!$F$4:$F$2503,"成本-其他"),2))</f>
        <v/>
      </c>
      <c r="Q240" s="19">
        <f>IF($B240="","",ROUND(SUM($L240:$P240),2))</f>
        <v/>
      </c>
      <c r="R240" s="19">
        <f>IF($B240="","",ROUND($I240-$Q240,2))</f>
        <v/>
      </c>
      <c r="S240" s="33">
        <f>IF($B240="","",IF(ROUND($I240,2)=0,"",ROUND($R240/$I240,4)))</f>
        <v/>
      </c>
      <c r="T240" s="22">
        <f>IF($B240="","",IF($G240="",0,YEAR($G240)*100+MONTH($G240)))</f>
        <v/>
      </c>
      <c r="U240" s="17">
        <f>IF($B240="","",IF(项目台账!$R239="","",项目台账!$R239))</f>
        <v/>
      </c>
    </row>
    <row r="241">
      <c r="A241" s="17">
        <f>IF(项目台账!$B240="","",项目台账!$A240)</f>
        <v/>
      </c>
      <c r="B241" s="17">
        <f>IF(项目台账!$B240="","",项目台账!$B240)</f>
        <v/>
      </c>
      <c r="C241" s="17">
        <f>IF($B241="","",IF(项目台账!$C240="","",项目台账!$C240))</f>
        <v/>
      </c>
      <c r="D241" s="17">
        <f>IF($B241="","",IF(项目台账!$D240="","",项目台账!$D240))</f>
        <v/>
      </c>
      <c r="E241" s="17">
        <f>IF($B241="","",IF(项目台账!$E240="","",项目台账!$E240))</f>
        <v/>
      </c>
      <c r="F241" s="23">
        <f>IF($B241="","",IF(项目台账!$F240="","",项目台账!$F240))</f>
        <v/>
      </c>
      <c r="G241" s="23">
        <f>IF($B241="","",IF(项目台账!$J240="","",项目台账!$J240))</f>
        <v/>
      </c>
      <c r="H241" s="17">
        <f>IF($B241="","",IF(项目台账!$Q240="","",项目台账!$Q240))</f>
        <v/>
      </c>
      <c r="I241" s="19">
        <f>IF($B241="","",项目台账!$M240)</f>
        <v/>
      </c>
      <c r="J241" s="19">
        <f>IF($B241="","",项目台账!$O240)</f>
        <v/>
      </c>
      <c r="K241" s="19">
        <f>IF($B241="","",项目台账!$P240)</f>
        <v/>
      </c>
      <c r="L241" s="19">
        <f>IF($B241="","",ROUND(SUMIFS(采购单!$L$4:$L$2003,采购单!$D$4:$D$2003,$B241,采购单!$F$4:$F$2003,"成本-主材")+SUMIFS(生产安装!$J$4:$J$1203,生产安装!$C$4:$C$1203,$B241,生产安装!$E$4:$E$1203,"成本-主材")+SUMIFS(资金日记账!$K$4:$K$2503,资金日记账!$G$4:$G$2503,$B241,资金日记账!$F$4:$F$2503,"成本-主材")-SUMIFS(资金日记账!$J$4:$J$2503,资金日记账!$G$4:$G$2503,$B241,资金日记账!$F$4:$F$2503,"成本-主材"),2))</f>
        <v/>
      </c>
      <c r="M241" s="19">
        <f>IF($B241="","",ROUND(SUMIFS(采购单!$L$4:$L$2003,采购单!$D$4:$D$2003,$B241,采购单!$F$4:$F$2003,"成本-辅材")+SUMIFS(生产安装!$J$4:$J$1203,生产安装!$C$4:$C$1203,$B241,生产安装!$E$4:$E$1203,"成本-辅材")+SUMIFS(资金日记账!$K$4:$K$2503,资金日记账!$G$4:$G$2503,$B241,资金日记账!$F$4:$F$2503,"成本-辅材")-SUMIFS(资金日记账!$J$4:$J$2503,资金日记账!$G$4:$G$2503,$B241,资金日记账!$F$4:$F$2503,"成本-辅材"),2))</f>
        <v/>
      </c>
      <c r="N241" s="19">
        <f>IF($B241="","",ROUND(SUMIFS(采购单!$L$4:$L$2003,采购单!$D$4:$D$2003,$B241,采购单!$F$4:$F$2003,"成本-人工")+SUMIFS(生产安装!$J$4:$J$1203,生产安装!$C$4:$C$1203,$B241,生产安装!$E$4:$E$1203,"成本-人工")+SUMIFS(资金日记账!$K$4:$K$2503,资金日记账!$G$4:$G$2503,$B241,资金日记账!$F$4:$F$2503,"成本-人工")-SUMIFS(资金日记账!$J$4:$J$2503,资金日记账!$G$4:$G$2503,$B241,资金日记账!$F$4:$F$2503,"成本-人工"),2))</f>
        <v/>
      </c>
      <c r="O241" s="19">
        <f>IF($B241="","",ROUND(SUMIFS(采购单!$L$4:$L$2003,采购单!$D$4:$D$2003,$B241,采购单!$F$4:$F$2003,"成本-车运")+SUMIFS(生产安装!$J$4:$J$1203,生产安装!$C$4:$C$1203,$B241,生产安装!$E$4:$E$1203,"成本-车运")+SUMIFS(资金日记账!$K$4:$K$2503,资金日记账!$G$4:$G$2503,$B241,资金日记账!$F$4:$F$2503,"成本-车运")-SUMIFS(资金日记账!$J$4:$J$2503,资金日记账!$G$4:$G$2503,$B241,资金日记账!$F$4:$F$2503,"成本-车运"),2))</f>
        <v/>
      </c>
      <c r="P241" s="19">
        <f>IF($B241="","",ROUND(SUMIFS(采购单!$L$4:$L$2003,采购单!$D$4:$D$2003,$B241,采购单!$F$4:$F$2003,"成本-其他")+SUMIFS(生产安装!$J$4:$J$1203,生产安装!$C$4:$C$1203,$B241,生产安装!$E$4:$E$1203,"成本-其他")+SUMIFS(资金日记账!$K$4:$K$2503,资金日记账!$G$4:$G$2503,$B241,资金日记账!$F$4:$F$2503,"成本-其他")-SUMIFS(资金日记账!$J$4:$J$2503,资金日记账!$G$4:$G$2503,$B241,资金日记账!$F$4:$F$2503,"成本-其他"),2))</f>
        <v/>
      </c>
      <c r="Q241" s="19">
        <f>IF($B241="","",ROUND(SUM($L241:$P241),2))</f>
        <v/>
      </c>
      <c r="R241" s="19">
        <f>IF($B241="","",ROUND($I241-$Q241,2))</f>
        <v/>
      </c>
      <c r="S241" s="33">
        <f>IF($B241="","",IF(ROUND($I241,2)=0,"",ROUND($R241/$I241,4)))</f>
        <v/>
      </c>
      <c r="T241" s="22">
        <f>IF($B241="","",IF($G241="",0,YEAR($G241)*100+MONTH($G241)))</f>
        <v/>
      </c>
      <c r="U241" s="17">
        <f>IF($B241="","",IF(项目台账!$R240="","",项目台账!$R240))</f>
        <v/>
      </c>
    </row>
    <row r="242">
      <c r="A242" s="17">
        <f>IF(项目台账!$B241="","",项目台账!$A241)</f>
        <v/>
      </c>
      <c r="B242" s="17">
        <f>IF(项目台账!$B241="","",项目台账!$B241)</f>
        <v/>
      </c>
      <c r="C242" s="17">
        <f>IF($B242="","",IF(项目台账!$C241="","",项目台账!$C241))</f>
        <v/>
      </c>
      <c r="D242" s="17">
        <f>IF($B242="","",IF(项目台账!$D241="","",项目台账!$D241))</f>
        <v/>
      </c>
      <c r="E242" s="17">
        <f>IF($B242="","",IF(项目台账!$E241="","",项目台账!$E241))</f>
        <v/>
      </c>
      <c r="F242" s="23">
        <f>IF($B242="","",IF(项目台账!$F241="","",项目台账!$F241))</f>
        <v/>
      </c>
      <c r="G242" s="23">
        <f>IF($B242="","",IF(项目台账!$J241="","",项目台账!$J241))</f>
        <v/>
      </c>
      <c r="H242" s="17">
        <f>IF($B242="","",IF(项目台账!$Q241="","",项目台账!$Q241))</f>
        <v/>
      </c>
      <c r="I242" s="19">
        <f>IF($B242="","",项目台账!$M241)</f>
        <v/>
      </c>
      <c r="J242" s="19">
        <f>IF($B242="","",项目台账!$O241)</f>
        <v/>
      </c>
      <c r="K242" s="19">
        <f>IF($B242="","",项目台账!$P241)</f>
        <v/>
      </c>
      <c r="L242" s="19">
        <f>IF($B242="","",ROUND(SUMIFS(采购单!$L$4:$L$2003,采购单!$D$4:$D$2003,$B242,采购单!$F$4:$F$2003,"成本-主材")+SUMIFS(生产安装!$J$4:$J$1203,生产安装!$C$4:$C$1203,$B242,生产安装!$E$4:$E$1203,"成本-主材")+SUMIFS(资金日记账!$K$4:$K$2503,资金日记账!$G$4:$G$2503,$B242,资金日记账!$F$4:$F$2503,"成本-主材")-SUMIFS(资金日记账!$J$4:$J$2503,资金日记账!$G$4:$G$2503,$B242,资金日记账!$F$4:$F$2503,"成本-主材"),2))</f>
        <v/>
      </c>
      <c r="M242" s="19">
        <f>IF($B242="","",ROUND(SUMIFS(采购单!$L$4:$L$2003,采购单!$D$4:$D$2003,$B242,采购单!$F$4:$F$2003,"成本-辅材")+SUMIFS(生产安装!$J$4:$J$1203,生产安装!$C$4:$C$1203,$B242,生产安装!$E$4:$E$1203,"成本-辅材")+SUMIFS(资金日记账!$K$4:$K$2503,资金日记账!$G$4:$G$2503,$B242,资金日记账!$F$4:$F$2503,"成本-辅材")-SUMIFS(资金日记账!$J$4:$J$2503,资金日记账!$G$4:$G$2503,$B242,资金日记账!$F$4:$F$2503,"成本-辅材"),2))</f>
        <v/>
      </c>
      <c r="N242" s="19">
        <f>IF($B242="","",ROUND(SUMIFS(采购单!$L$4:$L$2003,采购单!$D$4:$D$2003,$B242,采购单!$F$4:$F$2003,"成本-人工")+SUMIFS(生产安装!$J$4:$J$1203,生产安装!$C$4:$C$1203,$B242,生产安装!$E$4:$E$1203,"成本-人工")+SUMIFS(资金日记账!$K$4:$K$2503,资金日记账!$G$4:$G$2503,$B242,资金日记账!$F$4:$F$2503,"成本-人工")-SUMIFS(资金日记账!$J$4:$J$2503,资金日记账!$G$4:$G$2503,$B242,资金日记账!$F$4:$F$2503,"成本-人工"),2))</f>
        <v/>
      </c>
      <c r="O242" s="19">
        <f>IF($B242="","",ROUND(SUMIFS(采购单!$L$4:$L$2003,采购单!$D$4:$D$2003,$B242,采购单!$F$4:$F$2003,"成本-车运")+SUMIFS(生产安装!$J$4:$J$1203,生产安装!$C$4:$C$1203,$B242,生产安装!$E$4:$E$1203,"成本-车运")+SUMIFS(资金日记账!$K$4:$K$2503,资金日记账!$G$4:$G$2503,$B242,资金日记账!$F$4:$F$2503,"成本-车运")-SUMIFS(资金日记账!$J$4:$J$2503,资金日记账!$G$4:$G$2503,$B242,资金日记账!$F$4:$F$2503,"成本-车运"),2))</f>
        <v/>
      </c>
      <c r="P242" s="19">
        <f>IF($B242="","",ROUND(SUMIFS(采购单!$L$4:$L$2003,采购单!$D$4:$D$2003,$B242,采购单!$F$4:$F$2003,"成本-其他")+SUMIFS(生产安装!$J$4:$J$1203,生产安装!$C$4:$C$1203,$B242,生产安装!$E$4:$E$1203,"成本-其他")+SUMIFS(资金日记账!$K$4:$K$2503,资金日记账!$G$4:$G$2503,$B242,资金日记账!$F$4:$F$2503,"成本-其他")-SUMIFS(资金日记账!$J$4:$J$2503,资金日记账!$G$4:$G$2503,$B242,资金日记账!$F$4:$F$2503,"成本-其他"),2))</f>
        <v/>
      </c>
      <c r="Q242" s="19">
        <f>IF($B242="","",ROUND(SUM($L242:$P242),2))</f>
        <v/>
      </c>
      <c r="R242" s="19">
        <f>IF($B242="","",ROUND($I242-$Q242,2))</f>
        <v/>
      </c>
      <c r="S242" s="33">
        <f>IF($B242="","",IF(ROUND($I242,2)=0,"",ROUND($R242/$I242,4)))</f>
        <v/>
      </c>
      <c r="T242" s="22">
        <f>IF($B242="","",IF($G242="",0,YEAR($G242)*100+MONTH($G242)))</f>
        <v/>
      </c>
      <c r="U242" s="17">
        <f>IF($B242="","",IF(项目台账!$R241="","",项目台账!$R241))</f>
        <v/>
      </c>
    </row>
    <row r="243">
      <c r="A243" s="17">
        <f>IF(项目台账!$B242="","",项目台账!$A242)</f>
        <v/>
      </c>
      <c r="B243" s="17">
        <f>IF(项目台账!$B242="","",项目台账!$B242)</f>
        <v/>
      </c>
      <c r="C243" s="17">
        <f>IF($B243="","",IF(项目台账!$C242="","",项目台账!$C242))</f>
        <v/>
      </c>
      <c r="D243" s="17">
        <f>IF($B243="","",IF(项目台账!$D242="","",项目台账!$D242))</f>
        <v/>
      </c>
      <c r="E243" s="17">
        <f>IF($B243="","",IF(项目台账!$E242="","",项目台账!$E242))</f>
        <v/>
      </c>
      <c r="F243" s="23">
        <f>IF($B243="","",IF(项目台账!$F242="","",项目台账!$F242))</f>
        <v/>
      </c>
      <c r="G243" s="23">
        <f>IF($B243="","",IF(项目台账!$J242="","",项目台账!$J242))</f>
        <v/>
      </c>
      <c r="H243" s="17">
        <f>IF($B243="","",IF(项目台账!$Q242="","",项目台账!$Q242))</f>
        <v/>
      </c>
      <c r="I243" s="19">
        <f>IF($B243="","",项目台账!$M242)</f>
        <v/>
      </c>
      <c r="J243" s="19">
        <f>IF($B243="","",项目台账!$O242)</f>
        <v/>
      </c>
      <c r="K243" s="19">
        <f>IF($B243="","",项目台账!$P242)</f>
        <v/>
      </c>
      <c r="L243" s="19">
        <f>IF($B243="","",ROUND(SUMIFS(采购单!$L$4:$L$2003,采购单!$D$4:$D$2003,$B243,采购单!$F$4:$F$2003,"成本-主材")+SUMIFS(生产安装!$J$4:$J$1203,生产安装!$C$4:$C$1203,$B243,生产安装!$E$4:$E$1203,"成本-主材")+SUMIFS(资金日记账!$K$4:$K$2503,资金日记账!$G$4:$G$2503,$B243,资金日记账!$F$4:$F$2503,"成本-主材")-SUMIFS(资金日记账!$J$4:$J$2503,资金日记账!$G$4:$G$2503,$B243,资金日记账!$F$4:$F$2503,"成本-主材"),2))</f>
        <v/>
      </c>
      <c r="M243" s="19">
        <f>IF($B243="","",ROUND(SUMIFS(采购单!$L$4:$L$2003,采购单!$D$4:$D$2003,$B243,采购单!$F$4:$F$2003,"成本-辅材")+SUMIFS(生产安装!$J$4:$J$1203,生产安装!$C$4:$C$1203,$B243,生产安装!$E$4:$E$1203,"成本-辅材")+SUMIFS(资金日记账!$K$4:$K$2503,资金日记账!$G$4:$G$2503,$B243,资金日记账!$F$4:$F$2503,"成本-辅材")-SUMIFS(资金日记账!$J$4:$J$2503,资金日记账!$G$4:$G$2503,$B243,资金日记账!$F$4:$F$2503,"成本-辅材"),2))</f>
        <v/>
      </c>
      <c r="N243" s="19">
        <f>IF($B243="","",ROUND(SUMIFS(采购单!$L$4:$L$2003,采购单!$D$4:$D$2003,$B243,采购单!$F$4:$F$2003,"成本-人工")+SUMIFS(生产安装!$J$4:$J$1203,生产安装!$C$4:$C$1203,$B243,生产安装!$E$4:$E$1203,"成本-人工")+SUMIFS(资金日记账!$K$4:$K$2503,资金日记账!$G$4:$G$2503,$B243,资金日记账!$F$4:$F$2503,"成本-人工")-SUMIFS(资金日记账!$J$4:$J$2503,资金日记账!$G$4:$G$2503,$B243,资金日记账!$F$4:$F$2503,"成本-人工"),2))</f>
        <v/>
      </c>
      <c r="O243" s="19">
        <f>IF($B243="","",ROUND(SUMIFS(采购单!$L$4:$L$2003,采购单!$D$4:$D$2003,$B243,采购单!$F$4:$F$2003,"成本-车运")+SUMIFS(生产安装!$J$4:$J$1203,生产安装!$C$4:$C$1203,$B243,生产安装!$E$4:$E$1203,"成本-车运")+SUMIFS(资金日记账!$K$4:$K$2503,资金日记账!$G$4:$G$2503,$B243,资金日记账!$F$4:$F$2503,"成本-车运")-SUMIFS(资金日记账!$J$4:$J$2503,资金日记账!$G$4:$G$2503,$B243,资金日记账!$F$4:$F$2503,"成本-车运"),2))</f>
        <v/>
      </c>
      <c r="P243" s="19">
        <f>IF($B243="","",ROUND(SUMIFS(采购单!$L$4:$L$2003,采购单!$D$4:$D$2003,$B243,采购单!$F$4:$F$2003,"成本-其他")+SUMIFS(生产安装!$J$4:$J$1203,生产安装!$C$4:$C$1203,$B243,生产安装!$E$4:$E$1203,"成本-其他")+SUMIFS(资金日记账!$K$4:$K$2503,资金日记账!$G$4:$G$2503,$B243,资金日记账!$F$4:$F$2503,"成本-其他")-SUMIFS(资金日记账!$J$4:$J$2503,资金日记账!$G$4:$G$2503,$B243,资金日记账!$F$4:$F$2503,"成本-其他"),2))</f>
        <v/>
      </c>
      <c r="Q243" s="19">
        <f>IF($B243="","",ROUND(SUM($L243:$P243),2))</f>
        <v/>
      </c>
      <c r="R243" s="19">
        <f>IF($B243="","",ROUND($I243-$Q243,2))</f>
        <v/>
      </c>
      <c r="S243" s="33">
        <f>IF($B243="","",IF(ROUND($I243,2)=0,"",ROUND($R243/$I243,4)))</f>
        <v/>
      </c>
      <c r="T243" s="22">
        <f>IF($B243="","",IF($G243="",0,YEAR($G243)*100+MONTH($G243)))</f>
        <v/>
      </c>
      <c r="U243" s="17">
        <f>IF($B243="","",IF(项目台账!$R242="","",项目台账!$R242))</f>
        <v/>
      </c>
    </row>
    <row r="244">
      <c r="A244" s="17">
        <f>IF(项目台账!$B243="","",项目台账!$A243)</f>
        <v/>
      </c>
      <c r="B244" s="17">
        <f>IF(项目台账!$B243="","",项目台账!$B243)</f>
        <v/>
      </c>
      <c r="C244" s="17">
        <f>IF($B244="","",IF(项目台账!$C243="","",项目台账!$C243))</f>
        <v/>
      </c>
      <c r="D244" s="17">
        <f>IF($B244="","",IF(项目台账!$D243="","",项目台账!$D243))</f>
        <v/>
      </c>
      <c r="E244" s="17">
        <f>IF($B244="","",IF(项目台账!$E243="","",项目台账!$E243))</f>
        <v/>
      </c>
      <c r="F244" s="23">
        <f>IF($B244="","",IF(项目台账!$F243="","",项目台账!$F243))</f>
        <v/>
      </c>
      <c r="G244" s="23">
        <f>IF($B244="","",IF(项目台账!$J243="","",项目台账!$J243))</f>
        <v/>
      </c>
      <c r="H244" s="17">
        <f>IF($B244="","",IF(项目台账!$Q243="","",项目台账!$Q243))</f>
        <v/>
      </c>
      <c r="I244" s="19">
        <f>IF($B244="","",项目台账!$M243)</f>
        <v/>
      </c>
      <c r="J244" s="19">
        <f>IF($B244="","",项目台账!$O243)</f>
        <v/>
      </c>
      <c r="K244" s="19">
        <f>IF($B244="","",项目台账!$P243)</f>
        <v/>
      </c>
      <c r="L244" s="19">
        <f>IF($B244="","",ROUND(SUMIFS(采购单!$L$4:$L$2003,采购单!$D$4:$D$2003,$B244,采购单!$F$4:$F$2003,"成本-主材")+SUMIFS(生产安装!$J$4:$J$1203,生产安装!$C$4:$C$1203,$B244,生产安装!$E$4:$E$1203,"成本-主材")+SUMIFS(资金日记账!$K$4:$K$2503,资金日记账!$G$4:$G$2503,$B244,资金日记账!$F$4:$F$2503,"成本-主材")-SUMIFS(资金日记账!$J$4:$J$2503,资金日记账!$G$4:$G$2503,$B244,资金日记账!$F$4:$F$2503,"成本-主材"),2))</f>
        <v/>
      </c>
      <c r="M244" s="19">
        <f>IF($B244="","",ROUND(SUMIFS(采购单!$L$4:$L$2003,采购单!$D$4:$D$2003,$B244,采购单!$F$4:$F$2003,"成本-辅材")+SUMIFS(生产安装!$J$4:$J$1203,生产安装!$C$4:$C$1203,$B244,生产安装!$E$4:$E$1203,"成本-辅材")+SUMIFS(资金日记账!$K$4:$K$2503,资金日记账!$G$4:$G$2503,$B244,资金日记账!$F$4:$F$2503,"成本-辅材")-SUMIFS(资金日记账!$J$4:$J$2503,资金日记账!$G$4:$G$2503,$B244,资金日记账!$F$4:$F$2503,"成本-辅材"),2))</f>
        <v/>
      </c>
      <c r="N244" s="19">
        <f>IF($B244="","",ROUND(SUMIFS(采购单!$L$4:$L$2003,采购单!$D$4:$D$2003,$B244,采购单!$F$4:$F$2003,"成本-人工")+SUMIFS(生产安装!$J$4:$J$1203,生产安装!$C$4:$C$1203,$B244,生产安装!$E$4:$E$1203,"成本-人工")+SUMIFS(资金日记账!$K$4:$K$2503,资金日记账!$G$4:$G$2503,$B244,资金日记账!$F$4:$F$2503,"成本-人工")-SUMIFS(资金日记账!$J$4:$J$2503,资金日记账!$G$4:$G$2503,$B244,资金日记账!$F$4:$F$2503,"成本-人工"),2))</f>
        <v/>
      </c>
      <c r="O244" s="19">
        <f>IF($B244="","",ROUND(SUMIFS(采购单!$L$4:$L$2003,采购单!$D$4:$D$2003,$B244,采购单!$F$4:$F$2003,"成本-车运")+SUMIFS(生产安装!$J$4:$J$1203,生产安装!$C$4:$C$1203,$B244,生产安装!$E$4:$E$1203,"成本-车运")+SUMIFS(资金日记账!$K$4:$K$2503,资金日记账!$G$4:$G$2503,$B244,资金日记账!$F$4:$F$2503,"成本-车运")-SUMIFS(资金日记账!$J$4:$J$2503,资金日记账!$G$4:$G$2503,$B244,资金日记账!$F$4:$F$2503,"成本-车运"),2))</f>
        <v/>
      </c>
      <c r="P244" s="19">
        <f>IF($B244="","",ROUND(SUMIFS(采购单!$L$4:$L$2003,采购单!$D$4:$D$2003,$B244,采购单!$F$4:$F$2003,"成本-其他")+SUMIFS(生产安装!$J$4:$J$1203,生产安装!$C$4:$C$1203,$B244,生产安装!$E$4:$E$1203,"成本-其他")+SUMIFS(资金日记账!$K$4:$K$2503,资金日记账!$G$4:$G$2503,$B244,资金日记账!$F$4:$F$2503,"成本-其他")-SUMIFS(资金日记账!$J$4:$J$2503,资金日记账!$G$4:$G$2503,$B244,资金日记账!$F$4:$F$2503,"成本-其他"),2))</f>
        <v/>
      </c>
      <c r="Q244" s="19">
        <f>IF($B244="","",ROUND(SUM($L244:$P244),2))</f>
        <v/>
      </c>
      <c r="R244" s="19">
        <f>IF($B244="","",ROUND($I244-$Q244,2))</f>
        <v/>
      </c>
      <c r="S244" s="33">
        <f>IF($B244="","",IF(ROUND($I244,2)=0,"",ROUND($R244/$I244,4)))</f>
        <v/>
      </c>
      <c r="T244" s="22">
        <f>IF($B244="","",IF($G244="",0,YEAR($G244)*100+MONTH($G244)))</f>
        <v/>
      </c>
      <c r="U244" s="17">
        <f>IF($B244="","",IF(项目台账!$R243="","",项目台账!$R243))</f>
        <v/>
      </c>
    </row>
    <row r="245">
      <c r="A245" s="17">
        <f>IF(项目台账!$B244="","",项目台账!$A244)</f>
        <v/>
      </c>
      <c r="B245" s="17">
        <f>IF(项目台账!$B244="","",项目台账!$B244)</f>
        <v/>
      </c>
      <c r="C245" s="17">
        <f>IF($B245="","",IF(项目台账!$C244="","",项目台账!$C244))</f>
        <v/>
      </c>
      <c r="D245" s="17">
        <f>IF($B245="","",IF(项目台账!$D244="","",项目台账!$D244))</f>
        <v/>
      </c>
      <c r="E245" s="17">
        <f>IF($B245="","",IF(项目台账!$E244="","",项目台账!$E244))</f>
        <v/>
      </c>
      <c r="F245" s="23">
        <f>IF($B245="","",IF(项目台账!$F244="","",项目台账!$F244))</f>
        <v/>
      </c>
      <c r="G245" s="23">
        <f>IF($B245="","",IF(项目台账!$J244="","",项目台账!$J244))</f>
        <v/>
      </c>
      <c r="H245" s="17">
        <f>IF($B245="","",IF(项目台账!$Q244="","",项目台账!$Q244))</f>
        <v/>
      </c>
      <c r="I245" s="19">
        <f>IF($B245="","",项目台账!$M244)</f>
        <v/>
      </c>
      <c r="J245" s="19">
        <f>IF($B245="","",项目台账!$O244)</f>
        <v/>
      </c>
      <c r="K245" s="19">
        <f>IF($B245="","",项目台账!$P244)</f>
        <v/>
      </c>
      <c r="L245" s="19">
        <f>IF($B245="","",ROUND(SUMIFS(采购单!$L$4:$L$2003,采购单!$D$4:$D$2003,$B245,采购单!$F$4:$F$2003,"成本-主材")+SUMIFS(生产安装!$J$4:$J$1203,生产安装!$C$4:$C$1203,$B245,生产安装!$E$4:$E$1203,"成本-主材")+SUMIFS(资金日记账!$K$4:$K$2503,资金日记账!$G$4:$G$2503,$B245,资金日记账!$F$4:$F$2503,"成本-主材")-SUMIFS(资金日记账!$J$4:$J$2503,资金日记账!$G$4:$G$2503,$B245,资金日记账!$F$4:$F$2503,"成本-主材"),2))</f>
        <v/>
      </c>
      <c r="M245" s="19">
        <f>IF($B245="","",ROUND(SUMIFS(采购单!$L$4:$L$2003,采购单!$D$4:$D$2003,$B245,采购单!$F$4:$F$2003,"成本-辅材")+SUMIFS(生产安装!$J$4:$J$1203,生产安装!$C$4:$C$1203,$B245,生产安装!$E$4:$E$1203,"成本-辅材")+SUMIFS(资金日记账!$K$4:$K$2503,资金日记账!$G$4:$G$2503,$B245,资金日记账!$F$4:$F$2503,"成本-辅材")-SUMIFS(资金日记账!$J$4:$J$2503,资金日记账!$G$4:$G$2503,$B245,资金日记账!$F$4:$F$2503,"成本-辅材"),2))</f>
        <v/>
      </c>
      <c r="N245" s="19">
        <f>IF($B245="","",ROUND(SUMIFS(采购单!$L$4:$L$2003,采购单!$D$4:$D$2003,$B245,采购单!$F$4:$F$2003,"成本-人工")+SUMIFS(生产安装!$J$4:$J$1203,生产安装!$C$4:$C$1203,$B245,生产安装!$E$4:$E$1203,"成本-人工")+SUMIFS(资金日记账!$K$4:$K$2503,资金日记账!$G$4:$G$2503,$B245,资金日记账!$F$4:$F$2503,"成本-人工")-SUMIFS(资金日记账!$J$4:$J$2503,资金日记账!$G$4:$G$2503,$B245,资金日记账!$F$4:$F$2503,"成本-人工"),2))</f>
        <v/>
      </c>
      <c r="O245" s="19">
        <f>IF($B245="","",ROUND(SUMIFS(采购单!$L$4:$L$2003,采购单!$D$4:$D$2003,$B245,采购单!$F$4:$F$2003,"成本-车运")+SUMIFS(生产安装!$J$4:$J$1203,生产安装!$C$4:$C$1203,$B245,生产安装!$E$4:$E$1203,"成本-车运")+SUMIFS(资金日记账!$K$4:$K$2503,资金日记账!$G$4:$G$2503,$B245,资金日记账!$F$4:$F$2503,"成本-车运")-SUMIFS(资金日记账!$J$4:$J$2503,资金日记账!$G$4:$G$2503,$B245,资金日记账!$F$4:$F$2503,"成本-车运"),2))</f>
        <v/>
      </c>
      <c r="P245" s="19">
        <f>IF($B245="","",ROUND(SUMIFS(采购单!$L$4:$L$2003,采购单!$D$4:$D$2003,$B245,采购单!$F$4:$F$2003,"成本-其他")+SUMIFS(生产安装!$J$4:$J$1203,生产安装!$C$4:$C$1203,$B245,生产安装!$E$4:$E$1203,"成本-其他")+SUMIFS(资金日记账!$K$4:$K$2503,资金日记账!$G$4:$G$2503,$B245,资金日记账!$F$4:$F$2503,"成本-其他")-SUMIFS(资金日记账!$J$4:$J$2503,资金日记账!$G$4:$G$2503,$B245,资金日记账!$F$4:$F$2503,"成本-其他"),2))</f>
        <v/>
      </c>
      <c r="Q245" s="19">
        <f>IF($B245="","",ROUND(SUM($L245:$P245),2))</f>
        <v/>
      </c>
      <c r="R245" s="19">
        <f>IF($B245="","",ROUND($I245-$Q245,2))</f>
        <v/>
      </c>
      <c r="S245" s="33">
        <f>IF($B245="","",IF(ROUND($I245,2)=0,"",ROUND($R245/$I245,4)))</f>
        <v/>
      </c>
      <c r="T245" s="22">
        <f>IF($B245="","",IF($G245="",0,YEAR($G245)*100+MONTH($G245)))</f>
        <v/>
      </c>
      <c r="U245" s="17">
        <f>IF($B245="","",IF(项目台账!$R244="","",项目台账!$R244))</f>
        <v/>
      </c>
    </row>
    <row r="246">
      <c r="A246" s="17">
        <f>IF(项目台账!$B245="","",项目台账!$A245)</f>
        <v/>
      </c>
      <c r="B246" s="17">
        <f>IF(项目台账!$B245="","",项目台账!$B245)</f>
        <v/>
      </c>
      <c r="C246" s="17">
        <f>IF($B246="","",IF(项目台账!$C245="","",项目台账!$C245))</f>
        <v/>
      </c>
      <c r="D246" s="17">
        <f>IF($B246="","",IF(项目台账!$D245="","",项目台账!$D245))</f>
        <v/>
      </c>
      <c r="E246" s="17">
        <f>IF($B246="","",IF(项目台账!$E245="","",项目台账!$E245))</f>
        <v/>
      </c>
      <c r="F246" s="23">
        <f>IF($B246="","",IF(项目台账!$F245="","",项目台账!$F245))</f>
        <v/>
      </c>
      <c r="G246" s="23">
        <f>IF($B246="","",IF(项目台账!$J245="","",项目台账!$J245))</f>
        <v/>
      </c>
      <c r="H246" s="17">
        <f>IF($B246="","",IF(项目台账!$Q245="","",项目台账!$Q245))</f>
        <v/>
      </c>
      <c r="I246" s="19">
        <f>IF($B246="","",项目台账!$M245)</f>
        <v/>
      </c>
      <c r="J246" s="19">
        <f>IF($B246="","",项目台账!$O245)</f>
        <v/>
      </c>
      <c r="K246" s="19">
        <f>IF($B246="","",项目台账!$P245)</f>
        <v/>
      </c>
      <c r="L246" s="19">
        <f>IF($B246="","",ROUND(SUMIFS(采购单!$L$4:$L$2003,采购单!$D$4:$D$2003,$B246,采购单!$F$4:$F$2003,"成本-主材")+SUMIFS(生产安装!$J$4:$J$1203,生产安装!$C$4:$C$1203,$B246,生产安装!$E$4:$E$1203,"成本-主材")+SUMIFS(资金日记账!$K$4:$K$2503,资金日记账!$G$4:$G$2503,$B246,资金日记账!$F$4:$F$2503,"成本-主材")-SUMIFS(资金日记账!$J$4:$J$2503,资金日记账!$G$4:$G$2503,$B246,资金日记账!$F$4:$F$2503,"成本-主材"),2))</f>
        <v/>
      </c>
      <c r="M246" s="19">
        <f>IF($B246="","",ROUND(SUMIFS(采购单!$L$4:$L$2003,采购单!$D$4:$D$2003,$B246,采购单!$F$4:$F$2003,"成本-辅材")+SUMIFS(生产安装!$J$4:$J$1203,生产安装!$C$4:$C$1203,$B246,生产安装!$E$4:$E$1203,"成本-辅材")+SUMIFS(资金日记账!$K$4:$K$2503,资金日记账!$G$4:$G$2503,$B246,资金日记账!$F$4:$F$2503,"成本-辅材")-SUMIFS(资金日记账!$J$4:$J$2503,资金日记账!$G$4:$G$2503,$B246,资金日记账!$F$4:$F$2503,"成本-辅材"),2))</f>
        <v/>
      </c>
      <c r="N246" s="19">
        <f>IF($B246="","",ROUND(SUMIFS(采购单!$L$4:$L$2003,采购单!$D$4:$D$2003,$B246,采购单!$F$4:$F$2003,"成本-人工")+SUMIFS(生产安装!$J$4:$J$1203,生产安装!$C$4:$C$1203,$B246,生产安装!$E$4:$E$1203,"成本-人工")+SUMIFS(资金日记账!$K$4:$K$2503,资金日记账!$G$4:$G$2503,$B246,资金日记账!$F$4:$F$2503,"成本-人工")-SUMIFS(资金日记账!$J$4:$J$2503,资金日记账!$G$4:$G$2503,$B246,资金日记账!$F$4:$F$2503,"成本-人工"),2))</f>
        <v/>
      </c>
      <c r="O246" s="19">
        <f>IF($B246="","",ROUND(SUMIFS(采购单!$L$4:$L$2003,采购单!$D$4:$D$2003,$B246,采购单!$F$4:$F$2003,"成本-车运")+SUMIFS(生产安装!$J$4:$J$1203,生产安装!$C$4:$C$1203,$B246,生产安装!$E$4:$E$1203,"成本-车运")+SUMIFS(资金日记账!$K$4:$K$2503,资金日记账!$G$4:$G$2503,$B246,资金日记账!$F$4:$F$2503,"成本-车运")-SUMIFS(资金日记账!$J$4:$J$2503,资金日记账!$G$4:$G$2503,$B246,资金日记账!$F$4:$F$2503,"成本-车运"),2))</f>
        <v/>
      </c>
      <c r="P246" s="19">
        <f>IF($B246="","",ROUND(SUMIFS(采购单!$L$4:$L$2003,采购单!$D$4:$D$2003,$B246,采购单!$F$4:$F$2003,"成本-其他")+SUMIFS(生产安装!$J$4:$J$1203,生产安装!$C$4:$C$1203,$B246,生产安装!$E$4:$E$1203,"成本-其他")+SUMIFS(资金日记账!$K$4:$K$2503,资金日记账!$G$4:$G$2503,$B246,资金日记账!$F$4:$F$2503,"成本-其他")-SUMIFS(资金日记账!$J$4:$J$2503,资金日记账!$G$4:$G$2503,$B246,资金日记账!$F$4:$F$2503,"成本-其他"),2))</f>
        <v/>
      </c>
      <c r="Q246" s="19">
        <f>IF($B246="","",ROUND(SUM($L246:$P246),2))</f>
        <v/>
      </c>
      <c r="R246" s="19">
        <f>IF($B246="","",ROUND($I246-$Q246,2))</f>
        <v/>
      </c>
      <c r="S246" s="33">
        <f>IF($B246="","",IF(ROUND($I246,2)=0,"",ROUND($R246/$I246,4)))</f>
        <v/>
      </c>
      <c r="T246" s="22">
        <f>IF($B246="","",IF($G246="",0,YEAR($G246)*100+MONTH($G246)))</f>
        <v/>
      </c>
      <c r="U246" s="17">
        <f>IF($B246="","",IF(项目台账!$R245="","",项目台账!$R245))</f>
        <v/>
      </c>
    </row>
    <row r="247">
      <c r="A247" s="17">
        <f>IF(项目台账!$B246="","",项目台账!$A246)</f>
        <v/>
      </c>
      <c r="B247" s="17">
        <f>IF(项目台账!$B246="","",项目台账!$B246)</f>
        <v/>
      </c>
      <c r="C247" s="17">
        <f>IF($B247="","",IF(项目台账!$C246="","",项目台账!$C246))</f>
        <v/>
      </c>
      <c r="D247" s="17">
        <f>IF($B247="","",IF(项目台账!$D246="","",项目台账!$D246))</f>
        <v/>
      </c>
      <c r="E247" s="17">
        <f>IF($B247="","",IF(项目台账!$E246="","",项目台账!$E246))</f>
        <v/>
      </c>
      <c r="F247" s="23">
        <f>IF($B247="","",IF(项目台账!$F246="","",项目台账!$F246))</f>
        <v/>
      </c>
      <c r="G247" s="23">
        <f>IF($B247="","",IF(项目台账!$J246="","",项目台账!$J246))</f>
        <v/>
      </c>
      <c r="H247" s="17">
        <f>IF($B247="","",IF(项目台账!$Q246="","",项目台账!$Q246))</f>
        <v/>
      </c>
      <c r="I247" s="19">
        <f>IF($B247="","",项目台账!$M246)</f>
        <v/>
      </c>
      <c r="J247" s="19">
        <f>IF($B247="","",项目台账!$O246)</f>
        <v/>
      </c>
      <c r="K247" s="19">
        <f>IF($B247="","",项目台账!$P246)</f>
        <v/>
      </c>
      <c r="L247" s="19">
        <f>IF($B247="","",ROUND(SUMIFS(采购单!$L$4:$L$2003,采购单!$D$4:$D$2003,$B247,采购单!$F$4:$F$2003,"成本-主材")+SUMIFS(生产安装!$J$4:$J$1203,生产安装!$C$4:$C$1203,$B247,生产安装!$E$4:$E$1203,"成本-主材")+SUMIFS(资金日记账!$K$4:$K$2503,资金日记账!$G$4:$G$2503,$B247,资金日记账!$F$4:$F$2503,"成本-主材")-SUMIFS(资金日记账!$J$4:$J$2503,资金日记账!$G$4:$G$2503,$B247,资金日记账!$F$4:$F$2503,"成本-主材"),2))</f>
        <v/>
      </c>
      <c r="M247" s="19">
        <f>IF($B247="","",ROUND(SUMIFS(采购单!$L$4:$L$2003,采购单!$D$4:$D$2003,$B247,采购单!$F$4:$F$2003,"成本-辅材")+SUMIFS(生产安装!$J$4:$J$1203,生产安装!$C$4:$C$1203,$B247,生产安装!$E$4:$E$1203,"成本-辅材")+SUMIFS(资金日记账!$K$4:$K$2503,资金日记账!$G$4:$G$2503,$B247,资金日记账!$F$4:$F$2503,"成本-辅材")-SUMIFS(资金日记账!$J$4:$J$2503,资金日记账!$G$4:$G$2503,$B247,资金日记账!$F$4:$F$2503,"成本-辅材"),2))</f>
        <v/>
      </c>
      <c r="N247" s="19">
        <f>IF($B247="","",ROUND(SUMIFS(采购单!$L$4:$L$2003,采购单!$D$4:$D$2003,$B247,采购单!$F$4:$F$2003,"成本-人工")+SUMIFS(生产安装!$J$4:$J$1203,生产安装!$C$4:$C$1203,$B247,生产安装!$E$4:$E$1203,"成本-人工")+SUMIFS(资金日记账!$K$4:$K$2503,资金日记账!$G$4:$G$2503,$B247,资金日记账!$F$4:$F$2503,"成本-人工")-SUMIFS(资金日记账!$J$4:$J$2503,资金日记账!$G$4:$G$2503,$B247,资金日记账!$F$4:$F$2503,"成本-人工"),2))</f>
        <v/>
      </c>
      <c r="O247" s="19">
        <f>IF($B247="","",ROUND(SUMIFS(采购单!$L$4:$L$2003,采购单!$D$4:$D$2003,$B247,采购单!$F$4:$F$2003,"成本-车运")+SUMIFS(生产安装!$J$4:$J$1203,生产安装!$C$4:$C$1203,$B247,生产安装!$E$4:$E$1203,"成本-车运")+SUMIFS(资金日记账!$K$4:$K$2503,资金日记账!$G$4:$G$2503,$B247,资金日记账!$F$4:$F$2503,"成本-车运")-SUMIFS(资金日记账!$J$4:$J$2503,资金日记账!$G$4:$G$2503,$B247,资金日记账!$F$4:$F$2503,"成本-车运"),2))</f>
        <v/>
      </c>
      <c r="P247" s="19">
        <f>IF($B247="","",ROUND(SUMIFS(采购单!$L$4:$L$2003,采购单!$D$4:$D$2003,$B247,采购单!$F$4:$F$2003,"成本-其他")+SUMIFS(生产安装!$J$4:$J$1203,生产安装!$C$4:$C$1203,$B247,生产安装!$E$4:$E$1203,"成本-其他")+SUMIFS(资金日记账!$K$4:$K$2503,资金日记账!$G$4:$G$2503,$B247,资金日记账!$F$4:$F$2503,"成本-其他")-SUMIFS(资金日记账!$J$4:$J$2503,资金日记账!$G$4:$G$2503,$B247,资金日记账!$F$4:$F$2503,"成本-其他"),2))</f>
        <v/>
      </c>
      <c r="Q247" s="19">
        <f>IF($B247="","",ROUND(SUM($L247:$P247),2))</f>
        <v/>
      </c>
      <c r="R247" s="19">
        <f>IF($B247="","",ROUND($I247-$Q247,2))</f>
        <v/>
      </c>
      <c r="S247" s="33">
        <f>IF($B247="","",IF(ROUND($I247,2)=0,"",ROUND($R247/$I247,4)))</f>
        <v/>
      </c>
      <c r="T247" s="22">
        <f>IF($B247="","",IF($G247="",0,YEAR($G247)*100+MONTH($G247)))</f>
        <v/>
      </c>
      <c r="U247" s="17">
        <f>IF($B247="","",IF(项目台账!$R246="","",项目台账!$R246))</f>
        <v/>
      </c>
    </row>
    <row r="248">
      <c r="A248" s="17">
        <f>IF(项目台账!$B247="","",项目台账!$A247)</f>
        <v/>
      </c>
      <c r="B248" s="17">
        <f>IF(项目台账!$B247="","",项目台账!$B247)</f>
        <v/>
      </c>
      <c r="C248" s="17">
        <f>IF($B248="","",IF(项目台账!$C247="","",项目台账!$C247))</f>
        <v/>
      </c>
      <c r="D248" s="17">
        <f>IF($B248="","",IF(项目台账!$D247="","",项目台账!$D247))</f>
        <v/>
      </c>
      <c r="E248" s="17">
        <f>IF($B248="","",IF(项目台账!$E247="","",项目台账!$E247))</f>
        <v/>
      </c>
      <c r="F248" s="23">
        <f>IF($B248="","",IF(项目台账!$F247="","",项目台账!$F247))</f>
        <v/>
      </c>
      <c r="G248" s="23">
        <f>IF($B248="","",IF(项目台账!$J247="","",项目台账!$J247))</f>
        <v/>
      </c>
      <c r="H248" s="17">
        <f>IF($B248="","",IF(项目台账!$Q247="","",项目台账!$Q247))</f>
        <v/>
      </c>
      <c r="I248" s="19">
        <f>IF($B248="","",项目台账!$M247)</f>
        <v/>
      </c>
      <c r="J248" s="19">
        <f>IF($B248="","",项目台账!$O247)</f>
        <v/>
      </c>
      <c r="K248" s="19">
        <f>IF($B248="","",项目台账!$P247)</f>
        <v/>
      </c>
      <c r="L248" s="19">
        <f>IF($B248="","",ROUND(SUMIFS(采购单!$L$4:$L$2003,采购单!$D$4:$D$2003,$B248,采购单!$F$4:$F$2003,"成本-主材")+SUMIFS(生产安装!$J$4:$J$1203,生产安装!$C$4:$C$1203,$B248,生产安装!$E$4:$E$1203,"成本-主材")+SUMIFS(资金日记账!$K$4:$K$2503,资金日记账!$G$4:$G$2503,$B248,资金日记账!$F$4:$F$2503,"成本-主材")-SUMIFS(资金日记账!$J$4:$J$2503,资金日记账!$G$4:$G$2503,$B248,资金日记账!$F$4:$F$2503,"成本-主材"),2))</f>
        <v/>
      </c>
      <c r="M248" s="19">
        <f>IF($B248="","",ROUND(SUMIFS(采购单!$L$4:$L$2003,采购单!$D$4:$D$2003,$B248,采购单!$F$4:$F$2003,"成本-辅材")+SUMIFS(生产安装!$J$4:$J$1203,生产安装!$C$4:$C$1203,$B248,生产安装!$E$4:$E$1203,"成本-辅材")+SUMIFS(资金日记账!$K$4:$K$2503,资金日记账!$G$4:$G$2503,$B248,资金日记账!$F$4:$F$2503,"成本-辅材")-SUMIFS(资金日记账!$J$4:$J$2503,资金日记账!$G$4:$G$2503,$B248,资金日记账!$F$4:$F$2503,"成本-辅材"),2))</f>
        <v/>
      </c>
      <c r="N248" s="19">
        <f>IF($B248="","",ROUND(SUMIFS(采购单!$L$4:$L$2003,采购单!$D$4:$D$2003,$B248,采购单!$F$4:$F$2003,"成本-人工")+SUMIFS(生产安装!$J$4:$J$1203,生产安装!$C$4:$C$1203,$B248,生产安装!$E$4:$E$1203,"成本-人工")+SUMIFS(资金日记账!$K$4:$K$2503,资金日记账!$G$4:$G$2503,$B248,资金日记账!$F$4:$F$2503,"成本-人工")-SUMIFS(资金日记账!$J$4:$J$2503,资金日记账!$G$4:$G$2503,$B248,资金日记账!$F$4:$F$2503,"成本-人工"),2))</f>
        <v/>
      </c>
      <c r="O248" s="19">
        <f>IF($B248="","",ROUND(SUMIFS(采购单!$L$4:$L$2003,采购单!$D$4:$D$2003,$B248,采购单!$F$4:$F$2003,"成本-车运")+SUMIFS(生产安装!$J$4:$J$1203,生产安装!$C$4:$C$1203,$B248,生产安装!$E$4:$E$1203,"成本-车运")+SUMIFS(资金日记账!$K$4:$K$2503,资金日记账!$G$4:$G$2503,$B248,资金日记账!$F$4:$F$2503,"成本-车运")-SUMIFS(资金日记账!$J$4:$J$2503,资金日记账!$G$4:$G$2503,$B248,资金日记账!$F$4:$F$2503,"成本-车运"),2))</f>
        <v/>
      </c>
      <c r="P248" s="19">
        <f>IF($B248="","",ROUND(SUMIFS(采购单!$L$4:$L$2003,采购单!$D$4:$D$2003,$B248,采购单!$F$4:$F$2003,"成本-其他")+SUMIFS(生产安装!$J$4:$J$1203,生产安装!$C$4:$C$1203,$B248,生产安装!$E$4:$E$1203,"成本-其他")+SUMIFS(资金日记账!$K$4:$K$2503,资金日记账!$G$4:$G$2503,$B248,资金日记账!$F$4:$F$2503,"成本-其他")-SUMIFS(资金日记账!$J$4:$J$2503,资金日记账!$G$4:$G$2503,$B248,资金日记账!$F$4:$F$2503,"成本-其他"),2))</f>
        <v/>
      </c>
      <c r="Q248" s="19">
        <f>IF($B248="","",ROUND(SUM($L248:$P248),2))</f>
        <v/>
      </c>
      <c r="R248" s="19">
        <f>IF($B248="","",ROUND($I248-$Q248,2))</f>
        <v/>
      </c>
      <c r="S248" s="33">
        <f>IF($B248="","",IF(ROUND($I248,2)=0,"",ROUND($R248/$I248,4)))</f>
        <v/>
      </c>
      <c r="T248" s="22">
        <f>IF($B248="","",IF($G248="",0,YEAR($G248)*100+MONTH($G248)))</f>
        <v/>
      </c>
      <c r="U248" s="17">
        <f>IF($B248="","",IF(项目台账!$R247="","",项目台账!$R247))</f>
        <v/>
      </c>
    </row>
    <row r="249">
      <c r="A249" s="17">
        <f>IF(项目台账!$B248="","",项目台账!$A248)</f>
        <v/>
      </c>
      <c r="B249" s="17">
        <f>IF(项目台账!$B248="","",项目台账!$B248)</f>
        <v/>
      </c>
      <c r="C249" s="17">
        <f>IF($B249="","",IF(项目台账!$C248="","",项目台账!$C248))</f>
        <v/>
      </c>
      <c r="D249" s="17">
        <f>IF($B249="","",IF(项目台账!$D248="","",项目台账!$D248))</f>
        <v/>
      </c>
      <c r="E249" s="17">
        <f>IF($B249="","",IF(项目台账!$E248="","",项目台账!$E248))</f>
        <v/>
      </c>
      <c r="F249" s="23">
        <f>IF($B249="","",IF(项目台账!$F248="","",项目台账!$F248))</f>
        <v/>
      </c>
      <c r="G249" s="23">
        <f>IF($B249="","",IF(项目台账!$J248="","",项目台账!$J248))</f>
        <v/>
      </c>
      <c r="H249" s="17">
        <f>IF($B249="","",IF(项目台账!$Q248="","",项目台账!$Q248))</f>
        <v/>
      </c>
      <c r="I249" s="19">
        <f>IF($B249="","",项目台账!$M248)</f>
        <v/>
      </c>
      <c r="J249" s="19">
        <f>IF($B249="","",项目台账!$O248)</f>
        <v/>
      </c>
      <c r="K249" s="19">
        <f>IF($B249="","",项目台账!$P248)</f>
        <v/>
      </c>
      <c r="L249" s="19">
        <f>IF($B249="","",ROUND(SUMIFS(采购单!$L$4:$L$2003,采购单!$D$4:$D$2003,$B249,采购单!$F$4:$F$2003,"成本-主材")+SUMIFS(生产安装!$J$4:$J$1203,生产安装!$C$4:$C$1203,$B249,生产安装!$E$4:$E$1203,"成本-主材")+SUMIFS(资金日记账!$K$4:$K$2503,资金日记账!$G$4:$G$2503,$B249,资金日记账!$F$4:$F$2503,"成本-主材")-SUMIFS(资金日记账!$J$4:$J$2503,资金日记账!$G$4:$G$2503,$B249,资金日记账!$F$4:$F$2503,"成本-主材"),2))</f>
        <v/>
      </c>
      <c r="M249" s="19">
        <f>IF($B249="","",ROUND(SUMIFS(采购单!$L$4:$L$2003,采购单!$D$4:$D$2003,$B249,采购单!$F$4:$F$2003,"成本-辅材")+SUMIFS(生产安装!$J$4:$J$1203,生产安装!$C$4:$C$1203,$B249,生产安装!$E$4:$E$1203,"成本-辅材")+SUMIFS(资金日记账!$K$4:$K$2503,资金日记账!$G$4:$G$2503,$B249,资金日记账!$F$4:$F$2503,"成本-辅材")-SUMIFS(资金日记账!$J$4:$J$2503,资金日记账!$G$4:$G$2503,$B249,资金日记账!$F$4:$F$2503,"成本-辅材"),2))</f>
        <v/>
      </c>
      <c r="N249" s="19">
        <f>IF($B249="","",ROUND(SUMIFS(采购单!$L$4:$L$2003,采购单!$D$4:$D$2003,$B249,采购单!$F$4:$F$2003,"成本-人工")+SUMIFS(生产安装!$J$4:$J$1203,生产安装!$C$4:$C$1203,$B249,生产安装!$E$4:$E$1203,"成本-人工")+SUMIFS(资金日记账!$K$4:$K$2503,资金日记账!$G$4:$G$2503,$B249,资金日记账!$F$4:$F$2503,"成本-人工")-SUMIFS(资金日记账!$J$4:$J$2503,资金日记账!$G$4:$G$2503,$B249,资金日记账!$F$4:$F$2503,"成本-人工"),2))</f>
        <v/>
      </c>
      <c r="O249" s="19">
        <f>IF($B249="","",ROUND(SUMIFS(采购单!$L$4:$L$2003,采购单!$D$4:$D$2003,$B249,采购单!$F$4:$F$2003,"成本-车运")+SUMIFS(生产安装!$J$4:$J$1203,生产安装!$C$4:$C$1203,$B249,生产安装!$E$4:$E$1203,"成本-车运")+SUMIFS(资金日记账!$K$4:$K$2503,资金日记账!$G$4:$G$2503,$B249,资金日记账!$F$4:$F$2503,"成本-车运")-SUMIFS(资金日记账!$J$4:$J$2503,资金日记账!$G$4:$G$2503,$B249,资金日记账!$F$4:$F$2503,"成本-车运"),2))</f>
        <v/>
      </c>
      <c r="P249" s="19">
        <f>IF($B249="","",ROUND(SUMIFS(采购单!$L$4:$L$2003,采购单!$D$4:$D$2003,$B249,采购单!$F$4:$F$2003,"成本-其他")+SUMIFS(生产安装!$J$4:$J$1203,生产安装!$C$4:$C$1203,$B249,生产安装!$E$4:$E$1203,"成本-其他")+SUMIFS(资金日记账!$K$4:$K$2503,资金日记账!$G$4:$G$2503,$B249,资金日记账!$F$4:$F$2503,"成本-其他")-SUMIFS(资金日记账!$J$4:$J$2503,资金日记账!$G$4:$G$2503,$B249,资金日记账!$F$4:$F$2503,"成本-其他"),2))</f>
        <v/>
      </c>
      <c r="Q249" s="19">
        <f>IF($B249="","",ROUND(SUM($L249:$P249),2))</f>
        <v/>
      </c>
      <c r="R249" s="19">
        <f>IF($B249="","",ROUND($I249-$Q249,2))</f>
        <v/>
      </c>
      <c r="S249" s="33">
        <f>IF($B249="","",IF(ROUND($I249,2)=0,"",ROUND($R249/$I249,4)))</f>
        <v/>
      </c>
      <c r="T249" s="22">
        <f>IF($B249="","",IF($G249="",0,YEAR($G249)*100+MONTH($G249)))</f>
        <v/>
      </c>
      <c r="U249" s="17">
        <f>IF($B249="","",IF(项目台账!$R248="","",项目台账!$R248))</f>
        <v/>
      </c>
    </row>
    <row r="250">
      <c r="A250" s="17">
        <f>IF(项目台账!$B249="","",项目台账!$A249)</f>
        <v/>
      </c>
      <c r="B250" s="17">
        <f>IF(项目台账!$B249="","",项目台账!$B249)</f>
        <v/>
      </c>
      <c r="C250" s="17">
        <f>IF($B250="","",IF(项目台账!$C249="","",项目台账!$C249))</f>
        <v/>
      </c>
      <c r="D250" s="17">
        <f>IF($B250="","",IF(项目台账!$D249="","",项目台账!$D249))</f>
        <v/>
      </c>
      <c r="E250" s="17">
        <f>IF($B250="","",IF(项目台账!$E249="","",项目台账!$E249))</f>
        <v/>
      </c>
      <c r="F250" s="23">
        <f>IF($B250="","",IF(项目台账!$F249="","",项目台账!$F249))</f>
        <v/>
      </c>
      <c r="G250" s="23">
        <f>IF($B250="","",IF(项目台账!$J249="","",项目台账!$J249))</f>
        <v/>
      </c>
      <c r="H250" s="17">
        <f>IF($B250="","",IF(项目台账!$Q249="","",项目台账!$Q249))</f>
        <v/>
      </c>
      <c r="I250" s="19">
        <f>IF($B250="","",项目台账!$M249)</f>
        <v/>
      </c>
      <c r="J250" s="19">
        <f>IF($B250="","",项目台账!$O249)</f>
        <v/>
      </c>
      <c r="K250" s="19">
        <f>IF($B250="","",项目台账!$P249)</f>
        <v/>
      </c>
      <c r="L250" s="19">
        <f>IF($B250="","",ROUND(SUMIFS(采购单!$L$4:$L$2003,采购单!$D$4:$D$2003,$B250,采购单!$F$4:$F$2003,"成本-主材")+SUMIFS(生产安装!$J$4:$J$1203,生产安装!$C$4:$C$1203,$B250,生产安装!$E$4:$E$1203,"成本-主材")+SUMIFS(资金日记账!$K$4:$K$2503,资金日记账!$G$4:$G$2503,$B250,资金日记账!$F$4:$F$2503,"成本-主材")-SUMIFS(资金日记账!$J$4:$J$2503,资金日记账!$G$4:$G$2503,$B250,资金日记账!$F$4:$F$2503,"成本-主材"),2))</f>
        <v/>
      </c>
      <c r="M250" s="19">
        <f>IF($B250="","",ROUND(SUMIFS(采购单!$L$4:$L$2003,采购单!$D$4:$D$2003,$B250,采购单!$F$4:$F$2003,"成本-辅材")+SUMIFS(生产安装!$J$4:$J$1203,生产安装!$C$4:$C$1203,$B250,生产安装!$E$4:$E$1203,"成本-辅材")+SUMIFS(资金日记账!$K$4:$K$2503,资金日记账!$G$4:$G$2503,$B250,资金日记账!$F$4:$F$2503,"成本-辅材")-SUMIFS(资金日记账!$J$4:$J$2503,资金日记账!$G$4:$G$2503,$B250,资金日记账!$F$4:$F$2503,"成本-辅材"),2))</f>
        <v/>
      </c>
      <c r="N250" s="19">
        <f>IF($B250="","",ROUND(SUMIFS(采购单!$L$4:$L$2003,采购单!$D$4:$D$2003,$B250,采购单!$F$4:$F$2003,"成本-人工")+SUMIFS(生产安装!$J$4:$J$1203,生产安装!$C$4:$C$1203,$B250,生产安装!$E$4:$E$1203,"成本-人工")+SUMIFS(资金日记账!$K$4:$K$2503,资金日记账!$G$4:$G$2503,$B250,资金日记账!$F$4:$F$2503,"成本-人工")-SUMIFS(资金日记账!$J$4:$J$2503,资金日记账!$G$4:$G$2503,$B250,资金日记账!$F$4:$F$2503,"成本-人工"),2))</f>
        <v/>
      </c>
      <c r="O250" s="19">
        <f>IF($B250="","",ROUND(SUMIFS(采购单!$L$4:$L$2003,采购单!$D$4:$D$2003,$B250,采购单!$F$4:$F$2003,"成本-车运")+SUMIFS(生产安装!$J$4:$J$1203,生产安装!$C$4:$C$1203,$B250,生产安装!$E$4:$E$1203,"成本-车运")+SUMIFS(资金日记账!$K$4:$K$2503,资金日记账!$G$4:$G$2503,$B250,资金日记账!$F$4:$F$2503,"成本-车运")-SUMIFS(资金日记账!$J$4:$J$2503,资金日记账!$G$4:$G$2503,$B250,资金日记账!$F$4:$F$2503,"成本-车运"),2))</f>
        <v/>
      </c>
      <c r="P250" s="19">
        <f>IF($B250="","",ROUND(SUMIFS(采购单!$L$4:$L$2003,采购单!$D$4:$D$2003,$B250,采购单!$F$4:$F$2003,"成本-其他")+SUMIFS(生产安装!$J$4:$J$1203,生产安装!$C$4:$C$1203,$B250,生产安装!$E$4:$E$1203,"成本-其他")+SUMIFS(资金日记账!$K$4:$K$2503,资金日记账!$G$4:$G$2503,$B250,资金日记账!$F$4:$F$2503,"成本-其他")-SUMIFS(资金日记账!$J$4:$J$2503,资金日记账!$G$4:$G$2503,$B250,资金日记账!$F$4:$F$2503,"成本-其他"),2))</f>
        <v/>
      </c>
      <c r="Q250" s="19">
        <f>IF($B250="","",ROUND(SUM($L250:$P250),2))</f>
        <v/>
      </c>
      <c r="R250" s="19">
        <f>IF($B250="","",ROUND($I250-$Q250,2))</f>
        <v/>
      </c>
      <c r="S250" s="33">
        <f>IF($B250="","",IF(ROUND($I250,2)=0,"",ROUND($R250/$I250,4)))</f>
        <v/>
      </c>
      <c r="T250" s="22">
        <f>IF($B250="","",IF($G250="",0,YEAR($G250)*100+MONTH($G250)))</f>
        <v/>
      </c>
      <c r="U250" s="17">
        <f>IF($B250="","",IF(项目台账!$R249="","",项目台账!$R249))</f>
        <v/>
      </c>
    </row>
    <row r="251">
      <c r="A251" s="17">
        <f>IF(项目台账!$B250="","",项目台账!$A250)</f>
        <v/>
      </c>
      <c r="B251" s="17">
        <f>IF(项目台账!$B250="","",项目台账!$B250)</f>
        <v/>
      </c>
      <c r="C251" s="17">
        <f>IF($B251="","",IF(项目台账!$C250="","",项目台账!$C250))</f>
        <v/>
      </c>
      <c r="D251" s="17">
        <f>IF($B251="","",IF(项目台账!$D250="","",项目台账!$D250))</f>
        <v/>
      </c>
      <c r="E251" s="17">
        <f>IF($B251="","",IF(项目台账!$E250="","",项目台账!$E250))</f>
        <v/>
      </c>
      <c r="F251" s="23">
        <f>IF($B251="","",IF(项目台账!$F250="","",项目台账!$F250))</f>
        <v/>
      </c>
      <c r="G251" s="23">
        <f>IF($B251="","",IF(项目台账!$J250="","",项目台账!$J250))</f>
        <v/>
      </c>
      <c r="H251" s="17">
        <f>IF($B251="","",IF(项目台账!$Q250="","",项目台账!$Q250))</f>
        <v/>
      </c>
      <c r="I251" s="19">
        <f>IF($B251="","",项目台账!$M250)</f>
        <v/>
      </c>
      <c r="J251" s="19">
        <f>IF($B251="","",项目台账!$O250)</f>
        <v/>
      </c>
      <c r="K251" s="19">
        <f>IF($B251="","",项目台账!$P250)</f>
        <v/>
      </c>
      <c r="L251" s="19">
        <f>IF($B251="","",ROUND(SUMIFS(采购单!$L$4:$L$2003,采购单!$D$4:$D$2003,$B251,采购单!$F$4:$F$2003,"成本-主材")+SUMIFS(生产安装!$J$4:$J$1203,生产安装!$C$4:$C$1203,$B251,生产安装!$E$4:$E$1203,"成本-主材")+SUMIFS(资金日记账!$K$4:$K$2503,资金日记账!$G$4:$G$2503,$B251,资金日记账!$F$4:$F$2503,"成本-主材")-SUMIFS(资金日记账!$J$4:$J$2503,资金日记账!$G$4:$G$2503,$B251,资金日记账!$F$4:$F$2503,"成本-主材"),2))</f>
        <v/>
      </c>
      <c r="M251" s="19">
        <f>IF($B251="","",ROUND(SUMIFS(采购单!$L$4:$L$2003,采购单!$D$4:$D$2003,$B251,采购单!$F$4:$F$2003,"成本-辅材")+SUMIFS(生产安装!$J$4:$J$1203,生产安装!$C$4:$C$1203,$B251,生产安装!$E$4:$E$1203,"成本-辅材")+SUMIFS(资金日记账!$K$4:$K$2503,资金日记账!$G$4:$G$2503,$B251,资金日记账!$F$4:$F$2503,"成本-辅材")-SUMIFS(资金日记账!$J$4:$J$2503,资金日记账!$G$4:$G$2503,$B251,资金日记账!$F$4:$F$2503,"成本-辅材"),2))</f>
        <v/>
      </c>
      <c r="N251" s="19">
        <f>IF($B251="","",ROUND(SUMIFS(采购单!$L$4:$L$2003,采购单!$D$4:$D$2003,$B251,采购单!$F$4:$F$2003,"成本-人工")+SUMIFS(生产安装!$J$4:$J$1203,生产安装!$C$4:$C$1203,$B251,生产安装!$E$4:$E$1203,"成本-人工")+SUMIFS(资金日记账!$K$4:$K$2503,资金日记账!$G$4:$G$2503,$B251,资金日记账!$F$4:$F$2503,"成本-人工")-SUMIFS(资金日记账!$J$4:$J$2503,资金日记账!$G$4:$G$2503,$B251,资金日记账!$F$4:$F$2503,"成本-人工"),2))</f>
        <v/>
      </c>
      <c r="O251" s="19">
        <f>IF($B251="","",ROUND(SUMIFS(采购单!$L$4:$L$2003,采购单!$D$4:$D$2003,$B251,采购单!$F$4:$F$2003,"成本-车运")+SUMIFS(生产安装!$J$4:$J$1203,生产安装!$C$4:$C$1203,$B251,生产安装!$E$4:$E$1203,"成本-车运")+SUMIFS(资金日记账!$K$4:$K$2503,资金日记账!$G$4:$G$2503,$B251,资金日记账!$F$4:$F$2503,"成本-车运")-SUMIFS(资金日记账!$J$4:$J$2503,资金日记账!$G$4:$G$2503,$B251,资金日记账!$F$4:$F$2503,"成本-车运"),2))</f>
        <v/>
      </c>
      <c r="P251" s="19">
        <f>IF($B251="","",ROUND(SUMIFS(采购单!$L$4:$L$2003,采购单!$D$4:$D$2003,$B251,采购单!$F$4:$F$2003,"成本-其他")+SUMIFS(生产安装!$J$4:$J$1203,生产安装!$C$4:$C$1203,$B251,生产安装!$E$4:$E$1203,"成本-其他")+SUMIFS(资金日记账!$K$4:$K$2503,资金日记账!$G$4:$G$2503,$B251,资金日记账!$F$4:$F$2503,"成本-其他")-SUMIFS(资金日记账!$J$4:$J$2503,资金日记账!$G$4:$G$2503,$B251,资金日记账!$F$4:$F$2503,"成本-其他"),2))</f>
        <v/>
      </c>
      <c r="Q251" s="19">
        <f>IF($B251="","",ROUND(SUM($L251:$P251),2))</f>
        <v/>
      </c>
      <c r="R251" s="19">
        <f>IF($B251="","",ROUND($I251-$Q251,2))</f>
        <v/>
      </c>
      <c r="S251" s="33">
        <f>IF($B251="","",IF(ROUND($I251,2)=0,"",ROUND($R251/$I251,4)))</f>
        <v/>
      </c>
      <c r="T251" s="22">
        <f>IF($B251="","",IF($G251="",0,YEAR($G251)*100+MONTH($G251)))</f>
        <v/>
      </c>
      <c r="U251" s="17">
        <f>IF($B251="","",IF(项目台账!$R250="","",项目台账!$R250))</f>
        <v/>
      </c>
    </row>
    <row r="252">
      <c r="A252" s="17">
        <f>IF(项目台账!$B251="","",项目台账!$A251)</f>
        <v/>
      </c>
      <c r="B252" s="17">
        <f>IF(项目台账!$B251="","",项目台账!$B251)</f>
        <v/>
      </c>
      <c r="C252" s="17">
        <f>IF($B252="","",IF(项目台账!$C251="","",项目台账!$C251))</f>
        <v/>
      </c>
      <c r="D252" s="17">
        <f>IF($B252="","",IF(项目台账!$D251="","",项目台账!$D251))</f>
        <v/>
      </c>
      <c r="E252" s="17">
        <f>IF($B252="","",IF(项目台账!$E251="","",项目台账!$E251))</f>
        <v/>
      </c>
      <c r="F252" s="23">
        <f>IF($B252="","",IF(项目台账!$F251="","",项目台账!$F251))</f>
        <v/>
      </c>
      <c r="G252" s="23">
        <f>IF($B252="","",IF(项目台账!$J251="","",项目台账!$J251))</f>
        <v/>
      </c>
      <c r="H252" s="17">
        <f>IF($B252="","",IF(项目台账!$Q251="","",项目台账!$Q251))</f>
        <v/>
      </c>
      <c r="I252" s="19">
        <f>IF($B252="","",项目台账!$M251)</f>
        <v/>
      </c>
      <c r="J252" s="19">
        <f>IF($B252="","",项目台账!$O251)</f>
        <v/>
      </c>
      <c r="K252" s="19">
        <f>IF($B252="","",项目台账!$P251)</f>
        <v/>
      </c>
      <c r="L252" s="19">
        <f>IF($B252="","",ROUND(SUMIFS(采购单!$L$4:$L$2003,采购单!$D$4:$D$2003,$B252,采购单!$F$4:$F$2003,"成本-主材")+SUMIFS(生产安装!$J$4:$J$1203,生产安装!$C$4:$C$1203,$B252,生产安装!$E$4:$E$1203,"成本-主材")+SUMIFS(资金日记账!$K$4:$K$2503,资金日记账!$G$4:$G$2503,$B252,资金日记账!$F$4:$F$2503,"成本-主材")-SUMIFS(资金日记账!$J$4:$J$2503,资金日记账!$G$4:$G$2503,$B252,资金日记账!$F$4:$F$2503,"成本-主材"),2))</f>
        <v/>
      </c>
      <c r="M252" s="19">
        <f>IF($B252="","",ROUND(SUMIFS(采购单!$L$4:$L$2003,采购单!$D$4:$D$2003,$B252,采购单!$F$4:$F$2003,"成本-辅材")+SUMIFS(生产安装!$J$4:$J$1203,生产安装!$C$4:$C$1203,$B252,生产安装!$E$4:$E$1203,"成本-辅材")+SUMIFS(资金日记账!$K$4:$K$2503,资金日记账!$G$4:$G$2503,$B252,资金日记账!$F$4:$F$2503,"成本-辅材")-SUMIFS(资金日记账!$J$4:$J$2503,资金日记账!$G$4:$G$2503,$B252,资金日记账!$F$4:$F$2503,"成本-辅材"),2))</f>
        <v/>
      </c>
      <c r="N252" s="19">
        <f>IF($B252="","",ROUND(SUMIFS(采购单!$L$4:$L$2003,采购单!$D$4:$D$2003,$B252,采购单!$F$4:$F$2003,"成本-人工")+SUMIFS(生产安装!$J$4:$J$1203,生产安装!$C$4:$C$1203,$B252,生产安装!$E$4:$E$1203,"成本-人工")+SUMIFS(资金日记账!$K$4:$K$2503,资金日记账!$G$4:$G$2503,$B252,资金日记账!$F$4:$F$2503,"成本-人工")-SUMIFS(资金日记账!$J$4:$J$2503,资金日记账!$G$4:$G$2503,$B252,资金日记账!$F$4:$F$2503,"成本-人工"),2))</f>
        <v/>
      </c>
      <c r="O252" s="19">
        <f>IF($B252="","",ROUND(SUMIFS(采购单!$L$4:$L$2003,采购单!$D$4:$D$2003,$B252,采购单!$F$4:$F$2003,"成本-车运")+SUMIFS(生产安装!$J$4:$J$1203,生产安装!$C$4:$C$1203,$B252,生产安装!$E$4:$E$1203,"成本-车运")+SUMIFS(资金日记账!$K$4:$K$2503,资金日记账!$G$4:$G$2503,$B252,资金日记账!$F$4:$F$2503,"成本-车运")-SUMIFS(资金日记账!$J$4:$J$2503,资金日记账!$G$4:$G$2503,$B252,资金日记账!$F$4:$F$2503,"成本-车运"),2))</f>
        <v/>
      </c>
      <c r="P252" s="19">
        <f>IF($B252="","",ROUND(SUMIFS(采购单!$L$4:$L$2003,采购单!$D$4:$D$2003,$B252,采购单!$F$4:$F$2003,"成本-其他")+SUMIFS(生产安装!$J$4:$J$1203,生产安装!$C$4:$C$1203,$B252,生产安装!$E$4:$E$1203,"成本-其他")+SUMIFS(资金日记账!$K$4:$K$2503,资金日记账!$G$4:$G$2503,$B252,资金日记账!$F$4:$F$2503,"成本-其他")-SUMIFS(资金日记账!$J$4:$J$2503,资金日记账!$G$4:$G$2503,$B252,资金日记账!$F$4:$F$2503,"成本-其他"),2))</f>
        <v/>
      </c>
      <c r="Q252" s="19">
        <f>IF($B252="","",ROUND(SUM($L252:$P252),2))</f>
        <v/>
      </c>
      <c r="R252" s="19">
        <f>IF($B252="","",ROUND($I252-$Q252,2))</f>
        <v/>
      </c>
      <c r="S252" s="33">
        <f>IF($B252="","",IF(ROUND($I252,2)=0,"",ROUND($R252/$I252,4)))</f>
        <v/>
      </c>
      <c r="T252" s="22">
        <f>IF($B252="","",IF($G252="",0,YEAR($G252)*100+MONTH($G252)))</f>
        <v/>
      </c>
      <c r="U252" s="17">
        <f>IF($B252="","",IF(项目台账!$R251="","",项目台账!$R251))</f>
        <v/>
      </c>
    </row>
    <row r="253">
      <c r="A253" s="17">
        <f>IF(项目台账!$B252="","",项目台账!$A252)</f>
        <v/>
      </c>
      <c r="B253" s="17">
        <f>IF(项目台账!$B252="","",项目台账!$B252)</f>
        <v/>
      </c>
      <c r="C253" s="17">
        <f>IF($B253="","",IF(项目台账!$C252="","",项目台账!$C252))</f>
        <v/>
      </c>
      <c r="D253" s="17">
        <f>IF($B253="","",IF(项目台账!$D252="","",项目台账!$D252))</f>
        <v/>
      </c>
      <c r="E253" s="17">
        <f>IF($B253="","",IF(项目台账!$E252="","",项目台账!$E252))</f>
        <v/>
      </c>
      <c r="F253" s="23">
        <f>IF($B253="","",IF(项目台账!$F252="","",项目台账!$F252))</f>
        <v/>
      </c>
      <c r="G253" s="23">
        <f>IF($B253="","",IF(项目台账!$J252="","",项目台账!$J252))</f>
        <v/>
      </c>
      <c r="H253" s="17">
        <f>IF($B253="","",IF(项目台账!$Q252="","",项目台账!$Q252))</f>
        <v/>
      </c>
      <c r="I253" s="19">
        <f>IF($B253="","",项目台账!$M252)</f>
        <v/>
      </c>
      <c r="J253" s="19">
        <f>IF($B253="","",项目台账!$O252)</f>
        <v/>
      </c>
      <c r="K253" s="19">
        <f>IF($B253="","",项目台账!$P252)</f>
        <v/>
      </c>
      <c r="L253" s="19">
        <f>IF($B253="","",ROUND(SUMIFS(采购单!$L$4:$L$2003,采购单!$D$4:$D$2003,$B253,采购单!$F$4:$F$2003,"成本-主材")+SUMIFS(生产安装!$J$4:$J$1203,生产安装!$C$4:$C$1203,$B253,生产安装!$E$4:$E$1203,"成本-主材")+SUMIFS(资金日记账!$K$4:$K$2503,资金日记账!$G$4:$G$2503,$B253,资金日记账!$F$4:$F$2503,"成本-主材")-SUMIFS(资金日记账!$J$4:$J$2503,资金日记账!$G$4:$G$2503,$B253,资金日记账!$F$4:$F$2503,"成本-主材"),2))</f>
        <v/>
      </c>
      <c r="M253" s="19">
        <f>IF($B253="","",ROUND(SUMIFS(采购单!$L$4:$L$2003,采购单!$D$4:$D$2003,$B253,采购单!$F$4:$F$2003,"成本-辅材")+SUMIFS(生产安装!$J$4:$J$1203,生产安装!$C$4:$C$1203,$B253,生产安装!$E$4:$E$1203,"成本-辅材")+SUMIFS(资金日记账!$K$4:$K$2503,资金日记账!$G$4:$G$2503,$B253,资金日记账!$F$4:$F$2503,"成本-辅材")-SUMIFS(资金日记账!$J$4:$J$2503,资金日记账!$G$4:$G$2503,$B253,资金日记账!$F$4:$F$2503,"成本-辅材"),2))</f>
        <v/>
      </c>
      <c r="N253" s="19">
        <f>IF($B253="","",ROUND(SUMIFS(采购单!$L$4:$L$2003,采购单!$D$4:$D$2003,$B253,采购单!$F$4:$F$2003,"成本-人工")+SUMIFS(生产安装!$J$4:$J$1203,生产安装!$C$4:$C$1203,$B253,生产安装!$E$4:$E$1203,"成本-人工")+SUMIFS(资金日记账!$K$4:$K$2503,资金日记账!$G$4:$G$2503,$B253,资金日记账!$F$4:$F$2503,"成本-人工")-SUMIFS(资金日记账!$J$4:$J$2503,资金日记账!$G$4:$G$2503,$B253,资金日记账!$F$4:$F$2503,"成本-人工"),2))</f>
        <v/>
      </c>
      <c r="O253" s="19">
        <f>IF($B253="","",ROUND(SUMIFS(采购单!$L$4:$L$2003,采购单!$D$4:$D$2003,$B253,采购单!$F$4:$F$2003,"成本-车运")+SUMIFS(生产安装!$J$4:$J$1203,生产安装!$C$4:$C$1203,$B253,生产安装!$E$4:$E$1203,"成本-车运")+SUMIFS(资金日记账!$K$4:$K$2503,资金日记账!$G$4:$G$2503,$B253,资金日记账!$F$4:$F$2503,"成本-车运")-SUMIFS(资金日记账!$J$4:$J$2503,资金日记账!$G$4:$G$2503,$B253,资金日记账!$F$4:$F$2503,"成本-车运"),2))</f>
        <v/>
      </c>
      <c r="P253" s="19">
        <f>IF($B253="","",ROUND(SUMIFS(采购单!$L$4:$L$2003,采购单!$D$4:$D$2003,$B253,采购单!$F$4:$F$2003,"成本-其他")+SUMIFS(生产安装!$J$4:$J$1203,生产安装!$C$4:$C$1203,$B253,生产安装!$E$4:$E$1203,"成本-其他")+SUMIFS(资金日记账!$K$4:$K$2503,资金日记账!$G$4:$G$2503,$B253,资金日记账!$F$4:$F$2503,"成本-其他")-SUMIFS(资金日记账!$J$4:$J$2503,资金日记账!$G$4:$G$2503,$B253,资金日记账!$F$4:$F$2503,"成本-其他"),2))</f>
        <v/>
      </c>
      <c r="Q253" s="19">
        <f>IF($B253="","",ROUND(SUM($L253:$P253),2))</f>
        <v/>
      </c>
      <c r="R253" s="19">
        <f>IF($B253="","",ROUND($I253-$Q253,2))</f>
        <v/>
      </c>
      <c r="S253" s="33">
        <f>IF($B253="","",IF(ROUND($I253,2)=0,"",ROUND($R253/$I253,4)))</f>
        <v/>
      </c>
      <c r="T253" s="22">
        <f>IF($B253="","",IF($G253="",0,YEAR($G253)*100+MONTH($G253)))</f>
        <v/>
      </c>
      <c r="U253" s="17">
        <f>IF($B253="","",IF(项目台账!$R252="","",项目台账!$R252))</f>
        <v/>
      </c>
    </row>
    <row r="254">
      <c r="A254" s="17">
        <f>IF(项目台账!$B253="","",项目台账!$A253)</f>
        <v/>
      </c>
      <c r="B254" s="17">
        <f>IF(项目台账!$B253="","",项目台账!$B253)</f>
        <v/>
      </c>
      <c r="C254" s="17">
        <f>IF($B254="","",IF(项目台账!$C253="","",项目台账!$C253))</f>
        <v/>
      </c>
      <c r="D254" s="17">
        <f>IF($B254="","",IF(项目台账!$D253="","",项目台账!$D253))</f>
        <v/>
      </c>
      <c r="E254" s="17">
        <f>IF($B254="","",IF(项目台账!$E253="","",项目台账!$E253))</f>
        <v/>
      </c>
      <c r="F254" s="23">
        <f>IF($B254="","",IF(项目台账!$F253="","",项目台账!$F253))</f>
        <v/>
      </c>
      <c r="G254" s="23">
        <f>IF($B254="","",IF(项目台账!$J253="","",项目台账!$J253))</f>
        <v/>
      </c>
      <c r="H254" s="17">
        <f>IF($B254="","",IF(项目台账!$Q253="","",项目台账!$Q253))</f>
        <v/>
      </c>
      <c r="I254" s="19">
        <f>IF($B254="","",项目台账!$M253)</f>
        <v/>
      </c>
      <c r="J254" s="19">
        <f>IF($B254="","",项目台账!$O253)</f>
        <v/>
      </c>
      <c r="K254" s="19">
        <f>IF($B254="","",项目台账!$P253)</f>
        <v/>
      </c>
      <c r="L254" s="19">
        <f>IF($B254="","",ROUND(SUMIFS(采购单!$L$4:$L$2003,采购单!$D$4:$D$2003,$B254,采购单!$F$4:$F$2003,"成本-主材")+SUMIFS(生产安装!$J$4:$J$1203,生产安装!$C$4:$C$1203,$B254,生产安装!$E$4:$E$1203,"成本-主材")+SUMIFS(资金日记账!$K$4:$K$2503,资金日记账!$G$4:$G$2503,$B254,资金日记账!$F$4:$F$2503,"成本-主材")-SUMIFS(资金日记账!$J$4:$J$2503,资金日记账!$G$4:$G$2503,$B254,资金日记账!$F$4:$F$2503,"成本-主材"),2))</f>
        <v/>
      </c>
      <c r="M254" s="19">
        <f>IF($B254="","",ROUND(SUMIFS(采购单!$L$4:$L$2003,采购单!$D$4:$D$2003,$B254,采购单!$F$4:$F$2003,"成本-辅材")+SUMIFS(生产安装!$J$4:$J$1203,生产安装!$C$4:$C$1203,$B254,生产安装!$E$4:$E$1203,"成本-辅材")+SUMIFS(资金日记账!$K$4:$K$2503,资金日记账!$G$4:$G$2503,$B254,资金日记账!$F$4:$F$2503,"成本-辅材")-SUMIFS(资金日记账!$J$4:$J$2503,资金日记账!$G$4:$G$2503,$B254,资金日记账!$F$4:$F$2503,"成本-辅材"),2))</f>
        <v/>
      </c>
      <c r="N254" s="19">
        <f>IF($B254="","",ROUND(SUMIFS(采购单!$L$4:$L$2003,采购单!$D$4:$D$2003,$B254,采购单!$F$4:$F$2003,"成本-人工")+SUMIFS(生产安装!$J$4:$J$1203,生产安装!$C$4:$C$1203,$B254,生产安装!$E$4:$E$1203,"成本-人工")+SUMIFS(资金日记账!$K$4:$K$2503,资金日记账!$G$4:$G$2503,$B254,资金日记账!$F$4:$F$2503,"成本-人工")-SUMIFS(资金日记账!$J$4:$J$2503,资金日记账!$G$4:$G$2503,$B254,资金日记账!$F$4:$F$2503,"成本-人工"),2))</f>
        <v/>
      </c>
      <c r="O254" s="19">
        <f>IF($B254="","",ROUND(SUMIFS(采购单!$L$4:$L$2003,采购单!$D$4:$D$2003,$B254,采购单!$F$4:$F$2003,"成本-车运")+SUMIFS(生产安装!$J$4:$J$1203,生产安装!$C$4:$C$1203,$B254,生产安装!$E$4:$E$1203,"成本-车运")+SUMIFS(资金日记账!$K$4:$K$2503,资金日记账!$G$4:$G$2503,$B254,资金日记账!$F$4:$F$2503,"成本-车运")-SUMIFS(资金日记账!$J$4:$J$2503,资金日记账!$G$4:$G$2503,$B254,资金日记账!$F$4:$F$2503,"成本-车运"),2))</f>
        <v/>
      </c>
      <c r="P254" s="19">
        <f>IF($B254="","",ROUND(SUMIFS(采购单!$L$4:$L$2003,采购单!$D$4:$D$2003,$B254,采购单!$F$4:$F$2003,"成本-其他")+SUMIFS(生产安装!$J$4:$J$1203,生产安装!$C$4:$C$1203,$B254,生产安装!$E$4:$E$1203,"成本-其他")+SUMIFS(资金日记账!$K$4:$K$2503,资金日记账!$G$4:$G$2503,$B254,资金日记账!$F$4:$F$2503,"成本-其他")-SUMIFS(资金日记账!$J$4:$J$2503,资金日记账!$G$4:$G$2503,$B254,资金日记账!$F$4:$F$2503,"成本-其他"),2))</f>
        <v/>
      </c>
      <c r="Q254" s="19">
        <f>IF($B254="","",ROUND(SUM($L254:$P254),2))</f>
        <v/>
      </c>
      <c r="R254" s="19">
        <f>IF($B254="","",ROUND($I254-$Q254,2))</f>
        <v/>
      </c>
      <c r="S254" s="33">
        <f>IF($B254="","",IF(ROUND($I254,2)=0,"",ROUND($R254/$I254,4)))</f>
        <v/>
      </c>
      <c r="T254" s="22">
        <f>IF($B254="","",IF($G254="",0,YEAR($G254)*100+MONTH($G254)))</f>
        <v/>
      </c>
      <c r="U254" s="17">
        <f>IF($B254="","",IF(项目台账!$R253="","",项目台账!$R253))</f>
        <v/>
      </c>
    </row>
    <row r="255">
      <c r="A255" s="17">
        <f>IF(项目台账!$B254="","",项目台账!$A254)</f>
        <v/>
      </c>
      <c r="B255" s="17">
        <f>IF(项目台账!$B254="","",项目台账!$B254)</f>
        <v/>
      </c>
      <c r="C255" s="17">
        <f>IF($B255="","",IF(项目台账!$C254="","",项目台账!$C254))</f>
        <v/>
      </c>
      <c r="D255" s="17">
        <f>IF($B255="","",IF(项目台账!$D254="","",项目台账!$D254))</f>
        <v/>
      </c>
      <c r="E255" s="17">
        <f>IF($B255="","",IF(项目台账!$E254="","",项目台账!$E254))</f>
        <v/>
      </c>
      <c r="F255" s="23">
        <f>IF($B255="","",IF(项目台账!$F254="","",项目台账!$F254))</f>
        <v/>
      </c>
      <c r="G255" s="23">
        <f>IF($B255="","",IF(项目台账!$J254="","",项目台账!$J254))</f>
        <v/>
      </c>
      <c r="H255" s="17">
        <f>IF($B255="","",IF(项目台账!$Q254="","",项目台账!$Q254))</f>
        <v/>
      </c>
      <c r="I255" s="19">
        <f>IF($B255="","",项目台账!$M254)</f>
        <v/>
      </c>
      <c r="J255" s="19">
        <f>IF($B255="","",项目台账!$O254)</f>
        <v/>
      </c>
      <c r="K255" s="19">
        <f>IF($B255="","",项目台账!$P254)</f>
        <v/>
      </c>
      <c r="L255" s="19">
        <f>IF($B255="","",ROUND(SUMIFS(采购单!$L$4:$L$2003,采购单!$D$4:$D$2003,$B255,采购单!$F$4:$F$2003,"成本-主材")+SUMIFS(生产安装!$J$4:$J$1203,生产安装!$C$4:$C$1203,$B255,生产安装!$E$4:$E$1203,"成本-主材")+SUMIFS(资金日记账!$K$4:$K$2503,资金日记账!$G$4:$G$2503,$B255,资金日记账!$F$4:$F$2503,"成本-主材")-SUMIFS(资金日记账!$J$4:$J$2503,资金日记账!$G$4:$G$2503,$B255,资金日记账!$F$4:$F$2503,"成本-主材"),2))</f>
        <v/>
      </c>
      <c r="M255" s="19">
        <f>IF($B255="","",ROUND(SUMIFS(采购单!$L$4:$L$2003,采购单!$D$4:$D$2003,$B255,采购单!$F$4:$F$2003,"成本-辅材")+SUMIFS(生产安装!$J$4:$J$1203,生产安装!$C$4:$C$1203,$B255,生产安装!$E$4:$E$1203,"成本-辅材")+SUMIFS(资金日记账!$K$4:$K$2503,资金日记账!$G$4:$G$2503,$B255,资金日记账!$F$4:$F$2503,"成本-辅材")-SUMIFS(资金日记账!$J$4:$J$2503,资金日记账!$G$4:$G$2503,$B255,资金日记账!$F$4:$F$2503,"成本-辅材"),2))</f>
        <v/>
      </c>
      <c r="N255" s="19">
        <f>IF($B255="","",ROUND(SUMIFS(采购单!$L$4:$L$2003,采购单!$D$4:$D$2003,$B255,采购单!$F$4:$F$2003,"成本-人工")+SUMIFS(生产安装!$J$4:$J$1203,生产安装!$C$4:$C$1203,$B255,生产安装!$E$4:$E$1203,"成本-人工")+SUMIFS(资金日记账!$K$4:$K$2503,资金日记账!$G$4:$G$2503,$B255,资金日记账!$F$4:$F$2503,"成本-人工")-SUMIFS(资金日记账!$J$4:$J$2503,资金日记账!$G$4:$G$2503,$B255,资金日记账!$F$4:$F$2503,"成本-人工"),2))</f>
        <v/>
      </c>
      <c r="O255" s="19">
        <f>IF($B255="","",ROUND(SUMIFS(采购单!$L$4:$L$2003,采购单!$D$4:$D$2003,$B255,采购单!$F$4:$F$2003,"成本-车运")+SUMIFS(生产安装!$J$4:$J$1203,生产安装!$C$4:$C$1203,$B255,生产安装!$E$4:$E$1203,"成本-车运")+SUMIFS(资金日记账!$K$4:$K$2503,资金日记账!$G$4:$G$2503,$B255,资金日记账!$F$4:$F$2503,"成本-车运")-SUMIFS(资金日记账!$J$4:$J$2503,资金日记账!$G$4:$G$2503,$B255,资金日记账!$F$4:$F$2503,"成本-车运"),2))</f>
        <v/>
      </c>
      <c r="P255" s="19">
        <f>IF($B255="","",ROUND(SUMIFS(采购单!$L$4:$L$2003,采购单!$D$4:$D$2003,$B255,采购单!$F$4:$F$2003,"成本-其他")+SUMIFS(生产安装!$J$4:$J$1203,生产安装!$C$4:$C$1203,$B255,生产安装!$E$4:$E$1203,"成本-其他")+SUMIFS(资金日记账!$K$4:$K$2503,资金日记账!$G$4:$G$2503,$B255,资金日记账!$F$4:$F$2503,"成本-其他")-SUMIFS(资金日记账!$J$4:$J$2503,资金日记账!$G$4:$G$2503,$B255,资金日记账!$F$4:$F$2503,"成本-其他"),2))</f>
        <v/>
      </c>
      <c r="Q255" s="19">
        <f>IF($B255="","",ROUND(SUM($L255:$P255),2))</f>
        <v/>
      </c>
      <c r="R255" s="19">
        <f>IF($B255="","",ROUND($I255-$Q255,2))</f>
        <v/>
      </c>
      <c r="S255" s="33">
        <f>IF($B255="","",IF(ROUND($I255,2)=0,"",ROUND($R255/$I255,4)))</f>
        <v/>
      </c>
      <c r="T255" s="22">
        <f>IF($B255="","",IF($G255="",0,YEAR($G255)*100+MONTH($G255)))</f>
        <v/>
      </c>
      <c r="U255" s="17">
        <f>IF($B255="","",IF(项目台账!$R254="","",项目台账!$R254))</f>
        <v/>
      </c>
    </row>
    <row r="256">
      <c r="A256" s="17">
        <f>IF(项目台账!$B255="","",项目台账!$A255)</f>
        <v/>
      </c>
      <c r="B256" s="17">
        <f>IF(项目台账!$B255="","",项目台账!$B255)</f>
        <v/>
      </c>
      <c r="C256" s="17">
        <f>IF($B256="","",IF(项目台账!$C255="","",项目台账!$C255))</f>
        <v/>
      </c>
      <c r="D256" s="17">
        <f>IF($B256="","",IF(项目台账!$D255="","",项目台账!$D255))</f>
        <v/>
      </c>
      <c r="E256" s="17">
        <f>IF($B256="","",IF(项目台账!$E255="","",项目台账!$E255))</f>
        <v/>
      </c>
      <c r="F256" s="23">
        <f>IF($B256="","",IF(项目台账!$F255="","",项目台账!$F255))</f>
        <v/>
      </c>
      <c r="G256" s="23">
        <f>IF($B256="","",IF(项目台账!$J255="","",项目台账!$J255))</f>
        <v/>
      </c>
      <c r="H256" s="17">
        <f>IF($B256="","",IF(项目台账!$Q255="","",项目台账!$Q255))</f>
        <v/>
      </c>
      <c r="I256" s="19">
        <f>IF($B256="","",项目台账!$M255)</f>
        <v/>
      </c>
      <c r="J256" s="19">
        <f>IF($B256="","",项目台账!$O255)</f>
        <v/>
      </c>
      <c r="K256" s="19">
        <f>IF($B256="","",项目台账!$P255)</f>
        <v/>
      </c>
      <c r="L256" s="19">
        <f>IF($B256="","",ROUND(SUMIFS(采购单!$L$4:$L$2003,采购单!$D$4:$D$2003,$B256,采购单!$F$4:$F$2003,"成本-主材")+SUMIFS(生产安装!$J$4:$J$1203,生产安装!$C$4:$C$1203,$B256,生产安装!$E$4:$E$1203,"成本-主材")+SUMIFS(资金日记账!$K$4:$K$2503,资金日记账!$G$4:$G$2503,$B256,资金日记账!$F$4:$F$2503,"成本-主材")-SUMIFS(资金日记账!$J$4:$J$2503,资金日记账!$G$4:$G$2503,$B256,资金日记账!$F$4:$F$2503,"成本-主材"),2))</f>
        <v/>
      </c>
      <c r="M256" s="19">
        <f>IF($B256="","",ROUND(SUMIFS(采购单!$L$4:$L$2003,采购单!$D$4:$D$2003,$B256,采购单!$F$4:$F$2003,"成本-辅材")+SUMIFS(生产安装!$J$4:$J$1203,生产安装!$C$4:$C$1203,$B256,生产安装!$E$4:$E$1203,"成本-辅材")+SUMIFS(资金日记账!$K$4:$K$2503,资金日记账!$G$4:$G$2503,$B256,资金日记账!$F$4:$F$2503,"成本-辅材")-SUMIFS(资金日记账!$J$4:$J$2503,资金日记账!$G$4:$G$2503,$B256,资金日记账!$F$4:$F$2503,"成本-辅材"),2))</f>
        <v/>
      </c>
      <c r="N256" s="19">
        <f>IF($B256="","",ROUND(SUMIFS(采购单!$L$4:$L$2003,采购单!$D$4:$D$2003,$B256,采购单!$F$4:$F$2003,"成本-人工")+SUMIFS(生产安装!$J$4:$J$1203,生产安装!$C$4:$C$1203,$B256,生产安装!$E$4:$E$1203,"成本-人工")+SUMIFS(资金日记账!$K$4:$K$2503,资金日记账!$G$4:$G$2503,$B256,资金日记账!$F$4:$F$2503,"成本-人工")-SUMIFS(资金日记账!$J$4:$J$2503,资金日记账!$G$4:$G$2503,$B256,资金日记账!$F$4:$F$2503,"成本-人工"),2))</f>
        <v/>
      </c>
      <c r="O256" s="19">
        <f>IF($B256="","",ROUND(SUMIFS(采购单!$L$4:$L$2003,采购单!$D$4:$D$2003,$B256,采购单!$F$4:$F$2003,"成本-车运")+SUMIFS(生产安装!$J$4:$J$1203,生产安装!$C$4:$C$1203,$B256,生产安装!$E$4:$E$1203,"成本-车运")+SUMIFS(资金日记账!$K$4:$K$2503,资金日记账!$G$4:$G$2503,$B256,资金日记账!$F$4:$F$2503,"成本-车运")-SUMIFS(资金日记账!$J$4:$J$2503,资金日记账!$G$4:$G$2503,$B256,资金日记账!$F$4:$F$2503,"成本-车运"),2))</f>
        <v/>
      </c>
      <c r="P256" s="19">
        <f>IF($B256="","",ROUND(SUMIFS(采购单!$L$4:$L$2003,采购单!$D$4:$D$2003,$B256,采购单!$F$4:$F$2003,"成本-其他")+SUMIFS(生产安装!$J$4:$J$1203,生产安装!$C$4:$C$1203,$B256,生产安装!$E$4:$E$1203,"成本-其他")+SUMIFS(资金日记账!$K$4:$K$2503,资金日记账!$G$4:$G$2503,$B256,资金日记账!$F$4:$F$2503,"成本-其他")-SUMIFS(资金日记账!$J$4:$J$2503,资金日记账!$G$4:$G$2503,$B256,资金日记账!$F$4:$F$2503,"成本-其他"),2))</f>
        <v/>
      </c>
      <c r="Q256" s="19">
        <f>IF($B256="","",ROUND(SUM($L256:$P256),2))</f>
        <v/>
      </c>
      <c r="R256" s="19">
        <f>IF($B256="","",ROUND($I256-$Q256,2))</f>
        <v/>
      </c>
      <c r="S256" s="33">
        <f>IF($B256="","",IF(ROUND($I256,2)=0,"",ROUND($R256/$I256,4)))</f>
        <v/>
      </c>
      <c r="T256" s="22">
        <f>IF($B256="","",IF($G256="",0,YEAR($G256)*100+MONTH($G256)))</f>
        <v/>
      </c>
      <c r="U256" s="17">
        <f>IF($B256="","",IF(项目台账!$R255="","",项目台账!$R255))</f>
        <v/>
      </c>
    </row>
    <row r="257">
      <c r="A257" s="17">
        <f>IF(项目台账!$B256="","",项目台账!$A256)</f>
        <v/>
      </c>
      <c r="B257" s="17">
        <f>IF(项目台账!$B256="","",项目台账!$B256)</f>
        <v/>
      </c>
      <c r="C257" s="17">
        <f>IF($B257="","",IF(项目台账!$C256="","",项目台账!$C256))</f>
        <v/>
      </c>
      <c r="D257" s="17">
        <f>IF($B257="","",IF(项目台账!$D256="","",项目台账!$D256))</f>
        <v/>
      </c>
      <c r="E257" s="17">
        <f>IF($B257="","",IF(项目台账!$E256="","",项目台账!$E256))</f>
        <v/>
      </c>
      <c r="F257" s="23">
        <f>IF($B257="","",IF(项目台账!$F256="","",项目台账!$F256))</f>
        <v/>
      </c>
      <c r="G257" s="23">
        <f>IF($B257="","",IF(项目台账!$J256="","",项目台账!$J256))</f>
        <v/>
      </c>
      <c r="H257" s="17">
        <f>IF($B257="","",IF(项目台账!$Q256="","",项目台账!$Q256))</f>
        <v/>
      </c>
      <c r="I257" s="19">
        <f>IF($B257="","",项目台账!$M256)</f>
        <v/>
      </c>
      <c r="J257" s="19">
        <f>IF($B257="","",项目台账!$O256)</f>
        <v/>
      </c>
      <c r="K257" s="19">
        <f>IF($B257="","",项目台账!$P256)</f>
        <v/>
      </c>
      <c r="L257" s="19">
        <f>IF($B257="","",ROUND(SUMIFS(采购单!$L$4:$L$2003,采购单!$D$4:$D$2003,$B257,采购单!$F$4:$F$2003,"成本-主材")+SUMIFS(生产安装!$J$4:$J$1203,生产安装!$C$4:$C$1203,$B257,生产安装!$E$4:$E$1203,"成本-主材")+SUMIFS(资金日记账!$K$4:$K$2503,资金日记账!$G$4:$G$2503,$B257,资金日记账!$F$4:$F$2503,"成本-主材")-SUMIFS(资金日记账!$J$4:$J$2503,资金日记账!$G$4:$G$2503,$B257,资金日记账!$F$4:$F$2503,"成本-主材"),2))</f>
        <v/>
      </c>
      <c r="M257" s="19">
        <f>IF($B257="","",ROUND(SUMIFS(采购单!$L$4:$L$2003,采购单!$D$4:$D$2003,$B257,采购单!$F$4:$F$2003,"成本-辅材")+SUMIFS(生产安装!$J$4:$J$1203,生产安装!$C$4:$C$1203,$B257,生产安装!$E$4:$E$1203,"成本-辅材")+SUMIFS(资金日记账!$K$4:$K$2503,资金日记账!$G$4:$G$2503,$B257,资金日记账!$F$4:$F$2503,"成本-辅材")-SUMIFS(资金日记账!$J$4:$J$2503,资金日记账!$G$4:$G$2503,$B257,资金日记账!$F$4:$F$2503,"成本-辅材"),2))</f>
        <v/>
      </c>
      <c r="N257" s="19">
        <f>IF($B257="","",ROUND(SUMIFS(采购单!$L$4:$L$2003,采购单!$D$4:$D$2003,$B257,采购单!$F$4:$F$2003,"成本-人工")+SUMIFS(生产安装!$J$4:$J$1203,生产安装!$C$4:$C$1203,$B257,生产安装!$E$4:$E$1203,"成本-人工")+SUMIFS(资金日记账!$K$4:$K$2503,资金日记账!$G$4:$G$2503,$B257,资金日记账!$F$4:$F$2503,"成本-人工")-SUMIFS(资金日记账!$J$4:$J$2503,资金日记账!$G$4:$G$2503,$B257,资金日记账!$F$4:$F$2503,"成本-人工"),2))</f>
        <v/>
      </c>
      <c r="O257" s="19">
        <f>IF($B257="","",ROUND(SUMIFS(采购单!$L$4:$L$2003,采购单!$D$4:$D$2003,$B257,采购单!$F$4:$F$2003,"成本-车运")+SUMIFS(生产安装!$J$4:$J$1203,生产安装!$C$4:$C$1203,$B257,生产安装!$E$4:$E$1203,"成本-车运")+SUMIFS(资金日记账!$K$4:$K$2503,资金日记账!$G$4:$G$2503,$B257,资金日记账!$F$4:$F$2503,"成本-车运")-SUMIFS(资金日记账!$J$4:$J$2503,资金日记账!$G$4:$G$2503,$B257,资金日记账!$F$4:$F$2503,"成本-车运"),2))</f>
        <v/>
      </c>
      <c r="P257" s="19">
        <f>IF($B257="","",ROUND(SUMIFS(采购单!$L$4:$L$2003,采购单!$D$4:$D$2003,$B257,采购单!$F$4:$F$2003,"成本-其他")+SUMIFS(生产安装!$J$4:$J$1203,生产安装!$C$4:$C$1203,$B257,生产安装!$E$4:$E$1203,"成本-其他")+SUMIFS(资金日记账!$K$4:$K$2503,资金日记账!$G$4:$G$2503,$B257,资金日记账!$F$4:$F$2503,"成本-其他")-SUMIFS(资金日记账!$J$4:$J$2503,资金日记账!$G$4:$G$2503,$B257,资金日记账!$F$4:$F$2503,"成本-其他"),2))</f>
        <v/>
      </c>
      <c r="Q257" s="19">
        <f>IF($B257="","",ROUND(SUM($L257:$P257),2))</f>
        <v/>
      </c>
      <c r="R257" s="19">
        <f>IF($B257="","",ROUND($I257-$Q257,2))</f>
        <v/>
      </c>
      <c r="S257" s="33">
        <f>IF($B257="","",IF(ROUND($I257,2)=0,"",ROUND($R257/$I257,4)))</f>
        <v/>
      </c>
      <c r="T257" s="22">
        <f>IF($B257="","",IF($G257="",0,YEAR($G257)*100+MONTH($G257)))</f>
        <v/>
      </c>
      <c r="U257" s="17">
        <f>IF($B257="","",IF(项目台账!$R256="","",项目台账!$R256))</f>
        <v/>
      </c>
    </row>
    <row r="258">
      <c r="A258" s="17">
        <f>IF(项目台账!$B257="","",项目台账!$A257)</f>
        <v/>
      </c>
      <c r="B258" s="17">
        <f>IF(项目台账!$B257="","",项目台账!$B257)</f>
        <v/>
      </c>
      <c r="C258" s="17">
        <f>IF($B258="","",IF(项目台账!$C257="","",项目台账!$C257))</f>
        <v/>
      </c>
      <c r="D258" s="17">
        <f>IF($B258="","",IF(项目台账!$D257="","",项目台账!$D257))</f>
        <v/>
      </c>
      <c r="E258" s="17">
        <f>IF($B258="","",IF(项目台账!$E257="","",项目台账!$E257))</f>
        <v/>
      </c>
      <c r="F258" s="23">
        <f>IF($B258="","",IF(项目台账!$F257="","",项目台账!$F257))</f>
        <v/>
      </c>
      <c r="G258" s="23">
        <f>IF($B258="","",IF(项目台账!$J257="","",项目台账!$J257))</f>
        <v/>
      </c>
      <c r="H258" s="17">
        <f>IF($B258="","",IF(项目台账!$Q257="","",项目台账!$Q257))</f>
        <v/>
      </c>
      <c r="I258" s="19">
        <f>IF($B258="","",项目台账!$M257)</f>
        <v/>
      </c>
      <c r="J258" s="19">
        <f>IF($B258="","",项目台账!$O257)</f>
        <v/>
      </c>
      <c r="K258" s="19">
        <f>IF($B258="","",项目台账!$P257)</f>
        <v/>
      </c>
      <c r="L258" s="19">
        <f>IF($B258="","",ROUND(SUMIFS(采购单!$L$4:$L$2003,采购单!$D$4:$D$2003,$B258,采购单!$F$4:$F$2003,"成本-主材")+SUMIFS(生产安装!$J$4:$J$1203,生产安装!$C$4:$C$1203,$B258,生产安装!$E$4:$E$1203,"成本-主材")+SUMIFS(资金日记账!$K$4:$K$2503,资金日记账!$G$4:$G$2503,$B258,资金日记账!$F$4:$F$2503,"成本-主材")-SUMIFS(资金日记账!$J$4:$J$2503,资金日记账!$G$4:$G$2503,$B258,资金日记账!$F$4:$F$2503,"成本-主材"),2))</f>
        <v/>
      </c>
      <c r="M258" s="19">
        <f>IF($B258="","",ROUND(SUMIFS(采购单!$L$4:$L$2003,采购单!$D$4:$D$2003,$B258,采购单!$F$4:$F$2003,"成本-辅材")+SUMIFS(生产安装!$J$4:$J$1203,生产安装!$C$4:$C$1203,$B258,生产安装!$E$4:$E$1203,"成本-辅材")+SUMIFS(资金日记账!$K$4:$K$2503,资金日记账!$G$4:$G$2503,$B258,资金日记账!$F$4:$F$2503,"成本-辅材")-SUMIFS(资金日记账!$J$4:$J$2503,资金日记账!$G$4:$G$2503,$B258,资金日记账!$F$4:$F$2503,"成本-辅材"),2))</f>
        <v/>
      </c>
      <c r="N258" s="19">
        <f>IF($B258="","",ROUND(SUMIFS(采购单!$L$4:$L$2003,采购单!$D$4:$D$2003,$B258,采购单!$F$4:$F$2003,"成本-人工")+SUMIFS(生产安装!$J$4:$J$1203,生产安装!$C$4:$C$1203,$B258,生产安装!$E$4:$E$1203,"成本-人工")+SUMIFS(资金日记账!$K$4:$K$2503,资金日记账!$G$4:$G$2503,$B258,资金日记账!$F$4:$F$2503,"成本-人工")-SUMIFS(资金日记账!$J$4:$J$2503,资金日记账!$G$4:$G$2503,$B258,资金日记账!$F$4:$F$2503,"成本-人工"),2))</f>
        <v/>
      </c>
      <c r="O258" s="19">
        <f>IF($B258="","",ROUND(SUMIFS(采购单!$L$4:$L$2003,采购单!$D$4:$D$2003,$B258,采购单!$F$4:$F$2003,"成本-车运")+SUMIFS(生产安装!$J$4:$J$1203,生产安装!$C$4:$C$1203,$B258,生产安装!$E$4:$E$1203,"成本-车运")+SUMIFS(资金日记账!$K$4:$K$2503,资金日记账!$G$4:$G$2503,$B258,资金日记账!$F$4:$F$2503,"成本-车运")-SUMIFS(资金日记账!$J$4:$J$2503,资金日记账!$G$4:$G$2503,$B258,资金日记账!$F$4:$F$2503,"成本-车运"),2))</f>
        <v/>
      </c>
      <c r="P258" s="19">
        <f>IF($B258="","",ROUND(SUMIFS(采购单!$L$4:$L$2003,采购单!$D$4:$D$2003,$B258,采购单!$F$4:$F$2003,"成本-其他")+SUMIFS(生产安装!$J$4:$J$1203,生产安装!$C$4:$C$1203,$B258,生产安装!$E$4:$E$1203,"成本-其他")+SUMIFS(资金日记账!$K$4:$K$2503,资金日记账!$G$4:$G$2503,$B258,资金日记账!$F$4:$F$2503,"成本-其他")-SUMIFS(资金日记账!$J$4:$J$2503,资金日记账!$G$4:$G$2503,$B258,资金日记账!$F$4:$F$2503,"成本-其他"),2))</f>
        <v/>
      </c>
      <c r="Q258" s="19">
        <f>IF($B258="","",ROUND(SUM($L258:$P258),2))</f>
        <v/>
      </c>
      <c r="R258" s="19">
        <f>IF($B258="","",ROUND($I258-$Q258,2))</f>
        <v/>
      </c>
      <c r="S258" s="33">
        <f>IF($B258="","",IF(ROUND($I258,2)=0,"",ROUND($R258/$I258,4)))</f>
        <v/>
      </c>
      <c r="T258" s="22">
        <f>IF($B258="","",IF($G258="",0,YEAR($G258)*100+MONTH($G258)))</f>
        <v/>
      </c>
      <c r="U258" s="17">
        <f>IF($B258="","",IF(项目台账!$R257="","",项目台账!$R257))</f>
        <v/>
      </c>
    </row>
    <row r="259">
      <c r="A259" s="17">
        <f>IF(项目台账!$B258="","",项目台账!$A258)</f>
        <v/>
      </c>
      <c r="B259" s="17">
        <f>IF(项目台账!$B258="","",项目台账!$B258)</f>
        <v/>
      </c>
      <c r="C259" s="17">
        <f>IF($B259="","",IF(项目台账!$C258="","",项目台账!$C258))</f>
        <v/>
      </c>
      <c r="D259" s="17">
        <f>IF($B259="","",IF(项目台账!$D258="","",项目台账!$D258))</f>
        <v/>
      </c>
      <c r="E259" s="17">
        <f>IF($B259="","",IF(项目台账!$E258="","",项目台账!$E258))</f>
        <v/>
      </c>
      <c r="F259" s="23">
        <f>IF($B259="","",IF(项目台账!$F258="","",项目台账!$F258))</f>
        <v/>
      </c>
      <c r="G259" s="23">
        <f>IF($B259="","",IF(项目台账!$J258="","",项目台账!$J258))</f>
        <v/>
      </c>
      <c r="H259" s="17">
        <f>IF($B259="","",IF(项目台账!$Q258="","",项目台账!$Q258))</f>
        <v/>
      </c>
      <c r="I259" s="19">
        <f>IF($B259="","",项目台账!$M258)</f>
        <v/>
      </c>
      <c r="J259" s="19">
        <f>IF($B259="","",项目台账!$O258)</f>
        <v/>
      </c>
      <c r="K259" s="19">
        <f>IF($B259="","",项目台账!$P258)</f>
        <v/>
      </c>
      <c r="L259" s="19">
        <f>IF($B259="","",ROUND(SUMIFS(采购单!$L$4:$L$2003,采购单!$D$4:$D$2003,$B259,采购单!$F$4:$F$2003,"成本-主材")+SUMIFS(生产安装!$J$4:$J$1203,生产安装!$C$4:$C$1203,$B259,生产安装!$E$4:$E$1203,"成本-主材")+SUMIFS(资金日记账!$K$4:$K$2503,资金日记账!$G$4:$G$2503,$B259,资金日记账!$F$4:$F$2503,"成本-主材")-SUMIFS(资金日记账!$J$4:$J$2503,资金日记账!$G$4:$G$2503,$B259,资金日记账!$F$4:$F$2503,"成本-主材"),2))</f>
        <v/>
      </c>
      <c r="M259" s="19">
        <f>IF($B259="","",ROUND(SUMIFS(采购单!$L$4:$L$2003,采购单!$D$4:$D$2003,$B259,采购单!$F$4:$F$2003,"成本-辅材")+SUMIFS(生产安装!$J$4:$J$1203,生产安装!$C$4:$C$1203,$B259,生产安装!$E$4:$E$1203,"成本-辅材")+SUMIFS(资金日记账!$K$4:$K$2503,资金日记账!$G$4:$G$2503,$B259,资金日记账!$F$4:$F$2503,"成本-辅材")-SUMIFS(资金日记账!$J$4:$J$2503,资金日记账!$G$4:$G$2503,$B259,资金日记账!$F$4:$F$2503,"成本-辅材"),2))</f>
        <v/>
      </c>
      <c r="N259" s="19">
        <f>IF($B259="","",ROUND(SUMIFS(采购单!$L$4:$L$2003,采购单!$D$4:$D$2003,$B259,采购单!$F$4:$F$2003,"成本-人工")+SUMIFS(生产安装!$J$4:$J$1203,生产安装!$C$4:$C$1203,$B259,生产安装!$E$4:$E$1203,"成本-人工")+SUMIFS(资金日记账!$K$4:$K$2503,资金日记账!$G$4:$G$2503,$B259,资金日记账!$F$4:$F$2503,"成本-人工")-SUMIFS(资金日记账!$J$4:$J$2503,资金日记账!$G$4:$G$2503,$B259,资金日记账!$F$4:$F$2503,"成本-人工"),2))</f>
        <v/>
      </c>
      <c r="O259" s="19">
        <f>IF($B259="","",ROUND(SUMIFS(采购单!$L$4:$L$2003,采购单!$D$4:$D$2003,$B259,采购单!$F$4:$F$2003,"成本-车运")+SUMIFS(生产安装!$J$4:$J$1203,生产安装!$C$4:$C$1203,$B259,生产安装!$E$4:$E$1203,"成本-车运")+SUMIFS(资金日记账!$K$4:$K$2503,资金日记账!$G$4:$G$2503,$B259,资金日记账!$F$4:$F$2503,"成本-车运")-SUMIFS(资金日记账!$J$4:$J$2503,资金日记账!$G$4:$G$2503,$B259,资金日记账!$F$4:$F$2503,"成本-车运"),2))</f>
        <v/>
      </c>
      <c r="P259" s="19">
        <f>IF($B259="","",ROUND(SUMIFS(采购单!$L$4:$L$2003,采购单!$D$4:$D$2003,$B259,采购单!$F$4:$F$2003,"成本-其他")+SUMIFS(生产安装!$J$4:$J$1203,生产安装!$C$4:$C$1203,$B259,生产安装!$E$4:$E$1203,"成本-其他")+SUMIFS(资金日记账!$K$4:$K$2503,资金日记账!$G$4:$G$2503,$B259,资金日记账!$F$4:$F$2503,"成本-其他")-SUMIFS(资金日记账!$J$4:$J$2503,资金日记账!$G$4:$G$2503,$B259,资金日记账!$F$4:$F$2503,"成本-其他"),2))</f>
        <v/>
      </c>
      <c r="Q259" s="19">
        <f>IF($B259="","",ROUND(SUM($L259:$P259),2))</f>
        <v/>
      </c>
      <c r="R259" s="19">
        <f>IF($B259="","",ROUND($I259-$Q259,2))</f>
        <v/>
      </c>
      <c r="S259" s="33">
        <f>IF($B259="","",IF(ROUND($I259,2)=0,"",ROUND($R259/$I259,4)))</f>
        <v/>
      </c>
      <c r="T259" s="22">
        <f>IF($B259="","",IF($G259="",0,YEAR($G259)*100+MONTH($G259)))</f>
        <v/>
      </c>
      <c r="U259" s="17">
        <f>IF($B259="","",IF(项目台账!$R258="","",项目台账!$R258))</f>
        <v/>
      </c>
    </row>
    <row r="260">
      <c r="A260" s="17">
        <f>IF(项目台账!$B259="","",项目台账!$A259)</f>
        <v/>
      </c>
      <c r="B260" s="17">
        <f>IF(项目台账!$B259="","",项目台账!$B259)</f>
        <v/>
      </c>
      <c r="C260" s="17">
        <f>IF($B260="","",IF(项目台账!$C259="","",项目台账!$C259))</f>
        <v/>
      </c>
      <c r="D260" s="17">
        <f>IF($B260="","",IF(项目台账!$D259="","",项目台账!$D259))</f>
        <v/>
      </c>
      <c r="E260" s="17">
        <f>IF($B260="","",IF(项目台账!$E259="","",项目台账!$E259))</f>
        <v/>
      </c>
      <c r="F260" s="23">
        <f>IF($B260="","",IF(项目台账!$F259="","",项目台账!$F259))</f>
        <v/>
      </c>
      <c r="G260" s="23">
        <f>IF($B260="","",IF(项目台账!$J259="","",项目台账!$J259))</f>
        <v/>
      </c>
      <c r="H260" s="17">
        <f>IF($B260="","",IF(项目台账!$Q259="","",项目台账!$Q259))</f>
        <v/>
      </c>
      <c r="I260" s="19">
        <f>IF($B260="","",项目台账!$M259)</f>
        <v/>
      </c>
      <c r="J260" s="19">
        <f>IF($B260="","",项目台账!$O259)</f>
        <v/>
      </c>
      <c r="K260" s="19">
        <f>IF($B260="","",项目台账!$P259)</f>
        <v/>
      </c>
      <c r="L260" s="19">
        <f>IF($B260="","",ROUND(SUMIFS(采购单!$L$4:$L$2003,采购单!$D$4:$D$2003,$B260,采购单!$F$4:$F$2003,"成本-主材")+SUMIFS(生产安装!$J$4:$J$1203,生产安装!$C$4:$C$1203,$B260,生产安装!$E$4:$E$1203,"成本-主材")+SUMIFS(资金日记账!$K$4:$K$2503,资金日记账!$G$4:$G$2503,$B260,资金日记账!$F$4:$F$2503,"成本-主材")-SUMIFS(资金日记账!$J$4:$J$2503,资金日记账!$G$4:$G$2503,$B260,资金日记账!$F$4:$F$2503,"成本-主材"),2))</f>
        <v/>
      </c>
      <c r="M260" s="19">
        <f>IF($B260="","",ROUND(SUMIFS(采购单!$L$4:$L$2003,采购单!$D$4:$D$2003,$B260,采购单!$F$4:$F$2003,"成本-辅材")+SUMIFS(生产安装!$J$4:$J$1203,生产安装!$C$4:$C$1203,$B260,生产安装!$E$4:$E$1203,"成本-辅材")+SUMIFS(资金日记账!$K$4:$K$2503,资金日记账!$G$4:$G$2503,$B260,资金日记账!$F$4:$F$2503,"成本-辅材")-SUMIFS(资金日记账!$J$4:$J$2503,资金日记账!$G$4:$G$2503,$B260,资金日记账!$F$4:$F$2503,"成本-辅材"),2))</f>
        <v/>
      </c>
      <c r="N260" s="19">
        <f>IF($B260="","",ROUND(SUMIFS(采购单!$L$4:$L$2003,采购单!$D$4:$D$2003,$B260,采购单!$F$4:$F$2003,"成本-人工")+SUMIFS(生产安装!$J$4:$J$1203,生产安装!$C$4:$C$1203,$B260,生产安装!$E$4:$E$1203,"成本-人工")+SUMIFS(资金日记账!$K$4:$K$2503,资金日记账!$G$4:$G$2503,$B260,资金日记账!$F$4:$F$2503,"成本-人工")-SUMIFS(资金日记账!$J$4:$J$2503,资金日记账!$G$4:$G$2503,$B260,资金日记账!$F$4:$F$2503,"成本-人工"),2))</f>
        <v/>
      </c>
      <c r="O260" s="19">
        <f>IF($B260="","",ROUND(SUMIFS(采购单!$L$4:$L$2003,采购单!$D$4:$D$2003,$B260,采购单!$F$4:$F$2003,"成本-车运")+SUMIFS(生产安装!$J$4:$J$1203,生产安装!$C$4:$C$1203,$B260,生产安装!$E$4:$E$1203,"成本-车运")+SUMIFS(资金日记账!$K$4:$K$2503,资金日记账!$G$4:$G$2503,$B260,资金日记账!$F$4:$F$2503,"成本-车运")-SUMIFS(资金日记账!$J$4:$J$2503,资金日记账!$G$4:$G$2503,$B260,资金日记账!$F$4:$F$2503,"成本-车运"),2))</f>
        <v/>
      </c>
      <c r="P260" s="19">
        <f>IF($B260="","",ROUND(SUMIFS(采购单!$L$4:$L$2003,采购单!$D$4:$D$2003,$B260,采购单!$F$4:$F$2003,"成本-其他")+SUMIFS(生产安装!$J$4:$J$1203,生产安装!$C$4:$C$1203,$B260,生产安装!$E$4:$E$1203,"成本-其他")+SUMIFS(资金日记账!$K$4:$K$2503,资金日记账!$G$4:$G$2503,$B260,资金日记账!$F$4:$F$2503,"成本-其他")-SUMIFS(资金日记账!$J$4:$J$2503,资金日记账!$G$4:$G$2503,$B260,资金日记账!$F$4:$F$2503,"成本-其他"),2))</f>
        <v/>
      </c>
      <c r="Q260" s="19">
        <f>IF($B260="","",ROUND(SUM($L260:$P260),2))</f>
        <v/>
      </c>
      <c r="R260" s="19">
        <f>IF($B260="","",ROUND($I260-$Q260,2))</f>
        <v/>
      </c>
      <c r="S260" s="33">
        <f>IF($B260="","",IF(ROUND($I260,2)=0,"",ROUND($R260/$I260,4)))</f>
        <v/>
      </c>
      <c r="T260" s="22">
        <f>IF($B260="","",IF($G260="",0,YEAR($G260)*100+MONTH($G260)))</f>
        <v/>
      </c>
      <c r="U260" s="17">
        <f>IF($B260="","",IF(项目台账!$R259="","",项目台账!$R259))</f>
        <v/>
      </c>
    </row>
    <row r="261">
      <c r="A261" s="17">
        <f>IF(项目台账!$B260="","",项目台账!$A260)</f>
        <v/>
      </c>
      <c r="B261" s="17">
        <f>IF(项目台账!$B260="","",项目台账!$B260)</f>
        <v/>
      </c>
      <c r="C261" s="17">
        <f>IF($B261="","",IF(项目台账!$C260="","",项目台账!$C260))</f>
        <v/>
      </c>
      <c r="D261" s="17">
        <f>IF($B261="","",IF(项目台账!$D260="","",项目台账!$D260))</f>
        <v/>
      </c>
      <c r="E261" s="17">
        <f>IF($B261="","",IF(项目台账!$E260="","",项目台账!$E260))</f>
        <v/>
      </c>
      <c r="F261" s="23">
        <f>IF($B261="","",IF(项目台账!$F260="","",项目台账!$F260))</f>
        <v/>
      </c>
      <c r="G261" s="23">
        <f>IF($B261="","",IF(项目台账!$J260="","",项目台账!$J260))</f>
        <v/>
      </c>
      <c r="H261" s="17">
        <f>IF($B261="","",IF(项目台账!$Q260="","",项目台账!$Q260))</f>
        <v/>
      </c>
      <c r="I261" s="19">
        <f>IF($B261="","",项目台账!$M260)</f>
        <v/>
      </c>
      <c r="J261" s="19">
        <f>IF($B261="","",项目台账!$O260)</f>
        <v/>
      </c>
      <c r="K261" s="19">
        <f>IF($B261="","",项目台账!$P260)</f>
        <v/>
      </c>
      <c r="L261" s="19">
        <f>IF($B261="","",ROUND(SUMIFS(采购单!$L$4:$L$2003,采购单!$D$4:$D$2003,$B261,采购单!$F$4:$F$2003,"成本-主材")+SUMIFS(生产安装!$J$4:$J$1203,生产安装!$C$4:$C$1203,$B261,生产安装!$E$4:$E$1203,"成本-主材")+SUMIFS(资金日记账!$K$4:$K$2503,资金日记账!$G$4:$G$2503,$B261,资金日记账!$F$4:$F$2503,"成本-主材")-SUMIFS(资金日记账!$J$4:$J$2503,资金日记账!$G$4:$G$2503,$B261,资金日记账!$F$4:$F$2503,"成本-主材"),2))</f>
        <v/>
      </c>
      <c r="M261" s="19">
        <f>IF($B261="","",ROUND(SUMIFS(采购单!$L$4:$L$2003,采购单!$D$4:$D$2003,$B261,采购单!$F$4:$F$2003,"成本-辅材")+SUMIFS(生产安装!$J$4:$J$1203,生产安装!$C$4:$C$1203,$B261,生产安装!$E$4:$E$1203,"成本-辅材")+SUMIFS(资金日记账!$K$4:$K$2503,资金日记账!$G$4:$G$2503,$B261,资金日记账!$F$4:$F$2503,"成本-辅材")-SUMIFS(资金日记账!$J$4:$J$2503,资金日记账!$G$4:$G$2503,$B261,资金日记账!$F$4:$F$2503,"成本-辅材"),2))</f>
        <v/>
      </c>
      <c r="N261" s="19">
        <f>IF($B261="","",ROUND(SUMIFS(采购单!$L$4:$L$2003,采购单!$D$4:$D$2003,$B261,采购单!$F$4:$F$2003,"成本-人工")+SUMIFS(生产安装!$J$4:$J$1203,生产安装!$C$4:$C$1203,$B261,生产安装!$E$4:$E$1203,"成本-人工")+SUMIFS(资金日记账!$K$4:$K$2503,资金日记账!$G$4:$G$2503,$B261,资金日记账!$F$4:$F$2503,"成本-人工")-SUMIFS(资金日记账!$J$4:$J$2503,资金日记账!$G$4:$G$2503,$B261,资金日记账!$F$4:$F$2503,"成本-人工"),2))</f>
        <v/>
      </c>
      <c r="O261" s="19">
        <f>IF($B261="","",ROUND(SUMIFS(采购单!$L$4:$L$2003,采购单!$D$4:$D$2003,$B261,采购单!$F$4:$F$2003,"成本-车运")+SUMIFS(生产安装!$J$4:$J$1203,生产安装!$C$4:$C$1203,$B261,生产安装!$E$4:$E$1203,"成本-车运")+SUMIFS(资金日记账!$K$4:$K$2503,资金日记账!$G$4:$G$2503,$B261,资金日记账!$F$4:$F$2503,"成本-车运")-SUMIFS(资金日记账!$J$4:$J$2503,资金日记账!$G$4:$G$2503,$B261,资金日记账!$F$4:$F$2503,"成本-车运"),2))</f>
        <v/>
      </c>
      <c r="P261" s="19">
        <f>IF($B261="","",ROUND(SUMIFS(采购单!$L$4:$L$2003,采购单!$D$4:$D$2003,$B261,采购单!$F$4:$F$2003,"成本-其他")+SUMIFS(生产安装!$J$4:$J$1203,生产安装!$C$4:$C$1203,$B261,生产安装!$E$4:$E$1203,"成本-其他")+SUMIFS(资金日记账!$K$4:$K$2503,资金日记账!$G$4:$G$2503,$B261,资金日记账!$F$4:$F$2503,"成本-其他")-SUMIFS(资金日记账!$J$4:$J$2503,资金日记账!$G$4:$G$2503,$B261,资金日记账!$F$4:$F$2503,"成本-其他"),2))</f>
        <v/>
      </c>
      <c r="Q261" s="19">
        <f>IF($B261="","",ROUND(SUM($L261:$P261),2))</f>
        <v/>
      </c>
      <c r="R261" s="19">
        <f>IF($B261="","",ROUND($I261-$Q261,2))</f>
        <v/>
      </c>
      <c r="S261" s="33">
        <f>IF($B261="","",IF(ROUND($I261,2)=0,"",ROUND($R261/$I261,4)))</f>
        <v/>
      </c>
      <c r="T261" s="22">
        <f>IF($B261="","",IF($G261="",0,YEAR($G261)*100+MONTH($G261)))</f>
        <v/>
      </c>
      <c r="U261" s="17">
        <f>IF($B261="","",IF(项目台账!$R260="","",项目台账!$R260))</f>
        <v/>
      </c>
    </row>
    <row r="262">
      <c r="A262" s="17">
        <f>IF(项目台账!$B261="","",项目台账!$A261)</f>
        <v/>
      </c>
      <c r="B262" s="17">
        <f>IF(项目台账!$B261="","",项目台账!$B261)</f>
        <v/>
      </c>
      <c r="C262" s="17">
        <f>IF($B262="","",IF(项目台账!$C261="","",项目台账!$C261))</f>
        <v/>
      </c>
      <c r="D262" s="17">
        <f>IF($B262="","",IF(项目台账!$D261="","",项目台账!$D261))</f>
        <v/>
      </c>
      <c r="E262" s="17">
        <f>IF($B262="","",IF(项目台账!$E261="","",项目台账!$E261))</f>
        <v/>
      </c>
      <c r="F262" s="23">
        <f>IF($B262="","",IF(项目台账!$F261="","",项目台账!$F261))</f>
        <v/>
      </c>
      <c r="G262" s="23">
        <f>IF($B262="","",IF(项目台账!$J261="","",项目台账!$J261))</f>
        <v/>
      </c>
      <c r="H262" s="17">
        <f>IF($B262="","",IF(项目台账!$Q261="","",项目台账!$Q261))</f>
        <v/>
      </c>
      <c r="I262" s="19">
        <f>IF($B262="","",项目台账!$M261)</f>
        <v/>
      </c>
      <c r="J262" s="19">
        <f>IF($B262="","",项目台账!$O261)</f>
        <v/>
      </c>
      <c r="K262" s="19">
        <f>IF($B262="","",项目台账!$P261)</f>
        <v/>
      </c>
      <c r="L262" s="19">
        <f>IF($B262="","",ROUND(SUMIFS(采购单!$L$4:$L$2003,采购单!$D$4:$D$2003,$B262,采购单!$F$4:$F$2003,"成本-主材")+SUMIFS(生产安装!$J$4:$J$1203,生产安装!$C$4:$C$1203,$B262,生产安装!$E$4:$E$1203,"成本-主材")+SUMIFS(资金日记账!$K$4:$K$2503,资金日记账!$G$4:$G$2503,$B262,资金日记账!$F$4:$F$2503,"成本-主材")-SUMIFS(资金日记账!$J$4:$J$2503,资金日记账!$G$4:$G$2503,$B262,资金日记账!$F$4:$F$2503,"成本-主材"),2))</f>
        <v/>
      </c>
      <c r="M262" s="19">
        <f>IF($B262="","",ROUND(SUMIFS(采购单!$L$4:$L$2003,采购单!$D$4:$D$2003,$B262,采购单!$F$4:$F$2003,"成本-辅材")+SUMIFS(生产安装!$J$4:$J$1203,生产安装!$C$4:$C$1203,$B262,生产安装!$E$4:$E$1203,"成本-辅材")+SUMIFS(资金日记账!$K$4:$K$2503,资金日记账!$G$4:$G$2503,$B262,资金日记账!$F$4:$F$2503,"成本-辅材")-SUMIFS(资金日记账!$J$4:$J$2503,资金日记账!$G$4:$G$2503,$B262,资金日记账!$F$4:$F$2503,"成本-辅材"),2))</f>
        <v/>
      </c>
      <c r="N262" s="19">
        <f>IF($B262="","",ROUND(SUMIFS(采购单!$L$4:$L$2003,采购单!$D$4:$D$2003,$B262,采购单!$F$4:$F$2003,"成本-人工")+SUMIFS(生产安装!$J$4:$J$1203,生产安装!$C$4:$C$1203,$B262,生产安装!$E$4:$E$1203,"成本-人工")+SUMIFS(资金日记账!$K$4:$K$2503,资金日记账!$G$4:$G$2503,$B262,资金日记账!$F$4:$F$2503,"成本-人工")-SUMIFS(资金日记账!$J$4:$J$2503,资金日记账!$G$4:$G$2503,$B262,资金日记账!$F$4:$F$2503,"成本-人工"),2))</f>
        <v/>
      </c>
      <c r="O262" s="19">
        <f>IF($B262="","",ROUND(SUMIFS(采购单!$L$4:$L$2003,采购单!$D$4:$D$2003,$B262,采购单!$F$4:$F$2003,"成本-车运")+SUMIFS(生产安装!$J$4:$J$1203,生产安装!$C$4:$C$1203,$B262,生产安装!$E$4:$E$1203,"成本-车运")+SUMIFS(资金日记账!$K$4:$K$2503,资金日记账!$G$4:$G$2503,$B262,资金日记账!$F$4:$F$2503,"成本-车运")-SUMIFS(资金日记账!$J$4:$J$2503,资金日记账!$G$4:$G$2503,$B262,资金日记账!$F$4:$F$2503,"成本-车运"),2))</f>
        <v/>
      </c>
      <c r="P262" s="19">
        <f>IF($B262="","",ROUND(SUMIFS(采购单!$L$4:$L$2003,采购单!$D$4:$D$2003,$B262,采购单!$F$4:$F$2003,"成本-其他")+SUMIFS(生产安装!$J$4:$J$1203,生产安装!$C$4:$C$1203,$B262,生产安装!$E$4:$E$1203,"成本-其他")+SUMIFS(资金日记账!$K$4:$K$2503,资金日记账!$G$4:$G$2503,$B262,资金日记账!$F$4:$F$2503,"成本-其他")-SUMIFS(资金日记账!$J$4:$J$2503,资金日记账!$G$4:$G$2503,$B262,资金日记账!$F$4:$F$2503,"成本-其他"),2))</f>
        <v/>
      </c>
      <c r="Q262" s="19">
        <f>IF($B262="","",ROUND(SUM($L262:$P262),2))</f>
        <v/>
      </c>
      <c r="R262" s="19">
        <f>IF($B262="","",ROUND($I262-$Q262,2))</f>
        <v/>
      </c>
      <c r="S262" s="33">
        <f>IF($B262="","",IF(ROUND($I262,2)=0,"",ROUND($R262/$I262,4)))</f>
        <v/>
      </c>
      <c r="T262" s="22">
        <f>IF($B262="","",IF($G262="",0,YEAR($G262)*100+MONTH($G262)))</f>
        <v/>
      </c>
      <c r="U262" s="17">
        <f>IF($B262="","",IF(项目台账!$R261="","",项目台账!$R261))</f>
        <v/>
      </c>
    </row>
    <row r="263">
      <c r="A263" s="17">
        <f>IF(项目台账!$B262="","",项目台账!$A262)</f>
        <v/>
      </c>
      <c r="B263" s="17">
        <f>IF(项目台账!$B262="","",项目台账!$B262)</f>
        <v/>
      </c>
      <c r="C263" s="17">
        <f>IF($B263="","",IF(项目台账!$C262="","",项目台账!$C262))</f>
        <v/>
      </c>
      <c r="D263" s="17">
        <f>IF($B263="","",IF(项目台账!$D262="","",项目台账!$D262))</f>
        <v/>
      </c>
      <c r="E263" s="17">
        <f>IF($B263="","",IF(项目台账!$E262="","",项目台账!$E262))</f>
        <v/>
      </c>
      <c r="F263" s="23">
        <f>IF($B263="","",IF(项目台账!$F262="","",项目台账!$F262))</f>
        <v/>
      </c>
      <c r="G263" s="23">
        <f>IF($B263="","",IF(项目台账!$J262="","",项目台账!$J262))</f>
        <v/>
      </c>
      <c r="H263" s="17">
        <f>IF($B263="","",IF(项目台账!$Q262="","",项目台账!$Q262))</f>
        <v/>
      </c>
      <c r="I263" s="19">
        <f>IF($B263="","",项目台账!$M262)</f>
        <v/>
      </c>
      <c r="J263" s="19">
        <f>IF($B263="","",项目台账!$O262)</f>
        <v/>
      </c>
      <c r="K263" s="19">
        <f>IF($B263="","",项目台账!$P262)</f>
        <v/>
      </c>
      <c r="L263" s="19">
        <f>IF($B263="","",ROUND(SUMIFS(采购单!$L$4:$L$2003,采购单!$D$4:$D$2003,$B263,采购单!$F$4:$F$2003,"成本-主材")+SUMIFS(生产安装!$J$4:$J$1203,生产安装!$C$4:$C$1203,$B263,生产安装!$E$4:$E$1203,"成本-主材")+SUMIFS(资金日记账!$K$4:$K$2503,资金日记账!$G$4:$G$2503,$B263,资金日记账!$F$4:$F$2503,"成本-主材")-SUMIFS(资金日记账!$J$4:$J$2503,资金日记账!$G$4:$G$2503,$B263,资金日记账!$F$4:$F$2503,"成本-主材"),2))</f>
        <v/>
      </c>
      <c r="M263" s="19">
        <f>IF($B263="","",ROUND(SUMIFS(采购单!$L$4:$L$2003,采购单!$D$4:$D$2003,$B263,采购单!$F$4:$F$2003,"成本-辅材")+SUMIFS(生产安装!$J$4:$J$1203,生产安装!$C$4:$C$1203,$B263,生产安装!$E$4:$E$1203,"成本-辅材")+SUMIFS(资金日记账!$K$4:$K$2503,资金日记账!$G$4:$G$2503,$B263,资金日记账!$F$4:$F$2503,"成本-辅材")-SUMIFS(资金日记账!$J$4:$J$2503,资金日记账!$G$4:$G$2503,$B263,资金日记账!$F$4:$F$2503,"成本-辅材"),2))</f>
        <v/>
      </c>
      <c r="N263" s="19">
        <f>IF($B263="","",ROUND(SUMIFS(采购单!$L$4:$L$2003,采购单!$D$4:$D$2003,$B263,采购单!$F$4:$F$2003,"成本-人工")+SUMIFS(生产安装!$J$4:$J$1203,生产安装!$C$4:$C$1203,$B263,生产安装!$E$4:$E$1203,"成本-人工")+SUMIFS(资金日记账!$K$4:$K$2503,资金日记账!$G$4:$G$2503,$B263,资金日记账!$F$4:$F$2503,"成本-人工")-SUMIFS(资金日记账!$J$4:$J$2503,资金日记账!$G$4:$G$2503,$B263,资金日记账!$F$4:$F$2503,"成本-人工"),2))</f>
        <v/>
      </c>
      <c r="O263" s="19">
        <f>IF($B263="","",ROUND(SUMIFS(采购单!$L$4:$L$2003,采购单!$D$4:$D$2003,$B263,采购单!$F$4:$F$2003,"成本-车运")+SUMIFS(生产安装!$J$4:$J$1203,生产安装!$C$4:$C$1203,$B263,生产安装!$E$4:$E$1203,"成本-车运")+SUMIFS(资金日记账!$K$4:$K$2503,资金日记账!$G$4:$G$2503,$B263,资金日记账!$F$4:$F$2503,"成本-车运")-SUMIFS(资金日记账!$J$4:$J$2503,资金日记账!$G$4:$G$2503,$B263,资金日记账!$F$4:$F$2503,"成本-车运"),2))</f>
        <v/>
      </c>
      <c r="P263" s="19">
        <f>IF($B263="","",ROUND(SUMIFS(采购单!$L$4:$L$2003,采购单!$D$4:$D$2003,$B263,采购单!$F$4:$F$2003,"成本-其他")+SUMIFS(生产安装!$J$4:$J$1203,生产安装!$C$4:$C$1203,$B263,生产安装!$E$4:$E$1203,"成本-其他")+SUMIFS(资金日记账!$K$4:$K$2503,资金日记账!$G$4:$G$2503,$B263,资金日记账!$F$4:$F$2503,"成本-其他")-SUMIFS(资金日记账!$J$4:$J$2503,资金日记账!$G$4:$G$2503,$B263,资金日记账!$F$4:$F$2503,"成本-其他"),2))</f>
        <v/>
      </c>
      <c r="Q263" s="19">
        <f>IF($B263="","",ROUND(SUM($L263:$P263),2))</f>
        <v/>
      </c>
      <c r="R263" s="19">
        <f>IF($B263="","",ROUND($I263-$Q263,2))</f>
        <v/>
      </c>
      <c r="S263" s="33">
        <f>IF($B263="","",IF(ROUND($I263,2)=0,"",ROUND($R263/$I263,4)))</f>
        <v/>
      </c>
      <c r="T263" s="22">
        <f>IF($B263="","",IF($G263="",0,YEAR($G263)*100+MONTH($G263)))</f>
        <v/>
      </c>
      <c r="U263" s="17">
        <f>IF($B263="","",IF(项目台账!$R262="","",项目台账!$R262))</f>
        <v/>
      </c>
    </row>
    <row r="264">
      <c r="A264" s="17">
        <f>IF(项目台账!$B263="","",项目台账!$A263)</f>
        <v/>
      </c>
      <c r="B264" s="17">
        <f>IF(项目台账!$B263="","",项目台账!$B263)</f>
        <v/>
      </c>
      <c r="C264" s="17">
        <f>IF($B264="","",IF(项目台账!$C263="","",项目台账!$C263))</f>
        <v/>
      </c>
      <c r="D264" s="17">
        <f>IF($B264="","",IF(项目台账!$D263="","",项目台账!$D263))</f>
        <v/>
      </c>
      <c r="E264" s="17">
        <f>IF($B264="","",IF(项目台账!$E263="","",项目台账!$E263))</f>
        <v/>
      </c>
      <c r="F264" s="23">
        <f>IF($B264="","",IF(项目台账!$F263="","",项目台账!$F263))</f>
        <v/>
      </c>
      <c r="G264" s="23">
        <f>IF($B264="","",IF(项目台账!$J263="","",项目台账!$J263))</f>
        <v/>
      </c>
      <c r="H264" s="17">
        <f>IF($B264="","",IF(项目台账!$Q263="","",项目台账!$Q263))</f>
        <v/>
      </c>
      <c r="I264" s="19">
        <f>IF($B264="","",项目台账!$M263)</f>
        <v/>
      </c>
      <c r="J264" s="19">
        <f>IF($B264="","",项目台账!$O263)</f>
        <v/>
      </c>
      <c r="K264" s="19">
        <f>IF($B264="","",项目台账!$P263)</f>
        <v/>
      </c>
      <c r="L264" s="19">
        <f>IF($B264="","",ROUND(SUMIFS(采购单!$L$4:$L$2003,采购单!$D$4:$D$2003,$B264,采购单!$F$4:$F$2003,"成本-主材")+SUMIFS(生产安装!$J$4:$J$1203,生产安装!$C$4:$C$1203,$B264,生产安装!$E$4:$E$1203,"成本-主材")+SUMIFS(资金日记账!$K$4:$K$2503,资金日记账!$G$4:$G$2503,$B264,资金日记账!$F$4:$F$2503,"成本-主材")-SUMIFS(资金日记账!$J$4:$J$2503,资金日记账!$G$4:$G$2503,$B264,资金日记账!$F$4:$F$2503,"成本-主材"),2))</f>
        <v/>
      </c>
      <c r="M264" s="19">
        <f>IF($B264="","",ROUND(SUMIFS(采购单!$L$4:$L$2003,采购单!$D$4:$D$2003,$B264,采购单!$F$4:$F$2003,"成本-辅材")+SUMIFS(生产安装!$J$4:$J$1203,生产安装!$C$4:$C$1203,$B264,生产安装!$E$4:$E$1203,"成本-辅材")+SUMIFS(资金日记账!$K$4:$K$2503,资金日记账!$G$4:$G$2503,$B264,资金日记账!$F$4:$F$2503,"成本-辅材")-SUMIFS(资金日记账!$J$4:$J$2503,资金日记账!$G$4:$G$2503,$B264,资金日记账!$F$4:$F$2503,"成本-辅材"),2))</f>
        <v/>
      </c>
      <c r="N264" s="19">
        <f>IF($B264="","",ROUND(SUMIFS(采购单!$L$4:$L$2003,采购单!$D$4:$D$2003,$B264,采购单!$F$4:$F$2003,"成本-人工")+SUMIFS(生产安装!$J$4:$J$1203,生产安装!$C$4:$C$1203,$B264,生产安装!$E$4:$E$1203,"成本-人工")+SUMIFS(资金日记账!$K$4:$K$2503,资金日记账!$G$4:$G$2503,$B264,资金日记账!$F$4:$F$2503,"成本-人工")-SUMIFS(资金日记账!$J$4:$J$2503,资金日记账!$G$4:$G$2503,$B264,资金日记账!$F$4:$F$2503,"成本-人工"),2))</f>
        <v/>
      </c>
      <c r="O264" s="19">
        <f>IF($B264="","",ROUND(SUMIFS(采购单!$L$4:$L$2003,采购单!$D$4:$D$2003,$B264,采购单!$F$4:$F$2003,"成本-车运")+SUMIFS(生产安装!$J$4:$J$1203,生产安装!$C$4:$C$1203,$B264,生产安装!$E$4:$E$1203,"成本-车运")+SUMIFS(资金日记账!$K$4:$K$2503,资金日记账!$G$4:$G$2503,$B264,资金日记账!$F$4:$F$2503,"成本-车运")-SUMIFS(资金日记账!$J$4:$J$2503,资金日记账!$G$4:$G$2503,$B264,资金日记账!$F$4:$F$2503,"成本-车运"),2))</f>
        <v/>
      </c>
      <c r="P264" s="19">
        <f>IF($B264="","",ROUND(SUMIFS(采购单!$L$4:$L$2003,采购单!$D$4:$D$2003,$B264,采购单!$F$4:$F$2003,"成本-其他")+SUMIFS(生产安装!$J$4:$J$1203,生产安装!$C$4:$C$1203,$B264,生产安装!$E$4:$E$1203,"成本-其他")+SUMIFS(资金日记账!$K$4:$K$2503,资金日记账!$G$4:$G$2503,$B264,资金日记账!$F$4:$F$2503,"成本-其他")-SUMIFS(资金日记账!$J$4:$J$2503,资金日记账!$G$4:$G$2503,$B264,资金日记账!$F$4:$F$2503,"成本-其他"),2))</f>
        <v/>
      </c>
      <c r="Q264" s="19">
        <f>IF($B264="","",ROUND(SUM($L264:$P264),2))</f>
        <v/>
      </c>
      <c r="R264" s="19">
        <f>IF($B264="","",ROUND($I264-$Q264,2))</f>
        <v/>
      </c>
      <c r="S264" s="33">
        <f>IF($B264="","",IF(ROUND($I264,2)=0,"",ROUND($R264/$I264,4)))</f>
        <v/>
      </c>
      <c r="T264" s="22">
        <f>IF($B264="","",IF($G264="",0,YEAR($G264)*100+MONTH($G264)))</f>
        <v/>
      </c>
      <c r="U264" s="17">
        <f>IF($B264="","",IF(项目台账!$R263="","",项目台账!$R263))</f>
        <v/>
      </c>
    </row>
    <row r="265">
      <c r="A265" s="17">
        <f>IF(项目台账!$B264="","",项目台账!$A264)</f>
        <v/>
      </c>
      <c r="B265" s="17">
        <f>IF(项目台账!$B264="","",项目台账!$B264)</f>
        <v/>
      </c>
      <c r="C265" s="17">
        <f>IF($B265="","",IF(项目台账!$C264="","",项目台账!$C264))</f>
        <v/>
      </c>
      <c r="D265" s="17">
        <f>IF($B265="","",IF(项目台账!$D264="","",项目台账!$D264))</f>
        <v/>
      </c>
      <c r="E265" s="17">
        <f>IF($B265="","",IF(项目台账!$E264="","",项目台账!$E264))</f>
        <v/>
      </c>
      <c r="F265" s="23">
        <f>IF($B265="","",IF(项目台账!$F264="","",项目台账!$F264))</f>
        <v/>
      </c>
      <c r="G265" s="23">
        <f>IF($B265="","",IF(项目台账!$J264="","",项目台账!$J264))</f>
        <v/>
      </c>
      <c r="H265" s="17">
        <f>IF($B265="","",IF(项目台账!$Q264="","",项目台账!$Q264))</f>
        <v/>
      </c>
      <c r="I265" s="19">
        <f>IF($B265="","",项目台账!$M264)</f>
        <v/>
      </c>
      <c r="J265" s="19">
        <f>IF($B265="","",项目台账!$O264)</f>
        <v/>
      </c>
      <c r="K265" s="19">
        <f>IF($B265="","",项目台账!$P264)</f>
        <v/>
      </c>
      <c r="L265" s="19">
        <f>IF($B265="","",ROUND(SUMIFS(采购单!$L$4:$L$2003,采购单!$D$4:$D$2003,$B265,采购单!$F$4:$F$2003,"成本-主材")+SUMIFS(生产安装!$J$4:$J$1203,生产安装!$C$4:$C$1203,$B265,生产安装!$E$4:$E$1203,"成本-主材")+SUMIFS(资金日记账!$K$4:$K$2503,资金日记账!$G$4:$G$2503,$B265,资金日记账!$F$4:$F$2503,"成本-主材")-SUMIFS(资金日记账!$J$4:$J$2503,资金日记账!$G$4:$G$2503,$B265,资金日记账!$F$4:$F$2503,"成本-主材"),2))</f>
        <v/>
      </c>
      <c r="M265" s="19">
        <f>IF($B265="","",ROUND(SUMIFS(采购单!$L$4:$L$2003,采购单!$D$4:$D$2003,$B265,采购单!$F$4:$F$2003,"成本-辅材")+SUMIFS(生产安装!$J$4:$J$1203,生产安装!$C$4:$C$1203,$B265,生产安装!$E$4:$E$1203,"成本-辅材")+SUMIFS(资金日记账!$K$4:$K$2503,资金日记账!$G$4:$G$2503,$B265,资金日记账!$F$4:$F$2503,"成本-辅材")-SUMIFS(资金日记账!$J$4:$J$2503,资金日记账!$G$4:$G$2503,$B265,资金日记账!$F$4:$F$2503,"成本-辅材"),2))</f>
        <v/>
      </c>
      <c r="N265" s="19">
        <f>IF($B265="","",ROUND(SUMIFS(采购单!$L$4:$L$2003,采购单!$D$4:$D$2003,$B265,采购单!$F$4:$F$2003,"成本-人工")+SUMIFS(生产安装!$J$4:$J$1203,生产安装!$C$4:$C$1203,$B265,生产安装!$E$4:$E$1203,"成本-人工")+SUMIFS(资金日记账!$K$4:$K$2503,资金日记账!$G$4:$G$2503,$B265,资金日记账!$F$4:$F$2503,"成本-人工")-SUMIFS(资金日记账!$J$4:$J$2503,资金日记账!$G$4:$G$2503,$B265,资金日记账!$F$4:$F$2503,"成本-人工"),2))</f>
        <v/>
      </c>
      <c r="O265" s="19">
        <f>IF($B265="","",ROUND(SUMIFS(采购单!$L$4:$L$2003,采购单!$D$4:$D$2003,$B265,采购单!$F$4:$F$2003,"成本-车运")+SUMIFS(生产安装!$J$4:$J$1203,生产安装!$C$4:$C$1203,$B265,生产安装!$E$4:$E$1203,"成本-车运")+SUMIFS(资金日记账!$K$4:$K$2503,资金日记账!$G$4:$G$2503,$B265,资金日记账!$F$4:$F$2503,"成本-车运")-SUMIFS(资金日记账!$J$4:$J$2503,资金日记账!$G$4:$G$2503,$B265,资金日记账!$F$4:$F$2503,"成本-车运"),2))</f>
        <v/>
      </c>
      <c r="P265" s="19">
        <f>IF($B265="","",ROUND(SUMIFS(采购单!$L$4:$L$2003,采购单!$D$4:$D$2003,$B265,采购单!$F$4:$F$2003,"成本-其他")+SUMIFS(生产安装!$J$4:$J$1203,生产安装!$C$4:$C$1203,$B265,生产安装!$E$4:$E$1203,"成本-其他")+SUMIFS(资金日记账!$K$4:$K$2503,资金日记账!$G$4:$G$2503,$B265,资金日记账!$F$4:$F$2503,"成本-其他")-SUMIFS(资金日记账!$J$4:$J$2503,资金日记账!$G$4:$G$2503,$B265,资金日记账!$F$4:$F$2503,"成本-其他"),2))</f>
        <v/>
      </c>
      <c r="Q265" s="19">
        <f>IF($B265="","",ROUND(SUM($L265:$P265),2))</f>
        <v/>
      </c>
      <c r="R265" s="19">
        <f>IF($B265="","",ROUND($I265-$Q265,2))</f>
        <v/>
      </c>
      <c r="S265" s="33">
        <f>IF($B265="","",IF(ROUND($I265,2)=0,"",ROUND($R265/$I265,4)))</f>
        <v/>
      </c>
      <c r="T265" s="22">
        <f>IF($B265="","",IF($G265="",0,YEAR($G265)*100+MONTH($G265)))</f>
        <v/>
      </c>
      <c r="U265" s="17">
        <f>IF($B265="","",IF(项目台账!$R264="","",项目台账!$R264))</f>
        <v/>
      </c>
    </row>
    <row r="266">
      <c r="A266" s="17">
        <f>IF(项目台账!$B265="","",项目台账!$A265)</f>
        <v/>
      </c>
      <c r="B266" s="17">
        <f>IF(项目台账!$B265="","",项目台账!$B265)</f>
        <v/>
      </c>
      <c r="C266" s="17">
        <f>IF($B266="","",IF(项目台账!$C265="","",项目台账!$C265))</f>
        <v/>
      </c>
      <c r="D266" s="17">
        <f>IF($B266="","",IF(项目台账!$D265="","",项目台账!$D265))</f>
        <v/>
      </c>
      <c r="E266" s="17">
        <f>IF($B266="","",IF(项目台账!$E265="","",项目台账!$E265))</f>
        <v/>
      </c>
      <c r="F266" s="23">
        <f>IF($B266="","",IF(项目台账!$F265="","",项目台账!$F265))</f>
        <v/>
      </c>
      <c r="G266" s="23">
        <f>IF($B266="","",IF(项目台账!$J265="","",项目台账!$J265))</f>
        <v/>
      </c>
      <c r="H266" s="17">
        <f>IF($B266="","",IF(项目台账!$Q265="","",项目台账!$Q265))</f>
        <v/>
      </c>
      <c r="I266" s="19">
        <f>IF($B266="","",项目台账!$M265)</f>
        <v/>
      </c>
      <c r="J266" s="19">
        <f>IF($B266="","",项目台账!$O265)</f>
        <v/>
      </c>
      <c r="K266" s="19">
        <f>IF($B266="","",项目台账!$P265)</f>
        <v/>
      </c>
      <c r="L266" s="19">
        <f>IF($B266="","",ROUND(SUMIFS(采购单!$L$4:$L$2003,采购单!$D$4:$D$2003,$B266,采购单!$F$4:$F$2003,"成本-主材")+SUMIFS(生产安装!$J$4:$J$1203,生产安装!$C$4:$C$1203,$B266,生产安装!$E$4:$E$1203,"成本-主材")+SUMIFS(资金日记账!$K$4:$K$2503,资金日记账!$G$4:$G$2503,$B266,资金日记账!$F$4:$F$2503,"成本-主材")-SUMIFS(资金日记账!$J$4:$J$2503,资金日记账!$G$4:$G$2503,$B266,资金日记账!$F$4:$F$2503,"成本-主材"),2))</f>
        <v/>
      </c>
      <c r="M266" s="19">
        <f>IF($B266="","",ROUND(SUMIFS(采购单!$L$4:$L$2003,采购单!$D$4:$D$2003,$B266,采购单!$F$4:$F$2003,"成本-辅材")+SUMIFS(生产安装!$J$4:$J$1203,生产安装!$C$4:$C$1203,$B266,生产安装!$E$4:$E$1203,"成本-辅材")+SUMIFS(资金日记账!$K$4:$K$2503,资金日记账!$G$4:$G$2503,$B266,资金日记账!$F$4:$F$2503,"成本-辅材")-SUMIFS(资金日记账!$J$4:$J$2503,资金日记账!$G$4:$G$2503,$B266,资金日记账!$F$4:$F$2503,"成本-辅材"),2))</f>
        <v/>
      </c>
      <c r="N266" s="19">
        <f>IF($B266="","",ROUND(SUMIFS(采购单!$L$4:$L$2003,采购单!$D$4:$D$2003,$B266,采购单!$F$4:$F$2003,"成本-人工")+SUMIFS(生产安装!$J$4:$J$1203,生产安装!$C$4:$C$1203,$B266,生产安装!$E$4:$E$1203,"成本-人工")+SUMIFS(资金日记账!$K$4:$K$2503,资金日记账!$G$4:$G$2503,$B266,资金日记账!$F$4:$F$2503,"成本-人工")-SUMIFS(资金日记账!$J$4:$J$2503,资金日记账!$G$4:$G$2503,$B266,资金日记账!$F$4:$F$2503,"成本-人工"),2))</f>
        <v/>
      </c>
      <c r="O266" s="19">
        <f>IF($B266="","",ROUND(SUMIFS(采购单!$L$4:$L$2003,采购单!$D$4:$D$2003,$B266,采购单!$F$4:$F$2003,"成本-车运")+SUMIFS(生产安装!$J$4:$J$1203,生产安装!$C$4:$C$1203,$B266,生产安装!$E$4:$E$1203,"成本-车运")+SUMIFS(资金日记账!$K$4:$K$2503,资金日记账!$G$4:$G$2503,$B266,资金日记账!$F$4:$F$2503,"成本-车运")-SUMIFS(资金日记账!$J$4:$J$2503,资金日记账!$G$4:$G$2503,$B266,资金日记账!$F$4:$F$2503,"成本-车运"),2))</f>
        <v/>
      </c>
      <c r="P266" s="19">
        <f>IF($B266="","",ROUND(SUMIFS(采购单!$L$4:$L$2003,采购单!$D$4:$D$2003,$B266,采购单!$F$4:$F$2003,"成本-其他")+SUMIFS(生产安装!$J$4:$J$1203,生产安装!$C$4:$C$1203,$B266,生产安装!$E$4:$E$1203,"成本-其他")+SUMIFS(资金日记账!$K$4:$K$2503,资金日记账!$G$4:$G$2503,$B266,资金日记账!$F$4:$F$2503,"成本-其他")-SUMIFS(资金日记账!$J$4:$J$2503,资金日记账!$G$4:$G$2503,$B266,资金日记账!$F$4:$F$2503,"成本-其他"),2))</f>
        <v/>
      </c>
      <c r="Q266" s="19">
        <f>IF($B266="","",ROUND(SUM($L266:$P266),2))</f>
        <v/>
      </c>
      <c r="R266" s="19">
        <f>IF($B266="","",ROUND($I266-$Q266,2))</f>
        <v/>
      </c>
      <c r="S266" s="33">
        <f>IF($B266="","",IF(ROUND($I266,2)=0,"",ROUND($R266/$I266,4)))</f>
        <v/>
      </c>
      <c r="T266" s="22">
        <f>IF($B266="","",IF($G266="",0,YEAR($G266)*100+MONTH($G266)))</f>
        <v/>
      </c>
      <c r="U266" s="17">
        <f>IF($B266="","",IF(项目台账!$R265="","",项目台账!$R265))</f>
        <v/>
      </c>
    </row>
    <row r="267">
      <c r="A267" s="17">
        <f>IF(项目台账!$B266="","",项目台账!$A266)</f>
        <v/>
      </c>
      <c r="B267" s="17">
        <f>IF(项目台账!$B266="","",项目台账!$B266)</f>
        <v/>
      </c>
      <c r="C267" s="17">
        <f>IF($B267="","",IF(项目台账!$C266="","",项目台账!$C266))</f>
        <v/>
      </c>
      <c r="D267" s="17">
        <f>IF($B267="","",IF(项目台账!$D266="","",项目台账!$D266))</f>
        <v/>
      </c>
      <c r="E267" s="17">
        <f>IF($B267="","",IF(项目台账!$E266="","",项目台账!$E266))</f>
        <v/>
      </c>
      <c r="F267" s="23">
        <f>IF($B267="","",IF(项目台账!$F266="","",项目台账!$F266))</f>
        <v/>
      </c>
      <c r="G267" s="23">
        <f>IF($B267="","",IF(项目台账!$J266="","",项目台账!$J266))</f>
        <v/>
      </c>
      <c r="H267" s="17">
        <f>IF($B267="","",IF(项目台账!$Q266="","",项目台账!$Q266))</f>
        <v/>
      </c>
      <c r="I267" s="19">
        <f>IF($B267="","",项目台账!$M266)</f>
        <v/>
      </c>
      <c r="J267" s="19">
        <f>IF($B267="","",项目台账!$O266)</f>
        <v/>
      </c>
      <c r="K267" s="19">
        <f>IF($B267="","",项目台账!$P266)</f>
        <v/>
      </c>
      <c r="L267" s="19">
        <f>IF($B267="","",ROUND(SUMIFS(采购单!$L$4:$L$2003,采购单!$D$4:$D$2003,$B267,采购单!$F$4:$F$2003,"成本-主材")+SUMIFS(生产安装!$J$4:$J$1203,生产安装!$C$4:$C$1203,$B267,生产安装!$E$4:$E$1203,"成本-主材")+SUMIFS(资金日记账!$K$4:$K$2503,资金日记账!$G$4:$G$2503,$B267,资金日记账!$F$4:$F$2503,"成本-主材")-SUMIFS(资金日记账!$J$4:$J$2503,资金日记账!$G$4:$G$2503,$B267,资金日记账!$F$4:$F$2503,"成本-主材"),2))</f>
        <v/>
      </c>
      <c r="M267" s="19">
        <f>IF($B267="","",ROUND(SUMIFS(采购单!$L$4:$L$2003,采购单!$D$4:$D$2003,$B267,采购单!$F$4:$F$2003,"成本-辅材")+SUMIFS(生产安装!$J$4:$J$1203,生产安装!$C$4:$C$1203,$B267,生产安装!$E$4:$E$1203,"成本-辅材")+SUMIFS(资金日记账!$K$4:$K$2503,资金日记账!$G$4:$G$2503,$B267,资金日记账!$F$4:$F$2503,"成本-辅材")-SUMIFS(资金日记账!$J$4:$J$2503,资金日记账!$G$4:$G$2503,$B267,资金日记账!$F$4:$F$2503,"成本-辅材"),2))</f>
        <v/>
      </c>
      <c r="N267" s="19">
        <f>IF($B267="","",ROUND(SUMIFS(采购单!$L$4:$L$2003,采购单!$D$4:$D$2003,$B267,采购单!$F$4:$F$2003,"成本-人工")+SUMIFS(生产安装!$J$4:$J$1203,生产安装!$C$4:$C$1203,$B267,生产安装!$E$4:$E$1203,"成本-人工")+SUMIFS(资金日记账!$K$4:$K$2503,资金日记账!$G$4:$G$2503,$B267,资金日记账!$F$4:$F$2503,"成本-人工")-SUMIFS(资金日记账!$J$4:$J$2503,资金日记账!$G$4:$G$2503,$B267,资金日记账!$F$4:$F$2503,"成本-人工"),2))</f>
        <v/>
      </c>
      <c r="O267" s="19">
        <f>IF($B267="","",ROUND(SUMIFS(采购单!$L$4:$L$2003,采购单!$D$4:$D$2003,$B267,采购单!$F$4:$F$2003,"成本-车运")+SUMIFS(生产安装!$J$4:$J$1203,生产安装!$C$4:$C$1203,$B267,生产安装!$E$4:$E$1203,"成本-车运")+SUMIFS(资金日记账!$K$4:$K$2503,资金日记账!$G$4:$G$2503,$B267,资金日记账!$F$4:$F$2503,"成本-车运")-SUMIFS(资金日记账!$J$4:$J$2503,资金日记账!$G$4:$G$2503,$B267,资金日记账!$F$4:$F$2503,"成本-车运"),2))</f>
        <v/>
      </c>
      <c r="P267" s="19">
        <f>IF($B267="","",ROUND(SUMIFS(采购单!$L$4:$L$2003,采购单!$D$4:$D$2003,$B267,采购单!$F$4:$F$2003,"成本-其他")+SUMIFS(生产安装!$J$4:$J$1203,生产安装!$C$4:$C$1203,$B267,生产安装!$E$4:$E$1203,"成本-其他")+SUMIFS(资金日记账!$K$4:$K$2503,资金日记账!$G$4:$G$2503,$B267,资金日记账!$F$4:$F$2503,"成本-其他")-SUMIFS(资金日记账!$J$4:$J$2503,资金日记账!$G$4:$G$2503,$B267,资金日记账!$F$4:$F$2503,"成本-其他"),2))</f>
        <v/>
      </c>
      <c r="Q267" s="19">
        <f>IF($B267="","",ROUND(SUM($L267:$P267),2))</f>
        <v/>
      </c>
      <c r="R267" s="19">
        <f>IF($B267="","",ROUND($I267-$Q267,2))</f>
        <v/>
      </c>
      <c r="S267" s="33">
        <f>IF($B267="","",IF(ROUND($I267,2)=0,"",ROUND($R267/$I267,4)))</f>
        <v/>
      </c>
      <c r="T267" s="22">
        <f>IF($B267="","",IF($G267="",0,YEAR($G267)*100+MONTH($G267)))</f>
        <v/>
      </c>
      <c r="U267" s="17">
        <f>IF($B267="","",IF(项目台账!$R266="","",项目台账!$R266))</f>
        <v/>
      </c>
    </row>
    <row r="268">
      <c r="A268" s="17">
        <f>IF(项目台账!$B267="","",项目台账!$A267)</f>
        <v/>
      </c>
      <c r="B268" s="17">
        <f>IF(项目台账!$B267="","",项目台账!$B267)</f>
        <v/>
      </c>
      <c r="C268" s="17">
        <f>IF($B268="","",IF(项目台账!$C267="","",项目台账!$C267))</f>
        <v/>
      </c>
      <c r="D268" s="17">
        <f>IF($B268="","",IF(项目台账!$D267="","",项目台账!$D267))</f>
        <v/>
      </c>
      <c r="E268" s="17">
        <f>IF($B268="","",IF(项目台账!$E267="","",项目台账!$E267))</f>
        <v/>
      </c>
      <c r="F268" s="23">
        <f>IF($B268="","",IF(项目台账!$F267="","",项目台账!$F267))</f>
        <v/>
      </c>
      <c r="G268" s="23">
        <f>IF($B268="","",IF(项目台账!$J267="","",项目台账!$J267))</f>
        <v/>
      </c>
      <c r="H268" s="17">
        <f>IF($B268="","",IF(项目台账!$Q267="","",项目台账!$Q267))</f>
        <v/>
      </c>
      <c r="I268" s="19">
        <f>IF($B268="","",项目台账!$M267)</f>
        <v/>
      </c>
      <c r="J268" s="19">
        <f>IF($B268="","",项目台账!$O267)</f>
        <v/>
      </c>
      <c r="K268" s="19">
        <f>IF($B268="","",项目台账!$P267)</f>
        <v/>
      </c>
      <c r="L268" s="19">
        <f>IF($B268="","",ROUND(SUMIFS(采购单!$L$4:$L$2003,采购单!$D$4:$D$2003,$B268,采购单!$F$4:$F$2003,"成本-主材")+SUMIFS(生产安装!$J$4:$J$1203,生产安装!$C$4:$C$1203,$B268,生产安装!$E$4:$E$1203,"成本-主材")+SUMIFS(资金日记账!$K$4:$K$2503,资金日记账!$G$4:$G$2503,$B268,资金日记账!$F$4:$F$2503,"成本-主材")-SUMIFS(资金日记账!$J$4:$J$2503,资金日记账!$G$4:$G$2503,$B268,资金日记账!$F$4:$F$2503,"成本-主材"),2))</f>
        <v/>
      </c>
      <c r="M268" s="19">
        <f>IF($B268="","",ROUND(SUMIFS(采购单!$L$4:$L$2003,采购单!$D$4:$D$2003,$B268,采购单!$F$4:$F$2003,"成本-辅材")+SUMIFS(生产安装!$J$4:$J$1203,生产安装!$C$4:$C$1203,$B268,生产安装!$E$4:$E$1203,"成本-辅材")+SUMIFS(资金日记账!$K$4:$K$2503,资金日记账!$G$4:$G$2503,$B268,资金日记账!$F$4:$F$2503,"成本-辅材")-SUMIFS(资金日记账!$J$4:$J$2503,资金日记账!$G$4:$G$2503,$B268,资金日记账!$F$4:$F$2503,"成本-辅材"),2))</f>
        <v/>
      </c>
      <c r="N268" s="19">
        <f>IF($B268="","",ROUND(SUMIFS(采购单!$L$4:$L$2003,采购单!$D$4:$D$2003,$B268,采购单!$F$4:$F$2003,"成本-人工")+SUMIFS(生产安装!$J$4:$J$1203,生产安装!$C$4:$C$1203,$B268,生产安装!$E$4:$E$1203,"成本-人工")+SUMIFS(资金日记账!$K$4:$K$2503,资金日记账!$G$4:$G$2503,$B268,资金日记账!$F$4:$F$2503,"成本-人工")-SUMIFS(资金日记账!$J$4:$J$2503,资金日记账!$G$4:$G$2503,$B268,资金日记账!$F$4:$F$2503,"成本-人工"),2))</f>
        <v/>
      </c>
      <c r="O268" s="19">
        <f>IF($B268="","",ROUND(SUMIFS(采购单!$L$4:$L$2003,采购单!$D$4:$D$2003,$B268,采购单!$F$4:$F$2003,"成本-车运")+SUMIFS(生产安装!$J$4:$J$1203,生产安装!$C$4:$C$1203,$B268,生产安装!$E$4:$E$1203,"成本-车运")+SUMIFS(资金日记账!$K$4:$K$2503,资金日记账!$G$4:$G$2503,$B268,资金日记账!$F$4:$F$2503,"成本-车运")-SUMIFS(资金日记账!$J$4:$J$2503,资金日记账!$G$4:$G$2503,$B268,资金日记账!$F$4:$F$2503,"成本-车运"),2))</f>
        <v/>
      </c>
      <c r="P268" s="19">
        <f>IF($B268="","",ROUND(SUMIFS(采购单!$L$4:$L$2003,采购单!$D$4:$D$2003,$B268,采购单!$F$4:$F$2003,"成本-其他")+SUMIFS(生产安装!$J$4:$J$1203,生产安装!$C$4:$C$1203,$B268,生产安装!$E$4:$E$1203,"成本-其他")+SUMIFS(资金日记账!$K$4:$K$2503,资金日记账!$G$4:$G$2503,$B268,资金日记账!$F$4:$F$2503,"成本-其他")-SUMIFS(资金日记账!$J$4:$J$2503,资金日记账!$G$4:$G$2503,$B268,资金日记账!$F$4:$F$2503,"成本-其他"),2))</f>
        <v/>
      </c>
      <c r="Q268" s="19">
        <f>IF($B268="","",ROUND(SUM($L268:$P268),2))</f>
        <v/>
      </c>
      <c r="R268" s="19">
        <f>IF($B268="","",ROUND($I268-$Q268,2))</f>
        <v/>
      </c>
      <c r="S268" s="33">
        <f>IF($B268="","",IF(ROUND($I268,2)=0,"",ROUND($R268/$I268,4)))</f>
        <v/>
      </c>
      <c r="T268" s="22">
        <f>IF($B268="","",IF($G268="",0,YEAR($G268)*100+MONTH($G268)))</f>
        <v/>
      </c>
      <c r="U268" s="17">
        <f>IF($B268="","",IF(项目台账!$R267="","",项目台账!$R267))</f>
        <v/>
      </c>
    </row>
    <row r="269">
      <c r="A269" s="17">
        <f>IF(项目台账!$B268="","",项目台账!$A268)</f>
        <v/>
      </c>
      <c r="B269" s="17">
        <f>IF(项目台账!$B268="","",项目台账!$B268)</f>
        <v/>
      </c>
      <c r="C269" s="17">
        <f>IF($B269="","",IF(项目台账!$C268="","",项目台账!$C268))</f>
        <v/>
      </c>
      <c r="D269" s="17">
        <f>IF($B269="","",IF(项目台账!$D268="","",项目台账!$D268))</f>
        <v/>
      </c>
      <c r="E269" s="17">
        <f>IF($B269="","",IF(项目台账!$E268="","",项目台账!$E268))</f>
        <v/>
      </c>
      <c r="F269" s="23">
        <f>IF($B269="","",IF(项目台账!$F268="","",项目台账!$F268))</f>
        <v/>
      </c>
      <c r="G269" s="23">
        <f>IF($B269="","",IF(项目台账!$J268="","",项目台账!$J268))</f>
        <v/>
      </c>
      <c r="H269" s="17">
        <f>IF($B269="","",IF(项目台账!$Q268="","",项目台账!$Q268))</f>
        <v/>
      </c>
      <c r="I269" s="19">
        <f>IF($B269="","",项目台账!$M268)</f>
        <v/>
      </c>
      <c r="J269" s="19">
        <f>IF($B269="","",项目台账!$O268)</f>
        <v/>
      </c>
      <c r="K269" s="19">
        <f>IF($B269="","",项目台账!$P268)</f>
        <v/>
      </c>
      <c r="L269" s="19">
        <f>IF($B269="","",ROUND(SUMIFS(采购单!$L$4:$L$2003,采购单!$D$4:$D$2003,$B269,采购单!$F$4:$F$2003,"成本-主材")+SUMIFS(生产安装!$J$4:$J$1203,生产安装!$C$4:$C$1203,$B269,生产安装!$E$4:$E$1203,"成本-主材")+SUMIFS(资金日记账!$K$4:$K$2503,资金日记账!$G$4:$G$2503,$B269,资金日记账!$F$4:$F$2503,"成本-主材")-SUMIFS(资金日记账!$J$4:$J$2503,资金日记账!$G$4:$G$2503,$B269,资金日记账!$F$4:$F$2503,"成本-主材"),2))</f>
        <v/>
      </c>
      <c r="M269" s="19">
        <f>IF($B269="","",ROUND(SUMIFS(采购单!$L$4:$L$2003,采购单!$D$4:$D$2003,$B269,采购单!$F$4:$F$2003,"成本-辅材")+SUMIFS(生产安装!$J$4:$J$1203,生产安装!$C$4:$C$1203,$B269,生产安装!$E$4:$E$1203,"成本-辅材")+SUMIFS(资金日记账!$K$4:$K$2503,资金日记账!$G$4:$G$2503,$B269,资金日记账!$F$4:$F$2503,"成本-辅材")-SUMIFS(资金日记账!$J$4:$J$2503,资金日记账!$G$4:$G$2503,$B269,资金日记账!$F$4:$F$2503,"成本-辅材"),2))</f>
        <v/>
      </c>
      <c r="N269" s="19">
        <f>IF($B269="","",ROUND(SUMIFS(采购单!$L$4:$L$2003,采购单!$D$4:$D$2003,$B269,采购单!$F$4:$F$2003,"成本-人工")+SUMIFS(生产安装!$J$4:$J$1203,生产安装!$C$4:$C$1203,$B269,生产安装!$E$4:$E$1203,"成本-人工")+SUMIFS(资金日记账!$K$4:$K$2503,资金日记账!$G$4:$G$2503,$B269,资金日记账!$F$4:$F$2503,"成本-人工")-SUMIFS(资金日记账!$J$4:$J$2503,资金日记账!$G$4:$G$2503,$B269,资金日记账!$F$4:$F$2503,"成本-人工"),2))</f>
        <v/>
      </c>
      <c r="O269" s="19">
        <f>IF($B269="","",ROUND(SUMIFS(采购单!$L$4:$L$2003,采购单!$D$4:$D$2003,$B269,采购单!$F$4:$F$2003,"成本-车运")+SUMIFS(生产安装!$J$4:$J$1203,生产安装!$C$4:$C$1203,$B269,生产安装!$E$4:$E$1203,"成本-车运")+SUMIFS(资金日记账!$K$4:$K$2503,资金日记账!$G$4:$G$2503,$B269,资金日记账!$F$4:$F$2503,"成本-车运")-SUMIFS(资金日记账!$J$4:$J$2503,资金日记账!$G$4:$G$2503,$B269,资金日记账!$F$4:$F$2503,"成本-车运"),2))</f>
        <v/>
      </c>
      <c r="P269" s="19">
        <f>IF($B269="","",ROUND(SUMIFS(采购单!$L$4:$L$2003,采购单!$D$4:$D$2003,$B269,采购单!$F$4:$F$2003,"成本-其他")+SUMIFS(生产安装!$J$4:$J$1203,生产安装!$C$4:$C$1203,$B269,生产安装!$E$4:$E$1203,"成本-其他")+SUMIFS(资金日记账!$K$4:$K$2503,资金日记账!$G$4:$G$2503,$B269,资金日记账!$F$4:$F$2503,"成本-其他")-SUMIFS(资金日记账!$J$4:$J$2503,资金日记账!$G$4:$G$2503,$B269,资金日记账!$F$4:$F$2503,"成本-其他"),2))</f>
        <v/>
      </c>
      <c r="Q269" s="19">
        <f>IF($B269="","",ROUND(SUM($L269:$P269),2))</f>
        <v/>
      </c>
      <c r="R269" s="19">
        <f>IF($B269="","",ROUND($I269-$Q269,2))</f>
        <v/>
      </c>
      <c r="S269" s="33">
        <f>IF($B269="","",IF(ROUND($I269,2)=0,"",ROUND($R269/$I269,4)))</f>
        <v/>
      </c>
      <c r="T269" s="22">
        <f>IF($B269="","",IF($G269="",0,YEAR($G269)*100+MONTH($G269)))</f>
        <v/>
      </c>
      <c r="U269" s="17">
        <f>IF($B269="","",IF(项目台账!$R268="","",项目台账!$R268))</f>
        <v/>
      </c>
    </row>
    <row r="270">
      <c r="A270" s="17">
        <f>IF(项目台账!$B269="","",项目台账!$A269)</f>
        <v/>
      </c>
      <c r="B270" s="17">
        <f>IF(项目台账!$B269="","",项目台账!$B269)</f>
        <v/>
      </c>
      <c r="C270" s="17">
        <f>IF($B270="","",IF(项目台账!$C269="","",项目台账!$C269))</f>
        <v/>
      </c>
      <c r="D270" s="17">
        <f>IF($B270="","",IF(项目台账!$D269="","",项目台账!$D269))</f>
        <v/>
      </c>
      <c r="E270" s="17">
        <f>IF($B270="","",IF(项目台账!$E269="","",项目台账!$E269))</f>
        <v/>
      </c>
      <c r="F270" s="23">
        <f>IF($B270="","",IF(项目台账!$F269="","",项目台账!$F269))</f>
        <v/>
      </c>
      <c r="G270" s="23">
        <f>IF($B270="","",IF(项目台账!$J269="","",项目台账!$J269))</f>
        <v/>
      </c>
      <c r="H270" s="17">
        <f>IF($B270="","",IF(项目台账!$Q269="","",项目台账!$Q269))</f>
        <v/>
      </c>
      <c r="I270" s="19">
        <f>IF($B270="","",项目台账!$M269)</f>
        <v/>
      </c>
      <c r="J270" s="19">
        <f>IF($B270="","",项目台账!$O269)</f>
        <v/>
      </c>
      <c r="K270" s="19">
        <f>IF($B270="","",项目台账!$P269)</f>
        <v/>
      </c>
      <c r="L270" s="19">
        <f>IF($B270="","",ROUND(SUMIFS(采购单!$L$4:$L$2003,采购单!$D$4:$D$2003,$B270,采购单!$F$4:$F$2003,"成本-主材")+SUMIFS(生产安装!$J$4:$J$1203,生产安装!$C$4:$C$1203,$B270,生产安装!$E$4:$E$1203,"成本-主材")+SUMIFS(资金日记账!$K$4:$K$2503,资金日记账!$G$4:$G$2503,$B270,资金日记账!$F$4:$F$2503,"成本-主材")-SUMIFS(资金日记账!$J$4:$J$2503,资金日记账!$G$4:$G$2503,$B270,资金日记账!$F$4:$F$2503,"成本-主材"),2))</f>
        <v/>
      </c>
      <c r="M270" s="19">
        <f>IF($B270="","",ROUND(SUMIFS(采购单!$L$4:$L$2003,采购单!$D$4:$D$2003,$B270,采购单!$F$4:$F$2003,"成本-辅材")+SUMIFS(生产安装!$J$4:$J$1203,生产安装!$C$4:$C$1203,$B270,生产安装!$E$4:$E$1203,"成本-辅材")+SUMIFS(资金日记账!$K$4:$K$2503,资金日记账!$G$4:$G$2503,$B270,资金日记账!$F$4:$F$2503,"成本-辅材")-SUMIFS(资金日记账!$J$4:$J$2503,资金日记账!$G$4:$G$2503,$B270,资金日记账!$F$4:$F$2503,"成本-辅材"),2))</f>
        <v/>
      </c>
      <c r="N270" s="19">
        <f>IF($B270="","",ROUND(SUMIFS(采购单!$L$4:$L$2003,采购单!$D$4:$D$2003,$B270,采购单!$F$4:$F$2003,"成本-人工")+SUMIFS(生产安装!$J$4:$J$1203,生产安装!$C$4:$C$1203,$B270,生产安装!$E$4:$E$1203,"成本-人工")+SUMIFS(资金日记账!$K$4:$K$2503,资金日记账!$G$4:$G$2503,$B270,资金日记账!$F$4:$F$2503,"成本-人工")-SUMIFS(资金日记账!$J$4:$J$2503,资金日记账!$G$4:$G$2503,$B270,资金日记账!$F$4:$F$2503,"成本-人工"),2))</f>
        <v/>
      </c>
      <c r="O270" s="19">
        <f>IF($B270="","",ROUND(SUMIFS(采购单!$L$4:$L$2003,采购单!$D$4:$D$2003,$B270,采购单!$F$4:$F$2003,"成本-车运")+SUMIFS(生产安装!$J$4:$J$1203,生产安装!$C$4:$C$1203,$B270,生产安装!$E$4:$E$1203,"成本-车运")+SUMIFS(资金日记账!$K$4:$K$2503,资金日记账!$G$4:$G$2503,$B270,资金日记账!$F$4:$F$2503,"成本-车运")-SUMIFS(资金日记账!$J$4:$J$2503,资金日记账!$G$4:$G$2503,$B270,资金日记账!$F$4:$F$2503,"成本-车运"),2))</f>
        <v/>
      </c>
      <c r="P270" s="19">
        <f>IF($B270="","",ROUND(SUMIFS(采购单!$L$4:$L$2003,采购单!$D$4:$D$2003,$B270,采购单!$F$4:$F$2003,"成本-其他")+SUMIFS(生产安装!$J$4:$J$1203,生产安装!$C$4:$C$1203,$B270,生产安装!$E$4:$E$1203,"成本-其他")+SUMIFS(资金日记账!$K$4:$K$2503,资金日记账!$G$4:$G$2503,$B270,资金日记账!$F$4:$F$2503,"成本-其他")-SUMIFS(资金日记账!$J$4:$J$2503,资金日记账!$G$4:$G$2503,$B270,资金日记账!$F$4:$F$2503,"成本-其他"),2))</f>
        <v/>
      </c>
      <c r="Q270" s="19">
        <f>IF($B270="","",ROUND(SUM($L270:$P270),2))</f>
        <v/>
      </c>
      <c r="R270" s="19">
        <f>IF($B270="","",ROUND($I270-$Q270,2))</f>
        <v/>
      </c>
      <c r="S270" s="33">
        <f>IF($B270="","",IF(ROUND($I270,2)=0,"",ROUND($R270/$I270,4)))</f>
        <v/>
      </c>
      <c r="T270" s="22">
        <f>IF($B270="","",IF($G270="",0,YEAR($G270)*100+MONTH($G270)))</f>
        <v/>
      </c>
      <c r="U270" s="17">
        <f>IF($B270="","",IF(项目台账!$R269="","",项目台账!$R269))</f>
        <v/>
      </c>
    </row>
    <row r="271">
      <c r="A271" s="17">
        <f>IF(项目台账!$B270="","",项目台账!$A270)</f>
        <v/>
      </c>
      <c r="B271" s="17">
        <f>IF(项目台账!$B270="","",项目台账!$B270)</f>
        <v/>
      </c>
      <c r="C271" s="17">
        <f>IF($B271="","",IF(项目台账!$C270="","",项目台账!$C270))</f>
        <v/>
      </c>
      <c r="D271" s="17">
        <f>IF($B271="","",IF(项目台账!$D270="","",项目台账!$D270))</f>
        <v/>
      </c>
      <c r="E271" s="17">
        <f>IF($B271="","",IF(项目台账!$E270="","",项目台账!$E270))</f>
        <v/>
      </c>
      <c r="F271" s="23">
        <f>IF($B271="","",IF(项目台账!$F270="","",项目台账!$F270))</f>
        <v/>
      </c>
      <c r="G271" s="23">
        <f>IF($B271="","",IF(项目台账!$J270="","",项目台账!$J270))</f>
        <v/>
      </c>
      <c r="H271" s="17">
        <f>IF($B271="","",IF(项目台账!$Q270="","",项目台账!$Q270))</f>
        <v/>
      </c>
      <c r="I271" s="19">
        <f>IF($B271="","",项目台账!$M270)</f>
        <v/>
      </c>
      <c r="J271" s="19">
        <f>IF($B271="","",项目台账!$O270)</f>
        <v/>
      </c>
      <c r="K271" s="19">
        <f>IF($B271="","",项目台账!$P270)</f>
        <v/>
      </c>
      <c r="L271" s="19">
        <f>IF($B271="","",ROUND(SUMIFS(采购单!$L$4:$L$2003,采购单!$D$4:$D$2003,$B271,采购单!$F$4:$F$2003,"成本-主材")+SUMIFS(生产安装!$J$4:$J$1203,生产安装!$C$4:$C$1203,$B271,生产安装!$E$4:$E$1203,"成本-主材")+SUMIFS(资金日记账!$K$4:$K$2503,资金日记账!$G$4:$G$2503,$B271,资金日记账!$F$4:$F$2503,"成本-主材")-SUMIFS(资金日记账!$J$4:$J$2503,资金日记账!$G$4:$G$2503,$B271,资金日记账!$F$4:$F$2503,"成本-主材"),2))</f>
        <v/>
      </c>
      <c r="M271" s="19">
        <f>IF($B271="","",ROUND(SUMIFS(采购单!$L$4:$L$2003,采购单!$D$4:$D$2003,$B271,采购单!$F$4:$F$2003,"成本-辅材")+SUMIFS(生产安装!$J$4:$J$1203,生产安装!$C$4:$C$1203,$B271,生产安装!$E$4:$E$1203,"成本-辅材")+SUMIFS(资金日记账!$K$4:$K$2503,资金日记账!$G$4:$G$2503,$B271,资金日记账!$F$4:$F$2503,"成本-辅材")-SUMIFS(资金日记账!$J$4:$J$2503,资金日记账!$G$4:$G$2503,$B271,资金日记账!$F$4:$F$2503,"成本-辅材"),2))</f>
        <v/>
      </c>
      <c r="N271" s="19">
        <f>IF($B271="","",ROUND(SUMIFS(采购单!$L$4:$L$2003,采购单!$D$4:$D$2003,$B271,采购单!$F$4:$F$2003,"成本-人工")+SUMIFS(生产安装!$J$4:$J$1203,生产安装!$C$4:$C$1203,$B271,生产安装!$E$4:$E$1203,"成本-人工")+SUMIFS(资金日记账!$K$4:$K$2503,资金日记账!$G$4:$G$2503,$B271,资金日记账!$F$4:$F$2503,"成本-人工")-SUMIFS(资金日记账!$J$4:$J$2503,资金日记账!$G$4:$G$2503,$B271,资金日记账!$F$4:$F$2503,"成本-人工"),2))</f>
        <v/>
      </c>
      <c r="O271" s="19">
        <f>IF($B271="","",ROUND(SUMIFS(采购单!$L$4:$L$2003,采购单!$D$4:$D$2003,$B271,采购单!$F$4:$F$2003,"成本-车运")+SUMIFS(生产安装!$J$4:$J$1203,生产安装!$C$4:$C$1203,$B271,生产安装!$E$4:$E$1203,"成本-车运")+SUMIFS(资金日记账!$K$4:$K$2503,资金日记账!$G$4:$G$2503,$B271,资金日记账!$F$4:$F$2503,"成本-车运")-SUMIFS(资金日记账!$J$4:$J$2503,资金日记账!$G$4:$G$2503,$B271,资金日记账!$F$4:$F$2503,"成本-车运"),2))</f>
        <v/>
      </c>
      <c r="P271" s="19">
        <f>IF($B271="","",ROUND(SUMIFS(采购单!$L$4:$L$2003,采购单!$D$4:$D$2003,$B271,采购单!$F$4:$F$2003,"成本-其他")+SUMIFS(生产安装!$J$4:$J$1203,生产安装!$C$4:$C$1203,$B271,生产安装!$E$4:$E$1203,"成本-其他")+SUMIFS(资金日记账!$K$4:$K$2503,资金日记账!$G$4:$G$2503,$B271,资金日记账!$F$4:$F$2503,"成本-其他")-SUMIFS(资金日记账!$J$4:$J$2503,资金日记账!$G$4:$G$2503,$B271,资金日记账!$F$4:$F$2503,"成本-其他"),2))</f>
        <v/>
      </c>
      <c r="Q271" s="19">
        <f>IF($B271="","",ROUND(SUM($L271:$P271),2))</f>
        <v/>
      </c>
      <c r="R271" s="19">
        <f>IF($B271="","",ROUND($I271-$Q271,2))</f>
        <v/>
      </c>
      <c r="S271" s="33">
        <f>IF($B271="","",IF(ROUND($I271,2)=0,"",ROUND($R271/$I271,4)))</f>
        <v/>
      </c>
      <c r="T271" s="22">
        <f>IF($B271="","",IF($G271="",0,YEAR($G271)*100+MONTH($G271)))</f>
        <v/>
      </c>
      <c r="U271" s="17">
        <f>IF($B271="","",IF(项目台账!$R270="","",项目台账!$R270))</f>
        <v/>
      </c>
    </row>
    <row r="272">
      <c r="A272" s="17">
        <f>IF(项目台账!$B271="","",项目台账!$A271)</f>
        <v/>
      </c>
      <c r="B272" s="17">
        <f>IF(项目台账!$B271="","",项目台账!$B271)</f>
        <v/>
      </c>
      <c r="C272" s="17">
        <f>IF($B272="","",IF(项目台账!$C271="","",项目台账!$C271))</f>
        <v/>
      </c>
      <c r="D272" s="17">
        <f>IF($B272="","",IF(项目台账!$D271="","",项目台账!$D271))</f>
        <v/>
      </c>
      <c r="E272" s="17">
        <f>IF($B272="","",IF(项目台账!$E271="","",项目台账!$E271))</f>
        <v/>
      </c>
      <c r="F272" s="23">
        <f>IF($B272="","",IF(项目台账!$F271="","",项目台账!$F271))</f>
        <v/>
      </c>
      <c r="G272" s="23">
        <f>IF($B272="","",IF(项目台账!$J271="","",项目台账!$J271))</f>
        <v/>
      </c>
      <c r="H272" s="17">
        <f>IF($B272="","",IF(项目台账!$Q271="","",项目台账!$Q271))</f>
        <v/>
      </c>
      <c r="I272" s="19">
        <f>IF($B272="","",项目台账!$M271)</f>
        <v/>
      </c>
      <c r="J272" s="19">
        <f>IF($B272="","",项目台账!$O271)</f>
        <v/>
      </c>
      <c r="K272" s="19">
        <f>IF($B272="","",项目台账!$P271)</f>
        <v/>
      </c>
      <c r="L272" s="19">
        <f>IF($B272="","",ROUND(SUMIFS(采购单!$L$4:$L$2003,采购单!$D$4:$D$2003,$B272,采购单!$F$4:$F$2003,"成本-主材")+SUMIFS(生产安装!$J$4:$J$1203,生产安装!$C$4:$C$1203,$B272,生产安装!$E$4:$E$1203,"成本-主材")+SUMIFS(资金日记账!$K$4:$K$2503,资金日记账!$G$4:$G$2503,$B272,资金日记账!$F$4:$F$2503,"成本-主材")-SUMIFS(资金日记账!$J$4:$J$2503,资金日记账!$G$4:$G$2503,$B272,资金日记账!$F$4:$F$2503,"成本-主材"),2))</f>
        <v/>
      </c>
      <c r="M272" s="19">
        <f>IF($B272="","",ROUND(SUMIFS(采购单!$L$4:$L$2003,采购单!$D$4:$D$2003,$B272,采购单!$F$4:$F$2003,"成本-辅材")+SUMIFS(生产安装!$J$4:$J$1203,生产安装!$C$4:$C$1203,$B272,生产安装!$E$4:$E$1203,"成本-辅材")+SUMIFS(资金日记账!$K$4:$K$2503,资金日记账!$G$4:$G$2503,$B272,资金日记账!$F$4:$F$2503,"成本-辅材")-SUMIFS(资金日记账!$J$4:$J$2503,资金日记账!$G$4:$G$2503,$B272,资金日记账!$F$4:$F$2503,"成本-辅材"),2))</f>
        <v/>
      </c>
      <c r="N272" s="19">
        <f>IF($B272="","",ROUND(SUMIFS(采购单!$L$4:$L$2003,采购单!$D$4:$D$2003,$B272,采购单!$F$4:$F$2003,"成本-人工")+SUMIFS(生产安装!$J$4:$J$1203,生产安装!$C$4:$C$1203,$B272,生产安装!$E$4:$E$1203,"成本-人工")+SUMIFS(资金日记账!$K$4:$K$2503,资金日记账!$G$4:$G$2503,$B272,资金日记账!$F$4:$F$2503,"成本-人工")-SUMIFS(资金日记账!$J$4:$J$2503,资金日记账!$G$4:$G$2503,$B272,资金日记账!$F$4:$F$2503,"成本-人工"),2))</f>
        <v/>
      </c>
      <c r="O272" s="19">
        <f>IF($B272="","",ROUND(SUMIFS(采购单!$L$4:$L$2003,采购单!$D$4:$D$2003,$B272,采购单!$F$4:$F$2003,"成本-车运")+SUMIFS(生产安装!$J$4:$J$1203,生产安装!$C$4:$C$1203,$B272,生产安装!$E$4:$E$1203,"成本-车运")+SUMIFS(资金日记账!$K$4:$K$2503,资金日记账!$G$4:$G$2503,$B272,资金日记账!$F$4:$F$2503,"成本-车运")-SUMIFS(资金日记账!$J$4:$J$2503,资金日记账!$G$4:$G$2503,$B272,资金日记账!$F$4:$F$2503,"成本-车运"),2))</f>
        <v/>
      </c>
      <c r="P272" s="19">
        <f>IF($B272="","",ROUND(SUMIFS(采购单!$L$4:$L$2003,采购单!$D$4:$D$2003,$B272,采购单!$F$4:$F$2003,"成本-其他")+SUMIFS(生产安装!$J$4:$J$1203,生产安装!$C$4:$C$1203,$B272,生产安装!$E$4:$E$1203,"成本-其他")+SUMIFS(资金日记账!$K$4:$K$2503,资金日记账!$G$4:$G$2503,$B272,资金日记账!$F$4:$F$2503,"成本-其他")-SUMIFS(资金日记账!$J$4:$J$2503,资金日记账!$G$4:$G$2503,$B272,资金日记账!$F$4:$F$2503,"成本-其他"),2))</f>
        <v/>
      </c>
      <c r="Q272" s="19">
        <f>IF($B272="","",ROUND(SUM($L272:$P272),2))</f>
        <v/>
      </c>
      <c r="R272" s="19">
        <f>IF($B272="","",ROUND($I272-$Q272,2))</f>
        <v/>
      </c>
      <c r="S272" s="33">
        <f>IF($B272="","",IF(ROUND($I272,2)=0,"",ROUND($R272/$I272,4)))</f>
        <v/>
      </c>
      <c r="T272" s="22">
        <f>IF($B272="","",IF($G272="",0,YEAR($G272)*100+MONTH($G272)))</f>
        <v/>
      </c>
      <c r="U272" s="17">
        <f>IF($B272="","",IF(项目台账!$R271="","",项目台账!$R271))</f>
        <v/>
      </c>
    </row>
    <row r="273">
      <c r="A273" s="17">
        <f>IF(项目台账!$B272="","",项目台账!$A272)</f>
        <v/>
      </c>
      <c r="B273" s="17">
        <f>IF(项目台账!$B272="","",项目台账!$B272)</f>
        <v/>
      </c>
      <c r="C273" s="17">
        <f>IF($B273="","",IF(项目台账!$C272="","",项目台账!$C272))</f>
        <v/>
      </c>
      <c r="D273" s="17">
        <f>IF($B273="","",IF(项目台账!$D272="","",项目台账!$D272))</f>
        <v/>
      </c>
      <c r="E273" s="17">
        <f>IF($B273="","",IF(项目台账!$E272="","",项目台账!$E272))</f>
        <v/>
      </c>
      <c r="F273" s="23">
        <f>IF($B273="","",IF(项目台账!$F272="","",项目台账!$F272))</f>
        <v/>
      </c>
      <c r="G273" s="23">
        <f>IF($B273="","",IF(项目台账!$J272="","",项目台账!$J272))</f>
        <v/>
      </c>
      <c r="H273" s="17">
        <f>IF($B273="","",IF(项目台账!$Q272="","",项目台账!$Q272))</f>
        <v/>
      </c>
      <c r="I273" s="19">
        <f>IF($B273="","",项目台账!$M272)</f>
        <v/>
      </c>
      <c r="J273" s="19">
        <f>IF($B273="","",项目台账!$O272)</f>
        <v/>
      </c>
      <c r="K273" s="19">
        <f>IF($B273="","",项目台账!$P272)</f>
        <v/>
      </c>
      <c r="L273" s="19">
        <f>IF($B273="","",ROUND(SUMIFS(采购单!$L$4:$L$2003,采购单!$D$4:$D$2003,$B273,采购单!$F$4:$F$2003,"成本-主材")+SUMIFS(生产安装!$J$4:$J$1203,生产安装!$C$4:$C$1203,$B273,生产安装!$E$4:$E$1203,"成本-主材")+SUMIFS(资金日记账!$K$4:$K$2503,资金日记账!$G$4:$G$2503,$B273,资金日记账!$F$4:$F$2503,"成本-主材")-SUMIFS(资金日记账!$J$4:$J$2503,资金日记账!$G$4:$G$2503,$B273,资金日记账!$F$4:$F$2503,"成本-主材"),2))</f>
        <v/>
      </c>
      <c r="M273" s="19">
        <f>IF($B273="","",ROUND(SUMIFS(采购单!$L$4:$L$2003,采购单!$D$4:$D$2003,$B273,采购单!$F$4:$F$2003,"成本-辅材")+SUMIFS(生产安装!$J$4:$J$1203,生产安装!$C$4:$C$1203,$B273,生产安装!$E$4:$E$1203,"成本-辅材")+SUMIFS(资金日记账!$K$4:$K$2503,资金日记账!$G$4:$G$2503,$B273,资金日记账!$F$4:$F$2503,"成本-辅材")-SUMIFS(资金日记账!$J$4:$J$2503,资金日记账!$G$4:$G$2503,$B273,资金日记账!$F$4:$F$2503,"成本-辅材"),2))</f>
        <v/>
      </c>
      <c r="N273" s="19">
        <f>IF($B273="","",ROUND(SUMIFS(采购单!$L$4:$L$2003,采购单!$D$4:$D$2003,$B273,采购单!$F$4:$F$2003,"成本-人工")+SUMIFS(生产安装!$J$4:$J$1203,生产安装!$C$4:$C$1203,$B273,生产安装!$E$4:$E$1203,"成本-人工")+SUMIFS(资金日记账!$K$4:$K$2503,资金日记账!$G$4:$G$2503,$B273,资金日记账!$F$4:$F$2503,"成本-人工")-SUMIFS(资金日记账!$J$4:$J$2503,资金日记账!$G$4:$G$2503,$B273,资金日记账!$F$4:$F$2503,"成本-人工"),2))</f>
        <v/>
      </c>
      <c r="O273" s="19">
        <f>IF($B273="","",ROUND(SUMIFS(采购单!$L$4:$L$2003,采购单!$D$4:$D$2003,$B273,采购单!$F$4:$F$2003,"成本-车运")+SUMIFS(生产安装!$J$4:$J$1203,生产安装!$C$4:$C$1203,$B273,生产安装!$E$4:$E$1203,"成本-车运")+SUMIFS(资金日记账!$K$4:$K$2503,资金日记账!$G$4:$G$2503,$B273,资金日记账!$F$4:$F$2503,"成本-车运")-SUMIFS(资金日记账!$J$4:$J$2503,资金日记账!$G$4:$G$2503,$B273,资金日记账!$F$4:$F$2503,"成本-车运"),2))</f>
        <v/>
      </c>
      <c r="P273" s="19">
        <f>IF($B273="","",ROUND(SUMIFS(采购单!$L$4:$L$2003,采购单!$D$4:$D$2003,$B273,采购单!$F$4:$F$2003,"成本-其他")+SUMIFS(生产安装!$J$4:$J$1203,生产安装!$C$4:$C$1203,$B273,生产安装!$E$4:$E$1203,"成本-其他")+SUMIFS(资金日记账!$K$4:$K$2503,资金日记账!$G$4:$G$2503,$B273,资金日记账!$F$4:$F$2503,"成本-其他")-SUMIFS(资金日记账!$J$4:$J$2503,资金日记账!$G$4:$G$2503,$B273,资金日记账!$F$4:$F$2503,"成本-其他"),2))</f>
        <v/>
      </c>
      <c r="Q273" s="19">
        <f>IF($B273="","",ROUND(SUM($L273:$P273),2))</f>
        <v/>
      </c>
      <c r="R273" s="19">
        <f>IF($B273="","",ROUND($I273-$Q273,2))</f>
        <v/>
      </c>
      <c r="S273" s="33">
        <f>IF($B273="","",IF(ROUND($I273,2)=0,"",ROUND($R273/$I273,4)))</f>
        <v/>
      </c>
      <c r="T273" s="22">
        <f>IF($B273="","",IF($G273="",0,YEAR($G273)*100+MONTH($G273)))</f>
        <v/>
      </c>
      <c r="U273" s="17">
        <f>IF($B273="","",IF(项目台账!$R272="","",项目台账!$R272))</f>
        <v/>
      </c>
    </row>
    <row r="274">
      <c r="A274" s="17">
        <f>IF(项目台账!$B273="","",项目台账!$A273)</f>
        <v/>
      </c>
      <c r="B274" s="17">
        <f>IF(项目台账!$B273="","",项目台账!$B273)</f>
        <v/>
      </c>
      <c r="C274" s="17">
        <f>IF($B274="","",IF(项目台账!$C273="","",项目台账!$C273))</f>
        <v/>
      </c>
      <c r="D274" s="17">
        <f>IF($B274="","",IF(项目台账!$D273="","",项目台账!$D273))</f>
        <v/>
      </c>
      <c r="E274" s="17">
        <f>IF($B274="","",IF(项目台账!$E273="","",项目台账!$E273))</f>
        <v/>
      </c>
      <c r="F274" s="23">
        <f>IF($B274="","",IF(项目台账!$F273="","",项目台账!$F273))</f>
        <v/>
      </c>
      <c r="G274" s="23">
        <f>IF($B274="","",IF(项目台账!$J273="","",项目台账!$J273))</f>
        <v/>
      </c>
      <c r="H274" s="17">
        <f>IF($B274="","",IF(项目台账!$Q273="","",项目台账!$Q273))</f>
        <v/>
      </c>
      <c r="I274" s="19">
        <f>IF($B274="","",项目台账!$M273)</f>
        <v/>
      </c>
      <c r="J274" s="19">
        <f>IF($B274="","",项目台账!$O273)</f>
        <v/>
      </c>
      <c r="K274" s="19">
        <f>IF($B274="","",项目台账!$P273)</f>
        <v/>
      </c>
      <c r="L274" s="19">
        <f>IF($B274="","",ROUND(SUMIFS(采购单!$L$4:$L$2003,采购单!$D$4:$D$2003,$B274,采购单!$F$4:$F$2003,"成本-主材")+SUMIFS(生产安装!$J$4:$J$1203,生产安装!$C$4:$C$1203,$B274,生产安装!$E$4:$E$1203,"成本-主材")+SUMIFS(资金日记账!$K$4:$K$2503,资金日记账!$G$4:$G$2503,$B274,资金日记账!$F$4:$F$2503,"成本-主材")-SUMIFS(资金日记账!$J$4:$J$2503,资金日记账!$G$4:$G$2503,$B274,资金日记账!$F$4:$F$2503,"成本-主材"),2))</f>
        <v/>
      </c>
      <c r="M274" s="19">
        <f>IF($B274="","",ROUND(SUMIFS(采购单!$L$4:$L$2003,采购单!$D$4:$D$2003,$B274,采购单!$F$4:$F$2003,"成本-辅材")+SUMIFS(生产安装!$J$4:$J$1203,生产安装!$C$4:$C$1203,$B274,生产安装!$E$4:$E$1203,"成本-辅材")+SUMIFS(资金日记账!$K$4:$K$2503,资金日记账!$G$4:$G$2503,$B274,资金日记账!$F$4:$F$2503,"成本-辅材")-SUMIFS(资金日记账!$J$4:$J$2503,资金日记账!$G$4:$G$2503,$B274,资金日记账!$F$4:$F$2503,"成本-辅材"),2))</f>
        <v/>
      </c>
      <c r="N274" s="19">
        <f>IF($B274="","",ROUND(SUMIFS(采购单!$L$4:$L$2003,采购单!$D$4:$D$2003,$B274,采购单!$F$4:$F$2003,"成本-人工")+SUMIFS(生产安装!$J$4:$J$1203,生产安装!$C$4:$C$1203,$B274,生产安装!$E$4:$E$1203,"成本-人工")+SUMIFS(资金日记账!$K$4:$K$2503,资金日记账!$G$4:$G$2503,$B274,资金日记账!$F$4:$F$2503,"成本-人工")-SUMIFS(资金日记账!$J$4:$J$2503,资金日记账!$G$4:$G$2503,$B274,资金日记账!$F$4:$F$2503,"成本-人工"),2))</f>
        <v/>
      </c>
      <c r="O274" s="19">
        <f>IF($B274="","",ROUND(SUMIFS(采购单!$L$4:$L$2003,采购单!$D$4:$D$2003,$B274,采购单!$F$4:$F$2003,"成本-车运")+SUMIFS(生产安装!$J$4:$J$1203,生产安装!$C$4:$C$1203,$B274,生产安装!$E$4:$E$1203,"成本-车运")+SUMIFS(资金日记账!$K$4:$K$2503,资金日记账!$G$4:$G$2503,$B274,资金日记账!$F$4:$F$2503,"成本-车运")-SUMIFS(资金日记账!$J$4:$J$2503,资金日记账!$G$4:$G$2503,$B274,资金日记账!$F$4:$F$2503,"成本-车运"),2))</f>
        <v/>
      </c>
      <c r="P274" s="19">
        <f>IF($B274="","",ROUND(SUMIFS(采购单!$L$4:$L$2003,采购单!$D$4:$D$2003,$B274,采购单!$F$4:$F$2003,"成本-其他")+SUMIFS(生产安装!$J$4:$J$1203,生产安装!$C$4:$C$1203,$B274,生产安装!$E$4:$E$1203,"成本-其他")+SUMIFS(资金日记账!$K$4:$K$2503,资金日记账!$G$4:$G$2503,$B274,资金日记账!$F$4:$F$2503,"成本-其他")-SUMIFS(资金日记账!$J$4:$J$2503,资金日记账!$G$4:$G$2503,$B274,资金日记账!$F$4:$F$2503,"成本-其他"),2))</f>
        <v/>
      </c>
      <c r="Q274" s="19">
        <f>IF($B274="","",ROUND(SUM($L274:$P274),2))</f>
        <v/>
      </c>
      <c r="R274" s="19">
        <f>IF($B274="","",ROUND($I274-$Q274,2))</f>
        <v/>
      </c>
      <c r="S274" s="33">
        <f>IF($B274="","",IF(ROUND($I274,2)=0,"",ROUND($R274/$I274,4)))</f>
        <v/>
      </c>
      <c r="T274" s="22">
        <f>IF($B274="","",IF($G274="",0,YEAR($G274)*100+MONTH($G274)))</f>
        <v/>
      </c>
      <c r="U274" s="17">
        <f>IF($B274="","",IF(项目台账!$R273="","",项目台账!$R273))</f>
        <v/>
      </c>
    </row>
    <row r="275">
      <c r="A275" s="17">
        <f>IF(项目台账!$B274="","",项目台账!$A274)</f>
        <v/>
      </c>
      <c r="B275" s="17">
        <f>IF(项目台账!$B274="","",项目台账!$B274)</f>
        <v/>
      </c>
      <c r="C275" s="17">
        <f>IF($B275="","",IF(项目台账!$C274="","",项目台账!$C274))</f>
        <v/>
      </c>
      <c r="D275" s="17">
        <f>IF($B275="","",IF(项目台账!$D274="","",项目台账!$D274))</f>
        <v/>
      </c>
      <c r="E275" s="17">
        <f>IF($B275="","",IF(项目台账!$E274="","",项目台账!$E274))</f>
        <v/>
      </c>
      <c r="F275" s="23">
        <f>IF($B275="","",IF(项目台账!$F274="","",项目台账!$F274))</f>
        <v/>
      </c>
      <c r="G275" s="23">
        <f>IF($B275="","",IF(项目台账!$J274="","",项目台账!$J274))</f>
        <v/>
      </c>
      <c r="H275" s="17">
        <f>IF($B275="","",IF(项目台账!$Q274="","",项目台账!$Q274))</f>
        <v/>
      </c>
      <c r="I275" s="19">
        <f>IF($B275="","",项目台账!$M274)</f>
        <v/>
      </c>
      <c r="J275" s="19">
        <f>IF($B275="","",项目台账!$O274)</f>
        <v/>
      </c>
      <c r="K275" s="19">
        <f>IF($B275="","",项目台账!$P274)</f>
        <v/>
      </c>
      <c r="L275" s="19">
        <f>IF($B275="","",ROUND(SUMIFS(采购单!$L$4:$L$2003,采购单!$D$4:$D$2003,$B275,采购单!$F$4:$F$2003,"成本-主材")+SUMIFS(生产安装!$J$4:$J$1203,生产安装!$C$4:$C$1203,$B275,生产安装!$E$4:$E$1203,"成本-主材")+SUMIFS(资金日记账!$K$4:$K$2503,资金日记账!$G$4:$G$2503,$B275,资金日记账!$F$4:$F$2503,"成本-主材")-SUMIFS(资金日记账!$J$4:$J$2503,资金日记账!$G$4:$G$2503,$B275,资金日记账!$F$4:$F$2503,"成本-主材"),2))</f>
        <v/>
      </c>
      <c r="M275" s="19">
        <f>IF($B275="","",ROUND(SUMIFS(采购单!$L$4:$L$2003,采购单!$D$4:$D$2003,$B275,采购单!$F$4:$F$2003,"成本-辅材")+SUMIFS(生产安装!$J$4:$J$1203,生产安装!$C$4:$C$1203,$B275,生产安装!$E$4:$E$1203,"成本-辅材")+SUMIFS(资金日记账!$K$4:$K$2503,资金日记账!$G$4:$G$2503,$B275,资金日记账!$F$4:$F$2503,"成本-辅材")-SUMIFS(资金日记账!$J$4:$J$2503,资金日记账!$G$4:$G$2503,$B275,资金日记账!$F$4:$F$2503,"成本-辅材"),2))</f>
        <v/>
      </c>
      <c r="N275" s="19">
        <f>IF($B275="","",ROUND(SUMIFS(采购单!$L$4:$L$2003,采购单!$D$4:$D$2003,$B275,采购单!$F$4:$F$2003,"成本-人工")+SUMIFS(生产安装!$J$4:$J$1203,生产安装!$C$4:$C$1203,$B275,生产安装!$E$4:$E$1203,"成本-人工")+SUMIFS(资金日记账!$K$4:$K$2503,资金日记账!$G$4:$G$2503,$B275,资金日记账!$F$4:$F$2503,"成本-人工")-SUMIFS(资金日记账!$J$4:$J$2503,资金日记账!$G$4:$G$2503,$B275,资金日记账!$F$4:$F$2503,"成本-人工"),2))</f>
        <v/>
      </c>
      <c r="O275" s="19">
        <f>IF($B275="","",ROUND(SUMIFS(采购单!$L$4:$L$2003,采购单!$D$4:$D$2003,$B275,采购单!$F$4:$F$2003,"成本-车运")+SUMIFS(生产安装!$J$4:$J$1203,生产安装!$C$4:$C$1203,$B275,生产安装!$E$4:$E$1203,"成本-车运")+SUMIFS(资金日记账!$K$4:$K$2503,资金日记账!$G$4:$G$2503,$B275,资金日记账!$F$4:$F$2503,"成本-车运")-SUMIFS(资金日记账!$J$4:$J$2503,资金日记账!$G$4:$G$2503,$B275,资金日记账!$F$4:$F$2503,"成本-车运"),2))</f>
        <v/>
      </c>
      <c r="P275" s="19">
        <f>IF($B275="","",ROUND(SUMIFS(采购单!$L$4:$L$2003,采购单!$D$4:$D$2003,$B275,采购单!$F$4:$F$2003,"成本-其他")+SUMIFS(生产安装!$J$4:$J$1203,生产安装!$C$4:$C$1203,$B275,生产安装!$E$4:$E$1203,"成本-其他")+SUMIFS(资金日记账!$K$4:$K$2503,资金日记账!$G$4:$G$2503,$B275,资金日记账!$F$4:$F$2503,"成本-其他")-SUMIFS(资金日记账!$J$4:$J$2503,资金日记账!$G$4:$G$2503,$B275,资金日记账!$F$4:$F$2503,"成本-其他"),2))</f>
        <v/>
      </c>
      <c r="Q275" s="19">
        <f>IF($B275="","",ROUND(SUM($L275:$P275),2))</f>
        <v/>
      </c>
      <c r="R275" s="19">
        <f>IF($B275="","",ROUND($I275-$Q275,2))</f>
        <v/>
      </c>
      <c r="S275" s="33">
        <f>IF($B275="","",IF(ROUND($I275,2)=0,"",ROUND($R275/$I275,4)))</f>
        <v/>
      </c>
      <c r="T275" s="22">
        <f>IF($B275="","",IF($G275="",0,YEAR($G275)*100+MONTH($G275)))</f>
        <v/>
      </c>
      <c r="U275" s="17">
        <f>IF($B275="","",IF(项目台账!$R274="","",项目台账!$R274))</f>
        <v/>
      </c>
    </row>
    <row r="276">
      <c r="A276" s="17">
        <f>IF(项目台账!$B275="","",项目台账!$A275)</f>
        <v/>
      </c>
      <c r="B276" s="17">
        <f>IF(项目台账!$B275="","",项目台账!$B275)</f>
        <v/>
      </c>
      <c r="C276" s="17">
        <f>IF($B276="","",IF(项目台账!$C275="","",项目台账!$C275))</f>
        <v/>
      </c>
      <c r="D276" s="17">
        <f>IF($B276="","",IF(项目台账!$D275="","",项目台账!$D275))</f>
        <v/>
      </c>
      <c r="E276" s="17">
        <f>IF($B276="","",IF(项目台账!$E275="","",项目台账!$E275))</f>
        <v/>
      </c>
      <c r="F276" s="23">
        <f>IF($B276="","",IF(项目台账!$F275="","",项目台账!$F275))</f>
        <v/>
      </c>
      <c r="G276" s="23">
        <f>IF($B276="","",IF(项目台账!$J275="","",项目台账!$J275))</f>
        <v/>
      </c>
      <c r="H276" s="17">
        <f>IF($B276="","",IF(项目台账!$Q275="","",项目台账!$Q275))</f>
        <v/>
      </c>
      <c r="I276" s="19">
        <f>IF($B276="","",项目台账!$M275)</f>
        <v/>
      </c>
      <c r="J276" s="19">
        <f>IF($B276="","",项目台账!$O275)</f>
        <v/>
      </c>
      <c r="K276" s="19">
        <f>IF($B276="","",项目台账!$P275)</f>
        <v/>
      </c>
      <c r="L276" s="19">
        <f>IF($B276="","",ROUND(SUMIFS(采购单!$L$4:$L$2003,采购单!$D$4:$D$2003,$B276,采购单!$F$4:$F$2003,"成本-主材")+SUMIFS(生产安装!$J$4:$J$1203,生产安装!$C$4:$C$1203,$B276,生产安装!$E$4:$E$1203,"成本-主材")+SUMIFS(资金日记账!$K$4:$K$2503,资金日记账!$G$4:$G$2503,$B276,资金日记账!$F$4:$F$2503,"成本-主材")-SUMIFS(资金日记账!$J$4:$J$2503,资金日记账!$G$4:$G$2503,$B276,资金日记账!$F$4:$F$2503,"成本-主材"),2))</f>
        <v/>
      </c>
      <c r="M276" s="19">
        <f>IF($B276="","",ROUND(SUMIFS(采购单!$L$4:$L$2003,采购单!$D$4:$D$2003,$B276,采购单!$F$4:$F$2003,"成本-辅材")+SUMIFS(生产安装!$J$4:$J$1203,生产安装!$C$4:$C$1203,$B276,生产安装!$E$4:$E$1203,"成本-辅材")+SUMIFS(资金日记账!$K$4:$K$2503,资金日记账!$G$4:$G$2503,$B276,资金日记账!$F$4:$F$2503,"成本-辅材")-SUMIFS(资金日记账!$J$4:$J$2503,资金日记账!$G$4:$G$2503,$B276,资金日记账!$F$4:$F$2503,"成本-辅材"),2))</f>
        <v/>
      </c>
      <c r="N276" s="19">
        <f>IF($B276="","",ROUND(SUMIFS(采购单!$L$4:$L$2003,采购单!$D$4:$D$2003,$B276,采购单!$F$4:$F$2003,"成本-人工")+SUMIFS(生产安装!$J$4:$J$1203,生产安装!$C$4:$C$1203,$B276,生产安装!$E$4:$E$1203,"成本-人工")+SUMIFS(资金日记账!$K$4:$K$2503,资金日记账!$G$4:$G$2503,$B276,资金日记账!$F$4:$F$2503,"成本-人工")-SUMIFS(资金日记账!$J$4:$J$2503,资金日记账!$G$4:$G$2503,$B276,资金日记账!$F$4:$F$2503,"成本-人工"),2))</f>
        <v/>
      </c>
      <c r="O276" s="19">
        <f>IF($B276="","",ROUND(SUMIFS(采购单!$L$4:$L$2003,采购单!$D$4:$D$2003,$B276,采购单!$F$4:$F$2003,"成本-车运")+SUMIFS(生产安装!$J$4:$J$1203,生产安装!$C$4:$C$1203,$B276,生产安装!$E$4:$E$1203,"成本-车运")+SUMIFS(资金日记账!$K$4:$K$2503,资金日记账!$G$4:$G$2503,$B276,资金日记账!$F$4:$F$2503,"成本-车运")-SUMIFS(资金日记账!$J$4:$J$2503,资金日记账!$G$4:$G$2503,$B276,资金日记账!$F$4:$F$2503,"成本-车运"),2))</f>
        <v/>
      </c>
      <c r="P276" s="19">
        <f>IF($B276="","",ROUND(SUMIFS(采购单!$L$4:$L$2003,采购单!$D$4:$D$2003,$B276,采购单!$F$4:$F$2003,"成本-其他")+SUMIFS(生产安装!$J$4:$J$1203,生产安装!$C$4:$C$1203,$B276,生产安装!$E$4:$E$1203,"成本-其他")+SUMIFS(资金日记账!$K$4:$K$2503,资金日记账!$G$4:$G$2503,$B276,资金日记账!$F$4:$F$2503,"成本-其他")-SUMIFS(资金日记账!$J$4:$J$2503,资金日记账!$G$4:$G$2503,$B276,资金日记账!$F$4:$F$2503,"成本-其他"),2))</f>
        <v/>
      </c>
      <c r="Q276" s="19">
        <f>IF($B276="","",ROUND(SUM($L276:$P276),2))</f>
        <v/>
      </c>
      <c r="R276" s="19">
        <f>IF($B276="","",ROUND($I276-$Q276,2))</f>
        <v/>
      </c>
      <c r="S276" s="33">
        <f>IF($B276="","",IF(ROUND($I276,2)=0,"",ROUND($R276/$I276,4)))</f>
        <v/>
      </c>
      <c r="T276" s="22">
        <f>IF($B276="","",IF($G276="",0,YEAR($G276)*100+MONTH($G276)))</f>
        <v/>
      </c>
      <c r="U276" s="17">
        <f>IF($B276="","",IF(项目台账!$R275="","",项目台账!$R275))</f>
        <v/>
      </c>
    </row>
    <row r="277">
      <c r="A277" s="17">
        <f>IF(项目台账!$B276="","",项目台账!$A276)</f>
        <v/>
      </c>
      <c r="B277" s="17">
        <f>IF(项目台账!$B276="","",项目台账!$B276)</f>
        <v/>
      </c>
      <c r="C277" s="17">
        <f>IF($B277="","",IF(项目台账!$C276="","",项目台账!$C276))</f>
        <v/>
      </c>
      <c r="D277" s="17">
        <f>IF($B277="","",IF(项目台账!$D276="","",项目台账!$D276))</f>
        <v/>
      </c>
      <c r="E277" s="17">
        <f>IF($B277="","",IF(项目台账!$E276="","",项目台账!$E276))</f>
        <v/>
      </c>
      <c r="F277" s="23">
        <f>IF($B277="","",IF(项目台账!$F276="","",项目台账!$F276))</f>
        <v/>
      </c>
      <c r="G277" s="23">
        <f>IF($B277="","",IF(项目台账!$J276="","",项目台账!$J276))</f>
        <v/>
      </c>
      <c r="H277" s="17">
        <f>IF($B277="","",IF(项目台账!$Q276="","",项目台账!$Q276))</f>
        <v/>
      </c>
      <c r="I277" s="19">
        <f>IF($B277="","",项目台账!$M276)</f>
        <v/>
      </c>
      <c r="J277" s="19">
        <f>IF($B277="","",项目台账!$O276)</f>
        <v/>
      </c>
      <c r="K277" s="19">
        <f>IF($B277="","",项目台账!$P276)</f>
        <v/>
      </c>
      <c r="L277" s="19">
        <f>IF($B277="","",ROUND(SUMIFS(采购单!$L$4:$L$2003,采购单!$D$4:$D$2003,$B277,采购单!$F$4:$F$2003,"成本-主材")+SUMIFS(生产安装!$J$4:$J$1203,生产安装!$C$4:$C$1203,$B277,生产安装!$E$4:$E$1203,"成本-主材")+SUMIFS(资金日记账!$K$4:$K$2503,资金日记账!$G$4:$G$2503,$B277,资金日记账!$F$4:$F$2503,"成本-主材")-SUMIFS(资金日记账!$J$4:$J$2503,资金日记账!$G$4:$G$2503,$B277,资金日记账!$F$4:$F$2503,"成本-主材"),2))</f>
        <v/>
      </c>
      <c r="M277" s="19">
        <f>IF($B277="","",ROUND(SUMIFS(采购单!$L$4:$L$2003,采购单!$D$4:$D$2003,$B277,采购单!$F$4:$F$2003,"成本-辅材")+SUMIFS(生产安装!$J$4:$J$1203,生产安装!$C$4:$C$1203,$B277,生产安装!$E$4:$E$1203,"成本-辅材")+SUMIFS(资金日记账!$K$4:$K$2503,资金日记账!$G$4:$G$2503,$B277,资金日记账!$F$4:$F$2503,"成本-辅材")-SUMIFS(资金日记账!$J$4:$J$2503,资金日记账!$G$4:$G$2503,$B277,资金日记账!$F$4:$F$2503,"成本-辅材"),2))</f>
        <v/>
      </c>
      <c r="N277" s="19">
        <f>IF($B277="","",ROUND(SUMIFS(采购单!$L$4:$L$2003,采购单!$D$4:$D$2003,$B277,采购单!$F$4:$F$2003,"成本-人工")+SUMIFS(生产安装!$J$4:$J$1203,生产安装!$C$4:$C$1203,$B277,生产安装!$E$4:$E$1203,"成本-人工")+SUMIFS(资金日记账!$K$4:$K$2503,资金日记账!$G$4:$G$2503,$B277,资金日记账!$F$4:$F$2503,"成本-人工")-SUMIFS(资金日记账!$J$4:$J$2503,资金日记账!$G$4:$G$2503,$B277,资金日记账!$F$4:$F$2503,"成本-人工"),2))</f>
        <v/>
      </c>
      <c r="O277" s="19">
        <f>IF($B277="","",ROUND(SUMIFS(采购单!$L$4:$L$2003,采购单!$D$4:$D$2003,$B277,采购单!$F$4:$F$2003,"成本-车运")+SUMIFS(生产安装!$J$4:$J$1203,生产安装!$C$4:$C$1203,$B277,生产安装!$E$4:$E$1203,"成本-车运")+SUMIFS(资金日记账!$K$4:$K$2503,资金日记账!$G$4:$G$2503,$B277,资金日记账!$F$4:$F$2503,"成本-车运")-SUMIFS(资金日记账!$J$4:$J$2503,资金日记账!$G$4:$G$2503,$B277,资金日记账!$F$4:$F$2503,"成本-车运"),2))</f>
        <v/>
      </c>
      <c r="P277" s="19">
        <f>IF($B277="","",ROUND(SUMIFS(采购单!$L$4:$L$2003,采购单!$D$4:$D$2003,$B277,采购单!$F$4:$F$2003,"成本-其他")+SUMIFS(生产安装!$J$4:$J$1203,生产安装!$C$4:$C$1203,$B277,生产安装!$E$4:$E$1203,"成本-其他")+SUMIFS(资金日记账!$K$4:$K$2503,资金日记账!$G$4:$G$2503,$B277,资金日记账!$F$4:$F$2503,"成本-其他")-SUMIFS(资金日记账!$J$4:$J$2503,资金日记账!$G$4:$G$2503,$B277,资金日记账!$F$4:$F$2503,"成本-其他"),2))</f>
        <v/>
      </c>
      <c r="Q277" s="19">
        <f>IF($B277="","",ROUND(SUM($L277:$P277),2))</f>
        <v/>
      </c>
      <c r="R277" s="19">
        <f>IF($B277="","",ROUND($I277-$Q277,2))</f>
        <v/>
      </c>
      <c r="S277" s="33">
        <f>IF($B277="","",IF(ROUND($I277,2)=0,"",ROUND($R277/$I277,4)))</f>
        <v/>
      </c>
      <c r="T277" s="22">
        <f>IF($B277="","",IF($G277="",0,YEAR($G277)*100+MONTH($G277)))</f>
        <v/>
      </c>
      <c r="U277" s="17">
        <f>IF($B277="","",IF(项目台账!$R276="","",项目台账!$R276))</f>
        <v/>
      </c>
    </row>
    <row r="278">
      <c r="A278" s="17">
        <f>IF(项目台账!$B277="","",项目台账!$A277)</f>
        <v/>
      </c>
      <c r="B278" s="17">
        <f>IF(项目台账!$B277="","",项目台账!$B277)</f>
        <v/>
      </c>
      <c r="C278" s="17">
        <f>IF($B278="","",IF(项目台账!$C277="","",项目台账!$C277))</f>
        <v/>
      </c>
      <c r="D278" s="17">
        <f>IF($B278="","",IF(项目台账!$D277="","",项目台账!$D277))</f>
        <v/>
      </c>
      <c r="E278" s="17">
        <f>IF($B278="","",IF(项目台账!$E277="","",项目台账!$E277))</f>
        <v/>
      </c>
      <c r="F278" s="23">
        <f>IF($B278="","",IF(项目台账!$F277="","",项目台账!$F277))</f>
        <v/>
      </c>
      <c r="G278" s="23">
        <f>IF($B278="","",IF(项目台账!$J277="","",项目台账!$J277))</f>
        <v/>
      </c>
      <c r="H278" s="17">
        <f>IF($B278="","",IF(项目台账!$Q277="","",项目台账!$Q277))</f>
        <v/>
      </c>
      <c r="I278" s="19">
        <f>IF($B278="","",项目台账!$M277)</f>
        <v/>
      </c>
      <c r="J278" s="19">
        <f>IF($B278="","",项目台账!$O277)</f>
        <v/>
      </c>
      <c r="K278" s="19">
        <f>IF($B278="","",项目台账!$P277)</f>
        <v/>
      </c>
      <c r="L278" s="19">
        <f>IF($B278="","",ROUND(SUMIFS(采购单!$L$4:$L$2003,采购单!$D$4:$D$2003,$B278,采购单!$F$4:$F$2003,"成本-主材")+SUMIFS(生产安装!$J$4:$J$1203,生产安装!$C$4:$C$1203,$B278,生产安装!$E$4:$E$1203,"成本-主材")+SUMIFS(资金日记账!$K$4:$K$2503,资金日记账!$G$4:$G$2503,$B278,资金日记账!$F$4:$F$2503,"成本-主材")-SUMIFS(资金日记账!$J$4:$J$2503,资金日记账!$G$4:$G$2503,$B278,资金日记账!$F$4:$F$2503,"成本-主材"),2))</f>
        <v/>
      </c>
      <c r="M278" s="19">
        <f>IF($B278="","",ROUND(SUMIFS(采购单!$L$4:$L$2003,采购单!$D$4:$D$2003,$B278,采购单!$F$4:$F$2003,"成本-辅材")+SUMIFS(生产安装!$J$4:$J$1203,生产安装!$C$4:$C$1203,$B278,生产安装!$E$4:$E$1203,"成本-辅材")+SUMIFS(资金日记账!$K$4:$K$2503,资金日记账!$G$4:$G$2503,$B278,资金日记账!$F$4:$F$2503,"成本-辅材")-SUMIFS(资金日记账!$J$4:$J$2503,资金日记账!$G$4:$G$2503,$B278,资金日记账!$F$4:$F$2503,"成本-辅材"),2))</f>
        <v/>
      </c>
      <c r="N278" s="19">
        <f>IF($B278="","",ROUND(SUMIFS(采购单!$L$4:$L$2003,采购单!$D$4:$D$2003,$B278,采购单!$F$4:$F$2003,"成本-人工")+SUMIFS(生产安装!$J$4:$J$1203,生产安装!$C$4:$C$1203,$B278,生产安装!$E$4:$E$1203,"成本-人工")+SUMIFS(资金日记账!$K$4:$K$2503,资金日记账!$G$4:$G$2503,$B278,资金日记账!$F$4:$F$2503,"成本-人工")-SUMIFS(资金日记账!$J$4:$J$2503,资金日记账!$G$4:$G$2503,$B278,资金日记账!$F$4:$F$2503,"成本-人工"),2))</f>
        <v/>
      </c>
      <c r="O278" s="19">
        <f>IF($B278="","",ROUND(SUMIFS(采购单!$L$4:$L$2003,采购单!$D$4:$D$2003,$B278,采购单!$F$4:$F$2003,"成本-车运")+SUMIFS(生产安装!$J$4:$J$1203,生产安装!$C$4:$C$1203,$B278,生产安装!$E$4:$E$1203,"成本-车运")+SUMIFS(资金日记账!$K$4:$K$2503,资金日记账!$G$4:$G$2503,$B278,资金日记账!$F$4:$F$2503,"成本-车运")-SUMIFS(资金日记账!$J$4:$J$2503,资金日记账!$G$4:$G$2503,$B278,资金日记账!$F$4:$F$2503,"成本-车运"),2))</f>
        <v/>
      </c>
      <c r="P278" s="19">
        <f>IF($B278="","",ROUND(SUMIFS(采购单!$L$4:$L$2003,采购单!$D$4:$D$2003,$B278,采购单!$F$4:$F$2003,"成本-其他")+SUMIFS(生产安装!$J$4:$J$1203,生产安装!$C$4:$C$1203,$B278,生产安装!$E$4:$E$1203,"成本-其他")+SUMIFS(资金日记账!$K$4:$K$2503,资金日记账!$G$4:$G$2503,$B278,资金日记账!$F$4:$F$2503,"成本-其他")-SUMIFS(资金日记账!$J$4:$J$2503,资金日记账!$G$4:$G$2503,$B278,资金日记账!$F$4:$F$2503,"成本-其他"),2))</f>
        <v/>
      </c>
      <c r="Q278" s="19">
        <f>IF($B278="","",ROUND(SUM($L278:$P278),2))</f>
        <v/>
      </c>
      <c r="R278" s="19">
        <f>IF($B278="","",ROUND($I278-$Q278,2))</f>
        <v/>
      </c>
      <c r="S278" s="33">
        <f>IF($B278="","",IF(ROUND($I278,2)=0,"",ROUND($R278/$I278,4)))</f>
        <v/>
      </c>
      <c r="T278" s="22">
        <f>IF($B278="","",IF($G278="",0,YEAR($G278)*100+MONTH($G278)))</f>
        <v/>
      </c>
      <c r="U278" s="17">
        <f>IF($B278="","",IF(项目台账!$R277="","",项目台账!$R277))</f>
        <v/>
      </c>
    </row>
    <row r="279">
      <c r="A279" s="17">
        <f>IF(项目台账!$B278="","",项目台账!$A278)</f>
        <v/>
      </c>
      <c r="B279" s="17">
        <f>IF(项目台账!$B278="","",项目台账!$B278)</f>
        <v/>
      </c>
      <c r="C279" s="17">
        <f>IF($B279="","",IF(项目台账!$C278="","",项目台账!$C278))</f>
        <v/>
      </c>
      <c r="D279" s="17">
        <f>IF($B279="","",IF(项目台账!$D278="","",项目台账!$D278))</f>
        <v/>
      </c>
      <c r="E279" s="17">
        <f>IF($B279="","",IF(项目台账!$E278="","",项目台账!$E278))</f>
        <v/>
      </c>
      <c r="F279" s="23">
        <f>IF($B279="","",IF(项目台账!$F278="","",项目台账!$F278))</f>
        <v/>
      </c>
      <c r="G279" s="23">
        <f>IF($B279="","",IF(项目台账!$J278="","",项目台账!$J278))</f>
        <v/>
      </c>
      <c r="H279" s="17">
        <f>IF($B279="","",IF(项目台账!$Q278="","",项目台账!$Q278))</f>
        <v/>
      </c>
      <c r="I279" s="19">
        <f>IF($B279="","",项目台账!$M278)</f>
        <v/>
      </c>
      <c r="J279" s="19">
        <f>IF($B279="","",项目台账!$O278)</f>
        <v/>
      </c>
      <c r="K279" s="19">
        <f>IF($B279="","",项目台账!$P278)</f>
        <v/>
      </c>
      <c r="L279" s="19">
        <f>IF($B279="","",ROUND(SUMIFS(采购单!$L$4:$L$2003,采购单!$D$4:$D$2003,$B279,采购单!$F$4:$F$2003,"成本-主材")+SUMIFS(生产安装!$J$4:$J$1203,生产安装!$C$4:$C$1203,$B279,生产安装!$E$4:$E$1203,"成本-主材")+SUMIFS(资金日记账!$K$4:$K$2503,资金日记账!$G$4:$G$2503,$B279,资金日记账!$F$4:$F$2503,"成本-主材")-SUMIFS(资金日记账!$J$4:$J$2503,资金日记账!$G$4:$G$2503,$B279,资金日记账!$F$4:$F$2503,"成本-主材"),2))</f>
        <v/>
      </c>
      <c r="M279" s="19">
        <f>IF($B279="","",ROUND(SUMIFS(采购单!$L$4:$L$2003,采购单!$D$4:$D$2003,$B279,采购单!$F$4:$F$2003,"成本-辅材")+SUMIFS(生产安装!$J$4:$J$1203,生产安装!$C$4:$C$1203,$B279,生产安装!$E$4:$E$1203,"成本-辅材")+SUMIFS(资金日记账!$K$4:$K$2503,资金日记账!$G$4:$G$2503,$B279,资金日记账!$F$4:$F$2503,"成本-辅材")-SUMIFS(资金日记账!$J$4:$J$2503,资金日记账!$G$4:$G$2503,$B279,资金日记账!$F$4:$F$2503,"成本-辅材"),2))</f>
        <v/>
      </c>
      <c r="N279" s="19">
        <f>IF($B279="","",ROUND(SUMIFS(采购单!$L$4:$L$2003,采购单!$D$4:$D$2003,$B279,采购单!$F$4:$F$2003,"成本-人工")+SUMIFS(生产安装!$J$4:$J$1203,生产安装!$C$4:$C$1203,$B279,生产安装!$E$4:$E$1203,"成本-人工")+SUMIFS(资金日记账!$K$4:$K$2503,资金日记账!$G$4:$G$2503,$B279,资金日记账!$F$4:$F$2503,"成本-人工")-SUMIFS(资金日记账!$J$4:$J$2503,资金日记账!$G$4:$G$2503,$B279,资金日记账!$F$4:$F$2503,"成本-人工"),2))</f>
        <v/>
      </c>
      <c r="O279" s="19">
        <f>IF($B279="","",ROUND(SUMIFS(采购单!$L$4:$L$2003,采购单!$D$4:$D$2003,$B279,采购单!$F$4:$F$2003,"成本-车运")+SUMIFS(生产安装!$J$4:$J$1203,生产安装!$C$4:$C$1203,$B279,生产安装!$E$4:$E$1203,"成本-车运")+SUMIFS(资金日记账!$K$4:$K$2503,资金日记账!$G$4:$G$2503,$B279,资金日记账!$F$4:$F$2503,"成本-车运")-SUMIFS(资金日记账!$J$4:$J$2503,资金日记账!$G$4:$G$2503,$B279,资金日记账!$F$4:$F$2503,"成本-车运"),2))</f>
        <v/>
      </c>
      <c r="P279" s="19">
        <f>IF($B279="","",ROUND(SUMIFS(采购单!$L$4:$L$2003,采购单!$D$4:$D$2003,$B279,采购单!$F$4:$F$2003,"成本-其他")+SUMIFS(生产安装!$J$4:$J$1203,生产安装!$C$4:$C$1203,$B279,生产安装!$E$4:$E$1203,"成本-其他")+SUMIFS(资金日记账!$K$4:$K$2503,资金日记账!$G$4:$G$2503,$B279,资金日记账!$F$4:$F$2503,"成本-其他")-SUMIFS(资金日记账!$J$4:$J$2503,资金日记账!$G$4:$G$2503,$B279,资金日记账!$F$4:$F$2503,"成本-其他"),2))</f>
        <v/>
      </c>
      <c r="Q279" s="19">
        <f>IF($B279="","",ROUND(SUM($L279:$P279),2))</f>
        <v/>
      </c>
      <c r="R279" s="19">
        <f>IF($B279="","",ROUND($I279-$Q279,2))</f>
        <v/>
      </c>
      <c r="S279" s="33">
        <f>IF($B279="","",IF(ROUND($I279,2)=0,"",ROUND($R279/$I279,4)))</f>
        <v/>
      </c>
      <c r="T279" s="22">
        <f>IF($B279="","",IF($G279="",0,YEAR($G279)*100+MONTH($G279)))</f>
        <v/>
      </c>
      <c r="U279" s="17">
        <f>IF($B279="","",IF(项目台账!$R278="","",项目台账!$R278))</f>
        <v/>
      </c>
    </row>
    <row r="280">
      <c r="A280" s="17">
        <f>IF(项目台账!$B279="","",项目台账!$A279)</f>
        <v/>
      </c>
      <c r="B280" s="17">
        <f>IF(项目台账!$B279="","",项目台账!$B279)</f>
        <v/>
      </c>
      <c r="C280" s="17">
        <f>IF($B280="","",IF(项目台账!$C279="","",项目台账!$C279))</f>
        <v/>
      </c>
      <c r="D280" s="17">
        <f>IF($B280="","",IF(项目台账!$D279="","",项目台账!$D279))</f>
        <v/>
      </c>
      <c r="E280" s="17">
        <f>IF($B280="","",IF(项目台账!$E279="","",项目台账!$E279))</f>
        <v/>
      </c>
      <c r="F280" s="23">
        <f>IF($B280="","",IF(项目台账!$F279="","",项目台账!$F279))</f>
        <v/>
      </c>
      <c r="G280" s="23">
        <f>IF($B280="","",IF(项目台账!$J279="","",项目台账!$J279))</f>
        <v/>
      </c>
      <c r="H280" s="17">
        <f>IF($B280="","",IF(项目台账!$Q279="","",项目台账!$Q279))</f>
        <v/>
      </c>
      <c r="I280" s="19">
        <f>IF($B280="","",项目台账!$M279)</f>
        <v/>
      </c>
      <c r="J280" s="19">
        <f>IF($B280="","",项目台账!$O279)</f>
        <v/>
      </c>
      <c r="K280" s="19">
        <f>IF($B280="","",项目台账!$P279)</f>
        <v/>
      </c>
      <c r="L280" s="19">
        <f>IF($B280="","",ROUND(SUMIFS(采购单!$L$4:$L$2003,采购单!$D$4:$D$2003,$B280,采购单!$F$4:$F$2003,"成本-主材")+SUMIFS(生产安装!$J$4:$J$1203,生产安装!$C$4:$C$1203,$B280,生产安装!$E$4:$E$1203,"成本-主材")+SUMIFS(资金日记账!$K$4:$K$2503,资金日记账!$G$4:$G$2503,$B280,资金日记账!$F$4:$F$2503,"成本-主材")-SUMIFS(资金日记账!$J$4:$J$2503,资金日记账!$G$4:$G$2503,$B280,资金日记账!$F$4:$F$2503,"成本-主材"),2))</f>
        <v/>
      </c>
      <c r="M280" s="19">
        <f>IF($B280="","",ROUND(SUMIFS(采购单!$L$4:$L$2003,采购单!$D$4:$D$2003,$B280,采购单!$F$4:$F$2003,"成本-辅材")+SUMIFS(生产安装!$J$4:$J$1203,生产安装!$C$4:$C$1203,$B280,生产安装!$E$4:$E$1203,"成本-辅材")+SUMIFS(资金日记账!$K$4:$K$2503,资金日记账!$G$4:$G$2503,$B280,资金日记账!$F$4:$F$2503,"成本-辅材")-SUMIFS(资金日记账!$J$4:$J$2503,资金日记账!$G$4:$G$2503,$B280,资金日记账!$F$4:$F$2503,"成本-辅材"),2))</f>
        <v/>
      </c>
      <c r="N280" s="19">
        <f>IF($B280="","",ROUND(SUMIFS(采购单!$L$4:$L$2003,采购单!$D$4:$D$2003,$B280,采购单!$F$4:$F$2003,"成本-人工")+SUMIFS(生产安装!$J$4:$J$1203,生产安装!$C$4:$C$1203,$B280,生产安装!$E$4:$E$1203,"成本-人工")+SUMIFS(资金日记账!$K$4:$K$2503,资金日记账!$G$4:$G$2503,$B280,资金日记账!$F$4:$F$2503,"成本-人工")-SUMIFS(资金日记账!$J$4:$J$2503,资金日记账!$G$4:$G$2503,$B280,资金日记账!$F$4:$F$2503,"成本-人工"),2))</f>
        <v/>
      </c>
      <c r="O280" s="19">
        <f>IF($B280="","",ROUND(SUMIFS(采购单!$L$4:$L$2003,采购单!$D$4:$D$2003,$B280,采购单!$F$4:$F$2003,"成本-车运")+SUMIFS(生产安装!$J$4:$J$1203,生产安装!$C$4:$C$1203,$B280,生产安装!$E$4:$E$1203,"成本-车运")+SUMIFS(资金日记账!$K$4:$K$2503,资金日记账!$G$4:$G$2503,$B280,资金日记账!$F$4:$F$2503,"成本-车运")-SUMIFS(资金日记账!$J$4:$J$2503,资金日记账!$G$4:$G$2503,$B280,资金日记账!$F$4:$F$2503,"成本-车运"),2))</f>
        <v/>
      </c>
      <c r="P280" s="19">
        <f>IF($B280="","",ROUND(SUMIFS(采购单!$L$4:$L$2003,采购单!$D$4:$D$2003,$B280,采购单!$F$4:$F$2003,"成本-其他")+SUMIFS(生产安装!$J$4:$J$1203,生产安装!$C$4:$C$1203,$B280,生产安装!$E$4:$E$1203,"成本-其他")+SUMIFS(资金日记账!$K$4:$K$2503,资金日记账!$G$4:$G$2503,$B280,资金日记账!$F$4:$F$2503,"成本-其他")-SUMIFS(资金日记账!$J$4:$J$2503,资金日记账!$G$4:$G$2503,$B280,资金日记账!$F$4:$F$2503,"成本-其他"),2))</f>
        <v/>
      </c>
      <c r="Q280" s="19">
        <f>IF($B280="","",ROUND(SUM($L280:$P280),2))</f>
        <v/>
      </c>
      <c r="R280" s="19">
        <f>IF($B280="","",ROUND($I280-$Q280,2))</f>
        <v/>
      </c>
      <c r="S280" s="33">
        <f>IF($B280="","",IF(ROUND($I280,2)=0,"",ROUND($R280/$I280,4)))</f>
        <v/>
      </c>
      <c r="T280" s="22">
        <f>IF($B280="","",IF($G280="",0,YEAR($G280)*100+MONTH($G280)))</f>
        <v/>
      </c>
      <c r="U280" s="17">
        <f>IF($B280="","",IF(项目台账!$R279="","",项目台账!$R279))</f>
        <v/>
      </c>
    </row>
    <row r="281">
      <c r="A281" s="17">
        <f>IF(项目台账!$B280="","",项目台账!$A280)</f>
        <v/>
      </c>
      <c r="B281" s="17">
        <f>IF(项目台账!$B280="","",项目台账!$B280)</f>
        <v/>
      </c>
      <c r="C281" s="17">
        <f>IF($B281="","",IF(项目台账!$C280="","",项目台账!$C280))</f>
        <v/>
      </c>
      <c r="D281" s="17">
        <f>IF($B281="","",IF(项目台账!$D280="","",项目台账!$D280))</f>
        <v/>
      </c>
      <c r="E281" s="17">
        <f>IF($B281="","",IF(项目台账!$E280="","",项目台账!$E280))</f>
        <v/>
      </c>
      <c r="F281" s="23">
        <f>IF($B281="","",IF(项目台账!$F280="","",项目台账!$F280))</f>
        <v/>
      </c>
      <c r="G281" s="23">
        <f>IF($B281="","",IF(项目台账!$J280="","",项目台账!$J280))</f>
        <v/>
      </c>
      <c r="H281" s="17">
        <f>IF($B281="","",IF(项目台账!$Q280="","",项目台账!$Q280))</f>
        <v/>
      </c>
      <c r="I281" s="19">
        <f>IF($B281="","",项目台账!$M280)</f>
        <v/>
      </c>
      <c r="J281" s="19">
        <f>IF($B281="","",项目台账!$O280)</f>
        <v/>
      </c>
      <c r="K281" s="19">
        <f>IF($B281="","",项目台账!$P280)</f>
        <v/>
      </c>
      <c r="L281" s="19">
        <f>IF($B281="","",ROUND(SUMIFS(采购单!$L$4:$L$2003,采购单!$D$4:$D$2003,$B281,采购单!$F$4:$F$2003,"成本-主材")+SUMIFS(生产安装!$J$4:$J$1203,生产安装!$C$4:$C$1203,$B281,生产安装!$E$4:$E$1203,"成本-主材")+SUMIFS(资金日记账!$K$4:$K$2503,资金日记账!$G$4:$G$2503,$B281,资金日记账!$F$4:$F$2503,"成本-主材")-SUMIFS(资金日记账!$J$4:$J$2503,资金日记账!$G$4:$G$2503,$B281,资金日记账!$F$4:$F$2503,"成本-主材"),2))</f>
        <v/>
      </c>
      <c r="M281" s="19">
        <f>IF($B281="","",ROUND(SUMIFS(采购单!$L$4:$L$2003,采购单!$D$4:$D$2003,$B281,采购单!$F$4:$F$2003,"成本-辅材")+SUMIFS(生产安装!$J$4:$J$1203,生产安装!$C$4:$C$1203,$B281,生产安装!$E$4:$E$1203,"成本-辅材")+SUMIFS(资金日记账!$K$4:$K$2503,资金日记账!$G$4:$G$2503,$B281,资金日记账!$F$4:$F$2503,"成本-辅材")-SUMIFS(资金日记账!$J$4:$J$2503,资金日记账!$G$4:$G$2503,$B281,资金日记账!$F$4:$F$2503,"成本-辅材"),2))</f>
        <v/>
      </c>
      <c r="N281" s="19">
        <f>IF($B281="","",ROUND(SUMIFS(采购单!$L$4:$L$2003,采购单!$D$4:$D$2003,$B281,采购单!$F$4:$F$2003,"成本-人工")+SUMIFS(生产安装!$J$4:$J$1203,生产安装!$C$4:$C$1203,$B281,生产安装!$E$4:$E$1203,"成本-人工")+SUMIFS(资金日记账!$K$4:$K$2503,资金日记账!$G$4:$G$2503,$B281,资金日记账!$F$4:$F$2503,"成本-人工")-SUMIFS(资金日记账!$J$4:$J$2503,资金日记账!$G$4:$G$2503,$B281,资金日记账!$F$4:$F$2503,"成本-人工"),2))</f>
        <v/>
      </c>
      <c r="O281" s="19">
        <f>IF($B281="","",ROUND(SUMIFS(采购单!$L$4:$L$2003,采购单!$D$4:$D$2003,$B281,采购单!$F$4:$F$2003,"成本-车运")+SUMIFS(生产安装!$J$4:$J$1203,生产安装!$C$4:$C$1203,$B281,生产安装!$E$4:$E$1203,"成本-车运")+SUMIFS(资金日记账!$K$4:$K$2503,资金日记账!$G$4:$G$2503,$B281,资金日记账!$F$4:$F$2503,"成本-车运")-SUMIFS(资金日记账!$J$4:$J$2503,资金日记账!$G$4:$G$2503,$B281,资金日记账!$F$4:$F$2503,"成本-车运"),2))</f>
        <v/>
      </c>
      <c r="P281" s="19">
        <f>IF($B281="","",ROUND(SUMIFS(采购单!$L$4:$L$2003,采购单!$D$4:$D$2003,$B281,采购单!$F$4:$F$2003,"成本-其他")+SUMIFS(生产安装!$J$4:$J$1203,生产安装!$C$4:$C$1203,$B281,生产安装!$E$4:$E$1203,"成本-其他")+SUMIFS(资金日记账!$K$4:$K$2503,资金日记账!$G$4:$G$2503,$B281,资金日记账!$F$4:$F$2503,"成本-其他")-SUMIFS(资金日记账!$J$4:$J$2503,资金日记账!$G$4:$G$2503,$B281,资金日记账!$F$4:$F$2503,"成本-其他"),2))</f>
        <v/>
      </c>
      <c r="Q281" s="19">
        <f>IF($B281="","",ROUND(SUM($L281:$P281),2))</f>
        <v/>
      </c>
      <c r="R281" s="19">
        <f>IF($B281="","",ROUND($I281-$Q281,2))</f>
        <v/>
      </c>
      <c r="S281" s="33">
        <f>IF($B281="","",IF(ROUND($I281,2)=0,"",ROUND($R281/$I281,4)))</f>
        <v/>
      </c>
      <c r="T281" s="22">
        <f>IF($B281="","",IF($G281="",0,YEAR($G281)*100+MONTH($G281)))</f>
        <v/>
      </c>
      <c r="U281" s="17">
        <f>IF($B281="","",IF(项目台账!$R280="","",项目台账!$R280))</f>
        <v/>
      </c>
    </row>
    <row r="282">
      <c r="A282" s="17">
        <f>IF(项目台账!$B281="","",项目台账!$A281)</f>
        <v/>
      </c>
      <c r="B282" s="17">
        <f>IF(项目台账!$B281="","",项目台账!$B281)</f>
        <v/>
      </c>
      <c r="C282" s="17">
        <f>IF($B282="","",IF(项目台账!$C281="","",项目台账!$C281))</f>
        <v/>
      </c>
      <c r="D282" s="17">
        <f>IF($B282="","",IF(项目台账!$D281="","",项目台账!$D281))</f>
        <v/>
      </c>
      <c r="E282" s="17">
        <f>IF($B282="","",IF(项目台账!$E281="","",项目台账!$E281))</f>
        <v/>
      </c>
      <c r="F282" s="23">
        <f>IF($B282="","",IF(项目台账!$F281="","",项目台账!$F281))</f>
        <v/>
      </c>
      <c r="G282" s="23">
        <f>IF($B282="","",IF(项目台账!$J281="","",项目台账!$J281))</f>
        <v/>
      </c>
      <c r="H282" s="17">
        <f>IF($B282="","",IF(项目台账!$Q281="","",项目台账!$Q281))</f>
        <v/>
      </c>
      <c r="I282" s="19">
        <f>IF($B282="","",项目台账!$M281)</f>
        <v/>
      </c>
      <c r="J282" s="19">
        <f>IF($B282="","",项目台账!$O281)</f>
        <v/>
      </c>
      <c r="K282" s="19">
        <f>IF($B282="","",项目台账!$P281)</f>
        <v/>
      </c>
      <c r="L282" s="19">
        <f>IF($B282="","",ROUND(SUMIFS(采购单!$L$4:$L$2003,采购单!$D$4:$D$2003,$B282,采购单!$F$4:$F$2003,"成本-主材")+SUMIFS(生产安装!$J$4:$J$1203,生产安装!$C$4:$C$1203,$B282,生产安装!$E$4:$E$1203,"成本-主材")+SUMIFS(资金日记账!$K$4:$K$2503,资金日记账!$G$4:$G$2503,$B282,资金日记账!$F$4:$F$2503,"成本-主材")-SUMIFS(资金日记账!$J$4:$J$2503,资金日记账!$G$4:$G$2503,$B282,资金日记账!$F$4:$F$2503,"成本-主材"),2))</f>
        <v/>
      </c>
      <c r="M282" s="19">
        <f>IF($B282="","",ROUND(SUMIFS(采购单!$L$4:$L$2003,采购单!$D$4:$D$2003,$B282,采购单!$F$4:$F$2003,"成本-辅材")+SUMIFS(生产安装!$J$4:$J$1203,生产安装!$C$4:$C$1203,$B282,生产安装!$E$4:$E$1203,"成本-辅材")+SUMIFS(资金日记账!$K$4:$K$2503,资金日记账!$G$4:$G$2503,$B282,资金日记账!$F$4:$F$2503,"成本-辅材")-SUMIFS(资金日记账!$J$4:$J$2503,资金日记账!$G$4:$G$2503,$B282,资金日记账!$F$4:$F$2503,"成本-辅材"),2))</f>
        <v/>
      </c>
      <c r="N282" s="19">
        <f>IF($B282="","",ROUND(SUMIFS(采购单!$L$4:$L$2003,采购单!$D$4:$D$2003,$B282,采购单!$F$4:$F$2003,"成本-人工")+SUMIFS(生产安装!$J$4:$J$1203,生产安装!$C$4:$C$1203,$B282,生产安装!$E$4:$E$1203,"成本-人工")+SUMIFS(资金日记账!$K$4:$K$2503,资金日记账!$G$4:$G$2503,$B282,资金日记账!$F$4:$F$2503,"成本-人工")-SUMIFS(资金日记账!$J$4:$J$2503,资金日记账!$G$4:$G$2503,$B282,资金日记账!$F$4:$F$2503,"成本-人工"),2))</f>
        <v/>
      </c>
      <c r="O282" s="19">
        <f>IF($B282="","",ROUND(SUMIFS(采购单!$L$4:$L$2003,采购单!$D$4:$D$2003,$B282,采购单!$F$4:$F$2003,"成本-车运")+SUMIFS(生产安装!$J$4:$J$1203,生产安装!$C$4:$C$1203,$B282,生产安装!$E$4:$E$1203,"成本-车运")+SUMIFS(资金日记账!$K$4:$K$2503,资金日记账!$G$4:$G$2503,$B282,资金日记账!$F$4:$F$2503,"成本-车运")-SUMIFS(资金日记账!$J$4:$J$2503,资金日记账!$G$4:$G$2503,$B282,资金日记账!$F$4:$F$2503,"成本-车运"),2))</f>
        <v/>
      </c>
      <c r="P282" s="19">
        <f>IF($B282="","",ROUND(SUMIFS(采购单!$L$4:$L$2003,采购单!$D$4:$D$2003,$B282,采购单!$F$4:$F$2003,"成本-其他")+SUMIFS(生产安装!$J$4:$J$1203,生产安装!$C$4:$C$1203,$B282,生产安装!$E$4:$E$1203,"成本-其他")+SUMIFS(资金日记账!$K$4:$K$2503,资金日记账!$G$4:$G$2503,$B282,资金日记账!$F$4:$F$2503,"成本-其他")-SUMIFS(资金日记账!$J$4:$J$2503,资金日记账!$G$4:$G$2503,$B282,资金日记账!$F$4:$F$2503,"成本-其他"),2))</f>
        <v/>
      </c>
      <c r="Q282" s="19">
        <f>IF($B282="","",ROUND(SUM($L282:$P282),2))</f>
        <v/>
      </c>
      <c r="R282" s="19">
        <f>IF($B282="","",ROUND($I282-$Q282,2))</f>
        <v/>
      </c>
      <c r="S282" s="33">
        <f>IF($B282="","",IF(ROUND($I282,2)=0,"",ROUND($R282/$I282,4)))</f>
        <v/>
      </c>
      <c r="T282" s="22">
        <f>IF($B282="","",IF($G282="",0,YEAR($G282)*100+MONTH($G282)))</f>
        <v/>
      </c>
      <c r="U282" s="17">
        <f>IF($B282="","",IF(项目台账!$R281="","",项目台账!$R281))</f>
        <v/>
      </c>
    </row>
    <row r="283">
      <c r="A283" s="17">
        <f>IF(项目台账!$B282="","",项目台账!$A282)</f>
        <v/>
      </c>
      <c r="B283" s="17">
        <f>IF(项目台账!$B282="","",项目台账!$B282)</f>
        <v/>
      </c>
      <c r="C283" s="17">
        <f>IF($B283="","",IF(项目台账!$C282="","",项目台账!$C282))</f>
        <v/>
      </c>
      <c r="D283" s="17">
        <f>IF($B283="","",IF(项目台账!$D282="","",项目台账!$D282))</f>
        <v/>
      </c>
      <c r="E283" s="17">
        <f>IF($B283="","",IF(项目台账!$E282="","",项目台账!$E282))</f>
        <v/>
      </c>
      <c r="F283" s="23">
        <f>IF($B283="","",IF(项目台账!$F282="","",项目台账!$F282))</f>
        <v/>
      </c>
      <c r="G283" s="23">
        <f>IF($B283="","",IF(项目台账!$J282="","",项目台账!$J282))</f>
        <v/>
      </c>
      <c r="H283" s="17">
        <f>IF($B283="","",IF(项目台账!$Q282="","",项目台账!$Q282))</f>
        <v/>
      </c>
      <c r="I283" s="19">
        <f>IF($B283="","",项目台账!$M282)</f>
        <v/>
      </c>
      <c r="J283" s="19">
        <f>IF($B283="","",项目台账!$O282)</f>
        <v/>
      </c>
      <c r="K283" s="19">
        <f>IF($B283="","",项目台账!$P282)</f>
        <v/>
      </c>
      <c r="L283" s="19">
        <f>IF($B283="","",ROUND(SUMIFS(采购单!$L$4:$L$2003,采购单!$D$4:$D$2003,$B283,采购单!$F$4:$F$2003,"成本-主材")+SUMIFS(生产安装!$J$4:$J$1203,生产安装!$C$4:$C$1203,$B283,生产安装!$E$4:$E$1203,"成本-主材")+SUMIFS(资金日记账!$K$4:$K$2503,资金日记账!$G$4:$G$2503,$B283,资金日记账!$F$4:$F$2503,"成本-主材")-SUMIFS(资金日记账!$J$4:$J$2503,资金日记账!$G$4:$G$2503,$B283,资金日记账!$F$4:$F$2503,"成本-主材"),2))</f>
        <v/>
      </c>
      <c r="M283" s="19">
        <f>IF($B283="","",ROUND(SUMIFS(采购单!$L$4:$L$2003,采购单!$D$4:$D$2003,$B283,采购单!$F$4:$F$2003,"成本-辅材")+SUMIFS(生产安装!$J$4:$J$1203,生产安装!$C$4:$C$1203,$B283,生产安装!$E$4:$E$1203,"成本-辅材")+SUMIFS(资金日记账!$K$4:$K$2503,资金日记账!$G$4:$G$2503,$B283,资金日记账!$F$4:$F$2503,"成本-辅材")-SUMIFS(资金日记账!$J$4:$J$2503,资金日记账!$G$4:$G$2503,$B283,资金日记账!$F$4:$F$2503,"成本-辅材"),2))</f>
        <v/>
      </c>
      <c r="N283" s="19">
        <f>IF($B283="","",ROUND(SUMIFS(采购单!$L$4:$L$2003,采购单!$D$4:$D$2003,$B283,采购单!$F$4:$F$2003,"成本-人工")+SUMIFS(生产安装!$J$4:$J$1203,生产安装!$C$4:$C$1203,$B283,生产安装!$E$4:$E$1203,"成本-人工")+SUMIFS(资金日记账!$K$4:$K$2503,资金日记账!$G$4:$G$2503,$B283,资金日记账!$F$4:$F$2503,"成本-人工")-SUMIFS(资金日记账!$J$4:$J$2503,资金日记账!$G$4:$G$2503,$B283,资金日记账!$F$4:$F$2503,"成本-人工"),2))</f>
        <v/>
      </c>
      <c r="O283" s="19">
        <f>IF($B283="","",ROUND(SUMIFS(采购单!$L$4:$L$2003,采购单!$D$4:$D$2003,$B283,采购单!$F$4:$F$2003,"成本-车运")+SUMIFS(生产安装!$J$4:$J$1203,生产安装!$C$4:$C$1203,$B283,生产安装!$E$4:$E$1203,"成本-车运")+SUMIFS(资金日记账!$K$4:$K$2503,资金日记账!$G$4:$G$2503,$B283,资金日记账!$F$4:$F$2503,"成本-车运")-SUMIFS(资金日记账!$J$4:$J$2503,资金日记账!$G$4:$G$2503,$B283,资金日记账!$F$4:$F$2503,"成本-车运"),2))</f>
        <v/>
      </c>
      <c r="P283" s="19">
        <f>IF($B283="","",ROUND(SUMIFS(采购单!$L$4:$L$2003,采购单!$D$4:$D$2003,$B283,采购单!$F$4:$F$2003,"成本-其他")+SUMIFS(生产安装!$J$4:$J$1203,生产安装!$C$4:$C$1203,$B283,生产安装!$E$4:$E$1203,"成本-其他")+SUMIFS(资金日记账!$K$4:$K$2503,资金日记账!$G$4:$G$2503,$B283,资金日记账!$F$4:$F$2503,"成本-其他")-SUMIFS(资金日记账!$J$4:$J$2503,资金日记账!$G$4:$G$2503,$B283,资金日记账!$F$4:$F$2503,"成本-其他"),2))</f>
        <v/>
      </c>
      <c r="Q283" s="19">
        <f>IF($B283="","",ROUND(SUM($L283:$P283),2))</f>
        <v/>
      </c>
      <c r="R283" s="19">
        <f>IF($B283="","",ROUND($I283-$Q283,2))</f>
        <v/>
      </c>
      <c r="S283" s="33">
        <f>IF($B283="","",IF(ROUND($I283,2)=0,"",ROUND($R283/$I283,4)))</f>
        <v/>
      </c>
      <c r="T283" s="22">
        <f>IF($B283="","",IF($G283="",0,YEAR($G283)*100+MONTH($G283)))</f>
        <v/>
      </c>
      <c r="U283" s="17">
        <f>IF($B283="","",IF(项目台账!$R282="","",项目台账!$R282))</f>
        <v/>
      </c>
    </row>
    <row r="284">
      <c r="A284" s="17">
        <f>IF(项目台账!$B283="","",项目台账!$A283)</f>
        <v/>
      </c>
      <c r="B284" s="17">
        <f>IF(项目台账!$B283="","",项目台账!$B283)</f>
        <v/>
      </c>
      <c r="C284" s="17">
        <f>IF($B284="","",IF(项目台账!$C283="","",项目台账!$C283))</f>
        <v/>
      </c>
      <c r="D284" s="17">
        <f>IF($B284="","",IF(项目台账!$D283="","",项目台账!$D283))</f>
        <v/>
      </c>
      <c r="E284" s="17">
        <f>IF($B284="","",IF(项目台账!$E283="","",项目台账!$E283))</f>
        <v/>
      </c>
      <c r="F284" s="23">
        <f>IF($B284="","",IF(项目台账!$F283="","",项目台账!$F283))</f>
        <v/>
      </c>
      <c r="G284" s="23">
        <f>IF($B284="","",IF(项目台账!$J283="","",项目台账!$J283))</f>
        <v/>
      </c>
      <c r="H284" s="17">
        <f>IF($B284="","",IF(项目台账!$Q283="","",项目台账!$Q283))</f>
        <v/>
      </c>
      <c r="I284" s="19">
        <f>IF($B284="","",项目台账!$M283)</f>
        <v/>
      </c>
      <c r="J284" s="19">
        <f>IF($B284="","",项目台账!$O283)</f>
        <v/>
      </c>
      <c r="K284" s="19">
        <f>IF($B284="","",项目台账!$P283)</f>
        <v/>
      </c>
      <c r="L284" s="19">
        <f>IF($B284="","",ROUND(SUMIFS(采购单!$L$4:$L$2003,采购单!$D$4:$D$2003,$B284,采购单!$F$4:$F$2003,"成本-主材")+SUMIFS(生产安装!$J$4:$J$1203,生产安装!$C$4:$C$1203,$B284,生产安装!$E$4:$E$1203,"成本-主材")+SUMIFS(资金日记账!$K$4:$K$2503,资金日记账!$G$4:$G$2503,$B284,资金日记账!$F$4:$F$2503,"成本-主材")-SUMIFS(资金日记账!$J$4:$J$2503,资金日记账!$G$4:$G$2503,$B284,资金日记账!$F$4:$F$2503,"成本-主材"),2))</f>
        <v/>
      </c>
      <c r="M284" s="19">
        <f>IF($B284="","",ROUND(SUMIFS(采购单!$L$4:$L$2003,采购单!$D$4:$D$2003,$B284,采购单!$F$4:$F$2003,"成本-辅材")+SUMIFS(生产安装!$J$4:$J$1203,生产安装!$C$4:$C$1203,$B284,生产安装!$E$4:$E$1203,"成本-辅材")+SUMIFS(资金日记账!$K$4:$K$2503,资金日记账!$G$4:$G$2503,$B284,资金日记账!$F$4:$F$2503,"成本-辅材")-SUMIFS(资金日记账!$J$4:$J$2503,资金日记账!$G$4:$G$2503,$B284,资金日记账!$F$4:$F$2503,"成本-辅材"),2))</f>
        <v/>
      </c>
      <c r="N284" s="19">
        <f>IF($B284="","",ROUND(SUMIFS(采购单!$L$4:$L$2003,采购单!$D$4:$D$2003,$B284,采购单!$F$4:$F$2003,"成本-人工")+SUMIFS(生产安装!$J$4:$J$1203,生产安装!$C$4:$C$1203,$B284,生产安装!$E$4:$E$1203,"成本-人工")+SUMIFS(资金日记账!$K$4:$K$2503,资金日记账!$G$4:$G$2503,$B284,资金日记账!$F$4:$F$2503,"成本-人工")-SUMIFS(资金日记账!$J$4:$J$2503,资金日记账!$G$4:$G$2503,$B284,资金日记账!$F$4:$F$2503,"成本-人工"),2))</f>
        <v/>
      </c>
      <c r="O284" s="19">
        <f>IF($B284="","",ROUND(SUMIFS(采购单!$L$4:$L$2003,采购单!$D$4:$D$2003,$B284,采购单!$F$4:$F$2003,"成本-车运")+SUMIFS(生产安装!$J$4:$J$1203,生产安装!$C$4:$C$1203,$B284,生产安装!$E$4:$E$1203,"成本-车运")+SUMIFS(资金日记账!$K$4:$K$2503,资金日记账!$G$4:$G$2503,$B284,资金日记账!$F$4:$F$2503,"成本-车运")-SUMIFS(资金日记账!$J$4:$J$2503,资金日记账!$G$4:$G$2503,$B284,资金日记账!$F$4:$F$2503,"成本-车运"),2))</f>
        <v/>
      </c>
      <c r="P284" s="19">
        <f>IF($B284="","",ROUND(SUMIFS(采购单!$L$4:$L$2003,采购单!$D$4:$D$2003,$B284,采购单!$F$4:$F$2003,"成本-其他")+SUMIFS(生产安装!$J$4:$J$1203,生产安装!$C$4:$C$1203,$B284,生产安装!$E$4:$E$1203,"成本-其他")+SUMIFS(资金日记账!$K$4:$K$2503,资金日记账!$G$4:$G$2503,$B284,资金日记账!$F$4:$F$2503,"成本-其他")-SUMIFS(资金日记账!$J$4:$J$2503,资金日记账!$G$4:$G$2503,$B284,资金日记账!$F$4:$F$2503,"成本-其他"),2))</f>
        <v/>
      </c>
      <c r="Q284" s="19">
        <f>IF($B284="","",ROUND(SUM($L284:$P284),2))</f>
        <v/>
      </c>
      <c r="R284" s="19">
        <f>IF($B284="","",ROUND($I284-$Q284,2))</f>
        <v/>
      </c>
      <c r="S284" s="33">
        <f>IF($B284="","",IF(ROUND($I284,2)=0,"",ROUND($R284/$I284,4)))</f>
        <v/>
      </c>
      <c r="T284" s="22">
        <f>IF($B284="","",IF($G284="",0,YEAR($G284)*100+MONTH($G284)))</f>
        <v/>
      </c>
      <c r="U284" s="17">
        <f>IF($B284="","",IF(项目台账!$R283="","",项目台账!$R283))</f>
        <v/>
      </c>
    </row>
    <row r="285">
      <c r="A285" s="17">
        <f>IF(项目台账!$B284="","",项目台账!$A284)</f>
        <v/>
      </c>
      <c r="B285" s="17">
        <f>IF(项目台账!$B284="","",项目台账!$B284)</f>
        <v/>
      </c>
      <c r="C285" s="17">
        <f>IF($B285="","",IF(项目台账!$C284="","",项目台账!$C284))</f>
        <v/>
      </c>
      <c r="D285" s="17">
        <f>IF($B285="","",IF(项目台账!$D284="","",项目台账!$D284))</f>
        <v/>
      </c>
      <c r="E285" s="17">
        <f>IF($B285="","",IF(项目台账!$E284="","",项目台账!$E284))</f>
        <v/>
      </c>
      <c r="F285" s="23">
        <f>IF($B285="","",IF(项目台账!$F284="","",项目台账!$F284))</f>
        <v/>
      </c>
      <c r="G285" s="23">
        <f>IF($B285="","",IF(项目台账!$J284="","",项目台账!$J284))</f>
        <v/>
      </c>
      <c r="H285" s="17">
        <f>IF($B285="","",IF(项目台账!$Q284="","",项目台账!$Q284))</f>
        <v/>
      </c>
      <c r="I285" s="19">
        <f>IF($B285="","",项目台账!$M284)</f>
        <v/>
      </c>
      <c r="J285" s="19">
        <f>IF($B285="","",项目台账!$O284)</f>
        <v/>
      </c>
      <c r="K285" s="19">
        <f>IF($B285="","",项目台账!$P284)</f>
        <v/>
      </c>
      <c r="L285" s="19">
        <f>IF($B285="","",ROUND(SUMIFS(采购单!$L$4:$L$2003,采购单!$D$4:$D$2003,$B285,采购单!$F$4:$F$2003,"成本-主材")+SUMIFS(生产安装!$J$4:$J$1203,生产安装!$C$4:$C$1203,$B285,生产安装!$E$4:$E$1203,"成本-主材")+SUMIFS(资金日记账!$K$4:$K$2503,资金日记账!$G$4:$G$2503,$B285,资金日记账!$F$4:$F$2503,"成本-主材")-SUMIFS(资金日记账!$J$4:$J$2503,资金日记账!$G$4:$G$2503,$B285,资金日记账!$F$4:$F$2503,"成本-主材"),2))</f>
        <v/>
      </c>
      <c r="M285" s="19">
        <f>IF($B285="","",ROUND(SUMIFS(采购单!$L$4:$L$2003,采购单!$D$4:$D$2003,$B285,采购单!$F$4:$F$2003,"成本-辅材")+SUMIFS(生产安装!$J$4:$J$1203,生产安装!$C$4:$C$1203,$B285,生产安装!$E$4:$E$1203,"成本-辅材")+SUMIFS(资金日记账!$K$4:$K$2503,资金日记账!$G$4:$G$2503,$B285,资金日记账!$F$4:$F$2503,"成本-辅材")-SUMIFS(资金日记账!$J$4:$J$2503,资金日记账!$G$4:$G$2503,$B285,资金日记账!$F$4:$F$2503,"成本-辅材"),2))</f>
        <v/>
      </c>
      <c r="N285" s="19">
        <f>IF($B285="","",ROUND(SUMIFS(采购单!$L$4:$L$2003,采购单!$D$4:$D$2003,$B285,采购单!$F$4:$F$2003,"成本-人工")+SUMIFS(生产安装!$J$4:$J$1203,生产安装!$C$4:$C$1203,$B285,生产安装!$E$4:$E$1203,"成本-人工")+SUMIFS(资金日记账!$K$4:$K$2503,资金日记账!$G$4:$G$2503,$B285,资金日记账!$F$4:$F$2503,"成本-人工")-SUMIFS(资金日记账!$J$4:$J$2503,资金日记账!$G$4:$G$2503,$B285,资金日记账!$F$4:$F$2503,"成本-人工"),2))</f>
        <v/>
      </c>
      <c r="O285" s="19">
        <f>IF($B285="","",ROUND(SUMIFS(采购单!$L$4:$L$2003,采购单!$D$4:$D$2003,$B285,采购单!$F$4:$F$2003,"成本-车运")+SUMIFS(生产安装!$J$4:$J$1203,生产安装!$C$4:$C$1203,$B285,生产安装!$E$4:$E$1203,"成本-车运")+SUMIFS(资金日记账!$K$4:$K$2503,资金日记账!$G$4:$G$2503,$B285,资金日记账!$F$4:$F$2503,"成本-车运")-SUMIFS(资金日记账!$J$4:$J$2503,资金日记账!$G$4:$G$2503,$B285,资金日记账!$F$4:$F$2503,"成本-车运"),2))</f>
        <v/>
      </c>
      <c r="P285" s="19">
        <f>IF($B285="","",ROUND(SUMIFS(采购单!$L$4:$L$2003,采购单!$D$4:$D$2003,$B285,采购单!$F$4:$F$2003,"成本-其他")+SUMIFS(生产安装!$J$4:$J$1203,生产安装!$C$4:$C$1203,$B285,生产安装!$E$4:$E$1203,"成本-其他")+SUMIFS(资金日记账!$K$4:$K$2503,资金日记账!$G$4:$G$2503,$B285,资金日记账!$F$4:$F$2503,"成本-其他")-SUMIFS(资金日记账!$J$4:$J$2503,资金日记账!$G$4:$G$2503,$B285,资金日记账!$F$4:$F$2503,"成本-其他"),2))</f>
        <v/>
      </c>
      <c r="Q285" s="19">
        <f>IF($B285="","",ROUND(SUM($L285:$P285),2))</f>
        <v/>
      </c>
      <c r="R285" s="19">
        <f>IF($B285="","",ROUND($I285-$Q285,2))</f>
        <v/>
      </c>
      <c r="S285" s="33">
        <f>IF($B285="","",IF(ROUND($I285,2)=0,"",ROUND($R285/$I285,4)))</f>
        <v/>
      </c>
      <c r="T285" s="22">
        <f>IF($B285="","",IF($G285="",0,YEAR($G285)*100+MONTH($G285)))</f>
        <v/>
      </c>
      <c r="U285" s="17">
        <f>IF($B285="","",IF(项目台账!$R284="","",项目台账!$R284))</f>
        <v/>
      </c>
    </row>
    <row r="286">
      <c r="A286" s="17">
        <f>IF(项目台账!$B285="","",项目台账!$A285)</f>
        <v/>
      </c>
      <c r="B286" s="17">
        <f>IF(项目台账!$B285="","",项目台账!$B285)</f>
        <v/>
      </c>
      <c r="C286" s="17">
        <f>IF($B286="","",IF(项目台账!$C285="","",项目台账!$C285))</f>
        <v/>
      </c>
      <c r="D286" s="17">
        <f>IF($B286="","",IF(项目台账!$D285="","",项目台账!$D285))</f>
        <v/>
      </c>
      <c r="E286" s="17">
        <f>IF($B286="","",IF(项目台账!$E285="","",项目台账!$E285))</f>
        <v/>
      </c>
      <c r="F286" s="23">
        <f>IF($B286="","",IF(项目台账!$F285="","",项目台账!$F285))</f>
        <v/>
      </c>
      <c r="G286" s="23">
        <f>IF($B286="","",IF(项目台账!$J285="","",项目台账!$J285))</f>
        <v/>
      </c>
      <c r="H286" s="17">
        <f>IF($B286="","",IF(项目台账!$Q285="","",项目台账!$Q285))</f>
        <v/>
      </c>
      <c r="I286" s="19">
        <f>IF($B286="","",项目台账!$M285)</f>
        <v/>
      </c>
      <c r="J286" s="19">
        <f>IF($B286="","",项目台账!$O285)</f>
        <v/>
      </c>
      <c r="K286" s="19">
        <f>IF($B286="","",项目台账!$P285)</f>
        <v/>
      </c>
      <c r="L286" s="19">
        <f>IF($B286="","",ROUND(SUMIFS(采购单!$L$4:$L$2003,采购单!$D$4:$D$2003,$B286,采购单!$F$4:$F$2003,"成本-主材")+SUMIFS(生产安装!$J$4:$J$1203,生产安装!$C$4:$C$1203,$B286,生产安装!$E$4:$E$1203,"成本-主材")+SUMIFS(资金日记账!$K$4:$K$2503,资金日记账!$G$4:$G$2503,$B286,资金日记账!$F$4:$F$2503,"成本-主材")-SUMIFS(资金日记账!$J$4:$J$2503,资金日记账!$G$4:$G$2503,$B286,资金日记账!$F$4:$F$2503,"成本-主材"),2))</f>
        <v/>
      </c>
      <c r="M286" s="19">
        <f>IF($B286="","",ROUND(SUMIFS(采购单!$L$4:$L$2003,采购单!$D$4:$D$2003,$B286,采购单!$F$4:$F$2003,"成本-辅材")+SUMIFS(生产安装!$J$4:$J$1203,生产安装!$C$4:$C$1203,$B286,生产安装!$E$4:$E$1203,"成本-辅材")+SUMIFS(资金日记账!$K$4:$K$2503,资金日记账!$G$4:$G$2503,$B286,资金日记账!$F$4:$F$2503,"成本-辅材")-SUMIFS(资金日记账!$J$4:$J$2503,资金日记账!$G$4:$G$2503,$B286,资金日记账!$F$4:$F$2503,"成本-辅材"),2))</f>
        <v/>
      </c>
      <c r="N286" s="19">
        <f>IF($B286="","",ROUND(SUMIFS(采购单!$L$4:$L$2003,采购单!$D$4:$D$2003,$B286,采购单!$F$4:$F$2003,"成本-人工")+SUMIFS(生产安装!$J$4:$J$1203,生产安装!$C$4:$C$1203,$B286,生产安装!$E$4:$E$1203,"成本-人工")+SUMIFS(资金日记账!$K$4:$K$2503,资金日记账!$G$4:$G$2503,$B286,资金日记账!$F$4:$F$2503,"成本-人工")-SUMIFS(资金日记账!$J$4:$J$2503,资金日记账!$G$4:$G$2503,$B286,资金日记账!$F$4:$F$2503,"成本-人工"),2))</f>
        <v/>
      </c>
      <c r="O286" s="19">
        <f>IF($B286="","",ROUND(SUMIFS(采购单!$L$4:$L$2003,采购单!$D$4:$D$2003,$B286,采购单!$F$4:$F$2003,"成本-车运")+SUMIFS(生产安装!$J$4:$J$1203,生产安装!$C$4:$C$1203,$B286,生产安装!$E$4:$E$1203,"成本-车运")+SUMIFS(资金日记账!$K$4:$K$2503,资金日记账!$G$4:$G$2503,$B286,资金日记账!$F$4:$F$2503,"成本-车运")-SUMIFS(资金日记账!$J$4:$J$2503,资金日记账!$G$4:$G$2503,$B286,资金日记账!$F$4:$F$2503,"成本-车运"),2))</f>
        <v/>
      </c>
      <c r="P286" s="19">
        <f>IF($B286="","",ROUND(SUMIFS(采购单!$L$4:$L$2003,采购单!$D$4:$D$2003,$B286,采购单!$F$4:$F$2003,"成本-其他")+SUMIFS(生产安装!$J$4:$J$1203,生产安装!$C$4:$C$1203,$B286,生产安装!$E$4:$E$1203,"成本-其他")+SUMIFS(资金日记账!$K$4:$K$2503,资金日记账!$G$4:$G$2503,$B286,资金日记账!$F$4:$F$2503,"成本-其他")-SUMIFS(资金日记账!$J$4:$J$2503,资金日记账!$G$4:$G$2503,$B286,资金日记账!$F$4:$F$2503,"成本-其他"),2))</f>
        <v/>
      </c>
      <c r="Q286" s="19">
        <f>IF($B286="","",ROUND(SUM($L286:$P286),2))</f>
        <v/>
      </c>
      <c r="R286" s="19">
        <f>IF($B286="","",ROUND($I286-$Q286,2))</f>
        <v/>
      </c>
      <c r="S286" s="33">
        <f>IF($B286="","",IF(ROUND($I286,2)=0,"",ROUND($R286/$I286,4)))</f>
        <v/>
      </c>
      <c r="T286" s="22">
        <f>IF($B286="","",IF($G286="",0,YEAR($G286)*100+MONTH($G286)))</f>
        <v/>
      </c>
      <c r="U286" s="17">
        <f>IF($B286="","",IF(项目台账!$R285="","",项目台账!$R285))</f>
        <v/>
      </c>
    </row>
    <row r="287">
      <c r="A287" s="17">
        <f>IF(项目台账!$B286="","",项目台账!$A286)</f>
        <v/>
      </c>
      <c r="B287" s="17">
        <f>IF(项目台账!$B286="","",项目台账!$B286)</f>
        <v/>
      </c>
      <c r="C287" s="17">
        <f>IF($B287="","",IF(项目台账!$C286="","",项目台账!$C286))</f>
        <v/>
      </c>
      <c r="D287" s="17">
        <f>IF($B287="","",IF(项目台账!$D286="","",项目台账!$D286))</f>
        <v/>
      </c>
      <c r="E287" s="17">
        <f>IF($B287="","",IF(项目台账!$E286="","",项目台账!$E286))</f>
        <v/>
      </c>
      <c r="F287" s="23">
        <f>IF($B287="","",IF(项目台账!$F286="","",项目台账!$F286))</f>
        <v/>
      </c>
      <c r="G287" s="23">
        <f>IF($B287="","",IF(项目台账!$J286="","",项目台账!$J286))</f>
        <v/>
      </c>
      <c r="H287" s="17">
        <f>IF($B287="","",IF(项目台账!$Q286="","",项目台账!$Q286))</f>
        <v/>
      </c>
      <c r="I287" s="19">
        <f>IF($B287="","",项目台账!$M286)</f>
        <v/>
      </c>
      <c r="J287" s="19">
        <f>IF($B287="","",项目台账!$O286)</f>
        <v/>
      </c>
      <c r="K287" s="19">
        <f>IF($B287="","",项目台账!$P286)</f>
        <v/>
      </c>
      <c r="L287" s="19">
        <f>IF($B287="","",ROUND(SUMIFS(采购单!$L$4:$L$2003,采购单!$D$4:$D$2003,$B287,采购单!$F$4:$F$2003,"成本-主材")+SUMIFS(生产安装!$J$4:$J$1203,生产安装!$C$4:$C$1203,$B287,生产安装!$E$4:$E$1203,"成本-主材")+SUMIFS(资金日记账!$K$4:$K$2503,资金日记账!$G$4:$G$2503,$B287,资金日记账!$F$4:$F$2503,"成本-主材")-SUMIFS(资金日记账!$J$4:$J$2503,资金日记账!$G$4:$G$2503,$B287,资金日记账!$F$4:$F$2503,"成本-主材"),2))</f>
        <v/>
      </c>
      <c r="M287" s="19">
        <f>IF($B287="","",ROUND(SUMIFS(采购单!$L$4:$L$2003,采购单!$D$4:$D$2003,$B287,采购单!$F$4:$F$2003,"成本-辅材")+SUMIFS(生产安装!$J$4:$J$1203,生产安装!$C$4:$C$1203,$B287,生产安装!$E$4:$E$1203,"成本-辅材")+SUMIFS(资金日记账!$K$4:$K$2503,资金日记账!$G$4:$G$2503,$B287,资金日记账!$F$4:$F$2503,"成本-辅材")-SUMIFS(资金日记账!$J$4:$J$2503,资金日记账!$G$4:$G$2503,$B287,资金日记账!$F$4:$F$2503,"成本-辅材"),2))</f>
        <v/>
      </c>
      <c r="N287" s="19">
        <f>IF($B287="","",ROUND(SUMIFS(采购单!$L$4:$L$2003,采购单!$D$4:$D$2003,$B287,采购单!$F$4:$F$2003,"成本-人工")+SUMIFS(生产安装!$J$4:$J$1203,生产安装!$C$4:$C$1203,$B287,生产安装!$E$4:$E$1203,"成本-人工")+SUMIFS(资金日记账!$K$4:$K$2503,资金日记账!$G$4:$G$2503,$B287,资金日记账!$F$4:$F$2503,"成本-人工")-SUMIFS(资金日记账!$J$4:$J$2503,资金日记账!$G$4:$G$2503,$B287,资金日记账!$F$4:$F$2503,"成本-人工"),2))</f>
        <v/>
      </c>
      <c r="O287" s="19">
        <f>IF($B287="","",ROUND(SUMIFS(采购单!$L$4:$L$2003,采购单!$D$4:$D$2003,$B287,采购单!$F$4:$F$2003,"成本-车运")+SUMIFS(生产安装!$J$4:$J$1203,生产安装!$C$4:$C$1203,$B287,生产安装!$E$4:$E$1203,"成本-车运")+SUMIFS(资金日记账!$K$4:$K$2503,资金日记账!$G$4:$G$2503,$B287,资金日记账!$F$4:$F$2503,"成本-车运")-SUMIFS(资金日记账!$J$4:$J$2503,资金日记账!$G$4:$G$2503,$B287,资金日记账!$F$4:$F$2503,"成本-车运"),2))</f>
        <v/>
      </c>
      <c r="P287" s="19">
        <f>IF($B287="","",ROUND(SUMIFS(采购单!$L$4:$L$2003,采购单!$D$4:$D$2003,$B287,采购单!$F$4:$F$2003,"成本-其他")+SUMIFS(生产安装!$J$4:$J$1203,生产安装!$C$4:$C$1203,$B287,生产安装!$E$4:$E$1203,"成本-其他")+SUMIFS(资金日记账!$K$4:$K$2503,资金日记账!$G$4:$G$2503,$B287,资金日记账!$F$4:$F$2503,"成本-其他")-SUMIFS(资金日记账!$J$4:$J$2503,资金日记账!$G$4:$G$2503,$B287,资金日记账!$F$4:$F$2503,"成本-其他"),2))</f>
        <v/>
      </c>
      <c r="Q287" s="19">
        <f>IF($B287="","",ROUND(SUM($L287:$P287),2))</f>
        <v/>
      </c>
      <c r="R287" s="19">
        <f>IF($B287="","",ROUND($I287-$Q287,2))</f>
        <v/>
      </c>
      <c r="S287" s="33">
        <f>IF($B287="","",IF(ROUND($I287,2)=0,"",ROUND($R287/$I287,4)))</f>
        <v/>
      </c>
      <c r="T287" s="22">
        <f>IF($B287="","",IF($G287="",0,YEAR($G287)*100+MONTH($G287)))</f>
        <v/>
      </c>
      <c r="U287" s="17">
        <f>IF($B287="","",IF(项目台账!$R286="","",项目台账!$R286))</f>
        <v/>
      </c>
    </row>
    <row r="288">
      <c r="A288" s="17">
        <f>IF(项目台账!$B287="","",项目台账!$A287)</f>
        <v/>
      </c>
      <c r="B288" s="17">
        <f>IF(项目台账!$B287="","",项目台账!$B287)</f>
        <v/>
      </c>
      <c r="C288" s="17">
        <f>IF($B288="","",IF(项目台账!$C287="","",项目台账!$C287))</f>
        <v/>
      </c>
      <c r="D288" s="17">
        <f>IF($B288="","",IF(项目台账!$D287="","",项目台账!$D287))</f>
        <v/>
      </c>
      <c r="E288" s="17">
        <f>IF($B288="","",IF(项目台账!$E287="","",项目台账!$E287))</f>
        <v/>
      </c>
      <c r="F288" s="23">
        <f>IF($B288="","",IF(项目台账!$F287="","",项目台账!$F287))</f>
        <v/>
      </c>
      <c r="G288" s="23">
        <f>IF($B288="","",IF(项目台账!$J287="","",项目台账!$J287))</f>
        <v/>
      </c>
      <c r="H288" s="17">
        <f>IF($B288="","",IF(项目台账!$Q287="","",项目台账!$Q287))</f>
        <v/>
      </c>
      <c r="I288" s="19">
        <f>IF($B288="","",项目台账!$M287)</f>
        <v/>
      </c>
      <c r="J288" s="19">
        <f>IF($B288="","",项目台账!$O287)</f>
        <v/>
      </c>
      <c r="K288" s="19">
        <f>IF($B288="","",项目台账!$P287)</f>
        <v/>
      </c>
      <c r="L288" s="19">
        <f>IF($B288="","",ROUND(SUMIFS(采购单!$L$4:$L$2003,采购单!$D$4:$D$2003,$B288,采购单!$F$4:$F$2003,"成本-主材")+SUMIFS(生产安装!$J$4:$J$1203,生产安装!$C$4:$C$1203,$B288,生产安装!$E$4:$E$1203,"成本-主材")+SUMIFS(资金日记账!$K$4:$K$2503,资金日记账!$G$4:$G$2503,$B288,资金日记账!$F$4:$F$2503,"成本-主材")-SUMIFS(资金日记账!$J$4:$J$2503,资金日记账!$G$4:$G$2503,$B288,资金日记账!$F$4:$F$2503,"成本-主材"),2))</f>
        <v/>
      </c>
      <c r="M288" s="19">
        <f>IF($B288="","",ROUND(SUMIFS(采购单!$L$4:$L$2003,采购单!$D$4:$D$2003,$B288,采购单!$F$4:$F$2003,"成本-辅材")+SUMIFS(生产安装!$J$4:$J$1203,生产安装!$C$4:$C$1203,$B288,生产安装!$E$4:$E$1203,"成本-辅材")+SUMIFS(资金日记账!$K$4:$K$2503,资金日记账!$G$4:$G$2503,$B288,资金日记账!$F$4:$F$2503,"成本-辅材")-SUMIFS(资金日记账!$J$4:$J$2503,资金日记账!$G$4:$G$2503,$B288,资金日记账!$F$4:$F$2503,"成本-辅材"),2))</f>
        <v/>
      </c>
      <c r="N288" s="19">
        <f>IF($B288="","",ROUND(SUMIFS(采购单!$L$4:$L$2003,采购单!$D$4:$D$2003,$B288,采购单!$F$4:$F$2003,"成本-人工")+SUMIFS(生产安装!$J$4:$J$1203,生产安装!$C$4:$C$1203,$B288,生产安装!$E$4:$E$1203,"成本-人工")+SUMIFS(资金日记账!$K$4:$K$2503,资金日记账!$G$4:$G$2503,$B288,资金日记账!$F$4:$F$2503,"成本-人工")-SUMIFS(资金日记账!$J$4:$J$2503,资金日记账!$G$4:$G$2503,$B288,资金日记账!$F$4:$F$2503,"成本-人工"),2))</f>
        <v/>
      </c>
      <c r="O288" s="19">
        <f>IF($B288="","",ROUND(SUMIFS(采购单!$L$4:$L$2003,采购单!$D$4:$D$2003,$B288,采购单!$F$4:$F$2003,"成本-车运")+SUMIFS(生产安装!$J$4:$J$1203,生产安装!$C$4:$C$1203,$B288,生产安装!$E$4:$E$1203,"成本-车运")+SUMIFS(资金日记账!$K$4:$K$2503,资金日记账!$G$4:$G$2503,$B288,资金日记账!$F$4:$F$2503,"成本-车运")-SUMIFS(资金日记账!$J$4:$J$2503,资金日记账!$G$4:$G$2503,$B288,资金日记账!$F$4:$F$2503,"成本-车运"),2))</f>
        <v/>
      </c>
      <c r="P288" s="19">
        <f>IF($B288="","",ROUND(SUMIFS(采购单!$L$4:$L$2003,采购单!$D$4:$D$2003,$B288,采购单!$F$4:$F$2003,"成本-其他")+SUMIFS(生产安装!$J$4:$J$1203,生产安装!$C$4:$C$1203,$B288,生产安装!$E$4:$E$1203,"成本-其他")+SUMIFS(资金日记账!$K$4:$K$2503,资金日记账!$G$4:$G$2503,$B288,资金日记账!$F$4:$F$2503,"成本-其他")-SUMIFS(资金日记账!$J$4:$J$2503,资金日记账!$G$4:$G$2503,$B288,资金日记账!$F$4:$F$2503,"成本-其他"),2))</f>
        <v/>
      </c>
      <c r="Q288" s="19">
        <f>IF($B288="","",ROUND(SUM($L288:$P288),2))</f>
        <v/>
      </c>
      <c r="R288" s="19">
        <f>IF($B288="","",ROUND($I288-$Q288,2))</f>
        <v/>
      </c>
      <c r="S288" s="33">
        <f>IF($B288="","",IF(ROUND($I288,2)=0,"",ROUND($R288/$I288,4)))</f>
        <v/>
      </c>
      <c r="T288" s="22">
        <f>IF($B288="","",IF($G288="",0,YEAR($G288)*100+MONTH($G288)))</f>
        <v/>
      </c>
      <c r="U288" s="17">
        <f>IF($B288="","",IF(项目台账!$R287="","",项目台账!$R287))</f>
        <v/>
      </c>
    </row>
    <row r="289">
      <c r="A289" s="17">
        <f>IF(项目台账!$B288="","",项目台账!$A288)</f>
        <v/>
      </c>
      <c r="B289" s="17">
        <f>IF(项目台账!$B288="","",项目台账!$B288)</f>
        <v/>
      </c>
      <c r="C289" s="17">
        <f>IF($B289="","",IF(项目台账!$C288="","",项目台账!$C288))</f>
        <v/>
      </c>
      <c r="D289" s="17">
        <f>IF($B289="","",IF(项目台账!$D288="","",项目台账!$D288))</f>
        <v/>
      </c>
      <c r="E289" s="17">
        <f>IF($B289="","",IF(项目台账!$E288="","",项目台账!$E288))</f>
        <v/>
      </c>
      <c r="F289" s="23">
        <f>IF($B289="","",IF(项目台账!$F288="","",项目台账!$F288))</f>
        <v/>
      </c>
      <c r="G289" s="23">
        <f>IF($B289="","",IF(项目台账!$J288="","",项目台账!$J288))</f>
        <v/>
      </c>
      <c r="H289" s="17">
        <f>IF($B289="","",IF(项目台账!$Q288="","",项目台账!$Q288))</f>
        <v/>
      </c>
      <c r="I289" s="19">
        <f>IF($B289="","",项目台账!$M288)</f>
        <v/>
      </c>
      <c r="J289" s="19">
        <f>IF($B289="","",项目台账!$O288)</f>
        <v/>
      </c>
      <c r="K289" s="19">
        <f>IF($B289="","",项目台账!$P288)</f>
        <v/>
      </c>
      <c r="L289" s="19">
        <f>IF($B289="","",ROUND(SUMIFS(采购单!$L$4:$L$2003,采购单!$D$4:$D$2003,$B289,采购单!$F$4:$F$2003,"成本-主材")+SUMIFS(生产安装!$J$4:$J$1203,生产安装!$C$4:$C$1203,$B289,生产安装!$E$4:$E$1203,"成本-主材")+SUMIFS(资金日记账!$K$4:$K$2503,资金日记账!$G$4:$G$2503,$B289,资金日记账!$F$4:$F$2503,"成本-主材")-SUMIFS(资金日记账!$J$4:$J$2503,资金日记账!$G$4:$G$2503,$B289,资金日记账!$F$4:$F$2503,"成本-主材"),2))</f>
        <v/>
      </c>
      <c r="M289" s="19">
        <f>IF($B289="","",ROUND(SUMIFS(采购单!$L$4:$L$2003,采购单!$D$4:$D$2003,$B289,采购单!$F$4:$F$2003,"成本-辅材")+SUMIFS(生产安装!$J$4:$J$1203,生产安装!$C$4:$C$1203,$B289,生产安装!$E$4:$E$1203,"成本-辅材")+SUMIFS(资金日记账!$K$4:$K$2503,资金日记账!$G$4:$G$2503,$B289,资金日记账!$F$4:$F$2503,"成本-辅材")-SUMIFS(资金日记账!$J$4:$J$2503,资金日记账!$G$4:$G$2503,$B289,资金日记账!$F$4:$F$2503,"成本-辅材"),2))</f>
        <v/>
      </c>
      <c r="N289" s="19">
        <f>IF($B289="","",ROUND(SUMIFS(采购单!$L$4:$L$2003,采购单!$D$4:$D$2003,$B289,采购单!$F$4:$F$2003,"成本-人工")+SUMIFS(生产安装!$J$4:$J$1203,生产安装!$C$4:$C$1203,$B289,生产安装!$E$4:$E$1203,"成本-人工")+SUMIFS(资金日记账!$K$4:$K$2503,资金日记账!$G$4:$G$2503,$B289,资金日记账!$F$4:$F$2503,"成本-人工")-SUMIFS(资金日记账!$J$4:$J$2503,资金日记账!$G$4:$G$2503,$B289,资金日记账!$F$4:$F$2503,"成本-人工"),2))</f>
        <v/>
      </c>
      <c r="O289" s="19">
        <f>IF($B289="","",ROUND(SUMIFS(采购单!$L$4:$L$2003,采购单!$D$4:$D$2003,$B289,采购单!$F$4:$F$2003,"成本-车运")+SUMIFS(生产安装!$J$4:$J$1203,生产安装!$C$4:$C$1203,$B289,生产安装!$E$4:$E$1203,"成本-车运")+SUMIFS(资金日记账!$K$4:$K$2503,资金日记账!$G$4:$G$2503,$B289,资金日记账!$F$4:$F$2503,"成本-车运")-SUMIFS(资金日记账!$J$4:$J$2503,资金日记账!$G$4:$G$2503,$B289,资金日记账!$F$4:$F$2503,"成本-车运"),2))</f>
        <v/>
      </c>
      <c r="P289" s="19">
        <f>IF($B289="","",ROUND(SUMIFS(采购单!$L$4:$L$2003,采购单!$D$4:$D$2003,$B289,采购单!$F$4:$F$2003,"成本-其他")+SUMIFS(生产安装!$J$4:$J$1203,生产安装!$C$4:$C$1203,$B289,生产安装!$E$4:$E$1203,"成本-其他")+SUMIFS(资金日记账!$K$4:$K$2503,资金日记账!$G$4:$G$2503,$B289,资金日记账!$F$4:$F$2503,"成本-其他")-SUMIFS(资金日记账!$J$4:$J$2503,资金日记账!$G$4:$G$2503,$B289,资金日记账!$F$4:$F$2503,"成本-其他"),2))</f>
        <v/>
      </c>
      <c r="Q289" s="19">
        <f>IF($B289="","",ROUND(SUM($L289:$P289),2))</f>
        <v/>
      </c>
      <c r="R289" s="19">
        <f>IF($B289="","",ROUND($I289-$Q289,2))</f>
        <v/>
      </c>
      <c r="S289" s="33">
        <f>IF($B289="","",IF(ROUND($I289,2)=0,"",ROUND($R289/$I289,4)))</f>
        <v/>
      </c>
      <c r="T289" s="22">
        <f>IF($B289="","",IF($G289="",0,YEAR($G289)*100+MONTH($G289)))</f>
        <v/>
      </c>
      <c r="U289" s="17">
        <f>IF($B289="","",IF(项目台账!$R288="","",项目台账!$R288))</f>
        <v/>
      </c>
    </row>
    <row r="290">
      <c r="A290" s="17">
        <f>IF(项目台账!$B289="","",项目台账!$A289)</f>
        <v/>
      </c>
      <c r="B290" s="17">
        <f>IF(项目台账!$B289="","",项目台账!$B289)</f>
        <v/>
      </c>
      <c r="C290" s="17">
        <f>IF($B290="","",IF(项目台账!$C289="","",项目台账!$C289))</f>
        <v/>
      </c>
      <c r="D290" s="17">
        <f>IF($B290="","",IF(项目台账!$D289="","",项目台账!$D289))</f>
        <v/>
      </c>
      <c r="E290" s="17">
        <f>IF($B290="","",IF(项目台账!$E289="","",项目台账!$E289))</f>
        <v/>
      </c>
      <c r="F290" s="23">
        <f>IF($B290="","",IF(项目台账!$F289="","",项目台账!$F289))</f>
        <v/>
      </c>
      <c r="G290" s="23">
        <f>IF($B290="","",IF(项目台账!$J289="","",项目台账!$J289))</f>
        <v/>
      </c>
      <c r="H290" s="17">
        <f>IF($B290="","",IF(项目台账!$Q289="","",项目台账!$Q289))</f>
        <v/>
      </c>
      <c r="I290" s="19">
        <f>IF($B290="","",项目台账!$M289)</f>
        <v/>
      </c>
      <c r="J290" s="19">
        <f>IF($B290="","",项目台账!$O289)</f>
        <v/>
      </c>
      <c r="K290" s="19">
        <f>IF($B290="","",项目台账!$P289)</f>
        <v/>
      </c>
      <c r="L290" s="19">
        <f>IF($B290="","",ROUND(SUMIFS(采购单!$L$4:$L$2003,采购单!$D$4:$D$2003,$B290,采购单!$F$4:$F$2003,"成本-主材")+SUMIFS(生产安装!$J$4:$J$1203,生产安装!$C$4:$C$1203,$B290,生产安装!$E$4:$E$1203,"成本-主材")+SUMIFS(资金日记账!$K$4:$K$2503,资金日记账!$G$4:$G$2503,$B290,资金日记账!$F$4:$F$2503,"成本-主材")-SUMIFS(资金日记账!$J$4:$J$2503,资金日记账!$G$4:$G$2503,$B290,资金日记账!$F$4:$F$2503,"成本-主材"),2))</f>
        <v/>
      </c>
      <c r="M290" s="19">
        <f>IF($B290="","",ROUND(SUMIFS(采购单!$L$4:$L$2003,采购单!$D$4:$D$2003,$B290,采购单!$F$4:$F$2003,"成本-辅材")+SUMIFS(生产安装!$J$4:$J$1203,生产安装!$C$4:$C$1203,$B290,生产安装!$E$4:$E$1203,"成本-辅材")+SUMIFS(资金日记账!$K$4:$K$2503,资金日记账!$G$4:$G$2503,$B290,资金日记账!$F$4:$F$2503,"成本-辅材")-SUMIFS(资金日记账!$J$4:$J$2503,资金日记账!$G$4:$G$2503,$B290,资金日记账!$F$4:$F$2503,"成本-辅材"),2))</f>
        <v/>
      </c>
      <c r="N290" s="19">
        <f>IF($B290="","",ROUND(SUMIFS(采购单!$L$4:$L$2003,采购单!$D$4:$D$2003,$B290,采购单!$F$4:$F$2003,"成本-人工")+SUMIFS(生产安装!$J$4:$J$1203,生产安装!$C$4:$C$1203,$B290,生产安装!$E$4:$E$1203,"成本-人工")+SUMIFS(资金日记账!$K$4:$K$2503,资金日记账!$G$4:$G$2503,$B290,资金日记账!$F$4:$F$2503,"成本-人工")-SUMIFS(资金日记账!$J$4:$J$2503,资金日记账!$G$4:$G$2503,$B290,资金日记账!$F$4:$F$2503,"成本-人工"),2))</f>
        <v/>
      </c>
      <c r="O290" s="19">
        <f>IF($B290="","",ROUND(SUMIFS(采购单!$L$4:$L$2003,采购单!$D$4:$D$2003,$B290,采购单!$F$4:$F$2003,"成本-车运")+SUMIFS(生产安装!$J$4:$J$1203,生产安装!$C$4:$C$1203,$B290,生产安装!$E$4:$E$1203,"成本-车运")+SUMIFS(资金日记账!$K$4:$K$2503,资金日记账!$G$4:$G$2503,$B290,资金日记账!$F$4:$F$2503,"成本-车运")-SUMIFS(资金日记账!$J$4:$J$2503,资金日记账!$G$4:$G$2503,$B290,资金日记账!$F$4:$F$2503,"成本-车运"),2))</f>
        <v/>
      </c>
      <c r="P290" s="19">
        <f>IF($B290="","",ROUND(SUMIFS(采购单!$L$4:$L$2003,采购单!$D$4:$D$2003,$B290,采购单!$F$4:$F$2003,"成本-其他")+SUMIFS(生产安装!$J$4:$J$1203,生产安装!$C$4:$C$1203,$B290,生产安装!$E$4:$E$1203,"成本-其他")+SUMIFS(资金日记账!$K$4:$K$2503,资金日记账!$G$4:$G$2503,$B290,资金日记账!$F$4:$F$2503,"成本-其他")-SUMIFS(资金日记账!$J$4:$J$2503,资金日记账!$G$4:$G$2503,$B290,资金日记账!$F$4:$F$2503,"成本-其他"),2))</f>
        <v/>
      </c>
      <c r="Q290" s="19">
        <f>IF($B290="","",ROUND(SUM($L290:$P290),2))</f>
        <v/>
      </c>
      <c r="R290" s="19">
        <f>IF($B290="","",ROUND($I290-$Q290,2))</f>
        <v/>
      </c>
      <c r="S290" s="33">
        <f>IF($B290="","",IF(ROUND($I290,2)=0,"",ROUND($R290/$I290,4)))</f>
        <v/>
      </c>
      <c r="T290" s="22">
        <f>IF($B290="","",IF($G290="",0,YEAR($G290)*100+MONTH($G290)))</f>
        <v/>
      </c>
      <c r="U290" s="17">
        <f>IF($B290="","",IF(项目台账!$R289="","",项目台账!$R289))</f>
        <v/>
      </c>
    </row>
    <row r="291">
      <c r="A291" s="17">
        <f>IF(项目台账!$B290="","",项目台账!$A290)</f>
        <v/>
      </c>
      <c r="B291" s="17">
        <f>IF(项目台账!$B290="","",项目台账!$B290)</f>
        <v/>
      </c>
      <c r="C291" s="17">
        <f>IF($B291="","",IF(项目台账!$C290="","",项目台账!$C290))</f>
        <v/>
      </c>
      <c r="D291" s="17">
        <f>IF($B291="","",IF(项目台账!$D290="","",项目台账!$D290))</f>
        <v/>
      </c>
      <c r="E291" s="17">
        <f>IF($B291="","",IF(项目台账!$E290="","",项目台账!$E290))</f>
        <v/>
      </c>
      <c r="F291" s="23">
        <f>IF($B291="","",IF(项目台账!$F290="","",项目台账!$F290))</f>
        <v/>
      </c>
      <c r="G291" s="23">
        <f>IF($B291="","",IF(项目台账!$J290="","",项目台账!$J290))</f>
        <v/>
      </c>
      <c r="H291" s="17">
        <f>IF($B291="","",IF(项目台账!$Q290="","",项目台账!$Q290))</f>
        <v/>
      </c>
      <c r="I291" s="19">
        <f>IF($B291="","",项目台账!$M290)</f>
        <v/>
      </c>
      <c r="J291" s="19">
        <f>IF($B291="","",项目台账!$O290)</f>
        <v/>
      </c>
      <c r="K291" s="19">
        <f>IF($B291="","",项目台账!$P290)</f>
        <v/>
      </c>
      <c r="L291" s="19">
        <f>IF($B291="","",ROUND(SUMIFS(采购单!$L$4:$L$2003,采购单!$D$4:$D$2003,$B291,采购单!$F$4:$F$2003,"成本-主材")+SUMIFS(生产安装!$J$4:$J$1203,生产安装!$C$4:$C$1203,$B291,生产安装!$E$4:$E$1203,"成本-主材")+SUMIFS(资金日记账!$K$4:$K$2503,资金日记账!$G$4:$G$2503,$B291,资金日记账!$F$4:$F$2503,"成本-主材")-SUMIFS(资金日记账!$J$4:$J$2503,资金日记账!$G$4:$G$2503,$B291,资金日记账!$F$4:$F$2503,"成本-主材"),2))</f>
        <v/>
      </c>
      <c r="M291" s="19">
        <f>IF($B291="","",ROUND(SUMIFS(采购单!$L$4:$L$2003,采购单!$D$4:$D$2003,$B291,采购单!$F$4:$F$2003,"成本-辅材")+SUMIFS(生产安装!$J$4:$J$1203,生产安装!$C$4:$C$1203,$B291,生产安装!$E$4:$E$1203,"成本-辅材")+SUMIFS(资金日记账!$K$4:$K$2503,资金日记账!$G$4:$G$2503,$B291,资金日记账!$F$4:$F$2503,"成本-辅材")-SUMIFS(资金日记账!$J$4:$J$2503,资金日记账!$G$4:$G$2503,$B291,资金日记账!$F$4:$F$2503,"成本-辅材"),2))</f>
        <v/>
      </c>
      <c r="N291" s="19">
        <f>IF($B291="","",ROUND(SUMIFS(采购单!$L$4:$L$2003,采购单!$D$4:$D$2003,$B291,采购单!$F$4:$F$2003,"成本-人工")+SUMIFS(生产安装!$J$4:$J$1203,生产安装!$C$4:$C$1203,$B291,生产安装!$E$4:$E$1203,"成本-人工")+SUMIFS(资金日记账!$K$4:$K$2503,资金日记账!$G$4:$G$2503,$B291,资金日记账!$F$4:$F$2503,"成本-人工")-SUMIFS(资金日记账!$J$4:$J$2503,资金日记账!$G$4:$G$2503,$B291,资金日记账!$F$4:$F$2503,"成本-人工"),2))</f>
        <v/>
      </c>
      <c r="O291" s="19">
        <f>IF($B291="","",ROUND(SUMIFS(采购单!$L$4:$L$2003,采购单!$D$4:$D$2003,$B291,采购单!$F$4:$F$2003,"成本-车运")+SUMIFS(生产安装!$J$4:$J$1203,生产安装!$C$4:$C$1203,$B291,生产安装!$E$4:$E$1203,"成本-车运")+SUMIFS(资金日记账!$K$4:$K$2503,资金日记账!$G$4:$G$2503,$B291,资金日记账!$F$4:$F$2503,"成本-车运")-SUMIFS(资金日记账!$J$4:$J$2503,资金日记账!$G$4:$G$2503,$B291,资金日记账!$F$4:$F$2503,"成本-车运"),2))</f>
        <v/>
      </c>
      <c r="P291" s="19">
        <f>IF($B291="","",ROUND(SUMIFS(采购单!$L$4:$L$2003,采购单!$D$4:$D$2003,$B291,采购单!$F$4:$F$2003,"成本-其他")+SUMIFS(生产安装!$J$4:$J$1203,生产安装!$C$4:$C$1203,$B291,生产安装!$E$4:$E$1203,"成本-其他")+SUMIFS(资金日记账!$K$4:$K$2503,资金日记账!$G$4:$G$2503,$B291,资金日记账!$F$4:$F$2503,"成本-其他")-SUMIFS(资金日记账!$J$4:$J$2503,资金日记账!$G$4:$G$2503,$B291,资金日记账!$F$4:$F$2503,"成本-其他"),2))</f>
        <v/>
      </c>
      <c r="Q291" s="19">
        <f>IF($B291="","",ROUND(SUM($L291:$P291),2))</f>
        <v/>
      </c>
      <c r="R291" s="19">
        <f>IF($B291="","",ROUND($I291-$Q291,2))</f>
        <v/>
      </c>
      <c r="S291" s="33">
        <f>IF($B291="","",IF(ROUND($I291,2)=0,"",ROUND($R291/$I291,4)))</f>
        <v/>
      </c>
      <c r="T291" s="22">
        <f>IF($B291="","",IF($G291="",0,YEAR($G291)*100+MONTH($G291)))</f>
        <v/>
      </c>
      <c r="U291" s="17">
        <f>IF($B291="","",IF(项目台账!$R290="","",项目台账!$R290))</f>
        <v/>
      </c>
    </row>
    <row r="292">
      <c r="A292" s="17">
        <f>IF(项目台账!$B291="","",项目台账!$A291)</f>
        <v/>
      </c>
      <c r="B292" s="17">
        <f>IF(项目台账!$B291="","",项目台账!$B291)</f>
        <v/>
      </c>
      <c r="C292" s="17">
        <f>IF($B292="","",IF(项目台账!$C291="","",项目台账!$C291))</f>
        <v/>
      </c>
      <c r="D292" s="17">
        <f>IF($B292="","",IF(项目台账!$D291="","",项目台账!$D291))</f>
        <v/>
      </c>
      <c r="E292" s="17">
        <f>IF($B292="","",IF(项目台账!$E291="","",项目台账!$E291))</f>
        <v/>
      </c>
      <c r="F292" s="23">
        <f>IF($B292="","",IF(项目台账!$F291="","",项目台账!$F291))</f>
        <v/>
      </c>
      <c r="G292" s="23">
        <f>IF($B292="","",IF(项目台账!$J291="","",项目台账!$J291))</f>
        <v/>
      </c>
      <c r="H292" s="17">
        <f>IF($B292="","",IF(项目台账!$Q291="","",项目台账!$Q291))</f>
        <v/>
      </c>
      <c r="I292" s="19">
        <f>IF($B292="","",项目台账!$M291)</f>
        <v/>
      </c>
      <c r="J292" s="19">
        <f>IF($B292="","",项目台账!$O291)</f>
        <v/>
      </c>
      <c r="K292" s="19">
        <f>IF($B292="","",项目台账!$P291)</f>
        <v/>
      </c>
      <c r="L292" s="19">
        <f>IF($B292="","",ROUND(SUMIFS(采购单!$L$4:$L$2003,采购单!$D$4:$D$2003,$B292,采购单!$F$4:$F$2003,"成本-主材")+SUMIFS(生产安装!$J$4:$J$1203,生产安装!$C$4:$C$1203,$B292,生产安装!$E$4:$E$1203,"成本-主材")+SUMIFS(资金日记账!$K$4:$K$2503,资金日记账!$G$4:$G$2503,$B292,资金日记账!$F$4:$F$2503,"成本-主材")-SUMIFS(资金日记账!$J$4:$J$2503,资金日记账!$G$4:$G$2503,$B292,资金日记账!$F$4:$F$2503,"成本-主材"),2))</f>
        <v/>
      </c>
      <c r="M292" s="19">
        <f>IF($B292="","",ROUND(SUMIFS(采购单!$L$4:$L$2003,采购单!$D$4:$D$2003,$B292,采购单!$F$4:$F$2003,"成本-辅材")+SUMIFS(生产安装!$J$4:$J$1203,生产安装!$C$4:$C$1203,$B292,生产安装!$E$4:$E$1203,"成本-辅材")+SUMIFS(资金日记账!$K$4:$K$2503,资金日记账!$G$4:$G$2503,$B292,资金日记账!$F$4:$F$2503,"成本-辅材")-SUMIFS(资金日记账!$J$4:$J$2503,资金日记账!$G$4:$G$2503,$B292,资金日记账!$F$4:$F$2503,"成本-辅材"),2))</f>
        <v/>
      </c>
      <c r="N292" s="19">
        <f>IF($B292="","",ROUND(SUMIFS(采购单!$L$4:$L$2003,采购单!$D$4:$D$2003,$B292,采购单!$F$4:$F$2003,"成本-人工")+SUMIFS(生产安装!$J$4:$J$1203,生产安装!$C$4:$C$1203,$B292,生产安装!$E$4:$E$1203,"成本-人工")+SUMIFS(资金日记账!$K$4:$K$2503,资金日记账!$G$4:$G$2503,$B292,资金日记账!$F$4:$F$2503,"成本-人工")-SUMIFS(资金日记账!$J$4:$J$2503,资金日记账!$G$4:$G$2503,$B292,资金日记账!$F$4:$F$2503,"成本-人工"),2))</f>
        <v/>
      </c>
      <c r="O292" s="19">
        <f>IF($B292="","",ROUND(SUMIFS(采购单!$L$4:$L$2003,采购单!$D$4:$D$2003,$B292,采购单!$F$4:$F$2003,"成本-车运")+SUMIFS(生产安装!$J$4:$J$1203,生产安装!$C$4:$C$1203,$B292,生产安装!$E$4:$E$1203,"成本-车运")+SUMIFS(资金日记账!$K$4:$K$2503,资金日记账!$G$4:$G$2503,$B292,资金日记账!$F$4:$F$2503,"成本-车运")-SUMIFS(资金日记账!$J$4:$J$2503,资金日记账!$G$4:$G$2503,$B292,资金日记账!$F$4:$F$2503,"成本-车运"),2))</f>
        <v/>
      </c>
      <c r="P292" s="19">
        <f>IF($B292="","",ROUND(SUMIFS(采购单!$L$4:$L$2003,采购单!$D$4:$D$2003,$B292,采购单!$F$4:$F$2003,"成本-其他")+SUMIFS(生产安装!$J$4:$J$1203,生产安装!$C$4:$C$1203,$B292,生产安装!$E$4:$E$1203,"成本-其他")+SUMIFS(资金日记账!$K$4:$K$2503,资金日记账!$G$4:$G$2503,$B292,资金日记账!$F$4:$F$2503,"成本-其他")-SUMIFS(资金日记账!$J$4:$J$2503,资金日记账!$G$4:$G$2503,$B292,资金日记账!$F$4:$F$2503,"成本-其他"),2))</f>
        <v/>
      </c>
      <c r="Q292" s="19">
        <f>IF($B292="","",ROUND(SUM($L292:$P292),2))</f>
        <v/>
      </c>
      <c r="R292" s="19">
        <f>IF($B292="","",ROUND($I292-$Q292,2))</f>
        <v/>
      </c>
      <c r="S292" s="33">
        <f>IF($B292="","",IF(ROUND($I292,2)=0,"",ROUND($R292/$I292,4)))</f>
        <v/>
      </c>
      <c r="T292" s="22">
        <f>IF($B292="","",IF($G292="",0,YEAR($G292)*100+MONTH($G292)))</f>
        <v/>
      </c>
      <c r="U292" s="17">
        <f>IF($B292="","",IF(项目台账!$R291="","",项目台账!$R291))</f>
        <v/>
      </c>
    </row>
    <row r="293">
      <c r="A293" s="17">
        <f>IF(项目台账!$B292="","",项目台账!$A292)</f>
        <v/>
      </c>
      <c r="B293" s="17">
        <f>IF(项目台账!$B292="","",项目台账!$B292)</f>
        <v/>
      </c>
      <c r="C293" s="17">
        <f>IF($B293="","",IF(项目台账!$C292="","",项目台账!$C292))</f>
        <v/>
      </c>
      <c r="D293" s="17">
        <f>IF($B293="","",IF(项目台账!$D292="","",项目台账!$D292))</f>
        <v/>
      </c>
      <c r="E293" s="17">
        <f>IF($B293="","",IF(项目台账!$E292="","",项目台账!$E292))</f>
        <v/>
      </c>
      <c r="F293" s="23">
        <f>IF($B293="","",IF(项目台账!$F292="","",项目台账!$F292))</f>
        <v/>
      </c>
      <c r="G293" s="23">
        <f>IF($B293="","",IF(项目台账!$J292="","",项目台账!$J292))</f>
        <v/>
      </c>
      <c r="H293" s="17">
        <f>IF($B293="","",IF(项目台账!$Q292="","",项目台账!$Q292))</f>
        <v/>
      </c>
      <c r="I293" s="19">
        <f>IF($B293="","",项目台账!$M292)</f>
        <v/>
      </c>
      <c r="J293" s="19">
        <f>IF($B293="","",项目台账!$O292)</f>
        <v/>
      </c>
      <c r="K293" s="19">
        <f>IF($B293="","",项目台账!$P292)</f>
        <v/>
      </c>
      <c r="L293" s="19">
        <f>IF($B293="","",ROUND(SUMIFS(采购单!$L$4:$L$2003,采购单!$D$4:$D$2003,$B293,采购单!$F$4:$F$2003,"成本-主材")+SUMIFS(生产安装!$J$4:$J$1203,生产安装!$C$4:$C$1203,$B293,生产安装!$E$4:$E$1203,"成本-主材")+SUMIFS(资金日记账!$K$4:$K$2503,资金日记账!$G$4:$G$2503,$B293,资金日记账!$F$4:$F$2503,"成本-主材")-SUMIFS(资金日记账!$J$4:$J$2503,资金日记账!$G$4:$G$2503,$B293,资金日记账!$F$4:$F$2503,"成本-主材"),2))</f>
        <v/>
      </c>
      <c r="M293" s="19">
        <f>IF($B293="","",ROUND(SUMIFS(采购单!$L$4:$L$2003,采购单!$D$4:$D$2003,$B293,采购单!$F$4:$F$2003,"成本-辅材")+SUMIFS(生产安装!$J$4:$J$1203,生产安装!$C$4:$C$1203,$B293,生产安装!$E$4:$E$1203,"成本-辅材")+SUMIFS(资金日记账!$K$4:$K$2503,资金日记账!$G$4:$G$2503,$B293,资金日记账!$F$4:$F$2503,"成本-辅材")-SUMIFS(资金日记账!$J$4:$J$2503,资金日记账!$G$4:$G$2503,$B293,资金日记账!$F$4:$F$2503,"成本-辅材"),2))</f>
        <v/>
      </c>
      <c r="N293" s="19">
        <f>IF($B293="","",ROUND(SUMIFS(采购单!$L$4:$L$2003,采购单!$D$4:$D$2003,$B293,采购单!$F$4:$F$2003,"成本-人工")+SUMIFS(生产安装!$J$4:$J$1203,生产安装!$C$4:$C$1203,$B293,生产安装!$E$4:$E$1203,"成本-人工")+SUMIFS(资金日记账!$K$4:$K$2503,资金日记账!$G$4:$G$2503,$B293,资金日记账!$F$4:$F$2503,"成本-人工")-SUMIFS(资金日记账!$J$4:$J$2503,资金日记账!$G$4:$G$2503,$B293,资金日记账!$F$4:$F$2503,"成本-人工"),2))</f>
        <v/>
      </c>
      <c r="O293" s="19">
        <f>IF($B293="","",ROUND(SUMIFS(采购单!$L$4:$L$2003,采购单!$D$4:$D$2003,$B293,采购单!$F$4:$F$2003,"成本-车运")+SUMIFS(生产安装!$J$4:$J$1203,生产安装!$C$4:$C$1203,$B293,生产安装!$E$4:$E$1203,"成本-车运")+SUMIFS(资金日记账!$K$4:$K$2503,资金日记账!$G$4:$G$2503,$B293,资金日记账!$F$4:$F$2503,"成本-车运")-SUMIFS(资金日记账!$J$4:$J$2503,资金日记账!$G$4:$G$2503,$B293,资金日记账!$F$4:$F$2503,"成本-车运"),2))</f>
        <v/>
      </c>
      <c r="P293" s="19">
        <f>IF($B293="","",ROUND(SUMIFS(采购单!$L$4:$L$2003,采购单!$D$4:$D$2003,$B293,采购单!$F$4:$F$2003,"成本-其他")+SUMIFS(生产安装!$J$4:$J$1203,生产安装!$C$4:$C$1203,$B293,生产安装!$E$4:$E$1203,"成本-其他")+SUMIFS(资金日记账!$K$4:$K$2503,资金日记账!$G$4:$G$2503,$B293,资金日记账!$F$4:$F$2503,"成本-其他")-SUMIFS(资金日记账!$J$4:$J$2503,资金日记账!$G$4:$G$2503,$B293,资金日记账!$F$4:$F$2503,"成本-其他"),2))</f>
        <v/>
      </c>
      <c r="Q293" s="19">
        <f>IF($B293="","",ROUND(SUM($L293:$P293),2))</f>
        <v/>
      </c>
      <c r="R293" s="19">
        <f>IF($B293="","",ROUND($I293-$Q293,2))</f>
        <v/>
      </c>
      <c r="S293" s="33">
        <f>IF($B293="","",IF(ROUND($I293,2)=0,"",ROUND($R293/$I293,4)))</f>
        <v/>
      </c>
      <c r="T293" s="22">
        <f>IF($B293="","",IF($G293="",0,YEAR($G293)*100+MONTH($G293)))</f>
        <v/>
      </c>
      <c r="U293" s="17">
        <f>IF($B293="","",IF(项目台账!$R292="","",项目台账!$R292))</f>
        <v/>
      </c>
    </row>
    <row r="294">
      <c r="A294" s="17">
        <f>IF(项目台账!$B293="","",项目台账!$A293)</f>
        <v/>
      </c>
      <c r="B294" s="17">
        <f>IF(项目台账!$B293="","",项目台账!$B293)</f>
        <v/>
      </c>
      <c r="C294" s="17">
        <f>IF($B294="","",IF(项目台账!$C293="","",项目台账!$C293))</f>
        <v/>
      </c>
      <c r="D294" s="17">
        <f>IF($B294="","",IF(项目台账!$D293="","",项目台账!$D293))</f>
        <v/>
      </c>
      <c r="E294" s="17">
        <f>IF($B294="","",IF(项目台账!$E293="","",项目台账!$E293))</f>
        <v/>
      </c>
      <c r="F294" s="23">
        <f>IF($B294="","",IF(项目台账!$F293="","",项目台账!$F293))</f>
        <v/>
      </c>
      <c r="G294" s="23">
        <f>IF($B294="","",IF(项目台账!$J293="","",项目台账!$J293))</f>
        <v/>
      </c>
      <c r="H294" s="17">
        <f>IF($B294="","",IF(项目台账!$Q293="","",项目台账!$Q293))</f>
        <v/>
      </c>
      <c r="I294" s="19">
        <f>IF($B294="","",项目台账!$M293)</f>
        <v/>
      </c>
      <c r="J294" s="19">
        <f>IF($B294="","",项目台账!$O293)</f>
        <v/>
      </c>
      <c r="K294" s="19">
        <f>IF($B294="","",项目台账!$P293)</f>
        <v/>
      </c>
      <c r="L294" s="19">
        <f>IF($B294="","",ROUND(SUMIFS(采购单!$L$4:$L$2003,采购单!$D$4:$D$2003,$B294,采购单!$F$4:$F$2003,"成本-主材")+SUMIFS(生产安装!$J$4:$J$1203,生产安装!$C$4:$C$1203,$B294,生产安装!$E$4:$E$1203,"成本-主材")+SUMIFS(资金日记账!$K$4:$K$2503,资金日记账!$G$4:$G$2503,$B294,资金日记账!$F$4:$F$2503,"成本-主材")-SUMIFS(资金日记账!$J$4:$J$2503,资金日记账!$G$4:$G$2503,$B294,资金日记账!$F$4:$F$2503,"成本-主材"),2))</f>
        <v/>
      </c>
      <c r="M294" s="19">
        <f>IF($B294="","",ROUND(SUMIFS(采购单!$L$4:$L$2003,采购单!$D$4:$D$2003,$B294,采购单!$F$4:$F$2003,"成本-辅材")+SUMIFS(生产安装!$J$4:$J$1203,生产安装!$C$4:$C$1203,$B294,生产安装!$E$4:$E$1203,"成本-辅材")+SUMIFS(资金日记账!$K$4:$K$2503,资金日记账!$G$4:$G$2503,$B294,资金日记账!$F$4:$F$2503,"成本-辅材")-SUMIFS(资金日记账!$J$4:$J$2503,资金日记账!$G$4:$G$2503,$B294,资金日记账!$F$4:$F$2503,"成本-辅材"),2))</f>
        <v/>
      </c>
      <c r="N294" s="19">
        <f>IF($B294="","",ROUND(SUMIFS(采购单!$L$4:$L$2003,采购单!$D$4:$D$2003,$B294,采购单!$F$4:$F$2003,"成本-人工")+SUMIFS(生产安装!$J$4:$J$1203,生产安装!$C$4:$C$1203,$B294,生产安装!$E$4:$E$1203,"成本-人工")+SUMIFS(资金日记账!$K$4:$K$2503,资金日记账!$G$4:$G$2503,$B294,资金日记账!$F$4:$F$2503,"成本-人工")-SUMIFS(资金日记账!$J$4:$J$2503,资金日记账!$G$4:$G$2503,$B294,资金日记账!$F$4:$F$2503,"成本-人工"),2))</f>
        <v/>
      </c>
      <c r="O294" s="19">
        <f>IF($B294="","",ROUND(SUMIFS(采购单!$L$4:$L$2003,采购单!$D$4:$D$2003,$B294,采购单!$F$4:$F$2003,"成本-车运")+SUMIFS(生产安装!$J$4:$J$1203,生产安装!$C$4:$C$1203,$B294,生产安装!$E$4:$E$1203,"成本-车运")+SUMIFS(资金日记账!$K$4:$K$2503,资金日记账!$G$4:$G$2503,$B294,资金日记账!$F$4:$F$2503,"成本-车运")-SUMIFS(资金日记账!$J$4:$J$2503,资金日记账!$G$4:$G$2503,$B294,资金日记账!$F$4:$F$2503,"成本-车运"),2))</f>
        <v/>
      </c>
      <c r="P294" s="19">
        <f>IF($B294="","",ROUND(SUMIFS(采购单!$L$4:$L$2003,采购单!$D$4:$D$2003,$B294,采购单!$F$4:$F$2003,"成本-其他")+SUMIFS(生产安装!$J$4:$J$1203,生产安装!$C$4:$C$1203,$B294,生产安装!$E$4:$E$1203,"成本-其他")+SUMIFS(资金日记账!$K$4:$K$2503,资金日记账!$G$4:$G$2503,$B294,资金日记账!$F$4:$F$2503,"成本-其他")-SUMIFS(资金日记账!$J$4:$J$2503,资金日记账!$G$4:$G$2503,$B294,资金日记账!$F$4:$F$2503,"成本-其他"),2))</f>
        <v/>
      </c>
      <c r="Q294" s="19">
        <f>IF($B294="","",ROUND(SUM($L294:$P294),2))</f>
        <v/>
      </c>
      <c r="R294" s="19">
        <f>IF($B294="","",ROUND($I294-$Q294,2))</f>
        <v/>
      </c>
      <c r="S294" s="33">
        <f>IF($B294="","",IF(ROUND($I294,2)=0,"",ROUND($R294/$I294,4)))</f>
        <v/>
      </c>
      <c r="T294" s="22">
        <f>IF($B294="","",IF($G294="",0,YEAR($G294)*100+MONTH($G294)))</f>
        <v/>
      </c>
      <c r="U294" s="17">
        <f>IF($B294="","",IF(项目台账!$R293="","",项目台账!$R293))</f>
        <v/>
      </c>
    </row>
    <row r="295">
      <c r="A295" s="17">
        <f>IF(项目台账!$B294="","",项目台账!$A294)</f>
        <v/>
      </c>
      <c r="B295" s="17">
        <f>IF(项目台账!$B294="","",项目台账!$B294)</f>
        <v/>
      </c>
      <c r="C295" s="17">
        <f>IF($B295="","",IF(项目台账!$C294="","",项目台账!$C294))</f>
        <v/>
      </c>
      <c r="D295" s="17">
        <f>IF($B295="","",IF(项目台账!$D294="","",项目台账!$D294))</f>
        <v/>
      </c>
      <c r="E295" s="17">
        <f>IF($B295="","",IF(项目台账!$E294="","",项目台账!$E294))</f>
        <v/>
      </c>
      <c r="F295" s="23">
        <f>IF($B295="","",IF(项目台账!$F294="","",项目台账!$F294))</f>
        <v/>
      </c>
      <c r="G295" s="23">
        <f>IF($B295="","",IF(项目台账!$J294="","",项目台账!$J294))</f>
        <v/>
      </c>
      <c r="H295" s="17">
        <f>IF($B295="","",IF(项目台账!$Q294="","",项目台账!$Q294))</f>
        <v/>
      </c>
      <c r="I295" s="19">
        <f>IF($B295="","",项目台账!$M294)</f>
        <v/>
      </c>
      <c r="J295" s="19">
        <f>IF($B295="","",项目台账!$O294)</f>
        <v/>
      </c>
      <c r="K295" s="19">
        <f>IF($B295="","",项目台账!$P294)</f>
        <v/>
      </c>
      <c r="L295" s="19">
        <f>IF($B295="","",ROUND(SUMIFS(采购单!$L$4:$L$2003,采购单!$D$4:$D$2003,$B295,采购单!$F$4:$F$2003,"成本-主材")+SUMIFS(生产安装!$J$4:$J$1203,生产安装!$C$4:$C$1203,$B295,生产安装!$E$4:$E$1203,"成本-主材")+SUMIFS(资金日记账!$K$4:$K$2503,资金日记账!$G$4:$G$2503,$B295,资金日记账!$F$4:$F$2503,"成本-主材")-SUMIFS(资金日记账!$J$4:$J$2503,资金日记账!$G$4:$G$2503,$B295,资金日记账!$F$4:$F$2503,"成本-主材"),2))</f>
        <v/>
      </c>
      <c r="M295" s="19">
        <f>IF($B295="","",ROUND(SUMIFS(采购单!$L$4:$L$2003,采购单!$D$4:$D$2003,$B295,采购单!$F$4:$F$2003,"成本-辅材")+SUMIFS(生产安装!$J$4:$J$1203,生产安装!$C$4:$C$1203,$B295,生产安装!$E$4:$E$1203,"成本-辅材")+SUMIFS(资金日记账!$K$4:$K$2503,资金日记账!$G$4:$G$2503,$B295,资金日记账!$F$4:$F$2503,"成本-辅材")-SUMIFS(资金日记账!$J$4:$J$2503,资金日记账!$G$4:$G$2503,$B295,资金日记账!$F$4:$F$2503,"成本-辅材"),2))</f>
        <v/>
      </c>
      <c r="N295" s="19">
        <f>IF($B295="","",ROUND(SUMIFS(采购单!$L$4:$L$2003,采购单!$D$4:$D$2003,$B295,采购单!$F$4:$F$2003,"成本-人工")+SUMIFS(生产安装!$J$4:$J$1203,生产安装!$C$4:$C$1203,$B295,生产安装!$E$4:$E$1203,"成本-人工")+SUMIFS(资金日记账!$K$4:$K$2503,资金日记账!$G$4:$G$2503,$B295,资金日记账!$F$4:$F$2503,"成本-人工")-SUMIFS(资金日记账!$J$4:$J$2503,资金日记账!$G$4:$G$2503,$B295,资金日记账!$F$4:$F$2503,"成本-人工"),2))</f>
        <v/>
      </c>
      <c r="O295" s="19">
        <f>IF($B295="","",ROUND(SUMIFS(采购单!$L$4:$L$2003,采购单!$D$4:$D$2003,$B295,采购单!$F$4:$F$2003,"成本-车运")+SUMIFS(生产安装!$J$4:$J$1203,生产安装!$C$4:$C$1203,$B295,生产安装!$E$4:$E$1203,"成本-车运")+SUMIFS(资金日记账!$K$4:$K$2503,资金日记账!$G$4:$G$2503,$B295,资金日记账!$F$4:$F$2503,"成本-车运")-SUMIFS(资金日记账!$J$4:$J$2503,资金日记账!$G$4:$G$2503,$B295,资金日记账!$F$4:$F$2503,"成本-车运"),2))</f>
        <v/>
      </c>
      <c r="P295" s="19">
        <f>IF($B295="","",ROUND(SUMIFS(采购单!$L$4:$L$2003,采购单!$D$4:$D$2003,$B295,采购单!$F$4:$F$2003,"成本-其他")+SUMIFS(生产安装!$J$4:$J$1203,生产安装!$C$4:$C$1203,$B295,生产安装!$E$4:$E$1203,"成本-其他")+SUMIFS(资金日记账!$K$4:$K$2503,资金日记账!$G$4:$G$2503,$B295,资金日记账!$F$4:$F$2503,"成本-其他")-SUMIFS(资金日记账!$J$4:$J$2503,资金日记账!$G$4:$G$2503,$B295,资金日记账!$F$4:$F$2503,"成本-其他"),2))</f>
        <v/>
      </c>
      <c r="Q295" s="19">
        <f>IF($B295="","",ROUND(SUM($L295:$P295),2))</f>
        <v/>
      </c>
      <c r="R295" s="19">
        <f>IF($B295="","",ROUND($I295-$Q295,2))</f>
        <v/>
      </c>
      <c r="S295" s="33">
        <f>IF($B295="","",IF(ROUND($I295,2)=0,"",ROUND($R295/$I295,4)))</f>
        <v/>
      </c>
      <c r="T295" s="22">
        <f>IF($B295="","",IF($G295="",0,YEAR($G295)*100+MONTH($G295)))</f>
        <v/>
      </c>
      <c r="U295" s="17">
        <f>IF($B295="","",IF(项目台账!$R294="","",项目台账!$R294))</f>
        <v/>
      </c>
    </row>
    <row r="296">
      <c r="A296" s="17">
        <f>IF(项目台账!$B295="","",项目台账!$A295)</f>
        <v/>
      </c>
      <c r="B296" s="17">
        <f>IF(项目台账!$B295="","",项目台账!$B295)</f>
        <v/>
      </c>
      <c r="C296" s="17">
        <f>IF($B296="","",IF(项目台账!$C295="","",项目台账!$C295))</f>
        <v/>
      </c>
      <c r="D296" s="17">
        <f>IF($B296="","",IF(项目台账!$D295="","",项目台账!$D295))</f>
        <v/>
      </c>
      <c r="E296" s="17">
        <f>IF($B296="","",IF(项目台账!$E295="","",项目台账!$E295))</f>
        <v/>
      </c>
      <c r="F296" s="23">
        <f>IF($B296="","",IF(项目台账!$F295="","",项目台账!$F295))</f>
        <v/>
      </c>
      <c r="G296" s="23">
        <f>IF($B296="","",IF(项目台账!$J295="","",项目台账!$J295))</f>
        <v/>
      </c>
      <c r="H296" s="17">
        <f>IF($B296="","",IF(项目台账!$Q295="","",项目台账!$Q295))</f>
        <v/>
      </c>
      <c r="I296" s="19">
        <f>IF($B296="","",项目台账!$M295)</f>
        <v/>
      </c>
      <c r="J296" s="19">
        <f>IF($B296="","",项目台账!$O295)</f>
        <v/>
      </c>
      <c r="K296" s="19">
        <f>IF($B296="","",项目台账!$P295)</f>
        <v/>
      </c>
      <c r="L296" s="19">
        <f>IF($B296="","",ROUND(SUMIFS(采购单!$L$4:$L$2003,采购单!$D$4:$D$2003,$B296,采购单!$F$4:$F$2003,"成本-主材")+SUMIFS(生产安装!$J$4:$J$1203,生产安装!$C$4:$C$1203,$B296,生产安装!$E$4:$E$1203,"成本-主材")+SUMIFS(资金日记账!$K$4:$K$2503,资金日记账!$G$4:$G$2503,$B296,资金日记账!$F$4:$F$2503,"成本-主材")-SUMIFS(资金日记账!$J$4:$J$2503,资金日记账!$G$4:$G$2503,$B296,资金日记账!$F$4:$F$2503,"成本-主材"),2))</f>
        <v/>
      </c>
      <c r="M296" s="19">
        <f>IF($B296="","",ROUND(SUMIFS(采购单!$L$4:$L$2003,采购单!$D$4:$D$2003,$B296,采购单!$F$4:$F$2003,"成本-辅材")+SUMIFS(生产安装!$J$4:$J$1203,生产安装!$C$4:$C$1203,$B296,生产安装!$E$4:$E$1203,"成本-辅材")+SUMIFS(资金日记账!$K$4:$K$2503,资金日记账!$G$4:$G$2503,$B296,资金日记账!$F$4:$F$2503,"成本-辅材")-SUMIFS(资金日记账!$J$4:$J$2503,资金日记账!$G$4:$G$2503,$B296,资金日记账!$F$4:$F$2503,"成本-辅材"),2))</f>
        <v/>
      </c>
      <c r="N296" s="19">
        <f>IF($B296="","",ROUND(SUMIFS(采购单!$L$4:$L$2003,采购单!$D$4:$D$2003,$B296,采购单!$F$4:$F$2003,"成本-人工")+SUMIFS(生产安装!$J$4:$J$1203,生产安装!$C$4:$C$1203,$B296,生产安装!$E$4:$E$1203,"成本-人工")+SUMIFS(资金日记账!$K$4:$K$2503,资金日记账!$G$4:$G$2503,$B296,资金日记账!$F$4:$F$2503,"成本-人工")-SUMIFS(资金日记账!$J$4:$J$2503,资金日记账!$G$4:$G$2503,$B296,资金日记账!$F$4:$F$2503,"成本-人工"),2))</f>
        <v/>
      </c>
      <c r="O296" s="19">
        <f>IF($B296="","",ROUND(SUMIFS(采购单!$L$4:$L$2003,采购单!$D$4:$D$2003,$B296,采购单!$F$4:$F$2003,"成本-车运")+SUMIFS(生产安装!$J$4:$J$1203,生产安装!$C$4:$C$1203,$B296,生产安装!$E$4:$E$1203,"成本-车运")+SUMIFS(资金日记账!$K$4:$K$2503,资金日记账!$G$4:$G$2503,$B296,资金日记账!$F$4:$F$2503,"成本-车运")-SUMIFS(资金日记账!$J$4:$J$2503,资金日记账!$G$4:$G$2503,$B296,资金日记账!$F$4:$F$2503,"成本-车运"),2))</f>
        <v/>
      </c>
      <c r="P296" s="19">
        <f>IF($B296="","",ROUND(SUMIFS(采购单!$L$4:$L$2003,采购单!$D$4:$D$2003,$B296,采购单!$F$4:$F$2003,"成本-其他")+SUMIFS(生产安装!$J$4:$J$1203,生产安装!$C$4:$C$1203,$B296,生产安装!$E$4:$E$1203,"成本-其他")+SUMIFS(资金日记账!$K$4:$K$2503,资金日记账!$G$4:$G$2503,$B296,资金日记账!$F$4:$F$2503,"成本-其他")-SUMIFS(资金日记账!$J$4:$J$2503,资金日记账!$G$4:$G$2503,$B296,资金日记账!$F$4:$F$2503,"成本-其他"),2))</f>
        <v/>
      </c>
      <c r="Q296" s="19">
        <f>IF($B296="","",ROUND(SUM($L296:$P296),2))</f>
        <v/>
      </c>
      <c r="R296" s="19">
        <f>IF($B296="","",ROUND($I296-$Q296,2))</f>
        <v/>
      </c>
      <c r="S296" s="33">
        <f>IF($B296="","",IF(ROUND($I296,2)=0,"",ROUND($R296/$I296,4)))</f>
        <v/>
      </c>
      <c r="T296" s="22">
        <f>IF($B296="","",IF($G296="",0,YEAR($G296)*100+MONTH($G296)))</f>
        <v/>
      </c>
      <c r="U296" s="17">
        <f>IF($B296="","",IF(项目台账!$R295="","",项目台账!$R295))</f>
        <v/>
      </c>
    </row>
    <row r="297">
      <c r="A297" s="17">
        <f>IF(项目台账!$B296="","",项目台账!$A296)</f>
        <v/>
      </c>
      <c r="B297" s="17">
        <f>IF(项目台账!$B296="","",项目台账!$B296)</f>
        <v/>
      </c>
      <c r="C297" s="17">
        <f>IF($B297="","",IF(项目台账!$C296="","",项目台账!$C296))</f>
        <v/>
      </c>
      <c r="D297" s="17">
        <f>IF($B297="","",IF(项目台账!$D296="","",项目台账!$D296))</f>
        <v/>
      </c>
      <c r="E297" s="17">
        <f>IF($B297="","",IF(项目台账!$E296="","",项目台账!$E296))</f>
        <v/>
      </c>
      <c r="F297" s="23">
        <f>IF($B297="","",IF(项目台账!$F296="","",项目台账!$F296))</f>
        <v/>
      </c>
      <c r="G297" s="23">
        <f>IF($B297="","",IF(项目台账!$J296="","",项目台账!$J296))</f>
        <v/>
      </c>
      <c r="H297" s="17">
        <f>IF($B297="","",IF(项目台账!$Q296="","",项目台账!$Q296))</f>
        <v/>
      </c>
      <c r="I297" s="19">
        <f>IF($B297="","",项目台账!$M296)</f>
        <v/>
      </c>
      <c r="J297" s="19">
        <f>IF($B297="","",项目台账!$O296)</f>
        <v/>
      </c>
      <c r="K297" s="19">
        <f>IF($B297="","",项目台账!$P296)</f>
        <v/>
      </c>
      <c r="L297" s="19">
        <f>IF($B297="","",ROUND(SUMIFS(采购单!$L$4:$L$2003,采购单!$D$4:$D$2003,$B297,采购单!$F$4:$F$2003,"成本-主材")+SUMIFS(生产安装!$J$4:$J$1203,生产安装!$C$4:$C$1203,$B297,生产安装!$E$4:$E$1203,"成本-主材")+SUMIFS(资金日记账!$K$4:$K$2503,资金日记账!$G$4:$G$2503,$B297,资金日记账!$F$4:$F$2503,"成本-主材")-SUMIFS(资金日记账!$J$4:$J$2503,资金日记账!$G$4:$G$2503,$B297,资金日记账!$F$4:$F$2503,"成本-主材"),2))</f>
        <v/>
      </c>
      <c r="M297" s="19">
        <f>IF($B297="","",ROUND(SUMIFS(采购单!$L$4:$L$2003,采购单!$D$4:$D$2003,$B297,采购单!$F$4:$F$2003,"成本-辅材")+SUMIFS(生产安装!$J$4:$J$1203,生产安装!$C$4:$C$1203,$B297,生产安装!$E$4:$E$1203,"成本-辅材")+SUMIFS(资金日记账!$K$4:$K$2503,资金日记账!$G$4:$G$2503,$B297,资金日记账!$F$4:$F$2503,"成本-辅材")-SUMIFS(资金日记账!$J$4:$J$2503,资金日记账!$G$4:$G$2503,$B297,资金日记账!$F$4:$F$2503,"成本-辅材"),2))</f>
        <v/>
      </c>
      <c r="N297" s="19">
        <f>IF($B297="","",ROUND(SUMIFS(采购单!$L$4:$L$2003,采购单!$D$4:$D$2003,$B297,采购单!$F$4:$F$2003,"成本-人工")+SUMIFS(生产安装!$J$4:$J$1203,生产安装!$C$4:$C$1203,$B297,生产安装!$E$4:$E$1203,"成本-人工")+SUMIFS(资金日记账!$K$4:$K$2503,资金日记账!$G$4:$G$2503,$B297,资金日记账!$F$4:$F$2503,"成本-人工")-SUMIFS(资金日记账!$J$4:$J$2503,资金日记账!$G$4:$G$2503,$B297,资金日记账!$F$4:$F$2503,"成本-人工"),2))</f>
        <v/>
      </c>
      <c r="O297" s="19">
        <f>IF($B297="","",ROUND(SUMIFS(采购单!$L$4:$L$2003,采购单!$D$4:$D$2003,$B297,采购单!$F$4:$F$2003,"成本-车运")+SUMIFS(生产安装!$J$4:$J$1203,生产安装!$C$4:$C$1203,$B297,生产安装!$E$4:$E$1203,"成本-车运")+SUMIFS(资金日记账!$K$4:$K$2503,资金日记账!$G$4:$G$2503,$B297,资金日记账!$F$4:$F$2503,"成本-车运")-SUMIFS(资金日记账!$J$4:$J$2503,资金日记账!$G$4:$G$2503,$B297,资金日记账!$F$4:$F$2503,"成本-车运"),2))</f>
        <v/>
      </c>
      <c r="P297" s="19">
        <f>IF($B297="","",ROUND(SUMIFS(采购单!$L$4:$L$2003,采购单!$D$4:$D$2003,$B297,采购单!$F$4:$F$2003,"成本-其他")+SUMIFS(生产安装!$J$4:$J$1203,生产安装!$C$4:$C$1203,$B297,生产安装!$E$4:$E$1203,"成本-其他")+SUMIFS(资金日记账!$K$4:$K$2503,资金日记账!$G$4:$G$2503,$B297,资金日记账!$F$4:$F$2503,"成本-其他")-SUMIFS(资金日记账!$J$4:$J$2503,资金日记账!$G$4:$G$2503,$B297,资金日记账!$F$4:$F$2503,"成本-其他"),2))</f>
        <v/>
      </c>
      <c r="Q297" s="19">
        <f>IF($B297="","",ROUND(SUM($L297:$P297),2))</f>
        <v/>
      </c>
      <c r="R297" s="19">
        <f>IF($B297="","",ROUND($I297-$Q297,2))</f>
        <v/>
      </c>
      <c r="S297" s="33">
        <f>IF($B297="","",IF(ROUND($I297,2)=0,"",ROUND($R297/$I297,4)))</f>
        <v/>
      </c>
      <c r="T297" s="22">
        <f>IF($B297="","",IF($G297="",0,YEAR($G297)*100+MONTH($G297)))</f>
        <v/>
      </c>
      <c r="U297" s="17">
        <f>IF($B297="","",IF(项目台账!$R296="","",项目台账!$R296))</f>
        <v/>
      </c>
    </row>
    <row r="298">
      <c r="A298" s="17">
        <f>IF(项目台账!$B297="","",项目台账!$A297)</f>
        <v/>
      </c>
      <c r="B298" s="17">
        <f>IF(项目台账!$B297="","",项目台账!$B297)</f>
        <v/>
      </c>
      <c r="C298" s="17">
        <f>IF($B298="","",IF(项目台账!$C297="","",项目台账!$C297))</f>
        <v/>
      </c>
      <c r="D298" s="17">
        <f>IF($B298="","",IF(项目台账!$D297="","",项目台账!$D297))</f>
        <v/>
      </c>
      <c r="E298" s="17">
        <f>IF($B298="","",IF(项目台账!$E297="","",项目台账!$E297))</f>
        <v/>
      </c>
      <c r="F298" s="23">
        <f>IF($B298="","",IF(项目台账!$F297="","",项目台账!$F297))</f>
        <v/>
      </c>
      <c r="G298" s="23">
        <f>IF($B298="","",IF(项目台账!$J297="","",项目台账!$J297))</f>
        <v/>
      </c>
      <c r="H298" s="17">
        <f>IF($B298="","",IF(项目台账!$Q297="","",项目台账!$Q297))</f>
        <v/>
      </c>
      <c r="I298" s="19">
        <f>IF($B298="","",项目台账!$M297)</f>
        <v/>
      </c>
      <c r="J298" s="19">
        <f>IF($B298="","",项目台账!$O297)</f>
        <v/>
      </c>
      <c r="K298" s="19">
        <f>IF($B298="","",项目台账!$P297)</f>
        <v/>
      </c>
      <c r="L298" s="19">
        <f>IF($B298="","",ROUND(SUMIFS(采购单!$L$4:$L$2003,采购单!$D$4:$D$2003,$B298,采购单!$F$4:$F$2003,"成本-主材")+SUMIFS(生产安装!$J$4:$J$1203,生产安装!$C$4:$C$1203,$B298,生产安装!$E$4:$E$1203,"成本-主材")+SUMIFS(资金日记账!$K$4:$K$2503,资金日记账!$G$4:$G$2503,$B298,资金日记账!$F$4:$F$2503,"成本-主材")-SUMIFS(资金日记账!$J$4:$J$2503,资金日记账!$G$4:$G$2503,$B298,资金日记账!$F$4:$F$2503,"成本-主材"),2))</f>
        <v/>
      </c>
      <c r="M298" s="19">
        <f>IF($B298="","",ROUND(SUMIFS(采购单!$L$4:$L$2003,采购单!$D$4:$D$2003,$B298,采购单!$F$4:$F$2003,"成本-辅材")+SUMIFS(生产安装!$J$4:$J$1203,生产安装!$C$4:$C$1203,$B298,生产安装!$E$4:$E$1203,"成本-辅材")+SUMIFS(资金日记账!$K$4:$K$2503,资金日记账!$G$4:$G$2503,$B298,资金日记账!$F$4:$F$2503,"成本-辅材")-SUMIFS(资金日记账!$J$4:$J$2503,资金日记账!$G$4:$G$2503,$B298,资金日记账!$F$4:$F$2503,"成本-辅材"),2))</f>
        <v/>
      </c>
      <c r="N298" s="19">
        <f>IF($B298="","",ROUND(SUMIFS(采购单!$L$4:$L$2003,采购单!$D$4:$D$2003,$B298,采购单!$F$4:$F$2003,"成本-人工")+SUMIFS(生产安装!$J$4:$J$1203,生产安装!$C$4:$C$1203,$B298,生产安装!$E$4:$E$1203,"成本-人工")+SUMIFS(资金日记账!$K$4:$K$2503,资金日记账!$G$4:$G$2503,$B298,资金日记账!$F$4:$F$2503,"成本-人工")-SUMIFS(资金日记账!$J$4:$J$2503,资金日记账!$G$4:$G$2503,$B298,资金日记账!$F$4:$F$2503,"成本-人工"),2))</f>
        <v/>
      </c>
      <c r="O298" s="19">
        <f>IF($B298="","",ROUND(SUMIFS(采购单!$L$4:$L$2003,采购单!$D$4:$D$2003,$B298,采购单!$F$4:$F$2003,"成本-车运")+SUMIFS(生产安装!$J$4:$J$1203,生产安装!$C$4:$C$1203,$B298,生产安装!$E$4:$E$1203,"成本-车运")+SUMIFS(资金日记账!$K$4:$K$2503,资金日记账!$G$4:$G$2503,$B298,资金日记账!$F$4:$F$2503,"成本-车运")-SUMIFS(资金日记账!$J$4:$J$2503,资金日记账!$G$4:$G$2503,$B298,资金日记账!$F$4:$F$2503,"成本-车运"),2))</f>
        <v/>
      </c>
      <c r="P298" s="19">
        <f>IF($B298="","",ROUND(SUMIFS(采购单!$L$4:$L$2003,采购单!$D$4:$D$2003,$B298,采购单!$F$4:$F$2003,"成本-其他")+SUMIFS(生产安装!$J$4:$J$1203,生产安装!$C$4:$C$1203,$B298,生产安装!$E$4:$E$1203,"成本-其他")+SUMIFS(资金日记账!$K$4:$K$2503,资金日记账!$G$4:$G$2503,$B298,资金日记账!$F$4:$F$2503,"成本-其他")-SUMIFS(资金日记账!$J$4:$J$2503,资金日记账!$G$4:$G$2503,$B298,资金日记账!$F$4:$F$2503,"成本-其他"),2))</f>
        <v/>
      </c>
      <c r="Q298" s="19">
        <f>IF($B298="","",ROUND(SUM($L298:$P298),2))</f>
        <v/>
      </c>
      <c r="R298" s="19">
        <f>IF($B298="","",ROUND($I298-$Q298,2))</f>
        <v/>
      </c>
      <c r="S298" s="33">
        <f>IF($B298="","",IF(ROUND($I298,2)=0,"",ROUND($R298/$I298,4)))</f>
        <v/>
      </c>
      <c r="T298" s="22">
        <f>IF($B298="","",IF($G298="",0,YEAR($G298)*100+MONTH($G298)))</f>
        <v/>
      </c>
      <c r="U298" s="17">
        <f>IF($B298="","",IF(项目台账!$R297="","",项目台账!$R297))</f>
        <v/>
      </c>
    </row>
    <row r="299">
      <c r="A299" s="17">
        <f>IF(项目台账!$B298="","",项目台账!$A298)</f>
        <v/>
      </c>
      <c r="B299" s="17">
        <f>IF(项目台账!$B298="","",项目台账!$B298)</f>
        <v/>
      </c>
      <c r="C299" s="17">
        <f>IF($B299="","",IF(项目台账!$C298="","",项目台账!$C298))</f>
        <v/>
      </c>
      <c r="D299" s="17">
        <f>IF($B299="","",IF(项目台账!$D298="","",项目台账!$D298))</f>
        <v/>
      </c>
      <c r="E299" s="17">
        <f>IF($B299="","",IF(项目台账!$E298="","",项目台账!$E298))</f>
        <v/>
      </c>
      <c r="F299" s="23">
        <f>IF($B299="","",IF(项目台账!$F298="","",项目台账!$F298))</f>
        <v/>
      </c>
      <c r="G299" s="23">
        <f>IF($B299="","",IF(项目台账!$J298="","",项目台账!$J298))</f>
        <v/>
      </c>
      <c r="H299" s="17">
        <f>IF($B299="","",IF(项目台账!$Q298="","",项目台账!$Q298))</f>
        <v/>
      </c>
      <c r="I299" s="19">
        <f>IF($B299="","",项目台账!$M298)</f>
        <v/>
      </c>
      <c r="J299" s="19">
        <f>IF($B299="","",项目台账!$O298)</f>
        <v/>
      </c>
      <c r="K299" s="19">
        <f>IF($B299="","",项目台账!$P298)</f>
        <v/>
      </c>
      <c r="L299" s="19">
        <f>IF($B299="","",ROUND(SUMIFS(采购单!$L$4:$L$2003,采购单!$D$4:$D$2003,$B299,采购单!$F$4:$F$2003,"成本-主材")+SUMIFS(生产安装!$J$4:$J$1203,生产安装!$C$4:$C$1203,$B299,生产安装!$E$4:$E$1203,"成本-主材")+SUMIFS(资金日记账!$K$4:$K$2503,资金日记账!$G$4:$G$2503,$B299,资金日记账!$F$4:$F$2503,"成本-主材")-SUMIFS(资金日记账!$J$4:$J$2503,资金日记账!$G$4:$G$2503,$B299,资金日记账!$F$4:$F$2503,"成本-主材"),2))</f>
        <v/>
      </c>
      <c r="M299" s="19">
        <f>IF($B299="","",ROUND(SUMIFS(采购单!$L$4:$L$2003,采购单!$D$4:$D$2003,$B299,采购单!$F$4:$F$2003,"成本-辅材")+SUMIFS(生产安装!$J$4:$J$1203,生产安装!$C$4:$C$1203,$B299,生产安装!$E$4:$E$1203,"成本-辅材")+SUMIFS(资金日记账!$K$4:$K$2503,资金日记账!$G$4:$G$2503,$B299,资金日记账!$F$4:$F$2503,"成本-辅材")-SUMIFS(资金日记账!$J$4:$J$2503,资金日记账!$G$4:$G$2503,$B299,资金日记账!$F$4:$F$2503,"成本-辅材"),2))</f>
        <v/>
      </c>
      <c r="N299" s="19">
        <f>IF($B299="","",ROUND(SUMIFS(采购单!$L$4:$L$2003,采购单!$D$4:$D$2003,$B299,采购单!$F$4:$F$2003,"成本-人工")+SUMIFS(生产安装!$J$4:$J$1203,生产安装!$C$4:$C$1203,$B299,生产安装!$E$4:$E$1203,"成本-人工")+SUMIFS(资金日记账!$K$4:$K$2503,资金日记账!$G$4:$G$2503,$B299,资金日记账!$F$4:$F$2503,"成本-人工")-SUMIFS(资金日记账!$J$4:$J$2503,资金日记账!$G$4:$G$2503,$B299,资金日记账!$F$4:$F$2503,"成本-人工"),2))</f>
        <v/>
      </c>
      <c r="O299" s="19">
        <f>IF($B299="","",ROUND(SUMIFS(采购单!$L$4:$L$2003,采购单!$D$4:$D$2003,$B299,采购单!$F$4:$F$2003,"成本-车运")+SUMIFS(生产安装!$J$4:$J$1203,生产安装!$C$4:$C$1203,$B299,生产安装!$E$4:$E$1203,"成本-车运")+SUMIFS(资金日记账!$K$4:$K$2503,资金日记账!$G$4:$G$2503,$B299,资金日记账!$F$4:$F$2503,"成本-车运")-SUMIFS(资金日记账!$J$4:$J$2503,资金日记账!$G$4:$G$2503,$B299,资金日记账!$F$4:$F$2503,"成本-车运"),2))</f>
        <v/>
      </c>
      <c r="P299" s="19">
        <f>IF($B299="","",ROUND(SUMIFS(采购单!$L$4:$L$2003,采购单!$D$4:$D$2003,$B299,采购单!$F$4:$F$2003,"成本-其他")+SUMIFS(生产安装!$J$4:$J$1203,生产安装!$C$4:$C$1203,$B299,生产安装!$E$4:$E$1203,"成本-其他")+SUMIFS(资金日记账!$K$4:$K$2503,资金日记账!$G$4:$G$2503,$B299,资金日记账!$F$4:$F$2503,"成本-其他")-SUMIFS(资金日记账!$J$4:$J$2503,资金日记账!$G$4:$G$2503,$B299,资金日记账!$F$4:$F$2503,"成本-其他"),2))</f>
        <v/>
      </c>
      <c r="Q299" s="19">
        <f>IF($B299="","",ROUND(SUM($L299:$P299),2))</f>
        <v/>
      </c>
      <c r="R299" s="19">
        <f>IF($B299="","",ROUND($I299-$Q299,2))</f>
        <v/>
      </c>
      <c r="S299" s="33">
        <f>IF($B299="","",IF(ROUND($I299,2)=0,"",ROUND($R299/$I299,4)))</f>
        <v/>
      </c>
      <c r="T299" s="22">
        <f>IF($B299="","",IF($G299="",0,YEAR($G299)*100+MONTH($G299)))</f>
        <v/>
      </c>
      <c r="U299" s="17">
        <f>IF($B299="","",IF(项目台账!$R298="","",项目台账!$R298))</f>
        <v/>
      </c>
    </row>
    <row r="300">
      <c r="A300" s="17">
        <f>IF(项目台账!$B299="","",项目台账!$A299)</f>
        <v/>
      </c>
      <c r="B300" s="17">
        <f>IF(项目台账!$B299="","",项目台账!$B299)</f>
        <v/>
      </c>
      <c r="C300" s="17">
        <f>IF($B300="","",IF(项目台账!$C299="","",项目台账!$C299))</f>
        <v/>
      </c>
      <c r="D300" s="17">
        <f>IF($B300="","",IF(项目台账!$D299="","",项目台账!$D299))</f>
        <v/>
      </c>
      <c r="E300" s="17">
        <f>IF($B300="","",IF(项目台账!$E299="","",项目台账!$E299))</f>
        <v/>
      </c>
      <c r="F300" s="23">
        <f>IF($B300="","",IF(项目台账!$F299="","",项目台账!$F299))</f>
        <v/>
      </c>
      <c r="G300" s="23">
        <f>IF($B300="","",IF(项目台账!$J299="","",项目台账!$J299))</f>
        <v/>
      </c>
      <c r="H300" s="17">
        <f>IF($B300="","",IF(项目台账!$Q299="","",项目台账!$Q299))</f>
        <v/>
      </c>
      <c r="I300" s="19">
        <f>IF($B300="","",项目台账!$M299)</f>
        <v/>
      </c>
      <c r="J300" s="19">
        <f>IF($B300="","",项目台账!$O299)</f>
        <v/>
      </c>
      <c r="K300" s="19">
        <f>IF($B300="","",项目台账!$P299)</f>
        <v/>
      </c>
      <c r="L300" s="19">
        <f>IF($B300="","",ROUND(SUMIFS(采购单!$L$4:$L$2003,采购单!$D$4:$D$2003,$B300,采购单!$F$4:$F$2003,"成本-主材")+SUMIFS(生产安装!$J$4:$J$1203,生产安装!$C$4:$C$1203,$B300,生产安装!$E$4:$E$1203,"成本-主材")+SUMIFS(资金日记账!$K$4:$K$2503,资金日记账!$G$4:$G$2503,$B300,资金日记账!$F$4:$F$2503,"成本-主材")-SUMIFS(资金日记账!$J$4:$J$2503,资金日记账!$G$4:$G$2503,$B300,资金日记账!$F$4:$F$2503,"成本-主材"),2))</f>
        <v/>
      </c>
      <c r="M300" s="19">
        <f>IF($B300="","",ROUND(SUMIFS(采购单!$L$4:$L$2003,采购单!$D$4:$D$2003,$B300,采购单!$F$4:$F$2003,"成本-辅材")+SUMIFS(生产安装!$J$4:$J$1203,生产安装!$C$4:$C$1203,$B300,生产安装!$E$4:$E$1203,"成本-辅材")+SUMIFS(资金日记账!$K$4:$K$2503,资金日记账!$G$4:$G$2503,$B300,资金日记账!$F$4:$F$2503,"成本-辅材")-SUMIFS(资金日记账!$J$4:$J$2503,资金日记账!$G$4:$G$2503,$B300,资金日记账!$F$4:$F$2503,"成本-辅材"),2))</f>
        <v/>
      </c>
      <c r="N300" s="19">
        <f>IF($B300="","",ROUND(SUMIFS(采购单!$L$4:$L$2003,采购单!$D$4:$D$2003,$B300,采购单!$F$4:$F$2003,"成本-人工")+SUMIFS(生产安装!$J$4:$J$1203,生产安装!$C$4:$C$1203,$B300,生产安装!$E$4:$E$1203,"成本-人工")+SUMIFS(资金日记账!$K$4:$K$2503,资金日记账!$G$4:$G$2503,$B300,资金日记账!$F$4:$F$2503,"成本-人工")-SUMIFS(资金日记账!$J$4:$J$2503,资金日记账!$G$4:$G$2503,$B300,资金日记账!$F$4:$F$2503,"成本-人工"),2))</f>
        <v/>
      </c>
      <c r="O300" s="19">
        <f>IF($B300="","",ROUND(SUMIFS(采购单!$L$4:$L$2003,采购单!$D$4:$D$2003,$B300,采购单!$F$4:$F$2003,"成本-车运")+SUMIFS(生产安装!$J$4:$J$1203,生产安装!$C$4:$C$1203,$B300,生产安装!$E$4:$E$1203,"成本-车运")+SUMIFS(资金日记账!$K$4:$K$2503,资金日记账!$G$4:$G$2503,$B300,资金日记账!$F$4:$F$2503,"成本-车运")-SUMIFS(资金日记账!$J$4:$J$2503,资金日记账!$G$4:$G$2503,$B300,资金日记账!$F$4:$F$2503,"成本-车运"),2))</f>
        <v/>
      </c>
      <c r="P300" s="19">
        <f>IF($B300="","",ROUND(SUMIFS(采购单!$L$4:$L$2003,采购单!$D$4:$D$2003,$B300,采购单!$F$4:$F$2003,"成本-其他")+SUMIFS(生产安装!$J$4:$J$1203,生产安装!$C$4:$C$1203,$B300,生产安装!$E$4:$E$1203,"成本-其他")+SUMIFS(资金日记账!$K$4:$K$2503,资金日记账!$G$4:$G$2503,$B300,资金日记账!$F$4:$F$2503,"成本-其他")-SUMIFS(资金日记账!$J$4:$J$2503,资金日记账!$G$4:$G$2503,$B300,资金日记账!$F$4:$F$2503,"成本-其他"),2))</f>
        <v/>
      </c>
      <c r="Q300" s="19">
        <f>IF($B300="","",ROUND(SUM($L300:$P300),2))</f>
        <v/>
      </c>
      <c r="R300" s="19">
        <f>IF($B300="","",ROUND($I300-$Q300,2))</f>
        <v/>
      </c>
      <c r="S300" s="33">
        <f>IF($B300="","",IF(ROUND($I300,2)=0,"",ROUND($R300/$I300,4)))</f>
        <v/>
      </c>
      <c r="T300" s="22">
        <f>IF($B300="","",IF($G300="",0,YEAR($G300)*100+MONTH($G300)))</f>
        <v/>
      </c>
      <c r="U300" s="17">
        <f>IF($B300="","",IF(项目台账!$R299="","",项目台账!$R299))</f>
        <v/>
      </c>
    </row>
    <row r="301">
      <c r="A301" s="17">
        <f>IF(项目台账!$B300="","",项目台账!$A300)</f>
        <v/>
      </c>
      <c r="B301" s="17">
        <f>IF(项目台账!$B300="","",项目台账!$B300)</f>
        <v/>
      </c>
      <c r="C301" s="17">
        <f>IF($B301="","",IF(项目台账!$C300="","",项目台账!$C300))</f>
        <v/>
      </c>
      <c r="D301" s="17">
        <f>IF($B301="","",IF(项目台账!$D300="","",项目台账!$D300))</f>
        <v/>
      </c>
      <c r="E301" s="17">
        <f>IF($B301="","",IF(项目台账!$E300="","",项目台账!$E300))</f>
        <v/>
      </c>
      <c r="F301" s="23">
        <f>IF($B301="","",IF(项目台账!$F300="","",项目台账!$F300))</f>
        <v/>
      </c>
      <c r="G301" s="23">
        <f>IF($B301="","",IF(项目台账!$J300="","",项目台账!$J300))</f>
        <v/>
      </c>
      <c r="H301" s="17">
        <f>IF($B301="","",IF(项目台账!$Q300="","",项目台账!$Q300))</f>
        <v/>
      </c>
      <c r="I301" s="19">
        <f>IF($B301="","",项目台账!$M300)</f>
        <v/>
      </c>
      <c r="J301" s="19">
        <f>IF($B301="","",项目台账!$O300)</f>
        <v/>
      </c>
      <c r="K301" s="19">
        <f>IF($B301="","",项目台账!$P300)</f>
        <v/>
      </c>
      <c r="L301" s="19">
        <f>IF($B301="","",ROUND(SUMIFS(采购单!$L$4:$L$2003,采购单!$D$4:$D$2003,$B301,采购单!$F$4:$F$2003,"成本-主材")+SUMIFS(生产安装!$J$4:$J$1203,生产安装!$C$4:$C$1203,$B301,生产安装!$E$4:$E$1203,"成本-主材")+SUMIFS(资金日记账!$K$4:$K$2503,资金日记账!$G$4:$G$2503,$B301,资金日记账!$F$4:$F$2503,"成本-主材")-SUMIFS(资金日记账!$J$4:$J$2503,资金日记账!$G$4:$G$2503,$B301,资金日记账!$F$4:$F$2503,"成本-主材"),2))</f>
        <v/>
      </c>
      <c r="M301" s="19">
        <f>IF($B301="","",ROUND(SUMIFS(采购单!$L$4:$L$2003,采购单!$D$4:$D$2003,$B301,采购单!$F$4:$F$2003,"成本-辅材")+SUMIFS(生产安装!$J$4:$J$1203,生产安装!$C$4:$C$1203,$B301,生产安装!$E$4:$E$1203,"成本-辅材")+SUMIFS(资金日记账!$K$4:$K$2503,资金日记账!$G$4:$G$2503,$B301,资金日记账!$F$4:$F$2503,"成本-辅材")-SUMIFS(资金日记账!$J$4:$J$2503,资金日记账!$G$4:$G$2503,$B301,资金日记账!$F$4:$F$2503,"成本-辅材"),2))</f>
        <v/>
      </c>
      <c r="N301" s="19">
        <f>IF($B301="","",ROUND(SUMIFS(采购单!$L$4:$L$2003,采购单!$D$4:$D$2003,$B301,采购单!$F$4:$F$2003,"成本-人工")+SUMIFS(生产安装!$J$4:$J$1203,生产安装!$C$4:$C$1203,$B301,生产安装!$E$4:$E$1203,"成本-人工")+SUMIFS(资金日记账!$K$4:$K$2503,资金日记账!$G$4:$G$2503,$B301,资金日记账!$F$4:$F$2503,"成本-人工")-SUMIFS(资金日记账!$J$4:$J$2503,资金日记账!$G$4:$G$2503,$B301,资金日记账!$F$4:$F$2503,"成本-人工"),2))</f>
        <v/>
      </c>
      <c r="O301" s="19">
        <f>IF($B301="","",ROUND(SUMIFS(采购单!$L$4:$L$2003,采购单!$D$4:$D$2003,$B301,采购单!$F$4:$F$2003,"成本-车运")+SUMIFS(生产安装!$J$4:$J$1203,生产安装!$C$4:$C$1203,$B301,生产安装!$E$4:$E$1203,"成本-车运")+SUMIFS(资金日记账!$K$4:$K$2503,资金日记账!$G$4:$G$2503,$B301,资金日记账!$F$4:$F$2503,"成本-车运")-SUMIFS(资金日记账!$J$4:$J$2503,资金日记账!$G$4:$G$2503,$B301,资金日记账!$F$4:$F$2503,"成本-车运"),2))</f>
        <v/>
      </c>
      <c r="P301" s="19">
        <f>IF($B301="","",ROUND(SUMIFS(采购单!$L$4:$L$2003,采购单!$D$4:$D$2003,$B301,采购单!$F$4:$F$2003,"成本-其他")+SUMIFS(生产安装!$J$4:$J$1203,生产安装!$C$4:$C$1203,$B301,生产安装!$E$4:$E$1203,"成本-其他")+SUMIFS(资金日记账!$K$4:$K$2503,资金日记账!$G$4:$G$2503,$B301,资金日记账!$F$4:$F$2503,"成本-其他")-SUMIFS(资金日记账!$J$4:$J$2503,资金日记账!$G$4:$G$2503,$B301,资金日记账!$F$4:$F$2503,"成本-其他"),2))</f>
        <v/>
      </c>
      <c r="Q301" s="19">
        <f>IF($B301="","",ROUND(SUM($L301:$P301),2))</f>
        <v/>
      </c>
      <c r="R301" s="19">
        <f>IF($B301="","",ROUND($I301-$Q301,2))</f>
        <v/>
      </c>
      <c r="S301" s="33">
        <f>IF($B301="","",IF(ROUND($I301,2)=0,"",ROUND($R301/$I301,4)))</f>
        <v/>
      </c>
      <c r="T301" s="22">
        <f>IF($B301="","",IF($G301="",0,YEAR($G301)*100+MONTH($G301)))</f>
        <v/>
      </c>
      <c r="U301" s="17">
        <f>IF($B301="","",IF(项目台账!$R300="","",项目台账!$R300))</f>
        <v/>
      </c>
    </row>
    <row r="302">
      <c r="A302" s="17">
        <f>IF(项目台账!$B301="","",项目台账!$A301)</f>
        <v/>
      </c>
      <c r="B302" s="17">
        <f>IF(项目台账!$B301="","",项目台账!$B301)</f>
        <v/>
      </c>
      <c r="C302" s="17">
        <f>IF($B302="","",IF(项目台账!$C301="","",项目台账!$C301))</f>
        <v/>
      </c>
      <c r="D302" s="17">
        <f>IF($B302="","",IF(项目台账!$D301="","",项目台账!$D301))</f>
        <v/>
      </c>
      <c r="E302" s="17">
        <f>IF($B302="","",IF(项目台账!$E301="","",项目台账!$E301))</f>
        <v/>
      </c>
      <c r="F302" s="23">
        <f>IF($B302="","",IF(项目台账!$F301="","",项目台账!$F301))</f>
        <v/>
      </c>
      <c r="G302" s="23">
        <f>IF($B302="","",IF(项目台账!$J301="","",项目台账!$J301))</f>
        <v/>
      </c>
      <c r="H302" s="17">
        <f>IF($B302="","",IF(项目台账!$Q301="","",项目台账!$Q301))</f>
        <v/>
      </c>
      <c r="I302" s="19">
        <f>IF($B302="","",项目台账!$M301)</f>
        <v/>
      </c>
      <c r="J302" s="19">
        <f>IF($B302="","",项目台账!$O301)</f>
        <v/>
      </c>
      <c r="K302" s="19">
        <f>IF($B302="","",项目台账!$P301)</f>
        <v/>
      </c>
      <c r="L302" s="19">
        <f>IF($B302="","",ROUND(SUMIFS(采购单!$L$4:$L$2003,采购单!$D$4:$D$2003,$B302,采购单!$F$4:$F$2003,"成本-主材")+SUMIFS(生产安装!$J$4:$J$1203,生产安装!$C$4:$C$1203,$B302,生产安装!$E$4:$E$1203,"成本-主材")+SUMIFS(资金日记账!$K$4:$K$2503,资金日记账!$G$4:$G$2503,$B302,资金日记账!$F$4:$F$2503,"成本-主材")-SUMIFS(资金日记账!$J$4:$J$2503,资金日记账!$G$4:$G$2503,$B302,资金日记账!$F$4:$F$2503,"成本-主材"),2))</f>
        <v/>
      </c>
      <c r="M302" s="19">
        <f>IF($B302="","",ROUND(SUMIFS(采购单!$L$4:$L$2003,采购单!$D$4:$D$2003,$B302,采购单!$F$4:$F$2003,"成本-辅材")+SUMIFS(生产安装!$J$4:$J$1203,生产安装!$C$4:$C$1203,$B302,生产安装!$E$4:$E$1203,"成本-辅材")+SUMIFS(资金日记账!$K$4:$K$2503,资金日记账!$G$4:$G$2503,$B302,资金日记账!$F$4:$F$2503,"成本-辅材")-SUMIFS(资金日记账!$J$4:$J$2503,资金日记账!$G$4:$G$2503,$B302,资金日记账!$F$4:$F$2503,"成本-辅材"),2))</f>
        <v/>
      </c>
      <c r="N302" s="19">
        <f>IF($B302="","",ROUND(SUMIFS(采购单!$L$4:$L$2003,采购单!$D$4:$D$2003,$B302,采购单!$F$4:$F$2003,"成本-人工")+SUMIFS(生产安装!$J$4:$J$1203,生产安装!$C$4:$C$1203,$B302,生产安装!$E$4:$E$1203,"成本-人工")+SUMIFS(资金日记账!$K$4:$K$2503,资金日记账!$G$4:$G$2503,$B302,资金日记账!$F$4:$F$2503,"成本-人工")-SUMIFS(资金日记账!$J$4:$J$2503,资金日记账!$G$4:$G$2503,$B302,资金日记账!$F$4:$F$2503,"成本-人工"),2))</f>
        <v/>
      </c>
      <c r="O302" s="19">
        <f>IF($B302="","",ROUND(SUMIFS(采购单!$L$4:$L$2003,采购单!$D$4:$D$2003,$B302,采购单!$F$4:$F$2003,"成本-车运")+SUMIFS(生产安装!$J$4:$J$1203,生产安装!$C$4:$C$1203,$B302,生产安装!$E$4:$E$1203,"成本-车运")+SUMIFS(资金日记账!$K$4:$K$2503,资金日记账!$G$4:$G$2503,$B302,资金日记账!$F$4:$F$2503,"成本-车运")-SUMIFS(资金日记账!$J$4:$J$2503,资金日记账!$G$4:$G$2503,$B302,资金日记账!$F$4:$F$2503,"成本-车运"),2))</f>
        <v/>
      </c>
      <c r="P302" s="19">
        <f>IF($B302="","",ROUND(SUMIFS(采购单!$L$4:$L$2003,采购单!$D$4:$D$2003,$B302,采购单!$F$4:$F$2003,"成本-其他")+SUMIFS(生产安装!$J$4:$J$1203,生产安装!$C$4:$C$1203,$B302,生产安装!$E$4:$E$1203,"成本-其他")+SUMIFS(资金日记账!$K$4:$K$2503,资金日记账!$G$4:$G$2503,$B302,资金日记账!$F$4:$F$2503,"成本-其他")-SUMIFS(资金日记账!$J$4:$J$2503,资金日记账!$G$4:$G$2503,$B302,资金日记账!$F$4:$F$2503,"成本-其他"),2))</f>
        <v/>
      </c>
      <c r="Q302" s="19">
        <f>IF($B302="","",ROUND(SUM($L302:$P302),2))</f>
        <v/>
      </c>
      <c r="R302" s="19">
        <f>IF($B302="","",ROUND($I302-$Q302,2))</f>
        <v/>
      </c>
      <c r="S302" s="33">
        <f>IF($B302="","",IF(ROUND($I302,2)=0,"",ROUND($R302/$I302,4)))</f>
        <v/>
      </c>
      <c r="T302" s="22">
        <f>IF($B302="","",IF($G302="",0,YEAR($G302)*100+MONTH($G302)))</f>
        <v/>
      </c>
      <c r="U302" s="17">
        <f>IF($B302="","",IF(项目台账!$R301="","",项目台账!$R301))</f>
        <v/>
      </c>
    </row>
    <row r="303">
      <c r="A303" s="17">
        <f>IF(项目台账!$B302="","",项目台账!$A302)</f>
        <v/>
      </c>
      <c r="B303" s="17">
        <f>IF(项目台账!$B302="","",项目台账!$B302)</f>
        <v/>
      </c>
      <c r="C303" s="17">
        <f>IF($B303="","",IF(项目台账!$C302="","",项目台账!$C302))</f>
        <v/>
      </c>
      <c r="D303" s="17">
        <f>IF($B303="","",IF(项目台账!$D302="","",项目台账!$D302))</f>
        <v/>
      </c>
      <c r="E303" s="17">
        <f>IF($B303="","",IF(项目台账!$E302="","",项目台账!$E302))</f>
        <v/>
      </c>
      <c r="F303" s="23">
        <f>IF($B303="","",IF(项目台账!$F302="","",项目台账!$F302))</f>
        <v/>
      </c>
      <c r="G303" s="23">
        <f>IF($B303="","",IF(项目台账!$J302="","",项目台账!$J302))</f>
        <v/>
      </c>
      <c r="H303" s="17">
        <f>IF($B303="","",IF(项目台账!$Q302="","",项目台账!$Q302))</f>
        <v/>
      </c>
      <c r="I303" s="19">
        <f>IF($B303="","",项目台账!$M302)</f>
        <v/>
      </c>
      <c r="J303" s="19">
        <f>IF($B303="","",项目台账!$O302)</f>
        <v/>
      </c>
      <c r="K303" s="19">
        <f>IF($B303="","",项目台账!$P302)</f>
        <v/>
      </c>
      <c r="L303" s="19">
        <f>IF($B303="","",ROUND(SUMIFS(采购单!$L$4:$L$2003,采购单!$D$4:$D$2003,$B303,采购单!$F$4:$F$2003,"成本-主材")+SUMIFS(生产安装!$J$4:$J$1203,生产安装!$C$4:$C$1203,$B303,生产安装!$E$4:$E$1203,"成本-主材")+SUMIFS(资金日记账!$K$4:$K$2503,资金日记账!$G$4:$G$2503,$B303,资金日记账!$F$4:$F$2503,"成本-主材")-SUMIFS(资金日记账!$J$4:$J$2503,资金日记账!$G$4:$G$2503,$B303,资金日记账!$F$4:$F$2503,"成本-主材"),2))</f>
        <v/>
      </c>
      <c r="M303" s="19">
        <f>IF($B303="","",ROUND(SUMIFS(采购单!$L$4:$L$2003,采购单!$D$4:$D$2003,$B303,采购单!$F$4:$F$2003,"成本-辅材")+SUMIFS(生产安装!$J$4:$J$1203,生产安装!$C$4:$C$1203,$B303,生产安装!$E$4:$E$1203,"成本-辅材")+SUMIFS(资金日记账!$K$4:$K$2503,资金日记账!$G$4:$G$2503,$B303,资金日记账!$F$4:$F$2503,"成本-辅材")-SUMIFS(资金日记账!$J$4:$J$2503,资金日记账!$G$4:$G$2503,$B303,资金日记账!$F$4:$F$2503,"成本-辅材"),2))</f>
        <v/>
      </c>
      <c r="N303" s="19">
        <f>IF($B303="","",ROUND(SUMIFS(采购单!$L$4:$L$2003,采购单!$D$4:$D$2003,$B303,采购单!$F$4:$F$2003,"成本-人工")+SUMIFS(生产安装!$J$4:$J$1203,生产安装!$C$4:$C$1203,$B303,生产安装!$E$4:$E$1203,"成本-人工")+SUMIFS(资金日记账!$K$4:$K$2503,资金日记账!$G$4:$G$2503,$B303,资金日记账!$F$4:$F$2503,"成本-人工")-SUMIFS(资金日记账!$J$4:$J$2503,资金日记账!$G$4:$G$2503,$B303,资金日记账!$F$4:$F$2503,"成本-人工"),2))</f>
        <v/>
      </c>
      <c r="O303" s="19">
        <f>IF($B303="","",ROUND(SUMIFS(采购单!$L$4:$L$2003,采购单!$D$4:$D$2003,$B303,采购单!$F$4:$F$2003,"成本-车运")+SUMIFS(生产安装!$J$4:$J$1203,生产安装!$C$4:$C$1203,$B303,生产安装!$E$4:$E$1203,"成本-车运")+SUMIFS(资金日记账!$K$4:$K$2503,资金日记账!$G$4:$G$2503,$B303,资金日记账!$F$4:$F$2503,"成本-车运")-SUMIFS(资金日记账!$J$4:$J$2503,资金日记账!$G$4:$G$2503,$B303,资金日记账!$F$4:$F$2503,"成本-车运"),2))</f>
        <v/>
      </c>
      <c r="P303" s="19">
        <f>IF($B303="","",ROUND(SUMIFS(采购单!$L$4:$L$2003,采购单!$D$4:$D$2003,$B303,采购单!$F$4:$F$2003,"成本-其他")+SUMIFS(生产安装!$J$4:$J$1203,生产安装!$C$4:$C$1203,$B303,生产安装!$E$4:$E$1203,"成本-其他")+SUMIFS(资金日记账!$K$4:$K$2503,资金日记账!$G$4:$G$2503,$B303,资金日记账!$F$4:$F$2503,"成本-其他")-SUMIFS(资金日记账!$J$4:$J$2503,资金日记账!$G$4:$G$2503,$B303,资金日记账!$F$4:$F$2503,"成本-其他"),2))</f>
        <v/>
      </c>
      <c r="Q303" s="19">
        <f>IF($B303="","",ROUND(SUM($L303:$P303),2))</f>
        <v/>
      </c>
      <c r="R303" s="19">
        <f>IF($B303="","",ROUND($I303-$Q303,2))</f>
        <v/>
      </c>
      <c r="S303" s="33">
        <f>IF($B303="","",IF(ROUND($I303,2)=0,"",ROUND($R303/$I303,4)))</f>
        <v/>
      </c>
      <c r="T303" s="22">
        <f>IF($B303="","",IF($G303="",0,YEAR($G303)*100+MONTH($G303)))</f>
        <v/>
      </c>
      <c r="U303" s="17">
        <f>IF($B303="","",IF(项目台账!$R302="","",项目台账!$R302))</f>
        <v/>
      </c>
    </row>
    <row r="304">
      <c r="A304" s="17">
        <f>IF(项目台账!$B303="","",项目台账!$A303)</f>
        <v/>
      </c>
      <c r="B304" s="17">
        <f>IF(项目台账!$B303="","",项目台账!$B303)</f>
        <v/>
      </c>
      <c r="C304" s="17">
        <f>IF($B304="","",IF(项目台账!$C303="","",项目台账!$C303))</f>
        <v/>
      </c>
      <c r="D304" s="17">
        <f>IF($B304="","",IF(项目台账!$D303="","",项目台账!$D303))</f>
        <v/>
      </c>
      <c r="E304" s="17">
        <f>IF($B304="","",IF(项目台账!$E303="","",项目台账!$E303))</f>
        <v/>
      </c>
      <c r="F304" s="23">
        <f>IF($B304="","",IF(项目台账!$F303="","",项目台账!$F303))</f>
        <v/>
      </c>
      <c r="G304" s="23">
        <f>IF($B304="","",IF(项目台账!$J303="","",项目台账!$J303))</f>
        <v/>
      </c>
      <c r="H304" s="17">
        <f>IF($B304="","",IF(项目台账!$Q303="","",项目台账!$Q303))</f>
        <v/>
      </c>
      <c r="I304" s="19">
        <f>IF($B304="","",项目台账!$M303)</f>
        <v/>
      </c>
      <c r="J304" s="19">
        <f>IF($B304="","",项目台账!$O303)</f>
        <v/>
      </c>
      <c r="K304" s="19">
        <f>IF($B304="","",项目台账!$P303)</f>
        <v/>
      </c>
      <c r="L304" s="19">
        <f>IF($B304="","",ROUND(SUMIFS(采购单!$L$4:$L$2003,采购单!$D$4:$D$2003,$B304,采购单!$F$4:$F$2003,"成本-主材")+SUMIFS(生产安装!$J$4:$J$1203,生产安装!$C$4:$C$1203,$B304,生产安装!$E$4:$E$1203,"成本-主材")+SUMIFS(资金日记账!$K$4:$K$2503,资金日记账!$G$4:$G$2503,$B304,资金日记账!$F$4:$F$2503,"成本-主材")-SUMIFS(资金日记账!$J$4:$J$2503,资金日记账!$G$4:$G$2503,$B304,资金日记账!$F$4:$F$2503,"成本-主材"),2))</f>
        <v/>
      </c>
      <c r="M304" s="19">
        <f>IF($B304="","",ROUND(SUMIFS(采购单!$L$4:$L$2003,采购单!$D$4:$D$2003,$B304,采购单!$F$4:$F$2003,"成本-辅材")+SUMIFS(生产安装!$J$4:$J$1203,生产安装!$C$4:$C$1203,$B304,生产安装!$E$4:$E$1203,"成本-辅材")+SUMIFS(资金日记账!$K$4:$K$2503,资金日记账!$G$4:$G$2503,$B304,资金日记账!$F$4:$F$2503,"成本-辅材")-SUMIFS(资金日记账!$J$4:$J$2503,资金日记账!$G$4:$G$2503,$B304,资金日记账!$F$4:$F$2503,"成本-辅材"),2))</f>
        <v/>
      </c>
      <c r="N304" s="19">
        <f>IF($B304="","",ROUND(SUMIFS(采购单!$L$4:$L$2003,采购单!$D$4:$D$2003,$B304,采购单!$F$4:$F$2003,"成本-人工")+SUMIFS(生产安装!$J$4:$J$1203,生产安装!$C$4:$C$1203,$B304,生产安装!$E$4:$E$1203,"成本-人工")+SUMIFS(资金日记账!$K$4:$K$2503,资金日记账!$G$4:$G$2503,$B304,资金日记账!$F$4:$F$2503,"成本-人工")-SUMIFS(资金日记账!$J$4:$J$2503,资金日记账!$G$4:$G$2503,$B304,资金日记账!$F$4:$F$2503,"成本-人工"),2))</f>
        <v/>
      </c>
      <c r="O304" s="19">
        <f>IF($B304="","",ROUND(SUMIFS(采购单!$L$4:$L$2003,采购单!$D$4:$D$2003,$B304,采购单!$F$4:$F$2003,"成本-车运")+SUMIFS(生产安装!$J$4:$J$1203,生产安装!$C$4:$C$1203,$B304,生产安装!$E$4:$E$1203,"成本-车运")+SUMIFS(资金日记账!$K$4:$K$2503,资金日记账!$G$4:$G$2503,$B304,资金日记账!$F$4:$F$2503,"成本-车运")-SUMIFS(资金日记账!$J$4:$J$2503,资金日记账!$G$4:$G$2503,$B304,资金日记账!$F$4:$F$2503,"成本-车运"),2))</f>
        <v/>
      </c>
      <c r="P304" s="19">
        <f>IF($B304="","",ROUND(SUMIFS(采购单!$L$4:$L$2003,采购单!$D$4:$D$2003,$B304,采购单!$F$4:$F$2003,"成本-其他")+SUMIFS(生产安装!$J$4:$J$1203,生产安装!$C$4:$C$1203,$B304,生产安装!$E$4:$E$1203,"成本-其他")+SUMIFS(资金日记账!$K$4:$K$2503,资金日记账!$G$4:$G$2503,$B304,资金日记账!$F$4:$F$2503,"成本-其他")-SUMIFS(资金日记账!$J$4:$J$2503,资金日记账!$G$4:$G$2503,$B304,资金日记账!$F$4:$F$2503,"成本-其他"),2))</f>
        <v/>
      </c>
      <c r="Q304" s="19">
        <f>IF($B304="","",ROUND(SUM($L304:$P304),2))</f>
        <v/>
      </c>
      <c r="R304" s="19">
        <f>IF($B304="","",ROUND($I304-$Q304,2))</f>
        <v/>
      </c>
      <c r="S304" s="33">
        <f>IF($B304="","",IF(ROUND($I304,2)=0,"",ROUND($R304/$I304,4)))</f>
        <v/>
      </c>
      <c r="T304" s="22">
        <f>IF($B304="","",IF($G304="",0,YEAR($G304)*100+MONTH($G304)))</f>
        <v/>
      </c>
      <c r="U304" s="17">
        <f>IF($B304="","",IF(项目台账!$R303="","",项目台账!$R303))</f>
        <v/>
      </c>
    </row>
    <row r="305">
      <c r="A305" s="17">
        <f>IF(项目台账!$B304="","",项目台账!$A304)</f>
        <v/>
      </c>
      <c r="B305" s="17">
        <f>IF(项目台账!$B304="","",项目台账!$B304)</f>
        <v/>
      </c>
      <c r="C305" s="17">
        <f>IF($B305="","",IF(项目台账!$C304="","",项目台账!$C304))</f>
        <v/>
      </c>
      <c r="D305" s="17">
        <f>IF($B305="","",IF(项目台账!$D304="","",项目台账!$D304))</f>
        <v/>
      </c>
      <c r="E305" s="17">
        <f>IF($B305="","",IF(项目台账!$E304="","",项目台账!$E304))</f>
        <v/>
      </c>
      <c r="F305" s="23">
        <f>IF($B305="","",IF(项目台账!$F304="","",项目台账!$F304))</f>
        <v/>
      </c>
      <c r="G305" s="23">
        <f>IF($B305="","",IF(项目台账!$J304="","",项目台账!$J304))</f>
        <v/>
      </c>
      <c r="H305" s="17">
        <f>IF($B305="","",IF(项目台账!$Q304="","",项目台账!$Q304))</f>
        <v/>
      </c>
      <c r="I305" s="19">
        <f>IF($B305="","",项目台账!$M304)</f>
        <v/>
      </c>
      <c r="J305" s="19">
        <f>IF($B305="","",项目台账!$O304)</f>
        <v/>
      </c>
      <c r="K305" s="19">
        <f>IF($B305="","",项目台账!$P304)</f>
        <v/>
      </c>
      <c r="L305" s="19">
        <f>IF($B305="","",ROUND(SUMIFS(采购单!$L$4:$L$2003,采购单!$D$4:$D$2003,$B305,采购单!$F$4:$F$2003,"成本-主材")+SUMIFS(生产安装!$J$4:$J$1203,生产安装!$C$4:$C$1203,$B305,生产安装!$E$4:$E$1203,"成本-主材")+SUMIFS(资金日记账!$K$4:$K$2503,资金日记账!$G$4:$G$2503,$B305,资金日记账!$F$4:$F$2503,"成本-主材")-SUMIFS(资金日记账!$J$4:$J$2503,资金日记账!$G$4:$G$2503,$B305,资金日记账!$F$4:$F$2503,"成本-主材"),2))</f>
        <v/>
      </c>
      <c r="M305" s="19">
        <f>IF($B305="","",ROUND(SUMIFS(采购单!$L$4:$L$2003,采购单!$D$4:$D$2003,$B305,采购单!$F$4:$F$2003,"成本-辅材")+SUMIFS(生产安装!$J$4:$J$1203,生产安装!$C$4:$C$1203,$B305,生产安装!$E$4:$E$1203,"成本-辅材")+SUMIFS(资金日记账!$K$4:$K$2503,资金日记账!$G$4:$G$2503,$B305,资金日记账!$F$4:$F$2503,"成本-辅材")-SUMIFS(资金日记账!$J$4:$J$2503,资金日记账!$G$4:$G$2503,$B305,资金日记账!$F$4:$F$2503,"成本-辅材"),2))</f>
        <v/>
      </c>
      <c r="N305" s="19">
        <f>IF($B305="","",ROUND(SUMIFS(采购单!$L$4:$L$2003,采购单!$D$4:$D$2003,$B305,采购单!$F$4:$F$2003,"成本-人工")+SUMIFS(生产安装!$J$4:$J$1203,生产安装!$C$4:$C$1203,$B305,生产安装!$E$4:$E$1203,"成本-人工")+SUMIFS(资金日记账!$K$4:$K$2503,资金日记账!$G$4:$G$2503,$B305,资金日记账!$F$4:$F$2503,"成本-人工")-SUMIFS(资金日记账!$J$4:$J$2503,资金日记账!$G$4:$G$2503,$B305,资金日记账!$F$4:$F$2503,"成本-人工"),2))</f>
        <v/>
      </c>
      <c r="O305" s="19">
        <f>IF($B305="","",ROUND(SUMIFS(采购单!$L$4:$L$2003,采购单!$D$4:$D$2003,$B305,采购单!$F$4:$F$2003,"成本-车运")+SUMIFS(生产安装!$J$4:$J$1203,生产安装!$C$4:$C$1203,$B305,生产安装!$E$4:$E$1203,"成本-车运")+SUMIFS(资金日记账!$K$4:$K$2503,资金日记账!$G$4:$G$2503,$B305,资金日记账!$F$4:$F$2503,"成本-车运")-SUMIFS(资金日记账!$J$4:$J$2503,资金日记账!$G$4:$G$2503,$B305,资金日记账!$F$4:$F$2503,"成本-车运"),2))</f>
        <v/>
      </c>
      <c r="P305" s="19">
        <f>IF($B305="","",ROUND(SUMIFS(采购单!$L$4:$L$2003,采购单!$D$4:$D$2003,$B305,采购单!$F$4:$F$2003,"成本-其他")+SUMIFS(生产安装!$J$4:$J$1203,生产安装!$C$4:$C$1203,$B305,生产安装!$E$4:$E$1203,"成本-其他")+SUMIFS(资金日记账!$K$4:$K$2503,资金日记账!$G$4:$G$2503,$B305,资金日记账!$F$4:$F$2503,"成本-其他")-SUMIFS(资金日记账!$J$4:$J$2503,资金日记账!$G$4:$G$2503,$B305,资金日记账!$F$4:$F$2503,"成本-其他"),2))</f>
        <v/>
      </c>
      <c r="Q305" s="19">
        <f>IF($B305="","",ROUND(SUM($L305:$P305),2))</f>
        <v/>
      </c>
      <c r="R305" s="19">
        <f>IF($B305="","",ROUND($I305-$Q305,2))</f>
        <v/>
      </c>
      <c r="S305" s="33">
        <f>IF($B305="","",IF(ROUND($I305,2)=0,"",ROUND($R305/$I305,4)))</f>
        <v/>
      </c>
      <c r="T305" s="22">
        <f>IF($B305="","",IF($G305="",0,YEAR($G305)*100+MONTH($G305)))</f>
        <v/>
      </c>
      <c r="U305" s="17">
        <f>IF($B305="","",IF(项目台账!$R304="","",项目台账!$R304))</f>
        <v/>
      </c>
    </row>
    <row r="306">
      <c r="A306" s="17">
        <f>IF(项目台账!$B305="","",项目台账!$A305)</f>
        <v/>
      </c>
      <c r="B306" s="17">
        <f>IF(项目台账!$B305="","",项目台账!$B305)</f>
        <v/>
      </c>
      <c r="C306" s="17">
        <f>IF($B306="","",IF(项目台账!$C305="","",项目台账!$C305))</f>
        <v/>
      </c>
      <c r="D306" s="17">
        <f>IF($B306="","",IF(项目台账!$D305="","",项目台账!$D305))</f>
        <v/>
      </c>
      <c r="E306" s="17">
        <f>IF($B306="","",IF(项目台账!$E305="","",项目台账!$E305))</f>
        <v/>
      </c>
      <c r="F306" s="23">
        <f>IF($B306="","",IF(项目台账!$F305="","",项目台账!$F305))</f>
        <v/>
      </c>
      <c r="G306" s="23">
        <f>IF($B306="","",IF(项目台账!$J305="","",项目台账!$J305))</f>
        <v/>
      </c>
      <c r="H306" s="17">
        <f>IF($B306="","",IF(项目台账!$Q305="","",项目台账!$Q305))</f>
        <v/>
      </c>
      <c r="I306" s="19">
        <f>IF($B306="","",项目台账!$M305)</f>
        <v/>
      </c>
      <c r="J306" s="19">
        <f>IF($B306="","",项目台账!$O305)</f>
        <v/>
      </c>
      <c r="K306" s="19">
        <f>IF($B306="","",项目台账!$P305)</f>
        <v/>
      </c>
      <c r="L306" s="19">
        <f>IF($B306="","",ROUND(SUMIFS(采购单!$L$4:$L$2003,采购单!$D$4:$D$2003,$B306,采购单!$F$4:$F$2003,"成本-主材")+SUMIFS(生产安装!$J$4:$J$1203,生产安装!$C$4:$C$1203,$B306,生产安装!$E$4:$E$1203,"成本-主材")+SUMIFS(资金日记账!$K$4:$K$2503,资金日记账!$G$4:$G$2503,$B306,资金日记账!$F$4:$F$2503,"成本-主材")-SUMIFS(资金日记账!$J$4:$J$2503,资金日记账!$G$4:$G$2503,$B306,资金日记账!$F$4:$F$2503,"成本-主材"),2))</f>
        <v/>
      </c>
      <c r="M306" s="19">
        <f>IF($B306="","",ROUND(SUMIFS(采购单!$L$4:$L$2003,采购单!$D$4:$D$2003,$B306,采购单!$F$4:$F$2003,"成本-辅材")+SUMIFS(生产安装!$J$4:$J$1203,生产安装!$C$4:$C$1203,$B306,生产安装!$E$4:$E$1203,"成本-辅材")+SUMIFS(资金日记账!$K$4:$K$2503,资金日记账!$G$4:$G$2503,$B306,资金日记账!$F$4:$F$2503,"成本-辅材")-SUMIFS(资金日记账!$J$4:$J$2503,资金日记账!$G$4:$G$2503,$B306,资金日记账!$F$4:$F$2503,"成本-辅材"),2))</f>
        <v/>
      </c>
      <c r="N306" s="19">
        <f>IF($B306="","",ROUND(SUMIFS(采购单!$L$4:$L$2003,采购单!$D$4:$D$2003,$B306,采购单!$F$4:$F$2003,"成本-人工")+SUMIFS(生产安装!$J$4:$J$1203,生产安装!$C$4:$C$1203,$B306,生产安装!$E$4:$E$1203,"成本-人工")+SUMIFS(资金日记账!$K$4:$K$2503,资金日记账!$G$4:$G$2503,$B306,资金日记账!$F$4:$F$2503,"成本-人工")-SUMIFS(资金日记账!$J$4:$J$2503,资金日记账!$G$4:$G$2503,$B306,资金日记账!$F$4:$F$2503,"成本-人工"),2))</f>
        <v/>
      </c>
      <c r="O306" s="19">
        <f>IF($B306="","",ROUND(SUMIFS(采购单!$L$4:$L$2003,采购单!$D$4:$D$2003,$B306,采购单!$F$4:$F$2003,"成本-车运")+SUMIFS(生产安装!$J$4:$J$1203,生产安装!$C$4:$C$1203,$B306,生产安装!$E$4:$E$1203,"成本-车运")+SUMIFS(资金日记账!$K$4:$K$2503,资金日记账!$G$4:$G$2503,$B306,资金日记账!$F$4:$F$2503,"成本-车运")-SUMIFS(资金日记账!$J$4:$J$2503,资金日记账!$G$4:$G$2503,$B306,资金日记账!$F$4:$F$2503,"成本-车运"),2))</f>
        <v/>
      </c>
      <c r="P306" s="19">
        <f>IF($B306="","",ROUND(SUMIFS(采购单!$L$4:$L$2003,采购单!$D$4:$D$2003,$B306,采购单!$F$4:$F$2003,"成本-其他")+SUMIFS(生产安装!$J$4:$J$1203,生产安装!$C$4:$C$1203,$B306,生产安装!$E$4:$E$1203,"成本-其他")+SUMIFS(资金日记账!$K$4:$K$2503,资金日记账!$G$4:$G$2503,$B306,资金日记账!$F$4:$F$2503,"成本-其他")-SUMIFS(资金日记账!$J$4:$J$2503,资金日记账!$G$4:$G$2503,$B306,资金日记账!$F$4:$F$2503,"成本-其他"),2))</f>
        <v/>
      </c>
      <c r="Q306" s="19">
        <f>IF($B306="","",ROUND(SUM($L306:$P306),2))</f>
        <v/>
      </c>
      <c r="R306" s="19">
        <f>IF($B306="","",ROUND($I306-$Q306,2))</f>
        <v/>
      </c>
      <c r="S306" s="33">
        <f>IF($B306="","",IF(ROUND($I306,2)=0,"",ROUND($R306/$I306,4)))</f>
        <v/>
      </c>
      <c r="T306" s="22">
        <f>IF($B306="","",IF($G306="",0,YEAR($G306)*100+MONTH($G306)))</f>
        <v/>
      </c>
      <c r="U306" s="17">
        <f>IF($B306="","",IF(项目台账!$R305="","",项目台账!$R305))</f>
        <v/>
      </c>
    </row>
    <row r="307">
      <c r="A307" s="17">
        <f>IF(项目台账!$B306="","",项目台账!$A306)</f>
        <v/>
      </c>
      <c r="B307" s="17">
        <f>IF(项目台账!$B306="","",项目台账!$B306)</f>
        <v/>
      </c>
      <c r="C307" s="17">
        <f>IF($B307="","",IF(项目台账!$C306="","",项目台账!$C306))</f>
        <v/>
      </c>
      <c r="D307" s="17">
        <f>IF($B307="","",IF(项目台账!$D306="","",项目台账!$D306))</f>
        <v/>
      </c>
      <c r="E307" s="17">
        <f>IF($B307="","",IF(项目台账!$E306="","",项目台账!$E306))</f>
        <v/>
      </c>
      <c r="F307" s="23">
        <f>IF($B307="","",IF(项目台账!$F306="","",项目台账!$F306))</f>
        <v/>
      </c>
      <c r="G307" s="23">
        <f>IF($B307="","",IF(项目台账!$J306="","",项目台账!$J306))</f>
        <v/>
      </c>
      <c r="H307" s="17">
        <f>IF($B307="","",IF(项目台账!$Q306="","",项目台账!$Q306))</f>
        <v/>
      </c>
      <c r="I307" s="19">
        <f>IF($B307="","",项目台账!$M306)</f>
        <v/>
      </c>
      <c r="J307" s="19">
        <f>IF($B307="","",项目台账!$O306)</f>
        <v/>
      </c>
      <c r="K307" s="19">
        <f>IF($B307="","",项目台账!$P306)</f>
        <v/>
      </c>
      <c r="L307" s="19">
        <f>IF($B307="","",ROUND(SUMIFS(采购单!$L$4:$L$2003,采购单!$D$4:$D$2003,$B307,采购单!$F$4:$F$2003,"成本-主材")+SUMIFS(生产安装!$J$4:$J$1203,生产安装!$C$4:$C$1203,$B307,生产安装!$E$4:$E$1203,"成本-主材")+SUMIFS(资金日记账!$K$4:$K$2503,资金日记账!$G$4:$G$2503,$B307,资金日记账!$F$4:$F$2503,"成本-主材")-SUMIFS(资金日记账!$J$4:$J$2503,资金日记账!$G$4:$G$2503,$B307,资金日记账!$F$4:$F$2503,"成本-主材"),2))</f>
        <v/>
      </c>
      <c r="M307" s="19">
        <f>IF($B307="","",ROUND(SUMIFS(采购单!$L$4:$L$2003,采购单!$D$4:$D$2003,$B307,采购单!$F$4:$F$2003,"成本-辅材")+SUMIFS(生产安装!$J$4:$J$1203,生产安装!$C$4:$C$1203,$B307,生产安装!$E$4:$E$1203,"成本-辅材")+SUMIFS(资金日记账!$K$4:$K$2503,资金日记账!$G$4:$G$2503,$B307,资金日记账!$F$4:$F$2503,"成本-辅材")-SUMIFS(资金日记账!$J$4:$J$2503,资金日记账!$G$4:$G$2503,$B307,资金日记账!$F$4:$F$2503,"成本-辅材"),2))</f>
        <v/>
      </c>
      <c r="N307" s="19">
        <f>IF($B307="","",ROUND(SUMIFS(采购单!$L$4:$L$2003,采购单!$D$4:$D$2003,$B307,采购单!$F$4:$F$2003,"成本-人工")+SUMIFS(生产安装!$J$4:$J$1203,生产安装!$C$4:$C$1203,$B307,生产安装!$E$4:$E$1203,"成本-人工")+SUMIFS(资金日记账!$K$4:$K$2503,资金日记账!$G$4:$G$2503,$B307,资金日记账!$F$4:$F$2503,"成本-人工")-SUMIFS(资金日记账!$J$4:$J$2503,资金日记账!$G$4:$G$2503,$B307,资金日记账!$F$4:$F$2503,"成本-人工"),2))</f>
        <v/>
      </c>
      <c r="O307" s="19">
        <f>IF($B307="","",ROUND(SUMIFS(采购单!$L$4:$L$2003,采购单!$D$4:$D$2003,$B307,采购单!$F$4:$F$2003,"成本-车运")+SUMIFS(生产安装!$J$4:$J$1203,生产安装!$C$4:$C$1203,$B307,生产安装!$E$4:$E$1203,"成本-车运")+SUMIFS(资金日记账!$K$4:$K$2503,资金日记账!$G$4:$G$2503,$B307,资金日记账!$F$4:$F$2503,"成本-车运")-SUMIFS(资金日记账!$J$4:$J$2503,资金日记账!$G$4:$G$2503,$B307,资金日记账!$F$4:$F$2503,"成本-车运"),2))</f>
        <v/>
      </c>
      <c r="P307" s="19">
        <f>IF($B307="","",ROUND(SUMIFS(采购单!$L$4:$L$2003,采购单!$D$4:$D$2003,$B307,采购单!$F$4:$F$2003,"成本-其他")+SUMIFS(生产安装!$J$4:$J$1203,生产安装!$C$4:$C$1203,$B307,生产安装!$E$4:$E$1203,"成本-其他")+SUMIFS(资金日记账!$K$4:$K$2503,资金日记账!$G$4:$G$2503,$B307,资金日记账!$F$4:$F$2503,"成本-其他")-SUMIFS(资金日记账!$J$4:$J$2503,资金日记账!$G$4:$G$2503,$B307,资金日记账!$F$4:$F$2503,"成本-其他"),2))</f>
        <v/>
      </c>
      <c r="Q307" s="19">
        <f>IF($B307="","",ROUND(SUM($L307:$P307),2))</f>
        <v/>
      </c>
      <c r="R307" s="19">
        <f>IF($B307="","",ROUND($I307-$Q307,2))</f>
        <v/>
      </c>
      <c r="S307" s="33">
        <f>IF($B307="","",IF(ROUND($I307,2)=0,"",ROUND($R307/$I307,4)))</f>
        <v/>
      </c>
      <c r="T307" s="22">
        <f>IF($B307="","",IF($G307="",0,YEAR($G307)*100+MONTH($G307)))</f>
        <v/>
      </c>
      <c r="U307" s="17">
        <f>IF($B307="","",IF(项目台账!$R306="","",项目台账!$R306))</f>
        <v/>
      </c>
    </row>
    <row r="308">
      <c r="A308" s="17">
        <f>IF(项目台账!$B307="","",项目台账!$A307)</f>
        <v/>
      </c>
      <c r="B308" s="17">
        <f>IF(项目台账!$B307="","",项目台账!$B307)</f>
        <v/>
      </c>
      <c r="C308" s="17">
        <f>IF($B308="","",IF(项目台账!$C307="","",项目台账!$C307))</f>
        <v/>
      </c>
      <c r="D308" s="17">
        <f>IF($B308="","",IF(项目台账!$D307="","",项目台账!$D307))</f>
        <v/>
      </c>
      <c r="E308" s="17">
        <f>IF($B308="","",IF(项目台账!$E307="","",项目台账!$E307))</f>
        <v/>
      </c>
      <c r="F308" s="23">
        <f>IF($B308="","",IF(项目台账!$F307="","",项目台账!$F307))</f>
        <v/>
      </c>
      <c r="G308" s="23">
        <f>IF($B308="","",IF(项目台账!$J307="","",项目台账!$J307))</f>
        <v/>
      </c>
      <c r="H308" s="17">
        <f>IF($B308="","",IF(项目台账!$Q307="","",项目台账!$Q307))</f>
        <v/>
      </c>
      <c r="I308" s="19">
        <f>IF($B308="","",项目台账!$M307)</f>
        <v/>
      </c>
      <c r="J308" s="19">
        <f>IF($B308="","",项目台账!$O307)</f>
        <v/>
      </c>
      <c r="K308" s="19">
        <f>IF($B308="","",项目台账!$P307)</f>
        <v/>
      </c>
      <c r="L308" s="19">
        <f>IF($B308="","",ROUND(SUMIFS(采购单!$L$4:$L$2003,采购单!$D$4:$D$2003,$B308,采购单!$F$4:$F$2003,"成本-主材")+SUMIFS(生产安装!$J$4:$J$1203,生产安装!$C$4:$C$1203,$B308,生产安装!$E$4:$E$1203,"成本-主材")+SUMIFS(资金日记账!$K$4:$K$2503,资金日记账!$G$4:$G$2503,$B308,资金日记账!$F$4:$F$2503,"成本-主材")-SUMIFS(资金日记账!$J$4:$J$2503,资金日记账!$G$4:$G$2503,$B308,资金日记账!$F$4:$F$2503,"成本-主材"),2))</f>
        <v/>
      </c>
      <c r="M308" s="19">
        <f>IF($B308="","",ROUND(SUMIFS(采购单!$L$4:$L$2003,采购单!$D$4:$D$2003,$B308,采购单!$F$4:$F$2003,"成本-辅材")+SUMIFS(生产安装!$J$4:$J$1203,生产安装!$C$4:$C$1203,$B308,生产安装!$E$4:$E$1203,"成本-辅材")+SUMIFS(资金日记账!$K$4:$K$2503,资金日记账!$G$4:$G$2503,$B308,资金日记账!$F$4:$F$2503,"成本-辅材")-SUMIFS(资金日记账!$J$4:$J$2503,资金日记账!$G$4:$G$2503,$B308,资金日记账!$F$4:$F$2503,"成本-辅材"),2))</f>
        <v/>
      </c>
      <c r="N308" s="19">
        <f>IF($B308="","",ROUND(SUMIFS(采购单!$L$4:$L$2003,采购单!$D$4:$D$2003,$B308,采购单!$F$4:$F$2003,"成本-人工")+SUMIFS(生产安装!$J$4:$J$1203,生产安装!$C$4:$C$1203,$B308,生产安装!$E$4:$E$1203,"成本-人工")+SUMIFS(资金日记账!$K$4:$K$2503,资金日记账!$G$4:$G$2503,$B308,资金日记账!$F$4:$F$2503,"成本-人工")-SUMIFS(资金日记账!$J$4:$J$2503,资金日记账!$G$4:$G$2503,$B308,资金日记账!$F$4:$F$2503,"成本-人工"),2))</f>
        <v/>
      </c>
      <c r="O308" s="19">
        <f>IF($B308="","",ROUND(SUMIFS(采购单!$L$4:$L$2003,采购单!$D$4:$D$2003,$B308,采购单!$F$4:$F$2003,"成本-车运")+SUMIFS(生产安装!$J$4:$J$1203,生产安装!$C$4:$C$1203,$B308,生产安装!$E$4:$E$1203,"成本-车运")+SUMIFS(资金日记账!$K$4:$K$2503,资金日记账!$G$4:$G$2503,$B308,资金日记账!$F$4:$F$2503,"成本-车运")-SUMIFS(资金日记账!$J$4:$J$2503,资金日记账!$G$4:$G$2503,$B308,资金日记账!$F$4:$F$2503,"成本-车运"),2))</f>
        <v/>
      </c>
      <c r="P308" s="19">
        <f>IF($B308="","",ROUND(SUMIFS(采购单!$L$4:$L$2003,采购单!$D$4:$D$2003,$B308,采购单!$F$4:$F$2003,"成本-其他")+SUMIFS(生产安装!$J$4:$J$1203,生产安装!$C$4:$C$1203,$B308,生产安装!$E$4:$E$1203,"成本-其他")+SUMIFS(资金日记账!$K$4:$K$2503,资金日记账!$G$4:$G$2503,$B308,资金日记账!$F$4:$F$2503,"成本-其他")-SUMIFS(资金日记账!$J$4:$J$2503,资金日记账!$G$4:$G$2503,$B308,资金日记账!$F$4:$F$2503,"成本-其他"),2))</f>
        <v/>
      </c>
      <c r="Q308" s="19">
        <f>IF($B308="","",ROUND(SUM($L308:$P308),2))</f>
        <v/>
      </c>
      <c r="R308" s="19">
        <f>IF($B308="","",ROUND($I308-$Q308,2))</f>
        <v/>
      </c>
      <c r="S308" s="33">
        <f>IF($B308="","",IF(ROUND($I308,2)=0,"",ROUND($R308/$I308,4)))</f>
        <v/>
      </c>
      <c r="T308" s="22">
        <f>IF($B308="","",IF($G308="",0,YEAR($G308)*100+MONTH($G308)))</f>
        <v/>
      </c>
      <c r="U308" s="17">
        <f>IF($B308="","",IF(项目台账!$R307="","",项目台账!$R307))</f>
        <v/>
      </c>
    </row>
    <row r="309">
      <c r="A309" s="17">
        <f>IF(项目台账!$B308="","",项目台账!$A308)</f>
        <v/>
      </c>
      <c r="B309" s="17">
        <f>IF(项目台账!$B308="","",项目台账!$B308)</f>
        <v/>
      </c>
      <c r="C309" s="17">
        <f>IF($B309="","",IF(项目台账!$C308="","",项目台账!$C308))</f>
        <v/>
      </c>
      <c r="D309" s="17">
        <f>IF($B309="","",IF(项目台账!$D308="","",项目台账!$D308))</f>
        <v/>
      </c>
      <c r="E309" s="17">
        <f>IF($B309="","",IF(项目台账!$E308="","",项目台账!$E308))</f>
        <v/>
      </c>
      <c r="F309" s="23">
        <f>IF($B309="","",IF(项目台账!$F308="","",项目台账!$F308))</f>
        <v/>
      </c>
      <c r="G309" s="23">
        <f>IF($B309="","",IF(项目台账!$J308="","",项目台账!$J308))</f>
        <v/>
      </c>
      <c r="H309" s="17">
        <f>IF($B309="","",IF(项目台账!$Q308="","",项目台账!$Q308))</f>
        <v/>
      </c>
      <c r="I309" s="19">
        <f>IF($B309="","",项目台账!$M308)</f>
        <v/>
      </c>
      <c r="J309" s="19">
        <f>IF($B309="","",项目台账!$O308)</f>
        <v/>
      </c>
      <c r="K309" s="19">
        <f>IF($B309="","",项目台账!$P308)</f>
        <v/>
      </c>
      <c r="L309" s="19">
        <f>IF($B309="","",ROUND(SUMIFS(采购单!$L$4:$L$2003,采购单!$D$4:$D$2003,$B309,采购单!$F$4:$F$2003,"成本-主材")+SUMIFS(生产安装!$J$4:$J$1203,生产安装!$C$4:$C$1203,$B309,生产安装!$E$4:$E$1203,"成本-主材")+SUMIFS(资金日记账!$K$4:$K$2503,资金日记账!$G$4:$G$2503,$B309,资金日记账!$F$4:$F$2503,"成本-主材")-SUMIFS(资金日记账!$J$4:$J$2503,资金日记账!$G$4:$G$2503,$B309,资金日记账!$F$4:$F$2503,"成本-主材"),2))</f>
        <v/>
      </c>
      <c r="M309" s="19">
        <f>IF($B309="","",ROUND(SUMIFS(采购单!$L$4:$L$2003,采购单!$D$4:$D$2003,$B309,采购单!$F$4:$F$2003,"成本-辅材")+SUMIFS(生产安装!$J$4:$J$1203,生产安装!$C$4:$C$1203,$B309,生产安装!$E$4:$E$1203,"成本-辅材")+SUMIFS(资金日记账!$K$4:$K$2503,资金日记账!$G$4:$G$2503,$B309,资金日记账!$F$4:$F$2503,"成本-辅材")-SUMIFS(资金日记账!$J$4:$J$2503,资金日记账!$G$4:$G$2503,$B309,资金日记账!$F$4:$F$2503,"成本-辅材"),2))</f>
        <v/>
      </c>
      <c r="N309" s="19">
        <f>IF($B309="","",ROUND(SUMIFS(采购单!$L$4:$L$2003,采购单!$D$4:$D$2003,$B309,采购单!$F$4:$F$2003,"成本-人工")+SUMIFS(生产安装!$J$4:$J$1203,生产安装!$C$4:$C$1203,$B309,生产安装!$E$4:$E$1203,"成本-人工")+SUMIFS(资金日记账!$K$4:$K$2503,资金日记账!$G$4:$G$2503,$B309,资金日记账!$F$4:$F$2503,"成本-人工")-SUMIFS(资金日记账!$J$4:$J$2503,资金日记账!$G$4:$G$2503,$B309,资金日记账!$F$4:$F$2503,"成本-人工"),2))</f>
        <v/>
      </c>
      <c r="O309" s="19">
        <f>IF($B309="","",ROUND(SUMIFS(采购单!$L$4:$L$2003,采购单!$D$4:$D$2003,$B309,采购单!$F$4:$F$2003,"成本-车运")+SUMIFS(生产安装!$J$4:$J$1203,生产安装!$C$4:$C$1203,$B309,生产安装!$E$4:$E$1203,"成本-车运")+SUMIFS(资金日记账!$K$4:$K$2503,资金日记账!$G$4:$G$2503,$B309,资金日记账!$F$4:$F$2503,"成本-车运")-SUMIFS(资金日记账!$J$4:$J$2503,资金日记账!$G$4:$G$2503,$B309,资金日记账!$F$4:$F$2503,"成本-车运"),2))</f>
        <v/>
      </c>
      <c r="P309" s="19">
        <f>IF($B309="","",ROUND(SUMIFS(采购单!$L$4:$L$2003,采购单!$D$4:$D$2003,$B309,采购单!$F$4:$F$2003,"成本-其他")+SUMIFS(生产安装!$J$4:$J$1203,生产安装!$C$4:$C$1203,$B309,生产安装!$E$4:$E$1203,"成本-其他")+SUMIFS(资金日记账!$K$4:$K$2503,资金日记账!$G$4:$G$2503,$B309,资金日记账!$F$4:$F$2503,"成本-其他")-SUMIFS(资金日记账!$J$4:$J$2503,资金日记账!$G$4:$G$2503,$B309,资金日记账!$F$4:$F$2503,"成本-其他"),2))</f>
        <v/>
      </c>
      <c r="Q309" s="19">
        <f>IF($B309="","",ROUND(SUM($L309:$P309),2))</f>
        <v/>
      </c>
      <c r="R309" s="19">
        <f>IF($B309="","",ROUND($I309-$Q309,2))</f>
        <v/>
      </c>
      <c r="S309" s="33">
        <f>IF($B309="","",IF(ROUND($I309,2)=0,"",ROUND($R309/$I309,4)))</f>
        <v/>
      </c>
      <c r="T309" s="22">
        <f>IF($B309="","",IF($G309="",0,YEAR($G309)*100+MONTH($G309)))</f>
        <v/>
      </c>
      <c r="U309" s="17">
        <f>IF($B309="","",IF(项目台账!$R308="","",项目台账!$R308))</f>
        <v/>
      </c>
    </row>
    <row r="310">
      <c r="A310" s="17">
        <f>IF(项目台账!$B309="","",项目台账!$A309)</f>
        <v/>
      </c>
      <c r="B310" s="17">
        <f>IF(项目台账!$B309="","",项目台账!$B309)</f>
        <v/>
      </c>
      <c r="C310" s="17">
        <f>IF($B310="","",IF(项目台账!$C309="","",项目台账!$C309))</f>
        <v/>
      </c>
      <c r="D310" s="17">
        <f>IF($B310="","",IF(项目台账!$D309="","",项目台账!$D309))</f>
        <v/>
      </c>
      <c r="E310" s="17">
        <f>IF($B310="","",IF(项目台账!$E309="","",项目台账!$E309))</f>
        <v/>
      </c>
      <c r="F310" s="23">
        <f>IF($B310="","",IF(项目台账!$F309="","",项目台账!$F309))</f>
        <v/>
      </c>
      <c r="G310" s="23">
        <f>IF($B310="","",IF(项目台账!$J309="","",项目台账!$J309))</f>
        <v/>
      </c>
      <c r="H310" s="17">
        <f>IF($B310="","",IF(项目台账!$Q309="","",项目台账!$Q309))</f>
        <v/>
      </c>
      <c r="I310" s="19">
        <f>IF($B310="","",项目台账!$M309)</f>
        <v/>
      </c>
      <c r="J310" s="19">
        <f>IF($B310="","",项目台账!$O309)</f>
        <v/>
      </c>
      <c r="K310" s="19">
        <f>IF($B310="","",项目台账!$P309)</f>
        <v/>
      </c>
      <c r="L310" s="19">
        <f>IF($B310="","",ROUND(SUMIFS(采购单!$L$4:$L$2003,采购单!$D$4:$D$2003,$B310,采购单!$F$4:$F$2003,"成本-主材")+SUMIFS(生产安装!$J$4:$J$1203,生产安装!$C$4:$C$1203,$B310,生产安装!$E$4:$E$1203,"成本-主材")+SUMIFS(资金日记账!$K$4:$K$2503,资金日记账!$G$4:$G$2503,$B310,资金日记账!$F$4:$F$2503,"成本-主材")-SUMIFS(资金日记账!$J$4:$J$2503,资金日记账!$G$4:$G$2503,$B310,资金日记账!$F$4:$F$2503,"成本-主材"),2))</f>
        <v/>
      </c>
      <c r="M310" s="19">
        <f>IF($B310="","",ROUND(SUMIFS(采购单!$L$4:$L$2003,采购单!$D$4:$D$2003,$B310,采购单!$F$4:$F$2003,"成本-辅材")+SUMIFS(生产安装!$J$4:$J$1203,生产安装!$C$4:$C$1203,$B310,生产安装!$E$4:$E$1203,"成本-辅材")+SUMIFS(资金日记账!$K$4:$K$2503,资金日记账!$G$4:$G$2503,$B310,资金日记账!$F$4:$F$2503,"成本-辅材")-SUMIFS(资金日记账!$J$4:$J$2503,资金日记账!$G$4:$G$2503,$B310,资金日记账!$F$4:$F$2503,"成本-辅材"),2))</f>
        <v/>
      </c>
      <c r="N310" s="19">
        <f>IF($B310="","",ROUND(SUMIFS(采购单!$L$4:$L$2003,采购单!$D$4:$D$2003,$B310,采购单!$F$4:$F$2003,"成本-人工")+SUMIFS(生产安装!$J$4:$J$1203,生产安装!$C$4:$C$1203,$B310,生产安装!$E$4:$E$1203,"成本-人工")+SUMIFS(资金日记账!$K$4:$K$2503,资金日记账!$G$4:$G$2503,$B310,资金日记账!$F$4:$F$2503,"成本-人工")-SUMIFS(资金日记账!$J$4:$J$2503,资金日记账!$G$4:$G$2503,$B310,资金日记账!$F$4:$F$2503,"成本-人工"),2))</f>
        <v/>
      </c>
      <c r="O310" s="19">
        <f>IF($B310="","",ROUND(SUMIFS(采购单!$L$4:$L$2003,采购单!$D$4:$D$2003,$B310,采购单!$F$4:$F$2003,"成本-车运")+SUMIFS(生产安装!$J$4:$J$1203,生产安装!$C$4:$C$1203,$B310,生产安装!$E$4:$E$1203,"成本-车运")+SUMIFS(资金日记账!$K$4:$K$2503,资金日记账!$G$4:$G$2503,$B310,资金日记账!$F$4:$F$2503,"成本-车运")-SUMIFS(资金日记账!$J$4:$J$2503,资金日记账!$G$4:$G$2503,$B310,资金日记账!$F$4:$F$2503,"成本-车运"),2))</f>
        <v/>
      </c>
      <c r="P310" s="19">
        <f>IF($B310="","",ROUND(SUMIFS(采购单!$L$4:$L$2003,采购单!$D$4:$D$2003,$B310,采购单!$F$4:$F$2003,"成本-其他")+SUMIFS(生产安装!$J$4:$J$1203,生产安装!$C$4:$C$1203,$B310,生产安装!$E$4:$E$1203,"成本-其他")+SUMIFS(资金日记账!$K$4:$K$2503,资金日记账!$G$4:$G$2503,$B310,资金日记账!$F$4:$F$2503,"成本-其他")-SUMIFS(资金日记账!$J$4:$J$2503,资金日记账!$G$4:$G$2503,$B310,资金日记账!$F$4:$F$2503,"成本-其他"),2))</f>
        <v/>
      </c>
      <c r="Q310" s="19">
        <f>IF($B310="","",ROUND(SUM($L310:$P310),2))</f>
        <v/>
      </c>
      <c r="R310" s="19">
        <f>IF($B310="","",ROUND($I310-$Q310,2))</f>
        <v/>
      </c>
      <c r="S310" s="33">
        <f>IF($B310="","",IF(ROUND($I310,2)=0,"",ROUND($R310/$I310,4)))</f>
        <v/>
      </c>
      <c r="T310" s="22">
        <f>IF($B310="","",IF($G310="",0,YEAR($G310)*100+MONTH($G310)))</f>
        <v/>
      </c>
      <c r="U310" s="17">
        <f>IF($B310="","",IF(项目台账!$R309="","",项目台账!$R309))</f>
        <v/>
      </c>
    </row>
    <row r="311">
      <c r="A311" s="17">
        <f>IF(项目台账!$B310="","",项目台账!$A310)</f>
        <v/>
      </c>
      <c r="B311" s="17">
        <f>IF(项目台账!$B310="","",项目台账!$B310)</f>
        <v/>
      </c>
      <c r="C311" s="17">
        <f>IF($B311="","",IF(项目台账!$C310="","",项目台账!$C310))</f>
        <v/>
      </c>
      <c r="D311" s="17">
        <f>IF($B311="","",IF(项目台账!$D310="","",项目台账!$D310))</f>
        <v/>
      </c>
      <c r="E311" s="17">
        <f>IF($B311="","",IF(项目台账!$E310="","",项目台账!$E310))</f>
        <v/>
      </c>
      <c r="F311" s="23">
        <f>IF($B311="","",IF(项目台账!$F310="","",项目台账!$F310))</f>
        <v/>
      </c>
      <c r="G311" s="23">
        <f>IF($B311="","",IF(项目台账!$J310="","",项目台账!$J310))</f>
        <v/>
      </c>
      <c r="H311" s="17">
        <f>IF($B311="","",IF(项目台账!$Q310="","",项目台账!$Q310))</f>
        <v/>
      </c>
      <c r="I311" s="19">
        <f>IF($B311="","",项目台账!$M310)</f>
        <v/>
      </c>
      <c r="J311" s="19">
        <f>IF($B311="","",项目台账!$O310)</f>
        <v/>
      </c>
      <c r="K311" s="19">
        <f>IF($B311="","",项目台账!$P310)</f>
        <v/>
      </c>
      <c r="L311" s="19">
        <f>IF($B311="","",ROUND(SUMIFS(采购单!$L$4:$L$2003,采购单!$D$4:$D$2003,$B311,采购单!$F$4:$F$2003,"成本-主材")+SUMIFS(生产安装!$J$4:$J$1203,生产安装!$C$4:$C$1203,$B311,生产安装!$E$4:$E$1203,"成本-主材")+SUMIFS(资金日记账!$K$4:$K$2503,资金日记账!$G$4:$G$2503,$B311,资金日记账!$F$4:$F$2503,"成本-主材")-SUMIFS(资金日记账!$J$4:$J$2503,资金日记账!$G$4:$G$2503,$B311,资金日记账!$F$4:$F$2503,"成本-主材"),2))</f>
        <v/>
      </c>
      <c r="M311" s="19">
        <f>IF($B311="","",ROUND(SUMIFS(采购单!$L$4:$L$2003,采购单!$D$4:$D$2003,$B311,采购单!$F$4:$F$2003,"成本-辅材")+SUMIFS(生产安装!$J$4:$J$1203,生产安装!$C$4:$C$1203,$B311,生产安装!$E$4:$E$1203,"成本-辅材")+SUMIFS(资金日记账!$K$4:$K$2503,资金日记账!$G$4:$G$2503,$B311,资金日记账!$F$4:$F$2503,"成本-辅材")-SUMIFS(资金日记账!$J$4:$J$2503,资金日记账!$G$4:$G$2503,$B311,资金日记账!$F$4:$F$2503,"成本-辅材"),2))</f>
        <v/>
      </c>
      <c r="N311" s="19">
        <f>IF($B311="","",ROUND(SUMIFS(采购单!$L$4:$L$2003,采购单!$D$4:$D$2003,$B311,采购单!$F$4:$F$2003,"成本-人工")+SUMIFS(生产安装!$J$4:$J$1203,生产安装!$C$4:$C$1203,$B311,生产安装!$E$4:$E$1203,"成本-人工")+SUMIFS(资金日记账!$K$4:$K$2503,资金日记账!$G$4:$G$2503,$B311,资金日记账!$F$4:$F$2503,"成本-人工")-SUMIFS(资金日记账!$J$4:$J$2503,资金日记账!$G$4:$G$2503,$B311,资金日记账!$F$4:$F$2503,"成本-人工"),2))</f>
        <v/>
      </c>
      <c r="O311" s="19">
        <f>IF($B311="","",ROUND(SUMIFS(采购单!$L$4:$L$2003,采购单!$D$4:$D$2003,$B311,采购单!$F$4:$F$2003,"成本-车运")+SUMIFS(生产安装!$J$4:$J$1203,生产安装!$C$4:$C$1203,$B311,生产安装!$E$4:$E$1203,"成本-车运")+SUMIFS(资金日记账!$K$4:$K$2503,资金日记账!$G$4:$G$2503,$B311,资金日记账!$F$4:$F$2503,"成本-车运")-SUMIFS(资金日记账!$J$4:$J$2503,资金日记账!$G$4:$G$2503,$B311,资金日记账!$F$4:$F$2503,"成本-车运"),2))</f>
        <v/>
      </c>
      <c r="P311" s="19">
        <f>IF($B311="","",ROUND(SUMIFS(采购单!$L$4:$L$2003,采购单!$D$4:$D$2003,$B311,采购单!$F$4:$F$2003,"成本-其他")+SUMIFS(生产安装!$J$4:$J$1203,生产安装!$C$4:$C$1203,$B311,生产安装!$E$4:$E$1203,"成本-其他")+SUMIFS(资金日记账!$K$4:$K$2503,资金日记账!$G$4:$G$2503,$B311,资金日记账!$F$4:$F$2503,"成本-其他")-SUMIFS(资金日记账!$J$4:$J$2503,资金日记账!$G$4:$G$2503,$B311,资金日记账!$F$4:$F$2503,"成本-其他"),2))</f>
        <v/>
      </c>
      <c r="Q311" s="19">
        <f>IF($B311="","",ROUND(SUM($L311:$P311),2))</f>
        <v/>
      </c>
      <c r="R311" s="19">
        <f>IF($B311="","",ROUND($I311-$Q311,2))</f>
        <v/>
      </c>
      <c r="S311" s="33">
        <f>IF($B311="","",IF(ROUND($I311,2)=0,"",ROUND($R311/$I311,4)))</f>
        <v/>
      </c>
      <c r="T311" s="22">
        <f>IF($B311="","",IF($G311="",0,YEAR($G311)*100+MONTH($G311)))</f>
        <v/>
      </c>
      <c r="U311" s="17">
        <f>IF($B311="","",IF(项目台账!$R310="","",项目台账!$R310))</f>
        <v/>
      </c>
    </row>
    <row r="312">
      <c r="A312" s="17">
        <f>IF(项目台账!$B311="","",项目台账!$A311)</f>
        <v/>
      </c>
      <c r="B312" s="17">
        <f>IF(项目台账!$B311="","",项目台账!$B311)</f>
        <v/>
      </c>
      <c r="C312" s="17">
        <f>IF($B312="","",IF(项目台账!$C311="","",项目台账!$C311))</f>
        <v/>
      </c>
      <c r="D312" s="17">
        <f>IF($B312="","",IF(项目台账!$D311="","",项目台账!$D311))</f>
        <v/>
      </c>
      <c r="E312" s="17">
        <f>IF($B312="","",IF(项目台账!$E311="","",项目台账!$E311))</f>
        <v/>
      </c>
      <c r="F312" s="23">
        <f>IF($B312="","",IF(项目台账!$F311="","",项目台账!$F311))</f>
        <v/>
      </c>
      <c r="G312" s="23">
        <f>IF($B312="","",IF(项目台账!$J311="","",项目台账!$J311))</f>
        <v/>
      </c>
      <c r="H312" s="17">
        <f>IF($B312="","",IF(项目台账!$Q311="","",项目台账!$Q311))</f>
        <v/>
      </c>
      <c r="I312" s="19">
        <f>IF($B312="","",项目台账!$M311)</f>
        <v/>
      </c>
      <c r="J312" s="19">
        <f>IF($B312="","",项目台账!$O311)</f>
        <v/>
      </c>
      <c r="K312" s="19">
        <f>IF($B312="","",项目台账!$P311)</f>
        <v/>
      </c>
      <c r="L312" s="19">
        <f>IF($B312="","",ROUND(SUMIFS(采购单!$L$4:$L$2003,采购单!$D$4:$D$2003,$B312,采购单!$F$4:$F$2003,"成本-主材")+SUMIFS(生产安装!$J$4:$J$1203,生产安装!$C$4:$C$1203,$B312,生产安装!$E$4:$E$1203,"成本-主材")+SUMIFS(资金日记账!$K$4:$K$2503,资金日记账!$G$4:$G$2503,$B312,资金日记账!$F$4:$F$2503,"成本-主材")-SUMIFS(资金日记账!$J$4:$J$2503,资金日记账!$G$4:$G$2503,$B312,资金日记账!$F$4:$F$2503,"成本-主材"),2))</f>
        <v/>
      </c>
      <c r="M312" s="19">
        <f>IF($B312="","",ROUND(SUMIFS(采购单!$L$4:$L$2003,采购单!$D$4:$D$2003,$B312,采购单!$F$4:$F$2003,"成本-辅材")+SUMIFS(生产安装!$J$4:$J$1203,生产安装!$C$4:$C$1203,$B312,生产安装!$E$4:$E$1203,"成本-辅材")+SUMIFS(资金日记账!$K$4:$K$2503,资金日记账!$G$4:$G$2503,$B312,资金日记账!$F$4:$F$2503,"成本-辅材")-SUMIFS(资金日记账!$J$4:$J$2503,资金日记账!$G$4:$G$2503,$B312,资金日记账!$F$4:$F$2503,"成本-辅材"),2))</f>
        <v/>
      </c>
      <c r="N312" s="19">
        <f>IF($B312="","",ROUND(SUMIFS(采购单!$L$4:$L$2003,采购单!$D$4:$D$2003,$B312,采购单!$F$4:$F$2003,"成本-人工")+SUMIFS(生产安装!$J$4:$J$1203,生产安装!$C$4:$C$1203,$B312,生产安装!$E$4:$E$1203,"成本-人工")+SUMIFS(资金日记账!$K$4:$K$2503,资金日记账!$G$4:$G$2503,$B312,资金日记账!$F$4:$F$2503,"成本-人工")-SUMIFS(资金日记账!$J$4:$J$2503,资金日记账!$G$4:$G$2503,$B312,资金日记账!$F$4:$F$2503,"成本-人工"),2))</f>
        <v/>
      </c>
      <c r="O312" s="19">
        <f>IF($B312="","",ROUND(SUMIFS(采购单!$L$4:$L$2003,采购单!$D$4:$D$2003,$B312,采购单!$F$4:$F$2003,"成本-车运")+SUMIFS(生产安装!$J$4:$J$1203,生产安装!$C$4:$C$1203,$B312,生产安装!$E$4:$E$1203,"成本-车运")+SUMIFS(资金日记账!$K$4:$K$2503,资金日记账!$G$4:$G$2503,$B312,资金日记账!$F$4:$F$2503,"成本-车运")-SUMIFS(资金日记账!$J$4:$J$2503,资金日记账!$G$4:$G$2503,$B312,资金日记账!$F$4:$F$2503,"成本-车运"),2))</f>
        <v/>
      </c>
      <c r="P312" s="19">
        <f>IF($B312="","",ROUND(SUMIFS(采购单!$L$4:$L$2003,采购单!$D$4:$D$2003,$B312,采购单!$F$4:$F$2003,"成本-其他")+SUMIFS(生产安装!$J$4:$J$1203,生产安装!$C$4:$C$1203,$B312,生产安装!$E$4:$E$1203,"成本-其他")+SUMIFS(资金日记账!$K$4:$K$2503,资金日记账!$G$4:$G$2503,$B312,资金日记账!$F$4:$F$2503,"成本-其他")-SUMIFS(资金日记账!$J$4:$J$2503,资金日记账!$G$4:$G$2503,$B312,资金日记账!$F$4:$F$2503,"成本-其他"),2))</f>
        <v/>
      </c>
      <c r="Q312" s="19">
        <f>IF($B312="","",ROUND(SUM($L312:$P312),2))</f>
        <v/>
      </c>
      <c r="R312" s="19">
        <f>IF($B312="","",ROUND($I312-$Q312,2))</f>
        <v/>
      </c>
      <c r="S312" s="33">
        <f>IF($B312="","",IF(ROUND($I312,2)=0,"",ROUND($R312/$I312,4)))</f>
        <v/>
      </c>
      <c r="T312" s="22">
        <f>IF($B312="","",IF($G312="",0,YEAR($G312)*100+MONTH($G312)))</f>
        <v/>
      </c>
      <c r="U312" s="17">
        <f>IF($B312="","",IF(项目台账!$R311="","",项目台账!$R311))</f>
        <v/>
      </c>
    </row>
    <row r="313">
      <c r="A313" s="17">
        <f>IF(项目台账!$B312="","",项目台账!$A312)</f>
        <v/>
      </c>
      <c r="B313" s="17">
        <f>IF(项目台账!$B312="","",项目台账!$B312)</f>
        <v/>
      </c>
      <c r="C313" s="17">
        <f>IF($B313="","",IF(项目台账!$C312="","",项目台账!$C312))</f>
        <v/>
      </c>
      <c r="D313" s="17">
        <f>IF($B313="","",IF(项目台账!$D312="","",项目台账!$D312))</f>
        <v/>
      </c>
      <c r="E313" s="17">
        <f>IF($B313="","",IF(项目台账!$E312="","",项目台账!$E312))</f>
        <v/>
      </c>
      <c r="F313" s="23">
        <f>IF($B313="","",IF(项目台账!$F312="","",项目台账!$F312))</f>
        <v/>
      </c>
      <c r="G313" s="23">
        <f>IF($B313="","",IF(项目台账!$J312="","",项目台账!$J312))</f>
        <v/>
      </c>
      <c r="H313" s="17">
        <f>IF($B313="","",IF(项目台账!$Q312="","",项目台账!$Q312))</f>
        <v/>
      </c>
      <c r="I313" s="19">
        <f>IF($B313="","",项目台账!$M312)</f>
        <v/>
      </c>
      <c r="J313" s="19">
        <f>IF($B313="","",项目台账!$O312)</f>
        <v/>
      </c>
      <c r="K313" s="19">
        <f>IF($B313="","",项目台账!$P312)</f>
        <v/>
      </c>
      <c r="L313" s="19">
        <f>IF($B313="","",ROUND(SUMIFS(采购单!$L$4:$L$2003,采购单!$D$4:$D$2003,$B313,采购单!$F$4:$F$2003,"成本-主材")+SUMIFS(生产安装!$J$4:$J$1203,生产安装!$C$4:$C$1203,$B313,生产安装!$E$4:$E$1203,"成本-主材")+SUMIFS(资金日记账!$K$4:$K$2503,资金日记账!$G$4:$G$2503,$B313,资金日记账!$F$4:$F$2503,"成本-主材")-SUMIFS(资金日记账!$J$4:$J$2503,资金日记账!$G$4:$G$2503,$B313,资金日记账!$F$4:$F$2503,"成本-主材"),2))</f>
        <v/>
      </c>
      <c r="M313" s="19">
        <f>IF($B313="","",ROUND(SUMIFS(采购单!$L$4:$L$2003,采购单!$D$4:$D$2003,$B313,采购单!$F$4:$F$2003,"成本-辅材")+SUMIFS(生产安装!$J$4:$J$1203,生产安装!$C$4:$C$1203,$B313,生产安装!$E$4:$E$1203,"成本-辅材")+SUMIFS(资金日记账!$K$4:$K$2503,资金日记账!$G$4:$G$2503,$B313,资金日记账!$F$4:$F$2503,"成本-辅材")-SUMIFS(资金日记账!$J$4:$J$2503,资金日记账!$G$4:$G$2503,$B313,资金日记账!$F$4:$F$2503,"成本-辅材"),2))</f>
        <v/>
      </c>
      <c r="N313" s="19">
        <f>IF($B313="","",ROUND(SUMIFS(采购单!$L$4:$L$2003,采购单!$D$4:$D$2003,$B313,采购单!$F$4:$F$2003,"成本-人工")+SUMIFS(生产安装!$J$4:$J$1203,生产安装!$C$4:$C$1203,$B313,生产安装!$E$4:$E$1203,"成本-人工")+SUMIFS(资金日记账!$K$4:$K$2503,资金日记账!$G$4:$G$2503,$B313,资金日记账!$F$4:$F$2503,"成本-人工")-SUMIFS(资金日记账!$J$4:$J$2503,资金日记账!$G$4:$G$2503,$B313,资金日记账!$F$4:$F$2503,"成本-人工"),2))</f>
        <v/>
      </c>
      <c r="O313" s="19">
        <f>IF($B313="","",ROUND(SUMIFS(采购单!$L$4:$L$2003,采购单!$D$4:$D$2003,$B313,采购单!$F$4:$F$2003,"成本-车运")+SUMIFS(生产安装!$J$4:$J$1203,生产安装!$C$4:$C$1203,$B313,生产安装!$E$4:$E$1203,"成本-车运")+SUMIFS(资金日记账!$K$4:$K$2503,资金日记账!$G$4:$G$2503,$B313,资金日记账!$F$4:$F$2503,"成本-车运")-SUMIFS(资金日记账!$J$4:$J$2503,资金日记账!$G$4:$G$2503,$B313,资金日记账!$F$4:$F$2503,"成本-车运"),2))</f>
        <v/>
      </c>
      <c r="P313" s="19">
        <f>IF($B313="","",ROUND(SUMIFS(采购单!$L$4:$L$2003,采购单!$D$4:$D$2003,$B313,采购单!$F$4:$F$2003,"成本-其他")+SUMIFS(生产安装!$J$4:$J$1203,生产安装!$C$4:$C$1203,$B313,生产安装!$E$4:$E$1203,"成本-其他")+SUMIFS(资金日记账!$K$4:$K$2503,资金日记账!$G$4:$G$2503,$B313,资金日记账!$F$4:$F$2503,"成本-其他")-SUMIFS(资金日记账!$J$4:$J$2503,资金日记账!$G$4:$G$2503,$B313,资金日记账!$F$4:$F$2503,"成本-其他"),2))</f>
        <v/>
      </c>
      <c r="Q313" s="19">
        <f>IF($B313="","",ROUND(SUM($L313:$P313),2))</f>
        <v/>
      </c>
      <c r="R313" s="19">
        <f>IF($B313="","",ROUND($I313-$Q313,2))</f>
        <v/>
      </c>
      <c r="S313" s="33">
        <f>IF($B313="","",IF(ROUND($I313,2)=0,"",ROUND($R313/$I313,4)))</f>
        <v/>
      </c>
      <c r="T313" s="22">
        <f>IF($B313="","",IF($G313="",0,YEAR($G313)*100+MONTH($G313)))</f>
        <v/>
      </c>
      <c r="U313" s="17">
        <f>IF($B313="","",IF(项目台账!$R312="","",项目台账!$R312))</f>
        <v/>
      </c>
    </row>
    <row r="314">
      <c r="A314" s="17">
        <f>IF(项目台账!$B313="","",项目台账!$A313)</f>
        <v/>
      </c>
      <c r="B314" s="17">
        <f>IF(项目台账!$B313="","",项目台账!$B313)</f>
        <v/>
      </c>
      <c r="C314" s="17">
        <f>IF($B314="","",IF(项目台账!$C313="","",项目台账!$C313))</f>
        <v/>
      </c>
      <c r="D314" s="17">
        <f>IF($B314="","",IF(项目台账!$D313="","",项目台账!$D313))</f>
        <v/>
      </c>
      <c r="E314" s="17">
        <f>IF($B314="","",IF(项目台账!$E313="","",项目台账!$E313))</f>
        <v/>
      </c>
      <c r="F314" s="23">
        <f>IF($B314="","",IF(项目台账!$F313="","",项目台账!$F313))</f>
        <v/>
      </c>
      <c r="G314" s="23">
        <f>IF($B314="","",IF(项目台账!$J313="","",项目台账!$J313))</f>
        <v/>
      </c>
      <c r="H314" s="17">
        <f>IF($B314="","",IF(项目台账!$Q313="","",项目台账!$Q313))</f>
        <v/>
      </c>
      <c r="I314" s="19">
        <f>IF($B314="","",项目台账!$M313)</f>
        <v/>
      </c>
      <c r="J314" s="19">
        <f>IF($B314="","",项目台账!$O313)</f>
        <v/>
      </c>
      <c r="K314" s="19">
        <f>IF($B314="","",项目台账!$P313)</f>
        <v/>
      </c>
      <c r="L314" s="19">
        <f>IF($B314="","",ROUND(SUMIFS(采购单!$L$4:$L$2003,采购单!$D$4:$D$2003,$B314,采购单!$F$4:$F$2003,"成本-主材")+SUMIFS(生产安装!$J$4:$J$1203,生产安装!$C$4:$C$1203,$B314,生产安装!$E$4:$E$1203,"成本-主材")+SUMIFS(资金日记账!$K$4:$K$2503,资金日记账!$G$4:$G$2503,$B314,资金日记账!$F$4:$F$2503,"成本-主材")-SUMIFS(资金日记账!$J$4:$J$2503,资金日记账!$G$4:$G$2503,$B314,资金日记账!$F$4:$F$2503,"成本-主材"),2))</f>
        <v/>
      </c>
      <c r="M314" s="19">
        <f>IF($B314="","",ROUND(SUMIFS(采购单!$L$4:$L$2003,采购单!$D$4:$D$2003,$B314,采购单!$F$4:$F$2003,"成本-辅材")+SUMIFS(生产安装!$J$4:$J$1203,生产安装!$C$4:$C$1203,$B314,生产安装!$E$4:$E$1203,"成本-辅材")+SUMIFS(资金日记账!$K$4:$K$2503,资金日记账!$G$4:$G$2503,$B314,资金日记账!$F$4:$F$2503,"成本-辅材")-SUMIFS(资金日记账!$J$4:$J$2503,资金日记账!$G$4:$G$2503,$B314,资金日记账!$F$4:$F$2503,"成本-辅材"),2))</f>
        <v/>
      </c>
      <c r="N314" s="19">
        <f>IF($B314="","",ROUND(SUMIFS(采购单!$L$4:$L$2003,采购单!$D$4:$D$2003,$B314,采购单!$F$4:$F$2003,"成本-人工")+SUMIFS(生产安装!$J$4:$J$1203,生产安装!$C$4:$C$1203,$B314,生产安装!$E$4:$E$1203,"成本-人工")+SUMIFS(资金日记账!$K$4:$K$2503,资金日记账!$G$4:$G$2503,$B314,资金日记账!$F$4:$F$2503,"成本-人工")-SUMIFS(资金日记账!$J$4:$J$2503,资金日记账!$G$4:$G$2503,$B314,资金日记账!$F$4:$F$2503,"成本-人工"),2))</f>
        <v/>
      </c>
      <c r="O314" s="19">
        <f>IF($B314="","",ROUND(SUMIFS(采购单!$L$4:$L$2003,采购单!$D$4:$D$2003,$B314,采购单!$F$4:$F$2003,"成本-车运")+SUMIFS(生产安装!$J$4:$J$1203,生产安装!$C$4:$C$1203,$B314,生产安装!$E$4:$E$1203,"成本-车运")+SUMIFS(资金日记账!$K$4:$K$2503,资金日记账!$G$4:$G$2503,$B314,资金日记账!$F$4:$F$2503,"成本-车运")-SUMIFS(资金日记账!$J$4:$J$2503,资金日记账!$G$4:$G$2503,$B314,资金日记账!$F$4:$F$2503,"成本-车运"),2))</f>
        <v/>
      </c>
      <c r="P314" s="19">
        <f>IF($B314="","",ROUND(SUMIFS(采购单!$L$4:$L$2003,采购单!$D$4:$D$2003,$B314,采购单!$F$4:$F$2003,"成本-其他")+SUMIFS(生产安装!$J$4:$J$1203,生产安装!$C$4:$C$1203,$B314,生产安装!$E$4:$E$1203,"成本-其他")+SUMIFS(资金日记账!$K$4:$K$2503,资金日记账!$G$4:$G$2503,$B314,资金日记账!$F$4:$F$2503,"成本-其他")-SUMIFS(资金日记账!$J$4:$J$2503,资金日记账!$G$4:$G$2503,$B314,资金日记账!$F$4:$F$2503,"成本-其他"),2))</f>
        <v/>
      </c>
      <c r="Q314" s="19">
        <f>IF($B314="","",ROUND(SUM($L314:$P314),2))</f>
        <v/>
      </c>
      <c r="R314" s="19">
        <f>IF($B314="","",ROUND($I314-$Q314,2))</f>
        <v/>
      </c>
      <c r="S314" s="33">
        <f>IF($B314="","",IF(ROUND($I314,2)=0,"",ROUND($R314/$I314,4)))</f>
        <v/>
      </c>
      <c r="T314" s="22">
        <f>IF($B314="","",IF($G314="",0,YEAR($G314)*100+MONTH($G314)))</f>
        <v/>
      </c>
      <c r="U314" s="17">
        <f>IF($B314="","",IF(项目台账!$R313="","",项目台账!$R313))</f>
        <v/>
      </c>
    </row>
    <row r="315">
      <c r="A315" s="17">
        <f>IF(项目台账!$B314="","",项目台账!$A314)</f>
        <v/>
      </c>
      <c r="B315" s="17">
        <f>IF(项目台账!$B314="","",项目台账!$B314)</f>
        <v/>
      </c>
      <c r="C315" s="17">
        <f>IF($B315="","",IF(项目台账!$C314="","",项目台账!$C314))</f>
        <v/>
      </c>
      <c r="D315" s="17">
        <f>IF($B315="","",IF(项目台账!$D314="","",项目台账!$D314))</f>
        <v/>
      </c>
      <c r="E315" s="17">
        <f>IF($B315="","",IF(项目台账!$E314="","",项目台账!$E314))</f>
        <v/>
      </c>
      <c r="F315" s="23">
        <f>IF($B315="","",IF(项目台账!$F314="","",项目台账!$F314))</f>
        <v/>
      </c>
      <c r="G315" s="23">
        <f>IF($B315="","",IF(项目台账!$J314="","",项目台账!$J314))</f>
        <v/>
      </c>
      <c r="H315" s="17">
        <f>IF($B315="","",IF(项目台账!$Q314="","",项目台账!$Q314))</f>
        <v/>
      </c>
      <c r="I315" s="19">
        <f>IF($B315="","",项目台账!$M314)</f>
        <v/>
      </c>
      <c r="J315" s="19">
        <f>IF($B315="","",项目台账!$O314)</f>
        <v/>
      </c>
      <c r="K315" s="19">
        <f>IF($B315="","",项目台账!$P314)</f>
        <v/>
      </c>
      <c r="L315" s="19">
        <f>IF($B315="","",ROUND(SUMIFS(采购单!$L$4:$L$2003,采购单!$D$4:$D$2003,$B315,采购单!$F$4:$F$2003,"成本-主材")+SUMIFS(生产安装!$J$4:$J$1203,生产安装!$C$4:$C$1203,$B315,生产安装!$E$4:$E$1203,"成本-主材")+SUMIFS(资金日记账!$K$4:$K$2503,资金日记账!$G$4:$G$2503,$B315,资金日记账!$F$4:$F$2503,"成本-主材")-SUMIFS(资金日记账!$J$4:$J$2503,资金日记账!$G$4:$G$2503,$B315,资金日记账!$F$4:$F$2503,"成本-主材"),2))</f>
        <v/>
      </c>
      <c r="M315" s="19">
        <f>IF($B315="","",ROUND(SUMIFS(采购单!$L$4:$L$2003,采购单!$D$4:$D$2003,$B315,采购单!$F$4:$F$2003,"成本-辅材")+SUMIFS(生产安装!$J$4:$J$1203,生产安装!$C$4:$C$1203,$B315,生产安装!$E$4:$E$1203,"成本-辅材")+SUMIFS(资金日记账!$K$4:$K$2503,资金日记账!$G$4:$G$2503,$B315,资金日记账!$F$4:$F$2503,"成本-辅材")-SUMIFS(资金日记账!$J$4:$J$2503,资金日记账!$G$4:$G$2503,$B315,资金日记账!$F$4:$F$2503,"成本-辅材"),2))</f>
        <v/>
      </c>
      <c r="N315" s="19">
        <f>IF($B315="","",ROUND(SUMIFS(采购单!$L$4:$L$2003,采购单!$D$4:$D$2003,$B315,采购单!$F$4:$F$2003,"成本-人工")+SUMIFS(生产安装!$J$4:$J$1203,生产安装!$C$4:$C$1203,$B315,生产安装!$E$4:$E$1203,"成本-人工")+SUMIFS(资金日记账!$K$4:$K$2503,资金日记账!$G$4:$G$2503,$B315,资金日记账!$F$4:$F$2503,"成本-人工")-SUMIFS(资金日记账!$J$4:$J$2503,资金日记账!$G$4:$G$2503,$B315,资金日记账!$F$4:$F$2503,"成本-人工"),2))</f>
        <v/>
      </c>
      <c r="O315" s="19">
        <f>IF($B315="","",ROUND(SUMIFS(采购单!$L$4:$L$2003,采购单!$D$4:$D$2003,$B315,采购单!$F$4:$F$2003,"成本-车运")+SUMIFS(生产安装!$J$4:$J$1203,生产安装!$C$4:$C$1203,$B315,生产安装!$E$4:$E$1203,"成本-车运")+SUMIFS(资金日记账!$K$4:$K$2503,资金日记账!$G$4:$G$2503,$B315,资金日记账!$F$4:$F$2503,"成本-车运")-SUMIFS(资金日记账!$J$4:$J$2503,资金日记账!$G$4:$G$2503,$B315,资金日记账!$F$4:$F$2503,"成本-车运"),2))</f>
        <v/>
      </c>
      <c r="P315" s="19">
        <f>IF($B315="","",ROUND(SUMIFS(采购单!$L$4:$L$2003,采购单!$D$4:$D$2003,$B315,采购单!$F$4:$F$2003,"成本-其他")+SUMIFS(生产安装!$J$4:$J$1203,生产安装!$C$4:$C$1203,$B315,生产安装!$E$4:$E$1203,"成本-其他")+SUMIFS(资金日记账!$K$4:$K$2503,资金日记账!$G$4:$G$2503,$B315,资金日记账!$F$4:$F$2503,"成本-其他")-SUMIFS(资金日记账!$J$4:$J$2503,资金日记账!$G$4:$G$2503,$B315,资金日记账!$F$4:$F$2503,"成本-其他"),2))</f>
        <v/>
      </c>
      <c r="Q315" s="19">
        <f>IF($B315="","",ROUND(SUM($L315:$P315),2))</f>
        <v/>
      </c>
      <c r="R315" s="19">
        <f>IF($B315="","",ROUND($I315-$Q315,2))</f>
        <v/>
      </c>
      <c r="S315" s="33">
        <f>IF($B315="","",IF(ROUND($I315,2)=0,"",ROUND($R315/$I315,4)))</f>
        <v/>
      </c>
      <c r="T315" s="22">
        <f>IF($B315="","",IF($G315="",0,YEAR($G315)*100+MONTH($G315)))</f>
        <v/>
      </c>
      <c r="U315" s="17">
        <f>IF($B315="","",IF(项目台账!$R314="","",项目台账!$R314))</f>
        <v/>
      </c>
    </row>
    <row r="316">
      <c r="A316" s="17">
        <f>IF(项目台账!$B315="","",项目台账!$A315)</f>
        <v/>
      </c>
      <c r="B316" s="17">
        <f>IF(项目台账!$B315="","",项目台账!$B315)</f>
        <v/>
      </c>
      <c r="C316" s="17">
        <f>IF($B316="","",IF(项目台账!$C315="","",项目台账!$C315))</f>
        <v/>
      </c>
      <c r="D316" s="17">
        <f>IF($B316="","",IF(项目台账!$D315="","",项目台账!$D315))</f>
        <v/>
      </c>
      <c r="E316" s="17">
        <f>IF($B316="","",IF(项目台账!$E315="","",项目台账!$E315))</f>
        <v/>
      </c>
      <c r="F316" s="23">
        <f>IF($B316="","",IF(项目台账!$F315="","",项目台账!$F315))</f>
        <v/>
      </c>
      <c r="G316" s="23">
        <f>IF($B316="","",IF(项目台账!$J315="","",项目台账!$J315))</f>
        <v/>
      </c>
      <c r="H316" s="17">
        <f>IF($B316="","",IF(项目台账!$Q315="","",项目台账!$Q315))</f>
        <v/>
      </c>
      <c r="I316" s="19">
        <f>IF($B316="","",项目台账!$M315)</f>
        <v/>
      </c>
      <c r="J316" s="19">
        <f>IF($B316="","",项目台账!$O315)</f>
        <v/>
      </c>
      <c r="K316" s="19">
        <f>IF($B316="","",项目台账!$P315)</f>
        <v/>
      </c>
      <c r="L316" s="19">
        <f>IF($B316="","",ROUND(SUMIFS(采购单!$L$4:$L$2003,采购单!$D$4:$D$2003,$B316,采购单!$F$4:$F$2003,"成本-主材")+SUMIFS(生产安装!$J$4:$J$1203,生产安装!$C$4:$C$1203,$B316,生产安装!$E$4:$E$1203,"成本-主材")+SUMIFS(资金日记账!$K$4:$K$2503,资金日记账!$G$4:$G$2503,$B316,资金日记账!$F$4:$F$2503,"成本-主材")-SUMIFS(资金日记账!$J$4:$J$2503,资金日记账!$G$4:$G$2503,$B316,资金日记账!$F$4:$F$2503,"成本-主材"),2))</f>
        <v/>
      </c>
      <c r="M316" s="19">
        <f>IF($B316="","",ROUND(SUMIFS(采购单!$L$4:$L$2003,采购单!$D$4:$D$2003,$B316,采购单!$F$4:$F$2003,"成本-辅材")+SUMIFS(生产安装!$J$4:$J$1203,生产安装!$C$4:$C$1203,$B316,生产安装!$E$4:$E$1203,"成本-辅材")+SUMIFS(资金日记账!$K$4:$K$2503,资金日记账!$G$4:$G$2503,$B316,资金日记账!$F$4:$F$2503,"成本-辅材")-SUMIFS(资金日记账!$J$4:$J$2503,资金日记账!$G$4:$G$2503,$B316,资金日记账!$F$4:$F$2503,"成本-辅材"),2))</f>
        <v/>
      </c>
      <c r="N316" s="19">
        <f>IF($B316="","",ROUND(SUMIFS(采购单!$L$4:$L$2003,采购单!$D$4:$D$2003,$B316,采购单!$F$4:$F$2003,"成本-人工")+SUMIFS(生产安装!$J$4:$J$1203,生产安装!$C$4:$C$1203,$B316,生产安装!$E$4:$E$1203,"成本-人工")+SUMIFS(资金日记账!$K$4:$K$2503,资金日记账!$G$4:$G$2503,$B316,资金日记账!$F$4:$F$2503,"成本-人工")-SUMIFS(资金日记账!$J$4:$J$2503,资金日记账!$G$4:$G$2503,$B316,资金日记账!$F$4:$F$2503,"成本-人工"),2))</f>
        <v/>
      </c>
      <c r="O316" s="19">
        <f>IF($B316="","",ROUND(SUMIFS(采购单!$L$4:$L$2003,采购单!$D$4:$D$2003,$B316,采购单!$F$4:$F$2003,"成本-车运")+SUMIFS(生产安装!$J$4:$J$1203,生产安装!$C$4:$C$1203,$B316,生产安装!$E$4:$E$1203,"成本-车运")+SUMIFS(资金日记账!$K$4:$K$2503,资金日记账!$G$4:$G$2503,$B316,资金日记账!$F$4:$F$2503,"成本-车运")-SUMIFS(资金日记账!$J$4:$J$2503,资金日记账!$G$4:$G$2503,$B316,资金日记账!$F$4:$F$2503,"成本-车运"),2))</f>
        <v/>
      </c>
      <c r="P316" s="19">
        <f>IF($B316="","",ROUND(SUMIFS(采购单!$L$4:$L$2003,采购单!$D$4:$D$2003,$B316,采购单!$F$4:$F$2003,"成本-其他")+SUMIFS(生产安装!$J$4:$J$1203,生产安装!$C$4:$C$1203,$B316,生产安装!$E$4:$E$1203,"成本-其他")+SUMIFS(资金日记账!$K$4:$K$2503,资金日记账!$G$4:$G$2503,$B316,资金日记账!$F$4:$F$2503,"成本-其他")-SUMIFS(资金日记账!$J$4:$J$2503,资金日记账!$G$4:$G$2503,$B316,资金日记账!$F$4:$F$2503,"成本-其他"),2))</f>
        <v/>
      </c>
      <c r="Q316" s="19">
        <f>IF($B316="","",ROUND(SUM($L316:$P316),2))</f>
        <v/>
      </c>
      <c r="R316" s="19">
        <f>IF($B316="","",ROUND($I316-$Q316,2))</f>
        <v/>
      </c>
      <c r="S316" s="33">
        <f>IF($B316="","",IF(ROUND($I316,2)=0,"",ROUND($R316/$I316,4)))</f>
        <v/>
      </c>
      <c r="T316" s="22">
        <f>IF($B316="","",IF($G316="",0,YEAR($G316)*100+MONTH($G316)))</f>
        <v/>
      </c>
      <c r="U316" s="17">
        <f>IF($B316="","",IF(项目台账!$R315="","",项目台账!$R315))</f>
        <v/>
      </c>
    </row>
    <row r="317">
      <c r="A317" s="17">
        <f>IF(项目台账!$B316="","",项目台账!$A316)</f>
        <v/>
      </c>
      <c r="B317" s="17">
        <f>IF(项目台账!$B316="","",项目台账!$B316)</f>
        <v/>
      </c>
      <c r="C317" s="17">
        <f>IF($B317="","",IF(项目台账!$C316="","",项目台账!$C316))</f>
        <v/>
      </c>
      <c r="D317" s="17">
        <f>IF($B317="","",IF(项目台账!$D316="","",项目台账!$D316))</f>
        <v/>
      </c>
      <c r="E317" s="17">
        <f>IF($B317="","",IF(项目台账!$E316="","",项目台账!$E316))</f>
        <v/>
      </c>
      <c r="F317" s="23">
        <f>IF($B317="","",IF(项目台账!$F316="","",项目台账!$F316))</f>
        <v/>
      </c>
      <c r="G317" s="23">
        <f>IF($B317="","",IF(项目台账!$J316="","",项目台账!$J316))</f>
        <v/>
      </c>
      <c r="H317" s="17">
        <f>IF($B317="","",IF(项目台账!$Q316="","",项目台账!$Q316))</f>
        <v/>
      </c>
      <c r="I317" s="19">
        <f>IF($B317="","",项目台账!$M316)</f>
        <v/>
      </c>
      <c r="J317" s="19">
        <f>IF($B317="","",项目台账!$O316)</f>
        <v/>
      </c>
      <c r="K317" s="19">
        <f>IF($B317="","",项目台账!$P316)</f>
        <v/>
      </c>
      <c r="L317" s="19">
        <f>IF($B317="","",ROUND(SUMIFS(采购单!$L$4:$L$2003,采购单!$D$4:$D$2003,$B317,采购单!$F$4:$F$2003,"成本-主材")+SUMIFS(生产安装!$J$4:$J$1203,生产安装!$C$4:$C$1203,$B317,生产安装!$E$4:$E$1203,"成本-主材")+SUMIFS(资金日记账!$K$4:$K$2503,资金日记账!$G$4:$G$2503,$B317,资金日记账!$F$4:$F$2503,"成本-主材")-SUMIFS(资金日记账!$J$4:$J$2503,资金日记账!$G$4:$G$2503,$B317,资金日记账!$F$4:$F$2503,"成本-主材"),2))</f>
        <v/>
      </c>
      <c r="M317" s="19">
        <f>IF($B317="","",ROUND(SUMIFS(采购单!$L$4:$L$2003,采购单!$D$4:$D$2003,$B317,采购单!$F$4:$F$2003,"成本-辅材")+SUMIFS(生产安装!$J$4:$J$1203,生产安装!$C$4:$C$1203,$B317,生产安装!$E$4:$E$1203,"成本-辅材")+SUMIFS(资金日记账!$K$4:$K$2503,资金日记账!$G$4:$G$2503,$B317,资金日记账!$F$4:$F$2503,"成本-辅材")-SUMIFS(资金日记账!$J$4:$J$2503,资金日记账!$G$4:$G$2503,$B317,资金日记账!$F$4:$F$2503,"成本-辅材"),2))</f>
        <v/>
      </c>
      <c r="N317" s="19">
        <f>IF($B317="","",ROUND(SUMIFS(采购单!$L$4:$L$2003,采购单!$D$4:$D$2003,$B317,采购单!$F$4:$F$2003,"成本-人工")+SUMIFS(生产安装!$J$4:$J$1203,生产安装!$C$4:$C$1203,$B317,生产安装!$E$4:$E$1203,"成本-人工")+SUMIFS(资金日记账!$K$4:$K$2503,资金日记账!$G$4:$G$2503,$B317,资金日记账!$F$4:$F$2503,"成本-人工")-SUMIFS(资金日记账!$J$4:$J$2503,资金日记账!$G$4:$G$2503,$B317,资金日记账!$F$4:$F$2503,"成本-人工"),2))</f>
        <v/>
      </c>
      <c r="O317" s="19">
        <f>IF($B317="","",ROUND(SUMIFS(采购单!$L$4:$L$2003,采购单!$D$4:$D$2003,$B317,采购单!$F$4:$F$2003,"成本-车运")+SUMIFS(生产安装!$J$4:$J$1203,生产安装!$C$4:$C$1203,$B317,生产安装!$E$4:$E$1203,"成本-车运")+SUMIFS(资金日记账!$K$4:$K$2503,资金日记账!$G$4:$G$2503,$B317,资金日记账!$F$4:$F$2503,"成本-车运")-SUMIFS(资金日记账!$J$4:$J$2503,资金日记账!$G$4:$G$2503,$B317,资金日记账!$F$4:$F$2503,"成本-车运"),2))</f>
        <v/>
      </c>
      <c r="P317" s="19">
        <f>IF($B317="","",ROUND(SUMIFS(采购单!$L$4:$L$2003,采购单!$D$4:$D$2003,$B317,采购单!$F$4:$F$2003,"成本-其他")+SUMIFS(生产安装!$J$4:$J$1203,生产安装!$C$4:$C$1203,$B317,生产安装!$E$4:$E$1203,"成本-其他")+SUMIFS(资金日记账!$K$4:$K$2503,资金日记账!$G$4:$G$2503,$B317,资金日记账!$F$4:$F$2503,"成本-其他")-SUMIFS(资金日记账!$J$4:$J$2503,资金日记账!$G$4:$G$2503,$B317,资金日记账!$F$4:$F$2503,"成本-其他"),2))</f>
        <v/>
      </c>
      <c r="Q317" s="19">
        <f>IF($B317="","",ROUND(SUM($L317:$P317),2))</f>
        <v/>
      </c>
      <c r="R317" s="19">
        <f>IF($B317="","",ROUND($I317-$Q317,2))</f>
        <v/>
      </c>
      <c r="S317" s="33">
        <f>IF($B317="","",IF(ROUND($I317,2)=0,"",ROUND($R317/$I317,4)))</f>
        <v/>
      </c>
      <c r="T317" s="22">
        <f>IF($B317="","",IF($G317="",0,YEAR($G317)*100+MONTH($G317)))</f>
        <v/>
      </c>
      <c r="U317" s="17">
        <f>IF($B317="","",IF(项目台账!$R316="","",项目台账!$R316))</f>
        <v/>
      </c>
    </row>
    <row r="318">
      <c r="A318" s="17">
        <f>IF(项目台账!$B317="","",项目台账!$A317)</f>
        <v/>
      </c>
      <c r="B318" s="17">
        <f>IF(项目台账!$B317="","",项目台账!$B317)</f>
        <v/>
      </c>
      <c r="C318" s="17">
        <f>IF($B318="","",IF(项目台账!$C317="","",项目台账!$C317))</f>
        <v/>
      </c>
      <c r="D318" s="17">
        <f>IF($B318="","",IF(项目台账!$D317="","",项目台账!$D317))</f>
        <v/>
      </c>
      <c r="E318" s="17">
        <f>IF($B318="","",IF(项目台账!$E317="","",项目台账!$E317))</f>
        <v/>
      </c>
      <c r="F318" s="23">
        <f>IF($B318="","",IF(项目台账!$F317="","",项目台账!$F317))</f>
        <v/>
      </c>
      <c r="G318" s="23">
        <f>IF($B318="","",IF(项目台账!$J317="","",项目台账!$J317))</f>
        <v/>
      </c>
      <c r="H318" s="17">
        <f>IF($B318="","",IF(项目台账!$Q317="","",项目台账!$Q317))</f>
        <v/>
      </c>
      <c r="I318" s="19">
        <f>IF($B318="","",项目台账!$M317)</f>
        <v/>
      </c>
      <c r="J318" s="19">
        <f>IF($B318="","",项目台账!$O317)</f>
        <v/>
      </c>
      <c r="K318" s="19">
        <f>IF($B318="","",项目台账!$P317)</f>
        <v/>
      </c>
      <c r="L318" s="19">
        <f>IF($B318="","",ROUND(SUMIFS(采购单!$L$4:$L$2003,采购单!$D$4:$D$2003,$B318,采购单!$F$4:$F$2003,"成本-主材")+SUMIFS(生产安装!$J$4:$J$1203,生产安装!$C$4:$C$1203,$B318,生产安装!$E$4:$E$1203,"成本-主材")+SUMIFS(资金日记账!$K$4:$K$2503,资金日记账!$G$4:$G$2503,$B318,资金日记账!$F$4:$F$2503,"成本-主材")-SUMIFS(资金日记账!$J$4:$J$2503,资金日记账!$G$4:$G$2503,$B318,资金日记账!$F$4:$F$2503,"成本-主材"),2))</f>
        <v/>
      </c>
      <c r="M318" s="19">
        <f>IF($B318="","",ROUND(SUMIFS(采购单!$L$4:$L$2003,采购单!$D$4:$D$2003,$B318,采购单!$F$4:$F$2003,"成本-辅材")+SUMIFS(生产安装!$J$4:$J$1203,生产安装!$C$4:$C$1203,$B318,生产安装!$E$4:$E$1203,"成本-辅材")+SUMIFS(资金日记账!$K$4:$K$2503,资金日记账!$G$4:$G$2503,$B318,资金日记账!$F$4:$F$2503,"成本-辅材")-SUMIFS(资金日记账!$J$4:$J$2503,资金日记账!$G$4:$G$2503,$B318,资金日记账!$F$4:$F$2503,"成本-辅材"),2))</f>
        <v/>
      </c>
      <c r="N318" s="19">
        <f>IF($B318="","",ROUND(SUMIFS(采购单!$L$4:$L$2003,采购单!$D$4:$D$2003,$B318,采购单!$F$4:$F$2003,"成本-人工")+SUMIFS(生产安装!$J$4:$J$1203,生产安装!$C$4:$C$1203,$B318,生产安装!$E$4:$E$1203,"成本-人工")+SUMIFS(资金日记账!$K$4:$K$2503,资金日记账!$G$4:$G$2503,$B318,资金日记账!$F$4:$F$2503,"成本-人工")-SUMIFS(资金日记账!$J$4:$J$2503,资金日记账!$G$4:$G$2503,$B318,资金日记账!$F$4:$F$2503,"成本-人工"),2))</f>
        <v/>
      </c>
      <c r="O318" s="19">
        <f>IF($B318="","",ROUND(SUMIFS(采购单!$L$4:$L$2003,采购单!$D$4:$D$2003,$B318,采购单!$F$4:$F$2003,"成本-车运")+SUMIFS(生产安装!$J$4:$J$1203,生产安装!$C$4:$C$1203,$B318,生产安装!$E$4:$E$1203,"成本-车运")+SUMIFS(资金日记账!$K$4:$K$2503,资金日记账!$G$4:$G$2503,$B318,资金日记账!$F$4:$F$2503,"成本-车运")-SUMIFS(资金日记账!$J$4:$J$2503,资金日记账!$G$4:$G$2503,$B318,资金日记账!$F$4:$F$2503,"成本-车运"),2))</f>
        <v/>
      </c>
      <c r="P318" s="19">
        <f>IF($B318="","",ROUND(SUMIFS(采购单!$L$4:$L$2003,采购单!$D$4:$D$2003,$B318,采购单!$F$4:$F$2003,"成本-其他")+SUMIFS(生产安装!$J$4:$J$1203,生产安装!$C$4:$C$1203,$B318,生产安装!$E$4:$E$1203,"成本-其他")+SUMIFS(资金日记账!$K$4:$K$2503,资金日记账!$G$4:$G$2503,$B318,资金日记账!$F$4:$F$2503,"成本-其他")-SUMIFS(资金日记账!$J$4:$J$2503,资金日记账!$G$4:$G$2503,$B318,资金日记账!$F$4:$F$2503,"成本-其他"),2))</f>
        <v/>
      </c>
      <c r="Q318" s="19">
        <f>IF($B318="","",ROUND(SUM($L318:$P318),2))</f>
        <v/>
      </c>
      <c r="R318" s="19">
        <f>IF($B318="","",ROUND($I318-$Q318,2))</f>
        <v/>
      </c>
      <c r="S318" s="33">
        <f>IF($B318="","",IF(ROUND($I318,2)=0,"",ROUND($R318/$I318,4)))</f>
        <v/>
      </c>
      <c r="T318" s="22">
        <f>IF($B318="","",IF($G318="",0,YEAR($G318)*100+MONTH($G318)))</f>
        <v/>
      </c>
      <c r="U318" s="17">
        <f>IF($B318="","",IF(项目台账!$R317="","",项目台账!$R317))</f>
        <v/>
      </c>
    </row>
    <row r="319">
      <c r="A319" s="17">
        <f>IF(项目台账!$B318="","",项目台账!$A318)</f>
        <v/>
      </c>
      <c r="B319" s="17">
        <f>IF(项目台账!$B318="","",项目台账!$B318)</f>
        <v/>
      </c>
      <c r="C319" s="17">
        <f>IF($B319="","",IF(项目台账!$C318="","",项目台账!$C318))</f>
        <v/>
      </c>
      <c r="D319" s="17">
        <f>IF($B319="","",IF(项目台账!$D318="","",项目台账!$D318))</f>
        <v/>
      </c>
      <c r="E319" s="17">
        <f>IF($B319="","",IF(项目台账!$E318="","",项目台账!$E318))</f>
        <v/>
      </c>
      <c r="F319" s="23">
        <f>IF($B319="","",IF(项目台账!$F318="","",项目台账!$F318))</f>
        <v/>
      </c>
      <c r="G319" s="23">
        <f>IF($B319="","",IF(项目台账!$J318="","",项目台账!$J318))</f>
        <v/>
      </c>
      <c r="H319" s="17">
        <f>IF($B319="","",IF(项目台账!$Q318="","",项目台账!$Q318))</f>
        <v/>
      </c>
      <c r="I319" s="19">
        <f>IF($B319="","",项目台账!$M318)</f>
        <v/>
      </c>
      <c r="J319" s="19">
        <f>IF($B319="","",项目台账!$O318)</f>
        <v/>
      </c>
      <c r="K319" s="19">
        <f>IF($B319="","",项目台账!$P318)</f>
        <v/>
      </c>
      <c r="L319" s="19">
        <f>IF($B319="","",ROUND(SUMIFS(采购单!$L$4:$L$2003,采购单!$D$4:$D$2003,$B319,采购单!$F$4:$F$2003,"成本-主材")+SUMIFS(生产安装!$J$4:$J$1203,生产安装!$C$4:$C$1203,$B319,生产安装!$E$4:$E$1203,"成本-主材")+SUMIFS(资金日记账!$K$4:$K$2503,资金日记账!$G$4:$G$2503,$B319,资金日记账!$F$4:$F$2503,"成本-主材")-SUMIFS(资金日记账!$J$4:$J$2503,资金日记账!$G$4:$G$2503,$B319,资金日记账!$F$4:$F$2503,"成本-主材"),2))</f>
        <v/>
      </c>
      <c r="M319" s="19">
        <f>IF($B319="","",ROUND(SUMIFS(采购单!$L$4:$L$2003,采购单!$D$4:$D$2003,$B319,采购单!$F$4:$F$2003,"成本-辅材")+SUMIFS(生产安装!$J$4:$J$1203,生产安装!$C$4:$C$1203,$B319,生产安装!$E$4:$E$1203,"成本-辅材")+SUMIFS(资金日记账!$K$4:$K$2503,资金日记账!$G$4:$G$2503,$B319,资金日记账!$F$4:$F$2503,"成本-辅材")-SUMIFS(资金日记账!$J$4:$J$2503,资金日记账!$G$4:$G$2503,$B319,资金日记账!$F$4:$F$2503,"成本-辅材"),2))</f>
        <v/>
      </c>
      <c r="N319" s="19">
        <f>IF($B319="","",ROUND(SUMIFS(采购单!$L$4:$L$2003,采购单!$D$4:$D$2003,$B319,采购单!$F$4:$F$2003,"成本-人工")+SUMIFS(生产安装!$J$4:$J$1203,生产安装!$C$4:$C$1203,$B319,生产安装!$E$4:$E$1203,"成本-人工")+SUMIFS(资金日记账!$K$4:$K$2503,资金日记账!$G$4:$G$2503,$B319,资金日记账!$F$4:$F$2503,"成本-人工")-SUMIFS(资金日记账!$J$4:$J$2503,资金日记账!$G$4:$G$2503,$B319,资金日记账!$F$4:$F$2503,"成本-人工"),2))</f>
        <v/>
      </c>
      <c r="O319" s="19">
        <f>IF($B319="","",ROUND(SUMIFS(采购单!$L$4:$L$2003,采购单!$D$4:$D$2003,$B319,采购单!$F$4:$F$2003,"成本-车运")+SUMIFS(生产安装!$J$4:$J$1203,生产安装!$C$4:$C$1203,$B319,生产安装!$E$4:$E$1203,"成本-车运")+SUMIFS(资金日记账!$K$4:$K$2503,资金日记账!$G$4:$G$2503,$B319,资金日记账!$F$4:$F$2503,"成本-车运")-SUMIFS(资金日记账!$J$4:$J$2503,资金日记账!$G$4:$G$2503,$B319,资金日记账!$F$4:$F$2503,"成本-车运"),2))</f>
        <v/>
      </c>
      <c r="P319" s="19">
        <f>IF($B319="","",ROUND(SUMIFS(采购单!$L$4:$L$2003,采购单!$D$4:$D$2003,$B319,采购单!$F$4:$F$2003,"成本-其他")+SUMIFS(生产安装!$J$4:$J$1203,生产安装!$C$4:$C$1203,$B319,生产安装!$E$4:$E$1203,"成本-其他")+SUMIFS(资金日记账!$K$4:$K$2503,资金日记账!$G$4:$G$2503,$B319,资金日记账!$F$4:$F$2503,"成本-其他")-SUMIFS(资金日记账!$J$4:$J$2503,资金日记账!$G$4:$G$2503,$B319,资金日记账!$F$4:$F$2503,"成本-其他"),2))</f>
        <v/>
      </c>
      <c r="Q319" s="19">
        <f>IF($B319="","",ROUND(SUM($L319:$P319),2))</f>
        <v/>
      </c>
      <c r="R319" s="19">
        <f>IF($B319="","",ROUND($I319-$Q319,2))</f>
        <v/>
      </c>
      <c r="S319" s="33">
        <f>IF($B319="","",IF(ROUND($I319,2)=0,"",ROUND($R319/$I319,4)))</f>
        <v/>
      </c>
      <c r="T319" s="22">
        <f>IF($B319="","",IF($G319="",0,YEAR($G319)*100+MONTH($G319)))</f>
        <v/>
      </c>
      <c r="U319" s="17">
        <f>IF($B319="","",IF(项目台账!$R318="","",项目台账!$R318))</f>
        <v/>
      </c>
    </row>
    <row r="320">
      <c r="A320" s="17">
        <f>IF(项目台账!$B319="","",项目台账!$A319)</f>
        <v/>
      </c>
      <c r="B320" s="17">
        <f>IF(项目台账!$B319="","",项目台账!$B319)</f>
        <v/>
      </c>
      <c r="C320" s="17">
        <f>IF($B320="","",IF(项目台账!$C319="","",项目台账!$C319))</f>
        <v/>
      </c>
      <c r="D320" s="17">
        <f>IF($B320="","",IF(项目台账!$D319="","",项目台账!$D319))</f>
        <v/>
      </c>
      <c r="E320" s="17">
        <f>IF($B320="","",IF(项目台账!$E319="","",项目台账!$E319))</f>
        <v/>
      </c>
      <c r="F320" s="23">
        <f>IF($B320="","",IF(项目台账!$F319="","",项目台账!$F319))</f>
        <v/>
      </c>
      <c r="G320" s="23">
        <f>IF($B320="","",IF(项目台账!$J319="","",项目台账!$J319))</f>
        <v/>
      </c>
      <c r="H320" s="17">
        <f>IF($B320="","",IF(项目台账!$Q319="","",项目台账!$Q319))</f>
        <v/>
      </c>
      <c r="I320" s="19">
        <f>IF($B320="","",项目台账!$M319)</f>
        <v/>
      </c>
      <c r="J320" s="19">
        <f>IF($B320="","",项目台账!$O319)</f>
        <v/>
      </c>
      <c r="K320" s="19">
        <f>IF($B320="","",项目台账!$P319)</f>
        <v/>
      </c>
      <c r="L320" s="19">
        <f>IF($B320="","",ROUND(SUMIFS(采购单!$L$4:$L$2003,采购单!$D$4:$D$2003,$B320,采购单!$F$4:$F$2003,"成本-主材")+SUMIFS(生产安装!$J$4:$J$1203,生产安装!$C$4:$C$1203,$B320,生产安装!$E$4:$E$1203,"成本-主材")+SUMIFS(资金日记账!$K$4:$K$2503,资金日记账!$G$4:$G$2503,$B320,资金日记账!$F$4:$F$2503,"成本-主材")-SUMIFS(资金日记账!$J$4:$J$2503,资金日记账!$G$4:$G$2503,$B320,资金日记账!$F$4:$F$2503,"成本-主材"),2))</f>
        <v/>
      </c>
      <c r="M320" s="19">
        <f>IF($B320="","",ROUND(SUMIFS(采购单!$L$4:$L$2003,采购单!$D$4:$D$2003,$B320,采购单!$F$4:$F$2003,"成本-辅材")+SUMIFS(生产安装!$J$4:$J$1203,生产安装!$C$4:$C$1203,$B320,生产安装!$E$4:$E$1203,"成本-辅材")+SUMIFS(资金日记账!$K$4:$K$2503,资金日记账!$G$4:$G$2503,$B320,资金日记账!$F$4:$F$2503,"成本-辅材")-SUMIFS(资金日记账!$J$4:$J$2503,资金日记账!$G$4:$G$2503,$B320,资金日记账!$F$4:$F$2503,"成本-辅材"),2))</f>
        <v/>
      </c>
      <c r="N320" s="19">
        <f>IF($B320="","",ROUND(SUMIFS(采购单!$L$4:$L$2003,采购单!$D$4:$D$2003,$B320,采购单!$F$4:$F$2003,"成本-人工")+SUMIFS(生产安装!$J$4:$J$1203,生产安装!$C$4:$C$1203,$B320,生产安装!$E$4:$E$1203,"成本-人工")+SUMIFS(资金日记账!$K$4:$K$2503,资金日记账!$G$4:$G$2503,$B320,资金日记账!$F$4:$F$2503,"成本-人工")-SUMIFS(资金日记账!$J$4:$J$2503,资金日记账!$G$4:$G$2503,$B320,资金日记账!$F$4:$F$2503,"成本-人工"),2))</f>
        <v/>
      </c>
      <c r="O320" s="19">
        <f>IF($B320="","",ROUND(SUMIFS(采购单!$L$4:$L$2003,采购单!$D$4:$D$2003,$B320,采购单!$F$4:$F$2003,"成本-车运")+SUMIFS(生产安装!$J$4:$J$1203,生产安装!$C$4:$C$1203,$B320,生产安装!$E$4:$E$1203,"成本-车运")+SUMIFS(资金日记账!$K$4:$K$2503,资金日记账!$G$4:$G$2503,$B320,资金日记账!$F$4:$F$2503,"成本-车运")-SUMIFS(资金日记账!$J$4:$J$2503,资金日记账!$G$4:$G$2503,$B320,资金日记账!$F$4:$F$2503,"成本-车运"),2))</f>
        <v/>
      </c>
      <c r="P320" s="19">
        <f>IF($B320="","",ROUND(SUMIFS(采购单!$L$4:$L$2003,采购单!$D$4:$D$2003,$B320,采购单!$F$4:$F$2003,"成本-其他")+SUMIFS(生产安装!$J$4:$J$1203,生产安装!$C$4:$C$1203,$B320,生产安装!$E$4:$E$1203,"成本-其他")+SUMIFS(资金日记账!$K$4:$K$2503,资金日记账!$G$4:$G$2503,$B320,资金日记账!$F$4:$F$2503,"成本-其他")-SUMIFS(资金日记账!$J$4:$J$2503,资金日记账!$G$4:$G$2503,$B320,资金日记账!$F$4:$F$2503,"成本-其他"),2))</f>
        <v/>
      </c>
      <c r="Q320" s="19">
        <f>IF($B320="","",ROUND(SUM($L320:$P320),2))</f>
        <v/>
      </c>
      <c r="R320" s="19">
        <f>IF($B320="","",ROUND($I320-$Q320,2))</f>
        <v/>
      </c>
      <c r="S320" s="33">
        <f>IF($B320="","",IF(ROUND($I320,2)=0,"",ROUND($R320/$I320,4)))</f>
        <v/>
      </c>
      <c r="T320" s="22">
        <f>IF($B320="","",IF($G320="",0,YEAR($G320)*100+MONTH($G320)))</f>
        <v/>
      </c>
      <c r="U320" s="17">
        <f>IF($B320="","",IF(项目台账!$R319="","",项目台账!$R319))</f>
        <v/>
      </c>
    </row>
    <row r="321">
      <c r="A321" s="17">
        <f>IF(项目台账!$B320="","",项目台账!$A320)</f>
        <v/>
      </c>
      <c r="B321" s="17">
        <f>IF(项目台账!$B320="","",项目台账!$B320)</f>
        <v/>
      </c>
      <c r="C321" s="17">
        <f>IF($B321="","",IF(项目台账!$C320="","",项目台账!$C320))</f>
        <v/>
      </c>
      <c r="D321" s="17">
        <f>IF($B321="","",IF(项目台账!$D320="","",项目台账!$D320))</f>
        <v/>
      </c>
      <c r="E321" s="17">
        <f>IF($B321="","",IF(项目台账!$E320="","",项目台账!$E320))</f>
        <v/>
      </c>
      <c r="F321" s="23">
        <f>IF($B321="","",IF(项目台账!$F320="","",项目台账!$F320))</f>
        <v/>
      </c>
      <c r="G321" s="23">
        <f>IF($B321="","",IF(项目台账!$J320="","",项目台账!$J320))</f>
        <v/>
      </c>
      <c r="H321" s="17">
        <f>IF($B321="","",IF(项目台账!$Q320="","",项目台账!$Q320))</f>
        <v/>
      </c>
      <c r="I321" s="19">
        <f>IF($B321="","",项目台账!$M320)</f>
        <v/>
      </c>
      <c r="J321" s="19">
        <f>IF($B321="","",项目台账!$O320)</f>
        <v/>
      </c>
      <c r="K321" s="19">
        <f>IF($B321="","",项目台账!$P320)</f>
        <v/>
      </c>
      <c r="L321" s="19">
        <f>IF($B321="","",ROUND(SUMIFS(采购单!$L$4:$L$2003,采购单!$D$4:$D$2003,$B321,采购单!$F$4:$F$2003,"成本-主材")+SUMIFS(生产安装!$J$4:$J$1203,生产安装!$C$4:$C$1203,$B321,生产安装!$E$4:$E$1203,"成本-主材")+SUMIFS(资金日记账!$K$4:$K$2503,资金日记账!$G$4:$G$2503,$B321,资金日记账!$F$4:$F$2503,"成本-主材")-SUMIFS(资金日记账!$J$4:$J$2503,资金日记账!$G$4:$G$2503,$B321,资金日记账!$F$4:$F$2503,"成本-主材"),2))</f>
        <v/>
      </c>
      <c r="M321" s="19">
        <f>IF($B321="","",ROUND(SUMIFS(采购单!$L$4:$L$2003,采购单!$D$4:$D$2003,$B321,采购单!$F$4:$F$2003,"成本-辅材")+SUMIFS(生产安装!$J$4:$J$1203,生产安装!$C$4:$C$1203,$B321,生产安装!$E$4:$E$1203,"成本-辅材")+SUMIFS(资金日记账!$K$4:$K$2503,资金日记账!$G$4:$G$2503,$B321,资金日记账!$F$4:$F$2503,"成本-辅材")-SUMIFS(资金日记账!$J$4:$J$2503,资金日记账!$G$4:$G$2503,$B321,资金日记账!$F$4:$F$2503,"成本-辅材"),2))</f>
        <v/>
      </c>
      <c r="N321" s="19">
        <f>IF($B321="","",ROUND(SUMIFS(采购单!$L$4:$L$2003,采购单!$D$4:$D$2003,$B321,采购单!$F$4:$F$2003,"成本-人工")+SUMIFS(生产安装!$J$4:$J$1203,生产安装!$C$4:$C$1203,$B321,生产安装!$E$4:$E$1203,"成本-人工")+SUMIFS(资金日记账!$K$4:$K$2503,资金日记账!$G$4:$G$2503,$B321,资金日记账!$F$4:$F$2503,"成本-人工")-SUMIFS(资金日记账!$J$4:$J$2503,资金日记账!$G$4:$G$2503,$B321,资金日记账!$F$4:$F$2503,"成本-人工"),2))</f>
        <v/>
      </c>
      <c r="O321" s="19">
        <f>IF($B321="","",ROUND(SUMIFS(采购单!$L$4:$L$2003,采购单!$D$4:$D$2003,$B321,采购单!$F$4:$F$2003,"成本-车运")+SUMIFS(生产安装!$J$4:$J$1203,生产安装!$C$4:$C$1203,$B321,生产安装!$E$4:$E$1203,"成本-车运")+SUMIFS(资金日记账!$K$4:$K$2503,资金日记账!$G$4:$G$2503,$B321,资金日记账!$F$4:$F$2503,"成本-车运")-SUMIFS(资金日记账!$J$4:$J$2503,资金日记账!$G$4:$G$2503,$B321,资金日记账!$F$4:$F$2503,"成本-车运"),2))</f>
        <v/>
      </c>
      <c r="P321" s="19">
        <f>IF($B321="","",ROUND(SUMIFS(采购单!$L$4:$L$2003,采购单!$D$4:$D$2003,$B321,采购单!$F$4:$F$2003,"成本-其他")+SUMIFS(生产安装!$J$4:$J$1203,生产安装!$C$4:$C$1203,$B321,生产安装!$E$4:$E$1203,"成本-其他")+SUMIFS(资金日记账!$K$4:$K$2503,资金日记账!$G$4:$G$2503,$B321,资金日记账!$F$4:$F$2503,"成本-其他")-SUMIFS(资金日记账!$J$4:$J$2503,资金日记账!$G$4:$G$2503,$B321,资金日记账!$F$4:$F$2503,"成本-其他"),2))</f>
        <v/>
      </c>
      <c r="Q321" s="19">
        <f>IF($B321="","",ROUND(SUM($L321:$P321),2))</f>
        <v/>
      </c>
      <c r="R321" s="19">
        <f>IF($B321="","",ROUND($I321-$Q321,2))</f>
        <v/>
      </c>
      <c r="S321" s="33">
        <f>IF($B321="","",IF(ROUND($I321,2)=0,"",ROUND($R321/$I321,4)))</f>
        <v/>
      </c>
      <c r="T321" s="22">
        <f>IF($B321="","",IF($G321="",0,YEAR($G321)*100+MONTH($G321)))</f>
        <v/>
      </c>
      <c r="U321" s="17">
        <f>IF($B321="","",IF(项目台账!$R320="","",项目台账!$R320))</f>
        <v/>
      </c>
    </row>
    <row r="322">
      <c r="A322" s="17">
        <f>IF(项目台账!$B321="","",项目台账!$A321)</f>
        <v/>
      </c>
      <c r="B322" s="17">
        <f>IF(项目台账!$B321="","",项目台账!$B321)</f>
        <v/>
      </c>
      <c r="C322" s="17">
        <f>IF($B322="","",IF(项目台账!$C321="","",项目台账!$C321))</f>
        <v/>
      </c>
      <c r="D322" s="17">
        <f>IF($B322="","",IF(项目台账!$D321="","",项目台账!$D321))</f>
        <v/>
      </c>
      <c r="E322" s="17">
        <f>IF($B322="","",IF(项目台账!$E321="","",项目台账!$E321))</f>
        <v/>
      </c>
      <c r="F322" s="23">
        <f>IF($B322="","",IF(项目台账!$F321="","",项目台账!$F321))</f>
        <v/>
      </c>
      <c r="G322" s="23">
        <f>IF($B322="","",IF(项目台账!$J321="","",项目台账!$J321))</f>
        <v/>
      </c>
      <c r="H322" s="17">
        <f>IF($B322="","",IF(项目台账!$Q321="","",项目台账!$Q321))</f>
        <v/>
      </c>
      <c r="I322" s="19">
        <f>IF($B322="","",项目台账!$M321)</f>
        <v/>
      </c>
      <c r="J322" s="19">
        <f>IF($B322="","",项目台账!$O321)</f>
        <v/>
      </c>
      <c r="K322" s="19">
        <f>IF($B322="","",项目台账!$P321)</f>
        <v/>
      </c>
      <c r="L322" s="19">
        <f>IF($B322="","",ROUND(SUMIFS(采购单!$L$4:$L$2003,采购单!$D$4:$D$2003,$B322,采购单!$F$4:$F$2003,"成本-主材")+SUMIFS(生产安装!$J$4:$J$1203,生产安装!$C$4:$C$1203,$B322,生产安装!$E$4:$E$1203,"成本-主材")+SUMIFS(资金日记账!$K$4:$K$2503,资金日记账!$G$4:$G$2503,$B322,资金日记账!$F$4:$F$2503,"成本-主材")-SUMIFS(资金日记账!$J$4:$J$2503,资金日记账!$G$4:$G$2503,$B322,资金日记账!$F$4:$F$2503,"成本-主材"),2))</f>
        <v/>
      </c>
      <c r="M322" s="19">
        <f>IF($B322="","",ROUND(SUMIFS(采购单!$L$4:$L$2003,采购单!$D$4:$D$2003,$B322,采购单!$F$4:$F$2003,"成本-辅材")+SUMIFS(生产安装!$J$4:$J$1203,生产安装!$C$4:$C$1203,$B322,生产安装!$E$4:$E$1203,"成本-辅材")+SUMIFS(资金日记账!$K$4:$K$2503,资金日记账!$G$4:$G$2503,$B322,资金日记账!$F$4:$F$2503,"成本-辅材")-SUMIFS(资金日记账!$J$4:$J$2503,资金日记账!$G$4:$G$2503,$B322,资金日记账!$F$4:$F$2503,"成本-辅材"),2))</f>
        <v/>
      </c>
      <c r="N322" s="19">
        <f>IF($B322="","",ROUND(SUMIFS(采购单!$L$4:$L$2003,采购单!$D$4:$D$2003,$B322,采购单!$F$4:$F$2003,"成本-人工")+SUMIFS(生产安装!$J$4:$J$1203,生产安装!$C$4:$C$1203,$B322,生产安装!$E$4:$E$1203,"成本-人工")+SUMIFS(资金日记账!$K$4:$K$2503,资金日记账!$G$4:$G$2503,$B322,资金日记账!$F$4:$F$2503,"成本-人工")-SUMIFS(资金日记账!$J$4:$J$2503,资金日记账!$G$4:$G$2503,$B322,资金日记账!$F$4:$F$2503,"成本-人工"),2))</f>
        <v/>
      </c>
      <c r="O322" s="19">
        <f>IF($B322="","",ROUND(SUMIFS(采购单!$L$4:$L$2003,采购单!$D$4:$D$2003,$B322,采购单!$F$4:$F$2003,"成本-车运")+SUMIFS(生产安装!$J$4:$J$1203,生产安装!$C$4:$C$1203,$B322,生产安装!$E$4:$E$1203,"成本-车运")+SUMIFS(资金日记账!$K$4:$K$2503,资金日记账!$G$4:$G$2503,$B322,资金日记账!$F$4:$F$2503,"成本-车运")-SUMIFS(资金日记账!$J$4:$J$2503,资金日记账!$G$4:$G$2503,$B322,资金日记账!$F$4:$F$2503,"成本-车运"),2))</f>
        <v/>
      </c>
      <c r="P322" s="19">
        <f>IF($B322="","",ROUND(SUMIFS(采购单!$L$4:$L$2003,采购单!$D$4:$D$2003,$B322,采购单!$F$4:$F$2003,"成本-其他")+SUMIFS(生产安装!$J$4:$J$1203,生产安装!$C$4:$C$1203,$B322,生产安装!$E$4:$E$1203,"成本-其他")+SUMIFS(资金日记账!$K$4:$K$2503,资金日记账!$G$4:$G$2503,$B322,资金日记账!$F$4:$F$2503,"成本-其他")-SUMIFS(资金日记账!$J$4:$J$2503,资金日记账!$G$4:$G$2503,$B322,资金日记账!$F$4:$F$2503,"成本-其他"),2))</f>
        <v/>
      </c>
      <c r="Q322" s="19">
        <f>IF($B322="","",ROUND(SUM($L322:$P322),2))</f>
        <v/>
      </c>
      <c r="R322" s="19">
        <f>IF($B322="","",ROUND($I322-$Q322,2))</f>
        <v/>
      </c>
      <c r="S322" s="33">
        <f>IF($B322="","",IF(ROUND($I322,2)=0,"",ROUND($R322/$I322,4)))</f>
        <v/>
      </c>
      <c r="T322" s="22">
        <f>IF($B322="","",IF($G322="",0,YEAR($G322)*100+MONTH($G322)))</f>
        <v/>
      </c>
      <c r="U322" s="17">
        <f>IF($B322="","",IF(项目台账!$R321="","",项目台账!$R321))</f>
        <v/>
      </c>
    </row>
    <row r="323">
      <c r="A323" s="17">
        <f>IF(项目台账!$B322="","",项目台账!$A322)</f>
        <v/>
      </c>
      <c r="B323" s="17">
        <f>IF(项目台账!$B322="","",项目台账!$B322)</f>
        <v/>
      </c>
      <c r="C323" s="17">
        <f>IF($B323="","",IF(项目台账!$C322="","",项目台账!$C322))</f>
        <v/>
      </c>
      <c r="D323" s="17">
        <f>IF($B323="","",IF(项目台账!$D322="","",项目台账!$D322))</f>
        <v/>
      </c>
      <c r="E323" s="17">
        <f>IF($B323="","",IF(项目台账!$E322="","",项目台账!$E322))</f>
        <v/>
      </c>
      <c r="F323" s="23">
        <f>IF($B323="","",IF(项目台账!$F322="","",项目台账!$F322))</f>
        <v/>
      </c>
      <c r="G323" s="23">
        <f>IF($B323="","",IF(项目台账!$J322="","",项目台账!$J322))</f>
        <v/>
      </c>
      <c r="H323" s="17">
        <f>IF($B323="","",IF(项目台账!$Q322="","",项目台账!$Q322))</f>
        <v/>
      </c>
      <c r="I323" s="19">
        <f>IF($B323="","",项目台账!$M322)</f>
        <v/>
      </c>
      <c r="J323" s="19">
        <f>IF($B323="","",项目台账!$O322)</f>
        <v/>
      </c>
      <c r="K323" s="19">
        <f>IF($B323="","",项目台账!$P322)</f>
        <v/>
      </c>
      <c r="L323" s="19">
        <f>IF($B323="","",ROUND(SUMIFS(采购单!$L$4:$L$2003,采购单!$D$4:$D$2003,$B323,采购单!$F$4:$F$2003,"成本-主材")+SUMIFS(生产安装!$J$4:$J$1203,生产安装!$C$4:$C$1203,$B323,生产安装!$E$4:$E$1203,"成本-主材")+SUMIFS(资金日记账!$K$4:$K$2503,资金日记账!$G$4:$G$2503,$B323,资金日记账!$F$4:$F$2503,"成本-主材")-SUMIFS(资金日记账!$J$4:$J$2503,资金日记账!$G$4:$G$2503,$B323,资金日记账!$F$4:$F$2503,"成本-主材"),2))</f>
        <v/>
      </c>
      <c r="M323" s="19">
        <f>IF($B323="","",ROUND(SUMIFS(采购单!$L$4:$L$2003,采购单!$D$4:$D$2003,$B323,采购单!$F$4:$F$2003,"成本-辅材")+SUMIFS(生产安装!$J$4:$J$1203,生产安装!$C$4:$C$1203,$B323,生产安装!$E$4:$E$1203,"成本-辅材")+SUMIFS(资金日记账!$K$4:$K$2503,资金日记账!$G$4:$G$2503,$B323,资金日记账!$F$4:$F$2503,"成本-辅材")-SUMIFS(资金日记账!$J$4:$J$2503,资金日记账!$G$4:$G$2503,$B323,资金日记账!$F$4:$F$2503,"成本-辅材"),2))</f>
        <v/>
      </c>
      <c r="N323" s="19">
        <f>IF($B323="","",ROUND(SUMIFS(采购单!$L$4:$L$2003,采购单!$D$4:$D$2003,$B323,采购单!$F$4:$F$2003,"成本-人工")+SUMIFS(生产安装!$J$4:$J$1203,生产安装!$C$4:$C$1203,$B323,生产安装!$E$4:$E$1203,"成本-人工")+SUMIFS(资金日记账!$K$4:$K$2503,资金日记账!$G$4:$G$2503,$B323,资金日记账!$F$4:$F$2503,"成本-人工")-SUMIFS(资金日记账!$J$4:$J$2503,资金日记账!$G$4:$G$2503,$B323,资金日记账!$F$4:$F$2503,"成本-人工"),2))</f>
        <v/>
      </c>
      <c r="O323" s="19">
        <f>IF($B323="","",ROUND(SUMIFS(采购单!$L$4:$L$2003,采购单!$D$4:$D$2003,$B323,采购单!$F$4:$F$2003,"成本-车运")+SUMIFS(生产安装!$J$4:$J$1203,生产安装!$C$4:$C$1203,$B323,生产安装!$E$4:$E$1203,"成本-车运")+SUMIFS(资金日记账!$K$4:$K$2503,资金日记账!$G$4:$G$2503,$B323,资金日记账!$F$4:$F$2503,"成本-车运")-SUMIFS(资金日记账!$J$4:$J$2503,资金日记账!$G$4:$G$2503,$B323,资金日记账!$F$4:$F$2503,"成本-车运"),2))</f>
        <v/>
      </c>
      <c r="P323" s="19">
        <f>IF($B323="","",ROUND(SUMIFS(采购单!$L$4:$L$2003,采购单!$D$4:$D$2003,$B323,采购单!$F$4:$F$2003,"成本-其他")+SUMIFS(生产安装!$J$4:$J$1203,生产安装!$C$4:$C$1203,$B323,生产安装!$E$4:$E$1203,"成本-其他")+SUMIFS(资金日记账!$K$4:$K$2503,资金日记账!$G$4:$G$2503,$B323,资金日记账!$F$4:$F$2503,"成本-其他")-SUMIFS(资金日记账!$J$4:$J$2503,资金日记账!$G$4:$G$2503,$B323,资金日记账!$F$4:$F$2503,"成本-其他"),2))</f>
        <v/>
      </c>
      <c r="Q323" s="19">
        <f>IF($B323="","",ROUND(SUM($L323:$P323),2))</f>
        <v/>
      </c>
      <c r="R323" s="19">
        <f>IF($B323="","",ROUND($I323-$Q323,2))</f>
        <v/>
      </c>
      <c r="S323" s="33">
        <f>IF($B323="","",IF(ROUND($I323,2)=0,"",ROUND($R323/$I323,4)))</f>
        <v/>
      </c>
      <c r="T323" s="22">
        <f>IF($B323="","",IF($G323="",0,YEAR($G323)*100+MONTH($G323)))</f>
        <v/>
      </c>
      <c r="U323" s="17">
        <f>IF($B323="","",IF(项目台账!$R322="","",项目台账!$R322))</f>
        <v/>
      </c>
    </row>
    <row r="324">
      <c r="A324" s="17">
        <f>IF(项目台账!$B323="","",项目台账!$A323)</f>
        <v/>
      </c>
      <c r="B324" s="17">
        <f>IF(项目台账!$B323="","",项目台账!$B323)</f>
        <v/>
      </c>
      <c r="C324" s="17">
        <f>IF($B324="","",IF(项目台账!$C323="","",项目台账!$C323))</f>
        <v/>
      </c>
      <c r="D324" s="17">
        <f>IF($B324="","",IF(项目台账!$D323="","",项目台账!$D323))</f>
        <v/>
      </c>
      <c r="E324" s="17">
        <f>IF($B324="","",IF(项目台账!$E323="","",项目台账!$E323))</f>
        <v/>
      </c>
      <c r="F324" s="23">
        <f>IF($B324="","",IF(项目台账!$F323="","",项目台账!$F323))</f>
        <v/>
      </c>
      <c r="G324" s="23">
        <f>IF($B324="","",IF(项目台账!$J323="","",项目台账!$J323))</f>
        <v/>
      </c>
      <c r="H324" s="17">
        <f>IF($B324="","",IF(项目台账!$Q323="","",项目台账!$Q323))</f>
        <v/>
      </c>
      <c r="I324" s="19">
        <f>IF($B324="","",项目台账!$M323)</f>
        <v/>
      </c>
      <c r="J324" s="19">
        <f>IF($B324="","",项目台账!$O323)</f>
        <v/>
      </c>
      <c r="K324" s="19">
        <f>IF($B324="","",项目台账!$P323)</f>
        <v/>
      </c>
      <c r="L324" s="19">
        <f>IF($B324="","",ROUND(SUMIFS(采购单!$L$4:$L$2003,采购单!$D$4:$D$2003,$B324,采购单!$F$4:$F$2003,"成本-主材")+SUMIFS(生产安装!$J$4:$J$1203,生产安装!$C$4:$C$1203,$B324,生产安装!$E$4:$E$1203,"成本-主材")+SUMIFS(资金日记账!$K$4:$K$2503,资金日记账!$G$4:$G$2503,$B324,资金日记账!$F$4:$F$2503,"成本-主材")-SUMIFS(资金日记账!$J$4:$J$2503,资金日记账!$G$4:$G$2503,$B324,资金日记账!$F$4:$F$2503,"成本-主材"),2))</f>
        <v/>
      </c>
      <c r="M324" s="19">
        <f>IF($B324="","",ROUND(SUMIFS(采购单!$L$4:$L$2003,采购单!$D$4:$D$2003,$B324,采购单!$F$4:$F$2003,"成本-辅材")+SUMIFS(生产安装!$J$4:$J$1203,生产安装!$C$4:$C$1203,$B324,生产安装!$E$4:$E$1203,"成本-辅材")+SUMIFS(资金日记账!$K$4:$K$2503,资金日记账!$G$4:$G$2503,$B324,资金日记账!$F$4:$F$2503,"成本-辅材")-SUMIFS(资金日记账!$J$4:$J$2503,资金日记账!$G$4:$G$2503,$B324,资金日记账!$F$4:$F$2503,"成本-辅材"),2))</f>
        <v/>
      </c>
      <c r="N324" s="19">
        <f>IF($B324="","",ROUND(SUMIFS(采购单!$L$4:$L$2003,采购单!$D$4:$D$2003,$B324,采购单!$F$4:$F$2003,"成本-人工")+SUMIFS(生产安装!$J$4:$J$1203,生产安装!$C$4:$C$1203,$B324,生产安装!$E$4:$E$1203,"成本-人工")+SUMIFS(资金日记账!$K$4:$K$2503,资金日记账!$G$4:$G$2503,$B324,资金日记账!$F$4:$F$2503,"成本-人工")-SUMIFS(资金日记账!$J$4:$J$2503,资金日记账!$G$4:$G$2503,$B324,资金日记账!$F$4:$F$2503,"成本-人工"),2))</f>
        <v/>
      </c>
      <c r="O324" s="19">
        <f>IF($B324="","",ROUND(SUMIFS(采购单!$L$4:$L$2003,采购单!$D$4:$D$2003,$B324,采购单!$F$4:$F$2003,"成本-车运")+SUMIFS(生产安装!$J$4:$J$1203,生产安装!$C$4:$C$1203,$B324,生产安装!$E$4:$E$1203,"成本-车运")+SUMIFS(资金日记账!$K$4:$K$2503,资金日记账!$G$4:$G$2503,$B324,资金日记账!$F$4:$F$2503,"成本-车运")-SUMIFS(资金日记账!$J$4:$J$2503,资金日记账!$G$4:$G$2503,$B324,资金日记账!$F$4:$F$2503,"成本-车运"),2))</f>
        <v/>
      </c>
      <c r="P324" s="19">
        <f>IF($B324="","",ROUND(SUMIFS(采购单!$L$4:$L$2003,采购单!$D$4:$D$2003,$B324,采购单!$F$4:$F$2003,"成本-其他")+SUMIFS(生产安装!$J$4:$J$1203,生产安装!$C$4:$C$1203,$B324,生产安装!$E$4:$E$1203,"成本-其他")+SUMIFS(资金日记账!$K$4:$K$2503,资金日记账!$G$4:$G$2503,$B324,资金日记账!$F$4:$F$2503,"成本-其他")-SUMIFS(资金日记账!$J$4:$J$2503,资金日记账!$G$4:$G$2503,$B324,资金日记账!$F$4:$F$2503,"成本-其他"),2))</f>
        <v/>
      </c>
      <c r="Q324" s="19">
        <f>IF($B324="","",ROUND(SUM($L324:$P324),2))</f>
        <v/>
      </c>
      <c r="R324" s="19">
        <f>IF($B324="","",ROUND($I324-$Q324,2))</f>
        <v/>
      </c>
      <c r="S324" s="33">
        <f>IF($B324="","",IF(ROUND($I324,2)=0,"",ROUND($R324/$I324,4)))</f>
        <v/>
      </c>
      <c r="T324" s="22">
        <f>IF($B324="","",IF($G324="",0,YEAR($G324)*100+MONTH($G324)))</f>
        <v/>
      </c>
      <c r="U324" s="17">
        <f>IF($B324="","",IF(项目台账!$R323="","",项目台账!$R323))</f>
        <v/>
      </c>
    </row>
    <row r="325">
      <c r="A325" s="17">
        <f>IF(项目台账!$B324="","",项目台账!$A324)</f>
        <v/>
      </c>
      <c r="B325" s="17">
        <f>IF(项目台账!$B324="","",项目台账!$B324)</f>
        <v/>
      </c>
      <c r="C325" s="17">
        <f>IF($B325="","",IF(项目台账!$C324="","",项目台账!$C324))</f>
        <v/>
      </c>
      <c r="D325" s="17">
        <f>IF($B325="","",IF(项目台账!$D324="","",项目台账!$D324))</f>
        <v/>
      </c>
      <c r="E325" s="17">
        <f>IF($B325="","",IF(项目台账!$E324="","",项目台账!$E324))</f>
        <v/>
      </c>
      <c r="F325" s="23">
        <f>IF($B325="","",IF(项目台账!$F324="","",项目台账!$F324))</f>
        <v/>
      </c>
      <c r="G325" s="23">
        <f>IF($B325="","",IF(项目台账!$J324="","",项目台账!$J324))</f>
        <v/>
      </c>
      <c r="H325" s="17">
        <f>IF($B325="","",IF(项目台账!$Q324="","",项目台账!$Q324))</f>
        <v/>
      </c>
      <c r="I325" s="19">
        <f>IF($B325="","",项目台账!$M324)</f>
        <v/>
      </c>
      <c r="J325" s="19">
        <f>IF($B325="","",项目台账!$O324)</f>
        <v/>
      </c>
      <c r="K325" s="19">
        <f>IF($B325="","",项目台账!$P324)</f>
        <v/>
      </c>
      <c r="L325" s="19">
        <f>IF($B325="","",ROUND(SUMIFS(采购单!$L$4:$L$2003,采购单!$D$4:$D$2003,$B325,采购单!$F$4:$F$2003,"成本-主材")+SUMIFS(生产安装!$J$4:$J$1203,生产安装!$C$4:$C$1203,$B325,生产安装!$E$4:$E$1203,"成本-主材")+SUMIFS(资金日记账!$K$4:$K$2503,资金日记账!$G$4:$G$2503,$B325,资金日记账!$F$4:$F$2503,"成本-主材")-SUMIFS(资金日记账!$J$4:$J$2503,资金日记账!$G$4:$G$2503,$B325,资金日记账!$F$4:$F$2503,"成本-主材"),2))</f>
        <v/>
      </c>
      <c r="M325" s="19">
        <f>IF($B325="","",ROUND(SUMIFS(采购单!$L$4:$L$2003,采购单!$D$4:$D$2003,$B325,采购单!$F$4:$F$2003,"成本-辅材")+SUMIFS(生产安装!$J$4:$J$1203,生产安装!$C$4:$C$1203,$B325,生产安装!$E$4:$E$1203,"成本-辅材")+SUMIFS(资金日记账!$K$4:$K$2503,资金日记账!$G$4:$G$2503,$B325,资金日记账!$F$4:$F$2503,"成本-辅材")-SUMIFS(资金日记账!$J$4:$J$2503,资金日记账!$G$4:$G$2503,$B325,资金日记账!$F$4:$F$2503,"成本-辅材"),2))</f>
        <v/>
      </c>
      <c r="N325" s="19">
        <f>IF($B325="","",ROUND(SUMIFS(采购单!$L$4:$L$2003,采购单!$D$4:$D$2003,$B325,采购单!$F$4:$F$2003,"成本-人工")+SUMIFS(生产安装!$J$4:$J$1203,生产安装!$C$4:$C$1203,$B325,生产安装!$E$4:$E$1203,"成本-人工")+SUMIFS(资金日记账!$K$4:$K$2503,资金日记账!$G$4:$G$2503,$B325,资金日记账!$F$4:$F$2503,"成本-人工")-SUMIFS(资金日记账!$J$4:$J$2503,资金日记账!$G$4:$G$2503,$B325,资金日记账!$F$4:$F$2503,"成本-人工"),2))</f>
        <v/>
      </c>
      <c r="O325" s="19">
        <f>IF($B325="","",ROUND(SUMIFS(采购单!$L$4:$L$2003,采购单!$D$4:$D$2003,$B325,采购单!$F$4:$F$2003,"成本-车运")+SUMIFS(生产安装!$J$4:$J$1203,生产安装!$C$4:$C$1203,$B325,生产安装!$E$4:$E$1203,"成本-车运")+SUMIFS(资金日记账!$K$4:$K$2503,资金日记账!$G$4:$G$2503,$B325,资金日记账!$F$4:$F$2503,"成本-车运")-SUMIFS(资金日记账!$J$4:$J$2503,资金日记账!$G$4:$G$2503,$B325,资金日记账!$F$4:$F$2503,"成本-车运"),2))</f>
        <v/>
      </c>
      <c r="P325" s="19">
        <f>IF($B325="","",ROUND(SUMIFS(采购单!$L$4:$L$2003,采购单!$D$4:$D$2003,$B325,采购单!$F$4:$F$2003,"成本-其他")+SUMIFS(生产安装!$J$4:$J$1203,生产安装!$C$4:$C$1203,$B325,生产安装!$E$4:$E$1203,"成本-其他")+SUMIFS(资金日记账!$K$4:$K$2503,资金日记账!$G$4:$G$2503,$B325,资金日记账!$F$4:$F$2503,"成本-其他")-SUMIFS(资金日记账!$J$4:$J$2503,资金日记账!$G$4:$G$2503,$B325,资金日记账!$F$4:$F$2503,"成本-其他"),2))</f>
        <v/>
      </c>
      <c r="Q325" s="19">
        <f>IF($B325="","",ROUND(SUM($L325:$P325),2))</f>
        <v/>
      </c>
      <c r="R325" s="19">
        <f>IF($B325="","",ROUND($I325-$Q325,2))</f>
        <v/>
      </c>
      <c r="S325" s="33">
        <f>IF($B325="","",IF(ROUND($I325,2)=0,"",ROUND($R325/$I325,4)))</f>
        <v/>
      </c>
      <c r="T325" s="22">
        <f>IF($B325="","",IF($G325="",0,YEAR($G325)*100+MONTH($G325)))</f>
        <v/>
      </c>
      <c r="U325" s="17">
        <f>IF($B325="","",IF(项目台账!$R324="","",项目台账!$R324))</f>
        <v/>
      </c>
    </row>
    <row r="326">
      <c r="A326" s="17">
        <f>IF(项目台账!$B325="","",项目台账!$A325)</f>
        <v/>
      </c>
      <c r="B326" s="17">
        <f>IF(项目台账!$B325="","",项目台账!$B325)</f>
        <v/>
      </c>
      <c r="C326" s="17">
        <f>IF($B326="","",IF(项目台账!$C325="","",项目台账!$C325))</f>
        <v/>
      </c>
      <c r="D326" s="17">
        <f>IF($B326="","",IF(项目台账!$D325="","",项目台账!$D325))</f>
        <v/>
      </c>
      <c r="E326" s="17">
        <f>IF($B326="","",IF(项目台账!$E325="","",项目台账!$E325))</f>
        <v/>
      </c>
      <c r="F326" s="23">
        <f>IF($B326="","",IF(项目台账!$F325="","",项目台账!$F325))</f>
        <v/>
      </c>
      <c r="G326" s="23">
        <f>IF($B326="","",IF(项目台账!$J325="","",项目台账!$J325))</f>
        <v/>
      </c>
      <c r="H326" s="17">
        <f>IF($B326="","",IF(项目台账!$Q325="","",项目台账!$Q325))</f>
        <v/>
      </c>
      <c r="I326" s="19">
        <f>IF($B326="","",项目台账!$M325)</f>
        <v/>
      </c>
      <c r="J326" s="19">
        <f>IF($B326="","",项目台账!$O325)</f>
        <v/>
      </c>
      <c r="K326" s="19">
        <f>IF($B326="","",项目台账!$P325)</f>
        <v/>
      </c>
      <c r="L326" s="19">
        <f>IF($B326="","",ROUND(SUMIFS(采购单!$L$4:$L$2003,采购单!$D$4:$D$2003,$B326,采购单!$F$4:$F$2003,"成本-主材")+SUMIFS(生产安装!$J$4:$J$1203,生产安装!$C$4:$C$1203,$B326,生产安装!$E$4:$E$1203,"成本-主材")+SUMIFS(资金日记账!$K$4:$K$2503,资金日记账!$G$4:$G$2503,$B326,资金日记账!$F$4:$F$2503,"成本-主材")-SUMIFS(资金日记账!$J$4:$J$2503,资金日记账!$G$4:$G$2503,$B326,资金日记账!$F$4:$F$2503,"成本-主材"),2))</f>
        <v/>
      </c>
      <c r="M326" s="19">
        <f>IF($B326="","",ROUND(SUMIFS(采购单!$L$4:$L$2003,采购单!$D$4:$D$2003,$B326,采购单!$F$4:$F$2003,"成本-辅材")+SUMIFS(生产安装!$J$4:$J$1203,生产安装!$C$4:$C$1203,$B326,生产安装!$E$4:$E$1203,"成本-辅材")+SUMIFS(资金日记账!$K$4:$K$2503,资金日记账!$G$4:$G$2503,$B326,资金日记账!$F$4:$F$2503,"成本-辅材")-SUMIFS(资金日记账!$J$4:$J$2503,资金日记账!$G$4:$G$2503,$B326,资金日记账!$F$4:$F$2503,"成本-辅材"),2))</f>
        <v/>
      </c>
      <c r="N326" s="19">
        <f>IF($B326="","",ROUND(SUMIFS(采购单!$L$4:$L$2003,采购单!$D$4:$D$2003,$B326,采购单!$F$4:$F$2003,"成本-人工")+SUMIFS(生产安装!$J$4:$J$1203,生产安装!$C$4:$C$1203,$B326,生产安装!$E$4:$E$1203,"成本-人工")+SUMIFS(资金日记账!$K$4:$K$2503,资金日记账!$G$4:$G$2503,$B326,资金日记账!$F$4:$F$2503,"成本-人工")-SUMIFS(资金日记账!$J$4:$J$2503,资金日记账!$G$4:$G$2503,$B326,资金日记账!$F$4:$F$2503,"成本-人工"),2))</f>
        <v/>
      </c>
      <c r="O326" s="19">
        <f>IF($B326="","",ROUND(SUMIFS(采购单!$L$4:$L$2003,采购单!$D$4:$D$2003,$B326,采购单!$F$4:$F$2003,"成本-车运")+SUMIFS(生产安装!$J$4:$J$1203,生产安装!$C$4:$C$1203,$B326,生产安装!$E$4:$E$1203,"成本-车运")+SUMIFS(资金日记账!$K$4:$K$2503,资金日记账!$G$4:$G$2503,$B326,资金日记账!$F$4:$F$2503,"成本-车运")-SUMIFS(资金日记账!$J$4:$J$2503,资金日记账!$G$4:$G$2503,$B326,资金日记账!$F$4:$F$2503,"成本-车运"),2))</f>
        <v/>
      </c>
      <c r="P326" s="19">
        <f>IF($B326="","",ROUND(SUMIFS(采购单!$L$4:$L$2003,采购单!$D$4:$D$2003,$B326,采购单!$F$4:$F$2003,"成本-其他")+SUMIFS(生产安装!$J$4:$J$1203,生产安装!$C$4:$C$1203,$B326,生产安装!$E$4:$E$1203,"成本-其他")+SUMIFS(资金日记账!$K$4:$K$2503,资金日记账!$G$4:$G$2503,$B326,资金日记账!$F$4:$F$2503,"成本-其他")-SUMIFS(资金日记账!$J$4:$J$2503,资金日记账!$G$4:$G$2503,$B326,资金日记账!$F$4:$F$2503,"成本-其他"),2))</f>
        <v/>
      </c>
      <c r="Q326" s="19">
        <f>IF($B326="","",ROUND(SUM($L326:$P326),2))</f>
        <v/>
      </c>
      <c r="R326" s="19">
        <f>IF($B326="","",ROUND($I326-$Q326,2))</f>
        <v/>
      </c>
      <c r="S326" s="33">
        <f>IF($B326="","",IF(ROUND($I326,2)=0,"",ROUND($R326/$I326,4)))</f>
        <v/>
      </c>
      <c r="T326" s="22">
        <f>IF($B326="","",IF($G326="",0,YEAR($G326)*100+MONTH($G326)))</f>
        <v/>
      </c>
      <c r="U326" s="17">
        <f>IF($B326="","",IF(项目台账!$R325="","",项目台账!$R325))</f>
        <v/>
      </c>
    </row>
    <row r="327">
      <c r="A327" s="17">
        <f>IF(项目台账!$B326="","",项目台账!$A326)</f>
        <v/>
      </c>
      <c r="B327" s="17">
        <f>IF(项目台账!$B326="","",项目台账!$B326)</f>
        <v/>
      </c>
      <c r="C327" s="17">
        <f>IF($B327="","",IF(项目台账!$C326="","",项目台账!$C326))</f>
        <v/>
      </c>
      <c r="D327" s="17">
        <f>IF($B327="","",IF(项目台账!$D326="","",项目台账!$D326))</f>
        <v/>
      </c>
      <c r="E327" s="17">
        <f>IF($B327="","",IF(项目台账!$E326="","",项目台账!$E326))</f>
        <v/>
      </c>
      <c r="F327" s="23">
        <f>IF($B327="","",IF(项目台账!$F326="","",项目台账!$F326))</f>
        <v/>
      </c>
      <c r="G327" s="23">
        <f>IF($B327="","",IF(项目台账!$J326="","",项目台账!$J326))</f>
        <v/>
      </c>
      <c r="H327" s="17">
        <f>IF($B327="","",IF(项目台账!$Q326="","",项目台账!$Q326))</f>
        <v/>
      </c>
      <c r="I327" s="19">
        <f>IF($B327="","",项目台账!$M326)</f>
        <v/>
      </c>
      <c r="J327" s="19">
        <f>IF($B327="","",项目台账!$O326)</f>
        <v/>
      </c>
      <c r="K327" s="19">
        <f>IF($B327="","",项目台账!$P326)</f>
        <v/>
      </c>
      <c r="L327" s="19">
        <f>IF($B327="","",ROUND(SUMIFS(采购单!$L$4:$L$2003,采购单!$D$4:$D$2003,$B327,采购单!$F$4:$F$2003,"成本-主材")+SUMIFS(生产安装!$J$4:$J$1203,生产安装!$C$4:$C$1203,$B327,生产安装!$E$4:$E$1203,"成本-主材")+SUMIFS(资金日记账!$K$4:$K$2503,资金日记账!$G$4:$G$2503,$B327,资金日记账!$F$4:$F$2503,"成本-主材")-SUMIFS(资金日记账!$J$4:$J$2503,资金日记账!$G$4:$G$2503,$B327,资金日记账!$F$4:$F$2503,"成本-主材"),2))</f>
        <v/>
      </c>
      <c r="M327" s="19">
        <f>IF($B327="","",ROUND(SUMIFS(采购单!$L$4:$L$2003,采购单!$D$4:$D$2003,$B327,采购单!$F$4:$F$2003,"成本-辅材")+SUMIFS(生产安装!$J$4:$J$1203,生产安装!$C$4:$C$1203,$B327,生产安装!$E$4:$E$1203,"成本-辅材")+SUMIFS(资金日记账!$K$4:$K$2503,资金日记账!$G$4:$G$2503,$B327,资金日记账!$F$4:$F$2503,"成本-辅材")-SUMIFS(资金日记账!$J$4:$J$2503,资金日记账!$G$4:$G$2503,$B327,资金日记账!$F$4:$F$2503,"成本-辅材"),2))</f>
        <v/>
      </c>
      <c r="N327" s="19">
        <f>IF($B327="","",ROUND(SUMIFS(采购单!$L$4:$L$2003,采购单!$D$4:$D$2003,$B327,采购单!$F$4:$F$2003,"成本-人工")+SUMIFS(生产安装!$J$4:$J$1203,生产安装!$C$4:$C$1203,$B327,生产安装!$E$4:$E$1203,"成本-人工")+SUMIFS(资金日记账!$K$4:$K$2503,资金日记账!$G$4:$G$2503,$B327,资金日记账!$F$4:$F$2503,"成本-人工")-SUMIFS(资金日记账!$J$4:$J$2503,资金日记账!$G$4:$G$2503,$B327,资金日记账!$F$4:$F$2503,"成本-人工"),2))</f>
        <v/>
      </c>
      <c r="O327" s="19">
        <f>IF($B327="","",ROUND(SUMIFS(采购单!$L$4:$L$2003,采购单!$D$4:$D$2003,$B327,采购单!$F$4:$F$2003,"成本-车运")+SUMIFS(生产安装!$J$4:$J$1203,生产安装!$C$4:$C$1203,$B327,生产安装!$E$4:$E$1203,"成本-车运")+SUMIFS(资金日记账!$K$4:$K$2503,资金日记账!$G$4:$G$2503,$B327,资金日记账!$F$4:$F$2503,"成本-车运")-SUMIFS(资金日记账!$J$4:$J$2503,资金日记账!$G$4:$G$2503,$B327,资金日记账!$F$4:$F$2503,"成本-车运"),2))</f>
        <v/>
      </c>
      <c r="P327" s="19">
        <f>IF($B327="","",ROUND(SUMIFS(采购单!$L$4:$L$2003,采购单!$D$4:$D$2003,$B327,采购单!$F$4:$F$2003,"成本-其他")+SUMIFS(生产安装!$J$4:$J$1203,生产安装!$C$4:$C$1203,$B327,生产安装!$E$4:$E$1203,"成本-其他")+SUMIFS(资金日记账!$K$4:$K$2503,资金日记账!$G$4:$G$2503,$B327,资金日记账!$F$4:$F$2503,"成本-其他")-SUMIFS(资金日记账!$J$4:$J$2503,资金日记账!$G$4:$G$2503,$B327,资金日记账!$F$4:$F$2503,"成本-其他"),2))</f>
        <v/>
      </c>
      <c r="Q327" s="19">
        <f>IF($B327="","",ROUND(SUM($L327:$P327),2))</f>
        <v/>
      </c>
      <c r="R327" s="19">
        <f>IF($B327="","",ROUND($I327-$Q327,2))</f>
        <v/>
      </c>
      <c r="S327" s="33">
        <f>IF($B327="","",IF(ROUND($I327,2)=0,"",ROUND($R327/$I327,4)))</f>
        <v/>
      </c>
      <c r="T327" s="22">
        <f>IF($B327="","",IF($G327="",0,YEAR($G327)*100+MONTH($G327)))</f>
        <v/>
      </c>
      <c r="U327" s="17">
        <f>IF($B327="","",IF(项目台账!$R326="","",项目台账!$R326))</f>
        <v/>
      </c>
    </row>
    <row r="328">
      <c r="A328" s="17">
        <f>IF(项目台账!$B327="","",项目台账!$A327)</f>
        <v/>
      </c>
      <c r="B328" s="17">
        <f>IF(项目台账!$B327="","",项目台账!$B327)</f>
        <v/>
      </c>
      <c r="C328" s="17">
        <f>IF($B328="","",IF(项目台账!$C327="","",项目台账!$C327))</f>
        <v/>
      </c>
      <c r="D328" s="17">
        <f>IF($B328="","",IF(项目台账!$D327="","",项目台账!$D327))</f>
        <v/>
      </c>
      <c r="E328" s="17">
        <f>IF($B328="","",IF(项目台账!$E327="","",项目台账!$E327))</f>
        <v/>
      </c>
      <c r="F328" s="23">
        <f>IF($B328="","",IF(项目台账!$F327="","",项目台账!$F327))</f>
        <v/>
      </c>
      <c r="G328" s="23">
        <f>IF($B328="","",IF(项目台账!$J327="","",项目台账!$J327))</f>
        <v/>
      </c>
      <c r="H328" s="17">
        <f>IF($B328="","",IF(项目台账!$Q327="","",项目台账!$Q327))</f>
        <v/>
      </c>
      <c r="I328" s="19">
        <f>IF($B328="","",项目台账!$M327)</f>
        <v/>
      </c>
      <c r="J328" s="19">
        <f>IF($B328="","",项目台账!$O327)</f>
        <v/>
      </c>
      <c r="K328" s="19">
        <f>IF($B328="","",项目台账!$P327)</f>
        <v/>
      </c>
      <c r="L328" s="19">
        <f>IF($B328="","",ROUND(SUMIFS(采购单!$L$4:$L$2003,采购单!$D$4:$D$2003,$B328,采购单!$F$4:$F$2003,"成本-主材")+SUMIFS(生产安装!$J$4:$J$1203,生产安装!$C$4:$C$1203,$B328,生产安装!$E$4:$E$1203,"成本-主材")+SUMIFS(资金日记账!$K$4:$K$2503,资金日记账!$G$4:$G$2503,$B328,资金日记账!$F$4:$F$2503,"成本-主材")-SUMIFS(资金日记账!$J$4:$J$2503,资金日记账!$G$4:$G$2503,$B328,资金日记账!$F$4:$F$2503,"成本-主材"),2))</f>
        <v/>
      </c>
      <c r="M328" s="19">
        <f>IF($B328="","",ROUND(SUMIFS(采购单!$L$4:$L$2003,采购单!$D$4:$D$2003,$B328,采购单!$F$4:$F$2003,"成本-辅材")+SUMIFS(生产安装!$J$4:$J$1203,生产安装!$C$4:$C$1203,$B328,生产安装!$E$4:$E$1203,"成本-辅材")+SUMIFS(资金日记账!$K$4:$K$2503,资金日记账!$G$4:$G$2503,$B328,资金日记账!$F$4:$F$2503,"成本-辅材")-SUMIFS(资金日记账!$J$4:$J$2503,资金日记账!$G$4:$G$2503,$B328,资金日记账!$F$4:$F$2503,"成本-辅材"),2))</f>
        <v/>
      </c>
      <c r="N328" s="19">
        <f>IF($B328="","",ROUND(SUMIFS(采购单!$L$4:$L$2003,采购单!$D$4:$D$2003,$B328,采购单!$F$4:$F$2003,"成本-人工")+SUMIFS(生产安装!$J$4:$J$1203,生产安装!$C$4:$C$1203,$B328,生产安装!$E$4:$E$1203,"成本-人工")+SUMIFS(资金日记账!$K$4:$K$2503,资金日记账!$G$4:$G$2503,$B328,资金日记账!$F$4:$F$2503,"成本-人工")-SUMIFS(资金日记账!$J$4:$J$2503,资金日记账!$G$4:$G$2503,$B328,资金日记账!$F$4:$F$2503,"成本-人工"),2))</f>
        <v/>
      </c>
      <c r="O328" s="19">
        <f>IF($B328="","",ROUND(SUMIFS(采购单!$L$4:$L$2003,采购单!$D$4:$D$2003,$B328,采购单!$F$4:$F$2003,"成本-车运")+SUMIFS(生产安装!$J$4:$J$1203,生产安装!$C$4:$C$1203,$B328,生产安装!$E$4:$E$1203,"成本-车运")+SUMIFS(资金日记账!$K$4:$K$2503,资金日记账!$G$4:$G$2503,$B328,资金日记账!$F$4:$F$2503,"成本-车运")-SUMIFS(资金日记账!$J$4:$J$2503,资金日记账!$G$4:$G$2503,$B328,资金日记账!$F$4:$F$2503,"成本-车运"),2))</f>
        <v/>
      </c>
      <c r="P328" s="19">
        <f>IF($B328="","",ROUND(SUMIFS(采购单!$L$4:$L$2003,采购单!$D$4:$D$2003,$B328,采购单!$F$4:$F$2003,"成本-其他")+SUMIFS(生产安装!$J$4:$J$1203,生产安装!$C$4:$C$1203,$B328,生产安装!$E$4:$E$1203,"成本-其他")+SUMIFS(资金日记账!$K$4:$K$2503,资金日记账!$G$4:$G$2503,$B328,资金日记账!$F$4:$F$2503,"成本-其他")-SUMIFS(资金日记账!$J$4:$J$2503,资金日记账!$G$4:$G$2503,$B328,资金日记账!$F$4:$F$2503,"成本-其他"),2))</f>
        <v/>
      </c>
      <c r="Q328" s="19">
        <f>IF($B328="","",ROUND(SUM($L328:$P328),2))</f>
        <v/>
      </c>
      <c r="R328" s="19">
        <f>IF($B328="","",ROUND($I328-$Q328,2))</f>
        <v/>
      </c>
      <c r="S328" s="33">
        <f>IF($B328="","",IF(ROUND($I328,2)=0,"",ROUND($R328/$I328,4)))</f>
        <v/>
      </c>
      <c r="T328" s="22">
        <f>IF($B328="","",IF($G328="",0,YEAR($G328)*100+MONTH($G328)))</f>
        <v/>
      </c>
      <c r="U328" s="17">
        <f>IF($B328="","",IF(项目台账!$R327="","",项目台账!$R327))</f>
        <v/>
      </c>
    </row>
    <row r="329">
      <c r="A329" s="17">
        <f>IF(项目台账!$B328="","",项目台账!$A328)</f>
        <v/>
      </c>
      <c r="B329" s="17">
        <f>IF(项目台账!$B328="","",项目台账!$B328)</f>
        <v/>
      </c>
      <c r="C329" s="17">
        <f>IF($B329="","",IF(项目台账!$C328="","",项目台账!$C328))</f>
        <v/>
      </c>
      <c r="D329" s="17">
        <f>IF($B329="","",IF(项目台账!$D328="","",项目台账!$D328))</f>
        <v/>
      </c>
      <c r="E329" s="17">
        <f>IF($B329="","",IF(项目台账!$E328="","",项目台账!$E328))</f>
        <v/>
      </c>
      <c r="F329" s="23">
        <f>IF($B329="","",IF(项目台账!$F328="","",项目台账!$F328))</f>
        <v/>
      </c>
      <c r="G329" s="23">
        <f>IF($B329="","",IF(项目台账!$J328="","",项目台账!$J328))</f>
        <v/>
      </c>
      <c r="H329" s="17">
        <f>IF($B329="","",IF(项目台账!$Q328="","",项目台账!$Q328))</f>
        <v/>
      </c>
      <c r="I329" s="19">
        <f>IF($B329="","",项目台账!$M328)</f>
        <v/>
      </c>
      <c r="J329" s="19">
        <f>IF($B329="","",项目台账!$O328)</f>
        <v/>
      </c>
      <c r="K329" s="19">
        <f>IF($B329="","",项目台账!$P328)</f>
        <v/>
      </c>
      <c r="L329" s="19">
        <f>IF($B329="","",ROUND(SUMIFS(采购单!$L$4:$L$2003,采购单!$D$4:$D$2003,$B329,采购单!$F$4:$F$2003,"成本-主材")+SUMIFS(生产安装!$J$4:$J$1203,生产安装!$C$4:$C$1203,$B329,生产安装!$E$4:$E$1203,"成本-主材")+SUMIFS(资金日记账!$K$4:$K$2503,资金日记账!$G$4:$G$2503,$B329,资金日记账!$F$4:$F$2503,"成本-主材")-SUMIFS(资金日记账!$J$4:$J$2503,资金日记账!$G$4:$G$2503,$B329,资金日记账!$F$4:$F$2503,"成本-主材"),2))</f>
        <v/>
      </c>
      <c r="M329" s="19">
        <f>IF($B329="","",ROUND(SUMIFS(采购单!$L$4:$L$2003,采购单!$D$4:$D$2003,$B329,采购单!$F$4:$F$2003,"成本-辅材")+SUMIFS(生产安装!$J$4:$J$1203,生产安装!$C$4:$C$1203,$B329,生产安装!$E$4:$E$1203,"成本-辅材")+SUMIFS(资金日记账!$K$4:$K$2503,资金日记账!$G$4:$G$2503,$B329,资金日记账!$F$4:$F$2503,"成本-辅材")-SUMIFS(资金日记账!$J$4:$J$2503,资金日记账!$G$4:$G$2503,$B329,资金日记账!$F$4:$F$2503,"成本-辅材"),2))</f>
        <v/>
      </c>
      <c r="N329" s="19">
        <f>IF($B329="","",ROUND(SUMIFS(采购单!$L$4:$L$2003,采购单!$D$4:$D$2003,$B329,采购单!$F$4:$F$2003,"成本-人工")+SUMIFS(生产安装!$J$4:$J$1203,生产安装!$C$4:$C$1203,$B329,生产安装!$E$4:$E$1203,"成本-人工")+SUMIFS(资金日记账!$K$4:$K$2503,资金日记账!$G$4:$G$2503,$B329,资金日记账!$F$4:$F$2503,"成本-人工")-SUMIFS(资金日记账!$J$4:$J$2503,资金日记账!$G$4:$G$2503,$B329,资金日记账!$F$4:$F$2503,"成本-人工"),2))</f>
        <v/>
      </c>
      <c r="O329" s="19">
        <f>IF($B329="","",ROUND(SUMIFS(采购单!$L$4:$L$2003,采购单!$D$4:$D$2003,$B329,采购单!$F$4:$F$2003,"成本-车运")+SUMIFS(生产安装!$J$4:$J$1203,生产安装!$C$4:$C$1203,$B329,生产安装!$E$4:$E$1203,"成本-车运")+SUMIFS(资金日记账!$K$4:$K$2503,资金日记账!$G$4:$G$2503,$B329,资金日记账!$F$4:$F$2503,"成本-车运")-SUMIFS(资金日记账!$J$4:$J$2503,资金日记账!$G$4:$G$2503,$B329,资金日记账!$F$4:$F$2503,"成本-车运"),2))</f>
        <v/>
      </c>
      <c r="P329" s="19">
        <f>IF($B329="","",ROUND(SUMIFS(采购单!$L$4:$L$2003,采购单!$D$4:$D$2003,$B329,采购单!$F$4:$F$2003,"成本-其他")+SUMIFS(生产安装!$J$4:$J$1203,生产安装!$C$4:$C$1203,$B329,生产安装!$E$4:$E$1203,"成本-其他")+SUMIFS(资金日记账!$K$4:$K$2503,资金日记账!$G$4:$G$2503,$B329,资金日记账!$F$4:$F$2503,"成本-其他")-SUMIFS(资金日记账!$J$4:$J$2503,资金日记账!$G$4:$G$2503,$B329,资金日记账!$F$4:$F$2503,"成本-其他"),2))</f>
        <v/>
      </c>
      <c r="Q329" s="19">
        <f>IF($B329="","",ROUND(SUM($L329:$P329),2))</f>
        <v/>
      </c>
      <c r="R329" s="19">
        <f>IF($B329="","",ROUND($I329-$Q329,2))</f>
        <v/>
      </c>
      <c r="S329" s="33">
        <f>IF($B329="","",IF(ROUND($I329,2)=0,"",ROUND($R329/$I329,4)))</f>
        <v/>
      </c>
      <c r="T329" s="22">
        <f>IF($B329="","",IF($G329="",0,YEAR($G329)*100+MONTH($G329)))</f>
        <v/>
      </c>
      <c r="U329" s="17">
        <f>IF($B329="","",IF(项目台账!$R328="","",项目台账!$R328))</f>
        <v/>
      </c>
    </row>
    <row r="330">
      <c r="A330" s="17">
        <f>IF(项目台账!$B329="","",项目台账!$A329)</f>
        <v/>
      </c>
      <c r="B330" s="17">
        <f>IF(项目台账!$B329="","",项目台账!$B329)</f>
        <v/>
      </c>
      <c r="C330" s="17">
        <f>IF($B330="","",IF(项目台账!$C329="","",项目台账!$C329))</f>
        <v/>
      </c>
      <c r="D330" s="17">
        <f>IF($B330="","",IF(项目台账!$D329="","",项目台账!$D329))</f>
        <v/>
      </c>
      <c r="E330" s="17">
        <f>IF($B330="","",IF(项目台账!$E329="","",项目台账!$E329))</f>
        <v/>
      </c>
      <c r="F330" s="23">
        <f>IF($B330="","",IF(项目台账!$F329="","",项目台账!$F329))</f>
        <v/>
      </c>
      <c r="G330" s="23">
        <f>IF($B330="","",IF(项目台账!$J329="","",项目台账!$J329))</f>
        <v/>
      </c>
      <c r="H330" s="17">
        <f>IF($B330="","",IF(项目台账!$Q329="","",项目台账!$Q329))</f>
        <v/>
      </c>
      <c r="I330" s="19">
        <f>IF($B330="","",项目台账!$M329)</f>
        <v/>
      </c>
      <c r="J330" s="19">
        <f>IF($B330="","",项目台账!$O329)</f>
        <v/>
      </c>
      <c r="K330" s="19">
        <f>IF($B330="","",项目台账!$P329)</f>
        <v/>
      </c>
      <c r="L330" s="19">
        <f>IF($B330="","",ROUND(SUMIFS(采购单!$L$4:$L$2003,采购单!$D$4:$D$2003,$B330,采购单!$F$4:$F$2003,"成本-主材")+SUMIFS(生产安装!$J$4:$J$1203,生产安装!$C$4:$C$1203,$B330,生产安装!$E$4:$E$1203,"成本-主材")+SUMIFS(资金日记账!$K$4:$K$2503,资金日记账!$G$4:$G$2503,$B330,资金日记账!$F$4:$F$2503,"成本-主材")-SUMIFS(资金日记账!$J$4:$J$2503,资金日记账!$G$4:$G$2503,$B330,资金日记账!$F$4:$F$2503,"成本-主材"),2))</f>
        <v/>
      </c>
      <c r="M330" s="19">
        <f>IF($B330="","",ROUND(SUMIFS(采购单!$L$4:$L$2003,采购单!$D$4:$D$2003,$B330,采购单!$F$4:$F$2003,"成本-辅材")+SUMIFS(生产安装!$J$4:$J$1203,生产安装!$C$4:$C$1203,$B330,生产安装!$E$4:$E$1203,"成本-辅材")+SUMIFS(资金日记账!$K$4:$K$2503,资金日记账!$G$4:$G$2503,$B330,资金日记账!$F$4:$F$2503,"成本-辅材")-SUMIFS(资金日记账!$J$4:$J$2503,资金日记账!$G$4:$G$2503,$B330,资金日记账!$F$4:$F$2503,"成本-辅材"),2))</f>
        <v/>
      </c>
      <c r="N330" s="19">
        <f>IF($B330="","",ROUND(SUMIFS(采购单!$L$4:$L$2003,采购单!$D$4:$D$2003,$B330,采购单!$F$4:$F$2003,"成本-人工")+SUMIFS(生产安装!$J$4:$J$1203,生产安装!$C$4:$C$1203,$B330,生产安装!$E$4:$E$1203,"成本-人工")+SUMIFS(资金日记账!$K$4:$K$2503,资金日记账!$G$4:$G$2503,$B330,资金日记账!$F$4:$F$2503,"成本-人工")-SUMIFS(资金日记账!$J$4:$J$2503,资金日记账!$G$4:$G$2503,$B330,资金日记账!$F$4:$F$2503,"成本-人工"),2))</f>
        <v/>
      </c>
      <c r="O330" s="19">
        <f>IF($B330="","",ROUND(SUMIFS(采购单!$L$4:$L$2003,采购单!$D$4:$D$2003,$B330,采购单!$F$4:$F$2003,"成本-车运")+SUMIFS(生产安装!$J$4:$J$1203,生产安装!$C$4:$C$1203,$B330,生产安装!$E$4:$E$1203,"成本-车运")+SUMIFS(资金日记账!$K$4:$K$2503,资金日记账!$G$4:$G$2503,$B330,资金日记账!$F$4:$F$2503,"成本-车运")-SUMIFS(资金日记账!$J$4:$J$2503,资金日记账!$G$4:$G$2503,$B330,资金日记账!$F$4:$F$2503,"成本-车运"),2))</f>
        <v/>
      </c>
      <c r="P330" s="19">
        <f>IF($B330="","",ROUND(SUMIFS(采购单!$L$4:$L$2003,采购单!$D$4:$D$2003,$B330,采购单!$F$4:$F$2003,"成本-其他")+SUMIFS(生产安装!$J$4:$J$1203,生产安装!$C$4:$C$1203,$B330,生产安装!$E$4:$E$1203,"成本-其他")+SUMIFS(资金日记账!$K$4:$K$2503,资金日记账!$G$4:$G$2503,$B330,资金日记账!$F$4:$F$2503,"成本-其他")-SUMIFS(资金日记账!$J$4:$J$2503,资金日记账!$G$4:$G$2503,$B330,资金日记账!$F$4:$F$2503,"成本-其他"),2))</f>
        <v/>
      </c>
      <c r="Q330" s="19">
        <f>IF($B330="","",ROUND(SUM($L330:$P330),2))</f>
        <v/>
      </c>
      <c r="R330" s="19">
        <f>IF($B330="","",ROUND($I330-$Q330,2))</f>
        <v/>
      </c>
      <c r="S330" s="33">
        <f>IF($B330="","",IF(ROUND($I330,2)=0,"",ROUND($R330/$I330,4)))</f>
        <v/>
      </c>
      <c r="T330" s="22">
        <f>IF($B330="","",IF($G330="",0,YEAR($G330)*100+MONTH($G330)))</f>
        <v/>
      </c>
      <c r="U330" s="17">
        <f>IF($B330="","",IF(项目台账!$R329="","",项目台账!$R329))</f>
        <v/>
      </c>
    </row>
    <row r="331">
      <c r="A331" s="17">
        <f>IF(项目台账!$B330="","",项目台账!$A330)</f>
        <v/>
      </c>
      <c r="B331" s="17">
        <f>IF(项目台账!$B330="","",项目台账!$B330)</f>
        <v/>
      </c>
      <c r="C331" s="17">
        <f>IF($B331="","",IF(项目台账!$C330="","",项目台账!$C330))</f>
        <v/>
      </c>
      <c r="D331" s="17">
        <f>IF($B331="","",IF(项目台账!$D330="","",项目台账!$D330))</f>
        <v/>
      </c>
      <c r="E331" s="17">
        <f>IF($B331="","",IF(项目台账!$E330="","",项目台账!$E330))</f>
        <v/>
      </c>
      <c r="F331" s="23">
        <f>IF($B331="","",IF(项目台账!$F330="","",项目台账!$F330))</f>
        <v/>
      </c>
      <c r="G331" s="23">
        <f>IF($B331="","",IF(项目台账!$J330="","",项目台账!$J330))</f>
        <v/>
      </c>
      <c r="H331" s="17">
        <f>IF($B331="","",IF(项目台账!$Q330="","",项目台账!$Q330))</f>
        <v/>
      </c>
      <c r="I331" s="19">
        <f>IF($B331="","",项目台账!$M330)</f>
        <v/>
      </c>
      <c r="J331" s="19">
        <f>IF($B331="","",项目台账!$O330)</f>
        <v/>
      </c>
      <c r="K331" s="19">
        <f>IF($B331="","",项目台账!$P330)</f>
        <v/>
      </c>
      <c r="L331" s="19">
        <f>IF($B331="","",ROUND(SUMIFS(采购单!$L$4:$L$2003,采购单!$D$4:$D$2003,$B331,采购单!$F$4:$F$2003,"成本-主材")+SUMIFS(生产安装!$J$4:$J$1203,生产安装!$C$4:$C$1203,$B331,生产安装!$E$4:$E$1203,"成本-主材")+SUMIFS(资金日记账!$K$4:$K$2503,资金日记账!$G$4:$G$2503,$B331,资金日记账!$F$4:$F$2503,"成本-主材")-SUMIFS(资金日记账!$J$4:$J$2503,资金日记账!$G$4:$G$2503,$B331,资金日记账!$F$4:$F$2503,"成本-主材"),2))</f>
        <v/>
      </c>
      <c r="M331" s="19">
        <f>IF($B331="","",ROUND(SUMIFS(采购单!$L$4:$L$2003,采购单!$D$4:$D$2003,$B331,采购单!$F$4:$F$2003,"成本-辅材")+SUMIFS(生产安装!$J$4:$J$1203,生产安装!$C$4:$C$1203,$B331,生产安装!$E$4:$E$1203,"成本-辅材")+SUMIFS(资金日记账!$K$4:$K$2503,资金日记账!$G$4:$G$2503,$B331,资金日记账!$F$4:$F$2503,"成本-辅材")-SUMIFS(资金日记账!$J$4:$J$2503,资金日记账!$G$4:$G$2503,$B331,资金日记账!$F$4:$F$2503,"成本-辅材"),2))</f>
        <v/>
      </c>
      <c r="N331" s="19">
        <f>IF($B331="","",ROUND(SUMIFS(采购单!$L$4:$L$2003,采购单!$D$4:$D$2003,$B331,采购单!$F$4:$F$2003,"成本-人工")+SUMIFS(生产安装!$J$4:$J$1203,生产安装!$C$4:$C$1203,$B331,生产安装!$E$4:$E$1203,"成本-人工")+SUMIFS(资金日记账!$K$4:$K$2503,资金日记账!$G$4:$G$2503,$B331,资金日记账!$F$4:$F$2503,"成本-人工")-SUMIFS(资金日记账!$J$4:$J$2503,资金日记账!$G$4:$G$2503,$B331,资金日记账!$F$4:$F$2503,"成本-人工"),2))</f>
        <v/>
      </c>
      <c r="O331" s="19">
        <f>IF($B331="","",ROUND(SUMIFS(采购单!$L$4:$L$2003,采购单!$D$4:$D$2003,$B331,采购单!$F$4:$F$2003,"成本-车运")+SUMIFS(生产安装!$J$4:$J$1203,生产安装!$C$4:$C$1203,$B331,生产安装!$E$4:$E$1203,"成本-车运")+SUMIFS(资金日记账!$K$4:$K$2503,资金日记账!$G$4:$G$2503,$B331,资金日记账!$F$4:$F$2503,"成本-车运")-SUMIFS(资金日记账!$J$4:$J$2503,资金日记账!$G$4:$G$2503,$B331,资金日记账!$F$4:$F$2503,"成本-车运"),2))</f>
        <v/>
      </c>
      <c r="P331" s="19">
        <f>IF($B331="","",ROUND(SUMIFS(采购单!$L$4:$L$2003,采购单!$D$4:$D$2003,$B331,采购单!$F$4:$F$2003,"成本-其他")+SUMIFS(生产安装!$J$4:$J$1203,生产安装!$C$4:$C$1203,$B331,生产安装!$E$4:$E$1203,"成本-其他")+SUMIFS(资金日记账!$K$4:$K$2503,资金日记账!$G$4:$G$2503,$B331,资金日记账!$F$4:$F$2503,"成本-其他")-SUMIFS(资金日记账!$J$4:$J$2503,资金日记账!$G$4:$G$2503,$B331,资金日记账!$F$4:$F$2503,"成本-其他"),2))</f>
        <v/>
      </c>
      <c r="Q331" s="19">
        <f>IF($B331="","",ROUND(SUM($L331:$P331),2))</f>
        <v/>
      </c>
      <c r="R331" s="19">
        <f>IF($B331="","",ROUND($I331-$Q331,2))</f>
        <v/>
      </c>
      <c r="S331" s="33">
        <f>IF($B331="","",IF(ROUND($I331,2)=0,"",ROUND($R331/$I331,4)))</f>
        <v/>
      </c>
      <c r="T331" s="22">
        <f>IF($B331="","",IF($G331="",0,YEAR($G331)*100+MONTH($G331)))</f>
        <v/>
      </c>
      <c r="U331" s="17">
        <f>IF($B331="","",IF(项目台账!$R330="","",项目台账!$R330))</f>
        <v/>
      </c>
    </row>
    <row r="332">
      <c r="A332" s="17">
        <f>IF(项目台账!$B331="","",项目台账!$A331)</f>
        <v/>
      </c>
      <c r="B332" s="17">
        <f>IF(项目台账!$B331="","",项目台账!$B331)</f>
        <v/>
      </c>
      <c r="C332" s="17">
        <f>IF($B332="","",IF(项目台账!$C331="","",项目台账!$C331))</f>
        <v/>
      </c>
      <c r="D332" s="17">
        <f>IF($B332="","",IF(项目台账!$D331="","",项目台账!$D331))</f>
        <v/>
      </c>
      <c r="E332" s="17">
        <f>IF($B332="","",IF(项目台账!$E331="","",项目台账!$E331))</f>
        <v/>
      </c>
      <c r="F332" s="23">
        <f>IF($B332="","",IF(项目台账!$F331="","",项目台账!$F331))</f>
        <v/>
      </c>
      <c r="G332" s="23">
        <f>IF($B332="","",IF(项目台账!$J331="","",项目台账!$J331))</f>
        <v/>
      </c>
      <c r="H332" s="17">
        <f>IF($B332="","",IF(项目台账!$Q331="","",项目台账!$Q331))</f>
        <v/>
      </c>
      <c r="I332" s="19">
        <f>IF($B332="","",项目台账!$M331)</f>
        <v/>
      </c>
      <c r="J332" s="19">
        <f>IF($B332="","",项目台账!$O331)</f>
        <v/>
      </c>
      <c r="K332" s="19">
        <f>IF($B332="","",项目台账!$P331)</f>
        <v/>
      </c>
      <c r="L332" s="19">
        <f>IF($B332="","",ROUND(SUMIFS(采购单!$L$4:$L$2003,采购单!$D$4:$D$2003,$B332,采购单!$F$4:$F$2003,"成本-主材")+SUMIFS(生产安装!$J$4:$J$1203,生产安装!$C$4:$C$1203,$B332,生产安装!$E$4:$E$1203,"成本-主材")+SUMIFS(资金日记账!$K$4:$K$2503,资金日记账!$G$4:$G$2503,$B332,资金日记账!$F$4:$F$2503,"成本-主材")-SUMIFS(资金日记账!$J$4:$J$2503,资金日记账!$G$4:$G$2503,$B332,资金日记账!$F$4:$F$2503,"成本-主材"),2))</f>
        <v/>
      </c>
      <c r="M332" s="19">
        <f>IF($B332="","",ROUND(SUMIFS(采购单!$L$4:$L$2003,采购单!$D$4:$D$2003,$B332,采购单!$F$4:$F$2003,"成本-辅材")+SUMIFS(生产安装!$J$4:$J$1203,生产安装!$C$4:$C$1203,$B332,生产安装!$E$4:$E$1203,"成本-辅材")+SUMIFS(资金日记账!$K$4:$K$2503,资金日记账!$G$4:$G$2503,$B332,资金日记账!$F$4:$F$2503,"成本-辅材")-SUMIFS(资金日记账!$J$4:$J$2503,资金日记账!$G$4:$G$2503,$B332,资金日记账!$F$4:$F$2503,"成本-辅材"),2))</f>
        <v/>
      </c>
      <c r="N332" s="19">
        <f>IF($B332="","",ROUND(SUMIFS(采购单!$L$4:$L$2003,采购单!$D$4:$D$2003,$B332,采购单!$F$4:$F$2003,"成本-人工")+SUMIFS(生产安装!$J$4:$J$1203,生产安装!$C$4:$C$1203,$B332,生产安装!$E$4:$E$1203,"成本-人工")+SUMIFS(资金日记账!$K$4:$K$2503,资金日记账!$G$4:$G$2503,$B332,资金日记账!$F$4:$F$2503,"成本-人工")-SUMIFS(资金日记账!$J$4:$J$2503,资金日记账!$G$4:$G$2503,$B332,资金日记账!$F$4:$F$2503,"成本-人工"),2))</f>
        <v/>
      </c>
      <c r="O332" s="19">
        <f>IF($B332="","",ROUND(SUMIFS(采购单!$L$4:$L$2003,采购单!$D$4:$D$2003,$B332,采购单!$F$4:$F$2003,"成本-车运")+SUMIFS(生产安装!$J$4:$J$1203,生产安装!$C$4:$C$1203,$B332,生产安装!$E$4:$E$1203,"成本-车运")+SUMIFS(资金日记账!$K$4:$K$2503,资金日记账!$G$4:$G$2503,$B332,资金日记账!$F$4:$F$2503,"成本-车运")-SUMIFS(资金日记账!$J$4:$J$2503,资金日记账!$G$4:$G$2503,$B332,资金日记账!$F$4:$F$2503,"成本-车运"),2))</f>
        <v/>
      </c>
      <c r="P332" s="19">
        <f>IF($B332="","",ROUND(SUMIFS(采购单!$L$4:$L$2003,采购单!$D$4:$D$2003,$B332,采购单!$F$4:$F$2003,"成本-其他")+SUMIFS(生产安装!$J$4:$J$1203,生产安装!$C$4:$C$1203,$B332,生产安装!$E$4:$E$1203,"成本-其他")+SUMIFS(资金日记账!$K$4:$K$2503,资金日记账!$G$4:$G$2503,$B332,资金日记账!$F$4:$F$2503,"成本-其他")-SUMIFS(资金日记账!$J$4:$J$2503,资金日记账!$G$4:$G$2503,$B332,资金日记账!$F$4:$F$2503,"成本-其他"),2))</f>
        <v/>
      </c>
      <c r="Q332" s="19">
        <f>IF($B332="","",ROUND(SUM($L332:$P332),2))</f>
        <v/>
      </c>
      <c r="R332" s="19">
        <f>IF($B332="","",ROUND($I332-$Q332,2))</f>
        <v/>
      </c>
      <c r="S332" s="33">
        <f>IF($B332="","",IF(ROUND($I332,2)=0,"",ROUND($R332/$I332,4)))</f>
        <v/>
      </c>
      <c r="T332" s="22">
        <f>IF($B332="","",IF($G332="",0,YEAR($G332)*100+MONTH($G332)))</f>
        <v/>
      </c>
      <c r="U332" s="17">
        <f>IF($B332="","",IF(项目台账!$R331="","",项目台账!$R331))</f>
        <v/>
      </c>
    </row>
    <row r="333">
      <c r="A333" s="17">
        <f>IF(项目台账!$B332="","",项目台账!$A332)</f>
        <v/>
      </c>
      <c r="B333" s="17">
        <f>IF(项目台账!$B332="","",项目台账!$B332)</f>
        <v/>
      </c>
      <c r="C333" s="17">
        <f>IF($B333="","",IF(项目台账!$C332="","",项目台账!$C332))</f>
        <v/>
      </c>
      <c r="D333" s="17">
        <f>IF($B333="","",IF(项目台账!$D332="","",项目台账!$D332))</f>
        <v/>
      </c>
      <c r="E333" s="17">
        <f>IF($B333="","",IF(项目台账!$E332="","",项目台账!$E332))</f>
        <v/>
      </c>
      <c r="F333" s="23">
        <f>IF($B333="","",IF(项目台账!$F332="","",项目台账!$F332))</f>
        <v/>
      </c>
      <c r="G333" s="23">
        <f>IF($B333="","",IF(项目台账!$J332="","",项目台账!$J332))</f>
        <v/>
      </c>
      <c r="H333" s="17">
        <f>IF($B333="","",IF(项目台账!$Q332="","",项目台账!$Q332))</f>
        <v/>
      </c>
      <c r="I333" s="19">
        <f>IF($B333="","",项目台账!$M332)</f>
        <v/>
      </c>
      <c r="J333" s="19">
        <f>IF($B333="","",项目台账!$O332)</f>
        <v/>
      </c>
      <c r="K333" s="19">
        <f>IF($B333="","",项目台账!$P332)</f>
        <v/>
      </c>
      <c r="L333" s="19">
        <f>IF($B333="","",ROUND(SUMIFS(采购单!$L$4:$L$2003,采购单!$D$4:$D$2003,$B333,采购单!$F$4:$F$2003,"成本-主材")+SUMIFS(生产安装!$J$4:$J$1203,生产安装!$C$4:$C$1203,$B333,生产安装!$E$4:$E$1203,"成本-主材")+SUMIFS(资金日记账!$K$4:$K$2503,资金日记账!$G$4:$G$2503,$B333,资金日记账!$F$4:$F$2503,"成本-主材")-SUMIFS(资金日记账!$J$4:$J$2503,资金日记账!$G$4:$G$2503,$B333,资金日记账!$F$4:$F$2503,"成本-主材"),2))</f>
        <v/>
      </c>
      <c r="M333" s="19">
        <f>IF($B333="","",ROUND(SUMIFS(采购单!$L$4:$L$2003,采购单!$D$4:$D$2003,$B333,采购单!$F$4:$F$2003,"成本-辅材")+SUMIFS(生产安装!$J$4:$J$1203,生产安装!$C$4:$C$1203,$B333,生产安装!$E$4:$E$1203,"成本-辅材")+SUMIFS(资金日记账!$K$4:$K$2503,资金日记账!$G$4:$G$2503,$B333,资金日记账!$F$4:$F$2503,"成本-辅材")-SUMIFS(资金日记账!$J$4:$J$2503,资金日记账!$G$4:$G$2503,$B333,资金日记账!$F$4:$F$2503,"成本-辅材"),2))</f>
        <v/>
      </c>
      <c r="N333" s="19">
        <f>IF($B333="","",ROUND(SUMIFS(采购单!$L$4:$L$2003,采购单!$D$4:$D$2003,$B333,采购单!$F$4:$F$2003,"成本-人工")+SUMIFS(生产安装!$J$4:$J$1203,生产安装!$C$4:$C$1203,$B333,生产安装!$E$4:$E$1203,"成本-人工")+SUMIFS(资金日记账!$K$4:$K$2503,资金日记账!$G$4:$G$2503,$B333,资金日记账!$F$4:$F$2503,"成本-人工")-SUMIFS(资金日记账!$J$4:$J$2503,资金日记账!$G$4:$G$2503,$B333,资金日记账!$F$4:$F$2503,"成本-人工"),2))</f>
        <v/>
      </c>
      <c r="O333" s="19">
        <f>IF($B333="","",ROUND(SUMIFS(采购单!$L$4:$L$2003,采购单!$D$4:$D$2003,$B333,采购单!$F$4:$F$2003,"成本-车运")+SUMIFS(生产安装!$J$4:$J$1203,生产安装!$C$4:$C$1203,$B333,生产安装!$E$4:$E$1203,"成本-车运")+SUMIFS(资金日记账!$K$4:$K$2503,资金日记账!$G$4:$G$2503,$B333,资金日记账!$F$4:$F$2503,"成本-车运")-SUMIFS(资金日记账!$J$4:$J$2503,资金日记账!$G$4:$G$2503,$B333,资金日记账!$F$4:$F$2503,"成本-车运"),2))</f>
        <v/>
      </c>
      <c r="P333" s="19">
        <f>IF($B333="","",ROUND(SUMIFS(采购单!$L$4:$L$2003,采购单!$D$4:$D$2003,$B333,采购单!$F$4:$F$2003,"成本-其他")+SUMIFS(生产安装!$J$4:$J$1203,生产安装!$C$4:$C$1203,$B333,生产安装!$E$4:$E$1203,"成本-其他")+SUMIFS(资金日记账!$K$4:$K$2503,资金日记账!$G$4:$G$2503,$B333,资金日记账!$F$4:$F$2503,"成本-其他")-SUMIFS(资金日记账!$J$4:$J$2503,资金日记账!$G$4:$G$2503,$B333,资金日记账!$F$4:$F$2503,"成本-其他"),2))</f>
        <v/>
      </c>
      <c r="Q333" s="19">
        <f>IF($B333="","",ROUND(SUM($L333:$P333),2))</f>
        <v/>
      </c>
      <c r="R333" s="19">
        <f>IF($B333="","",ROUND($I333-$Q333,2))</f>
        <v/>
      </c>
      <c r="S333" s="33">
        <f>IF($B333="","",IF(ROUND($I333,2)=0,"",ROUND($R333/$I333,4)))</f>
        <v/>
      </c>
      <c r="T333" s="22">
        <f>IF($B333="","",IF($G333="",0,YEAR($G333)*100+MONTH($G333)))</f>
        <v/>
      </c>
      <c r="U333" s="17">
        <f>IF($B333="","",IF(项目台账!$R332="","",项目台账!$R332))</f>
        <v/>
      </c>
    </row>
    <row r="334">
      <c r="A334" s="17">
        <f>IF(项目台账!$B333="","",项目台账!$A333)</f>
        <v/>
      </c>
      <c r="B334" s="17">
        <f>IF(项目台账!$B333="","",项目台账!$B333)</f>
        <v/>
      </c>
      <c r="C334" s="17">
        <f>IF($B334="","",IF(项目台账!$C333="","",项目台账!$C333))</f>
        <v/>
      </c>
      <c r="D334" s="17">
        <f>IF($B334="","",IF(项目台账!$D333="","",项目台账!$D333))</f>
        <v/>
      </c>
      <c r="E334" s="17">
        <f>IF($B334="","",IF(项目台账!$E333="","",项目台账!$E333))</f>
        <v/>
      </c>
      <c r="F334" s="23">
        <f>IF($B334="","",IF(项目台账!$F333="","",项目台账!$F333))</f>
        <v/>
      </c>
      <c r="G334" s="23">
        <f>IF($B334="","",IF(项目台账!$J333="","",项目台账!$J333))</f>
        <v/>
      </c>
      <c r="H334" s="17">
        <f>IF($B334="","",IF(项目台账!$Q333="","",项目台账!$Q333))</f>
        <v/>
      </c>
      <c r="I334" s="19">
        <f>IF($B334="","",项目台账!$M333)</f>
        <v/>
      </c>
      <c r="J334" s="19">
        <f>IF($B334="","",项目台账!$O333)</f>
        <v/>
      </c>
      <c r="K334" s="19">
        <f>IF($B334="","",项目台账!$P333)</f>
        <v/>
      </c>
      <c r="L334" s="19">
        <f>IF($B334="","",ROUND(SUMIFS(采购单!$L$4:$L$2003,采购单!$D$4:$D$2003,$B334,采购单!$F$4:$F$2003,"成本-主材")+SUMIFS(生产安装!$J$4:$J$1203,生产安装!$C$4:$C$1203,$B334,生产安装!$E$4:$E$1203,"成本-主材")+SUMIFS(资金日记账!$K$4:$K$2503,资金日记账!$G$4:$G$2503,$B334,资金日记账!$F$4:$F$2503,"成本-主材")-SUMIFS(资金日记账!$J$4:$J$2503,资金日记账!$G$4:$G$2503,$B334,资金日记账!$F$4:$F$2503,"成本-主材"),2))</f>
        <v/>
      </c>
      <c r="M334" s="19">
        <f>IF($B334="","",ROUND(SUMIFS(采购单!$L$4:$L$2003,采购单!$D$4:$D$2003,$B334,采购单!$F$4:$F$2003,"成本-辅材")+SUMIFS(生产安装!$J$4:$J$1203,生产安装!$C$4:$C$1203,$B334,生产安装!$E$4:$E$1203,"成本-辅材")+SUMIFS(资金日记账!$K$4:$K$2503,资金日记账!$G$4:$G$2503,$B334,资金日记账!$F$4:$F$2503,"成本-辅材")-SUMIFS(资金日记账!$J$4:$J$2503,资金日记账!$G$4:$G$2503,$B334,资金日记账!$F$4:$F$2503,"成本-辅材"),2))</f>
        <v/>
      </c>
      <c r="N334" s="19">
        <f>IF($B334="","",ROUND(SUMIFS(采购单!$L$4:$L$2003,采购单!$D$4:$D$2003,$B334,采购单!$F$4:$F$2003,"成本-人工")+SUMIFS(生产安装!$J$4:$J$1203,生产安装!$C$4:$C$1203,$B334,生产安装!$E$4:$E$1203,"成本-人工")+SUMIFS(资金日记账!$K$4:$K$2503,资金日记账!$G$4:$G$2503,$B334,资金日记账!$F$4:$F$2503,"成本-人工")-SUMIFS(资金日记账!$J$4:$J$2503,资金日记账!$G$4:$G$2503,$B334,资金日记账!$F$4:$F$2503,"成本-人工"),2))</f>
        <v/>
      </c>
      <c r="O334" s="19">
        <f>IF($B334="","",ROUND(SUMIFS(采购单!$L$4:$L$2003,采购单!$D$4:$D$2003,$B334,采购单!$F$4:$F$2003,"成本-车运")+SUMIFS(生产安装!$J$4:$J$1203,生产安装!$C$4:$C$1203,$B334,生产安装!$E$4:$E$1203,"成本-车运")+SUMIFS(资金日记账!$K$4:$K$2503,资金日记账!$G$4:$G$2503,$B334,资金日记账!$F$4:$F$2503,"成本-车运")-SUMIFS(资金日记账!$J$4:$J$2503,资金日记账!$G$4:$G$2503,$B334,资金日记账!$F$4:$F$2503,"成本-车运"),2))</f>
        <v/>
      </c>
      <c r="P334" s="19">
        <f>IF($B334="","",ROUND(SUMIFS(采购单!$L$4:$L$2003,采购单!$D$4:$D$2003,$B334,采购单!$F$4:$F$2003,"成本-其他")+SUMIFS(生产安装!$J$4:$J$1203,生产安装!$C$4:$C$1203,$B334,生产安装!$E$4:$E$1203,"成本-其他")+SUMIFS(资金日记账!$K$4:$K$2503,资金日记账!$G$4:$G$2503,$B334,资金日记账!$F$4:$F$2503,"成本-其他")-SUMIFS(资金日记账!$J$4:$J$2503,资金日记账!$G$4:$G$2503,$B334,资金日记账!$F$4:$F$2503,"成本-其他"),2))</f>
        <v/>
      </c>
      <c r="Q334" s="19">
        <f>IF($B334="","",ROUND(SUM($L334:$P334),2))</f>
        <v/>
      </c>
      <c r="R334" s="19">
        <f>IF($B334="","",ROUND($I334-$Q334,2))</f>
        <v/>
      </c>
      <c r="S334" s="33">
        <f>IF($B334="","",IF(ROUND($I334,2)=0,"",ROUND($R334/$I334,4)))</f>
        <v/>
      </c>
      <c r="T334" s="22">
        <f>IF($B334="","",IF($G334="",0,YEAR($G334)*100+MONTH($G334)))</f>
        <v/>
      </c>
      <c r="U334" s="17">
        <f>IF($B334="","",IF(项目台账!$R333="","",项目台账!$R333))</f>
        <v/>
      </c>
    </row>
    <row r="335">
      <c r="A335" s="17">
        <f>IF(项目台账!$B334="","",项目台账!$A334)</f>
        <v/>
      </c>
      <c r="B335" s="17">
        <f>IF(项目台账!$B334="","",项目台账!$B334)</f>
        <v/>
      </c>
      <c r="C335" s="17">
        <f>IF($B335="","",IF(项目台账!$C334="","",项目台账!$C334))</f>
        <v/>
      </c>
      <c r="D335" s="17">
        <f>IF($B335="","",IF(项目台账!$D334="","",项目台账!$D334))</f>
        <v/>
      </c>
      <c r="E335" s="17">
        <f>IF($B335="","",IF(项目台账!$E334="","",项目台账!$E334))</f>
        <v/>
      </c>
      <c r="F335" s="23">
        <f>IF($B335="","",IF(项目台账!$F334="","",项目台账!$F334))</f>
        <v/>
      </c>
      <c r="G335" s="23">
        <f>IF($B335="","",IF(项目台账!$J334="","",项目台账!$J334))</f>
        <v/>
      </c>
      <c r="H335" s="17">
        <f>IF($B335="","",IF(项目台账!$Q334="","",项目台账!$Q334))</f>
        <v/>
      </c>
      <c r="I335" s="19">
        <f>IF($B335="","",项目台账!$M334)</f>
        <v/>
      </c>
      <c r="J335" s="19">
        <f>IF($B335="","",项目台账!$O334)</f>
        <v/>
      </c>
      <c r="K335" s="19">
        <f>IF($B335="","",项目台账!$P334)</f>
        <v/>
      </c>
      <c r="L335" s="19">
        <f>IF($B335="","",ROUND(SUMIFS(采购单!$L$4:$L$2003,采购单!$D$4:$D$2003,$B335,采购单!$F$4:$F$2003,"成本-主材")+SUMIFS(生产安装!$J$4:$J$1203,生产安装!$C$4:$C$1203,$B335,生产安装!$E$4:$E$1203,"成本-主材")+SUMIFS(资金日记账!$K$4:$K$2503,资金日记账!$G$4:$G$2503,$B335,资金日记账!$F$4:$F$2503,"成本-主材")-SUMIFS(资金日记账!$J$4:$J$2503,资金日记账!$G$4:$G$2503,$B335,资金日记账!$F$4:$F$2503,"成本-主材"),2))</f>
        <v/>
      </c>
      <c r="M335" s="19">
        <f>IF($B335="","",ROUND(SUMIFS(采购单!$L$4:$L$2003,采购单!$D$4:$D$2003,$B335,采购单!$F$4:$F$2003,"成本-辅材")+SUMIFS(生产安装!$J$4:$J$1203,生产安装!$C$4:$C$1203,$B335,生产安装!$E$4:$E$1203,"成本-辅材")+SUMIFS(资金日记账!$K$4:$K$2503,资金日记账!$G$4:$G$2503,$B335,资金日记账!$F$4:$F$2503,"成本-辅材")-SUMIFS(资金日记账!$J$4:$J$2503,资金日记账!$G$4:$G$2503,$B335,资金日记账!$F$4:$F$2503,"成本-辅材"),2))</f>
        <v/>
      </c>
      <c r="N335" s="19">
        <f>IF($B335="","",ROUND(SUMIFS(采购单!$L$4:$L$2003,采购单!$D$4:$D$2003,$B335,采购单!$F$4:$F$2003,"成本-人工")+SUMIFS(生产安装!$J$4:$J$1203,生产安装!$C$4:$C$1203,$B335,生产安装!$E$4:$E$1203,"成本-人工")+SUMIFS(资金日记账!$K$4:$K$2503,资金日记账!$G$4:$G$2503,$B335,资金日记账!$F$4:$F$2503,"成本-人工")-SUMIFS(资金日记账!$J$4:$J$2503,资金日记账!$G$4:$G$2503,$B335,资金日记账!$F$4:$F$2503,"成本-人工"),2))</f>
        <v/>
      </c>
      <c r="O335" s="19">
        <f>IF($B335="","",ROUND(SUMIFS(采购单!$L$4:$L$2003,采购单!$D$4:$D$2003,$B335,采购单!$F$4:$F$2003,"成本-车运")+SUMIFS(生产安装!$J$4:$J$1203,生产安装!$C$4:$C$1203,$B335,生产安装!$E$4:$E$1203,"成本-车运")+SUMIFS(资金日记账!$K$4:$K$2503,资金日记账!$G$4:$G$2503,$B335,资金日记账!$F$4:$F$2503,"成本-车运")-SUMIFS(资金日记账!$J$4:$J$2503,资金日记账!$G$4:$G$2503,$B335,资金日记账!$F$4:$F$2503,"成本-车运"),2))</f>
        <v/>
      </c>
      <c r="P335" s="19">
        <f>IF($B335="","",ROUND(SUMIFS(采购单!$L$4:$L$2003,采购单!$D$4:$D$2003,$B335,采购单!$F$4:$F$2003,"成本-其他")+SUMIFS(生产安装!$J$4:$J$1203,生产安装!$C$4:$C$1203,$B335,生产安装!$E$4:$E$1203,"成本-其他")+SUMIFS(资金日记账!$K$4:$K$2503,资金日记账!$G$4:$G$2503,$B335,资金日记账!$F$4:$F$2503,"成本-其他")-SUMIFS(资金日记账!$J$4:$J$2503,资金日记账!$G$4:$G$2503,$B335,资金日记账!$F$4:$F$2503,"成本-其他"),2))</f>
        <v/>
      </c>
      <c r="Q335" s="19">
        <f>IF($B335="","",ROUND(SUM($L335:$P335),2))</f>
        <v/>
      </c>
      <c r="R335" s="19">
        <f>IF($B335="","",ROUND($I335-$Q335,2))</f>
        <v/>
      </c>
      <c r="S335" s="33">
        <f>IF($B335="","",IF(ROUND($I335,2)=0,"",ROUND($R335/$I335,4)))</f>
        <v/>
      </c>
      <c r="T335" s="22">
        <f>IF($B335="","",IF($G335="",0,YEAR($G335)*100+MONTH($G335)))</f>
        <v/>
      </c>
      <c r="U335" s="17">
        <f>IF($B335="","",IF(项目台账!$R334="","",项目台账!$R334))</f>
        <v/>
      </c>
    </row>
    <row r="336">
      <c r="A336" s="17">
        <f>IF(项目台账!$B335="","",项目台账!$A335)</f>
        <v/>
      </c>
      <c r="B336" s="17">
        <f>IF(项目台账!$B335="","",项目台账!$B335)</f>
        <v/>
      </c>
      <c r="C336" s="17">
        <f>IF($B336="","",IF(项目台账!$C335="","",项目台账!$C335))</f>
        <v/>
      </c>
      <c r="D336" s="17">
        <f>IF($B336="","",IF(项目台账!$D335="","",项目台账!$D335))</f>
        <v/>
      </c>
      <c r="E336" s="17">
        <f>IF($B336="","",IF(项目台账!$E335="","",项目台账!$E335))</f>
        <v/>
      </c>
      <c r="F336" s="23">
        <f>IF($B336="","",IF(项目台账!$F335="","",项目台账!$F335))</f>
        <v/>
      </c>
      <c r="G336" s="23">
        <f>IF($B336="","",IF(项目台账!$J335="","",项目台账!$J335))</f>
        <v/>
      </c>
      <c r="H336" s="17">
        <f>IF($B336="","",IF(项目台账!$Q335="","",项目台账!$Q335))</f>
        <v/>
      </c>
      <c r="I336" s="19">
        <f>IF($B336="","",项目台账!$M335)</f>
        <v/>
      </c>
      <c r="J336" s="19">
        <f>IF($B336="","",项目台账!$O335)</f>
        <v/>
      </c>
      <c r="K336" s="19">
        <f>IF($B336="","",项目台账!$P335)</f>
        <v/>
      </c>
      <c r="L336" s="19">
        <f>IF($B336="","",ROUND(SUMIFS(采购单!$L$4:$L$2003,采购单!$D$4:$D$2003,$B336,采购单!$F$4:$F$2003,"成本-主材")+SUMIFS(生产安装!$J$4:$J$1203,生产安装!$C$4:$C$1203,$B336,生产安装!$E$4:$E$1203,"成本-主材")+SUMIFS(资金日记账!$K$4:$K$2503,资金日记账!$G$4:$G$2503,$B336,资金日记账!$F$4:$F$2503,"成本-主材")-SUMIFS(资金日记账!$J$4:$J$2503,资金日记账!$G$4:$G$2503,$B336,资金日记账!$F$4:$F$2503,"成本-主材"),2))</f>
        <v/>
      </c>
      <c r="M336" s="19">
        <f>IF($B336="","",ROUND(SUMIFS(采购单!$L$4:$L$2003,采购单!$D$4:$D$2003,$B336,采购单!$F$4:$F$2003,"成本-辅材")+SUMIFS(生产安装!$J$4:$J$1203,生产安装!$C$4:$C$1203,$B336,生产安装!$E$4:$E$1203,"成本-辅材")+SUMIFS(资金日记账!$K$4:$K$2503,资金日记账!$G$4:$G$2503,$B336,资金日记账!$F$4:$F$2503,"成本-辅材")-SUMIFS(资金日记账!$J$4:$J$2503,资金日记账!$G$4:$G$2503,$B336,资金日记账!$F$4:$F$2503,"成本-辅材"),2))</f>
        <v/>
      </c>
      <c r="N336" s="19">
        <f>IF($B336="","",ROUND(SUMIFS(采购单!$L$4:$L$2003,采购单!$D$4:$D$2003,$B336,采购单!$F$4:$F$2003,"成本-人工")+SUMIFS(生产安装!$J$4:$J$1203,生产安装!$C$4:$C$1203,$B336,生产安装!$E$4:$E$1203,"成本-人工")+SUMIFS(资金日记账!$K$4:$K$2503,资金日记账!$G$4:$G$2503,$B336,资金日记账!$F$4:$F$2503,"成本-人工")-SUMIFS(资金日记账!$J$4:$J$2503,资金日记账!$G$4:$G$2503,$B336,资金日记账!$F$4:$F$2503,"成本-人工"),2))</f>
        <v/>
      </c>
      <c r="O336" s="19">
        <f>IF($B336="","",ROUND(SUMIFS(采购单!$L$4:$L$2003,采购单!$D$4:$D$2003,$B336,采购单!$F$4:$F$2003,"成本-车运")+SUMIFS(生产安装!$J$4:$J$1203,生产安装!$C$4:$C$1203,$B336,生产安装!$E$4:$E$1203,"成本-车运")+SUMIFS(资金日记账!$K$4:$K$2503,资金日记账!$G$4:$G$2503,$B336,资金日记账!$F$4:$F$2503,"成本-车运")-SUMIFS(资金日记账!$J$4:$J$2503,资金日记账!$G$4:$G$2503,$B336,资金日记账!$F$4:$F$2503,"成本-车运"),2))</f>
        <v/>
      </c>
      <c r="P336" s="19">
        <f>IF($B336="","",ROUND(SUMIFS(采购单!$L$4:$L$2003,采购单!$D$4:$D$2003,$B336,采购单!$F$4:$F$2003,"成本-其他")+SUMIFS(生产安装!$J$4:$J$1203,生产安装!$C$4:$C$1203,$B336,生产安装!$E$4:$E$1203,"成本-其他")+SUMIFS(资金日记账!$K$4:$K$2503,资金日记账!$G$4:$G$2503,$B336,资金日记账!$F$4:$F$2503,"成本-其他")-SUMIFS(资金日记账!$J$4:$J$2503,资金日记账!$G$4:$G$2503,$B336,资金日记账!$F$4:$F$2503,"成本-其他"),2))</f>
        <v/>
      </c>
      <c r="Q336" s="19">
        <f>IF($B336="","",ROUND(SUM($L336:$P336),2))</f>
        <v/>
      </c>
      <c r="R336" s="19">
        <f>IF($B336="","",ROUND($I336-$Q336,2))</f>
        <v/>
      </c>
      <c r="S336" s="33">
        <f>IF($B336="","",IF(ROUND($I336,2)=0,"",ROUND($R336/$I336,4)))</f>
        <v/>
      </c>
      <c r="T336" s="22">
        <f>IF($B336="","",IF($G336="",0,YEAR($G336)*100+MONTH($G336)))</f>
        <v/>
      </c>
      <c r="U336" s="17">
        <f>IF($B336="","",IF(项目台账!$R335="","",项目台账!$R335))</f>
        <v/>
      </c>
    </row>
    <row r="337">
      <c r="A337" s="17">
        <f>IF(项目台账!$B336="","",项目台账!$A336)</f>
        <v/>
      </c>
      <c r="B337" s="17">
        <f>IF(项目台账!$B336="","",项目台账!$B336)</f>
        <v/>
      </c>
      <c r="C337" s="17">
        <f>IF($B337="","",IF(项目台账!$C336="","",项目台账!$C336))</f>
        <v/>
      </c>
      <c r="D337" s="17">
        <f>IF($B337="","",IF(项目台账!$D336="","",项目台账!$D336))</f>
        <v/>
      </c>
      <c r="E337" s="17">
        <f>IF($B337="","",IF(项目台账!$E336="","",项目台账!$E336))</f>
        <v/>
      </c>
      <c r="F337" s="23">
        <f>IF($B337="","",IF(项目台账!$F336="","",项目台账!$F336))</f>
        <v/>
      </c>
      <c r="G337" s="23">
        <f>IF($B337="","",IF(项目台账!$J336="","",项目台账!$J336))</f>
        <v/>
      </c>
      <c r="H337" s="17">
        <f>IF($B337="","",IF(项目台账!$Q336="","",项目台账!$Q336))</f>
        <v/>
      </c>
      <c r="I337" s="19">
        <f>IF($B337="","",项目台账!$M336)</f>
        <v/>
      </c>
      <c r="J337" s="19">
        <f>IF($B337="","",项目台账!$O336)</f>
        <v/>
      </c>
      <c r="K337" s="19">
        <f>IF($B337="","",项目台账!$P336)</f>
        <v/>
      </c>
      <c r="L337" s="19">
        <f>IF($B337="","",ROUND(SUMIFS(采购单!$L$4:$L$2003,采购单!$D$4:$D$2003,$B337,采购单!$F$4:$F$2003,"成本-主材")+SUMIFS(生产安装!$J$4:$J$1203,生产安装!$C$4:$C$1203,$B337,生产安装!$E$4:$E$1203,"成本-主材")+SUMIFS(资金日记账!$K$4:$K$2503,资金日记账!$G$4:$G$2503,$B337,资金日记账!$F$4:$F$2503,"成本-主材")-SUMIFS(资金日记账!$J$4:$J$2503,资金日记账!$G$4:$G$2503,$B337,资金日记账!$F$4:$F$2503,"成本-主材"),2))</f>
        <v/>
      </c>
      <c r="M337" s="19">
        <f>IF($B337="","",ROUND(SUMIFS(采购单!$L$4:$L$2003,采购单!$D$4:$D$2003,$B337,采购单!$F$4:$F$2003,"成本-辅材")+SUMIFS(生产安装!$J$4:$J$1203,生产安装!$C$4:$C$1203,$B337,生产安装!$E$4:$E$1203,"成本-辅材")+SUMIFS(资金日记账!$K$4:$K$2503,资金日记账!$G$4:$G$2503,$B337,资金日记账!$F$4:$F$2503,"成本-辅材")-SUMIFS(资金日记账!$J$4:$J$2503,资金日记账!$G$4:$G$2503,$B337,资金日记账!$F$4:$F$2503,"成本-辅材"),2))</f>
        <v/>
      </c>
      <c r="N337" s="19">
        <f>IF($B337="","",ROUND(SUMIFS(采购单!$L$4:$L$2003,采购单!$D$4:$D$2003,$B337,采购单!$F$4:$F$2003,"成本-人工")+SUMIFS(生产安装!$J$4:$J$1203,生产安装!$C$4:$C$1203,$B337,生产安装!$E$4:$E$1203,"成本-人工")+SUMIFS(资金日记账!$K$4:$K$2503,资金日记账!$G$4:$G$2503,$B337,资金日记账!$F$4:$F$2503,"成本-人工")-SUMIFS(资金日记账!$J$4:$J$2503,资金日记账!$G$4:$G$2503,$B337,资金日记账!$F$4:$F$2503,"成本-人工"),2))</f>
        <v/>
      </c>
      <c r="O337" s="19">
        <f>IF($B337="","",ROUND(SUMIFS(采购单!$L$4:$L$2003,采购单!$D$4:$D$2003,$B337,采购单!$F$4:$F$2003,"成本-车运")+SUMIFS(生产安装!$J$4:$J$1203,生产安装!$C$4:$C$1203,$B337,生产安装!$E$4:$E$1203,"成本-车运")+SUMIFS(资金日记账!$K$4:$K$2503,资金日记账!$G$4:$G$2503,$B337,资金日记账!$F$4:$F$2503,"成本-车运")-SUMIFS(资金日记账!$J$4:$J$2503,资金日记账!$G$4:$G$2503,$B337,资金日记账!$F$4:$F$2503,"成本-车运"),2))</f>
        <v/>
      </c>
      <c r="P337" s="19">
        <f>IF($B337="","",ROUND(SUMIFS(采购单!$L$4:$L$2003,采购单!$D$4:$D$2003,$B337,采购单!$F$4:$F$2003,"成本-其他")+SUMIFS(生产安装!$J$4:$J$1203,生产安装!$C$4:$C$1203,$B337,生产安装!$E$4:$E$1203,"成本-其他")+SUMIFS(资金日记账!$K$4:$K$2503,资金日记账!$G$4:$G$2503,$B337,资金日记账!$F$4:$F$2503,"成本-其他")-SUMIFS(资金日记账!$J$4:$J$2503,资金日记账!$G$4:$G$2503,$B337,资金日记账!$F$4:$F$2503,"成本-其他"),2))</f>
        <v/>
      </c>
      <c r="Q337" s="19">
        <f>IF($B337="","",ROUND(SUM($L337:$P337),2))</f>
        <v/>
      </c>
      <c r="R337" s="19">
        <f>IF($B337="","",ROUND($I337-$Q337,2))</f>
        <v/>
      </c>
      <c r="S337" s="33">
        <f>IF($B337="","",IF(ROUND($I337,2)=0,"",ROUND($R337/$I337,4)))</f>
        <v/>
      </c>
      <c r="T337" s="22">
        <f>IF($B337="","",IF($G337="",0,YEAR($G337)*100+MONTH($G337)))</f>
        <v/>
      </c>
      <c r="U337" s="17">
        <f>IF($B337="","",IF(项目台账!$R336="","",项目台账!$R336))</f>
        <v/>
      </c>
    </row>
    <row r="338">
      <c r="A338" s="17">
        <f>IF(项目台账!$B337="","",项目台账!$A337)</f>
        <v/>
      </c>
      <c r="B338" s="17">
        <f>IF(项目台账!$B337="","",项目台账!$B337)</f>
        <v/>
      </c>
      <c r="C338" s="17">
        <f>IF($B338="","",IF(项目台账!$C337="","",项目台账!$C337))</f>
        <v/>
      </c>
      <c r="D338" s="17">
        <f>IF($B338="","",IF(项目台账!$D337="","",项目台账!$D337))</f>
        <v/>
      </c>
      <c r="E338" s="17">
        <f>IF($B338="","",IF(项目台账!$E337="","",项目台账!$E337))</f>
        <v/>
      </c>
      <c r="F338" s="23">
        <f>IF($B338="","",IF(项目台账!$F337="","",项目台账!$F337))</f>
        <v/>
      </c>
      <c r="G338" s="23">
        <f>IF($B338="","",IF(项目台账!$J337="","",项目台账!$J337))</f>
        <v/>
      </c>
      <c r="H338" s="17">
        <f>IF($B338="","",IF(项目台账!$Q337="","",项目台账!$Q337))</f>
        <v/>
      </c>
      <c r="I338" s="19">
        <f>IF($B338="","",项目台账!$M337)</f>
        <v/>
      </c>
      <c r="J338" s="19">
        <f>IF($B338="","",项目台账!$O337)</f>
        <v/>
      </c>
      <c r="K338" s="19">
        <f>IF($B338="","",项目台账!$P337)</f>
        <v/>
      </c>
      <c r="L338" s="19">
        <f>IF($B338="","",ROUND(SUMIFS(采购单!$L$4:$L$2003,采购单!$D$4:$D$2003,$B338,采购单!$F$4:$F$2003,"成本-主材")+SUMIFS(生产安装!$J$4:$J$1203,生产安装!$C$4:$C$1203,$B338,生产安装!$E$4:$E$1203,"成本-主材")+SUMIFS(资金日记账!$K$4:$K$2503,资金日记账!$G$4:$G$2503,$B338,资金日记账!$F$4:$F$2503,"成本-主材")-SUMIFS(资金日记账!$J$4:$J$2503,资金日记账!$G$4:$G$2503,$B338,资金日记账!$F$4:$F$2503,"成本-主材"),2))</f>
        <v/>
      </c>
      <c r="M338" s="19">
        <f>IF($B338="","",ROUND(SUMIFS(采购单!$L$4:$L$2003,采购单!$D$4:$D$2003,$B338,采购单!$F$4:$F$2003,"成本-辅材")+SUMIFS(生产安装!$J$4:$J$1203,生产安装!$C$4:$C$1203,$B338,生产安装!$E$4:$E$1203,"成本-辅材")+SUMIFS(资金日记账!$K$4:$K$2503,资金日记账!$G$4:$G$2503,$B338,资金日记账!$F$4:$F$2503,"成本-辅材")-SUMIFS(资金日记账!$J$4:$J$2503,资金日记账!$G$4:$G$2503,$B338,资金日记账!$F$4:$F$2503,"成本-辅材"),2))</f>
        <v/>
      </c>
      <c r="N338" s="19">
        <f>IF($B338="","",ROUND(SUMIFS(采购单!$L$4:$L$2003,采购单!$D$4:$D$2003,$B338,采购单!$F$4:$F$2003,"成本-人工")+SUMIFS(生产安装!$J$4:$J$1203,生产安装!$C$4:$C$1203,$B338,生产安装!$E$4:$E$1203,"成本-人工")+SUMIFS(资金日记账!$K$4:$K$2503,资金日记账!$G$4:$G$2503,$B338,资金日记账!$F$4:$F$2503,"成本-人工")-SUMIFS(资金日记账!$J$4:$J$2503,资金日记账!$G$4:$G$2503,$B338,资金日记账!$F$4:$F$2503,"成本-人工"),2))</f>
        <v/>
      </c>
      <c r="O338" s="19">
        <f>IF($B338="","",ROUND(SUMIFS(采购单!$L$4:$L$2003,采购单!$D$4:$D$2003,$B338,采购单!$F$4:$F$2003,"成本-车运")+SUMIFS(生产安装!$J$4:$J$1203,生产安装!$C$4:$C$1203,$B338,生产安装!$E$4:$E$1203,"成本-车运")+SUMIFS(资金日记账!$K$4:$K$2503,资金日记账!$G$4:$G$2503,$B338,资金日记账!$F$4:$F$2503,"成本-车运")-SUMIFS(资金日记账!$J$4:$J$2503,资金日记账!$G$4:$G$2503,$B338,资金日记账!$F$4:$F$2503,"成本-车运"),2))</f>
        <v/>
      </c>
      <c r="P338" s="19">
        <f>IF($B338="","",ROUND(SUMIFS(采购单!$L$4:$L$2003,采购单!$D$4:$D$2003,$B338,采购单!$F$4:$F$2003,"成本-其他")+SUMIFS(生产安装!$J$4:$J$1203,生产安装!$C$4:$C$1203,$B338,生产安装!$E$4:$E$1203,"成本-其他")+SUMIFS(资金日记账!$K$4:$K$2503,资金日记账!$G$4:$G$2503,$B338,资金日记账!$F$4:$F$2503,"成本-其他")-SUMIFS(资金日记账!$J$4:$J$2503,资金日记账!$G$4:$G$2503,$B338,资金日记账!$F$4:$F$2503,"成本-其他"),2))</f>
        <v/>
      </c>
      <c r="Q338" s="19">
        <f>IF($B338="","",ROUND(SUM($L338:$P338),2))</f>
        <v/>
      </c>
      <c r="R338" s="19">
        <f>IF($B338="","",ROUND($I338-$Q338,2))</f>
        <v/>
      </c>
      <c r="S338" s="33">
        <f>IF($B338="","",IF(ROUND($I338,2)=0,"",ROUND($R338/$I338,4)))</f>
        <v/>
      </c>
      <c r="T338" s="22">
        <f>IF($B338="","",IF($G338="",0,YEAR($G338)*100+MONTH($G338)))</f>
        <v/>
      </c>
      <c r="U338" s="17">
        <f>IF($B338="","",IF(项目台账!$R337="","",项目台账!$R337))</f>
        <v/>
      </c>
    </row>
    <row r="339">
      <c r="A339" s="17">
        <f>IF(项目台账!$B338="","",项目台账!$A338)</f>
        <v/>
      </c>
      <c r="B339" s="17">
        <f>IF(项目台账!$B338="","",项目台账!$B338)</f>
        <v/>
      </c>
      <c r="C339" s="17">
        <f>IF($B339="","",IF(项目台账!$C338="","",项目台账!$C338))</f>
        <v/>
      </c>
      <c r="D339" s="17">
        <f>IF($B339="","",IF(项目台账!$D338="","",项目台账!$D338))</f>
        <v/>
      </c>
      <c r="E339" s="17">
        <f>IF($B339="","",IF(项目台账!$E338="","",项目台账!$E338))</f>
        <v/>
      </c>
      <c r="F339" s="23">
        <f>IF($B339="","",IF(项目台账!$F338="","",项目台账!$F338))</f>
        <v/>
      </c>
      <c r="G339" s="23">
        <f>IF($B339="","",IF(项目台账!$J338="","",项目台账!$J338))</f>
        <v/>
      </c>
      <c r="H339" s="17">
        <f>IF($B339="","",IF(项目台账!$Q338="","",项目台账!$Q338))</f>
        <v/>
      </c>
      <c r="I339" s="19">
        <f>IF($B339="","",项目台账!$M338)</f>
        <v/>
      </c>
      <c r="J339" s="19">
        <f>IF($B339="","",项目台账!$O338)</f>
        <v/>
      </c>
      <c r="K339" s="19">
        <f>IF($B339="","",项目台账!$P338)</f>
        <v/>
      </c>
      <c r="L339" s="19">
        <f>IF($B339="","",ROUND(SUMIFS(采购单!$L$4:$L$2003,采购单!$D$4:$D$2003,$B339,采购单!$F$4:$F$2003,"成本-主材")+SUMIFS(生产安装!$J$4:$J$1203,生产安装!$C$4:$C$1203,$B339,生产安装!$E$4:$E$1203,"成本-主材")+SUMIFS(资金日记账!$K$4:$K$2503,资金日记账!$G$4:$G$2503,$B339,资金日记账!$F$4:$F$2503,"成本-主材")-SUMIFS(资金日记账!$J$4:$J$2503,资金日记账!$G$4:$G$2503,$B339,资金日记账!$F$4:$F$2503,"成本-主材"),2))</f>
        <v/>
      </c>
      <c r="M339" s="19">
        <f>IF($B339="","",ROUND(SUMIFS(采购单!$L$4:$L$2003,采购单!$D$4:$D$2003,$B339,采购单!$F$4:$F$2003,"成本-辅材")+SUMIFS(生产安装!$J$4:$J$1203,生产安装!$C$4:$C$1203,$B339,生产安装!$E$4:$E$1203,"成本-辅材")+SUMIFS(资金日记账!$K$4:$K$2503,资金日记账!$G$4:$G$2503,$B339,资金日记账!$F$4:$F$2503,"成本-辅材")-SUMIFS(资金日记账!$J$4:$J$2503,资金日记账!$G$4:$G$2503,$B339,资金日记账!$F$4:$F$2503,"成本-辅材"),2))</f>
        <v/>
      </c>
      <c r="N339" s="19">
        <f>IF($B339="","",ROUND(SUMIFS(采购单!$L$4:$L$2003,采购单!$D$4:$D$2003,$B339,采购单!$F$4:$F$2003,"成本-人工")+SUMIFS(生产安装!$J$4:$J$1203,生产安装!$C$4:$C$1203,$B339,生产安装!$E$4:$E$1203,"成本-人工")+SUMIFS(资金日记账!$K$4:$K$2503,资金日记账!$G$4:$G$2503,$B339,资金日记账!$F$4:$F$2503,"成本-人工")-SUMIFS(资金日记账!$J$4:$J$2503,资金日记账!$G$4:$G$2503,$B339,资金日记账!$F$4:$F$2503,"成本-人工"),2))</f>
        <v/>
      </c>
      <c r="O339" s="19">
        <f>IF($B339="","",ROUND(SUMIFS(采购单!$L$4:$L$2003,采购单!$D$4:$D$2003,$B339,采购单!$F$4:$F$2003,"成本-车运")+SUMIFS(生产安装!$J$4:$J$1203,生产安装!$C$4:$C$1203,$B339,生产安装!$E$4:$E$1203,"成本-车运")+SUMIFS(资金日记账!$K$4:$K$2503,资金日记账!$G$4:$G$2503,$B339,资金日记账!$F$4:$F$2503,"成本-车运")-SUMIFS(资金日记账!$J$4:$J$2503,资金日记账!$G$4:$G$2503,$B339,资金日记账!$F$4:$F$2503,"成本-车运"),2))</f>
        <v/>
      </c>
      <c r="P339" s="19">
        <f>IF($B339="","",ROUND(SUMIFS(采购单!$L$4:$L$2003,采购单!$D$4:$D$2003,$B339,采购单!$F$4:$F$2003,"成本-其他")+SUMIFS(生产安装!$J$4:$J$1203,生产安装!$C$4:$C$1203,$B339,生产安装!$E$4:$E$1203,"成本-其他")+SUMIFS(资金日记账!$K$4:$K$2503,资金日记账!$G$4:$G$2503,$B339,资金日记账!$F$4:$F$2503,"成本-其他")-SUMIFS(资金日记账!$J$4:$J$2503,资金日记账!$G$4:$G$2503,$B339,资金日记账!$F$4:$F$2503,"成本-其他"),2))</f>
        <v/>
      </c>
      <c r="Q339" s="19">
        <f>IF($B339="","",ROUND(SUM($L339:$P339),2))</f>
        <v/>
      </c>
      <c r="R339" s="19">
        <f>IF($B339="","",ROUND($I339-$Q339,2))</f>
        <v/>
      </c>
      <c r="S339" s="33">
        <f>IF($B339="","",IF(ROUND($I339,2)=0,"",ROUND($R339/$I339,4)))</f>
        <v/>
      </c>
      <c r="T339" s="22">
        <f>IF($B339="","",IF($G339="",0,YEAR($G339)*100+MONTH($G339)))</f>
        <v/>
      </c>
      <c r="U339" s="17">
        <f>IF($B339="","",IF(项目台账!$R338="","",项目台账!$R338))</f>
        <v/>
      </c>
    </row>
    <row r="340">
      <c r="A340" s="17">
        <f>IF(项目台账!$B339="","",项目台账!$A339)</f>
        <v/>
      </c>
      <c r="B340" s="17">
        <f>IF(项目台账!$B339="","",项目台账!$B339)</f>
        <v/>
      </c>
      <c r="C340" s="17">
        <f>IF($B340="","",IF(项目台账!$C339="","",项目台账!$C339))</f>
        <v/>
      </c>
      <c r="D340" s="17">
        <f>IF($B340="","",IF(项目台账!$D339="","",项目台账!$D339))</f>
        <v/>
      </c>
      <c r="E340" s="17">
        <f>IF($B340="","",IF(项目台账!$E339="","",项目台账!$E339))</f>
        <v/>
      </c>
      <c r="F340" s="23">
        <f>IF($B340="","",IF(项目台账!$F339="","",项目台账!$F339))</f>
        <v/>
      </c>
      <c r="G340" s="23">
        <f>IF($B340="","",IF(项目台账!$J339="","",项目台账!$J339))</f>
        <v/>
      </c>
      <c r="H340" s="17">
        <f>IF($B340="","",IF(项目台账!$Q339="","",项目台账!$Q339))</f>
        <v/>
      </c>
      <c r="I340" s="19">
        <f>IF($B340="","",项目台账!$M339)</f>
        <v/>
      </c>
      <c r="J340" s="19">
        <f>IF($B340="","",项目台账!$O339)</f>
        <v/>
      </c>
      <c r="K340" s="19">
        <f>IF($B340="","",项目台账!$P339)</f>
        <v/>
      </c>
      <c r="L340" s="19">
        <f>IF($B340="","",ROUND(SUMIFS(采购单!$L$4:$L$2003,采购单!$D$4:$D$2003,$B340,采购单!$F$4:$F$2003,"成本-主材")+SUMIFS(生产安装!$J$4:$J$1203,生产安装!$C$4:$C$1203,$B340,生产安装!$E$4:$E$1203,"成本-主材")+SUMIFS(资金日记账!$K$4:$K$2503,资金日记账!$G$4:$G$2503,$B340,资金日记账!$F$4:$F$2503,"成本-主材")-SUMIFS(资金日记账!$J$4:$J$2503,资金日记账!$G$4:$G$2503,$B340,资金日记账!$F$4:$F$2503,"成本-主材"),2))</f>
        <v/>
      </c>
      <c r="M340" s="19">
        <f>IF($B340="","",ROUND(SUMIFS(采购单!$L$4:$L$2003,采购单!$D$4:$D$2003,$B340,采购单!$F$4:$F$2003,"成本-辅材")+SUMIFS(生产安装!$J$4:$J$1203,生产安装!$C$4:$C$1203,$B340,生产安装!$E$4:$E$1203,"成本-辅材")+SUMIFS(资金日记账!$K$4:$K$2503,资金日记账!$G$4:$G$2503,$B340,资金日记账!$F$4:$F$2503,"成本-辅材")-SUMIFS(资金日记账!$J$4:$J$2503,资金日记账!$G$4:$G$2503,$B340,资金日记账!$F$4:$F$2503,"成本-辅材"),2))</f>
        <v/>
      </c>
      <c r="N340" s="19">
        <f>IF($B340="","",ROUND(SUMIFS(采购单!$L$4:$L$2003,采购单!$D$4:$D$2003,$B340,采购单!$F$4:$F$2003,"成本-人工")+SUMIFS(生产安装!$J$4:$J$1203,生产安装!$C$4:$C$1203,$B340,生产安装!$E$4:$E$1203,"成本-人工")+SUMIFS(资金日记账!$K$4:$K$2503,资金日记账!$G$4:$G$2503,$B340,资金日记账!$F$4:$F$2503,"成本-人工")-SUMIFS(资金日记账!$J$4:$J$2503,资金日记账!$G$4:$G$2503,$B340,资金日记账!$F$4:$F$2503,"成本-人工"),2))</f>
        <v/>
      </c>
      <c r="O340" s="19">
        <f>IF($B340="","",ROUND(SUMIFS(采购单!$L$4:$L$2003,采购单!$D$4:$D$2003,$B340,采购单!$F$4:$F$2003,"成本-车运")+SUMIFS(生产安装!$J$4:$J$1203,生产安装!$C$4:$C$1203,$B340,生产安装!$E$4:$E$1203,"成本-车运")+SUMIFS(资金日记账!$K$4:$K$2503,资金日记账!$G$4:$G$2503,$B340,资金日记账!$F$4:$F$2503,"成本-车运")-SUMIFS(资金日记账!$J$4:$J$2503,资金日记账!$G$4:$G$2503,$B340,资金日记账!$F$4:$F$2503,"成本-车运"),2))</f>
        <v/>
      </c>
      <c r="P340" s="19">
        <f>IF($B340="","",ROUND(SUMIFS(采购单!$L$4:$L$2003,采购单!$D$4:$D$2003,$B340,采购单!$F$4:$F$2003,"成本-其他")+SUMIFS(生产安装!$J$4:$J$1203,生产安装!$C$4:$C$1203,$B340,生产安装!$E$4:$E$1203,"成本-其他")+SUMIFS(资金日记账!$K$4:$K$2503,资金日记账!$G$4:$G$2503,$B340,资金日记账!$F$4:$F$2503,"成本-其他")-SUMIFS(资金日记账!$J$4:$J$2503,资金日记账!$G$4:$G$2503,$B340,资金日记账!$F$4:$F$2503,"成本-其他"),2))</f>
        <v/>
      </c>
      <c r="Q340" s="19">
        <f>IF($B340="","",ROUND(SUM($L340:$P340),2))</f>
        <v/>
      </c>
      <c r="R340" s="19">
        <f>IF($B340="","",ROUND($I340-$Q340,2))</f>
        <v/>
      </c>
      <c r="S340" s="33">
        <f>IF($B340="","",IF(ROUND($I340,2)=0,"",ROUND($R340/$I340,4)))</f>
        <v/>
      </c>
      <c r="T340" s="22">
        <f>IF($B340="","",IF($G340="",0,YEAR($G340)*100+MONTH($G340)))</f>
        <v/>
      </c>
      <c r="U340" s="17">
        <f>IF($B340="","",IF(项目台账!$R339="","",项目台账!$R339))</f>
        <v/>
      </c>
    </row>
    <row r="341">
      <c r="A341" s="17">
        <f>IF(项目台账!$B340="","",项目台账!$A340)</f>
        <v/>
      </c>
      <c r="B341" s="17">
        <f>IF(项目台账!$B340="","",项目台账!$B340)</f>
        <v/>
      </c>
      <c r="C341" s="17">
        <f>IF($B341="","",IF(项目台账!$C340="","",项目台账!$C340))</f>
        <v/>
      </c>
      <c r="D341" s="17">
        <f>IF($B341="","",IF(项目台账!$D340="","",项目台账!$D340))</f>
        <v/>
      </c>
      <c r="E341" s="17">
        <f>IF($B341="","",IF(项目台账!$E340="","",项目台账!$E340))</f>
        <v/>
      </c>
      <c r="F341" s="23">
        <f>IF($B341="","",IF(项目台账!$F340="","",项目台账!$F340))</f>
        <v/>
      </c>
      <c r="G341" s="23">
        <f>IF($B341="","",IF(项目台账!$J340="","",项目台账!$J340))</f>
        <v/>
      </c>
      <c r="H341" s="17">
        <f>IF($B341="","",IF(项目台账!$Q340="","",项目台账!$Q340))</f>
        <v/>
      </c>
      <c r="I341" s="19">
        <f>IF($B341="","",项目台账!$M340)</f>
        <v/>
      </c>
      <c r="J341" s="19">
        <f>IF($B341="","",项目台账!$O340)</f>
        <v/>
      </c>
      <c r="K341" s="19">
        <f>IF($B341="","",项目台账!$P340)</f>
        <v/>
      </c>
      <c r="L341" s="19">
        <f>IF($B341="","",ROUND(SUMIFS(采购单!$L$4:$L$2003,采购单!$D$4:$D$2003,$B341,采购单!$F$4:$F$2003,"成本-主材")+SUMIFS(生产安装!$J$4:$J$1203,生产安装!$C$4:$C$1203,$B341,生产安装!$E$4:$E$1203,"成本-主材")+SUMIFS(资金日记账!$K$4:$K$2503,资金日记账!$G$4:$G$2503,$B341,资金日记账!$F$4:$F$2503,"成本-主材")-SUMIFS(资金日记账!$J$4:$J$2503,资金日记账!$G$4:$G$2503,$B341,资金日记账!$F$4:$F$2503,"成本-主材"),2))</f>
        <v/>
      </c>
      <c r="M341" s="19">
        <f>IF($B341="","",ROUND(SUMIFS(采购单!$L$4:$L$2003,采购单!$D$4:$D$2003,$B341,采购单!$F$4:$F$2003,"成本-辅材")+SUMIFS(生产安装!$J$4:$J$1203,生产安装!$C$4:$C$1203,$B341,生产安装!$E$4:$E$1203,"成本-辅材")+SUMIFS(资金日记账!$K$4:$K$2503,资金日记账!$G$4:$G$2503,$B341,资金日记账!$F$4:$F$2503,"成本-辅材")-SUMIFS(资金日记账!$J$4:$J$2503,资金日记账!$G$4:$G$2503,$B341,资金日记账!$F$4:$F$2503,"成本-辅材"),2))</f>
        <v/>
      </c>
      <c r="N341" s="19">
        <f>IF($B341="","",ROUND(SUMIFS(采购单!$L$4:$L$2003,采购单!$D$4:$D$2003,$B341,采购单!$F$4:$F$2003,"成本-人工")+SUMIFS(生产安装!$J$4:$J$1203,生产安装!$C$4:$C$1203,$B341,生产安装!$E$4:$E$1203,"成本-人工")+SUMIFS(资金日记账!$K$4:$K$2503,资金日记账!$G$4:$G$2503,$B341,资金日记账!$F$4:$F$2503,"成本-人工")-SUMIFS(资金日记账!$J$4:$J$2503,资金日记账!$G$4:$G$2503,$B341,资金日记账!$F$4:$F$2503,"成本-人工"),2))</f>
        <v/>
      </c>
      <c r="O341" s="19">
        <f>IF($B341="","",ROUND(SUMIFS(采购单!$L$4:$L$2003,采购单!$D$4:$D$2003,$B341,采购单!$F$4:$F$2003,"成本-车运")+SUMIFS(生产安装!$J$4:$J$1203,生产安装!$C$4:$C$1203,$B341,生产安装!$E$4:$E$1203,"成本-车运")+SUMIFS(资金日记账!$K$4:$K$2503,资金日记账!$G$4:$G$2503,$B341,资金日记账!$F$4:$F$2503,"成本-车运")-SUMIFS(资金日记账!$J$4:$J$2503,资金日记账!$G$4:$G$2503,$B341,资金日记账!$F$4:$F$2503,"成本-车运"),2))</f>
        <v/>
      </c>
      <c r="P341" s="19">
        <f>IF($B341="","",ROUND(SUMIFS(采购单!$L$4:$L$2003,采购单!$D$4:$D$2003,$B341,采购单!$F$4:$F$2003,"成本-其他")+SUMIFS(生产安装!$J$4:$J$1203,生产安装!$C$4:$C$1203,$B341,生产安装!$E$4:$E$1203,"成本-其他")+SUMIFS(资金日记账!$K$4:$K$2503,资金日记账!$G$4:$G$2503,$B341,资金日记账!$F$4:$F$2503,"成本-其他")-SUMIFS(资金日记账!$J$4:$J$2503,资金日记账!$G$4:$G$2503,$B341,资金日记账!$F$4:$F$2503,"成本-其他"),2))</f>
        <v/>
      </c>
      <c r="Q341" s="19">
        <f>IF($B341="","",ROUND(SUM($L341:$P341),2))</f>
        <v/>
      </c>
      <c r="R341" s="19">
        <f>IF($B341="","",ROUND($I341-$Q341,2))</f>
        <v/>
      </c>
      <c r="S341" s="33">
        <f>IF($B341="","",IF(ROUND($I341,2)=0,"",ROUND($R341/$I341,4)))</f>
        <v/>
      </c>
      <c r="T341" s="22">
        <f>IF($B341="","",IF($G341="",0,YEAR($G341)*100+MONTH($G341)))</f>
        <v/>
      </c>
      <c r="U341" s="17">
        <f>IF($B341="","",IF(项目台账!$R340="","",项目台账!$R340))</f>
        <v/>
      </c>
    </row>
    <row r="342">
      <c r="A342" s="17">
        <f>IF(项目台账!$B341="","",项目台账!$A341)</f>
        <v/>
      </c>
      <c r="B342" s="17">
        <f>IF(项目台账!$B341="","",项目台账!$B341)</f>
        <v/>
      </c>
      <c r="C342" s="17">
        <f>IF($B342="","",IF(项目台账!$C341="","",项目台账!$C341))</f>
        <v/>
      </c>
      <c r="D342" s="17">
        <f>IF($B342="","",IF(项目台账!$D341="","",项目台账!$D341))</f>
        <v/>
      </c>
      <c r="E342" s="17">
        <f>IF($B342="","",IF(项目台账!$E341="","",项目台账!$E341))</f>
        <v/>
      </c>
      <c r="F342" s="23">
        <f>IF($B342="","",IF(项目台账!$F341="","",项目台账!$F341))</f>
        <v/>
      </c>
      <c r="G342" s="23">
        <f>IF($B342="","",IF(项目台账!$J341="","",项目台账!$J341))</f>
        <v/>
      </c>
      <c r="H342" s="17">
        <f>IF($B342="","",IF(项目台账!$Q341="","",项目台账!$Q341))</f>
        <v/>
      </c>
      <c r="I342" s="19">
        <f>IF($B342="","",项目台账!$M341)</f>
        <v/>
      </c>
      <c r="J342" s="19">
        <f>IF($B342="","",项目台账!$O341)</f>
        <v/>
      </c>
      <c r="K342" s="19">
        <f>IF($B342="","",项目台账!$P341)</f>
        <v/>
      </c>
      <c r="L342" s="19">
        <f>IF($B342="","",ROUND(SUMIFS(采购单!$L$4:$L$2003,采购单!$D$4:$D$2003,$B342,采购单!$F$4:$F$2003,"成本-主材")+SUMIFS(生产安装!$J$4:$J$1203,生产安装!$C$4:$C$1203,$B342,生产安装!$E$4:$E$1203,"成本-主材")+SUMIFS(资金日记账!$K$4:$K$2503,资金日记账!$G$4:$G$2503,$B342,资金日记账!$F$4:$F$2503,"成本-主材")-SUMIFS(资金日记账!$J$4:$J$2503,资金日记账!$G$4:$G$2503,$B342,资金日记账!$F$4:$F$2503,"成本-主材"),2))</f>
        <v/>
      </c>
      <c r="M342" s="19">
        <f>IF($B342="","",ROUND(SUMIFS(采购单!$L$4:$L$2003,采购单!$D$4:$D$2003,$B342,采购单!$F$4:$F$2003,"成本-辅材")+SUMIFS(生产安装!$J$4:$J$1203,生产安装!$C$4:$C$1203,$B342,生产安装!$E$4:$E$1203,"成本-辅材")+SUMIFS(资金日记账!$K$4:$K$2503,资金日记账!$G$4:$G$2503,$B342,资金日记账!$F$4:$F$2503,"成本-辅材")-SUMIFS(资金日记账!$J$4:$J$2503,资金日记账!$G$4:$G$2503,$B342,资金日记账!$F$4:$F$2503,"成本-辅材"),2))</f>
        <v/>
      </c>
      <c r="N342" s="19">
        <f>IF($B342="","",ROUND(SUMIFS(采购单!$L$4:$L$2003,采购单!$D$4:$D$2003,$B342,采购单!$F$4:$F$2003,"成本-人工")+SUMIFS(生产安装!$J$4:$J$1203,生产安装!$C$4:$C$1203,$B342,生产安装!$E$4:$E$1203,"成本-人工")+SUMIFS(资金日记账!$K$4:$K$2503,资金日记账!$G$4:$G$2503,$B342,资金日记账!$F$4:$F$2503,"成本-人工")-SUMIFS(资金日记账!$J$4:$J$2503,资金日记账!$G$4:$G$2503,$B342,资金日记账!$F$4:$F$2503,"成本-人工"),2))</f>
        <v/>
      </c>
      <c r="O342" s="19">
        <f>IF($B342="","",ROUND(SUMIFS(采购单!$L$4:$L$2003,采购单!$D$4:$D$2003,$B342,采购单!$F$4:$F$2003,"成本-车运")+SUMIFS(生产安装!$J$4:$J$1203,生产安装!$C$4:$C$1203,$B342,生产安装!$E$4:$E$1203,"成本-车运")+SUMIFS(资金日记账!$K$4:$K$2503,资金日记账!$G$4:$G$2503,$B342,资金日记账!$F$4:$F$2503,"成本-车运")-SUMIFS(资金日记账!$J$4:$J$2503,资金日记账!$G$4:$G$2503,$B342,资金日记账!$F$4:$F$2503,"成本-车运"),2))</f>
        <v/>
      </c>
      <c r="P342" s="19">
        <f>IF($B342="","",ROUND(SUMIFS(采购单!$L$4:$L$2003,采购单!$D$4:$D$2003,$B342,采购单!$F$4:$F$2003,"成本-其他")+SUMIFS(生产安装!$J$4:$J$1203,生产安装!$C$4:$C$1203,$B342,生产安装!$E$4:$E$1203,"成本-其他")+SUMIFS(资金日记账!$K$4:$K$2503,资金日记账!$G$4:$G$2503,$B342,资金日记账!$F$4:$F$2503,"成本-其他")-SUMIFS(资金日记账!$J$4:$J$2503,资金日记账!$G$4:$G$2503,$B342,资金日记账!$F$4:$F$2503,"成本-其他"),2))</f>
        <v/>
      </c>
      <c r="Q342" s="19">
        <f>IF($B342="","",ROUND(SUM($L342:$P342),2))</f>
        <v/>
      </c>
      <c r="R342" s="19">
        <f>IF($B342="","",ROUND($I342-$Q342,2))</f>
        <v/>
      </c>
      <c r="S342" s="33">
        <f>IF($B342="","",IF(ROUND($I342,2)=0,"",ROUND($R342/$I342,4)))</f>
        <v/>
      </c>
      <c r="T342" s="22">
        <f>IF($B342="","",IF($G342="",0,YEAR($G342)*100+MONTH($G342)))</f>
        <v/>
      </c>
      <c r="U342" s="17">
        <f>IF($B342="","",IF(项目台账!$R341="","",项目台账!$R341))</f>
        <v/>
      </c>
    </row>
    <row r="343">
      <c r="A343" s="17">
        <f>IF(项目台账!$B342="","",项目台账!$A342)</f>
        <v/>
      </c>
      <c r="B343" s="17">
        <f>IF(项目台账!$B342="","",项目台账!$B342)</f>
        <v/>
      </c>
      <c r="C343" s="17">
        <f>IF($B343="","",IF(项目台账!$C342="","",项目台账!$C342))</f>
        <v/>
      </c>
      <c r="D343" s="17">
        <f>IF($B343="","",IF(项目台账!$D342="","",项目台账!$D342))</f>
        <v/>
      </c>
      <c r="E343" s="17">
        <f>IF($B343="","",IF(项目台账!$E342="","",项目台账!$E342))</f>
        <v/>
      </c>
      <c r="F343" s="23">
        <f>IF($B343="","",IF(项目台账!$F342="","",项目台账!$F342))</f>
        <v/>
      </c>
      <c r="G343" s="23">
        <f>IF($B343="","",IF(项目台账!$J342="","",项目台账!$J342))</f>
        <v/>
      </c>
      <c r="H343" s="17">
        <f>IF($B343="","",IF(项目台账!$Q342="","",项目台账!$Q342))</f>
        <v/>
      </c>
      <c r="I343" s="19">
        <f>IF($B343="","",项目台账!$M342)</f>
        <v/>
      </c>
      <c r="J343" s="19">
        <f>IF($B343="","",项目台账!$O342)</f>
        <v/>
      </c>
      <c r="K343" s="19">
        <f>IF($B343="","",项目台账!$P342)</f>
        <v/>
      </c>
      <c r="L343" s="19">
        <f>IF($B343="","",ROUND(SUMIFS(采购单!$L$4:$L$2003,采购单!$D$4:$D$2003,$B343,采购单!$F$4:$F$2003,"成本-主材")+SUMIFS(生产安装!$J$4:$J$1203,生产安装!$C$4:$C$1203,$B343,生产安装!$E$4:$E$1203,"成本-主材")+SUMIFS(资金日记账!$K$4:$K$2503,资金日记账!$G$4:$G$2503,$B343,资金日记账!$F$4:$F$2503,"成本-主材")-SUMIFS(资金日记账!$J$4:$J$2503,资金日记账!$G$4:$G$2503,$B343,资金日记账!$F$4:$F$2503,"成本-主材"),2))</f>
        <v/>
      </c>
      <c r="M343" s="19">
        <f>IF($B343="","",ROUND(SUMIFS(采购单!$L$4:$L$2003,采购单!$D$4:$D$2003,$B343,采购单!$F$4:$F$2003,"成本-辅材")+SUMIFS(生产安装!$J$4:$J$1203,生产安装!$C$4:$C$1203,$B343,生产安装!$E$4:$E$1203,"成本-辅材")+SUMIFS(资金日记账!$K$4:$K$2503,资金日记账!$G$4:$G$2503,$B343,资金日记账!$F$4:$F$2503,"成本-辅材")-SUMIFS(资金日记账!$J$4:$J$2503,资金日记账!$G$4:$G$2503,$B343,资金日记账!$F$4:$F$2503,"成本-辅材"),2))</f>
        <v/>
      </c>
      <c r="N343" s="19">
        <f>IF($B343="","",ROUND(SUMIFS(采购单!$L$4:$L$2003,采购单!$D$4:$D$2003,$B343,采购单!$F$4:$F$2003,"成本-人工")+SUMIFS(生产安装!$J$4:$J$1203,生产安装!$C$4:$C$1203,$B343,生产安装!$E$4:$E$1203,"成本-人工")+SUMIFS(资金日记账!$K$4:$K$2503,资金日记账!$G$4:$G$2503,$B343,资金日记账!$F$4:$F$2503,"成本-人工")-SUMIFS(资金日记账!$J$4:$J$2503,资金日记账!$G$4:$G$2503,$B343,资金日记账!$F$4:$F$2503,"成本-人工"),2))</f>
        <v/>
      </c>
      <c r="O343" s="19">
        <f>IF($B343="","",ROUND(SUMIFS(采购单!$L$4:$L$2003,采购单!$D$4:$D$2003,$B343,采购单!$F$4:$F$2003,"成本-车运")+SUMIFS(生产安装!$J$4:$J$1203,生产安装!$C$4:$C$1203,$B343,生产安装!$E$4:$E$1203,"成本-车运")+SUMIFS(资金日记账!$K$4:$K$2503,资金日记账!$G$4:$G$2503,$B343,资金日记账!$F$4:$F$2503,"成本-车运")-SUMIFS(资金日记账!$J$4:$J$2503,资金日记账!$G$4:$G$2503,$B343,资金日记账!$F$4:$F$2503,"成本-车运"),2))</f>
        <v/>
      </c>
      <c r="P343" s="19">
        <f>IF($B343="","",ROUND(SUMIFS(采购单!$L$4:$L$2003,采购单!$D$4:$D$2003,$B343,采购单!$F$4:$F$2003,"成本-其他")+SUMIFS(生产安装!$J$4:$J$1203,生产安装!$C$4:$C$1203,$B343,生产安装!$E$4:$E$1203,"成本-其他")+SUMIFS(资金日记账!$K$4:$K$2503,资金日记账!$G$4:$G$2503,$B343,资金日记账!$F$4:$F$2503,"成本-其他")-SUMIFS(资金日记账!$J$4:$J$2503,资金日记账!$G$4:$G$2503,$B343,资金日记账!$F$4:$F$2503,"成本-其他"),2))</f>
        <v/>
      </c>
      <c r="Q343" s="19">
        <f>IF($B343="","",ROUND(SUM($L343:$P343),2))</f>
        <v/>
      </c>
      <c r="R343" s="19">
        <f>IF($B343="","",ROUND($I343-$Q343,2))</f>
        <v/>
      </c>
      <c r="S343" s="33">
        <f>IF($B343="","",IF(ROUND($I343,2)=0,"",ROUND($R343/$I343,4)))</f>
        <v/>
      </c>
      <c r="T343" s="22">
        <f>IF($B343="","",IF($G343="",0,YEAR($G343)*100+MONTH($G343)))</f>
        <v/>
      </c>
      <c r="U343" s="17">
        <f>IF($B343="","",IF(项目台账!$R342="","",项目台账!$R342))</f>
        <v/>
      </c>
    </row>
    <row r="344">
      <c r="A344" s="17">
        <f>IF(项目台账!$B343="","",项目台账!$A343)</f>
        <v/>
      </c>
      <c r="B344" s="17">
        <f>IF(项目台账!$B343="","",项目台账!$B343)</f>
        <v/>
      </c>
      <c r="C344" s="17">
        <f>IF($B344="","",IF(项目台账!$C343="","",项目台账!$C343))</f>
        <v/>
      </c>
      <c r="D344" s="17">
        <f>IF($B344="","",IF(项目台账!$D343="","",项目台账!$D343))</f>
        <v/>
      </c>
      <c r="E344" s="17">
        <f>IF($B344="","",IF(项目台账!$E343="","",项目台账!$E343))</f>
        <v/>
      </c>
      <c r="F344" s="23">
        <f>IF($B344="","",IF(项目台账!$F343="","",项目台账!$F343))</f>
        <v/>
      </c>
      <c r="G344" s="23">
        <f>IF($B344="","",IF(项目台账!$J343="","",项目台账!$J343))</f>
        <v/>
      </c>
      <c r="H344" s="17">
        <f>IF($B344="","",IF(项目台账!$Q343="","",项目台账!$Q343))</f>
        <v/>
      </c>
      <c r="I344" s="19">
        <f>IF($B344="","",项目台账!$M343)</f>
        <v/>
      </c>
      <c r="J344" s="19">
        <f>IF($B344="","",项目台账!$O343)</f>
        <v/>
      </c>
      <c r="K344" s="19">
        <f>IF($B344="","",项目台账!$P343)</f>
        <v/>
      </c>
      <c r="L344" s="19">
        <f>IF($B344="","",ROUND(SUMIFS(采购单!$L$4:$L$2003,采购单!$D$4:$D$2003,$B344,采购单!$F$4:$F$2003,"成本-主材")+SUMIFS(生产安装!$J$4:$J$1203,生产安装!$C$4:$C$1203,$B344,生产安装!$E$4:$E$1203,"成本-主材")+SUMIFS(资金日记账!$K$4:$K$2503,资金日记账!$G$4:$G$2503,$B344,资金日记账!$F$4:$F$2503,"成本-主材")-SUMIFS(资金日记账!$J$4:$J$2503,资金日记账!$G$4:$G$2503,$B344,资金日记账!$F$4:$F$2503,"成本-主材"),2))</f>
        <v/>
      </c>
      <c r="M344" s="19">
        <f>IF($B344="","",ROUND(SUMIFS(采购单!$L$4:$L$2003,采购单!$D$4:$D$2003,$B344,采购单!$F$4:$F$2003,"成本-辅材")+SUMIFS(生产安装!$J$4:$J$1203,生产安装!$C$4:$C$1203,$B344,生产安装!$E$4:$E$1203,"成本-辅材")+SUMIFS(资金日记账!$K$4:$K$2503,资金日记账!$G$4:$G$2503,$B344,资金日记账!$F$4:$F$2503,"成本-辅材")-SUMIFS(资金日记账!$J$4:$J$2503,资金日记账!$G$4:$G$2503,$B344,资金日记账!$F$4:$F$2503,"成本-辅材"),2))</f>
        <v/>
      </c>
      <c r="N344" s="19">
        <f>IF($B344="","",ROUND(SUMIFS(采购单!$L$4:$L$2003,采购单!$D$4:$D$2003,$B344,采购单!$F$4:$F$2003,"成本-人工")+SUMIFS(生产安装!$J$4:$J$1203,生产安装!$C$4:$C$1203,$B344,生产安装!$E$4:$E$1203,"成本-人工")+SUMIFS(资金日记账!$K$4:$K$2503,资金日记账!$G$4:$G$2503,$B344,资金日记账!$F$4:$F$2503,"成本-人工")-SUMIFS(资金日记账!$J$4:$J$2503,资金日记账!$G$4:$G$2503,$B344,资金日记账!$F$4:$F$2503,"成本-人工"),2))</f>
        <v/>
      </c>
      <c r="O344" s="19">
        <f>IF($B344="","",ROUND(SUMIFS(采购单!$L$4:$L$2003,采购单!$D$4:$D$2003,$B344,采购单!$F$4:$F$2003,"成本-车运")+SUMIFS(生产安装!$J$4:$J$1203,生产安装!$C$4:$C$1203,$B344,生产安装!$E$4:$E$1203,"成本-车运")+SUMIFS(资金日记账!$K$4:$K$2503,资金日记账!$G$4:$G$2503,$B344,资金日记账!$F$4:$F$2503,"成本-车运")-SUMIFS(资金日记账!$J$4:$J$2503,资金日记账!$G$4:$G$2503,$B344,资金日记账!$F$4:$F$2503,"成本-车运"),2))</f>
        <v/>
      </c>
      <c r="P344" s="19">
        <f>IF($B344="","",ROUND(SUMIFS(采购单!$L$4:$L$2003,采购单!$D$4:$D$2003,$B344,采购单!$F$4:$F$2003,"成本-其他")+SUMIFS(生产安装!$J$4:$J$1203,生产安装!$C$4:$C$1203,$B344,生产安装!$E$4:$E$1203,"成本-其他")+SUMIFS(资金日记账!$K$4:$K$2503,资金日记账!$G$4:$G$2503,$B344,资金日记账!$F$4:$F$2503,"成本-其他")-SUMIFS(资金日记账!$J$4:$J$2503,资金日记账!$G$4:$G$2503,$B344,资金日记账!$F$4:$F$2503,"成本-其他"),2))</f>
        <v/>
      </c>
      <c r="Q344" s="19">
        <f>IF($B344="","",ROUND(SUM($L344:$P344),2))</f>
        <v/>
      </c>
      <c r="R344" s="19">
        <f>IF($B344="","",ROUND($I344-$Q344,2))</f>
        <v/>
      </c>
      <c r="S344" s="33">
        <f>IF($B344="","",IF(ROUND($I344,2)=0,"",ROUND($R344/$I344,4)))</f>
        <v/>
      </c>
      <c r="T344" s="22">
        <f>IF($B344="","",IF($G344="",0,YEAR($G344)*100+MONTH($G344)))</f>
        <v/>
      </c>
      <c r="U344" s="17">
        <f>IF($B344="","",IF(项目台账!$R343="","",项目台账!$R343))</f>
        <v/>
      </c>
    </row>
    <row r="345">
      <c r="A345" s="17">
        <f>IF(项目台账!$B344="","",项目台账!$A344)</f>
        <v/>
      </c>
      <c r="B345" s="17">
        <f>IF(项目台账!$B344="","",项目台账!$B344)</f>
        <v/>
      </c>
      <c r="C345" s="17">
        <f>IF($B345="","",IF(项目台账!$C344="","",项目台账!$C344))</f>
        <v/>
      </c>
      <c r="D345" s="17">
        <f>IF($B345="","",IF(项目台账!$D344="","",项目台账!$D344))</f>
        <v/>
      </c>
      <c r="E345" s="17">
        <f>IF($B345="","",IF(项目台账!$E344="","",项目台账!$E344))</f>
        <v/>
      </c>
      <c r="F345" s="23">
        <f>IF($B345="","",IF(项目台账!$F344="","",项目台账!$F344))</f>
        <v/>
      </c>
      <c r="G345" s="23">
        <f>IF($B345="","",IF(项目台账!$J344="","",项目台账!$J344))</f>
        <v/>
      </c>
      <c r="H345" s="17">
        <f>IF($B345="","",IF(项目台账!$Q344="","",项目台账!$Q344))</f>
        <v/>
      </c>
      <c r="I345" s="19">
        <f>IF($B345="","",项目台账!$M344)</f>
        <v/>
      </c>
      <c r="J345" s="19">
        <f>IF($B345="","",项目台账!$O344)</f>
        <v/>
      </c>
      <c r="K345" s="19">
        <f>IF($B345="","",项目台账!$P344)</f>
        <v/>
      </c>
      <c r="L345" s="19">
        <f>IF($B345="","",ROUND(SUMIFS(采购单!$L$4:$L$2003,采购单!$D$4:$D$2003,$B345,采购单!$F$4:$F$2003,"成本-主材")+SUMIFS(生产安装!$J$4:$J$1203,生产安装!$C$4:$C$1203,$B345,生产安装!$E$4:$E$1203,"成本-主材")+SUMIFS(资金日记账!$K$4:$K$2503,资金日记账!$G$4:$G$2503,$B345,资金日记账!$F$4:$F$2503,"成本-主材")-SUMIFS(资金日记账!$J$4:$J$2503,资金日记账!$G$4:$G$2503,$B345,资金日记账!$F$4:$F$2503,"成本-主材"),2))</f>
        <v/>
      </c>
      <c r="M345" s="19">
        <f>IF($B345="","",ROUND(SUMIFS(采购单!$L$4:$L$2003,采购单!$D$4:$D$2003,$B345,采购单!$F$4:$F$2003,"成本-辅材")+SUMIFS(生产安装!$J$4:$J$1203,生产安装!$C$4:$C$1203,$B345,生产安装!$E$4:$E$1203,"成本-辅材")+SUMIFS(资金日记账!$K$4:$K$2503,资金日记账!$G$4:$G$2503,$B345,资金日记账!$F$4:$F$2503,"成本-辅材")-SUMIFS(资金日记账!$J$4:$J$2503,资金日记账!$G$4:$G$2503,$B345,资金日记账!$F$4:$F$2503,"成本-辅材"),2))</f>
        <v/>
      </c>
      <c r="N345" s="19">
        <f>IF($B345="","",ROUND(SUMIFS(采购单!$L$4:$L$2003,采购单!$D$4:$D$2003,$B345,采购单!$F$4:$F$2003,"成本-人工")+SUMIFS(生产安装!$J$4:$J$1203,生产安装!$C$4:$C$1203,$B345,生产安装!$E$4:$E$1203,"成本-人工")+SUMIFS(资金日记账!$K$4:$K$2503,资金日记账!$G$4:$G$2503,$B345,资金日记账!$F$4:$F$2503,"成本-人工")-SUMIFS(资金日记账!$J$4:$J$2503,资金日记账!$G$4:$G$2503,$B345,资金日记账!$F$4:$F$2503,"成本-人工"),2))</f>
        <v/>
      </c>
      <c r="O345" s="19">
        <f>IF($B345="","",ROUND(SUMIFS(采购单!$L$4:$L$2003,采购单!$D$4:$D$2003,$B345,采购单!$F$4:$F$2003,"成本-车运")+SUMIFS(生产安装!$J$4:$J$1203,生产安装!$C$4:$C$1203,$B345,生产安装!$E$4:$E$1203,"成本-车运")+SUMIFS(资金日记账!$K$4:$K$2503,资金日记账!$G$4:$G$2503,$B345,资金日记账!$F$4:$F$2503,"成本-车运")-SUMIFS(资金日记账!$J$4:$J$2503,资金日记账!$G$4:$G$2503,$B345,资金日记账!$F$4:$F$2503,"成本-车运"),2))</f>
        <v/>
      </c>
      <c r="P345" s="19">
        <f>IF($B345="","",ROUND(SUMIFS(采购单!$L$4:$L$2003,采购单!$D$4:$D$2003,$B345,采购单!$F$4:$F$2003,"成本-其他")+SUMIFS(生产安装!$J$4:$J$1203,生产安装!$C$4:$C$1203,$B345,生产安装!$E$4:$E$1203,"成本-其他")+SUMIFS(资金日记账!$K$4:$K$2503,资金日记账!$G$4:$G$2503,$B345,资金日记账!$F$4:$F$2503,"成本-其他")-SUMIFS(资金日记账!$J$4:$J$2503,资金日记账!$G$4:$G$2503,$B345,资金日记账!$F$4:$F$2503,"成本-其他"),2))</f>
        <v/>
      </c>
      <c r="Q345" s="19">
        <f>IF($B345="","",ROUND(SUM($L345:$P345),2))</f>
        <v/>
      </c>
      <c r="R345" s="19">
        <f>IF($B345="","",ROUND($I345-$Q345,2))</f>
        <v/>
      </c>
      <c r="S345" s="33">
        <f>IF($B345="","",IF(ROUND($I345,2)=0,"",ROUND($R345/$I345,4)))</f>
        <v/>
      </c>
      <c r="T345" s="22">
        <f>IF($B345="","",IF($G345="",0,YEAR($G345)*100+MONTH($G345)))</f>
        <v/>
      </c>
      <c r="U345" s="17">
        <f>IF($B345="","",IF(项目台账!$R344="","",项目台账!$R344))</f>
        <v/>
      </c>
    </row>
    <row r="346">
      <c r="A346" s="17">
        <f>IF(项目台账!$B345="","",项目台账!$A345)</f>
        <v/>
      </c>
      <c r="B346" s="17">
        <f>IF(项目台账!$B345="","",项目台账!$B345)</f>
        <v/>
      </c>
      <c r="C346" s="17">
        <f>IF($B346="","",IF(项目台账!$C345="","",项目台账!$C345))</f>
        <v/>
      </c>
      <c r="D346" s="17">
        <f>IF($B346="","",IF(项目台账!$D345="","",项目台账!$D345))</f>
        <v/>
      </c>
      <c r="E346" s="17">
        <f>IF($B346="","",IF(项目台账!$E345="","",项目台账!$E345))</f>
        <v/>
      </c>
      <c r="F346" s="23">
        <f>IF($B346="","",IF(项目台账!$F345="","",项目台账!$F345))</f>
        <v/>
      </c>
      <c r="G346" s="23">
        <f>IF($B346="","",IF(项目台账!$J345="","",项目台账!$J345))</f>
        <v/>
      </c>
      <c r="H346" s="17">
        <f>IF($B346="","",IF(项目台账!$Q345="","",项目台账!$Q345))</f>
        <v/>
      </c>
      <c r="I346" s="19">
        <f>IF($B346="","",项目台账!$M345)</f>
        <v/>
      </c>
      <c r="J346" s="19">
        <f>IF($B346="","",项目台账!$O345)</f>
        <v/>
      </c>
      <c r="K346" s="19">
        <f>IF($B346="","",项目台账!$P345)</f>
        <v/>
      </c>
      <c r="L346" s="19">
        <f>IF($B346="","",ROUND(SUMIFS(采购单!$L$4:$L$2003,采购单!$D$4:$D$2003,$B346,采购单!$F$4:$F$2003,"成本-主材")+SUMIFS(生产安装!$J$4:$J$1203,生产安装!$C$4:$C$1203,$B346,生产安装!$E$4:$E$1203,"成本-主材")+SUMIFS(资金日记账!$K$4:$K$2503,资金日记账!$G$4:$G$2503,$B346,资金日记账!$F$4:$F$2503,"成本-主材")-SUMIFS(资金日记账!$J$4:$J$2503,资金日记账!$G$4:$G$2503,$B346,资金日记账!$F$4:$F$2503,"成本-主材"),2))</f>
        <v/>
      </c>
      <c r="M346" s="19">
        <f>IF($B346="","",ROUND(SUMIFS(采购单!$L$4:$L$2003,采购单!$D$4:$D$2003,$B346,采购单!$F$4:$F$2003,"成本-辅材")+SUMIFS(生产安装!$J$4:$J$1203,生产安装!$C$4:$C$1203,$B346,生产安装!$E$4:$E$1203,"成本-辅材")+SUMIFS(资金日记账!$K$4:$K$2503,资金日记账!$G$4:$G$2503,$B346,资金日记账!$F$4:$F$2503,"成本-辅材")-SUMIFS(资金日记账!$J$4:$J$2503,资金日记账!$G$4:$G$2503,$B346,资金日记账!$F$4:$F$2503,"成本-辅材"),2))</f>
        <v/>
      </c>
      <c r="N346" s="19">
        <f>IF($B346="","",ROUND(SUMIFS(采购单!$L$4:$L$2003,采购单!$D$4:$D$2003,$B346,采购单!$F$4:$F$2003,"成本-人工")+SUMIFS(生产安装!$J$4:$J$1203,生产安装!$C$4:$C$1203,$B346,生产安装!$E$4:$E$1203,"成本-人工")+SUMIFS(资金日记账!$K$4:$K$2503,资金日记账!$G$4:$G$2503,$B346,资金日记账!$F$4:$F$2503,"成本-人工")-SUMIFS(资金日记账!$J$4:$J$2503,资金日记账!$G$4:$G$2503,$B346,资金日记账!$F$4:$F$2503,"成本-人工"),2))</f>
        <v/>
      </c>
      <c r="O346" s="19">
        <f>IF($B346="","",ROUND(SUMIFS(采购单!$L$4:$L$2003,采购单!$D$4:$D$2003,$B346,采购单!$F$4:$F$2003,"成本-车运")+SUMIFS(生产安装!$J$4:$J$1203,生产安装!$C$4:$C$1203,$B346,生产安装!$E$4:$E$1203,"成本-车运")+SUMIFS(资金日记账!$K$4:$K$2503,资金日记账!$G$4:$G$2503,$B346,资金日记账!$F$4:$F$2503,"成本-车运")-SUMIFS(资金日记账!$J$4:$J$2503,资金日记账!$G$4:$G$2503,$B346,资金日记账!$F$4:$F$2503,"成本-车运"),2))</f>
        <v/>
      </c>
      <c r="P346" s="19">
        <f>IF($B346="","",ROUND(SUMIFS(采购单!$L$4:$L$2003,采购单!$D$4:$D$2003,$B346,采购单!$F$4:$F$2003,"成本-其他")+SUMIFS(生产安装!$J$4:$J$1203,生产安装!$C$4:$C$1203,$B346,生产安装!$E$4:$E$1203,"成本-其他")+SUMIFS(资金日记账!$K$4:$K$2503,资金日记账!$G$4:$G$2503,$B346,资金日记账!$F$4:$F$2503,"成本-其他")-SUMIFS(资金日记账!$J$4:$J$2503,资金日记账!$G$4:$G$2503,$B346,资金日记账!$F$4:$F$2503,"成本-其他"),2))</f>
        <v/>
      </c>
      <c r="Q346" s="19">
        <f>IF($B346="","",ROUND(SUM($L346:$P346),2))</f>
        <v/>
      </c>
      <c r="R346" s="19">
        <f>IF($B346="","",ROUND($I346-$Q346,2))</f>
        <v/>
      </c>
      <c r="S346" s="33">
        <f>IF($B346="","",IF(ROUND($I346,2)=0,"",ROUND($R346/$I346,4)))</f>
        <v/>
      </c>
      <c r="T346" s="22">
        <f>IF($B346="","",IF($G346="",0,YEAR($G346)*100+MONTH($G346)))</f>
        <v/>
      </c>
      <c r="U346" s="17">
        <f>IF($B346="","",IF(项目台账!$R345="","",项目台账!$R345))</f>
        <v/>
      </c>
    </row>
    <row r="347">
      <c r="A347" s="17">
        <f>IF(项目台账!$B346="","",项目台账!$A346)</f>
        <v/>
      </c>
      <c r="B347" s="17">
        <f>IF(项目台账!$B346="","",项目台账!$B346)</f>
        <v/>
      </c>
      <c r="C347" s="17">
        <f>IF($B347="","",IF(项目台账!$C346="","",项目台账!$C346))</f>
        <v/>
      </c>
      <c r="D347" s="17">
        <f>IF($B347="","",IF(项目台账!$D346="","",项目台账!$D346))</f>
        <v/>
      </c>
      <c r="E347" s="17">
        <f>IF($B347="","",IF(项目台账!$E346="","",项目台账!$E346))</f>
        <v/>
      </c>
      <c r="F347" s="23">
        <f>IF($B347="","",IF(项目台账!$F346="","",项目台账!$F346))</f>
        <v/>
      </c>
      <c r="G347" s="23">
        <f>IF($B347="","",IF(项目台账!$J346="","",项目台账!$J346))</f>
        <v/>
      </c>
      <c r="H347" s="17">
        <f>IF($B347="","",IF(项目台账!$Q346="","",项目台账!$Q346))</f>
        <v/>
      </c>
      <c r="I347" s="19">
        <f>IF($B347="","",项目台账!$M346)</f>
        <v/>
      </c>
      <c r="J347" s="19">
        <f>IF($B347="","",项目台账!$O346)</f>
        <v/>
      </c>
      <c r="K347" s="19">
        <f>IF($B347="","",项目台账!$P346)</f>
        <v/>
      </c>
      <c r="L347" s="19">
        <f>IF($B347="","",ROUND(SUMIFS(采购单!$L$4:$L$2003,采购单!$D$4:$D$2003,$B347,采购单!$F$4:$F$2003,"成本-主材")+SUMIFS(生产安装!$J$4:$J$1203,生产安装!$C$4:$C$1203,$B347,生产安装!$E$4:$E$1203,"成本-主材")+SUMIFS(资金日记账!$K$4:$K$2503,资金日记账!$G$4:$G$2503,$B347,资金日记账!$F$4:$F$2503,"成本-主材")-SUMIFS(资金日记账!$J$4:$J$2503,资金日记账!$G$4:$G$2503,$B347,资金日记账!$F$4:$F$2503,"成本-主材"),2))</f>
        <v/>
      </c>
      <c r="M347" s="19">
        <f>IF($B347="","",ROUND(SUMIFS(采购单!$L$4:$L$2003,采购单!$D$4:$D$2003,$B347,采购单!$F$4:$F$2003,"成本-辅材")+SUMIFS(生产安装!$J$4:$J$1203,生产安装!$C$4:$C$1203,$B347,生产安装!$E$4:$E$1203,"成本-辅材")+SUMIFS(资金日记账!$K$4:$K$2503,资金日记账!$G$4:$G$2503,$B347,资金日记账!$F$4:$F$2503,"成本-辅材")-SUMIFS(资金日记账!$J$4:$J$2503,资金日记账!$G$4:$G$2503,$B347,资金日记账!$F$4:$F$2503,"成本-辅材"),2))</f>
        <v/>
      </c>
      <c r="N347" s="19">
        <f>IF($B347="","",ROUND(SUMIFS(采购单!$L$4:$L$2003,采购单!$D$4:$D$2003,$B347,采购单!$F$4:$F$2003,"成本-人工")+SUMIFS(生产安装!$J$4:$J$1203,生产安装!$C$4:$C$1203,$B347,生产安装!$E$4:$E$1203,"成本-人工")+SUMIFS(资金日记账!$K$4:$K$2503,资金日记账!$G$4:$G$2503,$B347,资金日记账!$F$4:$F$2503,"成本-人工")-SUMIFS(资金日记账!$J$4:$J$2503,资金日记账!$G$4:$G$2503,$B347,资金日记账!$F$4:$F$2503,"成本-人工"),2))</f>
        <v/>
      </c>
      <c r="O347" s="19">
        <f>IF($B347="","",ROUND(SUMIFS(采购单!$L$4:$L$2003,采购单!$D$4:$D$2003,$B347,采购单!$F$4:$F$2003,"成本-车运")+SUMIFS(生产安装!$J$4:$J$1203,生产安装!$C$4:$C$1203,$B347,生产安装!$E$4:$E$1203,"成本-车运")+SUMIFS(资金日记账!$K$4:$K$2503,资金日记账!$G$4:$G$2503,$B347,资金日记账!$F$4:$F$2503,"成本-车运")-SUMIFS(资金日记账!$J$4:$J$2503,资金日记账!$G$4:$G$2503,$B347,资金日记账!$F$4:$F$2503,"成本-车运"),2))</f>
        <v/>
      </c>
      <c r="P347" s="19">
        <f>IF($B347="","",ROUND(SUMIFS(采购单!$L$4:$L$2003,采购单!$D$4:$D$2003,$B347,采购单!$F$4:$F$2003,"成本-其他")+SUMIFS(生产安装!$J$4:$J$1203,生产安装!$C$4:$C$1203,$B347,生产安装!$E$4:$E$1203,"成本-其他")+SUMIFS(资金日记账!$K$4:$K$2503,资金日记账!$G$4:$G$2503,$B347,资金日记账!$F$4:$F$2503,"成本-其他")-SUMIFS(资金日记账!$J$4:$J$2503,资金日记账!$G$4:$G$2503,$B347,资金日记账!$F$4:$F$2503,"成本-其他"),2))</f>
        <v/>
      </c>
      <c r="Q347" s="19">
        <f>IF($B347="","",ROUND(SUM($L347:$P347),2))</f>
        <v/>
      </c>
      <c r="R347" s="19">
        <f>IF($B347="","",ROUND($I347-$Q347,2))</f>
        <v/>
      </c>
      <c r="S347" s="33">
        <f>IF($B347="","",IF(ROUND($I347,2)=0,"",ROUND($R347/$I347,4)))</f>
        <v/>
      </c>
      <c r="T347" s="22">
        <f>IF($B347="","",IF($G347="",0,YEAR($G347)*100+MONTH($G347)))</f>
        <v/>
      </c>
      <c r="U347" s="17">
        <f>IF($B347="","",IF(项目台账!$R346="","",项目台账!$R346))</f>
        <v/>
      </c>
    </row>
    <row r="348">
      <c r="A348" s="17">
        <f>IF(项目台账!$B347="","",项目台账!$A347)</f>
        <v/>
      </c>
      <c r="B348" s="17">
        <f>IF(项目台账!$B347="","",项目台账!$B347)</f>
        <v/>
      </c>
      <c r="C348" s="17">
        <f>IF($B348="","",IF(项目台账!$C347="","",项目台账!$C347))</f>
        <v/>
      </c>
      <c r="D348" s="17">
        <f>IF($B348="","",IF(项目台账!$D347="","",项目台账!$D347))</f>
        <v/>
      </c>
      <c r="E348" s="17">
        <f>IF($B348="","",IF(项目台账!$E347="","",项目台账!$E347))</f>
        <v/>
      </c>
      <c r="F348" s="23">
        <f>IF($B348="","",IF(项目台账!$F347="","",项目台账!$F347))</f>
        <v/>
      </c>
      <c r="G348" s="23">
        <f>IF($B348="","",IF(项目台账!$J347="","",项目台账!$J347))</f>
        <v/>
      </c>
      <c r="H348" s="17">
        <f>IF($B348="","",IF(项目台账!$Q347="","",项目台账!$Q347))</f>
        <v/>
      </c>
      <c r="I348" s="19">
        <f>IF($B348="","",项目台账!$M347)</f>
        <v/>
      </c>
      <c r="J348" s="19">
        <f>IF($B348="","",项目台账!$O347)</f>
        <v/>
      </c>
      <c r="K348" s="19">
        <f>IF($B348="","",项目台账!$P347)</f>
        <v/>
      </c>
      <c r="L348" s="19">
        <f>IF($B348="","",ROUND(SUMIFS(采购单!$L$4:$L$2003,采购单!$D$4:$D$2003,$B348,采购单!$F$4:$F$2003,"成本-主材")+SUMIFS(生产安装!$J$4:$J$1203,生产安装!$C$4:$C$1203,$B348,生产安装!$E$4:$E$1203,"成本-主材")+SUMIFS(资金日记账!$K$4:$K$2503,资金日记账!$G$4:$G$2503,$B348,资金日记账!$F$4:$F$2503,"成本-主材")-SUMIFS(资金日记账!$J$4:$J$2503,资金日记账!$G$4:$G$2503,$B348,资金日记账!$F$4:$F$2503,"成本-主材"),2))</f>
        <v/>
      </c>
      <c r="M348" s="19">
        <f>IF($B348="","",ROUND(SUMIFS(采购单!$L$4:$L$2003,采购单!$D$4:$D$2003,$B348,采购单!$F$4:$F$2003,"成本-辅材")+SUMIFS(生产安装!$J$4:$J$1203,生产安装!$C$4:$C$1203,$B348,生产安装!$E$4:$E$1203,"成本-辅材")+SUMIFS(资金日记账!$K$4:$K$2503,资金日记账!$G$4:$G$2503,$B348,资金日记账!$F$4:$F$2503,"成本-辅材")-SUMIFS(资金日记账!$J$4:$J$2503,资金日记账!$G$4:$G$2503,$B348,资金日记账!$F$4:$F$2503,"成本-辅材"),2))</f>
        <v/>
      </c>
      <c r="N348" s="19">
        <f>IF($B348="","",ROUND(SUMIFS(采购单!$L$4:$L$2003,采购单!$D$4:$D$2003,$B348,采购单!$F$4:$F$2003,"成本-人工")+SUMIFS(生产安装!$J$4:$J$1203,生产安装!$C$4:$C$1203,$B348,生产安装!$E$4:$E$1203,"成本-人工")+SUMIFS(资金日记账!$K$4:$K$2503,资金日记账!$G$4:$G$2503,$B348,资金日记账!$F$4:$F$2503,"成本-人工")-SUMIFS(资金日记账!$J$4:$J$2503,资金日记账!$G$4:$G$2503,$B348,资金日记账!$F$4:$F$2503,"成本-人工"),2))</f>
        <v/>
      </c>
      <c r="O348" s="19">
        <f>IF($B348="","",ROUND(SUMIFS(采购单!$L$4:$L$2003,采购单!$D$4:$D$2003,$B348,采购单!$F$4:$F$2003,"成本-车运")+SUMIFS(生产安装!$J$4:$J$1203,生产安装!$C$4:$C$1203,$B348,生产安装!$E$4:$E$1203,"成本-车运")+SUMIFS(资金日记账!$K$4:$K$2503,资金日记账!$G$4:$G$2503,$B348,资金日记账!$F$4:$F$2503,"成本-车运")-SUMIFS(资金日记账!$J$4:$J$2503,资金日记账!$G$4:$G$2503,$B348,资金日记账!$F$4:$F$2503,"成本-车运"),2))</f>
        <v/>
      </c>
      <c r="P348" s="19">
        <f>IF($B348="","",ROUND(SUMIFS(采购单!$L$4:$L$2003,采购单!$D$4:$D$2003,$B348,采购单!$F$4:$F$2003,"成本-其他")+SUMIFS(生产安装!$J$4:$J$1203,生产安装!$C$4:$C$1203,$B348,生产安装!$E$4:$E$1203,"成本-其他")+SUMIFS(资金日记账!$K$4:$K$2503,资金日记账!$G$4:$G$2503,$B348,资金日记账!$F$4:$F$2503,"成本-其他")-SUMIFS(资金日记账!$J$4:$J$2503,资金日记账!$G$4:$G$2503,$B348,资金日记账!$F$4:$F$2503,"成本-其他"),2))</f>
        <v/>
      </c>
      <c r="Q348" s="19">
        <f>IF($B348="","",ROUND(SUM($L348:$P348),2))</f>
        <v/>
      </c>
      <c r="R348" s="19">
        <f>IF($B348="","",ROUND($I348-$Q348,2))</f>
        <v/>
      </c>
      <c r="S348" s="33">
        <f>IF($B348="","",IF(ROUND($I348,2)=0,"",ROUND($R348/$I348,4)))</f>
        <v/>
      </c>
      <c r="T348" s="22">
        <f>IF($B348="","",IF($G348="",0,YEAR($G348)*100+MONTH($G348)))</f>
        <v/>
      </c>
      <c r="U348" s="17">
        <f>IF($B348="","",IF(项目台账!$R347="","",项目台账!$R347))</f>
        <v/>
      </c>
    </row>
    <row r="349">
      <c r="A349" s="17">
        <f>IF(项目台账!$B348="","",项目台账!$A348)</f>
        <v/>
      </c>
      <c r="B349" s="17">
        <f>IF(项目台账!$B348="","",项目台账!$B348)</f>
        <v/>
      </c>
      <c r="C349" s="17">
        <f>IF($B349="","",IF(项目台账!$C348="","",项目台账!$C348))</f>
        <v/>
      </c>
      <c r="D349" s="17">
        <f>IF($B349="","",IF(项目台账!$D348="","",项目台账!$D348))</f>
        <v/>
      </c>
      <c r="E349" s="17">
        <f>IF($B349="","",IF(项目台账!$E348="","",项目台账!$E348))</f>
        <v/>
      </c>
      <c r="F349" s="23">
        <f>IF($B349="","",IF(项目台账!$F348="","",项目台账!$F348))</f>
        <v/>
      </c>
      <c r="G349" s="23">
        <f>IF($B349="","",IF(项目台账!$J348="","",项目台账!$J348))</f>
        <v/>
      </c>
      <c r="H349" s="17">
        <f>IF($B349="","",IF(项目台账!$Q348="","",项目台账!$Q348))</f>
        <v/>
      </c>
      <c r="I349" s="19">
        <f>IF($B349="","",项目台账!$M348)</f>
        <v/>
      </c>
      <c r="J349" s="19">
        <f>IF($B349="","",项目台账!$O348)</f>
        <v/>
      </c>
      <c r="K349" s="19">
        <f>IF($B349="","",项目台账!$P348)</f>
        <v/>
      </c>
      <c r="L349" s="19">
        <f>IF($B349="","",ROUND(SUMIFS(采购单!$L$4:$L$2003,采购单!$D$4:$D$2003,$B349,采购单!$F$4:$F$2003,"成本-主材")+SUMIFS(生产安装!$J$4:$J$1203,生产安装!$C$4:$C$1203,$B349,生产安装!$E$4:$E$1203,"成本-主材")+SUMIFS(资金日记账!$K$4:$K$2503,资金日记账!$G$4:$G$2503,$B349,资金日记账!$F$4:$F$2503,"成本-主材")-SUMIFS(资金日记账!$J$4:$J$2503,资金日记账!$G$4:$G$2503,$B349,资金日记账!$F$4:$F$2503,"成本-主材"),2))</f>
        <v/>
      </c>
      <c r="M349" s="19">
        <f>IF($B349="","",ROUND(SUMIFS(采购单!$L$4:$L$2003,采购单!$D$4:$D$2003,$B349,采购单!$F$4:$F$2003,"成本-辅材")+SUMIFS(生产安装!$J$4:$J$1203,生产安装!$C$4:$C$1203,$B349,生产安装!$E$4:$E$1203,"成本-辅材")+SUMIFS(资金日记账!$K$4:$K$2503,资金日记账!$G$4:$G$2503,$B349,资金日记账!$F$4:$F$2503,"成本-辅材")-SUMIFS(资金日记账!$J$4:$J$2503,资金日记账!$G$4:$G$2503,$B349,资金日记账!$F$4:$F$2503,"成本-辅材"),2))</f>
        <v/>
      </c>
      <c r="N349" s="19">
        <f>IF($B349="","",ROUND(SUMIFS(采购单!$L$4:$L$2003,采购单!$D$4:$D$2003,$B349,采购单!$F$4:$F$2003,"成本-人工")+SUMIFS(生产安装!$J$4:$J$1203,生产安装!$C$4:$C$1203,$B349,生产安装!$E$4:$E$1203,"成本-人工")+SUMIFS(资金日记账!$K$4:$K$2503,资金日记账!$G$4:$G$2503,$B349,资金日记账!$F$4:$F$2503,"成本-人工")-SUMIFS(资金日记账!$J$4:$J$2503,资金日记账!$G$4:$G$2503,$B349,资金日记账!$F$4:$F$2503,"成本-人工"),2))</f>
        <v/>
      </c>
      <c r="O349" s="19">
        <f>IF($B349="","",ROUND(SUMIFS(采购单!$L$4:$L$2003,采购单!$D$4:$D$2003,$B349,采购单!$F$4:$F$2003,"成本-车运")+SUMIFS(生产安装!$J$4:$J$1203,生产安装!$C$4:$C$1203,$B349,生产安装!$E$4:$E$1203,"成本-车运")+SUMIFS(资金日记账!$K$4:$K$2503,资金日记账!$G$4:$G$2503,$B349,资金日记账!$F$4:$F$2503,"成本-车运")-SUMIFS(资金日记账!$J$4:$J$2503,资金日记账!$G$4:$G$2503,$B349,资金日记账!$F$4:$F$2503,"成本-车运"),2))</f>
        <v/>
      </c>
      <c r="P349" s="19">
        <f>IF($B349="","",ROUND(SUMIFS(采购单!$L$4:$L$2003,采购单!$D$4:$D$2003,$B349,采购单!$F$4:$F$2003,"成本-其他")+SUMIFS(生产安装!$J$4:$J$1203,生产安装!$C$4:$C$1203,$B349,生产安装!$E$4:$E$1203,"成本-其他")+SUMIFS(资金日记账!$K$4:$K$2503,资金日记账!$G$4:$G$2503,$B349,资金日记账!$F$4:$F$2503,"成本-其他")-SUMIFS(资金日记账!$J$4:$J$2503,资金日记账!$G$4:$G$2503,$B349,资金日记账!$F$4:$F$2503,"成本-其他"),2))</f>
        <v/>
      </c>
      <c r="Q349" s="19">
        <f>IF($B349="","",ROUND(SUM($L349:$P349),2))</f>
        <v/>
      </c>
      <c r="R349" s="19">
        <f>IF($B349="","",ROUND($I349-$Q349,2))</f>
        <v/>
      </c>
      <c r="S349" s="33">
        <f>IF($B349="","",IF(ROUND($I349,2)=0,"",ROUND($R349/$I349,4)))</f>
        <v/>
      </c>
      <c r="T349" s="22">
        <f>IF($B349="","",IF($G349="",0,YEAR($G349)*100+MONTH($G349)))</f>
        <v/>
      </c>
      <c r="U349" s="17">
        <f>IF($B349="","",IF(项目台账!$R348="","",项目台账!$R348))</f>
        <v/>
      </c>
    </row>
    <row r="350">
      <c r="A350" s="17">
        <f>IF(项目台账!$B349="","",项目台账!$A349)</f>
        <v/>
      </c>
      <c r="B350" s="17">
        <f>IF(项目台账!$B349="","",项目台账!$B349)</f>
        <v/>
      </c>
      <c r="C350" s="17">
        <f>IF($B350="","",IF(项目台账!$C349="","",项目台账!$C349))</f>
        <v/>
      </c>
      <c r="D350" s="17">
        <f>IF($B350="","",IF(项目台账!$D349="","",项目台账!$D349))</f>
        <v/>
      </c>
      <c r="E350" s="17">
        <f>IF($B350="","",IF(项目台账!$E349="","",项目台账!$E349))</f>
        <v/>
      </c>
      <c r="F350" s="23">
        <f>IF($B350="","",IF(项目台账!$F349="","",项目台账!$F349))</f>
        <v/>
      </c>
      <c r="G350" s="23">
        <f>IF($B350="","",IF(项目台账!$J349="","",项目台账!$J349))</f>
        <v/>
      </c>
      <c r="H350" s="17">
        <f>IF($B350="","",IF(项目台账!$Q349="","",项目台账!$Q349))</f>
        <v/>
      </c>
      <c r="I350" s="19">
        <f>IF($B350="","",项目台账!$M349)</f>
        <v/>
      </c>
      <c r="J350" s="19">
        <f>IF($B350="","",项目台账!$O349)</f>
        <v/>
      </c>
      <c r="K350" s="19">
        <f>IF($B350="","",项目台账!$P349)</f>
        <v/>
      </c>
      <c r="L350" s="19">
        <f>IF($B350="","",ROUND(SUMIFS(采购单!$L$4:$L$2003,采购单!$D$4:$D$2003,$B350,采购单!$F$4:$F$2003,"成本-主材")+SUMIFS(生产安装!$J$4:$J$1203,生产安装!$C$4:$C$1203,$B350,生产安装!$E$4:$E$1203,"成本-主材")+SUMIFS(资金日记账!$K$4:$K$2503,资金日记账!$G$4:$G$2503,$B350,资金日记账!$F$4:$F$2503,"成本-主材")-SUMIFS(资金日记账!$J$4:$J$2503,资金日记账!$G$4:$G$2503,$B350,资金日记账!$F$4:$F$2503,"成本-主材"),2))</f>
        <v/>
      </c>
      <c r="M350" s="19">
        <f>IF($B350="","",ROUND(SUMIFS(采购单!$L$4:$L$2003,采购单!$D$4:$D$2003,$B350,采购单!$F$4:$F$2003,"成本-辅材")+SUMIFS(生产安装!$J$4:$J$1203,生产安装!$C$4:$C$1203,$B350,生产安装!$E$4:$E$1203,"成本-辅材")+SUMIFS(资金日记账!$K$4:$K$2503,资金日记账!$G$4:$G$2503,$B350,资金日记账!$F$4:$F$2503,"成本-辅材")-SUMIFS(资金日记账!$J$4:$J$2503,资金日记账!$G$4:$G$2503,$B350,资金日记账!$F$4:$F$2503,"成本-辅材"),2))</f>
        <v/>
      </c>
      <c r="N350" s="19">
        <f>IF($B350="","",ROUND(SUMIFS(采购单!$L$4:$L$2003,采购单!$D$4:$D$2003,$B350,采购单!$F$4:$F$2003,"成本-人工")+SUMIFS(生产安装!$J$4:$J$1203,生产安装!$C$4:$C$1203,$B350,生产安装!$E$4:$E$1203,"成本-人工")+SUMIFS(资金日记账!$K$4:$K$2503,资金日记账!$G$4:$G$2503,$B350,资金日记账!$F$4:$F$2503,"成本-人工")-SUMIFS(资金日记账!$J$4:$J$2503,资金日记账!$G$4:$G$2503,$B350,资金日记账!$F$4:$F$2503,"成本-人工"),2))</f>
        <v/>
      </c>
      <c r="O350" s="19">
        <f>IF($B350="","",ROUND(SUMIFS(采购单!$L$4:$L$2003,采购单!$D$4:$D$2003,$B350,采购单!$F$4:$F$2003,"成本-车运")+SUMIFS(生产安装!$J$4:$J$1203,生产安装!$C$4:$C$1203,$B350,生产安装!$E$4:$E$1203,"成本-车运")+SUMIFS(资金日记账!$K$4:$K$2503,资金日记账!$G$4:$G$2503,$B350,资金日记账!$F$4:$F$2503,"成本-车运")-SUMIFS(资金日记账!$J$4:$J$2503,资金日记账!$G$4:$G$2503,$B350,资金日记账!$F$4:$F$2503,"成本-车运"),2))</f>
        <v/>
      </c>
      <c r="P350" s="19">
        <f>IF($B350="","",ROUND(SUMIFS(采购单!$L$4:$L$2003,采购单!$D$4:$D$2003,$B350,采购单!$F$4:$F$2003,"成本-其他")+SUMIFS(生产安装!$J$4:$J$1203,生产安装!$C$4:$C$1203,$B350,生产安装!$E$4:$E$1203,"成本-其他")+SUMIFS(资金日记账!$K$4:$K$2503,资金日记账!$G$4:$G$2503,$B350,资金日记账!$F$4:$F$2503,"成本-其他")-SUMIFS(资金日记账!$J$4:$J$2503,资金日记账!$G$4:$G$2503,$B350,资金日记账!$F$4:$F$2503,"成本-其他"),2))</f>
        <v/>
      </c>
      <c r="Q350" s="19">
        <f>IF($B350="","",ROUND(SUM($L350:$P350),2))</f>
        <v/>
      </c>
      <c r="R350" s="19">
        <f>IF($B350="","",ROUND($I350-$Q350,2))</f>
        <v/>
      </c>
      <c r="S350" s="33">
        <f>IF($B350="","",IF(ROUND($I350,2)=0,"",ROUND($R350/$I350,4)))</f>
        <v/>
      </c>
      <c r="T350" s="22">
        <f>IF($B350="","",IF($G350="",0,YEAR($G350)*100+MONTH($G350)))</f>
        <v/>
      </c>
      <c r="U350" s="17">
        <f>IF($B350="","",IF(项目台账!$R349="","",项目台账!$R349))</f>
        <v/>
      </c>
    </row>
    <row r="351">
      <c r="A351" s="17">
        <f>IF(项目台账!$B350="","",项目台账!$A350)</f>
        <v/>
      </c>
      <c r="B351" s="17">
        <f>IF(项目台账!$B350="","",项目台账!$B350)</f>
        <v/>
      </c>
      <c r="C351" s="17">
        <f>IF($B351="","",IF(项目台账!$C350="","",项目台账!$C350))</f>
        <v/>
      </c>
      <c r="D351" s="17">
        <f>IF($B351="","",IF(项目台账!$D350="","",项目台账!$D350))</f>
        <v/>
      </c>
      <c r="E351" s="17">
        <f>IF($B351="","",IF(项目台账!$E350="","",项目台账!$E350))</f>
        <v/>
      </c>
      <c r="F351" s="23">
        <f>IF($B351="","",IF(项目台账!$F350="","",项目台账!$F350))</f>
        <v/>
      </c>
      <c r="G351" s="23">
        <f>IF($B351="","",IF(项目台账!$J350="","",项目台账!$J350))</f>
        <v/>
      </c>
      <c r="H351" s="17">
        <f>IF($B351="","",IF(项目台账!$Q350="","",项目台账!$Q350))</f>
        <v/>
      </c>
      <c r="I351" s="19">
        <f>IF($B351="","",项目台账!$M350)</f>
        <v/>
      </c>
      <c r="J351" s="19">
        <f>IF($B351="","",项目台账!$O350)</f>
        <v/>
      </c>
      <c r="K351" s="19">
        <f>IF($B351="","",项目台账!$P350)</f>
        <v/>
      </c>
      <c r="L351" s="19">
        <f>IF($B351="","",ROUND(SUMIFS(采购单!$L$4:$L$2003,采购单!$D$4:$D$2003,$B351,采购单!$F$4:$F$2003,"成本-主材")+SUMIFS(生产安装!$J$4:$J$1203,生产安装!$C$4:$C$1203,$B351,生产安装!$E$4:$E$1203,"成本-主材")+SUMIFS(资金日记账!$K$4:$K$2503,资金日记账!$G$4:$G$2503,$B351,资金日记账!$F$4:$F$2503,"成本-主材")-SUMIFS(资金日记账!$J$4:$J$2503,资金日记账!$G$4:$G$2503,$B351,资金日记账!$F$4:$F$2503,"成本-主材"),2))</f>
        <v/>
      </c>
      <c r="M351" s="19">
        <f>IF($B351="","",ROUND(SUMIFS(采购单!$L$4:$L$2003,采购单!$D$4:$D$2003,$B351,采购单!$F$4:$F$2003,"成本-辅材")+SUMIFS(生产安装!$J$4:$J$1203,生产安装!$C$4:$C$1203,$B351,生产安装!$E$4:$E$1203,"成本-辅材")+SUMIFS(资金日记账!$K$4:$K$2503,资金日记账!$G$4:$G$2503,$B351,资金日记账!$F$4:$F$2503,"成本-辅材")-SUMIFS(资金日记账!$J$4:$J$2503,资金日记账!$G$4:$G$2503,$B351,资金日记账!$F$4:$F$2503,"成本-辅材"),2))</f>
        <v/>
      </c>
      <c r="N351" s="19">
        <f>IF($B351="","",ROUND(SUMIFS(采购单!$L$4:$L$2003,采购单!$D$4:$D$2003,$B351,采购单!$F$4:$F$2003,"成本-人工")+SUMIFS(生产安装!$J$4:$J$1203,生产安装!$C$4:$C$1203,$B351,生产安装!$E$4:$E$1203,"成本-人工")+SUMIFS(资金日记账!$K$4:$K$2503,资金日记账!$G$4:$G$2503,$B351,资金日记账!$F$4:$F$2503,"成本-人工")-SUMIFS(资金日记账!$J$4:$J$2503,资金日记账!$G$4:$G$2503,$B351,资金日记账!$F$4:$F$2503,"成本-人工"),2))</f>
        <v/>
      </c>
      <c r="O351" s="19">
        <f>IF($B351="","",ROUND(SUMIFS(采购单!$L$4:$L$2003,采购单!$D$4:$D$2003,$B351,采购单!$F$4:$F$2003,"成本-车运")+SUMIFS(生产安装!$J$4:$J$1203,生产安装!$C$4:$C$1203,$B351,生产安装!$E$4:$E$1203,"成本-车运")+SUMIFS(资金日记账!$K$4:$K$2503,资金日记账!$G$4:$G$2503,$B351,资金日记账!$F$4:$F$2503,"成本-车运")-SUMIFS(资金日记账!$J$4:$J$2503,资金日记账!$G$4:$G$2503,$B351,资金日记账!$F$4:$F$2503,"成本-车运"),2))</f>
        <v/>
      </c>
      <c r="P351" s="19">
        <f>IF($B351="","",ROUND(SUMIFS(采购单!$L$4:$L$2003,采购单!$D$4:$D$2003,$B351,采购单!$F$4:$F$2003,"成本-其他")+SUMIFS(生产安装!$J$4:$J$1203,生产安装!$C$4:$C$1203,$B351,生产安装!$E$4:$E$1203,"成本-其他")+SUMIFS(资金日记账!$K$4:$K$2503,资金日记账!$G$4:$G$2503,$B351,资金日记账!$F$4:$F$2503,"成本-其他")-SUMIFS(资金日记账!$J$4:$J$2503,资金日记账!$G$4:$G$2503,$B351,资金日记账!$F$4:$F$2503,"成本-其他"),2))</f>
        <v/>
      </c>
      <c r="Q351" s="19">
        <f>IF($B351="","",ROUND(SUM($L351:$P351),2))</f>
        <v/>
      </c>
      <c r="R351" s="19">
        <f>IF($B351="","",ROUND($I351-$Q351,2))</f>
        <v/>
      </c>
      <c r="S351" s="33">
        <f>IF($B351="","",IF(ROUND($I351,2)=0,"",ROUND($R351/$I351,4)))</f>
        <v/>
      </c>
      <c r="T351" s="22">
        <f>IF($B351="","",IF($G351="",0,YEAR($G351)*100+MONTH($G351)))</f>
        <v/>
      </c>
      <c r="U351" s="17">
        <f>IF($B351="","",IF(项目台账!$R350="","",项目台账!$R350))</f>
        <v/>
      </c>
    </row>
    <row r="352">
      <c r="A352" s="17">
        <f>IF(项目台账!$B351="","",项目台账!$A351)</f>
        <v/>
      </c>
      <c r="B352" s="17">
        <f>IF(项目台账!$B351="","",项目台账!$B351)</f>
        <v/>
      </c>
      <c r="C352" s="17">
        <f>IF($B352="","",IF(项目台账!$C351="","",项目台账!$C351))</f>
        <v/>
      </c>
      <c r="D352" s="17">
        <f>IF($B352="","",IF(项目台账!$D351="","",项目台账!$D351))</f>
        <v/>
      </c>
      <c r="E352" s="17">
        <f>IF($B352="","",IF(项目台账!$E351="","",项目台账!$E351))</f>
        <v/>
      </c>
      <c r="F352" s="23">
        <f>IF($B352="","",IF(项目台账!$F351="","",项目台账!$F351))</f>
        <v/>
      </c>
      <c r="G352" s="23">
        <f>IF($B352="","",IF(项目台账!$J351="","",项目台账!$J351))</f>
        <v/>
      </c>
      <c r="H352" s="17">
        <f>IF($B352="","",IF(项目台账!$Q351="","",项目台账!$Q351))</f>
        <v/>
      </c>
      <c r="I352" s="19">
        <f>IF($B352="","",项目台账!$M351)</f>
        <v/>
      </c>
      <c r="J352" s="19">
        <f>IF($B352="","",项目台账!$O351)</f>
        <v/>
      </c>
      <c r="K352" s="19">
        <f>IF($B352="","",项目台账!$P351)</f>
        <v/>
      </c>
      <c r="L352" s="19">
        <f>IF($B352="","",ROUND(SUMIFS(采购单!$L$4:$L$2003,采购单!$D$4:$D$2003,$B352,采购单!$F$4:$F$2003,"成本-主材")+SUMIFS(生产安装!$J$4:$J$1203,生产安装!$C$4:$C$1203,$B352,生产安装!$E$4:$E$1203,"成本-主材")+SUMIFS(资金日记账!$K$4:$K$2503,资金日记账!$G$4:$G$2503,$B352,资金日记账!$F$4:$F$2503,"成本-主材")-SUMIFS(资金日记账!$J$4:$J$2503,资金日记账!$G$4:$G$2503,$B352,资金日记账!$F$4:$F$2503,"成本-主材"),2))</f>
        <v/>
      </c>
      <c r="M352" s="19">
        <f>IF($B352="","",ROUND(SUMIFS(采购单!$L$4:$L$2003,采购单!$D$4:$D$2003,$B352,采购单!$F$4:$F$2003,"成本-辅材")+SUMIFS(生产安装!$J$4:$J$1203,生产安装!$C$4:$C$1203,$B352,生产安装!$E$4:$E$1203,"成本-辅材")+SUMIFS(资金日记账!$K$4:$K$2503,资金日记账!$G$4:$G$2503,$B352,资金日记账!$F$4:$F$2503,"成本-辅材")-SUMIFS(资金日记账!$J$4:$J$2503,资金日记账!$G$4:$G$2503,$B352,资金日记账!$F$4:$F$2503,"成本-辅材"),2))</f>
        <v/>
      </c>
      <c r="N352" s="19">
        <f>IF($B352="","",ROUND(SUMIFS(采购单!$L$4:$L$2003,采购单!$D$4:$D$2003,$B352,采购单!$F$4:$F$2003,"成本-人工")+SUMIFS(生产安装!$J$4:$J$1203,生产安装!$C$4:$C$1203,$B352,生产安装!$E$4:$E$1203,"成本-人工")+SUMIFS(资金日记账!$K$4:$K$2503,资金日记账!$G$4:$G$2503,$B352,资金日记账!$F$4:$F$2503,"成本-人工")-SUMIFS(资金日记账!$J$4:$J$2503,资金日记账!$G$4:$G$2503,$B352,资金日记账!$F$4:$F$2503,"成本-人工"),2))</f>
        <v/>
      </c>
      <c r="O352" s="19">
        <f>IF($B352="","",ROUND(SUMIFS(采购单!$L$4:$L$2003,采购单!$D$4:$D$2003,$B352,采购单!$F$4:$F$2003,"成本-车运")+SUMIFS(生产安装!$J$4:$J$1203,生产安装!$C$4:$C$1203,$B352,生产安装!$E$4:$E$1203,"成本-车运")+SUMIFS(资金日记账!$K$4:$K$2503,资金日记账!$G$4:$G$2503,$B352,资金日记账!$F$4:$F$2503,"成本-车运")-SUMIFS(资金日记账!$J$4:$J$2503,资金日记账!$G$4:$G$2503,$B352,资金日记账!$F$4:$F$2503,"成本-车运"),2))</f>
        <v/>
      </c>
      <c r="P352" s="19">
        <f>IF($B352="","",ROUND(SUMIFS(采购单!$L$4:$L$2003,采购单!$D$4:$D$2003,$B352,采购单!$F$4:$F$2003,"成本-其他")+SUMIFS(生产安装!$J$4:$J$1203,生产安装!$C$4:$C$1203,$B352,生产安装!$E$4:$E$1203,"成本-其他")+SUMIFS(资金日记账!$K$4:$K$2503,资金日记账!$G$4:$G$2503,$B352,资金日记账!$F$4:$F$2503,"成本-其他")-SUMIFS(资金日记账!$J$4:$J$2503,资金日记账!$G$4:$G$2503,$B352,资金日记账!$F$4:$F$2503,"成本-其他"),2))</f>
        <v/>
      </c>
      <c r="Q352" s="19">
        <f>IF($B352="","",ROUND(SUM($L352:$P352),2))</f>
        <v/>
      </c>
      <c r="R352" s="19">
        <f>IF($B352="","",ROUND($I352-$Q352,2))</f>
        <v/>
      </c>
      <c r="S352" s="33">
        <f>IF($B352="","",IF(ROUND($I352,2)=0,"",ROUND($R352/$I352,4)))</f>
        <v/>
      </c>
      <c r="T352" s="22">
        <f>IF($B352="","",IF($G352="",0,YEAR($G352)*100+MONTH($G352)))</f>
        <v/>
      </c>
      <c r="U352" s="17">
        <f>IF($B352="","",IF(项目台账!$R351="","",项目台账!$R351))</f>
        <v/>
      </c>
    </row>
    <row r="353">
      <c r="A353" s="17">
        <f>IF(项目台账!$B352="","",项目台账!$A352)</f>
        <v/>
      </c>
      <c r="B353" s="17">
        <f>IF(项目台账!$B352="","",项目台账!$B352)</f>
        <v/>
      </c>
      <c r="C353" s="17">
        <f>IF($B353="","",IF(项目台账!$C352="","",项目台账!$C352))</f>
        <v/>
      </c>
      <c r="D353" s="17">
        <f>IF($B353="","",IF(项目台账!$D352="","",项目台账!$D352))</f>
        <v/>
      </c>
      <c r="E353" s="17">
        <f>IF($B353="","",IF(项目台账!$E352="","",项目台账!$E352))</f>
        <v/>
      </c>
      <c r="F353" s="23">
        <f>IF($B353="","",IF(项目台账!$F352="","",项目台账!$F352))</f>
        <v/>
      </c>
      <c r="G353" s="23">
        <f>IF($B353="","",IF(项目台账!$J352="","",项目台账!$J352))</f>
        <v/>
      </c>
      <c r="H353" s="17">
        <f>IF($B353="","",IF(项目台账!$Q352="","",项目台账!$Q352))</f>
        <v/>
      </c>
      <c r="I353" s="19">
        <f>IF($B353="","",项目台账!$M352)</f>
        <v/>
      </c>
      <c r="J353" s="19">
        <f>IF($B353="","",项目台账!$O352)</f>
        <v/>
      </c>
      <c r="K353" s="19">
        <f>IF($B353="","",项目台账!$P352)</f>
        <v/>
      </c>
      <c r="L353" s="19">
        <f>IF($B353="","",ROUND(SUMIFS(采购单!$L$4:$L$2003,采购单!$D$4:$D$2003,$B353,采购单!$F$4:$F$2003,"成本-主材")+SUMIFS(生产安装!$J$4:$J$1203,生产安装!$C$4:$C$1203,$B353,生产安装!$E$4:$E$1203,"成本-主材")+SUMIFS(资金日记账!$K$4:$K$2503,资金日记账!$G$4:$G$2503,$B353,资金日记账!$F$4:$F$2503,"成本-主材")-SUMIFS(资金日记账!$J$4:$J$2503,资金日记账!$G$4:$G$2503,$B353,资金日记账!$F$4:$F$2503,"成本-主材"),2))</f>
        <v/>
      </c>
      <c r="M353" s="19">
        <f>IF($B353="","",ROUND(SUMIFS(采购单!$L$4:$L$2003,采购单!$D$4:$D$2003,$B353,采购单!$F$4:$F$2003,"成本-辅材")+SUMIFS(生产安装!$J$4:$J$1203,生产安装!$C$4:$C$1203,$B353,生产安装!$E$4:$E$1203,"成本-辅材")+SUMIFS(资金日记账!$K$4:$K$2503,资金日记账!$G$4:$G$2503,$B353,资金日记账!$F$4:$F$2503,"成本-辅材")-SUMIFS(资金日记账!$J$4:$J$2503,资金日记账!$G$4:$G$2503,$B353,资金日记账!$F$4:$F$2503,"成本-辅材"),2))</f>
        <v/>
      </c>
      <c r="N353" s="19">
        <f>IF($B353="","",ROUND(SUMIFS(采购单!$L$4:$L$2003,采购单!$D$4:$D$2003,$B353,采购单!$F$4:$F$2003,"成本-人工")+SUMIFS(生产安装!$J$4:$J$1203,生产安装!$C$4:$C$1203,$B353,生产安装!$E$4:$E$1203,"成本-人工")+SUMIFS(资金日记账!$K$4:$K$2503,资金日记账!$G$4:$G$2503,$B353,资金日记账!$F$4:$F$2503,"成本-人工")-SUMIFS(资金日记账!$J$4:$J$2503,资金日记账!$G$4:$G$2503,$B353,资金日记账!$F$4:$F$2503,"成本-人工"),2))</f>
        <v/>
      </c>
      <c r="O353" s="19">
        <f>IF($B353="","",ROUND(SUMIFS(采购单!$L$4:$L$2003,采购单!$D$4:$D$2003,$B353,采购单!$F$4:$F$2003,"成本-车运")+SUMIFS(生产安装!$J$4:$J$1203,生产安装!$C$4:$C$1203,$B353,生产安装!$E$4:$E$1203,"成本-车运")+SUMIFS(资金日记账!$K$4:$K$2503,资金日记账!$G$4:$G$2503,$B353,资金日记账!$F$4:$F$2503,"成本-车运")-SUMIFS(资金日记账!$J$4:$J$2503,资金日记账!$G$4:$G$2503,$B353,资金日记账!$F$4:$F$2503,"成本-车运"),2))</f>
        <v/>
      </c>
      <c r="P353" s="19">
        <f>IF($B353="","",ROUND(SUMIFS(采购单!$L$4:$L$2003,采购单!$D$4:$D$2003,$B353,采购单!$F$4:$F$2003,"成本-其他")+SUMIFS(生产安装!$J$4:$J$1203,生产安装!$C$4:$C$1203,$B353,生产安装!$E$4:$E$1203,"成本-其他")+SUMIFS(资金日记账!$K$4:$K$2503,资金日记账!$G$4:$G$2503,$B353,资金日记账!$F$4:$F$2503,"成本-其他")-SUMIFS(资金日记账!$J$4:$J$2503,资金日记账!$G$4:$G$2503,$B353,资金日记账!$F$4:$F$2503,"成本-其他"),2))</f>
        <v/>
      </c>
      <c r="Q353" s="19">
        <f>IF($B353="","",ROUND(SUM($L353:$P353),2))</f>
        <v/>
      </c>
      <c r="R353" s="19">
        <f>IF($B353="","",ROUND($I353-$Q353,2))</f>
        <v/>
      </c>
      <c r="S353" s="33">
        <f>IF($B353="","",IF(ROUND($I353,2)=0,"",ROUND($R353/$I353,4)))</f>
        <v/>
      </c>
      <c r="T353" s="22">
        <f>IF($B353="","",IF($G353="",0,YEAR($G353)*100+MONTH($G353)))</f>
        <v/>
      </c>
      <c r="U353" s="17">
        <f>IF($B353="","",IF(项目台账!$R352="","",项目台账!$R352))</f>
        <v/>
      </c>
    </row>
    <row r="354">
      <c r="A354" s="17">
        <f>IF(项目台账!$B353="","",项目台账!$A353)</f>
        <v/>
      </c>
      <c r="B354" s="17">
        <f>IF(项目台账!$B353="","",项目台账!$B353)</f>
        <v/>
      </c>
      <c r="C354" s="17">
        <f>IF($B354="","",IF(项目台账!$C353="","",项目台账!$C353))</f>
        <v/>
      </c>
      <c r="D354" s="17">
        <f>IF($B354="","",IF(项目台账!$D353="","",项目台账!$D353))</f>
        <v/>
      </c>
      <c r="E354" s="17">
        <f>IF($B354="","",IF(项目台账!$E353="","",项目台账!$E353))</f>
        <v/>
      </c>
      <c r="F354" s="23">
        <f>IF($B354="","",IF(项目台账!$F353="","",项目台账!$F353))</f>
        <v/>
      </c>
      <c r="G354" s="23">
        <f>IF($B354="","",IF(项目台账!$J353="","",项目台账!$J353))</f>
        <v/>
      </c>
      <c r="H354" s="17">
        <f>IF($B354="","",IF(项目台账!$Q353="","",项目台账!$Q353))</f>
        <v/>
      </c>
      <c r="I354" s="19">
        <f>IF($B354="","",项目台账!$M353)</f>
        <v/>
      </c>
      <c r="J354" s="19">
        <f>IF($B354="","",项目台账!$O353)</f>
        <v/>
      </c>
      <c r="K354" s="19">
        <f>IF($B354="","",项目台账!$P353)</f>
        <v/>
      </c>
      <c r="L354" s="19">
        <f>IF($B354="","",ROUND(SUMIFS(采购单!$L$4:$L$2003,采购单!$D$4:$D$2003,$B354,采购单!$F$4:$F$2003,"成本-主材")+SUMIFS(生产安装!$J$4:$J$1203,生产安装!$C$4:$C$1203,$B354,生产安装!$E$4:$E$1203,"成本-主材")+SUMIFS(资金日记账!$K$4:$K$2503,资金日记账!$G$4:$G$2503,$B354,资金日记账!$F$4:$F$2503,"成本-主材")-SUMIFS(资金日记账!$J$4:$J$2503,资金日记账!$G$4:$G$2503,$B354,资金日记账!$F$4:$F$2503,"成本-主材"),2))</f>
        <v/>
      </c>
      <c r="M354" s="19">
        <f>IF($B354="","",ROUND(SUMIFS(采购单!$L$4:$L$2003,采购单!$D$4:$D$2003,$B354,采购单!$F$4:$F$2003,"成本-辅材")+SUMIFS(生产安装!$J$4:$J$1203,生产安装!$C$4:$C$1203,$B354,生产安装!$E$4:$E$1203,"成本-辅材")+SUMIFS(资金日记账!$K$4:$K$2503,资金日记账!$G$4:$G$2503,$B354,资金日记账!$F$4:$F$2503,"成本-辅材")-SUMIFS(资金日记账!$J$4:$J$2503,资金日记账!$G$4:$G$2503,$B354,资金日记账!$F$4:$F$2503,"成本-辅材"),2))</f>
        <v/>
      </c>
      <c r="N354" s="19">
        <f>IF($B354="","",ROUND(SUMIFS(采购单!$L$4:$L$2003,采购单!$D$4:$D$2003,$B354,采购单!$F$4:$F$2003,"成本-人工")+SUMIFS(生产安装!$J$4:$J$1203,生产安装!$C$4:$C$1203,$B354,生产安装!$E$4:$E$1203,"成本-人工")+SUMIFS(资金日记账!$K$4:$K$2503,资金日记账!$G$4:$G$2503,$B354,资金日记账!$F$4:$F$2503,"成本-人工")-SUMIFS(资金日记账!$J$4:$J$2503,资金日记账!$G$4:$G$2503,$B354,资金日记账!$F$4:$F$2503,"成本-人工"),2))</f>
        <v/>
      </c>
      <c r="O354" s="19">
        <f>IF($B354="","",ROUND(SUMIFS(采购单!$L$4:$L$2003,采购单!$D$4:$D$2003,$B354,采购单!$F$4:$F$2003,"成本-车运")+SUMIFS(生产安装!$J$4:$J$1203,生产安装!$C$4:$C$1203,$B354,生产安装!$E$4:$E$1203,"成本-车运")+SUMIFS(资金日记账!$K$4:$K$2503,资金日记账!$G$4:$G$2503,$B354,资金日记账!$F$4:$F$2503,"成本-车运")-SUMIFS(资金日记账!$J$4:$J$2503,资金日记账!$G$4:$G$2503,$B354,资金日记账!$F$4:$F$2503,"成本-车运"),2))</f>
        <v/>
      </c>
      <c r="P354" s="19">
        <f>IF($B354="","",ROUND(SUMIFS(采购单!$L$4:$L$2003,采购单!$D$4:$D$2003,$B354,采购单!$F$4:$F$2003,"成本-其他")+SUMIFS(生产安装!$J$4:$J$1203,生产安装!$C$4:$C$1203,$B354,生产安装!$E$4:$E$1203,"成本-其他")+SUMIFS(资金日记账!$K$4:$K$2503,资金日记账!$G$4:$G$2503,$B354,资金日记账!$F$4:$F$2503,"成本-其他")-SUMIFS(资金日记账!$J$4:$J$2503,资金日记账!$G$4:$G$2503,$B354,资金日记账!$F$4:$F$2503,"成本-其他"),2))</f>
        <v/>
      </c>
      <c r="Q354" s="19">
        <f>IF($B354="","",ROUND(SUM($L354:$P354),2))</f>
        <v/>
      </c>
      <c r="R354" s="19">
        <f>IF($B354="","",ROUND($I354-$Q354,2))</f>
        <v/>
      </c>
      <c r="S354" s="33">
        <f>IF($B354="","",IF(ROUND($I354,2)=0,"",ROUND($R354/$I354,4)))</f>
        <v/>
      </c>
      <c r="T354" s="22">
        <f>IF($B354="","",IF($G354="",0,YEAR($G354)*100+MONTH($G354)))</f>
        <v/>
      </c>
      <c r="U354" s="17">
        <f>IF($B354="","",IF(项目台账!$R353="","",项目台账!$R353))</f>
        <v/>
      </c>
    </row>
    <row r="355">
      <c r="A355" s="17">
        <f>IF(项目台账!$B354="","",项目台账!$A354)</f>
        <v/>
      </c>
      <c r="B355" s="17">
        <f>IF(项目台账!$B354="","",项目台账!$B354)</f>
        <v/>
      </c>
      <c r="C355" s="17">
        <f>IF($B355="","",IF(项目台账!$C354="","",项目台账!$C354))</f>
        <v/>
      </c>
      <c r="D355" s="17">
        <f>IF($B355="","",IF(项目台账!$D354="","",项目台账!$D354))</f>
        <v/>
      </c>
      <c r="E355" s="17">
        <f>IF($B355="","",IF(项目台账!$E354="","",项目台账!$E354))</f>
        <v/>
      </c>
      <c r="F355" s="23">
        <f>IF($B355="","",IF(项目台账!$F354="","",项目台账!$F354))</f>
        <v/>
      </c>
      <c r="G355" s="23">
        <f>IF($B355="","",IF(项目台账!$J354="","",项目台账!$J354))</f>
        <v/>
      </c>
      <c r="H355" s="17">
        <f>IF($B355="","",IF(项目台账!$Q354="","",项目台账!$Q354))</f>
        <v/>
      </c>
      <c r="I355" s="19">
        <f>IF($B355="","",项目台账!$M354)</f>
        <v/>
      </c>
      <c r="J355" s="19">
        <f>IF($B355="","",项目台账!$O354)</f>
        <v/>
      </c>
      <c r="K355" s="19">
        <f>IF($B355="","",项目台账!$P354)</f>
        <v/>
      </c>
      <c r="L355" s="19">
        <f>IF($B355="","",ROUND(SUMIFS(采购单!$L$4:$L$2003,采购单!$D$4:$D$2003,$B355,采购单!$F$4:$F$2003,"成本-主材")+SUMIFS(生产安装!$J$4:$J$1203,生产安装!$C$4:$C$1203,$B355,生产安装!$E$4:$E$1203,"成本-主材")+SUMIFS(资金日记账!$K$4:$K$2503,资金日记账!$G$4:$G$2503,$B355,资金日记账!$F$4:$F$2503,"成本-主材")-SUMIFS(资金日记账!$J$4:$J$2503,资金日记账!$G$4:$G$2503,$B355,资金日记账!$F$4:$F$2503,"成本-主材"),2))</f>
        <v/>
      </c>
      <c r="M355" s="19">
        <f>IF($B355="","",ROUND(SUMIFS(采购单!$L$4:$L$2003,采购单!$D$4:$D$2003,$B355,采购单!$F$4:$F$2003,"成本-辅材")+SUMIFS(生产安装!$J$4:$J$1203,生产安装!$C$4:$C$1203,$B355,生产安装!$E$4:$E$1203,"成本-辅材")+SUMIFS(资金日记账!$K$4:$K$2503,资金日记账!$G$4:$G$2503,$B355,资金日记账!$F$4:$F$2503,"成本-辅材")-SUMIFS(资金日记账!$J$4:$J$2503,资金日记账!$G$4:$G$2503,$B355,资金日记账!$F$4:$F$2503,"成本-辅材"),2))</f>
        <v/>
      </c>
      <c r="N355" s="19">
        <f>IF($B355="","",ROUND(SUMIFS(采购单!$L$4:$L$2003,采购单!$D$4:$D$2003,$B355,采购单!$F$4:$F$2003,"成本-人工")+SUMIFS(生产安装!$J$4:$J$1203,生产安装!$C$4:$C$1203,$B355,生产安装!$E$4:$E$1203,"成本-人工")+SUMIFS(资金日记账!$K$4:$K$2503,资金日记账!$G$4:$G$2503,$B355,资金日记账!$F$4:$F$2503,"成本-人工")-SUMIFS(资金日记账!$J$4:$J$2503,资金日记账!$G$4:$G$2503,$B355,资金日记账!$F$4:$F$2503,"成本-人工"),2))</f>
        <v/>
      </c>
      <c r="O355" s="19">
        <f>IF($B355="","",ROUND(SUMIFS(采购单!$L$4:$L$2003,采购单!$D$4:$D$2003,$B355,采购单!$F$4:$F$2003,"成本-车运")+SUMIFS(生产安装!$J$4:$J$1203,生产安装!$C$4:$C$1203,$B355,生产安装!$E$4:$E$1203,"成本-车运")+SUMIFS(资金日记账!$K$4:$K$2503,资金日记账!$G$4:$G$2503,$B355,资金日记账!$F$4:$F$2503,"成本-车运")-SUMIFS(资金日记账!$J$4:$J$2503,资金日记账!$G$4:$G$2503,$B355,资金日记账!$F$4:$F$2503,"成本-车运"),2))</f>
        <v/>
      </c>
      <c r="P355" s="19">
        <f>IF($B355="","",ROUND(SUMIFS(采购单!$L$4:$L$2003,采购单!$D$4:$D$2003,$B355,采购单!$F$4:$F$2003,"成本-其他")+SUMIFS(生产安装!$J$4:$J$1203,生产安装!$C$4:$C$1203,$B355,生产安装!$E$4:$E$1203,"成本-其他")+SUMIFS(资金日记账!$K$4:$K$2503,资金日记账!$G$4:$G$2503,$B355,资金日记账!$F$4:$F$2503,"成本-其他")-SUMIFS(资金日记账!$J$4:$J$2503,资金日记账!$G$4:$G$2503,$B355,资金日记账!$F$4:$F$2503,"成本-其他"),2))</f>
        <v/>
      </c>
      <c r="Q355" s="19">
        <f>IF($B355="","",ROUND(SUM($L355:$P355),2))</f>
        <v/>
      </c>
      <c r="R355" s="19">
        <f>IF($B355="","",ROUND($I355-$Q355,2))</f>
        <v/>
      </c>
      <c r="S355" s="33">
        <f>IF($B355="","",IF(ROUND($I355,2)=0,"",ROUND($R355/$I355,4)))</f>
        <v/>
      </c>
      <c r="T355" s="22">
        <f>IF($B355="","",IF($G355="",0,YEAR($G355)*100+MONTH($G355)))</f>
        <v/>
      </c>
      <c r="U355" s="17">
        <f>IF($B355="","",IF(项目台账!$R354="","",项目台账!$R354))</f>
        <v/>
      </c>
    </row>
    <row r="356">
      <c r="A356" s="17">
        <f>IF(项目台账!$B355="","",项目台账!$A355)</f>
        <v/>
      </c>
      <c r="B356" s="17">
        <f>IF(项目台账!$B355="","",项目台账!$B355)</f>
        <v/>
      </c>
      <c r="C356" s="17">
        <f>IF($B356="","",IF(项目台账!$C355="","",项目台账!$C355))</f>
        <v/>
      </c>
      <c r="D356" s="17">
        <f>IF($B356="","",IF(项目台账!$D355="","",项目台账!$D355))</f>
        <v/>
      </c>
      <c r="E356" s="17">
        <f>IF($B356="","",IF(项目台账!$E355="","",项目台账!$E355))</f>
        <v/>
      </c>
      <c r="F356" s="23">
        <f>IF($B356="","",IF(项目台账!$F355="","",项目台账!$F355))</f>
        <v/>
      </c>
      <c r="G356" s="23">
        <f>IF($B356="","",IF(项目台账!$J355="","",项目台账!$J355))</f>
        <v/>
      </c>
      <c r="H356" s="17">
        <f>IF($B356="","",IF(项目台账!$Q355="","",项目台账!$Q355))</f>
        <v/>
      </c>
      <c r="I356" s="19">
        <f>IF($B356="","",项目台账!$M355)</f>
        <v/>
      </c>
      <c r="J356" s="19">
        <f>IF($B356="","",项目台账!$O355)</f>
        <v/>
      </c>
      <c r="K356" s="19">
        <f>IF($B356="","",项目台账!$P355)</f>
        <v/>
      </c>
      <c r="L356" s="19">
        <f>IF($B356="","",ROUND(SUMIFS(采购单!$L$4:$L$2003,采购单!$D$4:$D$2003,$B356,采购单!$F$4:$F$2003,"成本-主材")+SUMIFS(生产安装!$J$4:$J$1203,生产安装!$C$4:$C$1203,$B356,生产安装!$E$4:$E$1203,"成本-主材")+SUMIFS(资金日记账!$K$4:$K$2503,资金日记账!$G$4:$G$2503,$B356,资金日记账!$F$4:$F$2503,"成本-主材")-SUMIFS(资金日记账!$J$4:$J$2503,资金日记账!$G$4:$G$2503,$B356,资金日记账!$F$4:$F$2503,"成本-主材"),2))</f>
        <v/>
      </c>
      <c r="M356" s="19">
        <f>IF($B356="","",ROUND(SUMIFS(采购单!$L$4:$L$2003,采购单!$D$4:$D$2003,$B356,采购单!$F$4:$F$2003,"成本-辅材")+SUMIFS(生产安装!$J$4:$J$1203,生产安装!$C$4:$C$1203,$B356,生产安装!$E$4:$E$1203,"成本-辅材")+SUMIFS(资金日记账!$K$4:$K$2503,资金日记账!$G$4:$G$2503,$B356,资金日记账!$F$4:$F$2503,"成本-辅材")-SUMIFS(资金日记账!$J$4:$J$2503,资金日记账!$G$4:$G$2503,$B356,资金日记账!$F$4:$F$2503,"成本-辅材"),2))</f>
        <v/>
      </c>
      <c r="N356" s="19">
        <f>IF($B356="","",ROUND(SUMIFS(采购单!$L$4:$L$2003,采购单!$D$4:$D$2003,$B356,采购单!$F$4:$F$2003,"成本-人工")+SUMIFS(生产安装!$J$4:$J$1203,生产安装!$C$4:$C$1203,$B356,生产安装!$E$4:$E$1203,"成本-人工")+SUMIFS(资金日记账!$K$4:$K$2503,资金日记账!$G$4:$G$2503,$B356,资金日记账!$F$4:$F$2503,"成本-人工")-SUMIFS(资金日记账!$J$4:$J$2503,资金日记账!$G$4:$G$2503,$B356,资金日记账!$F$4:$F$2503,"成本-人工"),2))</f>
        <v/>
      </c>
      <c r="O356" s="19">
        <f>IF($B356="","",ROUND(SUMIFS(采购单!$L$4:$L$2003,采购单!$D$4:$D$2003,$B356,采购单!$F$4:$F$2003,"成本-车运")+SUMIFS(生产安装!$J$4:$J$1203,生产安装!$C$4:$C$1203,$B356,生产安装!$E$4:$E$1203,"成本-车运")+SUMIFS(资金日记账!$K$4:$K$2503,资金日记账!$G$4:$G$2503,$B356,资金日记账!$F$4:$F$2503,"成本-车运")-SUMIFS(资金日记账!$J$4:$J$2503,资金日记账!$G$4:$G$2503,$B356,资金日记账!$F$4:$F$2503,"成本-车运"),2))</f>
        <v/>
      </c>
      <c r="P356" s="19">
        <f>IF($B356="","",ROUND(SUMIFS(采购单!$L$4:$L$2003,采购单!$D$4:$D$2003,$B356,采购单!$F$4:$F$2003,"成本-其他")+SUMIFS(生产安装!$J$4:$J$1203,生产安装!$C$4:$C$1203,$B356,生产安装!$E$4:$E$1203,"成本-其他")+SUMIFS(资金日记账!$K$4:$K$2503,资金日记账!$G$4:$G$2503,$B356,资金日记账!$F$4:$F$2503,"成本-其他")-SUMIFS(资金日记账!$J$4:$J$2503,资金日记账!$G$4:$G$2503,$B356,资金日记账!$F$4:$F$2503,"成本-其他"),2))</f>
        <v/>
      </c>
      <c r="Q356" s="19">
        <f>IF($B356="","",ROUND(SUM($L356:$P356),2))</f>
        <v/>
      </c>
      <c r="R356" s="19">
        <f>IF($B356="","",ROUND($I356-$Q356,2))</f>
        <v/>
      </c>
      <c r="S356" s="33">
        <f>IF($B356="","",IF(ROUND($I356,2)=0,"",ROUND($R356/$I356,4)))</f>
        <v/>
      </c>
      <c r="T356" s="22">
        <f>IF($B356="","",IF($G356="",0,YEAR($G356)*100+MONTH($G356)))</f>
        <v/>
      </c>
      <c r="U356" s="17">
        <f>IF($B356="","",IF(项目台账!$R355="","",项目台账!$R355))</f>
        <v/>
      </c>
    </row>
    <row r="357">
      <c r="A357" s="17">
        <f>IF(项目台账!$B356="","",项目台账!$A356)</f>
        <v/>
      </c>
      <c r="B357" s="17">
        <f>IF(项目台账!$B356="","",项目台账!$B356)</f>
        <v/>
      </c>
      <c r="C357" s="17">
        <f>IF($B357="","",IF(项目台账!$C356="","",项目台账!$C356))</f>
        <v/>
      </c>
      <c r="D357" s="17">
        <f>IF($B357="","",IF(项目台账!$D356="","",项目台账!$D356))</f>
        <v/>
      </c>
      <c r="E357" s="17">
        <f>IF($B357="","",IF(项目台账!$E356="","",项目台账!$E356))</f>
        <v/>
      </c>
      <c r="F357" s="23">
        <f>IF($B357="","",IF(项目台账!$F356="","",项目台账!$F356))</f>
        <v/>
      </c>
      <c r="G357" s="23">
        <f>IF($B357="","",IF(项目台账!$J356="","",项目台账!$J356))</f>
        <v/>
      </c>
      <c r="H357" s="17">
        <f>IF($B357="","",IF(项目台账!$Q356="","",项目台账!$Q356))</f>
        <v/>
      </c>
      <c r="I357" s="19">
        <f>IF($B357="","",项目台账!$M356)</f>
        <v/>
      </c>
      <c r="J357" s="19">
        <f>IF($B357="","",项目台账!$O356)</f>
        <v/>
      </c>
      <c r="K357" s="19">
        <f>IF($B357="","",项目台账!$P356)</f>
        <v/>
      </c>
      <c r="L357" s="19">
        <f>IF($B357="","",ROUND(SUMIFS(采购单!$L$4:$L$2003,采购单!$D$4:$D$2003,$B357,采购单!$F$4:$F$2003,"成本-主材")+SUMIFS(生产安装!$J$4:$J$1203,生产安装!$C$4:$C$1203,$B357,生产安装!$E$4:$E$1203,"成本-主材")+SUMIFS(资金日记账!$K$4:$K$2503,资金日记账!$G$4:$G$2503,$B357,资金日记账!$F$4:$F$2503,"成本-主材")-SUMIFS(资金日记账!$J$4:$J$2503,资金日记账!$G$4:$G$2503,$B357,资金日记账!$F$4:$F$2503,"成本-主材"),2))</f>
        <v/>
      </c>
      <c r="M357" s="19">
        <f>IF($B357="","",ROUND(SUMIFS(采购单!$L$4:$L$2003,采购单!$D$4:$D$2003,$B357,采购单!$F$4:$F$2003,"成本-辅材")+SUMIFS(生产安装!$J$4:$J$1203,生产安装!$C$4:$C$1203,$B357,生产安装!$E$4:$E$1203,"成本-辅材")+SUMIFS(资金日记账!$K$4:$K$2503,资金日记账!$G$4:$G$2503,$B357,资金日记账!$F$4:$F$2503,"成本-辅材")-SUMIFS(资金日记账!$J$4:$J$2503,资金日记账!$G$4:$G$2503,$B357,资金日记账!$F$4:$F$2503,"成本-辅材"),2))</f>
        <v/>
      </c>
      <c r="N357" s="19">
        <f>IF($B357="","",ROUND(SUMIFS(采购单!$L$4:$L$2003,采购单!$D$4:$D$2003,$B357,采购单!$F$4:$F$2003,"成本-人工")+SUMIFS(生产安装!$J$4:$J$1203,生产安装!$C$4:$C$1203,$B357,生产安装!$E$4:$E$1203,"成本-人工")+SUMIFS(资金日记账!$K$4:$K$2503,资金日记账!$G$4:$G$2503,$B357,资金日记账!$F$4:$F$2503,"成本-人工")-SUMIFS(资金日记账!$J$4:$J$2503,资金日记账!$G$4:$G$2503,$B357,资金日记账!$F$4:$F$2503,"成本-人工"),2))</f>
        <v/>
      </c>
      <c r="O357" s="19">
        <f>IF($B357="","",ROUND(SUMIFS(采购单!$L$4:$L$2003,采购单!$D$4:$D$2003,$B357,采购单!$F$4:$F$2003,"成本-车运")+SUMIFS(生产安装!$J$4:$J$1203,生产安装!$C$4:$C$1203,$B357,生产安装!$E$4:$E$1203,"成本-车运")+SUMIFS(资金日记账!$K$4:$K$2503,资金日记账!$G$4:$G$2503,$B357,资金日记账!$F$4:$F$2503,"成本-车运")-SUMIFS(资金日记账!$J$4:$J$2503,资金日记账!$G$4:$G$2503,$B357,资金日记账!$F$4:$F$2503,"成本-车运"),2))</f>
        <v/>
      </c>
      <c r="P357" s="19">
        <f>IF($B357="","",ROUND(SUMIFS(采购单!$L$4:$L$2003,采购单!$D$4:$D$2003,$B357,采购单!$F$4:$F$2003,"成本-其他")+SUMIFS(生产安装!$J$4:$J$1203,生产安装!$C$4:$C$1203,$B357,生产安装!$E$4:$E$1203,"成本-其他")+SUMIFS(资金日记账!$K$4:$K$2503,资金日记账!$G$4:$G$2503,$B357,资金日记账!$F$4:$F$2503,"成本-其他")-SUMIFS(资金日记账!$J$4:$J$2503,资金日记账!$G$4:$G$2503,$B357,资金日记账!$F$4:$F$2503,"成本-其他"),2))</f>
        <v/>
      </c>
      <c r="Q357" s="19">
        <f>IF($B357="","",ROUND(SUM($L357:$P357),2))</f>
        <v/>
      </c>
      <c r="R357" s="19">
        <f>IF($B357="","",ROUND($I357-$Q357,2))</f>
        <v/>
      </c>
      <c r="S357" s="33">
        <f>IF($B357="","",IF(ROUND($I357,2)=0,"",ROUND($R357/$I357,4)))</f>
        <v/>
      </c>
      <c r="T357" s="22">
        <f>IF($B357="","",IF($G357="",0,YEAR($G357)*100+MONTH($G357)))</f>
        <v/>
      </c>
      <c r="U357" s="17">
        <f>IF($B357="","",IF(项目台账!$R356="","",项目台账!$R356))</f>
        <v/>
      </c>
    </row>
    <row r="358">
      <c r="A358" s="17">
        <f>IF(项目台账!$B357="","",项目台账!$A357)</f>
        <v/>
      </c>
      <c r="B358" s="17">
        <f>IF(项目台账!$B357="","",项目台账!$B357)</f>
        <v/>
      </c>
      <c r="C358" s="17">
        <f>IF($B358="","",IF(项目台账!$C357="","",项目台账!$C357))</f>
        <v/>
      </c>
      <c r="D358" s="17">
        <f>IF($B358="","",IF(项目台账!$D357="","",项目台账!$D357))</f>
        <v/>
      </c>
      <c r="E358" s="17">
        <f>IF($B358="","",IF(项目台账!$E357="","",项目台账!$E357))</f>
        <v/>
      </c>
      <c r="F358" s="23">
        <f>IF($B358="","",IF(项目台账!$F357="","",项目台账!$F357))</f>
        <v/>
      </c>
      <c r="G358" s="23">
        <f>IF($B358="","",IF(项目台账!$J357="","",项目台账!$J357))</f>
        <v/>
      </c>
      <c r="H358" s="17">
        <f>IF($B358="","",IF(项目台账!$Q357="","",项目台账!$Q357))</f>
        <v/>
      </c>
      <c r="I358" s="19">
        <f>IF($B358="","",项目台账!$M357)</f>
        <v/>
      </c>
      <c r="J358" s="19">
        <f>IF($B358="","",项目台账!$O357)</f>
        <v/>
      </c>
      <c r="K358" s="19">
        <f>IF($B358="","",项目台账!$P357)</f>
        <v/>
      </c>
      <c r="L358" s="19">
        <f>IF($B358="","",ROUND(SUMIFS(采购单!$L$4:$L$2003,采购单!$D$4:$D$2003,$B358,采购单!$F$4:$F$2003,"成本-主材")+SUMIFS(生产安装!$J$4:$J$1203,生产安装!$C$4:$C$1203,$B358,生产安装!$E$4:$E$1203,"成本-主材")+SUMIFS(资金日记账!$K$4:$K$2503,资金日记账!$G$4:$G$2503,$B358,资金日记账!$F$4:$F$2503,"成本-主材")-SUMIFS(资金日记账!$J$4:$J$2503,资金日记账!$G$4:$G$2503,$B358,资金日记账!$F$4:$F$2503,"成本-主材"),2))</f>
        <v/>
      </c>
      <c r="M358" s="19">
        <f>IF($B358="","",ROUND(SUMIFS(采购单!$L$4:$L$2003,采购单!$D$4:$D$2003,$B358,采购单!$F$4:$F$2003,"成本-辅材")+SUMIFS(生产安装!$J$4:$J$1203,生产安装!$C$4:$C$1203,$B358,生产安装!$E$4:$E$1203,"成本-辅材")+SUMIFS(资金日记账!$K$4:$K$2503,资金日记账!$G$4:$G$2503,$B358,资金日记账!$F$4:$F$2503,"成本-辅材")-SUMIFS(资金日记账!$J$4:$J$2503,资金日记账!$G$4:$G$2503,$B358,资金日记账!$F$4:$F$2503,"成本-辅材"),2))</f>
        <v/>
      </c>
      <c r="N358" s="19">
        <f>IF($B358="","",ROUND(SUMIFS(采购单!$L$4:$L$2003,采购单!$D$4:$D$2003,$B358,采购单!$F$4:$F$2003,"成本-人工")+SUMIFS(生产安装!$J$4:$J$1203,生产安装!$C$4:$C$1203,$B358,生产安装!$E$4:$E$1203,"成本-人工")+SUMIFS(资金日记账!$K$4:$K$2503,资金日记账!$G$4:$G$2503,$B358,资金日记账!$F$4:$F$2503,"成本-人工")-SUMIFS(资金日记账!$J$4:$J$2503,资金日记账!$G$4:$G$2503,$B358,资金日记账!$F$4:$F$2503,"成本-人工"),2))</f>
        <v/>
      </c>
      <c r="O358" s="19">
        <f>IF($B358="","",ROUND(SUMIFS(采购单!$L$4:$L$2003,采购单!$D$4:$D$2003,$B358,采购单!$F$4:$F$2003,"成本-车运")+SUMIFS(生产安装!$J$4:$J$1203,生产安装!$C$4:$C$1203,$B358,生产安装!$E$4:$E$1203,"成本-车运")+SUMIFS(资金日记账!$K$4:$K$2503,资金日记账!$G$4:$G$2503,$B358,资金日记账!$F$4:$F$2503,"成本-车运")-SUMIFS(资金日记账!$J$4:$J$2503,资金日记账!$G$4:$G$2503,$B358,资金日记账!$F$4:$F$2503,"成本-车运"),2))</f>
        <v/>
      </c>
      <c r="P358" s="19">
        <f>IF($B358="","",ROUND(SUMIFS(采购单!$L$4:$L$2003,采购单!$D$4:$D$2003,$B358,采购单!$F$4:$F$2003,"成本-其他")+SUMIFS(生产安装!$J$4:$J$1203,生产安装!$C$4:$C$1203,$B358,生产安装!$E$4:$E$1203,"成本-其他")+SUMIFS(资金日记账!$K$4:$K$2503,资金日记账!$G$4:$G$2503,$B358,资金日记账!$F$4:$F$2503,"成本-其他")-SUMIFS(资金日记账!$J$4:$J$2503,资金日记账!$G$4:$G$2503,$B358,资金日记账!$F$4:$F$2503,"成本-其他"),2))</f>
        <v/>
      </c>
      <c r="Q358" s="19">
        <f>IF($B358="","",ROUND(SUM($L358:$P358),2))</f>
        <v/>
      </c>
      <c r="R358" s="19">
        <f>IF($B358="","",ROUND($I358-$Q358,2))</f>
        <v/>
      </c>
      <c r="S358" s="33">
        <f>IF($B358="","",IF(ROUND($I358,2)=0,"",ROUND($R358/$I358,4)))</f>
        <v/>
      </c>
      <c r="T358" s="22">
        <f>IF($B358="","",IF($G358="",0,YEAR($G358)*100+MONTH($G358)))</f>
        <v/>
      </c>
      <c r="U358" s="17">
        <f>IF($B358="","",IF(项目台账!$R357="","",项目台账!$R357))</f>
        <v/>
      </c>
    </row>
    <row r="359">
      <c r="A359" s="17">
        <f>IF(项目台账!$B358="","",项目台账!$A358)</f>
        <v/>
      </c>
      <c r="B359" s="17">
        <f>IF(项目台账!$B358="","",项目台账!$B358)</f>
        <v/>
      </c>
      <c r="C359" s="17">
        <f>IF($B359="","",IF(项目台账!$C358="","",项目台账!$C358))</f>
        <v/>
      </c>
      <c r="D359" s="17">
        <f>IF($B359="","",IF(项目台账!$D358="","",项目台账!$D358))</f>
        <v/>
      </c>
      <c r="E359" s="17">
        <f>IF($B359="","",IF(项目台账!$E358="","",项目台账!$E358))</f>
        <v/>
      </c>
      <c r="F359" s="23">
        <f>IF($B359="","",IF(项目台账!$F358="","",项目台账!$F358))</f>
        <v/>
      </c>
      <c r="G359" s="23">
        <f>IF($B359="","",IF(项目台账!$J358="","",项目台账!$J358))</f>
        <v/>
      </c>
      <c r="H359" s="17">
        <f>IF($B359="","",IF(项目台账!$Q358="","",项目台账!$Q358))</f>
        <v/>
      </c>
      <c r="I359" s="19">
        <f>IF($B359="","",项目台账!$M358)</f>
        <v/>
      </c>
      <c r="J359" s="19">
        <f>IF($B359="","",项目台账!$O358)</f>
        <v/>
      </c>
      <c r="K359" s="19">
        <f>IF($B359="","",项目台账!$P358)</f>
        <v/>
      </c>
      <c r="L359" s="19">
        <f>IF($B359="","",ROUND(SUMIFS(采购单!$L$4:$L$2003,采购单!$D$4:$D$2003,$B359,采购单!$F$4:$F$2003,"成本-主材")+SUMIFS(生产安装!$J$4:$J$1203,生产安装!$C$4:$C$1203,$B359,生产安装!$E$4:$E$1203,"成本-主材")+SUMIFS(资金日记账!$K$4:$K$2503,资金日记账!$G$4:$G$2503,$B359,资金日记账!$F$4:$F$2503,"成本-主材")-SUMIFS(资金日记账!$J$4:$J$2503,资金日记账!$G$4:$G$2503,$B359,资金日记账!$F$4:$F$2503,"成本-主材"),2))</f>
        <v/>
      </c>
      <c r="M359" s="19">
        <f>IF($B359="","",ROUND(SUMIFS(采购单!$L$4:$L$2003,采购单!$D$4:$D$2003,$B359,采购单!$F$4:$F$2003,"成本-辅材")+SUMIFS(生产安装!$J$4:$J$1203,生产安装!$C$4:$C$1203,$B359,生产安装!$E$4:$E$1203,"成本-辅材")+SUMIFS(资金日记账!$K$4:$K$2503,资金日记账!$G$4:$G$2503,$B359,资金日记账!$F$4:$F$2503,"成本-辅材")-SUMIFS(资金日记账!$J$4:$J$2503,资金日记账!$G$4:$G$2503,$B359,资金日记账!$F$4:$F$2503,"成本-辅材"),2))</f>
        <v/>
      </c>
      <c r="N359" s="19">
        <f>IF($B359="","",ROUND(SUMIFS(采购单!$L$4:$L$2003,采购单!$D$4:$D$2003,$B359,采购单!$F$4:$F$2003,"成本-人工")+SUMIFS(生产安装!$J$4:$J$1203,生产安装!$C$4:$C$1203,$B359,生产安装!$E$4:$E$1203,"成本-人工")+SUMIFS(资金日记账!$K$4:$K$2503,资金日记账!$G$4:$G$2503,$B359,资金日记账!$F$4:$F$2503,"成本-人工")-SUMIFS(资金日记账!$J$4:$J$2503,资金日记账!$G$4:$G$2503,$B359,资金日记账!$F$4:$F$2503,"成本-人工"),2))</f>
        <v/>
      </c>
      <c r="O359" s="19">
        <f>IF($B359="","",ROUND(SUMIFS(采购单!$L$4:$L$2003,采购单!$D$4:$D$2003,$B359,采购单!$F$4:$F$2003,"成本-车运")+SUMIFS(生产安装!$J$4:$J$1203,生产安装!$C$4:$C$1203,$B359,生产安装!$E$4:$E$1203,"成本-车运")+SUMIFS(资金日记账!$K$4:$K$2503,资金日记账!$G$4:$G$2503,$B359,资金日记账!$F$4:$F$2503,"成本-车运")-SUMIFS(资金日记账!$J$4:$J$2503,资金日记账!$G$4:$G$2503,$B359,资金日记账!$F$4:$F$2503,"成本-车运"),2))</f>
        <v/>
      </c>
      <c r="P359" s="19">
        <f>IF($B359="","",ROUND(SUMIFS(采购单!$L$4:$L$2003,采购单!$D$4:$D$2003,$B359,采购单!$F$4:$F$2003,"成本-其他")+SUMIFS(生产安装!$J$4:$J$1203,生产安装!$C$4:$C$1203,$B359,生产安装!$E$4:$E$1203,"成本-其他")+SUMIFS(资金日记账!$K$4:$K$2503,资金日记账!$G$4:$G$2503,$B359,资金日记账!$F$4:$F$2503,"成本-其他")-SUMIFS(资金日记账!$J$4:$J$2503,资金日记账!$G$4:$G$2503,$B359,资金日记账!$F$4:$F$2503,"成本-其他"),2))</f>
        <v/>
      </c>
      <c r="Q359" s="19">
        <f>IF($B359="","",ROUND(SUM($L359:$P359),2))</f>
        <v/>
      </c>
      <c r="R359" s="19">
        <f>IF($B359="","",ROUND($I359-$Q359,2))</f>
        <v/>
      </c>
      <c r="S359" s="33">
        <f>IF($B359="","",IF(ROUND($I359,2)=0,"",ROUND($R359/$I359,4)))</f>
        <v/>
      </c>
      <c r="T359" s="22">
        <f>IF($B359="","",IF($G359="",0,YEAR($G359)*100+MONTH($G359)))</f>
        <v/>
      </c>
      <c r="U359" s="17">
        <f>IF($B359="","",IF(项目台账!$R358="","",项目台账!$R358))</f>
        <v/>
      </c>
    </row>
    <row r="360">
      <c r="A360" s="17">
        <f>IF(项目台账!$B359="","",项目台账!$A359)</f>
        <v/>
      </c>
      <c r="B360" s="17">
        <f>IF(项目台账!$B359="","",项目台账!$B359)</f>
        <v/>
      </c>
      <c r="C360" s="17">
        <f>IF($B360="","",IF(项目台账!$C359="","",项目台账!$C359))</f>
        <v/>
      </c>
      <c r="D360" s="17">
        <f>IF($B360="","",IF(项目台账!$D359="","",项目台账!$D359))</f>
        <v/>
      </c>
      <c r="E360" s="17">
        <f>IF($B360="","",IF(项目台账!$E359="","",项目台账!$E359))</f>
        <v/>
      </c>
      <c r="F360" s="23">
        <f>IF($B360="","",IF(项目台账!$F359="","",项目台账!$F359))</f>
        <v/>
      </c>
      <c r="G360" s="23">
        <f>IF($B360="","",IF(项目台账!$J359="","",项目台账!$J359))</f>
        <v/>
      </c>
      <c r="H360" s="17">
        <f>IF($B360="","",IF(项目台账!$Q359="","",项目台账!$Q359))</f>
        <v/>
      </c>
      <c r="I360" s="19">
        <f>IF($B360="","",项目台账!$M359)</f>
        <v/>
      </c>
      <c r="J360" s="19">
        <f>IF($B360="","",项目台账!$O359)</f>
        <v/>
      </c>
      <c r="K360" s="19">
        <f>IF($B360="","",项目台账!$P359)</f>
        <v/>
      </c>
      <c r="L360" s="19">
        <f>IF($B360="","",ROUND(SUMIFS(采购单!$L$4:$L$2003,采购单!$D$4:$D$2003,$B360,采购单!$F$4:$F$2003,"成本-主材")+SUMIFS(生产安装!$J$4:$J$1203,生产安装!$C$4:$C$1203,$B360,生产安装!$E$4:$E$1203,"成本-主材")+SUMIFS(资金日记账!$K$4:$K$2503,资金日记账!$G$4:$G$2503,$B360,资金日记账!$F$4:$F$2503,"成本-主材")-SUMIFS(资金日记账!$J$4:$J$2503,资金日记账!$G$4:$G$2503,$B360,资金日记账!$F$4:$F$2503,"成本-主材"),2))</f>
        <v/>
      </c>
      <c r="M360" s="19">
        <f>IF($B360="","",ROUND(SUMIFS(采购单!$L$4:$L$2003,采购单!$D$4:$D$2003,$B360,采购单!$F$4:$F$2003,"成本-辅材")+SUMIFS(生产安装!$J$4:$J$1203,生产安装!$C$4:$C$1203,$B360,生产安装!$E$4:$E$1203,"成本-辅材")+SUMIFS(资金日记账!$K$4:$K$2503,资金日记账!$G$4:$G$2503,$B360,资金日记账!$F$4:$F$2503,"成本-辅材")-SUMIFS(资金日记账!$J$4:$J$2503,资金日记账!$G$4:$G$2503,$B360,资金日记账!$F$4:$F$2503,"成本-辅材"),2))</f>
        <v/>
      </c>
      <c r="N360" s="19">
        <f>IF($B360="","",ROUND(SUMIFS(采购单!$L$4:$L$2003,采购单!$D$4:$D$2003,$B360,采购单!$F$4:$F$2003,"成本-人工")+SUMIFS(生产安装!$J$4:$J$1203,生产安装!$C$4:$C$1203,$B360,生产安装!$E$4:$E$1203,"成本-人工")+SUMIFS(资金日记账!$K$4:$K$2503,资金日记账!$G$4:$G$2503,$B360,资金日记账!$F$4:$F$2503,"成本-人工")-SUMIFS(资金日记账!$J$4:$J$2503,资金日记账!$G$4:$G$2503,$B360,资金日记账!$F$4:$F$2503,"成本-人工"),2))</f>
        <v/>
      </c>
      <c r="O360" s="19">
        <f>IF($B360="","",ROUND(SUMIFS(采购单!$L$4:$L$2003,采购单!$D$4:$D$2003,$B360,采购单!$F$4:$F$2003,"成本-车运")+SUMIFS(生产安装!$J$4:$J$1203,生产安装!$C$4:$C$1203,$B360,生产安装!$E$4:$E$1203,"成本-车运")+SUMIFS(资金日记账!$K$4:$K$2503,资金日记账!$G$4:$G$2503,$B360,资金日记账!$F$4:$F$2503,"成本-车运")-SUMIFS(资金日记账!$J$4:$J$2503,资金日记账!$G$4:$G$2503,$B360,资金日记账!$F$4:$F$2503,"成本-车运"),2))</f>
        <v/>
      </c>
      <c r="P360" s="19">
        <f>IF($B360="","",ROUND(SUMIFS(采购单!$L$4:$L$2003,采购单!$D$4:$D$2003,$B360,采购单!$F$4:$F$2003,"成本-其他")+SUMIFS(生产安装!$J$4:$J$1203,生产安装!$C$4:$C$1203,$B360,生产安装!$E$4:$E$1203,"成本-其他")+SUMIFS(资金日记账!$K$4:$K$2503,资金日记账!$G$4:$G$2503,$B360,资金日记账!$F$4:$F$2503,"成本-其他")-SUMIFS(资金日记账!$J$4:$J$2503,资金日记账!$G$4:$G$2503,$B360,资金日记账!$F$4:$F$2503,"成本-其他"),2))</f>
        <v/>
      </c>
      <c r="Q360" s="19">
        <f>IF($B360="","",ROUND(SUM($L360:$P360),2))</f>
        <v/>
      </c>
      <c r="R360" s="19">
        <f>IF($B360="","",ROUND($I360-$Q360,2))</f>
        <v/>
      </c>
      <c r="S360" s="33">
        <f>IF($B360="","",IF(ROUND($I360,2)=0,"",ROUND($R360/$I360,4)))</f>
        <v/>
      </c>
      <c r="T360" s="22">
        <f>IF($B360="","",IF($G360="",0,YEAR($G360)*100+MONTH($G360)))</f>
        <v/>
      </c>
      <c r="U360" s="17">
        <f>IF($B360="","",IF(项目台账!$R359="","",项目台账!$R359))</f>
        <v/>
      </c>
    </row>
    <row r="361">
      <c r="A361" s="17">
        <f>IF(项目台账!$B360="","",项目台账!$A360)</f>
        <v/>
      </c>
      <c r="B361" s="17">
        <f>IF(项目台账!$B360="","",项目台账!$B360)</f>
        <v/>
      </c>
      <c r="C361" s="17">
        <f>IF($B361="","",IF(项目台账!$C360="","",项目台账!$C360))</f>
        <v/>
      </c>
      <c r="D361" s="17">
        <f>IF($B361="","",IF(项目台账!$D360="","",项目台账!$D360))</f>
        <v/>
      </c>
      <c r="E361" s="17">
        <f>IF($B361="","",IF(项目台账!$E360="","",项目台账!$E360))</f>
        <v/>
      </c>
      <c r="F361" s="23">
        <f>IF($B361="","",IF(项目台账!$F360="","",项目台账!$F360))</f>
        <v/>
      </c>
      <c r="G361" s="23">
        <f>IF($B361="","",IF(项目台账!$J360="","",项目台账!$J360))</f>
        <v/>
      </c>
      <c r="H361" s="17">
        <f>IF($B361="","",IF(项目台账!$Q360="","",项目台账!$Q360))</f>
        <v/>
      </c>
      <c r="I361" s="19">
        <f>IF($B361="","",项目台账!$M360)</f>
        <v/>
      </c>
      <c r="J361" s="19">
        <f>IF($B361="","",项目台账!$O360)</f>
        <v/>
      </c>
      <c r="K361" s="19">
        <f>IF($B361="","",项目台账!$P360)</f>
        <v/>
      </c>
      <c r="L361" s="19">
        <f>IF($B361="","",ROUND(SUMIFS(采购单!$L$4:$L$2003,采购单!$D$4:$D$2003,$B361,采购单!$F$4:$F$2003,"成本-主材")+SUMIFS(生产安装!$J$4:$J$1203,生产安装!$C$4:$C$1203,$B361,生产安装!$E$4:$E$1203,"成本-主材")+SUMIFS(资金日记账!$K$4:$K$2503,资金日记账!$G$4:$G$2503,$B361,资金日记账!$F$4:$F$2503,"成本-主材")-SUMIFS(资金日记账!$J$4:$J$2503,资金日记账!$G$4:$G$2503,$B361,资金日记账!$F$4:$F$2503,"成本-主材"),2))</f>
        <v/>
      </c>
      <c r="M361" s="19">
        <f>IF($B361="","",ROUND(SUMIFS(采购单!$L$4:$L$2003,采购单!$D$4:$D$2003,$B361,采购单!$F$4:$F$2003,"成本-辅材")+SUMIFS(生产安装!$J$4:$J$1203,生产安装!$C$4:$C$1203,$B361,生产安装!$E$4:$E$1203,"成本-辅材")+SUMIFS(资金日记账!$K$4:$K$2503,资金日记账!$G$4:$G$2503,$B361,资金日记账!$F$4:$F$2503,"成本-辅材")-SUMIFS(资金日记账!$J$4:$J$2503,资金日记账!$G$4:$G$2503,$B361,资金日记账!$F$4:$F$2503,"成本-辅材"),2))</f>
        <v/>
      </c>
      <c r="N361" s="19">
        <f>IF($B361="","",ROUND(SUMIFS(采购单!$L$4:$L$2003,采购单!$D$4:$D$2003,$B361,采购单!$F$4:$F$2003,"成本-人工")+SUMIFS(生产安装!$J$4:$J$1203,生产安装!$C$4:$C$1203,$B361,生产安装!$E$4:$E$1203,"成本-人工")+SUMIFS(资金日记账!$K$4:$K$2503,资金日记账!$G$4:$G$2503,$B361,资金日记账!$F$4:$F$2503,"成本-人工")-SUMIFS(资金日记账!$J$4:$J$2503,资金日记账!$G$4:$G$2503,$B361,资金日记账!$F$4:$F$2503,"成本-人工"),2))</f>
        <v/>
      </c>
      <c r="O361" s="19">
        <f>IF($B361="","",ROUND(SUMIFS(采购单!$L$4:$L$2003,采购单!$D$4:$D$2003,$B361,采购单!$F$4:$F$2003,"成本-车运")+SUMIFS(生产安装!$J$4:$J$1203,生产安装!$C$4:$C$1203,$B361,生产安装!$E$4:$E$1203,"成本-车运")+SUMIFS(资金日记账!$K$4:$K$2503,资金日记账!$G$4:$G$2503,$B361,资金日记账!$F$4:$F$2503,"成本-车运")-SUMIFS(资金日记账!$J$4:$J$2503,资金日记账!$G$4:$G$2503,$B361,资金日记账!$F$4:$F$2503,"成本-车运"),2))</f>
        <v/>
      </c>
      <c r="P361" s="19">
        <f>IF($B361="","",ROUND(SUMIFS(采购单!$L$4:$L$2003,采购单!$D$4:$D$2003,$B361,采购单!$F$4:$F$2003,"成本-其他")+SUMIFS(生产安装!$J$4:$J$1203,生产安装!$C$4:$C$1203,$B361,生产安装!$E$4:$E$1203,"成本-其他")+SUMIFS(资金日记账!$K$4:$K$2503,资金日记账!$G$4:$G$2503,$B361,资金日记账!$F$4:$F$2503,"成本-其他")-SUMIFS(资金日记账!$J$4:$J$2503,资金日记账!$G$4:$G$2503,$B361,资金日记账!$F$4:$F$2503,"成本-其他"),2))</f>
        <v/>
      </c>
      <c r="Q361" s="19">
        <f>IF($B361="","",ROUND(SUM($L361:$P361),2))</f>
        <v/>
      </c>
      <c r="R361" s="19">
        <f>IF($B361="","",ROUND($I361-$Q361,2))</f>
        <v/>
      </c>
      <c r="S361" s="33">
        <f>IF($B361="","",IF(ROUND($I361,2)=0,"",ROUND($R361/$I361,4)))</f>
        <v/>
      </c>
      <c r="T361" s="22">
        <f>IF($B361="","",IF($G361="",0,YEAR($G361)*100+MONTH($G361)))</f>
        <v/>
      </c>
      <c r="U361" s="17">
        <f>IF($B361="","",IF(项目台账!$R360="","",项目台账!$R360))</f>
        <v/>
      </c>
    </row>
    <row r="362">
      <c r="A362" s="17">
        <f>IF(项目台账!$B361="","",项目台账!$A361)</f>
        <v/>
      </c>
      <c r="B362" s="17">
        <f>IF(项目台账!$B361="","",项目台账!$B361)</f>
        <v/>
      </c>
      <c r="C362" s="17">
        <f>IF($B362="","",IF(项目台账!$C361="","",项目台账!$C361))</f>
        <v/>
      </c>
      <c r="D362" s="17">
        <f>IF($B362="","",IF(项目台账!$D361="","",项目台账!$D361))</f>
        <v/>
      </c>
      <c r="E362" s="17">
        <f>IF($B362="","",IF(项目台账!$E361="","",项目台账!$E361))</f>
        <v/>
      </c>
      <c r="F362" s="23">
        <f>IF($B362="","",IF(项目台账!$F361="","",项目台账!$F361))</f>
        <v/>
      </c>
      <c r="G362" s="23">
        <f>IF($B362="","",IF(项目台账!$J361="","",项目台账!$J361))</f>
        <v/>
      </c>
      <c r="H362" s="17">
        <f>IF($B362="","",IF(项目台账!$Q361="","",项目台账!$Q361))</f>
        <v/>
      </c>
      <c r="I362" s="19">
        <f>IF($B362="","",项目台账!$M361)</f>
        <v/>
      </c>
      <c r="J362" s="19">
        <f>IF($B362="","",项目台账!$O361)</f>
        <v/>
      </c>
      <c r="K362" s="19">
        <f>IF($B362="","",项目台账!$P361)</f>
        <v/>
      </c>
      <c r="L362" s="19">
        <f>IF($B362="","",ROUND(SUMIFS(采购单!$L$4:$L$2003,采购单!$D$4:$D$2003,$B362,采购单!$F$4:$F$2003,"成本-主材")+SUMIFS(生产安装!$J$4:$J$1203,生产安装!$C$4:$C$1203,$B362,生产安装!$E$4:$E$1203,"成本-主材")+SUMIFS(资金日记账!$K$4:$K$2503,资金日记账!$G$4:$G$2503,$B362,资金日记账!$F$4:$F$2503,"成本-主材")-SUMIFS(资金日记账!$J$4:$J$2503,资金日记账!$G$4:$G$2503,$B362,资金日记账!$F$4:$F$2503,"成本-主材"),2))</f>
        <v/>
      </c>
      <c r="M362" s="19">
        <f>IF($B362="","",ROUND(SUMIFS(采购单!$L$4:$L$2003,采购单!$D$4:$D$2003,$B362,采购单!$F$4:$F$2003,"成本-辅材")+SUMIFS(生产安装!$J$4:$J$1203,生产安装!$C$4:$C$1203,$B362,生产安装!$E$4:$E$1203,"成本-辅材")+SUMIFS(资金日记账!$K$4:$K$2503,资金日记账!$G$4:$G$2503,$B362,资金日记账!$F$4:$F$2503,"成本-辅材")-SUMIFS(资金日记账!$J$4:$J$2503,资金日记账!$G$4:$G$2503,$B362,资金日记账!$F$4:$F$2503,"成本-辅材"),2))</f>
        <v/>
      </c>
      <c r="N362" s="19">
        <f>IF($B362="","",ROUND(SUMIFS(采购单!$L$4:$L$2003,采购单!$D$4:$D$2003,$B362,采购单!$F$4:$F$2003,"成本-人工")+SUMIFS(生产安装!$J$4:$J$1203,生产安装!$C$4:$C$1203,$B362,生产安装!$E$4:$E$1203,"成本-人工")+SUMIFS(资金日记账!$K$4:$K$2503,资金日记账!$G$4:$G$2503,$B362,资金日记账!$F$4:$F$2503,"成本-人工")-SUMIFS(资金日记账!$J$4:$J$2503,资金日记账!$G$4:$G$2503,$B362,资金日记账!$F$4:$F$2503,"成本-人工"),2))</f>
        <v/>
      </c>
      <c r="O362" s="19">
        <f>IF($B362="","",ROUND(SUMIFS(采购单!$L$4:$L$2003,采购单!$D$4:$D$2003,$B362,采购单!$F$4:$F$2003,"成本-车运")+SUMIFS(生产安装!$J$4:$J$1203,生产安装!$C$4:$C$1203,$B362,生产安装!$E$4:$E$1203,"成本-车运")+SUMIFS(资金日记账!$K$4:$K$2503,资金日记账!$G$4:$G$2503,$B362,资金日记账!$F$4:$F$2503,"成本-车运")-SUMIFS(资金日记账!$J$4:$J$2503,资金日记账!$G$4:$G$2503,$B362,资金日记账!$F$4:$F$2503,"成本-车运"),2))</f>
        <v/>
      </c>
      <c r="P362" s="19">
        <f>IF($B362="","",ROUND(SUMIFS(采购单!$L$4:$L$2003,采购单!$D$4:$D$2003,$B362,采购单!$F$4:$F$2003,"成本-其他")+SUMIFS(生产安装!$J$4:$J$1203,生产安装!$C$4:$C$1203,$B362,生产安装!$E$4:$E$1203,"成本-其他")+SUMIFS(资金日记账!$K$4:$K$2503,资金日记账!$G$4:$G$2503,$B362,资金日记账!$F$4:$F$2503,"成本-其他")-SUMIFS(资金日记账!$J$4:$J$2503,资金日记账!$G$4:$G$2503,$B362,资金日记账!$F$4:$F$2503,"成本-其他"),2))</f>
        <v/>
      </c>
      <c r="Q362" s="19">
        <f>IF($B362="","",ROUND(SUM($L362:$P362),2))</f>
        <v/>
      </c>
      <c r="R362" s="19">
        <f>IF($B362="","",ROUND($I362-$Q362,2))</f>
        <v/>
      </c>
      <c r="S362" s="33">
        <f>IF($B362="","",IF(ROUND($I362,2)=0,"",ROUND($R362/$I362,4)))</f>
        <v/>
      </c>
      <c r="T362" s="22">
        <f>IF($B362="","",IF($G362="",0,YEAR($G362)*100+MONTH($G362)))</f>
        <v/>
      </c>
      <c r="U362" s="17">
        <f>IF($B362="","",IF(项目台账!$R361="","",项目台账!$R361))</f>
        <v/>
      </c>
    </row>
    <row r="363">
      <c r="A363" s="17">
        <f>IF(项目台账!$B362="","",项目台账!$A362)</f>
        <v/>
      </c>
      <c r="B363" s="17">
        <f>IF(项目台账!$B362="","",项目台账!$B362)</f>
        <v/>
      </c>
      <c r="C363" s="17">
        <f>IF($B363="","",IF(项目台账!$C362="","",项目台账!$C362))</f>
        <v/>
      </c>
      <c r="D363" s="17">
        <f>IF($B363="","",IF(项目台账!$D362="","",项目台账!$D362))</f>
        <v/>
      </c>
      <c r="E363" s="17">
        <f>IF($B363="","",IF(项目台账!$E362="","",项目台账!$E362))</f>
        <v/>
      </c>
      <c r="F363" s="23">
        <f>IF($B363="","",IF(项目台账!$F362="","",项目台账!$F362))</f>
        <v/>
      </c>
      <c r="G363" s="23">
        <f>IF($B363="","",IF(项目台账!$J362="","",项目台账!$J362))</f>
        <v/>
      </c>
      <c r="H363" s="17">
        <f>IF($B363="","",IF(项目台账!$Q362="","",项目台账!$Q362))</f>
        <v/>
      </c>
      <c r="I363" s="19">
        <f>IF($B363="","",项目台账!$M362)</f>
        <v/>
      </c>
      <c r="J363" s="19">
        <f>IF($B363="","",项目台账!$O362)</f>
        <v/>
      </c>
      <c r="K363" s="19">
        <f>IF($B363="","",项目台账!$P362)</f>
        <v/>
      </c>
      <c r="L363" s="19">
        <f>IF($B363="","",ROUND(SUMIFS(采购单!$L$4:$L$2003,采购单!$D$4:$D$2003,$B363,采购单!$F$4:$F$2003,"成本-主材")+SUMIFS(生产安装!$J$4:$J$1203,生产安装!$C$4:$C$1203,$B363,生产安装!$E$4:$E$1203,"成本-主材")+SUMIFS(资金日记账!$K$4:$K$2503,资金日记账!$G$4:$G$2503,$B363,资金日记账!$F$4:$F$2503,"成本-主材")-SUMIFS(资金日记账!$J$4:$J$2503,资金日记账!$G$4:$G$2503,$B363,资金日记账!$F$4:$F$2503,"成本-主材"),2))</f>
        <v/>
      </c>
      <c r="M363" s="19">
        <f>IF($B363="","",ROUND(SUMIFS(采购单!$L$4:$L$2003,采购单!$D$4:$D$2003,$B363,采购单!$F$4:$F$2003,"成本-辅材")+SUMIFS(生产安装!$J$4:$J$1203,生产安装!$C$4:$C$1203,$B363,生产安装!$E$4:$E$1203,"成本-辅材")+SUMIFS(资金日记账!$K$4:$K$2503,资金日记账!$G$4:$G$2503,$B363,资金日记账!$F$4:$F$2503,"成本-辅材")-SUMIFS(资金日记账!$J$4:$J$2503,资金日记账!$G$4:$G$2503,$B363,资金日记账!$F$4:$F$2503,"成本-辅材"),2))</f>
        <v/>
      </c>
      <c r="N363" s="19">
        <f>IF($B363="","",ROUND(SUMIFS(采购单!$L$4:$L$2003,采购单!$D$4:$D$2003,$B363,采购单!$F$4:$F$2003,"成本-人工")+SUMIFS(生产安装!$J$4:$J$1203,生产安装!$C$4:$C$1203,$B363,生产安装!$E$4:$E$1203,"成本-人工")+SUMIFS(资金日记账!$K$4:$K$2503,资金日记账!$G$4:$G$2503,$B363,资金日记账!$F$4:$F$2503,"成本-人工")-SUMIFS(资金日记账!$J$4:$J$2503,资金日记账!$G$4:$G$2503,$B363,资金日记账!$F$4:$F$2503,"成本-人工"),2))</f>
        <v/>
      </c>
      <c r="O363" s="19">
        <f>IF($B363="","",ROUND(SUMIFS(采购单!$L$4:$L$2003,采购单!$D$4:$D$2003,$B363,采购单!$F$4:$F$2003,"成本-车运")+SUMIFS(生产安装!$J$4:$J$1203,生产安装!$C$4:$C$1203,$B363,生产安装!$E$4:$E$1203,"成本-车运")+SUMIFS(资金日记账!$K$4:$K$2503,资金日记账!$G$4:$G$2503,$B363,资金日记账!$F$4:$F$2503,"成本-车运")-SUMIFS(资金日记账!$J$4:$J$2503,资金日记账!$G$4:$G$2503,$B363,资金日记账!$F$4:$F$2503,"成本-车运"),2))</f>
        <v/>
      </c>
      <c r="P363" s="19">
        <f>IF($B363="","",ROUND(SUMIFS(采购单!$L$4:$L$2003,采购单!$D$4:$D$2003,$B363,采购单!$F$4:$F$2003,"成本-其他")+SUMIFS(生产安装!$J$4:$J$1203,生产安装!$C$4:$C$1203,$B363,生产安装!$E$4:$E$1203,"成本-其他")+SUMIFS(资金日记账!$K$4:$K$2503,资金日记账!$G$4:$G$2503,$B363,资金日记账!$F$4:$F$2503,"成本-其他")-SUMIFS(资金日记账!$J$4:$J$2503,资金日记账!$G$4:$G$2503,$B363,资金日记账!$F$4:$F$2503,"成本-其他"),2))</f>
        <v/>
      </c>
      <c r="Q363" s="19">
        <f>IF($B363="","",ROUND(SUM($L363:$P363),2))</f>
        <v/>
      </c>
      <c r="R363" s="19">
        <f>IF($B363="","",ROUND($I363-$Q363,2))</f>
        <v/>
      </c>
      <c r="S363" s="33">
        <f>IF($B363="","",IF(ROUND($I363,2)=0,"",ROUND($R363/$I363,4)))</f>
        <v/>
      </c>
      <c r="T363" s="22">
        <f>IF($B363="","",IF($G363="",0,YEAR($G363)*100+MONTH($G363)))</f>
        <v/>
      </c>
      <c r="U363" s="17">
        <f>IF($B363="","",IF(项目台账!$R362="","",项目台账!$R362))</f>
        <v/>
      </c>
    </row>
    <row r="364">
      <c r="A364" s="17">
        <f>IF(项目台账!$B363="","",项目台账!$A363)</f>
        <v/>
      </c>
      <c r="B364" s="17">
        <f>IF(项目台账!$B363="","",项目台账!$B363)</f>
        <v/>
      </c>
      <c r="C364" s="17">
        <f>IF($B364="","",IF(项目台账!$C363="","",项目台账!$C363))</f>
        <v/>
      </c>
      <c r="D364" s="17">
        <f>IF($B364="","",IF(项目台账!$D363="","",项目台账!$D363))</f>
        <v/>
      </c>
      <c r="E364" s="17">
        <f>IF($B364="","",IF(项目台账!$E363="","",项目台账!$E363))</f>
        <v/>
      </c>
      <c r="F364" s="23">
        <f>IF($B364="","",IF(项目台账!$F363="","",项目台账!$F363))</f>
        <v/>
      </c>
      <c r="G364" s="23">
        <f>IF($B364="","",IF(项目台账!$J363="","",项目台账!$J363))</f>
        <v/>
      </c>
      <c r="H364" s="17">
        <f>IF($B364="","",IF(项目台账!$Q363="","",项目台账!$Q363))</f>
        <v/>
      </c>
      <c r="I364" s="19">
        <f>IF($B364="","",项目台账!$M363)</f>
        <v/>
      </c>
      <c r="J364" s="19">
        <f>IF($B364="","",项目台账!$O363)</f>
        <v/>
      </c>
      <c r="K364" s="19">
        <f>IF($B364="","",项目台账!$P363)</f>
        <v/>
      </c>
      <c r="L364" s="19">
        <f>IF($B364="","",ROUND(SUMIFS(采购单!$L$4:$L$2003,采购单!$D$4:$D$2003,$B364,采购单!$F$4:$F$2003,"成本-主材")+SUMIFS(生产安装!$J$4:$J$1203,生产安装!$C$4:$C$1203,$B364,生产安装!$E$4:$E$1203,"成本-主材")+SUMIFS(资金日记账!$K$4:$K$2503,资金日记账!$G$4:$G$2503,$B364,资金日记账!$F$4:$F$2503,"成本-主材")-SUMIFS(资金日记账!$J$4:$J$2503,资金日记账!$G$4:$G$2503,$B364,资金日记账!$F$4:$F$2503,"成本-主材"),2))</f>
        <v/>
      </c>
      <c r="M364" s="19">
        <f>IF($B364="","",ROUND(SUMIFS(采购单!$L$4:$L$2003,采购单!$D$4:$D$2003,$B364,采购单!$F$4:$F$2003,"成本-辅材")+SUMIFS(生产安装!$J$4:$J$1203,生产安装!$C$4:$C$1203,$B364,生产安装!$E$4:$E$1203,"成本-辅材")+SUMIFS(资金日记账!$K$4:$K$2503,资金日记账!$G$4:$G$2503,$B364,资金日记账!$F$4:$F$2503,"成本-辅材")-SUMIFS(资金日记账!$J$4:$J$2503,资金日记账!$G$4:$G$2503,$B364,资金日记账!$F$4:$F$2503,"成本-辅材"),2))</f>
        <v/>
      </c>
      <c r="N364" s="19">
        <f>IF($B364="","",ROUND(SUMIFS(采购单!$L$4:$L$2003,采购单!$D$4:$D$2003,$B364,采购单!$F$4:$F$2003,"成本-人工")+SUMIFS(生产安装!$J$4:$J$1203,生产安装!$C$4:$C$1203,$B364,生产安装!$E$4:$E$1203,"成本-人工")+SUMIFS(资金日记账!$K$4:$K$2503,资金日记账!$G$4:$G$2503,$B364,资金日记账!$F$4:$F$2503,"成本-人工")-SUMIFS(资金日记账!$J$4:$J$2503,资金日记账!$G$4:$G$2503,$B364,资金日记账!$F$4:$F$2503,"成本-人工"),2))</f>
        <v/>
      </c>
      <c r="O364" s="19">
        <f>IF($B364="","",ROUND(SUMIFS(采购单!$L$4:$L$2003,采购单!$D$4:$D$2003,$B364,采购单!$F$4:$F$2003,"成本-车运")+SUMIFS(生产安装!$J$4:$J$1203,生产安装!$C$4:$C$1203,$B364,生产安装!$E$4:$E$1203,"成本-车运")+SUMIFS(资金日记账!$K$4:$K$2503,资金日记账!$G$4:$G$2503,$B364,资金日记账!$F$4:$F$2503,"成本-车运")-SUMIFS(资金日记账!$J$4:$J$2503,资金日记账!$G$4:$G$2503,$B364,资金日记账!$F$4:$F$2503,"成本-车运"),2))</f>
        <v/>
      </c>
      <c r="P364" s="19">
        <f>IF($B364="","",ROUND(SUMIFS(采购单!$L$4:$L$2003,采购单!$D$4:$D$2003,$B364,采购单!$F$4:$F$2003,"成本-其他")+SUMIFS(生产安装!$J$4:$J$1203,生产安装!$C$4:$C$1203,$B364,生产安装!$E$4:$E$1203,"成本-其他")+SUMIFS(资金日记账!$K$4:$K$2503,资金日记账!$G$4:$G$2503,$B364,资金日记账!$F$4:$F$2503,"成本-其他")-SUMIFS(资金日记账!$J$4:$J$2503,资金日记账!$G$4:$G$2503,$B364,资金日记账!$F$4:$F$2503,"成本-其他"),2))</f>
        <v/>
      </c>
      <c r="Q364" s="19">
        <f>IF($B364="","",ROUND(SUM($L364:$P364),2))</f>
        <v/>
      </c>
      <c r="R364" s="19">
        <f>IF($B364="","",ROUND($I364-$Q364,2))</f>
        <v/>
      </c>
      <c r="S364" s="33">
        <f>IF($B364="","",IF(ROUND($I364,2)=0,"",ROUND($R364/$I364,4)))</f>
        <v/>
      </c>
      <c r="T364" s="22">
        <f>IF($B364="","",IF($G364="",0,YEAR($G364)*100+MONTH($G364)))</f>
        <v/>
      </c>
      <c r="U364" s="17">
        <f>IF($B364="","",IF(项目台账!$R363="","",项目台账!$R363))</f>
        <v/>
      </c>
    </row>
    <row r="365">
      <c r="A365" s="17">
        <f>IF(项目台账!$B364="","",项目台账!$A364)</f>
        <v/>
      </c>
      <c r="B365" s="17">
        <f>IF(项目台账!$B364="","",项目台账!$B364)</f>
        <v/>
      </c>
      <c r="C365" s="17">
        <f>IF($B365="","",IF(项目台账!$C364="","",项目台账!$C364))</f>
        <v/>
      </c>
      <c r="D365" s="17">
        <f>IF($B365="","",IF(项目台账!$D364="","",项目台账!$D364))</f>
        <v/>
      </c>
      <c r="E365" s="17">
        <f>IF($B365="","",IF(项目台账!$E364="","",项目台账!$E364))</f>
        <v/>
      </c>
      <c r="F365" s="23">
        <f>IF($B365="","",IF(项目台账!$F364="","",项目台账!$F364))</f>
        <v/>
      </c>
      <c r="G365" s="23">
        <f>IF($B365="","",IF(项目台账!$J364="","",项目台账!$J364))</f>
        <v/>
      </c>
      <c r="H365" s="17">
        <f>IF($B365="","",IF(项目台账!$Q364="","",项目台账!$Q364))</f>
        <v/>
      </c>
      <c r="I365" s="19">
        <f>IF($B365="","",项目台账!$M364)</f>
        <v/>
      </c>
      <c r="J365" s="19">
        <f>IF($B365="","",项目台账!$O364)</f>
        <v/>
      </c>
      <c r="K365" s="19">
        <f>IF($B365="","",项目台账!$P364)</f>
        <v/>
      </c>
      <c r="L365" s="19">
        <f>IF($B365="","",ROUND(SUMIFS(采购单!$L$4:$L$2003,采购单!$D$4:$D$2003,$B365,采购单!$F$4:$F$2003,"成本-主材")+SUMIFS(生产安装!$J$4:$J$1203,生产安装!$C$4:$C$1203,$B365,生产安装!$E$4:$E$1203,"成本-主材")+SUMIFS(资金日记账!$K$4:$K$2503,资金日记账!$G$4:$G$2503,$B365,资金日记账!$F$4:$F$2503,"成本-主材")-SUMIFS(资金日记账!$J$4:$J$2503,资金日记账!$G$4:$G$2503,$B365,资金日记账!$F$4:$F$2503,"成本-主材"),2))</f>
        <v/>
      </c>
      <c r="M365" s="19">
        <f>IF($B365="","",ROUND(SUMIFS(采购单!$L$4:$L$2003,采购单!$D$4:$D$2003,$B365,采购单!$F$4:$F$2003,"成本-辅材")+SUMIFS(生产安装!$J$4:$J$1203,生产安装!$C$4:$C$1203,$B365,生产安装!$E$4:$E$1203,"成本-辅材")+SUMIFS(资金日记账!$K$4:$K$2503,资金日记账!$G$4:$G$2503,$B365,资金日记账!$F$4:$F$2503,"成本-辅材")-SUMIFS(资金日记账!$J$4:$J$2503,资金日记账!$G$4:$G$2503,$B365,资金日记账!$F$4:$F$2503,"成本-辅材"),2))</f>
        <v/>
      </c>
      <c r="N365" s="19">
        <f>IF($B365="","",ROUND(SUMIFS(采购单!$L$4:$L$2003,采购单!$D$4:$D$2003,$B365,采购单!$F$4:$F$2003,"成本-人工")+SUMIFS(生产安装!$J$4:$J$1203,生产安装!$C$4:$C$1203,$B365,生产安装!$E$4:$E$1203,"成本-人工")+SUMIFS(资金日记账!$K$4:$K$2503,资金日记账!$G$4:$G$2503,$B365,资金日记账!$F$4:$F$2503,"成本-人工")-SUMIFS(资金日记账!$J$4:$J$2503,资金日记账!$G$4:$G$2503,$B365,资金日记账!$F$4:$F$2503,"成本-人工"),2))</f>
        <v/>
      </c>
      <c r="O365" s="19">
        <f>IF($B365="","",ROUND(SUMIFS(采购单!$L$4:$L$2003,采购单!$D$4:$D$2003,$B365,采购单!$F$4:$F$2003,"成本-车运")+SUMIFS(生产安装!$J$4:$J$1203,生产安装!$C$4:$C$1203,$B365,生产安装!$E$4:$E$1203,"成本-车运")+SUMIFS(资金日记账!$K$4:$K$2503,资金日记账!$G$4:$G$2503,$B365,资金日记账!$F$4:$F$2503,"成本-车运")-SUMIFS(资金日记账!$J$4:$J$2503,资金日记账!$G$4:$G$2503,$B365,资金日记账!$F$4:$F$2503,"成本-车运"),2))</f>
        <v/>
      </c>
      <c r="P365" s="19">
        <f>IF($B365="","",ROUND(SUMIFS(采购单!$L$4:$L$2003,采购单!$D$4:$D$2003,$B365,采购单!$F$4:$F$2003,"成本-其他")+SUMIFS(生产安装!$J$4:$J$1203,生产安装!$C$4:$C$1203,$B365,生产安装!$E$4:$E$1203,"成本-其他")+SUMIFS(资金日记账!$K$4:$K$2503,资金日记账!$G$4:$G$2503,$B365,资金日记账!$F$4:$F$2503,"成本-其他")-SUMIFS(资金日记账!$J$4:$J$2503,资金日记账!$G$4:$G$2503,$B365,资金日记账!$F$4:$F$2503,"成本-其他"),2))</f>
        <v/>
      </c>
      <c r="Q365" s="19">
        <f>IF($B365="","",ROUND(SUM($L365:$P365),2))</f>
        <v/>
      </c>
      <c r="R365" s="19">
        <f>IF($B365="","",ROUND($I365-$Q365,2))</f>
        <v/>
      </c>
      <c r="S365" s="33">
        <f>IF($B365="","",IF(ROUND($I365,2)=0,"",ROUND($R365/$I365,4)))</f>
        <v/>
      </c>
      <c r="T365" s="22">
        <f>IF($B365="","",IF($G365="",0,YEAR($G365)*100+MONTH($G365)))</f>
        <v/>
      </c>
      <c r="U365" s="17">
        <f>IF($B365="","",IF(项目台账!$R364="","",项目台账!$R364))</f>
        <v/>
      </c>
    </row>
    <row r="366">
      <c r="A366" s="17">
        <f>IF(项目台账!$B365="","",项目台账!$A365)</f>
        <v/>
      </c>
      <c r="B366" s="17">
        <f>IF(项目台账!$B365="","",项目台账!$B365)</f>
        <v/>
      </c>
      <c r="C366" s="17">
        <f>IF($B366="","",IF(项目台账!$C365="","",项目台账!$C365))</f>
        <v/>
      </c>
      <c r="D366" s="17">
        <f>IF($B366="","",IF(项目台账!$D365="","",项目台账!$D365))</f>
        <v/>
      </c>
      <c r="E366" s="17">
        <f>IF($B366="","",IF(项目台账!$E365="","",项目台账!$E365))</f>
        <v/>
      </c>
      <c r="F366" s="23">
        <f>IF($B366="","",IF(项目台账!$F365="","",项目台账!$F365))</f>
        <v/>
      </c>
      <c r="G366" s="23">
        <f>IF($B366="","",IF(项目台账!$J365="","",项目台账!$J365))</f>
        <v/>
      </c>
      <c r="H366" s="17">
        <f>IF($B366="","",IF(项目台账!$Q365="","",项目台账!$Q365))</f>
        <v/>
      </c>
      <c r="I366" s="19">
        <f>IF($B366="","",项目台账!$M365)</f>
        <v/>
      </c>
      <c r="J366" s="19">
        <f>IF($B366="","",项目台账!$O365)</f>
        <v/>
      </c>
      <c r="K366" s="19">
        <f>IF($B366="","",项目台账!$P365)</f>
        <v/>
      </c>
      <c r="L366" s="19">
        <f>IF($B366="","",ROUND(SUMIFS(采购单!$L$4:$L$2003,采购单!$D$4:$D$2003,$B366,采购单!$F$4:$F$2003,"成本-主材")+SUMIFS(生产安装!$J$4:$J$1203,生产安装!$C$4:$C$1203,$B366,生产安装!$E$4:$E$1203,"成本-主材")+SUMIFS(资金日记账!$K$4:$K$2503,资金日记账!$G$4:$G$2503,$B366,资金日记账!$F$4:$F$2503,"成本-主材")-SUMIFS(资金日记账!$J$4:$J$2503,资金日记账!$G$4:$G$2503,$B366,资金日记账!$F$4:$F$2503,"成本-主材"),2))</f>
        <v/>
      </c>
      <c r="M366" s="19">
        <f>IF($B366="","",ROUND(SUMIFS(采购单!$L$4:$L$2003,采购单!$D$4:$D$2003,$B366,采购单!$F$4:$F$2003,"成本-辅材")+SUMIFS(生产安装!$J$4:$J$1203,生产安装!$C$4:$C$1203,$B366,生产安装!$E$4:$E$1203,"成本-辅材")+SUMIFS(资金日记账!$K$4:$K$2503,资金日记账!$G$4:$G$2503,$B366,资金日记账!$F$4:$F$2503,"成本-辅材")-SUMIFS(资金日记账!$J$4:$J$2503,资金日记账!$G$4:$G$2503,$B366,资金日记账!$F$4:$F$2503,"成本-辅材"),2))</f>
        <v/>
      </c>
      <c r="N366" s="19">
        <f>IF($B366="","",ROUND(SUMIFS(采购单!$L$4:$L$2003,采购单!$D$4:$D$2003,$B366,采购单!$F$4:$F$2003,"成本-人工")+SUMIFS(生产安装!$J$4:$J$1203,生产安装!$C$4:$C$1203,$B366,生产安装!$E$4:$E$1203,"成本-人工")+SUMIFS(资金日记账!$K$4:$K$2503,资金日记账!$G$4:$G$2503,$B366,资金日记账!$F$4:$F$2503,"成本-人工")-SUMIFS(资金日记账!$J$4:$J$2503,资金日记账!$G$4:$G$2503,$B366,资金日记账!$F$4:$F$2503,"成本-人工"),2))</f>
        <v/>
      </c>
      <c r="O366" s="19">
        <f>IF($B366="","",ROUND(SUMIFS(采购单!$L$4:$L$2003,采购单!$D$4:$D$2003,$B366,采购单!$F$4:$F$2003,"成本-车运")+SUMIFS(生产安装!$J$4:$J$1203,生产安装!$C$4:$C$1203,$B366,生产安装!$E$4:$E$1203,"成本-车运")+SUMIFS(资金日记账!$K$4:$K$2503,资金日记账!$G$4:$G$2503,$B366,资金日记账!$F$4:$F$2503,"成本-车运")-SUMIFS(资金日记账!$J$4:$J$2503,资金日记账!$G$4:$G$2503,$B366,资金日记账!$F$4:$F$2503,"成本-车运"),2))</f>
        <v/>
      </c>
      <c r="P366" s="19">
        <f>IF($B366="","",ROUND(SUMIFS(采购单!$L$4:$L$2003,采购单!$D$4:$D$2003,$B366,采购单!$F$4:$F$2003,"成本-其他")+SUMIFS(生产安装!$J$4:$J$1203,生产安装!$C$4:$C$1203,$B366,生产安装!$E$4:$E$1203,"成本-其他")+SUMIFS(资金日记账!$K$4:$K$2503,资金日记账!$G$4:$G$2503,$B366,资金日记账!$F$4:$F$2503,"成本-其他")-SUMIFS(资金日记账!$J$4:$J$2503,资金日记账!$G$4:$G$2503,$B366,资金日记账!$F$4:$F$2503,"成本-其他"),2))</f>
        <v/>
      </c>
      <c r="Q366" s="19">
        <f>IF($B366="","",ROUND(SUM($L366:$P366),2))</f>
        <v/>
      </c>
      <c r="R366" s="19">
        <f>IF($B366="","",ROUND($I366-$Q366,2))</f>
        <v/>
      </c>
      <c r="S366" s="33">
        <f>IF($B366="","",IF(ROUND($I366,2)=0,"",ROUND($R366/$I366,4)))</f>
        <v/>
      </c>
      <c r="T366" s="22">
        <f>IF($B366="","",IF($G366="",0,YEAR($G366)*100+MONTH($G366)))</f>
        <v/>
      </c>
      <c r="U366" s="17">
        <f>IF($B366="","",IF(项目台账!$R365="","",项目台账!$R365))</f>
        <v/>
      </c>
    </row>
    <row r="367">
      <c r="A367" s="17">
        <f>IF(项目台账!$B366="","",项目台账!$A366)</f>
        <v/>
      </c>
      <c r="B367" s="17">
        <f>IF(项目台账!$B366="","",项目台账!$B366)</f>
        <v/>
      </c>
      <c r="C367" s="17">
        <f>IF($B367="","",IF(项目台账!$C366="","",项目台账!$C366))</f>
        <v/>
      </c>
      <c r="D367" s="17">
        <f>IF($B367="","",IF(项目台账!$D366="","",项目台账!$D366))</f>
        <v/>
      </c>
      <c r="E367" s="17">
        <f>IF($B367="","",IF(项目台账!$E366="","",项目台账!$E366))</f>
        <v/>
      </c>
      <c r="F367" s="23">
        <f>IF($B367="","",IF(项目台账!$F366="","",项目台账!$F366))</f>
        <v/>
      </c>
      <c r="G367" s="23">
        <f>IF($B367="","",IF(项目台账!$J366="","",项目台账!$J366))</f>
        <v/>
      </c>
      <c r="H367" s="17">
        <f>IF($B367="","",IF(项目台账!$Q366="","",项目台账!$Q366))</f>
        <v/>
      </c>
      <c r="I367" s="19">
        <f>IF($B367="","",项目台账!$M366)</f>
        <v/>
      </c>
      <c r="J367" s="19">
        <f>IF($B367="","",项目台账!$O366)</f>
        <v/>
      </c>
      <c r="K367" s="19">
        <f>IF($B367="","",项目台账!$P366)</f>
        <v/>
      </c>
      <c r="L367" s="19">
        <f>IF($B367="","",ROUND(SUMIFS(采购单!$L$4:$L$2003,采购单!$D$4:$D$2003,$B367,采购单!$F$4:$F$2003,"成本-主材")+SUMIFS(生产安装!$J$4:$J$1203,生产安装!$C$4:$C$1203,$B367,生产安装!$E$4:$E$1203,"成本-主材")+SUMIFS(资金日记账!$K$4:$K$2503,资金日记账!$G$4:$G$2503,$B367,资金日记账!$F$4:$F$2503,"成本-主材")-SUMIFS(资金日记账!$J$4:$J$2503,资金日记账!$G$4:$G$2503,$B367,资金日记账!$F$4:$F$2503,"成本-主材"),2))</f>
        <v/>
      </c>
      <c r="M367" s="19">
        <f>IF($B367="","",ROUND(SUMIFS(采购单!$L$4:$L$2003,采购单!$D$4:$D$2003,$B367,采购单!$F$4:$F$2003,"成本-辅材")+SUMIFS(生产安装!$J$4:$J$1203,生产安装!$C$4:$C$1203,$B367,生产安装!$E$4:$E$1203,"成本-辅材")+SUMIFS(资金日记账!$K$4:$K$2503,资金日记账!$G$4:$G$2503,$B367,资金日记账!$F$4:$F$2503,"成本-辅材")-SUMIFS(资金日记账!$J$4:$J$2503,资金日记账!$G$4:$G$2503,$B367,资金日记账!$F$4:$F$2503,"成本-辅材"),2))</f>
        <v/>
      </c>
      <c r="N367" s="19">
        <f>IF($B367="","",ROUND(SUMIFS(采购单!$L$4:$L$2003,采购单!$D$4:$D$2003,$B367,采购单!$F$4:$F$2003,"成本-人工")+SUMIFS(生产安装!$J$4:$J$1203,生产安装!$C$4:$C$1203,$B367,生产安装!$E$4:$E$1203,"成本-人工")+SUMIFS(资金日记账!$K$4:$K$2503,资金日记账!$G$4:$G$2503,$B367,资金日记账!$F$4:$F$2503,"成本-人工")-SUMIFS(资金日记账!$J$4:$J$2503,资金日记账!$G$4:$G$2503,$B367,资金日记账!$F$4:$F$2503,"成本-人工"),2))</f>
        <v/>
      </c>
      <c r="O367" s="19">
        <f>IF($B367="","",ROUND(SUMIFS(采购单!$L$4:$L$2003,采购单!$D$4:$D$2003,$B367,采购单!$F$4:$F$2003,"成本-车运")+SUMIFS(生产安装!$J$4:$J$1203,生产安装!$C$4:$C$1203,$B367,生产安装!$E$4:$E$1203,"成本-车运")+SUMIFS(资金日记账!$K$4:$K$2503,资金日记账!$G$4:$G$2503,$B367,资金日记账!$F$4:$F$2503,"成本-车运")-SUMIFS(资金日记账!$J$4:$J$2503,资金日记账!$G$4:$G$2503,$B367,资金日记账!$F$4:$F$2503,"成本-车运"),2))</f>
        <v/>
      </c>
      <c r="P367" s="19">
        <f>IF($B367="","",ROUND(SUMIFS(采购单!$L$4:$L$2003,采购单!$D$4:$D$2003,$B367,采购单!$F$4:$F$2003,"成本-其他")+SUMIFS(生产安装!$J$4:$J$1203,生产安装!$C$4:$C$1203,$B367,生产安装!$E$4:$E$1203,"成本-其他")+SUMIFS(资金日记账!$K$4:$K$2503,资金日记账!$G$4:$G$2503,$B367,资金日记账!$F$4:$F$2503,"成本-其他")-SUMIFS(资金日记账!$J$4:$J$2503,资金日记账!$G$4:$G$2503,$B367,资金日记账!$F$4:$F$2503,"成本-其他"),2))</f>
        <v/>
      </c>
      <c r="Q367" s="19">
        <f>IF($B367="","",ROUND(SUM($L367:$P367),2))</f>
        <v/>
      </c>
      <c r="R367" s="19">
        <f>IF($B367="","",ROUND($I367-$Q367,2))</f>
        <v/>
      </c>
      <c r="S367" s="33">
        <f>IF($B367="","",IF(ROUND($I367,2)=0,"",ROUND($R367/$I367,4)))</f>
        <v/>
      </c>
      <c r="T367" s="22">
        <f>IF($B367="","",IF($G367="",0,YEAR($G367)*100+MONTH($G367)))</f>
        <v/>
      </c>
      <c r="U367" s="17">
        <f>IF($B367="","",IF(项目台账!$R366="","",项目台账!$R366))</f>
        <v/>
      </c>
    </row>
    <row r="368">
      <c r="A368" s="17">
        <f>IF(项目台账!$B367="","",项目台账!$A367)</f>
        <v/>
      </c>
      <c r="B368" s="17">
        <f>IF(项目台账!$B367="","",项目台账!$B367)</f>
        <v/>
      </c>
      <c r="C368" s="17">
        <f>IF($B368="","",IF(项目台账!$C367="","",项目台账!$C367))</f>
        <v/>
      </c>
      <c r="D368" s="17">
        <f>IF($B368="","",IF(项目台账!$D367="","",项目台账!$D367))</f>
        <v/>
      </c>
      <c r="E368" s="17">
        <f>IF($B368="","",IF(项目台账!$E367="","",项目台账!$E367))</f>
        <v/>
      </c>
      <c r="F368" s="23">
        <f>IF($B368="","",IF(项目台账!$F367="","",项目台账!$F367))</f>
        <v/>
      </c>
      <c r="G368" s="23">
        <f>IF($B368="","",IF(项目台账!$J367="","",项目台账!$J367))</f>
        <v/>
      </c>
      <c r="H368" s="17">
        <f>IF($B368="","",IF(项目台账!$Q367="","",项目台账!$Q367))</f>
        <v/>
      </c>
      <c r="I368" s="19">
        <f>IF($B368="","",项目台账!$M367)</f>
        <v/>
      </c>
      <c r="J368" s="19">
        <f>IF($B368="","",项目台账!$O367)</f>
        <v/>
      </c>
      <c r="K368" s="19">
        <f>IF($B368="","",项目台账!$P367)</f>
        <v/>
      </c>
      <c r="L368" s="19">
        <f>IF($B368="","",ROUND(SUMIFS(采购单!$L$4:$L$2003,采购单!$D$4:$D$2003,$B368,采购单!$F$4:$F$2003,"成本-主材")+SUMIFS(生产安装!$J$4:$J$1203,生产安装!$C$4:$C$1203,$B368,生产安装!$E$4:$E$1203,"成本-主材")+SUMIFS(资金日记账!$K$4:$K$2503,资金日记账!$G$4:$G$2503,$B368,资金日记账!$F$4:$F$2503,"成本-主材")-SUMIFS(资金日记账!$J$4:$J$2503,资金日记账!$G$4:$G$2503,$B368,资金日记账!$F$4:$F$2503,"成本-主材"),2))</f>
        <v/>
      </c>
      <c r="M368" s="19">
        <f>IF($B368="","",ROUND(SUMIFS(采购单!$L$4:$L$2003,采购单!$D$4:$D$2003,$B368,采购单!$F$4:$F$2003,"成本-辅材")+SUMIFS(生产安装!$J$4:$J$1203,生产安装!$C$4:$C$1203,$B368,生产安装!$E$4:$E$1203,"成本-辅材")+SUMIFS(资金日记账!$K$4:$K$2503,资金日记账!$G$4:$G$2503,$B368,资金日记账!$F$4:$F$2503,"成本-辅材")-SUMIFS(资金日记账!$J$4:$J$2503,资金日记账!$G$4:$G$2503,$B368,资金日记账!$F$4:$F$2503,"成本-辅材"),2))</f>
        <v/>
      </c>
      <c r="N368" s="19">
        <f>IF($B368="","",ROUND(SUMIFS(采购单!$L$4:$L$2003,采购单!$D$4:$D$2003,$B368,采购单!$F$4:$F$2003,"成本-人工")+SUMIFS(生产安装!$J$4:$J$1203,生产安装!$C$4:$C$1203,$B368,生产安装!$E$4:$E$1203,"成本-人工")+SUMIFS(资金日记账!$K$4:$K$2503,资金日记账!$G$4:$G$2503,$B368,资金日记账!$F$4:$F$2503,"成本-人工")-SUMIFS(资金日记账!$J$4:$J$2503,资金日记账!$G$4:$G$2503,$B368,资金日记账!$F$4:$F$2503,"成本-人工"),2))</f>
        <v/>
      </c>
      <c r="O368" s="19">
        <f>IF($B368="","",ROUND(SUMIFS(采购单!$L$4:$L$2003,采购单!$D$4:$D$2003,$B368,采购单!$F$4:$F$2003,"成本-车运")+SUMIFS(生产安装!$J$4:$J$1203,生产安装!$C$4:$C$1203,$B368,生产安装!$E$4:$E$1203,"成本-车运")+SUMIFS(资金日记账!$K$4:$K$2503,资金日记账!$G$4:$G$2503,$B368,资金日记账!$F$4:$F$2503,"成本-车运")-SUMIFS(资金日记账!$J$4:$J$2503,资金日记账!$G$4:$G$2503,$B368,资金日记账!$F$4:$F$2503,"成本-车运"),2))</f>
        <v/>
      </c>
      <c r="P368" s="19">
        <f>IF($B368="","",ROUND(SUMIFS(采购单!$L$4:$L$2003,采购单!$D$4:$D$2003,$B368,采购单!$F$4:$F$2003,"成本-其他")+SUMIFS(生产安装!$J$4:$J$1203,生产安装!$C$4:$C$1203,$B368,生产安装!$E$4:$E$1203,"成本-其他")+SUMIFS(资金日记账!$K$4:$K$2503,资金日记账!$G$4:$G$2503,$B368,资金日记账!$F$4:$F$2503,"成本-其他")-SUMIFS(资金日记账!$J$4:$J$2503,资金日记账!$G$4:$G$2503,$B368,资金日记账!$F$4:$F$2503,"成本-其他"),2))</f>
        <v/>
      </c>
      <c r="Q368" s="19">
        <f>IF($B368="","",ROUND(SUM($L368:$P368),2))</f>
        <v/>
      </c>
      <c r="R368" s="19">
        <f>IF($B368="","",ROUND($I368-$Q368,2))</f>
        <v/>
      </c>
      <c r="S368" s="33">
        <f>IF($B368="","",IF(ROUND($I368,2)=0,"",ROUND($R368/$I368,4)))</f>
        <v/>
      </c>
      <c r="T368" s="22">
        <f>IF($B368="","",IF($G368="",0,YEAR($G368)*100+MONTH($G368)))</f>
        <v/>
      </c>
      <c r="U368" s="17">
        <f>IF($B368="","",IF(项目台账!$R367="","",项目台账!$R367))</f>
        <v/>
      </c>
    </row>
    <row r="369">
      <c r="A369" s="17">
        <f>IF(项目台账!$B368="","",项目台账!$A368)</f>
        <v/>
      </c>
      <c r="B369" s="17">
        <f>IF(项目台账!$B368="","",项目台账!$B368)</f>
        <v/>
      </c>
      <c r="C369" s="17">
        <f>IF($B369="","",IF(项目台账!$C368="","",项目台账!$C368))</f>
        <v/>
      </c>
      <c r="D369" s="17">
        <f>IF($B369="","",IF(项目台账!$D368="","",项目台账!$D368))</f>
        <v/>
      </c>
      <c r="E369" s="17">
        <f>IF($B369="","",IF(项目台账!$E368="","",项目台账!$E368))</f>
        <v/>
      </c>
      <c r="F369" s="23">
        <f>IF($B369="","",IF(项目台账!$F368="","",项目台账!$F368))</f>
        <v/>
      </c>
      <c r="G369" s="23">
        <f>IF($B369="","",IF(项目台账!$J368="","",项目台账!$J368))</f>
        <v/>
      </c>
      <c r="H369" s="17">
        <f>IF($B369="","",IF(项目台账!$Q368="","",项目台账!$Q368))</f>
        <v/>
      </c>
      <c r="I369" s="19">
        <f>IF($B369="","",项目台账!$M368)</f>
        <v/>
      </c>
      <c r="J369" s="19">
        <f>IF($B369="","",项目台账!$O368)</f>
        <v/>
      </c>
      <c r="K369" s="19">
        <f>IF($B369="","",项目台账!$P368)</f>
        <v/>
      </c>
      <c r="L369" s="19">
        <f>IF($B369="","",ROUND(SUMIFS(采购单!$L$4:$L$2003,采购单!$D$4:$D$2003,$B369,采购单!$F$4:$F$2003,"成本-主材")+SUMIFS(生产安装!$J$4:$J$1203,生产安装!$C$4:$C$1203,$B369,生产安装!$E$4:$E$1203,"成本-主材")+SUMIFS(资金日记账!$K$4:$K$2503,资金日记账!$G$4:$G$2503,$B369,资金日记账!$F$4:$F$2503,"成本-主材")-SUMIFS(资金日记账!$J$4:$J$2503,资金日记账!$G$4:$G$2503,$B369,资金日记账!$F$4:$F$2503,"成本-主材"),2))</f>
        <v/>
      </c>
      <c r="M369" s="19">
        <f>IF($B369="","",ROUND(SUMIFS(采购单!$L$4:$L$2003,采购单!$D$4:$D$2003,$B369,采购单!$F$4:$F$2003,"成本-辅材")+SUMIFS(生产安装!$J$4:$J$1203,生产安装!$C$4:$C$1203,$B369,生产安装!$E$4:$E$1203,"成本-辅材")+SUMIFS(资金日记账!$K$4:$K$2503,资金日记账!$G$4:$G$2503,$B369,资金日记账!$F$4:$F$2503,"成本-辅材")-SUMIFS(资金日记账!$J$4:$J$2503,资金日记账!$G$4:$G$2503,$B369,资金日记账!$F$4:$F$2503,"成本-辅材"),2))</f>
        <v/>
      </c>
      <c r="N369" s="19">
        <f>IF($B369="","",ROUND(SUMIFS(采购单!$L$4:$L$2003,采购单!$D$4:$D$2003,$B369,采购单!$F$4:$F$2003,"成本-人工")+SUMIFS(生产安装!$J$4:$J$1203,生产安装!$C$4:$C$1203,$B369,生产安装!$E$4:$E$1203,"成本-人工")+SUMIFS(资金日记账!$K$4:$K$2503,资金日记账!$G$4:$G$2503,$B369,资金日记账!$F$4:$F$2503,"成本-人工")-SUMIFS(资金日记账!$J$4:$J$2503,资金日记账!$G$4:$G$2503,$B369,资金日记账!$F$4:$F$2503,"成本-人工"),2))</f>
        <v/>
      </c>
      <c r="O369" s="19">
        <f>IF($B369="","",ROUND(SUMIFS(采购单!$L$4:$L$2003,采购单!$D$4:$D$2003,$B369,采购单!$F$4:$F$2003,"成本-车运")+SUMIFS(生产安装!$J$4:$J$1203,生产安装!$C$4:$C$1203,$B369,生产安装!$E$4:$E$1203,"成本-车运")+SUMIFS(资金日记账!$K$4:$K$2503,资金日记账!$G$4:$G$2503,$B369,资金日记账!$F$4:$F$2503,"成本-车运")-SUMIFS(资金日记账!$J$4:$J$2503,资金日记账!$G$4:$G$2503,$B369,资金日记账!$F$4:$F$2503,"成本-车运"),2))</f>
        <v/>
      </c>
      <c r="P369" s="19">
        <f>IF($B369="","",ROUND(SUMIFS(采购单!$L$4:$L$2003,采购单!$D$4:$D$2003,$B369,采购单!$F$4:$F$2003,"成本-其他")+SUMIFS(生产安装!$J$4:$J$1203,生产安装!$C$4:$C$1203,$B369,生产安装!$E$4:$E$1203,"成本-其他")+SUMIFS(资金日记账!$K$4:$K$2503,资金日记账!$G$4:$G$2503,$B369,资金日记账!$F$4:$F$2503,"成本-其他")-SUMIFS(资金日记账!$J$4:$J$2503,资金日记账!$G$4:$G$2503,$B369,资金日记账!$F$4:$F$2503,"成本-其他"),2))</f>
        <v/>
      </c>
      <c r="Q369" s="19">
        <f>IF($B369="","",ROUND(SUM($L369:$P369),2))</f>
        <v/>
      </c>
      <c r="R369" s="19">
        <f>IF($B369="","",ROUND($I369-$Q369,2))</f>
        <v/>
      </c>
      <c r="S369" s="33">
        <f>IF($B369="","",IF(ROUND($I369,2)=0,"",ROUND($R369/$I369,4)))</f>
        <v/>
      </c>
      <c r="T369" s="22">
        <f>IF($B369="","",IF($G369="",0,YEAR($G369)*100+MONTH($G369)))</f>
        <v/>
      </c>
      <c r="U369" s="17">
        <f>IF($B369="","",IF(项目台账!$R368="","",项目台账!$R368))</f>
        <v/>
      </c>
    </row>
    <row r="370">
      <c r="A370" s="17">
        <f>IF(项目台账!$B369="","",项目台账!$A369)</f>
        <v/>
      </c>
      <c r="B370" s="17">
        <f>IF(项目台账!$B369="","",项目台账!$B369)</f>
        <v/>
      </c>
      <c r="C370" s="17">
        <f>IF($B370="","",IF(项目台账!$C369="","",项目台账!$C369))</f>
        <v/>
      </c>
      <c r="D370" s="17">
        <f>IF($B370="","",IF(项目台账!$D369="","",项目台账!$D369))</f>
        <v/>
      </c>
      <c r="E370" s="17">
        <f>IF($B370="","",IF(项目台账!$E369="","",项目台账!$E369))</f>
        <v/>
      </c>
      <c r="F370" s="23">
        <f>IF($B370="","",IF(项目台账!$F369="","",项目台账!$F369))</f>
        <v/>
      </c>
      <c r="G370" s="23">
        <f>IF($B370="","",IF(项目台账!$J369="","",项目台账!$J369))</f>
        <v/>
      </c>
      <c r="H370" s="17">
        <f>IF($B370="","",IF(项目台账!$Q369="","",项目台账!$Q369))</f>
        <v/>
      </c>
      <c r="I370" s="19">
        <f>IF($B370="","",项目台账!$M369)</f>
        <v/>
      </c>
      <c r="J370" s="19">
        <f>IF($B370="","",项目台账!$O369)</f>
        <v/>
      </c>
      <c r="K370" s="19">
        <f>IF($B370="","",项目台账!$P369)</f>
        <v/>
      </c>
      <c r="L370" s="19">
        <f>IF($B370="","",ROUND(SUMIFS(采购单!$L$4:$L$2003,采购单!$D$4:$D$2003,$B370,采购单!$F$4:$F$2003,"成本-主材")+SUMIFS(生产安装!$J$4:$J$1203,生产安装!$C$4:$C$1203,$B370,生产安装!$E$4:$E$1203,"成本-主材")+SUMIFS(资金日记账!$K$4:$K$2503,资金日记账!$G$4:$G$2503,$B370,资金日记账!$F$4:$F$2503,"成本-主材")-SUMIFS(资金日记账!$J$4:$J$2503,资金日记账!$G$4:$G$2503,$B370,资金日记账!$F$4:$F$2503,"成本-主材"),2))</f>
        <v/>
      </c>
      <c r="M370" s="19">
        <f>IF($B370="","",ROUND(SUMIFS(采购单!$L$4:$L$2003,采购单!$D$4:$D$2003,$B370,采购单!$F$4:$F$2003,"成本-辅材")+SUMIFS(生产安装!$J$4:$J$1203,生产安装!$C$4:$C$1203,$B370,生产安装!$E$4:$E$1203,"成本-辅材")+SUMIFS(资金日记账!$K$4:$K$2503,资金日记账!$G$4:$G$2503,$B370,资金日记账!$F$4:$F$2503,"成本-辅材")-SUMIFS(资金日记账!$J$4:$J$2503,资金日记账!$G$4:$G$2503,$B370,资金日记账!$F$4:$F$2503,"成本-辅材"),2))</f>
        <v/>
      </c>
      <c r="N370" s="19">
        <f>IF($B370="","",ROUND(SUMIFS(采购单!$L$4:$L$2003,采购单!$D$4:$D$2003,$B370,采购单!$F$4:$F$2003,"成本-人工")+SUMIFS(生产安装!$J$4:$J$1203,生产安装!$C$4:$C$1203,$B370,生产安装!$E$4:$E$1203,"成本-人工")+SUMIFS(资金日记账!$K$4:$K$2503,资金日记账!$G$4:$G$2503,$B370,资金日记账!$F$4:$F$2503,"成本-人工")-SUMIFS(资金日记账!$J$4:$J$2503,资金日记账!$G$4:$G$2503,$B370,资金日记账!$F$4:$F$2503,"成本-人工"),2))</f>
        <v/>
      </c>
      <c r="O370" s="19">
        <f>IF($B370="","",ROUND(SUMIFS(采购单!$L$4:$L$2003,采购单!$D$4:$D$2003,$B370,采购单!$F$4:$F$2003,"成本-车运")+SUMIFS(生产安装!$J$4:$J$1203,生产安装!$C$4:$C$1203,$B370,生产安装!$E$4:$E$1203,"成本-车运")+SUMIFS(资金日记账!$K$4:$K$2503,资金日记账!$G$4:$G$2503,$B370,资金日记账!$F$4:$F$2503,"成本-车运")-SUMIFS(资金日记账!$J$4:$J$2503,资金日记账!$G$4:$G$2503,$B370,资金日记账!$F$4:$F$2503,"成本-车运"),2))</f>
        <v/>
      </c>
      <c r="P370" s="19">
        <f>IF($B370="","",ROUND(SUMIFS(采购单!$L$4:$L$2003,采购单!$D$4:$D$2003,$B370,采购单!$F$4:$F$2003,"成本-其他")+SUMIFS(生产安装!$J$4:$J$1203,生产安装!$C$4:$C$1203,$B370,生产安装!$E$4:$E$1203,"成本-其他")+SUMIFS(资金日记账!$K$4:$K$2503,资金日记账!$G$4:$G$2503,$B370,资金日记账!$F$4:$F$2503,"成本-其他")-SUMIFS(资金日记账!$J$4:$J$2503,资金日记账!$G$4:$G$2503,$B370,资金日记账!$F$4:$F$2503,"成本-其他"),2))</f>
        <v/>
      </c>
      <c r="Q370" s="19">
        <f>IF($B370="","",ROUND(SUM($L370:$P370),2))</f>
        <v/>
      </c>
      <c r="R370" s="19">
        <f>IF($B370="","",ROUND($I370-$Q370,2))</f>
        <v/>
      </c>
      <c r="S370" s="33">
        <f>IF($B370="","",IF(ROUND($I370,2)=0,"",ROUND($R370/$I370,4)))</f>
        <v/>
      </c>
      <c r="T370" s="22">
        <f>IF($B370="","",IF($G370="",0,YEAR($G370)*100+MONTH($G370)))</f>
        <v/>
      </c>
      <c r="U370" s="17">
        <f>IF($B370="","",IF(项目台账!$R369="","",项目台账!$R369))</f>
        <v/>
      </c>
    </row>
    <row r="371">
      <c r="A371" s="17">
        <f>IF(项目台账!$B370="","",项目台账!$A370)</f>
        <v/>
      </c>
      <c r="B371" s="17">
        <f>IF(项目台账!$B370="","",项目台账!$B370)</f>
        <v/>
      </c>
      <c r="C371" s="17">
        <f>IF($B371="","",IF(项目台账!$C370="","",项目台账!$C370))</f>
        <v/>
      </c>
      <c r="D371" s="17">
        <f>IF($B371="","",IF(项目台账!$D370="","",项目台账!$D370))</f>
        <v/>
      </c>
      <c r="E371" s="17">
        <f>IF($B371="","",IF(项目台账!$E370="","",项目台账!$E370))</f>
        <v/>
      </c>
      <c r="F371" s="23">
        <f>IF($B371="","",IF(项目台账!$F370="","",项目台账!$F370))</f>
        <v/>
      </c>
      <c r="G371" s="23">
        <f>IF($B371="","",IF(项目台账!$J370="","",项目台账!$J370))</f>
        <v/>
      </c>
      <c r="H371" s="17">
        <f>IF($B371="","",IF(项目台账!$Q370="","",项目台账!$Q370))</f>
        <v/>
      </c>
      <c r="I371" s="19">
        <f>IF($B371="","",项目台账!$M370)</f>
        <v/>
      </c>
      <c r="J371" s="19">
        <f>IF($B371="","",项目台账!$O370)</f>
        <v/>
      </c>
      <c r="K371" s="19">
        <f>IF($B371="","",项目台账!$P370)</f>
        <v/>
      </c>
      <c r="L371" s="19">
        <f>IF($B371="","",ROUND(SUMIFS(采购单!$L$4:$L$2003,采购单!$D$4:$D$2003,$B371,采购单!$F$4:$F$2003,"成本-主材")+SUMIFS(生产安装!$J$4:$J$1203,生产安装!$C$4:$C$1203,$B371,生产安装!$E$4:$E$1203,"成本-主材")+SUMIFS(资金日记账!$K$4:$K$2503,资金日记账!$G$4:$G$2503,$B371,资金日记账!$F$4:$F$2503,"成本-主材")-SUMIFS(资金日记账!$J$4:$J$2503,资金日记账!$G$4:$G$2503,$B371,资金日记账!$F$4:$F$2503,"成本-主材"),2))</f>
        <v/>
      </c>
      <c r="M371" s="19">
        <f>IF($B371="","",ROUND(SUMIFS(采购单!$L$4:$L$2003,采购单!$D$4:$D$2003,$B371,采购单!$F$4:$F$2003,"成本-辅材")+SUMIFS(生产安装!$J$4:$J$1203,生产安装!$C$4:$C$1203,$B371,生产安装!$E$4:$E$1203,"成本-辅材")+SUMIFS(资金日记账!$K$4:$K$2503,资金日记账!$G$4:$G$2503,$B371,资金日记账!$F$4:$F$2503,"成本-辅材")-SUMIFS(资金日记账!$J$4:$J$2503,资金日记账!$G$4:$G$2503,$B371,资金日记账!$F$4:$F$2503,"成本-辅材"),2))</f>
        <v/>
      </c>
      <c r="N371" s="19">
        <f>IF($B371="","",ROUND(SUMIFS(采购单!$L$4:$L$2003,采购单!$D$4:$D$2003,$B371,采购单!$F$4:$F$2003,"成本-人工")+SUMIFS(生产安装!$J$4:$J$1203,生产安装!$C$4:$C$1203,$B371,生产安装!$E$4:$E$1203,"成本-人工")+SUMIFS(资金日记账!$K$4:$K$2503,资金日记账!$G$4:$G$2503,$B371,资金日记账!$F$4:$F$2503,"成本-人工")-SUMIFS(资金日记账!$J$4:$J$2503,资金日记账!$G$4:$G$2503,$B371,资金日记账!$F$4:$F$2503,"成本-人工"),2))</f>
        <v/>
      </c>
      <c r="O371" s="19">
        <f>IF($B371="","",ROUND(SUMIFS(采购单!$L$4:$L$2003,采购单!$D$4:$D$2003,$B371,采购单!$F$4:$F$2003,"成本-车运")+SUMIFS(生产安装!$J$4:$J$1203,生产安装!$C$4:$C$1203,$B371,生产安装!$E$4:$E$1203,"成本-车运")+SUMIFS(资金日记账!$K$4:$K$2503,资金日记账!$G$4:$G$2503,$B371,资金日记账!$F$4:$F$2503,"成本-车运")-SUMIFS(资金日记账!$J$4:$J$2503,资金日记账!$G$4:$G$2503,$B371,资金日记账!$F$4:$F$2503,"成本-车运"),2))</f>
        <v/>
      </c>
      <c r="P371" s="19">
        <f>IF($B371="","",ROUND(SUMIFS(采购单!$L$4:$L$2003,采购单!$D$4:$D$2003,$B371,采购单!$F$4:$F$2003,"成本-其他")+SUMIFS(生产安装!$J$4:$J$1203,生产安装!$C$4:$C$1203,$B371,生产安装!$E$4:$E$1203,"成本-其他")+SUMIFS(资金日记账!$K$4:$K$2503,资金日记账!$G$4:$G$2503,$B371,资金日记账!$F$4:$F$2503,"成本-其他")-SUMIFS(资金日记账!$J$4:$J$2503,资金日记账!$G$4:$G$2503,$B371,资金日记账!$F$4:$F$2503,"成本-其他"),2))</f>
        <v/>
      </c>
      <c r="Q371" s="19">
        <f>IF($B371="","",ROUND(SUM($L371:$P371),2))</f>
        <v/>
      </c>
      <c r="R371" s="19">
        <f>IF($B371="","",ROUND($I371-$Q371,2))</f>
        <v/>
      </c>
      <c r="S371" s="33">
        <f>IF($B371="","",IF(ROUND($I371,2)=0,"",ROUND($R371/$I371,4)))</f>
        <v/>
      </c>
      <c r="T371" s="22">
        <f>IF($B371="","",IF($G371="",0,YEAR($G371)*100+MONTH($G371)))</f>
        <v/>
      </c>
      <c r="U371" s="17">
        <f>IF($B371="","",IF(项目台账!$R370="","",项目台账!$R370))</f>
        <v/>
      </c>
    </row>
    <row r="372">
      <c r="A372" s="17">
        <f>IF(项目台账!$B371="","",项目台账!$A371)</f>
        <v/>
      </c>
      <c r="B372" s="17">
        <f>IF(项目台账!$B371="","",项目台账!$B371)</f>
        <v/>
      </c>
      <c r="C372" s="17">
        <f>IF($B372="","",IF(项目台账!$C371="","",项目台账!$C371))</f>
        <v/>
      </c>
      <c r="D372" s="17">
        <f>IF($B372="","",IF(项目台账!$D371="","",项目台账!$D371))</f>
        <v/>
      </c>
      <c r="E372" s="17">
        <f>IF($B372="","",IF(项目台账!$E371="","",项目台账!$E371))</f>
        <v/>
      </c>
      <c r="F372" s="23">
        <f>IF($B372="","",IF(项目台账!$F371="","",项目台账!$F371))</f>
        <v/>
      </c>
      <c r="G372" s="23">
        <f>IF($B372="","",IF(项目台账!$J371="","",项目台账!$J371))</f>
        <v/>
      </c>
      <c r="H372" s="17">
        <f>IF($B372="","",IF(项目台账!$Q371="","",项目台账!$Q371))</f>
        <v/>
      </c>
      <c r="I372" s="19">
        <f>IF($B372="","",项目台账!$M371)</f>
        <v/>
      </c>
      <c r="J372" s="19">
        <f>IF($B372="","",项目台账!$O371)</f>
        <v/>
      </c>
      <c r="K372" s="19">
        <f>IF($B372="","",项目台账!$P371)</f>
        <v/>
      </c>
      <c r="L372" s="19">
        <f>IF($B372="","",ROUND(SUMIFS(采购单!$L$4:$L$2003,采购单!$D$4:$D$2003,$B372,采购单!$F$4:$F$2003,"成本-主材")+SUMIFS(生产安装!$J$4:$J$1203,生产安装!$C$4:$C$1203,$B372,生产安装!$E$4:$E$1203,"成本-主材")+SUMIFS(资金日记账!$K$4:$K$2503,资金日记账!$G$4:$G$2503,$B372,资金日记账!$F$4:$F$2503,"成本-主材")-SUMIFS(资金日记账!$J$4:$J$2503,资金日记账!$G$4:$G$2503,$B372,资金日记账!$F$4:$F$2503,"成本-主材"),2))</f>
        <v/>
      </c>
      <c r="M372" s="19">
        <f>IF($B372="","",ROUND(SUMIFS(采购单!$L$4:$L$2003,采购单!$D$4:$D$2003,$B372,采购单!$F$4:$F$2003,"成本-辅材")+SUMIFS(生产安装!$J$4:$J$1203,生产安装!$C$4:$C$1203,$B372,生产安装!$E$4:$E$1203,"成本-辅材")+SUMIFS(资金日记账!$K$4:$K$2503,资金日记账!$G$4:$G$2503,$B372,资金日记账!$F$4:$F$2503,"成本-辅材")-SUMIFS(资金日记账!$J$4:$J$2503,资金日记账!$G$4:$G$2503,$B372,资金日记账!$F$4:$F$2503,"成本-辅材"),2))</f>
        <v/>
      </c>
      <c r="N372" s="19">
        <f>IF($B372="","",ROUND(SUMIFS(采购单!$L$4:$L$2003,采购单!$D$4:$D$2003,$B372,采购单!$F$4:$F$2003,"成本-人工")+SUMIFS(生产安装!$J$4:$J$1203,生产安装!$C$4:$C$1203,$B372,生产安装!$E$4:$E$1203,"成本-人工")+SUMIFS(资金日记账!$K$4:$K$2503,资金日记账!$G$4:$G$2503,$B372,资金日记账!$F$4:$F$2503,"成本-人工")-SUMIFS(资金日记账!$J$4:$J$2503,资金日记账!$G$4:$G$2503,$B372,资金日记账!$F$4:$F$2503,"成本-人工"),2))</f>
        <v/>
      </c>
      <c r="O372" s="19">
        <f>IF($B372="","",ROUND(SUMIFS(采购单!$L$4:$L$2003,采购单!$D$4:$D$2003,$B372,采购单!$F$4:$F$2003,"成本-车运")+SUMIFS(生产安装!$J$4:$J$1203,生产安装!$C$4:$C$1203,$B372,生产安装!$E$4:$E$1203,"成本-车运")+SUMIFS(资金日记账!$K$4:$K$2503,资金日记账!$G$4:$G$2503,$B372,资金日记账!$F$4:$F$2503,"成本-车运")-SUMIFS(资金日记账!$J$4:$J$2503,资金日记账!$G$4:$G$2503,$B372,资金日记账!$F$4:$F$2503,"成本-车运"),2))</f>
        <v/>
      </c>
      <c r="P372" s="19">
        <f>IF($B372="","",ROUND(SUMIFS(采购单!$L$4:$L$2003,采购单!$D$4:$D$2003,$B372,采购单!$F$4:$F$2003,"成本-其他")+SUMIFS(生产安装!$J$4:$J$1203,生产安装!$C$4:$C$1203,$B372,生产安装!$E$4:$E$1203,"成本-其他")+SUMIFS(资金日记账!$K$4:$K$2503,资金日记账!$G$4:$G$2503,$B372,资金日记账!$F$4:$F$2503,"成本-其他")-SUMIFS(资金日记账!$J$4:$J$2503,资金日记账!$G$4:$G$2503,$B372,资金日记账!$F$4:$F$2503,"成本-其他"),2))</f>
        <v/>
      </c>
      <c r="Q372" s="19">
        <f>IF($B372="","",ROUND(SUM($L372:$P372),2))</f>
        <v/>
      </c>
      <c r="R372" s="19">
        <f>IF($B372="","",ROUND($I372-$Q372,2))</f>
        <v/>
      </c>
      <c r="S372" s="33">
        <f>IF($B372="","",IF(ROUND($I372,2)=0,"",ROUND($R372/$I372,4)))</f>
        <v/>
      </c>
      <c r="T372" s="22">
        <f>IF($B372="","",IF($G372="",0,YEAR($G372)*100+MONTH($G372)))</f>
        <v/>
      </c>
      <c r="U372" s="17">
        <f>IF($B372="","",IF(项目台账!$R371="","",项目台账!$R371))</f>
        <v/>
      </c>
    </row>
    <row r="373">
      <c r="A373" s="17">
        <f>IF(项目台账!$B372="","",项目台账!$A372)</f>
        <v/>
      </c>
      <c r="B373" s="17">
        <f>IF(项目台账!$B372="","",项目台账!$B372)</f>
        <v/>
      </c>
      <c r="C373" s="17">
        <f>IF($B373="","",IF(项目台账!$C372="","",项目台账!$C372))</f>
        <v/>
      </c>
      <c r="D373" s="17">
        <f>IF($B373="","",IF(项目台账!$D372="","",项目台账!$D372))</f>
        <v/>
      </c>
      <c r="E373" s="17">
        <f>IF($B373="","",IF(项目台账!$E372="","",项目台账!$E372))</f>
        <v/>
      </c>
      <c r="F373" s="23">
        <f>IF($B373="","",IF(项目台账!$F372="","",项目台账!$F372))</f>
        <v/>
      </c>
      <c r="G373" s="23">
        <f>IF($B373="","",IF(项目台账!$J372="","",项目台账!$J372))</f>
        <v/>
      </c>
      <c r="H373" s="17">
        <f>IF($B373="","",IF(项目台账!$Q372="","",项目台账!$Q372))</f>
        <v/>
      </c>
      <c r="I373" s="19">
        <f>IF($B373="","",项目台账!$M372)</f>
        <v/>
      </c>
      <c r="J373" s="19">
        <f>IF($B373="","",项目台账!$O372)</f>
        <v/>
      </c>
      <c r="K373" s="19">
        <f>IF($B373="","",项目台账!$P372)</f>
        <v/>
      </c>
      <c r="L373" s="19">
        <f>IF($B373="","",ROUND(SUMIFS(采购单!$L$4:$L$2003,采购单!$D$4:$D$2003,$B373,采购单!$F$4:$F$2003,"成本-主材")+SUMIFS(生产安装!$J$4:$J$1203,生产安装!$C$4:$C$1203,$B373,生产安装!$E$4:$E$1203,"成本-主材")+SUMIFS(资金日记账!$K$4:$K$2503,资金日记账!$G$4:$G$2503,$B373,资金日记账!$F$4:$F$2503,"成本-主材")-SUMIFS(资金日记账!$J$4:$J$2503,资金日记账!$G$4:$G$2503,$B373,资金日记账!$F$4:$F$2503,"成本-主材"),2))</f>
        <v/>
      </c>
      <c r="M373" s="19">
        <f>IF($B373="","",ROUND(SUMIFS(采购单!$L$4:$L$2003,采购单!$D$4:$D$2003,$B373,采购单!$F$4:$F$2003,"成本-辅材")+SUMIFS(生产安装!$J$4:$J$1203,生产安装!$C$4:$C$1203,$B373,生产安装!$E$4:$E$1203,"成本-辅材")+SUMIFS(资金日记账!$K$4:$K$2503,资金日记账!$G$4:$G$2503,$B373,资金日记账!$F$4:$F$2503,"成本-辅材")-SUMIFS(资金日记账!$J$4:$J$2503,资金日记账!$G$4:$G$2503,$B373,资金日记账!$F$4:$F$2503,"成本-辅材"),2))</f>
        <v/>
      </c>
      <c r="N373" s="19">
        <f>IF($B373="","",ROUND(SUMIFS(采购单!$L$4:$L$2003,采购单!$D$4:$D$2003,$B373,采购单!$F$4:$F$2003,"成本-人工")+SUMIFS(生产安装!$J$4:$J$1203,生产安装!$C$4:$C$1203,$B373,生产安装!$E$4:$E$1203,"成本-人工")+SUMIFS(资金日记账!$K$4:$K$2503,资金日记账!$G$4:$G$2503,$B373,资金日记账!$F$4:$F$2503,"成本-人工")-SUMIFS(资金日记账!$J$4:$J$2503,资金日记账!$G$4:$G$2503,$B373,资金日记账!$F$4:$F$2503,"成本-人工"),2))</f>
        <v/>
      </c>
      <c r="O373" s="19">
        <f>IF($B373="","",ROUND(SUMIFS(采购单!$L$4:$L$2003,采购单!$D$4:$D$2003,$B373,采购单!$F$4:$F$2003,"成本-车运")+SUMIFS(生产安装!$J$4:$J$1203,生产安装!$C$4:$C$1203,$B373,生产安装!$E$4:$E$1203,"成本-车运")+SUMIFS(资金日记账!$K$4:$K$2503,资金日记账!$G$4:$G$2503,$B373,资金日记账!$F$4:$F$2503,"成本-车运")-SUMIFS(资金日记账!$J$4:$J$2503,资金日记账!$G$4:$G$2503,$B373,资金日记账!$F$4:$F$2503,"成本-车运"),2))</f>
        <v/>
      </c>
      <c r="P373" s="19">
        <f>IF($B373="","",ROUND(SUMIFS(采购单!$L$4:$L$2003,采购单!$D$4:$D$2003,$B373,采购单!$F$4:$F$2003,"成本-其他")+SUMIFS(生产安装!$J$4:$J$1203,生产安装!$C$4:$C$1203,$B373,生产安装!$E$4:$E$1203,"成本-其他")+SUMIFS(资金日记账!$K$4:$K$2503,资金日记账!$G$4:$G$2503,$B373,资金日记账!$F$4:$F$2503,"成本-其他")-SUMIFS(资金日记账!$J$4:$J$2503,资金日记账!$G$4:$G$2503,$B373,资金日记账!$F$4:$F$2503,"成本-其他"),2))</f>
        <v/>
      </c>
      <c r="Q373" s="19">
        <f>IF($B373="","",ROUND(SUM($L373:$P373),2))</f>
        <v/>
      </c>
      <c r="R373" s="19">
        <f>IF($B373="","",ROUND($I373-$Q373,2))</f>
        <v/>
      </c>
      <c r="S373" s="33">
        <f>IF($B373="","",IF(ROUND($I373,2)=0,"",ROUND($R373/$I373,4)))</f>
        <v/>
      </c>
      <c r="T373" s="22">
        <f>IF($B373="","",IF($G373="",0,YEAR($G373)*100+MONTH($G373)))</f>
        <v/>
      </c>
      <c r="U373" s="17">
        <f>IF($B373="","",IF(项目台账!$R372="","",项目台账!$R372))</f>
        <v/>
      </c>
    </row>
    <row r="374">
      <c r="A374" s="17">
        <f>IF(项目台账!$B373="","",项目台账!$A373)</f>
        <v/>
      </c>
      <c r="B374" s="17">
        <f>IF(项目台账!$B373="","",项目台账!$B373)</f>
        <v/>
      </c>
      <c r="C374" s="17">
        <f>IF($B374="","",IF(项目台账!$C373="","",项目台账!$C373))</f>
        <v/>
      </c>
      <c r="D374" s="17">
        <f>IF($B374="","",IF(项目台账!$D373="","",项目台账!$D373))</f>
        <v/>
      </c>
      <c r="E374" s="17">
        <f>IF($B374="","",IF(项目台账!$E373="","",项目台账!$E373))</f>
        <v/>
      </c>
      <c r="F374" s="23">
        <f>IF($B374="","",IF(项目台账!$F373="","",项目台账!$F373))</f>
        <v/>
      </c>
      <c r="G374" s="23">
        <f>IF($B374="","",IF(项目台账!$J373="","",项目台账!$J373))</f>
        <v/>
      </c>
      <c r="H374" s="17">
        <f>IF($B374="","",IF(项目台账!$Q373="","",项目台账!$Q373))</f>
        <v/>
      </c>
      <c r="I374" s="19">
        <f>IF($B374="","",项目台账!$M373)</f>
        <v/>
      </c>
      <c r="J374" s="19">
        <f>IF($B374="","",项目台账!$O373)</f>
        <v/>
      </c>
      <c r="K374" s="19">
        <f>IF($B374="","",项目台账!$P373)</f>
        <v/>
      </c>
      <c r="L374" s="19">
        <f>IF($B374="","",ROUND(SUMIFS(采购单!$L$4:$L$2003,采购单!$D$4:$D$2003,$B374,采购单!$F$4:$F$2003,"成本-主材")+SUMIFS(生产安装!$J$4:$J$1203,生产安装!$C$4:$C$1203,$B374,生产安装!$E$4:$E$1203,"成本-主材")+SUMIFS(资金日记账!$K$4:$K$2503,资金日记账!$G$4:$G$2503,$B374,资金日记账!$F$4:$F$2503,"成本-主材")-SUMIFS(资金日记账!$J$4:$J$2503,资金日记账!$G$4:$G$2503,$B374,资金日记账!$F$4:$F$2503,"成本-主材"),2))</f>
        <v/>
      </c>
      <c r="M374" s="19">
        <f>IF($B374="","",ROUND(SUMIFS(采购单!$L$4:$L$2003,采购单!$D$4:$D$2003,$B374,采购单!$F$4:$F$2003,"成本-辅材")+SUMIFS(生产安装!$J$4:$J$1203,生产安装!$C$4:$C$1203,$B374,生产安装!$E$4:$E$1203,"成本-辅材")+SUMIFS(资金日记账!$K$4:$K$2503,资金日记账!$G$4:$G$2503,$B374,资金日记账!$F$4:$F$2503,"成本-辅材")-SUMIFS(资金日记账!$J$4:$J$2503,资金日记账!$G$4:$G$2503,$B374,资金日记账!$F$4:$F$2503,"成本-辅材"),2))</f>
        <v/>
      </c>
      <c r="N374" s="19">
        <f>IF($B374="","",ROUND(SUMIFS(采购单!$L$4:$L$2003,采购单!$D$4:$D$2003,$B374,采购单!$F$4:$F$2003,"成本-人工")+SUMIFS(生产安装!$J$4:$J$1203,生产安装!$C$4:$C$1203,$B374,生产安装!$E$4:$E$1203,"成本-人工")+SUMIFS(资金日记账!$K$4:$K$2503,资金日记账!$G$4:$G$2503,$B374,资金日记账!$F$4:$F$2503,"成本-人工")-SUMIFS(资金日记账!$J$4:$J$2503,资金日记账!$G$4:$G$2503,$B374,资金日记账!$F$4:$F$2503,"成本-人工"),2))</f>
        <v/>
      </c>
      <c r="O374" s="19">
        <f>IF($B374="","",ROUND(SUMIFS(采购单!$L$4:$L$2003,采购单!$D$4:$D$2003,$B374,采购单!$F$4:$F$2003,"成本-车运")+SUMIFS(生产安装!$J$4:$J$1203,生产安装!$C$4:$C$1203,$B374,生产安装!$E$4:$E$1203,"成本-车运")+SUMIFS(资金日记账!$K$4:$K$2503,资金日记账!$G$4:$G$2503,$B374,资金日记账!$F$4:$F$2503,"成本-车运")-SUMIFS(资金日记账!$J$4:$J$2503,资金日记账!$G$4:$G$2503,$B374,资金日记账!$F$4:$F$2503,"成本-车运"),2))</f>
        <v/>
      </c>
      <c r="P374" s="19">
        <f>IF($B374="","",ROUND(SUMIFS(采购单!$L$4:$L$2003,采购单!$D$4:$D$2003,$B374,采购单!$F$4:$F$2003,"成本-其他")+SUMIFS(生产安装!$J$4:$J$1203,生产安装!$C$4:$C$1203,$B374,生产安装!$E$4:$E$1203,"成本-其他")+SUMIFS(资金日记账!$K$4:$K$2503,资金日记账!$G$4:$G$2503,$B374,资金日记账!$F$4:$F$2503,"成本-其他")-SUMIFS(资金日记账!$J$4:$J$2503,资金日记账!$G$4:$G$2503,$B374,资金日记账!$F$4:$F$2503,"成本-其他"),2))</f>
        <v/>
      </c>
      <c r="Q374" s="19">
        <f>IF($B374="","",ROUND(SUM($L374:$P374),2))</f>
        <v/>
      </c>
      <c r="R374" s="19">
        <f>IF($B374="","",ROUND($I374-$Q374,2))</f>
        <v/>
      </c>
      <c r="S374" s="33">
        <f>IF($B374="","",IF(ROUND($I374,2)=0,"",ROUND($R374/$I374,4)))</f>
        <v/>
      </c>
      <c r="T374" s="22">
        <f>IF($B374="","",IF($G374="",0,YEAR($G374)*100+MONTH($G374)))</f>
        <v/>
      </c>
      <c r="U374" s="17">
        <f>IF($B374="","",IF(项目台账!$R373="","",项目台账!$R373))</f>
        <v/>
      </c>
    </row>
    <row r="375">
      <c r="A375" s="17">
        <f>IF(项目台账!$B374="","",项目台账!$A374)</f>
        <v/>
      </c>
      <c r="B375" s="17">
        <f>IF(项目台账!$B374="","",项目台账!$B374)</f>
        <v/>
      </c>
      <c r="C375" s="17">
        <f>IF($B375="","",IF(项目台账!$C374="","",项目台账!$C374))</f>
        <v/>
      </c>
      <c r="D375" s="17">
        <f>IF($B375="","",IF(项目台账!$D374="","",项目台账!$D374))</f>
        <v/>
      </c>
      <c r="E375" s="17">
        <f>IF($B375="","",IF(项目台账!$E374="","",项目台账!$E374))</f>
        <v/>
      </c>
      <c r="F375" s="23">
        <f>IF($B375="","",IF(项目台账!$F374="","",项目台账!$F374))</f>
        <v/>
      </c>
      <c r="G375" s="23">
        <f>IF($B375="","",IF(项目台账!$J374="","",项目台账!$J374))</f>
        <v/>
      </c>
      <c r="H375" s="17">
        <f>IF($B375="","",IF(项目台账!$Q374="","",项目台账!$Q374))</f>
        <v/>
      </c>
      <c r="I375" s="19">
        <f>IF($B375="","",项目台账!$M374)</f>
        <v/>
      </c>
      <c r="J375" s="19">
        <f>IF($B375="","",项目台账!$O374)</f>
        <v/>
      </c>
      <c r="K375" s="19">
        <f>IF($B375="","",项目台账!$P374)</f>
        <v/>
      </c>
      <c r="L375" s="19">
        <f>IF($B375="","",ROUND(SUMIFS(采购单!$L$4:$L$2003,采购单!$D$4:$D$2003,$B375,采购单!$F$4:$F$2003,"成本-主材")+SUMIFS(生产安装!$J$4:$J$1203,生产安装!$C$4:$C$1203,$B375,生产安装!$E$4:$E$1203,"成本-主材")+SUMIFS(资金日记账!$K$4:$K$2503,资金日记账!$G$4:$G$2503,$B375,资金日记账!$F$4:$F$2503,"成本-主材")-SUMIFS(资金日记账!$J$4:$J$2503,资金日记账!$G$4:$G$2503,$B375,资金日记账!$F$4:$F$2503,"成本-主材"),2))</f>
        <v/>
      </c>
      <c r="M375" s="19">
        <f>IF($B375="","",ROUND(SUMIFS(采购单!$L$4:$L$2003,采购单!$D$4:$D$2003,$B375,采购单!$F$4:$F$2003,"成本-辅材")+SUMIFS(生产安装!$J$4:$J$1203,生产安装!$C$4:$C$1203,$B375,生产安装!$E$4:$E$1203,"成本-辅材")+SUMIFS(资金日记账!$K$4:$K$2503,资金日记账!$G$4:$G$2503,$B375,资金日记账!$F$4:$F$2503,"成本-辅材")-SUMIFS(资金日记账!$J$4:$J$2503,资金日记账!$G$4:$G$2503,$B375,资金日记账!$F$4:$F$2503,"成本-辅材"),2))</f>
        <v/>
      </c>
      <c r="N375" s="19">
        <f>IF($B375="","",ROUND(SUMIFS(采购单!$L$4:$L$2003,采购单!$D$4:$D$2003,$B375,采购单!$F$4:$F$2003,"成本-人工")+SUMIFS(生产安装!$J$4:$J$1203,生产安装!$C$4:$C$1203,$B375,生产安装!$E$4:$E$1203,"成本-人工")+SUMIFS(资金日记账!$K$4:$K$2503,资金日记账!$G$4:$G$2503,$B375,资金日记账!$F$4:$F$2503,"成本-人工")-SUMIFS(资金日记账!$J$4:$J$2503,资金日记账!$G$4:$G$2503,$B375,资金日记账!$F$4:$F$2503,"成本-人工"),2))</f>
        <v/>
      </c>
      <c r="O375" s="19">
        <f>IF($B375="","",ROUND(SUMIFS(采购单!$L$4:$L$2003,采购单!$D$4:$D$2003,$B375,采购单!$F$4:$F$2003,"成本-车运")+SUMIFS(生产安装!$J$4:$J$1203,生产安装!$C$4:$C$1203,$B375,生产安装!$E$4:$E$1203,"成本-车运")+SUMIFS(资金日记账!$K$4:$K$2503,资金日记账!$G$4:$G$2503,$B375,资金日记账!$F$4:$F$2503,"成本-车运")-SUMIFS(资金日记账!$J$4:$J$2503,资金日记账!$G$4:$G$2503,$B375,资金日记账!$F$4:$F$2503,"成本-车运"),2))</f>
        <v/>
      </c>
      <c r="P375" s="19">
        <f>IF($B375="","",ROUND(SUMIFS(采购单!$L$4:$L$2003,采购单!$D$4:$D$2003,$B375,采购单!$F$4:$F$2003,"成本-其他")+SUMIFS(生产安装!$J$4:$J$1203,生产安装!$C$4:$C$1203,$B375,生产安装!$E$4:$E$1203,"成本-其他")+SUMIFS(资金日记账!$K$4:$K$2503,资金日记账!$G$4:$G$2503,$B375,资金日记账!$F$4:$F$2503,"成本-其他")-SUMIFS(资金日记账!$J$4:$J$2503,资金日记账!$G$4:$G$2503,$B375,资金日记账!$F$4:$F$2503,"成本-其他"),2))</f>
        <v/>
      </c>
      <c r="Q375" s="19">
        <f>IF($B375="","",ROUND(SUM($L375:$P375),2))</f>
        <v/>
      </c>
      <c r="R375" s="19">
        <f>IF($B375="","",ROUND($I375-$Q375,2))</f>
        <v/>
      </c>
      <c r="S375" s="33">
        <f>IF($B375="","",IF(ROUND($I375,2)=0,"",ROUND($R375/$I375,4)))</f>
        <v/>
      </c>
      <c r="T375" s="22">
        <f>IF($B375="","",IF($G375="",0,YEAR($G375)*100+MONTH($G375)))</f>
        <v/>
      </c>
      <c r="U375" s="17">
        <f>IF($B375="","",IF(项目台账!$R374="","",项目台账!$R374))</f>
        <v/>
      </c>
    </row>
    <row r="376">
      <c r="A376" s="17">
        <f>IF(项目台账!$B375="","",项目台账!$A375)</f>
        <v/>
      </c>
      <c r="B376" s="17">
        <f>IF(项目台账!$B375="","",项目台账!$B375)</f>
        <v/>
      </c>
      <c r="C376" s="17">
        <f>IF($B376="","",IF(项目台账!$C375="","",项目台账!$C375))</f>
        <v/>
      </c>
      <c r="D376" s="17">
        <f>IF($B376="","",IF(项目台账!$D375="","",项目台账!$D375))</f>
        <v/>
      </c>
      <c r="E376" s="17">
        <f>IF($B376="","",IF(项目台账!$E375="","",项目台账!$E375))</f>
        <v/>
      </c>
      <c r="F376" s="23">
        <f>IF($B376="","",IF(项目台账!$F375="","",项目台账!$F375))</f>
        <v/>
      </c>
      <c r="G376" s="23">
        <f>IF($B376="","",IF(项目台账!$J375="","",项目台账!$J375))</f>
        <v/>
      </c>
      <c r="H376" s="17">
        <f>IF($B376="","",IF(项目台账!$Q375="","",项目台账!$Q375))</f>
        <v/>
      </c>
      <c r="I376" s="19">
        <f>IF($B376="","",项目台账!$M375)</f>
        <v/>
      </c>
      <c r="J376" s="19">
        <f>IF($B376="","",项目台账!$O375)</f>
        <v/>
      </c>
      <c r="K376" s="19">
        <f>IF($B376="","",项目台账!$P375)</f>
        <v/>
      </c>
      <c r="L376" s="19">
        <f>IF($B376="","",ROUND(SUMIFS(采购单!$L$4:$L$2003,采购单!$D$4:$D$2003,$B376,采购单!$F$4:$F$2003,"成本-主材")+SUMIFS(生产安装!$J$4:$J$1203,生产安装!$C$4:$C$1203,$B376,生产安装!$E$4:$E$1203,"成本-主材")+SUMIFS(资金日记账!$K$4:$K$2503,资金日记账!$G$4:$G$2503,$B376,资金日记账!$F$4:$F$2503,"成本-主材")-SUMIFS(资金日记账!$J$4:$J$2503,资金日记账!$G$4:$G$2503,$B376,资金日记账!$F$4:$F$2503,"成本-主材"),2))</f>
        <v/>
      </c>
      <c r="M376" s="19">
        <f>IF($B376="","",ROUND(SUMIFS(采购单!$L$4:$L$2003,采购单!$D$4:$D$2003,$B376,采购单!$F$4:$F$2003,"成本-辅材")+SUMIFS(生产安装!$J$4:$J$1203,生产安装!$C$4:$C$1203,$B376,生产安装!$E$4:$E$1203,"成本-辅材")+SUMIFS(资金日记账!$K$4:$K$2503,资金日记账!$G$4:$G$2503,$B376,资金日记账!$F$4:$F$2503,"成本-辅材")-SUMIFS(资金日记账!$J$4:$J$2503,资金日记账!$G$4:$G$2503,$B376,资金日记账!$F$4:$F$2503,"成本-辅材"),2))</f>
        <v/>
      </c>
      <c r="N376" s="19">
        <f>IF($B376="","",ROUND(SUMIFS(采购单!$L$4:$L$2003,采购单!$D$4:$D$2003,$B376,采购单!$F$4:$F$2003,"成本-人工")+SUMIFS(生产安装!$J$4:$J$1203,生产安装!$C$4:$C$1203,$B376,生产安装!$E$4:$E$1203,"成本-人工")+SUMIFS(资金日记账!$K$4:$K$2503,资金日记账!$G$4:$G$2503,$B376,资金日记账!$F$4:$F$2503,"成本-人工")-SUMIFS(资金日记账!$J$4:$J$2503,资金日记账!$G$4:$G$2503,$B376,资金日记账!$F$4:$F$2503,"成本-人工"),2))</f>
        <v/>
      </c>
      <c r="O376" s="19">
        <f>IF($B376="","",ROUND(SUMIFS(采购单!$L$4:$L$2003,采购单!$D$4:$D$2003,$B376,采购单!$F$4:$F$2003,"成本-车运")+SUMIFS(生产安装!$J$4:$J$1203,生产安装!$C$4:$C$1203,$B376,生产安装!$E$4:$E$1203,"成本-车运")+SUMIFS(资金日记账!$K$4:$K$2503,资金日记账!$G$4:$G$2503,$B376,资金日记账!$F$4:$F$2503,"成本-车运")-SUMIFS(资金日记账!$J$4:$J$2503,资金日记账!$G$4:$G$2503,$B376,资金日记账!$F$4:$F$2503,"成本-车运"),2))</f>
        <v/>
      </c>
      <c r="P376" s="19">
        <f>IF($B376="","",ROUND(SUMIFS(采购单!$L$4:$L$2003,采购单!$D$4:$D$2003,$B376,采购单!$F$4:$F$2003,"成本-其他")+SUMIFS(生产安装!$J$4:$J$1203,生产安装!$C$4:$C$1203,$B376,生产安装!$E$4:$E$1203,"成本-其他")+SUMIFS(资金日记账!$K$4:$K$2503,资金日记账!$G$4:$G$2503,$B376,资金日记账!$F$4:$F$2503,"成本-其他")-SUMIFS(资金日记账!$J$4:$J$2503,资金日记账!$G$4:$G$2503,$B376,资金日记账!$F$4:$F$2503,"成本-其他"),2))</f>
        <v/>
      </c>
      <c r="Q376" s="19">
        <f>IF($B376="","",ROUND(SUM($L376:$P376),2))</f>
        <v/>
      </c>
      <c r="R376" s="19">
        <f>IF($B376="","",ROUND($I376-$Q376,2))</f>
        <v/>
      </c>
      <c r="S376" s="33">
        <f>IF($B376="","",IF(ROUND($I376,2)=0,"",ROUND($R376/$I376,4)))</f>
        <v/>
      </c>
      <c r="T376" s="22">
        <f>IF($B376="","",IF($G376="",0,YEAR($G376)*100+MONTH($G376)))</f>
        <v/>
      </c>
      <c r="U376" s="17">
        <f>IF($B376="","",IF(项目台账!$R375="","",项目台账!$R375))</f>
        <v/>
      </c>
    </row>
    <row r="377">
      <c r="A377" s="17">
        <f>IF(项目台账!$B376="","",项目台账!$A376)</f>
        <v/>
      </c>
      <c r="B377" s="17">
        <f>IF(项目台账!$B376="","",项目台账!$B376)</f>
        <v/>
      </c>
      <c r="C377" s="17">
        <f>IF($B377="","",IF(项目台账!$C376="","",项目台账!$C376))</f>
        <v/>
      </c>
      <c r="D377" s="17">
        <f>IF($B377="","",IF(项目台账!$D376="","",项目台账!$D376))</f>
        <v/>
      </c>
      <c r="E377" s="17">
        <f>IF($B377="","",IF(项目台账!$E376="","",项目台账!$E376))</f>
        <v/>
      </c>
      <c r="F377" s="23">
        <f>IF($B377="","",IF(项目台账!$F376="","",项目台账!$F376))</f>
        <v/>
      </c>
      <c r="G377" s="23">
        <f>IF($B377="","",IF(项目台账!$J376="","",项目台账!$J376))</f>
        <v/>
      </c>
      <c r="H377" s="17">
        <f>IF($B377="","",IF(项目台账!$Q376="","",项目台账!$Q376))</f>
        <v/>
      </c>
      <c r="I377" s="19">
        <f>IF($B377="","",项目台账!$M376)</f>
        <v/>
      </c>
      <c r="J377" s="19">
        <f>IF($B377="","",项目台账!$O376)</f>
        <v/>
      </c>
      <c r="K377" s="19">
        <f>IF($B377="","",项目台账!$P376)</f>
        <v/>
      </c>
      <c r="L377" s="19">
        <f>IF($B377="","",ROUND(SUMIFS(采购单!$L$4:$L$2003,采购单!$D$4:$D$2003,$B377,采购单!$F$4:$F$2003,"成本-主材")+SUMIFS(生产安装!$J$4:$J$1203,生产安装!$C$4:$C$1203,$B377,生产安装!$E$4:$E$1203,"成本-主材")+SUMIFS(资金日记账!$K$4:$K$2503,资金日记账!$G$4:$G$2503,$B377,资金日记账!$F$4:$F$2503,"成本-主材")-SUMIFS(资金日记账!$J$4:$J$2503,资金日记账!$G$4:$G$2503,$B377,资金日记账!$F$4:$F$2503,"成本-主材"),2))</f>
        <v/>
      </c>
      <c r="M377" s="19">
        <f>IF($B377="","",ROUND(SUMIFS(采购单!$L$4:$L$2003,采购单!$D$4:$D$2003,$B377,采购单!$F$4:$F$2003,"成本-辅材")+SUMIFS(生产安装!$J$4:$J$1203,生产安装!$C$4:$C$1203,$B377,生产安装!$E$4:$E$1203,"成本-辅材")+SUMIFS(资金日记账!$K$4:$K$2503,资金日记账!$G$4:$G$2503,$B377,资金日记账!$F$4:$F$2503,"成本-辅材")-SUMIFS(资金日记账!$J$4:$J$2503,资金日记账!$G$4:$G$2503,$B377,资金日记账!$F$4:$F$2503,"成本-辅材"),2))</f>
        <v/>
      </c>
      <c r="N377" s="19">
        <f>IF($B377="","",ROUND(SUMIFS(采购单!$L$4:$L$2003,采购单!$D$4:$D$2003,$B377,采购单!$F$4:$F$2003,"成本-人工")+SUMIFS(生产安装!$J$4:$J$1203,生产安装!$C$4:$C$1203,$B377,生产安装!$E$4:$E$1203,"成本-人工")+SUMIFS(资金日记账!$K$4:$K$2503,资金日记账!$G$4:$G$2503,$B377,资金日记账!$F$4:$F$2503,"成本-人工")-SUMIFS(资金日记账!$J$4:$J$2503,资金日记账!$G$4:$G$2503,$B377,资金日记账!$F$4:$F$2503,"成本-人工"),2))</f>
        <v/>
      </c>
      <c r="O377" s="19">
        <f>IF($B377="","",ROUND(SUMIFS(采购单!$L$4:$L$2003,采购单!$D$4:$D$2003,$B377,采购单!$F$4:$F$2003,"成本-车运")+SUMIFS(生产安装!$J$4:$J$1203,生产安装!$C$4:$C$1203,$B377,生产安装!$E$4:$E$1203,"成本-车运")+SUMIFS(资金日记账!$K$4:$K$2503,资金日记账!$G$4:$G$2503,$B377,资金日记账!$F$4:$F$2503,"成本-车运")-SUMIFS(资金日记账!$J$4:$J$2503,资金日记账!$G$4:$G$2503,$B377,资金日记账!$F$4:$F$2503,"成本-车运"),2))</f>
        <v/>
      </c>
      <c r="P377" s="19">
        <f>IF($B377="","",ROUND(SUMIFS(采购单!$L$4:$L$2003,采购单!$D$4:$D$2003,$B377,采购单!$F$4:$F$2003,"成本-其他")+SUMIFS(生产安装!$J$4:$J$1203,生产安装!$C$4:$C$1203,$B377,生产安装!$E$4:$E$1203,"成本-其他")+SUMIFS(资金日记账!$K$4:$K$2503,资金日记账!$G$4:$G$2503,$B377,资金日记账!$F$4:$F$2503,"成本-其他")-SUMIFS(资金日记账!$J$4:$J$2503,资金日记账!$G$4:$G$2503,$B377,资金日记账!$F$4:$F$2503,"成本-其他"),2))</f>
        <v/>
      </c>
      <c r="Q377" s="19">
        <f>IF($B377="","",ROUND(SUM($L377:$P377),2))</f>
        <v/>
      </c>
      <c r="R377" s="19">
        <f>IF($B377="","",ROUND($I377-$Q377,2))</f>
        <v/>
      </c>
      <c r="S377" s="33">
        <f>IF($B377="","",IF(ROUND($I377,2)=0,"",ROUND($R377/$I377,4)))</f>
        <v/>
      </c>
      <c r="T377" s="22">
        <f>IF($B377="","",IF($G377="",0,YEAR($G377)*100+MONTH($G377)))</f>
        <v/>
      </c>
      <c r="U377" s="17">
        <f>IF($B377="","",IF(项目台账!$R376="","",项目台账!$R376))</f>
        <v/>
      </c>
    </row>
    <row r="378">
      <c r="A378" s="17">
        <f>IF(项目台账!$B377="","",项目台账!$A377)</f>
        <v/>
      </c>
      <c r="B378" s="17">
        <f>IF(项目台账!$B377="","",项目台账!$B377)</f>
        <v/>
      </c>
      <c r="C378" s="17">
        <f>IF($B378="","",IF(项目台账!$C377="","",项目台账!$C377))</f>
        <v/>
      </c>
      <c r="D378" s="17">
        <f>IF($B378="","",IF(项目台账!$D377="","",项目台账!$D377))</f>
        <v/>
      </c>
      <c r="E378" s="17">
        <f>IF($B378="","",IF(项目台账!$E377="","",项目台账!$E377))</f>
        <v/>
      </c>
      <c r="F378" s="23">
        <f>IF($B378="","",IF(项目台账!$F377="","",项目台账!$F377))</f>
        <v/>
      </c>
      <c r="G378" s="23">
        <f>IF($B378="","",IF(项目台账!$J377="","",项目台账!$J377))</f>
        <v/>
      </c>
      <c r="H378" s="17">
        <f>IF($B378="","",IF(项目台账!$Q377="","",项目台账!$Q377))</f>
        <v/>
      </c>
      <c r="I378" s="19">
        <f>IF($B378="","",项目台账!$M377)</f>
        <v/>
      </c>
      <c r="J378" s="19">
        <f>IF($B378="","",项目台账!$O377)</f>
        <v/>
      </c>
      <c r="K378" s="19">
        <f>IF($B378="","",项目台账!$P377)</f>
        <v/>
      </c>
      <c r="L378" s="19">
        <f>IF($B378="","",ROUND(SUMIFS(采购单!$L$4:$L$2003,采购单!$D$4:$D$2003,$B378,采购单!$F$4:$F$2003,"成本-主材")+SUMIFS(生产安装!$J$4:$J$1203,生产安装!$C$4:$C$1203,$B378,生产安装!$E$4:$E$1203,"成本-主材")+SUMIFS(资金日记账!$K$4:$K$2503,资金日记账!$G$4:$G$2503,$B378,资金日记账!$F$4:$F$2503,"成本-主材")-SUMIFS(资金日记账!$J$4:$J$2503,资金日记账!$G$4:$G$2503,$B378,资金日记账!$F$4:$F$2503,"成本-主材"),2))</f>
        <v/>
      </c>
      <c r="M378" s="19">
        <f>IF($B378="","",ROUND(SUMIFS(采购单!$L$4:$L$2003,采购单!$D$4:$D$2003,$B378,采购单!$F$4:$F$2003,"成本-辅材")+SUMIFS(生产安装!$J$4:$J$1203,生产安装!$C$4:$C$1203,$B378,生产安装!$E$4:$E$1203,"成本-辅材")+SUMIFS(资金日记账!$K$4:$K$2503,资金日记账!$G$4:$G$2503,$B378,资金日记账!$F$4:$F$2503,"成本-辅材")-SUMIFS(资金日记账!$J$4:$J$2503,资金日记账!$G$4:$G$2503,$B378,资金日记账!$F$4:$F$2503,"成本-辅材"),2))</f>
        <v/>
      </c>
      <c r="N378" s="19">
        <f>IF($B378="","",ROUND(SUMIFS(采购单!$L$4:$L$2003,采购单!$D$4:$D$2003,$B378,采购单!$F$4:$F$2003,"成本-人工")+SUMIFS(生产安装!$J$4:$J$1203,生产安装!$C$4:$C$1203,$B378,生产安装!$E$4:$E$1203,"成本-人工")+SUMIFS(资金日记账!$K$4:$K$2503,资金日记账!$G$4:$G$2503,$B378,资金日记账!$F$4:$F$2503,"成本-人工")-SUMIFS(资金日记账!$J$4:$J$2503,资金日记账!$G$4:$G$2503,$B378,资金日记账!$F$4:$F$2503,"成本-人工"),2))</f>
        <v/>
      </c>
      <c r="O378" s="19">
        <f>IF($B378="","",ROUND(SUMIFS(采购单!$L$4:$L$2003,采购单!$D$4:$D$2003,$B378,采购单!$F$4:$F$2003,"成本-车运")+SUMIFS(生产安装!$J$4:$J$1203,生产安装!$C$4:$C$1203,$B378,生产安装!$E$4:$E$1203,"成本-车运")+SUMIFS(资金日记账!$K$4:$K$2503,资金日记账!$G$4:$G$2503,$B378,资金日记账!$F$4:$F$2503,"成本-车运")-SUMIFS(资金日记账!$J$4:$J$2503,资金日记账!$G$4:$G$2503,$B378,资金日记账!$F$4:$F$2503,"成本-车运"),2))</f>
        <v/>
      </c>
      <c r="P378" s="19">
        <f>IF($B378="","",ROUND(SUMIFS(采购单!$L$4:$L$2003,采购单!$D$4:$D$2003,$B378,采购单!$F$4:$F$2003,"成本-其他")+SUMIFS(生产安装!$J$4:$J$1203,生产安装!$C$4:$C$1203,$B378,生产安装!$E$4:$E$1203,"成本-其他")+SUMIFS(资金日记账!$K$4:$K$2503,资金日记账!$G$4:$G$2503,$B378,资金日记账!$F$4:$F$2503,"成本-其他")-SUMIFS(资金日记账!$J$4:$J$2503,资金日记账!$G$4:$G$2503,$B378,资金日记账!$F$4:$F$2503,"成本-其他"),2))</f>
        <v/>
      </c>
      <c r="Q378" s="19">
        <f>IF($B378="","",ROUND(SUM($L378:$P378),2))</f>
        <v/>
      </c>
      <c r="R378" s="19">
        <f>IF($B378="","",ROUND($I378-$Q378,2))</f>
        <v/>
      </c>
      <c r="S378" s="33">
        <f>IF($B378="","",IF(ROUND($I378,2)=0,"",ROUND($R378/$I378,4)))</f>
        <v/>
      </c>
      <c r="T378" s="22">
        <f>IF($B378="","",IF($G378="",0,YEAR($G378)*100+MONTH($G378)))</f>
        <v/>
      </c>
      <c r="U378" s="17">
        <f>IF($B378="","",IF(项目台账!$R377="","",项目台账!$R377))</f>
        <v/>
      </c>
    </row>
    <row r="379">
      <c r="A379" s="17">
        <f>IF(项目台账!$B378="","",项目台账!$A378)</f>
        <v/>
      </c>
      <c r="B379" s="17">
        <f>IF(项目台账!$B378="","",项目台账!$B378)</f>
        <v/>
      </c>
      <c r="C379" s="17">
        <f>IF($B379="","",IF(项目台账!$C378="","",项目台账!$C378))</f>
        <v/>
      </c>
      <c r="D379" s="17">
        <f>IF($B379="","",IF(项目台账!$D378="","",项目台账!$D378))</f>
        <v/>
      </c>
      <c r="E379" s="17">
        <f>IF($B379="","",IF(项目台账!$E378="","",项目台账!$E378))</f>
        <v/>
      </c>
      <c r="F379" s="23">
        <f>IF($B379="","",IF(项目台账!$F378="","",项目台账!$F378))</f>
        <v/>
      </c>
      <c r="G379" s="23">
        <f>IF($B379="","",IF(项目台账!$J378="","",项目台账!$J378))</f>
        <v/>
      </c>
      <c r="H379" s="17">
        <f>IF($B379="","",IF(项目台账!$Q378="","",项目台账!$Q378))</f>
        <v/>
      </c>
      <c r="I379" s="19">
        <f>IF($B379="","",项目台账!$M378)</f>
        <v/>
      </c>
      <c r="J379" s="19">
        <f>IF($B379="","",项目台账!$O378)</f>
        <v/>
      </c>
      <c r="K379" s="19">
        <f>IF($B379="","",项目台账!$P378)</f>
        <v/>
      </c>
      <c r="L379" s="19">
        <f>IF($B379="","",ROUND(SUMIFS(采购单!$L$4:$L$2003,采购单!$D$4:$D$2003,$B379,采购单!$F$4:$F$2003,"成本-主材")+SUMIFS(生产安装!$J$4:$J$1203,生产安装!$C$4:$C$1203,$B379,生产安装!$E$4:$E$1203,"成本-主材")+SUMIFS(资金日记账!$K$4:$K$2503,资金日记账!$G$4:$G$2503,$B379,资金日记账!$F$4:$F$2503,"成本-主材")-SUMIFS(资金日记账!$J$4:$J$2503,资金日记账!$G$4:$G$2503,$B379,资金日记账!$F$4:$F$2503,"成本-主材"),2))</f>
        <v/>
      </c>
      <c r="M379" s="19">
        <f>IF($B379="","",ROUND(SUMIFS(采购单!$L$4:$L$2003,采购单!$D$4:$D$2003,$B379,采购单!$F$4:$F$2003,"成本-辅材")+SUMIFS(生产安装!$J$4:$J$1203,生产安装!$C$4:$C$1203,$B379,生产安装!$E$4:$E$1203,"成本-辅材")+SUMIFS(资金日记账!$K$4:$K$2503,资金日记账!$G$4:$G$2503,$B379,资金日记账!$F$4:$F$2503,"成本-辅材")-SUMIFS(资金日记账!$J$4:$J$2503,资金日记账!$G$4:$G$2503,$B379,资金日记账!$F$4:$F$2503,"成本-辅材"),2))</f>
        <v/>
      </c>
      <c r="N379" s="19">
        <f>IF($B379="","",ROUND(SUMIFS(采购单!$L$4:$L$2003,采购单!$D$4:$D$2003,$B379,采购单!$F$4:$F$2003,"成本-人工")+SUMIFS(生产安装!$J$4:$J$1203,生产安装!$C$4:$C$1203,$B379,生产安装!$E$4:$E$1203,"成本-人工")+SUMIFS(资金日记账!$K$4:$K$2503,资金日记账!$G$4:$G$2503,$B379,资金日记账!$F$4:$F$2503,"成本-人工")-SUMIFS(资金日记账!$J$4:$J$2503,资金日记账!$G$4:$G$2503,$B379,资金日记账!$F$4:$F$2503,"成本-人工"),2))</f>
        <v/>
      </c>
      <c r="O379" s="19">
        <f>IF($B379="","",ROUND(SUMIFS(采购单!$L$4:$L$2003,采购单!$D$4:$D$2003,$B379,采购单!$F$4:$F$2003,"成本-车运")+SUMIFS(生产安装!$J$4:$J$1203,生产安装!$C$4:$C$1203,$B379,生产安装!$E$4:$E$1203,"成本-车运")+SUMIFS(资金日记账!$K$4:$K$2503,资金日记账!$G$4:$G$2503,$B379,资金日记账!$F$4:$F$2503,"成本-车运")-SUMIFS(资金日记账!$J$4:$J$2503,资金日记账!$G$4:$G$2503,$B379,资金日记账!$F$4:$F$2503,"成本-车运"),2))</f>
        <v/>
      </c>
      <c r="P379" s="19">
        <f>IF($B379="","",ROUND(SUMIFS(采购单!$L$4:$L$2003,采购单!$D$4:$D$2003,$B379,采购单!$F$4:$F$2003,"成本-其他")+SUMIFS(生产安装!$J$4:$J$1203,生产安装!$C$4:$C$1203,$B379,生产安装!$E$4:$E$1203,"成本-其他")+SUMIFS(资金日记账!$K$4:$K$2503,资金日记账!$G$4:$G$2503,$B379,资金日记账!$F$4:$F$2503,"成本-其他")-SUMIFS(资金日记账!$J$4:$J$2503,资金日记账!$G$4:$G$2503,$B379,资金日记账!$F$4:$F$2503,"成本-其他"),2))</f>
        <v/>
      </c>
      <c r="Q379" s="19">
        <f>IF($B379="","",ROUND(SUM($L379:$P379),2))</f>
        <v/>
      </c>
      <c r="R379" s="19">
        <f>IF($B379="","",ROUND($I379-$Q379,2))</f>
        <v/>
      </c>
      <c r="S379" s="33">
        <f>IF($B379="","",IF(ROUND($I379,2)=0,"",ROUND($R379/$I379,4)))</f>
        <v/>
      </c>
      <c r="T379" s="22">
        <f>IF($B379="","",IF($G379="",0,YEAR($G379)*100+MONTH($G379)))</f>
        <v/>
      </c>
      <c r="U379" s="17">
        <f>IF($B379="","",IF(项目台账!$R378="","",项目台账!$R378))</f>
        <v/>
      </c>
    </row>
    <row r="380">
      <c r="A380" s="17">
        <f>IF(项目台账!$B379="","",项目台账!$A379)</f>
        <v/>
      </c>
      <c r="B380" s="17">
        <f>IF(项目台账!$B379="","",项目台账!$B379)</f>
        <v/>
      </c>
      <c r="C380" s="17">
        <f>IF($B380="","",IF(项目台账!$C379="","",项目台账!$C379))</f>
        <v/>
      </c>
      <c r="D380" s="17">
        <f>IF($B380="","",IF(项目台账!$D379="","",项目台账!$D379))</f>
        <v/>
      </c>
      <c r="E380" s="17">
        <f>IF($B380="","",IF(项目台账!$E379="","",项目台账!$E379))</f>
        <v/>
      </c>
      <c r="F380" s="23">
        <f>IF($B380="","",IF(项目台账!$F379="","",项目台账!$F379))</f>
        <v/>
      </c>
      <c r="G380" s="23">
        <f>IF($B380="","",IF(项目台账!$J379="","",项目台账!$J379))</f>
        <v/>
      </c>
      <c r="H380" s="17">
        <f>IF($B380="","",IF(项目台账!$Q379="","",项目台账!$Q379))</f>
        <v/>
      </c>
      <c r="I380" s="19">
        <f>IF($B380="","",项目台账!$M379)</f>
        <v/>
      </c>
      <c r="J380" s="19">
        <f>IF($B380="","",项目台账!$O379)</f>
        <v/>
      </c>
      <c r="K380" s="19">
        <f>IF($B380="","",项目台账!$P379)</f>
        <v/>
      </c>
      <c r="L380" s="19">
        <f>IF($B380="","",ROUND(SUMIFS(采购单!$L$4:$L$2003,采购单!$D$4:$D$2003,$B380,采购单!$F$4:$F$2003,"成本-主材")+SUMIFS(生产安装!$J$4:$J$1203,生产安装!$C$4:$C$1203,$B380,生产安装!$E$4:$E$1203,"成本-主材")+SUMIFS(资金日记账!$K$4:$K$2503,资金日记账!$G$4:$G$2503,$B380,资金日记账!$F$4:$F$2503,"成本-主材")-SUMIFS(资金日记账!$J$4:$J$2503,资金日记账!$G$4:$G$2503,$B380,资金日记账!$F$4:$F$2503,"成本-主材"),2))</f>
        <v/>
      </c>
      <c r="M380" s="19">
        <f>IF($B380="","",ROUND(SUMIFS(采购单!$L$4:$L$2003,采购单!$D$4:$D$2003,$B380,采购单!$F$4:$F$2003,"成本-辅材")+SUMIFS(生产安装!$J$4:$J$1203,生产安装!$C$4:$C$1203,$B380,生产安装!$E$4:$E$1203,"成本-辅材")+SUMIFS(资金日记账!$K$4:$K$2503,资金日记账!$G$4:$G$2503,$B380,资金日记账!$F$4:$F$2503,"成本-辅材")-SUMIFS(资金日记账!$J$4:$J$2503,资金日记账!$G$4:$G$2503,$B380,资金日记账!$F$4:$F$2503,"成本-辅材"),2))</f>
        <v/>
      </c>
      <c r="N380" s="19">
        <f>IF($B380="","",ROUND(SUMIFS(采购单!$L$4:$L$2003,采购单!$D$4:$D$2003,$B380,采购单!$F$4:$F$2003,"成本-人工")+SUMIFS(生产安装!$J$4:$J$1203,生产安装!$C$4:$C$1203,$B380,生产安装!$E$4:$E$1203,"成本-人工")+SUMIFS(资金日记账!$K$4:$K$2503,资金日记账!$G$4:$G$2503,$B380,资金日记账!$F$4:$F$2503,"成本-人工")-SUMIFS(资金日记账!$J$4:$J$2503,资金日记账!$G$4:$G$2503,$B380,资金日记账!$F$4:$F$2503,"成本-人工"),2))</f>
        <v/>
      </c>
      <c r="O380" s="19">
        <f>IF($B380="","",ROUND(SUMIFS(采购单!$L$4:$L$2003,采购单!$D$4:$D$2003,$B380,采购单!$F$4:$F$2003,"成本-车运")+SUMIFS(生产安装!$J$4:$J$1203,生产安装!$C$4:$C$1203,$B380,生产安装!$E$4:$E$1203,"成本-车运")+SUMIFS(资金日记账!$K$4:$K$2503,资金日记账!$G$4:$G$2503,$B380,资金日记账!$F$4:$F$2503,"成本-车运")-SUMIFS(资金日记账!$J$4:$J$2503,资金日记账!$G$4:$G$2503,$B380,资金日记账!$F$4:$F$2503,"成本-车运"),2))</f>
        <v/>
      </c>
      <c r="P380" s="19">
        <f>IF($B380="","",ROUND(SUMIFS(采购单!$L$4:$L$2003,采购单!$D$4:$D$2003,$B380,采购单!$F$4:$F$2003,"成本-其他")+SUMIFS(生产安装!$J$4:$J$1203,生产安装!$C$4:$C$1203,$B380,生产安装!$E$4:$E$1203,"成本-其他")+SUMIFS(资金日记账!$K$4:$K$2503,资金日记账!$G$4:$G$2503,$B380,资金日记账!$F$4:$F$2503,"成本-其他")-SUMIFS(资金日记账!$J$4:$J$2503,资金日记账!$G$4:$G$2503,$B380,资金日记账!$F$4:$F$2503,"成本-其他"),2))</f>
        <v/>
      </c>
      <c r="Q380" s="19">
        <f>IF($B380="","",ROUND(SUM($L380:$P380),2))</f>
        <v/>
      </c>
      <c r="R380" s="19">
        <f>IF($B380="","",ROUND($I380-$Q380,2))</f>
        <v/>
      </c>
      <c r="S380" s="33">
        <f>IF($B380="","",IF(ROUND($I380,2)=0,"",ROUND($R380/$I380,4)))</f>
        <v/>
      </c>
      <c r="T380" s="22">
        <f>IF($B380="","",IF($G380="",0,YEAR($G380)*100+MONTH($G380)))</f>
        <v/>
      </c>
      <c r="U380" s="17">
        <f>IF($B380="","",IF(项目台账!$R379="","",项目台账!$R379))</f>
        <v/>
      </c>
    </row>
    <row r="381">
      <c r="A381" s="17">
        <f>IF(项目台账!$B380="","",项目台账!$A380)</f>
        <v/>
      </c>
      <c r="B381" s="17">
        <f>IF(项目台账!$B380="","",项目台账!$B380)</f>
        <v/>
      </c>
      <c r="C381" s="17">
        <f>IF($B381="","",IF(项目台账!$C380="","",项目台账!$C380))</f>
        <v/>
      </c>
      <c r="D381" s="17">
        <f>IF($B381="","",IF(项目台账!$D380="","",项目台账!$D380))</f>
        <v/>
      </c>
      <c r="E381" s="17">
        <f>IF($B381="","",IF(项目台账!$E380="","",项目台账!$E380))</f>
        <v/>
      </c>
      <c r="F381" s="23">
        <f>IF($B381="","",IF(项目台账!$F380="","",项目台账!$F380))</f>
        <v/>
      </c>
      <c r="G381" s="23">
        <f>IF($B381="","",IF(项目台账!$J380="","",项目台账!$J380))</f>
        <v/>
      </c>
      <c r="H381" s="17">
        <f>IF($B381="","",IF(项目台账!$Q380="","",项目台账!$Q380))</f>
        <v/>
      </c>
      <c r="I381" s="19">
        <f>IF($B381="","",项目台账!$M380)</f>
        <v/>
      </c>
      <c r="J381" s="19">
        <f>IF($B381="","",项目台账!$O380)</f>
        <v/>
      </c>
      <c r="K381" s="19">
        <f>IF($B381="","",项目台账!$P380)</f>
        <v/>
      </c>
      <c r="L381" s="19">
        <f>IF($B381="","",ROUND(SUMIFS(采购单!$L$4:$L$2003,采购单!$D$4:$D$2003,$B381,采购单!$F$4:$F$2003,"成本-主材")+SUMIFS(生产安装!$J$4:$J$1203,生产安装!$C$4:$C$1203,$B381,生产安装!$E$4:$E$1203,"成本-主材")+SUMIFS(资金日记账!$K$4:$K$2503,资金日记账!$G$4:$G$2503,$B381,资金日记账!$F$4:$F$2503,"成本-主材")-SUMIFS(资金日记账!$J$4:$J$2503,资金日记账!$G$4:$G$2503,$B381,资金日记账!$F$4:$F$2503,"成本-主材"),2))</f>
        <v/>
      </c>
      <c r="M381" s="19">
        <f>IF($B381="","",ROUND(SUMIFS(采购单!$L$4:$L$2003,采购单!$D$4:$D$2003,$B381,采购单!$F$4:$F$2003,"成本-辅材")+SUMIFS(生产安装!$J$4:$J$1203,生产安装!$C$4:$C$1203,$B381,生产安装!$E$4:$E$1203,"成本-辅材")+SUMIFS(资金日记账!$K$4:$K$2503,资金日记账!$G$4:$G$2503,$B381,资金日记账!$F$4:$F$2503,"成本-辅材")-SUMIFS(资金日记账!$J$4:$J$2503,资金日记账!$G$4:$G$2503,$B381,资金日记账!$F$4:$F$2503,"成本-辅材"),2))</f>
        <v/>
      </c>
      <c r="N381" s="19">
        <f>IF($B381="","",ROUND(SUMIFS(采购单!$L$4:$L$2003,采购单!$D$4:$D$2003,$B381,采购单!$F$4:$F$2003,"成本-人工")+SUMIFS(生产安装!$J$4:$J$1203,生产安装!$C$4:$C$1203,$B381,生产安装!$E$4:$E$1203,"成本-人工")+SUMIFS(资金日记账!$K$4:$K$2503,资金日记账!$G$4:$G$2503,$B381,资金日记账!$F$4:$F$2503,"成本-人工")-SUMIFS(资金日记账!$J$4:$J$2503,资金日记账!$G$4:$G$2503,$B381,资金日记账!$F$4:$F$2503,"成本-人工"),2))</f>
        <v/>
      </c>
      <c r="O381" s="19">
        <f>IF($B381="","",ROUND(SUMIFS(采购单!$L$4:$L$2003,采购单!$D$4:$D$2003,$B381,采购单!$F$4:$F$2003,"成本-车运")+SUMIFS(生产安装!$J$4:$J$1203,生产安装!$C$4:$C$1203,$B381,生产安装!$E$4:$E$1203,"成本-车运")+SUMIFS(资金日记账!$K$4:$K$2503,资金日记账!$G$4:$G$2503,$B381,资金日记账!$F$4:$F$2503,"成本-车运")-SUMIFS(资金日记账!$J$4:$J$2503,资金日记账!$G$4:$G$2503,$B381,资金日记账!$F$4:$F$2503,"成本-车运"),2))</f>
        <v/>
      </c>
      <c r="P381" s="19">
        <f>IF($B381="","",ROUND(SUMIFS(采购单!$L$4:$L$2003,采购单!$D$4:$D$2003,$B381,采购单!$F$4:$F$2003,"成本-其他")+SUMIFS(生产安装!$J$4:$J$1203,生产安装!$C$4:$C$1203,$B381,生产安装!$E$4:$E$1203,"成本-其他")+SUMIFS(资金日记账!$K$4:$K$2503,资金日记账!$G$4:$G$2503,$B381,资金日记账!$F$4:$F$2503,"成本-其他")-SUMIFS(资金日记账!$J$4:$J$2503,资金日记账!$G$4:$G$2503,$B381,资金日记账!$F$4:$F$2503,"成本-其他"),2))</f>
        <v/>
      </c>
      <c r="Q381" s="19">
        <f>IF($B381="","",ROUND(SUM($L381:$P381),2))</f>
        <v/>
      </c>
      <c r="R381" s="19">
        <f>IF($B381="","",ROUND($I381-$Q381,2))</f>
        <v/>
      </c>
      <c r="S381" s="33">
        <f>IF($B381="","",IF(ROUND($I381,2)=0,"",ROUND($R381/$I381,4)))</f>
        <v/>
      </c>
      <c r="T381" s="22">
        <f>IF($B381="","",IF($G381="",0,YEAR($G381)*100+MONTH($G381)))</f>
        <v/>
      </c>
      <c r="U381" s="17">
        <f>IF($B381="","",IF(项目台账!$R380="","",项目台账!$R380))</f>
        <v/>
      </c>
    </row>
    <row r="382">
      <c r="A382" s="17">
        <f>IF(项目台账!$B381="","",项目台账!$A381)</f>
        <v/>
      </c>
      <c r="B382" s="17">
        <f>IF(项目台账!$B381="","",项目台账!$B381)</f>
        <v/>
      </c>
      <c r="C382" s="17">
        <f>IF($B382="","",IF(项目台账!$C381="","",项目台账!$C381))</f>
        <v/>
      </c>
      <c r="D382" s="17">
        <f>IF($B382="","",IF(项目台账!$D381="","",项目台账!$D381))</f>
        <v/>
      </c>
      <c r="E382" s="17">
        <f>IF($B382="","",IF(项目台账!$E381="","",项目台账!$E381))</f>
        <v/>
      </c>
      <c r="F382" s="23">
        <f>IF($B382="","",IF(项目台账!$F381="","",项目台账!$F381))</f>
        <v/>
      </c>
      <c r="G382" s="23">
        <f>IF($B382="","",IF(项目台账!$J381="","",项目台账!$J381))</f>
        <v/>
      </c>
      <c r="H382" s="17">
        <f>IF($B382="","",IF(项目台账!$Q381="","",项目台账!$Q381))</f>
        <v/>
      </c>
      <c r="I382" s="19">
        <f>IF($B382="","",项目台账!$M381)</f>
        <v/>
      </c>
      <c r="J382" s="19">
        <f>IF($B382="","",项目台账!$O381)</f>
        <v/>
      </c>
      <c r="K382" s="19">
        <f>IF($B382="","",项目台账!$P381)</f>
        <v/>
      </c>
      <c r="L382" s="19">
        <f>IF($B382="","",ROUND(SUMIFS(采购单!$L$4:$L$2003,采购单!$D$4:$D$2003,$B382,采购单!$F$4:$F$2003,"成本-主材")+SUMIFS(生产安装!$J$4:$J$1203,生产安装!$C$4:$C$1203,$B382,生产安装!$E$4:$E$1203,"成本-主材")+SUMIFS(资金日记账!$K$4:$K$2503,资金日记账!$G$4:$G$2503,$B382,资金日记账!$F$4:$F$2503,"成本-主材")-SUMIFS(资金日记账!$J$4:$J$2503,资金日记账!$G$4:$G$2503,$B382,资金日记账!$F$4:$F$2503,"成本-主材"),2))</f>
        <v/>
      </c>
      <c r="M382" s="19">
        <f>IF($B382="","",ROUND(SUMIFS(采购单!$L$4:$L$2003,采购单!$D$4:$D$2003,$B382,采购单!$F$4:$F$2003,"成本-辅材")+SUMIFS(生产安装!$J$4:$J$1203,生产安装!$C$4:$C$1203,$B382,生产安装!$E$4:$E$1203,"成本-辅材")+SUMIFS(资金日记账!$K$4:$K$2503,资金日记账!$G$4:$G$2503,$B382,资金日记账!$F$4:$F$2503,"成本-辅材")-SUMIFS(资金日记账!$J$4:$J$2503,资金日记账!$G$4:$G$2503,$B382,资金日记账!$F$4:$F$2503,"成本-辅材"),2))</f>
        <v/>
      </c>
      <c r="N382" s="19">
        <f>IF($B382="","",ROUND(SUMIFS(采购单!$L$4:$L$2003,采购单!$D$4:$D$2003,$B382,采购单!$F$4:$F$2003,"成本-人工")+SUMIFS(生产安装!$J$4:$J$1203,生产安装!$C$4:$C$1203,$B382,生产安装!$E$4:$E$1203,"成本-人工")+SUMIFS(资金日记账!$K$4:$K$2503,资金日记账!$G$4:$G$2503,$B382,资金日记账!$F$4:$F$2503,"成本-人工")-SUMIFS(资金日记账!$J$4:$J$2503,资金日记账!$G$4:$G$2503,$B382,资金日记账!$F$4:$F$2503,"成本-人工"),2))</f>
        <v/>
      </c>
      <c r="O382" s="19">
        <f>IF($B382="","",ROUND(SUMIFS(采购单!$L$4:$L$2003,采购单!$D$4:$D$2003,$B382,采购单!$F$4:$F$2003,"成本-车运")+SUMIFS(生产安装!$J$4:$J$1203,生产安装!$C$4:$C$1203,$B382,生产安装!$E$4:$E$1203,"成本-车运")+SUMIFS(资金日记账!$K$4:$K$2503,资金日记账!$G$4:$G$2503,$B382,资金日记账!$F$4:$F$2503,"成本-车运")-SUMIFS(资金日记账!$J$4:$J$2503,资金日记账!$G$4:$G$2503,$B382,资金日记账!$F$4:$F$2503,"成本-车运"),2))</f>
        <v/>
      </c>
      <c r="P382" s="19">
        <f>IF($B382="","",ROUND(SUMIFS(采购单!$L$4:$L$2003,采购单!$D$4:$D$2003,$B382,采购单!$F$4:$F$2003,"成本-其他")+SUMIFS(生产安装!$J$4:$J$1203,生产安装!$C$4:$C$1203,$B382,生产安装!$E$4:$E$1203,"成本-其他")+SUMIFS(资金日记账!$K$4:$K$2503,资金日记账!$G$4:$G$2503,$B382,资金日记账!$F$4:$F$2503,"成本-其他")-SUMIFS(资金日记账!$J$4:$J$2503,资金日记账!$G$4:$G$2503,$B382,资金日记账!$F$4:$F$2503,"成本-其他"),2))</f>
        <v/>
      </c>
      <c r="Q382" s="19">
        <f>IF($B382="","",ROUND(SUM($L382:$P382),2))</f>
        <v/>
      </c>
      <c r="R382" s="19">
        <f>IF($B382="","",ROUND($I382-$Q382,2))</f>
        <v/>
      </c>
      <c r="S382" s="33">
        <f>IF($B382="","",IF(ROUND($I382,2)=0,"",ROUND($R382/$I382,4)))</f>
        <v/>
      </c>
      <c r="T382" s="22">
        <f>IF($B382="","",IF($G382="",0,YEAR($G382)*100+MONTH($G382)))</f>
        <v/>
      </c>
      <c r="U382" s="17">
        <f>IF($B382="","",IF(项目台账!$R381="","",项目台账!$R381))</f>
        <v/>
      </c>
    </row>
    <row r="383">
      <c r="A383" s="17">
        <f>IF(项目台账!$B382="","",项目台账!$A382)</f>
        <v/>
      </c>
      <c r="B383" s="17">
        <f>IF(项目台账!$B382="","",项目台账!$B382)</f>
        <v/>
      </c>
      <c r="C383" s="17">
        <f>IF($B383="","",IF(项目台账!$C382="","",项目台账!$C382))</f>
        <v/>
      </c>
      <c r="D383" s="17">
        <f>IF($B383="","",IF(项目台账!$D382="","",项目台账!$D382))</f>
        <v/>
      </c>
      <c r="E383" s="17">
        <f>IF($B383="","",IF(项目台账!$E382="","",项目台账!$E382))</f>
        <v/>
      </c>
      <c r="F383" s="23">
        <f>IF($B383="","",IF(项目台账!$F382="","",项目台账!$F382))</f>
        <v/>
      </c>
      <c r="G383" s="23">
        <f>IF($B383="","",IF(项目台账!$J382="","",项目台账!$J382))</f>
        <v/>
      </c>
      <c r="H383" s="17">
        <f>IF($B383="","",IF(项目台账!$Q382="","",项目台账!$Q382))</f>
        <v/>
      </c>
      <c r="I383" s="19">
        <f>IF($B383="","",项目台账!$M382)</f>
        <v/>
      </c>
      <c r="J383" s="19">
        <f>IF($B383="","",项目台账!$O382)</f>
        <v/>
      </c>
      <c r="K383" s="19">
        <f>IF($B383="","",项目台账!$P382)</f>
        <v/>
      </c>
      <c r="L383" s="19">
        <f>IF($B383="","",ROUND(SUMIFS(采购单!$L$4:$L$2003,采购单!$D$4:$D$2003,$B383,采购单!$F$4:$F$2003,"成本-主材")+SUMIFS(生产安装!$J$4:$J$1203,生产安装!$C$4:$C$1203,$B383,生产安装!$E$4:$E$1203,"成本-主材")+SUMIFS(资金日记账!$K$4:$K$2503,资金日记账!$G$4:$G$2503,$B383,资金日记账!$F$4:$F$2503,"成本-主材")-SUMIFS(资金日记账!$J$4:$J$2503,资金日记账!$G$4:$G$2503,$B383,资金日记账!$F$4:$F$2503,"成本-主材"),2))</f>
        <v/>
      </c>
      <c r="M383" s="19">
        <f>IF($B383="","",ROUND(SUMIFS(采购单!$L$4:$L$2003,采购单!$D$4:$D$2003,$B383,采购单!$F$4:$F$2003,"成本-辅材")+SUMIFS(生产安装!$J$4:$J$1203,生产安装!$C$4:$C$1203,$B383,生产安装!$E$4:$E$1203,"成本-辅材")+SUMIFS(资金日记账!$K$4:$K$2503,资金日记账!$G$4:$G$2503,$B383,资金日记账!$F$4:$F$2503,"成本-辅材")-SUMIFS(资金日记账!$J$4:$J$2503,资金日记账!$G$4:$G$2503,$B383,资金日记账!$F$4:$F$2503,"成本-辅材"),2))</f>
        <v/>
      </c>
      <c r="N383" s="19">
        <f>IF($B383="","",ROUND(SUMIFS(采购单!$L$4:$L$2003,采购单!$D$4:$D$2003,$B383,采购单!$F$4:$F$2003,"成本-人工")+SUMIFS(生产安装!$J$4:$J$1203,生产安装!$C$4:$C$1203,$B383,生产安装!$E$4:$E$1203,"成本-人工")+SUMIFS(资金日记账!$K$4:$K$2503,资金日记账!$G$4:$G$2503,$B383,资金日记账!$F$4:$F$2503,"成本-人工")-SUMIFS(资金日记账!$J$4:$J$2503,资金日记账!$G$4:$G$2503,$B383,资金日记账!$F$4:$F$2503,"成本-人工"),2))</f>
        <v/>
      </c>
      <c r="O383" s="19">
        <f>IF($B383="","",ROUND(SUMIFS(采购单!$L$4:$L$2003,采购单!$D$4:$D$2003,$B383,采购单!$F$4:$F$2003,"成本-车运")+SUMIFS(生产安装!$J$4:$J$1203,生产安装!$C$4:$C$1203,$B383,生产安装!$E$4:$E$1203,"成本-车运")+SUMIFS(资金日记账!$K$4:$K$2503,资金日记账!$G$4:$G$2503,$B383,资金日记账!$F$4:$F$2503,"成本-车运")-SUMIFS(资金日记账!$J$4:$J$2503,资金日记账!$G$4:$G$2503,$B383,资金日记账!$F$4:$F$2503,"成本-车运"),2))</f>
        <v/>
      </c>
      <c r="P383" s="19">
        <f>IF($B383="","",ROUND(SUMIFS(采购单!$L$4:$L$2003,采购单!$D$4:$D$2003,$B383,采购单!$F$4:$F$2003,"成本-其他")+SUMIFS(生产安装!$J$4:$J$1203,生产安装!$C$4:$C$1203,$B383,生产安装!$E$4:$E$1203,"成本-其他")+SUMIFS(资金日记账!$K$4:$K$2503,资金日记账!$G$4:$G$2503,$B383,资金日记账!$F$4:$F$2503,"成本-其他")-SUMIFS(资金日记账!$J$4:$J$2503,资金日记账!$G$4:$G$2503,$B383,资金日记账!$F$4:$F$2503,"成本-其他"),2))</f>
        <v/>
      </c>
      <c r="Q383" s="19">
        <f>IF($B383="","",ROUND(SUM($L383:$P383),2))</f>
        <v/>
      </c>
      <c r="R383" s="19">
        <f>IF($B383="","",ROUND($I383-$Q383,2))</f>
        <v/>
      </c>
      <c r="S383" s="33">
        <f>IF($B383="","",IF(ROUND($I383,2)=0,"",ROUND($R383/$I383,4)))</f>
        <v/>
      </c>
      <c r="T383" s="22">
        <f>IF($B383="","",IF($G383="",0,YEAR($G383)*100+MONTH($G383)))</f>
        <v/>
      </c>
      <c r="U383" s="17">
        <f>IF($B383="","",IF(项目台账!$R382="","",项目台账!$R382))</f>
        <v/>
      </c>
    </row>
    <row r="384">
      <c r="A384" s="17">
        <f>IF(项目台账!$B383="","",项目台账!$A383)</f>
        <v/>
      </c>
      <c r="B384" s="17">
        <f>IF(项目台账!$B383="","",项目台账!$B383)</f>
        <v/>
      </c>
      <c r="C384" s="17">
        <f>IF($B384="","",IF(项目台账!$C383="","",项目台账!$C383))</f>
        <v/>
      </c>
      <c r="D384" s="17">
        <f>IF($B384="","",IF(项目台账!$D383="","",项目台账!$D383))</f>
        <v/>
      </c>
      <c r="E384" s="17">
        <f>IF($B384="","",IF(项目台账!$E383="","",项目台账!$E383))</f>
        <v/>
      </c>
      <c r="F384" s="23">
        <f>IF($B384="","",IF(项目台账!$F383="","",项目台账!$F383))</f>
        <v/>
      </c>
      <c r="G384" s="23">
        <f>IF($B384="","",IF(项目台账!$J383="","",项目台账!$J383))</f>
        <v/>
      </c>
      <c r="H384" s="17">
        <f>IF($B384="","",IF(项目台账!$Q383="","",项目台账!$Q383))</f>
        <v/>
      </c>
      <c r="I384" s="19">
        <f>IF($B384="","",项目台账!$M383)</f>
        <v/>
      </c>
      <c r="J384" s="19">
        <f>IF($B384="","",项目台账!$O383)</f>
        <v/>
      </c>
      <c r="K384" s="19">
        <f>IF($B384="","",项目台账!$P383)</f>
        <v/>
      </c>
      <c r="L384" s="19">
        <f>IF($B384="","",ROUND(SUMIFS(采购单!$L$4:$L$2003,采购单!$D$4:$D$2003,$B384,采购单!$F$4:$F$2003,"成本-主材")+SUMIFS(生产安装!$J$4:$J$1203,生产安装!$C$4:$C$1203,$B384,生产安装!$E$4:$E$1203,"成本-主材")+SUMIFS(资金日记账!$K$4:$K$2503,资金日记账!$G$4:$G$2503,$B384,资金日记账!$F$4:$F$2503,"成本-主材")-SUMIFS(资金日记账!$J$4:$J$2503,资金日记账!$G$4:$G$2503,$B384,资金日记账!$F$4:$F$2503,"成本-主材"),2))</f>
        <v/>
      </c>
      <c r="M384" s="19">
        <f>IF($B384="","",ROUND(SUMIFS(采购单!$L$4:$L$2003,采购单!$D$4:$D$2003,$B384,采购单!$F$4:$F$2003,"成本-辅材")+SUMIFS(生产安装!$J$4:$J$1203,生产安装!$C$4:$C$1203,$B384,生产安装!$E$4:$E$1203,"成本-辅材")+SUMIFS(资金日记账!$K$4:$K$2503,资金日记账!$G$4:$G$2503,$B384,资金日记账!$F$4:$F$2503,"成本-辅材")-SUMIFS(资金日记账!$J$4:$J$2503,资金日记账!$G$4:$G$2503,$B384,资金日记账!$F$4:$F$2503,"成本-辅材"),2))</f>
        <v/>
      </c>
      <c r="N384" s="19">
        <f>IF($B384="","",ROUND(SUMIFS(采购单!$L$4:$L$2003,采购单!$D$4:$D$2003,$B384,采购单!$F$4:$F$2003,"成本-人工")+SUMIFS(生产安装!$J$4:$J$1203,生产安装!$C$4:$C$1203,$B384,生产安装!$E$4:$E$1203,"成本-人工")+SUMIFS(资金日记账!$K$4:$K$2503,资金日记账!$G$4:$G$2503,$B384,资金日记账!$F$4:$F$2503,"成本-人工")-SUMIFS(资金日记账!$J$4:$J$2503,资金日记账!$G$4:$G$2503,$B384,资金日记账!$F$4:$F$2503,"成本-人工"),2))</f>
        <v/>
      </c>
      <c r="O384" s="19">
        <f>IF($B384="","",ROUND(SUMIFS(采购单!$L$4:$L$2003,采购单!$D$4:$D$2003,$B384,采购单!$F$4:$F$2003,"成本-车运")+SUMIFS(生产安装!$J$4:$J$1203,生产安装!$C$4:$C$1203,$B384,生产安装!$E$4:$E$1203,"成本-车运")+SUMIFS(资金日记账!$K$4:$K$2503,资金日记账!$G$4:$G$2503,$B384,资金日记账!$F$4:$F$2503,"成本-车运")-SUMIFS(资金日记账!$J$4:$J$2503,资金日记账!$G$4:$G$2503,$B384,资金日记账!$F$4:$F$2503,"成本-车运"),2))</f>
        <v/>
      </c>
      <c r="P384" s="19">
        <f>IF($B384="","",ROUND(SUMIFS(采购单!$L$4:$L$2003,采购单!$D$4:$D$2003,$B384,采购单!$F$4:$F$2003,"成本-其他")+SUMIFS(生产安装!$J$4:$J$1203,生产安装!$C$4:$C$1203,$B384,生产安装!$E$4:$E$1203,"成本-其他")+SUMIFS(资金日记账!$K$4:$K$2503,资金日记账!$G$4:$G$2503,$B384,资金日记账!$F$4:$F$2503,"成本-其他")-SUMIFS(资金日记账!$J$4:$J$2503,资金日记账!$G$4:$G$2503,$B384,资金日记账!$F$4:$F$2503,"成本-其他"),2))</f>
        <v/>
      </c>
      <c r="Q384" s="19">
        <f>IF($B384="","",ROUND(SUM($L384:$P384),2))</f>
        <v/>
      </c>
      <c r="R384" s="19">
        <f>IF($B384="","",ROUND($I384-$Q384,2))</f>
        <v/>
      </c>
      <c r="S384" s="33">
        <f>IF($B384="","",IF(ROUND($I384,2)=0,"",ROUND($R384/$I384,4)))</f>
        <v/>
      </c>
      <c r="T384" s="22">
        <f>IF($B384="","",IF($G384="",0,YEAR($G384)*100+MONTH($G384)))</f>
        <v/>
      </c>
      <c r="U384" s="17">
        <f>IF($B384="","",IF(项目台账!$R383="","",项目台账!$R383))</f>
        <v/>
      </c>
    </row>
    <row r="385">
      <c r="A385" s="17">
        <f>IF(项目台账!$B384="","",项目台账!$A384)</f>
        <v/>
      </c>
      <c r="B385" s="17">
        <f>IF(项目台账!$B384="","",项目台账!$B384)</f>
        <v/>
      </c>
      <c r="C385" s="17">
        <f>IF($B385="","",IF(项目台账!$C384="","",项目台账!$C384))</f>
        <v/>
      </c>
      <c r="D385" s="17">
        <f>IF($B385="","",IF(项目台账!$D384="","",项目台账!$D384))</f>
        <v/>
      </c>
      <c r="E385" s="17">
        <f>IF($B385="","",IF(项目台账!$E384="","",项目台账!$E384))</f>
        <v/>
      </c>
      <c r="F385" s="23">
        <f>IF($B385="","",IF(项目台账!$F384="","",项目台账!$F384))</f>
        <v/>
      </c>
      <c r="G385" s="23">
        <f>IF($B385="","",IF(项目台账!$J384="","",项目台账!$J384))</f>
        <v/>
      </c>
      <c r="H385" s="17">
        <f>IF($B385="","",IF(项目台账!$Q384="","",项目台账!$Q384))</f>
        <v/>
      </c>
      <c r="I385" s="19">
        <f>IF($B385="","",项目台账!$M384)</f>
        <v/>
      </c>
      <c r="J385" s="19">
        <f>IF($B385="","",项目台账!$O384)</f>
        <v/>
      </c>
      <c r="K385" s="19">
        <f>IF($B385="","",项目台账!$P384)</f>
        <v/>
      </c>
      <c r="L385" s="19">
        <f>IF($B385="","",ROUND(SUMIFS(采购单!$L$4:$L$2003,采购单!$D$4:$D$2003,$B385,采购单!$F$4:$F$2003,"成本-主材")+SUMIFS(生产安装!$J$4:$J$1203,生产安装!$C$4:$C$1203,$B385,生产安装!$E$4:$E$1203,"成本-主材")+SUMIFS(资金日记账!$K$4:$K$2503,资金日记账!$G$4:$G$2503,$B385,资金日记账!$F$4:$F$2503,"成本-主材")-SUMIFS(资金日记账!$J$4:$J$2503,资金日记账!$G$4:$G$2503,$B385,资金日记账!$F$4:$F$2503,"成本-主材"),2))</f>
        <v/>
      </c>
      <c r="M385" s="19">
        <f>IF($B385="","",ROUND(SUMIFS(采购单!$L$4:$L$2003,采购单!$D$4:$D$2003,$B385,采购单!$F$4:$F$2003,"成本-辅材")+SUMIFS(生产安装!$J$4:$J$1203,生产安装!$C$4:$C$1203,$B385,生产安装!$E$4:$E$1203,"成本-辅材")+SUMIFS(资金日记账!$K$4:$K$2503,资金日记账!$G$4:$G$2503,$B385,资金日记账!$F$4:$F$2503,"成本-辅材")-SUMIFS(资金日记账!$J$4:$J$2503,资金日记账!$G$4:$G$2503,$B385,资金日记账!$F$4:$F$2503,"成本-辅材"),2))</f>
        <v/>
      </c>
      <c r="N385" s="19">
        <f>IF($B385="","",ROUND(SUMIFS(采购单!$L$4:$L$2003,采购单!$D$4:$D$2003,$B385,采购单!$F$4:$F$2003,"成本-人工")+SUMIFS(生产安装!$J$4:$J$1203,生产安装!$C$4:$C$1203,$B385,生产安装!$E$4:$E$1203,"成本-人工")+SUMIFS(资金日记账!$K$4:$K$2503,资金日记账!$G$4:$G$2503,$B385,资金日记账!$F$4:$F$2503,"成本-人工")-SUMIFS(资金日记账!$J$4:$J$2503,资金日记账!$G$4:$G$2503,$B385,资金日记账!$F$4:$F$2503,"成本-人工"),2))</f>
        <v/>
      </c>
      <c r="O385" s="19">
        <f>IF($B385="","",ROUND(SUMIFS(采购单!$L$4:$L$2003,采购单!$D$4:$D$2003,$B385,采购单!$F$4:$F$2003,"成本-车运")+SUMIFS(生产安装!$J$4:$J$1203,生产安装!$C$4:$C$1203,$B385,生产安装!$E$4:$E$1203,"成本-车运")+SUMIFS(资金日记账!$K$4:$K$2503,资金日记账!$G$4:$G$2503,$B385,资金日记账!$F$4:$F$2503,"成本-车运")-SUMIFS(资金日记账!$J$4:$J$2503,资金日记账!$G$4:$G$2503,$B385,资金日记账!$F$4:$F$2503,"成本-车运"),2))</f>
        <v/>
      </c>
      <c r="P385" s="19">
        <f>IF($B385="","",ROUND(SUMIFS(采购单!$L$4:$L$2003,采购单!$D$4:$D$2003,$B385,采购单!$F$4:$F$2003,"成本-其他")+SUMIFS(生产安装!$J$4:$J$1203,生产安装!$C$4:$C$1203,$B385,生产安装!$E$4:$E$1203,"成本-其他")+SUMIFS(资金日记账!$K$4:$K$2503,资金日记账!$G$4:$G$2503,$B385,资金日记账!$F$4:$F$2503,"成本-其他")-SUMIFS(资金日记账!$J$4:$J$2503,资金日记账!$G$4:$G$2503,$B385,资金日记账!$F$4:$F$2503,"成本-其他"),2))</f>
        <v/>
      </c>
      <c r="Q385" s="19">
        <f>IF($B385="","",ROUND(SUM($L385:$P385),2))</f>
        <v/>
      </c>
      <c r="R385" s="19">
        <f>IF($B385="","",ROUND($I385-$Q385,2))</f>
        <v/>
      </c>
      <c r="S385" s="33">
        <f>IF($B385="","",IF(ROUND($I385,2)=0,"",ROUND($R385/$I385,4)))</f>
        <v/>
      </c>
      <c r="T385" s="22">
        <f>IF($B385="","",IF($G385="",0,YEAR($G385)*100+MONTH($G385)))</f>
        <v/>
      </c>
      <c r="U385" s="17">
        <f>IF($B385="","",IF(项目台账!$R384="","",项目台账!$R384))</f>
        <v/>
      </c>
    </row>
    <row r="386">
      <c r="A386" s="17">
        <f>IF(项目台账!$B385="","",项目台账!$A385)</f>
        <v/>
      </c>
      <c r="B386" s="17">
        <f>IF(项目台账!$B385="","",项目台账!$B385)</f>
        <v/>
      </c>
      <c r="C386" s="17">
        <f>IF($B386="","",IF(项目台账!$C385="","",项目台账!$C385))</f>
        <v/>
      </c>
      <c r="D386" s="17">
        <f>IF($B386="","",IF(项目台账!$D385="","",项目台账!$D385))</f>
        <v/>
      </c>
      <c r="E386" s="17">
        <f>IF($B386="","",IF(项目台账!$E385="","",项目台账!$E385))</f>
        <v/>
      </c>
      <c r="F386" s="23">
        <f>IF($B386="","",IF(项目台账!$F385="","",项目台账!$F385))</f>
        <v/>
      </c>
      <c r="G386" s="23">
        <f>IF($B386="","",IF(项目台账!$J385="","",项目台账!$J385))</f>
        <v/>
      </c>
      <c r="H386" s="17">
        <f>IF($B386="","",IF(项目台账!$Q385="","",项目台账!$Q385))</f>
        <v/>
      </c>
      <c r="I386" s="19">
        <f>IF($B386="","",项目台账!$M385)</f>
        <v/>
      </c>
      <c r="J386" s="19">
        <f>IF($B386="","",项目台账!$O385)</f>
        <v/>
      </c>
      <c r="K386" s="19">
        <f>IF($B386="","",项目台账!$P385)</f>
        <v/>
      </c>
      <c r="L386" s="19">
        <f>IF($B386="","",ROUND(SUMIFS(采购单!$L$4:$L$2003,采购单!$D$4:$D$2003,$B386,采购单!$F$4:$F$2003,"成本-主材")+SUMIFS(生产安装!$J$4:$J$1203,生产安装!$C$4:$C$1203,$B386,生产安装!$E$4:$E$1203,"成本-主材")+SUMIFS(资金日记账!$K$4:$K$2503,资金日记账!$G$4:$G$2503,$B386,资金日记账!$F$4:$F$2503,"成本-主材")-SUMIFS(资金日记账!$J$4:$J$2503,资金日记账!$G$4:$G$2503,$B386,资金日记账!$F$4:$F$2503,"成本-主材"),2))</f>
        <v/>
      </c>
      <c r="M386" s="19">
        <f>IF($B386="","",ROUND(SUMIFS(采购单!$L$4:$L$2003,采购单!$D$4:$D$2003,$B386,采购单!$F$4:$F$2003,"成本-辅材")+SUMIFS(生产安装!$J$4:$J$1203,生产安装!$C$4:$C$1203,$B386,生产安装!$E$4:$E$1203,"成本-辅材")+SUMIFS(资金日记账!$K$4:$K$2503,资金日记账!$G$4:$G$2503,$B386,资金日记账!$F$4:$F$2503,"成本-辅材")-SUMIFS(资金日记账!$J$4:$J$2503,资金日记账!$G$4:$G$2503,$B386,资金日记账!$F$4:$F$2503,"成本-辅材"),2))</f>
        <v/>
      </c>
      <c r="N386" s="19">
        <f>IF($B386="","",ROUND(SUMIFS(采购单!$L$4:$L$2003,采购单!$D$4:$D$2003,$B386,采购单!$F$4:$F$2003,"成本-人工")+SUMIFS(生产安装!$J$4:$J$1203,生产安装!$C$4:$C$1203,$B386,生产安装!$E$4:$E$1203,"成本-人工")+SUMIFS(资金日记账!$K$4:$K$2503,资金日记账!$G$4:$G$2503,$B386,资金日记账!$F$4:$F$2503,"成本-人工")-SUMIFS(资金日记账!$J$4:$J$2503,资金日记账!$G$4:$G$2503,$B386,资金日记账!$F$4:$F$2503,"成本-人工"),2))</f>
        <v/>
      </c>
      <c r="O386" s="19">
        <f>IF($B386="","",ROUND(SUMIFS(采购单!$L$4:$L$2003,采购单!$D$4:$D$2003,$B386,采购单!$F$4:$F$2003,"成本-车运")+SUMIFS(生产安装!$J$4:$J$1203,生产安装!$C$4:$C$1203,$B386,生产安装!$E$4:$E$1203,"成本-车运")+SUMIFS(资金日记账!$K$4:$K$2503,资金日记账!$G$4:$G$2503,$B386,资金日记账!$F$4:$F$2503,"成本-车运")-SUMIFS(资金日记账!$J$4:$J$2503,资金日记账!$G$4:$G$2503,$B386,资金日记账!$F$4:$F$2503,"成本-车运"),2))</f>
        <v/>
      </c>
      <c r="P386" s="19">
        <f>IF($B386="","",ROUND(SUMIFS(采购单!$L$4:$L$2003,采购单!$D$4:$D$2003,$B386,采购单!$F$4:$F$2003,"成本-其他")+SUMIFS(生产安装!$J$4:$J$1203,生产安装!$C$4:$C$1203,$B386,生产安装!$E$4:$E$1203,"成本-其他")+SUMIFS(资金日记账!$K$4:$K$2503,资金日记账!$G$4:$G$2503,$B386,资金日记账!$F$4:$F$2503,"成本-其他")-SUMIFS(资金日记账!$J$4:$J$2503,资金日记账!$G$4:$G$2503,$B386,资金日记账!$F$4:$F$2503,"成本-其他"),2))</f>
        <v/>
      </c>
      <c r="Q386" s="19">
        <f>IF($B386="","",ROUND(SUM($L386:$P386),2))</f>
        <v/>
      </c>
      <c r="R386" s="19">
        <f>IF($B386="","",ROUND($I386-$Q386,2))</f>
        <v/>
      </c>
      <c r="S386" s="33">
        <f>IF($B386="","",IF(ROUND($I386,2)=0,"",ROUND($R386/$I386,4)))</f>
        <v/>
      </c>
      <c r="T386" s="22">
        <f>IF($B386="","",IF($G386="",0,YEAR($G386)*100+MONTH($G386)))</f>
        <v/>
      </c>
      <c r="U386" s="17">
        <f>IF($B386="","",IF(项目台账!$R385="","",项目台账!$R385))</f>
        <v/>
      </c>
    </row>
    <row r="387">
      <c r="A387" s="17">
        <f>IF(项目台账!$B386="","",项目台账!$A386)</f>
        <v/>
      </c>
      <c r="B387" s="17">
        <f>IF(项目台账!$B386="","",项目台账!$B386)</f>
        <v/>
      </c>
      <c r="C387" s="17">
        <f>IF($B387="","",IF(项目台账!$C386="","",项目台账!$C386))</f>
        <v/>
      </c>
      <c r="D387" s="17">
        <f>IF($B387="","",IF(项目台账!$D386="","",项目台账!$D386))</f>
        <v/>
      </c>
      <c r="E387" s="17">
        <f>IF($B387="","",IF(项目台账!$E386="","",项目台账!$E386))</f>
        <v/>
      </c>
      <c r="F387" s="23">
        <f>IF($B387="","",IF(项目台账!$F386="","",项目台账!$F386))</f>
        <v/>
      </c>
      <c r="G387" s="23">
        <f>IF($B387="","",IF(项目台账!$J386="","",项目台账!$J386))</f>
        <v/>
      </c>
      <c r="H387" s="17">
        <f>IF($B387="","",IF(项目台账!$Q386="","",项目台账!$Q386))</f>
        <v/>
      </c>
      <c r="I387" s="19">
        <f>IF($B387="","",项目台账!$M386)</f>
        <v/>
      </c>
      <c r="J387" s="19">
        <f>IF($B387="","",项目台账!$O386)</f>
        <v/>
      </c>
      <c r="K387" s="19">
        <f>IF($B387="","",项目台账!$P386)</f>
        <v/>
      </c>
      <c r="L387" s="19">
        <f>IF($B387="","",ROUND(SUMIFS(采购单!$L$4:$L$2003,采购单!$D$4:$D$2003,$B387,采购单!$F$4:$F$2003,"成本-主材")+SUMIFS(生产安装!$J$4:$J$1203,生产安装!$C$4:$C$1203,$B387,生产安装!$E$4:$E$1203,"成本-主材")+SUMIFS(资金日记账!$K$4:$K$2503,资金日记账!$G$4:$G$2503,$B387,资金日记账!$F$4:$F$2503,"成本-主材")-SUMIFS(资金日记账!$J$4:$J$2503,资金日记账!$G$4:$G$2503,$B387,资金日记账!$F$4:$F$2503,"成本-主材"),2))</f>
        <v/>
      </c>
      <c r="M387" s="19">
        <f>IF($B387="","",ROUND(SUMIFS(采购单!$L$4:$L$2003,采购单!$D$4:$D$2003,$B387,采购单!$F$4:$F$2003,"成本-辅材")+SUMIFS(生产安装!$J$4:$J$1203,生产安装!$C$4:$C$1203,$B387,生产安装!$E$4:$E$1203,"成本-辅材")+SUMIFS(资金日记账!$K$4:$K$2503,资金日记账!$G$4:$G$2503,$B387,资金日记账!$F$4:$F$2503,"成本-辅材")-SUMIFS(资金日记账!$J$4:$J$2503,资金日记账!$G$4:$G$2503,$B387,资金日记账!$F$4:$F$2503,"成本-辅材"),2))</f>
        <v/>
      </c>
      <c r="N387" s="19">
        <f>IF($B387="","",ROUND(SUMIFS(采购单!$L$4:$L$2003,采购单!$D$4:$D$2003,$B387,采购单!$F$4:$F$2003,"成本-人工")+SUMIFS(生产安装!$J$4:$J$1203,生产安装!$C$4:$C$1203,$B387,生产安装!$E$4:$E$1203,"成本-人工")+SUMIFS(资金日记账!$K$4:$K$2503,资金日记账!$G$4:$G$2503,$B387,资金日记账!$F$4:$F$2503,"成本-人工")-SUMIFS(资金日记账!$J$4:$J$2503,资金日记账!$G$4:$G$2503,$B387,资金日记账!$F$4:$F$2503,"成本-人工"),2))</f>
        <v/>
      </c>
      <c r="O387" s="19">
        <f>IF($B387="","",ROUND(SUMIFS(采购单!$L$4:$L$2003,采购单!$D$4:$D$2003,$B387,采购单!$F$4:$F$2003,"成本-车运")+SUMIFS(生产安装!$J$4:$J$1203,生产安装!$C$4:$C$1203,$B387,生产安装!$E$4:$E$1203,"成本-车运")+SUMIFS(资金日记账!$K$4:$K$2503,资金日记账!$G$4:$G$2503,$B387,资金日记账!$F$4:$F$2503,"成本-车运")-SUMIFS(资金日记账!$J$4:$J$2503,资金日记账!$G$4:$G$2503,$B387,资金日记账!$F$4:$F$2503,"成本-车运"),2))</f>
        <v/>
      </c>
      <c r="P387" s="19">
        <f>IF($B387="","",ROUND(SUMIFS(采购单!$L$4:$L$2003,采购单!$D$4:$D$2003,$B387,采购单!$F$4:$F$2003,"成本-其他")+SUMIFS(生产安装!$J$4:$J$1203,生产安装!$C$4:$C$1203,$B387,生产安装!$E$4:$E$1203,"成本-其他")+SUMIFS(资金日记账!$K$4:$K$2503,资金日记账!$G$4:$G$2503,$B387,资金日记账!$F$4:$F$2503,"成本-其他")-SUMIFS(资金日记账!$J$4:$J$2503,资金日记账!$G$4:$G$2503,$B387,资金日记账!$F$4:$F$2503,"成本-其他"),2))</f>
        <v/>
      </c>
      <c r="Q387" s="19">
        <f>IF($B387="","",ROUND(SUM($L387:$P387),2))</f>
        <v/>
      </c>
      <c r="R387" s="19">
        <f>IF($B387="","",ROUND($I387-$Q387,2))</f>
        <v/>
      </c>
      <c r="S387" s="33">
        <f>IF($B387="","",IF(ROUND($I387,2)=0,"",ROUND($R387/$I387,4)))</f>
        <v/>
      </c>
      <c r="T387" s="22">
        <f>IF($B387="","",IF($G387="",0,YEAR($G387)*100+MONTH($G387)))</f>
        <v/>
      </c>
      <c r="U387" s="17">
        <f>IF($B387="","",IF(项目台账!$R386="","",项目台账!$R386))</f>
        <v/>
      </c>
    </row>
    <row r="388">
      <c r="A388" s="17">
        <f>IF(项目台账!$B387="","",项目台账!$A387)</f>
        <v/>
      </c>
      <c r="B388" s="17">
        <f>IF(项目台账!$B387="","",项目台账!$B387)</f>
        <v/>
      </c>
      <c r="C388" s="17">
        <f>IF($B388="","",IF(项目台账!$C387="","",项目台账!$C387))</f>
        <v/>
      </c>
      <c r="D388" s="17">
        <f>IF($B388="","",IF(项目台账!$D387="","",项目台账!$D387))</f>
        <v/>
      </c>
      <c r="E388" s="17">
        <f>IF($B388="","",IF(项目台账!$E387="","",项目台账!$E387))</f>
        <v/>
      </c>
      <c r="F388" s="23">
        <f>IF($B388="","",IF(项目台账!$F387="","",项目台账!$F387))</f>
        <v/>
      </c>
      <c r="G388" s="23">
        <f>IF($B388="","",IF(项目台账!$J387="","",项目台账!$J387))</f>
        <v/>
      </c>
      <c r="H388" s="17">
        <f>IF($B388="","",IF(项目台账!$Q387="","",项目台账!$Q387))</f>
        <v/>
      </c>
      <c r="I388" s="19">
        <f>IF($B388="","",项目台账!$M387)</f>
        <v/>
      </c>
      <c r="J388" s="19">
        <f>IF($B388="","",项目台账!$O387)</f>
        <v/>
      </c>
      <c r="K388" s="19">
        <f>IF($B388="","",项目台账!$P387)</f>
        <v/>
      </c>
      <c r="L388" s="19">
        <f>IF($B388="","",ROUND(SUMIFS(采购单!$L$4:$L$2003,采购单!$D$4:$D$2003,$B388,采购单!$F$4:$F$2003,"成本-主材")+SUMIFS(生产安装!$J$4:$J$1203,生产安装!$C$4:$C$1203,$B388,生产安装!$E$4:$E$1203,"成本-主材")+SUMIFS(资金日记账!$K$4:$K$2503,资金日记账!$G$4:$G$2503,$B388,资金日记账!$F$4:$F$2503,"成本-主材")-SUMIFS(资金日记账!$J$4:$J$2503,资金日记账!$G$4:$G$2503,$B388,资金日记账!$F$4:$F$2503,"成本-主材"),2))</f>
        <v/>
      </c>
      <c r="M388" s="19">
        <f>IF($B388="","",ROUND(SUMIFS(采购单!$L$4:$L$2003,采购单!$D$4:$D$2003,$B388,采购单!$F$4:$F$2003,"成本-辅材")+SUMIFS(生产安装!$J$4:$J$1203,生产安装!$C$4:$C$1203,$B388,生产安装!$E$4:$E$1203,"成本-辅材")+SUMIFS(资金日记账!$K$4:$K$2503,资金日记账!$G$4:$G$2503,$B388,资金日记账!$F$4:$F$2503,"成本-辅材")-SUMIFS(资金日记账!$J$4:$J$2503,资金日记账!$G$4:$G$2503,$B388,资金日记账!$F$4:$F$2503,"成本-辅材"),2))</f>
        <v/>
      </c>
      <c r="N388" s="19">
        <f>IF($B388="","",ROUND(SUMIFS(采购单!$L$4:$L$2003,采购单!$D$4:$D$2003,$B388,采购单!$F$4:$F$2003,"成本-人工")+SUMIFS(生产安装!$J$4:$J$1203,生产安装!$C$4:$C$1203,$B388,生产安装!$E$4:$E$1203,"成本-人工")+SUMIFS(资金日记账!$K$4:$K$2503,资金日记账!$G$4:$G$2503,$B388,资金日记账!$F$4:$F$2503,"成本-人工")-SUMIFS(资金日记账!$J$4:$J$2503,资金日记账!$G$4:$G$2503,$B388,资金日记账!$F$4:$F$2503,"成本-人工"),2))</f>
        <v/>
      </c>
      <c r="O388" s="19">
        <f>IF($B388="","",ROUND(SUMIFS(采购单!$L$4:$L$2003,采购单!$D$4:$D$2003,$B388,采购单!$F$4:$F$2003,"成本-车运")+SUMIFS(生产安装!$J$4:$J$1203,生产安装!$C$4:$C$1203,$B388,生产安装!$E$4:$E$1203,"成本-车运")+SUMIFS(资金日记账!$K$4:$K$2503,资金日记账!$G$4:$G$2503,$B388,资金日记账!$F$4:$F$2503,"成本-车运")-SUMIFS(资金日记账!$J$4:$J$2503,资金日记账!$G$4:$G$2503,$B388,资金日记账!$F$4:$F$2503,"成本-车运"),2))</f>
        <v/>
      </c>
      <c r="P388" s="19">
        <f>IF($B388="","",ROUND(SUMIFS(采购单!$L$4:$L$2003,采购单!$D$4:$D$2003,$B388,采购单!$F$4:$F$2003,"成本-其他")+SUMIFS(生产安装!$J$4:$J$1203,生产安装!$C$4:$C$1203,$B388,生产安装!$E$4:$E$1203,"成本-其他")+SUMIFS(资金日记账!$K$4:$K$2503,资金日记账!$G$4:$G$2503,$B388,资金日记账!$F$4:$F$2503,"成本-其他")-SUMIFS(资金日记账!$J$4:$J$2503,资金日记账!$G$4:$G$2503,$B388,资金日记账!$F$4:$F$2503,"成本-其他"),2))</f>
        <v/>
      </c>
      <c r="Q388" s="19">
        <f>IF($B388="","",ROUND(SUM($L388:$P388),2))</f>
        <v/>
      </c>
      <c r="R388" s="19">
        <f>IF($B388="","",ROUND($I388-$Q388,2))</f>
        <v/>
      </c>
      <c r="S388" s="33">
        <f>IF($B388="","",IF(ROUND($I388,2)=0,"",ROUND($R388/$I388,4)))</f>
        <v/>
      </c>
      <c r="T388" s="22">
        <f>IF($B388="","",IF($G388="",0,YEAR($G388)*100+MONTH($G388)))</f>
        <v/>
      </c>
      <c r="U388" s="17">
        <f>IF($B388="","",IF(项目台账!$R387="","",项目台账!$R387))</f>
        <v/>
      </c>
    </row>
    <row r="389">
      <c r="A389" s="17">
        <f>IF(项目台账!$B388="","",项目台账!$A388)</f>
        <v/>
      </c>
      <c r="B389" s="17">
        <f>IF(项目台账!$B388="","",项目台账!$B388)</f>
        <v/>
      </c>
      <c r="C389" s="17">
        <f>IF($B389="","",IF(项目台账!$C388="","",项目台账!$C388))</f>
        <v/>
      </c>
      <c r="D389" s="17">
        <f>IF($B389="","",IF(项目台账!$D388="","",项目台账!$D388))</f>
        <v/>
      </c>
      <c r="E389" s="17">
        <f>IF($B389="","",IF(项目台账!$E388="","",项目台账!$E388))</f>
        <v/>
      </c>
      <c r="F389" s="23">
        <f>IF($B389="","",IF(项目台账!$F388="","",项目台账!$F388))</f>
        <v/>
      </c>
      <c r="G389" s="23">
        <f>IF($B389="","",IF(项目台账!$J388="","",项目台账!$J388))</f>
        <v/>
      </c>
      <c r="H389" s="17">
        <f>IF($B389="","",IF(项目台账!$Q388="","",项目台账!$Q388))</f>
        <v/>
      </c>
      <c r="I389" s="19">
        <f>IF($B389="","",项目台账!$M388)</f>
        <v/>
      </c>
      <c r="J389" s="19">
        <f>IF($B389="","",项目台账!$O388)</f>
        <v/>
      </c>
      <c r="K389" s="19">
        <f>IF($B389="","",项目台账!$P388)</f>
        <v/>
      </c>
      <c r="L389" s="19">
        <f>IF($B389="","",ROUND(SUMIFS(采购单!$L$4:$L$2003,采购单!$D$4:$D$2003,$B389,采购单!$F$4:$F$2003,"成本-主材")+SUMIFS(生产安装!$J$4:$J$1203,生产安装!$C$4:$C$1203,$B389,生产安装!$E$4:$E$1203,"成本-主材")+SUMIFS(资金日记账!$K$4:$K$2503,资金日记账!$G$4:$G$2503,$B389,资金日记账!$F$4:$F$2503,"成本-主材")-SUMIFS(资金日记账!$J$4:$J$2503,资金日记账!$G$4:$G$2503,$B389,资金日记账!$F$4:$F$2503,"成本-主材"),2))</f>
        <v/>
      </c>
      <c r="M389" s="19">
        <f>IF($B389="","",ROUND(SUMIFS(采购单!$L$4:$L$2003,采购单!$D$4:$D$2003,$B389,采购单!$F$4:$F$2003,"成本-辅材")+SUMIFS(生产安装!$J$4:$J$1203,生产安装!$C$4:$C$1203,$B389,生产安装!$E$4:$E$1203,"成本-辅材")+SUMIFS(资金日记账!$K$4:$K$2503,资金日记账!$G$4:$G$2503,$B389,资金日记账!$F$4:$F$2503,"成本-辅材")-SUMIFS(资金日记账!$J$4:$J$2503,资金日记账!$G$4:$G$2503,$B389,资金日记账!$F$4:$F$2503,"成本-辅材"),2))</f>
        <v/>
      </c>
      <c r="N389" s="19">
        <f>IF($B389="","",ROUND(SUMIFS(采购单!$L$4:$L$2003,采购单!$D$4:$D$2003,$B389,采购单!$F$4:$F$2003,"成本-人工")+SUMIFS(生产安装!$J$4:$J$1203,生产安装!$C$4:$C$1203,$B389,生产安装!$E$4:$E$1203,"成本-人工")+SUMIFS(资金日记账!$K$4:$K$2503,资金日记账!$G$4:$G$2503,$B389,资金日记账!$F$4:$F$2503,"成本-人工")-SUMIFS(资金日记账!$J$4:$J$2503,资金日记账!$G$4:$G$2503,$B389,资金日记账!$F$4:$F$2503,"成本-人工"),2))</f>
        <v/>
      </c>
      <c r="O389" s="19">
        <f>IF($B389="","",ROUND(SUMIFS(采购单!$L$4:$L$2003,采购单!$D$4:$D$2003,$B389,采购单!$F$4:$F$2003,"成本-车运")+SUMIFS(生产安装!$J$4:$J$1203,生产安装!$C$4:$C$1203,$B389,生产安装!$E$4:$E$1203,"成本-车运")+SUMIFS(资金日记账!$K$4:$K$2503,资金日记账!$G$4:$G$2503,$B389,资金日记账!$F$4:$F$2503,"成本-车运")-SUMIFS(资金日记账!$J$4:$J$2503,资金日记账!$G$4:$G$2503,$B389,资金日记账!$F$4:$F$2503,"成本-车运"),2))</f>
        <v/>
      </c>
      <c r="P389" s="19">
        <f>IF($B389="","",ROUND(SUMIFS(采购单!$L$4:$L$2003,采购单!$D$4:$D$2003,$B389,采购单!$F$4:$F$2003,"成本-其他")+SUMIFS(生产安装!$J$4:$J$1203,生产安装!$C$4:$C$1203,$B389,生产安装!$E$4:$E$1203,"成本-其他")+SUMIFS(资金日记账!$K$4:$K$2503,资金日记账!$G$4:$G$2503,$B389,资金日记账!$F$4:$F$2503,"成本-其他")-SUMIFS(资金日记账!$J$4:$J$2503,资金日记账!$G$4:$G$2503,$B389,资金日记账!$F$4:$F$2503,"成本-其他"),2))</f>
        <v/>
      </c>
      <c r="Q389" s="19">
        <f>IF($B389="","",ROUND(SUM($L389:$P389),2))</f>
        <v/>
      </c>
      <c r="R389" s="19">
        <f>IF($B389="","",ROUND($I389-$Q389,2))</f>
        <v/>
      </c>
      <c r="S389" s="33">
        <f>IF($B389="","",IF(ROUND($I389,2)=0,"",ROUND($R389/$I389,4)))</f>
        <v/>
      </c>
      <c r="T389" s="22">
        <f>IF($B389="","",IF($G389="",0,YEAR($G389)*100+MONTH($G389)))</f>
        <v/>
      </c>
      <c r="U389" s="17">
        <f>IF($B389="","",IF(项目台账!$R388="","",项目台账!$R388))</f>
        <v/>
      </c>
    </row>
    <row r="390">
      <c r="A390" s="17">
        <f>IF(项目台账!$B389="","",项目台账!$A389)</f>
        <v/>
      </c>
      <c r="B390" s="17">
        <f>IF(项目台账!$B389="","",项目台账!$B389)</f>
        <v/>
      </c>
      <c r="C390" s="17">
        <f>IF($B390="","",IF(项目台账!$C389="","",项目台账!$C389))</f>
        <v/>
      </c>
      <c r="D390" s="17">
        <f>IF($B390="","",IF(项目台账!$D389="","",项目台账!$D389))</f>
        <v/>
      </c>
      <c r="E390" s="17">
        <f>IF($B390="","",IF(项目台账!$E389="","",项目台账!$E389))</f>
        <v/>
      </c>
      <c r="F390" s="23">
        <f>IF($B390="","",IF(项目台账!$F389="","",项目台账!$F389))</f>
        <v/>
      </c>
      <c r="G390" s="23">
        <f>IF($B390="","",IF(项目台账!$J389="","",项目台账!$J389))</f>
        <v/>
      </c>
      <c r="H390" s="17">
        <f>IF($B390="","",IF(项目台账!$Q389="","",项目台账!$Q389))</f>
        <v/>
      </c>
      <c r="I390" s="19">
        <f>IF($B390="","",项目台账!$M389)</f>
        <v/>
      </c>
      <c r="J390" s="19">
        <f>IF($B390="","",项目台账!$O389)</f>
        <v/>
      </c>
      <c r="K390" s="19">
        <f>IF($B390="","",项目台账!$P389)</f>
        <v/>
      </c>
      <c r="L390" s="19">
        <f>IF($B390="","",ROUND(SUMIFS(采购单!$L$4:$L$2003,采购单!$D$4:$D$2003,$B390,采购单!$F$4:$F$2003,"成本-主材")+SUMIFS(生产安装!$J$4:$J$1203,生产安装!$C$4:$C$1203,$B390,生产安装!$E$4:$E$1203,"成本-主材")+SUMIFS(资金日记账!$K$4:$K$2503,资金日记账!$G$4:$G$2503,$B390,资金日记账!$F$4:$F$2503,"成本-主材")-SUMIFS(资金日记账!$J$4:$J$2503,资金日记账!$G$4:$G$2503,$B390,资金日记账!$F$4:$F$2503,"成本-主材"),2))</f>
        <v/>
      </c>
      <c r="M390" s="19">
        <f>IF($B390="","",ROUND(SUMIFS(采购单!$L$4:$L$2003,采购单!$D$4:$D$2003,$B390,采购单!$F$4:$F$2003,"成本-辅材")+SUMIFS(生产安装!$J$4:$J$1203,生产安装!$C$4:$C$1203,$B390,生产安装!$E$4:$E$1203,"成本-辅材")+SUMIFS(资金日记账!$K$4:$K$2503,资金日记账!$G$4:$G$2503,$B390,资金日记账!$F$4:$F$2503,"成本-辅材")-SUMIFS(资金日记账!$J$4:$J$2503,资金日记账!$G$4:$G$2503,$B390,资金日记账!$F$4:$F$2503,"成本-辅材"),2))</f>
        <v/>
      </c>
      <c r="N390" s="19">
        <f>IF($B390="","",ROUND(SUMIFS(采购单!$L$4:$L$2003,采购单!$D$4:$D$2003,$B390,采购单!$F$4:$F$2003,"成本-人工")+SUMIFS(生产安装!$J$4:$J$1203,生产安装!$C$4:$C$1203,$B390,生产安装!$E$4:$E$1203,"成本-人工")+SUMIFS(资金日记账!$K$4:$K$2503,资金日记账!$G$4:$G$2503,$B390,资金日记账!$F$4:$F$2503,"成本-人工")-SUMIFS(资金日记账!$J$4:$J$2503,资金日记账!$G$4:$G$2503,$B390,资金日记账!$F$4:$F$2503,"成本-人工"),2))</f>
        <v/>
      </c>
      <c r="O390" s="19">
        <f>IF($B390="","",ROUND(SUMIFS(采购单!$L$4:$L$2003,采购单!$D$4:$D$2003,$B390,采购单!$F$4:$F$2003,"成本-车运")+SUMIFS(生产安装!$J$4:$J$1203,生产安装!$C$4:$C$1203,$B390,生产安装!$E$4:$E$1203,"成本-车运")+SUMIFS(资金日记账!$K$4:$K$2503,资金日记账!$G$4:$G$2503,$B390,资金日记账!$F$4:$F$2503,"成本-车运")-SUMIFS(资金日记账!$J$4:$J$2503,资金日记账!$G$4:$G$2503,$B390,资金日记账!$F$4:$F$2503,"成本-车运"),2))</f>
        <v/>
      </c>
      <c r="P390" s="19">
        <f>IF($B390="","",ROUND(SUMIFS(采购单!$L$4:$L$2003,采购单!$D$4:$D$2003,$B390,采购单!$F$4:$F$2003,"成本-其他")+SUMIFS(生产安装!$J$4:$J$1203,生产安装!$C$4:$C$1203,$B390,生产安装!$E$4:$E$1203,"成本-其他")+SUMIFS(资金日记账!$K$4:$K$2503,资金日记账!$G$4:$G$2503,$B390,资金日记账!$F$4:$F$2503,"成本-其他")-SUMIFS(资金日记账!$J$4:$J$2503,资金日记账!$G$4:$G$2503,$B390,资金日记账!$F$4:$F$2503,"成本-其他"),2))</f>
        <v/>
      </c>
      <c r="Q390" s="19">
        <f>IF($B390="","",ROUND(SUM($L390:$P390),2))</f>
        <v/>
      </c>
      <c r="R390" s="19">
        <f>IF($B390="","",ROUND($I390-$Q390,2))</f>
        <v/>
      </c>
      <c r="S390" s="33">
        <f>IF($B390="","",IF(ROUND($I390,2)=0,"",ROUND($R390/$I390,4)))</f>
        <v/>
      </c>
      <c r="T390" s="22">
        <f>IF($B390="","",IF($G390="",0,YEAR($G390)*100+MONTH($G390)))</f>
        <v/>
      </c>
      <c r="U390" s="17">
        <f>IF($B390="","",IF(项目台账!$R389="","",项目台账!$R389))</f>
        <v/>
      </c>
    </row>
    <row r="391">
      <c r="A391" s="17">
        <f>IF(项目台账!$B390="","",项目台账!$A390)</f>
        <v/>
      </c>
      <c r="B391" s="17">
        <f>IF(项目台账!$B390="","",项目台账!$B390)</f>
        <v/>
      </c>
      <c r="C391" s="17">
        <f>IF($B391="","",IF(项目台账!$C390="","",项目台账!$C390))</f>
        <v/>
      </c>
      <c r="D391" s="17">
        <f>IF($B391="","",IF(项目台账!$D390="","",项目台账!$D390))</f>
        <v/>
      </c>
      <c r="E391" s="17">
        <f>IF($B391="","",IF(项目台账!$E390="","",项目台账!$E390))</f>
        <v/>
      </c>
      <c r="F391" s="23">
        <f>IF($B391="","",IF(项目台账!$F390="","",项目台账!$F390))</f>
        <v/>
      </c>
      <c r="G391" s="23">
        <f>IF($B391="","",IF(项目台账!$J390="","",项目台账!$J390))</f>
        <v/>
      </c>
      <c r="H391" s="17">
        <f>IF($B391="","",IF(项目台账!$Q390="","",项目台账!$Q390))</f>
        <v/>
      </c>
      <c r="I391" s="19">
        <f>IF($B391="","",项目台账!$M390)</f>
        <v/>
      </c>
      <c r="J391" s="19">
        <f>IF($B391="","",项目台账!$O390)</f>
        <v/>
      </c>
      <c r="K391" s="19">
        <f>IF($B391="","",项目台账!$P390)</f>
        <v/>
      </c>
      <c r="L391" s="19">
        <f>IF($B391="","",ROUND(SUMIFS(采购单!$L$4:$L$2003,采购单!$D$4:$D$2003,$B391,采购单!$F$4:$F$2003,"成本-主材")+SUMIFS(生产安装!$J$4:$J$1203,生产安装!$C$4:$C$1203,$B391,生产安装!$E$4:$E$1203,"成本-主材")+SUMIFS(资金日记账!$K$4:$K$2503,资金日记账!$G$4:$G$2503,$B391,资金日记账!$F$4:$F$2503,"成本-主材")-SUMIFS(资金日记账!$J$4:$J$2503,资金日记账!$G$4:$G$2503,$B391,资金日记账!$F$4:$F$2503,"成本-主材"),2))</f>
        <v/>
      </c>
      <c r="M391" s="19">
        <f>IF($B391="","",ROUND(SUMIFS(采购单!$L$4:$L$2003,采购单!$D$4:$D$2003,$B391,采购单!$F$4:$F$2003,"成本-辅材")+SUMIFS(生产安装!$J$4:$J$1203,生产安装!$C$4:$C$1203,$B391,生产安装!$E$4:$E$1203,"成本-辅材")+SUMIFS(资金日记账!$K$4:$K$2503,资金日记账!$G$4:$G$2503,$B391,资金日记账!$F$4:$F$2503,"成本-辅材")-SUMIFS(资金日记账!$J$4:$J$2503,资金日记账!$G$4:$G$2503,$B391,资金日记账!$F$4:$F$2503,"成本-辅材"),2))</f>
        <v/>
      </c>
      <c r="N391" s="19">
        <f>IF($B391="","",ROUND(SUMIFS(采购单!$L$4:$L$2003,采购单!$D$4:$D$2003,$B391,采购单!$F$4:$F$2003,"成本-人工")+SUMIFS(生产安装!$J$4:$J$1203,生产安装!$C$4:$C$1203,$B391,生产安装!$E$4:$E$1203,"成本-人工")+SUMIFS(资金日记账!$K$4:$K$2503,资金日记账!$G$4:$G$2503,$B391,资金日记账!$F$4:$F$2503,"成本-人工")-SUMIFS(资金日记账!$J$4:$J$2503,资金日记账!$G$4:$G$2503,$B391,资金日记账!$F$4:$F$2503,"成本-人工"),2))</f>
        <v/>
      </c>
      <c r="O391" s="19">
        <f>IF($B391="","",ROUND(SUMIFS(采购单!$L$4:$L$2003,采购单!$D$4:$D$2003,$B391,采购单!$F$4:$F$2003,"成本-车运")+SUMIFS(生产安装!$J$4:$J$1203,生产安装!$C$4:$C$1203,$B391,生产安装!$E$4:$E$1203,"成本-车运")+SUMIFS(资金日记账!$K$4:$K$2503,资金日记账!$G$4:$G$2503,$B391,资金日记账!$F$4:$F$2503,"成本-车运")-SUMIFS(资金日记账!$J$4:$J$2503,资金日记账!$G$4:$G$2503,$B391,资金日记账!$F$4:$F$2503,"成本-车运"),2))</f>
        <v/>
      </c>
      <c r="P391" s="19">
        <f>IF($B391="","",ROUND(SUMIFS(采购单!$L$4:$L$2003,采购单!$D$4:$D$2003,$B391,采购单!$F$4:$F$2003,"成本-其他")+SUMIFS(生产安装!$J$4:$J$1203,生产安装!$C$4:$C$1203,$B391,生产安装!$E$4:$E$1203,"成本-其他")+SUMIFS(资金日记账!$K$4:$K$2503,资金日记账!$G$4:$G$2503,$B391,资金日记账!$F$4:$F$2503,"成本-其他")-SUMIFS(资金日记账!$J$4:$J$2503,资金日记账!$G$4:$G$2503,$B391,资金日记账!$F$4:$F$2503,"成本-其他"),2))</f>
        <v/>
      </c>
      <c r="Q391" s="19">
        <f>IF($B391="","",ROUND(SUM($L391:$P391),2))</f>
        <v/>
      </c>
      <c r="R391" s="19">
        <f>IF($B391="","",ROUND($I391-$Q391,2))</f>
        <v/>
      </c>
      <c r="S391" s="33">
        <f>IF($B391="","",IF(ROUND($I391,2)=0,"",ROUND($R391/$I391,4)))</f>
        <v/>
      </c>
      <c r="T391" s="22">
        <f>IF($B391="","",IF($G391="",0,YEAR($G391)*100+MONTH($G391)))</f>
        <v/>
      </c>
      <c r="U391" s="17">
        <f>IF($B391="","",IF(项目台账!$R390="","",项目台账!$R390))</f>
        <v/>
      </c>
    </row>
    <row r="392">
      <c r="A392" s="17">
        <f>IF(项目台账!$B391="","",项目台账!$A391)</f>
        <v/>
      </c>
      <c r="B392" s="17">
        <f>IF(项目台账!$B391="","",项目台账!$B391)</f>
        <v/>
      </c>
      <c r="C392" s="17">
        <f>IF($B392="","",IF(项目台账!$C391="","",项目台账!$C391))</f>
        <v/>
      </c>
      <c r="D392" s="17">
        <f>IF($B392="","",IF(项目台账!$D391="","",项目台账!$D391))</f>
        <v/>
      </c>
      <c r="E392" s="17">
        <f>IF($B392="","",IF(项目台账!$E391="","",项目台账!$E391))</f>
        <v/>
      </c>
      <c r="F392" s="23">
        <f>IF($B392="","",IF(项目台账!$F391="","",项目台账!$F391))</f>
        <v/>
      </c>
      <c r="G392" s="23">
        <f>IF($B392="","",IF(项目台账!$J391="","",项目台账!$J391))</f>
        <v/>
      </c>
      <c r="H392" s="17">
        <f>IF($B392="","",IF(项目台账!$Q391="","",项目台账!$Q391))</f>
        <v/>
      </c>
      <c r="I392" s="19">
        <f>IF($B392="","",项目台账!$M391)</f>
        <v/>
      </c>
      <c r="J392" s="19">
        <f>IF($B392="","",项目台账!$O391)</f>
        <v/>
      </c>
      <c r="K392" s="19">
        <f>IF($B392="","",项目台账!$P391)</f>
        <v/>
      </c>
      <c r="L392" s="19">
        <f>IF($B392="","",ROUND(SUMIFS(采购单!$L$4:$L$2003,采购单!$D$4:$D$2003,$B392,采购单!$F$4:$F$2003,"成本-主材")+SUMIFS(生产安装!$J$4:$J$1203,生产安装!$C$4:$C$1203,$B392,生产安装!$E$4:$E$1203,"成本-主材")+SUMIFS(资金日记账!$K$4:$K$2503,资金日记账!$G$4:$G$2503,$B392,资金日记账!$F$4:$F$2503,"成本-主材")-SUMIFS(资金日记账!$J$4:$J$2503,资金日记账!$G$4:$G$2503,$B392,资金日记账!$F$4:$F$2503,"成本-主材"),2))</f>
        <v/>
      </c>
      <c r="M392" s="19">
        <f>IF($B392="","",ROUND(SUMIFS(采购单!$L$4:$L$2003,采购单!$D$4:$D$2003,$B392,采购单!$F$4:$F$2003,"成本-辅材")+SUMIFS(生产安装!$J$4:$J$1203,生产安装!$C$4:$C$1203,$B392,生产安装!$E$4:$E$1203,"成本-辅材")+SUMIFS(资金日记账!$K$4:$K$2503,资金日记账!$G$4:$G$2503,$B392,资金日记账!$F$4:$F$2503,"成本-辅材")-SUMIFS(资金日记账!$J$4:$J$2503,资金日记账!$G$4:$G$2503,$B392,资金日记账!$F$4:$F$2503,"成本-辅材"),2))</f>
        <v/>
      </c>
      <c r="N392" s="19">
        <f>IF($B392="","",ROUND(SUMIFS(采购单!$L$4:$L$2003,采购单!$D$4:$D$2003,$B392,采购单!$F$4:$F$2003,"成本-人工")+SUMIFS(生产安装!$J$4:$J$1203,生产安装!$C$4:$C$1203,$B392,生产安装!$E$4:$E$1203,"成本-人工")+SUMIFS(资金日记账!$K$4:$K$2503,资金日记账!$G$4:$G$2503,$B392,资金日记账!$F$4:$F$2503,"成本-人工")-SUMIFS(资金日记账!$J$4:$J$2503,资金日记账!$G$4:$G$2503,$B392,资金日记账!$F$4:$F$2503,"成本-人工"),2))</f>
        <v/>
      </c>
      <c r="O392" s="19">
        <f>IF($B392="","",ROUND(SUMIFS(采购单!$L$4:$L$2003,采购单!$D$4:$D$2003,$B392,采购单!$F$4:$F$2003,"成本-车运")+SUMIFS(生产安装!$J$4:$J$1203,生产安装!$C$4:$C$1203,$B392,生产安装!$E$4:$E$1203,"成本-车运")+SUMIFS(资金日记账!$K$4:$K$2503,资金日记账!$G$4:$G$2503,$B392,资金日记账!$F$4:$F$2503,"成本-车运")-SUMIFS(资金日记账!$J$4:$J$2503,资金日记账!$G$4:$G$2503,$B392,资金日记账!$F$4:$F$2503,"成本-车运"),2))</f>
        <v/>
      </c>
      <c r="P392" s="19">
        <f>IF($B392="","",ROUND(SUMIFS(采购单!$L$4:$L$2003,采购单!$D$4:$D$2003,$B392,采购单!$F$4:$F$2003,"成本-其他")+SUMIFS(生产安装!$J$4:$J$1203,生产安装!$C$4:$C$1203,$B392,生产安装!$E$4:$E$1203,"成本-其他")+SUMIFS(资金日记账!$K$4:$K$2503,资金日记账!$G$4:$G$2503,$B392,资金日记账!$F$4:$F$2503,"成本-其他")-SUMIFS(资金日记账!$J$4:$J$2503,资金日记账!$G$4:$G$2503,$B392,资金日记账!$F$4:$F$2503,"成本-其他"),2))</f>
        <v/>
      </c>
      <c r="Q392" s="19">
        <f>IF($B392="","",ROUND(SUM($L392:$P392),2))</f>
        <v/>
      </c>
      <c r="R392" s="19">
        <f>IF($B392="","",ROUND($I392-$Q392,2))</f>
        <v/>
      </c>
      <c r="S392" s="33">
        <f>IF($B392="","",IF(ROUND($I392,2)=0,"",ROUND($R392/$I392,4)))</f>
        <v/>
      </c>
      <c r="T392" s="22">
        <f>IF($B392="","",IF($G392="",0,YEAR($G392)*100+MONTH($G392)))</f>
        <v/>
      </c>
      <c r="U392" s="17">
        <f>IF($B392="","",IF(项目台账!$R391="","",项目台账!$R391))</f>
        <v/>
      </c>
    </row>
    <row r="393">
      <c r="A393" s="17">
        <f>IF(项目台账!$B392="","",项目台账!$A392)</f>
        <v/>
      </c>
      <c r="B393" s="17">
        <f>IF(项目台账!$B392="","",项目台账!$B392)</f>
        <v/>
      </c>
      <c r="C393" s="17">
        <f>IF($B393="","",IF(项目台账!$C392="","",项目台账!$C392))</f>
        <v/>
      </c>
      <c r="D393" s="17">
        <f>IF($B393="","",IF(项目台账!$D392="","",项目台账!$D392))</f>
        <v/>
      </c>
      <c r="E393" s="17">
        <f>IF($B393="","",IF(项目台账!$E392="","",项目台账!$E392))</f>
        <v/>
      </c>
      <c r="F393" s="23">
        <f>IF($B393="","",IF(项目台账!$F392="","",项目台账!$F392))</f>
        <v/>
      </c>
      <c r="G393" s="23">
        <f>IF($B393="","",IF(项目台账!$J392="","",项目台账!$J392))</f>
        <v/>
      </c>
      <c r="H393" s="17">
        <f>IF($B393="","",IF(项目台账!$Q392="","",项目台账!$Q392))</f>
        <v/>
      </c>
      <c r="I393" s="19">
        <f>IF($B393="","",项目台账!$M392)</f>
        <v/>
      </c>
      <c r="J393" s="19">
        <f>IF($B393="","",项目台账!$O392)</f>
        <v/>
      </c>
      <c r="K393" s="19">
        <f>IF($B393="","",项目台账!$P392)</f>
        <v/>
      </c>
      <c r="L393" s="19">
        <f>IF($B393="","",ROUND(SUMIFS(采购单!$L$4:$L$2003,采购单!$D$4:$D$2003,$B393,采购单!$F$4:$F$2003,"成本-主材")+SUMIFS(生产安装!$J$4:$J$1203,生产安装!$C$4:$C$1203,$B393,生产安装!$E$4:$E$1203,"成本-主材")+SUMIFS(资金日记账!$K$4:$K$2503,资金日记账!$G$4:$G$2503,$B393,资金日记账!$F$4:$F$2503,"成本-主材")-SUMIFS(资金日记账!$J$4:$J$2503,资金日记账!$G$4:$G$2503,$B393,资金日记账!$F$4:$F$2503,"成本-主材"),2))</f>
        <v/>
      </c>
      <c r="M393" s="19">
        <f>IF($B393="","",ROUND(SUMIFS(采购单!$L$4:$L$2003,采购单!$D$4:$D$2003,$B393,采购单!$F$4:$F$2003,"成本-辅材")+SUMIFS(生产安装!$J$4:$J$1203,生产安装!$C$4:$C$1203,$B393,生产安装!$E$4:$E$1203,"成本-辅材")+SUMIFS(资金日记账!$K$4:$K$2503,资金日记账!$G$4:$G$2503,$B393,资金日记账!$F$4:$F$2503,"成本-辅材")-SUMIFS(资金日记账!$J$4:$J$2503,资金日记账!$G$4:$G$2503,$B393,资金日记账!$F$4:$F$2503,"成本-辅材"),2))</f>
        <v/>
      </c>
      <c r="N393" s="19">
        <f>IF($B393="","",ROUND(SUMIFS(采购单!$L$4:$L$2003,采购单!$D$4:$D$2003,$B393,采购单!$F$4:$F$2003,"成本-人工")+SUMIFS(生产安装!$J$4:$J$1203,生产安装!$C$4:$C$1203,$B393,生产安装!$E$4:$E$1203,"成本-人工")+SUMIFS(资金日记账!$K$4:$K$2503,资金日记账!$G$4:$G$2503,$B393,资金日记账!$F$4:$F$2503,"成本-人工")-SUMIFS(资金日记账!$J$4:$J$2503,资金日记账!$G$4:$G$2503,$B393,资金日记账!$F$4:$F$2503,"成本-人工"),2))</f>
        <v/>
      </c>
      <c r="O393" s="19">
        <f>IF($B393="","",ROUND(SUMIFS(采购单!$L$4:$L$2003,采购单!$D$4:$D$2003,$B393,采购单!$F$4:$F$2003,"成本-车运")+SUMIFS(生产安装!$J$4:$J$1203,生产安装!$C$4:$C$1203,$B393,生产安装!$E$4:$E$1203,"成本-车运")+SUMIFS(资金日记账!$K$4:$K$2503,资金日记账!$G$4:$G$2503,$B393,资金日记账!$F$4:$F$2503,"成本-车运")-SUMIFS(资金日记账!$J$4:$J$2503,资金日记账!$G$4:$G$2503,$B393,资金日记账!$F$4:$F$2503,"成本-车运"),2))</f>
        <v/>
      </c>
      <c r="P393" s="19">
        <f>IF($B393="","",ROUND(SUMIFS(采购单!$L$4:$L$2003,采购单!$D$4:$D$2003,$B393,采购单!$F$4:$F$2003,"成本-其他")+SUMIFS(生产安装!$J$4:$J$1203,生产安装!$C$4:$C$1203,$B393,生产安装!$E$4:$E$1203,"成本-其他")+SUMIFS(资金日记账!$K$4:$K$2503,资金日记账!$G$4:$G$2503,$B393,资金日记账!$F$4:$F$2503,"成本-其他")-SUMIFS(资金日记账!$J$4:$J$2503,资金日记账!$G$4:$G$2503,$B393,资金日记账!$F$4:$F$2503,"成本-其他"),2))</f>
        <v/>
      </c>
      <c r="Q393" s="19">
        <f>IF($B393="","",ROUND(SUM($L393:$P393),2))</f>
        <v/>
      </c>
      <c r="R393" s="19">
        <f>IF($B393="","",ROUND($I393-$Q393,2))</f>
        <v/>
      </c>
      <c r="S393" s="33">
        <f>IF($B393="","",IF(ROUND($I393,2)=0,"",ROUND($R393/$I393,4)))</f>
        <v/>
      </c>
      <c r="T393" s="22">
        <f>IF($B393="","",IF($G393="",0,YEAR($G393)*100+MONTH($G393)))</f>
        <v/>
      </c>
      <c r="U393" s="17">
        <f>IF($B393="","",IF(项目台账!$R392="","",项目台账!$R392))</f>
        <v/>
      </c>
    </row>
    <row r="394">
      <c r="A394" s="17">
        <f>IF(项目台账!$B393="","",项目台账!$A393)</f>
        <v/>
      </c>
      <c r="B394" s="17">
        <f>IF(项目台账!$B393="","",项目台账!$B393)</f>
        <v/>
      </c>
      <c r="C394" s="17">
        <f>IF($B394="","",IF(项目台账!$C393="","",项目台账!$C393))</f>
        <v/>
      </c>
      <c r="D394" s="17">
        <f>IF($B394="","",IF(项目台账!$D393="","",项目台账!$D393))</f>
        <v/>
      </c>
      <c r="E394" s="17">
        <f>IF($B394="","",IF(项目台账!$E393="","",项目台账!$E393))</f>
        <v/>
      </c>
      <c r="F394" s="23">
        <f>IF($B394="","",IF(项目台账!$F393="","",项目台账!$F393))</f>
        <v/>
      </c>
      <c r="G394" s="23">
        <f>IF($B394="","",IF(项目台账!$J393="","",项目台账!$J393))</f>
        <v/>
      </c>
      <c r="H394" s="17">
        <f>IF($B394="","",IF(项目台账!$Q393="","",项目台账!$Q393))</f>
        <v/>
      </c>
      <c r="I394" s="19">
        <f>IF($B394="","",项目台账!$M393)</f>
        <v/>
      </c>
      <c r="J394" s="19">
        <f>IF($B394="","",项目台账!$O393)</f>
        <v/>
      </c>
      <c r="K394" s="19">
        <f>IF($B394="","",项目台账!$P393)</f>
        <v/>
      </c>
      <c r="L394" s="19">
        <f>IF($B394="","",ROUND(SUMIFS(采购单!$L$4:$L$2003,采购单!$D$4:$D$2003,$B394,采购单!$F$4:$F$2003,"成本-主材")+SUMIFS(生产安装!$J$4:$J$1203,生产安装!$C$4:$C$1203,$B394,生产安装!$E$4:$E$1203,"成本-主材")+SUMIFS(资金日记账!$K$4:$K$2503,资金日记账!$G$4:$G$2503,$B394,资金日记账!$F$4:$F$2503,"成本-主材")-SUMIFS(资金日记账!$J$4:$J$2503,资金日记账!$G$4:$G$2503,$B394,资金日记账!$F$4:$F$2503,"成本-主材"),2))</f>
        <v/>
      </c>
      <c r="M394" s="19">
        <f>IF($B394="","",ROUND(SUMIFS(采购单!$L$4:$L$2003,采购单!$D$4:$D$2003,$B394,采购单!$F$4:$F$2003,"成本-辅材")+SUMIFS(生产安装!$J$4:$J$1203,生产安装!$C$4:$C$1203,$B394,生产安装!$E$4:$E$1203,"成本-辅材")+SUMIFS(资金日记账!$K$4:$K$2503,资金日记账!$G$4:$G$2503,$B394,资金日记账!$F$4:$F$2503,"成本-辅材")-SUMIFS(资金日记账!$J$4:$J$2503,资金日记账!$G$4:$G$2503,$B394,资金日记账!$F$4:$F$2503,"成本-辅材"),2))</f>
        <v/>
      </c>
      <c r="N394" s="19">
        <f>IF($B394="","",ROUND(SUMIFS(采购单!$L$4:$L$2003,采购单!$D$4:$D$2003,$B394,采购单!$F$4:$F$2003,"成本-人工")+SUMIFS(生产安装!$J$4:$J$1203,生产安装!$C$4:$C$1203,$B394,生产安装!$E$4:$E$1203,"成本-人工")+SUMIFS(资金日记账!$K$4:$K$2503,资金日记账!$G$4:$G$2503,$B394,资金日记账!$F$4:$F$2503,"成本-人工")-SUMIFS(资金日记账!$J$4:$J$2503,资金日记账!$G$4:$G$2503,$B394,资金日记账!$F$4:$F$2503,"成本-人工"),2))</f>
        <v/>
      </c>
      <c r="O394" s="19">
        <f>IF($B394="","",ROUND(SUMIFS(采购单!$L$4:$L$2003,采购单!$D$4:$D$2003,$B394,采购单!$F$4:$F$2003,"成本-车运")+SUMIFS(生产安装!$J$4:$J$1203,生产安装!$C$4:$C$1203,$B394,生产安装!$E$4:$E$1203,"成本-车运")+SUMIFS(资金日记账!$K$4:$K$2503,资金日记账!$G$4:$G$2503,$B394,资金日记账!$F$4:$F$2503,"成本-车运")-SUMIFS(资金日记账!$J$4:$J$2503,资金日记账!$G$4:$G$2503,$B394,资金日记账!$F$4:$F$2503,"成本-车运"),2))</f>
        <v/>
      </c>
      <c r="P394" s="19">
        <f>IF($B394="","",ROUND(SUMIFS(采购单!$L$4:$L$2003,采购单!$D$4:$D$2003,$B394,采购单!$F$4:$F$2003,"成本-其他")+SUMIFS(生产安装!$J$4:$J$1203,生产安装!$C$4:$C$1203,$B394,生产安装!$E$4:$E$1203,"成本-其他")+SUMIFS(资金日记账!$K$4:$K$2503,资金日记账!$G$4:$G$2503,$B394,资金日记账!$F$4:$F$2503,"成本-其他")-SUMIFS(资金日记账!$J$4:$J$2503,资金日记账!$G$4:$G$2503,$B394,资金日记账!$F$4:$F$2503,"成本-其他"),2))</f>
        <v/>
      </c>
      <c r="Q394" s="19">
        <f>IF($B394="","",ROUND(SUM($L394:$P394),2))</f>
        <v/>
      </c>
      <c r="R394" s="19">
        <f>IF($B394="","",ROUND($I394-$Q394,2))</f>
        <v/>
      </c>
      <c r="S394" s="33">
        <f>IF($B394="","",IF(ROUND($I394,2)=0,"",ROUND($R394/$I394,4)))</f>
        <v/>
      </c>
      <c r="T394" s="22">
        <f>IF($B394="","",IF($G394="",0,YEAR($G394)*100+MONTH($G394)))</f>
        <v/>
      </c>
      <c r="U394" s="17">
        <f>IF($B394="","",IF(项目台账!$R393="","",项目台账!$R393))</f>
        <v/>
      </c>
    </row>
    <row r="395">
      <c r="A395" s="17">
        <f>IF(项目台账!$B394="","",项目台账!$A394)</f>
        <v/>
      </c>
      <c r="B395" s="17">
        <f>IF(项目台账!$B394="","",项目台账!$B394)</f>
        <v/>
      </c>
      <c r="C395" s="17">
        <f>IF($B395="","",IF(项目台账!$C394="","",项目台账!$C394))</f>
        <v/>
      </c>
      <c r="D395" s="17">
        <f>IF($B395="","",IF(项目台账!$D394="","",项目台账!$D394))</f>
        <v/>
      </c>
      <c r="E395" s="17">
        <f>IF($B395="","",IF(项目台账!$E394="","",项目台账!$E394))</f>
        <v/>
      </c>
      <c r="F395" s="23">
        <f>IF($B395="","",IF(项目台账!$F394="","",项目台账!$F394))</f>
        <v/>
      </c>
      <c r="G395" s="23">
        <f>IF($B395="","",IF(项目台账!$J394="","",项目台账!$J394))</f>
        <v/>
      </c>
      <c r="H395" s="17">
        <f>IF($B395="","",IF(项目台账!$Q394="","",项目台账!$Q394))</f>
        <v/>
      </c>
      <c r="I395" s="19">
        <f>IF($B395="","",项目台账!$M394)</f>
        <v/>
      </c>
      <c r="J395" s="19">
        <f>IF($B395="","",项目台账!$O394)</f>
        <v/>
      </c>
      <c r="K395" s="19">
        <f>IF($B395="","",项目台账!$P394)</f>
        <v/>
      </c>
      <c r="L395" s="19">
        <f>IF($B395="","",ROUND(SUMIFS(采购单!$L$4:$L$2003,采购单!$D$4:$D$2003,$B395,采购单!$F$4:$F$2003,"成本-主材")+SUMIFS(生产安装!$J$4:$J$1203,生产安装!$C$4:$C$1203,$B395,生产安装!$E$4:$E$1203,"成本-主材")+SUMIFS(资金日记账!$K$4:$K$2503,资金日记账!$G$4:$G$2503,$B395,资金日记账!$F$4:$F$2503,"成本-主材")-SUMIFS(资金日记账!$J$4:$J$2503,资金日记账!$G$4:$G$2503,$B395,资金日记账!$F$4:$F$2503,"成本-主材"),2))</f>
        <v/>
      </c>
      <c r="M395" s="19">
        <f>IF($B395="","",ROUND(SUMIFS(采购单!$L$4:$L$2003,采购单!$D$4:$D$2003,$B395,采购单!$F$4:$F$2003,"成本-辅材")+SUMIFS(生产安装!$J$4:$J$1203,生产安装!$C$4:$C$1203,$B395,生产安装!$E$4:$E$1203,"成本-辅材")+SUMIFS(资金日记账!$K$4:$K$2503,资金日记账!$G$4:$G$2503,$B395,资金日记账!$F$4:$F$2503,"成本-辅材")-SUMIFS(资金日记账!$J$4:$J$2503,资金日记账!$G$4:$G$2503,$B395,资金日记账!$F$4:$F$2503,"成本-辅材"),2))</f>
        <v/>
      </c>
      <c r="N395" s="19">
        <f>IF($B395="","",ROUND(SUMIFS(采购单!$L$4:$L$2003,采购单!$D$4:$D$2003,$B395,采购单!$F$4:$F$2003,"成本-人工")+SUMIFS(生产安装!$J$4:$J$1203,生产安装!$C$4:$C$1203,$B395,生产安装!$E$4:$E$1203,"成本-人工")+SUMIFS(资金日记账!$K$4:$K$2503,资金日记账!$G$4:$G$2503,$B395,资金日记账!$F$4:$F$2503,"成本-人工")-SUMIFS(资金日记账!$J$4:$J$2503,资金日记账!$G$4:$G$2503,$B395,资金日记账!$F$4:$F$2503,"成本-人工"),2))</f>
        <v/>
      </c>
      <c r="O395" s="19">
        <f>IF($B395="","",ROUND(SUMIFS(采购单!$L$4:$L$2003,采购单!$D$4:$D$2003,$B395,采购单!$F$4:$F$2003,"成本-车运")+SUMIFS(生产安装!$J$4:$J$1203,生产安装!$C$4:$C$1203,$B395,生产安装!$E$4:$E$1203,"成本-车运")+SUMIFS(资金日记账!$K$4:$K$2503,资金日记账!$G$4:$G$2503,$B395,资金日记账!$F$4:$F$2503,"成本-车运")-SUMIFS(资金日记账!$J$4:$J$2503,资金日记账!$G$4:$G$2503,$B395,资金日记账!$F$4:$F$2503,"成本-车运"),2))</f>
        <v/>
      </c>
      <c r="P395" s="19">
        <f>IF($B395="","",ROUND(SUMIFS(采购单!$L$4:$L$2003,采购单!$D$4:$D$2003,$B395,采购单!$F$4:$F$2003,"成本-其他")+SUMIFS(生产安装!$J$4:$J$1203,生产安装!$C$4:$C$1203,$B395,生产安装!$E$4:$E$1203,"成本-其他")+SUMIFS(资金日记账!$K$4:$K$2503,资金日记账!$G$4:$G$2503,$B395,资金日记账!$F$4:$F$2503,"成本-其他")-SUMIFS(资金日记账!$J$4:$J$2503,资金日记账!$G$4:$G$2503,$B395,资金日记账!$F$4:$F$2503,"成本-其他"),2))</f>
        <v/>
      </c>
      <c r="Q395" s="19">
        <f>IF($B395="","",ROUND(SUM($L395:$P395),2))</f>
        <v/>
      </c>
      <c r="R395" s="19">
        <f>IF($B395="","",ROUND($I395-$Q395,2))</f>
        <v/>
      </c>
      <c r="S395" s="33">
        <f>IF($B395="","",IF(ROUND($I395,2)=0,"",ROUND($R395/$I395,4)))</f>
        <v/>
      </c>
      <c r="T395" s="22">
        <f>IF($B395="","",IF($G395="",0,YEAR($G395)*100+MONTH($G395)))</f>
        <v/>
      </c>
      <c r="U395" s="17">
        <f>IF($B395="","",IF(项目台账!$R394="","",项目台账!$R394))</f>
        <v/>
      </c>
    </row>
    <row r="396">
      <c r="A396" s="17">
        <f>IF(项目台账!$B395="","",项目台账!$A395)</f>
        <v/>
      </c>
      <c r="B396" s="17">
        <f>IF(项目台账!$B395="","",项目台账!$B395)</f>
        <v/>
      </c>
      <c r="C396" s="17">
        <f>IF($B396="","",IF(项目台账!$C395="","",项目台账!$C395))</f>
        <v/>
      </c>
      <c r="D396" s="17">
        <f>IF($B396="","",IF(项目台账!$D395="","",项目台账!$D395))</f>
        <v/>
      </c>
      <c r="E396" s="17">
        <f>IF($B396="","",IF(项目台账!$E395="","",项目台账!$E395))</f>
        <v/>
      </c>
      <c r="F396" s="23">
        <f>IF($B396="","",IF(项目台账!$F395="","",项目台账!$F395))</f>
        <v/>
      </c>
      <c r="G396" s="23">
        <f>IF($B396="","",IF(项目台账!$J395="","",项目台账!$J395))</f>
        <v/>
      </c>
      <c r="H396" s="17">
        <f>IF($B396="","",IF(项目台账!$Q395="","",项目台账!$Q395))</f>
        <v/>
      </c>
      <c r="I396" s="19">
        <f>IF($B396="","",项目台账!$M395)</f>
        <v/>
      </c>
      <c r="J396" s="19">
        <f>IF($B396="","",项目台账!$O395)</f>
        <v/>
      </c>
      <c r="K396" s="19">
        <f>IF($B396="","",项目台账!$P395)</f>
        <v/>
      </c>
      <c r="L396" s="19">
        <f>IF($B396="","",ROUND(SUMIFS(采购单!$L$4:$L$2003,采购单!$D$4:$D$2003,$B396,采购单!$F$4:$F$2003,"成本-主材")+SUMIFS(生产安装!$J$4:$J$1203,生产安装!$C$4:$C$1203,$B396,生产安装!$E$4:$E$1203,"成本-主材")+SUMIFS(资金日记账!$K$4:$K$2503,资金日记账!$G$4:$G$2503,$B396,资金日记账!$F$4:$F$2503,"成本-主材")-SUMIFS(资金日记账!$J$4:$J$2503,资金日记账!$G$4:$G$2503,$B396,资金日记账!$F$4:$F$2503,"成本-主材"),2))</f>
        <v/>
      </c>
      <c r="M396" s="19">
        <f>IF($B396="","",ROUND(SUMIFS(采购单!$L$4:$L$2003,采购单!$D$4:$D$2003,$B396,采购单!$F$4:$F$2003,"成本-辅材")+SUMIFS(生产安装!$J$4:$J$1203,生产安装!$C$4:$C$1203,$B396,生产安装!$E$4:$E$1203,"成本-辅材")+SUMIFS(资金日记账!$K$4:$K$2503,资金日记账!$G$4:$G$2503,$B396,资金日记账!$F$4:$F$2503,"成本-辅材")-SUMIFS(资金日记账!$J$4:$J$2503,资金日记账!$G$4:$G$2503,$B396,资金日记账!$F$4:$F$2503,"成本-辅材"),2))</f>
        <v/>
      </c>
      <c r="N396" s="19">
        <f>IF($B396="","",ROUND(SUMIFS(采购单!$L$4:$L$2003,采购单!$D$4:$D$2003,$B396,采购单!$F$4:$F$2003,"成本-人工")+SUMIFS(生产安装!$J$4:$J$1203,生产安装!$C$4:$C$1203,$B396,生产安装!$E$4:$E$1203,"成本-人工")+SUMIFS(资金日记账!$K$4:$K$2503,资金日记账!$G$4:$G$2503,$B396,资金日记账!$F$4:$F$2503,"成本-人工")-SUMIFS(资金日记账!$J$4:$J$2503,资金日记账!$G$4:$G$2503,$B396,资金日记账!$F$4:$F$2503,"成本-人工"),2))</f>
        <v/>
      </c>
      <c r="O396" s="19">
        <f>IF($B396="","",ROUND(SUMIFS(采购单!$L$4:$L$2003,采购单!$D$4:$D$2003,$B396,采购单!$F$4:$F$2003,"成本-车运")+SUMIFS(生产安装!$J$4:$J$1203,生产安装!$C$4:$C$1203,$B396,生产安装!$E$4:$E$1203,"成本-车运")+SUMIFS(资金日记账!$K$4:$K$2503,资金日记账!$G$4:$G$2503,$B396,资金日记账!$F$4:$F$2503,"成本-车运")-SUMIFS(资金日记账!$J$4:$J$2503,资金日记账!$G$4:$G$2503,$B396,资金日记账!$F$4:$F$2503,"成本-车运"),2))</f>
        <v/>
      </c>
      <c r="P396" s="19">
        <f>IF($B396="","",ROUND(SUMIFS(采购单!$L$4:$L$2003,采购单!$D$4:$D$2003,$B396,采购单!$F$4:$F$2003,"成本-其他")+SUMIFS(生产安装!$J$4:$J$1203,生产安装!$C$4:$C$1203,$B396,生产安装!$E$4:$E$1203,"成本-其他")+SUMIFS(资金日记账!$K$4:$K$2503,资金日记账!$G$4:$G$2503,$B396,资金日记账!$F$4:$F$2503,"成本-其他")-SUMIFS(资金日记账!$J$4:$J$2503,资金日记账!$G$4:$G$2503,$B396,资金日记账!$F$4:$F$2503,"成本-其他"),2))</f>
        <v/>
      </c>
      <c r="Q396" s="19">
        <f>IF($B396="","",ROUND(SUM($L396:$P396),2))</f>
        <v/>
      </c>
      <c r="R396" s="19">
        <f>IF($B396="","",ROUND($I396-$Q396,2))</f>
        <v/>
      </c>
      <c r="S396" s="33">
        <f>IF($B396="","",IF(ROUND($I396,2)=0,"",ROUND($R396/$I396,4)))</f>
        <v/>
      </c>
      <c r="T396" s="22">
        <f>IF($B396="","",IF($G396="",0,YEAR($G396)*100+MONTH($G396)))</f>
        <v/>
      </c>
      <c r="U396" s="17">
        <f>IF($B396="","",IF(项目台账!$R395="","",项目台账!$R395))</f>
        <v/>
      </c>
    </row>
    <row r="397">
      <c r="A397" s="17">
        <f>IF(项目台账!$B396="","",项目台账!$A396)</f>
        <v/>
      </c>
      <c r="B397" s="17">
        <f>IF(项目台账!$B396="","",项目台账!$B396)</f>
        <v/>
      </c>
      <c r="C397" s="17">
        <f>IF($B397="","",IF(项目台账!$C396="","",项目台账!$C396))</f>
        <v/>
      </c>
      <c r="D397" s="17">
        <f>IF($B397="","",IF(项目台账!$D396="","",项目台账!$D396))</f>
        <v/>
      </c>
      <c r="E397" s="17">
        <f>IF($B397="","",IF(项目台账!$E396="","",项目台账!$E396))</f>
        <v/>
      </c>
      <c r="F397" s="23">
        <f>IF($B397="","",IF(项目台账!$F396="","",项目台账!$F396))</f>
        <v/>
      </c>
      <c r="G397" s="23">
        <f>IF($B397="","",IF(项目台账!$J396="","",项目台账!$J396))</f>
        <v/>
      </c>
      <c r="H397" s="17">
        <f>IF($B397="","",IF(项目台账!$Q396="","",项目台账!$Q396))</f>
        <v/>
      </c>
      <c r="I397" s="19">
        <f>IF($B397="","",项目台账!$M396)</f>
        <v/>
      </c>
      <c r="J397" s="19">
        <f>IF($B397="","",项目台账!$O396)</f>
        <v/>
      </c>
      <c r="K397" s="19">
        <f>IF($B397="","",项目台账!$P396)</f>
        <v/>
      </c>
      <c r="L397" s="19">
        <f>IF($B397="","",ROUND(SUMIFS(采购单!$L$4:$L$2003,采购单!$D$4:$D$2003,$B397,采购单!$F$4:$F$2003,"成本-主材")+SUMIFS(生产安装!$J$4:$J$1203,生产安装!$C$4:$C$1203,$B397,生产安装!$E$4:$E$1203,"成本-主材")+SUMIFS(资金日记账!$K$4:$K$2503,资金日记账!$G$4:$G$2503,$B397,资金日记账!$F$4:$F$2503,"成本-主材")-SUMIFS(资金日记账!$J$4:$J$2503,资金日记账!$G$4:$G$2503,$B397,资金日记账!$F$4:$F$2503,"成本-主材"),2))</f>
        <v/>
      </c>
      <c r="M397" s="19">
        <f>IF($B397="","",ROUND(SUMIFS(采购单!$L$4:$L$2003,采购单!$D$4:$D$2003,$B397,采购单!$F$4:$F$2003,"成本-辅材")+SUMIFS(生产安装!$J$4:$J$1203,生产安装!$C$4:$C$1203,$B397,生产安装!$E$4:$E$1203,"成本-辅材")+SUMIFS(资金日记账!$K$4:$K$2503,资金日记账!$G$4:$G$2503,$B397,资金日记账!$F$4:$F$2503,"成本-辅材")-SUMIFS(资金日记账!$J$4:$J$2503,资金日记账!$G$4:$G$2503,$B397,资金日记账!$F$4:$F$2503,"成本-辅材"),2))</f>
        <v/>
      </c>
      <c r="N397" s="19">
        <f>IF($B397="","",ROUND(SUMIFS(采购单!$L$4:$L$2003,采购单!$D$4:$D$2003,$B397,采购单!$F$4:$F$2003,"成本-人工")+SUMIFS(生产安装!$J$4:$J$1203,生产安装!$C$4:$C$1203,$B397,生产安装!$E$4:$E$1203,"成本-人工")+SUMIFS(资金日记账!$K$4:$K$2503,资金日记账!$G$4:$G$2503,$B397,资金日记账!$F$4:$F$2503,"成本-人工")-SUMIFS(资金日记账!$J$4:$J$2503,资金日记账!$G$4:$G$2503,$B397,资金日记账!$F$4:$F$2503,"成本-人工"),2))</f>
        <v/>
      </c>
      <c r="O397" s="19">
        <f>IF($B397="","",ROUND(SUMIFS(采购单!$L$4:$L$2003,采购单!$D$4:$D$2003,$B397,采购单!$F$4:$F$2003,"成本-车运")+SUMIFS(生产安装!$J$4:$J$1203,生产安装!$C$4:$C$1203,$B397,生产安装!$E$4:$E$1203,"成本-车运")+SUMIFS(资金日记账!$K$4:$K$2503,资金日记账!$G$4:$G$2503,$B397,资金日记账!$F$4:$F$2503,"成本-车运")-SUMIFS(资金日记账!$J$4:$J$2503,资金日记账!$G$4:$G$2503,$B397,资金日记账!$F$4:$F$2503,"成本-车运"),2))</f>
        <v/>
      </c>
      <c r="P397" s="19">
        <f>IF($B397="","",ROUND(SUMIFS(采购单!$L$4:$L$2003,采购单!$D$4:$D$2003,$B397,采购单!$F$4:$F$2003,"成本-其他")+SUMIFS(生产安装!$J$4:$J$1203,生产安装!$C$4:$C$1203,$B397,生产安装!$E$4:$E$1203,"成本-其他")+SUMIFS(资金日记账!$K$4:$K$2503,资金日记账!$G$4:$G$2503,$B397,资金日记账!$F$4:$F$2503,"成本-其他")-SUMIFS(资金日记账!$J$4:$J$2503,资金日记账!$G$4:$G$2503,$B397,资金日记账!$F$4:$F$2503,"成本-其他"),2))</f>
        <v/>
      </c>
      <c r="Q397" s="19">
        <f>IF($B397="","",ROUND(SUM($L397:$P397),2))</f>
        <v/>
      </c>
      <c r="R397" s="19">
        <f>IF($B397="","",ROUND($I397-$Q397,2))</f>
        <v/>
      </c>
      <c r="S397" s="33">
        <f>IF($B397="","",IF(ROUND($I397,2)=0,"",ROUND($R397/$I397,4)))</f>
        <v/>
      </c>
      <c r="T397" s="22">
        <f>IF($B397="","",IF($G397="",0,YEAR($G397)*100+MONTH($G397)))</f>
        <v/>
      </c>
      <c r="U397" s="17">
        <f>IF($B397="","",IF(项目台账!$R396="","",项目台账!$R396))</f>
        <v/>
      </c>
    </row>
    <row r="398">
      <c r="A398" s="17">
        <f>IF(项目台账!$B397="","",项目台账!$A397)</f>
        <v/>
      </c>
      <c r="B398" s="17">
        <f>IF(项目台账!$B397="","",项目台账!$B397)</f>
        <v/>
      </c>
      <c r="C398" s="17">
        <f>IF($B398="","",IF(项目台账!$C397="","",项目台账!$C397))</f>
        <v/>
      </c>
      <c r="D398" s="17">
        <f>IF($B398="","",IF(项目台账!$D397="","",项目台账!$D397))</f>
        <v/>
      </c>
      <c r="E398" s="17">
        <f>IF($B398="","",IF(项目台账!$E397="","",项目台账!$E397))</f>
        <v/>
      </c>
      <c r="F398" s="23">
        <f>IF($B398="","",IF(项目台账!$F397="","",项目台账!$F397))</f>
        <v/>
      </c>
      <c r="G398" s="23">
        <f>IF($B398="","",IF(项目台账!$J397="","",项目台账!$J397))</f>
        <v/>
      </c>
      <c r="H398" s="17">
        <f>IF($B398="","",IF(项目台账!$Q397="","",项目台账!$Q397))</f>
        <v/>
      </c>
      <c r="I398" s="19">
        <f>IF($B398="","",项目台账!$M397)</f>
        <v/>
      </c>
      <c r="J398" s="19">
        <f>IF($B398="","",项目台账!$O397)</f>
        <v/>
      </c>
      <c r="K398" s="19">
        <f>IF($B398="","",项目台账!$P397)</f>
        <v/>
      </c>
      <c r="L398" s="19">
        <f>IF($B398="","",ROUND(SUMIFS(采购单!$L$4:$L$2003,采购单!$D$4:$D$2003,$B398,采购单!$F$4:$F$2003,"成本-主材")+SUMIFS(生产安装!$J$4:$J$1203,生产安装!$C$4:$C$1203,$B398,生产安装!$E$4:$E$1203,"成本-主材")+SUMIFS(资金日记账!$K$4:$K$2503,资金日记账!$G$4:$G$2503,$B398,资金日记账!$F$4:$F$2503,"成本-主材")-SUMIFS(资金日记账!$J$4:$J$2503,资金日记账!$G$4:$G$2503,$B398,资金日记账!$F$4:$F$2503,"成本-主材"),2))</f>
        <v/>
      </c>
      <c r="M398" s="19">
        <f>IF($B398="","",ROUND(SUMIFS(采购单!$L$4:$L$2003,采购单!$D$4:$D$2003,$B398,采购单!$F$4:$F$2003,"成本-辅材")+SUMIFS(生产安装!$J$4:$J$1203,生产安装!$C$4:$C$1203,$B398,生产安装!$E$4:$E$1203,"成本-辅材")+SUMIFS(资金日记账!$K$4:$K$2503,资金日记账!$G$4:$G$2503,$B398,资金日记账!$F$4:$F$2503,"成本-辅材")-SUMIFS(资金日记账!$J$4:$J$2503,资金日记账!$G$4:$G$2503,$B398,资金日记账!$F$4:$F$2503,"成本-辅材"),2))</f>
        <v/>
      </c>
      <c r="N398" s="19">
        <f>IF($B398="","",ROUND(SUMIFS(采购单!$L$4:$L$2003,采购单!$D$4:$D$2003,$B398,采购单!$F$4:$F$2003,"成本-人工")+SUMIFS(生产安装!$J$4:$J$1203,生产安装!$C$4:$C$1203,$B398,生产安装!$E$4:$E$1203,"成本-人工")+SUMIFS(资金日记账!$K$4:$K$2503,资金日记账!$G$4:$G$2503,$B398,资金日记账!$F$4:$F$2503,"成本-人工")-SUMIFS(资金日记账!$J$4:$J$2503,资金日记账!$G$4:$G$2503,$B398,资金日记账!$F$4:$F$2503,"成本-人工"),2))</f>
        <v/>
      </c>
      <c r="O398" s="19">
        <f>IF($B398="","",ROUND(SUMIFS(采购单!$L$4:$L$2003,采购单!$D$4:$D$2003,$B398,采购单!$F$4:$F$2003,"成本-车运")+SUMIFS(生产安装!$J$4:$J$1203,生产安装!$C$4:$C$1203,$B398,生产安装!$E$4:$E$1203,"成本-车运")+SUMIFS(资金日记账!$K$4:$K$2503,资金日记账!$G$4:$G$2503,$B398,资金日记账!$F$4:$F$2503,"成本-车运")-SUMIFS(资金日记账!$J$4:$J$2503,资金日记账!$G$4:$G$2503,$B398,资金日记账!$F$4:$F$2503,"成本-车运"),2))</f>
        <v/>
      </c>
      <c r="P398" s="19">
        <f>IF($B398="","",ROUND(SUMIFS(采购单!$L$4:$L$2003,采购单!$D$4:$D$2003,$B398,采购单!$F$4:$F$2003,"成本-其他")+SUMIFS(生产安装!$J$4:$J$1203,生产安装!$C$4:$C$1203,$B398,生产安装!$E$4:$E$1203,"成本-其他")+SUMIFS(资金日记账!$K$4:$K$2503,资金日记账!$G$4:$G$2503,$B398,资金日记账!$F$4:$F$2503,"成本-其他")-SUMIFS(资金日记账!$J$4:$J$2503,资金日记账!$G$4:$G$2503,$B398,资金日记账!$F$4:$F$2503,"成本-其他"),2))</f>
        <v/>
      </c>
      <c r="Q398" s="19">
        <f>IF($B398="","",ROUND(SUM($L398:$P398),2))</f>
        <v/>
      </c>
      <c r="R398" s="19">
        <f>IF($B398="","",ROUND($I398-$Q398,2))</f>
        <v/>
      </c>
      <c r="S398" s="33">
        <f>IF($B398="","",IF(ROUND($I398,2)=0,"",ROUND($R398/$I398,4)))</f>
        <v/>
      </c>
      <c r="T398" s="22">
        <f>IF($B398="","",IF($G398="",0,YEAR($G398)*100+MONTH($G398)))</f>
        <v/>
      </c>
      <c r="U398" s="17">
        <f>IF($B398="","",IF(项目台账!$R397="","",项目台账!$R397))</f>
        <v/>
      </c>
    </row>
    <row r="399">
      <c r="A399" s="17">
        <f>IF(项目台账!$B398="","",项目台账!$A398)</f>
        <v/>
      </c>
      <c r="B399" s="17">
        <f>IF(项目台账!$B398="","",项目台账!$B398)</f>
        <v/>
      </c>
      <c r="C399" s="17">
        <f>IF($B399="","",IF(项目台账!$C398="","",项目台账!$C398))</f>
        <v/>
      </c>
      <c r="D399" s="17">
        <f>IF($B399="","",IF(项目台账!$D398="","",项目台账!$D398))</f>
        <v/>
      </c>
      <c r="E399" s="17">
        <f>IF($B399="","",IF(项目台账!$E398="","",项目台账!$E398))</f>
        <v/>
      </c>
      <c r="F399" s="23">
        <f>IF($B399="","",IF(项目台账!$F398="","",项目台账!$F398))</f>
        <v/>
      </c>
      <c r="G399" s="23">
        <f>IF($B399="","",IF(项目台账!$J398="","",项目台账!$J398))</f>
        <v/>
      </c>
      <c r="H399" s="17">
        <f>IF($B399="","",IF(项目台账!$Q398="","",项目台账!$Q398))</f>
        <v/>
      </c>
      <c r="I399" s="19">
        <f>IF($B399="","",项目台账!$M398)</f>
        <v/>
      </c>
      <c r="J399" s="19">
        <f>IF($B399="","",项目台账!$O398)</f>
        <v/>
      </c>
      <c r="K399" s="19">
        <f>IF($B399="","",项目台账!$P398)</f>
        <v/>
      </c>
      <c r="L399" s="19">
        <f>IF($B399="","",ROUND(SUMIFS(采购单!$L$4:$L$2003,采购单!$D$4:$D$2003,$B399,采购单!$F$4:$F$2003,"成本-主材")+SUMIFS(生产安装!$J$4:$J$1203,生产安装!$C$4:$C$1203,$B399,生产安装!$E$4:$E$1203,"成本-主材")+SUMIFS(资金日记账!$K$4:$K$2503,资金日记账!$G$4:$G$2503,$B399,资金日记账!$F$4:$F$2503,"成本-主材")-SUMIFS(资金日记账!$J$4:$J$2503,资金日记账!$G$4:$G$2503,$B399,资金日记账!$F$4:$F$2503,"成本-主材"),2))</f>
        <v/>
      </c>
      <c r="M399" s="19">
        <f>IF($B399="","",ROUND(SUMIFS(采购单!$L$4:$L$2003,采购单!$D$4:$D$2003,$B399,采购单!$F$4:$F$2003,"成本-辅材")+SUMIFS(生产安装!$J$4:$J$1203,生产安装!$C$4:$C$1203,$B399,生产安装!$E$4:$E$1203,"成本-辅材")+SUMIFS(资金日记账!$K$4:$K$2503,资金日记账!$G$4:$G$2503,$B399,资金日记账!$F$4:$F$2503,"成本-辅材")-SUMIFS(资金日记账!$J$4:$J$2503,资金日记账!$G$4:$G$2503,$B399,资金日记账!$F$4:$F$2503,"成本-辅材"),2))</f>
        <v/>
      </c>
      <c r="N399" s="19">
        <f>IF($B399="","",ROUND(SUMIFS(采购单!$L$4:$L$2003,采购单!$D$4:$D$2003,$B399,采购单!$F$4:$F$2003,"成本-人工")+SUMIFS(生产安装!$J$4:$J$1203,生产安装!$C$4:$C$1203,$B399,生产安装!$E$4:$E$1203,"成本-人工")+SUMIFS(资金日记账!$K$4:$K$2503,资金日记账!$G$4:$G$2503,$B399,资金日记账!$F$4:$F$2503,"成本-人工")-SUMIFS(资金日记账!$J$4:$J$2503,资金日记账!$G$4:$G$2503,$B399,资金日记账!$F$4:$F$2503,"成本-人工"),2))</f>
        <v/>
      </c>
      <c r="O399" s="19">
        <f>IF($B399="","",ROUND(SUMIFS(采购单!$L$4:$L$2003,采购单!$D$4:$D$2003,$B399,采购单!$F$4:$F$2003,"成本-车运")+SUMIFS(生产安装!$J$4:$J$1203,生产安装!$C$4:$C$1203,$B399,生产安装!$E$4:$E$1203,"成本-车运")+SUMIFS(资金日记账!$K$4:$K$2503,资金日记账!$G$4:$G$2503,$B399,资金日记账!$F$4:$F$2503,"成本-车运")-SUMIFS(资金日记账!$J$4:$J$2503,资金日记账!$G$4:$G$2503,$B399,资金日记账!$F$4:$F$2503,"成本-车运"),2))</f>
        <v/>
      </c>
      <c r="P399" s="19">
        <f>IF($B399="","",ROUND(SUMIFS(采购单!$L$4:$L$2003,采购单!$D$4:$D$2003,$B399,采购单!$F$4:$F$2003,"成本-其他")+SUMIFS(生产安装!$J$4:$J$1203,生产安装!$C$4:$C$1203,$B399,生产安装!$E$4:$E$1203,"成本-其他")+SUMIFS(资金日记账!$K$4:$K$2503,资金日记账!$G$4:$G$2503,$B399,资金日记账!$F$4:$F$2503,"成本-其他")-SUMIFS(资金日记账!$J$4:$J$2503,资金日记账!$G$4:$G$2503,$B399,资金日记账!$F$4:$F$2503,"成本-其他"),2))</f>
        <v/>
      </c>
      <c r="Q399" s="19">
        <f>IF($B399="","",ROUND(SUM($L399:$P399),2))</f>
        <v/>
      </c>
      <c r="R399" s="19">
        <f>IF($B399="","",ROUND($I399-$Q399,2))</f>
        <v/>
      </c>
      <c r="S399" s="33">
        <f>IF($B399="","",IF(ROUND($I399,2)=0,"",ROUND($R399/$I399,4)))</f>
        <v/>
      </c>
      <c r="T399" s="22">
        <f>IF($B399="","",IF($G399="",0,YEAR($G399)*100+MONTH($G399)))</f>
        <v/>
      </c>
      <c r="U399" s="17">
        <f>IF($B399="","",IF(项目台账!$R398="","",项目台账!$R398))</f>
        <v/>
      </c>
    </row>
    <row r="400">
      <c r="A400" s="17">
        <f>IF(项目台账!$B399="","",项目台账!$A399)</f>
        <v/>
      </c>
      <c r="B400" s="17">
        <f>IF(项目台账!$B399="","",项目台账!$B399)</f>
        <v/>
      </c>
      <c r="C400" s="17">
        <f>IF($B400="","",IF(项目台账!$C399="","",项目台账!$C399))</f>
        <v/>
      </c>
      <c r="D400" s="17">
        <f>IF($B400="","",IF(项目台账!$D399="","",项目台账!$D399))</f>
        <v/>
      </c>
      <c r="E400" s="17">
        <f>IF($B400="","",IF(项目台账!$E399="","",项目台账!$E399))</f>
        <v/>
      </c>
      <c r="F400" s="23">
        <f>IF($B400="","",IF(项目台账!$F399="","",项目台账!$F399))</f>
        <v/>
      </c>
      <c r="G400" s="23">
        <f>IF($B400="","",IF(项目台账!$J399="","",项目台账!$J399))</f>
        <v/>
      </c>
      <c r="H400" s="17">
        <f>IF($B400="","",IF(项目台账!$Q399="","",项目台账!$Q399))</f>
        <v/>
      </c>
      <c r="I400" s="19">
        <f>IF($B400="","",项目台账!$M399)</f>
        <v/>
      </c>
      <c r="J400" s="19">
        <f>IF($B400="","",项目台账!$O399)</f>
        <v/>
      </c>
      <c r="K400" s="19">
        <f>IF($B400="","",项目台账!$P399)</f>
        <v/>
      </c>
      <c r="L400" s="19">
        <f>IF($B400="","",ROUND(SUMIFS(采购单!$L$4:$L$2003,采购单!$D$4:$D$2003,$B400,采购单!$F$4:$F$2003,"成本-主材")+SUMIFS(生产安装!$J$4:$J$1203,生产安装!$C$4:$C$1203,$B400,生产安装!$E$4:$E$1203,"成本-主材")+SUMIFS(资金日记账!$K$4:$K$2503,资金日记账!$G$4:$G$2503,$B400,资金日记账!$F$4:$F$2503,"成本-主材")-SUMIFS(资金日记账!$J$4:$J$2503,资金日记账!$G$4:$G$2503,$B400,资金日记账!$F$4:$F$2503,"成本-主材"),2))</f>
        <v/>
      </c>
      <c r="M400" s="19">
        <f>IF($B400="","",ROUND(SUMIFS(采购单!$L$4:$L$2003,采购单!$D$4:$D$2003,$B400,采购单!$F$4:$F$2003,"成本-辅材")+SUMIFS(生产安装!$J$4:$J$1203,生产安装!$C$4:$C$1203,$B400,生产安装!$E$4:$E$1203,"成本-辅材")+SUMIFS(资金日记账!$K$4:$K$2503,资金日记账!$G$4:$G$2503,$B400,资金日记账!$F$4:$F$2503,"成本-辅材")-SUMIFS(资金日记账!$J$4:$J$2503,资金日记账!$G$4:$G$2503,$B400,资金日记账!$F$4:$F$2503,"成本-辅材"),2))</f>
        <v/>
      </c>
      <c r="N400" s="19">
        <f>IF($B400="","",ROUND(SUMIFS(采购单!$L$4:$L$2003,采购单!$D$4:$D$2003,$B400,采购单!$F$4:$F$2003,"成本-人工")+SUMIFS(生产安装!$J$4:$J$1203,生产安装!$C$4:$C$1203,$B400,生产安装!$E$4:$E$1203,"成本-人工")+SUMIFS(资金日记账!$K$4:$K$2503,资金日记账!$G$4:$G$2503,$B400,资金日记账!$F$4:$F$2503,"成本-人工")-SUMIFS(资金日记账!$J$4:$J$2503,资金日记账!$G$4:$G$2503,$B400,资金日记账!$F$4:$F$2503,"成本-人工"),2))</f>
        <v/>
      </c>
      <c r="O400" s="19">
        <f>IF($B400="","",ROUND(SUMIFS(采购单!$L$4:$L$2003,采购单!$D$4:$D$2003,$B400,采购单!$F$4:$F$2003,"成本-车运")+SUMIFS(生产安装!$J$4:$J$1203,生产安装!$C$4:$C$1203,$B400,生产安装!$E$4:$E$1203,"成本-车运")+SUMIFS(资金日记账!$K$4:$K$2503,资金日记账!$G$4:$G$2503,$B400,资金日记账!$F$4:$F$2503,"成本-车运")-SUMIFS(资金日记账!$J$4:$J$2503,资金日记账!$G$4:$G$2503,$B400,资金日记账!$F$4:$F$2503,"成本-车运"),2))</f>
        <v/>
      </c>
      <c r="P400" s="19">
        <f>IF($B400="","",ROUND(SUMIFS(采购单!$L$4:$L$2003,采购单!$D$4:$D$2003,$B400,采购单!$F$4:$F$2003,"成本-其他")+SUMIFS(生产安装!$J$4:$J$1203,生产安装!$C$4:$C$1203,$B400,生产安装!$E$4:$E$1203,"成本-其他")+SUMIFS(资金日记账!$K$4:$K$2503,资金日记账!$G$4:$G$2503,$B400,资金日记账!$F$4:$F$2503,"成本-其他")-SUMIFS(资金日记账!$J$4:$J$2503,资金日记账!$G$4:$G$2503,$B400,资金日记账!$F$4:$F$2503,"成本-其他"),2))</f>
        <v/>
      </c>
      <c r="Q400" s="19">
        <f>IF($B400="","",ROUND(SUM($L400:$P400),2))</f>
        <v/>
      </c>
      <c r="R400" s="19">
        <f>IF($B400="","",ROUND($I400-$Q400,2))</f>
        <v/>
      </c>
      <c r="S400" s="33">
        <f>IF($B400="","",IF(ROUND($I400,2)=0,"",ROUND($R400/$I400,4)))</f>
        <v/>
      </c>
      <c r="T400" s="22">
        <f>IF($B400="","",IF($G400="",0,YEAR($G400)*100+MONTH($G400)))</f>
        <v/>
      </c>
      <c r="U400" s="17">
        <f>IF($B400="","",IF(项目台账!$R399="","",项目台账!$R399))</f>
        <v/>
      </c>
    </row>
    <row r="401">
      <c r="A401" s="17">
        <f>IF(项目台账!$B400="","",项目台账!$A400)</f>
        <v/>
      </c>
      <c r="B401" s="17">
        <f>IF(项目台账!$B400="","",项目台账!$B400)</f>
        <v/>
      </c>
      <c r="C401" s="17">
        <f>IF($B401="","",IF(项目台账!$C400="","",项目台账!$C400))</f>
        <v/>
      </c>
      <c r="D401" s="17">
        <f>IF($B401="","",IF(项目台账!$D400="","",项目台账!$D400))</f>
        <v/>
      </c>
      <c r="E401" s="17">
        <f>IF($B401="","",IF(项目台账!$E400="","",项目台账!$E400))</f>
        <v/>
      </c>
      <c r="F401" s="23">
        <f>IF($B401="","",IF(项目台账!$F400="","",项目台账!$F400))</f>
        <v/>
      </c>
      <c r="G401" s="23">
        <f>IF($B401="","",IF(项目台账!$J400="","",项目台账!$J400))</f>
        <v/>
      </c>
      <c r="H401" s="17">
        <f>IF($B401="","",IF(项目台账!$Q400="","",项目台账!$Q400))</f>
        <v/>
      </c>
      <c r="I401" s="19">
        <f>IF($B401="","",项目台账!$M400)</f>
        <v/>
      </c>
      <c r="J401" s="19">
        <f>IF($B401="","",项目台账!$O400)</f>
        <v/>
      </c>
      <c r="K401" s="19">
        <f>IF($B401="","",项目台账!$P400)</f>
        <v/>
      </c>
      <c r="L401" s="19">
        <f>IF($B401="","",ROUND(SUMIFS(采购单!$L$4:$L$2003,采购单!$D$4:$D$2003,$B401,采购单!$F$4:$F$2003,"成本-主材")+SUMIFS(生产安装!$J$4:$J$1203,生产安装!$C$4:$C$1203,$B401,生产安装!$E$4:$E$1203,"成本-主材")+SUMIFS(资金日记账!$K$4:$K$2503,资金日记账!$G$4:$G$2503,$B401,资金日记账!$F$4:$F$2503,"成本-主材")-SUMIFS(资金日记账!$J$4:$J$2503,资金日记账!$G$4:$G$2503,$B401,资金日记账!$F$4:$F$2503,"成本-主材"),2))</f>
        <v/>
      </c>
      <c r="M401" s="19">
        <f>IF($B401="","",ROUND(SUMIFS(采购单!$L$4:$L$2003,采购单!$D$4:$D$2003,$B401,采购单!$F$4:$F$2003,"成本-辅材")+SUMIFS(生产安装!$J$4:$J$1203,生产安装!$C$4:$C$1203,$B401,生产安装!$E$4:$E$1203,"成本-辅材")+SUMIFS(资金日记账!$K$4:$K$2503,资金日记账!$G$4:$G$2503,$B401,资金日记账!$F$4:$F$2503,"成本-辅材")-SUMIFS(资金日记账!$J$4:$J$2503,资金日记账!$G$4:$G$2503,$B401,资金日记账!$F$4:$F$2503,"成本-辅材"),2))</f>
        <v/>
      </c>
      <c r="N401" s="19">
        <f>IF($B401="","",ROUND(SUMIFS(采购单!$L$4:$L$2003,采购单!$D$4:$D$2003,$B401,采购单!$F$4:$F$2003,"成本-人工")+SUMIFS(生产安装!$J$4:$J$1203,生产安装!$C$4:$C$1203,$B401,生产安装!$E$4:$E$1203,"成本-人工")+SUMIFS(资金日记账!$K$4:$K$2503,资金日记账!$G$4:$G$2503,$B401,资金日记账!$F$4:$F$2503,"成本-人工")-SUMIFS(资金日记账!$J$4:$J$2503,资金日记账!$G$4:$G$2503,$B401,资金日记账!$F$4:$F$2503,"成本-人工"),2))</f>
        <v/>
      </c>
      <c r="O401" s="19">
        <f>IF($B401="","",ROUND(SUMIFS(采购单!$L$4:$L$2003,采购单!$D$4:$D$2003,$B401,采购单!$F$4:$F$2003,"成本-车运")+SUMIFS(生产安装!$J$4:$J$1203,生产安装!$C$4:$C$1203,$B401,生产安装!$E$4:$E$1203,"成本-车运")+SUMIFS(资金日记账!$K$4:$K$2503,资金日记账!$G$4:$G$2503,$B401,资金日记账!$F$4:$F$2503,"成本-车运")-SUMIFS(资金日记账!$J$4:$J$2503,资金日记账!$G$4:$G$2503,$B401,资金日记账!$F$4:$F$2503,"成本-车运"),2))</f>
        <v/>
      </c>
      <c r="P401" s="19">
        <f>IF($B401="","",ROUND(SUMIFS(采购单!$L$4:$L$2003,采购单!$D$4:$D$2003,$B401,采购单!$F$4:$F$2003,"成本-其他")+SUMIFS(生产安装!$J$4:$J$1203,生产安装!$C$4:$C$1203,$B401,生产安装!$E$4:$E$1203,"成本-其他")+SUMIFS(资金日记账!$K$4:$K$2503,资金日记账!$G$4:$G$2503,$B401,资金日记账!$F$4:$F$2503,"成本-其他")-SUMIFS(资金日记账!$J$4:$J$2503,资金日记账!$G$4:$G$2503,$B401,资金日记账!$F$4:$F$2503,"成本-其他"),2))</f>
        <v/>
      </c>
      <c r="Q401" s="19">
        <f>IF($B401="","",ROUND(SUM($L401:$P401),2))</f>
        <v/>
      </c>
      <c r="R401" s="19">
        <f>IF($B401="","",ROUND($I401-$Q401,2))</f>
        <v/>
      </c>
      <c r="S401" s="33">
        <f>IF($B401="","",IF(ROUND($I401,2)=0,"",ROUND($R401/$I401,4)))</f>
        <v/>
      </c>
      <c r="T401" s="22">
        <f>IF($B401="","",IF($G401="",0,YEAR($G401)*100+MONTH($G401)))</f>
        <v/>
      </c>
      <c r="U401" s="17">
        <f>IF($B401="","",IF(项目台账!$R400="","",项目台账!$R400))</f>
        <v/>
      </c>
    </row>
    <row r="402">
      <c r="A402" s="17">
        <f>IF(项目台账!$B401="","",项目台账!$A401)</f>
        <v/>
      </c>
      <c r="B402" s="17">
        <f>IF(项目台账!$B401="","",项目台账!$B401)</f>
        <v/>
      </c>
      <c r="C402" s="17">
        <f>IF($B402="","",IF(项目台账!$C401="","",项目台账!$C401))</f>
        <v/>
      </c>
      <c r="D402" s="17">
        <f>IF($B402="","",IF(项目台账!$D401="","",项目台账!$D401))</f>
        <v/>
      </c>
      <c r="E402" s="17">
        <f>IF($B402="","",IF(项目台账!$E401="","",项目台账!$E401))</f>
        <v/>
      </c>
      <c r="F402" s="23">
        <f>IF($B402="","",IF(项目台账!$F401="","",项目台账!$F401))</f>
        <v/>
      </c>
      <c r="G402" s="23">
        <f>IF($B402="","",IF(项目台账!$J401="","",项目台账!$J401))</f>
        <v/>
      </c>
      <c r="H402" s="17">
        <f>IF($B402="","",IF(项目台账!$Q401="","",项目台账!$Q401))</f>
        <v/>
      </c>
      <c r="I402" s="19">
        <f>IF($B402="","",项目台账!$M401)</f>
        <v/>
      </c>
      <c r="J402" s="19">
        <f>IF($B402="","",项目台账!$O401)</f>
        <v/>
      </c>
      <c r="K402" s="19">
        <f>IF($B402="","",项目台账!$P401)</f>
        <v/>
      </c>
      <c r="L402" s="19">
        <f>IF($B402="","",ROUND(SUMIFS(采购单!$L$4:$L$2003,采购单!$D$4:$D$2003,$B402,采购单!$F$4:$F$2003,"成本-主材")+SUMIFS(生产安装!$J$4:$J$1203,生产安装!$C$4:$C$1203,$B402,生产安装!$E$4:$E$1203,"成本-主材")+SUMIFS(资金日记账!$K$4:$K$2503,资金日记账!$G$4:$G$2503,$B402,资金日记账!$F$4:$F$2503,"成本-主材")-SUMIFS(资金日记账!$J$4:$J$2503,资金日记账!$G$4:$G$2503,$B402,资金日记账!$F$4:$F$2503,"成本-主材"),2))</f>
        <v/>
      </c>
      <c r="M402" s="19">
        <f>IF($B402="","",ROUND(SUMIFS(采购单!$L$4:$L$2003,采购单!$D$4:$D$2003,$B402,采购单!$F$4:$F$2003,"成本-辅材")+SUMIFS(生产安装!$J$4:$J$1203,生产安装!$C$4:$C$1203,$B402,生产安装!$E$4:$E$1203,"成本-辅材")+SUMIFS(资金日记账!$K$4:$K$2503,资金日记账!$G$4:$G$2503,$B402,资金日记账!$F$4:$F$2503,"成本-辅材")-SUMIFS(资金日记账!$J$4:$J$2503,资金日记账!$G$4:$G$2503,$B402,资金日记账!$F$4:$F$2503,"成本-辅材"),2))</f>
        <v/>
      </c>
      <c r="N402" s="19">
        <f>IF($B402="","",ROUND(SUMIFS(采购单!$L$4:$L$2003,采购单!$D$4:$D$2003,$B402,采购单!$F$4:$F$2003,"成本-人工")+SUMIFS(生产安装!$J$4:$J$1203,生产安装!$C$4:$C$1203,$B402,生产安装!$E$4:$E$1203,"成本-人工")+SUMIFS(资金日记账!$K$4:$K$2503,资金日记账!$G$4:$G$2503,$B402,资金日记账!$F$4:$F$2503,"成本-人工")-SUMIFS(资金日记账!$J$4:$J$2503,资金日记账!$G$4:$G$2503,$B402,资金日记账!$F$4:$F$2503,"成本-人工"),2))</f>
        <v/>
      </c>
      <c r="O402" s="19">
        <f>IF($B402="","",ROUND(SUMIFS(采购单!$L$4:$L$2003,采购单!$D$4:$D$2003,$B402,采购单!$F$4:$F$2003,"成本-车运")+SUMIFS(生产安装!$J$4:$J$1203,生产安装!$C$4:$C$1203,$B402,生产安装!$E$4:$E$1203,"成本-车运")+SUMIFS(资金日记账!$K$4:$K$2503,资金日记账!$G$4:$G$2503,$B402,资金日记账!$F$4:$F$2503,"成本-车运")-SUMIFS(资金日记账!$J$4:$J$2503,资金日记账!$G$4:$G$2503,$B402,资金日记账!$F$4:$F$2503,"成本-车运"),2))</f>
        <v/>
      </c>
      <c r="P402" s="19">
        <f>IF($B402="","",ROUND(SUMIFS(采购单!$L$4:$L$2003,采购单!$D$4:$D$2003,$B402,采购单!$F$4:$F$2003,"成本-其他")+SUMIFS(生产安装!$J$4:$J$1203,生产安装!$C$4:$C$1203,$B402,生产安装!$E$4:$E$1203,"成本-其他")+SUMIFS(资金日记账!$K$4:$K$2503,资金日记账!$G$4:$G$2503,$B402,资金日记账!$F$4:$F$2503,"成本-其他")-SUMIFS(资金日记账!$J$4:$J$2503,资金日记账!$G$4:$G$2503,$B402,资金日记账!$F$4:$F$2503,"成本-其他"),2))</f>
        <v/>
      </c>
      <c r="Q402" s="19">
        <f>IF($B402="","",ROUND(SUM($L402:$P402),2))</f>
        <v/>
      </c>
      <c r="R402" s="19">
        <f>IF($B402="","",ROUND($I402-$Q402,2))</f>
        <v/>
      </c>
      <c r="S402" s="33">
        <f>IF($B402="","",IF(ROUND($I402,2)=0,"",ROUND($R402/$I402,4)))</f>
        <v/>
      </c>
      <c r="T402" s="22">
        <f>IF($B402="","",IF($G402="",0,YEAR($G402)*100+MONTH($G402)))</f>
        <v/>
      </c>
      <c r="U402" s="17">
        <f>IF($B402="","",IF(项目台账!$R401="","",项目台账!$R401))</f>
        <v/>
      </c>
    </row>
    <row r="403">
      <c r="A403" s="17">
        <f>IF(项目台账!$B402="","",项目台账!$A402)</f>
        <v/>
      </c>
      <c r="B403" s="17">
        <f>IF(项目台账!$B402="","",项目台账!$B402)</f>
        <v/>
      </c>
      <c r="C403" s="17">
        <f>IF($B403="","",IF(项目台账!$C402="","",项目台账!$C402))</f>
        <v/>
      </c>
      <c r="D403" s="17">
        <f>IF($B403="","",IF(项目台账!$D402="","",项目台账!$D402))</f>
        <v/>
      </c>
      <c r="E403" s="17">
        <f>IF($B403="","",IF(项目台账!$E402="","",项目台账!$E402))</f>
        <v/>
      </c>
      <c r="F403" s="23">
        <f>IF($B403="","",IF(项目台账!$F402="","",项目台账!$F402))</f>
        <v/>
      </c>
      <c r="G403" s="23">
        <f>IF($B403="","",IF(项目台账!$J402="","",项目台账!$J402))</f>
        <v/>
      </c>
      <c r="H403" s="17">
        <f>IF($B403="","",IF(项目台账!$Q402="","",项目台账!$Q402))</f>
        <v/>
      </c>
      <c r="I403" s="19">
        <f>IF($B403="","",项目台账!$M402)</f>
        <v/>
      </c>
      <c r="J403" s="19">
        <f>IF($B403="","",项目台账!$O402)</f>
        <v/>
      </c>
      <c r="K403" s="19">
        <f>IF($B403="","",项目台账!$P402)</f>
        <v/>
      </c>
      <c r="L403" s="19">
        <f>IF($B403="","",ROUND(SUMIFS(采购单!$L$4:$L$2003,采购单!$D$4:$D$2003,$B403,采购单!$F$4:$F$2003,"成本-主材")+SUMIFS(生产安装!$J$4:$J$1203,生产安装!$C$4:$C$1203,$B403,生产安装!$E$4:$E$1203,"成本-主材")+SUMIFS(资金日记账!$K$4:$K$2503,资金日记账!$G$4:$G$2503,$B403,资金日记账!$F$4:$F$2503,"成本-主材")-SUMIFS(资金日记账!$J$4:$J$2503,资金日记账!$G$4:$G$2503,$B403,资金日记账!$F$4:$F$2503,"成本-主材"),2))</f>
        <v/>
      </c>
      <c r="M403" s="19">
        <f>IF($B403="","",ROUND(SUMIFS(采购单!$L$4:$L$2003,采购单!$D$4:$D$2003,$B403,采购单!$F$4:$F$2003,"成本-辅材")+SUMIFS(生产安装!$J$4:$J$1203,生产安装!$C$4:$C$1203,$B403,生产安装!$E$4:$E$1203,"成本-辅材")+SUMIFS(资金日记账!$K$4:$K$2503,资金日记账!$G$4:$G$2503,$B403,资金日记账!$F$4:$F$2503,"成本-辅材")-SUMIFS(资金日记账!$J$4:$J$2503,资金日记账!$G$4:$G$2503,$B403,资金日记账!$F$4:$F$2503,"成本-辅材"),2))</f>
        <v/>
      </c>
      <c r="N403" s="19">
        <f>IF($B403="","",ROUND(SUMIFS(采购单!$L$4:$L$2003,采购单!$D$4:$D$2003,$B403,采购单!$F$4:$F$2003,"成本-人工")+SUMIFS(生产安装!$J$4:$J$1203,生产安装!$C$4:$C$1203,$B403,生产安装!$E$4:$E$1203,"成本-人工")+SUMIFS(资金日记账!$K$4:$K$2503,资金日记账!$G$4:$G$2503,$B403,资金日记账!$F$4:$F$2503,"成本-人工")-SUMIFS(资金日记账!$J$4:$J$2503,资金日记账!$G$4:$G$2503,$B403,资金日记账!$F$4:$F$2503,"成本-人工"),2))</f>
        <v/>
      </c>
      <c r="O403" s="19">
        <f>IF($B403="","",ROUND(SUMIFS(采购单!$L$4:$L$2003,采购单!$D$4:$D$2003,$B403,采购单!$F$4:$F$2003,"成本-车运")+SUMIFS(生产安装!$J$4:$J$1203,生产安装!$C$4:$C$1203,$B403,生产安装!$E$4:$E$1203,"成本-车运")+SUMIFS(资金日记账!$K$4:$K$2503,资金日记账!$G$4:$G$2503,$B403,资金日记账!$F$4:$F$2503,"成本-车运")-SUMIFS(资金日记账!$J$4:$J$2503,资金日记账!$G$4:$G$2503,$B403,资金日记账!$F$4:$F$2503,"成本-车运"),2))</f>
        <v/>
      </c>
      <c r="P403" s="19">
        <f>IF($B403="","",ROUND(SUMIFS(采购单!$L$4:$L$2003,采购单!$D$4:$D$2003,$B403,采购单!$F$4:$F$2003,"成本-其他")+SUMIFS(生产安装!$J$4:$J$1203,生产安装!$C$4:$C$1203,$B403,生产安装!$E$4:$E$1203,"成本-其他")+SUMIFS(资金日记账!$K$4:$K$2503,资金日记账!$G$4:$G$2503,$B403,资金日记账!$F$4:$F$2503,"成本-其他")-SUMIFS(资金日记账!$J$4:$J$2503,资金日记账!$G$4:$G$2503,$B403,资金日记账!$F$4:$F$2503,"成本-其他"),2))</f>
        <v/>
      </c>
      <c r="Q403" s="19">
        <f>IF($B403="","",ROUND(SUM($L403:$P403),2))</f>
        <v/>
      </c>
      <c r="R403" s="19">
        <f>IF($B403="","",ROUND($I403-$Q403,2))</f>
        <v/>
      </c>
      <c r="S403" s="33">
        <f>IF($B403="","",IF(ROUND($I403,2)=0,"",ROUND($R403/$I403,4)))</f>
        <v/>
      </c>
      <c r="T403" s="22">
        <f>IF($B403="","",IF($G403="",0,YEAR($G403)*100+MONTH($G403)))</f>
        <v/>
      </c>
      <c r="U403" s="17">
        <f>IF($B403="","",IF(项目台账!$R402="","",项目台账!$R402))</f>
        <v/>
      </c>
    </row>
    <row r="404">
      <c r="A404" s="17">
        <f>IF(项目台账!$B403="","",项目台账!$A403)</f>
        <v/>
      </c>
      <c r="B404" s="17">
        <f>IF(项目台账!$B403="","",项目台账!$B403)</f>
        <v/>
      </c>
      <c r="C404" s="17">
        <f>IF($B404="","",IF(项目台账!$C403="","",项目台账!$C403))</f>
        <v/>
      </c>
      <c r="D404" s="17">
        <f>IF($B404="","",IF(项目台账!$D403="","",项目台账!$D403))</f>
        <v/>
      </c>
      <c r="E404" s="17">
        <f>IF($B404="","",IF(项目台账!$E403="","",项目台账!$E403))</f>
        <v/>
      </c>
      <c r="F404" s="23">
        <f>IF($B404="","",IF(项目台账!$F403="","",项目台账!$F403))</f>
        <v/>
      </c>
      <c r="G404" s="23">
        <f>IF($B404="","",IF(项目台账!$J403="","",项目台账!$J403))</f>
        <v/>
      </c>
      <c r="H404" s="17">
        <f>IF($B404="","",IF(项目台账!$Q403="","",项目台账!$Q403))</f>
        <v/>
      </c>
      <c r="I404" s="19">
        <f>IF($B404="","",项目台账!$M403)</f>
        <v/>
      </c>
      <c r="J404" s="19">
        <f>IF($B404="","",项目台账!$O403)</f>
        <v/>
      </c>
      <c r="K404" s="19">
        <f>IF($B404="","",项目台账!$P403)</f>
        <v/>
      </c>
      <c r="L404" s="19">
        <f>IF($B404="","",ROUND(SUMIFS(采购单!$L$4:$L$2003,采购单!$D$4:$D$2003,$B404,采购单!$F$4:$F$2003,"成本-主材")+SUMIFS(生产安装!$J$4:$J$1203,生产安装!$C$4:$C$1203,$B404,生产安装!$E$4:$E$1203,"成本-主材")+SUMIFS(资金日记账!$K$4:$K$2503,资金日记账!$G$4:$G$2503,$B404,资金日记账!$F$4:$F$2503,"成本-主材")-SUMIFS(资金日记账!$J$4:$J$2503,资金日记账!$G$4:$G$2503,$B404,资金日记账!$F$4:$F$2503,"成本-主材"),2))</f>
        <v/>
      </c>
      <c r="M404" s="19">
        <f>IF($B404="","",ROUND(SUMIFS(采购单!$L$4:$L$2003,采购单!$D$4:$D$2003,$B404,采购单!$F$4:$F$2003,"成本-辅材")+SUMIFS(生产安装!$J$4:$J$1203,生产安装!$C$4:$C$1203,$B404,生产安装!$E$4:$E$1203,"成本-辅材")+SUMIFS(资金日记账!$K$4:$K$2503,资金日记账!$G$4:$G$2503,$B404,资金日记账!$F$4:$F$2503,"成本-辅材")-SUMIFS(资金日记账!$J$4:$J$2503,资金日记账!$G$4:$G$2503,$B404,资金日记账!$F$4:$F$2503,"成本-辅材"),2))</f>
        <v/>
      </c>
      <c r="N404" s="19">
        <f>IF($B404="","",ROUND(SUMIFS(采购单!$L$4:$L$2003,采购单!$D$4:$D$2003,$B404,采购单!$F$4:$F$2003,"成本-人工")+SUMIFS(生产安装!$J$4:$J$1203,生产安装!$C$4:$C$1203,$B404,生产安装!$E$4:$E$1203,"成本-人工")+SUMIFS(资金日记账!$K$4:$K$2503,资金日记账!$G$4:$G$2503,$B404,资金日记账!$F$4:$F$2503,"成本-人工")-SUMIFS(资金日记账!$J$4:$J$2503,资金日记账!$G$4:$G$2503,$B404,资金日记账!$F$4:$F$2503,"成本-人工"),2))</f>
        <v/>
      </c>
      <c r="O404" s="19">
        <f>IF($B404="","",ROUND(SUMIFS(采购单!$L$4:$L$2003,采购单!$D$4:$D$2003,$B404,采购单!$F$4:$F$2003,"成本-车运")+SUMIFS(生产安装!$J$4:$J$1203,生产安装!$C$4:$C$1203,$B404,生产安装!$E$4:$E$1203,"成本-车运")+SUMIFS(资金日记账!$K$4:$K$2503,资金日记账!$G$4:$G$2503,$B404,资金日记账!$F$4:$F$2503,"成本-车运")-SUMIFS(资金日记账!$J$4:$J$2503,资金日记账!$G$4:$G$2503,$B404,资金日记账!$F$4:$F$2503,"成本-车运"),2))</f>
        <v/>
      </c>
      <c r="P404" s="19">
        <f>IF($B404="","",ROUND(SUMIFS(采购单!$L$4:$L$2003,采购单!$D$4:$D$2003,$B404,采购单!$F$4:$F$2003,"成本-其他")+SUMIFS(生产安装!$J$4:$J$1203,生产安装!$C$4:$C$1203,$B404,生产安装!$E$4:$E$1203,"成本-其他")+SUMIFS(资金日记账!$K$4:$K$2503,资金日记账!$G$4:$G$2503,$B404,资金日记账!$F$4:$F$2503,"成本-其他")-SUMIFS(资金日记账!$J$4:$J$2503,资金日记账!$G$4:$G$2503,$B404,资金日记账!$F$4:$F$2503,"成本-其他"),2))</f>
        <v/>
      </c>
      <c r="Q404" s="19">
        <f>IF($B404="","",ROUND(SUM($L404:$P404),2))</f>
        <v/>
      </c>
      <c r="R404" s="19">
        <f>IF($B404="","",ROUND($I404-$Q404,2))</f>
        <v/>
      </c>
      <c r="S404" s="33">
        <f>IF($B404="","",IF(ROUND($I404,2)=0,"",ROUND($R404/$I404,4)))</f>
        <v/>
      </c>
      <c r="T404" s="22">
        <f>IF($B404="","",IF($G404="",0,YEAR($G404)*100+MONTH($G404)))</f>
        <v/>
      </c>
      <c r="U404" s="17">
        <f>IF($B404="","",IF(项目台账!$R403="","",项目台账!$R403))</f>
        <v/>
      </c>
    </row>
  </sheetData>
  <autoFilter ref="A3:U404"/>
  <mergeCells count="2">
    <mergeCell ref="A1:U1"/>
    <mergeCell ref="A2:U2"/>
  </mergeCells>
  <conditionalFormatting sqref="R5:R404">
    <cfRule type="cellIs" priority="1" operator="lessThan" dxfId="3">
      <formula>0</formula>
    </cfRule>
  </conditionalFormatting>
  <conditionalFormatting sqref="K5:K404">
    <cfRule type="cellIs" priority="2" operator="greaterThan" dxfId="4">
      <formula>0.004</formula>
    </cfRule>
    <cfRule type="cellIs" priority="3" operator="lessThan" dxfId="5">
      <formula>-0.004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N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1" t="inlineStr">
        <is>
          <t>利润表 · 自动，不用填</t>
        </is>
      </c>
    </row>
    <row r="2" ht="22" customHeight="1">
      <c r="A2" s="2" t="inlineStr">
        <is>
          <t>收入按项目「完工日期」所在月份确认，成本跟着同一个项目走，所以毛利是配得上的。改左上角的年份就能看别的年度。没填完工日期的项目算「在制」，不进这张表，在下面的补充信息里看。</t>
        </is>
      </c>
    </row>
    <row r="3">
      <c r="A3" s="21" t="inlineStr">
        <is>
          <t>年份 →</t>
        </is>
      </c>
      <c r="B3" s="21" t="inlineStr">
        <is>
          <t>1月</t>
        </is>
      </c>
      <c r="C3" s="21" t="inlineStr">
        <is>
          <t>2月</t>
        </is>
      </c>
      <c r="D3" s="21" t="inlineStr">
        <is>
          <t>3月</t>
        </is>
      </c>
      <c r="E3" s="21" t="inlineStr">
        <is>
          <t>4月</t>
        </is>
      </c>
      <c r="F3" s="21" t="inlineStr">
        <is>
          <t>5月</t>
        </is>
      </c>
      <c r="G3" s="21" t="inlineStr">
        <is>
          <t>6月</t>
        </is>
      </c>
      <c r="H3" s="21" t="inlineStr">
        <is>
          <t>7月</t>
        </is>
      </c>
      <c r="I3" s="21" t="inlineStr">
        <is>
          <t>8月</t>
        </is>
      </c>
      <c r="J3" s="21" t="inlineStr">
        <is>
          <t>9月</t>
        </is>
      </c>
      <c r="K3" s="21" t="inlineStr">
        <is>
          <t>10月</t>
        </is>
      </c>
      <c r="L3" s="21" t="inlineStr">
        <is>
          <t>11月</t>
        </is>
      </c>
      <c r="M3" s="21" t="inlineStr">
        <is>
          <t>12月</t>
        </is>
      </c>
      <c r="N3" s="21" t="inlineStr">
        <is>
          <t>全年合计</t>
        </is>
      </c>
    </row>
    <row r="4" hidden="1">
      <c r="A4" s="34" t="n">
        <v>2026</v>
      </c>
      <c r="B4" s="22">
        <f>$A$4*100+1</f>
        <v/>
      </c>
      <c r="C4" s="22">
        <f>$A$4*100+2</f>
        <v/>
      </c>
      <c r="D4" s="22">
        <f>$A$4*100+3</f>
        <v/>
      </c>
      <c r="E4" s="22">
        <f>$A$4*100+4</f>
        <v/>
      </c>
      <c r="F4" s="22">
        <f>$A$4*100+5</f>
        <v/>
      </c>
      <c r="G4" s="22">
        <f>$A$4*100+6</f>
        <v/>
      </c>
      <c r="H4" s="22">
        <f>$A$4*100+7</f>
        <v/>
      </c>
      <c r="I4" s="22">
        <f>$A$4*100+8</f>
        <v/>
      </c>
      <c r="J4" s="22">
        <f>$A$4*100+9</f>
        <v/>
      </c>
      <c r="K4" s="22">
        <f>$A$4*100+10</f>
        <v/>
      </c>
      <c r="L4" s="22">
        <f>$A$4*100+11</f>
        <v/>
      </c>
      <c r="M4" s="22">
        <f>$A$4*100+12</f>
        <v/>
      </c>
      <c r="N4" s="35" t="inlineStr">
        <is>
          <t>—</t>
        </is>
      </c>
    </row>
    <row r="5" ht="19" customHeight="1">
      <c r="A5" s="36" t="inlineStr">
        <is>
          <t>一、营业收入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</row>
    <row r="6" ht="19" customHeight="1">
      <c r="A6" s="38" t="inlineStr">
        <is>
          <t xml:space="preserve">　　1. 主营业务收入（完工项目）</t>
        </is>
      </c>
      <c r="B6" s="39">
        <f>ROUND(SUMIF(项目核算!$T$5:$T$404,B$4,项目核算!$I$5:$I$404),2)</f>
        <v/>
      </c>
      <c r="C6" s="39">
        <f>ROUND(SUMIF(项目核算!$T$5:$T$404,C$4,项目核算!$I$5:$I$404),2)</f>
        <v/>
      </c>
      <c r="D6" s="39">
        <f>ROUND(SUMIF(项目核算!$T$5:$T$404,D$4,项目核算!$I$5:$I$404),2)</f>
        <v/>
      </c>
      <c r="E6" s="39">
        <f>ROUND(SUMIF(项目核算!$T$5:$T$404,E$4,项目核算!$I$5:$I$404),2)</f>
        <v/>
      </c>
      <c r="F6" s="39">
        <f>ROUND(SUMIF(项目核算!$T$5:$T$404,F$4,项目核算!$I$5:$I$404),2)</f>
        <v/>
      </c>
      <c r="G6" s="39">
        <f>ROUND(SUMIF(项目核算!$T$5:$T$404,G$4,项目核算!$I$5:$I$404),2)</f>
        <v/>
      </c>
      <c r="H6" s="39">
        <f>ROUND(SUMIF(项目核算!$T$5:$T$404,H$4,项目核算!$I$5:$I$404),2)</f>
        <v/>
      </c>
      <c r="I6" s="39">
        <f>ROUND(SUMIF(项目核算!$T$5:$T$404,I$4,项目核算!$I$5:$I$404),2)</f>
        <v/>
      </c>
      <c r="J6" s="39">
        <f>ROUND(SUMIF(项目核算!$T$5:$T$404,J$4,项目核算!$I$5:$I$404),2)</f>
        <v/>
      </c>
      <c r="K6" s="39">
        <f>ROUND(SUMIF(项目核算!$T$5:$T$404,K$4,项目核算!$I$5:$I$404),2)</f>
        <v/>
      </c>
      <c r="L6" s="39">
        <f>ROUND(SUMIF(项目核算!$T$5:$T$404,L$4,项目核算!$I$5:$I$404),2)</f>
        <v/>
      </c>
      <c r="M6" s="39">
        <f>ROUND(SUMIF(项目核算!$T$5:$T$404,M$4,项目核算!$I$5:$I$404),2)</f>
        <v/>
      </c>
      <c r="N6" s="39">
        <f>ROUND(SUM(B6:M6),2)</f>
        <v/>
      </c>
    </row>
    <row r="7" ht="19" customHeight="1">
      <c r="A7" s="38" t="inlineStr">
        <is>
          <t xml:space="preserve">　　2. 其他业务收入</t>
        </is>
      </c>
      <c r="B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C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D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E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F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G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H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I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J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K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L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M7" s="39">
        <f>ROUND(SUMIFS(资金日记账!$J$4:$J$2503,资金日记账!$F$4:$F$2503,"收入-其他",资金日记账!$B$4:$B$2503,"&gt;="&amp;DATE($A$4,COLUMN()-1,1),资金日记账!$B$4:$B$2503,"&lt;="&amp;EOMONTH(DATE($A$4,COLUMN()-1,1),0))-SUMIFS(资金日记账!$K$4:$K$2503,资金日记账!$F$4:$F$2503,"收入-其他",资金日记账!$B$4:$B$2503,"&gt;="&amp;DATE($A$4,COLUMN()-1,1),资金日记账!$B$4:$B$2503,"&lt;="&amp;EOMONTH(DATE($A$4,COLUMN()-1,1),0)),2)</f>
        <v/>
      </c>
      <c r="N7" s="39">
        <f>ROUND(SUM(B7:M7),2)</f>
        <v/>
      </c>
    </row>
    <row r="8" ht="19" customHeight="1">
      <c r="A8" s="40" t="inlineStr">
        <is>
          <t xml:space="preserve">　　营业收入合计</t>
        </is>
      </c>
      <c r="B8" s="31">
        <f>B6+B7</f>
        <v/>
      </c>
      <c r="C8" s="31">
        <f>C6+C7</f>
        <v/>
      </c>
      <c r="D8" s="31">
        <f>D6+D7</f>
        <v/>
      </c>
      <c r="E8" s="31">
        <f>E6+E7</f>
        <v/>
      </c>
      <c r="F8" s="31">
        <f>F6+F7</f>
        <v/>
      </c>
      <c r="G8" s="31">
        <f>G6+G7</f>
        <v/>
      </c>
      <c r="H8" s="31">
        <f>H6+H7</f>
        <v/>
      </c>
      <c r="I8" s="31">
        <f>I6+I7</f>
        <v/>
      </c>
      <c r="J8" s="31">
        <f>J6+J7</f>
        <v/>
      </c>
      <c r="K8" s="31">
        <f>K6+K7</f>
        <v/>
      </c>
      <c r="L8" s="31">
        <f>L6+L7</f>
        <v/>
      </c>
      <c r="M8" s="31">
        <f>M6+M7</f>
        <v/>
      </c>
      <c r="N8" s="31">
        <f>ROUND(SUM(B8:M8),2)</f>
        <v/>
      </c>
    </row>
    <row r="9" ht="19" customHeight="1">
      <c r="A9" s="36" t="inlineStr">
        <is>
          <t>二、营业成本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</row>
    <row r="10" ht="19" customHeight="1">
      <c r="A10" s="38" t="inlineStr">
        <is>
          <t xml:space="preserve">　　3. 主材</t>
        </is>
      </c>
      <c r="B10" s="39">
        <f>ROUND(SUMIF(项目核算!$T$5:$T$404,B$4,项目核算!$L$5:$L$404),2)</f>
        <v/>
      </c>
      <c r="C10" s="39">
        <f>ROUND(SUMIF(项目核算!$T$5:$T$404,C$4,项目核算!$L$5:$L$404),2)</f>
        <v/>
      </c>
      <c r="D10" s="39">
        <f>ROUND(SUMIF(项目核算!$T$5:$T$404,D$4,项目核算!$L$5:$L$404),2)</f>
        <v/>
      </c>
      <c r="E10" s="39">
        <f>ROUND(SUMIF(项目核算!$T$5:$T$404,E$4,项目核算!$L$5:$L$404),2)</f>
        <v/>
      </c>
      <c r="F10" s="39">
        <f>ROUND(SUMIF(项目核算!$T$5:$T$404,F$4,项目核算!$L$5:$L$404),2)</f>
        <v/>
      </c>
      <c r="G10" s="39">
        <f>ROUND(SUMIF(项目核算!$T$5:$T$404,G$4,项目核算!$L$5:$L$404),2)</f>
        <v/>
      </c>
      <c r="H10" s="39">
        <f>ROUND(SUMIF(项目核算!$T$5:$T$404,H$4,项目核算!$L$5:$L$404),2)</f>
        <v/>
      </c>
      <c r="I10" s="39">
        <f>ROUND(SUMIF(项目核算!$T$5:$T$404,I$4,项目核算!$L$5:$L$404),2)</f>
        <v/>
      </c>
      <c r="J10" s="39">
        <f>ROUND(SUMIF(项目核算!$T$5:$T$404,J$4,项目核算!$L$5:$L$404),2)</f>
        <v/>
      </c>
      <c r="K10" s="39">
        <f>ROUND(SUMIF(项目核算!$T$5:$T$404,K$4,项目核算!$L$5:$L$404),2)</f>
        <v/>
      </c>
      <c r="L10" s="39">
        <f>ROUND(SUMIF(项目核算!$T$5:$T$404,L$4,项目核算!$L$5:$L$404),2)</f>
        <v/>
      </c>
      <c r="M10" s="39">
        <f>ROUND(SUMIF(项目核算!$T$5:$T$404,M$4,项目核算!$L$5:$L$404),2)</f>
        <v/>
      </c>
      <c r="N10" s="39">
        <f>ROUND(SUM(B10:M10),2)</f>
        <v/>
      </c>
    </row>
    <row r="11" ht="19" customHeight="1">
      <c r="A11" s="38" t="inlineStr">
        <is>
          <t xml:space="preserve">　　4. 辅材</t>
        </is>
      </c>
      <c r="B11" s="39">
        <f>ROUND(SUMIF(项目核算!$T$5:$T$404,B$4,项目核算!$M$5:$M$404),2)</f>
        <v/>
      </c>
      <c r="C11" s="39">
        <f>ROUND(SUMIF(项目核算!$T$5:$T$404,C$4,项目核算!$M$5:$M$404),2)</f>
        <v/>
      </c>
      <c r="D11" s="39">
        <f>ROUND(SUMIF(项目核算!$T$5:$T$404,D$4,项目核算!$M$5:$M$404),2)</f>
        <v/>
      </c>
      <c r="E11" s="39">
        <f>ROUND(SUMIF(项目核算!$T$5:$T$404,E$4,项目核算!$M$5:$M$404),2)</f>
        <v/>
      </c>
      <c r="F11" s="39">
        <f>ROUND(SUMIF(项目核算!$T$5:$T$404,F$4,项目核算!$M$5:$M$404),2)</f>
        <v/>
      </c>
      <c r="G11" s="39">
        <f>ROUND(SUMIF(项目核算!$T$5:$T$404,G$4,项目核算!$M$5:$M$404),2)</f>
        <v/>
      </c>
      <c r="H11" s="39">
        <f>ROUND(SUMIF(项目核算!$T$5:$T$404,H$4,项目核算!$M$5:$M$404),2)</f>
        <v/>
      </c>
      <c r="I11" s="39">
        <f>ROUND(SUMIF(项目核算!$T$5:$T$404,I$4,项目核算!$M$5:$M$404),2)</f>
        <v/>
      </c>
      <c r="J11" s="39">
        <f>ROUND(SUMIF(项目核算!$T$5:$T$404,J$4,项目核算!$M$5:$M$404),2)</f>
        <v/>
      </c>
      <c r="K11" s="39">
        <f>ROUND(SUMIF(项目核算!$T$5:$T$404,K$4,项目核算!$M$5:$M$404),2)</f>
        <v/>
      </c>
      <c r="L11" s="39">
        <f>ROUND(SUMIF(项目核算!$T$5:$T$404,L$4,项目核算!$M$5:$M$404),2)</f>
        <v/>
      </c>
      <c r="M11" s="39">
        <f>ROUND(SUMIF(项目核算!$T$5:$T$404,M$4,项目核算!$M$5:$M$404),2)</f>
        <v/>
      </c>
      <c r="N11" s="39">
        <f>ROUND(SUM(B11:M11),2)</f>
        <v/>
      </c>
    </row>
    <row r="12" ht="19" customHeight="1">
      <c r="A12" s="38" t="inlineStr">
        <is>
          <t xml:space="preserve">　　5. 人工（设计·制作·安装）</t>
        </is>
      </c>
      <c r="B12" s="39">
        <f>ROUND(SUMIF(项目核算!$T$5:$T$404,B$4,项目核算!$N$5:$N$404),2)</f>
        <v/>
      </c>
      <c r="C12" s="39">
        <f>ROUND(SUMIF(项目核算!$T$5:$T$404,C$4,项目核算!$N$5:$N$404),2)</f>
        <v/>
      </c>
      <c r="D12" s="39">
        <f>ROUND(SUMIF(项目核算!$T$5:$T$404,D$4,项目核算!$N$5:$N$404),2)</f>
        <v/>
      </c>
      <c r="E12" s="39">
        <f>ROUND(SUMIF(项目核算!$T$5:$T$404,E$4,项目核算!$N$5:$N$404),2)</f>
        <v/>
      </c>
      <c r="F12" s="39">
        <f>ROUND(SUMIF(项目核算!$T$5:$T$404,F$4,项目核算!$N$5:$N$404),2)</f>
        <v/>
      </c>
      <c r="G12" s="39">
        <f>ROUND(SUMIF(项目核算!$T$5:$T$404,G$4,项目核算!$N$5:$N$404),2)</f>
        <v/>
      </c>
      <c r="H12" s="39">
        <f>ROUND(SUMIF(项目核算!$T$5:$T$404,H$4,项目核算!$N$5:$N$404),2)</f>
        <v/>
      </c>
      <c r="I12" s="39">
        <f>ROUND(SUMIF(项目核算!$T$5:$T$404,I$4,项目核算!$N$5:$N$404),2)</f>
        <v/>
      </c>
      <c r="J12" s="39">
        <f>ROUND(SUMIF(项目核算!$T$5:$T$404,J$4,项目核算!$N$5:$N$404),2)</f>
        <v/>
      </c>
      <c r="K12" s="39">
        <f>ROUND(SUMIF(项目核算!$T$5:$T$404,K$4,项目核算!$N$5:$N$404),2)</f>
        <v/>
      </c>
      <c r="L12" s="39">
        <f>ROUND(SUMIF(项目核算!$T$5:$T$404,L$4,项目核算!$N$5:$N$404),2)</f>
        <v/>
      </c>
      <c r="M12" s="39">
        <f>ROUND(SUMIF(项目核算!$T$5:$T$404,M$4,项目核算!$N$5:$N$404),2)</f>
        <v/>
      </c>
      <c r="N12" s="39">
        <f>ROUND(SUM(B12:M12),2)</f>
        <v/>
      </c>
    </row>
    <row r="13" ht="19" customHeight="1">
      <c r="A13" s="38" t="inlineStr">
        <is>
          <t xml:space="preserve">　　6. 运费车费</t>
        </is>
      </c>
      <c r="B13" s="39">
        <f>ROUND(SUMIF(项目核算!$T$5:$T$404,B$4,项目核算!$O$5:$O$404),2)</f>
        <v/>
      </c>
      <c r="C13" s="39">
        <f>ROUND(SUMIF(项目核算!$T$5:$T$404,C$4,项目核算!$O$5:$O$404),2)</f>
        <v/>
      </c>
      <c r="D13" s="39">
        <f>ROUND(SUMIF(项目核算!$T$5:$T$404,D$4,项目核算!$O$5:$O$404),2)</f>
        <v/>
      </c>
      <c r="E13" s="39">
        <f>ROUND(SUMIF(项目核算!$T$5:$T$404,E$4,项目核算!$O$5:$O$404),2)</f>
        <v/>
      </c>
      <c r="F13" s="39">
        <f>ROUND(SUMIF(项目核算!$T$5:$T$404,F$4,项目核算!$O$5:$O$404),2)</f>
        <v/>
      </c>
      <c r="G13" s="39">
        <f>ROUND(SUMIF(项目核算!$T$5:$T$404,G$4,项目核算!$O$5:$O$404),2)</f>
        <v/>
      </c>
      <c r="H13" s="39">
        <f>ROUND(SUMIF(项目核算!$T$5:$T$404,H$4,项目核算!$O$5:$O$404),2)</f>
        <v/>
      </c>
      <c r="I13" s="39">
        <f>ROUND(SUMIF(项目核算!$T$5:$T$404,I$4,项目核算!$O$5:$O$404),2)</f>
        <v/>
      </c>
      <c r="J13" s="39">
        <f>ROUND(SUMIF(项目核算!$T$5:$T$404,J$4,项目核算!$O$5:$O$404),2)</f>
        <v/>
      </c>
      <c r="K13" s="39">
        <f>ROUND(SUMIF(项目核算!$T$5:$T$404,K$4,项目核算!$O$5:$O$404),2)</f>
        <v/>
      </c>
      <c r="L13" s="39">
        <f>ROUND(SUMIF(项目核算!$T$5:$T$404,L$4,项目核算!$O$5:$O$404),2)</f>
        <v/>
      </c>
      <c r="M13" s="39">
        <f>ROUND(SUMIF(项目核算!$T$5:$T$404,M$4,项目核算!$O$5:$O$404),2)</f>
        <v/>
      </c>
      <c r="N13" s="39">
        <f>ROUND(SUM(B13:M13),2)</f>
        <v/>
      </c>
    </row>
    <row r="14" ht="19" customHeight="1">
      <c r="A14" s="38" t="inlineStr">
        <is>
          <t xml:space="preserve">　　7. 其他直接费用</t>
        </is>
      </c>
      <c r="B14" s="39">
        <f>ROUND(SUMIF(项目核算!$T$5:$T$404,B$4,项目核算!$P$5:$P$404),2)</f>
        <v/>
      </c>
      <c r="C14" s="39">
        <f>ROUND(SUMIF(项目核算!$T$5:$T$404,C$4,项目核算!$P$5:$P$404),2)</f>
        <v/>
      </c>
      <c r="D14" s="39">
        <f>ROUND(SUMIF(项目核算!$T$5:$T$404,D$4,项目核算!$P$5:$P$404),2)</f>
        <v/>
      </c>
      <c r="E14" s="39">
        <f>ROUND(SUMIF(项目核算!$T$5:$T$404,E$4,项目核算!$P$5:$P$404),2)</f>
        <v/>
      </c>
      <c r="F14" s="39">
        <f>ROUND(SUMIF(项目核算!$T$5:$T$404,F$4,项目核算!$P$5:$P$404),2)</f>
        <v/>
      </c>
      <c r="G14" s="39">
        <f>ROUND(SUMIF(项目核算!$T$5:$T$404,G$4,项目核算!$P$5:$P$404),2)</f>
        <v/>
      </c>
      <c r="H14" s="39">
        <f>ROUND(SUMIF(项目核算!$T$5:$T$404,H$4,项目核算!$P$5:$P$404),2)</f>
        <v/>
      </c>
      <c r="I14" s="39">
        <f>ROUND(SUMIF(项目核算!$T$5:$T$404,I$4,项目核算!$P$5:$P$404),2)</f>
        <v/>
      </c>
      <c r="J14" s="39">
        <f>ROUND(SUMIF(项目核算!$T$5:$T$404,J$4,项目核算!$P$5:$P$404),2)</f>
        <v/>
      </c>
      <c r="K14" s="39">
        <f>ROUND(SUMIF(项目核算!$T$5:$T$404,K$4,项目核算!$P$5:$P$404),2)</f>
        <v/>
      </c>
      <c r="L14" s="39">
        <f>ROUND(SUMIF(项目核算!$T$5:$T$404,L$4,项目核算!$P$5:$P$404),2)</f>
        <v/>
      </c>
      <c r="M14" s="39">
        <f>ROUND(SUMIF(项目核算!$T$5:$T$404,M$4,项目核算!$P$5:$P$404),2)</f>
        <v/>
      </c>
      <c r="N14" s="39">
        <f>ROUND(SUM(B14:M14),2)</f>
        <v/>
      </c>
    </row>
    <row r="15" ht="19" customHeight="1">
      <c r="A15" s="38" t="inlineStr">
        <is>
          <t xml:space="preserve">　　8. 还没归到项目的直接成本</t>
        </is>
      </c>
      <c r="B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C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D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E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F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G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H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I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J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K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L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M15" s="39">
        <f>ROUND((SUMIFS(资金日记账!$K$4:$K$2503,资金日记账!$F$4:$F$2503,"成本-主材",资金日记账!$G$4:$G$2503,"",资金日记账!$B$4:$B$2503,"&gt;="&amp;DATE($A$4,COLUMN()-1,1),资金日记账!$B$4:$B$2503,"&lt;="&amp;EOMONTH(DATE($A$4,COLUMN()-1,1),0))-SUMIFS(资金日记账!$J$4:$J$2503,资金日记账!$F$4:$F$2503,"成本-主材",资金日记账!$G$4:$G$2503,"",资金日记账!$B$4:$B$2503,"&gt;="&amp;DATE($A$4,COLUMN()-1,1),资金日记账!$B$4:$B$2503,"&lt;="&amp;EOMONTH(DATE($A$4,COLUMN()-1,1),0)))+(SUMIFS(资金日记账!$K$4:$K$2503,资金日记账!$F$4:$F$2503,"成本-辅材",资金日记账!$G$4:$G$2503,"",资金日记账!$B$4:$B$2503,"&gt;="&amp;DATE($A$4,COLUMN()-1,1),资金日记账!$B$4:$B$2503,"&lt;="&amp;EOMONTH(DATE($A$4,COLUMN()-1,1),0))-SUMIFS(资金日记账!$J$4:$J$2503,资金日记账!$F$4:$F$2503,"成本-辅材",资金日记账!$G$4:$G$2503,"",资金日记账!$B$4:$B$2503,"&gt;="&amp;DATE($A$4,COLUMN()-1,1),资金日记账!$B$4:$B$2503,"&lt;="&amp;EOMONTH(DATE($A$4,COLUMN()-1,1),0)))+(SUMIFS(资金日记账!$K$4:$K$2503,资金日记账!$F$4:$F$2503,"成本-人工",资金日记账!$G$4:$G$2503,"",资金日记账!$B$4:$B$2503,"&gt;="&amp;DATE($A$4,COLUMN()-1,1),资金日记账!$B$4:$B$2503,"&lt;="&amp;EOMONTH(DATE($A$4,COLUMN()-1,1),0))-SUMIFS(资金日记账!$J$4:$J$2503,资金日记账!$F$4:$F$2503,"成本-人工",资金日记账!$G$4:$G$2503,"",资金日记账!$B$4:$B$2503,"&gt;="&amp;DATE($A$4,COLUMN()-1,1),资金日记账!$B$4:$B$2503,"&lt;="&amp;EOMONTH(DATE($A$4,COLUMN()-1,1),0)))+(SUMIFS(资金日记账!$K$4:$K$2503,资金日记账!$F$4:$F$2503,"成本-车运",资金日记账!$G$4:$G$2503,"",资金日记账!$B$4:$B$2503,"&gt;="&amp;DATE($A$4,COLUMN()-1,1),资金日记账!$B$4:$B$2503,"&lt;="&amp;EOMONTH(DATE($A$4,COLUMN()-1,1),0))-SUMIFS(资金日记账!$J$4:$J$2503,资金日记账!$F$4:$F$2503,"成本-车运",资金日记账!$G$4:$G$2503,"",资金日记账!$B$4:$B$2503,"&gt;="&amp;DATE($A$4,COLUMN()-1,1),资金日记账!$B$4:$B$2503,"&lt;="&amp;EOMONTH(DATE($A$4,COLUMN()-1,1),0)))+(SUMIFS(资金日记账!$K$4:$K$2503,资金日记账!$F$4:$F$2503,"成本-其他",资金日记账!$G$4:$G$2503,"",资金日记账!$B$4:$B$2503,"&gt;="&amp;DATE($A$4,COLUMN()-1,1),资金日记账!$B$4:$B$2503,"&lt;="&amp;EOMONTH(DATE($A$4,COLUMN()-1,1),0))-SUMIFS(资金日记账!$J$4:$J$2503,资金日记账!$F$4:$F$2503,"成本-其他",资金日记账!$G$4:$G$2503,"",资金日记账!$B$4:$B$2503,"&gt;="&amp;DATE($A$4,COLUMN()-1,1),资金日记账!$B$4:$B$2503,"&lt;="&amp;EOMONTH(DATE($A$4,COLUMN()-1,1),0))),2)</f>
        <v/>
      </c>
      <c r="N15" s="39">
        <f>ROUND(SUM(B15:M15),2)</f>
        <v/>
      </c>
    </row>
    <row r="16" ht="19" customHeight="1">
      <c r="A16" s="40" t="inlineStr">
        <is>
          <t xml:space="preserve">　　营业成本合计</t>
        </is>
      </c>
      <c r="B16" s="31">
        <f>SUM(B10:B15)</f>
        <v/>
      </c>
      <c r="C16" s="31">
        <f>SUM(C10:C15)</f>
        <v/>
      </c>
      <c r="D16" s="31">
        <f>SUM(D10:D15)</f>
        <v/>
      </c>
      <c r="E16" s="31">
        <f>SUM(E10:E15)</f>
        <v/>
      </c>
      <c r="F16" s="31">
        <f>SUM(F10:F15)</f>
        <v/>
      </c>
      <c r="G16" s="31">
        <f>SUM(G10:G15)</f>
        <v/>
      </c>
      <c r="H16" s="31">
        <f>SUM(H10:H15)</f>
        <v/>
      </c>
      <c r="I16" s="31">
        <f>SUM(I10:I15)</f>
        <v/>
      </c>
      <c r="J16" s="31">
        <f>SUM(J10:J15)</f>
        <v/>
      </c>
      <c r="K16" s="31">
        <f>SUM(K10:K15)</f>
        <v/>
      </c>
      <c r="L16" s="31">
        <f>SUM(L10:L15)</f>
        <v/>
      </c>
      <c r="M16" s="31">
        <f>SUM(M10:M15)</f>
        <v/>
      </c>
      <c r="N16" s="31">
        <f>ROUND(SUM(B16:M16),2)</f>
        <v/>
      </c>
    </row>
    <row r="17" ht="19" customHeight="1">
      <c r="A17" s="41" t="inlineStr">
        <is>
          <t>三、毛利</t>
        </is>
      </c>
      <c r="B17" s="42">
        <f>B8-B16</f>
        <v/>
      </c>
      <c r="C17" s="42">
        <f>C8-C16</f>
        <v/>
      </c>
      <c r="D17" s="42">
        <f>D8-D16</f>
        <v/>
      </c>
      <c r="E17" s="42">
        <f>E8-E16</f>
        <v/>
      </c>
      <c r="F17" s="42">
        <f>F8-F16</f>
        <v/>
      </c>
      <c r="G17" s="42">
        <f>G8-G16</f>
        <v/>
      </c>
      <c r="H17" s="42">
        <f>H8-H16</f>
        <v/>
      </c>
      <c r="I17" s="42">
        <f>I8-I16</f>
        <v/>
      </c>
      <c r="J17" s="42">
        <f>J8-J16</f>
        <v/>
      </c>
      <c r="K17" s="42">
        <f>K8-K16</f>
        <v/>
      </c>
      <c r="L17" s="42">
        <f>L8-L16</f>
        <v/>
      </c>
      <c r="M17" s="42">
        <f>M8-M16</f>
        <v/>
      </c>
      <c r="N17" s="42">
        <f>ROUND(SUM(B17:M17),2)</f>
        <v/>
      </c>
    </row>
    <row r="18" ht="19" customHeight="1">
      <c r="A18" s="43" t="inlineStr">
        <is>
          <t xml:space="preserve">　　毛利率</t>
        </is>
      </c>
      <c r="B18" s="44">
        <f>IF(ROUND(B8,2)=0,"",ROUND(B17/B8,4))</f>
        <v/>
      </c>
      <c r="C18" s="44">
        <f>IF(ROUND(C8,2)=0,"",ROUND(C17/C8,4))</f>
        <v/>
      </c>
      <c r="D18" s="44">
        <f>IF(ROUND(D8,2)=0,"",ROUND(D17/D8,4))</f>
        <v/>
      </c>
      <c r="E18" s="44">
        <f>IF(ROUND(E8,2)=0,"",ROUND(E17/E8,4))</f>
        <v/>
      </c>
      <c r="F18" s="44">
        <f>IF(ROUND(F8,2)=0,"",ROUND(F17/F8,4))</f>
        <v/>
      </c>
      <c r="G18" s="44">
        <f>IF(ROUND(G8,2)=0,"",ROUND(G17/G8,4))</f>
        <v/>
      </c>
      <c r="H18" s="44">
        <f>IF(ROUND(H8,2)=0,"",ROUND(H17/H8,4))</f>
        <v/>
      </c>
      <c r="I18" s="44">
        <f>IF(ROUND(I8,2)=0,"",ROUND(I17/I8,4))</f>
        <v/>
      </c>
      <c r="J18" s="44">
        <f>IF(ROUND(J8,2)=0,"",ROUND(J17/J8,4))</f>
        <v/>
      </c>
      <c r="K18" s="44">
        <f>IF(ROUND(K8,2)=0,"",ROUND(K17/K8,4))</f>
        <v/>
      </c>
      <c r="L18" s="44">
        <f>IF(ROUND(L8,2)=0,"",ROUND(L17/L8,4))</f>
        <v/>
      </c>
      <c r="M18" s="44">
        <f>IF(ROUND(M8,2)=0,"",ROUND(M17/M8,4))</f>
        <v/>
      </c>
      <c r="N18" s="44">
        <f>IF(ROUND($N$8,2)=0,"",ROUND($N$17/$N$8,4))</f>
        <v/>
      </c>
    </row>
    <row r="19" ht="19" customHeight="1">
      <c r="A19" s="36" t="inlineStr">
        <is>
          <t>四、期间费用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 ht="19" customHeight="1">
      <c r="A20" s="38" t="inlineStr">
        <is>
          <t xml:space="preserve">　　管理费用</t>
        </is>
      </c>
      <c r="B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C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D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E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F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G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H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I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J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K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L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M20" s="39">
        <f>ROUND(SUMIFS(资金日记账!$K$4:$K$2503,资金日记账!$F$4:$F$2503,"费用-管理",资金日记账!$B$4:$B$2503,"&gt;="&amp;DATE($A$4,COLUMN()-1,1),资金日记账!$B$4:$B$2503,"&lt;="&amp;EOMONTH(DATE($A$4,COLUMN()-1,1),0))-SUMIFS(资金日记账!$J$4:$J$2503,资金日记账!$F$4:$F$2503,"费用-管理",资金日记账!$B$4:$B$2503,"&gt;="&amp;DATE($A$4,COLUMN()-1,1),资金日记账!$B$4:$B$2503,"&lt;="&amp;EOMONTH(DATE($A$4,COLUMN()-1,1),0)),2)</f>
        <v/>
      </c>
      <c r="N20" s="39">
        <f>ROUND(SUM(B20:M20),2)</f>
        <v/>
      </c>
    </row>
    <row r="21" ht="19" customHeight="1">
      <c r="A21" s="38" t="inlineStr">
        <is>
          <t xml:space="preserve">　　销售费用</t>
        </is>
      </c>
      <c r="B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C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D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E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F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G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H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I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J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K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L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M21" s="39">
        <f>ROUND(SUMIFS(资金日记账!$K$4:$K$2503,资金日记账!$F$4:$F$2503,"费用-销售",资金日记账!$B$4:$B$2503,"&gt;="&amp;DATE($A$4,COLUMN()-1,1),资金日记账!$B$4:$B$2503,"&lt;="&amp;EOMONTH(DATE($A$4,COLUMN()-1,1),0))-SUMIFS(资金日记账!$J$4:$J$2503,资金日记账!$F$4:$F$2503,"费用-销售",资金日记账!$B$4:$B$2503,"&gt;="&amp;DATE($A$4,COLUMN()-1,1),资金日记账!$B$4:$B$2503,"&lt;="&amp;EOMONTH(DATE($A$4,COLUMN()-1,1),0)),2)</f>
        <v/>
      </c>
      <c r="N21" s="39">
        <f>ROUND(SUM(B21:M21),2)</f>
        <v/>
      </c>
    </row>
    <row r="22" ht="19" customHeight="1">
      <c r="A22" s="38" t="inlineStr">
        <is>
          <t xml:space="preserve">　　财务费用</t>
        </is>
      </c>
      <c r="B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C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D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E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F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G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H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I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J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K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L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M22" s="39">
        <f>ROUND(SUMIFS(资金日记账!$K$4:$K$2503,资金日记账!$F$4:$F$2503,"费用-财务",资金日记账!$B$4:$B$2503,"&gt;="&amp;DATE($A$4,COLUMN()-1,1),资金日记账!$B$4:$B$2503,"&lt;="&amp;EOMONTH(DATE($A$4,COLUMN()-1,1),0))-SUMIFS(资金日记账!$J$4:$J$2503,资金日记账!$F$4:$F$2503,"费用-财务",资金日记账!$B$4:$B$2503,"&gt;="&amp;DATE($A$4,COLUMN()-1,1),资金日记账!$B$4:$B$2503,"&lt;="&amp;EOMONTH(DATE($A$4,COLUMN()-1,1),0)),2)</f>
        <v/>
      </c>
      <c r="N22" s="39">
        <f>ROUND(SUM(B22:M22),2)</f>
        <v/>
      </c>
    </row>
    <row r="23" ht="19" customHeight="1">
      <c r="A23" s="40" t="inlineStr">
        <is>
          <t xml:space="preserve">　　期间费用合计</t>
        </is>
      </c>
      <c r="B23" s="31">
        <f>SUM(B20:B22)</f>
        <v/>
      </c>
      <c r="C23" s="31">
        <f>SUM(C20:C22)</f>
        <v/>
      </c>
      <c r="D23" s="31">
        <f>SUM(D20:D22)</f>
        <v/>
      </c>
      <c r="E23" s="31">
        <f>SUM(E20:E22)</f>
        <v/>
      </c>
      <c r="F23" s="31">
        <f>SUM(F20:F22)</f>
        <v/>
      </c>
      <c r="G23" s="31">
        <f>SUM(G20:G22)</f>
        <v/>
      </c>
      <c r="H23" s="31">
        <f>SUM(H20:H22)</f>
        <v/>
      </c>
      <c r="I23" s="31">
        <f>SUM(I20:I22)</f>
        <v/>
      </c>
      <c r="J23" s="31">
        <f>SUM(J20:J22)</f>
        <v/>
      </c>
      <c r="K23" s="31">
        <f>SUM(K20:K22)</f>
        <v/>
      </c>
      <c r="L23" s="31">
        <f>SUM(L20:L22)</f>
        <v/>
      </c>
      <c r="M23" s="31">
        <f>SUM(M20:M22)</f>
        <v/>
      </c>
      <c r="N23" s="31">
        <f>ROUND(SUM(B23:M23),2)</f>
        <v/>
      </c>
    </row>
    <row r="24" ht="19" customHeight="1">
      <c r="A24" s="41" t="inlineStr">
        <is>
          <t>五、营业利润</t>
        </is>
      </c>
      <c r="B24" s="42">
        <f>B17-B23</f>
        <v/>
      </c>
      <c r="C24" s="42">
        <f>C17-C23</f>
        <v/>
      </c>
      <c r="D24" s="42">
        <f>D17-D23</f>
        <v/>
      </c>
      <c r="E24" s="42">
        <f>E17-E23</f>
        <v/>
      </c>
      <c r="F24" s="42">
        <f>F17-F23</f>
        <v/>
      </c>
      <c r="G24" s="42">
        <f>G17-G23</f>
        <v/>
      </c>
      <c r="H24" s="42">
        <f>H17-H23</f>
        <v/>
      </c>
      <c r="I24" s="42">
        <f>I17-I23</f>
        <v/>
      </c>
      <c r="J24" s="42">
        <f>J17-J23</f>
        <v/>
      </c>
      <c r="K24" s="42">
        <f>K17-K23</f>
        <v/>
      </c>
      <c r="L24" s="42">
        <f>L17-L23</f>
        <v/>
      </c>
      <c r="M24" s="42">
        <f>M17-M23</f>
        <v/>
      </c>
      <c r="N24" s="42">
        <f>ROUND(SUM(B24:M24),2)</f>
        <v/>
      </c>
    </row>
    <row r="25" ht="19" customHeight="1">
      <c r="A25" s="38" t="inlineStr">
        <is>
          <t xml:space="preserve">　　营业外收入</t>
        </is>
      </c>
      <c r="B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C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D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E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F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G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H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I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J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K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L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M25" s="39">
        <f>ROUND(SUMIFS(资金日记账!$J$4:$J$2503,资金日记账!$F$4:$F$2503,"其他-营业外收入",资金日记账!$B$4:$B$2503,"&gt;="&amp;DATE($A$4,COLUMN()-1,1),资金日记账!$B$4:$B$2503,"&lt;="&amp;EOMONTH(DATE($A$4,COLUMN()-1,1),0)),2)</f>
        <v/>
      </c>
      <c r="N25" s="39">
        <f>ROUND(SUM(B25:M25),2)</f>
        <v/>
      </c>
    </row>
    <row r="26" ht="19" customHeight="1">
      <c r="A26" s="38" t="inlineStr">
        <is>
          <t xml:space="preserve">　　营业外支出</t>
        </is>
      </c>
      <c r="B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C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D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E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F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G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H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I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J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K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L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M26" s="39">
        <f>ROUND(SUMIFS(资金日记账!$K$4:$K$2503,资金日记账!$F$4:$F$2503,"其他-营业外支出",资金日记账!$B$4:$B$2503,"&gt;="&amp;DATE($A$4,COLUMN()-1,1),资金日记账!$B$4:$B$2503,"&lt;="&amp;EOMONTH(DATE($A$4,COLUMN()-1,1),0)),2)</f>
        <v/>
      </c>
      <c r="N26" s="39">
        <f>ROUND(SUM(B26:M26),2)</f>
        <v/>
      </c>
    </row>
    <row r="27" ht="19" customHeight="1">
      <c r="A27" s="41" t="inlineStr">
        <is>
          <t>六、净利润（税前）</t>
        </is>
      </c>
      <c r="B27" s="42">
        <f>B24+B25-B26</f>
        <v/>
      </c>
      <c r="C27" s="42">
        <f>C24+C25-C26</f>
        <v/>
      </c>
      <c r="D27" s="42">
        <f>D24+D25-D26</f>
        <v/>
      </c>
      <c r="E27" s="42">
        <f>E24+E25-E26</f>
        <v/>
      </c>
      <c r="F27" s="42">
        <f>F24+F25-F26</f>
        <v/>
      </c>
      <c r="G27" s="42">
        <f>G24+G25-G26</f>
        <v/>
      </c>
      <c r="H27" s="42">
        <f>H24+H25-H26</f>
        <v/>
      </c>
      <c r="I27" s="42">
        <f>I24+I25-I26</f>
        <v/>
      </c>
      <c r="J27" s="42">
        <f>J24+J25-J26</f>
        <v/>
      </c>
      <c r="K27" s="42">
        <f>K24+K25-K26</f>
        <v/>
      </c>
      <c r="L27" s="42">
        <f>L24+L25-L26</f>
        <v/>
      </c>
      <c r="M27" s="42">
        <f>M24+M25-M26</f>
        <v/>
      </c>
      <c r="N27" s="42">
        <f>ROUND(SUM(B27:M27),2)</f>
        <v/>
      </c>
    </row>
    <row r="30">
      <c r="A30" s="30" t="inlineStr">
        <is>
          <t>补充信息（不进利润表，但老板要看）</t>
        </is>
      </c>
    </row>
    <row r="31">
      <c r="A31" s="38" t="inlineStr">
        <is>
          <t>在制项目个数（还没填完工日期）</t>
        </is>
      </c>
      <c r="B31" s="45">
        <f>COUNTIFS(项目核算!$B$5:$B$404,"?*",项目核算!$T$5:$T$404,0)</f>
        <v/>
      </c>
      <c r="C31" s="46" t="inlineStr"/>
    </row>
    <row r="32">
      <c r="A32" s="38" t="inlineStr">
        <is>
          <t>在制项目合同额</t>
        </is>
      </c>
      <c r="B32" s="47">
        <f>ROUND(SUMIFS(项目核算!$I$5:$I$404,项目核算!$B$5:$B$404,"?*",项目核算!$T$5:$T$404,0),2)</f>
        <v/>
      </c>
      <c r="C32" s="46" t="inlineStr"/>
    </row>
    <row r="33">
      <c r="A33" s="38" t="inlineStr">
        <is>
          <t>在制项目已收款</t>
        </is>
      </c>
      <c r="B33" s="47">
        <f>ROUND(SUMIFS(项目核算!$J$5:$J$404,项目核算!$B$5:$B$404,"?*",项目核算!$T$5:$T$404,0),2)</f>
        <v/>
      </c>
      <c r="C33" s="46" t="inlineStr"/>
    </row>
    <row r="34">
      <c r="A34" s="38" t="inlineStr">
        <is>
          <t>在制项目已投入成本</t>
        </is>
      </c>
      <c r="B34" s="47">
        <f>ROUND(SUMIFS(项目核算!$Q$5:$Q$404,项目核算!$B$5:$B$404,"?*",项目核算!$T$5:$T$404,0),2)</f>
        <v/>
      </c>
      <c r="C34" s="46" t="inlineStr"/>
    </row>
    <row r="35">
      <c r="A35" s="38" t="inlineStr">
        <is>
          <t>期末应收账款（客户欠我们）</t>
        </is>
      </c>
      <c r="B35" s="47">
        <f>项目核算!$K$4</f>
        <v/>
      </c>
      <c r="C35" s="46" t="inlineStr"/>
    </row>
    <row r="36">
      <c r="A36" s="38" t="inlineStr">
        <is>
          <t>期末应付供应商（我们欠人家）</t>
        </is>
      </c>
      <c r="B36" s="47">
        <f>供应商对账!$F$4</f>
        <v/>
      </c>
      <c r="C36" s="46" t="inlineStr"/>
    </row>
    <row r="37">
      <c r="A37" s="38" t="inlineStr">
        <is>
          <t>期末资金余额（五个账户）</t>
        </is>
      </c>
      <c r="B37" s="47">
        <f>账户余额!$E$14</f>
        <v/>
      </c>
      <c r="C37" s="46" t="inlineStr"/>
    </row>
    <row r="38">
      <c r="A38" s="38" t="inlineStr">
        <is>
          <t>借出去还没收回的钱（正数=别人欠我们）</t>
        </is>
      </c>
      <c r="B38" s="47">
        <f>ROUND(SUMIFS(资金日记账!$K$4:$K$2503,资金日记账!$F$4:$F$2503,"往来-借贷")-SUMIFS(资金日记账!$J$4:$J$2503,资金日记账!$F$4:$F$2503,"往来-借贷"),2)</f>
        <v/>
      </c>
      <c r="C38" s="46" t="inlineStr"/>
    </row>
    <row r="39">
      <c r="A39" s="38" t="inlineStr">
        <is>
          <t>日记账还没分类的金额</t>
        </is>
      </c>
      <c r="B39" s="47">
        <f>使用说明!$C$25</f>
        <v/>
      </c>
      <c r="C39" s="46" t="inlineStr"/>
    </row>
  </sheetData>
  <mergeCells count="3">
    <mergeCell ref="A2:N2"/>
    <mergeCell ref="A30:D30"/>
    <mergeCell ref="A1:N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J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5" customWidth="1" min="7" max="7"/>
    <col width="13" customWidth="1" min="8" max="8"/>
    <col width="9" customWidth="1" min="9" max="9"/>
    <col width="22" customWidth="1" min="10" max="10"/>
  </cols>
  <sheetData>
    <row r="1" ht="30" customHeight="1">
      <c r="A1" s="1" t="inlineStr">
        <is>
          <t>供应商对账 · 自动，不用填（名单来自【基础资料】G 列）</t>
        </is>
      </c>
    </row>
    <row r="2" ht="22" customHeight="1">
      <c r="A2" s="2" t="inlineStr">
        <is>
          <t>应付余额 = 采购单发生 + 生产安装发生 + 日记账里直接付的成本 − 付给这家的钱合计。大于 0 就是还欠人家，小于 0 就是多付了或者有预付款。</t>
        </is>
      </c>
    </row>
    <row r="3" ht="34" customHeight="1">
      <c r="A3" s="21" t="inlineStr">
        <is>
          <t>供应商</t>
        </is>
      </c>
      <c r="B3" s="21" t="inlineStr">
        <is>
          <t>采购单发生额</t>
        </is>
      </c>
      <c r="C3" s="21" t="inlineStr">
        <is>
          <t>生产安装发生额</t>
        </is>
      </c>
      <c r="D3" s="21" t="inlineStr">
        <is>
          <t>日记账直接付的成本</t>
        </is>
      </c>
      <c r="E3" s="21" t="inlineStr">
        <is>
          <t>付款合计(净额)</t>
        </is>
      </c>
      <c r="F3" s="21" t="inlineStr">
        <is>
          <t>应付余额</t>
        </is>
      </c>
      <c r="G3" s="21" t="inlineStr">
        <is>
          <t>借出/借入净额
(正=对方欠我们)</t>
        </is>
      </c>
      <c r="H3" s="21" t="inlineStr">
        <is>
          <t>最后付款日</t>
        </is>
      </c>
      <c r="I3" s="21" t="inlineStr">
        <is>
          <t>笔数</t>
        </is>
      </c>
      <c r="J3" s="21" t="inlineStr">
        <is>
          <t>备注</t>
        </is>
      </c>
    </row>
    <row r="4">
      <c r="A4" s="24" t="inlineStr">
        <is>
          <t>合计</t>
        </is>
      </c>
      <c r="B4" s="25">
        <f>ROUND(SUM(B5:B154),2)</f>
        <v/>
      </c>
      <c r="C4" s="25">
        <f>ROUND(SUM(C5:C154),2)</f>
        <v/>
      </c>
      <c r="D4" s="25">
        <f>ROUND(SUM(D5:D154),2)</f>
        <v/>
      </c>
      <c r="E4" s="25">
        <f>ROUND(SUM(E5:E154),2)</f>
        <v/>
      </c>
      <c r="F4" s="25">
        <f>ROUND(SUM(F5:F154),2)</f>
        <v/>
      </c>
      <c r="G4" s="25">
        <f>ROUND(SUM(G5:G154),2)</f>
        <v/>
      </c>
      <c r="H4" s="23" t="n"/>
      <c r="I4" s="26">
        <f>SUM(I5:I154)</f>
        <v/>
      </c>
      <c r="J4" s="13" t="n"/>
    </row>
    <row r="5">
      <c r="A5" s="17">
        <f>IF(基础资料!$G4="","",基础资料!$G4)</f>
        <v/>
      </c>
      <c r="B5" s="19">
        <f>IF($A5="","",ROUND(SUMIF(采购单!$C$4:$C$2003,$A5,采购单!$L$4:$L$2003),2))</f>
        <v/>
      </c>
      <c r="C5" s="19">
        <f>IF($A5="","",ROUND(SUMIF(生产安装!$F$4:$F$1203,$A5,生产安装!$J$4:$J$1203),2))</f>
        <v/>
      </c>
      <c r="D5" s="19">
        <f>IF($A5="","",ROUND(SUMIFS(资金日记账!$K$4:$K$2503,资金日记账!$H$4:$H$2503,$A5,资金日记账!$F$4:$F$2503,"成本-*"),2))</f>
        <v/>
      </c>
      <c r="E5" s="19">
        <f>IF($A5="","",ROUND(SUMIFS(资金日记账!$K$4:$K$2503,资金日记账!$H$4:$H$2503,$A5,资金日记账!$F$4:$F$2503,"&lt;&gt;往来-借贷")-SUMIFS(资金日记账!$J$4:$J$2503,资金日记账!$H$4:$H$2503,$A5,资金日记账!$F$4:$F$2503,"&lt;&gt;往来-借贷"),2))</f>
        <v/>
      </c>
      <c r="F5" s="19">
        <f>IF($A5="","",ROUND($B5+$C5+$D5-$E5,2))</f>
        <v/>
      </c>
      <c r="G5" s="19">
        <f>IF($A5="","",ROUND(SUMIFS(资金日记账!$K$4:$K$2503,资金日记账!$H$4:$H$2503,$A5,资金日记账!$F$4:$F$2503,"往来-借贷")-SUMIFS(资金日记账!$J$4:$J$2503,资金日记账!$H$4:$H$2503,$A5,资金日记账!$F$4:$F$2503,"往来-借贷"),2))</f>
        <v/>
      </c>
      <c r="H5" s="23">
        <f>IF($A5="","",IFERROR(LOOKUP(1,0/((资金日记账!$H$4:$H$2503=$A5)*(资金日记账!$K$4:$K$2503&gt;0)),资金日记账!$B$4:$B$2503),""))</f>
        <v/>
      </c>
      <c r="I5" s="22">
        <f>IF($A5="","",COUNTIF(采购单!$C$4:$C$2003,$A5)+COUNTIF(资金日记账!$H$4:$H$2503,$A5))</f>
        <v/>
      </c>
      <c r="J5" s="13" t="n"/>
    </row>
    <row r="6">
      <c r="A6" s="17">
        <f>IF(基础资料!$G5="","",基础资料!$G5)</f>
        <v/>
      </c>
      <c r="B6" s="19">
        <f>IF($A6="","",ROUND(SUMIF(采购单!$C$4:$C$2003,$A6,采购单!$L$4:$L$2003),2))</f>
        <v/>
      </c>
      <c r="C6" s="19">
        <f>IF($A6="","",ROUND(SUMIF(生产安装!$F$4:$F$1203,$A6,生产安装!$J$4:$J$1203),2))</f>
        <v/>
      </c>
      <c r="D6" s="19">
        <f>IF($A6="","",ROUND(SUMIFS(资金日记账!$K$4:$K$2503,资金日记账!$H$4:$H$2503,$A6,资金日记账!$F$4:$F$2503,"成本-*"),2))</f>
        <v/>
      </c>
      <c r="E6" s="19">
        <f>IF($A6="","",ROUND(SUMIFS(资金日记账!$K$4:$K$2503,资金日记账!$H$4:$H$2503,$A6,资金日记账!$F$4:$F$2503,"&lt;&gt;往来-借贷")-SUMIFS(资金日记账!$J$4:$J$2503,资金日记账!$H$4:$H$2503,$A6,资金日记账!$F$4:$F$2503,"&lt;&gt;往来-借贷"),2))</f>
        <v/>
      </c>
      <c r="F6" s="19">
        <f>IF($A6="","",ROUND($B6+$C6+$D6-$E6,2))</f>
        <v/>
      </c>
      <c r="G6" s="19">
        <f>IF($A6="","",ROUND(SUMIFS(资金日记账!$K$4:$K$2503,资金日记账!$H$4:$H$2503,$A6,资金日记账!$F$4:$F$2503,"往来-借贷")-SUMIFS(资金日记账!$J$4:$J$2503,资金日记账!$H$4:$H$2503,$A6,资金日记账!$F$4:$F$2503,"往来-借贷"),2))</f>
        <v/>
      </c>
      <c r="H6" s="23">
        <f>IF($A6="","",IFERROR(LOOKUP(1,0/((资金日记账!$H$4:$H$2503=$A6)*(资金日记账!$K$4:$K$2503&gt;0)),资金日记账!$B$4:$B$2503),""))</f>
        <v/>
      </c>
      <c r="I6" s="22">
        <f>IF($A6="","",COUNTIF(采购单!$C$4:$C$2003,$A6)+COUNTIF(资金日记账!$H$4:$H$2503,$A6))</f>
        <v/>
      </c>
      <c r="J6" s="13" t="n"/>
    </row>
    <row r="7">
      <c r="A7" s="17">
        <f>IF(基础资料!$G6="","",基础资料!$G6)</f>
        <v/>
      </c>
      <c r="B7" s="19">
        <f>IF($A7="","",ROUND(SUMIF(采购单!$C$4:$C$2003,$A7,采购单!$L$4:$L$2003),2))</f>
        <v/>
      </c>
      <c r="C7" s="19">
        <f>IF($A7="","",ROUND(SUMIF(生产安装!$F$4:$F$1203,$A7,生产安装!$J$4:$J$1203),2))</f>
        <v/>
      </c>
      <c r="D7" s="19">
        <f>IF($A7="","",ROUND(SUMIFS(资金日记账!$K$4:$K$2503,资金日记账!$H$4:$H$2503,$A7,资金日记账!$F$4:$F$2503,"成本-*"),2))</f>
        <v/>
      </c>
      <c r="E7" s="19">
        <f>IF($A7="","",ROUND(SUMIFS(资金日记账!$K$4:$K$2503,资金日记账!$H$4:$H$2503,$A7,资金日记账!$F$4:$F$2503,"&lt;&gt;往来-借贷")-SUMIFS(资金日记账!$J$4:$J$2503,资金日记账!$H$4:$H$2503,$A7,资金日记账!$F$4:$F$2503,"&lt;&gt;往来-借贷"),2))</f>
        <v/>
      </c>
      <c r="F7" s="19">
        <f>IF($A7="","",ROUND($B7+$C7+$D7-$E7,2))</f>
        <v/>
      </c>
      <c r="G7" s="19">
        <f>IF($A7="","",ROUND(SUMIFS(资金日记账!$K$4:$K$2503,资金日记账!$H$4:$H$2503,$A7,资金日记账!$F$4:$F$2503,"往来-借贷")-SUMIFS(资金日记账!$J$4:$J$2503,资金日记账!$H$4:$H$2503,$A7,资金日记账!$F$4:$F$2503,"往来-借贷"),2))</f>
        <v/>
      </c>
      <c r="H7" s="23">
        <f>IF($A7="","",IFERROR(LOOKUP(1,0/((资金日记账!$H$4:$H$2503=$A7)*(资金日记账!$K$4:$K$2503&gt;0)),资金日记账!$B$4:$B$2503),""))</f>
        <v/>
      </c>
      <c r="I7" s="22">
        <f>IF($A7="","",COUNTIF(采购单!$C$4:$C$2003,$A7)+COUNTIF(资金日记账!$H$4:$H$2503,$A7))</f>
        <v/>
      </c>
      <c r="J7" s="13" t="n"/>
    </row>
    <row r="8">
      <c r="A8" s="17">
        <f>IF(基础资料!$G7="","",基础资料!$G7)</f>
        <v/>
      </c>
      <c r="B8" s="19">
        <f>IF($A8="","",ROUND(SUMIF(采购单!$C$4:$C$2003,$A8,采购单!$L$4:$L$2003),2))</f>
        <v/>
      </c>
      <c r="C8" s="19">
        <f>IF($A8="","",ROUND(SUMIF(生产安装!$F$4:$F$1203,$A8,生产安装!$J$4:$J$1203),2))</f>
        <v/>
      </c>
      <c r="D8" s="19">
        <f>IF($A8="","",ROUND(SUMIFS(资金日记账!$K$4:$K$2503,资金日记账!$H$4:$H$2503,$A8,资金日记账!$F$4:$F$2503,"成本-*"),2))</f>
        <v/>
      </c>
      <c r="E8" s="19">
        <f>IF($A8="","",ROUND(SUMIFS(资金日记账!$K$4:$K$2503,资金日记账!$H$4:$H$2503,$A8,资金日记账!$F$4:$F$2503,"&lt;&gt;往来-借贷")-SUMIFS(资金日记账!$J$4:$J$2503,资金日记账!$H$4:$H$2503,$A8,资金日记账!$F$4:$F$2503,"&lt;&gt;往来-借贷"),2))</f>
        <v/>
      </c>
      <c r="F8" s="19">
        <f>IF($A8="","",ROUND($B8+$C8+$D8-$E8,2))</f>
        <v/>
      </c>
      <c r="G8" s="19">
        <f>IF($A8="","",ROUND(SUMIFS(资金日记账!$K$4:$K$2503,资金日记账!$H$4:$H$2503,$A8,资金日记账!$F$4:$F$2503,"往来-借贷")-SUMIFS(资金日记账!$J$4:$J$2503,资金日记账!$H$4:$H$2503,$A8,资金日记账!$F$4:$F$2503,"往来-借贷"),2))</f>
        <v/>
      </c>
      <c r="H8" s="23">
        <f>IF($A8="","",IFERROR(LOOKUP(1,0/((资金日记账!$H$4:$H$2503=$A8)*(资金日记账!$K$4:$K$2503&gt;0)),资金日记账!$B$4:$B$2503),""))</f>
        <v/>
      </c>
      <c r="I8" s="22">
        <f>IF($A8="","",COUNTIF(采购单!$C$4:$C$2003,$A8)+COUNTIF(资金日记账!$H$4:$H$2503,$A8))</f>
        <v/>
      </c>
      <c r="J8" s="13" t="n"/>
    </row>
    <row r="9">
      <c r="A9" s="17">
        <f>IF(基础资料!$G8="","",基础资料!$G8)</f>
        <v/>
      </c>
      <c r="B9" s="19">
        <f>IF($A9="","",ROUND(SUMIF(采购单!$C$4:$C$2003,$A9,采购单!$L$4:$L$2003),2))</f>
        <v/>
      </c>
      <c r="C9" s="19">
        <f>IF($A9="","",ROUND(SUMIF(生产安装!$F$4:$F$1203,$A9,生产安装!$J$4:$J$1203),2))</f>
        <v/>
      </c>
      <c r="D9" s="19">
        <f>IF($A9="","",ROUND(SUMIFS(资金日记账!$K$4:$K$2503,资金日记账!$H$4:$H$2503,$A9,资金日记账!$F$4:$F$2503,"成本-*"),2))</f>
        <v/>
      </c>
      <c r="E9" s="19">
        <f>IF($A9="","",ROUND(SUMIFS(资金日记账!$K$4:$K$2503,资金日记账!$H$4:$H$2503,$A9,资金日记账!$F$4:$F$2503,"&lt;&gt;往来-借贷")-SUMIFS(资金日记账!$J$4:$J$2503,资金日记账!$H$4:$H$2503,$A9,资金日记账!$F$4:$F$2503,"&lt;&gt;往来-借贷"),2))</f>
        <v/>
      </c>
      <c r="F9" s="19">
        <f>IF($A9="","",ROUND($B9+$C9+$D9-$E9,2))</f>
        <v/>
      </c>
      <c r="G9" s="19">
        <f>IF($A9="","",ROUND(SUMIFS(资金日记账!$K$4:$K$2503,资金日记账!$H$4:$H$2503,$A9,资金日记账!$F$4:$F$2503,"往来-借贷")-SUMIFS(资金日记账!$J$4:$J$2503,资金日记账!$H$4:$H$2503,$A9,资金日记账!$F$4:$F$2503,"往来-借贷"),2))</f>
        <v/>
      </c>
      <c r="H9" s="23">
        <f>IF($A9="","",IFERROR(LOOKUP(1,0/((资金日记账!$H$4:$H$2503=$A9)*(资金日记账!$K$4:$K$2503&gt;0)),资金日记账!$B$4:$B$2503),""))</f>
        <v/>
      </c>
      <c r="I9" s="22">
        <f>IF($A9="","",COUNTIF(采购单!$C$4:$C$2003,$A9)+COUNTIF(资金日记账!$H$4:$H$2503,$A9))</f>
        <v/>
      </c>
      <c r="J9" s="13" t="n"/>
    </row>
    <row r="10">
      <c r="A10" s="17">
        <f>IF(基础资料!$G9="","",基础资料!$G9)</f>
        <v/>
      </c>
      <c r="B10" s="19">
        <f>IF($A10="","",ROUND(SUMIF(采购单!$C$4:$C$2003,$A10,采购单!$L$4:$L$2003),2))</f>
        <v/>
      </c>
      <c r="C10" s="19">
        <f>IF($A10="","",ROUND(SUMIF(生产安装!$F$4:$F$1203,$A10,生产安装!$J$4:$J$1203),2))</f>
        <v/>
      </c>
      <c r="D10" s="19">
        <f>IF($A10="","",ROUND(SUMIFS(资金日记账!$K$4:$K$2503,资金日记账!$H$4:$H$2503,$A10,资金日记账!$F$4:$F$2503,"成本-*"),2))</f>
        <v/>
      </c>
      <c r="E10" s="19">
        <f>IF($A10="","",ROUND(SUMIFS(资金日记账!$K$4:$K$2503,资金日记账!$H$4:$H$2503,$A10,资金日记账!$F$4:$F$2503,"&lt;&gt;往来-借贷")-SUMIFS(资金日记账!$J$4:$J$2503,资金日记账!$H$4:$H$2503,$A10,资金日记账!$F$4:$F$2503,"&lt;&gt;往来-借贷"),2))</f>
        <v/>
      </c>
      <c r="F10" s="19">
        <f>IF($A10="","",ROUND($B10+$C10+$D10-$E10,2))</f>
        <v/>
      </c>
      <c r="G10" s="19">
        <f>IF($A10="","",ROUND(SUMIFS(资金日记账!$K$4:$K$2503,资金日记账!$H$4:$H$2503,$A10,资金日记账!$F$4:$F$2503,"往来-借贷")-SUMIFS(资金日记账!$J$4:$J$2503,资金日记账!$H$4:$H$2503,$A10,资金日记账!$F$4:$F$2503,"往来-借贷"),2))</f>
        <v/>
      </c>
      <c r="H10" s="23">
        <f>IF($A10="","",IFERROR(LOOKUP(1,0/((资金日记账!$H$4:$H$2503=$A10)*(资金日记账!$K$4:$K$2503&gt;0)),资金日记账!$B$4:$B$2503),""))</f>
        <v/>
      </c>
      <c r="I10" s="22">
        <f>IF($A10="","",COUNTIF(采购单!$C$4:$C$2003,$A10)+COUNTIF(资金日记账!$H$4:$H$2503,$A10))</f>
        <v/>
      </c>
      <c r="J10" s="13" t="n"/>
    </row>
    <row r="11">
      <c r="A11" s="17">
        <f>IF(基础资料!$G10="","",基础资料!$G10)</f>
        <v/>
      </c>
      <c r="B11" s="19">
        <f>IF($A11="","",ROUND(SUMIF(采购单!$C$4:$C$2003,$A11,采购单!$L$4:$L$2003),2))</f>
        <v/>
      </c>
      <c r="C11" s="19">
        <f>IF($A11="","",ROUND(SUMIF(生产安装!$F$4:$F$1203,$A11,生产安装!$J$4:$J$1203),2))</f>
        <v/>
      </c>
      <c r="D11" s="19">
        <f>IF($A11="","",ROUND(SUMIFS(资金日记账!$K$4:$K$2503,资金日记账!$H$4:$H$2503,$A11,资金日记账!$F$4:$F$2503,"成本-*"),2))</f>
        <v/>
      </c>
      <c r="E11" s="19">
        <f>IF($A11="","",ROUND(SUMIFS(资金日记账!$K$4:$K$2503,资金日记账!$H$4:$H$2503,$A11,资金日记账!$F$4:$F$2503,"&lt;&gt;往来-借贷")-SUMIFS(资金日记账!$J$4:$J$2503,资金日记账!$H$4:$H$2503,$A11,资金日记账!$F$4:$F$2503,"&lt;&gt;往来-借贷"),2))</f>
        <v/>
      </c>
      <c r="F11" s="19">
        <f>IF($A11="","",ROUND($B11+$C11+$D11-$E11,2))</f>
        <v/>
      </c>
      <c r="G11" s="19">
        <f>IF($A11="","",ROUND(SUMIFS(资金日记账!$K$4:$K$2503,资金日记账!$H$4:$H$2503,$A11,资金日记账!$F$4:$F$2503,"往来-借贷")-SUMIFS(资金日记账!$J$4:$J$2503,资金日记账!$H$4:$H$2503,$A11,资金日记账!$F$4:$F$2503,"往来-借贷"),2))</f>
        <v/>
      </c>
      <c r="H11" s="23">
        <f>IF($A11="","",IFERROR(LOOKUP(1,0/((资金日记账!$H$4:$H$2503=$A11)*(资金日记账!$K$4:$K$2503&gt;0)),资金日记账!$B$4:$B$2503),""))</f>
        <v/>
      </c>
      <c r="I11" s="22">
        <f>IF($A11="","",COUNTIF(采购单!$C$4:$C$2003,$A11)+COUNTIF(资金日记账!$H$4:$H$2503,$A11))</f>
        <v/>
      </c>
      <c r="J11" s="13" t="n"/>
    </row>
    <row r="12">
      <c r="A12" s="17">
        <f>IF(基础资料!$G11="","",基础资料!$G11)</f>
        <v/>
      </c>
      <c r="B12" s="19">
        <f>IF($A12="","",ROUND(SUMIF(采购单!$C$4:$C$2003,$A12,采购单!$L$4:$L$2003),2))</f>
        <v/>
      </c>
      <c r="C12" s="19">
        <f>IF($A12="","",ROUND(SUMIF(生产安装!$F$4:$F$1203,$A12,生产安装!$J$4:$J$1203),2))</f>
        <v/>
      </c>
      <c r="D12" s="19">
        <f>IF($A12="","",ROUND(SUMIFS(资金日记账!$K$4:$K$2503,资金日记账!$H$4:$H$2503,$A12,资金日记账!$F$4:$F$2503,"成本-*"),2))</f>
        <v/>
      </c>
      <c r="E12" s="19">
        <f>IF($A12="","",ROUND(SUMIFS(资金日记账!$K$4:$K$2503,资金日记账!$H$4:$H$2503,$A12,资金日记账!$F$4:$F$2503,"&lt;&gt;往来-借贷")-SUMIFS(资金日记账!$J$4:$J$2503,资金日记账!$H$4:$H$2503,$A12,资金日记账!$F$4:$F$2503,"&lt;&gt;往来-借贷"),2))</f>
        <v/>
      </c>
      <c r="F12" s="19">
        <f>IF($A12="","",ROUND($B12+$C12+$D12-$E12,2))</f>
        <v/>
      </c>
      <c r="G12" s="19">
        <f>IF($A12="","",ROUND(SUMIFS(资金日记账!$K$4:$K$2503,资金日记账!$H$4:$H$2503,$A12,资金日记账!$F$4:$F$2503,"往来-借贷")-SUMIFS(资金日记账!$J$4:$J$2503,资金日记账!$H$4:$H$2503,$A12,资金日记账!$F$4:$F$2503,"往来-借贷"),2))</f>
        <v/>
      </c>
      <c r="H12" s="23">
        <f>IF($A12="","",IFERROR(LOOKUP(1,0/((资金日记账!$H$4:$H$2503=$A12)*(资金日记账!$K$4:$K$2503&gt;0)),资金日记账!$B$4:$B$2503),""))</f>
        <v/>
      </c>
      <c r="I12" s="22">
        <f>IF($A12="","",COUNTIF(采购单!$C$4:$C$2003,$A12)+COUNTIF(资金日记账!$H$4:$H$2503,$A12))</f>
        <v/>
      </c>
      <c r="J12" s="13" t="n"/>
    </row>
    <row r="13">
      <c r="A13" s="17">
        <f>IF(基础资料!$G12="","",基础资料!$G12)</f>
        <v/>
      </c>
      <c r="B13" s="19">
        <f>IF($A13="","",ROUND(SUMIF(采购单!$C$4:$C$2003,$A13,采购单!$L$4:$L$2003),2))</f>
        <v/>
      </c>
      <c r="C13" s="19">
        <f>IF($A13="","",ROUND(SUMIF(生产安装!$F$4:$F$1203,$A13,生产安装!$J$4:$J$1203),2))</f>
        <v/>
      </c>
      <c r="D13" s="19">
        <f>IF($A13="","",ROUND(SUMIFS(资金日记账!$K$4:$K$2503,资金日记账!$H$4:$H$2503,$A13,资金日记账!$F$4:$F$2503,"成本-*"),2))</f>
        <v/>
      </c>
      <c r="E13" s="19">
        <f>IF($A13="","",ROUND(SUMIFS(资金日记账!$K$4:$K$2503,资金日记账!$H$4:$H$2503,$A13,资金日记账!$F$4:$F$2503,"&lt;&gt;往来-借贷")-SUMIFS(资金日记账!$J$4:$J$2503,资金日记账!$H$4:$H$2503,$A13,资金日记账!$F$4:$F$2503,"&lt;&gt;往来-借贷"),2))</f>
        <v/>
      </c>
      <c r="F13" s="19">
        <f>IF($A13="","",ROUND($B13+$C13+$D13-$E13,2))</f>
        <v/>
      </c>
      <c r="G13" s="19">
        <f>IF($A13="","",ROUND(SUMIFS(资金日记账!$K$4:$K$2503,资金日记账!$H$4:$H$2503,$A13,资金日记账!$F$4:$F$2503,"往来-借贷")-SUMIFS(资金日记账!$J$4:$J$2503,资金日记账!$H$4:$H$2503,$A13,资金日记账!$F$4:$F$2503,"往来-借贷"),2))</f>
        <v/>
      </c>
      <c r="H13" s="23">
        <f>IF($A13="","",IFERROR(LOOKUP(1,0/((资金日记账!$H$4:$H$2503=$A13)*(资金日记账!$K$4:$K$2503&gt;0)),资金日记账!$B$4:$B$2503),""))</f>
        <v/>
      </c>
      <c r="I13" s="22">
        <f>IF($A13="","",COUNTIF(采购单!$C$4:$C$2003,$A13)+COUNTIF(资金日记账!$H$4:$H$2503,$A13))</f>
        <v/>
      </c>
      <c r="J13" s="13" t="n"/>
    </row>
    <row r="14">
      <c r="A14" s="17">
        <f>IF(基础资料!$G13="","",基础资料!$G13)</f>
        <v/>
      </c>
      <c r="B14" s="19">
        <f>IF($A14="","",ROUND(SUMIF(采购单!$C$4:$C$2003,$A14,采购单!$L$4:$L$2003),2))</f>
        <v/>
      </c>
      <c r="C14" s="19">
        <f>IF($A14="","",ROUND(SUMIF(生产安装!$F$4:$F$1203,$A14,生产安装!$J$4:$J$1203),2))</f>
        <v/>
      </c>
      <c r="D14" s="19">
        <f>IF($A14="","",ROUND(SUMIFS(资金日记账!$K$4:$K$2503,资金日记账!$H$4:$H$2503,$A14,资金日记账!$F$4:$F$2503,"成本-*"),2))</f>
        <v/>
      </c>
      <c r="E14" s="19">
        <f>IF($A14="","",ROUND(SUMIFS(资金日记账!$K$4:$K$2503,资金日记账!$H$4:$H$2503,$A14,资金日记账!$F$4:$F$2503,"&lt;&gt;往来-借贷")-SUMIFS(资金日记账!$J$4:$J$2503,资金日记账!$H$4:$H$2503,$A14,资金日记账!$F$4:$F$2503,"&lt;&gt;往来-借贷"),2))</f>
        <v/>
      </c>
      <c r="F14" s="19">
        <f>IF($A14="","",ROUND($B14+$C14+$D14-$E14,2))</f>
        <v/>
      </c>
      <c r="G14" s="19">
        <f>IF($A14="","",ROUND(SUMIFS(资金日记账!$K$4:$K$2503,资金日记账!$H$4:$H$2503,$A14,资金日记账!$F$4:$F$2503,"往来-借贷")-SUMIFS(资金日记账!$J$4:$J$2503,资金日记账!$H$4:$H$2503,$A14,资金日记账!$F$4:$F$2503,"往来-借贷"),2))</f>
        <v/>
      </c>
      <c r="H14" s="23">
        <f>IF($A14="","",IFERROR(LOOKUP(1,0/((资金日记账!$H$4:$H$2503=$A14)*(资金日记账!$K$4:$K$2503&gt;0)),资金日记账!$B$4:$B$2503),""))</f>
        <v/>
      </c>
      <c r="I14" s="22">
        <f>IF($A14="","",COUNTIF(采购单!$C$4:$C$2003,$A14)+COUNTIF(资金日记账!$H$4:$H$2503,$A14))</f>
        <v/>
      </c>
      <c r="J14" s="13" t="n"/>
    </row>
    <row r="15">
      <c r="A15" s="17">
        <f>IF(基础资料!$G14="","",基础资料!$G14)</f>
        <v/>
      </c>
      <c r="B15" s="19">
        <f>IF($A15="","",ROUND(SUMIF(采购单!$C$4:$C$2003,$A15,采购单!$L$4:$L$2003),2))</f>
        <v/>
      </c>
      <c r="C15" s="19">
        <f>IF($A15="","",ROUND(SUMIF(生产安装!$F$4:$F$1203,$A15,生产安装!$J$4:$J$1203),2))</f>
        <v/>
      </c>
      <c r="D15" s="19">
        <f>IF($A15="","",ROUND(SUMIFS(资金日记账!$K$4:$K$2503,资金日记账!$H$4:$H$2503,$A15,资金日记账!$F$4:$F$2503,"成本-*"),2))</f>
        <v/>
      </c>
      <c r="E15" s="19">
        <f>IF($A15="","",ROUND(SUMIFS(资金日记账!$K$4:$K$2503,资金日记账!$H$4:$H$2503,$A15,资金日记账!$F$4:$F$2503,"&lt;&gt;往来-借贷")-SUMIFS(资金日记账!$J$4:$J$2503,资金日记账!$H$4:$H$2503,$A15,资金日记账!$F$4:$F$2503,"&lt;&gt;往来-借贷"),2))</f>
        <v/>
      </c>
      <c r="F15" s="19">
        <f>IF($A15="","",ROUND($B15+$C15+$D15-$E15,2))</f>
        <v/>
      </c>
      <c r="G15" s="19">
        <f>IF($A15="","",ROUND(SUMIFS(资金日记账!$K$4:$K$2503,资金日记账!$H$4:$H$2503,$A15,资金日记账!$F$4:$F$2503,"往来-借贷")-SUMIFS(资金日记账!$J$4:$J$2503,资金日记账!$H$4:$H$2503,$A15,资金日记账!$F$4:$F$2503,"往来-借贷"),2))</f>
        <v/>
      </c>
      <c r="H15" s="23">
        <f>IF($A15="","",IFERROR(LOOKUP(1,0/((资金日记账!$H$4:$H$2503=$A15)*(资金日记账!$K$4:$K$2503&gt;0)),资金日记账!$B$4:$B$2503),""))</f>
        <v/>
      </c>
      <c r="I15" s="22">
        <f>IF($A15="","",COUNTIF(采购单!$C$4:$C$2003,$A15)+COUNTIF(资金日记账!$H$4:$H$2503,$A15))</f>
        <v/>
      </c>
      <c r="J15" s="13" t="n"/>
    </row>
    <row r="16">
      <c r="A16" s="17">
        <f>IF(基础资料!$G15="","",基础资料!$G15)</f>
        <v/>
      </c>
      <c r="B16" s="19">
        <f>IF($A16="","",ROUND(SUMIF(采购单!$C$4:$C$2003,$A16,采购单!$L$4:$L$2003),2))</f>
        <v/>
      </c>
      <c r="C16" s="19">
        <f>IF($A16="","",ROUND(SUMIF(生产安装!$F$4:$F$1203,$A16,生产安装!$J$4:$J$1203),2))</f>
        <v/>
      </c>
      <c r="D16" s="19">
        <f>IF($A16="","",ROUND(SUMIFS(资金日记账!$K$4:$K$2503,资金日记账!$H$4:$H$2503,$A16,资金日记账!$F$4:$F$2503,"成本-*"),2))</f>
        <v/>
      </c>
      <c r="E16" s="19">
        <f>IF($A16="","",ROUND(SUMIFS(资金日记账!$K$4:$K$2503,资金日记账!$H$4:$H$2503,$A16,资金日记账!$F$4:$F$2503,"&lt;&gt;往来-借贷")-SUMIFS(资金日记账!$J$4:$J$2503,资金日记账!$H$4:$H$2503,$A16,资金日记账!$F$4:$F$2503,"&lt;&gt;往来-借贷"),2))</f>
        <v/>
      </c>
      <c r="F16" s="19">
        <f>IF($A16="","",ROUND($B16+$C16+$D16-$E16,2))</f>
        <v/>
      </c>
      <c r="G16" s="19">
        <f>IF($A16="","",ROUND(SUMIFS(资金日记账!$K$4:$K$2503,资金日记账!$H$4:$H$2503,$A16,资金日记账!$F$4:$F$2503,"往来-借贷")-SUMIFS(资金日记账!$J$4:$J$2503,资金日记账!$H$4:$H$2503,$A16,资金日记账!$F$4:$F$2503,"往来-借贷"),2))</f>
        <v/>
      </c>
      <c r="H16" s="23">
        <f>IF($A16="","",IFERROR(LOOKUP(1,0/((资金日记账!$H$4:$H$2503=$A16)*(资金日记账!$K$4:$K$2503&gt;0)),资金日记账!$B$4:$B$2503),""))</f>
        <v/>
      </c>
      <c r="I16" s="22">
        <f>IF($A16="","",COUNTIF(采购单!$C$4:$C$2003,$A16)+COUNTIF(资金日记账!$H$4:$H$2503,$A16))</f>
        <v/>
      </c>
      <c r="J16" s="13" t="n"/>
    </row>
    <row r="17">
      <c r="A17" s="17">
        <f>IF(基础资料!$G16="","",基础资料!$G16)</f>
        <v/>
      </c>
      <c r="B17" s="19">
        <f>IF($A17="","",ROUND(SUMIF(采购单!$C$4:$C$2003,$A17,采购单!$L$4:$L$2003),2))</f>
        <v/>
      </c>
      <c r="C17" s="19">
        <f>IF($A17="","",ROUND(SUMIF(生产安装!$F$4:$F$1203,$A17,生产安装!$J$4:$J$1203),2))</f>
        <v/>
      </c>
      <c r="D17" s="19">
        <f>IF($A17="","",ROUND(SUMIFS(资金日记账!$K$4:$K$2503,资金日记账!$H$4:$H$2503,$A17,资金日记账!$F$4:$F$2503,"成本-*"),2))</f>
        <v/>
      </c>
      <c r="E17" s="19">
        <f>IF($A17="","",ROUND(SUMIFS(资金日记账!$K$4:$K$2503,资金日记账!$H$4:$H$2503,$A17,资金日记账!$F$4:$F$2503,"&lt;&gt;往来-借贷")-SUMIFS(资金日记账!$J$4:$J$2503,资金日记账!$H$4:$H$2503,$A17,资金日记账!$F$4:$F$2503,"&lt;&gt;往来-借贷"),2))</f>
        <v/>
      </c>
      <c r="F17" s="19">
        <f>IF($A17="","",ROUND($B17+$C17+$D17-$E17,2))</f>
        <v/>
      </c>
      <c r="G17" s="19">
        <f>IF($A17="","",ROUND(SUMIFS(资金日记账!$K$4:$K$2503,资金日记账!$H$4:$H$2503,$A17,资金日记账!$F$4:$F$2503,"往来-借贷")-SUMIFS(资金日记账!$J$4:$J$2503,资金日记账!$H$4:$H$2503,$A17,资金日记账!$F$4:$F$2503,"往来-借贷"),2))</f>
        <v/>
      </c>
      <c r="H17" s="23">
        <f>IF($A17="","",IFERROR(LOOKUP(1,0/((资金日记账!$H$4:$H$2503=$A17)*(资金日记账!$K$4:$K$2503&gt;0)),资金日记账!$B$4:$B$2503),""))</f>
        <v/>
      </c>
      <c r="I17" s="22">
        <f>IF($A17="","",COUNTIF(采购单!$C$4:$C$2003,$A17)+COUNTIF(资金日记账!$H$4:$H$2503,$A17))</f>
        <v/>
      </c>
      <c r="J17" s="13" t="n"/>
    </row>
    <row r="18">
      <c r="A18" s="17">
        <f>IF(基础资料!$G17="","",基础资料!$G17)</f>
        <v/>
      </c>
      <c r="B18" s="19">
        <f>IF($A18="","",ROUND(SUMIF(采购单!$C$4:$C$2003,$A18,采购单!$L$4:$L$2003),2))</f>
        <v/>
      </c>
      <c r="C18" s="19">
        <f>IF($A18="","",ROUND(SUMIF(生产安装!$F$4:$F$1203,$A18,生产安装!$J$4:$J$1203),2))</f>
        <v/>
      </c>
      <c r="D18" s="19">
        <f>IF($A18="","",ROUND(SUMIFS(资金日记账!$K$4:$K$2503,资金日记账!$H$4:$H$2503,$A18,资金日记账!$F$4:$F$2503,"成本-*"),2))</f>
        <v/>
      </c>
      <c r="E18" s="19">
        <f>IF($A18="","",ROUND(SUMIFS(资金日记账!$K$4:$K$2503,资金日记账!$H$4:$H$2503,$A18,资金日记账!$F$4:$F$2503,"&lt;&gt;往来-借贷")-SUMIFS(资金日记账!$J$4:$J$2503,资金日记账!$H$4:$H$2503,$A18,资金日记账!$F$4:$F$2503,"&lt;&gt;往来-借贷"),2))</f>
        <v/>
      </c>
      <c r="F18" s="19">
        <f>IF($A18="","",ROUND($B18+$C18+$D18-$E18,2))</f>
        <v/>
      </c>
      <c r="G18" s="19">
        <f>IF($A18="","",ROUND(SUMIFS(资金日记账!$K$4:$K$2503,资金日记账!$H$4:$H$2503,$A18,资金日记账!$F$4:$F$2503,"往来-借贷")-SUMIFS(资金日记账!$J$4:$J$2503,资金日记账!$H$4:$H$2503,$A18,资金日记账!$F$4:$F$2503,"往来-借贷"),2))</f>
        <v/>
      </c>
      <c r="H18" s="23">
        <f>IF($A18="","",IFERROR(LOOKUP(1,0/((资金日记账!$H$4:$H$2503=$A18)*(资金日记账!$K$4:$K$2503&gt;0)),资金日记账!$B$4:$B$2503),""))</f>
        <v/>
      </c>
      <c r="I18" s="22">
        <f>IF($A18="","",COUNTIF(采购单!$C$4:$C$2003,$A18)+COUNTIF(资金日记账!$H$4:$H$2503,$A18))</f>
        <v/>
      </c>
      <c r="J18" s="13" t="n"/>
    </row>
    <row r="19">
      <c r="A19" s="17">
        <f>IF(基础资料!$G18="","",基础资料!$G18)</f>
        <v/>
      </c>
      <c r="B19" s="19">
        <f>IF($A19="","",ROUND(SUMIF(采购单!$C$4:$C$2003,$A19,采购单!$L$4:$L$2003),2))</f>
        <v/>
      </c>
      <c r="C19" s="19">
        <f>IF($A19="","",ROUND(SUMIF(生产安装!$F$4:$F$1203,$A19,生产安装!$J$4:$J$1203),2))</f>
        <v/>
      </c>
      <c r="D19" s="19">
        <f>IF($A19="","",ROUND(SUMIFS(资金日记账!$K$4:$K$2503,资金日记账!$H$4:$H$2503,$A19,资金日记账!$F$4:$F$2503,"成本-*"),2))</f>
        <v/>
      </c>
      <c r="E19" s="19">
        <f>IF($A19="","",ROUND(SUMIFS(资金日记账!$K$4:$K$2503,资金日记账!$H$4:$H$2503,$A19,资金日记账!$F$4:$F$2503,"&lt;&gt;往来-借贷")-SUMIFS(资金日记账!$J$4:$J$2503,资金日记账!$H$4:$H$2503,$A19,资金日记账!$F$4:$F$2503,"&lt;&gt;往来-借贷"),2))</f>
        <v/>
      </c>
      <c r="F19" s="19">
        <f>IF($A19="","",ROUND($B19+$C19+$D19-$E19,2))</f>
        <v/>
      </c>
      <c r="G19" s="19">
        <f>IF($A19="","",ROUND(SUMIFS(资金日记账!$K$4:$K$2503,资金日记账!$H$4:$H$2503,$A19,资金日记账!$F$4:$F$2503,"往来-借贷")-SUMIFS(资金日记账!$J$4:$J$2503,资金日记账!$H$4:$H$2503,$A19,资金日记账!$F$4:$F$2503,"往来-借贷"),2))</f>
        <v/>
      </c>
      <c r="H19" s="23">
        <f>IF($A19="","",IFERROR(LOOKUP(1,0/((资金日记账!$H$4:$H$2503=$A19)*(资金日记账!$K$4:$K$2503&gt;0)),资金日记账!$B$4:$B$2503),""))</f>
        <v/>
      </c>
      <c r="I19" s="22">
        <f>IF($A19="","",COUNTIF(采购单!$C$4:$C$2003,$A19)+COUNTIF(资金日记账!$H$4:$H$2503,$A19))</f>
        <v/>
      </c>
      <c r="J19" s="13" t="n"/>
    </row>
    <row r="20">
      <c r="A20" s="17">
        <f>IF(基础资料!$G19="","",基础资料!$G19)</f>
        <v/>
      </c>
      <c r="B20" s="19">
        <f>IF($A20="","",ROUND(SUMIF(采购单!$C$4:$C$2003,$A20,采购单!$L$4:$L$2003),2))</f>
        <v/>
      </c>
      <c r="C20" s="19">
        <f>IF($A20="","",ROUND(SUMIF(生产安装!$F$4:$F$1203,$A20,生产安装!$J$4:$J$1203),2))</f>
        <v/>
      </c>
      <c r="D20" s="19">
        <f>IF($A20="","",ROUND(SUMIFS(资金日记账!$K$4:$K$2503,资金日记账!$H$4:$H$2503,$A20,资金日记账!$F$4:$F$2503,"成本-*"),2))</f>
        <v/>
      </c>
      <c r="E20" s="19">
        <f>IF($A20="","",ROUND(SUMIFS(资金日记账!$K$4:$K$2503,资金日记账!$H$4:$H$2503,$A20,资金日记账!$F$4:$F$2503,"&lt;&gt;往来-借贷")-SUMIFS(资金日记账!$J$4:$J$2503,资金日记账!$H$4:$H$2503,$A20,资金日记账!$F$4:$F$2503,"&lt;&gt;往来-借贷"),2))</f>
        <v/>
      </c>
      <c r="F20" s="19">
        <f>IF($A20="","",ROUND($B20+$C20+$D20-$E20,2))</f>
        <v/>
      </c>
      <c r="G20" s="19">
        <f>IF($A20="","",ROUND(SUMIFS(资金日记账!$K$4:$K$2503,资金日记账!$H$4:$H$2503,$A20,资金日记账!$F$4:$F$2503,"往来-借贷")-SUMIFS(资金日记账!$J$4:$J$2503,资金日记账!$H$4:$H$2503,$A20,资金日记账!$F$4:$F$2503,"往来-借贷"),2))</f>
        <v/>
      </c>
      <c r="H20" s="23">
        <f>IF($A20="","",IFERROR(LOOKUP(1,0/((资金日记账!$H$4:$H$2503=$A20)*(资金日记账!$K$4:$K$2503&gt;0)),资金日记账!$B$4:$B$2503),""))</f>
        <v/>
      </c>
      <c r="I20" s="22">
        <f>IF($A20="","",COUNTIF(采购单!$C$4:$C$2003,$A20)+COUNTIF(资金日记账!$H$4:$H$2503,$A20))</f>
        <v/>
      </c>
      <c r="J20" s="13" t="n"/>
    </row>
    <row r="21">
      <c r="A21" s="17">
        <f>IF(基础资料!$G20="","",基础资料!$G20)</f>
        <v/>
      </c>
      <c r="B21" s="19">
        <f>IF($A21="","",ROUND(SUMIF(采购单!$C$4:$C$2003,$A21,采购单!$L$4:$L$2003),2))</f>
        <v/>
      </c>
      <c r="C21" s="19">
        <f>IF($A21="","",ROUND(SUMIF(生产安装!$F$4:$F$1203,$A21,生产安装!$J$4:$J$1203),2))</f>
        <v/>
      </c>
      <c r="D21" s="19">
        <f>IF($A21="","",ROUND(SUMIFS(资金日记账!$K$4:$K$2503,资金日记账!$H$4:$H$2503,$A21,资金日记账!$F$4:$F$2503,"成本-*"),2))</f>
        <v/>
      </c>
      <c r="E21" s="19">
        <f>IF($A21="","",ROUND(SUMIFS(资金日记账!$K$4:$K$2503,资金日记账!$H$4:$H$2503,$A21,资金日记账!$F$4:$F$2503,"&lt;&gt;往来-借贷")-SUMIFS(资金日记账!$J$4:$J$2503,资金日记账!$H$4:$H$2503,$A21,资金日记账!$F$4:$F$2503,"&lt;&gt;往来-借贷"),2))</f>
        <v/>
      </c>
      <c r="F21" s="19">
        <f>IF($A21="","",ROUND($B21+$C21+$D21-$E21,2))</f>
        <v/>
      </c>
      <c r="G21" s="19">
        <f>IF($A21="","",ROUND(SUMIFS(资金日记账!$K$4:$K$2503,资金日记账!$H$4:$H$2503,$A21,资金日记账!$F$4:$F$2503,"往来-借贷")-SUMIFS(资金日记账!$J$4:$J$2503,资金日记账!$H$4:$H$2503,$A21,资金日记账!$F$4:$F$2503,"往来-借贷"),2))</f>
        <v/>
      </c>
      <c r="H21" s="23">
        <f>IF($A21="","",IFERROR(LOOKUP(1,0/((资金日记账!$H$4:$H$2503=$A21)*(资金日记账!$K$4:$K$2503&gt;0)),资金日记账!$B$4:$B$2503),""))</f>
        <v/>
      </c>
      <c r="I21" s="22">
        <f>IF($A21="","",COUNTIF(采购单!$C$4:$C$2003,$A21)+COUNTIF(资金日记账!$H$4:$H$2503,$A21))</f>
        <v/>
      </c>
      <c r="J21" s="13" t="n"/>
    </row>
    <row r="22">
      <c r="A22" s="17">
        <f>IF(基础资料!$G21="","",基础资料!$G21)</f>
        <v/>
      </c>
      <c r="B22" s="19">
        <f>IF($A22="","",ROUND(SUMIF(采购单!$C$4:$C$2003,$A22,采购单!$L$4:$L$2003),2))</f>
        <v/>
      </c>
      <c r="C22" s="19">
        <f>IF($A22="","",ROUND(SUMIF(生产安装!$F$4:$F$1203,$A22,生产安装!$J$4:$J$1203),2))</f>
        <v/>
      </c>
      <c r="D22" s="19">
        <f>IF($A22="","",ROUND(SUMIFS(资金日记账!$K$4:$K$2503,资金日记账!$H$4:$H$2503,$A22,资金日记账!$F$4:$F$2503,"成本-*"),2))</f>
        <v/>
      </c>
      <c r="E22" s="19">
        <f>IF($A22="","",ROUND(SUMIFS(资金日记账!$K$4:$K$2503,资金日记账!$H$4:$H$2503,$A22,资金日记账!$F$4:$F$2503,"&lt;&gt;往来-借贷")-SUMIFS(资金日记账!$J$4:$J$2503,资金日记账!$H$4:$H$2503,$A22,资金日记账!$F$4:$F$2503,"&lt;&gt;往来-借贷"),2))</f>
        <v/>
      </c>
      <c r="F22" s="19">
        <f>IF($A22="","",ROUND($B22+$C22+$D22-$E22,2))</f>
        <v/>
      </c>
      <c r="G22" s="19">
        <f>IF($A22="","",ROUND(SUMIFS(资金日记账!$K$4:$K$2503,资金日记账!$H$4:$H$2503,$A22,资金日记账!$F$4:$F$2503,"往来-借贷")-SUMIFS(资金日记账!$J$4:$J$2503,资金日记账!$H$4:$H$2503,$A22,资金日记账!$F$4:$F$2503,"往来-借贷"),2))</f>
        <v/>
      </c>
      <c r="H22" s="23">
        <f>IF($A22="","",IFERROR(LOOKUP(1,0/((资金日记账!$H$4:$H$2503=$A22)*(资金日记账!$K$4:$K$2503&gt;0)),资金日记账!$B$4:$B$2503),""))</f>
        <v/>
      </c>
      <c r="I22" s="22">
        <f>IF($A22="","",COUNTIF(采购单!$C$4:$C$2003,$A22)+COUNTIF(资金日记账!$H$4:$H$2503,$A22))</f>
        <v/>
      </c>
      <c r="J22" s="13" t="n"/>
    </row>
    <row r="23">
      <c r="A23" s="17">
        <f>IF(基础资料!$G22="","",基础资料!$G22)</f>
        <v/>
      </c>
      <c r="B23" s="19">
        <f>IF($A23="","",ROUND(SUMIF(采购单!$C$4:$C$2003,$A23,采购单!$L$4:$L$2003),2))</f>
        <v/>
      </c>
      <c r="C23" s="19">
        <f>IF($A23="","",ROUND(SUMIF(生产安装!$F$4:$F$1203,$A23,生产安装!$J$4:$J$1203),2))</f>
        <v/>
      </c>
      <c r="D23" s="19">
        <f>IF($A23="","",ROUND(SUMIFS(资金日记账!$K$4:$K$2503,资金日记账!$H$4:$H$2503,$A23,资金日记账!$F$4:$F$2503,"成本-*"),2))</f>
        <v/>
      </c>
      <c r="E23" s="19">
        <f>IF($A23="","",ROUND(SUMIFS(资金日记账!$K$4:$K$2503,资金日记账!$H$4:$H$2503,$A23,资金日记账!$F$4:$F$2503,"&lt;&gt;往来-借贷")-SUMIFS(资金日记账!$J$4:$J$2503,资金日记账!$H$4:$H$2503,$A23,资金日记账!$F$4:$F$2503,"&lt;&gt;往来-借贷"),2))</f>
        <v/>
      </c>
      <c r="F23" s="19">
        <f>IF($A23="","",ROUND($B23+$C23+$D23-$E23,2))</f>
        <v/>
      </c>
      <c r="G23" s="19">
        <f>IF($A23="","",ROUND(SUMIFS(资金日记账!$K$4:$K$2503,资金日记账!$H$4:$H$2503,$A23,资金日记账!$F$4:$F$2503,"往来-借贷")-SUMIFS(资金日记账!$J$4:$J$2503,资金日记账!$H$4:$H$2503,$A23,资金日记账!$F$4:$F$2503,"往来-借贷"),2))</f>
        <v/>
      </c>
      <c r="H23" s="23">
        <f>IF($A23="","",IFERROR(LOOKUP(1,0/((资金日记账!$H$4:$H$2503=$A23)*(资金日记账!$K$4:$K$2503&gt;0)),资金日记账!$B$4:$B$2503),""))</f>
        <v/>
      </c>
      <c r="I23" s="22">
        <f>IF($A23="","",COUNTIF(采购单!$C$4:$C$2003,$A23)+COUNTIF(资金日记账!$H$4:$H$2503,$A23))</f>
        <v/>
      </c>
      <c r="J23" s="13" t="n"/>
    </row>
    <row r="24">
      <c r="A24" s="17">
        <f>IF(基础资料!$G23="","",基础资料!$G23)</f>
        <v/>
      </c>
      <c r="B24" s="19">
        <f>IF($A24="","",ROUND(SUMIF(采购单!$C$4:$C$2003,$A24,采购单!$L$4:$L$2003),2))</f>
        <v/>
      </c>
      <c r="C24" s="19">
        <f>IF($A24="","",ROUND(SUMIF(生产安装!$F$4:$F$1203,$A24,生产安装!$J$4:$J$1203),2))</f>
        <v/>
      </c>
      <c r="D24" s="19">
        <f>IF($A24="","",ROUND(SUMIFS(资金日记账!$K$4:$K$2503,资金日记账!$H$4:$H$2503,$A24,资金日记账!$F$4:$F$2503,"成本-*"),2))</f>
        <v/>
      </c>
      <c r="E24" s="19">
        <f>IF($A24="","",ROUND(SUMIFS(资金日记账!$K$4:$K$2503,资金日记账!$H$4:$H$2503,$A24,资金日记账!$F$4:$F$2503,"&lt;&gt;往来-借贷")-SUMIFS(资金日记账!$J$4:$J$2503,资金日记账!$H$4:$H$2503,$A24,资金日记账!$F$4:$F$2503,"&lt;&gt;往来-借贷"),2))</f>
        <v/>
      </c>
      <c r="F24" s="19">
        <f>IF($A24="","",ROUND($B24+$C24+$D24-$E24,2))</f>
        <v/>
      </c>
      <c r="G24" s="19">
        <f>IF($A24="","",ROUND(SUMIFS(资金日记账!$K$4:$K$2503,资金日记账!$H$4:$H$2503,$A24,资金日记账!$F$4:$F$2503,"往来-借贷")-SUMIFS(资金日记账!$J$4:$J$2503,资金日记账!$H$4:$H$2503,$A24,资金日记账!$F$4:$F$2503,"往来-借贷"),2))</f>
        <v/>
      </c>
      <c r="H24" s="23">
        <f>IF($A24="","",IFERROR(LOOKUP(1,0/((资金日记账!$H$4:$H$2503=$A24)*(资金日记账!$K$4:$K$2503&gt;0)),资金日记账!$B$4:$B$2503),""))</f>
        <v/>
      </c>
      <c r="I24" s="22">
        <f>IF($A24="","",COUNTIF(采购单!$C$4:$C$2003,$A24)+COUNTIF(资金日记账!$H$4:$H$2503,$A24))</f>
        <v/>
      </c>
      <c r="J24" s="13" t="n"/>
    </row>
    <row r="25">
      <c r="A25" s="17">
        <f>IF(基础资料!$G24="","",基础资料!$G24)</f>
        <v/>
      </c>
      <c r="B25" s="19">
        <f>IF($A25="","",ROUND(SUMIF(采购单!$C$4:$C$2003,$A25,采购单!$L$4:$L$2003),2))</f>
        <v/>
      </c>
      <c r="C25" s="19">
        <f>IF($A25="","",ROUND(SUMIF(生产安装!$F$4:$F$1203,$A25,生产安装!$J$4:$J$1203),2))</f>
        <v/>
      </c>
      <c r="D25" s="19">
        <f>IF($A25="","",ROUND(SUMIFS(资金日记账!$K$4:$K$2503,资金日记账!$H$4:$H$2503,$A25,资金日记账!$F$4:$F$2503,"成本-*"),2))</f>
        <v/>
      </c>
      <c r="E25" s="19">
        <f>IF($A25="","",ROUND(SUMIFS(资金日记账!$K$4:$K$2503,资金日记账!$H$4:$H$2503,$A25,资金日记账!$F$4:$F$2503,"&lt;&gt;往来-借贷")-SUMIFS(资金日记账!$J$4:$J$2503,资金日记账!$H$4:$H$2503,$A25,资金日记账!$F$4:$F$2503,"&lt;&gt;往来-借贷"),2))</f>
        <v/>
      </c>
      <c r="F25" s="19">
        <f>IF($A25="","",ROUND($B25+$C25+$D25-$E25,2))</f>
        <v/>
      </c>
      <c r="G25" s="19">
        <f>IF($A25="","",ROUND(SUMIFS(资金日记账!$K$4:$K$2503,资金日记账!$H$4:$H$2503,$A25,资金日记账!$F$4:$F$2503,"往来-借贷")-SUMIFS(资金日记账!$J$4:$J$2503,资金日记账!$H$4:$H$2503,$A25,资金日记账!$F$4:$F$2503,"往来-借贷"),2))</f>
        <v/>
      </c>
      <c r="H25" s="23">
        <f>IF($A25="","",IFERROR(LOOKUP(1,0/((资金日记账!$H$4:$H$2503=$A25)*(资金日记账!$K$4:$K$2503&gt;0)),资金日记账!$B$4:$B$2503),""))</f>
        <v/>
      </c>
      <c r="I25" s="22">
        <f>IF($A25="","",COUNTIF(采购单!$C$4:$C$2003,$A25)+COUNTIF(资金日记账!$H$4:$H$2503,$A25))</f>
        <v/>
      </c>
      <c r="J25" s="13" t="n"/>
    </row>
    <row r="26">
      <c r="A26" s="17">
        <f>IF(基础资料!$G25="","",基础资料!$G25)</f>
        <v/>
      </c>
      <c r="B26" s="19">
        <f>IF($A26="","",ROUND(SUMIF(采购单!$C$4:$C$2003,$A26,采购单!$L$4:$L$2003),2))</f>
        <v/>
      </c>
      <c r="C26" s="19">
        <f>IF($A26="","",ROUND(SUMIF(生产安装!$F$4:$F$1203,$A26,生产安装!$J$4:$J$1203),2))</f>
        <v/>
      </c>
      <c r="D26" s="19">
        <f>IF($A26="","",ROUND(SUMIFS(资金日记账!$K$4:$K$2503,资金日记账!$H$4:$H$2503,$A26,资金日记账!$F$4:$F$2503,"成本-*"),2))</f>
        <v/>
      </c>
      <c r="E26" s="19">
        <f>IF($A26="","",ROUND(SUMIFS(资金日记账!$K$4:$K$2503,资金日记账!$H$4:$H$2503,$A26,资金日记账!$F$4:$F$2503,"&lt;&gt;往来-借贷")-SUMIFS(资金日记账!$J$4:$J$2503,资金日记账!$H$4:$H$2503,$A26,资金日记账!$F$4:$F$2503,"&lt;&gt;往来-借贷"),2))</f>
        <v/>
      </c>
      <c r="F26" s="19">
        <f>IF($A26="","",ROUND($B26+$C26+$D26-$E26,2))</f>
        <v/>
      </c>
      <c r="G26" s="19">
        <f>IF($A26="","",ROUND(SUMIFS(资金日记账!$K$4:$K$2503,资金日记账!$H$4:$H$2503,$A26,资金日记账!$F$4:$F$2503,"往来-借贷")-SUMIFS(资金日记账!$J$4:$J$2503,资金日记账!$H$4:$H$2503,$A26,资金日记账!$F$4:$F$2503,"往来-借贷"),2))</f>
        <v/>
      </c>
      <c r="H26" s="23">
        <f>IF($A26="","",IFERROR(LOOKUP(1,0/((资金日记账!$H$4:$H$2503=$A26)*(资金日记账!$K$4:$K$2503&gt;0)),资金日记账!$B$4:$B$2503),""))</f>
        <v/>
      </c>
      <c r="I26" s="22">
        <f>IF($A26="","",COUNTIF(采购单!$C$4:$C$2003,$A26)+COUNTIF(资金日记账!$H$4:$H$2503,$A26))</f>
        <v/>
      </c>
      <c r="J26" s="13" t="n"/>
    </row>
    <row r="27">
      <c r="A27" s="17">
        <f>IF(基础资料!$G26="","",基础资料!$G26)</f>
        <v/>
      </c>
      <c r="B27" s="19">
        <f>IF($A27="","",ROUND(SUMIF(采购单!$C$4:$C$2003,$A27,采购单!$L$4:$L$2003),2))</f>
        <v/>
      </c>
      <c r="C27" s="19">
        <f>IF($A27="","",ROUND(SUMIF(生产安装!$F$4:$F$1203,$A27,生产安装!$J$4:$J$1203),2))</f>
        <v/>
      </c>
      <c r="D27" s="19">
        <f>IF($A27="","",ROUND(SUMIFS(资金日记账!$K$4:$K$2503,资金日记账!$H$4:$H$2503,$A27,资金日记账!$F$4:$F$2503,"成本-*"),2))</f>
        <v/>
      </c>
      <c r="E27" s="19">
        <f>IF($A27="","",ROUND(SUMIFS(资金日记账!$K$4:$K$2503,资金日记账!$H$4:$H$2503,$A27,资金日记账!$F$4:$F$2503,"&lt;&gt;往来-借贷")-SUMIFS(资金日记账!$J$4:$J$2503,资金日记账!$H$4:$H$2503,$A27,资金日记账!$F$4:$F$2503,"&lt;&gt;往来-借贷"),2))</f>
        <v/>
      </c>
      <c r="F27" s="19">
        <f>IF($A27="","",ROUND($B27+$C27+$D27-$E27,2))</f>
        <v/>
      </c>
      <c r="G27" s="19">
        <f>IF($A27="","",ROUND(SUMIFS(资金日记账!$K$4:$K$2503,资金日记账!$H$4:$H$2503,$A27,资金日记账!$F$4:$F$2503,"往来-借贷")-SUMIFS(资金日记账!$J$4:$J$2503,资金日记账!$H$4:$H$2503,$A27,资金日记账!$F$4:$F$2503,"往来-借贷"),2))</f>
        <v/>
      </c>
      <c r="H27" s="23">
        <f>IF($A27="","",IFERROR(LOOKUP(1,0/((资金日记账!$H$4:$H$2503=$A27)*(资金日记账!$K$4:$K$2503&gt;0)),资金日记账!$B$4:$B$2503),""))</f>
        <v/>
      </c>
      <c r="I27" s="22">
        <f>IF($A27="","",COUNTIF(采购单!$C$4:$C$2003,$A27)+COUNTIF(资金日记账!$H$4:$H$2503,$A27))</f>
        <v/>
      </c>
      <c r="J27" s="13" t="n"/>
    </row>
    <row r="28">
      <c r="A28" s="17">
        <f>IF(基础资料!$G27="","",基础资料!$G27)</f>
        <v/>
      </c>
      <c r="B28" s="19">
        <f>IF($A28="","",ROUND(SUMIF(采购单!$C$4:$C$2003,$A28,采购单!$L$4:$L$2003),2))</f>
        <v/>
      </c>
      <c r="C28" s="19">
        <f>IF($A28="","",ROUND(SUMIF(生产安装!$F$4:$F$1203,$A28,生产安装!$J$4:$J$1203),2))</f>
        <v/>
      </c>
      <c r="D28" s="19">
        <f>IF($A28="","",ROUND(SUMIFS(资金日记账!$K$4:$K$2503,资金日记账!$H$4:$H$2503,$A28,资金日记账!$F$4:$F$2503,"成本-*"),2))</f>
        <v/>
      </c>
      <c r="E28" s="19">
        <f>IF($A28="","",ROUND(SUMIFS(资金日记账!$K$4:$K$2503,资金日记账!$H$4:$H$2503,$A28,资金日记账!$F$4:$F$2503,"&lt;&gt;往来-借贷")-SUMIFS(资金日记账!$J$4:$J$2503,资金日记账!$H$4:$H$2503,$A28,资金日记账!$F$4:$F$2503,"&lt;&gt;往来-借贷"),2))</f>
        <v/>
      </c>
      <c r="F28" s="19">
        <f>IF($A28="","",ROUND($B28+$C28+$D28-$E28,2))</f>
        <v/>
      </c>
      <c r="G28" s="19">
        <f>IF($A28="","",ROUND(SUMIFS(资金日记账!$K$4:$K$2503,资金日记账!$H$4:$H$2503,$A28,资金日记账!$F$4:$F$2503,"往来-借贷")-SUMIFS(资金日记账!$J$4:$J$2503,资金日记账!$H$4:$H$2503,$A28,资金日记账!$F$4:$F$2503,"往来-借贷"),2))</f>
        <v/>
      </c>
      <c r="H28" s="23">
        <f>IF($A28="","",IFERROR(LOOKUP(1,0/((资金日记账!$H$4:$H$2503=$A28)*(资金日记账!$K$4:$K$2503&gt;0)),资金日记账!$B$4:$B$2503),""))</f>
        <v/>
      </c>
      <c r="I28" s="22">
        <f>IF($A28="","",COUNTIF(采购单!$C$4:$C$2003,$A28)+COUNTIF(资金日记账!$H$4:$H$2503,$A28))</f>
        <v/>
      </c>
      <c r="J28" s="13" t="n"/>
    </row>
    <row r="29">
      <c r="A29" s="17">
        <f>IF(基础资料!$G28="","",基础资料!$G28)</f>
        <v/>
      </c>
      <c r="B29" s="19">
        <f>IF($A29="","",ROUND(SUMIF(采购单!$C$4:$C$2003,$A29,采购单!$L$4:$L$2003),2))</f>
        <v/>
      </c>
      <c r="C29" s="19">
        <f>IF($A29="","",ROUND(SUMIF(生产安装!$F$4:$F$1203,$A29,生产安装!$J$4:$J$1203),2))</f>
        <v/>
      </c>
      <c r="D29" s="19">
        <f>IF($A29="","",ROUND(SUMIFS(资金日记账!$K$4:$K$2503,资金日记账!$H$4:$H$2503,$A29,资金日记账!$F$4:$F$2503,"成本-*"),2))</f>
        <v/>
      </c>
      <c r="E29" s="19">
        <f>IF($A29="","",ROUND(SUMIFS(资金日记账!$K$4:$K$2503,资金日记账!$H$4:$H$2503,$A29,资金日记账!$F$4:$F$2503,"&lt;&gt;往来-借贷")-SUMIFS(资金日记账!$J$4:$J$2503,资金日记账!$H$4:$H$2503,$A29,资金日记账!$F$4:$F$2503,"&lt;&gt;往来-借贷"),2))</f>
        <v/>
      </c>
      <c r="F29" s="19">
        <f>IF($A29="","",ROUND($B29+$C29+$D29-$E29,2))</f>
        <v/>
      </c>
      <c r="G29" s="19">
        <f>IF($A29="","",ROUND(SUMIFS(资金日记账!$K$4:$K$2503,资金日记账!$H$4:$H$2503,$A29,资金日记账!$F$4:$F$2503,"往来-借贷")-SUMIFS(资金日记账!$J$4:$J$2503,资金日记账!$H$4:$H$2503,$A29,资金日记账!$F$4:$F$2503,"往来-借贷"),2))</f>
        <v/>
      </c>
      <c r="H29" s="23">
        <f>IF($A29="","",IFERROR(LOOKUP(1,0/((资金日记账!$H$4:$H$2503=$A29)*(资金日记账!$K$4:$K$2503&gt;0)),资金日记账!$B$4:$B$2503),""))</f>
        <v/>
      </c>
      <c r="I29" s="22">
        <f>IF($A29="","",COUNTIF(采购单!$C$4:$C$2003,$A29)+COUNTIF(资金日记账!$H$4:$H$2503,$A29))</f>
        <v/>
      </c>
      <c r="J29" s="13" t="n"/>
    </row>
    <row r="30">
      <c r="A30" s="17">
        <f>IF(基础资料!$G29="","",基础资料!$G29)</f>
        <v/>
      </c>
      <c r="B30" s="19">
        <f>IF($A30="","",ROUND(SUMIF(采购单!$C$4:$C$2003,$A30,采购单!$L$4:$L$2003),2))</f>
        <v/>
      </c>
      <c r="C30" s="19">
        <f>IF($A30="","",ROUND(SUMIF(生产安装!$F$4:$F$1203,$A30,生产安装!$J$4:$J$1203),2))</f>
        <v/>
      </c>
      <c r="D30" s="19">
        <f>IF($A30="","",ROUND(SUMIFS(资金日记账!$K$4:$K$2503,资金日记账!$H$4:$H$2503,$A30,资金日记账!$F$4:$F$2503,"成本-*"),2))</f>
        <v/>
      </c>
      <c r="E30" s="19">
        <f>IF($A30="","",ROUND(SUMIFS(资金日记账!$K$4:$K$2503,资金日记账!$H$4:$H$2503,$A30,资金日记账!$F$4:$F$2503,"&lt;&gt;往来-借贷")-SUMIFS(资金日记账!$J$4:$J$2503,资金日记账!$H$4:$H$2503,$A30,资金日记账!$F$4:$F$2503,"&lt;&gt;往来-借贷"),2))</f>
        <v/>
      </c>
      <c r="F30" s="19">
        <f>IF($A30="","",ROUND($B30+$C30+$D30-$E30,2))</f>
        <v/>
      </c>
      <c r="G30" s="19">
        <f>IF($A30="","",ROUND(SUMIFS(资金日记账!$K$4:$K$2503,资金日记账!$H$4:$H$2503,$A30,资金日记账!$F$4:$F$2503,"往来-借贷")-SUMIFS(资金日记账!$J$4:$J$2503,资金日记账!$H$4:$H$2503,$A30,资金日记账!$F$4:$F$2503,"往来-借贷"),2))</f>
        <v/>
      </c>
      <c r="H30" s="23">
        <f>IF($A30="","",IFERROR(LOOKUP(1,0/((资金日记账!$H$4:$H$2503=$A30)*(资金日记账!$K$4:$K$2503&gt;0)),资金日记账!$B$4:$B$2503),""))</f>
        <v/>
      </c>
      <c r="I30" s="22">
        <f>IF($A30="","",COUNTIF(采购单!$C$4:$C$2003,$A30)+COUNTIF(资金日记账!$H$4:$H$2503,$A30))</f>
        <v/>
      </c>
      <c r="J30" s="13" t="n"/>
    </row>
    <row r="31">
      <c r="A31" s="17">
        <f>IF(基础资料!$G30="","",基础资料!$G30)</f>
        <v/>
      </c>
      <c r="B31" s="19">
        <f>IF($A31="","",ROUND(SUMIF(采购单!$C$4:$C$2003,$A31,采购单!$L$4:$L$2003),2))</f>
        <v/>
      </c>
      <c r="C31" s="19">
        <f>IF($A31="","",ROUND(SUMIF(生产安装!$F$4:$F$1203,$A31,生产安装!$J$4:$J$1203),2))</f>
        <v/>
      </c>
      <c r="D31" s="19">
        <f>IF($A31="","",ROUND(SUMIFS(资金日记账!$K$4:$K$2503,资金日记账!$H$4:$H$2503,$A31,资金日记账!$F$4:$F$2503,"成本-*"),2))</f>
        <v/>
      </c>
      <c r="E31" s="19">
        <f>IF($A31="","",ROUND(SUMIFS(资金日记账!$K$4:$K$2503,资金日记账!$H$4:$H$2503,$A31,资金日记账!$F$4:$F$2503,"&lt;&gt;往来-借贷")-SUMIFS(资金日记账!$J$4:$J$2503,资金日记账!$H$4:$H$2503,$A31,资金日记账!$F$4:$F$2503,"&lt;&gt;往来-借贷"),2))</f>
        <v/>
      </c>
      <c r="F31" s="19">
        <f>IF($A31="","",ROUND($B31+$C31+$D31-$E31,2))</f>
        <v/>
      </c>
      <c r="G31" s="19">
        <f>IF($A31="","",ROUND(SUMIFS(资金日记账!$K$4:$K$2503,资金日记账!$H$4:$H$2503,$A31,资金日记账!$F$4:$F$2503,"往来-借贷")-SUMIFS(资金日记账!$J$4:$J$2503,资金日记账!$H$4:$H$2503,$A31,资金日记账!$F$4:$F$2503,"往来-借贷"),2))</f>
        <v/>
      </c>
      <c r="H31" s="23">
        <f>IF($A31="","",IFERROR(LOOKUP(1,0/((资金日记账!$H$4:$H$2503=$A31)*(资金日记账!$K$4:$K$2503&gt;0)),资金日记账!$B$4:$B$2503),""))</f>
        <v/>
      </c>
      <c r="I31" s="22">
        <f>IF($A31="","",COUNTIF(采购单!$C$4:$C$2003,$A31)+COUNTIF(资金日记账!$H$4:$H$2503,$A31))</f>
        <v/>
      </c>
      <c r="J31" s="13" t="n"/>
    </row>
    <row r="32">
      <c r="A32" s="17">
        <f>IF(基础资料!$G31="","",基础资料!$G31)</f>
        <v/>
      </c>
      <c r="B32" s="19">
        <f>IF($A32="","",ROUND(SUMIF(采购单!$C$4:$C$2003,$A32,采购单!$L$4:$L$2003),2))</f>
        <v/>
      </c>
      <c r="C32" s="19">
        <f>IF($A32="","",ROUND(SUMIF(生产安装!$F$4:$F$1203,$A32,生产安装!$J$4:$J$1203),2))</f>
        <v/>
      </c>
      <c r="D32" s="19">
        <f>IF($A32="","",ROUND(SUMIFS(资金日记账!$K$4:$K$2503,资金日记账!$H$4:$H$2503,$A32,资金日记账!$F$4:$F$2503,"成本-*"),2))</f>
        <v/>
      </c>
      <c r="E32" s="19">
        <f>IF($A32="","",ROUND(SUMIFS(资金日记账!$K$4:$K$2503,资金日记账!$H$4:$H$2503,$A32,资金日记账!$F$4:$F$2503,"&lt;&gt;往来-借贷")-SUMIFS(资金日记账!$J$4:$J$2503,资金日记账!$H$4:$H$2503,$A32,资金日记账!$F$4:$F$2503,"&lt;&gt;往来-借贷"),2))</f>
        <v/>
      </c>
      <c r="F32" s="19">
        <f>IF($A32="","",ROUND($B32+$C32+$D32-$E32,2))</f>
        <v/>
      </c>
      <c r="G32" s="19">
        <f>IF($A32="","",ROUND(SUMIFS(资金日记账!$K$4:$K$2503,资金日记账!$H$4:$H$2503,$A32,资金日记账!$F$4:$F$2503,"往来-借贷")-SUMIFS(资金日记账!$J$4:$J$2503,资金日记账!$H$4:$H$2503,$A32,资金日记账!$F$4:$F$2503,"往来-借贷"),2))</f>
        <v/>
      </c>
      <c r="H32" s="23">
        <f>IF($A32="","",IFERROR(LOOKUP(1,0/((资金日记账!$H$4:$H$2503=$A32)*(资金日记账!$K$4:$K$2503&gt;0)),资金日记账!$B$4:$B$2503),""))</f>
        <v/>
      </c>
      <c r="I32" s="22">
        <f>IF($A32="","",COUNTIF(采购单!$C$4:$C$2003,$A32)+COUNTIF(资金日记账!$H$4:$H$2503,$A32))</f>
        <v/>
      </c>
      <c r="J32" s="13" t="n"/>
    </row>
    <row r="33">
      <c r="A33" s="17">
        <f>IF(基础资料!$G32="","",基础资料!$G32)</f>
        <v/>
      </c>
      <c r="B33" s="19">
        <f>IF($A33="","",ROUND(SUMIF(采购单!$C$4:$C$2003,$A33,采购单!$L$4:$L$2003),2))</f>
        <v/>
      </c>
      <c r="C33" s="19">
        <f>IF($A33="","",ROUND(SUMIF(生产安装!$F$4:$F$1203,$A33,生产安装!$J$4:$J$1203),2))</f>
        <v/>
      </c>
      <c r="D33" s="19">
        <f>IF($A33="","",ROUND(SUMIFS(资金日记账!$K$4:$K$2503,资金日记账!$H$4:$H$2503,$A33,资金日记账!$F$4:$F$2503,"成本-*"),2))</f>
        <v/>
      </c>
      <c r="E33" s="19">
        <f>IF($A33="","",ROUND(SUMIFS(资金日记账!$K$4:$K$2503,资金日记账!$H$4:$H$2503,$A33,资金日记账!$F$4:$F$2503,"&lt;&gt;往来-借贷")-SUMIFS(资金日记账!$J$4:$J$2503,资金日记账!$H$4:$H$2503,$A33,资金日记账!$F$4:$F$2503,"&lt;&gt;往来-借贷"),2))</f>
        <v/>
      </c>
      <c r="F33" s="19">
        <f>IF($A33="","",ROUND($B33+$C33+$D33-$E33,2))</f>
        <v/>
      </c>
      <c r="G33" s="19">
        <f>IF($A33="","",ROUND(SUMIFS(资金日记账!$K$4:$K$2503,资金日记账!$H$4:$H$2503,$A33,资金日记账!$F$4:$F$2503,"往来-借贷")-SUMIFS(资金日记账!$J$4:$J$2503,资金日记账!$H$4:$H$2503,$A33,资金日记账!$F$4:$F$2503,"往来-借贷"),2))</f>
        <v/>
      </c>
      <c r="H33" s="23">
        <f>IF($A33="","",IFERROR(LOOKUP(1,0/((资金日记账!$H$4:$H$2503=$A33)*(资金日记账!$K$4:$K$2503&gt;0)),资金日记账!$B$4:$B$2503),""))</f>
        <v/>
      </c>
      <c r="I33" s="22">
        <f>IF($A33="","",COUNTIF(采购单!$C$4:$C$2003,$A33)+COUNTIF(资金日记账!$H$4:$H$2503,$A33))</f>
        <v/>
      </c>
      <c r="J33" s="13" t="n"/>
    </row>
    <row r="34">
      <c r="A34" s="17">
        <f>IF(基础资料!$G33="","",基础资料!$G33)</f>
        <v/>
      </c>
      <c r="B34" s="19">
        <f>IF($A34="","",ROUND(SUMIF(采购单!$C$4:$C$2003,$A34,采购单!$L$4:$L$2003),2))</f>
        <v/>
      </c>
      <c r="C34" s="19">
        <f>IF($A34="","",ROUND(SUMIF(生产安装!$F$4:$F$1203,$A34,生产安装!$J$4:$J$1203),2))</f>
        <v/>
      </c>
      <c r="D34" s="19">
        <f>IF($A34="","",ROUND(SUMIFS(资金日记账!$K$4:$K$2503,资金日记账!$H$4:$H$2503,$A34,资金日记账!$F$4:$F$2503,"成本-*"),2))</f>
        <v/>
      </c>
      <c r="E34" s="19">
        <f>IF($A34="","",ROUND(SUMIFS(资金日记账!$K$4:$K$2503,资金日记账!$H$4:$H$2503,$A34,资金日记账!$F$4:$F$2503,"&lt;&gt;往来-借贷")-SUMIFS(资金日记账!$J$4:$J$2503,资金日记账!$H$4:$H$2503,$A34,资金日记账!$F$4:$F$2503,"&lt;&gt;往来-借贷"),2))</f>
        <v/>
      </c>
      <c r="F34" s="19">
        <f>IF($A34="","",ROUND($B34+$C34+$D34-$E34,2))</f>
        <v/>
      </c>
      <c r="G34" s="19">
        <f>IF($A34="","",ROUND(SUMIFS(资金日记账!$K$4:$K$2503,资金日记账!$H$4:$H$2503,$A34,资金日记账!$F$4:$F$2503,"往来-借贷")-SUMIFS(资金日记账!$J$4:$J$2503,资金日记账!$H$4:$H$2503,$A34,资金日记账!$F$4:$F$2503,"往来-借贷"),2))</f>
        <v/>
      </c>
      <c r="H34" s="23">
        <f>IF($A34="","",IFERROR(LOOKUP(1,0/((资金日记账!$H$4:$H$2503=$A34)*(资金日记账!$K$4:$K$2503&gt;0)),资金日记账!$B$4:$B$2503),""))</f>
        <v/>
      </c>
      <c r="I34" s="22">
        <f>IF($A34="","",COUNTIF(采购单!$C$4:$C$2003,$A34)+COUNTIF(资金日记账!$H$4:$H$2503,$A34))</f>
        <v/>
      </c>
      <c r="J34" s="13" t="n"/>
    </row>
    <row r="35">
      <c r="A35" s="17">
        <f>IF(基础资料!$G34="","",基础资料!$G34)</f>
        <v/>
      </c>
      <c r="B35" s="19">
        <f>IF($A35="","",ROUND(SUMIF(采购单!$C$4:$C$2003,$A35,采购单!$L$4:$L$2003),2))</f>
        <v/>
      </c>
      <c r="C35" s="19">
        <f>IF($A35="","",ROUND(SUMIF(生产安装!$F$4:$F$1203,$A35,生产安装!$J$4:$J$1203),2))</f>
        <v/>
      </c>
      <c r="D35" s="19">
        <f>IF($A35="","",ROUND(SUMIFS(资金日记账!$K$4:$K$2503,资金日记账!$H$4:$H$2503,$A35,资金日记账!$F$4:$F$2503,"成本-*"),2))</f>
        <v/>
      </c>
      <c r="E35" s="19">
        <f>IF($A35="","",ROUND(SUMIFS(资金日记账!$K$4:$K$2503,资金日记账!$H$4:$H$2503,$A35,资金日记账!$F$4:$F$2503,"&lt;&gt;往来-借贷")-SUMIFS(资金日记账!$J$4:$J$2503,资金日记账!$H$4:$H$2503,$A35,资金日记账!$F$4:$F$2503,"&lt;&gt;往来-借贷"),2))</f>
        <v/>
      </c>
      <c r="F35" s="19">
        <f>IF($A35="","",ROUND($B35+$C35+$D35-$E35,2))</f>
        <v/>
      </c>
      <c r="G35" s="19">
        <f>IF($A35="","",ROUND(SUMIFS(资金日记账!$K$4:$K$2503,资金日记账!$H$4:$H$2503,$A35,资金日记账!$F$4:$F$2503,"往来-借贷")-SUMIFS(资金日记账!$J$4:$J$2503,资金日记账!$H$4:$H$2503,$A35,资金日记账!$F$4:$F$2503,"往来-借贷"),2))</f>
        <v/>
      </c>
      <c r="H35" s="23">
        <f>IF($A35="","",IFERROR(LOOKUP(1,0/((资金日记账!$H$4:$H$2503=$A35)*(资金日记账!$K$4:$K$2503&gt;0)),资金日记账!$B$4:$B$2503),""))</f>
        <v/>
      </c>
      <c r="I35" s="22">
        <f>IF($A35="","",COUNTIF(采购单!$C$4:$C$2003,$A35)+COUNTIF(资金日记账!$H$4:$H$2503,$A35))</f>
        <v/>
      </c>
      <c r="J35" s="13" t="n"/>
    </row>
    <row r="36">
      <c r="A36" s="17">
        <f>IF(基础资料!$G35="","",基础资料!$G35)</f>
        <v/>
      </c>
      <c r="B36" s="19">
        <f>IF($A36="","",ROUND(SUMIF(采购单!$C$4:$C$2003,$A36,采购单!$L$4:$L$2003),2))</f>
        <v/>
      </c>
      <c r="C36" s="19">
        <f>IF($A36="","",ROUND(SUMIF(生产安装!$F$4:$F$1203,$A36,生产安装!$J$4:$J$1203),2))</f>
        <v/>
      </c>
      <c r="D36" s="19">
        <f>IF($A36="","",ROUND(SUMIFS(资金日记账!$K$4:$K$2503,资金日记账!$H$4:$H$2503,$A36,资金日记账!$F$4:$F$2503,"成本-*"),2))</f>
        <v/>
      </c>
      <c r="E36" s="19">
        <f>IF($A36="","",ROUND(SUMIFS(资金日记账!$K$4:$K$2503,资金日记账!$H$4:$H$2503,$A36,资金日记账!$F$4:$F$2503,"&lt;&gt;往来-借贷")-SUMIFS(资金日记账!$J$4:$J$2503,资金日记账!$H$4:$H$2503,$A36,资金日记账!$F$4:$F$2503,"&lt;&gt;往来-借贷"),2))</f>
        <v/>
      </c>
      <c r="F36" s="19">
        <f>IF($A36="","",ROUND($B36+$C36+$D36-$E36,2))</f>
        <v/>
      </c>
      <c r="G36" s="19">
        <f>IF($A36="","",ROUND(SUMIFS(资金日记账!$K$4:$K$2503,资金日记账!$H$4:$H$2503,$A36,资金日记账!$F$4:$F$2503,"往来-借贷")-SUMIFS(资金日记账!$J$4:$J$2503,资金日记账!$H$4:$H$2503,$A36,资金日记账!$F$4:$F$2503,"往来-借贷"),2))</f>
        <v/>
      </c>
      <c r="H36" s="23">
        <f>IF($A36="","",IFERROR(LOOKUP(1,0/((资金日记账!$H$4:$H$2503=$A36)*(资金日记账!$K$4:$K$2503&gt;0)),资金日记账!$B$4:$B$2503),""))</f>
        <v/>
      </c>
      <c r="I36" s="22">
        <f>IF($A36="","",COUNTIF(采购单!$C$4:$C$2003,$A36)+COUNTIF(资金日记账!$H$4:$H$2503,$A36))</f>
        <v/>
      </c>
      <c r="J36" s="13" t="n"/>
    </row>
    <row r="37">
      <c r="A37" s="17">
        <f>IF(基础资料!$G36="","",基础资料!$G36)</f>
        <v/>
      </c>
      <c r="B37" s="19">
        <f>IF($A37="","",ROUND(SUMIF(采购单!$C$4:$C$2003,$A37,采购单!$L$4:$L$2003),2))</f>
        <v/>
      </c>
      <c r="C37" s="19">
        <f>IF($A37="","",ROUND(SUMIF(生产安装!$F$4:$F$1203,$A37,生产安装!$J$4:$J$1203),2))</f>
        <v/>
      </c>
      <c r="D37" s="19">
        <f>IF($A37="","",ROUND(SUMIFS(资金日记账!$K$4:$K$2503,资金日记账!$H$4:$H$2503,$A37,资金日记账!$F$4:$F$2503,"成本-*"),2))</f>
        <v/>
      </c>
      <c r="E37" s="19">
        <f>IF($A37="","",ROUND(SUMIFS(资金日记账!$K$4:$K$2503,资金日记账!$H$4:$H$2503,$A37,资金日记账!$F$4:$F$2503,"&lt;&gt;往来-借贷")-SUMIFS(资金日记账!$J$4:$J$2503,资金日记账!$H$4:$H$2503,$A37,资金日记账!$F$4:$F$2503,"&lt;&gt;往来-借贷"),2))</f>
        <v/>
      </c>
      <c r="F37" s="19">
        <f>IF($A37="","",ROUND($B37+$C37+$D37-$E37,2))</f>
        <v/>
      </c>
      <c r="G37" s="19">
        <f>IF($A37="","",ROUND(SUMIFS(资金日记账!$K$4:$K$2503,资金日记账!$H$4:$H$2503,$A37,资金日记账!$F$4:$F$2503,"往来-借贷")-SUMIFS(资金日记账!$J$4:$J$2503,资金日记账!$H$4:$H$2503,$A37,资金日记账!$F$4:$F$2503,"往来-借贷"),2))</f>
        <v/>
      </c>
      <c r="H37" s="23">
        <f>IF($A37="","",IFERROR(LOOKUP(1,0/((资金日记账!$H$4:$H$2503=$A37)*(资金日记账!$K$4:$K$2503&gt;0)),资金日记账!$B$4:$B$2503),""))</f>
        <v/>
      </c>
      <c r="I37" s="22">
        <f>IF($A37="","",COUNTIF(采购单!$C$4:$C$2003,$A37)+COUNTIF(资金日记账!$H$4:$H$2503,$A37))</f>
        <v/>
      </c>
      <c r="J37" s="13" t="n"/>
    </row>
    <row r="38">
      <c r="A38" s="17">
        <f>IF(基础资料!$G37="","",基础资料!$G37)</f>
        <v/>
      </c>
      <c r="B38" s="19">
        <f>IF($A38="","",ROUND(SUMIF(采购单!$C$4:$C$2003,$A38,采购单!$L$4:$L$2003),2))</f>
        <v/>
      </c>
      <c r="C38" s="19">
        <f>IF($A38="","",ROUND(SUMIF(生产安装!$F$4:$F$1203,$A38,生产安装!$J$4:$J$1203),2))</f>
        <v/>
      </c>
      <c r="D38" s="19">
        <f>IF($A38="","",ROUND(SUMIFS(资金日记账!$K$4:$K$2503,资金日记账!$H$4:$H$2503,$A38,资金日记账!$F$4:$F$2503,"成本-*"),2))</f>
        <v/>
      </c>
      <c r="E38" s="19">
        <f>IF($A38="","",ROUND(SUMIFS(资金日记账!$K$4:$K$2503,资金日记账!$H$4:$H$2503,$A38,资金日记账!$F$4:$F$2503,"&lt;&gt;往来-借贷")-SUMIFS(资金日记账!$J$4:$J$2503,资金日记账!$H$4:$H$2503,$A38,资金日记账!$F$4:$F$2503,"&lt;&gt;往来-借贷"),2))</f>
        <v/>
      </c>
      <c r="F38" s="19">
        <f>IF($A38="","",ROUND($B38+$C38+$D38-$E38,2))</f>
        <v/>
      </c>
      <c r="G38" s="19">
        <f>IF($A38="","",ROUND(SUMIFS(资金日记账!$K$4:$K$2503,资金日记账!$H$4:$H$2503,$A38,资金日记账!$F$4:$F$2503,"往来-借贷")-SUMIFS(资金日记账!$J$4:$J$2503,资金日记账!$H$4:$H$2503,$A38,资金日记账!$F$4:$F$2503,"往来-借贷"),2))</f>
        <v/>
      </c>
      <c r="H38" s="23">
        <f>IF($A38="","",IFERROR(LOOKUP(1,0/((资金日记账!$H$4:$H$2503=$A38)*(资金日记账!$K$4:$K$2503&gt;0)),资金日记账!$B$4:$B$2503),""))</f>
        <v/>
      </c>
      <c r="I38" s="22">
        <f>IF($A38="","",COUNTIF(采购单!$C$4:$C$2003,$A38)+COUNTIF(资金日记账!$H$4:$H$2503,$A38))</f>
        <v/>
      </c>
      <c r="J38" s="13" t="n"/>
    </row>
    <row r="39">
      <c r="A39" s="17">
        <f>IF(基础资料!$G38="","",基础资料!$G38)</f>
        <v/>
      </c>
      <c r="B39" s="19">
        <f>IF($A39="","",ROUND(SUMIF(采购单!$C$4:$C$2003,$A39,采购单!$L$4:$L$2003),2))</f>
        <v/>
      </c>
      <c r="C39" s="19">
        <f>IF($A39="","",ROUND(SUMIF(生产安装!$F$4:$F$1203,$A39,生产安装!$J$4:$J$1203),2))</f>
        <v/>
      </c>
      <c r="D39" s="19">
        <f>IF($A39="","",ROUND(SUMIFS(资金日记账!$K$4:$K$2503,资金日记账!$H$4:$H$2503,$A39,资金日记账!$F$4:$F$2503,"成本-*"),2))</f>
        <v/>
      </c>
      <c r="E39" s="19">
        <f>IF($A39="","",ROUND(SUMIFS(资金日记账!$K$4:$K$2503,资金日记账!$H$4:$H$2503,$A39,资金日记账!$F$4:$F$2503,"&lt;&gt;往来-借贷")-SUMIFS(资金日记账!$J$4:$J$2503,资金日记账!$H$4:$H$2503,$A39,资金日记账!$F$4:$F$2503,"&lt;&gt;往来-借贷"),2))</f>
        <v/>
      </c>
      <c r="F39" s="19">
        <f>IF($A39="","",ROUND($B39+$C39+$D39-$E39,2))</f>
        <v/>
      </c>
      <c r="G39" s="19">
        <f>IF($A39="","",ROUND(SUMIFS(资金日记账!$K$4:$K$2503,资金日记账!$H$4:$H$2503,$A39,资金日记账!$F$4:$F$2503,"往来-借贷")-SUMIFS(资金日记账!$J$4:$J$2503,资金日记账!$H$4:$H$2503,$A39,资金日记账!$F$4:$F$2503,"往来-借贷"),2))</f>
        <v/>
      </c>
      <c r="H39" s="23">
        <f>IF($A39="","",IFERROR(LOOKUP(1,0/((资金日记账!$H$4:$H$2503=$A39)*(资金日记账!$K$4:$K$2503&gt;0)),资金日记账!$B$4:$B$2503),""))</f>
        <v/>
      </c>
      <c r="I39" s="22">
        <f>IF($A39="","",COUNTIF(采购单!$C$4:$C$2003,$A39)+COUNTIF(资金日记账!$H$4:$H$2503,$A39))</f>
        <v/>
      </c>
      <c r="J39" s="13" t="n"/>
    </row>
    <row r="40">
      <c r="A40" s="17">
        <f>IF(基础资料!$G39="","",基础资料!$G39)</f>
        <v/>
      </c>
      <c r="B40" s="19">
        <f>IF($A40="","",ROUND(SUMIF(采购单!$C$4:$C$2003,$A40,采购单!$L$4:$L$2003),2))</f>
        <v/>
      </c>
      <c r="C40" s="19">
        <f>IF($A40="","",ROUND(SUMIF(生产安装!$F$4:$F$1203,$A40,生产安装!$J$4:$J$1203),2))</f>
        <v/>
      </c>
      <c r="D40" s="19">
        <f>IF($A40="","",ROUND(SUMIFS(资金日记账!$K$4:$K$2503,资金日记账!$H$4:$H$2503,$A40,资金日记账!$F$4:$F$2503,"成本-*"),2))</f>
        <v/>
      </c>
      <c r="E40" s="19">
        <f>IF($A40="","",ROUND(SUMIFS(资金日记账!$K$4:$K$2503,资金日记账!$H$4:$H$2503,$A40,资金日记账!$F$4:$F$2503,"&lt;&gt;往来-借贷")-SUMIFS(资金日记账!$J$4:$J$2503,资金日记账!$H$4:$H$2503,$A40,资金日记账!$F$4:$F$2503,"&lt;&gt;往来-借贷"),2))</f>
        <v/>
      </c>
      <c r="F40" s="19">
        <f>IF($A40="","",ROUND($B40+$C40+$D40-$E40,2))</f>
        <v/>
      </c>
      <c r="G40" s="19">
        <f>IF($A40="","",ROUND(SUMIFS(资金日记账!$K$4:$K$2503,资金日记账!$H$4:$H$2503,$A40,资金日记账!$F$4:$F$2503,"往来-借贷")-SUMIFS(资金日记账!$J$4:$J$2503,资金日记账!$H$4:$H$2503,$A40,资金日记账!$F$4:$F$2503,"往来-借贷"),2))</f>
        <v/>
      </c>
      <c r="H40" s="23">
        <f>IF($A40="","",IFERROR(LOOKUP(1,0/((资金日记账!$H$4:$H$2503=$A40)*(资金日记账!$K$4:$K$2503&gt;0)),资金日记账!$B$4:$B$2503),""))</f>
        <v/>
      </c>
      <c r="I40" s="22">
        <f>IF($A40="","",COUNTIF(采购单!$C$4:$C$2003,$A40)+COUNTIF(资金日记账!$H$4:$H$2503,$A40))</f>
        <v/>
      </c>
      <c r="J40" s="13" t="n"/>
    </row>
    <row r="41">
      <c r="A41" s="17">
        <f>IF(基础资料!$G40="","",基础资料!$G40)</f>
        <v/>
      </c>
      <c r="B41" s="19">
        <f>IF($A41="","",ROUND(SUMIF(采购单!$C$4:$C$2003,$A41,采购单!$L$4:$L$2003),2))</f>
        <v/>
      </c>
      <c r="C41" s="19">
        <f>IF($A41="","",ROUND(SUMIF(生产安装!$F$4:$F$1203,$A41,生产安装!$J$4:$J$1203),2))</f>
        <v/>
      </c>
      <c r="D41" s="19">
        <f>IF($A41="","",ROUND(SUMIFS(资金日记账!$K$4:$K$2503,资金日记账!$H$4:$H$2503,$A41,资金日记账!$F$4:$F$2503,"成本-*"),2))</f>
        <v/>
      </c>
      <c r="E41" s="19">
        <f>IF($A41="","",ROUND(SUMIFS(资金日记账!$K$4:$K$2503,资金日记账!$H$4:$H$2503,$A41,资金日记账!$F$4:$F$2503,"&lt;&gt;往来-借贷")-SUMIFS(资金日记账!$J$4:$J$2503,资金日记账!$H$4:$H$2503,$A41,资金日记账!$F$4:$F$2503,"&lt;&gt;往来-借贷"),2))</f>
        <v/>
      </c>
      <c r="F41" s="19">
        <f>IF($A41="","",ROUND($B41+$C41+$D41-$E41,2))</f>
        <v/>
      </c>
      <c r="G41" s="19">
        <f>IF($A41="","",ROUND(SUMIFS(资金日记账!$K$4:$K$2503,资金日记账!$H$4:$H$2503,$A41,资金日记账!$F$4:$F$2503,"往来-借贷")-SUMIFS(资金日记账!$J$4:$J$2503,资金日记账!$H$4:$H$2503,$A41,资金日记账!$F$4:$F$2503,"往来-借贷"),2))</f>
        <v/>
      </c>
      <c r="H41" s="23">
        <f>IF($A41="","",IFERROR(LOOKUP(1,0/((资金日记账!$H$4:$H$2503=$A41)*(资金日记账!$K$4:$K$2503&gt;0)),资金日记账!$B$4:$B$2503),""))</f>
        <v/>
      </c>
      <c r="I41" s="22">
        <f>IF($A41="","",COUNTIF(采购单!$C$4:$C$2003,$A41)+COUNTIF(资金日记账!$H$4:$H$2503,$A41))</f>
        <v/>
      </c>
      <c r="J41" s="13" t="n"/>
    </row>
    <row r="42">
      <c r="A42" s="17">
        <f>IF(基础资料!$G41="","",基础资料!$G41)</f>
        <v/>
      </c>
      <c r="B42" s="19">
        <f>IF($A42="","",ROUND(SUMIF(采购单!$C$4:$C$2003,$A42,采购单!$L$4:$L$2003),2))</f>
        <v/>
      </c>
      <c r="C42" s="19">
        <f>IF($A42="","",ROUND(SUMIF(生产安装!$F$4:$F$1203,$A42,生产安装!$J$4:$J$1203),2))</f>
        <v/>
      </c>
      <c r="D42" s="19">
        <f>IF($A42="","",ROUND(SUMIFS(资金日记账!$K$4:$K$2503,资金日记账!$H$4:$H$2503,$A42,资金日记账!$F$4:$F$2503,"成本-*"),2))</f>
        <v/>
      </c>
      <c r="E42" s="19">
        <f>IF($A42="","",ROUND(SUMIFS(资金日记账!$K$4:$K$2503,资金日记账!$H$4:$H$2503,$A42,资金日记账!$F$4:$F$2503,"&lt;&gt;往来-借贷")-SUMIFS(资金日记账!$J$4:$J$2503,资金日记账!$H$4:$H$2503,$A42,资金日记账!$F$4:$F$2503,"&lt;&gt;往来-借贷"),2))</f>
        <v/>
      </c>
      <c r="F42" s="19">
        <f>IF($A42="","",ROUND($B42+$C42+$D42-$E42,2))</f>
        <v/>
      </c>
      <c r="G42" s="19">
        <f>IF($A42="","",ROUND(SUMIFS(资金日记账!$K$4:$K$2503,资金日记账!$H$4:$H$2503,$A42,资金日记账!$F$4:$F$2503,"往来-借贷")-SUMIFS(资金日记账!$J$4:$J$2503,资金日记账!$H$4:$H$2503,$A42,资金日记账!$F$4:$F$2503,"往来-借贷"),2))</f>
        <v/>
      </c>
      <c r="H42" s="23">
        <f>IF($A42="","",IFERROR(LOOKUP(1,0/((资金日记账!$H$4:$H$2503=$A42)*(资金日记账!$K$4:$K$2503&gt;0)),资金日记账!$B$4:$B$2503),""))</f>
        <v/>
      </c>
      <c r="I42" s="22">
        <f>IF($A42="","",COUNTIF(采购单!$C$4:$C$2003,$A42)+COUNTIF(资金日记账!$H$4:$H$2503,$A42))</f>
        <v/>
      </c>
      <c r="J42" s="13" t="n"/>
    </row>
    <row r="43">
      <c r="A43" s="17">
        <f>IF(基础资料!$G42="","",基础资料!$G42)</f>
        <v/>
      </c>
      <c r="B43" s="19">
        <f>IF($A43="","",ROUND(SUMIF(采购单!$C$4:$C$2003,$A43,采购单!$L$4:$L$2003),2))</f>
        <v/>
      </c>
      <c r="C43" s="19">
        <f>IF($A43="","",ROUND(SUMIF(生产安装!$F$4:$F$1203,$A43,生产安装!$J$4:$J$1203),2))</f>
        <v/>
      </c>
      <c r="D43" s="19">
        <f>IF($A43="","",ROUND(SUMIFS(资金日记账!$K$4:$K$2503,资金日记账!$H$4:$H$2503,$A43,资金日记账!$F$4:$F$2503,"成本-*"),2))</f>
        <v/>
      </c>
      <c r="E43" s="19">
        <f>IF($A43="","",ROUND(SUMIFS(资金日记账!$K$4:$K$2503,资金日记账!$H$4:$H$2503,$A43,资金日记账!$F$4:$F$2503,"&lt;&gt;往来-借贷")-SUMIFS(资金日记账!$J$4:$J$2503,资金日记账!$H$4:$H$2503,$A43,资金日记账!$F$4:$F$2503,"&lt;&gt;往来-借贷"),2))</f>
        <v/>
      </c>
      <c r="F43" s="19">
        <f>IF($A43="","",ROUND($B43+$C43+$D43-$E43,2))</f>
        <v/>
      </c>
      <c r="G43" s="19">
        <f>IF($A43="","",ROUND(SUMIFS(资金日记账!$K$4:$K$2503,资金日记账!$H$4:$H$2503,$A43,资金日记账!$F$4:$F$2503,"往来-借贷")-SUMIFS(资金日记账!$J$4:$J$2503,资金日记账!$H$4:$H$2503,$A43,资金日记账!$F$4:$F$2503,"往来-借贷"),2))</f>
        <v/>
      </c>
      <c r="H43" s="23">
        <f>IF($A43="","",IFERROR(LOOKUP(1,0/((资金日记账!$H$4:$H$2503=$A43)*(资金日记账!$K$4:$K$2503&gt;0)),资金日记账!$B$4:$B$2503),""))</f>
        <v/>
      </c>
      <c r="I43" s="22">
        <f>IF($A43="","",COUNTIF(采购单!$C$4:$C$2003,$A43)+COUNTIF(资金日记账!$H$4:$H$2503,$A43))</f>
        <v/>
      </c>
      <c r="J43" s="13" t="n"/>
    </row>
    <row r="44">
      <c r="A44" s="17">
        <f>IF(基础资料!$G43="","",基础资料!$G43)</f>
        <v/>
      </c>
      <c r="B44" s="19">
        <f>IF($A44="","",ROUND(SUMIF(采购单!$C$4:$C$2003,$A44,采购单!$L$4:$L$2003),2))</f>
        <v/>
      </c>
      <c r="C44" s="19">
        <f>IF($A44="","",ROUND(SUMIF(生产安装!$F$4:$F$1203,$A44,生产安装!$J$4:$J$1203),2))</f>
        <v/>
      </c>
      <c r="D44" s="19">
        <f>IF($A44="","",ROUND(SUMIFS(资金日记账!$K$4:$K$2503,资金日记账!$H$4:$H$2503,$A44,资金日记账!$F$4:$F$2503,"成本-*"),2))</f>
        <v/>
      </c>
      <c r="E44" s="19">
        <f>IF($A44="","",ROUND(SUMIFS(资金日记账!$K$4:$K$2503,资金日记账!$H$4:$H$2503,$A44,资金日记账!$F$4:$F$2503,"&lt;&gt;往来-借贷")-SUMIFS(资金日记账!$J$4:$J$2503,资金日记账!$H$4:$H$2503,$A44,资金日记账!$F$4:$F$2503,"&lt;&gt;往来-借贷"),2))</f>
        <v/>
      </c>
      <c r="F44" s="19">
        <f>IF($A44="","",ROUND($B44+$C44+$D44-$E44,2))</f>
        <v/>
      </c>
      <c r="G44" s="19">
        <f>IF($A44="","",ROUND(SUMIFS(资金日记账!$K$4:$K$2503,资金日记账!$H$4:$H$2503,$A44,资金日记账!$F$4:$F$2503,"往来-借贷")-SUMIFS(资金日记账!$J$4:$J$2503,资金日记账!$H$4:$H$2503,$A44,资金日记账!$F$4:$F$2503,"往来-借贷"),2))</f>
        <v/>
      </c>
      <c r="H44" s="23">
        <f>IF($A44="","",IFERROR(LOOKUP(1,0/((资金日记账!$H$4:$H$2503=$A44)*(资金日记账!$K$4:$K$2503&gt;0)),资金日记账!$B$4:$B$2503),""))</f>
        <v/>
      </c>
      <c r="I44" s="22">
        <f>IF($A44="","",COUNTIF(采购单!$C$4:$C$2003,$A44)+COUNTIF(资金日记账!$H$4:$H$2503,$A44))</f>
        <v/>
      </c>
      <c r="J44" s="13" t="n"/>
    </row>
    <row r="45">
      <c r="A45" s="17">
        <f>IF(基础资料!$G44="","",基础资料!$G44)</f>
        <v/>
      </c>
      <c r="B45" s="19">
        <f>IF($A45="","",ROUND(SUMIF(采购单!$C$4:$C$2003,$A45,采购单!$L$4:$L$2003),2))</f>
        <v/>
      </c>
      <c r="C45" s="19">
        <f>IF($A45="","",ROUND(SUMIF(生产安装!$F$4:$F$1203,$A45,生产安装!$J$4:$J$1203),2))</f>
        <v/>
      </c>
      <c r="D45" s="19">
        <f>IF($A45="","",ROUND(SUMIFS(资金日记账!$K$4:$K$2503,资金日记账!$H$4:$H$2503,$A45,资金日记账!$F$4:$F$2503,"成本-*"),2))</f>
        <v/>
      </c>
      <c r="E45" s="19">
        <f>IF($A45="","",ROUND(SUMIFS(资金日记账!$K$4:$K$2503,资金日记账!$H$4:$H$2503,$A45,资金日记账!$F$4:$F$2503,"&lt;&gt;往来-借贷")-SUMIFS(资金日记账!$J$4:$J$2503,资金日记账!$H$4:$H$2503,$A45,资金日记账!$F$4:$F$2503,"&lt;&gt;往来-借贷"),2))</f>
        <v/>
      </c>
      <c r="F45" s="19">
        <f>IF($A45="","",ROUND($B45+$C45+$D45-$E45,2))</f>
        <v/>
      </c>
      <c r="G45" s="19">
        <f>IF($A45="","",ROUND(SUMIFS(资金日记账!$K$4:$K$2503,资金日记账!$H$4:$H$2503,$A45,资金日记账!$F$4:$F$2503,"往来-借贷")-SUMIFS(资金日记账!$J$4:$J$2503,资金日记账!$H$4:$H$2503,$A45,资金日记账!$F$4:$F$2503,"往来-借贷"),2))</f>
        <v/>
      </c>
      <c r="H45" s="23">
        <f>IF($A45="","",IFERROR(LOOKUP(1,0/((资金日记账!$H$4:$H$2503=$A45)*(资金日记账!$K$4:$K$2503&gt;0)),资金日记账!$B$4:$B$2503),""))</f>
        <v/>
      </c>
      <c r="I45" s="22">
        <f>IF($A45="","",COUNTIF(采购单!$C$4:$C$2003,$A45)+COUNTIF(资金日记账!$H$4:$H$2503,$A45))</f>
        <v/>
      </c>
      <c r="J45" s="13" t="n"/>
    </row>
    <row r="46">
      <c r="A46" s="17">
        <f>IF(基础资料!$G45="","",基础资料!$G45)</f>
        <v/>
      </c>
      <c r="B46" s="19">
        <f>IF($A46="","",ROUND(SUMIF(采购单!$C$4:$C$2003,$A46,采购单!$L$4:$L$2003),2))</f>
        <v/>
      </c>
      <c r="C46" s="19">
        <f>IF($A46="","",ROUND(SUMIF(生产安装!$F$4:$F$1203,$A46,生产安装!$J$4:$J$1203),2))</f>
        <v/>
      </c>
      <c r="D46" s="19">
        <f>IF($A46="","",ROUND(SUMIFS(资金日记账!$K$4:$K$2503,资金日记账!$H$4:$H$2503,$A46,资金日记账!$F$4:$F$2503,"成本-*"),2))</f>
        <v/>
      </c>
      <c r="E46" s="19">
        <f>IF($A46="","",ROUND(SUMIFS(资金日记账!$K$4:$K$2503,资金日记账!$H$4:$H$2503,$A46,资金日记账!$F$4:$F$2503,"&lt;&gt;往来-借贷")-SUMIFS(资金日记账!$J$4:$J$2503,资金日记账!$H$4:$H$2503,$A46,资金日记账!$F$4:$F$2503,"&lt;&gt;往来-借贷"),2))</f>
        <v/>
      </c>
      <c r="F46" s="19">
        <f>IF($A46="","",ROUND($B46+$C46+$D46-$E46,2))</f>
        <v/>
      </c>
      <c r="G46" s="19">
        <f>IF($A46="","",ROUND(SUMIFS(资金日记账!$K$4:$K$2503,资金日记账!$H$4:$H$2503,$A46,资金日记账!$F$4:$F$2503,"往来-借贷")-SUMIFS(资金日记账!$J$4:$J$2503,资金日记账!$H$4:$H$2503,$A46,资金日记账!$F$4:$F$2503,"往来-借贷"),2))</f>
        <v/>
      </c>
      <c r="H46" s="23">
        <f>IF($A46="","",IFERROR(LOOKUP(1,0/((资金日记账!$H$4:$H$2503=$A46)*(资金日记账!$K$4:$K$2503&gt;0)),资金日记账!$B$4:$B$2503),""))</f>
        <v/>
      </c>
      <c r="I46" s="22">
        <f>IF($A46="","",COUNTIF(采购单!$C$4:$C$2003,$A46)+COUNTIF(资金日记账!$H$4:$H$2503,$A46))</f>
        <v/>
      </c>
      <c r="J46" s="13" t="n"/>
    </row>
    <row r="47">
      <c r="A47" s="17">
        <f>IF(基础资料!$G46="","",基础资料!$G46)</f>
        <v/>
      </c>
      <c r="B47" s="19">
        <f>IF($A47="","",ROUND(SUMIF(采购单!$C$4:$C$2003,$A47,采购单!$L$4:$L$2003),2))</f>
        <v/>
      </c>
      <c r="C47" s="19">
        <f>IF($A47="","",ROUND(SUMIF(生产安装!$F$4:$F$1203,$A47,生产安装!$J$4:$J$1203),2))</f>
        <v/>
      </c>
      <c r="D47" s="19">
        <f>IF($A47="","",ROUND(SUMIFS(资金日记账!$K$4:$K$2503,资金日记账!$H$4:$H$2503,$A47,资金日记账!$F$4:$F$2503,"成本-*"),2))</f>
        <v/>
      </c>
      <c r="E47" s="19">
        <f>IF($A47="","",ROUND(SUMIFS(资金日记账!$K$4:$K$2503,资金日记账!$H$4:$H$2503,$A47,资金日记账!$F$4:$F$2503,"&lt;&gt;往来-借贷")-SUMIFS(资金日记账!$J$4:$J$2503,资金日记账!$H$4:$H$2503,$A47,资金日记账!$F$4:$F$2503,"&lt;&gt;往来-借贷"),2))</f>
        <v/>
      </c>
      <c r="F47" s="19">
        <f>IF($A47="","",ROUND($B47+$C47+$D47-$E47,2))</f>
        <v/>
      </c>
      <c r="G47" s="19">
        <f>IF($A47="","",ROUND(SUMIFS(资金日记账!$K$4:$K$2503,资金日记账!$H$4:$H$2503,$A47,资金日记账!$F$4:$F$2503,"往来-借贷")-SUMIFS(资金日记账!$J$4:$J$2503,资金日记账!$H$4:$H$2503,$A47,资金日记账!$F$4:$F$2503,"往来-借贷"),2))</f>
        <v/>
      </c>
      <c r="H47" s="23">
        <f>IF($A47="","",IFERROR(LOOKUP(1,0/((资金日记账!$H$4:$H$2503=$A47)*(资金日记账!$K$4:$K$2503&gt;0)),资金日记账!$B$4:$B$2503),""))</f>
        <v/>
      </c>
      <c r="I47" s="22">
        <f>IF($A47="","",COUNTIF(采购单!$C$4:$C$2003,$A47)+COUNTIF(资金日记账!$H$4:$H$2503,$A47))</f>
        <v/>
      </c>
      <c r="J47" s="13" t="n"/>
    </row>
    <row r="48">
      <c r="A48" s="17">
        <f>IF(基础资料!$G47="","",基础资料!$G47)</f>
        <v/>
      </c>
      <c r="B48" s="19">
        <f>IF($A48="","",ROUND(SUMIF(采购单!$C$4:$C$2003,$A48,采购单!$L$4:$L$2003),2))</f>
        <v/>
      </c>
      <c r="C48" s="19">
        <f>IF($A48="","",ROUND(SUMIF(生产安装!$F$4:$F$1203,$A48,生产安装!$J$4:$J$1203),2))</f>
        <v/>
      </c>
      <c r="D48" s="19">
        <f>IF($A48="","",ROUND(SUMIFS(资金日记账!$K$4:$K$2503,资金日记账!$H$4:$H$2503,$A48,资金日记账!$F$4:$F$2503,"成本-*"),2))</f>
        <v/>
      </c>
      <c r="E48" s="19">
        <f>IF($A48="","",ROUND(SUMIFS(资金日记账!$K$4:$K$2503,资金日记账!$H$4:$H$2503,$A48,资金日记账!$F$4:$F$2503,"&lt;&gt;往来-借贷")-SUMIFS(资金日记账!$J$4:$J$2503,资金日记账!$H$4:$H$2503,$A48,资金日记账!$F$4:$F$2503,"&lt;&gt;往来-借贷"),2))</f>
        <v/>
      </c>
      <c r="F48" s="19">
        <f>IF($A48="","",ROUND($B48+$C48+$D48-$E48,2))</f>
        <v/>
      </c>
      <c r="G48" s="19">
        <f>IF($A48="","",ROUND(SUMIFS(资金日记账!$K$4:$K$2503,资金日记账!$H$4:$H$2503,$A48,资金日记账!$F$4:$F$2503,"往来-借贷")-SUMIFS(资金日记账!$J$4:$J$2503,资金日记账!$H$4:$H$2503,$A48,资金日记账!$F$4:$F$2503,"往来-借贷"),2))</f>
        <v/>
      </c>
      <c r="H48" s="23">
        <f>IF($A48="","",IFERROR(LOOKUP(1,0/((资金日记账!$H$4:$H$2503=$A48)*(资金日记账!$K$4:$K$2503&gt;0)),资金日记账!$B$4:$B$2503),""))</f>
        <v/>
      </c>
      <c r="I48" s="22">
        <f>IF($A48="","",COUNTIF(采购单!$C$4:$C$2003,$A48)+COUNTIF(资金日记账!$H$4:$H$2503,$A48))</f>
        <v/>
      </c>
      <c r="J48" s="13" t="n"/>
    </row>
    <row r="49">
      <c r="A49" s="17">
        <f>IF(基础资料!$G48="","",基础资料!$G48)</f>
        <v/>
      </c>
      <c r="B49" s="19">
        <f>IF($A49="","",ROUND(SUMIF(采购单!$C$4:$C$2003,$A49,采购单!$L$4:$L$2003),2))</f>
        <v/>
      </c>
      <c r="C49" s="19">
        <f>IF($A49="","",ROUND(SUMIF(生产安装!$F$4:$F$1203,$A49,生产安装!$J$4:$J$1203),2))</f>
        <v/>
      </c>
      <c r="D49" s="19">
        <f>IF($A49="","",ROUND(SUMIFS(资金日记账!$K$4:$K$2503,资金日记账!$H$4:$H$2503,$A49,资金日记账!$F$4:$F$2503,"成本-*"),2))</f>
        <v/>
      </c>
      <c r="E49" s="19">
        <f>IF($A49="","",ROUND(SUMIFS(资金日记账!$K$4:$K$2503,资金日记账!$H$4:$H$2503,$A49,资金日记账!$F$4:$F$2503,"&lt;&gt;往来-借贷")-SUMIFS(资金日记账!$J$4:$J$2503,资金日记账!$H$4:$H$2503,$A49,资金日记账!$F$4:$F$2503,"&lt;&gt;往来-借贷"),2))</f>
        <v/>
      </c>
      <c r="F49" s="19">
        <f>IF($A49="","",ROUND($B49+$C49+$D49-$E49,2))</f>
        <v/>
      </c>
      <c r="G49" s="19">
        <f>IF($A49="","",ROUND(SUMIFS(资金日记账!$K$4:$K$2503,资金日记账!$H$4:$H$2503,$A49,资金日记账!$F$4:$F$2503,"往来-借贷")-SUMIFS(资金日记账!$J$4:$J$2503,资金日记账!$H$4:$H$2503,$A49,资金日记账!$F$4:$F$2503,"往来-借贷"),2))</f>
        <v/>
      </c>
      <c r="H49" s="23">
        <f>IF($A49="","",IFERROR(LOOKUP(1,0/((资金日记账!$H$4:$H$2503=$A49)*(资金日记账!$K$4:$K$2503&gt;0)),资金日记账!$B$4:$B$2503),""))</f>
        <v/>
      </c>
      <c r="I49" s="22">
        <f>IF($A49="","",COUNTIF(采购单!$C$4:$C$2003,$A49)+COUNTIF(资金日记账!$H$4:$H$2503,$A49))</f>
        <v/>
      </c>
      <c r="J49" s="13" t="n"/>
    </row>
    <row r="50">
      <c r="A50" s="17">
        <f>IF(基础资料!$G49="","",基础资料!$G49)</f>
        <v/>
      </c>
      <c r="B50" s="19">
        <f>IF($A50="","",ROUND(SUMIF(采购单!$C$4:$C$2003,$A50,采购单!$L$4:$L$2003),2))</f>
        <v/>
      </c>
      <c r="C50" s="19">
        <f>IF($A50="","",ROUND(SUMIF(生产安装!$F$4:$F$1203,$A50,生产安装!$J$4:$J$1203),2))</f>
        <v/>
      </c>
      <c r="D50" s="19">
        <f>IF($A50="","",ROUND(SUMIFS(资金日记账!$K$4:$K$2503,资金日记账!$H$4:$H$2503,$A50,资金日记账!$F$4:$F$2503,"成本-*"),2))</f>
        <v/>
      </c>
      <c r="E50" s="19">
        <f>IF($A50="","",ROUND(SUMIFS(资金日记账!$K$4:$K$2503,资金日记账!$H$4:$H$2503,$A50,资金日记账!$F$4:$F$2503,"&lt;&gt;往来-借贷")-SUMIFS(资金日记账!$J$4:$J$2503,资金日记账!$H$4:$H$2503,$A50,资金日记账!$F$4:$F$2503,"&lt;&gt;往来-借贷"),2))</f>
        <v/>
      </c>
      <c r="F50" s="19">
        <f>IF($A50="","",ROUND($B50+$C50+$D50-$E50,2))</f>
        <v/>
      </c>
      <c r="G50" s="19">
        <f>IF($A50="","",ROUND(SUMIFS(资金日记账!$K$4:$K$2503,资金日记账!$H$4:$H$2503,$A50,资金日记账!$F$4:$F$2503,"往来-借贷")-SUMIFS(资金日记账!$J$4:$J$2503,资金日记账!$H$4:$H$2503,$A50,资金日记账!$F$4:$F$2503,"往来-借贷"),2))</f>
        <v/>
      </c>
      <c r="H50" s="23">
        <f>IF($A50="","",IFERROR(LOOKUP(1,0/((资金日记账!$H$4:$H$2503=$A50)*(资金日记账!$K$4:$K$2503&gt;0)),资金日记账!$B$4:$B$2503),""))</f>
        <v/>
      </c>
      <c r="I50" s="22">
        <f>IF($A50="","",COUNTIF(采购单!$C$4:$C$2003,$A50)+COUNTIF(资金日记账!$H$4:$H$2503,$A50))</f>
        <v/>
      </c>
      <c r="J50" s="13" t="n"/>
    </row>
    <row r="51">
      <c r="A51" s="17">
        <f>IF(基础资料!$G50="","",基础资料!$G50)</f>
        <v/>
      </c>
      <c r="B51" s="19">
        <f>IF($A51="","",ROUND(SUMIF(采购单!$C$4:$C$2003,$A51,采购单!$L$4:$L$2003),2))</f>
        <v/>
      </c>
      <c r="C51" s="19">
        <f>IF($A51="","",ROUND(SUMIF(生产安装!$F$4:$F$1203,$A51,生产安装!$J$4:$J$1203),2))</f>
        <v/>
      </c>
      <c r="D51" s="19">
        <f>IF($A51="","",ROUND(SUMIFS(资金日记账!$K$4:$K$2503,资金日记账!$H$4:$H$2503,$A51,资金日记账!$F$4:$F$2503,"成本-*"),2))</f>
        <v/>
      </c>
      <c r="E51" s="19">
        <f>IF($A51="","",ROUND(SUMIFS(资金日记账!$K$4:$K$2503,资金日记账!$H$4:$H$2503,$A51,资金日记账!$F$4:$F$2503,"&lt;&gt;往来-借贷")-SUMIFS(资金日记账!$J$4:$J$2503,资金日记账!$H$4:$H$2503,$A51,资金日记账!$F$4:$F$2503,"&lt;&gt;往来-借贷"),2))</f>
        <v/>
      </c>
      <c r="F51" s="19">
        <f>IF($A51="","",ROUND($B51+$C51+$D51-$E51,2))</f>
        <v/>
      </c>
      <c r="G51" s="19">
        <f>IF($A51="","",ROUND(SUMIFS(资金日记账!$K$4:$K$2503,资金日记账!$H$4:$H$2503,$A51,资金日记账!$F$4:$F$2503,"往来-借贷")-SUMIFS(资金日记账!$J$4:$J$2503,资金日记账!$H$4:$H$2503,$A51,资金日记账!$F$4:$F$2503,"往来-借贷"),2))</f>
        <v/>
      </c>
      <c r="H51" s="23">
        <f>IF($A51="","",IFERROR(LOOKUP(1,0/((资金日记账!$H$4:$H$2503=$A51)*(资金日记账!$K$4:$K$2503&gt;0)),资金日记账!$B$4:$B$2503),""))</f>
        <v/>
      </c>
      <c r="I51" s="22">
        <f>IF($A51="","",COUNTIF(采购单!$C$4:$C$2003,$A51)+COUNTIF(资金日记账!$H$4:$H$2503,$A51))</f>
        <v/>
      </c>
      <c r="J51" s="13" t="n"/>
    </row>
    <row r="52">
      <c r="A52" s="17">
        <f>IF(基础资料!$G51="","",基础资料!$G51)</f>
        <v/>
      </c>
      <c r="B52" s="19">
        <f>IF($A52="","",ROUND(SUMIF(采购单!$C$4:$C$2003,$A52,采购单!$L$4:$L$2003),2))</f>
        <v/>
      </c>
      <c r="C52" s="19">
        <f>IF($A52="","",ROUND(SUMIF(生产安装!$F$4:$F$1203,$A52,生产安装!$J$4:$J$1203),2))</f>
        <v/>
      </c>
      <c r="D52" s="19">
        <f>IF($A52="","",ROUND(SUMIFS(资金日记账!$K$4:$K$2503,资金日记账!$H$4:$H$2503,$A52,资金日记账!$F$4:$F$2503,"成本-*"),2))</f>
        <v/>
      </c>
      <c r="E52" s="19">
        <f>IF($A52="","",ROUND(SUMIFS(资金日记账!$K$4:$K$2503,资金日记账!$H$4:$H$2503,$A52,资金日记账!$F$4:$F$2503,"&lt;&gt;往来-借贷")-SUMIFS(资金日记账!$J$4:$J$2503,资金日记账!$H$4:$H$2503,$A52,资金日记账!$F$4:$F$2503,"&lt;&gt;往来-借贷"),2))</f>
        <v/>
      </c>
      <c r="F52" s="19">
        <f>IF($A52="","",ROUND($B52+$C52+$D52-$E52,2))</f>
        <v/>
      </c>
      <c r="G52" s="19">
        <f>IF($A52="","",ROUND(SUMIFS(资金日记账!$K$4:$K$2503,资金日记账!$H$4:$H$2503,$A52,资金日记账!$F$4:$F$2503,"往来-借贷")-SUMIFS(资金日记账!$J$4:$J$2503,资金日记账!$H$4:$H$2503,$A52,资金日记账!$F$4:$F$2503,"往来-借贷"),2))</f>
        <v/>
      </c>
      <c r="H52" s="23">
        <f>IF($A52="","",IFERROR(LOOKUP(1,0/((资金日记账!$H$4:$H$2503=$A52)*(资金日记账!$K$4:$K$2503&gt;0)),资金日记账!$B$4:$B$2503),""))</f>
        <v/>
      </c>
      <c r="I52" s="22">
        <f>IF($A52="","",COUNTIF(采购单!$C$4:$C$2003,$A52)+COUNTIF(资金日记账!$H$4:$H$2503,$A52))</f>
        <v/>
      </c>
      <c r="J52" s="13" t="n"/>
    </row>
    <row r="53">
      <c r="A53" s="17">
        <f>IF(基础资料!$G52="","",基础资料!$G52)</f>
        <v/>
      </c>
      <c r="B53" s="19">
        <f>IF($A53="","",ROUND(SUMIF(采购单!$C$4:$C$2003,$A53,采购单!$L$4:$L$2003),2))</f>
        <v/>
      </c>
      <c r="C53" s="19">
        <f>IF($A53="","",ROUND(SUMIF(生产安装!$F$4:$F$1203,$A53,生产安装!$J$4:$J$1203),2))</f>
        <v/>
      </c>
      <c r="D53" s="19">
        <f>IF($A53="","",ROUND(SUMIFS(资金日记账!$K$4:$K$2503,资金日记账!$H$4:$H$2503,$A53,资金日记账!$F$4:$F$2503,"成本-*"),2))</f>
        <v/>
      </c>
      <c r="E53" s="19">
        <f>IF($A53="","",ROUND(SUMIFS(资金日记账!$K$4:$K$2503,资金日记账!$H$4:$H$2503,$A53,资金日记账!$F$4:$F$2503,"&lt;&gt;往来-借贷")-SUMIFS(资金日记账!$J$4:$J$2503,资金日记账!$H$4:$H$2503,$A53,资金日记账!$F$4:$F$2503,"&lt;&gt;往来-借贷"),2))</f>
        <v/>
      </c>
      <c r="F53" s="19">
        <f>IF($A53="","",ROUND($B53+$C53+$D53-$E53,2))</f>
        <v/>
      </c>
      <c r="G53" s="19">
        <f>IF($A53="","",ROUND(SUMIFS(资金日记账!$K$4:$K$2503,资金日记账!$H$4:$H$2503,$A53,资金日记账!$F$4:$F$2503,"往来-借贷")-SUMIFS(资金日记账!$J$4:$J$2503,资金日记账!$H$4:$H$2503,$A53,资金日记账!$F$4:$F$2503,"往来-借贷"),2))</f>
        <v/>
      </c>
      <c r="H53" s="23">
        <f>IF($A53="","",IFERROR(LOOKUP(1,0/((资金日记账!$H$4:$H$2503=$A53)*(资金日记账!$K$4:$K$2503&gt;0)),资金日记账!$B$4:$B$2503),""))</f>
        <v/>
      </c>
      <c r="I53" s="22">
        <f>IF($A53="","",COUNTIF(采购单!$C$4:$C$2003,$A53)+COUNTIF(资金日记账!$H$4:$H$2503,$A53))</f>
        <v/>
      </c>
      <c r="J53" s="13" t="n"/>
    </row>
    <row r="54">
      <c r="A54" s="17">
        <f>IF(基础资料!$G53="","",基础资料!$G53)</f>
        <v/>
      </c>
      <c r="B54" s="19">
        <f>IF($A54="","",ROUND(SUMIF(采购单!$C$4:$C$2003,$A54,采购单!$L$4:$L$2003),2))</f>
        <v/>
      </c>
      <c r="C54" s="19">
        <f>IF($A54="","",ROUND(SUMIF(生产安装!$F$4:$F$1203,$A54,生产安装!$J$4:$J$1203),2))</f>
        <v/>
      </c>
      <c r="D54" s="19">
        <f>IF($A54="","",ROUND(SUMIFS(资金日记账!$K$4:$K$2503,资金日记账!$H$4:$H$2503,$A54,资金日记账!$F$4:$F$2503,"成本-*"),2))</f>
        <v/>
      </c>
      <c r="E54" s="19">
        <f>IF($A54="","",ROUND(SUMIFS(资金日记账!$K$4:$K$2503,资金日记账!$H$4:$H$2503,$A54,资金日记账!$F$4:$F$2503,"&lt;&gt;往来-借贷")-SUMIFS(资金日记账!$J$4:$J$2503,资金日记账!$H$4:$H$2503,$A54,资金日记账!$F$4:$F$2503,"&lt;&gt;往来-借贷"),2))</f>
        <v/>
      </c>
      <c r="F54" s="19">
        <f>IF($A54="","",ROUND($B54+$C54+$D54-$E54,2))</f>
        <v/>
      </c>
      <c r="G54" s="19">
        <f>IF($A54="","",ROUND(SUMIFS(资金日记账!$K$4:$K$2503,资金日记账!$H$4:$H$2503,$A54,资金日记账!$F$4:$F$2503,"往来-借贷")-SUMIFS(资金日记账!$J$4:$J$2503,资金日记账!$H$4:$H$2503,$A54,资金日记账!$F$4:$F$2503,"往来-借贷"),2))</f>
        <v/>
      </c>
      <c r="H54" s="23">
        <f>IF($A54="","",IFERROR(LOOKUP(1,0/((资金日记账!$H$4:$H$2503=$A54)*(资金日记账!$K$4:$K$2503&gt;0)),资金日记账!$B$4:$B$2503),""))</f>
        <v/>
      </c>
      <c r="I54" s="22">
        <f>IF($A54="","",COUNTIF(采购单!$C$4:$C$2003,$A54)+COUNTIF(资金日记账!$H$4:$H$2503,$A54))</f>
        <v/>
      </c>
      <c r="J54" s="13" t="n"/>
    </row>
    <row r="55">
      <c r="A55" s="17">
        <f>IF(基础资料!$G54="","",基础资料!$G54)</f>
        <v/>
      </c>
      <c r="B55" s="19">
        <f>IF($A55="","",ROUND(SUMIF(采购单!$C$4:$C$2003,$A55,采购单!$L$4:$L$2003),2))</f>
        <v/>
      </c>
      <c r="C55" s="19">
        <f>IF($A55="","",ROUND(SUMIF(生产安装!$F$4:$F$1203,$A55,生产安装!$J$4:$J$1203),2))</f>
        <v/>
      </c>
      <c r="D55" s="19">
        <f>IF($A55="","",ROUND(SUMIFS(资金日记账!$K$4:$K$2503,资金日记账!$H$4:$H$2503,$A55,资金日记账!$F$4:$F$2503,"成本-*"),2))</f>
        <v/>
      </c>
      <c r="E55" s="19">
        <f>IF($A55="","",ROUND(SUMIFS(资金日记账!$K$4:$K$2503,资金日记账!$H$4:$H$2503,$A55,资金日记账!$F$4:$F$2503,"&lt;&gt;往来-借贷")-SUMIFS(资金日记账!$J$4:$J$2503,资金日记账!$H$4:$H$2503,$A55,资金日记账!$F$4:$F$2503,"&lt;&gt;往来-借贷"),2))</f>
        <v/>
      </c>
      <c r="F55" s="19">
        <f>IF($A55="","",ROUND($B55+$C55+$D55-$E55,2))</f>
        <v/>
      </c>
      <c r="G55" s="19">
        <f>IF($A55="","",ROUND(SUMIFS(资金日记账!$K$4:$K$2503,资金日记账!$H$4:$H$2503,$A55,资金日记账!$F$4:$F$2503,"往来-借贷")-SUMIFS(资金日记账!$J$4:$J$2503,资金日记账!$H$4:$H$2503,$A55,资金日记账!$F$4:$F$2503,"往来-借贷"),2))</f>
        <v/>
      </c>
      <c r="H55" s="23">
        <f>IF($A55="","",IFERROR(LOOKUP(1,0/((资金日记账!$H$4:$H$2503=$A55)*(资金日记账!$K$4:$K$2503&gt;0)),资金日记账!$B$4:$B$2503),""))</f>
        <v/>
      </c>
      <c r="I55" s="22">
        <f>IF($A55="","",COUNTIF(采购单!$C$4:$C$2003,$A55)+COUNTIF(资金日记账!$H$4:$H$2503,$A55))</f>
        <v/>
      </c>
      <c r="J55" s="13" t="n"/>
    </row>
    <row r="56">
      <c r="A56" s="17">
        <f>IF(基础资料!$G55="","",基础资料!$G55)</f>
        <v/>
      </c>
      <c r="B56" s="19">
        <f>IF($A56="","",ROUND(SUMIF(采购单!$C$4:$C$2003,$A56,采购单!$L$4:$L$2003),2))</f>
        <v/>
      </c>
      <c r="C56" s="19">
        <f>IF($A56="","",ROUND(SUMIF(生产安装!$F$4:$F$1203,$A56,生产安装!$J$4:$J$1203),2))</f>
        <v/>
      </c>
      <c r="D56" s="19">
        <f>IF($A56="","",ROUND(SUMIFS(资金日记账!$K$4:$K$2503,资金日记账!$H$4:$H$2503,$A56,资金日记账!$F$4:$F$2503,"成本-*"),2))</f>
        <v/>
      </c>
      <c r="E56" s="19">
        <f>IF($A56="","",ROUND(SUMIFS(资金日记账!$K$4:$K$2503,资金日记账!$H$4:$H$2503,$A56,资金日记账!$F$4:$F$2503,"&lt;&gt;往来-借贷")-SUMIFS(资金日记账!$J$4:$J$2503,资金日记账!$H$4:$H$2503,$A56,资金日记账!$F$4:$F$2503,"&lt;&gt;往来-借贷"),2))</f>
        <v/>
      </c>
      <c r="F56" s="19">
        <f>IF($A56="","",ROUND($B56+$C56+$D56-$E56,2))</f>
        <v/>
      </c>
      <c r="G56" s="19">
        <f>IF($A56="","",ROUND(SUMIFS(资金日记账!$K$4:$K$2503,资金日记账!$H$4:$H$2503,$A56,资金日记账!$F$4:$F$2503,"往来-借贷")-SUMIFS(资金日记账!$J$4:$J$2503,资金日记账!$H$4:$H$2503,$A56,资金日记账!$F$4:$F$2503,"往来-借贷"),2))</f>
        <v/>
      </c>
      <c r="H56" s="23">
        <f>IF($A56="","",IFERROR(LOOKUP(1,0/((资金日记账!$H$4:$H$2503=$A56)*(资金日记账!$K$4:$K$2503&gt;0)),资金日记账!$B$4:$B$2503),""))</f>
        <v/>
      </c>
      <c r="I56" s="22">
        <f>IF($A56="","",COUNTIF(采购单!$C$4:$C$2003,$A56)+COUNTIF(资金日记账!$H$4:$H$2503,$A56))</f>
        <v/>
      </c>
      <c r="J56" s="13" t="n"/>
    </row>
    <row r="57">
      <c r="A57" s="17">
        <f>IF(基础资料!$G56="","",基础资料!$G56)</f>
        <v/>
      </c>
      <c r="B57" s="19">
        <f>IF($A57="","",ROUND(SUMIF(采购单!$C$4:$C$2003,$A57,采购单!$L$4:$L$2003),2))</f>
        <v/>
      </c>
      <c r="C57" s="19">
        <f>IF($A57="","",ROUND(SUMIF(生产安装!$F$4:$F$1203,$A57,生产安装!$J$4:$J$1203),2))</f>
        <v/>
      </c>
      <c r="D57" s="19">
        <f>IF($A57="","",ROUND(SUMIFS(资金日记账!$K$4:$K$2503,资金日记账!$H$4:$H$2503,$A57,资金日记账!$F$4:$F$2503,"成本-*"),2))</f>
        <v/>
      </c>
      <c r="E57" s="19">
        <f>IF($A57="","",ROUND(SUMIFS(资金日记账!$K$4:$K$2503,资金日记账!$H$4:$H$2503,$A57,资金日记账!$F$4:$F$2503,"&lt;&gt;往来-借贷")-SUMIFS(资金日记账!$J$4:$J$2503,资金日记账!$H$4:$H$2503,$A57,资金日记账!$F$4:$F$2503,"&lt;&gt;往来-借贷"),2))</f>
        <v/>
      </c>
      <c r="F57" s="19">
        <f>IF($A57="","",ROUND($B57+$C57+$D57-$E57,2))</f>
        <v/>
      </c>
      <c r="G57" s="19">
        <f>IF($A57="","",ROUND(SUMIFS(资金日记账!$K$4:$K$2503,资金日记账!$H$4:$H$2503,$A57,资金日记账!$F$4:$F$2503,"往来-借贷")-SUMIFS(资金日记账!$J$4:$J$2503,资金日记账!$H$4:$H$2503,$A57,资金日记账!$F$4:$F$2503,"往来-借贷"),2))</f>
        <v/>
      </c>
      <c r="H57" s="23">
        <f>IF($A57="","",IFERROR(LOOKUP(1,0/((资金日记账!$H$4:$H$2503=$A57)*(资金日记账!$K$4:$K$2503&gt;0)),资金日记账!$B$4:$B$2503),""))</f>
        <v/>
      </c>
      <c r="I57" s="22">
        <f>IF($A57="","",COUNTIF(采购单!$C$4:$C$2003,$A57)+COUNTIF(资金日记账!$H$4:$H$2503,$A57))</f>
        <v/>
      </c>
      <c r="J57" s="13" t="n"/>
    </row>
    <row r="58">
      <c r="A58" s="17">
        <f>IF(基础资料!$G57="","",基础资料!$G57)</f>
        <v/>
      </c>
      <c r="B58" s="19">
        <f>IF($A58="","",ROUND(SUMIF(采购单!$C$4:$C$2003,$A58,采购单!$L$4:$L$2003),2))</f>
        <v/>
      </c>
      <c r="C58" s="19">
        <f>IF($A58="","",ROUND(SUMIF(生产安装!$F$4:$F$1203,$A58,生产安装!$J$4:$J$1203),2))</f>
        <v/>
      </c>
      <c r="D58" s="19">
        <f>IF($A58="","",ROUND(SUMIFS(资金日记账!$K$4:$K$2503,资金日记账!$H$4:$H$2503,$A58,资金日记账!$F$4:$F$2503,"成本-*"),2))</f>
        <v/>
      </c>
      <c r="E58" s="19">
        <f>IF($A58="","",ROUND(SUMIFS(资金日记账!$K$4:$K$2503,资金日记账!$H$4:$H$2503,$A58,资金日记账!$F$4:$F$2503,"&lt;&gt;往来-借贷")-SUMIFS(资金日记账!$J$4:$J$2503,资金日记账!$H$4:$H$2503,$A58,资金日记账!$F$4:$F$2503,"&lt;&gt;往来-借贷"),2))</f>
        <v/>
      </c>
      <c r="F58" s="19">
        <f>IF($A58="","",ROUND($B58+$C58+$D58-$E58,2))</f>
        <v/>
      </c>
      <c r="G58" s="19">
        <f>IF($A58="","",ROUND(SUMIFS(资金日记账!$K$4:$K$2503,资金日记账!$H$4:$H$2503,$A58,资金日记账!$F$4:$F$2503,"往来-借贷")-SUMIFS(资金日记账!$J$4:$J$2503,资金日记账!$H$4:$H$2503,$A58,资金日记账!$F$4:$F$2503,"往来-借贷"),2))</f>
        <v/>
      </c>
      <c r="H58" s="23">
        <f>IF($A58="","",IFERROR(LOOKUP(1,0/((资金日记账!$H$4:$H$2503=$A58)*(资金日记账!$K$4:$K$2503&gt;0)),资金日记账!$B$4:$B$2503),""))</f>
        <v/>
      </c>
      <c r="I58" s="22">
        <f>IF($A58="","",COUNTIF(采购单!$C$4:$C$2003,$A58)+COUNTIF(资金日记账!$H$4:$H$2503,$A58))</f>
        <v/>
      </c>
      <c r="J58" s="13" t="n"/>
    </row>
    <row r="59">
      <c r="A59" s="17">
        <f>IF(基础资料!$G58="","",基础资料!$G58)</f>
        <v/>
      </c>
      <c r="B59" s="19">
        <f>IF($A59="","",ROUND(SUMIF(采购单!$C$4:$C$2003,$A59,采购单!$L$4:$L$2003),2))</f>
        <v/>
      </c>
      <c r="C59" s="19">
        <f>IF($A59="","",ROUND(SUMIF(生产安装!$F$4:$F$1203,$A59,生产安装!$J$4:$J$1203),2))</f>
        <v/>
      </c>
      <c r="D59" s="19">
        <f>IF($A59="","",ROUND(SUMIFS(资金日记账!$K$4:$K$2503,资金日记账!$H$4:$H$2503,$A59,资金日记账!$F$4:$F$2503,"成本-*"),2))</f>
        <v/>
      </c>
      <c r="E59" s="19">
        <f>IF($A59="","",ROUND(SUMIFS(资金日记账!$K$4:$K$2503,资金日记账!$H$4:$H$2503,$A59,资金日记账!$F$4:$F$2503,"&lt;&gt;往来-借贷")-SUMIFS(资金日记账!$J$4:$J$2503,资金日记账!$H$4:$H$2503,$A59,资金日记账!$F$4:$F$2503,"&lt;&gt;往来-借贷"),2))</f>
        <v/>
      </c>
      <c r="F59" s="19">
        <f>IF($A59="","",ROUND($B59+$C59+$D59-$E59,2))</f>
        <v/>
      </c>
      <c r="G59" s="19">
        <f>IF($A59="","",ROUND(SUMIFS(资金日记账!$K$4:$K$2503,资金日记账!$H$4:$H$2503,$A59,资金日记账!$F$4:$F$2503,"往来-借贷")-SUMIFS(资金日记账!$J$4:$J$2503,资金日记账!$H$4:$H$2503,$A59,资金日记账!$F$4:$F$2503,"往来-借贷"),2))</f>
        <v/>
      </c>
      <c r="H59" s="23">
        <f>IF($A59="","",IFERROR(LOOKUP(1,0/((资金日记账!$H$4:$H$2503=$A59)*(资金日记账!$K$4:$K$2503&gt;0)),资金日记账!$B$4:$B$2503),""))</f>
        <v/>
      </c>
      <c r="I59" s="22">
        <f>IF($A59="","",COUNTIF(采购单!$C$4:$C$2003,$A59)+COUNTIF(资金日记账!$H$4:$H$2503,$A59))</f>
        <v/>
      </c>
      <c r="J59" s="13" t="n"/>
    </row>
    <row r="60">
      <c r="A60" s="17">
        <f>IF(基础资料!$G59="","",基础资料!$G59)</f>
        <v/>
      </c>
      <c r="B60" s="19">
        <f>IF($A60="","",ROUND(SUMIF(采购单!$C$4:$C$2003,$A60,采购单!$L$4:$L$2003),2))</f>
        <v/>
      </c>
      <c r="C60" s="19">
        <f>IF($A60="","",ROUND(SUMIF(生产安装!$F$4:$F$1203,$A60,生产安装!$J$4:$J$1203),2))</f>
        <v/>
      </c>
      <c r="D60" s="19">
        <f>IF($A60="","",ROUND(SUMIFS(资金日记账!$K$4:$K$2503,资金日记账!$H$4:$H$2503,$A60,资金日记账!$F$4:$F$2503,"成本-*"),2))</f>
        <v/>
      </c>
      <c r="E60" s="19">
        <f>IF($A60="","",ROUND(SUMIFS(资金日记账!$K$4:$K$2503,资金日记账!$H$4:$H$2503,$A60,资金日记账!$F$4:$F$2503,"&lt;&gt;往来-借贷")-SUMIFS(资金日记账!$J$4:$J$2503,资金日记账!$H$4:$H$2503,$A60,资金日记账!$F$4:$F$2503,"&lt;&gt;往来-借贷"),2))</f>
        <v/>
      </c>
      <c r="F60" s="19">
        <f>IF($A60="","",ROUND($B60+$C60+$D60-$E60,2))</f>
        <v/>
      </c>
      <c r="G60" s="19">
        <f>IF($A60="","",ROUND(SUMIFS(资金日记账!$K$4:$K$2503,资金日记账!$H$4:$H$2503,$A60,资金日记账!$F$4:$F$2503,"往来-借贷")-SUMIFS(资金日记账!$J$4:$J$2503,资金日记账!$H$4:$H$2503,$A60,资金日记账!$F$4:$F$2503,"往来-借贷"),2))</f>
        <v/>
      </c>
      <c r="H60" s="23">
        <f>IF($A60="","",IFERROR(LOOKUP(1,0/((资金日记账!$H$4:$H$2503=$A60)*(资金日记账!$K$4:$K$2503&gt;0)),资金日记账!$B$4:$B$2503),""))</f>
        <v/>
      </c>
      <c r="I60" s="22">
        <f>IF($A60="","",COUNTIF(采购单!$C$4:$C$2003,$A60)+COUNTIF(资金日记账!$H$4:$H$2503,$A60))</f>
        <v/>
      </c>
      <c r="J60" s="13" t="n"/>
    </row>
    <row r="61">
      <c r="A61" s="17">
        <f>IF(基础资料!$G60="","",基础资料!$G60)</f>
        <v/>
      </c>
      <c r="B61" s="19">
        <f>IF($A61="","",ROUND(SUMIF(采购单!$C$4:$C$2003,$A61,采购单!$L$4:$L$2003),2))</f>
        <v/>
      </c>
      <c r="C61" s="19">
        <f>IF($A61="","",ROUND(SUMIF(生产安装!$F$4:$F$1203,$A61,生产安装!$J$4:$J$1203),2))</f>
        <v/>
      </c>
      <c r="D61" s="19">
        <f>IF($A61="","",ROUND(SUMIFS(资金日记账!$K$4:$K$2503,资金日记账!$H$4:$H$2503,$A61,资金日记账!$F$4:$F$2503,"成本-*"),2))</f>
        <v/>
      </c>
      <c r="E61" s="19">
        <f>IF($A61="","",ROUND(SUMIFS(资金日记账!$K$4:$K$2503,资金日记账!$H$4:$H$2503,$A61,资金日记账!$F$4:$F$2503,"&lt;&gt;往来-借贷")-SUMIFS(资金日记账!$J$4:$J$2503,资金日记账!$H$4:$H$2503,$A61,资金日记账!$F$4:$F$2503,"&lt;&gt;往来-借贷"),2))</f>
        <v/>
      </c>
      <c r="F61" s="19">
        <f>IF($A61="","",ROUND($B61+$C61+$D61-$E61,2))</f>
        <v/>
      </c>
      <c r="G61" s="19">
        <f>IF($A61="","",ROUND(SUMIFS(资金日记账!$K$4:$K$2503,资金日记账!$H$4:$H$2503,$A61,资金日记账!$F$4:$F$2503,"往来-借贷")-SUMIFS(资金日记账!$J$4:$J$2503,资金日记账!$H$4:$H$2503,$A61,资金日记账!$F$4:$F$2503,"往来-借贷"),2))</f>
        <v/>
      </c>
      <c r="H61" s="23">
        <f>IF($A61="","",IFERROR(LOOKUP(1,0/((资金日记账!$H$4:$H$2503=$A61)*(资金日记账!$K$4:$K$2503&gt;0)),资金日记账!$B$4:$B$2503),""))</f>
        <v/>
      </c>
      <c r="I61" s="22">
        <f>IF($A61="","",COUNTIF(采购单!$C$4:$C$2003,$A61)+COUNTIF(资金日记账!$H$4:$H$2503,$A61))</f>
        <v/>
      </c>
      <c r="J61" s="13" t="n"/>
    </row>
    <row r="62">
      <c r="A62" s="17">
        <f>IF(基础资料!$G61="","",基础资料!$G61)</f>
        <v/>
      </c>
      <c r="B62" s="19">
        <f>IF($A62="","",ROUND(SUMIF(采购单!$C$4:$C$2003,$A62,采购单!$L$4:$L$2003),2))</f>
        <v/>
      </c>
      <c r="C62" s="19">
        <f>IF($A62="","",ROUND(SUMIF(生产安装!$F$4:$F$1203,$A62,生产安装!$J$4:$J$1203),2))</f>
        <v/>
      </c>
      <c r="D62" s="19">
        <f>IF($A62="","",ROUND(SUMIFS(资金日记账!$K$4:$K$2503,资金日记账!$H$4:$H$2503,$A62,资金日记账!$F$4:$F$2503,"成本-*"),2))</f>
        <v/>
      </c>
      <c r="E62" s="19">
        <f>IF($A62="","",ROUND(SUMIFS(资金日记账!$K$4:$K$2503,资金日记账!$H$4:$H$2503,$A62,资金日记账!$F$4:$F$2503,"&lt;&gt;往来-借贷")-SUMIFS(资金日记账!$J$4:$J$2503,资金日记账!$H$4:$H$2503,$A62,资金日记账!$F$4:$F$2503,"&lt;&gt;往来-借贷"),2))</f>
        <v/>
      </c>
      <c r="F62" s="19">
        <f>IF($A62="","",ROUND($B62+$C62+$D62-$E62,2))</f>
        <v/>
      </c>
      <c r="G62" s="19">
        <f>IF($A62="","",ROUND(SUMIFS(资金日记账!$K$4:$K$2503,资金日记账!$H$4:$H$2503,$A62,资金日记账!$F$4:$F$2503,"往来-借贷")-SUMIFS(资金日记账!$J$4:$J$2503,资金日记账!$H$4:$H$2503,$A62,资金日记账!$F$4:$F$2503,"往来-借贷"),2))</f>
        <v/>
      </c>
      <c r="H62" s="23">
        <f>IF($A62="","",IFERROR(LOOKUP(1,0/((资金日记账!$H$4:$H$2503=$A62)*(资金日记账!$K$4:$K$2503&gt;0)),资金日记账!$B$4:$B$2503),""))</f>
        <v/>
      </c>
      <c r="I62" s="22">
        <f>IF($A62="","",COUNTIF(采购单!$C$4:$C$2003,$A62)+COUNTIF(资金日记账!$H$4:$H$2503,$A62))</f>
        <v/>
      </c>
      <c r="J62" s="13" t="n"/>
    </row>
    <row r="63">
      <c r="A63" s="17">
        <f>IF(基础资料!$G62="","",基础资料!$G62)</f>
        <v/>
      </c>
      <c r="B63" s="19">
        <f>IF($A63="","",ROUND(SUMIF(采购单!$C$4:$C$2003,$A63,采购单!$L$4:$L$2003),2))</f>
        <v/>
      </c>
      <c r="C63" s="19">
        <f>IF($A63="","",ROUND(SUMIF(生产安装!$F$4:$F$1203,$A63,生产安装!$J$4:$J$1203),2))</f>
        <v/>
      </c>
      <c r="D63" s="19">
        <f>IF($A63="","",ROUND(SUMIFS(资金日记账!$K$4:$K$2503,资金日记账!$H$4:$H$2503,$A63,资金日记账!$F$4:$F$2503,"成本-*"),2))</f>
        <v/>
      </c>
      <c r="E63" s="19">
        <f>IF($A63="","",ROUND(SUMIFS(资金日记账!$K$4:$K$2503,资金日记账!$H$4:$H$2503,$A63,资金日记账!$F$4:$F$2503,"&lt;&gt;往来-借贷")-SUMIFS(资金日记账!$J$4:$J$2503,资金日记账!$H$4:$H$2503,$A63,资金日记账!$F$4:$F$2503,"&lt;&gt;往来-借贷"),2))</f>
        <v/>
      </c>
      <c r="F63" s="19">
        <f>IF($A63="","",ROUND($B63+$C63+$D63-$E63,2))</f>
        <v/>
      </c>
      <c r="G63" s="19">
        <f>IF($A63="","",ROUND(SUMIFS(资金日记账!$K$4:$K$2503,资金日记账!$H$4:$H$2503,$A63,资金日记账!$F$4:$F$2503,"往来-借贷")-SUMIFS(资金日记账!$J$4:$J$2503,资金日记账!$H$4:$H$2503,$A63,资金日记账!$F$4:$F$2503,"往来-借贷"),2))</f>
        <v/>
      </c>
      <c r="H63" s="23">
        <f>IF($A63="","",IFERROR(LOOKUP(1,0/((资金日记账!$H$4:$H$2503=$A63)*(资金日记账!$K$4:$K$2503&gt;0)),资金日记账!$B$4:$B$2503),""))</f>
        <v/>
      </c>
      <c r="I63" s="22">
        <f>IF($A63="","",COUNTIF(采购单!$C$4:$C$2003,$A63)+COUNTIF(资金日记账!$H$4:$H$2503,$A63))</f>
        <v/>
      </c>
      <c r="J63" s="13" t="n"/>
    </row>
    <row r="64">
      <c r="A64" s="17">
        <f>IF(基础资料!$G63="","",基础资料!$G63)</f>
        <v/>
      </c>
      <c r="B64" s="19">
        <f>IF($A64="","",ROUND(SUMIF(采购单!$C$4:$C$2003,$A64,采购单!$L$4:$L$2003),2))</f>
        <v/>
      </c>
      <c r="C64" s="19">
        <f>IF($A64="","",ROUND(SUMIF(生产安装!$F$4:$F$1203,$A64,生产安装!$J$4:$J$1203),2))</f>
        <v/>
      </c>
      <c r="D64" s="19">
        <f>IF($A64="","",ROUND(SUMIFS(资金日记账!$K$4:$K$2503,资金日记账!$H$4:$H$2503,$A64,资金日记账!$F$4:$F$2503,"成本-*"),2))</f>
        <v/>
      </c>
      <c r="E64" s="19">
        <f>IF($A64="","",ROUND(SUMIFS(资金日记账!$K$4:$K$2503,资金日记账!$H$4:$H$2503,$A64,资金日记账!$F$4:$F$2503,"&lt;&gt;往来-借贷")-SUMIFS(资金日记账!$J$4:$J$2503,资金日记账!$H$4:$H$2503,$A64,资金日记账!$F$4:$F$2503,"&lt;&gt;往来-借贷"),2))</f>
        <v/>
      </c>
      <c r="F64" s="19">
        <f>IF($A64="","",ROUND($B64+$C64+$D64-$E64,2))</f>
        <v/>
      </c>
      <c r="G64" s="19">
        <f>IF($A64="","",ROUND(SUMIFS(资金日记账!$K$4:$K$2503,资金日记账!$H$4:$H$2503,$A64,资金日记账!$F$4:$F$2503,"往来-借贷")-SUMIFS(资金日记账!$J$4:$J$2503,资金日记账!$H$4:$H$2503,$A64,资金日记账!$F$4:$F$2503,"往来-借贷"),2))</f>
        <v/>
      </c>
      <c r="H64" s="23">
        <f>IF($A64="","",IFERROR(LOOKUP(1,0/((资金日记账!$H$4:$H$2503=$A64)*(资金日记账!$K$4:$K$2503&gt;0)),资金日记账!$B$4:$B$2503),""))</f>
        <v/>
      </c>
      <c r="I64" s="22">
        <f>IF($A64="","",COUNTIF(采购单!$C$4:$C$2003,$A64)+COUNTIF(资金日记账!$H$4:$H$2503,$A64))</f>
        <v/>
      </c>
      <c r="J64" s="13" t="n"/>
    </row>
    <row r="65">
      <c r="A65" s="17">
        <f>IF(基础资料!$G64="","",基础资料!$G64)</f>
        <v/>
      </c>
      <c r="B65" s="19">
        <f>IF($A65="","",ROUND(SUMIF(采购单!$C$4:$C$2003,$A65,采购单!$L$4:$L$2003),2))</f>
        <v/>
      </c>
      <c r="C65" s="19">
        <f>IF($A65="","",ROUND(SUMIF(生产安装!$F$4:$F$1203,$A65,生产安装!$J$4:$J$1203),2))</f>
        <v/>
      </c>
      <c r="D65" s="19">
        <f>IF($A65="","",ROUND(SUMIFS(资金日记账!$K$4:$K$2503,资金日记账!$H$4:$H$2503,$A65,资金日记账!$F$4:$F$2503,"成本-*"),2))</f>
        <v/>
      </c>
      <c r="E65" s="19">
        <f>IF($A65="","",ROUND(SUMIFS(资金日记账!$K$4:$K$2503,资金日记账!$H$4:$H$2503,$A65,资金日记账!$F$4:$F$2503,"&lt;&gt;往来-借贷")-SUMIFS(资金日记账!$J$4:$J$2503,资金日记账!$H$4:$H$2503,$A65,资金日记账!$F$4:$F$2503,"&lt;&gt;往来-借贷"),2))</f>
        <v/>
      </c>
      <c r="F65" s="19">
        <f>IF($A65="","",ROUND($B65+$C65+$D65-$E65,2))</f>
        <v/>
      </c>
      <c r="G65" s="19">
        <f>IF($A65="","",ROUND(SUMIFS(资金日记账!$K$4:$K$2503,资金日记账!$H$4:$H$2503,$A65,资金日记账!$F$4:$F$2503,"往来-借贷")-SUMIFS(资金日记账!$J$4:$J$2503,资金日记账!$H$4:$H$2503,$A65,资金日记账!$F$4:$F$2503,"往来-借贷"),2))</f>
        <v/>
      </c>
      <c r="H65" s="23">
        <f>IF($A65="","",IFERROR(LOOKUP(1,0/((资金日记账!$H$4:$H$2503=$A65)*(资金日记账!$K$4:$K$2503&gt;0)),资金日记账!$B$4:$B$2503),""))</f>
        <v/>
      </c>
      <c r="I65" s="22">
        <f>IF($A65="","",COUNTIF(采购单!$C$4:$C$2003,$A65)+COUNTIF(资金日记账!$H$4:$H$2503,$A65))</f>
        <v/>
      </c>
      <c r="J65" s="13" t="n"/>
    </row>
    <row r="66">
      <c r="A66" s="17">
        <f>IF(基础资料!$G65="","",基础资料!$G65)</f>
        <v/>
      </c>
      <c r="B66" s="19">
        <f>IF($A66="","",ROUND(SUMIF(采购单!$C$4:$C$2003,$A66,采购单!$L$4:$L$2003),2))</f>
        <v/>
      </c>
      <c r="C66" s="19">
        <f>IF($A66="","",ROUND(SUMIF(生产安装!$F$4:$F$1203,$A66,生产安装!$J$4:$J$1203),2))</f>
        <v/>
      </c>
      <c r="D66" s="19">
        <f>IF($A66="","",ROUND(SUMIFS(资金日记账!$K$4:$K$2503,资金日记账!$H$4:$H$2503,$A66,资金日记账!$F$4:$F$2503,"成本-*"),2))</f>
        <v/>
      </c>
      <c r="E66" s="19">
        <f>IF($A66="","",ROUND(SUMIFS(资金日记账!$K$4:$K$2503,资金日记账!$H$4:$H$2503,$A66,资金日记账!$F$4:$F$2503,"&lt;&gt;往来-借贷")-SUMIFS(资金日记账!$J$4:$J$2503,资金日记账!$H$4:$H$2503,$A66,资金日记账!$F$4:$F$2503,"&lt;&gt;往来-借贷"),2))</f>
        <v/>
      </c>
      <c r="F66" s="19">
        <f>IF($A66="","",ROUND($B66+$C66+$D66-$E66,2))</f>
        <v/>
      </c>
      <c r="G66" s="19">
        <f>IF($A66="","",ROUND(SUMIFS(资金日记账!$K$4:$K$2503,资金日记账!$H$4:$H$2503,$A66,资金日记账!$F$4:$F$2503,"往来-借贷")-SUMIFS(资金日记账!$J$4:$J$2503,资金日记账!$H$4:$H$2503,$A66,资金日记账!$F$4:$F$2503,"往来-借贷"),2))</f>
        <v/>
      </c>
      <c r="H66" s="23">
        <f>IF($A66="","",IFERROR(LOOKUP(1,0/((资金日记账!$H$4:$H$2503=$A66)*(资金日记账!$K$4:$K$2503&gt;0)),资金日记账!$B$4:$B$2503),""))</f>
        <v/>
      </c>
      <c r="I66" s="22">
        <f>IF($A66="","",COUNTIF(采购单!$C$4:$C$2003,$A66)+COUNTIF(资金日记账!$H$4:$H$2503,$A66))</f>
        <v/>
      </c>
      <c r="J66" s="13" t="n"/>
    </row>
    <row r="67">
      <c r="A67" s="17">
        <f>IF(基础资料!$G66="","",基础资料!$G66)</f>
        <v/>
      </c>
      <c r="B67" s="19">
        <f>IF($A67="","",ROUND(SUMIF(采购单!$C$4:$C$2003,$A67,采购单!$L$4:$L$2003),2))</f>
        <v/>
      </c>
      <c r="C67" s="19">
        <f>IF($A67="","",ROUND(SUMIF(生产安装!$F$4:$F$1203,$A67,生产安装!$J$4:$J$1203),2))</f>
        <v/>
      </c>
      <c r="D67" s="19">
        <f>IF($A67="","",ROUND(SUMIFS(资金日记账!$K$4:$K$2503,资金日记账!$H$4:$H$2503,$A67,资金日记账!$F$4:$F$2503,"成本-*"),2))</f>
        <v/>
      </c>
      <c r="E67" s="19">
        <f>IF($A67="","",ROUND(SUMIFS(资金日记账!$K$4:$K$2503,资金日记账!$H$4:$H$2503,$A67,资金日记账!$F$4:$F$2503,"&lt;&gt;往来-借贷")-SUMIFS(资金日记账!$J$4:$J$2503,资金日记账!$H$4:$H$2503,$A67,资金日记账!$F$4:$F$2503,"&lt;&gt;往来-借贷"),2))</f>
        <v/>
      </c>
      <c r="F67" s="19">
        <f>IF($A67="","",ROUND($B67+$C67+$D67-$E67,2))</f>
        <v/>
      </c>
      <c r="G67" s="19">
        <f>IF($A67="","",ROUND(SUMIFS(资金日记账!$K$4:$K$2503,资金日记账!$H$4:$H$2503,$A67,资金日记账!$F$4:$F$2503,"往来-借贷")-SUMIFS(资金日记账!$J$4:$J$2503,资金日记账!$H$4:$H$2503,$A67,资金日记账!$F$4:$F$2503,"往来-借贷"),2))</f>
        <v/>
      </c>
      <c r="H67" s="23">
        <f>IF($A67="","",IFERROR(LOOKUP(1,0/((资金日记账!$H$4:$H$2503=$A67)*(资金日记账!$K$4:$K$2503&gt;0)),资金日记账!$B$4:$B$2503),""))</f>
        <v/>
      </c>
      <c r="I67" s="22">
        <f>IF($A67="","",COUNTIF(采购单!$C$4:$C$2003,$A67)+COUNTIF(资金日记账!$H$4:$H$2503,$A67))</f>
        <v/>
      </c>
      <c r="J67" s="13" t="n"/>
    </row>
    <row r="68">
      <c r="A68" s="17">
        <f>IF(基础资料!$G67="","",基础资料!$G67)</f>
        <v/>
      </c>
      <c r="B68" s="19">
        <f>IF($A68="","",ROUND(SUMIF(采购单!$C$4:$C$2003,$A68,采购单!$L$4:$L$2003),2))</f>
        <v/>
      </c>
      <c r="C68" s="19">
        <f>IF($A68="","",ROUND(SUMIF(生产安装!$F$4:$F$1203,$A68,生产安装!$J$4:$J$1203),2))</f>
        <v/>
      </c>
      <c r="D68" s="19">
        <f>IF($A68="","",ROUND(SUMIFS(资金日记账!$K$4:$K$2503,资金日记账!$H$4:$H$2503,$A68,资金日记账!$F$4:$F$2503,"成本-*"),2))</f>
        <v/>
      </c>
      <c r="E68" s="19">
        <f>IF($A68="","",ROUND(SUMIFS(资金日记账!$K$4:$K$2503,资金日记账!$H$4:$H$2503,$A68,资金日记账!$F$4:$F$2503,"&lt;&gt;往来-借贷")-SUMIFS(资金日记账!$J$4:$J$2503,资金日记账!$H$4:$H$2503,$A68,资金日记账!$F$4:$F$2503,"&lt;&gt;往来-借贷"),2))</f>
        <v/>
      </c>
      <c r="F68" s="19">
        <f>IF($A68="","",ROUND($B68+$C68+$D68-$E68,2))</f>
        <v/>
      </c>
      <c r="G68" s="19">
        <f>IF($A68="","",ROUND(SUMIFS(资金日记账!$K$4:$K$2503,资金日记账!$H$4:$H$2503,$A68,资金日记账!$F$4:$F$2503,"往来-借贷")-SUMIFS(资金日记账!$J$4:$J$2503,资金日记账!$H$4:$H$2503,$A68,资金日记账!$F$4:$F$2503,"往来-借贷"),2))</f>
        <v/>
      </c>
      <c r="H68" s="23">
        <f>IF($A68="","",IFERROR(LOOKUP(1,0/((资金日记账!$H$4:$H$2503=$A68)*(资金日记账!$K$4:$K$2503&gt;0)),资金日记账!$B$4:$B$2503),""))</f>
        <v/>
      </c>
      <c r="I68" s="22">
        <f>IF($A68="","",COUNTIF(采购单!$C$4:$C$2003,$A68)+COUNTIF(资金日记账!$H$4:$H$2503,$A68))</f>
        <v/>
      </c>
      <c r="J68" s="13" t="n"/>
    </row>
    <row r="69">
      <c r="A69" s="17">
        <f>IF(基础资料!$G68="","",基础资料!$G68)</f>
        <v/>
      </c>
      <c r="B69" s="19">
        <f>IF($A69="","",ROUND(SUMIF(采购单!$C$4:$C$2003,$A69,采购单!$L$4:$L$2003),2))</f>
        <v/>
      </c>
      <c r="C69" s="19">
        <f>IF($A69="","",ROUND(SUMIF(生产安装!$F$4:$F$1203,$A69,生产安装!$J$4:$J$1203),2))</f>
        <v/>
      </c>
      <c r="D69" s="19">
        <f>IF($A69="","",ROUND(SUMIFS(资金日记账!$K$4:$K$2503,资金日记账!$H$4:$H$2503,$A69,资金日记账!$F$4:$F$2503,"成本-*"),2))</f>
        <v/>
      </c>
      <c r="E69" s="19">
        <f>IF($A69="","",ROUND(SUMIFS(资金日记账!$K$4:$K$2503,资金日记账!$H$4:$H$2503,$A69,资金日记账!$F$4:$F$2503,"&lt;&gt;往来-借贷")-SUMIFS(资金日记账!$J$4:$J$2503,资金日记账!$H$4:$H$2503,$A69,资金日记账!$F$4:$F$2503,"&lt;&gt;往来-借贷"),2))</f>
        <v/>
      </c>
      <c r="F69" s="19">
        <f>IF($A69="","",ROUND($B69+$C69+$D69-$E69,2))</f>
        <v/>
      </c>
      <c r="G69" s="19">
        <f>IF($A69="","",ROUND(SUMIFS(资金日记账!$K$4:$K$2503,资金日记账!$H$4:$H$2503,$A69,资金日记账!$F$4:$F$2503,"往来-借贷")-SUMIFS(资金日记账!$J$4:$J$2503,资金日记账!$H$4:$H$2503,$A69,资金日记账!$F$4:$F$2503,"往来-借贷"),2))</f>
        <v/>
      </c>
      <c r="H69" s="23">
        <f>IF($A69="","",IFERROR(LOOKUP(1,0/((资金日记账!$H$4:$H$2503=$A69)*(资金日记账!$K$4:$K$2503&gt;0)),资金日记账!$B$4:$B$2503),""))</f>
        <v/>
      </c>
      <c r="I69" s="22">
        <f>IF($A69="","",COUNTIF(采购单!$C$4:$C$2003,$A69)+COUNTIF(资金日记账!$H$4:$H$2503,$A69))</f>
        <v/>
      </c>
      <c r="J69" s="13" t="n"/>
    </row>
    <row r="70">
      <c r="A70" s="17">
        <f>IF(基础资料!$G69="","",基础资料!$G69)</f>
        <v/>
      </c>
      <c r="B70" s="19">
        <f>IF($A70="","",ROUND(SUMIF(采购单!$C$4:$C$2003,$A70,采购单!$L$4:$L$2003),2))</f>
        <v/>
      </c>
      <c r="C70" s="19">
        <f>IF($A70="","",ROUND(SUMIF(生产安装!$F$4:$F$1203,$A70,生产安装!$J$4:$J$1203),2))</f>
        <v/>
      </c>
      <c r="D70" s="19">
        <f>IF($A70="","",ROUND(SUMIFS(资金日记账!$K$4:$K$2503,资金日记账!$H$4:$H$2503,$A70,资金日记账!$F$4:$F$2503,"成本-*"),2))</f>
        <v/>
      </c>
      <c r="E70" s="19">
        <f>IF($A70="","",ROUND(SUMIFS(资金日记账!$K$4:$K$2503,资金日记账!$H$4:$H$2503,$A70,资金日记账!$F$4:$F$2503,"&lt;&gt;往来-借贷")-SUMIFS(资金日记账!$J$4:$J$2503,资金日记账!$H$4:$H$2503,$A70,资金日记账!$F$4:$F$2503,"&lt;&gt;往来-借贷"),2))</f>
        <v/>
      </c>
      <c r="F70" s="19">
        <f>IF($A70="","",ROUND($B70+$C70+$D70-$E70,2))</f>
        <v/>
      </c>
      <c r="G70" s="19">
        <f>IF($A70="","",ROUND(SUMIFS(资金日记账!$K$4:$K$2503,资金日记账!$H$4:$H$2503,$A70,资金日记账!$F$4:$F$2503,"往来-借贷")-SUMIFS(资金日记账!$J$4:$J$2503,资金日记账!$H$4:$H$2503,$A70,资金日记账!$F$4:$F$2503,"往来-借贷"),2))</f>
        <v/>
      </c>
      <c r="H70" s="23">
        <f>IF($A70="","",IFERROR(LOOKUP(1,0/((资金日记账!$H$4:$H$2503=$A70)*(资金日记账!$K$4:$K$2503&gt;0)),资金日记账!$B$4:$B$2503),""))</f>
        <v/>
      </c>
      <c r="I70" s="22">
        <f>IF($A70="","",COUNTIF(采购单!$C$4:$C$2003,$A70)+COUNTIF(资金日记账!$H$4:$H$2503,$A70))</f>
        <v/>
      </c>
      <c r="J70" s="13" t="n"/>
    </row>
    <row r="71">
      <c r="A71" s="17">
        <f>IF(基础资料!$G70="","",基础资料!$G70)</f>
        <v/>
      </c>
      <c r="B71" s="19">
        <f>IF($A71="","",ROUND(SUMIF(采购单!$C$4:$C$2003,$A71,采购单!$L$4:$L$2003),2))</f>
        <v/>
      </c>
      <c r="C71" s="19">
        <f>IF($A71="","",ROUND(SUMIF(生产安装!$F$4:$F$1203,$A71,生产安装!$J$4:$J$1203),2))</f>
        <v/>
      </c>
      <c r="D71" s="19">
        <f>IF($A71="","",ROUND(SUMIFS(资金日记账!$K$4:$K$2503,资金日记账!$H$4:$H$2503,$A71,资金日记账!$F$4:$F$2503,"成本-*"),2))</f>
        <v/>
      </c>
      <c r="E71" s="19">
        <f>IF($A71="","",ROUND(SUMIFS(资金日记账!$K$4:$K$2503,资金日记账!$H$4:$H$2503,$A71,资金日记账!$F$4:$F$2503,"&lt;&gt;往来-借贷")-SUMIFS(资金日记账!$J$4:$J$2503,资金日记账!$H$4:$H$2503,$A71,资金日记账!$F$4:$F$2503,"&lt;&gt;往来-借贷"),2))</f>
        <v/>
      </c>
      <c r="F71" s="19">
        <f>IF($A71="","",ROUND($B71+$C71+$D71-$E71,2))</f>
        <v/>
      </c>
      <c r="G71" s="19">
        <f>IF($A71="","",ROUND(SUMIFS(资金日记账!$K$4:$K$2503,资金日记账!$H$4:$H$2503,$A71,资金日记账!$F$4:$F$2503,"往来-借贷")-SUMIFS(资金日记账!$J$4:$J$2503,资金日记账!$H$4:$H$2503,$A71,资金日记账!$F$4:$F$2503,"往来-借贷"),2))</f>
        <v/>
      </c>
      <c r="H71" s="23">
        <f>IF($A71="","",IFERROR(LOOKUP(1,0/((资金日记账!$H$4:$H$2503=$A71)*(资金日记账!$K$4:$K$2503&gt;0)),资金日记账!$B$4:$B$2503),""))</f>
        <v/>
      </c>
      <c r="I71" s="22">
        <f>IF($A71="","",COUNTIF(采购单!$C$4:$C$2003,$A71)+COUNTIF(资金日记账!$H$4:$H$2503,$A71))</f>
        <v/>
      </c>
      <c r="J71" s="13" t="n"/>
    </row>
    <row r="72">
      <c r="A72" s="17">
        <f>IF(基础资料!$G71="","",基础资料!$G71)</f>
        <v/>
      </c>
      <c r="B72" s="19">
        <f>IF($A72="","",ROUND(SUMIF(采购单!$C$4:$C$2003,$A72,采购单!$L$4:$L$2003),2))</f>
        <v/>
      </c>
      <c r="C72" s="19">
        <f>IF($A72="","",ROUND(SUMIF(生产安装!$F$4:$F$1203,$A72,生产安装!$J$4:$J$1203),2))</f>
        <v/>
      </c>
      <c r="D72" s="19">
        <f>IF($A72="","",ROUND(SUMIFS(资金日记账!$K$4:$K$2503,资金日记账!$H$4:$H$2503,$A72,资金日记账!$F$4:$F$2503,"成本-*"),2))</f>
        <v/>
      </c>
      <c r="E72" s="19">
        <f>IF($A72="","",ROUND(SUMIFS(资金日记账!$K$4:$K$2503,资金日记账!$H$4:$H$2503,$A72,资金日记账!$F$4:$F$2503,"&lt;&gt;往来-借贷")-SUMIFS(资金日记账!$J$4:$J$2503,资金日记账!$H$4:$H$2503,$A72,资金日记账!$F$4:$F$2503,"&lt;&gt;往来-借贷"),2))</f>
        <v/>
      </c>
      <c r="F72" s="19">
        <f>IF($A72="","",ROUND($B72+$C72+$D72-$E72,2))</f>
        <v/>
      </c>
      <c r="G72" s="19">
        <f>IF($A72="","",ROUND(SUMIFS(资金日记账!$K$4:$K$2503,资金日记账!$H$4:$H$2503,$A72,资金日记账!$F$4:$F$2503,"往来-借贷")-SUMIFS(资金日记账!$J$4:$J$2503,资金日记账!$H$4:$H$2503,$A72,资金日记账!$F$4:$F$2503,"往来-借贷"),2))</f>
        <v/>
      </c>
      <c r="H72" s="23">
        <f>IF($A72="","",IFERROR(LOOKUP(1,0/((资金日记账!$H$4:$H$2503=$A72)*(资金日记账!$K$4:$K$2503&gt;0)),资金日记账!$B$4:$B$2503),""))</f>
        <v/>
      </c>
      <c r="I72" s="22">
        <f>IF($A72="","",COUNTIF(采购单!$C$4:$C$2003,$A72)+COUNTIF(资金日记账!$H$4:$H$2503,$A72))</f>
        <v/>
      </c>
      <c r="J72" s="13" t="n"/>
    </row>
    <row r="73">
      <c r="A73" s="17">
        <f>IF(基础资料!$G72="","",基础资料!$G72)</f>
        <v/>
      </c>
      <c r="B73" s="19">
        <f>IF($A73="","",ROUND(SUMIF(采购单!$C$4:$C$2003,$A73,采购单!$L$4:$L$2003),2))</f>
        <v/>
      </c>
      <c r="C73" s="19">
        <f>IF($A73="","",ROUND(SUMIF(生产安装!$F$4:$F$1203,$A73,生产安装!$J$4:$J$1203),2))</f>
        <v/>
      </c>
      <c r="D73" s="19">
        <f>IF($A73="","",ROUND(SUMIFS(资金日记账!$K$4:$K$2503,资金日记账!$H$4:$H$2503,$A73,资金日记账!$F$4:$F$2503,"成本-*"),2))</f>
        <v/>
      </c>
      <c r="E73" s="19">
        <f>IF($A73="","",ROUND(SUMIFS(资金日记账!$K$4:$K$2503,资金日记账!$H$4:$H$2503,$A73,资金日记账!$F$4:$F$2503,"&lt;&gt;往来-借贷")-SUMIFS(资金日记账!$J$4:$J$2503,资金日记账!$H$4:$H$2503,$A73,资金日记账!$F$4:$F$2503,"&lt;&gt;往来-借贷"),2))</f>
        <v/>
      </c>
      <c r="F73" s="19">
        <f>IF($A73="","",ROUND($B73+$C73+$D73-$E73,2))</f>
        <v/>
      </c>
      <c r="G73" s="19">
        <f>IF($A73="","",ROUND(SUMIFS(资金日记账!$K$4:$K$2503,资金日记账!$H$4:$H$2503,$A73,资金日记账!$F$4:$F$2503,"往来-借贷")-SUMIFS(资金日记账!$J$4:$J$2503,资金日记账!$H$4:$H$2503,$A73,资金日记账!$F$4:$F$2503,"往来-借贷"),2))</f>
        <v/>
      </c>
      <c r="H73" s="23">
        <f>IF($A73="","",IFERROR(LOOKUP(1,0/((资金日记账!$H$4:$H$2503=$A73)*(资金日记账!$K$4:$K$2503&gt;0)),资金日记账!$B$4:$B$2503),""))</f>
        <v/>
      </c>
      <c r="I73" s="22">
        <f>IF($A73="","",COUNTIF(采购单!$C$4:$C$2003,$A73)+COUNTIF(资金日记账!$H$4:$H$2503,$A73))</f>
        <v/>
      </c>
      <c r="J73" s="13" t="n"/>
    </row>
    <row r="74">
      <c r="A74" s="17">
        <f>IF(基础资料!$G73="","",基础资料!$G73)</f>
        <v/>
      </c>
      <c r="B74" s="19">
        <f>IF($A74="","",ROUND(SUMIF(采购单!$C$4:$C$2003,$A74,采购单!$L$4:$L$2003),2))</f>
        <v/>
      </c>
      <c r="C74" s="19">
        <f>IF($A74="","",ROUND(SUMIF(生产安装!$F$4:$F$1203,$A74,生产安装!$J$4:$J$1203),2))</f>
        <v/>
      </c>
      <c r="D74" s="19">
        <f>IF($A74="","",ROUND(SUMIFS(资金日记账!$K$4:$K$2503,资金日记账!$H$4:$H$2503,$A74,资金日记账!$F$4:$F$2503,"成本-*"),2))</f>
        <v/>
      </c>
      <c r="E74" s="19">
        <f>IF($A74="","",ROUND(SUMIFS(资金日记账!$K$4:$K$2503,资金日记账!$H$4:$H$2503,$A74,资金日记账!$F$4:$F$2503,"&lt;&gt;往来-借贷")-SUMIFS(资金日记账!$J$4:$J$2503,资金日记账!$H$4:$H$2503,$A74,资金日记账!$F$4:$F$2503,"&lt;&gt;往来-借贷"),2))</f>
        <v/>
      </c>
      <c r="F74" s="19">
        <f>IF($A74="","",ROUND($B74+$C74+$D74-$E74,2))</f>
        <v/>
      </c>
      <c r="G74" s="19">
        <f>IF($A74="","",ROUND(SUMIFS(资金日记账!$K$4:$K$2503,资金日记账!$H$4:$H$2503,$A74,资金日记账!$F$4:$F$2503,"往来-借贷")-SUMIFS(资金日记账!$J$4:$J$2503,资金日记账!$H$4:$H$2503,$A74,资金日记账!$F$4:$F$2503,"往来-借贷"),2))</f>
        <v/>
      </c>
      <c r="H74" s="23">
        <f>IF($A74="","",IFERROR(LOOKUP(1,0/((资金日记账!$H$4:$H$2503=$A74)*(资金日记账!$K$4:$K$2503&gt;0)),资金日记账!$B$4:$B$2503),""))</f>
        <v/>
      </c>
      <c r="I74" s="22">
        <f>IF($A74="","",COUNTIF(采购单!$C$4:$C$2003,$A74)+COUNTIF(资金日记账!$H$4:$H$2503,$A74))</f>
        <v/>
      </c>
      <c r="J74" s="13" t="n"/>
    </row>
    <row r="75">
      <c r="A75" s="17">
        <f>IF(基础资料!$G74="","",基础资料!$G74)</f>
        <v/>
      </c>
      <c r="B75" s="19">
        <f>IF($A75="","",ROUND(SUMIF(采购单!$C$4:$C$2003,$A75,采购单!$L$4:$L$2003),2))</f>
        <v/>
      </c>
      <c r="C75" s="19">
        <f>IF($A75="","",ROUND(SUMIF(生产安装!$F$4:$F$1203,$A75,生产安装!$J$4:$J$1203),2))</f>
        <v/>
      </c>
      <c r="D75" s="19">
        <f>IF($A75="","",ROUND(SUMIFS(资金日记账!$K$4:$K$2503,资金日记账!$H$4:$H$2503,$A75,资金日记账!$F$4:$F$2503,"成本-*"),2))</f>
        <v/>
      </c>
      <c r="E75" s="19">
        <f>IF($A75="","",ROUND(SUMIFS(资金日记账!$K$4:$K$2503,资金日记账!$H$4:$H$2503,$A75,资金日记账!$F$4:$F$2503,"&lt;&gt;往来-借贷")-SUMIFS(资金日记账!$J$4:$J$2503,资金日记账!$H$4:$H$2503,$A75,资金日记账!$F$4:$F$2503,"&lt;&gt;往来-借贷"),2))</f>
        <v/>
      </c>
      <c r="F75" s="19">
        <f>IF($A75="","",ROUND($B75+$C75+$D75-$E75,2))</f>
        <v/>
      </c>
      <c r="G75" s="19">
        <f>IF($A75="","",ROUND(SUMIFS(资金日记账!$K$4:$K$2503,资金日记账!$H$4:$H$2503,$A75,资金日记账!$F$4:$F$2503,"往来-借贷")-SUMIFS(资金日记账!$J$4:$J$2503,资金日记账!$H$4:$H$2503,$A75,资金日记账!$F$4:$F$2503,"往来-借贷"),2))</f>
        <v/>
      </c>
      <c r="H75" s="23">
        <f>IF($A75="","",IFERROR(LOOKUP(1,0/((资金日记账!$H$4:$H$2503=$A75)*(资金日记账!$K$4:$K$2503&gt;0)),资金日记账!$B$4:$B$2503),""))</f>
        <v/>
      </c>
      <c r="I75" s="22">
        <f>IF($A75="","",COUNTIF(采购单!$C$4:$C$2003,$A75)+COUNTIF(资金日记账!$H$4:$H$2503,$A75))</f>
        <v/>
      </c>
      <c r="J75" s="13" t="n"/>
    </row>
    <row r="76">
      <c r="A76" s="17">
        <f>IF(基础资料!$G75="","",基础资料!$G75)</f>
        <v/>
      </c>
      <c r="B76" s="19">
        <f>IF($A76="","",ROUND(SUMIF(采购单!$C$4:$C$2003,$A76,采购单!$L$4:$L$2003),2))</f>
        <v/>
      </c>
      <c r="C76" s="19">
        <f>IF($A76="","",ROUND(SUMIF(生产安装!$F$4:$F$1203,$A76,生产安装!$J$4:$J$1203),2))</f>
        <v/>
      </c>
      <c r="D76" s="19">
        <f>IF($A76="","",ROUND(SUMIFS(资金日记账!$K$4:$K$2503,资金日记账!$H$4:$H$2503,$A76,资金日记账!$F$4:$F$2503,"成本-*"),2))</f>
        <v/>
      </c>
      <c r="E76" s="19">
        <f>IF($A76="","",ROUND(SUMIFS(资金日记账!$K$4:$K$2503,资金日记账!$H$4:$H$2503,$A76,资金日记账!$F$4:$F$2503,"&lt;&gt;往来-借贷")-SUMIFS(资金日记账!$J$4:$J$2503,资金日记账!$H$4:$H$2503,$A76,资金日记账!$F$4:$F$2503,"&lt;&gt;往来-借贷"),2))</f>
        <v/>
      </c>
      <c r="F76" s="19">
        <f>IF($A76="","",ROUND($B76+$C76+$D76-$E76,2))</f>
        <v/>
      </c>
      <c r="G76" s="19">
        <f>IF($A76="","",ROUND(SUMIFS(资金日记账!$K$4:$K$2503,资金日记账!$H$4:$H$2503,$A76,资金日记账!$F$4:$F$2503,"往来-借贷")-SUMIFS(资金日记账!$J$4:$J$2503,资金日记账!$H$4:$H$2503,$A76,资金日记账!$F$4:$F$2503,"往来-借贷"),2))</f>
        <v/>
      </c>
      <c r="H76" s="23">
        <f>IF($A76="","",IFERROR(LOOKUP(1,0/((资金日记账!$H$4:$H$2503=$A76)*(资金日记账!$K$4:$K$2503&gt;0)),资金日记账!$B$4:$B$2503),""))</f>
        <v/>
      </c>
      <c r="I76" s="22">
        <f>IF($A76="","",COUNTIF(采购单!$C$4:$C$2003,$A76)+COUNTIF(资金日记账!$H$4:$H$2503,$A76))</f>
        <v/>
      </c>
      <c r="J76" s="13" t="n"/>
    </row>
    <row r="77">
      <c r="A77" s="17">
        <f>IF(基础资料!$G76="","",基础资料!$G76)</f>
        <v/>
      </c>
      <c r="B77" s="19">
        <f>IF($A77="","",ROUND(SUMIF(采购单!$C$4:$C$2003,$A77,采购单!$L$4:$L$2003),2))</f>
        <v/>
      </c>
      <c r="C77" s="19">
        <f>IF($A77="","",ROUND(SUMIF(生产安装!$F$4:$F$1203,$A77,生产安装!$J$4:$J$1203),2))</f>
        <v/>
      </c>
      <c r="D77" s="19">
        <f>IF($A77="","",ROUND(SUMIFS(资金日记账!$K$4:$K$2503,资金日记账!$H$4:$H$2503,$A77,资金日记账!$F$4:$F$2503,"成本-*"),2))</f>
        <v/>
      </c>
      <c r="E77" s="19">
        <f>IF($A77="","",ROUND(SUMIFS(资金日记账!$K$4:$K$2503,资金日记账!$H$4:$H$2503,$A77,资金日记账!$F$4:$F$2503,"&lt;&gt;往来-借贷")-SUMIFS(资金日记账!$J$4:$J$2503,资金日记账!$H$4:$H$2503,$A77,资金日记账!$F$4:$F$2503,"&lt;&gt;往来-借贷"),2))</f>
        <v/>
      </c>
      <c r="F77" s="19">
        <f>IF($A77="","",ROUND($B77+$C77+$D77-$E77,2))</f>
        <v/>
      </c>
      <c r="G77" s="19">
        <f>IF($A77="","",ROUND(SUMIFS(资金日记账!$K$4:$K$2503,资金日记账!$H$4:$H$2503,$A77,资金日记账!$F$4:$F$2503,"往来-借贷")-SUMIFS(资金日记账!$J$4:$J$2503,资金日记账!$H$4:$H$2503,$A77,资金日记账!$F$4:$F$2503,"往来-借贷"),2))</f>
        <v/>
      </c>
      <c r="H77" s="23">
        <f>IF($A77="","",IFERROR(LOOKUP(1,0/((资金日记账!$H$4:$H$2503=$A77)*(资金日记账!$K$4:$K$2503&gt;0)),资金日记账!$B$4:$B$2503),""))</f>
        <v/>
      </c>
      <c r="I77" s="22">
        <f>IF($A77="","",COUNTIF(采购单!$C$4:$C$2003,$A77)+COUNTIF(资金日记账!$H$4:$H$2503,$A77))</f>
        <v/>
      </c>
      <c r="J77" s="13" t="n"/>
    </row>
    <row r="78">
      <c r="A78" s="17">
        <f>IF(基础资料!$G77="","",基础资料!$G77)</f>
        <v/>
      </c>
      <c r="B78" s="19">
        <f>IF($A78="","",ROUND(SUMIF(采购单!$C$4:$C$2003,$A78,采购单!$L$4:$L$2003),2))</f>
        <v/>
      </c>
      <c r="C78" s="19">
        <f>IF($A78="","",ROUND(SUMIF(生产安装!$F$4:$F$1203,$A78,生产安装!$J$4:$J$1203),2))</f>
        <v/>
      </c>
      <c r="D78" s="19">
        <f>IF($A78="","",ROUND(SUMIFS(资金日记账!$K$4:$K$2503,资金日记账!$H$4:$H$2503,$A78,资金日记账!$F$4:$F$2503,"成本-*"),2))</f>
        <v/>
      </c>
      <c r="E78" s="19">
        <f>IF($A78="","",ROUND(SUMIFS(资金日记账!$K$4:$K$2503,资金日记账!$H$4:$H$2503,$A78,资金日记账!$F$4:$F$2503,"&lt;&gt;往来-借贷")-SUMIFS(资金日记账!$J$4:$J$2503,资金日记账!$H$4:$H$2503,$A78,资金日记账!$F$4:$F$2503,"&lt;&gt;往来-借贷"),2))</f>
        <v/>
      </c>
      <c r="F78" s="19">
        <f>IF($A78="","",ROUND($B78+$C78+$D78-$E78,2))</f>
        <v/>
      </c>
      <c r="G78" s="19">
        <f>IF($A78="","",ROUND(SUMIFS(资金日记账!$K$4:$K$2503,资金日记账!$H$4:$H$2503,$A78,资金日记账!$F$4:$F$2503,"往来-借贷")-SUMIFS(资金日记账!$J$4:$J$2503,资金日记账!$H$4:$H$2503,$A78,资金日记账!$F$4:$F$2503,"往来-借贷"),2))</f>
        <v/>
      </c>
      <c r="H78" s="23">
        <f>IF($A78="","",IFERROR(LOOKUP(1,0/((资金日记账!$H$4:$H$2503=$A78)*(资金日记账!$K$4:$K$2503&gt;0)),资金日记账!$B$4:$B$2503),""))</f>
        <v/>
      </c>
      <c r="I78" s="22">
        <f>IF($A78="","",COUNTIF(采购单!$C$4:$C$2003,$A78)+COUNTIF(资金日记账!$H$4:$H$2503,$A78))</f>
        <v/>
      </c>
      <c r="J78" s="13" t="n"/>
    </row>
    <row r="79">
      <c r="A79" s="17">
        <f>IF(基础资料!$G78="","",基础资料!$G78)</f>
        <v/>
      </c>
      <c r="B79" s="19">
        <f>IF($A79="","",ROUND(SUMIF(采购单!$C$4:$C$2003,$A79,采购单!$L$4:$L$2003),2))</f>
        <v/>
      </c>
      <c r="C79" s="19">
        <f>IF($A79="","",ROUND(SUMIF(生产安装!$F$4:$F$1203,$A79,生产安装!$J$4:$J$1203),2))</f>
        <v/>
      </c>
      <c r="D79" s="19">
        <f>IF($A79="","",ROUND(SUMIFS(资金日记账!$K$4:$K$2503,资金日记账!$H$4:$H$2503,$A79,资金日记账!$F$4:$F$2503,"成本-*"),2))</f>
        <v/>
      </c>
      <c r="E79" s="19">
        <f>IF($A79="","",ROUND(SUMIFS(资金日记账!$K$4:$K$2503,资金日记账!$H$4:$H$2503,$A79,资金日记账!$F$4:$F$2503,"&lt;&gt;往来-借贷")-SUMIFS(资金日记账!$J$4:$J$2503,资金日记账!$H$4:$H$2503,$A79,资金日记账!$F$4:$F$2503,"&lt;&gt;往来-借贷"),2))</f>
        <v/>
      </c>
      <c r="F79" s="19">
        <f>IF($A79="","",ROUND($B79+$C79+$D79-$E79,2))</f>
        <v/>
      </c>
      <c r="G79" s="19">
        <f>IF($A79="","",ROUND(SUMIFS(资金日记账!$K$4:$K$2503,资金日记账!$H$4:$H$2503,$A79,资金日记账!$F$4:$F$2503,"往来-借贷")-SUMIFS(资金日记账!$J$4:$J$2503,资金日记账!$H$4:$H$2503,$A79,资金日记账!$F$4:$F$2503,"往来-借贷"),2))</f>
        <v/>
      </c>
      <c r="H79" s="23">
        <f>IF($A79="","",IFERROR(LOOKUP(1,0/((资金日记账!$H$4:$H$2503=$A79)*(资金日记账!$K$4:$K$2503&gt;0)),资金日记账!$B$4:$B$2503),""))</f>
        <v/>
      </c>
      <c r="I79" s="22">
        <f>IF($A79="","",COUNTIF(采购单!$C$4:$C$2003,$A79)+COUNTIF(资金日记账!$H$4:$H$2503,$A79))</f>
        <v/>
      </c>
      <c r="J79" s="13" t="n"/>
    </row>
    <row r="80">
      <c r="A80" s="17">
        <f>IF(基础资料!$G79="","",基础资料!$G79)</f>
        <v/>
      </c>
      <c r="B80" s="19">
        <f>IF($A80="","",ROUND(SUMIF(采购单!$C$4:$C$2003,$A80,采购单!$L$4:$L$2003),2))</f>
        <v/>
      </c>
      <c r="C80" s="19">
        <f>IF($A80="","",ROUND(SUMIF(生产安装!$F$4:$F$1203,$A80,生产安装!$J$4:$J$1203),2))</f>
        <v/>
      </c>
      <c r="D80" s="19">
        <f>IF($A80="","",ROUND(SUMIFS(资金日记账!$K$4:$K$2503,资金日记账!$H$4:$H$2503,$A80,资金日记账!$F$4:$F$2503,"成本-*"),2))</f>
        <v/>
      </c>
      <c r="E80" s="19">
        <f>IF($A80="","",ROUND(SUMIFS(资金日记账!$K$4:$K$2503,资金日记账!$H$4:$H$2503,$A80,资金日记账!$F$4:$F$2503,"&lt;&gt;往来-借贷")-SUMIFS(资金日记账!$J$4:$J$2503,资金日记账!$H$4:$H$2503,$A80,资金日记账!$F$4:$F$2503,"&lt;&gt;往来-借贷"),2))</f>
        <v/>
      </c>
      <c r="F80" s="19">
        <f>IF($A80="","",ROUND($B80+$C80+$D80-$E80,2))</f>
        <v/>
      </c>
      <c r="G80" s="19">
        <f>IF($A80="","",ROUND(SUMIFS(资金日记账!$K$4:$K$2503,资金日记账!$H$4:$H$2503,$A80,资金日记账!$F$4:$F$2503,"往来-借贷")-SUMIFS(资金日记账!$J$4:$J$2503,资金日记账!$H$4:$H$2503,$A80,资金日记账!$F$4:$F$2503,"往来-借贷"),2))</f>
        <v/>
      </c>
      <c r="H80" s="23">
        <f>IF($A80="","",IFERROR(LOOKUP(1,0/((资金日记账!$H$4:$H$2503=$A80)*(资金日记账!$K$4:$K$2503&gt;0)),资金日记账!$B$4:$B$2503),""))</f>
        <v/>
      </c>
      <c r="I80" s="22">
        <f>IF($A80="","",COUNTIF(采购单!$C$4:$C$2003,$A80)+COUNTIF(资金日记账!$H$4:$H$2503,$A80))</f>
        <v/>
      </c>
      <c r="J80" s="13" t="n"/>
    </row>
    <row r="81">
      <c r="A81" s="17">
        <f>IF(基础资料!$G80="","",基础资料!$G80)</f>
        <v/>
      </c>
      <c r="B81" s="19">
        <f>IF($A81="","",ROUND(SUMIF(采购单!$C$4:$C$2003,$A81,采购单!$L$4:$L$2003),2))</f>
        <v/>
      </c>
      <c r="C81" s="19">
        <f>IF($A81="","",ROUND(SUMIF(生产安装!$F$4:$F$1203,$A81,生产安装!$J$4:$J$1203),2))</f>
        <v/>
      </c>
      <c r="D81" s="19">
        <f>IF($A81="","",ROUND(SUMIFS(资金日记账!$K$4:$K$2503,资金日记账!$H$4:$H$2503,$A81,资金日记账!$F$4:$F$2503,"成本-*"),2))</f>
        <v/>
      </c>
      <c r="E81" s="19">
        <f>IF($A81="","",ROUND(SUMIFS(资金日记账!$K$4:$K$2503,资金日记账!$H$4:$H$2503,$A81,资金日记账!$F$4:$F$2503,"&lt;&gt;往来-借贷")-SUMIFS(资金日记账!$J$4:$J$2503,资金日记账!$H$4:$H$2503,$A81,资金日记账!$F$4:$F$2503,"&lt;&gt;往来-借贷"),2))</f>
        <v/>
      </c>
      <c r="F81" s="19">
        <f>IF($A81="","",ROUND($B81+$C81+$D81-$E81,2))</f>
        <v/>
      </c>
      <c r="G81" s="19">
        <f>IF($A81="","",ROUND(SUMIFS(资金日记账!$K$4:$K$2503,资金日记账!$H$4:$H$2503,$A81,资金日记账!$F$4:$F$2503,"往来-借贷")-SUMIFS(资金日记账!$J$4:$J$2503,资金日记账!$H$4:$H$2503,$A81,资金日记账!$F$4:$F$2503,"往来-借贷"),2))</f>
        <v/>
      </c>
      <c r="H81" s="23">
        <f>IF($A81="","",IFERROR(LOOKUP(1,0/((资金日记账!$H$4:$H$2503=$A81)*(资金日记账!$K$4:$K$2503&gt;0)),资金日记账!$B$4:$B$2503),""))</f>
        <v/>
      </c>
      <c r="I81" s="22">
        <f>IF($A81="","",COUNTIF(采购单!$C$4:$C$2003,$A81)+COUNTIF(资金日记账!$H$4:$H$2503,$A81))</f>
        <v/>
      </c>
      <c r="J81" s="13" t="n"/>
    </row>
    <row r="82">
      <c r="A82" s="17">
        <f>IF(基础资料!$G81="","",基础资料!$G81)</f>
        <v/>
      </c>
      <c r="B82" s="19">
        <f>IF($A82="","",ROUND(SUMIF(采购单!$C$4:$C$2003,$A82,采购单!$L$4:$L$2003),2))</f>
        <v/>
      </c>
      <c r="C82" s="19">
        <f>IF($A82="","",ROUND(SUMIF(生产安装!$F$4:$F$1203,$A82,生产安装!$J$4:$J$1203),2))</f>
        <v/>
      </c>
      <c r="D82" s="19">
        <f>IF($A82="","",ROUND(SUMIFS(资金日记账!$K$4:$K$2503,资金日记账!$H$4:$H$2503,$A82,资金日记账!$F$4:$F$2503,"成本-*"),2))</f>
        <v/>
      </c>
      <c r="E82" s="19">
        <f>IF($A82="","",ROUND(SUMIFS(资金日记账!$K$4:$K$2503,资金日记账!$H$4:$H$2503,$A82,资金日记账!$F$4:$F$2503,"&lt;&gt;往来-借贷")-SUMIFS(资金日记账!$J$4:$J$2503,资金日记账!$H$4:$H$2503,$A82,资金日记账!$F$4:$F$2503,"&lt;&gt;往来-借贷"),2))</f>
        <v/>
      </c>
      <c r="F82" s="19">
        <f>IF($A82="","",ROUND($B82+$C82+$D82-$E82,2))</f>
        <v/>
      </c>
      <c r="G82" s="19">
        <f>IF($A82="","",ROUND(SUMIFS(资金日记账!$K$4:$K$2503,资金日记账!$H$4:$H$2503,$A82,资金日记账!$F$4:$F$2503,"往来-借贷")-SUMIFS(资金日记账!$J$4:$J$2503,资金日记账!$H$4:$H$2503,$A82,资金日记账!$F$4:$F$2503,"往来-借贷"),2))</f>
        <v/>
      </c>
      <c r="H82" s="23">
        <f>IF($A82="","",IFERROR(LOOKUP(1,0/((资金日记账!$H$4:$H$2503=$A82)*(资金日记账!$K$4:$K$2503&gt;0)),资金日记账!$B$4:$B$2503),""))</f>
        <v/>
      </c>
      <c r="I82" s="22">
        <f>IF($A82="","",COUNTIF(采购单!$C$4:$C$2003,$A82)+COUNTIF(资金日记账!$H$4:$H$2503,$A82))</f>
        <v/>
      </c>
      <c r="J82" s="13" t="n"/>
    </row>
    <row r="83">
      <c r="A83" s="17">
        <f>IF(基础资料!$G82="","",基础资料!$G82)</f>
        <v/>
      </c>
      <c r="B83" s="19">
        <f>IF($A83="","",ROUND(SUMIF(采购单!$C$4:$C$2003,$A83,采购单!$L$4:$L$2003),2))</f>
        <v/>
      </c>
      <c r="C83" s="19">
        <f>IF($A83="","",ROUND(SUMIF(生产安装!$F$4:$F$1203,$A83,生产安装!$J$4:$J$1203),2))</f>
        <v/>
      </c>
      <c r="D83" s="19">
        <f>IF($A83="","",ROUND(SUMIFS(资金日记账!$K$4:$K$2503,资金日记账!$H$4:$H$2503,$A83,资金日记账!$F$4:$F$2503,"成本-*"),2))</f>
        <v/>
      </c>
      <c r="E83" s="19">
        <f>IF($A83="","",ROUND(SUMIFS(资金日记账!$K$4:$K$2503,资金日记账!$H$4:$H$2503,$A83,资金日记账!$F$4:$F$2503,"&lt;&gt;往来-借贷")-SUMIFS(资金日记账!$J$4:$J$2503,资金日记账!$H$4:$H$2503,$A83,资金日记账!$F$4:$F$2503,"&lt;&gt;往来-借贷"),2))</f>
        <v/>
      </c>
      <c r="F83" s="19">
        <f>IF($A83="","",ROUND($B83+$C83+$D83-$E83,2))</f>
        <v/>
      </c>
      <c r="G83" s="19">
        <f>IF($A83="","",ROUND(SUMIFS(资金日记账!$K$4:$K$2503,资金日记账!$H$4:$H$2503,$A83,资金日记账!$F$4:$F$2503,"往来-借贷")-SUMIFS(资金日记账!$J$4:$J$2503,资金日记账!$H$4:$H$2503,$A83,资金日记账!$F$4:$F$2503,"往来-借贷"),2))</f>
        <v/>
      </c>
      <c r="H83" s="23">
        <f>IF($A83="","",IFERROR(LOOKUP(1,0/((资金日记账!$H$4:$H$2503=$A83)*(资金日记账!$K$4:$K$2503&gt;0)),资金日记账!$B$4:$B$2503),""))</f>
        <v/>
      </c>
      <c r="I83" s="22">
        <f>IF($A83="","",COUNTIF(采购单!$C$4:$C$2003,$A83)+COUNTIF(资金日记账!$H$4:$H$2503,$A83))</f>
        <v/>
      </c>
      <c r="J83" s="13" t="n"/>
    </row>
    <row r="84">
      <c r="A84" s="17">
        <f>IF(基础资料!$G83="","",基础资料!$G83)</f>
        <v/>
      </c>
      <c r="B84" s="19">
        <f>IF($A84="","",ROUND(SUMIF(采购单!$C$4:$C$2003,$A84,采购单!$L$4:$L$2003),2))</f>
        <v/>
      </c>
      <c r="C84" s="19">
        <f>IF($A84="","",ROUND(SUMIF(生产安装!$F$4:$F$1203,$A84,生产安装!$J$4:$J$1203),2))</f>
        <v/>
      </c>
      <c r="D84" s="19">
        <f>IF($A84="","",ROUND(SUMIFS(资金日记账!$K$4:$K$2503,资金日记账!$H$4:$H$2503,$A84,资金日记账!$F$4:$F$2503,"成本-*"),2))</f>
        <v/>
      </c>
      <c r="E84" s="19">
        <f>IF($A84="","",ROUND(SUMIFS(资金日记账!$K$4:$K$2503,资金日记账!$H$4:$H$2503,$A84,资金日记账!$F$4:$F$2503,"&lt;&gt;往来-借贷")-SUMIFS(资金日记账!$J$4:$J$2503,资金日记账!$H$4:$H$2503,$A84,资金日记账!$F$4:$F$2503,"&lt;&gt;往来-借贷"),2))</f>
        <v/>
      </c>
      <c r="F84" s="19">
        <f>IF($A84="","",ROUND($B84+$C84+$D84-$E84,2))</f>
        <v/>
      </c>
      <c r="G84" s="19">
        <f>IF($A84="","",ROUND(SUMIFS(资金日记账!$K$4:$K$2503,资金日记账!$H$4:$H$2503,$A84,资金日记账!$F$4:$F$2503,"往来-借贷")-SUMIFS(资金日记账!$J$4:$J$2503,资金日记账!$H$4:$H$2503,$A84,资金日记账!$F$4:$F$2503,"往来-借贷"),2))</f>
        <v/>
      </c>
      <c r="H84" s="23">
        <f>IF($A84="","",IFERROR(LOOKUP(1,0/((资金日记账!$H$4:$H$2503=$A84)*(资金日记账!$K$4:$K$2503&gt;0)),资金日记账!$B$4:$B$2503),""))</f>
        <v/>
      </c>
      <c r="I84" s="22">
        <f>IF($A84="","",COUNTIF(采购单!$C$4:$C$2003,$A84)+COUNTIF(资金日记账!$H$4:$H$2503,$A84))</f>
        <v/>
      </c>
      <c r="J84" s="13" t="n"/>
    </row>
    <row r="85">
      <c r="A85" s="17">
        <f>IF(基础资料!$G84="","",基础资料!$G84)</f>
        <v/>
      </c>
      <c r="B85" s="19">
        <f>IF($A85="","",ROUND(SUMIF(采购单!$C$4:$C$2003,$A85,采购单!$L$4:$L$2003),2))</f>
        <v/>
      </c>
      <c r="C85" s="19">
        <f>IF($A85="","",ROUND(SUMIF(生产安装!$F$4:$F$1203,$A85,生产安装!$J$4:$J$1203),2))</f>
        <v/>
      </c>
      <c r="D85" s="19">
        <f>IF($A85="","",ROUND(SUMIFS(资金日记账!$K$4:$K$2503,资金日记账!$H$4:$H$2503,$A85,资金日记账!$F$4:$F$2503,"成本-*"),2))</f>
        <v/>
      </c>
      <c r="E85" s="19">
        <f>IF($A85="","",ROUND(SUMIFS(资金日记账!$K$4:$K$2503,资金日记账!$H$4:$H$2503,$A85,资金日记账!$F$4:$F$2503,"&lt;&gt;往来-借贷")-SUMIFS(资金日记账!$J$4:$J$2503,资金日记账!$H$4:$H$2503,$A85,资金日记账!$F$4:$F$2503,"&lt;&gt;往来-借贷"),2))</f>
        <v/>
      </c>
      <c r="F85" s="19">
        <f>IF($A85="","",ROUND($B85+$C85+$D85-$E85,2))</f>
        <v/>
      </c>
      <c r="G85" s="19">
        <f>IF($A85="","",ROUND(SUMIFS(资金日记账!$K$4:$K$2503,资金日记账!$H$4:$H$2503,$A85,资金日记账!$F$4:$F$2503,"往来-借贷")-SUMIFS(资金日记账!$J$4:$J$2503,资金日记账!$H$4:$H$2503,$A85,资金日记账!$F$4:$F$2503,"往来-借贷"),2))</f>
        <v/>
      </c>
      <c r="H85" s="23">
        <f>IF($A85="","",IFERROR(LOOKUP(1,0/((资金日记账!$H$4:$H$2503=$A85)*(资金日记账!$K$4:$K$2503&gt;0)),资金日记账!$B$4:$B$2503),""))</f>
        <v/>
      </c>
      <c r="I85" s="22">
        <f>IF($A85="","",COUNTIF(采购单!$C$4:$C$2003,$A85)+COUNTIF(资金日记账!$H$4:$H$2503,$A85))</f>
        <v/>
      </c>
      <c r="J85" s="13" t="n"/>
    </row>
    <row r="86">
      <c r="A86" s="17">
        <f>IF(基础资料!$G85="","",基础资料!$G85)</f>
        <v/>
      </c>
      <c r="B86" s="19">
        <f>IF($A86="","",ROUND(SUMIF(采购单!$C$4:$C$2003,$A86,采购单!$L$4:$L$2003),2))</f>
        <v/>
      </c>
      <c r="C86" s="19">
        <f>IF($A86="","",ROUND(SUMIF(生产安装!$F$4:$F$1203,$A86,生产安装!$J$4:$J$1203),2))</f>
        <v/>
      </c>
      <c r="D86" s="19">
        <f>IF($A86="","",ROUND(SUMIFS(资金日记账!$K$4:$K$2503,资金日记账!$H$4:$H$2503,$A86,资金日记账!$F$4:$F$2503,"成本-*"),2))</f>
        <v/>
      </c>
      <c r="E86" s="19">
        <f>IF($A86="","",ROUND(SUMIFS(资金日记账!$K$4:$K$2503,资金日记账!$H$4:$H$2503,$A86,资金日记账!$F$4:$F$2503,"&lt;&gt;往来-借贷")-SUMIFS(资金日记账!$J$4:$J$2503,资金日记账!$H$4:$H$2503,$A86,资金日记账!$F$4:$F$2503,"&lt;&gt;往来-借贷"),2))</f>
        <v/>
      </c>
      <c r="F86" s="19">
        <f>IF($A86="","",ROUND($B86+$C86+$D86-$E86,2))</f>
        <v/>
      </c>
      <c r="G86" s="19">
        <f>IF($A86="","",ROUND(SUMIFS(资金日记账!$K$4:$K$2503,资金日记账!$H$4:$H$2503,$A86,资金日记账!$F$4:$F$2503,"往来-借贷")-SUMIFS(资金日记账!$J$4:$J$2503,资金日记账!$H$4:$H$2503,$A86,资金日记账!$F$4:$F$2503,"往来-借贷"),2))</f>
        <v/>
      </c>
      <c r="H86" s="23">
        <f>IF($A86="","",IFERROR(LOOKUP(1,0/((资金日记账!$H$4:$H$2503=$A86)*(资金日记账!$K$4:$K$2503&gt;0)),资金日记账!$B$4:$B$2503),""))</f>
        <v/>
      </c>
      <c r="I86" s="22">
        <f>IF($A86="","",COUNTIF(采购单!$C$4:$C$2003,$A86)+COUNTIF(资金日记账!$H$4:$H$2503,$A86))</f>
        <v/>
      </c>
      <c r="J86" s="13" t="n"/>
    </row>
    <row r="87">
      <c r="A87" s="17">
        <f>IF(基础资料!$G86="","",基础资料!$G86)</f>
        <v/>
      </c>
      <c r="B87" s="19">
        <f>IF($A87="","",ROUND(SUMIF(采购单!$C$4:$C$2003,$A87,采购单!$L$4:$L$2003),2))</f>
        <v/>
      </c>
      <c r="C87" s="19">
        <f>IF($A87="","",ROUND(SUMIF(生产安装!$F$4:$F$1203,$A87,生产安装!$J$4:$J$1203),2))</f>
        <v/>
      </c>
      <c r="D87" s="19">
        <f>IF($A87="","",ROUND(SUMIFS(资金日记账!$K$4:$K$2503,资金日记账!$H$4:$H$2503,$A87,资金日记账!$F$4:$F$2503,"成本-*"),2))</f>
        <v/>
      </c>
      <c r="E87" s="19">
        <f>IF($A87="","",ROUND(SUMIFS(资金日记账!$K$4:$K$2503,资金日记账!$H$4:$H$2503,$A87,资金日记账!$F$4:$F$2503,"&lt;&gt;往来-借贷")-SUMIFS(资金日记账!$J$4:$J$2503,资金日记账!$H$4:$H$2503,$A87,资金日记账!$F$4:$F$2503,"&lt;&gt;往来-借贷"),2))</f>
        <v/>
      </c>
      <c r="F87" s="19">
        <f>IF($A87="","",ROUND($B87+$C87+$D87-$E87,2))</f>
        <v/>
      </c>
      <c r="G87" s="19">
        <f>IF($A87="","",ROUND(SUMIFS(资金日记账!$K$4:$K$2503,资金日记账!$H$4:$H$2503,$A87,资金日记账!$F$4:$F$2503,"往来-借贷")-SUMIFS(资金日记账!$J$4:$J$2503,资金日记账!$H$4:$H$2503,$A87,资金日记账!$F$4:$F$2503,"往来-借贷"),2))</f>
        <v/>
      </c>
      <c r="H87" s="23">
        <f>IF($A87="","",IFERROR(LOOKUP(1,0/((资金日记账!$H$4:$H$2503=$A87)*(资金日记账!$K$4:$K$2503&gt;0)),资金日记账!$B$4:$B$2503),""))</f>
        <v/>
      </c>
      <c r="I87" s="22">
        <f>IF($A87="","",COUNTIF(采购单!$C$4:$C$2003,$A87)+COUNTIF(资金日记账!$H$4:$H$2503,$A87))</f>
        <v/>
      </c>
      <c r="J87" s="13" t="n"/>
    </row>
    <row r="88">
      <c r="A88" s="17">
        <f>IF(基础资料!$G87="","",基础资料!$G87)</f>
        <v/>
      </c>
      <c r="B88" s="19">
        <f>IF($A88="","",ROUND(SUMIF(采购单!$C$4:$C$2003,$A88,采购单!$L$4:$L$2003),2))</f>
        <v/>
      </c>
      <c r="C88" s="19">
        <f>IF($A88="","",ROUND(SUMIF(生产安装!$F$4:$F$1203,$A88,生产安装!$J$4:$J$1203),2))</f>
        <v/>
      </c>
      <c r="D88" s="19">
        <f>IF($A88="","",ROUND(SUMIFS(资金日记账!$K$4:$K$2503,资金日记账!$H$4:$H$2503,$A88,资金日记账!$F$4:$F$2503,"成本-*"),2))</f>
        <v/>
      </c>
      <c r="E88" s="19">
        <f>IF($A88="","",ROUND(SUMIFS(资金日记账!$K$4:$K$2503,资金日记账!$H$4:$H$2503,$A88,资金日记账!$F$4:$F$2503,"&lt;&gt;往来-借贷")-SUMIFS(资金日记账!$J$4:$J$2503,资金日记账!$H$4:$H$2503,$A88,资金日记账!$F$4:$F$2503,"&lt;&gt;往来-借贷"),2))</f>
        <v/>
      </c>
      <c r="F88" s="19">
        <f>IF($A88="","",ROUND($B88+$C88+$D88-$E88,2))</f>
        <v/>
      </c>
      <c r="G88" s="19">
        <f>IF($A88="","",ROUND(SUMIFS(资金日记账!$K$4:$K$2503,资金日记账!$H$4:$H$2503,$A88,资金日记账!$F$4:$F$2503,"往来-借贷")-SUMIFS(资金日记账!$J$4:$J$2503,资金日记账!$H$4:$H$2503,$A88,资金日记账!$F$4:$F$2503,"往来-借贷"),2))</f>
        <v/>
      </c>
      <c r="H88" s="23">
        <f>IF($A88="","",IFERROR(LOOKUP(1,0/((资金日记账!$H$4:$H$2503=$A88)*(资金日记账!$K$4:$K$2503&gt;0)),资金日记账!$B$4:$B$2503),""))</f>
        <v/>
      </c>
      <c r="I88" s="22">
        <f>IF($A88="","",COUNTIF(采购单!$C$4:$C$2003,$A88)+COUNTIF(资金日记账!$H$4:$H$2503,$A88))</f>
        <v/>
      </c>
      <c r="J88" s="13" t="n"/>
    </row>
    <row r="89">
      <c r="A89" s="17">
        <f>IF(基础资料!$G88="","",基础资料!$G88)</f>
        <v/>
      </c>
      <c r="B89" s="19">
        <f>IF($A89="","",ROUND(SUMIF(采购单!$C$4:$C$2003,$A89,采购单!$L$4:$L$2003),2))</f>
        <v/>
      </c>
      <c r="C89" s="19">
        <f>IF($A89="","",ROUND(SUMIF(生产安装!$F$4:$F$1203,$A89,生产安装!$J$4:$J$1203),2))</f>
        <v/>
      </c>
      <c r="D89" s="19">
        <f>IF($A89="","",ROUND(SUMIFS(资金日记账!$K$4:$K$2503,资金日记账!$H$4:$H$2503,$A89,资金日记账!$F$4:$F$2503,"成本-*"),2))</f>
        <v/>
      </c>
      <c r="E89" s="19">
        <f>IF($A89="","",ROUND(SUMIFS(资金日记账!$K$4:$K$2503,资金日记账!$H$4:$H$2503,$A89,资金日记账!$F$4:$F$2503,"&lt;&gt;往来-借贷")-SUMIFS(资金日记账!$J$4:$J$2503,资金日记账!$H$4:$H$2503,$A89,资金日记账!$F$4:$F$2503,"&lt;&gt;往来-借贷"),2))</f>
        <v/>
      </c>
      <c r="F89" s="19">
        <f>IF($A89="","",ROUND($B89+$C89+$D89-$E89,2))</f>
        <v/>
      </c>
      <c r="G89" s="19">
        <f>IF($A89="","",ROUND(SUMIFS(资金日记账!$K$4:$K$2503,资金日记账!$H$4:$H$2503,$A89,资金日记账!$F$4:$F$2503,"往来-借贷")-SUMIFS(资金日记账!$J$4:$J$2503,资金日记账!$H$4:$H$2503,$A89,资金日记账!$F$4:$F$2503,"往来-借贷"),2))</f>
        <v/>
      </c>
      <c r="H89" s="23">
        <f>IF($A89="","",IFERROR(LOOKUP(1,0/((资金日记账!$H$4:$H$2503=$A89)*(资金日记账!$K$4:$K$2503&gt;0)),资金日记账!$B$4:$B$2503),""))</f>
        <v/>
      </c>
      <c r="I89" s="22">
        <f>IF($A89="","",COUNTIF(采购单!$C$4:$C$2003,$A89)+COUNTIF(资金日记账!$H$4:$H$2503,$A89))</f>
        <v/>
      </c>
      <c r="J89" s="13" t="n"/>
    </row>
    <row r="90">
      <c r="A90" s="17">
        <f>IF(基础资料!$G89="","",基础资料!$G89)</f>
        <v/>
      </c>
      <c r="B90" s="19">
        <f>IF($A90="","",ROUND(SUMIF(采购单!$C$4:$C$2003,$A90,采购单!$L$4:$L$2003),2))</f>
        <v/>
      </c>
      <c r="C90" s="19">
        <f>IF($A90="","",ROUND(SUMIF(生产安装!$F$4:$F$1203,$A90,生产安装!$J$4:$J$1203),2))</f>
        <v/>
      </c>
      <c r="D90" s="19">
        <f>IF($A90="","",ROUND(SUMIFS(资金日记账!$K$4:$K$2503,资金日记账!$H$4:$H$2503,$A90,资金日记账!$F$4:$F$2503,"成本-*"),2))</f>
        <v/>
      </c>
      <c r="E90" s="19">
        <f>IF($A90="","",ROUND(SUMIFS(资金日记账!$K$4:$K$2503,资金日记账!$H$4:$H$2503,$A90,资金日记账!$F$4:$F$2503,"&lt;&gt;往来-借贷")-SUMIFS(资金日记账!$J$4:$J$2503,资金日记账!$H$4:$H$2503,$A90,资金日记账!$F$4:$F$2503,"&lt;&gt;往来-借贷"),2))</f>
        <v/>
      </c>
      <c r="F90" s="19">
        <f>IF($A90="","",ROUND($B90+$C90+$D90-$E90,2))</f>
        <v/>
      </c>
      <c r="G90" s="19">
        <f>IF($A90="","",ROUND(SUMIFS(资金日记账!$K$4:$K$2503,资金日记账!$H$4:$H$2503,$A90,资金日记账!$F$4:$F$2503,"往来-借贷")-SUMIFS(资金日记账!$J$4:$J$2503,资金日记账!$H$4:$H$2503,$A90,资金日记账!$F$4:$F$2503,"往来-借贷"),2))</f>
        <v/>
      </c>
      <c r="H90" s="23">
        <f>IF($A90="","",IFERROR(LOOKUP(1,0/((资金日记账!$H$4:$H$2503=$A90)*(资金日记账!$K$4:$K$2503&gt;0)),资金日记账!$B$4:$B$2503),""))</f>
        <v/>
      </c>
      <c r="I90" s="22">
        <f>IF($A90="","",COUNTIF(采购单!$C$4:$C$2003,$A90)+COUNTIF(资金日记账!$H$4:$H$2503,$A90))</f>
        <v/>
      </c>
      <c r="J90" s="13" t="n"/>
    </row>
    <row r="91">
      <c r="A91" s="17">
        <f>IF(基础资料!$G90="","",基础资料!$G90)</f>
        <v/>
      </c>
      <c r="B91" s="19">
        <f>IF($A91="","",ROUND(SUMIF(采购单!$C$4:$C$2003,$A91,采购单!$L$4:$L$2003),2))</f>
        <v/>
      </c>
      <c r="C91" s="19">
        <f>IF($A91="","",ROUND(SUMIF(生产安装!$F$4:$F$1203,$A91,生产安装!$J$4:$J$1203),2))</f>
        <v/>
      </c>
      <c r="D91" s="19">
        <f>IF($A91="","",ROUND(SUMIFS(资金日记账!$K$4:$K$2503,资金日记账!$H$4:$H$2503,$A91,资金日记账!$F$4:$F$2503,"成本-*"),2))</f>
        <v/>
      </c>
      <c r="E91" s="19">
        <f>IF($A91="","",ROUND(SUMIFS(资金日记账!$K$4:$K$2503,资金日记账!$H$4:$H$2503,$A91,资金日记账!$F$4:$F$2503,"&lt;&gt;往来-借贷")-SUMIFS(资金日记账!$J$4:$J$2503,资金日记账!$H$4:$H$2503,$A91,资金日记账!$F$4:$F$2503,"&lt;&gt;往来-借贷"),2))</f>
        <v/>
      </c>
      <c r="F91" s="19">
        <f>IF($A91="","",ROUND($B91+$C91+$D91-$E91,2))</f>
        <v/>
      </c>
      <c r="G91" s="19">
        <f>IF($A91="","",ROUND(SUMIFS(资金日记账!$K$4:$K$2503,资金日记账!$H$4:$H$2503,$A91,资金日记账!$F$4:$F$2503,"往来-借贷")-SUMIFS(资金日记账!$J$4:$J$2503,资金日记账!$H$4:$H$2503,$A91,资金日记账!$F$4:$F$2503,"往来-借贷"),2))</f>
        <v/>
      </c>
      <c r="H91" s="23">
        <f>IF($A91="","",IFERROR(LOOKUP(1,0/((资金日记账!$H$4:$H$2503=$A91)*(资金日记账!$K$4:$K$2503&gt;0)),资金日记账!$B$4:$B$2503),""))</f>
        <v/>
      </c>
      <c r="I91" s="22">
        <f>IF($A91="","",COUNTIF(采购单!$C$4:$C$2003,$A91)+COUNTIF(资金日记账!$H$4:$H$2503,$A91))</f>
        <v/>
      </c>
      <c r="J91" s="13" t="n"/>
    </row>
    <row r="92">
      <c r="A92" s="17">
        <f>IF(基础资料!$G91="","",基础资料!$G91)</f>
        <v/>
      </c>
      <c r="B92" s="19">
        <f>IF($A92="","",ROUND(SUMIF(采购单!$C$4:$C$2003,$A92,采购单!$L$4:$L$2003),2))</f>
        <v/>
      </c>
      <c r="C92" s="19">
        <f>IF($A92="","",ROUND(SUMIF(生产安装!$F$4:$F$1203,$A92,生产安装!$J$4:$J$1203),2))</f>
        <v/>
      </c>
      <c r="D92" s="19">
        <f>IF($A92="","",ROUND(SUMIFS(资金日记账!$K$4:$K$2503,资金日记账!$H$4:$H$2503,$A92,资金日记账!$F$4:$F$2503,"成本-*"),2))</f>
        <v/>
      </c>
      <c r="E92" s="19">
        <f>IF($A92="","",ROUND(SUMIFS(资金日记账!$K$4:$K$2503,资金日记账!$H$4:$H$2503,$A92,资金日记账!$F$4:$F$2503,"&lt;&gt;往来-借贷")-SUMIFS(资金日记账!$J$4:$J$2503,资金日记账!$H$4:$H$2503,$A92,资金日记账!$F$4:$F$2503,"&lt;&gt;往来-借贷"),2))</f>
        <v/>
      </c>
      <c r="F92" s="19">
        <f>IF($A92="","",ROUND($B92+$C92+$D92-$E92,2))</f>
        <v/>
      </c>
      <c r="G92" s="19">
        <f>IF($A92="","",ROUND(SUMIFS(资金日记账!$K$4:$K$2503,资金日记账!$H$4:$H$2503,$A92,资金日记账!$F$4:$F$2503,"往来-借贷")-SUMIFS(资金日记账!$J$4:$J$2503,资金日记账!$H$4:$H$2503,$A92,资金日记账!$F$4:$F$2503,"往来-借贷"),2))</f>
        <v/>
      </c>
      <c r="H92" s="23">
        <f>IF($A92="","",IFERROR(LOOKUP(1,0/((资金日记账!$H$4:$H$2503=$A92)*(资金日记账!$K$4:$K$2503&gt;0)),资金日记账!$B$4:$B$2503),""))</f>
        <v/>
      </c>
      <c r="I92" s="22">
        <f>IF($A92="","",COUNTIF(采购单!$C$4:$C$2003,$A92)+COUNTIF(资金日记账!$H$4:$H$2503,$A92))</f>
        <v/>
      </c>
      <c r="J92" s="13" t="n"/>
    </row>
    <row r="93">
      <c r="A93" s="17">
        <f>IF(基础资料!$G92="","",基础资料!$G92)</f>
        <v/>
      </c>
      <c r="B93" s="19">
        <f>IF($A93="","",ROUND(SUMIF(采购单!$C$4:$C$2003,$A93,采购单!$L$4:$L$2003),2))</f>
        <v/>
      </c>
      <c r="C93" s="19">
        <f>IF($A93="","",ROUND(SUMIF(生产安装!$F$4:$F$1203,$A93,生产安装!$J$4:$J$1203),2))</f>
        <v/>
      </c>
      <c r="D93" s="19">
        <f>IF($A93="","",ROUND(SUMIFS(资金日记账!$K$4:$K$2503,资金日记账!$H$4:$H$2503,$A93,资金日记账!$F$4:$F$2503,"成本-*"),2))</f>
        <v/>
      </c>
      <c r="E93" s="19">
        <f>IF($A93="","",ROUND(SUMIFS(资金日记账!$K$4:$K$2503,资金日记账!$H$4:$H$2503,$A93,资金日记账!$F$4:$F$2503,"&lt;&gt;往来-借贷")-SUMIFS(资金日记账!$J$4:$J$2503,资金日记账!$H$4:$H$2503,$A93,资金日记账!$F$4:$F$2503,"&lt;&gt;往来-借贷"),2))</f>
        <v/>
      </c>
      <c r="F93" s="19">
        <f>IF($A93="","",ROUND($B93+$C93+$D93-$E93,2))</f>
        <v/>
      </c>
      <c r="G93" s="19">
        <f>IF($A93="","",ROUND(SUMIFS(资金日记账!$K$4:$K$2503,资金日记账!$H$4:$H$2503,$A93,资金日记账!$F$4:$F$2503,"往来-借贷")-SUMIFS(资金日记账!$J$4:$J$2503,资金日记账!$H$4:$H$2503,$A93,资金日记账!$F$4:$F$2503,"往来-借贷"),2))</f>
        <v/>
      </c>
      <c r="H93" s="23">
        <f>IF($A93="","",IFERROR(LOOKUP(1,0/((资金日记账!$H$4:$H$2503=$A93)*(资金日记账!$K$4:$K$2503&gt;0)),资金日记账!$B$4:$B$2503),""))</f>
        <v/>
      </c>
      <c r="I93" s="22">
        <f>IF($A93="","",COUNTIF(采购单!$C$4:$C$2003,$A93)+COUNTIF(资金日记账!$H$4:$H$2503,$A93))</f>
        <v/>
      </c>
      <c r="J93" s="13" t="n"/>
    </row>
    <row r="94">
      <c r="A94" s="17">
        <f>IF(基础资料!$G93="","",基础资料!$G93)</f>
        <v/>
      </c>
      <c r="B94" s="19">
        <f>IF($A94="","",ROUND(SUMIF(采购单!$C$4:$C$2003,$A94,采购单!$L$4:$L$2003),2))</f>
        <v/>
      </c>
      <c r="C94" s="19">
        <f>IF($A94="","",ROUND(SUMIF(生产安装!$F$4:$F$1203,$A94,生产安装!$J$4:$J$1203),2))</f>
        <v/>
      </c>
      <c r="D94" s="19">
        <f>IF($A94="","",ROUND(SUMIFS(资金日记账!$K$4:$K$2503,资金日记账!$H$4:$H$2503,$A94,资金日记账!$F$4:$F$2503,"成本-*"),2))</f>
        <v/>
      </c>
      <c r="E94" s="19">
        <f>IF($A94="","",ROUND(SUMIFS(资金日记账!$K$4:$K$2503,资金日记账!$H$4:$H$2503,$A94,资金日记账!$F$4:$F$2503,"&lt;&gt;往来-借贷")-SUMIFS(资金日记账!$J$4:$J$2503,资金日记账!$H$4:$H$2503,$A94,资金日记账!$F$4:$F$2503,"&lt;&gt;往来-借贷"),2))</f>
        <v/>
      </c>
      <c r="F94" s="19">
        <f>IF($A94="","",ROUND($B94+$C94+$D94-$E94,2))</f>
        <v/>
      </c>
      <c r="G94" s="19">
        <f>IF($A94="","",ROUND(SUMIFS(资金日记账!$K$4:$K$2503,资金日记账!$H$4:$H$2503,$A94,资金日记账!$F$4:$F$2503,"往来-借贷")-SUMIFS(资金日记账!$J$4:$J$2503,资金日记账!$H$4:$H$2503,$A94,资金日记账!$F$4:$F$2503,"往来-借贷"),2))</f>
        <v/>
      </c>
      <c r="H94" s="23">
        <f>IF($A94="","",IFERROR(LOOKUP(1,0/((资金日记账!$H$4:$H$2503=$A94)*(资金日记账!$K$4:$K$2503&gt;0)),资金日记账!$B$4:$B$2503),""))</f>
        <v/>
      </c>
      <c r="I94" s="22">
        <f>IF($A94="","",COUNTIF(采购单!$C$4:$C$2003,$A94)+COUNTIF(资金日记账!$H$4:$H$2503,$A94))</f>
        <v/>
      </c>
      <c r="J94" s="13" t="n"/>
    </row>
    <row r="95">
      <c r="A95" s="17">
        <f>IF(基础资料!$G94="","",基础资料!$G94)</f>
        <v/>
      </c>
      <c r="B95" s="19">
        <f>IF($A95="","",ROUND(SUMIF(采购单!$C$4:$C$2003,$A95,采购单!$L$4:$L$2003),2))</f>
        <v/>
      </c>
      <c r="C95" s="19">
        <f>IF($A95="","",ROUND(SUMIF(生产安装!$F$4:$F$1203,$A95,生产安装!$J$4:$J$1203),2))</f>
        <v/>
      </c>
      <c r="D95" s="19">
        <f>IF($A95="","",ROUND(SUMIFS(资金日记账!$K$4:$K$2503,资金日记账!$H$4:$H$2503,$A95,资金日记账!$F$4:$F$2503,"成本-*"),2))</f>
        <v/>
      </c>
      <c r="E95" s="19">
        <f>IF($A95="","",ROUND(SUMIFS(资金日记账!$K$4:$K$2503,资金日记账!$H$4:$H$2503,$A95,资金日记账!$F$4:$F$2503,"&lt;&gt;往来-借贷")-SUMIFS(资金日记账!$J$4:$J$2503,资金日记账!$H$4:$H$2503,$A95,资金日记账!$F$4:$F$2503,"&lt;&gt;往来-借贷"),2))</f>
        <v/>
      </c>
      <c r="F95" s="19">
        <f>IF($A95="","",ROUND($B95+$C95+$D95-$E95,2))</f>
        <v/>
      </c>
      <c r="G95" s="19">
        <f>IF($A95="","",ROUND(SUMIFS(资金日记账!$K$4:$K$2503,资金日记账!$H$4:$H$2503,$A95,资金日记账!$F$4:$F$2503,"往来-借贷")-SUMIFS(资金日记账!$J$4:$J$2503,资金日记账!$H$4:$H$2503,$A95,资金日记账!$F$4:$F$2503,"往来-借贷"),2))</f>
        <v/>
      </c>
      <c r="H95" s="23">
        <f>IF($A95="","",IFERROR(LOOKUP(1,0/((资金日记账!$H$4:$H$2503=$A95)*(资金日记账!$K$4:$K$2503&gt;0)),资金日记账!$B$4:$B$2503),""))</f>
        <v/>
      </c>
      <c r="I95" s="22">
        <f>IF($A95="","",COUNTIF(采购单!$C$4:$C$2003,$A95)+COUNTIF(资金日记账!$H$4:$H$2503,$A95))</f>
        <v/>
      </c>
      <c r="J95" s="13" t="n"/>
    </row>
    <row r="96">
      <c r="A96" s="17">
        <f>IF(基础资料!$G95="","",基础资料!$G95)</f>
        <v/>
      </c>
      <c r="B96" s="19">
        <f>IF($A96="","",ROUND(SUMIF(采购单!$C$4:$C$2003,$A96,采购单!$L$4:$L$2003),2))</f>
        <v/>
      </c>
      <c r="C96" s="19">
        <f>IF($A96="","",ROUND(SUMIF(生产安装!$F$4:$F$1203,$A96,生产安装!$J$4:$J$1203),2))</f>
        <v/>
      </c>
      <c r="D96" s="19">
        <f>IF($A96="","",ROUND(SUMIFS(资金日记账!$K$4:$K$2503,资金日记账!$H$4:$H$2503,$A96,资金日记账!$F$4:$F$2503,"成本-*"),2))</f>
        <v/>
      </c>
      <c r="E96" s="19">
        <f>IF($A96="","",ROUND(SUMIFS(资金日记账!$K$4:$K$2503,资金日记账!$H$4:$H$2503,$A96,资金日记账!$F$4:$F$2503,"&lt;&gt;往来-借贷")-SUMIFS(资金日记账!$J$4:$J$2503,资金日记账!$H$4:$H$2503,$A96,资金日记账!$F$4:$F$2503,"&lt;&gt;往来-借贷"),2))</f>
        <v/>
      </c>
      <c r="F96" s="19">
        <f>IF($A96="","",ROUND($B96+$C96+$D96-$E96,2))</f>
        <v/>
      </c>
      <c r="G96" s="19">
        <f>IF($A96="","",ROUND(SUMIFS(资金日记账!$K$4:$K$2503,资金日记账!$H$4:$H$2503,$A96,资金日记账!$F$4:$F$2503,"往来-借贷")-SUMIFS(资金日记账!$J$4:$J$2503,资金日记账!$H$4:$H$2503,$A96,资金日记账!$F$4:$F$2503,"往来-借贷"),2))</f>
        <v/>
      </c>
      <c r="H96" s="23">
        <f>IF($A96="","",IFERROR(LOOKUP(1,0/((资金日记账!$H$4:$H$2503=$A96)*(资金日记账!$K$4:$K$2503&gt;0)),资金日记账!$B$4:$B$2503),""))</f>
        <v/>
      </c>
      <c r="I96" s="22">
        <f>IF($A96="","",COUNTIF(采购单!$C$4:$C$2003,$A96)+COUNTIF(资金日记账!$H$4:$H$2503,$A96))</f>
        <v/>
      </c>
      <c r="J96" s="13" t="n"/>
    </row>
    <row r="97">
      <c r="A97" s="17">
        <f>IF(基础资料!$G96="","",基础资料!$G96)</f>
        <v/>
      </c>
      <c r="B97" s="19">
        <f>IF($A97="","",ROUND(SUMIF(采购单!$C$4:$C$2003,$A97,采购单!$L$4:$L$2003),2))</f>
        <v/>
      </c>
      <c r="C97" s="19">
        <f>IF($A97="","",ROUND(SUMIF(生产安装!$F$4:$F$1203,$A97,生产安装!$J$4:$J$1203),2))</f>
        <v/>
      </c>
      <c r="D97" s="19">
        <f>IF($A97="","",ROUND(SUMIFS(资金日记账!$K$4:$K$2503,资金日记账!$H$4:$H$2503,$A97,资金日记账!$F$4:$F$2503,"成本-*"),2))</f>
        <v/>
      </c>
      <c r="E97" s="19">
        <f>IF($A97="","",ROUND(SUMIFS(资金日记账!$K$4:$K$2503,资金日记账!$H$4:$H$2503,$A97,资金日记账!$F$4:$F$2503,"&lt;&gt;往来-借贷")-SUMIFS(资金日记账!$J$4:$J$2503,资金日记账!$H$4:$H$2503,$A97,资金日记账!$F$4:$F$2503,"&lt;&gt;往来-借贷"),2))</f>
        <v/>
      </c>
      <c r="F97" s="19">
        <f>IF($A97="","",ROUND($B97+$C97+$D97-$E97,2))</f>
        <v/>
      </c>
      <c r="G97" s="19">
        <f>IF($A97="","",ROUND(SUMIFS(资金日记账!$K$4:$K$2503,资金日记账!$H$4:$H$2503,$A97,资金日记账!$F$4:$F$2503,"往来-借贷")-SUMIFS(资金日记账!$J$4:$J$2503,资金日记账!$H$4:$H$2503,$A97,资金日记账!$F$4:$F$2503,"往来-借贷"),2))</f>
        <v/>
      </c>
      <c r="H97" s="23">
        <f>IF($A97="","",IFERROR(LOOKUP(1,0/((资金日记账!$H$4:$H$2503=$A97)*(资金日记账!$K$4:$K$2503&gt;0)),资金日记账!$B$4:$B$2503),""))</f>
        <v/>
      </c>
      <c r="I97" s="22">
        <f>IF($A97="","",COUNTIF(采购单!$C$4:$C$2003,$A97)+COUNTIF(资金日记账!$H$4:$H$2503,$A97))</f>
        <v/>
      </c>
      <c r="J97" s="13" t="n"/>
    </row>
    <row r="98">
      <c r="A98" s="17">
        <f>IF(基础资料!$G97="","",基础资料!$G97)</f>
        <v/>
      </c>
      <c r="B98" s="19">
        <f>IF($A98="","",ROUND(SUMIF(采购单!$C$4:$C$2003,$A98,采购单!$L$4:$L$2003),2))</f>
        <v/>
      </c>
      <c r="C98" s="19">
        <f>IF($A98="","",ROUND(SUMIF(生产安装!$F$4:$F$1203,$A98,生产安装!$J$4:$J$1203),2))</f>
        <v/>
      </c>
      <c r="D98" s="19">
        <f>IF($A98="","",ROUND(SUMIFS(资金日记账!$K$4:$K$2503,资金日记账!$H$4:$H$2503,$A98,资金日记账!$F$4:$F$2503,"成本-*"),2))</f>
        <v/>
      </c>
      <c r="E98" s="19">
        <f>IF($A98="","",ROUND(SUMIFS(资金日记账!$K$4:$K$2503,资金日记账!$H$4:$H$2503,$A98,资金日记账!$F$4:$F$2503,"&lt;&gt;往来-借贷")-SUMIFS(资金日记账!$J$4:$J$2503,资金日记账!$H$4:$H$2503,$A98,资金日记账!$F$4:$F$2503,"&lt;&gt;往来-借贷"),2))</f>
        <v/>
      </c>
      <c r="F98" s="19">
        <f>IF($A98="","",ROUND($B98+$C98+$D98-$E98,2))</f>
        <v/>
      </c>
      <c r="G98" s="19">
        <f>IF($A98="","",ROUND(SUMIFS(资金日记账!$K$4:$K$2503,资金日记账!$H$4:$H$2503,$A98,资金日记账!$F$4:$F$2503,"往来-借贷")-SUMIFS(资金日记账!$J$4:$J$2503,资金日记账!$H$4:$H$2503,$A98,资金日记账!$F$4:$F$2503,"往来-借贷"),2))</f>
        <v/>
      </c>
      <c r="H98" s="23">
        <f>IF($A98="","",IFERROR(LOOKUP(1,0/((资金日记账!$H$4:$H$2503=$A98)*(资金日记账!$K$4:$K$2503&gt;0)),资金日记账!$B$4:$B$2503),""))</f>
        <v/>
      </c>
      <c r="I98" s="22">
        <f>IF($A98="","",COUNTIF(采购单!$C$4:$C$2003,$A98)+COUNTIF(资金日记账!$H$4:$H$2503,$A98))</f>
        <v/>
      </c>
      <c r="J98" s="13" t="n"/>
    </row>
    <row r="99">
      <c r="A99" s="17">
        <f>IF(基础资料!$G98="","",基础资料!$G98)</f>
        <v/>
      </c>
      <c r="B99" s="19">
        <f>IF($A99="","",ROUND(SUMIF(采购单!$C$4:$C$2003,$A99,采购单!$L$4:$L$2003),2))</f>
        <v/>
      </c>
      <c r="C99" s="19">
        <f>IF($A99="","",ROUND(SUMIF(生产安装!$F$4:$F$1203,$A99,生产安装!$J$4:$J$1203),2))</f>
        <v/>
      </c>
      <c r="D99" s="19">
        <f>IF($A99="","",ROUND(SUMIFS(资金日记账!$K$4:$K$2503,资金日记账!$H$4:$H$2503,$A99,资金日记账!$F$4:$F$2503,"成本-*"),2))</f>
        <v/>
      </c>
      <c r="E99" s="19">
        <f>IF($A99="","",ROUND(SUMIFS(资金日记账!$K$4:$K$2503,资金日记账!$H$4:$H$2503,$A99,资金日记账!$F$4:$F$2503,"&lt;&gt;往来-借贷")-SUMIFS(资金日记账!$J$4:$J$2503,资金日记账!$H$4:$H$2503,$A99,资金日记账!$F$4:$F$2503,"&lt;&gt;往来-借贷"),2))</f>
        <v/>
      </c>
      <c r="F99" s="19">
        <f>IF($A99="","",ROUND($B99+$C99+$D99-$E99,2))</f>
        <v/>
      </c>
      <c r="G99" s="19">
        <f>IF($A99="","",ROUND(SUMIFS(资金日记账!$K$4:$K$2503,资金日记账!$H$4:$H$2503,$A99,资金日记账!$F$4:$F$2503,"往来-借贷")-SUMIFS(资金日记账!$J$4:$J$2503,资金日记账!$H$4:$H$2503,$A99,资金日记账!$F$4:$F$2503,"往来-借贷"),2))</f>
        <v/>
      </c>
      <c r="H99" s="23">
        <f>IF($A99="","",IFERROR(LOOKUP(1,0/((资金日记账!$H$4:$H$2503=$A99)*(资金日记账!$K$4:$K$2503&gt;0)),资金日记账!$B$4:$B$2503),""))</f>
        <v/>
      </c>
      <c r="I99" s="22">
        <f>IF($A99="","",COUNTIF(采购单!$C$4:$C$2003,$A99)+COUNTIF(资金日记账!$H$4:$H$2503,$A99))</f>
        <v/>
      </c>
      <c r="J99" s="13" t="n"/>
    </row>
    <row r="100">
      <c r="A100" s="17">
        <f>IF(基础资料!$G99="","",基础资料!$G99)</f>
        <v/>
      </c>
      <c r="B100" s="19">
        <f>IF($A100="","",ROUND(SUMIF(采购单!$C$4:$C$2003,$A100,采购单!$L$4:$L$2003),2))</f>
        <v/>
      </c>
      <c r="C100" s="19">
        <f>IF($A100="","",ROUND(SUMIF(生产安装!$F$4:$F$1203,$A100,生产安装!$J$4:$J$1203),2))</f>
        <v/>
      </c>
      <c r="D100" s="19">
        <f>IF($A100="","",ROUND(SUMIFS(资金日记账!$K$4:$K$2503,资金日记账!$H$4:$H$2503,$A100,资金日记账!$F$4:$F$2503,"成本-*"),2))</f>
        <v/>
      </c>
      <c r="E100" s="19">
        <f>IF($A100="","",ROUND(SUMIFS(资金日记账!$K$4:$K$2503,资金日记账!$H$4:$H$2503,$A100,资金日记账!$F$4:$F$2503,"&lt;&gt;往来-借贷")-SUMIFS(资金日记账!$J$4:$J$2503,资金日记账!$H$4:$H$2503,$A100,资金日记账!$F$4:$F$2503,"&lt;&gt;往来-借贷"),2))</f>
        <v/>
      </c>
      <c r="F100" s="19">
        <f>IF($A100="","",ROUND($B100+$C100+$D100-$E100,2))</f>
        <v/>
      </c>
      <c r="G100" s="19">
        <f>IF($A100="","",ROUND(SUMIFS(资金日记账!$K$4:$K$2503,资金日记账!$H$4:$H$2503,$A100,资金日记账!$F$4:$F$2503,"往来-借贷")-SUMIFS(资金日记账!$J$4:$J$2503,资金日记账!$H$4:$H$2503,$A100,资金日记账!$F$4:$F$2503,"往来-借贷"),2))</f>
        <v/>
      </c>
      <c r="H100" s="23">
        <f>IF($A100="","",IFERROR(LOOKUP(1,0/((资金日记账!$H$4:$H$2503=$A100)*(资金日记账!$K$4:$K$2503&gt;0)),资金日记账!$B$4:$B$2503),""))</f>
        <v/>
      </c>
      <c r="I100" s="22">
        <f>IF($A100="","",COUNTIF(采购单!$C$4:$C$2003,$A100)+COUNTIF(资金日记账!$H$4:$H$2503,$A100))</f>
        <v/>
      </c>
      <c r="J100" s="13" t="n"/>
    </row>
    <row r="101">
      <c r="A101" s="17">
        <f>IF(基础资料!$G100="","",基础资料!$G100)</f>
        <v/>
      </c>
      <c r="B101" s="19">
        <f>IF($A101="","",ROUND(SUMIF(采购单!$C$4:$C$2003,$A101,采购单!$L$4:$L$2003),2))</f>
        <v/>
      </c>
      <c r="C101" s="19">
        <f>IF($A101="","",ROUND(SUMIF(生产安装!$F$4:$F$1203,$A101,生产安装!$J$4:$J$1203),2))</f>
        <v/>
      </c>
      <c r="D101" s="19">
        <f>IF($A101="","",ROUND(SUMIFS(资金日记账!$K$4:$K$2503,资金日记账!$H$4:$H$2503,$A101,资金日记账!$F$4:$F$2503,"成本-*"),2))</f>
        <v/>
      </c>
      <c r="E101" s="19">
        <f>IF($A101="","",ROUND(SUMIFS(资金日记账!$K$4:$K$2503,资金日记账!$H$4:$H$2503,$A101,资金日记账!$F$4:$F$2503,"&lt;&gt;往来-借贷")-SUMIFS(资金日记账!$J$4:$J$2503,资金日记账!$H$4:$H$2503,$A101,资金日记账!$F$4:$F$2503,"&lt;&gt;往来-借贷"),2))</f>
        <v/>
      </c>
      <c r="F101" s="19">
        <f>IF($A101="","",ROUND($B101+$C101+$D101-$E101,2))</f>
        <v/>
      </c>
      <c r="G101" s="19">
        <f>IF($A101="","",ROUND(SUMIFS(资金日记账!$K$4:$K$2503,资金日记账!$H$4:$H$2503,$A101,资金日记账!$F$4:$F$2503,"往来-借贷")-SUMIFS(资金日记账!$J$4:$J$2503,资金日记账!$H$4:$H$2503,$A101,资金日记账!$F$4:$F$2503,"往来-借贷"),2))</f>
        <v/>
      </c>
      <c r="H101" s="23">
        <f>IF($A101="","",IFERROR(LOOKUP(1,0/((资金日记账!$H$4:$H$2503=$A101)*(资金日记账!$K$4:$K$2503&gt;0)),资金日记账!$B$4:$B$2503),""))</f>
        <v/>
      </c>
      <c r="I101" s="22">
        <f>IF($A101="","",COUNTIF(采购单!$C$4:$C$2003,$A101)+COUNTIF(资金日记账!$H$4:$H$2503,$A101))</f>
        <v/>
      </c>
      <c r="J101" s="13" t="n"/>
    </row>
    <row r="102">
      <c r="A102" s="17">
        <f>IF(基础资料!$G101="","",基础资料!$G101)</f>
        <v/>
      </c>
      <c r="B102" s="19">
        <f>IF($A102="","",ROUND(SUMIF(采购单!$C$4:$C$2003,$A102,采购单!$L$4:$L$2003),2))</f>
        <v/>
      </c>
      <c r="C102" s="19">
        <f>IF($A102="","",ROUND(SUMIF(生产安装!$F$4:$F$1203,$A102,生产安装!$J$4:$J$1203),2))</f>
        <v/>
      </c>
      <c r="D102" s="19">
        <f>IF($A102="","",ROUND(SUMIFS(资金日记账!$K$4:$K$2503,资金日记账!$H$4:$H$2503,$A102,资金日记账!$F$4:$F$2503,"成本-*"),2))</f>
        <v/>
      </c>
      <c r="E102" s="19">
        <f>IF($A102="","",ROUND(SUMIFS(资金日记账!$K$4:$K$2503,资金日记账!$H$4:$H$2503,$A102,资金日记账!$F$4:$F$2503,"&lt;&gt;往来-借贷")-SUMIFS(资金日记账!$J$4:$J$2503,资金日记账!$H$4:$H$2503,$A102,资金日记账!$F$4:$F$2503,"&lt;&gt;往来-借贷"),2))</f>
        <v/>
      </c>
      <c r="F102" s="19">
        <f>IF($A102="","",ROUND($B102+$C102+$D102-$E102,2))</f>
        <v/>
      </c>
      <c r="G102" s="19">
        <f>IF($A102="","",ROUND(SUMIFS(资金日记账!$K$4:$K$2503,资金日记账!$H$4:$H$2503,$A102,资金日记账!$F$4:$F$2503,"往来-借贷")-SUMIFS(资金日记账!$J$4:$J$2503,资金日记账!$H$4:$H$2503,$A102,资金日记账!$F$4:$F$2503,"往来-借贷"),2))</f>
        <v/>
      </c>
      <c r="H102" s="23">
        <f>IF($A102="","",IFERROR(LOOKUP(1,0/((资金日记账!$H$4:$H$2503=$A102)*(资金日记账!$K$4:$K$2503&gt;0)),资金日记账!$B$4:$B$2503),""))</f>
        <v/>
      </c>
      <c r="I102" s="22">
        <f>IF($A102="","",COUNTIF(采购单!$C$4:$C$2003,$A102)+COUNTIF(资金日记账!$H$4:$H$2503,$A102))</f>
        <v/>
      </c>
      <c r="J102" s="13" t="n"/>
    </row>
    <row r="103">
      <c r="A103" s="17">
        <f>IF(基础资料!$G102="","",基础资料!$G102)</f>
        <v/>
      </c>
      <c r="B103" s="19">
        <f>IF($A103="","",ROUND(SUMIF(采购单!$C$4:$C$2003,$A103,采购单!$L$4:$L$2003),2))</f>
        <v/>
      </c>
      <c r="C103" s="19">
        <f>IF($A103="","",ROUND(SUMIF(生产安装!$F$4:$F$1203,$A103,生产安装!$J$4:$J$1203),2))</f>
        <v/>
      </c>
      <c r="D103" s="19">
        <f>IF($A103="","",ROUND(SUMIFS(资金日记账!$K$4:$K$2503,资金日记账!$H$4:$H$2503,$A103,资金日记账!$F$4:$F$2503,"成本-*"),2))</f>
        <v/>
      </c>
      <c r="E103" s="19">
        <f>IF($A103="","",ROUND(SUMIFS(资金日记账!$K$4:$K$2503,资金日记账!$H$4:$H$2503,$A103,资金日记账!$F$4:$F$2503,"&lt;&gt;往来-借贷")-SUMIFS(资金日记账!$J$4:$J$2503,资金日记账!$H$4:$H$2503,$A103,资金日记账!$F$4:$F$2503,"&lt;&gt;往来-借贷"),2))</f>
        <v/>
      </c>
      <c r="F103" s="19">
        <f>IF($A103="","",ROUND($B103+$C103+$D103-$E103,2))</f>
        <v/>
      </c>
      <c r="G103" s="19">
        <f>IF($A103="","",ROUND(SUMIFS(资金日记账!$K$4:$K$2503,资金日记账!$H$4:$H$2503,$A103,资金日记账!$F$4:$F$2503,"往来-借贷")-SUMIFS(资金日记账!$J$4:$J$2503,资金日记账!$H$4:$H$2503,$A103,资金日记账!$F$4:$F$2503,"往来-借贷"),2))</f>
        <v/>
      </c>
      <c r="H103" s="23">
        <f>IF($A103="","",IFERROR(LOOKUP(1,0/((资金日记账!$H$4:$H$2503=$A103)*(资金日记账!$K$4:$K$2503&gt;0)),资金日记账!$B$4:$B$2503),""))</f>
        <v/>
      </c>
      <c r="I103" s="22">
        <f>IF($A103="","",COUNTIF(采购单!$C$4:$C$2003,$A103)+COUNTIF(资金日记账!$H$4:$H$2503,$A103))</f>
        <v/>
      </c>
      <c r="J103" s="13" t="n"/>
    </row>
    <row r="104">
      <c r="A104" s="17">
        <f>IF(基础资料!$G103="","",基础资料!$G103)</f>
        <v/>
      </c>
      <c r="B104" s="19">
        <f>IF($A104="","",ROUND(SUMIF(采购单!$C$4:$C$2003,$A104,采购单!$L$4:$L$2003),2))</f>
        <v/>
      </c>
      <c r="C104" s="19">
        <f>IF($A104="","",ROUND(SUMIF(生产安装!$F$4:$F$1203,$A104,生产安装!$J$4:$J$1203),2))</f>
        <v/>
      </c>
      <c r="D104" s="19">
        <f>IF($A104="","",ROUND(SUMIFS(资金日记账!$K$4:$K$2503,资金日记账!$H$4:$H$2503,$A104,资金日记账!$F$4:$F$2503,"成本-*"),2))</f>
        <v/>
      </c>
      <c r="E104" s="19">
        <f>IF($A104="","",ROUND(SUMIFS(资金日记账!$K$4:$K$2503,资金日记账!$H$4:$H$2503,$A104,资金日记账!$F$4:$F$2503,"&lt;&gt;往来-借贷")-SUMIFS(资金日记账!$J$4:$J$2503,资金日记账!$H$4:$H$2503,$A104,资金日记账!$F$4:$F$2503,"&lt;&gt;往来-借贷"),2))</f>
        <v/>
      </c>
      <c r="F104" s="19">
        <f>IF($A104="","",ROUND($B104+$C104+$D104-$E104,2))</f>
        <v/>
      </c>
      <c r="G104" s="19">
        <f>IF($A104="","",ROUND(SUMIFS(资金日记账!$K$4:$K$2503,资金日记账!$H$4:$H$2503,$A104,资金日记账!$F$4:$F$2503,"往来-借贷")-SUMIFS(资金日记账!$J$4:$J$2503,资金日记账!$H$4:$H$2503,$A104,资金日记账!$F$4:$F$2503,"往来-借贷"),2))</f>
        <v/>
      </c>
      <c r="H104" s="23">
        <f>IF($A104="","",IFERROR(LOOKUP(1,0/((资金日记账!$H$4:$H$2503=$A104)*(资金日记账!$K$4:$K$2503&gt;0)),资金日记账!$B$4:$B$2503),""))</f>
        <v/>
      </c>
      <c r="I104" s="22">
        <f>IF($A104="","",COUNTIF(采购单!$C$4:$C$2003,$A104)+COUNTIF(资金日记账!$H$4:$H$2503,$A104))</f>
        <v/>
      </c>
      <c r="J104" s="13" t="n"/>
    </row>
    <row r="105">
      <c r="A105" s="17">
        <f>IF(基础资料!$G104="","",基础资料!$G104)</f>
        <v/>
      </c>
      <c r="B105" s="19">
        <f>IF($A105="","",ROUND(SUMIF(采购单!$C$4:$C$2003,$A105,采购单!$L$4:$L$2003),2))</f>
        <v/>
      </c>
      <c r="C105" s="19">
        <f>IF($A105="","",ROUND(SUMIF(生产安装!$F$4:$F$1203,$A105,生产安装!$J$4:$J$1203),2))</f>
        <v/>
      </c>
      <c r="D105" s="19">
        <f>IF($A105="","",ROUND(SUMIFS(资金日记账!$K$4:$K$2503,资金日记账!$H$4:$H$2503,$A105,资金日记账!$F$4:$F$2503,"成本-*"),2))</f>
        <v/>
      </c>
      <c r="E105" s="19">
        <f>IF($A105="","",ROUND(SUMIFS(资金日记账!$K$4:$K$2503,资金日记账!$H$4:$H$2503,$A105,资金日记账!$F$4:$F$2503,"&lt;&gt;往来-借贷")-SUMIFS(资金日记账!$J$4:$J$2503,资金日记账!$H$4:$H$2503,$A105,资金日记账!$F$4:$F$2503,"&lt;&gt;往来-借贷"),2))</f>
        <v/>
      </c>
      <c r="F105" s="19">
        <f>IF($A105="","",ROUND($B105+$C105+$D105-$E105,2))</f>
        <v/>
      </c>
      <c r="G105" s="19">
        <f>IF($A105="","",ROUND(SUMIFS(资金日记账!$K$4:$K$2503,资金日记账!$H$4:$H$2503,$A105,资金日记账!$F$4:$F$2503,"往来-借贷")-SUMIFS(资金日记账!$J$4:$J$2503,资金日记账!$H$4:$H$2503,$A105,资金日记账!$F$4:$F$2503,"往来-借贷"),2))</f>
        <v/>
      </c>
      <c r="H105" s="23">
        <f>IF($A105="","",IFERROR(LOOKUP(1,0/((资金日记账!$H$4:$H$2503=$A105)*(资金日记账!$K$4:$K$2503&gt;0)),资金日记账!$B$4:$B$2503),""))</f>
        <v/>
      </c>
      <c r="I105" s="22">
        <f>IF($A105="","",COUNTIF(采购单!$C$4:$C$2003,$A105)+COUNTIF(资金日记账!$H$4:$H$2503,$A105))</f>
        <v/>
      </c>
      <c r="J105" s="13" t="n"/>
    </row>
    <row r="106">
      <c r="A106" s="17">
        <f>IF(基础资料!$G105="","",基础资料!$G105)</f>
        <v/>
      </c>
      <c r="B106" s="19">
        <f>IF($A106="","",ROUND(SUMIF(采购单!$C$4:$C$2003,$A106,采购单!$L$4:$L$2003),2))</f>
        <v/>
      </c>
      <c r="C106" s="19">
        <f>IF($A106="","",ROUND(SUMIF(生产安装!$F$4:$F$1203,$A106,生产安装!$J$4:$J$1203),2))</f>
        <v/>
      </c>
      <c r="D106" s="19">
        <f>IF($A106="","",ROUND(SUMIFS(资金日记账!$K$4:$K$2503,资金日记账!$H$4:$H$2503,$A106,资金日记账!$F$4:$F$2503,"成本-*"),2))</f>
        <v/>
      </c>
      <c r="E106" s="19">
        <f>IF($A106="","",ROUND(SUMIFS(资金日记账!$K$4:$K$2503,资金日记账!$H$4:$H$2503,$A106,资金日记账!$F$4:$F$2503,"&lt;&gt;往来-借贷")-SUMIFS(资金日记账!$J$4:$J$2503,资金日记账!$H$4:$H$2503,$A106,资金日记账!$F$4:$F$2503,"&lt;&gt;往来-借贷"),2))</f>
        <v/>
      </c>
      <c r="F106" s="19">
        <f>IF($A106="","",ROUND($B106+$C106+$D106-$E106,2))</f>
        <v/>
      </c>
      <c r="G106" s="19">
        <f>IF($A106="","",ROUND(SUMIFS(资金日记账!$K$4:$K$2503,资金日记账!$H$4:$H$2503,$A106,资金日记账!$F$4:$F$2503,"往来-借贷")-SUMIFS(资金日记账!$J$4:$J$2503,资金日记账!$H$4:$H$2503,$A106,资金日记账!$F$4:$F$2503,"往来-借贷"),2))</f>
        <v/>
      </c>
      <c r="H106" s="23">
        <f>IF($A106="","",IFERROR(LOOKUP(1,0/((资金日记账!$H$4:$H$2503=$A106)*(资金日记账!$K$4:$K$2503&gt;0)),资金日记账!$B$4:$B$2503),""))</f>
        <v/>
      </c>
      <c r="I106" s="22">
        <f>IF($A106="","",COUNTIF(采购单!$C$4:$C$2003,$A106)+COUNTIF(资金日记账!$H$4:$H$2503,$A106))</f>
        <v/>
      </c>
      <c r="J106" s="13" t="n"/>
    </row>
    <row r="107">
      <c r="A107" s="17">
        <f>IF(基础资料!$G106="","",基础资料!$G106)</f>
        <v/>
      </c>
      <c r="B107" s="19">
        <f>IF($A107="","",ROUND(SUMIF(采购单!$C$4:$C$2003,$A107,采购单!$L$4:$L$2003),2))</f>
        <v/>
      </c>
      <c r="C107" s="19">
        <f>IF($A107="","",ROUND(SUMIF(生产安装!$F$4:$F$1203,$A107,生产安装!$J$4:$J$1203),2))</f>
        <v/>
      </c>
      <c r="D107" s="19">
        <f>IF($A107="","",ROUND(SUMIFS(资金日记账!$K$4:$K$2503,资金日记账!$H$4:$H$2503,$A107,资金日记账!$F$4:$F$2503,"成本-*"),2))</f>
        <v/>
      </c>
      <c r="E107" s="19">
        <f>IF($A107="","",ROUND(SUMIFS(资金日记账!$K$4:$K$2503,资金日记账!$H$4:$H$2503,$A107,资金日记账!$F$4:$F$2503,"&lt;&gt;往来-借贷")-SUMIFS(资金日记账!$J$4:$J$2503,资金日记账!$H$4:$H$2503,$A107,资金日记账!$F$4:$F$2503,"&lt;&gt;往来-借贷"),2))</f>
        <v/>
      </c>
      <c r="F107" s="19">
        <f>IF($A107="","",ROUND($B107+$C107+$D107-$E107,2))</f>
        <v/>
      </c>
      <c r="G107" s="19">
        <f>IF($A107="","",ROUND(SUMIFS(资金日记账!$K$4:$K$2503,资金日记账!$H$4:$H$2503,$A107,资金日记账!$F$4:$F$2503,"往来-借贷")-SUMIFS(资金日记账!$J$4:$J$2503,资金日记账!$H$4:$H$2503,$A107,资金日记账!$F$4:$F$2503,"往来-借贷"),2))</f>
        <v/>
      </c>
      <c r="H107" s="23">
        <f>IF($A107="","",IFERROR(LOOKUP(1,0/((资金日记账!$H$4:$H$2503=$A107)*(资金日记账!$K$4:$K$2503&gt;0)),资金日记账!$B$4:$B$2503),""))</f>
        <v/>
      </c>
      <c r="I107" s="22">
        <f>IF($A107="","",COUNTIF(采购单!$C$4:$C$2003,$A107)+COUNTIF(资金日记账!$H$4:$H$2503,$A107))</f>
        <v/>
      </c>
      <c r="J107" s="13" t="n"/>
    </row>
    <row r="108">
      <c r="A108" s="17">
        <f>IF(基础资料!$G107="","",基础资料!$G107)</f>
        <v/>
      </c>
      <c r="B108" s="19">
        <f>IF($A108="","",ROUND(SUMIF(采购单!$C$4:$C$2003,$A108,采购单!$L$4:$L$2003),2))</f>
        <v/>
      </c>
      <c r="C108" s="19">
        <f>IF($A108="","",ROUND(SUMIF(生产安装!$F$4:$F$1203,$A108,生产安装!$J$4:$J$1203),2))</f>
        <v/>
      </c>
      <c r="D108" s="19">
        <f>IF($A108="","",ROUND(SUMIFS(资金日记账!$K$4:$K$2503,资金日记账!$H$4:$H$2503,$A108,资金日记账!$F$4:$F$2503,"成本-*"),2))</f>
        <v/>
      </c>
      <c r="E108" s="19">
        <f>IF($A108="","",ROUND(SUMIFS(资金日记账!$K$4:$K$2503,资金日记账!$H$4:$H$2503,$A108,资金日记账!$F$4:$F$2503,"&lt;&gt;往来-借贷")-SUMIFS(资金日记账!$J$4:$J$2503,资金日记账!$H$4:$H$2503,$A108,资金日记账!$F$4:$F$2503,"&lt;&gt;往来-借贷"),2))</f>
        <v/>
      </c>
      <c r="F108" s="19">
        <f>IF($A108="","",ROUND($B108+$C108+$D108-$E108,2))</f>
        <v/>
      </c>
      <c r="G108" s="19">
        <f>IF($A108="","",ROUND(SUMIFS(资金日记账!$K$4:$K$2503,资金日记账!$H$4:$H$2503,$A108,资金日记账!$F$4:$F$2503,"往来-借贷")-SUMIFS(资金日记账!$J$4:$J$2503,资金日记账!$H$4:$H$2503,$A108,资金日记账!$F$4:$F$2503,"往来-借贷"),2))</f>
        <v/>
      </c>
      <c r="H108" s="23">
        <f>IF($A108="","",IFERROR(LOOKUP(1,0/((资金日记账!$H$4:$H$2503=$A108)*(资金日记账!$K$4:$K$2503&gt;0)),资金日记账!$B$4:$B$2503),""))</f>
        <v/>
      </c>
      <c r="I108" s="22">
        <f>IF($A108="","",COUNTIF(采购单!$C$4:$C$2003,$A108)+COUNTIF(资金日记账!$H$4:$H$2503,$A108))</f>
        <v/>
      </c>
      <c r="J108" s="13" t="n"/>
    </row>
    <row r="109">
      <c r="A109" s="17">
        <f>IF(基础资料!$G108="","",基础资料!$G108)</f>
        <v/>
      </c>
      <c r="B109" s="19">
        <f>IF($A109="","",ROUND(SUMIF(采购单!$C$4:$C$2003,$A109,采购单!$L$4:$L$2003),2))</f>
        <v/>
      </c>
      <c r="C109" s="19">
        <f>IF($A109="","",ROUND(SUMIF(生产安装!$F$4:$F$1203,$A109,生产安装!$J$4:$J$1203),2))</f>
        <v/>
      </c>
      <c r="D109" s="19">
        <f>IF($A109="","",ROUND(SUMIFS(资金日记账!$K$4:$K$2503,资金日记账!$H$4:$H$2503,$A109,资金日记账!$F$4:$F$2503,"成本-*"),2))</f>
        <v/>
      </c>
      <c r="E109" s="19">
        <f>IF($A109="","",ROUND(SUMIFS(资金日记账!$K$4:$K$2503,资金日记账!$H$4:$H$2503,$A109,资金日记账!$F$4:$F$2503,"&lt;&gt;往来-借贷")-SUMIFS(资金日记账!$J$4:$J$2503,资金日记账!$H$4:$H$2503,$A109,资金日记账!$F$4:$F$2503,"&lt;&gt;往来-借贷"),2))</f>
        <v/>
      </c>
      <c r="F109" s="19">
        <f>IF($A109="","",ROUND($B109+$C109+$D109-$E109,2))</f>
        <v/>
      </c>
      <c r="G109" s="19">
        <f>IF($A109="","",ROUND(SUMIFS(资金日记账!$K$4:$K$2503,资金日记账!$H$4:$H$2503,$A109,资金日记账!$F$4:$F$2503,"往来-借贷")-SUMIFS(资金日记账!$J$4:$J$2503,资金日记账!$H$4:$H$2503,$A109,资金日记账!$F$4:$F$2503,"往来-借贷"),2))</f>
        <v/>
      </c>
      <c r="H109" s="23">
        <f>IF($A109="","",IFERROR(LOOKUP(1,0/((资金日记账!$H$4:$H$2503=$A109)*(资金日记账!$K$4:$K$2503&gt;0)),资金日记账!$B$4:$B$2503),""))</f>
        <v/>
      </c>
      <c r="I109" s="22">
        <f>IF($A109="","",COUNTIF(采购单!$C$4:$C$2003,$A109)+COUNTIF(资金日记账!$H$4:$H$2503,$A109))</f>
        <v/>
      </c>
      <c r="J109" s="13" t="n"/>
    </row>
    <row r="110">
      <c r="A110" s="17">
        <f>IF(基础资料!$G109="","",基础资料!$G109)</f>
        <v/>
      </c>
      <c r="B110" s="19">
        <f>IF($A110="","",ROUND(SUMIF(采购单!$C$4:$C$2003,$A110,采购单!$L$4:$L$2003),2))</f>
        <v/>
      </c>
      <c r="C110" s="19">
        <f>IF($A110="","",ROUND(SUMIF(生产安装!$F$4:$F$1203,$A110,生产安装!$J$4:$J$1203),2))</f>
        <v/>
      </c>
      <c r="D110" s="19">
        <f>IF($A110="","",ROUND(SUMIFS(资金日记账!$K$4:$K$2503,资金日记账!$H$4:$H$2503,$A110,资金日记账!$F$4:$F$2503,"成本-*"),2))</f>
        <v/>
      </c>
      <c r="E110" s="19">
        <f>IF($A110="","",ROUND(SUMIFS(资金日记账!$K$4:$K$2503,资金日记账!$H$4:$H$2503,$A110,资金日记账!$F$4:$F$2503,"&lt;&gt;往来-借贷")-SUMIFS(资金日记账!$J$4:$J$2503,资金日记账!$H$4:$H$2503,$A110,资金日记账!$F$4:$F$2503,"&lt;&gt;往来-借贷"),2))</f>
        <v/>
      </c>
      <c r="F110" s="19">
        <f>IF($A110="","",ROUND($B110+$C110+$D110-$E110,2))</f>
        <v/>
      </c>
      <c r="G110" s="19">
        <f>IF($A110="","",ROUND(SUMIFS(资金日记账!$K$4:$K$2503,资金日记账!$H$4:$H$2503,$A110,资金日记账!$F$4:$F$2503,"往来-借贷")-SUMIFS(资金日记账!$J$4:$J$2503,资金日记账!$H$4:$H$2503,$A110,资金日记账!$F$4:$F$2503,"往来-借贷"),2))</f>
        <v/>
      </c>
      <c r="H110" s="23">
        <f>IF($A110="","",IFERROR(LOOKUP(1,0/((资金日记账!$H$4:$H$2503=$A110)*(资金日记账!$K$4:$K$2503&gt;0)),资金日记账!$B$4:$B$2503),""))</f>
        <v/>
      </c>
      <c r="I110" s="22">
        <f>IF($A110="","",COUNTIF(采购单!$C$4:$C$2003,$A110)+COUNTIF(资金日记账!$H$4:$H$2503,$A110))</f>
        <v/>
      </c>
      <c r="J110" s="13" t="n"/>
    </row>
    <row r="111">
      <c r="A111" s="17">
        <f>IF(基础资料!$G110="","",基础资料!$G110)</f>
        <v/>
      </c>
      <c r="B111" s="19">
        <f>IF($A111="","",ROUND(SUMIF(采购单!$C$4:$C$2003,$A111,采购单!$L$4:$L$2003),2))</f>
        <v/>
      </c>
      <c r="C111" s="19">
        <f>IF($A111="","",ROUND(SUMIF(生产安装!$F$4:$F$1203,$A111,生产安装!$J$4:$J$1203),2))</f>
        <v/>
      </c>
      <c r="D111" s="19">
        <f>IF($A111="","",ROUND(SUMIFS(资金日记账!$K$4:$K$2503,资金日记账!$H$4:$H$2503,$A111,资金日记账!$F$4:$F$2503,"成本-*"),2))</f>
        <v/>
      </c>
      <c r="E111" s="19">
        <f>IF($A111="","",ROUND(SUMIFS(资金日记账!$K$4:$K$2503,资金日记账!$H$4:$H$2503,$A111,资金日记账!$F$4:$F$2503,"&lt;&gt;往来-借贷")-SUMIFS(资金日记账!$J$4:$J$2503,资金日记账!$H$4:$H$2503,$A111,资金日记账!$F$4:$F$2503,"&lt;&gt;往来-借贷"),2))</f>
        <v/>
      </c>
      <c r="F111" s="19">
        <f>IF($A111="","",ROUND($B111+$C111+$D111-$E111,2))</f>
        <v/>
      </c>
      <c r="G111" s="19">
        <f>IF($A111="","",ROUND(SUMIFS(资金日记账!$K$4:$K$2503,资金日记账!$H$4:$H$2503,$A111,资金日记账!$F$4:$F$2503,"往来-借贷")-SUMIFS(资金日记账!$J$4:$J$2503,资金日记账!$H$4:$H$2503,$A111,资金日记账!$F$4:$F$2503,"往来-借贷"),2))</f>
        <v/>
      </c>
      <c r="H111" s="23">
        <f>IF($A111="","",IFERROR(LOOKUP(1,0/((资金日记账!$H$4:$H$2503=$A111)*(资金日记账!$K$4:$K$2503&gt;0)),资金日记账!$B$4:$B$2503),""))</f>
        <v/>
      </c>
      <c r="I111" s="22">
        <f>IF($A111="","",COUNTIF(采购单!$C$4:$C$2003,$A111)+COUNTIF(资金日记账!$H$4:$H$2503,$A111))</f>
        <v/>
      </c>
      <c r="J111" s="13" t="n"/>
    </row>
    <row r="112">
      <c r="A112" s="17">
        <f>IF(基础资料!$G111="","",基础资料!$G111)</f>
        <v/>
      </c>
      <c r="B112" s="19">
        <f>IF($A112="","",ROUND(SUMIF(采购单!$C$4:$C$2003,$A112,采购单!$L$4:$L$2003),2))</f>
        <v/>
      </c>
      <c r="C112" s="19">
        <f>IF($A112="","",ROUND(SUMIF(生产安装!$F$4:$F$1203,$A112,生产安装!$J$4:$J$1203),2))</f>
        <v/>
      </c>
      <c r="D112" s="19">
        <f>IF($A112="","",ROUND(SUMIFS(资金日记账!$K$4:$K$2503,资金日记账!$H$4:$H$2503,$A112,资金日记账!$F$4:$F$2503,"成本-*"),2))</f>
        <v/>
      </c>
      <c r="E112" s="19">
        <f>IF($A112="","",ROUND(SUMIFS(资金日记账!$K$4:$K$2503,资金日记账!$H$4:$H$2503,$A112,资金日记账!$F$4:$F$2503,"&lt;&gt;往来-借贷")-SUMIFS(资金日记账!$J$4:$J$2503,资金日记账!$H$4:$H$2503,$A112,资金日记账!$F$4:$F$2503,"&lt;&gt;往来-借贷"),2))</f>
        <v/>
      </c>
      <c r="F112" s="19">
        <f>IF($A112="","",ROUND($B112+$C112+$D112-$E112,2))</f>
        <v/>
      </c>
      <c r="G112" s="19">
        <f>IF($A112="","",ROUND(SUMIFS(资金日记账!$K$4:$K$2503,资金日记账!$H$4:$H$2503,$A112,资金日记账!$F$4:$F$2503,"往来-借贷")-SUMIFS(资金日记账!$J$4:$J$2503,资金日记账!$H$4:$H$2503,$A112,资金日记账!$F$4:$F$2503,"往来-借贷"),2))</f>
        <v/>
      </c>
      <c r="H112" s="23">
        <f>IF($A112="","",IFERROR(LOOKUP(1,0/((资金日记账!$H$4:$H$2503=$A112)*(资金日记账!$K$4:$K$2503&gt;0)),资金日记账!$B$4:$B$2503),""))</f>
        <v/>
      </c>
      <c r="I112" s="22">
        <f>IF($A112="","",COUNTIF(采购单!$C$4:$C$2003,$A112)+COUNTIF(资金日记账!$H$4:$H$2503,$A112))</f>
        <v/>
      </c>
      <c r="J112" s="13" t="n"/>
    </row>
    <row r="113">
      <c r="A113" s="17">
        <f>IF(基础资料!$G112="","",基础资料!$G112)</f>
        <v/>
      </c>
      <c r="B113" s="19">
        <f>IF($A113="","",ROUND(SUMIF(采购单!$C$4:$C$2003,$A113,采购单!$L$4:$L$2003),2))</f>
        <v/>
      </c>
      <c r="C113" s="19">
        <f>IF($A113="","",ROUND(SUMIF(生产安装!$F$4:$F$1203,$A113,生产安装!$J$4:$J$1203),2))</f>
        <v/>
      </c>
      <c r="D113" s="19">
        <f>IF($A113="","",ROUND(SUMIFS(资金日记账!$K$4:$K$2503,资金日记账!$H$4:$H$2503,$A113,资金日记账!$F$4:$F$2503,"成本-*"),2))</f>
        <v/>
      </c>
      <c r="E113" s="19">
        <f>IF($A113="","",ROUND(SUMIFS(资金日记账!$K$4:$K$2503,资金日记账!$H$4:$H$2503,$A113,资金日记账!$F$4:$F$2503,"&lt;&gt;往来-借贷")-SUMIFS(资金日记账!$J$4:$J$2503,资金日记账!$H$4:$H$2503,$A113,资金日记账!$F$4:$F$2503,"&lt;&gt;往来-借贷"),2))</f>
        <v/>
      </c>
      <c r="F113" s="19">
        <f>IF($A113="","",ROUND($B113+$C113+$D113-$E113,2))</f>
        <v/>
      </c>
      <c r="G113" s="19">
        <f>IF($A113="","",ROUND(SUMIFS(资金日记账!$K$4:$K$2503,资金日记账!$H$4:$H$2503,$A113,资金日记账!$F$4:$F$2503,"往来-借贷")-SUMIFS(资金日记账!$J$4:$J$2503,资金日记账!$H$4:$H$2503,$A113,资金日记账!$F$4:$F$2503,"往来-借贷"),2))</f>
        <v/>
      </c>
      <c r="H113" s="23">
        <f>IF($A113="","",IFERROR(LOOKUP(1,0/((资金日记账!$H$4:$H$2503=$A113)*(资金日记账!$K$4:$K$2503&gt;0)),资金日记账!$B$4:$B$2503),""))</f>
        <v/>
      </c>
      <c r="I113" s="22">
        <f>IF($A113="","",COUNTIF(采购单!$C$4:$C$2003,$A113)+COUNTIF(资金日记账!$H$4:$H$2503,$A113))</f>
        <v/>
      </c>
      <c r="J113" s="13" t="n"/>
    </row>
    <row r="114">
      <c r="A114" s="17">
        <f>IF(基础资料!$G113="","",基础资料!$G113)</f>
        <v/>
      </c>
      <c r="B114" s="19">
        <f>IF($A114="","",ROUND(SUMIF(采购单!$C$4:$C$2003,$A114,采购单!$L$4:$L$2003),2))</f>
        <v/>
      </c>
      <c r="C114" s="19">
        <f>IF($A114="","",ROUND(SUMIF(生产安装!$F$4:$F$1203,$A114,生产安装!$J$4:$J$1203),2))</f>
        <v/>
      </c>
      <c r="D114" s="19">
        <f>IF($A114="","",ROUND(SUMIFS(资金日记账!$K$4:$K$2503,资金日记账!$H$4:$H$2503,$A114,资金日记账!$F$4:$F$2503,"成本-*"),2))</f>
        <v/>
      </c>
      <c r="E114" s="19">
        <f>IF($A114="","",ROUND(SUMIFS(资金日记账!$K$4:$K$2503,资金日记账!$H$4:$H$2503,$A114,资金日记账!$F$4:$F$2503,"&lt;&gt;往来-借贷")-SUMIFS(资金日记账!$J$4:$J$2503,资金日记账!$H$4:$H$2503,$A114,资金日记账!$F$4:$F$2503,"&lt;&gt;往来-借贷"),2))</f>
        <v/>
      </c>
      <c r="F114" s="19">
        <f>IF($A114="","",ROUND($B114+$C114+$D114-$E114,2))</f>
        <v/>
      </c>
      <c r="G114" s="19">
        <f>IF($A114="","",ROUND(SUMIFS(资金日记账!$K$4:$K$2503,资金日记账!$H$4:$H$2503,$A114,资金日记账!$F$4:$F$2503,"往来-借贷")-SUMIFS(资金日记账!$J$4:$J$2503,资金日记账!$H$4:$H$2503,$A114,资金日记账!$F$4:$F$2503,"往来-借贷"),2))</f>
        <v/>
      </c>
      <c r="H114" s="23">
        <f>IF($A114="","",IFERROR(LOOKUP(1,0/((资金日记账!$H$4:$H$2503=$A114)*(资金日记账!$K$4:$K$2503&gt;0)),资金日记账!$B$4:$B$2503),""))</f>
        <v/>
      </c>
      <c r="I114" s="22">
        <f>IF($A114="","",COUNTIF(采购单!$C$4:$C$2003,$A114)+COUNTIF(资金日记账!$H$4:$H$2503,$A114))</f>
        <v/>
      </c>
      <c r="J114" s="13" t="n"/>
    </row>
    <row r="115">
      <c r="A115" s="17">
        <f>IF(基础资料!$G114="","",基础资料!$G114)</f>
        <v/>
      </c>
      <c r="B115" s="19">
        <f>IF($A115="","",ROUND(SUMIF(采购单!$C$4:$C$2003,$A115,采购单!$L$4:$L$2003),2))</f>
        <v/>
      </c>
      <c r="C115" s="19">
        <f>IF($A115="","",ROUND(SUMIF(生产安装!$F$4:$F$1203,$A115,生产安装!$J$4:$J$1203),2))</f>
        <v/>
      </c>
      <c r="D115" s="19">
        <f>IF($A115="","",ROUND(SUMIFS(资金日记账!$K$4:$K$2503,资金日记账!$H$4:$H$2503,$A115,资金日记账!$F$4:$F$2503,"成本-*"),2))</f>
        <v/>
      </c>
      <c r="E115" s="19">
        <f>IF($A115="","",ROUND(SUMIFS(资金日记账!$K$4:$K$2503,资金日记账!$H$4:$H$2503,$A115,资金日记账!$F$4:$F$2503,"&lt;&gt;往来-借贷")-SUMIFS(资金日记账!$J$4:$J$2503,资金日记账!$H$4:$H$2503,$A115,资金日记账!$F$4:$F$2503,"&lt;&gt;往来-借贷"),2))</f>
        <v/>
      </c>
      <c r="F115" s="19">
        <f>IF($A115="","",ROUND($B115+$C115+$D115-$E115,2))</f>
        <v/>
      </c>
      <c r="G115" s="19">
        <f>IF($A115="","",ROUND(SUMIFS(资金日记账!$K$4:$K$2503,资金日记账!$H$4:$H$2503,$A115,资金日记账!$F$4:$F$2503,"往来-借贷")-SUMIFS(资金日记账!$J$4:$J$2503,资金日记账!$H$4:$H$2503,$A115,资金日记账!$F$4:$F$2503,"往来-借贷"),2))</f>
        <v/>
      </c>
      <c r="H115" s="23">
        <f>IF($A115="","",IFERROR(LOOKUP(1,0/((资金日记账!$H$4:$H$2503=$A115)*(资金日记账!$K$4:$K$2503&gt;0)),资金日记账!$B$4:$B$2503),""))</f>
        <v/>
      </c>
      <c r="I115" s="22">
        <f>IF($A115="","",COUNTIF(采购单!$C$4:$C$2003,$A115)+COUNTIF(资金日记账!$H$4:$H$2503,$A115))</f>
        <v/>
      </c>
      <c r="J115" s="13" t="n"/>
    </row>
    <row r="116">
      <c r="A116" s="17">
        <f>IF(基础资料!$G115="","",基础资料!$G115)</f>
        <v/>
      </c>
      <c r="B116" s="19">
        <f>IF($A116="","",ROUND(SUMIF(采购单!$C$4:$C$2003,$A116,采购单!$L$4:$L$2003),2))</f>
        <v/>
      </c>
      <c r="C116" s="19">
        <f>IF($A116="","",ROUND(SUMIF(生产安装!$F$4:$F$1203,$A116,生产安装!$J$4:$J$1203),2))</f>
        <v/>
      </c>
      <c r="D116" s="19">
        <f>IF($A116="","",ROUND(SUMIFS(资金日记账!$K$4:$K$2503,资金日记账!$H$4:$H$2503,$A116,资金日记账!$F$4:$F$2503,"成本-*"),2))</f>
        <v/>
      </c>
      <c r="E116" s="19">
        <f>IF($A116="","",ROUND(SUMIFS(资金日记账!$K$4:$K$2503,资金日记账!$H$4:$H$2503,$A116,资金日记账!$F$4:$F$2503,"&lt;&gt;往来-借贷")-SUMIFS(资金日记账!$J$4:$J$2503,资金日记账!$H$4:$H$2503,$A116,资金日记账!$F$4:$F$2503,"&lt;&gt;往来-借贷"),2))</f>
        <v/>
      </c>
      <c r="F116" s="19">
        <f>IF($A116="","",ROUND($B116+$C116+$D116-$E116,2))</f>
        <v/>
      </c>
      <c r="G116" s="19">
        <f>IF($A116="","",ROUND(SUMIFS(资金日记账!$K$4:$K$2503,资金日记账!$H$4:$H$2503,$A116,资金日记账!$F$4:$F$2503,"往来-借贷")-SUMIFS(资金日记账!$J$4:$J$2503,资金日记账!$H$4:$H$2503,$A116,资金日记账!$F$4:$F$2503,"往来-借贷"),2))</f>
        <v/>
      </c>
      <c r="H116" s="23">
        <f>IF($A116="","",IFERROR(LOOKUP(1,0/((资金日记账!$H$4:$H$2503=$A116)*(资金日记账!$K$4:$K$2503&gt;0)),资金日记账!$B$4:$B$2503),""))</f>
        <v/>
      </c>
      <c r="I116" s="22">
        <f>IF($A116="","",COUNTIF(采购单!$C$4:$C$2003,$A116)+COUNTIF(资金日记账!$H$4:$H$2503,$A116))</f>
        <v/>
      </c>
      <c r="J116" s="13" t="n"/>
    </row>
    <row r="117">
      <c r="A117" s="17">
        <f>IF(基础资料!$G116="","",基础资料!$G116)</f>
        <v/>
      </c>
      <c r="B117" s="19">
        <f>IF($A117="","",ROUND(SUMIF(采购单!$C$4:$C$2003,$A117,采购单!$L$4:$L$2003),2))</f>
        <v/>
      </c>
      <c r="C117" s="19">
        <f>IF($A117="","",ROUND(SUMIF(生产安装!$F$4:$F$1203,$A117,生产安装!$J$4:$J$1203),2))</f>
        <v/>
      </c>
      <c r="D117" s="19">
        <f>IF($A117="","",ROUND(SUMIFS(资金日记账!$K$4:$K$2503,资金日记账!$H$4:$H$2503,$A117,资金日记账!$F$4:$F$2503,"成本-*"),2))</f>
        <v/>
      </c>
      <c r="E117" s="19">
        <f>IF($A117="","",ROUND(SUMIFS(资金日记账!$K$4:$K$2503,资金日记账!$H$4:$H$2503,$A117,资金日记账!$F$4:$F$2503,"&lt;&gt;往来-借贷")-SUMIFS(资金日记账!$J$4:$J$2503,资金日记账!$H$4:$H$2503,$A117,资金日记账!$F$4:$F$2503,"&lt;&gt;往来-借贷"),2))</f>
        <v/>
      </c>
      <c r="F117" s="19">
        <f>IF($A117="","",ROUND($B117+$C117+$D117-$E117,2))</f>
        <v/>
      </c>
      <c r="G117" s="19">
        <f>IF($A117="","",ROUND(SUMIFS(资金日记账!$K$4:$K$2503,资金日记账!$H$4:$H$2503,$A117,资金日记账!$F$4:$F$2503,"往来-借贷")-SUMIFS(资金日记账!$J$4:$J$2503,资金日记账!$H$4:$H$2503,$A117,资金日记账!$F$4:$F$2503,"往来-借贷"),2))</f>
        <v/>
      </c>
      <c r="H117" s="23">
        <f>IF($A117="","",IFERROR(LOOKUP(1,0/((资金日记账!$H$4:$H$2503=$A117)*(资金日记账!$K$4:$K$2503&gt;0)),资金日记账!$B$4:$B$2503),""))</f>
        <v/>
      </c>
      <c r="I117" s="22">
        <f>IF($A117="","",COUNTIF(采购单!$C$4:$C$2003,$A117)+COUNTIF(资金日记账!$H$4:$H$2503,$A117))</f>
        <v/>
      </c>
      <c r="J117" s="13" t="n"/>
    </row>
    <row r="118">
      <c r="A118" s="17">
        <f>IF(基础资料!$G117="","",基础资料!$G117)</f>
        <v/>
      </c>
      <c r="B118" s="19">
        <f>IF($A118="","",ROUND(SUMIF(采购单!$C$4:$C$2003,$A118,采购单!$L$4:$L$2003),2))</f>
        <v/>
      </c>
      <c r="C118" s="19">
        <f>IF($A118="","",ROUND(SUMIF(生产安装!$F$4:$F$1203,$A118,生产安装!$J$4:$J$1203),2))</f>
        <v/>
      </c>
      <c r="D118" s="19">
        <f>IF($A118="","",ROUND(SUMIFS(资金日记账!$K$4:$K$2503,资金日记账!$H$4:$H$2503,$A118,资金日记账!$F$4:$F$2503,"成本-*"),2))</f>
        <v/>
      </c>
      <c r="E118" s="19">
        <f>IF($A118="","",ROUND(SUMIFS(资金日记账!$K$4:$K$2503,资金日记账!$H$4:$H$2503,$A118,资金日记账!$F$4:$F$2503,"&lt;&gt;往来-借贷")-SUMIFS(资金日记账!$J$4:$J$2503,资金日记账!$H$4:$H$2503,$A118,资金日记账!$F$4:$F$2503,"&lt;&gt;往来-借贷"),2))</f>
        <v/>
      </c>
      <c r="F118" s="19">
        <f>IF($A118="","",ROUND($B118+$C118+$D118-$E118,2))</f>
        <v/>
      </c>
      <c r="G118" s="19">
        <f>IF($A118="","",ROUND(SUMIFS(资金日记账!$K$4:$K$2503,资金日记账!$H$4:$H$2503,$A118,资金日记账!$F$4:$F$2503,"往来-借贷")-SUMIFS(资金日记账!$J$4:$J$2503,资金日记账!$H$4:$H$2503,$A118,资金日记账!$F$4:$F$2503,"往来-借贷"),2))</f>
        <v/>
      </c>
      <c r="H118" s="23">
        <f>IF($A118="","",IFERROR(LOOKUP(1,0/((资金日记账!$H$4:$H$2503=$A118)*(资金日记账!$K$4:$K$2503&gt;0)),资金日记账!$B$4:$B$2503),""))</f>
        <v/>
      </c>
      <c r="I118" s="22">
        <f>IF($A118="","",COUNTIF(采购单!$C$4:$C$2003,$A118)+COUNTIF(资金日记账!$H$4:$H$2503,$A118))</f>
        <v/>
      </c>
      <c r="J118" s="13" t="n"/>
    </row>
    <row r="119">
      <c r="A119" s="17">
        <f>IF(基础资料!$G118="","",基础资料!$G118)</f>
        <v/>
      </c>
      <c r="B119" s="19">
        <f>IF($A119="","",ROUND(SUMIF(采购单!$C$4:$C$2003,$A119,采购单!$L$4:$L$2003),2))</f>
        <v/>
      </c>
      <c r="C119" s="19">
        <f>IF($A119="","",ROUND(SUMIF(生产安装!$F$4:$F$1203,$A119,生产安装!$J$4:$J$1203),2))</f>
        <v/>
      </c>
      <c r="D119" s="19">
        <f>IF($A119="","",ROUND(SUMIFS(资金日记账!$K$4:$K$2503,资金日记账!$H$4:$H$2503,$A119,资金日记账!$F$4:$F$2503,"成本-*"),2))</f>
        <v/>
      </c>
      <c r="E119" s="19">
        <f>IF($A119="","",ROUND(SUMIFS(资金日记账!$K$4:$K$2503,资金日记账!$H$4:$H$2503,$A119,资金日记账!$F$4:$F$2503,"&lt;&gt;往来-借贷")-SUMIFS(资金日记账!$J$4:$J$2503,资金日记账!$H$4:$H$2503,$A119,资金日记账!$F$4:$F$2503,"&lt;&gt;往来-借贷"),2))</f>
        <v/>
      </c>
      <c r="F119" s="19">
        <f>IF($A119="","",ROUND($B119+$C119+$D119-$E119,2))</f>
        <v/>
      </c>
      <c r="G119" s="19">
        <f>IF($A119="","",ROUND(SUMIFS(资金日记账!$K$4:$K$2503,资金日记账!$H$4:$H$2503,$A119,资金日记账!$F$4:$F$2503,"往来-借贷")-SUMIFS(资金日记账!$J$4:$J$2503,资金日记账!$H$4:$H$2503,$A119,资金日记账!$F$4:$F$2503,"往来-借贷"),2))</f>
        <v/>
      </c>
      <c r="H119" s="23">
        <f>IF($A119="","",IFERROR(LOOKUP(1,0/((资金日记账!$H$4:$H$2503=$A119)*(资金日记账!$K$4:$K$2503&gt;0)),资金日记账!$B$4:$B$2503),""))</f>
        <v/>
      </c>
      <c r="I119" s="22">
        <f>IF($A119="","",COUNTIF(采购单!$C$4:$C$2003,$A119)+COUNTIF(资金日记账!$H$4:$H$2503,$A119))</f>
        <v/>
      </c>
      <c r="J119" s="13" t="n"/>
    </row>
    <row r="120">
      <c r="A120" s="17">
        <f>IF(基础资料!$G119="","",基础资料!$G119)</f>
        <v/>
      </c>
      <c r="B120" s="19">
        <f>IF($A120="","",ROUND(SUMIF(采购单!$C$4:$C$2003,$A120,采购单!$L$4:$L$2003),2))</f>
        <v/>
      </c>
      <c r="C120" s="19">
        <f>IF($A120="","",ROUND(SUMIF(生产安装!$F$4:$F$1203,$A120,生产安装!$J$4:$J$1203),2))</f>
        <v/>
      </c>
      <c r="D120" s="19">
        <f>IF($A120="","",ROUND(SUMIFS(资金日记账!$K$4:$K$2503,资金日记账!$H$4:$H$2503,$A120,资金日记账!$F$4:$F$2503,"成本-*"),2))</f>
        <v/>
      </c>
      <c r="E120" s="19">
        <f>IF($A120="","",ROUND(SUMIFS(资金日记账!$K$4:$K$2503,资金日记账!$H$4:$H$2503,$A120,资金日记账!$F$4:$F$2503,"&lt;&gt;往来-借贷")-SUMIFS(资金日记账!$J$4:$J$2503,资金日记账!$H$4:$H$2503,$A120,资金日记账!$F$4:$F$2503,"&lt;&gt;往来-借贷"),2))</f>
        <v/>
      </c>
      <c r="F120" s="19">
        <f>IF($A120="","",ROUND($B120+$C120+$D120-$E120,2))</f>
        <v/>
      </c>
      <c r="G120" s="19">
        <f>IF($A120="","",ROUND(SUMIFS(资金日记账!$K$4:$K$2503,资金日记账!$H$4:$H$2503,$A120,资金日记账!$F$4:$F$2503,"往来-借贷")-SUMIFS(资金日记账!$J$4:$J$2503,资金日记账!$H$4:$H$2503,$A120,资金日记账!$F$4:$F$2503,"往来-借贷"),2))</f>
        <v/>
      </c>
      <c r="H120" s="23">
        <f>IF($A120="","",IFERROR(LOOKUP(1,0/((资金日记账!$H$4:$H$2503=$A120)*(资金日记账!$K$4:$K$2503&gt;0)),资金日记账!$B$4:$B$2503),""))</f>
        <v/>
      </c>
      <c r="I120" s="22">
        <f>IF($A120="","",COUNTIF(采购单!$C$4:$C$2003,$A120)+COUNTIF(资金日记账!$H$4:$H$2503,$A120))</f>
        <v/>
      </c>
      <c r="J120" s="13" t="n"/>
    </row>
    <row r="121">
      <c r="A121" s="17">
        <f>IF(基础资料!$G120="","",基础资料!$G120)</f>
        <v/>
      </c>
      <c r="B121" s="19">
        <f>IF($A121="","",ROUND(SUMIF(采购单!$C$4:$C$2003,$A121,采购单!$L$4:$L$2003),2))</f>
        <v/>
      </c>
      <c r="C121" s="19">
        <f>IF($A121="","",ROUND(SUMIF(生产安装!$F$4:$F$1203,$A121,生产安装!$J$4:$J$1203),2))</f>
        <v/>
      </c>
      <c r="D121" s="19">
        <f>IF($A121="","",ROUND(SUMIFS(资金日记账!$K$4:$K$2503,资金日记账!$H$4:$H$2503,$A121,资金日记账!$F$4:$F$2503,"成本-*"),2))</f>
        <v/>
      </c>
      <c r="E121" s="19">
        <f>IF($A121="","",ROUND(SUMIFS(资金日记账!$K$4:$K$2503,资金日记账!$H$4:$H$2503,$A121,资金日记账!$F$4:$F$2503,"&lt;&gt;往来-借贷")-SUMIFS(资金日记账!$J$4:$J$2503,资金日记账!$H$4:$H$2503,$A121,资金日记账!$F$4:$F$2503,"&lt;&gt;往来-借贷"),2))</f>
        <v/>
      </c>
      <c r="F121" s="19">
        <f>IF($A121="","",ROUND($B121+$C121+$D121-$E121,2))</f>
        <v/>
      </c>
      <c r="G121" s="19">
        <f>IF($A121="","",ROUND(SUMIFS(资金日记账!$K$4:$K$2503,资金日记账!$H$4:$H$2503,$A121,资金日记账!$F$4:$F$2503,"往来-借贷")-SUMIFS(资金日记账!$J$4:$J$2503,资金日记账!$H$4:$H$2503,$A121,资金日记账!$F$4:$F$2503,"往来-借贷"),2))</f>
        <v/>
      </c>
      <c r="H121" s="23">
        <f>IF($A121="","",IFERROR(LOOKUP(1,0/((资金日记账!$H$4:$H$2503=$A121)*(资金日记账!$K$4:$K$2503&gt;0)),资金日记账!$B$4:$B$2503),""))</f>
        <v/>
      </c>
      <c r="I121" s="22">
        <f>IF($A121="","",COUNTIF(采购单!$C$4:$C$2003,$A121)+COUNTIF(资金日记账!$H$4:$H$2503,$A121))</f>
        <v/>
      </c>
      <c r="J121" s="13" t="n"/>
    </row>
    <row r="122">
      <c r="A122" s="17">
        <f>IF(基础资料!$G121="","",基础资料!$G121)</f>
        <v/>
      </c>
      <c r="B122" s="19">
        <f>IF($A122="","",ROUND(SUMIF(采购单!$C$4:$C$2003,$A122,采购单!$L$4:$L$2003),2))</f>
        <v/>
      </c>
      <c r="C122" s="19">
        <f>IF($A122="","",ROUND(SUMIF(生产安装!$F$4:$F$1203,$A122,生产安装!$J$4:$J$1203),2))</f>
        <v/>
      </c>
      <c r="D122" s="19">
        <f>IF($A122="","",ROUND(SUMIFS(资金日记账!$K$4:$K$2503,资金日记账!$H$4:$H$2503,$A122,资金日记账!$F$4:$F$2503,"成本-*"),2))</f>
        <v/>
      </c>
      <c r="E122" s="19">
        <f>IF($A122="","",ROUND(SUMIFS(资金日记账!$K$4:$K$2503,资金日记账!$H$4:$H$2503,$A122,资金日记账!$F$4:$F$2503,"&lt;&gt;往来-借贷")-SUMIFS(资金日记账!$J$4:$J$2503,资金日记账!$H$4:$H$2503,$A122,资金日记账!$F$4:$F$2503,"&lt;&gt;往来-借贷"),2))</f>
        <v/>
      </c>
      <c r="F122" s="19">
        <f>IF($A122="","",ROUND($B122+$C122+$D122-$E122,2))</f>
        <v/>
      </c>
      <c r="G122" s="19">
        <f>IF($A122="","",ROUND(SUMIFS(资金日记账!$K$4:$K$2503,资金日记账!$H$4:$H$2503,$A122,资金日记账!$F$4:$F$2503,"往来-借贷")-SUMIFS(资金日记账!$J$4:$J$2503,资金日记账!$H$4:$H$2503,$A122,资金日记账!$F$4:$F$2503,"往来-借贷"),2))</f>
        <v/>
      </c>
      <c r="H122" s="23">
        <f>IF($A122="","",IFERROR(LOOKUP(1,0/((资金日记账!$H$4:$H$2503=$A122)*(资金日记账!$K$4:$K$2503&gt;0)),资金日记账!$B$4:$B$2503),""))</f>
        <v/>
      </c>
      <c r="I122" s="22">
        <f>IF($A122="","",COUNTIF(采购单!$C$4:$C$2003,$A122)+COUNTIF(资金日记账!$H$4:$H$2503,$A122))</f>
        <v/>
      </c>
      <c r="J122" s="13" t="n"/>
    </row>
    <row r="123">
      <c r="A123" s="17">
        <f>IF(基础资料!$G122="","",基础资料!$G122)</f>
        <v/>
      </c>
      <c r="B123" s="19">
        <f>IF($A123="","",ROUND(SUMIF(采购单!$C$4:$C$2003,$A123,采购单!$L$4:$L$2003),2))</f>
        <v/>
      </c>
      <c r="C123" s="19">
        <f>IF($A123="","",ROUND(SUMIF(生产安装!$F$4:$F$1203,$A123,生产安装!$J$4:$J$1203),2))</f>
        <v/>
      </c>
      <c r="D123" s="19">
        <f>IF($A123="","",ROUND(SUMIFS(资金日记账!$K$4:$K$2503,资金日记账!$H$4:$H$2503,$A123,资金日记账!$F$4:$F$2503,"成本-*"),2))</f>
        <v/>
      </c>
      <c r="E123" s="19">
        <f>IF($A123="","",ROUND(SUMIFS(资金日记账!$K$4:$K$2503,资金日记账!$H$4:$H$2503,$A123,资金日记账!$F$4:$F$2503,"&lt;&gt;往来-借贷")-SUMIFS(资金日记账!$J$4:$J$2503,资金日记账!$H$4:$H$2503,$A123,资金日记账!$F$4:$F$2503,"&lt;&gt;往来-借贷"),2))</f>
        <v/>
      </c>
      <c r="F123" s="19">
        <f>IF($A123="","",ROUND($B123+$C123+$D123-$E123,2))</f>
        <v/>
      </c>
      <c r="G123" s="19">
        <f>IF($A123="","",ROUND(SUMIFS(资金日记账!$K$4:$K$2503,资金日记账!$H$4:$H$2503,$A123,资金日记账!$F$4:$F$2503,"往来-借贷")-SUMIFS(资金日记账!$J$4:$J$2503,资金日记账!$H$4:$H$2503,$A123,资金日记账!$F$4:$F$2503,"往来-借贷"),2))</f>
        <v/>
      </c>
      <c r="H123" s="23">
        <f>IF($A123="","",IFERROR(LOOKUP(1,0/((资金日记账!$H$4:$H$2503=$A123)*(资金日记账!$K$4:$K$2503&gt;0)),资金日记账!$B$4:$B$2503),""))</f>
        <v/>
      </c>
      <c r="I123" s="22">
        <f>IF($A123="","",COUNTIF(采购单!$C$4:$C$2003,$A123)+COUNTIF(资金日记账!$H$4:$H$2503,$A123))</f>
        <v/>
      </c>
      <c r="J123" s="13" t="n"/>
    </row>
    <row r="124">
      <c r="A124" s="17">
        <f>IF(基础资料!$G123="","",基础资料!$G123)</f>
        <v/>
      </c>
      <c r="B124" s="19">
        <f>IF($A124="","",ROUND(SUMIF(采购单!$C$4:$C$2003,$A124,采购单!$L$4:$L$2003),2))</f>
        <v/>
      </c>
      <c r="C124" s="19">
        <f>IF($A124="","",ROUND(SUMIF(生产安装!$F$4:$F$1203,$A124,生产安装!$J$4:$J$1203),2))</f>
        <v/>
      </c>
      <c r="D124" s="19">
        <f>IF($A124="","",ROUND(SUMIFS(资金日记账!$K$4:$K$2503,资金日记账!$H$4:$H$2503,$A124,资金日记账!$F$4:$F$2503,"成本-*"),2))</f>
        <v/>
      </c>
      <c r="E124" s="19">
        <f>IF($A124="","",ROUND(SUMIFS(资金日记账!$K$4:$K$2503,资金日记账!$H$4:$H$2503,$A124,资金日记账!$F$4:$F$2503,"&lt;&gt;往来-借贷")-SUMIFS(资金日记账!$J$4:$J$2503,资金日记账!$H$4:$H$2503,$A124,资金日记账!$F$4:$F$2503,"&lt;&gt;往来-借贷"),2))</f>
        <v/>
      </c>
      <c r="F124" s="19">
        <f>IF($A124="","",ROUND($B124+$C124+$D124-$E124,2))</f>
        <v/>
      </c>
      <c r="G124" s="19">
        <f>IF($A124="","",ROUND(SUMIFS(资金日记账!$K$4:$K$2503,资金日记账!$H$4:$H$2503,$A124,资金日记账!$F$4:$F$2503,"往来-借贷")-SUMIFS(资金日记账!$J$4:$J$2503,资金日记账!$H$4:$H$2503,$A124,资金日记账!$F$4:$F$2503,"往来-借贷"),2))</f>
        <v/>
      </c>
      <c r="H124" s="23">
        <f>IF($A124="","",IFERROR(LOOKUP(1,0/((资金日记账!$H$4:$H$2503=$A124)*(资金日记账!$K$4:$K$2503&gt;0)),资金日记账!$B$4:$B$2503),""))</f>
        <v/>
      </c>
      <c r="I124" s="22">
        <f>IF($A124="","",COUNTIF(采购单!$C$4:$C$2003,$A124)+COUNTIF(资金日记账!$H$4:$H$2503,$A124))</f>
        <v/>
      </c>
      <c r="J124" s="13" t="n"/>
    </row>
    <row r="125">
      <c r="A125" s="17">
        <f>IF(基础资料!$G124="","",基础资料!$G124)</f>
        <v/>
      </c>
      <c r="B125" s="19">
        <f>IF($A125="","",ROUND(SUMIF(采购单!$C$4:$C$2003,$A125,采购单!$L$4:$L$2003),2))</f>
        <v/>
      </c>
      <c r="C125" s="19">
        <f>IF($A125="","",ROUND(SUMIF(生产安装!$F$4:$F$1203,$A125,生产安装!$J$4:$J$1203),2))</f>
        <v/>
      </c>
      <c r="D125" s="19">
        <f>IF($A125="","",ROUND(SUMIFS(资金日记账!$K$4:$K$2503,资金日记账!$H$4:$H$2503,$A125,资金日记账!$F$4:$F$2503,"成本-*"),2))</f>
        <v/>
      </c>
      <c r="E125" s="19">
        <f>IF($A125="","",ROUND(SUMIFS(资金日记账!$K$4:$K$2503,资金日记账!$H$4:$H$2503,$A125,资金日记账!$F$4:$F$2503,"&lt;&gt;往来-借贷")-SUMIFS(资金日记账!$J$4:$J$2503,资金日记账!$H$4:$H$2503,$A125,资金日记账!$F$4:$F$2503,"&lt;&gt;往来-借贷"),2))</f>
        <v/>
      </c>
      <c r="F125" s="19">
        <f>IF($A125="","",ROUND($B125+$C125+$D125-$E125,2))</f>
        <v/>
      </c>
      <c r="G125" s="19">
        <f>IF($A125="","",ROUND(SUMIFS(资金日记账!$K$4:$K$2503,资金日记账!$H$4:$H$2503,$A125,资金日记账!$F$4:$F$2503,"往来-借贷")-SUMIFS(资金日记账!$J$4:$J$2503,资金日记账!$H$4:$H$2503,$A125,资金日记账!$F$4:$F$2503,"往来-借贷"),2))</f>
        <v/>
      </c>
      <c r="H125" s="23">
        <f>IF($A125="","",IFERROR(LOOKUP(1,0/((资金日记账!$H$4:$H$2503=$A125)*(资金日记账!$K$4:$K$2503&gt;0)),资金日记账!$B$4:$B$2503),""))</f>
        <v/>
      </c>
      <c r="I125" s="22">
        <f>IF($A125="","",COUNTIF(采购单!$C$4:$C$2003,$A125)+COUNTIF(资金日记账!$H$4:$H$2503,$A125))</f>
        <v/>
      </c>
      <c r="J125" s="13" t="n"/>
    </row>
    <row r="126">
      <c r="A126" s="17">
        <f>IF(基础资料!$G125="","",基础资料!$G125)</f>
        <v/>
      </c>
      <c r="B126" s="19">
        <f>IF($A126="","",ROUND(SUMIF(采购单!$C$4:$C$2003,$A126,采购单!$L$4:$L$2003),2))</f>
        <v/>
      </c>
      <c r="C126" s="19">
        <f>IF($A126="","",ROUND(SUMIF(生产安装!$F$4:$F$1203,$A126,生产安装!$J$4:$J$1203),2))</f>
        <v/>
      </c>
      <c r="D126" s="19">
        <f>IF($A126="","",ROUND(SUMIFS(资金日记账!$K$4:$K$2503,资金日记账!$H$4:$H$2503,$A126,资金日记账!$F$4:$F$2503,"成本-*"),2))</f>
        <v/>
      </c>
      <c r="E126" s="19">
        <f>IF($A126="","",ROUND(SUMIFS(资金日记账!$K$4:$K$2503,资金日记账!$H$4:$H$2503,$A126,资金日记账!$F$4:$F$2503,"&lt;&gt;往来-借贷")-SUMIFS(资金日记账!$J$4:$J$2503,资金日记账!$H$4:$H$2503,$A126,资金日记账!$F$4:$F$2503,"&lt;&gt;往来-借贷"),2))</f>
        <v/>
      </c>
      <c r="F126" s="19">
        <f>IF($A126="","",ROUND($B126+$C126+$D126-$E126,2))</f>
        <v/>
      </c>
      <c r="G126" s="19">
        <f>IF($A126="","",ROUND(SUMIFS(资金日记账!$K$4:$K$2503,资金日记账!$H$4:$H$2503,$A126,资金日记账!$F$4:$F$2503,"往来-借贷")-SUMIFS(资金日记账!$J$4:$J$2503,资金日记账!$H$4:$H$2503,$A126,资金日记账!$F$4:$F$2503,"往来-借贷"),2))</f>
        <v/>
      </c>
      <c r="H126" s="23">
        <f>IF($A126="","",IFERROR(LOOKUP(1,0/((资金日记账!$H$4:$H$2503=$A126)*(资金日记账!$K$4:$K$2503&gt;0)),资金日记账!$B$4:$B$2503),""))</f>
        <v/>
      </c>
      <c r="I126" s="22">
        <f>IF($A126="","",COUNTIF(采购单!$C$4:$C$2003,$A126)+COUNTIF(资金日记账!$H$4:$H$2503,$A126))</f>
        <v/>
      </c>
      <c r="J126" s="13" t="n"/>
    </row>
    <row r="127">
      <c r="A127" s="17">
        <f>IF(基础资料!$G126="","",基础资料!$G126)</f>
        <v/>
      </c>
      <c r="B127" s="19">
        <f>IF($A127="","",ROUND(SUMIF(采购单!$C$4:$C$2003,$A127,采购单!$L$4:$L$2003),2))</f>
        <v/>
      </c>
      <c r="C127" s="19">
        <f>IF($A127="","",ROUND(SUMIF(生产安装!$F$4:$F$1203,$A127,生产安装!$J$4:$J$1203),2))</f>
        <v/>
      </c>
      <c r="D127" s="19">
        <f>IF($A127="","",ROUND(SUMIFS(资金日记账!$K$4:$K$2503,资金日记账!$H$4:$H$2503,$A127,资金日记账!$F$4:$F$2503,"成本-*"),2))</f>
        <v/>
      </c>
      <c r="E127" s="19">
        <f>IF($A127="","",ROUND(SUMIFS(资金日记账!$K$4:$K$2503,资金日记账!$H$4:$H$2503,$A127,资金日记账!$F$4:$F$2503,"&lt;&gt;往来-借贷")-SUMIFS(资金日记账!$J$4:$J$2503,资金日记账!$H$4:$H$2503,$A127,资金日记账!$F$4:$F$2503,"&lt;&gt;往来-借贷"),2))</f>
        <v/>
      </c>
      <c r="F127" s="19">
        <f>IF($A127="","",ROUND($B127+$C127+$D127-$E127,2))</f>
        <v/>
      </c>
      <c r="G127" s="19">
        <f>IF($A127="","",ROUND(SUMIFS(资金日记账!$K$4:$K$2503,资金日记账!$H$4:$H$2503,$A127,资金日记账!$F$4:$F$2503,"往来-借贷")-SUMIFS(资金日记账!$J$4:$J$2503,资金日记账!$H$4:$H$2503,$A127,资金日记账!$F$4:$F$2503,"往来-借贷"),2))</f>
        <v/>
      </c>
      <c r="H127" s="23">
        <f>IF($A127="","",IFERROR(LOOKUP(1,0/((资金日记账!$H$4:$H$2503=$A127)*(资金日记账!$K$4:$K$2503&gt;0)),资金日记账!$B$4:$B$2503),""))</f>
        <v/>
      </c>
      <c r="I127" s="22">
        <f>IF($A127="","",COUNTIF(采购单!$C$4:$C$2003,$A127)+COUNTIF(资金日记账!$H$4:$H$2503,$A127))</f>
        <v/>
      </c>
      <c r="J127" s="13" t="n"/>
    </row>
    <row r="128">
      <c r="A128" s="17">
        <f>IF(基础资料!$G127="","",基础资料!$G127)</f>
        <v/>
      </c>
      <c r="B128" s="19">
        <f>IF($A128="","",ROUND(SUMIF(采购单!$C$4:$C$2003,$A128,采购单!$L$4:$L$2003),2))</f>
        <v/>
      </c>
      <c r="C128" s="19">
        <f>IF($A128="","",ROUND(SUMIF(生产安装!$F$4:$F$1203,$A128,生产安装!$J$4:$J$1203),2))</f>
        <v/>
      </c>
      <c r="D128" s="19">
        <f>IF($A128="","",ROUND(SUMIFS(资金日记账!$K$4:$K$2503,资金日记账!$H$4:$H$2503,$A128,资金日记账!$F$4:$F$2503,"成本-*"),2))</f>
        <v/>
      </c>
      <c r="E128" s="19">
        <f>IF($A128="","",ROUND(SUMIFS(资金日记账!$K$4:$K$2503,资金日记账!$H$4:$H$2503,$A128,资金日记账!$F$4:$F$2503,"&lt;&gt;往来-借贷")-SUMIFS(资金日记账!$J$4:$J$2503,资金日记账!$H$4:$H$2503,$A128,资金日记账!$F$4:$F$2503,"&lt;&gt;往来-借贷"),2))</f>
        <v/>
      </c>
      <c r="F128" s="19">
        <f>IF($A128="","",ROUND($B128+$C128+$D128-$E128,2))</f>
        <v/>
      </c>
      <c r="G128" s="19">
        <f>IF($A128="","",ROUND(SUMIFS(资金日记账!$K$4:$K$2503,资金日记账!$H$4:$H$2503,$A128,资金日记账!$F$4:$F$2503,"往来-借贷")-SUMIFS(资金日记账!$J$4:$J$2503,资金日记账!$H$4:$H$2503,$A128,资金日记账!$F$4:$F$2503,"往来-借贷"),2))</f>
        <v/>
      </c>
      <c r="H128" s="23">
        <f>IF($A128="","",IFERROR(LOOKUP(1,0/((资金日记账!$H$4:$H$2503=$A128)*(资金日记账!$K$4:$K$2503&gt;0)),资金日记账!$B$4:$B$2503),""))</f>
        <v/>
      </c>
      <c r="I128" s="22">
        <f>IF($A128="","",COUNTIF(采购单!$C$4:$C$2003,$A128)+COUNTIF(资金日记账!$H$4:$H$2503,$A128))</f>
        <v/>
      </c>
      <c r="J128" s="13" t="n"/>
    </row>
    <row r="129">
      <c r="A129" s="17">
        <f>IF(基础资料!$G128="","",基础资料!$G128)</f>
        <v/>
      </c>
      <c r="B129" s="19">
        <f>IF($A129="","",ROUND(SUMIF(采购单!$C$4:$C$2003,$A129,采购单!$L$4:$L$2003),2))</f>
        <v/>
      </c>
      <c r="C129" s="19">
        <f>IF($A129="","",ROUND(SUMIF(生产安装!$F$4:$F$1203,$A129,生产安装!$J$4:$J$1203),2))</f>
        <v/>
      </c>
      <c r="D129" s="19">
        <f>IF($A129="","",ROUND(SUMIFS(资金日记账!$K$4:$K$2503,资金日记账!$H$4:$H$2503,$A129,资金日记账!$F$4:$F$2503,"成本-*"),2))</f>
        <v/>
      </c>
      <c r="E129" s="19">
        <f>IF($A129="","",ROUND(SUMIFS(资金日记账!$K$4:$K$2503,资金日记账!$H$4:$H$2503,$A129,资金日记账!$F$4:$F$2503,"&lt;&gt;往来-借贷")-SUMIFS(资金日记账!$J$4:$J$2503,资金日记账!$H$4:$H$2503,$A129,资金日记账!$F$4:$F$2503,"&lt;&gt;往来-借贷"),2))</f>
        <v/>
      </c>
      <c r="F129" s="19">
        <f>IF($A129="","",ROUND($B129+$C129+$D129-$E129,2))</f>
        <v/>
      </c>
      <c r="G129" s="19">
        <f>IF($A129="","",ROUND(SUMIFS(资金日记账!$K$4:$K$2503,资金日记账!$H$4:$H$2503,$A129,资金日记账!$F$4:$F$2503,"往来-借贷")-SUMIFS(资金日记账!$J$4:$J$2503,资金日记账!$H$4:$H$2503,$A129,资金日记账!$F$4:$F$2503,"往来-借贷"),2))</f>
        <v/>
      </c>
      <c r="H129" s="23">
        <f>IF($A129="","",IFERROR(LOOKUP(1,0/((资金日记账!$H$4:$H$2503=$A129)*(资金日记账!$K$4:$K$2503&gt;0)),资金日记账!$B$4:$B$2503),""))</f>
        <v/>
      </c>
      <c r="I129" s="22">
        <f>IF($A129="","",COUNTIF(采购单!$C$4:$C$2003,$A129)+COUNTIF(资金日记账!$H$4:$H$2503,$A129))</f>
        <v/>
      </c>
      <c r="J129" s="13" t="n"/>
    </row>
    <row r="130">
      <c r="A130" s="17">
        <f>IF(基础资料!$G129="","",基础资料!$G129)</f>
        <v/>
      </c>
      <c r="B130" s="19">
        <f>IF($A130="","",ROUND(SUMIF(采购单!$C$4:$C$2003,$A130,采购单!$L$4:$L$2003),2))</f>
        <v/>
      </c>
      <c r="C130" s="19">
        <f>IF($A130="","",ROUND(SUMIF(生产安装!$F$4:$F$1203,$A130,生产安装!$J$4:$J$1203),2))</f>
        <v/>
      </c>
      <c r="D130" s="19">
        <f>IF($A130="","",ROUND(SUMIFS(资金日记账!$K$4:$K$2503,资金日记账!$H$4:$H$2503,$A130,资金日记账!$F$4:$F$2503,"成本-*"),2))</f>
        <v/>
      </c>
      <c r="E130" s="19">
        <f>IF($A130="","",ROUND(SUMIFS(资金日记账!$K$4:$K$2503,资金日记账!$H$4:$H$2503,$A130,资金日记账!$F$4:$F$2503,"&lt;&gt;往来-借贷")-SUMIFS(资金日记账!$J$4:$J$2503,资金日记账!$H$4:$H$2503,$A130,资金日记账!$F$4:$F$2503,"&lt;&gt;往来-借贷"),2))</f>
        <v/>
      </c>
      <c r="F130" s="19">
        <f>IF($A130="","",ROUND($B130+$C130+$D130-$E130,2))</f>
        <v/>
      </c>
      <c r="G130" s="19">
        <f>IF($A130="","",ROUND(SUMIFS(资金日记账!$K$4:$K$2503,资金日记账!$H$4:$H$2503,$A130,资金日记账!$F$4:$F$2503,"往来-借贷")-SUMIFS(资金日记账!$J$4:$J$2503,资金日记账!$H$4:$H$2503,$A130,资金日记账!$F$4:$F$2503,"往来-借贷"),2))</f>
        <v/>
      </c>
      <c r="H130" s="23">
        <f>IF($A130="","",IFERROR(LOOKUP(1,0/((资金日记账!$H$4:$H$2503=$A130)*(资金日记账!$K$4:$K$2503&gt;0)),资金日记账!$B$4:$B$2503),""))</f>
        <v/>
      </c>
      <c r="I130" s="22">
        <f>IF($A130="","",COUNTIF(采购单!$C$4:$C$2003,$A130)+COUNTIF(资金日记账!$H$4:$H$2503,$A130))</f>
        <v/>
      </c>
      <c r="J130" s="13" t="n"/>
    </row>
    <row r="131">
      <c r="A131" s="17">
        <f>IF(基础资料!$G130="","",基础资料!$G130)</f>
        <v/>
      </c>
      <c r="B131" s="19">
        <f>IF($A131="","",ROUND(SUMIF(采购单!$C$4:$C$2003,$A131,采购单!$L$4:$L$2003),2))</f>
        <v/>
      </c>
      <c r="C131" s="19">
        <f>IF($A131="","",ROUND(SUMIF(生产安装!$F$4:$F$1203,$A131,生产安装!$J$4:$J$1203),2))</f>
        <v/>
      </c>
      <c r="D131" s="19">
        <f>IF($A131="","",ROUND(SUMIFS(资金日记账!$K$4:$K$2503,资金日记账!$H$4:$H$2503,$A131,资金日记账!$F$4:$F$2503,"成本-*"),2))</f>
        <v/>
      </c>
      <c r="E131" s="19">
        <f>IF($A131="","",ROUND(SUMIFS(资金日记账!$K$4:$K$2503,资金日记账!$H$4:$H$2503,$A131,资金日记账!$F$4:$F$2503,"&lt;&gt;往来-借贷")-SUMIFS(资金日记账!$J$4:$J$2503,资金日记账!$H$4:$H$2503,$A131,资金日记账!$F$4:$F$2503,"&lt;&gt;往来-借贷"),2))</f>
        <v/>
      </c>
      <c r="F131" s="19">
        <f>IF($A131="","",ROUND($B131+$C131+$D131-$E131,2))</f>
        <v/>
      </c>
      <c r="G131" s="19">
        <f>IF($A131="","",ROUND(SUMIFS(资金日记账!$K$4:$K$2503,资金日记账!$H$4:$H$2503,$A131,资金日记账!$F$4:$F$2503,"往来-借贷")-SUMIFS(资金日记账!$J$4:$J$2503,资金日记账!$H$4:$H$2503,$A131,资金日记账!$F$4:$F$2503,"往来-借贷"),2))</f>
        <v/>
      </c>
      <c r="H131" s="23">
        <f>IF($A131="","",IFERROR(LOOKUP(1,0/((资金日记账!$H$4:$H$2503=$A131)*(资金日记账!$K$4:$K$2503&gt;0)),资金日记账!$B$4:$B$2503),""))</f>
        <v/>
      </c>
      <c r="I131" s="22">
        <f>IF($A131="","",COUNTIF(采购单!$C$4:$C$2003,$A131)+COUNTIF(资金日记账!$H$4:$H$2503,$A131))</f>
        <v/>
      </c>
      <c r="J131" s="13" t="n"/>
    </row>
    <row r="132">
      <c r="A132" s="17">
        <f>IF(基础资料!$G131="","",基础资料!$G131)</f>
        <v/>
      </c>
      <c r="B132" s="19">
        <f>IF($A132="","",ROUND(SUMIF(采购单!$C$4:$C$2003,$A132,采购单!$L$4:$L$2003),2))</f>
        <v/>
      </c>
      <c r="C132" s="19">
        <f>IF($A132="","",ROUND(SUMIF(生产安装!$F$4:$F$1203,$A132,生产安装!$J$4:$J$1203),2))</f>
        <v/>
      </c>
      <c r="D132" s="19">
        <f>IF($A132="","",ROUND(SUMIFS(资金日记账!$K$4:$K$2503,资金日记账!$H$4:$H$2503,$A132,资金日记账!$F$4:$F$2503,"成本-*"),2))</f>
        <v/>
      </c>
      <c r="E132" s="19">
        <f>IF($A132="","",ROUND(SUMIFS(资金日记账!$K$4:$K$2503,资金日记账!$H$4:$H$2503,$A132,资金日记账!$F$4:$F$2503,"&lt;&gt;往来-借贷")-SUMIFS(资金日记账!$J$4:$J$2503,资金日记账!$H$4:$H$2503,$A132,资金日记账!$F$4:$F$2503,"&lt;&gt;往来-借贷"),2))</f>
        <v/>
      </c>
      <c r="F132" s="19">
        <f>IF($A132="","",ROUND($B132+$C132+$D132-$E132,2))</f>
        <v/>
      </c>
      <c r="G132" s="19">
        <f>IF($A132="","",ROUND(SUMIFS(资金日记账!$K$4:$K$2503,资金日记账!$H$4:$H$2503,$A132,资金日记账!$F$4:$F$2503,"往来-借贷")-SUMIFS(资金日记账!$J$4:$J$2503,资金日记账!$H$4:$H$2503,$A132,资金日记账!$F$4:$F$2503,"往来-借贷"),2))</f>
        <v/>
      </c>
      <c r="H132" s="23">
        <f>IF($A132="","",IFERROR(LOOKUP(1,0/((资金日记账!$H$4:$H$2503=$A132)*(资金日记账!$K$4:$K$2503&gt;0)),资金日记账!$B$4:$B$2503),""))</f>
        <v/>
      </c>
      <c r="I132" s="22">
        <f>IF($A132="","",COUNTIF(采购单!$C$4:$C$2003,$A132)+COUNTIF(资金日记账!$H$4:$H$2503,$A132))</f>
        <v/>
      </c>
      <c r="J132" s="13" t="n"/>
    </row>
    <row r="133">
      <c r="A133" s="17">
        <f>IF(基础资料!$G132="","",基础资料!$G132)</f>
        <v/>
      </c>
      <c r="B133" s="19">
        <f>IF($A133="","",ROUND(SUMIF(采购单!$C$4:$C$2003,$A133,采购单!$L$4:$L$2003),2))</f>
        <v/>
      </c>
      <c r="C133" s="19">
        <f>IF($A133="","",ROUND(SUMIF(生产安装!$F$4:$F$1203,$A133,生产安装!$J$4:$J$1203),2))</f>
        <v/>
      </c>
      <c r="D133" s="19">
        <f>IF($A133="","",ROUND(SUMIFS(资金日记账!$K$4:$K$2503,资金日记账!$H$4:$H$2503,$A133,资金日记账!$F$4:$F$2503,"成本-*"),2))</f>
        <v/>
      </c>
      <c r="E133" s="19">
        <f>IF($A133="","",ROUND(SUMIFS(资金日记账!$K$4:$K$2503,资金日记账!$H$4:$H$2503,$A133,资金日记账!$F$4:$F$2503,"&lt;&gt;往来-借贷")-SUMIFS(资金日记账!$J$4:$J$2503,资金日记账!$H$4:$H$2503,$A133,资金日记账!$F$4:$F$2503,"&lt;&gt;往来-借贷"),2))</f>
        <v/>
      </c>
      <c r="F133" s="19">
        <f>IF($A133="","",ROUND($B133+$C133+$D133-$E133,2))</f>
        <v/>
      </c>
      <c r="G133" s="19">
        <f>IF($A133="","",ROUND(SUMIFS(资金日记账!$K$4:$K$2503,资金日记账!$H$4:$H$2503,$A133,资金日记账!$F$4:$F$2503,"往来-借贷")-SUMIFS(资金日记账!$J$4:$J$2503,资金日记账!$H$4:$H$2503,$A133,资金日记账!$F$4:$F$2503,"往来-借贷"),2))</f>
        <v/>
      </c>
      <c r="H133" s="23">
        <f>IF($A133="","",IFERROR(LOOKUP(1,0/((资金日记账!$H$4:$H$2503=$A133)*(资金日记账!$K$4:$K$2503&gt;0)),资金日记账!$B$4:$B$2503),""))</f>
        <v/>
      </c>
      <c r="I133" s="22">
        <f>IF($A133="","",COUNTIF(采购单!$C$4:$C$2003,$A133)+COUNTIF(资金日记账!$H$4:$H$2503,$A133))</f>
        <v/>
      </c>
      <c r="J133" s="13" t="n"/>
    </row>
    <row r="134">
      <c r="A134" s="17">
        <f>IF(基础资料!$G133="","",基础资料!$G133)</f>
        <v/>
      </c>
      <c r="B134" s="19">
        <f>IF($A134="","",ROUND(SUMIF(采购单!$C$4:$C$2003,$A134,采购单!$L$4:$L$2003),2))</f>
        <v/>
      </c>
      <c r="C134" s="19">
        <f>IF($A134="","",ROUND(SUMIF(生产安装!$F$4:$F$1203,$A134,生产安装!$J$4:$J$1203),2))</f>
        <v/>
      </c>
      <c r="D134" s="19">
        <f>IF($A134="","",ROUND(SUMIFS(资金日记账!$K$4:$K$2503,资金日记账!$H$4:$H$2503,$A134,资金日记账!$F$4:$F$2503,"成本-*"),2))</f>
        <v/>
      </c>
      <c r="E134" s="19">
        <f>IF($A134="","",ROUND(SUMIFS(资金日记账!$K$4:$K$2503,资金日记账!$H$4:$H$2503,$A134,资金日记账!$F$4:$F$2503,"&lt;&gt;往来-借贷")-SUMIFS(资金日记账!$J$4:$J$2503,资金日记账!$H$4:$H$2503,$A134,资金日记账!$F$4:$F$2503,"&lt;&gt;往来-借贷"),2))</f>
        <v/>
      </c>
      <c r="F134" s="19">
        <f>IF($A134="","",ROUND($B134+$C134+$D134-$E134,2))</f>
        <v/>
      </c>
      <c r="G134" s="19">
        <f>IF($A134="","",ROUND(SUMIFS(资金日记账!$K$4:$K$2503,资金日记账!$H$4:$H$2503,$A134,资金日记账!$F$4:$F$2503,"往来-借贷")-SUMIFS(资金日记账!$J$4:$J$2503,资金日记账!$H$4:$H$2503,$A134,资金日记账!$F$4:$F$2503,"往来-借贷"),2))</f>
        <v/>
      </c>
      <c r="H134" s="23">
        <f>IF($A134="","",IFERROR(LOOKUP(1,0/((资金日记账!$H$4:$H$2503=$A134)*(资金日记账!$K$4:$K$2503&gt;0)),资金日记账!$B$4:$B$2503),""))</f>
        <v/>
      </c>
      <c r="I134" s="22">
        <f>IF($A134="","",COUNTIF(采购单!$C$4:$C$2003,$A134)+COUNTIF(资金日记账!$H$4:$H$2503,$A134))</f>
        <v/>
      </c>
      <c r="J134" s="13" t="n"/>
    </row>
    <row r="135">
      <c r="A135" s="17">
        <f>IF(基础资料!$G134="","",基础资料!$G134)</f>
        <v/>
      </c>
      <c r="B135" s="19">
        <f>IF($A135="","",ROUND(SUMIF(采购单!$C$4:$C$2003,$A135,采购单!$L$4:$L$2003),2))</f>
        <v/>
      </c>
      <c r="C135" s="19">
        <f>IF($A135="","",ROUND(SUMIF(生产安装!$F$4:$F$1203,$A135,生产安装!$J$4:$J$1203),2))</f>
        <v/>
      </c>
      <c r="D135" s="19">
        <f>IF($A135="","",ROUND(SUMIFS(资金日记账!$K$4:$K$2503,资金日记账!$H$4:$H$2503,$A135,资金日记账!$F$4:$F$2503,"成本-*"),2))</f>
        <v/>
      </c>
      <c r="E135" s="19">
        <f>IF($A135="","",ROUND(SUMIFS(资金日记账!$K$4:$K$2503,资金日记账!$H$4:$H$2503,$A135,资金日记账!$F$4:$F$2503,"&lt;&gt;往来-借贷")-SUMIFS(资金日记账!$J$4:$J$2503,资金日记账!$H$4:$H$2503,$A135,资金日记账!$F$4:$F$2503,"&lt;&gt;往来-借贷"),2))</f>
        <v/>
      </c>
      <c r="F135" s="19">
        <f>IF($A135="","",ROUND($B135+$C135+$D135-$E135,2))</f>
        <v/>
      </c>
      <c r="G135" s="19">
        <f>IF($A135="","",ROUND(SUMIFS(资金日记账!$K$4:$K$2503,资金日记账!$H$4:$H$2503,$A135,资金日记账!$F$4:$F$2503,"往来-借贷")-SUMIFS(资金日记账!$J$4:$J$2503,资金日记账!$H$4:$H$2503,$A135,资金日记账!$F$4:$F$2503,"往来-借贷"),2))</f>
        <v/>
      </c>
      <c r="H135" s="23">
        <f>IF($A135="","",IFERROR(LOOKUP(1,0/((资金日记账!$H$4:$H$2503=$A135)*(资金日记账!$K$4:$K$2503&gt;0)),资金日记账!$B$4:$B$2503),""))</f>
        <v/>
      </c>
      <c r="I135" s="22">
        <f>IF($A135="","",COUNTIF(采购单!$C$4:$C$2003,$A135)+COUNTIF(资金日记账!$H$4:$H$2503,$A135))</f>
        <v/>
      </c>
      <c r="J135" s="13" t="n"/>
    </row>
    <row r="136">
      <c r="A136" s="17">
        <f>IF(基础资料!$G135="","",基础资料!$G135)</f>
        <v/>
      </c>
      <c r="B136" s="19">
        <f>IF($A136="","",ROUND(SUMIF(采购单!$C$4:$C$2003,$A136,采购单!$L$4:$L$2003),2))</f>
        <v/>
      </c>
      <c r="C136" s="19">
        <f>IF($A136="","",ROUND(SUMIF(生产安装!$F$4:$F$1203,$A136,生产安装!$J$4:$J$1203),2))</f>
        <v/>
      </c>
      <c r="D136" s="19">
        <f>IF($A136="","",ROUND(SUMIFS(资金日记账!$K$4:$K$2503,资金日记账!$H$4:$H$2503,$A136,资金日记账!$F$4:$F$2503,"成本-*"),2))</f>
        <v/>
      </c>
      <c r="E136" s="19">
        <f>IF($A136="","",ROUND(SUMIFS(资金日记账!$K$4:$K$2503,资金日记账!$H$4:$H$2503,$A136,资金日记账!$F$4:$F$2503,"&lt;&gt;往来-借贷")-SUMIFS(资金日记账!$J$4:$J$2503,资金日记账!$H$4:$H$2503,$A136,资金日记账!$F$4:$F$2503,"&lt;&gt;往来-借贷"),2))</f>
        <v/>
      </c>
      <c r="F136" s="19">
        <f>IF($A136="","",ROUND($B136+$C136+$D136-$E136,2))</f>
        <v/>
      </c>
      <c r="G136" s="19">
        <f>IF($A136="","",ROUND(SUMIFS(资金日记账!$K$4:$K$2503,资金日记账!$H$4:$H$2503,$A136,资金日记账!$F$4:$F$2503,"往来-借贷")-SUMIFS(资金日记账!$J$4:$J$2503,资金日记账!$H$4:$H$2503,$A136,资金日记账!$F$4:$F$2503,"往来-借贷"),2))</f>
        <v/>
      </c>
      <c r="H136" s="23">
        <f>IF($A136="","",IFERROR(LOOKUP(1,0/((资金日记账!$H$4:$H$2503=$A136)*(资金日记账!$K$4:$K$2503&gt;0)),资金日记账!$B$4:$B$2503),""))</f>
        <v/>
      </c>
      <c r="I136" s="22">
        <f>IF($A136="","",COUNTIF(采购单!$C$4:$C$2003,$A136)+COUNTIF(资金日记账!$H$4:$H$2503,$A136))</f>
        <v/>
      </c>
      <c r="J136" s="13" t="n"/>
    </row>
    <row r="137">
      <c r="A137" s="17">
        <f>IF(基础资料!$G136="","",基础资料!$G136)</f>
        <v/>
      </c>
      <c r="B137" s="19">
        <f>IF($A137="","",ROUND(SUMIF(采购单!$C$4:$C$2003,$A137,采购单!$L$4:$L$2003),2))</f>
        <v/>
      </c>
      <c r="C137" s="19">
        <f>IF($A137="","",ROUND(SUMIF(生产安装!$F$4:$F$1203,$A137,生产安装!$J$4:$J$1203),2))</f>
        <v/>
      </c>
      <c r="D137" s="19">
        <f>IF($A137="","",ROUND(SUMIFS(资金日记账!$K$4:$K$2503,资金日记账!$H$4:$H$2503,$A137,资金日记账!$F$4:$F$2503,"成本-*"),2))</f>
        <v/>
      </c>
      <c r="E137" s="19">
        <f>IF($A137="","",ROUND(SUMIFS(资金日记账!$K$4:$K$2503,资金日记账!$H$4:$H$2503,$A137,资金日记账!$F$4:$F$2503,"&lt;&gt;往来-借贷")-SUMIFS(资金日记账!$J$4:$J$2503,资金日记账!$H$4:$H$2503,$A137,资金日记账!$F$4:$F$2503,"&lt;&gt;往来-借贷"),2))</f>
        <v/>
      </c>
      <c r="F137" s="19">
        <f>IF($A137="","",ROUND($B137+$C137+$D137-$E137,2))</f>
        <v/>
      </c>
      <c r="G137" s="19">
        <f>IF($A137="","",ROUND(SUMIFS(资金日记账!$K$4:$K$2503,资金日记账!$H$4:$H$2503,$A137,资金日记账!$F$4:$F$2503,"往来-借贷")-SUMIFS(资金日记账!$J$4:$J$2503,资金日记账!$H$4:$H$2503,$A137,资金日记账!$F$4:$F$2503,"往来-借贷"),2))</f>
        <v/>
      </c>
      <c r="H137" s="23">
        <f>IF($A137="","",IFERROR(LOOKUP(1,0/((资金日记账!$H$4:$H$2503=$A137)*(资金日记账!$K$4:$K$2503&gt;0)),资金日记账!$B$4:$B$2503),""))</f>
        <v/>
      </c>
      <c r="I137" s="22">
        <f>IF($A137="","",COUNTIF(采购单!$C$4:$C$2003,$A137)+COUNTIF(资金日记账!$H$4:$H$2503,$A137))</f>
        <v/>
      </c>
      <c r="J137" s="13" t="n"/>
    </row>
    <row r="138">
      <c r="A138" s="17">
        <f>IF(基础资料!$G137="","",基础资料!$G137)</f>
        <v/>
      </c>
      <c r="B138" s="19">
        <f>IF($A138="","",ROUND(SUMIF(采购单!$C$4:$C$2003,$A138,采购单!$L$4:$L$2003),2))</f>
        <v/>
      </c>
      <c r="C138" s="19">
        <f>IF($A138="","",ROUND(SUMIF(生产安装!$F$4:$F$1203,$A138,生产安装!$J$4:$J$1203),2))</f>
        <v/>
      </c>
      <c r="D138" s="19">
        <f>IF($A138="","",ROUND(SUMIFS(资金日记账!$K$4:$K$2503,资金日记账!$H$4:$H$2503,$A138,资金日记账!$F$4:$F$2503,"成本-*"),2))</f>
        <v/>
      </c>
      <c r="E138" s="19">
        <f>IF($A138="","",ROUND(SUMIFS(资金日记账!$K$4:$K$2503,资金日记账!$H$4:$H$2503,$A138,资金日记账!$F$4:$F$2503,"&lt;&gt;往来-借贷")-SUMIFS(资金日记账!$J$4:$J$2503,资金日记账!$H$4:$H$2503,$A138,资金日记账!$F$4:$F$2503,"&lt;&gt;往来-借贷"),2))</f>
        <v/>
      </c>
      <c r="F138" s="19">
        <f>IF($A138="","",ROUND($B138+$C138+$D138-$E138,2))</f>
        <v/>
      </c>
      <c r="G138" s="19">
        <f>IF($A138="","",ROUND(SUMIFS(资金日记账!$K$4:$K$2503,资金日记账!$H$4:$H$2503,$A138,资金日记账!$F$4:$F$2503,"往来-借贷")-SUMIFS(资金日记账!$J$4:$J$2503,资金日记账!$H$4:$H$2503,$A138,资金日记账!$F$4:$F$2503,"往来-借贷"),2))</f>
        <v/>
      </c>
      <c r="H138" s="23">
        <f>IF($A138="","",IFERROR(LOOKUP(1,0/((资金日记账!$H$4:$H$2503=$A138)*(资金日记账!$K$4:$K$2503&gt;0)),资金日记账!$B$4:$B$2503),""))</f>
        <v/>
      </c>
      <c r="I138" s="22">
        <f>IF($A138="","",COUNTIF(采购单!$C$4:$C$2003,$A138)+COUNTIF(资金日记账!$H$4:$H$2503,$A138))</f>
        <v/>
      </c>
      <c r="J138" s="13" t="n"/>
    </row>
    <row r="139">
      <c r="A139" s="17">
        <f>IF(基础资料!$G138="","",基础资料!$G138)</f>
        <v/>
      </c>
      <c r="B139" s="19">
        <f>IF($A139="","",ROUND(SUMIF(采购单!$C$4:$C$2003,$A139,采购单!$L$4:$L$2003),2))</f>
        <v/>
      </c>
      <c r="C139" s="19">
        <f>IF($A139="","",ROUND(SUMIF(生产安装!$F$4:$F$1203,$A139,生产安装!$J$4:$J$1203),2))</f>
        <v/>
      </c>
      <c r="D139" s="19">
        <f>IF($A139="","",ROUND(SUMIFS(资金日记账!$K$4:$K$2503,资金日记账!$H$4:$H$2503,$A139,资金日记账!$F$4:$F$2503,"成本-*"),2))</f>
        <v/>
      </c>
      <c r="E139" s="19">
        <f>IF($A139="","",ROUND(SUMIFS(资金日记账!$K$4:$K$2503,资金日记账!$H$4:$H$2503,$A139,资金日记账!$F$4:$F$2503,"&lt;&gt;往来-借贷")-SUMIFS(资金日记账!$J$4:$J$2503,资金日记账!$H$4:$H$2503,$A139,资金日记账!$F$4:$F$2503,"&lt;&gt;往来-借贷"),2))</f>
        <v/>
      </c>
      <c r="F139" s="19">
        <f>IF($A139="","",ROUND($B139+$C139+$D139-$E139,2))</f>
        <v/>
      </c>
      <c r="G139" s="19">
        <f>IF($A139="","",ROUND(SUMIFS(资金日记账!$K$4:$K$2503,资金日记账!$H$4:$H$2503,$A139,资金日记账!$F$4:$F$2503,"往来-借贷")-SUMIFS(资金日记账!$J$4:$J$2503,资金日记账!$H$4:$H$2503,$A139,资金日记账!$F$4:$F$2503,"往来-借贷"),2))</f>
        <v/>
      </c>
      <c r="H139" s="23">
        <f>IF($A139="","",IFERROR(LOOKUP(1,0/((资金日记账!$H$4:$H$2503=$A139)*(资金日记账!$K$4:$K$2503&gt;0)),资金日记账!$B$4:$B$2503),""))</f>
        <v/>
      </c>
      <c r="I139" s="22">
        <f>IF($A139="","",COUNTIF(采购单!$C$4:$C$2003,$A139)+COUNTIF(资金日记账!$H$4:$H$2503,$A139))</f>
        <v/>
      </c>
      <c r="J139" s="13" t="n"/>
    </row>
    <row r="140">
      <c r="A140" s="17">
        <f>IF(基础资料!$G139="","",基础资料!$G139)</f>
        <v/>
      </c>
      <c r="B140" s="19">
        <f>IF($A140="","",ROUND(SUMIF(采购单!$C$4:$C$2003,$A140,采购单!$L$4:$L$2003),2))</f>
        <v/>
      </c>
      <c r="C140" s="19">
        <f>IF($A140="","",ROUND(SUMIF(生产安装!$F$4:$F$1203,$A140,生产安装!$J$4:$J$1203),2))</f>
        <v/>
      </c>
      <c r="D140" s="19">
        <f>IF($A140="","",ROUND(SUMIFS(资金日记账!$K$4:$K$2503,资金日记账!$H$4:$H$2503,$A140,资金日记账!$F$4:$F$2503,"成本-*"),2))</f>
        <v/>
      </c>
      <c r="E140" s="19">
        <f>IF($A140="","",ROUND(SUMIFS(资金日记账!$K$4:$K$2503,资金日记账!$H$4:$H$2503,$A140,资金日记账!$F$4:$F$2503,"&lt;&gt;往来-借贷")-SUMIFS(资金日记账!$J$4:$J$2503,资金日记账!$H$4:$H$2503,$A140,资金日记账!$F$4:$F$2503,"&lt;&gt;往来-借贷"),2))</f>
        <v/>
      </c>
      <c r="F140" s="19">
        <f>IF($A140="","",ROUND($B140+$C140+$D140-$E140,2))</f>
        <v/>
      </c>
      <c r="G140" s="19">
        <f>IF($A140="","",ROUND(SUMIFS(资金日记账!$K$4:$K$2503,资金日记账!$H$4:$H$2503,$A140,资金日记账!$F$4:$F$2503,"往来-借贷")-SUMIFS(资金日记账!$J$4:$J$2503,资金日记账!$H$4:$H$2503,$A140,资金日记账!$F$4:$F$2503,"往来-借贷"),2))</f>
        <v/>
      </c>
      <c r="H140" s="23">
        <f>IF($A140="","",IFERROR(LOOKUP(1,0/((资金日记账!$H$4:$H$2503=$A140)*(资金日记账!$K$4:$K$2503&gt;0)),资金日记账!$B$4:$B$2503),""))</f>
        <v/>
      </c>
      <c r="I140" s="22">
        <f>IF($A140="","",COUNTIF(采购单!$C$4:$C$2003,$A140)+COUNTIF(资金日记账!$H$4:$H$2503,$A140))</f>
        <v/>
      </c>
      <c r="J140" s="13" t="n"/>
    </row>
    <row r="141">
      <c r="A141" s="17">
        <f>IF(基础资料!$G140="","",基础资料!$G140)</f>
        <v/>
      </c>
      <c r="B141" s="19">
        <f>IF($A141="","",ROUND(SUMIF(采购单!$C$4:$C$2003,$A141,采购单!$L$4:$L$2003),2))</f>
        <v/>
      </c>
      <c r="C141" s="19">
        <f>IF($A141="","",ROUND(SUMIF(生产安装!$F$4:$F$1203,$A141,生产安装!$J$4:$J$1203),2))</f>
        <v/>
      </c>
      <c r="D141" s="19">
        <f>IF($A141="","",ROUND(SUMIFS(资金日记账!$K$4:$K$2503,资金日记账!$H$4:$H$2503,$A141,资金日记账!$F$4:$F$2503,"成本-*"),2))</f>
        <v/>
      </c>
      <c r="E141" s="19">
        <f>IF($A141="","",ROUND(SUMIFS(资金日记账!$K$4:$K$2503,资金日记账!$H$4:$H$2503,$A141,资金日记账!$F$4:$F$2503,"&lt;&gt;往来-借贷")-SUMIFS(资金日记账!$J$4:$J$2503,资金日记账!$H$4:$H$2503,$A141,资金日记账!$F$4:$F$2503,"&lt;&gt;往来-借贷"),2))</f>
        <v/>
      </c>
      <c r="F141" s="19">
        <f>IF($A141="","",ROUND($B141+$C141+$D141-$E141,2))</f>
        <v/>
      </c>
      <c r="G141" s="19">
        <f>IF($A141="","",ROUND(SUMIFS(资金日记账!$K$4:$K$2503,资金日记账!$H$4:$H$2503,$A141,资金日记账!$F$4:$F$2503,"往来-借贷")-SUMIFS(资金日记账!$J$4:$J$2503,资金日记账!$H$4:$H$2503,$A141,资金日记账!$F$4:$F$2503,"往来-借贷"),2))</f>
        <v/>
      </c>
      <c r="H141" s="23">
        <f>IF($A141="","",IFERROR(LOOKUP(1,0/((资金日记账!$H$4:$H$2503=$A141)*(资金日记账!$K$4:$K$2503&gt;0)),资金日记账!$B$4:$B$2503),""))</f>
        <v/>
      </c>
      <c r="I141" s="22">
        <f>IF($A141="","",COUNTIF(采购单!$C$4:$C$2003,$A141)+COUNTIF(资金日记账!$H$4:$H$2503,$A141))</f>
        <v/>
      </c>
      <c r="J141" s="13" t="n"/>
    </row>
    <row r="142">
      <c r="A142" s="17">
        <f>IF(基础资料!$G141="","",基础资料!$G141)</f>
        <v/>
      </c>
      <c r="B142" s="19">
        <f>IF($A142="","",ROUND(SUMIF(采购单!$C$4:$C$2003,$A142,采购单!$L$4:$L$2003),2))</f>
        <v/>
      </c>
      <c r="C142" s="19">
        <f>IF($A142="","",ROUND(SUMIF(生产安装!$F$4:$F$1203,$A142,生产安装!$J$4:$J$1203),2))</f>
        <v/>
      </c>
      <c r="D142" s="19">
        <f>IF($A142="","",ROUND(SUMIFS(资金日记账!$K$4:$K$2503,资金日记账!$H$4:$H$2503,$A142,资金日记账!$F$4:$F$2503,"成本-*"),2))</f>
        <v/>
      </c>
      <c r="E142" s="19">
        <f>IF($A142="","",ROUND(SUMIFS(资金日记账!$K$4:$K$2503,资金日记账!$H$4:$H$2503,$A142,资金日记账!$F$4:$F$2503,"&lt;&gt;往来-借贷")-SUMIFS(资金日记账!$J$4:$J$2503,资金日记账!$H$4:$H$2503,$A142,资金日记账!$F$4:$F$2503,"&lt;&gt;往来-借贷"),2))</f>
        <v/>
      </c>
      <c r="F142" s="19">
        <f>IF($A142="","",ROUND($B142+$C142+$D142-$E142,2))</f>
        <v/>
      </c>
      <c r="G142" s="19">
        <f>IF($A142="","",ROUND(SUMIFS(资金日记账!$K$4:$K$2503,资金日记账!$H$4:$H$2503,$A142,资金日记账!$F$4:$F$2503,"往来-借贷")-SUMIFS(资金日记账!$J$4:$J$2503,资金日记账!$H$4:$H$2503,$A142,资金日记账!$F$4:$F$2503,"往来-借贷"),2))</f>
        <v/>
      </c>
      <c r="H142" s="23">
        <f>IF($A142="","",IFERROR(LOOKUP(1,0/((资金日记账!$H$4:$H$2503=$A142)*(资金日记账!$K$4:$K$2503&gt;0)),资金日记账!$B$4:$B$2503),""))</f>
        <v/>
      </c>
      <c r="I142" s="22">
        <f>IF($A142="","",COUNTIF(采购单!$C$4:$C$2003,$A142)+COUNTIF(资金日记账!$H$4:$H$2503,$A142))</f>
        <v/>
      </c>
      <c r="J142" s="13" t="n"/>
    </row>
    <row r="143">
      <c r="A143" s="17">
        <f>IF(基础资料!$G142="","",基础资料!$G142)</f>
        <v/>
      </c>
      <c r="B143" s="19">
        <f>IF($A143="","",ROUND(SUMIF(采购单!$C$4:$C$2003,$A143,采购单!$L$4:$L$2003),2))</f>
        <v/>
      </c>
      <c r="C143" s="19">
        <f>IF($A143="","",ROUND(SUMIF(生产安装!$F$4:$F$1203,$A143,生产安装!$J$4:$J$1203),2))</f>
        <v/>
      </c>
      <c r="D143" s="19">
        <f>IF($A143="","",ROUND(SUMIFS(资金日记账!$K$4:$K$2503,资金日记账!$H$4:$H$2503,$A143,资金日记账!$F$4:$F$2503,"成本-*"),2))</f>
        <v/>
      </c>
      <c r="E143" s="19">
        <f>IF($A143="","",ROUND(SUMIFS(资金日记账!$K$4:$K$2503,资金日记账!$H$4:$H$2503,$A143,资金日记账!$F$4:$F$2503,"&lt;&gt;往来-借贷")-SUMIFS(资金日记账!$J$4:$J$2503,资金日记账!$H$4:$H$2503,$A143,资金日记账!$F$4:$F$2503,"&lt;&gt;往来-借贷"),2))</f>
        <v/>
      </c>
      <c r="F143" s="19">
        <f>IF($A143="","",ROUND($B143+$C143+$D143-$E143,2))</f>
        <v/>
      </c>
      <c r="G143" s="19">
        <f>IF($A143="","",ROUND(SUMIFS(资金日记账!$K$4:$K$2503,资金日记账!$H$4:$H$2503,$A143,资金日记账!$F$4:$F$2503,"往来-借贷")-SUMIFS(资金日记账!$J$4:$J$2503,资金日记账!$H$4:$H$2503,$A143,资金日记账!$F$4:$F$2503,"往来-借贷"),2))</f>
        <v/>
      </c>
      <c r="H143" s="23">
        <f>IF($A143="","",IFERROR(LOOKUP(1,0/((资金日记账!$H$4:$H$2503=$A143)*(资金日记账!$K$4:$K$2503&gt;0)),资金日记账!$B$4:$B$2503),""))</f>
        <v/>
      </c>
      <c r="I143" s="22">
        <f>IF($A143="","",COUNTIF(采购单!$C$4:$C$2003,$A143)+COUNTIF(资金日记账!$H$4:$H$2503,$A143))</f>
        <v/>
      </c>
      <c r="J143" s="13" t="n"/>
    </row>
    <row r="144">
      <c r="A144" s="17">
        <f>IF(基础资料!$G143="","",基础资料!$G143)</f>
        <v/>
      </c>
      <c r="B144" s="19">
        <f>IF($A144="","",ROUND(SUMIF(采购单!$C$4:$C$2003,$A144,采购单!$L$4:$L$2003),2))</f>
        <v/>
      </c>
      <c r="C144" s="19">
        <f>IF($A144="","",ROUND(SUMIF(生产安装!$F$4:$F$1203,$A144,生产安装!$J$4:$J$1203),2))</f>
        <v/>
      </c>
      <c r="D144" s="19">
        <f>IF($A144="","",ROUND(SUMIFS(资金日记账!$K$4:$K$2503,资金日记账!$H$4:$H$2503,$A144,资金日记账!$F$4:$F$2503,"成本-*"),2))</f>
        <v/>
      </c>
      <c r="E144" s="19">
        <f>IF($A144="","",ROUND(SUMIFS(资金日记账!$K$4:$K$2503,资金日记账!$H$4:$H$2503,$A144,资金日记账!$F$4:$F$2503,"&lt;&gt;往来-借贷")-SUMIFS(资金日记账!$J$4:$J$2503,资金日记账!$H$4:$H$2503,$A144,资金日记账!$F$4:$F$2503,"&lt;&gt;往来-借贷"),2))</f>
        <v/>
      </c>
      <c r="F144" s="19">
        <f>IF($A144="","",ROUND($B144+$C144+$D144-$E144,2))</f>
        <v/>
      </c>
      <c r="G144" s="19">
        <f>IF($A144="","",ROUND(SUMIFS(资金日记账!$K$4:$K$2503,资金日记账!$H$4:$H$2503,$A144,资金日记账!$F$4:$F$2503,"往来-借贷")-SUMIFS(资金日记账!$J$4:$J$2503,资金日记账!$H$4:$H$2503,$A144,资金日记账!$F$4:$F$2503,"往来-借贷"),2))</f>
        <v/>
      </c>
      <c r="H144" s="23">
        <f>IF($A144="","",IFERROR(LOOKUP(1,0/((资金日记账!$H$4:$H$2503=$A144)*(资金日记账!$K$4:$K$2503&gt;0)),资金日记账!$B$4:$B$2503),""))</f>
        <v/>
      </c>
      <c r="I144" s="22">
        <f>IF($A144="","",COUNTIF(采购单!$C$4:$C$2003,$A144)+COUNTIF(资金日记账!$H$4:$H$2503,$A144))</f>
        <v/>
      </c>
      <c r="J144" s="13" t="n"/>
    </row>
    <row r="145">
      <c r="A145" s="17">
        <f>IF(基础资料!$G144="","",基础资料!$G144)</f>
        <v/>
      </c>
      <c r="B145" s="19">
        <f>IF($A145="","",ROUND(SUMIF(采购单!$C$4:$C$2003,$A145,采购单!$L$4:$L$2003),2))</f>
        <v/>
      </c>
      <c r="C145" s="19">
        <f>IF($A145="","",ROUND(SUMIF(生产安装!$F$4:$F$1203,$A145,生产安装!$J$4:$J$1203),2))</f>
        <v/>
      </c>
      <c r="D145" s="19">
        <f>IF($A145="","",ROUND(SUMIFS(资金日记账!$K$4:$K$2503,资金日记账!$H$4:$H$2503,$A145,资金日记账!$F$4:$F$2503,"成本-*"),2))</f>
        <v/>
      </c>
      <c r="E145" s="19">
        <f>IF($A145="","",ROUND(SUMIFS(资金日记账!$K$4:$K$2503,资金日记账!$H$4:$H$2503,$A145,资金日记账!$F$4:$F$2503,"&lt;&gt;往来-借贷")-SUMIFS(资金日记账!$J$4:$J$2503,资金日记账!$H$4:$H$2503,$A145,资金日记账!$F$4:$F$2503,"&lt;&gt;往来-借贷"),2))</f>
        <v/>
      </c>
      <c r="F145" s="19">
        <f>IF($A145="","",ROUND($B145+$C145+$D145-$E145,2))</f>
        <v/>
      </c>
      <c r="G145" s="19">
        <f>IF($A145="","",ROUND(SUMIFS(资金日记账!$K$4:$K$2503,资金日记账!$H$4:$H$2503,$A145,资金日记账!$F$4:$F$2503,"往来-借贷")-SUMIFS(资金日记账!$J$4:$J$2503,资金日记账!$H$4:$H$2503,$A145,资金日记账!$F$4:$F$2503,"往来-借贷"),2))</f>
        <v/>
      </c>
      <c r="H145" s="23">
        <f>IF($A145="","",IFERROR(LOOKUP(1,0/((资金日记账!$H$4:$H$2503=$A145)*(资金日记账!$K$4:$K$2503&gt;0)),资金日记账!$B$4:$B$2503),""))</f>
        <v/>
      </c>
      <c r="I145" s="22">
        <f>IF($A145="","",COUNTIF(采购单!$C$4:$C$2003,$A145)+COUNTIF(资金日记账!$H$4:$H$2503,$A145))</f>
        <v/>
      </c>
      <c r="J145" s="13" t="n"/>
    </row>
    <row r="146">
      <c r="A146" s="17">
        <f>IF(基础资料!$G145="","",基础资料!$G145)</f>
        <v/>
      </c>
      <c r="B146" s="19">
        <f>IF($A146="","",ROUND(SUMIF(采购单!$C$4:$C$2003,$A146,采购单!$L$4:$L$2003),2))</f>
        <v/>
      </c>
      <c r="C146" s="19">
        <f>IF($A146="","",ROUND(SUMIF(生产安装!$F$4:$F$1203,$A146,生产安装!$J$4:$J$1203),2))</f>
        <v/>
      </c>
      <c r="D146" s="19">
        <f>IF($A146="","",ROUND(SUMIFS(资金日记账!$K$4:$K$2503,资金日记账!$H$4:$H$2503,$A146,资金日记账!$F$4:$F$2503,"成本-*"),2))</f>
        <v/>
      </c>
      <c r="E146" s="19">
        <f>IF($A146="","",ROUND(SUMIFS(资金日记账!$K$4:$K$2503,资金日记账!$H$4:$H$2503,$A146,资金日记账!$F$4:$F$2503,"&lt;&gt;往来-借贷")-SUMIFS(资金日记账!$J$4:$J$2503,资金日记账!$H$4:$H$2503,$A146,资金日记账!$F$4:$F$2503,"&lt;&gt;往来-借贷"),2))</f>
        <v/>
      </c>
      <c r="F146" s="19">
        <f>IF($A146="","",ROUND($B146+$C146+$D146-$E146,2))</f>
        <v/>
      </c>
      <c r="G146" s="19">
        <f>IF($A146="","",ROUND(SUMIFS(资金日记账!$K$4:$K$2503,资金日记账!$H$4:$H$2503,$A146,资金日记账!$F$4:$F$2503,"往来-借贷")-SUMIFS(资金日记账!$J$4:$J$2503,资金日记账!$H$4:$H$2503,$A146,资金日记账!$F$4:$F$2503,"往来-借贷"),2))</f>
        <v/>
      </c>
      <c r="H146" s="23">
        <f>IF($A146="","",IFERROR(LOOKUP(1,0/((资金日记账!$H$4:$H$2503=$A146)*(资金日记账!$K$4:$K$2503&gt;0)),资金日记账!$B$4:$B$2503),""))</f>
        <v/>
      </c>
      <c r="I146" s="22">
        <f>IF($A146="","",COUNTIF(采购单!$C$4:$C$2003,$A146)+COUNTIF(资金日记账!$H$4:$H$2503,$A146))</f>
        <v/>
      </c>
      <c r="J146" s="13" t="n"/>
    </row>
    <row r="147">
      <c r="A147" s="17">
        <f>IF(基础资料!$G146="","",基础资料!$G146)</f>
        <v/>
      </c>
      <c r="B147" s="19">
        <f>IF($A147="","",ROUND(SUMIF(采购单!$C$4:$C$2003,$A147,采购单!$L$4:$L$2003),2))</f>
        <v/>
      </c>
      <c r="C147" s="19">
        <f>IF($A147="","",ROUND(SUMIF(生产安装!$F$4:$F$1203,$A147,生产安装!$J$4:$J$1203),2))</f>
        <v/>
      </c>
      <c r="D147" s="19">
        <f>IF($A147="","",ROUND(SUMIFS(资金日记账!$K$4:$K$2503,资金日记账!$H$4:$H$2503,$A147,资金日记账!$F$4:$F$2503,"成本-*"),2))</f>
        <v/>
      </c>
      <c r="E147" s="19">
        <f>IF($A147="","",ROUND(SUMIFS(资金日记账!$K$4:$K$2503,资金日记账!$H$4:$H$2503,$A147,资金日记账!$F$4:$F$2503,"&lt;&gt;往来-借贷")-SUMIFS(资金日记账!$J$4:$J$2503,资金日记账!$H$4:$H$2503,$A147,资金日记账!$F$4:$F$2503,"&lt;&gt;往来-借贷"),2))</f>
        <v/>
      </c>
      <c r="F147" s="19">
        <f>IF($A147="","",ROUND($B147+$C147+$D147-$E147,2))</f>
        <v/>
      </c>
      <c r="G147" s="19">
        <f>IF($A147="","",ROUND(SUMIFS(资金日记账!$K$4:$K$2503,资金日记账!$H$4:$H$2503,$A147,资金日记账!$F$4:$F$2503,"往来-借贷")-SUMIFS(资金日记账!$J$4:$J$2503,资金日记账!$H$4:$H$2503,$A147,资金日记账!$F$4:$F$2503,"往来-借贷"),2))</f>
        <v/>
      </c>
      <c r="H147" s="23">
        <f>IF($A147="","",IFERROR(LOOKUP(1,0/((资金日记账!$H$4:$H$2503=$A147)*(资金日记账!$K$4:$K$2503&gt;0)),资金日记账!$B$4:$B$2503),""))</f>
        <v/>
      </c>
      <c r="I147" s="22">
        <f>IF($A147="","",COUNTIF(采购单!$C$4:$C$2003,$A147)+COUNTIF(资金日记账!$H$4:$H$2503,$A147))</f>
        <v/>
      </c>
      <c r="J147" s="13" t="n"/>
    </row>
    <row r="148">
      <c r="A148" s="17">
        <f>IF(基础资料!$G147="","",基础资料!$G147)</f>
        <v/>
      </c>
      <c r="B148" s="19">
        <f>IF($A148="","",ROUND(SUMIF(采购单!$C$4:$C$2003,$A148,采购单!$L$4:$L$2003),2))</f>
        <v/>
      </c>
      <c r="C148" s="19">
        <f>IF($A148="","",ROUND(SUMIF(生产安装!$F$4:$F$1203,$A148,生产安装!$J$4:$J$1203),2))</f>
        <v/>
      </c>
      <c r="D148" s="19">
        <f>IF($A148="","",ROUND(SUMIFS(资金日记账!$K$4:$K$2503,资金日记账!$H$4:$H$2503,$A148,资金日记账!$F$4:$F$2503,"成本-*"),2))</f>
        <v/>
      </c>
      <c r="E148" s="19">
        <f>IF($A148="","",ROUND(SUMIFS(资金日记账!$K$4:$K$2503,资金日记账!$H$4:$H$2503,$A148,资金日记账!$F$4:$F$2503,"&lt;&gt;往来-借贷")-SUMIFS(资金日记账!$J$4:$J$2503,资金日记账!$H$4:$H$2503,$A148,资金日记账!$F$4:$F$2503,"&lt;&gt;往来-借贷"),2))</f>
        <v/>
      </c>
      <c r="F148" s="19">
        <f>IF($A148="","",ROUND($B148+$C148+$D148-$E148,2))</f>
        <v/>
      </c>
      <c r="G148" s="19">
        <f>IF($A148="","",ROUND(SUMIFS(资金日记账!$K$4:$K$2503,资金日记账!$H$4:$H$2503,$A148,资金日记账!$F$4:$F$2503,"往来-借贷")-SUMIFS(资金日记账!$J$4:$J$2503,资金日记账!$H$4:$H$2503,$A148,资金日记账!$F$4:$F$2503,"往来-借贷"),2))</f>
        <v/>
      </c>
      <c r="H148" s="23">
        <f>IF($A148="","",IFERROR(LOOKUP(1,0/((资金日记账!$H$4:$H$2503=$A148)*(资金日记账!$K$4:$K$2503&gt;0)),资金日记账!$B$4:$B$2503),""))</f>
        <v/>
      </c>
      <c r="I148" s="22">
        <f>IF($A148="","",COUNTIF(采购单!$C$4:$C$2003,$A148)+COUNTIF(资金日记账!$H$4:$H$2503,$A148))</f>
        <v/>
      </c>
      <c r="J148" s="13" t="n"/>
    </row>
    <row r="149">
      <c r="A149" s="17">
        <f>IF(基础资料!$G148="","",基础资料!$G148)</f>
        <v/>
      </c>
      <c r="B149" s="19">
        <f>IF($A149="","",ROUND(SUMIF(采购单!$C$4:$C$2003,$A149,采购单!$L$4:$L$2003),2))</f>
        <v/>
      </c>
      <c r="C149" s="19">
        <f>IF($A149="","",ROUND(SUMIF(生产安装!$F$4:$F$1203,$A149,生产安装!$J$4:$J$1203),2))</f>
        <v/>
      </c>
      <c r="D149" s="19">
        <f>IF($A149="","",ROUND(SUMIFS(资金日记账!$K$4:$K$2503,资金日记账!$H$4:$H$2503,$A149,资金日记账!$F$4:$F$2503,"成本-*"),2))</f>
        <v/>
      </c>
      <c r="E149" s="19">
        <f>IF($A149="","",ROUND(SUMIFS(资金日记账!$K$4:$K$2503,资金日记账!$H$4:$H$2503,$A149,资金日记账!$F$4:$F$2503,"&lt;&gt;往来-借贷")-SUMIFS(资金日记账!$J$4:$J$2503,资金日记账!$H$4:$H$2503,$A149,资金日记账!$F$4:$F$2503,"&lt;&gt;往来-借贷"),2))</f>
        <v/>
      </c>
      <c r="F149" s="19">
        <f>IF($A149="","",ROUND($B149+$C149+$D149-$E149,2))</f>
        <v/>
      </c>
      <c r="G149" s="19">
        <f>IF($A149="","",ROUND(SUMIFS(资金日记账!$K$4:$K$2503,资金日记账!$H$4:$H$2503,$A149,资金日记账!$F$4:$F$2503,"往来-借贷")-SUMIFS(资金日记账!$J$4:$J$2503,资金日记账!$H$4:$H$2503,$A149,资金日记账!$F$4:$F$2503,"往来-借贷"),2))</f>
        <v/>
      </c>
      <c r="H149" s="23">
        <f>IF($A149="","",IFERROR(LOOKUP(1,0/((资金日记账!$H$4:$H$2503=$A149)*(资金日记账!$K$4:$K$2503&gt;0)),资金日记账!$B$4:$B$2503),""))</f>
        <v/>
      </c>
      <c r="I149" s="22">
        <f>IF($A149="","",COUNTIF(采购单!$C$4:$C$2003,$A149)+COUNTIF(资金日记账!$H$4:$H$2503,$A149))</f>
        <v/>
      </c>
      <c r="J149" s="13" t="n"/>
    </row>
    <row r="150">
      <c r="A150" s="17">
        <f>IF(基础资料!$G149="","",基础资料!$G149)</f>
        <v/>
      </c>
      <c r="B150" s="19">
        <f>IF($A150="","",ROUND(SUMIF(采购单!$C$4:$C$2003,$A150,采购单!$L$4:$L$2003),2))</f>
        <v/>
      </c>
      <c r="C150" s="19">
        <f>IF($A150="","",ROUND(SUMIF(生产安装!$F$4:$F$1203,$A150,生产安装!$J$4:$J$1203),2))</f>
        <v/>
      </c>
      <c r="D150" s="19">
        <f>IF($A150="","",ROUND(SUMIFS(资金日记账!$K$4:$K$2503,资金日记账!$H$4:$H$2503,$A150,资金日记账!$F$4:$F$2503,"成本-*"),2))</f>
        <v/>
      </c>
      <c r="E150" s="19">
        <f>IF($A150="","",ROUND(SUMIFS(资金日记账!$K$4:$K$2503,资金日记账!$H$4:$H$2503,$A150,资金日记账!$F$4:$F$2503,"&lt;&gt;往来-借贷")-SUMIFS(资金日记账!$J$4:$J$2503,资金日记账!$H$4:$H$2503,$A150,资金日记账!$F$4:$F$2503,"&lt;&gt;往来-借贷"),2))</f>
        <v/>
      </c>
      <c r="F150" s="19">
        <f>IF($A150="","",ROUND($B150+$C150+$D150-$E150,2))</f>
        <v/>
      </c>
      <c r="G150" s="19">
        <f>IF($A150="","",ROUND(SUMIFS(资金日记账!$K$4:$K$2503,资金日记账!$H$4:$H$2503,$A150,资金日记账!$F$4:$F$2503,"往来-借贷")-SUMIFS(资金日记账!$J$4:$J$2503,资金日记账!$H$4:$H$2503,$A150,资金日记账!$F$4:$F$2503,"往来-借贷"),2))</f>
        <v/>
      </c>
      <c r="H150" s="23">
        <f>IF($A150="","",IFERROR(LOOKUP(1,0/((资金日记账!$H$4:$H$2503=$A150)*(资金日记账!$K$4:$K$2503&gt;0)),资金日记账!$B$4:$B$2503),""))</f>
        <v/>
      </c>
      <c r="I150" s="22">
        <f>IF($A150="","",COUNTIF(采购单!$C$4:$C$2003,$A150)+COUNTIF(资金日记账!$H$4:$H$2503,$A150))</f>
        <v/>
      </c>
      <c r="J150" s="13" t="n"/>
    </row>
    <row r="151">
      <c r="A151" s="17">
        <f>IF(基础资料!$G150="","",基础资料!$G150)</f>
        <v/>
      </c>
      <c r="B151" s="19">
        <f>IF($A151="","",ROUND(SUMIF(采购单!$C$4:$C$2003,$A151,采购单!$L$4:$L$2003),2))</f>
        <v/>
      </c>
      <c r="C151" s="19">
        <f>IF($A151="","",ROUND(SUMIF(生产安装!$F$4:$F$1203,$A151,生产安装!$J$4:$J$1203),2))</f>
        <v/>
      </c>
      <c r="D151" s="19">
        <f>IF($A151="","",ROUND(SUMIFS(资金日记账!$K$4:$K$2503,资金日记账!$H$4:$H$2503,$A151,资金日记账!$F$4:$F$2503,"成本-*"),2))</f>
        <v/>
      </c>
      <c r="E151" s="19">
        <f>IF($A151="","",ROUND(SUMIFS(资金日记账!$K$4:$K$2503,资金日记账!$H$4:$H$2503,$A151,资金日记账!$F$4:$F$2503,"&lt;&gt;往来-借贷")-SUMIFS(资金日记账!$J$4:$J$2503,资金日记账!$H$4:$H$2503,$A151,资金日记账!$F$4:$F$2503,"&lt;&gt;往来-借贷"),2))</f>
        <v/>
      </c>
      <c r="F151" s="19">
        <f>IF($A151="","",ROUND($B151+$C151+$D151-$E151,2))</f>
        <v/>
      </c>
      <c r="G151" s="19">
        <f>IF($A151="","",ROUND(SUMIFS(资金日记账!$K$4:$K$2503,资金日记账!$H$4:$H$2503,$A151,资金日记账!$F$4:$F$2503,"往来-借贷")-SUMIFS(资金日记账!$J$4:$J$2503,资金日记账!$H$4:$H$2503,$A151,资金日记账!$F$4:$F$2503,"往来-借贷"),2))</f>
        <v/>
      </c>
      <c r="H151" s="23">
        <f>IF($A151="","",IFERROR(LOOKUP(1,0/((资金日记账!$H$4:$H$2503=$A151)*(资金日记账!$K$4:$K$2503&gt;0)),资金日记账!$B$4:$B$2503),""))</f>
        <v/>
      </c>
      <c r="I151" s="22">
        <f>IF($A151="","",COUNTIF(采购单!$C$4:$C$2003,$A151)+COUNTIF(资金日记账!$H$4:$H$2503,$A151))</f>
        <v/>
      </c>
      <c r="J151" s="13" t="n"/>
    </row>
    <row r="152">
      <c r="A152" s="17">
        <f>IF(基础资料!$G151="","",基础资料!$G151)</f>
        <v/>
      </c>
      <c r="B152" s="19">
        <f>IF($A152="","",ROUND(SUMIF(采购单!$C$4:$C$2003,$A152,采购单!$L$4:$L$2003),2))</f>
        <v/>
      </c>
      <c r="C152" s="19">
        <f>IF($A152="","",ROUND(SUMIF(生产安装!$F$4:$F$1203,$A152,生产安装!$J$4:$J$1203),2))</f>
        <v/>
      </c>
      <c r="D152" s="19">
        <f>IF($A152="","",ROUND(SUMIFS(资金日记账!$K$4:$K$2503,资金日记账!$H$4:$H$2503,$A152,资金日记账!$F$4:$F$2503,"成本-*"),2))</f>
        <v/>
      </c>
      <c r="E152" s="19">
        <f>IF($A152="","",ROUND(SUMIFS(资金日记账!$K$4:$K$2503,资金日记账!$H$4:$H$2503,$A152,资金日记账!$F$4:$F$2503,"&lt;&gt;往来-借贷")-SUMIFS(资金日记账!$J$4:$J$2503,资金日记账!$H$4:$H$2503,$A152,资金日记账!$F$4:$F$2503,"&lt;&gt;往来-借贷"),2))</f>
        <v/>
      </c>
      <c r="F152" s="19">
        <f>IF($A152="","",ROUND($B152+$C152+$D152-$E152,2))</f>
        <v/>
      </c>
      <c r="G152" s="19">
        <f>IF($A152="","",ROUND(SUMIFS(资金日记账!$K$4:$K$2503,资金日记账!$H$4:$H$2503,$A152,资金日记账!$F$4:$F$2503,"往来-借贷")-SUMIFS(资金日记账!$J$4:$J$2503,资金日记账!$H$4:$H$2503,$A152,资金日记账!$F$4:$F$2503,"往来-借贷"),2))</f>
        <v/>
      </c>
      <c r="H152" s="23">
        <f>IF($A152="","",IFERROR(LOOKUP(1,0/((资金日记账!$H$4:$H$2503=$A152)*(资金日记账!$K$4:$K$2503&gt;0)),资金日记账!$B$4:$B$2503),""))</f>
        <v/>
      </c>
      <c r="I152" s="22">
        <f>IF($A152="","",COUNTIF(采购单!$C$4:$C$2003,$A152)+COUNTIF(资金日记账!$H$4:$H$2503,$A152))</f>
        <v/>
      </c>
      <c r="J152" s="13" t="n"/>
    </row>
    <row r="153">
      <c r="A153" s="17">
        <f>IF(基础资料!$G152="","",基础资料!$G152)</f>
        <v/>
      </c>
      <c r="B153" s="19">
        <f>IF($A153="","",ROUND(SUMIF(采购单!$C$4:$C$2003,$A153,采购单!$L$4:$L$2003),2))</f>
        <v/>
      </c>
      <c r="C153" s="19">
        <f>IF($A153="","",ROUND(SUMIF(生产安装!$F$4:$F$1203,$A153,生产安装!$J$4:$J$1203),2))</f>
        <v/>
      </c>
      <c r="D153" s="19">
        <f>IF($A153="","",ROUND(SUMIFS(资金日记账!$K$4:$K$2503,资金日记账!$H$4:$H$2503,$A153,资金日记账!$F$4:$F$2503,"成本-*"),2))</f>
        <v/>
      </c>
      <c r="E153" s="19">
        <f>IF($A153="","",ROUND(SUMIFS(资金日记账!$K$4:$K$2503,资金日记账!$H$4:$H$2503,$A153,资金日记账!$F$4:$F$2503,"&lt;&gt;往来-借贷")-SUMIFS(资金日记账!$J$4:$J$2503,资金日记账!$H$4:$H$2503,$A153,资金日记账!$F$4:$F$2503,"&lt;&gt;往来-借贷"),2))</f>
        <v/>
      </c>
      <c r="F153" s="19">
        <f>IF($A153="","",ROUND($B153+$C153+$D153-$E153,2))</f>
        <v/>
      </c>
      <c r="G153" s="19">
        <f>IF($A153="","",ROUND(SUMIFS(资金日记账!$K$4:$K$2503,资金日记账!$H$4:$H$2503,$A153,资金日记账!$F$4:$F$2503,"往来-借贷")-SUMIFS(资金日记账!$J$4:$J$2503,资金日记账!$H$4:$H$2503,$A153,资金日记账!$F$4:$F$2503,"往来-借贷"),2))</f>
        <v/>
      </c>
      <c r="H153" s="23">
        <f>IF($A153="","",IFERROR(LOOKUP(1,0/((资金日记账!$H$4:$H$2503=$A153)*(资金日记账!$K$4:$K$2503&gt;0)),资金日记账!$B$4:$B$2503),""))</f>
        <v/>
      </c>
      <c r="I153" s="22">
        <f>IF($A153="","",COUNTIF(采购单!$C$4:$C$2003,$A153)+COUNTIF(资金日记账!$H$4:$H$2503,$A153))</f>
        <v/>
      </c>
      <c r="J153" s="13" t="n"/>
    </row>
    <row r="154">
      <c r="A154" s="17">
        <f>IF(基础资料!$G153="","",基础资料!$G153)</f>
        <v/>
      </c>
      <c r="B154" s="19">
        <f>IF($A154="","",ROUND(SUMIF(采购单!$C$4:$C$2003,$A154,采购单!$L$4:$L$2003),2))</f>
        <v/>
      </c>
      <c r="C154" s="19">
        <f>IF($A154="","",ROUND(SUMIF(生产安装!$F$4:$F$1203,$A154,生产安装!$J$4:$J$1203),2))</f>
        <v/>
      </c>
      <c r="D154" s="19">
        <f>IF($A154="","",ROUND(SUMIFS(资金日记账!$K$4:$K$2503,资金日记账!$H$4:$H$2503,$A154,资金日记账!$F$4:$F$2503,"成本-*"),2))</f>
        <v/>
      </c>
      <c r="E154" s="19">
        <f>IF($A154="","",ROUND(SUMIFS(资金日记账!$K$4:$K$2503,资金日记账!$H$4:$H$2503,$A154,资金日记账!$F$4:$F$2503,"&lt;&gt;往来-借贷")-SUMIFS(资金日记账!$J$4:$J$2503,资金日记账!$H$4:$H$2503,$A154,资金日记账!$F$4:$F$2503,"&lt;&gt;往来-借贷"),2))</f>
        <v/>
      </c>
      <c r="F154" s="19">
        <f>IF($A154="","",ROUND($B154+$C154+$D154-$E154,2))</f>
        <v/>
      </c>
      <c r="G154" s="19">
        <f>IF($A154="","",ROUND(SUMIFS(资金日记账!$K$4:$K$2503,资金日记账!$H$4:$H$2503,$A154,资金日记账!$F$4:$F$2503,"往来-借贷")-SUMIFS(资金日记账!$J$4:$J$2503,资金日记账!$H$4:$H$2503,$A154,资金日记账!$F$4:$F$2503,"往来-借贷"),2))</f>
        <v/>
      </c>
      <c r="H154" s="23">
        <f>IF($A154="","",IFERROR(LOOKUP(1,0/((资金日记账!$H$4:$H$2503=$A154)*(资金日记账!$K$4:$K$2503&gt;0)),资金日记账!$B$4:$B$2503),""))</f>
        <v/>
      </c>
      <c r="I154" s="22">
        <f>IF($A154="","",COUNTIF(采购单!$C$4:$C$2003,$A154)+COUNTIF(资金日记账!$H$4:$H$2503,$A154))</f>
        <v/>
      </c>
      <c r="J154" s="13" t="n"/>
    </row>
  </sheetData>
  <autoFilter ref="A3:J154"/>
  <mergeCells count="2">
    <mergeCell ref="A1:J1"/>
    <mergeCell ref="A2:J2"/>
  </mergeCells>
  <conditionalFormatting sqref="F5:F154">
    <cfRule type="cellIs" priority="1" operator="greaterThan" dxfId="3">
      <formula>0.004</formula>
    </cfRule>
    <cfRule type="cellIs" priority="2" operator="lessThan" dxfId="5">
      <formula>-0.004</formula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H2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4" customWidth="1" min="4" max="4"/>
    <col width="14" customWidth="1" min="5" max="5"/>
    <col width="12" customWidth="1" min="6" max="6"/>
    <col width="13" customWidth="1" min="7" max="7"/>
    <col width="22" customWidth="1" min="8" max="8"/>
  </cols>
  <sheetData>
    <row r="1" ht="30" customHeight="1">
      <c r="A1" s="1" t="inlineStr">
        <is>
          <t>客户应收 · 自动，不用填（名单来自【基础资料】E 列）</t>
        </is>
      </c>
    </row>
    <row r="2" ht="22" customHeight="1">
      <c r="A2" s="2" t="inlineStr">
        <is>
          <t>按客户汇总所有项目的合同额和已收款。要看具体是哪个项目欠着，去【项目核算】按「未收款」排个序。</t>
        </is>
      </c>
    </row>
    <row r="3" ht="34" customHeight="1">
      <c r="A3" s="21" t="inlineStr">
        <is>
          <t>客户名称</t>
        </is>
      </c>
      <c r="B3" s="21" t="inlineStr">
        <is>
          <t>项目数</t>
        </is>
      </c>
      <c r="C3" s="21" t="inlineStr">
        <is>
          <t>合同总额</t>
        </is>
      </c>
      <c r="D3" s="21" t="inlineStr">
        <is>
          <t>已收款</t>
        </is>
      </c>
      <c r="E3" s="21" t="inlineStr">
        <is>
          <t>未收款</t>
        </is>
      </c>
      <c r="F3" s="21" t="inlineStr">
        <is>
          <t>未完工项目数</t>
        </is>
      </c>
      <c r="G3" s="21" t="inlineStr">
        <is>
          <t>最近一次收款</t>
        </is>
      </c>
      <c r="H3" s="21" t="inlineStr">
        <is>
          <t>备注</t>
        </is>
      </c>
    </row>
    <row r="4">
      <c r="A4" s="24" t="inlineStr">
        <is>
          <t>合计</t>
        </is>
      </c>
      <c r="B4" s="26">
        <f>SUM(B5:B254)</f>
        <v/>
      </c>
      <c r="C4" s="25">
        <f>ROUND(SUM(C5:C254),2)</f>
        <v/>
      </c>
      <c r="D4" s="25">
        <f>ROUND(SUM(D5:D254),2)</f>
        <v/>
      </c>
      <c r="E4" s="25">
        <f>ROUND(SUM(E5:E254),2)</f>
        <v/>
      </c>
      <c r="F4" s="26">
        <f>SUM(F5:F254)</f>
        <v/>
      </c>
      <c r="G4" s="23" t="n"/>
      <c r="H4" s="13" t="n"/>
    </row>
    <row r="5">
      <c r="A5" s="17">
        <f>IF(基础资料!$E4="","",基础资料!$E4)</f>
        <v/>
      </c>
      <c r="B5" s="22">
        <f>IF($A5="","",COUNTIF(项目台账!$C$4:$C$403,$A5))</f>
        <v/>
      </c>
      <c r="C5" s="19">
        <f>IF($A5="","",ROUND(SUMIF(项目台账!$C$4:$C$403,$A5,项目台账!$M$4:$M$403),2))</f>
        <v/>
      </c>
      <c r="D5" s="19">
        <f>IF($A5="","",ROUND(SUMIF(项目台账!$C$4:$C$403,$A5,项目台账!$O$4:$O$403),2))</f>
        <v/>
      </c>
      <c r="E5" s="19">
        <f>IF($A5="","",ROUND($C5-$D5,2))</f>
        <v/>
      </c>
      <c r="F5" s="22">
        <f>IF($A5="","",COUNTIFS(项目台账!$C$4:$C$403,$A5,项目台账!$J$4:$J$403,""))</f>
        <v/>
      </c>
      <c r="G5" s="23">
        <f>IF($A5="","",IFERROR(LOOKUP(1,0/((资金日记账!$H$4:$H$2503=$A5)*(资金日记账!$J$4:$J$2503&gt;0)),资金日记账!$B$4:$B$2503),""))</f>
        <v/>
      </c>
      <c r="H5" s="13" t="n"/>
    </row>
    <row r="6">
      <c r="A6" s="17">
        <f>IF(基础资料!$E5="","",基础资料!$E5)</f>
        <v/>
      </c>
      <c r="B6" s="22">
        <f>IF($A6="","",COUNTIF(项目台账!$C$4:$C$403,$A6))</f>
        <v/>
      </c>
      <c r="C6" s="19">
        <f>IF($A6="","",ROUND(SUMIF(项目台账!$C$4:$C$403,$A6,项目台账!$M$4:$M$403),2))</f>
        <v/>
      </c>
      <c r="D6" s="19">
        <f>IF($A6="","",ROUND(SUMIF(项目台账!$C$4:$C$403,$A6,项目台账!$O$4:$O$403),2))</f>
        <v/>
      </c>
      <c r="E6" s="19">
        <f>IF($A6="","",ROUND($C6-$D6,2))</f>
        <v/>
      </c>
      <c r="F6" s="22">
        <f>IF($A6="","",COUNTIFS(项目台账!$C$4:$C$403,$A6,项目台账!$J$4:$J$403,""))</f>
        <v/>
      </c>
      <c r="G6" s="23">
        <f>IF($A6="","",IFERROR(LOOKUP(1,0/((资金日记账!$H$4:$H$2503=$A6)*(资金日记账!$J$4:$J$2503&gt;0)),资金日记账!$B$4:$B$2503),""))</f>
        <v/>
      </c>
      <c r="H6" s="13" t="n"/>
    </row>
    <row r="7">
      <c r="A7" s="17">
        <f>IF(基础资料!$E6="","",基础资料!$E6)</f>
        <v/>
      </c>
      <c r="B7" s="22">
        <f>IF($A7="","",COUNTIF(项目台账!$C$4:$C$403,$A7))</f>
        <v/>
      </c>
      <c r="C7" s="19">
        <f>IF($A7="","",ROUND(SUMIF(项目台账!$C$4:$C$403,$A7,项目台账!$M$4:$M$403),2))</f>
        <v/>
      </c>
      <c r="D7" s="19">
        <f>IF($A7="","",ROUND(SUMIF(项目台账!$C$4:$C$403,$A7,项目台账!$O$4:$O$403),2))</f>
        <v/>
      </c>
      <c r="E7" s="19">
        <f>IF($A7="","",ROUND($C7-$D7,2))</f>
        <v/>
      </c>
      <c r="F7" s="22">
        <f>IF($A7="","",COUNTIFS(项目台账!$C$4:$C$403,$A7,项目台账!$J$4:$J$403,""))</f>
        <v/>
      </c>
      <c r="G7" s="23">
        <f>IF($A7="","",IFERROR(LOOKUP(1,0/((资金日记账!$H$4:$H$2503=$A7)*(资金日记账!$J$4:$J$2503&gt;0)),资金日记账!$B$4:$B$2503),""))</f>
        <v/>
      </c>
      <c r="H7" s="13" t="n"/>
    </row>
    <row r="8">
      <c r="A8" s="17">
        <f>IF(基础资料!$E7="","",基础资料!$E7)</f>
        <v/>
      </c>
      <c r="B8" s="22">
        <f>IF($A8="","",COUNTIF(项目台账!$C$4:$C$403,$A8))</f>
        <v/>
      </c>
      <c r="C8" s="19">
        <f>IF($A8="","",ROUND(SUMIF(项目台账!$C$4:$C$403,$A8,项目台账!$M$4:$M$403),2))</f>
        <v/>
      </c>
      <c r="D8" s="19">
        <f>IF($A8="","",ROUND(SUMIF(项目台账!$C$4:$C$403,$A8,项目台账!$O$4:$O$403),2))</f>
        <v/>
      </c>
      <c r="E8" s="19">
        <f>IF($A8="","",ROUND($C8-$D8,2))</f>
        <v/>
      </c>
      <c r="F8" s="22">
        <f>IF($A8="","",COUNTIFS(项目台账!$C$4:$C$403,$A8,项目台账!$J$4:$J$403,""))</f>
        <v/>
      </c>
      <c r="G8" s="23">
        <f>IF($A8="","",IFERROR(LOOKUP(1,0/((资金日记账!$H$4:$H$2503=$A8)*(资金日记账!$J$4:$J$2503&gt;0)),资金日记账!$B$4:$B$2503),""))</f>
        <v/>
      </c>
      <c r="H8" s="13" t="n"/>
    </row>
    <row r="9">
      <c r="A9" s="17">
        <f>IF(基础资料!$E8="","",基础资料!$E8)</f>
        <v/>
      </c>
      <c r="B9" s="22">
        <f>IF($A9="","",COUNTIF(项目台账!$C$4:$C$403,$A9))</f>
        <v/>
      </c>
      <c r="C9" s="19">
        <f>IF($A9="","",ROUND(SUMIF(项目台账!$C$4:$C$403,$A9,项目台账!$M$4:$M$403),2))</f>
        <v/>
      </c>
      <c r="D9" s="19">
        <f>IF($A9="","",ROUND(SUMIF(项目台账!$C$4:$C$403,$A9,项目台账!$O$4:$O$403),2))</f>
        <v/>
      </c>
      <c r="E9" s="19">
        <f>IF($A9="","",ROUND($C9-$D9,2))</f>
        <v/>
      </c>
      <c r="F9" s="22">
        <f>IF($A9="","",COUNTIFS(项目台账!$C$4:$C$403,$A9,项目台账!$J$4:$J$403,""))</f>
        <v/>
      </c>
      <c r="G9" s="23">
        <f>IF($A9="","",IFERROR(LOOKUP(1,0/((资金日记账!$H$4:$H$2503=$A9)*(资金日记账!$J$4:$J$2503&gt;0)),资金日记账!$B$4:$B$2503),""))</f>
        <v/>
      </c>
      <c r="H9" s="13" t="n"/>
    </row>
    <row r="10">
      <c r="A10" s="17">
        <f>IF(基础资料!$E9="","",基础资料!$E9)</f>
        <v/>
      </c>
      <c r="B10" s="22">
        <f>IF($A10="","",COUNTIF(项目台账!$C$4:$C$403,$A10))</f>
        <v/>
      </c>
      <c r="C10" s="19">
        <f>IF($A10="","",ROUND(SUMIF(项目台账!$C$4:$C$403,$A10,项目台账!$M$4:$M$403),2))</f>
        <v/>
      </c>
      <c r="D10" s="19">
        <f>IF($A10="","",ROUND(SUMIF(项目台账!$C$4:$C$403,$A10,项目台账!$O$4:$O$403),2))</f>
        <v/>
      </c>
      <c r="E10" s="19">
        <f>IF($A10="","",ROUND($C10-$D10,2))</f>
        <v/>
      </c>
      <c r="F10" s="22">
        <f>IF($A10="","",COUNTIFS(项目台账!$C$4:$C$403,$A10,项目台账!$J$4:$J$403,""))</f>
        <v/>
      </c>
      <c r="G10" s="23">
        <f>IF($A10="","",IFERROR(LOOKUP(1,0/((资金日记账!$H$4:$H$2503=$A10)*(资金日记账!$J$4:$J$2503&gt;0)),资金日记账!$B$4:$B$2503),""))</f>
        <v/>
      </c>
      <c r="H10" s="13" t="n"/>
    </row>
    <row r="11">
      <c r="A11" s="17">
        <f>IF(基础资料!$E10="","",基础资料!$E10)</f>
        <v/>
      </c>
      <c r="B11" s="22">
        <f>IF($A11="","",COUNTIF(项目台账!$C$4:$C$403,$A11))</f>
        <v/>
      </c>
      <c r="C11" s="19">
        <f>IF($A11="","",ROUND(SUMIF(项目台账!$C$4:$C$403,$A11,项目台账!$M$4:$M$403),2))</f>
        <v/>
      </c>
      <c r="D11" s="19">
        <f>IF($A11="","",ROUND(SUMIF(项目台账!$C$4:$C$403,$A11,项目台账!$O$4:$O$403),2))</f>
        <v/>
      </c>
      <c r="E11" s="19">
        <f>IF($A11="","",ROUND($C11-$D11,2))</f>
        <v/>
      </c>
      <c r="F11" s="22">
        <f>IF($A11="","",COUNTIFS(项目台账!$C$4:$C$403,$A11,项目台账!$J$4:$J$403,""))</f>
        <v/>
      </c>
      <c r="G11" s="23">
        <f>IF($A11="","",IFERROR(LOOKUP(1,0/((资金日记账!$H$4:$H$2503=$A11)*(资金日记账!$J$4:$J$2503&gt;0)),资金日记账!$B$4:$B$2503),""))</f>
        <v/>
      </c>
      <c r="H11" s="13" t="n"/>
    </row>
    <row r="12">
      <c r="A12" s="17">
        <f>IF(基础资料!$E11="","",基础资料!$E11)</f>
        <v/>
      </c>
      <c r="B12" s="22">
        <f>IF($A12="","",COUNTIF(项目台账!$C$4:$C$403,$A12))</f>
        <v/>
      </c>
      <c r="C12" s="19">
        <f>IF($A12="","",ROUND(SUMIF(项目台账!$C$4:$C$403,$A12,项目台账!$M$4:$M$403),2))</f>
        <v/>
      </c>
      <c r="D12" s="19">
        <f>IF($A12="","",ROUND(SUMIF(项目台账!$C$4:$C$403,$A12,项目台账!$O$4:$O$403),2))</f>
        <v/>
      </c>
      <c r="E12" s="19">
        <f>IF($A12="","",ROUND($C12-$D12,2))</f>
        <v/>
      </c>
      <c r="F12" s="22">
        <f>IF($A12="","",COUNTIFS(项目台账!$C$4:$C$403,$A12,项目台账!$J$4:$J$403,""))</f>
        <v/>
      </c>
      <c r="G12" s="23">
        <f>IF($A12="","",IFERROR(LOOKUP(1,0/((资金日记账!$H$4:$H$2503=$A12)*(资金日记账!$J$4:$J$2503&gt;0)),资金日记账!$B$4:$B$2503),""))</f>
        <v/>
      </c>
      <c r="H12" s="13" t="n"/>
    </row>
    <row r="13">
      <c r="A13" s="17">
        <f>IF(基础资料!$E12="","",基础资料!$E12)</f>
        <v/>
      </c>
      <c r="B13" s="22">
        <f>IF($A13="","",COUNTIF(项目台账!$C$4:$C$403,$A13))</f>
        <v/>
      </c>
      <c r="C13" s="19">
        <f>IF($A13="","",ROUND(SUMIF(项目台账!$C$4:$C$403,$A13,项目台账!$M$4:$M$403),2))</f>
        <v/>
      </c>
      <c r="D13" s="19">
        <f>IF($A13="","",ROUND(SUMIF(项目台账!$C$4:$C$403,$A13,项目台账!$O$4:$O$403),2))</f>
        <v/>
      </c>
      <c r="E13" s="19">
        <f>IF($A13="","",ROUND($C13-$D13,2))</f>
        <v/>
      </c>
      <c r="F13" s="22">
        <f>IF($A13="","",COUNTIFS(项目台账!$C$4:$C$403,$A13,项目台账!$J$4:$J$403,""))</f>
        <v/>
      </c>
      <c r="G13" s="23">
        <f>IF($A13="","",IFERROR(LOOKUP(1,0/((资金日记账!$H$4:$H$2503=$A13)*(资金日记账!$J$4:$J$2503&gt;0)),资金日记账!$B$4:$B$2503),""))</f>
        <v/>
      </c>
      <c r="H13" s="13" t="n"/>
    </row>
    <row r="14">
      <c r="A14" s="17">
        <f>IF(基础资料!$E13="","",基础资料!$E13)</f>
        <v/>
      </c>
      <c r="B14" s="22">
        <f>IF($A14="","",COUNTIF(项目台账!$C$4:$C$403,$A14))</f>
        <v/>
      </c>
      <c r="C14" s="19">
        <f>IF($A14="","",ROUND(SUMIF(项目台账!$C$4:$C$403,$A14,项目台账!$M$4:$M$403),2))</f>
        <v/>
      </c>
      <c r="D14" s="19">
        <f>IF($A14="","",ROUND(SUMIF(项目台账!$C$4:$C$403,$A14,项目台账!$O$4:$O$403),2))</f>
        <v/>
      </c>
      <c r="E14" s="19">
        <f>IF($A14="","",ROUND($C14-$D14,2))</f>
        <v/>
      </c>
      <c r="F14" s="22">
        <f>IF($A14="","",COUNTIFS(项目台账!$C$4:$C$403,$A14,项目台账!$J$4:$J$403,""))</f>
        <v/>
      </c>
      <c r="G14" s="23">
        <f>IF($A14="","",IFERROR(LOOKUP(1,0/((资金日记账!$H$4:$H$2503=$A14)*(资金日记账!$J$4:$J$2503&gt;0)),资金日记账!$B$4:$B$2503),""))</f>
        <v/>
      </c>
      <c r="H14" s="13" t="n"/>
    </row>
    <row r="15">
      <c r="A15" s="17">
        <f>IF(基础资料!$E14="","",基础资料!$E14)</f>
        <v/>
      </c>
      <c r="B15" s="22">
        <f>IF($A15="","",COUNTIF(项目台账!$C$4:$C$403,$A15))</f>
        <v/>
      </c>
      <c r="C15" s="19">
        <f>IF($A15="","",ROUND(SUMIF(项目台账!$C$4:$C$403,$A15,项目台账!$M$4:$M$403),2))</f>
        <v/>
      </c>
      <c r="D15" s="19">
        <f>IF($A15="","",ROUND(SUMIF(项目台账!$C$4:$C$403,$A15,项目台账!$O$4:$O$403),2))</f>
        <v/>
      </c>
      <c r="E15" s="19">
        <f>IF($A15="","",ROUND($C15-$D15,2))</f>
        <v/>
      </c>
      <c r="F15" s="22">
        <f>IF($A15="","",COUNTIFS(项目台账!$C$4:$C$403,$A15,项目台账!$J$4:$J$403,""))</f>
        <v/>
      </c>
      <c r="G15" s="23">
        <f>IF($A15="","",IFERROR(LOOKUP(1,0/((资金日记账!$H$4:$H$2503=$A15)*(资金日记账!$J$4:$J$2503&gt;0)),资金日记账!$B$4:$B$2503),""))</f>
        <v/>
      </c>
      <c r="H15" s="13" t="n"/>
    </row>
    <row r="16">
      <c r="A16" s="17">
        <f>IF(基础资料!$E15="","",基础资料!$E15)</f>
        <v/>
      </c>
      <c r="B16" s="22">
        <f>IF($A16="","",COUNTIF(项目台账!$C$4:$C$403,$A16))</f>
        <v/>
      </c>
      <c r="C16" s="19">
        <f>IF($A16="","",ROUND(SUMIF(项目台账!$C$4:$C$403,$A16,项目台账!$M$4:$M$403),2))</f>
        <v/>
      </c>
      <c r="D16" s="19">
        <f>IF($A16="","",ROUND(SUMIF(项目台账!$C$4:$C$403,$A16,项目台账!$O$4:$O$403),2))</f>
        <v/>
      </c>
      <c r="E16" s="19">
        <f>IF($A16="","",ROUND($C16-$D16,2))</f>
        <v/>
      </c>
      <c r="F16" s="22">
        <f>IF($A16="","",COUNTIFS(项目台账!$C$4:$C$403,$A16,项目台账!$J$4:$J$403,""))</f>
        <v/>
      </c>
      <c r="G16" s="23">
        <f>IF($A16="","",IFERROR(LOOKUP(1,0/((资金日记账!$H$4:$H$2503=$A16)*(资金日记账!$J$4:$J$2503&gt;0)),资金日记账!$B$4:$B$2503),""))</f>
        <v/>
      </c>
      <c r="H16" s="13" t="n"/>
    </row>
    <row r="17">
      <c r="A17" s="17">
        <f>IF(基础资料!$E16="","",基础资料!$E16)</f>
        <v/>
      </c>
      <c r="B17" s="22">
        <f>IF($A17="","",COUNTIF(项目台账!$C$4:$C$403,$A17))</f>
        <v/>
      </c>
      <c r="C17" s="19">
        <f>IF($A17="","",ROUND(SUMIF(项目台账!$C$4:$C$403,$A17,项目台账!$M$4:$M$403),2))</f>
        <v/>
      </c>
      <c r="D17" s="19">
        <f>IF($A17="","",ROUND(SUMIF(项目台账!$C$4:$C$403,$A17,项目台账!$O$4:$O$403),2))</f>
        <v/>
      </c>
      <c r="E17" s="19">
        <f>IF($A17="","",ROUND($C17-$D17,2))</f>
        <v/>
      </c>
      <c r="F17" s="22">
        <f>IF($A17="","",COUNTIFS(项目台账!$C$4:$C$403,$A17,项目台账!$J$4:$J$403,""))</f>
        <v/>
      </c>
      <c r="G17" s="23">
        <f>IF($A17="","",IFERROR(LOOKUP(1,0/((资金日记账!$H$4:$H$2503=$A17)*(资金日记账!$J$4:$J$2503&gt;0)),资金日记账!$B$4:$B$2503),""))</f>
        <v/>
      </c>
      <c r="H17" s="13" t="n"/>
    </row>
    <row r="18">
      <c r="A18" s="17">
        <f>IF(基础资料!$E17="","",基础资料!$E17)</f>
        <v/>
      </c>
      <c r="B18" s="22">
        <f>IF($A18="","",COUNTIF(项目台账!$C$4:$C$403,$A18))</f>
        <v/>
      </c>
      <c r="C18" s="19">
        <f>IF($A18="","",ROUND(SUMIF(项目台账!$C$4:$C$403,$A18,项目台账!$M$4:$M$403),2))</f>
        <v/>
      </c>
      <c r="D18" s="19">
        <f>IF($A18="","",ROUND(SUMIF(项目台账!$C$4:$C$403,$A18,项目台账!$O$4:$O$403),2))</f>
        <v/>
      </c>
      <c r="E18" s="19">
        <f>IF($A18="","",ROUND($C18-$D18,2))</f>
        <v/>
      </c>
      <c r="F18" s="22">
        <f>IF($A18="","",COUNTIFS(项目台账!$C$4:$C$403,$A18,项目台账!$J$4:$J$403,""))</f>
        <v/>
      </c>
      <c r="G18" s="23">
        <f>IF($A18="","",IFERROR(LOOKUP(1,0/((资金日记账!$H$4:$H$2503=$A18)*(资金日记账!$J$4:$J$2503&gt;0)),资金日记账!$B$4:$B$2503),""))</f>
        <v/>
      </c>
      <c r="H18" s="13" t="n"/>
    </row>
    <row r="19">
      <c r="A19" s="17">
        <f>IF(基础资料!$E18="","",基础资料!$E18)</f>
        <v/>
      </c>
      <c r="B19" s="22">
        <f>IF($A19="","",COUNTIF(项目台账!$C$4:$C$403,$A19))</f>
        <v/>
      </c>
      <c r="C19" s="19">
        <f>IF($A19="","",ROUND(SUMIF(项目台账!$C$4:$C$403,$A19,项目台账!$M$4:$M$403),2))</f>
        <v/>
      </c>
      <c r="D19" s="19">
        <f>IF($A19="","",ROUND(SUMIF(项目台账!$C$4:$C$403,$A19,项目台账!$O$4:$O$403),2))</f>
        <v/>
      </c>
      <c r="E19" s="19">
        <f>IF($A19="","",ROUND($C19-$D19,2))</f>
        <v/>
      </c>
      <c r="F19" s="22">
        <f>IF($A19="","",COUNTIFS(项目台账!$C$4:$C$403,$A19,项目台账!$J$4:$J$403,""))</f>
        <v/>
      </c>
      <c r="G19" s="23">
        <f>IF($A19="","",IFERROR(LOOKUP(1,0/((资金日记账!$H$4:$H$2503=$A19)*(资金日记账!$J$4:$J$2503&gt;0)),资金日记账!$B$4:$B$2503),""))</f>
        <v/>
      </c>
      <c r="H19" s="13" t="n"/>
    </row>
    <row r="20">
      <c r="A20" s="17">
        <f>IF(基础资料!$E19="","",基础资料!$E19)</f>
        <v/>
      </c>
      <c r="B20" s="22">
        <f>IF($A20="","",COUNTIF(项目台账!$C$4:$C$403,$A20))</f>
        <v/>
      </c>
      <c r="C20" s="19">
        <f>IF($A20="","",ROUND(SUMIF(项目台账!$C$4:$C$403,$A20,项目台账!$M$4:$M$403),2))</f>
        <v/>
      </c>
      <c r="D20" s="19">
        <f>IF($A20="","",ROUND(SUMIF(项目台账!$C$4:$C$403,$A20,项目台账!$O$4:$O$403),2))</f>
        <v/>
      </c>
      <c r="E20" s="19">
        <f>IF($A20="","",ROUND($C20-$D20,2))</f>
        <v/>
      </c>
      <c r="F20" s="22">
        <f>IF($A20="","",COUNTIFS(项目台账!$C$4:$C$403,$A20,项目台账!$J$4:$J$403,""))</f>
        <v/>
      </c>
      <c r="G20" s="23">
        <f>IF($A20="","",IFERROR(LOOKUP(1,0/((资金日记账!$H$4:$H$2503=$A20)*(资金日记账!$J$4:$J$2503&gt;0)),资金日记账!$B$4:$B$2503),""))</f>
        <v/>
      </c>
      <c r="H20" s="13" t="n"/>
    </row>
    <row r="21">
      <c r="A21" s="17">
        <f>IF(基础资料!$E20="","",基础资料!$E20)</f>
        <v/>
      </c>
      <c r="B21" s="22">
        <f>IF($A21="","",COUNTIF(项目台账!$C$4:$C$403,$A21))</f>
        <v/>
      </c>
      <c r="C21" s="19">
        <f>IF($A21="","",ROUND(SUMIF(项目台账!$C$4:$C$403,$A21,项目台账!$M$4:$M$403),2))</f>
        <v/>
      </c>
      <c r="D21" s="19">
        <f>IF($A21="","",ROUND(SUMIF(项目台账!$C$4:$C$403,$A21,项目台账!$O$4:$O$403),2))</f>
        <v/>
      </c>
      <c r="E21" s="19">
        <f>IF($A21="","",ROUND($C21-$D21,2))</f>
        <v/>
      </c>
      <c r="F21" s="22">
        <f>IF($A21="","",COUNTIFS(项目台账!$C$4:$C$403,$A21,项目台账!$J$4:$J$403,""))</f>
        <v/>
      </c>
      <c r="G21" s="23">
        <f>IF($A21="","",IFERROR(LOOKUP(1,0/((资金日记账!$H$4:$H$2503=$A21)*(资金日记账!$J$4:$J$2503&gt;0)),资金日记账!$B$4:$B$2503),""))</f>
        <v/>
      </c>
      <c r="H21" s="13" t="n"/>
    </row>
    <row r="22">
      <c r="A22" s="17">
        <f>IF(基础资料!$E21="","",基础资料!$E21)</f>
        <v/>
      </c>
      <c r="B22" s="22">
        <f>IF($A22="","",COUNTIF(项目台账!$C$4:$C$403,$A22))</f>
        <v/>
      </c>
      <c r="C22" s="19">
        <f>IF($A22="","",ROUND(SUMIF(项目台账!$C$4:$C$403,$A22,项目台账!$M$4:$M$403),2))</f>
        <v/>
      </c>
      <c r="D22" s="19">
        <f>IF($A22="","",ROUND(SUMIF(项目台账!$C$4:$C$403,$A22,项目台账!$O$4:$O$403),2))</f>
        <v/>
      </c>
      <c r="E22" s="19">
        <f>IF($A22="","",ROUND($C22-$D22,2))</f>
        <v/>
      </c>
      <c r="F22" s="22">
        <f>IF($A22="","",COUNTIFS(项目台账!$C$4:$C$403,$A22,项目台账!$J$4:$J$403,""))</f>
        <v/>
      </c>
      <c r="G22" s="23">
        <f>IF($A22="","",IFERROR(LOOKUP(1,0/((资金日记账!$H$4:$H$2503=$A22)*(资金日记账!$J$4:$J$2503&gt;0)),资金日记账!$B$4:$B$2503),""))</f>
        <v/>
      </c>
      <c r="H22" s="13" t="n"/>
    </row>
    <row r="23">
      <c r="A23" s="17">
        <f>IF(基础资料!$E22="","",基础资料!$E22)</f>
        <v/>
      </c>
      <c r="B23" s="22">
        <f>IF($A23="","",COUNTIF(项目台账!$C$4:$C$403,$A23))</f>
        <v/>
      </c>
      <c r="C23" s="19">
        <f>IF($A23="","",ROUND(SUMIF(项目台账!$C$4:$C$403,$A23,项目台账!$M$4:$M$403),2))</f>
        <v/>
      </c>
      <c r="D23" s="19">
        <f>IF($A23="","",ROUND(SUMIF(项目台账!$C$4:$C$403,$A23,项目台账!$O$4:$O$403),2))</f>
        <v/>
      </c>
      <c r="E23" s="19">
        <f>IF($A23="","",ROUND($C23-$D23,2))</f>
        <v/>
      </c>
      <c r="F23" s="22">
        <f>IF($A23="","",COUNTIFS(项目台账!$C$4:$C$403,$A23,项目台账!$J$4:$J$403,""))</f>
        <v/>
      </c>
      <c r="G23" s="23">
        <f>IF($A23="","",IFERROR(LOOKUP(1,0/((资金日记账!$H$4:$H$2503=$A23)*(资金日记账!$J$4:$J$2503&gt;0)),资金日记账!$B$4:$B$2503),""))</f>
        <v/>
      </c>
      <c r="H23" s="13" t="n"/>
    </row>
    <row r="24">
      <c r="A24" s="17">
        <f>IF(基础资料!$E23="","",基础资料!$E23)</f>
        <v/>
      </c>
      <c r="B24" s="22">
        <f>IF($A24="","",COUNTIF(项目台账!$C$4:$C$403,$A24))</f>
        <v/>
      </c>
      <c r="C24" s="19">
        <f>IF($A24="","",ROUND(SUMIF(项目台账!$C$4:$C$403,$A24,项目台账!$M$4:$M$403),2))</f>
        <v/>
      </c>
      <c r="D24" s="19">
        <f>IF($A24="","",ROUND(SUMIF(项目台账!$C$4:$C$403,$A24,项目台账!$O$4:$O$403),2))</f>
        <v/>
      </c>
      <c r="E24" s="19">
        <f>IF($A24="","",ROUND($C24-$D24,2))</f>
        <v/>
      </c>
      <c r="F24" s="22">
        <f>IF($A24="","",COUNTIFS(项目台账!$C$4:$C$403,$A24,项目台账!$J$4:$J$403,""))</f>
        <v/>
      </c>
      <c r="G24" s="23">
        <f>IF($A24="","",IFERROR(LOOKUP(1,0/((资金日记账!$H$4:$H$2503=$A24)*(资金日记账!$J$4:$J$2503&gt;0)),资金日记账!$B$4:$B$2503),""))</f>
        <v/>
      </c>
      <c r="H24" s="13" t="n"/>
    </row>
    <row r="25">
      <c r="A25" s="17">
        <f>IF(基础资料!$E24="","",基础资料!$E24)</f>
        <v/>
      </c>
      <c r="B25" s="22">
        <f>IF($A25="","",COUNTIF(项目台账!$C$4:$C$403,$A25))</f>
        <v/>
      </c>
      <c r="C25" s="19">
        <f>IF($A25="","",ROUND(SUMIF(项目台账!$C$4:$C$403,$A25,项目台账!$M$4:$M$403),2))</f>
        <v/>
      </c>
      <c r="D25" s="19">
        <f>IF($A25="","",ROUND(SUMIF(项目台账!$C$4:$C$403,$A25,项目台账!$O$4:$O$403),2))</f>
        <v/>
      </c>
      <c r="E25" s="19">
        <f>IF($A25="","",ROUND($C25-$D25,2))</f>
        <v/>
      </c>
      <c r="F25" s="22">
        <f>IF($A25="","",COUNTIFS(项目台账!$C$4:$C$403,$A25,项目台账!$J$4:$J$403,""))</f>
        <v/>
      </c>
      <c r="G25" s="23">
        <f>IF($A25="","",IFERROR(LOOKUP(1,0/((资金日记账!$H$4:$H$2503=$A25)*(资金日记账!$J$4:$J$2503&gt;0)),资金日记账!$B$4:$B$2503),""))</f>
        <v/>
      </c>
      <c r="H25" s="13" t="n"/>
    </row>
    <row r="26">
      <c r="A26" s="17">
        <f>IF(基础资料!$E25="","",基础资料!$E25)</f>
        <v/>
      </c>
      <c r="B26" s="22">
        <f>IF($A26="","",COUNTIF(项目台账!$C$4:$C$403,$A26))</f>
        <v/>
      </c>
      <c r="C26" s="19">
        <f>IF($A26="","",ROUND(SUMIF(项目台账!$C$4:$C$403,$A26,项目台账!$M$4:$M$403),2))</f>
        <v/>
      </c>
      <c r="D26" s="19">
        <f>IF($A26="","",ROUND(SUMIF(项目台账!$C$4:$C$403,$A26,项目台账!$O$4:$O$403),2))</f>
        <v/>
      </c>
      <c r="E26" s="19">
        <f>IF($A26="","",ROUND($C26-$D26,2))</f>
        <v/>
      </c>
      <c r="F26" s="22">
        <f>IF($A26="","",COUNTIFS(项目台账!$C$4:$C$403,$A26,项目台账!$J$4:$J$403,""))</f>
        <v/>
      </c>
      <c r="G26" s="23">
        <f>IF($A26="","",IFERROR(LOOKUP(1,0/((资金日记账!$H$4:$H$2503=$A26)*(资金日记账!$J$4:$J$2503&gt;0)),资金日记账!$B$4:$B$2503),""))</f>
        <v/>
      </c>
      <c r="H26" s="13" t="n"/>
    </row>
    <row r="27">
      <c r="A27" s="17">
        <f>IF(基础资料!$E26="","",基础资料!$E26)</f>
        <v/>
      </c>
      <c r="B27" s="22">
        <f>IF($A27="","",COUNTIF(项目台账!$C$4:$C$403,$A27))</f>
        <v/>
      </c>
      <c r="C27" s="19">
        <f>IF($A27="","",ROUND(SUMIF(项目台账!$C$4:$C$403,$A27,项目台账!$M$4:$M$403),2))</f>
        <v/>
      </c>
      <c r="D27" s="19">
        <f>IF($A27="","",ROUND(SUMIF(项目台账!$C$4:$C$403,$A27,项目台账!$O$4:$O$403),2))</f>
        <v/>
      </c>
      <c r="E27" s="19">
        <f>IF($A27="","",ROUND($C27-$D27,2))</f>
        <v/>
      </c>
      <c r="F27" s="22">
        <f>IF($A27="","",COUNTIFS(项目台账!$C$4:$C$403,$A27,项目台账!$J$4:$J$403,""))</f>
        <v/>
      </c>
      <c r="G27" s="23">
        <f>IF($A27="","",IFERROR(LOOKUP(1,0/((资金日记账!$H$4:$H$2503=$A27)*(资金日记账!$J$4:$J$2503&gt;0)),资金日记账!$B$4:$B$2503),""))</f>
        <v/>
      </c>
      <c r="H27" s="13" t="n"/>
    </row>
    <row r="28">
      <c r="A28" s="17">
        <f>IF(基础资料!$E27="","",基础资料!$E27)</f>
        <v/>
      </c>
      <c r="B28" s="22">
        <f>IF($A28="","",COUNTIF(项目台账!$C$4:$C$403,$A28))</f>
        <v/>
      </c>
      <c r="C28" s="19">
        <f>IF($A28="","",ROUND(SUMIF(项目台账!$C$4:$C$403,$A28,项目台账!$M$4:$M$403),2))</f>
        <v/>
      </c>
      <c r="D28" s="19">
        <f>IF($A28="","",ROUND(SUMIF(项目台账!$C$4:$C$403,$A28,项目台账!$O$4:$O$403),2))</f>
        <v/>
      </c>
      <c r="E28" s="19">
        <f>IF($A28="","",ROUND($C28-$D28,2))</f>
        <v/>
      </c>
      <c r="F28" s="22">
        <f>IF($A28="","",COUNTIFS(项目台账!$C$4:$C$403,$A28,项目台账!$J$4:$J$403,""))</f>
        <v/>
      </c>
      <c r="G28" s="23">
        <f>IF($A28="","",IFERROR(LOOKUP(1,0/((资金日记账!$H$4:$H$2503=$A28)*(资金日记账!$J$4:$J$2503&gt;0)),资金日记账!$B$4:$B$2503),""))</f>
        <v/>
      </c>
      <c r="H28" s="13" t="n"/>
    </row>
    <row r="29">
      <c r="A29" s="17">
        <f>IF(基础资料!$E28="","",基础资料!$E28)</f>
        <v/>
      </c>
      <c r="B29" s="22">
        <f>IF($A29="","",COUNTIF(项目台账!$C$4:$C$403,$A29))</f>
        <v/>
      </c>
      <c r="C29" s="19">
        <f>IF($A29="","",ROUND(SUMIF(项目台账!$C$4:$C$403,$A29,项目台账!$M$4:$M$403),2))</f>
        <v/>
      </c>
      <c r="D29" s="19">
        <f>IF($A29="","",ROUND(SUMIF(项目台账!$C$4:$C$403,$A29,项目台账!$O$4:$O$403),2))</f>
        <v/>
      </c>
      <c r="E29" s="19">
        <f>IF($A29="","",ROUND($C29-$D29,2))</f>
        <v/>
      </c>
      <c r="F29" s="22">
        <f>IF($A29="","",COUNTIFS(项目台账!$C$4:$C$403,$A29,项目台账!$J$4:$J$403,""))</f>
        <v/>
      </c>
      <c r="G29" s="23">
        <f>IF($A29="","",IFERROR(LOOKUP(1,0/((资金日记账!$H$4:$H$2503=$A29)*(资金日记账!$J$4:$J$2503&gt;0)),资金日记账!$B$4:$B$2503),""))</f>
        <v/>
      </c>
      <c r="H29" s="13" t="n"/>
    </row>
    <row r="30">
      <c r="A30" s="17">
        <f>IF(基础资料!$E29="","",基础资料!$E29)</f>
        <v/>
      </c>
      <c r="B30" s="22">
        <f>IF($A30="","",COUNTIF(项目台账!$C$4:$C$403,$A30))</f>
        <v/>
      </c>
      <c r="C30" s="19">
        <f>IF($A30="","",ROUND(SUMIF(项目台账!$C$4:$C$403,$A30,项目台账!$M$4:$M$403),2))</f>
        <v/>
      </c>
      <c r="D30" s="19">
        <f>IF($A30="","",ROUND(SUMIF(项目台账!$C$4:$C$403,$A30,项目台账!$O$4:$O$403),2))</f>
        <v/>
      </c>
      <c r="E30" s="19">
        <f>IF($A30="","",ROUND($C30-$D30,2))</f>
        <v/>
      </c>
      <c r="F30" s="22">
        <f>IF($A30="","",COUNTIFS(项目台账!$C$4:$C$403,$A30,项目台账!$J$4:$J$403,""))</f>
        <v/>
      </c>
      <c r="G30" s="23">
        <f>IF($A30="","",IFERROR(LOOKUP(1,0/((资金日记账!$H$4:$H$2503=$A30)*(资金日记账!$J$4:$J$2503&gt;0)),资金日记账!$B$4:$B$2503),""))</f>
        <v/>
      </c>
      <c r="H30" s="13" t="n"/>
    </row>
    <row r="31">
      <c r="A31" s="17">
        <f>IF(基础资料!$E30="","",基础资料!$E30)</f>
        <v/>
      </c>
      <c r="B31" s="22">
        <f>IF($A31="","",COUNTIF(项目台账!$C$4:$C$403,$A31))</f>
        <v/>
      </c>
      <c r="C31" s="19">
        <f>IF($A31="","",ROUND(SUMIF(项目台账!$C$4:$C$403,$A31,项目台账!$M$4:$M$403),2))</f>
        <v/>
      </c>
      <c r="D31" s="19">
        <f>IF($A31="","",ROUND(SUMIF(项目台账!$C$4:$C$403,$A31,项目台账!$O$4:$O$403),2))</f>
        <v/>
      </c>
      <c r="E31" s="19">
        <f>IF($A31="","",ROUND($C31-$D31,2))</f>
        <v/>
      </c>
      <c r="F31" s="22">
        <f>IF($A31="","",COUNTIFS(项目台账!$C$4:$C$403,$A31,项目台账!$J$4:$J$403,""))</f>
        <v/>
      </c>
      <c r="G31" s="23">
        <f>IF($A31="","",IFERROR(LOOKUP(1,0/((资金日记账!$H$4:$H$2503=$A31)*(资金日记账!$J$4:$J$2503&gt;0)),资金日记账!$B$4:$B$2503),""))</f>
        <v/>
      </c>
      <c r="H31" s="13" t="n"/>
    </row>
    <row r="32">
      <c r="A32" s="17">
        <f>IF(基础资料!$E31="","",基础资料!$E31)</f>
        <v/>
      </c>
      <c r="B32" s="22">
        <f>IF($A32="","",COUNTIF(项目台账!$C$4:$C$403,$A32))</f>
        <v/>
      </c>
      <c r="C32" s="19">
        <f>IF($A32="","",ROUND(SUMIF(项目台账!$C$4:$C$403,$A32,项目台账!$M$4:$M$403),2))</f>
        <v/>
      </c>
      <c r="D32" s="19">
        <f>IF($A32="","",ROUND(SUMIF(项目台账!$C$4:$C$403,$A32,项目台账!$O$4:$O$403),2))</f>
        <v/>
      </c>
      <c r="E32" s="19">
        <f>IF($A32="","",ROUND($C32-$D32,2))</f>
        <v/>
      </c>
      <c r="F32" s="22">
        <f>IF($A32="","",COUNTIFS(项目台账!$C$4:$C$403,$A32,项目台账!$J$4:$J$403,""))</f>
        <v/>
      </c>
      <c r="G32" s="23">
        <f>IF($A32="","",IFERROR(LOOKUP(1,0/((资金日记账!$H$4:$H$2503=$A32)*(资金日记账!$J$4:$J$2503&gt;0)),资金日记账!$B$4:$B$2503),""))</f>
        <v/>
      </c>
      <c r="H32" s="13" t="n"/>
    </row>
    <row r="33">
      <c r="A33" s="17">
        <f>IF(基础资料!$E32="","",基础资料!$E32)</f>
        <v/>
      </c>
      <c r="B33" s="22">
        <f>IF($A33="","",COUNTIF(项目台账!$C$4:$C$403,$A33))</f>
        <v/>
      </c>
      <c r="C33" s="19">
        <f>IF($A33="","",ROUND(SUMIF(项目台账!$C$4:$C$403,$A33,项目台账!$M$4:$M$403),2))</f>
        <v/>
      </c>
      <c r="D33" s="19">
        <f>IF($A33="","",ROUND(SUMIF(项目台账!$C$4:$C$403,$A33,项目台账!$O$4:$O$403),2))</f>
        <v/>
      </c>
      <c r="E33" s="19">
        <f>IF($A33="","",ROUND($C33-$D33,2))</f>
        <v/>
      </c>
      <c r="F33" s="22">
        <f>IF($A33="","",COUNTIFS(项目台账!$C$4:$C$403,$A33,项目台账!$J$4:$J$403,""))</f>
        <v/>
      </c>
      <c r="G33" s="23">
        <f>IF($A33="","",IFERROR(LOOKUP(1,0/((资金日记账!$H$4:$H$2503=$A33)*(资金日记账!$J$4:$J$2503&gt;0)),资金日记账!$B$4:$B$2503),""))</f>
        <v/>
      </c>
      <c r="H33" s="13" t="n"/>
    </row>
    <row r="34">
      <c r="A34" s="17">
        <f>IF(基础资料!$E33="","",基础资料!$E33)</f>
        <v/>
      </c>
      <c r="B34" s="22">
        <f>IF($A34="","",COUNTIF(项目台账!$C$4:$C$403,$A34))</f>
        <v/>
      </c>
      <c r="C34" s="19">
        <f>IF($A34="","",ROUND(SUMIF(项目台账!$C$4:$C$403,$A34,项目台账!$M$4:$M$403),2))</f>
        <v/>
      </c>
      <c r="D34" s="19">
        <f>IF($A34="","",ROUND(SUMIF(项目台账!$C$4:$C$403,$A34,项目台账!$O$4:$O$403),2))</f>
        <v/>
      </c>
      <c r="E34" s="19">
        <f>IF($A34="","",ROUND($C34-$D34,2))</f>
        <v/>
      </c>
      <c r="F34" s="22">
        <f>IF($A34="","",COUNTIFS(项目台账!$C$4:$C$403,$A34,项目台账!$J$4:$J$403,""))</f>
        <v/>
      </c>
      <c r="G34" s="23">
        <f>IF($A34="","",IFERROR(LOOKUP(1,0/((资金日记账!$H$4:$H$2503=$A34)*(资金日记账!$J$4:$J$2503&gt;0)),资金日记账!$B$4:$B$2503),""))</f>
        <v/>
      </c>
      <c r="H34" s="13" t="n"/>
    </row>
    <row r="35">
      <c r="A35" s="17">
        <f>IF(基础资料!$E34="","",基础资料!$E34)</f>
        <v/>
      </c>
      <c r="B35" s="22">
        <f>IF($A35="","",COUNTIF(项目台账!$C$4:$C$403,$A35))</f>
        <v/>
      </c>
      <c r="C35" s="19">
        <f>IF($A35="","",ROUND(SUMIF(项目台账!$C$4:$C$403,$A35,项目台账!$M$4:$M$403),2))</f>
        <v/>
      </c>
      <c r="D35" s="19">
        <f>IF($A35="","",ROUND(SUMIF(项目台账!$C$4:$C$403,$A35,项目台账!$O$4:$O$403),2))</f>
        <v/>
      </c>
      <c r="E35" s="19">
        <f>IF($A35="","",ROUND($C35-$D35,2))</f>
        <v/>
      </c>
      <c r="F35" s="22">
        <f>IF($A35="","",COUNTIFS(项目台账!$C$4:$C$403,$A35,项目台账!$J$4:$J$403,""))</f>
        <v/>
      </c>
      <c r="G35" s="23">
        <f>IF($A35="","",IFERROR(LOOKUP(1,0/((资金日记账!$H$4:$H$2503=$A35)*(资金日记账!$J$4:$J$2503&gt;0)),资金日记账!$B$4:$B$2503),""))</f>
        <v/>
      </c>
      <c r="H35" s="13" t="n"/>
    </row>
    <row r="36">
      <c r="A36" s="17">
        <f>IF(基础资料!$E35="","",基础资料!$E35)</f>
        <v/>
      </c>
      <c r="B36" s="22">
        <f>IF($A36="","",COUNTIF(项目台账!$C$4:$C$403,$A36))</f>
        <v/>
      </c>
      <c r="C36" s="19">
        <f>IF($A36="","",ROUND(SUMIF(项目台账!$C$4:$C$403,$A36,项目台账!$M$4:$M$403),2))</f>
        <v/>
      </c>
      <c r="D36" s="19">
        <f>IF($A36="","",ROUND(SUMIF(项目台账!$C$4:$C$403,$A36,项目台账!$O$4:$O$403),2))</f>
        <v/>
      </c>
      <c r="E36" s="19">
        <f>IF($A36="","",ROUND($C36-$D36,2))</f>
        <v/>
      </c>
      <c r="F36" s="22">
        <f>IF($A36="","",COUNTIFS(项目台账!$C$4:$C$403,$A36,项目台账!$J$4:$J$403,""))</f>
        <v/>
      </c>
      <c r="G36" s="23">
        <f>IF($A36="","",IFERROR(LOOKUP(1,0/((资金日记账!$H$4:$H$2503=$A36)*(资金日记账!$J$4:$J$2503&gt;0)),资金日记账!$B$4:$B$2503),""))</f>
        <v/>
      </c>
      <c r="H36" s="13" t="n"/>
    </row>
    <row r="37">
      <c r="A37" s="17">
        <f>IF(基础资料!$E36="","",基础资料!$E36)</f>
        <v/>
      </c>
      <c r="B37" s="22">
        <f>IF($A37="","",COUNTIF(项目台账!$C$4:$C$403,$A37))</f>
        <v/>
      </c>
      <c r="C37" s="19">
        <f>IF($A37="","",ROUND(SUMIF(项目台账!$C$4:$C$403,$A37,项目台账!$M$4:$M$403),2))</f>
        <v/>
      </c>
      <c r="D37" s="19">
        <f>IF($A37="","",ROUND(SUMIF(项目台账!$C$4:$C$403,$A37,项目台账!$O$4:$O$403),2))</f>
        <v/>
      </c>
      <c r="E37" s="19">
        <f>IF($A37="","",ROUND($C37-$D37,2))</f>
        <v/>
      </c>
      <c r="F37" s="22">
        <f>IF($A37="","",COUNTIFS(项目台账!$C$4:$C$403,$A37,项目台账!$J$4:$J$403,""))</f>
        <v/>
      </c>
      <c r="G37" s="23">
        <f>IF($A37="","",IFERROR(LOOKUP(1,0/((资金日记账!$H$4:$H$2503=$A37)*(资金日记账!$J$4:$J$2503&gt;0)),资金日记账!$B$4:$B$2503),""))</f>
        <v/>
      </c>
      <c r="H37" s="13" t="n"/>
    </row>
    <row r="38">
      <c r="A38" s="17">
        <f>IF(基础资料!$E37="","",基础资料!$E37)</f>
        <v/>
      </c>
      <c r="B38" s="22">
        <f>IF($A38="","",COUNTIF(项目台账!$C$4:$C$403,$A38))</f>
        <v/>
      </c>
      <c r="C38" s="19">
        <f>IF($A38="","",ROUND(SUMIF(项目台账!$C$4:$C$403,$A38,项目台账!$M$4:$M$403),2))</f>
        <v/>
      </c>
      <c r="D38" s="19">
        <f>IF($A38="","",ROUND(SUMIF(项目台账!$C$4:$C$403,$A38,项目台账!$O$4:$O$403),2))</f>
        <v/>
      </c>
      <c r="E38" s="19">
        <f>IF($A38="","",ROUND($C38-$D38,2))</f>
        <v/>
      </c>
      <c r="F38" s="22">
        <f>IF($A38="","",COUNTIFS(项目台账!$C$4:$C$403,$A38,项目台账!$J$4:$J$403,""))</f>
        <v/>
      </c>
      <c r="G38" s="23">
        <f>IF($A38="","",IFERROR(LOOKUP(1,0/((资金日记账!$H$4:$H$2503=$A38)*(资金日记账!$J$4:$J$2503&gt;0)),资金日记账!$B$4:$B$2503),""))</f>
        <v/>
      </c>
      <c r="H38" s="13" t="n"/>
    </row>
    <row r="39">
      <c r="A39" s="17">
        <f>IF(基础资料!$E38="","",基础资料!$E38)</f>
        <v/>
      </c>
      <c r="B39" s="22">
        <f>IF($A39="","",COUNTIF(项目台账!$C$4:$C$403,$A39))</f>
        <v/>
      </c>
      <c r="C39" s="19">
        <f>IF($A39="","",ROUND(SUMIF(项目台账!$C$4:$C$403,$A39,项目台账!$M$4:$M$403),2))</f>
        <v/>
      </c>
      <c r="D39" s="19">
        <f>IF($A39="","",ROUND(SUMIF(项目台账!$C$4:$C$403,$A39,项目台账!$O$4:$O$403),2))</f>
        <v/>
      </c>
      <c r="E39" s="19">
        <f>IF($A39="","",ROUND($C39-$D39,2))</f>
        <v/>
      </c>
      <c r="F39" s="22">
        <f>IF($A39="","",COUNTIFS(项目台账!$C$4:$C$403,$A39,项目台账!$J$4:$J$403,""))</f>
        <v/>
      </c>
      <c r="G39" s="23">
        <f>IF($A39="","",IFERROR(LOOKUP(1,0/((资金日记账!$H$4:$H$2503=$A39)*(资金日记账!$J$4:$J$2503&gt;0)),资金日记账!$B$4:$B$2503),""))</f>
        <v/>
      </c>
      <c r="H39" s="13" t="n"/>
    </row>
    <row r="40">
      <c r="A40" s="17">
        <f>IF(基础资料!$E39="","",基础资料!$E39)</f>
        <v/>
      </c>
      <c r="B40" s="22">
        <f>IF($A40="","",COUNTIF(项目台账!$C$4:$C$403,$A40))</f>
        <v/>
      </c>
      <c r="C40" s="19">
        <f>IF($A40="","",ROUND(SUMIF(项目台账!$C$4:$C$403,$A40,项目台账!$M$4:$M$403),2))</f>
        <v/>
      </c>
      <c r="D40" s="19">
        <f>IF($A40="","",ROUND(SUMIF(项目台账!$C$4:$C$403,$A40,项目台账!$O$4:$O$403),2))</f>
        <v/>
      </c>
      <c r="E40" s="19">
        <f>IF($A40="","",ROUND($C40-$D40,2))</f>
        <v/>
      </c>
      <c r="F40" s="22">
        <f>IF($A40="","",COUNTIFS(项目台账!$C$4:$C$403,$A40,项目台账!$J$4:$J$403,""))</f>
        <v/>
      </c>
      <c r="G40" s="23">
        <f>IF($A40="","",IFERROR(LOOKUP(1,0/((资金日记账!$H$4:$H$2503=$A40)*(资金日记账!$J$4:$J$2503&gt;0)),资金日记账!$B$4:$B$2503),""))</f>
        <v/>
      </c>
      <c r="H40" s="13" t="n"/>
    </row>
    <row r="41">
      <c r="A41" s="17">
        <f>IF(基础资料!$E40="","",基础资料!$E40)</f>
        <v/>
      </c>
      <c r="B41" s="22">
        <f>IF($A41="","",COUNTIF(项目台账!$C$4:$C$403,$A41))</f>
        <v/>
      </c>
      <c r="C41" s="19">
        <f>IF($A41="","",ROUND(SUMIF(项目台账!$C$4:$C$403,$A41,项目台账!$M$4:$M$403),2))</f>
        <v/>
      </c>
      <c r="D41" s="19">
        <f>IF($A41="","",ROUND(SUMIF(项目台账!$C$4:$C$403,$A41,项目台账!$O$4:$O$403),2))</f>
        <v/>
      </c>
      <c r="E41" s="19">
        <f>IF($A41="","",ROUND($C41-$D41,2))</f>
        <v/>
      </c>
      <c r="F41" s="22">
        <f>IF($A41="","",COUNTIFS(项目台账!$C$4:$C$403,$A41,项目台账!$J$4:$J$403,""))</f>
        <v/>
      </c>
      <c r="G41" s="23">
        <f>IF($A41="","",IFERROR(LOOKUP(1,0/((资金日记账!$H$4:$H$2503=$A41)*(资金日记账!$J$4:$J$2503&gt;0)),资金日记账!$B$4:$B$2503),""))</f>
        <v/>
      </c>
      <c r="H41" s="13" t="n"/>
    </row>
    <row r="42">
      <c r="A42" s="17">
        <f>IF(基础资料!$E41="","",基础资料!$E41)</f>
        <v/>
      </c>
      <c r="B42" s="22">
        <f>IF($A42="","",COUNTIF(项目台账!$C$4:$C$403,$A42))</f>
        <v/>
      </c>
      <c r="C42" s="19">
        <f>IF($A42="","",ROUND(SUMIF(项目台账!$C$4:$C$403,$A42,项目台账!$M$4:$M$403),2))</f>
        <v/>
      </c>
      <c r="D42" s="19">
        <f>IF($A42="","",ROUND(SUMIF(项目台账!$C$4:$C$403,$A42,项目台账!$O$4:$O$403),2))</f>
        <v/>
      </c>
      <c r="E42" s="19">
        <f>IF($A42="","",ROUND($C42-$D42,2))</f>
        <v/>
      </c>
      <c r="F42" s="22">
        <f>IF($A42="","",COUNTIFS(项目台账!$C$4:$C$403,$A42,项目台账!$J$4:$J$403,""))</f>
        <v/>
      </c>
      <c r="G42" s="23">
        <f>IF($A42="","",IFERROR(LOOKUP(1,0/((资金日记账!$H$4:$H$2503=$A42)*(资金日记账!$J$4:$J$2503&gt;0)),资金日记账!$B$4:$B$2503),""))</f>
        <v/>
      </c>
      <c r="H42" s="13" t="n"/>
    </row>
    <row r="43">
      <c r="A43" s="17">
        <f>IF(基础资料!$E42="","",基础资料!$E42)</f>
        <v/>
      </c>
      <c r="B43" s="22">
        <f>IF($A43="","",COUNTIF(项目台账!$C$4:$C$403,$A43))</f>
        <v/>
      </c>
      <c r="C43" s="19">
        <f>IF($A43="","",ROUND(SUMIF(项目台账!$C$4:$C$403,$A43,项目台账!$M$4:$M$403),2))</f>
        <v/>
      </c>
      <c r="D43" s="19">
        <f>IF($A43="","",ROUND(SUMIF(项目台账!$C$4:$C$403,$A43,项目台账!$O$4:$O$403),2))</f>
        <v/>
      </c>
      <c r="E43" s="19">
        <f>IF($A43="","",ROUND($C43-$D43,2))</f>
        <v/>
      </c>
      <c r="F43" s="22">
        <f>IF($A43="","",COUNTIFS(项目台账!$C$4:$C$403,$A43,项目台账!$J$4:$J$403,""))</f>
        <v/>
      </c>
      <c r="G43" s="23">
        <f>IF($A43="","",IFERROR(LOOKUP(1,0/((资金日记账!$H$4:$H$2503=$A43)*(资金日记账!$J$4:$J$2503&gt;0)),资金日记账!$B$4:$B$2503),""))</f>
        <v/>
      </c>
      <c r="H43" s="13" t="n"/>
    </row>
    <row r="44">
      <c r="A44" s="17">
        <f>IF(基础资料!$E43="","",基础资料!$E43)</f>
        <v/>
      </c>
      <c r="B44" s="22">
        <f>IF($A44="","",COUNTIF(项目台账!$C$4:$C$403,$A44))</f>
        <v/>
      </c>
      <c r="C44" s="19">
        <f>IF($A44="","",ROUND(SUMIF(项目台账!$C$4:$C$403,$A44,项目台账!$M$4:$M$403),2))</f>
        <v/>
      </c>
      <c r="D44" s="19">
        <f>IF($A44="","",ROUND(SUMIF(项目台账!$C$4:$C$403,$A44,项目台账!$O$4:$O$403),2))</f>
        <v/>
      </c>
      <c r="E44" s="19">
        <f>IF($A44="","",ROUND($C44-$D44,2))</f>
        <v/>
      </c>
      <c r="F44" s="22">
        <f>IF($A44="","",COUNTIFS(项目台账!$C$4:$C$403,$A44,项目台账!$J$4:$J$403,""))</f>
        <v/>
      </c>
      <c r="G44" s="23">
        <f>IF($A44="","",IFERROR(LOOKUP(1,0/((资金日记账!$H$4:$H$2503=$A44)*(资金日记账!$J$4:$J$2503&gt;0)),资金日记账!$B$4:$B$2503),""))</f>
        <v/>
      </c>
      <c r="H44" s="13" t="n"/>
    </row>
    <row r="45">
      <c r="A45" s="17">
        <f>IF(基础资料!$E44="","",基础资料!$E44)</f>
        <v/>
      </c>
      <c r="B45" s="22">
        <f>IF($A45="","",COUNTIF(项目台账!$C$4:$C$403,$A45))</f>
        <v/>
      </c>
      <c r="C45" s="19">
        <f>IF($A45="","",ROUND(SUMIF(项目台账!$C$4:$C$403,$A45,项目台账!$M$4:$M$403),2))</f>
        <v/>
      </c>
      <c r="D45" s="19">
        <f>IF($A45="","",ROUND(SUMIF(项目台账!$C$4:$C$403,$A45,项目台账!$O$4:$O$403),2))</f>
        <v/>
      </c>
      <c r="E45" s="19">
        <f>IF($A45="","",ROUND($C45-$D45,2))</f>
        <v/>
      </c>
      <c r="F45" s="22">
        <f>IF($A45="","",COUNTIFS(项目台账!$C$4:$C$403,$A45,项目台账!$J$4:$J$403,""))</f>
        <v/>
      </c>
      <c r="G45" s="23">
        <f>IF($A45="","",IFERROR(LOOKUP(1,0/((资金日记账!$H$4:$H$2503=$A45)*(资金日记账!$J$4:$J$2503&gt;0)),资金日记账!$B$4:$B$2503),""))</f>
        <v/>
      </c>
      <c r="H45" s="13" t="n"/>
    </row>
    <row r="46">
      <c r="A46" s="17">
        <f>IF(基础资料!$E45="","",基础资料!$E45)</f>
        <v/>
      </c>
      <c r="B46" s="22">
        <f>IF($A46="","",COUNTIF(项目台账!$C$4:$C$403,$A46))</f>
        <v/>
      </c>
      <c r="C46" s="19">
        <f>IF($A46="","",ROUND(SUMIF(项目台账!$C$4:$C$403,$A46,项目台账!$M$4:$M$403),2))</f>
        <v/>
      </c>
      <c r="D46" s="19">
        <f>IF($A46="","",ROUND(SUMIF(项目台账!$C$4:$C$403,$A46,项目台账!$O$4:$O$403),2))</f>
        <v/>
      </c>
      <c r="E46" s="19">
        <f>IF($A46="","",ROUND($C46-$D46,2))</f>
        <v/>
      </c>
      <c r="F46" s="22">
        <f>IF($A46="","",COUNTIFS(项目台账!$C$4:$C$403,$A46,项目台账!$J$4:$J$403,""))</f>
        <v/>
      </c>
      <c r="G46" s="23">
        <f>IF($A46="","",IFERROR(LOOKUP(1,0/((资金日记账!$H$4:$H$2503=$A46)*(资金日记账!$J$4:$J$2503&gt;0)),资金日记账!$B$4:$B$2503),""))</f>
        <v/>
      </c>
      <c r="H46" s="13" t="n"/>
    </row>
    <row r="47">
      <c r="A47" s="17">
        <f>IF(基础资料!$E46="","",基础资料!$E46)</f>
        <v/>
      </c>
      <c r="B47" s="22">
        <f>IF($A47="","",COUNTIF(项目台账!$C$4:$C$403,$A47))</f>
        <v/>
      </c>
      <c r="C47" s="19">
        <f>IF($A47="","",ROUND(SUMIF(项目台账!$C$4:$C$403,$A47,项目台账!$M$4:$M$403),2))</f>
        <v/>
      </c>
      <c r="D47" s="19">
        <f>IF($A47="","",ROUND(SUMIF(项目台账!$C$4:$C$403,$A47,项目台账!$O$4:$O$403),2))</f>
        <v/>
      </c>
      <c r="E47" s="19">
        <f>IF($A47="","",ROUND($C47-$D47,2))</f>
        <v/>
      </c>
      <c r="F47" s="22">
        <f>IF($A47="","",COUNTIFS(项目台账!$C$4:$C$403,$A47,项目台账!$J$4:$J$403,""))</f>
        <v/>
      </c>
      <c r="G47" s="23">
        <f>IF($A47="","",IFERROR(LOOKUP(1,0/((资金日记账!$H$4:$H$2503=$A47)*(资金日记账!$J$4:$J$2503&gt;0)),资金日记账!$B$4:$B$2503),""))</f>
        <v/>
      </c>
      <c r="H47" s="13" t="n"/>
    </row>
    <row r="48">
      <c r="A48" s="17">
        <f>IF(基础资料!$E47="","",基础资料!$E47)</f>
        <v/>
      </c>
      <c r="B48" s="22">
        <f>IF($A48="","",COUNTIF(项目台账!$C$4:$C$403,$A48))</f>
        <v/>
      </c>
      <c r="C48" s="19">
        <f>IF($A48="","",ROUND(SUMIF(项目台账!$C$4:$C$403,$A48,项目台账!$M$4:$M$403),2))</f>
        <v/>
      </c>
      <c r="D48" s="19">
        <f>IF($A48="","",ROUND(SUMIF(项目台账!$C$4:$C$403,$A48,项目台账!$O$4:$O$403),2))</f>
        <v/>
      </c>
      <c r="E48" s="19">
        <f>IF($A48="","",ROUND($C48-$D48,2))</f>
        <v/>
      </c>
      <c r="F48" s="22">
        <f>IF($A48="","",COUNTIFS(项目台账!$C$4:$C$403,$A48,项目台账!$J$4:$J$403,""))</f>
        <v/>
      </c>
      <c r="G48" s="23">
        <f>IF($A48="","",IFERROR(LOOKUP(1,0/((资金日记账!$H$4:$H$2503=$A48)*(资金日记账!$J$4:$J$2503&gt;0)),资金日记账!$B$4:$B$2503),""))</f>
        <v/>
      </c>
      <c r="H48" s="13" t="n"/>
    </row>
    <row r="49">
      <c r="A49" s="17">
        <f>IF(基础资料!$E48="","",基础资料!$E48)</f>
        <v/>
      </c>
      <c r="B49" s="22">
        <f>IF($A49="","",COUNTIF(项目台账!$C$4:$C$403,$A49))</f>
        <v/>
      </c>
      <c r="C49" s="19">
        <f>IF($A49="","",ROUND(SUMIF(项目台账!$C$4:$C$403,$A49,项目台账!$M$4:$M$403),2))</f>
        <v/>
      </c>
      <c r="D49" s="19">
        <f>IF($A49="","",ROUND(SUMIF(项目台账!$C$4:$C$403,$A49,项目台账!$O$4:$O$403),2))</f>
        <v/>
      </c>
      <c r="E49" s="19">
        <f>IF($A49="","",ROUND($C49-$D49,2))</f>
        <v/>
      </c>
      <c r="F49" s="22">
        <f>IF($A49="","",COUNTIFS(项目台账!$C$4:$C$403,$A49,项目台账!$J$4:$J$403,""))</f>
        <v/>
      </c>
      <c r="G49" s="23">
        <f>IF($A49="","",IFERROR(LOOKUP(1,0/((资金日记账!$H$4:$H$2503=$A49)*(资金日记账!$J$4:$J$2503&gt;0)),资金日记账!$B$4:$B$2503),""))</f>
        <v/>
      </c>
      <c r="H49" s="13" t="n"/>
    </row>
    <row r="50">
      <c r="A50" s="17">
        <f>IF(基础资料!$E49="","",基础资料!$E49)</f>
        <v/>
      </c>
      <c r="B50" s="22">
        <f>IF($A50="","",COUNTIF(项目台账!$C$4:$C$403,$A50))</f>
        <v/>
      </c>
      <c r="C50" s="19">
        <f>IF($A50="","",ROUND(SUMIF(项目台账!$C$4:$C$403,$A50,项目台账!$M$4:$M$403),2))</f>
        <v/>
      </c>
      <c r="D50" s="19">
        <f>IF($A50="","",ROUND(SUMIF(项目台账!$C$4:$C$403,$A50,项目台账!$O$4:$O$403),2))</f>
        <v/>
      </c>
      <c r="E50" s="19">
        <f>IF($A50="","",ROUND($C50-$D50,2))</f>
        <v/>
      </c>
      <c r="F50" s="22">
        <f>IF($A50="","",COUNTIFS(项目台账!$C$4:$C$403,$A50,项目台账!$J$4:$J$403,""))</f>
        <v/>
      </c>
      <c r="G50" s="23">
        <f>IF($A50="","",IFERROR(LOOKUP(1,0/((资金日记账!$H$4:$H$2503=$A50)*(资金日记账!$J$4:$J$2503&gt;0)),资金日记账!$B$4:$B$2503),""))</f>
        <v/>
      </c>
      <c r="H50" s="13" t="n"/>
    </row>
    <row r="51">
      <c r="A51" s="17">
        <f>IF(基础资料!$E50="","",基础资料!$E50)</f>
        <v/>
      </c>
      <c r="B51" s="22">
        <f>IF($A51="","",COUNTIF(项目台账!$C$4:$C$403,$A51))</f>
        <v/>
      </c>
      <c r="C51" s="19">
        <f>IF($A51="","",ROUND(SUMIF(项目台账!$C$4:$C$403,$A51,项目台账!$M$4:$M$403),2))</f>
        <v/>
      </c>
      <c r="D51" s="19">
        <f>IF($A51="","",ROUND(SUMIF(项目台账!$C$4:$C$403,$A51,项目台账!$O$4:$O$403),2))</f>
        <v/>
      </c>
      <c r="E51" s="19">
        <f>IF($A51="","",ROUND($C51-$D51,2))</f>
        <v/>
      </c>
      <c r="F51" s="22">
        <f>IF($A51="","",COUNTIFS(项目台账!$C$4:$C$403,$A51,项目台账!$J$4:$J$403,""))</f>
        <v/>
      </c>
      <c r="G51" s="23">
        <f>IF($A51="","",IFERROR(LOOKUP(1,0/((资金日记账!$H$4:$H$2503=$A51)*(资金日记账!$J$4:$J$2503&gt;0)),资金日记账!$B$4:$B$2503),""))</f>
        <v/>
      </c>
      <c r="H51" s="13" t="n"/>
    </row>
    <row r="52">
      <c r="A52" s="17">
        <f>IF(基础资料!$E51="","",基础资料!$E51)</f>
        <v/>
      </c>
      <c r="B52" s="22">
        <f>IF($A52="","",COUNTIF(项目台账!$C$4:$C$403,$A52))</f>
        <v/>
      </c>
      <c r="C52" s="19">
        <f>IF($A52="","",ROUND(SUMIF(项目台账!$C$4:$C$403,$A52,项目台账!$M$4:$M$403),2))</f>
        <v/>
      </c>
      <c r="D52" s="19">
        <f>IF($A52="","",ROUND(SUMIF(项目台账!$C$4:$C$403,$A52,项目台账!$O$4:$O$403),2))</f>
        <v/>
      </c>
      <c r="E52" s="19">
        <f>IF($A52="","",ROUND($C52-$D52,2))</f>
        <v/>
      </c>
      <c r="F52" s="22">
        <f>IF($A52="","",COUNTIFS(项目台账!$C$4:$C$403,$A52,项目台账!$J$4:$J$403,""))</f>
        <v/>
      </c>
      <c r="G52" s="23">
        <f>IF($A52="","",IFERROR(LOOKUP(1,0/((资金日记账!$H$4:$H$2503=$A52)*(资金日记账!$J$4:$J$2503&gt;0)),资金日记账!$B$4:$B$2503),""))</f>
        <v/>
      </c>
      <c r="H52" s="13" t="n"/>
    </row>
    <row r="53">
      <c r="A53" s="17">
        <f>IF(基础资料!$E52="","",基础资料!$E52)</f>
        <v/>
      </c>
      <c r="B53" s="22">
        <f>IF($A53="","",COUNTIF(项目台账!$C$4:$C$403,$A53))</f>
        <v/>
      </c>
      <c r="C53" s="19">
        <f>IF($A53="","",ROUND(SUMIF(项目台账!$C$4:$C$403,$A53,项目台账!$M$4:$M$403),2))</f>
        <v/>
      </c>
      <c r="D53" s="19">
        <f>IF($A53="","",ROUND(SUMIF(项目台账!$C$4:$C$403,$A53,项目台账!$O$4:$O$403),2))</f>
        <v/>
      </c>
      <c r="E53" s="19">
        <f>IF($A53="","",ROUND($C53-$D53,2))</f>
        <v/>
      </c>
      <c r="F53" s="22">
        <f>IF($A53="","",COUNTIFS(项目台账!$C$4:$C$403,$A53,项目台账!$J$4:$J$403,""))</f>
        <v/>
      </c>
      <c r="G53" s="23">
        <f>IF($A53="","",IFERROR(LOOKUP(1,0/((资金日记账!$H$4:$H$2503=$A53)*(资金日记账!$J$4:$J$2503&gt;0)),资金日记账!$B$4:$B$2503),""))</f>
        <v/>
      </c>
      <c r="H53" s="13" t="n"/>
    </row>
    <row r="54">
      <c r="A54" s="17">
        <f>IF(基础资料!$E53="","",基础资料!$E53)</f>
        <v/>
      </c>
      <c r="B54" s="22">
        <f>IF($A54="","",COUNTIF(项目台账!$C$4:$C$403,$A54))</f>
        <v/>
      </c>
      <c r="C54" s="19">
        <f>IF($A54="","",ROUND(SUMIF(项目台账!$C$4:$C$403,$A54,项目台账!$M$4:$M$403),2))</f>
        <v/>
      </c>
      <c r="D54" s="19">
        <f>IF($A54="","",ROUND(SUMIF(项目台账!$C$4:$C$403,$A54,项目台账!$O$4:$O$403),2))</f>
        <v/>
      </c>
      <c r="E54" s="19">
        <f>IF($A54="","",ROUND($C54-$D54,2))</f>
        <v/>
      </c>
      <c r="F54" s="22">
        <f>IF($A54="","",COUNTIFS(项目台账!$C$4:$C$403,$A54,项目台账!$J$4:$J$403,""))</f>
        <v/>
      </c>
      <c r="G54" s="23">
        <f>IF($A54="","",IFERROR(LOOKUP(1,0/((资金日记账!$H$4:$H$2503=$A54)*(资金日记账!$J$4:$J$2503&gt;0)),资金日记账!$B$4:$B$2503),""))</f>
        <v/>
      </c>
      <c r="H54" s="13" t="n"/>
    </row>
    <row r="55">
      <c r="A55" s="17">
        <f>IF(基础资料!$E54="","",基础资料!$E54)</f>
        <v/>
      </c>
      <c r="B55" s="22">
        <f>IF($A55="","",COUNTIF(项目台账!$C$4:$C$403,$A55))</f>
        <v/>
      </c>
      <c r="C55" s="19">
        <f>IF($A55="","",ROUND(SUMIF(项目台账!$C$4:$C$403,$A55,项目台账!$M$4:$M$403),2))</f>
        <v/>
      </c>
      <c r="D55" s="19">
        <f>IF($A55="","",ROUND(SUMIF(项目台账!$C$4:$C$403,$A55,项目台账!$O$4:$O$403),2))</f>
        <v/>
      </c>
      <c r="E55" s="19">
        <f>IF($A55="","",ROUND($C55-$D55,2))</f>
        <v/>
      </c>
      <c r="F55" s="22">
        <f>IF($A55="","",COUNTIFS(项目台账!$C$4:$C$403,$A55,项目台账!$J$4:$J$403,""))</f>
        <v/>
      </c>
      <c r="G55" s="23">
        <f>IF($A55="","",IFERROR(LOOKUP(1,0/((资金日记账!$H$4:$H$2503=$A55)*(资金日记账!$J$4:$J$2503&gt;0)),资金日记账!$B$4:$B$2503),""))</f>
        <v/>
      </c>
      <c r="H55" s="13" t="n"/>
    </row>
    <row r="56">
      <c r="A56" s="17">
        <f>IF(基础资料!$E55="","",基础资料!$E55)</f>
        <v/>
      </c>
      <c r="B56" s="22">
        <f>IF($A56="","",COUNTIF(项目台账!$C$4:$C$403,$A56))</f>
        <v/>
      </c>
      <c r="C56" s="19">
        <f>IF($A56="","",ROUND(SUMIF(项目台账!$C$4:$C$403,$A56,项目台账!$M$4:$M$403),2))</f>
        <v/>
      </c>
      <c r="D56" s="19">
        <f>IF($A56="","",ROUND(SUMIF(项目台账!$C$4:$C$403,$A56,项目台账!$O$4:$O$403),2))</f>
        <v/>
      </c>
      <c r="E56" s="19">
        <f>IF($A56="","",ROUND($C56-$D56,2))</f>
        <v/>
      </c>
      <c r="F56" s="22">
        <f>IF($A56="","",COUNTIFS(项目台账!$C$4:$C$403,$A56,项目台账!$J$4:$J$403,""))</f>
        <v/>
      </c>
      <c r="G56" s="23">
        <f>IF($A56="","",IFERROR(LOOKUP(1,0/((资金日记账!$H$4:$H$2503=$A56)*(资金日记账!$J$4:$J$2503&gt;0)),资金日记账!$B$4:$B$2503),""))</f>
        <v/>
      </c>
      <c r="H56" s="13" t="n"/>
    </row>
    <row r="57">
      <c r="A57" s="17">
        <f>IF(基础资料!$E56="","",基础资料!$E56)</f>
        <v/>
      </c>
      <c r="B57" s="22">
        <f>IF($A57="","",COUNTIF(项目台账!$C$4:$C$403,$A57))</f>
        <v/>
      </c>
      <c r="C57" s="19">
        <f>IF($A57="","",ROUND(SUMIF(项目台账!$C$4:$C$403,$A57,项目台账!$M$4:$M$403),2))</f>
        <v/>
      </c>
      <c r="D57" s="19">
        <f>IF($A57="","",ROUND(SUMIF(项目台账!$C$4:$C$403,$A57,项目台账!$O$4:$O$403),2))</f>
        <v/>
      </c>
      <c r="E57" s="19">
        <f>IF($A57="","",ROUND($C57-$D57,2))</f>
        <v/>
      </c>
      <c r="F57" s="22">
        <f>IF($A57="","",COUNTIFS(项目台账!$C$4:$C$403,$A57,项目台账!$J$4:$J$403,""))</f>
        <v/>
      </c>
      <c r="G57" s="23">
        <f>IF($A57="","",IFERROR(LOOKUP(1,0/((资金日记账!$H$4:$H$2503=$A57)*(资金日记账!$J$4:$J$2503&gt;0)),资金日记账!$B$4:$B$2503),""))</f>
        <v/>
      </c>
      <c r="H57" s="13" t="n"/>
    </row>
    <row r="58">
      <c r="A58" s="17">
        <f>IF(基础资料!$E57="","",基础资料!$E57)</f>
        <v/>
      </c>
      <c r="B58" s="22">
        <f>IF($A58="","",COUNTIF(项目台账!$C$4:$C$403,$A58))</f>
        <v/>
      </c>
      <c r="C58" s="19">
        <f>IF($A58="","",ROUND(SUMIF(项目台账!$C$4:$C$403,$A58,项目台账!$M$4:$M$403),2))</f>
        <v/>
      </c>
      <c r="D58" s="19">
        <f>IF($A58="","",ROUND(SUMIF(项目台账!$C$4:$C$403,$A58,项目台账!$O$4:$O$403),2))</f>
        <v/>
      </c>
      <c r="E58" s="19">
        <f>IF($A58="","",ROUND($C58-$D58,2))</f>
        <v/>
      </c>
      <c r="F58" s="22">
        <f>IF($A58="","",COUNTIFS(项目台账!$C$4:$C$403,$A58,项目台账!$J$4:$J$403,""))</f>
        <v/>
      </c>
      <c r="G58" s="23">
        <f>IF($A58="","",IFERROR(LOOKUP(1,0/((资金日记账!$H$4:$H$2503=$A58)*(资金日记账!$J$4:$J$2503&gt;0)),资金日记账!$B$4:$B$2503),""))</f>
        <v/>
      </c>
      <c r="H58" s="13" t="n"/>
    </row>
    <row r="59">
      <c r="A59" s="17">
        <f>IF(基础资料!$E58="","",基础资料!$E58)</f>
        <v/>
      </c>
      <c r="B59" s="22">
        <f>IF($A59="","",COUNTIF(项目台账!$C$4:$C$403,$A59))</f>
        <v/>
      </c>
      <c r="C59" s="19">
        <f>IF($A59="","",ROUND(SUMIF(项目台账!$C$4:$C$403,$A59,项目台账!$M$4:$M$403),2))</f>
        <v/>
      </c>
      <c r="D59" s="19">
        <f>IF($A59="","",ROUND(SUMIF(项目台账!$C$4:$C$403,$A59,项目台账!$O$4:$O$403),2))</f>
        <v/>
      </c>
      <c r="E59" s="19">
        <f>IF($A59="","",ROUND($C59-$D59,2))</f>
        <v/>
      </c>
      <c r="F59" s="22">
        <f>IF($A59="","",COUNTIFS(项目台账!$C$4:$C$403,$A59,项目台账!$J$4:$J$403,""))</f>
        <v/>
      </c>
      <c r="G59" s="23">
        <f>IF($A59="","",IFERROR(LOOKUP(1,0/((资金日记账!$H$4:$H$2503=$A59)*(资金日记账!$J$4:$J$2503&gt;0)),资金日记账!$B$4:$B$2503),""))</f>
        <v/>
      </c>
      <c r="H59" s="13" t="n"/>
    </row>
    <row r="60">
      <c r="A60" s="17">
        <f>IF(基础资料!$E59="","",基础资料!$E59)</f>
        <v/>
      </c>
      <c r="B60" s="22">
        <f>IF($A60="","",COUNTIF(项目台账!$C$4:$C$403,$A60))</f>
        <v/>
      </c>
      <c r="C60" s="19">
        <f>IF($A60="","",ROUND(SUMIF(项目台账!$C$4:$C$403,$A60,项目台账!$M$4:$M$403),2))</f>
        <v/>
      </c>
      <c r="D60" s="19">
        <f>IF($A60="","",ROUND(SUMIF(项目台账!$C$4:$C$403,$A60,项目台账!$O$4:$O$403),2))</f>
        <v/>
      </c>
      <c r="E60" s="19">
        <f>IF($A60="","",ROUND($C60-$D60,2))</f>
        <v/>
      </c>
      <c r="F60" s="22">
        <f>IF($A60="","",COUNTIFS(项目台账!$C$4:$C$403,$A60,项目台账!$J$4:$J$403,""))</f>
        <v/>
      </c>
      <c r="G60" s="23">
        <f>IF($A60="","",IFERROR(LOOKUP(1,0/((资金日记账!$H$4:$H$2503=$A60)*(资金日记账!$J$4:$J$2503&gt;0)),资金日记账!$B$4:$B$2503),""))</f>
        <v/>
      </c>
      <c r="H60" s="13" t="n"/>
    </row>
    <row r="61">
      <c r="A61" s="17">
        <f>IF(基础资料!$E60="","",基础资料!$E60)</f>
        <v/>
      </c>
      <c r="B61" s="22">
        <f>IF($A61="","",COUNTIF(项目台账!$C$4:$C$403,$A61))</f>
        <v/>
      </c>
      <c r="C61" s="19">
        <f>IF($A61="","",ROUND(SUMIF(项目台账!$C$4:$C$403,$A61,项目台账!$M$4:$M$403),2))</f>
        <v/>
      </c>
      <c r="D61" s="19">
        <f>IF($A61="","",ROUND(SUMIF(项目台账!$C$4:$C$403,$A61,项目台账!$O$4:$O$403),2))</f>
        <v/>
      </c>
      <c r="E61" s="19">
        <f>IF($A61="","",ROUND($C61-$D61,2))</f>
        <v/>
      </c>
      <c r="F61" s="22">
        <f>IF($A61="","",COUNTIFS(项目台账!$C$4:$C$403,$A61,项目台账!$J$4:$J$403,""))</f>
        <v/>
      </c>
      <c r="G61" s="23">
        <f>IF($A61="","",IFERROR(LOOKUP(1,0/((资金日记账!$H$4:$H$2503=$A61)*(资金日记账!$J$4:$J$2503&gt;0)),资金日记账!$B$4:$B$2503),""))</f>
        <v/>
      </c>
      <c r="H61" s="13" t="n"/>
    </row>
    <row r="62">
      <c r="A62" s="17">
        <f>IF(基础资料!$E61="","",基础资料!$E61)</f>
        <v/>
      </c>
      <c r="B62" s="22">
        <f>IF($A62="","",COUNTIF(项目台账!$C$4:$C$403,$A62))</f>
        <v/>
      </c>
      <c r="C62" s="19">
        <f>IF($A62="","",ROUND(SUMIF(项目台账!$C$4:$C$403,$A62,项目台账!$M$4:$M$403),2))</f>
        <v/>
      </c>
      <c r="D62" s="19">
        <f>IF($A62="","",ROUND(SUMIF(项目台账!$C$4:$C$403,$A62,项目台账!$O$4:$O$403),2))</f>
        <v/>
      </c>
      <c r="E62" s="19">
        <f>IF($A62="","",ROUND($C62-$D62,2))</f>
        <v/>
      </c>
      <c r="F62" s="22">
        <f>IF($A62="","",COUNTIFS(项目台账!$C$4:$C$403,$A62,项目台账!$J$4:$J$403,""))</f>
        <v/>
      </c>
      <c r="G62" s="23">
        <f>IF($A62="","",IFERROR(LOOKUP(1,0/((资金日记账!$H$4:$H$2503=$A62)*(资金日记账!$J$4:$J$2503&gt;0)),资金日记账!$B$4:$B$2503),""))</f>
        <v/>
      </c>
      <c r="H62" s="13" t="n"/>
    </row>
    <row r="63">
      <c r="A63" s="17">
        <f>IF(基础资料!$E62="","",基础资料!$E62)</f>
        <v/>
      </c>
      <c r="B63" s="22">
        <f>IF($A63="","",COUNTIF(项目台账!$C$4:$C$403,$A63))</f>
        <v/>
      </c>
      <c r="C63" s="19">
        <f>IF($A63="","",ROUND(SUMIF(项目台账!$C$4:$C$403,$A63,项目台账!$M$4:$M$403),2))</f>
        <v/>
      </c>
      <c r="D63" s="19">
        <f>IF($A63="","",ROUND(SUMIF(项目台账!$C$4:$C$403,$A63,项目台账!$O$4:$O$403),2))</f>
        <v/>
      </c>
      <c r="E63" s="19">
        <f>IF($A63="","",ROUND($C63-$D63,2))</f>
        <v/>
      </c>
      <c r="F63" s="22">
        <f>IF($A63="","",COUNTIFS(项目台账!$C$4:$C$403,$A63,项目台账!$J$4:$J$403,""))</f>
        <v/>
      </c>
      <c r="G63" s="23">
        <f>IF($A63="","",IFERROR(LOOKUP(1,0/((资金日记账!$H$4:$H$2503=$A63)*(资金日记账!$J$4:$J$2503&gt;0)),资金日记账!$B$4:$B$2503),""))</f>
        <v/>
      </c>
      <c r="H63" s="13" t="n"/>
    </row>
    <row r="64">
      <c r="A64" s="17">
        <f>IF(基础资料!$E63="","",基础资料!$E63)</f>
        <v/>
      </c>
      <c r="B64" s="22">
        <f>IF($A64="","",COUNTIF(项目台账!$C$4:$C$403,$A64))</f>
        <v/>
      </c>
      <c r="C64" s="19">
        <f>IF($A64="","",ROUND(SUMIF(项目台账!$C$4:$C$403,$A64,项目台账!$M$4:$M$403),2))</f>
        <v/>
      </c>
      <c r="D64" s="19">
        <f>IF($A64="","",ROUND(SUMIF(项目台账!$C$4:$C$403,$A64,项目台账!$O$4:$O$403),2))</f>
        <v/>
      </c>
      <c r="E64" s="19">
        <f>IF($A64="","",ROUND($C64-$D64,2))</f>
        <v/>
      </c>
      <c r="F64" s="22">
        <f>IF($A64="","",COUNTIFS(项目台账!$C$4:$C$403,$A64,项目台账!$J$4:$J$403,""))</f>
        <v/>
      </c>
      <c r="G64" s="23">
        <f>IF($A64="","",IFERROR(LOOKUP(1,0/((资金日记账!$H$4:$H$2503=$A64)*(资金日记账!$J$4:$J$2503&gt;0)),资金日记账!$B$4:$B$2503),""))</f>
        <v/>
      </c>
      <c r="H64" s="13" t="n"/>
    </row>
    <row r="65">
      <c r="A65" s="17">
        <f>IF(基础资料!$E64="","",基础资料!$E64)</f>
        <v/>
      </c>
      <c r="B65" s="22">
        <f>IF($A65="","",COUNTIF(项目台账!$C$4:$C$403,$A65))</f>
        <v/>
      </c>
      <c r="C65" s="19">
        <f>IF($A65="","",ROUND(SUMIF(项目台账!$C$4:$C$403,$A65,项目台账!$M$4:$M$403),2))</f>
        <v/>
      </c>
      <c r="D65" s="19">
        <f>IF($A65="","",ROUND(SUMIF(项目台账!$C$4:$C$403,$A65,项目台账!$O$4:$O$403),2))</f>
        <v/>
      </c>
      <c r="E65" s="19">
        <f>IF($A65="","",ROUND($C65-$D65,2))</f>
        <v/>
      </c>
      <c r="F65" s="22">
        <f>IF($A65="","",COUNTIFS(项目台账!$C$4:$C$403,$A65,项目台账!$J$4:$J$403,""))</f>
        <v/>
      </c>
      <c r="G65" s="23">
        <f>IF($A65="","",IFERROR(LOOKUP(1,0/((资金日记账!$H$4:$H$2503=$A65)*(资金日记账!$J$4:$J$2503&gt;0)),资金日记账!$B$4:$B$2503),""))</f>
        <v/>
      </c>
      <c r="H65" s="13" t="n"/>
    </row>
    <row r="66">
      <c r="A66" s="17">
        <f>IF(基础资料!$E65="","",基础资料!$E65)</f>
        <v/>
      </c>
      <c r="B66" s="22">
        <f>IF($A66="","",COUNTIF(项目台账!$C$4:$C$403,$A66))</f>
        <v/>
      </c>
      <c r="C66" s="19">
        <f>IF($A66="","",ROUND(SUMIF(项目台账!$C$4:$C$403,$A66,项目台账!$M$4:$M$403),2))</f>
        <v/>
      </c>
      <c r="D66" s="19">
        <f>IF($A66="","",ROUND(SUMIF(项目台账!$C$4:$C$403,$A66,项目台账!$O$4:$O$403),2))</f>
        <v/>
      </c>
      <c r="E66" s="19">
        <f>IF($A66="","",ROUND($C66-$D66,2))</f>
        <v/>
      </c>
      <c r="F66" s="22">
        <f>IF($A66="","",COUNTIFS(项目台账!$C$4:$C$403,$A66,项目台账!$J$4:$J$403,""))</f>
        <v/>
      </c>
      <c r="G66" s="23">
        <f>IF($A66="","",IFERROR(LOOKUP(1,0/((资金日记账!$H$4:$H$2503=$A66)*(资金日记账!$J$4:$J$2503&gt;0)),资金日记账!$B$4:$B$2503),""))</f>
        <v/>
      </c>
      <c r="H66" s="13" t="n"/>
    </row>
    <row r="67">
      <c r="A67" s="17">
        <f>IF(基础资料!$E66="","",基础资料!$E66)</f>
        <v/>
      </c>
      <c r="B67" s="22">
        <f>IF($A67="","",COUNTIF(项目台账!$C$4:$C$403,$A67))</f>
        <v/>
      </c>
      <c r="C67" s="19">
        <f>IF($A67="","",ROUND(SUMIF(项目台账!$C$4:$C$403,$A67,项目台账!$M$4:$M$403),2))</f>
        <v/>
      </c>
      <c r="D67" s="19">
        <f>IF($A67="","",ROUND(SUMIF(项目台账!$C$4:$C$403,$A67,项目台账!$O$4:$O$403),2))</f>
        <v/>
      </c>
      <c r="E67" s="19">
        <f>IF($A67="","",ROUND($C67-$D67,2))</f>
        <v/>
      </c>
      <c r="F67" s="22">
        <f>IF($A67="","",COUNTIFS(项目台账!$C$4:$C$403,$A67,项目台账!$J$4:$J$403,""))</f>
        <v/>
      </c>
      <c r="G67" s="23">
        <f>IF($A67="","",IFERROR(LOOKUP(1,0/((资金日记账!$H$4:$H$2503=$A67)*(资金日记账!$J$4:$J$2503&gt;0)),资金日记账!$B$4:$B$2503),""))</f>
        <v/>
      </c>
      <c r="H67" s="13" t="n"/>
    </row>
    <row r="68">
      <c r="A68" s="17">
        <f>IF(基础资料!$E67="","",基础资料!$E67)</f>
        <v/>
      </c>
      <c r="B68" s="22">
        <f>IF($A68="","",COUNTIF(项目台账!$C$4:$C$403,$A68))</f>
        <v/>
      </c>
      <c r="C68" s="19">
        <f>IF($A68="","",ROUND(SUMIF(项目台账!$C$4:$C$403,$A68,项目台账!$M$4:$M$403),2))</f>
        <v/>
      </c>
      <c r="D68" s="19">
        <f>IF($A68="","",ROUND(SUMIF(项目台账!$C$4:$C$403,$A68,项目台账!$O$4:$O$403),2))</f>
        <v/>
      </c>
      <c r="E68" s="19">
        <f>IF($A68="","",ROUND($C68-$D68,2))</f>
        <v/>
      </c>
      <c r="F68" s="22">
        <f>IF($A68="","",COUNTIFS(项目台账!$C$4:$C$403,$A68,项目台账!$J$4:$J$403,""))</f>
        <v/>
      </c>
      <c r="G68" s="23">
        <f>IF($A68="","",IFERROR(LOOKUP(1,0/((资金日记账!$H$4:$H$2503=$A68)*(资金日记账!$J$4:$J$2503&gt;0)),资金日记账!$B$4:$B$2503),""))</f>
        <v/>
      </c>
      <c r="H68" s="13" t="n"/>
    </row>
    <row r="69">
      <c r="A69" s="17">
        <f>IF(基础资料!$E68="","",基础资料!$E68)</f>
        <v/>
      </c>
      <c r="B69" s="22">
        <f>IF($A69="","",COUNTIF(项目台账!$C$4:$C$403,$A69))</f>
        <v/>
      </c>
      <c r="C69" s="19">
        <f>IF($A69="","",ROUND(SUMIF(项目台账!$C$4:$C$403,$A69,项目台账!$M$4:$M$403),2))</f>
        <v/>
      </c>
      <c r="D69" s="19">
        <f>IF($A69="","",ROUND(SUMIF(项目台账!$C$4:$C$403,$A69,项目台账!$O$4:$O$403),2))</f>
        <v/>
      </c>
      <c r="E69" s="19">
        <f>IF($A69="","",ROUND($C69-$D69,2))</f>
        <v/>
      </c>
      <c r="F69" s="22">
        <f>IF($A69="","",COUNTIFS(项目台账!$C$4:$C$403,$A69,项目台账!$J$4:$J$403,""))</f>
        <v/>
      </c>
      <c r="G69" s="23">
        <f>IF($A69="","",IFERROR(LOOKUP(1,0/((资金日记账!$H$4:$H$2503=$A69)*(资金日记账!$J$4:$J$2503&gt;0)),资金日记账!$B$4:$B$2503),""))</f>
        <v/>
      </c>
      <c r="H69" s="13" t="n"/>
    </row>
    <row r="70">
      <c r="A70" s="17">
        <f>IF(基础资料!$E69="","",基础资料!$E69)</f>
        <v/>
      </c>
      <c r="B70" s="22">
        <f>IF($A70="","",COUNTIF(项目台账!$C$4:$C$403,$A70))</f>
        <v/>
      </c>
      <c r="C70" s="19">
        <f>IF($A70="","",ROUND(SUMIF(项目台账!$C$4:$C$403,$A70,项目台账!$M$4:$M$403),2))</f>
        <v/>
      </c>
      <c r="D70" s="19">
        <f>IF($A70="","",ROUND(SUMIF(项目台账!$C$4:$C$403,$A70,项目台账!$O$4:$O$403),2))</f>
        <v/>
      </c>
      <c r="E70" s="19">
        <f>IF($A70="","",ROUND($C70-$D70,2))</f>
        <v/>
      </c>
      <c r="F70" s="22">
        <f>IF($A70="","",COUNTIFS(项目台账!$C$4:$C$403,$A70,项目台账!$J$4:$J$403,""))</f>
        <v/>
      </c>
      <c r="G70" s="23">
        <f>IF($A70="","",IFERROR(LOOKUP(1,0/((资金日记账!$H$4:$H$2503=$A70)*(资金日记账!$J$4:$J$2503&gt;0)),资金日记账!$B$4:$B$2503),""))</f>
        <v/>
      </c>
      <c r="H70" s="13" t="n"/>
    </row>
    <row r="71">
      <c r="A71" s="17">
        <f>IF(基础资料!$E70="","",基础资料!$E70)</f>
        <v/>
      </c>
      <c r="B71" s="22">
        <f>IF($A71="","",COUNTIF(项目台账!$C$4:$C$403,$A71))</f>
        <v/>
      </c>
      <c r="C71" s="19">
        <f>IF($A71="","",ROUND(SUMIF(项目台账!$C$4:$C$403,$A71,项目台账!$M$4:$M$403),2))</f>
        <v/>
      </c>
      <c r="D71" s="19">
        <f>IF($A71="","",ROUND(SUMIF(项目台账!$C$4:$C$403,$A71,项目台账!$O$4:$O$403),2))</f>
        <v/>
      </c>
      <c r="E71" s="19">
        <f>IF($A71="","",ROUND($C71-$D71,2))</f>
        <v/>
      </c>
      <c r="F71" s="22">
        <f>IF($A71="","",COUNTIFS(项目台账!$C$4:$C$403,$A71,项目台账!$J$4:$J$403,""))</f>
        <v/>
      </c>
      <c r="G71" s="23">
        <f>IF($A71="","",IFERROR(LOOKUP(1,0/((资金日记账!$H$4:$H$2503=$A71)*(资金日记账!$J$4:$J$2503&gt;0)),资金日记账!$B$4:$B$2503),""))</f>
        <v/>
      </c>
      <c r="H71" s="13" t="n"/>
    </row>
    <row r="72">
      <c r="A72" s="17">
        <f>IF(基础资料!$E71="","",基础资料!$E71)</f>
        <v/>
      </c>
      <c r="B72" s="22">
        <f>IF($A72="","",COUNTIF(项目台账!$C$4:$C$403,$A72))</f>
        <v/>
      </c>
      <c r="C72" s="19">
        <f>IF($A72="","",ROUND(SUMIF(项目台账!$C$4:$C$403,$A72,项目台账!$M$4:$M$403),2))</f>
        <v/>
      </c>
      <c r="D72" s="19">
        <f>IF($A72="","",ROUND(SUMIF(项目台账!$C$4:$C$403,$A72,项目台账!$O$4:$O$403),2))</f>
        <v/>
      </c>
      <c r="E72" s="19">
        <f>IF($A72="","",ROUND($C72-$D72,2))</f>
        <v/>
      </c>
      <c r="F72" s="22">
        <f>IF($A72="","",COUNTIFS(项目台账!$C$4:$C$403,$A72,项目台账!$J$4:$J$403,""))</f>
        <v/>
      </c>
      <c r="G72" s="23">
        <f>IF($A72="","",IFERROR(LOOKUP(1,0/((资金日记账!$H$4:$H$2503=$A72)*(资金日记账!$J$4:$J$2503&gt;0)),资金日记账!$B$4:$B$2503),""))</f>
        <v/>
      </c>
      <c r="H72" s="13" t="n"/>
    </row>
    <row r="73">
      <c r="A73" s="17">
        <f>IF(基础资料!$E72="","",基础资料!$E72)</f>
        <v/>
      </c>
      <c r="B73" s="22">
        <f>IF($A73="","",COUNTIF(项目台账!$C$4:$C$403,$A73))</f>
        <v/>
      </c>
      <c r="C73" s="19">
        <f>IF($A73="","",ROUND(SUMIF(项目台账!$C$4:$C$403,$A73,项目台账!$M$4:$M$403),2))</f>
        <v/>
      </c>
      <c r="D73" s="19">
        <f>IF($A73="","",ROUND(SUMIF(项目台账!$C$4:$C$403,$A73,项目台账!$O$4:$O$403),2))</f>
        <v/>
      </c>
      <c r="E73" s="19">
        <f>IF($A73="","",ROUND($C73-$D73,2))</f>
        <v/>
      </c>
      <c r="F73" s="22">
        <f>IF($A73="","",COUNTIFS(项目台账!$C$4:$C$403,$A73,项目台账!$J$4:$J$403,""))</f>
        <v/>
      </c>
      <c r="G73" s="23">
        <f>IF($A73="","",IFERROR(LOOKUP(1,0/((资金日记账!$H$4:$H$2503=$A73)*(资金日记账!$J$4:$J$2503&gt;0)),资金日记账!$B$4:$B$2503),""))</f>
        <v/>
      </c>
      <c r="H73" s="13" t="n"/>
    </row>
    <row r="74">
      <c r="A74" s="17">
        <f>IF(基础资料!$E73="","",基础资料!$E73)</f>
        <v/>
      </c>
      <c r="B74" s="22">
        <f>IF($A74="","",COUNTIF(项目台账!$C$4:$C$403,$A74))</f>
        <v/>
      </c>
      <c r="C74" s="19">
        <f>IF($A74="","",ROUND(SUMIF(项目台账!$C$4:$C$403,$A74,项目台账!$M$4:$M$403),2))</f>
        <v/>
      </c>
      <c r="D74" s="19">
        <f>IF($A74="","",ROUND(SUMIF(项目台账!$C$4:$C$403,$A74,项目台账!$O$4:$O$403),2))</f>
        <v/>
      </c>
      <c r="E74" s="19">
        <f>IF($A74="","",ROUND($C74-$D74,2))</f>
        <v/>
      </c>
      <c r="F74" s="22">
        <f>IF($A74="","",COUNTIFS(项目台账!$C$4:$C$403,$A74,项目台账!$J$4:$J$403,""))</f>
        <v/>
      </c>
      <c r="G74" s="23">
        <f>IF($A74="","",IFERROR(LOOKUP(1,0/((资金日记账!$H$4:$H$2503=$A74)*(资金日记账!$J$4:$J$2503&gt;0)),资金日记账!$B$4:$B$2503),""))</f>
        <v/>
      </c>
      <c r="H74" s="13" t="n"/>
    </row>
    <row r="75">
      <c r="A75" s="17">
        <f>IF(基础资料!$E74="","",基础资料!$E74)</f>
        <v/>
      </c>
      <c r="B75" s="22">
        <f>IF($A75="","",COUNTIF(项目台账!$C$4:$C$403,$A75))</f>
        <v/>
      </c>
      <c r="C75" s="19">
        <f>IF($A75="","",ROUND(SUMIF(项目台账!$C$4:$C$403,$A75,项目台账!$M$4:$M$403),2))</f>
        <v/>
      </c>
      <c r="D75" s="19">
        <f>IF($A75="","",ROUND(SUMIF(项目台账!$C$4:$C$403,$A75,项目台账!$O$4:$O$403),2))</f>
        <v/>
      </c>
      <c r="E75" s="19">
        <f>IF($A75="","",ROUND($C75-$D75,2))</f>
        <v/>
      </c>
      <c r="F75" s="22">
        <f>IF($A75="","",COUNTIFS(项目台账!$C$4:$C$403,$A75,项目台账!$J$4:$J$403,""))</f>
        <v/>
      </c>
      <c r="G75" s="23">
        <f>IF($A75="","",IFERROR(LOOKUP(1,0/((资金日记账!$H$4:$H$2503=$A75)*(资金日记账!$J$4:$J$2503&gt;0)),资金日记账!$B$4:$B$2503),""))</f>
        <v/>
      </c>
      <c r="H75" s="13" t="n"/>
    </row>
    <row r="76">
      <c r="A76" s="17">
        <f>IF(基础资料!$E75="","",基础资料!$E75)</f>
        <v/>
      </c>
      <c r="B76" s="22">
        <f>IF($A76="","",COUNTIF(项目台账!$C$4:$C$403,$A76))</f>
        <v/>
      </c>
      <c r="C76" s="19">
        <f>IF($A76="","",ROUND(SUMIF(项目台账!$C$4:$C$403,$A76,项目台账!$M$4:$M$403),2))</f>
        <v/>
      </c>
      <c r="D76" s="19">
        <f>IF($A76="","",ROUND(SUMIF(项目台账!$C$4:$C$403,$A76,项目台账!$O$4:$O$403),2))</f>
        <v/>
      </c>
      <c r="E76" s="19">
        <f>IF($A76="","",ROUND($C76-$D76,2))</f>
        <v/>
      </c>
      <c r="F76" s="22">
        <f>IF($A76="","",COUNTIFS(项目台账!$C$4:$C$403,$A76,项目台账!$J$4:$J$403,""))</f>
        <v/>
      </c>
      <c r="G76" s="23">
        <f>IF($A76="","",IFERROR(LOOKUP(1,0/((资金日记账!$H$4:$H$2503=$A76)*(资金日记账!$J$4:$J$2503&gt;0)),资金日记账!$B$4:$B$2503),""))</f>
        <v/>
      </c>
      <c r="H76" s="13" t="n"/>
    </row>
    <row r="77">
      <c r="A77" s="17">
        <f>IF(基础资料!$E76="","",基础资料!$E76)</f>
        <v/>
      </c>
      <c r="B77" s="22">
        <f>IF($A77="","",COUNTIF(项目台账!$C$4:$C$403,$A77))</f>
        <v/>
      </c>
      <c r="C77" s="19">
        <f>IF($A77="","",ROUND(SUMIF(项目台账!$C$4:$C$403,$A77,项目台账!$M$4:$M$403),2))</f>
        <v/>
      </c>
      <c r="D77" s="19">
        <f>IF($A77="","",ROUND(SUMIF(项目台账!$C$4:$C$403,$A77,项目台账!$O$4:$O$403),2))</f>
        <v/>
      </c>
      <c r="E77" s="19">
        <f>IF($A77="","",ROUND($C77-$D77,2))</f>
        <v/>
      </c>
      <c r="F77" s="22">
        <f>IF($A77="","",COUNTIFS(项目台账!$C$4:$C$403,$A77,项目台账!$J$4:$J$403,""))</f>
        <v/>
      </c>
      <c r="G77" s="23">
        <f>IF($A77="","",IFERROR(LOOKUP(1,0/((资金日记账!$H$4:$H$2503=$A77)*(资金日记账!$J$4:$J$2503&gt;0)),资金日记账!$B$4:$B$2503),""))</f>
        <v/>
      </c>
      <c r="H77" s="13" t="n"/>
    </row>
    <row r="78">
      <c r="A78" s="17">
        <f>IF(基础资料!$E77="","",基础资料!$E77)</f>
        <v/>
      </c>
      <c r="B78" s="22">
        <f>IF($A78="","",COUNTIF(项目台账!$C$4:$C$403,$A78))</f>
        <v/>
      </c>
      <c r="C78" s="19">
        <f>IF($A78="","",ROUND(SUMIF(项目台账!$C$4:$C$403,$A78,项目台账!$M$4:$M$403),2))</f>
        <v/>
      </c>
      <c r="D78" s="19">
        <f>IF($A78="","",ROUND(SUMIF(项目台账!$C$4:$C$403,$A78,项目台账!$O$4:$O$403),2))</f>
        <v/>
      </c>
      <c r="E78" s="19">
        <f>IF($A78="","",ROUND($C78-$D78,2))</f>
        <v/>
      </c>
      <c r="F78" s="22">
        <f>IF($A78="","",COUNTIFS(项目台账!$C$4:$C$403,$A78,项目台账!$J$4:$J$403,""))</f>
        <v/>
      </c>
      <c r="G78" s="23">
        <f>IF($A78="","",IFERROR(LOOKUP(1,0/((资金日记账!$H$4:$H$2503=$A78)*(资金日记账!$J$4:$J$2503&gt;0)),资金日记账!$B$4:$B$2503),""))</f>
        <v/>
      </c>
      <c r="H78" s="13" t="n"/>
    </row>
    <row r="79">
      <c r="A79" s="17">
        <f>IF(基础资料!$E78="","",基础资料!$E78)</f>
        <v/>
      </c>
      <c r="B79" s="22">
        <f>IF($A79="","",COUNTIF(项目台账!$C$4:$C$403,$A79))</f>
        <v/>
      </c>
      <c r="C79" s="19">
        <f>IF($A79="","",ROUND(SUMIF(项目台账!$C$4:$C$403,$A79,项目台账!$M$4:$M$403),2))</f>
        <v/>
      </c>
      <c r="D79" s="19">
        <f>IF($A79="","",ROUND(SUMIF(项目台账!$C$4:$C$403,$A79,项目台账!$O$4:$O$403),2))</f>
        <v/>
      </c>
      <c r="E79" s="19">
        <f>IF($A79="","",ROUND($C79-$D79,2))</f>
        <v/>
      </c>
      <c r="F79" s="22">
        <f>IF($A79="","",COUNTIFS(项目台账!$C$4:$C$403,$A79,项目台账!$J$4:$J$403,""))</f>
        <v/>
      </c>
      <c r="G79" s="23">
        <f>IF($A79="","",IFERROR(LOOKUP(1,0/((资金日记账!$H$4:$H$2503=$A79)*(资金日记账!$J$4:$J$2503&gt;0)),资金日记账!$B$4:$B$2503),""))</f>
        <v/>
      </c>
      <c r="H79" s="13" t="n"/>
    </row>
    <row r="80">
      <c r="A80" s="17">
        <f>IF(基础资料!$E79="","",基础资料!$E79)</f>
        <v/>
      </c>
      <c r="B80" s="22">
        <f>IF($A80="","",COUNTIF(项目台账!$C$4:$C$403,$A80))</f>
        <v/>
      </c>
      <c r="C80" s="19">
        <f>IF($A80="","",ROUND(SUMIF(项目台账!$C$4:$C$403,$A80,项目台账!$M$4:$M$403),2))</f>
        <v/>
      </c>
      <c r="D80" s="19">
        <f>IF($A80="","",ROUND(SUMIF(项目台账!$C$4:$C$403,$A80,项目台账!$O$4:$O$403),2))</f>
        <v/>
      </c>
      <c r="E80" s="19">
        <f>IF($A80="","",ROUND($C80-$D80,2))</f>
        <v/>
      </c>
      <c r="F80" s="22">
        <f>IF($A80="","",COUNTIFS(项目台账!$C$4:$C$403,$A80,项目台账!$J$4:$J$403,""))</f>
        <v/>
      </c>
      <c r="G80" s="23">
        <f>IF($A80="","",IFERROR(LOOKUP(1,0/((资金日记账!$H$4:$H$2503=$A80)*(资金日记账!$J$4:$J$2503&gt;0)),资金日记账!$B$4:$B$2503),""))</f>
        <v/>
      </c>
      <c r="H80" s="13" t="n"/>
    </row>
    <row r="81">
      <c r="A81" s="17">
        <f>IF(基础资料!$E80="","",基础资料!$E80)</f>
        <v/>
      </c>
      <c r="B81" s="22">
        <f>IF($A81="","",COUNTIF(项目台账!$C$4:$C$403,$A81))</f>
        <v/>
      </c>
      <c r="C81" s="19">
        <f>IF($A81="","",ROUND(SUMIF(项目台账!$C$4:$C$403,$A81,项目台账!$M$4:$M$403),2))</f>
        <v/>
      </c>
      <c r="D81" s="19">
        <f>IF($A81="","",ROUND(SUMIF(项目台账!$C$4:$C$403,$A81,项目台账!$O$4:$O$403),2))</f>
        <v/>
      </c>
      <c r="E81" s="19">
        <f>IF($A81="","",ROUND($C81-$D81,2))</f>
        <v/>
      </c>
      <c r="F81" s="22">
        <f>IF($A81="","",COUNTIFS(项目台账!$C$4:$C$403,$A81,项目台账!$J$4:$J$403,""))</f>
        <v/>
      </c>
      <c r="G81" s="23">
        <f>IF($A81="","",IFERROR(LOOKUP(1,0/((资金日记账!$H$4:$H$2503=$A81)*(资金日记账!$J$4:$J$2503&gt;0)),资金日记账!$B$4:$B$2503),""))</f>
        <v/>
      </c>
      <c r="H81" s="13" t="n"/>
    </row>
    <row r="82">
      <c r="A82" s="17">
        <f>IF(基础资料!$E81="","",基础资料!$E81)</f>
        <v/>
      </c>
      <c r="B82" s="22">
        <f>IF($A82="","",COUNTIF(项目台账!$C$4:$C$403,$A82))</f>
        <v/>
      </c>
      <c r="C82" s="19">
        <f>IF($A82="","",ROUND(SUMIF(项目台账!$C$4:$C$403,$A82,项目台账!$M$4:$M$403),2))</f>
        <v/>
      </c>
      <c r="D82" s="19">
        <f>IF($A82="","",ROUND(SUMIF(项目台账!$C$4:$C$403,$A82,项目台账!$O$4:$O$403),2))</f>
        <v/>
      </c>
      <c r="E82" s="19">
        <f>IF($A82="","",ROUND($C82-$D82,2))</f>
        <v/>
      </c>
      <c r="F82" s="22">
        <f>IF($A82="","",COUNTIFS(项目台账!$C$4:$C$403,$A82,项目台账!$J$4:$J$403,""))</f>
        <v/>
      </c>
      <c r="G82" s="23">
        <f>IF($A82="","",IFERROR(LOOKUP(1,0/((资金日记账!$H$4:$H$2503=$A82)*(资金日记账!$J$4:$J$2503&gt;0)),资金日记账!$B$4:$B$2503),""))</f>
        <v/>
      </c>
      <c r="H82" s="13" t="n"/>
    </row>
    <row r="83">
      <c r="A83" s="17">
        <f>IF(基础资料!$E82="","",基础资料!$E82)</f>
        <v/>
      </c>
      <c r="B83" s="22">
        <f>IF($A83="","",COUNTIF(项目台账!$C$4:$C$403,$A83))</f>
        <v/>
      </c>
      <c r="C83" s="19">
        <f>IF($A83="","",ROUND(SUMIF(项目台账!$C$4:$C$403,$A83,项目台账!$M$4:$M$403),2))</f>
        <v/>
      </c>
      <c r="D83" s="19">
        <f>IF($A83="","",ROUND(SUMIF(项目台账!$C$4:$C$403,$A83,项目台账!$O$4:$O$403),2))</f>
        <v/>
      </c>
      <c r="E83" s="19">
        <f>IF($A83="","",ROUND($C83-$D83,2))</f>
        <v/>
      </c>
      <c r="F83" s="22">
        <f>IF($A83="","",COUNTIFS(项目台账!$C$4:$C$403,$A83,项目台账!$J$4:$J$403,""))</f>
        <v/>
      </c>
      <c r="G83" s="23">
        <f>IF($A83="","",IFERROR(LOOKUP(1,0/((资金日记账!$H$4:$H$2503=$A83)*(资金日记账!$J$4:$J$2503&gt;0)),资金日记账!$B$4:$B$2503),""))</f>
        <v/>
      </c>
      <c r="H83" s="13" t="n"/>
    </row>
    <row r="84">
      <c r="A84" s="17">
        <f>IF(基础资料!$E83="","",基础资料!$E83)</f>
        <v/>
      </c>
      <c r="B84" s="22">
        <f>IF($A84="","",COUNTIF(项目台账!$C$4:$C$403,$A84))</f>
        <v/>
      </c>
      <c r="C84" s="19">
        <f>IF($A84="","",ROUND(SUMIF(项目台账!$C$4:$C$403,$A84,项目台账!$M$4:$M$403),2))</f>
        <v/>
      </c>
      <c r="D84" s="19">
        <f>IF($A84="","",ROUND(SUMIF(项目台账!$C$4:$C$403,$A84,项目台账!$O$4:$O$403),2))</f>
        <v/>
      </c>
      <c r="E84" s="19">
        <f>IF($A84="","",ROUND($C84-$D84,2))</f>
        <v/>
      </c>
      <c r="F84" s="22">
        <f>IF($A84="","",COUNTIFS(项目台账!$C$4:$C$403,$A84,项目台账!$J$4:$J$403,""))</f>
        <v/>
      </c>
      <c r="G84" s="23">
        <f>IF($A84="","",IFERROR(LOOKUP(1,0/((资金日记账!$H$4:$H$2503=$A84)*(资金日记账!$J$4:$J$2503&gt;0)),资金日记账!$B$4:$B$2503),""))</f>
        <v/>
      </c>
      <c r="H84" s="13" t="n"/>
    </row>
    <row r="85">
      <c r="A85" s="17">
        <f>IF(基础资料!$E84="","",基础资料!$E84)</f>
        <v/>
      </c>
      <c r="B85" s="22">
        <f>IF($A85="","",COUNTIF(项目台账!$C$4:$C$403,$A85))</f>
        <v/>
      </c>
      <c r="C85" s="19">
        <f>IF($A85="","",ROUND(SUMIF(项目台账!$C$4:$C$403,$A85,项目台账!$M$4:$M$403),2))</f>
        <v/>
      </c>
      <c r="D85" s="19">
        <f>IF($A85="","",ROUND(SUMIF(项目台账!$C$4:$C$403,$A85,项目台账!$O$4:$O$403),2))</f>
        <v/>
      </c>
      <c r="E85" s="19">
        <f>IF($A85="","",ROUND($C85-$D85,2))</f>
        <v/>
      </c>
      <c r="F85" s="22">
        <f>IF($A85="","",COUNTIFS(项目台账!$C$4:$C$403,$A85,项目台账!$J$4:$J$403,""))</f>
        <v/>
      </c>
      <c r="G85" s="23">
        <f>IF($A85="","",IFERROR(LOOKUP(1,0/((资金日记账!$H$4:$H$2503=$A85)*(资金日记账!$J$4:$J$2503&gt;0)),资金日记账!$B$4:$B$2503),""))</f>
        <v/>
      </c>
      <c r="H85" s="13" t="n"/>
    </row>
    <row r="86">
      <c r="A86" s="17">
        <f>IF(基础资料!$E85="","",基础资料!$E85)</f>
        <v/>
      </c>
      <c r="B86" s="22">
        <f>IF($A86="","",COUNTIF(项目台账!$C$4:$C$403,$A86))</f>
        <v/>
      </c>
      <c r="C86" s="19">
        <f>IF($A86="","",ROUND(SUMIF(项目台账!$C$4:$C$403,$A86,项目台账!$M$4:$M$403),2))</f>
        <v/>
      </c>
      <c r="D86" s="19">
        <f>IF($A86="","",ROUND(SUMIF(项目台账!$C$4:$C$403,$A86,项目台账!$O$4:$O$403),2))</f>
        <v/>
      </c>
      <c r="E86" s="19">
        <f>IF($A86="","",ROUND($C86-$D86,2))</f>
        <v/>
      </c>
      <c r="F86" s="22">
        <f>IF($A86="","",COUNTIFS(项目台账!$C$4:$C$403,$A86,项目台账!$J$4:$J$403,""))</f>
        <v/>
      </c>
      <c r="G86" s="23">
        <f>IF($A86="","",IFERROR(LOOKUP(1,0/((资金日记账!$H$4:$H$2503=$A86)*(资金日记账!$J$4:$J$2503&gt;0)),资金日记账!$B$4:$B$2503),""))</f>
        <v/>
      </c>
      <c r="H86" s="13" t="n"/>
    </row>
    <row r="87">
      <c r="A87" s="17">
        <f>IF(基础资料!$E86="","",基础资料!$E86)</f>
        <v/>
      </c>
      <c r="B87" s="22">
        <f>IF($A87="","",COUNTIF(项目台账!$C$4:$C$403,$A87))</f>
        <v/>
      </c>
      <c r="C87" s="19">
        <f>IF($A87="","",ROUND(SUMIF(项目台账!$C$4:$C$403,$A87,项目台账!$M$4:$M$403),2))</f>
        <v/>
      </c>
      <c r="D87" s="19">
        <f>IF($A87="","",ROUND(SUMIF(项目台账!$C$4:$C$403,$A87,项目台账!$O$4:$O$403),2))</f>
        <v/>
      </c>
      <c r="E87" s="19">
        <f>IF($A87="","",ROUND($C87-$D87,2))</f>
        <v/>
      </c>
      <c r="F87" s="22">
        <f>IF($A87="","",COUNTIFS(项目台账!$C$4:$C$403,$A87,项目台账!$J$4:$J$403,""))</f>
        <v/>
      </c>
      <c r="G87" s="23">
        <f>IF($A87="","",IFERROR(LOOKUP(1,0/((资金日记账!$H$4:$H$2503=$A87)*(资金日记账!$J$4:$J$2503&gt;0)),资金日记账!$B$4:$B$2503),""))</f>
        <v/>
      </c>
      <c r="H87" s="13" t="n"/>
    </row>
    <row r="88">
      <c r="A88" s="17">
        <f>IF(基础资料!$E87="","",基础资料!$E87)</f>
        <v/>
      </c>
      <c r="B88" s="22">
        <f>IF($A88="","",COUNTIF(项目台账!$C$4:$C$403,$A88))</f>
        <v/>
      </c>
      <c r="C88" s="19">
        <f>IF($A88="","",ROUND(SUMIF(项目台账!$C$4:$C$403,$A88,项目台账!$M$4:$M$403),2))</f>
        <v/>
      </c>
      <c r="D88" s="19">
        <f>IF($A88="","",ROUND(SUMIF(项目台账!$C$4:$C$403,$A88,项目台账!$O$4:$O$403),2))</f>
        <v/>
      </c>
      <c r="E88" s="19">
        <f>IF($A88="","",ROUND($C88-$D88,2))</f>
        <v/>
      </c>
      <c r="F88" s="22">
        <f>IF($A88="","",COUNTIFS(项目台账!$C$4:$C$403,$A88,项目台账!$J$4:$J$403,""))</f>
        <v/>
      </c>
      <c r="G88" s="23">
        <f>IF($A88="","",IFERROR(LOOKUP(1,0/((资金日记账!$H$4:$H$2503=$A88)*(资金日记账!$J$4:$J$2503&gt;0)),资金日记账!$B$4:$B$2503),""))</f>
        <v/>
      </c>
      <c r="H88" s="13" t="n"/>
    </row>
    <row r="89">
      <c r="A89" s="17">
        <f>IF(基础资料!$E88="","",基础资料!$E88)</f>
        <v/>
      </c>
      <c r="B89" s="22">
        <f>IF($A89="","",COUNTIF(项目台账!$C$4:$C$403,$A89))</f>
        <v/>
      </c>
      <c r="C89" s="19">
        <f>IF($A89="","",ROUND(SUMIF(项目台账!$C$4:$C$403,$A89,项目台账!$M$4:$M$403),2))</f>
        <v/>
      </c>
      <c r="D89" s="19">
        <f>IF($A89="","",ROUND(SUMIF(项目台账!$C$4:$C$403,$A89,项目台账!$O$4:$O$403),2))</f>
        <v/>
      </c>
      <c r="E89" s="19">
        <f>IF($A89="","",ROUND($C89-$D89,2))</f>
        <v/>
      </c>
      <c r="F89" s="22">
        <f>IF($A89="","",COUNTIFS(项目台账!$C$4:$C$403,$A89,项目台账!$J$4:$J$403,""))</f>
        <v/>
      </c>
      <c r="G89" s="23">
        <f>IF($A89="","",IFERROR(LOOKUP(1,0/((资金日记账!$H$4:$H$2503=$A89)*(资金日记账!$J$4:$J$2503&gt;0)),资金日记账!$B$4:$B$2503),""))</f>
        <v/>
      </c>
      <c r="H89" s="13" t="n"/>
    </row>
    <row r="90">
      <c r="A90" s="17">
        <f>IF(基础资料!$E89="","",基础资料!$E89)</f>
        <v/>
      </c>
      <c r="B90" s="22">
        <f>IF($A90="","",COUNTIF(项目台账!$C$4:$C$403,$A90))</f>
        <v/>
      </c>
      <c r="C90" s="19">
        <f>IF($A90="","",ROUND(SUMIF(项目台账!$C$4:$C$403,$A90,项目台账!$M$4:$M$403),2))</f>
        <v/>
      </c>
      <c r="D90" s="19">
        <f>IF($A90="","",ROUND(SUMIF(项目台账!$C$4:$C$403,$A90,项目台账!$O$4:$O$403),2))</f>
        <v/>
      </c>
      <c r="E90" s="19">
        <f>IF($A90="","",ROUND($C90-$D90,2))</f>
        <v/>
      </c>
      <c r="F90" s="22">
        <f>IF($A90="","",COUNTIFS(项目台账!$C$4:$C$403,$A90,项目台账!$J$4:$J$403,""))</f>
        <v/>
      </c>
      <c r="G90" s="23">
        <f>IF($A90="","",IFERROR(LOOKUP(1,0/((资金日记账!$H$4:$H$2503=$A90)*(资金日记账!$J$4:$J$2503&gt;0)),资金日记账!$B$4:$B$2503),""))</f>
        <v/>
      </c>
      <c r="H90" s="13" t="n"/>
    </row>
    <row r="91">
      <c r="A91" s="17">
        <f>IF(基础资料!$E90="","",基础资料!$E90)</f>
        <v/>
      </c>
      <c r="B91" s="22">
        <f>IF($A91="","",COUNTIF(项目台账!$C$4:$C$403,$A91))</f>
        <v/>
      </c>
      <c r="C91" s="19">
        <f>IF($A91="","",ROUND(SUMIF(项目台账!$C$4:$C$403,$A91,项目台账!$M$4:$M$403),2))</f>
        <v/>
      </c>
      <c r="D91" s="19">
        <f>IF($A91="","",ROUND(SUMIF(项目台账!$C$4:$C$403,$A91,项目台账!$O$4:$O$403),2))</f>
        <v/>
      </c>
      <c r="E91" s="19">
        <f>IF($A91="","",ROUND($C91-$D91,2))</f>
        <v/>
      </c>
      <c r="F91" s="22">
        <f>IF($A91="","",COUNTIFS(项目台账!$C$4:$C$403,$A91,项目台账!$J$4:$J$403,""))</f>
        <v/>
      </c>
      <c r="G91" s="23">
        <f>IF($A91="","",IFERROR(LOOKUP(1,0/((资金日记账!$H$4:$H$2503=$A91)*(资金日记账!$J$4:$J$2503&gt;0)),资金日记账!$B$4:$B$2503),""))</f>
        <v/>
      </c>
      <c r="H91" s="13" t="n"/>
    </row>
    <row r="92">
      <c r="A92" s="17">
        <f>IF(基础资料!$E91="","",基础资料!$E91)</f>
        <v/>
      </c>
      <c r="B92" s="22">
        <f>IF($A92="","",COUNTIF(项目台账!$C$4:$C$403,$A92))</f>
        <v/>
      </c>
      <c r="C92" s="19">
        <f>IF($A92="","",ROUND(SUMIF(项目台账!$C$4:$C$403,$A92,项目台账!$M$4:$M$403),2))</f>
        <v/>
      </c>
      <c r="D92" s="19">
        <f>IF($A92="","",ROUND(SUMIF(项目台账!$C$4:$C$403,$A92,项目台账!$O$4:$O$403),2))</f>
        <v/>
      </c>
      <c r="E92" s="19">
        <f>IF($A92="","",ROUND($C92-$D92,2))</f>
        <v/>
      </c>
      <c r="F92" s="22">
        <f>IF($A92="","",COUNTIFS(项目台账!$C$4:$C$403,$A92,项目台账!$J$4:$J$403,""))</f>
        <v/>
      </c>
      <c r="G92" s="23">
        <f>IF($A92="","",IFERROR(LOOKUP(1,0/((资金日记账!$H$4:$H$2503=$A92)*(资金日记账!$J$4:$J$2503&gt;0)),资金日记账!$B$4:$B$2503),""))</f>
        <v/>
      </c>
      <c r="H92" s="13" t="n"/>
    </row>
    <row r="93">
      <c r="A93" s="17">
        <f>IF(基础资料!$E92="","",基础资料!$E92)</f>
        <v/>
      </c>
      <c r="B93" s="22">
        <f>IF($A93="","",COUNTIF(项目台账!$C$4:$C$403,$A93))</f>
        <v/>
      </c>
      <c r="C93" s="19">
        <f>IF($A93="","",ROUND(SUMIF(项目台账!$C$4:$C$403,$A93,项目台账!$M$4:$M$403),2))</f>
        <v/>
      </c>
      <c r="D93" s="19">
        <f>IF($A93="","",ROUND(SUMIF(项目台账!$C$4:$C$403,$A93,项目台账!$O$4:$O$403),2))</f>
        <v/>
      </c>
      <c r="E93" s="19">
        <f>IF($A93="","",ROUND($C93-$D93,2))</f>
        <v/>
      </c>
      <c r="F93" s="22">
        <f>IF($A93="","",COUNTIFS(项目台账!$C$4:$C$403,$A93,项目台账!$J$4:$J$403,""))</f>
        <v/>
      </c>
      <c r="G93" s="23">
        <f>IF($A93="","",IFERROR(LOOKUP(1,0/((资金日记账!$H$4:$H$2503=$A93)*(资金日记账!$J$4:$J$2503&gt;0)),资金日记账!$B$4:$B$2503),""))</f>
        <v/>
      </c>
      <c r="H93" s="13" t="n"/>
    </row>
    <row r="94">
      <c r="A94" s="17">
        <f>IF(基础资料!$E93="","",基础资料!$E93)</f>
        <v/>
      </c>
      <c r="B94" s="22">
        <f>IF($A94="","",COUNTIF(项目台账!$C$4:$C$403,$A94))</f>
        <v/>
      </c>
      <c r="C94" s="19">
        <f>IF($A94="","",ROUND(SUMIF(项目台账!$C$4:$C$403,$A94,项目台账!$M$4:$M$403),2))</f>
        <v/>
      </c>
      <c r="D94" s="19">
        <f>IF($A94="","",ROUND(SUMIF(项目台账!$C$4:$C$403,$A94,项目台账!$O$4:$O$403),2))</f>
        <v/>
      </c>
      <c r="E94" s="19">
        <f>IF($A94="","",ROUND($C94-$D94,2))</f>
        <v/>
      </c>
      <c r="F94" s="22">
        <f>IF($A94="","",COUNTIFS(项目台账!$C$4:$C$403,$A94,项目台账!$J$4:$J$403,""))</f>
        <v/>
      </c>
      <c r="G94" s="23">
        <f>IF($A94="","",IFERROR(LOOKUP(1,0/((资金日记账!$H$4:$H$2503=$A94)*(资金日记账!$J$4:$J$2503&gt;0)),资金日记账!$B$4:$B$2503),""))</f>
        <v/>
      </c>
      <c r="H94" s="13" t="n"/>
    </row>
    <row r="95">
      <c r="A95" s="17">
        <f>IF(基础资料!$E94="","",基础资料!$E94)</f>
        <v/>
      </c>
      <c r="B95" s="22">
        <f>IF($A95="","",COUNTIF(项目台账!$C$4:$C$403,$A95))</f>
        <v/>
      </c>
      <c r="C95" s="19">
        <f>IF($A95="","",ROUND(SUMIF(项目台账!$C$4:$C$403,$A95,项目台账!$M$4:$M$403),2))</f>
        <v/>
      </c>
      <c r="D95" s="19">
        <f>IF($A95="","",ROUND(SUMIF(项目台账!$C$4:$C$403,$A95,项目台账!$O$4:$O$403),2))</f>
        <v/>
      </c>
      <c r="E95" s="19">
        <f>IF($A95="","",ROUND($C95-$D95,2))</f>
        <v/>
      </c>
      <c r="F95" s="22">
        <f>IF($A95="","",COUNTIFS(项目台账!$C$4:$C$403,$A95,项目台账!$J$4:$J$403,""))</f>
        <v/>
      </c>
      <c r="G95" s="23">
        <f>IF($A95="","",IFERROR(LOOKUP(1,0/((资金日记账!$H$4:$H$2503=$A95)*(资金日记账!$J$4:$J$2503&gt;0)),资金日记账!$B$4:$B$2503),""))</f>
        <v/>
      </c>
      <c r="H95" s="13" t="n"/>
    </row>
    <row r="96">
      <c r="A96" s="17">
        <f>IF(基础资料!$E95="","",基础资料!$E95)</f>
        <v/>
      </c>
      <c r="B96" s="22">
        <f>IF($A96="","",COUNTIF(项目台账!$C$4:$C$403,$A96))</f>
        <v/>
      </c>
      <c r="C96" s="19">
        <f>IF($A96="","",ROUND(SUMIF(项目台账!$C$4:$C$403,$A96,项目台账!$M$4:$M$403),2))</f>
        <v/>
      </c>
      <c r="D96" s="19">
        <f>IF($A96="","",ROUND(SUMIF(项目台账!$C$4:$C$403,$A96,项目台账!$O$4:$O$403),2))</f>
        <v/>
      </c>
      <c r="E96" s="19">
        <f>IF($A96="","",ROUND($C96-$D96,2))</f>
        <v/>
      </c>
      <c r="F96" s="22">
        <f>IF($A96="","",COUNTIFS(项目台账!$C$4:$C$403,$A96,项目台账!$J$4:$J$403,""))</f>
        <v/>
      </c>
      <c r="G96" s="23">
        <f>IF($A96="","",IFERROR(LOOKUP(1,0/((资金日记账!$H$4:$H$2503=$A96)*(资金日记账!$J$4:$J$2503&gt;0)),资金日记账!$B$4:$B$2503),""))</f>
        <v/>
      </c>
      <c r="H96" s="13" t="n"/>
    </row>
    <row r="97">
      <c r="A97" s="17">
        <f>IF(基础资料!$E96="","",基础资料!$E96)</f>
        <v/>
      </c>
      <c r="B97" s="22">
        <f>IF($A97="","",COUNTIF(项目台账!$C$4:$C$403,$A97))</f>
        <v/>
      </c>
      <c r="C97" s="19">
        <f>IF($A97="","",ROUND(SUMIF(项目台账!$C$4:$C$403,$A97,项目台账!$M$4:$M$403),2))</f>
        <v/>
      </c>
      <c r="D97" s="19">
        <f>IF($A97="","",ROUND(SUMIF(项目台账!$C$4:$C$403,$A97,项目台账!$O$4:$O$403),2))</f>
        <v/>
      </c>
      <c r="E97" s="19">
        <f>IF($A97="","",ROUND($C97-$D97,2))</f>
        <v/>
      </c>
      <c r="F97" s="22">
        <f>IF($A97="","",COUNTIFS(项目台账!$C$4:$C$403,$A97,项目台账!$J$4:$J$403,""))</f>
        <v/>
      </c>
      <c r="G97" s="23">
        <f>IF($A97="","",IFERROR(LOOKUP(1,0/((资金日记账!$H$4:$H$2503=$A97)*(资金日记账!$J$4:$J$2503&gt;0)),资金日记账!$B$4:$B$2503),""))</f>
        <v/>
      </c>
      <c r="H97" s="13" t="n"/>
    </row>
    <row r="98">
      <c r="A98" s="17">
        <f>IF(基础资料!$E97="","",基础资料!$E97)</f>
        <v/>
      </c>
      <c r="B98" s="22">
        <f>IF($A98="","",COUNTIF(项目台账!$C$4:$C$403,$A98))</f>
        <v/>
      </c>
      <c r="C98" s="19">
        <f>IF($A98="","",ROUND(SUMIF(项目台账!$C$4:$C$403,$A98,项目台账!$M$4:$M$403),2))</f>
        <v/>
      </c>
      <c r="D98" s="19">
        <f>IF($A98="","",ROUND(SUMIF(项目台账!$C$4:$C$403,$A98,项目台账!$O$4:$O$403),2))</f>
        <v/>
      </c>
      <c r="E98" s="19">
        <f>IF($A98="","",ROUND($C98-$D98,2))</f>
        <v/>
      </c>
      <c r="F98" s="22">
        <f>IF($A98="","",COUNTIFS(项目台账!$C$4:$C$403,$A98,项目台账!$J$4:$J$403,""))</f>
        <v/>
      </c>
      <c r="G98" s="23">
        <f>IF($A98="","",IFERROR(LOOKUP(1,0/((资金日记账!$H$4:$H$2503=$A98)*(资金日记账!$J$4:$J$2503&gt;0)),资金日记账!$B$4:$B$2503),""))</f>
        <v/>
      </c>
      <c r="H98" s="13" t="n"/>
    </row>
    <row r="99">
      <c r="A99" s="17">
        <f>IF(基础资料!$E98="","",基础资料!$E98)</f>
        <v/>
      </c>
      <c r="B99" s="22">
        <f>IF($A99="","",COUNTIF(项目台账!$C$4:$C$403,$A99))</f>
        <v/>
      </c>
      <c r="C99" s="19">
        <f>IF($A99="","",ROUND(SUMIF(项目台账!$C$4:$C$403,$A99,项目台账!$M$4:$M$403),2))</f>
        <v/>
      </c>
      <c r="D99" s="19">
        <f>IF($A99="","",ROUND(SUMIF(项目台账!$C$4:$C$403,$A99,项目台账!$O$4:$O$403),2))</f>
        <v/>
      </c>
      <c r="E99" s="19">
        <f>IF($A99="","",ROUND($C99-$D99,2))</f>
        <v/>
      </c>
      <c r="F99" s="22">
        <f>IF($A99="","",COUNTIFS(项目台账!$C$4:$C$403,$A99,项目台账!$J$4:$J$403,""))</f>
        <v/>
      </c>
      <c r="G99" s="23">
        <f>IF($A99="","",IFERROR(LOOKUP(1,0/((资金日记账!$H$4:$H$2503=$A99)*(资金日记账!$J$4:$J$2503&gt;0)),资金日记账!$B$4:$B$2503),""))</f>
        <v/>
      </c>
      <c r="H99" s="13" t="n"/>
    </row>
    <row r="100">
      <c r="A100" s="17">
        <f>IF(基础资料!$E99="","",基础资料!$E99)</f>
        <v/>
      </c>
      <c r="B100" s="22">
        <f>IF($A100="","",COUNTIF(项目台账!$C$4:$C$403,$A100))</f>
        <v/>
      </c>
      <c r="C100" s="19">
        <f>IF($A100="","",ROUND(SUMIF(项目台账!$C$4:$C$403,$A100,项目台账!$M$4:$M$403),2))</f>
        <v/>
      </c>
      <c r="D100" s="19">
        <f>IF($A100="","",ROUND(SUMIF(项目台账!$C$4:$C$403,$A100,项目台账!$O$4:$O$403),2))</f>
        <v/>
      </c>
      <c r="E100" s="19">
        <f>IF($A100="","",ROUND($C100-$D100,2))</f>
        <v/>
      </c>
      <c r="F100" s="22">
        <f>IF($A100="","",COUNTIFS(项目台账!$C$4:$C$403,$A100,项目台账!$J$4:$J$403,""))</f>
        <v/>
      </c>
      <c r="G100" s="23">
        <f>IF($A100="","",IFERROR(LOOKUP(1,0/((资金日记账!$H$4:$H$2503=$A100)*(资金日记账!$J$4:$J$2503&gt;0)),资金日记账!$B$4:$B$2503),""))</f>
        <v/>
      </c>
      <c r="H100" s="13" t="n"/>
    </row>
    <row r="101">
      <c r="A101" s="17">
        <f>IF(基础资料!$E100="","",基础资料!$E100)</f>
        <v/>
      </c>
      <c r="B101" s="22">
        <f>IF($A101="","",COUNTIF(项目台账!$C$4:$C$403,$A101))</f>
        <v/>
      </c>
      <c r="C101" s="19">
        <f>IF($A101="","",ROUND(SUMIF(项目台账!$C$4:$C$403,$A101,项目台账!$M$4:$M$403),2))</f>
        <v/>
      </c>
      <c r="D101" s="19">
        <f>IF($A101="","",ROUND(SUMIF(项目台账!$C$4:$C$403,$A101,项目台账!$O$4:$O$403),2))</f>
        <v/>
      </c>
      <c r="E101" s="19">
        <f>IF($A101="","",ROUND($C101-$D101,2))</f>
        <v/>
      </c>
      <c r="F101" s="22">
        <f>IF($A101="","",COUNTIFS(项目台账!$C$4:$C$403,$A101,项目台账!$J$4:$J$403,""))</f>
        <v/>
      </c>
      <c r="G101" s="23">
        <f>IF($A101="","",IFERROR(LOOKUP(1,0/((资金日记账!$H$4:$H$2503=$A101)*(资金日记账!$J$4:$J$2503&gt;0)),资金日记账!$B$4:$B$2503),""))</f>
        <v/>
      </c>
      <c r="H101" s="13" t="n"/>
    </row>
    <row r="102">
      <c r="A102" s="17">
        <f>IF(基础资料!$E101="","",基础资料!$E101)</f>
        <v/>
      </c>
      <c r="B102" s="22">
        <f>IF($A102="","",COUNTIF(项目台账!$C$4:$C$403,$A102))</f>
        <v/>
      </c>
      <c r="C102" s="19">
        <f>IF($A102="","",ROUND(SUMIF(项目台账!$C$4:$C$403,$A102,项目台账!$M$4:$M$403),2))</f>
        <v/>
      </c>
      <c r="D102" s="19">
        <f>IF($A102="","",ROUND(SUMIF(项目台账!$C$4:$C$403,$A102,项目台账!$O$4:$O$403),2))</f>
        <v/>
      </c>
      <c r="E102" s="19">
        <f>IF($A102="","",ROUND($C102-$D102,2))</f>
        <v/>
      </c>
      <c r="F102" s="22">
        <f>IF($A102="","",COUNTIFS(项目台账!$C$4:$C$403,$A102,项目台账!$J$4:$J$403,""))</f>
        <v/>
      </c>
      <c r="G102" s="23">
        <f>IF($A102="","",IFERROR(LOOKUP(1,0/((资金日记账!$H$4:$H$2503=$A102)*(资金日记账!$J$4:$J$2503&gt;0)),资金日记账!$B$4:$B$2503),""))</f>
        <v/>
      </c>
      <c r="H102" s="13" t="n"/>
    </row>
    <row r="103">
      <c r="A103" s="17">
        <f>IF(基础资料!$E102="","",基础资料!$E102)</f>
        <v/>
      </c>
      <c r="B103" s="22">
        <f>IF($A103="","",COUNTIF(项目台账!$C$4:$C$403,$A103))</f>
        <v/>
      </c>
      <c r="C103" s="19">
        <f>IF($A103="","",ROUND(SUMIF(项目台账!$C$4:$C$403,$A103,项目台账!$M$4:$M$403),2))</f>
        <v/>
      </c>
      <c r="D103" s="19">
        <f>IF($A103="","",ROUND(SUMIF(项目台账!$C$4:$C$403,$A103,项目台账!$O$4:$O$403),2))</f>
        <v/>
      </c>
      <c r="E103" s="19">
        <f>IF($A103="","",ROUND($C103-$D103,2))</f>
        <v/>
      </c>
      <c r="F103" s="22">
        <f>IF($A103="","",COUNTIFS(项目台账!$C$4:$C$403,$A103,项目台账!$J$4:$J$403,""))</f>
        <v/>
      </c>
      <c r="G103" s="23">
        <f>IF($A103="","",IFERROR(LOOKUP(1,0/((资金日记账!$H$4:$H$2503=$A103)*(资金日记账!$J$4:$J$2503&gt;0)),资金日记账!$B$4:$B$2503),""))</f>
        <v/>
      </c>
      <c r="H103" s="13" t="n"/>
    </row>
    <row r="104">
      <c r="A104" s="17">
        <f>IF(基础资料!$E103="","",基础资料!$E103)</f>
        <v/>
      </c>
      <c r="B104" s="22">
        <f>IF($A104="","",COUNTIF(项目台账!$C$4:$C$403,$A104))</f>
        <v/>
      </c>
      <c r="C104" s="19">
        <f>IF($A104="","",ROUND(SUMIF(项目台账!$C$4:$C$403,$A104,项目台账!$M$4:$M$403),2))</f>
        <v/>
      </c>
      <c r="D104" s="19">
        <f>IF($A104="","",ROUND(SUMIF(项目台账!$C$4:$C$403,$A104,项目台账!$O$4:$O$403),2))</f>
        <v/>
      </c>
      <c r="E104" s="19">
        <f>IF($A104="","",ROUND($C104-$D104,2))</f>
        <v/>
      </c>
      <c r="F104" s="22">
        <f>IF($A104="","",COUNTIFS(项目台账!$C$4:$C$403,$A104,项目台账!$J$4:$J$403,""))</f>
        <v/>
      </c>
      <c r="G104" s="23">
        <f>IF($A104="","",IFERROR(LOOKUP(1,0/((资金日记账!$H$4:$H$2503=$A104)*(资金日记账!$J$4:$J$2503&gt;0)),资金日记账!$B$4:$B$2503),""))</f>
        <v/>
      </c>
      <c r="H104" s="13" t="n"/>
    </row>
    <row r="105">
      <c r="A105" s="17">
        <f>IF(基础资料!$E104="","",基础资料!$E104)</f>
        <v/>
      </c>
      <c r="B105" s="22">
        <f>IF($A105="","",COUNTIF(项目台账!$C$4:$C$403,$A105))</f>
        <v/>
      </c>
      <c r="C105" s="19">
        <f>IF($A105="","",ROUND(SUMIF(项目台账!$C$4:$C$403,$A105,项目台账!$M$4:$M$403),2))</f>
        <v/>
      </c>
      <c r="D105" s="19">
        <f>IF($A105="","",ROUND(SUMIF(项目台账!$C$4:$C$403,$A105,项目台账!$O$4:$O$403),2))</f>
        <v/>
      </c>
      <c r="E105" s="19">
        <f>IF($A105="","",ROUND($C105-$D105,2))</f>
        <v/>
      </c>
      <c r="F105" s="22">
        <f>IF($A105="","",COUNTIFS(项目台账!$C$4:$C$403,$A105,项目台账!$J$4:$J$403,""))</f>
        <v/>
      </c>
      <c r="G105" s="23">
        <f>IF($A105="","",IFERROR(LOOKUP(1,0/((资金日记账!$H$4:$H$2503=$A105)*(资金日记账!$J$4:$J$2503&gt;0)),资金日记账!$B$4:$B$2503),""))</f>
        <v/>
      </c>
      <c r="H105" s="13" t="n"/>
    </row>
    <row r="106">
      <c r="A106" s="17">
        <f>IF(基础资料!$E105="","",基础资料!$E105)</f>
        <v/>
      </c>
      <c r="B106" s="22">
        <f>IF($A106="","",COUNTIF(项目台账!$C$4:$C$403,$A106))</f>
        <v/>
      </c>
      <c r="C106" s="19">
        <f>IF($A106="","",ROUND(SUMIF(项目台账!$C$4:$C$403,$A106,项目台账!$M$4:$M$403),2))</f>
        <v/>
      </c>
      <c r="D106" s="19">
        <f>IF($A106="","",ROUND(SUMIF(项目台账!$C$4:$C$403,$A106,项目台账!$O$4:$O$403),2))</f>
        <v/>
      </c>
      <c r="E106" s="19">
        <f>IF($A106="","",ROUND($C106-$D106,2))</f>
        <v/>
      </c>
      <c r="F106" s="22">
        <f>IF($A106="","",COUNTIFS(项目台账!$C$4:$C$403,$A106,项目台账!$J$4:$J$403,""))</f>
        <v/>
      </c>
      <c r="G106" s="23">
        <f>IF($A106="","",IFERROR(LOOKUP(1,0/((资金日记账!$H$4:$H$2503=$A106)*(资金日记账!$J$4:$J$2503&gt;0)),资金日记账!$B$4:$B$2503),""))</f>
        <v/>
      </c>
      <c r="H106" s="13" t="n"/>
    </row>
    <row r="107">
      <c r="A107" s="17">
        <f>IF(基础资料!$E106="","",基础资料!$E106)</f>
        <v/>
      </c>
      <c r="B107" s="22">
        <f>IF($A107="","",COUNTIF(项目台账!$C$4:$C$403,$A107))</f>
        <v/>
      </c>
      <c r="C107" s="19">
        <f>IF($A107="","",ROUND(SUMIF(项目台账!$C$4:$C$403,$A107,项目台账!$M$4:$M$403),2))</f>
        <v/>
      </c>
      <c r="D107" s="19">
        <f>IF($A107="","",ROUND(SUMIF(项目台账!$C$4:$C$403,$A107,项目台账!$O$4:$O$403),2))</f>
        <v/>
      </c>
      <c r="E107" s="19">
        <f>IF($A107="","",ROUND($C107-$D107,2))</f>
        <v/>
      </c>
      <c r="F107" s="22">
        <f>IF($A107="","",COUNTIFS(项目台账!$C$4:$C$403,$A107,项目台账!$J$4:$J$403,""))</f>
        <v/>
      </c>
      <c r="G107" s="23">
        <f>IF($A107="","",IFERROR(LOOKUP(1,0/((资金日记账!$H$4:$H$2503=$A107)*(资金日记账!$J$4:$J$2503&gt;0)),资金日记账!$B$4:$B$2503),""))</f>
        <v/>
      </c>
      <c r="H107" s="13" t="n"/>
    </row>
    <row r="108">
      <c r="A108" s="17">
        <f>IF(基础资料!$E107="","",基础资料!$E107)</f>
        <v/>
      </c>
      <c r="B108" s="22">
        <f>IF($A108="","",COUNTIF(项目台账!$C$4:$C$403,$A108))</f>
        <v/>
      </c>
      <c r="C108" s="19">
        <f>IF($A108="","",ROUND(SUMIF(项目台账!$C$4:$C$403,$A108,项目台账!$M$4:$M$403),2))</f>
        <v/>
      </c>
      <c r="D108" s="19">
        <f>IF($A108="","",ROUND(SUMIF(项目台账!$C$4:$C$403,$A108,项目台账!$O$4:$O$403),2))</f>
        <v/>
      </c>
      <c r="E108" s="19">
        <f>IF($A108="","",ROUND($C108-$D108,2))</f>
        <v/>
      </c>
      <c r="F108" s="22">
        <f>IF($A108="","",COUNTIFS(项目台账!$C$4:$C$403,$A108,项目台账!$J$4:$J$403,""))</f>
        <v/>
      </c>
      <c r="G108" s="23">
        <f>IF($A108="","",IFERROR(LOOKUP(1,0/((资金日记账!$H$4:$H$2503=$A108)*(资金日记账!$J$4:$J$2503&gt;0)),资金日记账!$B$4:$B$2503),""))</f>
        <v/>
      </c>
      <c r="H108" s="13" t="n"/>
    </row>
    <row r="109">
      <c r="A109" s="17">
        <f>IF(基础资料!$E108="","",基础资料!$E108)</f>
        <v/>
      </c>
      <c r="B109" s="22">
        <f>IF($A109="","",COUNTIF(项目台账!$C$4:$C$403,$A109))</f>
        <v/>
      </c>
      <c r="C109" s="19">
        <f>IF($A109="","",ROUND(SUMIF(项目台账!$C$4:$C$403,$A109,项目台账!$M$4:$M$403),2))</f>
        <v/>
      </c>
      <c r="D109" s="19">
        <f>IF($A109="","",ROUND(SUMIF(项目台账!$C$4:$C$403,$A109,项目台账!$O$4:$O$403),2))</f>
        <v/>
      </c>
      <c r="E109" s="19">
        <f>IF($A109="","",ROUND($C109-$D109,2))</f>
        <v/>
      </c>
      <c r="F109" s="22">
        <f>IF($A109="","",COUNTIFS(项目台账!$C$4:$C$403,$A109,项目台账!$J$4:$J$403,""))</f>
        <v/>
      </c>
      <c r="G109" s="23">
        <f>IF($A109="","",IFERROR(LOOKUP(1,0/((资金日记账!$H$4:$H$2503=$A109)*(资金日记账!$J$4:$J$2503&gt;0)),资金日记账!$B$4:$B$2503),""))</f>
        <v/>
      </c>
      <c r="H109" s="13" t="n"/>
    </row>
    <row r="110">
      <c r="A110" s="17">
        <f>IF(基础资料!$E109="","",基础资料!$E109)</f>
        <v/>
      </c>
      <c r="B110" s="22">
        <f>IF($A110="","",COUNTIF(项目台账!$C$4:$C$403,$A110))</f>
        <v/>
      </c>
      <c r="C110" s="19">
        <f>IF($A110="","",ROUND(SUMIF(项目台账!$C$4:$C$403,$A110,项目台账!$M$4:$M$403),2))</f>
        <v/>
      </c>
      <c r="D110" s="19">
        <f>IF($A110="","",ROUND(SUMIF(项目台账!$C$4:$C$403,$A110,项目台账!$O$4:$O$403),2))</f>
        <v/>
      </c>
      <c r="E110" s="19">
        <f>IF($A110="","",ROUND($C110-$D110,2))</f>
        <v/>
      </c>
      <c r="F110" s="22">
        <f>IF($A110="","",COUNTIFS(项目台账!$C$4:$C$403,$A110,项目台账!$J$4:$J$403,""))</f>
        <v/>
      </c>
      <c r="G110" s="23">
        <f>IF($A110="","",IFERROR(LOOKUP(1,0/((资金日记账!$H$4:$H$2503=$A110)*(资金日记账!$J$4:$J$2503&gt;0)),资金日记账!$B$4:$B$2503),""))</f>
        <v/>
      </c>
      <c r="H110" s="13" t="n"/>
    </row>
    <row r="111">
      <c r="A111" s="17">
        <f>IF(基础资料!$E110="","",基础资料!$E110)</f>
        <v/>
      </c>
      <c r="B111" s="22">
        <f>IF($A111="","",COUNTIF(项目台账!$C$4:$C$403,$A111))</f>
        <v/>
      </c>
      <c r="C111" s="19">
        <f>IF($A111="","",ROUND(SUMIF(项目台账!$C$4:$C$403,$A111,项目台账!$M$4:$M$403),2))</f>
        <v/>
      </c>
      <c r="D111" s="19">
        <f>IF($A111="","",ROUND(SUMIF(项目台账!$C$4:$C$403,$A111,项目台账!$O$4:$O$403),2))</f>
        <v/>
      </c>
      <c r="E111" s="19">
        <f>IF($A111="","",ROUND($C111-$D111,2))</f>
        <v/>
      </c>
      <c r="F111" s="22">
        <f>IF($A111="","",COUNTIFS(项目台账!$C$4:$C$403,$A111,项目台账!$J$4:$J$403,""))</f>
        <v/>
      </c>
      <c r="G111" s="23">
        <f>IF($A111="","",IFERROR(LOOKUP(1,0/((资金日记账!$H$4:$H$2503=$A111)*(资金日记账!$J$4:$J$2503&gt;0)),资金日记账!$B$4:$B$2503),""))</f>
        <v/>
      </c>
      <c r="H111" s="13" t="n"/>
    </row>
    <row r="112">
      <c r="A112" s="17">
        <f>IF(基础资料!$E111="","",基础资料!$E111)</f>
        <v/>
      </c>
      <c r="B112" s="22">
        <f>IF($A112="","",COUNTIF(项目台账!$C$4:$C$403,$A112))</f>
        <v/>
      </c>
      <c r="C112" s="19">
        <f>IF($A112="","",ROUND(SUMIF(项目台账!$C$4:$C$403,$A112,项目台账!$M$4:$M$403),2))</f>
        <v/>
      </c>
      <c r="D112" s="19">
        <f>IF($A112="","",ROUND(SUMIF(项目台账!$C$4:$C$403,$A112,项目台账!$O$4:$O$403),2))</f>
        <v/>
      </c>
      <c r="E112" s="19">
        <f>IF($A112="","",ROUND($C112-$D112,2))</f>
        <v/>
      </c>
      <c r="F112" s="22">
        <f>IF($A112="","",COUNTIFS(项目台账!$C$4:$C$403,$A112,项目台账!$J$4:$J$403,""))</f>
        <v/>
      </c>
      <c r="G112" s="23">
        <f>IF($A112="","",IFERROR(LOOKUP(1,0/((资金日记账!$H$4:$H$2503=$A112)*(资金日记账!$J$4:$J$2503&gt;0)),资金日记账!$B$4:$B$2503),""))</f>
        <v/>
      </c>
      <c r="H112" s="13" t="n"/>
    </row>
    <row r="113">
      <c r="A113" s="17">
        <f>IF(基础资料!$E112="","",基础资料!$E112)</f>
        <v/>
      </c>
      <c r="B113" s="22">
        <f>IF($A113="","",COUNTIF(项目台账!$C$4:$C$403,$A113))</f>
        <v/>
      </c>
      <c r="C113" s="19">
        <f>IF($A113="","",ROUND(SUMIF(项目台账!$C$4:$C$403,$A113,项目台账!$M$4:$M$403),2))</f>
        <v/>
      </c>
      <c r="D113" s="19">
        <f>IF($A113="","",ROUND(SUMIF(项目台账!$C$4:$C$403,$A113,项目台账!$O$4:$O$403),2))</f>
        <v/>
      </c>
      <c r="E113" s="19">
        <f>IF($A113="","",ROUND($C113-$D113,2))</f>
        <v/>
      </c>
      <c r="F113" s="22">
        <f>IF($A113="","",COUNTIFS(项目台账!$C$4:$C$403,$A113,项目台账!$J$4:$J$403,""))</f>
        <v/>
      </c>
      <c r="G113" s="23">
        <f>IF($A113="","",IFERROR(LOOKUP(1,0/((资金日记账!$H$4:$H$2503=$A113)*(资金日记账!$J$4:$J$2503&gt;0)),资金日记账!$B$4:$B$2503),""))</f>
        <v/>
      </c>
      <c r="H113" s="13" t="n"/>
    </row>
    <row r="114">
      <c r="A114" s="17">
        <f>IF(基础资料!$E113="","",基础资料!$E113)</f>
        <v/>
      </c>
      <c r="B114" s="22">
        <f>IF($A114="","",COUNTIF(项目台账!$C$4:$C$403,$A114))</f>
        <v/>
      </c>
      <c r="C114" s="19">
        <f>IF($A114="","",ROUND(SUMIF(项目台账!$C$4:$C$403,$A114,项目台账!$M$4:$M$403),2))</f>
        <v/>
      </c>
      <c r="D114" s="19">
        <f>IF($A114="","",ROUND(SUMIF(项目台账!$C$4:$C$403,$A114,项目台账!$O$4:$O$403),2))</f>
        <v/>
      </c>
      <c r="E114" s="19">
        <f>IF($A114="","",ROUND($C114-$D114,2))</f>
        <v/>
      </c>
      <c r="F114" s="22">
        <f>IF($A114="","",COUNTIFS(项目台账!$C$4:$C$403,$A114,项目台账!$J$4:$J$403,""))</f>
        <v/>
      </c>
      <c r="G114" s="23">
        <f>IF($A114="","",IFERROR(LOOKUP(1,0/((资金日记账!$H$4:$H$2503=$A114)*(资金日记账!$J$4:$J$2503&gt;0)),资金日记账!$B$4:$B$2503),""))</f>
        <v/>
      </c>
      <c r="H114" s="13" t="n"/>
    </row>
    <row r="115">
      <c r="A115" s="17">
        <f>IF(基础资料!$E114="","",基础资料!$E114)</f>
        <v/>
      </c>
      <c r="B115" s="22">
        <f>IF($A115="","",COUNTIF(项目台账!$C$4:$C$403,$A115))</f>
        <v/>
      </c>
      <c r="C115" s="19">
        <f>IF($A115="","",ROUND(SUMIF(项目台账!$C$4:$C$403,$A115,项目台账!$M$4:$M$403),2))</f>
        <v/>
      </c>
      <c r="D115" s="19">
        <f>IF($A115="","",ROUND(SUMIF(项目台账!$C$4:$C$403,$A115,项目台账!$O$4:$O$403),2))</f>
        <v/>
      </c>
      <c r="E115" s="19">
        <f>IF($A115="","",ROUND($C115-$D115,2))</f>
        <v/>
      </c>
      <c r="F115" s="22">
        <f>IF($A115="","",COUNTIFS(项目台账!$C$4:$C$403,$A115,项目台账!$J$4:$J$403,""))</f>
        <v/>
      </c>
      <c r="G115" s="23">
        <f>IF($A115="","",IFERROR(LOOKUP(1,0/((资金日记账!$H$4:$H$2503=$A115)*(资金日记账!$J$4:$J$2503&gt;0)),资金日记账!$B$4:$B$2503),""))</f>
        <v/>
      </c>
      <c r="H115" s="13" t="n"/>
    </row>
    <row r="116">
      <c r="A116" s="17">
        <f>IF(基础资料!$E115="","",基础资料!$E115)</f>
        <v/>
      </c>
      <c r="B116" s="22">
        <f>IF($A116="","",COUNTIF(项目台账!$C$4:$C$403,$A116))</f>
        <v/>
      </c>
      <c r="C116" s="19">
        <f>IF($A116="","",ROUND(SUMIF(项目台账!$C$4:$C$403,$A116,项目台账!$M$4:$M$403),2))</f>
        <v/>
      </c>
      <c r="D116" s="19">
        <f>IF($A116="","",ROUND(SUMIF(项目台账!$C$4:$C$403,$A116,项目台账!$O$4:$O$403),2))</f>
        <v/>
      </c>
      <c r="E116" s="19">
        <f>IF($A116="","",ROUND($C116-$D116,2))</f>
        <v/>
      </c>
      <c r="F116" s="22">
        <f>IF($A116="","",COUNTIFS(项目台账!$C$4:$C$403,$A116,项目台账!$J$4:$J$403,""))</f>
        <v/>
      </c>
      <c r="G116" s="23">
        <f>IF($A116="","",IFERROR(LOOKUP(1,0/((资金日记账!$H$4:$H$2503=$A116)*(资金日记账!$J$4:$J$2503&gt;0)),资金日记账!$B$4:$B$2503),""))</f>
        <v/>
      </c>
      <c r="H116" s="13" t="n"/>
    </row>
    <row r="117">
      <c r="A117" s="17">
        <f>IF(基础资料!$E116="","",基础资料!$E116)</f>
        <v/>
      </c>
      <c r="B117" s="22">
        <f>IF($A117="","",COUNTIF(项目台账!$C$4:$C$403,$A117))</f>
        <v/>
      </c>
      <c r="C117" s="19">
        <f>IF($A117="","",ROUND(SUMIF(项目台账!$C$4:$C$403,$A117,项目台账!$M$4:$M$403),2))</f>
        <v/>
      </c>
      <c r="D117" s="19">
        <f>IF($A117="","",ROUND(SUMIF(项目台账!$C$4:$C$403,$A117,项目台账!$O$4:$O$403),2))</f>
        <v/>
      </c>
      <c r="E117" s="19">
        <f>IF($A117="","",ROUND($C117-$D117,2))</f>
        <v/>
      </c>
      <c r="F117" s="22">
        <f>IF($A117="","",COUNTIFS(项目台账!$C$4:$C$403,$A117,项目台账!$J$4:$J$403,""))</f>
        <v/>
      </c>
      <c r="G117" s="23">
        <f>IF($A117="","",IFERROR(LOOKUP(1,0/((资金日记账!$H$4:$H$2503=$A117)*(资金日记账!$J$4:$J$2503&gt;0)),资金日记账!$B$4:$B$2503),""))</f>
        <v/>
      </c>
      <c r="H117" s="13" t="n"/>
    </row>
    <row r="118">
      <c r="A118" s="17">
        <f>IF(基础资料!$E117="","",基础资料!$E117)</f>
        <v/>
      </c>
      <c r="B118" s="22">
        <f>IF($A118="","",COUNTIF(项目台账!$C$4:$C$403,$A118))</f>
        <v/>
      </c>
      <c r="C118" s="19">
        <f>IF($A118="","",ROUND(SUMIF(项目台账!$C$4:$C$403,$A118,项目台账!$M$4:$M$403),2))</f>
        <v/>
      </c>
      <c r="D118" s="19">
        <f>IF($A118="","",ROUND(SUMIF(项目台账!$C$4:$C$403,$A118,项目台账!$O$4:$O$403),2))</f>
        <v/>
      </c>
      <c r="E118" s="19">
        <f>IF($A118="","",ROUND($C118-$D118,2))</f>
        <v/>
      </c>
      <c r="F118" s="22">
        <f>IF($A118="","",COUNTIFS(项目台账!$C$4:$C$403,$A118,项目台账!$J$4:$J$403,""))</f>
        <v/>
      </c>
      <c r="G118" s="23">
        <f>IF($A118="","",IFERROR(LOOKUP(1,0/((资金日记账!$H$4:$H$2503=$A118)*(资金日记账!$J$4:$J$2503&gt;0)),资金日记账!$B$4:$B$2503),""))</f>
        <v/>
      </c>
      <c r="H118" s="13" t="n"/>
    </row>
    <row r="119">
      <c r="A119" s="17">
        <f>IF(基础资料!$E118="","",基础资料!$E118)</f>
        <v/>
      </c>
      <c r="B119" s="22">
        <f>IF($A119="","",COUNTIF(项目台账!$C$4:$C$403,$A119))</f>
        <v/>
      </c>
      <c r="C119" s="19">
        <f>IF($A119="","",ROUND(SUMIF(项目台账!$C$4:$C$403,$A119,项目台账!$M$4:$M$403),2))</f>
        <v/>
      </c>
      <c r="D119" s="19">
        <f>IF($A119="","",ROUND(SUMIF(项目台账!$C$4:$C$403,$A119,项目台账!$O$4:$O$403),2))</f>
        <v/>
      </c>
      <c r="E119" s="19">
        <f>IF($A119="","",ROUND($C119-$D119,2))</f>
        <v/>
      </c>
      <c r="F119" s="22">
        <f>IF($A119="","",COUNTIFS(项目台账!$C$4:$C$403,$A119,项目台账!$J$4:$J$403,""))</f>
        <v/>
      </c>
      <c r="G119" s="23">
        <f>IF($A119="","",IFERROR(LOOKUP(1,0/((资金日记账!$H$4:$H$2503=$A119)*(资金日记账!$J$4:$J$2503&gt;0)),资金日记账!$B$4:$B$2503),""))</f>
        <v/>
      </c>
      <c r="H119" s="13" t="n"/>
    </row>
    <row r="120">
      <c r="A120" s="17">
        <f>IF(基础资料!$E119="","",基础资料!$E119)</f>
        <v/>
      </c>
      <c r="B120" s="22">
        <f>IF($A120="","",COUNTIF(项目台账!$C$4:$C$403,$A120))</f>
        <v/>
      </c>
      <c r="C120" s="19">
        <f>IF($A120="","",ROUND(SUMIF(项目台账!$C$4:$C$403,$A120,项目台账!$M$4:$M$403),2))</f>
        <v/>
      </c>
      <c r="D120" s="19">
        <f>IF($A120="","",ROUND(SUMIF(项目台账!$C$4:$C$403,$A120,项目台账!$O$4:$O$403),2))</f>
        <v/>
      </c>
      <c r="E120" s="19">
        <f>IF($A120="","",ROUND($C120-$D120,2))</f>
        <v/>
      </c>
      <c r="F120" s="22">
        <f>IF($A120="","",COUNTIFS(项目台账!$C$4:$C$403,$A120,项目台账!$J$4:$J$403,""))</f>
        <v/>
      </c>
      <c r="G120" s="23">
        <f>IF($A120="","",IFERROR(LOOKUP(1,0/((资金日记账!$H$4:$H$2503=$A120)*(资金日记账!$J$4:$J$2503&gt;0)),资金日记账!$B$4:$B$2503),""))</f>
        <v/>
      </c>
      <c r="H120" s="13" t="n"/>
    </row>
    <row r="121">
      <c r="A121" s="17">
        <f>IF(基础资料!$E120="","",基础资料!$E120)</f>
        <v/>
      </c>
      <c r="B121" s="22">
        <f>IF($A121="","",COUNTIF(项目台账!$C$4:$C$403,$A121))</f>
        <v/>
      </c>
      <c r="C121" s="19">
        <f>IF($A121="","",ROUND(SUMIF(项目台账!$C$4:$C$403,$A121,项目台账!$M$4:$M$403),2))</f>
        <v/>
      </c>
      <c r="D121" s="19">
        <f>IF($A121="","",ROUND(SUMIF(项目台账!$C$4:$C$403,$A121,项目台账!$O$4:$O$403),2))</f>
        <v/>
      </c>
      <c r="E121" s="19">
        <f>IF($A121="","",ROUND($C121-$D121,2))</f>
        <v/>
      </c>
      <c r="F121" s="22">
        <f>IF($A121="","",COUNTIFS(项目台账!$C$4:$C$403,$A121,项目台账!$J$4:$J$403,""))</f>
        <v/>
      </c>
      <c r="G121" s="23">
        <f>IF($A121="","",IFERROR(LOOKUP(1,0/((资金日记账!$H$4:$H$2503=$A121)*(资金日记账!$J$4:$J$2503&gt;0)),资金日记账!$B$4:$B$2503),""))</f>
        <v/>
      </c>
      <c r="H121" s="13" t="n"/>
    </row>
    <row r="122">
      <c r="A122" s="17">
        <f>IF(基础资料!$E121="","",基础资料!$E121)</f>
        <v/>
      </c>
      <c r="B122" s="22">
        <f>IF($A122="","",COUNTIF(项目台账!$C$4:$C$403,$A122))</f>
        <v/>
      </c>
      <c r="C122" s="19">
        <f>IF($A122="","",ROUND(SUMIF(项目台账!$C$4:$C$403,$A122,项目台账!$M$4:$M$403),2))</f>
        <v/>
      </c>
      <c r="D122" s="19">
        <f>IF($A122="","",ROUND(SUMIF(项目台账!$C$4:$C$403,$A122,项目台账!$O$4:$O$403),2))</f>
        <v/>
      </c>
      <c r="E122" s="19">
        <f>IF($A122="","",ROUND($C122-$D122,2))</f>
        <v/>
      </c>
      <c r="F122" s="22">
        <f>IF($A122="","",COUNTIFS(项目台账!$C$4:$C$403,$A122,项目台账!$J$4:$J$403,""))</f>
        <v/>
      </c>
      <c r="G122" s="23">
        <f>IF($A122="","",IFERROR(LOOKUP(1,0/((资金日记账!$H$4:$H$2503=$A122)*(资金日记账!$J$4:$J$2503&gt;0)),资金日记账!$B$4:$B$2503),""))</f>
        <v/>
      </c>
      <c r="H122" s="13" t="n"/>
    </row>
    <row r="123">
      <c r="A123" s="17">
        <f>IF(基础资料!$E122="","",基础资料!$E122)</f>
        <v/>
      </c>
      <c r="B123" s="22">
        <f>IF($A123="","",COUNTIF(项目台账!$C$4:$C$403,$A123))</f>
        <v/>
      </c>
      <c r="C123" s="19">
        <f>IF($A123="","",ROUND(SUMIF(项目台账!$C$4:$C$403,$A123,项目台账!$M$4:$M$403),2))</f>
        <v/>
      </c>
      <c r="D123" s="19">
        <f>IF($A123="","",ROUND(SUMIF(项目台账!$C$4:$C$403,$A123,项目台账!$O$4:$O$403),2))</f>
        <v/>
      </c>
      <c r="E123" s="19">
        <f>IF($A123="","",ROUND($C123-$D123,2))</f>
        <v/>
      </c>
      <c r="F123" s="22">
        <f>IF($A123="","",COUNTIFS(项目台账!$C$4:$C$403,$A123,项目台账!$J$4:$J$403,""))</f>
        <v/>
      </c>
      <c r="G123" s="23">
        <f>IF($A123="","",IFERROR(LOOKUP(1,0/((资金日记账!$H$4:$H$2503=$A123)*(资金日记账!$J$4:$J$2503&gt;0)),资金日记账!$B$4:$B$2503),""))</f>
        <v/>
      </c>
      <c r="H123" s="13" t="n"/>
    </row>
    <row r="124">
      <c r="A124" s="17">
        <f>IF(基础资料!$E123="","",基础资料!$E123)</f>
        <v/>
      </c>
      <c r="B124" s="22">
        <f>IF($A124="","",COUNTIF(项目台账!$C$4:$C$403,$A124))</f>
        <v/>
      </c>
      <c r="C124" s="19">
        <f>IF($A124="","",ROUND(SUMIF(项目台账!$C$4:$C$403,$A124,项目台账!$M$4:$M$403),2))</f>
        <v/>
      </c>
      <c r="D124" s="19">
        <f>IF($A124="","",ROUND(SUMIF(项目台账!$C$4:$C$403,$A124,项目台账!$O$4:$O$403),2))</f>
        <v/>
      </c>
      <c r="E124" s="19">
        <f>IF($A124="","",ROUND($C124-$D124,2))</f>
        <v/>
      </c>
      <c r="F124" s="22">
        <f>IF($A124="","",COUNTIFS(项目台账!$C$4:$C$403,$A124,项目台账!$J$4:$J$403,""))</f>
        <v/>
      </c>
      <c r="G124" s="23">
        <f>IF($A124="","",IFERROR(LOOKUP(1,0/((资金日记账!$H$4:$H$2503=$A124)*(资金日记账!$J$4:$J$2503&gt;0)),资金日记账!$B$4:$B$2503),""))</f>
        <v/>
      </c>
      <c r="H124" s="13" t="n"/>
    </row>
    <row r="125">
      <c r="A125" s="17">
        <f>IF(基础资料!$E124="","",基础资料!$E124)</f>
        <v/>
      </c>
      <c r="B125" s="22">
        <f>IF($A125="","",COUNTIF(项目台账!$C$4:$C$403,$A125))</f>
        <v/>
      </c>
      <c r="C125" s="19">
        <f>IF($A125="","",ROUND(SUMIF(项目台账!$C$4:$C$403,$A125,项目台账!$M$4:$M$403),2))</f>
        <v/>
      </c>
      <c r="D125" s="19">
        <f>IF($A125="","",ROUND(SUMIF(项目台账!$C$4:$C$403,$A125,项目台账!$O$4:$O$403),2))</f>
        <v/>
      </c>
      <c r="E125" s="19">
        <f>IF($A125="","",ROUND($C125-$D125,2))</f>
        <v/>
      </c>
      <c r="F125" s="22">
        <f>IF($A125="","",COUNTIFS(项目台账!$C$4:$C$403,$A125,项目台账!$J$4:$J$403,""))</f>
        <v/>
      </c>
      <c r="G125" s="23">
        <f>IF($A125="","",IFERROR(LOOKUP(1,0/((资金日记账!$H$4:$H$2503=$A125)*(资金日记账!$J$4:$J$2503&gt;0)),资金日记账!$B$4:$B$2503),""))</f>
        <v/>
      </c>
      <c r="H125" s="13" t="n"/>
    </row>
    <row r="126">
      <c r="A126" s="17">
        <f>IF(基础资料!$E125="","",基础资料!$E125)</f>
        <v/>
      </c>
      <c r="B126" s="22">
        <f>IF($A126="","",COUNTIF(项目台账!$C$4:$C$403,$A126))</f>
        <v/>
      </c>
      <c r="C126" s="19">
        <f>IF($A126="","",ROUND(SUMIF(项目台账!$C$4:$C$403,$A126,项目台账!$M$4:$M$403),2))</f>
        <v/>
      </c>
      <c r="D126" s="19">
        <f>IF($A126="","",ROUND(SUMIF(项目台账!$C$4:$C$403,$A126,项目台账!$O$4:$O$403),2))</f>
        <v/>
      </c>
      <c r="E126" s="19">
        <f>IF($A126="","",ROUND($C126-$D126,2))</f>
        <v/>
      </c>
      <c r="F126" s="22">
        <f>IF($A126="","",COUNTIFS(项目台账!$C$4:$C$403,$A126,项目台账!$J$4:$J$403,""))</f>
        <v/>
      </c>
      <c r="G126" s="23">
        <f>IF($A126="","",IFERROR(LOOKUP(1,0/((资金日记账!$H$4:$H$2503=$A126)*(资金日记账!$J$4:$J$2503&gt;0)),资金日记账!$B$4:$B$2503),""))</f>
        <v/>
      </c>
      <c r="H126" s="13" t="n"/>
    </row>
    <row r="127">
      <c r="A127" s="17">
        <f>IF(基础资料!$E126="","",基础资料!$E126)</f>
        <v/>
      </c>
      <c r="B127" s="22">
        <f>IF($A127="","",COUNTIF(项目台账!$C$4:$C$403,$A127))</f>
        <v/>
      </c>
      <c r="C127" s="19">
        <f>IF($A127="","",ROUND(SUMIF(项目台账!$C$4:$C$403,$A127,项目台账!$M$4:$M$403),2))</f>
        <v/>
      </c>
      <c r="D127" s="19">
        <f>IF($A127="","",ROUND(SUMIF(项目台账!$C$4:$C$403,$A127,项目台账!$O$4:$O$403),2))</f>
        <v/>
      </c>
      <c r="E127" s="19">
        <f>IF($A127="","",ROUND($C127-$D127,2))</f>
        <v/>
      </c>
      <c r="F127" s="22">
        <f>IF($A127="","",COUNTIFS(项目台账!$C$4:$C$403,$A127,项目台账!$J$4:$J$403,""))</f>
        <v/>
      </c>
      <c r="G127" s="23">
        <f>IF($A127="","",IFERROR(LOOKUP(1,0/((资金日记账!$H$4:$H$2503=$A127)*(资金日记账!$J$4:$J$2503&gt;0)),资金日记账!$B$4:$B$2503),""))</f>
        <v/>
      </c>
      <c r="H127" s="13" t="n"/>
    </row>
    <row r="128">
      <c r="A128" s="17">
        <f>IF(基础资料!$E127="","",基础资料!$E127)</f>
        <v/>
      </c>
      <c r="B128" s="22">
        <f>IF($A128="","",COUNTIF(项目台账!$C$4:$C$403,$A128))</f>
        <v/>
      </c>
      <c r="C128" s="19">
        <f>IF($A128="","",ROUND(SUMIF(项目台账!$C$4:$C$403,$A128,项目台账!$M$4:$M$403),2))</f>
        <v/>
      </c>
      <c r="D128" s="19">
        <f>IF($A128="","",ROUND(SUMIF(项目台账!$C$4:$C$403,$A128,项目台账!$O$4:$O$403),2))</f>
        <v/>
      </c>
      <c r="E128" s="19">
        <f>IF($A128="","",ROUND($C128-$D128,2))</f>
        <v/>
      </c>
      <c r="F128" s="22">
        <f>IF($A128="","",COUNTIFS(项目台账!$C$4:$C$403,$A128,项目台账!$J$4:$J$403,""))</f>
        <v/>
      </c>
      <c r="G128" s="23">
        <f>IF($A128="","",IFERROR(LOOKUP(1,0/((资金日记账!$H$4:$H$2503=$A128)*(资金日记账!$J$4:$J$2503&gt;0)),资金日记账!$B$4:$B$2503),""))</f>
        <v/>
      </c>
      <c r="H128" s="13" t="n"/>
    </row>
    <row r="129">
      <c r="A129" s="17">
        <f>IF(基础资料!$E128="","",基础资料!$E128)</f>
        <v/>
      </c>
      <c r="B129" s="22">
        <f>IF($A129="","",COUNTIF(项目台账!$C$4:$C$403,$A129))</f>
        <v/>
      </c>
      <c r="C129" s="19">
        <f>IF($A129="","",ROUND(SUMIF(项目台账!$C$4:$C$403,$A129,项目台账!$M$4:$M$403),2))</f>
        <v/>
      </c>
      <c r="D129" s="19">
        <f>IF($A129="","",ROUND(SUMIF(项目台账!$C$4:$C$403,$A129,项目台账!$O$4:$O$403),2))</f>
        <v/>
      </c>
      <c r="E129" s="19">
        <f>IF($A129="","",ROUND($C129-$D129,2))</f>
        <v/>
      </c>
      <c r="F129" s="22">
        <f>IF($A129="","",COUNTIFS(项目台账!$C$4:$C$403,$A129,项目台账!$J$4:$J$403,""))</f>
        <v/>
      </c>
      <c r="G129" s="23">
        <f>IF($A129="","",IFERROR(LOOKUP(1,0/((资金日记账!$H$4:$H$2503=$A129)*(资金日记账!$J$4:$J$2503&gt;0)),资金日记账!$B$4:$B$2503),""))</f>
        <v/>
      </c>
      <c r="H129" s="13" t="n"/>
    </row>
    <row r="130">
      <c r="A130" s="17">
        <f>IF(基础资料!$E129="","",基础资料!$E129)</f>
        <v/>
      </c>
      <c r="B130" s="22">
        <f>IF($A130="","",COUNTIF(项目台账!$C$4:$C$403,$A130))</f>
        <v/>
      </c>
      <c r="C130" s="19">
        <f>IF($A130="","",ROUND(SUMIF(项目台账!$C$4:$C$403,$A130,项目台账!$M$4:$M$403),2))</f>
        <v/>
      </c>
      <c r="D130" s="19">
        <f>IF($A130="","",ROUND(SUMIF(项目台账!$C$4:$C$403,$A130,项目台账!$O$4:$O$403),2))</f>
        <v/>
      </c>
      <c r="E130" s="19">
        <f>IF($A130="","",ROUND($C130-$D130,2))</f>
        <v/>
      </c>
      <c r="F130" s="22">
        <f>IF($A130="","",COUNTIFS(项目台账!$C$4:$C$403,$A130,项目台账!$J$4:$J$403,""))</f>
        <v/>
      </c>
      <c r="G130" s="23">
        <f>IF($A130="","",IFERROR(LOOKUP(1,0/((资金日记账!$H$4:$H$2503=$A130)*(资金日记账!$J$4:$J$2503&gt;0)),资金日记账!$B$4:$B$2503),""))</f>
        <v/>
      </c>
      <c r="H130" s="13" t="n"/>
    </row>
    <row r="131">
      <c r="A131" s="17">
        <f>IF(基础资料!$E130="","",基础资料!$E130)</f>
        <v/>
      </c>
      <c r="B131" s="22">
        <f>IF($A131="","",COUNTIF(项目台账!$C$4:$C$403,$A131))</f>
        <v/>
      </c>
      <c r="C131" s="19">
        <f>IF($A131="","",ROUND(SUMIF(项目台账!$C$4:$C$403,$A131,项目台账!$M$4:$M$403),2))</f>
        <v/>
      </c>
      <c r="D131" s="19">
        <f>IF($A131="","",ROUND(SUMIF(项目台账!$C$4:$C$403,$A131,项目台账!$O$4:$O$403),2))</f>
        <v/>
      </c>
      <c r="E131" s="19">
        <f>IF($A131="","",ROUND($C131-$D131,2))</f>
        <v/>
      </c>
      <c r="F131" s="22">
        <f>IF($A131="","",COUNTIFS(项目台账!$C$4:$C$403,$A131,项目台账!$J$4:$J$403,""))</f>
        <v/>
      </c>
      <c r="G131" s="23">
        <f>IF($A131="","",IFERROR(LOOKUP(1,0/((资金日记账!$H$4:$H$2503=$A131)*(资金日记账!$J$4:$J$2503&gt;0)),资金日记账!$B$4:$B$2503),""))</f>
        <v/>
      </c>
      <c r="H131" s="13" t="n"/>
    </row>
    <row r="132">
      <c r="A132" s="17">
        <f>IF(基础资料!$E131="","",基础资料!$E131)</f>
        <v/>
      </c>
      <c r="B132" s="22">
        <f>IF($A132="","",COUNTIF(项目台账!$C$4:$C$403,$A132))</f>
        <v/>
      </c>
      <c r="C132" s="19">
        <f>IF($A132="","",ROUND(SUMIF(项目台账!$C$4:$C$403,$A132,项目台账!$M$4:$M$403),2))</f>
        <v/>
      </c>
      <c r="D132" s="19">
        <f>IF($A132="","",ROUND(SUMIF(项目台账!$C$4:$C$403,$A132,项目台账!$O$4:$O$403),2))</f>
        <v/>
      </c>
      <c r="E132" s="19">
        <f>IF($A132="","",ROUND($C132-$D132,2))</f>
        <v/>
      </c>
      <c r="F132" s="22">
        <f>IF($A132="","",COUNTIFS(项目台账!$C$4:$C$403,$A132,项目台账!$J$4:$J$403,""))</f>
        <v/>
      </c>
      <c r="G132" s="23">
        <f>IF($A132="","",IFERROR(LOOKUP(1,0/((资金日记账!$H$4:$H$2503=$A132)*(资金日记账!$J$4:$J$2503&gt;0)),资金日记账!$B$4:$B$2503),""))</f>
        <v/>
      </c>
      <c r="H132" s="13" t="n"/>
    </row>
    <row r="133">
      <c r="A133" s="17">
        <f>IF(基础资料!$E132="","",基础资料!$E132)</f>
        <v/>
      </c>
      <c r="B133" s="22">
        <f>IF($A133="","",COUNTIF(项目台账!$C$4:$C$403,$A133))</f>
        <v/>
      </c>
      <c r="C133" s="19">
        <f>IF($A133="","",ROUND(SUMIF(项目台账!$C$4:$C$403,$A133,项目台账!$M$4:$M$403),2))</f>
        <v/>
      </c>
      <c r="D133" s="19">
        <f>IF($A133="","",ROUND(SUMIF(项目台账!$C$4:$C$403,$A133,项目台账!$O$4:$O$403),2))</f>
        <v/>
      </c>
      <c r="E133" s="19">
        <f>IF($A133="","",ROUND($C133-$D133,2))</f>
        <v/>
      </c>
      <c r="F133" s="22">
        <f>IF($A133="","",COUNTIFS(项目台账!$C$4:$C$403,$A133,项目台账!$J$4:$J$403,""))</f>
        <v/>
      </c>
      <c r="G133" s="23">
        <f>IF($A133="","",IFERROR(LOOKUP(1,0/((资金日记账!$H$4:$H$2503=$A133)*(资金日记账!$J$4:$J$2503&gt;0)),资金日记账!$B$4:$B$2503),""))</f>
        <v/>
      </c>
      <c r="H133" s="13" t="n"/>
    </row>
    <row r="134">
      <c r="A134" s="17">
        <f>IF(基础资料!$E133="","",基础资料!$E133)</f>
        <v/>
      </c>
      <c r="B134" s="22">
        <f>IF($A134="","",COUNTIF(项目台账!$C$4:$C$403,$A134))</f>
        <v/>
      </c>
      <c r="C134" s="19">
        <f>IF($A134="","",ROUND(SUMIF(项目台账!$C$4:$C$403,$A134,项目台账!$M$4:$M$403),2))</f>
        <v/>
      </c>
      <c r="D134" s="19">
        <f>IF($A134="","",ROUND(SUMIF(项目台账!$C$4:$C$403,$A134,项目台账!$O$4:$O$403),2))</f>
        <v/>
      </c>
      <c r="E134" s="19">
        <f>IF($A134="","",ROUND($C134-$D134,2))</f>
        <v/>
      </c>
      <c r="F134" s="22">
        <f>IF($A134="","",COUNTIFS(项目台账!$C$4:$C$403,$A134,项目台账!$J$4:$J$403,""))</f>
        <v/>
      </c>
      <c r="G134" s="23">
        <f>IF($A134="","",IFERROR(LOOKUP(1,0/((资金日记账!$H$4:$H$2503=$A134)*(资金日记账!$J$4:$J$2503&gt;0)),资金日记账!$B$4:$B$2503),""))</f>
        <v/>
      </c>
      <c r="H134" s="13" t="n"/>
    </row>
    <row r="135">
      <c r="A135" s="17">
        <f>IF(基础资料!$E134="","",基础资料!$E134)</f>
        <v/>
      </c>
      <c r="B135" s="22">
        <f>IF($A135="","",COUNTIF(项目台账!$C$4:$C$403,$A135))</f>
        <v/>
      </c>
      <c r="C135" s="19">
        <f>IF($A135="","",ROUND(SUMIF(项目台账!$C$4:$C$403,$A135,项目台账!$M$4:$M$403),2))</f>
        <v/>
      </c>
      <c r="D135" s="19">
        <f>IF($A135="","",ROUND(SUMIF(项目台账!$C$4:$C$403,$A135,项目台账!$O$4:$O$403),2))</f>
        <v/>
      </c>
      <c r="E135" s="19">
        <f>IF($A135="","",ROUND($C135-$D135,2))</f>
        <v/>
      </c>
      <c r="F135" s="22">
        <f>IF($A135="","",COUNTIFS(项目台账!$C$4:$C$403,$A135,项目台账!$J$4:$J$403,""))</f>
        <v/>
      </c>
      <c r="G135" s="23">
        <f>IF($A135="","",IFERROR(LOOKUP(1,0/((资金日记账!$H$4:$H$2503=$A135)*(资金日记账!$J$4:$J$2503&gt;0)),资金日记账!$B$4:$B$2503),""))</f>
        <v/>
      </c>
      <c r="H135" s="13" t="n"/>
    </row>
    <row r="136">
      <c r="A136" s="17">
        <f>IF(基础资料!$E135="","",基础资料!$E135)</f>
        <v/>
      </c>
      <c r="B136" s="22">
        <f>IF($A136="","",COUNTIF(项目台账!$C$4:$C$403,$A136))</f>
        <v/>
      </c>
      <c r="C136" s="19">
        <f>IF($A136="","",ROUND(SUMIF(项目台账!$C$4:$C$403,$A136,项目台账!$M$4:$M$403),2))</f>
        <v/>
      </c>
      <c r="D136" s="19">
        <f>IF($A136="","",ROUND(SUMIF(项目台账!$C$4:$C$403,$A136,项目台账!$O$4:$O$403),2))</f>
        <v/>
      </c>
      <c r="E136" s="19">
        <f>IF($A136="","",ROUND($C136-$D136,2))</f>
        <v/>
      </c>
      <c r="F136" s="22">
        <f>IF($A136="","",COUNTIFS(项目台账!$C$4:$C$403,$A136,项目台账!$J$4:$J$403,""))</f>
        <v/>
      </c>
      <c r="G136" s="23">
        <f>IF($A136="","",IFERROR(LOOKUP(1,0/((资金日记账!$H$4:$H$2503=$A136)*(资金日记账!$J$4:$J$2503&gt;0)),资金日记账!$B$4:$B$2503),""))</f>
        <v/>
      </c>
      <c r="H136" s="13" t="n"/>
    </row>
    <row r="137">
      <c r="A137" s="17">
        <f>IF(基础资料!$E136="","",基础资料!$E136)</f>
        <v/>
      </c>
      <c r="B137" s="22">
        <f>IF($A137="","",COUNTIF(项目台账!$C$4:$C$403,$A137))</f>
        <v/>
      </c>
      <c r="C137" s="19">
        <f>IF($A137="","",ROUND(SUMIF(项目台账!$C$4:$C$403,$A137,项目台账!$M$4:$M$403),2))</f>
        <v/>
      </c>
      <c r="D137" s="19">
        <f>IF($A137="","",ROUND(SUMIF(项目台账!$C$4:$C$403,$A137,项目台账!$O$4:$O$403),2))</f>
        <v/>
      </c>
      <c r="E137" s="19">
        <f>IF($A137="","",ROUND($C137-$D137,2))</f>
        <v/>
      </c>
      <c r="F137" s="22">
        <f>IF($A137="","",COUNTIFS(项目台账!$C$4:$C$403,$A137,项目台账!$J$4:$J$403,""))</f>
        <v/>
      </c>
      <c r="G137" s="23">
        <f>IF($A137="","",IFERROR(LOOKUP(1,0/((资金日记账!$H$4:$H$2503=$A137)*(资金日记账!$J$4:$J$2503&gt;0)),资金日记账!$B$4:$B$2503),""))</f>
        <v/>
      </c>
      <c r="H137" s="13" t="n"/>
    </row>
    <row r="138">
      <c r="A138" s="17">
        <f>IF(基础资料!$E137="","",基础资料!$E137)</f>
        <v/>
      </c>
      <c r="B138" s="22">
        <f>IF($A138="","",COUNTIF(项目台账!$C$4:$C$403,$A138))</f>
        <v/>
      </c>
      <c r="C138" s="19">
        <f>IF($A138="","",ROUND(SUMIF(项目台账!$C$4:$C$403,$A138,项目台账!$M$4:$M$403),2))</f>
        <v/>
      </c>
      <c r="D138" s="19">
        <f>IF($A138="","",ROUND(SUMIF(项目台账!$C$4:$C$403,$A138,项目台账!$O$4:$O$403),2))</f>
        <v/>
      </c>
      <c r="E138" s="19">
        <f>IF($A138="","",ROUND($C138-$D138,2))</f>
        <v/>
      </c>
      <c r="F138" s="22">
        <f>IF($A138="","",COUNTIFS(项目台账!$C$4:$C$403,$A138,项目台账!$J$4:$J$403,""))</f>
        <v/>
      </c>
      <c r="G138" s="23">
        <f>IF($A138="","",IFERROR(LOOKUP(1,0/((资金日记账!$H$4:$H$2503=$A138)*(资金日记账!$J$4:$J$2503&gt;0)),资金日记账!$B$4:$B$2503),""))</f>
        <v/>
      </c>
      <c r="H138" s="13" t="n"/>
    </row>
    <row r="139">
      <c r="A139" s="17">
        <f>IF(基础资料!$E138="","",基础资料!$E138)</f>
        <v/>
      </c>
      <c r="B139" s="22">
        <f>IF($A139="","",COUNTIF(项目台账!$C$4:$C$403,$A139))</f>
        <v/>
      </c>
      <c r="C139" s="19">
        <f>IF($A139="","",ROUND(SUMIF(项目台账!$C$4:$C$403,$A139,项目台账!$M$4:$M$403),2))</f>
        <v/>
      </c>
      <c r="D139" s="19">
        <f>IF($A139="","",ROUND(SUMIF(项目台账!$C$4:$C$403,$A139,项目台账!$O$4:$O$403),2))</f>
        <v/>
      </c>
      <c r="E139" s="19">
        <f>IF($A139="","",ROUND($C139-$D139,2))</f>
        <v/>
      </c>
      <c r="F139" s="22">
        <f>IF($A139="","",COUNTIFS(项目台账!$C$4:$C$403,$A139,项目台账!$J$4:$J$403,""))</f>
        <v/>
      </c>
      <c r="G139" s="23">
        <f>IF($A139="","",IFERROR(LOOKUP(1,0/((资金日记账!$H$4:$H$2503=$A139)*(资金日记账!$J$4:$J$2503&gt;0)),资金日记账!$B$4:$B$2503),""))</f>
        <v/>
      </c>
      <c r="H139" s="13" t="n"/>
    </row>
    <row r="140">
      <c r="A140" s="17">
        <f>IF(基础资料!$E139="","",基础资料!$E139)</f>
        <v/>
      </c>
      <c r="B140" s="22">
        <f>IF($A140="","",COUNTIF(项目台账!$C$4:$C$403,$A140))</f>
        <v/>
      </c>
      <c r="C140" s="19">
        <f>IF($A140="","",ROUND(SUMIF(项目台账!$C$4:$C$403,$A140,项目台账!$M$4:$M$403),2))</f>
        <v/>
      </c>
      <c r="D140" s="19">
        <f>IF($A140="","",ROUND(SUMIF(项目台账!$C$4:$C$403,$A140,项目台账!$O$4:$O$403),2))</f>
        <v/>
      </c>
      <c r="E140" s="19">
        <f>IF($A140="","",ROUND($C140-$D140,2))</f>
        <v/>
      </c>
      <c r="F140" s="22">
        <f>IF($A140="","",COUNTIFS(项目台账!$C$4:$C$403,$A140,项目台账!$J$4:$J$403,""))</f>
        <v/>
      </c>
      <c r="G140" s="23">
        <f>IF($A140="","",IFERROR(LOOKUP(1,0/((资金日记账!$H$4:$H$2503=$A140)*(资金日记账!$J$4:$J$2503&gt;0)),资金日记账!$B$4:$B$2503),""))</f>
        <v/>
      </c>
      <c r="H140" s="13" t="n"/>
    </row>
    <row r="141">
      <c r="A141" s="17">
        <f>IF(基础资料!$E140="","",基础资料!$E140)</f>
        <v/>
      </c>
      <c r="B141" s="22">
        <f>IF($A141="","",COUNTIF(项目台账!$C$4:$C$403,$A141))</f>
        <v/>
      </c>
      <c r="C141" s="19">
        <f>IF($A141="","",ROUND(SUMIF(项目台账!$C$4:$C$403,$A141,项目台账!$M$4:$M$403),2))</f>
        <v/>
      </c>
      <c r="D141" s="19">
        <f>IF($A141="","",ROUND(SUMIF(项目台账!$C$4:$C$403,$A141,项目台账!$O$4:$O$403),2))</f>
        <v/>
      </c>
      <c r="E141" s="19">
        <f>IF($A141="","",ROUND($C141-$D141,2))</f>
        <v/>
      </c>
      <c r="F141" s="22">
        <f>IF($A141="","",COUNTIFS(项目台账!$C$4:$C$403,$A141,项目台账!$J$4:$J$403,""))</f>
        <v/>
      </c>
      <c r="G141" s="23">
        <f>IF($A141="","",IFERROR(LOOKUP(1,0/((资金日记账!$H$4:$H$2503=$A141)*(资金日记账!$J$4:$J$2503&gt;0)),资金日记账!$B$4:$B$2503),""))</f>
        <v/>
      </c>
      <c r="H141" s="13" t="n"/>
    </row>
    <row r="142">
      <c r="A142" s="17">
        <f>IF(基础资料!$E141="","",基础资料!$E141)</f>
        <v/>
      </c>
      <c r="B142" s="22">
        <f>IF($A142="","",COUNTIF(项目台账!$C$4:$C$403,$A142))</f>
        <v/>
      </c>
      <c r="C142" s="19">
        <f>IF($A142="","",ROUND(SUMIF(项目台账!$C$4:$C$403,$A142,项目台账!$M$4:$M$403),2))</f>
        <v/>
      </c>
      <c r="D142" s="19">
        <f>IF($A142="","",ROUND(SUMIF(项目台账!$C$4:$C$403,$A142,项目台账!$O$4:$O$403),2))</f>
        <v/>
      </c>
      <c r="E142" s="19">
        <f>IF($A142="","",ROUND($C142-$D142,2))</f>
        <v/>
      </c>
      <c r="F142" s="22">
        <f>IF($A142="","",COUNTIFS(项目台账!$C$4:$C$403,$A142,项目台账!$J$4:$J$403,""))</f>
        <v/>
      </c>
      <c r="G142" s="23">
        <f>IF($A142="","",IFERROR(LOOKUP(1,0/((资金日记账!$H$4:$H$2503=$A142)*(资金日记账!$J$4:$J$2503&gt;0)),资金日记账!$B$4:$B$2503),""))</f>
        <v/>
      </c>
      <c r="H142" s="13" t="n"/>
    </row>
    <row r="143">
      <c r="A143" s="17">
        <f>IF(基础资料!$E142="","",基础资料!$E142)</f>
        <v/>
      </c>
      <c r="B143" s="22">
        <f>IF($A143="","",COUNTIF(项目台账!$C$4:$C$403,$A143))</f>
        <v/>
      </c>
      <c r="C143" s="19">
        <f>IF($A143="","",ROUND(SUMIF(项目台账!$C$4:$C$403,$A143,项目台账!$M$4:$M$403),2))</f>
        <v/>
      </c>
      <c r="D143" s="19">
        <f>IF($A143="","",ROUND(SUMIF(项目台账!$C$4:$C$403,$A143,项目台账!$O$4:$O$403),2))</f>
        <v/>
      </c>
      <c r="E143" s="19">
        <f>IF($A143="","",ROUND($C143-$D143,2))</f>
        <v/>
      </c>
      <c r="F143" s="22">
        <f>IF($A143="","",COUNTIFS(项目台账!$C$4:$C$403,$A143,项目台账!$J$4:$J$403,""))</f>
        <v/>
      </c>
      <c r="G143" s="23">
        <f>IF($A143="","",IFERROR(LOOKUP(1,0/((资金日记账!$H$4:$H$2503=$A143)*(资金日记账!$J$4:$J$2503&gt;0)),资金日记账!$B$4:$B$2503),""))</f>
        <v/>
      </c>
      <c r="H143" s="13" t="n"/>
    </row>
    <row r="144">
      <c r="A144" s="17">
        <f>IF(基础资料!$E143="","",基础资料!$E143)</f>
        <v/>
      </c>
      <c r="B144" s="22">
        <f>IF($A144="","",COUNTIF(项目台账!$C$4:$C$403,$A144))</f>
        <v/>
      </c>
      <c r="C144" s="19">
        <f>IF($A144="","",ROUND(SUMIF(项目台账!$C$4:$C$403,$A144,项目台账!$M$4:$M$403),2))</f>
        <v/>
      </c>
      <c r="D144" s="19">
        <f>IF($A144="","",ROUND(SUMIF(项目台账!$C$4:$C$403,$A144,项目台账!$O$4:$O$403),2))</f>
        <v/>
      </c>
      <c r="E144" s="19">
        <f>IF($A144="","",ROUND($C144-$D144,2))</f>
        <v/>
      </c>
      <c r="F144" s="22">
        <f>IF($A144="","",COUNTIFS(项目台账!$C$4:$C$403,$A144,项目台账!$J$4:$J$403,""))</f>
        <v/>
      </c>
      <c r="G144" s="23">
        <f>IF($A144="","",IFERROR(LOOKUP(1,0/((资金日记账!$H$4:$H$2503=$A144)*(资金日记账!$J$4:$J$2503&gt;0)),资金日记账!$B$4:$B$2503),""))</f>
        <v/>
      </c>
      <c r="H144" s="13" t="n"/>
    </row>
    <row r="145">
      <c r="A145" s="17">
        <f>IF(基础资料!$E144="","",基础资料!$E144)</f>
        <v/>
      </c>
      <c r="B145" s="22">
        <f>IF($A145="","",COUNTIF(项目台账!$C$4:$C$403,$A145))</f>
        <v/>
      </c>
      <c r="C145" s="19">
        <f>IF($A145="","",ROUND(SUMIF(项目台账!$C$4:$C$403,$A145,项目台账!$M$4:$M$403),2))</f>
        <v/>
      </c>
      <c r="D145" s="19">
        <f>IF($A145="","",ROUND(SUMIF(项目台账!$C$4:$C$403,$A145,项目台账!$O$4:$O$403),2))</f>
        <v/>
      </c>
      <c r="E145" s="19">
        <f>IF($A145="","",ROUND($C145-$D145,2))</f>
        <v/>
      </c>
      <c r="F145" s="22">
        <f>IF($A145="","",COUNTIFS(项目台账!$C$4:$C$403,$A145,项目台账!$J$4:$J$403,""))</f>
        <v/>
      </c>
      <c r="G145" s="23">
        <f>IF($A145="","",IFERROR(LOOKUP(1,0/((资金日记账!$H$4:$H$2503=$A145)*(资金日记账!$J$4:$J$2503&gt;0)),资金日记账!$B$4:$B$2503),""))</f>
        <v/>
      </c>
      <c r="H145" s="13" t="n"/>
    </row>
    <row r="146">
      <c r="A146" s="17">
        <f>IF(基础资料!$E145="","",基础资料!$E145)</f>
        <v/>
      </c>
      <c r="B146" s="22">
        <f>IF($A146="","",COUNTIF(项目台账!$C$4:$C$403,$A146))</f>
        <v/>
      </c>
      <c r="C146" s="19">
        <f>IF($A146="","",ROUND(SUMIF(项目台账!$C$4:$C$403,$A146,项目台账!$M$4:$M$403),2))</f>
        <v/>
      </c>
      <c r="D146" s="19">
        <f>IF($A146="","",ROUND(SUMIF(项目台账!$C$4:$C$403,$A146,项目台账!$O$4:$O$403),2))</f>
        <v/>
      </c>
      <c r="E146" s="19">
        <f>IF($A146="","",ROUND($C146-$D146,2))</f>
        <v/>
      </c>
      <c r="F146" s="22">
        <f>IF($A146="","",COUNTIFS(项目台账!$C$4:$C$403,$A146,项目台账!$J$4:$J$403,""))</f>
        <v/>
      </c>
      <c r="G146" s="23">
        <f>IF($A146="","",IFERROR(LOOKUP(1,0/((资金日记账!$H$4:$H$2503=$A146)*(资金日记账!$J$4:$J$2503&gt;0)),资金日记账!$B$4:$B$2503),""))</f>
        <v/>
      </c>
      <c r="H146" s="13" t="n"/>
    </row>
    <row r="147">
      <c r="A147" s="17">
        <f>IF(基础资料!$E146="","",基础资料!$E146)</f>
        <v/>
      </c>
      <c r="B147" s="22">
        <f>IF($A147="","",COUNTIF(项目台账!$C$4:$C$403,$A147))</f>
        <v/>
      </c>
      <c r="C147" s="19">
        <f>IF($A147="","",ROUND(SUMIF(项目台账!$C$4:$C$403,$A147,项目台账!$M$4:$M$403),2))</f>
        <v/>
      </c>
      <c r="D147" s="19">
        <f>IF($A147="","",ROUND(SUMIF(项目台账!$C$4:$C$403,$A147,项目台账!$O$4:$O$403),2))</f>
        <v/>
      </c>
      <c r="E147" s="19">
        <f>IF($A147="","",ROUND($C147-$D147,2))</f>
        <v/>
      </c>
      <c r="F147" s="22">
        <f>IF($A147="","",COUNTIFS(项目台账!$C$4:$C$403,$A147,项目台账!$J$4:$J$403,""))</f>
        <v/>
      </c>
      <c r="G147" s="23">
        <f>IF($A147="","",IFERROR(LOOKUP(1,0/((资金日记账!$H$4:$H$2503=$A147)*(资金日记账!$J$4:$J$2503&gt;0)),资金日记账!$B$4:$B$2503),""))</f>
        <v/>
      </c>
      <c r="H147" s="13" t="n"/>
    </row>
    <row r="148">
      <c r="A148" s="17">
        <f>IF(基础资料!$E147="","",基础资料!$E147)</f>
        <v/>
      </c>
      <c r="B148" s="22">
        <f>IF($A148="","",COUNTIF(项目台账!$C$4:$C$403,$A148))</f>
        <v/>
      </c>
      <c r="C148" s="19">
        <f>IF($A148="","",ROUND(SUMIF(项目台账!$C$4:$C$403,$A148,项目台账!$M$4:$M$403),2))</f>
        <v/>
      </c>
      <c r="D148" s="19">
        <f>IF($A148="","",ROUND(SUMIF(项目台账!$C$4:$C$403,$A148,项目台账!$O$4:$O$403),2))</f>
        <v/>
      </c>
      <c r="E148" s="19">
        <f>IF($A148="","",ROUND($C148-$D148,2))</f>
        <v/>
      </c>
      <c r="F148" s="22">
        <f>IF($A148="","",COUNTIFS(项目台账!$C$4:$C$403,$A148,项目台账!$J$4:$J$403,""))</f>
        <v/>
      </c>
      <c r="G148" s="23">
        <f>IF($A148="","",IFERROR(LOOKUP(1,0/((资金日记账!$H$4:$H$2503=$A148)*(资金日记账!$J$4:$J$2503&gt;0)),资金日记账!$B$4:$B$2503),""))</f>
        <v/>
      </c>
      <c r="H148" s="13" t="n"/>
    </row>
    <row r="149">
      <c r="A149" s="17">
        <f>IF(基础资料!$E148="","",基础资料!$E148)</f>
        <v/>
      </c>
      <c r="B149" s="22">
        <f>IF($A149="","",COUNTIF(项目台账!$C$4:$C$403,$A149))</f>
        <v/>
      </c>
      <c r="C149" s="19">
        <f>IF($A149="","",ROUND(SUMIF(项目台账!$C$4:$C$403,$A149,项目台账!$M$4:$M$403),2))</f>
        <v/>
      </c>
      <c r="D149" s="19">
        <f>IF($A149="","",ROUND(SUMIF(项目台账!$C$4:$C$403,$A149,项目台账!$O$4:$O$403),2))</f>
        <v/>
      </c>
      <c r="E149" s="19">
        <f>IF($A149="","",ROUND($C149-$D149,2))</f>
        <v/>
      </c>
      <c r="F149" s="22">
        <f>IF($A149="","",COUNTIFS(项目台账!$C$4:$C$403,$A149,项目台账!$J$4:$J$403,""))</f>
        <v/>
      </c>
      <c r="G149" s="23">
        <f>IF($A149="","",IFERROR(LOOKUP(1,0/((资金日记账!$H$4:$H$2503=$A149)*(资金日记账!$J$4:$J$2503&gt;0)),资金日记账!$B$4:$B$2503),""))</f>
        <v/>
      </c>
      <c r="H149" s="13" t="n"/>
    </row>
    <row r="150">
      <c r="A150" s="17">
        <f>IF(基础资料!$E149="","",基础资料!$E149)</f>
        <v/>
      </c>
      <c r="B150" s="22">
        <f>IF($A150="","",COUNTIF(项目台账!$C$4:$C$403,$A150))</f>
        <v/>
      </c>
      <c r="C150" s="19">
        <f>IF($A150="","",ROUND(SUMIF(项目台账!$C$4:$C$403,$A150,项目台账!$M$4:$M$403),2))</f>
        <v/>
      </c>
      <c r="D150" s="19">
        <f>IF($A150="","",ROUND(SUMIF(项目台账!$C$4:$C$403,$A150,项目台账!$O$4:$O$403),2))</f>
        <v/>
      </c>
      <c r="E150" s="19">
        <f>IF($A150="","",ROUND($C150-$D150,2))</f>
        <v/>
      </c>
      <c r="F150" s="22">
        <f>IF($A150="","",COUNTIFS(项目台账!$C$4:$C$403,$A150,项目台账!$J$4:$J$403,""))</f>
        <v/>
      </c>
      <c r="G150" s="23">
        <f>IF($A150="","",IFERROR(LOOKUP(1,0/((资金日记账!$H$4:$H$2503=$A150)*(资金日记账!$J$4:$J$2503&gt;0)),资金日记账!$B$4:$B$2503),""))</f>
        <v/>
      </c>
      <c r="H150" s="13" t="n"/>
    </row>
    <row r="151">
      <c r="A151" s="17">
        <f>IF(基础资料!$E150="","",基础资料!$E150)</f>
        <v/>
      </c>
      <c r="B151" s="22">
        <f>IF($A151="","",COUNTIF(项目台账!$C$4:$C$403,$A151))</f>
        <v/>
      </c>
      <c r="C151" s="19">
        <f>IF($A151="","",ROUND(SUMIF(项目台账!$C$4:$C$403,$A151,项目台账!$M$4:$M$403),2))</f>
        <v/>
      </c>
      <c r="D151" s="19">
        <f>IF($A151="","",ROUND(SUMIF(项目台账!$C$4:$C$403,$A151,项目台账!$O$4:$O$403),2))</f>
        <v/>
      </c>
      <c r="E151" s="19">
        <f>IF($A151="","",ROUND($C151-$D151,2))</f>
        <v/>
      </c>
      <c r="F151" s="22">
        <f>IF($A151="","",COUNTIFS(项目台账!$C$4:$C$403,$A151,项目台账!$J$4:$J$403,""))</f>
        <v/>
      </c>
      <c r="G151" s="23">
        <f>IF($A151="","",IFERROR(LOOKUP(1,0/((资金日记账!$H$4:$H$2503=$A151)*(资金日记账!$J$4:$J$2503&gt;0)),资金日记账!$B$4:$B$2503),""))</f>
        <v/>
      </c>
      <c r="H151" s="13" t="n"/>
    </row>
    <row r="152">
      <c r="A152" s="17">
        <f>IF(基础资料!$E151="","",基础资料!$E151)</f>
        <v/>
      </c>
      <c r="B152" s="22">
        <f>IF($A152="","",COUNTIF(项目台账!$C$4:$C$403,$A152))</f>
        <v/>
      </c>
      <c r="C152" s="19">
        <f>IF($A152="","",ROUND(SUMIF(项目台账!$C$4:$C$403,$A152,项目台账!$M$4:$M$403),2))</f>
        <v/>
      </c>
      <c r="D152" s="19">
        <f>IF($A152="","",ROUND(SUMIF(项目台账!$C$4:$C$403,$A152,项目台账!$O$4:$O$403),2))</f>
        <v/>
      </c>
      <c r="E152" s="19">
        <f>IF($A152="","",ROUND($C152-$D152,2))</f>
        <v/>
      </c>
      <c r="F152" s="22">
        <f>IF($A152="","",COUNTIFS(项目台账!$C$4:$C$403,$A152,项目台账!$J$4:$J$403,""))</f>
        <v/>
      </c>
      <c r="G152" s="23">
        <f>IF($A152="","",IFERROR(LOOKUP(1,0/((资金日记账!$H$4:$H$2503=$A152)*(资金日记账!$J$4:$J$2503&gt;0)),资金日记账!$B$4:$B$2503),""))</f>
        <v/>
      </c>
      <c r="H152" s="13" t="n"/>
    </row>
    <row r="153">
      <c r="A153" s="17">
        <f>IF(基础资料!$E152="","",基础资料!$E152)</f>
        <v/>
      </c>
      <c r="B153" s="22">
        <f>IF($A153="","",COUNTIF(项目台账!$C$4:$C$403,$A153))</f>
        <v/>
      </c>
      <c r="C153" s="19">
        <f>IF($A153="","",ROUND(SUMIF(项目台账!$C$4:$C$403,$A153,项目台账!$M$4:$M$403),2))</f>
        <v/>
      </c>
      <c r="D153" s="19">
        <f>IF($A153="","",ROUND(SUMIF(项目台账!$C$4:$C$403,$A153,项目台账!$O$4:$O$403),2))</f>
        <v/>
      </c>
      <c r="E153" s="19">
        <f>IF($A153="","",ROUND($C153-$D153,2))</f>
        <v/>
      </c>
      <c r="F153" s="22">
        <f>IF($A153="","",COUNTIFS(项目台账!$C$4:$C$403,$A153,项目台账!$J$4:$J$403,""))</f>
        <v/>
      </c>
      <c r="G153" s="23">
        <f>IF($A153="","",IFERROR(LOOKUP(1,0/((资金日记账!$H$4:$H$2503=$A153)*(资金日记账!$J$4:$J$2503&gt;0)),资金日记账!$B$4:$B$2503),""))</f>
        <v/>
      </c>
      <c r="H153" s="13" t="n"/>
    </row>
    <row r="154">
      <c r="A154" s="17">
        <f>IF(基础资料!$E153="","",基础资料!$E153)</f>
        <v/>
      </c>
      <c r="B154" s="22">
        <f>IF($A154="","",COUNTIF(项目台账!$C$4:$C$403,$A154))</f>
        <v/>
      </c>
      <c r="C154" s="19">
        <f>IF($A154="","",ROUND(SUMIF(项目台账!$C$4:$C$403,$A154,项目台账!$M$4:$M$403),2))</f>
        <v/>
      </c>
      <c r="D154" s="19">
        <f>IF($A154="","",ROUND(SUMIF(项目台账!$C$4:$C$403,$A154,项目台账!$O$4:$O$403),2))</f>
        <v/>
      </c>
      <c r="E154" s="19">
        <f>IF($A154="","",ROUND($C154-$D154,2))</f>
        <v/>
      </c>
      <c r="F154" s="22">
        <f>IF($A154="","",COUNTIFS(项目台账!$C$4:$C$403,$A154,项目台账!$J$4:$J$403,""))</f>
        <v/>
      </c>
      <c r="G154" s="23">
        <f>IF($A154="","",IFERROR(LOOKUP(1,0/((资金日记账!$H$4:$H$2503=$A154)*(资金日记账!$J$4:$J$2503&gt;0)),资金日记账!$B$4:$B$2503),""))</f>
        <v/>
      </c>
      <c r="H154" s="13" t="n"/>
    </row>
    <row r="155">
      <c r="A155" s="17">
        <f>IF(基础资料!$E154="","",基础资料!$E154)</f>
        <v/>
      </c>
      <c r="B155" s="22">
        <f>IF($A155="","",COUNTIF(项目台账!$C$4:$C$403,$A155))</f>
        <v/>
      </c>
      <c r="C155" s="19">
        <f>IF($A155="","",ROUND(SUMIF(项目台账!$C$4:$C$403,$A155,项目台账!$M$4:$M$403),2))</f>
        <v/>
      </c>
      <c r="D155" s="19">
        <f>IF($A155="","",ROUND(SUMIF(项目台账!$C$4:$C$403,$A155,项目台账!$O$4:$O$403),2))</f>
        <v/>
      </c>
      <c r="E155" s="19">
        <f>IF($A155="","",ROUND($C155-$D155,2))</f>
        <v/>
      </c>
      <c r="F155" s="22">
        <f>IF($A155="","",COUNTIFS(项目台账!$C$4:$C$403,$A155,项目台账!$J$4:$J$403,""))</f>
        <v/>
      </c>
      <c r="G155" s="23">
        <f>IF($A155="","",IFERROR(LOOKUP(1,0/((资金日记账!$H$4:$H$2503=$A155)*(资金日记账!$J$4:$J$2503&gt;0)),资金日记账!$B$4:$B$2503),""))</f>
        <v/>
      </c>
      <c r="H155" s="13" t="n"/>
    </row>
    <row r="156">
      <c r="A156" s="17">
        <f>IF(基础资料!$E155="","",基础资料!$E155)</f>
        <v/>
      </c>
      <c r="B156" s="22">
        <f>IF($A156="","",COUNTIF(项目台账!$C$4:$C$403,$A156))</f>
        <v/>
      </c>
      <c r="C156" s="19">
        <f>IF($A156="","",ROUND(SUMIF(项目台账!$C$4:$C$403,$A156,项目台账!$M$4:$M$403),2))</f>
        <v/>
      </c>
      <c r="D156" s="19">
        <f>IF($A156="","",ROUND(SUMIF(项目台账!$C$4:$C$403,$A156,项目台账!$O$4:$O$403),2))</f>
        <v/>
      </c>
      <c r="E156" s="19">
        <f>IF($A156="","",ROUND($C156-$D156,2))</f>
        <v/>
      </c>
      <c r="F156" s="22">
        <f>IF($A156="","",COUNTIFS(项目台账!$C$4:$C$403,$A156,项目台账!$J$4:$J$403,""))</f>
        <v/>
      </c>
      <c r="G156" s="23">
        <f>IF($A156="","",IFERROR(LOOKUP(1,0/((资金日记账!$H$4:$H$2503=$A156)*(资金日记账!$J$4:$J$2503&gt;0)),资金日记账!$B$4:$B$2503),""))</f>
        <v/>
      </c>
      <c r="H156" s="13" t="n"/>
    </row>
    <row r="157">
      <c r="A157" s="17">
        <f>IF(基础资料!$E156="","",基础资料!$E156)</f>
        <v/>
      </c>
      <c r="B157" s="22">
        <f>IF($A157="","",COUNTIF(项目台账!$C$4:$C$403,$A157))</f>
        <v/>
      </c>
      <c r="C157" s="19">
        <f>IF($A157="","",ROUND(SUMIF(项目台账!$C$4:$C$403,$A157,项目台账!$M$4:$M$403),2))</f>
        <v/>
      </c>
      <c r="D157" s="19">
        <f>IF($A157="","",ROUND(SUMIF(项目台账!$C$4:$C$403,$A157,项目台账!$O$4:$O$403),2))</f>
        <v/>
      </c>
      <c r="E157" s="19">
        <f>IF($A157="","",ROUND($C157-$D157,2))</f>
        <v/>
      </c>
      <c r="F157" s="22">
        <f>IF($A157="","",COUNTIFS(项目台账!$C$4:$C$403,$A157,项目台账!$J$4:$J$403,""))</f>
        <v/>
      </c>
      <c r="G157" s="23">
        <f>IF($A157="","",IFERROR(LOOKUP(1,0/((资金日记账!$H$4:$H$2503=$A157)*(资金日记账!$J$4:$J$2503&gt;0)),资金日记账!$B$4:$B$2503),""))</f>
        <v/>
      </c>
      <c r="H157" s="13" t="n"/>
    </row>
    <row r="158">
      <c r="A158" s="17">
        <f>IF(基础资料!$E157="","",基础资料!$E157)</f>
        <v/>
      </c>
      <c r="B158" s="22">
        <f>IF($A158="","",COUNTIF(项目台账!$C$4:$C$403,$A158))</f>
        <v/>
      </c>
      <c r="C158" s="19">
        <f>IF($A158="","",ROUND(SUMIF(项目台账!$C$4:$C$403,$A158,项目台账!$M$4:$M$403),2))</f>
        <v/>
      </c>
      <c r="D158" s="19">
        <f>IF($A158="","",ROUND(SUMIF(项目台账!$C$4:$C$403,$A158,项目台账!$O$4:$O$403),2))</f>
        <v/>
      </c>
      <c r="E158" s="19">
        <f>IF($A158="","",ROUND($C158-$D158,2))</f>
        <v/>
      </c>
      <c r="F158" s="22">
        <f>IF($A158="","",COUNTIFS(项目台账!$C$4:$C$403,$A158,项目台账!$J$4:$J$403,""))</f>
        <v/>
      </c>
      <c r="G158" s="23">
        <f>IF($A158="","",IFERROR(LOOKUP(1,0/((资金日记账!$H$4:$H$2503=$A158)*(资金日记账!$J$4:$J$2503&gt;0)),资金日记账!$B$4:$B$2503),""))</f>
        <v/>
      </c>
      <c r="H158" s="13" t="n"/>
    </row>
    <row r="159">
      <c r="A159" s="17">
        <f>IF(基础资料!$E158="","",基础资料!$E158)</f>
        <v/>
      </c>
      <c r="B159" s="22">
        <f>IF($A159="","",COUNTIF(项目台账!$C$4:$C$403,$A159))</f>
        <v/>
      </c>
      <c r="C159" s="19">
        <f>IF($A159="","",ROUND(SUMIF(项目台账!$C$4:$C$403,$A159,项目台账!$M$4:$M$403),2))</f>
        <v/>
      </c>
      <c r="D159" s="19">
        <f>IF($A159="","",ROUND(SUMIF(项目台账!$C$4:$C$403,$A159,项目台账!$O$4:$O$403),2))</f>
        <v/>
      </c>
      <c r="E159" s="19">
        <f>IF($A159="","",ROUND($C159-$D159,2))</f>
        <v/>
      </c>
      <c r="F159" s="22">
        <f>IF($A159="","",COUNTIFS(项目台账!$C$4:$C$403,$A159,项目台账!$J$4:$J$403,""))</f>
        <v/>
      </c>
      <c r="G159" s="23">
        <f>IF($A159="","",IFERROR(LOOKUP(1,0/((资金日记账!$H$4:$H$2503=$A159)*(资金日记账!$J$4:$J$2503&gt;0)),资金日记账!$B$4:$B$2503),""))</f>
        <v/>
      </c>
      <c r="H159" s="13" t="n"/>
    </row>
    <row r="160">
      <c r="A160" s="17">
        <f>IF(基础资料!$E159="","",基础资料!$E159)</f>
        <v/>
      </c>
      <c r="B160" s="22">
        <f>IF($A160="","",COUNTIF(项目台账!$C$4:$C$403,$A160))</f>
        <v/>
      </c>
      <c r="C160" s="19">
        <f>IF($A160="","",ROUND(SUMIF(项目台账!$C$4:$C$403,$A160,项目台账!$M$4:$M$403),2))</f>
        <v/>
      </c>
      <c r="D160" s="19">
        <f>IF($A160="","",ROUND(SUMIF(项目台账!$C$4:$C$403,$A160,项目台账!$O$4:$O$403),2))</f>
        <v/>
      </c>
      <c r="E160" s="19">
        <f>IF($A160="","",ROUND($C160-$D160,2))</f>
        <v/>
      </c>
      <c r="F160" s="22">
        <f>IF($A160="","",COUNTIFS(项目台账!$C$4:$C$403,$A160,项目台账!$J$4:$J$403,""))</f>
        <v/>
      </c>
      <c r="G160" s="23">
        <f>IF($A160="","",IFERROR(LOOKUP(1,0/((资金日记账!$H$4:$H$2503=$A160)*(资金日记账!$J$4:$J$2503&gt;0)),资金日记账!$B$4:$B$2503),""))</f>
        <v/>
      </c>
      <c r="H160" s="13" t="n"/>
    </row>
    <row r="161">
      <c r="A161" s="17">
        <f>IF(基础资料!$E160="","",基础资料!$E160)</f>
        <v/>
      </c>
      <c r="B161" s="22">
        <f>IF($A161="","",COUNTIF(项目台账!$C$4:$C$403,$A161))</f>
        <v/>
      </c>
      <c r="C161" s="19">
        <f>IF($A161="","",ROUND(SUMIF(项目台账!$C$4:$C$403,$A161,项目台账!$M$4:$M$403),2))</f>
        <v/>
      </c>
      <c r="D161" s="19">
        <f>IF($A161="","",ROUND(SUMIF(项目台账!$C$4:$C$403,$A161,项目台账!$O$4:$O$403),2))</f>
        <v/>
      </c>
      <c r="E161" s="19">
        <f>IF($A161="","",ROUND($C161-$D161,2))</f>
        <v/>
      </c>
      <c r="F161" s="22">
        <f>IF($A161="","",COUNTIFS(项目台账!$C$4:$C$403,$A161,项目台账!$J$4:$J$403,""))</f>
        <v/>
      </c>
      <c r="G161" s="23">
        <f>IF($A161="","",IFERROR(LOOKUP(1,0/((资金日记账!$H$4:$H$2503=$A161)*(资金日记账!$J$4:$J$2503&gt;0)),资金日记账!$B$4:$B$2503),""))</f>
        <v/>
      </c>
      <c r="H161" s="13" t="n"/>
    </row>
    <row r="162">
      <c r="A162" s="17">
        <f>IF(基础资料!$E161="","",基础资料!$E161)</f>
        <v/>
      </c>
      <c r="B162" s="22">
        <f>IF($A162="","",COUNTIF(项目台账!$C$4:$C$403,$A162))</f>
        <v/>
      </c>
      <c r="C162" s="19">
        <f>IF($A162="","",ROUND(SUMIF(项目台账!$C$4:$C$403,$A162,项目台账!$M$4:$M$403),2))</f>
        <v/>
      </c>
      <c r="D162" s="19">
        <f>IF($A162="","",ROUND(SUMIF(项目台账!$C$4:$C$403,$A162,项目台账!$O$4:$O$403),2))</f>
        <v/>
      </c>
      <c r="E162" s="19">
        <f>IF($A162="","",ROUND($C162-$D162,2))</f>
        <v/>
      </c>
      <c r="F162" s="22">
        <f>IF($A162="","",COUNTIFS(项目台账!$C$4:$C$403,$A162,项目台账!$J$4:$J$403,""))</f>
        <v/>
      </c>
      <c r="G162" s="23">
        <f>IF($A162="","",IFERROR(LOOKUP(1,0/((资金日记账!$H$4:$H$2503=$A162)*(资金日记账!$J$4:$J$2503&gt;0)),资金日记账!$B$4:$B$2503),""))</f>
        <v/>
      </c>
      <c r="H162" s="13" t="n"/>
    </row>
    <row r="163">
      <c r="A163" s="17">
        <f>IF(基础资料!$E162="","",基础资料!$E162)</f>
        <v/>
      </c>
      <c r="B163" s="22">
        <f>IF($A163="","",COUNTIF(项目台账!$C$4:$C$403,$A163))</f>
        <v/>
      </c>
      <c r="C163" s="19">
        <f>IF($A163="","",ROUND(SUMIF(项目台账!$C$4:$C$403,$A163,项目台账!$M$4:$M$403),2))</f>
        <v/>
      </c>
      <c r="D163" s="19">
        <f>IF($A163="","",ROUND(SUMIF(项目台账!$C$4:$C$403,$A163,项目台账!$O$4:$O$403),2))</f>
        <v/>
      </c>
      <c r="E163" s="19">
        <f>IF($A163="","",ROUND($C163-$D163,2))</f>
        <v/>
      </c>
      <c r="F163" s="22">
        <f>IF($A163="","",COUNTIFS(项目台账!$C$4:$C$403,$A163,项目台账!$J$4:$J$403,""))</f>
        <v/>
      </c>
      <c r="G163" s="23">
        <f>IF($A163="","",IFERROR(LOOKUP(1,0/((资金日记账!$H$4:$H$2503=$A163)*(资金日记账!$J$4:$J$2503&gt;0)),资金日记账!$B$4:$B$2503),""))</f>
        <v/>
      </c>
      <c r="H163" s="13" t="n"/>
    </row>
    <row r="164">
      <c r="A164" s="17">
        <f>IF(基础资料!$E163="","",基础资料!$E163)</f>
        <v/>
      </c>
      <c r="B164" s="22">
        <f>IF($A164="","",COUNTIF(项目台账!$C$4:$C$403,$A164))</f>
        <v/>
      </c>
      <c r="C164" s="19">
        <f>IF($A164="","",ROUND(SUMIF(项目台账!$C$4:$C$403,$A164,项目台账!$M$4:$M$403),2))</f>
        <v/>
      </c>
      <c r="D164" s="19">
        <f>IF($A164="","",ROUND(SUMIF(项目台账!$C$4:$C$403,$A164,项目台账!$O$4:$O$403),2))</f>
        <v/>
      </c>
      <c r="E164" s="19">
        <f>IF($A164="","",ROUND($C164-$D164,2))</f>
        <v/>
      </c>
      <c r="F164" s="22">
        <f>IF($A164="","",COUNTIFS(项目台账!$C$4:$C$403,$A164,项目台账!$J$4:$J$403,""))</f>
        <v/>
      </c>
      <c r="G164" s="23">
        <f>IF($A164="","",IFERROR(LOOKUP(1,0/((资金日记账!$H$4:$H$2503=$A164)*(资金日记账!$J$4:$J$2503&gt;0)),资金日记账!$B$4:$B$2503),""))</f>
        <v/>
      </c>
      <c r="H164" s="13" t="n"/>
    </row>
    <row r="165">
      <c r="A165" s="17">
        <f>IF(基础资料!$E164="","",基础资料!$E164)</f>
        <v/>
      </c>
      <c r="B165" s="22">
        <f>IF($A165="","",COUNTIF(项目台账!$C$4:$C$403,$A165))</f>
        <v/>
      </c>
      <c r="C165" s="19">
        <f>IF($A165="","",ROUND(SUMIF(项目台账!$C$4:$C$403,$A165,项目台账!$M$4:$M$403),2))</f>
        <v/>
      </c>
      <c r="D165" s="19">
        <f>IF($A165="","",ROUND(SUMIF(项目台账!$C$4:$C$403,$A165,项目台账!$O$4:$O$403),2))</f>
        <v/>
      </c>
      <c r="E165" s="19">
        <f>IF($A165="","",ROUND($C165-$D165,2))</f>
        <v/>
      </c>
      <c r="F165" s="22">
        <f>IF($A165="","",COUNTIFS(项目台账!$C$4:$C$403,$A165,项目台账!$J$4:$J$403,""))</f>
        <v/>
      </c>
      <c r="G165" s="23">
        <f>IF($A165="","",IFERROR(LOOKUP(1,0/((资金日记账!$H$4:$H$2503=$A165)*(资金日记账!$J$4:$J$2503&gt;0)),资金日记账!$B$4:$B$2503),""))</f>
        <v/>
      </c>
      <c r="H165" s="13" t="n"/>
    </row>
    <row r="166">
      <c r="A166" s="17">
        <f>IF(基础资料!$E165="","",基础资料!$E165)</f>
        <v/>
      </c>
      <c r="B166" s="22">
        <f>IF($A166="","",COUNTIF(项目台账!$C$4:$C$403,$A166))</f>
        <v/>
      </c>
      <c r="C166" s="19">
        <f>IF($A166="","",ROUND(SUMIF(项目台账!$C$4:$C$403,$A166,项目台账!$M$4:$M$403),2))</f>
        <v/>
      </c>
      <c r="D166" s="19">
        <f>IF($A166="","",ROUND(SUMIF(项目台账!$C$4:$C$403,$A166,项目台账!$O$4:$O$403),2))</f>
        <v/>
      </c>
      <c r="E166" s="19">
        <f>IF($A166="","",ROUND($C166-$D166,2))</f>
        <v/>
      </c>
      <c r="F166" s="22">
        <f>IF($A166="","",COUNTIFS(项目台账!$C$4:$C$403,$A166,项目台账!$J$4:$J$403,""))</f>
        <v/>
      </c>
      <c r="G166" s="23">
        <f>IF($A166="","",IFERROR(LOOKUP(1,0/((资金日记账!$H$4:$H$2503=$A166)*(资金日记账!$J$4:$J$2503&gt;0)),资金日记账!$B$4:$B$2503),""))</f>
        <v/>
      </c>
      <c r="H166" s="13" t="n"/>
    </row>
    <row r="167">
      <c r="A167" s="17">
        <f>IF(基础资料!$E166="","",基础资料!$E166)</f>
        <v/>
      </c>
      <c r="B167" s="22">
        <f>IF($A167="","",COUNTIF(项目台账!$C$4:$C$403,$A167))</f>
        <v/>
      </c>
      <c r="C167" s="19">
        <f>IF($A167="","",ROUND(SUMIF(项目台账!$C$4:$C$403,$A167,项目台账!$M$4:$M$403),2))</f>
        <v/>
      </c>
      <c r="D167" s="19">
        <f>IF($A167="","",ROUND(SUMIF(项目台账!$C$4:$C$403,$A167,项目台账!$O$4:$O$403),2))</f>
        <v/>
      </c>
      <c r="E167" s="19">
        <f>IF($A167="","",ROUND($C167-$D167,2))</f>
        <v/>
      </c>
      <c r="F167" s="22">
        <f>IF($A167="","",COUNTIFS(项目台账!$C$4:$C$403,$A167,项目台账!$J$4:$J$403,""))</f>
        <v/>
      </c>
      <c r="G167" s="23">
        <f>IF($A167="","",IFERROR(LOOKUP(1,0/((资金日记账!$H$4:$H$2503=$A167)*(资金日记账!$J$4:$J$2503&gt;0)),资金日记账!$B$4:$B$2503),""))</f>
        <v/>
      </c>
      <c r="H167" s="13" t="n"/>
    </row>
    <row r="168">
      <c r="A168" s="17">
        <f>IF(基础资料!$E167="","",基础资料!$E167)</f>
        <v/>
      </c>
      <c r="B168" s="22">
        <f>IF($A168="","",COUNTIF(项目台账!$C$4:$C$403,$A168))</f>
        <v/>
      </c>
      <c r="C168" s="19">
        <f>IF($A168="","",ROUND(SUMIF(项目台账!$C$4:$C$403,$A168,项目台账!$M$4:$M$403),2))</f>
        <v/>
      </c>
      <c r="D168" s="19">
        <f>IF($A168="","",ROUND(SUMIF(项目台账!$C$4:$C$403,$A168,项目台账!$O$4:$O$403),2))</f>
        <v/>
      </c>
      <c r="E168" s="19">
        <f>IF($A168="","",ROUND($C168-$D168,2))</f>
        <v/>
      </c>
      <c r="F168" s="22">
        <f>IF($A168="","",COUNTIFS(项目台账!$C$4:$C$403,$A168,项目台账!$J$4:$J$403,""))</f>
        <v/>
      </c>
      <c r="G168" s="23">
        <f>IF($A168="","",IFERROR(LOOKUP(1,0/((资金日记账!$H$4:$H$2503=$A168)*(资金日记账!$J$4:$J$2503&gt;0)),资金日记账!$B$4:$B$2503),""))</f>
        <v/>
      </c>
      <c r="H168" s="13" t="n"/>
    </row>
    <row r="169">
      <c r="A169" s="17">
        <f>IF(基础资料!$E168="","",基础资料!$E168)</f>
        <v/>
      </c>
      <c r="B169" s="22">
        <f>IF($A169="","",COUNTIF(项目台账!$C$4:$C$403,$A169))</f>
        <v/>
      </c>
      <c r="C169" s="19">
        <f>IF($A169="","",ROUND(SUMIF(项目台账!$C$4:$C$403,$A169,项目台账!$M$4:$M$403),2))</f>
        <v/>
      </c>
      <c r="D169" s="19">
        <f>IF($A169="","",ROUND(SUMIF(项目台账!$C$4:$C$403,$A169,项目台账!$O$4:$O$403),2))</f>
        <v/>
      </c>
      <c r="E169" s="19">
        <f>IF($A169="","",ROUND($C169-$D169,2))</f>
        <v/>
      </c>
      <c r="F169" s="22">
        <f>IF($A169="","",COUNTIFS(项目台账!$C$4:$C$403,$A169,项目台账!$J$4:$J$403,""))</f>
        <v/>
      </c>
      <c r="G169" s="23">
        <f>IF($A169="","",IFERROR(LOOKUP(1,0/((资金日记账!$H$4:$H$2503=$A169)*(资金日记账!$J$4:$J$2503&gt;0)),资金日记账!$B$4:$B$2503),""))</f>
        <v/>
      </c>
      <c r="H169" s="13" t="n"/>
    </row>
    <row r="170">
      <c r="A170" s="17">
        <f>IF(基础资料!$E169="","",基础资料!$E169)</f>
        <v/>
      </c>
      <c r="B170" s="22">
        <f>IF($A170="","",COUNTIF(项目台账!$C$4:$C$403,$A170))</f>
        <v/>
      </c>
      <c r="C170" s="19">
        <f>IF($A170="","",ROUND(SUMIF(项目台账!$C$4:$C$403,$A170,项目台账!$M$4:$M$403),2))</f>
        <v/>
      </c>
      <c r="D170" s="19">
        <f>IF($A170="","",ROUND(SUMIF(项目台账!$C$4:$C$403,$A170,项目台账!$O$4:$O$403),2))</f>
        <v/>
      </c>
      <c r="E170" s="19">
        <f>IF($A170="","",ROUND($C170-$D170,2))</f>
        <v/>
      </c>
      <c r="F170" s="22">
        <f>IF($A170="","",COUNTIFS(项目台账!$C$4:$C$403,$A170,项目台账!$J$4:$J$403,""))</f>
        <v/>
      </c>
      <c r="G170" s="23">
        <f>IF($A170="","",IFERROR(LOOKUP(1,0/((资金日记账!$H$4:$H$2503=$A170)*(资金日记账!$J$4:$J$2503&gt;0)),资金日记账!$B$4:$B$2503),""))</f>
        <v/>
      </c>
      <c r="H170" s="13" t="n"/>
    </row>
    <row r="171">
      <c r="A171" s="17">
        <f>IF(基础资料!$E170="","",基础资料!$E170)</f>
        <v/>
      </c>
      <c r="B171" s="22">
        <f>IF($A171="","",COUNTIF(项目台账!$C$4:$C$403,$A171))</f>
        <v/>
      </c>
      <c r="C171" s="19">
        <f>IF($A171="","",ROUND(SUMIF(项目台账!$C$4:$C$403,$A171,项目台账!$M$4:$M$403),2))</f>
        <v/>
      </c>
      <c r="D171" s="19">
        <f>IF($A171="","",ROUND(SUMIF(项目台账!$C$4:$C$403,$A171,项目台账!$O$4:$O$403),2))</f>
        <v/>
      </c>
      <c r="E171" s="19">
        <f>IF($A171="","",ROUND($C171-$D171,2))</f>
        <v/>
      </c>
      <c r="F171" s="22">
        <f>IF($A171="","",COUNTIFS(项目台账!$C$4:$C$403,$A171,项目台账!$J$4:$J$403,""))</f>
        <v/>
      </c>
      <c r="G171" s="23">
        <f>IF($A171="","",IFERROR(LOOKUP(1,0/((资金日记账!$H$4:$H$2503=$A171)*(资金日记账!$J$4:$J$2503&gt;0)),资金日记账!$B$4:$B$2503),""))</f>
        <v/>
      </c>
      <c r="H171" s="13" t="n"/>
    </row>
    <row r="172">
      <c r="A172" s="17">
        <f>IF(基础资料!$E171="","",基础资料!$E171)</f>
        <v/>
      </c>
      <c r="B172" s="22">
        <f>IF($A172="","",COUNTIF(项目台账!$C$4:$C$403,$A172))</f>
        <v/>
      </c>
      <c r="C172" s="19">
        <f>IF($A172="","",ROUND(SUMIF(项目台账!$C$4:$C$403,$A172,项目台账!$M$4:$M$403),2))</f>
        <v/>
      </c>
      <c r="D172" s="19">
        <f>IF($A172="","",ROUND(SUMIF(项目台账!$C$4:$C$403,$A172,项目台账!$O$4:$O$403),2))</f>
        <v/>
      </c>
      <c r="E172" s="19">
        <f>IF($A172="","",ROUND($C172-$D172,2))</f>
        <v/>
      </c>
      <c r="F172" s="22">
        <f>IF($A172="","",COUNTIFS(项目台账!$C$4:$C$403,$A172,项目台账!$J$4:$J$403,""))</f>
        <v/>
      </c>
      <c r="G172" s="23">
        <f>IF($A172="","",IFERROR(LOOKUP(1,0/((资金日记账!$H$4:$H$2503=$A172)*(资金日记账!$J$4:$J$2503&gt;0)),资金日记账!$B$4:$B$2503),""))</f>
        <v/>
      </c>
      <c r="H172" s="13" t="n"/>
    </row>
    <row r="173">
      <c r="A173" s="17">
        <f>IF(基础资料!$E172="","",基础资料!$E172)</f>
        <v/>
      </c>
      <c r="B173" s="22">
        <f>IF($A173="","",COUNTIF(项目台账!$C$4:$C$403,$A173))</f>
        <v/>
      </c>
      <c r="C173" s="19">
        <f>IF($A173="","",ROUND(SUMIF(项目台账!$C$4:$C$403,$A173,项目台账!$M$4:$M$403),2))</f>
        <v/>
      </c>
      <c r="D173" s="19">
        <f>IF($A173="","",ROUND(SUMIF(项目台账!$C$4:$C$403,$A173,项目台账!$O$4:$O$403),2))</f>
        <v/>
      </c>
      <c r="E173" s="19">
        <f>IF($A173="","",ROUND($C173-$D173,2))</f>
        <v/>
      </c>
      <c r="F173" s="22">
        <f>IF($A173="","",COUNTIFS(项目台账!$C$4:$C$403,$A173,项目台账!$J$4:$J$403,""))</f>
        <v/>
      </c>
      <c r="G173" s="23">
        <f>IF($A173="","",IFERROR(LOOKUP(1,0/((资金日记账!$H$4:$H$2503=$A173)*(资金日记账!$J$4:$J$2503&gt;0)),资金日记账!$B$4:$B$2503),""))</f>
        <v/>
      </c>
      <c r="H173" s="13" t="n"/>
    </row>
    <row r="174">
      <c r="A174" s="17">
        <f>IF(基础资料!$E173="","",基础资料!$E173)</f>
        <v/>
      </c>
      <c r="B174" s="22">
        <f>IF($A174="","",COUNTIF(项目台账!$C$4:$C$403,$A174))</f>
        <v/>
      </c>
      <c r="C174" s="19">
        <f>IF($A174="","",ROUND(SUMIF(项目台账!$C$4:$C$403,$A174,项目台账!$M$4:$M$403),2))</f>
        <v/>
      </c>
      <c r="D174" s="19">
        <f>IF($A174="","",ROUND(SUMIF(项目台账!$C$4:$C$403,$A174,项目台账!$O$4:$O$403),2))</f>
        <v/>
      </c>
      <c r="E174" s="19">
        <f>IF($A174="","",ROUND($C174-$D174,2))</f>
        <v/>
      </c>
      <c r="F174" s="22">
        <f>IF($A174="","",COUNTIFS(项目台账!$C$4:$C$403,$A174,项目台账!$J$4:$J$403,""))</f>
        <v/>
      </c>
      <c r="G174" s="23">
        <f>IF($A174="","",IFERROR(LOOKUP(1,0/((资金日记账!$H$4:$H$2503=$A174)*(资金日记账!$J$4:$J$2503&gt;0)),资金日记账!$B$4:$B$2503),""))</f>
        <v/>
      </c>
      <c r="H174" s="13" t="n"/>
    </row>
    <row r="175">
      <c r="A175" s="17">
        <f>IF(基础资料!$E174="","",基础资料!$E174)</f>
        <v/>
      </c>
      <c r="B175" s="22">
        <f>IF($A175="","",COUNTIF(项目台账!$C$4:$C$403,$A175))</f>
        <v/>
      </c>
      <c r="C175" s="19">
        <f>IF($A175="","",ROUND(SUMIF(项目台账!$C$4:$C$403,$A175,项目台账!$M$4:$M$403),2))</f>
        <v/>
      </c>
      <c r="D175" s="19">
        <f>IF($A175="","",ROUND(SUMIF(项目台账!$C$4:$C$403,$A175,项目台账!$O$4:$O$403),2))</f>
        <v/>
      </c>
      <c r="E175" s="19">
        <f>IF($A175="","",ROUND($C175-$D175,2))</f>
        <v/>
      </c>
      <c r="F175" s="22">
        <f>IF($A175="","",COUNTIFS(项目台账!$C$4:$C$403,$A175,项目台账!$J$4:$J$403,""))</f>
        <v/>
      </c>
      <c r="G175" s="23">
        <f>IF($A175="","",IFERROR(LOOKUP(1,0/((资金日记账!$H$4:$H$2503=$A175)*(资金日记账!$J$4:$J$2503&gt;0)),资金日记账!$B$4:$B$2503),""))</f>
        <v/>
      </c>
      <c r="H175" s="13" t="n"/>
    </row>
    <row r="176">
      <c r="A176" s="17">
        <f>IF(基础资料!$E175="","",基础资料!$E175)</f>
        <v/>
      </c>
      <c r="B176" s="22">
        <f>IF($A176="","",COUNTIF(项目台账!$C$4:$C$403,$A176))</f>
        <v/>
      </c>
      <c r="C176" s="19">
        <f>IF($A176="","",ROUND(SUMIF(项目台账!$C$4:$C$403,$A176,项目台账!$M$4:$M$403),2))</f>
        <v/>
      </c>
      <c r="D176" s="19">
        <f>IF($A176="","",ROUND(SUMIF(项目台账!$C$4:$C$403,$A176,项目台账!$O$4:$O$403),2))</f>
        <v/>
      </c>
      <c r="E176" s="19">
        <f>IF($A176="","",ROUND($C176-$D176,2))</f>
        <v/>
      </c>
      <c r="F176" s="22">
        <f>IF($A176="","",COUNTIFS(项目台账!$C$4:$C$403,$A176,项目台账!$J$4:$J$403,""))</f>
        <v/>
      </c>
      <c r="G176" s="23">
        <f>IF($A176="","",IFERROR(LOOKUP(1,0/((资金日记账!$H$4:$H$2503=$A176)*(资金日记账!$J$4:$J$2503&gt;0)),资金日记账!$B$4:$B$2503),""))</f>
        <v/>
      </c>
      <c r="H176" s="13" t="n"/>
    </row>
    <row r="177">
      <c r="A177" s="17">
        <f>IF(基础资料!$E176="","",基础资料!$E176)</f>
        <v/>
      </c>
      <c r="B177" s="22">
        <f>IF($A177="","",COUNTIF(项目台账!$C$4:$C$403,$A177))</f>
        <v/>
      </c>
      <c r="C177" s="19">
        <f>IF($A177="","",ROUND(SUMIF(项目台账!$C$4:$C$403,$A177,项目台账!$M$4:$M$403),2))</f>
        <v/>
      </c>
      <c r="D177" s="19">
        <f>IF($A177="","",ROUND(SUMIF(项目台账!$C$4:$C$403,$A177,项目台账!$O$4:$O$403),2))</f>
        <v/>
      </c>
      <c r="E177" s="19">
        <f>IF($A177="","",ROUND($C177-$D177,2))</f>
        <v/>
      </c>
      <c r="F177" s="22">
        <f>IF($A177="","",COUNTIFS(项目台账!$C$4:$C$403,$A177,项目台账!$J$4:$J$403,""))</f>
        <v/>
      </c>
      <c r="G177" s="23">
        <f>IF($A177="","",IFERROR(LOOKUP(1,0/((资金日记账!$H$4:$H$2503=$A177)*(资金日记账!$J$4:$J$2503&gt;0)),资金日记账!$B$4:$B$2503),""))</f>
        <v/>
      </c>
      <c r="H177" s="13" t="n"/>
    </row>
    <row r="178">
      <c r="A178" s="17">
        <f>IF(基础资料!$E177="","",基础资料!$E177)</f>
        <v/>
      </c>
      <c r="B178" s="22">
        <f>IF($A178="","",COUNTIF(项目台账!$C$4:$C$403,$A178))</f>
        <v/>
      </c>
      <c r="C178" s="19">
        <f>IF($A178="","",ROUND(SUMIF(项目台账!$C$4:$C$403,$A178,项目台账!$M$4:$M$403),2))</f>
        <v/>
      </c>
      <c r="D178" s="19">
        <f>IF($A178="","",ROUND(SUMIF(项目台账!$C$4:$C$403,$A178,项目台账!$O$4:$O$403),2))</f>
        <v/>
      </c>
      <c r="E178" s="19">
        <f>IF($A178="","",ROUND($C178-$D178,2))</f>
        <v/>
      </c>
      <c r="F178" s="22">
        <f>IF($A178="","",COUNTIFS(项目台账!$C$4:$C$403,$A178,项目台账!$J$4:$J$403,""))</f>
        <v/>
      </c>
      <c r="G178" s="23">
        <f>IF($A178="","",IFERROR(LOOKUP(1,0/((资金日记账!$H$4:$H$2503=$A178)*(资金日记账!$J$4:$J$2503&gt;0)),资金日记账!$B$4:$B$2503),""))</f>
        <v/>
      </c>
      <c r="H178" s="13" t="n"/>
    </row>
    <row r="179">
      <c r="A179" s="17">
        <f>IF(基础资料!$E178="","",基础资料!$E178)</f>
        <v/>
      </c>
      <c r="B179" s="22">
        <f>IF($A179="","",COUNTIF(项目台账!$C$4:$C$403,$A179))</f>
        <v/>
      </c>
      <c r="C179" s="19">
        <f>IF($A179="","",ROUND(SUMIF(项目台账!$C$4:$C$403,$A179,项目台账!$M$4:$M$403),2))</f>
        <v/>
      </c>
      <c r="D179" s="19">
        <f>IF($A179="","",ROUND(SUMIF(项目台账!$C$4:$C$403,$A179,项目台账!$O$4:$O$403),2))</f>
        <v/>
      </c>
      <c r="E179" s="19">
        <f>IF($A179="","",ROUND($C179-$D179,2))</f>
        <v/>
      </c>
      <c r="F179" s="22">
        <f>IF($A179="","",COUNTIFS(项目台账!$C$4:$C$403,$A179,项目台账!$J$4:$J$403,""))</f>
        <v/>
      </c>
      <c r="G179" s="23">
        <f>IF($A179="","",IFERROR(LOOKUP(1,0/((资金日记账!$H$4:$H$2503=$A179)*(资金日记账!$J$4:$J$2503&gt;0)),资金日记账!$B$4:$B$2503),""))</f>
        <v/>
      </c>
      <c r="H179" s="13" t="n"/>
    </row>
    <row r="180">
      <c r="A180" s="17">
        <f>IF(基础资料!$E179="","",基础资料!$E179)</f>
        <v/>
      </c>
      <c r="B180" s="22">
        <f>IF($A180="","",COUNTIF(项目台账!$C$4:$C$403,$A180))</f>
        <v/>
      </c>
      <c r="C180" s="19">
        <f>IF($A180="","",ROUND(SUMIF(项目台账!$C$4:$C$403,$A180,项目台账!$M$4:$M$403),2))</f>
        <v/>
      </c>
      <c r="D180" s="19">
        <f>IF($A180="","",ROUND(SUMIF(项目台账!$C$4:$C$403,$A180,项目台账!$O$4:$O$403),2))</f>
        <v/>
      </c>
      <c r="E180" s="19">
        <f>IF($A180="","",ROUND($C180-$D180,2))</f>
        <v/>
      </c>
      <c r="F180" s="22">
        <f>IF($A180="","",COUNTIFS(项目台账!$C$4:$C$403,$A180,项目台账!$J$4:$J$403,""))</f>
        <v/>
      </c>
      <c r="G180" s="23">
        <f>IF($A180="","",IFERROR(LOOKUP(1,0/((资金日记账!$H$4:$H$2503=$A180)*(资金日记账!$J$4:$J$2503&gt;0)),资金日记账!$B$4:$B$2503),""))</f>
        <v/>
      </c>
      <c r="H180" s="13" t="n"/>
    </row>
    <row r="181">
      <c r="A181" s="17">
        <f>IF(基础资料!$E180="","",基础资料!$E180)</f>
        <v/>
      </c>
      <c r="B181" s="22">
        <f>IF($A181="","",COUNTIF(项目台账!$C$4:$C$403,$A181))</f>
        <v/>
      </c>
      <c r="C181" s="19">
        <f>IF($A181="","",ROUND(SUMIF(项目台账!$C$4:$C$403,$A181,项目台账!$M$4:$M$403),2))</f>
        <v/>
      </c>
      <c r="D181" s="19">
        <f>IF($A181="","",ROUND(SUMIF(项目台账!$C$4:$C$403,$A181,项目台账!$O$4:$O$403),2))</f>
        <v/>
      </c>
      <c r="E181" s="19">
        <f>IF($A181="","",ROUND($C181-$D181,2))</f>
        <v/>
      </c>
      <c r="F181" s="22">
        <f>IF($A181="","",COUNTIFS(项目台账!$C$4:$C$403,$A181,项目台账!$J$4:$J$403,""))</f>
        <v/>
      </c>
      <c r="G181" s="23">
        <f>IF($A181="","",IFERROR(LOOKUP(1,0/((资金日记账!$H$4:$H$2503=$A181)*(资金日记账!$J$4:$J$2503&gt;0)),资金日记账!$B$4:$B$2503),""))</f>
        <v/>
      </c>
      <c r="H181" s="13" t="n"/>
    </row>
    <row r="182">
      <c r="A182" s="17">
        <f>IF(基础资料!$E181="","",基础资料!$E181)</f>
        <v/>
      </c>
      <c r="B182" s="22">
        <f>IF($A182="","",COUNTIF(项目台账!$C$4:$C$403,$A182))</f>
        <v/>
      </c>
      <c r="C182" s="19">
        <f>IF($A182="","",ROUND(SUMIF(项目台账!$C$4:$C$403,$A182,项目台账!$M$4:$M$403),2))</f>
        <v/>
      </c>
      <c r="D182" s="19">
        <f>IF($A182="","",ROUND(SUMIF(项目台账!$C$4:$C$403,$A182,项目台账!$O$4:$O$403),2))</f>
        <v/>
      </c>
      <c r="E182" s="19">
        <f>IF($A182="","",ROUND($C182-$D182,2))</f>
        <v/>
      </c>
      <c r="F182" s="22">
        <f>IF($A182="","",COUNTIFS(项目台账!$C$4:$C$403,$A182,项目台账!$J$4:$J$403,""))</f>
        <v/>
      </c>
      <c r="G182" s="23">
        <f>IF($A182="","",IFERROR(LOOKUP(1,0/((资金日记账!$H$4:$H$2503=$A182)*(资金日记账!$J$4:$J$2503&gt;0)),资金日记账!$B$4:$B$2503),""))</f>
        <v/>
      </c>
      <c r="H182" s="13" t="n"/>
    </row>
    <row r="183">
      <c r="A183" s="17">
        <f>IF(基础资料!$E182="","",基础资料!$E182)</f>
        <v/>
      </c>
      <c r="B183" s="22">
        <f>IF($A183="","",COUNTIF(项目台账!$C$4:$C$403,$A183))</f>
        <v/>
      </c>
      <c r="C183" s="19">
        <f>IF($A183="","",ROUND(SUMIF(项目台账!$C$4:$C$403,$A183,项目台账!$M$4:$M$403),2))</f>
        <v/>
      </c>
      <c r="D183" s="19">
        <f>IF($A183="","",ROUND(SUMIF(项目台账!$C$4:$C$403,$A183,项目台账!$O$4:$O$403),2))</f>
        <v/>
      </c>
      <c r="E183" s="19">
        <f>IF($A183="","",ROUND($C183-$D183,2))</f>
        <v/>
      </c>
      <c r="F183" s="22">
        <f>IF($A183="","",COUNTIFS(项目台账!$C$4:$C$403,$A183,项目台账!$J$4:$J$403,""))</f>
        <v/>
      </c>
      <c r="G183" s="23">
        <f>IF($A183="","",IFERROR(LOOKUP(1,0/((资金日记账!$H$4:$H$2503=$A183)*(资金日记账!$J$4:$J$2503&gt;0)),资金日记账!$B$4:$B$2503),""))</f>
        <v/>
      </c>
      <c r="H183" s="13" t="n"/>
    </row>
    <row r="184">
      <c r="A184" s="17">
        <f>IF(基础资料!$E183="","",基础资料!$E183)</f>
        <v/>
      </c>
      <c r="B184" s="22">
        <f>IF($A184="","",COUNTIF(项目台账!$C$4:$C$403,$A184))</f>
        <v/>
      </c>
      <c r="C184" s="19">
        <f>IF($A184="","",ROUND(SUMIF(项目台账!$C$4:$C$403,$A184,项目台账!$M$4:$M$403),2))</f>
        <v/>
      </c>
      <c r="D184" s="19">
        <f>IF($A184="","",ROUND(SUMIF(项目台账!$C$4:$C$403,$A184,项目台账!$O$4:$O$403),2))</f>
        <v/>
      </c>
      <c r="E184" s="19">
        <f>IF($A184="","",ROUND($C184-$D184,2))</f>
        <v/>
      </c>
      <c r="F184" s="22">
        <f>IF($A184="","",COUNTIFS(项目台账!$C$4:$C$403,$A184,项目台账!$J$4:$J$403,""))</f>
        <v/>
      </c>
      <c r="G184" s="23">
        <f>IF($A184="","",IFERROR(LOOKUP(1,0/((资金日记账!$H$4:$H$2503=$A184)*(资金日记账!$J$4:$J$2503&gt;0)),资金日记账!$B$4:$B$2503),""))</f>
        <v/>
      </c>
      <c r="H184" s="13" t="n"/>
    </row>
    <row r="185">
      <c r="A185" s="17">
        <f>IF(基础资料!$E184="","",基础资料!$E184)</f>
        <v/>
      </c>
      <c r="B185" s="22">
        <f>IF($A185="","",COUNTIF(项目台账!$C$4:$C$403,$A185))</f>
        <v/>
      </c>
      <c r="C185" s="19">
        <f>IF($A185="","",ROUND(SUMIF(项目台账!$C$4:$C$403,$A185,项目台账!$M$4:$M$403),2))</f>
        <v/>
      </c>
      <c r="D185" s="19">
        <f>IF($A185="","",ROUND(SUMIF(项目台账!$C$4:$C$403,$A185,项目台账!$O$4:$O$403),2))</f>
        <v/>
      </c>
      <c r="E185" s="19">
        <f>IF($A185="","",ROUND($C185-$D185,2))</f>
        <v/>
      </c>
      <c r="F185" s="22">
        <f>IF($A185="","",COUNTIFS(项目台账!$C$4:$C$403,$A185,项目台账!$J$4:$J$403,""))</f>
        <v/>
      </c>
      <c r="G185" s="23">
        <f>IF($A185="","",IFERROR(LOOKUP(1,0/((资金日记账!$H$4:$H$2503=$A185)*(资金日记账!$J$4:$J$2503&gt;0)),资金日记账!$B$4:$B$2503),""))</f>
        <v/>
      </c>
      <c r="H185" s="13" t="n"/>
    </row>
    <row r="186">
      <c r="A186" s="17">
        <f>IF(基础资料!$E185="","",基础资料!$E185)</f>
        <v/>
      </c>
      <c r="B186" s="22">
        <f>IF($A186="","",COUNTIF(项目台账!$C$4:$C$403,$A186))</f>
        <v/>
      </c>
      <c r="C186" s="19">
        <f>IF($A186="","",ROUND(SUMIF(项目台账!$C$4:$C$403,$A186,项目台账!$M$4:$M$403),2))</f>
        <v/>
      </c>
      <c r="D186" s="19">
        <f>IF($A186="","",ROUND(SUMIF(项目台账!$C$4:$C$403,$A186,项目台账!$O$4:$O$403),2))</f>
        <v/>
      </c>
      <c r="E186" s="19">
        <f>IF($A186="","",ROUND($C186-$D186,2))</f>
        <v/>
      </c>
      <c r="F186" s="22">
        <f>IF($A186="","",COUNTIFS(项目台账!$C$4:$C$403,$A186,项目台账!$J$4:$J$403,""))</f>
        <v/>
      </c>
      <c r="G186" s="23">
        <f>IF($A186="","",IFERROR(LOOKUP(1,0/((资金日记账!$H$4:$H$2503=$A186)*(资金日记账!$J$4:$J$2503&gt;0)),资金日记账!$B$4:$B$2503),""))</f>
        <v/>
      </c>
      <c r="H186" s="13" t="n"/>
    </row>
    <row r="187">
      <c r="A187" s="17">
        <f>IF(基础资料!$E186="","",基础资料!$E186)</f>
        <v/>
      </c>
      <c r="B187" s="22">
        <f>IF($A187="","",COUNTIF(项目台账!$C$4:$C$403,$A187))</f>
        <v/>
      </c>
      <c r="C187" s="19">
        <f>IF($A187="","",ROUND(SUMIF(项目台账!$C$4:$C$403,$A187,项目台账!$M$4:$M$403),2))</f>
        <v/>
      </c>
      <c r="D187" s="19">
        <f>IF($A187="","",ROUND(SUMIF(项目台账!$C$4:$C$403,$A187,项目台账!$O$4:$O$403),2))</f>
        <v/>
      </c>
      <c r="E187" s="19">
        <f>IF($A187="","",ROUND($C187-$D187,2))</f>
        <v/>
      </c>
      <c r="F187" s="22">
        <f>IF($A187="","",COUNTIFS(项目台账!$C$4:$C$403,$A187,项目台账!$J$4:$J$403,""))</f>
        <v/>
      </c>
      <c r="G187" s="23">
        <f>IF($A187="","",IFERROR(LOOKUP(1,0/((资金日记账!$H$4:$H$2503=$A187)*(资金日记账!$J$4:$J$2503&gt;0)),资金日记账!$B$4:$B$2503),""))</f>
        <v/>
      </c>
      <c r="H187" s="13" t="n"/>
    </row>
    <row r="188">
      <c r="A188" s="17">
        <f>IF(基础资料!$E187="","",基础资料!$E187)</f>
        <v/>
      </c>
      <c r="B188" s="22">
        <f>IF($A188="","",COUNTIF(项目台账!$C$4:$C$403,$A188))</f>
        <v/>
      </c>
      <c r="C188" s="19">
        <f>IF($A188="","",ROUND(SUMIF(项目台账!$C$4:$C$403,$A188,项目台账!$M$4:$M$403),2))</f>
        <v/>
      </c>
      <c r="D188" s="19">
        <f>IF($A188="","",ROUND(SUMIF(项目台账!$C$4:$C$403,$A188,项目台账!$O$4:$O$403),2))</f>
        <v/>
      </c>
      <c r="E188" s="19">
        <f>IF($A188="","",ROUND($C188-$D188,2))</f>
        <v/>
      </c>
      <c r="F188" s="22">
        <f>IF($A188="","",COUNTIFS(项目台账!$C$4:$C$403,$A188,项目台账!$J$4:$J$403,""))</f>
        <v/>
      </c>
      <c r="G188" s="23">
        <f>IF($A188="","",IFERROR(LOOKUP(1,0/((资金日记账!$H$4:$H$2503=$A188)*(资金日记账!$J$4:$J$2503&gt;0)),资金日记账!$B$4:$B$2503),""))</f>
        <v/>
      </c>
      <c r="H188" s="13" t="n"/>
    </row>
    <row r="189">
      <c r="A189" s="17">
        <f>IF(基础资料!$E188="","",基础资料!$E188)</f>
        <v/>
      </c>
      <c r="B189" s="22">
        <f>IF($A189="","",COUNTIF(项目台账!$C$4:$C$403,$A189))</f>
        <v/>
      </c>
      <c r="C189" s="19">
        <f>IF($A189="","",ROUND(SUMIF(项目台账!$C$4:$C$403,$A189,项目台账!$M$4:$M$403),2))</f>
        <v/>
      </c>
      <c r="D189" s="19">
        <f>IF($A189="","",ROUND(SUMIF(项目台账!$C$4:$C$403,$A189,项目台账!$O$4:$O$403),2))</f>
        <v/>
      </c>
      <c r="E189" s="19">
        <f>IF($A189="","",ROUND($C189-$D189,2))</f>
        <v/>
      </c>
      <c r="F189" s="22">
        <f>IF($A189="","",COUNTIFS(项目台账!$C$4:$C$403,$A189,项目台账!$J$4:$J$403,""))</f>
        <v/>
      </c>
      <c r="G189" s="23">
        <f>IF($A189="","",IFERROR(LOOKUP(1,0/((资金日记账!$H$4:$H$2503=$A189)*(资金日记账!$J$4:$J$2503&gt;0)),资金日记账!$B$4:$B$2503),""))</f>
        <v/>
      </c>
      <c r="H189" s="13" t="n"/>
    </row>
    <row r="190">
      <c r="A190" s="17">
        <f>IF(基础资料!$E189="","",基础资料!$E189)</f>
        <v/>
      </c>
      <c r="B190" s="22">
        <f>IF($A190="","",COUNTIF(项目台账!$C$4:$C$403,$A190))</f>
        <v/>
      </c>
      <c r="C190" s="19">
        <f>IF($A190="","",ROUND(SUMIF(项目台账!$C$4:$C$403,$A190,项目台账!$M$4:$M$403),2))</f>
        <v/>
      </c>
      <c r="D190" s="19">
        <f>IF($A190="","",ROUND(SUMIF(项目台账!$C$4:$C$403,$A190,项目台账!$O$4:$O$403),2))</f>
        <v/>
      </c>
      <c r="E190" s="19">
        <f>IF($A190="","",ROUND($C190-$D190,2))</f>
        <v/>
      </c>
      <c r="F190" s="22">
        <f>IF($A190="","",COUNTIFS(项目台账!$C$4:$C$403,$A190,项目台账!$J$4:$J$403,""))</f>
        <v/>
      </c>
      <c r="G190" s="23">
        <f>IF($A190="","",IFERROR(LOOKUP(1,0/((资金日记账!$H$4:$H$2503=$A190)*(资金日记账!$J$4:$J$2503&gt;0)),资金日记账!$B$4:$B$2503),""))</f>
        <v/>
      </c>
      <c r="H190" s="13" t="n"/>
    </row>
    <row r="191">
      <c r="A191" s="17">
        <f>IF(基础资料!$E190="","",基础资料!$E190)</f>
        <v/>
      </c>
      <c r="B191" s="22">
        <f>IF($A191="","",COUNTIF(项目台账!$C$4:$C$403,$A191))</f>
        <v/>
      </c>
      <c r="C191" s="19">
        <f>IF($A191="","",ROUND(SUMIF(项目台账!$C$4:$C$403,$A191,项目台账!$M$4:$M$403),2))</f>
        <v/>
      </c>
      <c r="D191" s="19">
        <f>IF($A191="","",ROUND(SUMIF(项目台账!$C$4:$C$403,$A191,项目台账!$O$4:$O$403),2))</f>
        <v/>
      </c>
      <c r="E191" s="19">
        <f>IF($A191="","",ROUND($C191-$D191,2))</f>
        <v/>
      </c>
      <c r="F191" s="22">
        <f>IF($A191="","",COUNTIFS(项目台账!$C$4:$C$403,$A191,项目台账!$J$4:$J$403,""))</f>
        <v/>
      </c>
      <c r="G191" s="23">
        <f>IF($A191="","",IFERROR(LOOKUP(1,0/((资金日记账!$H$4:$H$2503=$A191)*(资金日记账!$J$4:$J$2503&gt;0)),资金日记账!$B$4:$B$2503),""))</f>
        <v/>
      </c>
      <c r="H191" s="13" t="n"/>
    </row>
    <row r="192">
      <c r="A192" s="17">
        <f>IF(基础资料!$E191="","",基础资料!$E191)</f>
        <v/>
      </c>
      <c r="B192" s="22">
        <f>IF($A192="","",COUNTIF(项目台账!$C$4:$C$403,$A192))</f>
        <v/>
      </c>
      <c r="C192" s="19">
        <f>IF($A192="","",ROUND(SUMIF(项目台账!$C$4:$C$403,$A192,项目台账!$M$4:$M$403),2))</f>
        <v/>
      </c>
      <c r="D192" s="19">
        <f>IF($A192="","",ROUND(SUMIF(项目台账!$C$4:$C$403,$A192,项目台账!$O$4:$O$403),2))</f>
        <v/>
      </c>
      <c r="E192" s="19">
        <f>IF($A192="","",ROUND($C192-$D192,2))</f>
        <v/>
      </c>
      <c r="F192" s="22">
        <f>IF($A192="","",COUNTIFS(项目台账!$C$4:$C$403,$A192,项目台账!$J$4:$J$403,""))</f>
        <v/>
      </c>
      <c r="G192" s="23">
        <f>IF($A192="","",IFERROR(LOOKUP(1,0/((资金日记账!$H$4:$H$2503=$A192)*(资金日记账!$J$4:$J$2503&gt;0)),资金日记账!$B$4:$B$2503),""))</f>
        <v/>
      </c>
      <c r="H192" s="13" t="n"/>
    </row>
    <row r="193">
      <c r="A193" s="17">
        <f>IF(基础资料!$E192="","",基础资料!$E192)</f>
        <v/>
      </c>
      <c r="B193" s="22">
        <f>IF($A193="","",COUNTIF(项目台账!$C$4:$C$403,$A193))</f>
        <v/>
      </c>
      <c r="C193" s="19">
        <f>IF($A193="","",ROUND(SUMIF(项目台账!$C$4:$C$403,$A193,项目台账!$M$4:$M$403),2))</f>
        <v/>
      </c>
      <c r="D193" s="19">
        <f>IF($A193="","",ROUND(SUMIF(项目台账!$C$4:$C$403,$A193,项目台账!$O$4:$O$403),2))</f>
        <v/>
      </c>
      <c r="E193" s="19">
        <f>IF($A193="","",ROUND($C193-$D193,2))</f>
        <v/>
      </c>
      <c r="F193" s="22">
        <f>IF($A193="","",COUNTIFS(项目台账!$C$4:$C$403,$A193,项目台账!$J$4:$J$403,""))</f>
        <v/>
      </c>
      <c r="G193" s="23">
        <f>IF($A193="","",IFERROR(LOOKUP(1,0/((资金日记账!$H$4:$H$2503=$A193)*(资金日记账!$J$4:$J$2503&gt;0)),资金日记账!$B$4:$B$2503),""))</f>
        <v/>
      </c>
      <c r="H193" s="13" t="n"/>
    </row>
    <row r="194">
      <c r="A194" s="17">
        <f>IF(基础资料!$E193="","",基础资料!$E193)</f>
        <v/>
      </c>
      <c r="B194" s="22">
        <f>IF($A194="","",COUNTIF(项目台账!$C$4:$C$403,$A194))</f>
        <v/>
      </c>
      <c r="C194" s="19">
        <f>IF($A194="","",ROUND(SUMIF(项目台账!$C$4:$C$403,$A194,项目台账!$M$4:$M$403),2))</f>
        <v/>
      </c>
      <c r="D194" s="19">
        <f>IF($A194="","",ROUND(SUMIF(项目台账!$C$4:$C$403,$A194,项目台账!$O$4:$O$403),2))</f>
        <v/>
      </c>
      <c r="E194" s="19">
        <f>IF($A194="","",ROUND($C194-$D194,2))</f>
        <v/>
      </c>
      <c r="F194" s="22">
        <f>IF($A194="","",COUNTIFS(项目台账!$C$4:$C$403,$A194,项目台账!$J$4:$J$403,""))</f>
        <v/>
      </c>
      <c r="G194" s="23">
        <f>IF($A194="","",IFERROR(LOOKUP(1,0/((资金日记账!$H$4:$H$2503=$A194)*(资金日记账!$J$4:$J$2503&gt;0)),资金日记账!$B$4:$B$2503),""))</f>
        <v/>
      </c>
      <c r="H194" s="13" t="n"/>
    </row>
    <row r="195">
      <c r="A195" s="17">
        <f>IF(基础资料!$E194="","",基础资料!$E194)</f>
        <v/>
      </c>
      <c r="B195" s="22">
        <f>IF($A195="","",COUNTIF(项目台账!$C$4:$C$403,$A195))</f>
        <v/>
      </c>
      <c r="C195" s="19">
        <f>IF($A195="","",ROUND(SUMIF(项目台账!$C$4:$C$403,$A195,项目台账!$M$4:$M$403),2))</f>
        <v/>
      </c>
      <c r="D195" s="19">
        <f>IF($A195="","",ROUND(SUMIF(项目台账!$C$4:$C$403,$A195,项目台账!$O$4:$O$403),2))</f>
        <v/>
      </c>
      <c r="E195" s="19">
        <f>IF($A195="","",ROUND($C195-$D195,2))</f>
        <v/>
      </c>
      <c r="F195" s="22">
        <f>IF($A195="","",COUNTIFS(项目台账!$C$4:$C$403,$A195,项目台账!$J$4:$J$403,""))</f>
        <v/>
      </c>
      <c r="G195" s="23">
        <f>IF($A195="","",IFERROR(LOOKUP(1,0/((资金日记账!$H$4:$H$2503=$A195)*(资金日记账!$J$4:$J$2503&gt;0)),资金日记账!$B$4:$B$2503),""))</f>
        <v/>
      </c>
      <c r="H195" s="13" t="n"/>
    </row>
    <row r="196">
      <c r="A196" s="17">
        <f>IF(基础资料!$E195="","",基础资料!$E195)</f>
        <v/>
      </c>
      <c r="B196" s="22">
        <f>IF($A196="","",COUNTIF(项目台账!$C$4:$C$403,$A196))</f>
        <v/>
      </c>
      <c r="C196" s="19">
        <f>IF($A196="","",ROUND(SUMIF(项目台账!$C$4:$C$403,$A196,项目台账!$M$4:$M$403),2))</f>
        <v/>
      </c>
      <c r="D196" s="19">
        <f>IF($A196="","",ROUND(SUMIF(项目台账!$C$4:$C$403,$A196,项目台账!$O$4:$O$403),2))</f>
        <v/>
      </c>
      <c r="E196" s="19">
        <f>IF($A196="","",ROUND($C196-$D196,2))</f>
        <v/>
      </c>
      <c r="F196" s="22">
        <f>IF($A196="","",COUNTIFS(项目台账!$C$4:$C$403,$A196,项目台账!$J$4:$J$403,""))</f>
        <v/>
      </c>
      <c r="G196" s="23">
        <f>IF($A196="","",IFERROR(LOOKUP(1,0/((资金日记账!$H$4:$H$2503=$A196)*(资金日记账!$J$4:$J$2503&gt;0)),资金日记账!$B$4:$B$2503),""))</f>
        <v/>
      </c>
      <c r="H196" s="13" t="n"/>
    </row>
    <row r="197">
      <c r="A197" s="17">
        <f>IF(基础资料!$E196="","",基础资料!$E196)</f>
        <v/>
      </c>
      <c r="B197" s="22">
        <f>IF($A197="","",COUNTIF(项目台账!$C$4:$C$403,$A197))</f>
        <v/>
      </c>
      <c r="C197" s="19">
        <f>IF($A197="","",ROUND(SUMIF(项目台账!$C$4:$C$403,$A197,项目台账!$M$4:$M$403),2))</f>
        <v/>
      </c>
      <c r="D197" s="19">
        <f>IF($A197="","",ROUND(SUMIF(项目台账!$C$4:$C$403,$A197,项目台账!$O$4:$O$403),2))</f>
        <v/>
      </c>
      <c r="E197" s="19">
        <f>IF($A197="","",ROUND($C197-$D197,2))</f>
        <v/>
      </c>
      <c r="F197" s="22">
        <f>IF($A197="","",COUNTIFS(项目台账!$C$4:$C$403,$A197,项目台账!$J$4:$J$403,""))</f>
        <v/>
      </c>
      <c r="G197" s="23">
        <f>IF($A197="","",IFERROR(LOOKUP(1,0/((资金日记账!$H$4:$H$2503=$A197)*(资金日记账!$J$4:$J$2503&gt;0)),资金日记账!$B$4:$B$2503),""))</f>
        <v/>
      </c>
      <c r="H197" s="13" t="n"/>
    </row>
    <row r="198">
      <c r="A198" s="17">
        <f>IF(基础资料!$E197="","",基础资料!$E197)</f>
        <v/>
      </c>
      <c r="B198" s="22">
        <f>IF($A198="","",COUNTIF(项目台账!$C$4:$C$403,$A198))</f>
        <v/>
      </c>
      <c r="C198" s="19">
        <f>IF($A198="","",ROUND(SUMIF(项目台账!$C$4:$C$403,$A198,项目台账!$M$4:$M$403),2))</f>
        <v/>
      </c>
      <c r="D198" s="19">
        <f>IF($A198="","",ROUND(SUMIF(项目台账!$C$4:$C$403,$A198,项目台账!$O$4:$O$403),2))</f>
        <v/>
      </c>
      <c r="E198" s="19">
        <f>IF($A198="","",ROUND($C198-$D198,2))</f>
        <v/>
      </c>
      <c r="F198" s="22">
        <f>IF($A198="","",COUNTIFS(项目台账!$C$4:$C$403,$A198,项目台账!$J$4:$J$403,""))</f>
        <v/>
      </c>
      <c r="G198" s="23">
        <f>IF($A198="","",IFERROR(LOOKUP(1,0/((资金日记账!$H$4:$H$2503=$A198)*(资金日记账!$J$4:$J$2503&gt;0)),资金日记账!$B$4:$B$2503),""))</f>
        <v/>
      </c>
      <c r="H198" s="13" t="n"/>
    </row>
    <row r="199">
      <c r="A199" s="17">
        <f>IF(基础资料!$E198="","",基础资料!$E198)</f>
        <v/>
      </c>
      <c r="B199" s="22">
        <f>IF($A199="","",COUNTIF(项目台账!$C$4:$C$403,$A199))</f>
        <v/>
      </c>
      <c r="C199" s="19">
        <f>IF($A199="","",ROUND(SUMIF(项目台账!$C$4:$C$403,$A199,项目台账!$M$4:$M$403),2))</f>
        <v/>
      </c>
      <c r="D199" s="19">
        <f>IF($A199="","",ROUND(SUMIF(项目台账!$C$4:$C$403,$A199,项目台账!$O$4:$O$403),2))</f>
        <v/>
      </c>
      <c r="E199" s="19">
        <f>IF($A199="","",ROUND($C199-$D199,2))</f>
        <v/>
      </c>
      <c r="F199" s="22">
        <f>IF($A199="","",COUNTIFS(项目台账!$C$4:$C$403,$A199,项目台账!$J$4:$J$403,""))</f>
        <v/>
      </c>
      <c r="G199" s="23">
        <f>IF($A199="","",IFERROR(LOOKUP(1,0/((资金日记账!$H$4:$H$2503=$A199)*(资金日记账!$J$4:$J$2503&gt;0)),资金日记账!$B$4:$B$2503),""))</f>
        <v/>
      </c>
      <c r="H199" s="13" t="n"/>
    </row>
    <row r="200">
      <c r="A200" s="17">
        <f>IF(基础资料!$E199="","",基础资料!$E199)</f>
        <v/>
      </c>
      <c r="B200" s="22">
        <f>IF($A200="","",COUNTIF(项目台账!$C$4:$C$403,$A200))</f>
        <v/>
      </c>
      <c r="C200" s="19">
        <f>IF($A200="","",ROUND(SUMIF(项目台账!$C$4:$C$403,$A200,项目台账!$M$4:$M$403),2))</f>
        <v/>
      </c>
      <c r="D200" s="19">
        <f>IF($A200="","",ROUND(SUMIF(项目台账!$C$4:$C$403,$A200,项目台账!$O$4:$O$403),2))</f>
        <v/>
      </c>
      <c r="E200" s="19">
        <f>IF($A200="","",ROUND($C200-$D200,2))</f>
        <v/>
      </c>
      <c r="F200" s="22">
        <f>IF($A200="","",COUNTIFS(项目台账!$C$4:$C$403,$A200,项目台账!$J$4:$J$403,""))</f>
        <v/>
      </c>
      <c r="G200" s="23">
        <f>IF($A200="","",IFERROR(LOOKUP(1,0/((资金日记账!$H$4:$H$2503=$A200)*(资金日记账!$J$4:$J$2503&gt;0)),资金日记账!$B$4:$B$2503),""))</f>
        <v/>
      </c>
      <c r="H200" s="13" t="n"/>
    </row>
    <row r="201">
      <c r="A201" s="17">
        <f>IF(基础资料!$E200="","",基础资料!$E200)</f>
        <v/>
      </c>
      <c r="B201" s="22">
        <f>IF($A201="","",COUNTIF(项目台账!$C$4:$C$403,$A201))</f>
        <v/>
      </c>
      <c r="C201" s="19">
        <f>IF($A201="","",ROUND(SUMIF(项目台账!$C$4:$C$403,$A201,项目台账!$M$4:$M$403),2))</f>
        <v/>
      </c>
      <c r="D201" s="19">
        <f>IF($A201="","",ROUND(SUMIF(项目台账!$C$4:$C$403,$A201,项目台账!$O$4:$O$403),2))</f>
        <v/>
      </c>
      <c r="E201" s="19">
        <f>IF($A201="","",ROUND($C201-$D201,2))</f>
        <v/>
      </c>
      <c r="F201" s="22">
        <f>IF($A201="","",COUNTIFS(项目台账!$C$4:$C$403,$A201,项目台账!$J$4:$J$403,""))</f>
        <v/>
      </c>
      <c r="G201" s="23">
        <f>IF($A201="","",IFERROR(LOOKUP(1,0/((资金日记账!$H$4:$H$2503=$A201)*(资金日记账!$J$4:$J$2503&gt;0)),资金日记账!$B$4:$B$2503),""))</f>
        <v/>
      </c>
      <c r="H201" s="13" t="n"/>
    </row>
    <row r="202">
      <c r="A202" s="17">
        <f>IF(基础资料!$E201="","",基础资料!$E201)</f>
        <v/>
      </c>
      <c r="B202" s="22">
        <f>IF($A202="","",COUNTIF(项目台账!$C$4:$C$403,$A202))</f>
        <v/>
      </c>
      <c r="C202" s="19">
        <f>IF($A202="","",ROUND(SUMIF(项目台账!$C$4:$C$403,$A202,项目台账!$M$4:$M$403),2))</f>
        <v/>
      </c>
      <c r="D202" s="19">
        <f>IF($A202="","",ROUND(SUMIF(项目台账!$C$4:$C$403,$A202,项目台账!$O$4:$O$403),2))</f>
        <v/>
      </c>
      <c r="E202" s="19">
        <f>IF($A202="","",ROUND($C202-$D202,2))</f>
        <v/>
      </c>
      <c r="F202" s="22">
        <f>IF($A202="","",COUNTIFS(项目台账!$C$4:$C$403,$A202,项目台账!$J$4:$J$403,""))</f>
        <v/>
      </c>
      <c r="G202" s="23">
        <f>IF($A202="","",IFERROR(LOOKUP(1,0/((资金日记账!$H$4:$H$2503=$A202)*(资金日记账!$J$4:$J$2503&gt;0)),资金日记账!$B$4:$B$2503),""))</f>
        <v/>
      </c>
      <c r="H202" s="13" t="n"/>
    </row>
    <row r="203">
      <c r="A203" s="17">
        <f>IF(基础资料!$E202="","",基础资料!$E202)</f>
        <v/>
      </c>
      <c r="B203" s="22">
        <f>IF($A203="","",COUNTIF(项目台账!$C$4:$C$403,$A203))</f>
        <v/>
      </c>
      <c r="C203" s="19">
        <f>IF($A203="","",ROUND(SUMIF(项目台账!$C$4:$C$403,$A203,项目台账!$M$4:$M$403),2))</f>
        <v/>
      </c>
      <c r="D203" s="19">
        <f>IF($A203="","",ROUND(SUMIF(项目台账!$C$4:$C$403,$A203,项目台账!$O$4:$O$403),2))</f>
        <v/>
      </c>
      <c r="E203" s="19">
        <f>IF($A203="","",ROUND($C203-$D203,2))</f>
        <v/>
      </c>
      <c r="F203" s="22">
        <f>IF($A203="","",COUNTIFS(项目台账!$C$4:$C$403,$A203,项目台账!$J$4:$J$403,""))</f>
        <v/>
      </c>
      <c r="G203" s="23">
        <f>IF($A203="","",IFERROR(LOOKUP(1,0/((资金日记账!$H$4:$H$2503=$A203)*(资金日记账!$J$4:$J$2503&gt;0)),资金日记账!$B$4:$B$2503),""))</f>
        <v/>
      </c>
      <c r="H203" s="13" t="n"/>
    </row>
    <row r="204">
      <c r="A204" s="17">
        <f>IF(基础资料!$E203="","",基础资料!$E203)</f>
        <v/>
      </c>
      <c r="B204" s="22">
        <f>IF($A204="","",COUNTIF(项目台账!$C$4:$C$403,$A204))</f>
        <v/>
      </c>
      <c r="C204" s="19">
        <f>IF($A204="","",ROUND(SUMIF(项目台账!$C$4:$C$403,$A204,项目台账!$M$4:$M$403),2))</f>
        <v/>
      </c>
      <c r="D204" s="19">
        <f>IF($A204="","",ROUND(SUMIF(项目台账!$C$4:$C$403,$A204,项目台账!$O$4:$O$403),2))</f>
        <v/>
      </c>
      <c r="E204" s="19">
        <f>IF($A204="","",ROUND($C204-$D204,2))</f>
        <v/>
      </c>
      <c r="F204" s="22">
        <f>IF($A204="","",COUNTIFS(项目台账!$C$4:$C$403,$A204,项目台账!$J$4:$J$403,""))</f>
        <v/>
      </c>
      <c r="G204" s="23">
        <f>IF($A204="","",IFERROR(LOOKUP(1,0/((资金日记账!$H$4:$H$2503=$A204)*(资金日记账!$J$4:$J$2503&gt;0)),资金日记账!$B$4:$B$2503),""))</f>
        <v/>
      </c>
      <c r="H204" s="13" t="n"/>
    </row>
    <row r="205">
      <c r="A205" s="17">
        <f>IF(基础资料!$E204="","",基础资料!$E204)</f>
        <v/>
      </c>
      <c r="B205" s="22">
        <f>IF($A205="","",COUNTIF(项目台账!$C$4:$C$403,$A205))</f>
        <v/>
      </c>
      <c r="C205" s="19">
        <f>IF($A205="","",ROUND(SUMIF(项目台账!$C$4:$C$403,$A205,项目台账!$M$4:$M$403),2))</f>
        <v/>
      </c>
      <c r="D205" s="19">
        <f>IF($A205="","",ROUND(SUMIF(项目台账!$C$4:$C$403,$A205,项目台账!$O$4:$O$403),2))</f>
        <v/>
      </c>
      <c r="E205" s="19">
        <f>IF($A205="","",ROUND($C205-$D205,2))</f>
        <v/>
      </c>
      <c r="F205" s="22">
        <f>IF($A205="","",COUNTIFS(项目台账!$C$4:$C$403,$A205,项目台账!$J$4:$J$403,""))</f>
        <v/>
      </c>
      <c r="G205" s="23">
        <f>IF($A205="","",IFERROR(LOOKUP(1,0/((资金日记账!$H$4:$H$2503=$A205)*(资金日记账!$J$4:$J$2503&gt;0)),资金日记账!$B$4:$B$2503),""))</f>
        <v/>
      </c>
      <c r="H205" s="13" t="n"/>
    </row>
    <row r="206">
      <c r="A206" s="17">
        <f>IF(基础资料!$E205="","",基础资料!$E205)</f>
        <v/>
      </c>
      <c r="B206" s="22">
        <f>IF($A206="","",COUNTIF(项目台账!$C$4:$C$403,$A206))</f>
        <v/>
      </c>
      <c r="C206" s="19">
        <f>IF($A206="","",ROUND(SUMIF(项目台账!$C$4:$C$403,$A206,项目台账!$M$4:$M$403),2))</f>
        <v/>
      </c>
      <c r="D206" s="19">
        <f>IF($A206="","",ROUND(SUMIF(项目台账!$C$4:$C$403,$A206,项目台账!$O$4:$O$403),2))</f>
        <v/>
      </c>
      <c r="E206" s="19">
        <f>IF($A206="","",ROUND($C206-$D206,2))</f>
        <v/>
      </c>
      <c r="F206" s="22">
        <f>IF($A206="","",COUNTIFS(项目台账!$C$4:$C$403,$A206,项目台账!$J$4:$J$403,""))</f>
        <v/>
      </c>
      <c r="G206" s="23">
        <f>IF($A206="","",IFERROR(LOOKUP(1,0/((资金日记账!$H$4:$H$2503=$A206)*(资金日记账!$J$4:$J$2503&gt;0)),资金日记账!$B$4:$B$2503),""))</f>
        <v/>
      </c>
      <c r="H206" s="13" t="n"/>
    </row>
    <row r="207">
      <c r="A207" s="17">
        <f>IF(基础资料!$E206="","",基础资料!$E206)</f>
        <v/>
      </c>
      <c r="B207" s="22">
        <f>IF($A207="","",COUNTIF(项目台账!$C$4:$C$403,$A207))</f>
        <v/>
      </c>
      <c r="C207" s="19">
        <f>IF($A207="","",ROUND(SUMIF(项目台账!$C$4:$C$403,$A207,项目台账!$M$4:$M$403),2))</f>
        <v/>
      </c>
      <c r="D207" s="19">
        <f>IF($A207="","",ROUND(SUMIF(项目台账!$C$4:$C$403,$A207,项目台账!$O$4:$O$403),2))</f>
        <v/>
      </c>
      <c r="E207" s="19">
        <f>IF($A207="","",ROUND($C207-$D207,2))</f>
        <v/>
      </c>
      <c r="F207" s="22">
        <f>IF($A207="","",COUNTIFS(项目台账!$C$4:$C$403,$A207,项目台账!$J$4:$J$403,""))</f>
        <v/>
      </c>
      <c r="G207" s="23">
        <f>IF($A207="","",IFERROR(LOOKUP(1,0/((资金日记账!$H$4:$H$2503=$A207)*(资金日记账!$J$4:$J$2503&gt;0)),资金日记账!$B$4:$B$2503),""))</f>
        <v/>
      </c>
      <c r="H207" s="13" t="n"/>
    </row>
    <row r="208">
      <c r="A208" s="17">
        <f>IF(基础资料!$E207="","",基础资料!$E207)</f>
        <v/>
      </c>
      <c r="B208" s="22">
        <f>IF($A208="","",COUNTIF(项目台账!$C$4:$C$403,$A208))</f>
        <v/>
      </c>
      <c r="C208" s="19">
        <f>IF($A208="","",ROUND(SUMIF(项目台账!$C$4:$C$403,$A208,项目台账!$M$4:$M$403),2))</f>
        <v/>
      </c>
      <c r="D208" s="19">
        <f>IF($A208="","",ROUND(SUMIF(项目台账!$C$4:$C$403,$A208,项目台账!$O$4:$O$403),2))</f>
        <v/>
      </c>
      <c r="E208" s="19">
        <f>IF($A208="","",ROUND($C208-$D208,2))</f>
        <v/>
      </c>
      <c r="F208" s="22">
        <f>IF($A208="","",COUNTIFS(项目台账!$C$4:$C$403,$A208,项目台账!$J$4:$J$403,""))</f>
        <v/>
      </c>
      <c r="G208" s="23">
        <f>IF($A208="","",IFERROR(LOOKUP(1,0/((资金日记账!$H$4:$H$2503=$A208)*(资金日记账!$J$4:$J$2503&gt;0)),资金日记账!$B$4:$B$2503),""))</f>
        <v/>
      </c>
      <c r="H208" s="13" t="n"/>
    </row>
    <row r="209">
      <c r="A209" s="17">
        <f>IF(基础资料!$E208="","",基础资料!$E208)</f>
        <v/>
      </c>
      <c r="B209" s="22">
        <f>IF($A209="","",COUNTIF(项目台账!$C$4:$C$403,$A209))</f>
        <v/>
      </c>
      <c r="C209" s="19">
        <f>IF($A209="","",ROUND(SUMIF(项目台账!$C$4:$C$403,$A209,项目台账!$M$4:$M$403),2))</f>
        <v/>
      </c>
      <c r="D209" s="19">
        <f>IF($A209="","",ROUND(SUMIF(项目台账!$C$4:$C$403,$A209,项目台账!$O$4:$O$403),2))</f>
        <v/>
      </c>
      <c r="E209" s="19">
        <f>IF($A209="","",ROUND($C209-$D209,2))</f>
        <v/>
      </c>
      <c r="F209" s="22">
        <f>IF($A209="","",COUNTIFS(项目台账!$C$4:$C$403,$A209,项目台账!$J$4:$J$403,""))</f>
        <v/>
      </c>
      <c r="G209" s="23">
        <f>IF($A209="","",IFERROR(LOOKUP(1,0/((资金日记账!$H$4:$H$2503=$A209)*(资金日记账!$J$4:$J$2503&gt;0)),资金日记账!$B$4:$B$2503),""))</f>
        <v/>
      </c>
      <c r="H209" s="13" t="n"/>
    </row>
    <row r="210">
      <c r="A210" s="17">
        <f>IF(基础资料!$E209="","",基础资料!$E209)</f>
        <v/>
      </c>
      <c r="B210" s="22">
        <f>IF($A210="","",COUNTIF(项目台账!$C$4:$C$403,$A210))</f>
        <v/>
      </c>
      <c r="C210" s="19">
        <f>IF($A210="","",ROUND(SUMIF(项目台账!$C$4:$C$403,$A210,项目台账!$M$4:$M$403),2))</f>
        <v/>
      </c>
      <c r="D210" s="19">
        <f>IF($A210="","",ROUND(SUMIF(项目台账!$C$4:$C$403,$A210,项目台账!$O$4:$O$403),2))</f>
        <v/>
      </c>
      <c r="E210" s="19">
        <f>IF($A210="","",ROUND($C210-$D210,2))</f>
        <v/>
      </c>
      <c r="F210" s="22">
        <f>IF($A210="","",COUNTIFS(项目台账!$C$4:$C$403,$A210,项目台账!$J$4:$J$403,""))</f>
        <v/>
      </c>
      <c r="G210" s="23">
        <f>IF($A210="","",IFERROR(LOOKUP(1,0/((资金日记账!$H$4:$H$2503=$A210)*(资金日记账!$J$4:$J$2503&gt;0)),资金日记账!$B$4:$B$2503),""))</f>
        <v/>
      </c>
      <c r="H210" s="13" t="n"/>
    </row>
    <row r="211">
      <c r="A211" s="17">
        <f>IF(基础资料!$E210="","",基础资料!$E210)</f>
        <v/>
      </c>
      <c r="B211" s="22">
        <f>IF($A211="","",COUNTIF(项目台账!$C$4:$C$403,$A211))</f>
        <v/>
      </c>
      <c r="C211" s="19">
        <f>IF($A211="","",ROUND(SUMIF(项目台账!$C$4:$C$403,$A211,项目台账!$M$4:$M$403),2))</f>
        <v/>
      </c>
      <c r="D211" s="19">
        <f>IF($A211="","",ROUND(SUMIF(项目台账!$C$4:$C$403,$A211,项目台账!$O$4:$O$403),2))</f>
        <v/>
      </c>
      <c r="E211" s="19">
        <f>IF($A211="","",ROUND($C211-$D211,2))</f>
        <v/>
      </c>
      <c r="F211" s="22">
        <f>IF($A211="","",COUNTIFS(项目台账!$C$4:$C$403,$A211,项目台账!$J$4:$J$403,""))</f>
        <v/>
      </c>
      <c r="G211" s="23">
        <f>IF($A211="","",IFERROR(LOOKUP(1,0/((资金日记账!$H$4:$H$2503=$A211)*(资金日记账!$J$4:$J$2503&gt;0)),资金日记账!$B$4:$B$2503),""))</f>
        <v/>
      </c>
      <c r="H211" s="13" t="n"/>
    </row>
    <row r="212">
      <c r="A212" s="17">
        <f>IF(基础资料!$E211="","",基础资料!$E211)</f>
        <v/>
      </c>
      <c r="B212" s="22">
        <f>IF($A212="","",COUNTIF(项目台账!$C$4:$C$403,$A212))</f>
        <v/>
      </c>
      <c r="C212" s="19">
        <f>IF($A212="","",ROUND(SUMIF(项目台账!$C$4:$C$403,$A212,项目台账!$M$4:$M$403),2))</f>
        <v/>
      </c>
      <c r="D212" s="19">
        <f>IF($A212="","",ROUND(SUMIF(项目台账!$C$4:$C$403,$A212,项目台账!$O$4:$O$403),2))</f>
        <v/>
      </c>
      <c r="E212" s="19">
        <f>IF($A212="","",ROUND($C212-$D212,2))</f>
        <v/>
      </c>
      <c r="F212" s="22">
        <f>IF($A212="","",COUNTIFS(项目台账!$C$4:$C$403,$A212,项目台账!$J$4:$J$403,""))</f>
        <v/>
      </c>
      <c r="G212" s="23">
        <f>IF($A212="","",IFERROR(LOOKUP(1,0/((资金日记账!$H$4:$H$2503=$A212)*(资金日记账!$J$4:$J$2503&gt;0)),资金日记账!$B$4:$B$2503),""))</f>
        <v/>
      </c>
      <c r="H212" s="13" t="n"/>
    </row>
    <row r="213">
      <c r="A213" s="17">
        <f>IF(基础资料!$E212="","",基础资料!$E212)</f>
        <v/>
      </c>
      <c r="B213" s="22">
        <f>IF($A213="","",COUNTIF(项目台账!$C$4:$C$403,$A213))</f>
        <v/>
      </c>
      <c r="C213" s="19">
        <f>IF($A213="","",ROUND(SUMIF(项目台账!$C$4:$C$403,$A213,项目台账!$M$4:$M$403),2))</f>
        <v/>
      </c>
      <c r="D213" s="19">
        <f>IF($A213="","",ROUND(SUMIF(项目台账!$C$4:$C$403,$A213,项目台账!$O$4:$O$403),2))</f>
        <v/>
      </c>
      <c r="E213" s="19">
        <f>IF($A213="","",ROUND($C213-$D213,2))</f>
        <v/>
      </c>
      <c r="F213" s="22">
        <f>IF($A213="","",COUNTIFS(项目台账!$C$4:$C$403,$A213,项目台账!$J$4:$J$403,""))</f>
        <v/>
      </c>
      <c r="G213" s="23">
        <f>IF($A213="","",IFERROR(LOOKUP(1,0/((资金日记账!$H$4:$H$2503=$A213)*(资金日记账!$J$4:$J$2503&gt;0)),资金日记账!$B$4:$B$2503),""))</f>
        <v/>
      </c>
      <c r="H213" s="13" t="n"/>
    </row>
    <row r="214">
      <c r="A214" s="17">
        <f>IF(基础资料!$E213="","",基础资料!$E213)</f>
        <v/>
      </c>
      <c r="B214" s="22">
        <f>IF($A214="","",COUNTIF(项目台账!$C$4:$C$403,$A214))</f>
        <v/>
      </c>
      <c r="C214" s="19">
        <f>IF($A214="","",ROUND(SUMIF(项目台账!$C$4:$C$403,$A214,项目台账!$M$4:$M$403),2))</f>
        <v/>
      </c>
      <c r="D214" s="19">
        <f>IF($A214="","",ROUND(SUMIF(项目台账!$C$4:$C$403,$A214,项目台账!$O$4:$O$403),2))</f>
        <v/>
      </c>
      <c r="E214" s="19">
        <f>IF($A214="","",ROUND($C214-$D214,2))</f>
        <v/>
      </c>
      <c r="F214" s="22">
        <f>IF($A214="","",COUNTIFS(项目台账!$C$4:$C$403,$A214,项目台账!$J$4:$J$403,""))</f>
        <v/>
      </c>
      <c r="G214" s="23">
        <f>IF($A214="","",IFERROR(LOOKUP(1,0/((资金日记账!$H$4:$H$2503=$A214)*(资金日记账!$J$4:$J$2503&gt;0)),资金日记账!$B$4:$B$2503),""))</f>
        <v/>
      </c>
      <c r="H214" s="13" t="n"/>
    </row>
    <row r="215">
      <c r="A215" s="17">
        <f>IF(基础资料!$E214="","",基础资料!$E214)</f>
        <v/>
      </c>
      <c r="B215" s="22">
        <f>IF($A215="","",COUNTIF(项目台账!$C$4:$C$403,$A215))</f>
        <v/>
      </c>
      <c r="C215" s="19">
        <f>IF($A215="","",ROUND(SUMIF(项目台账!$C$4:$C$403,$A215,项目台账!$M$4:$M$403),2))</f>
        <v/>
      </c>
      <c r="D215" s="19">
        <f>IF($A215="","",ROUND(SUMIF(项目台账!$C$4:$C$403,$A215,项目台账!$O$4:$O$403),2))</f>
        <v/>
      </c>
      <c r="E215" s="19">
        <f>IF($A215="","",ROUND($C215-$D215,2))</f>
        <v/>
      </c>
      <c r="F215" s="22">
        <f>IF($A215="","",COUNTIFS(项目台账!$C$4:$C$403,$A215,项目台账!$J$4:$J$403,""))</f>
        <v/>
      </c>
      <c r="G215" s="23">
        <f>IF($A215="","",IFERROR(LOOKUP(1,0/((资金日记账!$H$4:$H$2503=$A215)*(资金日记账!$J$4:$J$2503&gt;0)),资金日记账!$B$4:$B$2503),""))</f>
        <v/>
      </c>
      <c r="H215" s="13" t="n"/>
    </row>
    <row r="216">
      <c r="A216" s="17">
        <f>IF(基础资料!$E215="","",基础资料!$E215)</f>
        <v/>
      </c>
      <c r="B216" s="22">
        <f>IF($A216="","",COUNTIF(项目台账!$C$4:$C$403,$A216))</f>
        <v/>
      </c>
      <c r="C216" s="19">
        <f>IF($A216="","",ROUND(SUMIF(项目台账!$C$4:$C$403,$A216,项目台账!$M$4:$M$403),2))</f>
        <v/>
      </c>
      <c r="D216" s="19">
        <f>IF($A216="","",ROUND(SUMIF(项目台账!$C$4:$C$403,$A216,项目台账!$O$4:$O$403),2))</f>
        <v/>
      </c>
      <c r="E216" s="19">
        <f>IF($A216="","",ROUND($C216-$D216,2))</f>
        <v/>
      </c>
      <c r="F216" s="22">
        <f>IF($A216="","",COUNTIFS(项目台账!$C$4:$C$403,$A216,项目台账!$J$4:$J$403,""))</f>
        <v/>
      </c>
      <c r="G216" s="23">
        <f>IF($A216="","",IFERROR(LOOKUP(1,0/((资金日记账!$H$4:$H$2503=$A216)*(资金日记账!$J$4:$J$2503&gt;0)),资金日记账!$B$4:$B$2503),""))</f>
        <v/>
      </c>
      <c r="H216" s="13" t="n"/>
    </row>
    <row r="217">
      <c r="A217" s="17">
        <f>IF(基础资料!$E216="","",基础资料!$E216)</f>
        <v/>
      </c>
      <c r="B217" s="22">
        <f>IF($A217="","",COUNTIF(项目台账!$C$4:$C$403,$A217))</f>
        <v/>
      </c>
      <c r="C217" s="19">
        <f>IF($A217="","",ROUND(SUMIF(项目台账!$C$4:$C$403,$A217,项目台账!$M$4:$M$403),2))</f>
        <v/>
      </c>
      <c r="D217" s="19">
        <f>IF($A217="","",ROUND(SUMIF(项目台账!$C$4:$C$403,$A217,项目台账!$O$4:$O$403),2))</f>
        <v/>
      </c>
      <c r="E217" s="19">
        <f>IF($A217="","",ROUND($C217-$D217,2))</f>
        <v/>
      </c>
      <c r="F217" s="22">
        <f>IF($A217="","",COUNTIFS(项目台账!$C$4:$C$403,$A217,项目台账!$J$4:$J$403,""))</f>
        <v/>
      </c>
      <c r="G217" s="23">
        <f>IF($A217="","",IFERROR(LOOKUP(1,0/((资金日记账!$H$4:$H$2503=$A217)*(资金日记账!$J$4:$J$2503&gt;0)),资金日记账!$B$4:$B$2503),""))</f>
        <v/>
      </c>
      <c r="H217" s="13" t="n"/>
    </row>
    <row r="218">
      <c r="A218" s="17">
        <f>IF(基础资料!$E217="","",基础资料!$E217)</f>
        <v/>
      </c>
      <c r="B218" s="22">
        <f>IF($A218="","",COUNTIF(项目台账!$C$4:$C$403,$A218))</f>
        <v/>
      </c>
      <c r="C218" s="19">
        <f>IF($A218="","",ROUND(SUMIF(项目台账!$C$4:$C$403,$A218,项目台账!$M$4:$M$403),2))</f>
        <v/>
      </c>
      <c r="D218" s="19">
        <f>IF($A218="","",ROUND(SUMIF(项目台账!$C$4:$C$403,$A218,项目台账!$O$4:$O$403),2))</f>
        <v/>
      </c>
      <c r="E218" s="19">
        <f>IF($A218="","",ROUND($C218-$D218,2))</f>
        <v/>
      </c>
      <c r="F218" s="22">
        <f>IF($A218="","",COUNTIFS(项目台账!$C$4:$C$403,$A218,项目台账!$J$4:$J$403,""))</f>
        <v/>
      </c>
      <c r="G218" s="23">
        <f>IF($A218="","",IFERROR(LOOKUP(1,0/((资金日记账!$H$4:$H$2503=$A218)*(资金日记账!$J$4:$J$2503&gt;0)),资金日记账!$B$4:$B$2503),""))</f>
        <v/>
      </c>
      <c r="H218" s="13" t="n"/>
    </row>
    <row r="219">
      <c r="A219" s="17">
        <f>IF(基础资料!$E218="","",基础资料!$E218)</f>
        <v/>
      </c>
      <c r="B219" s="22">
        <f>IF($A219="","",COUNTIF(项目台账!$C$4:$C$403,$A219))</f>
        <v/>
      </c>
      <c r="C219" s="19">
        <f>IF($A219="","",ROUND(SUMIF(项目台账!$C$4:$C$403,$A219,项目台账!$M$4:$M$403),2))</f>
        <v/>
      </c>
      <c r="D219" s="19">
        <f>IF($A219="","",ROUND(SUMIF(项目台账!$C$4:$C$403,$A219,项目台账!$O$4:$O$403),2))</f>
        <v/>
      </c>
      <c r="E219" s="19">
        <f>IF($A219="","",ROUND($C219-$D219,2))</f>
        <v/>
      </c>
      <c r="F219" s="22">
        <f>IF($A219="","",COUNTIFS(项目台账!$C$4:$C$403,$A219,项目台账!$J$4:$J$403,""))</f>
        <v/>
      </c>
      <c r="G219" s="23">
        <f>IF($A219="","",IFERROR(LOOKUP(1,0/((资金日记账!$H$4:$H$2503=$A219)*(资金日记账!$J$4:$J$2503&gt;0)),资金日记账!$B$4:$B$2503),""))</f>
        <v/>
      </c>
      <c r="H219" s="13" t="n"/>
    </row>
    <row r="220">
      <c r="A220" s="17">
        <f>IF(基础资料!$E219="","",基础资料!$E219)</f>
        <v/>
      </c>
      <c r="B220" s="22">
        <f>IF($A220="","",COUNTIF(项目台账!$C$4:$C$403,$A220))</f>
        <v/>
      </c>
      <c r="C220" s="19">
        <f>IF($A220="","",ROUND(SUMIF(项目台账!$C$4:$C$403,$A220,项目台账!$M$4:$M$403),2))</f>
        <v/>
      </c>
      <c r="D220" s="19">
        <f>IF($A220="","",ROUND(SUMIF(项目台账!$C$4:$C$403,$A220,项目台账!$O$4:$O$403),2))</f>
        <v/>
      </c>
      <c r="E220" s="19">
        <f>IF($A220="","",ROUND($C220-$D220,2))</f>
        <v/>
      </c>
      <c r="F220" s="22">
        <f>IF($A220="","",COUNTIFS(项目台账!$C$4:$C$403,$A220,项目台账!$J$4:$J$403,""))</f>
        <v/>
      </c>
      <c r="G220" s="23">
        <f>IF($A220="","",IFERROR(LOOKUP(1,0/((资金日记账!$H$4:$H$2503=$A220)*(资金日记账!$J$4:$J$2503&gt;0)),资金日记账!$B$4:$B$2503),""))</f>
        <v/>
      </c>
      <c r="H220" s="13" t="n"/>
    </row>
    <row r="221">
      <c r="A221" s="17">
        <f>IF(基础资料!$E220="","",基础资料!$E220)</f>
        <v/>
      </c>
      <c r="B221" s="22">
        <f>IF($A221="","",COUNTIF(项目台账!$C$4:$C$403,$A221))</f>
        <v/>
      </c>
      <c r="C221" s="19">
        <f>IF($A221="","",ROUND(SUMIF(项目台账!$C$4:$C$403,$A221,项目台账!$M$4:$M$403),2))</f>
        <v/>
      </c>
      <c r="D221" s="19">
        <f>IF($A221="","",ROUND(SUMIF(项目台账!$C$4:$C$403,$A221,项目台账!$O$4:$O$403),2))</f>
        <v/>
      </c>
      <c r="E221" s="19">
        <f>IF($A221="","",ROUND($C221-$D221,2))</f>
        <v/>
      </c>
      <c r="F221" s="22">
        <f>IF($A221="","",COUNTIFS(项目台账!$C$4:$C$403,$A221,项目台账!$J$4:$J$403,""))</f>
        <v/>
      </c>
      <c r="G221" s="23">
        <f>IF($A221="","",IFERROR(LOOKUP(1,0/((资金日记账!$H$4:$H$2503=$A221)*(资金日记账!$J$4:$J$2503&gt;0)),资金日记账!$B$4:$B$2503),""))</f>
        <v/>
      </c>
      <c r="H221" s="13" t="n"/>
    </row>
    <row r="222">
      <c r="A222" s="17">
        <f>IF(基础资料!$E221="","",基础资料!$E221)</f>
        <v/>
      </c>
      <c r="B222" s="22">
        <f>IF($A222="","",COUNTIF(项目台账!$C$4:$C$403,$A222))</f>
        <v/>
      </c>
      <c r="C222" s="19">
        <f>IF($A222="","",ROUND(SUMIF(项目台账!$C$4:$C$403,$A222,项目台账!$M$4:$M$403),2))</f>
        <v/>
      </c>
      <c r="D222" s="19">
        <f>IF($A222="","",ROUND(SUMIF(项目台账!$C$4:$C$403,$A222,项目台账!$O$4:$O$403),2))</f>
        <v/>
      </c>
      <c r="E222" s="19">
        <f>IF($A222="","",ROUND($C222-$D222,2))</f>
        <v/>
      </c>
      <c r="F222" s="22">
        <f>IF($A222="","",COUNTIFS(项目台账!$C$4:$C$403,$A222,项目台账!$J$4:$J$403,""))</f>
        <v/>
      </c>
      <c r="G222" s="23">
        <f>IF($A222="","",IFERROR(LOOKUP(1,0/((资金日记账!$H$4:$H$2503=$A222)*(资金日记账!$J$4:$J$2503&gt;0)),资金日记账!$B$4:$B$2503),""))</f>
        <v/>
      </c>
      <c r="H222" s="13" t="n"/>
    </row>
    <row r="223">
      <c r="A223" s="17">
        <f>IF(基础资料!$E222="","",基础资料!$E222)</f>
        <v/>
      </c>
      <c r="B223" s="22">
        <f>IF($A223="","",COUNTIF(项目台账!$C$4:$C$403,$A223))</f>
        <v/>
      </c>
      <c r="C223" s="19">
        <f>IF($A223="","",ROUND(SUMIF(项目台账!$C$4:$C$403,$A223,项目台账!$M$4:$M$403),2))</f>
        <v/>
      </c>
      <c r="D223" s="19">
        <f>IF($A223="","",ROUND(SUMIF(项目台账!$C$4:$C$403,$A223,项目台账!$O$4:$O$403),2))</f>
        <v/>
      </c>
      <c r="E223" s="19">
        <f>IF($A223="","",ROUND($C223-$D223,2))</f>
        <v/>
      </c>
      <c r="F223" s="22">
        <f>IF($A223="","",COUNTIFS(项目台账!$C$4:$C$403,$A223,项目台账!$J$4:$J$403,""))</f>
        <v/>
      </c>
      <c r="G223" s="23">
        <f>IF($A223="","",IFERROR(LOOKUP(1,0/((资金日记账!$H$4:$H$2503=$A223)*(资金日记账!$J$4:$J$2503&gt;0)),资金日记账!$B$4:$B$2503),""))</f>
        <v/>
      </c>
      <c r="H223" s="13" t="n"/>
    </row>
    <row r="224">
      <c r="A224" s="17">
        <f>IF(基础资料!$E223="","",基础资料!$E223)</f>
        <v/>
      </c>
      <c r="B224" s="22">
        <f>IF($A224="","",COUNTIF(项目台账!$C$4:$C$403,$A224))</f>
        <v/>
      </c>
      <c r="C224" s="19">
        <f>IF($A224="","",ROUND(SUMIF(项目台账!$C$4:$C$403,$A224,项目台账!$M$4:$M$403),2))</f>
        <v/>
      </c>
      <c r="D224" s="19">
        <f>IF($A224="","",ROUND(SUMIF(项目台账!$C$4:$C$403,$A224,项目台账!$O$4:$O$403),2))</f>
        <v/>
      </c>
      <c r="E224" s="19">
        <f>IF($A224="","",ROUND($C224-$D224,2))</f>
        <v/>
      </c>
      <c r="F224" s="22">
        <f>IF($A224="","",COUNTIFS(项目台账!$C$4:$C$403,$A224,项目台账!$J$4:$J$403,""))</f>
        <v/>
      </c>
      <c r="G224" s="23">
        <f>IF($A224="","",IFERROR(LOOKUP(1,0/((资金日记账!$H$4:$H$2503=$A224)*(资金日记账!$J$4:$J$2503&gt;0)),资金日记账!$B$4:$B$2503),""))</f>
        <v/>
      </c>
      <c r="H224" s="13" t="n"/>
    </row>
    <row r="225">
      <c r="A225" s="17">
        <f>IF(基础资料!$E224="","",基础资料!$E224)</f>
        <v/>
      </c>
      <c r="B225" s="22">
        <f>IF($A225="","",COUNTIF(项目台账!$C$4:$C$403,$A225))</f>
        <v/>
      </c>
      <c r="C225" s="19">
        <f>IF($A225="","",ROUND(SUMIF(项目台账!$C$4:$C$403,$A225,项目台账!$M$4:$M$403),2))</f>
        <v/>
      </c>
      <c r="D225" s="19">
        <f>IF($A225="","",ROUND(SUMIF(项目台账!$C$4:$C$403,$A225,项目台账!$O$4:$O$403),2))</f>
        <v/>
      </c>
      <c r="E225" s="19">
        <f>IF($A225="","",ROUND($C225-$D225,2))</f>
        <v/>
      </c>
      <c r="F225" s="22">
        <f>IF($A225="","",COUNTIFS(项目台账!$C$4:$C$403,$A225,项目台账!$J$4:$J$403,""))</f>
        <v/>
      </c>
      <c r="G225" s="23">
        <f>IF($A225="","",IFERROR(LOOKUP(1,0/((资金日记账!$H$4:$H$2503=$A225)*(资金日记账!$J$4:$J$2503&gt;0)),资金日记账!$B$4:$B$2503),""))</f>
        <v/>
      </c>
      <c r="H225" s="13" t="n"/>
    </row>
    <row r="226">
      <c r="A226" s="17">
        <f>IF(基础资料!$E225="","",基础资料!$E225)</f>
        <v/>
      </c>
      <c r="B226" s="22">
        <f>IF($A226="","",COUNTIF(项目台账!$C$4:$C$403,$A226))</f>
        <v/>
      </c>
      <c r="C226" s="19">
        <f>IF($A226="","",ROUND(SUMIF(项目台账!$C$4:$C$403,$A226,项目台账!$M$4:$M$403),2))</f>
        <v/>
      </c>
      <c r="D226" s="19">
        <f>IF($A226="","",ROUND(SUMIF(项目台账!$C$4:$C$403,$A226,项目台账!$O$4:$O$403),2))</f>
        <v/>
      </c>
      <c r="E226" s="19">
        <f>IF($A226="","",ROUND($C226-$D226,2))</f>
        <v/>
      </c>
      <c r="F226" s="22">
        <f>IF($A226="","",COUNTIFS(项目台账!$C$4:$C$403,$A226,项目台账!$J$4:$J$403,""))</f>
        <v/>
      </c>
      <c r="G226" s="23">
        <f>IF($A226="","",IFERROR(LOOKUP(1,0/((资金日记账!$H$4:$H$2503=$A226)*(资金日记账!$J$4:$J$2503&gt;0)),资金日记账!$B$4:$B$2503),""))</f>
        <v/>
      </c>
      <c r="H226" s="13" t="n"/>
    </row>
    <row r="227">
      <c r="A227" s="17">
        <f>IF(基础资料!$E226="","",基础资料!$E226)</f>
        <v/>
      </c>
      <c r="B227" s="22">
        <f>IF($A227="","",COUNTIF(项目台账!$C$4:$C$403,$A227))</f>
        <v/>
      </c>
      <c r="C227" s="19">
        <f>IF($A227="","",ROUND(SUMIF(项目台账!$C$4:$C$403,$A227,项目台账!$M$4:$M$403),2))</f>
        <v/>
      </c>
      <c r="D227" s="19">
        <f>IF($A227="","",ROUND(SUMIF(项目台账!$C$4:$C$403,$A227,项目台账!$O$4:$O$403),2))</f>
        <v/>
      </c>
      <c r="E227" s="19">
        <f>IF($A227="","",ROUND($C227-$D227,2))</f>
        <v/>
      </c>
      <c r="F227" s="22">
        <f>IF($A227="","",COUNTIFS(项目台账!$C$4:$C$403,$A227,项目台账!$J$4:$J$403,""))</f>
        <v/>
      </c>
      <c r="G227" s="23">
        <f>IF($A227="","",IFERROR(LOOKUP(1,0/((资金日记账!$H$4:$H$2503=$A227)*(资金日记账!$J$4:$J$2503&gt;0)),资金日记账!$B$4:$B$2503),""))</f>
        <v/>
      </c>
      <c r="H227" s="13" t="n"/>
    </row>
    <row r="228">
      <c r="A228" s="17">
        <f>IF(基础资料!$E227="","",基础资料!$E227)</f>
        <v/>
      </c>
      <c r="B228" s="22">
        <f>IF($A228="","",COUNTIF(项目台账!$C$4:$C$403,$A228))</f>
        <v/>
      </c>
      <c r="C228" s="19">
        <f>IF($A228="","",ROUND(SUMIF(项目台账!$C$4:$C$403,$A228,项目台账!$M$4:$M$403),2))</f>
        <v/>
      </c>
      <c r="D228" s="19">
        <f>IF($A228="","",ROUND(SUMIF(项目台账!$C$4:$C$403,$A228,项目台账!$O$4:$O$403),2))</f>
        <v/>
      </c>
      <c r="E228" s="19">
        <f>IF($A228="","",ROUND($C228-$D228,2))</f>
        <v/>
      </c>
      <c r="F228" s="22">
        <f>IF($A228="","",COUNTIFS(项目台账!$C$4:$C$403,$A228,项目台账!$J$4:$J$403,""))</f>
        <v/>
      </c>
      <c r="G228" s="23">
        <f>IF($A228="","",IFERROR(LOOKUP(1,0/((资金日记账!$H$4:$H$2503=$A228)*(资金日记账!$J$4:$J$2503&gt;0)),资金日记账!$B$4:$B$2503),""))</f>
        <v/>
      </c>
      <c r="H228" s="13" t="n"/>
    </row>
    <row r="229">
      <c r="A229" s="17">
        <f>IF(基础资料!$E228="","",基础资料!$E228)</f>
        <v/>
      </c>
      <c r="B229" s="22">
        <f>IF($A229="","",COUNTIF(项目台账!$C$4:$C$403,$A229))</f>
        <v/>
      </c>
      <c r="C229" s="19">
        <f>IF($A229="","",ROUND(SUMIF(项目台账!$C$4:$C$403,$A229,项目台账!$M$4:$M$403),2))</f>
        <v/>
      </c>
      <c r="D229" s="19">
        <f>IF($A229="","",ROUND(SUMIF(项目台账!$C$4:$C$403,$A229,项目台账!$O$4:$O$403),2))</f>
        <v/>
      </c>
      <c r="E229" s="19">
        <f>IF($A229="","",ROUND($C229-$D229,2))</f>
        <v/>
      </c>
      <c r="F229" s="22">
        <f>IF($A229="","",COUNTIFS(项目台账!$C$4:$C$403,$A229,项目台账!$J$4:$J$403,""))</f>
        <v/>
      </c>
      <c r="G229" s="23">
        <f>IF($A229="","",IFERROR(LOOKUP(1,0/((资金日记账!$H$4:$H$2503=$A229)*(资金日记账!$J$4:$J$2503&gt;0)),资金日记账!$B$4:$B$2503),""))</f>
        <v/>
      </c>
      <c r="H229" s="13" t="n"/>
    </row>
    <row r="230">
      <c r="A230" s="17">
        <f>IF(基础资料!$E229="","",基础资料!$E229)</f>
        <v/>
      </c>
      <c r="B230" s="22">
        <f>IF($A230="","",COUNTIF(项目台账!$C$4:$C$403,$A230))</f>
        <v/>
      </c>
      <c r="C230" s="19">
        <f>IF($A230="","",ROUND(SUMIF(项目台账!$C$4:$C$403,$A230,项目台账!$M$4:$M$403),2))</f>
        <v/>
      </c>
      <c r="D230" s="19">
        <f>IF($A230="","",ROUND(SUMIF(项目台账!$C$4:$C$403,$A230,项目台账!$O$4:$O$403),2))</f>
        <v/>
      </c>
      <c r="E230" s="19">
        <f>IF($A230="","",ROUND($C230-$D230,2))</f>
        <v/>
      </c>
      <c r="F230" s="22">
        <f>IF($A230="","",COUNTIFS(项目台账!$C$4:$C$403,$A230,项目台账!$J$4:$J$403,""))</f>
        <v/>
      </c>
      <c r="G230" s="23">
        <f>IF($A230="","",IFERROR(LOOKUP(1,0/((资金日记账!$H$4:$H$2503=$A230)*(资金日记账!$J$4:$J$2503&gt;0)),资金日记账!$B$4:$B$2503),""))</f>
        <v/>
      </c>
      <c r="H230" s="13" t="n"/>
    </row>
    <row r="231">
      <c r="A231" s="17">
        <f>IF(基础资料!$E230="","",基础资料!$E230)</f>
        <v/>
      </c>
      <c r="B231" s="22">
        <f>IF($A231="","",COUNTIF(项目台账!$C$4:$C$403,$A231))</f>
        <v/>
      </c>
      <c r="C231" s="19">
        <f>IF($A231="","",ROUND(SUMIF(项目台账!$C$4:$C$403,$A231,项目台账!$M$4:$M$403),2))</f>
        <v/>
      </c>
      <c r="D231" s="19">
        <f>IF($A231="","",ROUND(SUMIF(项目台账!$C$4:$C$403,$A231,项目台账!$O$4:$O$403),2))</f>
        <v/>
      </c>
      <c r="E231" s="19">
        <f>IF($A231="","",ROUND($C231-$D231,2))</f>
        <v/>
      </c>
      <c r="F231" s="22">
        <f>IF($A231="","",COUNTIFS(项目台账!$C$4:$C$403,$A231,项目台账!$J$4:$J$403,""))</f>
        <v/>
      </c>
      <c r="G231" s="23">
        <f>IF($A231="","",IFERROR(LOOKUP(1,0/((资金日记账!$H$4:$H$2503=$A231)*(资金日记账!$J$4:$J$2503&gt;0)),资金日记账!$B$4:$B$2503),""))</f>
        <v/>
      </c>
      <c r="H231" s="13" t="n"/>
    </row>
    <row r="232">
      <c r="A232" s="17">
        <f>IF(基础资料!$E231="","",基础资料!$E231)</f>
        <v/>
      </c>
      <c r="B232" s="22">
        <f>IF($A232="","",COUNTIF(项目台账!$C$4:$C$403,$A232))</f>
        <v/>
      </c>
      <c r="C232" s="19">
        <f>IF($A232="","",ROUND(SUMIF(项目台账!$C$4:$C$403,$A232,项目台账!$M$4:$M$403),2))</f>
        <v/>
      </c>
      <c r="D232" s="19">
        <f>IF($A232="","",ROUND(SUMIF(项目台账!$C$4:$C$403,$A232,项目台账!$O$4:$O$403),2))</f>
        <v/>
      </c>
      <c r="E232" s="19">
        <f>IF($A232="","",ROUND($C232-$D232,2))</f>
        <v/>
      </c>
      <c r="F232" s="22">
        <f>IF($A232="","",COUNTIFS(项目台账!$C$4:$C$403,$A232,项目台账!$J$4:$J$403,""))</f>
        <v/>
      </c>
      <c r="G232" s="23">
        <f>IF($A232="","",IFERROR(LOOKUP(1,0/((资金日记账!$H$4:$H$2503=$A232)*(资金日记账!$J$4:$J$2503&gt;0)),资金日记账!$B$4:$B$2503),""))</f>
        <v/>
      </c>
      <c r="H232" s="13" t="n"/>
    </row>
    <row r="233">
      <c r="A233" s="17">
        <f>IF(基础资料!$E232="","",基础资料!$E232)</f>
        <v/>
      </c>
      <c r="B233" s="22">
        <f>IF($A233="","",COUNTIF(项目台账!$C$4:$C$403,$A233))</f>
        <v/>
      </c>
      <c r="C233" s="19">
        <f>IF($A233="","",ROUND(SUMIF(项目台账!$C$4:$C$403,$A233,项目台账!$M$4:$M$403),2))</f>
        <v/>
      </c>
      <c r="D233" s="19">
        <f>IF($A233="","",ROUND(SUMIF(项目台账!$C$4:$C$403,$A233,项目台账!$O$4:$O$403),2))</f>
        <v/>
      </c>
      <c r="E233" s="19">
        <f>IF($A233="","",ROUND($C233-$D233,2))</f>
        <v/>
      </c>
      <c r="F233" s="22">
        <f>IF($A233="","",COUNTIFS(项目台账!$C$4:$C$403,$A233,项目台账!$J$4:$J$403,""))</f>
        <v/>
      </c>
      <c r="G233" s="23">
        <f>IF($A233="","",IFERROR(LOOKUP(1,0/((资金日记账!$H$4:$H$2503=$A233)*(资金日记账!$J$4:$J$2503&gt;0)),资金日记账!$B$4:$B$2503),""))</f>
        <v/>
      </c>
      <c r="H233" s="13" t="n"/>
    </row>
    <row r="234">
      <c r="A234" s="17">
        <f>IF(基础资料!$E233="","",基础资料!$E233)</f>
        <v/>
      </c>
      <c r="B234" s="22">
        <f>IF($A234="","",COUNTIF(项目台账!$C$4:$C$403,$A234))</f>
        <v/>
      </c>
      <c r="C234" s="19">
        <f>IF($A234="","",ROUND(SUMIF(项目台账!$C$4:$C$403,$A234,项目台账!$M$4:$M$403),2))</f>
        <v/>
      </c>
      <c r="D234" s="19">
        <f>IF($A234="","",ROUND(SUMIF(项目台账!$C$4:$C$403,$A234,项目台账!$O$4:$O$403),2))</f>
        <v/>
      </c>
      <c r="E234" s="19">
        <f>IF($A234="","",ROUND($C234-$D234,2))</f>
        <v/>
      </c>
      <c r="F234" s="22">
        <f>IF($A234="","",COUNTIFS(项目台账!$C$4:$C$403,$A234,项目台账!$J$4:$J$403,""))</f>
        <v/>
      </c>
      <c r="G234" s="23">
        <f>IF($A234="","",IFERROR(LOOKUP(1,0/((资金日记账!$H$4:$H$2503=$A234)*(资金日记账!$J$4:$J$2503&gt;0)),资金日记账!$B$4:$B$2503),""))</f>
        <v/>
      </c>
      <c r="H234" s="13" t="n"/>
    </row>
    <row r="235">
      <c r="A235" s="17">
        <f>IF(基础资料!$E234="","",基础资料!$E234)</f>
        <v/>
      </c>
      <c r="B235" s="22">
        <f>IF($A235="","",COUNTIF(项目台账!$C$4:$C$403,$A235))</f>
        <v/>
      </c>
      <c r="C235" s="19">
        <f>IF($A235="","",ROUND(SUMIF(项目台账!$C$4:$C$403,$A235,项目台账!$M$4:$M$403),2))</f>
        <v/>
      </c>
      <c r="D235" s="19">
        <f>IF($A235="","",ROUND(SUMIF(项目台账!$C$4:$C$403,$A235,项目台账!$O$4:$O$403),2))</f>
        <v/>
      </c>
      <c r="E235" s="19">
        <f>IF($A235="","",ROUND($C235-$D235,2))</f>
        <v/>
      </c>
      <c r="F235" s="22">
        <f>IF($A235="","",COUNTIFS(项目台账!$C$4:$C$403,$A235,项目台账!$J$4:$J$403,""))</f>
        <v/>
      </c>
      <c r="G235" s="23">
        <f>IF($A235="","",IFERROR(LOOKUP(1,0/((资金日记账!$H$4:$H$2503=$A235)*(资金日记账!$J$4:$J$2503&gt;0)),资金日记账!$B$4:$B$2503),""))</f>
        <v/>
      </c>
      <c r="H235" s="13" t="n"/>
    </row>
    <row r="236">
      <c r="A236" s="17">
        <f>IF(基础资料!$E235="","",基础资料!$E235)</f>
        <v/>
      </c>
      <c r="B236" s="22">
        <f>IF($A236="","",COUNTIF(项目台账!$C$4:$C$403,$A236))</f>
        <v/>
      </c>
      <c r="C236" s="19">
        <f>IF($A236="","",ROUND(SUMIF(项目台账!$C$4:$C$403,$A236,项目台账!$M$4:$M$403),2))</f>
        <v/>
      </c>
      <c r="D236" s="19">
        <f>IF($A236="","",ROUND(SUMIF(项目台账!$C$4:$C$403,$A236,项目台账!$O$4:$O$403),2))</f>
        <v/>
      </c>
      <c r="E236" s="19">
        <f>IF($A236="","",ROUND($C236-$D236,2))</f>
        <v/>
      </c>
      <c r="F236" s="22">
        <f>IF($A236="","",COUNTIFS(项目台账!$C$4:$C$403,$A236,项目台账!$J$4:$J$403,""))</f>
        <v/>
      </c>
      <c r="G236" s="23">
        <f>IF($A236="","",IFERROR(LOOKUP(1,0/((资金日记账!$H$4:$H$2503=$A236)*(资金日记账!$J$4:$J$2503&gt;0)),资金日记账!$B$4:$B$2503),""))</f>
        <v/>
      </c>
      <c r="H236" s="13" t="n"/>
    </row>
    <row r="237">
      <c r="A237" s="17">
        <f>IF(基础资料!$E236="","",基础资料!$E236)</f>
        <v/>
      </c>
      <c r="B237" s="22">
        <f>IF($A237="","",COUNTIF(项目台账!$C$4:$C$403,$A237))</f>
        <v/>
      </c>
      <c r="C237" s="19">
        <f>IF($A237="","",ROUND(SUMIF(项目台账!$C$4:$C$403,$A237,项目台账!$M$4:$M$403),2))</f>
        <v/>
      </c>
      <c r="D237" s="19">
        <f>IF($A237="","",ROUND(SUMIF(项目台账!$C$4:$C$403,$A237,项目台账!$O$4:$O$403),2))</f>
        <v/>
      </c>
      <c r="E237" s="19">
        <f>IF($A237="","",ROUND($C237-$D237,2))</f>
        <v/>
      </c>
      <c r="F237" s="22">
        <f>IF($A237="","",COUNTIFS(项目台账!$C$4:$C$403,$A237,项目台账!$J$4:$J$403,""))</f>
        <v/>
      </c>
      <c r="G237" s="23">
        <f>IF($A237="","",IFERROR(LOOKUP(1,0/((资金日记账!$H$4:$H$2503=$A237)*(资金日记账!$J$4:$J$2503&gt;0)),资金日记账!$B$4:$B$2503),""))</f>
        <v/>
      </c>
      <c r="H237" s="13" t="n"/>
    </row>
    <row r="238">
      <c r="A238" s="17">
        <f>IF(基础资料!$E237="","",基础资料!$E237)</f>
        <v/>
      </c>
      <c r="B238" s="22">
        <f>IF($A238="","",COUNTIF(项目台账!$C$4:$C$403,$A238))</f>
        <v/>
      </c>
      <c r="C238" s="19">
        <f>IF($A238="","",ROUND(SUMIF(项目台账!$C$4:$C$403,$A238,项目台账!$M$4:$M$403),2))</f>
        <v/>
      </c>
      <c r="D238" s="19">
        <f>IF($A238="","",ROUND(SUMIF(项目台账!$C$4:$C$403,$A238,项目台账!$O$4:$O$403),2))</f>
        <v/>
      </c>
      <c r="E238" s="19">
        <f>IF($A238="","",ROUND($C238-$D238,2))</f>
        <v/>
      </c>
      <c r="F238" s="22">
        <f>IF($A238="","",COUNTIFS(项目台账!$C$4:$C$403,$A238,项目台账!$J$4:$J$403,""))</f>
        <v/>
      </c>
      <c r="G238" s="23">
        <f>IF($A238="","",IFERROR(LOOKUP(1,0/((资金日记账!$H$4:$H$2503=$A238)*(资金日记账!$J$4:$J$2503&gt;0)),资金日记账!$B$4:$B$2503),""))</f>
        <v/>
      </c>
      <c r="H238" s="13" t="n"/>
    </row>
    <row r="239">
      <c r="A239" s="17">
        <f>IF(基础资料!$E238="","",基础资料!$E238)</f>
        <v/>
      </c>
      <c r="B239" s="22">
        <f>IF($A239="","",COUNTIF(项目台账!$C$4:$C$403,$A239))</f>
        <v/>
      </c>
      <c r="C239" s="19">
        <f>IF($A239="","",ROUND(SUMIF(项目台账!$C$4:$C$403,$A239,项目台账!$M$4:$M$403),2))</f>
        <v/>
      </c>
      <c r="D239" s="19">
        <f>IF($A239="","",ROUND(SUMIF(项目台账!$C$4:$C$403,$A239,项目台账!$O$4:$O$403),2))</f>
        <v/>
      </c>
      <c r="E239" s="19">
        <f>IF($A239="","",ROUND($C239-$D239,2))</f>
        <v/>
      </c>
      <c r="F239" s="22">
        <f>IF($A239="","",COUNTIFS(项目台账!$C$4:$C$403,$A239,项目台账!$J$4:$J$403,""))</f>
        <v/>
      </c>
      <c r="G239" s="23">
        <f>IF($A239="","",IFERROR(LOOKUP(1,0/((资金日记账!$H$4:$H$2503=$A239)*(资金日记账!$J$4:$J$2503&gt;0)),资金日记账!$B$4:$B$2503),""))</f>
        <v/>
      </c>
      <c r="H239" s="13" t="n"/>
    </row>
    <row r="240">
      <c r="A240" s="17">
        <f>IF(基础资料!$E239="","",基础资料!$E239)</f>
        <v/>
      </c>
      <c r="B240" s="22">
        <f>IF($A240="","",COUNTIF(项目台账!$C$4:$C$403,$A240))</f>
        <v/>
      </c>
      <c r="C240" s="19">
        <f>IF($A240="","",ROUND(SUMIF(项目台账!$C$4:$C$403,$A240,项目台账!$M$4:$M$403),2))</f>
        <v/>
      </c>
      <c r="D240" s="19">
        <f>IF($A240="","",ROUND(SUMIF(项目台账!$C$4:$C$403,$A240,项目台账!$O$4:$O$403),2))</f>
        <v/>
      </c>
      <c r="E240" s="19">
        <f>IF($A240="","",ROUND($C240-$D240,2))</f>
        <v/>
      </c>
      <c r="F240" s="22">
        <f>IF($A240="","",COUNTIFS(项目台账!$C$4:$C$403,$A240,项目台账!$J$4:$J$403,""))</f>
        <v/>
      </c>
      <c r="G240" s="23">
        <f>IF($A240="","",IFERROR(LOOKUP(1,0/((资金日记账!$H$4:$H$2503=$A240)*(资金日记账!$J$4:$J$2503&gt;0)),资金日记账!$B$4:$B$2503),""))</f>
        <v/>
      </c>
      <c r="H240" s="13" t="n"/>
    </row>
    <row r="241">
      <c r="A241" s="17">
        <f>IF(基础资料!$E240="","",基础资料!$E240)</f>
        <v/>
      </c>
      <c r="B241" s="22">
        <f>IF($A241="","",COUNTIF(项目台账!$C$4:$C$403,$A241))</f>
        <v/>
      </c>
      <c r="C241" s="19">
        <f>IF($A241="","",ROUND(SUMIF(项目台账!$C$4:$C$403,$A241,项目台账!$M$4:$M$403),2))</f>
        <v/>
      </c>
      <c r="D241" s="19">
        <f>IF($A241="","",ROUND(SUMIF(项目台账!$C$4:$C$403,$A241,项目台账!$O$4:$O$403),2))</f>
        <v/>
      </c>
      <c r="E241" s="19">
        <f>IF($A241="","",ROUND($C241-$D241,2))</f>
        <v/>
      </c>
      <c r="F241" s="22">
        <f>IF($A241="","",COUNTIFS(项目台账!$C$4:$C$403,$A241,项目台账!$J$4:$J$403,""))</f>
        <v/>
      </c>
      <c r="G241" s="23">
        <f>IF($A241="","",IFERROR(LOOKUP(1,0/((资金日记账!$H$4:$H$2503=$A241)*(资金日记账!$J$4:$J$2503&gt;0)),资金日记账!$B$4:$B$2503),""))</f>
        <v/>
      </c>
      <c r="H241" s="13" t="n"/>
    </row>
    <row r="242">
      <c r="A242" s="17">
        <f>IF(基础资料!$E241="","",基础资料!$E241)</f>
        <v/>
      </c>
      <c r="B242" s="22">
        <f>IF($A242="","",COUNTIF(项目台账!$C$4:$C$403,$A242))</f>
        <v/>
      </c>
      <c r="C242" s="19">
        <f>IF($A242="","",ROUND(SUMIF(项目台账!$C$4:$C$403,$A242,项目台账!$M$4:$M$403),2))</f>
        <v/>
      </c>
      <c r="D242" s="19">
        <f>IF($A242="","",ROUND(SUMIF(项目台账!$C$4:$C$403,$A242,项目台账!$O$4:$O$403),2))</f>
        <v/>
      </c>
      <c r="E242" s="19">
        <f>IF($A242="","",ROUND($C242-$D242,2))</f>
        <v/>
      </c>
      <c r="F242" s="22">
        <f>IF($A242="","",COUNTIFS(项目台账!$C$4:$C$403,$A242,项目台账!$J$4:$J$403,""))</f>
        <v/>
      </c>
      <c r="G242" s="23">
        <f>IF($A242="","",IFERROR(LOOKUP(1,0/((资金日记账!$H$4:$H$2503=$A242)*(资金日记账!$J$4:$J$2503&gt;0)),资金日记账!$B$4:$B$2503),""))</f>
        <v/>
      </c>
      <c r="H242" s="13" t="n"/>
    </row>
    <row r="243">
      <c r="A243" s="17">
        <f>IF(基础资料!$E242="","",基础资料!$E242)</f>
        <v/>
      </c>
      <c r="B243" s="22">
        <f>IF($A243="","",COUNTIF(项目台账!$C$4:$C$403,$A243))</f>
        <v/>
      </c>
      <c r="C243" s="19">
        <f>IF($A243="","",ROUND(SUMIF(项目台账!$C$4:$C$403,$A243,项目台账!$M$4:$M$403),2))</f>
        <v/>
      </c>
      <c r="D243" s="19">
        <f>IF($A243="","",ROUND(SUMIF(项目台账!$C$4:$C$403,$A243,项目台账!$O$4:$O$403),2))</f>
        <v/>
      </c>
      <c r="E243" s="19">
        <f>IF($A243="","",ROUND($C243-$D243,2))</f>
        <v/>
      </c>
      <c r="F243" s="22">
        <f>IF($A243="","",COUNTIFS(项目台账!$C$4:$C$403,$A243,项目台账!$J$4:$J$403,""))</f>
        <v/>
      </c>
      <c r="G243" s="23">
        <f>IF($A243="","",IFERROR(LOOKUP(1,0/((资金日记账!$H$4:$H$2503=$A243)*(资金日记账!$J$4:$J$2503&gt;0)),资金日记账!$B$4:$B$2503),""))</f>
        <v/>
      </c>
      <c r="H243" s="13" t="n"/>
    </row>
    <row r="244">
      <c r="A244" s="17">
        <f>IF(基础资料!$E243="","",基础资料!$E243)</f>
        <v/>
      </c>
      <c r="B244" s="22">
        <f>IF($A244="","",COUNTIF(项目台账!$C$4:$C$403,$A244))</f>
        <v/>
      </c>
      <c r="C244" s="19">
        <f>IF($A244="","",ROUND(SUMIF(项目台账!$C$4:$C$403,$A244,项目台账!$M$4:$M$403),2))</f>
        <v/>
      </c>
      <c r="D244" s="19">
        <f>IF($A244="","",ROUND(SUMIF(项目台账!$C$4:$C$403,$A244,项目台账!$O$4:$O$403),2))</f>
        <v/>
      </c>
      <c r="E244" s="19">
        <f>IF($A244="","",ROUND($C244-$D244,2))</f>
        <v/>
      </c>
      <c r="F244" s="22">
        <f>IF($A244="","",COUNTIFS(项目台账!$C$4:$C$403,$A244,项目台账!$J$4:$J$403,""))</f>
        <v/>
      </c>
      <c r="G244" s="23">
        <f>IF($A244="","",IFERROR(LOOKUP(1,0/((资金日记账!$H$4:$H$2503=$A244)*(资金日记账!$J$4:$J$2503&gt;0)),资金日记账!$B$4:$B$2503),""))</f>
        <v/>
      </c>
      <c r="H244" s="13" t="n"/>
    </row>
    <row r="245">
      <c r="A245" s="17">
        <f>IF(基础资料!$E244="","",基础资料!$E244)</f>
        <v/>
      </c>
      <c r="B245" s="22">
        <f>IF($A245="","",COUNTIF(项目台账!$C$4:$C$403,$A245))</f>
        <v/>
      </c>
      <c r="C245" s="19">
        <f>IF($A245="","",ROUND(SUMIF(项目台账!$C$4:$C$403,$A245,项目台账!$M$4:$M$403),2))</f>
        <v/>
      </c>
      <c r="D245" s="19">
        <f>IF($A245="","",ROUND(SUMIF(项目台账!$C$4:$C$403,$A245,项目台账!$O$4:$O$403),2))</f>
        <v/>
      </c>
      <c r="E245" s="19">
        <f>IF($A245="","",ROUND($C245-$D245,2))</f>
        <v/>
      </c>
      <c r="F245" s="22">
        <f>IF($A245="","",COUNTIFS(项目台账!$C$4:$C$403,$A245,项目台账!$J$4:$J$403,""))</f>
        <v/>
      </c>
      <c r="G245" s="23">
        <f>IF($A245="","",IFERROR(LOOKUP(1,0/((资金日记账!$H$4:$H$2503=$A245)*(资金日记账!$J$4:$J$2503&gt;0)),资金日记账!$B$4:$B$2503),""))</f>
        <v/>
      </c>
      <c r="H245" s="13" t="n"/>
    </row>
    <row r="246">
      <c r="A246" s="17">
        <f>IF(基础资料!$E245="","",基础资料!$E245)</f>
        <v/>
      </c>
      <c r="B246" s="22">
        <f>IF($A246="","",COUNTIF(项目台账!$C$4:$C$403,$A246))</f>
        <v/>
      </c>
      <c r="C246" s="19">
        <f>IF($A246="","",ROUND(SUMIF(项目台账!$C$4:$C$403,$A246,项目台账!$M$4:$M$403),2))</f>
        <v/>
      </c>
      <c r="D246" s="19">
        <f>IF($A246="","",ROUND(SUMIF(项目台账!$C$4:$C$403,$A246,项目台账!$O$4:$O$403),2))</f>
        <v/>
      </c>
      <c r="E246" s="19">
        <f>IF($A246="","",ROUND($C246-$D246,2))</f>
        <v/>
      </c>
      <c r="F246" s="22">
        <f>IF($A246="","",COUNTIFS(项目台账!$C$4:$C$403,$A246,项目台账!$J$4:$J$403,""))</f>
        <v/>
      </c>
      <c r="G246" s="23">
        <f>IF($A246="","",IFERROR(LOOKUP(1,0/((资金日记账!$H$4:$H$2503=$A246)*(资金日记账!$J$4:$J$2503&gt;0)),资金日记账!$B$4:$B$2503),""))</f>
        <v/>
      </c>
      <c r="H246" s="13" t="n"/>
    </row>
    <row r="247">
      <c r="A247" s="17">
        <f>IF(基础资料!$E246="","",基础资料!$E246)</f>
        <v/>
      </c>
      <c r="B247" s="22">
        <f>IF($A247="","",COUNTIF(项目台账!$C$4:$C$403,$A247))</f>
        <v/>
      </c>
      <c r="C247" s="19">
        <f>IF($A247="","",ROUND(SUMIF(项目台账!$C$4:$C$403,$A247,项目台账!$M$4:$M$403),2))</f>
        <v/>
      </c>
      <c r="D247" s="19">
        <f>IF($A247="","",ROUND(SUMIF(项目台账!$C$4:$C$403,$A247,项目台账!$O$4:$O$403),2))</f>
        <v/>
      </c>
      <c r="E247" s="19">
        <f>IF($A247="","",ROUND($C247-$D247,2))</f>
        <v/>
      </c>
      <c r="F247" s="22">
        <f>IF($A247="","",COUNTIFS(项目台账!$C$4:$C$403,$A247,项目台账!$J$4:$J$403,""))</f>
        <v/>
      </c>
      <c r="G247" s="23">
        <f>IF($A247="","",IFERROR(LOOKUP(1,0/((资金日记账!$H$4:$H$2503=$A247)*(资金日记账!$J$4:$J$2503&gt;0)),资金日记账!$B$4:$B$2503),""))</f>
        <v/>
      </c>
      <c r="H247" s="13" t="n"/>
    </row>
    <row r="248">
      <c r="A248" s="17">
        <f>IF(基础资料!$E247="","",基础资料!$E247)</f>
        <v/>
      </c>
      <c r="B248" s="22">
        <f>IF($A248="","",COUNTIF(项目台账!$C$4:$C$403,$A248))</f>
        <v/>
      </c>
      <c r="C248" s="19">
        <f>IF($A248="","",ROUND(SUMIF(项目台账!$C$4:$C$403,$A248,项目台账!$M$4:$M$403),2))</f>
        <v/>
      </c>
      <c r="D248" s="19">
        <f>IF($A248="","",ROUND(SUMIF(项目台账!$C$4:$C$403,$A248,项目台账!$O$4:$O$403),2))</f>
        <v/>
      </c>
      <c r="E248" s="19">
        <f>IF($A248="","",ROUND($C248-$D248,2))</f>
        <v/>
      </c>
      <c r="F248" s="22">
        <f>IF($A248="","",COUNTIFS(项目台账!$C$4:$C$403,$A248,项目台账!$J$4:$J$403,""))</f>
        <v/>
      </c>
      <c r="G248" s="23">
        <f>IF($A248="","",IFERROR(LOOKUP(1,0/((资金日记账!$H$4:$H$2503=$A248)*(资金日记账!$J$4:$J$2503&gt;0)),资金日记账!$B$4:$B$2503),""))</f>
        <v/>
      </c>
      <c r="H248" s="13" t="n"/>
    </row>
    <row r="249">
      <c r="A249" s="17">
        <f>IF(基础资料!$E248="","",基础资料!$E248)</f>
        <v/>
      </c>
      <c r="B249" s="22">
        <f>IF($A249="","",COUNTIF(项目台账!$C$4:$C$403,$A249))</f>
        <v/>
      </c>
      <c r="C249" s="19">
        <f>IF($A249="","",ROUND(SUMIF(项目台账!$C$4:$C$403,$A249,项目台账!$M$4:$M$403),2))</f>
        <v/>
      </c>
      <c r="D249" s="19">
        <f>IF($A249="","",ROUND(SUMIF(项目台账!$C$4:$C$403,$A249,项目台账!$O$4:$O$403),2))</f>
        <v/>
      </c>
      <c r="E249" s="19">
        <f>IF($A249="","",ROUND($C249-$D249,2))</f>
        <v/>
      </c>
      <c r="F249" s="22">
        <f>IF($A249="","",COUNTIFS(项目台账!$C$4:$C$403,$A249,项目台账!$J$4:$J$403,""))</f>
        <v/>
      </c>
      <c r="G249" s="23">
        <f>IF($A249="","",IFERROR(LOOKUP(1,0/((资金日记账!$H$4:$H$2503=$A249)*(资金日记账!$J$4:$J$2503&gt;0)),资金日记账!$B$4:$B$2503),""))</f>
        <v/>
      </c>
      <c r="H249" s="13" t="n"/>
    </row>
    <row r="250">
      <c r="A250" s="17">
        <f>IF(基础资料!$E249="","",基础资料!$E249)</f>
        <v/>
      </c>
      <c r="B250" s="22">
        <f>IF($A250="","",COUNTIF(项目台账!$C$4:$C$403,$A250))</f>
        <v/>
      </c>
      <c r="C250" s="19">
        <f>IF($A250="","",ROUND(SUMIF(项目台账!$C$4:$C$403,$A250,项目台账!$M$4:$M$403),2))</f>
        <v/>
      </c>
      <c r="D250" s="19">
        <f>IF($A250="","",ROUND(SUMIF(项目台账!$C$4:$C$403,$A250,项目台账!$O$4:$O$403),2))</f>
        <v/>
      </c>
      <c r="E250" s="19">
        <f>IF($A250="","",ROUND($C250-$D250,2))</f>
        <v/>
      </c>
      <c r="F250" s="22">
        <f>IF($A250="","",COUNTIFS(项目台账!$C$4:$C$403,$A250,项目台账!$J$4:$J$403,""))</f>
        <v/>
      </c>
      <c r="G250" s="23">
        <f>IF($A250="","",IFERROR(LOOKUP(1,0/((资金日记账!$H$4:$H$2503=$A250)*(资金日记账!$J$4:$J$2503&gt;0)),资金日记账!$B$4:$B$2503),""))</f>
        <v/>
      </c>
      <c r="H250" s="13" t="n"/>
    </row>
    <row r="251">
      <c r="A251" s="17">
        <f>IF(基础资料!$E250="","",基础资料!$E250)</f>
        <v/>
      </c>
      <c r="B251" s="22">
        <f>IF($A251="","",COUNTIF(项目台账!$C$4:$C$403,$A251))</f>
        <v/>
      </c>
      <c r="C251" s="19">
        <f>IF($A251="","",ROUND(SUMIF(项目台账!$C$4:$C$403,$A251,项目台账!$M$4:$M$403),2))</f>
        <v/>
      </c>
      <c r="D251" s="19">
        <f>IF($A251="","",ROUND(SUMIF(项目台账!$C$4:$C$403,$A251,项目台账!$O$4:$O$403),2))</f>
        <v/>
      </c>
      <c r="E251" s="19">
        <f>IF($A251="","",ROUND($C251-$D251,2))</f>
        <v/>
      </c>
      <c r="F251" s="22">
        <f>IF($A251="","",COUNTIFS(项目台账!$C$4:$C$403,$A251,项目台账!$J$4:$J$403,""))</f>
        <v/>
      </c>
      <c r="G251" s="23">
        <f>IF($A251="","",IFERROR(LOOKUP(1,0/((资金日记账!$H$4:$H$2503=$A251)*(资金日记账!$J$4:$J$2503&gt;0)),资金日记账!$B$4:$B$2503),""))</f>
        <v/>
      </c>
      <c r="H251" s="13" t="n"/>
    </row>
    <row r="252">
      <c r="A252" s="17">
        <f>IF(基础资料!$E251="","",基础资料!$E251)</f>
        <v/>
      </c>
      <c r="B252" s="22">
        <f>IF($A252="","",COUNTIF(项目台账!$C$4:$C$403,$A252))</f>
        <v/>
      </c>
      <c r="C252" s="19">
        <f>IF($A252="","",ROUND(SUMIF(项目台账!$C$4:$C$403,$A252,项目台账!$M$4:$M$403),2))</f>
        <v/>
      </c>
      <c r="D252" s="19">
        <f>IF($A252="","",ROUND(SUMIF(项目台账!$C$4:$C$403,$A252,项目台账!$O$4:$O$403),2))</f>
        <v/>
      </c>
      <c r="E252" s="19">
        <f>IF($A252="","",ROUND($C252-$D252,2))</f>
        <v/>
      </c>
      <c r="F252" s="22">
        <f>IF($A252="","",COUNTIFS(项目台账!$C$4:$C$403,$A252,项目台账!$J$4:$J$403,""))</f>
        <v/>
      </c>
      <c r="G252" s="23">
        <f>IF($A252="","",IFERROR(LOOKUP(1,0/((资金日记账!$H$4:$H$2503=$A252)*(资金日记账!$J$4:$J$2503&gt;0)),资金日记账!$B$4:$B$2503),""))</f>
        <v/>
      </c>
      <c r="H252" s="13" t="n"/>
    </row>
    <row r="253">
      <c r="A253" s="17">
        <f>IF(基础资料!$E252="","",基础资料!$E252)</f>
        <v/>
      </c>
      <c r="B253" s="22">
        <f>IF($A253="","",COUNTIF(项目台账!$C$4:$C$403,$A253))</f>
        <v/>
      </c>
      <c r="C253" s="19">
        <f>IF($A253="","",ROUND(SUMIF(项目台账!$C$4:$C$403,$A253,项目台账!$M$4:$M$403),2))</f>
        <v/>
      </c>
      <c r="D253" s="19">
        <f>IF($A253="","",ROUND(SUMIF(项目台账!$C$4:$C$403,$A253,项目台账!$O$4:$O$403),2))</f>
        <v/>
      </c>
      <c r="E253" s="19">
        <f>IF($A253="","",ROUND($C253-$D253,2))</f>
        <v/>
      </c>
      <c r="F253" s="22">
        <f>IF($A253="","",COUNTIFS(项目台账!$C$4:$C$403,$A253,项目台账!$J$4:$J$403,""))</f>
        <v/>
      </c>
      <c r="G253" s="23">
        <f>IF($A253="","",IFERROR(LOOKUP(1,0/((资金日记账!$H$4:$H$2503=$A253)*(资金日记账!$J$4:$J$2503&gt;0)),资金日记账!$B$4:$B$2503),""))</f>
        <v/>
      </c>
      <c r="H253" s="13" t="n"/>
    </row>
    <row r="254">
      <c r="A254" s="17">
        <f>IF(基础资料!$E253="","",基础资料!$E253)</f>
        <v/>
      </c>
      <c r="B254" s="22">
        <f>IF($A254="","",COUNTIF(项目台账!$C$4:$C$403,$A254))</f>
        <v/>
      </c>
      <c r="C254" s="19">
        <f>IF($A254="","",ROUND(SUMIF(项目台账!$C$4:$C$403,$A254,项目台账!$M$4:$M$403),2))</f>
        <v/>
      </c>
      <c r="D254" s="19">
        <f>IF($A254="","",ROUND(SUMIF(项目台账!$C$4:$C$403,$A254,项目台账!$O$4:$O$403),2))</f>
        <v/>
      </c>
      <c r="E254" s="19">
        <f>IF($A254="","",ROUND($C254-$D254,2))</f>
        <v/>
      </c>
      <c r="F254" s="22">
        <f>IF($A254="","",COUNTIFS(项目台账!$C$4:$C$403,$A254,项目台账!$J$4:$J$403,""))</f>
        <v/>
      </c>
      <c r="G254" s="23">
        <f>IF($A254="","",IFERROR(LOOKUP(1,0/((资金日记账!$H$4:$H$2503=$A254)*(资金日记账!$J$4:$J$2503&gt;0)),资金日记账!$B$4:$B$2503),""))</f>
        <v/>
      </c>
      <c r="H254" s="13" t="n"/>
    </row>
  </sheetData>
  <autoFilter ref="A3:H254"/>
  <mergeCells count="2">
    <mergeCell ref="A2:H2"/>
    <mergeCell ref="A1:H1"/>
  </mergeCells>
  <conditionalFormatting sqref="E5:E254">
    <cfRule type="cellIs" priority="1" operator="greaterThan" dxfId="3">
      <formula>0.004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2026-09-15T08:50:43Z</dcterms:created>
  <dcterms:modified xsi:type="dcterms:W3CDTF">2026-09-15T08:50:47Z</dcterms:modified>
</cp:coreProperties>
</file>